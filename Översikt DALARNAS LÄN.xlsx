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93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53849-2022</t>
        </is>
      </c>
      <c r="B2" t="inlineStr">
        <is>
          <t>avverkningsanmälan</t>
        </is>
      </c>
      <c r="C2" t="inlineStr">
        <is>
          <t>Föryngringsavverkning</t>
        </is>
      </c>
      <c r="D2" s="1" t="n">
        <v>44876</v>
      </c>
      <c r="E2" s="1" t="n">
        <v>46319</v>
      </c>
      <c r="F2" t="inlineStr">
        <is>
          <t>DALARNAS LÄN</t>
        </is>
      </c>
      <c r="G2" t="inlineStr">
        <is>
          <t>LEKSAND</t>
        </is>
      </c>
      <c r="I2" t="n">
        <v>24.8</v>
      </c>
      <c r="J2" t="n">
        <v>23</v>
      </c>
      <c r="K2" t="n">
        <v>13</v>
      </c>
      <c r="L2" t="n">
        <v>25</v>
      </c>
      <c r="M2" t="n">
        <v>5</v>
      </c>
      <c r="N2" t="n">
        <v>0</v>
      </c>
      <c r="O2" t="n">
        <v>0</v>
      </c>
      <c r="P2" t="n">
        <v>0</v>
      </c>
      <c r="Q2" t="n">
        <v>30</v>
      </c>
      <c r="R2" t="n">
        <v>5</v>
      </c>
      <c r="S2" t="n">
        <v>63</v>
      </c>
      <c r="T2" t="n">
        <v>596</v>
      </c>
      <c r="U2" t="n">
        <v>595</v>
      </c>
      <c r="V2" s="2" t="inlineStr">
        <is>
          <t>Garnlav
Gräddporing
Gränsticka
Grönfink
Knärot
Doftskinn
Dropptaggsvamp
Duvhök
Gropticka
Grönhjon
Hängticka
Kattfotslav
Kådvaxskinn
Kötticka
Lavskrika
Luddfingersvamp
Lunglav
Mindre hackspett
Motaggsvamp
Rosenticka
Rynkskinn
Skogshare
Tallkötticka
Tallticka
Talltita
Tretåig hackspett
Ullticka
Vaddporing
Violettgrå tagellav
Vitgrynig nållav
Bollvitmossa
Bronshjon
Mindre märgborre
Norrlandslav
Nästlav
Rödgul trumpetsvamp
Sotriska
Svavelriska
Thomsons trägnagare
Trådticka
Tvåblad
Vedticka
Vågbandad barkbock
Bergfink
Blåsippa
Gråsiska
Gråspett
Järpe
Kransmossa
Linnea
Ormbär
Skogsstjärna
Spillkråka
Tjäder
Tofsmes
Vitsippa
Grönsiska
Kungsfågel
Vanlig groda
Fläcknycklar
Nattviol
Gullviva
Revlummer</t>
        </is>
      </c>
      <c r="W2">
        <f>HYPERLINK("https://klasma.github.io/Logging_2029/artfynd/A 53849-2022 artfynd.xlsx", "A 53849-2022")</f>
        <v/>
      </c>
      <c r="X2">
        <f>HYPERLINK("https://klasma.github.io/Logging_2029/kartor/A 53849-2022 karta.png", "A 53849-2022")</f>
        <v/>
      </c>
      <c r="Y2">
        <f>HYPERLINK("https://klasma.github.io/Logging_2029/kartor_geotiff/A 53849-2022 georefererad karta.tif", "A 53849-2022")</f>
        <v/>
      </c>
      <c r="Z2">
        <f>HYPERLINK("https://klasma.github.io/Logging_2029/knärot/A 53849-2022 karta knärot.png", "A 53849-2022")</f>
        <v/>
      </c>
      <c r="AA2">
        <f>HYPERLINK("https://klasma.github.io/Logging_2029/klagomål/A 53849-2022 FSC-klagomål.docx", "A 53849-2022")</f>
        <v/>
      </c>
      <c r="AB2">
        <f>HYPERLINK("https://klasma.github.io/Logging_2029/klagomålsmail/A 53849-2022 FSC-klagomål mail.docx", "A 53849-2022")</f>
        <v/>
      </c>
      <c r="AC2">
        <f>HYPERLINK("https://klasma.github.io/Logging_2029/tillsyn/A 53849-2022 tillsynsbegäran.docx", "A 53849-2022")</f>
        <v/>
      </c>
      <c r="AD2">
        <f>HYPERLINK("https://klasma.github.io/Logging_2029/tillsynsmail/A 53849-2022 tillsynsbegäran mail.docx", "A 53849-2022")</f>
        <v/>
      </c>
      <c r="AE2">
        <f>HYPERLINK("https://klasma.github.io/Logging_2029/fåglar/A 53849-2022 prioriterade fågelarter.docx", "A 53849-2022")</f>
        <v/>
      </c>
    </row>
    <row r="3" ht="15" customHeight="1">
      <c r="A3" t="inlineStr">
        <is>
          <t>A 7174-2026</t>
        </is>
      </c>
      <c r="B3" t="inlineStr">
        <is>
          <t>avverkningsanmälan</t>
        </is>
      </c>
      <c r="C3" t="inlineStr">
        <is>
          <t>Föryngringsavverkning</t>
        </is>
      </c>
      <c r="D3" s="1" t="n">
        <v>46058</v>
      </c>
      <c r="E3" s="1" t="n">
        <v>46319</v>
      </c>
      <c r="F3" t="inlineStr">
        <is>
          <t>DALARNAS LÄN</t>
        </is>
      </c>
      <c r="G3" t="inlineStr">
        <is>
          <t>ÄLVDALEN</t>
        </is>
      </c>
      <c r="H3" t="inlineStr">
        <is>
          <t>Allmännings- och besparingsskogar</t>
        </is>
      </c>
      <c r="I3" t="n">
        <v>21.1</v>
      </c>
      <c r="J3" t="n">
        <v>8</v>
      </c>
      <c r="K3" t="n">
        <v>7</v>
      </c>
      <c r="L3" t="n">
        <v>23</v>
      </c>
      <c r="M3" t="n">
        <v>13</v>
      </c>
      <c r="N3" t="n">
        <v>1</v>
      </c>
      <c r="O3" t="n">
        <v>0</v>
      </c>
      <c r="P3" t="n">
        <v>0</v>
      </c>
      <c r="Q3" t="n">
        <v>37</v>
      </c>
      <c r="R3" t="n">
        <v>14</v>
      </c>
      <c r="S3" t="n">
        <v>49</v>
      </c>
      <c r="T3" t="n">
        <v>214</v>
      </c>
      <c r="U3" t="n">
        <v>106</v>
      </c>
      <c r="V3" s="2" t="inlineStr">
        <is>
          <t>Mosippa
Fläckporing
Garnlav
Goliatmusseron
Gräddporing
Gränsticka
Gyllenspindling
Rotfingersvamp
Skrovlig taggsvamp
Smalfotad taggsvamp
Smultronkantarell
Spadskinn
Tajgataggsvamp
Torrmusseron
Blanksvart spiklav
Blå taggsvamp
Blågrå svartspik
Dropptaggsvamp
Dvärgbägarlav
Gelatinfingersvamp
Grantaggsvamp
Kolflarnlav
Mjölsvärting
Motaggsvamp
Mörk kolflarnlav
Nordtagging
Skarp dropptaggsvamp
Svartvit taggsvamp
Tallfingersvamp
Tallriska
Talltita
Vaddporing
Varglav
Vedflamlav
Vedskivlav
Vedtrappmossa
Älg
Grönpyrola
Korallblylav
Mindre märgborre
Nordlig fjädermossa
Plattlummer
Rödgul trumpetsvamp
Vedticka
Brudborste
Spillkråka
Tjäder
Kråka
Revlummer</t>
        </is>
      </c>
      <c r="W3">
        <f>HYPERLINK("https://klasma.github.io/Logging_2039/artfynd/A 7174-2026 artfynd.xlsx", "A 7174-2026")</f>
        <v/>
      </c>
      <c r="X3">
        <f>HYPERLINK("https://klasma.github.io/Logging_2039/kartor/A 7174-2026 karta.png", "A 7174-2026")</f>
        <v/>
      </c>
      <c r="Y3">
        <f>HYPERLINK("https://klasma.github.io/Logging_2039/kartor_geotiff/A 7174-2026 georefererad karta.tif", "A 7174-2026")</f>
        <v/>
      </c>
      <c r="AA3">
        <f>HYPERLINK("https://klasma.github.io/Logging_2039/klagomål/A 7174-2026 FSC-klagomål.docx", "A 7174-2026")</f>
        <v/>
      </c>
      <c r="AB3">
        <f>HYPERLINK("https://klasma.github.io/Logging_2039/klagomålsmail/A 7174-2026 FSC-klagomål mail.docx", "A 7174-2026")</f>
        <v/>
      </c>
      <c r="AC3">
        <f>HYPERLINK("https://klasma.github.io/Logging_2039/tillsyn/A 7174-2026 tillsynsbegäran.docx", "A 7174-2026")</f>
        <v/>
      </c>
      <c r="AD3">
        <f>HYPERLINK("https://klasma.github.io/Logging_2039/tillsynsmail/A 7174-2026 tillsynsbegäran mail.docx", "A 7174-2026")</f>
        <v/>
      </c>
      <c r="AE3">
        <f>HYPERLINK("https://klasma.github.io/Logging_2039/fåglar/A 7174-2026 prioriterade fågelarter.docx", "A 7174-2026")</f>
        <v/>
      </c>
    </row>
    <row r="4" ht="15" customHeight="1">
      <c r="A4" t="inlineStr">
        <is>
          <t>S 1898-2025</t>
        </is>
      </c>
      <c r="B4" t="inlineStr">
        <is>
          <t>samrådsanmälan</t>
        </is>
      </c>
      <c r="C4" t="inlineStr">
        <is>
          <t>Annan skogsbruksåtgärd</t>
        </is>
      </c>
      <c r="D4" s="1" t="n">
        <v>45825</v>
      </c>
      <c r="E4" s="1" t="n">
        <v>46319</v>
      </c>
      <c r="F4" t="inlineStr">
        <is>
          <t>DALARNAS LÄN</t>
        </is>
      </c>
      <c r="G4" t="inlineStr">
        <is>
          <t>LEKSAND</t>
        </is>
      </c>
      <c r="I4" t="n">
        <v>20.3</v>
      </c>
      <c r="J4" t="n">
        <v>18</v>
      </c>
      <c r="K4" t="n">
        <v>10</v>
      </c>
      <c r="L4" t="n">
        <v>15</v>
      </c>
      <c r="M4" t="n">
        <v>6</v>
      </c>
      <c r="N4" t="n">
        <v>0</v>
      </c>
      <c r="O4" t="n">
        <v>0</v>
      </c>
      <c r="P4" t="n">
        <v>0</v>
      </c>
      <c r="Q4" t="n">
        <v>21</v>
      </c>
      <c r="R4" t="n">
        <v>6</v>
      </c>
      <c r="S4" t="n">
        <v>44</v>
      </c>
      <c r="T4" t="n">
        <v>383</v>
      </c>
      <c r="U4" t="n">
        <v>231</v>
      </c>
      <c r="V4" s="2" t="inlineStr">
        <is>
          <t>Garnlav
Gräddticka
Gränsticka
Knärot
Tornseglare
Ulltickeporing
Doftskinn
Dropptaggsvamp
Dvärgbägarlav
Grönhjon
Kattfotslav
Kötticka
Motaggsvamp
Rosenticka
Rynkskinn
Rödvingetrast
Skogshare
Talltita
Tretåig hackspett
Ullticka
Violettgrå tagellav
Bronshjon
Mindre märgborre
Rödgul trumpetsvamp
Sotriska
Stuplav
Svavelriska
Thomsons trägnagare
Trådticka
Vedticka
Vågbandad barkbock
Blåsippa
Gråspett
Järpe
Spillkråka
Tjäder
Fiskgjuse
Grönsiska
Kungsfågel
Trana
Vanlig groda
Fläcknycklar
Nattviol
Revlummer</t>
        </is>
      </c>
      <c r="W4">
        <f>HYPERLINK("https://klasma.github.io/Logging_2029/artfynd/S 1898-2025 artfynd.xlsx", "S 1898-2025")</f>
        <v/>
      </c>
      <c r="X4">
        <f>HYPERLINK("https://klasma.github.io/Logging_2029/kartor/S 1898-2025 karta.png", "S 1898-2025")</f>
        <v/>
      </c>
      <c r="Y4">
        <f>HYPERLINK("https://klasma.github.io/Logging_2029/kartor_geotiff/S 1898-2025 georefererad karta.tif", "S 1898-2025")</f>
        <v/>
      </c>
      <c r="Z4">
        <f>HYPERLINK("https://klasma.github.io/Logging_2029/knärot/S 1898-2025 karta knärot.png", "S 1898-2025")</f>
        <v/>
      </c>
      <c r="AA4">
        <f>HYPERLINK("https://klasma.github.io/Logging_2029/klagomål/S 1898-2025 FSC-klagomål.docx", "S 1898-2025")</f>
        <v/>
      </c>
      <c r="AB4">
        <f>HYPERLINK("https://klasma.github.io/Logging_2029/klagomålsmail/S 1898-2025 FSC-klagomål mail.docx", "S 1898-2025")</f>
        <v/>
      </c>
      <c r="AC4">
        <f>HYPERLINK("https://klasma.github.io/Logging_2029/tillsyn/S 1898-2025 tillsynsbegäran.docx", "S 1898-2025")</f>
        <v/>
      </c>
      <c r="AD4">
        <f>HYPERLINK("https://klasma.github.io/Logging_2029/tillsynsmail/S 1898-2025 tillsynsbegäran mail.docx", "S 1898-2025")</f>
        <v/>
      </c>
      <c r="AE4">
        <f>HYPERLINK("https://klasma.github.io/Logging_2029/fåglar/S 1898-2025 prioriterade fågelarter.docx", "S 1898-2025")</f>
        <v/>
      </c>
    </row>
    <row r="5" ht="15" customHeight="1">
      <c r="A5" t="inlineStr">
        <is>
          <t>S 2325-2023</t>
        </is>
      </c>
      <c r="B5" t="inlineStr">
        <is>
          <t>samrådsanmälan</t>
        </is>
      </c>
      <c r="C5" t="inlineStr">
        <is>
          <t>Annan skogsbruksåtgärd</t>
        </is>
      </c>
      <c r="D5" s="1" t="n">
        <v>45105</v>
      </c>
      <c r="E5" s="1" t="n">
        <v>46319</v>
      </c>
      <c r="F5" t="inlineStr">
        <is>
          <t>DALARNAS LÄN</t>
        </is>
      </c>
      <c r="G5" t="inlineStr">
        <is>
          <t>HEDEMORA</t>
        </is>
      </c>
      <c r="I5" t="n">
        <v>23.4</v>
      </c>
      <c r="J5" t="n">
        <v>6</v>
      </c>
      <c r="K5" t="n">
        <v>12</v>
      </c>
      <c r="L5" t="n">
        <v>16</v>
      </c>
      <c r="M5" t="n">
        <v>11</v>
      </c>
      <c r="N5" t="n">
        <v>1</v>
      </c>
      <c r="O5" t="n">
        <v>0</v>
      </c>
      <c r="P5" t="n">
        <v>0</v>
      </c>
      <c r="Q5" t="n">
        <v>28</v>
      </c>
      <c r="R5" t="n">
        <v>12</v>
      </c>
      <c r="S5" t="n">
        <v>44</v>
      </c>
      <c r="T5" t="n">
        <v>878</v>
      </c>
      <c r="U5" t="n">
        <v>878</v>
      </c>
      <c r="V5" s="2" t="inlineStr">
        <is>
          <t>Skogsalm
Blackticka
Citronporing
Garnlav
Gränsticka
Kilporing
Knärot
Ostticka
Rosa jodskinn
Rostskinn
Skeletocutis delicata
Ulltickeporing
Gransotdyna
Gropticka
Gullpudra
Kötticka
Mindre hackspett
Motaggsvamp
Rosenticka
Rynkskinn
Rödfläckig zontaggsvamp
Stjärntagging
Tallticka
Talltita
Tretåig hackspett
Ullticka
Vågticka
Vårärt
Bollvitmossa
Bronshjon
Dvärgtufs
Grovticka
Grönpyrola
Rostfläck
Rödgul trumpetsvamp
Sotriska
Svavelriska
Thomsons trägnagare
Trådticka
Vedticka
Blåsippa
Bäckbräsma
Kransmossa
Spillkråka</t>
        </is>
      </c>
      <c r="W5">
        <f>HYPERLINK("https://klasma.github.io/Logging_2083/artfynd/S 2325-2023 artfynd.xlsx", "S 2325-2023")</f>
        <v/>
      </c>
      <c r="X5">
        <f>HYPERLINK("https://klasma.github.io/Logging_2083/kartor/S 2325-2023 karta.png", "S 2325-2023")</f>
        <v/>
      </c>
      <c r="Y5">
        <f>HYPERLINK("https://klasma.github.io/Logging_2083/kartor_geotiff/S 2325-2023 georefererad karta.tif", "S 2325-2023")</f>
        <v/>
      </c>
      <c r="Z5">
        <f>HYPERLINK("https://klasma.github.io/Logging_2083/knärot/S 2325-2023 karta knärot.png", "S 2325-2023")</f>
        <v/>
      </c>
      <c r="AA5">
        <f>HYPERLINK("https://klasma.github.io/Logging_2083/klagomål/S 2325-2023 FSC-klagomål.docx", "S 2325-2023")</f>
        <v/>
      </c>
      <c r="AB5">
        <f>HYPERLINK("https://klasma.github.io/Logging_2083/klagomålsmail/S 2325-2023 FSC-klagomål mail.docx", "S 2325-2023")</f>
        <v/>
      </c>
      <c r="AC5">
        <f>HYPERLINK("https://klasma.github.io/Logging_2083/tillsyn/S 2325-2023 tillsynsbegäran.docx", "S 2325-2023")</f>
        <v/>
      </c>
      <c r="AD5">
        <f>HYPERLINK("https://klasma.github.io/Logging_2083/tillsynsmail/S 2325-2023 tillsynsbegäran mail.docx", "S 2325-2023")</f>
        <v/>
      </c>
      <c r="AE5">
        <f>HYPERLINK("https://klasma.github.io/Logging_2083/fåglar/S 2325-2023 prioriterade fågelarter.docx", "S 2325-2023")</f>
        <v/>
      </c>
    </row>
    <row r="6" ht="15" customHeight="1">
      <c r="A6" t="inlineStr">
        <is>
          <t>A 62749-2023</t>
        </is>
      </c>
      <c r="B6" t="inlineStr">
        <is>
          <t>avverkningsanmälan</t>
        </is>
      </c>
      <c r="C6" t="inlineStr">
        <is>
          <t>Avverkning för annat ändamål</t>
        </is>
      </c>
      <c r="D6" s="1" t="n">
        <v>45271</v>
      </c>
      <c r="E6" s="1" t="n">
        <v>46319</v>
      </c>
      <c r="F6" t="inlineStr">
        <is>
          <t>DALARNAS LÄN</t>
        </is>
      </c>
      <c r="G6" t="inlineStr">
        <is>
          <t>ORSA</t>
        </is>
      </c>
      <c r="H6" t="inlineStr">
        <is>
          <t>Kommuner</t>
        </is>
      </c>
      <c r="I6" t="n">
        <v>20.7</v>
      </c>
      <c r="J6" t="n">
        <v>25</v>
      </c>
      <c r="K6" t="n">
        <v>6</v>
      </c>
      <c r="L6" t="n">
        <v>16</v>
      </c>
      <c r="M6" t="n">
        <v>6</v>
      </c>
      <c r="N6" t="n">
        <v>1</v>
      </c>
      <c r="O6" t="n">
        <v>0</v>
      </c>
      <c r="P6" t="n">
        <v>0</v>
      </c>
      <c r="Q6" t="n">
        <v>23</v>
      </c>
      <c r="R6" t="n">
        <v>7</v>
      </c>
      <c r="S6" t="n">
        <v>39</v>
      </c>
      <c r="T6" t="n">
        <v>539</v>
      </c>
      <c r="U6" t="n">
        <v>527</v>
      </c>
      <c r="V6" s="2" t="inlineStr">
        <is>
          <t>Storspov
Garnlav
Grönfink
Knärot
Silverblåvinge
Stare
Tofsvipa
Björktrast
Brunklöver
Dropptaggsvamp
Duvhök
Gulsparv
Ladusvala
Orange taggsvamp
Rosenticka
Rynkskinn
Rödvingetrast
Sädesärla
Tallfingersvamp
Talltita
Tretåig hackspett
Ullticka
Violettgrå tagellav
Bollvitmossa
Bronshjon
Grönpyrola
Korallrot
Mindre märgborre
Tvåblad
Spillkråka
Buskskvätta
Ljungpipare
Salskrake
Sångsvan
Trana
Utter
Ärtsångare
Vanlig groda
Nattviol</t>
        </is>
      </c>
      <c r="W6">
        <f>HYPERLINK("https://klasma.github.io/Logging_2034/artfynd/A 62749-2023 artfynd.xlsx", "A 62749-2023")</f>
        <v/>
      </c>
      <c r="X6">
        <f>HYPERLINK("https://klasma.github.io/Logging_2034/kartor/A 62749-2023 karta.png", "A 62749-2023")</f>
        <v/>
      </c>
      <c r="Y6">
        <f>HYPERLINK("https://klasma.github.io/Logging_2034/kartor_geotiff/A 62749-2023 georefererad karta.tif", "A 62749-2023")</f>
        <v/>
      </c>
      <c r="Z6">
        <f>HYPERLINK("https://klasma.github.io/Logging_2034/knärot/A 62749-2023 karta knärot.png", "A 62749-2023")</f>
        <v/>
      </c>
      <c r="AA6">
        <f>HYPERLINK("https://klasma.github.io/Logging_2034/klagomål/A 62749-2023 FSC-klagomål.docx", "A 62749-2023")</f>
        <v/>
      </c>
      <c r="AB6">
        <f>HYPERLINK("https://klasma.github.io/Logging_2034/klagomålsmail/A 62749-2023 FSC-klagomål mail.docx", "A 62749-2023")</f>
        <v/>
      </c>
      <c r="AC6">
        <f>HYPERLINK("https://klasma.github.io/Logging_2034/tillsyn/A 62749-2023 tillsynsbegäran.docx", "A 62749-2023")</f>
        <v/>
      </c>
      <c r="AD6">
        <f>HYPERLINK("https://klasma.github.io/Logging_2034/tillsynsmail/A 62749-2023 tillsynsbegäran mail.docx", "A 62749-2023")</f>
        <v/>
      </c>
      <c r="AE6">
        <f>HYPERLINK("https://klasma.github.io/Logging_2034/fåglar/A 62749-2023 prioriterade fågelarter.docx", "A 62749-2023")</f>
        <v/>
      </c>
    </row>
    <row r="7" ht="15" customHeight="1">
      <c r="A7" t="inlineStr">
        <is>
          <t>A 18527-2025</t>
        </is>
      </c>
      <c r="B7" t="inlineStr">
        <is>
          <t>avverkningsanmälan</t>
        </is>
      </c>
      <c r="C7" t="inlineStr">
        <is>
          <t>Föryngringsavverkning</t>
        </is>
      </c>
      <c r="D7" s="1" t="n">
        <v>45763</v>
      </c>
      <c r="E7" s="1" t="n">
        <v>46319</v>
      </c>
      <c r="F7" t="inlineStr">
        <is>
          <t>DALARNAS LÄN</t>
        </is>
      </c>
      <c r="G7" t="inlineStr">
        <is>
          <t>MORA</t>
        </is>
      </c>
      <c r="I7" t="n">
        <v>10.6</v>
      </c>
      <c r="J7" t="n">
        <v>10</v>
      </c>
      <c r="K7" t="n">
        <v>10</v>
      </c>
      <c r="L7" t="n">
        <v>18</v>
      </c>
      <c r="M7" t="n">
        <v>5</v>
      </c>
      <c r="N7" t="n">
        <v>0</v>
      </c>
      <c r="O7" t="n">
        <v>0</v>
      </c>
      <c r="P7" t="n">
        <v>0</v>
      </c>
      <c r="Q7" t="n">
        <v>23</v>
      </c>
      <c r="R7" t="n">
        <v>5</v>
      </c>
      <c r="S7" t="n">
        <v>39</v>
      </c>
      <c r="T7" t="n">
        <v>266</v>
      </c>
      <c r="U7" t="n">
        <v>266</v>
      </c>
      <c r="V7" s="2" t="inlineStr">
        <is>
          <t>Garnlav
Gropig skägglav
Gränsticka
Knärot
Ulltickeporing
Blanksvart spiklav
Dropptaggsvamp
Dvärgbägarlav
Gammelgransskål
Kolflarnlav
Kortskaftad ärgspik
Mörk kolflarnlav
Rosenticka
Skogstrappmossa
Talltagel
Talltita
Tretåig hackspett
Ullticka
Vedflamlav
Vedskivlav
Vedtrappmossa
Violettgrå tagellav
Vitgrynig nållav
Barkticka
Bollvitmossa
Flagellkvastmossa
Källmossa
Källpraktmossa
Mindre märgborre
Nästlav
Spindelblomster
Stuplav
Vedticka
Spillkråka
Tjäder
Grönsiska
Kungsfågel
Orre
Revlummer</t>
        </is>
      </c>
      <c r="W7">
        <f>HYPERLINK("https://klasma.github.io/Logging_2062/artfynd/A 18527-2025 artfynd.xlsx", "A 18527-2025")</f>
        <v/>
      </c>
      <c r="X7">
        <f>HYPERLINK("https://klasma.github.io/Logging_2062/kartor/A 18527-2025 karta.png", "A 18527-2025")</f>
        <v/>
      </c>
      <c r="Y7">
        <f>HYPERLINK("https://klasma.github.io/Logging_2062/kartor_geotiff/A 18527-2025 georefererad karta.tif", "A 18527-2025")</f>
        <v/>
      </c>
      <c r="Z7">
        <f>HYPERLINK("https://klasma.github.io/Logging_2062/knärot/A 18527-2025 karta knärot.png", "A 18527-2025")</f>
        <v/>
      </c>
      <c r="AA7">
        <f>HYPERLINK("https://klasma.github.io/Logging_2062/klagomål/A 18527-2025 FSC-klagomål.docx", "A 18527-2025")</f>
        <v/>
      </c>
      <c r="AB7">
        <f>HYPERLINK("https://klasma.github.io/Logging_2062/klagomålsmail/A 18527-2025 FSC-klagomål mail.docx", "A 18527-2025")</f>
        <v/>
      </c>
      <c r="AC7">
        <f>HYPERLINK("https://klasma.github.io/Logging_2062/tillsyn/A 18527-2025 tillsynsbegäran.docx", "A 18527-2025")</f>
        <v/>
      </c>
      <c r="AD7">
        <f>HYPERLINK("https://klasma.github.io/Logging_2062/tillsynsmail/A 18527-2025 tillsynsbegäran mail.docx", "A 18527-2025")</f>
        <v/>
      </c>
      <c r="AE7">
        <f>HYPERLINK("https://klasma.github.io/Logging_2062/fåglar/A 18527-2025 prioriterade fågelarter.docx", "A 18527-2025")</f>
        <v/>
      </c>
    </row>
    <row r="8" ht="15" customHeight="1">
      <c r="A8" t="inlineStr">
        <is>
          <t>A 31756-2023</t>
        </is>
      </c>
      <c r="B8" t="inlineStr">
        <is>
          <t>avverkningsanmälan</t>
        </is>
      </c>
      <c r="C8" t="inlineStr">
        <is>
          <t>Föryngringsavverkning</t>
        </is>
      </c>
      <c r="D8" s="1" t="n">
        <v>45118</v>
      </c>
      <c r="E8" s="1" t="n">
        <v>46319</v>
      </c>
      <c r="F8" t="inlineStr">
        <is>
          <t>DALARNAS LÄN</t>
        </is>
      </c>
      <c r="G8" t="inlineStr">
        <is>
          <t>MORA</t>
        </is>
      </c>
      <c r="I8" t="n">
        <v>29.7</v>
      </c>
      <c r="J8" t="n">
        <v>3</v>
      </c>
      <c r="K8" t="n">
        <v>11</v>
      </c>
      <c r="L8" t="n">
        <v>20</v>
      </c>
      <c r="M8" t="n">
        <v>6</v>
      </c>
      <c r="N8" t="n">
        <v>0</v>
      </c>
      <c r="O8" t="n">
        <v>0</v>
      </c>
      <c r="P8" t="n">
        <v>0</v>
      </c>
      <c r="Q8" t="n">
        <v>26</v>
      </c>
      <c r="R8" t="n">
        <v>6</v>
      </c>
      <c r="S8" t="n">
        <v>38</v>
      </c>
      <c r="T8" t="n">
        <v>294</v>
      </c>
      <c r="U8" t="n">
        <v>294</v>
      </c>
      <c r="V8" s="2" t="inlineStr">
        <is>
          <t>Fläckporing
Garnlav
Gräddporing
Knärot
Liten sotlav
Vitskaftad svartspik
Blanksvart spiklav
Brunpudrad nållav
Dropptaggsvamp
Dvärgbägarlav
Gammelgransskål
Gropticka
Kolflarnlav
Kortskaftad ärgspik
Lunglav
Mörk kolflarnlav
Nordtagging
Reliktbock
Skarp dropptaggsvamp
Skrovellav
Tallticka
Vedflamlav
Vedskivlav
Vedtrappmossa
Violettgrå tagellav
Vitgrynig nållav
Barkticka
Bronshjon
Bårdlav
Flagellkvastmossa
Korallblylav
Mindre märgborre
Norrlandslav
Nästlav
Skinnlav
Spindelblomster
Vedticka
Tjäder</t>
        </is>
      </c>
      <c r="W8">
        <f>HYPERLINK("https://klasma.github.io/Logging_2062/artfynd/A 31756-2023 artfynd.xlsx", "A 31756-2023")</f>
        <v/>
      </c>
      <c r="X8">
        <f>HYPERLINK("https://klasma.github.io/Logging_2062/kartor/A 31756-2023 karta.png", "A 31756-2023")</f>
        <v/>
      </c>
      <c r="Y8">
        <f>HYPERLINK("https://klasma.github.io/Logging_2062/kartor_geotiff/A 31756-2023 georefererad karta.tif", "A 31756-2023")</f>
        <v/>
      </c>
      <c r="Z8">
        <f>HYPERLINK("https://klasma.github.io/Logging_2062/knärot/A 31756-2023 karta knärot.png", "A 31756-2023")</f>
        <v/>
      </c>
      <c r="AA8">
        <f>HYPERLINK("https://klasma.github.io/Logging_2062/klagomål/A 31756-2023 FSC-klagomål.docx", "A 31756-2023")</f>
        <v/>
      </c>
      <c r="AB8">
        <f>HYPERLINK("https://klasma.github.io/Logging_2062/klagomålsmail/A 31756-2023 FSC-klagomål mail.docx", "A 31756-2023")</f>
        <v/>
      </c>
      <c r="AC8">
        <f>HYPERLINK("https://klasma.github.io/Logging_2062/tillsyn/A 31756-2023 tillsynsbegäran.docx", "A 31756-2023")</f>
        <v/>
      </c>
      <c r="AD8">
        <f>HYPERLINK("https://klasma.github.io/Logging_2062/tillsynsmail/A 31756-2023 tillsynsbegäran mail.docx", "A 31756-2023")</f>
        <v/>
      </c>
      <c r="AE8">
        <f>HYPERLINK("https://klasma.github.io/Logging_2062/fåglar/A 31756-2023 prioriterade fågelarter.docx", "A 31756-2023")</f>
        <v/>
      </c>
    </row>
    <row r="9" ht="15" customHeight="1">
      <c r="A9" t="inlineStr">
        <is>
          <t>A 13728-2025</t>
        </is>
      </c>
      <c r="B9" t="inlineStr">
        <is>
          <t>avverkningsanmälan</t>
        </is>
      </c>
      <c r="C9" t="inlineStr">
        <is>
          <t>Föryngringsavverkning</t>
        </is>
      </c>
      <c r="D9" s="1" t="n">
        <v>45737</v>
      </c>
      <c r="E9" s="1" t="n">
        <v>46319</v>
      </c>
      <c r="F9" t="inlineStr">
        <is>
          <t>DALARNAS LÄN</t>
        </is>
      </c>
      <c r="G9" t="inlineStr">
        <is>
          <t>MORA</t>
        </is>
      </c>
      <c r="I9" t="n">
        <v>111.2</v>
      </c>
      <c r="J9" t="n">
        <v>9</v>
      </c>
      <c r="K9" t="n">
        <v>4</v>
      </c>
      <c r="L9" t="n">
        <v>24</v>
      </c>
      <c r="M9" t="n">
        <v>4</v>
      </c>
      <c r="N9" t="n">
        <v>0</v>
      </c>
      <c r="O9" t="n">
        <v>0</v>
      </c>
      <c r="P9" t="n">
        <v>0</v>
      </c>
      <c r="Q9" t="n">
        <v>28</v>
      </c>
      <c r="R9" t="n">
        <v>4</v>
      </c>
      <c r="S9" t="n">
        <v>38</v>
      </c>
      <c r="T9" t="n">
        <v>783</v>
      </c>
      <c r="U9" t="n">
        <v>782</v>
      </c>
      <c r="V9" s="2" t="inlineStr">
        <is>
          <t>Fläckporing
Garnlav
Gränsticka
Smalfotad taggsvamp
Blanksvart spiklav
Blågrå svartspik
Doftskinn
Dropptaggsvamp
Dvärgbägarlav
Gammelgransskål
Knottrig blåslav
Kolflarnlav
Kortskaftad ärgspik
Lunglav
Mörk kolflarnlav
Rosenticka
Skogshare
Skrovellav
Talltagel
Tallticka
Talltita
Tretåig hackspett
Ullticka
Varglav
Vedflamlav
Vedskivlav
Violettgrå tagellav
Vitgrynig nållav
Bronshjon
Luddlav
Stuplav
Vedticka
Bergfink
Järpe
Spillkråka
Tjäder
Kungsfågel
Orre</t>
        </is>
      </c>
      <c r="W9">
        <f>HYPERLINK("https://klasma.github.io/Logging_2062/artfynd/A 13728-2025 artfynd.xlsx", "A 13728-2025")</f>
        <v/>
      </c>
      <c r="X9">
        <f>HYPERLINK("https://klasma.github.io/Logging_2062/kartor/A 13728-2025 karta.png", "A 13728-2025")</f>
        <v/>
      </c>
      <c r="Y9">
        <f>HYPERLINK("https://klasma.github.io/Logging_2062/kartor_geotiff/A 13728-2025 georefererad karta.tif", "A 13728-2025")</f>
        <v/>
      </c>
      <c r="AA9">
        <f>HYPERLINK("https://klasma.github.io/Logging_2062/klagomål/A 13728-2025 FSC-klagomål.docx", "A 13728-2025")</f>
        <v/>
      </c>
      <c r="AB9">
        <f>HYPERLINK("https://klasma.github.io/Logging_2062/klagomålsmail/A 13728-2025 FSC-klagomål mail.docx", "A 13728-2025")</f>
        <v/>
      </c>
      <c r="AC9">
        <f>HYPERLINK("https://klasma.github.io/Logging_2062/tillsyn/A 13728-2025 tillsynsbegäran.docx", "A 13728-2025")</f>
        <v/>
      </c>
      <c r="AD9">
        <f>HYPERLINK("https://klasma.github.io/Logging_2062/tillsynsmail/A 13728-2025 tillsynsbegäran mail.docx", "A 13728-2025")</f>
        <v/>
      </c>
      <c r="AE9">
        <f>HYPERLINK("https://klasma.github.io/Logging_2062/fåglar/A 13728-2025 prioriterade fågelarter.docx", "A 13728-2025")</f>
        <v/>
      </c>
    </row>
    <row r="10" ht="15" customHeight="1">
      <c r="A10" t="inlineStr">
        <is>
          <t>A 53145-2023</t>
        </is>
      </c>
      <c r="B10" t="inlineStr">
        <is>
          <t>avverkningsanmälan</t>
        </is>
      </c>
      <c r="C10" t="inlineStr">
        <is>
          <t>Föryngringsavverkning</t>
        </is>
      </c>
      <c r="D10" s="1" t="n">
        <v>45229</v>
      </c>
      <c r="E10" s="1" t="n">
        <v>46319</v>
      </c>
      <c r="F10" t="inlineStr">
        <is>
          <t>DALARNAS LÄN</t>
        </is>
      </c>
      <c r="G10" t="inlineStr">
        <is>
          <t>BORLÄNGE</t>
        </is>
      </c>
      <c r="H10" t="inlineStr">
        <is>
          <t>Kommuner</t>
        </is>
      </c>
      <c r="I10" t="n">
        <v>3.5</v>
      </c>
      <c r="J10" t="n">
        <v>37</v>
      </c>
      <c r="K10" t="n">
        <v>0</v>
      </c>
      <c r="L10" t="n">
        <v>14</v>
      </c>
      <c r="M10" t="n">
        <v>4</v>
      </c>
      <c r="N10" t="n">
        <v>1</v>
      </c>
      <c r="O10" t="n">
        <v>0</v>
      </c>
      <c r="P10" t="n">
        <v>0</v>
      </c>
      <c r="Q10" t="n">
        <v>19</v>
      </c>
      <c r="R10" t="n">
        <v>5</v>
      </c>
      <c r="S10" t="n">
        <v>37</v>
      </c>
      <c r="T10" t="n">
        <v>41</v>
      </c>
      <c r="U10" t="n">
        <v>5</v>
      </c>
      <c r="V10" s="2" t="inlineStr">
        <is>
          <t>Sommargylling
Blå kärrhök
Grönfink
Stare
Tornseglare
Björktrast
Duvhök
Enkelbeckasin
Grönsångare
Göktyta
Järnsparv
Ladusvala
Mindre hackspett
Nötkråka
Rödvingetrast
Sparvuggla
Sädesärla
Talltita
Turkduva
Gråspett
Järpe
Mindre flugsnappare
Spillkråka
Tallbit
Tjäder
Buskskvätta
Gröngöling
Grönsiska
Havsörn
Kråka
Kungsfågel
Röd glada
Skogsduva
Svartvit flugsnappare
Sångsvan
Trana
Ärtsångare</t>
        </is>
      </c>
      <c r="W10">
        <f>HYPERLINK("https://klasma.github.io/Logging_2081/artfynd/A 53145-2023 artfynd.xlsx", "A 53145-2023")</f>
        <v/>
      </c>
      <c r="X10">
        <f>HYPERLINK("https://klasma.github.io/Logging_2081/kartor/A 53145-2023 karta.png", "A 53145-2023")</f>
        <v/>
      </c>
      <c r="Y10">
        <f>HYPERLINK("https://klasma.github.io/Logging_2081/kartor_geotiff/A 53145-2023 georefererad karta.tif", "A 53145-2023")</f>
        <v/>
      </c>
      <c r="AA10">
        <f>HYPERLINK("https://klasma.github.io/Logging_2081/klagomål/A 53145-2023 FSC-klagomål.docx", "A 53145-2023")</f>
        <v/>
      </c>
      <c r="AB10">
        <f>HYPERLINK("https://klasma.github.io/Logging_2081/klagomålsmail/A 53145-2023 FSC-klagomål mail.docx", "A 53145-2023")</f>
        <v/>
      </c>
      <c r="AC10">
        <f>HYPERLINK("https://klasma.github.io/Logging_2081/tillsyn/A 53145-2023 tillsynsbegäran.docx", "A 53145-2023")</f>
        <v/>
      </c>
      <c r="AD10">
        <f>HYPERLINK("https://klasma.github.io/Logging_2081/tillsynsmail/A 53145-2023 tillsynsbegäran mail.docx", "A 53145-2023")</f>
        <v/>
      </c>
      <c r="AE10">
        <f>HYPERLINK("https://klasma.github.io/Logging_2081/fåglar/A 53145-2023 prioriterade fågelarter.docx", "A 53145-2023")</f>
        <v/>
      </c>
    </row>
    <row r="11" ht="15" customHeight="1">
      <c r="A11" t="inlineStr">
        <is>
          <t>A 36755-2026</t>
        </is>
      </c>
      <c r="B11" t="inlineStr">
        <is>
          <t>avverkningsanmälan</t>
        </is>
      </c>
      <c r="C11" t="inlineStr">
        <is>
          <t>Föryngringsavverkning</t>
        </is>
      </c>
      <c r="D11" s="1" t="n">
        <v>46272</v>
      </c>
      <c r="E11" s="1" t="n">
        <v>46319</v>
      </c>
      <c r="F11" t="inlineStr">
        <is>
          <t>DALARNAS LÄN</t>
        </is>
      </c>
      <c r="G11" t="inlineStr">
        <is>
          <t>ÄLVDALEN</t>
        </is>
      </c>
      <c r="H11" t="inlineStr">
        <is>
          <t>Övriga statliga verk och myndigheter</t>
        </is>
      </c>
      <c r="I11" t="n">
        <v>10.5</v>
      </c>
      <c r="J11" t="n">
        <v>10</v>
      </c>
      <c r="K11" t="n">
        <v>5</v>
      </c>
      <c r="L11" t="n">
        <v>18</v>
      </c>
      <c r="M11" t="n">
        <v>3</v>
      </c>
      <c r="N11" t="n">
        <v>1</v>
      </c>
      <c r="O11" t="n">
        <v>0</v>
      </c>
      <c r="P11" t="n">
        <v>0</v>
      </c>
      <c r="Q11" t="n">
        <v>22</v>
      </c>
      <c r="R11" t="n">
        <v>4</v>
      </c>
      <c r="S11" t="n">
        <v>34</v>
      </c>
      <c r="T11" t="n">
        <v>107</v>
      </c>
      <c r="U11" t="n">
        <v>75</v>
      </c>
      <c r="V11" s="2" t="inlineStr">
        <is>
          <t>Urskogsporing
Garnlav
Knärot
Ulltickeporing
Blanksvart spiklav
Dropptaggsvamp
Dvärgbägarlav
Kolflarnlav
Kortskaftad ärgspik
Lunglav
Mörk kolflarnlav
Nordfladdermus
Skogshare
Stjärntagging
Talltaggsvamp
Tallticka
Talltita
Tretåig hackspett
Ullticka
Vedflamlav
Vedskivlav
Vedtrappmossa
Mindre märgborre
Skinnlav
Spindelblomster
Stuplav
Ögonpyrola
Brudborste
Kransmossa
Spillkråka
Tjäder
Tofsmes
Dvärgpipistrell
Revlummer</t>
        </is>
      </c>
      <c r="W11">
        <f>HYPERLINK("https://klasma.github.io/Logging_2039/artfynd/A 36755-2026 artfynd.xlsx", "A 36755-2026")</f>
        <v/>
      </c>
      <c r="X11">
        <f>HYPERLINK("https://klasma.github.io/Logging_2039/kartor/A 36755-2026 karta.png", "A 36755-2026")</f>
        <v/>
      </c>
      <c r="Y11">
        <f>HYPERLINK("https://klasma.github.io/Logging_2039/kartor_geotiff/A 36755-2026 georefererad karta.tif", "A 36755-2026")</f>
        <v/>
      </c>
      <c r="Z11">
        <f>HYPERLINK("https://klasma.github.io/Logging_2039/knärot/A 36755-2026 karta knärot.png", "A 36755-2026")</f>
        <v/>
      </c>
      <c r="AA11">
        <f>HYPERLINK("https://klasma.github.io/Logging_2039/klagomål/A 36755-2026 FSC-klagomål.docx", "A 36755-2026")</f>
        <v/>
      </c>
      <c r="AB11">
        <f>HYPERLINK("https://klasma.github.io/Logging_2039/klagomålsmail/A 36755-2026 FSC-klagomål mail.docx", "A 36755-2026")</f>
        <v/>
      </c>
      <c r="AC11">
        <f>HYPERLINK("https://klasma.github.io/Logging_2039/tillsyn/A 36755-2026 tillsynsbegäran.docx", "A 36755-2026")</f>
        <v/>
      </c>
      <c r="AD11">
        <f>HYPERLINK("https://klasma.github.io/Logging_2039/tillsynsmail/A 36755-2026 tillsynsbegäran mail.docx", "A 36755-2026")</f>
        <v/>
      </c>
      <c r="AE11">
        <f>HYPERLINK("https://klasma.github.io/Logging_2039/fåglar/A 36755-2026 prioriterade fågelarter.docx", "A 36755-2026")</f>
        <v/>
      </c>
    </row>
    <row r="12" ht="15" customHeight="1">
      <c r="A12" t="inlineStr">
        <is>
          <t>A 45776-2023</t>
        </is>
      </c>
      <c r="B12" t="inlineStr">
        <is>
          <t>avverkningsanmälan</t>
        </is>
      </c>
      <c r="C12" t="inlineStr">
        <is>
          <t>Föryngringsavverkning</t>
        </is>
      </c>
      <c r="D12" s="1" t="n">
        <v>45195</v>
      </c>
      <c r="E12" s="1" t="n">
        <v>46319</v>
      </c>
      <c r="F12" t="inlineStr">
        <is>
          <t>DALARNAS LÄN</t>
        </is>
      </c>
      <c r="G12" t="inlineStr">
        <is>
          <t>ORSA</t>
        </is>
      </c>
      <c r="H12" t="inlineStr">
        <is>
          <t>Kyrkan</t>
        </is>
      </c>
      <c r="I12" t="n">
        <v>10.7</v>
      </c>
      <c r="J12" t="n">
        <v>3</v>
      </c>
      <c r="K12" t="n">
        <v>7</v>
      </c>
      <c r="L12" t="n">
        <v>20</v>
      </c>
      <c r="M12" t="n">
        <v>5</v>
      </c>
      <c r="N12" t="n">
        <v>1</v>
      </c>
      <c r="O12" t="n">
        <v>0</v>
      </c>
      <c r="P12" t="n">
        <v>0</v>
      </c>
      <c r="Q12" t="n">
        <v>26</v>
      </c>
      <c r="R12" t="n">
        <v>6</v>
      </c>
      <c r="S12" t="n">
        <v>34</v>
      </c>
      <c r="T12" t="n">
        <v>123</v>
      </c>
      <c r="U12" t="n">
        <v>121</v>
      </c>
      <c r="V12" s="2" t="inlineStr">
        <is>
          <t>Sammetstaggsvamp
Garnlav
Knärot
Rotfingersvamp
Skrovlig taggsvamp
Ulltickeporing
Dropptaggsvamp
Mjölsvärting
Motaggsvamp
Mörk kolflarnlav
Nordtagging
Orange taggsvamp
Rosenticka
Rynkskinn
Skarp dropptaggsvamp
Svartvit taggsvamp
Tallfingersvamp
Talltagel
Tallticka
Talltita
Tretåig hackspett
Ullticka
Vaddporing
Vaxspindling
Vedskivlav
Violettgrå tagellav
Björksplintborre
Bronshjon
Gullgröppa
Mindre märgborre
Rävticka
Tibast
Vågbandad barkbock
Kärrfibbla</t>
        </is>
      </c>
      <c r="W12">
        <f>HYPERLINK("https://klasma.github.io/Logging_2034/artfynd/A 45776-2023 artfynd.xlsx", "A 45776-2023")</f>
        <v/>
      </c>
      <c r="X12">
        <f>HYPERLINK("https://klasma.github.io/Logging_2034/kartor/A 45776-2023 karta.png", "A 45776-2023")</f>
        <v/>
      </c>
      <c r="Y12">
        <f>HYPERLINK("https://klasma.github.io/Logging_2034/kartor_geotiff/A 45776-2023 georefererad karta.tif", "A 45776-2023")</f>
        <v/>
      </c>
      <c r="Z12">
        <f>HYPERLINK("https://klasma.github.io/Logging_2034/knärot/A 45776-2023 karta knärot.png", "A 45776-2023")</f>
        <v/>
      </c>
      <c r="AA12">
        <f>HYPERLINK("https://klasma.github.io/Logging_2034/klagomål/A 45776-2023 FSC-klagomål.docx", "A 45776-2023")</f>
        <v/>
      </c>
      <c r="AB12">
        <f>HYPERLINK("https://klasma.github.io/Logging_2034/klagomålsmail/A 45776-2023 FSC-klagomål mail.docx", "A 45776-2023")</f>
        <v/>
      </c>
      <c r="AC12">
        <f>HYPERLINK("https://klasma.github.io/Logging_2034/tillsyn/A 45776-2023 tillsynsbegäran.docx", "A 45776-2023")</f>
        <v/>
      </c>
      <c r="AD12">
        <f>HYPERLINK("https://klasma.github.io/Logging_2034/tillsynsmail/A 45776-2023 tillsynsbegäran mail.docx", "A 45776-2023")</f>
        <v/>
      </c>
      <c r="AE12">
        <f>HYPERLINK("https://klasma.github.io/Logging_2034/fåglar/A 45776-2023 prioriterade fågelarter.docx", "A 45776-2023")</f>
        <v/>
      </c>
    </row>
    <row r="13" ht="15" customHeight="1">
      <c r="A13" t="inlineStr">
        <is>
          <t>A 51820-2025</t>
        </is>
      </c>
      <c r="B13" t="inlineStr">
        <is>
          <t>avverkningsanmälan</t>
        </is>
      </c>
      <c r="C13" t="inlineStr">
        <is>
          <t>Föryngringsavverkning</t>
        </is>
      </c>
      <c r="D13" s="1" t="n">
        <v>45951</v>
      </c>
      <c r="E13" s="1" t="n">
        <v>46319</v>
      </c>
      <c r="F13" t="inlineStr">
        <is>
          <t>DALARNAS LÄN</t>
        </is>
      </c>
      <c r="G13" t="inlineStr">
        <is>
          <t>GAGNEF</t>
        </is>
      </c>
      <c r="I13" t="n">
        <v>17</v>
      </c>
      <c r="J13" t="n">
        <v>11</v>
      </c>
      <c r="K13" t="n">
        <v>10</v>
      </c>
      <c r="L13" t="n">
        <v>15</v>
      </c>
      <c r="M13" t="n">
        <v>4</v>
      </c>
      <c r="N13" t="n">
        <v>0</v>
      </c>
      <c r="O13" t="n">
        <v>0</v>
      </c>
      <c r="P13" t="n">
        <v>0</v>
      </c>
      <c r="Q13" t="n">
        <v>19</v>
      </c>
      <c r="R13" t="n">
        <v>4</v>
      </c>
      <c r="S13" t="n">
        <v>34</v>
      </c>
      <c r="T13" t="n">
        <v>150</v>
      </c>
      <c r="U13" t="n">
        <v>79</v>
      </c>
      <c r="V13" s="2" t="inlineStr">
        <is>
          <t>Blackticka
Garnlav
Knärot
Lappuggla
Doftskinn
Dropptaggsvamp
Kortskaftad ärgspik
Lunglav
Motaggsvamp
Rosenticka
Rynkskinn
Stjärntagging
Svart taggsvamp
Talltita
Tretåig hackspett
Ullticka
Vedtrappmossa
Violettgrå tagellav
Vitplätt
Brandticka
Bronshjon
Korallblylav
Korallrot
Mindre märgborre
Nästlav
Rävticka
Spindelblomster
Trådticka
Vedticka
Järpe
Spillkråka
Tjäder
Slaguggla
Fläcknycklar</t>
        </is>
      </c>
      <c r="W13">
        <f>HYPERLINK("https://klasma.github.io/Logging_2026/artfynd/A 51820-2025 artfynd.xlsx", "A 51820-2025")</f>
        <v/>
      </c>
      <c r="X13">
        <f>HYPERLINK("https://klasma.github.io/Logging_2026/kartor/A 51820-2025 karta.png", "A 51820-2025")</f>
        <v/>
      </c>
      <c r="Y13">
        <f>HYPERLINK("https://klasma.github.io/Logging_2026/kartor_geotiff/A 51820-2025 georefererad karta.tif", "A 51820-2025")</f>
        <v/>
      </c>
      <c r="Z13">
        <f>HYPERLINK("https://klasma.github.io/Logging_2026/knärot/A 51820-2025 karta knärot.png", "A 51820-2025")</f>
        <v/>
      </c>
      <c r="AA13">
        <f>HYPERLINK("https://klasma.github.io/Logging_2026/klagomål/A 51820-2025 FSC-klagomål.docx", "A 51820-2025")</f>
        <v/>
      </c>
      <c r="AB13">
        <f>HYPERLINK("https://klasma.github.io/Logging_2026/klagomålsmail/A 51820-2025 FSC-klagomål mail.docx", "A 51820-2025")</f>
        <v/>
      </c>
      <c r="AC13">
        <f>HYPERLINK("https://klasma.github.io/Logging_2026/tillsyn/A 51820-2025 tillsynsbegäran.docx", "A 51820-2025")</f>
        <v/>
      </c>
      <c r="AD13">
        <f>HYPERLINK("https://klasma.github.io/Logging_2026/tillsynsmail/A 51820-2025 tillsynsbegäran mail.docx", "A 51820-2025")</f>
        <v/>
      </c>
      <c r="AE13">
        <f>HYPERLINK("https://klasma.github.io/Logging_2026/fåglar/A 51820-2025 prioriterade fågelarter.docx", "A 51820-2025")</f>
        <v/>
      </c>
    </row>
    <row r="14" ht="15" customHeight="1">
      <c r="A14" t="inlineStr">
        <is>
          <t>A 6979-2026</t>
        </is>
      </c>
      <c r="B14" t="inlineStr">
        <is>
          <t>avverkningsanmälan</t>
        </is>
      </c>
      <c r="C14" t="inlineStr">
        <is>
          <t>Föryngringsavverkning</t>
        </is>
      </c>
      <c r="D14" s="1" t="n">
        <v>46057</v>
      </c>
      <c r="E14" s="1" t="n">
        <v>46319</v>
      </c>
      <c r="F14" t="inlineStr">
        <is>
          <t>DALARNAS LÄN</t>
        </is>
      </c>
      <c r="G14" t="inlineStr">
        <is>
          <t>MALUNG-SÄLEN</t>
        </is>
      </c>
      <c r="H14" t="inlineStr">
        <is>
          <t>Allmännings- och besparingsskogar</t>
        </is>
      </c>
      <c r="I14" t="n">
        <v>54.7</v>
      </c>
      <c r="J14" t="n">
        <v>5</v>
      </c>
      <c r="K14" t="n">
        <v>9</v>
      </c>
      <c r="L14" t="n">
        <v>19</v>
      </c>
      <c r="M14" t="n">
        <v>2</v>
      </c>
      <c r="N14" t="n">
        <v>1</v>
      </c>
      <c r="O14" t="n">
        <v>0</v>
      </c>
      <c r="P14" t="n">
        <v>0</v>
      </c>
      <c r="Q14" t="n">
        <v>22</v>
      </c>
      <c r="R14" t="n">
        <v>3</v>
      </c>
      <c r="S14" t="n">
        <v>34</v>
      </c>
      <c r="T14" t="n">
        <v>445</v>
      </c>
      <c r="U14" t="n">
        <v>425</v>
      </c>
      <c r="V14" s="2" t="inlineStr">
        <is>
          <t>Trådbrosklav
Garnlav
Honungsticka
Blanksvart spiklav
Brunpudrad nållav
Dvärgbägarlav
Gammelgransskål
Kolflarnlav
Kortskaftad ärgspik
Liten svartspik
Lunglav
Mörk kolflarnlav
Rödbrun blekspik
Skrovellav
Skuggblåslav
Talltita
Tretåig hackspett
Ullticka
Vedflamlav
Vedskivlav
Violettgrå tagellav
Vitgrynig nållav
Bronshjon
Bårdlav
Gulnål
Luddlav
Norrlandslav
Nästlav
Skinnlav
Vedticka
Vågbandad barkbock
Järpe
Spillkråka
Tjäder</t>
        </is>
      </c>
      <c r="W14">
        <f>HYPERLINK("https://klasma.github.io/Logging_2023/artfynd/A 6979-2026 artfynd.xlsx", "A 6979-2026")</f>
        <v/>
      </c>
      <c r="X14">
        <f>HYPERLINK("https://klasma.github.io/Logging_2023/kartor/A 6979-2026 karta.png", "A 6979-2026")</f>
        <v/>
      </c>
      <c r="Y14">
        <f>HYPERLINK("https://klasma.github.io/Logging_2023/kartor_geotiff/A 6979-2026 georefererad karta.tif", "A 6979-2026")</f>
        <v/>
      </c>
      <c r="AA14">
        <f>HYPERLINK("https://klasma.github.io/Logging_2023/klagomål/A 6979-2026 FSC-klagomål.docx", "A 6979-2026")</f>
        <v/>
      </c>
      <c r="AB14">
        <f>HYPERLINK("https://klasma.github.io/Logging_2023/klagomålsmail/A 6979-2026 FSC-klagomål mail.docx", "A 6979-2026")</f>
        <v/>
      </c>
      <c r="AC14">
        <f>HYPERLINK("https://klasma.github.io/Logging_2023/tillsyn/A 6979-2026 tillsynsbegäran.docx", "A 6979-2026")</f>
        <v/>
      </c>
      <c r="AD14">
        <f>HYPERLINK("https://klasma.github.io/Logging_2023/tillsynsmail/A 6979-2026 tillsynsbegäran mail.docx", "A 6979-2026")</f>
        <v/>
      </c>
      <c r="AE14">
        <f>HYPERLINK("https://klasma.github.io/Logging_2023/fåglar/A 6979-2026 prioriterade fågelarter.docx", "A 6979-2026")</f>
        <v/>
      </c>
    </row>
    <row r="15" ht="15" customHeight="1">
      <c r="A15" t="inlineStr">
        <is>
          <t>A 20531-2025</t>
        </is>
      </c>
      <c r="B15" t="inlineStr">
        <is>
          <t>avverkningsanmälan</t>
        </is>
      </c>
      <c r="C15" t="inlineStr">
        <is>
          <t>Föryngringsavverkning</t>
        </is>
      </c>
      <c r="D15" s="1" t="n">
        <v>45775</v>
      </c>
      <c r="E15" s="1" t="n">
        <v>46319</v>
      </c>
      <c r="F15" t="inlineStr">
        <is>
          <t>DALARNAS LÄN</t>
        </is>
      </c>
      <c r="G15" t="inlineStr">
        <is>
          <t>MORA</t>
        </is>
      </c>
      <c r="I15" t="n">
        <v>3</v>
      </c>
      <c r="J15" t="n">
        <v>11</v>
      </c>
      <c r="K15" t="n">
        <v>9</v>
      </c>
      <c r="L15" t="n">
        <v>11</v>
      </c>
      <c r="M15" t="n">
        <v>2</v>
      </c>
      <c r="N15" t="n">
        <v>0</v>
      </c>
      <c r="O15" t="n">
        <v>0</v>
      </c>
      <c r="P15" t="n">
        <v>0</v>
      </c>
      <c r="Q15" t="n">
        <v>13</v>
      </c>
      <c r="R15" t="n">
        <v>2</v>
      </c>
      <c r="S15" t="n">
        <v>33</v>
      </c>
      <c r="T15" t="n">
        <v>146</v>
      </c>
      <c r="U15" t="n">
        <v>146</v>
      </c>
      <c r="V15" s="2" t="inlineStr">
        <is>
          <t>Garnlav
Tornseglare
Gammelgransskål
Kolflarnlav
Mörk kolflarnlav
Tallriska
Talltagel
Talltita
Tretåig hackspett
Vedflamlav
Vedskivlav
Violettgrå tagellav
Vitgrynig nållav
Bronshjon
Luddlav
Mindre märgborre
Nästlav
Plattlummer
Rödgul trumpetsvamp
Svavelriska
Tibast
Vågbandad barkbock
Bergfink
Brudborste
Gråsiska
Kärrfibbla
Liljekonvalj
Ormbär
Spillkråka
Tjäder
Kungsfågel
Fläcknycklar
Revlummer</t>
        </is>
      </c>
      <c r="W15">
        <f>HYPERLINK("https://klasma.github.io/Logging_2062/artfynd/A 20531-2025 artfynd.xlsx", "A 20531-2025")</f>
        <v/>
      </c>
      <c r="X15">
        <f>HYPERLINK("https://klasma.github.io/Logging_2062/kartor/A 20531-2025 karta.png", "A 20531-2025")</f>
        <v/>
      </c>
      <c r="Y15">
        <f>HYPERLINK("https://klasma.github.io/Logging_2062/kartor_geotiff/A 20531-2025 georefererad karta.tif", "A 20531-2025")</f>
        <v/>
      </c>
      <c r="AA15">
        <f>HYPERLINK("https://klasma.github.io/Logging_2062/klagomål/A 20531-2025 FSC-klagomål.docx", "A 20531-2025")</f>
        <v/>
      </c>
      <c r="AB15">
        <f>HYPERLINK("https://klasma.github.io/Logging_2062/klagomålsmail/A 20531-2025 FSC-klagomål mail.docx", "A 20531-2025")</f>
        <v/>
      </c>
      <c r="AC15">
        <f>HYPERLINK("https://klasma.github.io/Logging_2062/tillsyn/A 20531-2025 tillsynsbegäran.docx", "A 20531-2025")</f>
        <v/>
      </c>
      <c r="AD15">
        <f>HYPERLINK("https://klasma.github.io/Logging_2062/tillsynsmail/A 20531-2025 tillsynsbegäran mail.docx", "A 20531-2025")</f>
        <v/>
      </c>
      <c r="AE15">
        <f>HYPERLINK("https://klasma.github.io/Logging_2062/fåglar/A 20531-2025 prioriterade fågelarter.docx", "A 20531-2025")</f>
        <v/>
      </c>
    </row>
    <row r="16" ht="15" customHeight="1">
      <c r="A16" t="inlineStr">
        <is>
          <t>A 4832-2026</t>
        </is>
      </c>
      <c r="B16" t="inlineStr">
        <is>
          <t>avverkningsanmälan</t>
        </is>
      </c>
      <c r="C16" t="inlineStr">
        <is>
          <t>Föryngringsavverkning</t>
        </is>
      </c>
      <c r="D16" s="1" t="n">
        <v>46048</v>
      </c>
      <c r="E16" s="1" t="n">
        <v>46319</v>
      </c>
      <c r="F16" t="inlineStr">
        <is>
          <t>DALARNAS LÄN</t>
        </is>
      </c>
      <c r="G16" t="inlineStr">
        <is>
          <t>ÄLVDALEN</t>
        </is>
      </c>
      <c r="H16" t="inlineStr">
        <is>
          <t>Allmännings- och besparingsskogar</t>
        </is>
      </c>
      <c r="I16" t="n">
        <v>36</v>
      </c>
      <c r="J16" t="n">
        <v>13</v>
      </c>
      <c r="K16" t="n">
        <v>5</v>
      </c>
      <c r="L16" t="n">
        <v>16</v>
      </c>
      <c r="M16" t="n">
        <v>3</v>
      </c>
      <c r="N16" t="n">
        <v>0</v>
      </c>
      <c r="O16" t="n">
        <v>0</v>
      </c>
      <c r="P16" t="n">
        <v>0</v>
      </c>
      <c r="Q16" t="n">
        <v>19</v>
      </c>
      <c r="R16" t="n">
        <v>3</v>
      </c>
      <c r="S16" t="n">
        <v>33</v>
      </c>
      <c r="T16" t="n">
        <v>338</v>
      </c>
      <c r="U16" t="n">
        <v>171</v>
      </c>
      <c r="V16" s="2" t="inlineStr">
        <is>
          <t>Fläckporing
Garnlav
Knärot
Blågrå svartspik
Dropptaggsvamp
Dvärgbägarlav
Kolflarnlav
Kådvaxskinn
Mörk kolflarnlav
Skogshare
Stjärntagging
Talltagel
Talltita
Tretåig hackspett
Varglav
Vedflamlav
Vedskivlav
Vedtrappmossa
Vitgrynig nållav
Mindre märgborre
Plattlummer
Spindelblomster
Stuplav
Ögonpyrola
Gråspett
Linnea
Spillkråka
Sälg
Tjäder
Kungsfågel
Svartvit flugsnappare
Fläcknycklar
Revlummer</t>
        </is>
      </c>
      <c r="W16">
        <f>HYPERLINK("https://klasma.github.io/Logging_2039/artfynd/A 4832-2026 artfynd.xlsx", "A 4832-2026")</f>
        <v/>
      </c>
      <c r="X16">
        <f>HYPERLINK("https://klasma.github.io/Logging_2039/kartor/A 4832-2026 karta.png", "A 4832-2026")</f>
        <v/>
      </c>
      <c r="Y16">
        <f>HYPERLINK("https://klasma.github.io/Logging_2039/kartor_geotiff/A 4832-2026 georefererad karta.tif", "A 4832-2026")</f>
        <v/>
      </c>
      <c r="Z16">
        <f>HYPERLINK("https://klasma.github.io/Logging_2039/knärot/A 4832-2026 karta knärot.png", "A 4832-2026")</f>
        <v/>
      </c>
      <c r="AA16">
        <f>HYPERLINK("https://klasma.github.io/Logging_2039/klagomål/A 4832-2026 FSC-klagomål.docx", "A 4832-2026")</f>
        <v/>
      </c>
      <c r="AB16">
        <f>HYPERLINK("https://klasma.github.io/Logging_2039/klagomålsmail/A 4832-2026 FSC-klagomål mail.docx", "A 4832-2026")</f>
        <v/>
      </c>
      <c r="AC16">
        <f>HYPERLINK("https://klasma.github.io/Logging_2039/tillsyn/A 4832-2026 tillsynsbegäran.docx", "A 4832-2026")</f>
        <v/>
      </c>
      <c r="AD16">
        <f>HYPERLINK("https://klasma.github.io/Logging_2039/tillsynsmail/A 4832-2026 tillsynsbegäran mail.docx", "A 4832-2026")</f>
        <v/>
      </c>
      <c r="AE16">
        <f>HYPERLINK("https://klasma.github.io/Logging_2039/fåglar/A 4832-2026 prioriterade fågelarter.docx", "A 4832-2026")</f>
        <v/>
      </c>
    </row>
    <row r="17" ht="15" customHeight="1">
      <c r="A17" t="inlineStr">
        <is>
          <t>A 40996-2023</t>
        </is>
      </c>
      <c r="B17" t="inlineStr">
        <is>
          <t>avverkningsanmälan</t>
        </is>
      </c>
      <c r="C17" t="inlineStr">
        <is>
          <t>Föryngringsavverkning</t>
        </is>
      </c>
      <c r="D17" s="1" t="n">
        <v>45173</v>
      </c>
      <c r="E17" s="1" t="n">
        <v>46319</v>
      </c>
      <c r="F17" t="inlineStr">
        <is>
          <t>DALARNAS LÄN</t>
        </is>
      </c>
      <c r="G17" t="inlineStr">
        <is>
          <t>ÄLVDALEN</t>
        </is>
      </c>
      <c r="H17" t="inlineStr">
        <is>
          <t>Bergvik skog väst AB</t>
        </is>
      </c>
      <c r="I17" t="n">
        <v>8</v>
      </c>
      <c r="J17" t="n">
        <v>20</v>
      </c>
      <c r="K17" t="n">
        <v>9</v>
      </c>
      <c r="L17" t="n">
        <v>8</v>
      </c>
      <c r="M17" t="n">
        <v>3</v>
      </c>
      <c r="N17" t="n">
        <v>0</v>
      </c>
      <c r="O17" t="n">
        <v>0</v>
      </c>
      <c r="P17" t="n">
        <v>0</v>
      </c>
      <c r="Q17" t="n">
        <v>11</v>
      </c>
      <c r="R17" t="n">
        <v>3</v>
      </c>
      <c r="S17" t="n">
        <v>33</v>
      </c>
      <c r="T17" t="n">
        <v>90</v>
      </c>
      <c r="U17" t="n">
        <v>90</v>
      </c>
      <c r="V17" s="2" t="inlineStr">
        <is>
          <t>Garnlav
Knärot
Lappuggla
Duvhök
Gammelgransskål
Gultoppig fingersvamp
Rödvingetrast
Skogshare
Sparvuggla
Talltita
Ullticka
Grönkulla
Korallrot
Mörk husmossa
Rödgul trumpetsvamp
Spindelblomster
Svavelriska
Trådticka
Vedticka
Ögonpyrola
Blåsippa
Brudborste
Gråspett
Järpe
Kärrfibbla
Spillkråka
Tjäder
Tofsmes
Kungsfågel
Vanlig groda
Fläcknycklar
Ängsnycklar
Revlummer</t>
        </is>
      </c>
      <c r="W17">
        <f>HYPERLINK("https://klasma.github.io/Logging_2039/artfynd/A 40996-2023 artfynd.xlsx", "A 40996-2023")</f>
        <v/>
      </c>
      <c r="X17">
        <f>HYPERLINK("https://klasma.github.io/Logging_2039/kartor/A 40996-2023 karta.png", "A 40996-2023")</f>
        <v/>
      </c>
      <c r="Y17">
        <f>HYPERLINK("https://klasma.github.io/Logging_2039/kartor_geotiff/A 40996-2023 georefererad karta.tif", "A 40996-2023")</f>
        <v/>
      </c>
      <c r="Z17">
        <f>HYPERLINK("https://klasma.github.io/Logging_2039/knärot/A 40996-2023 karta knärot.png", "A 40996-2023")</f>
        <v/>
      </c>
      <c r="AA17">
        <f>HYPERLINK("https://klasma.github.io/Logging_2039/klagomål/A 40996-2023 FSC-klagomål.docx", "A 40996-2023")</f>
        <v/>
      </c>
      <c r="AB17">
        <f>HYPERLINK("https://klasma.github.io/Logging_2039/klagomålsmail/A 40996-2023 FSC-klagomål mail.docx", "A 40996-2023")</f>
        <v/>
      </c>
      <c r="AC17">
        <f>HYPERLINK("https://klasma.github.io/Logging_2039/tillsyn/A 40996-2023 tillsynsbegäran.docx", "A 40996-2023")</f>
        <v/>
      </c>
      <c r="AD17">
        <f>HYPERLINK("https://klasma.github.io/Logging_2039/tillsynsmail/A 40996-2023 tillsynsbegäran mail.docx", "A 40996-2023")</f>
        <v/>
      </c>
      <c r="AE17">
        <f>HYPERLINK("https://klasma.github.io/Logging_2039/fåglar/A 40996-2023 prioriterade fågelarter.docx", "A 40996-2023")</f>
        <v/>
      </c>
    </row>
    <row r="18" ht="15" customHeight="1">
      <c r="A18" t="inlineStr">
        <is>
          <t>A 34765-2025</t>
        </is>
      </c>
      <c r="B18" t="inlineStr">
        <is>
          <t>avverkningsanmälan</t>
        </is>
      </c>
      <c r="C18" t="inlineStr">
        <is>
          <t>Föryngringsavverkning</t>
        </is>
      </c>
      <c r="D18" s="1" t="n">
        <v>45848</v>
      </c>
      <c r="E18" s="1" t="n">
        <v>46319</v>
      </c>
      <c r="F18" t="inlineStr">
        <is>
          <t>DALARNAS LÄN</t>
        </is>
      </c>
      <c r="G18" t="inlineStr">
        <is>
          <t>ÄLVDALEN</t>
        </is>
      </c>
      <c r="H18" t="inlineStr">
        <is>
          <t>Allmännings- och besparingsskogar</t>
        </is>
      </c>
      <c r="I18" t="n">
        <v>32.9</v>
      </c>
      <c r="J18" t="n">
        <v>9</v>
      </c>
      <c r="K18" t="n">
        <v>7</v>
      </c>
      <c r="L18" t="n">
        <v>16</v>
      </c>
      <c r="M18" t="n">
        <v>3</v>
      </c>
      <c r="N18" t="n">
        <v>0</v>
      </c>
      <c r="O18" t="n">
        <v>0</v>
      </c>
      <c r="P18" t="n">
        <v>0</v>
      </c>
      <c r="Q18" t="n">
        <v>19</v>
      </c>
      <c r="R18" t="n">
        <v>3</v>
      </c>
      <c r="S18" t="n">
        <v>32</v>
      </c>
      <c r="T18" t="n">
        <v>362</v>
      </c>
      <c r="U18" t="n">
        <v>362</v>
      </c>
      <c r="V18" s="2" t="inlineStr">
        <is>
          <t>Fläckporing
Garnlav
Spadskinn
Blanksvart spiklav
Blå taggsvamp
Dropptaggsvamp
Dvärgbägarlav
Kolflarnlav
Mörk kolflarnlav
Skarp dropptaggsvamp
Sotvaxskivling
Talltagel
Tallticka
Talltita
Tretåig hackspett
Ullticka
Vedflamlav
Vedskivlav
Violettgrå tagellav
Bronshjon
Gullgröppa
Mindre märgborre
Nästlav
Plattlummer
Rödgul trumpetsvamp
Svavelriska
Järpe
Spillkråka
Tjäder
Tofsmes
Fläcknycklar
Revlummer</t>
        </is>
      </c>
      <c r="W18">
        <f>HYPERLINK("https://klasma.github.io/Logging_2039/artfynd/A 34765-2025 artfynd.xlsx", "A 34765-2025")</f>
        <v/>
      </c>
      <c r="X18">
        <f>HYPERLINK("https://klasma.github.io/Logging_2039/kartor/A 34765-2025 karta.png", "A 34765-2025")</f>
        <v/>
      </c>
      <c r="Y18">
        <f>HYPERLINK("https://klasma.github.io/Logging_2039/kartor_geotiff/A 34765-2025 georefererad karta.tif", "A 34765-2025")</f>
        <v/>
      </c>
      <c r="AA18">
        <f>HYPERLINK("https://klasma.github.io/Logging_2039/klagomål/A 34765-2025 FSC-klagomål.docx", "A 34765-2025")</f>
        <v/>
      </c>
      <c r="AB18">
        <f>HYPERLINK("https://klasma.github.io/Logging_2039/klagomålsmail/A 34765-2025 FSC-klagomål mail.docx", "A 34765-2025")</f>
        <v/>
      </c>
      <c r="AC18">
        <f>HYPERLINK("https://klasma.github.io/Logging_2039/tillsyn/A 34765-2025 tillsynsbegäran.docx", "A 34765-2025")</f>
        <v/>
      </c>
      <c r="AD18">
        <f>HYPERLINK("https://klasma.github.io/Logging_2039/tillsynsmail/A 34765-2025 tillsynsbegäran mail.docx", "A 34765-2025")</f>
        <v/>
      </c>
      <c r="AE18">
        <f>HYPERLINK("https://klasma.github.io/Logging_2039/fåglar/A 34765-2025 prioriterade fågelarter.docx", "A 34765-2025")</f>
        <v/>
      </c>
    </row>
    <row r="19" ht="15" customHeight="1">
      <c r="A19" t="inlineStr">
        <is>
          <t>A 9154-2026</t>
        </is>
      </c>
      <c r="B19" t="inlineStr">
        <is>
          <t>avverkningsanmälan</t>
        </is>
      </c>
      <c r="C19" t="inlineStr">
        <is>
          <t>Föryngringsavverkning</t>
        </is>
      </c>
      <c r="D19" s="1" t="n">
        <v>46070</v>
      </c>
      <c r="E19" s="1" t="n">
        <v>46319</v>
      </c>
      <c r="F19" t="inlineStr">
        <is>
          <t>DALARNAS LÄN</t>
        </is>
      </c>
      <c r="G19" t="inlineStr">
        <is>
          <t>MALUNG-SÄLEN</t>
        </is>
      </c>
      <c r="I19" t="n">
        <v>6</v>
      </c>
      <c r="J19" t="n">
        <v>4</v>
      </c>
      <c r="K19" t="n">
        <v>6</v>
      </c>
      <c r="L19" t="n">
        <v>19</v>
      </c>
      <c r="M19" t="n">
        <v>4</v>
      </c>
      <c r="N19" t="n">
        <v>0</v>
      </c>
      <c r="O19" t="n">
        <v>0</v>
      </c>
      <c r="P19" t="n">
        <v>0</v>
      </c>
      <c r="Q19" t="n">
        <v>23</v>
      </c>
      <c r="R19" t="n">
        <v>4</v>
      </c>
      <c r="S19" t="n">
        <v>32</v>
      </c>
      <c r="T19" t="n">
        <v>200</v>
      </c>
      <c r="U19" t="n">
        <v>194</v>
      </c>
      <c r="V19" s="2" t="inlineStr">
        <is>
          <t>Citronporing
Garnlav
Gräddporing
Gränsticka
Blanksvart spiklav
Blågrå svartspik
Doftskinn
Dvärgbägarlav
Kolflarnlav
Kortskaftad ärgspik
Mörk kolflarnlav
Rynkskinn
Tallticka
Talltita
Tretåig hackspett
Ullticka
Vedflamlav
Vedskivlav
Vedtrappmossa
Violettgrå tagellav
Vitgrynig nållav
Vitplätt
Älg
Björksplintborre
Bronshjon
Mindre märgborre
Nästlav
Sotlav
Vedticka
Kransmossa
Spillkråka
Tjäder</t>
        </is>
      </c>
      <c r="W19">
        <f>HYPERLINK("https://klasma.github.io/Logging_2023/artfynd/A 9154-2026 artfynd.xlsx", "A 9154-2026")</f>
        <v/>
      </c>
      <c r="X19">
        <f>HYPERLINK("https://klasma.github.io/Logging_2023/kartor/A 9154-2026 karta.png", "A 9154-2026")</f>
        <v/>
      </c>
      <c r="Y19">
        <f>HYPERLINK("https://klasma.github.io/Logging_2023/kartor_geotiff/A 9154-2026 georefererad karta.tif", "A 9154-2026")</f>
        <v/>
      </c>
      <c r="AA19">
        <f>HYPERLINK("https://klasma.github.io/Logging_2023/klagomål/A 9154-2026 FSC-klagomål.docx", "A 9154-2026")</f>
        <v/>
      </c>
      <c r="AB19">
        <f>HYPERLINK("https://klasma.github.io/Logging_2023/klagomålsmail/A 9154-2026 FSC-klagomål mail.docx", "A 9154-2026")</f>
        <v/>
      </c>
      <c r="AC19">
        <f>HYPERLINK("https://klasma.github.io/Logging_2023/tillsyn/A 9154-2026 tillsynsbegäran.docx", "A 9154-2026")</f>
        <v/>
      </c>
      <c r="AD19">
        <f>HYPERLINK("https://klasma.github.io/Logging_2023/tillsynsmail/A 9154-2026 tillsynsbegäran mail.docx", "A 9154-2026")</f>
        <v/>
      </c>
      <c r="AE19">
        <f>HYPERLINK("https://klasma.github.io/Logging_2023/fåglar/A 9154-2026 prioriterade fågelarter.docx", "A 9154-2026")</f>
        <v/>
      </c>
    </row>
    <row r="20" ht="15" customHeight="1">
      <c r="A20" t="inlineStr">
        <is>
          <t>S 3190-2022</t>
        </is>
      </c>
      <c r="B20" t="inlineStr">
        <is>
          <t>samrådsanmälan</t>
        </is>
      </c>
      <c r="C20" t="inlineStr">
        <is>
          <t>Askåterföring</t>
        </is>
      </c>
      <c r="D20" s="1" t="n">
        <v>44722</v>
      </c>
      <c r="E20" s="1" t="n">
        <v>46319</v>
      </c>
      <c r="F20" t="inlineStr">
        <is>
          <t>DALARNAS LÄN</t>
        </is>
      </c>
      <c r="G20" t="inlineStr">
        <is>
          <t>MALUNG-SÄLEN</t>
        </is>
      </c>
      <c r="H20" t="inlineStr">
        <is>
          <t>Allmännings- och besparingsskogar</t>
        </is>
      </c>
      <c r="I20" t="n">
        <v>318.7</v>
      </c>
      <c r="J20" t="n">
        <v>5</v>
      </c>
      <c r="K20" t="n">
        <v>9</v>
      </c>
      <c r="L20" t="n">
        <v>17</v>
      </c>
      <c r="M20" t="n">
        <v>2</v>
      </c>
      <c r="N20" t="n">
        <v>1</v>
      </c>
      <c r="O20" t="n">
        <v>0</v>
      </c>
      <c r="P20" t="n">
        <v>0</v>
      </c>
      <c r="Q20" t="n">
        <v>20</v>
      </c>
      <c r="R20" t="n">
        <v>3</v>
      </c>
      <c r="S20" t="n">
        <v>32</v>
      </c>
      <c r="T20" t="n">
        <v>257</v>
      </c>
      <c r="U20" t="n">
        <v>234</v>
      </c>
      <c r="V20" s="2" t="inlineStr">
        <is>
          <t>Pärluggla
Garnlav
Honungsticka
Blanksvart spiklav
Brunpudrad nållav
Dvärgbägarlav
Gammelgransskål
Kolflarnlav
Kortskaftad ärgspik
Liten svartspik
Lunglav
Mörk kolflarnlav
Rödbrun blekspik
Skrovellav
Tretåig hackspett
Ullticka
Vedflamlav
Vedskivlav
Violettgrå tagellav
Vitgrynig nållav
Bronshjon
Bårdlav
Gulnål
Luddlav
Norrlandslav
Nästlav
Skinnlav
Vedticka
Vågbandad barkbock
Järpe
Spillkråka
Tjäder</t>
        </is>
      </c>
      <c r="W20">
        <f>HYPERLINK("https://klasma.github.io/Logging_2023/artfynd/S 3190-2022 artfynd.xlsx", "S 3190-2022")</f>
        <v/>
      </c>
      <c r="X20">
        <f>HYPERLINK("https://klasma.github.io/Logging_2023/kartor/S 3190-2022 karta.png", "S 3190-2022")</f>
        <v/>
      </c>
      <c r="Y20">
        <f>HYPERLINK("https://klasma.github.io/Logging_2023/kartor_geotiff/S 3190-2022 georefererad karta.tif", "S 3190-2022")</f>
        <v/>
      </c>
      <c r="AA20">
        <f>HYPERLINK("https://klasma.github.io/Logging_2023/klagomål/S 3190-2022 FSC-klagomål.docx", "S 3190-2022")</f>
        <v/>
      </c>
      <c r="AB20">
        <f>HYPERLINK("https://klasma.github.io/Logging_2023/klagomålsmail/S 3190-2022 FSC-klagomål mail.docx", "S 3190-2022")</f>
        <v/>
      </c>
      <c r="AC20">
        <f>HYPERLINK("https://klasma.github.io/Logging_2023/tillsyn/S 3190-2022 tillsynsbegäran.docx", "S 3190-2022")</f>
        <v/>
      </c>
      <c r="AD20">
        <f>HYPERLINK("https://klasma.github.io/Logging_2023/tillsynsmail/S 3190-2022 tillsynsbegäran mail.docx", "S 3190-2022")</f>
        <v/>
      </c>
      <c r="AE20">
        <f>HYPERLINK("https://klasma.github.io/Logging_2023/fåglar/S 3190-2022 prioriterade fågelarter.docx", "S 3190-2022")</f>
        <v/>
      </c>
    </row>
    <row r="21" ht="15" customHeight="1">
      <c r="A21" t="inlineStr">
        <is>
          <t>A 2729-2026</t>
        </is>
      </c>
      <c r="B21" t="inlineStr">
        <is>
          <t>avverkningsanmälan</t>
        </is>
      </c>
      <c r="C21" t="inlineStr">
        <is>
          <t>Föryngringsavverkning</t>
        </is>
      </c>
      <c r="D21" s="1" t="n">
        <v>46037</v>
      </c>
      <c r="E21" s="1" t="n">
        <v>46319</v>
      </c>
      <c r="F21" t="inlineStr">
        <is>
          <t>DALARNAS LÄN</t>
        </is>
      </c>
      <c r="G21" t="inlineStr">
        <is>
          <t>MORA</t>
        </is>
      </c>
      <c r="I21" t="n">
        <v>18.5</v>
      </c>
      <c r="J21" t="n">
        <v>7</v>
      </c>
      <c r="K21" t="n">
        <v>10</v>
      </c>
      <c r="L21" t="n">
        <v>11</v>
      </c>
      <c r="M21" t="n">
        <v>3</v>
      </c>
      <c r="N21" t="n">
        <v>2</v>
      </c>
      <c r="O21" t="n">
        <v>0</v>
      </c>
      <c r="P21" t="n">
        <v>0</v>
      </c>
      <c r="Q21" t="n">
        <v>16</v>
      </c>
      <c r="R21" t="n">
        <v>5</v>
      </c>
      <c r="S21" t="n">
        <v>31</v>
      </c>
      <c r="T21" t="n">
        <v>176</v>
      </c>
      <c r="U21" t="n">
        <v>176</v>
      </c>
      <c r="V21" s="2" t="inlineStr">
        <is>
          <t>Pärluggla
Tajgafiberskinn
Garnlav
Knärot
Nordlig parasitporing
Dvärgbägarlav
Kattfotslav
Kortskaftad ärgspik
Rosenticka
Rynkskinn
Stjärntagging
Tretåig hackspett
Ullticka
Vedflamlav
Vedskivlav
Vitgrynig nållav
Bronshjon
Korallblylav
Luddlav
Mindre märgborre
Nästlav
Stuplav
Thomsons trägnagare
Trådticka
Vedticka
Vågbandad barkbock
Spillkråka
Timmerticka
Tjäder
Kungsfågel
Revlummer</t>
        </is>
      </c>
      <c r="W21">
        <f>HYPERLINK("https://klasma.github.io/Logging_2062/artfynd/A 2729-2026 artfynd.xlsx", "A 2729-2026")</f>
        <v/>
      </c>
      <c r="X21">
        <f>HYPERLINK("https://klasma.github.io/Logging_2062/kartor/A 2729-2026 karta.png", "A 2729-2026")</f>
        <v/>
      </c>
      <c r="Y21">
        <f>HYPERLINK("https://klasma.github.io/Logging_2062/kartor_geotiff/A 2729-2026 georefererad karta.tif", "A 2729-2026")</f>
        <v/>
      </c>
      <c r="Z21">
        <f>HYPERLINK("https://klasma.github.io/Logging_2062/knärot/A 2729-2026 karta knärot.png", "A 2729-2026")</f>
        <v/>
      </c>
      <c r="AA21">
        <f>HYPERLINK("https://klasma.github.io/Logging_2062/klagomål/A 2729-2026 FSC-klagomål.docx", "A 2729-2026")</f>
        <v/>
      </c>
      <c r="AB21">
        <f>HYPERLINK("https://klasma.github.io/Logging_2062/klagomålsmail/A 2729-2026 FSC-klagomål mail.docx", "A 2729-2026")</f>
        <v/>
      </c>
      <c r="AC21">
        <f>HYPERLINK("https://klasma.github.io/Logging_2062/tillsyn/A 2729-2026 tillsynsbegäran.docx", "A 2729-2026")</f>
        <v/>
      </c>
      <c r="AD21">
        <f>HYPERLINK("https://klasma.github.io/Logging_2062/tillsynsmail/A 2729-2026 tillsynsbegäran mail.docx", "A 2729-2026")</f>
        <v/>
      </c>
      <c r="AE21">
        <f>HYPERLINK("https://klasma.github.io/Logging_2062/fåglar/A 2729-2026 prioriterade fågelarter.docx", "A 2729-2026")</f>
        <v/>
      </c>
    </row>
    <row r="22" ht="15" customHeight="1">
      <c r="A22" t="inlineStr">
        <is>
          <t>A 30017-2024</t>
        </is>
      </c>
      <c r="B22" t="inlineStr">
        <is>
          <t>avverkningsanmälan</t>
        </is>
      </c>
      <c r="C22" t="inlineStr">
        <is>
          <t>Föryngringsavverkning</t>
        </is>
      </c>
      <c r="D22" s="1" t="n">
        <v>45488</v>
      </c>
      <c r="E22" s="1" t="n">
        <v>46319</v>
      </c>
      <c r="F22" t="inlineStr">
        <is>
          <t>DALARNAS LÄN</t>
        </is>
      </c>
      <c r="G22" t="inlineStr">
        <is>
          <t>ORSA</t>
        </is>
      </c>
      <c r="H22" t="inlineStr">
        <is>
          <t>Allmännings- och besparingsskogar</t>
        </is>
      </c>
      <c r="I22" t="n">
        <v>17.7</v>
      </c>
      <c r="J22" t="n">
        <v>5</v>
      </c>
      <c r="K22" t="n">
        <v>3</v>
      </c>
      <c r="L22" t="n">
        <v>20</v>
      </c>
      <c r="M22" t="n">
        <v>6</v>
      </c>
      <c r="N22" t="n">
        <v>0</v>
      </c>
      <c r="O22" t="n">
        <v>0</v>
      </c>
      <c r="P22" t="n">
        <v>0</v>
      </c>
      <c r="Q22" t="n">
        <v>26</v>
      </c>
      <c r="R22" t="n">
        <v>6</v>
      </c>
      <c r="S22" t="n">
        <v>31</v>
      </c>
      <c r="T22" t="n">
        <v>377</v>
      </c>
      <c r="U22" t="n">
        <v>377</v>
      </c>
      <c r="V22" s="2" t="inlineStr">
        <is>
          <t>Garnlav
Gräddporing
Gränsticka
Skrovlig taggsvamp
Smalfotad taggsvamp
Tajgataggsvamp
Blanksvart spiklav
Blå taggsvamp
Dropptaggsvamp
Dvärgbägarlav
Kolflarnlav
Lunglav
Motaggsvamp
Mörk kolflarnlav
Orange taggsvamp
Skarp dropptaggsvamp
Stjärntagging
Tallriska
Talltagel
Talltita
Tretåig hackspett
Vaddporing
Vedflamlav
Vedskivlav
Violettgrå tagellav
Vitgrynig nållav
Luddlav
Plattlummer
Vågbandad barkbock
Järpe
Tjäder</t>
        </is>
      </c>
      <c r="W22">
        <f>HYPERLINK("https://klasma.github.io/Logging_2034/artfynd/A 30017-2024 artfynd.xlsx", "A 30017-2024")</f>
        <v/>
      </c>
      <c r="X22">
        <f>HYPERLINK("https://klasma.github.io/Logging_2034/kartor/A 30017-2024 karta.png", "A 30017-2024")</f>
        <v/>
      </c>
      <c r="Y22">
        <f>HYPERLINK("https://klasma.github.io/Logging_2034/kartor_geotiff/A 30017-2024 georefererad karta.tif", "A 30017-2024")</f>
        <v/>
      </c>
      <c r="AA22">
        <f>HYPERLINK("https://klasma.github.io/Logging_2034/klagomål/A 30017-2024 FSC-klagomål.docx", "A 30017-2024")</f>
        <v/>
      </c>
      <c r="AB22">
        <f>HYPERLINK("https://klasma.github.io/Logging_2034/klagomålsmail/A 30017-2024 FSC-klagomål mail.docx", "A 30017-2024")</f>
        <v/>
      </c>
      <c r="AC22">
        <f>HYPERLINK("https://klasma.github.io/Logging_2034/tillsyn/A 30017-2024 tillsynsbegäran.docx", "A 30017-2024")</f>
        <v/>
      </c>
      <c r="AD22">
        <f>HYPERLINK("https://klasma.github.io/Logging_2034/tillsynsmail/A 30017-2024 tillsynsbegäran mail.docx", "A 30017-2024")</f>
        <v/>
      </c>
      <c r="AE22">
        <f>HYPERLINK("https://klasma.github.io/Logging_2034/fåglar/A 30017-2024 prioriterade fågelarter.docx", "A 30017-2024")</f>
        <v/>
      </c>
    </row>
    <row r="23" ht="15" customHeight="1">
      <c r="A23" t="inlineStr">
        <is>
          <t>A 8191-2026</t>
        </is>
      </c>
      <c r="B23" t="inlineStr">
        <is>
          <t>avverkningsanmälan</t>
        </is>
      </c>
      <c r="C23" t="inlineStr">
        <is>
          <t>Föryngringsavverkning</t>
        </is>
      </c>
      <c r="D23" s="1" t="n">
        <v>46064</v>
      </c>
      <c r="E23" s="1" t="n">
        <v>46319</v>
      </c>
      <c r="F23" t="inlineStr">
        <is>
          <t>DALARNAS LÄN</t>
        </is>
      </c>
      <c r="G23" t="inlineStr">
        <is>
          <t>LEKSAND</t>
        </is>
      </c>
      <c r="I23" t="n">
        <v>4.4</v>
      </c>
      <c r="J23" t="n">
        <v>15</v>
      </c>
      <c r="K23" t="n">
        <v>7</v>
      </c>
      <c r="L23" t="n">
        <v>9</v>
      </c>
      <c r="M23" t="n">
        <v>3</v>
      </c>
      <c r="N23" t="n">
        <v>0</v>
      </c>
      <c r="O23" t="n">
        <v>0</v>
      </c>
      <c r="P23" t="n">
        <v>0</v>
      </c>
      <c r="Q23" t="n">
        <v>12</v>
      </c>
      <c r="R23" t="n">
        <v>3</v>
      </c>
      <c r="S23" t="n">
        <v>31</v>
      </c>
      <c r="T23" t="n">
        <v>121</v>
      </c>
      <c r="U23" t="n">
        <v>15</v>
      </c>
      <c r="V23" s="2" t="inlineStr">
        <is>
          <t>Garnlav
Gränsticka
Knärot
Hängticka
Rosenticka
Rynkskinn
Skogshare
Talltita
Tretåig hackspett
Ullticka
Violettgrå tagellav
Vårärt
Bronshjon
Korallrot
Spindelblomster
Thomsons trägnagare
Trådticka
Vedticka
Ögonpyrola
Blåsippa
Gråspett
Järpe
Liljekonvalj
Linnea
Spillkråka
Tjäder
Tofsmes
Kungsfågel
Vanlig groda
Fläcknycklar
Revlummer</t>
        </is>
      </c>
      <c r="W23">
        <f>HYPERLINK("https://klasma.github.io/Logging_2029/artfynd/A 8191-2026 artfynd.xlsx", "A 8191-2026")</f>
        <v/>
      </c>
      <c r="X23">
        <f>HYPERLINK("https://klasma.github.io/Logging_2029/kartor/A 8191-2026 karta.png", "A 8191-2026")</f>
        <v/>
      </c>
      <c r="Y23">
        <f>HYPERLINK("https://klasma.github.io/Logging_2029/kartor_geotiff/A 8191-2026 georefererad karta.tif", "A 8191-2026")</f>
        <v/>
      </c>
      <c r="Z23">
        <f>HYPERLINK("https://klasma.github.io/Logging_2029/knärot/A 8191-2026 karta knärot.png", "A 8191-2026")</f>
        <v/>
      </c>
      <c r="AA23">
        <f>HYPERLINK("https://klasma.github.io/Logging_2029/klagomål/A 8191-2026 FSC-klagomål.docx", "A 8191-2026")</f>
        <v/>
      </c>
      <c r="AB23">
        <f>HYPERLINK("https://klasma.github.io/Logging_2029/klagomålsmail/A 8191-2026 FSC-klagomål mail.docx", "A 8191-2026")</f>
        <v/>
      </c>
      <c r="AC23">
        <f>HYPERLINK("https://klasma.github.io/Logging_2029/tillsyn/A 8191-2026 tillsynsbegäran.docx", "A 8191-2026")</f>
        <v/>
      </c>
      <c r="AD23">
        <f>HYPERLINK("https://klasma.github.io/Logging_2029/tillsynsmail/A 8191-2026 tillsynsbegäran mail.docx", "A 8191-2026")</f>
        <v/>
      </c>
      <c r="AE23">
        <f>HYPERLINK("https://klasma.github.io/Logging_2029/fåglar/A 8191-2026 prioriterade fågelarter.docx", "A 8191-2026")</f>
        <v/>
      </c>
    </row>
    <row r="24" ht="15" customHeight="1">
      <c r="A24" t="inlineStr">
        <is>
          <t>S 777-2025</t>
        </is>
      </c>
      <c r="B24" t="inlineStr">
        <is>
          <t>samrådsanmälan</t>
        </is>
      </c>
      <c r="C24" t="inlineStr">
        <is>
          <t>Annan skogsbruksåtgärd</t>
        </is>
      </c>
      <c r="D24" s="1" t="n">
        <v>45728</v>
      </c>
      <c r="E24" s="1" t="n">
        <v>46319</v>
      </c>
      <c r="F24" t="inlineStr">
        <is>
          <t>DALARNAS LÄN</t>
        </is>
      </c>
      <c r="G24" t="inlineStr">
        <is>
          <t>RÄTTVIK</t>
        </is>
      </c>
      <c r="H24" t="inlineStr">
        <is>
          <t>Bergvik skog väst AB</t>
        </is>
      </c>
      <c r="I24" t="n">
        <v>25.1</v>
      </c>
      <c r="J24" t="n">
        <v>6</v>
      </c>
      <c r="K24" t="n">
        <v>6</v>
      </c>
      <c r="L24" t="n">
        <v>10</v>
      </c>
      <c r="M24" t="n">
        <v>10</v>
      </c>
      <c r="N24" t="n">
        <v>3</v>
      </c>
      <c r="O24" t="n">
        <v>0</v>
      </c>
      <c r="P24" t="n">
        <v>0</v>
      </c>
      <c r="Q24" t="n">
        <v>23</v>
      </c>
      <c r="R24" t="n">
        <v>13</v>
      </c>
      <c r="S24" t="n">
        <v>31</v>
      </c>
      <c r="T24" t="n">
        <v>181</v>
      </c>
      <c r="U24" t="n">
        <v>89</v>
      </c>
      <c r="V24" s="2" t="inlineStr">
        <is>
          <t>Bombmurkla
Mosippa
Ruttaggsvamp
Frygisk spindling
Gulporig ticka
Gyllenspindling
Knärot
Kopparspindling
Lakritsmusseron
Lammticka
Skrovlig taggsvamp
Torrmusseron
Tvillingspindling
Dropptaggsvamp
Gultoppig fingersvamp
Kronskål
Mjölsvärting
Orange taggsvamp
Svart taggsvamp
Tallfingersvamp
Tallkötticka
Talltagel
Talltaggsvamp
Grönpyrola
Gullgröppa
Korallrot
Plattlummer
Spetsvaxing
Strimspindling
Kattfot
Nattviol</t>
        </is>
      </c>
      <c r="W24">
        <f>HYPERLINK("https://klasma.github.io/Logging_2031/artfynd/S 777-2025 artfynd.xlsx", "S 777-2025")</f>
        <v/>
      </c>
      <c r="X24">
        <f>HYPERLINK("https://klasma.github.io/Logging_2031/kartor/S 777-2025 karta.png", "S 777-2025")</f>
        <v/>
      </c>
      <c r="Y24">
        <f>HYPERLINK("https://klasma.github.io/Logging_2031/kartor_geotiff/S 777-2025 georefererad karta.tif", "S 777-2025")</f>
        <v/>
      </c>
      <c r="Z24">
        <f>HYPERLINK("https://klasma.github.io/Logging_2031/knärot/S 777-2025 karta knärot.png", "S 777-2025")</f>
        <v/>
      </c>
      <c r="AA24">
        <f>HYPERLINK("https://klasma.github.io/Logging_2031/klagomål/S 777-2025 FSC-klagomål.docx", "S 777-2025")</f>
        <v/>
      </c>
      <c r="AB24">
        <f>HYPERLINK("https://klasma.github.io/Logging_2031/klagomålsmail/S 777-2025 FSC-klagomål mail.docx", "S 777-2025")</f>
        <v/>
      </c>
      <c r="AC24">
        <f>HYPERLINK("https://klasma.github.io/Logging_2031/tillsyn/S 777-2025 tillsynsbegäran.docx", "S 777-2025")</f>
        <v/>
      </c>
      <c r="AD24">
        <f>HYPERLINK("https://klasma.github.io/Logging_2031/tillsynsmail/S 777-2025 tillsynsbegäran mail.docx", "S 777-2025")</f>
        <v/>
      </c>
    </row>
    <row r="25" ht="15" customHeight="1">
      <c r="A25" t="inlineStr">
        <is>
          <t>A 7507-2025</t>
        </is>
      </c>
      <c r="B25" t="inlineStr">
        <is>
          <t>avverkningsanmälan</t>
        </is>
      </c>
      <c r="C25" t="inlineStr">
        <is>
          <t>Föryngringsavverkning</t>
        </is>
      </c>
      <c r="D25" s="1" t="n">
        <v>45705</v>
      </c>
      <c r="E25" s="1" t="n">
        <v>46319</v>
      </c>
      <c r="F25" t="inlineStr">
        <is>
          <t>DALARNAS LÄN</t>
        </is>
      </c>
      <c r="G25" t="inlineStr">
        <is>
          <t>ORSA</t>
        </is>
      </c>
      <c r="I25" t="n">
        <v>25.8</v>
      </c>
      <c r="J25" t="n">
        <v>10</v>
      </c>
      <c r="K25" t="n">
        <v>5</v>
      </c>
      <c r="L25" t="n">
        <v>16</v>
      </c>
      <c r="M25" t="n">
        <v>3</v>
      </c>
      <c r="N25" t="n">
        <v>0</v>
      </c>
      <c r="O25" t="n">
        <v>0</v>
      </c>
      <c r="P25" t="n">
        <v>0</v>
      </c>
      <c r="Q25" t="n">
        <v>19</v>
      </c>
      <c r="R25" t="n">
        <v>3</v>
      </c>
      <c r="S25" t="n">
        <v>30</v>
      </c>
      <c r="T25" t="n">
        <v>499</v>
      </c>
      <c r="U25" t="n">
        <v>499</v>
      </c>
      <c r="V25" s="2" t="inlineStr">
        <is>
          <t>Garnlav
Knärot
Ulltickeporing
Dropptaggsvamp
Dvärgbägarlav
Kolflarnlav
Kortskaftad ärgspik
Kötticka
Motaggsvamp
Mörk kolflarnlav
Rödvingetrast
Tallticka
Talltita
Tretåig hackspett
Ullticka
Vedskivlav
Violettgrå tagellav
Vitgrynig nållav
Älg
Mindre märgborre
Nästlav
Plattlummer
Stuplav
Vedticka
Kransmossa
Spillkråka
Tjäder
Kungsfågel
Fläcknycklar
Revlummer</t>
        </is>
      </c>
      <c r="W25">
        <f>HYPERLINK("https://klasma.github.io/Logging_2034/artfynd/A 7507-2025 artfynd.xlsx", "A 7507-2025")</f>
        <v/>
      </c>
      <c r="X25">
        <f>HYPERLINK("https://klasma.github.io/Logging_2034/kartor/A 7507-2025 karta.png", "A 7507-2025")</f>
        <v/>
      </c>
      <c r="Y25">
        <f>HYPERLINK("https://klasma.github.io/Logging_2034/kartor_geotiff/A 7507-2025 georefererad karta.tif", "A 7507-2025")</f>
        <v/>
      </c>
      <c r="Z25">
        <f>HYPERLINK("https://klasma.github.io/Logging_2034/knärot/A 7507-2025 karta knärot.png", "A 7507-2025")</f>
        <v/>
      </c>
      <c r="AA25">
        <f>HYPERLINK("https://klasma.github.io/Logging_2034/klagomål/A 7507-2025 FSC-klagomål.docx", "A 7507-2025")</f>
        <v/>
      </c>
      <c r="AB25">
        <f>HYPERLINK("https://klasma.github.io/Logging_2034/klagomålsmail/A 7507-2025 FSC-klagomål mail.docx", "A 7507-2025")</f>
        <v/>
      </c>
      <c r="AC25">
        <f>HYPERLINK("https://klasma.github.io/Logging_2034/tillsyn/A 7507-2025 tillsynsbegäran.docx", "A 7507-2025")</f>
        <v/>
      </c>
      <c r="AD25">
        <f>HYPERLINK("https://klasma.github.io/Logging_2034/tillsynsmail/A 7507-2025 tillsynsbegäran mail.docx", "A 7507-2025")</f>
        <v/>
      </c>
      <c r="AE25">
        <f>HYPERLINK("https://klasma.github.io/Logging_2034/fåglar/A 7507-2025 prioriterade fågelarter.docx", "A 7507-2025")</f>
        <v/>
      </c>
    </row>
    <row r="26" ht="15" customHeight="1">
      <c r="A26" t="inlineStr">
        <is>
          <t>A 36873-2026</t>
        </is>
      </c>
      <c r="B26" t="inlineStr">
        <is>
          <t>avverkningsanmälan</t>
        </is>
      </c>
      <c r="C26" t="inlineStr">
        <is>
          <t>Föryngringsavverkning</t>
        </is>
      </c>
      <c r="D26" s="1" t="n">
        <v>46272</v>
      </c>
      <c r="E26" s="1" t="n">
        <v>46319</v>
      </c>
      <c r="F26" t="inlineStr">
        <is>
          <t>DALARNAS LÄN</t>
        </is>
      </c>
      <c r="G26" t="inlineStr">
        <is>
          <t>ÄLVDALEN</t>
        </is>
      </c>
      <c r="H26" t="inlineStr">
        <is>
          <t>Sveaskog</t>
        </is>
      </c>
      <c r="I26" t="n">
        <v>14.2</v>
      </c>
      <c r="J26" t="n">
        <v>6</v>
      </c>
      <c r="K26" t="n">
        <v>1</v>
      </c>
      <c r="L26" t="n">
        <v>20</v>
      </c>
      <c r="M26" t="n">
        <v>6</v>
      </c>
      <c r="N26" t="n">
        <v>0</v>
      </c>
      <c r="O26" t="n">
        <v>0</v>
      </c>
      <c r="P26" t="n">
        <v>0</v>
      </c>
      <c r="Q26" t="n">
        <v>26</v>
      </c>
      <c r="R26" t="n">
        <v>6</v>
      </c>
      <c r="S26" t="n">
        <v>30</v>
      </c>
      <c r="T26" t="n">
        <v>139</v>
      </c>
      <c r="U26" t="n">
        <v>138</v>
      </c>
      <c r="V26" s="2" t="inlineStr">
        <is>
          <t>Fläckporing
Garnlav
Gräddporing
Smalfotad taggsvamp
Spadskinn
Tajgataggsvamp
Blanksvart spiklav
Blå taggsvamp
Blågrå svartspik
Dropptaggsvamp
Dvärgbägarlav
Kolflarnlav
Kortskaftad ärgspik
Motaggsvamp
Mörk kolflarnlav
Nordtagging
Skarp dropptaggsvamp
Svartvit taggsvamp
Talltagel
Talltita
Tretåig hackspett
Vaddporing
Varglav
Vedflamlav
Vedskivlav
Violettgrå tagellav
Plattlummer
Kransmossa
Spillkråka
Revlummer</t>
        </is>
      </c>
      <c r="W26">
        <f>HYPERLINK("https://klasma.github.io/Logging_2039/artfynd/A 36873-2026 artfynd.xlsx", "A 36873-2026")</f>
        <v/>
      </c>
      <c r="X26">
        <f>HYPERLINK("https://klasma.github.io/Logging_2039/kartor/A 36873-2026 karta.png", "A 36873-2026")</f>
        <v/>
      </c>
      <c r="Y26">
        <f>HYPERLINK("https://klasma.github.io/Logging_2039/kartor_geotiff/A 36873-2026 georefererad karta.tif", "A 36873-2026")</f>
        <v/>
      </c>
      <c r="AA26">
        <f>HYPERLINK("https://klasma.github.io/Logging_2039/klagomål/A 36873-2026 FSC-klagomål.docx", "A 36873-2026")</f>
        <v/>
      </c>
      <c r="AB26">
        <f>HYPERLINK("https://klasma.github.io/Logging_2039/klagomålsmail/A 36873-2026 FSC-klagomål mail.docx", "A 36873-2026")</f>
        <v/>
      </c>
      <c r="AC26">
        <f>HYPERLINK("https://klasma.github.io/Logging_2039/tillsyn/A 36873-2026 tillsynsbegäran.docx", "A 36873-2026")</f>
        <v/>
      </c>
      <c r="AD26">
        <f>HYPERLINK("https://klasma.github.io/Logging_2039/tillsynsmail/A 36873-2026 tillsynsbegäran mail.docx", "A 36873-2026")</f>
        <v/>
      </c>
      <c r="AE26">
        <f>HYPERLINK("https://klasma.github.io/Logging_2039/fåglar/A 36873-2026 prioriterade fågelarter.docx", "A 36873-2026")</f>
        <v/>
      </c>
    </row>
    <row r="27" ht="15" customHeight="1">
      <c r="A27" t="inlineStr">
        <is>
          <t>A 30678-2026</t>
        </is>
      </c>
      <c r="B27" t="inlineStr">
        <is>
          <t>avverkningsanmälan</t>
        </is>
      </c>
      <c r="C27" t="inlineStr">
        <is>
          <t>Föryngringsavverkning</t>
        </is>
      </c>
      <c r="D27" s="1" t="n">
        <v>46205</v>
      </c>
      <c r="E27" s="1" t="n">
        <v>46319</v>
      </c>
      <c r="F27" t="inlineStr">
        <is>
          <t>DALARNAS LÄN</t>
        </is>
      </c>
      <c r="G27" t="inlineStr">
        <is>
          <t>MALUNG-SÄLEN</t>
        </is>
      </c>
      <c r="H27" t="inlineStr">
        <is>
          <t>Allmännings- och besparingsskogar</t>
        </is>
      </c>
      <c r="I27" t="n">
        <v>42</v>
      </c>
      <c r="J27" t="n">
        <v>6</v>
      </c>
      <c r="K27" t="n">
        <v>8</v>
      </c>
      <c r="L27" t="n">
        <v>17</v>
      </c>
      <c r="M27" t="n">
        <v>2</v>
      </c>
      <c r="N27" t="n">
        <v>0</v>
      </c>
      <c r="O27" t="n">
        <v>0</v>
      </c>
      <c r="P27" t="n">
        <v>0</v>
      </c>
      <c r="Q27" t="n">
        <v>19</v>
      </c>
      <c r="R27" t="n">
        <v>2</v>
      </c>
      <c r="S27" t="n">
        <v>30</v>
      </c>
      <c r="T27" t="n">
        <v>170</v>
      </c>
      <c r="U27" t="n">
        <v>134</v>
      </c>
      <c r="V27" s="2" t="inlineStr">
        <is>
          <t>Garnlav
Knärot
Blanksvart spiklav
Blågrå svartspik
Brunpudrad nållav
Dvärgbägarlav
Kolflarnlav
Kortskaftad ärgspik
Mörk kolflarnlav
Talltagel
Tallticka
Talltita
Tretåig hackspett
Ullticka
Varglav
Vedskivlav
Vedtrappmossa
Violettgrå tagellav
Vitgrynig nållav
Bollvitmossa
Flagellkvastmossa
Gulnål
Källpraktmossa
Nästlav
Tibast
Vedticka
Vågbandad barkbock
Brudborste
Spillkråka
Tjäder</t>
        </is>
      </c>
      <c r="W27">
        <f>HYPERLINK("https://klasma.github.io/Logging_2023/artfynd/A 30678-2026 artfynd.xlsx", "A 30678-2026")</f>
        <v/>
      </c>
      <c r="X27">
        <f>HYPERLINK("https://klasma.github.io/Logging_2023/kartor/A 30678-2026 karta.png", "A 30678-2026")</f>
        <v/>
      </c>
      <c r="Y27">
        <f>HYPERLINK("https://klasma.github.io/Logging_2023/kartor_geotiff/A 30678-2026 georefererad karta.tif", "A 30678-2026")</f>
        <v/>
      </c>
      <c r="Z27">
        <f>HYPERLINK("https://klasma.github.io/Logging_2023/knärot/A 30678-2026 karta knärot.png", "A 30678-2026")</f>
        <v/>
      </c>
      <c r="AA27">
        <f>HYPERLINK("https://klasma.github.io/Logging_2023/klagomål/A 30678-2026 FSC-klagomål.docx", "A 30678-2026")</f>
        <v/>
      </c>
      <c r="AB27">
        <f>HYPERLINK("https://klasma.github.io/Logging_2023/klagomålsmail/A 30678-2026 FSC-klagomål mail.docx", "A 30678-2026")</f>
        <v/>
      </c>
      <c r="AC27">
        <f>HYPERLINK("https://klasma.github.io/Logging_2023/tillsyn/A 30678-2026 tillsynsbegäran.docx", "A 30678-2026")</f>
        <v/>
      </c>
      <c r="AD27">
        <f>HYPERLINK("https://klasma.github.io/Logging_2023/tillsynsmail/A 30678-2026 tillsynsbegäran mail.docx", "A 30678-2026")</f>
        <v/>
      </c>
      <c r="AE27">
        <f>HYPERLINK("https://klasma.github.io/Logging_2023/fåglar/A 30678-2026 prioriterade fågelarter.docx", "A 30678-2026")</f>
        <v/>
      </c>
    </row>
    <row r="28" ht="15" customHeight="1">
      <c r="A28" t="inlineStr">
        <is>
          <t>S 924-2023</t>
        </is>
      </c>
      <c r="B28" t="inlineStr">
        <is>
          <t>samrådsanmälan</t>
        </is>
      </c>
      <c r="C28" t="inlineStr">
        <is>
          <t>Askåterföring</t>
        </is>
      </c>
      <c r="D28" s="1" t="n">
        <v>44999</v>
      </c>
      <c r="E28" s="1" t="n">
        <v>46319</v>
      </c>
      <c r="F28" t="inlineStr">
        <is>
          <t>DALARNAS LÄN</t>
        </is>
      </c>
      <c r="G28" t="inlineStr">
        <is>
          <t>SMEDJEBACKEN</t>
        </is>
      </c>
      <c r="H28" t="inlineStr">
        <is>
          <t>Sveaskog</t>
        </is>
      </c>
      <c r="I28" t="n">
        <v>2440.6</v>
      </c>
      <c r="J28" t="n">
        <v>3</v>
      </c>
      <c r="K28" t="n">
        <v>5</v>
      </c>
      <c r="L28" t="n">
        <v>11</v>
      </c>
      <c r="M28" t="n">
        <v>9</v>
      </c>
      <c r="N28" t="n">
        <v>2</v>
      </c>
      <c r="O28" t="n">
        <v>0</v>
      </c>
      <c r="P28" t="n">
        <v>0</v>
      </c>
      <c r="Q28" t="n">
        <v>22</v>
      </c>
      <c r="R28" t="n">
        <v>11</v>
      </c>
      <c r="S28" t="n">
        <v>30</v>
      </c>
      <c r="T28" t="n">
        <v>49</v>
      </c>
      <c r="U28" t="n">
        <v>22</v>
      </c>
      <c r="V28" s="2" t="inlineStr">
        <is>
          <t>Bitter taggsvamp
Koppartaggsvamp
Allékantlav
Aspgelélav
Grangråticka
Gul taggsvamp
Gyllenspindling
Kopparspindling
Läderdoftande fingersvamp
Stor odörspindling
Ängsklint
Dofttaggsvamp
Dropptaggsvamp
Fjällig taggsvamp s.str.
Grantaggsvamp
Gultoppig fingersvamp
Kryddspindling
Mjölsvärting
Skarp dropptaggsvamp
Skogshare
Tjockfotad fingersvamp
Veckticka
Diskvaxskivling
Rävticka
Strimspindling
Svavelriska
Zontaggsvamp
Blåsippa
Tjäder
Fläcknycklar</t>
        </is>
      </c>
      <c r="W28">
        <f>HYPERLINK("https://klasma.github.io/Logging_2061/artfynd/S 924-2023 artfynd.xlsx", "S 924-2023")</f>
        <v/>
      </c>
      <c r="X28">
        <f>HYPERLINK("https://klasma.github.io/Logging_2061/kartor/S 924-2023 karta.png", "S 924-2023")</f>
        <v/>
      </c>
      <c r="Y28">
        <f>HYPERLINK("https://klasma.github.io/Logging_2061/kartor_geotiff/S 924-2023 georefererad karta.tif", "S 924-2023")</f>
        <v/>
      </c>
      <c r="AA28">
        <f>HYPERLINK("https://klasma.github.io/Logging_2061/klagomål/S 924-2023 FSC-klagomål.docx", "S 924-2023")</f>
        <v/>
      </c>
      <c r="AB28">
        <f>HYPERLINK("https://klasma.github.io/Logging_2061/klagomålsmail/S 924-2023 FSC-klagomål mail.docx", "S 924-2023")</f>
        <v/>
      </c>
      <c r="AC28">
        <f>HYPERLINK("https://klasma.github.io/Logging_2061/tillsyn/S 924-2023 tillsynsbegäran.docx", "S 924-2023")</f>
        <v/>
      </c>
      <c r="AD28">
        <f>HYPERLINK("https://klasma.github.io/Logging_2061/tillsynsmail/S 924-2023 tillsynsbegäran mail.docx", "S 924-2023")</f>
        <v/>
      </c>
      <c r="AE28">
        <f>HYPERLINK("https://klasma.github.io/Logging_2061/fåglar/S 924-2023 prioriterade fågelarter.docx", "S 924-2023")</f>
        <v/>
      </c>
    </row>
    <row r="29" ht="15" customHeight="1">
      <c r="A29" t="inlineStr">
        <is>
          <t>A 63547-2025</t>
        </is>
      </c>
      <c r="B29" t="inlineStr">
        <is>
          <t>avverkningsanmälan</t>
        </is>
      </c>
      <c r="C29" t="inlineStr">
        <is>
          <t>Föryngringsavverkning</t>
        </is>
      </c>
      <c r="D29" s="1" t="n">
        <v>46013</v>
      </c>
      <c r="E29" s="1" t="n">
        <v>46319</v>
      </c>
      <c r="F29" t="inlineStr">
        <is>
          <t>DALARNAS LÄN</t>
        </is>
      </c>
      <c r="G29" t="inlineStr">
        <is>
          <t>LEKSAND</t>
        </is>
      </c>
      <c r="I29" t="n">
        <v>5.9</v>
      </c>
      <c r="J29" t="n">
        <v>11</v>
      </c>
      <c r="K29" t="n">
        <v>7</v>
      </c>
      <c r="L29" t="n">
        <v>8</v>
      </c>
      <c r="M29" t="n">
        <v>2</v>
      </c>
      <c r="N29" t="n">
        <v>0</v>
      </c>
      <c r="O29" t="n">
        <v>0</v>
      </c>
      <c r="P29" t="n">
        <v>0</v>
      </c>
      <c r="Q29" t="n">
        <v>10</v>
      </c>
      <c r="R29" t="n">
        <v>2</v>
      </c>
      <c r="S29" t="n">
        <v>29</v>
      </c>
      <c r="T29" t="n">
        <v>157</v>
      </c>
      <c r="U29" t="n">
        <v>24</v>
      </c>
      <c r="V29" s="2" t="inlineStr">
        <is>
          <t>Knärot
Spadskinn
Doftskinn
Dofttaggsvamp
Dropptaggsvamp
Motaggsvamp
Nordtagging
Orange taggsvamp
Talltita
Tretåig hackspett
Bronshjon
Gullgröppa
Mindre märgborre
Nästlav
Rödgul trumpetsvamp
Svavelriska
Vedticka
Gråspett
Kransmossa
Kärrviol
Linnea
Spillkråka
Sälg
Tjäder
Tofsmes
Kungsfågel
Vanlig groda
Fläcknycklar
Revlummer</t>
        </is>
      </c>
      <c r="W29">
        <f>HYPERLINK("https://klasma.github.io/Logging_2029/artfynd/A 63547-2025 artfynd.xlsx", "A 63547-2025")</f>
        <v/>
      </c>
      <c r="X29">
        <f>HYPERLINK("https://klasma.github.io/Logging_2029/kartor/A 63547-2025 karta.png", "A 63547-2025")</f>
        <v/>
      </c>
      <c r="Y29">
        <f>HYPERLINK("https://klasma.github.io/Logging_2029/kartor_geotiff/A 63547-2025 georefererad karta.tif", "A 63547-2025")</f>
        <v/>
      </c>
      <c r="Z29">
        <f>HYPERLINK("https://klasma.github.io/Logging_2029/knärot/A 63547-2025 karta knärot.png", "A 63547-2025")</f>
        <v/>
      </c>
      <c r="AA29">
        <f>HYPERLINK("https://klasma.github.io/Logging_2029/klagomål/A 63547-2025 FSC-klagomål.docx", "A 63547-2025")</f>
        <v/>
      </c>
      <c r="AB29">
        <f>HYPERLINK("https://klasma.github.io/Logging_2029/klagomålsmail/A 63547-2025 FSC-klagomål mail.docx", "A 63547-2025")</f>
        <v/>
      </c>
      <c r="AC29">
        <f>HYPERLINK("https://klasma.github.io/Logging_2029/tillsyn/A 63547-2025 tillsynsbegäran.docx", "A 63547-2025")</f>
        <v/>
      </c>
      <c r="AD29">
        <f>HYPERLINK("https://klasma.github.io/Logging_2029/tillsynsmail/A 63547-2025 tillsynsbegäran mail.docx", "A 63547-2025")</f>
        <v/>
      </c>
      <c r="AE29">
        <f>HYPERLINK("https://klasma.github.io/Logging_2029/fåglar/A 63547-2025 prioriterade fågelarter.docx", "A 63547-2025")</f>
        <v/>
      </c>
    </row>
    <row r="30" ht="15" customHeight="1">
      <c r="A30" t="inlineStr">
        <is>
          <t>A 1135-2023</t>
        </is>
      </c>
      <c r="B30" t="inlineStr">
        <is>
          <t>avverkningsanmälan</t>
        </is>
      </c>
      <c r="C30" t="inlineStr">
        <is>
          <t>Föryngringsavverkning</t>
        </is>
      </c>
      <c r="D30" s="1" t="n">
        <v>44935</v>
      </c>
      <c r="E30" s="1" t="n">
        <v>46319</v>
      </c>
      <c r="F30" t="inlineStr">
        <is>
          <t>DALARNAS LÄN</t>
        </is>
      </c>
      <c r="G30" t="inlineStr">
        <is>
          <t>ORSA</t>
        </is>
      </c>
      <c r="I30" t="n">
        <v>3.1</v>
      </c>
      <c r="J30" t="n">
        <v>7</v>
      </c>
      <c r="K30" t="n">
        <v>6</v>
      </c>
      <c r="L30" t="n">
        <v>11</v>
      </c>
      <c r="M30" t="n">
        <v>8</v>
      </c>
      <c r="N30" t="n">
        <v>1</v>
      </c>
      <c r="O30" t="n">
        <v>0</v>
      </c>
      <c r="P30" t="n">
        <v>0</v>
      </c>
      <c r="Q30" t="n">
        <v>20</v>
      </c>
      <c r="R30" t="n">
        <v>9</v>
      </c>
      <c r="S30" t="n">
        <v>29</v>
      </c>
      <c r="T30" t="n">
        <v>57</v>
      </c>
      <c r="U30" t="n">
        <v>51</v>
      </c>
      <c r="V30" s="2" t="inlineStr">
        <is>
          <t>Bombmurkla
Borsttagging
Garnlav
Gräddticka
Knärot
Lammticka
Ramaria neoformosa
Skrovlig taggsvamp
Smalfotad taggsvamp
Dropptaggsvamp
Grönhjon
Motaggsvamp
Orange taggsvamp
Svartvit taggsvamp
Tallfingersvamp
Tallriska
Tallticka
Tretåig hackspett
Vaddporing
Vitfläckig guldvinge
Barkkornlav
Bronshjon
Gullgröppa
Mindre märgborre
Plattlummer
Vedticka
Blåsippa
Spillkråka
Utter</t>
        </is>
      </c>
      <c r="W30">
        <f>HYPERLINK("https://klasma.github.io/Logging_2034/artfynd/A 1135-2023 artfynd.xlsx", "A 1135-2023")</f>
        <v/>
      </c>
      <c r="X30">
        <f>HYPERLINK("https://klasma.github.io/Logging_2034/kartor/A 1135-2023 karta.png", "A 1135-2023")</f>
        <v/>
      </c>
      <c r="Y30">
        <f>HYPERLINK("https://klasma.github.io/Logging_2034/kartor_geotiff/A 1135-2023 georefererad karta.tif", "A 1135-2023")</f>
        <v/>
      </c>
      <c r="Z30">
        <f>HYPERLINK("https://klasma.github.io/Logging_2034/knärot/A 1135-2023 karta knärot.png", "A 1135-2023")</f>
        <v/>
      </c>
      <c r="AA30">
        <f>HYPERLINK("https://klasma.github.io/Logging_2034/klagomål/A 1135-2023 FSC-klagomål.docx", "A 1135-2023")</f>
        <v/>
      </c>
      <c r="AB30">
        <f>HYPERLINK("https://klasma.github.io/Logging_2034/klagomålsmail/A 1135-2023 FSC-klagomål mail.docx", "A 1135-2023")</f>
        <v/>
      </c>
      <c r="AC30">
        <f>HYPERLINK("https://klasma.github.io/Logging_2034/tillsyn/A 1135-2023 tillsynsbegäran.docx", "A 1135-2023")</f>
        <v/>
      </c>
      <c r="AD30">
        <f>HYPERLINK("https://klasma.github.io/Logging_2034/tillsynsmail/A 1135-2023 tillsynsbegäran mail.docx", "A 1135-2023")</f>
        <v/>
      </c>
      <c r="AE30">
        <f>HYPERLINK("https://klasma.github.io/Logging_2034/fåglar/A 1135-2023 prioriterade fågelarter.docx", "A 1135-2023")</f>
        <v/>
      </c>
    </row>
    <row r="31" ht="15" customHeight="1">
      <c r="A31" t="inlineStr">
        <is>
          <t>A 39058-2026</t>
        </is>
      </c>
      <c r="B31" t="inlineStr">
        <is>
          <t>avverkningsanmälan</t>
        </is>
      </c>
      <c r="C31" t="inlineStr">
        <is>
          <t>Avverkning för att bevara och utveckla /försöksver</t>
        </is>
      </c>
      <c r="D31" s="1" t="n">
        <v>46287</v>
      </c>
      <c r="E31" s="1" t="n">
        <v>46319</v>
      </c>
      <c r="F31" t="inlineStr">
        <is>
          <t>DALARNAS LÄN</t>
        </is>
      </c>
      <c r="G31" t="inlineStr">
        <is>
          <t>ÄLVDALEN</t>
        </is>
      </c>
      <c r="H31" t="inlineStr">
        <is>
          <t>Sveaskog</t>
        </is>
      </c>
      <c r="I31" t="n">
        <v>22.8</v>
      </c>
      <c r="J31" t="n">
        <v>6</v>
      </c>
      <c r="K31" t="n">
        <v>4</v>
      </c>
      <c r="L31" t="n">
        <v>18</v>
      </c>
      <c r="M31" t="n">
        <v>4</v>
      </c>
      <c r="N31" t="n">
        <v>0</v>
      </c>
      <c r="O31" t="n">
        <v>0</v>
      </c>
      <c r="P31" t="n">
        <v>0</v>
      </c>
      <c r="Q31" t="n">
        <v>22</v>
      </c>
      <c r="R31" t="n">
        <v>4</v>
      </c>
      <c r="S31" t="n">
        <v>29</v>
      </c>
      <c r="T31" t="n">
        <v>180</v>
      </c>
      <c r="U31" t="n">
        <v>168</v>
      </c>
      <c r="V31" s="2" t="inlineStr">
        <is>
          <t>Gräddporing
Lecidea subhumida
Smalfotad taggsvamp
Tajgataggsvamp
Blanksvart spiklav
Blågrå svartspik
Dropptaggsvamp
Dvärgbägarlav
Kolflarnlav
Lavskrika
Mjölsvärting
Mörk kolflarnlav
Skarp dropptaggsvamp
Svartvit taggsvamp
Tallriska
Talltaggsvamp
Talltita
Vaddporing
Varglav
Vedflamlav
Vedskivlav
Vitplätt
Luddlav
Nästlav
Plattlummer
Vedticka
Spillkråka
Sälg
Tjäder</t>
        </is>
      </c>
      <c r="W31">
        <f>HYPERLINK("https://klasma.github.io/Logging_2039/artfynd/A 39058-2026 artfynd.xlsx", "A 39058-2026")</f>
        <v/>
      </c>
      <c r="X31">
        <f>HYPERLINK("https://klasma.github.io/Logging_2039/kartor/A 39058-2026 karta.png", "A 39058-2026")</f>
        <v/>
      </c>
      <c r="Y31">
        <f>HYPERLINK("https://klasma.github.io/Logging_2039/kartor_geotiff/A 39058-2026 georefererad karta.tif", "A 39058-2026")</f>
        <v/>
      </c>
      <c r="AA31">
        <f>HYPERLINK("https://klasma.github.io/Logging_2039/klagomål/A 39058-2026 FSC-klagomål.docx", "A 39058-2026")</f>
        <v/>
      </c>
      <c r="AB31">
        <f>HYPERLINK("https://klasma.github.io/Logging_2039/klagomålsmail/A 39058-2026 FSC-klagomål mail.docx", "A 39058-2026")</f>
        <v/>
      </c>
      <c r="AC31">
        <f>HYPERLINK("https://klasma.github.io/Logging_2039/tillsyn/A 39058-2026 tillsynsbegäran.docx", "A 39058-2026")</f>
        <v/>
      </c>
      <c r="AD31">
        <f>HYPERLINK("https://klasma.github.io/Logging_2039/tillsynsmail/A 39058-2026 tillsynsbegäran mail.docx", "A 39058-2026")</f>
        <v/>
      </c>
      <c r="AE31">
        <f>HYPERLINK("https://klasma.github.io/Logging_2039/fåglar/A 39058-2026 prioriterade fågelarter.docx", "A 39058-2026")</f>
        <v/>
      </c>
    </row>
    <row r="32" ht="15" customHeight="1">
      <c r="A32" t="inlineStr">
        <is>
          <t>A 41948-2026</t>
        </is>
      </c>
      <c r="B32" t="inlineStr">
        <is>
          <t>avverkningsanmälan</t>
        </is>
      </c>
      <c r="C32" t="inlineStr">
        <is>
          <t>Föryngringsavverkning</t>
        </is>
      </c>
      <c r="D32" s="1" t="n">
        <v>46303</v>
      </c>
      <c r="E32" s="1" t="n">
        <v>46319</v>
      </c>
      <c r="F32" t="inlineStr">
        <is>
          <t>DALARNAS LÄN</t>
        </is>
      </c>
      <c r="G32" t="inlineStr">
        <is>
          <t>MORA</t>
        </is>
      </c>
      <c r="I32" t="n">
        <v>21.2</v>
      </c>
      <c r="J32" t="n">
        <v>8</v>
      </c>
      <c r="K32" t="n">
        <v>6</v>
      </c>
      <c r="L32" t="n">
        <v>12</v>
      </c>
      <c r="M32" t="n">
        <v>5</v>
      </c>
      <c r="N32" t="n">
        <v>0</v>
      </c>
      <c r="O32" t="n">
        <v>0</v>
      </c>
      <c r="P32" t="n">
        <v>0</v>
      </c>
      <c r="Q32" t="n">
        <v>17</v>
      </c>
      <c r="R32" t="n">
        <v>5</v>
      </c>
      <c r="S32" t="n">
        <v>29</v>
      </c>
      <c r="T32" t="n">
        <v>171</v>
      </c>
      <c r="U32" t="n">
        <v>165</v>
      </c>
      <c r="V32" s="2" t="inlineStr">
        <is>
          <t>Citronporing
Garnlav
Gräddporing
Knärot
Spadskinn
Doftskinn
Kolflarnlav
Kortskaftad ärgspik
Lunglav
Rosenticka
Rynkskinn
Stjärntagging
Talltita
Tretåig hackspett
Ullticka
Vedskivlav
Violettgrå tagellav
Bronshjon
Bårdlav
Korallblylav
Mindre märgborre
Thomsons trägnagare
Vedticka
Blåsippa
Kransmossa
Mattlummer
Spillkråka
Tjäder
Revlummer</t>
        </is>
      </c>
      <c r="W32">
        <f>HYPERLINK("https://klasma.github.io/Logging_2062/artfynd/A 41948-2026 artfynd.xlsx", "A 41948-2026")</f>
        <v/>
      </c>
      <c r="X32">
        <f>HYPERLINK("https://klasma.github.io/Logging_2062/kartor/A 41948-2026 karta.png", "A 41948-2026")</f>
        <v/>
      </c>
      <c r="Y32">
        <f>HYPERLINK("https://klasma.github.io/Logging_2062/kartor_geotiff/A 41948-2026 georefererad karta.tif", "A 41948-2026")</f>
        <v/>
      </c>
      <c r="Z32">
        <f>HYPERLINK("https://klasma.github.io/Logging_2062/knärot/A 41948-2026 karta knärot.png", "A 41948-2026")</f>
        <v/>
      </c>
      <c r="AA32">
        <f>HYPERLINK("https://klasma.github.io/Logging_2062/klagomål/A 41948-2026 FSC-klagomål.docx", "A 41948-2026")</f>
        <v/>
      </c>
      <c r="AB32">
        <f>HYPERLINK("https://klasma.github.io/Logging_2062/klagomålsmail/A 41948-2026 FSC-klagomål mail.docx", "A 41948-2026")</f>
        <v/>
      </c>
      <c r="AC32">
        <f>HYPERLINK("https://klasma.github.io/Logging_2062/tillsyn/A 41948-2026 tillsynsbegäran.docx", "A 41948-2026")</f>
        <v/>
      </c>
      <c r="AD32">
        <f>HYPERLINK("https://klasma.github.io/Logging_2062/tillsynsmail/A 41948-2026 tillsynsbegäran mail.docx", "A 41948-2026")</f>
        <v/>
      </c>
      <c r="AE32">
        <f>HYPERLINK("https://klasma.github.io/Logging_2062/fåglar/A 41948-2026 prioriterade fågelarter.docx", "A 41948-2026")</f>
        <v/>
      </c>
    </row>
    <row r="33" ht="15" customHeight="1">
      <c r="A33" t="inlineStr">
        <is>
          <t>A 21683-2026</t>
        </is>
      </c>
      <c r="B33" t="inlineStr">
        <is>
          <t>avverkningsanmälan</t>
        </is>
      </c>
      <c r="C33" t="inlineStr">
        <is>
          <t>Föryngringsavverkning</t>
        </is>
      </c>
      <c r="D33" s="1" t="n">
        <v>46149</v>
      </c>
      <c r="E33" s="1" t="n">
        <v>46319</v>
      </c>
      <c r="F33" t="inlineStr">
        <is>
          <t>DALARNAS LÄN</t>
        </is>
      </c>
      <c r="G33" t="inlineStr">
        <is>
          <t>MALUNG-SÄLEN</t>
        </is>
      </c>
      <c r="H33" t="inlineStr">
        <is>
          <t>Allmännings- och besparingsskogar</t>
        </is>
      </c>
      <c r="I33" t="n">
        <v>61.2</v>
      </c>
      <c r="J33" t="n">
        <v>2</v>
      </c>
      <c r="K33" t="n">
        <v>7</v>
      </c>
      <c r="L33" t="n">
        <v>17</v>
      </c>
      <c r="M33" t="n">
        <v>5</v>
      </c>
      <c r="N33" t="n">
        <v>0</v>
      </c>
      <c r="O33" t="n">
        <v>0</v>
      </c>
      <c r="P33" t="n">
        <v>0</v>
      </c>
      <c r="Q33" t="n">
        <v>22</v>
      </c>
      <c r="R33" t="n">
        <v>5</v>
      </c>
      <c r="S33" t="n">
        <v>29</v>
      </c>
      <c r="T33" t="n">
        <v>278</v>
      </c>
      <c r="U33" t="n">
        <v>277</v>
      </c>
      <c r="V33" s="2" t="inlineStr">
        <is>
          <t>Citronporing
Garnlav
Gräddporing
Gränsticka
Norsk näverlav
Blanksvart spiklav
Blågrå svartspik
Dvärgbägarlav
Gransotdyna
Hornvaxskinn
Kortskaftad ärgspik
Mörk kolflarnlav
Nordtagging
Rynkskinn
Skrovellav
Talltita
Tretåig hackspett
Vedflamlav
Vedskivlav
Vedtrappmossa
Violettgrå tagellav
Vitgrynig nållav
Bårdlav
Luddlav
Norrlandslav
Nästlav
Rävticka
Skinnlav
Vedticka</t>
        </is>
      </c>
      <c r="W33">
        <f>HYPERLINK("https://klasma.github.io/Logging_2023/artfynd/A 21683-2026 artfynd.xlsx", "A 21683-2026")</f>
        <v/>
      </c>
      <c r="X33">
        <f>HYPERLINK("https://klasma.github.io/Logging_2023/kartor/A 21683-2026 karta.png", "A 21683-2026")</f>
        <v/>
      </c>
      <c r="Y33">
        <f>HYPERLINK("https://klasma.github.io/Logging_2023/kartor_geotiff/A 21683-2026 georefererad karta.tif", "A 21683-2026")</f>
        <v/>
      </c>
      <c r="AA33">
        <f>HYPERLINK("https://klasma.github.io/Logging_2023/klagomål/A 21683-2026 FSC-klagomål.docx", "A 21683-2026")</f>
        <v/>
      </c>
      <c r="AB33">
        <f>HYPERLINK("https://klasma.github.io/Logging_2023/klagomålsmail/A 21683-2026 FSC-klagomål mail.docx", "A 21683-2026")</f>
        <v/>
      </c>
      <c r="AC33">
        <f>HYPERLINK("https://klasma.github.io/Logging_2023/tillsyn/A 21683-2026 tillsynsbegäran.docx", "A 21683-2026")</f>
        <v/>
      </c>
      <c r="AD33">
        <f>HYPERLINK("https://klasma.github.io/Logging_2023/tillsynsmail/A 21683-2026 tillsynsbegäran mail.docx", "A 21683-2026")</f>
        <v/>
      </c>
      <c r="AE33">
        <f>HYPERLINK("https://klasma.github.io/Logging_2023/fåglar/A 21683-2026 prioriterade fågelarter.docx", "A 21683-2026")</f>
        <v/>
      </c>
    </row>
    <row r="34" ht="15" customHeight="1">
      <c r="A34" t="inlineStr">
        <is>
          <t>S 2476-2026</t>
        </is>
      </c>
      <c r="B34" t="inlineStr">
        <is>
          <t>samrådsanmälan</t>
        </is>
      </c>
      <c r="C34" t="inlineStr">
        <is>
          <t>Annan skogsbruksåtgärd</t>
        </is>
      </c>
      <c r="D34" s="1" t="n">
        <v>46287</v>
      </c>
      <c r="E34" s="1" t="n">
        <v>46319</v>
      </c>
      <c r="F34" t="inlineStr">
        <is>
          <t>DALARNAS LÄN</t>
        </is>
      </c>
      <c r="G34" t="inlineStr">
        <is>
          <t>ÄLVDALEN</t>
        </is>
      </c>
      <c r="H34" t="inlineStr">
        <is>
          <t>Sveaskog</t>
        </is>
      </c>
      <c r="I34" t="n">
        <v>22.8</v>
      </c>
      <c r="J34" t="n">
        <v>6</v>
      </c>
      <c r="K34" t="n">
        <v>4</v>
      </c>
      <c r="L34" t="n">
        <v>18</v>
      </c>
      <c r="M34" t="n">
        <v>4</v>
      </c>
      <c r="N34" t="n">
        <v>0</v>
      </c>
      <c r="O34" t="n">
        <v>0</v>
      </c>
      <c r="P34" t="n">
        <v>0</v>
      </c>
      <c r="Q34" t="n">
        <v>22</v>
      </c>
      <c r="R34" t="n">
        <v>4</v>
      </c>
      <c r="S34" t="n">
        <v>29</v>
      </c>
      <c r="T34" t="n">
        <v>180</v>
      </c>
      <c r="U34" t="n">
        <v>168</v>
      </c>
      <c r="V34" s="2" t="inlineStr">
        <is>
          <t>Gräddporing
Lecidea subhumida
Smalfotad taggsvamp
Tajgataggsvamp
Blanksvart spiklav
Blågrå svartspik
Dropptaggsvamp
Dvärgbägarlav
Kolflarnlav
Lavskrika
Mjölsvärting
Mörk kolflarnlav
Skarp dropptaggsvamp
Svartvit taggsvamp
Tallriska
Talltaggsvamp
Talltita
Vaddporing
Varglav
Vedflamlav
Vedskivlav
Vitplätt
Luddlav
Nästlav
Plattlummer
Vedticka
Spillkråka
Sälg
Tjäder</t>
        </is>
      </c>
      <c r="W34">
        <f>HYPERLINK("https://klasma.github.io/Logging_2039/artfynd/S 2476-2026 artfynd.xlsx", "S 2476-2026")</f>
        <v/>
      </c>
      <c r="X34">
        <f>HYPERLINK("https://klasma.github.io/Logging_2039/kartor/S 2476-2026 karta.png", "S 2476-2026")</f>
        <v/>
      </c>
      <c r="Y34">
        <f>HYPERLINK("https://klasma.github.io/Logging_2039/kartor_geotiff/S 2476-2026 georefererad karta.tif", "S 2476-2026")</f>
        <v/>
      </c>
      <c r="AA34">
        <f>HYPERLINK("https://klasma.github.io/Logging_2039/klagomål/S 2476-2026 FSC-klagomål.docx", "S 2476-2026")</f>
        <v/>
      </c>
      <c r="AB34">
        <f>HYPERLINK("https://klasma.github.io/Logging_2039/klagomålsmail/S 2476-2026 FSC-klagomål mail.docx", "S 2476-2026")</f>
        <v/>
      </c>
      <c r="AC34">
        <f>HYPERLINK("https://klasma.github.io/Logging_2039/tillsyn/S 2476-2026 tillsynsbegäran.docx", "S 2476-2026")</f>
        <v/>
      </c>
      <c r="AD34">
        <f>HYPERLINK("https://klasma.github.io/Logging_2039/tillsynsmail/S 2476-2026 tillsynsbegäran mail.docx", "S 2476-2026")</f>
        <v/>
      </c>
      <c r="AE34">
        <f>HYPERLINK("https://klasma.github.io/Logging_2039/fåglar/S 2476-2026 prioriterade fågelarter.docx", "S 2476-2026")</f>
        <v/>
      </c>
    </row>
    <row r="35" ht="15" customHeight="1">
      <c r="A35" t="inlineStr">
        <is>
          <t>S 1500-2025</t>
        </is>
      </c>
      <c r="B35" t="inlineStr">
        <is>
          <t>samrådsanmälan</t>
        </is>
      </c>
      <c r="C35" t="inlineStr">
        <is>
          <t>Annan skogsbruksåtgärd</t>
        </is>
      </c>
      <c r="D35" s="1" t="n">
        <v>45790</v>
      </c>
      <c r="E35" s="1" t="n">
        <v>46319</v>
      </c>
      <c r="F35" t="inlineStr">
        <is>
          <t>DALARNAS LÄN</t>
        </is>
      </c>
      <c r="G35" t="inlineStr">
        <is>
          <t>LEKSAND</t>
        </is>
      </c>
      <c r="I35" t="n">
        <v>5</v>
      </c>
      <c r="J35" t="n">
        <v>11</v>
      </c>
      <c r="K35" t="n">
        <v>7</v>
      </c>
      <c r="L35" t="n">
        <v>8</v>
      </c>
      <c r="M35" t="n">
        <v>2</v>
      </c>
      <c r="N35" t="n">
        <v>0</v>
      </c>
      <c r="O35" t="n">
        <v>0</v>
      </c>
      <c r="P35" t="n">
        <v>0</v>
      </c>
      <c r="Q35" t="n">
        <v>10</v>
      </c>
      <c r="R35" t="n">
        <v>2</v>
      </c>
      <c r="S35" t="n">
        <v>29</v>
      </c>
      <c r="T35" t="n">
        <v>156</v>
      </c>
      <c r="U35" t="n">
        <v>153</v>
      </c>
      <c r="V35" s="2" t="inlineStr">
        <is>
          <t>Knärot
Spadskinn
Doftskinn
Dofttaggsvamp
Dropptaggsvamp
Motaggsvamp
Nordtagging
Orange taggsvamp
Talltita
Tretåig hackspett
Bronshjon
Gullgröppa
Mindre märgborre
Nästlav
Rödgul trumpetsvamp
Svavelriska
Vedticka
Gråspett
Kransmossa
Kärrviol
Linnea
Spillkråka
Sälg
Tjäder
Tofsmes
Kungsfågel
Vanlig groda
Fläcknycklar
Revlummer</t>
        </is>
      </c>
      <c r="W35">
        <f>HYPERLINK("https://klasma.github.io/Logging_2029/artfynd/S 1500-2025 artfynd.xlsx", "S 1500-2025")</f>
        <v/>
      </c>
      <c r="X35">
        <f>HYPERLINK("https://klasma.github.io/Logging_2029/kartor/S 1500-2025 karta.png", "S 1500-2025")</f>
        <v/>
      </c>
      <c r="Y35">
        <f>HYPERLINK("https://klasma.github.io/Logging_2029/kartor_geotiff/S 1500-2025 georefererad karta.tif", "S 1500-2025")</f>
        <v/>
      </c>
      <c r="Z35">
        <f>HYPERLINK("https://klasma.github.io/Logging_2029/knärot/S 1500-2025 karta knärot.png", "S 1500-2025")</f>
        <v/>
      </c>
      <c r="AA35">
        <f>HYPERLINK("https://klasma.github.io/Logging_2029/klagomål/S 1500-2025 FSC-klagomål.docx", "S 1500-2025")</f>
        <v/>
      </c>
      <c r="AB35">
        <f>HYPERLINK("https://klasma.github.io/Logging_2029/klagomålsmail/S 1500-2025 FSC-klagomål mail.docx", "S 1500-2025")</f>
        <v/>
      </c>
      <c r="AC35">
        <f>HYPERLINK("https://klasma.github.io/Logging_2029/tillsyn/S 1500-2025 tillsynsbegäran.docx", "S 1500-2025")</f>
        <v/>
      </c>
      <c r="AD35">
        <f>HYPERLINK("https://klasma.github.io/Logging_2029/tillsynsmail/S 1500-2025 tillsynsbegäran mail.docx", "S 1500-2025")</f>
        <v/>
      </c>
      <c r="AE35">
        <f>HYPERLINK("https://klasma.github.io/Logging_2029/fåglar/S 1500-2025 prioriterade fågelarter.docx", "S 1500-2025")</f>
        <v/>
      </c>
    </row>
    <row r="36" ht="15" customHeight="1">
      <c r="A36" t="inlineStr">
        <is>
          <t>A 29945-2025</t>
        </is>
      </c>
      <c r="B36" t="inlineStr">
        <is>
          <t>avverkningsanmälan</t>
        </is>
      </c>
      <c r="C36" t="inlineStr">
        <is>
          <t>Föryngringsavverkning</t>
        </is>
      </c>
      <c r="D36" s="1" t="n">
        <v>45826</v>
      </c>
      <c r="E36" s="1" t="n">
        <v>46319</v>
      </c>
      <c r="F36" t="inlineStr">
        <is>
          <t>DALARNAS LÄN</t>
        </is>
      </c>
      <c r="G36" t="inlineStr">
        <is>
          <t>MORA</t>
        </is>
      </c>
      <c r="I36" t="n">
        <v>25.9</v>
      </c>
      <c r="J36" t="n">
        <v>6</v>
      </c>
      <c r="K36" t="n">
        <v>3</v>
      </c>
      <c r="L36" t="n">
        <v>18</v>
      </c>
      <c r="M36" t="n">
        <v>4</v>
      </c>
      <c r="N36" t="n">
        <v>0</v>
      </c>
      <c r="O36" t="n">
        <v>0</v>
      </c>
      <c r="P36" t="n">
        <v>0</v>
      </c>
      <c r="Q36" t="n">
        <v>22</v>
      </c>
      <c r="R36" t="n">
        <v>4</v>
      </c>
      <c r="S36" t="n">
        <v>28</v>
      </c>
      <c r="T36" t="n">
        <v>299</v>
      </c>
      <c r="U36" t="n">
        <v>194</v>
      </c>
      <c r="V36" s="2" t="inlineStr">
        <is>
          <t>Garnlav
Gränsticka
Knärot
Ulltickeporing
Dropptaggsvamp
Dvärgbägarlav
Gropticka
Kolflarnlav
Lunglav
Motaggsvamp
Mörk kolflarnlav
Nordtagging
Rosenticka
Rynkskinn
Tallticka
Talltita
Tretåig hackspett
Ullticka
Vedskivlav
Violettgrå tagellav
Vitgrynig nållav
Vitplätt
Mindre märgborre
Nästlav
Vågbandad barkbock
Järpe
Spillkråka
Tjäder</t>
        </is>
      </c>
      <c r="W36">
        <f>HYPERLINK("https://klasma.github.io/Logging_2062/artfynd/A 29945-2025 artfynd.xlsx", "A 29945-2025")</f>
        <v/>
      </c>
      <c r="X36">
        <f>HYPERLINK("https://klasma.github.io/Logging_2062/kartor/A 29945-2025 karta.png", "A 29945-2025")</f>
        <v/>
      </c>
      <c r="Y36">
        <f>HYPERLINK("https://klasma.github.io/Logging_2062/kartor_geotiff/A 29945-2025 georefererad karta.tif", "A 29945-2025")</f>
        <v/>
      </c>
      <c r="Z36">
        <f>HYPERLINK("https://klasma.github.io/Logging_2062/knärot/A 29945-2025 karta knärot.png", "A 29945-2025")</f>
        <v/>
      </c>
      <c r="AA36">
        <f>HYPERLINK("https://klasma.github.io/Logging_2062/klagomål/A 29945-2025 FSC-klagomål.docx", "A 29945-2025")</f>
        <v/>
      </c>
      <c r="AB36">
        <f>HYPERLINK("https://klasma.github.io/Logging_2062/klagomålsmail/A 29945-2025 FSC-klagomål mail.docx", "A 29945-2025")</f>
        <v/>
      </c>
      <c r="AC36">
        <f>HYPERLINK("https://klasma.github.io/Logging_2062/tillsyn/A 29945-2025 tillsynsbegäran.docx", "A 29945-2025")</f>
        <v/>
      </c>
      <c r="AD36">
        <f>HYPERLINK("https://klasma.github.io/Logging_2062/tillsynsmail/A 29945-2025 tillsynsbegäran mail.docx", "A 29945-2025")</f>
        <v/>
      </c>
      <c r="AE36">
        <f>HYPERLINK("https://klasma.github.io/Logging_2062/fåglar/A 29945-2025 prioriterade fågelarter.docx", "A 29945-2025")</f>
        <v/>
      </c>
    </row>
    <row r="37" ht="15" customHeight="1">
      <c r="A37" t="inlineStr">
        <is>
          <t>A 36188-2025</t>
        </is>
      </c>
      <c r="B37" t="inlineStr">
        <is>
          <t>avverkningsanmälan</t>
        </is>
      </c>
      <c r="C37" t="inlineStr">
        <is>
          <t>Föryngringsavverkning</t>
        </is>
      </c>
      <c r="D37" s="1" t="n">
        <v>45867</v>
      </c>
      <c r="E37" s="1" t="n">
        <v>46319</v>
      </c>
      <c r="F37" t="inlineStr">
        <is>
          <t>DALARNAS LÄN</t>
        </is>
      </c>
      <c r="G37" t="inlineStr">
        <is>
          <t>ORSA</t>
        </is>
      </c>
      <c r="I37" t="n">
        <v>7.8</v>
      </c>
      <c r="J37" t="n">
        <v>6</v>
      </c>
      <c r="K37" t="n">
        <v>5</v>
      </c>
      <c r="L37" t="n">
        <v>15</v>
      </c>
      <c r="M37" t="n">
        <v>4</v>
      </c>
      <c r="N37" t="n">
        <v>0</v>
      </c>
      <c r="O37" t="n">
        <v>0</v>
      </c>
      <c r="P37" t="n">
        <v>0</v>
      </c>
      <c r="Q37" t="n">
        <v>19</v>
      </c>
      <c r="R37" t="n">
        <v>4</v>
      </c>
      <c r="S37" t="n">
        <v>28</v>
      </c>
      <c r="T37" t="n">
        <v>172</v>
      </c>
      <c r="U37" t="n">
        <v>172</v>
      </c>
      <c r="V37" s="2" t="inlineStr">
        <is>
          <t>Fläckporing
Garnlav
Gräddporing
Smalfotad taggsvamp
Doftskinn
Dropptaggsvamp
Halmgul örnlav
Kötticka
Mörk kolflarnlav
Skarp dropptaggsvamp
Talltagel
Talltita
Tretåig hackspett
Ullticka
Vaddporing
Vedflamlav
Vedskivlav
Violettgrå tagellav
Vitgrynig nållav
Björksplintborre
Bronshjon
Mindre märgborre
Vedticka
Vågbandad barkbock
Spillkråka
Tjäder
Grönsiska
Kungsfågel</t>
        </is>
      </c>
      <c r="W37">
        <f>HYPERLINK("https://klasma.github.io/Logging_2034/artfynd/A 36188-2025 artfynd.xlsx", "A 36188-2025")</f>
        <v/>
      </c>
      <c r="X37">
        <f>HYPERLINK("https://klasma.github.io/Logging_2034/kartor/A 36188-2025 karta.png", "A 36188-2025")</f>
        <v/>
      </c>
      <c r="Y37">
        <f>HYPERLINK("https://klasma.github.io/Logging_2034/kartor_geotiff/A 36188-2025 georefererad karta.tif", "A 36188-2025")</f>
        <v/>
      </c>
      <c r="AA37">
        <f>HYPERLINK("https://klasma.github.io/Logging_2034/klagomål/A 36188-2025 FSC-klagomål.docx", "A 36188-2025")</f>
        <v/>
      </c>
      <c r="AB37">
        <f>HYPERLINK("https://klasma.github.io/Logging_2034/klagomålsmail/A 36188-2025 FSC-klagomål mail.docx", "A 36188-2025")</f>
        <v/>
      </c>
      <c r="AC37">
        <f>HYPERLINK("https://klasma.github.io/Logging_2034/tillsyn/A 36188-2025 tillsynsbegäran.docx", "A 36188-2025")</f>
        <v/>
      </c>
      <c r="AD37">
        <f>HYPERLINK("https://klasma.github.io/Logging_2034/tillsynsmail/A 36188-2025 tillsynsbegäran mail.docx", "A 36188-2025")</f>
        <v/>
      </c>
      <c r="AE37">
        <f>HYPERLINK("https://klasma.github.io/Logging_2034/fåglar/A 36188-2025 prioriterade fågelarter.docx", "A 36188-2025")</f>
        <v/>
      </c>
    </row>
    <row r="38" ht="15" customHeight="1">
      <c r="A38" t="inlineStr">
        <is>
          <t>A 31007-2026</t>
        </is>
      </c>
      <c r="B38" t="inlineStr">
        <is>
          <t>avverkningsanmälan</t>
        </is>
      </c>
      <c r="C38" t="inlineStr">
        <is>
          <t>Föryngringsavverkning</t>
        </is>
      </c>
      <c r="D38" s="1" t="n">
        <v>46213</v>
      </c>
      <c r="E38" s="1" t="n">
        <v>46319</v>
      </c>
      <c r="F38" t="inlineStr">
        <is>
          <t>DALARNAS LÄN</t>
        </is>
      </c>
      <c r="G38" t="inlineStr">
        <is>
          <t>MORA</t>
        </is>
      </c>
      <c r="I38" t="n">
        <v>31.5</v>
      </c>
      <c r="J38" t="n">
        <v>6</v>
      </c>
      <c r="K38" t="n">
        <v>9</v>
      </c>
      <c r="L38" t="n">
        <v>14</v>
      </c>
      <c r="M38" t="n">
        <v>2</v>
      </c>
      <c r="N38" t="n">
        <v>0</v>
      </c>
      <c r="O38" t="n">
        <v>0</v>
      </c>
      <c r="P38" t="n">
        <v>0</v>
      </c>
      <c r="Q38" t="n">
        <v>16</v>
      </c>
      <c r="R38" t="n">
        <v>2</v>
      </c>
      <c r="S38" t="n">
        <v>28</v>
      </c>
      <c r="T38" t="n">
        <v>216</v>
      </c>
      <c r="U38" t="n">
        <v>216</v>
      </c>
      <c r="V38" s="2" t="inlineStr">
        <is>
          <t>Garnlav
Knärot
Doftskinn
Dvärgbägarlav
Kolflarnlav
Lunglav
Mörk kolflarnlav
Skrovellav
Tallticka
Talltita
Tretåig hackspett
Ullticka
Vedskivlav
Violettgrå tagellav
Vitgrynig nållav
Äggvaxskivling
Bronshjon
Korallblylav
Luddlav
Rävticka
Stuplav
Thomsons trägnagare
Trådticka
Vedticka
Vågbandad barkbock
Järpe
Spillkråka
Tjäder</t>
        </is>
      </c>
      <c r="W38">
        <f>HYPERLINK("https://klasma.github.io/Logging_2062/artfynd/A 31007-2026 artfynd.xlsx", "A 31007-2026")</f>
        <v/>
      </c>
      <c r="X38">
        <f>HYPERLINK("https://klasma.github.io/Logging_2062/kartor/A 31007-2026 karta.png", "A 31007-2026")</f>
        <v/>
      </c>
      <c r="Y38">
        <f>HYPERLINK("https://klasma.github.io/Logging_2062/kartor_geotiff/A 31007-2026 georefererad karta.tif", "A 31007-2026")</f>
        <v/>
      </c>
      <c r="Z38">
        <f>HYPERLINK("https://klasma.github.io/Logging_2062/knärot/A 31007-2026 karta knärot.png", "A 31007-2026")</f>
        <v/>
      </c>
      <c r="AA38">
        <f>HYPERLINK("https://klasma.github.io/Logging_2062/klagomål/A 31007-2026 FSC-klagomål.docx", "A 31007-2026")</f>
        <v/>
      </c>
      <c r="AB38">
        <f>HYPERLINK("https://klasma.github.io/Logging_2062/klagomålsmail/A 31007-2026 FSC-klagomål mail.docx", "A 31007-2026")</f>
        <v/>
      </c>
      <c r="AC38">
        <f>HYPERLINK("https://klasma.github.io/Logging_2062/tillsyn/A 31007-2026 tillsynsbegäran.docx", "A 31007-2026")</f>
        <v/>
      </c>
      <c r="AD38">
        <f>HYPERLINK("https://klasma.github.io/Logging_2062/tillsynsmail/A 31007-2026 tillsynsbegäran mail.docx", "A 31007-2026")</f>
        <v/>
      </c>
      <c r="AE38">
        <f>HYPERLINK("https://klasma.github.io/Logging_2062/fåglar/A 31007-2026 prioriterade fågelarter.docx", "A 31007-2026")</f>
        <v/>
      </c>
    </row>
    <row r="39" ht="15" customHeight="1">
      <c r="A39" t="inlineStr">
        <is>
          <t>A 25030-2026</t>
        </is>
      </c>
      <c r="B39" t="inlineStr">
        <is>
          <t>avverkningsanmälan</t>
        </is>
      </c>
      <c r="C39" t="inlineStr">
        <is>
          <t>Föryngringsavverkning</t>
        </is>
      </c>
      <c r="D39" s="1" t="n">
        <v>46174</v>
      </c>
      <c r="E39" s="1" t="n">
        <v>46319</v>
      </c>
      <c r="F39" t="inlineStr">
        <is>
          <t>DALARNAS LÄN</t>
        </is>
      </c>
      <c r="G39" t="inlineStr">
        <is>
          <t>MALUNG-SÄLEN</t>
        </is>
      </c>
      <c r="H39" t="inlineStr">
        <is>
          <t>Allmännings- och besparingsskogar</t>
        </is>
      </c>
      <c r="I39" t="n">
        <v>11.1</v>
      </c>
      <c r="J39" t="n">
        <v>7</v>
      </c>
      <c r="K39" t="n">
        <v>5</v>
      </c>
      <c r="L39" t="n">
        <v>14</v>
      </c>
      <c r="M39" t="n">
        <v>3</v>
      </c>
      <c r="N39" t="n">
        <v>1</v>
      </c>
      <c r="O39" t="n">
        <v>0</v>
      </c>
      <c r="P39" t="n">
        <v>0</v>
      </c>
      <c r="Q39" t="n">
        <v>18</v>
      </c>
      <c r="R39" t="n">
        <v>4</v>
      </c>
      <c r="S39" t="n">
        <v>27</v>
      </c>
      <c r="T39" t="n">
        <v>74</v>
      </c>
      <c r="U39" t="n">
        <v>74</v>
      </c>
      <c r="V39" s="2" t="inlineStr">
        <is>
          <t>Urskogsticka
Garnlav
Gräddporing
Knärot
Blanksvart spiklav
Blågrå svartspik
Dropptaggsvamp
Kolflarnlav
Kortskaftad ärgspik
Lunglav
Mörk kolflarnlav
Nordtagging
Tallticka
Talltita
Vedflamlav
Vedskivlav
Violettgrå tagellav
Vitgrynig nållav
Bronshjon
Bårdlav
Grönpyrola
Nästlav
Spindelblomster
Spillkråka
Fläcknycklar
Nattviol
Revlummer</t>
        </is>
      </c>
      <c r="W39">
        <f>HYPERLINK("https://klasma.github.io/Logging_2023/artfynd/A 25030-2026 artfynd.xlsx", "A 25030-2026")</f>
        <v/>
      </c>
      <c r="X39">
        <f>HYPERLINK("https://klasma.github.io/Logging_2023/kartor/A 25030-2026 karta.png", "A 25030-2026")</f>
        <v/>
      </c>
      <c r="Y39">
        <f>HYPERLINK("https://klasma.github.io/Logging_2023/kartor_geotiff/A 25030-2026 georefererad karta.tif", "A 25030-2026")</f>
        <v/>
      </c>
      <c r="Z39">
        <f>HYPERLINK("https://klasma.github.io/Logging_2023/knärot/A 25030-2026 karta knärot.png", "A 25030-2026")</f>
        <v/>
      </c>
      <c r="AA39">
        <f>HYPERLINK("https://klasma.github.io/Logging_2023/klagomål/A 25030-2026 FSC-klagomål.docx", "A 25030-2026")</f>
        <v/>
      </c>
      <c r="AB39">
        <f>HYPERLINK("https://klasma.github.io/Logging_2023/klagomålsmail/A 25030-2026 FSC-klagomål mail.docx", "A 25030-2026")</f>
        <v/>
      </c>
      <c r="AC39">
        <f>HYPERLINK("https://klasma.github.io/Logging_2023/tillsyn/A 25030-2026 tillsynsbegäran.docx", "A 25030-2026")</f>
        <v/>
      </c>
      <c r="AD39">
        <f>HYPERLINK("https://klasma.github.io/Logging_2023/tillsynsmail/A 25030-2026 tillsynsbegäran mail.docx", "A 25030-2026")</f>
        <v/>
      </c>
      <c r="AE39">
        <f>HYPERLINK("https://klasma.github.io/Logging_2023/fåglar/A 25030-2026 prioriterade fågelarter.docx", "A 25030-2026")</f>
        <v/>
      </c>
    </row>
    <row r="40" ht="15" customHeight="1">
      <c r="A40" t="inlineStr">
        <is>
          <t>A 60987-2025</t>
        </is>
      </c>
      <c r="B40" t="inlineStr">
        <is>
          <t>avverkningsanmälan</t>
        </is>
      </c>
      <c r="C40" t="inlineStr">
        <is>
          <t>Föryngringsavverkning</t>
        </is>
      </c>
      <c r="D40" s="1" t="n">
        <v>45996</v>
      </c>
      <c r="E40" s="1" t="n">
        <v>46319</v>
      </c>
      <c r="F40" t="inlineStr">
        <is>
          <t>DALARNAS LÄN</t>
        </is>
      </c>
      <c r="G40" t="inlineStr">
        <is>
          <t>HEDEMORA</t>
        </is>
      </c>
      <c r="I40" t="n">
        <v>12.9</v>
      </c>
      <c r="J40" t="n">
        <v>11</v>
      </c>
      <c r="K40" t="n">
        <v>4</v>
      </c>
      <c r="L40" t="n">
        <v>11</v>
      </c>
      <c r="M40" t="n">
        <v>3</v>
      </c>
      <c r="N40" t="n">
        <v>0</v>
      </c>
      <c r="O40" t="n">
        <v>0</v>
      </c>
      <c r="P40" t="n">
        <v>0</v>
      </c>
      <c r="Q40" t="n">
        <v>15</v>
      </c>
      <c r="R40" t="n">
        <v>3</v>
      </c>
      <c r="S40" t="n">
        <v>26</v>
      </c>
      <c r="T40" t="n">
        <v>114</v>
      </c>
      <c r="U40" t="n">
        <v>96</v>
      </c>
      <c r="V40" s="2" t="inlineStr">
        <is>
          <t>Garnlav
Knärot
Ulltickeporing
Blågrå svartspik
Brunlångöra
Dropptaggsvamp
Kortskaftad ärgspik
Nordfladdermus
Rosenticka
Rynkskinn
Tallticka
Talltita
Tretåig hackspett
Ullticka
Porodaedalea chrysoloma
Bronshjon
Thomsons trägnagare
Vedticka
Vågbandad barkbock
Spillkråka
Timmerticka
Tjäder
Tofsmes
Vattenfladdermus
Fläcknycklar
Revlummer</t>
        </is>
      </c>
      <c r="W40">
        <f>HYPERLINK("https://klasma.github.io/Logging_2083/artfynd/A 60987-2025 artfynd.xlsx", "A 60987-2025")</f>
        <v/>
      </c>
      <c r="X40">
        <f>HYPERLINK("https://klasma.github.io/Logging_2083/kartor/A 60987-2025 karta.png", "A 60987-2025")</f>
        <v/>
      </c>
      <c r="Y40">
        <f>HYPERLINK("https://klasma.github.io/Logging_2083/kartor_geotiff/A 60987-2025 georefererad karta.tif", "A 60987-2025")</f>
        <v/>
      </c>
      <c r="Z40">
        <f>HYPERLINK("https://klasma.github.io/Logging_2083/knärot/A 60987-2025 karta knärot.png", "A 60987-2025")</f>
        <v/>
      </c>
      <c r="AA40">
        <f>HYPERLINK("https://klasma.github.io/Logging_2083/klagomål/A 60987-2025 FSC-klagomål.docx", "A 60987-2025")</f>
        <v/>
      </c>
      <c r="AB40">
        <f>HYPERLINK("https://klasma.github.io/Logging_2083/klagomålsmail/A 60987-2025 FSC-klagomål mail.docx", "A 60987-2025")</f>
        <v/>
      </c>
      <c r="AC40">
        <f>HYPERLINK("https://klasma.github.io/Logging_2083/tillsyn/A 60987-2025 tillsynsbegäran.docx", "A 60987-2025")</f>
        <v/>
      </c>
      <c r="AD40">
        <f>HYPERLINK("https://klasma.github.io/Logging_2083/tillsynsmail/A 60987-2025 tillsynsbegäran mail.docx", "A 60987-2025")</f>
        <v/>
      </c>
      <c r="AE40">
        <f>HYPERLINK("https://klasma.github.io/Logging_2083/fåglar/A 60987-2025 prioriterade fågelarter.docx", "A 60987-2025")</f>
        <v/>
      </c>
    </row>
    <row r="41" ht="15" customHeight="1">
      <c r="A41" t="inlineStr">
        <is>
          <t>A 37572-2026</t>
        </is>
      </c>
      <c r="B41" t="inlineStr">
        <is>
          <t>avverkningsanmälan</t>
        </is>
      </c>
      <c r="C41" t="inlineStr">
        <is>
          <t>Föryngringsavverkning</t>
        </is>
      </c>
      <c r="D41" s="1" t="n">
        <v>46276</v>
      </c>
      <c r="E41" s="1" t="n">
        <v>46319</v>
      </c>
      <c r="F41" t="inlineStr">
        <is>
          <t>DALARNAS LÄN</t>
        </is>
      </c>
      <c r="G41" t="inlineStr">
        <is>
          <t>ORSA</t>
        </is>
      </c>
      <c r="H41" t="inlineStr">
        <is>
          <t>Allmännings- och besparingsskogar</t>
        </is>
      </c>
      <c r="I41" t="n">
        <v>17.3</v>
      </c>
      <c r="J41" t="n">
        <v>9</v>
      </c>
      <c r="K41" t="n">
        <v>6</v>
      </c>
      <c r="L41" t="n">
        <v>13</v>
      </c>
      <c r="M41" t="n">
        <v>2</v>
      </c>
      <c r="N41" t="n">
        <v>0</v>
      </c>
      <c r="O41" t="n">
        <v>0</v>
      </c>
      <c r="P41" t="n">
        <v>0</v>
      </c>
      <c r="Q41" t="n">
        <v>15</v>
      </c>
      <c r="R41" t="n">
        <v>2</v>
      </c>
      <c r="S41" t="n">
        <v>26</v>
      </c>
      <c r="T41" t="n">
        <v>181</v>
      </c>
      <c r="U41" t="n">
        <v>181</v>
      </c>
      <c r="V41" s="2" t="inlineStr">
        <is>
          <t>Garnlav
Knärot
Blågrå svartspik
Dropptaggsvamp
Kolflarnlav
Lunglav
Mörk kolflarnlav
Skrovellav
Talltagel
Talltita
Tretåig hackspett
Vaddporing
Vedflamlav
Violettgrå tagellav
Vitgrynig nållav
Bronshjon
Mindre märgborre
Nästlav
Plattlummer
Stuplav
Thomsons trägnagare
Bergfink
Gråsiska
Spillkråka
Tjäder
Revlummer</t>
        </is>
      </c>
      <c r="W41">
        <f>HYPERLINK("https://klasma.github.io/Logging_2034/artfynd/A 37572-2026 artfynd.xlsx", "A 37572-2026")</f>
        <v/>
      </c>
      <c r="X41">
        <f>HYPERLINK("https://klasma.github.io/Logging_2034/kartor/A 37572-2026 karta.png", "A 37572-2026")</f>
        <v/>
      </c>
      <c r="Y41">
        <f>HYPERLINK("https://klasma.github.io/Logging_2034/kartor_geotiff/A 37572-2026 georefererad karta.tif", "A 37572-2026")</f>
        <v/>
      </c>
      <c r="Z41">
        <f>HYPERLINK("https://klasma.github.io/Logging_2034/knärot/A 37572-2026 karta knärot.png", "A 37572-2026")</f>
        <v/>
      </c>
      <c r="AA41">
        <f>HYPERLINK("https://klasma.github.io/Logging_2034/klagomål/A 37572-2026 FSC-klagomål.docx", "A 37572-2026")</f>
        <v/>
      </c>
      <c r="AB41">
        <f>HYPERLINK("https://klasma.github.io/Logging_2034/klagomålsmail/A 37572-2026 FSC-klagomål mail.docx", "A 37572-2026")</f>
        <v/>
      </c>
      <c r="AC41">
        <f>HYPERLINK("https://klasma.github.io/Logging_2034/tillsyn/A 37572-2026 tillsynsbegäran.docx", "A 37572-2026")</f>
        <v/>
      </c>
      <c r="AD41">
        <f>HYPERLINK("https://klasma.github.io/Logging_2034/tillsynsmail/A 37572-2026 tillsynsbegäran mail.docx", "A 37572-2026")</f>
        <v/>
      </c>
      <c r="AE41">
        <f>HYPERLINK("https://klasma.github.io/Logging_2034/fåglar/A 37572-2026 prioriterade fågelarter.docx", "A 37572-2026")</f>
        <v/>
      </c>
    </row>
    <row r="42" ht="15" customHeight="1">
      <c r="A42" t="inlineStr">
        <is>
          <t>A 26767-2026</t>
        </is>
      </c>
      <c r="B42" t="inlineStr">
        <is>
          <t>avverkningsanmälan</t>
        </is>
      </c>
      <c r="C42" t="inlineStr">
        <is>
          <t>Föryngringsavverkning</t>
        </is>
      </c>
      <c r="D42" s="1" t="n">
        <v>46184</v>
      </c>
      <c r="E42" s="1" t="n">
        <v>46319</v>
      </c>
      <c r="F42" t="inlineStr">
        <is>
          <t>DALARNAS LÄN</t>
        </is>
      </c>
      <c r="G42" t="inlineStr">
        <is>
          <t>MALUNG-SÄLEN</t>
        </is>
      </c>
      <c r="I42" t="n">
        <v>10.9</v>
      </c>
      <c r="J42" t="n">
        <v>4</v>
      </c>
      <c r="K42" t="n">
        <v>7</v>
      </c>
      <c r="L42" t="n">
        <v>9</v>
      </c>
      <c r="M42" t="n">
        <v>4</v>
      </c>
      <c r="N42" t="n">
        <v>0</v>
      </c>
      <c r="O42" t="n">
        <v>0</v>
      </c>
      <c r="P42" t="n">
        <v>0</v>
      </c>
      <c r="Q42" t="n">
        <v>13</v>
      </c>
      <c r="R42" t="n">
        <v>4</v>
      </c>
      <c r="S42" t="n">
        <v>26</v>
      </c>
      <c r="T42" t="n">
        <v>114</v>
      </c>
      <c r="U42" t="n">
        <v>0</v>
      </c>
      <c r="V42" s="2" t="inlineStr">
        <is>
          <t>Citronporing
Garnlav
Gränsticka
Ulltickeporing
Doftskinn
Gullpudra
Rosenticka
Rynkskinn
Stjärntagging
Tretåig hackspett
Ullticka
Vedtrappmossa
Vitgrynig nållav
Blodticka
Bronshjon
Spindelblomster
Stuplav
Tibast
Trådticka
Vedticka
Brudborste
Kransmossa
Ormbär
Spillkråka
Timmerticka
Revlummer</t>
        </is>
      </c>
      <c r="W42">
        <f>HYPERLINK("https://klasma.github.io/Logging_2023/artfynd/A 26767-2026 artfynd.xlsx", "A 26767-2026")</f>
        <v/>
      </c>
      <c r="X42">
        <f>HYPERLINK("https://klasma.github.io/Logging_2023/kartor/A 26767-2026 karta.png", "A 26767-2026")</f>
        <v/>
      </c>
      <c r="Y42">
        <f>HYPERLINK("https://klasma.github.io/Logging_2023/kartor_geotiff/A 26767-2026 georefererad karta.tif", "A 26767-2026")</f>
        <v/>
      </c>
      <c r="AA42">
        <f>HYPERLINK("https://klasma.github.io/Logging_2023/klagomål/A 26767-2026 FSC-klagomål.docx", "A 26767-2026")</f>
        <v/>
      </c>
      <c r="AB42">
        <f>HYPERLINK("https://klasma.github.io/Logging_2023/klagomålsmail/A 26767-2026 FSC-klagomål mail.docx", "A 26767-2026")</f>
        <v/>
      </c>
      <c r="AC42">
        <f>HYPERLINK("https://klasma.github.io/Logging_2023/tillsyn/A 26767-2026 tillsynsbegäran.docx", "A 26767-2026")</f>
        <v/>
      </c>
      <c r="AD42">
        <f>HYPERLINK("https://klasma.github.io/Logging_2023/tillsynsmail/A 26767-2026 tillsynsbegäran mail.docx", "A 26767-2026")</f>
        <v/>
      </c>
      <c r="AE42">
        <f>HYPERLINK("https://klasma.github.io/Logging_2023/fåglar/A 26767-2026 prioriterade fågelarter.docx", "A 26767-2026")</f>
        <v/>
      </c>
    </row>
    <row r="43" ht="15" customHeight="1">
      <c r="A43" t="inlineStr">
        <is>
          <t>A 1481-2026</t>
        </is>
      </c>
      <c r="B43" t="inlineStr">
        <is>
          <t>avverkningsanmälan</t>
        </is>
      </c>
      <c r="C43" t="inlineStr">
        <is>
          <t>Föryngringsavverkning</t>
        </is>
      </c>
      <c r="D43" s="1" t="n">
        <v>46033</v>
      </c>
      <c r="E43" s="1" t="n">
        <v>46319</v>
      </c>
      <c r="F43" t="inlineStr">
        <is>
          <t>DALARNAS LÄN</t>
        </is>
      </c>
      <c r="G43" t="inlineStr">
        <is>
          <t>MALUNG-SÄLEN</t>
        </is>
      </c>
      <c r="I43" t="n">
        <v>16.5</v>
      </c>
      <c r="J43" t="n">
        <v>2</v>
      </c>
      <c r="K43" t="n">
        <v>8</v>
      </c>
      <c r="L43" t="n">
        <v>16</v>
      </c>
      <c r="M43" t="n">
        <v>1</v>
      </c>
      <c r="N43" t="n">
        <v>0</v>
      </c>
      <c r="O43" t="n">
        <v>0</v>
      </c>
      <c r="P43" t="n">
        <v>0</v>
      </c>
      <c r="Q43" t="n">
        <v>17</v>
      </c>
      <c r="R43" t="n">
        <v>1</v>
      </c>
      <c r="S43" t="n">
        <v>26</v>
      </c>
      <c r="T43" t="n">
        <v>86</v>
      </c>
      <c r="U43" t="n">
        <v>86</v>
      </c>
      <c r="V43" s="2" t="inlineStr">
        <is>
          <t>Garnlav
Brunpudrad nållav
Doftskinn
Gammelgransskål
Gransotdyna
Kolflarnlav
Kortskaftad ärgspik
Liten svartspik
Lunglav
Mörk kolflarnlav
Rynkskinn
Skrovellav
Skuggblåslav
Stjärntagging
Tallticka
Tretåig hackspett
Vitgrynig nållav
Gullgröppa
Korallblylav
Kornig nållav
Nästlav
Rostfläck
Stuplav
Trådticka
Vedticka
Tjäder</t>
        </is>
      </c>
      <c r="W43">
        <f>HYPERLINK("https://klasma.github.io/Logging_2023/artfynd/A 1481-2026 artfynd.xlsx", "A 1481-2026")</f>
        <v/>
      </c>
      <c r="X43">
        <f>HYPERLINK("https://klasma.github.io/Logging_2023/kartor/A 1481-2026 karta.png", "A 1481-2026")</f>
        <v/>
      </c>
      <c r="Y43">
        <f>HYPERLINK("https://klasma.github.io/Logging_2023/kartor_geotiff/A 1481-2026 georefererad karta.tif", "A 1481-2026")</f>
        <v/>
      </c>
      <c r="AA43">
        <f>HYPERLINK("https://klasma.github.io/Logging_2023/klagomål/A 1481-2026 FSC-klagomål.docx", "A 1481-2026")</f>
        <v/>
      </c>
      <c r="AB43">
        <f>HYPERLINK("https://klasma.github.io/Logging_2023/klagomålsmail/A 1481-2026 FSC-klagomål mail.docx", "A 1481-2026")</f>
        <v/>
      </c>
      <c r="AC43">
        <f>HYPERLINK("https://klasma.github.io/Logging_2023/tillsyn/A 1481-2026 tillsynsbegäran.docx", "A 1481-2026")</f>
        <v/>
      </c>
      <c r="AD43">
        <f>HYPERLINK("https://klasma.github.io/Logging_2023/tillsynsmail/A 1481-2026 tillsynsbegäran mail.docx", "A 1481-2026")</f>
        <v/>
      </c>
      <c r="AE43">
        <f>HYPERLINK("https://klasma.github.io/Logging_2023/fåglar/A 1481-2026 prioriterade fågelarter.docx", "A 1481-2026")</f>
        <v/>
      </c>
    </row>
    <row r="44" ht="15" customHeight="1">
      <c r="A44" t="inlineStr">
        <is>
          <t>S 2065-2023</t>
        </is>
      </c>
      <c r="B44" t="inlineStr">
        <is>
          <t>samrådsanmälan</t>
        </is>
      </c>
      <c r="C44" t="inlineStr">
        <is>
          <t>Annan skogsbruksåtgärd</t>
        </is>
      </c>
      <c r="D44" s="1" t="n">
        <v>45092</v>
      </c>
      <c r="E44" s="1" t="n">
        <v>46319</v>
      </c>
      <c r="F44" t="inlineStr">
        <is>
          <t>DALARNAS LÄN</t>
        </is>
      </c>
      <c r="G44" t="inlineStr">
        <is>
          <t>MALUNG-SÄLEN</t>
        </is>
      </c>
      <c r="H44" t="inlineStr">
        <is>
          <t>Bergvik skog väst AB</t>
        </is>
      </c>
      <c r="I44" t="n">
        <v>342.4</v>
      </c>
      <c r="J44" t="n">
        <v>5</v>
      </c>
      <c r="K44" t="n">
        <v>4</v>
      </c>
      <c r="L44" t="n">
        <v>18</v>
      </c>
      <c r="M44" t="n">
        <v>1</v>
      </c>
      <c r="N44" t="n">
        <v>0</v>
      </c>
      <c r="O44" t="n">
        <v>0</v>
      </c>
      <c r="P44" t="n">
        <v>0</v>
      </c>
      <c r="Q44" t="n">
        <v>19</v>
      </c>
      <c r="R44" t="n">
        <v>1</v>
      </c>
      <c r="S44" t="n">
        <v>26</v>
      </c>
      <c r="T44" t="n">
        <v>42</v>
      </c>
      <c r="U44" t="n">
        <v>30</v>
      </c>
      <c r="V44" s="2" t="inlineStr">
        <is>
          <t>Garnlav
Brunpudrad nållav
Dropptaggsvamp
Kolflarnlav
Kortskaftad ärgspik
Kricka
Lunglav
Mörk kolflarnlav
Rosenticka
Rynkskinn
Skrovellav
Skuggblåslav
Tallticka
Tretåig hackspett
Ullticka
Vedflamlav
Vedskivlav
Vedtrappmossa
Vitgrynig nållav
Barkticka
Gulnål
Korallblylav
Skinnlav
Smålom
Svartvit flugsnappare
Sångsvan</t>
        </is>
      </c>
      <c r="W44">
        <f>HYPERLINK("https://klasma.github.io/Logging_2023/artfynd/S 2065-2023 artfynd.xlsx", "S 2065-2023")</f>
        <v/>
      </c>
      <c r="X44">
        <f>HYPERLINK("https://klasma.github.io/Logging_2023/kartor/S 2065-2023 karta.png", "S 2065-2023")</f>
        <v/>
      </c>
      <c r="Y44">
        <f>HYPERLINK("https://klasma.github.io/Logging_2023/kartor_geotiff/S 2065-2023 georefererad karta.tif", "S 2065-2023")</f>
        <v/>
      </c>
      <c r="AA44">
        <f>HYPERLINK("https://klasma.github.io/Logging_2023/klagomål/S 2065-2023 FSC-klagomål.docx", "S 2065-2023")</f>
        <v/>
      </c>
      <c r="AB44">
        <f>HYPERLINK("https://klasma.github.io/Logging_2023/klagomålsmail/S 2065-2023 FSC-klagomål mail.docx", "S 2065-2023")</f>
        <v/>
      </c>
      <c r="AC44">
        <f>HYPERLINK("https://klasma.github.io/Logging_2023/tillsyn/S 2065-2023 tillsynsbegäran.docx", "S 2065-2023")</f>
        <v/>
      </c>
      <c r="AD44">
        <f>HYPERLINK("https://klasma.github.io/Logging_2023/tillsynsmail/S 2065-2023 tillsynsbegäran mail.docx", "S 2065-2023")</f>
        <v/>
      </c>
      <c r="AE44">
        <f>HYPERLINK("https://klasma.github.io/Logging_2023/fåglar/S 2065-2023 prioriterade fågelarter.docx", "S 2065-2023")</f>
        <v/>
      </c>
    </row>
    <row r="45" ht="15" customHeight="1">
      <c r="A45" t="inlineStr">
        <is>
          <t>A 35200-2025</t>
        </is>
      </c>
      <c r="B45" t="inlineStr">
        <is>
          <t>avverkningsanmälan</t>
        </is>
      </c>
      <c r="C45" t="inlineStr">
        <is>
          <t>Föryngringsavverkning</t>
        </is>
      </c>
      <c r="D45" s="1" t="n">
        <v>45853</v>
      </c>
      <c r="E45" s="1" t="n">
        <v>46319</v>
      </c>
      <c r="F45" t="inlineStr">
        <is>
          <t>DALARNAS LÄN</t>
        </is>
      </c>
      <c r="G45" t="inlineStr">
        <is>
          <t>MORA</t>
        </is>
      </c>
      <c r="I45" t="n">
        <v>9.9</v>
      </c>
      <c r="J45" t="n">
        <v>8</v>
      </c>
      <c r="K45" t="n">
        <v>5</v>
      </c>
      <c r="L45" t="n">
        <v>11</v>
      </c>
      <c r="M45" t="n">
        <v>2</v>
      </c>
      <c r="N45" t="n">
        <v>0</v>
      </c>
      <c r="O45" t="n">
        <v>0</v>
      </c>
      <c r="P45" t="n">
        <v>0</v>
      </c>
      <c r="Q45" t="n">
        <v>13</v>
      </c>
      <c r="R45" t="n">
        <v>2</v>
      </c>
      <c r="S45" t="n">
        <v>25</v>
      </c>
      <c r="T45" t="n">
        <v>292</v>
      </c>
      <c r="U45" t="n">
        <v>277</v>
      </c>
      <c r="V45" s="2" t="inlineStr">
        <is>
          <t>Garnlav
Lateritticka
Kolflarnlav
Mörk kolflarnlav
Sotvaxskivling
Talltagel
Tallticka
Talltita
Tretåig hackspett
Vedflamlav
Vedskivlav
Violettgrå tagellav
Vitgrynig nållav
Gullgröppa
Mindre märgborre
Nästlav
Svavelriska
Tibast
Bergfink
Linnea
Spillkråka
Tjäder
Kråka
Kungsfågel
Revlummer</t>
        </is>
      </c>
      <c r="W45">
        <f>HYPERLINK("https://klasma.github.io/Logging_2062/artfynd/A 35200-2025 artfynd.xlsx", "A 35200-2025")</f>
        <v/>
      </c>
      <c r="X45">
        <f>HYPERLINK("https://klasma.github.io/Logging_2062/kartor/A 35200-2025 karta.png", "A 35200-2025")</f>
        <v/>
      </c>
      <c r="Y45">
        <f>HYPERLINK("https://klasma.github.io/Logging_2062/kartor_geotiff/A 35200-2025 georefererad karta.tif", "A 35200-2025")</f>
        <v/>
      </c>
      <c r="AA45">
        <f>HYPERLINK("https://klasma.github.io/Logging_2062/klagomål/A 35200-2025 FSC-klagomål.docx", "A 35200-2025")</f>
        <v/>
      </c>
      <c r="AB45">
        <f>HYPERLINK("https://klasma.github.io/Logging_2062/klagomålsmail/A 35200-2025 FSC-klagomål mail.docx", "A 35200-2025")</f>
        <v/>
      </c>
      <c r="AC45">
        <f>HYPERLINK("https://klasma.github.io/Logging_2062/tillsyn/A 35200-2025 tillsynsbegäran.docx", "A 35200-2025")</f>
        <v/>
      </c>
      <c r="AD45">
        <f>HYPERLINK("https://klasma.github.io/Logging_2062/tillsynsmail/A 35200-2025 tillsynsbegäran mail.docx", "A 35200-2025")</f>
        <v/>
      </c>
      <c r="AE45">
        <f>HYPERLINK("https://klasma.github.io/Logging_2062/fåglar/A 35200-2025 prioriterade fågelarter.docx", "A 35200-2025")</f>
        <v/>
      </c>
    </row>
    <row r="46" ht="15" customHeight="1">
      <c r="A46" t="inlineStr">
        <is>
          <t>A 51902-2023</t>
        </is>
      </c>
      <c r="B46" t="inlineStr">
        <is>
          <t>avverkningsanmälan</t>
        </is>
      </c>
      <c r="C46" t="inlineStr">
        <is>
          <t>Föryngringsavverkning</t>
        </is>
      </c>
      <c r="D46" s="1" t="n">
        <v>45223</v>
      </c>
      <c r="E46" s="1" t="n">
        <v>46319</v>
      </c>
      <c r="F46" t="inlineStr">
        <is>
          <t>DALARNAS LÄN</t>
        </is>
      </c>
      <c r="G46" t="inlineStr">
        <is>
          <t>ORSA</t>
        </is>
      </c>
      <c r="H46" t="inlineStr">
        <is>
          <t>Allmännings- och besparingsskogar</t>
        </is>
      </c>
      <c r="I46" t="n">
        <v>10.2</v>
      </c>
      <c r="J46" t="n">
        <v>7</v>
      </c>
      <c r="K46" t="n">
        <v>6</v>
      </c>
      <c r="L46" t="n">
        <v>13</v>
      </c>
      <c r="M46" t="n">
        <v>4</v>
      </c>
      <c r="N46" t="n">
        <v>0</v>
      </c>
      <c r="O46" t="n">
        <v>0</v>
      </c>
      <c r="P46" t="n">
        <v>0</v>
      </c>
      <c r="Q46" t="n">
        <v>17</v>
      </c>
      <c r="R46" t="n">
        <v>4</v>
      </c>
      <c r="S46" t="n">
        <v>25</v>
      </c>
      <c r="T46" t="n">
        <v>156</v>
      </c>
      <c r="U46" t="n">
        <v>156</v>
      </c>
      <c r="V46" s="2" t="inlineStr">
        <is>
          <t>Garnlav
Gräddporing
Knärot
Läderlappslav
Dropptaggsvamp
Dvärgbägarlav
Kötticka
Lunglav
Mörk kolflarnlav
Orange taggsvamp
Skrovellav
Tallfingersvamp
Tallriska
Talltita
Tretåig hackspett
Violettgrå tagellav
Vitgrynig nållav
Källpraktmossa
Luddlav
Plattlummer
Spindelblomster
Stuplav
Svavelriska
Spillkråka
Revlummer</t>
        </is>
      </c>
      <c r="W46">
        <f>HYPERLINK("https://klasma.github.io/Logging_2034/artfynd/A 51902-2023 artfynd.xlsx", "A 51902-2023")</f>
        <v/>
      </c>
      <c r="X46">
        <f>HYPERLINK("https://klasma.github.io/Logging_2034/kartor/A 51902-2023 karta.png", "A 51902-2023")</f>
        <v/>
      </c>
      <c r="Y46">
        <f>HYPERLINK("https://klasma.github.io/Logging_2034/kartor_geotiff/A 51902-2023 georefererad karta.tif", "A 51902-2023")</f>
        <v/>
      </c>
      <c r="Z46">
        <f>HYPERLINK("https://klasma.github.io/Logging_2034/knärot/A 51902-2023 karta knärot.png", "A 51902-2023")</f>
        <v/>
      </c>
      <c r="AA46">
        <f>HYPERLINK("https://klasma.github.io/Logging_2034/klagomål/A 51902-2023 FSC-klagomål.docx", "A 51902-2023")</f>
        <v/>
      </c>
      <c r="AB46">
        <f>HYPERLINK("https://klasma.github.io/Logging_2034/klagomålsmail/A 51902-2023 FSC-klagomål mail.docx", "A 51902-2023")</f>
        <v/>
      </c>
      <c r="AC46">
        <f>HYPERLINK("https://klasma.github.io/Logging_2034/tillsyn/A 51902-2023 tillsynsbegäran.docx", "A 51902-2023")</f>
        <v/>
      </c>
      <c r="AD46">
        <f>HYPERLINK("https://klasma.github.io/Logging_2034/tillsynsmail/A 51902-2023 tillsynsbegäran mail.docx", "A 51902-2023")</f>
        <v/>
      </c>
      <c r="AE46">
        <f>HYPERLINK("https://klasma.github.io/Logging_2034/fåglar/A 51902-2023 prioriterade fågelarter.docx", "A 51902-2023")</f>
        <v/>
      </c>
    </row>
    <row r="47" ht="15" customHeight="1">
      <c r="A47" t="inlineStr">
        <is>
          <t>A 41583-2026</t>
        </is>
      </c>
      <c r="B47" t="inlineStr">
        <is>
          <t>avverkningsanmälan</t>
        </is>
      </c>
      <c r="C47" t="inlineStr">
        <is>
          <t>Avverkning för att bevara och utveckla /försöksver</t>
        </is>
      </c>
      <c r="D47" s="1" t="n">
        <v>46301</v>
      </c>
      <c r="E47" s="1" t="n">
        <v>46319</v>
      </c>
      <c r="F47" t="inlineStr">
        <is>
          <t>DALARNAS LÄN</t>
        </is>
      </c>
      <c r="G47" t="inlineStr">
        <is>
          <t>ÄLVDALEN</t>
        </is>
      </c>
      <c r="H47" t="inlineStr">
        <is>
          <t>Sveaskog</t>
        </is>
      </c>
      <c r="I47" t="n">
        <v>8.800000000000001</v>
      </c>
      <c r="J47" t="n">
        <v>4</v>
      </c>
      <c r="K47" t="n">
        <v>2</v>
      </c>
      <c r="L47" t="n">
        <v>18</v>
      </c>
      <c r="M47" t="n">
        <v>3</v>
      </c>
      <c r="N47" t="n">
        <v>0</v>
      </c>
      <c r="O47" t="n">
        <v>0</v>
      </c>
      <c r="P47" t="n">
        <v>0</v>
      </c>
      <c r="Q47" t="n">
        <v>21</v>
      </c>
      <c r="R47" t="n">
        <v>3</v>
      </c>
      <c r="S47" t="n">
        <v>25</v>
      </c>
      <c r="T47" t="n">
        <v>59</v>
      </c>
      <c r="U47" t="n">
        <v>25</v>
      </c>
      <c r="V47" s="2" t="inlineStr">
        <is>
          <t>Garnlav
Gränsticka
Smalfotad taggsvamp
Blanksvart spiklav
Blå taggsvamp
Blågrå svartspik
Dropptaggsvamp
Dvärgbägarlav
Kolflarnlav
Mörk kolflarnlav
Nordtagging
Svartvit taggsvamp
Talltagel
Tallticka
Talltita
Tretåig hackspett
Vaddporing
Vedflamlav
Vedskivlav
Vedtrappmossa
Vitgrynig nållav
Plattlummer
Svavelriska
Kransmossa
Revlummer</t>
        </is>
      </c>
      <c r="W47">
        <f>HYPERLINK("https://klasma.github.io/Logging_2039/artfynd/A 41583-2026 artfynd.xlsx", "A 41583-2026")</f>
        <v/>
      </c>
      <c r="X47">
        <f>HYPERLINK("https://klasma.github.io/Logging_2039/kartor/A 41583-2026 karta.png", "A 41583-2026")</f>
        <v/>
      </c>
      <c r="Y47">
        <f>HYPERLINK("https://klasma.github.io/Logging_2039/kartor_geotiff/A 41583-2026 georefererad karta.tif", "A 41583-2026")</f>
        <v/>
      </c>
      <c r="AA47">
        <f>HYPERLINK("https://klasma.github.io/Logging_2039/klagomål/A 41583-2026 FSC-klagomål.docx", "A 41583-2026")</f>
        <v/>
      </c>
      <c r="AB47">
        <f>HYPERLINK("https://klasma.github.io/Logging_2039/klagomålsmail/A 41583-2026 FSC-klagomål mail.docx", "A 41583-2026")</f>
        <v/>
      </c>
      <c r="AC47">
        <f>HYPERLINK("https://klasma.github.io/Logging_2039/tillsyn/A 41583-2026 tillsynsbegäran.docx", "A 41583-2026")</f>
        <v/>
      </c>
      <c r="AD47">
        <f>HYPERLINK("https://klasma.github.io/Logging_2039/tillsynsmail/A 41583-2026 tillsynsbegäran mail.docx", "A 41583-2026")</f>
        <v/>
      </c>
      <c r="AE47">
        <f>HYPERLINK("https://klasma.github.io/Logging_2039/fåglar/A 41583-2026 prioriterade fågelarter.docx", "A 41583-2026")</f>
        <v/>
      </c>
    </row>
    <row r="48" ht="15" customHeight="1">
      <c r="A48" t="inlineStr">
        <is>
          <t>A 58003-2025</t>
        </is>
      </c>
      <c r="B48" t="inlineStr">
        <is>
          <t>avverkningsanmälan</t>
        </is>
      </c>
      <c r="C48" t="inlineStr">
        <is>
          <t>Föryngringsavverkning</t>
        </is>
      </c>
      <c r="D48" s="1" t="n">
        <v>45982</v>
      </c>
      <c r="E48" s="1" t="n">
        <v>46319</v>
      </c>
      <c r="F48" t="inlineStr">
        <is>
          <t>DALARNAS LÄN</t>
        </is>
      </c>
      <c r="G48" t="inlineStr">
        <is>
          <t>MORA</t>
        </is>
      </c>
      <c r="H48" t="inlineStr">
        <is>
          <t>Allmännings- och besparingsskogar</t>
        </is>
      </c>
      <c r="I48" t="n">
        <v>12.3</v>
      </c>
      <c r="J48" t="n">
        <v>4</v>
      </c>
      <c r="K48" t="n">
        <v>5</v>
      </c>
      <c r="L48" t="n">
        <v>14</v>
      </c>
      <c r="M48" t="n">
        <v>1</v>
      </c>
      <c r="N48" t="n">
        <v>0</v>
      </c>
      <c r="O48" t="n">
        <v>0</v>
      </c>
      <c r="P48" t="n">
        <v>0</v>
      </c>
      <c r="Q48" t="n">
        <v>15</v>
      </c>
      <c r="R48" t="n">
        <v>1</v>
      </c>
      <c r="S48" t="n">
        <v>25</v>
      </c>
      <c r="T48" t="n">
        <v>224</v>
      </c>
      <c r="U48" t="n">
        <v>223</v>
      </c>
      <c r="V48" s="2" t="inlineStr">
        <is>
          <t>Garnlav
Kolflarnlav
Kortskaftad ärgspik
Kådvaxskinn
Mörk kolflarnlav
Nordtagging
Rosenticka
Skogshare
Tallticka
Tretåig hackspett
Ullticka
Vaddporing
Vedflamlav
Vedskivlav
Violettgrå tagellav
Gullgröppa
Mindre märgborre
Nästlav
Rävticka
Thomsons trägnagare
Kransmossa
Linnea
Spillkråka
Tjäder
Vanlig groda</t>
        </is>
      </c>
      <c r="W48">
        <f>HYPERLINK("https://klasma.github.io/Logging_2062/artfynd/A 58003-2025 artfynd.xlsx", "A 58003-2025")</f>
        <v/>
      </c>
      <c r="X48">
        <f>HYPERLINK("https://klasma.github.io/Logging_2062/kartor/A 58003-2025 karta.png", "A 58003-2025")</f>
        <v/>
      </c>
      <c r="Y48">
        <f>HYPERLINK("https://klasma.github.io/Logging_2062/kartor_geotiff/A 58003-2025 georefererad karta.tif", "A 58003-2025")</f>
        <v/>
      </c>
      <c r="AA48">
        <f>HYPERLINK("https://klasma.github.io/Logging_2062/klagomål/A 58003-2025 FSC-klagomål.docx", "A 58003-2025")</f>
        <v/>
      </c>
      <c r="AB48">
        <f>HYPERLINK("https://klasma.github.io/Logging_2062/klagomålsmail/A 58003-2025 FSC-klagomål mail.docx", "A 58003-2025")</f>
        <v/>
      </c>
      <c r="AC48">
        <f>HYPERLINK("https://klasma.github.io/Logging_2062/tillsyn/A 58003-2025 tillsynsbegäran.docx", "A 58003-2025")</f>
        <v/>
      </c>
      <c r="AD48">
        <f>HYPERLINK("https://klasma.github.io/Logging_2062/tillsynsmail/A 58003-2025 tillsynsbegäran mail.docx", "A 58003-2025")</f>
        <v/>
      </c>
      <c r="AE48">
        <f>HYPERLINK("https://klasma.github.io/Logging_2062/fåglar/A 58003-2025 prioriterade fågelarter.docx", "A 58003-2025")</f>
        <v/>
      </c>
    </row>
    <row r="49" ht="15" customHeight="1">
      <c r="A49" t="inlineStr">
        <is>
          <t>A 49122-2025</t>
        </is>
      </c>
      <c r="B49" t="inlineStr">
        <is>
          <t>avverkningsanmälan</t>
        </is>
      </c>
      <c r="C49" t="inlineStr">
        <is>
          <t>Föryngringsavverkning</t>
        </is>
      </c>
      <c r="D49" s="1" t="n">
        <v>45937</v>
      </c>
      <c r="E49" s="1" t="n">
        <v>46319</v>
      </c>
      <c r="F49" t="inlineStr">
        <is>
          <t>DALARNAS LÄN</t>
        </is>
      </c>
      <c r="G49" t="inlineStr">
        <is>
          <t>ÄLVDALEN</t>
        </is>
      </c>
      <c r="H49" t="inlineStr">
        <is>
          <t>Sveaskog</t>
        </is>
      </c>
      <c r="I49" t="n">
        <v>4.9</v>
      </c>
      <c r="J49" t="n">
        <v>3</v>
      </c>
      <c r="K49" t="n">
        <v>3</v>
      </c>
      <c r="L49" t="n">
        <v>17</v>
      </c>
      <c r="M49" t="n">
        <v>4</v>
      </c>
      <c r="N49" t="n">
        <v>0</v>
      </c>
      <c r="O49" t="n">
        <v>0</v>
      </c>
      <c r="P49" t="n">
        <v>0</v>
      </c>
      <c r="Q49" t="n">
        <v>21</v>
      </c>
      <c r="R49" t="n">
        <v>4</v>
      </c>
      <c r="S49" t="n">
        <v>25</v>
      </c>
      <c r="T49" t="n">
        <v>59</v>
      </c>
      <c r="U49" t="n">
        <v>40</v>
      </c>
      <c r="V49" s="2" t="inlineStr">
        <is>
          <t>Garnlav
Gräddporing
Gränsticka
Smalfotad taggsvamp
Blanksvart spiklav
Blå taggsvamp
Blågrå svartspik
Dropptaggsvamp
Dvärgbägarlav
Kolflarnlav
Lavskrika
Lunglav
Mörk kolflarnlav
Reliktbock
Skrovellav
Talltagel
Talltita
Vaddporing
Vedflamlav
Vedskivlav
Violettgrå tagellav
Bronshjon
Luddlav
Vedticka
Tjäder</t>
        </is>
      </c>
      <c r="W49">
        <f>HYPERLINK("https://klasma.github.io/Logging_2039/artfynd/A 49122-2025 artfynd.xlsx", "A 49122-2025")</f>
        <v/>
      </c>
      <c r="X49">
        <f>HYPERLINK("https://klasma.github.io/Logging_2039/kartor/A 49122-2025 karta.png", "A 49122-2025")</f>
        <v/>
      </c>
      <c r="Y49">
        <f>HYPERLINK("https://klasma.github.io/Logging_2039/kartor_geotiff/A 49122-2025 georefererad karta.tif", "A 49122-2025")</f>
        <v/>
      </c>
      <c r="AA49">
        <f>HYPERLINK("https://klasma.github.io/Logging_2039/klagomål/A 49122-2025 FSC-klagomål.docx", "A 49122-2025")</f>
        <v/>
      </c>
      <c r="AB49">
        <f>HYPERLINK("https://klasma.github.io/Logging_2039/klagomålsmail/A 49122-2025 FSC-klagomål mail.docx", "A 49122-2025")</f>
        <v/>
      </c>
      <c r="AC49">
        <f>HYPERLINK("https://klasma.github.io/Logging_2039/tillsyn/A 49122-2025 tillsynsbegäran.docx", "A 49122-2025")</f>
        <v/>
      </c>
      <c r="AD49">
        <f>HYPERLINK("https://klasma.github.io/Logging_2039/tillsynsmail/A 49122-2025 tillsynsbegäran mail.docx", "A 49122-2025")</f>
        <v/>
      </c>
      <c r="AE49">
        <f>HYPERLINK("https://klasma.github.io/Logging_2039/fåglar/A 49122-2025 prioriterade fågelarter.docx", "A 49122-2025")</f>
        <v/>
      </c>
    </row>
    <row r="50" ht="15" customHeight="1">
      <c r="A50" t="inlineStr">
        <is>
          <t>A 32118-2026</t>
        </is>
      </c>
      <c r="B50" t="inlineStr">
        <is>
          <t>avverkningsanmälan</t>
        </is>
      </c>
      <c r="C50" t="inlineStr">
        <is>
          <t>Föryngringsavverkning</t>
        </is>
      </c>
      <c r="D50" s="1" t="n">
        <v>46234</v>
      </c>
      <c r="E50" s="1" t="n">
        <v>46319</v>
      </c>
      <c r="F50" t="inlineStr">
        <is>
          <t>DALARNAS LÄN</t>
        </is>
      </c>
      <c r="G50" t="inlineStr">
        <is>
          <t>ORSA</t>
        </is>
      </c>
      <c r="H50" t="inlineStr">
        <is>
          <t>Allmännings- och besparingsskogar</t>
        </is>
      </c>
      <c r="I50" t="n">
        <v>31.3</v>
      </c>
      <c r="J50" t="n">
        <v>5</v>
      </c>
      <c r="K50" t="n">
        <v>2</v>
      </c>
      <c r="L50" t="n">
        <v>17</v>
      </c>
      <c r="M50" t="n">
        <v>4</v>
      </c>
      <c r="N50" t="n">
        <v>0</v>
      </c>
      <c r="O50" t="n">
        <v>0</v>
      </c>
      <c r="P50" t="n">
        <v>0</v>
      </c>
      <c r="Q50" t="n">
        <v>21</v>
      </c>
      <c r="R50" t="n">
        <v>4</v>
      </c>
      <c r="S50" t="n">
        <v>25</v>
      </c>
      <c r="T50" t="n">
        <v>101</v>
      </c>
      <c r="U50" t="n">
        <v>101</v>
      </c>
      <c r="V50" s="2" t="inlineStr">
        <is>
          <t>Garnlav
Gräddporing
Gränsticka
Smalfotad taggsvamp
Blanksvart spiklav
Blå taggsvamp
Blågrå svartspik
Dropptaggsvamp
Grönhjon
Kolflarnlav
Kortskaftad ärgspik
Lunglav
Mörk kolflarnlav
Nordtagging
Stjärntagging
Talltita
Tretåig hackspett
Vedflamlav
Vedskivlav
Violettgrå tagellav
Vitplätt
Nästlav
Plattlummer
Tjäder
Revlummer</t>
        </is>
      </c>
      <c r="W50">
        <f>HYPERLINK("https://klasma.github.io/Logging_2034/artfynd/A 32118-2026 artfynd.xlsx", "A 32118-2026")</f>
        <v/>
      </c>
      <c r="X50">
        <f>HYPERLINK("https://klasma.github.io/Logging_2034/kartor/A 32118-2026 karta.png", "A 32118-2026")</f>
        <v/>
      </c>
      <c r="Y50">
        <f>HYPERLINK("https://klasma.github.io/Logging_2034/kartor_geotiff/A 32118-2026 georefererad karta.tif", "A 32118-2026")</f>
        <v/>
      </c>
      <c r="AA50">
        <f>HYPERLINK("https://klasma.github.io/Logging_2034/klagomål/A 32118-2026 FSC-klagomål.docx", "A 32118-2026")</f>
        <v/>
      </c>
      <c r="AB50">
        <f>HYPERLINK("https://klasma.github.io/Logging_2034/klagomålsmail/A 32118-2026 FSC-klagomål mail.docx", "A 32118-2026")</f>
        <v/>
      </c>
      <c r="AC50">
        <f>HYPERLINK("https://klasma.github.io/Logging_2034/tillsyn/A 32118-2026 tillsynsbegäran.docx", "A 32118-2026")</f>
        <v/>
      </c>
      <c r="AD50">
        <f>HYPERLINK("https://klasma.github.io/Logging_2034/tillsynsmail/A 32118-2026 tillsynsbegäran mail.docx", "A 32118-2026")</f>
        <v/>
      </c>
      <c r="AE50">
        <f>HYPERLINK("https://klasma.github.io/Logging_2034/fåglar/A 32118-2026 prioriterade fågelarter.docx", "A 32118-2026")</f>
        <v/>
      </c>
    </row>
    <row r="51" ht="15" customHeight="1">
      <c r="A51" t="inlineStr">
        <is>
          <t>A 34803-2026</t>
        </is>
      </c>
      <c r="B51" t="inlineStr">
        <is>
          <t>avverkningsanmälan</t>
        </is>
      </c>
      <c r="C51" t="inlineStr">
        <is>
          <t>Föryngringsavverkning</t>
        </is>
      </c>
      <c r="D51" s="1" t="n">
        <v>46255</v>
      </c>
      <c r="E51" s="1" t="n">
        <v>46319</v>
      </c>
      <c r="F51" t="inlineStr">
        <is>
          <t>DALARNAS LÄN</t>
        </is>
      </c>
      <c r="G51" t="inlineStr">
        <is>
          <t>ÄLVDALEN</t>
        </is>
      </c>
      <c r="H51" t="inlineStr">
        <is>
          <t>Allmännings- och besparingsskogar</t>
        </is>
      </c>
      <c r="I51" t="n">
        <v>17.7</v>
      </c>
      <c r="J51" t="n">
        <v>5</v>
      </c>
      <c r="K51" t="n">
        <v>1</v>
      </c>
      <c r="L51" t="n">
        <v>18</v>
      </c>
      <c r="M51" t="n">
        <v>4</v>
      </c>
      <c r="N51" t="n">
        <v>0</v>
      </c>
      <c r="O51" t="n">
        <v>0</v>
      </c>
      <c r="P51" t="n">
        <v>0</v>
      </c>
      <c r="Q51" t="n">
        <v>22</v>
      </c>
      <c r="R51" t="n">
        <v>4</v>
      </c>
      <c r="S51" t="n">
        <v>25</v>
      </c>
      <c r="T51" t="n">
        <v>100</v>
      </c>
      <c r="U51" t="n">
        <v>100</v>
      </c>
      <c r="V51" s="2" t="inlineStr">
        <is>
          <t>Garnlav
Gräddporing
Laxgröppa
Raggbock
Blanksvart spiklav
Blågrå svartspik
Dropptaggsvamp
Dvärgbägarlav
Grå blåbärsfältmätare
Kolflarnlav
Kortskaftad ärgspik
Lunglav
Mörk kolflarnlav
Nordtagging
Stjärntagging
Talltita
Tretåig hackspett
Vaddporing
Varglav
Vedflamlav
Vedskivlav
Vitplätt
Plattlummer
Spillkråka
Sälg</t>
        </is>
      </c>
      <c r="W51">
        <f>HYPERLINK("https://klasma.github.io/Logging_2039/artfynd/A 34803-2026 artfynd.xlsx", "A 34803-2026")</f>
        <v/>
      </c>
      <c r="X51">
        <f>HYPERLINK("https://klasma.github.io/Logging_2039/kartor/A 34803-2026 karta.png", "A 34803-2026")</f>
        <v/>
      </c>
      <c r="Y51">
        <f>HYPERLINK("https://klasma.github.io/Logging_2039/kartor_geotiff/A 34803-2026 georefererad karta.tif", "A 34803-2026")</f>
        <v/>
      </c>
      <c r="AA51">
        <f>HYPERLINK("https://klasma.github.io/Logging_2039/klagomål/A 34803-2026 FSC-klagomål.docx", "A 34803-2026")</f>
        <v/>
      </c>
      <c r="AB51">
        <f>HYPERLINK("https://klasma.github.io/Logging_2039/klagomålsmail/A 34803-2026 FSC-klagomål mail.docx", "A 34803-2026")</f>
        <v/>
      </c>
      <c r="AC51">
        <f>HYPERLINK("https://klasma.github.io/Logging_2039/tillsyn/A 34803-2026 tillsynsbegäran.docx", "A 34803-2026")</f>
        <v/>
      </c>
      <c r="AD51">
        <f>HYPERLINK("https://klasma.github.io/Logging_2039/tillsynsmail/A 34803-2026 tillsynsbegäran mail.docx", "A 34803-2026")</f>
        <v/>
      </c>
      <c r="AE51">
        <f>HYPERLINK("https://klasma.github.io/Logging_2039/fåglar/A 34803-2026 prioriterade fågelarter.docx", "A 34803-2026")</f>
        <v/>
      </c>
    </row>
    <row r="52" ht="15" customHeight="1">
      <c r="A52" t="inlineStr">
        <is>
          <t>S 2621-2026</t>
        </is>
      </c>
      <c r="B52" t="inlineStr">
        <is>
          <t>samrådsanmälan</t>
        </is>
      </c>
      <c r="C52" t="inlineStr">
        <is>
          <t>Annan skogsbruksåtgärd</t>
        </is>
      </c>
      <c r="D52" s="1" t="n">
        <v>46301</v>
      </c>
      <c r="E52" s="1" t="n">
        <v>46319</v>
      </c>
      <c r="F52" t="inlineStr">
        <is>
          <t>DALARNAS LÄN</t>
        </is>
      </c>
      <c r="G52" t="inlineStr">
        <is>
          <t>ÄLVDALEN</t>
        </is>
      </c>
      <c r="H52" t="inlineStr">
        <is>
          <t>Sveaskog</t>
        </is>
      </c>
      <c r="I52" t="n">
        <v>8.800000000000001</v>
      </c>
      <c r="J52" t="n">
        <v>4</v>
      </c>
      <c r="K52" t="n">
        <v>2</v>
      </c>
      <c r="L52" t="n">
        <v>18</v>
      </c>
      <c r="M52" t="n">
        <v>3</v>
      </c>
      <c r="N52" t="n">
        <v>0</v>
      </c>
      <c r="O52" t="n">
        <v>0</v>
      </c>
      <c r="P52" t="n">
        <v>0</v>
      </c>
      <c r="Q52" t="n">
        <v>21</v>
      </c>
      <c r="R52" t="n">
        <v>3</v>
      </c>
      <c r="S52" t="n">
        <v>25</v>
      </c>
      <c r="T52" t="n">
        <v>59</v>
      </c>
      <c r="U52" t="n">
        <v>25</v>
      </c>
      <c r="V52" s="2" t="inlineStr">
        <is>
          <t>Garnlav
Gränsticka
Smalfotad taggsvamp
Blanksvart spiklav
Blå taggsvamp
Blågrå svartspik
Dropptaggsvamp
Dvärgbägarlav
Kolflarnlav
Mörk kolflarnlav
Nordtagging
Svartvit taggsvamp
Talltagel
Tallticka
Talltita
Tretåig hackspett
Vaddporing
Vedflamlav
Vedskivlav
Vedtrappmossa
Vitgrynig nållav
Plattlummer
Svavelriska
Kransmossa
Revlummer</t>
        </is>
      </c>
      <c r="W52">
        <f>HYPERLINK("https://klasma.github.io/Logging_2039/artfynd/S 2621-2026 artfynd.xlsx", "S 2621-2026")</f>
        <v/>
      </c>
      <c r="X52">
        <f>HYPERLINK("https://klasma.github.io/Logging_2039/kartor/S 2621-2026 karta.png", "S 2621-2026")</f>
        <v/>
      </c>
      <c r="Y52">
        <f>HYPERLINK("https://klasma.github.io/Logging_2039/kartor_geotiff/S 2621-2026 georefererad karta.tif", "S 2621-2026")</f>
        <v/>
      </c>
      <c r="AA52">
        <f>HYPERLINK("https://klasma.github.io/Logging_2039/klagomål/S 2621-2026 FSC-klagomål.docx", "S 2621-2026")</f>
        <v/>
      </c>
      <c r="AB52">
        <f>HYPERLINK("https://klasma.github.io/Logging_2039/klagomålsmail/S 2621-2026 FSC-klagomål mail.docx", "S 2621-2026")</f>
        <v/>
      </c>
      <c r="AC52">
        <f>HYPERLINK("https://klasma.github.io/Logging_2039/tillsyn/S 2621-2026 tillsynsbegäran.docx", "S 2621-2026")</f>
        <v/>
      </c>
      <c r="AD52">
        <f>HYPERLINK("https://klasma.github.io/Logging_2039/tillsynsmail/S 2621-2026 tillsynsbegäran mail.docx", "S 2621-2026")</f>
        <v/>
      </c>
      <c r="AE52">
        <f>HYPERLINK("https://klasma.github.io/Logging_2039/fåglar/S 2621-2026 prioriterade fågelarter.docx", "S 2621-2026")</f>
        <v/>
      </c>
    </row>
    <row r="53" ht="15" customHeight="1">
      <c r="A53" t="inlineStr">
        <is>
          <t>A 29336-2026</t>
        </is>
      </c>
      <c r="B53" t="inlineStr">
        <is>
          <t>avverkningsanmälan</t>
        </is>
      </c>
      <c r="C53" t="inlineStr">
        <is>
          <t>Föryngringsavverkning</t>
        </is>
      </c>
      <c r="D53" s="1" t="n">
        <v>46202</v>
      </c>
      <c r="E53" s="1" t="n">
        <v>46319</v>
      </c>
      <c r="F53" t="inlineStr">
        <is>
          <t>DALARNAS LÄN</t>
        </is>
      </c>
      <c r="G53" t="inlineStr">
        <is>
          <t>ÄLVDALEN</t>
        </is>
      </c>
      <c r="I53" t="n">
        <v>5.2</v>
      </c>
      <c r="J53" t="n">
        <v>10</v>
      </c>
      <c r="K53" t="n">
        <v>5</v>
      </c>
      <c r="L53" t="n">
        <v>9</v>
      </c>
      <c r="M53" t="n">
        <v>2</v>
      </c>
      <c r="N53" t="n">
        <v>0</v>
      </c>
      <c r="O53" t="n">
        <v>0</v>
      </c>
      <c r="P53" t="n">
        <v>0</v>
      </c>
      <c r="Q53" t="n">
        <v>11</v>
      </c>
      <c r="R53" t="n">
        <v>2</v>
      </c>
      <c r="S53" t="n">
        <v>24</v>
      </c>
      <c r="T53" t="n">
        <v>161</v>
      </c>
      <c r="U53" t="n">
        <v>161</v>
      </c>
      <c r="V53" s="2" t="inlineStr">
        <is>
          <t>Garnlav
Knärot
Gransotdyna
Kattfotslav
Rynkskinn
Skogshare
Talltita
Tretåig hackspett
Ullticka
Vedskivlav
Violettgrå tagellav
Bronshjon
Mindre märgborre
Plattlummer
Spindelblomster
Vedticka
Linnea
Spillkråka
Sälg
Tjäder
Tofsmes
Torta
Fläcknycklar
Revlummer</t>
        </is>
      </c>
      <c r="W53">
        <f>HYPERLINK("https://klasma.github.io/Logging_2039/artfynd/A 29336-2026 artfynd.xlsx", "A 29336-2026")</f>
        <v/>
      </c>
      <c r="X53">
        <f>HYPERLINK("https://klasma.github.io/Logging_2039/kartor/A 29336-2026 karta.png", "A 29336-2026")</f>
        <v/>
      </c>
      <c r="Y53">
        <f>HYPERLINK("https://klasma.github.io/Logging_2039/kartor_geotiff/A 29336-2026 georefererad karta.tif", "A 29336-2026")</f>
        <v/>
      </c>
      <c r="Z53">
        <f>HYPERLINK("https://klasma.github.io/Logging_2039/knärot/A 29336-2026 karta knärot.png", "A 29336-2026")</f>
        <v/>
      </c>
      <c r="AA53">
        <f>HYPERLINK("https://klasma.github.io/Logging_2039/klagomål/A 29336-2026 FSC-klagomål.docx", "A 29336-2026")</f>
        <v/>
      </c>
      <c r="AB53">
        <f>HYPERLINK("https://klasma.github.io/Logging_2039/klagomålsmail/A 29336-2026 FSC-klagomål mail.docx", "A 29336-2026")</f>
        <v/>
      </c>
      <c r="AC53">
        <f>HYPERLINK("https://klasma.github.io/Logging_2039/tillsyn/A 29336-2026 tillsynsbegäran.docx", "A 29336-2026")</f>
        <v/>
      </c>
      <c r="AD53">
        <f>HYPERLINK("https://klasma.github.io/Logging_2039/tillsynsmail/A 29336-2026 tillsynsbegäran mail.docx", "A 29336-2026")</f>
        <v/>
      </c>
      <c r="AE53">
        <f>HYPERLINK("https://klasma.github.io/Logging_2039/fåglar/A 29336-2026 prioriterade fågelarter.docx", "A 29336-2026")</f>
        <v/>
      </c>
    </row>
    <row r="54" ht="15" customHeight="1">
      <c r="A54" t="inlineStr">
        <is>
          <t>A 41585-2025</t>
        </is>
      </c>
      <c r="B54" t="inlineStr">
        <is>
          <t>avverkningsanmälan</t>
        </is>
      </c>
      <c r="C54" t="inlineStr">
        <is>
          <t>Föryngringsavverkning</t>
        </is>
      </c>
      <c r="D54" s="1" t="n">
        <v>45901</v>
      </c>
      <c r="E54" s="1" t="n">
        <v>46319</v>
      </c>
      <c r="F54" t="inlineStr">
        <is>
          <t>DALARNAS LÄN</t>
        </is>
      </c>
      <c r="G54" t="inlineStr">
        <is>
          <t>ÄLVDALEN</t>
        </is>
      </c>
      <c r="H54" t="inlineStr">
        <is>
          <t>Allmännings- och besparingsskogar</t>
        </is>
      </c>
      <c r="I54" t="n">
        <v>21.3</v>
      </c>
      <c r="J54" t="n">
        <v>8</v>
      </c>
      <c r="K54" t="n">
        <v>7</v>
      </c>
      <c r="L54" t="n">
        <v>11</v>
      </c>
      <c r="M54" t="n">
        <v>2</v>
      </c>
      <c r="N54" t="n">
        <v>0</v>
      </c>
      <c r="O54" t="n">
        <v>0</v>
      </c>
      <c r="P54" t="n">
        <v>0</v>
      </c>
      <c r="Q54" t="n">
        <v>13</v>
      </c>
      <c r="R54" t="n">
        <v>2</v>
      </c>
      <c r="S54" t="n">
        <v>24</v>
      </c>
      <c r="T54" t="n">
        <v>230</v>
      </c>
      <c r="U54" t="n">
        <v>230</v>
      </c>
      <c r="V54" s="2" t="inlineStr">
        <is>
          <t>Garnlav
Knärot
Dropptaggsvamp
Kolflarnlav
Kortskaftad ärgspik
Mörk kolflarnlav
Skrovellav
Talltita
Tretåig hackspett
Ullticka
Vedskivlav
Violettgrå tagellav
Vitgrynig nållav
Bårdlav
Gulnål
Luddlav
Plattlummer
Skinnlav
Stuplav
Vedticka
Spillkråka
Tjäder
Kungsfågel
Revlummer</t>
        </is>
      </c>
      <c r="W54">
        <f>HYPERLINK("https://klasma.github.io/Logging_2039/artfynd/A 41585-2025 artfynd.xlsx", "A 41585-2025")</f>
        <v/>
      </c>
      <c r="X54">
        <f>HYPERLINK("https://klasma.github.io/Logging_2039/kartor/A 41585-2025 karta.png", "A 41585-2025")</f>
        <v/>
      </c>
      <c r="Y54">
        <f>HYPERLINK("https://klasma.github.io/Logging_2039/kartor_geotiff/A 41585-2025 georefererad karta.tif", "A 41585-2025")</f>
        <v/>
      </c>
      <c r="Z54">
        <f>HYPERLINK("https://klasma.github.io/Logging_2039/knärot/A 41585-2025 karta knärot.png", "A 41585-2025")</f>
        <v/>
      </c>
      <c r="AA54">
        <f>HYPERLINK("https://klasma.github.io/Logging_2039/klagomål/A 41585-2025 FSC-klagomål.docx", "A 41585-2025")</f>
        <v/>
      </c>
      <c r="AB54">
        <f>HYPERLINK("https://klasma.github.io/Logging_2039/klagomålsmail/A 41585-2025 FSC-klagomål mail.docx", "A 41585-2025")</f>
        <v/>
      </c>
      <c r="AC54">
        <f>HYPERLINK("https://klasma.github.io/Logging_2039/tillsyn/A 41585-2025 tillsynsbegäran.docx", "A 41585-2025")</f>
        <v/>
      </c>
      <c r="AD54">
        <f>HYPERLINK("https://klasma.github.io/Logging_2039/tillsynsmail/A 41585-2025 tillsynsbegäran mail.docx", "A 41585-2025")</f>
        <v/>
      </c>
      <c r="AE54">
        <f>HYPERLINK("https://klasma.github.io/Logging_2039/fåglar/A 41585-2025 prioriterade fågelarter.docx", "A 41585-2025")</f>
        <v/>
      </c>
    </row>
    <row r="55" ht="15" customHeight="1">
      <c r="A55" t="inlineStr">
        <is>
          <t>A 34895-2026</t>
        </is>
      </c>
      <c r="B55" t="inlineStr">
        <is>
          <t>avverkningsanmälan</t>
        </is>
      </c>
      <c r="C55" t="inlineStr">
        <is>
          <t>Föryngringsavverkning</t>
        </is>
      </c>
      <c r="D55" s="1" t="n">
        <v>46259</v>
      </c>
      <c r="E55" s="1" t="n">
        <v>46319</v>
      </c>
      <c r="F55" t="inlineStr">
        <is>
          <t>DALARNAS LÄN</t>
        </is>
      </c>
      <c r="G55" t="inlineStr">
        <is>
          <t>ÄLVDALEN</t>
        </is>
      </c>
      <c r="H55" t="inlineStr">
        <is>
          <t>Allmännings- och besparingsskogar</t>
        </is>
      </c>
      <c r="I55" t="n">
        <v>18.8</v>
      </c>
      <c r="J55" t="n">
        <v>10</v>
      </c>
      <c r="K55" t="n">
        <v>2</v>
      </c>
      <c r="L55" t="n">
        <v>14</v>
      </c>
      <c r="M55" t="n">
        <v>1</v>
      </c>
      <c r="N55" t="n">
        <v>0</v>
      </c>
      <c r="O55" t="n">
        <v>0</v>
      </c>
      <c r="P55" t="n">
        <v>0</v>
      </c>
      <c r="Q55" t="n">
        <v>15</v>
      </c>
      <c r="R55" t="n">
        <v>1</v>
      </c>
      <c r="S55" t="n">
        <v>24</v>
      </c>
      <c r="T55" t="n">
        <v>326</v>
      </c>
      <c r="U55" t="n">
        <v>167</v>
      </c>
      <c r="V55" s="2" t="inlineStr">
        <is>
          <t>Garnlav
Blanksvart spiklav
Dropptaggsvamp
Dvärgbägarlav
Kolflarnlav
Mörk kolflarnlav
Skogshare
Slåtterfibbla
Svartvit taggsvamp
Talltagel
Tallticka
Talltita
Tretåig hackspett
Vedflamlav
Vedskivlav
Mindre märgborre
Plattlummer
Järpe
Spillkråka
Tjäder
Brudsporre
Fläcknycklar
Nattviol
Revlummer</t>
        </is>
      </c>
      <c r="W55">
        <f>HYPERLINK("https://klasma.github.io/Logging_2039/artfynd/A 34895-2026 artfynd.xlsx", "A 34895-2026")</f>
        <v/>
      </c>
      <c r="X55">
        <f>HYPERLINK("https://klasma.github.io/Logging_2039/kartor/A 34895-2026 karta.png", "A 34895-2026")</f>
        <v/>
      </c>
      <c r="Y55">
        <f>HYPERLINK("https://klasma.github.io/Logging_2039/kartor_geotiff/A 34895-2026 georefererad karta.tif", "A 34895-2026")</f>
        <v/>
      </c>
      <c r="AA55">
        <f>HYPERLINK("https://klasma.github.io/Logging_2039/klagomål/A 34895-2026 FSC-klagomål.docx", "A 34895-2026")</f>
        <v/>
      </c>
      <c r="AB55">
        <f>HYPERLINK("https://klasma.github.io/Logging_2039/klagomålsmail/A 34895-2026 FSC-klagomål mail.docx", "A 34895-2026")</f>
        <v/>
      </c>
      <c r="AC55">
        <f>HYPERLINK("https://klasma.github.io/Logging_2039/tillsyn/A 34895-2026 tillsynsbegäran.docx", "A 34895-2026")</f>
        <v/>
      </c>
      <c r="AD55">
        <f>HYPERLINK("https://klasma.github.io/Logging_2039/tillsynsmail/A 34895-2026 tillsynsbegäran mail.docx", "A 34895-2026")</f>
        <v/>
      </c>
      <c r="AE55">
        <f>HYPERLINK("https://klasma.github.io/Logging_2039/fåglar/A 34895-2026 prioriterade fågelarter.docx", "A 34895-2026")</f>
        <v/>
      </c>
    </row>
    <row r="56" ht="15" customHeight="1">
      <c r="A56" t="inlineStr">
        <is>
          <t>S 780-2025</t>
        </is>
      </c>
      <c r="B56" t="inlineStr">
        <is>
          <t>samrådsanmälan</t>
        </is>
      </c>
      <c r="C56" t="inlineStr">
        <is>
          <t>Annan skogsbruksåtgärd</t>
        </is>
      </c>
      <c r="D56" s="1" t="n">
        <v>45728</v>
      </c>
      <c r="E56" s="1" t="n">
        <v>46319</v>
      </c>
      <c r="F56" t="inlineStr">
        <is>
          <t>DALARNAS LÄN</t>
        </is>
      </c>
      <c r="G56" t="inlineStr">
        <is>
          <t>RÄTTVIK</t>
        </is>
      </c>
      <c r="H56" t="inlineStr">
        <is>
          <t>Bergvik skog väst AB</t>
        </is>
      </c>
      <c r="I56" t="n">
        <v>78.8</v>
      </c>
      <c r="J56" t="n">
        <v>1</v>
      </c>
      <c r="K56" t="n">
        <v>7</v>
      </c>
      <c r="L56" t="n">
        <v>13</v>
      </c>
      <c r="M56" t="n">
        <v>4</v>
      </c>
      <c r="N56" t="n">
        <v>0</v>
      </c>
      <c r="O56" t="n">
        <v>0</v>
      </c>
      <c r="P56" t="n">
        <v>0</v>
      </c>
      <c r="Q56" t="n">
        <v>17</v>
      </c>
      <c r="R56" t="n">
        <v>4</v>
      </c>
      <c r="S56" t="n">
        <v>24</v>
      </c>
      <c r="T56" t="n">
        <v>115</v>
      </c>
      <c r="U56" t="n">
        <v>13</v>
      </c>
      <c r="V56" s="2" t="inlineStr">
        <is>
          <t>Gräddporing
Laxporing
Raggbock
Skrovlig taggsvamp
Dropptaggsvamp
Dvärgbägarlav
Kolflarnlav
Kortskaftad ärgspik
Lunglav
Motaggsvamp
Mörk kolflarnlav
Nordtagging
Skuggblåslav
Tretåig hackspett
Vaddporing
Vedflamlav
Vedskivlav
Bollvitmossa
Jättesvampmal
Mindre märgborre
Rävticka
Skinnlav
Stuplav
Vedticka</t>
        </is>
      </c>
      <c r="W56">
        <f>HYPERLINK("https://klasma.github.io/Logging_2031/artfynd/S 780-2025 artfynd.xlsx", "S 780-2025")</f>
        <v/>
      </c>
      <c r="X56">
        <f>HYPERLINK("https://klasma.github.io/Logging_2031/kartor/S 780-2025 karta.png", "S 780-2025")</f>
        <v/>
      </c>
      <c r="Y56">
        <f>HYPERLINK("https://klasma.github.io/Logging_2031/kartor_geotiff/S 780-2025 georefererad karta.tif", "S 780-2025")</f>
        <v/>
      </c>
      <c r="AA56">
        <f>HYPERLINK("https://klasma.github.io/Logging_2031/klagomål/S 780-2025 FSC-klagomål.docx", "S 780-2025")</f>
        <v/>
      </c>
      <c r="AB56">
        <f>HYPERLINK("https://klasma.github.io/Logging_2031/klagomålsmail/S 780-2025 FSC-klagomål mail.docx", "S 780-2025")</f>
        <v/>
      </c>
      <c r="AC56">
        <f>HYPERLINK("https://klasma.github.io/Logging_2031/tillsyn/S 780-2025 tillsynsbegäran.docx", "S 780-2025")</f>
        <v/>
      </c>
      <c r="AD56">
        <f>HYPERLINK("https://klasma.github.io/Logging_2031/tillsynsmail/S 780-2025 tillsynsbegäran mail.docx", "S 780-2025")</f>
        <v/>
      </c>
      <c r="AE56">
        <f>HYPERLINK("https://klasma.github.io/Logging_2031/fåglar/S 780-2025 prioriterade fågelarter.docx", "S 780-2025")</f>
        <v/>
      </c>
    </row>
    <row r="57" ht="15" customHeight="1">
      <c r="A57" t="inlineStr">
        <is>
          <t>A 47952-2023</t>
        </is>
      </c>
      <c r="B57" t="inlineStr">
        <is>
          <t>avverkningsanmälan</t>
        </is>
      </c>
      <c r="C57" t="inlineStr">
        <is>
          <t>Föryngringsavverkning</t>
        </is>
      </c>
      <c r="D57" s="1" t="n">
        <v>45204</v>
      </c>
      <c r="E57" s="1" t="n">
        <v>46319</v>
      </c>
      <c r="F57" t="inlineStr">
        <is>
          <t>DALARNAS LÄN</t>
        </is>
      </c>
      <c r="G57" t="inlineStr">
        <is>
          <t>ORSA</t>
        </is>
      </c>
      <c r="H57" t="inlineStr">
        <is>
          <t>Allmännings- och besparingsskogar</t>
        </is>
      </c>
      <c r="I57" t="n">
        <v>15.2</v>
      </c>
      <c r="J57" t="n">
        <v>3</v>
      </c>
      <c r="K57" t="n">
        <v>6</v>
      </c>
      <c r="L57" t="n">
        <v>13</v>
      </c>
      <c r="M57" t="n">
        <v>3</v>
      </c>
      <c r="N57" t="n">
        <v>0</v>
      </c>
      <c r="O57" t="n">
        <v>0</v>
      </c>
      <c r="P57" t="n">
        <v>0</v>
      </c>
      <c r="Q57" t="n">
        <v>16</v>
      </c>
      <c r="R57" t="n">
        <v>3</v>
      </c>
      <c r="S57" t="n">
        <v>23</v>
      </c>
      <c r="T57" t="n">
        <v>265</v>
      </c>
      <c r="U57" t="n">
        <v>265</v>
      </c>
      <c r="V57" s="2" t="inlineStr">
        <is>
          <t>Garnlav
Gräddporing
Skuggnål
Doftskinn
Dropptaggsvamp
Dvärgbägarlav
Grynig filtlav
Kolflarnlav
Lunglav
Mörk kolflarnlav
Skrovellav
Tretåig hackspett
Vedflamlav
Vedskivlav
Violettgrå tagellav
Vitgrynig nållav
Bårdlav
Norrlandslav
Nästlav
Plattlummer
Stuplav
Vågbandad barkbock
Tjäder</t>
        </is>
      </c>
      <c r="W57">
        <f>HYPERLINK("https://klasma.github.io/Logging_2034/artfynd/A 47952-2023 artfynd.xlsx", "A 47952-2023")</f>
        <v/>
      </c>
      <c r="X57">
        <f>HYPERLINK("https://klasma.github.io/Logging_2034/kartor/A 47952-2023 karta.png", "A 47952-2023")</f>
        <v/>
      </c>
      <c r="Y57">
        <f>HYPERLINK("https://klasma.github.io/Logging_2034/kartor_geotiff/A 47952-2023 georefererad karta.tif", "A 47952-2023")</f>
        <v/>
      </c>
      <c r="AA57">
        <f>HYPERLINK("https://klasma.github.io/Logging_2034/klagomål/A 47952-2023 FSC-klagomål.docx", "A 47952-2023")</f>
        <v/>
      </c>
      <c r="AB57">
        <f>HYPERLINK("https://klasma.github.io/Logging_2034/klagomålsmail/A 47952-2023 FSC-klagomål mail.docx", "A 47952-2023")</f>
        <v/>
      </c>
      <c r="AC57">
        <f>HYPERLINK("https://klasma.github.io/Logging_2034/tillsyn/A 47952-2023 tillsynsbegäran.docx", "A 47952-2023")</f>
        <v/>
      </c>
      <c r="AD57">
        <f>HYPERLINK("https://klasma.github.io/Logging_2034/tillsynsmail/A 47952-2023 tillsynsbegäran mail.docx", "A 47952-2023")</f>
        <v/>
      </c>
      <c r="AE57">
        <f>HYPERLINK("https://klasma.github.io/Logging_2034/fåglar/A 47952-2023 prioriterade fågelarter.docx", "A 47952-2023")</f>
        <v/>
      </c>
    </row>
    <row r="58" ht="15" customHeight="1">
      <c r="A58" t="inlineStr">
        <is>
          <t>A 47917-2023</t>
        </is>
      </c>
      <c r="B58" t="inlineStr">
        <is>
          <t>avverkningsanmälan</t>
        </is>
      </c>
      <c r="C58" t="inlineStr">
        <is>
          <t>Föryngringsavverkning</t>
        </is>
      </c>
      <c r="D58" s="1" t="n">
        <v>45204</v>
      </c>
      <c r="E58" s="1" t="n">
        <v>46319</v>
      </c>
      <c r="F58" t="inlineStr">
        <is>
          <t>DALARNAS LÄN</t>
        </is>
      </c>
      <c r="G58" t="inlineStr">
        <is>
          <t>ORSA</t>
        </is>
      </c>
      <c r="H58" t="inlineStr">
        <is>
          <t>Allmännings- och besparingsskogar</t>
        </is>
      </c>
      <c r="I58" t="n">
        <v>23.3</v>
      </c>
      <c r="J58" t="n">
        <v>6</v>
      </c>
      <c r="K58" t="n">
        <v>3</v>
      </c>
      <c r="L58" t="n">
        <v>14</v>
      </c>
      <c r="M58" t="n">
        <v>3</v>
      </c>
      <c r="N58" t="n">
        <v>0</v>
      </c>
      <c r="O58" t="n">
        <v>0</v>
      </c>
      <c r="P58" t="n">
        <v>0</v>
      </c>
      <c r="Q58" t="n">
        <v>17</v>
      </c>
      <c r="R58" t="n">
        <v>3</v>
      </c>
      <c r="S58" t="n">
        <v>23</v>
      </c>
      <c r="T58" t="n">
        <v>161</v>
      </c>
      <c r="U58" t="n">
        <v>161</v>
      </c>
      <c r="V58" s="2" t="inlineStr">
        <is>
          <t>Garnlav
Gräddporing
Luggskinn
Blanksvart spiklav
Dropptaggsvamp
Dvärgbägarlav
Gärdselskinn
Kolflarnlav
Kortskaftad ärgspik
Mörk kolflarnlav
Nordtagging
Tretåig hackspett
Ullticka
Varglav
Vedflamlav
Vedskivlav
Violettgrå tagellav
Korallblylav
Plattlummer
Stuplav
Spillkråka
Tjäder
Ängsnycklar</t>
        </is>
      </c>
      <c r="W58">
        <f>HYPERLINK("https://klasma.github.io/Logging_2034/artfynd/A 47917-2023 artfynd.xlsx", "A 47917-2023")</f>
        <v/>
      </c>
      <c r="X58">
        <f>HYPERLINK("https://klasma.github.io/Logging_2034/kartor/A 47917-2023 karta.png", "A 47917-2023")</f>
        <v/>
      </c>
      <c r="Y58">
        <f>HYPERLINK("https://klasma.github.io/Logging_2034/kartor_geotiff/A 47917-2023 georefererad karta.tif", "A 47917-2023")</f>
        <v/>
      </c>
      <c r="AA58">
        <f>HYPERLINK("https://klasma.github.io/Logging_2034/klagomål/A 47917-2023 FSC-klagomål.docx", "A 47917-2023")</f>
        <v/>
      </c>
      <c r="AB58">
        <f>HYPERLINK("https://klasma.github.io/Logging_2034/klagomålsmail/A 47917-2023 FSC-klagomål mail.docx", "A 47917-2023")</f>
        <v/>
      </c>
      <c r="AC58">
        <f>HYPERLINK("https://klasma.github.io/Logging_2034/tillsyn/A 47917-2023 tillsynsbegäran.docx", "A 47917-2023")</f>
        <v/>
      </c>
      <c r="AD58">
        <f>HYPERLINK("https://klasma.github.io/Logging_2034/tillsynsmail/A 47917-2023 tillsynsbegäran mail.docx", "A 47917-2023")</f>
        <v/>
      </c>
      <c r="AE58">
        <f>HYPERLINK("https://klasma.github.io/Logging_2034/fåglar/A 47917-2023 prioriterade fågelarter.docx", "A 47917-2023")</f>
        <v/>
      </c>
    </row>
    <row r="59" ht="15" customHeight="1">
      <c r="A59" t="inlineStr">
        <is>
          <t>A 34094-2026</t>
        </is>
      </c>
      <c r="B59" t="inlineStr">
        <is>
          <t>avverkningsanmälan</t>
        </is>
      </c>
      <c r="C59" t="inlineStr">
        <is>
          <t>Föryngringsavverkning</t>
        </is>
      </c>
      <c r="D59" s="1" t="n">
        <v>46252</v>
      </c>
      <c r="E59" s="1" t="n">
        <v>46319</v>
      </c>
      <c r="F59" t="inlineStr">
        <is>
          <t>DALARNAS LÄN</t>
        </is>
      </c>
      <c r="G59" t="inlineStr">
        <is>
          <t>ÄLVDALEN</t>
        </is>
      </c>
      <c r="H59" t="inlineStr">
        <is>
          <t>Allmännings- och besparingsskogar</t>
        </is>
      </c>
      <c r="I59" t="n">
        <v>10.1</v>
      </c>
      <c r="J59" t="n">
        <v>3</v>
      </c>
      <c r="K59" t="n">
        <v>2</v>
      </c>
      <c r="L59" t="n">
        <v>15</v>
      </c>
      <c r="M59" t="n">
        <v>5</v>
      </c>
      <c r="N59" t="n">
        <v>0</v>
      </c>
      <c r="O59" t="n">
        <v>0</v>
      </c>
      <c r="P59" t="n">
        <v>0</v>
      </c>
      <c r="Q59" t="n">
        <v>20</v>
      </c>
      <c r="R59" t="n">
        <v>5</v>
      </c>
      <c r="S59" t="n">
        <v>23</v>
      </c>
      <c r="T59" t="n">
        <v>169</v>
      </c>
      <c r="U59" t="n">
        <v>158</v>
      </c>
      <c r="V59" s="2" t="inlineStr">
        <is>
          <t>Fläckporing
Garnlav
Gräddporing
Rotfingersvamp
Spadskinn
Blanksvart spiklav
Blågrå svartspik
Dropptaggsvamp
Dvärgbägarlav
Kolflarnlav
Kådvaxskinn
Mörk kolflarnlav
Nordtagging
Talltita
Tretåig hackspett
Vaddporing
Vedflamlav
Vedskivlav
Violettgrå tagellav
Vitgrynig nållav
Nästlav
Stuplav
Tjäder</t>
        </is>
      </c>
      <c r="W59">
        <f>HYPERLINK("https://klasma.github.io/Logging_2039/artfynd/A 34094-2026 artfynd.xlsx", "A 34094-2026")</f>
        <v/>
      </c>
      <c r="X59">
        <f>HYPERLINK("https://klasma.github.io/Logging_2039/kartor/A 34094-2026 karta.png", "A 34094-2026")</f>
        <v/>
      </c>
      <c r="Y59">
        <f>HYPERLINK("https://klasma.github.io/Logging_2039/kartor_geotiff/A 34094-2026 georefererad karta.tif", "A 34094-2026")</f>
        <v/>
      </c>
      <c r="AA59">
        <f>HYPERLINK("https://klasma.github.io/Logging_2039/klagomål/A 34094-2026 FSC-klagomål.docx", "A 34094-2026")</f>
        <v/>
      </c>
      <c r="AB59">
        <f>HYPERLINK("https://klasma.github.io/Logging_2039/klagomålsmail/A 34094-2026 FSC-klagomål mail.docx", "A 34094-2026")</f>
        <v/>
      </c>
      <c r="AC59">
        <f>HYPERLINK("https://klasma.github.io/Logging_2039/tillsyn/A 34094-2026 tillsynsbegäran.docx", "A 34094-2026")</f>
        <v/>
      </c>
      <c r="AD59">
        <f>HYPERLINK("https://klasma.github.io/Logging_2039/tillsynsmail/A 34094-2026 tillsynsbegäran mail.docx", "A 34094-2026")</f>
        <v/>
      </c>
      <c r="AE59">
        <f>HYPERLINK("https://klasma.github.io/Logging_2039/fåglar/A 34094-2026 prioriterade fågelarter.docx", "A 34094-2026")</f>
        <v/>
      </c>
    </row>
    <row r="60" ht="15" customHeight="1">
      <c r="A60" t="inlineStr">
        <is>
          <t>A 47866-2025</t>
        </is>
      </c>
      <c r="B60" t="inlineStr">
        <is>
          <t>avverkningsanmälan</t>
        </is>
      </c>
      <c r="C60" t="inlineStr">
        <is>
          <t>Föryngringsavverkning</t>
        </is>
      </c>
      <c r="D60" s="1" t="n">
        <v>45932</v>
      </c>
      <c r="E60" s="1" t="n">
        <v>46319</v>
      </c>
      <c r="F60" t="inlineStr">
        <is>
          <t>DALARNAS LÄN</t>
        </is>
      </c>
      <c r="G60" t="inlineStr">
        <is>
          <t>MORA</t>
        </is>
      </c>
      <c r="I60" t="n">
        <v>13.1</v>
      </c>
      <c r="J60" t="n">
        <v>7</v>
      </c>
      <c r="K60" t="n">
        <v>6</v>
      </c>
      <c r="L60" t="n">
        <v>10</v>
      </c>
      <c r="M60" t="n">
        <v>4</v>
      </c>
      <c r="N60" t="n">
        <v>0</v>
      </c>
      <c r="O60" t="n">
        <v>0</v>
      </c>
      <c r="P60" t="n">
        <v>0</v>
      </c>
      <c r="Q60" t="n">
        <v>14</v>
      </c>
      <c r="R60" t="n">
        <v>4</v>
      </c>
      <c r="S60" t="n">
        <v>23</v>
      </c>
      <c r="T60" t="n">
        <v>167</v>
      </c>
      <c r="U60" t="n">
        <v>167</v>
      </c>
      <c r="V60" s="2" t="inlineStr">
        <is>
          <t>Fläckporing
Garnlav
Gräddporing
Knärot
Dvärgbägarlav
Hornvaxskinn
Kolflarnlav
Kortskaftad ärgspik
Nordtagging
Talltagel
Talltita
Ullticka
Varglav
Vedskivlav
Barkticka
Bronshjon
Korallblylav
Mindre märgborre
Plattlummer
Vedticka
Spillkråka
Tjäder
Revlummer</t>
        </is>
      </c>
      <c r="W60">
        <f>HYPERLINK("https://klasma.github.io/Logging_2062/artfynd/A 47866-2025 artfynd.xlsx", "A 47866-2025")</f>
        <v/>
      </c>
      <c r="X60">
        <f>HYPERLINK("https://klasma.github.io/Logging_2062/kartor/A 47866-2025 karta.png", "A 47866-2025")</f>
        <v/>
      </c>
      <c r="Y60">
        <f>HYPERLINK("https://klasma.github.io/Logging_2062/kartor_geotiff/A 47866-2025 georefererad karta.tif", "A 47866-2025")</f>
        <v/>
      </c>
      <c r="Z60">
        <f>HYPERLINK("https://klasma.github.io/Logging_2062/knärot/A 47866-2025 karta knärot.png", "A 47866-2025")</f>
        <v/>
      </c>
      <c r="AA60">
        <f>HYPERLINK("https://klasma.github.io/Logging_2062/klagomål/A 47866-2025 FSC-klagomål.docx", "A 47866-2025")</f>
        <v/>
      </c>
      <c r="AB60">
        <f>HYPERLINK("https://klasma.github.io/Logging_2062/klagomålsmail/A 47866-2025 FSC-klagomål mail.docx", "A 47866-2025")</f>
        <v/>
      </c>
      <c r="AC60">
        <f>HYPERLINK("https://klasma.github.io/Logging_2062/tillsyn/A 47866-2025 tillsynsbegäran.docx", "A 47866-2025")</f>
        <v/>
      </c>
      <c r="AD60">
        <f>HYPERLINK("https://klasma.github.io/Logging_2062/tillsynsmail/A 47866-2025 tillsynsbegäran mail.docx", "A 47866-2025")</f>
        <v/>
      </c>
      <c r="AE60">
        <f>HYPERLINK("https://klasma.github.io/Logging_2062/fåglar/A 47866-2025 prioriterade fågelarter.docx", "A 47866-2025")</f>
        <v/>
      </c>
    </row>
    <row r="61" ht="15" customHeight="1">
      <c r="A61" t="inlineStr">
        <is>
          <t>A 59850-2022</t>
        </is>
      </c>
      <c r="B61" t="inlineStr">
        <is>
          <t>avverkningsanmälan</t>
        </is>
      </c>
      <c r="C61" t="inlineStr">
        <is>
          <t>Avverkning för annat ändamål</t>
        </is>
      </c>
      <c r="D61" s="1" t="n">
        <v>44901</v>
      </c>
      <c r="E61" s="1" t="n">
        <v>46319</v>
      </c>
      <c r="F61" t="inlineStr">
        <is>
          <t>DALARNAS LÄN</t>
        </is>
      </c>
      <c r="G61" t="inlineStr">
        <is>
          <t>LEKSAND</t>
        </is>
      </c>
      <c r="I61" t="n">
        <v>1.7</v>
      </c>
      <c r="J61" t="n">
        <v>8</v>
      </c>
      <c r="K61" t="n">
        <v>7</v>
      </c>
      <c r="L61" t="n">
        <v>5</v>
      </c>
      <c r="M61" t="n">
        <v>5</v>
      </c>
      <c r="N61" t="n">
        <v>0</v>
      </c>
      <c r="O61" t="n">
        <v>0</v>
      </c>
      <c r="P61" t="n">
        <v>0</v>
      </c>
      <c r="Q61" t="n">
        <v>10</v>
      </c>
      <c r="R61" t="n">
        <v>5</v>
      </c>
      <c r="S61" t="n">
        <v>23</v>
      </c>
      <c r="T61" t="n">
        <v>71</v>
      </c>
      <c r="U61" t="n">
        <v>71</v>
      </c>
      <c r="V61" s="2" t="inlineStr">
        <is>
          <t>Garnlav
Gräddticka
Gränsticka
Smalfotad taggsvamp
Tornseglare
Kötticka
Rynkskinn
Tretåig hackspett
Ullticka
Violettgrå tagellav
Bronshjon
Bågpraktmossa
Stuplav
Svavelriska
Thomsons trägnagare
Trådticka
Vedticka
Blåsippa
Spillkråka
Tjäder
Kungsfågel
Trana
Revlummer</t>
        </is>
      </c>
      <c r="W61">
        <f>HYPERLINK("https://klasma.github.io/Logging_2029/artfynd/A 59850-2022 artfynd.xlsx", "A 59850-2022")</f>
        <v/>
      </c>
      <c r="X61">
        <f>HYPERLINK("https://klasma.github.io/Logging_2029/kartor/A 59850-2022 karta.png", "A 59850-2022")</f>
        <v/>
      </c>
      <c r="Y61">
        <f>HYPERLINK("https://klasma.github.io/Logging_2029/kartor_geotiff/A 59850-2022 georefererad karta.tif", "A 59850-2022")</f>
        <v/>
      </c>
      <c r="AA61">
        <f>HYPERLINK("https://klasma.github.io/Logging_2029/klagomål/A 59850-2022 FSC-klagomål.docx", "A 59850-2022")</f>
        <v/>
      </c>
      <c r="AB61">
        <f>HYPERLINK("https://klasma.github.io/Logging_2029/klagomålsmail/A 59850-2022 FSC-klagomål mail.docx", "A 59850-2022")</f>
        <v/>
      </c>
      <c r="AC61">
        <f>HYPERLINK("https://klasma.github.io/Logging_2029/tillsyn/A 59850-2022 tillsynsbegäran.docx", "A 59850-2022")</f>
        <v/>
      </c>
      <c r="AD61">
        <f>HYPERLINK("https://klasma.github.io/Logging_2029/tillsynsmail/A 59850-2022 tillsynsbegäran mail.docx", "A 59850-2022")</f>
        <v/>
      </c>
      <c r="AE61">
        <f>HYPERLINK("https://klasma.github.io/Logging_2029/fåglar/A 59850-2022 prioriterade fågelarter.docx", "A 59850-2022")</f>
        <v/>
      </c>
    </row>
    <row r="62" ht="15" customHeight="1">
      <c r="A62" t="inlineStr">
        <is>
          <t>A 25649-2025</t>
        </is>
      </c>
      <c r="B62" t="inlineStr">
        <is>
          <t>avverkningsanmälan</t>
        </is>
      </c>
      <c r="C62" t="inlineStr">
        <is>
          <t>Föryngringsavverkning</t>
        </is>
      </c>
      <c r="D62" s="1" t="n">
        <v>45803</v>
      </c>
      <c r="E62" s="1" t="n">
        <v>46319</v>
      </c>
      <c r="F62" t="inlineStr">
        <is>
          <t>DALARNAS LÄN</t>
        </is>
      </c>
      <c r="G62" t="inlineStr">
        <is>
          <t>ÄLVDALEN</t>
        </is>
      </c>
      <c r="H62" t="inlineStr">
        <is>
          <t>Allmännings- och besparingsskogar</t>
        </is>
      </c>
      <c r="I62" t="n">
        <v>31.3</v>
      </c>
      <c r="J62" t="n">
        <v>7</v>
      </c>
      <c r="K62" t="n">
        <v>3</v>
      </c>
      <c r="L62" t="n">
        <v>13</v>
      </c>
      <c r="M62" t="n">
        <v>1</v>
      </c>
      <c r="N62" t="n">
        <v>0</v>
      </c>
      <c r="O62" t="n">
        <v>0</v>
      </c>
      <c r="P62" t="n">
        <v>0</v>
      </c>
      <c r="Q62" t="n">
        <v>14</v>
      </c>
      <c r="R62" t="n">
        <v>1</v>
      </c>
      <c r="S62" t="n">
        <v>22</v>
      </c>
      <c r="T62" t="n">
        <v>217</v>
      </c>
      <c r="U62" t="n">
        <v>217</v>
      </c>
      <c r="V62" s="2" t="inlineStr">
        <is>
          <t>Garnlav
Dropptaggsvamp
Dvärgbägarlav
Kolflarnlav
Mörk kolflarnlav
Nordtagging
Skogshare
Talltagel
Tallticka
Tretåig hackspett
Vedflamlav
Vedskivlav
Violettgrå tagellav
Vitgrynig nållav
Bronshjon
Mindre märgborre
Spindelblomster
Spillkråka
Tjäder
Kungsfågel
Fläcknycklar
Revlummer</t>
        </is>
      </c>
      <c r="W62">
        <f>HYPERLINK("https://klasma.github.io/Logging_2039/artfynd/A 25649-2025 artfynd.xlsx", "A 25649-2025")</f>
        <v/>
      </c>
      <c r="X62">
        <f>HYPERLINK("https://klasma.github.io/Logging_2039/kartor/A 25649-2025 karta.png", "A 25649-2025")</f>
        <v/>
      </c>
      <c r="Y62">
        <f>HYPERLINK("https://klasma.github.io/Logging_2039/kartor_geotiff/A 25649-2025 georefererad karta.tif", "A 25649-2025")</f>
        <v/>
      </c>
      <c r="AA62">
        <f>HYPERLINK("https://klasma.github.io/Logging_2039/klagomål/A 25649-2025 FSC-klagomål.docx", "A 25649-2025")</f>
        <v/>
      </c>
      <c r="AB62">
        <f>HYPERLINK("https://klasma.github.io/Logging_2039/klagomålsmail/A 25649-2025 FSC-klagomål mail.docx", "A 25649-2025")</f>
        <v/>
      </c>
      <c r="AC62">
        <f>HYPERLINK("https://klasma.github.io/Logging_2039/tillsyn/A 25649-2025 tillsynsbegäran.docx", "A 25649-2025")</f>
        <v/>
      </c>
      <c r="AD62">
        <f>HYPERLINK("https://klasma.github.io/Logging_2039/tillsynsmail/A 25649-2025 tillsynsbegäran mail.docx", "A 25649-2025")</f>
        <v/>
      </c>
      <c r="AE62">
        <f>HYPERLINK("https://klasma.github.io/Logging_2039/fåglar/A 25649-2025 prioriterade fågelarter.docx", "A 25649-2025")</f>
        <v/>
      </c>
    </row>
    <row r="63" ht="15" customHeight="1">
      <c r="A63" t="inlineStr">
        <is>
          <t>A 6679-2025</t>
        </is>
      </c>
      <c r="B63" t="inlineStr">
        <is>
          <t>avverkningsanmälan</t>
        </is>
      </c>
      <c r="C63" t="inlineStr">
        <is>
          <t>Föryngringsavverkning</t>
        </is>
      </c>
      <c r="D63" s="1" t="n">
        <v>45700</v>
      </c>
      <c r="E63" s="1" t="n">
        <v>46319</v>
      </c>
      <c r="F63" t="inlineStr">
        <is>
          <t>DALARNAS LÄN</t>
        </is>
      </c>
      <c r="G63" t="inlineStr">
        <is>
          <t>ÄLVDALEN</t>
        </is>
      </c>
      <c r="H63" t="inlineStr">
        <is>
          <t>Allmännings- och besparingsskogar</t>
        </is>
      </c>
      <c r="I63" t="n">
        <v>27.8</v>
      </c>
      <c r="J63" t="n">
        <v>6</v>
      </c>
      <c r="K63" t="n">
        <v>3</v>
      </c>
      <c r="L63" t="n">
        <v>15</v>
      </c>
      <c r="M63" t="n">
        <v>1</v>
      </c>
      <c r="N63" t="n">
        <v>0</v>
      </c>
      <c r="O63" t="n">
        <v>0</v>
      </c>
      <c r="P63" t="n">
        <v>0</v>
      </c>
      <c r="Q63" t="n">
        <v>16</v>
      </c>
      <c r="R63" t="n">
        <v>1</v>
      </c>
      <c r="S63" t="n">
        <v>22</v>
      </c>
      <c r="T63" t="n">
        <v>198</v>
      </c>
      <c r="U63" t="n">
        <v>198</v>
      </c>
      <c r="V63" s="2" t="inlineStr">
        <is>
          <t>Garnlav
Blanksvart spiklav
Blågrå svartspik
Dropptaggsvamp
Dvärgbägarlav
Kolflarnlav
Kortskaftad ärgspik
Mörk kolflarnlav
Nordlig nållav
Talltagel
Tallticka
Talltita
Tretåig hackspett
Varglav
Vedflamlav
Vedskivlav
Mindre märgborre
Skinnlav
Stuplav
Spillkråka
Tjäder
Kungsfågel</t>
        </is>
      </c>
      <c r="W63">
        <f>HYPERLINK("https://klasma.github.io/Logging_2039/artfynd/A 6679-2025 artfynd.xlsx", "A 6679-2025")</f>
        <v/>
      </c>
      <c r="X63">
        <f>HYPERLINK("https://klasma.github.io/Logging_2039/kartor/A 6679-2025 karta.png", "A 6679-2025")</f>
        <v/>
      </c>
      <c r="Y63">
        <f>HYPERLINK("https://klasma.github.io/Logging_2039/kartor_geotiff/A 6679-2025 georefererad karta.tif", "A 6679-2025")</f>
        <v/>
      </c>
      <c r="AA63">
        <f>HYPERLINK("https://klasma.github.io/Logging_2039/klagomål/A 6679-2025 FSC-klagomål.docx", "A 6679-2025")</f>
        <v/>
      </c>
      <c r="AB63">
        <f>HYPERLINK("https://klasma.github.io/Logging_2039/klagomålsmail/A 6679-2025 FSC-klagomål mail.docx", "A 6679-2025")</f>
        <v/>
      </c>
      <c r="AC63">
        <f>HYPERLINK("https://klasma.github.io/Logging_2039/tillsyn/A 6679-2025 tillsynsbegäran.docx", "A 6679-2025")</f>
        <v/>
      </c>
      <c r="AD63">
        <f>HYPERLINK("https://klasma.github.io/Logging_2039/tillsynsmail/A 6679-2025 tillsynsbegäran mail.docx", "A 6679-2025")</f>
        <v/>
      </c>
      <c r="AE63">
        <f>HYPERLINK("https://klasma.github.io/Logging_2039/fåglar/A 6679-2025 prioriterade fågelarter.docx", "A 6679-2025")</f>
        <v/>
      </c>
    </row>
    <row r="64" ht="15" customHeight="1">
      <c r="A64" t="inlineStr">
        <is>
          <t>A 59303-2025</t>
        </is>
      </c>
      <c r="B64" t="inlineStr">
        <is>
          <t>avverkningsanmälan</t>
        </is>
      </c>
      <c r="C64" t="inlineStr">
        <is>
          <t>Föryngringsavverkning</t>
        </is>
      </c>
      <c r="D64" s="1" t="n">
        <v>45988</v>
      </c>
      <c r="E64" s="1" t="n">
        <v>46319</v>
      </c>
      <c r="F64" t="inlineStr">
        <is>
          <t>DALARNAS LÄN</t>
        </is>
      </c>
      <c r="G64" t="inlineStr">
        <is>
          <t>ÄLVDALEN</t>
        </is>
      </c>
      <c r="H64" t="inlineStr">
        <is>
          <t>Allmännings- och besparingsskogar</t>
        </is>
      </c>
      <c r="I64" t="n">
        <v>18.2</v>
      </c>
      <c r="J64" t="n">
        <v>5</v>
      </c>
      <c r="K64" t="n">
        <v>2</v>
      </c>
      <c r="L64" t="n">
        <v>16</v>
      </c>
      <c r="M64" t="n">
        <v>1</v>
      </c>
      <c r="N64" t="n">
        <v>0</v>
      </c>
      <c r="O64" t="n">
        <v>0</v>
      </c>
      <c r="P64" t="n">
        <v>0</v>
      </c>
      <c r="Q64" t="n">
        <v>17</v>
      </c>
      <c r="R64" t="n">
        <v>1</v>
      </c>
      <c r="S64" t="n">
        <v>22</v>
      </c>
      <c r="T64" t="n">
        <v>146</v>
      </c>
      <c r="U64" t="n">
        <v>146</v>
      </c>
      <c r="V64" s="2" t="inlineStr">
        <is>
          <t>Garnlav
Blanksvart spiklav
Blågrå svartspik
Dvärgbägarlav
Kolflarnlav
Liten svartspik
Motaggsvamp
Mörk kolflarnlav
Nötkråka
Skogshare
Talltagel
Talltita
Tretåig hackspett
Vedflamlav
Vedskivlav
Violettgrå tagellav
Vitgrynig nållav
Mindre märgborre
Vedticka
Spillkråka
Sälg
Revlummer</t>
        </is>
      </c>
      <c r="W64">
        <f>HYPERLINK("https://klasma.github.io/Logging_2039/artfynd/A 59303-2025 artfynd.xlsx", "A 59303-2025")</f>
        <v/>
      </c>
      <c r="X64">
        <f>HYPERLINK("https://klasma.github.io/Logging_2039/kartor/A 59303-2025 karta.png", "A 59303-2025")</f>
        <v/>
      </c>
      <c r="Y64">
        <f>HYPERLINK("https://klasma.github.io/Logging_2039/kartor_geotiff/A 59303-2025 georefererad karta.tif", "A 59303-2025")</f>
        <v/>
      </c>
      <c r="AA64">
        <f>HYPERLINK("https://klasma.github.io/Logging_2039/klagomål/A 59303-2025 FSC-klagomål.docx", "A 59303-2025")</f>
        <v/>
      </c>
      <c r="AB64">
        <f>HYPERLINK("https://klasma.github.io/Logging_2039/klagomålsmail/A 59303-2025 FSC-klagomål mail.docx", "A 59303-2025")</f>
        <v/>
      </c>
      <c r="AC64">
        <f>HYPERLINK("https://klasma.github.io/Logging_2039/tillsyn/A 59303-2025 tillsynsbegäran.docx", "A 59303-2025")</f>
        <v/>
      </c>
      <c r="AD64">
        <f>HYPERLINK("https://klasma.github.io/Logging_2039/tillsynsmail/A 59303-2025 tillsynsbegäran mail.docx", "A 59303-2025")</f>
        <v/>
      </c>
      <c r="AE64">
        <f>HYPERLINK("https://klasma.github.io/Logging_2039/fåglar/A 59303-2025 prioriterade fågelarter.docx", "A 59303-2025")</f>
        <v/>
      </c>
    </row>
    <row r="65" ht="15" customHeight="1">
      <c r="A65" t="inlineStr">
        <is>
          <t>A 47417-2023</t>
        </is>
      </c>
      <c r="B65" t="inlineStr">
        <is>
          <t>avverkningsanmälan</t>
        </is>
      </c>
      <c r="C65" t="inlineStr">
        <is>
          <t>Föryngringsavverkning</t>
        </is>
      </c>
      <c r="D65" s="1" t="n">
        <v>45202</v>
      </c>
      <c r="E65" s="1" t="n">
        <v>46319</v>
      </c>
      <c r="F65" t="inlineStr">
        <is>
          <t>DALARNAS LÄN</t>
        </is>
      </c>
      <c r="G65" t="inlineStr">
        <is>
          <t>FALUN</t>
        </is>
      </c>
      <c r="I65" t="n">
        <v>18.5</v>
      </c>
      <c r="J65" t="n">
        <v>10</v>
      </c>
      <c r="K65" t="n">
        <v>6</v>
      </c>
      <c r="L65" t="n">
        <v>6</v>
      </c>
      <c r="M65" t="n">
        <v>2</v>
      </c>
      <c r="N65" t="n">
        <v>0</v>
      </c>
      <c r="O65" t="n">
        <v>0</v>
      </c>
      <c r="P65" t="n">
        <v>0</v>
      </c>
      <c r="Q65" t="n">
        <v>8</v>
      </c>
      <c r="R65" t="n">
        <v>2</v>
      </c>
      <c r="S65" t="n">
        <v>22</v>
      </c>
      <c r="T65" t="n">
        <v>136</v>
      </c>
      <c r="U65" t="n">
        <v>116</v>
      </c>
      <c r="V65" s="2" t="inlineStr">
        <is>
          <t>Knärot
Rostskinn
Humlerotfjäril
Motaggsvamp
Rosenticka
Rynkskinn
Tallkötticka
Ullticka
Bronshjon
Gullgröppa
Mindre märgborre
Plattlummer
Thomsons trägnagare
Vågbandad barkbock
Blåsippa
Mattlummer
Spillkråka
Kungsfågel
Större vattensalamander
Kopparödla
Mindre vattensalamander
Vanlig padda</t>
        </is>
      </c>
      <c r="W65">
        <f>HYPERLINK("https://klasma.github.io/Logging_2080/artfynd/A 47417-2023 artfynd.xlsx", "A 47417-2023")</f>
        <v/>
      </c>
      <c r="X65">
        <f>HYPERLINK("https://klasma.github.io/Logging_2080/kartor/A 47417-2023 karta.png", "A 47417-2023")</f>
        <v/>
      </c>
      <c r="Y65">
        <f>HYPERLINK("https://klasma.github.io/Logging_2080/kartor_geotiff/A 47417-2023 georefererad karta.tif", "A 47417-2023")</f>
        <v/>
      </c>
      <c r="Z65">
        <f>HYPERLINK("https://klasma.github.io/Logging_2080/knärot/A 47417-2023 karta knärot.png", "A 47417-2023")</f>
        <v/>
      </c>
      <c r="AA65">
        <f>HYPERLINK("https://klasma.github.io/Logging_2080/klagomål/A 47417-2023 FSC-klagomål.docx", "A 47417-2023")</f>
        <v/>
      </c>
      <c r="AB65">
        <f>HYPERLINK("https://klasma.github.io/Logging_2080/klagomålsmail/A 47417-2023 FSC-klagomål mail.docx", "A 47417-2023")</f>
        <v/>
      </c>
      <c r="AC65">
        <f>HYPERLINK("https://klasma.github.io/Logging_2080/tillsyn/A 47417-2023 tillsynsbegäran.docx", "A 47417-2023")</f>
        <v/>
      </c>
      <c r="AD65">
        <f>HYPERLINK("https://klasma.github.io/Logging_2080/tillsynsmail/A 47417-2023 tillsynsbegäran mail.docx", "A 47417-2023")</f>
        <v/>
      </c>
      <c r="AE65">
        <f>HYPERLINK("https://klasma.github.io/Logging_2080/fåglar/A 47417-2023 prioriterade fågelarter.docx", "A 47417-2023")</f>
        <v/>
      </c>
    </row>
    <row r="66" ht="15" customHeight="1">
      <c r="A66" t="inlineStr">
        <is>
          <t>A 1254-2025</t>
        </is>
      </c>
      <c r="B66" t="inlineStr">
        <is>
          <t>avverkningsanmälan</t>
        </is>
      </c>
      <c r="C66" t="inlineStr">
        <is>
          <t>Föryngringsavverkning</t>
        </is>
      </c>
      <c r="D66" s="1" t="n">
        <v>45666</v>
      </c>
      <c r="E66" s="1" t="n">
        <v>46319</v>
      </c>
      <c r="F66" t="inlineStr">
        <is>
          <t>DALARNAS LÄN</t>
        </is>
      </c>
      <c r="G66" t="inlineStr">
        <is>
          <t>MORA</t>
        </is>
      </c>
      <c r="I66" t="n">
        <v>28.7</v>
      </c>
      <c r="J66" t="n">
        <v>6</v>
      </c>
      <c r="K66" t="n">
        <v>3</v>
      </c>
      <c r="L66" t="n">
        <v>16</v>
      </c>
      <c r="M66" t="n">
        <v>1</v>
      </c>
      <c r="N66" t="n">
        <v>0</v>
      </c>
      <c r="O66" t="n">
        <v>0</v>
      </c>
      <c r="P66" t="n">
        <v>0</v>
      </c>
      <c r="Q66" t="n">
        <v>17</v>
      </c>
      <c r="R66" t="n">
        <v>1</v>
      </c>
      <c r="S66" t="n">
        <v>21</v>
      </c>
      <c r="T66" t="n">
        <v>177</v>
      </c>
      <c r="U66" t="n">
        <v>3</v>
      </c>
      <c r="V66" s="2" t="inlineStr">
        <is>
          <t>Garnlav
Blanksvart spiklav
Doftskinn
Dvärgbägarlav
Kolflarnlav
Kådvaxskinn
Lavskrika
Mörk kolflarnlav
Skuggblåslav
Talltita
Tretåig hackspett
Ullticka
Varglav
Vedflamlav
Vedskivlav
Violettgrå tagellav
Vitgrynig nållav
Bårdlav
Flagellkvastmossa
Plattlummer
Fläcknycklar</t>
        </is>
      </c>
      <c r="W66">
        <f>HYPERLINK("https://klasma.github.io/Logging_2062/artfynd/A 1254-2025 artfynd.xlsx", "A 1254-2025")</f>
        <v/>
      </c>
      <c r="X66">
        <f>HYPERLINK("https://klasma.github.io/Logging_2062/kartor/A 1254-2025 karta.png", "A 1254-2025")</f>
        <v/>
      </c>
      <c r="Y66">
        <f>HYPERLINK("https://klasma.github.io/Logging_2062/kartor_geotiff/A 1254-2025 georefererad karta.tif", "A 1254-2025")</f>
        <v/>
      </c>
      <c r="AA66">
        <f>HYPERLINK("https://klasma.github.io/Logging_2062/klagomål/A 1254-2025 FSC-klagomål.docx", "A 1254-2025")</f>
        <v/>
      </c>
      <c r="AB66">
        <f>HYPERLINK("https://klasma.github.io/Logging_2062/klagomålsmail/A 1254-2025 FSC-klagomål mail.docx", "A 1254-2025")</f>
        <v/>
      </c>
      <c r="AC66">
        <f>HYPERLINK("https://klasma.github.io/Logging_2062/tillsyn/A 1254-2025 tillsynsbegäran.docx", "A 1254-2025")</f>
        <v/>
      </c>
      <c r="AD66">
        <f>HYPERLINK("https://klasma.github.io/Logging_2062/tillsynsmail/A 1254-2025 tillsynsbegäran mail.docx", "A 1254-2025")</f>
        <v/>
      </c>
      <c r="AE66">
        <f>HYPERLINK("https://klasma.github.io/Logging_2062/fåglar/A 1254-2025 prioriterade fågelarter.docx", "A 1254-2025")</f>
        <v/>
      </c>
    </row>
    <row r="67" ht="15" customHeight="1">
      <c r="A67" t="inlineStr">
        <is>
          <t>A 31476-2025</t>
        </is>
      </c>
      <c r="B67" t="inlineStr">
        <is>
          <t>avverkningsanmälan</t>
        </is>
      </c>
      <c r="C67" t="inlineStr">
        <is>
          <t>Föryngringsavverkning</t>
        </is>
      </c>
      <c r="D67" s="1" t="n">
        <v>45833</v>
      </c>
      <c r="E67" s="1" t="n">
        <v>46319</v>
      </c>
      <c r="F67" t="inlineStr">
        <is>
          <t>DALARNAS LÄN</t>
        </is>
      </c>
      <c r="G67" t="inlineStr">
        <is>
          <t>ÄLVDALEN</t>
        </is>
      </c>
      <c r="I67" t="n">
        <v>9.699999999999999</v>
      </c>
      <c r="J67" t="n">
        <v>0</v>
      </c>
      <c r="K67" t="n">
        <v>0</v>
      </c>
      <c r="L67" t="n">
        <v>15</v>
      </c>
      <c r="M67" t="n">
        <v>6</v>
      </c>
      <c r="N67" t="n">
        <v>0</v>
      </c>
      <c r="O67" t="n">
        <v>0</v>
      </c>
      <c r="P67" t="n">
        <v>0</v>
      </c>
      <c r="Q67" t="n">
        <v>21</v>
      </c>
      <c r="R67" t="n">
        <v>6</v>
      </c>
      <c r="S67" t="n">
        <v>21</v>
      </c>
      <c r="T67" t="n">
        <v>77</v>
      </c>
      <c r="U67" t="n">
        <v>0</v>
      </c>
      <c r="V67" s="2" t="inlineStr">
        <is>
          <t>Garnlav
Goliatmusseron
Gräddporing
Smalfotad taggsvamp
Spadskinn
Tajgataggsvamp
Blanksvart spiklav
Blå taggsvamp
Dropptaggsvamp
Dvärgbägarlav
Kolflarnlav
Mörk kolflarnlav
Nordtagging
Orange taggsvamp
Skarp dropptaggsvamp
Svartvit taggsvamp
Tallriska
Vaddporing
Vaxspindling
Vedflamlav
Vedskivlav</t>
        </is>
      </c>
      <c r="W67">
        <f>HYPERLINK("https://klasma.github.io/Logging_2039/artfynd/A 31476-2025 artfynd.xlsx", "A 31476-2025")</f>
        <v/>
      </c>
      <c r="X67">
        <f>HYPERLINK("https://klasma.github.io/Logging_2039/kartor/A 31476-2025 karta.png", "A 31476-2025")</f>
        <v/>
      </c>
      <c r="Y67">
        <f>HYPERLINK("https://klasma.github.io/Logging_2039/kartor_geotiff/A 31476-2025 georefererad karta.tif", "A 31476-2025")</f>
        <v/>
      </c>
      <c r="AA67">
        <f>HYPERLINK("https://klasma.github.io/Logging_2039/klagomål/A 31476-2025 FSC-klagomål.docx", "A 31476-2025")</f>
        <v/>
      </c>
      <c r="AB67">
        <f>HYPERLINK("https://klasma.github.io/Logging_2039/klagomålsmail/A 31476-2025 FSC-klagomål mail.docx", "A 31476-2025")</f>
        <v/>
      </c>
      <c r="AC67">
        <f>HYPERLINK("https://klasma.github.io/Logging_2039/tillsyn/A 31476-2025 tillsynsbegäran.docx", "A 31476-2025")</f>
        <v/>
      </c>
      <c r="AD67">
        <f>HYPERLINK("https://klasma.github.io/Logging_2039/tillsynsmail/A 31476-2025 tillsynsbegäran mail.docx", "A 31476-2025")</f>
        <v/>
      </c>
    </row>
    <row r="68" ht="15" customHeight="1">
      <c r="A68" t="inlineStr">
        <is>
          <t>A 34215-2024</t>
        </is>
      </c>
      <c r="B68" t="inlineStr">
        <is>
          <t>avverkningsanmälan</t>
        </is>
      </c>
      <c r="C68" t="inlineStr">
        <is>
          <t>Föryngringsavverkning</t>
        </is>
      </c>
      <c r="D68" s="1" t="n">
        <v>45524</v>
      </c>
      <c r="E68" s="1" t="n">
        <v>46319</v>
      </c>
      <c r="F68" t="inlineStr">
        <is>
          <t>DALARNAS LÄN</t>
        </is>
      </c>
      <c r="G68" t="inlineStr">
        <is>
          <t>ÄLVDALEN</t>
        </is>
      </c>
      <c r="I68" t="n">
        <v>30.8</v>
      </c>
      <c r="J68" t="n">
        <v>9</v>
      </c>
      <c r="K68" t="n">
        <v>2</v>
      </c>
      <c r="L68" t="n">
        <v>13</v>
      </c>
      <c r="M68" t="n">
        <v>4</v>
      </c>
      <c r="N68" t="n">
        <v>0</v>
      </c>
      <c r="O68" t="n">
        <v>0</v>
      </c>
      <c r="P68" t="n">
        <v>0</v>
      </c>
      <c r="Q68" t="n">
        <v>17</v>
      </c>
      <c r="R68" t="n">
        <v>4</v>
      </c>
      <c r="S68" t="n">
        <v>21</v>
      </c>
      <c r="T68" t="n">
        <v>87</v>
      </c>
      <c r="U68" t="n">
        <v>87</v>
      </c>
      <c r="V68" s="2" t="inlineStr">
        <is>
          <t>Garnlav
Ostticka
Tornseglare
Vitskaftad svartspik
Blanksvart spiklav
Dvärgbägarlav
Enkelbeckasin
Knottrig blåslav
Kolflarnlav
Lavskrika
Skuggblåslav
Talltita
Tretåig hackspett
Varglav
Vedflamlav
Vedskivlav
Vitgrynig nållav
Blodticka
Spindelblomster
Tjäder
Revlummer</t>
        </is>
      </c>
      <c r="W68">
        <f>HYPERLINK("https://klasma.github.io/Logging_2039/artfynd/A 34215-2024 artfynd.xlsx", "A 34215-2024")</f>
        <v/>
      </c>
      <c r="X68">
        <f>HYPERLINK("https://klasma.github.io/Logging_2039/kartor/A 34215-2024 karta.png", "A 34215-2024")</f>
        <v/>
      </c>
      <c r="Y68">
        <f>HYPERLINK("https://klasma.github.io/Logging_2039/kartor_geotiff/A 34215-2024 georefererad karta.tif", "A 34215-2024")</f>
        <v/>
      </c>
      <c r="AA68">
        <f>HYPERLINK("https://klasma.github.io/Logging_2039/klagomål/A 34215-2024 FSC-klagomål.docx", "A 34215-2024")</f>
        <v/>
      </c>
      <c r="AB68">
        <f>HYPERLINK("https://klasma.github.io/Logging_2039/klagomålsmail/A 34215-2024 FSC-klagomål mail.docx", "A 34215-2024")</f>
        <v/>
      </c>
      <c r="AC68">
        <f>HYPERLINK("https://klasma.github.io/Logging_2039/tillsyn/A 34215-2024 tillsynsbegäran.docx", "A 34215-2024")</f>
        <v/>
      </c>
      <c r="AD68">
        <f>HYPERLINK("https://klasma.github.io/Logging_2039/tillsynsmail/A 34215-2024 tillsynsbegäran mail.docx", "A 34215-2024")</f>
        <v/>
      </c>
      <c r="AE68">
        <f>HYPERLINK("https://klasma.github.io/Logging_2039/fåglar/A 34215-2024 prioriterade fågelarter.docx", "A 34215-2024")</f>
        <v/>
      </c>
    </row>
    <row r="69" ht="15" customHeight="1">
      <c r="A69" t="inlineStr">
        <is>
          <t>A 31144-2024</t>
        </is>
      </c>
      <c r="B69" t="inlineStr">
        <is>
          <t>avverkningsanmälan</t>
        </is>
      </c>
      <c r="C69" t="inlineStr">
        <is>
          <t>Föryngringsavverkning</t>
        </is>
      </c>
      <c r="D69" s="1" t="n">
        <v>45502</v>
      </c>
      <c r="E69" s="1" t="n">
        <v>46319</v>
      </c>
      <c r="F69" t="inlineStr">
        <is>
          <t>DALARNAS LÄN</t>
        </is>
      </c>
      <c r="G69" t="inlineStr">
        <is>
          <t>ÄLVDALEN</t>
        </is>
      </c>
      <c r="I69" t="n">
        <v>6.7</v>
      </c>
      <c r="J69" t="n">
        <v>4</v>
      </c>
      <c r="K69" t="n">
        <v>6</v>
      </c>
      <c r="L69" t="n">
        <v>12</v>
      </c>
      <c r="M69" t="n">
        <v>1</v>
      </c>
      <c r="N69" t="n">
        <v>0</v>
      </c>
      <c r="O69" t="n">
        <v>0</v>
      </c>
      <c r="P69" t="n">
        <v>0</v>
      </c>
      <c r="Q69" t="n">
        <v>13</v>
      </c>
      <c r="R69" t="n">
        <v>1</v>
      </c>
      <c r="S69" t="n">
        <v>21</v>
      </c>
      <c r="T69" t="n">
        <v>120</v>
      </c>
      <c r="U69" t="n">
        <v>120</v>
      </c>
      <c r="V69" s="2" t="inlineStr">
        <is>
          <t>Garnlav
Dofttaggsvamp
Fjällig taggsvamp s.str.
Kolflarnlav
Kötticka
Mörk kolflarnlav
Tallriska
Talltita
Tretåig hackspett
Ullticka
Vedskivlav
Vedtrappmossa
Vitgrynig nållav
Bronshjon
Källpraktmossa
Norrlandslav
Svavelriska
Tibast
Zontaggsvamp
Mattlummer
Revlummer</t>
        </is>
      </c>
      <c r="W69">
        <f>HYPERLINK("https://klasma.github.io/Logging_2039/artfynd/A 31144-2024 artfynd.xlsx", "A 31144-2024")</f>
        <v/>
      </c>
      <c r="X69">
        <f>HYPERLINK("https://klasma.github.io/Logging_2039/kartor/A 31144-2024 karta.png", "A 31144-2024")</f>
        <v/>
      </c>
      <c r="Y69">
        <f>HYPERLINK("https://klasma.github.io/Logging_2039/kartor_geotiff/A 31144-2024 georefererad karta.tif", "A 31144-2024")</f>
        <v/>
      </c>
      <c r="AA69">
        <f>HYPERLINK("https://klasma.github.io/Logging_2039/klagomål/A 31144-2024 FSC-klagomål.docx", "A 31144-2024")</f>
        <v/>
      </c>
      <c r="AB69">
        <f>HYPERLINK("https://klasma.github.io/Logging_2039/klagomålsmail/A 31144-2024 FSC-klagomål mail.docx", "A 31144-2024")</f>
        <v/>
      </c>
      <c r="AC69">
        <f>HYPERLINK("https://klasma.github.io/Logging_2039/tillsyn/A 31144-2024 tillsynsbegäran.docx", "A 31144-2024")</f>
        <v/>
      </c>
      <c r="AD69">
        <f>HYPERLINK("https://klasma.github.io/Logging_2039/tillsynsmail/A 31144-2024 tillsynsbegäran mail.docx", "A 31144-2024")</f>
        <v/>
      </c>
      <c r="AE69">
        <f>HYPERLINK("https://klasma.github.io/Logging_2039/fåglar/A 31144-2024 prioriterade fågelarter.docx", "A 31144-2024")</f>
        <v/>
      </c>
    </row>
    <row r="70" ht="15" customHeight="1">
      <c r="A70" t="inlineStr">
        <is>
          <t>A 43663-2026</t>
        </is>
      </c>
      <c r="B70" t="inlineStr">
        <is>
          <t>avverkningsanmälan</t>
        </is>
      </c>
      <c r="C70" t="inlineStr">
        <is>
          <t>Föryngringsavverkning</t>
        </is>
      </c>
      <c r="D70" s="1" t="n">
        <v>46316</v>
      </c>
      <c r="E70" s="1" t="n">
        <v>46319</v>
      </c>
      <c r="F70" t="inlineStr">
        <is>
          <t>DALARNAS LÄN</t>
        </is>
      </c>
      <c r="G70" t="inlineStr">
        <is>
          <t>MALUNG-SÄLEN</t>
        </is>
      </c>
      <c r="I70" t="n">
        <v>11.3</v>
      </c>
      <c r="J70" t="n">
        <v>4</v>
      </c>
      <c r="K70" t="n">
        <v>3</v>
      </c>
      <c r="L70" t="n">
        <v>12</v>
      </c>
      <c r="M70" t="n">
        <v>3</v>
      </c>
      <c r="N70" t="n">
        <v>0</v>
      </c>
      <c r="O70" t="n">
        <v>0</v>
      </c>
      <c r="P70" t="n">
        <v>0</v>
      </c>
      <c r="Q70" t="n">
        <v>15</v>
      </c>
      <c r="R70" t="n">
        <v>3</v>
      </c>
      <c r="S70" t="n">
        <v>21</v>
      </c>
      <c r="T70" t="n">
        <v>122</v>
      </c>
      <c r="U70" t="n">
        <v>0</v>
      </c>
      <c r="V70" s="2" t="inlineStr">
        <is>
          <t>Garnlav
Gräddporing
Tornseglare
Blanksvart spiklav
Dvärgbägarlav
Kolflarnlav
Kortskaftad ärgspik
Kådvaxskinn
Mörk kolflarnlav
Rynkskinn
Talltagel
Tretåig hackspett
Vedflamlav
Vedskivlav
Violettgrå tagellav
Bronshjon
Luddlav
Nästlav
Kransmossa
Spillkråka
Revlummer</t>
        </is>
      </c>
      <c r="W70">
        <f>HYPERLINK("https://klasma.github.io/Logging_2023/artfynd/A 43663-2026 artfynd.xlsx", "A 43663-2026")</f>
        <v/>
      </c>
      <c r="X70">
        <f>HYPERLINK("https://klasma.github.io/Logging_2023/kartor/A 43663-2026 karta.png", "A 43663-2026")</f>
        <v/>
      </c>
      <c r="Y70">
        <f>HYPERLINK("https://klasma.github.io/Logging_2023/kartor_geotiff/A 43663-2026 georefererad karta.tif", "A 43663-2026")</f>
        <v/>
      </c>
      <c r="AA70">
        <f>HYPERLINK("https://klasma.github.io/Logging_2023/klagomål/A 43663-2026 FSC-klagomål.docx", "A 43663-2026")</f>
        <v/>
      </c>
      <c r="AB70">
        <f>HYPERLINK("https://klasma.github.io/Logging_2023/klagomålsmail/A 43663-2026 FSC-klagomål mail.docx", "A 43663-2026")</f>
        <v/>
      </c>
      <c r="AC70">
        <f>HYPERLINK("https://klasma.github.io/Logging_2023/tillsyn/A 43663-2026 tillsynsbegäran.docx", "A 43663-2026")</f>
        <v/>
      </c>
      <c r="AD70">
        <f>HYPERLINK("https://klasma.github.io/Logging_2023/tillsynsmail/A 43663-2026 tillsynsbegäran mail.docx", "A 43663-2026")</f>
        <v/>
      </c>
      <c r="AE70">
        <f>HYPERLINK("https://klasma.github.io/Logging_2023/fåglar/A 43663-2026 prioriterade fågelarter.docx", "A 43663-2026")</f>
        <v/>
      </c>
    </row>
    <row r="71" ht="15" customHeight="1">
      <c r="A71" t="inlineStr">
        <is>
          <t>A 29934-2025</t>
        </is>
      </c>
      <c r="B71" t="inlineStr">
        <is>
          <t>avverkningsanmälan</t>
        </is>
      </c>
      <c r="C71" t="inlineStr">
        <is>
          <t>Föryngringsavverkning</t>
        </is>
      </c>
      <c r="D71" s="1" t="n">
        <v>45826</v>
      </c>
      <c r="E71" s="1" t="n">
        <v>46319</v>
      </c>
      <c r="F71" t="inlineStr">
        <is>
          <t>DALARNAS LÄN</t>
        </is>
      </c>
      <c r="G71" t="inlineStr">
        <is>
          <t>MORA</t>
        </is>
      </c>
      <c r="I71" t="n">
        <v>5.6</v>
      </c>
      <c r="J71" t="n">
        <v>9</v>
      </c>
      <c r="K71" t="n">
        <v>3</v>
      </c>
      <c r="L71" t="n">
        <v>12</v>
      </c>
      <c r="M71" t="n">
        <v>1</v>
      </c>
      <c r="N71" t="n">
        <v>0</v>
      </c>
      <c r="O71" t="n">
        <v>0</v>
      </c>
      <c r="P71" t="n">
        <v>0</v>
      </c>
      <c r="Q71" t="n">
        <v>13</v>
      </c>
      <c r="R71" t="n">
        <v>1</v>
      </c>
      <c r="S71" t="n">
        <v>21</v>
      </c>
      <c r="T71" t="n">
        <v>114</v>
      </c>
      <c r="U71" t="n">
        <v>114</v>
      </c>
      <c r="V71" s="2" t="inlineStr">
        <is>
          <t>Garnlav
Dropptaggsvamp
Kolflarnlav
Ladusvala
Mörk kolflarnlav
Talltagel
Tallticka
Talltita
Tretåig hackspett
Vedflamlav
Vedskivlav
Violettgrå tagellav
Vitgrynig nållav
Mindre märgborre
Plattlummer
Svavelriska
Bergfink
Gråsiska
Spillkråka
Tjäder
Tofsmes</t>
        </is>
      </c>
      <c r="W71">
        <f>HYPERLINK("https://klasma.github.io/Logging_2062/artfynd/A 29934-2025 artfynd.xlsx", "A 29934-2025")</f>
        <v/>
      </c>
      <c r="X71">
        <f>HYPERLINK("https://klasma.github.io/Logging_2062/kartor/A 29934-2025 karta.png", "A 29934-2025")</f>
        <v/>
      </c>
      <c r="Y71">
        <f>HYPERLINK("https://klasma.github.io/Logging_2062/kartor_geotiff/A 29934-2025 georefererad karta.tif", "A 29934-2025")</f>
        <v/>
      </c>
      <c r="AA71">
        <f>HYPERLINK("https://klasma.github.io/Logging_2062/klagomål/A 29934-2025 FSC-klagomål.docx", "A 29934-2025")</f>
        <v/>
      </c>
      <c r="AB71">
        <f>HYPERLINK("https://klasma.github.io/Logging_2062/klagomålsmail/A 29934-2025 FSC-klagomål mail.docx", "A 29934-2025")</f>
        <v/>
      </c>
      <c r="AC71">
        <f>HYPERLINK("https://klasma.github.io/Logging_2062/tillsyn/A 29934-2025 tillsynsbegäran.docx", "A 29934-2025")</f>
        <v/>
      </c>
      <c r="AD71">
        <f>HYPERLINK("https://klasma.github.io/Logging_2062/tillsynsmail/A 29934-2025 tillsynsbegäran mail.docx", "A 29934-2025")</f>
        <v/>
      </c>
      <c r="AE71">
        <f>HYPERLINK("https://klasma.github.io/Logging_2062/fåglar/A 29934-2025 prioriterade fågelarter.docx", "A 29934-2025")</f>
        <v/>
      </c>
    </row>
    <row r="72" ht="15" customHeight="1">
      <c r="A72" t="inlineStr">
        <is>
          <t>A 29779-2025</t>
        </is>
      </c>
      <c r="B72" t="inlineStr">
        <is>
          <t>avverkningsanmälan</t>
        </is>
      </c>
      <c r="C72" t="inlineStr">
        <is>
          <t>Föryngringsavverkning</t>
        </is>
      </c>
      <c r="D72" s="1" t="n">
        <v>45825</v>
      </c>
      <c r="E72" s="1" t="n">
        <v>46319</v>
      </c>
      <c r="F72" t="inlineStr">
        <is>
          <t>DALARNAS LÄN</t>
        </is>
      </c>
      <c r="G72" t="inlineStr">
        <is>
          <t>ÄLVDALEN</t>
        </is>
      </c>
      <c r="H72" t="inlineStr">
        <is>
          <t>Sveaskog</t>
        </is>
      </c>
      <c r="I72" t="n">
        <v>12.9</v>
      </c>
      <c r="J72" t="n">
        <v>5</v>
      </c>
      <c r="K72" t="n">
        <v>4</v>
      </c>
      <c r="L72" t="n">
        <v>15</v>
      </c>
      <c r="M72" t="n">
        <v>1</v>
      </c>
      <c r="N72" t="n">
        <v>0</v>
      </c>
      <c r="O72" t="n">
        <v>0</v>
      </c>
      <c r="P72" t="n">
        <v>0</v>
      </c>
      <c r="Q72" t="n">
        <v>16</v>
      </c>
      <c r="R72" t="n">
        <v>1</v>
      </c>
      <c r="S72" t="n">
        <v>21</v>
      </c>
      <c r="T72" t="n">
        <v>143</v>
      </c>
      <c r="U72" t="n">
        <v>130</v>
      </c>
      <c r="V72" s="2" t="inlineStr">
        <is>
          <t>Garnlav
Blanksvart spiklav
Blågrå svartspik
Dropptaggsvamp
Dvärgbägarlav
Kolflarnlav
Kortskaftad ärgspik
Mörk kolflarnlav
Nordtagging
Skarp dropptaggsvamp
Talltita
Tretåig hackspett
Vedflamlav
Vedskivlav
Vitgrynig nållav
Vitplätt
Plattlummer
Spindelblomster
Vedticka
Vågbandad barkbock
Revlummer</t>
        </is>
      </c>
      <c r="W72">
        <f>HYPERLINK("https://klasma.github.io/Logging_2039/artfynd/A 29779-2025 artfynd.xlsx", "A 29779-2025")</f>
        <v/>
      </c>
      <c r="X72">
        <f>HYPERLINK("https://klasma.github.io/Logging_2039/kartor/A 29779-2025 karta.png", "A 29779-2025")</f>
        <v/>
      </c>
      <c r="Y72">
        <f>HYPERLINK("https://klasma.github.io/Logging_2039/kartor_geotiff/A 29779-2025 georefererad karta.tif", "A 29779-2025")</f>
        <v/>
      </c>
      <c r="AA72">
        <f>HYPERLINK("https://klasma.github.io/Logging_2039/klagomål/A 29779-2025 FSC-klagomål.docx", "A 29779-2025")</f>
        <v/>
      </c>
      <c r="AB72">
        <f>HYPERLINK("https://klasma.github.io/Logging_2039/klagomålsmail/A 29779-2025 FSC-klagomål mail.docx", "A 29779-2025")</f>
        <v/>
      </c>
      <c r="AC72">
        <f>HYPERLINK("https://klasma.github.io/Logging_2039/tillsyn/A 29779-2025 tillsynsbegäran.docx", "A 29779-2025")</f>
        <v/>
      </c>
      <c r="AD72">
        <f>HYPERLINK("https://klasma.github.io/Logging_2039/tillsynsmail/A 29779-2025 tillsynsbegäran mail.docx", "A 29779-2025")</f>
        <v/>
      </c>
      <c r="AE72">
        <f>HYPERLINK("https://klasma.github.io/Logging_2039/fåglar/A 29779-2025 prioriterade fågelarter.docx", "A 29779-2025")</f>
        <v/>
      </c>
    </row>
    <row r="73" ht="15" customHeight="1">
      <c r="A73" t="inlineStr">
        <is>
          <t>A 26133-2026</t>
        </is>
      </c>
      <c r="B73" t="inlineStr">
        <is>
          <t>avverkningsanmälan</t>
        </is>
      </c>
      <c r="C73" t="inlineStr">
        <is>
          <t>Föryngringsavverkning</t>
        </is>
      </c>
      <c r="D73" s="1" t="n">
        <v>46181</v>
      </c>
      <c r="E73" s="1" t="n">
        <v>46319</v>
      </c>
      <c r="F73" t="inlineStr">
        <is>
          <t>DALARNAS LÄN</t>
        </is>
      </c>
      <c r="G73" t="inlineStr">
        <is>
          <t>MALUNG-SÄLEN</t>
        </is>
      </c>
      <c r="H73" t="inlineStr">
        <is>
          <t>Allmännings- och besparingsskogar</t>
        </is>
      </c>
      <c r="I73" t="n">
        <v>10.3</v>
      </c>
      <c r="J73" t="n">
        <v>4</v>
      </c>
      <c r="K73" t="n">
        <v>3</v>
      </c>
      <c r="L73" t="n">
        <v>12</v>
      </c>
      <c r="M73" t="n">
        <v>4</v>
      </c>
      <c r="N73" t="n">
        <v>1</v>
      </c>
      <c r="O73" t="n">
        <v>0</v>
      </c>
      <c r="P73" t="n">
        <v>0</v>
      </c>
      <c r="Q73" t="n">
        <v>17</v>
      </c>
      <c r="R73" t="n">
        <v>5</v>
      </c>
      <c r="S73" t="n">
        <v>21</v>
      </c>
      <c r="T73" t="n">
        <v>100</v>
      </c>
      <c r="U73" t="n">
        <v>98</v>
      </c>
      <c r="V73" s="2" t="inlineStr">
        <is>
          <t>Tajgafiberskinn
Garnlav
Knärot
Laxgröppa
Mörk kådsvartspik
Dvärgbägarlav
Kolflarnlav
Kortskaftad ärgspik
Mörk kolflarnlav
Rosenticka
Rynkskinn
Tallticka
Tretåig hackspett
Ullticka
Vedskivlav
Vedtrappmossa
Violettgrå tagellav
Korallblylav
Skinnlav
Spindelblomster
Fläcknycklar</t>
        </is>
      </c>
      <c r="W73">
        <f>HYPERLINK("https://klasma.github.io/Logging_2023/artfynd/A 26133-2026 artfynd.xlsx", "A 26133-2026")</f>
        <v/>
      </c>
      <c r="X73">
        <f>HYPERLINK("https://klasma.github.io/Logging_2023/kartor/A 26133-2026 karta.png", "A 26133-2026")</f>
        <v/>
      </c>
      <c r="Y73">
        <f>HYPERLINK("https://klasma.github.io/Logging_2023/kartor_geotiff/A 26133-2026 georefererad karta.tif", "A 26133-2026")</f>
        <v/>
      </c>
      <c r="Z73">
        <f>HYPERLINK("https://klasma.github.io/Logging_2023/knärot/A 26133-2026 karta knärot.png", "A 26133-2026")</f>
        <v/>
      </c>
      <c r="AA73">
        <f>HYPERLINK("https://klasma.github.io/Logging_2023/klagomål/A 26133-2026 FSC-klagomål.docx", "A 26133-2026")</f>
        <v/>
      </c>
      <c r="AB73">
        <f>HYPERLINK("https://klasma.github.io/Logging_2023/klagomålsmail/A 26133-2026 FSC-klagomål mail.docx", "A 26133-2026")</f>
        <v/>
      </c>
      <c r="AC73">
        <f>HYPERLINK("https://klasma.github.io/Logging_2023/tillsyn/A 26133-2026 tillsynsbegäran.docx", "A 26133-2026")</f>
        <v/>
      </c>
      <c r="AD73">
        <f>HYPERLINK("https://klasma.github.io/Logging_2023/tillsynsmail/A 26133-2026 tillsynsbegäran mail.docx", "A 26133-2026")</f>
        <v/>
      </c>
      <c r="AE73">
        <f>HYPERLINK("https://klasma.github.io/Logging_2023/fåglar/A 26133-2026 prioriterade fågelarter.docx", "A 26133-2026")</f>
        <v/>
      </c>
    </row>
    <row r="74" ht="15" customHeight="1">
      <c r="A74" t="inlineStr">
        <is>
          <t>A 9412-2026</t>
        </is>
      </c>
      <c r="B74" t="inlineStr">
        <is>
          <t>avverkningsanmälan</t>
        </is>
      </c>
      <c r="C74" t="inlineStr">
        <is>
          <t>Föryngringsavverkning</t>
        </is>
      </c>
      <c r="D74" s="1" t="n">
        <v>46071</v>
      </c>
      <c r="E74" s="1" t="n">
        <v>46319</v>
      </c>
      <c r="F74" t="inlineStr">
        <is>
          <t>DALARNAS LÄN</t>
        </is>
      </c>
      <c r="G74" t="inlineStr">
        <is>
          <t>MORA</t>
        </is>
      </c>
      <c r="I74" t="n">
        <v>3.4</v>
      </c>
      <c r="J74" t="n">
        <v>8</v>
      </c>
      <c r="K74" t="n">
        <v>2</v>
      </c>
      <c r="L74" t="n">
        <v>11</v>
      </c>
      <c r="M74" t="n">
        <v>2</v>
      </c>
      <c r="N74" t="n">
        <v>0</v>
      </c>
      <c r="O74" t="n">
        <v>0</v>
      </c>
      <c r="P74" t="n">
        <v>0</v>
      </c>
      <c r="Q74" t="n">
        <v>13</v>
      </c>
      <c r="R74" t="n">
        <v>2</v>
      </c>
      <c r="S74" t="n">
        <v>21</v>
      </c>
      <c r="T74" t="n">
        <v>88</v>
      </c>
      <c r="U74" t="n">
        <v>87</v>
      </c>
      <c r="V74" s="2" t="inlineStr">
        <is>
          <t>Garnlav
Knärot
Kolflarnlav
Kortskaftad ärgspik
Mörk kolflarnlav
Rynkskinn
Skogshare
Talltita
Tretåig hackspett
Vedflamlav
Vedskivlav
Vitgrynig nållav
Älg
Luddlav
Svart trolldruva
Gråspett
Spillkråka
Timmerticka
Tofsmes
Nattviol
Revlummer</t>
        </is>
      </c>
      <c r="W74">
        <f>HYPERLINK("https://klasma.github.io/Logging_2062/artfynd/A 9412-2026 artfynd.xlsx", "A 9412-2026")</f>
        <v/>
      </c>
      <c r="X74">
        <f>HYPERLINK("https://klasma.github.io/Logging_2062/kartor/A 9412-2026 karta.png", "A 9412-2026")</f>
        <v/>
      </c>
      <c r="Y74">
        <f>HYPERLINK("https://klasma.github.io/Logging_2062/kartor_geotiff/A 9412-2026 georefererad karta.tif", "A 9412-2026")</f>
        <v/>
      </c>
      <c r="Z74">
        <f>HYPERLINK("https://klasma.github.io/Logging_2062/knärot/A 9412-2026 karta knärot.png", "A 9412-2026")</f>
        <v/>
      </c>
      <c r="AA74">
        <f>HYPERLINK("https://klasma.github.io/Logging_2062/klagomål/A 9412-2026 FSC-klagomål.docx", "A 9412-2026")</f>
        <v/>
      </c>
      <c r="AB74">
        <f>HYPERLINK("https://klasma.github.io/Logging_2062/klagomålsmail/A 9412-2026 FSC-klagomål mail.docx", "A 9412-2026")</f>
        <v/>
      </c>
      <c r="AC74">
        <f>HYPERLINK("https://klasma.github.io/Logging_2062/tillsyn/A 9412-2026 tillsynsbegäran.docx", "A 9412-2026")</f>
        <v/>
      </c>
      <c r="AD74">
        <f>HYPERLINK("https://klasma.github.io/Logging_2062/tillsynsmail/A 9412-2026 tillsynsbegäran mail.docx", "A 9412-2026")</f>
        <v/>
      </c>
      <c r="AE74">
        <f>HYPERLINK("https://klasma.github.io/Logging_2062/fåglar/A 9412-2026 prioriterade fågelarter.docx", "A 9412-2026")</f>
        <v/>
      </c>
    </row>
    <row r="75" ht="15" customHeight="1">
      <c r="A75" t="inlineStr">
        <is>
          <t>A 30241-2023</t>
        </is>
      </c>
      <c r="B75" t="inlineStr">
        <is>
          <t>avverkningsanmälan</t>
        </is>
      </c>
      <c r="C75" t="inlineStr">
        <is>
          <t>Föryngringsavverkning</t>
        </is>
      </c>
      <c r="D75" s="1" t="n">
        <v>45110</v>
      </c>
      <c r="E75" s="1" t="n">
        <v>46319</v>
      </c>
      <c r="F75" t="inlineStr">
        <is>
          <t>DALARNAS LÄN</t>
        </is>
      </c>
      <c r="G75" t="inlineStr">
        <is>
          <t>ÄLVDALEN</t>
        </is>
      </c>
      <c r="H75" t="inlineStr">
        <is>
          <t>Sveaskog</t>
        </is>
      </c>
      <c r="I75" t="n">
        <v>4.2</v>
      </c>
      <c r="J75" t="n">
        <v>2</v>
      </c>
      <c r="K75" t="n">
        <v>1</v>
      </c>
      <c r="L75" t="n">
        <v>14</v>
      </c>
      <c r="M75" t="n">
        <v>6</v>
      </c>
      <c r="N75" t="n">
        <v>0</v>
      </c>
      <c r="O75" t="n">
        <v>0</v>
      </c>
      <c r="P75" t="n">
        <v>0</v>
      </c>
      <c r="Q75" t="n">
        <v>20</v>
      </c>
      <c r="R75" t="n">
        <v>6</v>
      </c>
      <c r="S75" t="n">
        <v>21</v>
      </c>
      <c r="T75" t="n">
        <v>41</v>
      </c>
      <c r="U75" t="n">
        <v>41</v>
      </c>
      <c r="V75" s="2" t="inlineStr">
        <is>
          <t>Fläckporing
Garnlav
Goliatmusseron
Gräddporing
Skrovlig taggsvamp
Tajgataggsvamp
Blanksvart spiklav
Blå taggsvamp
Dropptaggsvamp
Motaggsvamp
Skarp dropptaggsvamp
Skrovellav
Svartvit taggsvamp
Talltaggsvamp
Tretåig hackspett
Vaddporing
Varglav
Vedflamlav
Vedskivlav
Vitplätt
Mindre märgborre</t>
        </is>
      </c>
      <c r="W75">
        <f>HYPERLINK("https://klasma.github.io/Logging_2039/artfynd/A 30241-2023 artfynd.xlsx", "A 30241-2023")</f>
        <v/>
      </c>
      <c r="X75">
        <f>HYPERLINK("https://klasma.github.io/Logging_2039/kartor/A 30241-2023 karta.png", "A 30241-2023")</f>
        <v/>
      </c>
      <c r="Y75">
        <f>HYPERLINK("https://klasma.github.io/Logging_2039/kartor_geotiff/A 30241-2023 georefererad karta.tif", "A 30241-2023")</f>
        <v/>
      </c>
      <c r="AA75">
        <f>HYPERLINK("https://klasma.github.io/Logging_2039/klagomål/A 30241-2023 FSC-klagomål.docx", "A 30241-2023")</f>
        <v/>
      </c>
      <c r="AB75">
        <f>HYPERLINK("https://klasma.github.io/Logging_2039/klagomålsmail/A 30241-2023 FSC-klagomål mail.docx", "A 30241-2023")</f>
        <v/>
      </c>
      <c r="AC75">
        <f>HYPERLINK("https://klasma.github.io/Logging_2039/tillsyn/A 30241-2023 tillsynsbegäran.docx", "A 30241-2023")</f>
        <v/>
      </c>
      <c r="AD75">
        <f>HYPERLINK("https://klasma.github.io/Logging_2039/tillsynsmail/A 30241-2023 tillsynsbegäran mail.docx", "A 30241-2023")</f>
        <v/>
      </c>
      <c r="AE75">
        <f>HYPERLINK("https://klasma.github.io/Logging_2039/fåglar/A 30241-2023 prioriterade fågelarter.docx", "A 30241-2023")</f>
        <v/>
      </c>
    </row>
    <row r="76" ht="15" customHeight="1">
      <c r="A76" t="inlineStr">
        <is>
          <t>S 1798-2022</t>
        </is>
      </c>
      <c r="B76" t="inlineStr">
        <is>
          <t>samrådsanmälan</t>
        </is>
      </c>
      <c r="C76" t="inlineStr">
        <is>
          <t>Åtgärd i nyckelbiotop</t>
        </is>
      </c>
      <c r="D76" s="1" t="n">
        <v>44655</v>
      </c>
      <c r="E76" s="1" t="n">
        <v>46319</v>
      </c>
      <c r="F76" t="inlineStr">
        <is>
          <t>DALARNAS LÄN</t>
        </is>
      </c>
      <c r="G76" t="inlineStr">
        <is>
          <t>HEDEMORA</t>
        </is>
      </c>
      <c r="H76" t="inlineStr">
        <is>
          <t>Sveaskog</t>
        </is>
      </c>
      <c r="I76" t="n">
        <v>16</v>
      </c>
      <c r="J76" t="n">
        <v>8</v>
      </c>
      <c r="K76" t="n">
        <v>5</v>
      </c>
      <c r="L76" t="n">
        <v>8</v>
      </c>
      <c r="M76" t="n">
        <v>3</v>
      </c>
      <c r="N76" t="n">
        <v>0</v>
      </c>
      <c r="O76" t="n">
        <v>0</v>
      </c>
      <c r="P76" t="n">
        <v>0</v>
      </c>
      <c r="Q76" t="n">
        <v>11</v>
      </c>
      <c r="R76" t="n">
        <v>3</v>
      </c>
      <c r="S76" t="n">
        <v>21</v>
      </c>
      <c r="T76" t="n">
        <v>74</v>
      </c>
      <c r="U76" t="n">
        <v>67</v>
      </c>
      <c r="V76" s="2" t="inlineStr">
        <is>
          <t>Almsprängticka
Knärot
Ulltickeporing
Mindre hackspett
Nordfladdermus
Reliktbock
Rosenticka
Rynkskinn
Tallticka
Ullticka
Vintertagging
Bronshjon
Mörk husmossa
Skinnlav
Trådticka
Vedticka
Spillkråka
Mustaschfladdermus
Tajgafladdermus
Vattenfladdermus
Revlummer</t>
        </is>
      </c>
      <c r="W76">
        <f>HYPERLINK("https://klasma.github.io/Logging_2083/artfynd/S 1798-2022 artfynd.xlsx", "S 1798-2022")</f>
        <v/>
      </c>
      <c r="X76">
        <f>HYPERLINK("https://klasma.github.io/Logging_2083/kartor/S 1798-2022 karta.png", "S 1798-2022")</f>
        <v/>
      </c>
      <c r="Y76">
        <f>HYPERLINK("https://klasma.github.io/Logging_2083/kartor_geotiff/S 1798-2022 georefererad karta.tif", "S 1798-2022")</f>
        <v/>
      </c>
      <c r="Z76">
        <f>HYPERLINK("https://klasma.github.io/Logging_2083/knärot/S 1798-2022 karta knärot.png", "S 1798-2022")</f>
        <v/>
      </c>
      <c r="AA76">
        <f>HYPERLINK("https://klasma.github.io/Logging_2083/klagomål/S 1798-2022 FSC-klagomål.docx", "S 1798-2022")</f>
        <v/>
      </c>
      <c r="AB76">
        <f>HYPERLINK("https://klasma.github.io/Logging_2083/klagomålsmail/S 1798-2022 FSC-klagomål mail.docx", "S 1798-2022")</f>
        <v/>
      </c>
      <c r="AC76">
        <f>HYPERLINK("https://klasma.github.io/Logging_2083/tillsyn/S 1798-2022 tillsynsbegäran.docx", "S 1798-2022")</f>
        <v/>
      </c>
      <c r="AD76">
        <f>HYPERLINK("https://klasma.github.io/Logging_2083/tillsynsmail/S 1798-2022 tillsynsbegäran mail.docx", "S 1798-2022")</f>
        <v/>
      </c>
      <c r="AE76">
        <f>HYPERLINK("https://klasma.github.io/Logging_2083/fåglar/S 1798-2022 prioriterade fågelarter.docx", "S 1798-2022")</f>
        <v/>
      </c>
    </row>
    <row r="77" ht="15" customHeight="1">
      <c r="A77" t="inlineStr">
        <is>
          <t>S 1878-2026</t>
        </is>
      </c>
      <c r="B77" t="inlineStr">
        <is>
          <t>samrådsanmälan</t>
        </is>
      </c>
      <c r="C77" t="inlineStr">
        <is>
          <t>Annan skogsbruksåtgärd</t>
        </is>
      </c>
      <c r="D77" s="1" t="n">
        <v>46197</v>
      </c>
      <c r="E77" s="1" t="n">
        <v>46319</v>
      </c>
      <c r="F77" t="inlineStr">
        <is>
          <t>DALARNAS LÄN</t>
        </is>
      </c>
      <c r="G77" t="inlineStr">
        <is>
          <t>HEDEMORA</t>
        </is>
      </c>
      <c r="I77" t="n">
        <v>2.8</v>
      </c>
      <c r="J77" t="n">
        <v>4</v>
      </c>
      <c r="K77" t="n">
        <v>4</v>
      </c>
      <c r="L77" t="n">
        <v>15</v>
      </c>
      <c r="M77" t="n">
        <v>0</v>
      </c>
      <c r="N77" t="n">
        <v>0</v>
      </c>
      <c r="O77" t="n">
        <v>0</v>
      </c>
      <c r="P77" t="n">
        <v>0</v>
      </c>
      <c r="Q77" t="n">
        <v>15</v>
      </c>
      <c r="R77" t="n">
        <v>0</v>
      </c>
      <c r="S77" t="n">
        <v>21</v>
      </c>
      <c r="T77" t="n">
        <v>53</v>
      </c>
      <c r="U77" t="n">
        <v>0</v>
      </c>
      <c r="V77" s="2" t="inlineStr">
        <is>
          <t>Dofttaggsvamp
Dropptaggsvamp
Fjällig taggsvamp s.str.
Grantaggsvamp
Kandelabersvamp
Motaggsvamp
Orange taggsvamp
Skarp dropptaggsvamp
Sotvaxskivling
Svartvit taggsvamp
Talltita
Tretåig hackspett
Ullticka
Veckticka
Vårärt
Skinnlav
Svavelriska
Thomsons trägnagare
Vågbandad barkbock
Blåsippa
Spillkråka</t>
        </is>
      </c>
      <c r="W77">
        <f>HYPERLINK("https://klasma.github.io/Logging_2083/artfynd/S 1878-2026 artfynd.xlsx", "S 1878-2026")</f>
        <v/>
      </c>
      <c r="X77">
        <f>HYPERLINK("https://klasma.github.io/Logging_2083/kartor/S 1878-2026 karta.png", "S 1878-2026")</f>
        <v/>
      </c>
      <c r="Y77">
        <f>HYPERLINK("https://klasma.github.io/Logging_2083/kartor_geotiff/S 1878-2026 georefererad karta.tif", "S 1878-2026")</f>
        <v/>
      </c>
      <c r="AA77">
        <f>HYPERLINK("https://klasma.github.io/Logging_2083/klagomål/S 1878-2026 FSC-klagomål.docx", "S 1878-2026")</f>
        <v/>
      </c>
      <c r="AB77">
        <f>HYPERLINK("https://klasma.github.io/Logging_2083/klagomålsmail/S 1878-2026 FSC-klagomål mail.docx", "S 1878-2026")</f>
        <v/>
      </c>
      <c r="AC77">
        <f>HYPERLINK("https://klasma.github.io/Logging_2083/tillsyn/S 1878-2026 tillsynsbegäran.docx", "S 1878-2026")</f>
        <v/>
      </c>
      <c r="AD77">
        <f>HYPERLINK("https://klasma.github.io/Logging_2083/tillsynsmail/S 1878-2026 tillsynsbegäran mail.docx", "S 1878-2026")</f>
        <v/>
      </c>
      <c r="AE77">
        <f>HYPERLINK("https://klasma.github.io/Logging_2083/fåglar/S 1878-2026 prioriterade fågelarter.docx", "S 1878-2026")</f>
        <v/>
      </c>
    </row>
    <row r="78" ht="15" customHeight="1">
      <c r="A78" t="inlineStr">
        <is>
          <t>A 30505-2024</t>
        </is>
      </c>
      <c r="B78" t="inlineStr">
        <is>
          <t>avverkningsanmälan</t>
        </is>
      </c>
      <c r="C78" t="inlineStr">
        <is>
          <t>Föryngringsavverkning</t>
        </is>
      </c>
      <c r="D78" s="1" t="n">
        <v>45492</v>
      </c>
      <c r="E78" s="1" t="n">
        <v>46319</v>
      </c>
      <c r="F78" t="inlineStr">
        <is>
          <t>DALARNAS LÄN</t>
        </is>
      </c>
      <c r="G78" t="inlineStr">
        <is>
          <t>ORSA</t>
        </is>
      </c>
      <c r="H78" t="inlineStr">
        <is>
          <t>Allmännings- och besparingsskogar</t>
        </is>
      </c>
      <c r="I78" t="n">
        <v>5.1</v>
      </c>
      <c r="J78" t="n">
        <v>3</v>
      </c>
      <c r="K78" t="n">
        <v>2</v>
      </c>
      <c r="L78" t="n">
        <v>15</v>
      </c>
      <c r="M78" t="n">
        <v>2</v>
      </c>
      <c r="N78" t="n">
        <v>0</v>
      </c>
      <c r="O78" t="n">
        <v>0</v>
      </c>
      <c r="P78" t="n">
        <v>0</v>
      </c>
      <c r="Q78" t="n">
        <v>17</v>
      </c>
      <c r="R78" t="n">
        <v>2</v>
      </c>
      <c r="S78" t="n">
        <v>20</v>
      </c>
      <c r="T78" t="n">
        <v>167</v>
      </c>
      <c r="U78" t="n">
        <v>167</v>
      </c>
      <c r="V78" s="2" t="inlineStr">
        <is>
          <t>Garnlav
Skrovlig taggsvamp
Dropptaggsvamp
Dvärgbägarlav
Kolflarnlav
Lunglav
Mörk kolflarnlav
Nordtagging
Orange taggsvamp
Skarp dropptaggsvamp
Talltita
Tretåig hackspett
Vaddporing
Vedflamlav
Vedskivlav
Violettgrå tagellav
Vitgrynig nållav
Stuplav
Zontaggsvamp
Järpe</t>
        </is>
      </c>
      <c r="W78">
        <f>HYPERLINK("https://klasma.github.io/Logging_2034/artfynd/A 30505-2024 artfynd.xlsx", "A 30505-2024")</f>
        <v/>
      </c>
      <c r="X78">
        <f>HYPERLINK("https://klasma.github.io/Logging_2034/kartor/A 30505-2024 karta.png", "A 30505-2024")</f>
        <v/>
      </c>
      <c r="Y78">
        <f>HYPERLINK("https://klasma.github.io/Logging_2034/kartor_geotiff/A 30505-2024 georefererad karta.tif", "A 30505-2024")</f>
        <v/>
      </c>
      <c r="AA78">
        <f>HYPERLINK("https://klasma.github.io/Logging_2034/klagomål/A 30505-2024 FSC-klagomål.docx", "A 30505-2024")</f>
        <v/>
      </c>
      <c r="AB78">
        <f>HYPERLINK("https://klasma.github.io/Logging_2034/klagomålsmail/A 30505-2024 FSC-klagomål mail.docx", "A 30505-2024")</f>
        <v/>
      </c>
      <c r="AC78">
        <f>HYPERLINK("https://klasma.github.io/Logging_2034/tillsyn/A 30505-2024 tillsynsbegäran.docx", "A 30505-2024")</f>
        <v/>
      </c>
      <c r="AD78">
        <f>HYPERLINK("https://klasma.github.io/Logging_2034/tillsynsmail/A 30505-2024 tillsynsbegäran mail.docx", "A 30505-2024")</f>
        <v/>
      </c>
      <c r="AE78">
        <f>HYPERLINK("https://klasma.github.io/Logging_2034/fåglar/A 30505-2024 prioriterade fågelarter.docx", "A 30505-2024")</f>
        <v/>
      </c>
    </row>
    <row r="79" ht="15" customHeight="1">
      <c r="A79" t="inlineStr">
        <is>
          <t>A 47905-2023</t>
        </is>
      </c>
      <c r="B79" t="inlineStr">
        <is>
          <t>avverkningsanmälan</t>
        </is>
      </c>
      <c r="C79" t="inlineStr">
        <is>
          <t>Föryngringsavverkning</t>
        </is>
      </c>
      <c r="D79" s="1" t="n">
        <v>45204</v>
      </c>
      <c r="E79" s="1" t="n">
        <v>46319</v>
      </c>
      <c r="F79" t="inlineStr">
        <is>
          <t>DALARNAS LÄN</t>
        </is>
      </c>
      <c r="G79" t="inlineStr">
        <is>
          <t>ORSA</t>
        </is>
      </c>
      <c r="H79" t="inlineStr">
        <is>
          <t>Allmännings- och besparingsskogar</t>
        </is>
      </c>
      <c r="I79" t="n">
        <v>9.300000000000001</v>
      </c>
      <c r="J79" t="n">
        <v>2</v>
      </c>
      <c r="K79" t="n">
        <v>6</v>
      </c>
      <c r="L79" t="n">
        <v>11</v>
      </c>
      <c r="M79" t="n">
        <v>1</v>
      </c>
      <c r="N79" t="n">
        <v>1</v>
      </c>
      <c r="O79" t="n">
        <v>0</v>
      </c>
      <c r="P79" t="n">
        <v>0</v>
      </c>
      <c r="Q79" t="n">
        <v>13</v>
      </c>
      <c r="R79" t="n">
        <v>2</v>
      </c>
      <c r="S79" t="n">
        <v>20</v>
      </c>
      <c r="T79" t="n">
        <v>134</v>
      </c>
      <c r="U79" t="n">
        <v>134</v>
      </c>
      <c r="V79" s="2" t="inlineStr">
        <is>
          <t>Urskogsporing
Garnlav
Blanksvart spiklav
Dropptaggsvamp
Dvärgbägarlav
Kolflarnlav
Lavskrika
Lunglav
Mörk kolflarnlav
Skarp dropptaggsvamp
Vedflamlav
Vedskivlav
Violettgrå tagellav
Flagellkvastmossa
Norrlandslav
Nästlav
Skinnlav
Stuplav
Vågbandad barkbock
Spillkråka</t>
        </is>
      </c>
      <c r="W79">
        <f>HYPERLINK("https://klasma.github.io/Logging_2034/artfynd/A 47905-2023 artfynd.xlsx", "A 47905-2023")</f>
        <v/>
      </c>
      <c r="X79">
        <f>HYPERLINK("https://klasma.github.io/Logging_2034/kartor/A 47905-2023 karta.png", "A 47905-2023")</f>
        <v/>
      </c>
      <c r="Y79">
        <f>HYPERLINK("https://klasma.github.io/Logging_2034/kartor_geotiff/A 47905-2023 georefererad karta.tif", "A 47905-2023")</f>
        <v/>
      </c>
      <c r="AA79">
        <f>HYPERLINK("https://klasma.github.io/Logging_2034/klagomål/A 47905-2023 FSC-klagomål.docx", "A 47905-2023")</f>
        <v/>
      </c>
      <c r="AB79">
        <f>HYPERLINK("https://klasma.github.io/Logging_2034/klagomålsmail/A 47905-2023 FSC-klagomål mail.docx", "A 47905-2023")</f>
        <v/>
      </c>
      <c r="AC79">
        <f>HYPERLINK("https://klasma.github.io/Logging_2034/tillsyn/A 47905-2023 tillsynsbegäran.docx", "A 47905-2023")</f>
        <v/>
      </c>
      <c r="AD79">
        <f>HYPERLINK("https://klasma.github.io/Logging_2034/tillsynsmail/A 47905-2023 tillsynsbegäran mail.docx", "A 47905-2023")</f>
        <v/>
      </c>
      <c r="AE79">
        <f>HYPERLINK("https://klasma.github.io/Logging_2034/fåglar/A 47905-2023 prioriterade fågelarter.docx", "A 47905-2023")</f>
        <v/>
      </c>
    </row>
    <row r="80" ht="15" customHeight="1">
      <c r="A80" t="inlineStr">
        <is>
          <t>A 1480-2026</t>
        </is>
      </c>
      <c r="B80" t="inlineStr">
        <is>
          <t>avverkningsanmälan</t>
        </is>
      </c>
      <c r="C80" t="inlineStr">
        <is>
          <t>Föryngringsavverkning</t>
        </is>
      </c>
      <c r="D80" s="1" t="n">
        <v>46033</v>
      </c>
      <c r="E80" s="1" t="n">
        <v>46319</v>
      </c>
      <c r="F80" t="inlineStr">
        <is>
          <t>DALARNAS LÄN</t>
        </is>
      </c>
      <c r="G80" t="inlineStr">
        <is>
          <t>MALUNG-SÄLEN</t>
        </is>
      </c>
      <c r="I80" t="n">
        <v>1.5</v>
      </c>
      <c r="J80" t="n">
        <v>3</v>
      </c>
      <c r="K80" t="n">
        <v>5</v>
      </c>
      <c r="L80" t="n">
        <v>9</v>
      </c>
      <c r="M80" t="n">
        <v>5</v>
      </c>
      <c r="N80" t="n">
        <v>0</v>
      </c>
      <c r="O80" t="n">
        <v>0</v>
      </c>
      <c r="P80" t="n">
        <v>0</v>
      </c>
      <c r="Q80" t="n">
        <v>14</v>
      </c>
      <c r="R80" t="n">
        <v>5</v>
      </c>
      <c r="S80" t="n">
        <v>20</v>
      </c>
      <c r="T80" t="n">
        <v>51</v>
      </c>
      <c r="U80" t="n">
        <v>51</v>
      </c>
      <c r="V80" s="2" t="inlineStr">
        <is>
          <t>Citronporing
Garnlav
Gränsticka
Rostskinn
Ulltickeporing
Brunpudrad nållav
Duvhök
Gammelgransskål
Kortskaftad ärgspik
Kötticka
Rynkskinn
Skrovellav
Tretåig hackspett
Ullticka
Bronshjon
Bårdlav
Gulnål
Stuplav
Vedticka
Orre</t>
        </is>
      </c>
      <c r="W80">
        <f>HYPERLINK("https://klasma.github.io/Logging_2023/artfynd/A 1480-2026 artfynd.xlsx", "A 1480-2026")</f>
        <v/>
      </c>
      <c r="X80">
        <f>HYPERLINK("https://klasma.github.io/Logging_2023/kartor/A 1480-2026 karta.png", "A 1480-2026")</f>
        <v/>
      </c>
      <c r="Y80">
        <f>HYPERLINK("https://klasma.github.io/Logging_2023/kartor_geotiff/A 1480-2026 georefererad karta.tif", "A 1480-2026")</f>
        <v/>
      </c>
      <c r="AA80">
        <f>HYPERLINK("https://klasma.github.io/Logging_2023/klagomål/A 1480-2026 FSC-klagomål.docx", "A 1480-2026")</f>
        <v/>
      </c>
      <c r="AB80">
        <f>HYPERLINK("https://klasma.github.io/Logging_2023/klagomålsmail/A 1480-2026 FSC-klagomål mail.docx", "A 1480-2026")</f>
        <v/>
      </c>
      <c r="AC80">
        <f>HYPERLINK("https://klasma.github.io/Logging_2023/tillsyn/A 1480-2026 tillsynsbegäran.docx", "A 1480-2026")</f>
        <v/>
      </c>
      <c r="AD80">
        <f>HYPERLINK("https://klasma.github.io/Logging_2023/tillsynsmail/A 1480-2026 tillsynsbegäran mail.docx", "A 1480-2026")</f>
        <v/>
      </c>
      <c r="AE80">
        <f>HYPERLINK("https://klasma.github.io/Logging_2023/fåglar/A 1480-2026 prioriterade fågelarter.docx", "A 1480-2026")</f>
        <v/>
      </c>
    </row>
    <row r="81" ht="15" customHeight="1">
      <c r="A81" t="inlineStr">
        <is>
          <t>A 46800-2025</t>
        </is>
      </c>
      <c r="B81" t="inlineStr">
        <is>
          <t>avverkningsanmälan</t>
        </is>
      </c>
      <c r="C81" t="inlineStr">
        <is>
          <t>Föryngringsavverkning</t>
        </is>
      </c>
      <c r="D81" s="1" t="n">
        <v>45926</v>
      </c>
      <c r="E81" s="1" t="n">
        <v>46319</v>
      </c>
      <c r="F81" t="inlineStr">
        <is>
          <t>DALARNAS LÄN</t>
        </is>
      </c>
      <c r="G81" t="inlineStr">
        <is>
          <t>ÄLVDALEN</t>
        </is>
      </c>
      <c r="H81" t="inlineStr">
        <is>
          <t>Allmännings- och besparingsskogar</t>
        </is>
      </c>
      <c r="I81" t="n">
        <v>38.5</v>
      </c>
      <c r="J81" t="n">
        <v>5</v>
      </c>
      <c r="K81" t="n">
        <v>1</v>
      </c>
      <c r="L81" t="n">
        <v>13</v>
      </c>
      <c r="M81" t="n">
        <v>3</v>
      </c>
      <c r="N81" t="n">
        <v>0</v>
      </c>
      <c r="O81" t="n">
        <v>0</v>
      </c>
      <c r="P81" t="n">
        <v>0</v>
      </c>
      <c r="Q81" t="n">
        <v>16</v>
      </c>
      <c r="R81" t="n">
        <v>3</v>
      </c>
      <c r="S81" t="n">
        <v>20</v>
      </c>
      <c r="T81" t="n">
        <v>180</v>
      </c>
      <c r="U81" t="n">
        <v>178</v>
      </c>
      <c r="V81" s="2" t="inlineStr">
        <is>
          <t>Corticeus longulus
Garnlav
Gräddporing
Blanksvart spiklav
Dropptaggsvamp
Dvärgbägarlav
Kolflarnlav
Motaggsvamp
Mörk kolflarnlav
Nordlig nållav
Talltagel
Tallticka
Tretåig hackspett
Varglav
Vedflamlav
Vedskivlav
Mindre märgborre
Spillkråka
Tjäder
Kungsfågel</t>
        </is>
      </c>
      <c r="W81">
        <f>HYPERLINK("https://klasma.github.io/Logging_2039/artfynd/A 46800-2025 artfynd.xlsx", "A 46800-2025")</f>
        <v/>
      </c>
      <c r="X81">
        <f>HYPERLINK("https://klasma.github.io/Logging_2039/kartor/A 46800-2025 karta.png", "A 46800-2025")</f>
        <v/>
      </c>
      <c r="Y81">
        <f>HYPERLINK("https://klasma.github.io/Logging_2039/kartor_geotiff/A 46800-2025 georefererad karta.tif", "A 46800-2025")</f>
        <v/>
      </c>
      <c r="AA81">
        <f>HYPERLINK("https://klasma.github.io/Logging_2039/klagomål/A 46800-2025 FSC-klagomål.docx", "A 46800-2025")</f>
        <v/>
      </c>
      <c r="AB81">
        <f>HYPERLINK("https://klasma.github.io/Logging_2039/klagomålsmail/A 46800-2025 FSC-klagomål mail.docx", "A 46800-2025")</f>
        <v/>
      </c>
      <c r="AC81">
        <f>HYPERLINK("https://klasma.github.io/Logging_2039/tillsyn/A 46800-2025 tillsynsbegäran.docx", "A 46800-2025")</f>
        <v/>
      </c>
      <c r="AD81">
        <f>HYPERLINK("https://klasma.github.io/Logging_2039/tillsynsmail/A 46800-2025 tillsynsbegäran mail.docx", "A 46800-2025")</f>
        <v/>
      </c>
      <c r="AE81">
        <f>HYPERLINK("https://klasma.github.io/Logging_2039/fåglar/A 46800-2025 prioriterade fågelarter.docx", "A 46800-2025")</f>
        <v/>
      </c>
    </row>
    <row r="82" ht="15" customHeight="1">
      <c r="A82" t="inlineStr">
        <is>
          <t>A 57321-2024</t>
        </is>
      </c>
      <c r="B82" t="inlineStr">
        <is>
          <t>avverkningsanmälan</t>
        </is>
      </c>
      <c r="C82" t="inlineStr">
        <is>
          <t>Föryngringsavverkning</t>
        </is>
      </c>
      <c r="D82" s="1" t="n">
        <v>45629</v>
      </c>
      <c r="E82" s="1" t="n">
        <v>46319</v>
      </c>
      <c r="F82" t="inlineStr">
        <is>
          <t>DALARNAS LÄN</t>
        </is>
      </c>
      <c r="G82" t="inlineStr">
        <is>
          <t>SMEDJEBACKEN</t>
        </is>
      </c>
      <c r="H82" t="inlineStr">
        <is>
          <t>Bergvik skog väst AB</t>
        </is>
      </c>
      <c r="I82" t="n">
        <v>4.1</v>
      </c>
      <c r="J82" t="n">
        <v>5</v>
      </c>
      <c r="K82" t="n">
        <v>6</v>
      </c>
      <c r="L82" t="n">
        <v>8</v>
      </c>
      <c r="M82" t="n">
        <v>2</v>
      </c>
      <c r="N82" t="n">
        <v>0</v>
      </c>
      <c r="O82" t="n">
        <v>0</v>
      </c>
      <c r="P82" t="n">
        <v>0</v>
      </c>
      <c r="Q82" t="n">
        <v>10</v>
      </c>
      <c r="R82" t="n">
        <v>2</v>
      </c>
      <c r="S82" t="n">
        <v>20</v>
      </c>
      <c r="T82" t="n">
        <v>67</v>
      </c>
      <c r="U82" t="n">
        <v>36</v>
      </c>
      <c r="V82" s="2" t="inlineStr">
        <is>
          <t>Gul taggsvamp
Knärot
Dofttaggsvamp
Gropticka
Rovspindling
Rynkskinn
Tretåig hackspett
Ullticka
Vedtrappmossa
Vårärt
Blåmossa
Bollvitmossa
Svavelriska
Tibast
Trådticka
Vedticka
Blåsippa
Liljekonvalj
Fläcknycklar
Revlummer</t>
        </is>
      </c>
      <c r="W82">
        <f>HYPERLINK("https://klasma.github.io/Logging_2061/artfynd/A 57321-2024 artfynd.xlsx", "A 57321-2024")</f>
        <v/>
      </c>
      <c r="X82">
        <f>HYPERLINK("https://klasma.github.io/Logging_2061/kartor/A 57321-2024 karta.png", "A 57321-2024")</f>
        <v/>
      </c>
      <c r="Y82">
        <f>HYPERLINK("https://klasma.github.io/Logging_2061/kartor_geotiff/A 57321-2024 georefererad karta.tif", "A 57321-2024")</f>
        <v/>
      </c>
      <c r="Z82">
        <f>HYPERLINK("https://klasma.github.io/Logging_2061/knärot/A 57321-2024 karta knärot.png", "A 57321-2024")</f>
        <v/>
      </c>
      <c r="AA82">
        <f>HYPERLINK("https://klasma.github.io/Logging_2061/klagomål/A 57321-2024 FSC-klagomål.docx", "A 57321-2024")</f>
        <v/>
      </c>
      <c r="AB82">
        <f>HYPERLINK("https://klasma.github.io/Logging_2061/klagomålsmail/A 57321-2024 FSC-klagomål mail.docx", "A 57321-2024")</f>
        <v/>
      </c>
      <c r="AC82">
        <f>HYPERLINK("https://klasma.github.io/Logging_2061/tillsyn/A 57321-2024 tillsynsbegäran.docx", "A 57321-2024")</f>
        <v/>
      </c>
      <c r="AD82">
        <f>HYPERLINK("https://klasma.github.io/Logging_2061/tillsynsmail/A 57321-2024 tillsynsbegäran mail.docx", "A 57321-2024")</f>
        <v/>
      </c>
      <c r="AE82">
        <f>HYPERLINK("https://klasma.github.io/Logging_2061/fåglar/A 57321-2024 prioriterade fågelarter.docx", "A 57321-2024")</f>
        <v/>
      </c>
    </row>
    <row r="83" ht="15" customHeight="1">
      <c r="A83" t="inlineStr">
        <is>
          <t>A 42345-2023</t>
        </is>
      </c>
      <c r="B83" t="inlineStr">
        <is>
          <t>avverkningsanmälan</t>
        </is>
      </c>
      <c r="C83" t="inlineStr">
        <is>
          <t>Föryngringsavverkning</t>
        </is>
      </c>
      <c r="D83" s="1" t="n">
        <v>45180</v>
      </c>
      <c r="E83" s="1" t="n">
        <v>46319</v>
      </c>
      <c r="F83" t="inlineStr">
        <is>
          <t>DALARNAS LÄN</t>
        </is>
      </c>
      <c r="G83" t="inlineStr">
        <is>
          <t>HEDEMORA</t>
        </is>
      </c>
      <c r="I83" t="n">
        <v>2.3</v>
      </c>
      <c r="J83" t="n">
        <v>4</v>
      </c>
      <c r="K83" t="n">
        <v>4</v>
      </c>
      <c r="L83" t="n">
        <v>8</v>
      </c>
      <c r="M83" t="n">
        <v>5</v>
      </c>
      <c r="N83" t="n">
        <v>0</v>
      </c>
      <c r="O83" t="n">
        <v>0</v>
      </c>
      <c r="P83" t="n">
        <v>0</v>
      </c>
      <c r="Q83" t="n">
        <v>13</v>
      </c>
      <c r="R83" t="n">
        <v>5</v>
      </c>
      <c r="S83" t="n">
        <v>19</v>
      </c>
      <c r="T83" t="n">
        <v>68</v>
      </c>
      <c r="U83" t="n">
        <v>34</v>
      </c>
      <c r="V83" s="2" t="inlineStr">
        <is>
          <t>Bullspindling
Garnlav
Grangråticka
Knärot
Rostskinn
Fjällig taggsvamp s.str.
Motaggsvamp
Rosenticka
Rynkskinn
Skarp dropptaggsvamp
Talltita
Ullticka
Vågticka
Bronshjon
Gullgröppa
Trådticka
Vedticka
Mattlummer
Spillkråka</t>
        </is>
      </c>
      <c r="W83">
        <f>HYPERLINK("https://klasma.github.io/Logging_2083/artfynd/A 42345-2023 artfynd.xlsx", "A 42345-2023")</f>
        <v/>
      </c>
      <c r="X83">
        <f>HYPERLINK("https://klasma.github.io/Logging_2083/kartor/A 42345-2023 karta.png", "A 42345-2023")</f>
        <v/>
      </c>
      <c r="Y83">
        <f>HYPERLINK("https://klasma.github.io/Logging_2083/kartor_geotiff/A 42345-2023 georefererad karta.tif", "A 42345-2023")</f>
        <v/>
      </c>
      <c r="Z83">
        <f>HYPERLINK("https://klasma.github.io/Logging_2083/knärot/A 42345-2023 karta knärot.png", "A 42345-2023")</f>
        <v/>
      </c>
      <c r="AA83">
        <f>HYPERLINK("https://klasma.github.io/Logging_2083/klagomål/A 42345-2023 FSC-klagomål.docx", "A 42345-2023")</f>
        <v/>
      </c>
      <c r="AB83">
        <f>HYPERLINK("https://klasma.github.io/Logging_2083/klagomålsmail/A 42345-2023 FSC-klagomål mail.docx", "A 42345-2023")</f>
        <v/>
      </c>
      <c r="AC83">
        <f>HYPERLINK("https://klasma.github.io/Logging_2083/tillsyn/A 42345-2023 tillsynsbegäran.docx", "A 42345-2023")</f>
        <v/>
      </c>
      <c r="AD83">
        <f>HYPERLINK("https://klasma.github.io/Logging_2083/tillsynsmail/A 42345-2023 tillsynsbegäran mail.docx", "A 42345-2023")</f>
        <v/>
      </c>
      <c r="AE83">
        <f>HYPERLINK("https://klasma.github.io/Logging_2083/fåglar/A 42345-2023 prioriterade fågelarter.docx", "A 42345-2023")</f>
        <v/>
      </c>
    </row>
    <row r="84" ht="15" customHeight="1">
      <c r="A84" t="inlineStr">
        <is>
          <t>A 33285-2025</t>
        </is>
      </c>
      <c r="B84" t="inlineStr">
        <is>
          <t>avverkningsanmälan</t>
        </is>
      </c>
      <c r="C84" t="inlineStr">
        <is>
          <t>Föryngringsavverkning</t>
        </is>
      </c>
      <c r="D84" s="1" t="n">
        <v>45840</v>
      </c>
      <c r="E84" s="1" t="n">
        <v>46319</v>
      </c>
      <c r="F84" t="inlineStr">
        <is>
          <t>DALARNAS LÄN</t>
        </is>
      </c>
      <c r="G84" t="inlineStr">
        <is>
          <t>ÄLVDALEN</t>
        </is>
      </c>
      <c r="I84" t="n">
        <v>48.8</v>
      </c>
      <c r="J84" t="n">
        <v>4</v>
      </c>
      <c r="K84" t="n">
        <v>2</v>
      </c>
      <c r="L84" t="n">
        <v>10</v>
      </c>
      <c r="M84" t="n">
        <v>5</v>
      </c>
      <c r="N84" t="n">
        <v>0</v>
      </c>
      <c r="O84" t="n">
        <v>0</v>
      </c>
      <c r="P84" t="n">
        <v>0</v>
      </c>
      <c r="Q84" t="n">
        <v>15</v>
      </c>
      <c r="R84" t="n">
        <v>5</v>
      </c>
      <c r="S84" t="n">
        <v>19</v>
      </c>
      <c r="T84" t="n">
        <v>108</v>
      </c>
      <c r="U84" t="n">
        <v>44</v>
      </c>
      <c r="V84" s="2" t="inlineStr">
        <is>
          <t>Garnlav
Gräddporing
Gränsticka
Ostticka
Skuggnål
Doftskinn
Gammelgransskål
Knottrig blåslav
Lavskrika
Rosenticka
Rynkskinn
Tretåig hackspett
Ullticka
Vedskivlav
Vitplätt
Bronshjon
Trådticka
Fläcknycklar
Revlummer</t>
        </is>
      </c>
      <c r="W84">
        <f>HYPERLINK("https://klasma.github.io/Logging_2039/artfynd/A 33285-2025 artfynd.xlsx", "A 33285-2025")</f>
        <v/>
      </c>
      <c r="X84">
        <f>HYPERLINK("https://klasma.github.io/Logging_2039/kartor/A 33285-2025 karta.png", "A 33285-2025")</f>
        <v/>
      </c>
      <c r="Y84">
        <f>HYPERLINK("https://klasma.github.io/Logging_2039/kartor_geotiff/A 33285-2025 georefererad karta.tif", "A 33285-2025")</f>
        <v/>
      </c>
      <c r="AA84">
        <f>HYPERLINK("https://klasma.github.io/Logging_2039/klagomål/A 33285-2025 FSC-klagomål.docx", "A 33285-2025")</f>
        <v/>
      </c>
      <c r="AB84">
        <f>HYPERLINK("https://klasma.github.io/Logging_2039/klagomålsmail/A 33285-2025 FSC-klagomål mail.docx", "A 33285-2025")</f>
        <v/>
      </c>
      <c r="AC84">
        <f>HYPERLINK("https://klasma.github.io/Logging_2039/tillsyn/A 33285-2025 tillsynsbegäran.docx", "A 33285-2025")</f>
        <v/>
      </c>
      <c r="AD84">
        <f>HYPERLINK("https://klasma.github.io/Logging_2039/tillsynsmail/A 33285-2025 tillsynsbegäran mail.docx", "A 33285-2025")</f>
        <v/>
      </c>
      <c r="AE84">
        <f>HYPERLINK("https://klasma.github.io/Logging_2039/fåglar/A 33285-2025 prioriterade fågelarter.docx", "A 33285-2025")</f>
        <v/>
      </c>
    </row>
    <row r="85" ht="15" customHeight="1">
      <c r="A85" t="inlineStr">
        <is>
          <t>A 53732-2025</t>
        </is>
      </c>
      <c r="B85" t="inlineStr">
        <is>
          <t>avverkningsanmälan</t>
        </is>
      </c>
      <c r="C85" t="inlineStr">
        <is>
          <t>Föryngringsavverkning</t>
        </is>
      </c>
      <c r="D85" s="1" t="n">
        <v>45960</v>
      </c>
      <c r="E85" s="1" t="n">
        <v>46319</v>
      </c>
      <c r="F85" t="inlineStr">
        <is>
          <t>DALARNAS LÄN</t>
        </is>
      </c>
      <c r="G85" t="inlineStr">
        <is>
          <t>ÄLVDALEN</t>
        </is>
      </c>
      <c r="H85" t="inlineStr">
        <is>
          <t>Allmännings- och besparingsskogar</t>
        </is>
      </c>
      <c r="I85" t="n">
        <v>28.1</v>
      </c>
      <c r="J85" t="n">
        <v>5</v>
      </c>
      <c r="K85" t="n">
        <v>1</v>
      </c>
      <c r="L85" t="n">
        <v>12</v>
      </c>
      <c r="M85" t="n">
        <v>3</v>
      </c>
      <c r="N85" t="n">
        <v>1</v>
      </c>
      <c r="O85" t="n">
        <v>0</v>
      </c>
      <c r="P85" t="n">
        <v>0</v>
      </c>
      <c r="Q85" t="n">
        <v>16</v>
      </c>
      <c r="R85" t="n">
        <v>4</v>
      </c>
      <c r="S85" t="n">
        <v>19</v>
      </c>
      <c r="T85" t="n">
        <v>164</v>
      </c>
      <c r="U85" t="n">
        <v>145</v>
      </c>
      <c r="V85" s="2" t="inlineStr">
        <is>
          <t>Mosippa
Garnlav
Raggbock
Skrovlig taggsvamp
Blå taggsvamp
Dropptaggsvamp
Dvärgbägarlav
Kolflarnlav
Motaggsvamp
Mörk kolflarnlav
Orange taggsvamp
Skarp dropptaggsvamp
Talltita
Tretåig hackspett
Vedflamlav
Vedskivlav
Mindre märgborre
Spillkråka
Kungsfågel</t>
        </is>
      </c>
      <c r="W85">
        <f>HYPERLINK("https://klasma.github.io/Logging_2039/artfynd/A 53732-2025 artfynd.xlsx", "A 53732-2025")</f>
        <v/>
      </c>
      <c r="X85">
        <f>HYPERLINK("https://klasma.github.io/Logging_2039/kartor/A 53732-2025 karta.png", "A 53732-2025")</f>
        <v/>
      </c>
      <c r="Y85">
        <f>HYPERLINK("https://klasma.github.io/Logging_2039/kartor_geotiff/A 53732-2025 georefererad karta.tif", "A 53732-2025")</f>
        <v/>
      </c>
      <c r="AA85">
        <f>HYPERLINK("https://klasma.github.io/Logging_2039/klagomål/A 53732-2025 FSC-klagomål.docx", "A 53732-2025")</f>
        <v/>
      </c>
      <c r="AB85">
        <f>HYPERLINK("https://klasma.github.io/Logging_2039/klagomålsmail/A 53732-2025 FSC-klagomål mail.docx", "A 53732-2025")</f>
        <v/>
      </c>
      <c r="AC85">
        <f>HYPERLINK("https://klasma.github.io/Logging_2039/tillsyn/A 53732-2025 tillsynsbegäran.docx", "A 53732-2025")</f>
        <v/>
      </c>
      <c r="AD85">
        <f>HYPERLINK("https://klasma.github.io/Logging_2039/tillsynsmail/A 53732-2025 tillsynsbegäran mail.docx", "A 53732-2025")</f>
        <v/>
      </c>
      <c r="AE85">
        <f>HYPERLINK("https://klasma.github.io/Logging_2039/fåglar/A 53732-2025 prioriterade fågelarter.docx", "A 53732-2025")</f>
        <v/>
      </c>
    </row>
    <row r="86" ht="15" customHeight="1">
      <c r="A86" t="inlineStr">
        <is>
          <t>A 55981-2025</t>
        </is>
      </c>
      <c r="B86" t="inlineStr">
        <is>
          <t>avverkningsanmälan</t>
        </is>
      </c>
      <c r="C86" t="inlineStr">
        <is>
          <t>Föryngringsavverkning</t>
        </is>
      </c>
      <c r="D86" s="1" t="n">
        <v>45973</v>
      </c>
      <c r="E86" s="1" t="n">
        <v>46319</v>
      </c>
      <c r="F86" t="inlineStr">
        <is>
          <t>DALARNAS LÄN</t>
        </is>
      </c>
      <c r="G86" t="inlineStr">
        <is>
          <t>ÄLVDALEN</t>
        </is>
      </c>
      <c r="I86" t="n">
        <v>12.2</v>
      </c>
      <c r="J86" t="n">
        <v>3</v>
      </c>
      <c r="K86" t="n">
        <v>2</v>
      </c>
      <c r="L86" t="n">
        <v>13</v>
      </c>
      <c r="M86" t="n">
        <v>2</v>
      </c>
      <c r="N86" t="n">
        <v>0</v>
      </c>
      <c r="O86" t="n">
        <v>0</v>
      </c>
      <c r="P86" t="n">
        <v>0</v>
      </c>
      <c r="Q86" t="n">
        <v>15</v>
      </c>
      <c r="R86" t="n">
        <v>2</v>
      </c>
      <c r="S86" t="n">
        <v>19</v>
      </c>
      <c r="T86" t="n">
        <v>144</v>
      </c>
      <c r="U86" t="n">
        <v>144</v>
      </c>
      <c r="V86" s="2" t="inlineStr">
        <is>
          <t>Garnlav
Skeletocutis delicata
Dvärgbägarlav
Kolflarnlav
Lunglav
Mörk kolflarnlav
Rynkskinn
Skrovellav
Skuggblåslav
Tretåig hackspett
Ullticka
Vedflamlav
Vedskivlav
Violettgrå tagellav
Vitgrynig nållav
Bronshjon
Mindre märgborre
Spillkråka
Tjäder</t>
        </is>
      </c>
      <c r="W86">
        <f>HYPERLINK("https://klasma.github.io/Logging_2039/artfynd/A 55981-2025 artfynd.xlsx", "A 55981-2025")</f>
        <v/>
      </c>
      <c r="X86">
        <f>HYPERLINK("https://klasma.github.io/Logging_2039/kartor/A 55981-2025 karta.png", "A 55981-2025")</f>
        <v/>
      </c>
      <c r="Y86">
        <f>HYPERLINK("https://klasma.github.io/Logging_2039/kartor_geotiff/A 55981-2025 georefererad karta.tif", "A 55981-2025")</f>
        <v/>
      </c>
      <c r="AA86">
        <f>HYPERLINK("https://klasma.github.io/Logging_2039/klagomål/A 55981-2025 FSC-klagomål.docx", "A 55981-2025")</f>
        <v/>
      </c>
      <c r="AB86">
        <f>HYPERLINK("https://klasma.github.io/Logging_2039/klagomålsmail/A 55981-2025 FSC-klagomål mail.docx", "A 55981-2025")</f>
        <v/>
      </c>
      <c r="AC86">
        <f>HYPERLINK("https://klasma.github.io/Logging_2039/tillsyn/A 55981-2025 tillsynsbegäran.docx", "A 55981-2025")</f>
        <v/>
      </c>
      <c r="AD86">
        <f>HYPERLINK("https://klasma.github.io/Logging_2039/tillsynsmail/A 55981-2025 tillsynsbegäran mail.docx", "A 55981-2025")</f>
        <v/>
      </c>
      <c r="AE86">
        <f>HYPERLINK("https://klasma.github.io/Logging_2039/fåglar/A 55981-2025 prioriterade fågelarter.docx", "A 55981-2025")</f>
        <v/>
      </c>
    </row>
    <row r="87" ht="15" customHeight="1">
      <c r="A87" t="inlineStr">
        <is>
          <t>A 50497-2025</t>
        </is>
      </c>
      <c r="B87" t="inlineStr">
        <is>
          <t>avverkningsanmälan</t>
        </is>
      </c>
      <c r="C87" t="inlineStr">
        <is>
          <t>Föryngringsavverkning</t>
        </is>
      </c>
      <c r="D87" s="1" t="n">
        <v>45945</v>
      </c>
      <c r="E87" s="1" t="n">
        <v>46319</v>
      </c>
      <c r="F87" t="inlineStr">
        <is>
          <t>DALARNAS LÄN</t>
        </is>
      </c>
      <c r="G87" t="inlineStr">
        <is>
          <t>ÄLVDALEN</t>
        </is>
      </c>
      <c r="H87" t="inlineStr">
        <is>
          <t>Allmännings- och besparingsskogar</t>
        </is>
      </c>
      <c r="I87" t="n">
        <v>21</v>
      </c>
      <c r="J87" t="n">
        <v>6</v>
      </c>
      <c r="K87" t="n">
        <v>3</v>
      </c>
      <c r="L87" t="n">
        <v>11</v>
      </c>
      <c r="M87" t="n">
        <v>1</v>
      </c>
      <c r="N87" t="n">
        <v>0</v>
      </c>
      <c r="O87" t="n">
        <v>0</v>
      </c>
      <c r="P87" t="n">
        <v>0</v>
      </c>
      <c r="Q87" t="n">
        <v>12</v>
      </c>
      <c r="R87" t="n">
        <v>1</v>
      </c>
      <c r="S87" t="n">
        <v>19</v>
      </c>
      <c r="T87" t="n">
        <v>316</v>
      </c>
      <c r="U87" t="n">
        <v>316</v>
      </c>
      <c r="V87" s="2" t="inlineStr">
        <is>
          <t>Garnlav
Dropptaggsvamp
Dvärgbägarlav
Kolflarnlav
Mörk kolflarnlav
Rynkskinn
Tallticka
Talltita
Tretåig hackspett
Vedflamlav
Vedskivlav
Vitgrynig nållav
Mindre märgborre
Trådticka
Vedticka
Spillkråka
Tjäder
Kungsfågel
Revlummer</t>
        </is>
      </c>
      <c r="W87">
        <f>HYPERLINK("https://klasma.github.io/Logging_2039/artfynd/A 50497-2025 artfynd.xlsx", "A 50497-2025")</f>
        <v/>
      </c>
      <c r="X87">
        <f>HYPERLINK("https://klasma.github.io/Logging_2039/kartor/A 50497-2025 karta.png", "A 50497-2025")</f>
        <v/>
      </c>
      <c r="Y87">
        <f>HYPERLINK("https://klasma.github.io/Logging_2039/kartor_geotiff/A 50497-2025 georefererad karta.tif", "A 50497-2025")</f>
        <v/>
      </c>
      <c r="AA87">
        <f>HYPERLINK("https://klasma.github.io/Logging_2039/klagomål/A 50497-2025 FSC-klagomål.docx", "A 50497-2025")</f>
        <v/>
      </c>
      <c r="AB87">
        <f>HYPERLINK("https://klasma.github.io/Logging_2039/klagomålsmail/A 50497-2025 FSC-klagomål mail.docx", "A 50497-2025")</f>
        <v/>
      </c>
      <c r="AC87">
        <f>HYPERLINK("https://klasma.github.io/Logging_2039/tillsyn/A 50497-2025 tillsynsbegäran.docx", "A 50497-2025")</f>
        <v/>
      </c>
      <c r="AD87">
        <f>HYPERLINK("https://klasma.github.io/Logging_2039/tillsynsmail/A 50497-2025 tillsynsbegäran mail.docx", "A 50497-2025")</f>
        <v/>
      </c>
      <c r="AE87">
        <f>HYPERLINK("https://klasma.github.io/Logging_2039/fåglar/A 50497-2025 prioriterade fågelarter.docx", "A 50497-2025")</f>
        <v/>
      </c>
    </row>
    <row r="88" ht="15" customHeight="1">
      <c r="A88" t="inlineStr">
        <is>
          <t>S 1127-2023</t>
        </is>
      </c>
      <c r="B88" t="inlineStr">
        <is>
          <t>samrådsanmälan</t>
        </is>
      </c>
      <c r="C88" t="inlineStr">
        <is>
          <t>Askåterföring</t>
        </is>
      </c>
      <c r="D88" s="1" t="n">
        <v>45016</v>
      </c>
      <c r="E88" s="1" t="n">
        <v>46319</v>
      </c>
      <c r="F88" t="inlineStr">
        <is>
          <t>DALARNAS LÄN</t>
        </is>
      </c>
      <c r="G88" t="inlineStr">
        <is>
          <t>MALUNG-SÄLEN</t>
        </is>
      </c>
      <c r="H88" t="inlineStr">
        <is>
          <t>Allmännings- och besparingsskogar</t>
        </is>
      </c>
      <c r="I88" t="n">
        <v>97.3</v>
      </c>
      <c r="J88" t="n">
        <v>4</v>
      </c>
      <c r="K88" t="n">
        <v>2</v>
      </c>
      <c r="L88" t="n">
        <v>12</v>
      </c>
      <c r="M88" t="n">
        <v>2</v>
      </c>
      <c r="N88" t="n">
        <v>0</v>
      </c>
      <c r="O88" t="n">
        <v>0</v>
      </c>
      <c r="P88" t="n">
        <v>0</v>
      </c>
      <c r="Q88" t="n">
        <v>14</v>
      </c>
      <c r="R88" t="n">
        <v>2</v>
      </c>
      <c r="S88" t="n">
        <v>19</v>
      </c>
      <c r="T88" t="n">
        <v>303</v>
      </c>
      <c r="U88" t="n">
        <v>303</v>
      </c>
      <c r="V88" s="2" t="inlineStr">
        <is>
          <t>Garnlav
Laxgröppa
Blanksvart spiklav
Blågrå svartspik
Dvärgbägarlav
Gammelgransskål
Kortskaftad ärgspik
Mörk kolflarnlav
Stjärntagging
Talltita
Vedflamlav
Vedskivlav
Violettgrå tagellav
Vitgrynig nållav
Nästlav
Vedticka
Spillkråka
Tjäder
Kungsfågel</t>
        </is>
      </c>
      <c r="W88">
        <f>HYPERLINK("https://klasma.github.io/Logging_2023/artfynd/S 1127-2023 artfynd.xlsx", "S 1127-2023")</f>
        <v/>
      </c>
      <c r="X88">
        <f>HYPERLINK("https://klasma.github.io/Logging_2023/kartor/S 1127-2023 karta.png", "S 1127-2023")</f>
        <v/>
      </c>
      <c r="Y88">
        <f>HYPERLINK("https://klasma.github.io/Logging_2023/kartor_geotiff/S 1127-2023 georefererad karta.tif", "S 1127-2023")</f>
        <v/>
      </c>
      <c r="AA88">
        <f>HYPERLINK("https://klasma.github.io/Logging_2023/klagomål/S 1127-2023 FSC-klagomål.docx", "S 1127-2023")</f>
        <v/>
      </c>
      <c r="AB88">
        <f>HYPERLINK("https://klasma.github.io/Logging_2023/klagomålsmail/S 1127-2023 FSC-klagomål mail.docx", "S 1127-2023")</f>
        <v/>
      </c>
      <c r="AC88">
        <f>HYPERLINK("https://klasma.github.io/Logging_2023/tillsyn/S 1127-2023 tillsynsbegäran.docx", "S 1127-2023")</f>
        <v/>
      </c>
      <c r="AD88">
        <f>HYPERLINK("https://klasma.github.io/Logging_2023/tillsynsmail/S 1127-2023 tillsynsbegäran mail.docx", "S 1127-2023")</f>
        <v/>
      </c>
      <c r="AE88">
        <f>HYPERLINK("https://klasma.github.io/Logging_2023/fåglar/S 1127-2023 prioriterade fågelarter.docx", "S 1127-2023")</f>
        <v/>
      </c>
    </row>
    <row r="89" ht="15" customHeight="1">
      <c r="A89" t="inlineStr">
        <is>
          <t>A 12291-2022</t>
        </is>
      </c>
      <c r="B89" t="inlineStr">
        <is>
          <t>avverkningsanmälan</t>
        </is>
      </c>
      <c r="C89" t="inlineStr">
        <is>
          <t>Föryngringsavverkning</t>
        </is>
      </c>
      <c r="D89" s="1" t="n">
        <v>44637</v>
      </c>
      <c r="E89" s="1" t="n">
        <v>46319</v>
      </c>
      <c r="F89" t="inlineStr">
        <is>
          <t>DALARNAS LÄN</t>
        </is>
      </c>
      <c r="G89" t="inlineStr">
        <is>
          <t>MALUNG-SÄLEN</t>
        </is>
      </c>
      <c r="I89" t="n">
        <v>3.4</v>
      </c>
      <c r="J89" t="n">
        <v>4</v>
      </c>
      <c r="K89" t="n">
        <v>8</v>
      </c>
      <c r="L89" t="n">
        <v>6</v>
      </c>
      <c r="M89" t="n">
        <v>1</v>
      </c>
      <c r="N89" t="n">
        <v>0</v>
      </c>
      <c r="O89" t="n">
        <v>0</v>
      </c>
      <c r="P89" t="n">
        <v>0</v>
      </c>
      <c r="Q89" t="n">
        <v>7</v>
      </c>
      <c r="R89" t="n">
        <v>1</v>
      </c>
      <c r="S89" t="n">
        <v>18</v>
      </c>
      <c r="T89" t="n">
        <v>40</v>
      </c>
      <c r="U89" t="n">
        <v>39</v>
      </c>
      <c r="V89" s="2" t="inlineStr">
        <is>
          <t>Garnlav
Brunpudrad nållav
Gammelgransskål
Kattfotslav
Kortskaftad ärgspik
Skuggblåslav
Ullticka
Barkkornlav
Gulnål
Mörk husmossa
Skör kvastmossa
Spindelblomster
Trådticka
Vedticka
Vågbandad barkbock
Spillkråka
Fläcknycklar
Revlummer</t>
        </is>
      </c>
      <c r="W89">
        <f>HYPERLINK("https://klasma.github.io/Logging_2023/artfynd/A 12291-2022 artfynd.xlsx", "A 12291-2022")</f>
        <v/>
      </c>
      <c r="X89">
        <f>HYPERLINK("https://klasma.github.io/Logging_2023/kartor/A 12291-2022 karta.png", "A 12291-2022")</f>
        <v/>
      </c>
      <c r="Y89">
        <f>HYPERLINK("https://klasma.github.io/Logging_2023/kartor_geotiff/A 12291-2022 georefererad karta.tif", "A 12291-2022")</f>
        <v/>
      </c>
      <c r="AA89">
        <f>HYPERLINK("https://klasma.github.io/Logging_2023/klagomål/A 12291-2022 FSC-klagomål.docx", "A 12291-2022")</f>
        <v/>
      </c>
      <c r="AB89">
        <f>HYPERLINK("https://klasma.github.io/Logging_2023/klagomålsmail/A 12291-2022 FSC-klagomål mail.docx", "A 12291-2022")</f>
        <v/>
      </c>
      <c r="AC89">
        <f>HYPERLINK("https://klasma.github.io/Logging_2023/tillsyn/A 12291-2022 tillsynsbegäran.docx", "A 12291-2022")</f>
        <v/>
      </c>
      <c r="AD89">
        <f>HYPERLINK("https://klasma.github.io/Logging_2023/tillsynsmail/A 12291-2022 tillsynsbegäran mail.docx", "A 12291-2022")</f>
        <v/>
      </c>
      <c r="AE89">
        <f>HYPERLINK("https://klasma.github.io/Logging_2023/fåglar/A 12291-2022 prioriterade fågelarter.docx", "A 12291-2022")</f>
        <v/>
      </c>
    </row>
    <row r="90" ht="15" customHeight="1">
      <c r="A90" t="inlineStr">
        <is>
          <t>A 43867-2025</t>
        </is>
      </c>
      <c r="B90" t="inlineStr">
        <is>
          <t>avverkningsanmälan</t>
        </is>
      </c>
      <c r="C90" t="inlineStr">
        <is>
          <t>Föryngringsavverkning</t>
        </is>
      </c>
      <c r="D90" s="1" t="n">
        <v>45912</v>
      </c>
      <c r="E90" s="1" t="n">
        <v>46319</v>
      </c>
      <c r="F90" t="inlineStr">
        <is>
          <t>DALARNAS LÄN</t>
        </is>
      </c>
      <c r="G90" t="inlineStr">
        <is>
          <t>ÄLVDALEN</t>
        </is>
      </c>
      <c r="H90" t="inlineStr">
        <is>
          <t>Allmännings- och besparingsskogar</t>
        </is>
      </c>
      <c r="I90" t="n">
        <v>25.5</v>
      </c>
      <c r="J90" t="n">
        <v>6</v>
      </c>
      <c r="K90" t="n">
        <v>1</v>
      </c>
      <c r="L90" t="n">
        <v>13</v>
      </c>
      <c r="M90" t="n">
        <v>1</v>
      </c>
      <c r="N90" t="n">
        <v>0</v>
      </c>
      <c r="O90" t="n">
        <v>0</v>
      </c>
      <c r="P90" t="n">
        <v>0</v>
      </c>
      <c r="Q90" t="n">
        <v>14</v>
      </c>
      <c r="R90" t="n">
        <v>1</v>
      </c>
      <c r="S90" t="n">
        <v>18</v>
      </c>
      <c r="T90" t="n">
        <v>231</v>
      </c>
      <c r="U90" t="n">
        <v>231</v>
      </c>
      <c r="V90" s="2" t="inlineStr">
        <is>
          <t>Garnlav
Blanksvart spiklav
Doftskinn
Kolflarnlav
Motaggsvamp
Mörk kolflarnlav
Skogshare
Talltagel
Tallticka
Talltita
Tretåig hackspett
Vedflamlav
Vedskivlav
Violettgrå tagellav
Plattlummer
Spillkråka
Tjäder
Kungsfågel</t>
        </is>
      </c>
      <c r="W90">
        <f>HYPERLINK("https://klasma.github.io/Logging_2039/artfynd/A 43867-2025 artfynd.xlsx", "A 43867-2025")</f>
        <v/>
      </c>
      <c r="X90">
        <f>HYPERLINK("https://klasma.github.io/Logging_2039/kartor/A 43867-2025 karta.png", "A 43867-2025")</f>
        <v/>
      </c>
      <c r="Y90">
        <f>HYPERLINK("https://klasma.github.io/Logging_2039/kartor_geotiff/A 43867-2025 georefererad karta.tif", "A 43867-2025")</f>
        <v/>
      </c>
      <c r="AA90">
        <f>HYPERLINK("https://klasma.github.io/Logging_2039/klagomål/A 43867-2025 FSC-klagomål.docx", "A 43867-2025")</f>
        <v/>
      </c>
      <c r="AB90">
        <f>HYPERLINK("https://klasma.github.io/Logging_2039/klagomålsmail/A 43867-2025 FSC-klagomål mail.docx", "A 43867-2025")</f>
        <v/>
      </c>
      <c r="AC90">
        <f>HYPERLINK("https://klasma.github.io/Logging_2039/tillsyn/A 43867-2025 tillsynsbegäran.docx", "A 43867-2025")</f>
        <v/>
      </c>
      <c r="AD90">
        <f>HYPERLINK("https://klasma.github.io/Logging_2039/tillsynsmail/A 43867-2025 tillsynsbegäran mail.docx", "A 43867-2025")</f>
        <v/>
      </c>
      <c r="AE90">
        <f>HYPERLINK("https://klasma.github.io/Logging_2039/fåglar/A 43867-2025 prioriterade fågelarter.docx", "A 43867-2025")</f>
        <v/>
      </c>
    </row>
    <row r="91" ht="15" customHeight="1">
      <c r="A91" t="inlineStr">
        <is>
          <t>A 52487-2024</t>
        </is>
      </c>
      <c r="B91" t="inlineStr">
        <is>
          <t>avverkningsanmälan</t>
        </is>
      </c>
      <c r="C91" t="inlineStr">
        <is>
          <t>Föryngringsavverkning</t>
        </is>
      </c>
      <c r="D91" s="1" t="n">
        <v>45609</v>
      </c>
      <c r="E91" s="1" t="n">
        <v>46319</v>
      </c>
      <c r="F91" t="inlineStr">
        <is>
          <t>DALARNAS LÄN</t>
        </is>
      </c>
      <c r="G91" t="inlineStr">
        <is>
          <t>ORSA</t>
        </is>
      </c>
      <c r="I91" t="n">
        <v>9.199999999999999</v>
      </c>
      <c r="J91" t="n">
        <v>1</v>
      </c>
      <c r="K91" t="n">
        <v>2</v>
      </c>
      <c r="L91" t="n">
        <v>11</v>
      </c>
      <c r="M91" t="n">
        <v>5</v>
      </c>
      <c r="N91" t="n">
        <v>0</v>
      </c>
      <c r="O91" t="n">
        <v>0</v>
      </c>
      <c r="P91" t="n">
        <v>0</v>
      </c>
      <c r="Q91" t="n">
        <v>16</v>
      </c>
      <c r="R91" t="n">
        <v>5</v>
      </c>
      <c r="S91" t="n">
        <v>18</v>
      </c>
      <c r="T91" t="n">
        <v>97</v>
      </c>
      <c r="U91" t="n">
        <v>4</v>
      </c>
      <c r="V91" s="2" t="inlineStr">
        <is>
          <t>Garnlav
Goliatmusseron
Skrovlig taggsvamp
Spadskinn
Torrmusseron
Blå taggsvamp
Dropptaggsvamp
Dvärgbägarlav
Mjölsvärting
Motaggsvamp
Orange taggsvamp
Tallfingersvamp
Talltagel
Talltita
Vaxspindling
Vedskivlav
Mindre märgborre
Rökmusseron</t>
        </is>
      </c>
      <c r="W91">
        <f>HYPERLINK("https://klasma.github.io/Logging_2034/artfynd/A 52487-2024 artfynd.xlsx", "A 52487-2024")</f>
        <v/>
      </c>
      <c r="X91">
        <f>HYPERLINK("https://klasma.github.io/Logging_2034/kartor/A 52487-2024 karta.png", "A 52487-2024")</f>
        <v/>
      </c>
      <c r="Y91">
        <f>HYPERLINK("https://klasma.github.io/Logging_2034/kartor_geotiff/A 52487-2024 georefererad karta.tif", "A 52487-2024")</f>
        <v/>
      </c>
      <c r="AA91">
        <f>HYPERLINK("https://klasma.github.io/Logging_2034/klagomål/A 52487-2024 FSC-klagomål.docx", "A 52487-2024")</f>
        <v/>
      </c>
      <c r="AB91">
        <f>HYPERLINK("https://klasma.github.io/Logging_2034/klagomålsmail/A 52487-2024 FSC-klagomål mail.docx", "A 52487-2024")</f>
        <v/>
      </c>
      <c r="AC91">
        <f>HYPERLINK("https://klasma.github.io/Logging_2034/tillsyn/A 52487-2024 tillsynsbegäran.docx", "A 52487-2024")</f>
        <v/>
      </c>
      <c r="AD91">
        <f>HYPERLINK("https://klasma.github.io/Logging_2034/tillsynsmail/A 52487-2024 tillsynsbegäran mail.docx", "A 52487-2024")</f>
        <v/>
      </c>
      <c r="AE91">
        <f>HYPERLINK("https://klasma.github.io/Logging_2034/fåglar/A 52487-2024 prioriterade fågelarter.docx", "A 52487-2024")</f>
        <v/>
      </c>
    </row>
    <row r="92" ht="15" customHeight="1">
      <c r="A92" t="inlineStr">
        <is>
          <t>A 23094-2025</t>
        </is>
      </c>
      <c r="B92" t="inlineStr">
        <is>
          <t>avverkningsanmälan</t>
        </is>
      </c>
      <c r="C92" t="inlineStr">
        <is>
          <t>Föryngringsavverkning</t>
        </is>
      </c>
      <c r="D92" s="1" t="n">
        <v>45791</v>
      </c>
      <c r="E92" s="1" t="n">
        <v>46319</v>
      </c>
      <c r="F92" t="inlineStr">
        <is>
          <t>DALARNAS LÄN</t>
        </is>
      </c>
      <c r="G92" t="inlineStr">
        <is>
          <t>LUDVIKA</t>
        </is>
      </c>
      <c r="H92" t="inlineStr">
        <is>
          <t>Bergvik skog väst AB</t>
        </is>
      </c>
      <c r="I92" t="n">
        <v>2.9</v>
      </c>
      <c r="J92" t="n">
        <v>3</v>
      </c>
      <c r="K92" t="n">
        <v>5</v>
      </c>
      <c r="L92" t="n">
        <v>7</v>
      </c>
      <c r="M92" t="n">
        <v>0</v>
      </c>
      <c r="N92" t="n">
        <v>0</v>
      </c>
      <c r="O92" t="n">
        <v>1</v>
      </c>
      <c r="P92" t="n">
        <v>0</v>
      </c>
      <c r="Q92" t="n">
        <v>8</v>
      </c>
      <c r="R92" t="n">
        <v>1</v>
      </c>
      <c r="S92" t="n">
        <v>18</v>
      </c>
      <c r="T92" t="n">
        <v>31</v>
      </c>
      <c r="U92" t="n">
        <v>22</v>
      </c>
      <c r="V92" s="2" t="inlineStr">
        <is>
          <t>Hårklockmossa
Dropptaggsvamp
Fjällig taggsvamp s.str.
Motaggsvamp
Orange taggsvamp
Skarp dropptaggsvamp
Trubbklockmossa
Ullticka
Fällmossa
Platt fjädermossa
Svart trolldruva
Svavelriska
Trädporella
Blåsippa
Hårklomossa
Kattfot
Svart taggsvamp agg.
Vanlig padda</t>
        </is>
      </c>
      <c r="W92">
        <f>HYPERLINK("https://klasma.github.io/Logging_2085/artfynd/A 23094-2025 artfynd.xlsx", "A 23094-2025")</f>
        <v/>
      </c>
      <c r="X92">
        <f>HYPERLINK("https://klasma.github.io/Logging_2085/kartor/A 23094-2025 karta.png", "A 23094-2025")</f>
        <v/>
      </c>
      <c r="Y92">
        <f>HYPERLINK("https://klasma.github.io/Logging_2085/kartor_geotiff/A 23094-2025 georefererad karta.tif", "A 23094-2025")</f>
        <v/>
      </c>
      <c r="AA92">
        <f>HYPERLINK("https://klasma.github.io/Logging_2085/klagomål/A 23094-2025 FSC-klagomål.docx", "A 23094-2025")</f>
        <v/>
      </c>
      <c r="AB92">
        <f>HYPERLINK("https://klasma.github.io/Logging_2085/klagomålsmail/A 23094-2025 FSC-klagomål mail.docx", "A 23094-2025")</f>
        <v/>
      </c>
      <c r="AC92">
        <f>HYPERLINK("https://klasma.github.io/Logging_2085/tillsyn/A 23094-2025 tillsynsbegäran.docx", "A 23094-2025")</f>
        <v/>
      </c>
      <c r="AD92">
        <f>HYPERLINK("https://klasma.github.io/Logging_2085/tillsynsmail/A 23094-2025 tillsynsbegäran mail.docx", "A 23094-2025")</f>
        <v/>
      </c>
    </row>
    <row r="93" ht="15" customHeight="1">
      <c r="A93" t="inlineStr">
        <is>
          <t>A 1453-2026</t>
        </is>
      </c>
      <c r="B93" t="inlineStr">
        <is>
          <t>avverkningsanmälan</t>
        </is>
      </c>
      <c r="C93" t="inlineStr">
        <is>
          <t>Föryngringsavverkning</t>
        </is>
      </c>
      <c r="D93" s="1" t="n">
        <v>46033</v>
      </c>
      <c r="E93" s="1" t="n">
        <v>46319</v>
      </c>
      <c r="F93" t="inlineStr">
        <is>
          <t>DALARNAS LÄN</t>
        </is>
      </c>
      <c r="G93" t="inlineStr">
        <is>
          <t>HEDEMORA</t>
        </is>
      </c>
      <c r="I93" t="n">
        <v>1.3</v>
      </c>
      <c r="J93" t="n">
        <v>4</v>
      </c>
      <c r="K93" t="n">
        <v>4</v>
      </c>
      <c r="L93" t="n">
        <v>7</v>
      </c>
      <c r="M93" t="n">
        <v>5</v>
      </c>
      <c r="N93" t="n">
        <v>0</v>
      </c>
      <c r="O93" t="n">
        <v>0</v>
      </c>
      <c r="P93" t="n">
        <v>0</v>
      </c>
      <c r="Q93" t="n">
        <v>12</v>
      </c>
      <c r="R93" t="n">
        <v>5</v>
      </c>
      <c r="S93" t="n">
        <v>18</v>
      </c>
      <c r="T93" t="n">
        <v>51</v>
      </c>
      <c r="U93" t="n">
        <v>1</v>
      </c>
      <c r="V93" s="2" t="inlineStr">
        <is>
          <t>Bullspindling
Garnlav
Grangråticka
Knärot
Rostskinn
Fjällig taggsvamp s.str.
Rosenticka
Rynkskinn
Skarp dropptaggsvamp
Talltita
Ullticka
Vågticka
Bronshjon
Gullgröppa
Trådticka
Vedticka
Mattlummer
Spillkråka</t>
        </is>
      </c>
      <c r="W93">
        <f>HYPERLINK("https://klasma.github.io/Logging_2083/artfynd/A 1453-2026 artfynd.xlsx", "A 1453-2026")</f>
        <v/>
      </c>
      <c r="X93">
        <f>HYPERLINK("https://klasma.github.io/Logging_2083/kartor/A 1453-2026 karta.png", "A 1453-2026")</f>
        <v/>
      </c>
      <c r="Y93">
        <f>HYPERLINK("https://klasma.github.io/Logging_2083/kartor_geotiff/A 1453-2026 georefererad karta.tif", "A 1453-2026")</f>
        <v/>
      </c>
      <c r="Z93">
        <f>HYPERLINK("https://klasma.github.io/Logging_2083/knärot/A 1453-2026 karta knärot.png", "A 1453-2026")</f>
        <v/>
      </c>
      <c r="AA93">
        <f>HYPERLINK("https://klasma.github.io/Logging_2083/klagomål/A 1453-2026 FSC-klagomål.docx", "A 1453-2026")</f>
        <v/>
      </c>
      <c r="AB93">
        <f>HYPERLINK("https://klasma.github.io/Logging_2083/klagomålsmail/A 1453-2026 FSC-klagomål mail.docx", "A 1453-2026")</f>
        <v/>
      </c>
      <c r="AC93">
        <f>HYPERLINK("https://klasma.github.io/Logging_2083/tillsyn/A 1453-2026 tillsynsbegäran.docx", "A 1453-2026")</f>
        <v/>
      </c>
      <c r="AD93">
        <f>HYPERLINK("https://klasma.github.io/Logging_2083/tillsynsmail/A 1453-2026 tillsynsbegäran mail.docx", "A 1453-2026")</f>
        <v/>
      </c>
      <c r="AE93">
        <f>HYPERLINK("https://klasma.github.io/Logging_2083/fåglar/A 1453-2026 prioriterade fågelarter.docx", "A 1453-2026")</f>
        <v/>
      </c>
    </row>
    <row r="94" ht="15" customHeight="1">
      <c r="A94" t="inlineStr">
        <is>
          <t>A 7619-2025</t>
        </is>
      </c>
      <c r="B94" t="inlineStr">
        <is>
          <t>avverkningsanmälan</t>
        </is>
      </c>
      <c r="C94" t="inlineStr">
        <is>
          <t>Föryngringsavverkning</t>
        </is>
      </c>
      <c r="D94" s="1" t="n">
        <v>45705</v>
      </c>
      <c r="E94" s="1" t="n">
        <v>46319</v>
      </c>
      <c r="F94" t="inlineStr">
        <is>
          <t>DALARNAS LÄN</t>
        </is>
      </c>
      <c r="G94" t="inlineStr">
        <is>
          <t>ORSA</t>
        </is>
      </c>
      <c r="I94" t="n">
        <v>5.4</v>
      </c>
      <c r="J94" t="n">
        <v>4</v>
      </c>
      <c r="K94" t="n">
        <v>4</v>
      </c>
      <c r="L94" t="n">
        <v>9</v>
      </c>
      <c r="M94" t="n">
        <v>3</v>
      </c>
      <c r="N94" t="n">
        <v>0</v>
      </c>
      <c r="O94" t="n">
        <v>0</v>
      </c>
      <c r="P94" t="n">
        <v>0</v>
      </c>
      <c r="Q94" t="n">
        <v>12</v>
      </c>
      <c r="R94" t="n">
        <v>3</v>
      </c>
      <c r="S94" t="n">
        <v>18</v>
      </c>
      <c r="T94" t="n">
        <v>116</v>
      </c>
      <c r="U94" t="n">
        <v>116</v>
      </c>
      <c r="V94" s="2" t="inlineStr">
        <is>
          <t>Garnlav
Knärot
Ulltickeporing
Blanksvart spiklav
Dropptaggsvamp
Rosenticka
Rynkskinn
Skogshare
Tretåig hackspett
Ullticka
Vedskivlav
Violettgrå tagellav
Bronshjon
Mindre märgborre
Vedticka
Vågbandad barkbock
Spillkråka
Revlummer</t>
        </is>
      </c>
      <c r="W94">
        <f>HYPERLINK("https://klasma.github.io/Logging_2034/artfynd/A 7619-2025 artfynd.xlsx", "A 7619-2025")</f>
        <v/>
      </c>
      <c r="X94">
        <f>HYPERLINK("https://klasma.github.io/Logging_2034/kartor/A 7619-2025 karta.png", "A 7619-2025")</f>
        <v/>
      </c>
      <c r="Y94">
        <f>HYPERLINK("https://klasma.github.io/Logging_2034/kartor_geotiff/A 7619-2025 georefererad karta.tif", "A 7619-2025")</f>
        <v/>
      </c>
      <c r="Z94">
        <f>HYPERLINK("https://klasma.github.io/Logging_2034/knärot/A 7619-2025 karta knärot.png", "A 7619-2025")</f>
        <v/>
      </c>
      <c r="AA94">
        <f>HYPERLINK("https://klasma.github.io/Logging_2034/klagomål/A 7619-2025 FSC-klagomål.docx", "A 7619-2025")</f>
        <v/>
      </c>
      <c r="AB94">
        <f>HYPERLINK("https://klasma.github.io/Logging_2034/klagomålsmail/A 7619-2025 FSC-klagomål mail.docx", "A 7619-2025")</f>
        <v/>
      </c>
      <c r="AC94">
        <f>HYPERLINK("https://klasma.github.io/Logging_2034/tillsyn/A 7619-2025 tillsynsbegäran.docx", "A 7619-2025")</f>
        <v/>
      </c>
      <c r="AD94">
        <f>HYPERLINK("https://klasma.github.io/Logging_2034/tillsynsmail/A 7619-2025 tillsynsbegäran mail.docx", "A 7619-2025")</f>
        <v/>
      </c>
      <c r="AE94">
        <f>HYPERLINK("https://klasma.github.io/Logging_2034/fåglar/A 7619-2025 prioriterade fågelarter.docx", "A 7619-2025")</f>
        <v/>
      </c>
    </row>
    <row r="95" ht="15" customHeight="1">
      <c r="A95" t="inlineStr">
        <is>
          <t>A 33685-2025</t>
        </is>
      </c>
      <c r="B95" t="inlineStr">
        <is>
          <t>avverkningsanmälan</t>
        </is>
      </c>
      <c r="C95" t="inlineStr">
        <is>
          <t>Föryngringsavverkning</t>
        </is>
      </c>
      <c r="D95" s="1" t="n">
        <v>45841</v>
      </c>
      <c r="E95" s="1" t="n">
        <v>46319</v>
      </c>
      <c r="F95" t="inlineStr">
        <is>
          <t>DALARNAS LÄN</t>
        </is>
      </c>
      <c r="G95" t="inlineStr">
        <is>
          <t>LEKSAND</t>
        </is>
      </c>
      <c r="I95" t="n">
        <v>12.2</v>
      </c>
      <c r="J95" t="n">
        <v>4</v>
      </c>
      <c r="K95" t="n">
        <v>4</v>
      </c>
      <c r="L95" t="n">
        <v>10</v>
      </c>
      <c r="M95" t="n">
        <v>2</v>
      </c>
      <c r="N95" t="n">
        <v>0</v>
      </c>
      <c r="O95" t="n">
        <v>0</v>
      </c>
      <c r="P95" t="n">
        <v>0</v>
      </c>
      <c r="Q95" t="n">
        <v>12</v>
      </c>
      <c r="R95" t="n">
        <v>2</v>
      </c>
      <c r="S95" t="n">
        <v>18</v>
      </c>
      <c r="T95" t="n">
        <v>45</v>
      </c>
      <c r="U95" t="n">
        <v>32</v>
      </c>
      <c r="V95" s="2" t="inlineStr">
        <is>
          <t>Garnlav
Knärot
Blå taggsvamp
Dropptaggsvamp
Furustumpbagge
Kolflarnlav
Mörk kolflarnlav
Skarp dropptaggsvamp
Skrovlig flatbagge
Tallticka
Tretåig hackspett
Vedskivlav
Bollvitmossa
Jättesvampmal
Mindre märgborre
Robust tickgnagare
Tjäder
Nattviol</t>
        </is>
      </c>
      <c r="W95">
        <f>HYPERLINK("https://klasma.github.io/Logging_2029/artfynd/A 33685-2025 artfynd.xlsx", "A 33685-2025")</f>
        <v/>
      </c>
      <c r="X95">
        <f>HYPERLINK("https://klasma.github.io/Logging_2029/kartor/A 33685-2025 karta.png", "A 33685-2025")</f>
        <v/>
      </c>
      <c r="Y95">
        <f>HYPERLINK("https://klasma.github.io/Logging_2029/kartor_geotiff/A 33685-2025 georefererad karta.tif", "A 33685-2025")</f>
        <v/>
      </c>
      <c r="Z95">
        <f>HYPERLINK("https://klasma.github.io/Logging_2029/knärot/A 33685-2025 karta knärot.png", "A 33685-2025")</f>
        <v/>
      </c>
      <c r="AA95">
        <f>HYPERLINK("https://klasma.github.io/Logging_2029/klagomål/A 33685-2025 FSC-klagomål.docx", "A 33685-2025")</f>
        <v/>
      </c>
      <c r="AB95">
        <f>HYPERLINK("https://klasma.github.io/Logging_2029/klagomålsmail/A 33685-2025 FSC-klagomål mail.docx", "A 33685-2025")</f>
        <v/>
      </c>
      <c r="AC95">
        <f>HYPERLINK("https://klasma.github.io/Logging_2029/tillsyn/A 33685-2025 tillsynsbegäran.docx", "A 33685-2025")</f>
        <v/>
      </c>
      <c r="AD95">
        <f>HYPERLINK("https://klasma.github.io/Logging_2029/tillsynsmail/A 33685-2025 tillsynsbegäran mail.docx", "A 33685-2025")</f>
        <v/>
      </c>
      <c r="AE95">
        <f>HYPERLINK("https://klasma.github.io/Logging_2029/fåglar/A 33685-2025 prioriterade fågelarter.docx", "A 33685-2025")</f>
        <v/>
      </c>
    </row>
    <row r="96" ht="15" customHeight="1">
      <c r="A96" t="inlineStr">
        <is>
          <t>A 32395-2026</t>
        </is>
      </c>
      <c r="B96" t="inlineStr">
        <is>
          <t>avverkningsanmälan</t>
        </is>
      </c>
      <c r="C96" t="inlineStr">
        <is>
          <t>Föryngringsavverkning</t>
        </is>
      </c>
      <c r="D96" s="1" t="n">
        <v>46238</v>
      </c>
      <c r="E96" s="1" t="n">
        <v>46319</v>
      </c>
      <c r="F96" t="inlineStr">
        <is>
          <t>DALARNAS LÄN</t>
        </is>
      </c>
      <c r="G96" t="inlineStr">
        <is>
          <t>ÄLVDALEN</t>
        </is>
      </c>
      <c r="H96" t="inlineStr">
        <is>
          <t>Allmännings- och besparingsskogar</t>
        </is>
      </c>
      <c r="I96" t="n">
        <v>3.6</v>
      </c>
      <c r="J96" t="n">
        <v>2</v>
      </c>
      <c r="K96" t="n">
        <v>0</v>
      </c>
      <c r="L96" t="n">
        <v>14</v>
      </c>
      <c r="M96" t="n">
        <v>4</v>
      </c>
      <c r="N96" t="n">
        <v>0</v>
      </c>
      <c r="O96" t="n">
        <v>0</v>
      </c>
      <c r="P96" t="n">
        <v>0</v>
      </c>
      <c r="Q96" t="n">
        <v>18</v>
      </c>
      <c r="R96" t="n">
        <v>4</v>
      </c>
      <c r="S96" t="n">
        <v>18</v>
      </c>
      <c r="T96" t="n">
        <v>41</v>
      </c>
      <c r="U96" t="n">
        <v>41</v>
      </c>
      <c r="V96" s="2" t="inlineStr">
        <is>
          <t>Calicium ramboldiicola
Fläckporing
Garnlav
Gräddporing
Blanksvart spiklav
Blågrå svartspik
Dropptaggsvamp
Dvärgbägarlav
Kolflarnlav
Kortskaftad ärgspik
Mörk kolflarnlav
Nordtagging
Skuggblåslav
Tretåig hackspett
Varglav
Vedflamlav
Vedskivlav
Vitgrynig nållav</t>
        </is>
      </c>
      <c r="W96">
        <f>HYPERLINK("https://klasma.github.io/Logging_2039/artfynd/A 32395-2026 artfynd.xlsx", "A 32395-2026")</f>
        <v/>
      </c>
      <c r="X96">
        <f>HYPERLINK("https://klasma.github.io/Logging_2039/kartor/A 32395-2026 karta.png", "A 32395-2026")</f>
        <v/>
      </c>
      <c r="Y96">
        <f>HYPERLINK("https://klasma.github.io/Logging_2039/kartor_geotiff/A 32395-2026 georefererad karta.tif", "A 32395-2026")</f>
        <v/>
      </c>
      <c r="AA96">
        <f>HYPERLINK("https://klasma.github.io/Logging_2039/klagomål/A 32395-2026 FSC-klagomål.docx", "A 32395-2026")</f>
        <v/>
      </c>
      <c r="AB96">
        <f>HYPERLINK("https://klasma.github.io/Logging_2039/klagomålsmail/A 32395-2026 FSC-klagomål mail.docx", "A 32395-2026")</f>
        <v/>
      </c>
      <c r="AC96">
        <f>HYPERLINK("https://klasma.github.io/Logging_2039/tillsyn/A 32395-2026 tillsynsbegäran.docx", "A 32395-2026")</f>
        <v/>
      </c>
      <c r="AD96">
        <f>HYPERLINK("https://klasma.github.io/Logging_2039/tillsynsmail/A 32395-2026 tillsynsbegäran mail.docx", "A 32395-2026")</f>
        <v/>
      </c>
      <c r="AE96">
        <f>HYPERLINK("https://klasma.github.io/Logging_2039/fåglar/A 32395-2026 prioriterade fågelarter.docx", "A 32395-2026")</f>
        <v/>
      </c>
    </row>
    <row r="97" ht="15" customHeight="1">
      <c r="A97" t="inlineStr">
        <is>
          <t>A 35453-2026</t>
        </is>
      </c>
      <c r="B97" t="inlineStr">
        <is>
          <t>avverkningsanmälan</t>
        </is>
      </c>
      <c r="C97" t="inlineStr">
        <is>
          <t>Avverkning för att bevara och utveckla /försöksver</t>
        </is>
      </c>
      <c r="D97" s="1" t="n">
        <v>46262</v>
      </c>
      <c r="E97" s="1" t="n">
        <v>46319</v>
      </c>
      <c r="F97" t="inlineStr">
        <is>
          <t>DALARNAS LÄN</t>
        </is>
      </c>
      <c r="G97" t="inlineStr">
        <is>
          <t>RÄTTVIK</t>
        </is>
      </c>
      <c r="I97" t="n">
        <v>8</v>
      </c>
      <c r="J97" t="n">
        <v>7</v>
      </c>
      <c r="K97" t="n">
        <v>6</v>
      </c>
      <c r="L97" t="n">
        <v>4</v>
      </c>
      <c r="M97" t="n">
        <v>2</v>
      </c>
      <c r="N97" t="n">
        <v>0</v>
      </c>
      <c r="O97" t="n">
        <v>0</v>
      </c>
      <c r="P97" t="n">
        <v>0</v>
      </c>
      <c r="Q97" t="n">
        <v>6</v>
      </c>
      <c r="R97" t="n">
        <v>2</v>
      </c>
      <c r="S97" t="n">
        <v>18</v>
      </c>
      <c r="T97" t="n">
        <v>59</v>
      </c>
      <c r="U97" t="n">
        <v>39</v>
      </c>
      <c r="V97" s="2" t="inlineStr">
        <is>
          <t>Garnlav
Knärot
Rosenticka
Rynkskinn
Talltita
Ullticka
Björksplintborre
Guckusko
Mindre märgborre
Tibast
Underviol
Vedticka
Blåsippa
Kransmossa
Ormbär
Spillkråka
Tofsmes
Nattviol</t>
        </is>
      </c>
      <c r="W97">
        <f>HYPERLINK("https://klasma.github.io/Logging_2031/artfynd/A 35453-2026 artfynd.xlsx", "A 35453-2026")</f>
        <v/>
      </c>
      <c r="X97">
        <f>HYPERLINK("https://klasma.github.io/Logging_2031/kartor/A 35453-2026 karta.png", "A 35453-2026")</f>
        <v/>
      </c>
      <c r="Y97">
        <f>HYPERLINK("https://klasma.github.io/Logging_2031/kartor_geotiff/A 35453-2026 georefererad karta.tif", "A 35453-2026")</f>
        <v/>
      </c>
      <c r="Z97">
        <f>HYPERLINK("https://klasma.github.io/Logging_2031/knärot/A 35453-2026 karta knärot.png", "A 35453-2026")</f>
        <v/>
      </c>
      <c r="AA97">
        <f>HYPERLINK("https://klasma.github.io/Logging_2031/klagomål/A 35453-2026 FSC-klagomål.docx", "A 35453-2026")</f>
        <v/>
      </c>
      <c r="AB97">
        <f>HYPERLINK("https://klasma.github.io/Logging_2031/klagomålsmail/A 35453-2026 FSC-klagomål mail.docx", "A 35453-2026")</f>
        <v/>
      </c>
      <c r="AC97">
        <f>HYPERLINK("https://klasma.github.io/Logging_2031/tillsyn/A 35453-2026 tillsynsbegäran.docx", "A 35453-2026")</f>
        <v/>
      </c>
      <c r="AD97">
        <f>HYPERLINK("https://klasma.github.io/Logging_2031/tillsynsmail/A 35453-2026 tillsynsbegäran mail.docx", "A 35453-2026")</f>
        <v/>
      </c>
      <c r="AE97">
        <f>HYPERLINK("https://klasma.github.io/Logging_2031/fåglar/A 35453-2026 prioriterade fågelarter.docx", "A 35453-2026")</f>
        <v/>
      </c>
    </row>
    <row r="98" ht="15" customHeight="1">
      <c r="A98" t="inlineStr">
        <is>
          <t>A 54991-2025</t>
        </is>
      </c>
      <c r="B98" t="inlineStr">
        <is>
          <t>avverkningsanmälan</t>
        </is>
      </c>
      <c r="C98" t="inlineStr">
        <is>
          <t>Föryngringsavverkning</t>
        </is>
      </c>
      <c r="D98" s="1" t="n">
        <v>45967</v>
      </c>
      <c r="E98" s="1" t="n">
        <v>46319</v>
      </c>
      <c r="F98" t="inlineStr">
        <is>
          <t>DALARNAS LÄN</t>
        </is>
      </c>
      <c r="G98" t="inlineStr">
        <is>
          <t>MORA</t>
        </is>
      </c>
      <c r="I98" t="n">
        <v>13</v>
      </c>
      <c r="J98" t="n">
        <v>2</v>
      </c>
      <c r="K98" t="n">
        <v>1</v>
      </c>
      <c r="L98" t="n">
        <v>7</v>
      </c>
      <c r="M98" t="n">
        <v>9</v>
      </c>
      <c r="N98" t="n">
        <v>0</v>
      </c>
      <c r="O98" t="n">
        <v>0</v>
      </c>
      <c r="P98" t="n">
        <v>0</v>
      </c>
      <c r="Q98" t="n">
        <v>16</v>
      </c>
      <c r="R98" t="n">
        <v>9</v>
      </c>
      <c r="S98" t="n">
        <v>18</v>
      </c>
      <c r="T98" t="n">
        <v>257</v>
      </c>
      <c r="U98" t="n">
        <v>177</v>
      </c>
      <c r="V98" s="2" t="inlineStr">
        <is>
          <t>Garnlav
Goliatmusseron
Jättemusseron
Lammticka
Rotfingersvamp
Skrovlig taggsvamp
Smalfotad taggsvamp
Spadskinn
Tajgataggsvamp
Dropptaggsvamp
Motaggsvamp
Orange taggsvamp
Tallfingersvamp
Tallriska
Tallticka
Talltita
Mindre märgborre
Spillkråka</t>
        </is>
      </c>
      <c r="W98">
        <f>HYPERLINK("https://klasma.github.io/Logging_2062/artfynd/A 54991-2025 artfynd.xlsx", "A 54991-2025")</f>
        <v/>
      </c>
      <c r="X98">
        <f>HYPERLINK("https://klasma.github.io/Logging_2062/kartor/A 54991-2025 karta.png", "A 54991-2025")</f>
        <v/>
      </c>
      <c r="Y98">
        <f>HYPERLINK("https://klasma.github.io/Logging_2062/kartor_geotiff/A 54991-2025 georefererad karta.tif", "A 54991-2025")</f>
        <v/>
      </c>
      <c r="AA98">
        <f>HYPERLINK("https://klasma.github.io/Logging_2062/klagomål/A 54991-2025 FSC-klagomål.docx", "A 54991-2025")</f>
        <v/>
      </c>
      <c r="AB98">
        <f>HYPERLINK("https://klasma.github.io/Logging_2062/klagomålsmail/A 54991-2025 FSC-klagomål mail.docx", "A 54991-2025")</f>
        <v/>
      </c>
      <c r="AC98">
        <f>HYPERLINK("https://klasma.github.io/Logging_2062/tillsyn/A 54991-2025 tillsynsbegäran.docx", "A 54991-2025")</f>
        <v/>
      </c>
      <c r="AD98">
        <f>HYPERLINK("https://klasma.github.io/Logging_2062/tillsynsmail/A 54991-2025 tillsynsbegäran mail.docx", "A 54991-2025")</f>
        <v/>
      </c>
      <c r="AE98">
        <f>HYPERLINK("https://klasma.github.io/Logging_2062/fåglar/A 54991-2025 prioriterade fågelarter.docx", "A 54991-2025")</f>
        <v/>
      </c>
    </row>
    <row r="99" ht="15" customHeight="1">
      <c r="A99" t="inlineStr">
        <is>
          <t>A 36031-2026</t>
        </is>
      </c>
      <c r="B99" t="inlineStr">
        <is>
          <t>avverkningsanmälan</t>
        </is>
      </c>
      <c r="C99" t="inlineStr">
        <is>
          <t>Föryngringsavverkning</t>
        </is>
      </c>
      <c r="D99" s="1" t="n">
        <v>46267</v>
      </c>
      <c r="E99" s="1" t="n">
        <v>46319</v>
      </c>
      <c r="F99" t="inlineStr">
        <is>
          <t>DALARNAS LÄN</t>
        </is>
      </c>
      <c r="G99" t="inlineStr">
        <is>
          <t>ÄLVDALEN</t>
        </is>
      </c>
      <c r="H99" t="inlineStr">
        <is>
          <t>Sveaskog</t>
        </is>
      </c>
      <c r="I99" t="n">
        <v>3.4</v>
      </c>
      <c r="J99" t="n">
        <v>3</v>
      </c>
      <c r="K99" t="n">
        <v>3</v>
      </c>
      <c r="L99" t="n">
        <v>10</v>
      </c>
      <c r="M99" t="n">
        <v>2</v>
      </c>
      <c r="N99" t="n">
        <v>0</v>
      </c>
      <c r="O99" t="n">
        <v>0</v>
      </c>
      <c r="P99" t="n">
        <v>0</v>
      </c>
      <c r="Q99" t="n">
        <v>12</v>
      </c>
      <c r="R99" t="n">
        <v>2</v>
      </c>
      <c r="S99" t="n">
        <v>18</v>
      </c>
      <c r="T99" t="n">
        <v>66</v>
      </c>
      <c r="U99" t="n">
        <v>0</v>
      </c>
      <c r="V99" s="2" t="inlineStr">
        <is>
          <t>Garnlav
Gräddporing
Blanksvart spiklav
Blågrå svartspik
Dvärgbägarlav
Kolflarnlav
Kortskaftad ärgspik
Mörk kolflarnlav
Nordtagging
Vedflamlav
Vedskivlav
Vitplätt
Mindre märgborre
Nästlav
Vedticka
Spillkråka
Tofsmes
Huggorm</t>
        </is>
      </c>
      <c r="W99">
        <f>HYPERLINK("https://klasma.github.io/Logging_2039/artfynd/A 36031-2026 artfynd.xlsx", "A 36031-2026")</f>
        <v/>
      </c>
      <c r="X99">
        <f>HYPERLINK("https://klasma.github.io/Logging_2039/kartor/A 36031-2026 karta.png", "A 36031-2026")</f>
        <v/>
      </c>
      <c r="Y99">
        <f>HYPERLINK("https://klasma.github.io/Logging_2039/kartor_geotiff/A 36031-2026 georefererad karta.tif", "A 36031-2026")</f>
        <v/>
      </c>
      <c r="AA99">
        <f>HYPERLINK("https://klasma.github.io/Logging_2039/klagomål/A 36031-2026 FSC-klagomål.docx", "A 36031-2026")</f>
        <v/>
      </c>
      <c r="AB99">
        <f>HYPERLINK("https://klasma.github.io/Logging_2039/klagomålsmail/A 36031-2026 FSC-klagomål mail.docx", "A 36031-2026")</f>
        <v/>
      </c>
      <c r="AC99">
        <f>HYPERLINK("https://klasma.github.io/Logging_2039/tillsyn/A 36031-2026 tillsynsbegäran.docx", "A 36031-2026")</f>
        <v/>
      </c>
      <c r="AD99">
        <f>HYPERLINK("https://klasma.github.io/Logging_2039/tillsynsmail/A 36031-2026 tillsynsbegäran mail.docx", "A 36031-2026")</f>
        <v/>
      </c>
      <c r="AE99">
        <f>HYPERLINK("https://klasma.github.io/Logging_2039/fåglar/A 36031-2026 prioriterade fågelarter.docx", "A 36031-2026")</f>
        <v/>
      </c>
    </row>
    <row r="100" ht="15" customHeight="1">
      <c r="A100" t="inlineStr">
        <is>
          <t>A 29119-2026</t>
        </is>
      </c>
      <c r="B100" t="inlineStr">
        <is>
          <t>avverkningsanmälan</t>
        </is>
      </c>
      <c r="C100" t="inlineStr">
        <is>
          <t>Föryngringsavverkning</t>
        </is>
      </c>
      <c r="D100" s="1" t="n">
        <v>46201</v>
      </c>
      <c r="E100" s="1" t="n">
        <v>46319</v>
      </c>
      <c r="F100" t="inlineStr">
        <is>
          <t>DALARNAS LÄN</t>
        </is>
      </c>
      <c r="G100" t="inlineStr">
        <is>
          <t>MORA</t>
        </is>
      </c>
      <c r="I100" t="n">
        <v>4.4</v>
      </c>
      <c r="J100" t="n">
        <v>5</v>
      </c>
      <c r="K100" t="n">
        <v>2</v>
      </c>
      <c r="L100" t="n">
        <v>11</v>
      </c>
      <c r="M100" t="n">
        <v>2</v>
      </c>
      <c r="N100" t="n">
        <v>0</v>
      </c>
      <c r="O100" t="n">
        <v>0</v>
      </c>
      <c r="P100" t="n">
        <v>0</v>
      </c>
      <c r="Q100" t="n">
        <v>13</v>
      </c>
      <c r="R100" t="n">
        <v>2</v>
      </c>
      <c r="S100" t="n">
        <v>18</v>
      </c>
      <c r="T100" t="n">
        <v>120</v>
      </c>
      <c r="U100" t="n">
        <v>0</v>
      </c>
      <c r="V100" s="2" t="inlineStr">
        <is>
          <t>Garnlav
Knärot
Dropptaggsvamp
Dvärgbägarlav
Kattfotslav
Kolflarnlav
Kortskaftad ärgspik
Tallticka
Tretåig hackspett
Ullticka
Vedskivlav
Violettgrå tagellav
Vitgrynig nållav
Thomsons trägnagare
Vedticka
Järpe
Spillkråka
Tjäder</t>
        </is>
      </c>
      <c r="W100">
        <f>HYPERLINK("https://klasma.github.io/Logging_2062/artfynd/A 29119-2026 artfynd.xlsx", "A 29119-2026")</f>
        <v/>
      </c>
      <c r="X100">
        <f>HYPERLINK("https://klasma.github.io/Logging_2062/kartor/A 29119-2026 karta.png", "A 29119-2026")</f>
        <v/>
      </c>
      <c r="Y100">
        <f>HYPERLINK("https://klasma.github.io/Logging_2062/kartor_geotiff/A 29119-2026 georefererad karta.tif", "A 29119-2026")</f>
        <v/>
      </c>
      <c r="Z100">
        <f>HYPERLINK("https://klasma.github.io/Logging_2062/knärot/A 29119-2026 karta knärot.png", "A 29119-2026")</f>
        <v/>
      </c>
      <c r="AA100">
        <f>HYPERLINK("https://klasma.github.io/Logging_2062/klagomål/A 29119-2026 FSC-klagomål.docx", "A 29119-2026")</f>
        <v/>
      </c>
      <c r="AB100">
        <f>HYPERLINK("https://klasma.github.io/Logging_2062/klagomålsmail/A 29119-2026 FSC-klagomål mail.docx", "A 29119-2026")</f>
        <v/>
      </c>
      <c r="AC100">
        <f>HYPERLINK("https://klasma.github.io/Logging_2062/tillsyn/A 29119-2026 tillsynsbegäran.docx", "A 29119-2026")</f>
        <v/>
      </c>
      <c r="AD100">
        <f>HYPERLINK("https://klasma.github.io/Logging_2062/tillsynsmail/A 29119-2026 tillsynsbegäran mail.docx", "A 29119-2026")</f>
        <v/>
      </c>
      <c r="AE100">
        <f>HYPERLINK("https://klasma.github.io/Logging_2062/fåglar/A 29119-2026 prioriterade fågelarter.docx", "A 29119-2026")</f>
        <v/>
      </c>
    </row>
    <row r="101" ht="15" customHeight="1">
      <c r="A101" t="inlineStr">
        <is>
          <t>A 8529-2023</t>
        </is>
      </c>
      <c r="B101" t="inlineStr">
        <is>
          <t>avverkningsanmälan</t>
        </is>
      </c>
      <c r="C101" t="inlineStr">
        <is>
          <t>Föryngringsavverkning</t>
        </is>
      </c>
      <c r="D101" s="1" t="n">
        <v>44977</v>
      </c>
      <c r="E101" s="1" t="n">
        <v>46319</v>
      </c>
      <c r="F101" t="inlineStr">
        <is>
          <t>DALARNAS LÄN</t>
        </is>
      </c>
      <c r="G101" t="inlineStr">
        <is>
          <t>LEKSAND</t>
        </is>
      </c>
      <c r="I101" t="n">
        <v>2.7</v>
      </c>
      <c r="J101" t="n">
        <v>17</v>
      </c>
      <c r="K101" t="n">
        <v>1</v>
      </c>
      <c r="L101" t="n">
        <v>5</v>
      </c>
      <c r="M101" t="n">
        <v>1</v>
      </c>
      <c r="N101" t="n">
        <v>0</v>
      </c>
      <c r="O101" t="n">
        <v>0</v>
      </c>
      <c r="P101" t="n">
        <v>0</v>
      </c>
      <c r="Q101" t="n">
        <v>6</v>
      </c>
      <c r="R101" t="n">
        <v>1</v>
      </c>
      <c r="S101" t="n">
        <v>18</v>
      </c>
      <c r="T101" t="n">
        <v>25</v>
      </c>
      <c r="U101" t="n">
        <v>25</v>
      </c>
      <c r="V101" s="2" t="inlineStr">
        <is>
          <t>Knärot
Brunlångöra
Dropptaggsvamp
Ladusvala
Rödvingetrast
Talltita
Tvåblad
Tofsmes
Buskskvätta
Grönsiska
Kråka
Kungsfågel
Svartvit flugsnappare
Sävsparv
Huggorm
Skogsödla
Fläcknycklar
Revlummer</t>
        </is>
      </c>
      <c r="W101">
        <f>HYPERLINK("https://klasma.github.io/Logging_2029/artfynd/A 8529-2023 artfynd.xlsx", "A 8529-2023")</f>
        <v/>
      </c>
      <c r="X101">
        <f>HYPERLINK("https://klasma.github.io/Logging_2029/kartor/A 8529-2023 karta.png", "A 8529-2023")</f>
        <v/>
      </c>
      <c r="Y101">
        <f>HYPERLINK("https://klasma.github.io/Logging_2029/kartor_geotiff/A 8529-2023 georefererad karta.tif", "A 8529-2023")</f>
        <v/>
      </c>
      <c r="Z101">
        <f>HYPERLINK("https://klasma.github.io/Logging_2029/knärot/A 8529-2023 karta knärot.png", "A 8529-2023")</f>
        <v/>
      </c>
      <c r="AA101">
        <f>HYPERLINK("https://klasma.github.io/Logging_2029/klagomål/A 8529-2023 FSC-klagomål.docx", "A 8529-2023")</f>
        <v/>
      </c>
      <c r="AB101">
        <f>HYPERLINK("https://klasma.github.io/Logging_2029/klagomålsmail/A 8529-2023 FSC-klagomål mail.docx", "A 8529-2023")</f>
        <v/>
      </c>
      <c r="AC101">
        <f>HYPERLINK("https://klasma.github.io/Logging_2029/tillsyn/A 8529-2023 tillsynsbegäran.docx", "A 8529-2023")</f>
        <v/>
      </c>
      <c r="AD101">
        <f>HYPERLINK("https://klasma.github.io/Logging_2029/tillsynsmail/A 8529-2023 tillsynsbegäran mail.docx", "A 8529-2023")</f>
        <v/>
      </c>
      <c r="AE101">
        <f>HYPERLINK("https://klasma.github.io/Logging_2029/fåglar/A 8529-2023 prioriterade fågelarter.docx", "A 8529-2023")</f>
        <v/>
      </c>
    </row>
    <row r="102" ht="15" customHeight="1">
      <c r="A102" t="inlineStr">
        <is>
          <t>A 63895-2023</t>
        </is>
      </c>
      <c r="B102" t="inlineStr">
        <is>
          <t>avverkningsanmälan</t>
        </is>
      </c>
      <c r="C102" t="inlineStr">
        <is>
          <t>Avverkning för annat ändamål</t>
        </is>
      </c>
      <c r="D102" s="1" t="n">
        <v>45278</v>
      </c>
      <c r="E102" s="1" t="n">
        <v>46319</v>
      </c>
      <c r="F102" t="inlineStr">
        <is>
          <t>DALARNAS LÄN</t>
        </is>
      </c>
      <c r="G102" t="inlineStr">
        <is>
          <t>ÄLVDALEN</t>
        </is>
      </c>
      <c r="H102" t="inlineStr">
        <is>
          <t>Sveaskog</t>
        </is>
      </c>
      <c r="I102" t="n">
        <v>13.4</v>
      </c>
      <c r="J102" t="n">
        <v>2</v>
      </c>
      <c r="K102" t="n">
        <v>1</v>
      </c>
      <c r="L102" t="n">
        <v>10</v>
      </c>
      <c r="M102" t="n">
        <v>7</v>
      </c>
      <c r="N102" t="n">
        <v>0</v>
      </c>
      <c r="O102" t="n">
        <v>0</v>
      </c>
      <c r="P102" t="n">
        <v>0</v>
      </c>
      <c r="Q102" t="n">
        <v>17</v>
      </c>
      <c r="R102" t="n">
        <v>7</v>
      </c>
      <c r="S102" t="n">
        <v>18</v>
      </c>
      <c r="T102" t="n">
        <v>53</v>
      </c>
      <c r="U102" t="n">
        <v>3</v>
      </c>
      <c r="V102" s="2" t="inlineStr">
        <is>
          <t>Fläckporing
Goliatmusseron
Gräddporing
Laxgröppa
Smalfotad taggsvamp
Spadskinn
Tajgataggsvamp
Blanksvart spiklav
Blå taggsvamp
Dropptaggsvamp
Kolflarnlav
Mörk kolflarnlav
Nordtagging
Orange taggsvamp
Varglav
Vedskivlav
Vitplätt
Plattlummer</t>
        </is>
      </c>
      <c r="W102">
        <f>HYPERLINK("https://klasma.github.io/Logging_2039/artfynd/A 63895-2023 artfynd.xlsx", "A 63895-2023")</f>
        <v/>
      </c>
      <c r="X102">
        <f>HYPERLINK("https://klasma.github.io/Logging_2039/kartor/A 63895-2023 karta.png", "A 63895-2023")</f>
        <v/>
      </c>
      <c r="Y102">
        <f>HYPERLINK("https://klasma.github.io/Logging_2039/kartor_geotiff/A 63895-2023 georefererad karta.tif", "A 63895-2023")</f>
        <v/>
      </c>
      <c r="AA102">
        <f>HYPERLINK("https://klasma.github.io/Logging_2039/klagomål/A 63895-2023 FSC-klagomål.docx", "A 63895-2023")</f>
        <v/>
      </c>
      <c r="AB102">
        <f>HYPERLINK("https://klasma.github.io/Logging_2039/klagomålsmail/A 63895-2023 FSC-klagomål mail.docx", "A 63895-2023")</f>
        <v/>
      </c>
      <c r="AC102">
        <f>HYPERLINK("https://klasma.github.io/Logging_2039/tillsyn/A 63895-2023 tillsynsbegäran.docx", "A 63895-2023")</f>
        <v/>
      </c>
      <c r="AD102">
        <f>HYPERLINK("https://klasma.github.io/Logging_2039/tillsynsmail/A 63895-2023 tillsynsbegäran mail.docx", "A 63895-2023")</f>
        <v/>
      </c>
    </row>
    <row r="103" ht="15" customHeight="1">
      <c r="A103" t="inlineStr">
        <is>
          <t>A 30543-2024</t>
        </is>
      </c>
      <c r="B103" t="inlineStr">
        <is>
          <t>avverkningsanmälan</t>
        </is>
      </c>
      <c r="C103" t="inlineStr">
        <is>
          <t>Föryngringsavverkning</t>
        </is>
      </c>
      <c r="D103" s="1" t="n">
        <v>45492</v>
      </c>
      <c r="E103" s="1" t="n">
        <v>46319</v>
      </c>
      <c r="F103" t="inlineStr">
        <is>
          <t>DALARNAS LÄN</t>
        </is>
      </c>
      <c r="G103" t="inlineStr">
        <is>
          <t>VANSBRO</t>
        </is>
      </c>
      <c r="I103" t="n">
        <v>23</v>
      </c>
      <c r="J103" t="n">
        <v>4</v>
      </c>
      <c r="K103" t="n">
        <v>3</v>
      </c>
      <c r="L103" t="n">
        <v>12</v>
      </c>
      <c r="M103" t="n">
        <v>2</v>
      </c>
      <c r="N103" t="n">
        <v>0</v>
      </c>
      <c r="O103" t="n">
        <v>0</v>
      </c>
      <c r="P103" t="n">
        <v>0</v>
      </c>
      <c r="Q103" t="n">
        <v>14</v>
      </c>
      <c r="R103" t="n">
        <v>2</v>
      </c>
      <c r="S103" t="n">
        <v>18</v>
      </c>
      <c r="T103" t="n">
        <v>58</v>
      </c>
      <c r="U103" t="n">
        <v>58</v>
      </c>
      <c r="V103" s="2" t="inlineStr">
        <is>
          <t>Garnlav
Knärot
Blå taggsvamp
Dropptaggsvamp
Motaggsvamp
Orange taggsvamp
Rosenticka
Rynkskinn
Tallticka
Talltita
Tretåig hackspett
Ullticka
Violettgrå tagellav
Äggvaxskivling
Bollvitmossa
Mindre märgborre
Vedticka
Fläcknycklar</t>
        </is>
      </c>
      <c r="W103">
        <f>HYPERLINK("https://klasma.github.io/Logging_2021/artfynd/A 30543-2024 artfynd.xlsx", "A 30543-2024")</f>
        <v/>
      </c>
      <c r="X103">
        <f>HYPERLINK("https://klasma.github.io/Logging_2021/kartor/A 30543-2024 karta.png", "A 30543-2024")</f>
        <v/>
      </c>
      <c r="Y103">
        <f>HYPERLINK("https://klasma.github.io/Logging_2021/kartor_geotiff/A 30543-2024 georefererad karta.tif", "A 30543-2024")</f>
        <v/>
      </c>
      <c r="Z103">
        <f>HYPERLINK("https://klasma.github.io/Logging_2021/knärot/A 30543-2024 karta knärot.png", "A 30543-2024")</f>
        <v/>
      </c>
      <c r="AA103">
        <f>HYPERLINK("https://klasma.github.io/Logging_2021/klagomål/A 30543-2024 FSC-klagomål.docx", "A 30543-2024")</f>
        <v/>
      </c>
      <c r="AB103">
        <f>HYPERLINK("https://klasma.github.io/Logging_2021/klagomålsmail/A 30543-2024 FSC-klagomål mail.docx", "A 30543-2024")</f>
        <v/>
      </c>
      <c r="AC103">
        <f>HYPERLINK("https://klasma.github.io/Logging_2021/tillsyn/A 30543-2024 tillsynsbegäran.docx", "A 30543-2024")</f>
        <v/>
      </c>
      <c r="AD103">
        <f>HYPERLINK("https://klasma.github.io/Logging_2021/tillsynsmail/A 30543-2024 tillsynsbegäran mail.docx", "A 30543-2024")</f>
        <v/>
      </c>
      <c r="AE103">
        <f>HYPERLINK("https://klasma.github.io/Logging_2021/fåglar/A 30543-2024 prioriterade fågelarter.docx", "A 30543-2024")</f>
        <v/>
      </c>
    </row>
    <row r="104" ht="15" customHeight="1">
      <c r="A104" t="inlineStr">
        <is>
          <t>S 4522-2023</t>
        </is>
      </c>
      <c r="B104" t="inlineStr">
        <is>
          <t>samrådsanmälan</t>
        </is>
      </c>
      <c r="C104" t="inlineStr">
        <is>
          <t>Skogsgödsling</t>
        </is>
      </c>
      <c r="D104" s="1" t="n">
        <v>45275</v>
      </c>
      <c r="E104" s="1" t="n">
        <v>46319</v>
      </c>
      <c r="F104" t="inlineStr">
        <is>
          <t>DALARNAS LÄN</t>
        </is>
      </c>
      <c r="G104" t="inlineStr">
        <is>
          <t>LUDVIKA</t>
        </is>
      </c>
      <c r="H104" t="inlineStr">
        <is>
          <t>Bergvik skog väst AB</t>
        </is>
      </c>
      <c r="I104" t="n">
        <v>597.4</v>
      </c>
      <c r="J104" t="n">
        <v>5</v>
      </c>
      <c r="K104" t="n">
        <v>6</v>
      </c>
      <c r="L104" t="n">
        <v>5</v>
      </c>
      <c r="M104" t="n">
        <v>2</v>
      </c>
      <c r="N104" t="n">
        <v>2</v>
      </c>
      <c r="O104" t="n">
        <v>0</v>
      </c>
      <c r="P104" t="n">
        <v>0</v>
      </c>
      <c r="Q104" t="n">
        <v>9</v>
      </c>
      <c r="R104" t="n">
        <v>4</v>
      </c>
      <c r="S104" t="n">
        <v>18</v>
      </c>
      <c r="T104" t="n">
        <v>23</v>
      </c>
      <c r="U104" t="n">
        <v>9</v>
      </c>
      <c r="V104" s="2" t="inlineStr">
        <is>
          <t>Bitter taggsvamp
Mosippa
Knärot
Stor odörspindling
Barrfagerspindling
Barrmusseron
Dofttaggsvamp
Motaggsvamp
Vaddporing
Gulnål
Kamjordstjärna
Strimspindling
Strutbräken
Stubbspretmossa
Vedticka
Blåsippa
Fläcknycklar
Lopplummer (aggregat)</t>
        </is>
      </c>
      <c r="W104">
        <f>HYPERLINK("https://klasma.github.io/Logging_2085/artfynd/S 4522-2023 artfynd.xlsx", "S 4522-2023")</f>
        <v/>
      </c>
      <c r="X104">
        <f>HYPERLINK("https://klasma.github.io/Logging_2085/kartor/S 4522-2023 karta.png", "S 4522-2023")</f>
        <v/>
      </c>
      <c r="Y104">
        <f>HYPERLINK("https://klasma.github.io/Logging_2085/kartor_geotiff/S 4522-2023 georefererad karta.tif", "S 4522-2023")</f>
        <v/>
      </c>
      <c r="Z104">
        <f>HYPERLINK("https://klasma.github.io/Logging_2085/knärot/S 4522-2023 karta knärot.png", "S 4522-2023")</f>
        <v/>
      </c>
      <c r="AA104">
        <f>HYPERLINK("https://klasma.github.io/Logging_2085/klagomål/S 4522-2023 FSC-klagomål.docx", "S 4522-2023")</f>
        <v/>
      </c>
      <c r="AB104">
        <f>HYPERLINK("https://klasma.github.io/Logging_2085/klagomålsmail/S 4522-2023 FSC-klagomål mail.docx", "S 4522-2023")</f>
        <v/>
      </c>
      <c r="AC104">
        <f>HYPERLINK("https://klasma.github.io/Logging_2085/tillsyn/S 4522-2023 tillsynsbegäran.docx", "S 4522-2023")</f>
        <v/>
      </c>
      <c r="AD104">
        <f>HYPERLINK("https://klasma.github.io/Logging_2085/tillsynsmail/S 4522-2023 tillsynsbegäran mail.docx", "S 4522-2023")</f>
        <v/>
      </c>
    </row>
    <row r="105" ht="15" customHeight="1">
      <c r="A105" t="inlineStr">
        <is>
          <t>S 1757-2025</t>
        </is>
      </c>
      <c r="B105" t="inlineStr">
        <is>
          <t>samrådsanmälan</t>
        </is>
      </c>
      <c r="C105" t="inlineStr">
        <is>
          <t>Annan skogsbruksåtgärd</t>
        </is>
      </c>
      <c r="D105" s="1" t="n">
        <v>45812</v>
      </c>
      <c r="E105" s="1" t="n">
        <v>46319</v>
      </c>
      <c r="F105" t="inlineStr">
        <is>
          <t>DALARNAS LÄN</t>
        </is>
      </c>
      <c r="G105" t="inlineStr">
        <is>
          <t>MALUNG-SÄLEN</t>
        </is>
      </c>
      <c r="H105" t="inlineStr">
        <is>
          <t>Bergvik skog väst AB</t>
        </is>
      </c>
      <c r="I105" t="n">
        <v>46.1</v>
      </c>
      <c r="J105" t="n">
        <v>3</v>
      </c>
      <c r="K105" t="n">
        <v>4</v>
      </c>
      <c r="L105" t="n">
        <v>8</v>
      </c>
      <c r="M105" t="n">
        <v>4</v>
      </c>
      <c r="N105" t="n">
        <v>0</v>
      </c>
      <c r="O105" t="n">
        <v>0</v>
      </c>
      <c r="P105" t="n">
        <v>0</v>
      </c>
      <c r="Q105" t="n">
        <v>12</v>
      </c>
      <c r="R105" t="n">
        <v>4</v>
      </c>
      <c r="S105" t="n">
        <v>18</v>
      </c>
      <c r="T105" t="n">
        <v>57</v>
      </c>
      <c r="U105" t="n">
        <v>8</v>
      </c>
      <c r="V105" s="2" t="inlineStr">
        <is>
          <t>Garnlav
Gropig skägglav
Knärot
Ulltickeporing
Kolflarnlav
Mörk kolflarnlav
Rosenticka
Skuggblåslav
Ullticka
Vedflamlav
Vedskivlav
Vedtrappmossa
Gulnål
Korallblylav
Mindre märgborre
Vedticka
Spillkråka
Tjäder</t>
        </is>
      </c>
      <c r="W105">
        <f>HYPERLINK("https://klasma.github.io/Logging_2023/artfynd/S 1757-2025 artfynd.xlsx", "S 1757-2025")</f>
        <v/>
      </c>
      <c r="X105">
        <f>HYPERLINK("https://klasma.github.io/Logging_2023/kartor/S 1757-2025 karta.png", "S 1757-2025")</f>
        <v/>
      </c>
      <c r="Y105">
        <f>HYPERLINK("https://klasma.github.io/Logging_2023/kartor_geotiff/S 1757-2025 georefererad karta.tif", "S 1757-2025")</f>
        <v/>
      </c>
      <c r="Z105">
        <f>HYPERLINK("https://klasma.github.io/Logging_2023/knärot/S 1757-2025 karta knärot.png", "S 1757-2025")</f>
        <v/>
      </c>
      <c r="AA105">
        <f>HYPERLINK("https://klasma.github.io/Logging_2023/klagomål/S 1757-2025 FSC-klagomål.docx", "S 1757-2025")</f>
        <v/>
      </c>
      <c r="AB105">
        <f>HYPERLINK("https://klasma.github.io/Logging_2023/klagomålsmail/S 1757-2025 FSC-klagomål mail.docx", "S 1757-2025")</f>
        <v/>
      </c>
      <c r="AC105">
        <f>HYPERLINK("https://klasma.github.io/Logging_2023/tillsyn/S 1757-2025 tillsynsbegäran.docx", "S 1757-2025")</f>
        <v/>
      </c>
      <c r="AD105">
        <f>HYPERLINK("https://klasma.github.io/Logging_2023/tillsynsmail/S 1757-2025 tillsynsbegäran mail.docx", "S 1757-2025")</f>
        <v/>
      </c>
      <c r="AE105">
        <f>HYPERLINK("https://klasma.github.io/Logging_2023/fåglar/S 1757-2025 prioriterade fågelarter.docx", "S 1757-2025")</f>
        <v/>
      </c>
    </row>
    <row r="106" ht="15" customHeight="1">
      <c r="A106" t="inlineStr">
        <is>
          <t>A 43504-2025</t>
        </is>
      </c>
      <c r="B106" t="inlineStr">
        <is>
          <t>avverkningsanmälan</t>
        </is>
      </c>
      <c r="C106" t="inlineStr">
        <is>
          <t>Föryngringsavverkning</t>
        </is>
      </c>
      <c r="D106" s="1" t="n">
        <v>45911</v>
      </c>
      <c r="E106" s="1" t="n">
        <v>46319</v>
      </c>
      <c r="F106" t="inlineStr">
        <is>
          <t>DALARNAS LÄN</t>
        </is>
      </c>
      <c r="G106" t="inlineStr">
        <is>
          <t>MORA</t>
        </is>
      </c>
      <c r="H106" t="inlineStr">
        <is>
          <t>Allmännings- och besparingsskogar</t>
        </is>
      </c>
      <c r="I106" t="n">
        <v>32</v>
      </c>
      <c r="J106" t="n">
        <v>4</v>
      </c>
      <c r="K106" t="n">
        <v>2</v>
      </c>
      <c r="L106" t="n">
        <v>12</v>
      </c>
      <c r="M106" t="n">
        <v>1</v>
      </c>
      <c r="N106" t="n">
        <v>0</v>
      </c>
      <c r="O106" t="n">
        <v>0</v>
      </c>
      <c r="P106" t="n">
        <v>0</v>
      </c>
      <c r="Q106" t="n">
        <v>13</v>
      </c>
      <c r="R106" t="n">
        <v>1</v>
      </c>
      <c r="S106" t="n">
        <v>17</v>
      </c>
      <c r="T106" t="n">
        <v>125</v>
      </c>
      <c r="U106" t="n">
        <v>106</v>
      </c>
      <c r="V106" s="2" t="inlineStr">
        <is>
          <t>Garnlav
Blanksvart spiklav
Blågrå svartspik
Dvärgbägarlav
Kolflarnlav
Kortskaftad ärgspik
Mörk kolflarnlav
Tallticka
Talltita
Varglav
Vedflamlav
Vedskivlav
Vitgrynig nållav
Mindre märgborre
Vedticka
Spillkråka
Kungsfågel</t>
        </is>
      </c>
      <c r="W106">
        <f>HYPERLINK("https://klasma.github.io/Logging_2062/artfynd/A 43504-2025 artfynd.xlsx", "A 43504-2025")</f>
        <v/>
      </c>
      <c r="X106">
        <f>HYPERLINK("https://klasma.github.io/Logging_2062/kartor/A 43504-2025 karta.png", "A 43504-2025")</f>
        <v/>
      </c>
      <c r="Y106">
        <f>HYPERLINK("https://klasma.github.io/Logging_2062/kartor_geotiff/A 43504-2025 georefererad karta.tif", "A 43504-2025")</f>
        <v/>
      </c>
      <c r="AA106">
        <f>HYPERLINK("https://klasma.github.io/Logging_2062/klagomål/A 43504-2025 FSC-klagomål.docx", "A 43504-2025")</f>
        <v/>
      </c>
      <c r="AB106">
        <f>HYPERLINK("https://klasma.github.io/Logging_2062/klagomålsmail/A 43504-2025 FSC-klagomål mail.docx", "A 43504-2025")</f>
        <v/>
      </c>
      <c r="AC106">
        <f>HYPERLINK("https://klasma.github.io/Logging_2062/tillsyn/A 43504-2025 tillsynsbegäran.docx", "A 43504-2025")</f>
        <v/>
      </c>
      <c r="AD106">
        <f>HYPERLINK("https://klasma.github.io/Logging_2062/tillsynsmail/A 43504-2025 tillsynsbegäran mail.docx", "A 43504-2025")</f>
        <v/>
      </c>
      <c r="AE106">
        <f>HYPERLINK("https://klasma.github.io/Logging_2062/fåglar/A 43504-2025 prioriterade fågelarter.docx", "A 43504-2025")</f>
        <v/>
      </c>
    </row>
    <row r="107" ht="15" customHeight="1">
      <c r="A107" t="inlineStr">
        <is>
          <t>A 37099-2024</t>
        </is>
      </c>
      <c r="B107" t="inlineStr">
        <is>
          <t>avverkningsanmälan</t>
        </is>
      </c>
      <c r="C107" t="inlineStr">
        <is>
          <t>Föryngringsavverkning</t>
        </is>
      </c>
      <c r="D107" s="1" t="n">
        <v>45539</v>
      </c>
      <c r="E107" s="1" t="n">
        <v>46319</v>
      </c>
      <c r="F107" t="inlineStr">
        <is>
          <t>DALARNAS LÄN</t>
        </is>
      </c>
      <c r="G107" t="inlineStr">
        <is>
          <t>BORLÄNGE</t>
        </is>
      </c>
      <c r="H107" t="inlineStr">
        <is>
          <t>Bergvik skog väst AB</t>
        </is>
      </c>
      <c r="I107" t="n">
        <v>17.7</v>
      </c>
      <c r="J107" t="n">
        <v>9</v>
      </c>
      <c r="K107" t="n">
        <v>3</v>
      </c>
      <c r="L107" t="n">
        <v>7</v>
      </c>
      <c r="M107" t="n">
        <v>1</v>
      </c>
      <c r="N107" t="n">
        <v>0</v>
      </c>
      <c r="O107" t="n">
        <v>0</v>
      </c>
      <c r="P107" t="n">
        <v>0</v>
      </c>
      <c r="Q107" t="n">
        <v>8</v>
      </c>
      <c r="R107" t="n">
        <v>1</v>
      </c>
      <c r="S107" t="n">
        <v>17</v>
      </c>
      <c r="T107" t="n">
        <v>142</v>
      </c>
      <c r="U107" t="n">
        <v>129</v>
      </c>
      <c r="V107" s="2" t="inlineStr">
        <is>
          <t>Knärot
Fjällig taggsvamp s.str.
Mindre hackspett
Motaggsvamp
Rosenticka
Skarp dropptaggsvamp
Talltita
Ullticka
Mindre märgborre
Rödgul trumpetsvamp
Svavelriska
Blåsippa
Mindre flugsnappare
Spillkråka
Grönsiska
Kungsfågel
Revlummer</t>
        </is>
      </c>
      <c r="W107">
        <f>HYPERLINK("https://klasma.github.io/Logging_2081/artfynd/A 37099-2024 artfynd.xlsx", "A 37099-2024")</f>
        <v/>
      </c>
      <c r="X107">
        <f>HYPERLINK("https://klasma.github.io/Logging_2081/kartor/A 37099-2024 karta.png", "A 37099-2024")</f>
        <v/>
      </c>
      <c r="Y107">
        <f>HYPERLINK("https://klasma.github.io/Logging_2081/kartor_geotiff/A 37099-2024 georefererad karta.tif", "A 37099-2024")</f>
        <v/>
      </c>
      <c r="Z107">
        <f>HYPERLINK("https://klasma.github.io/Logging_2081/knärot/A 37099-2024 karta knärot.png", "A 37099-2024")</f>
        <v/>
      </c>
      <c r="AA107">
        <f>HYPERLINK("https://klasma.github.io/Logging_2081/klagomål/A 37099-2024 FSC-klagomål.docx", "A 37099-2024")</f>
        <v/>
      </c>
      <c r="AB107">
        <f>HYPERLINK("https://klasma.github.io/Logging_2081/klagomålsmail/A 37099-2024 FSC-klagomål mail.docx", "A 37099-2024")</f>
        <v/>
      </c>
      <c r="AC107">
        <f>HYPERLINK("https://klasma.github.io/Logging_2081/tillsyn/A 37099-2024 tillsynsbegäran.docx", "A 37099-2024")</f>
        <v/>
      </c>
      <c r="AD107">
        <f>HYPERLINK("https://klasma.github.io/Logging_2081/tillsynsmail/A 37099-2024 tillsynsbegäran mail.docx", "A 37099-2024")</f>
        <v/>
      </c>
      <c r="AE107">
        <f>HYPERLINK("https://klasma.github.io/Logging_2081/fåglar/A 37099-2024 prioriterade fågelarter.docx", "A 37099-2024")</f>
        <v/>
      </c>
    </row>
    <row r="108" ht="15" customHeight="1">
      <c r="A108" t="inlineStr">
        <is>
          <t>A 40224-2022</t>
        </is>
      </c>
      <c r="B108" t="inlineStr">
        <is>
          <t>avverkningsanmälan</t>
        </is>
      </c>
      <c r="C108" t="inlineStr">
        <is>
          <t>Föryngringsavverkning</t>
        </is>
      </c>
      <c r="D108" s="1" t="n">
        <v>44820</v>
      </c>
      <c r="E108" s="1" t="n">
        <v>46319</v>
      </c>
      <c r="F108" t="inlineStr">
        <is>
          <t>DALARNAS LÄN</t>
        </is>
      </c>
      <c r="G108" t="inlineStr">
        <is>
          <t>VANSBRO</t>
        </is>
      </c>
      <c r="I108" t="n">
        <v>8.300000000000001</v>
      </c>
      <c r="J108" t="n">
        <v>2</v>
      </c>
      <c r="K108" t="n">
        <v>3</v>
      </c>
      <c r="L108" t="n">
        <v>12</v>
      </c>
      <c r="M108" t="n">
        <v>2</v>
      </c>
      <c r="N108" t="n">
        <v>0</v>
      </c>
      <c r="O108" t="n">
        <v>0</v>
      </c>
      <c r="P108" t="n">
        <v>0</v>
      </c>
      <c r="Q108" t="n">
        <v>14</v>
      </c>
      <c r="R108" t="n">
        <v>2</v>
      </c>
      <c r="S108" t="n">
        <v>17</v>
      </c>
      <c r="T108" t="n">
        <v>47</v>
      </c>
      <c r="U108" t="n">
        <v>2</v>
      </c>
      <c r="V108" s="2" t="inlineStr">
        <is>
          <t>Garnlav
Knärot
Blå taggsvamp
Dropptaggsvamp
Kolflarnlav
Lunglav
Mörk kolflarnlav
Orange taggsvamp
Skarp dropptaggsvamp
Skuggblåslav
Tallticka
Tjockfotad fingersvamp
Tretåig hackspett
Vedskivlav
Mindre märgborre
Nästlav
Skinnlav</t>
        </is>
      </c>
      <c r="W108">
        <f>HYPERLINK("https://klasma.github.io/Logging_2021/artfynd/A 40224-2022 artfynd.xlsx", "A 40224-2022")</f>
        <v/>
      </c>
      <c r="X108">
        <f>HYPERLINK("https://klasma.github.io/Logging_2021/kartor/A 40224-2022 karta.png", "A 40224-2022")</f>
        <v/>
      </c>
      <c r="Y108">
        <f>HYPERLINK("https://klasma.github.io/Logging_2021/kartor_geotiff/A 40224-2022 georefererad karta.tif", "A 40224-2022")</f>
        <v/>
      </c>
      <c r="Z108">
        <f>HYPERLINK("https://klasma.github.io/Logging_2021/knärot/A 40224-2022 karta knärot.png", "A 40224-2022")</f>
        <v/>
      </c>
      <c r="AA108">
        <f>HYPERLINK("https://klasma.github.io/Logging_2021/klagomål/A 40224-2022 FSC-klagomål.docx", "A 40224-2022")</f>
        <v/>
      </c>
      <c r="AB108">
        <f>HYPERLINK("https://klasma.github.io/Logging_2021/klagomålsmail/A 40224-2022 FSC-klagomål mail.docx", "A 40224-2022")</f>
        <v/>
      </c>
      <c r="AC108">
        <f>HYPERLINK("https://klasma.github.io/Logging_2021/tillsyn/A 40224-2022 tillsynsbegäran.docx", "A 40224-2022")</f>
        <v/>
      </c>
      <c r="AD108">
        <f>HYPERLINK("https://klasma.github.io/Logging_2021/tillsynsmail/A 40224-2022 tillsynsbegäran mail.docx", "A 40224-2022")</f>
        <v/>
      </c>
      <c r="AE108">
        <f>HYPERLINK("https://klasma.github.io/Logging_2021/fåglar/A 40224-2022 prioriterade fågelarter.docx", "A 40224-2022")</f>
        <v/>
      </c>
    </row>
    <row r="109" ht="15" customHeight="1">
      <c r="A109" t="inlineStr">
        <is>
          <t>A 33548-2023</t>
        </is>
      </c>
      <c r="B109" t="inlineStr">
        <is>
          <t>avverkningsanmälan</t>
        </is>
      </c>
      <c r="C109" t="inlineStr">
        <is>
          <t>Föryngringsavverkning</t>
        </is>
      </c>
      <c r="D109" s="1" t="n">
        <v>45118</v>
      </c>
      <c r="E109" s="1" t="n">
        <v>46319</v>
      </c>
      <c r="F109" t="inlineStr">
        <is>
          <t>DALARNAS LÄN</t>
        </is>
      </c>
      <c r="G109" t="inlineStr">
        <is>
          <t>ÄLVDALEN</t>
        </is>
      </c>
      <c r="I109" t="n">
        <v>5.2</v>
      </c>
      <c r="J109" t="n">
        <v>9</v>
      </c>
      <c r="K109" t="n">
        <v>4</v>
      </c>
      <c r="L109" t="n">
        <v>6</v>
      </c>
      <c r="M109" t="n">
        <v>1</v>
      </c>
      <c r="N109" t="n">
        <v>0</v>
      </c>
      <c r="O109" t="n">
        <v>0</v>
      </c>
      <c r="P109" t="n">
        <v>0</v>
      </c>
      <c r="Q109" t="n">
        <v>7</v>
      </c>
      <c r="R109" t="n">
        <v>1</v>
      </c>
      <c r="S109" t="n">
        <v>17</v>
      </c>
      <c r="T109" t="n">
        <v>55</v>
      </c>
      <c r="U109" t="n">
        <v>55</v>
      </c>
      <c r="V109" s="2" t="inlineStr">
        <is>
          <t>Garnlav
Rosenticka
Skrovellav
Talltita
Tretåig hackspett
Vedflamlav
Vitgrynig nållav
Bronshjon
Granbarkgnagare
Spindelblomster
Ögonpyrola
Spillkråka
Tjäder
Kungsfågel
Vanlig groda
Fläcknycklar
Revlummer</t>
        </is>
      </c>
      <c r="W109">
        <f>HYPERLINK("https://klasma.github.io/Logging_2039/artfynd/A 33548-2023 artfynd.xlsx", "A 33548-2023")</f>
        <v/>
      </c>
      <c r="X109">
        <f>HYPERLINK("https://klasma.github.io/Logging_2039/kartor/A 33548-2023 karta.png", "A 33548-2023")</f>
        <v/>
      </c>
      <c r="Y109">
        <f>HYPERLINK("https://klasma.github.io/Logging_2039/kartor_geotiff/A 33548-2023 georefererad karta.tif", "A 33548-2023")</f>
        <v/>
      </c>
      <c r="AA109">
        <f>HYPERLINK("https://klasma.github.io/Logging_2039/klagomål/A 33548-2023 FSC-klagomål.docx", "A 33548-2023")</f>
        <v/>
      </c>
      <c r="AB109">
        <f>HYPERLINK("https://klasma.github.io/Logging_2039/klagomålsmail/A 33548-2023 FSC-klagomål mail.docx", "A 33548-2023")</f>
        <v/>
      </c>
      <c r="AC109">
        <f>HYPERLINK("https://klasma.github.io/Logging_2039/tillsyn/A 33548-2023 tillsynsbegäran.docx", "A 33548-2023")</f>
        <v/>
      </c>
      <c r="AD109">
        <f>HYPERLINK("https://klasma.github.io/Logging_2039/tillsynsmail/A 33548-2023 tillsynsbegäran mail.docx", "A 33548-2023")</f>
        <v/>
      </c>
      <c r="AE109">
        <f>HYPERLINK("https://klasma.github.io/Logging_2039/fåglar/A 33548-2023 prioriterade fågelarter.docx", "A 33548-2023")</f>
        <v/>
      </c>
    </row>
    <row r="110" ht="15" customHeight="1">
      <c r="A110" t="inlineStr">
        <is>
          <t>A 12767-2026</t>
        </is>
      </c>
      <c r="B110" t="inlineStr">
        <is>
          <t>avverkningsanmälan</t>
        </is>
      </c>
      <c r="C110" t="inlineStr">
        <is>
          <t>Föryngringsavverkning</t>
        </is>
      </c>
      <c r="D110" s="1" t="n">
        <v>46091</v>
      </c>
      <c r="E110" s="1" t="n">
        <v>46319</v>
      </c>
      <c r="F110" t="inlineStr">
        <is>
          <t>DALARNAS LÄN</t>
        </is>
      </c>
      <c r="G110" t="inlineStr">
        <is>
          <t>RÄTTVIK</t>
        </is>
      </c>
      <c r="H110" t="inlineStr">
        <is>
          <t>Sveaskog</t>
        </is>
      </c>
      <c r="I110" t="n">
        <v>10.1</v>
      </c>
      <c r="J110" t="n">
        <v>1</v>
      </c>
      <c r="K110" t="n">
        <v>1</v>
      </c>
      <c r="L110" t="n">
        <v>10</v>
      </c>
      <c r="M110" t="n">
        <v>5</v>
      </c>
      <c r="N110" t="n">
        <v>0</v>
      </c>
      <c r="O110" t="n">
        <v>0</v>
      </c>
      <c r="P110" t="n">
        <v>0</v>
      </c>
      <c r="Q110" t="n">
        <v>16</v>
      </c>
      <c r="R110" t="n">
        <v>5</v>
      </c>
      <c r="S110" t="n">
        <v>17</v>
      </c>
      <c r="T110" t="n">
        <v>98</v>
      </c>
      <c r="U110" t="n">
        <v>3</v>
      </c>
      <c r="V110" s="2" t="inlineStr">
        <is>
          <t>Lammticka
Ramaria neoformosa
Rotfingersvamp
Skrovlig taggsvamp
Torrmusseron
Blå taggsvamp
Dropptaggsvamp
Gelatinfingersvamp
Motaggsvamp
Orange taggsvamp
Skarp dropptaggsvamp
Såpfingersvamp
Tallfingersvamp
Tallriska
Talltaggsvamp
Ramaria subtilis
Plattlummer</t>
        </is>
      </c>
      <c r="W110">
        <f>HYPERLINK("https://klasma.github.io/Logging_2031/artfynd/A 12767-2026 artfynd.xlsx", "A 12767-2026")</f>
        <v/>
      </c>
      <c r="X110">
        <f>HYPERLINK("https://klasma.github.io/Logging_2031/kartor/A 12767-2026 karta.png", "A 12767-2026")</f>
        <v/>
      </c>
      <c r="Y110">
        <f>HYPERLINK("https://klasma.github.io/Logging_2031/kartor_geotiff/A 12767-2026 georefererad karta.tif", "A 12767-2026")</f>
        <v/>
      </c>
      <c r="AA110">
        <f>HYPERLINK("https://klasma.github.io/Logging_2031/klagomål/A 12767-2026 FSC-klagomål.docx", "A 12767-2026")</f>
        <v/>
      </c>
      <c r="AB110">
        <f>HYPERLINK("https://klasma.github.io/Logging_2031/klagomålsmail/A 12767-2026 FSC-klagomål mail.docx", "A 12767-2026")</f>
        <v/>
      </c>
      <c r="AC110">
        <f>HYPERLINK("https://klasma.github.io/Logging_2031/tillsyn/A 12767-2026 tillsynsbegäran.docx", "A 12767-2026")</f>
        <v/>
      </c>
      <c r="AD110">
        <f>HYPERLINK("https://klasma.github.io/Logging_2031/tillsynsmail/A 12767-2026 tillsynsbegäran mail.docx", "A 12767-2026")</f>
        <v/>
      </c>
    </row>
    <row r="111" ht="15" customHeight="1">
      <c r="A111" t="inlineStr">
        <is>
          <t>A 32085-2025</t>
        </is>
      </c>
      <c r="B111" t="inlineStr">
        <is>
          <t>avverkningsanmälan</t>
        </is>
      </c>
      <c r="C111" t="inlineStr">
        <is>
          <t>Föryngringsavverkning</t>
        </is>
      </c>
      <c r="D111" s="1" t="n">
        <v>45835</v>
      </c>
      <c r="E111" s="1" t="n">
        <v>46319</v>
      </c>
      <c r="F111" t="inlineStr">
        <is>
          <t>DALARNAS LÄN</t>
        </is>
      </c>
      <c r="G111" t="inlineStr">
        <is>
          <t>LUDVIKA</t>
        </is>
      </c>
      <c r="H111" t="inlineStr">
        <is>
          <t>Bergvik skog väst AB</t>
        </is>
      </c>
      <c r="I111" t="n">
        <v>2.1</v>
      </c>
      <c r="J111" t="n">
        <v>4</v>
      </c>
      <c r="K111" t="n">
        <v>5</v>
      </c>
      <c r="L111" t="n">
        <v>8</v>
      </c>
      <c r="M111" t="n">
        <v>1</v>
      </c>
      <c r="N111" t="n">
        <v>0</v>
      </c>
      <c r="O111" t="n">
        <v>0</v>
      </c>
      <c r="P111" t="n">
        <v>0</v>
      </c>
      <c r="Q111" t="n">
        <v>9</v>
      </c>
      <c r="R111" t="n">
        <v>1</v>
      </c>
      <c r="S111" t="n">
        <v>17</v>
      </c>
      <c r="T111" t="n">
        <v>59</v>
      </c>
      <c r="U111" t="n">
        <v>59</v>
      </c>
      <c r="V111" s="2" t="inlineStr">
        <is>
          <t>Knärot
Blanksvart spiklav
Brunpudrad nållav
Tallticka
Ullticka
Vedflikmossa
Vedskivlav
Vedtrappmossa
Violettgrå tagellav
Bollvitmossa
Gulnål
Mindre märgborre
Thomsons trägnagare
Vedticka
Tjäder
Fläcknycklar
Revlummer</t>
        </is>
      </c>
      <c r="W111">
        <f>HYPERLINK("https://klasma.github.io/Logging_2085/artfynd/A 32085-2025 artfynd.xlsx", "A 32085-2025")</f>
        <v/>
      </c>
      <c r="X111">
        <f>HYPERLINK("https://klasma.github.io/Logging_2085/kartor/A 32085-2025 karta.png", "A 32085-2025")</f>
        <v/>
      </c>
      <c r="Y111">
        <f>HYPERLINK("https://klasma.github.io/Logging_2085/kartor_geotiff/A 32085-2025 georefererad karta.tif", "A 32085-2025")</f>
        <v/>
      </c>
      <c r="Z111">
        <f>HYPERLINK("https://klasma.github.io/Logging_2085/knärot/A 32085-2025 karta knärot.png", "A 32085-2025")</f>
        <v/>
      </c>
      <c r="AA111">
        <f>HYPERLINK("https://klasma.github.io/Logging_2085/klagomål/A 32085-2025 FSC-klagomål.docx", "A 32085-2025")</f>
        <v/>
      </c>
      <c r="AB111">
        <f>HYPERLINK("https://klasma.github.io/Logging_2085/klagomålsmail/A 32085-2025 FSC-klagomål mail.docx", "A 32085-2025")</f>
        <v/>
      </c>
      <c r="AC111">
        <f>HYPERLINK("https://klasma.github.io/Logging_2085/tillsyn/A 32085-2025 tillsynsbegäran.docx", "A 32085-2025")</f>
        <v/>
      </c>
      <c r="AD111">
        <f>HYPERLINK("https://klasma.github.io/Logging_2085/tillsynsmail/A 32085-2025 tillsynsbegäran mail.docx", "A 32085-2025")</f>
        <v/>
      </c>
      <c r="AE111">
        <f>HYPERLINK("https://klasma.github.io/Logging_2085/fåglar/A 32085-2025 prioriterade fågelarter.docx", "A 32085-2025")</f>
        <v/>
      </c>
    </row>
    <row r="112" ht="15" customHeight="1">
      <c r="A112" t="inlineStr">
        <is>
          <t>A 36371-2025</t>
        </is>
      </c>
      <c r="B112" t="inlineStr">
        <is>
          <t>avverkningsanmälan</t>
        </is>
      </c>
      <c r="C112" t="inlineStr">
        <is>
          <t>Föryngringsavverkning</t>
        </is>
      </c>
      <c r="D112" s="1" t="n">
        <v>45868</v>
      </c>
      <c r="E112" s="1" t="n">
        <v>46319</v>
      </c>
      <c r="F112" t="inlineStr">
        <is>
          <t>DALARNAS LÄN</t>
        </is>
      </c>
      <c r="G112" t="inlineStr">
        <is>
          <t>ÄLVDALEN</t>
        </is>
      </c>
      <c r="H112" t="inlineStr">
        <is>
          <t>Allmännings- och besparingsskogar</t>
        </is>
      </c>
      <c r="I112" t="n">
        <v>30.8</v>
      </c>
      <c r="J112" t="n">
        <v>5</v>
      </c>
      <c r="K112" t="n">
        <v>2</v>
      </c>
      <c r="L112" t="n">
        <v>11</v>
      </c>
      <c r="M112" t="n">
        <v>1</v>
      </c>
      <c r="N112" t="n">
        <v>0</v>
      </c>
      <c r="O112" t="n">
        <v>0</v>
      </c>
      <c r="P112" t="n">
        <v>0</v>
      </c>
      <c r="Q112" t="n">
        <v>12</v>
      </c>
      <c r="R112" t="n">
        <v>1</v>
      </c>
      <c r="S112" t="n">
        <v>17</v>
      </c>
      <c r="T112" t="n">
        <v>269</v>
      </c>
      <c r="U112" t="n">
        <v>256</v>
      </c>
      <c r="V112" s="2" t="inlineStr">
        <is>
          <t>Garnlav
Blanksvart spiklav
Blågrå svartspik
Dropptaggsvamp
Duvhök
Dvärgbägarlav
Kolflarnlav
Mörk kolflarnlav
Tallticka
Tretåig hackspett
Vedflamlav
Vedskivlav
Gräsull
Mindre märgborre
Bergfink
Spillkråka
Tjäder</t>
        </is>
      </c>
      <c r="W112">
        <f>HYPERLINK("https://klasma.github.io/Logging_2039/artfynd/A 36371-2025 artfynd.xlsx", "A 36371-2025")</f>
        <v/>
      </c>
      <c r="X112">
        <f>HYPERLINK("https://klasma.github.io/Logging_2039/kartor/A 36371-2025 karta.png", "A 36371-2025")</f>
        <v/>
      </c>
      <c r="Y112">
        <f>HYPERLINK("https://klasma.github.io/Logging_2039/kartor_geotiff/A 36371-2025 georefererad karta.tif", "A 36371-2025")</f>
        <v/>
      </c>
      <c r="AA112">
        <f>HYPERLINK("https://klasma.github.io/Logging_2039/klagomål/A 36371-2025 FSC-klagomål.docx", "A 36371-2025")</f>
        <v/>
      </c>
      <c r="AB112">
        <f>HYPERLINK("https://klasma.github.io/Logging_2039/klagomålsmail/A 36371-2025 FSC-klagomål mail.docx", "A 36371-2025")</f>
        <v/>
      </c>
      <c r="AC112">
        <f>HYPERLINK("https://klasma.github.io/Logging_2039/tillsyn/A 36371-2025 tillsynsbegäran.docx", "A 36371-2025")</f>
        <v/>
      </c>
      <c r="AD112">
        <f>HYPERLINK("https://klasma.github.io/Logging_2039/tillsynsmail/A 36371-2025 tillsynsbegäran mail.docx", "A 36371-2025")</f>
        <v/>
      </c>
      <c r="AE112">
        <f>HYPERLINK("https://klasma.github.io/Logging_2039/fåglar/A 36371-2025 prioriterade fågelarter.docx", "A 36371-2025")</f>
        <v/>
      </c>
    </row>
    <row r="113" ht="15" customHeight="1">
      <c r="A113" t="inlineStr">
        <is>
          <t>A 20433-2026</t>
        </is>
      </c>
      <c r="B113" t="inlineStr">
        <is>
          <t>avverkningsanmälan</t>
        </is>
      </c>
      <c r="C113" t="inlineStr">
        <is>
          <t>Föryngringsavverkning</t>
        </is>
      </c>
      <c r="D113" s="1" t="n">
        <v>46140</v>
      </c>
      <c r="E113" s="1" t="n">
        <v>46319</v>
      </c>
      <c r="F113" t="inlineStr">
        <is>
          <t>DALARNAS LÄN</t>
        </is>
      </c>
      <c r="G113" t="inlineStr">
        <is>
          <t>MALUNG-SÄLEN</t>
        </is>
      </c>
      <c r="H113" t="inlineStr">
        <is>
          <t>Allmännings- och besparingsskogar</t>
        </is>
      </c>
      <c r="I113" t="n">
        <v>12</v>
      </c>
      <c r="J113" t="n">
        <v>1</v>
      </c>
      <c r="K113" t="n">
        <v>1</v>
      </c>
      <c r="L113" t="n">
        <v>12</v>
      </c>
      <c r="M113" t="n">
        <v>2</v>
      </c>
      <c r="N113" t="n">
        <v>0</v>
      </c>
      <c r="O113" t="n">
        <v>0</v>
      </c>
      <c r="P113" t="n">
        <v>0</v>
      </c>
      <c r="Q113" t="n">
        <v>14</v>
      </c>
      <c r="R113" t="n">
        <v>2</v>
      </c>
      <c r="S113" t="n">
        <v>17</v>
      </c>
      <c r="T113" t="n">
        <v>112</v>
      </c>
      <c r="U113" t="n">
        <v>112</v>
      </c>
      <c r="V113" s="2" t="inlineStr">
        <is>
          <t>Garnlav
Gräddporing
Blanksvart spiklav
Blågrå svartspik
Dropptaggsvamp
Dvärgbägarlav
Kolflarnlav
Mörk kolflarnlav
Nordtagging
Orange taggsvamp
Skarp dropptaggsvamp
Vedflamlav
Vedskivlav
Violettgrå tagellav
Nästlav
Fönsterlav
Spillkråka</t>
        </is>
      </c>
      <c r="W113">
        <f>HYPERLINK("https://klasma.github.io/Logging_2023/artfynd/A 20433-2026 artfynd.xlsx", "A 20433-2026")</f>
        <v/>
      </c>
      <c r="X113">
        <f>HYPERLINK("https://klasma.github.io/Logging_2023/kartor/A 20433-2026 karta.png", "A 20433-2026")</f>
        <v/>
      </c>
      <c r="Y113">
        <f>HYPERLINK("https://klasma.github.io/Logging_2023/kartor_geotiff/A 20433-2026 georefererad karta.tif", "A 20433-2026")</f>
        <v/>
      </c>
      <c r="AA113">
        <f>HYPERLINK("https://klasma.github.io/Logging_2023/klagomål/A 20433-2026 FSC-klagomål.docx", "A 20433-2026")</f>
        <v/>
      </c>
      <c r="AB113">
        <f>HYPERLINK("https://klasma.github.io/Logging_2023/klagomålsmail/A 20433-2026 FSC-klagomål mail.docx", "A 20433-2026")</f>
        <v/>
      </c>
      <c r="AC113">
        <f>HYPERLINK("https://klasma.github.io/Logging_2023/tillsyn/A 20433-2026 tillsynsbegäran.docx", "A 20433-2026")</f>
        <v/>
      </c>
      <c r="AD113">
        <f>HYPERLINK("https://klasma.github.io/Logging_2023/tillsynsmail/A 20433-2026 tillsynsbegäran mail.docx", "A 20433-2026")</f>
        <v/>
      </c>
      <c r="AE113">
        <f>HYPERLINK("https://klasma.github.io/Logging_2023/fåglar/A 20433-2026 prioriterade fågelarter.docx", "A 20433-2026")</f>
        <v/>
      </c>
    </row>
    <row r="114" ht="15" customHeight="1">
      <c r="A114" t="inlineStr">
        <is>
          <t>A 36532-2025</t>
        </is>
      </c>
      <c r="B114" t="inlineStr">
        <is>
          <t>avverkningsanmälan</t>
        </is>
      </c>
      <c r="C114" t="inlineStr">
        <is>
          <t>Föryngringsavverkning</t>
        </is>
      </c>
      <c r="D114" s="1" t="n">
        <v>45869</v>
      </c>
      <c r="E114" s="1" t="n">
        <v>46319</v>
      </c>
      <c r="F114" t="inlineStr">
        <is>
          <t>DALARNAS LÄN</t>
        </is>
      </c>
      <c r="G114" t="inlineStr">
        <is>
          <t>SMEDJEBACKEN</t>
        </is>
      </c>
      <c r="I114" t="n">
        <v>1.6</v>
      </c>
      <c r="J114" t="n">
        <v>1</v>
      </c>
      <c r="K114" t="n">
        <v>8</v>
      </c>
      <c r="L114" t="n">
        <v>6</v>
      </c>
      <c r="M114" t="n">
        <v>2</v>
      </c>
      <c r="N114" t="n">
        <v>1</v>
      </c>
      <c r="O114" t="n">
        <v>0</v>
      </c>
      <c r="P114" t="n">
        <v>0</v>
      </c>
      <c r="Q114" t="n">
        <v>9</v>
      </c>
      <c r="R114" t="n">
        <v>3</v>
      </c>
      <c r="S114" t="n">
        <v>17</v>
      </c>
      <c r="T114" t="n">
        <v>54</v>
      </c>
      <c r="U114" t="n">
        <v>25</v>
      </c>
      <c r="V114" s="2" t="inlineStr">
        <is>
          <t>Gyllenfingersvamp
Knärot
Läderdoftande fingersvamp
Barrpraktbagge
Dropptaggsvamp
Fjällig taggsvamp s.str.
Grantaggsvamp
Persiljespindling
Skarp dropptaggsvamp
Granbarkgnagare
Gulgrön kantmusseron
Olivspindling
Rödgul trumpetsvamp
Svavelriska
Thomsons trägnagare
Traslav
Vågbandad barkbock</t>
        </is>
      </c>
      <c r="W114">
        <f>HYPERLINK("https://klasma.github.io/Logging_2061/artfynd/A 36532-2025 artfynd.xlsx", "A 36532-2025")</f>
        <v/>
      </c>
      <c r="X114">
        <f>HYPERLINK("https://klasma.github.io/Logging_2061/kartor/A 36532-2025 karta.png", "A 36532-2025")</f>
        <v/>
      </c>
      <c r="Y114">
        <f>HYPERLINK("https://klasma.github.io/Logging_2061/kartor_geotiff/A 36532-2025 georefererad karta.tif", "A 36532-2025")</f>
        <v/>
      </c>
      <c r="Z114">
        <f>HYPERLINK("https://klasma.github.io/Logging_2061/knärot/A 36532-2025 karta knärot.png", "A 36532-2025")</f>
        <v/>
      </c>
      <c r="AA114">
        <f>HYPERLINK("https://klasma.github.io/Logging_2061/klagomål/A 36532-2025 FSC-klagomål.docx", "A 36532-2025")</f>
        <v/>
      </c>
      <c r="AB114">
        <f>HYPERLINK("https://klasma.github.io/Logging_2061/klagomålsmail/A 36532-2025 FSC-klagomål mail.docx", "A 36532-2025")</f>
        <v/>
      </c>
      <c r="AC114">
        <f>HYPERLINK("https://klasma.github.io/Logging_2061/tillsyn/A 36532-2025 tillsynsbegäran.docx", "A 36532-2025")</f>
        <v/>
      </c>
      <c r="AD114">
        <f>HYPERLINK("https://klasma.github.io/Logging_2061/tillsynsmail/A 36532-2025 tillsynsbegäran mail.docx", "A 36532-2025")</f>
        <v/>
      </c>
    </row>
    <row r="115" ht="15" customHeight="1">
      <c r="A115" t="inlineStr">
        <is>
          <t>A 45199-2025</t>
        </is>
      </c>
      <c r="B115" t="inlineStr">
        <is>
          <t>avverkningsanmälan</t>
        </is>
      </c>
      <c r="C115" t="inlineStr">
        <is>
          <t>Föryngringsavverkning</t>
        </is>
      </c>
      <c r="D115" s="1" t="n">
        <v>45919</v>
      </c>
      <c r="E115" s="1" t="n">
        <v>46319</v>
      </c>
      <c r="F115" t="inlineStr">
        <is>
          <t>DALARNAS LÄN</t>
        </is>
      </c>
      <c r="G115" t="inlineStr">
        <is>
          <t>MORA</t>
        </is>
      </c>
      <c r="I115" t="n">
        <v>12.1</v>
      </c>
      <c r="J115" t="n">
        <v>4</v>
      </c>
      <c r="K115" t="n">
        <v>3</v>
      </c>
      <c r="L115" t="n">
        <v>9</v>
      </c>
      <c r="M115" t="n">
        <v>3</v>
      </c>
      <c r="N115" t="n">
        <v>0</v>
      </c>
      <c r="O115" t="n">
        <v>0</v>
      </c>
      <c r="P115" t="n">
        <v>0</v>
      </c>
      <c r="Q115" t="n">
        <v>12</v>
      </c>
      <c r="R115" t="n">
        <v>3</v>
      </c>
      <c r="S115" t="n">
        <v>17</v>
      </c>
      <c r="T115" t="n">
        <v>111</v>
      </c>
      <c r="U115" t="n">
        <v>111</v>
      </c>
      <c r="V115" s="2" t="inlineStr">
        <is>
          <t>Fläckporing
Garnlav
Smalfotad taggsvamp
Dvärgbägarlav
Nordtagging
Tallticka
Talltita
Tretåig hackspett
Vaddporing
Vedskivlav
Violettgrå tagellav
Vitplätt
Dvärgtufs
Mindre märgborre
Stuplav
Spillkråka
Tjäder</t>
        </is>
      </c>
      <c r="W115">
        <f>HYPERLINK("https://klasma.github.io/Logging_2062/artfynd/A 45199-2025 artfynd.xlsx", "A 45199-2025")</f>
        <v/>
      </c>
      <c r="X115">
        <f>HYPERLINK("https://klasma.github.io/Logging_2062/kartor/A 45199-2025 karta.png", "A 45199-2025")</f>
        <v/>
      </c>
      <c r="Y115">
        <f>HYPERLINK("https://klasma.github.io/Logging_2062/kartor_geotiff/A 45199-2025 georefererad karta.tif", "A 45199-2025")</f>
        <v/>
      </c>
      <c r="AA115">
        <f>HYPERLINK("https://klasma.github.io/Logging_2062/klagomål/A 45199-2025 FSC-klagomål.docx", "A 45199-2025")</f>
        <v/>
      </c>
      <c r="AB115">
        <f>HYPERLINK("https://klasma.github.io/Logging_2062/klagomålsmail/A 45199-2025 FSC-klagomål mail.docx", "A 45199-2025")</f>
        <v/>
      </c>
      <c r="AC115">
        <f>HYPERLINK("https://klasma.github.io/Logging_2062/tillsyn/A 45199-2025 tillsynsbegäran.docx", "A 45199-2025")</f>
        <v/>
      </c>
      <c r="AD115">
        <f>HYPERLINK("https://klasma.github.io/Logging_2062/tillsynsmail/A 45199-2025 tillsynsbegäran mail.docx", "A 45199-2025")</f>
        <v/>
      </c>
      <c r="AE115">
        <f>HYPERLINK("https://klasma.github.io/Logging_2062/fåglar/A 45199-2025 prioriterade fågelarter.docx", "A 45199-2025")</f>
        <v/>
      </c>
    </row>
    <row r="116" ht="15" customHeight="1">
      <c r="A116" t="inlineStr">
        <is>
          <t>A 25692-2026</t>
        </is>
      </c>
      <c r="B116" t="inlineStr">
        <is>
          <t>avverkningsanmälan</t>
        </is>
      </c>
      <c r="C116" t="inlineStr">
        <is>
          <t>Föryngringsavverkning</t>
        </is>
      </c>
      <c r="D116" s="1" t="n">
        <v>46178</v>
      </c>
      <c r="E116" s="1" t="n">
        <v>46319</v>
      </c>
      <c r="F116" t="inlineStr">
        <is>
          <t>DALARNAS LÄN</t>
        </is>
      </c>
      <c r="G116" t="inlineStr">
        <is>
          <t>MALUNG-SÄLEN</t>
        </is>
      </c>
      <c r="H116" t="inlineStr">
        <is>
          <t>Allmännings- och besparingsskogar</t>
        </is>
      </c>
      <c r="I116" t="n">
        <v>25.9</v>
      </c>
      <c r="J116" t="n">
        <v>4</v>
      </c>
      <c r="K116" t="n">
        <v>2</v>
      </c>
      <c r="L116" t="n">
        <v>10</v>
      </c>
      <c r="M116" t="n">
        <v>2</v>
      </c>
      <c r="N116" t="n">
        <v>0</v>
      </c>
      <c r="O116" t="n">
        <v>0</v>
      </c>
      <c r="P116" t="n">
        <v>0</v>
      </c>
      <c r="Q116" t="n">
        <v>12</v>
      </c>
      <c r="R116" t="n">
        <v>2</v>
      </c>
      <c r="S116" t="n">
        <v>17</v>
      </c>
      <c r="T116" t="n">
        <v>142</v>
      </c>
      <c r="U116" t="n">
        <v>142</v>
      </c>
      <c r="V116" s="2" t="inlineStr">
        <is>
          <t>Garnlav
Laxgröppa
Blanksvart spiklav
Blågrå svartspik
Dvärgbägarlav
Kortskaftad ärgspik
Mörk kolflarnlav
Stjärntagging
Talltita
Vedflamlav
Vedskivlav
Vitgrynig nållav
Nästlav
Vedticka
Spillkråka
Tjäder
Kungsfågel</t>
        </is>
      </c>
      <c r="W116">
        <f>HYPERLINK("https://klasma.github.io/Logging_2023/artfynd/A 25692-2026 artfynd.xlsx", "A 25692-2026")</f>
        <v/>
      </c>
      <c r="X116">
        <f>HYPERLINK("https://klasma.github.io/Logging_2023/kartor/A 25692-2026 karta.png", "A 25692-2026")</f>
        <v/>
      </c>
      <c r="Y116">
        <f>HYPERLINK("https://klasma.github.io/Logging_2023/kartor_geotiff/A 25692-2026 georefererad karta.tif", "A 25692-2026")</f>
        <v/>
      </c>
      <c r="AA116">
        <f>HYPERLINK("https://klasma.github.io/Logging_2023/klagomål/A 25692-2026 FSC-klagomål.docx", "A 25692-2026")</f>
        <v/>
      </c>
      <c r="AB116">
        <f>HYPERLINK("https://klasma.github.io/Logging_2023/klagomålsmail/A 25692-2026 FSC-klagomål mail.docx", "A 25692-2026")</f>
        <v/>
      </c>
      <c r="AC116">
        <f>HYPERLINK("https://klasma.github.io/Logging_2023/tillsyn/A 25692-2026 tillsynsbegäran.docx", "A 25692-2026")</f>
        <v/>
      </c>
      <c r="AD116">
        <f>HYPERLINK("https://klasma.github.io/Logging_2023/tillsynsmail/A 25692-2026 tillsynsbegäran mail.docx", "A 25692-2026")</f>
        <v/>
      </c>
      <c r="AE116">
        <f>HYPERLINK("https://klasma.github.io/Logging_2023/fåglar/A 25692-2026 prioriterade fågelarter.docx", "A 25692-2026")</f>
        <v/>
      </c>
    </row>
    <row r="117" ht="15" customHeight="1">
      <c r="A117" t="inlineStr">
        <is>
          <t>A 41639-2025</t>
        </is>
      </c>
      <c r="B117" t="inlineStr">
        <is>
          <t>avverkningsanmälan</t>
        </is>
      </c>
      <c r="C117" t="inlineStr">
        <is>
          <t>Föryngringsavverkning</t>
        </is>
      </c>
      <c r="D117" s="1" t="n">
        <v>45901</v>
      </c>
      <c r="E117" s="1" t="n">
        <v>46319</v>
      </c>
      <c r="F117" t="inlineStr">
        <is>
          <t>DALARNAS LÄN</t>
        </is>
      </c>
      <c r="G117" t="inlineStr">
        <is>
          <t>ÄLVDALEN</t>
        </is>
      </c>
      <c r="H117" t="inlineStr">
        <is>
          <t>Övriga statliga verk och myndigheter</t>
        </is>
      </c>
      <c r="I117" t="n">
        <v>27.8</v>
      </c>
      <c r="J117" t="n">
        <v>6</v>
      </c>
      <c r="K117" t="n">
        <v>1</v>
      </c>
      <c r="L117" t="n">
        <v>10</v>
      </c>
      <c r="M117" t="n">
        <v>2</v>
      </c>
      <c r="N117" t="n">
        <v>0</v>
      </c>
      <c r="O117" t="n">
        <v>0</v>
      </c>
      <c r="P117" t="n">
        <v>0</v>
      </c>
      <c r="Q117" t="n">
        <v>12</v>
      </c>
      <c r="R117" t="n">
        <v>2</v>
      </c>
      <c r="S117" t="n">
        <v>17</v>
      </c>
      <c r="T117" t="n">
        <v>233</v>
      </c>
      <c r="U117" t="n">
        <v>213</v>
      </c>
      <c r="V117" s="2" t="inlineStr">
        <is>
          <t>Garnlav
Spadskinn
Blågrå svartspik
Dropptaggsvamp
Dvärgbägarlav
Kolflarnlav
Mörk kolflarnlav
Rödvingetrast
Tretåig hackspett
Ullticka
Vedflamlav
Vedskivlav
Mindre märgborre
Spillkråka
Tjäder
Kungsfågel
Revlummer</t>
        </is>
      </c>
      <c r="W117">
        <f>HYPERLINK("https://klasma.github.io/Logging_2039/artfynd/A 41639-2025 artfynd.xlsx", "A 41639-2025")</f>
        <v/>
      </c>
      <c r="X117">
        <f>HYPERLINK("https://klasma.github.io/Logging_2039/kartor/A 41639-2025 karta.png", "A 41639-2025")</f>
        <v/>
      </c>
      <c r="Y117">
        <f>HYPERLINK("https://klasma.github.io/Logging_2039/kartor_geotiff/A 41639-2025 georefererad karta.tif", "A 41639-2025")</f>
        <v/>
      </c>
      <c r="AA117">
        <f>HYPERLINK("https://klasma.github.io/Logging_2039/klagomål/A 41639-2025 FSC-klagomål.docx", "A 41639-2025")</f>
        <v/>
      </c>
      <c r="AB117">
        <f>HYPERLINK("https://klasma.github.io/Logging_2039/klagomålsmail/A 41639-2025 FSC-klagomål mail.docx", "A 41639-2025")</f>
        <v/>
      </c>
      <c r="AC117">
        <f>HYPERLINK("https://klasma.github.io/Logging_2039/tillsyn/A 41639-2025 tillsynsbegäran.docx", "A 41639-2025")</f>
        <v/>
      </c>
      <c r="AD117">
        <f>HYPERLINK("https://klasma.github.io/Logging_2039/tillsynsmail/A 41639-2025 tillsynsbegäran mail.docx", "A 41639-2025")</f>
        <v/>
      </c>
      <c r="AE117">
        <f>HYPERLINK("https://klasma.github.io/Logging_2039/fåglar/A 41639-2025 prioriterade fågelarter.docx", "A 41639-2025")</f>
        <v/>
      </c>
    </row>
    <row r="118" ht="15" customHeight="1">
      <c r="A118" t="inlineStr">
        <is>
          <t>A 26765-2025</t>
        </is>
      </c>
      <c r="B118" t="inlineStr">
        <is>
          <t>avverkningsanmälan</t>
        </is>
      </c>
      <c r="C118" t="inlineStr">
        <is>
          <t>Föryngringsavverkning</t>
        </is>
      </c>
      <c r="D118" s="1" t="n">
        <v>45810</v>
      </c>
      <c r="E118" s="1" t="n">
        <v>46319</v>
      </c>
      <c r="F118" t="inlineStr">
        <is>
          <t>DALARNAS LÄN</t>
        </is>
      </c>
      <c r="G118" t="inlineStr">
        <is>
          <t>ÄLVDALEN</t>
        </is>
      </c>
      <c r="H118" t="inlineStr">
        <is>
          <t>Allmännings- och besparingsskogar</t>
        </is>
      </c>
      <c r="I118" t="n">
        <v>17.5</v>
      </c>
      <c r="J118" t="n">
        <v>3</v>
      </c>
      <c r="K118" t="n">
        <v>0</v>
      </c>
      <c r="L118" t="n">
        <v>14</v>
      </c>
      <c r="M118" t="n">
        <v>1</v>
      </c>
      <c r="N118" t="n">
        <v>1</v>
      </c>
      <c r="O118" t="n">
        <v>0</v>
      </c>
      <c r="P118" t="n">
        <v>0</v>
      </c>
      <c r="Q118" t="n">
        <v>16</v>
      </c>
      <c r="R118" t="n">
        <v>2</v>
      </c>
      <c r="S118" t="n">
        <v>17</v>
      </c>
      <c r="T118" t="n">
        <v>64</v>
      </c>
      <c r="U118" t="n">
        <v>64</v>
      </c>
      <c r="V118" s="2" t="inlineStr">
        <is>
          <t>Urskogsporing
Garnlav
Blanksvart spiklav
Blågrå svartspik
Dropptaggsvamp
Knottrig blåslav
Kolflarnlav
Kortskaftad ärgspik
Lavskrika
Mörk kolflarnlav
Talltagel
Tretåig hackspett
Vaddporing
Vedflamlav
Vedskivlav
Violettgrå tagellav
Tjäder</t>
        </is>
      </c>
      <c r="W118">
        <f>HYPERLINK("https://klasma.github.io/Logging_2039/artfynd/A 26765-2025 artfynd.xlsx", "A 26765-2025")</f>
        <v/>
      </c>
      <c r="X118">
        <f>HYPERLINK("https://klasma.github.io/Logging_2039/kartor/A 26765-2025 karta.png", "A 26765-2025")</f>
        <v/>
      </c>
      <c r="Y118">
        <f>HYPERLINK("https://klasma.github.io/Logging_2039/kartor_geotiff/A 26765-2025 georefererad karta.tif", "A 26765-2025")</f>
        <v/>
      </c>
      <c r="AA118">
        <f>HYPERLINK("https://klasma.github.io/Logging_2039/klagomål/A 26765-2025 FSC-klagomål.docx", "A 26765-2025")</f>
        <v/>
      </c>
      <c r="AB118">
        <f>HYPERLINK("https://klasma.github.io/Logging_2039/klagomålsmail/A 26765-2025 FSC-klagomål mail.docx", "A 26765-2025")</f>
        <v/>
      </c>
      <c r="AC118">
        <f>HYPERLINK("https://klasma.github.io/Logging_2039/tillsyn/A 26765-2025 tillsynsbegäran.docx", "A 26765-2025")</f>
        <v/>
      </c>
      <c r="AD118">
        <f>HYPERLINK("https://klasma.github.io/Logging_2039/tillsynsmail/A 26765-2025 tillsynsbegäran mail.docx", "A 26765-2025")</f>
        <v/>
      </c>
      <c r="AE118">
        <f>HYPERLINK("https://klasma.github.io/Logging_2039/fåglar/A 26765-2025 prioriterade fågelarter.docx", "A 26765-2025")</f>
        <v/>
      </c>
    </row>
    <row r="119" ht="15" customHeight="1">
      <c r="A119" t="inlineStr">
        <is>
          <t>A 5108-2023</t>
        </is>
      </c>
      <c r="B119" t="inlineStr">
        <is>
          <t>avverkningsanmälan</t>
        </is>
      </c>
      <c r="C119" t="inlineStr">
        <is>
          <t>Föryngringsavverkning</t>
        </is>
      </c>
      <c r="D119" s="1" t="n">
        <v>44958</v>
      </c>
      <c r="E119" s="1" t="n">
        <v>46319</v>
      </c>
      <c r="F119" t="inlineStr">
        <is>
          <t>DALARNAS LÄN</t>
        </is>
      </c>
      <c r="G119" t="inlineStr">
        <is>
          <t>BORLÄNGE</t>
        </is>
      </c>
      <c r="H119" t="inlineStr">
        <is>
          <t>Bergvik skog väst AB</t>
        </is>
      </c>
      <c r="I119" t="n">
        <v>17.7</v>
      </c>
      <c r="J119" t="n">
        <v>9</v>
      </c>
      <c r="K119" t="n">
        <v>3</v>
      </c>
      <c r="L119" t="n">
        <v>7</v>
      </c>
      <c r="M119" t="n">
        <v>1</v>
      </c>
      <c r="N119" t="n">
        <v>0</v>
      </c>
      <c r="O119" t="n">
        <v>0</v>
      </c>
      <c r="P119" t="n">
        <v>0</v>
      </c>
      <c r="Q119" t="n">
        <v>8</v>
      </c>
      <c r="R119" t="n">
        <v>1</v>
      </c>
      <c r="S119" t="n">
        <v>17</v>
      </c>
      <c r="T119" t="n">
        <v>141</v>
      </c>
      <c r="U119" t="n">
        <v>141</v>
      </c>
      <c r="V119" s="2" t="inlineStr">
        <is>
          <t>Knärot
Fjällig taggsvamp s.str.
Mindre hackspett
Motaggsvamp
Rosenticka
Skarp dropptaggsvamp
Talltita
Ullticka
Mindre märgborre
Rödgul trumpetsvamp
Svavelriska
Blåsippa
Mindre flugsnappare
Spillkråka
Grönsiska
Kungsfågel
Revlummer</t>
        </is>
      </c>
      <c r="W119">
        <f>HYPERLINK("https://klasma.github.io/Logging_2081/artfynd/A 5108-2023 artfynd.xlsx", "A 5108-2023")</f>
        <v/>
      </c>
      <c r="X119">
        <f>HYPERLINK("https://klasma.github.io/Logging_2081/kartor/A 5108-2023 karta.png", "A 5108-2023")</f>
        <v/>
      </c>
      <c r="Y119">
        <f>HYPERLINK("https://klasma.github.io/Logging_2081/kartor_geotiff/A 5108-2023 georefererad karta.tif", "A 5108-2023")</f>
        <v/>
      </c>
      <c r="Z119">
        <f>HYPERLINK("https://klasma.github.io/Logging_2081/knärot/A 5108-2023 karta knärot.png", "A 5108-2023")</f>
        <v/>
      </c>
      <c r="AA119">
        <f>HYPERLINK("https://klasma.github.io/Logging_2081/klagomål/A 5108-2023 FSC-klagomål.docx", "A 5108-2023")</f>
        <v/>
      </c>
      <c r="AB119">
        <f>HYPERLINK("https://klasma.github.io/Logging_2081/klagomålsmail/A 5108-2023 FSC-klagomål mail.docx", "A 5108-2023")</f>
        <v/>
      </c>
      <c r="AC119">
        <f>HYPERLINK("https://klasma.github.io/Logging_2081/tillsyn/A 5108-2023 tillsynsbegäran.docx", "A 5108-2023")</f>
        <v/>
      </c>
      <c r="AD119">
        <f>HYPERLINK("https://klasma.github.io/Logging_2081/tillsynsmail/A 5108-2023 tillsynsbegäran mail.docx", "A 5108-2023")</f>
        <v/>
      </c>
      <c r="AE119">
        <f>HYPERLINK("https://klasma.github.io/Logging_2081/fåglar/A 5108-2023 prioriterade fågelarter.docx", "A 5108-2023")</f>
        <v/>
      </c>
    </row>
    <row r="120" ht="15" customHeight="1">
      <c r="A120" t="inlineStr">
        <is>
          <t>A 63513-2023</t>
        </is>
      </c>
      <c r="B120" t="inlineStr">
        <is>
          <t>avverkningsanmälan</t>
        </is>
      </c>
      <c r="C120" t="inlineStr">
        <is>
          <t>Avverkning för att bevara och utveckla /försöksver</t>
        </is>
      </c>
      <c r="D120" s="1" t="n">
        <v>45274</v>
      </c>
      <c r="E120" s="1" t="n">
        <v>46319</v>
      </c>
      <c r="F120" t="inlineStr">
        <is>
          <t>DALARNAS LÄN</t>
        </is>
      </c>
      <c r="G120" t="inlineStr">
        <is>
          <t>LEKSAND</t>
        </is>
      </c>
      <c r="I120" t="n">
        <v>2.3</v>
      </c>
      <c r="J120" t="n">
        <v>17</v>
      </c>
      <c r="K120" t="n">
        <v>0</v>
      </c>
      <c r="L120" t="n">
        <v>9</v>
      </c>
      <c r="M120" t="n">
        <v>1</v>
      </c>
      <c r="N120" t="n">
        <v>1</v>
      </c>
      <c r="O120" t="n">
        <v>0</v>
      </c>
      <c r="P120" t="n">
        <v>0</v>
      </c>
      <c r="Q120" t="n">
        <v>11</v>
      </c>
      <c r="R120" t="n">
        <v>2</v>
      </c>
      <c r="S120" t="n">
        <v>17</v>
      </c>
      <c r="T120" t="n">
        <v>19</v>
      </c>
      <c r="U120" t="n">
        <v>4</v>
      </c>
      <c r="V120" s="2" t="inlineStr">
        <is>
          <t>Storspov
Gråtrut
Bläsand
Entita
Grönsångare
Kricka
Mindre hackspett
Skrattmås
Strandskata
Sädesärla
Talltita
Fiskgjuse
Havsörn
Kungsfågel
Svartvit flugsnappare
Sångsvan
Trana</t>
        </is>
      </c>
      <c r="W120">
        <f>HYPERLINK("https://klasma.github.io/Logging_2029/artfynd/A 63513-2023 artfynd.xlsx", "A 63513-2023")</f>
        <v/>
      </c>
      <c r="X120">
        <f>HYPERLINK("https://klasma.github.io/Logging_2029/kartor/A 63513-2023 karta.png", "A 63513-2023")</f>
        <v/>
      </c>
      <c r="Y120">
        <f>HYPERLINK("https://klasma.github.io/Logging_2029/kartor_geotiff/A 63513-2023 georefererad karta.tif", "A 63513-2023")</f>
        <v/>
      </c>
      <c r="AA120">
        <f>HYPERLINK("https://klasma.github.io/Logging_2029/klagomål/A 63513-2023 FSC-klagomål.docx", "A 63513-2023")</f>
        <v/>
      </c>
      <c r="AB120">
        <f>HYPERLINK("https://klasma.github.io/Logging_2029/klagomålsmail/A 63513-2023 FSC-klagomål mail.docx", "A 63513-2023")</f>
        <v/>
      </c>
      <c r="AC120">
        <f>HYPERLINK("https://klasma.github.io/Logging_2029/tillsyn/A 63513-2023 tillsynsbegäran.docx", "A 63513-2023")</f>
        <v/>
      </c>
      <c r="AD120">
        <f>HYPERLINK("https://klasma.github.io/Logging_2029/tillsynsmail/A 63513-2023 tillsynsbegäran mail.docx", "A 63513-2023")</f>
        <v/>
      </c>
      <c r="AE120">
        <f>HYPERLINK("https://klasma.github.io/Logging_2029/fåglar/A 63513-2023 prioriterade fågelarter.docx", "A 63513-2023")</f>
        <v/>
      </c>
    </row>
    <row r="121" ht="15" customHeight="1">
      <c r="A121" t="inlineStr">
        <is>
          <t>A 30105-2026</t>
        </is>
      </c>
      <c r="B121" t="inlineStr">
        <is>
          <t>avverkningsanmälan</t>
        </is>
      </c>
      <c r="C121" t="inlineStr">
        <is>
          <t>Föryngringsavverkning</t>
        </is>
      </c>
      <c r="D121" s="1" t="n">
        <v>46206</v>
      </c>
      <c r="E121" s="1" t="n">
        <v>46319</v>
      </c>
      <c r="F121" t="inlineStr">
        <is>
          <t>DALARNAS LÄN</t>
        </is>
      </c>
      <c r="G121" t="inlineStr">
        <is>
          <t>ÄLVDALEN</t>
        </is>
      </c>
      <c r="H121" t="inlineStr">
        <is>
          <t>Sveaskog</t>
        </is>
      </c>
      <c r="I121" t="n">
        <v>3.1</v>
      </c>
      <c r="J121" t="n">
        <v>3</v>
      </c>
      <c r="K121" t="n">
        <v>1</v>
      </c>
      <c r="L121" t="n">
        <v>13</v>
      </c>
      <c r="M121" t="n">
        <v>1</v>
      </c>
      <c r="N121" t="n">
        <v>0</v>
      </c>
      <c r="O121" t="n">
        <v>0</v>
      </c>
      <c r="P121" t="n">
        <v>0</v>
      </c>
      <c r="Q121" t="n">
        <v>14</v>
      </c>
      <c r="R121" t="n">
        <v>1</v>
      </c>
      <c r="S121" t="n">
        <v>16</v>
      </c>
      <c r="T121" t="n">
        <v>53</v>
      </c>
      <c r="U121" t="n">
        <v>50</v>
      </c>
      <c r="V121" s="2" t="inlineStr">
        <is>
          <t>Garnlav
Blanksvart spiklav
Blågrå svartspik
Dvärgbägarlav
Kolflarnlav
Kortskaftad ärgspik
Mörk kolflarnlav
Nordtagging
Rödbrun blekspik
Tretåig hackspett
Varglav
Vedflamlav
Vedskivlav
Vitgrynig nållav
Nästlav
Spillkråka</t>
        </is>
      </c>
      <c r="W121">
        <f>HYPERLINK("https://klasma.github.io/Logging_2039/artfynd/A 30105-2026 artfynd.xlsx", "A 30105-2026")</f>
        <v/>
      </c>
      <c r="X121">
        <f>HYPERLINK("https://klasma.github.io/Logging_2039/kartor/A 30105-2026 karta.png", "A 30105-2026")</f>
        <v/>
      </c>
      <c r="Y121">
        <f>HYPERLINK("https://klasma.github.io/Logging_2039/kartor_geotiff/A 30105-2026 georefererad karta.tif", "A 30105-2026")</f>
        <v/>
      </c>
      <c r="AA121">
        <f>HYPERLINK("https://klasma.github.io/Logging_2039/klagomål/A 30105-2026 FSC-klagomål.docx", "A 30105-2026")</f>
        <v/>
      </c>
      <c r="AB121">
        <f>HYPERLINK("https://klasma.github.io/Logging_2039/klagomålsmail/A 30105-2026 FSC-klagomål mail.docx", "A 30105-2026")</f>
        <v/>
      </c>
      <c r="AC121">
        <f>HYPERLINK("https://klasma.github.io/Logging_2039/tillsyn/A 30105-2026 tillsynsbegäran.docx", "A 30105-2026")</f>
        <v/>
      </c>
      <c r="AD121">
        <f>HYPERLINK("https://klasma.github.io/Logging_2039/tillsynsmail/A 30105-2026 tillsynsbegäran mail.docx", "A 30105-2026")</f>
        <v/>
      </c>
      <c r="AE121">
        <f>HYPERLINK("https://klasma.github.io/Logging_2039/fåglar/A 30105-2026 prioriterade fågelarter.docx", "A 30105-2026")</f>
        <v/>
      </c>
    </row>
    <row r="122" ht="15" customHeight="1">
      <c r="A122" t="inlineStr">
        <is>
          <t>A 55899-2023</t>
        </is>
      </c>
      <c r="B122" t="inlineStr">
        <is>
          <t>avverkningsanmälan</t>
        </is>
      </c>
      <c r="C122" t="inlineStr">
        <is>
          <t>Föryngringsavverkning</t>
        </is>
      </c>
      <c r="D122" s="1" t="n">
        <v>45239</v>
      </c>
      <c r="E122" s="1" t="n">
        <v>46319</v>
      </c>
      <c r="F122" t="inlineStr">
        <is>
          <t>DALARNAS LÄN</t>
        </is>
      </c>
      <c r="G122" t="inlineStr">
        <is>
          <t>HEDEMORA</t>
        </is>
      </c>
      <c r="I122" t="n">
        <v>6.9</v>
      </c>
      <c r="J122" t="n">
        <v>5</v>
      </c>
      <c r="K122" t="n">
        <v>4</v>
      </c>
      <c r="L122" t="n">
        <v>7</v>
      </c>
      <c r="M122" t="n">
        <v>2</v>
      </c>
      <c r="N122" t="n">
        <v>0</v>
      </c>
      <c r="O122" t="n">
        <v>0</v>
      </c>
      <c r="P122" t="n">
        <v>0</v>
      </c>
      <c r="Q122" t="n">
        <v>9</v>
      </c>
      <c r="R122" t="n">
        <v>2</v>
      </c>
      <c r="S122" t="n">
        <v>16</v>
      </c>
      <c r="T122" t="n">
        <v>71</v>
      </c>
      <c r="U122" t="n">
        <v>20</v>
      </c>
      <c r="V122" s="2" t="inlineStr">
        <is>
          <t>Garnlav
Knärot
Dropptaggsvamp
Kattfotslav
Stjärntagging
Tallticka
Tretåig hackspett
Ullticka
Vedtrappmossa
Bollvitmossa
Bronshjon
Vedticka
Vågbandad barkbock
Spillkråka
Tjäder
Revlummer</t>
        </is>
      </c>
      <c r="W122">
        <f>HYPERLINK("https://klasma.github.io/Logging_2083/artfynd/A 55899-2023 artfynd.xlsx", "A 55899-2023")</f>
        <v/>
      </c>
      <c r="X122">
        <f>HYPERLINK("https://klasma.github.io/Logging_2083/kartor/A 55899-2023 karta.png", "A 55899-2023")</f>
        <v/>
      </c>
      <c r="Y122">
        <f>HYPERLINK("https://klasma.github.io/Logging_2083/kartor_geotiff/A 55899-2023 georefererad karta.tif", "A 55899-2023")</f>
        <v/>
      </c>
      <c r="Z122">
        <f>HYPERLINK("https://klasma.github.io/Logging_2083/knärot/A 55899-2023 karta knärot.png", "A 55899-2023")</f>
        <v/>
      </c>
      <c r="AA122">
        <f>HYPERLINK("https://klasma.github.io/Logging_2083/klagomål/A 55899-2023 FSC-klagomål.docx", "A 55899-2023")</f>
        <v/>
      </c>
      <c r="AB122">
        <f>HYPERLINK("https://klasma.github.io/Logging_2083/klagomålsmail/A 55899-2023 FSC-klagomål mail.docx", "A 55899-2023")</f>
        <v/>
      </c>
      <c r="AC122">
        <f>HYPERLINK("https://klasma.github.io/Logging_2083/tillsyn/A 55899-2023 tillsynsbegäran.docx", "A 55899-2023")</f>
        <v/>
      </c>
      <c r="AD122">
        <f>HYPERLINK("https://klasma.github.io/Logging_2083/tillsynsmail/A 55899-2023 tillsynsbegäran mail.docx", "A 55899-2023")</f>
        <v/>
      </c>
      <c r="AE122">
        <f>HYPERLINK("https://klasma.github.io/Logging_2083/fåglar/A 55899-2023 prioriterade fågelarter.docx", "A 55899-2023")</f>
        <v/>
      </c>
    </row>
    <row r="123" ht="15" customHeight="1">
      <c r="A123" t="inlineStr">
        <is>
          <t>A 30284-2024</t>
        </is>
      </c>
      <c r="B123" t="inlineStr">
        <is>
          <t>avverkningsanmälan</t>
        </is>
      </c>
      <c r="C123" t="inlineStr">
        <is>
          <t>Föryngringsavverkning</t>
        </is>
      </c>
      <c r="D123" s="1" t="n">
        <v>45490</v>
      </c>
      <c r="E123" s="1" t="n">
        <v>46319</v>
      </c>
      <c r="F123" t="inlineStr">
        <is>
          <t>DALARNAS LÄN</t>
        </is>
      </c>
      <c r="G123" t="inlineStr">
        <is>
          <t>ORSA</t>
        </is>
      </c>
      <c r="I123" t="n">
        <v>2.5</v>
      </c>
      <c r="J123" t="n">
        <v>1</v>
      </c>
      <c r="K123" t="n">
        <v>1</v>
      </c>
      <c r="L123" t="n">
        <v>9</v>
      </c>
      <c r="M123" t="n">
        <v>5</v>
      </c>
      <c r="N123" t="n">
        <v>0</v>
      </c>
      <c r="O123" t="n">
        <v>0</v>
      </c>
      <c r="P123" t="n">
        <v>0</v>
      </c>
      <c r="Q123" t="n">
        <v>14</v>
      </c>
      <c r="R123" t="n">
        <v>5</v>
      </c>
      <c r="S123" t="n">
        <v>16</v>
      </c>
      <c r="T123" t="n">
        <v>79</v>
      </c>
      <c r="U123" t="n">
        <v>73</v>
      </c>
      <c r="V123" s="2" t="inlineStr">
        <is>
          <t>Garnlav
Lammticka
Rotfingersvamp
Skrovlig taggsvamp
Tallgråticka
Backstarr
Dropptaggsvamp
Grantaggsvamp
Mjölsvärting
Motaggsvamp
Orange taggsvamp
Tallfingersvamp
Talltaggsvamp
Vedskivlav
Mindre märgborre
Spillkråka</t>
        </is>
      </c>
      <c r="W123">
        <f>HYPERLINK("https://klasma.github.io/Logging_2034/artfynd/A 30284-2024 artfynd.xlsx", "A 30284-2024")</f>
        <v/>
      </c>
      <c r="X123">
        <f>HYPERLINK("https://klasma.github.io/Logging_2034/kartor/A 30284-2024 karta.png", "A 30284-2024")</f>
        <v/>
      </c>
      <c r="Y123">
        <f>HYPERLINK("https://klasma.github.io/Logging_2034/kartor_geotiff/A 30284-2024 georefererad karta.tif", "A 30284-2024")</f>
        <v/>
      </c>
      <c r="AA123">
        <f>HYPERLINK("https://klasma.github.io/Logging_2034/klagomål/A 30284-2024 FSC-klagomål.docx", "A 30284-2024")</f>
        <v/>
      </c>
      <c r="AB123">
        <f>HYPERLINK("https://klasma.github.io/Logging_2034/klagomålsmail/A 30284-2024 FSC-klagomål mail.docx", "A 30284-2024")</f>
        <v/>
      </c>
      <c r="AC123">
        <f>HYPERLINK("https://klasma.github.io/Logging_2034/tillsyn/A 30284-2024 tillsynsbegäran.docx", "A 30284-2024")</f>
        <v/>
      </c>
      <c r="AD123">
        <f>HYPERLINK("https://klasma.github.io/Logging_2034/tillsynsmail/A 30284-2024 tillsynsbegäran mail.docx", "A 30284-2024")</f>
        <v/>
      </c>
      <c r="AE123">
        <f>HYPERLINK("https://klasma.github.io/Logging_2034/fåglar/A 30284-2024 prioriterade fågelarter.docx", "A 30284-2024")</f>
        <v/>
      </c>
    </row>
    <row r="124" ht="15" customHeight="1">
      <c r="A124" t="inlineStr">
        <is>
          <t>A 56932-2024</t>
        </is>
      </c>
      <c r="B124" t="inlineStr">
        <is>
          <t>avverkningsanmälan</t>
        </is>
      </c>
      <c r="C124" t="inlineStr">
        <is>
          <t>Avverkning för att bevara och utveckla /försöksver</t>
        </is>
      </c>
      <c r="D124" s="1" t="n">
        <v>45628</v>
      </c>
      <c r="E124" s="1" t="n">
        <v>46319</v>
      </c>
      <c r="F124" t="inlineStr">
        <is>
          <t>DALARNAS LÄN</t>
        </is>
      </c>
      <c r="G124" t="inlineStr">
        <is>
          <t>HEDEMORA</t>
        </is>
      </c>
      <c r="H124" t="inlineStr">
        <is>
          <t>Sveaskog</t>
        </is>
      </c>
      <c r="I124" t="n">
        <v>5</v>
      </c>
      <c r="J124" t="n">
        <v>3</v>
      </c>
      <c r="K124" t="n">
        <v>4</v>
      </c>
      <c r="L124" t="n">
        <v>6</v>
      </c>
      <c r="M124" t="n">
        <v>2</v>
      </c>
      <c r="N124" t="n">
        <v>2</v>
      </c>
      <c r="O124" t="n">
        <v>0</v>
      </c>
      <c r="P124" t="n">
        <v>0</v>
      </c>
      <c r="Q124" t="n">
        <v>10</v>
      </c>
      <c r="R124" t="n">
        <v>4</v>
      </c>
      <c r="S124" t="n">
        <v>16</v>
      </c>
      <c r="T124" t="n">
        <v>24</v>
      </c>
      <c r="U124" t="n">
        <v>22</v>
      </c>
      <c r="V124" s="2" t="inlineStr">
        <is>
          <t>Ask
Bitter taggsvamp
Knärot
Ostticka
Hängticka
Kandelabersvamp
Kötticka
Rosenticka
Rynkskinn
Ullticka
Bronshjon
Svavelriska
Tibast
Vedticka
Blåsippa
Spillkråka</t>
        </is>
      </c>
      <c r="W124">
        <f>HYPERLINK("https://klasma.github.io/Logging_2083/artfynd/A 56932-2024 artfynd.xlsx", "A 56932-2024")</f>
        <v/>
      </c>
      <c r="X124">
        <f>HYPERLINK("https://klasma.github.io/Logging_2083/kartor/A 56932-2024 karta.png", "A 56932-2024")</f>
        <v/>
      </c>
      <c r="Y124">
        <f>HYPERLINK("https://klasma.github.io/Logging_2083/kartor_geotiff/A 56932-2024 georefererad karta.tif", "A 56932-2024")</f>
        <v/>
      </c>
      <c r="Z124">
        <f>HYPERLINK("https://klasma.github.io/Logging_2083/knärot/A 56932-2024 karta knärot.png", "A 56932-2024")</f>
        <v/>
      </c>
      <c r="AA124">
        <f>HYPERLINK("https://klasma.github.io/Logging_2083/klagomål/A 56932-2024 FSC-klagomål.docx", "A 56932-2024")</f>
        <v/>
      </c>
      <c r="AB124">
        <f>HYPERLINK("https://klasma.github.io/Logging_2083/klagomålsmail/A 56932-2024 FSC-klagomål mail.docx", "A 56932-2024")</f>
        <v/>
      </c>
      <c r="AC124">
        <f>HYPERLINK("https://klasma.github.io/Logging_2083/tillsyn/A 56932-2024 tillsynsbegäran.docx", "A 56932-2024")</f>
        <v/>
      </c>
      <c r="AD124">
        <f>HYPERLINK("https://klasma.github.io/Logging_2083/tillsynsmail/A 56932-2024 tillsynsbegäran mail.docx", "A 56932-2024")</f>
        <v/>
      </c>
      <c r="AE124">
        <f>HYPERLINK("https://klasma.github.io/Logging_2083/fåglar/A 56932-2024 prioriterade fågelarter.docx", "A 56932-2024")</f>
        <v/>
      </c>
    </row>
    <row r="125" ht="15" customHeight="1">
      <c r="A125" t="inlineStr">
        <is>
          <t>A 42681-2025</t>
        </is>
      </c>
      <c r="B125" t="inlineStr">
        <is>
          <t>avverkningsanmälan</t>
        </is>
      </c>
      <c r="C125" t="inlineStr">
        <is>
          <t>Föryngringsavverkning</t>
        </is>
      </c>
      <c r="D125" s="1" t="n">
        <v>45908</v>
      </c>
      <c r="E125" s="1" t="n">
        <v>46319</v>
      </c>
      <c r="F125" t="inlineStr">
        <is>
          <t>DALARNAS LÄN</t>
        </is>
      </c>
      <c r="G125" t="inlineStr">
        <is>
          <t>GAGNEF</t>
        </is>
      </c>
      <c r="I125" t="n">
        <v>10</v>
      </c>
      <c r="J125" t="n">
        <v>3</v>
      </c>
      <c r="K125" t="n">
        <v>7</v>
      </c>
      <c r="L125" t="n">
        <v>5</v>
      </c>
      <c r="M125" t="n">
        <v>3</v>
      </c>
      <c r="N125" t="n">
        <v>0</v>
      </c>
      <c r="O125" t="n">
        <v>0</v>
      </c>
      <c r="P125" t="n">
        <v>0</v>
      </c>
      <c r="Q125" t="n">
        <v>8</v>
      </c>
      <c r="R125" t="n">
        <v>3</v>
      </c>
      <c r="S125" t="n">
        <v>16</v>
      </c>
      <c r="T125" t="n">
        <v>29</v>
      </c>
      <c r="U125" t="n">
        <v>25</v>
      </c>
      <c r="V125" s="2" t="inlineStr">
        <is>
          <t>Garnlav
Silverblåvinge
Violett fingersvamp
Doftskinn
Månlåsbräken
Stjärntagging
Talltita
Tretåig hackspett
Gulvaxing
Korallblylav
Maskfingersvamp
Skinnlav
Stuplav
Vedticka
Ängsvaxing agg.
Spillkråka</t>
        </is>
      </c>
      <c r="W125">
        <f>HYPERLINK("https://klasma.github.io/Logging_2026/artfynd/A 42681-2025 artfynd.xlsx", "A 42681-2025")</f>
        <v/>
      </c>
      <c r="X125">
        <f>HYPERLINK("https://klasma.github.io/Logging_2026/kartor/A 42681-2025 karta.png", "A 42681-2025")</f>
        <v/>
      </c>
      <c r="Y125">
        <f>HYPERLINK("https://klasma.github.io/Logging_2026/kartor_geotiff/A 42681-2025 georefererad karta.tif", "A 42681-2025")</f>
        <v/>
      </c>
      <c r="AA125">
        <f>HYPERLINK("https://klasma.github.io/Logging_2026/klagomål/A 42681-2025 FSC-klagomål.docx", "A 42681-2025")</f>
        <v/>
      </c>
      <c r="AB125">
        <f>HYPERLINK("https://klasma.github.io/Logging_2026/klagomålsmail/A 42681-2025 FSC-klagomål mail.docx", "A 42681-2025")</f>
        <v/>
      </c>
      <c r="AC125">
        <f>HYPERLINK("https://klasma.github.io/Logging_2026/tillsyn/A 42681-2025 tillsynsbegäran.docx", "A 42681-2025")</f>
        <v/>
      </c>
      <c r="AD125">
        <f>HYPERLINK("https://klasma.github.io/Logging_2026/tillsynsmail/A 42681-2025 tillsynsbegäran mail.docx", "A 42681-2025")</f>
        <v/>
      </c>
      <c r="AE125">
        <f>HYPERLINK("https://klasma.github.io/Logging_2026/fåglar/A 42681-2025 prioriterade fågelarter.docx", "A 42681-2025")</f>
        <v/>
      </c>
    </row>
    <row r="126" ht="15" customHeight="1">
      <c r="A126" t="inlineStr">
        <is>
          <t>A 39072-2026</t>
        </is>
      </c>
      <c r="B126" t="inlineStr">
        <is>
          <t>avverkningsanmälan</t>
        </is>
      </c>
      <c r="C126" t="inlineStr">
        <is>
          <t>Föryngringsavverkning</t>
        </is>
      </c>
      <c r="D126" s="1" t="n">
        <v>46287</v>
      </c>
      <c r="E126" s="1" t="n">
        <v>46319</v>
      </c>
      <c r="F126" t="inlineStr">
        <is>
          <t>DALARNAS LÄN</t>
        </is>
      </c>
      <c r="G126" t="inlineStr">
        <is>
          <t>MORA</t>
        </is>
      </c>
      <c r="I126" t="n">
        <v>16.3</v>
      </c>
      <c r="J126" t="n">
        <v>5</v>
      </c>
      <c r="K126" t="n">
        <v>6</v>
      </c>
      <c r="L126" t="n">
        <v>5</v>
      </c>
      <c r="M126" t="n">
        <v>2</v>
      </c>
      <c r="N126" t="n">
        <v>0</v>
      </c>
      <c r="O126" t="n">
        <v>0</v>
      </c>
      <c r="P126" t="n">
        <v>0</v>
      </c>
      <c r="Q126" t="n">
        <v>7</v>
      </c>
      <c r="R126" t="n">
        <v>2</v>
      </c>
      <c r="S126" t="n">
        <v>16</v>
      </c>
      <c r="T126" t="n">
        <v>83</v>
      </c>
      <c r="U126" t="n">
        <v>0</v>
      </c>
      <c r="V126" s="2" t="inlineStr">
        <is>
          <t>Garnlav
Knärot
Dvärgbägarlav
Stjärntagging
Tretåig hackspett
Ullticka
Violettgrå tagellav
Bronshjon
Mindre märgborre
Mörk husmossa
Skogshakmossa
Thomsons trägnagare
Vedticka
Spillkråka
Tjäder
Kungsfågel</t>
        </is>
      </c>
      <c r="W126">
        <f>HYPERLINK("https://klasma.github.io/Logging_2062/artfynd/A 39072-2026 artfynd.xlsx", "A 39072-2026")</f>
        <v/>
      </c>
      <c r="X126">
        <f>HYPERLINK("https://klasma.github.io/Logging_2062/kartor/A 39072-2026 karta.png", "A 39072-2026")</f>
        <v/>
      </c>
      <c r="Y126">
        <f>HYPERLINK("https://klasma.github.io/Logging_2062/kartor_geotiff/A 39072-2026 georefererad karta.tif", "A 39072-2026")</f>
        <v/>
      </c>
      <c r="Z126">
        <f>HYPERLINK("https://klasma.github.io/Logging_2062/knärot/A 39072-2026 karta knärot.png", "A 39072-2026")</f>
        <v/>
      </c>
      <c r="AA126">
        <f>HYPERLINK("https://klasma.github.io/Logging_2062/klagomål/A 39072-2026 FSC-klagomål.docx", "A 39072-2026")</f>
        <v/>
      </c>
      <c r="AB126">
        <f>HYPERLINK("https://klasma.github.io/Logging_2062/klagomålsmail/A 39072-2026 FSC-klagomål mail.docx", "A 39072-2026")</f>
        <v/>
      </c>
      <c r="AC126">
        <f>HYPERLINK("https://klasma.github.io/Logging_2062/tillsyn/A 39072-2026 tillsynsbegäran.docx", "A 39072-2026")</f>
        <v/>
      </c>
      <c r="AD126">
        <f>HYPERLINK("https://klasma.github.io/Logging_2062/tillsynsmail/A 39072-2026 tillsynsbegäran mail.docx", "A 39072-2026")</f>
        <v/>
      </c>
      <c r="AE126">
        <f>HYPERLINK("https://klasma.github.io/Logging_2062/fåglar/A 39072-2026 prioriterade fågelarter.docx", "A 39072-2026")</f>
        <v/>
      </c>
    </row>
    <row r="127" ht="15" customHeight="1">
      <c r="A127" t="inlineStr">
        <is>
          <t>A 33301-2026</t>
        </is>
      </c>
      <c r="B127" t="inlineStr">
        <is>
          <t>avverkningsanmälan</t>
        </is>
      </c>
      <c r="C127" t="inlineStr">
        <is>
          <t>Föryngringsavverkning</t>
        </is>
      </c>
      <c r="D127" s="1" t="n">
        <v>46246</v>
      </c>
      <c r="E127" s="1" t="n">
        <v>46319</v>
      </c>
      <c r="F127" t="inlineStr">
        <is>
          <t>DALARNAS LÄN</t>
        </is>
      </c>
      <c r="G127" t="inlineStr">
        <is>
          <t>MORA</t>
        </is>
      </c>
      <c r="I127" t="n">
        <v>14.9</v>
      </c>
      <c r="J127" t="n">
        <v>4</v>
      </c>
      <c r="K127" t="n">
        <v>2</v>
      </c>
      <c r="L127" t="n">
        <v>10</v>
      </c>
      <c r="M127" t="n">
        <v>1</v>
      </c>
      <c r="N127" t="n">
        <v>0</v>
      </c>
      <c r="O127" t="n">
        <v>0</v>
      </c>
      <c r="P127" t="n">
        <v>0</v>
      </c>
      <c r="Q127" t="n">
        <v>11</v>
      </c>
      <c r="R127" t="n">
        <v>1</v>
      </c>
      <c r="S127" t="n">
        <v>16</v>
      </c>
      <c r="T127" t="n">
        <v>112</v>
      </c>
      <c r="U127" t="n">
        <v>112</v>
      </c>
      <c r="V127" s="2" t="inlineStr">
        <is>
          <t>Garnlav
Dvärgbägarlav
Kolflarnlav
Kortskaftad ärgspik
Mörk kolflarnlav
Skogshare
Tallticka
Tretåig hackspett
Vedflamlav
Vedskivlav
Violettgrå tagellav
Mindre märgborre
Skinnlav
Bergfink
Spillkråka
Tjäder</t>
        </is>
      </c>
      <c r="W127">
        <f>HYPERLINK("https://klasma.github.io/Logging_2062/artfynd/A 33301-2026 artfynd.xlsx", "A 33301-2026")</f>
        <v/>
      </c>
      <c r="X127">
        <f>HYPERLINK("https://klasma.github.io/Logging_2062/kartor/A 33301-2026 karta.png", "A 33301-2026")</f>
        <v/>
      </c>
      <c r="Y127">
        <f>HYPERLINK("https://klasma.github.io/Logging_2062/kartor_geotiff/A 33301-2026 georefererad karta.tif", "A 33301-2026")</f>
        <v/>
      </c>
      <c r="AA127">
        <f>HYPERLINK("https://klasma.github.io/Logging_2062/klagomål/A 33301-2026 FSC-klagomål.docx", "A 33301-2026")</f>
        <v/>
      </c>
      <c r="AB127">
        <f>HYPERLINK("https://klasma.github.io/Logging_2062/klagomålsmail/A 33301-2026 FSC-klagomål mail.docx", "A 33301-2026")</f>
        <v/>
      </c>
      <c r="AC127">
        <f>HYPERLINK("https://klasma.github.io/Logging_2062/tillsyn/A 33301-2026 tillsynsbegäran.docx", "A 33301-2026")</f>
        <v/>
      </c>
      <c r="AD127">
        <f>HYPERLINK("https://klasma.github.io/Logging_2062/tillsynsmail/A 33301-2026 tillsynsbegäran mail.docx", "A 33301-2026")</f>
        <v/>
      </c>
      <c r="AE127">
        <f>HYPERLINK("https://klasma.github.io/Logging_2062/fåglar/A 33301-2026 prioriterade fågelarter.docx", "A 33301-2026")</f>
        <v/>
      </c>
    </row>
    <row r="128" ht="15" customHeight="1">
      <c r="A128" t="inlineStr">
        <is>
          <t>A 32722-2024</t>
        </is>
      </c>
      <c r="B128" t="inlineStr">
        <is>
          <t>avverkningsanmälan</t>
        </is>
      </c>
      <c r="C128" t="inlineStr">
        <is>
          <t>Föryngringsavverkning</t>
        </is>
      </c>
      <c r="D128" s="1" t="n">
        <v>45516</v>
      </c>
      <c r="E128" s="1" t="n">
        <v>46319</v>
      </c>
      <c r="F128" t="inlineStr">
        <is>
          <t>DALARNAS LÄN</t>
        </is>
      </c>
      <c r="G128" t="inlineStr">
        <is>
          <t>FALUN</t>
        </is>
      </c>
      <c r="H128" t="inlineStr">
        <is>
          <t>Bergvik skog väst AB</t>
        </is>
      </c>
      <c r="I128" t="n">
        <v>3.1</v>
      </c>
      <c r="J128" t="n">
        <v>5</v>
      </c>
      <c r="K128" t="n">
        <v>5</v>
      </c>
      <c r="L128" t="n">
        <v>7</v>
      </c>
      <c r="M128" t="n">
        <v>1</v>
      </c>
      <c r="N128" t="n">
        <v>0</v>
      </c>
      <c r="O128" t="n">
        <v>0</v>
      </c>
      <c r="P128" t="n">
        <v>0</v>
      </c>
      <c r="Q128" t="n">
        <v>8</v>
      </c>
      <c r="R128" t="n">
        <v>1</v>
      </c>
      <c r="S128" t="n">
        <v>16</v>
      </c>
      <c r="T128" t="n">
        <v>44</v>
      </c>
      <c r="U128" t="n">
        <v>44</v>
      </c>
      <c r="V128" s="2" t="inlineStr">
        <is>
          <t>Knärot
Dofttaggsvamp
Dropptaggsvamp
Motaggsvamp
Rynkskinn
Sotvaxskivling
Tretåig hackspett
Ullticka
Bronshjon
Rödgul trumpetsvamp
Svavelriska
Thomsons trägnagare
Vågbandad barkbock
Järpe
Spillkråka
Nattviol</t>
        </is>
      </c>
      <c r="W128">
        <f>HYPERLINK("https://klasma.github.io/Logging_2080/artfynd/A 32722-2024 artfynd.xlsx", "A 32722-2024")</f>
        <v/>
      </c>
      <c r="X128">
        <f>HYPERLINK("https://klasma.github.io/Logging_2080/kartor/A 32722-2024 karta.png", "A 32722-2024")</f>
        <v/>
      </c>
      <c r="Y128">
        <f>HYPERLINK("https://klasma.github.io/Logging_2080/kartor_geotiff/A 32722-2024 georefererad karta.tif", "A 32722-2024")</f>
        <v/>
      </c>
      <c r="Z128">
        <f>HYPERLINK("https://klasma.github.io/Logging_2080/knärot/A 32722-2024 karta knärot.png", "A 32722-2024")</f>
        <v/>
      </c>
      <c r="AA128">
        <f>HYPERLINK("https://klasma.github.io/Logging_2080/klagomål/A 32722-2024 FSC-klagomål.docx", "A 32722-2024")</f>
        <v/>
      </c>
      <c r="AB128">
        <f>HYPERLINK("https://klasma.github.io/Logging_2080/klagomålsmail/A 32722-2024 FSC-klagomål mail.docx", "A 32722-2024")</f>
        <v/>
      </c>
      <c r="AC128">
        <f>HYPERLINK("https://klasma.github.io/Logging_2080/tillsyn/A 32722-2024 tillsynsbegäran.docx", "A 32722-2024")</f>
        <v/>
      </c>
      <c r="AD128">
        <f>HYPERLINK("https://klasma.github.io/Logging_2080/tillsynsmail/A 32722-2024 tillsynsbegäran mail.docx", "A 32722-2024")</f>
        <v/>
      </c>
      <c r="AE128">
        <f>HYPERLINK("https://klasma.github.io/Logging_2080/fåglar/A 32722-2024 prioriterade fågelarter.docx", "A 32722-2024")</f>
        <v/>
      </c>
    </row>
    <row r="129" ht="15" customHeight="1">
      <c r="A129" t="inlineStr">
        <is>
          <t>A 33564-2026</t>
        </is>
      </c>
      <c r="B129" t="inlineStr">
        <is>
          <t>avverkningsanmälan</t>
        </is>
      </c>
      <c r="C129" t="inlineStr">
        <is>
          <t>Föryngringsavverkning</t>
        </is>
      </c>
      <c r="D129" s="1" t="n">
        <v>46248</v>
      </c>
      <c r="E129" s="1" t="n">
        <v>46319</v>
      </c>
      <c r="F129" t="inlineStr">
        <is>
          <t>DALARNAS LÄN</t>
        </is>
      </c>
      <c r="G129" t="inlineStr">
        <is>
          <t>MORA</t>
        </is>
      </c>
      <c r="H129" t="inlineStr">
        <is>
          <t>Bergvik skog öst AB</t>
        </is>
      </c>
      <c r="I129" t="n">
        <v>17.2</v>
      </c>
      <c r="J129" t="n">
        <v>5</v>
      </c>
      <c r="K129" t="n">
        <v>1</v>
      </c>
      <c r="L129" t="n">
        <v>9</v>
      </c>
      <c r="M129" t="n">
        <v>3</v>
      </c>
      <c r="N129" t="n">
        <v>0</v>
      </c>
      <c r="O129" t="n">
        <v>0</v>
      </c>
      <c r="P129" t="n">
        <v>0</v>
      </c>
      <c r="Q129" t="n">
        <v>12</v>
      </c>
      <c r="R129" t="n">
        <v>3</v>
      </c>
      <c r="S129" t="n">
        <v>16</v>
      </c>
      <c r="T129" t="n">
        <v>40</v>
      </c>
      <c r="U129" t="n">
        <v>28</v>
      </c>
      <c r="V129" s="2" t="inlineStr">
        <is>
          <t>Garnlav
Gräddporing
Knärot
Blanksvart spiklav
Dropptaggsvamp
Dvärgbägarlav
Kolflarnlav
Mörk kolflarnlav
Tallticka
Talltita
Vedskivlav
Violettgrå tagellav
Mindre märgborre
Bergfink
Spillkråka
Tjäder</t>
        </is>
      </c>
      <c r="W129">
        <f>HYPERLINK("https://klasma.github.io/Logging_2062/artfynd/A 33564-2026 artfynd.xlsx", "A 33564-2026")</f>
        <v/>
      </c>
      <c r="X129">
        <f>HYPERLINK("https://klasma.github.io/Logging_2062/kartor/A 33564-2026 karta.png", "A 33564-2026")</f>
        <v/>
      </c>
      <c r="Y129">
        <f>HYPERLINK("https://klasma.github.io/Logging_2062/kartor_geotiff/A 33564-2026 georefererad karta.tif", "A 33564-2026")</f>
        <v/>
      </c>
      <c r="Z129">
        <f>HYPERLINK("https://klasma.github.io/Logging_2062/knärot/A 33564-2026 karta knärot.png", "A 33564-2026")</f>
        <v/>
      </c>
      <c r="AA129">
        <f>HYPERLINK("https://klasma.github.io/Logging_2062/klagomål/A 33564-2026 FSC-klagomål.docx", "A 33564-2026")</f>
        <v/>
      </c>
      <c r="AB129">
        <f>HYPERLINK("https://klasma.github.io/Logging_2062/klagomålsmail/A 33564-2026 FSC-klagomål mail.docx", "A 33564-2026")</f>
        <v/>
      </c>
      <c r="AC129">
        <f>HYPERLINK("https://klasma.github.io/Logging_2062/tillsyn/A 33564-2026 tillsynsbegäran.docx", "A 33564-2026")</f>
        <v/>
      </c>
      <c r="AD129">
        <f>HYPERLINK("https://klasma.github.io/Logging_2062/tillsynsmail/A 33564-2026 tillsynsbegäran mail.docx", "A 33564-2026")</f>
        <v/>
      </c>
      <c r="AE129">
        <f>HYPERLINK("https://klasma.github.io/Logging_2062/fåglar/A 33564-2026 prioriterade fågelarter.docx", "A 33564-2026")</f>
        <v/>
      </c>
    </row>
    <row r="130" ht="15" customHeight="1">
      <c r="A130" t="inlineStr">
        <is>
          <t>A 22112-2025</t>
        </is>
      </c>
      <c r="B130" t="inlineStr">
        <is>
          <t>avverkningsanmälan</t>
        </is>
      </c>
      <c r="C130" t="inlineStr">
        <is>
          <t>Föryngringsavverkning</t>
        </is>
      </c>
      <c r="D130" s="1" t="n">
        <v>45785</v>
      </c>
      <c r="E130" s="1" t="n">
        <v>46319</v>
      </c>
      <c r="F130" t="inlineStr">
        <is>
          <t>DALARNAS LÄN</t>
        </is>
      </c>
      <c r="G130" t="inlineStr">
        <is>
          <t>MALUNG-SÄLEN</t>
        </is>
      </c>
      <c r="H130" t="inlineStr">
        <is>
          <t>Allmännings- och besparingsskogar</t>
        </is>
      </c>
      <c r="I130" t="n">
        <v>53.9</v>
      </c>
      <c r="J130" t="n">
        <v>3</v>
      </c>
      <c r="K130" t="n">
        <v>2</v>
      </c>
      <c r="L130" t="n">
        <v>12</v>
      </c>
      <c r="M130" t="n">
        <v>1</v>
      </c>
      <c r="N130" t="n">
        <v>0</v>
      </c>
      <c r="O130" t="n">
        <v>0</v>
      </c>
      <c r="P130" t="n">
        <v>0</v>
      </c>
      <c r="Q130" t="n">
        <v>13</v>
      </c>
      <c r="R130" t="n">
        <v>1</v>
      </c>
      <c r="S130" t="n">
        <v>16</v>
      </c>
      <c r="T130" t="n">
        <v>193</v>
      </c>
      <c r="U130" t="n">
        <v>171</v>
      </c>
      <c r="V130" s="2" t="inlineStr">
        <is>
          <t>Garnlav
Blågrå svartspik
Dropptaggsvamp
Dvärgbägarlav
Kolflarnlav
Mörk kolflarnlav
Nordtagging
Talltagel
Tretåig hackspett
Vedflamlav
Vedskivlav
Violettgrå tagellav
Vitgrynig nållav
Korallrot
Skinnlav
Tjäder</t>
        </is>
      </c>
      <c r="W130">
        <f>HYPERLINK("https://klasma.github.io/Logging_2023/artfynd/A 22112-2025 artfynd.xlsx", "A 22112-2025")</f>
        <v/>
      </c>
      <c r="X130">
        <f>HYPERLINK("https://klasma.github.io/Logging_2023/kartor/A 22112-2025 karta.png", "A 22112-2025")</f>
        <v/>
      </c>
      <c r="Y130">
        <f>HYPERLINK("https://klasma.github.io/Logging_2023/kartor_geotiff/A 22112-2025 georefererad karta.tif", "A 22112-2025")</f>
        <v/>
      </c>
      <c r="AA130">
        <f>HYPERLINK("https://klasma.github.io/Logging_2023/klagomål/A 22112-2025 FSC-klagomål.docx", "A 22112-2025")</f>
        <v/>
      </c>
      <c r="AB130">
        <f>HYPERLINK("https://klasma.github.io/Logging_2023/klagomålsmail/A 22112-2025 FSC-klagomål mail.docx", "A 22112-2025")</f>
        <v/>
      </c>
      <c r="AC130">
        <f>HYPERLINK("https://klasma.github.io/Logging_2023/tillsyn/A 22112-2025 tillsynsbegäran.docx", "A 22112-2025")</f>
        <v/>
      </c>
      <c r="AD130">
        <f>HYPERLINK("https://klasma.github.io/Logging_2023/tillsynsmail/A 22112-2025 tillsynsbegäran mail.docx", "A 22112-2025")</f>
        <v/>
      </c>
      <c r="AE130">
        <f>HYPERLINK("https://klasma.github.io/Logging_2023/fåglar/A 22112-2025 prioriterade fågelarter.docx", "A 22112-2025")</f>
        <v/>
      </c>
    </row>
    <row r="131" ht="15" customHeight="1">
      <c r="A131" t="inlineStr">
        <is>
          <t>A 29855-2026</t>
        </is>
      </c>
      <c r="B131" t="inlineStr">
        <is>
          <t>avverkningsanmälan</t>
        </is>
      </c>
      <c r="C131" t="inlineStr">
        <is>
          <t>Föryngringsavverkning</t>
        </is>
      </c>
      <c r="D131" s="1" t="n">
        <v>46205</v>
      </c>
      <c r="E131" s="1" t="n">
        <v>46319</v>
      </c>
      <c r="F131" t="inlineStr">
        <is>
          <t>DALARNAS LÄN</t>
        </is>
      </c>
      <c r="G131" t="inlineStr">
        <is>
          <t>MALUNG-SÄLEN</t>
        </is>
      </c>
      <c r="H131" t="inlineStr">
        <is>
          <t>Allmännings- och besparingsskogar</t>
        </is>
      </c>
      <c r="I131" t="n">
        <v>34.9</v>
      </c>
      <c r="J131" t="n">
        <v>1</v>
      </c>
      <c r="K131" t="n">
        <v>3</v>
      </c>
      <c r="L131" t="n">
        <v>12</v>
      </c>
      <c r="M131" t="n">
        <v>1</v>
      </c>
      <c r="N131" t="n">
        <v>0</v>
      </c>
      <c r="O131" t="n">
        <v>0</v>
      </c>
      <c r="P131" t="n">
        <v>0</v>
      </c>
      <c r="Q131" t="n">
        <v>13</v>
      </c>
      <c r="R131" t="n">
        <v>1</v>
      </c>
      <c r="S131" t="n">
        <v>16</v>
      </c>
      <c r="T131" t="n">
        <v>87</v>
      </c>
      <c r="U131" t="n">
        <v>87</v>
      </c>
      <c r="V131" s="2" t="inlineStr">
        <is>
          <t>Garnlav
Blanksvart spiklav
Dvärgbägarlav
Kolflarnlav
Kortskaftad ärgspik
Lunglav
Mörk kolflarnlav
Skrovellav
Tallticka
Tretåig hackspett
Vedskivlav
Violettgrå tagellav
Vitgrynig nållav
Bårdlav
Luddlav
Nästlav</t>
        </is>
      </c>
      <c r="W131">
        <f>HYPERLINK("https://klasma.github.io/Logging_2023/artfynd/A 29855-2026 artfynd.xlsx", "A 29855-2026")</f>
        <v/>
      </c>
      <c r="X131">
        <f>HYPERLINK("https://klasma.github.io/Logging_2023/kartor/A 29855-2026 karta.png", "A 29855-2026")</f>
        <v/>
      </c>
      <c r="Y131">
        <f>HYPERLINK("https://klasma.github.io/Logging_2023/kartor_geotiff/A 29855-2026 georefererad karta.tif", "A 29855-2026")</f>
        <v/>
      </c>
      <c r="AA131">
        <f>HYPERLINK("https://klasma.github.io/Logging_2023/klagomål/A 29855-2026 FSC-klagomål.docx", "A 29855-2026")</f>
        <v/>
      </c>
      <c r="AB131">
        <f>HYPERLINK("https://klasma.github.io/Logging_2023/klagomålsmail/A 29855-2026 FSC-klagomål mail.docx", "A 29855-2026")</f>
        <v/>
      </c>
      <c r="AC131">
        <f>HYPERLINK("https://klasma.github.io/Logging_2023/tillsyn/A 29855-2026 tillsynsbegäran.docx", "A 29855-2026")</f>
        <v/>
      </c>
      <c r="AD131">
        <f>HYPERLINK("https://klasma.github.io/Logging_2023/tillsynsmail/A 29855-2026 tillsynsbegäran mail.docx", "A 29855-2026")</f>
        <v/>
      </c>
      <c r="AE131">
        <f>HYPERLINK("https://klasma.github.io/Logging_2023/fåglar/A 29855-2026 prioriterade fågelarter.docx", "A 29855-2026")</f>
        <v/>
      </c>
    </row>
    <row r="132" ht="15" customHeight="1">
      <c r="A132" t="inlineStr">
        <is>
          <t>A 63440-2025</t>
        </is>
      </c>
      <c r="B132" t="inlineStr">
        <is>
          <t>avverkningsanmälan</t>
        </is>
      </c>
      <c r="C132" t="inlineStr">
        <is>
          <t>Föryngringsavverkning</t>
        </is>
      </c>
      <c r="D132" s="1" t="n">
        <v>46013</v>
      </c>
      <c r="E132" s="1" t="n">
        <v>46319</v>
      </c>
      <c r="F132" t="inlineStr">
        <is>
          <t>DALARNAS LÄN</t>
        </is>
      </c>
      <c r="G132" t="inlineStr">
        <is>
          <t>GAGNEF</t>
        </is>
      </c>
      <c r="I132" t="n">
        <v>10</v>
      </c>
      <c r="J132" t="n">
        <v>3</v>
      </c>
      <c r="K132" t="n">
        <v>7</v>
      </c>
      <c r="L132" t="n">
        <v>5</v>
      </c>
      <c r="M132" t="n">
        <v>3</v>
      </c>
      <c r="N132" t="n">
        <v>0</v>
      </c>
      <c r="O132" t="n">
        <v>0</v>
      </c>
      <c r="P132" t="n">
        <v>0</v>
      </c>
      <c r="Q132" t="n">
        <v>8</v>
      </c>
      <c r="R132" t="n">
        <v>3</v>
      </c>
      <c r="S132" t="n">
        <v>16</v>
      </c>
      <c r="T132" t="n">
        <v>29</v>
      </c>
      <c r="U132" t="n">
        <v>0</v>
      </c>
      <c r="V132" s="2" t="inlineStr">
        <is>
          <t>Garnlav
Silverblåvinge
Violett fingersvamp
Doftskinn
Månlåsbräken
Stjärntagging
Talltita
Tretåig hackspett
Gulvaxing
Korallblylav
Maskfingersvamp
Skinnlav
Stuplav
Vedticka
Ängsvaxing agg.
Spillkråka</t>
        </is>
      </c>
      <c r="W132">
        <f>HYPERLINK("https://klasma.github.io/Logging_2026/artfynd/A 63440-2025 artfynd.xlsx", "A 63440-2025")</f>
        <v/>
      </c>
      <c r="X132">
        <f>HYPERLINK("https://klasma.github.io/Logging_2026/kartor/A 63440-2025 karta.png", "A 63440-2025")</f>
        <v/>
      </c>
      <c r="Y132">
        <f>HYPERLINK("https://klasma.github.io/Logging_2026/kartor_geotiff/A 63440-2025 georefererad karta.tif", "A 63440-2025")</f>
        <v/>
      </c>
      <c r="AA132">
        <f>HYPERLINK("https://klasma.github.io/Logging_2026/klagomål/A 63440-2025 FSC-klagomål.docx", "A 63440-2025")</f>
        <v/>
      </c>
      <c r="AB132">
        <f>HYPERLINK("https://klasma.github.io/Logging_2026/klagomålsmail/A 63440-2025 FSC-klagomål mail.docx", "A 63440-2025")</f>
        <v/>
      </c>
      <c r="AC132">
        <f>HYPERLINK("https://klasma.github.io/Logging_2026/tillsyn/A 63440-2025 tillsynsbegäran.docx", "A 63440-2025")</f>
        <v/>
      </c>
      <c r="AD132">
        <f>HYPERLINK("https://klasma.github.io/Logging_2026/tillsynsmail/A 63440-2025 tillsynsbegäran mail.docx", "A 63440-2025")</f>
        <v/>
      </c>
      <c r="AE132">
        <f>HYPERLINK("https://klasma.github.io/Logging_2026/fåglar/A 63440-2025 prioriterade fågelarter.docx", "A 63440-2025")</f>
        <v/>
      </c>
    </row>
    <row r="133" ht="15" customHeight="1">
      <c r="A133" t="inlineStr">
        <is>
          <t>A 49804-2025</t>
        </is>
      </c>
      <c r="B133" t="inlineStr">
        <is>
          <t>avverkningsanmälan</t>
        </is>
      </c>
      <c r="C133" t="inlineStr">
        <is>
          <t>Föryngringsavverkning</t>
        </is>
      </c>
      <c r="D133" s="1" t="n">
        <v>45940</v>
      </c>
      <c r="E133" s="1" t="n">
        <v>46319</v>
      </c>
      <c r="F133" t="inlineStr">
        <is>
          <t>DALARNAS LÄN</t>
        </is>
      </c>
      <c r="G133" t="inlineStr">
        <is>
          <t>LUDVIKA</t>
        </is>
      </c>
      <c r="H133" t="inlineStr">
        <is>
          <t>Bergvik skog väst AB</t>
        </is>
      </c>
      <c r="I133" t="n">
        <v>61.7</v>
      </c>
      <c r="J133" t="n">
        <v>2</v>
      </c>
      <c r="K133" t="n">
        <v>2</v>
      </c>
      <c r="L133" t="n">
        <v>11</v>
      </c>
      <c r="M133" t="n">
        <v>1</v>
      </c>
      <c r="N133" t="n">
        <v>1</v>
      </c>
      <c r="O133" t="n">
        <v>0</v>
      </c>
      <c r="P133" t="n">
        <v>0</v>
      </c>
      <c r="Q133" t="n">
        <v>13</v>
      </c>
      <c r="R133" t="n">
        <v>2</v>
      </c>
      <c r="S133" t="n">
        <v>16</v>
      </c>
      <c r="T133" t="n">
        <v>119</v>
      </c>
      <c r="U133" t="n">
        <v>66</v>
      </c>
      <c r="V133" s="2" t="inlineStr">
        <is>
          <t>Broktagel
Garnlav
Dropptaggsvamp
Dvärgbägarlav
Kolflarnlav
Kortskaftad ärgspik
Mörk kolflarnlav
Skuggblåslav
Tretåig hackspett
Vedskivlav
Vedtrappmossa
Violettgrå tagellav
Vitgrynig nållav
Rävticka
Vedticka
Spillkråka</t>
        </is>
      </c>
      <c r="W133">
        <f>HYPERLINK("https://klasma.github.io/Logging_2085/artfynd/A 49804-2025 artfynd.xlsx", "A 49804-2025")</f>
        <v/>
      </c>
      <c r="X133">
        <f>HYPERLINK("https://klasma.github.io/Logging_2085/kartor/A 49804-2025 karta.png", "A 49804-2025")</f>
        <v/>
      </c>
      <c r="Y133">
        <f>HYPERLINK("https://klasma.github.io/Logging_2085/kartor_geotiff/A 49804-2025 georefererad karta.tif", "A 49804-2025")</f>
        <v/>
      </c>
      <c r="AA133">
        <f>HYPERLINK("https://klasma.github.io/Logging_2085/klagomål/A 49804-2025 FSC-klagomål.docx", "A 49804-2025")</f>
        <v/>
      </c>
      <c r="AB133">
        <f>HYPERLINK("https://klasma.github.io/Logging_2085/klagomålsmail/A 49804-2025 FSC-klagomål mail.docx", "A 49804-2025")</f>
        <v/>
      </c>
      <c r="AC133">
        <f>HYPERLINK("https://klasma.github.io/Logging_2085/tillsyn/A 49804-2025 tillsynsbegäran.docx", "A 49804-2025")</f>
        <v/>
      </c>
      <c r="AD133">
        <f>HYPERLINK("https://klasma.github.io/Logging_2085/tillsynsmail/A 49804-2025 tillsynsbegäran mail.docx", "A 49804-2025")</f>
        <v/>
      </c>
      <c r="AE133">
        <f>HYPERLINK("https://klasma.github.io/Logging_2085/fåglar/A 49804-2025 prioriterade fågelarter.docx", "A 49804-2025")</f>
        <v/>
      </c>
    </row>
    <row r="134" ht="15" customHeight="1">
      <c r="A134" t="inlineStr">
        <is>
          <t>S 127-2026</t>
        </is>
      </c>
      <c r="B134" t="inlineStr">
        <is>
          <t>samrådsanmälan</t>
        </is>
      </c>
      <c r="C134" t="inlineStr">
        <is>
          <t>Annan skogsbruksåtgärd</t>
        </is>
      </c>
      <c r="D134" s="1" t="n">
        <v>46041</v>
      </c>
      <c r="E134" s="1" t="n">
        <v>46319</v>
      </c>
      <c r="F134" t="inlineStr">
        <is>
          <t>DALARNAS LÄN</t>
        </is>
      </c>
      <c r="G134" t="inlineStr">
        <is>
          <t>ORSA</t>
        </is>
      </c>
      <c r="I134" t="n">
        <v>2.6</v>
      </c>
      <c r="J134" t="n">
        <v>6</v>
      </c>
      <c r="K134" t="n">
        <v>3</v>
      </c>
      <c r="L134" t="n">
        <v>9</v>
      </c>
      <c r="M134" t="n">
        <v>1</v>
      </c>
      <c r="N134" t="n">
        <v>1</v>
      </c>
      <c r="O134" t="n">
        <v>0</v>
      </c>
      <c r="P134" t="n">
        <v>0</v>
      </c>
      <c r="Q134" t="n">
        <v>11</v>
      </c>
      <c r="R134" t="n">
        <v>2</v>
      </c>
      <c r="S134" t="n">
        <v>16</v>
      </c>
      <c r="T134" t="n">
        <v>46</v>
      </c>
      <c r="U134" t="n">
        <v>0</v>
      </c>
      <c r="V134" s="2" t="inlineStr">
        <is>
          <t>Sammetstaggsvamp
Gul taggsvamp
Dofttaggsvamp
Fjällig taggsvamp s.str.
Gultoppig fingersvamp
Rosenticka
Rödvingetrast
Skarp dropptaggsvamp
Talltita
Tretåig hackspett
Ullticka
Mörk husmossa
Svavelriska
Tvåblad
Fläcknycklar
Nattviol</t>
        </is>
      </c>
      <c r="W134">
        <f>HYPERLINK("https://klasma.github.io/Logging_2034/artfynd/S 127-2026 artfynd.xlsx", "S 127-2026")</f>
        <v/>
      </c>
      <c r="X134">
        <f>HYPERLINK("https://klasma.github.io/Logging_2034/kartor/S 127-2026 karta.png", "S 127-2026")</f>
        <v/>
      </c>
      <c r="Y134">
        <f>HYPERLINK("https://klasma.github.io/Logging_2034/kartor_geotiff/S 127-2026 georefererad karta.tif", "S 127-2026")</f>
        <v/>
      </c>
      <c r="AA134">
        <f>HYPERLINK("https://klasma.github.io/Logging_2034/klagomål/S 127-2026 FSC-klagomål.docx", "S 127-2026")</f>
        <v/>
      </c>
      <c r="AB134">
        <f>HYPERLINK("https://klasma.github.io/Logging_2034/klagomålsmail/S 127-2026 FSC-klagomål mail.docx", "S 127-2026")</f>
        <v/>
      </c>
      <c r="AC134">
        <f>HYPERLINK("https://klasma.github.io/Logging_2034/tillsyn/S 127-2026 tillsynsbegäran.docx", "S 127-2026")</f>
        <v/>
      </c>
      <c r="AD134">
        <f>HYPERLINK("https://klasma.github.io/Logging_2034/tillsynsmail/S 127-2026 tillsynsbegäran mail.docx", "S 127-2026")</f>
        <v/>
      </c>
      <c r="AE134">
        <f>HYPERLINK("https://klasma.github.io/Logging_2034/fåglar/S 127-2026 prioriterade fågelarter.docx", "S 127-2026")</f>
        <v/>
      </c>
    </row>
    <row r="135" ht="15" customHeight="1">
      <c r="A135" t="inlineStr">
        <is>
          <t>A 45113-2025</t>
        </is>
      </c>
      <c r="B135" t="inlineStr">
        <is>
          <t>avverkningsanmälan</t>
        </is>
      </c>
      <c r="C135" t="inlineStr">
        <is>
          <t>Föryngringsavverkning</t>
        </is>
      </c>
      <c r="D135" s="1" t="n">
        <v>45919</v>
      </c>
      <c r="E135" s="1" t="n">
        <v>46319</v>
      </c>
      <c r="F135" t="inlineStr">
        <is>
          <t>DALARNAS LÄN</t>
        </is>
      </c>
      <c r="G135" t="inlineStr">
        <is>
          <t>ÄLVDALEN</t>
        </is>
      </c>
      <c r="H135" t="inlineStr">
        <is>
          <t>Sveaskog</t>
        </is>
      </c>
      <c r="I135" t="n">
        <v>19.2</v>
      </c>
      <c r="J135" t="n">
        <v>0</v>
      </c>
      <c r="K135" t="n">
        <v>0</v>
      </c>
      <c r="L135" t="n">
        <v>10</v>
      </c>
      <c r="M135" t="n">
        <v>5</v>
      </c>
      <c r="N135" t="n">
        <v>0</v>
      </c>
      <c r="O135" t="n">
        <v>0</v>
      </c>
      <c r="P135" t="n">
        <v>0</v>
      </c>
      <c r="Q135" t="n">
        <v>15</v>
      </c>
      <c r="R135" t="n">
        <v>5</v>
      </c>
      <c r="S135" t="n">
        <v>15</v>
      </c>
      <c r="T135" t="n">
        <v>32</v>
      </c>
      <c r="U135" t="n">
        <v>6</v>
      </c>
      <c r="V135" s="2" t="inlineStr">
        <is>
          <t>Goliatmusseron
Gräddporing
Laxgröppa
Smalfotad taggsvamp
Tajgataggsvamp
Blå taggsvamp
Dropptaggsvamp
Dvärgbägarlav
Kolflarnlav
Mörk kolflarnlav
Nordtagging
Orange taggsvamp
Skarp dropptaggsvamp
Vedflamlav
Vitplätt</t>
        </is>
      </c>
      <c r="W135">
        <f>HYPERLINK("https://klasma.github.io/Logging_2039/artfynd/A 45113-2025 artfynd.xlsx", "A 45113-2025")</f>
        <v/>
      </c>
      <c r="X135">
        <f>HYPERLINK("https://klasma.github.io/Logging_2039/kartor/A 45113-2025 karta.png", "A 45113-2025")</f>
        <v/>
      </c>
      <c r="Y135">
        <f>HYPERLINK("https://klasma.github.io/Logging_2039/kartor_geotiff/A 45113-2025 georefererad karta.tif", "A 45113-2025")</f>
        <v/>
      </c>
      <c r="AA135">
        <f>HYPERLINK("https://klasma.github.io/Logging_2039/klagomål/A 45113-2025 FSC-klagomål.docx", "A 45113-2025")</f>
        <v/>
      </c>
      <c r="AB135">
        <f>HYPERLINK("https://klasma.github.io/Logging_2039/klagomålsmail/A 45113-2025 FSC-klagomål mail.docx", "A 45113-2025")</f>
        <v/>
      </c>
      <c r="AC135">
        <f>HYPERLINK("https://klasma.github.io/Logging_2039/tillsyn/A 45113-2025 tillsynsbegäran.docx", "A 45113-2025")</f>
        <v/>
      </c>
      <c r="AD135">
        <f>HYPERLINK("https://klasma.github.io/Logging_2039/tillsynsmail/A 45113-2025 tillsynsbegäran mail.docx", "A 45113-2025")</f>
        <v/>
      </c>
    </row>
    <row r="136" ht="15" customHeight="1">
      <c r="A136" t="inlineStr">
        <is>
          <t>A 49329-2025</t>
        </is>
      </c>
      <c r="B136" t="inlineStr">
        <is>
          <t>avverkningsanmälan</t>
        </is>
      </c>
      <c r="C136" t="inlineStr">
        <is>
          <t>Föryngringsavverkning</t>
        </is>
      </c>
      <c r="D136" s="1" t="n">
        <v>45938</v>
      </c>
      <c r="E136" s="1" t="n">
        <v>46319</v>
      </c>
      <c r="F136" t="inlineStr">
        <is>
          <t>DALARNAS LÄN</t>
        </is>
      </c>
      <c r="G136" t="inlineStr">
        <is>
          <t>VANSBRO</t>
        </is>
      </c>
      <c r="I136" t="n">
        <v>1.2</v>
      </c>
      <c r="J136" t="n">
        <v>0</v>
      </c>
      <c r="K136" t="n">
        <v>12</v>
      </c>
      <c r="L136" t="n">
        <v>2</v>
      </c>
      <c r="M136" t="n">
        <v>1</v>
      </c>
      <c r="N136" t="n">
        <v>0</v>
      </c>
      <c r="O136" t="n">
        <v>0</v>
      </c>
      <c r="P136" t="n">
        <v>0</v>
      </c>
      <c r="Q136" t="n">
        <v>3</v>
      </c>
      <c r="R136" t="n">
        <v>1</v>
      </c>
      <c r="S136" t="n">
        <v>15</v>
      </c>
      <c r="T136" t="n">
        <v>22</v>
      </c>
      <c r="U136" t="n">
        <v>1</v>
      </c>
      <c r="V136" s="2" t="inlineStr">
        <is>
          <t>Vridfingersvamp
Brun ängsvaxing
Rosenfingersvamp
Aprikosfingersvamp
Blodvaxing
Broskvaxing
Hagfingersvamp
Maskfingersvamp
Opalfingersvamp
Papegojvaxing
Sprödvaxing
Toppvaxing
Vitvaxing agg.
Ängsfingersvamp
Ängsvaxing agg.</t>
        </is>
      </c>
      <c r="W136">
        <f>HYPERLINK("https://klasma.github.io/Logging_2021/artfynd/A 49329-2025 artfynd.xlsx", "A 49329-2025")</f>
        <v/>
      </c>
      <c r="X136">
        <f>HYPERLINK("https://klasma.github.io/Logging_2021/kartor/A 49329-2025 karta.png", "A 49329-2025")</f>
        <v/>
      </c>
      <c r="Y136">
        <f>HYPERLINK("https://klasma.github.io/Logging_2021/kartor_geotiff/A 49329-2025 georefererad karta.tif", "A 49329-2025")</f>
        <v/>
      </c>
      <c r="AA136">
        <f>HYPERLINK("https://klasma.github.io/Logging_2021/klagomål/A 49329-2025 FSC-klagomål.docx", "A 49329-2025")</f>
        <v/>
      </c>
      <c r="AB136">
        <f>HYPERLINK("https://klasma.github.io/Logging_2021/klagomålsmail/A 49329-2025 FSC-klagomål mail.docx", "A 49329-2025")</f>
        <v/>
      </c>
      <c r="AC136">
        <f>HYPERLINK("https://klasma.github.io/Logging_2021/tillsyn/A 49329-2025 tillsynsbegäran.docx", "A 49329-2025")</f>
        <v/>
      </c>
      <c r="AD136">
        <f>HYPERLINK("https://klasma.github.io/Logging_2021/tillsynsmail/A 49329-2025 tillsynsbegäran mail.docx", "A 49329-2025")</f>
        <v/>
      </c>
    </row>
    <row r="137" ht="15" customHeight="1">
      <c r="A137" t="inlineStr">
        <is>
          <t>A 53426-2025</t>
        </is>
      </c>
      <c r="B137" t="inlineStr">
        <is>
          <t>avverkningsanmälan</t>
        </is>
      </c>
      <c r="C137" t="inlineStr">
        <is>
          <t>Föryngringsavverkning</t>
        </is>
      </c>
      <c r="D137" s="1" t="n">
        <v>45959</v>
      </c>
      <c r="E137" s="1" t="n">
        <v>46319</v>
      </c>
      <c r="F137" t="inlineStr">
        <is>
          <t>DALARNAS LÄN</t>
        </is>
      </c>
      <c r="G137" t="inlineStr">
        <is>
          <t>MORA</t>
        </is>
      </c>
      <c r="I137" t="n">
        <v>4.2</v>
      </c>
      <c r="J137" t="n">
        <v>4</v>
      </c>
      <c r="K137" t="n">
        <v>4</v>
      </c>
      <c r="L137" t="n">
        <v>6</v>
      </c>
      <c r="M137" t="n">
        <v>2</v>
      </c>
      <c r="N137" t="n">
        <v>0</v>
      </c>
      <c r="O137" t="n">
        <v>0</v>
      </c>
      <c r="P137" t="n">
        <v>0</v>
      </c>
      <c r="Q137" t="n">
        <v>8</v>
      </c>
      <c r="R137" t="n">
        <v>2</v>
      </c>
      <c r="S137" t="n">
        <v>15</v>
      </c>
      <c r="T137" t="n">
        <v>59</v>
      </c>
      <c r="U137" t="n">
        <v>0</v>
      </c>
      <c r="V137" s="2" t="inlineStr">
        <is>
          <t>Garnlav
Gräddporing
Dvärgbägarlav
Kolflarnlav
Rosenticka
Tallticka
Tretåig hackspett
Vedskivlav
Bronshjon
Mindre märgborre
Thomsons trägnagare
Vågbandad barkbock
Spillkråka
Tjäder
Revlummer</t>
        </is>
      </c>
      <c r="W137">
        <f>HYPERLINK("https://klasma.github.io/Logging_2062/artfynd/A 53426-2025 artfynd.xlsx", "A 53426-2025")</f>
        <v/>
      </c>
      <c r="X137">
        <f>HYPERLINK("https://klasma.github.io/Logging_2062/kartor/A 53426-2025 karta.png", "A 53426-2025")</f>
        <v/>
      </c>
      <c r="Y137">
        <f>HYPERLINK("https://klasma.github.io/Logging_2062/kartor_geotiff/A 53426-2025 georefererad karta.tif", "A 53426-2025")</f>
        <v/>
      </c>
      <c r="AA137">
        <f>HYPERLINK("https://klasma.github.io/Logging_2062/klagomål/A 53426-2025 FSC-klagomål.docx", "A 53426-2025")</f>
        <v/>
      </c>
      <c r="AB137">
        <f>HYPERLINK("https://klasma.github.io/Logging_2062/klagomålsmail/A 53426-2025 FSC-klagomål mail.docx", "A 53426-2025")</f>
        <v/>
      </c>
      <c r="AC137">
        <f>HYPERLINK("https://klasma.github.io/Logging_2062/tillsyn/A 53426-2025 tillsynsbegäran.docx", "A 53426-2025")</f>
        <v/>
      </c>
      <c r="AD137">
        <f>HYPERLINK("https://klasma.github.io/Logging_2062/tillsynsmail/A 53426-2025 tillsynsbegäran mail.docx", "A 53426-2025")</f>
        <v/>
      </c>
      <c r="AE137">
        <f>HYPERLINK("https://klasma.github.io/Logging_2062/fåglar/A 53426-2025 prioriterade fågelarter.docx", "A 53426-2025")</f>
        <v/>
      </c>
    </row>
    <row r="138" ht="15" customHeight="1">
      <c r="A138" t="inlineStr">
        <is>
          <t>A 34901-2022</t>
        </is>
      </c>
      <c r="B138" t="inlineStr">
        <is>
          <t>avverkningsanmälan</t>
        </is>
      </c>
      <c r="C138" t="inlineStr">
        <is>
          <t>Föryngringsavverkning</t>
        </is>
      </c>
      <c r="D138" s="1" t="n">
        <v>44796</v>
      </c>
      <c r="E138" s="1" t="n">
        <v>46319</v>
      </c>
      <c r="F138" t="inlineStr">
        <is>
          <t>DALARNAS LÄN</t>
        </is>
      </c>
      <c r="G138" t="inlineStr">
        <is>
          <t>MALUNG-SÄLEN</t>
        </is>
      </c>
      <c r="I138" t="n">
        <v>6</v>
      </c>
      <c r="J138" t="n">
        <v>2</v>
      </c>
      <c r="K138" t="n">
        <v>2</v>
      </c>
      <c r="L138" t="n">
        <v>10</v>
      </c>
      <c r="M138" t="n">
        <v>2</v>
      </c>
      <c r="N138" t="n">
        <v>0</v>
      </c>
      <c r="O138" t="n">
        <v>0</v>
      </c>
      <c r="P138" t="n">
        <v>0</v>
      </c>
      <c r="Q138" t="n">
        <v>12</v>
      </c>
      <c r="R138" t="n">
        <v>2</v>
      </c>
      <c r="S138" t="n">
        <v>15</v>
      </c>
      <c r="T138" t="n">
        <v>30</v>
      </c>
      <c r="U138" t="n">
        <v>30</v>
      </c>
      <c r="V138" s="2" t="inlineStr">
        <is>
          <t>Garnlav
Gränsticka
Doftskinn
Gammelgransskål
Kolflarnlav
Kortskaftad ärgspik
Rynkskinn
Talltagel
Tretåig hackspett
Vedflamlav
Vedskivlav
Vitgrynig nållav
Korallblylav
Vedticka
Revlummer</t>
        </is>
      </c>
      <c r="W138">
        <f>HYPERLINK("https://klasma.github.io/Logging_2023/artfynd/A 34901-2022 artfynd.xlsx", "A 34901-2022")</f>
        <v/>
      </c>
      <c r="X138">
        <f>HYPERLINK("https://klasma.github.io/Logging_2023/kartor/A 34901-2022 karta.png", "A 34901-2022")</f>
        <v/>
      </c>
      <c r="Y138">
        <f>HYPERLINK("https://klasma.github.io/Logging_2023/kartor_geotiff/A 34901-2022 georefererad karta.tif", "A 34901-2022")</f>
        <v/>
      </c>
      <c r="AA138">
        <f>HYPERLINK("https://klasma.github.io/Logging_2023/klagomål/A 34901-2022 FSC-klagomål.docx", "A 34901-2022")</f>
        <v/>
      </c>
      <c r="AB138">
        <f>HYPERLINK("https://klasma.github.io/Logging_2023/klagomålsmail/A 34901-2022 FSC-klagomål mail.docx", "A 34901-2022")</f>
        <v/>
      </c>
      <c r="AC138">
        <f>HYPERLINK("https://klasma.github.io/Logging_2023/tillsyn/A 34901-2022 tillsynsbegäran.docx", "A 34901-2022")</f>
        <v/>
      </c>
      <c r="AD138">
        <f>HYPERLINK("https://klasma.github.io/Logging_2023/tillsynsmail/A 34901-2022 tillsynsbegäran mail.docx", "A 34901-2022")</f>
        <v/>
      </c>
      <c r="AE138">
        <f>HYPERLINK("https://klasma.github.io/Logging_2023/fåglar/A 34901-2022 prioriterade fågelarter.docx", "A 34901-2022")</f>
        <v/>
      </c>
    </row>
    <row r="139" ht="15" customHeight="1">
      <c r="A139" t="inlineStr">
        <is>
          <t>A 8524-2026</t>
        </is>
      </c>
      <c r="B139" t="inlineStr">
        <is>
          <t>avverkningsanmälan</t>
        </is>
      </c>
      <c r="C139" t="inlineStr">
        <is>
          <t>Föryngringsavverkning</t>
        </is>
      </c>
      <c r="D139" s="1" t="n">
        <v>46065</v>
      </c>
      <c r="E139" s="1" t="n">
        <v>46319</v>
      </c>
      <c r="F139" t="inlineStr">
        <is>
          <t>DALARNAS LÄN</t>
        </is>
      </c>
      <c r="G139" t="inlineStr">
        <is>
          <t>SÄTER</t>
        </is>
      </c>
      <c r="I139" t="n">
        <v>23.9</v>
      </c>
      <c r="J139" t="n">
        <v>5</v>
      </c>
      <c r="K139" t="n">
        <v>2</v>
      </c>
      <c r="L139" t="n">
        <v>8</v>
      </c>
      <c r="M139" t="n">
        <v>1</v>
      </c>
      <c r="N139" t="n">
        <v>0</v>
      </c>
      <c r="O139" t="n">
        <v>0</v>
      </c>
      <c r="P139" t="n">
        <v>0</v>
      </c>
      <c r="Q139" t="n">
        <v>9</v>
      </c>
      <c r="R139" t="n">
        <v>1</v>
      </c>
      <c r="S139" t="n">
        <v>15</v>
      </c>
      <c r="T139" t="n">
        <v>75</v>
      </c>
      <c r="U139" t="n">
        <v>75</v>
      </c>
      <c r="V139" s="2" t="inlineStr">
        <is>
          <t>Knärot
Aspskinn
Doftskinn
Dropptaggsvamp
Dvärgbägarlav
Kortskaftad ärgspik
Nordtagging
Talltita
Vedskivlav
Mindre märgborre
Vedticka
Spillkråka
Timmerticka
Tjäder
Revlummer</t>
        </is>
      </c>
      <c r="W139">
        <f>HYPERLINK("https://klasma.github.io/Logging_2082/artfynd/A 8524-2026 artfynd.xlsx", "A 8524-2026")</f>
        <v/>
      </c>
      <c r="X139">
        <f>HYPERLINK("https://klasma.github.io/Logging_2082/kartor/A 8524-2026 karta.png", "A 8524-2026")</f>
        <v/>
      </c>
      <c r="Y139">
        <f>HYPERLINK("https://klasma.github.io/Logging_2082/kartor_geotiff/A 8524-2026 georefererad karta.tif", "A 8524-2026")</f>
        <v/>
      </c>
      <c r="Z139">
        <f>HYPERLINK("https://klasma.github.io/Logging_2082/knärot/A 8524-2026 karta knärot.png", "A 8524-2026")</f>
        <v/>
      </c>
      <c r="AA139">
        <f>HYPERLINK("https://klasma.github.io/Logging_2082/klagomål/A 8524-2026 FSC-klagomål.docx", "A 8524-2026")</f>
        <v/>
      </c>
      <c r="AB139">
        <f>HYPERLINK("https://klasma.github.io/Logging_2082/klagomålsmail/A 8524-2026 FSC-klagomål mail.docx", "A 8524-2026")</f>
        <v/>
      </c>
      <c r="AC139">
        <f>HYPERLINK("https://klasma.github.io/Logging_2082/tillsyn/A 8524-2026 tillsynsbegäran.docx", "A 8524-2026")</f>
        <v/>
      </c>
      <c r="AD139">
        <f>HYPERLINK("https://klasma.github.io/Logging_2082/tillsynsmail/A 8524-2026 tillsynsbegäran mail.docx", "A 8524-2026")</f>
        <v/>
      </c>
      <c r="AE139">
        <f>HYPERLINK("https://klasma.github.io/Logging_2082/fåglar/A 8524-2026 prioriterade fågelarter.docx", "A 8524-2026")</f>
        <v/>
      </c>
    </row>
    <row r="140" ht="15" customHeight="1">
      <c r="A140" t="inlineStr">
        <is>
          <t>A 7618-2025</t>
        </is>
      </c>
      <c r="B140" t="inlineStr">
        <is>
          <t>avverkningsanmälan</t>
        </is>
      </c>
      <c r="C140" t="inlineStr">
        <is>
          <t>Föryngringsavverkning</t>
        </is>
      </c>
      <c r="D140" s="1" t="n">
        <v>45705</v>
      </c>
      <c r="E140" s="1" t="n">
        <v>46319</v>
      </c>
      <c r="F140" t="inlineStr">
        <is>
          <t>DALARNAS LÄN</t>
        </is>
      </c>
      <c r="G140" t="inlineStr">
        <is>
          <t>ORSA</t>
        </is>
      </c>
      <c r="I140" t="n">
        <v>0.9</v>
      </c>
      <c r="J140" t="n">
        <v>4</v>
      </c>
      <c r="K140" t="n">
        <v>2</v>
      </c>
      <c r="L140" t="n">
        <v>10</v>
      </c>
      <c r="M140" t="n">
        <v>2</v>
      </c>
      <c r="N140" t="n">
        <v>0</v>
      </c>
      <c r="O140" t="n">
        <v>0</v>
      </c>
      <c r="P140" t="n">
        <v>0</v>
      </c>
      <c r="Q140" t="n">
        <v>12</v>
      </c>
      <c r="R140" t="n">
        <v>2</v>
      </c>
      <c r="S140" t="n">
        <v>15</v>
      </c>
      <c r="T140" t="n">
        <v>34</v>
      </c>
      <c r="U140" t="n">
        <v>34</v>
      </c>
      <c r="V140" s="2" t="inlineStr">
        <is>
          <t>Garnlav
Knärot
Dropptaggsvamp
Kolflarnlav
Kötticka
Mörk kolflarnlav
Talltagel
Talltita
Tretåig hackspett
Vedskivlav
Violettgrå tagellav
Vitgrynig nållav
Gulnål
Vedticka
Tjäder</t>
        </is>
      </c>
      <c r="W140">
        <f>HYPERLINK("https://klasma.github.io/Logging_2034/artfynd/A 7618-2025 artfynd.xlsx", "A 7618-2025")</f>
        <v/>
      </c>
      <c r="X140">
        <f>HYPERLINK("https://klasma.github.io/Logging_2034/kartor/A 7618-2025 karta.png", "A 7618-2025")</f>
        <v/>
      </c>
      <c r="Y140">
        <f>HYPERLINK("https://klasma.github.io/Logging_2034/kartor_geotiff/A 7618-2025 georefererad karta.tif", "A 7618-2025")</f>
        <v/>
      </c>
      <c r="Z140">
        <f>HYPERLINK("https://klasma.github.io/Logging_2034/knärot/A 7618-2025 karta knärot.png", "A 7618-2025")</f>
        <v/>
      </c>
      <c r="AA140">
        <f>HYPERLINK("https://klasma.github.io/Logging_2034/klagomål/A 7618-2025 FSC-klagomål.docx", "A 7618-2025")</f>
        <v/>
      </c>
      <c r="AB140">
        <f>HYPERLINK("https://klasma.github.io/Logging_2034/klagomålsmail/A 7618-2025 FSC-klagomål mail.docx", "A 7618-2025")</f>
        <v/>
      </c>
      <c r="AC140">
        <f>HYPERLINK("https://klasma.github.io/Logging_2034/tillsyn/A 7618-2025 tillsynsbegäran.docx", "A 7618-2025")</f>
        <v/>
      </c>
      <c r="AD140">
        <f>HYPERLINK("https://klasma.github.io/Logging_2034/tillsynsmail/A 7618-2025 tillsynsbegäran mail.docx", "A 7618-2025")</f>
        <v/>
      </c>
      <c r="AE140">
        <f>HYPERLINK("https://klasma.github.io/Logging_2034/fåglar/A 7618-2025 prioriterade fågelarter.docx", "A 7618-2025")</f>
        <v/>
      </c>
    </row>
    <row r="141" ht="15" customHeight="1">
      <c r="A141" t="inlineStr">
        <is>
          <t>A 29266-2023</t>
        </is>
      </c>
      <c r="B141" t="inlineStr">
        <is>
          <t>avverkningsanmälan</t>
        </is>
      </c>
      <c r="C141" t="inlineStr">
        <is>
          <t>Föryngringsavverkning</t>
        </is>
      </c>
      <c r="D141" s="1" t="n">
        <v>45105</v>
      </c>
      <c r="E141" s="1" t="n">
        <v>46319</v>
      </c>
      <c r="F141" t="inlineStr">
        <is>
          <t>DALARNAS LÄN</t>
        </is>
      </c>
      <c r="G141" t="inlineStr">
        <is>
          <t>BORLÄNGE</t>
        </is>
      </c>
      <c r="H141" t="inlineStr">
        <is>
          <t>Bergvik skog väst AB</t>
        </is>
      </c>
      <c r="I141" t="n">
        <v>3.1</v>
      </c>
      <c r="J141" t="n">
        <v>3</v>
      </c>
      <c r="K141" t="n">
        <v>4</v>
      </c>
      <c r="L141" t="n">
        <v>8</v>
      </c>
      <c r="M141" t="n">
        <v>1</v>
      </c>
      <c r="N141" t="n">
        <v>1</v>
      </c>
      <c r="O141" t="n">
        <v>0</v>
      </c>
      <c r="P141" t="n">
        <v>0</v>
      </c>
      <c r="Q141" t="n">
        <v>10</v>
      </c>
      <c r="R141" t="n">
        <v>2</v>
      </c>
      <c r="S141" t="n">
        <v>15</v>
      </c>
      <c r="T141" t="n">
        <v>38</v>
      </c>
      <c r="U141" t="n">
        <v>38</v>
      </c>
      <c r="V141" s="2" t="inlineStr">
        <is>
          <t>Bitter taggsvamp
Knärot
Dropptaggsvamp
Kryddspindling
Kötticka
Rosenticka
Rynkskinn
Tallfingersvamp
Talltita
Ullticka
Blomkålssvamp
Bronshjon
Grönpyrola
Thomsons trägnagare
Spillkråka</t>
        </is>
      </c>
      <c r="W141">
        <f>HYPERLINK("https://klasma.github.io/Logging_2081/artfynd/A 29266-2023 artfynd.xlsx", "A 29266-2023")</f>
        <v/>
      </c>
      <c r="X141">
        <f>HYPERLINK("https://klasma.github.io/Logging_2081/kartor/A 29266-2023 karta.png", "A 29266-2023")</f>
        <v/>
      </c>
      <c r="Y141">
        <f>HYPERLINK("https://klasma.github.io/Logging_2081/kartor_geotiff/A 29266-2023 georefererad karta.tif", "A 29266-2023")</f>
        <v/>
      </c>
      <c r="Z141">
        <f>HYPERLINK("https://klasma.github.io/Logging_2081/knärot/A 29266-2023 karta knärot.png", "A 29266-2023")</f>
        <v/>
      </c>
      <c r="AA141">
        <f>HYPERLINK("https://klasma.github.io/Logging_2081/klagomål/A 29266-2023 FSC-klagomål.docx", "A 29266-2023")</f>
        <v/>
      </c>
      <c r="AB141">
        <f>HYPERLINK("https://klasma.github.io/Logging_2081/klagomålsmail/A 29266-2023 FSC-klagomål mail.docx", "A 29266-2023")</f>
        <v/>
      </c>
      <c r="AC141">
        <f>HYPERLINK("https://klasma.github.io/Logging_2081/tillsyn/A 29266-2023 tillsynsbegäran.docx", "A 29266-2023")</f>
        <v/>
      </c>
      <c r="AD141">
        <f>HYPERLINK("https://klasma.github.io/Logging_2081/tillsynsmail/A 29266-2023 tillsynsbegäran mail.docx", "A 29266-2023")</f>
        <v/>
      </c>
      <c r="AE141">
        <f>HYPERLINK("https://klasma.github.io/Logging_2081/fåglar/A 29266-2023 prioriterade fågelarter.docx", "A 29266-2023")</f>
        <v/>
      </c>
    </row>
    <row r="142" ht="15" customHeight="1">
      <c r="A142" t="inlineStr">
        <is>
          <t>A 31875-2025</t>
        </is>
      </c>
      <c r="B142" t="inlineStr">
        <is>
          <t>avverkningsanmälan</t>
        </is>
      </c>
      <c r="C142" t="inlineStr">
        <is>
          <t>Avverkning för annat ändamål</t>
        </is>
      </c>
      <c r="D142" s="1" t="n">
        <v>45834</v>
      </c>
      <c r="E142" s="1" t="n">
        <v>46319</v>
      </c>
      <c r="F142" t="inlineStr">
        <is>
          <t>DALARNAS LÄN</t>
        </is>
      </c>
      <c r="G142" t="inlineStr">
        <is>
          <t>AVESTA</t>
        </is>
      </c>
      <c r="I142" t="n">
        <v>2.6</v>
      </c>
      <c r="J142" t="n">
        <v>15</v>
      </c>
      <c r="K142" t="n">
        <v>0</v>
      </c>
      <c r="L142" t="n">
        <v>9</v>
      </c>
      <c r="M142" t="n">
        <v>1</v>
      </c>
      <c r="N142" t="n">
        <v>0</v>
      </c>
      <c r="O142" t="n">
        <v>0</v>
      </c>
      <c r="P142" t="n">
        <v>0</v>
      </c>
      <c r="Q142" t="n">
        <v>10</v>
      </c>
      <c r="R142" t="n">
        <v>1</v>
      </c>
      <c r="S142" t="n">
        <v>15</v>
      </c>
      <c r="T142" t="n">
        <v>24</v>
      </c>
      <c r="U142" t="n">
        <v>0</v>
      </c>
      <c r="V142" s="2" t="inlineStr">
        <is>
          <t>Grönfink
Björktrast
Duvhök
Entita
Gulsparv
Järnsparv
Nötkråka
Rödvingetrast
Sparvuggla
Talltita
Gråspett
Mattlummer
Spillkråka
Grönsiska
Kungsfågel</t>
        </is>
      </c>
      <c r="W142">
        <f>HYPERLINK("https://klasma.github.io/Logging_2084/artfynd/A 31875-2025 artfynd.xlsx", "A 31875-2025")</f>
        <v/>
      </c>
      <c r="X142">
        <f>HYPERLINK("https://klasma.github.io/Logging_2084/kartor/A 31875-2025 karta.png", "A 31875-2025")</f>
        <v/>
      </c>
      <c r="Y142">
        <f>HYPERLINK("https://klasma.github.io/Logging_2084/kartor_geotiff/A 31875-2025 georefererad karta.tif", "A 31875-2025")</f>
        <v/>
      </c>
      <c r="AA142">
        <f>HYPERLINK("https://klasma.github.io/Logging_2084/klagomål/A 31875-2025 FSC-klagomål.docx", "A 31875-2025")</f>
        <v/>
      </c>
      <c r="AB142">
        <f>HYPERLINK("https://klasma.github.io/Logging_2084/klagomålsmail/A 31875-2025 FSC-klagomål mail.docx", "A 31875-2025")</f>
        <v/>
      </c>
      <c r="AC142">
        <f>HYPERLINK("https://klasma.github.io/Logging_2084/tillsyn/A 31875-2025 tillsynsbegäran.docx", "A 31875-2025")</f>
        <v/>
      </c>
      <c r="AD142">
        <f>HYPERLINK("https://klasma.github.io/Logging_2084/tillsynsmail/A 31875-2025 tillsynsbegäran mail.docx", "A 31875-2025")</f>
        <v/>
      </c>
      <c r="AE142">
        <f>HYPERLINK("https://klasma.github.io/Logging_2084/fåglar/A 31875-2025 prioriterade fågelarter.docx", "A 31875-2025")</f>
        <v/>
      </c>
    </row>
    <row r="143" ht="15" customHeight="1">
      <c r="A143" t="inlineStr">
        <is>
          <t>A 61338-2024</t>
        </is>
      </c>
      <c r="B143" t="inlineStr">
        <is>
          <t>avverkningsanmälan</t>
        </is>
      </c>
      <c r="C143" t="inlineStr">
        <is>
          <t>Föryngringsavverkning</t>
        </is>
      </c>
      <c r="D143" s="1" t="n">
        <v>45646</v>
      </c>
      <c r="E143" s="1" t="n">
        <v>46319</v>
      </c>
      <c r="F143" t="inlineStr">
        <is>
          <t>DALARNAS LÄN</t>
        </is>
      </c>
      <c r="G143" t="inlineStr">
        <is>
          <t>ORSA</t>
        </is>
      </c>
      <c r="I143" t="n">
        <v>10.2</v>
      </c>
      <c r="J143" t="n">
        <v>4</v>
      </c>
      <c r="K143" t="n">
        <v>2</v>
      </c>
      <c r="L143" t="n">
        <v>9</v>
      </c>
      <c r="M143" t="n">
        <v>3</v>
      </c>
      <c r="N143" t="n">
        <v>0</v>
      </c>
      <c r="O143" t="n">
        <v>0</v>
      </c>
      <c r="P143" t="n">
        <v>0</v>
      </c>
      <c r="Q143" t="n">
        <v>12</v>
      </c>
      <c r="R143" t="n">
        <v>3</v>
      </c>
      <c r="S143" t="n">
        <v>15</v>
      </c>
      <c r="T143" t="n">
        <v>175</v>
      </c>
      <c r="U143" t="n">
        <v>175</v>
      </c>
      <c r="V143" s="2" t="inlineStr">
        <is>
          <t>Fläckporing
Garnlav
Knärot
Dvärgbägarlav
Kortskaftad ärgspik
Rosenticka
Rynkskinn
Tallticka
Talltita
Tretåig hackspett
Ullticka
Vedskivlav
Bronshjon
Mindre märgborre
Spillkråka</t>
        </is>
      </c>
      <c r="W143">
        <f>HYPERLINK("https://klasma.github.io/Logging_2034/artfynd/A 61338-2024 artfynd.xlsx", "A 61338-2024")</f>
        <v/>
      </c>
      <c r="X143">
        <f>HYPERLINK("https://klasma.github.io/Logging_2034/kartor/A 61338-2024 karta.png", "A 61338-2024")</f>
        <v/>
      </c>
      <c r="Y143">
        <f>HYPERLINK("https://klasma.github.io/Logging_2034/kartor_geotiff/A 61338-2024 georefererad karta.tif", "A 61338-2024")</f>
        <v/>
      </c>
      <c r="Z143">
        <f>HYPERLINK("https://klasma.github.io/Logging_2034/knärot/A 61338-2024 karta knärot.png", "A 61338-2024")</f>
        <v/>
      </c>
      <c r="AA143">
        <f>HYPERLINK("https://klasma.github.io/Logging_2034/klagomål/A 61338-2024 FSC-klagomål.docx", "A 61338-2024")</f>
        <v/>
      </c>
      <c r="AB143">
        <f>HYPERLINK("https://klasma.github.io/Logging_2034/klagomålsmail/A 61338-2024 FSC-klagomål mail.docx", "A 61338-2024")</f>
        <v/>
      </c>
      <c r="AC143">
        <f>HYPERLINK("https://klasma.github.io/Logging_2034/tillsyn/A 61338-2024 tillsynsbegäran.docx", "A 61338-2024")</f>
        <v/>
      </c>
      <c r="AD143">
        <f>HYPERLINK("https://klasma.github.io/Logging_2034/tillsynsmail/A 61338-2024 tillsynsbegäran mail.docx", "A 61338-2024")</f>
        <v/>
      </c>
      <c r="AE143">
        <f>HYPERLINK("https://klasma.github.io/Logging_2034/fåglar/A 61338-2024 prioriterade fågelarter.docx", "A 61338-2024")</f>
        <v/>
      </c>
    </row>
    <row r="144" ht="15" customHeight="1">
      <c r="A144" t="inlineStr">
        <is>
          <t>A 59104-2025</t>
        </is>
      </c>
      <c r="B144" t="inlineStr">
        <is>
          <t>avverkningsanmälan</t>
        </is>
      </c>
      <c r="C144" t="inlineStr">
        <is>
          <t>Föryngringsavverkning</t>
        </is>
      </c>
      <c r="D144" s="1" t="n">
        <v>45988</v>
      </c>
      <c r="E144" s="1" t="n">
        <v>46319</v>
      </c>
      <c r="F144" t="inlineStr">
        <is>
          <t>DALARNAS LÄN</t>
        </is>
      </c>
      <c r="G144" t="inlineStr">
        <is>
          <t>ÄLVDALEN</t>
        </is>
      </c>
      <c r="I144" t="n">
        <v>11.6</v>
      </c>
      <c r="J144" t="n">
        <v>5</v>
      </c>
      <c r="K144" t="n">
        <v>2</v>
      </c>
      <c r="L144" t="n">
        <v>8</v>
      </c>
      <c r="M144" t="n">
        <v>2</v>
      </c>
      <c r="N144" t="n">
        <v>0</v>
      </c>
      <c r="O144" t="n">
        <v>0</v>
      </c>
      <c r="P144" t="n">
        <v>0</v>
      </c>
      <c r="Q144" t="n">
        <v>10</v>
      </c>
      <c r="R144" t="n">
        <v>2</v>
      </c>
      <c r="S144" t="n">
        <v>15</v>
      </c>
      <c r="T144" t="n">
        <v>237</v>
      </c>
      <c r="U144" t="n">
        <v>237</v>
      </c>
      <c r="V144" s="2" t="inlineStr">
        <is>
          <t>Fläckporing
Garnlav
Blågrå svartspik
Dropptaggsvamp
Kolflarnlav
Mörk kolflarnlav
Talltita
Tretåig hackspett
Vedflamlav
Vedskivlav
Mindre märgborre
Vedticka
Spillkråka
Tjäder
Orre</t>
        </is>
      </c>
      <c r="W144">
        <f>HYPERLINK("https://klasma.github.io/Logging_2039/artfynd/A 59104-2025 artfynd.xlsx", "A 59104-2025")</f>
        <v/>
      </c>
      <c r="X144">
        <f>HYPERLINK("https://klasma.github.io/Logging_2039/kartor/A 59104-2025 karta.png", "A 59104-2025")</f>
        <v/>
      </c>
      <c r="Y144">
        <f>HYPERLINK("https://klasma.github.io/Logging_2039/kartor_geotiff/A 59104-2025 georefererad karta.tif", "A 59104-2025")</f>
        <v/>
      </c>
      <c r="AA144">
        <f>HYPERLINK("https://klasma.github.io/Logging_2039/klagomål/A 59104-2025 FSC-klagomål.docx", "A 59104-2025")</f>
        <v/>
      </c>
      <c r="AB144">
        <f>HYPERLINK("https://klasma.github.io/Logging_2039/klagomålsmail/A 59104-2025 FSC-klagomål mail.docx", "A 59104-2025")</f>
        <v/>
      </c>
      <c r="AC144">
        <f>HYPERLINK("https://klasma.github.io/Logging_2039/tillsyn/A 59104-2025 tillsynsbegäran.docx", "A 59104-2025")</f>
        <v/>
      </c>
      <c r="AD144">
        <f>HYPERLINK("https://klasma.github.io/Logging_2039/tillsynsmail/A 59104-2025 tillsynsbegäran mail.docx", "A 59104-2025")</f>
        <v/>
      </c>
      <c r="AE144">
        <f>HYPERLINK("https://klasma.github.io/Logging_2039/fåglar/A 59104-2025 prioriterade fågelarter.docx", "A 59104-2025")</f>
        <v/>
      </c>
    </row>
    <row r="145" ht="15" customHeight="1">
      <c r="A145" t="inlineStr">
        <is>
          <t>A 56939-2025</t>
        </is>
      </c>
      <c r="B145" t="inlineStr">
        <is>
          <t>avverkningsanmälan</t>
        </is>
      </c>
      <c r="C145" t="inlineStr">
        <is>
          <t>Föryngringsavverkning</t>
        </is>
      </c>
      <c r="D145" s="1" t="n">
        <v>45978</v>
      </c>
      <c r="E145" s="1" t="n">
        <v>46319</v>
      </c>
      <c r="F145" t="inlineStr">
        <is>
          <t>DALARNAS LÄN</t>
        </is>
      </c>
      <c r="G145" t="inlineStr">
        <is>
          <t>ÄLVDALEN</t>
        </is>
      </c>
      <c r="H145" t="inlineStr">
        <is>
          <t>Allmännings- och besparingsskogar</t>
        </is>
      </c>
      <c r="I145" t="n">
        <v>27.1</v>
      </c>
      <c r="J145" t="n">
        <v>7</v>
      </c>
      <c r="K145" t="n">
        <v>3</v>
      </c>
      <c r="L145" t="n">
        <v>6</v>
      </c>
      <c r="M145" t="n">
        <v>2</v>
      </c>
      <c r="N145" t="n">
        <v>0</v>
      </c>
      <c r="O145" t="n">
        <v>0</v>
      </c>
      <c r="P145" t="n">
        <v>0</v>
      </c>
      <c r="Q145" t="n">
        <v>8</v>
      </c>
      <c r="R145" t="n">
        <v>2</v>
      </c>
      <c r="S145" t="n">
        <v>15</v>
      </c>
      <c r="T145" t="n">
        <v>249</v>
      </c>
      <c r="U145" t="n">
        <v>249</v>
      </c>
      <c r="V145" s="2" t="inlineStr">
        <is>
          <t>Garnlav
Knärot
Kolflarnlav
Mörk kolflarnlav
Tretåig hackspett
Ullticka
Vedflamlav
Vedskivlav
Björksplintborre
Mindre märgborre
Plattlummer
Gråspett
Spillkråka
Tjäder
Revlummer</t>
        </is>
      </c>
      <c r="W145">
        <f>HYPERLINK("https://klasma.github.io/Logging_2039/artfynd/A 56939-2025 artfynd.xlsx", "A 56939-2025")</f>
        <v/>
      </c>
      <c r="X145">
        <f>HYPERLINK("https://klasma.github.io/Logging_2039/kartor/A 56939-2025 karta.png", "A 56939-2025")</f>
        <v/>
      </c>
      <c r="Y145">
        <f>HYPERLINK("https://klasma.github.io/Logging_2039/kartor_geotiff/A 56939-2025 georefererad karta.tif", "A 56939-2025")</f>
        <v/>
      </c>
      <c r="Z145">
        <f>HYPERLINK("https://klasma.github.io/Logging_2039/knärot/A 56939-2025 karta knärot.png", "A 56939-2025")</f>
        <v/>
      </c>
      <c r="AA145">
        <f>HYPERLINK("https://klasma.github.io/Logging_2039/klagomål/A 56939-2025 FSC-klagomål.docx", "A 56939-2025")</f>
        <v/>
      </c>
      <c r="AB145">
        <f>HYPERLINK("https://klasma.github.io/Logging_2039/klagomålsmail/A 56939-2025 FSC-klagomål mail.docx", "A 56939-2025")</f>
        <v/>
      </c>
      <c r="AC145">
        <f>HYPERLINK("https://klasma.github.io/Logging_2039/tillsyn/A 56939-2025 tillsynsbegäran.docx", "A 56939-2025")</f>
        <v/>
      </c>
      <c r="AD145">
        <f>HYPERLINK("https://klasma.github.io/Logging_2039/tillsynsmail/A 56939-2025 tillsynsbegäran mail.docx", "A 56939-2025")</f>
        <v/>
      </c>
      <c r="AE145">
        <f>HYPERLINK("https://klasma.github.io/Logging_2039/fåglar/A 56939-2025 prioriterade fågelarter.docx", "A 56939-2025")</f>
        <v/>
      </c>
    </row>
    <row r="146" ht="15" customHeight="1">
      <c r="A146" t="inlineStr">
        <is>
          <t>A 31967-2025</t>
        </is>
      </c>
      <c r="B146" t="inlineStr">
        <is>
          <t>avverkningsanmälan</t>
        </is>
      </c>
      <c r="C146" t="inlineStr">
        <is>
          <t>Föryngringsavverkning</t>
        </is>
      </c>
      <c r="D146" s="1" t="n">
        <v>45835</v>
      </c>
      <c r="E146" s="1" t="n">
        <v>46319</v>
      </c>
      <c r="F146" t="inlineStr">
        <is>
          <t>DALARNAS LÄN</t>
        </is>
      </c>
      <c r="G146" t="inlineStr">
        <is>
          <t>LEKSAND</t>
        </is>
      </c>
      <c r="I146" t="n">
        <v>6.5</v>
      </c>
      <c r="J146" t="n">
        <v>3</v>
      </c>
      <c r="K146" t="n">
        <v>4</v>
      </c>
      <c r="L146" t="n">
        <v>8</v>
      </c>
      <c r="M146" t="n">
        <v>2</v>
      </c>
      <c r="N146" t="n">
        <v>0</v>
      </c>
      <c r="O146" t="n">
        <v>0</v>
      </c>
      <c r="P146" t="n">
        <v>0</v>
      </c>
      <c r="Q146" t="n">
        <v>10</v>
      </c>
      <c r="R146" t="n">
        <v>2</v>
      </c>
      <c r="S146" t="n">
        <v>15</v>
      </c>
      <c r="T146" t="n">
        <v>40</v>
      </c>
      <c r="U146" t="n">
        <v>40</v>
      </c>
      <c r="V146" s="2" t="inlineStr">
        <is>
          <t>Garnlav
Knärot
Dropptaggsvamp
Gropticka
Lunglav
Mörk kolflarnlav
Rosenticka
Tallticka
Tretåig hackspett
Vedskivlav
Korallblylav
Nästlav
Stuplav
Vedticka
Tjäder</t>
        </is>
      </c>
      <c r="W146">
        <f>HYPERLINK("https://klasma.github.io/Logging_2029/artfynd/A 31967-2025 artfynd.xlsx", "A 31967-2025")</f>
        <v/>
      </c>
      <c r="X146">
        <f>HYPERLINK("https://klasma.github.io/Logging_2029/kartor/A 31967-2025 karta.png", "A 31967-2025")</f>
        <v/>
      </c>
      <c r="Y146">
        <f>HYPERLINK("https://klasma.github.io/Logging_2029/kartor_geotiff/A 31967-2025 georefererad karta.tif", "A 31967-2025")</f>
        <v/>
      </c>
      <c r="Z146">
        <f>HYPERLINK("https://klasma.github.io/Logging_2029/knärot/A 31967-2025 karta knärot.png", "A 31967-2025")</f>
        <v/>
      </c>
      <c r="AA146">
        <f>HYPERLINK("https://klasma.github.io/Logging_2029/klagomål/A 31967-2025 FSC-klagomål.docx", "A 31967-2025")</f>
        <v/>
      </c>
      <c r="AB146">
        <f>HYPERLINK("https://klasma.github.io/Logging_2029/klagomålsmail/A 31967-2025 FSC-klagomål mail.docx", "A 31967-2025")</f>
        <v/>
      </c>
      <c r="AC146">
        <f>HYPERLINK("https://klasma.github.io/Logging_2029/tillsyn/A 31967-2025 tillsynsbegäran.docx", "A 31967-2025")</f>
        <v/>
      </c>
      <c r="AD146">
        <f>HYPERLINK("https://klasma.github.io/Logging_2029/tillsynsmail/A 31967-2025 tillsynsbegäran mail.docx", "A 31967-2025")</f>
        <v/>
      </c>
      <c r="AE146">
        <f>HYPERLINK("https://klasma.github.io/Logging_2029/fåglar/A 31967-2025 prioriterade fågelarter.docx", "A 31967-2025")</f>
        <v/>
      </c>
    </row>
    <row r="147" ht="15" customHeight="1">
      <c r="A147" t="inlineStr">
        <is>
          <t>A 50492-2025</t>
        </is>
      </c>
      <c r="B147" t="inlineStr">
        <is>
          <t>avverkningsanmälan</t>
        </is>
      </c>
      <c r="C147" t="inlineStr">
        <is>
          <t>Föryngringsavverkning</t>
        </is>
      </c>
      <c r="D147" s="1" t="n">
        <v>45945</v>
      </c>
      <c r="E147" s="1" t="n">
        <v>46319</v>
      </c>
      <c r="F147" t="inlineStr">
        <is>
          <t>DALARNAS LÄN</t>
        </is>
      </c>
      <c r="G147" t="inlineStr">
        <is>
          <t>ÄLVDALEN</t>
        </is>
      </c>
      <c r="H147" t="inlineStr">
        <is>
          <t>Allmännings- och besparingsskogar</t>
        </is>
      </c>
      <c r="I147" t="n">
        <v>6.2</v>
      </c>
      <c r="J147" t="n">
        <v>2</v>
      </c>
      <c r="K147" t="n">
        <v>2</v>
      </c>
      <c r="L147" t="n">
        <v>10</v>
      </c>
      <c r="M147" t="n">
        <v>1</v>
      </c>
      <c r="N147" t="n">
        <v>0</v>
      </c>
      <c r="O147" t="n">
        <v>0</v>
      </c>
      <c r="P147" t="n">
        <v>0</v>
      </c>
      <c r="Q147" t="n">
        <v>11</v>
      </c>
      <c r="R147" t="n">
        <v>1</v>
      </c>
      <c r="S147" t="n">
        <v>15</v>
      </c>
      <c r="T147" t="n">
        <v>255</v>
      </c>
      <c r="U147" t="n">
        <v>255</v>
      </c>
      <c r="V147" s="2" t="inlineStr">
        <is>
          <t>Garnlav
Dropptaggsvamp
Dvärgbägarlav
Kolflarnlav
Mörk kolflarnlav
Rosenticka
Skuggblåslav
Tallkötticka
Tallticka
Vedskivlav
Vitplätt
Mindre märgborre
Vedticka
Spillkråka
Tjäder</t>
        </is>
      </c>
      <c r="W147">
        <f>HYPERLINK("https://klasma.github.io/Logging_2039/artfynd/A 50492-2025 artfynd.xlsx", "A 50492-2025")</f>
        <v/>
      </c>
      <c r="X147">
        <f>HYPERLINK("https://klasma.github.io/Logging_2039/kartor/A 50492-2025 karta.png", "A 50492-2025")</f>
        <v/>
      </c>
      <c r="Y147">
        <f>HYPERLINK("https://klasma.github.io/Logging_2039/kartor_geotiff/A 50492-2025 georefererad karta.tif", "A 50492-2025")</f>
        <v/>
      </c>
      <c r="AA147">
        <f>HYPERLINK("https://klasma.github.io/Logging_2039/klagomål/A 50492-2025 FSC-klagomål.docx", "A 50492-2025")</f>
        <v/>
      </c>
      <c r="AB147">
        <f>HYPERLINK("https://klasma.github.io/Logging_2039/klagomålsmail/A 50492-2025 FSC-klagomål mail.docx", "A 50492-2025")</f>
        <v/>
      </c>
      <c r="AC147">
        <f>HYPERLINK("https://klasma.github.io/Logging_2039/tillsyn/A 50492-2025 tillsynsbegäran.docx", "A 50492-2025")</f>
        <v/>
      </c>
      <c r="AD147">
        <f>HYPERLINK("https://klasma.github.io/Logging_2039/tillsynsmail/A 50492-2025 tillsynsbegäran mail.docx", "A 50492-2025")</f>
        <v/>
      </c>
      <c r="AE147">
        <f>HYPERLINK("https://klasma.github.io/Logging_2039/fåglar/A 50492-2025 prioriterade fågelarter.docx", "A 50492-2025")</f>
        <v/>
      </c>
    </row>
    <row r="148" ht="15" customHeight="1">
      <c r="A148" t="inlineStr">
        <is>
          <t>A 22782-2026</t>
        </is>
      </c>
      <c r="B148" t="inlineStr">
        <is>
          <t>avverkningsanmälan</t>
        </is>
      </c>
      <c r="C148" t="inlineStr">
        <is>
          <t>Föryngringsavverkning</t>
        </is>
      </c>
      <c r="D148" s="1" t="n">
        <v>46157</v>
      </c>
      <c r="E148" s="1" t="n">
        <v>46319</v>
      </c>
      <c r="F148" t="inlineStr">
        <is>
          <t>DALARNAS LÄN</t>
        </is>
      </c>
      <c r="G148" t="inlineStr">
        <is>
          <t>MALUNG-SÄLEN</t>
        </is>
      </c>
      <c r="H148" t="inlineStr">
        <is>
          <t>Allmännings- och besparingsskogar</t>
        </is>
      </c>
      <c r="I148" t="n">
        <v>25.5</v>
      </c>
      <c r="J148" t="n">
        <v>4</v>
      </c>
      <c r="K148" t="n">
        <v>2</v>
      </c>
      <c r="L148" t="n">
        <v>8</v>
      </c>
      <c r="M148" t="n">
        <v>1</v>
      </c>
      <c r="N148" t="n">
        <v>1</v>
      </c>
      <c r="O148" t="n">
        <v>0</v>
      </c>
      <c r="P148" t="n">
        <v>0</v>
      </c>
      <c r="Q148" t="n">
        <v>10</v>
      </c>
      <c r="R148" t="n">
        <v>2</v>
      </c>
      <c r="S148" t="n">
        <v>15</v>
      </c>
      <c r="T148" t="n">
        <v>110</v>
      </c>
      <c r="U148" t="n">
        <v>108</v>
      </c>
      <c r="V148" s="2" t="inlineStr">
        <is>
          <t>Pärluggla
Garnlav
Blågrå svartspik
Dvärgbägarlav
Kortskaftad ärgspik
Mörk kolflarnlav
Skuggblåslav
Vedflamlav
Vedskivlav
Violettgrå tagellav
Norrlandslav
Nästlav
Spillkråka
Tjäder
Orre</t>
        </is>
      </c>
      <c r="W148">
        <f>HYPERLINK("https://klasma.github.io/Logging_2023/artfynd/A 22782-2026 artfynd.xlsx", "A 22782-2026")</f>
        <v/>
      </c>
      <c r="X148">
        <f>HYPERLINK("https://klasma.github.io/Logging_2023/kartor/A 22782-2026 karta.png", "A 22782-2026")</f>
        <v/>
      </c>
      <c r="Y148">
        <f>HYPERLINK("https://klasma.github.io/Logging_2023/kartor_geotiff/A 22782-2026 georefererad karta.tif", "A 22782-2026")</f>
        <v/>
      </c>
      <c r="AA148">
        <f>HYPERLINK("https://klasma.github.io/Logging_2023/klagomål/A 22782-2026 FSC-klagomål.docx", "A 22782-2026")</f>
        <v/>
      </c>
      <c r="AB148">
        <f>HYPERLINK("https://klasma.github.io/Logging_2023/klagomålsmail/A 22782-2026 FSC-klagomål mail.docx", "A 22782-2026")</f>
        <v/>
      </c>
      <c r="AC148">
        <f>HYPERLINK("https://klasma.github.io/Logging_2023/tillsyn/A 22782-2026 tillsynsbegäran.docx", "A 22782-2026")</f>
        <v/>
      </c>
      <c r="AD148">
        <f>HYPERLINK("https://klasma.github.io/Logging_2023/tillsynsmail/A 22782-2026 tillsynsbegäran mail.docx", "A 22782-2026")</f>
        <v/>
      </c>
      <c r="AE148">
        <f>HYPERLINK("https://klasma.github.io/Logging_2023/fåglar/A 22782-2026 prioriterade fågelarter.docx", "A 22782-2026")</f>
        <v/>
      </c>
    </row>
    <row r="149" ht="15" customHeight="1">
      <c r="A149" t="inlineStr">
        <is>
          <t>A 48348-2024</t>
        </is>
      </c>
      <c r="B149" t="inlineStr">
        <is>
          <t>avverkningsanmälan</t>
        </is>
      </c>
      <c r="C149" t="inlineStr">
        <is>
          <t>Föryngringsavverkning</t>
        </is>
      </c>
      <c r="D149" s="1" t="n">
        <v>45590</v>
      </c>
      <c r="E149" s="1" t="n">
        <v>46319</v>
      </c>
      <c r="F149" t="inlineStr">
        <is>
          <t>DALARNAS LÄN</t>
        </is>
      </c>
      <c r="G149" t="inlineStr">
        <is>
          <t>MORA</t>
        </is>
      </c>
      <c r="I149" t="n">
        <v>31.7</v>
      </c>
      <c r="J149" t="n">
        <v>2</v>
      </c>
      <c r="K149" t="n">
        <v>2</v>
      </c>
      <c r="L149" t="n">
        <v>11</v>
      </c>
      <c r="M149" t="n">
        <v>1</v>
      </c>
      <c r="N149" t="n">
        <v>0</v>
      </c>
      <c r="O149" t="n">
        <v>0</v>
      </c>
      <c r="P149" t="n">
        <v>0</v>
      </c>
      <c r="Q149" t="n">
        <v>12</v>
      </c>
      <c r="R149" t="n">
        <v>1</v>
      </c>
      <c r="S149" t="n">
        <v>15</v>
      </c>
      <c r="T149" t="n">
        <v>54</v>
      </c>
      <c r="U149" t="n">
        <v>28</v>
      </c>
      <c r="V149" s="2" t="inlineStr">
        <is>
          <t>Garnlav
Doftskinn
Dvärgbägarlav
Kolflarnlav
Mörk kolflarnlav
Skarp dropptaggsvamp
Tallriska
Tallticka
Talltita
Vedflamlav
Vedskivlav
Vitgrynig nållav
Bronshjon
Vedticka
Spillkråka</t>
        </is>
      </c>
      <c r="W149">
        <f>HYPERLINK("https://klasma.github.io/Logging_2062/artfynd/A 48348-2024 artfynd.xlsx", "A 48348-2024")</f>
        <v/>
      </c>
      <c r="X149">
        <f>HYPERLINK("https://klasma.github.io/Logging_2062/kartor/A 48348-2024 karta.png", "A 48348-2024")</f>
        <v/>
      </c>
      <c r="Y149">
        <f>HYPERLINK("https://klasma.github.io/Logging_2062/kartor_geotiff/A 48348-2024 georefererad karta.tif", "A 48348-2024")</f>
        <v/>
      </c>
      <c r="AA149">
        <f>HYPERLINK("https://klasma.github.io/Logging_2062/klagomål/A 48348-2024 FSC-klagomål.docx", "A 48348-2024")</f>
        <v/>
      </c>
      <c r="AB149">
        <f>HYPERLINK("https://klasma.github.io/Logging_2062/klagomålsmail/A 48348-2024 FSC-klagomål mail.docx", "A 48348-2024")</f>
        <v/>
      </c>
      <c r="AC149">
        <f>HYPERLINK("https://klasma.github.io/Logging_2062/tillsyn/A 48348-2024 tillsynsbegäran.docx", "A 48348-2024")</f>
        <v/>
      </c>
      <c r="AD149">
        <f>HYPERLINK("https://klasma.github.io/Logging_2062/tillsynsmail/A 48348-2024 tillsynsbegäran mail.docx", "A 48348-2024")</f>
        <v/>
      </c>
      <c r="AE149">
        <f>HYPERLINK("https://klasma.github.io/Logging_2062/fåglar/A 48348-2024 prioriterade fågelarter.docx", "A 48348-2024")</f>
        <v/>
      </c>
    </row>
    <row r="150" ht="15" customHeight="1">
      <c r="A150" t="inlineStr">
        <is>
          <t>A 34930-2024</t>
        </is>
      </c>
      <c r="B150" t="inlineStr">
        <is>
          <t>avverkningsanmälan</t>
        </is>
      </c>
      <c r="C150" t="inlineStr">
        <is>
          <t>Föryngringsavverkning</t>
        </is>
      </c>
      <c r="D150" s="1" t="n">
        <v>45527</v>
      </c>
      <c r="E150" s="1" t="n">
        <v>46319</v>
      </c>
      <c r="F150" t="inlineStr">
        <is>
          <t>DALARNAS LÄN</t>
        </is>
      </c>
      <c r="G150" t="inlineStr">
        <is>
          <t>HEDEMORA</t>
        </is>
      </c>
      <c r="H150" t="inlineStr">
        <is>
          <t>Sveaskog</t>
        </is>
      </c>
      <c r="I150" t="n">
        <v>6.1</v>
      </c>
      <c r="J150" t="n">
        <v>3</v>
      </c>
      <c r="K150" t="n">
        <v>3</v>
      </c>
      <c r="L150" t="n">
        <v>6</v>
      </c>
      <c r="M150" t="n">
        <v>3</v>
      </c>
      <c r="N150" t="n">
        <v>0</v>
      </c>
      <c r="O150" t="n">
        <v>0</v>
      </c>
      <c r="P150" t="n">
        <v>0</v>
      </c>
      <c r="Q150" t="n">
        <v>9</v>
      </c>
      <c r="R150" t="n">
        <v>3</v>
      </c>
      <c r="S150" t="n">
        <v>14</v>
      </c>
      <c r="T150" t="n">
        <v>90</v>
      </c>
      <c r="U150" t="n">
        <v>90</v>
      </c>
      <c r="V150" s="2" t="inlineStr">
        <is>
          <t>Gul taggsvamp
Läderdoftande fingersvamp
Taggfingersvamp
Dofttaggsvamp
Fjällig taggsvamp s.str.
Odörspindling
Skarp dropptaggsvamp
Talltita
Ullticka
Anisspindling
Olivspindling
Svavelriska
Blåsippa
Revlummer</t>
        </is>
      </c>
      <c r="W150">
        <f>HYPERLINK("https://klasma.github.io/Logging_2083/artfynd/A 34930-2024 artfynd.xlsx", "A 34930-2024")</f>
        <v/>
      </c>
      <c r="X150">
        <f>HYPERLINK("https://klasma.github.io/Logging_2083/kartor/A 34930-2024 karta.png", "A 34930-2024")</f>
        <v/>
      </c>
      <c r="Y150">
        <f>HYPERLINK("https://klasma.github.io/Logging_2083/kartor_geotiff/A 34930-2024 georefererad karta.tif", "A 34930-2024")</f>
        <v/>
      </c>
      <c r="AA150">
        <f>HYPERLINK("https://klasma.github.io/Logging_2083/klagomål/A 34930-2024 FSC-klagomål.docx", "A 34930-2024")</f>
        <v/>
      </c>
      <c r="AB150">
        <f>HYPERLINK("https://klasma.github.io/Logging_2083/klagomålsmail/A 34930-2024 FSC-klagomål mail.docx", "A 34930-2024")</f>
        <v/>
      </c>
      <c r="AC150">
        <f>HYPERLINK("https://klasma.github.io/Logging_2083/tillsyn/A 34930-2024 tillsynsbegäran.docx", "A 34930-2024")</f>
        <v/>
      </c>
      <c r="AD150">
        <f>HYPERLINK("https://klasma.github.io/Logging_2083/tillsynsmail/A 34930-2024 tillsynsbegäran mail.docx", "A 34930-2024")</f>
        <v/>
      </c>
      <c r="AE150">
        <f>HYPERLINK("https://klasma.github.io/Logging_2083/fåglar/A 34930-2024 prioriterade fågelarter.docx", "A 34930-2024")</f>
        <v/>
      </c>
    </row>
    <row r="151" ht="15" customHeight="1">
      <c r="A151" t="inlineStr">
        <is>
          <t>A 53931-2025</t>
        </is>
      </c>
      <c r="B151" t="inlineStr">
        <is>
          <t>avverkningsanmälan</t>
        </is>
      </c>
      <c r="C151" t="inlineStr">
        <is>
          <t>Föryngringsavverkning</t>
        </is>
      </c>
      <c r="D151" s="1" t="n">
        <v>45961</v>
      </c>
      <c r="E151" s="1" t="n">
        <v>46319</v>
      </c>
      <c r="F151" t="inlineStr">
        <is>
          <t>DALARNAS LÄN</t>
        </is>
      </c>
      <c r="G151" t="inlineStr">
        <is>
          <t>LUDVIKA</t>
        </is>
      </c>
      <c r="H151" t="inlineStr">
        <is>
          <t>Bergvik skog väst AB</t>
        </is>
      </c>
      <c r="I151" t="n">
        <v>22.8</v>
      </c>
      <c r="J151" t="n">
        <v>2</v>
      </c>
      <c r="K151" t="n">
        <v>2</v>
      </c>
      <c r="L151" t="n">
        <v>10</v>
      </c>
      <c r="M151" t="n">
        <v>1</v>
      </c>
      <c r="N151" t="n">
        <v>0</v>
      </c>
      <c r="O151" t="n">
        <v>0</v>
      </c>
      <c r="P151" t="n">
        <v>0</v>
      </c>
      <c r="Q151" t="n">
        <v>11</v>
      </c>
      <c r="R151" t="n">
        <v>1</v>
      </c>
      <c r="S151" t="n">
        <v>14</v>
      </c>
      <c r="T151" t="n">
        <v>85</v>
      </c>
      <c r="U151" t="n">
        <v>70</v>
      </c>
      <c r="V151" s="2" t="inlineStr">
        <is>
          <t>Garnlav
Doftskinn
Dropptaggsvamp
Dvärgbägarlav
Fjällig taggsvamp s.str.
Kolflarnlav
Kortskaftad ärgspik
Svart taggsvamp
Tretåig hackspett
Ullticka
Vedskivlav
Nästlav
Vedticka
Spillkråka</t>
        </is>
      </c>
      <c r="W151">
        <f>HYPERLINK("https://klasma.github.io/Logging_2085/artfynd/A 53931-2025 artfynd.xlsx", "A 53931-2025")</f>
        <v/>
      </c>
      <c r="X151">
        <f>HYPERLINK("https://klasma.github.io/Logging_2085/kartor/A 53931-2025 karta.png", "A 53931-2025")</f>
        <v/>
      </c>
      <c r="Y151">
        <f>HYPERLINK("https://klasma.github.io/Logging_2085/kartor_geotiff/A 53931-2025 georefererad karta.tif", "A 53931-2025")</f>
        <v/>
      </c>
      <c r="AA151">
        <f>HYPERLINK("https://klasma.github.io/Logging_2085/klagomål/A 53931-2025 FSC-klagomål.docx", "A 53931-2025")</f>
        <v/>
      </c>
      <c r="AB151">
        <f>HYPERLINK("https://klasma.github.io/Logging_2085/klagomålsmail/A 53931-2025 FSC-klagomål mail.docx", "A 53931-2025")</f>
        <v/>
      </c>
      <c r="AC151">
        <f>HYPERLINK("https://klasma.github.io/Logging_2085/tillsyn/A 53931-2025 tillsynsbegäran.docx", "A 53931-2025")</f>
        <v/>
      </c>
      <c r="AD151">
        <f>HYPERLINK("https://klasma.github.io/Logging_2085/tillsynsmail/A 53931-2025 tillsynsbegäran mail.docx", "A 53931-2025")</f>
        <v/>
      </c>
      <c r="AE151">
        <f>HYPERLINK("https://klasma.github.io/Logging_2085/fåglar/A 53931-2025 prioriterade fågelarter.docx", "A 53931-2025")</f>
        <v/>
      </c>
    </row>
    <row r="152" ht="15" customHeight="1">
      <c r="A152" t="inlineStr">
        <is>
          <t>A 31037-2023</t>
        </is>
      </c>
      <c r="B152" t="inlineStr">
        <is>
          <t>avverkningsanmälan</t>
        </is>
      </c>
      <c r="C152" t="inlineStr">
        <is>
          <t>Föryngringsavverkning</t>
        </is>
      </c>
      <c r="D152" s="1" t="n">
        <v>45113</v>
      </c>
      <c r="E152" s="1" t="n">
        <v>46319</v>
      </c>
      <c r="F152" t="inlineStr">
        <is>
          <t>DALARNAS LÄN</t>
        </is>
      </c>
      <c r="G152" t="inlineStr">
        <is>
          <t>ÄLVDALEN</t>
        </is>
      </c>
      <c r="H152" t="inlineStr">
        <is>
          <t>Allmännings- och besparingsskogar</t>
        </is>
      </c>
      <c r="I152" t="n">
        <v>17.8</v>
      </c>
      <c r="J152" t="n">
        <v>2</v>
      </c>
      <c r="K152" t="n">
        <v>0</v>
      </c>
      <c r="L152" t="n">
        <v>10</v>
      </c>
      <c r="M152" t="n">
        <v>4</v>
      </c>
      <c r="N152" t="n">
        <v>0</v>
      </c>
      <c r="O152" t="n">
        <v>0</v>
      </c>
      <c r="P152" t="n">
        <v>0</v>
      </c>
      <c r="Q152" t="n">
        <v>14</v>
      </c>
      <c r="R152" t="n">
        <v>4</v>
      </c>
      <c r="S152" t="n">
        <v>14</v>
      </c>
      <c r="T152" t="n">
        <v>46</v>
      </c>
      <c r="U152" t="n">
        <v>45</v>
      </c>
      <c r="V152" s="2" t="inlineStr">
        <is>
          <t>Fläckporing
Garnlav
Gräddporing
Smalfotad taggsvamp
Blanksvart spiklav
Blågrå svartspik
Dvärgbägarlav
Kolflarnlav
Mörk kolflarnlav
Nordtagging
Talltita
Varglav
Vedflamlav
Vedskivlav</t>
        </is>
      </c>
      <c r="W152">
        <f>HYPERLINK("https://klasma.github.io/Logging_2039/artfynd/A 31037-2023 artfynd.xlsx", "A 31037-2023")</f>
        <v/>
      </c>
      <c r="X152">
        <f>HYPERLINK("https://klasma.github.io/Logging_2039/kartor/A 31037-2023 karta.png", "A 31037-2023")</f>
        <v/>
      </c>
      <c r="Y152">
        <f>HYPERLINK("https://klasma.github.io/Logging_2039/kartor_geotiff/A 31037-2023 georefererad karta.tif", "A 31037-2023")</f>
        <v/>
      </c>
      <c r="AA152">
        <f>HYPERLINK("https://klasma.github.io/Logging_2039/klagomål/A 31037-2023 FSC-klagomål.docx", "A 31037-2023")</f>
        <v/>
      </c>
      <c r="AB152">
        <f>HYPERLINK("https://klasma.github.io/Logging_2039/klagomålsmail/A 31037-2023 FSC-klagomål mail.docx", "A 31037-2023")</f>
        <v/>
      </c>
      <c r="AC152">
        <f>HYPERLINK("https://klasma.github.io/Logging_2039/tillsyn/A 31037-2023 tillsynsbegäran.docx", "A 31037-2023")</f>
        <v/>
      </c>
      <c r="AD152">
        <f>HYPERLINK("https://klasma.github.io/Logging_2039/tillsynsmail/A 31037-2023 tillsynsbegäran mail.docx", "A 31037-2023")</f>
        <v/>
      </c>
      <c r="AE152">
        <f>HYPERLINK("https://klasma.github.io/Logging_2039/fåglar/A 31037-2023 prioriterade fågelarter.docx", "A 31037-2023")</f>
        <v/>
      </c>
    </row>
    <row r="153" ht="15" customHeight="1">
      <c r="A153" t="inlineStr">
        <is>
          <t>A 1455-2026</t>
        </is>
      </c>
      <c r="B153" t="inlineStr">
        <is>
          <t>avverkningsanmälan</t>
        </is>
      </c>
      <c r="C153" t="inlineStr">
        <is>
          <t>Föryngringsavverkning</t>
        </is>
      </c>
      <c r="D153" s="1" t="n">
        <v>46033</v>
      </c>
      <c r="E153" s="1" t="n">
        <v>46319</v>
      </c>
      <c r="F153" t="inlineStr">
        <is>
          <t>DALARNAS LÄN</t>
        </is>
      </c>
      <c r="G153" t="inlineStr">
        <is>
          <t>HEDEMORA</t>
        </is>
      </c>
      <c r="I153" t="n">
        <v>1.4</v>
      </c>
      <c r="J153" t="n">
        <v>5</v>
      </c>
      <c r="K153" t="n">
        <v>3</v>
      </c>
      <c r="L153" t="n">
        <v>7</v>
      </c>
      <c r="M153" t="n">
        <v>2</v>
      </c>
      <c r="N153" t="n">
        <v>0</v>
      </c>
      <c r="O153" t="n">
        <v>0</v>
      </c>
      <c r="P153" t="n">
        <v>0</v>
      </c>
      <c r="Q153" t="n">
        <v>9</v>
      </c>
      <c r="R153" t="n">
        <v>2</v>
      </c>
      <c r="S153" t="n">
        <v>14</v>
      </c>
      <c r="T153" t="n">
        <v>40</v>
      </c>
      <c r="U153" t="n">
        <v>0</v>
      </c>
      <c r="V153" s="2" t="inlineStr">
        <is>
          <t>Knärot
Laxporing
Blågrå svartspik
Gropticka
Kortskaftad ärgspik
Talltita
Tretåig hackspett
Ullticka
Vaddporing
Bronshjon
Vedticka
Vågbandad barkbock
Tjäder
Grönsiska</t>
        </is>
      </c>
      <c r="W153">
        <f>HYPERLINK("https://klasma.github.io/Logging_2083/artfynd/A 1455-2026 artfynd.xlsx", "A 1455-2026")</f>
        <v/>
      </c>
      <c r="X153">
        <f>HYPERLINK("https://klasma.github.io/Logging_2083/kartor/A 1455-2026 karta.png", "A 1455-2026")</f>
        <v/>
      </c>
      <c r="Y153">
        <f>HYPERLINK("https://klasma.github.io/Logging_2083/kartor_geotiff/A 1455-2026 georefererad karta.tif", "A 1455-2026")</f>
        <v/>
      </c>
      <c r="Z153">
        <f>HYPERLINK("https://klasma.github.io/Logging_2083/knärot/A 1455-2026 karta knärot.png", "A 1455-2026")</f>
        <v/>
      </c>
      <c r="AA153">
        <f>HYPERLINK("https://klasma.github.io/Logging_2083/klagomål/A 1455-2026 FSC-klagomål.docx", "A 1455-2026")</f>
        <v/>
      </c>
      <c r="AB153">
        <f>HYPERLINK("https://klasma.github.io/Logging_2083/klagomålsmail/A 1455-2026 FSC-klagomål mail.docx", "A 1455-2026")</f>
        <v/>
      </c>
      <c r="AC153">
        <f>HYPERLINK("https://klasma.github.io/Logging_2083/tillsyn/A 1455-2026 tillsynsbegäran.docx", "A 1455-2026")</f>
        <v/>
      </c>
      <c r="AD153">
        <f>HYPERLINK("https://klasma.github.io/Logging_2083/tillsynsmail/A 1455-2026 tillsynsbegäran mail.docx", "A 1455-2026")</f>
        <v/>
      </c>
      <c r="AE153">
        <f>HYPERLINK("https://klasma.github.io/Logging_2083/fåglar/A 1455-2026 prioriterade fågelarter.docx", "A 1455-2026")</f>
        <v/>
      </c>
    </row>
    <row r="154" ht="15" customHeight="1">
      <c r="A154" t="inlineStr">
        <is>
          <t>A 62040-2021</t>
        </is>
      </c>
      <c r="B154" t="inlineStr">
        <is>
          <t>avverkningsanmälan</t>
        </is>
      </c>
      <c r="C154" t="inlineStr">
        <is>
          <t>Föryngringsavverkning</t>
        </is>
      </c>
      <c r="D154" s="1" t="n">
        <v>44502</v>
      </c>
      <c r="E154" s="1" t="n">
        <v>46319</v>
      </c>
      <c r="F154" t="inlineStr">
        <is>
          <t>DALARNAS LÄN</t>
        </is>
      </c>
      <c r="G154" t="inlineStr">
        <is>
          <t>HEDEMORA</t>
        </is>
      </c>
      <c r="I154" t="n">
        <v>1.6</v>
      </c>
      <c r="J154" t="n">
        <v>5</v>
      </c>
      <c r="K154" t="n">
        <v>3</v>
      </c>
      <c r="L154" t="n">
        <v>7</v>
      </c>
      <c r="M154" t="n">
        <v>2</v>
      </c>
      <c r="N154" t="n">
        <v>0</v>
      </c>
      <c r="O154" t="n">
        <v>0</v>
      </c>
      <c r="P154" t="n">
        <v>0</v>
      </c>
      <c r="Q154" t="n">
        <v>9</v>
      </c>
      <c r="R154" t="n">
        <v>2</v>
      </c>
      <c r="S154" t="n">
        <v>14</v>
      </c>
      <c r="T154" t="n">
        <v>40</v>
      </c>
      <c r="U154" t="n">
        <v>40</v>
      </c>
      <c r="V154" s="2" t="inlineStr">
        <is>
          <t>Knärot
Laxporing
Blågrå svartspik
Gropticka
Kortskaftad ärgspik
Talltita
Tretåig hackspett
Ullticka
Vaddporing
Bronshjon
Vedticka
Vågbandad barkbock
Tjäder
Grönsiska</t>
        </is>
      </c>
      <c r="W154">
        <f>HYPERLINK("https://klasma.github.io/Logging_2083/artfynd/A 62040-2021 artfynd.xlsx", "A 62040-2021")</f>
        <v/>
      </c>
      <c r="X154">
        <f>HYPERLINK("https://klasma.github.io/Logging_2083/kartor/A 62040-2021 karta.png", "A 62040-2021")</f>
        <v/>
      </c>
      <c r="Y154">
        <f>HYPERLINK("https://klasma.github.io/Logging_2083/kartor_geotiff/A 62040-2021 georefererad karta.tif", "A 62040-2021")</f>
        <v/>
      </c>
      <c r="Z154">
        <f>HYPERLINK("https://klasma.github.io/Logging_2083/knärot/A 62040-2021 karta knärot.png", "A 62040-2021")</f>
        <v/>
      </c>
      <c r="AA154">
        <f>HYPERLINK("https://klasma.github.io/Logging_2083/klagomål/A 62040-2021 FSC-klagomål.docx", "A 62040-2021")</f>
        <v/>
      </c>
      <c r="AB154">
        <f>HYPERLINK("https://klasma.github.io/Logging_2083/klagomålsmail/A 62040-2021 FSC-klagomål mail.docx", "A 62040-2021")</f>
        <v/>
      </c>
      <c r="AC154">
        <f>HYPERLINK("https://klasma.github.io/Logging_2083/tillsyn/A 62040-2021 tillsynsbegäran.docx", "A 62040-2021")</f>
        <v/>
      </c>
      <c r="AD154">
        <f>HYPERLINK("https://klasma.github.io/Logging_2083/tillsynsmail/A 62040-2021 tillsynsbegäran mail.docx", "A 62040-2021")</f>
        <v/>
      </c>
      <c r="AE154">
        <f>HYPERLINK("https://klasma.github.io/Logging_2083/fåglar/A 62040-2021 prioriterade fågelarter.docx", "A 62040-2021")</f>
        <v/>
      </c>
    </row>
    <row r="155" ht="15" customHeight="1">
      <c r="A155" t="inlineStr">
        <is>
          <t>A 31842-2026</t>
        </is>
      </c>
      <c r="B155" t="inlineStr">
        <is>
          <t>avverkningsanmälan</t>
        </is>
      </c>
      <c r="C155" t="inlineStr">
        <is>
          <t>Föryngringsavverkning</t>
        </is>
      </c>
      <c r="D155" s="1" t="n">
        <v>46230</v>
      </c>
      <c r="E155" s="1" t="n">
        <v>46319</v>
      </c>
      <c r="F155" t="inlineStr">
        <is>
          <t>DALARNAS LÄN</t>
        </is>
      </c>
      <c r="G155" t="inlineStr">
        <is>
          <t>MORA</t>
        </is>
      </c>
      <c r="H155" t="inlineStr">
        <is>
          <t>Bergvik skog väst AB</t>
        </is>
      </c>
      <c r="I155" t="n">
        <v>9.6</v>
      </c>
      <c r="J155" t="n">
        <v>4</v>
      </c>
      <c r="K155" t="n">
        <v>3</v>
      </c>
      <c r="L155" t="n">
        <v>3</v>
      </c>
      <c r="M155" t="n">
        <v>3</v>
      </c>
      <c r="N155" t="n">
        <v>0</v>
      </c>
      <c r="O155" t="n">
        <v>0</v>
      </c>
      <c r="P155" t="n">
        <v>0</v>
      </c>
      <c r="Q155" t="n">
        <v>6</v>
      </c>
      <c r="R155" t="n">
        <v>3</v>
      </c>
      <c r="S155" t="n">
        <v>14</v>
      </c>
      <c r="T155" t="n">
        <v>89</v>
      </c>
      <c r="U155" t="n">
        <v>89</v>
      </c>
      <c r="V155" s="2" t="inlineStr">
        <is>
          <t>Garnlav
Gränsticka
Knärot
Talltita
Ullticka
Vedskivlav
Kransrams
Tibast
Vedticka
Brudborste
Ormbär
Torta
Fläcknycklar
Revlummer</t>
        </is>
      </c>
      <c r="W155">
        <f>HYPERLINK("https://klasma.github.io/Logging_2062/artfynd/A 31842-2026 artfynd.xlsx", "A 31842-2026")</f>
        <v/>
      </c>
      <c r="X155">
        <f>HYPERLINK("https://klasma.github.io/Logging_2062/kartor/A 31842-2026 karta.png", "A 31842-2026")</f>
        <v/>
      </c>
      <c r="Y155">
        <f>HYPERLINK("https://klasma.github.io/Logging_2062/kartor_geotiff/A 31842-2026 georefererad karta.tif", "A 31842-2026")</f>
        <v/>
      </c>
      <c r="Z155">
        <f>HYPERLINK("https://klasma.github.io/Logging_2062/knärot/A 31842-2026 karta knärot.png", "A 31842-2026")</f>
        <v/>
      </c>
      <c r="AA155">
        <f>HYPERLINK("https://klasma.github.io/Logging_2062/klagomål/A 31842-2026 FSC-klagomål.docx", "A 31842-2026")</f>
        <v/>
      </c>
      <c r="AB155">
        <f>HYPERLINK("https://klasma.github.io/Logging_2062/klagomålsmail/A 31842-2026 FSC-klagomål mail.docx", "A 31842-2026")</f>
        <v/>
      </c>
      <c r="AC155">
        <f>HYPERLINK("https://klasma.github.io/Logging_2062/tillsyn/A 31842-2026 tillsynsbegäran.docx", "A 31842-2026")</f>
        <v/>
      </c>
      <c r="AD155">
        <f>HYPERLINK("https://klasma.github.io/Logging_2062/tillsynsmail/A 31842-2026 tillsynsbegäran mail.docx", "A 31842-2026")</f>
        <v/>
      </c>
      <c r="AE155">
        <f>HYPERLINK("https://klasma.github.io/Logging_2062/fåglar/A 31842-2026 prioriterade fågelarter.docx", "A 31842-2026")</f>
        <v/>
      </c>
    </row>
    <row r="156" ht="15" customHeight="1">
      <c r="A156" t="inlineStr">
        <is>
          <t>A 50728-2022</t>
        </is>
      </c>
      <c r="B156" t="inlineStr">
        <is>
          <t>avverkningsanmälan</t>
        </is>
      </c>
      <c r="C156" t="inlineStr">
        <is>
          <t>Avverkning för annat ändamål</t>
        </is>
      </c>
      <c r="D156" s="1" t="n">
        <v>44867</v>
      </c>
      <c r="E156" s="1" t="n">
        <v>46319</v>
      </c>
      <c r="F156" t="inlineStr">
        <is>
          <t>DALARNAS LÄN</t>
        </is>
      </c>
      <c r="G156" t="inlineStr">
        <is>
          <t>ORSA</t>
        </is>
      </c>
      <c r="H156" t="inlineStr">
        <is>
          <t>Allmännings- och besparingsskogar</t>
        </is>
      </c>
      <c r="I156" t="n">
        <v>1.8</v>
      </c>
      <c r="J156" t="n">
        <v>2</v>
      </c>
      <c r="K156" t="n">
        <v>3</v>
      </c>
      <c r="L156" t="n">
        <v>7</v>
      </c>
      <c r="M156" t="n">
        <v>3</v>
      </c>
      <c r="N156" t="n">
        <v>0</v>
      </c>
      <c r="O156" t="n">
        <v>0</v>
      </c>
      <c r="P156" t="n">
        <v>0</v>
      </c>
      <c r="Q156" t="n">
        <v>10</v>
      </c>
      <c r="R156" t="n">
        <v>3</v>
      </c>
      <c r="S156" t="n">
        <v>14</v>
      </c>
      <c r="T156" t="n">
        <v>55</v>
      </c>
      <c r="U156" t="n">
        <v>55</v>
      </c>
      <c r="V156" s="2" t="inlineStr">
        <is>
          <t>Garnlav
Gräddporing
Skuggnål
Dropptaggsvamp
Kolflarnlav
Lunglav
Skrovellav
Tretåig hackspett
Vedskivlav
Violettgrå tagellav
Bårdlav
Stuplav
Vågbandad barkbock
Tjäder</t>
        </is>
      </c>
      <c r="W156">
        <f>HYPERLINK("https://klasma.github.io/Logging_2034/artfynd/A 50728-2022 artfynd.xlsx", "A 50728-2022")</f>
        <v/>
      </c>
      <c r="X156">
        <f>HYPERLINK("https://klasma.github.io/Logging_2034/kartor/A 50728-2022 karta.png", "A 50728-2022")</f>
        <v/>
      </c>
      <c r="Y156">
        <f>HYPERLINK("https://klasma.github.io/Logging_2034/kartor_geotiff/A 50728-2022 georefererad karta.tif", "A 50728-2022")</f>
        <v/>
      </c>
      <c r="AA156">
        <f>HYPERLINK("https://klasma.github.io/Logging_2034/klagomål/A 50728-2022 FSC-klagomål.docx", "A 50728-2022")</f>
        <v/>
      </c>
      <c r="AB156">
        <f>HYPERLINK("https://klasma.github.io/Logging_2034/klagomålsmail/A 50728-2022 FSC-klagomål mail.docx", "A 50728-2022")</f>
        <v/>
      </c>
      <c r="AC156">
        <f>HYPERLINK("https://klasma.github.io/Logging_2034/tillsyn/A 50728-2022 tillsynsbegäran.docx", "A 50728-2022")</f>
        <v/>
      </c>
      <c r="AD156">
        <f>HYPERLINK("https://klasma.github.io/Logging_2034/tillsynsmail/A 50728-2022 tillsynsbegäran mail.docx", "A 50728-2022")</f>
        <v/>
      </c>
      <c r="AE156">
        <f>HYPERLINK("https://klasma.github.io/Logging_2034/fåglar/A 50728-2022 prioriterade fågelarter.docx", "A 50728-2022")</f>
        <v/>
      </c>
    </row>
    <row r="157" ht="15" customHeight="1">
      <c r="A157" t="inlineStr">
        <is>
          <t>A 56438-2024</t>
        </is>
      </c>
      <c r="B157" t="inlineStr">
        <is>
          <t>avverkningsanmälan</t>
        </is>
      </c>
      <c r="C157" t="inlineStr">
        <is>
          <t>Föryngringsavverkning</t>
        </is>
      </c>
      <c r="D157" s="1" t="n">
        <v>45625</v>
      </c>
      <c r="E157" s="1" t="n">
        <v>46319</v>
      </c>
      <c r="F157" t="inlineStr">
        <is>
          <t>DALARNAS LÄN</t>
        </is>
      </c>
      <c r="G157" t="inlineStr">
        <is>
          <t>MORA</t>
        </is>
      </c>
      <c r="I157" t="n">
        <v>8.800000000000001</v>
      </c>
      <c r="J157" t="n">
        <v>3</v>
      </c>
      <c r="K157" t="n">
        <v>3</v>
      </c>
      <c r="L157" t="n">
        <v>8</v>
      </c>
      <c r="M157" t="n">
        <v>1</v>
      </c>
      <c r="N157" t="n">
        <v>0</v>
      </c>
      <c r="O157" t="n">
        <v>0</v>
      </c>
      <c r="P157" t="n">
        <v>0</v>
      </c>
      <c r="Q157" t="n">
        <v>9</v>
      </c>
      <c r="R157" t="n">
        <v>1</v>
      </c>
      <c r="S157" t="n">
        <v>14</v>
      </c>
      <c r="T157" t="n">
        <v>136</v>
      </c>
      <c r="U157" t="n">
        <v>136</v>
      </c>
      <c r="V157" s="2" t="inlineStr">
        <is>
          <t>Garnlav
Kolflarnlav
Mörk kolflarnlav
Rosenticka
Tallticka
Tretåig hackspett
Ullticka
Vedskivlav
Vitgrynig nållav
Blodticka
Bronshjon
Mindre märgborre
Spillkråka
Tjäder</t>
        </is>
      </c>
      <c r="W157">
        <f>HYPERLINK("https://klasma.github.io/Logging_2062/artfynd/A 56438-2024 artfynd.xlsx", "A 56438-2024")</f>
        <v/>
      </c>
      <c r="X157">
        <f>HYPERLINK("https://klasma.github.io/Logging_2062/kartor/A 56438-2024 karta.png", "A 56438-2024")</f>
        <v/>
      </c>
      <c r="Y157">
        <f>HYPERLINK("https://klasma.github.io/Logging_2062/kartor_geotiff/A 56438-2024 georefererad karta.tif", "A 56438-2024")</f>
        <v/>
      </c>
      <c r="AA157">
        <f>HYPERLINK("https://klasma.github.io/Logging_2062/klagomål/A 56438-2024 FSC-klagomål.docx", "A 56438-2024")</f>
        <v/>
      </c>
      <c r="AB157">
        <f>HYPERLINK("https://klasma.github.io/Logging_2062/klagomålsmail/A 56438-2024 FSC-klagomål mail.docx", "A 56438-2024")</f>
        <v/>
      </c>
      <c r="AC157">
        <f>HYPERLINK("https://klasma.github.io/Logging_2062/tillsyn/A 56438-2024 tillsynsbegäran.docx", "A 56438-2024")</f>
        <v/>
      </c>
      <c r="AD157">
        <f>HYPERLINK("https://klasma.github.io/Logging_2062/tillsynsmail/A 56438-2024 tillsynsbegäran mail.docx", "A 56438-2024")</f>
        <v/>
      </c>
      <c r="AE157">
        <f>HYPERLINK("https://klasma.github.io/Logging_2062/fåglar/A 56438-2024 prioriterade fågelarter.docx", "A 56438-2024")</f>
        <v/>
      </c>
    </row>
    <row r="158" ht="15" customHeight="1">
      <c r="A158" t="inlineStr">
        <is>
          <t>A 58945-2025</t>
        </is>
      </c>
      <c r="B158" t="inlineStr">
        <is>
          <t>avverkningsanmälan</t>
        </is>
      </c>
      <c r="C158" t="inlineStr">
        <is>
          <t>Föryngringsavverkning</t>
        </is>
      </c>
      <c r="D158" s="1" t="n">
        <v>45987</v>
      </c>
      <c r="E158" s="1" t="n">
        <v>46319</v>
      </c>
      <c r="F158" t="inlineStr">
        <is>
          <t>DALARNAS LÄN</t>
        </is>
      </c>
      <c r="G158" t="inlineStr">
        <is>
          <t>VANSBRO</t>
        </is>
      </c>
      <c r="I158" t="n">
        <v>12.1</v>
      </c>
      <c r="J158" t="n">
        <v>4</v>
      </c>
      <c r="K158" t="n">
        <v>4</v>
      </c>
      <c r="L158" t="n">
        <v>7</v>
      </c>
      <c r="M158" t="n">
        <v>1</v>
      </c>
      <c r="N158" t="n">
        <v>0</v>
      </c>
      <c r="O158" t="n">
        <v>0</v>
      </c>
      <c r="P158" t="n">
        <v>0</v>
      </c>
      <c r="Q158" t="n">
        <v>8</v>
      </c>
      <c r="R158" t="n">
        <v>1</v>
      </c>
      <c r="S158" t="n">
        <v>14</v>
      </c>
      <c r="T158" t="n">
        <v>64</v>
      </c>
      <c r="U158" t="n">
        <v>19</v>
      </c>
      <c r="V158" s="2" t="inlineStr">
        <is>
          <t>Garnlav
Dropptaggsvamp
Kolflarnlav
Mörk kolflarnlav
Skarp dropptaggsvamp
Tallticka
Talltita
Tretåig hackspett
Bollvitmossa
Mindre märgborre
Vedticka
Vågbandad barkbock
Spillkråka
Tjäder</t>
        </is>
      </c>
      <c r="W158">
        <f>HYPERLINK("https://klasma.github.io/Logging_2021/artfynd/A 58945-2025 artfynd.xlsx", "A 58945-2025")</f>
        <v/>
      </c>
      <c r="X158">
        <f>HYPERLINK("https://klasma.github.io/Logging_2021/kartor/A 58945-2025 karta.png", "A 58945-2025")</f>
        <v/>
      </c>
      <c r="Y158">
        <f>HYPERLINK("https://klasma.github.io/Logging_2021/kartor_geotiff/A 58945-2025 georefererad karta.tif", "A 58945-2025")</f>
        <v/>
      </c>
      <c r="Z158">
        <f>HYPERLINK("https://klasma.github.io/Logging_2021/knärot/A 58945-2025 karta knärot.png", "A 58945-2025")</f>
        <v/>
      </c>
      <c r="AA158">
        <f>HYPERLINK("https://klasma.github.io/Logging_2021/klagomål/A 58945-2025 FSC-klagomål.docx", "A 58945-2025")</f>
        <v/>
      </c>
      <c r="AB158">
        <f>HYPERLINK("https://klasma.github.io/Logging_2021/klagomålsmail/A 58945-2025 FSC-klagomål mail.docx", "A 58945-2025")</f>
        <v/>
      </c>
      <c r="AC158">
        <f>HYPERLINK("https://klasma.github.io/Logging_2021/tillsyn/A 58945-2025 tillsynsbegäran.docx", "A 58945-2025")</f>
        <v/>
      </c>
      <c r="AD158">
        <f>HYPERLINK("https://klasma.github.io/Logging_2021/tillsynsmail/A 58945-2025 tillsynsbegäran mail.docx", "A 58945-2025")</f>
        <v/>
      </c>
      <c r="AE158">
        <f>HYPERLINK("https://klasma.github.io/Logging_2021/fåglar/A 58945-2025 prioriterade fågelarter.docx", "A 58945-2025")</f>
        <v/>
      </c>
    </row>
    <row r="159" ht="15" customHeight="1">
      <c r="A159" t="inlineStr">
        <is>
          <t>A 35314-2025</t>
        </is>
      </c>
      <c r="B159" t="inlineStr">
        <is>
          <t>avverkningsanmälan</t>
        </is>
      </c>
      <c r="C159" t="inlineStr">
        <is>
          <t>Föryngringsavverkning</t>
        </is>
      </c>
      <c r="D159" s="1" t="n">
        <v>45854</v>
      </c>
      <c r="E159" s="1" t="n">
        <v>46319</v>
      </c>
      <c r="F159" t="inlineStr">
        <is>
          <t>DALARNAS LÄN</t>
        </is>
      </c>
      <c r="G159" t="inlineStr">
        <is>
          <t>LEKSAND</t>
        </is>
      </c>
      <c r="I159" t="n">
        <v>7.8</v>
      </c>
      <c r="J159" t="n">
        <v>3</v>
      </c>
      <c r="K159" t="n">
        <v>4</v>
      </c>
      <c r="L159" t="n">
        <v>6</v>
      </c>
      <c r="M159" t="n">
        <v>3</v>
      </c>
      <c r="N159" t="n">
        <v>0</v>
      </c>
      <c r="O159" t="n">
        <v>0</v>
      </c>
      <c r="P159" t="n">
        <v>0</v>
      </c>
      <c r="Q159" t="n">
        <v>9</v>
      </c>
      <c r="R159" t="n">
        <v>3</v>
      </c>
      <c r="S159" t="n">
        <v>14</v>
      </c>
      <c r="T159" t="n">
        <v>52</v>
      </c>
      <c r="U159" t="n">
        <v>1</v>
      </c>
      <c r="V159" s="2" t="inlineStr">
        <is>
          <t>Garnlav
Knärot
Skeletocutis delicata
Dropptaggsvamp
Talltita
Ullticka
Vedskivlav
Vedtrappmossa
Vitgrynig nållav
Bollvitmossa
Bronshjon
Mindre märgborre
Vedticka
Revlummer</t>
        </is>
      </c>
      <c r="W159">
        <f>HYPERLINK("https://klasma.github.io/Logging_2029/artfynd/A 35314-2025 artfynd.xlsx", "A 35314-2025")</f>
        <v/>
      </c>
      <c r="X159">
        <f>HYPERLINK("https://klasma.github.io/Logging_2029/kartor/A 35314-2025 karta.png", "A 35314-2025")</f>
        <v/>
      </c>
      <c r="Y159">
        <f>HYPERLINK("https://klasma.github.io/Logging_2029/kartor_geotiff/A 35314-2025 georefererad karta.tif", "A 35314-2025")</f>
        <v/>
      </c>
      <c r="Z159">
        <f>HYPERLINK("https://klasma.github.io/Logging_2029/knärot/A 35314-2025 karta knärot.png", "A 35314-2025")</f>
        <v/>
      </c>
      <c r="AA159">
        <f>HYPERLINK("https://klasma.github.io/Logging_2029/klagomål/A 35314-2025 FSC-klagomål.docx", "A 35314-2025")</f>
        <v/>
      </c>
      <c r="AB159">
        <f>HYPERLINK("https://klasma.github.io/Logging_2029/klagomålsmail/A 35314-2025 FSC-klagomål mail.docx", "A 35314-2025")</f>
        <v/>
      </c>
      <c r="AC159">
        <f>HYPERLINK("https://klasma.github.io/Logging_2029/tillsyn/A 35314-2025 tillsynsbegäran.docx", "A 35314-2025")</f>
        <v/>
      </c>
      <c r="AD159">
        <f>HYPERLINK("https://klasma.github.io/Logging_2029/tillsynsmail/A 35314-2025 tillsynsbegäran mail.docx", "A 35314-2025")</f>
        <v/>
      </c>
      <c r="AE159">
        <f>HYPERLINK("https://klasma.github.io/Logging_2029/fåglar/A 35314-2025 prioriterade fågelarter.docx", "A 35314-2025")</f>
        <v/>
      </c>
    </row>
    <row r="160" ht="15" customHeight="1">
      <c r="A160" t="inlineStr">
        <is>
          <t>A 15715-2026</t>
        </is>
      </c>
      <c r="B160" t="inlineStr">
        <is>
          <t>avverkningsanmälan</t>
        </is>
      </c>
      <c r="C160" t="inlineStr">
        <is>
          <t>Föryngringsavverkning</t>
        </is>
      </c>
      <c r="D160" s="1" t="n">
        <v>46107</v>
      </c>
      <c r="E160" s="1" t="n">
        <v>46319</v>
      </c>
      <c r="F160" t="inlineStr">
        <is>
          <t>DALARNAS LÄN</t>
        </is>
      </c>
      <c r="G160" t="inlineStr">
        <is>
          <t>ÄLVDALEN</t>
        </is>
      </c>
      <c r="I160" t="n">
        <v>9.6</v>
      </c>
      <c r="J160" t="n">
        <v>5</v>
      </c>
      <c r="K160" t="n">
        <v>1</v>
      </c>
      <c r="L160" t="n">
        <v>8</v>
      </c>
      <c r="M160" t="n">
        <v>1</v>
      </c>
      <c r="N160" t="n">
        <v>0</v>
      </c>
      <c r="O160" t="n">
        <v>0</v>
      </c>
      <c r="P160" t="n">
        <v>0</v>
      </c>
      <c r="Q160" t="n">
        <v>9</v>
      </c>
      <c r="R160" t="n">
        <v>1</v>
      </c>
      <c r="S160" t="n">
        <v>14</v>
      </c>
      <c r="T160" t="n">
        <v>128</v>
      </c>
      <c r="U160" t="n">
        <v>127</v>
      </c>
      <c r="V160" s="2" t="inlineStr">
        <is>
          <t>Garnlav
Blågrå svartspik
Mörk kolflarnlav
Skogshare
Skrovellav
Tallticka
Tretåig hackspett
Vedflamlav
Vedskivlav
Mindre märgborre
Järpe
Spillkråka
Tjäder
Orre</t>
        </is>
      </c>
      <c r="W160">
        <f>HYPERLINK("https://klasma.github.io/Logging_2039/artfynd/A 15715-2026 artfynd.xlsx", "A 15715-2026")</f>
        <v/>
      </c>
      <c r="X160">
        <f>HYPERLINK("https://klasma.github.io/Logging_2039/kartor/A 15715-2026 karta.png", "A 15715-2026")</f>
        <v/>
      </c>
      <c r="Y160">
        <f>HYPERLINK("https://klasma.github.io/Logging_2039/kartor_geotiff/A 15715-2026 georefererad karta.tif", "A 15715-2026")</f>
        <v/>
      </c>
      <c r="AA160">
        <f>HYPERLINK("https://klasma.github.io/Logging_2039/klagomål/A 15715-2026 FSC-klagomål.docx", "A 15715-2026")</f>
        <v/>
      </c>
      <c r="AB160">
        <f>HYPERLINK("https://klasma.github.io/Logging_2039/klagomålsmail/A 15715-2026 FSC-klagomål mail.docx", "A 15715-2026")</f>
        <v/>
      </c>
      <c r="AC160">
        <f>HYPERLINK("https://klasma.github.io/Logging_2039/tillsyn/A 15715-2026 tillsynsbegäran.docx", "A 15715-2026")</f>
        <v/>
      </c>
      <c r="AD160">
        <f>HYPERLINK("https://klasma.github.io/Logging_2039/tillsynsmail/A 15715-2026 tillsynsbegäran mail.docx", "A 15715-2026")</f>
        <v/>
      </c>
      <c r="AE160">
        <f>HYPERLINK("https://klasma.github.io/Logging_2039/fåglar/A 15715-2026 prioriterade fågelarter.docx", "A 15715-2026")</f>
        <v/>
      </c>
    </row>
    <row r="161" ht="15" customHeight="1">
      <c r="A161" t="inlineStr">
        <is>
          <t>A 31137-2025</t>
        </is>
      </c>
      <c r="B161" t="inlineStr">
        <is>
          <t>avverkningsanmälan</t>
        </is>
      </c>
      <c r="C161" t="inlineStr">
        <is>
          <t>Föryngringsavverkning</t>
        </is>
      </c>
      <c r="D161" s="1" t="n">
        <v>45832</v>
      </c>
      <c r="E161" s="1" t="n">
        <v>46319</v>
      </c>
      <c r="F161" t="inlineStr">
        <is>
          <t>DALARNAS LÄN</t>
        </is>
      </c>
      <c r="G161" t="inlineStr">
        <is>
          <t>ORSA</t>
        </is>
      </c>
      <c r="I161" t="n">
        <v>1.4</v>
      </c>
      <c r="J161" t="n">
        <v>6</v>
      </c>
      <c r="K161" t="n">
        <v>6</v>
      </c>
      <c r="L161" t="n">
        <v>3</v>
      </c>
      <c r="M161" t="n">
        <v>1</v>
      </c>
      <c r="N161" t="n">
        <v>0</v>
      </c>
      <c r="O161" t="n">
        <v>0</v>
      </c>
      <c r="P161" t="n">
        <v>0</v>
      </c>
      <c r="Q161" t="n">
        <v>4</v>
      </c>
      <c r="R161" t="n">
        <v>1</v>
      </c>
      <c r="S161" t="n">
        <v>14</v>
      </c>
      <c r="T161" t="n">
        <v>63</v>
      </c>
      <c r="U161" t="n">
        <v>63</v>
      </c>
      <c r="V161" s="2" t="inlineStr">
        <is>
          <t>Garnlav
Rynkskinn
Tretåig hackspett
Violettgrå tagellav
Bronshjon
Gytterlav
Norrlandslav
Spindelblomster
Vedticka
Vågbandad barkbock
Spillkråka
Tjäder
Fläcknycklar
Revlummer</t>
        </is>
      </c>
      <c r="W161">
        <f>HYPERLINK("https://klasma.github.io/Logging_2034/artfynd/A 31137-2025 artfynd.xlsx", "A 31137-2025")</f>
        <v/>
      </c>
      <c r="X161">
        <f>HYPERLINK("https://klasma.github.io/Logging_2034/kartor/A 31137-2025 karta.png", "A 31137-2025")</f>
        <v/>
      </c>
      <c r="Y161">
        <f>HYPERLINK("https://klasma.github.io/Logging_2034/kartor_geotiff/A 31137-2025 georefererad karta.tif", "A 31137-2025")</f>
        <v/>
      </c>
      <c r="AA161">
        <f>HYPERLINK("https://klasma.github.io/Logging_2034/klagomål/A 31137-2025 FSC-klagomål.docx", "A 31137-2025")</f>
        <v/>
      </c>
      <c r="AB161">
        <f>HYPERLINK("https://klasma.github.io/Logging_2034/klagomålsmail/A 31137-2025 FSC-klagomål mail.docx", "A 31137-2025")</f>
        <v/>
      </c>
      <c r="AC161">
        <f>HYPERLINK("https://klasma.github.io/Logging_2034/tillsyn/A 31137-2025 tillsynsbegäran.docx", "A 31137-2025")</f>
        <v/>
      </c>
      <c r="AD161">
        <f>HYPERLINK("https://klasma.github.io/Logging_2034/tillsynsmail/A 31137-2025 tillsynsbegäran mail.docx", "A 31137-2025")</f>
        <v/>
      </c>
      <c r="AE161">
        <f>HYPERLINK("https://klasma.github.io/Logging_2034/fåglar/A 31137-2025 prioriterade fågelarter.docx", "A 31137-2025")</f>
        <v/>
      </c>
    </row>
    <row r="162" ht="15" customHeight="1">
      <c r="A162" t="inlineStr">
        <is>
          <t>A 38047-2025</t>
        </is>
      </c>
      <c r="B162" t="inlineStr">
        <is>
          <t>avverkningsanmälan</t>
        </is>
      </c>
      <c r="C162" t="inlineStr">
        <is>
          <t>Föryngringsavverkning</t>
        </is>
      </c>
      <c r="D162" s="1" t="n">
        <v>45882</v>
      </c>
      <c r="E162" s="1" t="n">
        <v>46319</v>
      </c>
      <c r="F162" t="inlineStr">
        <is>
          <t>DALARNAS LÄN</t>
        </is>
      </c>
      <c r="G162" t="inlineStr">
        <is>
          <t>ORSA</t>
        </is>
      </c>
      <c r="I162" t="n">
        <v>6.9</v>
      </c>
      <c r="J162" t="n">
        <v>6</v>
      </c>
      <c r="K162" t="n">
        <v>3</v>
      </c>
      <c r="L162" t="n">
        <v>8</v>
      </c>
      <c r="M162" t="n">
        <v>1</v>
      </c>
      <c r="N162" t="n">
        <v>0</v>
      </c>
      <c r="O162" t="n">
        <v>0</v>
      </c>
      <c r="P162" t="n">
        <v>0</v>
      </c>
      <c r="Q162" t="n">
        <v>9</v>
      </c>
      <c r="R162" t="n">
        <v>1</v>
      </c>
      <c r="S162" t="n">
        <v>14</v>
      </c>
      <c r="T162" t="n">
        <v>74</v>
      </c>
      <c r="U162" t="n">
        <v>74</v>
      </c>
      <c r="V162" s="2" t="inlineStr">
        <is>
          <t>Garnlav
Bivråk
Björktrast
Dropptaggsvamp
Mörk kolflarnlav
Talltita
Tretåig hackspett
Vedflamlav
Violettgrå tagellav
Bronshjon
Mindre märgborre
Vedticka
Spillkråka
Tjäder</t>
        </is>
      </c>
      <c r="W162">
        <f>HYPERLINK("https://klasma.github.io/Logging_2034/artfynd/A 38047-2025 artfynd.xlsx", "A 38047-2025")</f>
        <v/>
      </c>
      <c r="X162">
        <f>HYPERLINK("https://klasma.github.io/Logging_2034/kartor/A 38047-2025 karta.png", "A 38047-2025")</f>
        <v/>
      </c>
      <c r="Y162">
        <f>HYPERLINK("https://klasma.github.io/Logging_2034/kartor_geotiff/A 38047-2025 georefererad karta.tif", "A 38047-2025")</f>
        <v/>
      </c>
      <c r="AA162">
        <f>HYPERLINK("https://klasma.github.io/Logging_2034/klagomål/A 38047-2025 FSC-klagomål.docx", "A 38047-2025")</f>
        <v/>
      </c>
      <c r="AB162">
        <f>HYPERLINK("https://klasma.github.io/Logging_2034/klagomålsmail/A 38047-2025 FSC-klagomål mail.docx", "A 38047-2025")</f>
        <v/>
      </c>
      <c r="AC162">
        <f>HYPERLINK("https://klasma.github.io/Logging_2034/tillsyn/A 38047-2025 tillsynsbegäran.docx", "A 38047-2025")</f>
        <v/>
      </c>
      <c r="AD162">
        <f>HYPERLINK("https://klasma.github.io/Logging_2034/tillsynsmail/A 38047-2025 tillsynsbegäran mail.docx", "A 38047-2025")</f>
        <v/>
      </c>
      <c r="AE162">
        <f>HYPERLINK("https://klasma.github.io/Logging_2034/fåglar/A 38047-2025 prioriterade fågelarter.docx", "A 38047-2025")</f>
        <v/>
      </c>
    </row>
    <row r="163" ht="15" customHeight="1">
      <c r="A163" t="inlineStr">
        <is>
          <t>A 2121-2025</t>
        </is>
      </c>
      <c r="B163" t="inlineStr">
        <is>
          <t>avverkningsanmälan</t>
        </is>
      </c>
      <c r="C163" t="inlineStr">
        <is>
          <t>Föryngringsavverkning</t>
        </is>
      </c>
      <c r="D163" s="1" t="n">
        <v>45672</v>
      </c>
      <c r="E163" s="1" t="n">
        <v>46319</v>
      </c>
      <c r="F163" t="inlineStr">
        <is>
          <t>DALARNAS LÄN</t>
        </is>
      </c>
      <c r="G163" t="inlineStr">
        <is>
          <t>ORSA</t>
        </is>
      </c>
      <c r="I163" t="n">
        <v>16</v>
      </c>
      <c r="J163" t="n">
        <v>5</v>
      </c>
      <c r="K163" t="n">
        <v>2</v>
      </c>
      <c r="L163" t="n">
        <v>9</v>
      </c>
      <c r="M163" t="n">
        <v>1</v>
      </c>
      <c r="N163" t="n">
        <v>0</v>
      </c>
      <c r="O163" t="n">
        <v>0</v>
      </c>
      <c r="P163" t="n">
        <v>0</v>
      </c>
      <c r="Q163" t="n">
        <v>10</v>
      </c>
      <c r="R163" t="n">
        <v>1</v>
      </c>
      <c r="S163" t="n">
        <v>14</v>
      </c>
      <c r="T163" t="n">
        <v>241</v>
      </c>
      <c r="U163" t="n">
        <v>241</v>
      </c>
      <c r="V163" s="2" t="inlineStr">
        <is>
          <t>Garnlav
Järnsparv
Kolflarnlav
Lunglav
Mörk kolflarnlav
Tallticka
Talltita
Tretåig hackspett
Vedskivlav
Violettgrå tagellav
Mindre märgborre
Nästlav
Spillkråka
Tjäder</t>
        </is>
      </c>
      <c r="W163">
        <f>HYPERLINK("https://klasma.github.io/Logging_2034/artfynd/A 2121-2025 artfynd.xlsx", "A 2121-2025")</f>
        <v/>
      </c>
      <c r="X163">
        <f>HYPERLINK("https://klasma.github.io/Logging_2034/kartor/A 2121-2025 karta.png", "A 2121-2025")</f>
        <v/>
      </c>
      <c r="Y163">
        <f>HYPERLINK("https://klasma.github.io/Logging_2034/kartor_geotiff/A 2121-2025 georefererad karta.tif", "A 2121-2025")</f>
        <v/>
      </c>
      <c r="AA163">
        <f>HYPERLINK("https://klasma.github.io/Logging_2034/klagomål/A 2121-2025 FSC-klagomål.docx", "A 2121-2025")</f>
        <v/>
      </c>
      <c r="AB163">
        <f>HYPERLINK("https://klasma.github.io/Logging_2034/klagomålsmail/A 2121-2025 FSC-klagomål mail.docx", "A 2121-2025")</f>
        <v/>
      </c>
      <c r="AC163">
        <f>HYPERLINK("https://klasma.github.io/Logging_2034/tillsyn/A 2121-2025 tillsynsbegäran.docx", "A 2121-2025")</f>
        <v/>
      </c>
      <c r="AD163">
        <f>HYPERLINK("https://klasma.github.io/Logging_2034/tillsynsmail/A 2121-2025 tillsynsbegäran mail.docx", "A 2121-2025")</f>
        <v/>
      </c>
      <c r="AE163">
        <f>HYPERLINK("https://klasma.github.io/Logging_2034/fåglar/A 2121-2025 prioriterade fågelarter.docx", "A 2121-2025")</f>
        <v/>
      </c>
    </row>
    <row r="164" ht="15" customHeight="1">
      <c r="A164" t="inlineStr">
        <is>
          <t>A 21284-2026</t>
        </is>
      </c>
      <c r="B164" t="inlineStr">
        <is>
          <t>avverkningsanmälan</t>
        </is>
      </c>
      <c r="C164" t="inlineStr">
        <is>
          <t>Föryngringsavverkning</t>
        </is>
      </c>
      <c r="D164" s="1" t="n">
        <v>46147</v>
      </c>
      <c r="E164" s="1" t="n">
        <v>46319</v>
      </c>
      <c r="F164" t="inlineStr">
        <is>
          <t>DALARNAS LÄN</t>
        </is>
      </c>
      <c r="G164" t="inlineStr">
        <is>
          <t>MORA</t>
        </is>
      </c>
      <c r="I164" t="n">
        <v>6.1</v>
      </c>
      <c r="J164" t="n">
        <v>4</v>
      </c>
      <c r="K164" t="n">
        <v>4</v>
      </c>
      <c r="L164" t="n">
        <v>7</v>
      </c>
      <c r="M164" t="n">
        <v>1</v>
      </c>
      <c r="N164" t="n">
        <v>0</v>
      </c>
      <c r="O164" t="n">
        <v>0</v>
      </c>
      <c r="P164" t="n">
        <v>0</v>
      </c>
      <c r="Q164" t="n">
        <v>8</v>
      </c>
      <c r="R164" t="n">
        <v>1</v>
      </c>
      <c r="S164" t="n">
        <v>14</v>
      </c>
      <c r="T164" t="n">
        <v>44</v>
      </c>
      <c r="U164" t="n">
        <v>0</v>
      </c>
      <c r="V164" s="2" t="inlineStr">
        <is>
          <t>Garnlav
Dvärgbägarlav
Kolflarnlav
Mörk kolflarnlav
Tretåig hackspett
Vedflamlav
Vedskivlav
Violettgrå tagellav
Mindre märgborre
Nästlav
Plattlummer
Vedticka
Spillkråka
Tjäder</t>
        </is>
      </c>
      <c r="W164">
        <f>HYPERLINK("https://klasma.github.io/Logging_2062/artfynd/A 21284-2026 artfynd.xlsx", "A 21284-2026")</f>
        <v/>
      </c>
      <c r="X164">
        <f>HYPERLINK("https://klasma.github.io/Logging_2062/kartor/A 21284-2026 karta.png", "A 21284-2026")</f>
        <v/>
      </c>
      <c r="Y164">
        <f>HYPERLINK("https://klasma.github.io/Logging_2062/kartor_geotiff/A 21284-2026 georefererad karta.tif", "A 21284-2026")</f>
        <v/>
      </c>
      <c r="AA164">
        <f>HYPERLINK("https://klasma.github.io/Logging_2062/klagomål/A 21284-2026 FSC-klagomål.docx", "A 21284-2026")</f>
        <v/>
      </c>
      <c r="AB164">
        <f>HYPERLINK("https://klasma.github.io/Logging_2062/klagomålsmail/A 21284-2026 FSC-klagomål mail.docx", "A 21284-2026")</f>
        <v/>
      </c>
      <c r="AC164">
        <f>HYPERLINK("https://klasma.github.io/Logging_2062/tillsyn/A 21284-2026 tillsynsbegäran.docx", "A 21284-2026")</f>
        <v/>
      </c>
      <c r="AD164">
        <f>HYPERLINK("https://klasma.github.io/Logging_2062/tillsynsmail/A 21284-2026 tillsynsbegäran mail.docx", "A 21284-2026")</f>
        <v/>
      </c>
      <c r="AE164">
        <f>HYPERLINK("https://klasma.github.io/Logging_2062/fåglar/A 21284-2026 prioriterade fågelarter.docx", "A 21284-2026")</f>
        <v/>
      </c>
    </row>
    <row r="165" ht="15" customHeight="1">
      <c r="A165" t="inlineStr">
        <is>
          <t>A 34929-2024</t>
        </is>
      </c>
      <c r="B165" t="inlineStr">
        <is>
          <t>avverkningsanmälan</t>
        </is>
      </c>
      <c r="C165" t="inlineStr">
        <is>
          <t>Föryngringsavverkning</t>
        </is>
      </c>
      <c r="D165" s="1" t="n">
        <v>45527</v>
      </c>
      <c r="E165" s="1" t="n">
        <v>46319</v>
      </c>
      <c r="F165" t="inlineStr">
        <is>
          <t>DALARNAS LÄN</t>
        </is>
      </c>
      <c r="G165" t="inlineStr">
        <is>
          <t>HEDEMORA</t>
        </is>
      </c>
      <c r="H165" t="inlineStr">
        <is>
          <t>Sveaskog</t>
        </is>
      </c>
      <c r="I165" t="n">
        <v>5.1</v>
      </c>
      <c r="J165" t="n">
        <v>4</v>
      </c>
      <c r="K165" t="n">
        <v>5</v>
      </c>
      <c r="L165" t="n">
        <v>2</v>
      </c>
      <c r="M165" t="n">
        <v>1</v>
      </c>
      <c r="N165" t="n">
        <v>2</v>
      </c>
      <c r="O165" t="n">
        <v>0</v>
      </c>
      <c r="P165" t="n">
        <v>0</v>
      </c>
      <c r="Q165" t="n">
        <v>5</v>
      </c>
      <c r="R165" t="n">
        <v>3</v>
      </c>
      <c r="S165" t="n">
        <v>14</v>
      </c>
      <c r="T165" t="n">
        <v>44</v>
      </c>
      <c r="U165" t="n">
        <v>44</v>
      </c>
      <c r="V165" s="2" t="inlineStr">
        <is>
          <t>Sammetstaggsvamp
Violgubbe
Gul taggsvamp
Dofttaggsvamp
Gultoppig fingersvamp
Olivspindling
Rödgul trumpetsvamp
Skogsknipprot
Svart trolldruva
Svavelriska
Blåsippa
Svarta vinbär
Fläcknycklar
Nattviol</t>
        </is>
      </c>
      <c r="W165">
        <f>HYPERLINK("https://klasma.github.io/Logging_2083/artfynd/A 34929-2024 artfynd.xlsx", "A 34929-2024")</f>
        <v/>
      </c>
      <c r="X165">
        <f>HYPERLINK("https://klasma.github.io/Logging_2083/kartor/A 34929-2024 karta.png", "A 34929-2024")</f>
        <v/>
      </c>
      <c r="Y165">
        <f>HYPERLINK("https://klasma.github.io/Logging_2083/kartor_geotiff/A 34929-2024 georefererad karta.tif", "A 34929-2024")</f>
        <v/>
      </c>
      <c r="AA165">
        <f>HYPERLINK("https://klasma.github.io/Logging_2083/klagomål/A 34929-2024 FSC-klagomål.docx", "A 34929-2024")</f>
        <v/>
      </c>
      <c r="AB165">
        <f>HYPERLINK("https://klasma.github.io/Logging_2083/klagomålsmail/A 34929-2024 FSC-klagomål mail.docx", "A 34929-2024")</f>
        <v/>
      </c>
      <c r="AC165">
        <f>HYPERLINK("https://klasma.github.io/Logging_2083/tillsyn/A 34929-2024 tillsynsbegäran.docx", "A 34929-2024")</f>
        <v/>
      </c>
      <c r="AD165">
        <f>HYPERLINK("https://klasma.github.io/Logging_2083/tillsynsmail/A 34929-2024 tillsynsbegäran mail.docx", "A 34929-2024")</f>
        <v/>
      </c>
    </row>
    <row r="166" ht="15" customHeight="1">
      <c r="A166" t="inlineStr">
        <is>
          <t>S 2840-2025</t>
        </is>
      </c>
      <c r="B166" t="inlineStr">
        <is>
          <t>samrådsanmälan</t>
        </is>
      </c>
      <c r="C166" t="inlineStr">
        <is>
          <t>Annan skogsbruksåtgärd</t>
        </is>
      </c>
      <c r="D166" s="1" t="n">
        <v>45940</v>
      </c>
      <c r="E166" s="1" t="n">
        <v>46319</v>
      </c>
      <c r="F166" t="inlineStr">
        <is>
          <t>DALARNAS LÄN</t>
        </is>
      </c>
      <c r="G166" t="inlineStr">
        <is>
          <t>HEDEMORA</t>
        </is>
      </c>
      <c r="H166" t="inlineStr">
        <is>
          <t>Bergvik skog väst AB</t>
        </is>
      </c>
      <c r="I166" t="n">
        <v>6.7</v>
      </c>
      <c r="J166" t="n">
        <v>6</v>
      </c>
      <c r="K166" t="n">
        <v>2</v>
      </c>
      <c r="L166" t="n">
        <v>7</v>
      </c>
      <c r="M166" t="n">
        <v>2</v>
      </c>
      <c r="N166" t="n">
        <v>0</v>
      </c>
      <c r="O166" t="n">
        <v>0</v>
      </c>
      <c r="P166" t="n">
        <v>0</v>
      </c>
      <c r="Q166" t="n">
        <v>9</v>
      </c>
      <c r="R166" t="n">
        <v>2</v>
      </c>
      <c r="S166" t="n">
        <v>14</v>
      </c>
      <c r="T166" t="n">
        <v>55</v>
      </c>
      <c r="U166" t="n">
        <v>1</v>
      </c>
      <c r="V166" s="2" t="inlineStr">
        <is>
          <t>Berguv
Lakritsmusseron
Dropptaggsvamp
Motaggsvamp
Sotvaxskivling
Tallfingersvamp
Tallticka
Talltita
Tretåig hackspett
Blomkålssvamp
Mindre märgborre
Nattskärra
Spillkråka
Kråka</t>
        </is>
      </c>
      <c r="W166">
        <f>HYPERLINK("https://klasma.github.io/Logging_2083/artfynd/S 2840-2025 artfynd.xlsx", "S 2840-2025")</f>
        <v/>
      </c>
      <c r="X166">
        <f>HYPERLINK("https://klasma.github.io/Logging_2083/kartor/S 2840-2025 karta.png", "S 2840-2025")</f>
        <v/>
      </c>
      <c r="Y166">
        <f>HYPERLINK("https://klasma.github.io/Logging_2083/kartor_geotiff/S 2840-2025 georefererad karta.tif", "S 2840-2025")</f>
        <v/>
      </c>
      <c r="AA166">
        <f>HYPERLINK("https://klasma.github.io/Logging_2083/klagomål/S 2840-2025 FSC-klagomål.docx", "S 2840-2025")</f>
        <v/>
      </c>
      <c r="AB166">
        <f>HYPERLINK("https://klasma.github.io/Logging_2083/klagomålsmail/S 2840-2025 FSC-klagomål mail.docx", "S 2840-2025")</f>
        <v/>
      </c>
      <c r="AC166">
        <f>HYPERLINK("https://klasma.github.io/Logging_2083/tillsyn/S 2840-2025 tillsynsbegäran.docx", "S 2840-2025")</f>
        <v/>
      </c>
      <c r="AD166">
        <f>HYPERLINK("https://klasma.github.io/Logging_2083/tillsynsmail/S 2840-2025 tillsynsbegäran mail.docx", "S 2840-2025")</f>
        <v/>
      </c>
      <c r="AE166">
        <f>HYPERLINK("https://klasma.github.io/Logging_2083/fåglar/S 2840-2025 prioriterade fågelarter.docx", "S 2840-2025")</f>
        <v/>
      </c>
    </row>
    <row r="167" ht="15" customHeight="1">
      <c r="A167" t="inlineStr">
        <is>
          <t>S 3363-2025</t>
        </is>
      </c>
      <c r="B167" t="inlineStr">
        <is>
          <t>samrådsanmälan</t>
        </is>
      </c>
      <c r="C167" t="inlineStr">
        <is>
          <t>Annan skogsbruksåtgärd</t>
        </is>
      </c>
      <c r="D167" s="1" t="n">
        <v>45992</v>
      </c>
      <c r="E167" s="1" t="n">
        <v>46319</v>
      </c>
      <c r="F167" t="inlineStr">
        <is>
          <t>DALARNAS LÄN</t>
        </is>
      </c>
      <c r="G167" t="inlineStr">
        <is>
          <t>MORA</t>
        </is>
      </c>
      <c r="I167" t="n">
        <v>8</v>
      </c>
      <c r="J167" t="n">
        <v>5</v>
      </c>
      <c r="K167" t="n">
        <v>1</v>
      </c>
      <c r="L167" t="n">
        <v>9</v>
      </c>
      <c r="M167" t="n">
        <v>1</v>
      </c>
      <c r="N167" t="n">
        <v>0</v>
      </c>
      <c r="O167" t="n">
        <v>0</v>
      </c>
      <c r="P167" t="n">
        <v>0</v>
      </c>
      <c r="Q167" t="n">
        <v>10</v>
      </c>
      <c r="R167" t="n">
        <v>1</v>
      </c>
      <c r="S167" t="n">
        <v>14</v>
      </c>
      <c r="T167" t="n">
        <v>157</v>
      </c>
      <c r="U167" t="n">
        <v>52</v>
      </c>
      <c r="V167" s="2" t="inlineStr">
        <is>
          <t>Garnlav
Blanksvart spiklav
Gammelgransskål
Kolflarnlav
Talltagel
Tallticka
Talltita
Tretåig hackspett
Vedskivlav
Violettgrå tagellav
Mindre märgborre
Spillkråka
Orre
Revlummer</t>
        </is>
      </c>
      <c r="W167">
        <f>HYPERLINK("https://klasma.github.io/Logging_2062/artfynd/S 3363-2025 artfynd.xlsx", "S 3363-2025")</f>
        <v/>
      </c>
      <c r="X167">
        <f>HYPERLINK("https://klasma.github.io/Logging_2062/kartor/S 3363-2025 karta.png", "S 3363-2025")</f>
        <v/>
      </c>
      <c r="Y167">
        <f>HYPERLINK("https://klasma.github.io/Logging_2062/kartor_geotiff/S 3363-2025 georefererad karta.tif", "S 3363-2025")</f>
        <v/>
      </c>
      <c r="AA167">
        <f>HYPERLINK("https://klasma.github.io/Logging_2062/klagomål/S 3363-2025 FSC-klagomål.docx", "S 3363-2025")</f>
        <v/>
      </c>
      <c r="AB167">
        <f>HYPERLINK("https://klasma.github.io/Logging_2062/klagomålsmail/S 3363-2025 FSC-klagomål mail.docx", "S 3363-2025")</f>
        <v/>
      </c>
      <c r="AC167">
        <f>HYPERLINK("https://klasma.github.io/Logging_2062/tillsyn/S 3363-2025 tillsynsbegäran.docx", "S 3363-2025")</f>
        <v/>
      </c>
      <c r="AD167">
        <f>HYPERLINK("https://klasma.github.io/Logging_2062/tillsynsmail/S 3363-2025 tillsynsbegäran mail.docx", "S 3363-2025")</f>
        <v/>
      </c>
      <c r="AE167">
        <f>HYPERLINK("https://klasma.github.io/Logging_2062/fåglar/S 3363-2025 prioriterade fågelarter.docx", "S 3363-2025")</f>
        <v/>
      </c>
    </row>
    <row r="168" ht="15" customHeight="1">
      <c r="A168" t="inlineStr">
        <is>
          <t>S 1383-2026</t>
        </is>
      </c>
      <c r="B168" t="inlineStr">
        <is>
          <t>samrådsanmälan</t>
        </is>
      </c>
      <c r="C168" t="inlineStr">
        <is>
          <t>Annan skogsbruksåtgärd</t>
        </is>
      </c>
      <c r="D168" s="1" t="n">
        <v>46153</v>
      </c>
      <c r="E168" s="1" t="n">
        <v>46319</v>
      </c>
      <c r="F168" t="inlineStr">
        <is>
          <t>DALARNAS LÄN</t>
        </is>
      </c>
      <c r="G168" t="inlineStr">
        <is>
          <t>ORSA</t>
        </is>
      </c>
      <c r="H168" t="inlineStr">
        <is>
          <t>Kommuner</t>
        </is>
      </c>
      <c r="I168" t="n">
        <v>3.1</v>
      </c>
      <c r="J168" t="n">
        <v>8</v>
      </c>
      <c r="K168" t="n">
        <v>4</v>
      </c>
      <c r="L168" t="n">
        <v>3</v>
      </c>
      <c r="M168" t="n">
        <v>3</v>
      </c>
      <c r="N168" t="n">
        <v>0</v>
      </c>
      <c r="O168" t="n">
        <v>0</v>
      </c>
      <c r="P168" t="n">
        <v>0</v>
      </c>
      <c r="Q168" t="n">
        <v>6</v>
      </c>
      <c r="R168" t="n">
        <v>3</v>
      </c>
      <c r="S168" t="n">
        <v>14</v>
      </c>
      <c r="T168" t="n">
        <v>204</v>
      </c>
      <c r="U168" t="n">
        <v>0</v>
      </c>
      <c r="V168" s="2" t="inlineStr">
        <is>
          <t>Garnlav
Grönfink
Knärot
Rosenticka
Tretåig hackspett
Violettgrå tagellav
Bronshjon
Grönpyrola
Korallrot
Mindre märgborre
Salskrake
Utter
Vanlig groda
Nattviol</t>
        </is>
      </c>
      <c r="W168">
        <f>HYPERLINK("https://klasma.github.io/Logging_2034/artfynd/S 1383-2026 artfynd.xlsx", "S 1383-2026")</f>
        <v/>
      </c>
      <c r="X168">
        <f>HYPERLINK("https://klasma.github.io/Logging_2034/kartor/S 1383-2026 karta.png", "S 1383-2026")</f>
        <v/>
      </c>
      <c r="Y168">
        <f>HYPERLINK("https://klasma.github.io/Logging_2034/kartor_geotiff/S 1383-2026 georefererad karta.tif", "S 1383-2026")</f>
        <v/>
      </c>
      <c r="Z168">
        <f>HYPERLINK("https://klasma.github.io/Logging_2034/knärot/S 1383-2026 karta knärot.png", "S 1383-2026")</f>
        <v/>
      </c>
      <c r="AA168">
        <f>HYPERLINK("https://klasma.github.io/Logging_2034/klagomål/S 1383-2026 FSC-klagomål.docx", "S 1383-2026")</f>
        <v/>
      </c>
      <c r="AB168">
        <f>HYPERLINK("https://klasma.github.io/Logging_2034/klagomålsmail/S 1383-2026 FSC-klagomål mail.docx", "S 1383-2026")</f>
        <v/>
      </c>
      <c r="AC168">
        <f>HYPERLINK("https://klasma.github.io/Logging_2034/tillsyn/S 1383-2026 tillsynsbegäran.docx", "S 1383-2026")</f>
        <v/>
      </c>
      <c r="AD168">
        <f>HYPERLINK("https://klasma.github.io/Logging_2034/tillsynsmail/S 1383-2026 tillsynsbegäran mail.docx", "S 1383-2026")</f>
        <v/>
      </c>
      <c r="AE168">
        <f>HYPERLINK("https://klasma.github.io/Logging_2034/fåglar/S 1383-2026 prioriterade fågelarter.docx", "S 1383-2026")</f>
        <v/>
      </c>
    </row>
    <row r="169" ht="15" customHeight="1">
      <c r="A169" t="inlineStr">
        <is>
          <t>A 19933-2022</t>
        </is>
      </c>
      <c r="B169" t="inlineStr">
        <is>
          <t>avverkningsanmälan</t>
        </is>
      </c>
      <c r="C169" t="inlineStr">
        <is>
          <t>Avverkning för annat ändamål</t>
        </is>
      </c>
      <c r="D169" s="1" t="n">
        <v>44697</v>
      </c>
      <c r="E169" s="1" t="n">
        <v>46319</v>
      </c>
      <c r="F169" t="inlineStr">
        <is>
          <t>DALARNAS LÄN</t>
        </is>
      </c>
      <c r="G169" t="inlineStr">
        <is>
          <t>ÄLVDALEN</t>
        </is>
      </c>
      <c r="I169" t="n">
        <v>1.2</v>
      </c>
      <c r="J169" t="n">
        <v>3</v>
      </c>
      <c r="K169" t="n">
        <v>3</v>
      </c>
      <c r="L169" t="n">
        <v>5</v>
      </c>
      <c r="M169" t="n">
        <v>2</v>
      </c>
      <c r="N169" t="n">
        <v>0</v>
      </c>
      <c r="O169" t="n">
        <v>0</v>
      </c>
      <c r="P169" t="n">
        <v>0</v>
      </c>
      <c r="Q169" t="n">
        <v>7</v>
      </c>
      <c r="R169" t="n">
        <v>2</v>
      </c>
      <c r="S169" t="n">
        <v>13</v>
      </c>
      <c r="T169" t="n">
        <v>24</v>
      </c>
      <c r="U169" t="n">
        <v>24</v>
      </c>
      <c r="V169" s="2" t="inlineStr">
        <is>
          <t>Garnlav
Gränsticka
Rosenticka
Rynkskinn
Tretåig hackspett
Ullticka
Violmussling
Gytterlav
Källmossa
Stuplav
Kransmossa
Vanlig groda
Revlummer</t>
        </is>
      </c>
      <c r="W169">
        <f>HYPERLINK("https://klasma.github.io/Logging_2039/artfynd/A 19933-2022 artfynd.xlsx", "A 19933-2022")</f>
        <v/>
      </c>
      <c r="X169">
        <f>HYPERLINK("https://klasma.github.io/Logging_2039/kartor/A 19933-2022 karta.png", "A 19933-2022")</f>
        <v/>
      </c>
      <c r="Y169">
        <f>HYPERLINK("https://klasma.github.io/Logging_2039/kartor_geotiff/A 19933-2022 georefererad karta.tif", "A 19933-2022")</f>
        <v/>
      </c>
      <c r="AA169">
        <f>HYPERLINK("https://klasma.github.io/Logging_2039/klagomål/A 19933-2022 FSC-klagomål.docx", "A 19933-2022")</f>
        <v/>
      </c>
      <c r="AB169">
        <f>HYPERLINK("https://klasma.github.io/Logging_2039/klagomålsmail/A 19933-2022 FSC-klagomål mail.docx", "A 19933-2022")</f>
        <v/>
      </c>
      <c r="AC169">
        <f>HYPERLINK("https://klasma.github.io/Logging_2039/tillsyn/A 19933-2022 tillsynsbegäran.docx", "A 19933-2022")</f>
        <v/>
      </c>
      <c r="AD169">
        <f>HYPERLINK("https://klasma.github.io/Logging_2039/tillsynsmail/A 19933-2022 tillsynsbegäran mail.docx", "A 19933-2022")</f>
        <v/>
      </c>
      <c r="AE169">
        <f>HYPERLINK("https://klasma.github.io/Logging_2039/fåglar/A 19933-2022 prioriterade fågelarter.docx", "A 19933-2022")</f>
        <v/>
      </c>
    </row>
    <row r="170" ht="15" customHeight="1">
      <c r="A170" t="inlineStr">
        <is>
          <t>A 69728-2021</t>
        </is>
      </c>
      <c r="B170" t="inlineStr">
        <is>
          <t>avverkningsanmälan</t>
        </is>
      </c>
      <c r="C170" t="inlineStr">
        <is>
          <t>Föryngringsavverkning</t>
        </is>
      </c>
      <c r="D170" s="1" t="n">
        <v>44532</v>
      </c>
      <c r="E170" s="1" t="n">
        <v>46319</v>
      </c>
      <c r="F170" t="inlineStr">
        <is>
          <t>DALARNAS LÄN</t>
        </is>
      </c>
      <c r="G170" t="inlineStr">
        <is>
          <t>ÄLVDALEN</t>
        </is>
      </c>
      <c r="I170" t="n">
        <v>19.1</v>
      </c>
      <c r="J170" t="n">
        <v>0</v>
      </c>
      <c r="K170" t="n">
        <v>0</v>
      </c>
      <c r="L170" t="n">
        <v>8</v>
      </c>
      <c r="M170" t="n">
        <v>5</v>
      </c>
      <c r="N170" t="n">
        <v>0</v>
      </c>
      <c r="O170" t="n">
        <v>0</v>
      </c>
      <c r="P170" t="n">
        <v>0</v>
      </c>
      <c r="Q170" t="n">
        <v>13</v>
      </c>
      <c r="R170" t="n">
        <v>5</v>
      </c>
      <c r="S170" t="n">
        <v>13</v>
      </c>
      <c r="T170" t="n">
        <v>41</v>
      </c>
      <c r="U170" t="n">
        <v>29</v>
      </c>
      <c r="V170" s="2" t="inlineStr">
        <is>
          <t>Barrgråtagging
Fläckporing
Gräddporing
Skrovlig taggsvamp
Smalfotad taggsvamp
Blanksvart spiklav
Dropptaggsvamp
Dvärgbägarlav
Kolflarnlav
Mörk kolflarnlav
Nordtagging
Orange taggsvamp
Vedskivlav</t>
        </is>
      </c>
      <c r="W170">
        <f>HYPERLINK("https://klasma.github.io/Logging_2039/artfynd/A 69728-2021 artfynd.xlsx", "A 69728-2021")</f>
        <v/>
      </c>
      <c r="X170">
        <f>HYPERLINK("https://klasma.github.io/Logging_2039/kartor/A 69728-2021 karta.png", "A 69728-2021")</f>
        <v/>
      </c>
      <c r="Y170">
        <f>HYPERLINK("https://klasma.github.io/Logging_2039/kartor_geotiff/A 69728-2021 georefererad karta.tif", "A 69728-2021")</f>
        <v/>
      </c>
      <c r="AA170">
        <f>HYPERLINK("https://klasma.github.io/Logging_2039/klagomål/A 69728-2021 FSC-klagomål.docx", "A 69728-2021")</f>
        <v/>
      </c>
      <c r="AB170">
        <f>HYPERLINK("https://klasma.github.io/Logging_2039/klagomålsmail/A 69728-2021 FSC-klagomål mail.docx", "A 69728-2021")</f>
        <v/>
      </c>
      <c r="AC170">
        <f>HYPERLINK("https://klasma.github.io/Logging_2039/tillsyn/A 69728-2021 tillsynsbegäran.docx", "A 69728-2021")</f>
        <v/>
      </c>
      <c r="AD170">
        <f>HYPERLINK("https://klasma.github.io/Logging_2039/tillsynsmail/A 69728-2021 tillsynsbegäran mail.docx", "A 69728-2021")</f>
        <v/>
      </c>
    </row>
    <row r="171" ht="15" customHeight="1">
      <c r="A171" t="inlineStr">
        <is>
          <t>A 50759-2023</t>
        </is>
      </c>
      <c r="B171" t="inlineStr">
        <is>
          <t>avverkningsanmälan</t>
        </is>
      </c>
      <c r="C171" t="inlineStr">
        <is>
          <t>Föryngringsavverkning</t>
        </is>
      </c>
      <c r="D171" s="1" t="n">
        <v>45217</v>
      </c>
      <c r="E171" s="1" t="n">
        <v>46319</v>
      </c>
      <c r="F171" t="inlineStr">
        <is>
          <t>DALARNAS LÄN</t>
        </is>
      </c>
      <c r="G171" t="inlineStr">
        <is>
          <t>MORA</t>
        </is>
      </c>
      <c r="I171" t="n">
        <v>5.3</v>
      </c>
      <c r="J171" t="n">
        <v>5</v>
      </c>
      <c r="K171" t="n">
        <v>2</v>
      </c>
      <c r="L171" t="n">
        <v>7</v>
      </c>
      <c r="M171" t="n">
        <v>1</v>
      </c>
      <c r="N171" t="n">
        <v>0</v>
      </c>
      <c r="O171" t="n">
        <v>0</v>
      </c>
      <c r="P171" t="n">
        <v>0</v>
      </c>
      <c r="Q171" t="n">
        <v>8</v>
      </c>
      <c r="R171" t="n">
        <v>1</v>
      </c>
      <c r="S171" t="n">
        <v>13</v>
      </c>
      <c r="T171" t="n">
        <v>66</v>
      </c>
      <c r="U171" t="n">
        <v>66</v>
      </c>
      <c r="V171" s="2" t="inlineStr">
        <is>
          <t>Garnlav
Rosenticka
Rynkskinn
Talltita
Tretåig hackspett
Ullticka
Vedflamlav
Vedskivlav
Mindre märgborre
Vedticka
Spillkråka
Kungsfågel
Revlummer</t>
        </is>
      </c>
      <c r="W171">
        <f>HYPERLINK("https://klasma.github.io/Logging_2062/artfynd/A 50759-2023 artfynd.xlsx", "A 50759-2023")</f>
        <v/>
      </c>
      <c r="X171">
        <f>HYPERLINK("https://klasma.github.io/Logging_2062/kartor/A 50759-2023 karta.png", "A 50759-2023")</f>
        <v/>
      </c>
      <c r="Y171">
        <f>HYPERLINK("https://klasma.github.io/Logging_2062/kartor_geotiff/A 50759-2023 georefererad karta.tif", "A 50759-2023")</f>
        <v/>
      </c>
      <c r="AA171">
        <f>HYPERLINK("https://klasma.github.io/Logging_2062/klagomål/A 50759-2023 FSC-klagomål.docx", "A 50759-2023")</f>
        <v/>
      </c>
      <c r="AB171">
        <f>HYPERLINK("https://klasma.github.io/Logging_2062/klagomålsmail/A 50759-2023 FSC-klagomål mail.docx", "A 50759-2023")</f>
        <v/>
      </c>
      <c r="AC171">
        <f>HYPERLINK("https://klasma.github.io/Logging_2062/tillsyn/A 50759-2023 tillsynsbegäran.docx", "A 50759-2023")</f>
        <v/>
      </c>
      <c r="AD171">
        <f>HYPERLINK("https://klasma.github.io/Logging_2062/tillsynsmail/A 50759-2023 tillsynsbegäran mail.docx", "A 50759-2023")</f>
        <v/>
      </c>
      <c r="AE171">
        <f>HYPERLINK("https://klasma.github.io/Logging_2062/fåglar/A 50759-2023 prioriterade fågelarter.docx", "A 50759-2023")</f>
        <v/>
      </c>
    </row>
    <row r="172" ht="15" customHeight="1">
      <c r="A172" t="inlineStr">
        <is>
          <t>A 30101-2026</t>
        </is>
      </c>
      <c r="B172" t="inlineStr">
        <is>
          <t>avverkningsanmälan</t>
        </is>
      </c>
      <c r="C172" t="inlineStr">
        <is>
          <t>Föryngringsavverkning</t>
        </is>
      </c>
      <c r="D172" s="1" t="n">
        <v>46206</v>
      </c>
      <c r="E172" s="1" t="n">
        <v>46319</v>
      </c>
      <c r="F172" t="inlineStr">
        <is>
          <t>DALARNAS LÄN</t>
        </is>
      </c>
      <c r="G172" t="inlineStr">
        <is>
          <t>ÄLVDALEN</t>
        </is>
      </c>
      <c r="H172" t="inlineStr">
        <is>
          <t>Sveaskog</t>
        </is>
      </c>
      <c r="I172" t="n">
        <v>3.6</v>
      </c>
      <c r="J172" t="n">
        <v>2</v>
      </c>
      <c r="K172" t="n">
        <v>1</v>
      </c>
      <c r="L172" t="n">
        <v>9</v>
      </c>
      <c r="M172" t="n">
        <v>2</v>
      </c>
      <c r="N172" t="n">
        <v>0</v>
      </c>
      <c r="O172" t="n">
        <v>0</v>
      </c>
      <c r="P172" t="n">
        <v>0</v>
      </c>
      <c r="Q172" t="n">
        <v>11</v>
      </c>
      <c r="R172" t="n">
        <v>2</v>
      </c>
      <c r="S172" t="n">
        <v>13</v>
      </c>
      <c r="T172" t="n">
        <v>60</v>
      </c>
      <c r="U172" t="n">
        <v>57</v>
      </c>
      <c r="V172" s="2" t="inlineStr">
        <is>
          <t>Fläckporing
Gräddporing
Blanksvart spiklav
Blågrå svartspik
Dvärgbägarlav
Kolflarnlav
Mörk kolflarnlav
Nordtagging
Varglav
Vedflamlav
Vedskivlav
Vedticka
Mindre vattensalamander</t>
        </is>
      </c>
      <c r="W172">
        <f>HYPERLINK("https://klasma.github.io/Logging_2039/artfynd/A 30101-2026 artfynd.xlsx", "A 30101-2026")</f>
        <v/>
      </c>
      <c r="X172">
        <f>HYPERLINK("https://klasma.github.io/Logging_2039/kartor/A 30101-2026 karta.png", "A 30101-2026")</f>
        <v/>
      </c>
      <c r="Y172">
        <f>HYPERLINK("https://klasma.github.io/Logging_2039/kartor_geotiff/A 30101-2026 georefererad karta.tif", "A 30101-2026")</f>
        <v/>
      </c>
      <c r="AA172">
        <f>HYPERLINK("https://klasma.github.io/Logging_2039/klagomål/A 30101-2026 FSC-klagomål.docx", "A 30101-2026")</f>
        <v/>
      </c>
      <c r="AB172">
        <f>HYPERLINK("https://klasma.github.io/Logging_2039/klagomålsmail/A 30101-2026 FSC-klagomål mail.docx", "A 30101-2026")</f>
        <v/>
      </c>
      <c r="AC172">
        <f>HYPERLINK("https://klasma.github.io/Logging_2039/tillsyn/A 30101-2026 tillsynsbegäran.docx", "A 30101-2026")</f>
        <v/>
      </c>
      <c r="AD172">
        <f>HYPERLINK("https://klasma.github.io/Logging_2039/tillsynsmail/A 30101-2026 tillsynsbegäran mail.docx", "A 30101-2026")</f>
        <v/>
      </c>
    </row>
    <row r="173" ht="15" customHeight="1">
      <c r="A173" t="inlineStr">
        <is>
          <t>A 30102-2026</t>
        </is>
      </c>
      <c r="B173" t="inlineStr">
        <is>
          <t>avverkningsanmälan</t>
        </is>
      </c>
      <c r="C173" t="inlineStr">
        <is>
          <t>Föryngringsavverkning</t>
        </is>
      </c>
      <c r="D173" s="1" t="n">
        <v>46206</v>
      </c>
      <c r="E173" s="1" t="n">
        <v>46319</v>
      </c>
      <c r="F173" t="inlineStr">
        <is>
          <t>DALARNAS LÄN</t>
        </is>
      </c>
      <c r="G173" t="inlineStr">
        <is>
          <t>ÄLVDALEN</t>
        </is>
      </c>
      <c r="H173" t="inlineStr">
        <is>
          <t>Sveaskog</t>
        </is>
      </c>
      <c r="I173" t="n">
        <v>3.9</v>
      </c>
      <c r="J173" t="n">
        <v>0</v>
      </c>
      <c r="K173" t="n">
        <v>1</v>
      </c>
      <c r="L173" t="n">
        <v>10</v>
      </c>
      <c r="M173" t="n">
        <v>2</v>
      </c>
      <c r="N173" t="n">
        <v>0</v>
      </c>
      <c r="O173" t="n">
        <v>0</v>
      </c>
      <c r="P173" t="n">
        <v>0</v>
      </c>
      <c r="Q173" t="n">
        <v>12</v>
      </c>
      <c r="R173" t="n">
        <v>2</v>
      </c>
      <c r="S173" t="n">
        <v>13</v>
      </c>
      <c r="T173" t="n">
        <v>57</v>
      </c>
      <c r="U173" t="n">
        <v>57</v>
      </c>
      <c r="V173" s="2" t="inlineStr">
        <is>
          <t>Gräddporing
Gränsticka
Blanksvart spiklav
Blågrå svartspik
Dvärgbägarlav
Kolflarnlav
Kortskaftad ärgspik
Mörk kolflarnlav
Nordtagging
Vedflamlav
Vedskivlav
Vitgrynig nållav
Nästlav</t>
        </is>
      </c>
      <c r="W173">
        <f>HYPERLINK("https://klasma.github.io/Logging_2039/artfynd/A 30102-2026 artfynd.xlsx", "A 30102-2026")</f>
        <v/>
      </c>
      <c r="X173">
        <f>HYPERLINK("https://klasma.github.io/Logging_2039/kartor/A 30102-2026 karta.png", "A 30102-2026")</f>
        <v/>
      </c>
      <c r="Y173">
        <f>HYPERLINK("https://klasma.github.io/Logging_2039/kartor_geotiff/A 30102-2026 georefererad karta.tif", "A 30102-2026")</f>
        <v/>
      </c>
      <c r="AA173">
        <f>HYPERLINK("https://klasma.github.io/Logging_2039/klagomål/A 30102-2026 FSC-klagomål.docx", "A 30102-2026")</f>
        <v/>
      </c>
      <c r="AB173">
        <f>HYPERLINK("https://klasma.github.io/Logging_2039/klagomålsmail/A 30102-2026 FSC-klagomål mail.docx", "A 30102-2026")</f>
        <v/>
      </c>
      <c r="AC173">
        <f>HYPERLINK("https://klasma.github.io/Logging_2039/tillsyn/A 30102-2026 tillsynsbegäran.docx", "A 30102-2026")</f>
        <v/>
      </c>
      <c r="AD173">
        <f>HYPERLINK("https://klasma.github.io/Logging_2039/tillsynsmail/A 30102-2026 tillsynsbegäran mail.docx", "A 30102-2026")</f>
        <v/>
      </c>
    </row>
    <row r="174" ht="15" customHeight="1">
      <c r="A174" t="inlineStr">
        <is>
          <t>A 20462-2025</t>
        </is>
      </c>
      <c r="B174" t="inlineStr">
        <is>
          <t>avverkningsanmälan</t>
        </is>
      </c>
      <c r="C174" t="inlineStr">
        <is>
          <t>Föryngringsavverkning</t>
        </is>
      </c>
      <c r="D174" s="1" t="n">
        <v>45775</v>
      </c>
      <c r="E174" s="1" t="n">
        <v>46319</v>
      </c>
      <c r="F174" t="inlineStr">
        <is>
          <t>DALARNAS LÄN</t>
        </is>
      </c>
      <c r="G174" t="inlineStr">
        <is>
          <t>MALUNG-SÄLEN</t>
        </is>
      </c>
      <c r="I174" t="n">
        <v>5.4</v>
      </c>
      <c r="J174" t="n">
        <v>2</v>
      </c>
      <c r="K174" t="n">
        <v>6</v>
      </c>
      <c r="L174" t="n">
        <v>4</v>
      </c>
      <c r="M174" t="n">
        <v>2</v>
      </c>
      <c r="N174" t="n">
        <v>0</v>
      </c>
      <c r="O174" t="n">
        <v>0</v>
      </c>
      <c r="P174" t="n">
        <v>0</v>
      </c>
      <c r="Q174" t="n">
        <v>6</v>
      </c>
      <c r="R174" t="n">
        <v>2</v>
      </c>
      <c r="S174" t="n">
        <v>13</v>
      </c>
      <c r="T174" t="n">
        <v>24</v>
      </c>
      <c r="U174" t="n">
        <v>20</v>
      </c>
      <c r="V174" s="2" t="inlineStr">
        <is>
          <t>Garnlav
Gränsticka
Doftskinn
Gullpudra
Lunglav
Ullticka
Korallblylav
Spindelblomster
Stuplav
Trådticka
Vedticka
Vågbandad barkbock
Fläcknycklar</t>
        </is>
      </c>
      <c r="W174">
        <f>HYPERLINK("https://klasma.github.io/Logging_2023/artfynd/A 20462-2025 artfynd.xlsx", "A 20462-2025")</f>
        <v/>
      </c>
      <c r="X174">
        <f>HYPERLINK("https://klasma.github.io/Logging_2023/kartor/A 20462-2025 karta.png", "A 20462-2025")</f>
        <v/>
      </c>
      <c r="Y174">
        <f>HYPERLINK("https://klasma.github.io/Logging_2023/kartor_geotiff/A 20462-2025 georefererad karta.tif", "A 20462-2025")</f>
        <v/>
      </c>
      <c r="AA174">
        <f>HYPERLINK("https://klasma.github.io/Logging_2023/klagomål/A 20462-2025 FSC-klagomål.docx", "A 20462-2025")</f>
        <v/>
      </c>
      <c r="AB174">
        <f>HYPERLINK("https://klasma.github.io/Logging_2023/klagomålsmail/A 20462-2025 FSC-klagomål mail.docx", "A 20462-2025")</f>
        <v/>
      </c>
      <c r="AC174">
        <f>HYPERLINK("https://klasma.github.io/Logging_2023/tillsyn/A 20462-2025 tillsynsbegäran.docx", "A 20462-2025")</f>
        <v/>
      </c>
      <c r="AD174">
        <f>HYPERLINK("https://klasma.github.io/Logging_2023/tillsynsmail/A 20462-2025 tillsynsbegäran mail.docx", "A 20462-2025")</f>
        <v/>
      </c>
    </row>
    <row r="175" ht="15" customHeight="1">
      <c r="A175" t="inlineStr">
        <is>
          <t>A 38223-2026</t>
        </is>
      </c>
      <c r="B175" t="inlineStr">
        <is>
          <t>avverkningsanmälan</t>
        </is>
      </c>
      <c r="C175" t="inlineStr">
        <is>
          <t>Föryngringsavverkning</t>
        </is>
      </c>
      <c r="D175" s="1" t="n">
        <v>46281</v>
      </c>
      <c r="E175" s="1" t="n">
        <v>46319</v>
      </c>
      <c r="F175" t="inlineStr">
        <is>
          <t>DALARNAS LÄN</t>
        </is>
      </c>
      <c r="G175" t="inlineStr">
        <is>
          <t>MORA</t>
        </is>
      </c>
      <c r="I175" t="n">
        <v>5.7</v>
      </c>
      <c r="J175" t="n">
        <v>4</v>
      </c>
      <c r="K175" t="n">
        <v>1</v>
      </c>
      <c r="L175" t="n">
        <v>7</v>
      </c>
      <c r="M175" t="n">
        <v>1</v>
      </c>
      <c r="N175" t="n">
        <v>0</v>
      </c>
      <c r="O175" t="n">
        <v>0</v>
      </c>
      <c r="P175" t="n">
        <v>0</v>
      </c>
      <c r="Q175" t="n">
        <v>8</v>
      </c>
      <c r="R175" t="n">
        <v>1</v>
      </c>
      <c r="S175" t="n">
        <v>13</v>
      </c>
      <c r="T175" t="n">
        <v>135</v>
      </c>
      <c r="U175" t="n">
        <v>0</v>
      </c>
      <c r="V175" s="2" t="inlineStr">
        <is>
          <t>Garnlav
Blågrå svartspik
Kolflarnlav
Mörk kolflarnlav
Tallticka
Vedflamlav
Vedskivlav
Violettgrå tagellav
Mindre märgborre
Järpe
Spillkråka
Tjäder
Svartvit flugsnappare</t>
        </is>
      </c>
      <c r="W175">
        <f>HYPERLINK("https://klasma.github.io/Logging_2062/artfynd/A 38223-2026 artfynd.xlsx", "A 38223-2026")</f>
        <v/>
      </c>
      <c r="X175">
        <f>HYPERLINK("https://klasma.github.io/Logging_2062/kartor/A 38223-2026 karta.png", "A 38223-2026")</f>
        <v/>
      </c>
      <c r="Y175">
        <f>HYPERLINK("https://klasma.github.io/Logging_2062/kartor_geotiff/A 38223-2026 georefererad karta.tif", "A 38223-2026")</f>
        <v/>
      </c>
      <c r="AA175">
        <f>HYPERLINK("https://klasma.github.io/Logging_2062/klagomål/A 38223-2026 FSC-klagomål.docx", "A 38223-2026")</f>
        <v/>
      </c>
      <c r="AB175">
        <f>HYPERLINK("https://klasma.github.io/Logging_2062/klagomålsmail/A 38223-2026 FSC-klagomål mail.docx", "A 38223-2026")</f>
        <v/>
      </c>
      <c r="AC175">
        <f>HYPERLINK("https://klasma.github.io/Logging_2062/tillsyn/A 38223-2026 tillsynsbegäran.docx", "A 38223-2026")</f>
        <v/>
      </c>
      <c r="AD175">
        <f>HYPERLINK("https://klasma.github.io/Logging_2062/tillsynsmail/A 38223-2026 tillsynsbegäran mail.docx", "A 38223-2026")</f>
        <v/>
      </c>
      <c r="AE175">
        <f>HYPERLINK("https://klasma.github.io/Logging_2062/fåglar/A 38223-2026 prioriterade fågelarter.docx", "A 38223-2026")</f>
        <v/>
      </c>
    </row>
    <row r="176" ht="15" customHeight="1">
      <c r="A176" t="inlineStr">
        <is>
          <t>A 1164-2026</t>
        </is>
      </c>
      <c r="B176" t="inlineStr">
        <is>
          <t>avverkningsanmälan</t>
        </is>
      </c>
      <c r="C176" t="inlineStr">
        <is>
          <t>Föryngringsavverkning</t>
        </is>
      </c>
      <c r="D176" s="1" t="n">
        <v>46029</v>
      </c>
      <c r="E176" s="1" t="n">
        <v>46319</v>
      </c>
      <c r="F176" t="inlineStr">
        <is>
          <t>DALARNAS LÄN</t>
        </is>
      </c>
      <c r="G176" t="inlineStr">
        <is>
          <t>FALUN</t>
        </is>
      </c>
      <c r="I176" t="n">
        <v>17.9</v>
      </c>
      <c r="J176" t="n">
        <v>12</v>
      </c>
      <c r="K176" t="n">
        <v>1</v>
      </c>
      <c r="L176" t="n">
        <v>3</v>
      </c>
      <c r="M176" t="n">
        <v>1</v>
      </c>
      <c r="N176" t="n">
        <v>1</v>
      </c>
      <c r="O176" t="n">
        <v>0</v>
      </c>
      <c r="P176" t="n">
        <v>0</v>
      </c>
      <c r="Q176" t="n">
        <v>5</v>
      </c>
      <c r="R176" t="n">
        <v>2</v>
      </c>
      <c r="S176" t="n">
        <v>13</v>
      </c>
      <c r="T176" t="n">
        <v>14</v>
      </c>
      <c r="U176" t="n">
        <v>3</v>
      </c>
      <c r="V176" s="2" t="inlineStr">
        <is>
          <t>Pärluggla
Knärot
Järnsparv
Talltita
Tretåig hackspett
Mindre märgborre
Järpe
Mindre flugsnappare
Spillkråka
Tjäder
Buskskvätta
Orre
Törnskata</t>
        </is>
      </c>
      <c r="W176">
        <f>HYPERLINK("https://klasma.github.io/Logging_2080/artfynd/A 1164-2026 artfynd.xlsx", "A 1164-2026")</f>
        <v/>
      </c>
      <c r="X176">
        <f>HYPERLINK("https://klasma.github.io/Logging_2080/kartor/A 1164-2026 karta.png", "A 1164-2026")</f>
        <v/>
      </c>
      <c r="Y176">
        <f>HYPERLINK("https://klasma.github.io/Logging_2080/kartor_geotiff/A 1164-2026 georefererad karta.tif", "A 1164-2026")</f>
        <v/>
      </c>
      <c r="Z176">
        <f>HYPERLINK("https://klasma.github.io/Logging_2080/knärot/A 1164-2026 karta knärot.png", "A 1164-2026")</f>
        <v/>
      </c>
      <c r="AA176">
        <f>HYPERLINK("https://klasma.github.io/Logging_2080/klagomål/A 1164-2026 FSC-klagomål.docx", "A 1164-2026")</f>
        <v/>
      </c>
      <c r="AB176">
        <f>HYPERLINK("https://klasma.github.io/Logging_2080/klagomålsmail/A 1164-2026 FSC-klagomål mail.docx", "A 1164-2026")</f>
        <v/>
      </c>
      <c r="AC176">
        <f>HYPERLINK("https://klasma.github.io/Logging_2080/tillsyn/A 1164-2026 tillsynsbegäran.docx", "A 1164-2026")</f>
        <v/>
      </c>
      <c r="AD176">
        <f>HYPERLINK("https://klasma.github.io/Logging_2080/tillsynsmail/A 1164-2026 tillsynsbegäran mail.docx", "A 1164-2026")</f>
        <v/>
      </c>
      <c r="AE176">
        <f>HYPERLINK("https://klasma.github.io/Logging_2080/fåglar/A 1164-2026 prioriterade fågelarter.docx", "A 1164-2026")</f>
        <v/>
      </c>
    </row>
    <row r="177" ht="15" customHeight="1">
      <c r="A177" t="inlineStr">
        <is>
          <t>A 41638-2025</t>
        </is>
      </c>
      <c r="B177" t="inlineStr">
        <is>
          <t>avverkningsanmälan</t>
        </is>
      </c>
      <c r="C177" t="inlineStr">
        <is>
          <t>Föryngringsavverkning</t>
        </is>
      </c>
      <c r="D177" s="1" t="n">
        <v>45901</v>
      </c>
      <c r="E177" s="1" t="n">
        <v>46319</v>
      </c>
      <c r="F177" t="inlineStr">
        <is>
          <t>DALARNAS LÄN</t>
        </is>
      </c>
      <c r="G177" t="inlineStr">
        <is>
          <t>ÄLVDALEN</t>
        </is>
      </c>
      <c r="H177" t="inlineStr">
        <is>
          <t>Övriga statliga verk och myndigheter</t>
        </is>
      </c>
      <c r="I177" t="n">
        <v>24.3</v>
      </c>
      <c r="J177" t="n">
        <v>0</v>
      </c>
      <c r="K177" t="n">
        <v>1</v>
      </c>
      <c r="L177" t="n">
        <v>9</v>
      </c>
      <c r="M177" t="n">
        <v>3</v>
      </c>
      <c r="N177" t="n">
        <v>0</v>
      </c>
      <c r="O177" t="n">
        <v>0</v>
      </c>
      <c r="P177" t="n">
        <v>0</v>
      </c>
      <c r="Q177" t="n">
        <v>12</v>
      </c>
      <c r="R177" t="n">
        <v>3</v>
      </c>
      <c r="S177" t="n">
        <v>13</v>
      </c>
      <c r="T177" t="n">
        <v>16</v>
      </c>
      <c r="U177" t="n">
        <v>0</v>
      </c>
      <c r="V177" s="2" t="inlineStr">
        <is>
          <t>Garnlav
Spadskinn
Tajgataggsvamp
Blanksvart spiklav
Dropptaggsvamp
Dvärgbägarlav
Kolflarnlav
Mörk kolflarnlav
Tallriska
Vedflamlav
Vedskivlav
Vitplätt
Vedticka</t>
        </is>
      </c>
      <c r="W177">
        <f>HYPERLINK("https://klasma.github.io/Logging_2039/artfynd/A 41638-2025 artfynd.xlsx", "A 41638-2025")</f>
        <v/>
      </c>
      <c r="X177">
        <f>HYPERLINK("https://klasma.github.io/Logging_2039/kartor/A 41638-2025 karta.png", "A 41638-2025")</f>
        <v/>
      </c>
      <c r="Y177">
        <f>HYPERLINK("https://klasma.github.io/Logging_2039/kartor_geotiff/A 41638-2025 georefererad karta.tif", "A 41638-2025")</f>
        <v/>
      </c>
      <c r="AA177">
        <f>HYPERLINK("https://klasma.github.io/Logging_2039/klagomål/A 41638-2025 FSC-klagomål.docx", "A 41638-2025")</f>
        <v/>
      </c>
      <c r="AB177">
        <f>HYPERLINK("https://klasma.github.io/Logging_2039/klagomålsmail/A 41638-2025 FSC-klagomål mail.docx", "A 41638-2025")</f>
        <v/>
      </c>
      <c r="AC177">
        <f>HYPERLINK("https://klasma.github.io/Logging_2039/tillsyn/A 41638-2025 tillsynsbegäran.docx", "A 41638-2025")</f>
        <v/>
      </c>
      <c r="AD177">
        <f>HYPERLINK("https://klasma.github.io/Logging_2039/tillsynsmail/A 41638-2025 tillsynsbegäran mail.docx", "A 41638-2025")</f>
        <v/>
      </c>
    </row>
    <row r="178" ht="15" customHeight="1">
      <c r="A178" t="inlineStr">
        <is>
          <t>A 7021-2026</t>
        </is>
      </c>
      <c r="B178" t="inlineStr">
        <is>
          <t>avverkningsanmälan</t>
        </is>
      </c>
      <c r="C178" t="inlineStr">
        <is>
          <t>Föryngringsavverkning</t>
        </is>
      </c>
      <c r="D178" s="1" t="n">
        <v>46057</v>
      </c>
      <c r="E178" s="1" t="n">
        <v>46319</v>
      </c>
      <c r="F178" t="inlineStr">
        <is>
          <t>DALARNAS LÄN</t>
        </is>
      </c>
      <c r="G178" t="inlineStr">
        <is>
          <t>ÄLVDALEN</t>
        </is>
      </c>
      <c r="I178" t="n">
        <v>21.6</v>
      </c>
      <c r="J178" t="n">
        <v>4</v>
      </c>
      <c r="K178" t="n">
        <v>3</v>
      </c>
      <c r="L178" t="n">
        <v>7</v>
      </c>
      <c r="M178" t="n">
        <v>1</v>
      </c>
      <c r="N178" t="n">
        <v>0</v>
      </c>
      <c r="O178" t="n">
        <v>0</v>
      </c>
      <c r="P178" t="n">
        <v>0</v>
      </c>
      <c r="Q178" t="n">
        <v>8</v>
      </c>
      <c r="R178" t="n">
        <v>1</v>
      </c>
      <c r="S178" t="n">
        <v>13</v>
      </c>
      <c r="T178" t="n">
        <v>106</v>
      </c>
      <c r="U178" t="n">
        <v>106</v>
      </c>
      <c r="V178" s="2" t="inlineStr">
        <is>
          <t>Garnlav
Kolflarnlav
Mörk kolflarnlav
Tallticka
Talltita
Tretåig hackspett
Vedflamlav
Vedskivlav
Björksplintborre
Bronshjon
Mindre märgborre
Spillkråka
Tjäder</t>
        </is>
      </c>
      <c r="W178">
        <f>HYPERLINK("https://klasma.github.io/Logging_2039/artfynd/A 7021-2026 artfynd.xlsx", "A 7021-2026")</f>
        <v/>
      </c>
      <c r="X178">
        <f>HYPERLINK("https://klasma.github.io/Logging_2039/kartor/A 7021-2026 karta.png", "A 7021-2026")</f>
        <v/>
      </c>
      <c r="Y178">
        <f>HYPERLINK("https://klasma.github.io/Logging_2039/kartor_geotiff/A 7021-2026 georefererad karta.tif", "A 7021-2026")</f>
        <v/>
      </c>
      <c r="AA178">
        <f>HYPERLINK("https://klasma.github.io/Logging_2039/klagomål/A 7021-2026 FSC-klagomål.docx", "A 7021-2026")</f>
        <v/>
      </c>
      <c r="AB178">
        <f>HYPERLINK("https://klasma.github.io/Logging_2039/klagomålsmail/A 7021-2026 FSC-klagomål mail.docx", "A 7021-2026")</f>
        <v/>
      </c>
      <c r="AC178">
        <f>HYPERLINK("https://klasma.github.io/Logging_2039/tillsyn/A 7021-2026 tillsynsbegäran.docx", "A 7021-2026")</f>
        <v/>
      </c>
      <c r="AD178">
        <f>HYPERLINK("https://klasma.github.io/Logging_2039/tillsynsmail/A 7021-2026 tillsynsbegäran mail.docx", "A 7021-2026")</f>
        <v/>
      </c>
      <c r="AE178">
        <f>HYPERLINK("https://klasma.github.io/Logging_2039/fåglar/A 7021-2026 prioriterade fågelarter.docx", "A 7021-2026")</f>
        <v/>
      </c>
    </row>
    <row r="179" ht="15" customHeight="1">
      <c r="A179" t="inlineStr">
        <is>
          <t>A 59950-2025</t>
        </is>
      </c>
      <c r="B179" t="inlineStr">
        <is>
          <t>avverkningsanmälan</t>
        </is>
      </c>
      <c r="C179" t="inlineStr">
        <is>
          <t>Föryngringsavverkning</t>
        </is>
      </c>
      <c r="D179" s="1" t="n">
        <v>45993</v>
      </c>
      <c r="E179" s="1" t="n">
        <v>46319</v>
      </c>
      <c r="F179" t="inlineStr">
        <is>
          <t>DALARNAS LÄN</t>
        </is>
      </c>
      <c r="G179" t="inlineStr">
        <is>
          <t>LUDVIKA</t>
        </is>
      </c>
      <c r="I179" t="n">
        <v>9.6</v>
      </c>
      <c r="J179" t="n">
        <v>4</v>
      </c>
      <c r="K179" t="n">
        <v>5</v>
      </c>
      <c r="L179" t="n">
        <v>4</v>
      </c>
      <c r="M179" t="n">
        <v>2</v>
      </c>
      <c r="N179" t="n">
        <v>0</v>
      </c>
      <c r="O179" t="n">
        <v>0</v>
      </c>
      <c r="P179" t="n">
        <v>0</v>
      </c>
      <c r="Q179" t="n">
        <v>6</v>
      </c>
      <c r="R179" t="n">
        <v>2</v>
      </c>
      <c r="S179" t="n">
        <v>13</v>
      </c>
      <c r="T179" t="n">
        <v>28</v>
      </c>
      <c r="U179" t="n">
        <v>27</v>
      </c>
      <c r="V179" s="2" t="inlineStr">
        <is>
          <t>Garnlav
Knärot
Dropptaggsvamp
Lunglav
Skogshare
Tretåig hackspett
Korallblylav
Mindre märgborre
Norrlandslav
Rävticka
Skinnlav
Järpe
Spillkråka</t>
        </is>
      </c>
      <c r="W179">
        <f>HYPERLINK("https://klasma.github.io/Logging_2085/artfynd/A 59950-2025 artfynd.xlsx", "A 59950-2025")</f>
        <v/>
      </c>
      <c r="X179">
        <f>HYPERLINK("https://klasma.github.io/Logging_2085/kartor/A 59950-2025 karta.png", "A 59950-2025")</f>
        <v/>
      </c>
      <c r="Y179">
        <f>HYPERLINK("https://klasma.github.io/Logging_2085/kartor_geotiff/A 59950-2025 georefererad karta.tif", "A 59950-2025")</f>
        <v/>
      </c>
      <c r="Z179">
        <f>HYPERLINK("https://klasma.github.io/Logging_2085/knärot/A 59950-2025 karta knärot.png", "A 59950-2025")</f>
        <v/>
      </c>
      <c r="AA179">
        <f>HYPERLINK("https://klasma.github.io/Logging_2085/klagomål/A 59950-2025 FSC-klagomål.docx", "A 59950-2025")</f>
        <v/>
      </c>
      <c r="AB179">
        <f>HYPERLINK("https://klasma.github.io/Logging_2085/klagomålsmail/A 59950-2025 FSC-klagomål mail.docx", "A 59950-2025")</f>
        <v/>
      </c>
      <c r="AC179">
        <f>HYPERLINK("https://klasma.github.io/Logging_2085/tillsyn/A 59950-2025 tillsynsbegäran.docx", "A 59950-2025")</f>
        <v/>
      </c>
      <c r="AD179">
        <f>HYPERLINK("https://klasma.github.io/Logging_2085/tillsynsmail/A 59950-2025 tillsynsbegäran mail.docx", "A 59950-2025")</f>
        <v/>
      </c>
      <c r="AE179">
        <f>HYPERLINK("https://klasma.github.io/Logging_2085/fåglar/A 59950-2025 prioriterade fågelarter.docx", "A 59950-2025")</f>
        <v/>
      </c>
    </row>
    <row r="180" ht="15" customHeight="1">
      <c r="A180" t="inlineStr">
        <is>
          <t>A 37044-2025</t>
        </is>
      </c>
      <c r="B180" t="inlineStr">
        <is>
          <t>avverkningsanmälan</t>
        </is>
      </c>
      <c r="C180" t="inlineStr">
        <is>
          <t>Föryngringsavverkning</t>
        </is>
      </c>
      <c r="D180" s="1" t="n">
        <v>45875</v>
      </c>
      <c r="E180" s="1" t="n">
        <v>46319</v>
      </c>
      <c r="F180" t="inlineStr">
        <is>
          <t>DALARNAS LÄN</t>
        </is>
      </c>
      <c r="G180" t="inlineStr">
        <is>
          <t>LEKSAND</t>
        </is>
      </c>
      <c r="I180" t="n">
        <v>5.7</v>
      </c>
      <c r="J180" t="n">
        <v>5</v>
      </c>
      <c r="K180" t="n">
        <v>2</v>
      </c>
      <c r="L180" t="n">
        <v>6</v>
      </c>
      <c r="M180" t="n">
        <v>2</v>
      </c>
      <c r="N180" t="n">
        <v>0</v>
      </c>
      <c r="O180" t="n">
        <v>0</v>
      </c>
      <c r="P180" t="n">
        <v>0</v>
      </c>
      <c r="Q180" t="n">
        <v>8</v>
      </c>
      <c r="R180" t="n">
        <v>2</v>
      </c>
      <c r="S180" t="n">
        <v>13</v>
      </c>
      <c r="T180" t="n">
        <v>42</v>
      </c>
      <c r="U180" t="n">
        <v>42</v>
      </c>
      <c r="V180" s="2" t="inlineStr">
        <is>
          <t>Garnlav
Knärot
Dropptaggsvamp
Rosenticka
Skarp dropptaggsvamp
Tallticka
Tretåig hackspett
Ullticka
Mindre märgborre
Vedticka
Spillkråka
Tjäder
Fläcknycklar</t>
        </is>
      </c>
      <c r="W180">
        <f>HYPERLINK("https://klasma.github.io/Logging_2029/artfynd/A 37044-2025 artfynd.xlsx", "A 37044-2025")</f>
        <v/>
      </c>
      <c r="X180">
        <f>HYPERLINK("https://klasma.github.io/Logging_2029/kartor/A 37044-2025 karta.png", "A 37044-2025")</f>
        <v/>
      </c>
      <c r="Y180">
        <f>HYPERLINK("https://klasma.github.io/Logging_2029/kartor_geotiff/A 37044-2025 georefererad karta.tif", "A 37044-2025")</f>
        <v/>
      </c>
      <c r="Z180">
        <f>HYPERLINK("https://klasma.github.io/Logging_2029/knärot/A 37044-2025 karta knärot.png", "A 37044-2025")</f>
        <v/>
      </c>
      <c r="AA180">
        <f>HYPERLINK("https://klasma.github.io/Logging_2029/klagomål/A 37044-2025 FSC-klagomål.docx", "A 37044-2025")</f>
        <v/>
      </c>
      <c r="AB180">
        <f>HYPERLINK("https://klasma.github.io/Logging_2029/klagomålsmail/A 37044-2025 FSC-klagomål mail.docx", "A 37044-2025")</f>
        <v/>
      </c>
      <c r="AC180">
        <f>HYPERLINK("https://klasma.github.io/Logging_2029/tillsyn/A 37044-2025 tillsynsbegäran.docx", "A 37044-2025")</f>
        <v/>
      </c>
      <c r="AD180">
        <f>HYPERLINK("https://klasma.github.io/Logging_2029/tillsynsmail/A 37044-2025 tillsynsbegäran mail.docx", "A 37044-2025")</f>
        <v/>
      </c>
      <c r="AE180">
        <f>HYPERLINK("https://klasma.github.io/Logging_2029/fåglar/A 37044-2025 prioriterade fågelarter.docx", "A 37044-2025")</f>
        <v/>
      </c>
    </row>
    <row r="181" ht="15" customHeight="1">
      <c r="A181" t="inlineStr">
        <is>
          <t>A 16123-2026</t>
        </is>
      </c>
      <c r="B181" t="inlineStr">
        <is>
          <t>avverkningsanmälan</t>
        </is>
      </c>
      <c r="C181" t="inlineStr">
        <is>
          <t>Föryngringsavverkning</t>
        </is>
      </c>
      <c r="D181" s="1" t="n">
        <v>46108</v>
      </c>
      <c r="E181" s="1" t="n">
        <v>46319</v>
      </c>
      <c r="F181" t="inlineStr">
        <is>
          <t>DALARNAS LÄN</t>
        </is>
      </c>
      <c r="G181" t="inlineStr">
        <is>
          <t>ÄLVDALEN</t>
        </is>
      </c>
      <c r="H181" t="inlineStr">
        <is>
          <t>Allmännings- och besparingsskogar</t>
        </is>
      </c>
      <c r="I181" t="n">
        <v>14.5</v>
      </c>
      <c r="J181" t="n">
        <v>4</v>
      </c>
      <c r="K181" t="n">
        <v>0</v>
      </c>
      <c r="L181" t="n">
        <v>9</v>
      </c>
      <c r="M181" t="n">
        <v>1</v>
      </c>
      <c r="N181" t="n">
        <v>0</v>
      </c>
      <c r="O181" t="n">
        <v>0</v>
      </c>
      <c r="P181" t="n">
        <v>0</v>
      </c>
      <c r="Q181" t="n">
        <v>10</v>
      </c>
      <c r="R181" t="n">
        <v>1</v>
      </c>
      <c r="S181" t="n">
        <v>13</v>
      </c>
      <c r="T181" t="n">
        <v>123</v>
      </c>
      <c r="U181" t="n">
        <v>123</v>
      </c>
      <c r="V181" s="2" t="inlineStr">
        <is>
          <t>Garnlav
Blanksvart spiklav
Blågrå svartspik
Dropptaggsvamp
Dvärgbägarlav
Kolflarnlav
Mörk kolflarnlav
Tretåig hackspett
Vedflamlav
Vedskivlav
Järpe
Spillkråka
Tjäder</t>
        </is>
      </c>
      <c r="W181">
        <f>HYPERLINK("https://klasma.github.io/Logging_2039/artfynd/A 16123-2026 artfynd.xlsx", "A 16123-2026")</f>
        <v/>
      </c>
      <c r="X181">
        <f>HYPERLINK("https://klasma.github.io/Logging_2039/kartor/A 16123-2026 karta.png", "A 16123-2026")</f>
        <v/>
      </c>
      <c r="Y181">
        <f>HYPERLINK("https://klasma.github.io/Logging_2039/kartor_geotiff/A 16123-2026 georefererad karta.tif", "A 16123-2026")</f>
        <v/>
      </c>
      <c r="AA181">
        <f>HYPERLINK("https://klasma.github.io/Logging_2039/klagomål/A 16123-2026 FSC-klagomål.docx", "A 16123-2026")</f>
        <v/>
      </c>
      <c r="AB181">
        <f>HYPERLINK("https://klasma.github.io/Logging_2039/klagomålsmail/A 16123-2026 FSC-klagomål mail.docx", "A 16123-2026")</f>
        <v/>
      </c>
      <c r="AC181">
        <f>HYPERLINK("https://klasma.github.io/Logging_2039/tillsyn/A 16123-2026 tillsynsbegäran.docx", "A 16123-2026")</f>
        <v/>
      </c>
      <c r="AD181">
        <f>HYPERLINK("https://klasma.github.io/Logging_2039/tillsynsmail/A 16123-2026 tillsynsbegäran mail.docx", "A 16123-2026")</f>
        <v/>
      </c>
      <c r="AE181">
        <f>HYPERLINK("https://klasma.github.io/Logging_2039/fåglar/A 16123-2026 prioriterade fågelarter.docx", "A 16123-2026")</f>
        <v/>
      </c>
    </row>
    <row r="182" ht="15" customHeight="1">
      <c r="A182" t="inlineStr">
        <is>
          <t>A 57095-2025</t>
        </is>
      </c>
      <c r="B182" t="inlineStr">
        <is>
          <t>avverkningsanmälan</t>
        </is>
      </c>
      <c r="C182" t="inlineStr">
        <is>
          <t>Föryngringsavverkning</t>
        </is>
      </c>
      <c r="D182" s="1" t="n">
        <v>45979</v>
      </c>
      <c r="E182" s="1" t="n">
        <v>46319</v>
      </c>
      <c r="F182" t="inlineStr">
        <is>
          <t>DALARNAS LÄN</t>
        </is>
      </c>
      <c r="G182" t="inlineStr">
        <is>
          <t>ÄLVDALEN</t>
        </is>
      </c>
      <c r="H182" t="inlineStr">
        <is>
          <t>Allmännings- och besparingsskogar</t>
        </is>
      </c>
      <c r="I182" t="n">
        <v>6.8</v>
      </c>
      <c r="J182" t="n">
        <v>7</v>
      </c>
      <c r="K182" t="n">
        <v>2</v>
      </c>
      <c r="L182" t="n">
        <v>6</v>
      </c>
      <c r="M182" t="n">
        <v>1</v>
      </c>
      <c r="N182" t="n">
        <v>0</v>
      </c>
      <c r="O182" t="n">
        <v>0</v>
      </c>
      <c r="P182" t="n">
        <v>0</v>
      </c>
      <c r="Q182" t="n">
        <v>7</v>
      </c>
      <c r="R182" t="n">
        <v>1</v>
      </c>
      <c r="S182" t="n">
        <v>13</v>
      </c>
      <c r="T182" t="n">
        <v>77</v>
      </c>
      <c r="U182" t="n">
        <v>77</v>
      </c>
      <c r="V182" s="2" t="inlineStr">
        <is>
          <t>Garnlav
Kolflarnlav
Mörk kolflarnlav
Sparvuggla
Talltita
Tretåig hackspett
Vedskivlav
Grönpyrola
Vedticka
Spillkråka
Tjäder
Orre
Nattviol</t>
        </is>
      </c>
      <c r="W182">
        <f>HYPERLINK("https://klasma.github.io/Logging_2039/artfynd/A 57095-2025 artfynd.xlsx", "A 57095-2025")</f>
        <v/>
      </c>
      <c r="X182">
        <f>HYPERLINK("https://klasma.github.io/Logging_2039/kartor/A 57095-2025 karta.png", "A 57095-2025")</f>
        <v/>
      </c>
      <c r="Y182">
        <f>HYPERLINK("https://klasma.github.io/Logging_2039/kartor_geotiff/A 57095-2025 georefererad karta.tif", "A 57095-2025")</f>
        <v/>
      </c>
      <c r="AA182">
        <f>HYPERLINK("https://klasma.github.io/Logging_2039/klagomål/A 57095-2025 FSC-klagomål.docx", "A 57095-2025")</f>
        <v/>
      </c>
      <c r="AB182">
        <f>HYPERLINK("https://klasma.github.io/Logging_2039/klagomålsmail/A 57095-2025 FSC-klagomål mail.docx", "A 57095-2025")</f>
        <v/>
      </c>
      <c r="AC182">
        <f>HYPERLINK("https://klasma.github.io/Logging_2039/tillsyn/A 57095-2025 tillsynsbegäran.docx", "A 57095-2025")</f>
        <v/>
      </c>
      <c r="AD182">
        <f>HYPERLINK("https://klasma.github.io/Logging_2039/tillsynsmail/A 57095-2025 tillsynsbegäran mail.docx", "A 57095-2025")</f>
        <v/>
      </c>
      <c r="AE182">
        <f>HYPERLINK("https://klasma.github.io/Logging_2039/fåglar/A 57095-2025 prioriterade fågelarter.docx", "A 57095-2025")</f>
        <v/>
      </c>
    </row>
    <row r="183" ht="15" customHeight="1">
      <c r="A183" t="inlineStr">
        <is>
          <t>A 37715-2025</t>
        </is>
      </c>
      <c r="B183" t="inlineStr">
        <is>
          <t>avverkningsanmälan</t>
        </is>
      </c>
      <c r="C183" t="inlineStr">
        <is>
          <t>Föryngringsavverkning</t>
        </is>
      </c>
      <c r="D183" s="1" t="n">
        <v>45880</v>
      </c>
      <c r="E183" s="1" t="n">
        <v>46319</v>
      </c>
      <c r="F183" t="inlineStr">
        <is>
          <t>DALARNAS LÄN</t>
        </is>
      </c>
      <c r="G183" t="inlineStr">
        <is>
          <t>VANSBRO</t>
        </is>
      </c>
      <c r="I183" t="n">
        <v>12.5</v>
      </c>
      <c r="J183" t="n">
        <v>4</v>
      </c>
      <c r="K183" t="n">
        <v>1</v>
      </c>
      <c r="L183" t="n">
        <v>8</v>
      </c>
      <c r="M183" t="n">
        <v>1</v>
      </c>
      <c r="N183" t="n">
        <v>0</v>
      </c>
      <c r="O183" t="n">
        <v>0</v>
      </c>
      <c r="P183" t="n">
        <v>0</v>
      </c>
      <c r="Q183" t="n">
        <v>9</v>
      </c>
      <c r="R183" t="n">
        <v>1</v>
      </c>
      <c r="S183" t="n">
        <v>13</v>
      </c>
      <c r="T183" t="n">
        <v>101</v>
      </c>
      <c r="U183" t="n">
        <v>101</v>
      </c>
      <c r="V183" s="2" t="inlineStr">
        <is>
          <t>Garnlav
Dropptaggsvamp
Kolflarnlav
Lunglav
Mörk kolflarnlav
Tallticka
Tretåig hackspett
Ullticka
Vedskivlav
Mindre märgborre
Spillkråka
Tjäder
Fläcknycklar</t>
        </is>
      </c>
      <c r="W183">
        <f>HYPERLINK("https://klasma.github.io/Logging_2021/artfynd/A 37715-2025 artfynd.xlsx", "A 37715-2025")</f>
        <v/>
      </c>
      <c r="X183">
        <f>HYPERLINK("https://klasma.github.io/Logging_2021/kartor/A 37715-2025 karta.png", "A 37715-2025")</f>
        <v/>
      </c>
      <c r="Y183">
        <f>HYPERLINK("https://klasma.github.io/Logging_2021/kartor_geotiff/A 37715-2025 georefererad karta.tif", "A 37715-2025")</f>
        <v/>
      </c>
      <c r="AA183">
        <f>HYPERLINK("https://klasma.github.io/Logging_2021/klagomål/A 37715-2025 FSC-klagomål.docx", "A 37715-2025")</f>
        <v/>
      </c>
      <c r="AB183">
        <f>HYPERLINK("https://klasma.github.io/Logging_2021/klagomålsmail/A 37715-2025 FSC-klagomål mail.docx", "A 37715-2025")</f>
        <v/>
      </c>
      <c r="AC183">
        <f>HYPERLINK("https://klasma.github.io/Logging_2021/tillsyn/A 37715-2025 tillsynsbegäran.docx", "A 37715-2025")</f>
        <v/>
      </c>
      <c r="AD183">
        <f>HYPERLINK("https://klasma.github.io/Logging_2021/tillsynsmail/A 37715-2025 tillsynsbegäran mail.docx", "A 37715-2025")</f>
        <v/>
      </c>
      <c r="AE183">
        <f>HYPERLINK("https://klasma.github.io/Logging_2021/fåglar/A 37715-2025 prioriterade fågelarter.docx", "A 37715-2025")</f>
        <v/>
      </c>
    </row>
    <row r="184" ht="15" customHeight="1">
      <c r="A184" t="inlineStr">
        <is>
          <t>A 33528-2026</t>
        </is>
      </c>
      <c r="B184" t="inlineStr">
        <is>
          <t>avverkningsanmälan</t>
        </is>
      </c>
      <c r="C184" t="inlineStr">
        <is>
          <t>Föryngringsavverkning</t>
        </is>
      </c>
      <c r="D184" s="1" t="n">
        <v>46248</v>
      </c>
      <c r="E184" s="1" t="n">
        <v>46319</v>
      </c>
      <c r="F184" t="inlineStr">
        <is>
          <t>DALARNAS LÄN</t>
        </is>
      </c>
      <c r="G184" t="inlineStr">
        <is>
          <t>ÄLVDALEN</t>
        </is>
      </c>
      <c r="I184" t="n">
        <v>10.4</v>
      </c>
      <c r="J184" t="n">
        <v>6</v>
      </c>
      <c r="K184" t="n">
        <v>1</v>
      </c>
      <c r="L184" t="n">
        <v>6</v>
      </c>
      <c r="M184" t="n">
        <v>1</v>
      </c>
      <c r="N184" t="n">
        <v>0</v>
      </c>
      <c r="O184" t="n">
        <v>0</v>
      </c>
      <c r="P184" t="n">
        <v>0</v>
      </c>
      <c r="Q184" t="n">
        <v>7</v>
      </c>
      <c r="R184" t="n">
        <v>1</v>
      </c>
      <c r="S184" t="n">
        <v>13</v>
      </c>
      <c r="T184" t="n">
        <v>167</v>
      </c>
      <c r="U184" t="n">
        <v>25</v>
      </c>
      <c r="V184" s="2" t="inlineStr">
        <is>
          <t>Garnlav
Dropptaggsvamp
Skogshare
Tallticka
Talltita
Vedskivlav
Violettgrå tagellav
Mindre märgborre
Bergfink
Spillkråka
Tjäder
Tofsmes
Kungsfågel</t>
        </is>
      </c>
      <c r="W184">
        <f>HYPERLINK("https://klasma.github.io/Logging_2039/artfynd/A 33528-2026 artfynd.xlsx", "A 33528-2026")</f>
        <v/>
      </c>
      <c r="X184">
        <f>HYPERLINK("https://klasma.github.io/Logging_2039/kartor/A 33528-2026 karta.png", "A 33528-2026")</f>
        <v/>
      </c>
      <c r="Y184">
        <f>HYPERLINK("https://klasma.github.io/Logging_2039/kartor_geotiff/A 33528-2026 georefererad karta.tif", "A 33528-2026")</f>
        <v/>
      </c>
      <c r="AA184">
        <f>HYPERLINK("https://klasma.github.io/Logging_2039/klagomål/A 33528-2026 FSC-klagomål.docx", "A 33528-2026")</f>
        <v/>
      </c>
      <c r="AB184">
        <f>HYPERLINK("https://klasma.github.io/Logging_2039/klagomålsmail/A 33528-2026 FSC-klagomål mail.docx", "A 33528-2026")</f>
        <v/>
      </c>
      <c r="AC184">
        <f>HYPERLINK("https://klasma.github.io/Logging_2039/tillsyn/A 33528-2026 tillsynsbegäran.docx", "A 33528-2026")</f>
        <v/>
      </c>
      <c r="AD184">
        <f>HYPERLINK("https://klasma.github.io/Logging_2039/tillsynsmail/A 33528-2026 tillsynsbegäran mail.docx", "A 33528-2026")</f>
        <v/>
      </c>
      <c r="AE184">
        <f>HYPERLINK("https://klasma.github.io/Logging_2039/fåglar/A 33528-2026 prioriterade fågelarter.docx", "A 33528-2026")</f>
        <v/>
      </c>
    </row>
    <row r="185" ht="15" customHeight="1">
      <c r="A185" t="inlineStr">
        <is>
          <t>A 23535-2025</t>
        </is>
      </c>
      <c r="B185" t="inlineStr">
        <is>
          <t>avverkningsanmälan</t>
        </is>
      </c>
      <c r="C185" t="inlineStr">
        <is>
          <t>Föryngringsavverkning</t>
        </is>
      </c>
      <c r="D185" s="1" t="n">
        <v>45792</v>
      </c>
      <c r="E185" s="1" t="n">
        <v>46319</v>
      </c>
      <c r="F185" t="inlineStr">
        <is>
          <t>DALARNAS LÄN</t>
        </is>
      </c>
      <c r="G185" t="inlineStr">
        <is>
          <t>MORA</t>
        </is>
      </c>
      <c r="I185" t="n">
        <v>8.6</v>
      </c>
      <c r="J185" t="n">
        <v>3</v>
      </c>
      <c r="K185" t="n">
        <v>0</v>
      </c>
      <c r="L185" t="n">
        <v>10</v>
      </c>
      <c r="M185" t="n">
        <v>1</v>
      </c>
      <c r="N185" t="n">
        <v>1</v>
      </c>
      <c r="O185" t="n">
        <v>0</v>
      </c>
      <c r="P185" t="n">
        <v>0</v>
      </c>
      <c r="Q185" t="n">
        <v>12</v>
      </c>
      <c r="R185" t="n">
        <v>2</v>
      </c>
      <c r="S185" t="n">
        <v>13</v>
      </c>
      <c r="T185" t="n">
        <v>57</v>
      </c>
      <c r="U185" t="n">
        <v>57</v>
      </c>
      <c r="V185" s="2" t="inlineStr">
        <is>
          <t>Urskogsporing
Garnlav
Blanksvart spiklav
Blågrå svartspik
Dropptaggsvamp
Dvärgbägarlav
Kolflarnlav
Mörk kolflarnlav
Tretåig hackspett
Varglav
Vedflamlav
Vedskivlav
Tjäder</t>
        </is>
      </c>
      <c r="W185">
        <f>HYPERLINK("https://klasma.github.io/Logging_2062/artfynd/A 23535-2025 artfynd.xlsx", "A 23535-2025")</f>
        <v/>
      </c>
      <c r="X185">
        <f>HYPERLINK("https://klasma.github.io/Logging_2062/kartor/A 23535-2025 karta.png", "A 23535-2025")</f>
        <v/>
      </c>
      <c r="Y185">
        <f>HYPERLINK("https://klasma.github.io/Logging_2062/kartor_geotiff/A 23535-2025 georefererad karta.tif", "A 23535-2025")</f>
        <v/>
      </c>
      <c r="AA185">
        <f>HYPERLINK("https://klasma.github.io/Logging_2062/klagomål/A 23535-2025 FSC-klagomål.docx", "A 23535-2025")</f>
        <v/>
      </c>
      <c r="AB185">
        <f>HYPERLINK("https://klasma.github.io/Logging_2062/klagomålsmail/A 23535-2025 FSC-klagomål mail.docx", "A 23535-2025")</f>
        <v/>
      </c>
      <c r="AC185">
        <f>HYPERLINK("https://klasma.github.io/Logging_2062/tillsyn/A 23535-2025 tillsynsbegäran.docx", "A 23535-2025")</f>
        <v/>
      </c>
      <c r="AD185">
        <f>HYPERLINK("https://klasma.github.io/Logging_2062/tillsynsmail/A 23535-2025 tillsynsbegäran mail.docx", "A 23535-2025")</f>
        <v/>
      </c>
      <c r="AE185">
        <f>HYPERLINK("https://klasma.github.io/Logging_2062/fåglar/A 23535-2025 prioriterade fågelarter.docx", "A 23535-2025")</f>
        <v/>
      </c>
    </row>
    <row r="186" ht="15" customHeight="1">
      <c r="A186" t="inlineStr">
        <is>
          <t>A 7204-2026</t>
        </is>
      </c>
      <c r="B186" t="inlineStr">
        <is>
          <t>avverkningsanmälan</t>
        </is>
      </c>
      <c r="C186" t="inlineStr">
        <is>
          <t>Föryngringsavverkning</t>
        </is>
      </c>
      <c r="D186" s="1" t="n">
        <v>46058</v>
      </c>
      <c r="E186" s="1" t="n">
        <v>46319</v>
      </c>
      <c r="F186" t="inlineStr">
        <is>
          <t>DALARNAS LÄN</t>
        </is>
      </c>
      <c r="G186" t="inlineStr">
        <is>
          <t>LUDVIKA</t>
        </is>
      </c>
      <c r="I186" t="n">
        <v>4.7</v>
      </c>
      <c r="J186" t="n">
        <v>5</v>
      </c>
      <c r="K186" t="n">
        <v>3</v>
      </c>
      <c r="L186" t="n">
        <v>5</v>
      </c>
      <c r="M186" t="n">
        <v>3</v>
      </c>
      <c r="N186" t="n">
        <v>0</v>
      </c>
      <c r="O186" t="n">
        <v>0</v>
      </c>
      <c r="P186" t="n">
        <v>0</v>
      </c>
      <c r="Q186" t="n">
        <v>8</v>
      </c>
      <c r="R186" t="n">
        <v>3</v>
      </c>
      <c r="S186" t="n">
        <v>13</v>
      </c>
      <c r="T186" t="n">
        <v>34</v>
      </c>
      <c r="U186" t="n">
        <v>34</v>
      </c>
      <c r="V186" s="2" t="inlineStr">
        <is>
          <t>Garnlav
Knärot
Lappuggla
Kortskaftad ärgspik
Rynkskinn
Tretåig hackspett
Vedskivlav
Vedtrappmossa
Bronshjon
Mindre märgborre
Thomsons trägnagare
Spillkråka
Tjäder</t>
        </is>
      </c>
      <c r="W186">
        <f>HYPERLINK("https://klasma.github.io/Logging_2085/artfynd/A 7204-2026 artfynd.xlsx", "A 7204-2026")</f>
        <v/>
      </c>
      <c r="X186">
        <f>HYPERLINK("https://klasma.github.io/Logging_2085/kartor/A 7204-2026 karta.png", "A 7204-2026")</f>
        <v/>
      </c>
      <c r="Y186">
        <f>HYPERLINK("https://klasma.github.io/Logging_2085/kartor_geotiff/A 7204-2026 georefererad karta.tif", "A 7204-2026")</f>
        <v/>
      </c>
      <c r="Z186">
        <f>HYPERLINK("https://klasma.github.io/Logging_2085/knärot/A 7204-2026 karta knärot.png", "A 7204-2026")</f>
        <v/>
      </c>
      <c r="AA186">
        <f>HYPERLINK("https://klasma.github.io/Logging_2085/klagomål/A 7204-2026 FSC-klagomål.docx", "A 7204-2026")</f>
        <v/>
      </c>
      <c r="AB186">
        <f>HYPERLINK("https://klasma.github.io/Logging_2085/klagomålsmail/A 7204-2026 FSC-klagomål mail.docx", "A 7204-2026")</f>
        <v/>
      </c>
      <c r="AC186">
        <f>HYPERLINK("https://klasma.github.io/Logging_2085/tillsyn/A 7204-2026 tillsynsbegäran.docx", "A 7204-2026")</f>
        <v/>
      </c>
      <c r="AD186">
        <f>HYPERLINK("https://klasma.github.io/Logging_2085/tillsynsmail/A 7204-2026 tillsynsbegäran mail.docx", "A 7204-2026")</f>
        <v/>
      </c>
      <c r="AE186">
        <f>HYPERLINK("https://klasma.github.io/Logging_2085/fåglar/A 7204-2026 prioriterade fågelarter.docx", "A 7204-2026")</f>
        <v/>
      </c>
    </row>
    <row r="187" ht="15" customHeight="1">
      <c r="A187" t="inlineStr">
        <is>
          <t>A 62816-2025</t>
        </is>
      </c>
      <c r="B187" t="inlineStr">
        <is>
          <t>avverkningsanmälan</t>
        </is>
      </c>
      <c r="C187" t="inlineStr">
        <is>
          <t>Föryngringsavverkning</t>
        </is>
      </c>
      <c r="D187" s="1" t="n">
        <v>46008</v>
      </c>
      <c r="E187" s="1" t="n">
        <v>46319</v>
      </c>
      <c r="F187" t="inlineStr">
        <is>
          <t>DALARNAS LÄN</t>
        </is>
      </c>
      <c r="G187" t="inlineStr">
        <is>
          <t>ORSA</t>
        </is>
      </c>
      <c r="I187" t="n">
        <v>11</v>
      </c>
      <c r="J187" t="n">
        <v>2</v>
      </c>
      <c r="K187" t="n">
        <v>4</v>
      </c>
      <c r="L187" t="n">
        <v>7</v>
      </c>
      <c r="M187" t="n">
        <v>1</v>
      </c>
      <c r="N187" t="n">
        <v>0</v>
      </c>
      <c r="O187" t="n">
        <v>0</v>
      </c>
      <c r="P187" t="n">
        <v>0</v>
      </c>
      <c r="Q187" t="n">
        <v>8</v>
      </c>
      <c r="R187" t="n">
        <v>1</v>
      </c>
      <c r="S187" t="n">
        <v>13</v>
      </c>
      <c r="T187" t="n">
        <v>109</v>
      </c>
      <c r="U187" t="n">
        <v>109</v>
      </c>
      <c r="V187" s="2" t="inlineStr">
        <is>
          <t>Garnlav
Blanksvart spiklav
Kolflarnlav
Kötticka
Liten svartspik
Talltagel
Tretåig hackspett
Vitgrynig nållav
Luddlav
Nästlav
Thomsons trägnagare
Vedticka
Spillkråka</t>
        </is>
      </c>
      <c r="W187">
        <f>HYPERLINK("https://klasma.github.io/Logging_2034/artfynd/A 62816-2025 artfynd.xlsx", "A 62816-2025")</f>
        <v/>
      </c>
      <c r="X187">
        <f>HYPERLINK("https://klasma.github.io/Logging_2034/kartor/A 62816-2025 karta.png", "A 62816-2025")</f>
        <v/>
      </c>
      <c r="Y187">
        <f>HYPERLINK("https://klasma.github.io/Logging_2034/kartor_geotiff/A 62816-2025 georefererad karta.tif", "A 62816-2025")</f>
        <v/>
      </c>
      <c r="AA187">
        <f>HYPERLINK("https://klasma.github.io/Logging_2034/klagomål/A 62816-2025 FSC-klagomål.docx", "A 62816-2025")</f>
        <v/>
      </c>
      <c r="AB187">
        <f>HYPERLINK("https://klasma.github.io/Logging_2034/klagomålsmail/A 62816-2025 FSC-klagomål mail.docx", "A 62816-2025")</f>
        <v/>
      </c>
      <c r="AC187">
        <f>HYPERLINK("https://klasma.github.io/Logging_2034/tillsyn/A 62816-2025 tillsynsbegäran.docx", "A 62816-2025")</f>
        <v/>
      </c>
      <c r="AD187">
        <f>HYPERLINK("https://klasma.github.io/Logging_2034/tillsynsmail/A 62816-2025 tillsynsbegäran mail.docx", "A 62816-2025")</f>
        <v/>
      </c>
      <c r="AE187">
        <f>HYPERLINK("https://klasma.github.io/Logging_2034/fåglar/A 62816-2025 prioriterade fågelarter.docx", "A 62816-2025")</f>
        <v/>
      </c>
    </row>
    <row r="188" ht="15" customHeight="1">
      <c r="A188" t="inlineStr">
        <is>
          <t>S 1407-2022</t>
        </is>
      </c>
      <c r="B188" t="inlineStr">
        <is>
          <t>samrådsanmälan</t>
        </is>
      </c>
      <c r="C188" t="inlineStr">
        <is>
          <t>Annan skogsbruksåtgärd</t>
        </is>
      </c>
      <c r="D188" s="1" t="n">
        <v>44631</v>
      </c>
      <c r="E188" s="1" t="n">
        <v>46319</v>
      </c>
      <c r="F188" t="inlineStr">
        <is>
          <t>DALARNAS LÄN</t>
        </is>
      </c>
      <c r="G188" t="inlineStr">
        <is>
          <t>LUDVIKA</t>
        </is>
      </c>
      <c r="H188" t="inlineStr">
        <is>
          <t>Kommuner</t>
        </is>
      </c>
      <c r="I188" t="n">
        <v>19.9</v>
      </c>
      <c r="J188" t="n">
        <v>0</v>
      </c>
      <c r="K188" t="n">
        <v>6</v>
      </c>
      <c r="L188" t="n">
        <v>6</v>
      </c>
      <c r="M188" t="n">
        <v>1</v>
      </c>
      <c r="N188" t="n">
        <v>0</v>
      </c>
      <c r="O188" t="n">
        <v>0</v>
      </c>
      <c r="P188" t="n">
        <v>0</v>
      </c>
      <c r="Q188" t="n">
        <v>7</v>
      </c>
      <c r="R188" t="n">
        <v>1</v>
      </c>
      <c r="S188" t="n">
        <v>13</v>
      </c>
      <c r="T188" t="n">
        <v>21</v>
      </c>
      <c r="U188" t="n">
        <v>10</v>
      </c>
      <c r="V188" s="2" t="inlineStr">
        <is>
          <t>Mjölig dropplav
Dropptaggsvamp
Fjällig taggsvamp s.str.
Gammelgransskål
Kådvaxskinn
Mindre träfjäril
Rynkskinn
Aspvedborre
Barkticka
Kamjordstjärna
Mörk husmossa
Svavelriska
Vedticka</t>
        </is>
      </c>
      <c r="W188">
        <f>HYPERLINK("https://klasma.github.io/Logging_2085/artfynd/S 1407-2022 artfynd.xlsx", "S 1407-2022")</f>
        <v/>
      </c>
      <c r="X188">
        <f>HYPERLINK("https://klasma.github.io/Logging_2085/kartor/S 1407-2022 karta.png", "S 1407-2022")</f>
        <v/>
      </c>
      <c r="Y188">
        <f>HYPERLINK("https://klasma.github.io/Logging_2085/kartor_geotiff/S 1407-2022 georefererad karta.tif", "S 1407-2022")</f>
        <v/>
      </c>
      <c r="AA188">
        <f>HYPERLINK("https://klasma.github.io/Logging_2085/klagomål/S 1407-2022 FSC-klagomål.docx", "S 1407-2022")</f>
        <v/>
      </c>
      <c r="AB188">
        <f>HYPERLINK("https://klasma.github.io/Logging_2085/klagomålsmail/S 1407-2022 FSC-klagomål mail.docx", "S 1407-2022")</f>
        <v/>
      </c>
      <c r="AC188">
        <f>HYPERLINK("https://klasma.github.io/Logging_2085/tillsyn/S 1407-2022 tillsynsbegäran.docx", "S 1407-2022")</f>
        <v/>
      </c>
      <c r="AD188">
        <f>HYPERLINK("https://klasma.github.io/Logging_2085/tillsynsmail/S 1407-2022 tillsynsbegäran mail.docx", "S 1407-2022")</f>
        <v/>
      </c>
    </row>
    <row r="189" ht="15" customHeight="1">
      <c r="A189" t="inlineStr">
        <is>
          <t>S 387-2022</t>
        </is>
      </c>
      <c r="B189" t="inlineStr">
        <is>
          <t>samrådsanmälan</t>
        </is>
      </c>
      <c r="C189" t="inlineStr">
        <is>
          <t>Skogsgödsling</t>
        </is>
      </c>
      <c r="D189" s="1" t="n">
        <v>44582</v>
      </c>
      <c r="E189" s="1" t="n">
        <v>46319</v>
      </c>
      <c r="F189" t="inlineStr">
        <is>
          <t>DALARNAS LÄN</t>
        </is>
      </c>
      <c r="G189" t="inlineStr">
        <is>
          <t>RÄTTVIK</t>
        </is>
      </c>
      <c r="H189" t="inlineStr">
        <is>
          <t>Sveaskog</t>
        </is>
      </c>
      <c r="I189" t="n">
        <v>153.9</v>
      </c>
      <c r="J189" t="n">
        <v>2</v>
      </c>
      <c r="K189" t="n">
        <v>2</v>
      </c>
      <c r="L189" t="n">
        <v>8</v>
      </c>
      <c r="M189" t="n">
        <v>2</v>
      </c>
      <c r="N189" t="n">
        <v>0</v>
      </c>
      <c r="O189" t="n">
        <v>0</v>
      </c>
      <c r="P189" t="n">
        <v>0</v>
      </c>
      <c r="Q189" t="n">
        <v>10</v>
      </c>
      <c r="R189" t="n">
        <v>2</v>
      </c>
      <c r="S189" t="n">
        <v>13</v>
      </c>
      <c r="T189" t="n">
        <v>23</v>
      </c>
      <c r="U189" t="n">
        <v>13</v>
      </c>
      <c r="V189" s="2" t="inlineStr">
        <is>
          <t>Garnlav
Goliatmusseron
Dvärgbägarlav
Kolflarnlav
Kortskaftad ärgspik
Mörk kolflarnlav
Varglav
Vedflamlav
Vedskivlav
Vitgrynig nållav
Mindre märgborre
Vedticka
Tjäder</t>
        </is>
      </c>
      <c r="W189">
        <f>HYPERLINK("https://klasma.github.io/Logging_2031/artfynd/S 387-2022 artfynd.xlsx", "S 387-2022")</f>
        <v/>
      </c>
      <c r="X189">
        <f>HYPERLINK("https://klasma.github.io/Logging_2031/kartor/S 387-2022 karta.png", "S 387-2022")</f>
        <v/>
      </c>
      <c r="Y189">
        <f>HYPERLINK("https://klasma.github.io/Logging_2031/kartor_geotiff/S 387-2022 georefererad karta.tif", "S 387-2022")</f>
        <v/>
      </c>
      <c r="AA189">
        <f>HYPERLINK("https://klasma.github.io/Logging_2031/klagomål/S 387-2022 FSC-klagomål.docx", "S 387-2022")</f>
        <v/>
      </c>
      <c r="AB189">
        <f>HYPERLINK("https://klasma.github.io/Logging_2031/klagomålsmail/S 387-2022 FSC-klagomål mail.docx", "S 387-2022")</f>
        <v/>
      </c>
      <c r="AC189">
        <f>HYPERLINK("https://klasma.github.io/Logging_2031/tillsyn/S 387-2022 tillsynsbegäran.docx", "S 387-2022")</f>
        <v/>
      </c>
      <c r="AD189">
        <f>HYPERLINK("https://klasma.github.io/Logging_2031/tillsynsmail/S 387-2022 tillsynsbegäran mail.docx", "S 387-2022")</f>
        <v/>
      </c>
      <c r="AE189">
        <f>HYPERLINK("https://klasma.github.io/Logging_2031/fåglar/S 387-2022 prioriterade fågelarter.docx", "S 387-2022")</f>
        <v/>
      </c>
    </row>
    <row r="190" ht="15" customHeight="1">
      <c r="A190" t="inlineStr">
        <is>
          <t>S 3569-2025</t>
        </is>
      </c>
      <c r="B190" t="inlineStr">
        <is>
          <t>samrådsanmälan</t>
        </is>
      </c>
      <c r="C190" t="inlineStr">
        <is>
          <t>Skogsgödsling</t>
        </is>
      </c>
      <c r="D190" s="1" t="n">
        <v>46009</v>
      </c>
      <c r="E190" s="1" t="n">
        <v>46319</v>
      </c>
      <c r="F190" t="inlineStr">
        <is>
          <t>DALARNAS LÄN</t>
        </is>
      </c>
      <c r="G190" t="inlineStr">
        <is>
          <t>SMEDJEBACKEN</t>
        </is>
      </c>
      <c r="H190" t="inlineStr">
        <is>
          <t>Sveaskog</t>
        </is>
      </c>
      <c r="I190" t="n">
        <v>1578.2</v>
      </c>
      <c r="J190" t="n">
        <v>7</v>
      </c>
      <c r="K190" t="n">
        <v>1</v>
      </c>
      <c r="L190" t="n">
        <v>5</v>
      </c>
      <c r="M190" t="n">
        <v>1</v>
      </c>
      <c r="N190" t="n">
        <v>0</v>
      </c>
      <c r="O190" t="n">
        <v>0</v>
      </c>
      <c r="P190" t="n">
        <v>0</v>
      </c>
      <c r="Q190" t="n">
        <v>6</v>
      </c>
      <c r="R190" t="n">
        <v>1</v>
      </c>
      <c r="S190" t="n">
        <v>13</v>
      </c>
      <c r="T190" t="n">
        <v>24</v>
      </c>
      <c r="U190" t="n">
        <v>1</v>
      </c>
      <c r="V190" s="2" t="inlineStr">
        <is>
          <t>Vedsäckmossa
Blå säckmossa
Blå taggsvamp
Grantaggsvamp
Gullpudra
Kricka
Bågpraktmossa
Mattlummer
Spillkråka
Tjäder
Vanlig groda
Fläcknycklar
Revlummer</t>
        </is>
      </c>
      <c r="W190">
        <f>HYPERLINK("https://klasma.github.io/Logging_2061/artfynd/S 3569-2025 artfynd.xlsx", "S 3569-2025")</f>
        <v/>
      </c>
      <c r="X190">
        <f>HYPERLINK("https://klasma.github.io/Logging_2061/kartor/S 3569-2025 karta.png", "S 3569-2025")</f>
        <v/>
      </c>
      <c r="Y190">
        <f>HYPERLINK("https://klasma.github.io/Logging_2061/kartor_geotiff/S 3569-2025 georefererad karta.tif", "S 3569-2025")</f>
        <v/>
      </c>
      <c r="AA190">
        <f>HYPERLINK("https://klasma.github.io/Logging_2061/klagomål/S 3569-2025 FSC-klagomål.docx", "S 3569-2025")</f>
        <v/>
      </c>
      <c r="AB190">
        <f>HYPERLINK("https://klasma.github.io/Logging_2061/klagomålsmail/S 3569-2025 FSC-klagomål mail.docx", "S 3569-2025")</f>
        <v/>
      </c>
      <c r="AC190">
        <f>HYPERLINK("https://klasma.github.io/Logging_2061/tillsyn/S 3569-2025 tillsynsbegäran.docx", "S 3569-2025")</f>
        <v/>
      </c>
      <c r="AD190">
        <f>HYPERLINK("https://klasma.github.io/Logging_2061/tillsynsmail/S 3569-2025 tillsynsbegäran mail.docx", "S 3569-2025")</f>
        <v/>
      </c>
      <c r="AE190">
        <f>HYPERLINK("https://klasma.github.io/Logging_2061/fåglar/S 3569-2025 prioriterade fågelarter.docx", "S 3569-2025")</f>
        <v/>
      </c>
    </row>
    <row r="191" ht="15" customHeight="1">
      <c r="A191" t="inlineStr">
        <is>
          <t>A 47008-2025</t>
        </is>
      </c>
      <c r="B191" t="inlineStr">
        <is>
          <t>avverkningsanmälan</t>
        </is>
      </c>
      <c r="C191" t="inlineStr">
        <is>
          <t>Föryngringsavverkning</t>
        </is>
      </c>
      <c r="D191" s="1" t="n">
        <v>45929</v>
      </c>
      <c r="E191" s="1" t="n">
        <v>46319</v>
      </c>
      <c r="F191" t="inlineStr">
        <is>
          <t>DALARNAS LÄN</t>
        </is>
      </c>
      <c r="G191" t="inlineStr">
        <is>
          <t>ÄLVDALEN</t>
        </is>
      </c>
      <c r="H191" t="inlineStr">
        <is>
          <t>Allmännings- och besparingsskogar</t>
        </is>
      </c>
      <c r="I191" t="n">
        <v>4.6</v>
      </c>
      <c r="J191" t="n">
        <v>5</v>
      </c>
      <c r="K191" t="n">
        <v>0</v>
      </c>
      <c r="L191" t="n">
        <v>8</v>
      </c>
      <c r="M191" t="n">
        <v>1</v>
      </c>
      <c r="N191" t="n">
        <v>0</v>
      </c>
      <c r="O191" t="n">
        <v>0</v>
      </c>
      <c r="P191" t="n">
        <v>0</v>
      </c>
      <c r="Q191" t="n">
        <v>9</v>
      </c>
      <c r="R191" t="n">
        <v>1</v>
      </c>
      <c r="S191" t="n">
        <v>12</v>
      </c>
      <c r="T191" t="n">
        <v>103</v>
      </c>
      <c r="U191" t="n">
        <v>103</v>
      </c>
      <c r="V191" s="2" t="inlineStr">
        <is>
          <t>Garnlav
Dvärgbägarlav
Kolflarnlav
Mörk kolflarnlav
Tallticka
Talltita
Tretåig hackspett
Vedflamlav
Vedskivlav
Spillkråka
Tjäder
Orre</t>
        </is>
      </c>
      <c r="W191">
        <f>HYPERLINK("https://klasma.github.io/Logging_2039/artfynd/A 47008-2025 artfynd.xlsx", "A 47008-2025")</f>
        <v/>
      </c>
      <c r="X191">
        <f>HYPERLINK("https://klasma.github.io/Logging_2039/kartor/A 47008-2025 karta.png", "A 47008-2025")</f>
        <v/>
      </c>
      <c r="Y191">
        <f>HYPERLINK("https://klasma.github.io/Logging_2039/kartor_geotiff/A 47008-2025 georefererad karta.tif", "A 47008-2025")</f>
        <v/>
      </c>
      <c r="AA191">
        <f>HYPERLINK("https://klasma.github.io/Logging_2039/klagomål/A 47008-2025 FSC-klagomål.docx", "A 47008-2025")</f>
        <v/>
      </c>
      <c r="AB191">
        <f>HYPERLINK("https://klasma.github.io/Logging_2039/klagomålsmail/A 47008-2025 FSC-klagomål mail.docx", "A 47008-2025")</f>
        <v/>
      </c>
      <c r="AC191">
        <f>HYPERLINK("https://klasma.github.io/Logging_2039/tillsyn/A 47008-2025 tillsynsbegäran.docx", "A 47008-2025")</f>
        <v/>
      </c>
      <c r="AD191">
        <f>HYPERLINK("https://klasma.github.io/Logging_2039/tillsynsmail/A 47008-2025 tillsynsbegäran mail.docx", "A 47008-2025")</f>
        <v/>
      </c>
      <c r="AE191">
        <f>HYPERLINK("https://klasma.github.io/Logging_2039/fåglar/A 47008-2025 prioriterade fågelarter.docx", "A 47008-2025")</f>
        <v/>
      </c>
    </row>
    <row r="192" ht="15" customHeight="1">
      <c r="A192" t="inlineStr">
        <is>
          <t>A 16370-2024</t>
        </is>
      </c>
      <c r="B192" t="inlineStr">
        <is>
          <t>avverkningsanmälan</t>
        </is>
      </c>
      <c r="C192" t="inlineStr">
        <is>
          <t>Föryngringsavverkning</t>
        </is>
      </c>
      <c r="D192" s="1" t="n">
        <v>45407</v>
      </c>
      <c r="E192" s="1" t="n">
        <v>46319</v>
      </c>
      <c r="F192" t="inlineStr">
        <is>
          <t>DALARNAS LÄN</t>
        </is>
      </c>
      <c r="G192" t="inlineStr">
        <is>
          <t>ÄLVDALEN</t>
        </is>
      </c>
      <c r="H192" t="inlineStr">
        <is>
          <t>Sveaskog</t>
        </is>
      </c>
      <c r="I192" t="n">
        <v>11.8</v>
      </c>
      <c r="J192" t="n">
        <v>2</v>
      </c>
      <c r="K192" t="n">
        <v>1</v>
      </c>
      <c r="L192" t="n">
        <v>8</v>
      </c>
      <c r="M192" t="n">
        <v>3</v>
      </c>
      <c r="N192" t="n">
        <v>0</v>
      </c>
      <c r="O192" t="n">
        <v>0</v>
      </c>
      <c r="P192" t="n">
        <v>0</v>
      </c>
      <c r="Q192" t="n">
        <v>11</v>
      </c>
      <c r="R192" t="n">
        <v>3</v>
      </c>
      <c r="S192" t="n">
        <v>12</v>
      </c>
      <c r="T192" t="n">
        <v>32</v>
      </c>
      <c r="U192" t="n">
        <v>8</v>
      </c>
      <c r="V192" s="2" t="inlineStr">
        <is>
          <t>Fläckporing
Garnlav
Gräddporing
Bläsand
Dropptaggsvamp
Dvärgbägarlav
Knottrig blåslav
Lavskrika
Lunglav
Mörk kolflarnlav
Skrovellav
Stuplav</t>
        </is>
      </c>
      <c r="W192">
        <f>HYPERLINK("https://klasma.github.io/Logging_2039/artfynd/A 16370-2024 artfynd.xlsx", "A 16370-2024")</f>
        <v/>
      </c>
      <c r="X192">
        <f>HYPERLINK("https://klasma.github.io/Logging_2039/kartor/A 16370-2024 karta.png", "A 16370-2024")</f>
        <v/>
      </c>
      <c r="Y192">
        <f>HYPERLINK("https://klasma.github.io/Logging_2039/kartor_geotiff/A 16370-2024 georefererad karta.tif", "A 16370-2024")</f>
        <v/>
      </c>
      <c r="AA192">
        <f>HYPERLINK("https://klasma.github.io/Logging_2039/klagomål/A 16370-2024 FSC-klagomål.docx", "A 16370-2024")</f>
        <v/>
      </c>
      <c r="AB192">
        <f>HYPERLINK("https://klasma.github.io/Logging_2039/klagomålsmail/A 16370-2024 FSC-klagomål mail.docx", "A 16370-2024")</f>
        <v/>
      </c>
      <c r="AC192">
        <f>HYPERLINK("https://klasma.github.io/Logging_2039/tillsyn/A 16370-2024 tillsynsbegäran.docx", "A 16370-2024")</f>
        <v/>
      </c>
      <c r="AD192">
        <f>HYPERLINK("https://klasma.github.io/Logging_2039/tillsynsmail/A 16370-2024 tillsynsbegäran mail.docx", "A 16370-2024")</f>
        <v/>
      </c>
      <c r="AE192">
        <f>HYPERLINK("https://klasma.github.io/Logging_2039/fåglar/A 16370-2024 prioriterade fågelarter.docx", "A 16370-2024")</f>
        <v/>
      </c>
    </row>
    <row r="193" ht="15" customHeight="1">
      <c r="A193" t="inlineStr">
        <is>
          <t>A 44563-2025</t>
        </is>
      </c>
      <c r="B193" t="inlineStr">
        <is>
          <t>avverkningsanmälan</t>
        </is>
      </c>
      <c r="C193" t="inlineStr">
        <is>
          <t>Föryngringsavverkning</t>
        </is>
      </c>
      <c r="D193" s="1" t="n">
        <v>45917</v>
      </c>
      <c r="E193" s="1" t="n">
        <v>46319</v>
      </c>
      <c r="F193" t="inlineStr">
        <is>
          <t>DALARNAS LÄN</t>
        </is>
      </c>
      <c r="G193" t="inlineStr">
        <is>
          <t>MALUNG-SÄLEN</t>
        </is>
      </c>
      <c r="H193" t="inlineStr">
        <is>
          <t>Allmännings- och besparingsskogar</t>
        </is>
      </c>
      <c r="I193" t="n">
        <v>25.4</v>
      </c>
      <c r="J193" t="n">
        <v>0</v>
      </c>
      <c r="K193" t="n">
        <v>0</v>
      </c>
      <c r="L193" t="n">
        <v>11</v>
      </c>
      <c r="M193" t="n">
        <v>1</v>
      </c>
      <c r="N193" t="n">
        <v>0</v>
      </c>
      <c r="O193" t="n">
        <v>0</v>
      </c>
      <c r="P193" t="n">
        <v>0</v>
      </c>
      <c r="Q193" t="n">
        <v>12</v>
      </c>
      <c r="R193" t="n">
        <v>1</v>
      </c>
      <c r="S193" t="n">
        <v>12</v>
      </c>
      <c r="T193" t="n">
        <v>63</v>
      </c>
      <c r="U193" t="n">
        <v>63</v>
      </c>
      <c r="V193" s="2" t="inlineStr">
        <is>
          <t>Garnlav
Blå taggsvamp
Dofttaggsvamp
Dropptaggsvamp
Dvärgbägarlav
Kolflarnlav
Kortskaftad ärgspik
Mörk kolflarnlav
Vaddporing
Vedflamlav
Vedskivlav
Violettgrå tagellav</t>
        </is>
      </c>
      <c r="W193">
        <f>HYPERLINK("https://klasma.github.io/Logging_2023/artfynd/A 44563-2025 artfynd.xlsx", "A 44563-2025")</f>
        <v/>
      </c>
      <c r="X193">
        <f>HYPERLINK("https://klasma.github.io/Logging_2023/kartor/A 44563-2025 karta.png", "A 44563-2025")</f>
        <v/>
      </c>
      <c r="Y193">
        <f>HYPERLINK("https://klasma.github.io/Logging_2023/kartor_geotiff/A 44563-2025 georefererad karta.tif", "A 44563-2025")</f>
        <v/>
      </c>
      <c r="AA193">
        <f>HYPERLINK("https://klasma.github.io/Logging_2023/klagomål/A 44563-2025 FSC-klagomål.docx", "A 44563-2025")</f>
        <v/>
      </c>
      <c r="AB193">
        <f>HYPERLINK("https://klasma.github.io/Logging_2023/klagomålsmail/A 44563-2025 FSC-klagomål mail.docx", "A 44563-2025")</f>
        <v/>
      </c>
      <c r="AC193">
        <f>HYPERLINK("https://klasma.github.io/Logging_2023/tillsyn/A 44563-2025 tillsynsbegäran.docx", "A 44563-2025")</f>
        <v/>
      </c>
      <c r="AD193">
        <f>HYPERLINK("https://klasma.github.io/Logging_2023/tillsynsmail/A 44563-2025 tillsynsbegäran mail.docx", "A 44563-2025")</f>
        <v/>
      </c>
    </row>
    <row r="194" ht="15" customHeight="1">
      <c r="A194" t="inlineStr">
        <is>
          <t>A 44936-2025</t>
        </is>
      </c>
      <c r="B194" t="inlineStr">
        <is>
          <t>avverkningsanmälan</t>
        </is>
      </c>
      <c r="C194" t="inlineStr">
        <is>
          <t>Föryngringsavverkning</t>
        </is>
      </c>
      <c r="D194" s="1" t="n">
        <v>45918</v>
      </c>
      <c r="E194" s="1" t="n">
        <v>46319</v>
      </c>
      <c r="F194" t="inlineStr">
        <is>
          <t>DALARNAS LÄN</t>
        </is>
      </c>
      <c r="G194" t="inlineStr">
        <is>
          <t>ÄLVDALEN</t>
        </is>
      </c>
      <c r="H194" t="inlineStr">
        <is>
          <t>Allmännings- och besparingsskogar</t>
        </is>
      </c>
      <c r="I194" t="n">
        <v>29.6</v>
      </c>
      <c r="J194" t="n">
        <v>5</v>
      </c>
      <c r="K194" t="n">
        <v>0</v>
      </c>
      <c r="L194" t="n">
        <v>7</v>
      </c>
      <c r="M194" t="n">
        <v>2</v>
      </c>
      <c r="N194" t="n">
        <v>0</v>
      </c>
      <c r="O194" t="n">
        <v>0</v>
      </c>
      <c r="P194" t="n">
        <v>0</v>
      </c>
      <c r="Q194" t="n">
        <v>9</v>
      </c>
      <c r="R194" t="n">
        <v>2</v>
      </c>
      <c r="S194" t="n">
        <v>12</v>
      </c>
      <c r="T194" t="n">
        <v>288</v>
      </c>
      <c r="U194" t="n">
        <v>288</v>
      </c>
      <c r="V194" s="2" t="inlineStr">
        <is>
          <t>Garnlav
Gräddporing
Kolflarnlav
Mörk kolflarnlav
Tallticka
Talltita
Varglav
Vedflamlav
Vedskivlav
Spillkråka
Tjäder
Kungsfågel</t>
        </is>
      </c>
      <c r="W194">
        <f>HYPERLINK("https://klasma.github.io/Logging_2039/artfynd/A 44936-2025 artfynd.xlsx", "A 44936-2025")</f>
        <v/>
      </c>
      <c r="X194">
        <f>HYPERLINK("https://klasma.github.io/Logging_2039/kartor/A 44936-2025 karta.png", "A 44936-2025")</f>
        <v/>
      </c>
      <c r="Y194">
        <f>HYPERLINK("https://klasma.github.io/Logging_2039/kartor_geotiff/A 44936-2025 georefererad karta.tif", "A 44936-2025")</f>
        <v/>
      </c>
      <c r="AA194">
        <f>HYPERLINK("https://klasma.github.io/Logging_2039/klagomål/A 44936-2025 FSC-klagomål.docx", "A 44936-2025")</f>
        <v/>
      </c>
      <c r="AB194">
        <f>HYPERLINK("https://klasma.github.io/Logging_2039/klagomålsmail/A 44936-2025 FSC-klagomål mail.docx", "A 44936-2025")</f>
        <v/>
      </c>
      <c r="AC194">
        <f>HYPERLINK("https://klasma.github.io/Logging_2039/tillsyn/A 44936-2025 tillsynsbegäran.docx", "A 44936-2025")</f>
        <v/>
      </c>
      <c r="AD194">
        <f>HYPERLINK("https://klasma.github.io/Logging_2039/tillsynsmail/A 44936-2025 tillsynsbegäran mail.docx", "A 44936-2025")</f>
        <v/>
      </c>
      <c r="AE194">
        <f>HYPERLINK("https://klasma.github.io/Logging_2039/fåglar/A 44936-2025 prioriterade fågelarter.docx", "A 44936-2025")</f>
        <v/>
      </c>
    </row>
    <row r="195" ht="15" customHeight="1">
      <c r="A195" t="inlineStr">
        <is>
          <t>A 38224-2026</t>
        </is>
      </c>
      <c r="B195" t="inlineStr">
        <is>
          <t>avverkningsanmälan</t>
        </is>
      </c>
      <c r="C195" t="inlineStr">
        <is>
          <t>Föryngringsavverkning</t>
        </is>
      </c>
      <c r="D195" s="1" t="n">
        <v>46281</v>
      </c>
      <c r="E195" s="1" t="n">
        <v>46319</v>
      </c>
      <c r="F195" t="inlineStr">
        <is>
          <t>DALARNAS LÄN</t>
        </is>
      </c>
      <c r="G195" t="inlineStr">
        <is>
          <t>MORA</t>
        </is>
      </c>
      <c r="I195" t="n">
        <v>13.6</v>
      </c>
      <c r="J195" t="n">
        <v>4</v>
      </c>
      <c r="K195" t="n">
        <v>2</v>
      </c>
      <c r="L195" t="n">
        <v>7</v>
      </c>
      <c r="M195" t="n">
        <v>1</v>
      </c>
      <c r="N195" t="n">
        <v>0</v>
      </c>
      <c r="O195" t="n">
        <v>0</v>
      </c>
      <c r="P195" t="n">
        <v>0</v>
      </c>
      <c r="Q195" t="n">
        <v>8</v>
      </c>
      <c r="R195" t="n">
        <v>1</v>
      </c>
      <c r="S195" t="n">
        <v>12</v>
      </c>
      <c r="T195" t="n">
        <v>198</v>
      </c>
      <c r="U195" t="n">
        <v>0</v>
      </c>
      <c r="V195" s="2" t="inlineStr">
        <is>
          <t>Garnlav
Dropptaggsvamp
Kolflarnlav
Mörk kolflarnlav
Varglav
Vedflamlav
Vedskivlav
Violettgrå tagellav
Mindre märgborre
Plattlummer
Spillkråka
Tjäder</t>
        </is>
      </c>
      <c r="W195">
        <f>HYPERLINK("https://klasma.github.io/Logging_2062/artfynd/A 38224-2026 artfynd.xlsx", "A 38224-2026")</f>
        <v/>
      </c>
      <c r="X195">
        <f>HYPERLINK("https://klasma.github.io/Logging_2062/kartor/A 38224-2026 karta.png", "A 38224-2026")</f>
        <v/>
      </c>
      <c r="Y195">
        <f>HYPERLINK("https://klasma.github.io/Logging_2062/kartor_geotiff/A 38224-2026 georefererad karta.tif", "A 38224-2026")</f>
        <v/>
      </c>
      <c r="AA195">
        <f>HYPERLINK("https://klasma.github.io/Logging_2062/klagomål/A 38224-2026 FSC-klagomål.docx", "A 38224-2026")</f>
        <v/>
      </c>
      <c r="AB195">
        <f>HYPERLINK("https://klasma.github.io/Logging_2062/klagomålsmail/A 38224-2026 FSC-klagomål mail.docx", "A 38224-2026")</f>
        <v/>
      </c>
      <c r="AC195">
        <f>HYPERLINK("https://klasma.github.io/Logging_2062/tillsyn/A 38224-2026 tillsynsbegäran.docx", "A 38224-2026")</f>
        <v/>
      </c>
      <c r="AD195">
        <f>HYPERLINK("https://klasma.github.io/Logging_2062/tillsynsmail/A 38224-2026 tillsynsbegäran mail.docx", "A 38224-2026")</f>
        <v/>
      </c>
      <c r="AE195">
        <f>HYPERLINK("https://klasma.github.io/Logging_2062/fåglar/A 38224-2026 prioriterade fågelarter.docx", "A 38224-2026")</f>
        <v/>
      </c>
    </row>
    <row r="196" ht="15" customHeight="1">
      <c r="A196" t="inlineStr">
        <is>
          <t>A 1912-2023</t>
        </is>
      </c>
      <c r="B196" t="inlineStr">
        <is>
          <t>avverkningsanmälan</t>
        </is>
      </c>
      <c r="C196" t="inlineStr">
        <is>
          <t>Föryngringsavverkning</t>
        </is>
      </c>
      <c r="D196" s="1" t="n">
        <v>44937</v>
      </c>
      <c r="E196" s="1" t="n">
        <v>46319</v>
      </c>
      <c r="F196" t="inlineStr">
        <is>
          <t>DALARNAS LÄN</t>
        </is>
      </c>
      <c r="G196" t="inlineStr">
        <is>
          <t>LUDVIKA</t>
        </is>
      </c>
      <c r="H196" t="inlineStr">
        <is>
          <t>Kommuner</t>
        </is>
      </c>
      <c r="I196" t="n">
        <v>8.800000000000001</v>
      </c>
      <c r="J196" t="n">
        <v>0</v>
      </c>
      <c r="K196" t="n">
        <v>6</v>
      </c>
      <c r="L196" t="n">
        <v>5</v>
      </c>
      <c r="M196" t="n">
        <v>1</v>
      </c>
      <c r="N196" t="n">
        <v>0</v>
      </c>
      <c r="O196" t="n">
        <v>0</v>
      </c>
      <c r="P196" t="n">
        <v>0</v>
      </c>
      <c r="Q196" t="n">
        <v>6</v>
      </c>
      <c r="R196" t="n">
        <v>1</v>
      </c>
      <c r="S196" t="n">
        <v>12</v>
      </c>
      <c r="T196" t="n">
        <v>19</v>
      </c>
      <c r="U196" t="n">
        <v>8</v>
      </c>
      <c r="V196" s="2" t="inlineStr">
        <is>
          <t>Mjölig dropplav
Fjällig taggsvamp s.str.
Gammelgransskål
Kådvaxskinn
Mindre träfjäril
Rynkskinn
Aspvedborre
Barkticka
Kamjordstjärna
Mörk husmossa
Svavelriska
Vedticka</t>
        </is>
      </c>
      <c r="W196">
        <f>HYPERLINK("https://klasma.github.io/Logging_2085/artfynd/A 1912-2023 artfynd.xlsx", "A 1912-2023")</f>
        <v/>
      </c>
      <c r="X196">
        <f>HYPERLINK("https://klasma.github.io/Logging_2085/kartor/A 1912-2023 karta.png", "A 1912-2023")</f>
        <v/>
      </c>
      <c r="Y196">
        <f>HYPERLINK("https://klasma.github.io/Logging_2085/kartor_geotiff/A 1912-2023 georefererad karta.tif", "A 1912-2023")</f>
        <v/>
      </c>
      <c r="AA196">
        <f>HYPERLINK("https://klasma.github.io/Logging_2085/klagomål/A 1912-2023 FSC-klagomål.docx", "A 1912-2023")</f>
        <v/>
      </c>
      <c r="AB196">
        <f>HYPERLINK("https://klasma.github.io/Logging_2085/klagomålsmail/A 1912-2023 FSC-klagomål mail.docx", "A 1912-2023")</f>
        <v/>
      </c>
      <c r="AC196">
        <f>HYPERLINK("https://klasma.github.io/Logging_2085/tillsyn/A 1912-2023 tillsynsbegäran.docx", "A 1912-2023")</f>
        <v/>
      </c>
      <c r="AD196">
        <f>HYPERLINK("https://klasma.github.io/Logging_2085/tillsynsmail/A 1912-2023 tillsynsbegäran mail.docx", "A 1912-2023")</f>
        <v/>
      </c>
    </row>
    <row r="197" ht="15" customHeight="1">
      <c r="A197" t="inlineStr">
        <is>
          <t>A 38991-2026</t>
        </is>
      </c>
      <c r="B197" t="inlineStr">
        <is>
          <t>avverkningsanmälan</t>
        </is>
      </c>
      <c r="C197" t="inlineStr">
        <is>
          <t>Föryngringsavverkning</t>
        </is>
      </c>
      <c r="D197" s="1" t="n">
        <v>46283</v>
      </c>
      <c r="E197" s="1" t="n">
        <v>46319</v>
      </c>
      <c r="F197" t="inlineStr">
        <is>
          <t>DALARNAS LÄN</t>
        </is>
      </c>
      <c r="G197" t="inlineStr">
        <is>
          <t>SMEDJEBACKEN</t>
        </is>
      </c>
      <c r="H197" t="inlineStr">
        <is>
          <t>Bergvik skog väst AB</t>
        </is>
      </c>
      <c r="I197" t="n">
        <v>27.4</v>
      </c>
      <c r="J197" t="n">
        <v>7</v>
      </c>
      <c r="K197" t="n">
        <v>3</v>
      </c>
      <c r="L197" t="n">
        <v>2</v>
      </c>
      <c r="M197" t="n">
        <v>1</v>
      </c>
      <c r="N197" t="n">
        <v>0</v>
      </c>
      <c r="O197" t="n">
        <v>0</v>
      </c>
      <c r="P197" t="n">
        <v>0</v>
      </c>
      <c r="Q197" t="n">
        <v>3</v>
      </c>
      <c r="R197" t="n">
        <v>1</v>
      </c>
      <c r="S197" t="n">
        <v>12</v>
      </c>
      <c r="T197" t="n">
        <v>24</v>
      </c>
      <c r="U197" t="n">
        <v>19</v>
      </c>
      <c r="V197" s="2" t="inlineStr">
        <is>
          <t>Knärot
Dropptaggsvamp
Veckticka
Barkkornlav
Bårdlav
Korallrot
Blåsippa
Gråspett
Skriftlav
Fläcknycklar
Lopplummer (aggregat)
Revlummer</t>
        </is>
      </c>
      <c r="W197">
        <f>HYPERLINK("https://klasma.github.io/Logging_2061/artfynd/A 38991-2026 artfynd.xlsx", "A 38991-2026")</f>
        <v/>
      </c>
      <c r="X197">
        <f>HYPERLINK("https://klasma.github.io/Logging_2061/kartor/A 38991-2026 karta.png", "A 38991-2026")</f>
        <v/>
      </c>
      <c r="Y197">
        <f>HYPERLINK("https://klasma.github.io/Logging_2061/kartor_geotiff/A 38991-2026 georefererad karta.tif", "A 38991-2026")</f>
        <v/>
      </c>
      <c r="Z197">
        <f>HYPERLINK("https://klasma.github.io/Logging_2061/knärot/A 38991-2026 karta knärot.png", "A 38991-2026")</f>
        <v/>
      </c>
      <c r="AA197">
        <f>HYPERLINK("https://klasma.github.io/Logging_2061/klagomål/A 38991-2026 FSC-klagomål.docx", "A 38991-2026")</f>
        <v/>
      </c>
      <c r="AB197">
        <f>HYPERLINK("https://klasma.github.io/Logging_2061/klagomålsmail/A 38991-2026 FSC-klagomål mail.docx", "A 38991-2026")</f>
        <v/>
      </c>
      <c r="AC197">
        <f>HYPERLINK("https://klasma.github.io/Logging_2061/tillsyn/A 38991-2026 tillsynsbegäran.docx", "A 38991-2026")</f>
        <v/>
      </c>
      <c r="AD197">
        <f>HYPERLINK("https://klasma.github.io/Logging_2061/tillsynsmail/A 38991-2026 tillsynsbegäran mail.docx", "A 38991-2026")</f>
        <v/>
      </c>
      <c r="AE197">
        <f>HYPERLINK("https://klasma.github.io/Logging_2061/fåglar/A 38991-2026 prioriterade fågelarter.docx", "A 38991-2026")</f>
        <v/>
      </c>
    </row>
    <row r="198" ht="15" customHeight="1">
      <c r="A198" t="inlineStr">
        <is>
          <t>A 4468-2026</t>
        </is>
      </c>
      <c r="B198" t="inlineStr">
        <is>
          <t>avverkningsanmälan</t>
        </is>
      </c>
      <c r="C198" t="inlineStr">
        <is>
          <t>Föryngringsavverkning</t>
        </is>
      </c>
      <c r="D198" s="1" t="n">
        <v>46045</v>
      </c>
      <c r="E198" s="1" t="n">
        <v>46319</v>
      </c>
      <c r="F198" t="inlineStr">
        <is>
          <t>DALARNAS LÄN</t>
        </is>
      </c>
      <c r="G198" t="inlineStr">
        <is>
          <t>FALUN</t>
        </is>
      </c>
      <c r="I198" t="n">
        <v>4</v>
      </c>
      <c r="J198" t="n">
        <v>7</v>
      </c>
      <c r="K198" t="n">
        <v>2</v>
      </c>
      <c r="L198" t="n">
        <v>3</v>
      </c>
      <c r="M198" t="n">
        <v>2</v>
      </c>
      <c r="N198" t="n">
        <v>0</v>
      </c>
      <c r="O198" t="n">
        <v>0</v>
      </c>
      <c r="P198" t="n">
        <v>0</v>
      </c>
      <c r="Q198" t="n">
        <v>5</v>
      </c>
      <c r="R198" t="n">
        <v>2</v>
      </c>
      <c r="S198" t="n">
        <v>12</v>
      </c>
      <c r="T198" t="n">
        <v>54</v>
      </c>
      <c r="U198" t="n">
        <v>38</v>
      </c>
      <c r="V198" s="2" t="inlineStr">
        <is>
          <t>Grönfink
Knärot
Apelsinticka
Dropptaggsvamp
Tallticka
Bronshjon
Mindre märgborre
Gråspett
Spillkråka
Tofsmes
Grönsiska
Orre</t>
        </is>
      </c>
      <c r="W198">
        <f>HYPERLINK("https://klasma.github.io/Logging_2080/artfynd/A 4468-2026 artfynd.xlsx", "A 4468-2026")</f>
        <v/>
      </c>
      <c r="X198">
        <f>HYPERLINK("https://klasma.github.io/Logging_2080/kartor/A 4468-2026 karta.png", "A 4468-2026")</f>
        <v/>
      </c>
      <c r="Y198">
        <f>HYPERLINK("https://klasma.github.io/Logging_2080/kartor_geotiff/A 4468-2026 georefererad karta.tif", "A 4468-2026")</f>
        <v/>
      </c>
      <c r="Z198">
        <f>HYPERLINK("https://klasma.github.io/Logging_2080/knärot/A 4468-2026 karta knärot.png", "A 4468-2026")</f>
        <v/>
      </c>
      <c r="AA198">
        <f>HYPERLINK("https://klasma.github.io/Logging_2080/klagomål/A 4468-2026 FSC-klagomål.docx", "A 4468-2026")</f>
        <v/>
      </c>
      <c r="AB198">
        <f>HYPERLINK("https://klasma.github.io/Logging_2080/klagomålsmail/A 4468-2026 FSC-klagomål mail.docx", "A 4468-2026")</f>
        <v/>
      </c>
      <c r="AC198">
        <f>HYPERLINK("https://klasma.github.io/Logging_2080/tillsyn/A 4468-2026 tillsynsbegäran.docx", "A 4468-2026")</f>
        <v/>
      </c>
      <c r="AD198">
        <f>HYPERLINK("https://klasma.github.io/Logging_2080/tillsynsmail/A 4468-2026 tillsynsbegäran mail.docx", "A 4468-2026")</f>
        <v/>
      </c>
      <c r="AE198">
        <f>HYPERLINK("https://klasma.github.io/Logging_2080/fåglar/A 4468-2026 prioriterade fågelarter.docx", "A 4468-2026")</f>
        <v/>
      </c>
    </row>
    <row r="199" ht="15" customHeight="1">
      <c r="A199" t="inlineStr">
        <is>
          <t>A 59728-2021</t>
        </is>
      </c>
      <c r="B199" t="inlineStr">
        <is>
          <t>avverkningsanmälan</t>
        </is>
      </c>
      <c r="C199" t="inlineStr">
        <is>
          <t>Föryngringsavverkning</t>
        </is>
      </c>
      <c r="D199" s="1" t="n">
        <v>44494</v>
      </c>
      <c r="E199" s="1" t="n">
        <v>46319</v>
      </c>
      <c r="F199" t="inlineStr">
        <is>
          <t>DALARNAS LÄN</t>
        </is>
      </c>
      <c r="G199" t="inlineStr">
        <is>
          <t>BORLÄNGE</t>
        </is>
      </c>
      <c r="I199" t="n">
        <v>6.7</v>
      </c>
      <c r="J199" t="n">
        <v>3</v>
      </c>
      <c r="K199" t="n">
        <v>3</v>
      </c>
      <c r="L199" t="n">
        <v>4</v>
      </c>
      <c r="M199" t="n">
        <v>2</v>
      </c>
      <c r="N199" t="n">
        <v>1</v>
      </c>
      <c r="O199" t="n">
        <v>0</v>
      </c>
      <c r="P199" t="n">
        <v>0</v>
      </c>
      <c r="Q199" t="n">
        <v>7</v>
      </c>
      <c r="R199" t="n">
        <v>3</v>
      </c>
      <c r="S199" t="n">
        <v>12</v>
      </c>
      <c r="T199" t="n">
        <v>27</v>
      </c>
      <c r="U199" t="n">
        <v>27</v>
      </c>
      <c r="V199" s="2" t="inlineStr">
        <is>
          <t>Skogsalm
Citronporing
Knärot
Fjällig taggsvamp s.str.
Gransotdyna
Ullticka
Vedtrappmossa
Bronshjon
Mörk husmossa
Rödgul trumpetsvamp
Blåsippa
Lopplummer (aggregat)</t>
        </is>
      </c>
      <c r="W199">
        <f>HYPERLINK("https://klasma.github.io/Logging_2081/artfynd/A 59728-2021 artfynd.xlsx", "A 59728-2021")</f>
        <v/>
      </c>
      <c r="X199">
        <f>HYPERLINK("https://klasma.github.io/Logging_2081/kartor/A 59728-2021 karta.png", "A 59728-2021")</f>
        <v/>
      </c>
      <c r="Y199">
        <f>HYPERLINK("https://klasma.github.io/Logging_2081/kartor_geotiff/A 59728-2021 georefererad karta.tif", "A 59728-2021")</f>
        <v/>
      </c>
      <c r="Z199">
        <f>HYPERLINK("https://klasma.github.io/Logging_2081/knärot/A 59728-2021 karta knärot.png", "A 59728-2021")</f>
        <v/>
      </c>
      <c r="AA199">
        <f>HYPERLINK("https://klasma.github.io/Logging_2081/klagomål/A 59728-2021 FSC-klagomål.docx", "A 59728-2021")</f>
        <v/>
      </c>
      <c r="AB199">
        <f>HYPERLINK("https://klasma.github.io/Logging_2081/klagomålsmail/A 59728-2021 FSC-klagomål mail.docx", "A 59728-2021")</f>
        <v/>
      </c>
      <c r="AC199">
        <f>HYPERLINK("https://klasma.github.io/Logging_2081/tillsyn/A 59728-2021 tillsynsbegäran.docx", "A 59728-2021")</f>
        <v/>
      </c>
      <c r="AD199">
        <f>HYPERLINK("https://klasma.github.io/Logging_2081/tillsynsmail/A 59728-2021 tillsynsbegäran mail.docx", "A 59728-2021")</f>
        <v/>
      </c>
    </row>
    <row r="200" ht="15" customHeight="1">
      <c r="A200" t="inlineStr">
        <is>
          <t>A 28385-2025</t>
        </is>
      </c>
      <c r="B200" t="inlineStr">
        <is>
          <t>avverkningsanmälan</t>
        </is>
      </c>
      <c r="C200" t="inlineStr">
        <is>
          <t>Avverkning för att bevara och utveckla /försöksver</t>
        </is>
      </c>
      <c r="D200" s="1" t="n">
        <v>45819</v>
      </c>
      <c r="E200" s="1" t="n">
        <v>46319</v>
      </c>
      <c r="F200" t="inlineStr">
        <is>
          <t>DALARNAS LÄN</t>
        </is>
      </c>
      <c r="G200" t="inlineStr">
        <is>
          <t>FALUN</t>
        </is>
      </c>
      <c r="I200" t="n">
        <v>14.2</v>
      </c>
      <c r="J200" t="n">
        <v>9</v>
      </c>
      <c r="K200" t="n">
        <v>1</v>
      </c>
      <c r="L200" t="n">
        <v>5</v>
      </c>
      <c r="M200" t="n">
        <v>1</v>
      </c>
      <c r="N200" t="n">
        <v>0</v>
      </c>
      <c r="O200" t="n">
        <v>0</v>
      </c>
      <c r="P200" t="n">
        <v>0</v>
      </c>
      <c r="Q200" t="n">
        <v>6</v>
      </c>
      <c r="R200" t="n">
        <v>1</v>
      </c>
      <c r="S200" t="n">
        <v>12</v>
      </c>
      <c r="T200" t="n">
        <v>45</v>
      </c>
      <c r="U200" t="n">
        <v>43</v>
      </c>
      <c r="V200" s="2" t="inlineStr">
        <is>
          <t>Knärot
Dropptaggsvamp
Lavskrika
Motaggsvamp
Rödvingetrast
Talltita
Mindre märgborre
Spillkråka
Tjäder
Kråka
Kungsfågel
Fläcknycklar</t>
        </is>
      </c>
      <c r="W200">
        <f>HYPERLINK("https://klasma.github.io/Logging_2080/artfynd/A 28385-2025 artfynd.xlsx", "A 28385-2025")</f>
        <v/>
      </c>
      <c r="X200">
        <f>HYPERLINK("https://klasma.github.io/Logging_2080/kartor/A 28385-2025 karta.png", "A 28385-2025")</f>
        <v/>
      </c>
      <c r="Y200">
        <f>HYPERLINK("https://klasma.github.io/Logging_2080/kartor_geotiff/A 28385-2025 georefererad karta.tif", "A 28385-2025")</f>
        <v/>
      </c>
      <c r="Z200">
        <f>HYPERLINK("https://klasma.github.io/Logging_2080/knärot/A 28385-2025 karta knärot.png", "A 28385-2025")</f>
        <v/>
      </c>
      <c r="AA200">
        <f>HYPERLINK("https://klasma.github.io/Logging_2080/klagomål/A 28385-2025 FSC-klagomål.docx", "A 28385-2025")</f>
        <v/>
      </c>
      <c r="AB200">
        <f>HYPERLINK("https://klasma.github.io/Logging_2080/klagomålsmail/A 28385-2025 FSC-klagomål mail.docx", "A 28385-2025")</f>
        <v/>
      </c>
      <c r="AC200">
        <f>HYPERLINK("https://klasma.github.io/Logging_2080/tillsyn/A 28385-2025 tillsynsbegäran.docx", "A 28385-2025")</f>
        <v/>
      </c>
      <c r="AD200">
        <f>HYPERLINK("https://klasma.github.io/Logging_2080/tillsynsmail/A 28385-2025 tillsynsbegäran mail.docx", "A 28385-2025")</f>
        <v/>
      </c>
      <c r="AE200">
        <f>HYPERLINK("https://klasma.github.io/Logging_2080/fåglar/A 28385-2025 prioriterade fågelarter.docx", "A 28385-2025")</f>
        <v/>
      </c>
    </row>
    <row r="201" ht="15" customHeight="1">
      <c r="A201" t="inlineStr">
        <is>
          <t>A 31658-2025</t>
        </is>
      </c>
      <c r="B201" t="inlineStr">
        <is>
          <t>avverkningsanmälan</t>
        </is>
      </c>
      <c r="C201" t="inlineStr">
        <is>
          <t>Föryngringsavverkning</t>
        </is>
      </c>
      <c r="D201" s="1" t="n">
        <v>45834</v>
      </c>
      <c r="E201" s="1" t="n">
        <v>46319</v>
      </c>
      <c r="F201" t="inlineStr">
        <is>
          <t>DALARNAS LÄN</t>
        </is>
      </c>
      <c r="G201" t="inlineStr">
        <is>
          <t>ÄLVDALEN</t>
        </is>
      </c>
      <c r="H201" t="inlineStr">
        <is>
          <t>Allmännings- och besparingsskogar</t>
        </is>
      </c>
      <c r="I201" t="n">
        <v>0.7</v>
      </c>
      <c r="J201" t="n">
        <v>2</v>
      </c>
      <c r="K201" t="n">
        <v>1</v>
      </c>
      <c r="L201" t="n">
        <v>11</v>
      </c>
      <c r="M201" t="n">
        <v>0</v>
      </c>
      <c r="N201" t="n">
        <v>0</v>
      </c>
      <c r="O201" t="n">
        <v>0</v>
      </c>
      <c r="P201" t="n">
        <v>0</v>
      </c>
      <c r="Q201" t="n">
        <v>11</v>
      </c>
      <c r="R201" t="n">
        <v>0</v>
      </c>
      <c r="S201" t="n">
        <v>12</v>
      </c>
      <c r="T201" t="n">
        <v>27</v>
      </c>
      <c r="U201" t="n">
        <v>27</v>
      </c>
      <c r="V201" s="2" t="inlineStr">
        <is>
          <t>Blanksvart spiklav
Blågrå svartspik
Dvärgbägarlav
Kolflarnlav
Mörk kolflarnlav
Nordtagging
Skrovellav
Talltita
Tretåig hackspett
Vedflamlav
Vedskivlav
Vedticka</t>
        </is>
      </c>
      <c r="W201">
        <f>HYPERLINK("https://klasma.github.io/Logging_2039/artfynd/A 31658-2025 artfynd.xlsx", "A 31658-2025")</f>
        <v/>
      </c>
      <c r="X201">
        <f>HYPERLINK("https://klasma.github.io/Logging_2039/kartor/A 31658-2025 karta.png", "A 31658-2025")</f>
        <v/>
      </c>
      <c r="Y201">
        <f>HYPERLINK("https://klasma.github.io/Logging_2039/kartor_geotiff/A 31658-2025 georefererad karta.tif", "A 31658-2025")</f>
        <v/>
      </c>
      <c r="AA201">
        <f>HYPERLINK("https://klasma.github.io/Logging_2039/klagomål/A 31658-2025 FSC-klagomål.docx", "A 31658-2025")</f>
        <v/>
      </c>
      <c r="AB201">
        <f>HYPERLINK("https://klasma.github.io/Logging_2039/klagomålsmail/A 31658-2025 FSC-klagomål mail.docx", "A 31658-2025")</f>
        <v/>
      </c>
      <c r="AC201">
        <f>HYPERLINK("https://klasma.github.io/Logging_2039/tillsyn/A 31658-2025 tillsynsbegäran.docx", "A 31658-2025")</f>
        <v/>
      </c>
      <c r="AD201">
        <f>HYPERLINK("https://klasma.github.io/Logging_2039/tillsynsmail/A 31658-2025 tillsynsbegäran mail.docx", "A 31658-2025")</f>
        <v/>
      </c>
      <c r="AE201">
        <f>HYPERLINK("https://klasma.github.io/Logging_2039/fåglar/A 31658-2025 prioriterade fågelarter.docx", "A 31658-2025")</f>
        <v/>
      </c>
    </row>
    <row r="202" ht="15" customHeight="1">
      <c r="A202" t="inlineStr">
        <is>
          <t>A 35146-2025</t>
        </is>
      </c>
      <c r="B202" t="inlineStr">
        <is>
          <t>avverkningsanmälan</t>
        </is>
      </c>
      <c r="C202" t="inlineStr">
        <is>
          <t>Föryngringsavverkning</t>
        </is>
      </c>
      <c r="D202" s="1" t="n">
        <v>45852</v>
      </c>
      <c r="E202" s="1" t="n">
        <v>46319</v>
      </c>
      <c r="F202" t="inlineStr">
        <is>
          <t>DALARNAS LÄN</t>
        </is>
      </c>
      <c r="G202" t="inlineStr">
        <is>
          <t>SÄTER</t>
        </is>
      </c>
      <c r="H202" t="inlineStr">
        <is>
          <t>Bergvik skog väst AB</t>
        </is>
      </c>
      <c r="I202" t="n">
        <v>2.2</v>
      </c>
      <c r="J202" t="n">
        <v>3</v>
      </c>
      <c r="K202" t="n">
        <v>3</v>
      </c>
      <c r="L202" t="n">
        <v>4</v>
      </c>
      <c r="M202" t="n">
        <v>2</v>
      </c>
      <c r="N202" t="n">
        <v>1</v>
      </c>
      <c r="O202" t="n">
        <v>0</v>
      </c>
      <c r="P202" t="n">
        <v>0</v>
      </c>
      <c r="Q202" t="n">
        <v>7</v>
      </c>
      <c r="R202" t="n">
        <v>3</v>
      </c>
      <c r="S202" t="n">
        <v>12</v>
      </c>
      <c r="T202" t="n">
        <v>30</v>
      </c>
      <c r="U202" t="n">
        <v>30</v>
      </c>
      <c r="V202" s="2" t="inlineStr">
        <is>
          <t>Skogsalm
Grangråticka
Gräddticka
Barrviolspindling
Gransotdyna
Rynkskinn
Ullticka
Grön sköldmossa
Svavelriska
Tibast
Blåsippa
Vanlig groda</t>
        </is>
      </c>
      <c r="W202">
        <f>HYPERLINK("https://klasma.github.io/Logging_2082/artfynd/A 35146-2025 artfynd.xlsx", "A 35146-2025")</f>
        <v/>
      </c>
      <c r="X202">
        <f>HYPERLINK("https://klasma.github.io/Logging_2082/kartor/A 35146-2025 karta.png", "A 35146-2025")</f>
        <v/>
      </c>
      <c r="Y202">
        <f>HYPERLINK("https://klasma.github.io/Logging_2082/kartor_geotiff/A 35146-2025 georefererad karta.tif", "A 35146-2025")</f>
        <v/>
      </c>
      <c r="AA202">
        <f>HYPERLINK("https://klasma.github.io/Logging_2082/klagomål/A 35146-2025 FSC-klagomål.docx", "A 35146-2025")</f>
        <v/>
      </c>
      <c r="AB202">
        <f>HYPERLINK("https://klasma.github.io/Logging_2082/klagomålsmail/A 35146-2025 FSC-klagomål mail.docx", "A 35146-2025")</f>
        <v/>
      </c>
      <c r="AC202">
        <f>HYPERLINK("https://klasma.github.io/Logging_2082/tillsyn/A 35146-2025 tillsynsbegäran.docx", "A 35146-2025")</f>
        <v/>
      </c>
      <c r="AD202">
        <f>HYPERLINK("https://klasma.github.io/Logging_2082/tillsynsmail/A 35146-2025 tillsynsbegäran mail.docx", "A 35146-2025")</f>
        <v/>
      </c>
    </row>
    <row r="203" ht="15" customHeight="1">
      <c r="A203" t="inlineStr">
        <is>
          <t>A 41917-2026</t>
        </is>
      </c>
      <c r="B203" t="inlineStr">
        <is>
          <t>avverkningsanmälan</t>
        </is>
      </c>
      <c r="C203" t="inlineStr">
        <is>
          <t>Föryngringsavverkning</t>
        </is>
      </c>
      <c r="D203" s="1" t="n">
        <v>46303</v>
      </c>
      <c r="E203" s="1" t="n">
        <v>46319</v>
      </c>
      <c r="F203" t="inlineStr">
        <is>
          <t>DALARNAS LÄN</t>
        </is>
      </c>
      <c r="G203" t="inlineStr">
        <is>
          <t>VANSBRO</t>
        </is>
      </c>
      <c r="I203" t="n">
        <v>7.5</v>
      </c>
      <c r="J203" t="n">
        <v>6</v>
      </c>
      <c r="K203" t="n">
        <v>3</v>
      </c>
      <c r="L203" t="n">
        <v>5</v>
      </c>
      <c r="M203" t="n">
        <v>1</v>
      </c>
      <c r="N203" t="n">
        <v>0</v>
      </c>
      <c r="O203" t="n">
        <v>0</v>
      </c>
      <c r="P203" t="n">
        <v>0</v>
      </c>
      <c r="Q203" t="n">
        <v>6</v>
      </c>
      <c r="R203" t="n">
        <v>1</v>
      </c>
      <c r="S203" t="n">
        <v>12</v>
      </c>
      <c r="T203" t="n">
        <v>23</v>
      </c>
      <c r="U203" t="n">
        <v>23</v>
      </c>
      <c r="V203" s="2" t="inlineStr">
        <is>
          <t>Garnlav
Rynkskinn
Tallticka
Talltita
Tretåig hackspett
Ullticka
Bollvitmossa
Mindre märgborre
Plattlummer
Mattlummer
Spillkråka
Revlummer</t>
        </is>
      </c>
      <c r="W203">
        <f>HYPERLINK("https://klasma.github.io/Logging_2021/artfynd/A 41917-2026 artfynd.xlsx", "A 41917-2026")</f>
        <v/>
      </c>
      <c r="X203">
        <f>HYPERLINK("https://klasma.github.io/Logging_2021/kartor/A 41917-2026 karta.png", "A 41917-2026")</f>
        <v/>
      </c>
      <c r="Y203">
        <f>HYPERLINK("https://klasma.github.io/Logging_2021/kartor_geotiff/A 41917-2026 georefererad karta.tif", "A 41917-2026")</f>
        <v/>
      </c>
      <c r="AA203">
        <f>HYPERLINK("https://klasma.github.io/Logging_2021/klagomål/A 41917-2026 FSC-klagomål.docx", "A 41917-2026")</f>
        <v/>
      </c>
      <c r="AB203">
        <f>HYPERLINK("https://klasma.github.io/Logging_2021/klagomålsmail/A 41917-2026 FSC-klagomål mail.docx", "A 41917-2026")</f>
        <v/>
      </c>
      <c r="AC203">
        <f>HYPERLINK("https://klasma.github.io/Logging_2021/tillsyn/A 41917-2026 tillsynsbegäran.docx", "A 41917-2026")</f>
        <v/>
      </c>
      <c r="AD203">
        <f>HYPERLINK("https://klasma.github.io/Logging_2021/tillsynsmail/A 41917-2026 tillsynsbegäran mail.docx", "A 41917-2026")</f>
        <v/>
      </c>
      <c r="AE203">
        <f>HYPERLINK("https://klasma.github.io/Logging_2021/fåglar/A 41917-2026 prioriterade fågelarter.docx", "A 41917-2026")</f>
        <v/>
      </c>
    </row>
    <row r="204" ht="15" customHeight="1">
      <c r="A204" t="inlineStr">
        <is>
          <t>A 41952-2026</t>
        </is>
      </c>
      <c r="B204" t="inlineStr">
        <is>
          <t>avverkningsanmälan</t>
        </is>
      </c>
      <c r="C204" t="inlineStr">
        <is>
          <t>Föryngringsavverkning</t>
        </is>
      </c>
      <c r="D204" s="1" t="n">
        <v>46303</v>
      </c>
      <c r="E204" s="1" t="n">
        <v>46319</v>
      </c>
      <c r="F204" t="inlineStr">
        <is>
          <t>DALARNAS LÄN</t>
        </is>
      </c>
      <c r="G204" t="inlineStr">
        <is>
          <t>MORA</t>
        </is>
      </c>
      <c r="I204" t="n">
        <v>8.1</v>
      </c>
      <c r="J204" t="n">
        <v>6</v>
      </c>
      <c r="K204" t="n">
        <v>2</v>
      </c>
      <c r="L204" t="n">
        <v>4</v>
      </c>
      <c r="M204" t="n">
        <v>2</v>
      </c>
      <c r="N204" t="n">
        <v>0</v>
      </c>
      <c r="O204" t="n">
        <v>0</v>
      </c>
      <c r="P204" t="n">
        <v>0</v>
      </c>
      <c r="Q204" t="n">
        <v>6</v>
      </c>
      <c r="R204" t="n">
        <v>2</v>
      </c>
      <c r="S204" t="n">
        <v>12</v>
      </c>
      <c r="T204" t="n">
        <v>71</v>
      </c>
      <c r="U204" t="n">
        <v>44</v>
      </c>
      <c r="V204" s="2" t="inlineStr">
        <is>
          <t>Garnlav
Knärot
Lunglav
Rynkskinn
Tretåig hackspett
Ullticka
Bronshjon
Trådticka
Tjäder
Tofsmes
Fläcknycklar
Revlummer</t>
        </is>
      </c>
      <c r="W204">
        <f>HYPERLINK("https://klasma.github.io/Logging_2062/artfynd/A 41952-2026 artfynd.xlsx", "A 41952-2026")</f>
        <v/>
      </c>
      <c r="X204">
        <f>HYPERLINK("https://klasma.github.io/Logging_2062/kartor/A 41952-2026 karta.png", "A 41952-2026")</f>
        <v/>
      </c>
      <c r="Y204">
        <f>HYPERLINK("https://klasma.github.io/Logging_2062/kartor_geotiff/A 41952-2026 georefererad karta.tif", "A 41952-2026")</f>
        <v/>
      </c>
      <c r="Z204">
        <f>HYPERLINK("https://klasma.github.io/Logging_2062/knärot/A 41952-2026 karta knärot.png", "A 41952-2026")</f>
        <v/>
      </c>
      <c r="AA204">
        <f>HYPERLINK("https://klasma.github.io/Logging_2062/klagomål/A 41952-2026 FSC-klagomål.docx", "A 41952-2026")</f>
        <v/>
      </c>
      <c r="AB204">
        <f>HYPERLINK("https://klasma.github.io/Logging_2062/klagomålsmail/A 41952-2026 FSC-klagomål mail.docx", "A 41952-2026")</f>
        <v/>
      </c>
      <c r="AC204">
        <f>HYPERLINK("https://klasma.github.io/Logging_2062/tillsyn/A 41952-2026 tillsynsbegäran.docx", "A 41952-2026")</f>
        <v/>
      </c>
      <c r="AD204">
        <f>HYPERLINK("https://klasma.github.io/Logging_2062/tillsynsmail/A 41952-2026 tillsynsbegäran mail.docx", "A 41952-2026")</f>
        <v/>
      </c>
      <c r="AE204">
        <f>HYPERLINK("https://klasma.github.io/Logging_2062/fåglar/A 41952-2026 prioriterade fågelarter.docx", "A 41952-2026")</f>
        <v/>
      </c>
    </row>
    <row r="205" ht="15" customHeight="1">
      <c r="A205" t="inlineStr">
        <is>
          <t>A 71652-2021</t>
        </is>
      </c>
      <c r="B205" t="inlineStr">
        <is>
          <t>avverkningsanmälan</t>
        </is>
      </c>
      <c r="C205" t="inlineStr">
        <is>
          <t>Föryngringsavverkning</t>
        </is>
      </c>
      <c r="D205" s="1" t="n">
        <v>44543</v>
      </c>
      <c r="E205" s="1" t="n">
        <v>46319</v>
      </c>
      <c r="F205" t="inlineStr">
        <is>
          <t>DALARNAS LÄN</t>
        </is>
      </c>
      <c r="G205" t="inlineStr">
        <is>
          <t>ÄLVDALEN</t>
        </is>
      </c>
      <c r="I205" t="n">
        <v>4.3</v>
      </c>
      <c r="J205" t="n">
        <v>7</v>
      </c>
      <c r="K205" t="n">
        <v>4</v>
      </c>
      <c r="L205" t="n">
        <v>4</v>
      </c>
      <c r="M205" t="n">
        <v>1</v>
      </c>
      <c r="N205" t="n">
        <v>0</v>
      </c>
      <c r="O205" t="n">
        <v>0</v>
      </c>
      <c r="P205" t="n">
        <v>0</v>
      </c>
      <c r="Q205" t="n">
        <v>5</v>
      </c>
      <c r="R205" t="n">
        <v>1</v>
      </c>
      <c r="S205" t="n">
        <v>12</v>
      </c>
      <c r="T205" t="n">
        <v>68</v>
      </c>
      <c r="U205" t="n">
        <v>68</v>
      </c>
      <c r="V205" s="2" t="inlineStr">
        <is>
          <t>Garnlav
Kolflarnlav
Talltita
Tretåig hackspett
Vedskivlav
Björksplintborre
Korallrot
Mindre märgborre
Spindelblomster
Spillkråka
Svartvit flugsnappare
Revlummer</t>
        </is>
      </c>
      <c r="W205">
        <f>HYPERLINK("https://klasma.github.io/Logging_2039/artfynd/A 71652-2021 artfynd.xlsx", "A 71652-2021")</f>
        <v/>
      </c>
      <c r="X205">
        <f>HYPERLINK("https://klasma.github.io/Logging_2039/kartor/A 71652-2021 karta.png", "A 71652-2021")</f>
        <v/>
      </c>
      <c r="Y205">
        <f>HYPERLINK("https://klasma.github.io/Logging_2039/kartor_geotiff/A 71652-2021 georefererad karta.tif", "A 71652-2021")</f>
        <v/>
      </c>
      <c r="AA205">
        <f>HYPERLINK("https://klasma.github.io/Logging_2039/klagomål/A 71652-2021 FSC-klagomål.docx", "A 71652-2021")</f>
        <v/>
      </c>
      <c r="AB205">
        <f>HYPERLINK("https://klasma.github.io/Logging_2039/klagomålsmail/A 71652-2021 FSC-klagomål mail.docx", "A 71652-2021")</f>
        <v/>
      </c>
      <c r="AC205">
        <f>HYPERLINK("https://klasma.github.io/Logging_2039/tillsyn/A 71652-2021 tillsynsbegäran.docx", "A 71652-2021")</f>
        <v/>
      </c>
      <c r="AD205">
        <f>HYPERLINK("https://klasma.github.io/Logging_2039/tillsynsmail/A 71652-2021 tillsynsbegäran mail.docx", "A 71652-2021")</f>
        <v/>
      </c>
      <c r="AE205">
        <f>HYPERLINK("https://klasma.github.io/Logging_2039/fåglar/A 71652-2021 prioriterade fågelarter.docx", "A 71652-2021")</f>
        <v/>
      </c>
    </row>
    <row r="206" ht="15" customHeight="1">
      <c r="A206" t="inlineStr">
        <is>
          <t>A 33017-2024</t>
        </is>
      </c>
      <c r="B206" t="inlineStr">
        <is>
          <t>avverkningsanmälan</t>
        </is>
      </c>
      <c r="C206" t="inlineStr">
        <is>
          <t>Föryngringsavverkning</t>
        </is>
      </c>
      <c r="D206" s="1" t="n">
        <v>45517</v>
      </c>
      <c r="E206" s="1" t="n">
        <v>46319</v>
      </c>
      <c r="F206" t="inlineStr">
        <is>
          <t>DALARNAS LÄN</t>
        </is>
      </c>
      <c r="G206" t="inlineStr">
        <is>
          <t>SMEDJEBACKEN</t>
        </is>
      </c>
      <c r="H206" t="inlineStr">
        <is>
          <t>Övriga Aktiebolag</t>
        </is>
      </c>
      <c r="I206" t="n">
        <v>3.9</v>
      </c>
      <c r="J206" t="n">
        <v>4</v>
      </c>
      <c r="K206" t="n">
        <v>6</v>
      </c>
      <c r="L206" t="n">
        <v>3</v>
      </c>
      <c r="M206" t="n">
        <v>1</v>
      </c>
      <c r="N206" t="n">
        <v>0</v>
      </c>
      <c r="O206" t="n">
        <v>0</v>
      </c>
      <c r="P206" t="n">
        <v>0</v>
      </c>
      <c r="Q206" t="n">
        <v>4</v>
      </c>
      <c r="R206" t="n">
        <v>1</v>
      </c>
      <c r="S206" t="n">
        <v>12</v>
      </c>
      <c r="T206" t="n">
        <v>13</v>
      </c>
      <c r="U206" t="n">
        <v>0</v>
      </c>
      <c r="V206" s="2" t="inlineStr">
        <is>
          <t>Knärot
Rynkskinn
Ullticka
Vedtrappmossa
Flagellkvastmossa
Plattlummer
Skogshakmossa
Svart trolldruva
Vedticka
Vågbandad barkbock
Orre
Lopplummer (aggregat)</t>
        </is>
      </c>
      <c r="W206">
        <f>HYPERLINK("https://klasma.github.io/Logging_2061/artfynd/A 33017-2024 artfynd.xlsx", "A 33017-2024")</f>
        <v/>
      </c>
      <c r="X206">
        <f>HYPERLINK("https://klasma.github.io/Logging_2061/kartor/A 33017-2024 karta.png", "A 33017-2024")</f>
        <v/>
      </c>
      <c r="Y206">
        <f>HYPERLINK("https://klasma.github.io/Logging_2061/kartor_geotiff/A 33017-2024 georefererad karta.tif", "A 33017-2024")</f>
        <v/>
      </c>
      <c r="Z206">
        <f>HYPERLINK("https://klasma.github.io/Logging_2061/knärot/A 33017-2024 karta knärot.png", "A 33017-2024")</f>
        <v/>
      </c>
      <c r="AA206">
        <f>HYPERLINK("https://klasma.github.io/Logging_2061/klagomål/A 33017-2024 FSC-klagomål.docx", "A 33017-2024")</f>
        <v/>
      </c>
      <c r="AB206">
        <f>HYPERLINK("https://klasma.github.io/Logging_2061/klagomålsmail/A 33017-2024 FSC-klagomål mail.docx", "A 33017-2024")</f>
        <v/>
      </c>
      <c r="AC206">
        <f>HYPERLINK("https://klasma.github.io/Logging_2061/tillsyn/A 33017-2024 tillsynsbegäran.docx", "A 33017-2024")</f>
        <v/>
      </c>
      <c r="AD206">
        <f>HYPERLINK("https://klasma.github.io/Logging_2061/tillsynsmail/A 33017-2024 tillsynsbegäran mail.docx", "A 33017-2024")</f>
        <v/>
      </c>
      <c r="AE206">
        <f>HYPERLINK("https://klasma.github.io/Logging_2061/fåglar/A 33017-2024 prioriterade fågelarter.docx", "A 33017-2024")</f>
        <v/>
      </c>
    </row>
    <row r="207" ht="15" customHeight="1">
      <c r="A207" t="inlineStr">
        <is>
          <t>A 38847-2022</t>
        </is>
      </c>
      <c r="B207" t="inlineStr">
        <is>
          <t>avverkningsanmälan</t>
        </is>
      </c>
      <c r="C207" t="inlineStr">
        <is>
          <t>Föryngringsavverkning</t>
        </is>
      </c>
      <c r="D207" s="1" t="n">
        <v>44816</v>
      </c>
      <c r="E207" s="1" t="n">
        <v>46319</v>
      </c>
      <c r="F207" t="inlineStr">
        <is>
          <t>DALARNAS LÄN</t>
        </is>
      </c>
      <c r="G207" t="inlineStr">
        <is>
          <t>FALUN</t>
        </is>
      </c>
      <c r="I207" t="n">
        <v>4.9</v>
      </c>
      <c r="J207" t="n">
        <v>2</v>
      </c>
      <c r="K207" t="n">
        <v>3</v>
      </c>
      <c r="L207" t="n">
        <v>6</v>
      </c>
      <c r="M207" t="n">
        <v>2</v>
      </c>
      <c r="N207" t="n">
        <v>0</v>
      </c>
      <c r="O207" t="n">
        <v>0</v>
      </c>
      <c r="P207" t="n">
        <v>0</v>
      </c>
      <c r="Q207" t="n">
        <v>8</v>
      </c>
      <c r="R207" t="n">
        <v>2</v>
      </c>
      <c r="S207" t="n">
        <v>12</v>
      </c>
      <c r="T207" t="n">
        <v>23</v>
      </c>
      <c r="U207" t="n">
        <v>23</v>
      </c>
      <c r="V207" s="2" t="inlineStr">
        <is>
          <t>Garnlav
Ulltickeporing
Dropptaggsvamp
Tallriska
Tallticka
Tretåig hackspett
Ullticka
Violettgrå tagellav
Bronshjon
Gullgröppa
Vågbandad barkbock
Spillkråka</t>
        </is>
      </c>
      <c r="W207">
        <f>HYPERLINK("https://klasma.github.io/Logging_2080/artfynd/A 38847-2022 artfynd.xlsx", "A 38847-2022")</f>
        <v/>
      </c>
      <c r="X207">
        <f>HYPERLINK("https://klasma.github.io/Logging_2080/kartor/A 38847-2022 karta.png", "A 38847-2022")</f>
        <v/>
      </c>
      <c r="Y207">
        <f>HYPERLINK("https://klasma.github.io/Logging_2080/kartor_geotiff/A 38847-2022 georefererad karta.tif", "A 38847-2022")</f>
        <v/>
      </c>
      <c r="AA207">
        <f>HYPERLINK("https://klasma.github.io/Logging_2080/klagomål/A 38847-2022 FSC-klagomål.docx", "A 38847-2022")</f>
        <v/>
      </c>
      <c r="AB207">
        <f>HYPERLINK("https://klasma.github.io/Logging_2080/klagomålsmail/A 38847-2022 FSC-klagomål mail.docx", "A 38847-2022")</f>
        <v/>
      </c>
      <c r="AC207">
        <f>HYPERLINK("https://klasma.github.io/Logging_2080/tillsyn/A 38847-2022 tillsynsbegäran.docx", "A 38847-2022")</f>
        <v/>
      </c>
      <c r="AD207">
        <f>HYPERLINK("https://klasma.github.io/Logging_2080/tillsynsmail/A 38847-2022 tillsynsbegäran mail.docx", "A 38847-2022")</f>
        <v/>
      </c>
      <c r="AE207">
        <f>HYPERLINK("https://klasma.github.io/Logging_2080/fåglar/A 38847-2022 prioriterade fågelarter.docx", "A 38847-2022")</f>
        <v/>
      </c>
    </row>
    <row r="208" ht="15" customHeight="1">
      <c r="A208" t="inlineStr">
        <is>
          <t>A 14277-2024</t>
        </is>
      </c>
      <c r="B208" t="inlineStr">
        <is>
          <t>avverkningsanmälan</t>
        </is>
      </c>
      <c r="C208" t="inlineStr">
        <is>
          <t>Avverkning för annat ändamål</t>
        </is>
      </c>
      <c r="D208" s="1" t="n">
        <v>45393</v>
      </c>
      <c r="E208" s="1" t="n">
        <v>46319</v>
      </c>
      <c r="F208" t="inlineStr">
        <is>
          <t>DALARNAS LÄN</t>
        </is>
      </c>
      <c r="G208" t="inlineStr">
        <is>
          <t>ÄLVDALEN</t>
        </is>
      </c>
      <c r="H208" t="inlineStr">
        <is>
          <t>Allmännings- och besparingsskogar</t>
        </is>
      </c>
      <c r="I208" t="n">
        <v>2.8</v>
      </c>
      <c r="J208" t="n">
        <v>3</v>
      </c>
      <c r="K208" t="n">
        <v>1</v>
      </c>
      <c r="L208" t="n">
        <v>9</v>
      </c>
      <c r="M208" t="n">
        <v>1</v>
      </c>
      <c r="N208" t="n">
        <v>0</v>
      </c>
      <c r="O208" t="n">
        <v>0</v>
      </c>
      <c r="P208" t="n">
        <v>0</v>
      </c>
      <c r="Q208" t="n">
        <v>10</v>
      </c>
      <c r="R208" t="n">
        <v>1</v>
      </c>
      <c r="S208" t="n">
        <v>12</v>
      </c>
      <c r="T208" t="n">
        <v>94</v>
      </c>
      <c r="U208" t="n">
        <v>88</v>
      </c>
      <c r="V208" s="2" t="inlineStr">
        <is>
          <t>Garnlav
Blå taggsvamp
Dropptaggsvamp
Kolflarnlav
Ladlav
Mörk kolflarnlav
Talltita
Varglav
Vedflamlav
Vedskivlav
Mindre märgborre
Tjäder</t>
        </is>
      </c>
      <c r="W208">
        <f>HYPERLINK("https://klasma.github.io/Logging_2039/artfynd/A 14277-2024 artfynd.xlsx", "A 14277-2024")</f>
        <v/>
      </c>
      <c r="X208">
        <f>HYPERLINK("https://klasma.github.io/Logging_2039/kartor/A 14277-2024 karta.png", "A 14277-2024")</f>
        <v/>
      </c>
      <c r="Y208">
        <f>HYPERLINK("https://klasma.github.io/Logging_2039/kartor_geotiff/A 14277-2024 georefererad karta.tif", "A 14277-2024")</f>
        <v/>
      </c>
      <c r="AA208">
        <f>HYPERLINK("https://klasma.github.io/Logging_2039/klagomål/A 14277-2024 FSC-klagomål.docx", "A 14277-2024")</f>
        <v/>
      </c>
      <c r="AB208">
        <f>HYPERLINK("https://klasma.github.io/Logging_2039/klagomålsmail/A 14277-2024 FSC-klagomål mail.docx", "A 14277-2024")</f>
        <v/>
      </c>
      <c r="AC208">
        <f>HYPERLINK("https://klasma.github.io/Logging_2039/tillsyn/A 14277-2024 tillsynsbegäran.docx", "A 14277-2024")</f>
        <v/>
      </c>
      <c r="AD208">
        <f>HYPERLINK("https://klasma.github.io/Logging_2039/tillsynsmail/A 14277-2024 tillsynsbegäran mail.docx", "A 14277-2024")</f>
        <v/>
      </c>
      <c r="AE208">
        <f>HYPERLINK("https://klasma.github.io/Logging_2039/fåglar/A 14277-2024 prioriterade fågelarter.docx", "A 14277-2024")</f>
        <v/>
      </c>
    </row>
    <row r="209" ht="15" customHeight="1">
      <c r="A209" t="inlineStr">
        <is>
          <t>A 6098-2026</t>
        </is>
      </c>
      <c r="B209" t="inlineStr">
        <is>
          <t>avverkningsanmälan</t>
        </is>
      </c>
      <c r="C209" t="inlineStr">
        <is>
          <t>Föryngringsavverkning</t>
        </is>
      </c>
      <c r="D209" s="1" t="n">
        <v>46052</v>
      </c>
      <c r="E209" s="1" t="n">
        <v>46319</v>
      </c>
      <c r="F209" t="inlineStr">
        <is>
          <t>DALARNAS LÄN</t>
        </is>
      </c>
      <c r="G209" t="inlineStr">
        <is>
          <t>ÄLVDALEN</t>
        </is>
      </c>
      <c r="I209" t="n">
        <v>4.1</v>
      </c>
      <c r="J209" t="n">
        <v>5</v>
      </c>
      <c r="K209" t="n">
        <v>2</v>
      </c>
      <c r="L209" t="n">
        <v>5</v>
      </c>
      <c r="M209" t="n">
        <v>1</v>
      </c>
      <c r="N209" t="n">
        <v>0</v>
      </c>
      <c r="O209" t="n">
        <v>0</v>
      </c>
      <c r="P209" t="n">
        <v>0</v>
      </c>
      <c r="Q209" t="n">
        <v>6</v>
      </c>
      <c r="R209" t="n">
        <v>1</v>
      </c>
      <c r="S209" t="n">
        <v>12</v>
      </c>
      <c r="T209" t="n">
        <v>48</v>
      </c>
      <c r="U209" t="n">
        <v>48</v>
      </c>
      <c r="V209" s="2" t="inlineStr">
        <is>
          <t>Garnlav
Kolflarnlav
Mörk kolflarnlav
Tretåig hackspett
Vedskivlav
Violettgrå tagellav
Björksplintborre
Mindre märgborre
Spillkråka
Tjäder
Orre
Fläcknycklar</t>
        </is>
      </c>
      <c r="W209">
        <f>HYPERLINK("https://klasma.github.io/Logging_2039/artfynd/A 6098-2026 artfynd.xlsx", "A 6098-2026")</f>
        <v/>
      </c>
      <c r="X209">
        <f>HYPERLINK("https://klasma.github.io/Logging_2039/kartor/A 6098-2026 karta.png", "A 6098-2026")</f>
        <v/>
      </c>
      <c r="Y209">
        <f>HYPERLINK("https://klasma.github.io/Logging_2039/kartor_geotiff/A 6098-2026 georefererad karta.tif", "A 6098-2026")</f>
        <v/>
      </c>
      <c r="AA209">
        <f>HYPERLINK("https://klasma.github.io/Logging_2039/klagomål/A 6098-2026 FSC-klagomål.docx", "A 6098-2026")</f>
        <v/>
      </c>
      <c r="AB209">
        <f>HYPERLINK("https://klasma.github.io/Logging_2039/klagomålsmail/A 6098-2026 FSC-klagomål mail.docx", "A 6098-2026")</f>
        <v/>
      </c>
      <c r="AC209">
        <f>HYPERLINK("https://klasma.github.io/Logging_2039/tillsyn/A 6098-2026 tillsynsbegäran.docx", "A 6098-2026")</f>
        <v/>
      </c>
      <c r="AD209">
        <f>HYPERLINK("https://klasma.github.io/Logging_2039/tillsynsmail/A 6098-2026 tillsynsbegäran mail.docx", "A 6098-2026")</f>
        <v/>
      </c>
      <c r="AE209">
        <f>HYPERLINK("https://klasma.github.io/Logging_2039/fåglar/A 6098-2026 prioriterade fågelarter.docx", "A 6098-2026")</f>
        <v/>
      </c>
    </row>
    <row r="210" ht="15" customHeight="1">
      <c r="A210" t="inlineStr">
        <is>
          <t>A 7213-2026</t>
        </is>
      </c>
      <c r="B210" t="inlineStr">
        <is>
          <t>avverkningsanmälan</t>
        </is>
      </c>
      <c r="C210" t="inlineStr">
        <is>
          <t>Föryngringsavverkning</t>
        </is>
      </c>
      <c r="D210" s="1" t="n">
        <v>46058</v>
      </c>
      <c r="E210" s="1" t="n">
        <v>46319</v>
      </c>
      <c r="F210" t="inlineStr">
        <is>
          <t>DALARNAS LÄN</t>
        </is>
      </c>
      <c r="G210" t="inlineStr">
        <is>
          <t>ÄLVDALEN</t>
        </is>
      </c>
      <c r="I210" t="n">
        <v>1.7</v>
      </c>
      <c r="J210" t="n">
        <v>5</v>
      </c>
      <c r="K210" t="n">
        <v>1</v>
      </c>
      <c r="L210" t="n">
        <v>6</v>
      </c>
      <c r="M210" t="n">
        <v>2</v>
      </c>
      <c r="N210" t="n">
        <v>0</v>
      </c>
      <c r="O210" t="n">
        <v>0</v>
      </c>
      <c r="P210" t="n">
        <v>0</v>
      </c>
      <c r="Q210" t="n">
        <v>8</v>
      </c>
      <c r="R210" t="n">
        <v>2</v>
      </c>
      <c r="S210" t="n">
        <v>12</v>
      </c>
      <c r="T210" t="n">
        <v>30</v>
      </c>
      <c r="U210" t="n">
        <v>30</v>
      </c>
      <c r="V210" s="2" t="inlineStr">
        <is>
          <t>Garnlav
Knärot
Kolflarnlav
Mörk kolflarnlav
Tretåig hackspett
Vedflamlav
Vedskivlav
Violettgrå tagellav
Mindre märgborre
Spillkråka
Tjäder
Vanlig padda</t>
        </is>
      </c>
      <c r="W210">
        <f>HYPERLINK("https://klasma.github.io/Logging_2039/artfynd/A 7213-2026 artfynd.xlsx", "A 7213-2026")</f>
        <v/>
      </c>
      <c r="X210">
        <f>HYPERLINK("https://klasma.github.io/Logging_2039/kartor/A 7213-2026 karta.png", "A 7213-2026")</f>
        <v/>
      </c>
      <c r="Y210">
        <f>HYPERLINK("https://klasma.github.io/Logging_2039/kartor_geotiff/A 7213-2026 georefererad karta.tif", "A 7213-2026")</f>
        <v/>
      </c>
      <c r="Z210">
        <f>HYPERLINK("https://klasma.github.io/Logging_2039/knärot/A 7213-2026 karta knärot.png", "A 7213-2026")</f>
        <v/>
      </c>
      <c r="AA210">
        <f>HYPERLINK("https://klasma.github.io/Logging_2039/klagomål/A 7213-2026 FSC-klagomål.docx", "A 7213-2026")</f>
        <v/>
      </c>
      <c r="AB210">
        <f>HYPERLINK("https://klasma.github.io/Logging_2039/klagomålsmail/A 7213-2026 FSC-klagomål mail.docx", "A 7213-2026")</f>
        <v/>
      </c>
      <c r="AC210">
        <f>HYPERLINK("https://klasma.github.io/Logging_2039/tillsyn/A 7213-2026 tillsynsbegäran.docx", "A 7213-2026")</f>
        <v/>
      </c>
      <c r="AD210">
        <f>HYPERLINK("https://klasma.github.io/Logging_2039/tillsynsmail/A 7213-2026 tillsynsbegäran mail.docx", "A 7213-2026")</f>
        <v/>
      </c>
      <c r="AE210">
        <f>HYPERLINK("https://klasma.github.io/Logging_2039/fåglar/A 7213-2026 prioriterade fågelarter.docx", "A 7213-2026")</f>
        <v/>
      </c>
    </row>
    <row r="211" ht="15" customHeight="1">
      <c r="A211" t="inlineStr">
        <is>
          <t>A 49247-2025</t>
        </is>
      </c>
      <c r="B211" t="inlineStr">
        <is>
          <t>avverkningsanmälan</t>
        </is>
      </c>
      <c r="C211" t="inlineStr">
        <is>
          <t>Föryngringsavverkning</t>
        </is>
      </c>
      <c r="D211" s="1" t="n">
        <v>45938</v>
      </c>
      <c r="E211" s="1" t="n">
        <v>46319</v>
      </c>
      <c r="F211" t="inlineStr">
        <is>
          <t>DALARNAS LÄN</t>
        </is>
      </c>
      <c r="G211" t="inlineStr">
        <is>
          <t>ÄLVDALEN</t>
        </is>
      </c>
      <c r="H211" t="inlineStr">
        <is>
          <t>Allmännings- och besparingsskogar</t>
        </is>
      </c>
      <c r="I211" t="n">
        <v>19</v>
      </c>
      <c r="J211" t="n">
        <v>3</v>
      </c>
      <c r="K211" t="n">
        <v>1</v>
      </c>
      <c r="L211" t="n">
        <v>8</v>
      </c>
      <c r="M211" t="n">
        <v>1</v>
      </c>
      <c r="N211" t="n">
        <v>0</v>
      </c>
      <c r="O211" t="n">
        <v>0</v>
      </c>
      <c r="P211" t="n">
        <v>0</v>
      </c>
      <c r="Q211" t="n">
        <v>9</v>
      </c>
      <c r="R211" t="n">
        <v>1</v>
      </c>
      <c r="S211" t="n">
        <v>12</v>
      </c>
      <c r="T211" t="n">
        <v>170</v>
      </c>
      <c r="U211" t="n">
        <v>170</v>
      </c>
      <c r="V211" s="2" t="inlineStr">
        <is>
          <t>Garnlav
Doftskinn
Kolflarnlav
Mörk kolflarnlav
Tallticka
Tretåig hackspett
Ullticka
Vedflamlav
Vedskivlav
Mindre märgborre
Spillkråka
Kungsfågel</t>
        </is>
      </c>
      <c r="W211">
        <f>HYPERLINK("https://klasma.github.io/Logging_2039/artfynd/A 49247-2025 artfynd.xlsx", "A 49247-2025")</f>
        <v/>
      </c>
      <c r="X211">
        <f>HYPERLINK("https://klasma.github.io/Logging_2039/kartor/A 49247-2025 karta.png", "A 49247-2025")</f>
        <v/>
      </c>
      <c r="Y211">
        <f>HYPERLINK("https://klasma.github.io/Logging_2039/kartor_geotiff/A 49247-2025 georefererad karta.tif", "A 49247-2025")</f>
        <v/>
      </c>
      <c r="AA211">
        <f>HYPERLINK("https://klasma.github.io/Logging_2039/klagomål/A 49247-2025 FSC-klagomål.docx", "A 49247-2025")</f>
        <v/>
      </c>
      <c r="AB211">
        <f>HYPERLINK("https://klasma.github.io/Logging_2039/klagomålsmail/A 49247-2025 FSC-klagomål mail.docx", "A 49247-2025")</f>
        <v/>
      </c>
      <c r="AC211">
        <f>HYPERLINK("https://klasma.github.io/Logging_2039/tillsyn/A 49247-2025 tillsynsbegäran.docx", "A 49247-2025")</f>
        <v/>
      </c>
      <c r="AD211">
        <f>HYPERLINK("https://klasma.github.io/Logging_2039/tillsynsmail/A 49247-2025 tillsynsbegäran mail.docx", "A 49247-2025")</f>
        <v/>
      </c>
      <c r="AE211">
        <f>HYPERLINK("https://klasma.github.io/Logging_2039/fåglar/A 49247-2025 prioriterade fågelarter.docx", "A 49247-2025")</f>
        <v/>
      </c>
    </row>
    <row r="212" ht="15" customHeight="1">
      <c r="A212" t="inlineStr">
        <is>
          <t>A 34714-2025</t>
        </is>
      </c>
      <c r="B212" t="inlineStr">
        <is>
          <t>avverkningsanmälan</t>
        </is>
      </c>
      <c r="C212" t="inlineStr">
        <is>
          <t>Föryngringsavverkning</t>
        </is>
      </c>
      <c r="D212" s="1" t="n">
        <v>45848</v>
      </c>
      <c r="E212" s="1" t="n">
        <v>46319</v>
      </c>
      <c r="F212" t="inlineStr">
        <is>
          <t>DALARNAS LÄN</t>
        </is>
      </c>
      <c r="G212" t="inlineStr">
        <is>
          <t>MORA</t>
        </is>
      </c>
      <c r="I212" t="n">
        <v>8.199999999999999</v>
      </c>
      <c r="J212" t="n">
        <v>7</v>
      </c>
      <c r="K212" t="n">
        <v>3</v>
      </c>
      <c r="L212" t="n">
        <v>4</v>
      </c>
      <c r="M212" t="n">
        <v>2</v>
      </c>
      <c r="N212" t="n">
        <v>0</v>
      </c>
      <c r="O212" t="n">
        <v>0</v>
      </c>
      <c r="P212" t="n">
        <v>0</v>
      </c>
      <c r="Q212" t="n">
        <v>6</v>
      </c>
      <c r="R212" t="n">
        <v>2</v>
      </c>
      <c r="S212" t="n">
        <v>12</v>
      </c>
      <c r="T212" t="n">
        <v>27</v>
      </c>
      <c r="U212" t="n">
        <v>25</v>
      </c>
      <c r="V212" s="2" t="inlineStr">
        <is>
          <t>Garnlav
Knärot
Dvärgbägarlav
Kolflarnlav
Mörk kolflarnlav
Tretåig hackspett
Korallrot
Mindre märgborre
Spindelblomster
Tjäder
Större vattensalamander
Mindre vattensalamander</t>
        </is>
      </c>
      <c r="W212">
        <f>HYPERLINK("https://klasma.github.io/Logging_2062/artfynd/A 34714-2025 artfynd.xlsx", "A 34714-2025")</f>
        <v/>
      </c>
      <c r="X212">
        <f>HYPERLINK("https://klasma.github.io/Logging_2062/kartor/A 34714-2025 karta.png", "A 34714-2025")</f>
        <v/>
      </c>
      <c r="Y212">
        <f>HYPERLINK("https://klasma.github.io/Logging_2062/kartor_geotiff/A 34714-2025 georefererad karta.tif", "A 34714-2025")</f>
        <v/>
      </c>
      <c r="Z212">
        <f>HYPERLINK("https://klasma.github.io/Logging_2062/knärot/A 34714-2025 karta knärot.png", "A 34714-2025")</f>
        <v/>
      </c>
      <c r="AA212">
        <f>HYPERLINK("https://klasma.github.io/Logging_2062/klagomål/A 34714-2025 FSC-klagomål.docx", "A 34714-2025")</f>
        <v/>
      </c>
      <c r="AB212">
        <f>HYPERLINK("https://klasma.github.io/Logging_2062/klagomålsmail/A 34714-2025 FSC-klagomål mail.docx", "A 34714-2025")</f>
        <v/>
      </c>
      <c r="AC212">
        <f>HYPERLINK("https://klasma.github.io/Logging_2062/tillsyn/A 34714-2025 tillsynsbegäran.docx", "A 34714-2025")</f>
        <v/>
      </c>
      <c r="AD212">
        <f>HYPERLINK("https://klasma.github.io/Logging_2062/tillsynsmail/A 34714-2025 tillsynsbegäran mail.docx", "A 34714-2025")</f>
        <v/>
      </c>
      <c r="AE212">
        <f>HYPERLINK("https://klasma.github.io/Logging_2062/fåglar/A 34714-2025 prioriterade fågelarter.docx", "A 34714-2025")</f>
        <v/>
      </c>
    </row>
    <row r="213" ht="15" customHeight="1">
      <c r="A213" t="inlineStr">
        <is>
          <t>A 25556-2026</t>
        </is>
      </c>
      <c r="B213" t="inlineStr">
        <is>
          <t>avverkningsanmälan</t>
        </is>
      </c>
      <c r="C213" t="inlineStr">
        <is>
          <t>Föryngringsavverkning</t>
        </is>
      </c>
      <c r="D213" s="1" t="n">
        <v>46177</v>
      </c>
      <c r="E213" s="1" t="n">
        <v>46319</v>
      </c>
      <c r="F213" t="inlineStr">
        <is>
          <t>DALARNAS LÄN</t>
        </is>
      </c>
      <c r="G213" t="inlineStr">
        <is>
          <t>MORA</t>
        </is>
      </c>
      <c r="I213" t="n">
        <v>12</v>
      </c>
      <c r="J213" t="n">
        <v>3</v>
      </c>
      <c r="K213" t="n">
        <v>1</v>
      </c>
      <c r="L213" t="n">
        <v>6</v>
      </c>
      <c r="M213" t="n">
        <v>1</v>
      </c>
      <c r="N213" t="n">
        <v>0</v>
      </c>
      <c r="O213" t="n">
        <v>0</v>
      </c>
      <c r="P213" t="n">
        <v>0</v>
      </c>
      <c r="Q213" t="n">
        <v>7</v>
      </c>
      <c r="R213" t="n">
        <v>1</v>
      </c>
      <c r="S213" t="n">
        <v>12</v>
      </c>
      <c r="T213" t="n">
        <v>57</v>
      </c>
      <c r="U213" t="n">
        <v>57</v>
      </c>
      <c r="V213" s="2" t="inlineStr">
        <is>
          <t>Garnlav
Dropptaggsvamp
Mörk kolflarnlav
Talltagel
Vedflamlav
Vedskivlav
Violettgrå tagellav
Mindre märgborre
Spillkråka
Timmerticka
Tjäder
Tofsmes</t>
        </is>
      </c>
      <c r="W213">
        <f>HYPERLINK("https://klasma.github.io/Logging_2062/artfynd/A 25556-2026 artfynd.xlsx", "A 25556-2026")</f>
        <v/>
      </c>
      <c r="X213">
        <f>HYPERLINK("https://klasma.github.io/Logging_2062/kartor/A 25556-2026 karta.png", "A 25556-2026")</f>
        <v/>
      </c>
      <c r="Y213">
        <f>HYPERLINK("https://klasma.github.io/Logging_2062/kartor_geotiff/A 25556-2026 georefererad karta.tif", "A 25556-2026")</f>
        <v/>
      </c>
      <c r="AA213">
        <f>HYPERLINK("https://klasma.github.io/Logging_2062/klagomål/A 25556-2026 FSC-klagomål.docx", "A 25556-2026")</f>
        <v/>
      </c>
      <c r="AB213">
        <f>HYPERLINK("https://klasma.github.io/Logging_2062/klagomålsmail/A 25556-2026 FSC-klagomål mail.docx", "A 25556-2026")</f>
        <v/>
      </c>
      <c r="AC213">
        <f>HYPERLINK("https://klasma.github.io/Logging_2062/tillsyn/A 25556-2026 tillsynsbegäran.docx", "A 25556-2026")</f>
        <v/>
      </c>
      <c r="AD213">
        <f>HYPERLINK("https://klasma.github.io/Logging_2062/tillsynsmail/A 25556-2026 tillsynsbegäran mail.docx", "A 25556-2026")</f>
        <v/>
      </c>
      <c r="AE213">
        <f>HYPERLINK("https://klasma.github.io/Logging_2062/fåglar/A 25556-2026 prioriterade fågelarter.docx", "A 25556-2026")</f>
        <v/>
      </c>
    </row>
    <row r="214" ht="15" customHeight="1">
      <c r="A214" t="inlineStr">
        <is>
          <t>A 55982-2025</t>
        </is>
      </c>
      <c r="B214" t="inlineStr">
        <is>
          <t>avverkningsanmälan</t>
        </is>
      </c>
      <c r="C214" t="inlineStr">
        <is>
          <t>Föryngringsavverkning</t>
        </is>
      </c>
      <c r="D214" s="1" t="n">
        <v>45973</v>
      </c>
      <c r="E214" s="1" t="n">
        <v>46319</v>
      </c>
      <c r="F214" t="inlineStr">
        <is>
          <t>DALARNAS LÄN</t>
        </is>
      </c>
      <c r="G214" t="inlineStr">
        <is>
          <t>ÄLVDALEN</t>
        </is>
      </c>
      <c r="I214" t="n">
        <v>10</v>
      </c>
      <c r="J214" t="n">
        <v>4</v>
      </c>
      <c r="K214" t="n">
        <v>2</v>
      </c>
      <c r="L214" t="n">
        <v>6</v>
      </c>
      <c r="M214" t="n">
        <v>1</v>
      </c>
      <c r="N214" t="n">
        <v>0</v>
      </c>
      <c r="O214" t="n">
        <v>0</v>
      </c>
      <c r="P214" t="n">
        <v>0</v>
      </c>
      <c r="Q214" t="n">
        <v>7</v>
      </c>
      <c r="R214" t="n">
        <v>1</v>
      </c>
      <c r="S214" t="n">
        <v>12</v>
      </c>
      <c r="T214" t="n">
        <v>135</v>
      </c>
      <c r="U214" t="n">
        <v>135</v>
      </c>
      <c r="V214" s="2" t="inlineStr">
        <is>
          <t>Garnlav
Blågrå svartspik
Kolflarnlav
Mörk kolflarnlav
Tretåig hackspett
Vedflamlav
Vedskivlav
Gullgröppa
Mindre märgborre
Spillkråka
Tjäder
Orre</t>
        </is>
      </c>
      <c r="W214">
        <f>HYPERLINK("https://klasma.github.io/Logging_2039/artfynd/A 55982-2025 artfynd.xlsx", "A 55982-2025")</f>
        <v/>
      </c>
      <c r="X214">
        <f>HYPERLINK("https://klasma.github.io/Logging_2039/kartor/A 55982-2025 karta.png", "A 55982-2025")</f>
        <v/>
      </c>
      <c r="Y214">
        <f>HYPERLINK("https://klasma.github.io/Logging_2039/kartor_geotiff/A 55982-2025 georefererad karta.tif", "A 55982-2025")</f>
        <v/>
      </c>
      <c r="AA214">
        <f>HYPERLINK("https://klasma.github.io/Logging_2039/klagomål/A 55982-2025 FSC-klagomål.docx", "A 55982-2025")</f>
        <v/>
      </c>
      <c r="AB214">
        <f>HYPERLINK("https://klasma.github.io/Logging_2039/klagomålsmail/A 55982-2025 FSC-klagomål mail.docx", "A 55982-2025")</f>
        <v/>
      </c>
      <c r="AC214">
        <f>HYPERLINK("https://klasma.github.io/Logging_2039/tillsyn/A 55982-2025 tillsynsbegäran.docx", "A 55982-2025")</f>
        <v/>
      </c>
      <c r="AD214">
        <f>HYPERLINK("https://klasma.github.io/Logging_2039/tillsynsmail/A 55982-2025 tillsynsbegäran mail.docx", "A 55982-2025")</f>
        <v/>
      </c>
      <c r="AE214">
        <f>HYPERLINK("https://klasma.github.io/Logging_2039/fåglar/A 55982-2025 prioriterade fågelarter.docx", "A 55982-2025")</f>
        <v/>
      </c>
    </row>
    <row r="215" ht="15" customHeight="1">
      <c r="A215" t="inlineStr">
        <is>
          <t>A 37730-2023</t>
        </is>
      </c>
      <c r="B215" t="inlineStr">
        <is>
          <t>avverkningsanmälan</t>
        </is>
      </c>
      <c r="C215" t="inlineStr">
        <is>
          <t>Föryngringsavverkning</t>
        </is>
      </c>
      <c r="D215" s="1" t="n">
        <v>45159</v>
      </c>
      <c r="E215" s="1" t="n">
        <v>46319</v>
      </c>
      <c r="F215" t="inlineStr">
        <is>
          <t>DALARNAS LÄN</t>
        </is>
      </c>
      <c r="G215" t="inlineStr">
        <is>
          <t>ÄLVDALEN</t>
        </is>
      </c>
      <c r="I215" t="n">
        <v>5.4</v>
      </c>
      <c r="J215" t="n">
        <v>4</v>
      </c>
      <c r="K215" t="n">
        <v>2</v>
      </c>
      <c r="L215" t="n">
        <v>6</v>
      </c>
      <c r="M215" t="n">
        <v>2</v>
      </c>
      <c r="N215" t="n">
        <v>0</v>
      </c>
      <c r="O215" t="n">
        <v>0</v>
      </c>
      <c r="P215" t="n">
        <v>0</v>
      </c>
      <c r="Q215" t="n">
        <v>8</v>
      </c>
      <c r="R215" t="n">
        <v>2</v>
      </c>
      <c r="S215" t="n">
        <v>12</v>
      </c>
      <c r="T215" t="n">
        <v>63</v>
      </c>
      <c r="U215" t="n">
        <v>63</v>
      </c>
      <c r="V215" s="2" t="inlineStr">
        <is>
          <t>Garnlav
Knärot
Dropptaggsvamp
Mörk kolflarnlav
Tallfingersvamp
Tretåig hackspett
Violettgrå tagellav
Vitgrynig nållav
Bronshjon
Luddlav
Spillkråka
Revlummer</t>
        </is>
      </c>
      <c r="W215">
        <f>HYPERLINK("https://klasma.github.io/Logging_2039/artfynd/A 37730-2023 artfynd.xlsx", "A 37730-2023")</f>
        <v/>
      </c>
      <c r="X215">
        <f>HYPERLINK("https://klasma.github.io/Logging_2039/kartor/A 37730-2023 karta.png", "A 37730-2023")</f>
        <v/>
      </c>
      <c r="Y215">
        <f>HYPERLINK("https://klasma.github.io/Logging_2039/kartor_geotiff/A 37730-2023 georefererad karta.tif", "A 37730-2023")</f>
        <v/>
      </c>
      <c r="Z215">
        <f>HYPERLINK("https://klasma.github.io/Logging_2039/knärot/A 37730-2023 karta knärot.png", "A 37730-2023")</f>
        <v/>
      </c>
      <c r="AA215">
        <f>HYPERLINK("https://klasma.github.io/Logging_2039/klagomål/A 37730-2023 FSC-klagomål.docx", "A 37730-2023")</f>
        <v/>
      </c>
      <c r="AB215">
        <f>HYPERLINK("https://klasma.github.io/Logging_2039/klagomålsmail/A 37730-2023 FSC-klagomål mail.docx", "A 37730-2023")</f>
        <v/>
      </c>
      <c r="AC215">
        <f>HYPERLINK("https://klasma.github.io/Logging_2039/tillsyn/A 37730-2023 tillsynsbegäran.docx", "A 37730-2023")</f>
        <v/>
      </c>
      <c r="AD215">
        <f>HYPERLINK("https://klasma.github.io/Logging_2039/tillsynsmail/A 37730-2023 tillsynsbegäran mail.docx", "A 37730-2023")</f>
        <v/>
      </c>
      <c r="AE215">
        <f>HYPERLINK("https://klasma.github.io/Logging_2039/fåglar/A 37730-2023 prioriterade fågelarter.docx", "A 37730-2023")</f>
        <v/>
      </c>
    </row>
    <row r="216" ht="15" customHeight="1">
      <c r="A216" t="inlineStr">
        <is>
          <t>A 29865-2026</t>
        </is>
      </c>
      <c r="B216" t="inlineStr">
        <is>
          <t>avverkningsanmälan</t>
        </is>
      </c>
      <c r="C216" t="inlineStr">
        <is>
          <t>Föryngringsavverkning</t>
        </is>
      </c>
      <c r="D216" s="1" t="n">
        <v>46205</v>
      </c>
      <c r="E216" s="1" t="n">
        <v>46319</v>
      </c>
      <c r="F216" t="inlineStr">
        <is>
          <t>DALARNAS LÄN</t>
        </is>
      </c>
      <c r="G216" t="inlineStr">
        <is>
          <t>MORA</t>
        </is>
      </c>
      <c r="I216" t="n">
        <v>5.5</v>
      </c>
      <c r="J216" t="n">
        <v>3</v>
      </c>
      <c r="K216" t="n">
        <v>2</v>
      </c>
      <c r="L216" t="n">
        <v>5</v>
      </c>
      <c r="M216" t="n">
        <v>2</v>
      </c>
      <c r="N216" t="n">
        <v>0</v>
      </c>
      <c r="O216" t="n">
        <v>0</v>
      </c>
      <c r="P216" t="n">
        <v>0</v>
      </c>
      <c r="Q216" t="n">
        <v>7</v>
      </c>
      <c r="R216" t="n">
        <v>2</v>
      </c>
      <c r="S216" t="n">
        <v>12</v>
      </c>
      <c r="T216" t="n">
        <v>84</v>
      </c>
      <c r="U216" t="n">
        <v>84</v>
      </c>
      <c r="V216" s="2" t="inlineStr">
        <is>
          <t>Garnlav
Knärot
Dvärgbägarlav
Kolflarnlav
Mörk kolflarnlav
Vedflamlav
Violettgrå tagellav
Mindre märgborre
Rödgul trumpetsvamp
Spillkråka
Timmerticka
Tjäder</t>
        </is>
      </c>
      <c r="W216">
        <f>HYPERLINK("https://klasma.github.io/Logging_2062/artfynd/A 29865-2026 artfynd.xlsx", "A 29865-2026")</f>
        <v/>
      </c>
      <c r="X216">
        <f>HYPERLINK("https://klasma.github.io/Logging_2062/kartor/A 29865-2026 karta.png", "A 29865-2026")</f>
        <v/>
      </c>
      <c r="Y216">
        <f>HYPERLINK("https://klasma.github.io/Logging_2062/kartor_geotiff/A 29865-2026 georefererad karta.tif", "A 29865-2026")</f>
        <v/>
      </c>
      <c r="Z216">
        <f>HYPERLINK("https://klasma.github.io/Logging_2062/knärot/A 29865-2026 karta knärot.png", "A 29865-2026")</f>
        <v/>
      </c>
      <c r="AA216">
        <f>HYPERLINK("https://klasma.github.io/Logging_2062/klagomål/A 29865-2026 FSC-klagomål.docx", "A 29865-2026")</f>
        <v/>
      </c>
      <c r="AB216">
        <f>HYPERLINK("https://klasma.github.io/Logging_2062/klagomålsmail/A 29865-2026 FSC-klagomål mail.docx", "A 29865-2026")</f>
        <v/>
      </c>
      <c r="AC216">
        <f>HYPERLINK("https://klasma.github.io/Logging_2062/tillsyn/A 29865-2026 tillsynsbegäran.docx", "A 29865-2026")</f>
        <v/>
      </c>
      <c r="AD216">
        <f>HYPERLINK("https://klasma.github.io/Logging_2062/tillsynsmail/A 29865-2026 tillsynsbegäran mail.docx", "A 29865-2026")</f>
        <v/>
      </c>
      <c r="AE216">
        <f>HYPERLINK("https://klasma.github.io/Logging_2062/fåglar/A 29865-2026 prioriterade fågelarter.docx", "A 29865-2026")</f>
        <v/>
      </c>
    </row>
    <row r="217" ht="15" customHeight="1">
      <c r="A217" t="inlineStr">
        <is>
          <t>A 73613-2021</t>
        </is>
      </c>
      <c r="B217" t="inlineStr">
        <is>
          <t>avverkningsanmälan</t>
        </is>
      </c>
      <c r="C217" t="inlineStr">
        <is>
          <t>Föryngringsavverkning</t>
        </is>
      </c>
      <c r="D217" s="1" t="n">
        <v>44552</v>
      </c>
      <c r="E217" s="1" t="n">
        <v>46319</v>
      </c>
      <c r="F217" t="inlineStr">
        <is>
          <t>DALARNAS LÄN</t>
        </is>
      </c>
      <c r="G217" t="inlineStr">
        <is>
          <t>BORLÄNGE</t>
        </is>
      </c>
      <c r="I217" t="n">
        <v>28</v>
      </c>
      <c r="J217" t="n">
        <v>3</v>
      </c>
      <c r="K217" t="n">
        <v>2</v>
      </c>
      <c r="L217" t="n">
        <v>7</v>
      </c>
      <c r="M217" t="n">
        <v>1</v>
      </c>
      <c r="N217" t="n">
        <v>0</v>
      </c>
      <c r="O217" t="n">
        <v>0</v>
      </c>
      <c r="P217" t="n">
        <v>0</v>
      </c>
      <c r="Q217" t="n">
        <v>8</v>
      </c>
      <c r="R217" t="n">
        <v>1</v>
      </c>
      <c r="S217" t="n">
        <v>12</v>
      </c>
      <c r="T217" t="n">
        <v>80</v>
      </c>
      <c r="U217" t="n">
        <v>44</v>
      </c>
      <c r="V217" s="2" t="inlineStr">
        <is>
          <t>Garnlav
Dropptaggsvamp
Motaggsvamp
Rynkskinn
Svartvit taggsvamp
Tallticka
Tretåig hackspett
Ullticka
Rostfläck
Vedticka
Tjäder
Törnskata</t>
        </is>
      </c>
      <c r="W217">
        <f>HYPERLINK("https://klasma.github.io/Logging_2081/artfynd/A 73613-2021 artfynd.xlsx", "A 73613-2021")</f>
        <v/>
      </c>
      <c r="X217">
        <f>HYPERLINK("https://klasma.github.io/Logging_2081/kartor/A 73613-2021 karta.png", "A 73613-2021")</f>
        <v/>
      </c>
      <c r="Y217">
        <f>HYPERLINK("https://klasma.github.io/Logging_2081/kartor_geotiff/A 73613-2021 georefererad karta.tif", "A 73613-2021")</f>
        <v/>
      </c>
      <c r="AA217">
        <f>HYPERLINK("https://klasma.github.io/Logging_2081/klagomål/A 73613-2021 FSC-klagomål.docx", "A 73613-2021")</f>
        <v/>
      </c>
      <c r="AB217">
        <f>HYPERLINK("https://klasma.github.io/Logging_2081/klagomålsmail/A 73613-2021 FSC-klagomål mail.docx", "A 73613-2021")</f>
        <v/>
      </c>
      <c r="AC217">
        <f>HYPERLINK("https://klasma.github.io/Logging_2081/tillsyn/A 73613-2021 tillsynsbegäran.docx", "A 73613-2021")</f>
        <v/>
      </c>
      <c r="AD217">
        <f>HYPERLINK("https://klasma.github.io/Logging_2081/tillsynsmail/A 73613-2021 tillsynsbegäran mail.docx", "A 73613-2021")</f>
        <v/>
      </c>
      <c r="AE217">
        <f>HYPERLINK("https://klasma.github.io/Logging_2081/fåglar/A 73613-2021 prioriterade fågelarter.docx", "A 73613-2021")</f>
        <v/>
      </c>
    </row>
    <row r="218" ht="15" customHeight="1">
      <c r="A218" t="inlineStr">
        <is>
          <t>S 2084-2022</t>
        </is>
      </c>
      <c r="B218" t="inlineStr">
        <is>
          <t>samrådsanmälan</t>
        </is>
      </c>
      <c r="C218" t="inlineStr">
        <is>
          <t>Annan skogsbruksåtgärd</t>
        </is>
      </c>
      <c r="D218" s="1" t="n">
        <v>44673</v>
      </c>
      <c r="E218" s="1" t="n">
        <v>46319</v>
      </c>
      <c r="F218" t="inlineStr">
        <is>
          <t>DALARNAS LÄN</t>
        </is>
      </c>
      <c r="G218" t="inlineStr">
        <is>
          <t>LUDVIKA</t>
        </is>
      </c>
      <c r="H218" t="inlineStr">
        <is>
          <t>Kommuner</t>
        </is>
      </c>
      <c r="I218" t="n">
        <v>14.2</v>
      </c>
      <c r="J218" t="n">
        <v>0</v>
      </c>
      <c r="K218" t="n">
        <v>6</v>
      </c>
      <c r="L218" t="n">
        <v>6</v>
      </c>
      <c r="M218" t="n">
        <v>0</v>
      </c>
      <c r="N218" t="n">
        <v>0</v>
      </c>
      <c r="O218" t="n">
        <v>0</v>
      </c>
      <c r="P218" t="n">
        <v>0</v>
      </c>
      <c r="Q218" t="n">
        <v>6</v>
      </c>
      <c r="R218" t="n">
        <v>0</v>
      </c>
      <c r="S218" t="n">
        <v>12</v>
      </c>
      <c r="T218" t="n">
        <v>15</v>
      </c>
      <c r="U218" t="n">
        <v>9</v>
      </c>
      <c r="V218" s="2" t="inlineStr">
        <is>
          <t>Kötticka
Rynkskinn
Tallticka
Ullticka
Violettgrå tagellav
Vågticka
Bronshjon
Mindre märgborre
Sotriska
Trådticka
Vanlig flatbagge
Vågbandad barkbock</t>
        </is>
      </c>
      <c r="W218">
        <f>HYPERLINK("https://klasma.github.io/Logging_2085/artfynd/S 2084-2022 artfynd.xlsx", "S 2084-2022")</f>
        <v/>
      </c>
      <c r="X218">
        <f>HYPERLINK("https://klasma.github.io/Logging_2085/kartor/S 2084-2022 karta.png", "S 2084-2022")</f>
        <v/>
      </c>
      <c r="Y218">
        <f>HYPERLINK("https://klasma.github.io/Logging_2085/kartor_geotiff/S 2084-2022 georefererad karta.tif", "S 2084-2022")</f>
        <v/>
      </c>
      <c r="AA218">
        <f>HYPERLINK("https://klasma.github.io/Logging_2085/klagomål/S 2084-2022 FSC-klagomål.docx", "S 2084-2022")</f>
        <v/>
      </c>
      <c r="AB218">
        <f>HYPERLINK("https://klasma.github.io/Logging_2085/klagomålsmail/S 2084-2022 FSC-klagomål mail.docx", "S 2084-2022")</f>
        <v/>
      </c>
      <c r="AC218">
        <f>HYPERLINK("https://klasma.github.io/Logging_2085/tillsyn/S 2084-2022 tillsynsbegäran.docx", "S 2084-2022")</f>
        <v/>
      </c>
      <c r="AD218">
        <f>HYPERLINK("https://klasma.github.io/Logging_2085/tillsynsmail/S 2084-2022 tillsynsbegäran mail.docx", "S 2084-2022")</f>
        <v/>
      </c>
    </row>
    <row r="219" ht="15" customHeight="1">
      <c r="A219" t="inlineStr">
        <is>
          <t>S 5222-2022</t>
        </is>
      </c>
      <c r="B219" t="inlineStr">
        <is>
          <t>samrådsanmälan</t>
        </is>
      </c>
      <c r="C219" t="inlineStr">
        <is>
          <t>Askåterföring</t>
        </is>
      </c>
      <c r="D219" s="1" t="n">
        <v>44823</v>
      </c>
      <c r="E219" s="1" t="n">
        <v>46319</v>
      </c>
      <c r="F219" t="inlineStr">
        <is>
          <t>DALARNAS LÄN</t>
        </is>
      </c>
      <c r="G219" t="inlineStr">
        <is>
          <t>SMEDJEBACKEN</t>
        </is>
      </c>
      <c r="I219" t="n">
        <v>77.2</v>
      </c>
      <c r="J219" t="n">
        <v>8</v>
      </c>
      <c r="K219" t="n">
        <v>3</v>
      </c>
      <c r="L219" t="n">
        <v>3</v>
      </c>
      <c r="M219" t="n">
        <v>0</v>
      </c>
      <c r="N219" t="n">
        <v>0</v>
      </c>
      <c r="O219" t="n">
        <v>0</v>
      </c>
      <c r="P219" t="n">
        <v>0</v>
      </c>
      <c r="Q219" t="n">
        <v>3</v>
      </c>
      <c r="R219" t="n">
        <v>0</v>
      </c>
      <c r="S219" t="n">
        <v>12</v>
      </c>
      <c r="T219" t="n">
        <v>80</v>
      </c>
      <c r="U219" t="n">
        <v>80</v>
      </c>
      <c r="V219" s="2" t="inlineStr">
        <is>
          <t>Entita
Gropticka
Motaggsvamp
Björksplintborre
Gullgröppa
Plattlummer
Mattlummer
Tjäder
Tofsmes
Smålom
Fläcknycklar
Revlummer</t>
        </is>
      </c>
      <c r="W219">
        <f>HYPERLINK("https://klasma.github.io/Logging_2061/artfynd/S 5222-2022 artfynd.xlsx", "S 5222-2022")</f>
        <v/>
      </c>
      <c r="X219">
        <f>HYPERLINK("https://klasma.github.io/Logging_2061/kartor/S 5222-2022 karta.png", "S 5222-2022")</f>
        <v/>
      </c>
      <c r="Y219">
        <f>HYPERLINK("https://klasma.github.io/Logging_2061/kartor_geotiff/S 5222-2022 georefererad karta.tif", "S 5222-2022")</f>
        <v/>
      </c>
      <c r="AA219">
        <f>HYPERLINK("https://klasma.github.io/Logging_2061/klagomål/S 5222-2022 FSC-klagomål.docx", "S 5222-2022")</f>
        <v/>
      </c>
      <c r="AB219">
        <f>HYPERLINK("https://klasma.github.io/Logging_2061/klagomålsmail/S 5222-2022 FSC-klagomål mail.docx", "S 5222-2022")</f>
        <v/>
      </c>
      <c r="AC219">
        <f>HYPERLINK("https://klasma.github.io/Logging_2061/tillsyn/S 5222-2022 tillsynsbegäran.docx", "S 5222-2022")</f>
        <v/>
      </c>
      <c r="AD219">
        <f>HYPERLINK("https://klasma.github.io/Logging_2061/tillsynsmail/S 5222-2022 tillsynsbegäran mail.docx", "S 5222-2022")</f>
        <v/>
      </c>
      <c r="AE219">
        <f>HYPERLINK("https://klasma.github.io/Logging_2061/fåglar/S 5222-2022 prioriterade fågelarter.docx", "S 5222-2022")</f>
        <v/>
      </c>
    </row>
    <row r="220" ht="15" customHeight="1">
      <c r="A220" t="inlineStr">
        <is>
          <t>S 930-2023</t>
        </is>
      </c>
      <c r="B220" t="inlineStr">
        <is>
          <t>samrådsanmälan</t>
        </is>
      </c>
      <c r="C220" t="inlineStr">
        <is>
          <t>Askåterföring</t>
        </is>
      </c>
      <c r="D220" s="1" t="n">
        <v>45001</v>
      </c>
      <c r="E220" s="1" t="n">
        <v>46319</v>
      </c>
      <c r="F220" t="inlineStr">
        <is>
          <t>DALARNAS LÄN</t>
        </is>
      </c>
      <c r="G220" t="inlineStr">
        <is>
          <t>SMEDJEBACKEN</t>
        </is>
      </c>
      <c r="I220" t="n">
        <v>73.90000000000001</v>
      </c>
      <c r="J220" t="n">
        <v>8</v>
      </c>
      <c r="K220" t="n">
        <v>3</v>
      </c>
      <c r="L220" t="n">
        <v>3</v>
      </c>
      <c r="M220" t="n">
        <v>0</v>
      </c>
      <c r="N220" t="n">
        <v>0</v>
      </c>
      <c r="O220" t="n">
        <v>0</v>
      </c>
      <c r="P220" t="n">
        <v>0</v>
      </c>
      <c r="Q220" t="n">
        <v>3</v>
      </c>
      <c r="R220" t="n">
        <v>0</v>
      </c>
      <c r="S220" t="n">
        <v>12</v>
      </c>
      <c r="T220" t="n">
        <v>78</v>
      </c>
      <c r="U220" t="n">
        <v>78</v>
      </c>
      <c r="V220" s="2" t="inlineStr">
        <is>
          <t>Entita
Gropticka
Motaggsvamp
Björksplintborre
Gullgröppa
Plattlummer
Mattlummer
Tjäder
Tofsmes
Smålom
Fläcknycklar
Revlummer</t>
        </is>
      </c>
      <c r="W220">
        <f>HYPERLINK("https://klasma.github.io/Logging_2061/artfynd/S 930-2023 artfynd.xlsx", "S 930-2023")</f>
        <v/>
      </c>
      <c r="X220">
        <f>HYPERLINK("https://klasma.github.io/Logging_2061/kartor/S 930-2023 karta.png", "S 930-2023")</f>
        <v/>
      </c>
      <c r="Y220">
        <f>HYPERLINK("https://klasma.github.io/Logging_2061/kartor_geotiff/S 930-2023 georefererad karta.tif", "S 930-2023")</f>
        <v/>
      </c>
      <c r="AA220">
        <f>HYPERLINK("https://klasma.github.io/Logging_2061/klagomål/S 930-2023 FSC-klagomål.docx", "S 930-2023")</f>
        <v/>
      </c>
      <c r="AB220">
        <f>HYPERLINK("https://klasma.github.io/Logging_2061/klagomålsmail/S 930-2023 FSC-klagomål mail.docx", "S 930-2023")</f>
        <v/>
      </c>
      <c r="AC220">
        <f>HYPERLINK("https://klasma.github.io/Logging_2061/tillsyn/S 930-2023 tillsynsbegäran.docx", "S 930-2023")</f>
        <v/>
      </c>
      <c r="AD220">
        <f>HYPERLINK("https://klasma.github.io/Logging_2061/tillsynsmail/S 930-2023 tillsynsbegäran mail.docx", "S 930-2023")</f>
        <v/>
      </c>
      <c r="AE220">
        <f>HYPERLINK("https://klasma.github.io/Logging_2061/fåglar/S 930-2023 prioriterade fågelarter.docx", "S 930-2023")</f>
        <v/>
      </c>
    </row>
    <row r="221" ht="15" customHeight="1">
      <c r="A221" t="inlineStr">
        <is>
          <t>S 402-2026</t>
        </is>
      </c>
      <c r="B221" t="inlineStr">
        <is>
          <t>samrådsanmälan</t>
        </is>
      </c>
      <c r="C221" t="inlineStr">
        <is>
          <t>Annan skogsbruksåtgärd</t>
        </is>
      </c>
      <c r="D221" s="1" t="n">
        <v>46069</v>
      </c>
      <c r="E221" s="1" t="n">
        <v>46319</v>
      </c>
      <c r="F221" t="inlineStr">
        <is>
          <t>DALARNAS LÄN</t>
        </is>
      </c>
      <c r="G221" t="inlineStr">
        <is>
          <t>MALUNG-SÄLEN</t>
        </is>
      </c>
      <c r="H221" t="inlineStr">
        <is>
          <t>Bergvik skog väst AB</t>
        </is>
      </c>
      <c r="I221" t="n">
        <v>54.7</v>
      </c>
      <c r="J221" t="n">
        <v>0</v>
      </c>
      <c r="K221" t="n">
        <v>2</v>
      </c>
      <c r="L221" t="n">
        <v>7</v>
      </c>
      <c r="M221" t="n">
        <v>3</v>
      </c>
      <c r="N221" t="n">
        <v>0</v>
      </c>
      <c r="O221" t="n">
        <v>0</v>
      </c>
      <c r="P221" t="n">
        <v>0</v>
      </c>
      <c r="Q221" t="n">
        <v>10</v>
      </c>
      <c r="R221" t="n">
        <v>3</v>
      </c>
      <c r="S221" t="n">
        <v>12</v>
      </c>
      <c r="T221" t="n">
        <v>38</v>
      </c>
      <c r="U221" t="n">
        <v>3</v>
      </c>
      <c r="V221" s="2" t="inlineStr">
        <is>
          <t>Garnlav
Gropig skägglav
Smalfotad taggsvamp
Dropptaggsvamp
Kolflarnlav
Kortskaftad ärgspik
Mörk kolflarnlav
Tallticka
Vedskivlav
Vedtrappmossa
Gullgröppa
Mindre märgborre</t>
        </is>
      </c>
      <c r="W221">
        <f>HYPERLINK("https://klasma.github.io/Logging_2023/artfynd/S 402-2026 artfynd.xlsx", "S 402-2026")</f>
        <v/>
      </c>
      <c r="X221">
        <f>HYPERLINK("https://klasma.github.io/Logging_2023/kartor/S 402-2026 karta.png", "S 402-2026")</f>
        <v/>
      </c>
      <c r="Y221">
        <f>HYPERLINK("https://klasma.github.io/Logging_2023/kartor_geotiff/S 402-2026 georefererad karta.tif", "S 402-2026")</f>
        <v/>
      </c>
      <c r="AA221">
        <f>HYPERLINK("https://klasma.github.io/Logging_2023/klagomål/S 402-2026 FSC-klagomål.docx", "S 402-2026")</f>
        <v/>
      </c>
      <c r="AB221">
        <f>HYPERLINK("https://klasma.github.io/Logging_2023/klagomålsmail/S 402-2026 FSC-klagomål mail.docx", "S 402-2026")</f>
        <v/>
      </c>
      <c r="AC221">
        <f>HYPERLINK("https://klasma.github.io/Logging_2023/tillsyn/S 402-2026 tillsynsbegäran.docx", "S 402-2026")</f>
        <v/>
      </c>
      <c r="AD221">
        <f>HYPERLINK("https://klasma.github.io/Logging_2023/tillsynsmail/S 402-2026 tillsynsbegäran mail.docx", "S 402-2026")</f>
        <v/>
      </c>
    </row>
    <row r="222" ht="15" customHeight="1">
      <c r="A222" t="inlineStr">
        <is>
          <t>A 64675-2021</t>
        </is>
      </c>
      <c r="B222" t="inlineStr">
        <is>
          <t>avverkningsanmälan</t>
        </is>
      </c>
      <c r="C222" t="inlineStr">
        <is>
          <t>Föryngringsavverkning</t>
        </is>
      </c>
      <c r="D222" s="1" t="n">
        <v>44512</v>
      </c>
      <c r="E222" s="1" t="n">
        <v>46319</v>
      </c>
      <c r="F222" t="inlineStr">
        <is>
          <t>DALARNAS LÄN</t>
        </is>
      </c>
      <c r="G222" t="inlineStr">
        <is>
          <t>BORLÄNGE</t>
        </is>
      </c>
      <c r="I222" t="n">
        <v>15.5</v>
      </c>
      <c r="J222" t="n">
        <v>3</v>
      </c>
      <c r="K222" t="n">
        <v>1</v>
      </c>
      <c r="L222" t="n">
        <v>7</v>
      </c>
      <c r="M222" t="n">
        <v>1</v>
      </c>
      <c r="N222" t="n">
        <v>0</v>
      </c>
      <c r="O222" t="n">
        <v>0</v>
      </c>
      <c r="P222" t="n">
        <v>0</v>
      </c>
      <c r="Q222" t="n">
        <v>8</v>
      </c>
      <c r="R222" t="n">
        <v>1</v>
      </c>
      <c r="S222" t="n">
        <v>11</v>
      </c>
      <c r="T222" t="n">
        <v>47</v>
      </c>
      <c r="U222" t="n">
        <v>27</v>
      </c>
      <c r="V222" s="2" t="inlineStr">
        <is>
          <t>Garnlav
Blå taggsvamp
Doftskinn
Dropptaggsvamp
Rosenticka
Svartvit taggsvamp
Tretåig hackspett
Ullticka
Vedticka
Järpe
Tjäder</t>
        </is>
      </c>
      <c r="W222">
        <f>HYPERLINK("https://klasma.github.io/Logging_2081/artfynd/A 64675-2021 artfynd.xlsx", "A 64675-2021")</f>
        <v/>
      </c>
      <c r="X222">
        <f>HYPERLINK("https://klasma.github.io/Logging_2081/kartor/A 64675-2021 karta.png", "A 64675-2021")</f>
        <v/>
      </c>
      <c r="Y222">
        <f>HYPERLINK("https://klasma.github.io/Logging_2081/kartor_geotiff/A 64675-2021 georefererad karta.tif", "A 64675-2021")</f>
        <v/>
      </c>
      <c r="AA222">
        <f>HYPERLINK("https://klasma.github.io/Logging_2081/klagomål/A 64675-2021 FSC-klagomål.docx", "A 64675-2021")</f>
        <v/>
      </c>
      <c r="AB222">
        <f>HYPERLINK("https://klasma.github.io/Logging_2081/klagomålsmail/A 64675-2021 FSC-klagomål mail.docx", "A 64675-2021")</f>
        <v/>
      </c>
      <c r="AC222">
        <f>HYPERLINK("https://klasma.github.io/Logging_2081/tillsyn/A 64675-2021 tillsynsbegäran.docx", "A 64675-2021")</f>
        <v/>
      </c>
      <c r="AD222">
        <f>HYPERLINK("https://klasma.github.io/Logging_2081/tillsynsmail/A 64675-2021 tillsynsbegäran mail.docx", "A 64675-2021")</f>
        <v/>
      </c>
      <c r="AE222">
        <f>HYPERLINK("https://klasma.github.io/Logging_2081/fåglar/A 64675-2021 prioriterade fågelarter.docx", "A 64675-2021")</f>
        <v/>
      </c>
    </row>
    <row r="223" ht="15" customHeight="1">
      <c r="A223" t="inlineStr">
        <is>
          <t>A 27839-2026</t>
        </is>
      </c>
      <c r="B223" t="inlineStr">
        <is>
          <t>avverkningsanmälan</t>
        </is>
      </c>
      <c r="C223" t="inlineStr">
        <is>
          <t>Föryngringsavverkning</t>
        </is>
      </c>
      <c r="D223" s="1" t="n">
        <v>46191</v>
      </c>
      <c r="E223" s="1" t="n">
        <v>46319</v>
      </c>
      <c r="F223" t="inlineStr">
        <is>
          <t>DALARNAS LÄN</t>
        </is>
      </c>
      <c r="G223" t="inlineStr">
        <is>
          <t>MALUNG-SÄLEN</t>
        </is>
      </c>
      <c r="I223" t="n">
        <v>12</v>
      </c>
      <c r="J223" t="n">
        <v>1</v>
      </c>
      <c r="K223" t="n">
        <v>2</v>
      </c>
      <c r="L223" t="n">
        <v>8</v>
      </c>
      <c r="M223" t="n">
        <v>1</v>
      </c>
      <c r="N223" t="n">
        <v>0</v>
      </c>
      <c r="O223" t="n">
        <v>0</v>
      </c>
      <c r="P223" t="n">
        <v>0</v>
      </c>
      <c r="Q223" t="n">
        <v>9</v>
      </c>
      <c r="R223" t="n">
        <v>1</v>
      </c>
      <c r="S223" t="n">
        <v>11</v>
      </c>
      <c r="T223" t="n">
        <v>49</v>
      </c>
      <c r="U223" t="n">
        <v>49</v>
      </c>
      <c r="V223" s="2" t="inlineStr">
        <is>
          <t>Garnlav
Blanksvart spiklav
Dropptaggsvamp
Dvärgbägarlav
Kortskaftad ärgspik
Mörk kolflarnlav
Talltita
Vedskivlav
Violettgrå tagellav
Mindre märgborre
Nästlav</t>
        </is>
      </c>
      <c r="W223">
        <f>HYPERLINK("https://klasma.github.io/Logging_2023/artfynd/A 27839-2026 artfynd.xlsx", "A 27839-2026")</f>
        <v/>
      </c>
      <c r="X223">
        <f>HYPERLINK("https://klasma.github.io/Logging_2023/kartor/A 27839-2026 karta.png", "A 27839-2026")</f>
        <v/>
      </c>
      <c r="Y223">
        <f>HYPERLINK("https://klasma.github.io/Logging_2023/kartor_geotiff/A 27839-2026 georefererad karta.tif", "A 27839-2026")</f>
        <v/>
      </c>
      <c r="AA223">
        <f>HYPERLINK("https://klasma.github.io/Logging_2023/klagomål/A 27839-2026 FSC-klagomål.docx", "A 27839-2026")</f>
        <v/>
      </c>
      <c r="AB223">
        <f>HYPERLINK("https://klasma.github.io/Logging_2023/klagomålsmail/A 27839-2026 FSC-klagomål mail.docx", "A 27839-2026")</f>
        <v/>
      </c>
      <c r="AC223">
        <f>HYPERLINK("https://klasma.github.io/Logging_2023/tillsyn/A 27839-2026 tillsynsbegäran.docx", "A 27839-2026")</f>
        <v/>
      </c>
      <c r="AD223">
        <f>HYPERLINK("https://klasma.github.io/Logging_2023/tillsynsmail/A 27839-2026 tillsynsbegäran mail.docx", "A 27839-2026")</f>
        <v/>
      </c>
      <c r="AE223">
        <f>HYPERLINK("https://klasma.github.io/Logging_2023/fåglar/A 27839-2026 prioriterade fågelarter.docx", "A 27839-2026")</f>
        <v/>
      </c>
    </row>
    <row r="224" ht="15" customHeight="1">
      <c r="A224" t="inlineStr">
        <is>
          <t>A 56940-2025</t>
        </is>
      </c>
      <c r="B224" t="inlineStr">
        <is>
          <t>avverkningsanmälan</t>
        </is>
      </c>
      <c r="C224" t="inlineStr">
        <is>
          <t>Föryngringsavverkning</t>
        </is>
      </c>
      <c r="D224" s="1" t="n">
        <v>45978</v>
      </c>
      <c r="E224" s="1" t="n">
        <v>46319</v>
      </c>
      <c r="F224" t="inlineStr">
        <is>
          <t>DALARNAS LÄN</t>
        </is>
      </c>
      <c r="G224" t="inlineStr">
        <is>
          <t>MORA</t>
        </is>
      </c>
      <c r="I224" t="n">
        <v>18.1</v>
      </c>
      <c r="J224" t="n">
        <v>0</v>
      </c>
      <c r="K224" t="n">
        <v>2</v>
      </c>
      <c r="L224" t="n">
        <v>7</v>
      </c>
      <c r="M224" t="n">
        <v>2</v>
      </c>
      <c r="N224" t="n">
        <v>0</v>
      </c>
      <c r="O224" t="n">
        <v>0</v>
      </c>
      <c r="P224" t="n">
        <v>0</v>
      </c>
      <c r="Q224" t="n">
        <v>9</v>
      </c>
      <c r="R224" t="n">
        <v>2</v>
      </c>
      <c r="S224" t="n">
        <v>11</v>
      </c>
      <c r="T224" t="n">
        <v>86</v>
      </c>
      <c r="U224" t="n">
        <v>86</v>
      </c>
      <c r="V224" s="2" t="inlineStr">
        <is>
          <t>Fläckporing
Garnlav
Blågrå svartspik
Dropptaggsvamp
Kolflarnlav
Mörk kolflarnlav
Tallticka
Vaddporing
Vedflamlav
Bronshjon
Mindre märgborre</t>
        </is>
      </c>
      <c r="W224">
        <f>HYPERLINK("https://klasma.github.io/Logging_2062/artfynd/A 56940-2025 artfynd.xlsx", "A 56940-2025")</f>
        <v/>
      </c>
      <c r="X224">
        <f>HYPERLINK("https://klasma.github.io/Logging_2062/kartor/A 56940-2025 karta.png", "A 56940-2025")</f>
        <v/>
      </c>
      <c r="Y224">
        <f>HYPERLINK("https://klasma.github.io/Logging_2062/kartor_geotiff/A 56940-2025 georefererad karta.tif", "A 56940-2025")</f>
        <v/>
      </c>
      <c r="AA224">
        <f>HYPERLINK("https://klasma.github.io/Logging_2062/klagomål/A 56940-2025 FSC-klagomål.docx", "A 56940-2025")</f>
        <v/>
      </c>
      <c r="AB224">
        <f>HYPERLINK("https://klasma.github.io/Logging_2062/klagomålsmail/A 56940-2025 FSC-klagomål mail.docx", "A 56940-2025")</f>
        <v/>
      </c>
      <c r="AC224">
        <f>HYPERLINK("https://klasma.github.io/Logging_2062/tillsyn/A 56940-2025 tillsynsbegäran.docx", "A 56940-2025")</f>
        <v/>
      </c>
      <c r="AD224">
        <f>HYPERLINK("https://klasma.github.io/Logging_2062/tillsynsmail/A 56940-2025 tillsynsbegäran mail.docx", "A 56940-2025")</f>
        <v/>
      </c>
    </row>
    <row r="225" ht="15" customHeight="1">
      <c r="A225" t="inlineStr">
        <is>
          <t>A 38817-2025</t>
        </is>
      </c>
      <c r="B225" t="inlineStr">
        <is>
          <t>avverkningsanmälan</t>
        </is>
      </c>
      <c r="C225" t="inlineStr">
        <is>
          <t>Föryngringsavverkning</t>
        </is>
      </c>
      <c r="D225" s="1" t="n">
        <v>45887</v>
      </c>
      <c r="E225" s="1" t="n">
        <v>46319</v>
      </c>
      <c r="F225" t="inlineStr">
        <is>
          <t>DALARNAS LÄN</t>
        </is>
      </c>
      <c r="G225" t="inlineStr">
        <is>
          <t>RÄTTVIK</t>
        </is>
      </c>
      <c r="I225" t="n">
        <v>13.4</v>
      </c>
      <c r="J225" t="n">
        <v>2</v>
      </c>
      <c r="K225" t="n">
        <v>4</v>
      </c>
      <c r="L225" t="n">
        <v>5</v>
      </c>
      <c r="M225" t="n">
        <v>1</v>
      </c>
      <c r="N225" t="n">
        <v>0</v>
      </c>
      <c r="O225" t="n">
        <v>0</v>
      </c>
      <c r="P225" t="n">
        <v>0</v>
      </c>
      <c r="Q225" t="n">
        <v>6</v>
      </c>
      <c r="R225" t="n">
        <v>1</v>
      </c>
      <c r="S225" t="n">
        <v>11</v>
      </c>
      <c r="T225" t="n">
        <v>76</v>
      </c>
      <c r="U225" t="n">
        <v>75</v>
      </c>
      <c r="V225" s="2" t="inlineStr">
        <is>
          <t>Garnlav
Tallticka
Talltita
Ullticka
Violettgrå tagellav
Vitgrynig nållav
Bronshjon
Jättesvampmal
Thomsons trägnagare
Vågbandad barkbock
Tjäder</t>
        </is>
      </c>
      <c r="W225">
        <f>HYPERLINK("https://klasma.github.io/Logging_2031/artfynd/A 38817-2025 artfynd.xlsx", "A 38817-2025")</f>
        <v/>
      </c>
      <c r="X225">
        <f>HYPERLINK("https://klasma.github.io/Logging_2031/kartor/A 38817-2025 karta.png", "A 38817-2025")</f>
        <v/>
      </c>
      <c r="Y225">
        <f>HYPERLINK("https://klasma.github.io/Logging_2031/kartor_geotiff/A 38817-2025 georefererad karta.tif", "A 38817-2025")</f>
        <v/>
      </c>
      <c r="AA225">
        <f>HYPERLINK("https://klasma.github.io/Logging_2031/klagomål/A 38817-2025 FSC-klagomål.docx", "A 38817-2025")</f>
        <v/>
      </c>
      <c r="AB225">
        <f>HYPERLINK("https://klasma.github.io/Logging_2031/klagomålsmail/A 38817-2025 FSC-klagomål mail.docx", "A 38817-2025")</f>
        <v/>
      </c>
      <c r="AC225">
        <f>HYPERLINK("https://klasma.github.io/Logging_2031/tillsyn/A 38817-2025 tillsynsbegäran.docx", "A 38817-2025")</f>
        <v/>
      </c>
      <c r="AD225">
        <f>HYPERLINK("https://klasma.github.io/Logging_2031/tillsynsmail/A 38817-2025 tillsynsbegäran mail.docx", "A 38817-2025")</f>
        <v/>
      </c>
      <c r="AE225">
        <f>HYPERLINK("https://klasma.github.io/Logging_2031/fåglar/A 38817-2025 prioriterade fågelarter.docx", "A 38817-2025")</f>
        <v/>
      </c>
    </row>
    <row r="226" ht="15" customHeight="1">
      <c r="A226" t="inlineStr">
        <is>
          <t>A 43051-2025</t>
        </is>
      </c>
      <c r="B226" t="inlineStr">
        <is>
          <t>avverkningsanmälan</t>
        </is>
      </c>
      <c r="C226" t="inlineStr">
        <is>
          <t>Föryngringsavverkning</t>
        </is>
      </c>
      <c r="D226" s="1" t="n">
        <v>45909</v>
      </c>
      <c r="E226" s="1" t="n">
        <v>46319</v>
      </c>
      <c r="F226" t="inlineStr">
        <is>
          <t>DALARNAS LÄN</t>
        </is>
      </c>
      <c r="G226" t="inlineStr">
        <is>
          <t>ÄLVDALEN</t>
        </is>
      </c>
      <c r="I226" t="n">
        <v>1.1</v>
      </c>
      <c r="J226" t="n">
        <v>5</v>
      </c>
      <c r="K226" t="n">
        <v>2</v>
      </c>
      <c r="L226" t="n">
        <v>5</v>
      </c>
      <c r="M226" t="n">
        <v>1</v>
      </c>
      <c r="N226" t="n">
        <v>1</v>
      </c>
      <c r="O226" t="n">
        <v>0</v>
      </c>
      <c r="P226" t="n">
        <v>0</v>
      </c>
      <c r="Q226" t="n">
        <v>7</v>
      </c>
      <c r="R226" t="n">
        <v>2</v>
      </c>
      <c r="S226" t="n">
        <v>11</v>
      </c>
      <c r="T226" t="n">
        <v>26</v>
      </c>
      <c r="U226" t="n">
        <v>26</v>
      </c>
      <c r="V226" s="2" t="inlineStr">
        <is>
          <t>Pärluggla
Garnlav
Kolflarnlav
Skrovellav
Talltita
Tretåig hackspett
Vitgrynig nållav
Bronshjon
Vågbandad barkbock
Tjäder
Revlummer</t>
        </is>
      </c>
      <c r="W226">
        <f>HYPERLINK("https://klasma.github.io/Logging_2039/artfynd/A 43051-2025 artfynd.xlsx", "A 43051-2025")</f>
        <v/>
      </c>
      <c r="X226">
        <f>HYPERLINK("https://klasma.github.io/Logging_2039/kartor/A 43051-2025 karta.png", "A 43051-2025")</f>
        <v/>
      </c>
      <c r="Y226">
        <f>HYPERLINK("https://klasma.github.io/Logging_2039/kartor_geotiff/A 43051-2025 georefererad karta.tif", "A 43051-2025")</f>
        <v/>
      </c>
      <c r="AA226">
        <f>HYPERLINK("https://klasma.github.io/Logging_2039/klagomål/A 43051-2025 FSC-klagomål.docx", "A 43051-2025")</f>
        <v/>
      </c>
      <c r="AB226">
        <f>HYPERLINK("https://klasma.github.io/Logging_2039/klagomålsmail/A 43051-2025 FSC-klagomål mail.docx", "A 43051-2025")</f>
        <v/>
      </c>
      <c r="AC226">
        <f>HYPERLINK("https://klasma.github.io/Logging_2039/tillsyn/A 43051-2025 tillsynsbegäran.docx", "A 43051-2025")</f>
        <v/>
      </c>
      <c r="AD226">
        <f>HYPERLINK("https://klasma.github.io/Logging_2039/tillsynsmail/A 43051-2025 tillsynsbegäran mail.docx", "A 43051-2025")</f>
        <v/>
      </c>
      <c r="AE226">
        <f>HYPERLINK("https://klasma.github.io/Logging_2039/fåglar/A 43051-2025 prioriterade fågelarter.docx", "A 43051-2025")</f>
        <v/>
      </c>
    </row>
    <row r="227" ht="15" customHeight="1">
      <c r="A227" t="inlineStr">
        <is>
          <t>A 54120-2024</t>
        </is>
      </c>
      <c r="B227" t="inlineStr">
        <is>
          <t>avverkningsanmälan</t>
        </is>
      </c>
      <c r="C227" t="inlineStr">
        <is>
          <t>Föryngringsavverkning</t>
        </is>
      </c>
      <c r="D227" s="1" t="n">
        <v>45616</v>
      </c>
      <c r="E227" s="1" t="n">
        <v>46319</v>
      </c>
      <c r="F227" t="inlineStr">
        <is>
          <t>DALARNAS LÄN</t>
        </is>
      </c>
      <c r="G227" t="inlineStr">
        <is>
          <t>HEDEMORA</t>
        </is>
      </c>
      <c r="I227" t="n">
        <v>7.7</v>
      </c>
      <c r="J227" t="n">
        <v>1</v>
      </c>
      <c r="K227" t="n">
        <v>3</v>
      </c>
      <c r="L227" t="n">
        <v>5</v>
      </c>
      <c r="M227" t="n">
        <v>3</v>
      </c>
      <c r="N227" t="n">
        <v>0</v>
      </c>
      <c r="O227" t="n">
        <v>0</v>
      </c>
      <c r="P227" t="n">
        <v>0</v>
      </c>
      <c r="Q227" t="n">
        <v>8</v>
      </c>
      <c r="R227" t="n">
        <v>3</v>
      </c>
      <c r="S227" t="n">
        <v>11</v>
      </c>
      <c r="T227" t="n">
        <v>22</v>
      </c>
      <c r="U227" t="n">
        <v>22</v>
      </c>
      <c r="V227" s="2" t="inlineStr">
        <is>
          <t>Grangråticka
Gul taggsvamp
Knärot
Dofttaggsvamp
Fjällig taggsvamp s.str.
Rosenticka
Rynkskinn
Ullticka
Diskvaxskivling
Svavelriska
Trådticka</t>
        </is>
      </c>
      <c r="W227">
        <f>HYPERLINK("https://klasma.github.io/Logging_2083/artfynd/A 54120-2024 artfynd.xlsx", "A 54120-2024")</f>
        <v/>
      </c>
      <c r="X227">
        <f>HYPERLINK("https://klasma.github.io/Logging_2083/kartor/A 54120-2024 karta.png", "A 54120-2024")</f>
        <v/>
      </c>
      <c r="Y227">
        <f>HYPERLINK("https://klasma.github.io/Logging_2083/kartor_geotiff/A 54120-2024 georefererad karta.tif", "A 54120-2024")</f>
        <v/>
      </c>
      <c r="Z227">
        <f>HYPERLINK("https://klasma.github.io/Logging_2083/knärot/A 54120-2024 karta knärot.png", "A 54120-2024")</f>
        <v/>
      </c>
      <c r="AA227">
        <f>HYPERLINK("https://klasma.github.io/Logging_2083/klagomål/A 54120-2024 FSC-klagomål.docx", "A 54120-2024")</f>
        <v/>
      </c>
      <c r="AB227">
        <f>HYPERLINK("https://klasma.github.io/Logging_2083/klagomålsmail/A 54120-2024 FSC-klagomål mail.docx", "A 54120-2024")</f>
        <v/>
      </c>
      <c r="AC227">
        <f>HYPERLINK("https://klasma.github.io/Logging_2083/tillsyn/A 54120-2024 tillsynsbegäran.docx", "A 54120-2024")</f>
        <v/>
      </c>
      <c r="AD227">
        <f>HYPERLINK("https://klasma.github.io/Logging_2083/tillsynsmail/A 54120-2024 tillsynsbegäran mail.docx", "A 54120-2024")</f>
        <v/>
      </c>
    </row>
    <row r="228" ht="15" customHeight="1">
      <c r="A228" t="inlineStr">
        <is>
          <t>A 45277-2025</t>
        </is>
      </c>
      <c r="B228" t="inlineStr">
        <is>
          <t>avverkningsanmälan</t>
        </is>
      </c>
      <c r="C228" t="inlineStr">
        <is>
          <t>Föryngringsavverkning</t>
        </is>
      </c>
      <c r="D228" s="1" t="n">
        <v>45919</v>
      </c>
      <c r="E228" s="1" t="n">
        <v>46319</v>
      </c>
      <c r="F228" t="inlineStr">
        <is>
          <t>DALARNAS LÄN</t>
        </is>
      </c>
      <c r="G228" t="inlineStr">
        <is>
          <t>HEDEMORA</t>
        </is>
      </c>
      <c r="I228" t="n">
        <v>6.9</v>
      </c>
      <c r="J228" t="n">
        <v>5</v>
      </c>
      <c r="K228" t="n">
        <v>1</v>
      </c>
      <c r="L228" t="n">
        <v>4</v>
      </c>
      <c r="M228" t="n">
        <v>3</v>
      </c>
      <c r="N228" t="n">
        <v>0</v>
      </c>
      <c r="O228" t="n">
        <v>0</v>
      </c>
      <c r="P228" t="n">
        <v>0</v>
      </c>
      <c r="Q228" t="n">
        <v>7</v>
      </c>
      <c r="R228" t="n">
        <v>3</v>
      </c>
      <c r="S228" t="n">
        <v>11</v>
      </c>
      <c r="T228" t="n">
        <v>37</v>
      </c>
      <c r="U228" t="n">
        <v>30</v>
      </c>
      <c r="V228" s="2" t="inlineStr">
        <is>
          <t>Knärot
Kopparspindling
Rostskinn
Fjällig taggsvamp s.str.
Rödfläckig zontaggsvamp
Talltita
Ullticka
Bronshjon
Blåsippa
Mattlummer
Spillkråka</t>
        </is>
      </c>
      <c r="W228">
        <f>HYPERLINK("https://klasma.github.io/Logging_2083/artfynd/A 45277-2025 artfynd.xlsx", "A 45277-2025")</f>
        <v/>
      </c>
      <c r="X228">
        <f>HYPERLINK("https://klasma.github.io/Logging_2083/kartor/A 45277-2025 karta.png", "A 45277-2025")</f>
        <v/>
      </c>
      <c r="Y228">
        <f>HYPERLINK("https://klasma.github.io/Logging_2083/kartor_geotiff/A 45277-2025 georefererad karta.tif", "A 45277-2025")</f>
        <v/>
      </c>
      <c r="Z228">
        <f>HYPERLINK("https://klasma.github.io/Logging_2083/knärot/A 45277-2025 karta knärot.png", "A 45277-2025")</f>
        <v/>
      </c>
      <c r="AA228">
        <f>HYPERLINK("https://klasma.github.io/Logging_2083/klagomål/A 45277-2025 FSC-klagomål.docx", "A 45277-2025")</f>
        <v/>
      </c>
      <c r="AB228">
        <f>HYPERLINK("https://klasma.github.io/Logging_2083/klagomålsmail/A 45277-2025 FSC-klagomål mail.docx", "A 45277-2025")</f>
        <v/>
      </c>
      <c r="AC228">
        <f>HYPERLINK("https://klasma.github.io/Logging_2083/tillsyn/A 45277-2025 tillsynsbegäran.docx", "A 45277-2025")</f>
        <v/>
      </c>
      <c r="AD228">
        <f>HYPERLINK("https://klasma.github.io/Logging_2083/tillsynsmail/A 45277-2025 tillsynsbegäran mail.docx", "A 45277-2025")</f>
        <v/>
      </c>
      <c r="AE228">
        <f>HYPERLINK("https://klasma.github.io/Logging_2083/fåglar/A 45277-2025 prioriterade fågelarter.docx", "A 45277-2025")</f>
        <v/>
      </c>
    </row>
    <row r="229" ht="15" customHeight="1">
      <c r="A229" t="inlineStr">
        <is>
          <t>A 49765-2022</t>
        </is>
      </c>
      <c r="B229" t="inlineStr">
        <is>
          <t>avverkningsanmälan</t>
        </is>
      </c>
      <c r="C229" t="inlineStr">
        <is>
          <t>Föryngringsavverkning</t>
        </is>
      </c>
      <c r="D229" s="1" t="n">
        <v>44859</v>
      </c>
      <c r="E229" s="1" t="n">
        <v>46319</v>
      </c>
      <c r="F229" t="inlineStr">
        <is>
          <t>DALARNAS LÄN</t>
        </is>
      </c>
      <c r="G229" t="inlineStr">
        <is>
          <t>SMEDJEBACKEN</t>
        </is>
      </c>
      <c r="I229" t="n">
        <v>6.3</v>
      </c>
      <c r="J229" t="n">
        <v>5</v>
      </c>
      <c r="K229" t="n">
        <v>1</v>
      </c>
      <c r="L229" t="n">
        <v>5</v>
      </c>
      <c r="M229" t="n">
        <v>3</v>
      </c>
      <c r="N229" t="n">
        <v>0</v>
      </c>
      <c r="O229" t="n">
        <v>0</v>
      </c>
      <c r="P229" t="n">
        <v>0</v>
      </c>
      <c r="Q229" t="n">
        <v>8</v>
      </c>
      <c r="R229" t="n">
        <v>3</v>
      </c>
      <c r="S229" t="n">
        <v>11</v>
      </c>
      <c r="T229" t="n">
        <v>27</v>
      </c>
      <c r="U229" t="n">
        <v>17</v>
      </c>
      <c r="V229" s="2" t="inlineStr">
        <is>
          <t>Knärot
Läderdoftande fingersvamp
Taggfingersvamp
Fjällig taggsvamp s.str.
Gultoppig fingersvamp
Rynkskinn
Tretåig hackspett
Vågticka
Grönkulla
Blåsippa
Nattviol</t>
        </is>
      </c>
      <c r="W229">
        <f>HYPERLINK("https://klasma.github.io/Logging_2061/artfynd/A 49765-2022 artfynd.xlsx", "A 49765-2022")</f>
        <v/>
      </c>
      <c r="X229">
        <f>HYPERLINK("https://klasma.github.io/Logging_2061/kartor/A 49765-2022 karta.png", "A 49765-2022")</f>
        <v/>
      </c>
      <c r="Y229">
        <f>HYPERLINK("https://klasma.github.io/Logging_2061/kartor_geotiff/A 49765-2022 georefererad karta.tif", "A 49765-2022")</f>
        <v/>
      </c>
      <c r="Z229">
        <f>HYPERLINK("https://klasma.github.io/Logging_2061/knärot/A 49765-2022 karta knärot.png", "A 49765-2022")</f>
        <v/>
      </c>
      <c r="AA229">
        <f>HYPERLINK("https://klasma.github.io/Logging_2061/klagomål/A 49765-2022 FSC-klagomål.docx", "A 49765-2022")</f>
        <v/>
      </c>
      <c r="AB229">
        <f>HYPERLINK("https://klasma.github.io/Logging_2061/klagomålsmail/A 49765-2022 FSC-klagomål mail.docx", "A 49765-2022")</f>
        <v/>
      </c>
      <c r="AC229">
        <f>HYPERLINK("https://klasma.github.io/Logging_2061/tillsyn/A 49765-2022 tillsynsbegäran.docx", "A 49765-2022")</f>
        <v/>
      </c>
      <c r="AD229">
        <f>HYPERLINK("https://klasma.github.io/Logging_2061/tillsynsmail/A 49765-2022 tillsynsbegäran mail.docx", "A 49765-2022")</f>
        <v/>
      </c>
      <c r="AE229">
        <f>HYPERLINK("https://klasma.github.io/Logging_2061/fåglar/A 49765-2022 prioriterade fågelarter.docx", "A 49765-2022")</f>
        <v/>
      </c>
    </row>
    <row r="230" ht="15" customHeight="1">
      <c r="A230" t="inlineStr">
        <is>
          <t>A 37473-2025</t>
        </is>
      </c>
      <c r="B230" t="inlineStr">
        <is>
          <t>avverkningsanmälan</t>
        </is>
      </c>
      <c r="C230" t="inlineStr">
        <is>
          <t>Föryngringsavverkning</t>
        </is>
      </c>
      <c r="D230" s="1" t="n">
        <v>45877</v>
      </c>
      <c r="E230" s="1" t="n">
        <v>46319</v>
      </c>
      <c r="F230" t="inlineStr">
        <is>
          <t>DALARNAS LÄN</t>
        </is>
      </c>
      <c r="G230" t="inlineStr">
        <is>
          <t>BORLÄNGE</t>
        </is>
      </c>
      <c r="I230" t="n">
        <v>12.2</v>
      </c>
      <c r="J230" t="n">
        <v>4</v>
      </c>
      <c r="K230" t="n">
        <v>2</v>
      </c>
      <c r="L230" t="n">
        <v>5</v>
      </c>
      <c r="M230" t="n">
        <v>2</v>
      </c>
      <c r="N230" t="n">
        <v>0</v>
      </c>
      <c r="O230" t="n">
        <v>0</v>
      </c>
      <c r="P230" t="n">
        <v>0</v>
      </c>
      <c r="Q230" t="n">
        <v>7</v>
      </c>
      <c r="R230" t="n">
        <v>2</v>
      </c>
      <c r="S230" t="n">
        <v>11</v>
      </c>
      <c r="T230" t="n">
        <v>34</v>
      </c>
      <c r="U230" t="n">
        <v>9</v>
      </c>
      <c r="V230" s="2" t="inlineStr">
        <is>
          <t>Garnlav
Knärot
Dropptaggsvamp
Skarp dropptaggsvamp
Tretåig hackspett
Ullticka
Violettgrå tagellav
Bronshjon
Vedticka
Spillkråka
Fläcknycklar</t>
        </is>
      </c>
      <c r="W230">
        <f>HYPERLINK("https://klasma.github.io/Logging_2081/artfynd/A 37473-2025 artfynd.xlsx", "A 37473-2025")</f>
        <v/>
      </c>
      <c r="X230">
        <f>HYPERLINK("https://klasma.github.io/Logging_2081/kartor/A 37473-2025 karta.png", "A 37473-2025")</f>
        <v/>
      </c>
      <c r="Y230">
        <f>HYPERLINK("https://klasma.github.io/Logging_2081/kartor_geotiff/A 37473-2025 georefererad karta.tif", "A 37473-2025")</f>
        <v/>
      </c>
      <c r="Z230">
        <f>HYPERLINK("https://klasma.github.io/Logging_2081/knärot/A 37473-2025 karta knärot.png", "A 37473-2025")</f>
        <v/>
      </c>
      <c r="AA230">
        <f>HYPERLINK("https://klasma.github.io/Logging_2081/klagomål/A 37473-2025 FSC-klagomål.docx", "A 37473-2025")</f>
        <v/>
      </c>
      <c r="AB230">
        <f>HYPERLINK("https://klasma.github.io/Logging_2081/klagomålsmail/A 37473-2025 FSC-klagomål mail.docx", "A 37473-2025")</f>
        <v/>
      </c>
      <c r="AC230">
        <f>HYPERLINK("https://klasma.github.io/Logging_2081/tillsyn/A 37473-2025 tillsynsbegäran.docx", "A 37473-2025")</f>
        <v/>
      </c>
      <c r="AD230">
        <f>HYPERLINK("https://klasma.github.io/Logging_2081/tillsynsmail/A 37473-2025 tillsynsbegäran mail.docx", "A 37473-2025")</f>
        <v/>
      </c>
      <c r="AE230">
        <f>HYPERLINK("https://klasma.github.io/Logging_2081/fåglar/A 37473-2025 prioriterade fågelarter.docx", "A 37473-2025")</f>
        <v/>
      </c>
    </row>
    <row r="231" ht="15" customHeight="1">
      <c r="A231" t="inlineStr">
        <is>
          <t>A 30904-2025</t>
        </is>
      </c>
      <c r="B231" t="inlineStr">
        <is>
          <t>avverkningsanmälan</t>
        </is>
      </c>
      <c r="C231" t="inlineStr">
        <is>
          <t>Föryngringsavverkning</t>
        </is>
      </c>
      <c r="D231" s="1" t="n">
        <v>45832</v>
      </c>
      <c r="E231" s="1" t="n">
        <v>46319</v>
      </c>
      <c r="F231" t="inlineStr">
        <is>
          <t>DALARNAS LÄN</t>
        </is>
      </c>
      <c r="G231" t="inlineStr">
        <is>
          <t>MORA</t>
        </is>
      </c>
      <c r="I231" t="n">
        <v>6.6</v>
      </c>
      <c r="J231" t="n">
        <v>4</v>
      </c>
      <c r="K231" t="n">
        <v>2</v>
      </c>
      <c r="L231" t="n">
        <v>5</v>
      </c>
      <c r="M231" t="n">
        <v>1</v>
      </c>
      <c r="N231" t="n">
        <v>0</v>
      </c>
      <c r="O231" t="n">
        <v>0</v>
      </c>
      <c r="P231" t="n">
        <v>0</v>
      </c>
      <c r="Q231" t="n">
        <v>6</v>
      </c>
      <c r="R231" t="n">
        <v>1</v>
      </c>
      <c r="S231" t="n">
        <v>11</v>
      </c>
      <c r="T231" t="n">
        <v>154</v>
      </c>
      <c r="U231" t="n">
        <v>153</v>
      </c>
      <c r="V231" s="2" t="inlineStr">
        <is>
          <t>Garnlav
Talltagel
Tallticka
Talltita
Vedflamlav
Vedskivlav
Mindre märgborre
Vågbandad barkbock
Spillkråka
Tjäder
Kungsfågel</t>
        </is>
      </c>
      <c r="W231">
        <f>HYPERLINK("https://klasma.github.io/Logging_2062/artfynd/A 30904-2025 artfynd.xlsx", "A 30904-2025")</f>
        <v/>
      </c>
      <c r="X231">
        <f>HYPERLINK("https://klasma.github.io/Logging_2062/kartor/A 30904-2025 karta.png", "A 30904-2025")</f>
        <v/>
      </c>
      <c r="Y231">
        <f>HYPERLINK("https://klasma.github.io/Logging_2062/kartor_geotiff/A 30904-2025 georefererad karta.tif", "A 30904-2025")</f>
        <v/>
      </c>
      <c r="AA231">
        <f>HYPERLINK("https://klasma.github.io/Logging_2062/klagomål/A 30904-2025 FSC-klagomål.docx", "A 30904-2025")</f>
        <v/>
      </c>
      <c r="AB231">
        <f>HYPERLINK("https://klasma.github.io/Logging_2062/klagomålsmail/A 30904-2025 FSC-klagomål mail.docx", "A 30904-2025")</f>
        <v/>
      </c>
      <c r="AC231">
        <f>HYPERLINK("https://klasma.github.io/Logging_2062/tillsyn/A 30904-2025 tillsynsbegäran.docx", "A 30904-2025")</f>
        <v/>
      </c>
      <c r="AD231">
        <f>HYPERLINK("https://klasma.github.io/Logging_2062/tillsynsmail/A 30904-2025 tillsynsbegäran mail.docx", "A 30904-2025")</f>
        <v/>
      </c>
      <c r="AE231">
        <f>HYPERLINK("https://klasma.github.io/Logging_2062/fåglar/A 30904-2025 prioriterade fågelarter.docx", "A 30904-2025")</f>
        <v/>
      </c>
    </row>
    <row r="232" ht="15" customHeight="1">
      <c r="A232" t="inlineStr">
        <is>
          <t>A 35041-2026</t>
        </is>
      </c>
      <c r="B232" t="inlineStr">
        <is>
          <t>avverkningsanmälan</t>
        </is>
      </c>
      <c r="C232" t="inlineStr">
        <is>
          <t>Föryngringsavverkning</t>
        </is>
      </c>
      <c r="D232" s="1" t="n">
        <v>46259</v>
      </c>
      <c r="E232" s="1" t="n">
        <v>46319</v>
      </c>
      <c r="F232" t="inlineStr">
        <is>
          <t>DALARNAS LÄN</t>
        </is>
      </c>
      <c r="G232" t="inlineStr">
        <is>
          <t>ORSA</t>
        </is>
      </c>
      <c r="H232" t="inlineStr">
        <is>
          <t>Allmännings- och besparingsskogar</t>
        </is>
      </c>
      <c r="I232" t="n">
        <v>8.6</v>
      </c>
      <c r="J232" t="n">
        <v>4</v>
      </c>
      <c r="K232" t="n">
        <v>1</v>
      </c>
      <c r="L232" t="n">
        <v>7</v>
      </c>
      <c r="M232" t="n">
        <v>1</v>
      </c>
      <c r="N232" t="n">
        <v>0</v>
      </c>
      <c r="O232" t="n">
        <v>0</v>
      </c>
      <c r="P232" t="n">
        <v>0</v>
      </c>
      <c r="Q232" t="n">
        <v>8</v>
      </c>
      <c r="R232" t="n">
        <v>1</v>
      </c>
      <c r="S232" t="n">
        <v>11</v>
      </c>
      <c r="T232" t="n">
        <v>39</v>
      </c>
      <c r="U232" t="n">
        <v>39</v>
      </c>
      <c r="V232" s="2" t="inlineStr">
        <is>
          <t>Garnlav
Doftskinn
Harticka
Lunglav
Skrovellav
Talltita
Tretåig hackspett
Violettgrå tagellav
Stuplav
Spillkråka
Tofsmes</t>
        </is>
      </c>
      <c r="W232">
        <f>HYPERLINK("https://klasma.github.io/Logging_2034/artfynd/A 35041-2026 artfynd.xlsx", "A 35041-2026")</f>
        <v/>
      </c>
      <c r="X232">
        <f>HYPERLINK("https://klasma.github.io/Logging_2034/kartor/A 35041-2026 karta.png", "A 35041-2026")</f>
        <v/>
      </c>
      <c r="Y232">
        <f>HYPERLINK("https://klasma.github.io/Logging_2034/kartor_geotiff/A 35041-2026 georefererad karta.tif", "A 35041-2026")</f>
        <v/>
      </c>
      <c r="AA232">
        <f>HYPERLINK("https://klasma.github.io/Logging_2034/klagomål/A 35041-2026 FSC-klagomål.docx", "A 35041-2026")</f>
        <v/>
      </c>
      <c r="AB232">
        <f>HYPERLINK("https://klasma.github.io/Logging_2034/klagomålsmail/A 35041-2026 FSC-klagomål mail.docx", "A 35041-2026")</f>
        <v/>
      </c>
      <c r="AC232">
        <f>HYPERLINK("https://klasma.github.io/Logging_2034/tillsyn/A 35041-2026 tillsynsbegäran.docx", "A 35041-2026")</f>
        <v/>
      </c>
      <c r="AD232">
        <f>HYPERLINK("https://klasma.github.io/Logging_2034/tillsynsmail/A 35041-2026 tillsynsbegäran mail.docx", "A 35041-2026")</f>
        <v/>
      </c>
      <c r="AE232">
        <f>HYPERLINK("https://klasma.github.io/Logging_2034/fåglar/A 35041-2026 prioriterade fågelarter.docx", "A 35041-2026")</f>
        <v/>
      </c>
    </row>
    <row r="233" ht="15" customHeight="1">
      <c r="A233" t="inlineStr">
        <is>
          <t>A 36032-2026</t>
        </is>
      </c>
      <c r="B233" t="inlineStr">
        <is>
          <t>avverkningsanmälan</t>
        </is>
      </c>
      <c r="C233" t="inlineStr">
        <is>
          <t>Föryngringsavverkning</t>
        </is>
      </c>
      <c r="D233" s="1" t="n">
        <v>46267</v>
      </c>
      <c r="E233" s="1" t="n">
        <v>46319</v>
      </c>
      <c r="F233" t="inlineStr">
        <is>
          <t>DALARNAS LÄN</t>
        </is>
      </c>
      <c r="G233" t="inlineStr">
        <is>
          <t>ÄLVDALEN</t>
        </is>
      </c>
      <c r="H233" t="inlineStr">
        <is>
          <t>Sveaskog</t>
        </is>
      </c>
      <c r="I233" t="n">
        <v>34.1</v>
      </c>
      <c r="J233" t="n">
        <v>2</v>
      </c>
      <c r="K233" t="n">
        <v>2</v>
      </c>
      <c r="L233" t="n">
        <v>9</v>
      </c>
      <c r="M233" t="n">
        <v>0</v>
      </c>
      <c r="N233" t="n">
        <v>0</v>
      </c>
      <c r="O233" t="n">
        <v>0</v>
      </c>
      <c r="P233" t="n">
        <v>0</v>
      </c>
      <c r="Q233" t="n">
        <v>9</v>
      </c>
      <c r="R233" t="n">
        <v>0</v>
      </c>
      <c r="S233" t="n">
        <v>11</v>
      </c>
      <c r="T233" t="n">
        <v>23</v>
      </c>
      <c r="U233" t="n">
        <v>13</v>
      </c>
      <c r="V233" s="2" t="inlineStr">
        <is>
          <t>Blå taggsvamp
Dropptaggsvamp
Kolflarnlav
Motaggsvamp
Mörk kolflarnlav
Orange taggsvamp
Skarp dropptaggsvamp
Skrovellav
Tretåig hackspett
Plattlummer
Tibast</t>
        </is>
      </c>
      <c r="W233">
        <f>HYPERLINK("https://klasma.github.io/Logging_2039/artfynd/A 36032-2026 artfynd.xlsx", "A 36032-2026")</f>
        <v/>
      </c>
      <c r="X233">
        <f>HYPERLINK("https://klasma.github.io/Logging_2039/kartor/A 36032-2026 karta.png", "A 36032-2026")</f>
        <v/>
      </c>
      <c r="Y233">
        <f>HYPERLINK("https://klasma.github.io/Logging_2039/kartor_geotiff/A 36032-2026 georefererad karta.tif", "A 36032-2026")</f>
        <v/>
      </c>
      <c r="AA233">
        <f>HYPERLINK("https://klasma.github.io/Logging_2039/klagomål/A 36032-2026 FSC-klagomål.docx", "A 36032-2026")</f>
        <v/>
      </c>
      <c r="AB233">
        <f>HYPERLINK("https://klasma.github.io/Logging_2039/klagomålsmail/A 36032-2026 FSC-klagomål mail.docx", "A 36032-2026")</f>
        <v/>
      </c>
      <c r="AC233">
        <f>HYPERLINK("https://klasma.github.io/Logging_2039/tillsyn/A 36032-2026 tillsynsbegäran.docx", "A 36032-2026")</f>
        <v/>
      </c>
      <c r="AD233">
        <f>HYPERLINK("https://klasma.github.io/Logging_2039/tillsynsmail/A 36032-2026 tillsynsbegäran mail.docx", "A 36032-2026")</f>
        <v/>
      </c>
      <c r="AE233">
        <f>HYPERLINK("https://klasma.github.io/Logging_2039/fåglar/A 36032-2026 prioriterade fågelarter.docx", "A 36032-2026")</f>
        <v/>
      </c>
    </row>
    <row r="234" ht="15" customHeight="1">
      <c r="A234" t="inlineStr">
        <is>
          <t>A 32232-2026</t>
        </is>
      </c>
      <c r="B234" t="inlineStr">
        <is>
          <t>avverkningsanmälan</t>
        </is>
      </c>
      <c r="C234" t="inlineStr">
        <is>
          <t>Föryngringsavverkning</t>
        </is>
      </c>
      <c r="D234" s="1" t="n">
        <v>46237</v>
      </c>
      <c r="E234" s="1" t="n">
        <v>46319</v>
      </c>
      <c r="F234" t="inlineStr">
        <is>
          <t>DALARNAS LÄN</t>
        </is>
      </c>
      <c r="G234" t="inlineStr">
        <is>
          <t>LEKSAND</t>
        </is>
      </c>
      <c r="I234" t="n">
        <v>6.1</v>
      </c>
      <c r="J234" t="n">
        <v>5</v>
      </c>
      <c r="K234" t="n">
        <v>1</v>
      </c>
      <c r="L234" t="n">
        <v>5</v>
      </c>
      <c r="M234" t="n">
        <v>2</v>
      </c>
      <c r="N234" t="n">
        <v>0</v>
      </c>
      <c r="O234" t="n">
        <v>0</v>
      </c>
      <c r="P234" t="n">
        <v>0</v>
      </c>
      <c r="Q234" t="n">
        <v>7</v>
      </c>
      <c r="R234" t="n">
        <v>2</v>
      </c>
      <c r="S234" t="n">
        <v>11</v>
      </c>
      <c r="T234" t="n">
        <v>84</v>
      </c>
      <c r="U234" t="n">
        <v>84</v>
      </c>
      <c r="V234" s="2" t="inlineStr">
        <is>
          <t>Garnlav
Knärot
Dropptaggsvamp
Kolflarnlav
Mörk kolflarnlav
Tretåig hackspett
Ullticka
Rävticka
Järpe
Spillkråka
Tjäder</t>
        </is>
      </c>
      <c r="W234">
        <f>HYPERLINK("https://klasma.github.io/Logging_2029/artfynd/A 32232-2026 artfynd.xlsx", "A 32232-2026")</f>
        <v/>
      </c>
      <c r="X234">
        <f>HYPERLINK("https://klasma.github.io/Logging_2029/kartor/A 32232-2026 karta.png", "A 32232-2026")</f>
        <v/>
      </c>
      <c r="Y234">
        <f>HYPERLINK("https://klasma.github.io/Logging_2029/kartor_geotiff/A 32232-2026 georefererad karta.tif", "A 32232-2026")</f>
        <v/>
      </c>
      <c r="Z234">
        <f>HYPERLINK("https://klasma.github.io/Logging_2029/knärot/A 32232-2026 karta knärot.png", "A 32232-2026")</f>
        <v/>
      </c>
      <c r="AA234">
        <f>HYPERLINK("https://klasma.github.io/Logging_2029/klagomål/A 32232-2026 FSC-klagomål.docx", "A 32232-2026")</f>
        <v/>
      </c>
      <c r="AB234">
        <f>HYPERLINK("https://klasma.github.io/Logging_2029/klagomålsmail/A 32232-2026 FSC-klagomål mail.docx", "A 32232-2026")</f>
        <v/>
      </c>
      <c r="AC234">
        <f>HYPERLINK("https://klasma.github.io/Logging_2029/tillsyn/A 32232-2026 tillsynsbegäran.docx", "A 32232-2026")</f>
        <v/>
      </c>
      <c r="AD234">
        <f>HYPERLINK("https://klasma.github.io/Logging_2029/tillsynsmail/A 32232-2026 tillsynsbegäran mail.docx", "A 32232-2026")</f>
        <v/>
      </c>
      <c r="AE234">
        <f>HYPERLINK("https://klasma.github.io/Logging_2029/fåglar/A 32232-2026 prioriterade fågelarter.docx", "A 32232-2026")</f>
        <v/>
      </c>
    </row>
    <row r="235" ht="15" customHeight="1">
      <c r="A235" t="inlineStr">
        <is>
          <t>A 31161-2025</t>
        </is>
      </c>
      <c r="B235" t="inlineStr">
        <is>
          <t>avverkningsanmälan</t>
        </is>
      </c>
      <c r="C235" t="inlineStr">
        <is>
          <t>Föryngringsavverkning</t>
        </is>
      </c>
      <c r="D235" s="1" t="n">
        <v>45832</v>
      </c>
      <c r="E235" s="1" t="n">
        <v>46319</v>
      </c>
      <c r="F235" t="inlineStr">
        <is>
          <t>DALARNAS LÄN</t>
        </is>
      </c>
      <c r="G235" t="inlineStr">
        <is>
          <t>ORSA</t>
        </is>
      </c>
      <c r="I235" t="n">
        <v>1.7</v>
      </c>
      <c r="J235" t="n">
        <v>6</v>
      </c>
      <c r="K235" t="n">
        <v>5</v>
      </c>
      <c r="L235" t="n">
        <v>1</v>
      </c>
      <c r="M235" t="n">
        <v>1</v>
      </c>
      <c r="N235" t="n">
        <v>0</v>
      </c>
      <c r="O235" t="n">
        <v>0</v>
      </c>
      <c r="P235" t="n">
        <v>0</v>
      </c>
      <c r="Q235" t="n">
        <v>2</v>
      </c>
      <c r="R235" t="n">
        <v>1</v>
      </c>
      <c r="S235" t="n">
        <v>11</v>
      </c>
      <c r="T235" t="n">
        <v>44</v>
      </c>
      <c r="U235" t="n">
        <v>44</v>
      </c>
      <c r="V235" s="2" t="inlineStr">
        <is>
          <t>Garnlav
Tretåig hackspett
Bronshjon
Gytterlav
Norrlandslav
Spindelblomster
Vågbandad barkbock
Spillkråka
Tjäder
Fläcknycklar
Revlummer</t>
        </is>
      </c>
      <c r="W235">
        <f>HYPERLINK("https://klasma.github.io/Logging_2034/artfynd/A 31161-2025 artfynd.xlsx", "A 31161-2025")</f>
        <v/>
      </c>
      <c r="X235">
        <f>HYPERLINK("https://klasma.github.io/Logging_2034/kartor/A 31161-2025 karta.png", "A 31161-2025")</f>
        <v/>
      </c>
      <c r="Y235">
        <f>HYPERLINK("https://klasma.github.io/Logging_2034/kartor_geotiff/A 31161-2025 georefererad karta.tif", "A 31161-2025")</f>
        <v/>
      </c>
      <c r="AA235">
        <f>HYPERLINK("https://klasma.github.io/Logging_2034/klagomål/A 31161-2025 FSC-klagomål.docx", "A 31161-2025")</f>
        <v/>
      </c>
      <c r="AB235">
        <f>HYPERLINK("https://klasma.github.io/Logging_2034/klagomålsmail/A 31161-2025 FSC-klagomål mail.docx", "A 31161-2025")</f>
        <v/>
      </c>
      <c r="AC235">
        <f>HYPERLINK("https://klasma.github.io/Logging_2034/tillsyn/A 31161-2025 tillsynsbegäran.docx", "A 31161-2025")</f>
        <v/>
      </c>
      <c r="AD235">
        <f>HYPERLINK("https://klasma.github.io/Logging_2034/tillsynsmail/A 31161-2025 tillsynsbegäran mail.docx", "A 31161-2025")</f>
        <v/>
      </c>
      <c r="AE235">
        <f>HYPERLINK("https://klasma.github.io/Logging_2034/fåglar/A 31161-2025 prioriterade fågelarter.docx", "A 31161-2025")</f>
        <v/>
      </c>
    </row>
    <row r="236" ht="15" customHeight="1">
      <c r="A236" t="inlineStr">
        <is>
          <t>A 31562-2025</t>
        </is>
      </c>
      <c r="B236" t="inlineStr">
        <is>
          <t>avverkningsanmälan</t>
        </is>
      </c>
      <c r="C236" t="inlineStr">
        <is>
          <t>Föryngringsavverkning</t>
        </is>
      </c>
      <c r="D236" s="1" t="n">
        <v>45833</v>
      </c>
      <c r="E236" s="1" t="n">
        <v>46319</v>
      </c>
      <c r="F236" t="inlineStr">
        <is>
          <t>DALARNAS LÄN</t>
        </is>
      </c>
      <c r="G236" t="inlineStr">
        <is>
          <t>MORA</t>
        </is>
      </c>
      <c r="I236" t="n">
        <v>12.4</v>
      </c>
      <c r="J236" t="n">
        <v>4</v>
      </c>
      <c r="K236" t="n">
        <v>3</v>
      </c>
      <c r="L236" t="n">
        <v>5</v>
      </c>
      <c r="M236" t="n">
        <v>2</v>
      </c>
      <c r="N236" t="n">
        <v>0</v>
      </c>
      <c r="O236" t="n">
        <v>0</v>
      </c>
      <c r="P236" t="n">
        <v>0</v>
      </c>
      <c r="Q236" t="n">
        <v>7</v>
      </c>
      <c r="R236" t="n">
        <v>2</v>
      </c>
      <c r="S236" t="n">
        <v>11</v>
      </c>
      <c r="T236" t="n">
        <v>24</v>
      </c>
      <c r="U236" t="n">
        <v>24</v>
      </c>
      <c r="V236" s="2" t="inlineStr">
        <is>
          <t>Garnlav
Knärot
Kattfotslav
Tallticka
Talltita
Tretåig hackspett
Vitgrynig nållav
Mindre märgborre
Nästlav
Thomsons trägnagare
Fläcknycklar</t>
        </is>
      </c>
      <c r="W236">
        <f>HYPERLINK("https://klasma.github.io/Logging_2062/artfynd/A 31562-2025 artfynd.xlsx", "A 31562-2025")</f>
        <v/>
      </c>
      <c r="X236">
        <f>HYPERLINK("https://klasma.github.io/Logging_2062/kartor/A 31562-2025 karta.png", "A 31562-2025")</f>
        <v/>
      </c>
      <c r="Y236">
        <f>HYPERLINK("https://klasma.github.io/Logging_2062/kartor_geotiff/A 31562-2025 georefererad karta.tif", "A 31562-2025")</f>
        <v/>
      </c>
      <c r="Z236">
        <f>HYPERLINK("https://klasma.github.io/Logging_2062/knärot/A 31562-2025 karta knärot.png", "A 31562-2025")</f>
        <v/>
      </c>
      <c r="AA236">
        <f>HYPERLINK("https://klasma.github.io/Logging_2062/klagomål/A 31562-2025 FSC-klagomål.docx", "A 31562-2025")</f>
        <v/>
      </c>
      <c r="AB236">
        <f>HYPERLINK("https://klasma.github.io/Logging_2062/klagomålsmail/A 31562-2025 FSC-klagomål mail.docx", "A 31562-2025")</f>
        <v/>
      </c>
      <c r="AC236">
        <f>HYPERLINK("https://klasma.github.io/Logging_2062/tillsyn/A 31562-2025 tillsynsbegäran.docx", "A 31562-2025")</f>
        <v/>
      </c>
      <c r="AD236">
        <f>HYPERLINK("https://klasma.github.io/Logging_2062/tillsynsmail/A 31562-2025 tillsynsbegäran mail.docx", "A 31562-2025")</f>
        <v/>
      </c>
      <c r="AE236">
        <f>HYPERLINK("https://klasma.github.io/Logging_2062/fåglar/A 31562-2025 prioriterade fågelarter.docx", "A 31562-2025")</f>
        <v/>
      </c>
    </row>
    <row r="237" ht="15" customHeight="1">
      <c r="A237" t="inlineStr">
        <is>
          <t>A 49064-2025</t>
        </is>
      </c>
      <c r="B237" t="inlineStr">
        <is>
          <t>avverkningsanmälan</t>
        </is>
      </c>
      <c r="C237" t="inlineStr">
        <is>
          <t>Föryngringsavverkning</t>
        </is>
      </c>
      <c r="D237" s="1" t="n">
        <v>45937</v>
      </c>
      <c r="E237" s="1" t="n">
        <v>46319</v>
      </c>
      <c r="F237" t="inlineStr">
        <is>
          <t>DALARNAS LÄN</t>
        </is>
      </c>
      <c r="G237" t="inlineStr">
        <is>
          <t>ÄLVDALEN</t>
        </is>
      </c>
      <c r="H237" t="inlineStr">
        <is>
          <t>Allmännings- och besparingsskogar</t>
        </is>
      </c>
      <c r="I237" t="n">
        <v>16.7</v>
      </c>
      <c r="J237" t="n">
        <v>4</v>
      </c>
      <c r="K237" t="n">
        <v>1</v>
      </c>
      <c r="L237" t="n">
        <v>6</v>
      </c>
      <c r="M237" t="n">
        <v>1</v>
      </c>
      <c r="N237" t="n">
        <v>0</v>
      </c>
      <c r="O237" t="n">
        <v>0</v>
      </c>
      <c r="P237" t="n">
        <v>0</v>
      </c>
      <c r="Q237" t="n">
        <v>7</v>
      </c>
      <c r="R237" t="n">
        <v>1</v>
      </c>
      <c r="S237" t="n">
        <v>11</v>
      </c>
      <c r="T237" t="n">
        <v>147</v>
      </c>
      <c r="U237" t="n">
        <v>147</v>
      </c>
      <c r="V237" s="2" t="inlineStr">
        <is>
          <t>Garnlav
Dropptaggsvamp
Kolflarnlav
Mörk kolflarnlav
Talltita
Vedflamlav
Vedskivlav
Mindre märgborre
Spillkråka
Tjäder
Kungsfågel</t>
        </is>
      </c>
      <c r="W237">
        <f>HYPERLINK("https://klasma.github.io/Logging_2039/artfynd/A 49064-2025 artfynd.xlsx", "A 49064-2025")</f>
        <v/>
      </c>
      <c r="X237">
        <f>HYPERLINK("https://klasma.github.io/Logging_2039/kartor/A 49064-2025 karta.png", "A 49064-2025")</f>
        <v/>
      </c>
      <c r="Y237">
        <f>HYPERLINK("https://klasma.github.io/Logging_2039/kartor_geotiff/A 49064-2025 georefererad karta.tif", "A 49064-2025")</f>
        <v/>
      </c>
      <c r="AA237">
        <f>HYPERLINK("https://klasma.github.io/Logging_2039/klagomål/A 49064-2025 FSC-klagomål.docx", "A 49064-2025")</f>
        <v/>
      </c>
      <c r="AB237">
        <f>HYPERLINK("https://klasma.github.io/Logging_2039/klagomålsmail/A 49064-2025 FSC-klagomål mail.docx", "A 49064-2025")</f>
        <v/>
      </c>
      <c r="AC237">
        <f>HYPERLINK("https://klasma.github.io/Logging_2039/tillsyn/A 49064-2025 tillsynsbegäran.docx", "A 49064-2025")</f>
        <v/>
      </c>
      <c r="AD237">
        <f>HYPERLINK("https://klasma.github.io/Logging_2039/tillsynsmail/A 49064-2025 tillsynsbegäran mail.docx", "A 49064-2025")</f>
        <v/>
      </c>
      <c r="AE237">
        <f>HYPERLINK("https://klasma.github.io/Logging_2039/fåglar/A 49064-2025 prioriterade fågelarter.docx", "A 49064-2025")</f>
        <v/>
      </c>
    </row>
    <row r="238" ht="15" customHeight="1">
      <c r="A238" t="inlineStr">
        <is>
          <t>A 39759-2025</t>
        </is>
      </c>
      <c r="B238" t="inlineStr">
        <is>
          <t>avverkningsanmälan</t>
        </is>
      </c>
      <c r="C238" t="inlineStr">
        <is>
          <t>Föryngringsavverkning</t>
        </is>
      </c>
      <c r="D238" s="1" t="n">
        <v>45891</v>
      </c>
      <c r="E238" s="1" t="n">
        <v>46319</v>
      </c>
      <c r="F238" t="inlineStr">
        <is>
          <t>DALARNAS LÄN</t>
        </is>
      </c>
      <c r="G238" t="inlineStr">
        <is>
          <t>ÄLVDALEN</t>
        </is>
      </c>
      <c r="I238" t="n">
        <v>6.6</v>
      </c>
      <c r="J238" t="n">
        <v>4</v>
      </c>
      <c r="K238" t="n">
        <v>1</v>
      </c>
      <c r="L238" t="n">
        <v>6</v>
      </c>
      <c r="M238" t="n">
        <v>1</v>
      </c>
      <c r="N238" t="n">
        <v>0</v>
      </c>
      <c r="O238" t="n">
        <v>0</v>
      </c>
      <c r="P238" t="n">
        <v>0</v>
      </c>
      <c r="Q238" t="n">
        <v>7</v>
      </c>
      <c r="R238" t="n">
        <v>1</v>
      </c>
      <c r="S238" t="n">
        <v>11</v>
      </c>
      <c r="T238" t="n">
        <v>45</v>
      </c>
      <c r="U238" t="n">
        <v>45</v>
      </c>
      <c r="V238" s="2" t="inlineStr">
        <is>
          <t>Garnlav
Dropptaggsvamp
Fjällig taggsvamp s.str.
Kolflarnlav
Mörk kolflarnlav
Talltita
Violettgrå tagellav
Trådticka
Spillkråka
Kungsfågel
Revlummer</t>
        </is>
      </c>
      <c r="W238">
        <f>HYPERLINK("https://klasma.github.io/Logging_2039/artfynd/A 39759-2025 artfynd.xlsx", "A 39759-2025")</f>
        <v/>
      </c>
      <c r="X238">
        <f>HYPERLINK("https://klasma.github.io/Logging_2039/kartor/A 39759-2025 karta.png", "A 39759-2025")</f>
        <v/>
      </c>
      <c r="Y238">
        <f>HYPERLINK("https://klasma.github.io/Logging_2039/kartor_geotiff/A 39759-2025 georefererad karta.tif", "A 39759-2025")</f>
        <v/>
      </c>
      <c r="AA238">
        <f>HYPERLINK("https://klasma.github.io/Logging_2039/klagomål/A 39759-2025 FSC-klagomål.docx", "A 39759-2025")</f>
        <v/>
      </c>
      <c r="AB238">
        <f>HYPERLINK("https://klasma.github.io/Logging_2039/klagomålsmail/A 39759-2025 FSC-klagomål mail.docx", "A 39759-2025")</f>
        <v/>
      </c>
      <c r="AC238">
        <f>HYPERLINK("https://klasma.github.io/Logging_2039/tillsyn/A 39759-2025 tillsynsbegäran.docx", "A 39759-2025")</f>
        <v/>
      </c>
      <c r="AD238">
        <f>HYPERLINK("https://klasma.github.io/Logging_2039/tillsynsmail/A 39759-2025 tillsynsbegäran mail.docx", "A 39759-2025")</f>
        <v/>
      </c>
      <c r="AE238">
        <f>HYPERLINK("https://klasma.github.io/Logging_2039/fåglar/A 39759-2025 prioriterade fågelarter.docx", "A 39759-2025")</f>
        <v/>
      </c>
    </row>
    <row r="239" ht="15" customHeight="1">
      <c r="A239" t="inlineStr">
        <is>
          <t>A 63676-2025</t>
        </is>
      </c>
      <c r="B239" t="inlineStr">
        <is>
          <t>avverkningsanmälan</t>
        </is>
      </c>
      <c r="C239" t="inlineStr">
        <is>
          <t>Föryngringsavverkning</t>
        </is>
      </c>
      <c r="D239" s="1" t="n">
        <v>46014</v>
      </c>
      <c r="E239" s="1" t="n">
        <v>46319</v>
      </c>
      <c r="F239" t="inlineStr">
        <is>
          <t>DALARNAS LÄN</t>
        </is>
      </c>
      <c r="G239" t="inlineStr">
        <is>
          <t>VANSBRO</t>
        </is>
      </c>
      <c r="I239" t="n">
        <v>12.3</v>
      </c>
      <c r="J239" t="n">
        <v>4</v>
      </c>
      <c r="K239" t="n">
        <v>1</v>
      </c>
      <c r="L239" t="n">
        <v>6</v>
      </c>
      <c r="M239" t="n">
        <v>1</v>
      </c>
      <c r="N239" t="n">
        <v>0</v>
      </c>
      <c r="O239" t="n">
        <v>0</v>
      </c>
      <c r="P239" t="n">
        <v>0</v>
      </c>
      <c r="Q239" t="n">
        <v>7</v>
      </c>
      <c r="R239" t="n">
        <v>1</v>
      </c>
      <c r="S239" t="n">
        <v>11</v>
      </c>
      <c r="T239" t="n">
        <v>37</v>
      </c>
      <c r="U239" t="n">
        <v>0</v>
      </c>
      <c r="V239" s="2" t="inlineStr">
        <is>
          <t>Garnlav
Dropptaggsvamp
Kolflarnlav
Mörk kolflarnlav
Tallticka
Tretåig hackspett
Vaddporing
Mindre märgborre
Spillkråka
Tjäder
Revlummer</t>
        </is>
      </c>
      <c r="W239">
        <f>HYPERLINK("https://klasma.github.io/Logging_2021/artfynd/A 63676-2025 artfynd.xlsx", "A 63676-2025")</f>
        <v/>
      </c>
      <c r="X239">
        <f>HYPERLINK("https://klasma.github.io/Logging_2021/kartor/A 63676-2025 karta.png", "A 63676-2025")</f>
        <v/>
      </c>
      <c r="Y239">
        <f>HYPERLINK("https://klasma.github.io/Logging_2021/kartor_geotiff/A 63676-2025 georefererad karta.tif", "A 63676-2025")</f>
        <v/>
      </c>
      <c r="AA239">
        <f>HYPERLINK("https://klasma.github.io/Logging_2021/klagomål/A 63676-2025 FSC-klagomål.docx", "A 63676-2025")</f>
        <v/>
      </c>
      <c r="AB239">
        <f>HYPERLINK("https://klasma.github.io/Logging_2021/klagomålsmail/A 63676-2025 FSC-klagomål mail.docx", "A 63676-2025")</f>
        <v/>
      </c>
      <c r="AC239">
        <f>HYPERLINK("https://klasma.github.io/Logging_2021/tillsyn/A 63676-2025 tillsynsbegäran.docx", "A 63676-2025")</f>
        <v/>
      </c>
      <c r="AD239">
        <f>HYPERLINK("https://klasma.github.io/Logging_2021/tillsynsmail/A 63676-2025 tillsynsbegäran mail.docx", "A 63676-2025")</f>
        <v/>
      </c>
      <c r="AE239">
        <f>HYPERLINK("https://klasma.github.io/Logging_2021/fåglar/A 63676-2025 prioriterade fågelarter.docx", "A 63676-2025")</f>
        <v/>
      </c>
    </row>
    <row r="240" ht="15" customHeight="1">
      <c r="A240" t="inlineStr">
        <is>
          <t>A 22907-2025</t>
        </is>
      </c>
      <c r="B240" t="inlineStr">
        <is>
          <t>avverkningsanmälan</t>
        </is>
      </c>
      <c r="C240" t="inlineStr">
        <is>
          <t>Föryngringsavverkning</t>
        </is>
      </c>
      <c r="D240" s="1" t="n">
        <v>45790</v>
      </c>
      <c r="E240" s="1" t="n">
        <v>46319</v>
      </c>
      <c r="F240" t="inlineStr">
        <is>
          <t>DALARNAS LÄN</t>
        </is>
      </c>
      <c r="G240" t="inlineStr">
        <is>
          <t>BORLÄNGE</t>
        </is>
      </c>
      <c r="I240" t="n">
        <v>10</v>
      </c>
      <c r="J240" t="n">
        <v>7</v>
      </c>
      <c r="K240" t="n">
        <v>2</v>
      </c>
      <c r="L240" t="n">
        <v>1</v>
      </c>
      <c r="M240" t="n">
        <v>3</v>
      </c>
      <c r="N240" t="n">
        <v>0</v>
      </c>
      <c r="O240" t="n">
        <v>0</v>
      </c>
      <c r="P240" t="n">
        <v>0</v>
      </c>
      <c r="Q240" t="n">
        <v>4</v>
      </c>
      <c r="R240" t="n">
        <v>3</v>
      </c>
      <c r="S240" t="n">
        <v>11</v>
      </c>
      <c r="T240" t="n">
        <v>33</v>
      </c>
      <c r="U240" t="n">
        <v>26</v>
      </c>
      <c r="V240" s="2" t="inlineStr">
        <is>
          <t>Garnlav
Gräddporing
Knärot
Violettgrå tagellav
Mindre märgborre
Spindelblomster
Järpe
Mattlummer
Spillkråka
Tjäder
Fläcknycklar</t>
        </is>
      </c>
      <c r="W240">
        <f>HYPERLINK("https://klasma.github.io/Logging_2081/artfynd/A 22907-2025 artfynd.xlsx", "A 22907-2025")</f>
        <v/>
      </c>
      <c r="X240">
        <f>HYPERLINK("https://klasma.github.io/Logging_2081/kartor/A 22907-2025 karta.png", "A 22907-2025")</f>
        <v/>
      </c>
      <c r="Y240">
        <f>HYPERLINK("https://klasma.github.io/Logging_2081/kartor_geotiff/A 22907-2025 georefererad karta.tif", "A 22907-2025")</f>
        <v/>
      </c>
      <c r="Z240">
        <f>HYPERLINK("https://klasma.github.io/Logging_2081/knärot/A 22907-2025 karta knärot.png", "A 22907-2025")</f>
        <v/>
      </c>
      <c r="AA240">
        <f>HYPERLINK("https://klasma.github.io/Logging_2081/klagomål/A 22907-2025 FSC-klagomål.docx", "A 22907-2025")</f>
        <v/>
      </c>
      <c r="AB240">
        <f>HYPERLINK("https://klasma.github.io/Logging_2081/klagomålsmail/A 22907-2025 FSC-klagomål mail.docx", "A 22907-2025")</f>
        <v/>
      </c>
      <c r="AC240">
        <f>HYPERLINK("https://klasma.github.io/Logging_2081/tillsyn/A 22907-2025 tillsynsbegäran.docx", "A 22907-2025")</f>
        <v/>
      </c>
      <c r="AD240">
        <f>HYPERLINK("https://klasma.github.io/Logging_2081/tillsynsmail/A 22907-2025 tillsynsbegäran mail.docx", "A 22907-2025")</f>
        <v/>
      </c>
      <c r="AE240">
        <f>HYPERLINK("https://klasma.github.io/Logging_2081/fåglar/A 22907-2025 prioriterade fågelarter.docx", "A 22907-2025")</f>
        <v/>
      </c>
    </row>
    <row r="241" ht="15" customHeight="1">
      <c r="A241" t="inlineStr">
        <is>
          <t>A 34868-2026</t>
        </is>
      </c>
      <c r="B241" t="inlineStr">
        <is>
          <t>avverkningsanmälan</t>
        </is>
      </c>
      <c r="C241" t="inlineStr">
        <is>
          <t>Föryngringsavverkning</t>
        </is>
      </c>
      <c r="D241" s="1" t="n">
        <v>46258</v>
      </c>
      <c r="E241" s="1" t="n">
        <v>46319</v>
      </c>
      <c r="F241" t="inlineStr">
        <is>
          <t>DALARNAS LÄN</t>
        </is>
      </c>
      <c r="G241" t="inlineStr">
        <is>
          <t>FALUN</t>
        </is>
      </c>
      <c r="I241" t="n">
        <v>14.4</v>
      </c>
      <c r="J241" t="n">
        <v>5</v>
      </c>
      <c r="K241" t="n">
        <v>4</v>
      </c>
      <c r="L241" t="n">
        <v>3</v>
      </c>
      <c r="M241" t="n">
        <v>1</v>
      </c>
      <c r="N241" t="n">
        <v>0</v>
      </c>
      <c r="O241" t="n">
        <v>0</v>
      </c>
      <c r="P241" t="n">
        <v>0</v>
      </c>
      <c r="Q241" t="n">
        <v>4</v>
      </c>
      <c r="R241" t="n">
        <v>1</v>
      </c>
      <c r="S241" t="n">
        <v>11</v>
      </c>
      <c r="T241" t="n">
        <v>83</v>
      </c>
      <c r="U241" t="n">
        <v>17</v>
      </c>
      <c r="V241" s="2" t="inlineStr">
        <is>
          <t>Knärot
Rosenticka
Rynkskinn
Ullticka
Bronshjon
Mindre märgborre
Plattlummer
Thomsons trägnagare
Spillkråka
Tjäder
Revlummer</t>
        </is>
      </c>
      <c r="W241">
        <f>HYPERLINK("https://klasma.github.io/Logging_2080/artfynd/A 34868-2026 artfynd.xlsx", "A 34868-2026")</f>
        <v/>
      </c>
      <c r="X241">
        <f>HYPERLINK("https://klasma.github.io/Logging_2080/kartor/A 34868-2026 karta.png", "A 34868-2026")</f>
        <v/>
      </c>
      <c r="Y241">
        <f>HYPERLINK("https://klasma.github.io/Logging_2080/kartor_geotiff/A 34868-2026 georefererad karta.tif", "A 34868-2026")</f>
        <v/>
      </c>
      <c r="Z241">
        <f>HYPERLINK("https://klasma.github.io/Logging_2080/knärot/A 34868-2026 karta knärot.png", "A 34868-2026")</f>
        <v/>
      </c>
      <c r="AA241">
        <f>HYPERLINK("https://klasma.github.io/Logging_2080/klagomål/A 34868-2026 FSC-klagomål.docx", "A 34868-2026")</f>
        <v/>
      </c>
      <c r="AB241">
        <f>HYPERLINK("https://klasma.github.io/Logging_2080/klagomålsmail/A 34868-2026 FSC-klagomål mail.docx", "A 34868-2026")</f>
        <v/>
      </c>
      <c r="AC241">
        <f>HYPERLINK("https://klasma.github.io/Logging_2080/tillsyn/A 34868-2026 tillsynsbegäran.docx", "A 34868-2026")</f>
        <v/>
      </c>
      <c r="AD241">
        <f>HYPERLINK("https://klasma.github.io/Logging_2080/tillsynsmail/A 34868-2026 tillsynsbegäran mail.docx", "A 34868-2026")</f>
        <v/>
      </c>
      <c r="AE241">
        <f>HYPERLINK("https://klasma.github.io/Logging_2080/fåglar/A 34868-2026 prioriterade fågelarter.docx", "A 34868-2026")</f>
        <v/>
      </c>
    </row>
    <row r="242" ht="15" customHeight="1">
      <c r="A242" t="inlineStr">
        <is>
          <t>A 33677-2026</t>
        </is>
      </c>
      <c r="B242" t="inlineStr">
        <is>
          <t>avverkningsanmälan</t>
        </is>
      </c>
      <c r="C242" t="inlineStr">
        <is>
          <t>Föryngringsavverkning</t>
        </is>
      </c>
      <c r="D242" s="1" t="n">
        <v>46248</v>
      </c>
      <c r="E242" s="1" t="n">
        <v>46319</v>
      </c>
      <c r="F242" t="inlineStr">
        <is>
          <t>DALARNAS LÄN</t>
        </is>
      </c>
      <c r="G242" t="inlineStr">
        <is>
          <t>BORLÄNGE</t>
        </is>
      </c>
      <c r="I242" t="n">
        <v>1.2</v>
      </c>
      <c r="J242" t="n">
        <v>4</v>
      </c>
      <c r="K242" t="n">
        <v>3</v>
      </c>
      <c r="L242" t="n">
        <v>3</v>
      </c>
      <c r="M242" t="n">
        <v>1</v>
      </c>
      <c r="N242" t="n">
        <v>0</v>
      </c>
      <c r="O242" t="n">
        <v>0</v>
      </c>
      <c r="P242" t="n">
        <v>0</v>
      </c>
      <c r="Q242" t="n">
        <v>4</v>
      </c>
      <c r="R242" t="n">
        <v>1</v>
      </c>
      <c r="S242" t="n">
        <v>11</v>
      </c>
      <c r="T242" t="n">
        <v>29</v>
      </c>
      <c r="U242" t="n">
        <v>29</v>
      </c>
      <c r="V242" s="2" t="inlineStr">
        <is>
          <t>Knärot
Barrviolspindling
Bivråk
Tretåig hackspett
Bronshjon
Thomsons trägnagare
Vågbandad barkbock
Blå praktbagge
Blåsippa
Hultbräken
Kransmossa</t>
        </is>
      </c>
      <c r="W242">
        <f>HYPERLINK("https://klasma.github.io/Logging_2081/artfynd/A 33677-2026 artfynd.xlsx", "A 33677-2026")</f>
        <v/>
      </c>
      <c r="X242">
        <f>HYPERLINK("https://klasma.github.io/Logging_2081/kartor/A 33677-2026 karta.png", "A 33677-2026")</f>
        <v/>
      </c>
      <c r="Y242">
        <f>HYPERLINK("https://klasma.github.io/Logging_2081/kartor_geotiff/A 33677-2026 georefererad karta.tif", "A 33677-2026")</f>
        <v/>
      </c>
      <c r="Z242">
        <f>HYPERLINK("https://klasma.github.io/Logging_2081/knärot/A 33677-2026 karta knärot.png", "A 33677-2026")</f>
        <v/>
      </c>
      <c r="AA242">
        <f>HYPERLINK("https://klasma.github.io/Logging_2081/klagomål/A 33677-2026 FSC-klagomål.docx", "A 33677-2026")</f>
        <v/>
      </c>
      <c r="AB242">
        <f>HYPERLINK("https://klasma.github.io/Logging_2081/klagomålsmail/A 33677-2026 FSC-klagomål mail.docx", "A 33677-2026")</f>
        <v/>
      </c>
      <c r="AC242">
        <f>HYPERLINK("https://klasma.github.io/Logging_2081/tillsyn/A 33677-2026 tillsynsbegäran.docx", "A 33677-2026")</f>
        <v/>
      </c>
      <c r="AD242">
        <f>HYPERLINK("https://klasma.github.io/Logging_2081/tillsynsmail/A 33677-2026 tillsynsbegäran mail.docx", "A 33677-2026")</f>
        <v/>
      </c>
      <c r="AE242">
        <f>HYPERLINK("https://klasma.github.io/Logging_2081/fåglar/A 33677-2026 prioriterade fågelarter.docx", "A 33677-2026")</f>
        <v/>
      </c>
    </row>
    <row r="243" ht="15" customHeight="1">
      <c r="A243" t="inlineStr">
        <is>
          <t>A 51305-2023</t>
        </is>
      </c>
      <c r="B243" t="inlineStr">
        <is>
          <t>avverkningsanmälan</t>
        </is>
      </c>
      <c r="C243" t="inlineStr">
        <is>
          <t>Föryngringsavverkning</t>
        </is>
      </c>
      <c r="D243" s="1" t="n">
        <v>45219</v>
      </c>
      <c r="E243" s="1" t="n">
        <v>46319</v>
      </c>
      <c r="F243" t="inlineStr">
        <is>
          <t>DALARNAS LÄN</t>
        </is>
      </c>
      <c r="G243" t="inlineStr">
        <is>
          <t>ORSA</t>
        </is>
      </c>
      <c r="I243" t="n">
        <v>1.3</v>
      </c>
      <c r="J243" t="n">
        <v>6</v>
      </c>
      <c r="K243" t="n">
        <v>2</v>
      </c>
      <c r="L243" t="n">
        <v>5</v>
      </c>
      <c r="M243" t="n">
        <v>1</v>
      </c>
      <c r="N243" t="n">
        <v>0</v>
      </c>
      <c r="O243" t="n">
        <v>0</v>
      </c>
      <c r="P243" t="n">
        <v>0</v>
      </c>
      <c r="Q243" t="n">
        <v>6</v>
      </c>
      <c r="R243" t="n">
        <v>1</v>
      </c>
      <c r="S243" t="n">
        <v>11</v>
      </c>
      <c r="T243" t="n">
        <v>27</v>
      </c>
      <c r="U243" t="n">
        <v>27</v>
      </c>
      <c r="V243" s="2" t="inlineStr">
        <is>
          <t>Garnlav
Entita
Ladusvala
Talltagel
Tallticka
Tretåig hackspett
Bronshjon
Mindre märgborre
Spillkråka
Tofsmes
Ärtsångare</t>
        </is>
      </c>
      <c r="W243">
        <f>HYPERLINK("https://klasma.github.io/Logging_2034/artfynd/A 51305-2023 artfynd.xlsx", "A 51305-2023")</f>
        <v/>
      </c>
      <c r="X243">
        <f>HYPERLINK("https://klasma.github.io/Logging_2034/kartor/A 51305-2023 karta.png", "A 51305-2023")</f>
        <v/>
      </c>
      <c r="Y243">
        <f>HYPERLINK("https://klasma.github.io/Logging_2034/kartor_geotiff/A 51305-2023 georefererad karta.tif", "A 51305-2023")</f>
        <v/>
      </c>
      <c r="AA243">
        <f>HYPERLINK("https://klasma.github.io/Logging_2034/klagomål/A 51305-2023 FSC-klagomål.docx", "A 51305-2023")</f>
        <v/>
      </c>
      <c r="AB243">
        <f>HYPERLINK("https://klasma.github.io/Logging_2034/klagomålsmail/A 51305-2023 FSC-klagomål mail.docx", "A 51305-2023")</f>
        <v/>
      </c>
      <c r="AC243">
        <f>HYPERLINK("https://klasma.github.io/Logging_2034/tillsyn/A 51305-2023 tillsynsbegäran.docx", "A 51305-2023")</f>
        <v/>
      </c>
      <c r="AD243">
        <f>HYPERLINK("https://klasma.github.io/Logging_2034/tillsynsmail/A 51305-2023 tillsynsbegäran mail.docx", "A 51305-2023")</f>
        <v/>
      </c>
      <c r="AE243">
        <f>HYPERLINK("https://klasma.github.io/Logging_2034/fåglar/A 51305-2023 prioriterade fågelarter.docx", "A 51305-2023")</f>
        <v/>
      </c>
    </row>
    <row r="244" ht="15" customHeight="1">
      <c r="A244" t="inlineStr">
        <is>
          <t>A 59665-2022</t>
        </is>
      </c>
      <c r="B244" t="inlineStr">
        <is>
          <t>avverkningsanmälan</t>
        </is>
      </c>
      <c r="C244" t="inlineStr">
        <is>
          <t>Föryngringsavverkning</t>
        </is>
      </c>
      <c r="D244" s="1" t="n">
        <v>44908</v>
      </c>
      <c r="E244" s="1" t="n">
        <v>46319</v>
      </c>
      <c r="F244" t="inlineStr">
        <is>
          <t>DALARNAS LÄN</t>
        </is>
      </c>
      <c r="G244" t="inlineStr">
        <is>
          <t>BORLÄNGE</t>
        </is>
      </c>
      <c r="I244" t="n">
        <v>16.1</v>
      </c>
      <c r="J244" t="n">
        <v>3</v>
      </c>
      <c r="K244" t="n">
        <v>1</v>
      </c>
      <c r="L244" t="n">
        <v>6</v>
      </c>
      <c r="M244" t="n">
        <v>2</v>
      </c>
      <c r="N244" t="n">
        <v>0</v>
      </c>
      <c r="O244" t="n">
        <v>0</v>
      </c>
      <c r="P244" t="n">
        <v>0</v>
      </c>
      <c r="Q244" t="n">
        <v>8</v>
      </c>
      <c r="R244" t="n">
        <v>2</v>
      </c>
      <c r="S244" t="n">
        <v>11</v>
      </c>
      <c r="T244" t="n">
        <v>21</v>
      </c>
      <c r="U244" t="n">
        <v>8</v>
      </c>
      <c r="V244" s="2" t="inlineStr">
        <is>
          <t>Garnlav
Knärot
Dropptaggsvamp
Gammelgransskål
Halmgul örnlav
Mörk kolflarnlav
Vedskivlav
Vedtrappmossa
Barkkornlav
Tjäder
Fläcknycklar</t>
        </is>
      </c>
      <c r="W244">
        <f>HYPERLINK("https://klasma.github.io/Logging_2081/artfynd/A 59665-2022 artfynd.xlsx", "A 59665-2022")</f>
        <v/>
      </c>
      <c r="X244">
        <f>HYPERLINK("https://klasma.github.io/Logging_2081/kartor/A 59665-2022 karta.png", "A 59665-2022")</f>
        <v/>
      </c>
      <c r="Y244">
        <f>HYPERLINK("https://klasma.github.io/Logging_2081/kartor_geotiff/A 59665-2022 georefererad karta.tif", "A 59665-2022")</f>
        <v/>
      </c>
      <c r="Z244">
        <f>HYPERLINK("https://klasma.github.io/Logging_2081/knärot/A 59665-2022 karta knärot.png", "A 59665-2022")</f>
        <v/>
      </c>
      <c r="AA244">
        <f>HYPERLINK("https://klasma.github.io/Logging_2081/klagomål/A 59665-2022 FSC-klagomål.docx", "A 59665-2022")</f>
        <v/>
      </c>
      <c r="AB244">
        <f>HYPERLINK("https://klasma.github.io/Logging_2081/klagomålsmail/A 59665-2022 FSC-klagomål mail.docx", "A 59665-2022")</f>
        <v/>
      </c>
      <c r="AC244">
        <f>HYPERLINK("https://klasma.github.io/Logging_2081/tillsyn/A 59665-2022 tillsynsbegäran.docx", "A 59665-2022")</f>
        <v/>
      </c>
      <c r="AD244">
        <f>HYPERLINK("https://klasma.github.io/Logging_2081/tillsynsmail/A 59665-2022 tillsynsbegäran mail.docx", "A 59665-2022")</f>
        <v/>
      </c>
      <c r="AE244">
        <f>HYPERLINK("https://klasma.github.io/Logging_2081/fåglar/A 59665-2022 prioriterade fågelarter.docx", "A 59665-2022")</f>
        <v/>
      </c>
    </row>
    <row r="245" ht="15" customHeight="1">
      <c r="A245" t="inlineStr">
        <is>
          <t>A 57277-2024</t>
        </is>
      </c>
      <c r="B245" t="inlineStr">
        <is>
          <t>avverkningsanmälan</t>
        </is>
      </c>
      <c r="C245" t="inlineStr">
        <is>
          <t>Föryngringsavverkning</t>
        </is>
      </c>
      <c r="D245" s="1" t="n">
        <v>45629</v>
      </c>
      <c r="E245" s="1" t="n">
        <v>46319</v>
      </c>
      <c r="F245" t="inlineStr">
        <is>
          <t>DALARNAS LÄN</t>
        </is>
      </c>
      <c r="G245" t="inlineStr">
        <is>
          <t>LUDVIKA</t>
        </is>
      </c>
      <c r="H245" t="inlineStr">
        <is>
          <t>Naturvårdsverket</t>
        </is>
      </c>
      <c r="I245" t="n">
        <v>3.9</v>
      </c>
      <c r="J245" t="n">
        <v>1</v>
      </c>
      <c r="K245" t="n">
        <v>3</v>
      </c>
      <c r="L245" t="n">
        <v>5</v>
      </c>
      <c r="M245" t="n">
        <v>3</v>
      </c>
      <c r="N245" t="n">
        <v>0</v>
      </c>
      <c r="O245" t="n">
        <v>0</v>
      </c>
      <c r="P245" t="n">
        <v>0</v>
      </c>
      <c r="Q245" t="n">
        <v>8</v>
      </c>
      <c r="R245" t="n">
        <v>3</v>
      </c>
      <c r="S245" t="n">
        <v>11</v>
      </c>
      <c r="T245" t="n">
        <v>14</v>
      </c>
      <c r="U245" t="n">
        <v>0</v>
      </c>
      <c r="V245" s="2" t="inlineStr">
        <is>
          <t>Garnlav
Knärot
Skrovlig taggsvamp
Dropptaggsvamp
Dvärgbägarlav
Orange taggsvamp
Skarp dropptaggsvamp
Ullticka
Björksplintborre
Bollvitmossa
Mindre märgborre</t>
        </is>
      </c>
      <c r="W245">
        <f>HYPERLINK("https://klasma.github.io/Logging_2085/artfynd/A 57277-2024 artfynd.xlsx", "A 57277-2024")</f>
        <v/>
      </c>
      <c r="X245">
        <f>HYPERLINK("https://klasma.github.io/Logging_2085/kartor/A 57277-2024 karta.png", "A 57277-2024")</f>
        <v/>
      </c>
      <c r="Y245">
        <f>HYPERLINK("https://klasma.github.io/Logging_2085/kartor_geotiff/A 57277-2024 georefererad karta.tif", "A 57277-2024")</f>
        <v/>
      </c>
      <c r="Z245">
        <f>HYPERLINK("https://klasma.github.io/Logging_2085/knärot/A 57277-2024 karta knärot.png", "A 57277-2024")</f>
        <v/>
      </c>
      <c r="AA245">
        <f>HYPERLINK("https://klasma.github.io/Logging_2085/klagomål/A 57277-2024 FSC-klagomål.docx", "A 57277-2024")</f>
        <v/>
      </c>
      <c r="AB245">
        <f>HYPERLINK("https://klasma.github.io/Logging_2085/klagomålsmail/A 57277-2024 FSC-klagomål mail.docx", "A 57277-2024")</f>
        <v/>
      </c>
      <c r="AC245">
        <f>HYPERLINK("https://klasma.github.io/Logging_2085/tillsyn/A 57277-2024 tillsynsbegäran.docx", "A 57277-2024")</f>
        <v/>
      </c>
      <c r="AD245">
        <f>HYPERLINK("https://klasma.github.io/Logging_2085/tillsynsmail/A 57277-2024 tillsynsbegäran mail.docx", "A 57277-2024")</f>
        <v/>
      </c>
    </row>
    <row r="246" ht="15" customHeight="1">
      <c r="A246" t="inlineStr">
        <is>
          <t>A 61943-2024</t>
        </is>
      </c>
      <c r="B246" t="inlineStr">
        <is>
          <t>avverkningsanmälan</t>
        </is>
      </c>
      <c r="C246" t="inlineStr">
        <is>
          <t>Föryngringsavverkning</t>
        </is>
      </c>
      <c r="D246" s="1" t="n">
        <v>45653</v>
      </c>
      <c r="E246" s="1" t="n">
        <v>46319</v>
      </c>
      <c r="F246" t="inlineStr">
        <is>
          <t>DALARNAS LÄN</t>
        </is>
      </c>
      <c r="G246" t="inlineStr">
        <is>
          <t>MORA</t>
        </is>
      </c>
      <c r="I246" t="n">
        <v>4.3</v>
      </c>
      <c r="J246" t="n">
        <v>2</v>
      </c>
      <c r="K246" t="n">
        <v>1</v>
      </c>
      <c r="L246" t="n">
        <v>7</v>
      </c>
      <c r="M246" t="n">
        <v>1</v>
      </c>
      <c r="N246" t="n">
        <v>0</v>
      </c>
      <c r="O246" t="n">
        <v>0</v>
      </c>
      <c r="P246" t="n">
        <v>0</v>
      </c>
      <c r="Q246" t="n">
        <v>8</v>
      </c>
      <c r="R246" t="n">
        <v>1</v>
      </c>
      <c r="S246" t="n">
        <v>11</v>
      </c>
      <c r="T246" t="n">
        <v>86</v>
      </c>
      <c r="U246" t="n">
        <v>86</v>
      </c>
      <c r="V246" s="2" t="inlineStr">
        <is>
          <t>Garnlav
Dvärgbägarlav
Lunglav
Mörk kolflarnlav
Tallticka
Vedskivlav
Violettgrå tagellav
Vitgrynig nållav
Mindre märgborre
Spillkråka
Tjäder</t>
        </is>
      </c>
      <c r="W246">
        <f>HYPERLINK("https://klasma.github.io/Logging_2062/artfynd/A 61943-2024 artfynd.xlsx", "A 61943-2024")</f>
        <v/>
      </c>
      <c r="X246">
        <f>HYPERLINK("https://klasma.github.io/Logging_2062/kartor/A 61943-2024 karta.png", "A 61943-2024")</f>
        <v/>
      </c>
      <c r="Y246">
        <f>HYPERLINK("https://klasma.github.io/Logging_2062/kartor_geotiff/A 61943-2024 georefererad karta.tif", "A 61943-2024")</f>
        <v/>
      </c>
      <c r="AA246">
        <f>HYPERLINK("https://klasma.github.io/Logging_2062/klagomål/A 61943-2024 FSC-klagomål.docx", "A 61943-2024")</f>
        <v/>
      </c>
      <c r="AB246">
        <f>HYPERLINK("https://klasma.github.io/Logging_2062/klagomålsmail/A 61943-2024 FSC-klagomål mail.docx", "A 61943-2024")</f>
        <v/>
      </c>
      <c r="AC246">
        <f>HYPERLINK("https://klasma.github.io/Logging_2062/tillsyn/A 61943-2024 tillsynsbegäran.docx", "A 61943-2024")</f>
        <v/>
      </c>
      <c r="AD246">
        <f>HYPERLINK("https://klasma.github.io/Logging_2062/tillsynsmail/A 61943-2024 tillsynsbegäran mail.docx", "A 61943-2024")</f>
        <v/>
      </c>
      <c r="AE246">
        <f>HYPERLINK("https://klasma.github.io/Logging_2062/fåglar/A 61943-2024 prioriterade fågelarter.docx", "A 61943-2024")</f>
        <v/>
      </c>
    </row>
    <row r="247" ht="15" customHeight="1">
      <c r="A247" t="inlineStr">
        <is>
          <t>S 592-2025</t>
        </is>
      </c>
      <c r="B247" t="inlineStr">
        <is>
          <t>samrådsanmälan</t>
        </is>
      </c>
      <c r="C247" t="inlineStr">
        <is>
          <t>Annan skogsbruksåtgärd</t>
        </is>
      </c>
      <c r="D247" s="1" t="n">
        <v>45712</v>
      </c>
      <c r="E247" s="1" t="n">
        <v>46319</v>
      </c>
      <c r="F247" t="inlineStr">
        <is>
          <t>DALARNAS LÄN</t>
        </is>
      </c>
      <c r="G247" t="inlineStr">
        <is>
          <t>FALUN</t>
        </is>
      </c>
      <c r="I247" t="n">
        <v>5.4</v>
      </c>
      <c r="J247" t="n">
        <v>2</v>
      </c>
      <c r="K247" t="n">
        <v>3</v>
      </c>
      <c r="L247" t="n">
        <v>5</v>
      </c>
      <c r="M247" t="n">
        <v>2</v>
      </c>
      <c r="N247" t="n">
        <v>0</v>
      </c>
      <c r="O247" t="n">
        <v>0</v>
      </c>
      <c r="P247" t="n">
        <v>0</v>
      </c>
      <c r="Q247" t="n">
        <v>7</v>
      </c>
      <c r="R247" t="n">
        <v>2</v>
      </c>
      <c r="S247" t="n">
        <v>11</v>
      </c>
      <c r="T247" t="n">
        <v>21</v>
      </c>
      <c r="U247" t="n">
        <v>1</v>
      </c>
      <c r="V247" s="2" t="inlineStr">
        <is>
          <t>Garnlav
Ulltickeporing
Dropptaggsvamp
Tallriska
Tretåig hackspett
Ullticka
Violettgrå tagellav
Bronshjon
Gullgröppa
Vågbandad barkbock
Spillkråka</t>
        </is>
      </c>
      <c r="W247">
        <f>HYPERLINK("https://klasma.github.io/Logging_2080/artfynd/S 592-2025 artfynd.xlsx", "S 592-2025")</f>
        <v/>
      </c>
      <c r="X247">
        <f>HYPERLINK("https://klasma.github.io/Logging_2080/kartor/S 592-2025 karta.png", "S 592-2025")</f>
        <v/>
      </c>
      <c r="Y247">
        <f>HYPERLINK("https://klasma.github.io/Logging_2080/kartor_geotiff/S 592-2025 georefererad karta.tif", "S 592-2025")</f>
        <v/>
      </c>
      <c r="AA247">
        <f>HYPERLINK("https://klasma.github.io/Logging_2080/klagomål/S 592-2025 FSC-klagomål.docx", "S 592-2025")</f>
        <v/>
      </c>
      <c r="AB247">
        <f>HYPERLINK("https://klasma.github.io/Logging_2080/klagomålsmail/S 592-2025 FSC-klagomål mail.docx", "S 592-2025")</f>
        <v/>
      </c>
      <c r="AC247">
        <f>HYPERLINK("https://klasma.github.io/Logging_2080/tillsyn/S 592-2025 tillsynsbegäran.docx", "S 592-2025")</f>
        <v/>
      </c>
      <c r="AD247">
        <f>HYPERLINK("https://klasma.github.io/Logging_2080/tillsynsmail/S 592-2025 tillsynsbegäran mail.docx", "S 592-2025")</f>
        <v/>
      </c>
      <c r="AE247">
        <f>HYPERLINK("https://klasma.github.io/Logging_2080/fåglar/S 592-2025 prioriterade fågelarter.docx", "S 592-2025")</f>
        <v/>
      </c>
    </row>
    <row r="248" ht="15" customHeight="1">
      <c r="A248" t="inlineStr">
        <is>
          <t>S 2144-2025</t>
        </is>
      </c>
      <c r="B248" t="inlineStr">
        <is>
          <t>samrådsanmälan</t>
        </is>
      </c>
      <c r="C248" t="inlineStr">
        <is>
          <t>Annan skogsbruksåtgärd</t>
        </is>
      </c>
      <c r="D248" s="1" t="n">
        <v>45847</v>
      </c>
      <c r="E248" s="1" t="n">
        <v>46319</v>
      </c>
      <c r="F248" t="inlineStr">
        <is>
          <t>DALARNAS LÄN</t>
        </is>
      </c>
      <c r="G248" t="inlineStr">
        <is>
          <t>LUDVIKA</t>
        </is>
      </c>
      <c r="H248" t="inlineStr">
        <is>
          <t>Bergvik skog väst AB</t>
        </is>
      </c>
      <c r="I248" t="n">
        <v>1.5</v>
      </c>
      <c r="J248" t="n">
        <v>0</v>
      </c>
      <c r="K248" t="n">
        <v>5</v>
      </c>
      <c r="L248" t="n">
        <v>3</v>
      </c>
      <c r="M248" t="n">
        <v>3</v>
      </c>
      <c r="N248" t="n">
        <v>0</v>
      </c>
      <c r="O248" t="n">
        <v>0</v>
      </c>
      <c r="P248" t="n">
        <v>0</v>
      </c>
      <c r="Q248" t="n">
        <v>6</v>
      </c>
      <c r="R248" t="n">
        <v>3</v>
      </c>
      <c r="S248" t="n">
        <v>11</v>
      </c>
      <c r="T248" t="n">
        <v>11</v>
      </c>
      <c r="U248" t="n">
        <v>1</v>
      </c>
      <c r="V248" s="2" t="inlineStr">
        <is>
          <t>Aspgelélav
Gränsticka
Honungsticka
Kandelabersvamp
Lunglav
Veckticka
Bårdlav
Dvärgtufs
Korallblylav
Skinnlav
Stuplav</t>
        </is>
      </c>
      <c r="W248">
        <f>HYPERLINK("https://klasma.github.io/Logging_2085/artfynd/S 2144-2025 artfynd.xlsx", "S 2144-2025")</f>
        <v/>
      </c>
      <c r="X248">
        <f>HYPERLINK("https://klasma.github.io/Logging_2085/kartor/S 2144-2025 karta.png", "S 2144-2025")</f>
        <v/>
      </c>
      <c r="Y248">
        <f>HYPERLINK("https://klasma.github.io/Logging_2085/kartor_geotiff/S 2144-2025 georefererad karta.tif", "S 2144-2025")</f>
        <v/>
      </c>
      <c r="AA248">
        <f>HYPERLINK("https://klasma.github.io/Logging_2085/klagomål/S 2144-2025 FSC-klagomål.docx", "S 2144-2025")</f>
        <v/>
      </c>
      <c r="AB248">
        <f>HYPERLINK("https://klasma.github.io/Logging_2085/klagomålsmail/S 2144-2025 FSC-klagomål mail.docx", "S 2144-2025")</f>
        <v/>
      </c>
      <c r="AC248">
        <f>HYPERLINK("https://klasma.github.io/Logging_2085/tillsyn/S 2144-2025 tillsynsbegäran.docx", "S 2144-2025")</f>
        <v/>
      </c>
      <c r="AD248">
        <f>HYPERLINK("https://klasma.github.io/Logging_2085/tillsynsmail/S 2144-2025 tillsynsbegäran mail.docx", "S 2144-2025")</f>
        <v/>
      </c>
    </row>
    <row r="249" ht="15" customHeight="1">
      <c r="A249" t="inlineStr">
        <is>
          <t>S 1363-2026</t>
        </is>
      </c>
      <c r="B249" t="inlineStr">
        <is>
          <t>samrådsanmälan</t>
        </is>
      </c>
      <c r="C249" t="inlineStr">
        <is>
          <t>Annan skogsbruksåtgärd</t>
        </is>
      </c>
      <c r="D249" s="1" t="n">
        <v>46150</v>
      </c>
      <c r="E249" s="1" t="n">
        <v>46319</v>
      </c>
      <c r="F249" t="inlineStr">
        <is>
          <t>DALARNAS LÄN</t>
        </is>
      </c>
      <c r="G249" t="inlineStr">
        <is>
          <t>HEDEMORA</t>
        </is>
      </c>
      <c r="I249" t="n">
        <v>6.9</v>
      </c>
      <c r="J249" t="n">
        <v>1</v>
      </c>
      <c r="K249" t="n">
        <v>3</v>
      </c>
      <c r="L249" t="n">
        <v>5</v>
      </c>
      <c r="M249" t="n">
        <v>3</v>
      </c>
      <c r="N249" t="n">
        <v>0</v>
      </c>
      <c r="O249" t="n">
        <v>0</v>
      </c>
      <c r="P249" t="n">
        <v>0</v>
      </c>
      <c r="Q249" t="n">
        <v>8</v>
      </c>
      <c r="R249" t="n">
        <v>3</v>
      </c>
      <c r="S249" t="n">
        <v>11</v>
      </c>
      <c r="T249" t="n">
        <v>22</v>
      </c>
      <c r="U249" t="n">
        <v>0</v>
      </c>
      <c r="V249" s="2" t="inlineStr">
        <is>
          <t>Grangråticka
Gul taggsvamp
Knärot
Dofttaggsvamp
Fjällig taggsvamp s.str.
Rosenticka
Rynkskinn
Ullticka
Diskvaxskivling
Svavelriska
Trådticka</t>
        </is>
      </c>
      <c r="W249">
        <f>HYPERLINK("https://klasma.github.io/Logging_2083/artfynd/S 1363-2026 artfynd.xlsx", "S 1363-2026")</f>
        <v/>
      </c>
      <c r="X249">
        <f>HYPERLINK("https://klasma.github.io/Logging_2083/kartor/S 1363-2026 karta.png", "S 1363-2026")</f>
        <v/>
      </c>
      <c r="Y249">
        <f>HYPERLINK("https://klasma.github.io/Logging_2083/kartor_geotiff/S 1363-2026 georefererad karta.tif", "S 1363-2026")</f>
        <v/>
      </c>
      <c r="Z249">
        <f>HYPERLINK("https://klasma.github.io/Logging_2083/knärot/S 1363-2026 karta knärot.png", "S 1363-2026")</f>
        <v/>
      </c>
      <c r="AA249">
        <f>HYPERLINK("https://klasma.github.io/Logging_2083/klagomål/S 1363-2026 FSC-klagomål.docx", "S 1363-2026")</f>
        <v/>
      </c>
      <c r="AB249">
        <f>HYPERLINK("https://klasma.github.io/Logging_2083/klagomålsmail/S 1363-2026 FSC-klagomål mail.docx", "S 1363-2026")</f>
        <v/>
      </c>
      <c r="AC249">
        <f>HYPERLINK("https://klasma.github.io/Logging_2083/tillsyn/S 1363-2026 tillsynsbegäran.docx", "S 1363-2026")</f>
        <v/>
      </c>
      <c r="AD249">
        <f>HYPERLINK("https://klasma.github.io/Logging_2083/tillsynsmail/S 1363-2026 tillsynsbegäran mail.docx", "S 1363-2026")</f>
        <v/>
      </c>
    </row>
    <row r="250" ht="15" customHeight="1">
      <c r="A250" t="inlineStr">
        <is>
          <t>A 45783-2022</t>
        </is>
      </c>
      <c r="B250" t="inlineStr">
        <is>
          <t>avverkningsanmälan</t>
        </is>
      </c>
      <c r="C250" t="inlineStr">
        <is>
          <t>Föryngringsavverkning</t>
        </is>
      </c>
      <c r="D250" s="1" t="n">
        <v>44846</v>
      </c>
      <c r="E250" s="1" t="n">
        <v>46319</v>
      </c>
      <c r="F250" t="inlineStr">
        <is>
          <t>DALARNAS LÄN</t>
        </is>
      </c>
      <c r="G250" t="inlineStr">
        <is>
          <t>ÄLVDALEN</t>
        </is>
      </c>
      <c r="I250" t="n">
        <v>9.1</v>
      </c>
      <c r="J250" t="n">
        <v>6</v>
      </c>
      <c r="K250" t="n">
        <v>2</v>
      </c>
      <c r="L250" t="n">
        <v>3</v>
      </c>
      <c r="M250" t="n">
        <v>2</v>
      </c>
      <c r="N250" t="n">
        <v>0</v>
      </c>
      <c r="O250" t="n">
        <v>0</v>
      </c>
      <c r="P250" t="n">
        <v>0</v>
      </c>
      <c r="Q250" t="n">
        <v>5</v>
      </c>
      <c r="R250" t="n">
        <v>2</v>
      </c>
      <c r="S250" t="n">
        <v>10</v>
      </c>
      <c r="T250" t="n">
        <v>63</v>
      </c>
      <c r="U250" t="n">
        <v>63</v>
      </c>
      <c r="V250" s="2" t="inlineStr">
        <is>
          <t>Garnlav
Knärot
Lunglav
Tretåig hackspett
Violettgrå tagellav
Korallrot
Spindelblomster
Tjäder
Torta
Fläcknycklar</t>
        </is>
      </c>
      <c r="W250">
        <f>HYPERLINK("https://klasma.github.io/Logging_2039/artfynd/A 45783-2022 artfynd.xlsx", "A 45783-2022")</f>
        <v/>
      </c>
      <c r="X250">
        <f>HYPERLINK("https://klasma.github.io/Logging_2039/kartor/A 45783-2022 karta.png", "A 45783-2022")</f>
        <v/>
      </c>
      <c r="Y250">
        <f>HYPERLINK("https://klasma.github.io/Logging_2039/kartor_geotiff/A 45783-2022 georefererad karta.tif", "A 45783-2022")</f>
        <v/>
      </c>
      <c r="Z250">
        <f>HYPERLINK("https://klasma.github.io/Logging_2039/knärot/A 45783-2022 karta knärot.png", "A 45783-2022")</f>
        <v/>
      </c>
      <c r="AA250">
        <f>HYPERLINK("https://klasma.github.io/Logging_2039/klagomål/A 45783-2022 FSC-klagomål.docx", "A 45783-2022")</f>
        <v/>
      </c>
      <c r="AB250">
        <f>HYPERLINK("https://klasma.github.io/Logging_2039/klagomålsmail/A 45783-2022 FSC-klagomål mail.docx", "A 45783-2022")</f>
        <v/>
      </c>
      <c r="AC250">
        <f>HYPERLINK("https://klasma.github.io/Logging_2039/tillsyn/A 45783-2022 tillsynsbegäran.docx", "A 45783-2022")</f>
        <v/>
      </c>
      <c r="AD250">
        <f>HYPERLINK("https://klasma.github.io/Logging_2039/tillsynsmail/A 45783-2022 tillsynsbegäran mail.docx", "A 45783-2022")</f>
        <v/>
      </c>
      <c r="AE250">
        <f>HYPERLINK("https://klasma.github.io/Logging_2039/fåglar/A 45783-2022 prioriterade fågelarter.docx", "A 45783-2022")</f>
        <v/>
      </c>
    </row>
    <row r="251" ht="15" customHeight="1">
      <c r="A251" t="inlineStr">
        <is>
          <t>A 40704-2025</t>
        </is>
      </c>
      <c r="B251" t="inlineStr">
        <is>
          <t>avverkningsanmälan</t>
        </is>
      </c>
      <c r="C251" t="inlineStr">
        <is>
          <t>Föryngringsavverkning</t>
        </is>
      </c>
      <c r="D251" s="1" t="n">
        <v>45897</v>
      </c>
      <c r="E251" s="1" t="n">
        <v>46319</v>
      </c>
      <c r="F251" t="inlineStr">
        <is>
          <t>DALARNAS LÄN</t>
        </is>
      </c>
      <c r="G251" t="inlineStr">
        <is>
          <t>MALUNG-SÄLEN</t>
        </is>
      </c>
      <c r="I251" t="n">
        <v>19.7</v>
      </c>
      <c r="J251" t="n">
        <v>1</v>
      </c>
      <c r="K251" t="n">
        <v>1</v>
      </c>
      <c r="L251" t="n">
        <v>7</v>
      </c>
      <c r="M251" t="n">
        <v>1</v>
      </c>
      <c r="N251" t="n">
        <v>0</v>
      </c>
      <c r="O251" t="n">
        <v>0</v>
      </c>
      <c r="P251" t="n">
        <v>0</v>
      </c>
      <c r="Q251" t="n">
        <v>8</v>
      </c>
      <c r="R251" t="n">
        <v>1</v>
      </c>
      <c r="S251" t="n">
        <v>10</v>
      </c>
      <c r="T251" t="n">
        <v>98</v>
      </c>
      <c r="U251" t="n">
        <v>98</v>
      </c>
      <c r="V251" s="2" t="inlineStr">
        <is>
          <t>Garnlav
Dropptaggsvamp
Kolflarnlav
Rynkskinn
Talltagel
Vedskivlav
Violettgrå tagellav
Vitgrynig nållav
Vedticka
Spillkråka</t>
        </is>
      </c>
      <c r="W251">
        <f>HYPERLINK("https://klasma.github.io/Logging_2023/artfynd/A 40704-2025 artfynd.xlsx", "A 40704-2025")</f>
        <v/>
      </c>
      <c r="X251">
        <f>HYPERLINK("https://klasma.github.io/Logging_2023/kartor/A 40704-2025 karta.png", "A 40704-2025")</f>
        <v/>
      </c>
      <c r="Y251">
        <f>HYPERLINK("https://klasma.github.io/Logging_2023/kartor_geotiff/A 40704-2025 georefererad karta.tif", "A 40704-2025")</f>
        <v/>
      </c>
      <c r="AA251">
        <f>HYPERLINK("https://klasma.github.io/Logging_2023/klagomål/A 40704-2025 FSC-klagomål.docx", "A 40704-2025")</f>
        <v/>
      </c>
      <c r="AB251">
        <f>HYPERLINK("https://klasma.github.io/Logging_2023/klagomålsmail/A 40704-2025 FSC-klagomål mail.docx", "A 40704-2025")</f>
        <v/>
      </c>
      <c r="AC251">
        <f>HYPERLINK("https://klasma.github.io/Logging_2023/tillsyn/A 40704-2025 tillsynsbegäran.docx", "A 40704-2025")</f>
        <v/>
      </c>
      <c r="AD251">
        <f>HYPERLINK("https://klasma.github.io/Logging_2023/tillsynsmail/A 40704-2025 tillsynsbegäran mail.docx", "A 40704-2025")</f>
        <v/>
      </c>
      <c r="AE251">
        <f>HYPERLINK("https://klasma.github.io/Logging_2023/fåglar/A 40704-2025 prioriterade fågelarter.docx", "A 40704-2025")</f>
        <v/>
      </c>
    </row>
    <row r="252" ht="15" customHeight="1">
      <c r="A252" t="inlineStr">
        <is>
          <t>A 41753-2025</t>
        </is>
      </c>
      <c r="B252" t="inlineStr">
        <is>
          <t>avverkningsanmälan</t>
        </is>
      </c>
      <c r="C252" t="inlineStr">
        <is>
          <t>Föryngringsavverkning</t>
        </is>
      </c>
      <c r="D252" s="1" t="n">
        <v>45902</v>
      </c>
      <c r="E252" s="1" t="n">
        <v>46319</v>
      </c>
      <c r="F252" t="inlineStr">
        <is>
          <t>DALARNAS LÄN</t>
        </is>
      </c>
      <c r="G252" t="inlineStr">
        <is>
          <t>ÄLVDALEN</t>
        </is>
      </c>
      <c r="H252" t="inlineStr">
        <is>
          <t>Sveaskog</t>
        </is>
      </c>
      <c r="I252" t="n">
        <v>6.2</v>
      </c>
      <c r="J252" t="n">
        <v>1</v>
      </c>
      <c r="K252" t="n">
        <v>0</v>
      </c>
      <c r="L252" t="n">
        <v>9</v>
      </c>
      <c r="M252" t="n">
        <v>1</v>
      </c>
      <c r="N252" t="n">
        <v>0</v>
      </c>
      <c r="O252" t="n">
        <v>0</v>
      </c>
      <c r="P252" t="n">
        <v>0</v>
      </c>
      <c r="Q252" t="n">
        <v>10</v>
      </c>
      <c r="R252" t="n">
        <v>1</v>
      </c>
      <c r="S252" t="n">
        <v>10</v>
      </c>
      <c r="T252" t="n">
        <v>38</v>
      </c>
      <c r="U252" t="n">
        <v>1</v>
      </c>
      <c r="V252" s="2" t="inlineStr">
        <is>
          <t>Fläckporing
Blå taggsvamp
Dropptaggsvamp
Dvärgbägarlav
Kolflarnlav
Mörk kolflarnlav
Orange taggsvamp
Talltaggsvamp
Varglav
Vedflamlav</t>
        </is>
      </c>
      <c r="W252">
        <f>HYPERLINK("https://klasma.github.io/Logging_2039/artfynd/A 41753-2025 artfynd.xlsx", "A 41753-2025")</f>
        <v/>
      </c>
      <c r="X252">
        <f>HYPERLINK("https://klasma.github.io/Logging_2039/kartor/A 41753-2025 karta.png", "A 41753-2025")</f>
        <v/>
      </c>
      <c r="Y252">
        <f>HYPERLINK("https://klasma.github.io/Logging_2039/kartor_geotiff/A 41753-2025 georefererad karta.tif", "A 41753-2025")</f>
        <v/>
      </c>
      <c r="AA252">
        <f>HYPERLINK("https://klasma.github.io/Logging_2039/klagomål/A 41753-2025 FSC-klagomål.docx", "A 41753-2025")</f>
        <v/>
      </c>
      <c r="AB252">
        <f>HYPERLINK("https://klasma.github.io/Logging_2039/klagomålsmail/A 41753-2025 FSC-klagomål mail.docx", "A 41753-2025")</f>
        <v/>
      </c>
      <c r="AC252">
        <f>HYPERLINK("https://klasma.github.io/Logging_2039/tillsyn/A 41753-2025 tillsynsbegäran.docx", "A 41753-2025")</f>
        <v/>
      </c>
      <c r="AD252">
        <f>HYPERLINK("https://klasma.github.io/Logging_2039/tillsynsmail/A 41753-2025 tillsynsbegäran mail.docx", "A 41753-2025")</f>
        <v/>
      </c>
    </row>
    <row r="253" ht="15" customHeight="1">
      <c r="A253" t="inlineStr">
        <is>
          <t>A 49516-2025</t>
        </is>
      </c>
      <c r="B253" t="inlineStr">
        <is>
          <t>avverkningsanmälan</t>
        </is>
      </c>
      <c r="C253" t="inlineStr">
        <is>
          <t>Föryngringsavverkning</t>
        </is>
      </c>
      <c r="D253" s="1" t="n">
        <v>45939</v>
      </c>
      <c r="E253" s="1" t="n">
        <v>46319</v>
      </c>
      <c r="F253" t="inlineStr">
        <is>
          <t>DALARNAS LÄN</t>
        </is>
      </c>
      <c r="G253" t="inlineStr">
        <is>
          <t>ORSA</t>
        </is>
      </c>
      <c r="H253" t="inlineStr">
        <is>
          <t>Bergvik skog öst AB</t>
        </is>
      </c>
      <c r="I253" t="n">
        <v>3.9</v>
      </c>
      <c r="J253" t="n">
        <v>3</v>
      </c>
      <c r="K253" t="n">
        <v>2</v>
      </c>
      <c r="L253" t="n">
        <v>5</v>
      </c>
      <c r="M253" t="n">
        <v>1</v>
      </c>
      <c r="N253" t="n">
        <v>0</v>
      </c>
      <c r="O253" t="n">
        <v>0</v>
      </c>
      <c r="P253" t="n">
        <v>0</v>
      </c>
      <c r="Q253" t="n">
        <v>6</v>
      </c>
      <c r="R253" t="n">
        <v>1</v>
      </c>
      <c r="S253" t="n">
        <v>10</v>
      </c>
      <c r="T253" t="n">
        <v>25</v>
      </c>
      <c r="U253" t="n">
        <v>25</v>
      </c>
      <c r="V253" s="2" t="inlineStr">
        <is>
          <t>Garnlav
Kolflarnlav
Motaggsvamp
Tretåig hackspett
Vedskivlav
Vitgrynig nållav
Stuplav
Trådticka
Tallbit
Fläcknycklar</t>
        </is>
      </c>
      <c r="W253">
        <f>HYPERLINK("https://klasma.github.io/Logging_2034/artfynd/A 49516-2025 artfynd.xlsx", "A 49516-2025")</f>
        <v/>
      </c>
      <c r="X253">
        <f>HYPERLINK("https://klasma.github.io/Logging_2034/kartor/A 49516-2025 karta.png", "A 49516-2025")</f>
        <v/>
      </c>
      <c r="Y253">
        <f>HYPERLINK("https://klasma.github.io/Logging_2034/kartor_geotiff/A 49516-2025 georefererad karta.tif", "A 49516-2025")</f>
        <v/>
      </c>
      <c r="AA253">
        <f>HYPERLINK("https://klasma.github.io/Logging_2034/klagomål/A 49516-2025 FSC-klagomål.docx", "A 49516-2025")</f>
        <v/>
      </c>
      <c r="AB253">
        <f>HYPERLINK("https://klasma.github.io/Logging_2034/klagomålsmail/A 49516-2025 FSC-klagomål mail.docx", "A 49516-2025")</f>
        <v/>
      </c>
      <c r="AC253">
        <f>HYPERLINK("https://klasma.github.io/Logging_2034/tillsyn/A 49516-2025 tillsynsbegäran.docx", "A 49516-2025")</f>
        <v/>
      </c>
      <c r="AD253">
        <f>HYPERLINK("https://klasma.github.io/Logging_2034/tillsynsmail/A 49516-2025 tillsynsbegäran mail.docx", "A 49516-2025")</f>
        <v/>
      </c>
      <c r="AE253">
        <f>HYPERLINK("https://klasma.github.io/Logging_2034/fåglar/A 49516-2025 prioriterade fågelarter.docx", "A 49516-2025")</f>
        <v/>
      </c>
    </row>
    <row r="254" ht="15" customHeight="1">
      <c r="A254" t="inlineStr">
        <is>
          <t>A 26616-2024</t>
        </is>
      </c>
      <c r="B254" t="inlineStr">
        <is>
          <t>avverkningsanmälan</t>
        </is>
      </c>
      <c r="C254" t="inlineStr">
        <is>
          <t>Föryngringsavverkning</t>
        </is>
      </c>
      <c r="D254" s="1" t="n">
        <v>45469</v>
      </c>
      <c r="E254" s="1" t="n">
        <v>46319</v>
      </c>
      <c r="F254" t="inlineStr">
        <is>
          <t>DALARNAS LÄN</t>
        </is>
      </c>
      <c r="G254" t="inlineStr">
        <is>
          <t>MALUNG-SÄLEN</t>
        </is>
      </c>
      <c r="I254" t="n">
        <v>5.4</v>
      </c>
      <c r="J254" t="n">
        <v>0</v>
      </c>
      <c r="K254" t="n">
        <v>3</v>
      </c>
      <c r="L254" t="n">
        <v>6</v>
      </c>
      <c r="M254" t="n">
        <v>1</v>
      </c>
      <c r="N254" t="n">
        <v>0</v>
      </c>
      <c r="O254" t="n">
        <v>0</v>
      </c>
      <c r="P254" t="n">
        <v>0</v>
      </c>
      <c r="Q254" t="n">
        <v>7</v>
      </c>
      <c r="R254" t="n">
        <v>1</v>
      </c>
      <c r="S254" t="n">
        <v>10</v>
      </c>
      <c r="T254" t="n">
        <v>15</v>
      </c>
      <c r="U254" t="n">
        <v>8</v>
      </c>
      <c r="V254" s="2" t="inlineStr">
        <is>
          <t>Garnlav
Gammelgransskål
Rosenticka
Rynkskinn
Ullticka
Vedskivlav
Vitgrynig nållav
Bronshjon
Gulnål
Vedticka</t>
        </is>
      </c>
      <c r="W254">
        <f>HYPERLINK("https://klasma.github.io/Logging_2023/artfynd/A 26616-2024 artfynd.xlsx", "A 26616-2024")</f>
        <v/>
      </c>
      <c r="X254">
        <f>HYPERLINK("https://klasma.github.io/Logging_2023/kartor/A 26616-2024 karta.png", "A 26616-2024")</f>
        <v/>
      </c>
      <c r="Y254">
        <f>HYPERLINK("https://klasma.github.io/Logging_2023/kartor_geotiff/A 26616-2024 georefererad karta.tif", "A 26616-2024")</f>
        <v/>
      </c>
      <c r="AA254">
        <f>HYPERLINK("https://klasma.github.io/Logging_2023/klagomål/A 26616-2024 FSC-klagomål.docx", "A 26616-2024")</f>
        <v/>
      </c>
      <c r="AB254">
        <f>HYPERLINK("https://klasma.github.io/Logging_2023/klagomålsmail/A 26616-2024 FSC-klagomål mail.docx", "A 26616-2024")</f>
        <v/>
      </c>
      <c r="AC254">
        <f>HYPERLINK("https://klasma.github.io/Logging_2023/tillsyn/A 26616-2024 tillsynsbegäran.docx", "A 26616-2024")</f>
        <v/>
      </c>
      <c r="AD254">
        <f>HYPERLINK("https://klasma.github.io/Logging_2023/tillsynsmail/A 26616-2024 tillsynsbegäran mail.docx", "A 26616-2024")</f>
        <v/>
      </c>
    </row>
    <row r="255" ht="15" customHeight="1">
      <c r="A255" t="inlineStr">
        <is>
          <t>A 17715-2024</t>
        </is>
      </c>
      <c r="B255" t="inlineStr">
        <is>
          <t>avverkningsanmälan</t>
        </is>
      </c>
      <c r="C255" t="inlineStr">
        <is>
          <t>Föryngringsavverkning</t>
        </is>
      </c>
      <c r="D255" s="1" t="n">
        <v>45415</v>
      </c>
      <c r="E255" s="1" t="n">
        <v>46319</v>
      </c>
      <c r="F255" t="inlineStr">
        <is>
          <t>DALARNAS LÄN</t>
        </is>
      </c>
      <c r="G255" t="inlineStr">
        <is>
          <t>ÄLVDALEN</t>
        </is>
      </c>
      <c r="H255" t="inlineStr">
        <is>
          <t>Övriga statliga verk och myndigheter</t>
        </is>
      </c>
      <c r="I255" t="n">
        <v>19.2</v>
      </c>
      <c r="J255" t="n">
        <v>1</v>
      </c>
      <c r="K255" t="n">
        <v>0</v>
      </c>
      <c r="L255" t="n">
        <v>9</v>
      </c>
      <c r="M255" t="n">
        <v>0</v>
      </c>
      <c r="N255" t="n">
        <v>0</v>
      </c>
      <c r="O255" t="n">
        <v>0</v>
      </c>
      <c r="P255" t="n">
        <v>0</v>
      </c>
      <c r="Q255" t="n">
        <v>9</v>
      </c>
      <c r="R255" t="n">
        <v>0</v>
      </c>
      <c r="S255" t="n">
        <v>10</v>
      </c>
      <c r="T255" t="n">
        <v>11</v>
      </c>
      <c r="U255" t="n">
        <v>11</v>
      </c>
      <c r="V255" s="2" t="inlineStr">
        <is>
          <t>Blanksvart spiklav
Blågrå svartspik
Dropptaggsvamp
Dvärgbägarlav
Kolflarnlav
Mörk kolflarnlav
Reliktbock
Vedflamlav
Vedskivlav
Tjäder</t>
        </is>
      </c>
      <c r="W255">
        <f>HYPERLINK("https://klasma.github.io/Logging_2039/artfynd/A 17715-2024 artfynd.xlsx", "A 17715-2024")</f>
        <v/>
      </c>
      <c r="X255">
        <f>HYPERLINK("https://klasma.github.io/Logging_2039/kartor/A 17715-2024 karta.png", "A 17715-2024")</f>
        <v/>
      </c>
      <c r="Y255">
        <f>HYPERLINK("https://klasma.github.io/Logging_2039/kartor_geotiff/A 17715-2024 georefererad karta.tif", "A 17715-2024")</f>
        <v/>
      </c>
      <c r="AA255">
        <f>HYPERLINK("https://klasma.github.io/Logging_2039/klagomål/A 17715-2024 FSC-klagomål.docx", "A 17715-2024")</f>
        <v/>
      </c>
      <c r="AB255">
        <f>HYPERLINK("https://klasma.github.io/Logging_2039/klagomålsmail/A 17715-2024 FSC-klagomål mail.docx", "A 17715-2024")</f>
        <v/>
      </c>
      <c r="AC255">
        <f>HYPERLINK("https://klasma.github.io/Logging_2039/tillsyn/A 17715-2024 tillsynsbegäran.docx", "A 17715-2024")</f>
        <v/>
      </c>
      <c r="AD255">
        <f>HYPERLINK("https://klasma.github.io/Logging_2039/tillsynsmail/A 17715-2024 tillsynsbegäran mail.docx", "A 17715-2024")</f>
        <v/>
      </c>
      <c r="AE255">
        <f>HYPERLINK("https://klasma.github.io/Logging_2039/fåglar/A 17715-2024 prioriterade fågelarter.docx", "A 17715-2024")</f>
        <v/>
      </c>
    </row>
    <row r="256" ht="15" customHeight="1">
      <c r="A256" t="inlineStr">
        <is>
          <t>A 35944-2024</t>
        </is>
      </c>
      <c r="B256" t="inlineStr">
        <is>
          <t>avverkningsanmälan</t>
        </is>
      </c>
      <c r="C256" t="inlineStr">
        <is>
          <t>Föryngringsavverkning</t>
        </is>
      </c>
      <c r="D256" s="1" t="n">
        <v>45533</v>
      </c>
      <c r="E256" s="1" t="n">
        <v>46319</v>
      </c>
      <c r="F256" t="inlineStr">
        <is>
          <t>DALARNAS LÄN</t>
        </is>
      </c>
      <c r="G256" t="inlineStr">
        <is>
          <t>MORA</t>
        </is>
      </c>
      <c r="I256" t="n">
        <v>1.7</v>
      </c>
      <c r="J256" t="n">
        <v>2</v>
      </c>
      <c r="K256" t="n">
        <v>4</v>
      </c>
      <c r="L256" t="n">
        <v>4</v>
      </c>
      <c r="M256" t="n">
        <v>1</v>
      </c>
      <c r="N256" t="n">
        <v>0</v>
      </c>
      <c r="O256" t="n">
        <v>0</v>
      </c>
      <c r="P256" t="n">
        <v>0</v>
      </c>
      <c r="Q256" t="n">
        <v>5</v>
      </c>
      <c r="R256" t="n">
        <v>1</v>
      </c>
      <c r="S256" t="n">
        <v>10</v>
      </c>
      <c r="T256" t="n">
        <v>23</v>
      </c>
      <c r="U256" t="n">
        <v>23</v>
      </c>
      <c r="V256" s="2" t="inlineStr">
        <is>
          <t>Garnlav
Kortskaftad ärgspik
Talltita
Ullticka
Vedtrappmossa
Bronshjon
Mindre märgborre
Thomsons trägnagare
Vedticka
Spillkråka</t>
        </is>
      </c>
      <c r="W256">
        <f>HYPERLINK("https://klasma.github.io/Logging_2062/artfynd/A 35944-2024 artfynd.xlsx", "A 35944-2024")</f>
        <v/>
      </c>
      <c r="X256">
        <f>HYPERLINK("https://klasma.github.io/Logging_2062/kartor/A 35944-2024 karta.png", "A 35944-2024")</f>
        <v/>
      </c>
      <c r="Y256">
        <f>HYPERLINK("https://klasma.github.io/Logging_2062/kartor_geotiff/A 35944-2024 georefererad karta.tif", "A 35944-2024")</f>
        <v/>
      </c>
      <c r="AA256">
        <f>HYPERLINK("https://klasma.github.io/Logging_2062/klagomål/A 35944-2024 FSC-klagomål.docx", "A 35944-2024")</f>
        <v/>
      </c>
      <c r="AB256">
        <f>HYPERLINK("https://klasma.github.io/Logging_2062/klagomålsmail/A 35944-2024 FSC-klagomål mail.docx", "A 35944-2024")</f>
        <v/>
      </c>
      <c r="AC256">
        <f>HYPERLINK("https://klasma.github.io/Logging_2062/tillsyn/A 35944-2024 tillsynsbegäran.docx", "A 35944-2024")</f>
        <v/>
      </c>
      <c r="AD256">
        <f>HYPERLINK("https://klasma.github.io/Logging_2062/tillsynsmail/A 35944-2024 tillsynsbegäran mail.docx", "A 35944-2024")</f>
        <v/>
      </c>
      <c r="AE256">
        <f>HYPERLINK("https://klasma.github.io/Logging_2062/fåglar/A 35944-2024 prioriterade fågelarter.docx", "A 35944-2024")</f>
        <v/>
      </c>
    </row>
    <row r="257" ht="15" customHeight="1">
      <c r="A257" t="inlineStr">
        <is>
          <t>A 28626-2026</t>
        </is>
      </c>
      <c r="B257" t="inlineStr">
        <is>
          <t>avverkningsanmälan</t>
        </is>
      </c>
      <c r="C257" t="inlineStr">
        <is>
          <t>Föryngringsavverkning</t>
        </is>
      </c>
      <c r="D257" s="1" t="n">
        <v>46198</v>
      </c>
      <c r="E257" s="1" t="n">
        <v>46319</v>
      </c>
      <c r="F257" t="inlineStr">
        <is>
          <t>DALARNAS LÄN</t>
        </is>
      </c>
      <c r="G257" t="inlineStr">
        <is>
          <t>RÄTTVIK</t>
        </is>
      </c>
      <c r="I257" t="n">
        <v>8.300000000000001</v>
      </c>
      <c r="J257" t="n">
        <v>4</v>
      </c>
      <c r="K257" t="n">
        <v>6</v>
      </c>
      <c r="L257" t="n">
        <v>1</v>
      </c>
      <c r="M257" t="n">
        <v>0</v>
      </c>
      <c r="N257" t="n">
        <v>0</v>
      </c>
      <c r="O257" t="n">
        <v>1</v>
      </c>
      <c r="P257" t="n">
        <v>0</v>
      </c>
      <c r="Q257" t="n">
        <v>2</v>
      </c>
      <c r="R257" t="n">
        <v>1</v>
      </c>
      <c r="S257" t="n">
        <v>10</v>
      </c>
      <c r="T257" t="n">
        <v>14</v>
      </c>
      <c r="U257" t="n">
        <v>2</v>
      </c>
      <c r="V257" s="2" t="inlineStr">
        <is>
          <t>Hårklockmossa
Vårärt
Bårdlav
Grönkulla
Korallblylav
Skogstimmia
Svavelriska
Tvåblad
Blåsippa
Nattviol</t>
        </is>
      </c>
      <c r="W257">
        <f>HYPERLINK("https://klasma.github.io/Logging_2031/artfynd/A 28626-2026 artfynd.xlsx", "A 28626-2026")</f>
        <v/>
      </c>
      <c r="X257">
        <f>HYPERLINK("https://klasma.github.io/Logging_2031/kartor/A 28626-2026 karta.png", "A 28626-2026")</f>
        <v/>
      </c>
      <c r="Y257">
        <f>HYPERLINK("https://klasma.github.io/Logging_2031/kartor_geotiff/A 28626-2026 georefererad karta.tif", "A 28626-2026")</f>
        <v/>
      </c>
      <c r="AA257">
        <f>HYPERLINK("https://klasma.github.io/Logging_2031/klagomål/A 28626-2026 FSC-klagomål.docx", "A 28626-2026")</f>
        <v/>
      </c>
      <c r="AB257">
        <f>HYPERLINK("https://klasma.github.io/Logging_2031/klagomålsmail/A 28626-2026 FSC-klagomål mail.docx", "A 28626-2026")</f>
        <v/>
      </c>
      <c r="AC257">
        <f>HYPERLINK("https://klasma.github.io/Logging_2031/tillsyn/A 28626-2026 tillsynsbegäran.docx", "A 28626-2026")</f>
        <v/>
      </c>
      <c r="AD257">
        <f>HYPERLINK("https://klasma.github.io/Logging_2031/tillsynsmail/A 28626-2026 tillsynsbegäran mail.docx", "A 28626-2026")</f>
        <v/>
      </c>
    </row>
    <row r="258" ht="15" customHeight="1">
      <c r="A258" t="inlineStr">
        <is>
          <t>A 57979-2025</t>
        </is>
      </c>
      <c r="B258" t="inlineStr">
        <is>
          <t>avverkningsanmälan</t>
        </is>
      </c>
      <c r="C258" t="inlineStr">
        <is>
          <t>Föryngringsavverkning</t>
        </is>
      </c>
      <c r="D258" s="1" t="n">
        <v>45982</v>
      </c>
      <c r="E258" s="1" t="n">
        <v>46319</v>
      </c>
      <c r="F258" t="inlineStr">
        <is>
          <t>DALARNAS LÄN</t>
        </is>
      </c>
      <c r="G258" t="inlineStr">
        <is>
          <t>VANSBRO</t>
        </is>
      </c>
      <c r="I258" t="n">
        <v>1</v>
      </c>
      <c r="J258" t="n">
        <v>1</v>
      </c>
      <c r="K258" t="n">
        <v>8</v>
      </c>
      <c r="L258" t="n">
        <v>1</v>
      </c>
      <c r="M258" t="n">
        <v>1</v>
      </c>
      <c r="N258" t="n">
        <v>0</v>
      </c>
      <c r="O258" t="n">
        <v>0</v>
      </c>
      <c r="P258" t="n">
        <v>0</v>
      </c>
      <c r="Q258" t="n">
        <v>2</v>
      </c>
      <c r="R258" t="n">
        <v>1</v>
      </c>
      <c r="S258" t="n">
        <v>10</v>
      </c>
      <c r="T258" t="n">
        <v>18</v>
      </c>
      <c r="U258" t="n">
        <v>1</v>
      </c>
      <c r="V258" s="2" t="inlineStr">
        <is>
          <t>Vridfingersvamp
Lutvaxing
Blodvaxing
Gulvaxing
Hagfingersvamp
Honungsvaxing
Kantarellvaxing
Tvåblad
Vitvaxing agg.
Ängsvaxing agg.</t>
        </is>
      </c>
      <c r="W258">
        <f>HYPERLINK("https://klasma.github.io/Logging_2021/artfynd/A 57979-2025 artfynd.xlsx", "A 57979-2025")</f>
        <v/>
      </c>
      <c r="X258">
        <f>HYPERLINK("https://klasma.github.io/Logging_2021/kartor/A 57979-2025 karta.png", "A 57979-2025")</f>
        <v/>
      </c>
      <c r="Y258">
        <f>HYPERLINK("https://klasma.github.io/Logging_2021/kartor_geotiff/A 57979-2025 georefererad karta.tif", "A 57979-2025")</f>
        <v/>
      </c>
      <c r="AA258">
        <f>HYPERLINK("https://klasma.github.io/Logging_2021/klagomål/A 57979-2025 FSC-klagomål.docx", "A 57979-2025")</f>
        <v/>
      </c>
      <c r="AB258">
        <f>HYPERLINK("https://klasma.github.io/Logging_2021/klagomålsmail/A 57979-2025 FSC-klagomål mail.docx", "A 57979-2025")</f>
        <v/>
      </c>
      <c r="AC258">
        <f>HYPERLINK("https://klasma.github.io/Logging_2021/tillsyn/A 57979-2025 tillsynsbegäran.docx", "A 57979-2025")</f>
        <v/>
      </c>
      <c r="AD258">
        <f>HYPERLINK("https://klasma.github.io/Logging_2021/tillsynsmail/A 57979-2025 tillsynsbegäran mail.docx", "A 57979-2025")</f>
        <v/>
      </c>
    </row>
    <row r="259" ht="15" customHeight="1">
      <c r="A259" t="inlineStr">
        <is>
          <t>A 60129-2022</t>
        </is>
      </c>
      <c r="B259" t="inlineStr">
        <is>
          <t>avverkningsanmälan</t>
        </is>
      </c>
      <c r="C259" t="inlineStr">
        <is>
          <t>Föryngringsavverkning</t>
        </is>
      </c>
      <c r="D259" s="1" t="n">
        <v>44909</v>
      </c>
      <c r="E259" s="1" t="n">
        <v>46319</v>
      </c>
      <c r="F259" t="inlineStr">
        <is>
          <t>DALARNAS LÄN</t>
        </is>
      </c>
      <c r="G259" t="inlineStr">
        <is>
          <t>RÄTTVIK</t>
        </is>
      </c>
      <c r="H259" t="inlineStr">
        <is>
          <t>Sveaskog</t>
        </is>
      </c>
      <c r="I259" t="n">
        <v>0.6</v>
      </c>
      <c r="J259" t="n">
        <v>4</v>
      </c>
      <c r="K259" t="n">
        <v>2</v>
      </c>
      <c r="L259" t="n">
        <v>3</v>
      </c>
      <c r="M259" t="n">
        <v>1</v>
      </c>
      <c r="N259" t="n">
        <v>0</v>
      </c>
      <c r="O259" t="n">
        <v>0</v>
      </c>
      <c r="P259" t="n">
        <v>0</v>
      </c>
      <c r="Q259" t="n">
        <v>4</v>
      </c>
      <c r="R259" t="n">
        <v>1</v>
      </c>
      <c r="S259" t="n">
        <v>10</v>
      </c>
      <c r="T259" t="n">
        <v>16</v>
      </c>
      <c r="U259" t="n">
        <v>0</v>
      </c>
      <c r="V259" s="2" t="inlineStr">
        <is>
          <t>Garnlav
Dropptaggsvamp
Lunglav
Skrovellav
Bårdlav
Stuplav
Gråspett
Spillkråka
Tjäder
Kungsfågel</t>
        </is>
      </c>
      <c r="W259">
        <f>HYPERLINK("https://klasma.github.io/Logging_2031/artfynd/A 60129-2022 artfynd.xlsx", "A 60129-2022")</f>
        <v/>
      </c>
      <c r="X259">
        <f>HYPERLINK("https://klasma.github.io/Logging_2031/kartor/A 60129-2022 karta.png", "A 60129-2022")</f>
        <v/>
      </c>
      <c r="Y259">
        <f>HYPERLINK("https://klasma.github.io/Logging_2031/kartor_geotiff/A 60129-2022 georefererad karta.tif", "A 60129-2022")</f>
        <v/>
      </c>
      <c r="AA259">
        <f>HYPERLINK("https://klasma.github.io/Logging_2031/klagomål/A 60129-2022 FSC-klagomål.docx", "A 60129-2022")</f>
        <v/>
      </c>
      <c r="AB259">
        <f>HYPERLINK("https://klasma.github.io/Logging_2031/klagomålsmail/A 60129-2022 FSC-klagomål mail.docx", "A 60129-2022")</f>
        <v/>
      </c>
      <c r="AC259">
        <f>HYPERLINK("https://klasma.github.io/Logging_2031/tillsyn/A 60129-2022 tillsynsbegäran.docx", "A 60129-2022")</f>
        <v/>
      </c>
      <c r="AD259">
        <f>HYPERLINK("https://klasma.github.io/Logging_2031/tillsynsmail/A 60129-2022 tillsynsbegäran mail.docx", "A 60129-2022")</f>
        <v/>
      </c>
      <c r="AE259">
        <f>HYPERLINK("https://klasma.github.io/Logging_2031/fåglar/A 60129-2022 prioriterade fågelarter.docx", "A 60129-2022")</f>
        <v/>
      </c>
    </row>
    <row r="260" ht="15" customHeight="1">
      <c r="A260" t="inlineStr">
        <is>
          <t>A 61999-2025</t>
        </is>
      </c>
      <c r="B260" t="inlineStr">
        <is>
          <t>avverkningsanmälan</t>
        </is>
      </c>
      <c r="C260" t="inlineStr">
        <is>
          <t>Föryngringsavverkning</t>
        </is>
      </c>
      <c r="D260" s="1" t="n">
        <v>46003</v>
      </c>
      <c r="E260" s="1" t="n">
        <v>46319</v>
      </c>
      <c r="F260" t="inlineStr">
        <is>
          <t>DALARNAS LÄN</t>
        </is>
      </c>
      <c r="G260" t="inlineStr">
        <is>
          <t>ÄLVDALEN</t>
        </is>
      </c>
      <c r="I260" t="n">
        <v>9.199999999999999</v>
      </c>
      <c r="J260" t="n">
        <v>5</v>
      </c>
      <c r="K260" t="n">
        <v>2</v>
      </c>
      <c r="L260" t="n">
        <v>2</v>
      </c>
      <c r="M260" t="n">
        <v>1</v>
      </c>
      <c r="N260" t="n">
        <v>0</v>
      </c>
      <c r="O260" t="n">
        <v>0</v>
      </c>
      <c r="P260" t="n">
        <v>0</v>
      </c>
      <c r="Q260" t="n">
        <v>3</v>
      </c>
      <c r="R260" t="n">
        <v>1</v>
      </c>
      <c r="S260" t="n">
        <v>10</v>
      </c>
      <c r="T260" t="n">
        <v>38</v>
      </c>
      <c r="U260" t="n">
        <v>37</v>
      </c>
      <c r="V260" s="2" t="inlineStr">
        <is>
          <t>Garnlav
Skogshare
Tallticka
Björksplintborre
Mindre märgborre
Spillkråka
Tjäder
Kungsfågel
Orre
Utter</t>
        </is>
      </c>
      <c r="W260">
        <f>HYPERLINK("https://klasma.github.io/Logging_2039/artfynd/A 61999-2025 artfynd.xlsx", "A 61999-2025")</f>
        <v/>
      </c>
      <c r="X260">
        <f>HYPERLINK("https://klasma.github.io/Logging_2039/kartor/A 61999-2025 karta.png", "A 61999-2025")</f>
        <v/>
      </c>
      <c r="Y260">
        <f>HYPERLINK("https://klasma.github.io/Logging_2039/kartor_geotiff/A 61999-2025 georefererad karta.tif", "A 61999-2025")</f>
        <v/>
      </c>
      <c r="AA260">
        <f>HYPERLINK("https://klasma.github.io/Logging_2039/klagomål/A 61999-2025 FSC-klagomål.docx", "A 61999-2025")</f>
        <v/>
      </c>
      <c r="AB260">
        <f>HYPERLINK("https://klasma.github.io/Logging_2039/klagomålsmail/A 61999-2025 FSC-klagomål mail.docx", "A 61999-2025")</f>
        <v/>
      </c>
      <c r="AC260">
        <f>HYPERLINK("https://klasma.github.io/Logging_2039/tillsyn/A 61999-2025 tillsynsbegäran.docx", "A 61999-2025")</f>
        <v/>
      </c>
      <c r="AD260">
        <f>HYPERLINK("https://klasma.github.io/Logging_2039/tillsynsmail/A 61999-2025 tillsynsbegäran mail.docx", "A 61999-2025")</f>
        <v/>
      </c>
      <c r="AE260">
        <f>HYPERLINK("https://klasma.github.io/Logging_2039/fåglar/A 61999-2025 prioriterade fågelarter.docx", "A 61999-2025")</f>
        <v/>
      </c>
    </row>
    <row r="261" ht="15" customHeight="1">
      <c r="A261" t="inlineStr">
        <is>
          <t>A 2221-2026</t>
        </is>
      </c>
      <c r="B261" t="inlineStr">
        <is>
          <t>avverkningsanmälan</t>
        </is>
      </c>
      <c r="C261" t="inlineStr">
        <is>
          <t>Föryngringsavverkning</t>
        </is>
      </c>
      <c r="D261" s="1" t="n">
        <v>46036</v>
      </c>
      <c r="E261" s="1" t="n">
        <v>46319</v>
      </c>
      <c r="F261" t="inlineStr">
        <is>
          <t>DALARNAS LÄN</t>
        </is>
      </c>
      <c r="G261" t="inlineStr">
        <is>
          <t>ÄLVDALEN</t>
        </is>
      </c>
      <c r="H261" t="inlineStr">
        <is>
          <t>Allmännings- och besparingsskogar</t>
        </is>
      </c>
      <c r="I261" t="n">
        <v>3</v>
      </c>
      <c r="J261" t="n">
        <v>3</v>
      </c>
      <c r="K261" t="n">
        <v>1</v>
      </c>
      <c r="L261" t="n">
        <v>7</v>
      </c>
      <c r="M261" t="n">
        <v>1</v>
      </c>
      <c r="N261" t="n">
        <v>0</v>
      </c>
      <c r="O261" t="n">
        <v>0</v>
      </c>
      <c r="P261" t="n">
        <v>0</v>
      </c>
      <c r="Q261" t="n">
        <v>8</v>
      </c>
      <c r="R261" t="n">
        <v>1</v>
      </c>
      <c r="S261" t="n">
        <v>10</v>
      </c>
      <c r="T261" t="n">
        <v>25</v>
      </c>
      <c r="U261" t="n">
        <v>0</v>
      </c>
      <c r="V261" s="2" t="inlineStr">
        <is>
          <t>Garnlav
Blanksvart spiklav
Kolflarnlav
Mörk kolflarnlav
Tretåig hackspett
Varglav
Vedflamlav
Vedskivlav
Vågbandad barkbock
Orre</t>
        </is>
      </c>
      <c r="W261">
        <f>HYPERLINK("https://klasma.github.io/Logging_2039/artfynd/A 2221-2026 artfynd.xlsx", "A 2221-2026")</f>
        <v/>
      </c>
      <c r="X261">
        <f>HYPERLINK("https://klasma.github.io/Logging_2039/kartor/A 2221-2026 karta.png", "A 2221-2026")</f>
        <v/>
      </c>
      <c r="Y261">
        <f>HYPERLINK("https://klasma.github.io/Logging_2039/kartor_geotiff/A 2221-2026 georefererad karta.tif", "A 2221-2026")</f>
        <v/>
      </c>
      <c r="AA261">
        <f>HYPERLINK("https://klasma.github.io/Logging_2039/klagomål/A 2221-2026 FSC-klagomål.docx", "A 2221-2026")</f>
        <v/>
      </c>
      <c r="AB261">
        <f>HYPERLINK("https://klasma.github.io/Logging_2039/klagomålsmail/A 2221-2026 FSC-klagomål mail.docx", "A 2221-2026")</f>
        <v/>
      </c>
      <c r="AC261">
        <f>HYPERLINK("https://klasma.github.io/Logging_2039/tillsyn/A 2221-2026 tillsynsbegäran.docx", "A 2221-2026")</f>
        <v/>
      </c>
      <c r="AD261">
        <f>HYPERLINK("https://klasma.github.io/Logging_2039/tillsynsmail/A 2221-2026 tillsynsbegäran mail.docx", "A 2221-2026")</f>
        <v/>
      </c>
      <c r="AE261">
        <f>HYPERLINK("https://klasma.github.io/Logging_2039/fåglar/A 2221-2026 prioriterade fågelarter.docx", "A 2221-2026")</f>
        <v/>
      </c>
    </row>
    <row r="262" ht="15" customHeight="1">
      <c r="A262" t="inlineStr">
        <is>
          <t>A 2044-2026</t>
        </is>
      </c>
      <c r="B262" t="inlineStr">
        <is>
          <t>avverkningsanmälan</t>
        </is>
      </c>
      <c r="C262" t="inlineStr">
        <is>
          <t>Föryngringsavverkning</t>
        </is>
      </c>
      <c r="D262" s="1" t="n">
        <v>46035</v>
      </c>
      <c r="E262" s="1" t="n">
        <v>46319</v>
      </c>
      <c r="F262" t="inlineStr">
        <is>
          <t>DALARNAS LÄN</t>
        </is>
      </c>
      <c r="G262" t="inlineStr">
        <is>
          <t>FALUN</t>
        </is>
      </c>
      <c r="I262" t="n">
        <v>35.4</v>
      </c>
      <c r="J262" t="n">
        <v>3</v>
      </c>
      <c r="K262" t="n">
        <v>3</v>
      </c>
      <c r="L262" t="n">
        <v>4</v>
      </c>
      <c r="M262" t="n">
        <v>1</v>
      </c>
      <c r="N262" t="n">
        <v>0</v>
      </c>
      <c r="O262" t="n">
        <v>0</v>
      </c>
      <c r="P262" t="n">
        <v>0</v>
      </c>
      <c r="Q262" t="n">
        <v>5</v>
      </c>
      <c r="R262" t="n">
        <v>1</v>
      </c>
      <c r="S262" t="n">
        <v>10</v>
      </c>
      <c r="T262" t="n">
        <v>68</v>
      </c>
      <c r="U262" t="n">
        <v>65</v>
      </c>
      <c r="V262" s="2" t="inlineStr">
        <is>
          <t>Garnlav
Kolflarnlav
Mörk kolflarnlav
Tallticka
Tretåig hackspett
Bronshjon
Mindre märgborre
Vågbandad barkbock
Tjäder
Orre</t>
        </is>
      </c>
      <c r="W262">
        <f>HYPERLINK("https://klasma.github.io/Logging_2080/artfynd/A 2044-2026 artfynd.xlsx", "A 2044-2026")</f>
        <v/>
      </c>
      <c r="X262">
        <f>HYPERLINK("https://klasma.github.io/Logging_2080/kartor/A 2044-2026 karta.png", "A 2044-2026")</f>
        <v/>
      </c>
      <c r="Y262">
        <f>HYPERLINK("https://klasma.github.io/Logging_2080/kartor_geotiff/A 2044-2026 georefererad karta.tif", "A 2044-2026")</f>
        <v/>
      </c>
      <c r="AA262">
        <f>HYPERLINK("https://klasma.github.io/Logging_2080/klagomål/A 2044-2026 FSC-klagomål.docx", "A 2044-2026")</f>
        <v/>
      </c>
      <c r="AB262">
        <f>HYPERLINK("https://klasma.github.io/Logging_2080/klagomålsmail/A 2044-2026 FSC-klagomål mail.docx", "A 2044-2026")</f>
        <v/>
      </c>
      <c r="AC262">
        <f>HYPERLINK("https://klasma.github.io/Logging_2080/tillsyn/A 2044-2026 tillsynsbegäran.docx", "A 2044-2026")</f>
        <v/>
      </c>
      <c r="AD262">
        <f>HYPERLINK("https://klasma.github.io/Logging_2080/tillsynsmail/A 2044-2026 tillsynsbegäran mail.docx", "A 2044-2026")</f>
        <v/>
      </c>
      <c r="AE262">
        <f>HYPERLINK("https://klasma.github.io/Logging_2080/fåglar/A 2044-2026 prioriterade fågelarter.docx", "A 2044-2026")</f>
        <v/>
      </c>
    </row>
    <row r="263" ht="15" customHeight="1">
      <c r="A263" t="inlineStr">
        <is>
          <t>A 6176-2026</t>
        </is>
      </c>
      <c r="B263" t="inlineStr">
        <is>
          <t>avverkningsanmälan</t>
        </is>
      </c>
      <c r="C263" t="inlineStr">
        <is>
          <t>Föryngringsavverkning</t>
        </is>
      </c>
      <c r="D263" s="1" t="n">
        <v>46055</v>
      </c>
      <c r="E263" s="1" t="n">
        <v>46319</v>
      </c>
      <c r="F263" t="inlineStr">
        <is>
          <t>DALARNAS LÄN</t>
        </is>
      </c>
      <c r="G263" t="inlineStr">
        <is>
          <t>MALUNG-SÄLEN</t>
        </is>
      </c>
      <c r="H263" t="inlineStr">
        <is>
          <t>Kommuner</t>
        </is>
      </c>
      <c r="I263" t="n">
        <v>7.1</v>
      </c>
      <c r="J263" t="n">
        <v>1</v>
      </c>
      <c r="K263" t="n">
        <v>1</v>
      </c>
      <c r="L263" t="n">
        <v>7</v>
      </c>
      <c r="M263" t="n">
        <v>1</v>
      </c>
      <c r="N263" t="n">
        <v>0</v>
      </c>
      <c r="O263" t="n">
        <v>0</v>
      </c>
      <c r="P263" t="n">
        <v>0</v>
      </c>
      <c r="Q263" t="n">
        <v>8</v>
      </c>
      <c r="R263" t="n">
        <v>1</v>
      </c>
      <c r="S263" t="n">
        <v>10</v>
      </c>
      <c r="T263" t="n">
        <v>160</v>
      </c>
      <c r="U263" t="n">
        <v>160</v>
      </c>
      <c r="V263" s="2" t="inlineStr">
        <is>
          <t>Garnlav
Dvärgbägarlav
Kolflarnlav
Mörk kolflarnlav
Talltagel
Tallticka
Vedflamlav
Vedskivlav
Nästlav
Tjäder</t>
        </is>
      </c>
      <c r="W263">
        <f>HYPERLINK("https://klasma.github.io/Logging_2023/artfynd/A 6176-2026 artfynd.xlsx", "A 6176-2026")</f>
        <v/>
      </c>
      <c r="X263">
        <f>HYPERLINK("https://klasma.github.io/Logging_2023/kartor/A 6176-2026 karta.png", "A 6176-2026")</f>
        <v/>
      </c>
      <c r="Y263">
        <f>HYPERLINK("https://klasma.github.io/Logging_2023/kartor_geotiff/A 6176-2026 georefererad karta.tif", "A 6176-2026")</f>
        <v/>
      </c>
      <c r="AA263">
        <f>HYPERLINK("https://klasma.github.io/Logging_2023/klagomål/A 6176-2026 FSC-klagomål.docx", "A 6176-2026")</f>
        <v/>
      </c>
      <c r="AB263">
        <f>HYPERLINK("https://klasma.github.io/Logging_2023/klagomålsmail/A 6176-2026 FSC-klagomål mail.docx", "A 6176-2026")</f>
        <v/>
      </c>
      <c r="AC263">
        <f>HYPERLINK("https://klasma.github.io/Logging_2023/tillsyn/A 6176-2026 tillsynsbegäran.docx", "A 6176-2026")</f>
        <v/>
      </c>
      <c r="AD263">
        <f>HYPERLINK("https://klasma.github.io/Logging_2023/tillsynsmail/A 6176-2026 tillsynsbegäran mail.docx", "A 6176-2026")</f>
        <v/>
      </c>
      <c r="AE263">
        <f>HYPERLINK("https://klasma.github.io/Logging_2023/fåglar/A 6176-2026 prioriterade fågelarter.docx", "A 6176-2026")</f>
        <v/>
      </c>
    </row>
    <row r="264" ht="15" customHeight="1">
      <c r="A264" t="inlineStr">
        <is>
          <t>A 17081-2026</t>
        </is>
      </c>
      <c r="B264" t="inlineStr">
        <is>
          <t>avverkningsanmälan</t>
        </is>
      </c>
      <c r="C264" t="inlineStr">
        <is>
          <t>Föryngringsavverkning</t>
        </is>
      </c>
      <c r="D264" s="1" t="n">
        <v>46114</v>
      </c>
      <c r="E264" s="1" t="n">
        <v>46319</v>
      </c>
      <c r="F264" t="inlineStr">
        <is>
          <t>DALARNAS LÄN</t>
        </is>
      </c>
      <c r="G264" t="inlineStr">
        <is>
          <t>BORLÄNGE</t>
        </is>
      </c>
      <c r="I264" t="n">
        <v>14</v>
      </c>
      <c r="J264" t="n">
        <v>3</v>
      </c>
      <c r="K264" t="n">
        <v>5</v>
      </c>
      <c r="L264" t="n">
        <v>3</v>
      </c>
      <c r="M264" t="n">
        <v>0</v>
      </c>
      <c r="N264" t="n">
        <v>0</v>
      </c>
      <c r="O264" t="n">
        <v>0</v>
      </c>
      <c r="P264" t="n">
        <v>0</v>
      </c>
      <c r="Q264" t="n">
        <v>3</v>
      </c>
      <c r="R264" t="n">
        <v>0</v>
      </c>
      <c r="S264" t="n">
        <v>10</v>
      </c>
      <c r="T264" t="n">
        <v>20</v>
      </c>
      <c r="U264" t="n">
        <v>0</v>
      </c>
      <c r="V264" s="2" t="inlineStr">
        <is>
          <t>Dropptaggsvamp
Talltita
Violettgrå tagellav
Dolkstekelsglasvinge
Grovticka
Mindre märgborre
Vanlig flatbagge
Vågbandad barkbock
Spillkråka
Revlummer</t>
        </is>
      </c>
      <c r="W264">
        <f>HYPERLINK("https://klasma.github.io/Logging_2081/artfynd/A 17081-2026 artfynd.xlsx", "A 17081-2026")</f>
        <v/>
      </c>
      <c r="X264">
        <f>HYPERLINK("https://klasma.github.io/Logging_2081/kartor/A 17081-2026 karta.png", "A 17081-2026")</f>
        <v/>
      </c>
      <c r="Y264">
        <f>HYPERLINK("https://klasma.github.io/Logging_2081/kartor_geotiff/A 17081-2026 georefererad karta.tif", "A 17081-2026")</f>
        <v/>
      </c>
      <c r="AA264">
        <f>HYPERLINK("https://klasma.github.io/Logging_2081/klagomål/A 17081-2026 FSC-klagomål.docx", "A 17081-2026")</f>
        <v/>
      </c>
      <c r="AB264">
        <f>HYPERLINK("https://klasma.github.io/Logging_2081/klagomålsmail/A 17081-2026 FSC-klagomål mail.docx", "A 17081-2026")</f>
        <v/>
      </c>
      <c r="AC264">
        <f>HYPERLINK("https://klasma.github.io/Logging_2081/tillsyn/A 17081-2026 tillsynsbegäran.docx", "A 17081-2026")</f>
        <v/>
      </c>
      <c r="AD264">
        <f>HYPERLINK("https://klasma.github.io/Logging_2081/tillsynsmail/A 17081-2026 tillsynsbegäran mail.docx", "A 17081-2026")</f>
        <v/>
      </c>
      <c r="AE264">
        <f>HYPERLINK("https://klasma.github.io/Logging_2081/fåglar/A 17081-2026 prioriterade fågelarter.docx", "A 17081-2026")</f>
        <v/>
      </c>
    </row>
    <row r="265" ht="15" customHeight="1">
      <c r="A265" t="inlineStr">
        <is>
          <t>A 9501-2025</t>
        </is>
      </c>
      <c r="B265" t="inlineStr">
        <is>
          <t>avverkningsanmälan</t>
        </is>
      </c>
      <c r="C265" t="inlineStr">
        <is>
          <t>Föryngringsavverkning</t>
        </is>
      </c>
      <c r="D265" s="1" t="n">
        <v>45715</v>
      </c>
      <c r="E265" s="1" t="n">
        <v>46319</v>
      </c>
      <c r="F265" t="inlineStr">
        <is>
          <t>DALARNAS LÄN</t>
        </is>
      </c>
      <c r="G265" t="inlineStr">
        <is>
          <t>LEKSAND</t>
        </is>
      </c>
      <c r="I265" t="n">
        <v>1.4</v>
      </c>
      <c r="J265" t="n">
        <v>5</v>
      </c>
      <c r="K265" t="n">
        <v>2</v>
      </c>
      <c r="L265" t="n">
        <v>0</v>
      </c>
      <c r="M265" t="n">
        <v>1</v>
      </c>
      <c r="N265" t="n">
        <v>1</v>
      </c>
      <c r="O265" t="n">
        <v>0</v>
      </c>
      <c r="P265" t="n">
        <v>0</v>
      </c>
      <c r="Q265" t="n">
        <v>2</v>
      </c>
      <c r="R265" t="n">
        <v>2</v>
      </c>
      <c r="S265" t="n">
        <v>10</v>
      </c>
      <c r="T265" t="n">
        <v>82</v>
      </c>
      <c r="U265" t="n">
        <v>82</v>
      </c>
      <c r="V265" s="2" t="inlineStr">
        <is>
          <t>Bitter taggsvamp
Knärot
Bronshjon
Mindre märgborre
Järpe
Kransmossa
Linnea
Spillkråka
Tjäder
Revlummer</t>
        </is>
      </c>
      <c r="W265">
        <f>HYPERLINK("https://klasma.github.io/Logging_2029/artfynd/A 9501-2025 artfynd.xlsx", "A 9501-2025")</f>
        <v/>
      </c>
      <c r="X265">
        <f>HYPERLINK("https://klasma.github.io/Logging_2029/kartor/A 9501-2025 karta.png", "A 9501-2025")</f>
        <v/>
      </c>
      <c r="Y265">
        <f>HYPERLINK("https://klasma.github.io/Logging_2029/kartor_geotiff/A 9501-2025 georefererad karta.tif", "A 9501-2025")</f>
        <v/>
      </c>
      <c r="Z265">
        <f>HYPERLINK("https://klasma.github.io/Logging_2029/knärot/A 9501-2025 karta knärot.png", "A 9501-2025")</f>
        <v/>
      </c>
      <c r="AA265">
        <f>HYPERLINK("https://klasma.github.io/Logging_2029/klagomål/A 9501-2025 FSC-klagomål.docx", "A 9501-2025")</f>
        <v/>
      </c>
      <c r="AB265">
        <f>HYPERLINK("https://klasma.github.io/Logging_2029/klagomålsmail/A 9501-2025 FSC-klagomål mail.docx", "A 9501-2025")</f>
        <v/>
      </c>
      <c r="AC265">
        <f>HYPERLINK("https://klasma.github.io/Logging_2029/tillsyn/A 9501-2025 tillsynsbegäran.docx", "A 9501-2025")</f>
        <v/>
      </c>
      <c r="AD265">
        <f>HYPERLINK("https://klasma.github.io/Logging_2029/tillsynsmail/A 9501-2025 tillsynsbegäran mail.docx", "A 9501-2025")</f>
        <v/>
      </c>
      <c r="AE265">
        <f>HYPERLINK("https://klasma.github.io/Logging_2029/fåglar/A 9501-2025 prioriterade fågelarter.docx", "A 9501-2025")</f>
        <v/>
      </c>
    </row>
    <row r="266" ht="15" customHeight="1">
      <c r="A266" t="inlineStr">
        <is>
          <t>A 39762-2025</t>
        </is>
      </c>
      <c r="B266" t="inlineStr">
        <is>
          <t>avverkningsanmälan</t>
        </is>
      </c>
      <c r="C266" t="inlineStr">
        <is>
          <t>Föryngringsavverkning</t>
        </is>
      </c>
      <c r="D266" s="1" t="n">
        <v>45891</v>
      </c>
      <c r="E266" s="1" t="n">
        <v>46319</v>
      </c>
      <c r="F266" t="inlineStr">
        <is>
          <t>DALARNAS LÄN</t>
        </is>
      </c>
      <c r="G266" t="inlineStr">
        <is>
          <t>ÄLVDALEN</t>
        </is>
      </c>
      <c r="I266" t="n">
        <v>4.7</v>
      </c>
      <c r="J266" t="n">
        <v>4</v>
      </c>
      <c r="K266" t="n">
        <v>1</v>
      </c>
      <c r="L266" t="n">
        <v>5</v>
      </c>
      <c r="M266" t="n">
        <v>1</v>
      </c>
      <c r="N266" t="n">
        <v>1</v>
      </c>
      <c r="O266" t="n">
        <v>0</v>
      </c>
      <c r="P266" t="n">
        <v>0</v>
      </c>
      <c r="Q266" t="n">
        <v>7</v>
      </c>
      <c r="R266" t="n">
        <v>2</v>
      </c>
      <c r="S266" t="n">
        <v>10</v>
      </c>
      <c r="T266" t="n">
        <v>45</v>
      </c>
      <c r="U266" t="n">
        <v>45</v>
      </c>
      <c r="V266" s="2" t="inlineStr">
        <is>
          <t>Långt broktagel
Garnlav
Lavskrika
Tallticka
Tretåig hackspett
Vedskivlav
Violettgrå tagellav
Mindre märgborre
Spillkråka
Tjäder</t>
        </is>
      </c>
      <c r="W266">
        <f>HYPERLINK("https://klasma.github.io/Logging_2039/artfynd/A 39762-2025 artfynd.xlsx", "A 39762-2025")</f>
        <v/>
      </c>
      <c r="X266">
        <f>HYPERLINK("https://klasma.github.io/Logging_2039/kartor/A 39762-2025 karta.png", "A 39762-2025")</f>
        <v/>
      </c>
      <c r="Y266">
        <f>HYPERLINK("https://klasma.github.io/Logging_2039/kartor_geotiff/A 39762-2025 georefererad karta.tif", "A 39762-2025")</f>
        <v/>
      </c>
      <c r="AA266">
        <f>HYPERLINK("https://klasma.github.io/Logging_2039/klagomål/A 39762-2025 FSC-klagomål.docx", "A 39762-2025")</f>
        <v/>
      </c>
      <c r="AB266">
        <f>HYPERLINK("https://klasma.github.io/Logging_2039/klagomålsmail/A 39762-2025 FSC-klagomål mail.docx", "A 39762-2025")</f>
        <v/>
      </c>
      <c r="AC266">
        <f>HYPERLINK("https://klasma.github.io/Logging_2039/tillsyn/A 39762-2025 tillsynsbegäran.docx", "A 39762-2025")</f>
        <v/>
      </c>
      <c r="AD266">
        <f>HYPERLINK("https://klasma.github.io/Logging_2039/tillsynsmail/A 39762-2025 tillsynsbegäran mail.docx", "A 39762-2025")</f>
        <v/>
      </c>
      <c r="AE266">
        <f>HYPERLINK("https://klasma.github.io/Logging_2039/fåglar/A 39762-2025 prioriterade fågelarter.docx", "A 39762-2025")</f>
        <v/>
      </c>
    </row>
    <row r="267" ht="15" customHeight="1">
      <c r="A267" t="inlineStr">
        <is>
          <t>A 11713-2025</t>
        </is>
      </c>
      <c r="B267" t="inlineStr">
        <is>
          <t>avverkningsanmälan</t>
        </is>
      </c>
      <c r="C267" t="inlineStr">
        <is>
          <t>Föryngringsavverkning</t>
        </is>
      </c>
      <c r="D267" s="1" t="n">
        <v>45727</v>
      </c>
      <c r="E267" s="1" t="n">
        <v>46319</v>
      </c>
      <c r="F267" t="inlineStr">
        <is>
          <t>DALARNAS LÄN</t>
        </is>
      </c>
      <c r="G267" t="inlineStr">
        <is>
          <t>VANSBRO</t>
        </is>
      </c>
      <c r="I267" t="n">
        <v>10.6</v>
      </c>
      <c r="J267" t="n">
        <v>3</v>
      </c>
      <c r="K267" t="n">
        <v>2</v>
      </c>
      <c r="L267" t="n">
        <v>5</v>
      </c>
      <c r="M267" t="n">
        <v>2</v>
      </c>
      <c r="N267" t="n">
        <v>0</v>
      </c>
      <c r="O267" t="n">
        <v>0</v>
      </c>
      <c r="P267" t="n">
        <v>0</v>
      </c>
      <c r="Q267" t="n">
        <v>7</v>
      </c>
      <c r="R267" t="n">
        <v>2</v>
      </c>
      <c r="S267" t="n">
        <v>10</v>
      </c>
      <c r="T267" t="n">
        <v>65</v>
      </c>
      <c r="U267" t="n">
        <v>65</v>
      </c>
      <c r="V267" s="2" t="inlineStr">
        <is>
          <t>Garnlav
Knärot
Fjällig taggsvamp s.str.
Orange taggsvamp
Rynkskinn
Tretåig hackspett
Ullticka
Trådticka
Vedticka
Tjäder</t>
        </is>
      </c>
      <c r="W267">
        <f>HYPERLINK("https://klasma.github.io/Logging_2021/artfynd/A 11713-2025 artfynd.xlsx", "A 11713-2025")</f>
        <v/>
      </c>
      <c r="X267">
        <f>HYPERLINK("https://klasma.github.io/Logging_2021/kartor/A 11713-2025 karta.png", "A 11713-2025")</f>
        <v/>
      </c>
      <c r="Y267">
        <f>HYPERLINK("https://klasma.github.io/Logging_2021/kartor_geotiff/A 11713-2025 georefererad karta.tif", "A 11713-2025")</f>
        <v/>
      </c>
      <c r="Z267">
        <f>HYPERLINK("https://klasma.github.io/Logging_2021/knärot/A 11713-2025 karta knärot.png", "A 11713-2025")</f>
        <v/>
      </c>
      <c r="AA267">
        <f>HYPERLINK("https://klasma.github.io/Logging_2021/klagomål/A 11713-2025 FSC-klagomål.docx", "A 11713-2025")</f>
        <v/>
      </c>
      <c r="AB267">
        <f>HYPERLINK("https://klasma.github.io/Logging_2021/klagomålsmail/A 11713-2025 FSC-klagomål mail.docx", "A 11713-2025")</f>
        <v/>
      </c>
      <c r="AC267">
        <f>HYPERLINK("https://klasma.github.io/Logging_2021/tillsyn/A 11713-2025 tillsynsbegäran.docx", "A 11713-2025")</f>
        <v/>
      </c>
      <c r="AD267">
        <f>HYPERLINK("https://klasma.github.io/Logging_2021/tillsynsmail/A 11713-2025 tillsynsbegäran mail.docx", "A 11713-2025")</f>
        <v/>
      </c>
      <c r="AE267">
        <f>HYPERLINK("https://klasma.github.io/Logging_2021/fåglar/A 11713-2025 prioriterade fågelarter.docx", "A 11713-2025")</f>
        <v/>
      </c>
    </row>
    <row r="268" ht="15" customHeight="1">
      <c r="A268" t="inlineStr">
        <is>
          <t>A 32048-2025</t>
        </is>
      </c>
      <c r="B268" t="inlineStr">
        <is>
          <t>avverkningsanmälan</t>
        </is>
      </c>
      <c r="C268" t="inlineStr">
        <is>
          <t>Föryngringsavverkning</t>
        </is>
      </c>
      <c r="D268" s="1" t="n">
        <v>45835</v>
      </c>
      <c r="E268" s="1" t="n">
        <v>46319</v>
      </c>
      <c r="F268" t="inlineStr">
        <is>
          <t>DALARNAS LÄN</t>
        </is>
      </c>
      <c r="G268" t="inlineStr">
        <is>
          <t>ÄLVDALEN</t>
        </is>
      </c>
      <c r="I268" t="n">
        <v>6.7</v>
      </c>
      <c r="J268" t="n">
        <v>4</v>
      </c>
      <c r="K268" t="n">
        <v>0</v>
      </c>
      <c r="L268" t="n">
        <v>7</v>
      </c>
      <c r="M268" t="n">
        <v>1</v>
      </c>
      <c r="N268" t="n">
        <v>0</v>
      </c>
      <c r="O268" t="n">
        <v>0</v>
      </c>
      <c r="P268" t="n">
        <v>0</v>
      </c>
      <c r="Q268" t="n">
        <v>8</v>
      </c>
      <c r="R268" t="n">
        <v>1</v>
      </c>
      <c r="S268" t="n">
        <v>10</v>
      </c>
      <c r="T268" t="n">
        <v>83</v>
      </c>
      <c r="U268" t="n">
        <v>83</v>
      </c>
      <c r="V268" s="2" t="inlineStr">
        <is>
          <t>Garnlav
Doftskinn
Mörk kolflarnlav
Talltita
Tretåig hackspett
Vedflamlav
Vedskivlav
Vitgrynig nållav
Spillkråka
Tjäder</t>
        </is>
      </c>
      <c r="W268">
        <f>HYPERLINK("https://klasma.github.io/Logging_2039/artfynd/A 32048-2025 artfynd.xlsx", "A 32048-2025")</f>
        <v/>
      </c>
      <c r="X268">
        <f>HYPERLINK("https://klasma.github.io/Logging_2039/kartor/A 32048-2025 karta.png", "A 32048-2025")</f>
        <v/>
      </c>
      <c r="Y268">
        <f>HYPERLINK("https://klasma.github.io/Logging_2039/kartor_geotiff/A 32048-2025 georefererad karta.tif", "A 32048-2025")</f>
        <v/>
      </c>
      <c r="AA268">
        <f>HYPERLINK("https://klasma.github.io/Logging_2039/klagomål/A 32048-2025 FSC-klagomål.docx", "A 32048-2025")</f>
        <v/>
      </c>
      <c r="AB268">
        <f>HYPERLINK("https://klasma.github.io/Logging_2039/klagomålsmail/A 32048-2025 FSC-klagomål mail.docx", "A 32048-2025")</f>
        <v/>
      </c>
      <c r="AC268">
        <f>HYPERLINK("https://klasma.github.io/Logging_2039/tillsyn/A 32048-2025 tillsynsbegäran.docx", "A 32048-2025")</f>
        <v/>
      </c>
      <c r="AD268">
        <f>HYPERLINK("https://klasma.github.io/Logging_2039/tillsynsmail/A 32048-2025 tillsynsbegäran mail.docx", "A 32048-2025")</f>
        <v/>
      </c>
      <c r="AE268">
        <f>HYPERLINK("https://klasma.github.io/Logging_2039/fåglar/A 32048-2025 prioriterade fågelarter.docx", "A 32048-2025")</f>
        <v/>
      </c>
    </row>
    <row r="269" ht="15" customHeight="1">
      <c r="A269" t="inlineStr">
        <is>
          <t>A 28671-2025</t>
        </is>
      </c>
      <c r="B269" t="inlineStr">
        <is>
          <t>avverkningsanmälan</t>
        </is>
      </c>
      <c r="C269" t="inlineStr">
        <is>
          <t>Föryngringsavverkning</t>
        </is>
      </c>
      <c r="D269" s="1" t="n">
        <v>45819</v>
      </c>
      <c r="E269" s="1" t="n">
        <v>46319</v>
      </c>
      <c r="F269" t="inlineStr">
        <is>
          <t>DALARNAS LÄN</t>
        </is>
      </c>
      <c r="G269" t="inlineStr">
        <is>
          <t>BORLÄNGE</t>
        </is>
      </c>
      <c r="I269" t="n">
        <v>4.9</v>
      </c>
      <c r="J269" t="n">
        <v>5</v>
      </c>
      <c r="K269" t="n">
        <v>1</v>
      </c>
      <c r="L269" t="n">
        <v>6</v>
      </c>
      <c r="M269" t="n">
        <v>1</v>
      </c>
      <c r="N269" t="n">
        <v>0</v>
      </c>
      <c r="O269" t="n">
        <v>0</v>
      </c>
      <c r="P269" t="n">
        <v>0</v>
      </c>
      <c r="Q269" t="n">
        <v>7</v>
      </c>
      <c r="R269" t="n">
        <v>1</v>
      </c>
      <c r="S269" t="n">
        <v>10</v>
      </c>
      <c r="T269" t="n">
        <v>33</v>
      </c>
      <c r="U269" t="n">
        <v>31</v>
      </c>
      <c r="V269" s="2" t="inlineStr">
        <is>
          <t>Knärot
Dropptaggsvamp
Rosenticka
Rynkskinn
Talltita
Tretåig hackspett
Ullticka
Vedticka
Spillkråka
Tjäder</t>
        </is>
      </c>
      <c r="W269">
        <f>HYPERLINK("https://klasma.github.io/Logging_2081/artfynd/A 28671-2025 artfynd.xlsx", "A 28671-2025")</f>
        <v/>
      </c>
      <c r="X269">
        <f>HYPERLINK("https://klasma.github.io/Logging_2081/kartor/A 28671-2025 karta.png", "A 28671-2025")</f>
        <v/>
      </c>
      <c r="Y269">
        <f>HYPERLINK("https://klasma.github.io/Logging_2081/kartor_geotiff/A 28671-2025 georefererad karta.tif", "A 28671-2025")</f>
        <v/>
      </c>
      <c r="Z269">
        <f>HYPERLINK("https://klasma.github.io/Logging_2081/knärot/A 28671-2025 karta knärot.png", "A 28671-2025")</f>
        <v/>
      </c>
      <c r="AA269">
        <f>HYPERLINK("https://klasma.github.io/Logging_2081/klagomål/A 28671-2025 FSC-klagomål.docx", "A 28671-2025")</f>
        <v/>
      </c>
      <c r="AB269">
        <f>HYPERLINK("https://klasma.github.io/Logging_2081/klagomålsmail/A 28671-2025 FSC-klagomål mail.docx", "A 28671-2025")</f>
        <v/>
      </c>
      <c r="AC269">
        <f>HYPERLINK("https://klasma.github.io/Logging_2081/tillsyn/A 28671-2025 tillsynsbegäran.docx", "A 28671-2025")</f>
        <v/>
      </c>
      <c r="AD269">
        <f>HYPERLINK("https://klasma.github.io/Logging_2081/tillsynsmail/A 28671-2025 tillsynsbegäran mail.docx", "A 28671-2025")</f>
        <v/>
      </c>
      <c r="AE269">
        <f>HYPERLINK("https://klasma.github.io/Logging_2081/fåglar/A 28671-2025 prioriterade fågelarter.docx", "A 28671-2025")</f>
        <v/>
      </c>
    </row>
    <row r="270" ht="15" customHeight="1">
      <c r="A270" t="inlineStr">
        <is>
          <t>A 6823-2026</t>
        </is>
      </c>
      <c r="B270" t="inlineStr">
        <is>
          <t>avverkningsanmälan</t>
        </is>
      </c>
      <c r="C270" t="inlineStr">
        <is>
          <t>Föryngringsavverkning</t>
        </is>
      </c>
      <c r="D270" s="1" t="n">
        <v>46057</v>
      </c>
      <c r="E270" s="1" t="n">
        <v>46319</v>
      </c>
      <c r="F270" t="inlineStr">
        <is>
          <t>DALARNAS LÄN</t>
        </is>
      </c>
      <c r="G270" t="inlineStr">
        <is>
          <t>ÄLVDALEN</t>
        </is>
      </c>
      <c r="I270" t="n">
        <v>3.9</v>
      </c>
      <c r="J270" t="n">
        <v>5</v>
      </c>
      <c r="K270" t="n">
        <v>1</v>
      </c>
      <c r="L270" t="n">
        <v>3</v>
      </c>
      <c r="M270" t="n">
        <v>1</v>
      </c>
      <c r="N270" t="n">
        <v>0</v>
      </c>
      <c r="O270" t="n">
        <v>0</v>
      </c>
      <c r="P270" t="n">
        <v>0</v>
      </c>
      <c r="Q270" t="n">
        <v>4</v>
      </c>
      <c r="R270" t="n">
        <v>1</v>
      </c>
      <c r="S270" t="n">
        <v>10</v>
      </c>
      <c r="T270" t="n">
        <v>29</v>
      </c>
      <c r="U270" t="n">
        <v>29</v>
      </c>
      <c r="V270" s="2" t="inlineStr">
        <is>
          <t>Garnlav
Tallticka
Tretåig hackspett
Ullticka
Mindre märgborre
Järpe
Linnea
Spillkråka
Tjäder
Fläcknycklar</t>
        </is>
      </c>
      <c r="W270">
        <f>HYPERLINK("https://klasma.github.io/Logging_2039/artfynd/A 6823-2026 artfynd.xlsx", "A 6823-2026")</f>
        <v/>
      </c>
      <c r="X270">
        <f>HYPERLINK("https://klasma.github.io/Logging_2039/kartor/A 6823-2026 karta.png", "A 6823-2026")</f>
        <v/>
      </c>
      <c r="Y270">
        <f>HYPERLINK("https://klasma.github.io/Logging_2039/kartor_geotiff/A 6823-2026 georefererad karta.tif", "A 6823-2026")</f>
        <v/>
      </c>
      <c r="AA270">
        <f>HYPERLINK("https://klasma.github.io/Logging_2039/klagomål/A 6823-2026 FSC-klagomål.docx", "A 6823-2026")</f>
        <v/>
      </c>
      <c r="AB270">
        <f>HYPERLINK("https://klasma.github.io/Logging_2039/klagomålsmail/A 6823-2026 FSC-klagomål mail.docx", "A 6823-2026")</f>
        <v/>
      </c>
      <c r="AC270">
        <f>HYPERLINK("https://klasma.github.io/Logging_2039/tillsyn/A 6823-2026 tillsynsbegäran.docx", "A 6823-2026")</f>
        <v/>
      </c>
      <c r="AD270">
        <f>HYPERLINK("https://klasma.github.io/Logging_2039/tillsynsmail/A 6823-2026 tillsynsbegäran mail.docx", "A 6823-2026")</f>
        <v/>
      </c>
      <c r="AE270">
        <f>HYPERLINK("https://klasma.github.io/Logging_2039/fåglar/A 6823-2026 prioriterade fågelarter.docx", "A 6823-2026")</f>
        <v/>
      </c>
    </row>
    <row r="271" ht="15" customHeight="1">
      <c r="A271" t="inlineStr">
        <is>
          <t>A 62461-2025</t>
        </is>
      </c>
      <c r="B271" t="inlineStr">
        <is>
          <t>avverkningsanmälan</t>
        </is>
      </c>
      <c r="C271" t="inlineStr">
        <is>
          <t>Föryngringsavverkning</t>
        </is>
      </c>
      <c r="D271" s="1" t="n">
        <v>46007</v>
      </c>
      <c r="E271" s="1" t="n">
        <v>46319</v>
      </c>
      <c r="F271" t="inlineStr">
        <is>
          <t>DALARNAS LÄN</t>
        </is>
      </c>
      <c r="G271" t="inlineStr">
        <is>
          <t>VANSBRO</t>
        </is>
      </c>
      <c r="I271" t="n">
        <v>11.9</v>
      </c>
      <c r="J271" t="n">
        <v>4</v>
      </c>
      <c r="K271" t="n">
        <v>1</v>
      </c>
      <c r="L271" t="n">
        <v>5</v>
      </c>
      <c r="M271" t="n">
        <v>2</v>
      </c>
      <c r="N271" t="n">
        <v>0</v>
      </c>
      <c r="O271" t="n">
        <v>0</v>
      </c>
      <c r="P271" t="n">
        <v>0</v>
      </c>
      <c r="Q271" t="n">
        <v>7</v>
      </c>
      <c r="R271" t="n">
        <v>2</v>
      </c>
      <c r="S271" t="n">
        <v>10</v>
      </c>
      <c r="T271" t="n">
        <v>26</v>
      </c>
      <c r="U271" t="n">
        <v>0</v>
      </c>
      <c r="V271" s="2" t="inlineStr">
        <is>
          <t>Garnlav
Knärot
Dropptaggsvamp
Kolflarnlav
Mörk kolflarnlav
Tretåig hackspett
Vaddporing
Bollvitmossa
Spillkråka
Tjäder</t>
        </is>
      </c>
      <c r="W271">
        <f>HYPERLINK("https://klasma.github.io/Logging_2021/artfynd/A 62461-2025 artfynd.xlsx", "A 62461-2025")</f>
        <v/>
      </c>
      <c r="X271">
        <f>HYPERLINK("https://klasma.github.io/Logging_2021/kartor/A 62461-2025 karta.png", "A 62461-2025")</f>
        <v/>
      </c>
      <c r="Y271">
        <f>HYPERLINK("https://klasma.github.io/Logging_2021/kartor_geotiff/A 62461-2025 georefererad karta.tif", "A 62461-2025")</f>
        <v/>
      </c>
      <c r="Z271">
        <f>HYPERLINK("https://klasma.github.io/Logging_2021/knärot/A 62461-2025 karta knärot.png", "A 62461-2025")</f>
        <v/>
      </c>
      <c r="AA271">
        <f>HYPERLINK("https://klasma.github.io/Logging_2021/klagomål/A 62461-2025 FSC-klagomål.docx", "A 62461-2025")</f>
        <v/>
      </c>
      <c r="AB271">
        <f>HYPERLINK("https://klasma.github.io/Logging_2021/klagomålsmail/A 62461-2025 FSC-klagomål mail.docx", "A 62461-2025")</f>
        <v/>
      </c>
      <c r="AC271">
        <f>HYPERLINK("https://klasma.github.io/Logging_2021/tillsyn/A 62461-2025 tillsynsbegäran.docx", "A 62461-2025")</f>
        <v/>
      </c>
      <c r="AD271">
        <f>HYPERLINK("https://klasma.github.io/Logging_2021/tillsynsmail/A 62461-2025 tillsynsbegäran mail.docx", "A 62461-2025")</f>
        <v/>
      </c>
      <c r="AE271">
        <f>HYPERLINK("https://klasma.github.io/Logging_2021/fåglar/A 62461-2025 prioriterade fågelarter.docx", "A 62461-2025")</f>
        <v/>
      </c>
    </row>
    <row r="272" ht="15" customHeight="1">
      <c r="A272" t="inlineStr">
        <is>
          <t>A 40444-2025</t>
        </is>
      </c>
      <c r="B272" t="inlineStr">
        <is>
          <t>avverkningsanmälan</t>
        </is>
      </c>
      <c r="C272" t="inlineStr">
        <is>
          <t>Föryngringsavverkning</t>
        </is>
      </c>
      <c r="D272" s="1" t="n">
        <v>45895</v>
      </c>
      <c r="E272" s="1" t="n">
        <v>46319</v>
      </c>
      <c r="F272" t="inlineStr">
        <is>
          <t>DALARNAS LÄN</t>
        </is>
      </c>
      <c r="G272" t="inlineStr">
        <is>
          <t>ÄLVDALEN</t>
        </is>
      </c>
      <c r="I272" t="n">
        <v>7.4</v>
      </c>
      <c r="J272" t="n">
        <v>2</v>
      </c>
      <c r="K272" t="n">
        <v>1</v>
      </c>
      <c r="L272" t="n">
        <v>8</v>
      </c>
      <c r="M272" t="n">
        <v>1</v>
      </c>
      <c r="N272" t="n">
        <v>0</v>
      </c>
      <c r="O272" t="n">
        <v>0</v>
      </c>
      <c r="P272" t="n">
        <v>0</v>
      </c>
      <c r="Q272" t="n">
        <v>9</v>
      </c>
      <c r="R272" t="n">
        <v>1</v>
      </c>
      <c r="S272" t="n">
        <v>10</v>
      </c>
      <c r="T272" t="n">
        <v>19</v>
      </c>
      <c r="U272" t="n">
        <v>19</v>
      </c>
      <c r="V272" s="2" t="inlineStr">
        <is>
          <t>Garnlav
Blanksvart spiklav
Blågrå svartspik
Dropptaggsvamp
Lavskrika
Mörk kolflarnlav
Talltita
Vedflamlav
Vedskivlav
Vedticka</t>
        </is>
      </c>
      <c r="W272">
        <f>HYPERLINK("https://klasma.github.io/Logging_2039/artfynd/A 40444-2025 artfynd.xlsx", "A 40444-2025")</f>
        <v/>
      </c>
      <c r="X272">
        <f>HYPERLINK("https://klasma.github.io/Logging_2039/kartor/A 40444-2025 karta.png", "A 40444-2025")</f>
        <v/>
      </c>
      <c r="Y272">
        <f>HYPERLINK("https://klasma.github.io/Logging_2039/kartor_geotiff/A 40444-2025 georefererad karta.tif", "A 40444-2025")</f>
        <v/>
      </c>
      <c r="AA272">
        <f>HYPERLINK("https://klasma.github.io/Logging_2039/klagomål/A 40444-2025 FSC-klagomål.docx", "A 40444-2025")</f>
        <v/>
      </c>
      <c r="AB272">
        <f>HYPERLINK("https://klasma.github.io/Logging_2039/klagomålsmail/A 40444-2025 FSC-klagomål mail.docx", "A 40444-2025")</f>
        <v/>
      </c>
      <c r="AC272">
        <f>HYPERLINK("https://klasma.github.io/Logging_2039/tillsyn/A 40444-2025 tillsynsbegäran.docx", "A 40444-2025")</f>
        <v/>
      </c>
      <c r="AD272">
        <f>HYPERLINK("https://klasma.github.io/Logging_2039/tillsynsmail/A 40444-2025 tillsynsbegäran mail.docx", "A 40444-2025")</f>
        <v/>
      </c>
      <c r="AE272">
        <f>HYPERLINK("https://klasma.github.io/Logging_2039/fåglar/A 40444-2025 prioriterade fågelarter.docx", "A 40444-2025")</f>
        <v/>
      </c>
    </row>
    <row r="273" ht="15" customHeight="1">
      <c r="A273" t="inlineStr">
        <is>
          <t>A 34928-2024</t>
        </is>
      </c>
      <c r="B273" t="inlineStr">
        <is>
          <t>avverkningsanmälan</t>
        </is>
      </c>
      <c r="C273" t="inlineStr">
        <is>
          <t>Föryngringsavverkning</t>
        </is>
      </c>
      <c r="D273" s="1" t="n">
        <v>45527</v>
      </c>
      <c r="E273" s="1" t="n">
        <v>46319</v>
      </c>
      <c r="F273" t="inlineStr">
        <is>
          <t>DALARNAS LÄN</t>
        </is>
      </c>
      <c r="G273" t="inlineStr">
        <is>
          <t>HEDEMORA</t>
        </is>
      </c>
      <c r="H273" t="inlineStr">
        <is>
          <t>Sveaskog</t>
        </is>
      </c>
      <c r="I273" t="n">
        <v>2.8</v>
      </c>
      <c r="J273" t="n">
        <v>2</v>
      </c>
      <c r="K273" t="n">
        <v>2</v>
      </c>
      <c r="L273" t="n">
        <v>3</v>
      </c>
      <c r="M273" t="n">
        <v>1</v>
      </c>
      <c r="N273" t="n">
        <v>2</v>
      </c>
      <c r="O273" t="n">
        <v>0</v>
      </c>
      <c r="P273" t="n">
        <v>0</v>
      </c>
      <c r="Q273" t="n">
        <v>6</v>
      </c>
      <c r="R273" t="n">
        <v>3</v>
      </c>
      <c r="S273" t="n">
        <v>10</v>
      </c>
      <c r="T273" t="n">
        <v>29</v>
      </c>
      <c r="U273" t="n">
        <v>29</v>
      </c>
      <c r="V273" s="2" t="inlineStr">
        <is>
          <t>Sammetstaggsvamp
Violgubbe
Gul taggsvamp
Dofttaggsvamp
Gultoppig fingersvamp
Puderspindling
Olivspindling
Svavelriska
Blåsippa
Spillkråka</t>
        </is>
      </c>
      <c r="W273">
        <f>HYPERLINK("https://klasma.github.io/Logging_2083/artfynd/A 34928-2024 artfynd.xlsx", "A 34928-2024")</f>
        <v/>
      </c>
      <c r="X273">
        <f>HYPERLINK("https://klasma.github.io/Logging_2083/kartor/A 34928-2024 karta.png", "A 34928-2024")</f>
        <v/>
      </c>
      <c r="Y273">
        <f>HYPERLINK("https://klasma.github.io/Logging_2083/kartor_geotiff/A 34928-2024 georefererad karta.tif", "A 34928-2024")</f>
        <v/>
      </c>
      <c r="AA273">
        <f>HYPERLINK("https://klasma.github.io/Logging_2083/klagomål/A 34928-2024 FSC-klagomål.docx", "A 34928-2024")</f>
        <v/>
      </c>
      <c r="AB273">
        <f>HYPERLINK("https://klasma.github.io/Logging_2083/klagomålsmail/A 34928-2024 FSC-klagomål mail.docx", "A 34928-2024")</f>
        <v/>
      </c>
      <c r="AC273">
        <f>HYPERLINK("https://klasma.github.io/Logging_2083/tillsyn/A 34928-2024 tillsynsbegäran.docx", "A 34928-2024")</f>
        <v/>
      </c>
      <c r="AD273">
        <f>HYPERLINK("https://klasma.github.io/Logging_2083/tillsynsmail/A 34928-2024 tillsynsbegäran mail.docx", "A 34928-2024")</f>
        <v/>
      </c>
      <c r="AE273">
        <f>HYPERLINK("https://klasma.github.io/Logging_2083/fåglar/A 34928-2024 prioriterade fågelarter.docx", "A 34928-2024")</f>
        <v/>
      </c>
    </row>
    <row r="274" ht="15" customHeight="1">
      <c r="A274" t="inlineStr">
        <is>
          <t>A 57804-2025</t>
        </is>
      </c>
      <c r="B274" t="inlineStr">
        <is>
          <t>avverkningsanmälan</t>
        </is>
      </c>
      <c r="C274" t="inlineStr">
        <is>
          <t>Föryngringsavverkning</t>
        </is>
      </c>
      <c r="D274" s="1" t="n">
        <v>45981</v>
      </c>
      <c r="E274" s="1" t="n">
        <v>46319</v>
      </c>
      <c r="F274" t="inlineStr">
        <is>
          <t>DALARNAS LÄN</t>
        </is>
      </c>
      <c r="G274" t="inlineStr">
        <is>
          <t>LUDVIKA</t>
        </is>
      </c>
      <c r="H274" t="inlineStr">
        <is>
          <t>Bergvik skog väst AB</t>
        </is>
      </c>
      <c r="I274" t="n">
        <v>4.5</v>
      </c>
      <c r="J274" t="n">
        <v>3</v>
      </c>
      <c r="K274" t="n">
        <v>1</v>
      </c>
      <c r="L274" t="n">
        <v>7</v>
      </c>
      <c r="M274" t="n">
        <v>1</v>
      </c>
      <c r="N274" t="n">
        <v>0</v>
      </c>
      <c r="O274" t="n">
        <v>0</v>
      </c>
      <c r="P274" t="n">
        <v>0</v>
      </c>
      <c r="Q274" t="n">
        <v>8</v>
      </c>
      <c r="R274" t="n">
        <v>1</v>
      </c>
      <c r="S274" t="n">
        <v>10</v>
      </c>
      <c r="T274" t="n">
        <v>61</v>
      </c>
      <c r="U274" t="n">
        <v>61</v>
      </c>
      <c r="V274" s="2" t="inlineStr">
        <is>
          <t>Knärot
Dropptaggsvamp
Kortskaftad ärgspik
Rosenticka
Rynkskinn
Tretåig hackspett
Ullticka
Vedtrappmossa
Mindre märgborre
Spillkråka</t>
        </is>
      </c>
      <c r="W274">
        <f>HYPERLINK("https://klasma.github.io/Logging_2085/artfynd/A 57804-2025 artfynd.xlsx", "A 57804-2025")</f>
        <v/>
      </c>
      <c r="X274">
        <f>HYPERLINK("https://klasma.github.io/Logging_2085/kartor/A 57804-2025 karta.png", "A 57804-2025")</f>
        <v/>
      </c>
      <c r="Y274">
        <f>HYPERLINK("https://klasma.github.io/Logging_2085/kartor_geotiff/A 57804-2025 georefererad karta.tif", "A 57804-2025")</f>
        <v/>
      </c>
      <c r="Z274">
        <f>HYPERLINK("https://klasma.github.io/Logging_2085/knärot/A 57804-2025 karta knärot.png", "A 57804-2025")</f>
        <v/>
      </c>
      <c r="AA274">
        <f>HYPERLINK("https://klasma.github.io/Logging_2085/klagomål/A 57804-2025 FSC-klagomål.docx", "A 57804-2025")</f>
        <v/>
      </c>
      <c r="AB274">
        <f>HYPERLINK("https://klasma.github.io/Logging_2085/klagomålsmail/A 57804-2025 FSC-klagomål mail.docx", "A 57804-2025")</f>
        <v/>
      </c>
      <c r="AC274">
        <f>HYPERLINK("https://klasma.github.io/Logging_2085/tillsyn/A 57804-2025 tillsynsbegäran.docx", "A 57804-2025")</f>
        <v/>
      </c>
      <c r="AD274">
        <f>HYPERLINK("https://klasma.github.io/Logging_2085/tillsynsmail/A 57804-2025 tillsynsbegäran mail.docx", "A 57804-2025")</f>
        <v/>
      </c>
      <c r="AE274">
        <f>HYPERLINK("https://klasma.github.io/Logging_2085/fåglar/A 57804-2025 prioriterade fågelarter.docx", "A 57804-2025")</f>
        <v/>
      </c>
    </row>
    <row r="275" ht="15" customHeight="1">
      <c r="A275" t="inlineStr">
        <is>
          <t>A 23427-2025</t>
        </is>
      </c>
      <c r="B275" t="inlineStr">
        <is>
          <t>avverkningsanmälan</t>
        </is>
      </c>
      <c r="C275" t="inlineStr">
        <is>
          <t>Föryngringsavverkning</t>
        </is>
      </c>
      <c r="D275" s="1" t="n">
        <v>45792</v>
      </c>
      <c r="E275" s="1" t="n">
        <v>46319</v>
      </c>
      <c r="F275" t="inlineStr">
        <is>
          <t>DALARNAS LÄN</t>
        </is>
      </c>
      <c r="G275" t="inlineStr">
        <is>
          <t>ÄLVDALEN</t>
        </is>
      </c>
      <c r="H275" t="inlineStr">
        <is>
          <t>Bergvik skog väst AB</t>
        </is>
      </c>
      <c r="I275" t="n">
        <v>11.7</v>
      </c>
      <c r="J275" t="n">
        <v>5</v>
      </c>
      <c r="K275" t="n">
        <v>1</v>
      </c>
      <c r="L275" t="n">
        <v>5</v>
      </c>
      <c r="M275" t="n">
        <v>1</v>
      </c>
      <c r="N275" t="n">
        <v>0</v>
      </c>
      <c r="O275" t="n">
        <v>0</v>
      </c>
      <c r="P275" t="n">
        <v>0</v>
      </c>
      <c r="Q275" t="n">
        <v>6</v>
      </c>
      <c r="R275" t="n">
        <v>1</v>
      </c>
      <c r="S275" t="n">
        <v>10</v>
      </c>
      <c r="T275" t="n">
        <v>18</v>
      </c>
      <c r="U275" t="n">
        <v>18</v>
      </c>
      <c r="V275" s="2" t="inlineStr">
        <is>
          <t>Garnlav
Blanksvart spiklav
Blågrå svartspik
Tretåig hackspett
Varglav
Vedflamlav
Bronshjon
Tjäder
Fläcknycklar
Revlummer</t>
        </is>
      </c>
      <c r="W275">
        <f>HYPERLINK("https://klasma.github.io/Logging_2039/artfynd/A 23427-2025 artfynd.xlsx", "A 23427-2025")</f>
        <v/>
      </c>
      <c r="X275">
        <f>HYPERLINK("https://klasma.github.io/Logging_2039/kartor/A 23427-2025 karta.png", "A 23427-2025")</f>
        <v/>
      </c>
      <c r="Y275">
        <f>HYPERLINK("https://klasma.github.io/Logging_2039/kartor_geotiff/A 23427-2025 georefererad karta.tif", "A 23427-2025")</f>
        <v/>
      </c>
      <c r="AA275">
        <f>HYPERLINK("https://klasma.github.io/Logging_2039/klagomål/A 23427-2025 FSC-klagomål.docx", "A 23427-2025")</f>
        <v/>
      </c>
      <c r="AB275">
        <f>HYPERLINK("https://klasma.github.io/Logging_2039/klagomålsmail/A 23427-2025 FSC-klagomål mail.docx", "A 23427-2025")</f>
        <v/>
      </c>
      <c r="AC275">
        <f>HYPERLINK("https://klasma.github.io/Logging_2039/tillsyn/A 23427-2025 tillsynsbegäran.docx", "A 23427-2025")</f>
        <v/>
      </c>
      <c r="AD275">
        <f>HYPERLINK("https://klasma.github.io/Logging_2039/tillsynsmail/A 23427-2025 tillsynsbegäran mail.docx", "A 23427-2025")</f>
        <v/>
      </c>
      <c r="AE275">
        <f>HYPERLINK("https://klasma.github.io/Logging_2039/fåglar/A 23427-2025 prioriterade fågelarter.docx", "A 23427-2025")</f>
        <v/>
      </c>
    </row>
    <row r="276" ht="15" customHeight="1">
      <c r="A276" t="inlineStr">
        <is>
          <t>A 10669-2026</t>
        </is>
      </c>
      <c r="B276" t="inlineStr">
        <is>
          <t>avverkningsanmälan</t>
        </is>
      </c>
      <c r="C276" t="inlineStr">
        <is>
          <t>Föryngringsavverkning</t>
        </is>
      </c>
      <c r="D276" s="1" t="n">
        <v>46078</v>
      </c>
      <c r="E276" s="1" t="n">
        <v>46319</v>
      </c>
      <c r="F276" t="inlineStr">
        <is>
          <t>DALARNAS LÄN</t>
        </is>
      </c>
      <c r="G276" t="inlineStr">
        <is>
          <t>HEDEMORA</t>
        </is>
      </c>
      <c r="I276" t="n">
        <v>9.1</v>
      </c>
      <c r="J276" t="n">
        <v>4</v>
      </c>
      <c r="K276" t="n">
        <v>4</v>
      </c>
      <c r="L276" t="n">
        <v>2</v>
      </c>
      <c r="M276" t="n">
        <v>2</v>
      </c>
      <c r="N276" t="n">
        <v>0</v>
      </c>
      <c r="O276" t="n">
        <v>0</v>
      </c>
      <c r="P276" t="n">
        <v>0</v>
      </c>
      <c r="Q276" t="n">
        <v>4</v>
      </c>
      <c r="R276" t="n">
        <v>2</v>
      </c>
      <c r="S276" t="n">
        <v>10</v>
      </c>
      <c r="T276" t="n">
        <v>45</v>
      </c>
      <c r="U276" t="n">
        <v>45</v>
      </c>
      <c r="V276" s="2" t="inlineStr">
        <is>
          <t>Knärot
Ulltickeporing
Talltita
Ullticka
Björksplintborre
Bronshjon
Thomsons trägnagare
Vedticka
Spillkråka
Revlummer</t>
        </is>
      </c>
      <c r="W276">
        <f>HYPERLINK("https://klasma.github.io/Logging_2083/artfynd/A 10669-2026 artfynd.xlsx", "A 10669-2026")</f>
        <v/>
      </c>
      <c r="X276">
        <f>HYPERLINK("https://klasma.github.io/Logging_2083/kartor/A 10669-2026 karta.png", "A 10669-2026")</f>
        <v/>
      </c>
      <c r="Y276">
        <f>HYPERLINK("https://klasma.github.io/Logging_2083/kartor_geotiff/A 10669-2026 georefererad karta.tif", "A 10669-2026")</f>
        <v/>
      </c>
      <c r="Z276">
        <f>HYPERLINK("https://klasma.github.io/Logging_2083/knärot/A 10669-2026 karta knärot.png", "A 10669-2026")</f>
        <v/>
      </c>
      <c r="AA276">
        <f>HYPERLINK("https://klasma.github.io/Logging_2083/klagomål/A 10669-2026 FSC-klagomål.docx", "A 10669-2026")</f>
        <v/>
      </c>
      <c r="AB276">
        <f>HYPERLINK("https://klasma.github.io/Logging_2083/klagomålsmail/A 10669-2026 FSC-klagomål mail.docx", "A 10669-2026")</f>
        <v/>
      </c>
      <c r="AC276">
        <f>HYPERLINK("https://klasma.github.io/Logging_2083/tillsyn/A 10669-2026 tillsynsbegäran.docx", "A 10669-2026")</f>
        <v/>
      </c>
      <c r="AD276">
        <f>HYPERLINK("https://klasma.github.io/Logging_2083/tillsynsmail/A 10669-2026 tillsynsbegäran mail.docx", "A 10669-2026")</f>
        <v/>
      </c>
      <c r="AE276">
        <f>HYPERLINK("https://klasma.github.io/Logging_2083/fåglar/A 10669-2026 prioriterade fågelarter.docx", "A 10669-2026")</f>
        <v/>
      </c>
    </row>
    <row r="277" ht="15" customHeight="1">
      <c r="A277" t="inlineStr">
        <is>
          <t>A 23972-2026</t>
        </is>
      </c>
      <c r="B277" t="inlineStr">
        <is>
          <t>avverkningsanmälan</t>
        </is>
      </c>
      <c r="C277" t="inlineStr">
        <is>
          <t>Föryngringsavverkning</t>
        </is>
      </c>
      <c r="D277" s="1" t="n">
        <v>46167</v>
      </c>
      <c r="E277" s="1" t="n">
        <v>46319</v>
      </c>
      <c r="F277" t="inlineStr">
        <is>
          <t>DALARNAS LÄN</t>
        </is>
      </c>
      <c r="G277" t="inlineStr">
        <is>
          <t>MORA</t>
        </is>
      </c>
      <c r="I277" t="n">
        <v>4.1</v>
      </c>
      <c r="J277" t="n">
        <v>7</v>
      </c>
      <c r="K277" t="n">
        <v>1</v>
      </c>
      <c r="L277" t="n">
        <v>2</v>
      </c>
      <c r="M277" t="n">
        <v>3</v>
      </c>
      <c r="N277" t="n">
        <v>0</v>
      </c>
      <c r="O277" t="n">
        <v>0</v>
      </c>
      <c r="P277" t="n">
        <v>0</v>
      </c>
      <c r="Q277" t="n">
        <v>5</v>
      </c>
      <c r="R277" t="n">
        <v>3</v>
      </c>
      <c r="S277" t="n">
        <v>10</v>
      </c>
      <c r="T277" t="n">
        <v>41</v>
      </c>
      <c r="U277" t="n">
        <v>41</v>
      </c>
      <c r="V277" s="2" t="inlineStr">
        <is>
          <t>Garnlav
Knärot
Stare
Talltita
Tretåig hackspett
Mindre märgborre
Spillkråka
Stjärtmes
Timmerticka
Tofsmes</t>
        </is>
      </c>
      <c r="W277">
        <f>HYPERLINK("https://klasma.github.io/Logging_2062/artfynd/A 23972-2026 artfynd.xlsx", "A 23972-2026")</f>
        <v/>
      </c>
      <c r="X277">
        <f>HYPERLINK("https://klasma.github.io/Logging_2062/kartor/A 23972-2026 karta.png", "A 23972-2026")</f>
        <v/>
      </c>
      <c r="Y277">
        <f>HYPERLINK("https://klasma.github.io/Logging_2062/kartor_geotiff/A 23972-2026 georefererad karta.tif", "A 23972-2026")</f>
        <v/>
      </c>
      <c r="Z277">
        <f>HYPERLINK("https://klasma.github.io/Logging_2062/knärot/A 23972-2026 karta knärot.png", "A 23972-2026")</f>
        <v/>
      </c>
      <c r="AA277">
        <f>HYPERLINK("https://klasma.github.io/Logging_2062/klagomål/A 23972-2026 FSC-klagomål.docx", "A 23972-2026")</f>
        <v/>
      </c>
      <c r="AB277">
        <f>HYPERLINK("https://klasma.github.io/Logging_2062/klagomålsmail/A 23972-2026 FSC-klagomål mail.docx", "A 23972-2026")</f>
        <v/>
      </c>
      <c r="AC277">
        <f>HYPERLINK("https://klasma.github.io/Logging_2062/tillsyn/A 23972-2026 tillsynsbegäran.docx", "A 23972-2026")</f>
        <v/>
      </c>
      <c r="AD277">
        <f>HYPERLINK("https://klasma.github.io/Logging_2062/tillsynsmail/A 23972-2026 tillsynsbegäran mail.docx", "A 23972-2026")</f>
        <v/>
      </c>
      <c r="AE277">
        <f>HYPERLINK("https://klasma.github.io/Logging_2062/fåglar/A 23972-2026 prioriterade fågelarter.docx", "A 23972-2026")</f>
        <v/>
      </c>
    </row>
    <row r="278" ht="15" customHeight="1">
      <c r="A278" t="inlineStr">
        <is>
          <t>A 37350-2026</t>
        </is>
      </c>
      <c r="B278" t="inlineStr">
        <is>
          <t>avverkningsanmälan</t>
        </is>
      </c>
      <c r="C278" t="inlineStr">
        <is>
          <t>Föryngringsavverkning</t>
        </is>
      </c>
      <c r="D278" s="1" t="n">
        <v>46275</v>
      </c>
      <c r="E278" s="1" t="n">
        <v>46319</v>
      </c>
      <c r="F278" t="inlineStr">
        <is>
          <t>DALARNAS LÄN</t>
        </is>
      </c>
      <c r="G278" t="inlineStr">
        <is>
          <t>LUDVIKA</t>
        </is>
      </c>
      <c r="I278" t="n">
        <v>2.9</v>
      </c>
      <c r="J278" t="n">
        <v>5</v>
      </c>
      <c r="K278" t="n">
        <v>2</v>
      </c>
      <c r="L278" t="n">
        <v>2</v>
      </c>
      <c r="M278" t="n">
        <v>1</v>
      </c>
      <c r="N278" t="n">
        <v>0</v>
      </c>
      <c r="O278" t="n">
        <v>0</v>
      </c>
      <c r="P278" t="n">
        <v>0</v>
      </c>
      <c r="Q278" t="n">
        <v>3</v>
      </c>
      <c r="R278" t="n">
        <v>1</v>
      </c>
      <c r="S278" t="n">
        <v>10</v>
      </c>
      <c r="T278" t="n">
        <v>12</v>
      </c>
      <c r="U278" t="n">
        <v>12</v>
      </c>
      <c r="V278" s="2" t="inlineStr">
        <is>
          <t>Gul pysslinglav
Talltita
Ullticka
Gulnål
Vedticka
Gråspett
Järpe
Linnea
Spillkråka
Tofsmes</t>
        </is>
      </c>
      <c r="W278">
        <f>HYPERLINK("https://klasma.github.io/Logging_2085/artfynd/A 37350-2026 artfynd.xlsx", "A 37350-2026")</f>
        <v/>
      </c>
      <c r="X278">
        <f>HYPERLINK("https://klasma.github.io/Logging_2085/kartor/A 37350-2026 karta.png", "A 37350-2026")</f>
        <v/>
      </c>
      <c r="Y278">
        <f>HYPERLINK("https://klasma.github.io/Logging_2085/kartor_geotiff/A 37350-2026 georefererad karta.tif", "A 37350-2026")</f>
        <v/>
      </c>
      <c r="AA278">
        <f>HYPERLINK("https://klasma.github.io/Logging_2085/klagomål/A 37350-2026 FSC-klagomål.docx", "A 37350-2026")</f>
        <v/>
      </c>
      <c r="AB278">
        <f>HYPERLINK("https://klasma.github.io/Logging_2085/klagomålsmail/A 37350-2026 FSC-klagomål mail.docx", "A 37350-2026")</f>
        <v/>
      </c>
      <c r="AC278">
        <f>HYPERLINK("https://klasma.github.io/Logging_2085/tillsyn/A 37350-2026 tillsynsbegäran.docx", "A 37350-2026")</f>
        <v/>
      </c>
      <c r="AD278">
        <f>HYPERLINK("https://klasma.github.io/Logging_2085/tillsynsmail/A 37350-2026 tillsynsbegäran mail.docx", "A 37350-2026")</f>
        <v/>
      </c>
      <c r="AE278">
        <f>HYPERLINK("https://klasma.github.io/Logging_2085/fåglar/A 37350-2026 prioriterade fågelarter.docx", "A 37350-2026")</f>
        <v/>
      </c>
    </row>
    <row r="279" ht="15" customHeight="1">
      <c r="A279" t="inlineStr">
        <is>
          <t>A 1159-2026</t>
        </is>
      </c>
      <c r="B279" t="inlineStr">
        <is>
          <t>avverkningsanmälan</t>
        </is>
      </c>
      <c r="C279" t="inlineStr">
        <is>
          <t>Föryngringsavverkning</t>
        </is>
      </c>
      <c r="D279" s="1" t="n">
        <v>46031</v>
      </c>
      <c r="E279" s="1" t="n">
        <v>46319</v>
      </c>
      <c r="F279" t="inlineStr">
        <is>
          <t>DALARNAS LÄN</t>
        </is>
      </c>
      <c r="G279" t="inlineStr">
        <is>
          <t>ÄLVDALEN</t>
        </is>
      </c>
      <c r="H279" t="inlineStr">
        <is>
          <t>Allmännings- och besparingsskogar</t>
        </is>
      </c>
      <c r="I279" t="n">
        <v>33.9</v>
      </c>
      <c r="J279" t="n">
        <v>3</v>
      </c>
      <c r="K279" t="n">
        <v>1</v>
      </c>
      <c r="L279" t="n">
        <v>5</v>
      </c>
      <c r="M279" t="n">
        <v>2</v>
      </c>
      <c r="N279" t="n">
        <v>0</v>
      </c>
      <c r="O279" t="n">
        <v>0</v>
      </c>
      <c r="P279" t="n">
        <v>0</v>
      </c>
      <c r="Q279" t="n">
        <v>7</v>
      </c>
      <c r="R279" t="n">
        <v>2</v>
      </c>
      <c r="S279" t="n">
        <v>10</v>
      </c>
      <c r="T279" t="n">
        <v>95</v>
      </c>
      <c r="U279" t="n">
        <v>95</v>
      </c>
      <c r="V279" s="2" t="inlineStr">
        <is>
          <t>Garnlav
Raggbock
Kolflarnlav
Mörk kolflarnlav
Tallticka
Tretåig hackspett
Vedflamlav
Mindre märgborre
Spillkråka
Kungsfågel</t>
        </is>
      </c>
      <c r="W279">
        <f>HYPERLINK("https://klasma.github.io/Logging_2039/artfynd/A 1159-2026 artfynd.xlsx", "A 1159-2026")</f>
        <v/>
      </c>
      <c r="X279">
        <f>HYPERLINK("https://klasma.github.io/Logging_2039/kartor/A 1159-2026 karta.png", "A 1159-2026")</f>
        <v/>
      </c>
      <c r="Y279">
        <f>HYPERLINK("https://klasma.github.io/Logging_2039/kartor_geotiff/A 1159-2026 georefererad karta.tif", "A 1159-2026")</f>
        <v/>
      </c>
      <c r="AA279">
        <f>HYPERLINK("https://klasma.github.io/Logging_2039/klagomål/A 1159-2026 FSC-klagomål.docx", "A 1159-2026")</f>
        <v/>
      </c>
      <c r="AB279">
        <f>HYPERLINK("https://klasma.github.io/Logging_2039/klagomålsmail/A 1159-2026 FSC-klagomål mail.docx", "A 1159-2026")</f>
        <v/>
      </c>
      <c r="AC279">
        <f>HYPERLINK("https://klasma.github.io/Logging_2039/tillsyn/A 1159-2026 tillsynsbegäran.docx", "A 1159-2026")</f>
        <v/>
      </c>
      <c r="AD279">
        <f>HYPERLINK("https://klasma.github.io/Logging_2039/tillsynsmail/A 1159-2026 tillsynsbegäran mail.docx", "A 1159-2026")</f>
        <v/>
      </c>
      <c r="AE279">
        <f>HYPERLINK("https://klasma.github.io/Logging_2039/fåglar/A 1159-2026 prioriterade fågelarter.docx", "A 1159-2026")</f>
        <v/>
      </c>
    </row>
    <row r="280" ht="15" customHeight="1">
      <c r="A280" t="inlineStr">
        <is>
          <t>A 21630-2026</t>
        </is>
      </c>
      <c r="B280" t="inlineStr">
        <is>
          <t>avverkningsanmälan</t>
        </is>
      </c>
      <c r="C280" t="inlineStr">
        <is>
          <t>Föryngringsavverkning</t>
        </is>
      </c>
      <c r="D280" s="1" t="n">
        <v>46149</v>
      </c>
      <c r="E280" s="1" t="n">
        <v>46319</v>
      </c>
      <c r="F280" t="inlineStr">
        <is>
          <t>DALARNAS LÄN</t>
        </is>
      </c>
      <c r="G280" t="inlineStr">
        <is>
          <t>ORSA</t>
        </is>
      </c>
      <c r="H280" t="inlineStr">
        <is>
          <t>Allmännings- och besparingsskogar</t>
        </is>
      </c>
      <c r="I280" t="n">
        <v>9.800000000000001</v>
      </c>
      <c r="J280" t="n">
        <v>2</v>
      </c>
      <c r="K280" t="n">
        <v>1</v>
      </c>
      <c r="L280" t="n">
        <v>7</v>
      </c>
      <c r="M280" t="n">
        <v>1</v>
      </c>
      <c r="N280" t="n">
        <v>0</v>
      </c>
      <c r="O280" t="n">
        <v>0</v>
      </c>
      <c r="P280" t="n">
        <v>0</v>
      </c>
      <c r="Q280" t="n">
        <v>8</v>
      </c>
      <c r="R280" t="n">
        <v>1</v>
      </c>
      <c r="S280" t="n">
        <v>10</v>
      </c>
      <c r="T280" t="n">
        <v>43</v>
      </c>
      <c r="U280" t="n">
        <v>43</v>
      </c>
      <c r="V280" s="2" t="inlineStr">
        <is>
          <t>Garnlav
Dropptaggsvamp
Dvärgbägarlav
Kolflarnlav
Mörk kolflarnlav
Tallticka
Tretåig hackspett
Vedskivlav
Mindre märgborre
Tjäder</t>
        </is>
      </c>
      <c r="W280">
        <f>HYPERLINK("https://klasma.github.io/Logging_2034/artfynd/A 21630-2026 artfynd.xlsx", "A 21630-2026")</f>
        <v/>
      </c>
      <c r="X280">
        <f>HYPERLINK("https://klasma.github.io/Logging_2034/kartor/A 21630-2026 karta.png", "A 21630-2026")</f>
        <v/>
      </c>
      <c r="Y280">
        <f>HYPERLINK("https://klasma.github.io/Logging_2034/kartor_geotiff/A 21630-2026 georefererad karta.tif", "A 21630-2026")</f>
        <v/>
      </c>
      <c r="AA280">
        <f>HYPERLINK("https://klasma.github.io/Logging_2034/klagomål/A 21630-2026 FSC-klagomål.docx", "A 21630-2026")</f>
        <v/>
      </c>
      <c r="AB280">
        <f>HYPERLINK("https://klasma.github.io/Logging_2034/klagomålsmail/A 21630-2026 FSC-klagomål mail.docx", "A 21630-2026")</f>
        <v/>
      </c>
      <c r="AC280">
        <f>HYPERLINK("https://klasma.github.io/Logging_2034/tillsyn/A 21630-2026 tillsynsbegäran.docx", "A 21630-2026")</f>
        <v/>
      </c>
      <c r="AD280">
        <f>HYPERLINK("https://klasma.github.io/Logging_2034/tillsynsmail/A 21630-2026 tillsynsbegäran mail.docx", "A 21630-2026")</f>
        <v/>
      </c>
      <c r="AE280">
        <f>HYPERLINK("https://klasma.github.io/Logging_2034/fåglar/A 21630-2026 prioriterade fågelarter.docx", "A 21630-2026")</f>
        <v/>
      </c>
    </row>
    <row r="281" ht="15" customHeight="1">
      <c r="A281" t="inlineStr">
        <is>
          <t>A 38582-2023</t>
        </is>
      </c>
      <c r="B281" t="inlineStr">
        <is>
          <t>avverkningsanmälan</t>
        </is>
      </c>
      <c r="C281" t="inlineStr">
        <is>
          <t>Föryngringsavverkning</t>
        </is>
      </c>
      <c r="D281" s="1" t="n">
        <v>45162</v>
      </c>
      <c r="E281" s="1" t="n">
        <v>46319</v>
      </c>
      <c r="F281" t="inlineStr">
        <is>
          <t>DALARNAS LÄN</t>
        </is>
      </c>
      <c r="G281" t="inlineStr">
        <is>
          <t>ÄLVDALEN</t>
        </is>
      </c>
      <c r="H281" t="inlineStr">
        <is>
          <t>Sveaskog</t>
        </is>
      </c>
      <c r="I281" t="n">
        <v>4.4</v>
      </c>
      <c r="J281" t="n">
        <v>2</v>
      </c>
      <c r="K281" t="n">
        <v>1</v>
      </c>
      <c r="L281" t="n">
        <v>8</v>
      </c>
      <c r="M281" t="n">
        <v>1</v>
      </c>
      <c r="N281" t="n">
        <v>0</v>
      </c>
      <c r="O281" t="n">
        <v>0</v>
      </c>
      <c r="P281" t="n">
        <v>0</v>
      </c>
      <c r="Q281" t="n">
        <v>9</v>
      </c>
      <c r="R281" t="n">
        <v>1</v>
      </c>
      <c r="S281" t="n">
        <v>10</v>
      </c>
      <c r="T281" t="n">
        <v>10</v>
      </c>
      <c r="U281" t="n">
        <v>6</v>
      </c>
      <c r="V281" s="2" t="inlineStr">
        <is>
          <t>Gräddporing
Blanksvart spiklav
Blå taggsvamp
Dropptaggsvamp
Kolflarnlav
Mörk kolflarnlav
Skarp dropptaggsvamp
Varglav
Vedskivlav
Plattlummer</t>
        </is>
      </c>
      <c r="W281">
        <f>HYPERLINK("https://klasma.github.io/Logging_2039/artfynd/A 38582-2023 artfynd.xlsx", "A 38582-2023")</f>
        <v/>
      </c>
      <c r="X281">
        <f>HYPERLINK("https://klasma.github.io/Logging_2039/kartor/A 38582-2023 karta.png", "A 38582-2023")</f>
        <v/>
      </c>
      <c r="Y281">
        <f>HYPERLINK("https://klasma.github.io/Logging_2039/kartor_geotiff/A 38582-2023 georefererad karta.tif", "A 38582-2023")</f>
        <v/>
      </c>
      <c r="AA281">
        <f>HYPERLINK("https://klasma.github.io/Logging_2039/klagomål/A 38582-2023 FSC-klagomål.docx", "A 38582-2023")</f>
        <v/>
      </c>
      <c r="AB281">
        <f>HYPERLINK("https://klasma.github.io/Logging_2039/klagomålsmail/A 38582-2023 FSC-klagomål mail.docx", "A 38582-2023")</f>
        <v/>
      </c>
      <c r="AC281">
        <f>HYPERLINK("https://klasma.github.io/Logging_2039/tillsyn/A 38582-2023 tillsynsbegäran.docx", "A 38582-2023")</f>
        <v/>
      </c>
      <c r="AD281">
        <f>HYPERLINK("https://klasma.github.io/Logging_2039/tillsynsmail/A 38582-2023 tillsynsbegäran mail.docx", "A 38582-2023")</f>
        <v/>
      </c>
    </row>
    <row r="282" ht="15" customHeight="1">
      <c r="A282" t="inlineStr">
        <is>
          <t>A 33882-2024</t>
        </is>
      </c>
      <c r="B282" t="inlineStr">
        <is>
          <t>avverkningsanmälan</t>
        </is>
      </c>
      <c r="C282" t="inlineStr">
        <is>
          <t>Föryngringsavverkning</t>
        </is>
      </c>
      <c r="D282" s="1" t="n">
        <v>45522</v>
      </c>
      <c r="E282" s="1" t="n">
        <v>46319</v>
      </c>
      <c r="F282" t="inlineStr">
        <is>
          <t>DALARNAS LÄN</t>
        </is>
      </c>
      <c r="G282" t="inlineStr">
        <is>
          <t>ÄLVDALEN</t>
        </is>
      </c>
      <c r="I282" t="n">
        <v>53.8</v>
      </c>
      <c r="J282" t="n">
        <v>4</v>
      </c>
      <c r="K282" t="n">
        <v>2</v>
      </c>
      <c r="L282" t="n">
        <v>5</v>
      </c>
      <c r="M282" t="n">
        <v>2</v>
      </c>
      <c r="N282" t="n">
        <v>0</v>
      </c>
      <c r="O282" t="n">
        <v>0</v>
      </c>
      <c r="P282" t="n">
        <v>0</v>
      </c>
      <c r="Q282" t="n">
        <v>7</v>
      </c>
      <c r="R282" t="n">
        <v>2</v>
      </c>
      <c r="S282" t="n">
        <v>10</v>
      </c>
      <c r="T282" t="n">
        <v>22</v>
      </c>
      <c r="U282" t="n">
        <v>19</v>
      </c>
      <c r="V282" s="2" t="inlineStr">
        <is>
          <t>Garnlav
Skuggnål
Knottrig blåslav
Lavskrika
Skrovellav
Tretåig hackspett
Vitplätt
Spindelblomster
Vedticka
Revlummer</t>
        </is>
      </c>
      <c r="W282">
        <f>HYPERLINK("https://klasma.github.io/Logging_2039/artfynd/A 33882-2024 artfynd.xlsx", "A 33882-2024")</f>
        <v/>
      </c>
      <c r="X282">
        <f>HYPERLINK("https://klasma.github.io/Logging_2039/kartor/A 33882-2024 karta.png", "A 33882-2024")</f>
        <v/>
      </c>
      <c r="Y282">
        <f>HYPERLINK("https://klasma.github.io/Logging_2039/kartor_geotiff/A 33882-2024 georefererad karta.tif", "A 33882-2024")</f>
        <v/>
      </c>
      <c r="AA282">
        <f>HYPERLINK("https://klasma.github.io/Logging_2039/klagomål/A 33882-2024 FSC-klagomål.docx", "A 33882-2024")</f>
        <v/>
      </c>
      <c r="AB282">
        <f>HYPERLINK("https://klasma.github.io/Logging_2039/klagomålsmail/A 33882-2024 FSC-klagomål mail.docx", "A 33882-2024")</f>
        <v/>
      </c>
      <c r="AC282">
        <f>HYPERLINK("https://klasma.github.io/Logging_2039/tillsyn/A 33882-2024 tillsynsbegäran.docx", "A 33882-2024")</f>
        <v/>
      </c>
      <c r="AD282">
        <f>HYPERLINK("https://klasma.github.io/Logging_2039/tillsynsmail/A 33882-2024 tillsynsbegäran mail.docx", "A 33882-2024")</f>
        <v/>
      </c>
      <c r="AE282">
        <f>HYPERLINK("https://klasma.github.io/Logging_2039/fåglar/A 33882-2024 prioriterade fågelarter.docx", "A 33882-2024")</f>
        <v/>
      </c>
    </row>
    <row r="283" ht="15" customHeight="1">
      <c r="A283" t="inlineStr">
        <is>
          <t>S 1126-2023</t>
        </is>
      </c>
      <c r="B283" t="inlineStr">
        <is>
          <t>samrådsanmälan</t>
        </is>
      </c>
      <c r="C283" t="inlineStr">
        <is>
          <t>Askåterföring</t>
        </is>
      </c>
      <c r="D283" s="1" t="n">
        <v>45016</v>
      </c>
      <c r="E283" s="1" t="n">
        <v>46319</v>
      </c>
      <c r="F283" t="inlineStr">
        <is>
          <t>DALARNAS LÄN</t>
        </is>
      </c>
      <c r="G283" t="inlineStr">
        <is>
          <t>MALUNG-SÄLEN</t>
        </is>
      </c>
      <c r="H283" t="inlineStr">
        <is>
          <t>Allmännings- och besparingsskogar</t>
        </is>
      </c>
      <c r="I283" t="n">
        <v>255.1</v>
      </c>
      <c r="J283" t="n">
        <v>3</v>
      </c>
      <c r="K283" t="n">
        <v>1</v>
      </c>
      <c r="L283" t="n">
        <v>6</v>
      </c>
      <c r="M283" t="n">
        <v>2</v>
      </c>
      <c r="N283" t="n">
        <v>0</v>
      </c>
      <c r="O283" t="n">
        <v>0</v>
      </c>
      <c r="P283" t="n">
        <v>0</v>
      </c>
      <c r="Q283" t="n">
        <v>8</v>
      </c>
      <c r="R283" t="n">
        <v>2</v>
      </c>
      <c r="S283" t="n">
        <v>10</v>
      </c>
      <c r="T283" t="n">
        <v>41</v>
      </c>
      <c r="U283" t="n">
        <v>40</v>
      </c>
      <c r="V283" s="2" t="inlineStr">
        <is>
          <t>Garnlav
Knärot
Dvärgbägarlav
Mörk kolflarnlav
Talltita
Vedflamlav
Vedskivlav
Violettgrå tagellav
Nästlav
Orre</t>
        </is>
      </c>
      <c r="W283">
        <f>HYPERLINK("https://klasma.github.io/Logging_2023/artfynd/S 1126-2023 artfynd.xlsx", "S 1126-2023")</f>
        <v/>
      </c>
      <c r="X283">
        <f>HYPERLINK("https://klasma.github.io/Logging_2023/kartor/S 1126-2023 karta.png", "S 1126-2023")</f>
        <v/>
      </c>
      <c r="Y283">
        <f>HYPERLINK("https://klasma.github.io/Logging_2023/kartor_geotiff/S 1126-2023 georefererad karta.tif", "S 1126-2023")</f>
        <v/>
      </c>
      <c r="Z283">
        <f>HYPERLINK("https://klasma.github.io/Logging_2023/knärot/S 1126-2023 karta knärot.png", "S 1126-2023")</f>
        <v/>
      </c>
      <c r="AA283">
        <f>HYPERLINK("https://klasma.github.io/Logging_2023/klagomål/S 1126-2023 FSC-klagomål.docx", "S 1126-2023")</f>
        <v/>
      </c>
      <c r="AB283">
        <f>HYPERLINK("https://klasma.github.io/Logging_2023/klagomålsmail/S 1126-2023 FSC-klagomål mail.docx", "S 1126-2023")</f>
        <v/>
      </c>
      <c r="AC283">
        <f>HYPERLINK("https://klasma.github.io/Logging_2023/tillsyn/S 1126-2023 tillsynsbegäran.docx", "S 1126-2023")</f>
        <v/>
      </c>
      <c r="AD283">
        <f>HYPERLINK("https://klasma.github.io/Logging_2023/tillsynsmail/S 1126-2023 tillsynsbegäran mail.docx", "S 1126-2023")</f>
        <v/>
      </c>
      <c r="AE283">
        <f>HYPERLINK("https://klasma.github.io/Logging_2023/fåglar/S 1126-2023 prioriterade fågelarter.docx", "S 1126-2023")</f>
        <v/>
      </c>
    </row>
    <row r="284" ht="15" customHeight="1">
      <c r="A284" t="inlineStr">
        <is>
          <t>S 2076-2022</t>
        </is>
      </c>
      <c r="B284" t="inlineStr">
        <is>
          <t>samrådsanmälan</t>
        </is>
      </c>
      <c r="C284" t="inlineStr">
        <is>
          <t>Askåterföring</t>
        </is>
      </c>
      <c r="D284" s="1" t="n">
        <v>44672</v>
      </c>
      <c r="E284" s="1" t="n">
        <v>46319</v>
      </c>
      <c r="F284" t="inlineStr">
        <is>
          <t>DALARNAS LÄN</t>
        </is>
      </c>
      <c r="G284" t="inlineStr">
        <is>
          <t>FALUN</t>
        </is>
      </c>
      <c r="I284" t="n">
        <v>130.9</v>
      </c>
      <c r="J284" t="n">
        <v>1</v>
      </c>
      <c r="K284" t="n">
        <v>4</v>
      </c>
      <c r="L284" t="n">
        <v>3</v>
      </c>
      <c r="M284" t="n">
        <v>3</v>
      </c>
      <c r="N284" t="n">
        <v>0</v>
      </c>
      <c r="O284" t="n">
        <v>0</v>
      </c>
      <c r="P284" t="n">
        <v>0</v>
      </c>
      <c r="Q284" t="n">
        <v>6</v>
      </c>
      <c r="R284" t="n">
        <v>3</v>
      </c>
      <c r="S284" t="n">
        <v>10</v>
      </c>
      <c r="T284" t="n">
        <v>12</v>
      </c>
      <c r="U284" t="n">
        <v>9</v>
      </c>
      <c r="V284" s="2" t="inlineStr">
        <is>
          <t>Garnlav
Knärot
Norsk näverlav
Kattfotslav
Kortskaftad ärgspik
Skuggblåslav
Guldlockmossa
Gulnål
Platt fjädermossa
Purpurmylia</t>
        </is>
      </c>
      <c r="W284">
        <f>HYPERLINK("https://klasma.github.io/Logging_2080/artfynd/S 2076-2022 artfynd.xlsx", "S 2076-2022")</f>
        <v/>
      </c>
      <c r="X284">
        <f>HYPERLINK("https://klasma.github.io/Logging_2080/kartor/S 2076-2022 karta.png", "S 2076-2022")</f>
        <v/>
      </c>
      <c r="Y284">
        <f>HYPERLINK("https://klasma.github.io/Logging_2080/kartor_geotiff/S 2076-2022 georefererad karta.tif", "S 2076-2022")</f>
        <v/>
      </c>
      <c r="Z284">
        <f>HYPERLINK("https://klasma.github.io/Logging_2080/knärot/S 2076-2022 karta knärot.png", "S 2076-2022")</f>
        <v/>
      </c>
      <c r="AA284">
        <f>HYPERLINK("https://klasma.github.io/Logging_2080/klagomål/S 2076-2022 FSC-klagomål.docx", "S 2076-2022")</f>
        <v/>
      </c>
      <c r="AB284">
        <f>HYPERLINK("https://klasma.github.io/Logging_2080/klagomålsmail/S 2076-2022 FSC-klagomål mail.docx", "S 2076-2022")</f>
        <v/>
      </c>
      <c r="AC284">
        <f>HYPERLINK("https://klasma.github.io/Logging_2080/tillsyn/S 2076-2022 tillsynsbegäran.docx", "S 2076-2022")</f>
        <v/>
      </c>
      <c r="AD284">
        <f>HYPERLINK("https://klasma.github.io/Logging_2080/tillsynsmail/S 2076-2022 tillsynsbegäran mail.docx", "S 2076-2022")</f>
        <v/>
      </c>
    </row>
    <row r="285" ht="15" customHeight="1">
      <c r="A285" t="inlineStr">
        <is>
          <t>S 3187-2024</t>
        </is>
      </c>
      <c r="B285" t="inlineStr">
        <is>
          <t>samrådsanmälan</t>
        </is>
      </c>
      <c r="C285" t="inlineStr">
        <is>
          <t>Annan skogsbruksåtgärd</t>
        </is>
      </c>
      <c r="D285" s="1" t="n">
        <v>45524</v>
      </c>
      <c r="E285" s="1" t="n">
        <v>46319</v>
      </c>
      <c r="F285" t="inlineStr">
        <is>
          <t>DALARNAS LÄN</t>
        </is>
      </c>
      <c r="G285" t="inlineStr">
        <is>
          <t>SÄTER</t>
        </is>
      </c>
      <c r="H285" t="inlineStr">
        <is>
          <t>Bergvik skog väst AB</t>
        </is>
      </c>
      <c r="I285" t="n">
        <v>3.8</v>
      </c>
      <c r="J285" t="n">
        <v>0</v>
      </c>
      <c r="K285" t="n">
        <v>2</v>
      </c>
      <c r="L285" t="n">
        <v>6</v>
      </c>
      <c r="M285" t="n">
        <v>2</v>
      </c>
      <c r="N285" t="n">
        <v>0</v>
      </c>
      <c r="O285" t="n">
        <v>0</v>
      </c>
      <c r="P285" t="n">
        <v>0</v>
      </c>
      <c r="Q285" t="n">
        <v>8</v>
      </c>
      <c r="R285" t="n">
        <v>2</v>
      </c>
      <c r="S285" t="n">
        <v>10</v>
      </c>
      <c r="T285" t="n">
        <v>12</v>
      </c>
      <c r="U285" t="n">
        <v>12</v>
      </c>
      <c r="V285" s="2" t="inlineStr">
        <is>
          <t>Gul taggsvamp
Tvillingspindling
Dofttaggsvamp
Kandelabersvamp
Rosenticka
Rovspindling
Rynkskinn
Ullticka
Svavelriska
Trådticka</t>
        </is>
      </c>
      <c r="W285">
        <f>HYPERLINK("https://klasma.github.io/Logging_2082/artfynd/S 3187-2024 artfynd.xlsx", "S 3187-2024")</f>
        <v/>
      </c>
      <c r="X285">
        <f>HYPERLINK("https://klasma.github.io/Logging_2082/kartor/S 3187-2024 karta.png", "S 3187-2024")</f>
        <v/>
      </c>
      <c r="Y285">
        <f>HYPERLINK("https://klasma.github.io/Logging_2082/kartor_geotiff/S 3187-2024 georefererad karta.tif", "S 3187-2024")</f>
        <v/>
      </c>
      <c r="AA285">
        <f>HYPERLINK("https://klasma.github.io/Logging_2082/klagomål/S 3187-2024 FSC-klagomål.docx", "S 3187-2024")</f>
        <v/>
      </c>
      <c r="AB285">
        <f>HYPERLINK("https://klasma.github.io/Logging_2082/klagomålsmail/S 3187-2024 FSC-klagomål mail.docx", "S 3187-2024")</f>
        <v/>
      </c>
      <c r="AC285">
        <f>HYPERLINK("https://klasma.github.io/Logging_2082/tillsyn/S 3187-2024 tillsynsbegäran.docx", "S 3187-2024")</f>
        <v/>
      </c>
      <c r="AD285">
        <f>HYPERLINK("https://klasma.github.io/Logging_2082/tillsynsmail/S 3187-2024 tillsynsbegäran mail.docx", "S 3187-2024")</f>
        <v/>
      </c>
    </row>
    <row r="286" ht="15" customHeight="1">
      <c r="A286" t="inlineStr">
        <is>
          <t>S 960-2023</t>
        </is>
      </c>
      <c r="B286" t="inlineStr">
        <is>
          <t>samrådsanmälan</t>
        </is>
      </c>
      <c r="C286" t="inlineStr">
        <is>
          <t>Åtgärd i nyckelbiotop</t>
        </is>
      </c>
      <c r="D286" s="1" t="n">
        <v>45003</v>
      </c>
      <c r="E286" s="1" t="n">
        <v>46319</v>
      </c>
      <c r="F286" t="inlineStr">
        <is>
          <t>DALARNAS LÄN</t>
        </is>
      </c>
      <c r="G286" t="inlineStr">
        <is>
          <t>MORA</t>
        </is>
      </c>
      <c r="I286" t="n">
        <v>10.5</v>
      </c>
      <c r="J286" t="n">
        <v>1</v>
      </c>
      <c r="K286" t="n">
        <v>0</v>
      </c>
      <c r="L286" t="n">
        <v>9</v>
      </c>
      <c r="M286" t="n">
        <v>1</v>
      </c>
      <c r="N286" t="n">
        <v>0</v>
      </c>
      <c r="O286" t="n">
        <v>0</v>
      </c>
      <c r="P286" t="n">
        <v>0</v>
      </c>
      <c r="Q286" t="n">
        <v>10</v>
      </c>
      <c r="R286" t="n">
        <v>1</v>
      </c>
      <c r="S286" t="n">
        <v>10</v>
      </c>
      <c r="T286" t="n">
        <v>16</v>
      </c>
      <c r="U286" t="n">
        <v>6</v>
      </c>
      <c r="V286" s="2" t="inlineStr">
        <is>
          <t>Garnlav
Dropptaggsvamp
Dvärgbägarlav
Kolflarnlav
Mörk kolflarnlav
Nordtagging
Tretåig hackspett
Ullticka
Vedskivlav
Violettgrå tagellav</t>
        </is>
      </c>
      <c r="W286">
        <f>HYPERLINK("https://klasma.github.io/Logging_2062/artfynd/S 960-2023 artfynd.xlsx", "S 960-2023")</f>
        <v/>
      </c>
      <c r="X286">
        <f>HYPERLINK("https://klasma.github.io/Logging_2062/kartor/S 960-2023 karta.png", "S 960-2023")</f>
        <v/>
      </c>
      <c r="Y286">
        <f>HYPERLINK("https://klasma.github.io/Logging_2062/kartor_geotiff/S 960-2023 georefererad karta.tif", "S 960-2023")</f>
        <v/>
      </c>
      <c r="AA286">
        <f>HYPERLINK("https://klasma.github.io/Logging_2062/klagomål/S 960-2023 FSC-klagomål.docx", "S 960-2023")</f>
        <v/>
      </c>
      <c r="AB286">
        <f>HYPERLINK("https://klasma.github.io/Logging_2062/klagomålsmail/S 960-2023 FSC-klagomål mail.docx", "S 960-2023")</f>
        <v/>
      </c>
      <c r="AC286">
        <f>HYPERLINK("https://klasma.github.io/Logging_2062/tillsyn/S 960-2023 tillsynsbegäran.docx", "S 960-2023")</f>
        <v/>
      </c>
      <c r="AD286">
        <f>HYPERLINK("https://klasma.github.io/Logging_2062/tillsynsmail/S 960-2023 tillsynsbegäran mail.docx", "S 960-2023")</f>
        <v/>
      </c>
      <c r="AE286">
        <f>HYPERLINK("https://klasma.github.io/Logging_2062/fåglar/S 960-2023 prioriterade fågelarter.docx", "S 960-2023")</f>
        <v/>
      </c>
    </row>
    <row r="287" ht="15" customHeight="1">
      <c r="A287" t="inlineStr">
        <is>
          <t>S 283-2026</t>
        </is>
      </c>
      <c r="B287" t="inlineStr">
        <is>
          <t>samrådsanmälan</t>
        </is>
      </c>
      <c r="C287" t="inlineStr">
        <is>
          <t>Annan skogsbruksåtgärd</t>
        </is>
      </c>
      <c r="D287" s="1" t="n">
        <v>46056</v>
      </c>
      <c r="E287" s="1" t="n">
        <v>46319</v>
      </c>
      <c r="F287" t="inlineStr">
        <is>
          <t>DALARNAS LÄN</t>
        </is>
      </c>
      <c r="G287" t="inlineStr">
        <is>
          <t>BORLÄNGE</t>
        </is>
      </c>
      <c r="I287" t="n">
        <v>7.1</v>
      </c>
      <c r="J287" t="n">
        <v>1</v>
      </c>
      <c r="K287" t="n">
        <v>2</v>
      </c>
      <c r="L287" t="n">
        <v>5</v>
      </c>
      <c r="M287" t="n">
        <v>3</v>
      </c>
      <c r="N287" t="n">
        <v>0</v>
      </c>
      <c r="O287" t="n">
        <v>0</v>
      </c>
      <c r="P287" t="n">
        <v>0</v>
      </c>
      <c r="Q287" t="n">
        <v>8</v>
      </c>
      <c r="R287" t="n">
        <v>3</v>
      </c>
      <c r="S287" t="n">
        <v>10</v>
      </c>
      <c r="T287" t="n">
        <v>11</v>
      </c>
      <c r="U287" t="n">
        <v>0</v>
      </c>
      <c r="V287" s="2" t="inlineStr">
        <is>
          <t>Blåtryffel
Citronporing
Gul taggsvamp
Brunlångöra
Dofttaggsvamp
Skuggblåslav
Ullticka
Vedtrappmossa
Strutbräken
Trådticka</t>
        </is>
      </c>
      <c r="W287">
        <f>HYPERLINK("https://klasma.github.io/Logging_2081/artfynd/S 283-2026 artfynd.xlsx", "S 283-2026")</f>
        <v/>
      </c>
      <c r="X287">
        <f>HYPERLINK("https://klasma.github.io/Logging_2081/kartor/S 283-2026 karta.png", "S 283-2026")</f>
        <v/>
      </c>
      <c r="Y287">
        <f>HYPERLINK("https://klasma.github.io/Logging_2081/kartor_geotiff/S 283-2026 georefererad karta.tif", "S 283-2026")</f>
        <v/>
      </c>
      <c r="AA287">
        <f>HYPERLINK("https://klasma.github.io/Logging_2081/klagomål/S 283-2026 FSC-klagomål.docx", "S 283-2026")</f>
        <v/>
      </c>
      <c r="AB287">
        <f>HYPERLINK("https://klasma.github.io/Logging_2081/klagomålsmail/S 283-2026 FSC-klagomål mail.docx", "S 283-2026")</f>
        <v/>
      </c>
      <c r="AC287">
        <f>HYPERLINK("https://klasma.github.io/Logging_2081/tillsyn/S 283-2026 tillsynsbegäran.docx", "S 283-2026")</f>
        <v/>
      </c>
      <c r="AD287">
        <f>HYPERLINK("https://klasma.github.io/Logging_2081/tillsynsmail/S 283-2026 tillsynsbegäran mail.docx", "S 283-2026")</f>
        <v/>
      </c>
    </row>
    <row r="288" ht="15" customHeight="1">
      <c r="A288" t="inlineStr">
        <is>
          <t>S 448-2026</t>
        </is>
      </c>
      <c r="B288" t="inlineStr">
        <is>
          <t>samrådsanmälan</t>
        </is>
      </c>
      <c r="C288" t="inlineStr">
        <is>
          <t>Annan skogsbruksåtgärd</t>
        </is>
      </c>
      <c r="D288" s="1" t="n">
        <v>46071</v>
      </c>
      <c r="E288" s="1" t="n">
        <v>46319</v>
      </c>
      <c r="F288" t="inlineStr">
        <is>
          <t>DALARNAS LÄN</t>
        </is>
      </c>
      <c r="G288" t="inlineStr">
        <is>
          <t>BORLÄNGE</t>
        </is>
      </c>
      <c r="I288" t="n">
        <v>1.2</v>
      </c>
      <c r="J288" t="n">
        <v>6</v>
      </c>
      <c r="K288" t="n">
        <v>1</v>
      </c>
      <c r="L288" t="n">
        <v>1</v>
      </c>
      <c r="M288" t="n">
        <v>2</v>
      </c>
      <c r="N288" t="n">
        <v>0</v>
      </c>
      <c r="O288" t="n">
        <v>0</v>
      </c>
      <c r="P288" t="n">
        <v>0</v>
      </c>
      <c r="Q288" t="n">
        <v>3</v>
      </c>
      <c r="R288" t="n">
        <v>2</v>
      </c>
      <c r="S288" t="n">
        <v>10</v>
      </c>
      <c r="T288" t="n">
        <v>12</v>
      </c>
      <c r="U288" t="n">
        <v>6</v>
      </c>
      <c r="V288" s="2" t="inlineStr">
        <is>
          <t>Garnlav
Knärot
Rynkskinn
Plattlummer
Linnea
Mattlummer
Spillkråka
Ängskovall
Fläcknycklar
Revlummer</t>
        </is>
      </c>
      <c r="W288">
        <f>HYPERLINK("https://klasma.github.io/Logging_2081/artfynd/S 448-2026 artfynd.xlsx", "S 448-2026")</f>
        <v/>
      </c>
      <c r="X288">
        <f>HYPERLINK("https://klasma.github.io/Logging_2081/kartor/S 448-2026 karta.png", "S 448-2026")</f>
        <v/>
      </c>
      <c r="Y288">
        <f>HYPERLINK("https://klasma.github.io/Logging_2081/kartor_geotiff/S 448-2026 georefererad karta.tif", "S 448-2026")</f>
        <v/>
      </c>
      <c r="Z288">
        <f>HYPERLINK("https://klasma.github.io/Logging_2081/knärot/S 448-2026 karta knärot.png", "S 448-2026")</f>
        <v/>
      </c>
      <c r="AA288">
        <f>HYPERLINK("https://klasma.github.io/Logging_2081/klagomål/S 448-2026 FSC-klagomål.docx", "S 448-2026")</f>
        <v/>
      </c>
      <c r="AB288">
        <f>HYPERLINK("https://klasma.github.io/Logging_2081/klagomålsmail/S 448-2026 FSC-klagomål mail.docx", "S 448-2026")</f>
        <v/>
      </c>
      <c r="AC288">
        <f>HYPERLINK("https://klasma.github.io/Logging_2081/tillsyn/S 448-2026 tillsynsbegäran.docx", "S 448-2026")</f>
        <v/>
      </c>
      <c r="AD288">
        <f>HYPERLINK("https://klasma.github.io/Logging_2081/tillsynsmail/S 448-2026 tillsynsbegäran mail.docx", "S 448-2026")</f>
        <v/>
      </c>
      <c r="AE288">
        <f>HYPERLINK("https://klasma.github.io/Logging_2081/fåglar/S 448-2026 prioriterade fågelarter.docx", "S 448-2026")</f>
        <v/>
      </c>
    </row>
    <row r="289" ht="15" customHeight="1">
      <c r="A289" t="inlineStr">
        <is>
          <t>S 649-2026</t>
        </is>
      </c>
      <c r="B289" t="inlineStr">
        <is>
          <t>samrådsanmälan</t>
        </is>
      </c>
      <c r="C289" t="inlineStr">
        <is>
          <t>Skogsgödsling</t>
        </is>
      </c>
      <c r="D289" s="1" t="n">
        <v>46089</v>
      </c>
      <c r="E289" s="1" t="n">
        <v>46319</v>
      </c>
      <c r="F289" t="inlineStr">
        <is>
          <t>DALARNAS LÄN</t>
        </is>
      </c>
      <c r="G289" t="inlineStr">
        <is>
          <t>MALUNG-SÄLEN</t>
        </is>
      </c>
      <c r="H289" t="inlineStr">
        <is>
          <t>Bergvik skog öst AB</t>
        </is>
      </c>
      <c r="I289" t="n">
        <v>396.9</v>
      </c>
      <c r="J289" t="n">
        <v>3</v>
      </c>
      <c r="K289" t="n">
        <v>3</v>
      </c>
      <c r="L289" t="n">
        <v>4</v>
      </c>
      <c r="M289" t="n">
        <v>2</v>
      </c>
      <c r="N289" t="n">
        <v>0</v>
      </c>
      <c r="O289" t="n">
        <v>0</v>
      </c>
      <c r="P289" t="n">
        <v>0</v>
      </c>
      <c r="Q289" t="n">
        <v>6</v>
      </c>
      <c r="R289" t="n">
        <v>2</v>
      </c>
      <c r="S289" t="n">
        <v>10</v>
      </c>
      <c r="T289" t="n">
        <v>15</v>
      </c>
      <c r="U289" t="n">
        <v>3</v>
      </c>
      <c r="V289" s="2" t="inlineStr">
        <is>
          <t>Rotfingersvamp
Skrovlig taggsvamp
Dropptaggsvamp
Motaggsvamp
Talltita
Älg
Kambräken
Plattlummer
Stuplav
Spillkråka</t>
        </is>
      </c>
      <c r="W289">
        <f>HYPERLINK("https://klasma.github.io/Logging_2023/artfynd/S 649-2026 artfynd.xlsx", "S 649-2026")</f>
        <v/>
      </c>
      <c r="X289">
        <f>HYPERLINK("https://klasma.github.io/Logging_2023/kartor/S 649-2026 karta.png", "S 649-2026")</f>
        <v/>
      </c>
      <c r="Y289">
        <f>HYPERLINK("https://klasma.github.io/Logging_2023/kartor_geotiff/S 649-2026 georefererad karta.tif", "S 649-2026")</f>
        <v/>
      </c>
      <c r="AA289">
        <f>HYPERLINK("https://klasma.github.io/Logging_2023/klagomål/S 649-2026 FSC-klagomål.docx", "S 649-2026")</f>
        <v/>
      </c>
      <c r="AB289">
        <f>HYPERLINK("https://klasma.github.io/Logging_2023/klagomålsmail/S 649-2026 FSC-klagomål mail.docx", "S 649-2026")</f>
        <v/>
      </c>
      <c r="AC289">
        <f>HYPERLINK("https://klasma.github.io/Logging_2023/tillsyn/S 649-2026 tillsynsbegäran.docx", "S 649-2026")</f>
        <v/>
      </c>
      <c r="AD289">
        <f>HYPERLINK("https://klasma.github.io/Logging_2023/tillsynsmail/S 649-2026 tillsynsbegäran mail.docx", "S 649-2026")</f>
        <v/>
      </c>
      <c r="AE289">
        <f>HYPERLINK("https://klasma.github.io/Logging_2023/fåglar/S 649-2026 prioriterade fågelarter.docx", "S 649-2026")</f>
        <v/>
      </c>
    </row>
    <row r="290" ht="15" customHeight="1">
      <c r="A290" t="inlineStr">
        <is>
          <t>S 722-2026</t>
        </is>
      </c>
      <c r="B290" t="inlineStr">
        <is>
          <t>samrådsanmälan</t>
        </is>
      </c>
      <c r="C290" t="inlineStr">
        <is>
          <t>Annan skogsbruksåtgärd</t>
        </is>
      </c>
      <c r="D290" s="1" t="n">
        <v>46093</v>
      </c>
      <c r="E290" s="1" t="n">
        <v>46319</v>
      </c>
      <c r="F290" t="inlineStr">
        <is>
          <t>DALARNAS LÄN</t>
        </is>
      </c>
      <c r="G290" t="inlineStr">
        <is>
          <t>BORLÄNGE</t>
        </is>
      </c>
      <c r="I290" t="n">
        <v>1.2</v>
      </c>
      <c r="J290" t="n">
        <v>4</v>
      </c>
      <c r="K290" t="n">
        <v>3</v>
      </c>
      <c r="L290" t="n">
        <v>3</v>
      </c>
      <c r="M290" t="n">
        <v>1</v>
      </c>
      <c r="N290" t="n">
        <v>0</v>
      </c>
      <c r="O290" t="n">
        <v>0</v>
      </c>
      <c r="P290" t="n">
        <v>0</v>
      </c>
      <c r="Q290" t="n">
        <v>4</v>
      </c>
      <c r="R290" t="n">
        <v>1</v>
      </c>
      <c r="S290" t="n">
        <v>10</v>
      </c>
      <c r="T290" t="n">
        <v>28</v>
      </c>
      <c r="U290" t="n">
        <v>28</v>
      </c>
      <c r="V290" s="2" t="inlineStr">
        <is>
          <t>Knärot
Barrviolspindling
Bivråk
Tretåig hackspett
Bronshjon
Thomsons trägnagare
Vågbandad barkbock
Blåsippa
Hultbräken
Kransmossa</t>
        </is>
      </c>
      <c r="W290">
        <f>HYPERLINK("https://klasma.github.io/Logging_2081/artfynd/S 722-2026 artfynd.xlsx", "S 722-2026")</f>
        <v/>
      </c>
      <c r="X290">
        <f>HYPERLINK("https://klasma.github.io/Logging_2081/kartor/S 722-2026 karta.png", "S 722-2026")</f>
        <v/>
      </c>
      <c r="Y290">
        <f>HYPERLINK("https://klasma.github.io/Logging_2081/kartor_geotiff/S 722-2026 georefererad karta.tif", "S 722-2026")</f>
        <v/>
      </c>
      <c r="Z290">
        <f>HYPERLINK("https://klasma.github.io/Logging_2081/knärot/S 722-2026 karta knärot.png", "S 722-2026")</f>
        <v/>
      </c>
      <c r="AA290">
        <f>HYPERLINK("https://klasma.github.io/Logging_2081/klagomål/S 722-2026 FSC-klagomål.docx", "S 722-2026")</f>
        <v/>
      </c>
      <c r="AB290">
        <f>HYPERLINK("https://klasma.github.io/Logging_2081/klagomålsmail/S 722-2026 FSC-klagomål mail.docx", "S 722-2026")</f>
        <v/>
      </c>
      <c r="AC290">
        <f>HYPERLINK("https://klasma.github.io/Logging_2081/tillsyn/S 722-2026 tillsynsbegäran.docx", "S 722-2026")</f>
        <v/>
      </c>
      <c r="AD290">
        <f>HYPERLINK("https://klasma.github.io/Logging_2081/tillsynsmail/S 722-2026 tillsynsbegäran mail.docx", "S 722-2026")</f>
        <v/>
      </c>
      <c r="AE290">
        <f>HYPERLINK("https://klasma.github.io/Logging_2081/fåglar/S 722-2026 prioriterade fågelarter.docx", "S 722-2026")</f>
        <v/>
      </c>
    </row>
    <row r="291" ht="15" customHeight="1">
      <c r="A291" t="inlineStr">
        <is>
          <t>A 39278-2022</t>
        </is>
      </c>
      <c r="B291" t="inlineStr">
        <is>
          <t>avverkningsanmälan</t>
        </is>
      </c>
      <c r="C291" t="inlineStr">
        <is>
          <t>Föryngringsavverkning</t>
        </is>
      </c>
      <c r="D291" s="1" t="n">
        <v>44817</v>
      </c>
      <c r="E291" s="1" t="n">
        <v>46319</v>
      </c>
      <c r="F291" t="inlineStr">
        <is>
          <t>DALARNAS LÄN</t>
        </is>
      </c>
      <c r="G291" t="inlineStr">
        <is>
          <t>ÄLVDALEN</t>
        </is>
      </c>
      <c r="I291" t="n">
        <v>20.3</v>
      </c>
      <c r="J291" t="n">
        <v>5</v>
      </c>
      <c r="K291" t="n">
        <v>0</v>
      </c>
      <c r="L291" t="n">
        <v>6</v>
      </c>
      <c r="M291" t="n">
        <v>2</v>
      </c>
      <c r="N291" t="n">
        <v>0</v>
      </c>
      <c r="O291" t="n">
        <v>0</v>
      </c>
      <c r="P291" t="n">
        <v>0</v>
      </c>
      <c r="Q291" t="n">
        <v>8</v>
      </c>
      <c r="R291" t="n">
        <v>2</v>
      </c>
      <c r="S291" t="n">
        <v>9</v>
      </c>
      <c r="T291" t="n">
        <v>10</v>
      </c>
      <c r="U291" t="n">
        <v>6</v>
      </c>
      <c r="V291" s="2" t="inlineStr">
        <is>
          <t>Gränsticka
Sprickporing
Björktrast
Lappmes
Rynkskinn
Talltita
Tretåig hackspett
Violettgrå tagellav
Kungsfågel</t>
        </is>
      </c>
      <c r="W291">
        <f>HYPERLINK("https://klasma.github.io/Logging_2039/artfynd/A 39278-2022 artfynd.xlsx", "A 39278-2022")</f>
        <v/>
      </c>
      <c r="X291">
        <f>HYPERLINK("https://klasma.github.io/Logging_2039/kartor/A 39278-2022 karta.png", "A 39278-2022")</f>
        <v/>
      </c>
      <c r="Y291">
        <f>HYPERLINK("https://klasma.github.io/Logging_2039/kartor_geotiff/A 39278-2022 georefererad karta.tif", "A 39278-2022")</f>
        <v/>
      </c>
      <c r="AA291">
        <f>HYPERLINK("https://klasma.github.io/Logging_2039/klagomål/A 39278-2022 FSC-klagomål.docx", "A 39278-2022")</f>
        <v/>
      </c>
      <c r="AB291">
        <f>HYPERLINK("https://klasma.github.io/Logging_2039/klagomålsmail/A 39278-2022 FSC-klagomål mail.docx", "A 39278-2022")</f>
        <v/>
      </c>
      <c r="AC291">
        <f>HYPERLINK("https://klasma.github.io/Logging_2039/tillsyn/A 39278-2022 tillsynsbegäran.docx", "A 39278-2022")</f>
        <v/>
      </c>
      <c r="AD291">
        <f>HYPERLINK("https://klasma.github.io/Logging_2039/tillsynsmail/A 39278-2022 tillsynsbegäran mail.docx", "A 39278-2022")</f>
        <v/>
      </c>
      <c r="AE291">
        <f>HYPERLINK("https://klasma.github.io/Logging_2039/fåglar/A 39278-2022 prioriterade fågelarter.docx", "A 39278-2022")</f>
        <v/>
      </c>
    </row>
    <row r="292" ht="15" customHeight="1">
      <c r="A292" t="inlineStr">
        <is>
          <t>A 41755-2025</t>
        </is>
      </c>
      <c r="B292" t="inlineStr">
        <is>
          <t>avverkningsanmälan</t>
        </is>
      </c>
      <c r="C292" t="inlineStr">
        <is>
          <t>Föryngringsavverkning</t>
        </is>
      </c>
      <c r="D292" s="1" t="n">
        <v>45902</v>
      </c>
      <c r="E292" s="1" t="n">
        <v>46319</v>
      </c>
      <c r="F292" t="inlineStr">
        <is>
          <t>DALARNAS LÄN</t>
        </is>
      </c>
      <c r="G292" t="inlineStr">
        <is>
          <t>ÄLVDALEN</t>
        </is>
      </c>
      <c r="H292" t="inlineStr">
        <is>
          <t>Sveaskog</t>
        </is>
      </c>
      <c r="I292" t="n">
        <v>18.2</v>
      </c>
      <c r="J292" t="n">
        <v>0</v>
      </c>
      <c r="K292" t="n">
        <v>0</v>
      </c>
      <c r="L292" t="n">
        <v>8</v>
      </c>
      <c r="M292" t="n">
        <v>1</v>
      </c>
      <c r="N292" t="n">
        <v>0</v>
      </c>
      <c r="O292" t="n">
        <v>0</v>
      </c>
      <c r="P292" t="n">
        <v>0</v>
      </c>
      <c r="Q292" t="n">
        <v>9</v>
      </c>
      <c r="R292" t="n">
        <v>1</v>
      </c>
      <c r="S292" t="n">
        <v>9</v>
      </c>
      <c r="T292" t="n">
        <v>44</v>
      </c>
      <c r="U292" t="n">
        <v>4</v>
      </c>
      <c r="V292" s="2" t="inlineStr">
        <is>
          <t>Gräddporing
Blå taggsvamp
Dropptaggsvamp
Kolflarnlav
Mörk kolflarnlav
Orange taggsvamp
Skarp dropptaggsvamp
Talltaggsvamp
Vedflamlav</t>
        </is>
      </c>
      <c r="W292">
        <f>HYPERLINK("https://klasma.github.io/Logging_2039/artfynd/A 41755-2025 artfynd.xlsx", "A 41755-2025")</f>
        <v/>
      </c>
      <c r="X292">
        <f>HYPERLINK("https://klasma.github.io/Logging_2039/kartor/A 41755-2025 karta.png", "A 41755-2025")</f>
        <v/>
      </c>
      <c r="Y292">
        <f>HYPERLINK("https://klasma.github.io/Logging_2039/kartor_geotiff/A 41755-2025 georefererad karta.tif", "A 41755-2025")</f>
        <v/>
      </c>
      <c r="AA292">
        <f>HYPERLINK("https://klasma.github.io/Logging_2039/klagomål/A 41755-2025 FSC-klagomål.docx", "A 41755-2025")</f>
        <v/>
      </c>
      <c r="AB292">
        <f>HYPERLINK("https://klasma.github.io/Logging_2039/klagomålsmail/A 41755-2025 FSC-klagomål mail.docx", "A 41755-2025")</f>
        <v/>
      </c>
      <c r="AC292">
        <f>HYPERLINK("https://klasma.github.io/Logging_2039/tillsyn/A 41755-2025 tillsynsbegäran.docx", "A 41755-2025")</f>
        <v/>
      </c>
      <c r="AD292">
        <f>HYPERLINK("https://klasma.github.io/Logging_2039/tillsynsmail/A 41755-2025 tillsynsbegäran mail.docx", "A 41755-2025")</f>
        <v/>
      </c>
    </row>
    <row r="293" ht="15" customHeight="1">
      <c r="A293" t="inlineStr">
        <is>
          <t>A 44785-2025</t>
        </is>
      </c>
      <c r="B293" t="inlineStr">
        <is>
          <t>avverkningsanmälan</t>
        </is>
      </c>
      <c r="C293" t="inlineStr">
        <is>
          <t>Föryngringsavverkning</t>
        </is>
      </c>
      <c r="D293" s="1" t="n">
        <v>45917</v>
      </c>
      <c r="E293" s="1" t="n">
        <v>46319</v>
      </c>
      <c r="F293" t="inlineStr">
        <is>
          <t>DALARNAS LÄN</t>
        </is>
      </c>
      <c r="G293" t="inlineStr">
        <is>
          <t>ÄLVDALEN</t>
        </is>
      </c>
      <c r="H293" t="inlineStr">
        <is>
          <t>Sveaskog</t>
        </is>
      </c>
      <c r="I293" t="n">
        <v>29.6</v>
      </c>
      <c r="J293" t="n">
        <v>1</v>
      </c>
      <c r="K293" t="n">
        <v>0</v>
      </c>
      <c r="L293" t="n">
        <v>7</v>
      </c>
      <c r="M293" t="n">
        <v>1</v>
      </c>
      <c r="N293" t="n">
        <v>1</v>
      </c>
      <c r="O293" t="n">
        <v>0</v>
      </c>
      <c r="P293" t="n">
        <v>0</v>
      </c>
      <c r="Q293" t="n">
        <v>9</v>
      </c>
      <c r="R293" t="n">
        <v>2</v>
      </c>
      <c r="S293" t="n">
        <v>9</v>
      </c>
      <c r="T293" t="n">
        <v>33</v>
      </c>
      <c r="U293" t="n">
        <v>14</v>
      </c>
      <c r="V293" s="2" t="inlineStr">
        <is>
          <t>Mosippa
Tallgråticka
Blå taggsvamp
Dropptaggsvamp
Dvärgbägarlav
Kolflarnlav
Skarp dropptaggsvamp
Talltaggsvamp
Vedflamlav</t>
        </is>
      </c>
      <c r="W293">
        <f>HYPERLINK("https://klasma.github.io/Logging_2039/artfynd/A 44785-2025 artfynd.xlsx", "A 44785-2025")</f>
        <v/>
      </c>
      <c r="X293">
        <f>HYPERLINK("https://klasma.github.io/Logging_2039/kartor/A 44785-2025 karta.png", "A 44785-2025")</f>
        <v/>
      </c>
      <c r="Y293">
        <f>HYPERLINK("https://klasma.github.io/Logging_2039/kartor_geotiff/A 44785-2025 georefererad karta.tif", "A 44785-2025")</f>
        <v/>
      </c>
      <c r="AA293">
        <f>HYPERLINK("https://klasma.github.io/Logging_2039/klagomål/A 44785-2025 FSC-klagomål.docx", "A 44785-2025")</f>
        <v/>
      </c>
      <c r="AB293">
        <f>HYPERLINK("https://klasma.github.io/Logging_2039/klagomålsmail/A 44785-2025 FSC-klagomål mail.docx", "A 44785-2025")</f>
        <v/>
      </c>
      <c r="AC293">
        <f>HYPERLINK("https://klasma.github.io/Logging_2039/tillsyn/A 44785-2025 tillsynsbegäran.docx", "A 44785-2025")</f>
        <v/>
      </c>
      <c r="AD293">
        <f>HYPERLINK("https://klasma.github.io/Logging_2039/tillsynsmail/A 44785-2025 tillsynsbegäran mail.docx", "A 44785-2025")</f>
        <v/>
      </c>
    </row>
    <row r="294" ht="15" customHeight="1">
      <c r="A294" t="inlineStr">
        <is>
          <t>A 23924-2026</t>
        </is>
      </c>
      <c r="B294" t="inlineStr">
        <is>
          <t>avverkningsanmälan</t>
        </is>
      </c>
      <c r="C294" t="inlineStr">
        <is>
          <t>Föryngringsavverkning</t>
        </is>
      </c>
      <c r="D294" s="1" t="n">
        <v>46167</v>
      </c>
      <c r="E294" s="1" t="n">
        <v>46319</v>
      </c>
      <c r="F294" t="inlineStr">
        <is>
          <t>DALARNAS LÄN</t>
        </is>
      </c>
      <c r="G294" t="inlineStr">
        <is>
          <t>ORSA</t>
        </is>
      </c>
      <c r="H294" t="inlineStr">
        <is>
          <t>Allmännings- och besparingsskogar</t>
        </is>
      </c>
      <c r="I294" t="n">
        <v>26.5</v>
      </c>
      <c r="J294" t="n">
        <v>2</v>
      </c>
      <c r="K294" t="n">
        <v>1</v>
      </c>
      <c r="L294" t="n">
        <v>6</v>
      </c>
      <c r="M294" t="n">
        <v>1</v>
      </c>
      <c r="N294" t="n">
        <v>0</v>
      </c>
      <c r="O294" t="n">
        <v>0</v>
      </c>
      <c r="P294" t="n">
        <v>0</v>
      </c>
      <c r="Q294" t="n">
        <v>7</v>
      </c>
      <c r="R294" t="n">
        <v>1</v>
      </c>
      <c r="S294" t="n">
        <v>9</v>
      </c>
      <c r="T294" t="n">
        <v>85</v>
      </c>
      <c r="U294" t="n">
        <v>85</v>
      </c>
      <c r="V294" s="2" t="inlineStr">
        <is>
          <t>Garnlav
Dropptaggsvamp
Kolflarnlav
Mörk kolflarnlav
Varglav
Vedflamlav
Vedskivlav
Mindre märgborre
Spillkråka</t>
        </is>
      </c>
      <c r="W294">
        <f>HYPERLINK("https://klasma.github.io/Logging_2034/artfynd/A 23924-2026 artfynd.xlsx", "A 23924-2026")</f>
        <v/>
      </c>
      <c r="X294">
        <f>HYPERLINK("https://klasma.github.io/Logging_2034/kartor/A 23924-2026 karta.png", "A 23924-2026")</f>
        <v/>
      </c>
      <c r="Y294">
        <f>HYPERLINK("https://klasma.github.io/Logging_2034/kartor_geotiff/A 23924-2026 georefererad karta.tif", "A 23924-2026")</f>
        <v/>
      </c>
      <c r="AA294">
        <f>HYPERLINK("https://klasma.github.io/Logging_2034/klagomål/A 23924-2026 FSC-klagomål.docx", "A 23924-2026")</f>
        <v/>
      </c>
      <c r="AB294">
        <f>HYPERLINK("https://klasma.github.io/Logging_2034/klagomålsmail/A 23924-2026 FSC-klagomål mail.docx", "A 23924-2026")</f>
        <v/>
      </c>
      <c r="AC294">
        <f>HYPERLINK("https://klasma.github.io/Logging_2034/tillsyn/A 23924-2026 tillsynsbegäran.docx", "A 23924-2026")</f>
        <v/>
      </c>
      <c r="AD294">
        <f>HYPERLINK("https://klasma.github.io/Logging_2034/tillsynsmail/A 23924-2026 tillsynsbegäran mail.docx", "A 23924-2026")</f>
        <v/>
      </c>
      <c r="AE294">
        <f>HYPERLINK("https://klasma.github.io/Logging_2034/fåglar/A 23924-2026 prioriterade fågelarter.docx", "A 23924-2026")</f>
        <v/>
      </c>
    </row>
    <row r="295" ht="15" customHeight="1">
      <c r="A295" t="inlineStr">
        <is>
          <t>A 46450-2025</t>
        </is>
      </c>
      <c r="B295" t="inlineStr">
        <is>
          <t>avverkningsanmälan</t>
        </is>
      </c>
      <c r="C295" t="inlineStr">
        <is>
          <t>Föryngringsavverkning</t>
        </is>
      </c>
      <c r="D295" s="1" t="n">
        <v>45925</v>
      </c>
      <c r="E295" s="1" t="n">
        <v>46319</v>
      </c>
      <c r="F295" t="inlineStr">
        <is>
          <t>DALARNAS LÄN</t>
        </is>
      </c>
      <c r="G295" t="inlineStr">
        <is>
          <t>MORA</t>
        </is>
      </c>
      <c r="I295" t="n">
        <v>4.2</v>
      </c>
      <c r="J295" t="n">
        <v>3</v>
      </c>
      <c r="K295" t="n">
        <v>1</v>
      </c>
      <c r="L295" t="n">
        <v>6</v>
      </c>
      <c r="M295" t="n">
        <v>1</v>
      </c>
      <c r="N295" t="n">
        <v>0</v>
      </c>
      <c r="O295" t="n">
        <v>0</v>
      </c>
      <c r="P295" t="n">
        <v>0</v>
      </c>
      <c r="Q295" t="n">
        <v>7</v>
      </c>
      <c r="R295" t="n">
        <v>1</v>
      </c>
      <c r="S295" t="n">
        <v>9</v>
      </c>
      <c r="T295" t="n">
        <v>33</v>
      </c>
      <c r="U295" t="n">
        <v>33</v>
      </c>
      <c r="V295" s="2" t="inlineStr">
        <is>
          <t>Garnlav
Dropptaggsvamp
Kolflarnlav
Talltita
Tretåig hackspett
Vedflamlav
Vedskivlav
Mindre märgborre
Spillkråka</t>
        </is>
      </c>
      <c r="W295">
        <f>HYPERLINK("https://klasma.github.io/Logging_2062/artfynd/A 46450-2025 artfynd.xlsx", "A 46450-2025")</f>
        <v/>
      </c>
      <c r="X295">
        <f>HYPERLINK("https://klasma.github.io/Logging_2062/kartor/A 46450-2025 karta.png", "A 46450-2025")</f>
        <v/>
      </c>
      <c r="Y295">
        <f>HYPERLINK("https://klasma.github.io/Logging_2062/kartor_geotiff/A 46450-2025 georefererad karta.tif", "A 46450-2025")</f>
        <v/>
      </c>
      <c r="AA295">
        <f>HYPERLINK("https://klasma.github.io/Logging_2062/klagomål/A 46450-2025 FSC-klagomål.docx", "A 46450-2025")</f>
        <v/>
      </c>
      <c r="AB295">
        <f>HYPERLINK("https://klasma.github.io/Logging_2062/klagomålsmail/A 46450-2025 FSC-klagomål mail.docx", "A 46450-2025")</f>
        <v/>
      </c>
      <c r="AC295">
        <f>HYPERLINK("https://klasma.github.io/Logging_2062/tillsyn/A 46450-2025 tillsynsbegäran.docx", "A 46450-2025")</f>
        <v/>
      </c>
      <c r="AD295">
        <f>HYPERLINK("https://klasma.github.io/Logging_2062/tillsynsmail/A 46450-2025 tillsynsbegäran mail.docx", "A 46450-2025")</f>
        <v/>
      </c>
      <c r="AE295">
        <f>HYPERLINK("https://klasma.github.io/Logging_2062/fåglar/A 46450-2025 prioriterade fågelarter.docx", "A 46450-2025")</f>
        <v/>
      </c>
    </row>
    <row r="296" ht="15" customHeight="1">
      <c r="A296" t="inlineStr">
        <is>
          <t>A 36089-2024</t>
        </is>
      </c>
      <c r="B296" t="inlineStr">
        <is>
          <t>avverkningsanmälan</t>
        </is>
      </c>
      <c r="C296" t="inlineStr">
        <is>
          <t>Avverkning för annat ändamål</t>
        </is>
      </c>
      <c r="D296" s="1" t="n">
        <v>45533</v>
      </c>
      <c r="E296" s="1" t="n">
        <v>46319</v>
      </c>
      <c r="F296" t="inlineStr">
        <is>
          <t>DALARNAS LÄN</t>
        </is>
      </c>
      <c r="G296" t="inlineStr">
        <is>
          <t>MALUNG-SÄLEN</t>
        </is>
      </c>
      <c r="I296" t="n">
        <v>5.2</v>
      </c>
      <c r="J296" t="n">
        <v>2</v>
      </c>
      <c r="K296" t="n">
        <v>5</v>
      </c>
      <c r="L296" t="n">
        <v>3</v>
      </c>
      <c r="M296" t="n">
        <v>1</v>
      </c>
      <c r="N296" t="n">
        <v>0</v>
      </c>
      <c r="O296" t="n">
        <v>0</v>
      </c>
      <c r="P296" t="n">
        <v>0</v>
      </c>
      <c r="Q296" t="n">
        <v>4</v>
      </c>
      <c r="R296" t="n">
        <v>1</v>
      </c>
      <c r="S296" t="n">
        <v>9</v>
      </c>
      <c r="T296" t="n">
        <v>13</v>
      </c>
      <c r="U296" t="n">
        <v>3</v>
      </c>
      <c r="V296" s="2" t="inlineStr">
        <is>
          <t>Garnlav
Doftskinn
Gullpudra
Skrovellav
Spindelblomster
Stuplav
Svart trolldruva
Tvåblad
Ögonpyrola</t>
        </is>
      </c>
      <c r="W296">
        <f>HYPERLINK("https://klasma.github.io/Logging_2023/artfynd/A 36089-2024 artfynd.xlsx", "A 36089-2024")</f>
        <v/>
      </c>
      <c r="X296">
        <f>HYPERLINK("https://klasma.github.io/Logging_2023/kartor/A 36089-2024 karta.png", "A 36089-2024")</f>
        <v/>
      </c>
      <c r="Y296">
        <f>HYPERLINK("https://klasma.github.io/Logging_2023/kartor_geotiff/A 36089-2024 georefererad karta.tif", "A 36089-2024")</f>
        <v/>
      </c>
      <c r="AA296">
        <f>HYPERLINK("https://klasma.github.io/Logging_2023/klagomål/A 36089-2024 FSC-klagomål.docx", "A 36089-2024")</f>
        <v/>
      </c>
      <c r="AB296">
        <f>HYPERLINK("https://klasma.github.io/Logging_2023/klagomålsmail/A 36089-2024 FSC-klagomål mail.docx", "A 36089-2024")</f>
        <v/>
      </c>
      <c r="AC296">
        <f>HYPERLINK("https://klasma.github.io/Logging_2023/tillsyn/A 36089-2024 tillsynsbegäran.docx", "A 36089-2024")</f>
        <v/>
      </c>
      <c r="AD296">
        <f>HYPERLINK("https://klasma.github.io/Logging_2023/tillsynsmail/A 36089-2024 tillsynsbegäran mail.docx", "A 36089-2024")</f>
        <v/>
      </c>
    </row>
    <row r="297" ht="15" customHeight="1">
      <c r="A297" t="inlineStr">
        <is>
          <t>A 23503-2026</t>
        </is>
      </c>
      <c r="B297" t="inlineStr">
        <is>
          <t>avverkningsanmälan</t>
        </is>
      </c>
      <c r="C297" t="inlineStr">
        <is>
          <t>Föryngringsavverkning</t>
        </is>
      </c>
      <c r="D297" s="1" t="n">
        <v>46163</v>
      </c>
      <c r="E297" s="1" t="n">
        <v>46319</v>
      </c>
      <c r="F297" t="inlineStr">
        <is>
          <t>DALARNAS LÄN</t>
        </is>
      </c>
      <c r="G297" t="inlineStr">
        <is>
          <t>LUDVIKA</t>
        </is>
      </c>
      <c r="H297" t="inlineStr">
        <is>
          <t>Bergvik skog väst AB</t>
        </is>
      </c>
      <c r="I297" t="n">
        <v>5.2</v>
      </c>
      <c r="J297" t="n">
        <v>6</v>
      </c>
      <c r="K297" t="n">
        <v>2</v>
      </c>
      <c r="L297" t="n">
        <v>1</v>
      </c>
      <c r="M297" t="n">
        <v>1</v>
      </c>
      <c r="N297" t="n">
        <v>0</v>
      </c>
      <c r="O297" t="n">
        <v>0</v>
      </c>
      <c r="P297" t="n">
        <v>0</v>
      </c>
      <c r="Q297" t="n">
        <v>2</v>
      </c>
      <c r="R297" t="n">
        <v>1</v>
      </c>
      <c r="S297" t="n">
        <v>9</v>
      </c>
      <c r="T297" t="n">
        <v>20</v>
      </c>
      <c r="U297" t="n">
        <v>16</v>
      </c>
      <c r="V297" s="2" t="inlineStr">
        <is>
          <t>Garnlav
Tretåig hackspett
Korallrot
Mindre märgborre
Järpe
Ormbär
Spillkråka
Tjäder
Fläcknycklar</t>
        </is>
      </c>
      <c r="W297">
        <f>HYPERLINK("https://klasma.github.io/Logging_2085/artfynd/A 23503-2026 artfynd.xlsx", "A 23503-2026")</f>
        <v/>
      </c>
      <c r="X297">
        <f>HYPERLINK("https://klasma.github.io/Logging_2085/kartor/A 23503-2026 karta.png", "A 23503-2026")</f>
        <v/>
      </c>
      <c r="Y297">
        <f>HYPERLINK("https://klasma.github.io/Logging_2085/kartor_geotiff/A 23503-2026 georefererad karta.tif", "A 23503-2026")</f>
        <v/>
      </c>
      <c r="AA297">
        <f>HYPERLINK("https://klasma.github.io/Logging_2085/klagomål/A 23503-2026 FSC-klagomål.docx", "A 23503-2026")</f>
        <v/>
      </c>
      <c r="AB297">
        <f>HYPERLINK("https://klasma.github.io/Logging_2085/klagomålsmail/A 23503-2026 FSC-klagomål mail.docx", "A 23503-2026")</f>
        <v/>
      </c>
      <c r="AC297">
        <f>HYPERLINK("https://klasma.github.io/Logging_2085/tillsyn/A 23503-2026 tillsynsbegäran.docx", "A 23503-2026")</f>
        <v/>
      </c>
      <c r="AD297">
        <f>HYPERLINK("https://klasma.github.io/Logging_2085/tillsynsmail/A 23503-2026 tillsynsbegäran mail.docx", "A 23503-2026")</f>
        <v/>
      </c>
      <c r="AE297">
        <f>HYPERLINK("https://klasma.github.io/Logging_2085/fåglar/A 23503-2026 prioriterade fågelarter.docx", "A 23503-2026")</f>
        <v/>
      </c>
    </row>
    <row r="298" ht="15" customHeight="1">
      <c r="A298" t="inlineStr">
        <is>
          <t>A 52613-2025</t>
        </is>
      </c>
      <c r="B298" t="inlineStr">
        <is>
          <t>avverkningsanmälan</t>
        </is>
      </c>
      <c r="C298" t="inlineStr">
        <is>
          <t>Föryngringsavverkning</t>
        </is>
      </c>
      <c r="D298" s="1" t="n">
        <v>45954</v>
      </c>
      <c r="E298" s="1" t="n">
        <v>46319</v>
      </c>
      <c r="F298" t="inlineStr">
        <is>
          <t>DALARNAS LÄN</t>
        </is>
      </c>
      <c r="G298" t="inlineStr">
        <is>
          <t>BORLÄNGE</t>
        </is>
      </c>
      <c r="H298" t="inlineStr">
        <is>
          <t>Bergvik skog väst AB</t>
        </is>
      </c>
      <c r="I298" t="n">
        <v>2.2</v>
      </c>
      <c r="J298" t="n">
        <v>5</v>
      </c>
      <c r="K298" t="n">
        <v>1</v>
      </c>
      <c r="L298" t="n">
        <v>3</v>
      </c>
      <c r="M298" t="n">
        <v>2</v>
      </c>
      <c r="N298" t="n">
        <v>0</v>
      </c>
      <c r="O298" t="n">
        <v>0</v>
      </c>
      <c r="P298" t="n">
        <v>0</v>
      </c>
      <c r="Q298" t="n">
        <v>5</v>
      </c>
      <c r="R298" t="n">
        <v>2</v>
      </c>
      <c r="S298" t="n">
        <v>9</v>
      </c>
      <c r="T298" t="n">
        <v>32</v>
      </c>
      <c r="U298" t="n">
        <v>29</v>
      </c>
      <c r="V298" s="2" t="inlineStr">
        <is>
          <t>Garnlav
Knärot
Dropptaggsvamp
Tretåig hackspett
Vedtrappmossa
Mindre märgborre
Tjäder
Vanlig padda
Vanlig snok</t>
        </is>
      </c>
      <c r="W298">
        <f>HYPERLINK("https://klasma.github.io/Logging_2081/artfynd/A 52613-2025 artfynd.xlsx", "A 52613-2025")</f>
        <v/>
      </c>
      <c r="X298">
        <f>HYPERLINK("https://klasma.github.io/Logging_2081/kartor/A 52613-2025 karta.png", "A 52613-2025")</f>
        <v/>
      </c>
      <c r="Y298">
        <f>HYPERLINK("https://klasma.github.io/Logging_2081/kartor_geotiff/A 52613-2025 georefererad karta.tif", "A 52613-2025")</f>
        <v/>
      </c>
      <c r="Z298">
        <f>HYPERLINK("https://klasma.github.io/Logging_2081/knärot/A 52613-2025 karta knärot.png", "A 52613-2025")</f>
        <v/>
      </c>
      <c r="AA298">
        <f>HYPERLINK("https://klasma.github.io/Logging_2081/klagomål/A 52613-2025 FSC-klagomål.docx", "A 52613-2025")</f>
        <v/>
      </c>
      <c r="AB298">
        <f>HYPERLINK("https://klasma.github.io/Logging_2081/klagomålsmail/A 52613-2025 FSC-klagomål mail.docx", "A 52613-2025")</f>
        <v/>
      </c>
      <c r="AC298">
        <f>HYPERLINK("https://klasma.github.io/Logging_2081/tillsyn/A 52613-2025 tillsynsbegäran.docx", "A 52613-2025")</f>
        <v/>
      </c>
      <c r="AD298">
        <f>HYPERLINK("https://klasma.github.io/Logging_2081/tillsynsmail/A 52613-2025 tillsynsbegäran mail.docx", "A 52613-2025")</f>
        <v/>
      </c>
      <c r="AE298">
        <f>HYPERLINK("https://klasma.github.io/Logging_2081/fåglar/A 52613-2025 prioriterade fågelarter.docx", "A 52613-2025")</f>
        <v/>
      </c>
    </row>
    <row r="299" ht="15" customHeight="1">
      <c r="A299" t="inlineStr">
        <is>
          <t>A 40313-2025</t>
        </is>
      </c>
      <c r="B299" t="inlineStr">
        <is>
          <t>avverkningsanmälan</t>
        </is>
      </c>
      <c r="C299" t="inlineStr">
        <is>
          <t>Föryngringsavverkning</t>
        </is>
      </c>
      <c r="D299" s="1" t="n">
        <v>45895</v>
      </c>
      <c r="E299" s="1" t="n">
        <v>46319</v>
      </c>
      <c r="F299" t="inlineStr">
        <is>
          <t>DALARNAS LÄN</t>
        </is>
      </c>
      <c r="G299" t="inlineStr">
        <is>
          <t>MORA</t>
        </is>
      </c>
      <c r="I299" t="n">
        <v>16</v>
      </c>
      <c r="J299" t="n">
        <v>3</v>
      </c>
      <c r="K299" t="n">
        <v>2</v>
      </c>
      <c r="L299" t="n">
        <v>4</v>
      </c>
      <c r="M299" t="n">
        <v>1</v>
      </c>
      <c r="N299" t="n">
        <v>0</v>
      </c>
      <c r="O299" t="n">
        <v>0</v>
      </c>
      <c r="P299" t="n">
        <v>0</v>
      </c>
      <c r="Q299" t="n">
        <v>5</v>
      </c>
      <c r="R299" t="n">
        <v>1</v>
      </c>
      <c r="S299" t="n">
        <v>9</v>
      </c>
      <c r="T299" t="n">
        <v>81</v>
      </c>
      <c r="U299" t="n">
        <v>78</v>
      </c>
      <c r="V299" s="2" t="inlineStr">
        <is>
          <t>Garnlav
Dropptaggsvamp
Mörk kolflarnlav
Tallticka
Tretåig hackspett
Bollvitmossa
Mindre märgborre
Spillkråka
Tjäder</t>
        </is>
      </c>
      <c r="W299">
        <f>HYPERLINK("https://klasma.github.io/Logging_2062/artfynd/A 40313-2025 artfynd.xlsx", "A 40313-2025")</f>
        <v/>
      </c>
      <c r="X299">
        <f>HYPERLINK("https://klasma.github.io/Logging_2062/kartor/A 40313-2025 karta.png", "A 40313-2025")</f>
        <v/>
      </c>
      <c r="Y299">
        <f>HYPERLINK("https://klasma.github.io/Logging_2062/kartor_geotiff/A 40313-2025 georefererad karta.tif", "A 40313-2025")</f>
        <v/>
      </c>
      <c r="AA299">
        <f>HYPERLINK("https://klasma.github.io/Logging_2062/klagomål/A 40313-2025 FSC-klagomål.docx", "A 40313-2025")</f>
        <v/>
      </c>
      <c r="AB299">
        <f>HYPERLINK("https://klasma.github.io/Logging_2062/klagomålsmail/A 40313-2025 FSC-klagomål mail.docx", "A 40313-2025")</f>
        <v/>
      </c>
      <c r="AC299">
        <f>HYPERLINK("https://klasma.github.io/Logging_2062/tillsyn/A 40313-2025 tillsynsbegäran.docx", "A 40313-2025")</f>
        <v/>
      </c>
      <c r="AD299">
        <f>HYPERLINK("https://klasma.github.io/Logging_2062/tillsynsmail/A 40313-2025 tillsynsbegäran mail.docx", "A 40313-2025")</f>
        <v/>
      </c>
      <c r="AE299">
        <f>HYPERLINK("https://klasma.github.io/Logging_2062/fåglar/A 40313-2025 prioriterade fågelarter.docx", "A 40313-2025")</f>
        <v/>
      </c>
    </row>
    <row r="300" ht="15" customHeight="1">
      <c r="A300" t="inlineStr">
        <is>
          <t>A 57505-2024</t>
        </is>
      </c>
      <c r="B300" t="inlineStr">
        <is>
          <t>avverkningsanmälan</t>
        </is>
      </c>
      <c r="C300" t="inlineStr">
        <is>
          <t>Avverkning för annat ändamål</t>
        </is>
      </c>
      <c r="D300" s="1" t="n">
        <v>45630</v>
      </c>
      <c r="E300" s="1" t="n">
        <v>46319</v>
      </c>
      <c r="F300" t="inlineStr">
        <is>
          <t>DALARNAS LÄN</t>
        </is>
      </c>
      <c r="G300" t="inlineStr">
        <is>
          <t>ÄLVDALEN</t>
        </is>
      </c>
      <c r="H300" t="inlineStr">
        <is>
          <t>Allmännings- och besparingsskogar</t>
        </is>
      </c>
      <c r="I300" t="n">
        <v>2.3</v>
      </c>
      <c r="J300" t="n">
        <v>2</v>
      </c>
      <c r="K300" t="n">
        <v>2</v>
      </c>
      <c r="L300" t="n">
        <v>6</v>
      </c>
      <c r="M300" t="n">
        <v>1</v>
      </c>
      <c r="N300" t="n">
        <v>0</v>
      </c>
      <c r="O300" t="n">
        <v>0</v>
      </c>
      <c r="P300" t="n">
        <v>0</v>
      </c>
      <c r="Q300" t="n">
        <v>7</v>
      </c>
      <c r="R300" t="n">
        <v>1</v>
      </c>
      <c r="S300" t="n">
        <v>9</v>
      </c>
      <c r="T300" t="n">
        <v>19</v>
      </c>
      <c r="U300" t="n">
        <v>18</v>
      </c>
      <c r="V300" s="2" t="inlineStr">
        <is>
          <t>Garnlav
Knottrig blåslav
Skrovellav
Talltita
Tretåig hackspett
Vedflamlav
Vedskivlav
Bronshjon
Vågbandad barkbock</t>
        </is>
      </c>
      <c r="W300">
        <f>HYPERLINK("https://klasma.github.io/Logging_2039/artfynd/A 57505-2024 artfynd.xlsx", "A 57505-2024")</f>
        <v/>
      </c>
      <c r="X300">
        <f>HYPERLINK("https://klasma.github.io/Logging_2039/kartor/A 57505-2024 karta.png", "A 57505-2024")</f>
        <v/>
      </c>
      <c r="Y300">
        <f>HYPERLINK("https://klasma.github.io/Logging_2039/kartor_geotiff/A 57505-2024 georefererad karta.tif", "A 57505-2024")</f>
        <v/>
      </c>
      <c r="AA300">
        <f>HYPERLINK("https://klasma.github.io/Logging_2039/klagomål/A 57505-2024 FSC-klagomål.docx", "A 57505-2024")</f>
        <v/>
      </c>
      <c r="AB300">
        <f>HYPERLINK("https://klasma.github.io/Logging_2039/klagomålsmail/A 57505-2024 FSC-klagomål mail.docx", "A 57505-2024")</f>
        <v/>
      </c>
      <c r="AC300">
        <f>HYPERLINK("https://klasma.github.io/Logging_2039/tillsyn/A 57505-2024 tillsynsbegäran.docx", "A 57505-2024")</f>
        <v/>
      </c>
      <c r="AD300">
        <f>HYPERLINK("https://klasma.github.io/Logging_2039/tillsynsmail/A 57505-2024 tillsynsbegäran mail.docx", "A 57505-2024")</f>
        <v/>
      </c>
      <c r="AE300">
        <f>HYPERLINK("https://klasma.github.io/Logging_2039/fåglar/A 57505-2024 prioriterade fågelarter.docx", "A 57505-2024")</f>
        <v/>
      </c>
    </row>
    <row r="301" ht="15" customHeight="1">
      <c r="A301" t="inlineStr">
        <is>
          <t>A 28278-2026</t>
        </is>
      </c>
      <c r="B301" t="inlineStr">
        <is>
          <t>avverkningsanmälan</t>
        </is>
      </c>
      <c r="C301" t="inlineStr">
        <is>
          <t>Föryngringsavverkning</t>
        </is>
      </c>
      <c r="D301" s="1" t="n">
        <v>46196</v>
      </c>
      <c r="E301" s="1" t="n">
        <v>46319</v>
      </c>
      <c r="F301" t="inlineStr">
        <is>
          <t>DALARNAS LÄN</t>
        </is>
      </c>
      <c r="G301" t="inlineStr">
        <is>
          <t>MALUNG-SÄLEN</t>
        </is>
      </c>
      <c r="H301" t="inlineStr">
        <is>
          <t>Kommuner</t>
        </is>
      </c>
      <c r="I301" t="n">
        <v>12.9</v>
      </c>
      <c r="J301" t="n">
        <v>0</v>
      </c>
      <c r="K301" t="n">
        <v>1</v>
      </c>
      <c r="L301" t="n">
        <v>7</v>
      </c>
      <c r="M301" t="n">
        <v>1</v>
      </c>
      <c r="N301" t="n">
        <v>0</v>
      </c>
      <c r="O301" t="n">
        <v>0</v>
      </c>
      <c r="P301" t="n">
        <v>0</v>
      </c>
      <c r="Q301" t="n">
        <v>8</v>
      </c>
      <c r="R301" t="n">
        <v>1</v>
      </c>
      <c r="S301" t="n">
        <v>9</v>
      </c>
      <c r="T301" t="n">
        <v>49</v>
      </c>
      <c r="U301" t="n">
        <v>49</v>
      </c>
      <c r="V301" s="2" t="inlineStr">
        <is>
          <t>Garnlav
Blanksvart spiklav
Blågrå svartspik
Dvärgbägarlav
Kolflarnlav
Mörk kolflarnlav
Vedflamlav
Vedskivlav
Nästlav</t>
        </is>
      </c>
      <c r="W301">
        <f>HYPERLINK("https://klasma.github.io/Logging_2023/artfynd/A 28278-2026 artfynd.xlsx", "A 28278-2026")</f>
        <v/>
      </c>
      <c r="X301">
        <f>HYPERLINK("https://klasma.github.io/Logging_2023/kartor/A 28278-2026 karta.png", "A 28278-2026")</f>
        <v/>
      </c>
      <c r="Y301">
        <f>HYPERLINK("https://klasma.github.io/Logging_2023/kartor_geotiff/A 28278-2026 georefererad karta.tif", "A 28278-2026")</f>
        <v/>
      </c>
      <c r="AA301">
        <f>HYPERLINK("https://klasma.github.io/Logging_2023/klagomål/A 28278-2026 FSC-klagomål.docx", "A 28278-2026")</f>
        <v/>
      </c>
      <c r="AB301">
        <f>HYPERLINK("https://klasma.github.io/Logging_2023/klagomålsmail/A 28278-2026 FSC-klagomål mail.docx", "A 28278-2026")</f>
        <v/>
      </c>
      <c r="AC301">
        <f>HYPERLINK("https://klasma.github.io/Logging_2023/tillsyn/A 28278-2026 tillsynsbegäran.docx", "A 28278-2026")</f>
        <v/>
      </c>
      <c r="AD301">
        <f>HYPERLINK("https://klasma.github.io/Logging_2023/tillsynsmail/A 28278-2026 tillsynsbegäran mail.docx", "A 28278-2026")</f>
        <v/>
      </c>
    </row>
    <row r="302" ht="15" customHeight="1">
      <c r="A302" t="inlineStr">
        <is>
          <t>A 57661-2025</t>
        </is>
      </c>
      <c r="B302" t="inlineStr">
        <is>
          <t>avverkningsanmälan</t>
        </is>
      </c>
      <c r="C302" t="inlineStr">
        <is>
          <t>Föryngringsavverkning</t>
        </is>
      </c>
      <c r="D302" s="1" t="n">
        <v>45981</v>
      </c>
      <c r="E302" s="1" t="n">
        <v>46319</v>
      </c>
      <c r="F302" t="inlineStr">
        <is>
          <t>DALARNAS LÄN</t>
        </is>
      </c>
      <c r="G302" t="inlineStr">
        <is>
          <t>MORA</t>
        </is>
      </c>
      <c r="I302" t="n">
        <v>6.3</v>
      </c>
      <c r="J302" t="n">
        <v>0</v>
      </c>
      <c r="K302" t="n">
        <v>2</v>
      </c>
      <c r="L302" t="n">
        <v>6</v>
      </c>
      <c r="M302" t="n">
        <v>1</v>
      </c>
      <c r="N302" t="n">
        <v>0</v>
      </c>
      <c r="O302" t="n">
        <v>0</v>
      </c>
      <c r="P302" t="n">
        <v>0</v>
      </c>
      <c r="Q302" t="n">
        <v>7</v>
      </c>
      <c r="R302" t="n">
        <v>1</v>
      </c>
      <c r="S302" t="n">
        <v>9</v>
      </c>
      <c r="T302" t="n">
        <v>30</v>
      </c>
      <c r="U302" t="n">
        <v>0</v>
      </c>
      <c r="V302" s="2" t="inlineStr">
        <is>
          <t>Garnlav
Dvärgbägarlav
Skarp dropptaggsvamp
Tallticka
Vedskivlav
Vedtrappmossa
Vitgrynig nållav
Bronshjon
Mindre märgborre</t>
        </is>
      </c>
      <c r="W302">
        <f>HYPERLINK("https://klasma.github.io/Logging_2062/artfynd/A 57661-2025 artfynd.xlsx", "A 57661-2025")</f>
        <v/>
      </c>
      <c r="X302">
        <f>HYPERLINK("https://klasma.github.io/Logging_2062/kartor/A 57661-2025 karta.png", "A 57661-2025")</f>
        <v/>
      </c>
      <c r="Y302">
        <f>HYPERLINK("https://klasma.github.io/Logging_2062/kartor_geotiff/A 57661-2025 georefererad karta.tif", "A 57661-2025")</f>
        <v/>
      </c>
      <c r="AA302">
        <f>HYPERLINK("https://klasma.github.io/Logging_2062/klagomål/A 57661-2025 FSC-klagomål.docx", "A 57661-2025")</f>
        <v/>
      </c>
      <c r="AB302">
        <f>HYPERLINK("https://klasma.github.io/Logging_2062/klagomålsmail/A 57661-2025 FSC-klagomål mail.docx", "A 57661-2025")</f>
        <v/>
      </c>
      <c r="AC302">
        <f>HYPERLINK("https://klasma.github.io/Logging_2062/tillsyn/A 57661-2025 tillsynsbegäran.docx", "A 57661-2025")</f>
        <v/>
      </c>
      <c r="AD302">
        <f>HYPERLINK("https://klasma.github.io/Logging_2062/tillsynsmail/A 57661-2025 tillsynsbegäran mail.docx", "A 57661-2025")</f>
        <v/>
      </c>
    </row>
    <row r="303" ht="15" customHeight="1">
      <c r="A303" t="inlineStr">
        <is>
          <t>A 30227-2026</t>
        </is>
      </c>
      <c r="B303" t="inlineStr">
        <is>
          <t>avverkningsanmälan</t>
        </is>
      </c>
      <c r="C303" t="inlineStr">
        <is>
          <t>Föryngringsavverkning</t>
        </is>
      </c>
      <c r="D303" s="1" t="n">
        <v>46206</v>
      </c>
      <c r="E303" s="1" t="n">
        <v>46319</v>
      </c>
      <c r="F303" t="inlineStr">
        <is>
          <t>DALARNAS LÄN</t>
        </is>
      </c>
      <c r="G303" t="inlineStr">
        <is>
          <t>ORSA</t>
        </is>
      </c>
      <c r="H303" t="inlineStr">
        <is>
          <t>Bergvik skog öst AB</t>
        </is>
      </c>
      <c r="I303" t="n">
        <v>12.8</v>
      </c>
      <c r="J303" t="n">
        <v>3</v>
      </c>
      <c r="K303" t="n">
        <v>5</v>
      </c>
      <c r="L303" t="n">
        <v>2</v>
      </c>
      <c r="M303" t="n">
        <v>2</v>
      </c>
      <c r="N303" t="n">
        <v>0</v>
      </c>
      <c r="O303" t="n">
        <v>0</v>
      </c>
      <c r="P303" t="n">
        <v>0</v>
      </c>
      <c r="Q303" t="n">
        <v>4</v>
      </c>
      <c r="R303" t="n">
        <v>2</v>
      </c>
      <c r="S303" t="n">
        <v>9</v>
      </c>
      <c r="T303" t="n">
        <v>23</v>
      </c>
      <c r="U303" t="n">
        <v>21</v>
      </c>
      <c r="V303" s="2" t="inlineStr">
        <is>
          <t>Garnlav
Knärot
Lunglav
Violettgrå tagellav
Luddlav
Plattlummer
Skinnlav
Spindelblomster
Stuplav</t>
        </is>
      </c>
      <c r="W303">
        <f>HYPERLINK("https://klasma.github.io/Logging_2034/artfynd/A 30227-2026 artfynd.xlsx", "A 30227-2026")</f>
        <v/>
      </c>
      <c r="X303">
        <f>HYPERLINK("https://klasma.github.io/Logging_2034/kartor/A 30227-2026 karta.png", "A 30227-2026")</f>
        <v/>
      </c>
      <c r="Y303">
        <f>HYPERLINK("https://klasma.github.io/Logging_2034/kartor_geotiff/A 30227-2026 georefererad karta.tif", "A 30227-2026")</f>
        <v/>
      </c>
      <c r="Z303">
        <f>HYPERLINK("https://klasma.github.io/Logging_2034/knärot/A 30227-2026 karta knärot.png", "A 30227-2026")</f>
        <v/>
      </c>
      <c r="AA303">
        <f>HYPERLINK("https://klasma.github.io/Logging_2034/klagomål/A 30227-2026 FSC-klagomål.docx", "A 30227-2026")</f>
        <v/>
      </c>
      <c r="AB303">
        <f>HYPERLINK("https://klasma.github.io/Logging_2034/klagomålsmail/A 30227-2026 FSC-klagomål mail.docx", "A 30227-2026")</f>
        <v/>
      </c>
      <c r="AC303">
        <f>HYPERLINK("https://klasma.github.io/Logging_2034/tillsyn/A 30227-2026 tillsynsbegäran.docx", "A 30227-2026")</f>
        <v/>
      </c>
      <c r="AD303">
        <f>HYPERLINK("https://klasma.github.io/Logging_2034/tillsynsmail/A 30227-2026 tillsynsbegäran mail.docx", "A 30227-2026")</f>
        <v/>
      </c>
    </row>
    <row r="304" ht="15" customHeight="1">
      <c r="A304" t="inlineStr">
        <is>
          <t>A 32500-2026</t>
        </is>
      </c>
      <c r="B304" t="inlineStr">
        <is>
          <t>avverkningsanmälan</t>
        </is>
      </c>
      <c r="C304" t="inlineStr">
        <is>
          <t>Föryngringsavverkning</t>
        </is>
      </c>
      <c r="D304" s="1" t="n">
        <v>46239</v>
      </c>
      <c r="E304" s="1" t="n">
        <v>46319</v>
      </c>
      <c r="F304" t="inlineStr">
        <is>
          <t>DALARNAS LÄN</t>
        </is>
      </c>
      <c r="G304" t="inlineStr">
        <is>
          <t>ORSA</t>
        </is>
      </c>
      <c r="H304" t="inlineStr">
        <is>
          <t>Allmännings- och besparingsskogar</t>
        </is>
      </c>
      <c r="I304" t="n">
        <v>2.5</v>
      </c>
      <c r="J304" t="n">
        <v>2</v>
      </c>
      <c r="K304" t="n">
        <v>3</v>
      </c>
      <c r="L304" t="n">
        <v>3</v>
      </c>
      <c r="M304" t="n">
        <v>1</v>
      </c>
      <c r="N304" t="n">
        <v>0</v>
      </c>
      <c r="O304" t="n">
        <v>0</v>
      </c>
      <c r="P304" t="n">
        <v>0</v>
      </c>
      <c r="Q304" t="n">
        <v>4</v>
      </c>
      <c r="R304" t="n">
        <v>1</v>
      </c>
      <c r="S304" t="n">
        <v>9</v>
      </c>
      <c r="T304" t="n">
        <v>14</v>
      </c>
      <c r="U304" t="n">
        <v>14</v>
      </c>
      <c r="V304" s="2" t="inlineStr">
        <is>
          <t>Garnlav
Dropptaggsvamp
Tallticka
Violettgrå tagellav
Björksplintborre
Mindre märgborre
Strimspindling
Spillkråka
Tjäder</t>
        </is>
      </c>
      <c r="W304">
        <f>HYPERLINK("https://klasma.github.io/Logging_2034/artfynd/A 32500-2026 artfynd.xlsx", "A 32500-2026")</f>
        <v/>
      </c>
      <c r="X304">
        <f>HYPERLINK("https://klasma.github.io/Logging_2034/kartor/A 32500-2026 karta.png", "A 32500-2026")</f>
        <v/>
      </c>
      <c r="Y304">
        <f>HYPERLINK("https://klasma.github.io/Logging_2034/kartor_geotiff/A 32500-2026 georefererad karta.tif", "A 32500-2026")</f>
        <v/>
      </c>
      <c r="AA304">
        <f>HYPERLINK("https://klasma.github.io/Logging_2034/klagomål/A 32500-2026 FSC-klagomål.docx", "A 32500-2026")</f>
        <v/>
      </c>
      <c r="AB304">
        <f>HYPERLINK("https://klasma.github.io/Logging_2034/klagomålsmail/A 32500-2026 FSC-klagomål mail.docx", "A 32500-2026")</f>
        <v/>
      </c>
      <c r="AC304">
        <f>HYPERLINK("https://klasma.github.io/Logging_2034/tillsyn/A 32500-2026 tillsynsbegäran.docx", "A 32500-2026")</f>
        <v/>
      </c>
      <c r="AD304">
        <f>HYPERLINK("https://klasma.github.io/Logging_2034/tillsynsmail/A 32500-2026 tillsynsbegäran mail.docx", "A 32500-2026")</f>
        <v/>
      </c>
      <c r="AE304">
        <f>HYPERLINK("https://klasma.github.io/Logging_2034/fåglar/A 32500-2026 prioriterade fågelarter.docx", "A 32500-2026")</f>
        <v/>
      </c>
    </row>
    <row r="305" ht="15" customHeight="1">
      <c r="A305" t="inlineStr">
        <is>
          <t>A 38741-2026</t>
        </is>
      </c>
      <c r="B305" t="inlineStr">
        <is>
          <t>avverkningsanmälan</t>
        </is>
      </c>
      <c r="C305" t="inlineStr">
        <is>
          <t>Föryngringsavverkning</t>
        </is>
      </c>
      <c r="D305" s="1" t="n">
        <v>46286</v>
      </c>
      <c r="E305" s="1" t="n">
        <v>46319</v>
      </c>
      <c r="F305" t="inlineStr">
        <is>
          <t>DALARNAS LÄN</t>
        </is>
      </c>
      <c r="G305" t="inlineStr">
        <is>
          <t>ÄLVDALEN</t>
        </is>
      </c>
      <c r="H305" t="inlineStr">
        <is>
          <t>Sveaskog</t>
        </is>
      </c>
      <c r="I305" t="n">
        <v>10.1</v>
      </c>
      <c r="J305" t="n">
        <v>2</v>
      </c>
      <c r="K305" t="n">
        <v>0</v>
      </c>
      <c r="L305" t="n">
        <v>7</v>
      </c>
      <c r="M305" t="n">
        <v>0</v>
      </c>
      <c r="N305" t="n">
        <v>1</v>
      </c>
      <c r="O305" t="n">
        <v>0</v>
      </c>
      <c r="P305" t="n">
        <v>0</v>
      </c>
      <c r="Q305" t="n">
        <v>8</v>
      </c>
      <c r="R305" t="n">
        <v>1</v>
      </c>
      <c r="S305" t="n">
        <v>9</v>
      </c>
      <c r="T305" t="n">
        <v>10</v>
      </c>
      <c r="U305" t="n">
        <v>0</v>
      </c>
      <c r="V305" s="2" t="inlineStr">
        <is>
          <t>Mosippa
Dropptaggsvamp
Kolflarnlav
Lunglav
Mörk kolflarnlav
Skarp dropptaggsvamp
Skrovellav
Vedflamlav
Revlummer</t>
        </is>
      </c>
      <c r="W305">
        <f>HYPERLINK("https://klasma.github.io/Logging_2039/artfynd/A 38741-2026 artfynd.xlsx", "A 38741-2026")</f>
        <v/>
      </c>
      <c r="X305">
        <f>HYPERLINK("https://klasma.github.io/Logging_2039/kartor/A 38741-2026 karta.png", "A 38741-2026")</f>
        <v/>
      </c>
      <c r="Y305">
        <f>HYPERLINK("https://klasma.github.io/Logging_2039/kartor_geotiff/A 38741-2026 georefererad karta.tif", "A 38741-2026")</f>
        <v/>
      </c>
      <c r="AA305">
        <f>HYPERLINK("https://klasma.github.io/Logging_2039/klagomål/A 38741-2026 FSC-klagomål.docx", "A 38741-2026")</f>
        <v/>
      </c>
      <c r="AB305">
        <f>HYPERLINK("https://klasma.github.io/Logging_2039/klagomålsmail/A 38741-2026 FSC-klagomål mail.docx", "A 38741-2026")</f>
        <v/>
      </c>
      <c r="AC305">
        <f>HYPERLINK("https://klasma.github.io/Logging_2039/tillsyn/A 38741-2026 tillsynsbegäran.docx", "A 38741-2026")</f>
        <v/>
      </c>
      <c r="AD305">
        <f>HYPERLINK("https://klasma.github.io/Logging_2039/tillsynsmail/A 38741-2026 tillsynsbegäran mail.docx", "A 38741-2026")</f>
        <v/>
      </c>
    </row>
    <row r="306" ht="15" customHeight="1">
      <c r="A306" t="inlineStr">
        <is>
          <t>A 38865-2026</t>
        </is>
      </c>
      <c r="B306" t="inlineStr">
        <is>
          <t>avverkningsanmälan</t>
        </is>
      </c>
      <c r="C306" t="inlineStr">
        <is>
          <t>Föryngringsavverkning</t>
        </is>
      </c>
      <c r="D306" s="1" t="n">
        <v>46286</v>
      </c>
      <c r="E306" s="1" t="n">
        <v>46319</v>
      </c>
      <c r="F306" t="inlineStr">
        <is>
          <t>DALARNAS LÄN</t>
        </is>
      </c>
      <c r="G306" t="inlineStr">
        <is>
          <t>LEKSAND</t>
        </is>
      </c>
      <c r="I306" t="n">
        <v>10</v>
      </c>
      <c r="J306" t="n">
        <v>3</v>
      </c>
      <c r="K306" t="n">
        <v>1</v>
      </c>
      <c r="L306" t="n">
        <v>5</v>
      </c>
      <c r="M306" t="n">
        <v>1</v>
      </c>
      <c r="N306" t="n">
        <v>0</v>
      </c>
      <c r="O306" t="n">
        <v>0</v>
      </c>
      <c r="P306" t="n">
        <v>0</v>
      </c>
      <c r="Q306" t="n">
        <v>6</v>
      </c>
      <c r="R306" t="n">
        <v>1</v>
      </c>
      <c r="S306" t="n">
        <v>9</v>
      </c>
      <c r="T306" t="n">
        <v>61</v>
      </c>
      <c r="U306" t="n">
        <v>0</v>
      </c>
      <c r="V306" s="2" t="inlineStr">
        <is>
          <t>Garnlav
Dropptaggsvamp
Kolflarnlav
Tallticka
Tretåig hackspett
Vedskivlav
Mindre märgborre
Spillkråka
Tjäder</t>
        </is>
      </c>
      <c r="W306">
        <f>HYPERLINK("https://klasma.github.io/Logging_2029/artfynd/A 38865-2026 artfynd.xlsx", "A 38865-2026")</f>
        <v/>
      </c>
      <c r="X306">
        <f>HYPERLINK("https://klasma.github.io/Logging_2029/kartor/A 38865-2026 karta.png", "A 38865-2026")</f>
        <v/>
      </c>
      <c r="Y306">
        <f>HYPERLINK("https://klasma.github.io/Logging_2029/kartor_geotiff/A 38865-2026 georefererad karta.tif", "A 38865-2026")</f>
        <v/>
      </c>
      <c r="AA306">
        <f>HYPERLINK("https://klasma.github.io/Logging_2029/klagomål/A 38865-2026 FSC-klagomål.docx", "A 38865-2026")</f>
        <v/>
      </c>
      <c r="AB306">
        <f>HYPERLINK("https://klasma.github.io/Logging_2029/klagomålsmail/A 38865-2026 FSC-klagomål mail.docx", "A 38865-2026")</f>
        <v/>
      </c>
      <c r="AC306">
        <f>HYPERLINK("https://klasma.github.io/Logging_2029/tillsyn/A 38865-2026 tillsynsbegäran.docx", "A 38865-2026")</f>
        <v/>
      </c>
      <c r="AD306">
        <f>HYPERLINK("https://klasma.github.io/Logging_2029/tillsynsmail/A 38865-2026 tillsynsbegäran mail.docx", "A 38865-2026")</f>
        <v/>
      </c>
      <c r="AE306">
        <f>HYPERLINK("https://klasma.github.io/Logging_2029/fåglar/A 38865-2026 prioriterade fågelarter.docx", "A 38865-2026")</f>
        <v/>
      </c>
    </row>
    <row r="307" ht="15" customHeight="1">
      <c r="A307" t="inlineStr">
        <is>
          <t>A 20947-2026</t>
        </is>
      </c>
      <c r="B307" t="inlineStr">
        <is>
          <t>avverkningsanmälan</t>
        </is>
      </c>
      <c r="C307" t="inlineStr">
        <is>
          <t>Föryngringsavverkning</t>
        </is>
      </c>
      <c r="D307" s="1" t="n">
        <v>46142</v>
      </c>
      <c r="E307" s="1" t="n">
        <v>46319</v>
      </c>
      <c r="F307" t="inlineStr">
        <is>
          <t>DALARNAS LÄN</t>
        </is>
      </c>
      <c r="G307" t="inlineStr">
        <is>
          <t>ÄLVDALEN</t>
        </is>
      </c>
      <c r="H307" t="inlineStr">
        <is>
          <t>Bergvik skog väst AB</t>
        </is>
      </c>
      <c r="I307" t="n">
        <v>3.7</v>
      </c>
      <c r="J307" t="n">
        <v>7</v>
      </c>
      <c r="K307" t="n">
        <v>2</v>
      </c>
      <c r="L307" t="n">
        <v>1</v>
      </c>
      <c r="M307" t="n">
        <v>1</v>
      </c>
      <c r="N307" t="n">
        <v>0</v>
      </c>
      <c r="O307" t="n">
        <v>0</v>
      </c>
      <c r="P307" t="n">
        <v>0</v>
      </c>
      <c r="Q307" t="n">
        <v>2</v>
      </c>
      <c r="R307" t="n">
        <v>1</v>
      </c>
      <c r="S307" t="n">
        <v>9</v>
      </c>
      <c r="T307" t="n">
        <v>22</v>
      </c>
      <c r="U307" t="n">
        <v>22</v>
      </c>
      <c r="V307" s="2" t="inlineStr">
        <is>
          <t>Garnlav
Järnsparv
Mindre märgborre
Plattlummer
Mattlummer
Spillkråka
Tjäder
Fläcknycklar
Revlummer</t>
        </is>
      </c>
      <c r="W307">
        <f>HYPERLINK("https://klasma.github.io/Logging_2039/artfynd/A 20947-2026 artfynd.xlsx", "A 20947-2026")</f>
        <v/>
      </c>
      <c r="X307">
        <f>HYPERLINK("https://klasma.github.io/Logging_2039/kartor/A 20947-2026 karta.png", "A 20947-2026")</f>
        <v/>
      </c>
      <c r="Y307">
        <f>HYPERLINK("https://klasma.github.io/Logging_2039/kartor_geotiff/A 20947-2026 georefererad karta.tif", "A 20947-2026")</f>
        <v/>
      </c>
      <c r="AA307">
        <f>HYPERLINK("https://klasma.github.io/Logging_2039/klagomål/A 20947-2026 FSC-klagomål.docx", "A 20947-2026")</f>
        <v/>
      </c>
      <c r="AB307">
        <f>HYPERLINK("https://klasma.github.io/Logging_2039/klagomålsmail/A 20947-2026 FSC-klagomål mail.docx", "A 20947-2026")</f>
        <v/>
      </c>
      <c r="AC307">
        <f>HYPERLINK("https://klasma.github.io/Logging_2039/tillsyn/A 20947-2026 tillsynsbegäran.docx", "A 20947-2026")</f>
        <v/>
      </c>
      <c r="AD307">
        <f>HYPERLINK("https://klasma.github.io/Logging_2039/tillsynsmail/A 20947-2026 tillsynsbegäran mail.docx", "A 20947-2026")</f>
        <v/>
      </c>
      <c r="AE307">
        <f>HYPERLINK("https://klasma.github.io/Logging_2039/fåglar/A 20947-2026 prioriterade fågelarter.docx", "A 20947-2026")</f>
        <v/>
      </c>
    </row>
    <row r="308" ht="15" customHeight="1">
      <c r="A308" t="inlineStr">
        <is>
          <t>A 4568-2026</t>
        </is>
      </c>
      <c r="B308" t="inlineStr">
        <is>
          <t>avverkningsanmälan</t>
        </is>
      </c>
      <c r="C308" t="inlineStr">
        <is>
          <t>Föryngringsavverkning</t>
        </is>
      </c>
      <c r="D308" s="1" t="n">
        <v>46047</v>
      </c>
      <c r="E308" s="1" t="n">
        <v>46319</v>
      </c>
      <c r="F308" t="inlineStr">
        <is>
          <t>DALARNAS LÄN</t>
        </is>
      </c>
      <c r="G308" t="inlineStr">
        <is>
          <t>BORLÄNGE</t>
        </is>
      </c>
      <c r="I308" t="n">
        <v>21.7</v>
      </c>
      <c r="J308" t="n">
        <v>6</v>
      </c>
      <c r="K308" t="n">
        <v>0</v>
      </c>
      <c r="L308" t="n">
        <v>4</v>
      </c>
      <c r="M308" t="n">
        <v>2</v>
      </c>
      <c r="N308" t="n">
        <v>0</v>
      </c>
      <c r="O308" t="n">
        <v>0</v>
      </c>
      <c r="P308" t="n">
        <v>0</v>
      </c>
      <c r="Q308" t="n">
        <v>6</v>
      </c>
      <c r="R308" t="n">
        <v>2</v>
      </c>
      <c r="S308" t="n">
        <v>9</v>
      </c>
      <c r="T308" t="n">
        <v>33</v>
      </c>
      <c r="U308" t="n">
        <v>25</v>
      </c>
      <c r="V308" s="2" t="inlineStr">
        <is>
          <t>Garnlav
Knärot
Dropptaggsvamp
Talltita
Tretåig hackspett
Ullticka
Spillkråka
Tjäder
Lopplummer (aggregat)</t>
        </is>
      </c>
      <c r="W308">
        <f>HYPERLINK("https://klasma.github.io/Logging_2081/artfynd/A 4568-2026 artfynd.xlsx", "A 4568-2026")</f>
        <v/>
      </c>
      <c r="X308">
        <f>HYPERLINK("https://klasma.github.io/Logging_2081/kartor/A 4568-2026 karta.png", "A 4568-2026")</f>
        <v/>
      </c>
      <c r="Y308">
        <f>HYPERLINK("https://klasma.github.io/Logging_2081/kartor_geotiff/A 4568-2026 georefererad karta.tif", "A 4568-2026")</f>
        <v/>
      </c>
      <c r="Z308">
        <f>HYPERLINK("https://klasma.github.io/Logging_2081/knärot/A 4568-2026 karta knärot.png", "A 4568-2026")</f>
        <v/>
      </c>
      <c r="AA308">
        <f>HYPERLINK("https://klasma.github.io/Logging_2081/klagomål/A 4568-2026 FSC-klagomål.docx", "A 4568-2026")</f>
        <v/>
      </c>
      <c r="AB308">
        <f>HYPERLINK("https://klasma.github.io/Logging_2081/klagomålsmail/A 4568-2026 FSC-klagomål mail.docx", "A 4568-2026")</f>
        <v/>
      </c>
      <c r="AC308">
        <f>HYPERLINK("https://klasma.github.io/Logging_2081/tillsyn/A 4568-2026 tillsynsbegäran.docx", "A 4568-2026")</f>
        <v/>
      </c>
      <c r="AD308">
        <f>HYPERLINK("https://klasma.github.io/Logging_2081/tillsynsmail/A 4568-2026 tillsynsbegäran mail.docx", "A 4568-2026")</f>
        <v/>
      </c>
      <c r="AE308">
        <f>HYPERLINK("https://klasma.github.io/Logging_2081/fåglar/A 4568-2026 prioriterade fågelarter.docx", "A 4568-2026")</f>
        <v/>
      </c>
    </row>
    <row r="309" ht="15" customHeight="1">
      <c r="A309" t="inlineStr">
        <is>
          <t>A 36739-2024</t>
        </is>
      </c>
      <c r="B309" t="inlineStr">
        <is>
          <t>avverkningsanmälan</t>
        </is>
      </c>
      <c r="C309" t="inlineStr">
        <is>
          <t>Föryngringsavverkning</t>
        </is>
      </c>
      <c r="D309" s="1" t="n">
        <v>45538</v>
      </c>
      <c r="E309" s="1" t="n">
        <v>46319</v>
      </c>
      <c r="F309" t="inlineStr">
        <is>
          <t>DALARNAS LÄN</t>
        </is>
      </c>
      <c r="G309" t="inlineStr">
        <is>
          <t>BORLÄNGE</t>
        </is>
      </c>
      <c r="H309" t="inlineStr">
        <is>
          <t>Bergvik skog väst AB</t>
        </is>
      </c>
      <c r="I309" t="n">
        <v>9.5</v>
      </c>
      <c r="J309" t="n">
        <v>7</v>
      </c>
      <c r="K309" t="n">
        <v>1</v>
      </c>
      <c r="L309" t="n">
        <v>2</v>
      </c>
      <c r="M309" t="n">
        <v>2</v>
      </c>
      <c r="N309" t="n">
        <v>0</v>
      </c>
      <c r="O309" t="n">
        <v>0</v>
      </c>
      <c r="P309" t="n">
        <v>0</v>
      </c>
      <c r="Q309" t="n">
        <v>4</v>
      </c>
      <c r="R309" t="n">
        <v>2</v>
      </c>
      <c r="S309" t="n">
        <v>9</v>
      </c>
      <c r="T309" t="n">
        <v>57</v>
      </c>
      <c r="U309" t="n">
        <v>57</v>
      </c>
      <c r="V309" s="2" t="inlineStr">
        <is>
          <t>Knärot
Tornseglare
Talltita
Ullticka
Mindre märgborre
Spillkråka
Tofsmes
Grönsiska
Revlummer</t>
        </is>
      </c>
      <c r="W309">
        <f>HYPERLINK("https://klasma.github.io/Logging_2081/artfynd/A 36739-2024 artfynd.xlsx", "A 36739-2024")</f>
        <v/>
      </c>
      <c r="X309">
        <f>HYPERLINK("https://klasma.github.io/Logging_2081/kartor/A 36739-2024 karta.png", "A 36739-2024")</f>
        <v/>
      </c>
      <c r="Y309">
        <f>HYPERLINK("https://klasma.github.io/Logging_2081/kartor_geotiff/A 36739-2024 georefererad karta.tif", "A 36739-2024")</f>
        <v/>
      </c>
      <c r="Z309">
        <f>HYPERLINK("https://klasma.github.io/Logging_2081/knärot/A 36739-2024 karta knärot.png", "A 36739-2024")</f>
        <v/>
      </c>
      <c r="AA309">
        <f>HYPERLINK("https://klasma.github.io/Logging_2081/klagomål/A 36739-2024 FSC-klagomål.docx", "A 36739-2024")</f>
        <v/>
      </c>
      <c r="AB309">
        <f>HYPERLINK("https://klasma.github.io/Logging_2081/klagomålsmail/A 36739-2024 FSC-klagomål mail.docx", "A 36739-2024")</f>
        <v/>
      </c>
      <c r="AC309">
        <f>HYPERLINK("https://klasma.github.io/Logging_2081/tillsyn/A 36739-2024 tillsynsbegäran.docx", "A 36739-2024")</f>
        <v/>
      </c>
      <c r="AD309">
        <f>HYPERLINK("https://klasma.github.io/Logging_2081/tillsynsmail/A 36739-2024 tillsynsbegäran mail.docx", "A 36739-2024")</f>
        <v/>
      </c>
      <c r="AE309">
        <f>HYPERLINK("https://klasma.github.io/Logging_2081/fåglar/A 36739-2024 prioriterade fågelarter.docx", "A 36739-2024")</f>
        <v/>
      </c>
    </row>
    <row r="310" ht="15" customHeight="1">
      <c r="A310" t="inlineStr">
        <is>
          <t>A 18713-2026</t>
        </is>
      </c>
      <c r="B310" t="inlineStr">
        <is>
          <t>avverkningsanmälan</t>
        </is>
      </c>
      <c r="C310" t="inlineStr">
        <is>
          <t>Föryngringsavverkning</t>
        </is>
      </c>
      <c r="D310" s="1" t="n">
        <v>46128</v>
      </c>
      <c r="E310" s="1" t="n">
        <v>46319</v>
      </c>
      <c r="F310" t="inlineStr">
        <is>
          <t>DALARNAS LÄN</t>
        </is>
      </c>
      <c r="G310" t="inlineStr">
        <is>
          <t>VANSBRO</t>
        </is>
      </c>
      <c r="I310" t="n">
        <v>21.8</v>
      </c>
      <c r="J310" t="n">
        <v>3</v>
      </c>
      <c r="K310" t="n">
        <v>1</v>
      </c>
      <c r="L310" t="n">
        <v>5</v>
      </c>
      <c r="M310" t="n">
        <v>2</v>
      </c>
      <c r="N310" t="n">
        <v>0</v>
      </c>
      <c r="O310" t="n">
        <v>0</v>
      </c>
      <c r="P310" t="n">
        <v>0</v>
      </c>
      <c r="Q310" t="n">
        <v>7</v>
      </c>
      <c r="R310" t="n">
        <v>2</v>
      </c>
      <c r="S310" t="n">
        <v>9</v>
      </c>
      <c r="T310" t="n">
        <v>135</v>
      </c>
      <c r="U310" t="n">
        <v>134</v>
      </c>
      <c r="V310" s="2" t="inlineStr">
        <is>
          <t>Garnlav
Knärot
Dropptaggsvamp
Kolflarnlav
Mörk kolflarnlav
Tallticka
Tretåig hackspett
Mindre märgborre
Tjäder</t>
        </is>
      </c>
      <c r="W310">
        <f>HYPERLINK("https://klasma.github.io/Logging_2021/artfynd/A 18713-2026 artfynd.xlsx", "A 18713-2026")</f>
        <v/>
      </c>
      <c r="X310">
        <f>HYPERLINK("https://klasma.github.io/Logging_2021/kartor/A 18713-2026 karta.png", "A 18713-2026")</f>
        <v/>
      </c>
      <c r="Y310">
        <f>HYPERLINK("https://klasma.github.io/Logging_2021/kartor_geotiff/A 18713-2026 georefererad karta.tif", "A 18713-2026")</f>
        <v/>
      </c>
      <c r="Z310">
        <f>HYPERLINK("https://klasma.github.io/Logging_2021/knärot/A 18713-2026 karta knärot.png", "A 18713-2026")</f>
        <v/>
      </c>
      <c r="AA310">
        <f>HYPERLINK("https://klasma.github.io/Logging_2021/klagomål/A 18713-2026 FSC-klagomål.docx", "A 18713-2026")</f>
        <v/>
      </c>
      <c r="AB310">
        <f>HYPERLINK("https://klasma.github.io/Logging_2021/klagomålsmail/A 18713-2026 FSC-klagomål mail.docx", "A 18713-2026")</f>
        <v/>
      </c>
      <c r="AC310">
        <f>HYPERLINK("https://klasma.github.io/Logging_2021/tillsyn/A 18713-2026 tillsynsbegäran.docx", "A 18713-2026")</f>
        <v/>
      </c>
      <c r="AD310">
        <f>HYPERLINK("https://klasma.github.io/Logging_2021/tillsynsmail/A 18713-2026 tillsynsbegäran mail.docx", "A 18713-2026")</f>
        <v/>
      </c>
      <c r="AE310">
        <f>HYPERLINK("https://klasma.github.io/Logging_2021/fåglar/A 18713-2026 prioriterade fågelarter.docx", "A 18713-2026")</f>
        <v/>
      </c>
    </row>
    <row r="311" ht="15" customHeight="1">
      <c r="A311" t="inlineStr">
        <is>
          <t>A 40529-2026</t>
        </is>
      </c>
      <c r="B311" t="inlineStr">
        <is>
          <t>avverkningsanmälan</t>
        </is>
      </c>
      <c r="C311" t="inlineStr">
        <is>
          <t>Föryngringsavverkning</t>
        </is>
      </c>
      <c r="D311" s="1" t="n">
        <v>46295</v>
      </c>
      <c r="E311" s="1" t="n">
        <v>46319</v>
      </c>
      <c r="F311" t="inlineStr">
        <is>
          <t>DALARNAS LÄN</t>
        </is>
      </c>
      <c r="G311" t="inlineStr">
        <is>
          <t>MALUNG-SÄLEN</t>
        </is>
      </c>
      <c r="H311" t="inlineStr">
        <is>
          <t>Allmännings- och besparingsskogar</t>
        </is>
      </c>
      <c r="I311" t="n">
        <v>13.3</v>
      </c>
      <c r="J311" t="n">
        <v>0</v>
      </c>
      <c r="K311" t="n">
        <v>2</v>
      </c>
      <c r="L311" t="n">
        <v>6</v>
      </c>
      <c r="M311" t="n">
        <v>1</v>
      </c>
      <c r="N311" t="n">
        <v>0</v>
      </c>
      <c r="O311" t="n">
        <v>0</v>
      </c>
      <c r="P311" t="n">
        <v>0</v>
      </c>
      <c r="Q311" t="n">
        <v>7</v>
      </c>
      <c r="R311" t="n">
        <v>1</v>
      </c>
      <c r="S311" t="n">
        <v>9</v>
      </c>
      <c r="T311" t="n">
        <v>80</v>
      </c>
      <c r="U311" t="n">
        <v>80</v>
      </c>
      <c r="V311" s="2" t="inlineStr">
        <is>
          <t>Garnlav
Dropptaggsvamp
Dvärgbägarlav
Kortskaftad ärgspik
Vedflamlav
Vedskivlav
Violettgrå tagellav
Mindre märgborre
Nästlav</t>
        </is>
      </c>
      <c r="W311">
        <f>HYPERLINK("https://klasma.github.io/Logging_2023/artfynd/A 40529-2026 artfynd.xlsx", "A 40529-2026")</f>
        <v/>
      </c>
      <c r="X311">
        <f>HYPERLINK("https://klasma.github.io/Logging_2023/kartor/A 40529-2026 karta.png", "A 40529-2026")</f>
        <v/>
      </c>
      <c r="Y311">
        <f>HYPERLINK("https://klasma.github.io/Logging_2023/kartor_geotiff/A 40529-2026 georefererad karta.tif", "A 40529-2026")</f>
        <v/>
      </c>
      <c r="AA311">
        <f>HYPERLINK("https://klasma.github.io/Logging_2023/klagomål/A 40529-2026 FSC-klagomål.docx", "A 40529-2026")</f>
        <v/>
      </c>
      <c r="AB311">
        <f>HYPERLINK("https://klasma.github.io/Logging_2023/klagomålsmail/A 40529-2026 FSC-klagomål mail.docx", "A 40529-2026")</f>
        <v/>
      </c>
      <c r="AC311">
        <f>HYPERLINK("https://klasma.github.io/Logging_2023/tillsyn/A 40529-2026 tillsynsbegäran.docx", "A 40529-2026")</f>
        <v/>
      </c>
      <c r="AD311">
        <f>HYPERLINK("https://klasma.github.io/Logging_2023/tillsynsmail/A 40529-2026 tillsynsbegäran mail.docx", "A 40529-2026")</f>
        <v/>
      </c>
    </row>
    <row r="312" ht="15" customHeight="1">
      <c r="A312" t="inlineStr">
        <is>
          <t>A 40778-2026</t>
        </is>
      </c>
      <c r="B312" t="inlineStr">
        <is>
          <t>avverkningsanmälan</t>
        </is>
      </c>
      <c r="C312" t="inlineStr">
        <is>
          <t>Föryngringsavverkning</t>
        </is>
      </c>
      <c r="D312" s="1" t="n">
        <v>46296</v>
      </c>
      <c r="E312" s="1" t="n">
        <v>46319</v>
      </c>
      <c r="F312" t="inlineStr">
        <is>
          <t>DALARNAS LÄN</t>
        </is>
      </c>
      <c r="G312" t="inlineStr">
        <is>
          <t>ÄLVDALEN</t>
        </is>
      </c>
      <c r="H312" t="inlineStr">
        <is>
          <t>Allmännings- och besparingsskogar</t>
        </is>
      </c>
      <c r="I312" t="n">
        <v>9.6</v>
      </c>
      <c r="J312" t="n">
        <v>5</v>
      </c>
      <c r="K312" t="n">
        <v>1</v>
      </c>
      <c r="L312" t="n">
        <v>4</v>
      </c>
      <c r="M312" t="n">
        <v>1</v>
      </c>
      <c r="N312" t="n">
        <v>0</v>
      </c>
      <c r="O312" t="n">
        <v>0</v>
      </c>
      <c r="P312" t="n">
        <v>0</v>
      </c>
      <c r="Q312" t="n">
        <v>5</v>
      </c>
      <c r="R312" t="n">
        <v>1</v>
      </c>
      <c r="S312" t="n">
        <v>9</v>
      </c>
      <c r="T312" t="n">
        <v>32</v>
      </c>
      <c r="U312" t="n">
        <v>32</v>
      </c>
      <c r="V312" s="2" t="inlineStr">
        <is>
          <t>Garnlav
Kolflarnlav
Talltita
Tretåig hackspett
Vedflamlav
Mindre märgborre
Spillkråka
Tofsmes
Revlummer</t>
        </is>
      </c>
      <c r="W312">
        <f>HYPERLINK("https://klasma.github.io/Logging_2039/artfynd/A 40778-2026 artfynd.xlsx", "A 40778-2026")</f>
        <v/>
      </c>
      <c r="X312">
        <f>HYPERLINK("https://klasma.github.io/Logging_2039/kartor/A 40778-2026 karta.png", "A 40778-2026")</f>
        <v/>
      </c>
      <c r="Y312">
        <f>HYPERLINK("https://klasma.github.io/Logging_2039/kartor_geotiff/A 40778-2026 georefererad karta.tif", "A 40778-2026")</f>
        <v/>
      </c>
      <c r="AA312">
        <f>HYPERLINK("https://klasma.github.io/Logging_2039/klagomål/A 40778-2026 FSC-klagomål.docx", "A 40778-2026")</f>
        <v/>
      </c>
      <c r="AB312">
        <f>HYPERLINK("https://klasma.github.io/Logging_2039/klagomålsmail/A 40778-2026 FSC-klagomål mail.docx", "A 40778-2026")</f>
        <v/>
      </c>
      <c r="AC312">
        <f>HYPERLINK("https://klasma.github.io/Logging_2039/tillsyn/A 40778-2026 tillsynsbegäran.docx", "A 40778-2026")</f>
        <v/>
      </c>
      <c r="AD312">
        <f>HYPERLINK("https://klasma.github.io/Logging_2039/tillsynsmail/A 40778-2026 tillsynsbegäran mail.docx", "A 40778-2026")</f>
        <v/>
      </c>
      <c r="AE312">
        <f>HYPERLINK("https://klasma.github.io/Logging_2039/fåglar/A 40778-2026 prioriterade fågelarter.docx", "A 40778-2026")</f>
        <v/>
      </c>
    </row>
    <row r="313" ht="15" customHeight="1">
      <c r="A313" t="inlineStr">
        <is>
          <t>A 32935-2025</t>
        </is>
      </c>
      <c r="B313" t="inlineStr">
        <is>
          <t>avverkningsanmälan</t>
        </is>
      </c>
      <c r="C313" t="inlineStr">
        <is>
          <t>Föryngringsavverkning</t>
        </is>
      </c>
      <c r="D313" s="1" t="n">
        <v>45839</v>
      </c>
      <c r="E313" s="1" t="n">
        <v>46319</v>
      </c>
      <c r="F313" t="inlineStr">
        <is>
          <t>DALARNAS LÄN</t>
        </is>
      </c>
      <c r="G313" t="inlineStr">
        <is>
          <t>MALUNG-SÄLEN</t>
        </is>
      </c>
      <c r="H313" t="inlineStr">
        <is>
          <t>Kommuner</t>
        </is>
      </c>
      <c r="I313" t="n">
        <v>12.9</v>
      </c>
      <c r="J313" t="n">
        <v>0</v>
      </c>
      <c r="K313" t="n">
        <v>1</v>
      </c>
      <c r="L313" t="n">
        <v>7</v>
      </c>
      <c r="M313" t="n">
        <v>1</v>
      </c>
      <c r="N313" t="n">
        <v>0</v>
      </c>
      <c r="O313" t="n">
        <v>0</v>
      </c>
      <c r="P313" t="n">
        <v>0</v>
      </c>
      <c r="Q313" t="n">
        <v>8</v>
      </c>
      <c r="R313" t="n">
        <v>1</v>
      </c>
      <c r="S313" t="n">
        <v>9</v>
      </c>
      <c r="T313" t="n">
        <v>49</v>
      </c>
      <c r="U313" t="n">
        <v>49</v>
      </c>
      <c r="V313" s="2" t="inlineStr">
        <is>
          <t>Garnlav
Blanksvart spiklav
Blågrå svartspik
Dvärgbägarlav
Kolflarnlav
Mörk kolflarnlav
Vedflamlav
Vedskivlav
Nästlav</t>
        </is>
      </c>
      <c r="W313">
        <f>HYPERLINK("https://klasma.github.io/Logging_2023/artfynd/A 32935-2025 artfynd.xlsx", "A 32935-2025")</f>
        <v/>
      </c>
      <c r="X313">
        <f>HYPERLINK("https://klasma.github.io/Logging_2023/kartor/A 32935-2025 karta.png", "A 32935-2025")</f>
        <v/>
      </c>
      <c r="Y313">
        <f>HYPERLINK("https://klasma.github.io/Logging_2023/kartor_geotiff/A 32935-2025 georefererad karta.tif", "A 32935-2025")</f>
        <v/>
      </c>
      <c r="AA313">
        <f>HYPERLINK("https://klasma.github.io/Logging_2023/klagomål/A 32935-2025 FSC-klagomål.docx", "A 32935-2025")</f>
        <v/>
      </c>
      <c r="AB313">
        <f>HYPERLINK("https://klasma.github.io/Logging_2023/klagomålsmail/A 32935-2025 FSC-klagomål mail.docx", "A 32935-2025")</f>
        <v/>
      </c>
      <c r="AC313">
        <f>HYPERLINK("https://klasma.github.io/Logging_2023/tillsyn/A 32935-2025 tillsynsbegäran.docx", "A 32935-2025")</f>
        <v/>
      </c>
      <c r="AD313">
        <f>HYPERLINK("https://klasma.github.io/Logging_2023/tillsynsmail/A 32935-2025 tillsynsbegäran mail.docx", "A 32935-2025")</f>
        <v/>
      </c>
    </row>
    <row r="314" ht="15" customHeight="1">
      <c r="A314" t="inlineStr">
        <is>
          <t>A 34913-2025</t>
        </is>
      </c>
      <c r="B314" t="inlineStr">
        <is>
          <t>avverkningsanmälan</t>
        </is>
      </c>
      <c r="C314" t="inlineStr">
        <is>
          <t>Föryngringsavverkning</t>
        </is>
      </c>
      <c r="D314" s="1" t="n">
        <v>45849</v>
      </c>
      <c r="E314" s="1" t="n">
        <v>46319</v>
      </c>
      <c r="F314" t="inlineStr">
        <is>
          <t>DALARNAS LÄN</t>
        </is>
      </c>
      <c r="G314" t="inlineStr">
        <is>
          <t>LUDVIKA</t>
        </is>
      </c>
      <c r="I314" t="n">
        <v>6</v>
      </c>
      <c r="J314" t="n">
        <v>2</v>
      </c>
      <c r="K314" t="n">
        <v>3</v>
      </c>
      <c r="L314" t="n">
        <v>2</v>
      </c>
      <c r="M314" t="n">
        <v>2</v>
      </c>
      <c r="N314" t="n">
        <v>0</v>
      </c>
      <c r="O314" t="n">
        <v>0</v>
      </c>
      <c r="P314" t="n">
        <v>0</v>
      </c>
      <c r="Q314" t="n">
        <v>4</v>
      </c>
      <c r="R314" t="n">
        <v>2</v>
      </c>
      <c r="S314" t="n">
        <v>9</v>
      </c>
      <c r="T314" t="n">
        <v>20</v>
      </c>
      <c r="U314" t="n">
        <v>0</v>
      </c>
      <c r="V314" s="2" t="inlineStr">
        <is>
          <t>Aspgelélav
Ängsklint
Barrpraktbagge
Lunglav
Barkticka
Bårdlav
Korallblylav
Blåsippa
Huggorm</t>
        </is>
      </c>
      <c r="W314">
        <f>HYPERLINK("https://klasma.github.io/Logging_2085/artfynd/A 34913-2025 artfynd.xlsx", "A 34913-2025")</f>
        <v/>
      </c>
      <c r="X314">
        <f>HYPERLINK("https://klasma.github.io/Logging_2085/kartor/A 34913-2025 karta.png", "A 34913-2025")</f>
        <v/>
      </c>
      <c r="Y314">
        <f>HYPERLINK("https://klasma.github.io/Logging_2085/kartor_geotiff/A 34913-2025 georefererad karta.tif", "A 34913-2025")</f>
        <v/>
      </c>
      <c r="AA314">
        <f>HYPERLINK("https://klasma.github.io/Logging_2085/klagomål/A 34913-2025 FSC-klagomål.docx", "A 34913-2025")</f>
        <v/>
      </c>
      <c r="AB314">
        <f>HYPERLINK("https://klasma.github.io/Logging_2085/klagomålsmail/A 34913-2025 FSC-klagomål mail.docx", "A 34913-2025")</f>
        <v/>
      </c>
      <c r="AC314">
        <f>HYPERLINK("https://klasma.github.io/Logging_2085/tillsyn/A 34913-2025 tillsynsbegäran.docx", "A 34913-2025")</f>
        <v/>
      </c>
      <c r="AD314">
        <f>HYPERLINK("https://klasma.github.io/Logging_2085/tillsynsmail/A 34913-2025 tillsynsbegäran mail.docx", "A 34913-2025")</f>
        <v/>
      </c>
    </row>
    <row r="315" ht="15" customHeight="1">
      <c r="A315" t="inlineStr">
        <is>
          <t>A 54940-2025</t>
        </is>
      </c>
      <c r="B315" t="inlineStr">
        <is>
          <t>avverkningsanmälan</t>
        </is>
      </c>
      <c r="C315" t="inlineStr">
        <is>
          <t>Föryngringsavverkning</t>
        </is>
      </c>
      <c r="D315" s="1" t="n">
        <v>45967</v>
      </c>
      <c r="E315" s="1" t="n">
        <v>46319</v>
      </c>
      <c r="F315" t="inlineStr">
        <is>
          <t>DALARNAS LÄN</t>
        </is>
      </c>
      <c r="G315" t="inlineStr">
        <is>
          <t>SMEDJEBACKEN</t>
        </is>
      </c>
      <c r="I315" t="n">
        <v>3.2</v>
      </c>
      <c r="J315" t="n">
        <v>2</v>
      </c>
      <c r="K315" t="n">
        <v>4</v>
      </c>
      <c r="L315" t="n">
        <v>1</v>
      </c>
      <c r="M315" t="n">
        <v>1</v>
      </c>
      <c r="N315" t="n">
        <v>0</v>
      </c>
      <c r="O315" t="n">
        <v>0</v>
      </c>
      <c r="P315" t="n">
        <v>0</v>
      </c>
      <c r="Q315" t="n">
        <v>2</v>
      </c>
      <c r="R315" t="n">
        <v>1</v>
      </c>
      <c r="S315" t="n">
        <v>9</v>
      </c>
      <c r="T315" t="n">
        <v>21</v>
      </c>
      <c r="U315" t="n">
        <v>18</v>
      </c>
      <c r="V315" s="2" t="inlineStr">
        <is>
          <t>Knärot
Ullticka
Gullgröppa
Rödgul trumpetsvamp
Svavelriska
Thomsons trägnagare
Blåsippa
Kransmossa
Ormbär</t>
        </is>
      </c>
      <c r="W315">
        <f>HYPERLINK("https://klasma.github.io/Logging_2061/artfynd/A 54940-2025 artfynd.xlsx", "A 54940-2025")</f>
        <v/>
      </c>
      <c r="X315">
        <f>HYPERLINK("https://klasma.github.io/Logging_2061/kartor/A 54940-2025 karta.png", "A 54940-2025")</f>
        <v/>
      </c>
      <c r="Y315">
        <f>HYPERLINK("https://klasma.github.io/Logging_2061/kartor_geotiff/A 54940-2025 georefererad karta.tif", "A 54940-2025")</f>
        <v/>
      </c>
      <c r="Z315">
        <f>HYPERLINK("https://klasma.github.io/Logging_2061/knärot/A 54940-2025 karta knärot.png", "A 54940-2025")</f>
        <v/>
      </c>
      <c r="AA315">
        <f>HYPERLINK("https://klasma.github.io/Logging_2061/klagomål/A 54940-2025 FSC-klagomål.docx", "A 54940-2025")</f>
        <v/>
      </c>
      <c r="AB315">
        <f>HYPERLINK("https://klasma.github.io/Logging_2061/klagomålsmail/A 54940-2025 FSC-klagomål mail.docx", "A 54940-2025")</f>
        <v/>
      </c>
      <c r="AC315">
        <f>HYPERLINK("https://klasma.github.io/Logging_2061/tillsyn/A 54940-2025 tillsynsbegäran.docx", "A 54940-2025")</f>
        <v/>
      </c>
      <c r="AD315">
        <f>HYPERLINK("https://klasma.github.io/Logging_2061/tillsynsmail/A 54940-2025 tillsynsbegäran mail.docx", "A 54940-2025")</f>
        <v/>
      </c>
    </row>
    <row r="316" ht="15" customHeight="1">
      <c r="A316" t="inlineStr">
        <is>
          <t>A 28027-2025</t>
        </is>
      </c>
      <c r="B316" t="inlineStr">
        <is>
          <t>avverkningsanmälan</t>
        </is>
      </c>
      <c r="C316" t="inlineStr">
        <is>
          <t>Föryngringsavverkning</t>
        </is>
      </c>
      <c r="D316" s="1" t="n">
        <v>45817</v>
      </c>
      <c r="E316" s="1" t="n">
        <v>46319</v>
      </c>
      <c r="F316" t="inlineStr">
        <is>
          <t>DALARNAS LÄN</t>
        </is>
      </c>
      <c r="G316" t="inlineStr">
        <is>
          <t>BORLÄNGE</t>
        </is>
      </c>
      <c r="H316" t="inlineStr">
        <is>
          <t>Bergvik skog väst AB</t>
        </is>
      </c>
      <c r="I316" t="n">
        <v>5.2</v>
      </c>
      <c r="J316" t="n">
        <v>6</v>
      </c>
      <c r="K316" t="n">
        <v>2</v>
      </c>
      <c r="L316" t="n">
        <v>3</v>
      </c>
      <c r="M316" t="n">
        <v>1</v>
      </c>
      <c r="N316" t="n">
        <v>0</v>
      </c>
      <c r="O316" t="n">
        <v>0</v>
      </c>
      <c r="P316" t="n">
        <v>0</v>
      </c>
      <c r="Q316" t="n">
        <v>4</v>
      </c>
      <c r="R316" t="n">
        <v>1</v>
      </c>
      <c r="S316" t="n">
        <v>9</v>
      </c>
      <c r="T316" t="n">
        <v>22</v>
      </c>
      <c r="U316" t="n">
        <v>19</v>
      </c>
      <c r="V316" s="2" t="inlineStr">
        <is>
          <t>Knärot
Rynkskinn
Tretåig hackspett
Ullticka
Spindelblomster
Vedticka
Spillkråka
Tjäder
Fläcknycklar</t>
        </is>
      </c>
      <c r="W316">
        <f>HYPERLINK("https://klasma.github.io/Logging_2081/artfynd/A 28027-2025 artfynd.xlsx", "A 28027-2025")</f>
        <v/>
      </c>
      <c r="X316">
        <f>HYPERLINK("https://klasma.github.io/Logging_2081/kartor/A 28027-2025 karta.png", "A 28027-2025")</f>
        <v/>
      </c>
      <c r="Y316">
        <f>HYPERLINK("https://klasma.github.io/Logging_2081/kartor_geotiff/A 28027-2025 georefererad karta.tif", "A 28027-2025")</f>
        <v/>
      </c>
      <c r="Z316">
        <f>HYPERLINK("https://klasma.github.io/Logging_2081/knärot/A 28027-2025 karta knärot.png", "A 28027-2025")</f>
        <v/>
      </c>
      <c r="AA316">
        <f>HYPERLINK("https://klasma.github.io/Logging_2081/klagomål/A 28027-2025 FSC-klagomål.docx", "A 28027-2025")</f>
        <v/>
      </c>
      <c r="AB316">
        <f>HYPERLINK("https://klasma.github.io/Logging_2081/klagomålsmail/A 28027-2025 FSC-klagomål mail.docx", "A 28027-2025")</f>
        <v/>
      </c>
      <c r="AC316">
        <f>HYPERLINK("https://klasma.github.io/Logging_2081/tillsyn/A 28027-2025 tillsynsbegäran.docx", "A 28027-2025")</f>
        <v/>
      </c>
      <c r="AD316">
        <f>HYPERLINK("https://klasma.github.io/Logging_2081/tillsynsmail/A 28027-2025 tillsynsbegäran mail.docx", "A 28027-2025")</f>
        <v/>
      </c>
      <c r="AE316">
        <f>HYPERLINK("https://klasma.github.io/Logging_2081/fåglar/A 28027-2025 prioriterade fågelarter.docx", "A 28027-2025")</f>
        <v/>
      </c>
    </row>
    <row r="317" ht="15" customHeight="1">
      <c r="A317" t="inlineStr">
        <is>
          <t>A 9783-2024</t>
        </is>
      </c>
      <c r="B317" t="inlineStr">
        <is>
          <t>avverkningsanmälan</t>
        </is>
      </c>
      <c r="C317" t="inlineStr">
        <is>
          <t>Föryngringsavverkning</t>
        </is>
      </c>
      <c r="D317" s="1" t="n">
        <v>45362</v>
      </c>
      <c r="E317" s="1" t="n">
        <v>46319</v>
      </c>
      <c r="F317" t="inlineStr">
        <is>
          <t>DALARNAS LÄN</t>
        </is>
      </c>
      <c r="G317" t="inlineStr">
        <is>
          <t>ÄLVDALEN</t>
        </is>
      </c>
      <c r="H317" t="inlineStr">
        <is>
          <t>Övriga statliga verk och myndigheter</t>
        </is>
      </c>
      <c r="I317" t="n">
        <v>7</v>
      </c>
      <c r="J317" t="n">
        <v>0</v>
      </c>
      <c r="K317" t="n">
        <v>2</v>
      </c>
      <c r="L317" t="n">
        <v>7</v>
      </c>
      <c r="M317" t="n">
        <v>0</v>
      </c>
      <c r="N317" t="n">
        <v>0</v>
      </c>
      <c r="O317" t="n">
        <v>0</v>
      </c>
      <c r="P317" t="n">
        <v>0</v>
      </c>
      <c r="Q317" t="n">
        <v>7</v>
      </c>
      <c r="R317" t="n">
        <v>0</v>
      </c>
      <c r="S317" t="n">
        <v>9</v>
      </c>
      <c r="T317" t="n">
        <v>19</v>
      </c>
      <c r="U317" t="n">
        <v>17</v>
      </c>
      <c r="V317" s="2" t="inlineStr">
        <is>
          <t>Blanksvart spiklav
Blågrå svartspik
Dropptaggsvamp
Kolflarnlav
Mörk kolflarnlav
Vedflamlav
Vedskivlav
Luddlav
Vedticka</t>
        </is>
      </c>
      <c r="W317">
        <f>HYPERLINK("https://klasma.github.io/Logging_2039/artfynd/A 9783-2024 artfynd.xlsx", "A 9783-2024")</f>
        <v/>
      </c>
      <c r="X317">
        <f>HYPERLINK("https://klasma.github.io/Logging_2039/kartor/A 9783-2024 karta.png", "A 9783-2024")</f>
        <v/>
      </c>
      <c r="Y317">
        <f>HYPERLINK("https://klasma.github.io/Logging_2039/kartor_geotiff/A 9783-2024 georefererad karta.tif", "A 9783-2024")</f>
        <v/>
      </c>
      <c r="AA317">
        <f>HYPERLINK("https://klasma.github.io/Logging_2039/klagomål/A 9783-2024 FSC-klagomål.docx", "A 9783-2024")</f>
        <v/>
      </c>
      <c r="AB317">
        <f>HYPERLINK("https://klasma.github.io/Logging_2039/klagomålsmail/A 9783-2024 FSC-klagomål mail.docx", "A 9783-2024")</f>
        <v/>
      </c>
      <c r="AC317">
        <f>HYPERLINK("https://klasma.github.io/Logging_2039/tillsyn/A 9783-2024 tillsynsbegäran.docx", "A 9783-2024")</f>
        <v/>
      </c>
      <c r="AD317">
        <f>HYPERLINK("https://klasma.github.io/Logging_2039/tillsynsmail/A 9783-2024 tillsynsbegäran mail.docx", "A 9783-2024")</f>
        <v/>
      </c>
    </row>
    <row r="318" ht="15" customHeight="1">
      <c r="A318" t="inlineStr">
        <is>
          <t>A 22685-2025</t>
        </is>
      </c>
      <c r="B318" t="inlineStr">
        <is>
          <t>avverkningsanmälan</t>
        </is>
      </c>
      <c r="C318" t="inlineStr">
        <is>
          <t>Avverkning för att bevara och utveckla /försöksver</t>
        </is>
      </c>
      <c r="D318" s="1" t="n">
        <v>45786</v>
      </c>
      <c r="E318" s="1" t="n">
        <v>46319</v>
      </c>
      <c r="F318" t="inlineStr">
        <is>
          <t>DALARNAS LÄN</t>
        </is>
      </c>
      <c r="G318" t="inlineStr">
        <is>
          <t>LUDVIKA</t>
        </is>
      </c>
      <c r="I318" t="n">
        <v>2.9</v>
      </c>
      <c r="J318" t="n">
        <v>8</v>
      </c>
      <c r="K318" t="n">
        <v>0</v>
      </c>
      <c r="L318" t="n">
        <v>5</v>
      </c>
      <c r="M318" t="n">
        <v>1</v>
      </c>
      <c r="N318" t="n">
        <v>0</v>
      </c>
      <c r="O318" t="n">
        <v>0</v>
      </c>
      <c r="P318" t="n">
        <v>0</v>
      </c>
      <c r="Q318" t="n">
        <v>6</v>
      </c>
      <c r="R318" t="n">
        <v>1</v>
      </c>
      <c r="S318" t="n">
        <v>9</v>
      </c>
      <c r="T318" t="n">
        <v>9</v>
      </c>
      <c r="U318" t="n">
        <v>7</v>
      </c>
      <c r="V318" s="2" t="inlineStr">
        <is>
          <t>Tornseglare
Brunlångöra
Entita
Nordfladdermus
Skorpgelélav
Talltita
Spillkråka
Gråskimlig fladdermus
Vattenfladdermus</t>
        </is>
      </c>
      <c r="W318">
        <f>HYPERLINK("https://klasma.github.io/Logging_2085/artfynd/A 22685-2025 artfynd.xlsx", "A 22685-2025")</f>
        <v/>
      </c>
      <c r="X318">
        <f>HYPERLINK("https://klasma.github.io/Logging_2085/kartor/A 22685-2025 karta.png", "A 22685-2025")</f>
        <v/>
      </c>
      <c r="Y318">
        <f>HYPERLINK("https://klasma.github.io/Logging_2085/kartor_geotiff/A 22685-2025 georefererad karta.tif", "A 22685-2025")</f>
        <v/>
      </c>
      <c r="AA318">
        <f>HYPERLINK("https://klasma.github.io/Logging_2085/klagomål/A 22685-2025 FSC-klagomål.docx", "A 22685-2025")</f>
        <v/>
      </c>
      <c r="AB318">
        <f>HYPERLINK("https://klasma.github.io/Logging_2085/klagomålsmail/A 22685-2025 FSC-klagomål mail.docx", "A 22685-2025")</f>
        <v/>
      </c>
      <c r="AC318">
        <f>HYPERLINK("https://klasma.github.io/Logging_2085/tillsyn/A 22685-2025 tillsynsbegäran.docx", "A 22685-2025")</f>
        <v/>
      </c>
      <c r="AD318">
        <f>HYPERLINK("https://klasma.github.io/Logging_2085/tillsynsmail/A 22685-2025 tillsynsbegäran mail.docx", "A 22685-2025")</f>
        <v/>
      </c>
      <c r="AE318">
        <f>HYPERLINK("https://klasma.github.io/Logging_2085/fåglar/A 22685-2025 prioriterade fågelarter.docx", "A 22685-2025")</f>
        <v/>
      </c>
    </row>
    <row r="319" ht="15" customHeight="1">
      <c r="A319" t="inlineStr">
        <is>
          <t>A 60229-2025</t>
        </is>
      </c>
      <c r="B319" t="inlineStr">
        <is>
          <t>avverkningsanmälan</t>
        </is>
      </c>
      <c r="C319" t="inlineStr">
        <is>
          <t>Föryngringsavverkning</t>
        </is>
      </c>
      <c r="D319" s="1" t="n">
        <v>45994</v>
      </c>
      <c r="E319" s="1" t="n">
        <v>46319</v>
      </c>
      <c r="F319" t="inlineStr">
        <is>
          <t>DALARNAS LÄN</t>
        </is>
      </c>
      <c r="G319" t="inlineStr">
        <is>
          <t>VANSBRO</t>
        </is>
      </c>
      <c r="I319" t="n">
        <v>4.9</v>
      </c>
      <c r="J319" t="n">
        <v>3</v>
      </c>
      <c r="K319" t="n">
        <v>1</v>
      </c>
      <c r="L319" t="n">
        <v>5</v>
      </c>
      <c r="M319" t="n">
        <v>2</v>
      </c>
      <c r="N319" t="n">
        <v>0</v>
      </c>
      <c r="O319" t="n">
        <v>0</v>
      </c>
      <c r="P319" t="n">
        <v>0</v>
      </c>
      <c r="Q319" t="n">
        <v>7</v>
      </c>
      <c r="R319" t="n">
        <v>2</v>
      </c>
      <c r="S319" t="n">
        <v>9</v>
      </c>
      <c r="T319" t="n">
        <v>73</v>
      </c>
      <c r="U319" t="n">
        <v>73</v>
      </c>
      <c r="V319" s="2" t="inlineStr">
        <is>
          <t>Garnlav
Knärot
Kolflarnlav
Mörk kolflarnlav
Tallticka
Tretåig hackspett
Ullticka
Grönpyrola
Spillkråka</t>
        </is>
      </c>
      <c r="W319">
        <f>HYPERLINK("https://klasma.github.io/Logging_2021/artfynd/A 60229-2025 artfynd.xlsx", "A 60229-2025")</f>
        <v/>
      </c>
      <c r="X319">
        <f>HYPERLINK("https://klasma.github.io/Logging_2021/kartor/A 60229-2025 karta.png", "A 60229-2025")</f>
        <v/>
      </c>
      <c r="Y319">
        <f>HYPERLINK("https://klasma.github.io/Logging_2021/kartor_geotiff/A 60229-2025 georefererad karta.tif", "A 60229-2025")</f>
        <v/>
      </c>
      <c r="Z319">
        <f>HYPERLINK("https://klasma.github.io/Logging_2021/knärot/A 60229-2025 karta knärot.png", "A 60229-2025")</f>
        <v/>
      </c>
      <c r="AA319">
        <f>HYPERLINK("https://klasma.github.io/Logging_2021/klagomål/A 60229-2025 FSC-klagomål.docx", "A 60229-2025")</f>
        <v/>
      </c>
      <c r="AB319">
        <f>HYPERLINK("https://klasma.github.io/Logging_2021/klagomålsmail/A 60229-2025 FSC-klagomål mail.docx", "A 60229-2025")</f>
        <v/>
      </c>
      <c r="AC319">
        <f>HYPERLINK("https://klasma.github.io/Logging_2021/tillsyn/A 60229-2025 tillsynsbegäran.docx", "A 60229-2025")</f>
        <v/>
      </c>
      <c r="AD319">
        <f>HYPERLINK("https://klasma.github.io/Logging_2021/tillsynsmail/A 60229-2025 tillsynsbegäran mail.docx", "A 60229-2025")</f>
        <v/>
      </c>
      <c r="AE319">
        <f>HYPERLINK("https://klasma.github.io/Logging_2021/fåglar/A 60229-2025 prioriterade fågelarter.docx", "A 60229-2025")</f>
        <v/>
      </c>
    </row>
    <row r="320" ht="15" customHeight="1">
      <c r="A320" t="inlineStr">
        <is>
          <t>A 63851-2025</t>
        </is>
      </c>
      <c r="B320" t="inlineStr">
        <is>
          <t>avverkningsanmälan</t>
        </is>
      </c>
      <c r="C320" t="inlineStr">
        <is>
          <t>Föryngringsavverkning</t>
        </is>
      </c>
      <c r="D320" s="1" t="n">
        <v>46020</v>
      </c>
      <c r="E320" s="1" t="n">
        <v>46319</v>
      </c>
      <c r="F320" t="inlineStr">
        <is>
          <t>DALARNAS LÄN</t>
        </is>
      </c>
      <c r="G320" t="inlineStr">
        <is>
          <t>HEDEMORA</t>
        </is>
      </c>
      <c r="I320" t="n">
        <v>9.800000000000001</v>
      </c>
      <c r="J320" t="n">
        <v>3</v>
      </c>
      <c r="K320" t="n">
        <v>3</v>
      </c>
      <c r="L320" t="n">
        <v>2</v>
      </c>
      <c r="M320" t="n">
        <v>2</v>
      </c>
      <c r="N320" t="n">
        <v>0</v>
      </c>
      <c r="O320" t="n">
        <v>0</v>
      </c>
      <c r="P320" t="n">
        <v>0</v>
      </c>
      <c r="Q320" t="n">
        <v>4</v>
      </c>
      <c r="R320" t="n">
        <v>2</v>
      </c>
      <c r="S320" t="n">
        <v>9</v>
      </c>
      <c r="T320" t="n">
        <v>21</v>
      </c>
      <c r="U320" t="n">
        <v>0</v>
      </c>
      <c r="V320" s="2" t="inlineStr">
        <is>
          <t>Knärot
Laxporing
Blågrå svartspik
Kortskaftad ärgspik
Blomkålssvamp
Bronshjon
Vedticka
Tjäder
Grönsiska</t>
        </is>
      </c>
      <c r="W320">
        <f>HYPERLINK("https://klasma.github.io/Logging_2083/artfynd/A 63851-2025 artfynd.xlsx", "A 63851-2025")</f>
        <v/>
      </c>
      <c r="X320">
        <f>HYPERLINK("https://klasma.github.io/Logging_2083/kartor/A 63851-2025 karta.png", "A 63851-2025")</f>
        <v/>
      </c>
      <c r="Y320">
        <f>HYPERLINK("https://klasma.github.io/Logging_2083/kartor_geotiff/A 63851-2025 georefererad karta.tif", "A 63851-2025")</f>
        <v/>
      </c>
      <c r="Z320">
        <f>HYPERLINK("https://klasma.github.io/Logging_2083/knärot/A 63851-2025 karta knärot.png", "A 63851-2025")</f>
        <v/>
      </c>
      <c r="AA320">
        <f>HYPERLINK("https://klasma.github.io/Logging_2083/klagomål/A 63851-2025 FSC-klagomål.docx", "A 63851-2025")</f>
        <v/>
      </c>
      <c r="AB320">
        <f>HYPERLINK("https://klasma.github.io/Logging_2083/klagomålsmail/A 63851-2025 FSC-klagomål mail.docx", "A 63851-2025")</f>
        <v/>
      </c>
      <c r="AC320">
        <f>HYPERLINK("https://klasma.github.io/Logging_2083/tillsyn/A 63851-2025 tillsynsbegäran.docx", "A 63851-2025")</f>
        <v/>
      </c>
      <c r="AD320">
        <f>HYPERLINK("https://klasma.github.io/Logging_2083/tillsynsmail/A 63851-2025 tillsynsbegäran mail.docx", "A 63851-2025")</f>
        <v/>
      </c>
      <c r="AE320">
        <f>HYPERLINK("https://klasma.github.io/Logging_2083/fåglar/A 63851-2025 prioriterade fågelarter.docx", "A 63851-2025")</f>
        <v/>
      </c>
    </row>
    <row r="321" ht="15" customHeight="1">
      <c r="A321" t="inlineStr">
        <is>
          <t>A 43668-2026</t>
        </is>
      </c>
      <c r="B321" t="inlineStr">
        <is>
          <t>avverkningsanmälan</t>
        </is>
      </c>
      <c r="C321" t="inlineStr">
        <is>
          <t>Föryngringsavverkning</t>
        </is>
      </c>
      <c r="D321" s="1" t="n">
        <v>46316</v>
      </c>
      <c r="E321" s="1" t="n">
        <v>46319</v>
      </c>
      <c r="F321" t="inlineStr">
        <is>
          <t>DALARNAS LÄN</t>
        </is>
      </c>
      <c r="G321" t="inlineStr">
        <is>
          <t>MALUNG-SÄLEN</t>
        </is>
      </c>
      <c r="I321" t="n">
        <v>8.1</v>
      </c>
      <c r="J321" t="n">
        <v>1</v>
      </c>
      <c r="K321" t="n">
        <v>1</v>
      </c>
      <c r="L321" t="n">
        <v>7</v>
      </c>
      <c r="M321" t="n">
        <v>1</v>
      </c>
      <c r="N321" t="n">
        <v>0</v>
      </c>
      <c r="O321" t="n">
        <v>0</v>
      </c>
      <c r="P321" t="n">
        <v>0</v>
      </c>
      <c r="Q321" t="n">
        <v>8</v>
      </c>
      <c r="R321" t="n">
        <v>1</v>
      </c>
      <c r="S321" t="n">
        <v>9</v>
      </c>
      <c r="T321" t="n">
        <v>21</v>
      </c>
      <c r="U321" t="n">
        <v>0</v>
      </c>
      <c r="V321" s="2" t="inlineStr">
        <is>
          <t>Garnlav
Blanksvart spiklav
Dvärgbägarlav
Kortskaftad ärgspik
Mörk kolflarnlav
Talltagel
Tretåig hackspett
Vedskivlav
Mindre märgborre</t>
        </is>
      </c>
      <c r="W321">
        <f>HYPERLINK("https://klasma.github.io/Logging_2023/artfynd/A 43668-2026 artfynd.xlsx", "A 43668-2026")</f>
        <v/>
      </c>
      <c r="X321">
        <f>HYPERLINK("https://klasma.github.io/Logging_2023/kartor/A 43668-2026 karta.png", "A 43668-2026")</f>
        <v/>
      </c>
      <c r="Y321">
        <f>HYPERLINK("https://klasma.github.io/Logging_2023/kartor_geotiff/A 43668-2026 georefererad karta.tif", "A 43668-2026")</f>
        <v/>
      </c>
      <c r="AA321">
        <f>HYPERLINK("https://klasma.github.io/Logging_2023/klagomål/A 43668-2026 FSC-klagomål.docx", "A 43668-2026")</f>
        <v/>
      </c>
      <c r="AB321">
        <f>HYPERLINK("https://klasma.github.io/Logging_2023/klagomålsmail/A 43668-2026 FSC-klagomål mail.docx", "A 43668-2026")</f>
        <v/>
      </c>
      <c r="AC321">
        <f>HYPERLINK("https://klasma.github.io/Logging_2023/tillsyn/A 43668-2026 tillsynsbegäran.docx", "A 43668-2026")</f>
        <v/>
      </c>
      <c r="AD321">
        <f>HYPERLINK("https://klasma.github.io/Logging_2023/tillsynsmail/A 43668-2026 tillsynsbegäran mail.docx", "A 43668-2026")</f>
        <v/>
      </c>
      <c r="AE321">
        <f>HYPERLINK("https://klasma.github.io/Logging_2023/fåglar/A 43668-2026 prioriterade fågelarter.docx", "A 43668-2026")</f>
        <v/>
      </c>
    </row>
    <row r="322" ht="15" customHeight="1">
      <c r="A322" t="inlineStr">
        <is>
          <t>A 41794-2025</t>
        </is>
      </c>
      <c r="B322" t="inlineStr">
        <is>
          <t>avverkningsanmälan</t>
        </is>
      </c>
      <c r="C322" t="inlineStr">
        <is>
          <t>Föryngringsavverkning</t>
        </is>
      </c>
      <c r="D322" s="1" t="n">
        <v>45902</v>
      </c>
      <c r="E322" s="1" t="n">
        <v>46319</v>
      </c>
      <c r="F322" t="inlineStr">
        <is>
          <t>DALARNAS LÄN</t>
        </is>
      </c>
      <c r="G322" t="inlineStr">
        <is>
          <t>MORA</t>
        </is>
      </c>
      <c r="I322" t="n">
        <v>14.4</v>
      </c>
      <c r="J322" t="n">
        <v>4</v>
      </c>
      <c r="K322" t="n">
        <v>1</v>
      </c>
      <c r="L322" t="n">
        <v>4</v>
      </c>
      <c r="M322" t="n">
        <v>1</v>
      </c>
      <c r="N322" t="n">
        <v>0</v>
      </c>
      <c r="O322" t="n">
        <v>0</v>
      </c>
      <c r="P322" t="n">
        <v>0</v>
      </c>
      <c r="Q322" t="n">
        <v>5</v>
      </c>
      <c r="R322" t="n">
        <v>1</v>
      </c>
      <c r="S322" t="n">
        <v>9</v>
      </c>
      <c r="T322" t="n">
        <v>63</v>
      </c>
      <c r="U322" t="n">
        <v>63</v>
      </c>
      <c r="V322" s="2" t="inlineStr">
        <is>
          <t>Garnlav
Motaggsvamp
Rödvingetrast
Tallticka
Vedskivlav
Mindre märgborre
Spillkråka
Kungsfågel
Revlummer</t>
        </is>
      </c>
      <c r="W322">
        <f>HYPERLINK("https://klasma.github.io/Logging_2062/artfynd/A 41794-2025 artfynd.xlsx", "A 41794-2025")</f>
        <v/>
      </c>
      <c r="X322">
        <f>HYPERLINK("https://klasma.github.io/Logging_2062/kartor/A 41794-2025 karta.png", "A 41794-2025")</f>
        <v/>
      </c>
      <c r="Y322">
        <f>HYPERLINK("https://klasma.github.io/Logging_2062/kartor_geotiff/A 41794-2025 georefererad karta.tif", "A 41794-2025")</f>
        <v/>
      </c>
      <c r="AA322">
        <f>HYPERLINK("https://klasma.github.io/Logging_2062/klagomål/A 41794-2025 FSC-klagomål.docx", "A 41794-2025")</f>
        <v/>
      </c>
      <c r="AB322">
        <f>HYPERLINK("https://klasma.github.io/Logging_2062/klagomålsmail/A 41794-2025 FSC-klagomål mail.docx", "A 41794-2025")</f>
        <v/>
      </c>
      <c r="AC322">
        <f>HYPERLINK("https://klasma.github.io/Logging_2062/tillsyn/A 41794-2025 tillsynsbegäran.docx", "A 41794-2025")</f>
        <v/>
      </c>
      <c r="AD322">
        <f>HYPERLINK("https://klasma.github.io/Logging_2062/tillsynsmail/A 41794-2025 tillsynsbegäran mail.docx", "A 41794-2025")</f>
        <v/>
      </c>
      <c r="AE322">
        <f>HYPERLINK("https://klasma.github.io/Logging_2062/fåglar/A 41794-2025 prioriterade fågelarter.docx", "A 41794-2025")</f>
        <v/>
      </c>
    </row>
    <row r="323" ht="15" customHeight="1">
      <c r="A323" t="inlineStr">
        <is>
          <t>A 7214-2026</t>
        </is>
      </c>
      <c r="B323" t="inlineStr">
        <is>
          <t>avverkningsanmälan</t>
        </is>
      </c>
      <c r="C323" t="inlineStr">
        <is>
          <t>Föryngringsavverkning</t>
        </is>
      </c>
      <c r="D323" s="1" t="n">
        <v>46058</v>
      </c>
      <c r="E323" s="1" t="n">
        <v>46319</v>
      </c>
      <c r="F323" t="inlineStr">
        <is>
          <t>DALARNAS LÄN</t>
        </is>
      </c>
      <c r="G323" t="inlineStr">
        <is>
          <t>LUDVIKA</t>
        </is>
      </c>
      <c r="I323" t="n">
        <v>4.2</v>
      </c>
      <c r="J323" t="n">
        <v>4</v>
      </c>
      <c r="K323" t="n">
        <v>2</v>
      </c>
      <c r="L323" t="n">
        <v>5</v>
      </c>
      <c r="M323" t="n">
        <v>1</v>
      </c>
      <c r="N323" t="n">
        <v>0</v>
      </c>
      <c r="O323" t="n">
        <v>0</v>
      </c>
      <c r="P323" t="n">
        <v>0</v>
      </c>
      <c r="Q323" t="n">
        <v>6</v>
      </c>
      <c r="R323" t="n">
        <v>1</v>
      </c>
      <c r="S323" t="n">
        <v>9</v>
      </c>
      <c r="T323" t="n">
        <v>23</v>
      </c>
      <c r="U323" t="n">
        <v>23</v>
      </c>
      <c r="V323" s="2" t="inlineStr">
        <is>
          <t>Knärot
Dropptaggsvamp
Rynkskinn
Talltita
Tretåig hackspett
Vedtrappmossa
Jättesvampmal
Thomsons trägnagare
Spillkråka</t>
        </is>
      </c>
      <c r="W323">
        <f>HYPERLINK("https://klasma.github.io/Logging_2085/artfynd/A 7214-2026 artfynd.xlsx", "A 7214-2026")</f>
        <v/>
      </c>
      <c r="X323">
        <f>HYPERLINK("https://klasma.github.io/Logging_2085/kartor/A 7214-2026 karta.png", "A 7214-2026")</f>
        <v/>
      </c>
      <c r="Y323">
        <f>HYPERLINK("https://klasma.github.io/Logging_2085/kartor_geotiff/A 7214-2026 georefererad karta.tif", "A 7214-2026")</f>
        <v/>
      </c>
      <c r="Z323">
        <f>HYPERLINK("https://klasma.github.io/Logging_2085/knärot/A 7214-2026 karta knärot.png", "A 7214-2026")</f>
        <v/>
      </c>
      <c r="AA323">
        <f>HYPERLINK("https://klasma.github.io/Logging_2085/klagomål/A 7214-2026 FSC-klagomål.docx", "A 7214-2026")</f>
        <v/>
      </c>
      <c r="AB323">
        <f>HYPERLINK("https://klasma.github.io/Logging_2085/klagomålsmail/A 7214-2026 FSC-klagomål mail.docx", "A 7214-2026")</f>
        <v/>
      </c>
      <c r="AC323">
        <f>HYPERLINK("https://klasma.github.io/Logging_2085/tillsyn/A 7214-2026 tillsynsbegäran.docx", "A 7214-2026")</f>
        <v/>
      </c>
      <c r="AD323">
        <f>HYPERLINK("https://klasma.github.io/Logging_2085/tillsynsmail/A 7214-2026 tillsynsbegäran mail.docx", "A 7214-2026")</f>
        <v/>
      </c>
      <c r="AE323">
        <f>HYPERLINK("https://klasma.github.io/Logging_2085/fåglar/A 7214-2026 prioriterade fågelarter.docx", "A 7214-2026")</f>
        <v/>
      </c>
    </row>
    <row r="324" ht="15" customHeight="1">
      <c r="A324" t="inlineStr">
        <is>
          <t>A 37289-2026</t>
        </is>
      </c>
      <c r="B324" t="inlineStr">
        <is>
          <t>avverkningsanmälan</t>
        </is>
      </c>
      <c r="C324" t="inlineStr">
        <is>
          <t>Föryngringsavverkning</t>
        </is>
      </c>
      <c r="D324" s="1" t="n">
        <v>46274</v>
      </c>
      <c r="E324" s="1" t="n">
        <v>46319</v>
      </c>
      <c r="F324" t="inlineStr">
        <is>
          <t>DALARNAS LÄN</t>
        </is>
      </c>
      <c r="G324" t="inlineStr">
        <is>
          <t>ÄLVDALEN</t>
        </is>
      </c>
      <c r="H324" t="inlineStr">
        <is>
          <t>Allmännings- och besparingsskogar</t>
        </is>
      </c>
      <c r="I324" t="n">
        <v>11.1</v>
      </c>
      <c r="J324" t="n">
        <v>4</v>
      </c>
      <c r="K324" t="n">
        <v>2</v>
      </c>
      <c r="L324" t="n">
        <v>3</v>
      </c>
      <c r="M324" t="n">
        <v>1</v>
      </c>
      <c r="N324" t="n">
        <v>0</v>
      </c>
      <c r="O324" t="n">
        <v>0</v>
      </c>
      <c r="P324" t="n">
        <v>0</v>
      </c>
      <c r="Q324" t="n">
        <v>4</v>
      </c>
      <c r="R324" t="n">
        <v>1</v>
      </c>
      <c r="S324" t="n">
        <v>9</v>
      </c>
      <c r="T324" t="n">
        <v>35</v>
      </c>
      <c r="U324" t="n">
        <v>35</v>
      </c>
      <c r="V324" s="2" t="inlineStr">
        <is>
          <t>Garnlav
Talltita
Vedskivlav
Violettgrå tagellav
Mindre märgborre
Spindelblomster
Spillkråka
Torta
Revlummer</t>
        </is>
      </c>
      <c r="W324">
        <f>HYPERLINK("https://klasma.github.io/Logging_2039/artfynd/A 37289-2026 artfynd.xlsx", "A 37289-2026")</f>
        <v/>
      </c>
      <c r="X324">
        <f>HYPERLINK("https://klasma.github.io/Logging_2039/kartor/A 37289-2026 karta.png", "A 37289-2026")</f>
        <v/>
      </c>
      <c r="Y324">
        <f>HYPERLINK("https://klasma.github.io/Logging_2039/kartor_geotiff/A 37289-2026 georefererad karta.tif", "A 37289-2026")</f>
        <v/>
      </c>
      <c r="AA324">
        <f>HYPERLINK("https://klasma.github.io/Logging_2039/klagomål/A 37289-2026 FSC-klagomål.docx", "A 37289-2026")</f>
        <v/>
      </c>
      <c r="AB324">
        <f>HYPERLINK("https://klasma.github.io/Logging_2039/klagomålsmail/A 37289-2026 FSC-klagomål mail.docx", "A 37289-2026")</f>
        <v/>
      </c>
      <c r="AC324">
        <f>HYPERLINK("https://klasma.github.io/Logging_2039/tillsyn/A 37289-2026 tillsynsbegäran.docx", "A 37289-2026")</f>
        <v/>
      </c>
      <c r="AD324">
        <f>HYPERLINK("https://klasma.github.io/Logging_2039/tillsynsmail/A 37289-2026 tillsynsbegäran mail.docx", "A 37289-2026")</f>
        <v/>
      </c>
      <c r="AE324">
        <f>HYPERLINK("https://klasma.github.io/Logging_2039/fåglar/A 37289-2026 prioriterade fågelarter.docx", "A 37289-2026")</f>
        <v/>
      </c>
    </row>
    <row r="325" ht="15" customHeight="1">
      <c r="A325" t="inlineStr">
        <is>
          <t>A 47938-2025</t>
        </is>
      </c>
      <c r="B325" t="inlineStr">
        <is>
          <t>avverkningsanmälan</t>
        </is>
      </c>
      <c r="C325" t="inlineStr">
        <is>
          <t>Föryngringsavverkning</t>
        </is>
      </c>
      <c r="D325" s="1" t="n">
        <v>45932</v>
      </c>
      <c r="E325" s="1" t="n">
        <v>46319</v>
      </c>
      <c r="F325" t="inlineStr">
        <is>
          <t>DALARNAS LÄN</t>
        </is>
      </c>
      <c r="G325" t="inlineStr">
        <is>
          <t>MALUNG-SÄLEN</t>
        </is>
      </c>
      <c r="I325" t="n">
        <v>24.3</v>
      </c>
      <c r="J325" t="n">
        <v>1</v>
      </c>
      <c r="K325" t="n">
        <v>0</v>
      </c>
      <c r="L325" t="n">
        <v>8</v>
      </c>
      <c r="M325" t="n">
        <v>1</v>
      </c>
      <c r="N325" t="n">
        <v>0</v>
      </c>
      <c r="O325" t="n">
        <v>0</v>
      </c>
      <c r="P325" t="n">
        <v>0</v>
      </c>
      <c r="Q325" t="n">
        <v>9</v>
      </c>
      <c r="R325" t="n">
        <v>1</v>
      </c>
      <c r="S325" t="n">
        <v>9</v>
      </c>
      <c r="T325" t="n">
        <v>104</v>
      </c>
      <c r="U325" t="n">
        <v>104</v>
      </c>
      <c r="V325" s="2" t="inlineStr">
        <is>
          <t>Garnlav
Kolflarnlav
Motaggsvamp
Rynkskinn
Tallticka
Tretåig hackspett
Ullticka
Vedflamlav
Vedskivlav</t>
        </is>
      </c>
      <c r="W325">
        <f>HYPERLINK("https://klasma.github.io/Logging_2023/artfynd/A 47938-2025 artfynd.xlsx", "A 47938-2025")</f>
        <v/>
      </c>
      <c r="X325">
        <f>HYPERLINK("https://klasma.github.io/Logging_2023/kartor/A 47938-2025 karta.png", "A 47938-2025")</f>
        <v/>
      </c>
      <c r="Y325">
        <f>HYPERLINK("https://klasma.github.io/Logging_2023/kartor_geotiff/A 47938-2025 georefererad karta.tif", "A 47938-2025")</f>
        <v/>
      </c>
      <c r="AA325">
        <f>HYPERLINK("https://klasma.github.io/Logging_2023/klagomål/A 47938-2025 FSC-klagomål.docx", "A 47938-2025")</f>
        <v/>
      </c>
      <c r="AB325">
        <f>HYPERLINK("https://klasma.github.io/Logging_2023/klagomålsmail/A 47938-2025 FSC-klagomål mail.docx", "A 47938-2025")</f>
        <v/>
      </c>
      <c r="AC325">
        <f>HYPERLINK("https://klasma.github.io/Logging_2023/tillsyn/A 47938-2025 tillsynsbegäran.docx", "A 47938-2025")</f>
        <v/>
      </c>
      <c r="AD325">
        <f>HYPERLINK("https://klasma.github.io/Logging_2023/tillsynsmail/A 47938-2025 tillsynsbegäran mail.docx", "A 47938-2025")</f>
        <v/>
      </c>
      <c r="AE325">
        <f>HYPERLINK("https://klasma.github.io/Logging_2023/fåglar/A 47938-2025 prioriterade fågelarter.docx", "A 47938-2025")</f>
        <v/>
      </c>
    </row>
    <row r="326" ht="15" customHeight="1">
      <c r="A326" t="inlineStr">
        <is>
          <t>A 25923-2026</t>
        </is>
      </c>
      <c r="B326" t="inlineStr">
        <is>
          <t>avverkningsanmälan</t>
        </is>
      </c>
      <c r="C326" t="inlineStr">
        <is>
          <t>Föryngringsavverkning</t>
        </is>
      </c>
      <c r="D326" s="1" t="n">
        <v>46178</v>
      </c>
      <c r="E326" s="1" t="n">
        <v>46319</v>
      </c>
      <c r="F326" t="inlineStr">
        <is>
          <t>DALARNAS LÄN</t>
        </is>
      </c>
      <c r="G326" t="inlineStr">
        <is>
          <t>HEDEMORA</t>
        </is>
      </c>
      <c r="H326" t="inlineStr">
        <is>
          <t>Sveaskog</t>
        </is>
      </c>
      <c r="I326" t="n">
        <v>1.8</v>
      </c>
      <c r="J326" t="n">
        <v>1</v>
      </c>
      <c r="K326" t="n">
        <v>6</v>
      </c>
      <c r="L326" t="n">
        <v>2</v>
      </c>
      <c r="M326" t="n">
        <v>1</v>
      </c>
      <c r="N326" t="n">
        <v>0</v>
      </c>
      <c r="O326" t="n">
        <v>0</v>
      </c>
      <c r="P326" t="n">
        <v>0</v>
      </c>
      <c r="Q326" t="n">
        <v>3</v>
      </c>
      <c r="R326" t="n">
        <v>1</v>
      </c>
      <c r="S326" t="n">
        <v>9</v>
      </c>
      <c r="T326" t="n">
        <v>24</v>
      </c>
      <c r="U326" t="n">
        <v>2</v>
      </c>
      <c r="V326" s="2" t="inlineStr">
        <is>
          <t>Knärot
Ullticka
Vedtrappmossa
Björksplintborre
Bollvitmossa
Bronshjon
Rävticka
Svavelriska
Vedticka</t>
        </is>
      </c>
      <c r="W326">
        <f>HYPERLINK("https://klasma.github.io/Logging_2083/artfynd/A 25923-2026 artfynd.xlsx", "A 25923-2026")</f>
        <v/>
      </c>
      <c r="X326">
        <f>HYPERLINK("https://klasma.github.io/Logging_2083/kartor/A 25923-2026 karta.png", "A 25923-2026")</f>
        <v/>
      </c>
      <c r="Y326">
        <f>HYPERLINK("https://klasma.github.io/Logging_2083/kartor_geotiff/A 25923-2026 georefererad karta.tif", "A 25923-2026")</f>
        <v/>
      </c>
      <c r="Z326">
        <f>HYPERLINK("https://klasma.github.io/Logging_2083/knärot/A 25923-2026 karta knärot.png", "A 25923-2026")</f>
        <v/>
      </c>
      <c r="AA326">
        <f>HYPERLINK("https://klasma.github.io/Logging_2083/klagomål/A 25923-2026 FSC-klagomål.docx", "A 25923-2026")</f>
        <v/>
      </c>
      <c r="AB326">
        <f>HYPERLINK("https://klasma.github.io/Logging_2083/klagomålsmail/A 25923-2026 FSC-klagomål mail.docx", "A 25923-2026")</f>
        <v/>
      </c>
      <c r="AC326">
        <f>HYPERLINK("https://klasma.github.io/Logging_2083/tillsyn/A 25923-2026 tillsynsbegäran.docx", "A 25923-2026")</f>
        <v/>
      </c>
      <c r="AD326">
        <f>HYPERLINK("https://klasma.github.io/Logging_2083/tillsynsmail/A 25923-2026 tillsynsbegäran mail.docx", "A 25923-2026")</f>
        <v/>
      </c>
    </row>
    <row r="327" ht="15" customHeight="1">
      <c r="A327" t="inlineStr">
        <is>
          <t>A 7965-2024</t>
        </is>
      </c>
      <c r="B327" t="inlineStr">
        <is>
          <t>avverkningsanmälan</t>
        </is>
      </c>
      <c r="C327" t="inlineStr">
        <is>
          <t>Föryngringsavverkning</t>
        </is>
      </c>
      <c r="D327" s="1" t="n">
        <v>45350</v>
      </c>
      <c r="E327" s="1" t="n">
        <v>46319</v>
      </c>
      <c r="F327" t="inlineStr">
        <is>
          <t>DALARNAS LÄN</t>
        </is>
      </c>
      <c r="G327" t="inlineStr">
        <is>
          <t>RÄTTVIK</t>
        </is>
      </c>
      <c r="I327" t="n">
        <v>1.3</v>
      </c>
      <c r="J327" t="n">
        <v>0</v>
      </c>
      <c r="K327" t="n">
        <v>4</v>
      </c>
      <c r="L327" t="n">
        <v>4</v>
      </c>
      <c r="M327" t="n">
        <v>1</v>
      </c>
      <c r="N327" t="n">
        <v>0</v>
      </c>
      <c r="O327" t="n">
        <v>0</v>
      </c>
      <c r="P327" t="n">
        <v>0</v>
      </c>
      <c r="Q327" t="n">
        <v>5</v>
      </c>
      <c r="R327" t="n">
        <v>1</v>
      </c>
      <c r="S327" t="n">
        <v>9</v>
      </c>
      <c r="T327" t="n">
        <v>19</v>
      </c>
      <c r="U327" t="n">
        <v>19</v>
      </c>
      <c r="V327" s="2" t="inlineStr">
        <is>
          <t>Garnlav
Fyrflikig jordstjärna
Rosenticka
Rynkskinn
Ullticka
Bronshjon
Svavelriska
Trådticka
Vedticka</t>
        </is>
      </c>
      <c r="W327">
        <f>HYPERLINK("https://klasma.github.io/Logging_2031/artfynd/A 7965-2024 artfynd.xlsx", "A 7965-2024")</f>
        <v/>
      </c>
      <c r="X327">
        <f>HYPERLINK("https://klasma.github.io/Logging_2031/kartor/A 7965-2024 karta.png", "A 7965-2024")</f>
        <v/>
      </c>
      <c r="Y327">
        <f>HYPERLINK("https://klasma.github.io/Logging_2031/kartor_geotiff/A 7965-2024 georefererad karta.tif", "A 7965-2024")</f>
        <v/>
      </c>
      <c r="AA327">
        <f>HYPERLINK("https://klasma.github.io/Logging_2031/klagomål/A 7965-2024 FSC-klagomål.docx", "A 7965-2024")</f>
        <v/>
      </c>
      <c r="AB327">
        <f>HYPERLINK("https://klasma.github.io/Logging_2031/klagomålsmail/A 7965-2024 FSC-klagomål mail.docx", "A 7965-2024")</f>
        <v/>
      </c>
      <c r="AC327">
        <f>HYPERLINK("https://klasma.github.io/Logging_2031/tillsyn/A 7965-2024 tillsynsbegäran.docx", "A 7965-2024")</f>
        <v/>
      </c>
      <c r="AD327">
        <f>HYPERLINK("https://klasma.github.io/Logging_2031/tillsynsmail/A 7965-2024 tillsynsbegäran mail.docx", "A 7965-2024")</f>
        <v/>
      </c>
    </row>
    <row r="328" ht="15" customHeight="1">
      <c r="A328" t="inlineStr">
        <is>
          <t>A 53820-2025</t>
        </is>
      </c>
      <c r="B328" t="inlineStr">
        <is>
          <t>avverkningsanmälan</t>
        </is>
      </c>
      <c r="C328" t="inlineStr">
        <is>
          <t>Föryngringsavverkning</t>
        </is>
      </c>
      <c r="D328" s="1" t="n">
        <v>45961</v>
      </c>
      <c r="E328" s="1" t="n">
        <v>46319</v>
      </c>
      <c r="F328" t="inlineStr">
        <is>
          <t>DALARNAS LÄN</t>
        </is>
      </c>
      <c r="G328" t="inlineStr">
        <is>
          <t>HEDEMORA</t>
        </is>
      </c>
      <c r="I328" t="n">
        <v>10</v>
      </c>
      <c r="J328" t="n">
        <v>4</v>
      </c>
      <c r="K328" t="n">
        <v>4</v>
      </c>
      <c r="L328" t="n">
        <v>1</v>
      </c>
      <c r="M328" t="n">
        <v>1</v>
      </c>
      <c r="N328" t="n">
        <v>0</v>
      </c>
      <c r="O328" t="n">
        <v>0</v>
      </c>
      <c r="P328" t="n">
        <v>0</v>
      </c>
      <c r="Q328" t="n">
        <v>2</v>
      </c>
      <c r="R328" t="n">
        <v>1</v>
      </c>
      <c r="S328" t="n">
        <v>9</v>
      </c>
      <c r="T328" t="n">
        <v>32</v>
      </c>
      <c r="U328" t="n">
        <v>32</v>
      </c>
      <c r="V328" s="2" t="inlineStr">
        <is>
          <t>Knärot
Ullticka
Skogshakmossa
Svavelriska
Thomsons trägnagare
Vågbandad barkbock
Spillkråka
Kungsfågel
Revlummer</t>
        </is>
      </c>
      <c r="W328">
        <f>HYPERLINK("https://klasma.github.io/Logging_2083/artfynd/A 53820-2025 artfynd.xlsx", "A 53820-2025")</f>
        <v/>
      </c>
      <c r="X328">
        <f>HYPERLINK("https://klasma.github.io/Logging_2083/kartor/A 53820-2025 karta.png", "A 53820-2025")</f>
        <v/>
      </c>
      <c r="Y328">
        <f>HYPERLINK("https://klasma.github.io/Logging_2083/kartor_geotiff/A 53820-2025 georefererad karta.tif", "A 53820-2025")</f>
        <v/>
      </c>
      <c r="Z328">
        <f>HYPERLINK("https://klasma.github.io/Logging_2083/knärot/A 53820-2025 karta knärot.png", "A 53820-2025")</f>
        <v/>
      </c>
      <c r="AA328">
        <f>HYPERLINK("https://klasma.github.io/Logging_2083/klagomål/A 53820-2025 FSC-klagomål.docx", "A 53820-2025")</f>
        <v/>
      </c>
      <c r="AB328">
        <f>HYPERLINK("https://klasma.github.io/Logging_2083/klagomålsmail/A 53820-2025 FSC-klagomål mail.docx", "A 53820-2025")</f>
        <v/>
      </c>
      <c r="AC328">
        <f>HYPERLINK("https://klasma.github.io/Logging_2083/tillsyn/A 53820-2025 tillsynsbegäran.docx", "A 53820-2025")</f>
        <v/>
      </c>
      <c r="AD328">
        <f>HYPERLINK("https://klasma.github.io/Logging_2083/tillsynsmail/A 53820-2025 tillsynsbegäran mail.docx", "A 53820-2025")</f>
        <v/>
      </c>
      <c r="AE328">
        <f>HYPERLINK("https://klasma.github.io/Logging_2083/fåglar/A 53820-2025 prioriterade fågelarter.docx", "A 53820-2025")</f>
        <v/>
      </c>
    </row>
    <row r="329" ht="15" customHeight="1">
      <c r="A329" t="inlineStr">
        <is>
          <t>A 25672-2026</t>
        </is>
      </c>
      <c r="B329" t="inlineStr">
        <is>
          <t>avverkningsanmälan</t>
        </is>
      </c>
      <c r="C329" t="inlineStr">
        <is>
          <t>Föryngringsavverkning</t>
        </is>
      </c>
      <c r="D329" s="1" t="n">
        <v>46178</v>
      </c>
      <c r="E329" s="1" t="n">
        <v>46319</v>
      </c>
      <c r="F329" t="inlineStr">
        <is>
          <t>DALARNAS LÄN</t>
        </is>
      </c>
      <c r="G329" t="inlineStr">
        <is>
          <t>MALUNG-SÄLEN</t>
        </is>
      </c>
      <c r="H329" t="inlineStr">
        <is>
          <t>Allmännings- och besparingsskogar</t>
        </is>
      </c>
      <c r="I329" t="n">
        <v>18.5</v>
      </c>
      <c r="J329" t="n">
        <v>0</v>
      </c>
      <c r="K329" t="n">
        <v>1</v>
      </c>
      <c r="L329" t="n">
        <v>7</v>
      </c>
      <c r="M329" t="n">
        <v>1</v>
      </c>
      <c r="N329" t="n">
        <v>0</v>
      </c>
      <c r="O329" t="n">
        <v>0</v>
      </c>
      <c r="P329" t="n">
        <v>0</v>
      </c>
      <c r="Q329" t="n">
        <v>8</v>
      </c>
      <c r="R329" t="n">
        <v>1</v>
      </c>
      <c r="S329" t="n">
        <v>9</v>
      </c>
      <c r="T329" t="n">
        <v>67</v>
      </c>
      <c r="U329" t="n">
        <v>67</v>
      </c>
      <c r="V329" s="2" t="inlineStr">
        <is>
          <t>Garnlav
Blanksvart spiklav
Dvärgbägarlav
Kortskaftad ärgspik
Mörk kolflarnlav
Vedflamlav
Vedskivlav
Vitgrynig nållav
Nästlav</t>
        </is>
      </c>
      <c r="W329">
        <f>HYPERLINK("https://klasma.github.io/Logging_2023/artfynd/A 25672-2026 artfynd.xlsx", "A 25672-2026")</f>
        <v/>
      </c>
      <c r="X329">
        <f>HYPERLINK("https://klasma.github.io/Logging_2023/kartor/A 25672-2026 karta.png", "A 25672-2026")</f>
        <v/>
      </c>
      <c r="Y329">
        <f>HYPERLINK("https://klasma.github.io/Logging_2023/kartor_geotiff/A 25672-2026 georefererad karta.tif", "A 25672-2026")</f>
        <v/>
      </c>
      <c r="AA329">
        <f>HYPERLINK("https://klasma.github.io/Logging_2023/klagomål/A 25672-2026 FSC-klagomål.docx", "A 25672-2026")</f>
        <v/>
      </c>
      <c r="AB329">
        <f>HYPERLINK("https://klasma.github.io/Logging_2023/klagomålsmail/A 25672-2026 FSC-klagomål mail.docx", "A 25672-2026")</f>
        <v/>
      </c>
      <c r="AC329">
        <f>HYPERLINK("https://klasma.github.io/Logging_2023/tillsyn/A 25672-2026 tillsynsbegäran.docx", "A 25672-2026")</f>
        <v/>
      </c>
      <c r="AD329">
        <f>HYPERLINK("https://klasma.github.io/Logging_2023/tillsynsmail/A 25672-2026 tillsynsbegäran mail.docx", "A 25672-2026")</f>
        <v/>
      </c>
    </row>
    <row r="330" ht="15" customHeight="1">
      <c r="A330" t="inlineStr">
        <is>
          <t>A 25675-2026</t>
        </is>
      </c>
      <c r="B330" t="inlineStr">
        <is>
          <t>avverkningsanmälan</t>
        </is>
      </c>
      <c r="C330" t="inlineStr">
        <is>
          <t>Föryngringsavverkning</t>
        </is>
      </c>
      <c r="D330" s="1" t="n">
        <v>46178</v>
      </c>
      <c r="E330" s="1" t="n">
        <v>46319</v>
      </c>
      <c r="F330" t="inlineStr">
        <is>
          <t>DALARNAS LÄN</t>
        </is>
      </c>
      <c r="G330" t="inlineStr">
        <is>
          <t>MALUNG-SÄLEN</t>
        </is>
      </c>
      <c r="H330" t="inlineStr">
        <is>
          <t>Allmännings- och besparingsskogar</t>
        </is>
      </c>
      <c r="I330" t="n">
        <v>7.2</v>
      </c>
      <c r="J330" t="n">
        <v>0</v>
      </c>
      <c r="K330" t="n">
        <v>1</v>
      </c>
      <c r="L330" t="n">
        <v>7</v>
      </c>
      <c r="M330" t="n">
        <v>1</v>
      </c>
      <c r="N330" t="n">
        <v>0</v>
      </c>
      <c r="O330" t="n">
        <v>0</v>
      </c>
      <c r="P330" t="n">
        <v>0</v>
      </c>
      <c r="Q330" t="n">
        <v>8</v>
      </c>
      <c r="R330" t="n">
        <v>1</v>
      </c>
      <c r="S330" t="n">
        <v>9</v>
      </c>
      <c r="T330" t="n">
        <v>72</v>
      </c>
      <c r="U330" t="n">
        <v>72</v>
      </c>
      <c r="V330" s="2" t="inlineStr">
        <is>
          <t>Garnlav
Dvärgbägarlav
Gammelgransskål
Kortskaftad ärgspik
Mörk kolflarnlav
Vedflamlav
Vedskivlav
Violettgrå tagellav
Nästlav</t>
        </is>
      </c>
      <c r="W330">
        <f>HYPERLINK("https://klasma.github.io/Logging_2023/artfynd/A 25675-2026 artfynd.xlsx", "A 25675-2026")</f>
        <v/>
      </c>
      <c r="X330">
        <f>HYPERLINK("https://klasma.github.io/Logging_2023/kartor/A 25675-2026 karta.png", "A 25675-2026")</f>
        <v/>
      </c>
      <c r="Y330">
        <f>HYPERLINK("https://klasma.github.io/Logging_2023/kartor_geotiff/A 25675-2026 georefererad karta.tif", "A 25675-2026")</f>
        <v/>
      </c>
      <c r="AA330">
        <f>HYPERLINK("https://klasma.github.io/Logging_2023/klagomål/A 25675-2026 FSC-klagomål.docx", "A 25675-2026")</f>
        <v/>
      </c>
      <c r="AB330">
        <f>HYPERLINK("https://klasma.github.io/Logging_2023/klagomålsmail/A 25675-2026 FSC-klagomål mail.docx", "A 25675-2026")</f>
        <v/>
      </c>
      <c r="AC330">
        <f>HYPERLINK("https://klasma.github.io/Logging_2023/tillsyn/A 25675-2026 tillsynsbegäran.docx", "A 25675-2026")</f>
        <v/>
      </c>
      <c r="AD330">
        <f>HYPERLINK("https://klasma.github.io/Logging_2023/tillsynsmail/A 25675-2026 tillsynsbegäran mail.docx", "A 25675-2026")</f>
        <v/>
      </c>
    </row>
    <row r="331" ht="15" customHeight="1">
      <c r="A331" t="inlineStr">
        <is>
          <t>A 21476-2026</t>
        </is>
      </c>
      <c r="B331" t="inlineStr">
        <is>
          <t>avverkningsanmälan</t>
        </is>
      </c>
      <c r="C331" t="inlineStr">
        <is>
          <t>Föryngringsavverkning</t>
        </is>
      </c>
      <c r="D331" s="1" t="n">
        <v>46148</v>
      </c>
      <c r="E331" s="1" t="n">
        <v>46319</v>
      </c>
      <c r="F331" t="inlineStr">
        <is>
          <t>DALARNAS LÄN</t>
        </is>
      </c>
      <c r="G331" t="inlineStr">
        <is>
          <t>ORSA</t>
        </is>
      </c>
      <c r="I331" t="n">
        <v>12.4</v>
      </c>
      <c r="J331" t="n">
        <v>6</v>
      </c>
      <c r="K331" t="n">
        <v>3</v>
      </c>
      <c r="L331" t="n">
        <v>1</v>
      </c>
      <c r="M331" t="n">
        <v>0</v>
      </c>
      <c r="N331" t="n">
        <v>0</v>
      </c>
      <c r="O331" t="n">
        <v>0</v>
      </c>
      <c r="P331" t="n">
        <v>0</v>
      </c>
      <c r="Q331" t="n">
        <v>1</v>
      </c>
      <c r="R331" t="n">
        <v>0</v>
      </c>
      <c r="S331" t="n">
        <v>9</v>
      </c>
      <c r="T331" t="n">
        <v>17</v>
      </c>
      <c r="U331" t="n">
        <v>0</v>
      </c>
      <c r="V331" s="2" t="inlineStr">
        <is>
          <t>Talltita
Källmossa
Mörk husmossa
Ögonpyrola
Mattlummer
Spillkråka
Kungsfågel
Fläcknycklar
Revlummer</t>
        </is>
      </c>
      <c r="W331">
        <f>HYPERLINK("https://klasma.github.io/Logging_2034/artfynd/A 21476-2026 artfynd.xlsx", "A 21476-2026")</f>
        <v/>
      </c>
      <c r="X331">
        <f>HYPERLINK("https://klasma.github.io/Logging_2034/kartor/A 21476-2026 karta.png", "A 21476-2026")</f>
        <v/>
      </c>
      <c r="Y331">
        <f>HYPERLINK("https://klasma.github.io/Logging_2034/kartor_geotiff/A 21476-2026 georefererad karta.tif", "A 21476-2026")</f>
        <v/>
      </c>
      <c r="AA331">
        <f>HYPERLINK("https://klasma.github.io/Logging_2034/klagomål/A 21476-2026 FSC-klagomål.docx", "A 21476-2026")</f>
        <v/>
      </c>
      <c r="AB331">
        <f>HYPERLINK("https://klasma.github.io/Logging_2034/klagomålsmail/A 21476-2026 FSC-klagomål mail.docx", "A 21476-2026")</f>
        <v/>
      </c>
      <c r="AC331">
        <f>HYPERLINK("https://klasma.github.io/Logging_2034/tillsyn/A 21476-2026 tillsynsbegäran.docx", "A 21476-2026")</f>
        <v/>
      </c>
      <c r="AD331">
        <f>HYPERLINK("https://klasma.github.io/Logging_2034/tillsynsmail/A 21476-2026 tillsynsbegäran mail.docx", "A 21476-2026")</f>
        <v/>
      </c>
      <c r="AE331">
        <f>HYPERLINK("https://klasma.github.io/Logging_2034/fåglar/A 21476-2026 prioriterade fågelarter.docx", "A 21476-2026")</f>
        <v/>
      </c>
    </row>
    <row r="332" ht="15" customHeight="1">
      <c r="A332" t="inlineStr">
        <is>
          <t>A 22889-2026</t>
        </is>
      </c>
      <c r="B332" t="inlineStr">
        <is>
          <t>avverkningsanmälan</t>
        </is>
      </c>
      <c r="C332" t="inlineStr">
        <is>
          <t>Föryngringsavverkning</t>
        </is>
      </c>
      <c r="D332" s="1" t="n">
        <v>46160</v>
      </c>
      <c r="E332" s="1" t="n">
        <v>46319</v>
      </c>
      <c r="F332" t="inlineStr">
        <is>
          <t>DALARNAS LÄN</t>
        </is>
      </c>
      <c r="G332" t="inlineStr">
        <is>
          <t>FALUN</t>
        </is>
      </c>
      <c r="H332" t="inlineStr">
        <is>
          <t>Bergvik skog väst AB</t>
        </is>
      </c>
      <c r="I332" t="n">
        <v>3.6</v>
      </c>
      <c r="J332" t="n">
        <v>3</v>
      </c>
      <c r="K332" t="n">
        <v>1</v>
      </c>
      <c r="L332" t="n">
        <v>4</v>
      </c>
      <c r="M332" t="n">
        <v>3</v>
      </c>
      <c r="N332" t="n">
        <v>0</v>
      </c>
      <c r="O332" t="n">
        <v>0</v>
      </c>
      <c r="P332" t="n">
        <v>0</v>
      </c>
      <c r="Q332" t="n">
        <v>7</v>
      </c>
      <c r="R332" t="n">
        <v>3</v>
      </c>
      <c r="S332" t="n">
        <v>9</v>
      </c>
      <c r="T332" t="n">
        <v>13</v>
      </c>
      <c r="U332" t="n">
        <v>0</v>
      </c>
      <c r="V332" s="2" t="inlineStr">
        <is>
          <t>Garnlav
Gråtrut
Knärot
Motaggsvamp
Tallticka
Vaddporing
Violettgrå tagellav
Mindre märgborre
Revlummer</t>
        </is>
      </c>
      <c r="W332">
        <f>HYPERLINK("https://klasma.github.io/Logging_2080/artfynd/A 22889-2026 artfynd.xlsx", "A 22889-2026")</f>
        <v/>
      </c>
      <c r="X332">
        <f>HYPERLINK("https://klasma.github.io/Logging_2080/kartor/A 22889-2026 karta.png", "A 22889-2026")</f>
        <v/>
      </c>
      <c r="Y332">
        <f>HYPERLINK("https://klasma.github.io/Logging_2080/kartor_geotiff/A 22889-2026 georefererad karta.tif", "A 22889-2026")</f>
        <v/>
      </c>
      <c r="Z332">
        <f>HYPERLINK("https://klasma.github.io/Logging_2080/knärot/A 22889-2026 karta knärot.png", "A 22889-2026")</f>
        <v/>
      </c>
      <c r="AA332">
        <f>HYPERLINK("https://klasma.github.io/Logging_2080/klagomål/A 22889-2026 FSC-klagomål.docx", "A 22889-2026")</f>
        <v/>
      </c>
      <c r="AB332">
        <f>HYPERLINK("https://klasma.github.io/Logging_2080/klagomålsmail/A 22889-2026 FSC-klagomål mail.docx", "A 22889-2026")</f>
        <v/>
      </c>
      <c r="AC332">
        <f>HYPERLINK("https://klasma.github.io/Logging_2080/tillsyn/A 22889-2026 tillsynsbegäran.docx", "A 22889-2026")</f>
        <v/>
      </c>
      <c r="AD332">
        <f>HYPERLINK("https://klasma.github.io/Logging_2080/tillsynsmail/A 22889-2026 tillsynsbegäran mail.docx", "A 22889-2026")</f>
        <v/>
      </c>
    </row>
    <row r="333" ht="15" customHeight="1">
      <c r="A333" t="inlineStr">
        <is>
          <t>A 66637-2021</t>
        </is>
      </c>
      <c r="B333" t="inlineStr">
        <is>
          <t>avverkningsanmälan</t>
        </is>
      </c>
      <c r="C333" t="inlineStr">
        <is>
          <t>Föryngringsavverkning</t>
        </is>
      </c>
      <c r="D333" s="1" t="n">
        <v>44519</v>
      </c>
      <c r="E333" s="1" t="n">
        <v>46319</v>
      </c>
      <c r="F333" t="inlineStr">
        <is>
          <t>DALARNAS LÄN</t>
        </is>
      </c>
      <c r="G333" t="inlineStr">
        <is>
          <t>ÄLVDALEN</t>
        </is>
      </c>
      <c r="H333" t="inlineStr">
        <is>
          <t>Sveaskog</t>
        </is>
      </c>
      <c r="I333" t="n">
        <v>4.7</v>
      </c>
      <c r="J333" t="n">
        <v>0</v>
      </c>
      <c r="K333" t="n">
        <v>2</v>
      </c>
      <c r="L333" t="n">
        <v>7</v>
      </c>
      <c r="M333" t="n">
        <v>0</v>
      </c>
      <c r="N333" t="n">
        <v>0</v>
      </c>
      <c r="O333" t="n">
        <v>0</v>
      </c>
      <c r="P333" t="n">
        <v>0</v>
      </c>
      <c r="Q333" t="n">
        <v>7</v>
      </c>
      <c r="R333" t="n">
        <v>0</v>
      </c>
      <c r="S333" t="n">
        <v>9</v>
      </c>
      <c r="T333" t="n">
        <v>12</v>
      </c>
      <c r="U333" t="n">
        <v>1</v>
      </c>
      <c r="V333" s="2" t="inlineStr">
        <is>
          <t>Dropptaggsvamp
Dvärgbägarlav
Kolflarnlav
Mörk kolflarnlav
Nordtagging
Vedskivlav
Vitplätt
Nästlav
Vedticka</t>
        </is>
      </c>
      <c r="W333">
        <f>HYPERLINK("https://klasma.github.io/Logging_2039/artfynd/A 66637-2021 artfynd.xlsx", "A 66637-2021")</f>
        <v/>
      </c>
      <c r="X333">
        <f>HYPERLINK("https://klasma.github.io/Logging_2039/kartor/A 66637-2021 karta.png", "A 66637-2021")</f>
        <v/>
      </c>
      <c r="Y333">
        <f>HYPERLINK("https://klasma.github.io/Logging_2039/kartor_geotiff/A 66637-2021 georefererad karta.tif", "A 66637-2021")</f>
        <v/>
      </c>
      <c r="AA333">
        <f>HYPERLINK("https://klasma.github.io/Logging_2039/klagomål/A 66637-2021 FSC-klagomål.docx", "A 66637-2021")</f>
        <v/>
      </c>
      <c r="AB333">
        <f>HYPERLINK("https://klasma.github.io/Logging_2039/klagomålsmail/A 66637-2021 FSC-klagomål mail.docx", "A 66637-2021")</f>
        <v/>
      </c>
      <c r="AC333">
        <f>HYPERLINK("https://klasma.github.io/Logging_2039/tillsyn/A 66637-2021 tillsynsbegäran.docx", "A 66637-2021")</f>
        <v/>
      </c>
      <c r="AD333">
        <f>HYPERLINK("https://klasma.github.io/Logging_2039/tillsynsmail/A 66637-2021 tillsynsbegäran mail.docx", "A 66637-2021")</f>
        <v/>
      </c>
    </row>
    <row r="334" ht="15" customHeight="1">
      <c r="A334" t="inlineStr">
        <is>
          <t>A 41913-2022</t>
        </is>
      </c>
      <c r="B334" t="inlineStr">
        <is>
          <t>avverkningsanmälan</t>
        </is>
      </c>
      <c r="C334" t="inlineStr">
        <is>
          <t>Föryngringsavverkning</t>
        </is>
      </c>
      <c r="D334" s="1" t="n">
        <v>44830</v>
      </c>
      <c r="E334" s="1" t="n">
        <v>46319</v>
      </c>
      <c r="F334" t="inlineStr">
        <is>
          <t>DALARNAS LÄN</t>
        </is>
      </c>
      <c r="G334" t="inlineStr">
        <is>
          <t>ÄLVDALEN</t>
        </is>
      </c>
      <c r="H334" t="inlineStr">
        <is>
          <t>Sveaskog</t>
        </is>
      </c>
      <c r="I334" t="n">
        <v>5.6</v>
      </c>
      <c r="J334" t="n">
        <v>1</v>
      </c>
      <c r="K334" t="n">
        <v>0</v>
      </c>
      <c r="L334" t="n">
        <v>7</v>
      </c>
      <c r="M334" t="n">
        <v>2</v>
      </c>
      <c r="N334" t="n">
        <v>0</v>
      </c>
      <c r="O334" t="n">
        <v>0</v>
      </c>
      <c r="P334" t="n">
        <v>0</v>
      </c>
      <c r="Q334" t="n">
        <v>9</v>
      </c>
      <c r="R334" t="n">
        <v>2</v>
      </c>
      <c r="S334" t="n">
        <v>9</v>
      </c>
      <c r="T334" t="n">
        <v>20</v>
      </c>
      <c r="U334" t="n">
        <v>19</v>
      </c>
      <c r="V334" s="2" t="inlineStr">
        <is>
          <t>Fläckporing
Tajgataggsvamp
Blanksvart spiklav
Dropptaggsvamp
Orange taggsvamp
Tretåig hackspett
Vaddporing
Vedflamlav
Vedskivlav</t>
        </is>
      </c>
      <c r="W334">
        <f>HYPERLINK("https://klasma.github.io/Logging_2039/artfynd/A 41913-2022 artfynd.xlsx", "A 41913-2022")</f>
        <v/>
      </c>
      <c r="X334">
        <f>HYPERLINK("https://klasma.github.io/Logging_2039/kartor/A 41913-2022 karta.png", "A 41913-2022")</f>
        <v/>
      </c>
      <c r="Y334">
        <f>HYPERLINK("https://klasma.github.io/Logging_2039/kartor_geotiff/A 41913-2022 georefererad karta.tif", "A 41913-2022")</f>
        <v/>
      </c>
      <c r="AA334">
        <f>HYPERLINK("https://klasma.github.io/Logging_2039/klagomål/A 41913-2022 FSC-klagomål.docx", "A 41913-2022")</f>
        <v/>
      </c>
      <c r="AB334">
        <f>HYPERLINK("https://klasma.github.io/Logging_2039/klagomålsmail/A 41913-2022 FSC-klagomål mail.docx", "A 41913-2022")</f>
        <v/>
      </c>
      <c r="AC334">
        <f>HYPERLINK("https://klasma.github.io/Logging_2039/tillsyn/A 41913-2022 tillsynsbegäran.docx", "A 41913-2022")</f>
        <v/>
      </c>
      <c r="AD334">
        <f>HYPERLINK("https://klasma.github.io/Logging_2039/tillsynsmail/A 41913-2022 tillsynsbegäran mail.docx", "A 41913-2022")</f>
        <v/>
      </c>
      <c r="AE334">
        <f>HYPERLINK("https://klasma.github.io/Logging_2039/fåglar/A 41913-2022 prioriterade fågelarter.docx", "A 41913-2022")</f>
        <v/>
      </c>
    </row>
    <row r="335" ht="15" customHeight="1">
      <c r="A335" t="inlineStr">
        <is>
          <t>A 57833-2023</t>
        </is>
      </c>
      <c r="B335" t="inlineStr">
        <is>
          <t>avverkningsanmälan</t>
        </is>
      </c>
      <c r="C335" t="inlineStr">
        <is>
          <t>Föryngringsavverkning</t>
        </is>
      </c>
      <c r="D335" s="1" t="n">
        <v>45247</v>
      </c>
      <c r="E335" s="1" t="n">
        <v>46319</v>
      </c>
      <c r="F335" t="inlineStr">
        <is>
          <t>DALARNAS LÄN</t>
        </is>
      </c>
      <c r="G335" t="inlineStr">
        <is>
          <t>SÄTER</t>
        </is>
      </c>
      <c r="I335" t="n">
        <v>6.4</v>
      </c>
      <c r="J335" t="n">
        <v>4</v>
      </c>
      <c r="K335" t="n">
        <v>1</v>
      </c>
      <c r="L335" t="n">
        <v>4</v>
      </c>
      <c r="M335" t="n">
        <v>1</v>
      </c>
      <c r="N335" t="n">
        <v>0</v>
      </c>
      <c r="O335" t="n">
        <v>0</v>
      </c>
      <c r="P335" t="n">
        <v>0</v>
      </c>
      <c r="Q335" t="n">
        <v>5</v>
      </c>
      <c r="R335" t="n">
        <v>1</v>
      </c>
      <c r="S335" t="n">
        <v>9</v>
      </c>
      <c r="T335" t="n">
        <v>32</v>
      </c>
      <c r="U335" t="n">
        <v>32</v>
      </c>
      <c r="V335" s="2" t="inlineStr">
        <is>
          <t>Knärot
Dropptaggsvamp
Motaggsvamp
Talltita
Vedskivlav
Mindre märgborre
Spillkråka
Timmerticka
Revlummer</t>
        </is>
      </c>
      <c r="W335">
        <f>HYPERLINK("https://klasma.github.io/Logging_2082/artfynd/A 57833-2023 artfynd.xlsx", "A 57833-2023")</f>
        <v/>
      </c>
      <c r="X335">
        <f>HYPERLINK("https://klasma.github.io/Logging_2082/kartor/A 57833-2023 karta.png", "A 57833-2023")</f>
        <v/>
      </c>
      <c r="Y335">
        <f>HYPERLINK("https://klasma.github.io/Logging_2082/kartor_geotiff/A 57833-2023 georefererad karta.tif", "A 57833-2023")</f>
        <v/>
      </c>
      <c r="Z335">
        <f>HYPERLINK("https://klasma.github.io/Logging_2082/knärot/A 57833-2023 karta knärot.png", "A 57833-2023")</f>
        <v/>
      </c>
      <c r="AA335">
        <f>HYPERLINK("https://klasma.github.io/Logging_2082/klagomål/A 57833-2023 FSC-klagomål.docx", "A 57833-2023")</f>
        <v/>
      </c>
      <c r="AB335">
        <f>HYPERLINK("https://klasma.github.io/Logging_2082/klagomålsmail/A 57833-2023 FSC-klagomål mail.docx", "A 57833-2023")</f>
        <v/>
      </c>
      <c r="AC335">
        <f>HYPERLINK("https://klasma.github.io/Logging_2082/tillsyn/A 57833-2023 tillsynsbegäran.docx", "A 57833-2023")</f>
        <v/>
      </c>
      <c r="AD335">
        <f>HYPERLINK("https://klasma.github.io/Logging_2082/tillsynsmail/A 57833-2023 tillsynsbegäran mail.docx", "A 57833-2023")</f>
        <v/>
      </c>
      <c r="AE335">
        <f>HYPERLINK("https://klasma.github.io/Logging_2082/fåglar/A 57833-2023 prioriterade fågelarter.docx", "A 57833-2023")</f>
        <v/>
      </c>
    </row>
    <row r="336" ht="15" customHeight="1">
      <c r="A336" t="inlineStr">
        <is>
          <t>S 5932-2022</t>
        </is>
      </c>
      <c r="B336" t="inlineStr">
        <is>
          <t>samrådsanmälan</t>
        </is>
      </c>
      <c r="C336" t="n">
        <v/>
      </c>
      <c r="D336" s="1" t="n">
        <v>44855</v>
      </c>
      <c r="E336" s="1" t="n">
        <v>46319</v>
      </c>
      <c r="F336" t="inlineStr">
        <is>
          <t>DALARNAS LÄN</t>
        </is>
      </c>
      <c r="G336" t="inlineStr">
        <is>
          <t>SÄTER</t>
        </is>
      </c>
      <c r="H336" t="inlineStr">
        <is>
          <t>Bergvik skog väst AB</t>
        </is>
      </c>
      <c r="I336" t="n">
        <v>4.3</v>
      </c>
      <c r="J336" t="n">
        <v>4</v>
      </c>
      <c r="K336" t="n">
        <v>3</v>
      </c>
      <c r="L336" t="n">
        <v>2</v>
      </c>
      <c r="M336" t="n">
        <v>0</v>
      </c>
      <c r="N336" t="n">
        <v>1</v>
      </c>
      <c r="O336" t="n">
        <v>0</v>
      </c>
      <c r="P336" t="n">
        <v>0</v>
      </c>
      <c r="Q336" t="n">
        <v>3</v>
      </c>
      <c r="R336" t="n">
        <v>1</v>
      </c>
      <c r="S336" t="n">
        <v>9</v>
      </c>
      <c r="T336" t="n">
        <v>13</v>
      </c>
      <c r="U336" t="n">
        <v>8</v>
      </c>
      <c r="V336" s="2" t="inlineStr">
        <is>
          <t>Skogsalm
Dofttaggsvamp
Kandelabersvamp
Scharlakansskål
Trådticka
Tvåblad
Blåsippa
Buskmus
Gullviva</t>
        </is>
      </c>
      <c r="W336">
        <f>HYPERLINK("https://klasma.github.io/Logging_2082/artfynd/S 5932-2022 artfynd.xlsx", "S 5932-2022")</f>
        <v/>
      </c>
      <c r="X336">
        <f>HYPERLINK("https://klasma.github.io/Logging_2082/kartor/S 5932-2022 karta.png", "S 5932-2022")</f>
        <v/>
      </c>
      <c r="Y336">
        <f>HYPERLINK("https://klasma.github.io/Logging_2082/kartor_geotiff/S 5932-2022 georefererad karta.tif", "S 5932-2022")</f>
        <v/>
      </c>
      <c r="AA336">
        <f>HYPERLINK("https://klasma.github.io/Logging_2082/klagomål/S 5932-2022 FSC-klagomål.docx", "S 5932-2022")</f>
        <v/>
      </c>
      <c r="AB336">
        <f>HYPERLINK("https://klasma.github.io/Logging_2082/klagomålsmail/S 5932-2022 FSC-klagomål mail.docx", "S 5932-2022")</f>
        <v/>
      </c>
      <c r="AC336">
        <f>HYPERLINK("https://klasma.github.io/Logging_2082/tillsyn/S 5932-2022 tillsynsbegäran.docx", "S 5932-2022")</f>
        <v/>
      </c>
      <c r="AD336">
        <f>HYPERLINK("https://klasma.github.io/Logging_2082/tillsynsmail/S 5932-2022 tillsynsbegäran mail.docx", "S 5932-2022")</f>
        <v/>
      </c>
    </row>
    <row r="337" ht="15" customHeight="1">
      <c r="A337" t="inlineStr">
        <is>
          <t>S 479-2025</t>
        </is>
      </c>
      <c r="B337" t="inlineStr">
        <is>
          <t>samrådsanmälan</t>
        </is>
      </c>
      <c r="C337" t="inlineStr">
        <is>
          <t>Askåterföring</t>
        </is>
      </c>
      <c r="D337" s="1" t="n">
        <v>45702</v>
      </c>
      <c r="E337" s="1" t="n">
        <v>46319</v>
      </c>
      <c r="F337" t="inlineStr">
        <is>
          <t>DALARNAS LÄN</t>
        </is>
      </c>
      <c r="G337" t="inlineStr">
        <is>
          <t>HEDEMORA</t>
        </is>
      </c>
      <c r="H337" t="inlineStr">
        <is>
          <t>Sveaskog</t>
        </is>
      </c>
      <c r="I337" t="n">
        <v>32.6</v>
      </c>
      <c r="J337" t="n">
        <v>5</v>
      </c>
      <c r="K337" t="n">
        <v>3</v>
      </c>
      <c r="L337" t="n">
        <v>2</v>
      </c>
      <c r="M337" t="n">
        <v>1</v>
      </c>
      <c r="N337" t="n">
        <v>0</v>
      </c>
      <c r="O337" t="n">
        <v>0</v>
      </c>
      <c r="P337" t="n">
        <v>0</v>
      </c>
      <c r="Q337" t="n">
        <v>3</v>
      </c>
      <c r="R337" t="n">
        <v>1</v>
      </c>
      <c r="S337" t="n">
        <v>9</v>
      </c>
      <c r="T337" t="n">
        <v>12</v>
      </c>
      <c r="U337" t="n">
        <v>0</v>
      </c>
      <c r="V337" s="2" t="inlineStr">
        <is>
          <t>Knärot
Ullticka
Älg
Bronshjon
Grönpyrola
Plattlummer
Mattlummer
Fläcknycklar
Revlummer</t>
        </is>
      </c>
      <c r="W337">
        <f>HYPERLINK("https://klasma.github.io/Logging_2083/artfynd/S 479-2025 artfynd.xlsx", "S 479-2025")</f>
        <v/>
      </c>
      <c r="X337">
        <f>HYPERLINK("https://klasma.github.io/Logging_2083/kartor/S 479-2025 karta.png", "S 479-2025")</f>
        <v/>
      </c>
      <c r="Y337">
        <f>HYPERLINK("https://klasma.github.io/Logging_2083/kartor_geotiff/S 479-2025 georefererad karta.tif", "S 479-2025")</f>
        <v/>
      </c>
      <c r="Z337">
        <f>HYPERLINK("https://klasma.github.io/Logging_2083/knärot/S 479-2025 karta knärot.png", "S 479-2025")</f>
        <v/>
      </c>
      <c r="AA337">
        <f>HYPERLINK("https://klasma.github.io/Logging_2083/klagomål/S 479-2025 FSC-klagomål.docx", "S 479-2025")</f>
        <v/>
      </c>
      <c r="AB337">
        <f>HYPERLINK("https://klasma.github.io/Logging_2083/klagomålsmail/S 479-2025 FSC-klagomål mail.docx", "S 479-2025")</f>
        <v/>
      </c>
      <c r="AC337">
        <f>HYPERLINK("https://klasma.github.io/Logging_2083/tillsyn/S 479-2025 tillsynsbegäran.docx", "S 479-2025")</f>
        <v/>
      </c>
      <c r="AD337">
        <f>HYPERLINK("https://klasma.github.io/Logging_2083/tillsynsmail/S 479-2025 tillsynsbegäran mail.docx", "S 479-2025")</f>
        <v/>
      </c>
    </row>
    <row r="338" ht="15" customHeight="1">
      <c r="A338" t="inlineStr">
        <is>
          <t>S 2495-2025</t>
        </is>
      </c>
      <c r="B338" t="inlineStr">
        <is>
          <t>samrådsanmälan</t>
        </is>
      </c>
      <c r="C338" t="inlineStr">
        <is>
          <t>Annan skogsbruksåtgärd</t>
        </is>
      </c>
      <c r="D338" s="1" t="n">
        <v>45902</v>
      </c>
      <c r="E338" s="1" t="n">
        <v>46319</v>
      </c>
      <c r="F338" t="inlineStr">
        <is>
          <t>DALARNAS LÄN</t>
        </is>
      </c>
      <c r="G338" t="inlineStr">
        <is>
          <t>BORLÄNGE</t>
        </is>
      </c>
      <c r="H338" t="inlineStr">
        <is>
          <t>Bergvik skog väst AB</t>
        </is>
      </c>
      <c r="I338" t="n">
        <v>40.4</v>
      </c>
      <c r="J338" t="n">
        <v>6</v>
      </c>
      <c r="K338" t="n">
        <v>0</v>
      </c>
      <c r="L338" t="n">
        <v>5</v>
      </c>
      <c r="M338" t="n">
        <v>1</v>
      </c>
      <c r="N338" t="n">
        <v>0</v>
      </c>
      <c r="O338" t="n">
        <v>0</v>
      </c>
      <c r="P338" t="n">
        <v>0</v>
      </c>
      <c r="Q338" t="n">
        <v>6</v>
      </c>
      <c r="R338" t="n">
        <v>1</v>
      </c>
      <c r="S338" t="n">
        <v>9</v>
      </c>
      <c r="T338" t="n">
        <v>20</v>
      </c>
      <c r="U338" t="n">
        <v>11</v>
      </c>
      <c r="V338" s="2" t="inlineStr">
        <is>
          <t>Knärot
Dofttaggsvamp
Motaggsvamp
Svartvit taggsvamp
Talltita
Tretåig hackspett
Järpe
Orre
Mindre vattensalamander</t>
        </is>
      </c>
      <c r="W338">
        <f>HYPERLINK("https://klasma.github.io/Logging_2081/artfynd/S 2495-2025 artfynd.xlsx", "S 2495-2025")</f>
        <v/>
      </c>
      <c r="X338">
        <f>HYPERLINK("https://klasma.github.io/Logging_2081/kartor/S 2495-2025 karta.png", "S 2495-2025")</f>
        <v/>
      </c>
      <c r="Y338">
        <f>HYPERLINK("https://klasma.github.io/Logging_2081/kartor_geotiff/S 2495-2025 georefererad karta.tif", "S 2495-2025")</f>
        <v/>
      </c>
      <c r="Z338">
        <f>HYPERLINK("https://klasma.github.io/Logging_2081/knärot/S 2495-2025 karta knärot.png", "S 2495-2025")</f>
        <v/>
      </c>
      <c r="AA338">
        <f>HYPERLINK("https://klasma.github.io/Logging_2081/klagomål/S 2495-2025 FSC-klagomål.docx", "S 2495-2025")</f>
        <v/>
      </c>
      <c r="AB338">
        <f>HYPERLINK("https://klasma.github.io/Logging_2081/klagomålsmail/S 2495-2025 FSC-klagomål mail.docx", "S 2495-2025")</f>
        <v/>
      </c>
      <c r="AC338">
        <f>HYPERLINK("https://klasma.github.io/Logging_2081/tillsyn/S 2495-2025 tillsynsbegäran.docx", "S 2495-2025")</f>
        <v/>
      </c>
      <c r="AD338">
        <f>HYPERLINK("https://klasma.github.io/Logging_2081/tillsynsmail/S 2495-2025 tillsynsbegäran mail.docx", "S 2495-2025")</f>
        <v/>
      </c>
      <c r="AE338">
        <f>HYPERLINK("https://klasma.github.io/Logging_2081/fåglar/S 2495-2025 prioriterade fågelarter.docx", "S 2495-2025")</f>
        <v/>
      </c>
    </row>
    <row r="339" ht="15" customHeight="1">
      <c r="A339" t="inlineStr">
        <is>
          <t>S 947-2026</t>
        </is>
      </c>
      <c r="B339" t="inlineStr">
        <is>
          <t>samrådsanmälan</t>
        </is>
      </c>
      <c r="C339" t="inlineStr">
        <is>
          <t>Annan skogsbruksåtgärd</t>
        </is>
      </c>
      <c r="D339" s="1" t="n">
        <v>46112</v>
      </c>
      <c r="E339" s="1" t="n">
        <v>46319</v>
      </c>
      <c r="F339" t="inlineStr">
        <is>
          <t>DALARNAS LÄN</t>
        </is>
      </c>
      <c r="G339" t="inlineStr">
        <is>
          <t>MORA</t>
        </is>
      </c>
      <c r="I339" t="n">
        <v>8.5</v>
      </c>
      <c r="J339" t="n">
        <v>0</v>
      </c>
      <c r="K339" t="n">
        <v>0</v>
      </c>
      <c r="L339" t="n">
        <v>4</v>
      </c>
      <c r="M339" t="n">
        <v>5</v>
      </c>
      <c r="N339" t="n">
        <v>0</v>
      </c>
      <c r="O339" t="n">
        <v>0</v>
      </c>
      <c r="P339" t="n">
        <v>0</v>
      </c>
      <c r="Q339" t="n">
        <v>9</v>
      </c>
      <c r="R339" t="n">
        <v>5</v>
      </c>
      <c r="S339" t="n">
        <v>9</v>
      </c>
      <c r="T339" t="n">
        <v>20</v>
      </c>
      <c r="U339" t="n">
        <v>0</v>
      </c>
      <c r="V339" s="2" t="inlineStr">
        <is>
          <t>Goliatmusseron
Rotfingersvamp
Skrovlig taggsvamp
Smultronkantarell
Tallgråticka
Dropptaggsvamp
Gelatinfingersvamp
Orange taggsvamp
Tallfingersvamp</t>
        </is>
      </c>
      <c r="W339">
        <f>HYPERLINK("https://klasma.github.io/Logging_2062/artfynd/S 947-2026 artfynd.xlsx", "S 947-2026")</f>
        <v/>
      </c>
      <c r="X339">
        <f>HYPERLINK("https://klasma.github.io/Logging_2062/kartor/S 947-2026 karta.png", "S 947-2026")</f>
        <v/>
      </c>
      <c r="Y339">
        <f>HYPERLINK("https://klasma.github.io/Logging_2062/kartor_geotiff/S 947-2026 georefererad karta.tif", "S 947-2026")</f>
        <v/>
      </c>
      <c r="AA339">
        <f>HYPERLINK("https://klasma.github.io/Logging_2062/klagomål/S 947-2026 FSC-klagomål.docx", "S 947-2026")</f>
        <v/>
      </c>
      <c r="AB339">
        <f>HYPERLINK("https://klasma.github.io/Logging_2062/klagomålsmail/S 947-2026 FSC-klagomål mail.docx", "S 947-2026")</f>
        <v/>
      </c>
      <c r="AC339">
        <f>HYPERLINK("https://klasma.github.io/Logging_2062/tillsyn/S 947-2026 tillsynsbegäran.docx", "S 947-2026")</f>
        <v/>
      </c>
      <c r="AD339">
        <f>HYPERLINK("https://klasma.github.io/Logging_2062/tillsynsmail/S 947-2026 tillsynsbegäran mail.docx", "S 947-2026")</f>
        <v/>
      </c>
    </row>
    <row r="340" ht="15" customHeight="1">
      <c r="A340" t="inlineStr">
        <is>
          <t>A 39682-2025</t>
        </is>
      </c>
      <c r="B340" t="inlineStr">
        <is>
          <t>avverkningsanmälan</t>
        </is>
      </c>
      <c r="C340" t="inlineStr">
        <is>
          <t>Föryngringsavverkning</t>
        </is>
      </c>
      <c r="D340" s="1" t="n">
        <v>45890</v>
      </c>
      <c r="E340" s="1" t="n">
        <v>46319</v>
      </c>
      <c r="F340" t="inlineStr">
        <is>
          <t>DALARNAS LÄN</t>
        </is>
      </c>
      <c r="G340" t="inlineStr">
        <is>
          <t>ORSA</t>
        </is>
      </c>
      <c r="I340" t="n">
        <v>6.6</v>
      </c>
      <c r="J340" t="n">
        <v>2</v>
      </c>
      <c r="K340" t="n">
        <v>2</v>
      </c>
      <c r="L340" t="n">
        <v>4</v>
      </c>
      <c r="M340" t="n">
        <v>1</v>
      </c>
      <c r="N340" t="n">
        <v>0</v>
      </c>
      <c r="O340" t="n">
        <v>0</v>
      </c>
      <c r="P340" t="n">
        <v>0</v>
      </c>
      <c r="Q340" t="n">
        <v>5</v>
      </c>
      <c r="R340" t="n">
        <v>1</v>
      </c>
      <c r="S340" t="n">
        <v>8</v>
      </c>
      <c r="T340" t="n">
        <v>35</v>
      </c>
      <c r="U340" t="n">
        <v>35</v>
      </c>
      <c r="V340" s="2" t="inlineStr">
        <is>
          <t>Garnlav
Dropptaggsvamp
Tretåig hackspett
Vaddporing
Vedskivlav
Jättesvampmal
Mindre märgborre
Spillkråka</t>
        </is>
      </c>
      <c r="W340">
        <f>HYPERLINK("https://klasma.github.io/Logging_2034/artfynd/A 39682-2025 artfynd.xlsx", "A 39682-2025")</f>
        <v/>
      </c>
      <c r="X340">
        <f>HYPERLINK("https://klasma.github.io/Logging_2034/kartor/A 39682-2025 karta.png", "A 39682-2025")</f>
        <v/>
      </c>
      <c r="Y340">
        <f>HYPERLINK("https://klasma.github.io/Logging_2034/kartor_geotiff/A 39682-2025 georefererad karta.tif", "A 39682-2025")</f>
        <v/>
      </c>
      <c r="AA340">
        <f>HYPERLINK("https://klasma.github.io/Logging_2034/klagomål/A 39682-2025 FSC-klagomål.docx", "A 39682-2025")</f>
        <v/>
      </c>
      <c r="AB340">
        <f>HYPERLINK("https://klasma.github.io/Logging_2034/klagomålsmail/A 39682-2025 FSC-klagomål mail.docx", "A 39682-2025")</f>
        <v/>
      </c>
      <c r="AC340">
        <f>HYPERLINK("https://klasma.github.io/Logging_2034/tillsyn/A 39682-2025 tillsynsbegäran.docx", "A 39682-2025")</f>
        <v/>
      </c>
      <c r="AD340">
        <f>HYPERLINK("https://klasma.github.io/Logging_2034/tillsynsmail/A 39682-2025 tillsynsbegäran mail.docx", "A 39682-2025")</f>
        <v/>
      </c>
      <c r="AE340">
        <f>HYPERLINK("https://klasma.github.io/Logging_2034/fåglar/A 39682-2025 prioriterade fågelarter.docx", "A 39682-2025")</f>
        <v/>
      </c>
    </row>
    <row r="341" ht="15" customHeight="1">
      <c r="A341" t="inlineStr">
        <is>
          <t>A 992-2024</t>
        </is>
      </c>
      <c r="B341" t="inlineStr">
        <is>
          <t>avverkningsanmälan</t>
        </is>
      </c>
      <c r="C341" t="inlineStr">
        <is>
          <t>Föryngringsavverkning</t>
        </is>
      </c>
      <c r="D341" s="1" t="n">
        <v>45301</v>
      </c>
      <c r="E341" s="1" t="n">
        <v>46319</v>
      </c>
      <c r="F341" t="inlineStr">
        <is>
          <t>DALARNAS LÄN</t>
        </is>
      </c>
      <c r="G341" t="inlineStr">
        <is>
          <t>HEDEMORA</t>
        </is>
      </c>
      <c r="I341" t="n">
        <v>4.2</v>
      </c>
      <c r="J341" t="n">
        <v>4</v>
      </c>
      <c r="K341" t="n">
        <v>0</v>
      </c>
      <c r="L341" t="n">
        <v>6</v>
      </c>
      <c r="M341" t="n">
        <v>0</v>
      </c>
      <c r="N341" t="n">
        <v>0</v>
      </c>
      <c r="O341" t="n">
        <v>0</v>
      </c>
      <c r="P341" t="n">
        <v>0</v>
      </c>
      <c r="Q341" t="n">
        <v>6</v>
      </c>
      <c r="R341" t="n">
        <v>0</v>
      </c>
      <c r="S341" t="n">
        <v>8</v>
      </c>
      <c r="T341" t="n">
        <v>20</v>
      </c>
      <c r="U341" t="n">
        <v>16</v>
      </c>
      <c r="V341" s="2" t="inlineStr">
        <is>
          <t>Aspskinn
Sotvaxskivling
Talltita
Tretåig hackspett
Ullticka
Vårärt
Spillkråka
Tjäder</t>
        </is>
      </c>
      <c r="W341">
        <f>HYPERLINK("https://klasma.github.io/Logging_2083/artfynd/A 992-2024 artfynd.xlsx", "A 992-2024")</f>
        <v/>
      </c>
      <c r="X341">
        <f>HYPERLINK("https://klasma.github.io/Logging_2083/kartor/A 992-2024 karta.png", "A 992-2024")</f>
        <v/>
      </c>
      <c r="Y341">
        <f>HYPERLINK("https://klasma.github.io/Logging_2083/kartor_geotiff/A 992-2024 georefererad karta.tif", "A 992-2024")</f>
        <v/>
      </c>
      <c r="AA341">
        <f>HYPERLINK("https://klasma.github.io/Logging_2083/klagomål/A 992-2024 FSC-klagomål.docx", "A 992-2024")</f>
        <v/>
      </c>
      <c r="AB341">
        <f>HYPERLINK("https://klasma.github.io/Logging_2083/klagomålsmail/A 992-2024 FSC-klagomål mail.docx", "A 992-2024")</f>
        <v/>
      </c>
      <c r="AC341">
        <f>HYPERLINK("https://klasma.github.io/Logging_2083/tillsyn/A 992-2024 tillsynsbegäran.docx", "A 992-2024")</f>
        <v/>
      </c>
      <c r="AD341">
        <f>HYPERLINK("https://klasma.github.io/Logging_2083/tillsynsmail/A 992-2024 tillsynsbegäran mail.docx", "A 992-2024")</f>
        <v/>
      </c>
      <c r="AE341">
        <f>HYPERLINK("https://klasma.github.io/Logging_2083/fåglar/A 992-2024 prioriterade fågelarter.docx", "A 992-2024")</f>
        <v/>
      </c>
    </row>
    <row r="342" ht="15" customHeight="1">
      <c r="A342" t="inlineStr">
        <is>
          <t>A 41750-2025</t>
        </is>
      </c>
      <c r="B342" t="inlineStr">
        <is>
          <t>avverkningsanmälan</t>
        </is>
      </c>
      <c r="C342" t="inlineStr">
        <is>
          <t>Föryngringsavverkning</t>
        </is>
      </c>
      <c r="D342" s="1" t="n">
        <v>45902</v>
      </c>
      <c r="E342" s="1" t="n">
        <v>46319</v>
      </c>
      <c r="F342" t="inlineStr">
        <is>
          <t>DALARNAS LÄN</t>
        </is>
      </c>
      <c r="G342" t="inlineStr">
        <is>
          <t>ÄLVDALEN</t>
        </is>
      </c>
      <c r="I342" t="n">
        <v>1.2</v>
      </c>
      <c r="J342" t="n">
        <v>0</v>
      </c>
      <c r="K342" t="n">
        <v>0</v>
      </c>
      <c r="L342" t="n">
        <v>6</v>
      </c>
      <c r="M342" t="n">
        <v>2</v>
      </c>
      <c r="N342" t="n">
        <v>0</v>
      </c>
      <c r="O342" t="n">
        <v>0</v>
      </c>
      <c r="P342" t="n">
        <v>0</v>
      </c>
      <c r="Q342" t="n">
        <v>8</v>
      </c>
      <c r="R342" t="n">
        <v>2</v>
      </c>
      <c r="S342" t="n">
        <v>8</v>
      </c>
      <c r="T342" t="n">
        <v>13</v>
      </c>
      <c r="U342" t="n">
        <v>0</v>
      </c>
      <c r="V342" s="2" t="inlineStr">
        <is>
          <t>Gräddporing
Skrovlig taggsvamp
Blanksvart spiklav
Dropptaggsvamp
Dvärgbägarlav
Kolflarnlav
Mörk kolflarnlav
Vedflamlav</t>
        </is>
      </c>
      <c r="W342">
        <f>HYPERLINK("https://klasma.github.io/Logging_2039/artfynd/A 41750-2025 artfynd.xlsx", "A 41750-2025")</f>
        <v/>
      </c>
      <c r="X342">
        <f>HYPERLINK("https://klasma.github.io/Logging_2039/kartor/A 41750-2025 karta.png", "A 41750-2025")</f>
        <v/>
      </c>
      <c r="Y342">
        <f>HYPERLINK("https://klasma.github.io/Logging_2039/kartor_geotiff/A 41750-2025 georefererad karta.tif", "A 41750-2025")</f>
        <v/>
      </c>
      <c r="AA342">
        <f>HYPERLINK("https://klasma.github.io/Logging_2039/klagomål/A 41750-2025 FSC-klagomål.docx", "A 41750-2025")</f>
        <v/>
      </c>
      <c r="AB342">
        <f>HYPERLINK("https://klasma.github.io/Logging_2039/klagomålsmail/A 41750-2025 FSC-klagomål mail.docx", "A 41750-2025")</f>
        <v/>
      </c>
      <c r="AC342">
        <f>HYPERLINK("https://klasma.github.io/Logging_2039/tillsyn/A 41750-2025 tillsynsbegäran.docx", "A 41750-2025")</f>
        <v/>
      </c>
      <c r="AD342">
        <f>HYPERLINK("https://klasma.github.io/Logging_2039/tillsynsmail/A 41750-2025 tillsynsbegäran mail.docx", "A 41750-2025")</f>
        <v/>
      </c>
    </row>
    <row r="343" ht="15" customHeight="1">
      <c r="A343" t="inlineStr">
        <is>
          <t>A 24018-2026</t>
        </is>
      </c>
      <c r="B343" t="inlineStr">
        <is>
          <t>avverkningsanmälan</t>
        </is>
      </c>
      <c r="C343" t="inlineStr">
        <is>
          <t>Föryngringsavverkning</t>
        </is>
      </c>
      <c r="D343" s="1" t="n">
        <v>46167</v>
      </c>
      <c r="E343" s="1" t="n">
        <v>46319</v>
      </c>
      <c r="F343" t="inlineStr">
        <is>
          <t>DALARNAS LÄN</t>
        </is>
      </c>
      <c r="G343" t="inlineStr">
        <is>
          <t>ÄLVDALEN</t>
        </is>
      </c>
      <c r="I343" t="n">
        <v>1.1</v>
      </c>
      <c r="J343" t="n">
        <v>7</v>
      </c>
      <c r="K343" t="n">
        <v>0</v>
      </c>
      <c r="L343" t="n">
        <v>1</v>
      </c>
      <c r="M343" t="n">
        <v>1</v>
      </c>
      <c r="N343" t="n">
        <v>0</v>
      </c>
      <c r="O343" t="n">
        <v>0</v>
      </c>
      <c r="P343" t="n">
        <v>0</v>
      </c>
      <c r="Q343" t="n">
        <v>2</v>
      </c>
      <c r="R343" t="n">
        <v>1</v>
      </c>
      <c r="S343" t="n">
        <v>8</v>
      </c>
      <c r="T343" t="n">
        <v>10</v>
      </c>
      <c r="U343" t="n">
        <v>10</v>
      </c>
      <c r="V343" s="2" t="inlineStr">
        <is>
          <t>Knärot
Järnsparv
Ormbär
Spillkråka
Tjäder
Vanlig groda
Fläcknycklar
Revlummer</t>
        </is>
      </c>
      <c r="W343">
        <f>HYPERLINK("https://klasma.github.io/Logging_2039/artfynd/A 24018-2026 artfynd.xlsx", "A 24018-2026")</f>
        <v/>
      </c>
      <c r="X343">
        <f>HYPERLINK("https://klasma.github.io/Logging_2039/kartor/A 24018-2026 karta.png", "A 24018-2026")</f>
        <v/>
      </c>
      <c r="Y343">
        <f>HYPERLINK("https://klasma.github.io/Logging_2039/kartor_geotiff/A 24018-2026 georefererad karta.tif", "A 24018-2026")</f>
        <v/>
      </c>
      <c r="Z343">
        <f>HYPERLINK("https://klasma.github.io/Logging_2039/knärot/A 24018-2026 karta knärot.png", "A 24018-2026")</f>
        <v/>
      </c>
      <c r="AA343">
        <f>HYPERLINK("https://klasma.github.io/Logging_2039/klagomål/A 24018-2026 FSC-klagomål.docx", "A 24018-2026")</f>
        <v/>
      </c>
      <c r="AB343">
        <f>HYPERLINK("https://klasma.github.io/Logging_2039/klagomålsmail/A 24018-2026 FSC-klagomål mail.docx", "A 24018-2026")</f>
        <v/>
      </c>
      <c r="AC343">
        <f>HYPERLINK("https://klasma.github.io/Logging_2039/tillsyn/A 24018-2026 tillsynsbegäran.docx", "A 24018-2026")</f>
        <v/>
      </c>
      <c r="AD343">
        <f>HYPERLINK("https://klasma.github.io/Logging_2039/tillsynsmail/A 24018-2026 tillsynsbegäran mail.docx", "A 24018-2026")</f>
        <v/>
      </c>
      <c r="AE343">
        <f>HYPERLINK("https://klasma.github.io/Logging_2039/fåglar/A 24018-2026 prioriterade fågelarter.docx", "A 24018-2026")</f>
        <v/>
      </c>
    </row>
    <row r="344" ht="15" customHeight="1">
      <c r="A344" t="inlineStr">
        <is>
          <t>A 48552-2024</t>
        </is>
      </c>
      <c r="B344" t="inlineStr">
        <is>
          <t>avverkningsanmälan</t>
        </is>
      </c>
      <c r="C344" t="inlineStr">
        <is>
          <t>Föryngringsavverkning</t>
        </is>
      </c>
      <c r="D344" s="1" t="n">
        <v>45593</v>
      </c>
      <c r="E344" s="1" t="n">
        <v>46319</v>
      </c>
      <c r="F344" t="inlineStr">
        <is>
          <t>DALARNAS LÄN</t>
        </is>
      </c>
      <c r="G344" t="inlineStr">
        <is>
          <t>ÄLVDALEN</t>
        </is>
      </c>
      <c r="I344" t="n">
        <v>4.1</v>
      </c>
      <c r="J344" t="n">
        <v>4</v>
      </c>
      <c r="K344" t="n">
        <v>1</v>
      </c>
      <c r="L344" t="n">
        <v>3</v>
      </c>
      <c r="M344" t="n">
        <v>2</v>
      </c>
      <c r="N344" t="n">
        <v>0</v>
      </c>
      <c r="O344" t="n">
        <v>0</v>
      </c>
      <c r="P344" t="n">
        <v>0</v>
      </c>
      <c r="Q344" t="n">
        <v>5</v>
      </c>
      <c r="R344" t="n">
        <v>2</v>
      </c>
      <c r="S344" t="n">
        <v>8</v>
      </c>
      <c r="T344" t="n">
        <v>15</v>
      </c>
      <c r="U344" t="n">
        <v>15</v>
      </c>
      <c r="V344" s="2" t="inlineStr">
        <is>
          <t>Garnlav
Knärot
Kortskaftad ärgspik
Tretåig hackspett
Ullticka
Källmossa
Tjäder
Revlummer</t>
        </is>
      </c>
      <c r="W344">
        <f>HYPERLINK("https://klasma.github.io/Logging_2039/artfynd/A 48552-2024 artfynd.xlsx", "A 48552-2024")</f>
        <v/>
      </c>
      <c r="X344">
        <f>HYPERLINK("https://klasma.github.io/Logging_2039/kartor/A 48552-2024 karta.png", "A 48552-2024")</f>
        <v/>
      </c>
      <c r="Y344">
        <f>HYPERLINK("https://klasma.github.io/Logging_2039/kartor_geotiff/A 48552-2024 georefererad karta.tif", "A 48552-2024")</f>
        <v/>
      </c>
      <c r="Z344">
        <f>HYPERLINK("https://klasma.github.io/Logging_2039/knärot/A 48552-2024 karta knärot.png", "A 48552-2024")</f>
        <v/>
      </c>
      <c r="AA344">
        <f>HYPERLINK("https://klasma.github.io/Logging_2039/klagomål/A 48552-2024 FSC-klagomål.docx", "A 48552-2024")</f>
        <v/>
      </c>
      <c r="AB344">
        <f>HYPERLINK("https://klasma.github.io/Logging_2039/klagomålsmail/A 48552-2024 FSC-klagomål mail.docx", "A 48552-2024")</f>
        <v/>
      </c>
      <c r="AC344">
        <f>HYPERLINK("https://klasma.github.io/Logging_2039/tillsyn/A 48552-2024 tillsynsbegäran.docx", "A 48552-2024")</f>
        <v/>
      </c>
      <c r="AD344">
        <f>HYPERLINK("https://klasma.github.io/Logging_2039/tillsynsmail/A 48552-2024 tillsynsbegäran mail.docx", "A 48552-2024")</f>
        <v/>
      </c>
      <c r="AE344">
        <f>HYPERLINK("https://klasma.github.io/Logging_2039/fåglar/A 48552-2024 prioriterade fågelarter.docx", "A 48552-2024")</f>
        <v/>
      </c>
    </row>
    <row r="345" ht="15" customHeight="1">
      <c r="A345" t="inlineStr">
        <is>
          <t>A 50385-2024</t>
        </is>
      </c>
      <c r="B345" t="inlineStr">
        <is>
          <t>avverkningsanmälan</t>
        </is>
      </c>
      <c r="C345" t="inlineStr">
        <is>
          <t>Föryngringsavverkning</t>
        </is>
      </c>
      <c r="D345" s="1" t="n">
        <v>45600</v>
      </c>
      <c r="E345" s="1" t="n">
        <v>46319</v>
      </c>
      <c r="F345" t="inlineStr">
        <is>
          <t>DALARNAS LÄN</t>
        </is>
      </c>
      <c r="G345" t="inlineStr">
        <is>
          <t>ÄLVDALEN</t>
        </is>
      </c>
      <c r="H345" t="inlineStr">
        <is>
          <t>Övriga statliga verk och myndigheter</t>
        </is>
      </c>
      <c r="I345" t="n">
        <v>13.9</v>
      </c>
      <c r="J345" t="n">
        <v>2</v>
      </c>
      <c r="K345" t="n">
        <v>2</v>
      </c>
      <c r="L345" t="n">
        <v>5</v>
      </c>
      <c r="M345" t="n">
        <v>1</v>
      </c>
      <c r="N345" t="n">
        <v>0</v>
      </c>
      <c r="O345" t="n">
        <v>0</v>
      </c>
      <c r="P345" t="n">
        <v>0</v>
      </c>
      <c r="Q345" t="n">
        <v>6</v>
      </c>
      <c r="R345" t="n">
        <v>1</v>
      </c>
      <c r="S345" t="n">
        <v>8</v>
      </c>
      <c r="T345" t="n">
        <v>9</v>
      </c>
      <c r="U345" t="n">
        <v>9</v>
      </c>
      <c r="V345" s="2" t="inlineStr">
        <is>
          <t>Garnlav
Duvhök
Gammelgransskål
Lavskrika
Liten svartspik
Violettgrå tagellav
Bronshjon
Vågbandad barkbock</t>
        </is>
      </c>
      <c r="W345">
        <f>HYPERLINK("https://klasma.github.io/Logging_2039/artfynd/A 50385-2024 artfynd.xlsx", "A 50385-2024")</f>
        <v/>
      </c>
      <c r="X345">
        <f>HYPERLINK("https://klasma.github.io/Logging_2039/kartor/A 50385-2024 karta.png", "A 50385-2024")</f>
        <v/>
      </c>
      <c r="Y345">
        <f>HYPERLINK("https://klasma.github.io/Logging_2039/kartor_geotiff/A 50385-2024 georefererad karta.tif", "A 50385-2024")</f>
        <v/>
      </c>
      <c r="AA345">
        <f>HYPERLINK("https://klasma.github.io/Logging_2039/klagomål/A 50385-2024 FSC-klagomål.docx", "A 50385-2024")</f>
        <v/>
      </c>
      <c r="AB345">
        <f>HYPERLINK("https://klasma.github.io/Logging_2039/klagomålsmail/A 50385-2024 FSC-klagomål mail.docx", "A 50385-2024")</f>
        <v/>
      </c>
      <c r="AC345">
        <f>HYPERLINK("https://klasma.github.io/Logging_2039/tillsyn/A 50385-2024 tillsynsbegäran.docx", "A 50385-2024")</f>
        <v/>
      </c>
      <c r="AD345">
        <f>HYPERLINK("https://klasma.github.io/Logging_2039/tillsynsmail/A 50385-2024 tillsynsbegäran mail.docx", "A 50385-2024")</f>
        <v/>
      </c>
      <c r="AE345">
        <f>HYPERLINK("https://klasma.github.io/Logging_2039/fåglar/A 50385-2024 prioriterade fågelarter.docx", "A 50385-2024")</f>
        <v/>
      </c>
    </row>
    <row r="346" ht="15" customHeight="1">
      <c r="A346" t="inlineStr">
        <is>
          <t>A 54840-2025</t>
        </is>
      </c>
      <c r="B346" t="inlineStr">
        <is>
          <t>avverkningsanmälan</t>
        </is>
      </c>
      <c r="C346" t="inlineStr">
        <is>
          <t>Föryngringsavverkning</t>
        </is>
      </c>
      <c r="D346" s="1" t="n">
        <v>45966</v>
      </c>
      <c r="E346" s="1" t="n">
        <v>46319</v>
      </c>
      <c r="F346" t="inlineStr">
        <is>
          <t>DALARNAS LÄN</t>
        </is>
      </c>
      <c r="G346" t="inlineStr">
        <is>
          <t>ÄLVDALEN</t>
        </is>
      </c>
      <c r="I346" t="n">
        <v>16.3</v>
      </c>
      <c r="J346" t="n">
        <v>3</v>
      </c>
      <c r="K346" t="n">
        <v>2</v>
      </c>
      <c r="L346" t="n">
        <v>2</v>
      </c>
      <c r="M346" t="n">
        <v>1</v>
      </c>
      <c r="N346" t="n">
        <v>0</v>
      </c>
      <c r="O346" t="n">
        <v>0</v>
      </c>
      <c r="P346" t="n">
        <v>0</v>
      </c>
      <c r="Q346" t="n">
        <v>3</v>
      </c>
      <c r="R346" t="n">
        <v>1</v>
      </c>
      <c r="S346" t="n">
        <v>8</v>
      </c>
      <c r="T346" t="n">
        <v>61</v>
      </c>
      <c r="U346" t="n">
        <v>61</v>
      </c>
      <c r="V346" s="2" t="inlineStr">
        <is>
          <t>Garnlav
Kolflarnlav
Vedskivlav
Bronshjon
Mindre märgborre
Spillkråka
Kungsfågel
Revlummer</t>
        </is>
      </c>
      <c r="W346">
        <f>HYPERLINK("https://klasma.github.io/Logging_2039/artfynd/A 54840-2025 artfynd.xlsx", "A 54840-2025")</f>
        <v/>
      </c>
      <c r="X346">
        <f>HYPERLINK("https://klasma.github.io/Logging_2039/kartor/A 54840-2025 karta.png", "A 54840-2025")</f>
        <v/>
      </c>
      <c r="Y346">
        <f>HYPERLINK("https://klasma.github.io/Logging_2039/kartor_geotiff/A 54840-2025 georefererad karta.tif", "A 54840-2025")</f>
        <v/>
      </c>
      <c r="AA346">
        <f>HYPERLINK("https://klasma.github.io/Logging_2039/klagomål/A 54840-2025 FSC-klagomål.docx", "A 54840-2025")</f>
        <v/>
      </c>
      <c r="AB346">
        <f>HYPERLINK("https://klasma.github.io/Logging_2039/klagomålsmail/A 54840-2025 FSC-klagomål mail.docx", "A 54840-2025")</f>
        <v/>
      </c>
      <c r="AC346">
        <f>HYPERLINK("https://klasma.github.io/Logging_2039/tillsyn/A 54840-2025 tillsynsbegäran.docx", "A 54840-2025")</f>
        <v/>
      </c>
      <c r="AD346">
        <f>HYPERLINK("https://klasma.github.io/Logging_2039/tillsynsmail/A 54840-2025 tillsynsbegäran mail.docx", "A 54840-2025")</f>
        <v/>
      </c>
      <c r="AE346">
        <f>HYPERLINK("https://klasma.github.io/Logging_2039/fåglar/A 54840-2025 prioriterade fågelarter.docx", "A 54840-2025")</f>
        <v/>
      </c>
    </row>
    <row r="347" ht="15" customHeight="1">
      <c r="A347" t="inlineStr">
        <is>
          <t>A 28352-2026</t>
        </is>
      </c>
      <c r="B347" t="inlineStr">
        <is>
          <t>avverkningsanmälan</t>
        </is>
      </c>
      <c r="C347" t="inlineStr">
        <is>
          <t>Föryngringsavverkning</t>
        </is>
      </c>
      <c r="D347" s="1" t="n">
        <v>46196</v>
      </c>
      <c r="E347" s="1" t="n">
        <v>46319</v>
      </c>
      <c r="F347" t="inlineStr">
        <is>
          <t>DALARNAS LÄN</t>
        </is>
      </c>
      <c r="G347" t="inlineStr">
        <is>
          <t>MALUNG-SÄLEN</t>
        </is>
      </c>
      <c r="H347" t="inlineStr">
        <is>
          <t>Kommuner</t>
        </is>
      </c>
      <c r="I347" t="n">
        <v>11.3</v>
      </c>
      <c r="J347" t="n">
        <v>0</v>
      </c>
      <c r="K347" t="n">
        <v>1</v>
      </c>
      <c r="L347" t="n">
        <v>6</v>
      </c>
      <c r="M347" t="n">
        <v>1</v>
      </c>
      <c r="N347" t="n">
        <v>0</v>
      </c>
      <c r="O347" t="n">
        <v>0</v>
      </c>
      <c r="P347" t="n">
        <v>0</v>
      </c>
      <c r="Q347" t="n">
        <v>7</v>
      </c>
      <c r="R347" t="n">
        <v>1</v>
      </c>
      <c r="S347" t="n">
        <v>8</v>
      </c>
      <c r="T347" t="n">
        <v>74</v>
      </c>
      <c r="U347" t="n">
        <v>74</v>
      </c>
      <c r="V347" s="2" t="inlineStr">
        <is>
          <t>Garnlav
Dvärgbägarlav
Kolflarnlav
Mörk kolflarnlav
Nordtagging
Vedflamlav
Vedskivlav
Nästlav</t>
        </is>
      </c>
      <c r="W347">
        <f>HYPERLINK("https://klasma.github.io/Logging_2023/artfynd/A 28352-2026 artfynd.xlsx", "A 28352-2026")</f>
        <v/>
      </c>
      <c r="X347">
        <f>HYPERLINK("https://klasma.github.io/Logging_2023/kartor/A 28352-2026 karta.png", "A 28352-2026")</f>
        <v/>
      </c>
      <c r="Y347">
        <f>HYPERLINK("https://klasma.github.io/Logging_2023/kartor_geotiff/A 28352-2026 georefererad karta.tif", "A 28352-2026")</f>
        <v/>
      </c>
      <c r="AA347">
        <f>HYPERLINK("https://klasma.github.io/Logging_2023/klagomål/A 28352-2026 FSC-klagomål.docx", "A 28352-2026")</f>
        <v/>
      </c>
      <c r="AB347">
        <f>HYPERLINK("https://klasma.github.io/Logging_2023/klagomålsmail/A 28352-2026 FSC-klagomål mail.docx", "A 28352-2026")</f>
        <v/>
      </c>
      <c r="AC347">
        <f>HYPERLINK("https://klasma.github.io/Logging_2023/tillsyn/A 28352-2026 tillsynsbegäran.docx", "A 28352-2026")</f>
        <v/>
      </c>
      <c r="AD347">
        <f>HYPERLINK("https://klasma.github.io/Logging_2023/tillsynsmail/A 28352-2026 tillsynsbegäran mail.docx", "A 28352-2026")</f>
        <v/>
      </c>
    </row>
    <row r="348" ht="15" customHeight="1">
      <c r="A348" t="inlineStr">
        <is>
          <t>A 55975-2025</t>
        </is>
      </c>
      <c r="B348" t="inlineStr">
        <is>
          <t>avverkningsanmälan</t>
        </is>
      </c>
      <c r="C348" t="inlineStr">
        <is>
          <t>Föryngringsavverkning</t>
        </is>
      </c>
      <c r="D348" s="1" t="n">
        <v>45973</v>
      </c>
      <c r="E348" s="1" t="n">
        <v>46319</v>
      </c>
      <c r="F348" t="inlineStr">
        <is>
          <t>DALARNAS LÄN</t>
        </is>
      </c>
      <c r="G348" t="inlineStr">
        <is>
          <t>RÄTTVIK</t>
        </is>
      </c>
      <c r="I348" t="n">
        <v>1.9</v>
      </c>
      <c r="J348" t="n">
        <v>3</v>
      </c>
      <c r="K348" t="n">
        <v>0</v>
      </c>
      <c r="L348" t="n">
        <v>2</v>
      </c>
      <c r="M348" t="n">
        <v>2</v>
      </c>
      <c r="N348" t="n">
        <v>0</v>
      </c>
      <c r="O348" t="n">
        <v>0</v>
      </c>
      <c r="P348" t="n">
        <v>0</v>
      </c>
      <c r="Q348" t="n">
        <v>4</v>
      </c>
      <c r="R348" t="n">
        <v>2</v>
      </c>
      <c r="S348" t="n">
        <v>8</v>
      </c>
      <c r="T348" t="n">
        <v>10</v>
      </c>
      <c r="U348" t="n">
        <v>8</v>
      </c>
      <c r="V348" s="2" t="inlineStr">
        <is>
          <t>Knärot
Phellodon melilotinus
Rosenticka
Ullticka
Blåsippa
Brudborste
Kransmossa
Nattviol</t>
        </is>
      </c>
      <c r="W348">
        <f>HYPERLINK("https://klasma.github.io/Logging_2031/artfynd/A 55975-2025 artfynd.xlsx", "A 55975-2025")</f>
        <v/>
      </c>
      <c r="X348">
        <f>HYPERLINK("https://klasma.github.io/Logging_2031/kartor/A 55975-2025 karta.png", "A 55975-2025")</f>
        <v/>
      </c>
      <c r="Y348">
        <f>HYPERLINK("https://klasma.github.io/Logging_2031/kartor_geotiff/A 55975-2025 georefererad karta.tif", "A 55975-2025")</f>
        <v/>
      </c>
      <c r="Z348">
        <f>HYPERLINK("https://klasma.github.io/Logging_2031/knärot/A 55975-2025 karta knärot.png", "A 55975-2025")</f>
        <v/>
      </c>
      <c r="AA348">
        <f>HYPERLINK("https://klasma.github.io/Logging_2031/klagomål/A 55975-2025 FSC-klagomål.docx", "A 55975-2025")</f>
        <v/>
      </c>
      <c r="AB348">
        <f>HYPERLINK("https://klasma.github.io/Logging_2031/klagomålsmail/A 55975-2025 FSC-klagomål mail.docx", "A 55975-2025")</f>
        <v/>
      </c>
      <c r="AC348">
        <f>HYPERLINK("https://klasma.github.io/Logging_2031/tillsyn/A 55975-2025 tillsynsbegäran.docx", "A 55975-2025")</f>
        <v/>
      </c>
      <c r="AD348">
        <f>HYPERLINK("https://klasma.github.io/Logging_2031/tillsynsmail/A 55975-2025 tillsynsbegäran mail.docx", "A 55975-2025")</f>
        <v/>
      </c>
    </row>
    <row r="349" ht="15" customHeight="1">
      <c r="A349" t="inlineStr">
        <is>
          <t>A 30257-2026</t>
        </is>
      </c>
      <c r="B349" t="inlineStr">
        <is>
          <t>avverkningsanmälan</t>
        </is>
      </c>
      <c r="C349" t="inlineStr">
        <is>
          <t>Föryngringsavverkning</t>
        </is>
      </c>
      <c r="D349" s="1" t="n">
        <v>46206</v>
      </c>
      <c r="E349" s="1" t="n">
        <v>46319</v>
      </c>
      <c r="F349" t="inlineStr">
        <is>
          <t>DALARNAS LÄN</t>
        </is>
      </c>
      <c r="G349" t="inlineStr">
        <is>
          <t>MORA</t>
        </is>
      </c>
      <c r="H349" t="inlineStr">
        <is>
          <t>Bergvik skog väst AB</t>
        </is>
      </c>
      <c r="I349" t="n">
        <v>32.8</v>
      </c>
      <c r="J349" t="n">
        <v>1</v>
      </c>
      <c r="K349" t="n">
        <v>1</v>
      </c>
      <c r="L349" t="n">
        <v>5</v>
      </c>
      <c r="M349" t="n">
        <v>1</v>
      </c>
      <c r="N349" t="n">
        <v>0</v>
      </c>
      <c r="O349" t="n">
        <v>0</v>
      </c>
      <c r="P349" t="n">
        <v>0</v>
      </c>
      <c r="Q349" t="n">
        <v>6</v>
      </c>
      <c r="R349" t="n">
        <v>1</v>
      </c>
      <c r="S349" t="n">
        <v>8</v>
      </c>
      <c r="T349" t="n">
        <v>9</v>
      </c>
      <c r="U349" t="n">
        <v>9</v>
      </c>
      <c r="V349" s="2" t="inlineStr">
        <is>
          <t>Garnlav
Blanksvart spiklav
Blågrå svartspik
Dvärgbägarlav
Kortskaftad ärgspik
Vedflamlav
Mindre märgborre
Tjäder</t>
        </is>
      </c>
      <c r="W349">
        <f>HYPERLINK("https://klasma.github.io/Logging_2062/artfynd/A 30257-2026 artfynd.xlsx", "A 30257-2026")</f>
        <v/>
      </c>
      <c r="X349">
        <f>HYPERLINK("https://klasma.github.io/Logging_2062/kartor/A 30257-2026 karta.png", "A 30257-2026")</f>
        <v/>
      </c>
      <c r="Y349">
        <f>HYPERLINK("https://klasma.github.io/Logging_2062/kartor_geotiff/A 30257-2026 georefererad karta.tif", "A 30257-2026")</f>
        <v/>
      </c>
      <c r="AA349">
        <f>HYPERLINK("https://klasma.github.io/Logging_2062/klagomål/A 30257-2026 FSC-klagomål.docx", "A 30257-2026")</f>
        <v/>
      </c>
      <c r="AB349">
        <f>HYPERLINK("https://klasma.github.io/Logging_2062/klagomålsmail/A 30257-2026 FSC-klagomål mail.docx", "A 30257-2026")</f>
        <v/>
      </c>
      <c r="AC349">
        <f>HYPERLINK("https://klasma.github.io/Logging_2062/tillsyn/A 30257-2026 tillsynsbegäran.docx", "A 30257-2026")</f>
        <v/>
      </c>
      <c r="AD349">
        <f>HYPERLINK("https://klasma.github.io/Logging_2062/tillsynsmail/A 30257-2026 tillsynsbegäran mail.docx", "A 30257-2026")</f>
        <v/>
      </c>
      <c r="AE349">
        <f>HYPERLINK("https://klasma.github.io/Logging_2062/fåglar/A 30257-2026 prioriterade fågelarter.docx", "A 30257-2026")</f>
        <v/>
      </c>
    </row>
    <row r="350" ht="15" customHeight="1">
      <c r="A350" t="inlineStr">
        <is>
          <t>A 31749-2024</t>
        </is>
      </c>
      <c r="B350" t="inlineStr">
        <is>
          <t>avverkningsanmälan</t>
        </is>
      </c>
      <c r="C350" t="inlineStr">
        <is>
          <t>Föryngringsavverkning</t>
        </is>
      </c>
      <c r="D350" s="1" t="n">
        <v>45509</v>
      </c>
      <c r="E350" s="1" t="n">
        <v>46319</v>
      </c>
      <c r="F350" t="inlineStr">
        <is>
          <t>DALARNAS LÄN</t>
        </is>
      </c>
      <c r="G350" t="inlineStr">
        <is>
          <t>LUDVIKA</t>
        </is>
      </c>
      <c r="I350" t="n">
        <v>6.7</v>
      </c>
      <c r="J350" t="n">
        <v>1</v>
      </c>
      <c r="K350" t="n">
        <v>5</v>
      </c>
      <c r="L350" t="n">
        <v>2</v>
      </c>
      <c r="M350" t="n">
        <v>0</v>
      </c>
      <c r="N350" t="n">
        <v>0</v>
      </c>
      <c r="O350" t="n">
        <v>0</v>
      </c>
      <c r="P350" t="n">
        <v>0</v>
      </c>
      <c r="Q350" t="n">
        <v>2</v>
      </c>
      <c r="R350" t="n">
        <v>0</v>
      </c>
      <c r="S350" t="n">
        <v>8</v>
      </c>
      <c r="T350" t="n">
        <v>17</v>
      </c>
      <c r="U350" t="n">
        <v>17</v>
      </c>
      <c r="V350" s="2" t="inlineStr">
        <is>
          <t>Rynkskinn
Vårärt
Sotriska
Svart trolldruva
Svavelriska
Tibast
Underviol
Blåsippa</t>
        </is>
      </c>
      <c r="W350">
        <f>HYPERLINK("https://klasma.github.io/Logging_2085/artfynd/A 31749-2024 artfynd.xlsx", "A 31749-2024")</f>
        <v/>
      </c>
      <c r="X350">
        <f>HYPERLINK("https://klasma.github.io/Logging_2085/kartor/A 31749-2024 karta.png", "A 31749-2024")</f>
        <v/>
      </c>
      <c r="Y350">
        <f>HYPERLINK("https://klasma.github.io/Logging_2085/kartor_geotiff/A 31749-2024 georefererad karta.tif", "A 31749-2024")</f>
        <v/>
      </c>
      <c r="AA350">
        <f>HYPERLINK("https://klasma.github.io/Logging_2085/klagomål/A 31749-2024 FSC-klagomål.docx", "A 31749-2024")</f>
        <v/>
      </c>
      <c r="AB350">
        <f>HYPERLINK("https://klasma.github.io/Logging_2085/klagomålsmail/A 31749-2024 FSC-klagomål mail.docx", "A 31749-2024")</f>
        <v/>
      </c>
      <c r="AC350">
        <f>HYPERLINK("https://klasma.github.io/Logging_2085/tillsyn/A 31749-2024 tillsynsbegäran.docx", "A 31749-2024")</f>
        <v/>
      </c>
      <c r="AD350">
        <f>HYPERLINK("https://klasma.github.io/Logging_2085/tillsynsmail/A 31749-2024 tillsynsbegäran mail.docx", "A 31749-2024")</f>
        <v/>
      </c>
    </row>
    <row r="351" ht="15" customHeight="1">
      <c r="A351" t="inlineStr">
        <is>
          <t>A 62540-2025</t>
        </is>
      </c>
      <c r="B351" t="inlineStr">
        <is>
          <t>avverkningsanmälan</t>
        </is>
      </c>
      <c r="C351" t="inlineStr">
        <is>
          <t>Föryngringsavverkning</t>
        </is>
      </c>
      <c r="D351" s="1" t="n">
        <v>46007</v>
      </c>
      <c r="E351" s="1" t="n">
        <v>46319</v>
      </c>
      <c r="F351" t="inlineStr">
        <is>
          <t>DALARNAS LÄN</t>
        </is>
      </c>
      <c r="G351" t="inlineStr">
        <is>
          <t>RÄTTVIK</t>
        </is>
      </c>
      <c r="I351" t="n">
        <v>2.1</v>
      </c>
      <c r="J351" t="n">
        <v>3</v>
      </c>
      <c r="K351" t="n">
        <v>0</v>
      </c>
      <c r="L351" t="n">
        <v>2</v>
      </c>
      <c r="M351" t="n">
        <v>2</v>
      </c>
      <c r="N351" t="n">
        <v>0</v>
      </c>
      <c r="O351" t="n">
        <v>0</v>
      </c>
      <c r="P351" t="n">
        <v>0</v>
      </c>
      <c r="Q351" t="n">
        <v>4</v>
      </c>
      <c r="R351" t="n">
        <v>2</v>
      </c>
      <c r="S351" t="n">
        <v>8</v>
      </c>
      <c r="T351" t="n">
        <v>10</v>
      </c>
      <c r="U351" t="n">
        <v>8</v>
      </c>
      <c r="V351" s="2" t="inlineStr">
        <is>
          <t>Knärot
Phellodon melilotinus
Rosenticka
Ullticka
Blåsippa
Brudborste
Kransmossa
Nattviol</t>
        </is>
      </c>
      <c r="W351">
        <f>HYPERLINK("https://klasma.github.io/Logging_2031/artfynd/A 62540-2025 artfynd.xlsx", "A 62540-2025")</f>
        <v/>
      </c>
      <c r="X351">
        <f>HYPERLINK("https://klasma.github.io/Logging_2031/kartor/A 62540-2025 karta.png", "A 62540-2025")</f>
        <v/>
      </c>
      <c r="Y351">
        <f>HYPERLINK("https://klasma.github.io/Logging_2031/kartor_geotiff/A 62540-2025 georefererad karta.tif", "A 62540-2025")</f>
        <v/>
      </c>
      <c r="Z351">
        <f>HYPERLINK("https://klasma.github.io/Logging_2031/knärot/A 62540-2025 karta knärot.png", "A 62540-2025")</f>
        <v/>
      </c>
      <c r="AA351">
        <f>HYPERLINK("https://klasma.github.io/Logging_2031/klagomål/A 62540-2025 FSC-klagomål.docx", "A 62540-2025")</f>
        <v/>
      </c>
      <c r="AB351">
        <f>HYPERLINK("https://klasma.github.io/Logging_2031/klagomålsmail/A 62540-2025 FSC-klagomål mail.docx", "A 62540-2025")</f>
        <v/>
      </c>
      <c r="AC351">
        <f>HYPERLINK("https://klasma.github.io/Logging_2031/tillsyn/A 62540-2025 tillsynsbegäran.docx", "A 62540-2025")</f>
        <v/>
      </c>
      <c r="AD351">
        <f>HYPERLINK("https://klasma.github.io/Logging_2031/tillsynsmail/A 62540-2025 tillsynsbegäran mail.docx", "A 62540-2025")</f>
        <v/>
      </c>
    </row>
    <row r="352" ht="15" customHeight="1">
      <c r="A352" t="inlineStr">
        <is>
          <t>A 32345-2026</t>
        </is>
      </c>
      <c r="B352" t="inlineStr">
        <is>
          <t>avverkningsanmälan</t>
        </is>
      </c>
      <c r="C352" t="inlineStr">
        <is>
          <t>Föryngringsavverkning</t>
        </is>
      </c>
      <c r="D352" s="1" t="n">
        <v>46238</v>
      </c>
      <c r="E352" s="1" t="n">
        <v>46319</v>
      </c>
      <c r="F352" t="inlineStr">
        <is>
          <t>DALARNAS LÄN</t>
        </is>
      </c>
      <c r="G352" t="inlineStr">
        <is>
          <t>ÄLVDALEN</t>
        </is>
      </c>
      <c r="H352" t="inlineStr">
        <is>
          <t>Allmännings- och besparingsskogar</t>
        </is>
      </c>
      <c r="I352" t="n">
        <v>4.7</v>
      </c>
      <c r="J352" t="n">
        <v>3</v>
      </c>
      <c r="K352" t="n">
        <v>1</v>
      </c>
      <c r="L352" t="n">
        <v>3</v>
      </c>
      <c r="M352" t="n">
        <v>0</v>
      </c>
      <c r="N352" t="n">
        <v>0</v>
      </c>
      <c r="O352" t="n">
        <v>0</v>
      </c>
      <c r="P352" t="n">
        <v>0</v>
      </c>
      <c r="Q352" t="n">
        <v>3</v>
      </c>
      <c r="R352" t="n">
        <v>0</v>
      </c>
      <c r="S352" t="n">
        <v>8</v>
      </c>
      <c r="T352" t="n">
        <v>16</v>
      </c>
      <c r="U352" t="n">
        <v>16</v>
      </c>
      <c r="V352" s="2" t="inlineStr">
        <is>
          <t>Gullpudra
Harticka
Talltita
Norrlandslav
Brudborste
Ormbär
Spillkråka
Revlummer</t>
        </is>
      </c>
      <c r="W352">
        <f>HYPERLINK("https://klasma.github.io/Logging_2039/artfynd/A 32345-2026 artfynd.xlsx", "A 32345-2026")</f>
        <v/>
      </c>
      <c r="X352">
        <f>HYPERLINK("https://klasma.github.io/Logging_2039/kartor/A 32345-2026 karta.png", "A 32345-2026")</f>
        <v/>
      </c>
      <c r="Y352">
        <f>HYPERLINK("https://klasma.github.io/Logging_2039/kartor_geotiff/A 32345-2026 georefererad karta.tif", "A 32345-2026")</f>
        <v/>
      </c>
      <c r="AA352">
        <f>HYPERLINK("https://klasma.github.io/Logging_2039/klagomål/A 32345-2026 FSC-klagomål.docx", "A 32345-2026")</f>
        <v/>
      </c>
      <c r="AB352">
        <f>HYPERLINK("https://klasma.github.io/Logging_2039/klagomålsmail/A 32345-2026 FSC-klagomål mail.docx", "A 32345-2026")</f>
        <v/>
      </c>
      <c r="AC352">
        <f>HYPERLINK("https://klasma.github.io/Logging_2039/tillsyn/A 32345-2026 tillsynsbegäran.docx", "A 32345-2026")</f>
        <v/>
      </c>
      <c r="AD352">
        <f>HYPERLINK("https://klasma.github.io/Logging_2039/tillsynsmail/A 32345-2026 tillsynsbegäran mail.docx", "A 32345-2026")</f>
        <v/>
      </c>
      <c r="AE352">
        <f>HYPERLINK("https://klasma.github.io/Logging_2039/fåglar/A 32345-2026 prioriterade fågelarter.docx", "A 32345-2026")</f>
        <v/>
      </c>
    </row>
    <row r="353" ht="15" customHeight="1">
      <c r="A353" t="inlineStr">
        <is>
          <t>A 62684-2025</t>
        </is>
      </c>
      <c r="B353" t="inlineStr">
        <is>
          <t>avverkningsanmälan</t>
        </is>
      </c>
      <c r="C353" t="inlineStr">
        <is>
          <t>Föryngringsavverkning</t>
        </is>
      </c>
      <c r="D353" s="1" t="n">
        <v>46008</v>
      </c>
      <c r="E353" s="1" t="n">
        <v>46319</v>
      </c>
      <c r="F353" t="inlineStr">
        <is>
          <t>DALARNAS LÄN</t>
        </is>
      </c>
      <c r="G353" t="inlineStr">
        <is>
          <t>ÄLVDALEN</t>
        </is>
      </c>
      <c r="I353" t="n">
        <v>20.3</v>
      </c>
      <c r="J353" t="n">
        <v>4</v>
      </c>
      <c r="K353" t="n">
        <v>2</v>
      </c>
      <c r="L353" t="n">
        <v>2</v>
      </c>
      <c r="M353" t="n">
        <v>1</v>
      </c>
      <c r="N353" t="n">
        <v>0</v>
      </c>
      <c r="O353" t="n">
        <v>0</v>
      </c>
      <c r="P353" t="n">
        <v>0</v>
      </c>
      <c r="Q353" t="n">
        <v>3</v>
      </c>
      <c r="R353" t="n">
        <v>1</v>
      </c>
      <c r="S353" t="n">
        <v>8</v>
      </c>
      <c r="T353" t="n">
        <v>78</v>
      </c>
      <c r="U353" t="n">
        <v>76</v>
      </c>
      <c r="V353" s="2" t="inlineStr">
        <is>
          <t>Garnlav
Blå taggsvamp
Talltita
Grovticka
Mindre märgborre
Spillkråka
Orre
Revlummer</t>
        </is>
      </c>
      <c r="W353">
        <f>HYPERLINK("https://klasma.github.io/Logging_2039/artfynd/A 62684-2025 artfynd.xlsx", "A 62684-2025")</f>
        <v/>
      </c>
      <c r="X353">
        <f>HYPERLINK("https://klasma.github.io/Logging_2039/kartor/A 62684-2025 karta.png", "A 62684-2025")</f>
        <v/>
      </c>
      <c r="Y353">
        <f>HYPERLINK("https://klasma.github.io/Logging_2039/kartor_geotiff/A 62684-2025 georefererad karta.tif", "A 62684-2025")</f>
        <v/>
      </c>
      <c r="AA353">
        <f>HYPERLINK("https://klasma.github.io/Logging_2039/klagomål/A 62684-2025 FSC-klagomål.docx", "A 62684-2025")</f>
        <v/>
      </c>
      <c r="AB353">
        <f>HYPERLINK("https://klasma.github.io/Logging_2039/klagomålsmail/A 62684-2025 FSC-klagomål mail.docx", "A 62684-2025")</f>
        <v/>
      </c>
      <c r="AC353">
        <f>HYPERLINK("https://klasma.github.io/Logging_2039/tillsyn/A 62684-2025 tillsynsbegäran.docx", "A 62684-2025")</f>
        <v/>
      </c>
      <c r="AD353">
        <f>HYPERLINK("https://klasma.github.io/Logging_2039/tillsynsmail/A 62684-2025 tillsynsbegäran mail.docx", "A 62684-2025")</f>
        <v/>
      </c>
      <c r="AE353">
        <f>HYPERLINK("https://klasma.github.io/Logging_2039/fåglar/A 62684-2025 prioriterade fågelarter.docx", "A 62684-2025")</f>
        <v/>
      </c>
    </row>
    <row r="354" ht="15" customHeight="1">
      <c r="A354" t="inlineStr">
        <is>
          <t>A 2762-2026</t>
        </is>
      </c>
      <c r="B354" t="inlineStr">
        <is>
          <t>avverkningsanmälan</t>
        </is>
      </c>
      <c r="C354" t="inlineStr">
        <is>
          <t>Föryngringsavverkning</t>
        </is>
      </c>
      <c r="D354" s="1" t="n">
        <v>46036</v>
      </c>
      <c r="E354" s="1" t="n">
        <v>46319</v>
      </c>
      <c r="F354" t="inlineStr">
        <is>
          <t>DALARNAS LÄN</t>
        </is>
      </c>
      <c r="G354" t="inlineStr">
        <is>
          <t>MORA</t>
        </is>
      </c>
      <c r="I354" t="n">
        <v>5.7</v>
      </c>
      <c r="J354" t="n">
        <v>2</v>
      </c>
      <c r="K354" t="n">
        <v>1</v>
      </c>
      <c r="L354" t="n">
        <v>5</v>
      </c>
      <c r="M354" t="n">
        <v>1</v>
      </c>
      <c r="N354" t="n">
        <v>0</v>
      </c>
      <c r="O354" t="n">
        <v>0</v>
      </c>
      <c r="P354" t="n">
        <v>0</v>
      </c>
      <c r="Q354" t="n">
        <v>6</v>
      </c>
      <c r="R354" t="n">
        <v>1</v>
      </c>
      <c r="S354" t="n">
        <v>8</v>
      </c>
      <c r="T354" t="n">
        <v>36</v>
      </c>
      <c r="U354" t="n">
        <v>36</v>
      </c>
      <c r="V354" s="2" t="inlineStr">
        <is>
          <t>Garnlav
Kolflarnlav
Mörk kolflarnlav
Tretåig hackspett
Vedflamlav
Vedskivlav
Mindre märgborre
Spillkråka</t>
        </is>
      </c>
      <c r="W354">
        <f>HYPERLINK("https://klasma.github.io/Logging_2062/artfynd/A 2762-2026 artfynd.xlsx", "A 2762-2026")</f>
        <v/>
      </c>
      <c r="X354">
        <f>HYPERLINK("https://klasma.github.io/Logging_2062/kartor/A 2762-2026 karta.png", "A 2762-2026")</f>
        <v/>
      </c>
      <c r="Y354">
        <f>HYPERLINK("https://klasma.github.io/Logging_2062/kartor_geotiff/A 2762-2026 georefererad karta.tif", "A 2762-2026")</f>
        <v/>
      </c>
      <c r="AA354">
        <f>HYPERLINK("https://klasma.github.io/Logging_2062/klagomål/A 2762-2026 FSC-klagomål.docx", "A 2762-2026")</f>
        <v/>
      </c>
      <c r="AB354">
        <f>HYPERLINK("https://klasma.github.io/Logging_2062/klagomålsmail/A 2762-2026 FSC-klagomål mail.docx", "A 2762-2026")</f>
        <v/>
      </c>
      <c r="AC354">
        <f>HYPERLINK("https://klasma.github.io/Logging_2062/tillsyn/A 2762-2026 tillsynsbegäran.docx", "A 2762-2026")</f>
        <v/>
      </c>
      <c r="AD354">
        <f>HYPERLINK("https://klasma.github.io/Logging_2062/tillsynsmail/A 2762-2026 tillsynsbegäran mail.docx", "A 2762-2026")</f>
        <v/>
      </c>
      <c r="AE354">
        <f>HYPERLINK("https://klasma.github.io/Logging_2062/fåglar/A 2762-2026 prioriterade fågelarter.docx", "A 2762-2026")</f>
        <v/>
      </c>
    </row>
    <row r="355" ht="15" customHeight="1">
      <c r="A355" t="inlineStr">
        <is>
          <t>A 15915-2022</t>
        </is>
      </c>
      <c r="B355" t="inlineStr">
        <is>
          <t>avverkningsanmälan</t>
        </is>
      </c>
      <c r="C355" t="inlineStr">
        <is>
          <t>Föryngringsavverkning</t>
        </is>
      </c>
      <c r="D355" s="1" t="n">
        <v>44664</v>
      </c>
      <c r="E355" s="1" t="n">
        <v>46319</v>
      </c>
      <c r="F355" t="inlineStr">
        <is>
          <t>DALARNAS LÄN</t>
        </is>
      </c>
      <c r="G355" t="inlineStr">
        <is>
          <t>FALUN</t>
        </is>
      </c>
      <c r="H355" t="inlineStr">
        <is>
          <t>Bergvik skog väst AB</t>
        </is>
      </c>
      <c r="I355" t="n">
        <v>2.9</v>
      </c>
      <c r="J355" t="n">
        <v>2</v>
      </c>
      <c r="K355" t="n">
        <v>4</v>
      </c>
      <c r="L355" t="n">
        <v>2</v>
      </c>
      <c r="M355" t="n">
        <v>1</v>
      </c>
      <c r="N355" t="n">
        <v>0</v>
      </c>
      <c r="O355" t="n">
        <v>0</v>
      </c>
      <c r="P355" t="n">
        <v>0</v>
      </c>
      <c r="Q355" t="n">
        <v>3</v>
      </c>
      <c r="R355" t="n">
        <v>1</v>
      </c>
      <c r="S355" t="n">
        <v>8</v>
      </c>
      <c r="T355" t="n">
        <v>36</v>
      </c>
      <c r="U355" t="n">
        <v>36</v>
      </c>
      <c r="V355" s="2" t="inlineStr">
        <is>
          <t>Knärot
Dropptaggsvamp
Ullticka
Bronshjon
Mindre märgborre
Thomsons trägnagare
Vågbandad barkbock
Spillkråka</t>
        </is>
      </c>
      <c r="W355">
        <f>HYPERLINK("https://klasma.github.io/Logging_2080/artfynd/A 15915-2022 artfynd.xlsx", "A 15915-2022")</f>
        <v/>
      </c>
      <c r="X355">
        <f>HYPERLINK("https://klasma.github.io/Logging_2080/kartor/A 15915-2022 karta.png", "A 15915-2022")</f>
        <v/>
      </c>
      <c r="Y355">
        <f>HYPERLINK("https://klasma.github.io/Logging_2080/kartor_geotiff/A 15915-2022 georefererad karta.tif", "A 15915-2022")</f>
        <v/>
      </c>
      <c r="Z355">
        <f>HYPERLINK("https://klasma.github.io/Logging_2080/knärot/A 15915-2022 karta knärot.png", "A 15915-2022")</f>
        <v/>
      </c>
      <c r="AA355">
        <f>HYPERLINK("https://klasma.github.io/Logging_2080/klagomål/A 15915-2022 FSC-klagomål.docx", "A 15915-2022")</f>
        <v/>
      </c>
      <c r="AB355">
        <f>HYPERLINK("https://klasma.github.io/Logging_2080/klagomålsmail/A 15915-2022 FSC-klagomål mail.docx", "A 15915-2022")</f>
        <v/>
      </c>
      <c r="AC355">
        <f>HYPERLINK("https://klasma.github.io/Logging_2080/tillsyn/A 15915-2022 tillsynsbegäran.docx", "A 15915-2022")</f>
        <v/>
      </c>
      <c r="AD355">
        <f>HYPERLINK("https://klasma.github.io/Logging_2080/tillsynsmail/A 15915-2022 tillsynsbegäran mail.docx", "A 15915-2022")</f>
        <v/>
      </c>
      <c r="AE355">
        <f>HYPERLINK("https://klasma.github.io/Logging_2080/fåglar/A 15915-2022 prioriterade fågelarter.docx", "A 15915-2022")</f>
        <v/>
      </c>
    </row>
    <row r="356" ht="15" customHeight="1">
      <c r="A356" t="inlineStr">
        <is>
          <t>A 25754-2025</t>
        </is>
      </c>
      <c r="B356" t="inlineStr">
        <is>
          <t>avverkningsanmälan</t>
        </is>
      </c>
      <c r="C356" t="inlineStr">
        <is>
          <t>Föryngringsavverkning</t>
        </is>
      </c>
      <c r="D356" s="1" t="n">
        <v>45804</v>
      </c>
      <c r="E356" s="1" t="n">
        <v>46319</v>
      </c>
      <c r="F356" t="inlineStr">
        <is>
          <t>DALARNAS LÄN</t>
        </is>
      </c>
      <c r="G356" t="inlineStr">
        <is>
          <t>ÄLVDALEN</t>
        </is>
      </c>
      <c r="H356" t="inlineStr">
        <is>
          <t>Kommuner</t>
        </is>
      </c>
      <c r="I356" t="n">
        <v>2.2</v>
      </c>
      <c r="J356" t="n">
        <v>4</v>
      </c>
      <c r="K356" t="n">
        <v>1</v>
      </c>
      <c r="L356" t="n">
        <v>3</v>
      </c>
      <c r="M356" t="n">
        <v>1</v>
      </c>
      <c r="N356" t="n">
        <v>0</v>
      </c>
      <c r="O356" t="n">
        <v>0</v>
      </c>
      <c r="P356" t="n">
        <v>0</v>
      </c>
      <c r="Q356" t="n">
        <v>4</v>
      </c>
      <c r="R356" t="n">
        <v>1</v>
      </c>
      <c r="S356" t="n">
        <v>8</v>
      </c>
      <c r="T356" t="n">
        <v>15</v>
      </c>
      <c r="U356" t="n">
        <v>15</v>
      </c>
      <c r="V356" s="2" t="inlineStr">
        <is>
          <t>Garnlav
Dropptaggsvamp
Sotvaxskivling
Talltita
Mindre märgborre
Spillkråka
Kungsfågel
Revlummer</t>
        </is>
      </c>
      <c r="W356">
        <f>HYPERLINK("https://klasma.github.io/Logging_2039/artfynd/A 25754-2025 artfynd.xlsx", "A 25754-2025")</f>
        <v/>
      </c>
      <c r="X356">
        <f>HYPERLINK("https://klasma.github.io/Logging_2039/kartor/A 25754-2025 karta.png", "A 25754-2025")</f>
        <v/>
      </c>
      <c r="Y356">
        <f>HYPERLINK("https://klasma.github.io/Logging_2039/kartor_geotiff/A 25754-2025 georefererad karta.tif", "A 25754-2025")</f>
        <v/>
      </c>
      <c r="AA356">
        <f>HYPERLINK("https://klasma.github.io/Logging_2039/klagomål/A 25754-2025 FSC-klagomål.docx", "A 25754-2025")</f>
        <v/>
      </c>
      <c r="AB356">
        <f>HYPERLINK("https://klasma.github.io/Logging_2039/klagomålsmail/A 25754-2025 FSC-klagomål mail.docx", "A 25754-2025")</f>
        <v/>
      </c>
      <c r="AC356">
        <f>HYPERLINK("https://klasma.github.io/Logging_2039/tillsyn/A 25754-2025 tillsynsbegäran.docx", "A 25754-2025")</f>
        <v/>
      </c>
      <c r="AD356">
        <f>HYPERLINK("https://klasma.github.io/Logging_2039/tillsynsmail/A 25754-2025 tillsynsbegäran mail.docx", "A 25754-2025")</f>
        <v/>
      </c>
      <c r="AE356">
        <f>HYPERLINK("https://klasma.github.io/Logging_2039/fåglar/A 25754-2025 prioriterade fågelarter.docx", "A 25754-2025")</f>
        <v/>
      </c>
    </row>
    <row r="357" ht="15" customHeight="1">
      <c r="A357" t="inlineStr">
        <is>
          <t>A 30224-2025</t>
        </is>
      </c>
      <c r="B357" t="inlineStr">
        <is>
          <t>avverkningsanmälan</t>
        </is>
      </c>
      <c r="C357" t="inlineStr">
        <is>
          <t>Föryngringsavverkning</t>
        </is>
      </c>
      <c r="D357" s="1" t="n">
        <v>45827</v>
      </c>
      <c r="E357" s="1" t="n">
        <v>46319</v>
      </c>
      <c r="F357" t="inlineStr">
        <is>
          <t>DALARNAS LÄN</t>
        </is>
      </c>
      <c r="G357" t="inlineStr">
        <is>
          <t>LEKSAND</t>
        </is>
      </c>
      <c r="I357" t="n">
        <v>14.6</v>
      </c>
      <c r="J357" t="n">
        <v>1</v>
      </c>
      <c r="K357" t="n">
        <v>1</v>
      </c>
      <c r="L357" t="n">
        <v>5</v>
      </c>
      <c r="M357" t="n">
        <v>1</v>
      </c>
      <c r="N357" t="n">
        <v>0</v>
      </c>
      <c r="O357" t="n">
        <v>0</v>
      </c>
      <c r="P357" t="n">
        <v>0</v>
      </c>
      <c r="Q357" t="n">
        <v>6</v>
      </c>
      <c r="R357" t="n">
        <v>1</v>
      </c>
      <c r="S357" t="n">
        <v>8</v>
      </c>
      <c r="T357" t="n">
        <v>25</v>
      </c>
      <c r="U357" t="n">
        <v>25</v>
      </c>
      <c r="V357" s="2" t="inlineStr">
        <is>
          <t>Garnlav
Kolflarnlav
Tallticka
Ullticka
Vedflamlav
Vedskivlav
Mindre märgborre
Spillkråka</t>
        </is>
      </c>
      <c r="W357">
        <f>HYPERLINK("https://klasma.github.io/Logging_2029/artfynd/A 30224-2025 artfynd.xlsx", "A 30224-2025")</f>
        <v/>
      </c>
      <c r="X357">
        <f>HYPERLINK("https://klasma.github.io/Logging_2029/kartor/A 30224-2025 karta.png", "A 30224-2025")</f>
        <v/>
      </c>
      <c r="Y357">
        <f>HYPERLINK("https://klasma.github.io/Logging_2029/kartor_geotiff/A 30224-2025 georefererad karta.tif", "A 30224-2025")</f>
        <v/>
      </c>
      <c r="AA357">
        <f>HYPERLINK("https://klasma.github.io/Logging_2029/klagomål/A 30224-2025 FSC-klagomål.docx", "A 30224-2025")</f>
        <v/>
      </c>
      <c r="AB357">
        <f>HYPERLINK("https://klasma.github.io/Logging_2029/klagomålsmail/A 30224-2025 FSC-klagomål mail.docx", "A 30224-2025")</f>
        <v/>
      </c>
      <c r="AC357">
        <f>HYPERLINK("https://klasma.github.io/Logging_2029/tillsyn/A 30224-2025 tillsynsbegäran.docx", "A 30224-2025")</f>
        <v/>
      </c>
      <c r="AD357">
        <f>HYPERLINK("https://klasma.github.io/Logging_2029/tillsynsmail/A 30224-2025 tillsynsbegäran mail.docx", "A 30224-2025")</f>
        <v/>
      </c>
      <c r="AE357">
        <f>HYPERLINK("https://klasma.github.io/Logging_2029/fåglar/A 30224-2025 prioriterade fågelarter.docx", "A 30224-2025")</f>
        <v/>
      </c>
    </row>
    <row r="358" ht="15" customHeight="1">
      <c r="A358" t="inlineStr">
        <is>
          <t>A 32944-2025</t>
        </is>
      </c>
      <c r="B358" t="inlineStr">
        <is>
          <t>avverkningsanmälan</t>
        </is>
      </c>
      <c r="C358" t="inlineStr">
        <is>
          <t>Föryngringsavverkning</t>
        </is>
      </c>
      <c r="D358" s="1" t="n">
        <v>45839</v>
      </c>
      <c r="E358" s="1" t="n">
        <v>46319</v>
      </c>
      <c r="F358" t="inlineStr">
        <is>
          <t>DALARNAS LÄN</t>
        </is>
      </c>
      <c r="G358" t="inlineStr">
        <is>
          <t>MALUNG-SÄLEN</t>
        </is>
      </c>
      <c r="H358" t="inlineStr">
        <is>
          <t>Kommuner</t>
        </is>
      </c>
      <c r="I358" t="n">
        <v>11.3</v>
      </c>
      <c r="J358" t="n">
        <v>0</v>
      </c>
      <c r="K358" t="n">
        <v>1</v>
      </c>
      <c r="L358" t="n">
        <v>6</v>
      </c>
      <c r="M358" t="n">
        <v>1</v>
      </c>
      <c r="N358" t="n">
        <v>0</v>
      </c>
      <c r="O358" t="n">
        <v>0</v>
      </c>
      <c r="P358" t="n">
        <v>0</v>
      </c>
      <c r="Q358" t="n">
        <v>7</v>
      </c>
      <c r="R358" t="n">
        <v>1</v>
      </c>
      <c r="S358" t="n">
        <v>8</v>
      </c>
      <c r="T358" t="n">
        <v>74</v>
      </c>
      <c r="U358" t="n">
        <v>74</v>
      </c>
      <c r="V358" s="2" t="inlineStr">
        <is>
          <t>Garnlav
Dvärgbägarlav
Kolflarnlav
Mörk kolflarnlav
Nordtagging
Vedflamlav
Vedskivlav
Nästlav</t>
        </is>
      </c>
      <c r="W358">
        <f>HYPERLINK("https://klasma.github.io/Logging_2023/artfynd/A 32944-2025 artfynd.xlsx", "A 32944-2025")</f>
        <v/>
      </c>
      <c r="X358">
        <f>HYPERLINK("https://klasma.github.io/Logging_2023/kartor/A 32944-2025 karta.png", "A 32944-2025")</f>
        <v/>
      </c>
      <c r="Y358">
        <f>HYPERLINK("https://klasma.github.io/Logging_2023/kartor_geotiff/A 32944-2025 georefererad karta.tif", "A 32944-2025")</f>
        <v/>
      </c>
      <c r="AA358">
        <f>HYPERLINK("https://klasma.github.io/Logging_2023/klagomål/A 32944-2025 FSC-klagomål.docx", "A 32944-2025")</f>
        <v/>
      </c>
      <c r="AB358">
        <f>HYPERLINK("https://klasma.github.io/Logging_2023/klagomålsmail/A 32944-2025 FSC-klagomål mail.docx", "A 32944-2025")</f>
        <v/>
      </c>
      <c r="AC358">
        <f>HYPERLINK("https://klasma.github.io/Logging_2023/tillsyn/A 32944-2025 tillsynsbegäran.docx", "A 32944-2025")</f>
        <v/>
      </c>
      <c r="AD358">
        <f>HYPERLINK("https://klasma.github.io/Logging_2023/tillsynsmail/A 32944-2025 tillsynsbegäran mail.docx", "A 32944-2025")</f>
        <v/>
      </c>
    </row>
    <row r="359" ht="15" customHeight="1">
      <c r="A359" t="inlineStr">
        <is>
          <t>A 13961-2026</t>
        </is>
      </c>
      <c r="B359" t="inlineStr">
        <is>
          <t>avverkningsanmälan</t>
        </is>
      </c>
      <c r="C359" t="inlineStr">
        <is>
          <t>Föryngringsavverkning</t>
        </is>
      </c>
      <c r="D359" s="1" t="n">
        <v>46098</v>
      </c>
      <c r="E359" s="1" t="n">
        <v>46319</v>
      </c>
      <c r="F359" t="inlineStr">
        <is>
          <t>DALARNAS LÄN</t>
        </is>
      </c>
      <c r="G359" t="inlineStr">
        <is>
          <t>FALUN</t>
        </is>
      </c>
      <c r="H359" t="inlineStr">
        <is>
          <t>Bergvik skog väst AB</t>
        </is>
      </c>
      <c r="I359" t="n">
        <v>18.7</v>
      </c>
      <c r="J359" t="n">
        <v>2</v>
      </c>
      <c r="K359" t="n">
        <v>3</v>
      </c>
      <c r="L359" t="n">
        <v>3</v>
      </c>
      <c r="M359" t="n">
        <v>1</v>
      </c>
      <c r="N359" t="n">
        <v>0</v>
      </c>
      <c r="O359" t="n">
        <v>0</v>
      </c>
      <c r="P359" t="n">
        <v>0</v>
      </c>
      <c r="Q359" t="n">
        <v>4</v>
      </c>
      <c r="R359" t="n">
        <v>1</v>
      </c>
      <c r="S359" t="n">
        <v>8</v>
      </c>
      <c r="T359" t="n">
        <v>8</v>
      </c>
      <c r="U359" t="n">
        <v>0</v>
      </c>
      <c r="V359" s="2" t="inlineStr">
        <is>
          <t>Garnlav
Dropptaggsvamp
Motaggsvamp
Tallriska
Bronshjon
Plattlummer
Vågbandad barkbock
Spillkråka</t>
        </is>
      </c>
      <c r="W359">
        <f>HYPERLINK("https://klasma.github.io/Logging_2080/artfynd/A 13961-2026 artfynd.xlsx", "A 13961-2026")</f>
        <v/>
      </c>
      <c r="X359">
        <f>HYPERLINK("https://klasma.github.io/Logging_2080/kartor/A 13961-2026 karta.png", "A 13961-2026")</f>
        <v/>
      </c>
      <c r="Y359">
        <f>HYPERLINK("https://klasma.github.io/Logging_2080/kartor_geotiff/A 13961-2026 georefererad karta.tif", "A 13961-2026")</f>
        <v/>
      </c>
      <c r="AA359">
        <f>HYPERLINK("https://klasma.github.io/Logging_2080/klagomål/A 13961-2026 FSC-klagomål.docx", "A 13961-2026")</f>
        <v/>
      </c>
      <c r="AB359">
        <f>HYPERLINK("https://klasma.github.io/Logging_2080/klagomålsmail/A 13961-2026 FSC-klagomål mail.docx", "A 13961-2026")</f>
        <v/>
      </c>
      <c r="AC359">
        <f>HYPERLINK("https://klasma.github.io/Logging_2080/tillsyn/A 13961-2026 tillsynsbegäran.docx", "A 13961-2026")</f>
        <v/>
      </c>
      <c r="AD359">
        <f>HYPERLINK("https://klasma.github.io/Logging_2080/tillsynsmail/A 13961-2026 tillsynsbegäran mail.docx", "A 13961-2026")</f>
        <v/>
      </c>
      <c r="AE359">
        <f>HYPERLINK("https://klasma.github.io/Logging_2080/fåglar/A 13961-2026 prioriterade fågelarter.docx", "A 13961-2026")</f>
        <v/>
      </c>
    </row>
    <row r="360" ht="15" customHeight="1">
      <c r="A360" t="inlineStr">
        <is>
          <t>A 15036-2026</t>
        </is>
      </c>
      <c r="B360" t="inlineStr">
        <is>
          <t>avverkningsanmälan</t>
        </is>
      </c>
      <c r="C360" t="inlineStr">
        <is>
          <t>Föryngringsavverkning</t>
        </is>
      </c>
      <c r="D360" s="1" t="n">
        <v>46104</v>
      </c>
      <c r="E360" s="1" t="n">
        <v>46319</v>
      </c>
      <c r="F360" t="inlineStr">
        <is>
          <t>DALARNAS LÄN</t>
        </is>
      </c>
      <c r="G360" t="inlineStr">
        <is>
          <t>MALUNG-SÄLEN</t>
        </is>
      </c>
      <c r="I360" t="n">
        <v>1.8</v>
      </c>
      <c r="J360" t="n">
        <v>2</v>
      </c>
      <c r="K360" t="n">
        <v>2</v>
      </c>
      <c r="L360" t="n">
        <v>2</v>
      </c>
      <c r="M360" t="n">
        <v>1</v>
      </c>
      <c r="N360" t="n">
        <v>0</v>
      </c>
      <c r="O360" t="n">
        <v>0</v>
      </c>
      <c r="P360" t="n">
        <v>0</v>
      </c>
      <c r="Q360" t="n">
        <v>3</v>
      </c>
      <c r="R360" t="n">
        <v>1</v>
      </c>
      <c r="S360" t="n">
        <v>8</v>
      </c>
      <c r="T360" t="n">
        <v>8</v>
      </c>
      <c r="U360" t="n">
        <v>3</v>
      </c>
      <c r="V360" s="2" t="inlineStr">
        <is>
          <t>Garnlav
Gullpudra
Tretåig hackspett
Stuplav
Vedticka
Kransmossa
Ormbär
Spillkråka</t>
        </is>
      </c>
      <c r="W360">
        <f>HYPERLINK("https://klasma.github.io/Logging_2023/artfynd/A 15036-2026 artfynd.xlsx", "A 15036-2026")</f>
        <v/>
      </c>
      <c r="X360">
        <f>HYPERLINK("https://klasma.github.io/Logging_2023/kartor/A 15036-2026 karta.png", "A 15036-2026")</f>
        <v/>
      </c>
      <c r="Y360">
        <f>HYPERLINK("https://klasma.github.io/Logging_2023/kartor_geotiff/A 15036-2026 georefererad karta.tif", "A 15036-2026")</f>
        <v/>
      </c>
      <c r="AA360">
        <f>HYPERLINK("https://klasma.github.io/Logging_2023/klagomål/A 15036-2026 FSC-klagomål.docx", "A 15036-2026")</f>
        <v/>
      </c>
      <c r="AB360">
        <f>HYPERLINK("https://klasma.github.io/Logging_2023/klagomålsmail/A 15036-2026 FSC-klagomål mail.docx", "A 15036-2026")</f>
        <v/>
      </c>
      <c r="AC360">
        <f>HYPERLINK("https://klasma.github.io/Logging_2023/tillsyn/A 15036-2026 tillsynsbegäran.docx", "A 15036-2026")</f>
        <v/>
      </c>
      <c r="AD360">
        <f>HYPERLINK("https://klasma.github.io/Logging_2023/tillsynsmail/A 15036-2026 tillsynsbegäran mail.docx", "A 15036-2026")</f>
        <v/>
      </c>
      <c r="AE360">
        <f>HYPERLINK("https://klasma.github.io/Logging_2023/fåglar/A 15036-2026 prioriterade fågelarter.docx", "A 15036-2026")</f>
        <v/>
      </c>
    </row>
    <row r="361" ht="15" customHeight="1">
      <c r="A361" t="inlineStr">
        <is>
          <t>A 50453-2025</t>
        </is>
      </c>
      <c r="B361" t="inlineStr">
        <is>
          <t>avverkningsanmälan</t>
        </is>
      </c>
      <c r="C361" t="inlineStr">
        <is>
          <t>Avverkning för att bevara och utveckla /försöksver</t>
        </is>
      </c>
      <c r="D361" s="1" t="n">
        <v>45945</v>
      </c>
      <c r="E361" s="1" t="n">
        <v>46319</v>
      </c>
      <c r="F361" t="inlineStr">
        <is>
          <t>DALARNAS LÄN</t>
        </is>
      </c>
      <c r="G361" t="inlineStr">
        <is>
          <t>LUDVIKA</t>
        </is>
      </c>
      <c r="H361" t="inlineStr">
        <is>
          <t>Bergvik skog väst AB</t>
        </is>
      </c>
      <c r="I361" t="n">
        <v>5.6</v>
      </c>
      <c r="J361" t="n">
        <v>0</v>
      </c>
      <c r="K361" t="n">
        <v>6</v>
      </c>
      <c r="L361" t="n">
        <v>0</v>
      </c>
      <c r="M361" t="n">
        <v>2</v>
      </c>
      <c r="N361" t="n">
        <v>0</v>
      </c>
      <c r="O361" t="n">
        <v>0</v>
      </c>
      <c r="P361" t="n">
        <v>0</v>
      </c>
      <c r="Q361" t="n">
        <v>2</v>
      </c>
      <c r="R361" t="n">
        <v>2</v>
      </c>
      <c r="S361" t="n">
        <v>8</v>
      </c>
      <c r="T361" t="n">
        <v>12</v>
      </c>
      <c r="U361" t="n">
        <v>0</v>
      </c>
      <c r="V361" s="2" t="inlineStr">
        <is>
          <t>Aspgelélav
Gränsticka
Bårdlav
Dvärgtufs
Luddlav
Skinnlav
Sotlav
Vedticka</t>
        </is>
      </c>
      <c r="W361">
        <f>HYPERLINK("https://klasma.github.io/Logging_2085/artfynd/A 50453-2025 artfynd.xlsx", "A 50453-2025")</f>
        <v/>
      </c>
      <c r="X361">
        <f>HYPERLINK("https://klasma.github.io/Logging_2085/kartor/A 50453-2025 karta.png", "A 50453-2025")</f>
        <v/>
      </c>
      <c r="Y361">
        <f>HYPERLINK("https://klasma.github.io/Logging_2085/kartor_geotiff/A 50453-2025 georefererad karta.tif", "A 50453-2025")</f>
        <v/>
      </c>
      <c r="AA361">
        <f>HYPERLINK("https://klasma.github.io/Logging_2085/klagomål/A 50453-2025 FSC-klagomål.docx", "A 50453-2025")</f>
        <v/>
      </c>
      <c r="AB361">
        <f>HYPERLINK("https://klasma.github.io/Logging_2085/klagomålsmail/A 50453-2025 FSC-klagomål mail.docx", "A 50453-2025")</f>
        <v/>
      </c>
      <c r="AC361">
        <f>HYPERLINK("https://klasma.github.io/Logging_2085/tillsyn/A 50453-2025 tillsynsbegäran.docx", "A 50453-2025")</f>
        <v/>
      </c>
      <c r="AD361">
        <f>HYPERLINK("https://klasma.github.io/Logging_2085/tillsynsmail/A 50453-2025 tillsynsbegäran mail.docx", "A 50453-2025")</f>
        <v/>
      </c>
    </row>
    <row r="362" ht="15" customHeight="1">
      <c r="A362" t="inlineStr">
        <is>
          <t>A 34102-2026</t>
        </is>
      </c>
      <c r="B362" t="inlineStr">
        <is>
          <t>avverkningsanmälan</t>
        </is>
      </c>
      <c r="C362" t="inlineStr">
        <is>
          <t>Föryngringsavverkning</t>
        </is>
      </c>
      <c r="D362" s="1" t="n">
        <v>46251</v>
      </c>
      <c r="E362" s="1" t="n">
        <v>46319</v>
      </c>
      <c r="F362" t="inlineStr">
        <is>
          <t>DALARNAS LÄN</t>
        </is>
      </c>
      <c r="G362" t="inlineStr">
        <is>
          <t>HEDEMORA</t>
        </is>
      </c>
      <c r="H362" t="inlineStr">
        <is>
          <t>Övriga Aktiebolag</t>
        </is>
      </c>
      <c r="I362" t="n">
        <v>4.2</v>
      </c>
      <c r="J362" t="n">
        <v>2</v>
      </c>
      <c r="K362" t="n">
        <v>3</v>
      </c>
      <c r="L362" t="n">
        <v>1</v>
      </c>
      <c r="M362" t="n">
        <v>0</v>
      </c>
      <c r="N362" t="n">
        <v>0</v>
      </c>
      <c r="O362" t="n">
        <v>0</v>
      </c>
      <c r="P362" t="n">
        <v>0</v>
      </c>
      <c r="Q362" t="n">
        <v>1</v>
      </c>
      <c r="R362" t="n">
        <v>0</v>
      </c>
      <c r="S362" t="n">
        <v>8</v>
      </c>
      <c r="T362" t="n">
        <v>11</v>
      </c>
      <c r="U362" t="n">
        <v>10</v>
      </c>
      <c r="V362" s="2" t="inlineStr">
        <is>
          <t>Ullticka
Bronshjon
Rödgul trumpetsvamp
Thomsons trägnagare
Kransmossa
Kötticka
Spillkråka
Vanlig padda</t>
        </is>
      </c>
      <c r="W362">
        <f>HYPERLINK("https://klasma.github.io/Logging_2083/artfynd/A 34102-2026 artfynd.xlsx", "A 34102-2026")</f>
        <v/>
      </c>
      <c r="X362">
        <f>HYPERLINK("https://klasma.github.io/Logging_2083/kartor/A 34102-2026 karta.png", "A 34102-2026")</f>
        <v/>
      </c>
      <c r="Y362">
        <f>HYPERLINK("https://klasma.github.io/Logging_2083/kartor_geotiff/A 34102-2026 georefererad karta.tif", "A 34102-2026")</f>
        <v/>
      </c>
      <c r="AA362">
        <f>HYPERLINK("https://klasma.github.io/Logging_2083/klagomål/A 34102-2026 FSC-klagomål.docx", "A 34102-2026")</f>
        <v/>
      </c>
      <c r="AB362">
        <f>HYPERLINK("https://klasma.github.io/Logging_2083/klagomålsmail/A 34102-2026 FSC-klagomål mail.docx", "A 34102-2026")</f>
        <v/>
      </c>
      <c r="AC362">
        <f>HYPERLINK("https://klasma.github.io/Logging_2083/tillsyn/A 34102-2026 tillsynsbegäran.docx", "A 34102-2026")</f>
        <v/>
      </c>
      <c r="AD362">
        <f>HYPERLINK("https://klasma.github.io/Logging_2083/tillsynsmail/A 34102-2026 tillsynsbegäran mail.docx", "A 34102-2026")</f>
        <v/>
      </c>
      <c r="AE362">
        <f>HYPERLINK("https://klasma.github.io/Logging_2083/fåglar/A 34102-2026 prioriterade fågelarter.docx", "A 34102-2026")</f>
        <v/>
      </c>
    </row>
    <row r="363" ht="15" customHeight="1">
      <c r="A363" t="inlineStr">
        <is>
          <t>A 48616-2025</t>
        </is>
      </c>
      <c r="B363" t="inlineStr">
        <is>
          <t>avverkningsanmälan</t>
        </is>
      </c>
      <c r="C363" t="inlineStr">
        <is>
          <t>Föryngringsavverkning</t>
        </is>
      </c>
      <c r="D363" s="1" t="n">
        <v>45936</v>
      </c>
      <c r="E363" s="1" t="n">
        <v>46319</v>
      </c>
      <c r="F363" t="inlineStr">
        <is>
          <t>DALARNAS LÄN</t>
        </is>
      </c>
      <c r="G363" t="inlineStr">
        <is>
          <t>LEKSAND</t>
        </is>
      </c>
      <c r="I363" t="n">
        <v>2.6</v>
      </c>
      <c r="J363" t="n">
        <v>2</v>
      </c>
      <c r="K363" t="n">
        <v>3</v>
      </c>
      <c r="L363" t="n">
        <v>2</v>
      </c>
      <c r="M363" t="n">
        <v>3</v>
      </c>
      <c r="N363" t="n">
        <v>0</v>
      </c>
      <c r="O363" t="n">
        <v>0</v>
      </c>
      <c r="P363" t="n">
        <v>0</v>
      </c>
      <c r="Q363" t="n">
        <v>5</v>
      </c>
      <c r="R363" t="n">
        <v>3</v>
      </c>
      <c r="S363" t="n">
        <v>8</v>
      </c>
      <c r="T363" t="n">
        <v>14</v>
      </c>
      <c r="U363" t="n">
        <v>14</v>
      </c>
      <c r="V363" s="2" t="inlineStr">
        <is>
          <t>Garnlav
Gränsticka
Knärot
Rosenticka
Tretåig hackspett
Korallblylav
Rödgul trumpetsvamp
Stuplav</t>
        </is>
      </c>
      <c r="W363">
        <f>HYPERLINK("https://klasma.github.io/Logging_2029/artfynd/A 48616-2025 artfynd.xlsx", "A 48616-2025")</f>
        <v/>
      </c>
      <c r="X363">
        <f>HYPERLINK("https://klasma.github.io/Logging_2029/kartor/A 48616-2025 karta.png", "A 48616-2025")</f>
        <v/>
      </c>
      <c r="Y363">
        <f>HYPERLINK("https://klasma.github.io/Logging_2029/kartor_geotiff/A 48616-2025 georefererad karta.tif", "A 48616-2025")</f>
        <v/>
      </c>
      <c r="Z363">
        <f>HYPERLINK("https://klasma.github.io/Logging_2029/knärot/A 48616-2025 karta knärot.png", "A 48616-2025")</f>
        <v/>
      </c>
      <c r="AA363">
        <f>HYPERLINK("https://klasma.github.io/Logging_2029/klagomål/A 48616-2025 FSC-klagomål.docx", "A 48616-2025")</f>
        <v/>
      </c>
      <c r="AB363">
        <f>HYPERLINK("https://klasma.github.io/Logging_2029/klagomålsmail/A 48616-2025 FSC-klagomål mail.docx", "A 48616-2025")</f>
        <v/>
      </c>
      <c r="AC363">
        <f>HYPERLINK("https://klasma.github.io/Logging_2029/tillsyn/A 48616-2025 tillsynsbegäran.docx", "A 48616-2025")</f>
        <v/>
      </c>
      <c r="AD363">
        <f>HYPERLINK("https://klasma.github.io/Logging_2029/tillsynsmail/A 48616-2025 tillsynsbegäran mail.docx", "A 48616-2025")</f>
        <v/>
      </c>
      <c r="AE363">
        <f>HYPERLINK("https://klasma.github.io/Logging_2029/fåglar/A 48616-2025 prioriterade fågelarter.docx", "A 48616-2025")</f>
        <v/>
      </c>
    </row>
    <row r="364" ht="15" customHeight="1">
      <c r="A364" t="inlineStr">
        <is>
          <t>A 49783-2024</t>
        </is>
      </c>
      <c r="B364" t="inlineStr">
        <is>
          <t>avverkningsanmälan</t>
        </is>
      </c>
      <c r="C364" t="inlineStr">
        <is>
          <t>Föryngringsavverkning</t>
        </is>
      </c>
      <c r="D364" s="1" t="n">
        <v>45597</v>
      </c>
      <c r="E364" s="1" t="n">
        <v>46319</v>
      </c>
      <c r="F364" t="inlineStr">
        <is>
          <t>DALARNAS LÄN</t>
        </is>
      </c>
      <c r="G364" t="inlineStr">
        <is>
          <t>LUDVIKA</t>
        </is>
      </c>
      <c r="H364" t="inlineStr">
        <is>
          <t>Bergvik skog väst AB</t>
        </is>
      </c>
      <c r="I364" t="n">
        <v>20.9</v>
      </c>
      <c r="J364" t="n">
        <v>3</v>
      </c>
      <c r="K364" t="n">
        <v>0</v>
      </c>
      <c r="L364" t="n">
        <v>4</v>
      </c>
      <c r="M364" t="n">
        <v>2</v>
      </c>
      <c r="N364" t="n">
        <v>0</v>
      </c>
      <c r="O364" t="n">
        <v>0</v>
      </c>
      <c r="P364" t="n">
        <v>0</v>
      </c>
      <c r="Q364" t="n">
        <v>6</v>
      </c>
      <c r="R364" t="n">
        <v>2</v>
      </c>
      <c r="S364" t="n">
        <v>8</v>
      </c>
      <c r="T364" t="n">
        <v>28</v>
      </c>
      <c r="U364" t="n">
        <v>17</v>
      </c>
      <c r="V364" s="2" t="inlineStr">
        <is>
          <t>Garnlav
Mörk kådsvartspik
Dropptaggsvamp
Gammelgransskål
Stjärntagging
Tretåig hackspett
Järpe
Spillkråka</t>
        </is>
      </c>
      <c r="W364">
        <f>HYPERLINK("https://klasma.github.io/Logging_2085/artfynd/A 49783-2024 artfynd.xlsx", "A 49783-2024")</f>
        <v/>
      </c>
      <c r="X364">
        <f>HYPERLINK("https://klasma.github.io/Logging_2085/kartor/A 49783-2024 karta.png", "A 49783-2024")</f>
        <v/>
      </c>
      <c r="Y364">
        <f>HYPERLINK("https://klasma.github.io/Logging_2085/kartor_geotiff/A 49783-2024 georefererad karta.tif", "A 49783-2024")</f>
        <v/>
      </c>
      <c r="AA364">
        <f>HYPERLINK("https://klasma.github.io/Logging_2085/klagomål/A 49783-2024 FSC-klagomål.docx", "A 49783-2024")</f>
        <v/>
      </c>
      <c r="AB364">
        <f>HYPERLINK("https://klasma.github.io/Logging_2085/klagomålsmail/A 49783-2024 FSC-klagomål mail.docx", "A 49783-2024")</f>
        <v/>
      </c>
      <c r="AC364">
        <f>HYPERLINK("https://klasma.github.io/Logging_2085/tillsyn/A 49783-2024 tillsynsbegäran.docx", "A 49783-2024")</f>
        <v/>
      </c>
      <c r="AD364">
        <f>HYPERLINK("https://klasma.github.io/Logging_2085/tillsynsmail/A 49783-2024 tillsynsbegäran mail.docx", "A 49783-2024")</f>
        <v/>
      </c>
      <c r="AE364">
        <f>HYPERLINK("https://klasma.github.io/Logging_2085/fåglar/A 49783-2024 prioriterade fågelarter.docx", "A 49783-2024")</f>
        <v/>
      </c>
    </row>
    <row r="365" ht="15" customHeight="1">
      <c r="A365" t="inlineStr">
        <is>
          <t>A 18485-2026</t>
        </is>
      </c>
      <c r="B365" t="inlineStr">
        <is>
          <t>avverkningsanmälan</t>
        </is>
      </c>
      <c r="C365" t="inlineStr">
        <is>
          <t>Föryngringsavverkning</t>
        </is>
      </c>
      <c r="D365" s="1" t="n">
        <v>46127</v>
      </c>
      <c r="E365" s="1" t="n">
        <v>46319</v>
      </c>
      <c r="F365" t="inlineStr">
        <is>
          <t>DALARNAS LÄN</t>
        </is>
      </c>
      <c r="G365" t="inlineStr">
        <is>
          <t>GAGNEF</t>
        </is>
      </c>
      <c r="I365" t="n">
        <v>9.4</v>
      </c>
      <c r="J365" t="n">
        <v>3</v>
      </c>
      <c r="K365" t="n">
        <v>1</v>
      </c>
      <c r="L365" t="n">
        <v>4</v>
      </c>
      <c r="M365" t="n">
        <v>1</v>
      </c>
      <c r="N365" t="n">
        <v>0</v>
      </c>
      <c r="O365" t="n">
        <v>0</v>
      </c>
      <c r="P365" t="n">
        <v>0</v>
      </c>
      <c r="Q365" t="n">
        <v>5</v>
      </c>
      <c r="R365" t="n">
        <v>1</v>
      </c>
      <c r="S365" t="n">
        <v>8</v>
      </c>
      <c r="T365" t="n">
        <v>41</v>
      </c>
      <c r="U365" t="n">
        <v>15</v>
      </c>
      <c r="V365" s="2" t="inlineStr">
        <is>
          <t>Garnlav
Gammelgransskål
Kattfotslav
Tretåig hackspett
Ullticka
Vedticka
Spillkråka
Tjäder</t>
        </is>
      </c>
      <c r="W365">
        <f>HYPERLINK("https://klasma.github.io/Logging_2026/artfynd/A 18485-2026 artfynd.xlsx", "A 18485-2026")</f>
        <v/>
      </c>
      <c r="X365">
        <f>HYPERLINK("https://klasma.github.io/Logging_2026/kartor/A 18485-2026 karta.png", "A 18485-2026")</f>
        <v/>
      </c>
      <c r="Y365">
        <f>HYPERLINK("https://klasma.github.io/Logging_2026/kartor_geotiff/A 18485-2026 georefererad karta.tif", "A 18485-2026")</f>
        <v/>
      </c>
      <c r="AA365">
        <f>HYPERLINK("https://klasma.github.io/Logging_2026/klagomål/A 18485-2026 FSC-klagomål.docx", "A 18485-2026")</f>
        <v/>
      </c>
      <c r="AB365">
        <f>HYPERLINK("https://klasma.github.io/Logging_2026/klagomålsmail/A 18485-2026 FSC-klagomål mail.docx", "A 18485-2026")</f>
        <v/>
      </c>
      <c r="AC365">
        <f>HYPERLINK("https://klasma.github.io/Logging_2026/tillsyn/A 18485-2026 tillsynsbegäran.docx", "A 18485-2026")</f>
        <v/>
      </c>
      <c r="AD365">
        <f>HYPERLINK("https://klasma.github.io/Logging_2026/tillsynsmail/A 18485-2026 tillsynsbegäran mail.docx", "A 18485-2026")</f>
        <v/>
      </c>
      <c r="AE365">
        <f>HYPERLINK("https://klasma.github.io/Logging_2026/fåglar/A 18485-2026 prioriterade fågelarter.docx", "A 18485-2026")</f>
        <v/>
      </c>
    </row>
    <row r="366" ht="15" customHeight="1">
      <c r="A366" t="inlineStr">
        <is>
          <t>A 62355-2022</t>
        </is>
      </c>
      <c r="B366" t="inlineStr">
        <is>
          <t>avverkningsanmälan</t>
        </is>
      </c>
      <c r="C366" t="inlineStr">
        <is>
          <t>Föryngringsavverkning</t>
        </is>
      </c>
      <c r="D366" s="1" t="n">
        <v>44923</v>
      </c>
      <c r="E366" s="1" t="n">
        <v>46319</v>
      </c>
      <c r="F366" t="inlineStr">
        <is>
          <t>DALARNAS LÄN</t>
        </is>
      </c>
      <c r="G366" t="inlineStr">
        <is>
          <t>ÄLVDALEN</t>
        </is>
      </c>
      <c r="I366" t="n">
        <v>4.3</v>
      </c>
      <c r="J366" t="n">
        <v>4</v>
      </c>
      <c r="K366" t="n">
        <v>1</v>
      </c>
      <c r="L366" t="n">
        <v>3</v>
      </c>
      <c r="M366" t="n">
        <v>2</v>
      </c>
      <c r="N366" t="n">
        <v>0</v>
      </c>
      <c r="O366" t="n">
        <v>0</v>
      </c>
      <c r="P366" t="n">
        <v>0</v>
      </c>
      <c r="Q366" t="n">
        <v>5</v>
      </c>
      <c r="R366" t="n">
        <v>2</v>
      </c>
      <c r="S366" t="n">
        <v>8</v>
      </c>
      <c r="T366" t="n">
        <v>15</v>
      </c>
      <c r="U366" t="n">
        <v>15</v>
      </c>
      <c r="V366" s="2" t="inlineStr">
        <is>
          <t>Garnlav
Knärot
Kortskaftad ärgspik
Tretåig hackspett
Ullticka
Källmossa
Tjäder
Revlummer</t>
        </is>
      </c>
      <c r="W366">
        <f>HYPERLINK("https://klasma.github.io/Logging_2039/artfynd/A 62355-2022 artfynd.xlsx", "A 62355-2022")</f>
        <v/>
      </c>
      <c r="X366">
        <f>HYPERLINK("https://klasma.github.io/Logging_2039/kartor/A 62355-2022 karta.png", "A 62355-2022")</f>
        <v/>
      </c>
      <c r="Y366">
        <f>HYPERLINK("https://klasma.github.io/Logging_2039/kartor_geotiff/A 62355-2022 georefererad karta.tif", "A 62355-2022")</f>
        <v/>
      </c>
      <c r="Z366">
        <f>HYPERLINK("https://klasma.github.io/Logging_2039/knärot/A 62355-2022 karta knärot.png", "A 62355-2022")</f>
        <v/>
      </c>
      <c r="AA366">
        <f>HYPERLINK("https://klasma.github.io/Logging_2039/klagomål/A 62355-2022 FSC-klagomål.docx", "A 62355-2022")</f>
        <v/>
      </c>
      <c r="AB366">
        <f>HYPERLINK("https://klasma.github.io/Logging_2039/klagomålsmail/A 62355-2022 FSC-klagomål mail.docx", "A 62355-2022")</f>
        <v/>
      </c>
      <c r="AC366">
        <f>HYPERLINK("https://klasma.github.io/Logging_2039/tillsyn/A 62355-2022 tillsynsbegäran.docx", "A 62355-2022")</f>
        <v/>
      </c>
      <c r="AD366">
        <f>HYPERLINK("https://klasma.github.io/Logging_2039/tillsynsmail/A 62355-2022 tillsynsbegäran mail.docx", "A 62355-2022")</f>
        <v/>
      </c>
      <c r="AE366">
        <f>HYPERLINK("https://klasma.github.io/Logging_2039/fåglar/A 62355-2022 prioriterade fågelarter.docx", "A 62355-2022")</f>
        <v/>
      </c>
    </row>
    <row r="367" ht="15" customHeight="1">
      <c r="A367" t="inlineStr">
        <is>
          <t>A 42971-2026</t>
        </is>
      </c>
      <c r="B367" t="inlineStr">
        <is>
          <t>avverkningsanmälan</t>
        </is>
      </c>
      <c r="C367" t="inlineStr">
        <is>
          <t>Föryngringsavverkning</t>
        </is>
      </c>
      <c r="D367" s="1" t="n">
        <v>46310</v>
      </c>
      <c r="E367" s="1" t="n">
        <v>46319</v>
      </c>
      <c r="F367" t="inlineStr">
        <is>
          <t>DALARNAS LÄN</t>
        </is>
      </c>
      <c r="G367" t="inlineStr">
        <is>
          <t>GAGNEF</t>
        </is>
      </c>
      <c r="I367" t="n">
        <v>19.4</v>
      </c>
      <c r="J367" t="n">
        <v>5</v>
      </c>
      <c r="K367" t="n">
        <v>1</v>
      </c>
      <c r="L367" t="n">
        <v>3</v>
      </c>
      <c r="M367" t="n">
        <v>2</v>
      </c>
      <c r="N367" t="n">
        <v>0</v>
      </c>
      <c r="O367" t="n">
        <v>0</v>
      </c>
      <c r="P367" t="n">
        <v>0</v>
      </c>
      <c r="Q367" t="n">
        <v>5</v>
      </c>
      <c r="R367" t="n">
        <v>2</v>
      </c>
      <c r="S367" t="n">
        <v>8</v>
      </c>
      <c r="T367" t="n">
        <v>53</v>
      </c>
      <c r="U367" t="n">
        <v>13</v>
      </c>
      <c r="V367" s="2" t="inlineStr">
        <is>
          <t>Garnlav
Knärot
Dropptaggsvamp
Tretåig hackspett
Ullticka
Plattlummer
Spillkråka
Tjäder</t>
        </is>
      </c>
      <c r="W367">
        <f>HYPERLINK("https://klasma.github.io/Logging_2026/artfynd/A 42971-2026 artfynd.xlsx", "A 42971-2026")</f>
        <v/>
      </c>
      <c r="X367">
        <f>HYPERLINK("https://klasma.github.io/Logging_2026/kartor/A 42971-2026 karta.png", "A 42971-2026")</f>
        <v/>
      </c>
      <c r="Y367">
        <f>HYPERLINK("https://klasma.github.io/Logging_2026/kartor_geotiff/A 42971-2026 georefererad karta.tif", "A 42971-2026")</f>
        <v/>
      </c>
      <c r="Z367">
        <f>HYPERLINK("https://klasma.github.io/Logging_2026/knärot/A 42971-2026 karta knärot.png", "A 42971-2026")</f>
        <v/>
      </c>
      <c r="AA367">
        <f>HYPERLINK("https://klasma.github.io/Logging_2026/klagomål/A 42971-2026 FSC-klagomål.docx", "A 42971-2026")</f>
        <v/>
      </c>
      <c r="AB367">
        <f>HYPERLINK("https://klasma.github.io/Logging_2026/klagomålsmail/A 42971-2026 FSC-klagomål mail.docx", "A 42971-2026")</f>
        <v/>
      </c>
      <c r="AC367">
        <f>HYPERLINK("https://klasma.github.io/Logging_2026/tillsyn/A 42971-2026 tillsynsbegäran.docx", "A 42971-2026")</f>
        <v/>
      </c>
      <c r="AD367">
        <f>HYPERLINK("https://klasma.github.io/Logging_2026/tillsynsmail/A 42971-2026 tillsynsbegäran mail.docx", "A 42971-2026")</f>
        <v/>
      </c>
      <c r="AE367">
        <f>HYPERLINK("https://klasma.github.io/Logging_2026/fåglar/A 42971-2026 prioriterade fågelarter.docx", "A 42971-2026")</f>
        <v/>
      </c>
    </row>
    <row r="368" ht="15" customHeight="1">
      <c r="A368" t="inlineStr">
        <is>
          <t>A 23658-2025</t>
        </is>
      </c>
      <c r="B368" t="inlineStr">
        <is>
          <t>avverkningsanmälan</t>
        </is>
      </c>
      <c r="C368" t="inlineStr">
        <is>
          <t>Föryngringsavverkning</t>
        </is>
      </c>
      <c r="D368" s="1" t="n">
        <v>45786</v>
      </c>
      <c r="E368" s="1" t="n">
        <v>46319</v>
      </c>
      <c r="F368" t="inlineStr">
        <is>
          <t>DALARNAS LÄN</t>
        </is>
      </c>
      <c r="G368" t="inlineStr">
        <is>
          <t>LUDVIKA</t>
        </is>
      </c>
      <c r="I368" t="n">
        <v>7.1</v>
      </c>
      <c r="J368" t="n">
        <v>7</v>
      </c>
      <c r="K368" t="n">
        <v>0</v>
      </c>
      <c r="L368" t="n">
        <v>5</v>
      </c>
      <c r="M368" t="n">
        <v>1</v>
      </c>
      <c r="N368" t="n">
        <v>0</v>
      </c>
      <c r="O368" t="n">
        <v>0</v>
      </c>
      <c r="P368" t="n">
        <v>0</v>
      </c>
      <c r="Q368" t="n">
        <v>6</v>
      </c>
      <c r="R368" t="n">
        <v>1</v>
      </c>
      <c r="S368" t="n">
        <v>8</v>
      </c>
      <c r="T368" t="n">
        <v>15</v>
      </c>
      <c r="U368" t="n">
        <v>14</v>
      </c>
      <c r="V368" s="2" t="inlineStr">
        <is>
          <t>Tornseglare
Entita
Fjällig taggsvamp s.str.
Grönsångare
Nordfladdermus
Talltita
Tjäder
Vattenfladdermus</t>
        </is>
      </c>
      <c r="W368">
        <f>HYPERLINK("https://klasma.github.io/Logging_2085/artfynd/A 23658-2025 artfynd.xlsx", "A 23658-2025")</f>
        <v/>
      </c>
      <c r="X368">
        <f>HYPERLINK("https://klasma.github.io/Logging_2085/kartor/A 23658-2025 karta.png", "A 23658-2025")</f>
        <v/>
      </c>
      <c r="Y368">
        <f>HYPERLINK("https://klasma.github.io/Logging_2085/kartor_geotiff/A 23658-2025 georefererad karta.tif", "A 23658-2025")</f>
        <v/>
      </c>
      <c r="AA368">
        <f>HYPERLINK("https://klasma.github.io/Logging_2085/klagomål/A 23658-2025 FSC-klagomål.docx", "A 23658-2025")</f>
        <v/>
      </c>
      <c r="AB368">
        <f>HYPERLINK("https://klasma.github.io/Logging_2085/klagomålsmail/A 23658-2025 FSC-klagomål mail.docx", "A 23658-2025")</f>
        <v/>
      </c>
      <c r="AC368">
        <f>HYPERLINK("https://klasma.github.io/Logging_2085/tillsyn/A 23658-2025 tillsynsbegäran.docx", "A 23658-2025")</f>
        <v/>
      </c>
      <c r="AD368">
        <f>HYPERLINK("https://klasma.github.io/Logging_2085/tillsynsmail/A 23658-2025 tillsynsbegäran mail.docx", "A 23658-2025")</f>
        <v/>
      </c>
      <c r="AE368">
        <f>HYPERLINK("https://klasma.github.io/Logging_2085/fåglar/A 23658-2025 prioriterade fågelarter.docx", "A 23658-2025")</f>
        <v/>
      </c>
    </row>
    <row r="369" ht="15" customHeight="1">
      <c r="A369" t="inlineStr">
        <is>
          <t>A 33963-2025</t>
        </is>
      </c>
      <c r="B369" t="inlineStr">
        <is>
          <t>avverkningsanmälan</t>
        </is>
      </c>
      <c r="C369" t="inlineStr">
        <is>
          <t>Föryngringsavverkning</t>
        </is>
      </c>
      <c r="D369" s="1" t="n">
        <v>45842</v>
      </c>
      <c r="E369" s="1" t="n">
        <v>46319</v>
      </c>
      <c r="F369" t="inlineStr">
        <is>
          <t>DALARNAS LÄN</t>
        </is>
      </c>
      <c r="G369" t="inlineStr">
        <is>
          <t>VANSBRO</t>
        </is>
      </c>
      <c r="I369" t="n">
        <v>3.2</v>
      </c>
      <c r="J369" t="n">
        <v>3</v>
      </c>
      <c r="K369" t="n">
        <v>1</v>
      </c>
      <c r="L369" t="n">
        <v>4</v>
      </c>
      <c r="M369" t="n">
        <v>2</v>
      </c>
      <c r="N369" t="n">
        <v>0</v>
      </c>
      <c r="O369" t="n">
        <v>0</v>
      </c>
      <c r="P369" t="n">
        <v>0</v>
      </c>
      <c r="Q369" t="n">
        <v>6</v>
      </c>
      <c r="R369" t="n">
        <v>2</v>
      </c>
      <c r="S369" t="n">
        <v>8</v>
      </c>
      <c r="T369" t="n">
        <v>18</v>
      </c>
      <c r="U369" t="n">
        <v>18</v>
      </c>
      <c r="V369" s="2" t="inlineStr">
        <is>
          <t>Garnlav
Knärot
Kattfotslav
Tretåig hackspett
Ullticka
Vedskivlav
Vedticka
Spillkråka</t>
        </is>
      </c>
      <c r="W369">
        <f>HYPERLINK("https://klasma.github.io/Logging_2021/artfynd/A 33963-2025 artfynd.xlsx", "A 33963-2025")</f>
        <v/>
      </c>
      <c r="X369">
        <f>HYPERLINK("https://klasma.github.io/Logging_2021/kartor/A 33963-2025 karta.png", "A 33963-2025")</f>
        <v/>
      </c>
      <c r="Y369">
        <f>HYPERLINK("https://klasma.github.io/Logging_2021/kartor_geotiff/A 33963-2025 georefererad karta.tif", "A 33963-2025")</f>
        <v/>
      </c>
      <c r="Z369">
        <f>HYPERLINK("https://klasma.github.io/Logging_2021/knärot/A 33963-2025 karta knärot.png", "A 33963-2025")</f>
        <v/>
      </c>
      <c r="AA369">
        <f>HYPERLINK("https://klasma.github.io/Logging_2021/klagomål/A 33963-2025 FSC-klagomål.docx", "A 33963-2025")</f>
        <v/>
      </c>
      <c r="AB369">
        <f>HYPERLINK("https://klasma.github.io/Logging_2021/klagomålsmail/A 33963-2025 FSC-klagomål mail.docx", "A 33963-2025")</f>
        <v/>
      </c>
      <c r="AC369">
        <f>HYPERLINK("https://klasma.github.io/Logging_2021/tillsyn/A 33963-2025 tillsynsbegäran.docx", "A 33963-2025")</f>
        <v/>
      </c>
      <c r="AD369">
        <f>HYPERLINK("https://klasma.github.io/Logging_2021/tillsynsmail/A 33963-2025 tillsynsbegäran mail.docx", "A 33963-2025")</f>
        <v/>
      </c>
      <c r="AE369">
        <f>HYPERLINK("https://klasma.github.io/Logging_2021/fåglar/A 33963-2025 prioriterade fågelarter.docx", "A 33963-2025")</f>
        <v/>
      </c>
    </row>
    <row r="370" ht="15" customHeight="1">
      <c r="A370" t="inlineStr">
        <is>
          <t>A 61259-2023</t>
        </is>
      </c>
      <c r="B370" t="inlineStr">
        <is>
          <t>avverkningsanmälan</t>
        </is>
      </c>
      <c r="C370" t="inlineStr">
        <is>
          <t>Föryngringsavverkning</t>
        </is>
      </c>
      <c r="D370" s="1" t="n">
        <v>45264</v>
      </c>
      <c r="E370" s="1" t="n">
        <v>46319</v>
      </c>
      <c r="F370" t="inlineStr">
        <is>
          <t>DALARNAS LÄN</t>
        </is>
      </c>
      <c r="G370" t="inlineStr">
        <is>
          <t>MORA</t>
        </is>
      </c>
      <c r="H370" t="inlineStr">
        <is>
          <t>Allmännings- och besparingsskogar</t>
        </is>
      </c>
      <c r="I370" t="n">
        <v>1</v>
      </c>
      <c r="J370" t="n">
        <v>1</v>
      </c>
      <c r="K370" t="n">
        <v>4</v>
      </c>
      <c r="L370" t="n">
        <v>2</v>
      </c>
      <c r="M370" t="n">
        <v>2</v>
      </c>
      <c r="N370" t="n">
        <v>0</v>
      </c>
      <c r="O370" t="n">
        <v>0</v>
      </c>
      <c r="P370" t="n">
        <v>0</v>
      </c>
      <c r="Q370" t="n">
        <v>4</v>
      </c>
      <c r="R370" t="n">
        <v>2</v>
      </c>
      <c r="S370" t="n">
        <v>8</v>
      </c>
      <c r="T370" t="n">
        <v>9</v>
      </c>
      <c r="U370" t="n">
        <v>9</v>
      </c>
      <c r="V370" s="2" t="inlineStr">
        <is>
          <t>Garnlav
Knärot
Brunpudrad nållav
Vitgrynig nållav
Bollvitmossa
Bronshjon
Thomsons trägnagare
Vågbandad barkbock</t>
        </is>
      </c>
      <c r="W370">
        <f>HYPERLINK("https://klasma.github.io/Logging_2062/artfynd/A 61259-2023 artfynd.xlsx", "A 61259-2023")</f>
        <v/>
      </c>
      <c r="X370">
        <f>HYPERLINK("https://klasma.github.io/Logging_2062/kartor/A 61259-2023 karta.png", "A 61259-2023")</f>
        <v/>
      </c>
      <c r="Y370">
        <f>HYPERLINK("https://klasma.github.io/Logging_2062/kartor_geotiff/A 61259-2023 georefererad karta.tif", "A 61259-2023")</f>
        <v/>
      </c>
      <c r="Z370">
        <f>HYPERLINK("https://klasma.github.io/Logging_2062/knärot/A 61259-2023 karta knärot.png", "A 61259-2023")</f>
        <v/>
      </c>
      <c r="AA370">
        <f>HYPERLINK("https://klasma.github.io/Logging_2062/klagomål/A 61259-2023 FSC-klagomål.docx", "A 61259-2023")</f>
        <v/>
      </c>
      <c r="AB370">
        <f>HYPERLINK("https://klasma.github.io/Logging_2062/klagomålsmail/A 61259-2023 FSC-klagomål mail.docx", "A 61259-2023")</f>
        <v/>
      </c>
      <c r="AC370">
        <f>HYPERLINK("https://klasma.github.io/Logging_2062/tillsyn/A 61259-2023 tillsynsbegäran.docx", "A 61259-2023")</f>
        <v/>
      </c>
      <c r="AD370">
        <f>HYPERLINK("https://klasma.github.io/Logging_2062/tillsynsmail/A 61259-2023 tillsynsbegäran mail.docx", "A 61259-2023")</f>
        <v/>
      </c>
    </row>
    <row r="371" ht="15" customHeight="1">
      <c r="A371" t="inlineStr">
        <is>
          <t>A 25404-2026</t>
        </is>
      </c>
      <c r="B371" t="inlineStr">
        <is>
          <t>avverkningsanmälan</t>
        </is>
      </c>
      <c r="C371" t="inlineStr">
        <is>
          <t>Föryngringsavverkning</t>
        </is>
      </c>
      <c r="D371" s="1" t="n">
        <v>46174</v>
      </c>
      <c r="E371" s="1" t="n">
        <v>46319</v>
      </c>
      <c r="F371" t="inlineStr">
        <is>
          <t>DALARNAS LÄN</t>
        </is>
      </c>
      <c r="G371" t="inlineStr">
        <is>
          <t>SMEDJEBACKEN</t>
        </is>
      </c>
      <c r="H371" t="inlineStr">
        <is>
          <t>Bergvik skog väst AB</t>
        </is>
      </c>
      <c r="I371" t="n">
        <v>46</v>
      </c>
      <c r="J371" t="n">
        <v>3</v>
      </c>
      <c r="K371" t="n">
        <v>1</v>
      </c>
      <c r="L371" t="n">
        <v>3</v>
      </c>
      <c r="M371" t="n">
        <v>0</v>
      </c>
      <c r="N371" t="n">
        <v>1</v>
      </c>
      <c r="O371" t="n">
        <v>0</v>
      </c>
      <c r="P371" t="n">
        <v>0</v>
      </c>
      <c r="Q371" t="n">
        <v>4</v>
      </c>
      <c r="R371" t="n">
        <v>1</v>
      </c>
      <c r="S371" t="n">
        <v>8</v>
      </c>
      <c r="T371" t="n">
        <v>8</v>
      </c>
      <c r="U371" t="n">
        <v>5</v>
      </c>
      <c r="V371" s="2" t="inlineStr">
        <is>
          <t>Pärluggla
Rynkskinn
Skogshare
Ullticka
Bronshjon
Nattskärra
Spillkråka
Sälg</t>
        </is>
      </c>
      <c r="W371">
        <f>HYPERLINK("https://klasma.github.io/Logging_2061/artfynd/A 25404-2026 artfynd.xlsx", "A 25404-2026")</f>
        <v/>
      </c>
      <c r="X371">
        <f>HYPERLINK("https://klasma.github.io/Logging_2061/kartor/A 25404-2026 karta.png", "A 25404-2026")</f>
        <v/>
      </c>
      <c r="Y371">
        <f>HYPERLINK("https://klasma.github.io/Logging_2061/kartor_geotiff/A 25404-2026 georefererad karta.tif", "A 25404-2026")</f>
        <v/>
      </c>
      <c r="AA371">
        <f>HYPERLINK("https://klasma.github.io/Logging_2061/klagomål/A 25404-2026 FSC-klagomål.docx", "A 25404-2026")</f>
        <v/>
      </c>
      <c r="AB371">
        <f>HYPERLINK("https://klasma.github.io/Logging_2061/klagomålsmail/A 25404-2026 FSC-klagomål mail.docx", "A 25404-2026")</f>
        <v/>
      </c>
      <c r="AC371">
        <f>HYPERLINK("https://klasma.github.io/Logging_2061/tillsyn/A 25404-2026 tillsynsbegäran.docx", "A 25404-2026")</f>
        <v/>
      </c>
      <c r="AD371">
        <f>HYPERLINK("https://klasma.github.io/Logging_2061/tillsynsmail/A 25404-2026 tillsynsbegäran mail.docx", "A 25404-2026")</f>
        <v/>
      </c>
      <c r="AE371">
        <f>HYPERLINK("https://klasma.github.io/Logging_2061/fåglar/A 25404-2026 prioriterade fågelarter.docx", "A 25404-2026")</f>
        <v/>
      </c>
    </row>
    <row r="372" ht="15" customHeight="1">
      <c r="A372" t="inlineStr">
        <is>
          <t>A 61660-2025</t>
        </is>
      </c>
      <c r="B372" t="inlineStr">
        <is>
          <t>avverkningsanmälan</t>
        </is>
      </c>
      <c r="C372" t="inlineStr">
        <is>
          <t>Föryngringsavverkning</t>
        </is>
      </c>
      <c r="D372" s="1" t="n">
        <v>46002</v>
      </c>
      <c r="E372" s="1" t="n">
        <v>46319</v>
      </c>
      <c r="F372" t="inlineStr">
        <is>
          <t>DALARNAS LÄN</t>
        </is>
      </c>
      <c r="G372" t="inlineStr">
        <is>
          <t>RÄTTVIK</t>
        </is>
      </c>
      <c r="I372" t="n">
        <v>9.699999999999999</v>
      </c>
      <c r="J372" t="n">
        <v>5</v>
      </c>
      <c r="K372" t="n">
        <v>1</v>
      </c>
      <c r="L372" t="n">
        <v>3</v>
      </c>
      <c r="M372" t="n">
        <v>1</v>
      </c>
      <c r="N372" t="n">
        <v>0</v>
      </c>
      <c r="O372" t="n">
        <v>0</v>
      </c>
      <c r="P372" t="n">
        <v>0</v>
      </c>
      <c r="Q372" t="n">
        <v>4</v>
      </c>
      <c r="R372" t="n">
        <v>1</v>
      </c>
      <c r="S372" t="n">
        <v>8</v>
      </c>
      <c r="T372" t="n">
        <v>36</v>
      </c>
      <c r="U372" t="n">
        <v>36</v>
      </c>
      <c r="V372" s="2" t="inlineStr">
        <is>
          <t>Garnlav
Blanksvart spiklav
Blågrå svartspik
Tretåig hackspett
Plattlummer
Mattlummer
Tjäder
Revlummer</t>
        </is>
      </c>
      <c r="W372">
        <f>HYPERLINK("https://klasma.github.io/Logging_2031/artfynd/A 61660-2025 artfynd.xlsx", "A 61660-2025")</f>
        <v/>
      </c>
      <c r="X372">
        <f>HYPERLINK("https://klasma.github.io/Logging_2031/kartor/A 61660-2025 karta.png", "A 61660-2025")</f>
        <v/>
      </c>
      <c r="Y372">
        <f>HYPERLINK("https://klasma.github.io/Logging_2031/kartor_geotiff/A 61660-2025 georefererad karta.tif", "A 61660-2025")</f>
        <v/>
      </c>
      <c r="AA372">
        <f>HYPERLINK("https://klasma.github.io/Logging_2031/klagomål/A 61660-2025 FSC-klagomål.docx", "A 61660-2025")</f>
        <v/>
      </c>
      <c r="AB372">
        <f>HYPERLINK("https://klasma.github.io/Logging_2031/klagomålsmail/A 61660-2025 FSC-klagomål mail.docx", "A 61660-2025")</f>
        <v/>
      </c>
      <c r="AC372">
        <f>HYPERLINK("https://klasma.github.io/Logging_2031/tillsyn/A 61660-2025 tillsynsbegäran.docx", "A 61660-2025")</f>
        <v/>
      </c>
      <c r="AD372">
        <f>HYPERLINK("https://klasma.github.io/Logging_2031/tillsynsmail/A 61660-2025 tillsynsbegäran mail.docx", "A 61660-2025")</f>
        <v/>
      </c>
      <c r="AE372">
        <f>HYPERLINK("https://klasma.github.io/Logging_2031/fåglar/A 61660-2025 prioriterade fågelarter.docx", "A 61660-2025")</f>
        <v/>
      </c>
    </row>
    <row r="373" ht="15" customHeight="1">
      <c r="A373" t="inlineStr">
        <is>
          <t>A 50070-2025</t>
        </is>
      </c>
      <c r="B373" t="inlineStr">
        <is>
          <t>avverkningsanmälan</t>
        </is>
      </c>
      <c r="C373" t="inlineStr">
        <is>
          <t>Föryngringsavverkning</t>
        </is>
      </c>
      <c r="D373" s="1" t="n">
        <v>45943</v>
      </c>
      <c r="E373" s="1" t="n">
        <v>46319</v>
      </c>
      <c r="F373" t="inlineStr">
        <is>
          <t>DALARNAS LÄN</t>
        </is>
      </c>
      <c r="G373" t="inlineStr">
        <is>
          <t>ÄLVDALEN</t>
        </is>
      </c>
      <c r="H373" t="inlineStr">
        <is>
          <t>Allmännings- och besparingsskogar</t>
        </is>
      </c>
      <c r="I373" t="n">
        <v>2.6</v>
      </c>
      <c r="J373" t="n">
        <v>3</v>
      </c>
      <c r="K373" t="n">
        <v>0</v>
      </c>
      <c r="L373" t="n">
        <v>5</v>
      </c>
      <c r="M373" t="n">
        <v>1</v>
      </c>
      <c r="N373" t="n">
        <v>0</v>
      </c>
      <c r="O373" t="n">
        <v>0</v>
      </c>
      <c r="P373" t="n">
        <v>0</v>
      </c>
      <c r="Q373" t="n">
        <v>6</v>
      </c>
      <c r="R373" t="n">
        <v>1</v>
      </c>
      <c r="S373" t="n">
        <v>8</v>
      </c>
      <c r="T373" t="n">
        <v>20</v>
      </c>
      <c r="U373" t="n">
        <v>20</v>
      </c>
      <c r="V373" s="2" t="inlineStr">
        <is>
          <t>Garnlav
Kolflarnlav
Mörk kolflarnlav
Tallticka
Varglav
Vedskivlav
Spillkråka
Tjäder</t>
        </is>
      </c>
      <c r="W373">
        <f>HYPERLINK("https://klasma.github.io/Logging_2039/artfynd/A 50070-2025 artfynd.xlsx", "A 50070-2025")</f>
        <v/>
      </c>
      <c r="X373">
        <f>HYPERLINK("https://klasma.github.io/Logging_2039/kartor/A 50070-2025 karta.png", "A 50070-2025")</f>
        <v/>
      </c>
      <c r="Y373">
        <f>HYPERLINK("https://klasma.github.io/Logging_2039/kartor_geotiff/A 50070-2025 georefererad karta.tif", "A 50070-2025")</f>
        <v/>
      </c>
      <c r="AA373">
        <f>HYPERLINK("https://klasma.github.io/Logging_2039/klagomål/A 50070-2025 FSC-klagomål.docx", "A 50070-2025")</f>
        <v/>
      </c>
      <c r="AB373">
        <f>HYPERLINK("https://klasma.github.io/Logging_2039/klagomålsmail/A 50070-2025 FSC-klagomål mail.docx", "A 50070-2025")</f>
        <v/>
      </c>
      <c r="AC373">
        <f>HYPERLINK("https://klasma.github.io/Logging_2039/tillsyn/A 50070-2025 tillsynsbegäran.docx", "A 50070-2025")</f>
        <v/>
      </c>
      <c r="AD373">
        <f>HYPERLINK("https://klasma.github.io/Logging_2039/tillsynsmail/A 50070-2025 tillsynsbegäran mail.docx", "A 50070-2025")</f>
        <v/>
      </c>
      <c r="AE373">
        <f>HYPERLINK("https://klasma.github.io/Logging_2039/fåglar/A 50070-2025 prioriterade fågelarter.docx", "A 50070-2025")</f>
        <v/>
      </c>
    </row>
    <row r="374" ht="15" customHeight="1">
      <c r="A374" t="inlineStr">
        <is>
          <t>A 62829-2025</t>
        </is>
      </c>
      <c r="B374" t="inlineStr">
        <is>
          <t>avverkningsanmälan</t>
        </is>
      </c>
      <c r="C374" t="inlineStr">
        <is>
          <t>Föryngringsavverkning</t>
        </is>
      </c>
      <c r="D374" s="1" t="n">
        <v>46008</v>
      </c>
      <c r="E374" s="1" t="n">
        <v>46319</v>
      </c>
      <c r="F374" t="inlineStr">
        <is>
          <t>DALARNAS LÄN</t>
        </is>
      </c>
      <c r="G374" t="inlineStr">
        <is>
          <t>ORSA</t>
        </is>
      </c>
      <c r="I374" t="n">
        <v>10.4</v>
      </c>
      <c r="J374" t="n">
        <v>3</v>
      </c>
      <c r="K374" t="n">
        <v>1</v>
      </c>
      <c r="L374" t="n">
        <v>4</v>
      </c>
      <c r="M374" t="n">
        <v>1</v>
      </c>
      <c r="N374" t="n">
        <v>0</v>
      </c>
      <c r="O374" t="n">
        <v>0</v>
      </c>
      <c r="P374" t="n">
        <v>0</v>
      </c>
      <c r="Q374" t="n">
        <v>5</v>
      </c>
      <c r="R374" t="n">
        <v>1</v>
      </c>
      <c r="S374" t="n">
        <v>8</v>
      </c>
      <c r="T374" t="n">
        <v>32</v>
      </c>
      <c r="U374" t="n">
        <v>32</v>
      </c>
      <c r="V374" s="2" t="inlineStr">
        <is>
          <t>Garnlav
Blanksvart spiklav
Mörk kolflarnlav
Tallticka
Tretåig hackspett
Mindre märgborre
Spillkråka
Tjäder</t>
        </is>
      </c>
      <c r="W374">
        <f>HYPERLINK("https://klasma.github.io/Logging_2034/artfynd/A 62829-2025 artfynd.xlsx", "A 62829-2025")</f>
        <v/>
      </c>
      <c r="X374">
        <f>HYPERLINK("https://klasma.github.io/Logging_2034/kartor/A 62829-2025 karta.png", "A 62829-2025")</f>
        <v/>
      </c>
      <c r="Y374">
        <f>HYPERLINK("https://klasma.github.io/Logging_2034/kartor_geotiff/A 62829-2025 georefererad karta.tif", "A 62829-2025")</f>
        <v/>
      </c>
      <c r="AA374">
        <f>HYPERLINK("https://klasma.github.io/Logging_2034/klagomål/A 62829-2025 FSC-klagomål.docx", "A 62829-2025")</f>
        <v/>
      </c>
      <c r="AB374">
        <f>HYPERLINK("https://klasma.github.io/Logging_2034/klagomålsmail/A 62829-2025 FSC-klagomål mail.docx", "A 62829-2025")</f>
        <v/>
      </c>
      <c r="AC374">
        <f>HYPERLINK("https://klasma.github.io/Logging_2034/tillsyn/A 62829-2025 tillsynsbegäran.docx", "A 62829-2025")</f>
        <v/>
      </c>
      <c r="AD374">
        <f>HYPERLINK("https://klasma.github.io/Logging_2034/tillsynsmail/A 62829-2025 tillsynsbegäran mail.docx", "A 62829-2025")</f>
        <v/>
      </c>
      <c r="AE374">
        <f>HYPERLINK("https://klasma.github.io/Logging_2034/fåglar/A 62829-2025 prioriterade fågelarter.docx", "A 62829-2025")</f>
        <v/>
      </c>
    </row>
    <row r="375" ht="15" customHeight="1">
      <c r="A375" t="inlineStr">
        <is>
          <t>A 62154-2025</t>
        </is>
      </c>
      <c r="B375" t="inlineStr">
        <is>
          <t>avverkningsanmälan</t>
        </is>
      </c>
      <c r="C375" t="inlineStr">
        <is>
          <t>Föryngringsavverkning</t>
        </is>
      </c>
      <c r="D375" s="1" t="n">
        <v>46006</v>
      </c>
      <c r="E375" s="1" t="n">
        <v>46319</v>
      </c>
      <c r="F375" t="inlineStr">
        <is>
          <t>DALARNAS LÄN</t>
        </is>
      </c>
      <c r="G375" t="inlineStr">
        <is>
          <t>MORA</t>
        </is>
      </c>
      <c r="I375" t="n">
        <v>7.2</v>
      </c>
      <c r="J375" t="n">
        <v>4</v>
      </c>
      <c r="K375" t="n">
        <v>3</v>
      </c>
      <c r="L375" t="n">
        <v>2</v>
      </c>
      <c r="M375" t="n">
        <v>1</v>
      </c>
      <c r="N375" t="n">
        <v>0</v>
      </c>
      <c r="O375" t="n">
        <v>0</v>
      </c>
      <c r="P375" t="n">
        <v>0</v>
      </c>
      <c r="Q375" t="n">
        <v>3</v>
      </c>
      <c r="R375" t="n">
        <v>1</v>
      </c>
      <c r="S375" t="n">
        <v>8</v>
      </c>
      <c r="T375" t="n">
        <v>72</v>
      </c>
      <c r="U375" t="n">
        <v>72</v>
      </c>
      <c r="V375" s="2" t="inlineStr">
        <is>
          <t>Garnlav
Talltita
Tretåig hackspett
Bronshjon
Mindre märgborre
Vågbandad barkbock
Spillkråka
Tjäder</t>
        </is>
      </c>
      <c r="W375">
        <f>HYPERLINK("https://klasma.github.io/Logging_2062/artfynd/A 62154-2025 artfynd.xlsx", "A 62154-2025")</f>
        <v/>
      </c>
      <c r="X375">
        <f>HYPERLINK("https://klasma.github.io/Logging_2062/kartor/A 62154-2025 karta.png", "A 62154-2025")</f>
        <v/>
      </c>
      <c r="Y375">
        <f>HYPERLINK("https://klasma.github.io/Logging_2062/kartor_geotiff/A 62154-2025 georefererad karta.tif", "A 62154-2025")</f>
        <v/>
      </c>
      <c r="AA375">
        <f>HYPERLINK("https://klasma.github.io/Logging_2062/klagomål/A 62154-2025 FSC-klagomål.docx", "A 62154-2025")</f>
        <v/>
      </c>
      <c r="AB375">
        <f>HYPERLINK("https://klasma.github.io/Logging_2062/klagomålsmail/A 62154-2025 FSC-klagomål mail.docx", "A 62154-2025")</f>
        <v/>
      </c>
      <c r="AC375">
        <f>HYPERLINK("https://klasma.github.io/Logging_2062/tillsyn/A 62154-2025 tillsynsbegäran.docx", "A 62154-2025")</f>
        <v/>
      </c>
      <c r="AD375">
        <f>HYPERLINK("https://klasma.github.io/Logging_2062/tillsynsmail/A 62154-2025 tillsynsbegäran mail.docx", "A 62154-2025")</f>
        <v/>
      </c>
      <c r="AE375">
        <f>HYPERLINK("https://klasma.github.io/Logging_2062/fåglar/A 62154-2025 prioriterade fågelarter.docx", "A 62154-2025")</f>
        <v/>
      </c>
    </row>
    <row r="376" ht="15" customHeight="1">
      <c r="A376" t="inlineStr">
        <is>
          <t>A 33380-2025</t>
        </is>
      </c>
      <c r="B376" t="inlineStr">
        <is>
          <t>avverkningsanmälan</t>
        </is>
      </c>
      <c r="C376" t="inlineStr">
        <is>
          <t>Föryngringsavverkning</t>
        </is>
      </c>
      <c r="D376" s="1" t="n">
        <v>45841</v>
      </c>
      <c r="E376" s="1" t="n">
        <v>46319</v>
      </c>
      <c r="F376" t="inlineStr">
        <is>
          <t>DALARNAS LÄN</t>
        </is>
      </c>
      <c r="G376" t="inlineStr">
        <is>
          <t>MORA</t>
        </is>
      </c>
      <c r="I376" t="n">
        <v>6.6</v>
      </c>
      <c r="J376" t="n">
        <v>5</v>
      </c>
      <c r="K376" t="n">
        <v>1</v>
      </c>
      <c r="L376" t="n">
        <v>4</v>
      </c>
      <c r="M376" t="n">
        <v>1</v>
      </c>
      <c r="N376" t="n">
        <v>0</v>
      </c>
      <c r="O376" t="n">
        <v>0</v>
      </c>
      <c r="P376" t="n">
        <v>0</v>
      </c>
      <c r="Q376" t="n">
        <v>5</v>
      </c>
      <c r="R376" t="n">
        <v>1</v>
      </c>
      <c r="S376" t="n">
        <v>8</v>
      </c>
      <c r="T376" t="n">
        <v>45</v>
      </c>
      <c r="U376" t="n">
        <v>45</v>
      </c>
      <c r="V376" s="2" t="inlineStr">
        <is>
          <t>Garnlav
Rödvingetrast
Talltita
Tretåig hackspett
Ullticka
Mindre märgborre
Spillkråka
Revlummer</t>
        </is>
      </c>
      <c r="W376">
        <f>HYPERLINK("https://klasma.github.io/Logging_2062/artfynd/A 33380-2025 artfynd.xlsx", "A 33380-2025")</f>
        <v/>
      </c>
      <c r="X376">
        <f>HYPERLINK("https://klasma.github.io/Logging_2062/kartor/A 33380-2025 karta.png", "A 33380-2025")</f>
        <v/>
      </c>
      <c r="Y376">
        <f>HYPERLINK("https://klasma.github.io/Logging_2062/kartor_geotiff/A 33380-2025 georefererad karta.tif", "A 33380-2025")</f>
        <v/>
      </c>
      <c r="AA376">
        <f>HYPERLINK("https://klasma.github.io/Logging_2062/klagomål/A 33380-2025 FSC-klagomål.docx", "A 33380-2025")</f>
        <v/>
      </c>
      <c r="AB376">
        <f>HYPERLINK("https://klasma.github.io/Logging_2062/klagomålsmail/A 33380-2025 FSC-klagomål mail.docx", "A 33380-2025")</f>
        <v/>
      </c>
      <c r="AC376">
        <f>HYPERLINK("https://klasma.github.io/Logging_2062/tillsyn/A 33380-2025 tillsynsbegäran.docx", "A 33380-2025")</f>
        <v/>
      </c>
      <c r="AD376">
        <f>HYPERLINK("https://klasma.github.io/Logging_2062/tillsynsmail/A 33380-2025 tillsynsbegäran mail.docx", "A 33380-2025")</f>
        <v/>
      </c>
      <c r="AE376">
        <f>HYPERLINK("https://klasma.github.io/Logging_2062/fåglar/A 33380-2025 prioriterade fågelarter.docx", "A 33380-2025")</f>
        <v/>
      </c>
    </row>
    <row r="377" ht="15" customHeight="1">
      <c r="A377" t="inlineStr">
        <is>
          <t>A 6640-2026</t>
        </is>
      </c>
      <c r="B377" t="inlineStr">
        <is>
          <t>avverkningsanmälan</t>
        </is>
      </c>
      <c r="C377" t="inlineStr">
        <is>
          <t>Föryngringsavverkning</t>
        </is>
      </c>
      <c r="D377" s="1" t="n">
        <v>46052</v>
      </c>
      <c r="E377" s="1" t="n">
        <v>46319</v>
      </c>
      <c r="F377" t="inlineStr">
        <is>
          <t>DALARNAS LÄN</t>
        </is>
      </c>
      <c r="G377" t="inlineStr">
        <is>
          <t>VANSBRO</t>
        </is>
      </c>
      <c r="I377" t="n">
        <v>5.4</v>
      </c>
      <c r="J377" t="n">
        <v>1</v>
      </c>
      <c r="K377" t="n">
        <v>2</v>
      </c>
      <c r="L377" t="n">
        <v>4</v>
      </c>
      <c r="M377" t="n">
        <v>1</v>
      </c>
      <c r="N377" t="n">
        <v>0</v>
      </c>
      <c r="O377" t="n">
        <v>0</v>
      </c>
      <c r="P377" t="n">
        <v>0</v>
      </c>
      <c r="Q377" t="n">
        <v>5</v>
      </c>
      <c r="R377" t="n">
        <v>1</v>
      </c>
      <c r="S377" t="n">
        <v>8</v>
      </c>
      <c r="T377" t="n">
        <v>35</v>
      </c>
      <c r="U377" t="n">
        <v>0</v>
      </c>
      <c r="V377" s="2" t="inlineStr">
        <is>
          <t>Garnlav
Dvärgbägarlav
Mörk kolflarnlav
Tallticka
Vedskivlav
Mindre märgborre
Nästlav
Tjäder</t>
        </is>
      </c>
      <c r="W377">
        <f>HYPERLINK("https://klasma.github.io/Logging_2021/artfynd/A 6640-2026 artfynd.xlsx", "A 6640-2026")</f>
        <v/>
      </c>
      <c r="X377">
        <f>HYPERLINK("https://klasma.github.io/Logging_2021/kartor/A 6640-2026 karta.png", "A 6640-2026")</f>
        <v/>
      </c>
      <c r="Y377">
        <f>HYPERLINK("https://klasma.github.io/Logging_2021/kartor_geotiff/A 6640-2026 georefererad karta.tif", "A 6640-2026")</f>
        <v/>
      </c>
      <c r="AA377">
        <f>HYPERLINK("https://klasma.github.io/Logging_2021/klagomål/A 6640-2026 FSC-klagomål.docx", "A 6640-2026")</f>
        <v/>
      </c>
      <c r="AB377">
        <f>HYPERLINK("https://klasma.github.io/Logging_2021/klagomålsmail/A 6640-2026 FSC-klagomål mail.docx", "A 6640-2026")</f>
        <v/>
      </c>
      <c r="AC377">
        <f>HYPERLINK("https://klasma.github.io/Logging_2021/tillsyn/A 6640-2026 tillsynsbegäran.docx", "A 6640-2026")</f>
        <v/>
      </c>
      <c r="AD377">
        <f>HYPERLINK("https://klasma.github.io/Logging_2021/tillsynsmail/A 6640-2026 tillsynsbegäran mail.docx", "A 6640-2026")</f>
        <v/>
      </c>
      <c r="AE377">
        <f>HYPERLINK("https://klasma.github.io/Logging_2021/fåglar/A 6640-2026 prioriterade fågelarter.docx", "A 6640-2026")</f>
        <v/>
      </c>
    </row>
    <row r="378" ht="15" customHeight="1">
      <c r="A378" t="inlineStr">
        <is>
          <t>A 36311-2026</t>
        </is>
      </c>
      <c r="B378" t="inlineStr">
        <is>
          <t>avverkningsanmälan</t>
        </is>
      </c>
      <c r="C378" t="inlineStr">
        <is>
          <t>Föryngringsavverkning</t>
        </is>
      </c>
      <c r="D378" s="1" t="n">
        <v>46268</v>
      </c>
      <c r="E378" s="1" t="n">
        <v>46319</v>
      </c>
      <c r="F378" t="inlineStr">
        <is>
          <t>DALARNAS LÄN</t>
        </is>
      </c>
      <c r="G378" t="inlineStr">
        <is>
          <t>ORSA</t>
        </is>
      </c>
      <c r="H378" t="inlineStr">
        <is>
          <t>Allmännings- och besparingsskogar</t>
        </is>
      </c>
      <c r="I378" t="n">
        <v>2.3</v>
      </c>
      <c r="J378" t="n">
        <v>4</v>
      </c>
      <c r="K378" t="n">
        <v>1</v>
      </c>
      <c r="L378" t="n">
        <v>2</v>
      </c>
      <c r="M378" t="n">
        <v>2</v>
      </c>
      <c r="N378" t="n">
        <v>0</v>
      </c>
      <c r="O378" t="n">
        <v>0</v>
      </c>
      <c r="P378" t="n">
        <v>0</v>
      </c>
      <c r="Q378" t="n">
        <v>4</v>
      </c>
      <c r="R378" t="n">
        <v>2</v>
      </c>
      <c r="S378" t="n">
        <v>8</v>
      </c>
      <c r="T378" t="n">
        <v>18</v>
      </c>
      <c r="U378" t="n">
        <v>18</v>
      </c>
      <c r="V378" s="2" t="inlineStr">
        <is>
          <t>Garnlav
Sprickporing
Talltita
Tretåig hackspett
Bronshjon
Järpe
Timmerticka
Tofsmes</t>
        </is>
      </c>
      <c r="W378">
        <f>HYPERLINK("https://klasma.github.io/Logging_2034/artfynd/A 36311-2026 artfynd.xlsx", "A 36311-2026")</f>
        <v/>
      </c>
      <c r="X378">
        <f>HYPERLINK("https://klasma.github.io/Logging_2034/kartor/A 36311-2026 karta.png", "A 36311-2026")</f>
        <v/>
      </c>
      <c r="Y378">
        <f>HYPERLINK("https://klasma.github.io/Logging_2034/kartor_geotiff/A 36311-2026 georefererad karta.tif", "A 36311-2026")</f>
        <v/>
      </c>
      <c r="AA378">
        <f>HYPERLINK("https://klasma.github.io/Logging_2034/klagomål/A 36311-2026 FSC-klagomål.docx", "A 36311-2026")</f>
        <v/>
      </c>
      <c r="AB378">
        <f>HYPERLINK("https://klasma.github.io/Logging_2034/klagomålsmail/A 36311-2026 FSC-klagomål mail.docx", "A 36311-2026")</f>
        <v/>
      </c>
      <c r="AC378">
        <f>HYPERLINK("https://klasma.github.io/Logging_2034/tillsyn/A 36311-2026 tillsynsbegäran.docx", "A 36311-2026")</f>
        <v/>
      </c>
      <c r="AD378">
        <f>HYPERLINK("https://klasma.github.io/Logging_2034/tillsynsmail/A 36311-2026 tillsynsbegäran mail.docx", "A 36311-2026")</f>
        <v/>
      </c>
      <c r="AE378">
        <f>HYPERLINK("https://klasma.github.io/Logging_2034/fåglar/A 36311-2026 prioriterade fågelarter.docx", "A 36311-2026")</f>
        <v/>
      </c>
    </row>
    <row r="379" ht="15" customHeight="1">
      <c r="A379" t="inlineStr">
        <is>
          <t>A 57701-2025</t>
        </is>
      </c>
      <c r="B379" t="inlineStr">
        <is>
          <t>avverkningsanmälan</t>
        </is>
      </c>
      <c r="C379" t="inlineStr">
        <is>
          <t>Föryngringsavverkning</t>
        </is>
      </c>
      <c r="D379" s="1" t="n">
        <v>45981</v>
      </c>
      <c r="E379" s="1" t="n">
        <v>46319</v>
      </c>
      <c r="F379" t="inlineStr">
        <is>
          <t>DALARNAS LÄN</t>
        </is>
      </c>
      <c r="G379" t="inlineStr">
        <is>
          <t>LUDVIKA</t>
        </is>
      </c>
      <c r="H379" t="inlineStr">
        <is>
          <t>Bergvik skog väst AB</t>
        </is>
      </c>
      <c r="I379" t="n">
        <v>5.5</v>
      </c>
      <c r="J379" t="n">
        <v>6</v>
      </c>
      <c r="K379" t="n">
        <v>1</v>
      </c>
      <c r="L379" t="n">
        <v>3</v>
      </c>
      <c r="M379" t="n">
        <v>1</v>
      </c>
      <c r="N379" t="n">
        <v>0</v>
      </c>
      <c r="O379" t="n">
        <v>0</v>
      </c>
      <c r="P379" t="n">
        <v>0</v>
      </c>
      <c r="Q379" t="n">
        <v>4</v>
      </c>
      <c r="R379" t="n">
        <v>1</v>
      </c>
      <c r="S379" t="n">
        <v>8</v>
      </c>
      <c r="T379" t="n">
        <v>25</v>
      </c>
      <c r="U379" t="n">
        <v>24</v>
      </c>
      <c r="V379" s="2" t="inlineStr">
        <is>
          <t>Knärot
Kortskaftad ärgspik
Sparvuggla
Tretåig hackspett
Vedticka
Järpe
Spillkråka
Utter</t>
        </is>
      </c>
      <c r="W379">
        <f>HYPERLINK("https://klasma.github.io/Logging_2085/artfynd/A 57701-2025 artfynd.xlsx", "A 57701-2025")</f>
        <v/>
      </c>
      <c r="X379">
        <f>HYPERLINK("https://klasma.github.io/Logging_2085/kartor/A 57701-2025 karta.png", "A 57701-2025")</f>
        <v/>
      </c>
      <c r="Y379">
        <f>HYPERLINK("https://klasma.github.io/Logging_2085/kartor_geotiff/A 57701-2025 georefererad karta.tif", "A 57701-2025")</f>
        <v/>
      </c>
      <c r="Z379">
        <f>HYPERLINK("https://klasma.github.io/Logging_2085/knärot/A 57701-2025 karta knärot.png", "A 57701-2025")</f>
        <v/>
      </c>
      <c r="AA379">
        <f>HYPERLINK("https://klasma.github.io/Logging_2085/klagomål/A 57701-2025 FSC-klagomål.docx", "A 57701-2025")</f>
        <v/>
      </c>
      <c r="AB379">
        <f>HYPERLINK("https://klasma.github.io/Logging_2085/klagomålsmail/A 57701-2025 FSC-klagomål mail.docx", "A 57701-2025")</f>
        <v/>
      </c>
      <c r="AC379">
        <f>HYPERLINK("https://klasma.github.io/Logging_2085/tillsyn/A 57701-2025 tillsynsbegäran.docx", "A 57701-2025")</f>
        <v/>
      </c>
      <c r="AD379">
        <f>HYPERLINK("https://klasma.github.io/Logging_2085/tillsynsmail/A 57701-2025 tillsynsbegäran mail.docx", "A 57701-2025")</f>
        <v/>
      </c>
      <c r="AE379">
        <f>HYPERLINK("https://klasma.github.io/Logging_2085/fåglar/A 57701-2025 prioriterade fågelarter.docx", "A 57701-2025")</f>
        <v/>
      </c>
    </row>
    <row r="380" ht="15" customHeight="1">
      <c r="A380" t="inlineStr">
        <is>
          <t>A 35411-2025</t>
        </is>
      </c>
      <c r="B380" t="inlineStr">
        <is>
          <t>avverkningsanmälan</t>
        </is>
      </c>
      <c r="C380" t="inlineStr">
        <is>
          <t>Föryngringsavverkning</t>
        </is>
      </c>
      <c r="D380" s="1" t="n">
        <v>45855</v>
      </c>
      <c r="E380" s="1" t="n">
        <v>46319</v>
      </c>
      <c r="F380" t="inlineStr">
        <is>
          <t>DALARNAS LÄN</t>
        </is>
      </c>
      <c r="G380" t="inlineStr">
        <is>
          <t>SÄTER</t>
        </is>
      </c>
      <c r="I380" t="n">
        <v>8.4</v>
      </c>
      <c r="J380" t="n">
        <v>3</v>
      </c>
      <c r="K380" t="n">
        <v>1</v>
      </c>
      <c r="L380" t="n">
        <v>3</v>
      </c>
      <c r="M380" t="n">
        <v>2</v>
      </c>
      <c r="N380" t="n">
        <v>0</v>
      </c>
      <c r="O380" t="n">
        <v>0</v>
      </c>
      <c r="P380" t="n">
        <v>0</v>
      </c>
      <c r="Q380" t="n">
        <v>5</v>
      </c>
      <c r="R380" t="n">
        <v>2</v>
      </c>
      <c r="S380" t="n">
        <v>8</v>
      </c>
      <c r="T380" t="n">
        <v>24</v>
      </c>
      <c r="U380" t="n">
        <v>24</v>
      </c>
      <c r="V380" s="2" t="inlineStr">
        <is>
          <t>Knärot
Laxporing
Rosenticka
Rynkskinn
Ullticka
Trådticka
Spillkråka
Vanlig padda</t>
        </is>
      </c>
      <c r="W380">
        <f>HYPERLINK("https://klasma.github.io/Logging_2082/artfynd/A 35411-2025 artfynd.xlsx", "A 35411-2025")</f>
        <v/>
      </c>
      <c r="X380">
        <f>HYPERLINK("https://klasma.github.io/Logging_2082/kartor/A 35411-2025 karta.png", "A 35411-2025")</f>
        <v/>
      </c>
      <c r="Y380">
        <f>HYPERLINK("https://klasma.github.io/Logging_2082/kartor_geotiff/A 35411-2025 georefererad karta.tif", "A 35411-2025")</f>
        <v/>
      </c>
      <c r="Z380">
        <f>HYPERLINK("https://klasma.github.io/Logging_2082/knärot/A 35411-2025 karta knärot.png", "A 35411-2025")</f>
        <v/>
      </c>
      <c r="AA380">
        <f>HYPERLINK("https://klasma.github.io/Logging_2082/klagomål/A 35411-2025 FSC-klagomål.docx", "A 35411-2025")</f>
        <v/>
      </c>
      <c r="AB380">
        <f>HYPERLINK("https://klasma.github.io/Logging_2082/klagomålsmail/A 35411-2025 FSC-klagomål mail.docx", "A 35411-2025")</f>
        <v/>
      </c>
      <c r="AC380">
        <f>HYPERLINK("https://klasma.github.io/Logging_2082/tillsyn/A 35411-2025 tillsynsbegäran.docx", "A 35411-2025")</f>
        <v/>
      </c>
      <c r="AD380">
        <f>HYPERLINK("https://klasma.github.io/Logging_2082/tillsynsmail/A 35411-2025 tillsynsbegäran mail.docx", "A 35411-2025")</f>
        <v/>
      </c>
      <c r="AE380">
        <f>HYPERLINK("https://klasma.github.io/Logging_2082/fåglar/A 35411-2025 prioriterade fågelarter.docx", "A 35411-2025")</f>
        <v/>
      </c>
    </row>
    <row r="381" ht="15" customHeight="1">
      <c r="A381" t="inlineStr">
        <is>
          <t>A 1482-2026</t>
        </is>
      </c>
      <c r="B381" t="inlineStr">
        <is>
          <t>avverkningsanmälan</t>
        </is>
      </c>
      <c r="C381" t="inlineStr">
        <is>
          <t>Föryngringsavverkning</t>
        </is>
      </c>
      <c r="D381" s="1" t="n">
        <v>46033</v>
      </c>
      <c r="E381" s="1" t="n">
        <v>46319</v>
      </c>
      <c r="F381" t="inlineStr">
        <is>
          <t>DALARNAS LÄN</t>
        </is>
      </c>
      <c r="G381" t="inlineStr">
        <is>
          <t>MALUNG-SÄLEN</t>
        </is>
      </c>
      <c r="I381" t="n">
        <v>2.7</v>
      </c>
      <c r="J381" t="n">
        <v>3</v>
      </c>
      <c r="K381" t="n">
        <v>1</v>
      </c>
      <c r="L381" t="n">
        <v>3</v>
      </c>
      <c r="M381" t="n">
        <v>2</v>
      </c>
      <c r="N381" t="n">
        <v>0</v>
      </c>
      <c r="O381" t="n">
        <v>0</v>
      </c>
      <c r="P381" t="n">
        <v>0</v>
      </c>
      <c r="Q381" t="n">
        <v>5</v>
      </c>
      <c r="R381" t="n">
        <v>2</v>
      </c>
      <c r="S381" t="n">
        <v>8</v>
      </c>
      <c r="T381" t="n">
        <v>29</v>
      </c>
      <c r="U381" t="n">
        <v>29</v>
      </c>
      <c r="V381" s="2" t="inlineStr">
        <is>
          <t>Garnlav
Gränsticka
Rynkskinn
Tretåig hackspett
Ullticka
Vedticka
Spillkråka
Tjäder</t>
        </is>
      </c>
      <c r="W381">
        <f>HYPERLINK("https://klasma.github.io/Logging_2023/artfynd/A 1482-2026 artfynd.xlsx", "A 1482-2026")</f>
        <v/>
      </c>
      <c r="X381">
        <f>HYPERLINK("https://klasma.github.io/Logging_2023/kartor/A 1482-2026 karta.png", "A 1482-2026")</f>
        <v/>
      </c>
      <c r="Y381">
        <f>HYPERLINK("https://klasma.github.io/Logging_2023/kartor_geotiff/A 1482-2026 georefererad karta.tif", "A 1482-2026")</f>
        <v/>
      </c>
      <c r="AA381">
        <f>HYPERLINK("https://klasma.github.io/Logging_2023/klagomål/A 1482-2026 FSC-klagomål.docx", "A 1482-2026")</f>
        <v/>
      </c>
      <c r="AB381">
        <f>HYPERLINK("https://klasma.github.io/Logging_2023/klagomålsmail/A 1482-2026 FSC-klagomål mail.docx", "A 1482-2026")</f>
        <v/>
      </c>
      <c r="AC381">
        <f>HYPERLINK("https://klasma.github.io/Logging_2023/tillsyn/A 1482-2026 tillsynsbegäran.docx", "A 1482-2026")</f>
        <v/>
      </c>
      <c r="AD381">
        <f>HYPERLINK("https://klasma.github.io/Logging_2023/tillsynsmail/A 1482-2026 tillsynsbegäran mail.docx", "A 1482-2026")</f>
        <v/>
      </c>
      <c r="AE381">
        <f>HYPERLINK("https://klasma.github.io/Logging_2023/fåglar/A 1482-2026 prioriterade fågelarter.docx", "A 1482-2026")</f>
        <v/>
      </c>
    </row>
    <row r="382" ht="15" customHeight="1">
      <c r="A382" t="inlineStr">
        <is>
          <t>A 11125-2026</t>
        </is>
      </c>
      <c r="B382" t="inlineStr">
        <is>
          <t>avverkningsanmälan</t>
        </is>
      </c>
      <c r="C382" t="inlineStr">
        <is>
          <t>Föryngringsavverkning</t>
        </is>
      </c>
      <c r="D382" s="1" t="n">
        <v>46079</v>
      </c>
      <c r="E382" s="1" t="n">
        <v>46319</v>
      </c>
      <c r="F382" t="inlineStr">
        <is>
          <t>DALARNAS LÄN</t>
        </is>
      </c>
      <c r="G382" t="inlineStr">
        <is>
          <t>ÄLVDALEN</t>
        </is>
      </c>
      <c r="I382" t="n">
        <v>10.5</v>
      </c>
      <c r="J382" t="n">
        <v>2</v>
      </c>
      <c r="K382" t="n">
        <v>0</v>
      </c>
      <c r="L382" t="n">
        <v>6</v>
      </c>
      <c r="M382" t="n">
        <v>2</v>
      </c>
      <c r="N382" t="n">
        <v>0</v>
      </c>
      <c r="O382" t="n">
        <v>0</v>
      </c>
      <c r="P382" t="n">
        <v>0</v>
      </c>
      <c r="Q382" t="n">
        <v>8</v>
      </c>
      <c r="R382" t="n">
        <v>2</v>
      </c>
      <c r="S382" t="n">
        <v>8</v>
      </c>
      <c r="T382" t="n">
        <v>20</v>
      </c>
      <c r="U382" t="n">
        <v>20</v>
      </c>
      <c r="V382" s="2" t="inlineStr">
        <is>
          <t>Garnlav
Gräddporing
Kolflarnlav
Tretåig hackspett
Varglav
Vedflamlav
Vedskivlav
Violettgrå tagellav</t>
        </is>
      </c>
      <c r="W382">
        <f>HYPERLINK("https://klasma.github.io/Logging_2039/artfynd/A 11125-2026 artfynd.xlsx", "A 11125-2026")</f>
        <v/>
      </c>
      <c r="X382">
        <f>HYPERLINK("https://klasma.github.io/Logging_2039/kartor/A 11125-2026 karta.png", "A 11125-2026")</f>
        <v/>
      </c>
      <c r="Y382">
        <f>HYPERLINK("https://klasma.github.io/Logging_2039/kartor_geotiff/A 11125-2026 georefererad karta.tif", "A 11125-2026")</f>
        <v/>
      </c>
      <c r="AA382">
        <f>HYPERLINK("https://klasma.github.io/Logging_2039/klagomål/A 11125-2026 FSC-klagomål.docx", "A 11125-2026")</f>
        <v/>
      </c>
      <c r="AB382">
        <f>HYPERLINK("https://klasma.github.io/Logging_2039/klagomålsmail/A 11125-2026 FSC-klagomål mail.docx", "A 11125-2026")</f>
        <v/>
      </c>
      <c r="AC382">
        <f>HYPERLINK("https://klasma.github.io/Logging_2039/tillsyn/A 11125-2026 tillsynsbegäran.docx", "A 11125-2026")</f>
        <v/>
      </c>
      <c r="AD382">
        <f>HYPERLINK("https://klasma.github.io/Logging_2039/tillsynsmail/A 11125-2026 tillsynsbegäran mail.docx", "A 11125-2026")</f>
        <v/>
      </c>
      <c r="AE382">
        <f>HYPERLINK("https://klasma.github.io/Logging_2039/fåglar/A 11125-2026 prioriterade fågelarter.docx", "A 11125-2026")</f>
        <v/>
      </c>
    </row>
    <row r="383" ht="15" customHeight="1">
      <c r="A383" t="inlineStr">
        <is>
          <t>A 66887-2021</t>
        </is>
      </c>
      <c r="B383" t="inlineStr">
        <is>
          <t>avverkningsanmälan</t>
        </is>
      </c>
      <c r="C383" t="inlineStr">
        <is>
          <t>Föryngringsavverkning</t>
        </is>
      </c>
      <c r="D383" s="1" t="n">
        <v>44522</v>
      </c>
      <c r="E383" s="1" t="n">
        <v>46319</v>
      </c>
      <c r="F383" t="inlineStr">
        <is>
          <t>DALARNAS LÄN</t>
        </is>
      </c>
      <c r="G383" t="inlineStr">
        <is>
          <t>ÄLVDALEN</t>
        </is>
      </c>
      <c r="I383" t="n">
        <v>1.8</v>
      </c>
      <c r="J383" t="n">
        <v>7</v>
      </c>
      <c r="K383" t="n">
        <v>0</v>
      </c>
      <c r="L383" t="n">
        <v>1</v>
      </c>
      <c r="M383" t="n">
        <v>1</v>
      </c>
      <c r="N383" t="n">
        <v>0</v>
      </c>
      <c r="O383" t="n">
        <v>0</v>
      </c>
      <c r="P383" t="n">
        <v>0</v>
      </c>
      <c r="Q383" t="n">
        <v>2</v>
      </c>
      <c r="R383" t="n">
        <v>1</v>
      </c>
      <c r="S383" t="n">
        <v>8</v>
      </c>
      <c r="T383" t="n">
        <v>10</v>
      </c>
      <c r="U383" t="n">
        <v>10</v>
      </c>
      <c r="V383" s="2" t="inlineStr">
        <is>
          <t>Knärot
Järnsparv
Ormbär
Spillkråka
Tjäder
Vanlig groda
Fläcknycklar
Revlummer</t>
        </is>
      </c>
      <c r="W383">
        <f>HYPERLINK("https://klasma.github.io/Logging_2039/artfynd/A 66887-2021 artfynd.xlsx", "A 66887-2021")</f>
        <v/>
      </c>
      <c r="X383">
        <f>HYPERLINK("https://klasma.github.io/Logging_2039/kartor/A 66887-2021 karta.png", "A 66887-2021")</f>
        <v/>
      </c>
      <c r="Y383">
        <f>HYPERLINK("https://klasma.github.io/Logging_2039/kartor_geotiff/A 66887-2021 georefererad karta.tif", "A 66887-2021")</f>
        <v/>
      </c>
      <c r="Z383">
        <f>HYPERLINK("https://klasma.github.io/Logging_2039/knärot/A 66887-2021 karta knärot.png", "A 66887-2021")</f>
        <v/>
      </c>
      <c r="AA383">
        <f>HYPERLINK("https://klasma.github.io/Logging_2039/klagomål/A 66887-2021 FSC-klagomål.docx", "A 66887-2021")</f>
        <v/>
      </c>
      <c r="AB383">
        <f>HYPERLINK("https://klasma.github.io/Logging_2039/klagomålsmail/A 66887-2021 FSC-klagomål mail.docx", "A 66887-2021")</f>
        <v/>
      </c>
      <c r="AC383">
        <f>HYPERLINK("https://klasma.github.io/Logging_2039/tillsyn/A 66887-2021 tillsynsbegäran.docx", "A 66887-2021")</f>
        <v/>
      </c>
      <c r="AD383">
        <f>HYPERLINK("https://klasma.github.io/Logging_2039/tillsynsmail/A 66887-2021 tillsynsbegäran mail.docx", "A 66887-2021")</f>
        <v/>
      </c>
      <c r="AE383">
        <f>HYPERLINK("https://klasma.github.io/Logging_2039/fåglar/A 66887-2021 prioriterade fågelarter.docx", "A 66887-2021")</f>
        <v/>
      </c>
    </row>
    <row r="384" ht="15" customHeight="1">
      <c r="A384" t="inlineStr">
        <is>
          <t>A 65254-2023</t>
        </is>
      </c>
      <c r="B384" t="inlineStr">
        <is>
          <t>avverkningsanmälan</t>
        </is>
      </c>
      <c r="C384" t="inlineStr">
        <is>
          <t>Föryngringsavverkning</t>
        </is>
      </c>
      <c r="D384" s="1" t="n">
        <v>45290</v>
      </c>
      <c r="E384" s="1" t="n">
        <v>46319</v>
      </c>
      <c r="F384" t="inlineStr">
        <is>
          <t>DALARNAS LÄN</t>
        </is>
      </c>
      <c r="G384" t="inlineStr">
        <is>
          <t>BORLÄNGE</t>
        </is>
      </c>
      <c r="I384" t="n">
        <v>1.6</v>
      </c>
      <c r="J384" t="n">
        <v>1</v>
      </c>
      <c r="K384" t="n">
        <v>5</v>
      </c>
      <c r="L384" t="n">
        <v>1</v>
      </c>
      <c r="M384" t="n">
        <v>1</v>
      </c>
      <c r="N384" t="n">
        <v>0</v>
      </c>
      <c r="O384" t="n">
        <v>0</v>
      </c>
      <c r="P384" t="n">
        <v>0</v>
      </c>
      <c r="Q384" t="n">
        <v>2</v>
      </c>
      <c r="R384" t="n">
        <v>1</v>
      </c>
      <c r="S384" t="n">
        <v>8</v>
      </c>
      <c r="T384" t="n">
        <v>11</v>
      </c>
      <c r="U384" t="n">
        <v>11</v>
      </c>
      <c r="V384" s="2" t="inlineStr">
        <is>
          <t>Rostskinn
Vedtrappmossa
Björksplintborre
Blodticka
Bronshjon
Thomsons trägnagare
Vågbandad barkbock
Revlummer</t>
        </is>
      </c>
      <c r="W384">
        <f>HYPERLINK("https://klasma.github.io/Logging_2081/artfynd/A 65254-2023 artfynd.xlsx", "A 65254-2023")</f>
        <v/>
      </c>
      <c r="X384">
        <f>HYPERLINK("https://klasma.github.io/Logging_2081/kartor/A 65254-2023 karta.png", "A 65254-2023")</f>
        <v/>
      </c>
      <c r="Y384">
        <f>HYPERLINK("https://klasma.github.io/Logging_2081/kartor_geotiff/A 65254-2023 georefererad karta.tif", "A 65254-2023")</f>
        <v/>
      </c>
      <c r="AA384">
        <f>HYPERLINK("https://klasma.github.io/Logging_2081/klagomål/A 65254-2023 FSC-klagomål.docx", "A 65254-2023")</f>
        <v/>
      </c>
      <c r="AB384">
        <f>HYPERLINK("https://klasma.github.io/Logging_2081/klagomålsmail/A 65254-2023 FSC-klagomål mail.docx", "A 65254-2023")</f>
        <v/>
      </c>
      <c r="AC384">
        <f>HYPERLINK("https://klasma.github.io/Logging_2081/tillsyn/A 65254-2023 tillsynsbegäran.docx", "A 65254-2023")</f>
        <v/>
      </c>
      <c r="AD384">
        <f>HYPERLINK("https://klasma.github.io/Logging_2081/tillsynsmail/A 65254-2023 tillsynsbegäran mail.docx", "A 65254-2023")</f>
        <v/>
      </c>
    </row>
    <row r="385" ht="15" customHeight="1">
      <c r="A385" t="inlineStr">
        <is>
          <t>A 34931-2024</t>
        </is>
      </c>
      <c r="B385" t="inlineStr">
        <is>
          <t>avverkningsanmälan</t>
        </is>
      </c>
      <c r="C385" t="inlineStr">
        <is>
          <t>Föryngringsavverkning</t>
        </is>
      </c>
      <c r="D385" s="1" t="n">
        <v>45527</v>
      </c>
      <c r="E385" s="1" t="n">
        <v>46319</v>
      </c>
      <c r="F385" t="inlineStr">
        <is>
          <t>DALARNAS LÄN</t>
        </is>
      </c>
      <c r="G385" t="inlineStr">
        <is>
          <t>HEDEMORA</t>
        </is>
      </c>
      <c r="H385" t="inlineStr">
        <is>
          <t>Sveaskog</t>
        </is>
      </c>
      <c r="I385" t="n">
        <v>2.3</v>
      </c>
      <c r="J385" t="n">
        <v>1</v>
      </c>
      <c r="K385" t="n">
        <v>3</v>
      </c>
      <c r="L385" t="n">
        <v>3</v>
      </c>
      <c r="M385" t="n">
        <v>2</v>
      </c>
      <c r="N385" t="n">
        <v>0</v>
      </c>
      <c r="O385" t="n">
        <v>0</v>
      </c>
      <c r="P385" t="n">
        <v>0</v>
      </c>
      <c r="Q385" t="n">
        <v>5</v>
      </c>
      <c r="R385" t="n">
        <v>2</v>
      </c>
      <c r="S385" t="n">
        <v>8</v>
      </c>
      <c r="T385" t="n">
        <v>19</v>
      </c>
      <c r="U385" t="n">
        <v>19</v>
      </c>
      <c r="V385" s="2" t="inlineStr">
        <is>
          <t>Gul taggsvamp
Läderdoftande fingersvamp
Dofttaggsvamp
Fjällig taggsvamp s.str.
Talltita
Olivspindling
Svavelriska
Tibast</t>
        </is>
      </c>
      <c r="W385">
        <f>HYPERLINK("https://klasma.github.io/Logging_2083/artfynd/A 34931-2024 artfynd.xlsx", "A 34931-2024")</f>
        <v/>
      </c>
      <c r="X385">
        <f>HYPERLINK("https://klasma.github.io/Logging_2083/kartor/A 34931-2024 karta.png", "A 34931-2024")</f>
        <v/>
      </c>
      <c r="Y385">
        <f>HYPERLINK("https://klasma.github.io/Logging_2083/kartor_geotiff/A 34931-2024 georefererad karta.tif", "A 34931-2024")</f>
        <v/>
      </c>
      <c r="AA385">
        <f>HYPERLINK("https://klasma.github.io/Logging_2083/klagomål/A 34931-2024 FSC-klagomål.docx", "A 34931-2024")</f>
        <v/>
      </c>
      <c r="AB385">
        <f>HYPERLINK("https://klasma.github.io/Logging_2083/klagomålsmail/A 34931-2024 FSC-klagomål mail.docx", "A 34931-2024")</f>
        <v/>
      </c>
      <c r="AC385">
        <f>HYPERLINK("https://klasma.github.io/Logging_2083/tillsyn/A 34931-2024 tillsynsbegäran.docx", "A 34931-2024")</f>
        <v/>
      </c>
      <c r="AD385">
        <f>HYPERLINK("https://klasma.github.io/Logging_2083/tillsynsmail/A 34931-2024 tillsynsbegäran mail.docx", "A 34931-2024")</f>
        <v/>
      </c>
      <c r="AE385">
        <f>HYPERLINK("https://klasma.github.io/Logging_2083/fåglar/A 34931-2024 prioriterade fågelarter.docx", "A 34931-2024")</f>
        <v/>
      </c>
    </row>
    <row r="386" ht="15" customHeight="1">
      <c r="A386" t="inlineStr">
        <is>
          <t>S 2757-2020</t>
        </is>
      </c>
      <c r="B386" t="inlineStr">
        <is>
          <t>samrådsanmälan</t>
        </is>
      </c>
      <c r="C386" t="inlineStr">
        <is>
          <t>Åtgärd i nyckelbiotop</t>
        </is>
      </c>
      <c r="D386" s="1" t="n">
        <v>44169</v>
      </c>
      <c r="E386" s="1" t="n">
        <v>46319</v>
      </c>
      <c r="F386" t="inlineStr">
        <is>
          <t>DALARNAS LÄN</t>
        </is>
      </c>
      <c r="G386" t="inlineStr">
        <is>
          <t>GAGNEF</t>
        </is>
      </c>
      <c r="I386" t="n">
        <v>1.8</v>
      </c>
      <c r="J386" t="n">
        <v>0</v>
      </c>
      <c r="K386" t="n">
        <v>4</v>
      </c>
      <c r="L386" t="n">
        <v>3</v>
      </c>
      <c r="M386" t="n">
        <v>1</v>
      </c>
      <c r="N386" t="n">
        <v>0</v>
      </c>
      <c r="O386" t="n">
        <v>0</v>
      </c>
      <c r="P386" t="n">
        <v>0</v>
      </c>
      <c r="Q386" t="n">
        <v>4</v>
      </c>
      <c r="R386" t="n">
        <v>1</v>
      </c>
      <c r="S386" t="n">
        <v>8</v>
      </c>
      <c r="T386" t="n">
        <v>10</v>
      </c>
      <c r="U386" t="n">
        <v>0</v>
      </c>
      <c r="V386" s="2" t="inlineStr">
        <is>
          <t>Allékantlav
Barrviolspindling
Kandelabersvamp
Violettgrå tagellav
Dvärgtufs
Korallblylav
Rostfläck
Skinnlav</t>
        </is>
      </c>
      <c r="W386">
        <f>HYPERLINK("https://klasma.github.io/Logging_2026/artfynd/S 2757-2020 artfynd.xlsx", "S 2757-2020")</f>
        <v/>
      </c>
      <c r="X386">
        <f>HYPERLINK("https://klasma.github.io/Logging_2026/kartor/S 2757-2020 karta.png", "S 2757-2020")</f>
        <v/>
      </c>
      <c r="Y386">
        <f>HYPERLINK("https://klasma.github.io/Logging_2026/kartor_geotiff/S 2757-2020 georefererad karta.tif", "S 2757-2020")</f>
        <v/>
      </c>
      <c r="AA386">
        <f>HYPERLINK("https://klasma.github.io/Logging_2026/klagomål/S 2757-2020 FSC-klagomål.docx", "S 2757-2020")</f>
        <v/>
      </c>
      <c r="AB386">
        <f>HYPERLINK("https://klasma.github.io/Logging_2026/klagomålsmail/S 2757-2020 FSC-klagomål mail.docx", "S 2757-2020")</f>
        <v/>
      </c>
      <c r="AC386">
        <f>HYPERLINK("https://klasma.github.io/Logging_2026/tillsyn/S 2757-2020 tillsynsbegäran.docx", "S 2757-2020")</f>
        <v/>
      </c>
      <c r="AD386">
        <f>HYPERLINK("https://klasma.github.io/Logging_2026/tillsynsmail/S 2757-2020 tillsynsbegäran mail.docx", "S 2757-2020")</f>
        <v/>
      </c>
    </row>
    <row r="387" ht="15" customHeight="1">
      <c r="A387" t="inlineStr">
        <is>
          <t>S 4467-2023</t>
        </is>
      </c>
      <c r="B387" t="inlineStr">
        <is>
          <t>samrådsanmälan</t>
        </is>
      </c>
      <c r="C387" t="inlineStr">
        <is>
          <t>Annan skogsbruksåtgärd</t>
        </is>
      </c>
      <c r="D387" s="1" t="n">
        <v>45272</v>
      </c>
      <c r="E387" s="1" t="n">
        <v>46319</v>
      </c>
      <c r="F387" t="inlineStr">
        <is>
          <t>DALARNAS LÄN</t>
        </is>
      </c>
      <c r="G387" t="inlineStr">
        <is>
          <t>LEKSAND</t>
        </is>
      </c>
      <c r="I387" t="n">
        <v>8.800000000000001</v>
      </c>
      <c r="J387" t="n">
        <v>3</v>
      </c>
      <c r="K387" t="n">
        <v>2</v>
      </c>
      <c r="L387" t="n">
        <v>3</v>
      </c>
      <c r="M387" t="n">
        <v>2</v>
      </c>
      <c r="N387" t="n">
        <v>1</v>
      </c>
      <c r="O387" t="n">
        <v>0</v>
      </c>
      <c r="P387" t="n">
        <v>0</v>
      </c>
      <c r="Q387" t="n">
        <v>6</v>
      </c>
      <c r="R387" t="n">
        <v>3</v>
      </c>
      <c r="S387" t="n">
        <v>8</v>
      </c>
      <c r="T387" t="n">
        <v>31</v>
      </c>
      <c r="U387" t="n">
        <v>9</v>
      </c>
      <c r="V387" s="2" t="inlineStr">
        <is>
          <t>Mosippa
Knärot
Skrovlig taggsvamp
Backstarr
Dropptaggsvamp
Motaggsvamp
Grönpyrola
Plattlummer</t>
        </is>
      </c>
      <c r="W387">
        <f>HYPERLINK("https://klasma.github.io/Logging_2029/artfynd/S 4467-2023 artfynd.xlsx", "S 4467-2023")</f>
        <v/>
      </c>
      <c r="X387">
        <f>HYPERLINK("https://klasma.github.io/Logging_2029/kartor/S 4467-2023 karta.png", "S 4467-2023")</f>
        <v/>
      </c>
      <c r="Y387">
        <f>HYPERLINK("https://klasma.github.io/Logging_2029/kartor_geotiff/S 4467-2023 georefererad karta.tif", "S 4467-2023")</f>
        <v/>
      </c>
      <c r="Z387">
        <f>HYPERLINK("https://klasma.github.io/Logging_2029/knärot/S 4467-2023 karta knärot.png", "S 4467-2023")</f>
        <v/>
      </c>
      <c r="AA387">
        <f>HYPERLINK("https://klasma.github.io/Logging_2029/klagomål/S 4467-2023 FSC-klagomål.docx", "S 4467-2023")</f>
        <v/>
      </c>
      <c r="AB387">
        <f>HYPERLINK("https://klasma.github.io/Logging_2029/klagomålsmail/S 4467-2023 FSC-klagomål mail.docx", "S 4467-2023")</f>
        <v/>
      </c>
      <c r="AC387">
        <f>HYPERLINK("https://klasma.github.io/Logging_2029/tillsyn/S 4467-2023 tillsynsbegäran.docx", "S 4467-2023")</f>
        <v/>
      </c>
      <c r="AD387">
        <f>HYPERLINK("https://klasma.github.io/Logging_2029/tillsynsmail/S 4467-2023 tillsynsbegäran mail.docx", "S 4467-2023")</f>
        <v/>
      </c>
    </row>
    <row r="388" ht="15" customHeight="1">
      <c r="A388" t="inlineStr">
        <is>
          <t>S 2620-2023</t>
        </is>
      </c>
      <c r="B388" t="inlineStr">
        <is>
          <t>samrådsanmälan</t>
        </is>
      </c>
      <c r="C388" t="inlineStr">
        <is>
          <t>Askåterföring</t>
        </is>
      </c>
      <c r="D388" s="1" t="n">
        <v>45147</v>
      </c>
      <c r="E388" s="1" t="n">
        <v>46319</v>
      </c>
      <c r="F388" t="inlineStr">
        <is>
          <t>DALARNAS LÄN</t>
        </is>
      </c>
      <c r="G388" t="inlineStr">
        <is>
          <t>FALUN</t>
        </is>
      </c>
      <c r="I388" t="n">
        <v>27.2</v>
      </c>
      <c r="J388" t="n">
        <v>0</v>
      </c>
      <c r="K388" t="n">
        <v>4</v>
      </c>
      <c r="L388" t="n">
        <v>2</v>
      </c>
      <c r="M388" t="n">
        <v>2</v>
      </c>
      <c r="N388" t="n">
        <v>0</v>
      </c>
      <c r="O388" t="n">
        <v>0</v>
      </c>
      <c r="P388" t="n">
        <v>0</v>
      </c>
      <c r="Q388" t="n">
        <v>4</v>
      </c>
      <c r="R388" t="n">
        <v>2</v>
      </c>
      <c r="S388" t="n">
        <v>8</v>
      </c>
      <c r="T388" t="n">
        <v>9</v>
      </c>
      <c r="U388" t="n">
        <v>9</v>
      </c>
      <c r="V388" s="2" t="inlineStr">
        <is>
          <t>Garnlav
Norsk näverlav
Kattfotslav
Skuggblåslav
Guldlockmossa
Gulnål
Platt fjädermossa
Purpurmylia</t>
        </is>
      </c>
      <c r="W388">
        <f>HYPERLINK("https://klasma.github.io/Logging_2080/artfynd/S 2620-2023 artfynd.xlsx", "S 2620-2023")</f>
        <v/>
      </c>
      <c r="X388">
        <f>HYPERLINK("https://klasma.github.io/Logging_2080/kartor/S 2620-2023 karta.png", "S 2620-2023")</f>
        <v/>
      </c>
      <c r="Y388">
        <f>HYPERLINK("https://klasma.github.io/Logging_2080/kartor_geotiff/S 2620-2023 georefererad karta.tif", "S 2620-2023")</f>
        <v/>
      </c>
      <c r="AA388">
        <f>HYPERLINK("https://klasma.github.io/Logging_2080/klagomål/S 2620-2023 FSC-klagomål.docx", "S 2620-2023")</f>
        <v/>
      </c>
      <c r="AB388">
        <f>HYPERLINK("https://klasma.github.io/Logging_2080/klagomålsmail/S 2620-2023 FSC-klagomål mail.docx", "S 2620-2023")</f>
        <v/>
      </c>
      <c r="AC388">
        <f>HYPERLINK("https://klasma.github.io/Logging_2080/tillsyn/S 2620-2023 tillsynsbegäran.docx", "S 2620-2023")</f>
        <v/>
      </c>
      <c r="AD388">
        <f>HYPERLINK("https://klasma.github.io/Logging_2080/tillsynsmail/S 2620-2023 tillsynsbegäran mail.docx", "S 2620-2023")</f>
        <v/>
      </c>
    </row>
    <row r="389" ht="15" customHeight="1">
      <c r="A389" t="inlineStr">
        <is>
          <t>S 642-2025</t>
        </is>
      </c>
      <c r="B389" t="inlineStr">
        <is>
          <t>samrådsanmälan</t>
        </is>
      </c>
      <c r="C389" t="inlineStr">
        <is>
          <t>Skogsgödsling</t>
        </is>
      </c>
      <c r="D389" s="1" t="n">
        <v>45714</v>
      </c>
      <c r="E389" s="1" t="n">
        <v>46319</v>
      </c>
      <c r="F389" t="inlineStr">
        <is>
          <t>DALARNAS LÄN</t>
        </is>
      </c>
      <c r="G389" t="inlineStr">
        <is>
          <t>RÄTTVIK</t>
        </is>
      </c>
      <c r="H389" t="inlineStr">
        <is>
          <t>Sveaskog</t>
        </is>
      </c>
      <c r="I389" t="n">
        <v>401.1</v>
      </c>
      <c r="J389" t="n">
        <v>0</v>
      </c>
      <c r="K389" t="n">
        <v>1</v>
      </c>
      <c r="L389" t="n">
        <v>6</v>
      </c>
      <c r="M389" t="n">
        <v>1</v>
      </c>
      <c r="N389" t="n">
        <v>0</v>
      </c>
      <c r="O389" t="n">
        <v>0</v>
      </c>
      <c r="P389" t="n">
        <v>0</v>
      </c>
      <c r="Q389" t="n">
        <v>7</v>
      </c>
      <c r="R389" t="n">
        <v>1</v>
      </c>
      <c r="S389" t="n">
        <v>8</v>
      </c>
      <c r="T389" t="n">
        <v>8</v>
      </c>
      <c r="U389" t="n">
        <v>0</v>
      </c>
      <c r="V389" s="2" t="inlineStr">
        <is>
          <t>Garnlav
Dvärgbägarlav
Kolflarnlav
Kortskaftad ärgspik
Vedflamlav
Vedskivlav
Vitgrynig nållav
Mindre märgborre</t>
        </is>
      </c>
      <c r="W389">
        <f>HYPERLINK("https://klasma.github.io/Logging_2031/artfynd/S 642-2025 artfynd.xlsx", "S 642-2025")</f>
        <v/>
      </c>
      <c r="X389">
        <f>HYPERLINK("https://klasma.github.io/Logging_2031/kartor/S 642-2025 karta.png", "S 642-2025")</f>
        <v/>
      </c>
      <c r="Y389">
        <f>HYPERLINK("https://klasma.github.io/Logging_2031/kartor_geotiff/S 642-2025 georefererad karta.tif", "S 642-2025")</f>
        <v/>
      </c>
      <c r="AA389">
        <f>HYPERLINK("https://klasma.github.io/Logging_2031/klagomål/S 642-2025 FSC-klagomål.docx", "S 642-2025")</f>
        <v/>
      </c>
      <c r="AB389">
        <f>HYPERLINK("https://klasma.github.io/Logging_2031/klagomålsmail/S 642-2025 FSC-klagomål mail.docx", "S 642-2025")</f>
        <v/>
      </c>
      <c r="AC389">
        <f>HYPERLINK("https://klasma.github.io/Logging_2031/tillsyn/S 642-2025 tillsynsbegäran.docx", "S 642-2025")</f>
        <v/>
      </c>
      <c r="AD389">
        <f>HYPERLINK("https://klasma.github.io/Logging_2031/tillsynsmail/S 642-2025 tillsynsbegäran mail.docx", "S 642-2025")</f>
        <v/>
      </c>
    </row>
    <row r="390" ht="15" customHeight="1">
      <c r="A390" t="inlineStr">
        <is>
          <t>S 321-2026</t>
        </is>
      </c>
      <c r="B390" t="inlineStr">
        <is>
          <t>samrådsanmälan</t>
        </is>
      </c>
      <c r="C390" t="inlineStr">
        <is>
          <t>Skogsgödsling</t>
        </is>
      </c>
      <c r="D390" s="1" t="n">
        <v>46059</v>
      </c>
      <c r="E390" s="1" t="n">
        <v>46319</v>
      </c>
      <c r="F390" t="inlineStr">
        <is>
          <t>DALARNAS LÄN</t>
        </is>
      </c>
      <c r="G390" t="inlineStr">
        <is>
          <t>AVESTA</t>
        </is>
      </c>
      <c r="H390" t="inlineStr">
        <is>
          <t>Sveaskog</t>
        </is>
      </c>
      <c r="I390" t="n">
        <v>144.2</v>
      </c>
      <c r="J390" t="n">
        <v>6</v>
      </c>
      <c r="K390" t="n">
        <v>0</v>
      </c>
      <c r="L390" t="n">
        <v>4</v>
      </c>
      <c r="M390" t="n">
        <v>0</v>
      </c>
      <c r="N390" t="n">
        <v>0</v>
      </c>
      <c r="O390" t="n">
        <v>0</v>
      </c>
      <c r="P390" t="n">
        <v>0</v>
      </c>
      <c r="Q390" t="n">
        <v>4</v>
      </c>
      <c r="R390" t="n">
        <v>0</v>
      </c>
      <c r="S390" t="n">
        <v>8</v>
      </c>
      <c r="T390" t="n">
        <v>13</v>
      </c>
      <c r="U390" t="n">
        <v>0</v>
      </c>
      <c r="V390" s="2" t="inlineStr">
        <is>
          <t>Brunlångöra
Fjällig taggsvamp s.str.
Motaggsvamp
Nordfladdermus
Tjäder
Vanlig groda
Vanlig padda
Revlummer</t>
        </is>
      </c>
      <c r="W390">
        <f>HYPERLINK("https://klasma.github.io/Logging_2084/artfynd/S 321-2026 artfynd.xlsx", "S 321-2026")</f>
        <v/>
      </c>
      <c r="X390">
        <f>HYPERLINK("https://klasma.github.io/Logging_2084/kartor/S 321-2026 karta.png", "S 321-2026")</f>
        <v/>
      </c>
      <c r="Y390">
        <f>HYPERLINK("https://klasma.github.io/Logging_2084/kartor_geotiff/S 321-2026 georefererad karta.tif", "S 321-2026")</f>
        <v/>
      </c>
      <c r="AA390">
        <f>HYPERLINK("https://klasma.github.io/Logging_2084/klagomål/S 321-2026 FSC-klagomål.docx", "S 321-2026")</f>
        <v/>
      </c>
      <c r="AB390">
        <f>HYPERLINK("https://klasma.github.io/Logging_2084/klagomålsmail/S 321-2026 FSC-klagomål mail.docx", "S 321-2026")</f>
        <v/>
      </c>
      <c r="AC390">
        <f>HYPERLINK("https://klasma.github.io/Logging_2084/tillsyn/S 321-2026 tillsynsbegäran.docx", "S 321-2026")</f>
        <v/>
      </c>
      <c r="AD390">
        <f>HYPERLINK("https://klasma.github.io/Logging_2084/tillsynsmail/S 321-2026 tillsynsbegäran mail.docx", "S 321-2026")</f>
        <v/>
      </c>
      <c r="AE390">
        <f>HYPERLINK("https://klasma.github.io/Logging_2084/fåglar/S 321-2026 prioriterade fågelarter.docx", "S 321-2026")</f>
        <v/>
      </c>
    </row>
    <row r="391" ht="15" customHeight="1">
      <c r="A391" t="inlineStr">
        <is>
          <t>S 655-2026</t>
        </is>
      </c>
      <c r="B391" t="inlineStr">
        <is>
          <t>samrådsanmälan</t>
        </is>
      </c>
      <c r="C391" t="inlineStr">
        <is>
          <t>Skogsgödsling</t>
        </is>
      </c>
      <c r="D391" s="1" t="n">
        <v>46089</v>
      </c>
      <c r="E391" s="1" t="n">
        <v>46319</v>
      </c>
      <c r="F391" t="inlineStr">
        <is>
          <t>DALARNAS LÄN</t>
        </is>
      </c>
      <c r="G391" t="inlineStr">
        <is>
          <t>MORA</t>
        </is>
      </c>
      <c r="H391" t="inlineStr">
        <is>
          <t>Bergvik skog öst AB</t>
        </is>
      </c>
      <c r="I391" t="n">
        <v>499</v>
      </c>
      <c r="J391" t="n">
        <v>3</v>
      </c>
      <c r="K391" t="n">
        <v>1</v>
      </c>
      <c r="L391" t="n">
        <v>3</v>
      </c>
      <c r="M391" t="n">
        <v>2</v>
      </c>
      <c r="N391" t="n">
        <v>1</v>
      </c>
      <c r="O391" t="n">
        <v>0</v>
      </c>
      <c r="P391" t="n">
        <v>0</v>
      </c>
      <c r="Q391" t="n">
        <v>6</v>
      </c>
      <c r="R391" t="n">
        <v>3</v>
      </c>
      <c r="S391" t="n">
        <v>8</v>
      </c>
      <c r="T391" t="n">
        <v>8</v>
      </c>
      <c r="U391" t="n">
        <v>1</v>
      </c>
      <c r="V391" s="2" t="inlineStr">
        <is>
          <t>Pärluggla
Aspgelélav
Garnlav
Dropptaggsvamp
Lunglav
Sparvuggla
Korallblylav
Revlummer</t>
        </is>
      </c>
      <c r="W391">
        <f>HYPERLINK("https://klasma.github.io/Logging_2062/artfynd/S 655-2026 artfynd.xlsx", "S 655-2026")</f>
        <v/>
      </c>
      <c r="X391">
        <f>HYPERLINK("https://klasma.github.io/Logging_2062/kartor/S 655-2026 karta.png", "S 655-2026")</f>
        <v/>
      </c>
      <c r="Y391">
        <f>HYPERLINK("https://klasma.github.io/Logging_2062/kartor_geotiff/S 655-2026 georefererad karta.tif", "S 655-2026")</f>
        <v/>
      </c>
      <c r="AA391">
        <f>HYPERLINK("https://klasma.github.io/Logging_2062/klagomål/S 655-2026 FSC-klagomål.docx", "S 655-2026")</f>
        <v/>
      </c>
      <c r="AB391">
        <f>HYPERLINK("https://klasma.github.io/Logging_2062/klagomålsmail/S 655-2026 FSC-klagomål mail.docx", "S 655-2026")</f>
        <v/>
      </c>
      <c r="AC391">
        <f>HYPERLINK("https://klasma.github.io/Logging_2062/tillsyn/S 655-2026 tillsynsbegäran.docx", "S 655-2026")</f>
        <v/>
      </c>
      <c r="AD391">
        <f>HYPERLINK("https://klasma.github.io/Logging_2062/tillsynsmail/S 655-2026 tillsynsbegäran mail.docx", "S 655-2026")</f>
        <v/>
      </c>
      <c r="AE391">
        <f>HYPERLINK("https://klasma.github.io/Logging_2062/fåglar/S 655-2026 prioriterade fågelarter.docx", "S 655-2026")</f>
        <v/>
      </c>
    </row>
    <row r="392" ht="15" customHeight="1">
      <c r="A392" t="inlineStr">
        <is>
          <t>A 45268-2022</t>
        </is>
      </c>
      <c r="B392" t="inlineStr">
        <is>
          <t>avverkningsanmälan</t>
        </is>
      </c>
      <c r="C392" t="inlineStr">
        <is>
          <t>Föryngringsavverkning</t>
        </is>
      </c>
      <c r="D392" s="1" t="n">
        <v>44844</v>
      </c>
      <c r="E392" s="1" t="n">
        <v>46319</v>
      </c>
      <c r="F392" t="inlineStr">
        <is>
          <t>DALARNAS LÄN</t>
        </is>
      </c>
      <c r="G392" t="inlineStr">
        <is>
          <t>LUDVIKA</t>
        </is>
      </c>
      <c r="H392" t="inlineStr">
        <is>
          <t>Naturvårdsverket</t>
        </is>
      </c>
      <c r="I392" t="n">
        <v>2.3</v>
      </c>
      <c r="J392" t="n">
        <v>1</v>
      </c>
      <c r="K392" t="n">
        <v>2</v>
      </c>
      <c r="L392" t="n">
        <v>3</v>
      </c>
      <c r="M392" t="n">
        <v>2</v>
      </c>
      <c r="N392" t="n">
        <v>0</v>
      </c>
      <c r="O392" t="n">
        <v>0</v>
      </c>
      <c r="P392" t="n">
        <v>0</v>
      </c>
      <c r="Q392" t="n">
        <v>5</v>
      </c>
      <c r="R392" t="n">
        <v>2</v>
      </c>
      <c r="S392" t="n">
        <v>7</v>
      </c>
      <c r="T392" t="n">
        <v>8</v>
      </c>
      <c r="U392" t="n">
        <v>8</v>
      </c>
      <c r="V392" s="2" t="inlineStr">
        <is>
          <t>Garnlav
Knärot
Kattfotslav
Orange taggsvamp
Vedtrappmossa
Bollvitmossa
Vedticka</t>
        </is>
      </c>
      <c r="W392">
        <f>HYPERLINK("https://klasma.github.io/Logging_2085/artfynd/A 45268-2022 artfynd.xlsx", "A 45268-2022")</f>
        <v/>
      </c>
      <c r="X392">
        <f>HYPERLINK("https://klasma.github.io/Logging_2085/kartor/A 45268-2022 karta.png", "A 45268-2022")</f>
        <v/>
      </c>
      <c r="Y392">
        <f>HYPERLINK("https://klasma.github.io/Logging_2085/kartor_geotiff/A 45268-2022 georefererad karta.tif", "A 45268-2022")</f>
        <v/>
      </c>
      <c r="Z392">
        <f>HYPERLINK("https://klasma.github.io/Logging_2085/knärot/A 45268-2022 karta knärot.png", "A 45268-2022")</f>
        <v/>
      </c>
      <c r="AA392">
        <f>HYPERLINK("https://klasma.github.io/Logging_2085/klagomål/A 45268-2022 FSC-klagomål.docx", "A 45268-2022")</f>
        <v/>
      </c>
      <c r="AB392">
        <f>HYPERLINK("https://klasma.github.io/Logging_2085/klagomålsmail/A 45268-2022 FSC-klagomål mail.docx", "A 45268-2022")</f>
        <v/>
      </c>
      <c r="AC392">
        <f>HYPERLINK("https://klasma.github.io/Logging_2085/tillsyn/A 45268-2022 tillsynsbegäran.docx", "A 45268-2022")</f>
        <v/>
      </c>
      <c r="AD392">
        <f>HYPERLINK("https://klasma.github.io/Logging_2085/tillsynsmail/A 45268-2022 tillsynsbegäran mail.docx", "A 45268-2022")</f>
        <v/>
      </c>
    </row>
    <row r="393" ht="15" customHeight="1">
      <c r="A393" t="inlineStr">
        <is>
          <t>A 22647-2022</t>
        </is>
      </c>
      <c r="B393" t="inlineStr">
        <is>
          <t>avverkningsanmälan</t>
        </is>
      </c>
      <c r="C393" t="inlineStr">
        <is>
          <t>Föryngringsavverkning</t>
        </is>
      </c>
      <c r="D393" s="1" t="n">
        <v>44714</v>
      </c>
      <c r="E393" s="1" t="n">
        <v>46319</v>
      </c>
      <c r="F393" t="inlineStr">
        <is>
          <t>DALARNAS LÄN</t>
        </is>
      </c>
      <c r="G393" t="inlineStr">
        <is>
          <t>ORSA</t>
        </is>
      </c>
      <c r="H393" t="inlineStr">
        <is>
          <t>Allmännings- och besparingsskogar</t>
        </is>
      </c>
      <c r="I393" t="n">
        <v>2.7</v>
      </c>
      <c r="J393" t="n">
        <v>2</v>
      </c>
      <c r="K393" t="n">
        <v>1</v>
      </c>
      <c r="L393" t="n">
        <v>4</v>
      </c>
      <c r="M393" t="n">
        <v>1</v>
      </c>
      <c r="N393" t="n">
        <v>0</v>
      </c>
      <c r="O393" t="n">
        <v>0</v>
      </c>
      <c r="P393" t="n">
        <v>0</v>
      </c>
      <c r="Q393" t="n">
        <v>5</v>
      </c>
      <c r="R393" t="n">
        <v>1</v>
      </c>
      <c r="S393" t="n">
        <v>7</v>
      </c>
      <c r="T393" t="n">
        <v>16</v>
      </c>
      <c r="U393" t="n">
        <v>16</v>
      </c>
      <c r="V393" s="2" t="inlineStr">
        <is>
          <t>Knärot
Dropptaggsvamp
Dvärgbägarlav
Kolflarnlav
Vedskivlav
Vedticka
Svartvit flugsnappare</t>
        </is>
      </c>
      <c r="W393">
        <f>HYPERLINK("https://klasma.github.io/Logging_2034/artfynd/A 22647-2022 artfynd.xlsx", "A 22647-2022")</f>
        <v/>
      </c>
      <c r="X393">
        <f>HYPERLINK("https://klasma.github.io/Logging_2034/kartor/A 22647-2022 karta.png", "A 22647-2022")</f>
        <v/>
      </c>
      <c r="Y393">
        <f>HYPERLINK("https://klasma.github.io/Logging_2034/kartor_geotiff/A 22647-2022 georefererad karta.tif", "A 22647-2022")</f>
        <v/>
      </c>
      <c r="Z393">
        <f>HYPERLINK("https://klasma.github.io/Logging_2034/knärot/A 22647-2022 karta knärot.png", "A 22647-2022")</f>
        <v/>
      </c>
      <c r="AA393">
        <f>HYPERLINK("https://klasma.github.io/Logging_2034/klagomål/A 22647-2022 FSC-klagomål.docx", "A 22647-2022")</f>
        <v/>
      </c>
      <c r="AB393">
        <f>HYPERLINK("https://klasma.github.io/Logging_2034/klagomålsmail/A 22647-2022 FSC-klagomål mail.docx", "A 22647-2022")</f>
        <v/>
      </c>
      <c r="AC393">
        <f>HYPERLINK("https://klasma.github.io/Logging_2034/tillsyn/A 22647-2022 tillsynsbegäran.docx", "A 22647-2022")</f>
        <v/>
      </c>
      <c r="AD393">
        <f>HYPERLINK("https://klasma.github.io/Logging_2034/tillsynsmail/A 22647-2022 tillsynsbegäran mail.docx", "A 22647-2022")</f>
        <v/>
      </c>
    </row>
    <row r="394" ht="15" customHeight="1">
      <c r="A394" t="inlineStr">
        <is>
          <t>A 40192-2022</t>
        </is>
      </c>
      <c r="B394" t="inlineStr">
        <is>
          <t>avverkningsanmälan</t>
        </is>
      </c>
      <c r="C394" t="inlineStr">
        <is>
          <t>Avverkning för annat ändamål</t>
        </is>
      </c>
      <c r="D394" s="1" t="n">
        <v>44818</v>
      </c>
      <c r="E394" s="1" t="n">
        <v>46319</v>
      </c>
      <c r="F394" t="inlineStr">
        <is>
          <t>DALARNAS LÄN</t>
        </is>
      </c>
      <c r="G394" t="inlineStr">
        <is>
          <t>RÄTTVIK</t>
        </is>
      </c>
      <c r="I394" t="n">
        <v>1.8</v>
      </c>
      <c r="J394" t="n">
        <v>2</v>
      </c>
      <c r="K394" t="n">
        <v>1</v>
      </c>
      <c r="L394" t="n">
        <v>0</v>
      </c>
      <c r="M394" t="n">
        <v>0</v>
      </c>
      <c r="N394" t="n">
        <v>0</v>
      </c>
      <c r="O394" t="n">
        <v>0</v>
      </c>
      <c r="P394" t="n">
        <v>0</v>
      </c>
      <c r="Q394" t="n">
        <v>0</v>
      </c>
      <c r="R394" t="n">
        <v>0</v>
      </c>
      <c r="S394" t="n">
        <v>7</v>
      </c>
      <c r="T394" t="n">
        <v>7</v>
      </c>
      <c r="U394" t="n">
        <v>7</v>
      </c>
      <c r="V394" s="2" t="inlineStr">
        <is>
          <t>Tvåblad
Bergsslok
Humleblomster
Kattfot
Stjärnstarr
Ängskovall
Fläcknycklar</t>
        </is>
      </c>
      <c r="W394">
        <f>HYPERLINK("https://klasma.github.io/Logging_2031/artfynd/A 40192-2022 artfynd.xlsx", "A 40192-2022")</f>
        <v/>
      </c>
      <c r="X394">
        <f>HYPERLINK("https://klasma.github.io/Logging_2031/kartor/A 40192-2022 karta.png", "A 40192-2022")</f>
        <v/>
      </c>
      <c r="Y394">
        <f>HYPERLINK("https://klasma.github.io/Logging_2031/kartor_geotiff/A 40192-2022 georefererad karta.tif", "A 40192-2022")</f>
        <v/>
      </c>
      <c r="AA394">
        <f>HYPERLINK("https://klasma.github.io/Logging_2031/klagomål/A 40192-2022 FSC-klagomål.docx", "A 40192-2022")</f>
        <v/>
      </c>
      <c r="AB394">
        <f>HYPERLINK("https://klasma.github.io/Logging_2031/klagomålsmail/A 40192-2022 FSC-klagomål mail.docx", "A 40192-2022")</f>
        <v/>
      </c>
      <c r="AC394">
        <f>HYPERLINK("https://klasma.github.io/Logging_2031/tillsyn/A 40192-2022 tillsynsbegäran.docx", "A 40192-2022")</f>
        <v/>
      </c>
      <c r="AD394">
        <f>HYPERLINK("https://klasma.github.io/Logging_2031/tillsynsmail/A 40192-2022 tillsynsbegäran mail.docx", "A 40192-2022")</f>
        <v/>
      </c>
    </row>
    <row r="395" ht="15" customHeight="1">
      <c r="A395" t="inlineStr">
        <is>
          <t>A 38725-2025</t>
        </is>
      </c>
      <c r="B395" t="inlineStr">
        <is>
          <t>avverkningsanmälan</t>
        </is>
      </c>
      <c r="C395" t="inlineStr">
        <is>
          <t>Föryngringsavverkning</t>
        </is>
      </c>
      <c r="D395" s="1" t="n">
        <v>45887</v>
      </c>
      <c r="E395" s="1" t="n">
        <v>46319</v>
      </c>
      <c r="F395" t="inlineStr">
        <is>
          <t>DALARNAS LÄN</t>
        </is>
      </c>
      <c r="G395" t="inlineStr">
        <is>
          <t>HEDEMORA</t>
        </is>
      </c>
      <c r="I395" t="n">
        <v>8.199999999999999</v>
      </c>
      <c r="J395" t="n">
        <v>0</v>
      </c>
      <c r="K395" t="n">
        <v>2</v>
      </c>
      <c r="L395" t="n">
        <v>4</v>
      </c>
      <c r="M395" t="n">
        <v>1</v>
      </c>
      <c r="N395" t="n">
        <v>0</v>
      </c>
      <c r="O395" t="n">
        <v>0</v>
      </c>
      <c r="P395" t="n">
        <v>0</v>
      </c>
      <c r="Q395" t="n">
        <v>5</v>
      </c>
      <c r="R395" t="n">
        <v>1</v>
      </c>
      <c r="S395" t="n">
        <v>7</v>
      </c>
      <c r="T395" t="n">
        <v>20</v>
      </c>
      <c r="U395" t="n">
        <v>20</v>
      </c>
      <c r="V395" s="2" t="inlineStr">
        <is>
          <t>Grangråticka
Fjällig taggsvamp s.str.
Odörspindling
Persiljespindling
Puderspindling
Olivspindling
Svavelriska</t>
        </is>
      </c>
      <c r="W395">
        <f>HYPERLINK("https://klasma.github.io/Logging_2083/artfynd/A 38725-2025 artfynd.xlsx", "A 38725-2025")</f>
        <v/>
      </c>
      <c r="X395">
        <f>HYPERLINK("https://klasma.github.io/Logging_2083/kartor/A 38725-2025 karta.png", "A 38725-2025")</f>
        <v/>
      </c>
      <c r="Y395">
        <f>HYPERLINK("https://klasma.github.io/Logging_2083/kartor_geotiff/A 38725-2025 georefererad karta.tif", "A 38725-2025")</f>
        <v/>
      </c>
      <c r="AA395">
        <f>HYPERLINK("https://klasma.github.io/Logging_2083/klagomål/A 38725-2025 FSC-klagomål.docx", "A 38725-2025")</f>
        <v/>
      </c>
      <c r="AB395">
        <f>HYPERLINK("https://klasma.github.io/Logging_2083/klagomålsmail/A 38725-2025 FSC-klagomål mail.docx", "A 38725-2025")</f>
        <v/>
      </c>
      <c r="AC395">
        <f>HYPERLINK("https://klasma.github.io/Logging_2083/tillsyn/A 38725-2025 tillsynsbegäran.docx", "A 38725-2025")</f>
        <v/>
      </c>
      <c r="AD395">
        <f>HYPERLINK("https://klasma.github.io/Logging_2083/tillsynsmail/A 38725-2025 tillsynsbegäran mail.docx", "A 38725-2025")</f>
        <v/>
      </c>
    </row>
    <row r="396" ht="15" customHeight="1">
      <c r="A396" t="inlineStr">
        <is>
          <t>A 24024-2026</t>
        </is>
      </c>
      <c r="B396" t="inlineStr">
        <is>
          <t>avverkningsanmälan</t>
        </is>
      </c>
      <c r="C396" t="inlineStr">
        <is>
          <t>Föryngringsavverkning</t>
        </is>
      </c>
      <c r="D396" s="1" t="n">
        <v>46167</v>
      </c>
      <c r="E396" s="1" t="n">
        <v>46319</v>
      </c>
      <c r="F396" t="inlineStr">
        <is>
          <t>DALARNAS LÄN</t>
        </is>
      </c>
      <c r="G396" t="inlineStr">
        <is>
          <t>FALUN</t>
        </is>
      </c>
      <c r="H396" t="inlineStr">
        <is>
          <t>Bergvik skog väst AB</t>
        </is>
      </c>
      <c r="I396" t="n">
        <v>37.3</v>
      </c>
      <c r="J396" t="n">
        <v>1</v>
      </c>
      <c r="K396" t="n">
        <v>0</v>
      </c>
      <c r="L396" t="n">
        <v>5</v>
      </c>
      <c r="M396" t="n">
        <v>2</v>
      </c>
      <c r="N396" t="n">
        <v>0</v>
      </c>
      <c r="O396" t="n">
        <v>0</v>
      </c>
      <c r="P396" t="n">
        <v>0</v>
      </c>
      <c r="Q396" t="n">
        <v>7</v>
      </c>
      <c r="R396" t="n">
        <v>2</v>
      </c>
      <c r="S396" t="n">
        <v>7</v>
      </c>
      <c r="T396" t="n">
        <v>10</v>
      </c>
      <c r="U396" t="n">
        <v>0</v>
      </c>
      <c r="V396" s="2" t="inlineStr">
        <is>
          <t>Garnlav
Knärot
Dvärgbägarlav
Kolflarnlav
Tallticka
Ullticka
Vedskivlav</t>
        </is>
      </c>
      <c r="W396">
        <f>HYPERLINK("https://klasma.github.io/Logging_2080/artfynd/A 24024-2026 artfynd.xlsx", "A 24024-2026")</f>
        <v/>
      </c>
      <c r="X396">
        <f>HYPERLINK("https://klasma.github.io/Logging_2080/kartor/A 24024-2026 karta.png", "A 24024-2026")</f>
        <v/>
      </c>
      <c r="Y396">
        <f>HYPERLINK("https://klasma.github.io/Logging_2080/kartor_geotiff/A 24024-2026 georefererad karta.tif", "A 24024-2026")</f>
        <v/>
      </c>
      <c r="Z396">
        <f>HYPERLINK("https://klasma.github.io/Logging_2080/knärot/A 24024-2026 karta knärot.png", "A 24024-2026")</f>
        <v/>
      </c>
      <c r="AA396">
        <f>HYPERLINK("https://klasma.github.io/Logging_2080/klagomål/A 24024-2026 FSC-klagomål.docx", "A 24024-2026")</f>
        <v/>
      </c>
      <c r="AB396">
        <f>HYPERLINK("https://klasma.github.io/Logging_2080/klagomålsmail/A 24024-2026 FSC-klagomål mail.docx", "A 24024-2026")</f>
        <v/>
      </c>
      <c r="AC396">
        <f>HYPERLINK("https://klasma.github.io/Logging_2080/tillsyn/A 24024-2026 tillsynsbegäran.docx", "A 24024-2026")</f>
        <v/>
      </c>
      <c r="AD396">
        <f>HYPERLINK("https://klasma.github.io/Logging_2080/tillsynsmail/A 24024-2026 tillsynsbegäran mail.docx", "A 24024-2026")</f>
        <v/>
      </c>
    </row>
    <row r="397" ht="15" customHeight="1">
      <c r="A397" t="inlineStr">
        <is>
          <t>A 37647-2023</t>
        </is>
      </c>
      <c r="B397" t="inlineStr">
        <is>
          <t>avverkningsanmälan</t>
        </is>
      </c>
      <c r="C397" t="inlineStr">
        <is>
          <t>Föryngringsavverkning</t>
        </is>
      </c>
      <c r="D397" s="1" t="n">
        <v>45159</v>
      </c>
      <c r="E397" s="1" t="n">
        <v>46319</v>
      </c>
      <c r="F397" t="inlineStr">
        <is>
          <t>DALARNAS LÄN</t>
        </is>
      </c>
      <c r="G397" t="inlineStr">
        <is>
          <t>ORSA</t>
        </is>
      </c>
      <c r="H397" t="inlineStr">
        <is>
          <t>Allmännings- och besparingsskogar</t>
        </is>
      </c>
      <c r="I397" t="n">
        <v>2.1</v>
      </c>
      <c r="J397" t="n">
        <v>3</v>
      </c>
      <c r="K397" t="n">
        <v>0</v>
      </c>
      <c r="L397" t="n">
        <v>2</v>
      </c>
      <c r="M397" t="n">
        <v>2</v>
      </c>
      <c r="N397" t="n">
        <v>0</v>
      </c>
      <c r="O397" t="n">
        <v>0</v>
      </c>
      <c r="P397" t="n">
        <v>0</v>
      </c>
      <c r="Q397" t="n">
        <v>4</v>
      </c>
      <c r="R397" t="n">
        <v>2</v>
      </c>
      <c r="S397" t="n">
        <v>7</v>
      </c>
      <c r="T397" t="n">
        <v>15</v>
      </c>
      <c r="U397" t="n">
        <v>15</v>
      </c>
      <c r="V397" s="2" t="inlineStr">
        <is>
          <t>Garnlav
Sprickporing
Tretåig hackspett
Violettgrå tagellav
Järpe
Timmerticka
Tofsmes</t>
        </is>
      </c>
      <c r="W397">
        <f>HYPERLINK("https://klasma.github.io/Logging_2034/artfynd/A 37647-2023 artfynd.xlsx", "A 37647-2023")</f>
        <v/>
      </c>
      <c r="X397">
        <f>HYPERLINK("https://klasma.github.io/Logging_2034/kartor/A 37647-2023 karta.png", "A 37647-2023")</f>
        <v/>
      </c>
      <c r="Y397">
        <f>HYPERLINK("https://klasma.github.io/Logging_2034/kartor_geotiff/A 37647-2023 georefererad karta.tif", "A 37647-2023")</f>
        <v/>
      </c>
      <c r="AA397">
        <f>HYPERLINK("https://klasma.github.io/Logging_2034/klagomål/A 37647-2023 FSC-klagomål.docx", "A 37647-2023")</f>
        <v/>
      </c>
      <c r="AB397">
        <f>HYPERLINK("https://klasma.github.io/Logging_2034/klagomålsmail/A 37647-2023 FSC-klagomål mail.docx", "A 37647-2023")</f>
        <v/>
      </c>
      <c r="AC397">
        <f>HYPERLINK("https://klasma.github.io/Logging_2034/tillsyn/A 37647-2023 tillsynsbegäran.docx", "A 37647-2023")</f>
        <v/>
      </c>
      <c r="AD397">
        <f>HYPERLINK("https://klasma.github.io/Logging_2034/tillsynsmail/A 37647-2023 tillsynsbegäran mail.docx", "A 37647-2023")</f>
        <v/>
      </c>
      <c r="AE397">
        <f>HYPERLINK("https://klasma.github.io/Logging_2034/fåglar/A 37647-2023 prioriterade fågelarter.docx", "A 37647-2023")</f>
        <v/>
      </c>
    </row>
    <row r="398" ht="15" customHeight="1">
      <c r="A398" t="inlineStr">
        <is>
          <t>A 25724-2026</t>
        </is>
      </c>
      <c r="B398" t="inlineStr">
        <is>
          <t>avverkningsanmälan</t>
        </is>
      </c>
      <c r="C398" t="inlineStr">
        <is>
          <t>Föryngringsavverkning</t>
        </is>
      </c>
      <c r="D398" s="1" t="n">
        <v>46178</v>
      </c>
      <c r="E398" s="1" t="n">
        <v>46319</v>
      </c>
      <c r="F398" t="inlineStr">
        <is>
          <t>DALARNAS LÄN</t>
        </is>
      </c>
      <c r="G398" t="inlineStr">
        <is>
          <t>MORA</t>
        </is>
      </c>
      <c r="H398" t="inlineStr">
        <is>
          <t>Bergvik skog öst AB</t>
        </is>
      </c>
      <c r="I398" t="n">
        <v>1.7</v>
      </c>
      <c r="J398" t="n">
        <v>2</v>
      </c>
      <c r="K398" t="n">
        <v>0</v>
      </c>
      <c r="L398" t="n">
        <v>4</v>
      </c>
      <c r="M398" t="n">
        <v>1</v>
      </c>
      <c r="N398" t="n">
        <v>0</v>
      </c>
      <c r="O398" t="n">
        <v>0</v>
      </c>
      <c r="P398" t="n">
        <v>0</v>
      </c>
      <c r="Q398" t="n">
        <v>5</v>
      </c>
      <c r="R398" t="n">
        <v>1</v>
      </c>
      <c r="S398" t="n">
        <v>7</v>
      </c>
      <c r="T398" t="n">
        <v>31</v>
      </c>
      <c r="U398" t="n">
        <v>29</v>
      </c>
      <c r="V398" s="2" t="inlineStr">
        <is>
          <t>Garnlav
Kolflarnlav
Kortskaftad ärgspik
Mörk kolflarnlav
Vedflamlav
Spillkråka
Tjäder</t>
        </is>
      </c>
      <c r="W398">
        <f>HYPERLINK("https://klasma.github.io/Logging_2062/artfynd/A 25724-2026 artfynd.xlsx", "A 25724-2026")</f>
        <v/>
      </c>
      <c r="X398">
        <f>HYPERLINK("https://klasma.github.io/Logging_2062/kartor/A 25724-2026 karta.png", "A 25724-2026")</f>
        <v/>
      </c>
      <c r="Y398">
        <f>HYPERLINK("https://klasma.github.io/Logging_2062/kartor_geotiff/A 25724-2026 georefererad karta.tif", "A 25724-2026")</f>
        <v/>
      </c>
      <c r="AA398">
        <f>HYPERLINK("https://klasma.github.io/Logging_2062/klagomål/A 25724-2026 FSC-klagomål.docx", "A 25724-2026")</f>
        <v/>
      </c>
      <c r="AB398">
        <f>HYPERLINK("https://klasma.github.io/Logging_2062/klagomålsmail/A 25724-2026 FSC-klagomål mail.docx", "A 25724-2026")</f>
        <v/>
      </c>
      <c r="AC398">
        <f>HYPERLINK("https://klasma.github.io/Logging_2062/tillsyn/A 25724-2026 tillsynsbegäran.docx", "A 25724-2026")</f>
        <v/>
      </c>
      <c r="AD398">
        <f>HYPERLINK("https://klasma.github.io/Logging_2062/tillsynsmail/A 25724-2026 tillsynsbegäran mail.docx", "A 25724-2026")</f>
        <v/>
      </c>
      <c r="AE398">
        <f>HYPERLINK("https://klasma.github.io/Logging_2062/fåglar/A 25724-2026 prioriterade fågelarter.docx", "A 25724-2026")</f>
        <v/>
      </c>
    </row>
    <row r="399" ht="15" customHeight="1">
      <c r="A399" t="inlineStr">
        <is>
          <t>A 11067-2023</t>
        </is>
      </c>
      <c r="B399" t="inlineStr">
        <is>
          <t>avverkningsanmälan</t>
        </is>
      </c>
      <c r="C399" t="inlineStr">
        <is>
          <t>Föryngringsavverkning</t>
        </is>
      </c>
      <c r="D399" s="1" t="n">
        <v>44992</v>
      </c>
      <c r="E399" s="1" t="n">
        <v>46319</v>
      </c>
      <c r="F399" t="inlineStr">
        <is>
          <t>DALARNAS LÄN</t>
        </is>
      </c>
      <c r="G399" t="inlineStr">
        <is>
          <t>LEKSAND</t>
        </is>
      </c>
      <c r="I399" t="n">
        <v>2.9</v>
      </c>
      <c r="J399" t="n">
        <v>0</v>
      </c>
      <c r="K399" t="n">
        <v>3</v>
      </c>
      <c r="L399" t="n">
        <v>3</v>
      </c>
      <c r="M399" t="n">
        <v>1</v>
      </c>
      <c r="N399" t="n">
        <v>0</v>
      </c>
      <c r="O399" t="n">
        <v>0</v>
      </c>
      <c r="P399" t="n">
        <v>0</v>
      </c>
      <c r="Q399" t="n">
        <v>4</v>
      </c>
      <c r="R399" t="n">
        <v>1</v>
      </c>
      <c r="S399" t="n">
        <v>7</v>
      </c>
      <c r="T399" t="n">
        <v>9</v>
      </c>
      <c r="U399" t="n">
        <v>1</v>
      </c>
      <c r="V399" s="2" t="inlineStr">
        <is>
          <t>Garnlav
Reliktbock
Rosenticka
Ullticka
Bollvitmossa
Stuplav
Vedticka</t>
        </is>
      </c>
      <c r="W399">
        <f>HYPERLINK("https://klasma.github.io/Logging_2029/artfynd/A 11067-2023 artfynd.xlsx", "A 11067-2023")</f>
        <v/>
      </c>
      <c r="X399">
        <f>HYPERLINK("https://klasma.github.io/Logging_2029/kartor/A 11067-2023 karta.png", "A 11067-2023")</f>
        <v/>
      </c>
      <c r="Y399">
        <f>HYPERLINK("https://klasma.github.io/Logging_2029/kartor_geotiff/A 11067-2023 georefererad karta.tif", "A 11067-2023")</f>
        <v/>
      </c>
      <c r="AA399">
        <f>HYPERLINK("https://klasma.github.io/Logging_2029/klagomål/A 11067-2023 FSC-klagomål.docx", "A 11067-2023")</f>
        <v/>
      </c>
      <c r="AB399">
        <f>HYPERLINK("https://klasma.github.io/Logging_2029/klagomålsmail/A 11067-2023 FSC-klagomål mail.docx", "A 11067-2023")</f>
        <v/>
      </c>
      <c r="AC399">
        <f>HYPERLINK("https://klasma.github.io/Logging_2029/tillsyn/A 11067-2023 tillsynsbegäran.docx", "A 11067-2023")</f>
        <v/>
      </c>
      <c r="AD399">
        <f>HYPERLINK("https://klasma.github.io/Logging_2029/tillsynsmail/A 11067-2023 tillsynsbegäran mail.docx", "A 11067-2023")</f>
        <v/>
      </c>
    </row>
    <row r="400" ht="15" customHeight="1">
      <c r="A400" t="inlineStr">
        <is>
          <t>A 55222-2025</t>
        </is>
      </c>
      <c r="B400" t="inlineStr">
        <is>
          <t>avverkningsanmälan</t>
        </is>
      </c>
      <c r="C400" t="inlineStr">
        <is>
          <t>Föryngringsavverkning</t>
        </is>
      </c>
      <c r="D400" s="1" t="n">
        <v>45968</v>
      </c>
      <c r="E400" s="1" t="n">
        <v>46319</v>
      </c>
      <c r="F400" t="inlineStr">
        <is>
          <t>DALARNAS LÄN</t>
        </is>
      </c>
      <c r="G400" t="inlineStr">
        <is>
          <t>ÄLVDALEN</t>
        </is>
      </c>
      <c r="H400" t="inlineStr">
        <is>
          <t>Sveaskog</t>
        </is>
      </c>
      <c r="I400" t="n">
        <v>2.8</v>
      </c>
      <c r="J400" t="n">
        <v>0</v>
      </c>
      <c r="K400" t="n">
        <v>0</v>
      </c>
      <c r="L400" t="n">
        <v>5</v>
      </c>
      <c r="M400" t="n">
        <v>1</v>
      </c>
      <c r="N400" t="n">
        <v>1</v>
      </c>
      <c r="O400" t="n">
        <v>0</v>
      </c>
      <c r="P400" t="n">
        <v>0</v>
      </c>
      <c r="Q400" t="n">
        <v>7</v>
      </c>
      <c r="R400" t="n">
        <v>2</v>
      </c>
      <c r="S400" t="n">
        <v>7</v>
      </c>
      <c r="T400" t="n">
        <v>8</v>
      </c>
      <c r="U400" t="n">
        <v>0</v>
      </c>
      <c r="V400" s="2" t="inlineStr">
        <is>
          <t>Urskogsticka
Gräddporing
Dvärgbägarlav
Kolflarnlav
Mörk kolflarnlav
Nordtagging
Vedflamlav</t>
        </is>
      </c>
      <c r="W400">
        <f>HYPERLINK("https://klasma.github.io/Logging_2039/artfynd/A 55222-2025 artfynd.xlsx", "A 55222-2025")</f>
        <v/>
      </c>
      <c r="X400">
        <f>HYPERLINK("https://klasma.github.io/Logging_2039/kartor/A 55222-2025 karta.png", "A 55222-2025")</f>
        <v/>
      </c>
      <c r="Y400">
        <f>HYPERLINK("https://klasma.github.io/Logging_2039/kartor_geotiff/A 55222-2025 georefererad karta.tif", "A 55222-2025")</f>
        <v/>
      </c>
      <c r="AA400">
        <f>HYPERLINK("https://klasma.github.io/Logging_2039/klagomål/A 55222-2025 FSC-klagomål.docx", "A 55222-2025")</f>
        <v/>
      </c>
      <c r="AB400">
        <f>HYPERLINK("https://klasma.github.io/Logging_2039/klagomålsmail/A 55222-2025 FSC-klagomål mail.docx", "A 55222-2025")</f>
        <v/>
      </c>
      <c r="AC400">
        <f>HYPERLINK("https://klasma.github.io/Logging_2039/tillsyn/A 55222-2025 tillsynsbegäran.docx", "A 55222-2025")</f>
        <v/>
      </c>
      <c r="AD400">
        <f>HYPERLINK("https://klasma.github.io/Logging_2039/tillsynsmail/A 55222-2025 tillsynsbegäran mail.docx", "A 55222-2025")</f>
        <v/>
      </c>
    </row>
    <row r="401" ht="15" customHeight="1">
      <c r="A401" t="inlineStr">
        <is>
          <t>A 28842-2026</t>
        </is>
      </c>
      <c r="B401" t="inlineStr">
        <is>
          <t>avverkningsanmälan</t>
        </is>
      </c>
      <c r="C401" t="inlineStr">
        <is>
          <t>Föryngringsavverkning</t>
        </is>
      </c>
      <c r="D401" s="1" t="n">
        <v>46198</v>
      </c>
      <c r="E401" s="1" t="n">
        <v>46319</v>
      </c>
      <c r="F401" t="inlineStr">
        <is>
          <t>DALARNAS LÄN</t>
        </is>
      </c>
      <c r="G401" t="inlineStr">
        <is>
          <t>MORA</t>
        </is>
      </c>
      <c r="I401" t="n">
        <v>1.3</v>
      </c>
      <c r="J401" t="n">
        <v>2</v>
      </c>
      <c r="K401" t="n">
        <v>1</v>
      </c>
      <c r="L401" t="n">
        <v>3</v>
      </c>
      <c r="M401" t="n">
        <v>2</v>
      </c>
      <c r="N401" t="n">
        <v>0</v>
      </c>
      <c r="O401" t="n">
        <v>0</v>
      </c>
      <c r="P401" t="n">
        <v>0</v>
      </c>
      <c r="Q401" t="n">
        <v>5</v>
      </c>
      <c r="R401" t="n">
        <v>2</v>
      </c>
      <c r="S401" t="n">
        <v>7</v>
      </c>
      <c r="T401" t="n">
        <v>20</v>
      </c>
      <c r="U401" t="n">
        <v>20</v>
      </c>
      <c r="V401" s="2" t="inlineStr">
        <is>
          <t>Garnlav
Knärot
Dropptaggsvamp
Kolflarnlav
Mörk kolflarnlav
Mindre märgborre
Tjäder</t>
        </is>
      </c>
      <c r="W401">
        <f>HYPERLINK("https://klasma.github.io/Logging_2062/artfynd/A 28842-2026 artfynd.xlsx", "A 28842-2026")</f>
        <v/>
      </c>
      <c r="X401">
        <f>HYPERLINK("https://klasma.github.io/Logging_2062/kartor/A 28842-2026 karta.png", "A 28842-2026")</f>
        <v/>
      </c>
      <c r="Y401">
        <f>HYPERLINK("https://klasma.github.io/Logging_2062/kartor_geotiff/A 28842-2026 georefererad karta.tif", "A 28842-2026")</f>
        <v/>
      </c>
      <c r="Z401">
        <f>HYPERLINK("https://klasma.github.io/Logging_2062/knärot/A 28842-2026 karta knärot.png", "A 28842-2026")</f>
        <v/>
      </c>
      <c r="AA401">
        <f>HYPERLINK("https://klasma.github.io/Logging_2062/klagomål/A 28842-2026 FSC-klagomål.docx", "A 28842-2026")</f>
        <v/>
      </c>
      <c r="AB401">
        <f>HYPERLINK("https://klasma.github.io/Logging_2062/klagomålsmail/A 28842-2026 FSC-klagomål mail.docx", "A 28842-2026")</f>
        <v/>
      </c>
      <c r="AC401">
        <f>HYPERLINK("https://klasma.github.io/Logging_2062/tillsyn/A 28842-2026 tillsynsbegäran.docx", "A 28842-2026")</f>
        <v/>
      </c>
      <c r="AD401">
        <f>HYPERLINK("https://klasma.github.io/Logging_2062/tillsynsmail/A 28842-2026 tillsynsbegäran mail.docx", "A 28842-2026")</f>
        <v/>
      </c>
      <c r="AE401">
        <f>HYPERLINK("https://klasma.github.io/Logging_2062/fåglar/A 28842-2026 prioriterade fågelarter.docx", "A 28842-2026")</f>
        <v/>
      </c>
    </row>
    <row r="402" ht="15" customHeight="1">
      <c r="A402" t="inlineStr">
        <is>
          <t>A 58889-2025</t>
        </is>
      </c>
      <c r="B402" t="inlineStr">
        <is>
          <t>avverkningsanmälan</t>
        </is>
      </c>
      <c r="C402" t="inlineStr">
        <is>
          <t>Föryngringsavverkning</t>
        </is>
      </c>
      <c r="D402" s="1" t="n">
        <v>45987</v>
      </c>
      <c r="E402" s="1" t="n">
        <v>46319</v>
      </c>
      <c r="F402" t="inlineStr">
        <is>
          <t>DALARNAS LÄN</t>
        </is>
      </c>
      <c r="G402" t="inlineStr">
        <is>
          <t>ÄLVDALEN</t>
        </is>
      </c>
      <c r="H402" t="inlineStr">
        <is>
          <t>Sveaskog</t>
        </is>
      </c>
      <c r="I402" t="n">
        <v>6.6</v>
      </c>
      <c r="J402" t="n">
        <v>1</v>
      </c>
      <c r="K402" t="n">
        <v>1</v>
      </c>
      <c r="L402" t="n">
        <v>6</v>
      </c>
      <c r="M402" t="n">
        <v>0</v>
      </c>
      <c r="N402" t="n">
        <v>0</v>
      </c>
      <c r="O402" t="n">
        <v>0</v>
      </c>
      <c r="P402" t="n">
        <v>0</v>
      </c>
      <c r="Q402" t="n">
        <v>6</v>
      </c>
      <c r="R402" t="n">
        <v>0</v>
      </c>
      <c r="S402" t="n">
        <v>7</v>
      </c>
      <c r="T402" t="n">
        <v>7</v>
      </c>
      <c r="U402" t="n">
        <v>0</v>
      </c>
      <c r="V402" s="2" t="inlineStr">
        <is>
          <t>Dropptaggsvamp
Dvärgbägarlav
Kolflarnlav
Lunglav
Mörk kolflarnlav
Vedflamlav
Plattlummer</t>
        </is>
      </c>
      <c r="W402">
        <f>HYPERLINK("https://klasma.github.io/Logging_2039/artfynd/A 58889-2025 artfynd.xlsx", "A 58889-2025")</f>
        <v/>
      </c>
      <c r="X402">
        <f>HYPERLINK("https://klasma.github.io/Logging_2039/kartor/A 58889-2025 karta.png", "A 58889-2025")</f>
        <v/>
      </c>
      <c r="Y402">
        <f>HYPERLINK("https://klasma.github.io/Logging_2039/kartor_geotiff/A 58889-2025 georefererad karta.tif", "A 58889-2025")</f>
        <v/>
      </c>
      <c r="AA402">
        <f>HYPERLINK("https://klasma.github.io/Logging_2039/klagomål/A 58889-2025 FSC-klagomål.docx", "A 58889-2025")</f>
        <v/>
      </c>
      <c r="AB402">
        <f>HYPERLINK("https://klasma.github.io/Logging_2039/klagomålsmail/A 58889-2025 FSC-klagomål mail.docx", "A 58889-2025")</f>
        <v/>
      </c>
      <c r="AC402">
        <f>HYPERLINK("https://klasma.github.io/Logging_2039/tillsyn/A 58889-2025 tillsynsbegäran.docx", "A 58889-2025")</f>
        <v/>
      </c>
      <c r="AD402">
        <f>HYPERLINK("https://klasma.github.io/Logging_2039/tillsynsmail/A 58889-2025 tillsynsbegäran mail.docx", "A 58889-2025")</f>
        <v/>
      </c>
    </row>
    <row r="403" ht="15" customHeight="1">
      <c r="A403" t="inlineStr">
        <is>
          <t>A 31096-2026</t>
        </is>
      </c>
      <c r="B403" t="inlineStr">
        <is>
          <t>avverkningsanmälan</t>
        </is>
      </c>
      <c r="C403" t="inlineStr">
        <is>
          <t>Föryngringsavverkning</t>
        </is>
      </c>
      <c r="D403" s="1" t="n">
        <v>46216</v>
      </c>
      <c r="E403" s="1" t="n">
        <v>46319</v>
      </c>
      <c r="F403" t="inlineStr">
        <is>
          <t>DALARNAS LÄN</t>
        </is>
      </c>
      <c r="G403" t="inlineStr">
        <is>
          <t>BORLÄNGE</t>
        </is>
      </c>
      <c r="I403" t="n">
        <v>4.9</v>
      </c>
      <c r="J403" t="n">
        <v>5</v>
      </c>
      <c r="K403" t="n">
        <v>0</v>
      </c>
      <c r="L403" t="n">
        <v>3</v>
      </c>
      <c r="M403" t="n">
        <v>1</v>
      </c>
      <c r="N403" t="n">
        <v>0</v>
      </c>
      <c r="O403" t="n">
        <v>0</v>
      </c>
      <c r="P403" t="n">
        <v>0</v>
      </c>
      <c r="Q403" t="n">
        <v>4</v>
      </c>
      <c r="R403" t="n">
        <v>1</v>
      </c>
      <c r="S403" t="n">
        <v>7</v>
      </c>
      <c r="T403" t="n">
        <v>17</v>
      </c>
      <c r="U403" t="n">
        <v>11</v>
      </c>
      <c r="V403" s="2" t="inlineStr">
        <is>
          <t>Knärot
Dropptaggsvamp
Skarp dropptaggsvamp
Tretåig hackspett
Spillkråka
Tjäder
Tofsmes</t>
        </is>
      </c>
      <c r="W403">
        <f>HYPERLINK("https://klasma.github.io/Logging_2081/artfynd/A 31096-2026 artfynd.xlsx", "A 31096-2026")</f>
        <v/>
      </c>
      <c r="X403">
        <f>HYPERLINK("https://klasma.github.io/Logging_2081/kartor/A 31096-2026 karta.png", "A 31096-2026")</f>
        <v/>
      </c>
      <c r="Y403">
        <f>HYPERLINK("https://klasma.github.io/Logging_2081/kartor_geotiff/A 31096-2026 georefererad karta.tif", "A 31096-2026")</f>
        <v/>
      </c>
      <c r="Z403">
        <f>HYPERLINK("https://klasma.github.io/Logging_2081/knärot/A 31096-2026 karta knärot.png", "A 31096-2026")</f>
        <v/>
      </c>
      <c r="AA403">
        <f>HYPERLINK("https://klasma.github.io/Logging_2081/klagomål/A 31096-2026 FSC-klagomål.docx", "A 31096-2026")</f>
        <v/>
      </c>
      <c r="AB403">
        <f>HYPERLINK("https://klasma.github.io/Logging_2081/klagomålsmail/A 31096-2026 FSC-klagomål mail.docx", "A 31096-2026")</f>
        <v/>
      </c>
      <c r="AC403">
        <f>HYPERLINK("https://klasma.github.io/Logging_2081/tillsyn/A 31096-2026 tillsynsbegäran.docx", "A 31096-2026")</f>
        <v/>
      </c>
      <c r="AD403">
        <f>HYPERLINK("https://klasma.github.io/Logging_2081/tillsynsmail/A 31096-2026 tillsynsbegäran mail.docx", "A 31096-2026")</f>
        <v/>
      </c>
      <c r="AE403">
        <f>HYPERLINK("https://klasma.github.io/Logging_2081/fåglar/A 31096-2026 prioriterade fågelarter.docx", "A 31096-2026")</f>
        <v/>
      </c>
    </row>
    <row r="404" ht="15" customHeight="1">
      <c r="A404" t="inlineStr">
        <is>
          <t>A 62761-2025</t>
        </is>
      </c>
      <c r="B404" t="inlineStr">
        <is>
          <t>avverkningsanmälan</t>
        </is>
      </c>
      <c r="C404" t="inlineStr">
        <is>
          <t>Föryngringsavverkning</t>
        </is>
      </c>
      <c r="D404" s="1" t="n">
        <v>46008</v>
      </c>
      <c r="E404" s="1" t="n">
        <v>46319</v>
      </c>
      <c r="F404" t="inlineStr">
        <is>
          <t>DALARNAS LÄN</t>
        </is>
      </c>
      <c r="G404" t="inlineStr">
        <is>
          <t>ORSA</t>
        </is>
      </c>
      <c r="I404" t="n">
        <v>1.1</v>
      </c>
      <c r="J404" t="n">
        <v>1</v>
      </c>
      <c r="K404" t="n">
        <v>4</v>
      </c>
      <c r="L404" t="n">
        <v>1</v>
      </c>
      <c r="M404" t="n">
        <v>2</v>
      </c>
      <c r="N404" t="n">
        <v>0</v>
      </c>
      <c r="O404" t="n">
        <v>0</v>
      </c>
      <c r="P404" t="n">
        <v>0</v>
      </c>
      <c r="Q404" t="n">
        <v>3</v>
      </c>
      <c r="R404" t="n">
        <v>2</v>
      </c>
      <c r="S404" t="n">
        <v>7</v>
      </c>
      <c r="T404" t="n">
        <v>21</v>
      </c>
      <c r="U404" t="n">
        <v>17</v>
      </c>
      <c r="V404" s="2" t="inlineStr">
        <is>
          <t>Garnlav
Ringlav
Tretåig hackspett
Bronshjon
Mindre märgborre
Rödgul trumpetsvamp
Svavelriska</t>
        </is>
      </c>
      <c r="W404">
        <f>HYPERLINK("https://klasma.github.io/Logging_2034/artfynd/A 62761-2025 artfynd.xlsx", "A 62761-2025")</f>
        <v/>
      </c>
      <c r="X404">
        <f>HYPERLINK("https://klasma.github.io/Logging_2034/kartor/A 62761-2025 karta.png", "A 62761-2025")</f>
        <v/>
      </c>
      <c r="Y404">
        <f>HYPERLINK("https://klasma.github.io/Logging_2034/kartor_geotiff/A 62761-2025 georefererad karta.tif", "A 62761-2025")</f>
        <v/>
      </c>
      <c r="AA404">
        <f>HYPERLINK("https://klasma.github.io/Logging_2034/klagomål/A 62761-2025 FSC-klagomål.docx", "A 62761-2025")</f>
        <v/>
      </c>
      <c r="AB404">
        <f>HYPERLINK("https://klasma.github.io/Logging_2034/klagomålsmail/A 62761-2025 FSC-klagomål mail.docx", "A 62761-2025")</f>
        <v/>
      </c>
      <c r="AC404">
        <f>HYPERLINK("https://klasma.github.io/Logging_2034/tillsyn/A 62761-2025 tillsynsbegäran.docx", "A 62761-2025")</f>
        <v/>
      </c>
      <c r="AD404">
        <f>HYPERLINK("https://klasma.github.io/Logging_2034/tillsynsmail/A 62761-2025 tillsynsbegäran mail.docx", "A 62761-2025")</f>
        <v/>
      </c>
      <c r="AE404">
        <f>HYPERLINK("https://klasma.github.io/Logging_2034/fåglar/A 62761-2025 prioriterade fågelarter.docx", "A 62761-2025")</f>
        <v/>
      </c>
    </row>
    <row r="405" ht="15" customHeight="1">
      <c r="A405" t="inlineStr">
        <is>
          <t>A 63327-2025</t>
        </is>
      </c>
      <c r="B405" t="inlineStr">
        <is>
          <t>avverkningsanmälan</t>
        </is>
      </c>
      <c r="C405" t="inlineStr">
        <is>
          <t>Föryngringsavverkning</t>
        </is>
      </c>
      <c r="D405" s="1" t="n">
        <v>46010</v>
      </c>
      <c r="E405" s="1" t="n">
        <v>46319</v>
      </c>
      <c r="F405" t="inlineStr">
        <is>
          <t>DALARNAS LÄN</t>
        </is>
      </c>
      <c r="G405" t="inlineStr">
        <is>
          <t>ÄLVDALEN</t>
        </is>
      </c>
      <c r="H405" t="inlineStr">
        <is>
          <t>Allmännings- och besparingsskogar</t>
        </is>
      </c>
      <c r="I405" t="n">
        <v>9.800000000000001</v>
      </c>
      <c r="J405" t="n">
        <v>2</v>
      </c>
      <c r="K405" t="n">
        <v>1</v>
      </c>
      <c r="L405" t="n">
        <v>3</v>
      </c>
      <c r="M405" t="n">
        <v>1</v>
      </c>
      <c r="N405" t="n">
        <v>0</v>
      </c>
      <c r="O405" t="n">
        <v>0</v>
      </c>
      <c r="P405" t="n">
        <v>0</v>
      </c>
      <c r="Q405" t="n">
        <v>4</v>
      </c>
      <c r="R405" t="n">
        <v>1</v>
      </c>
      <c r="S405" t="n">
        <v>7</v>
      </c>
      <c r="T405" t="n">
        <v>22</v>
      </c>
      <c r="U405" t="n">
        <v>22</v>
      </c>
      <c r="V405" s="2" t="inlineStr">
        <is>
          <t>Garnlav
Mörk kolflarnlav
Tallticka
Vedskivlav
Mindre märgborre
Spillkråka
Tjäder</t>
        </is>
      </c>
      <c r="W405">
        <f>HYPERLINK("https://klasma.github.io/Logging_2039/artfynd/A 63327-2025 artfynd.xlsx", "A 63327-2025")</f>
        <v/>
      </c>
      <c r="X405">
        <f>HYPERLINK("https://klasma.github.io/Logging_2039/kartor/A 63327-2025 karta.png", "A 63327-2025")</f>
        <v/>
      </c>
      <c r="Y405">
        <f>HYPERLINK("https://klasma.github.io/Logging_2039/kartor_geotiff/A 63327-2025 georefererad karta.tif", "A 63327-2025")</f>
        <v/>
      </c>
      <c r="AA405">
        <f>HYPERLINK("https://klasma.github.io/Logging_2039/klagomål/A 63327-2025 FSC-klagomål.docx", "A 63327-2025")</f>
        <v/>
      </c>
      <c r="AB405">
        <f>HYPERLINK("https://klasma.github.io/Logging_2039/klagomålsmail/A 63327-2025 FSC-klagomål mail.docx", "A 63327-2025")</f>
        <v/>
      </c>
      <c r="AC405">
        <f>HYPERLINK("https://klasma.github.io/Logging_2039/tillsyn/A 63327-2025 tillsynsbegäran.docx", "A 63327-2025")</f>
        <v/>
      </c>
      <c r="AD405">
        <f>HYPERLINK("https://klasma.github.io/Logging_2039/tillsynsmail/A 63327-2025 tillsynsbegäran mail.docx", "A 63327-2025")</f>
        <v/>
      </c>
      <c r="AE405">
        <f>HYPERLINK("https://klasma.github.io/Logging_2039/fåglar/A 63327-2025 prioriterade fågelarter.docx", "A 63327-2025")</f>
        <v/>
      </c>
    </row>
    <row r="406" ht="15" customHeight="1">
      <c r="A406" t="inlineStr">
        <is>
          <t>A 37715-2026</t>
        </is>
      </c>
      <c r="B406" t="inlineStr">
        <is>
          <t>avverkningsanmälan</t>
        </is>
      </c>
      <c r="C406" t="inlineStr">
        <is>
          <t>Föryngringsavverkning</t>
        </is>
      </c>
      <c r="D406" s="1" t="n">
        <v>46279</v>
      </c>
      <c r="E406" s="1" t="n">
        <v>46319</v>
      </c>
      <c r="F406" t="inlineStr">
        <is>
          <t>DALARNAS LÄN</t>
        </is>
      </c>
      <c r="G406" t="inlineStr">
        <is>
          <t>LUDVIKA</t>
        </is>
      </c>
      <c r="H406" t="inlineStr">
        <is>
          <t>Bergvik skog väst AB</t>
        </is>
      </c>
      <c r="I406" t="n">
        <v>3.2</v>
      </c>
      <c r="J406" t="n">
        <v>0</v>
      </c>
      <c r="K406" t="n">
        <v>1</v>
      </c>
      <c r="L406" t="n">
        <v>5</v>
      </c>
      <c r="M406" t="n">
        <v>1</v>
      </c>
      <c r="N406" t="n">
        <v>0</v>
      </c>
      <c r="O406" t="n">
        <v>0</v>
      </c>
      <c r="P406" t="n">
        <v>0</v>
      </c>
      <c r="Q406" t="n">
        <v>6</v>
      </c>
      <c r="R406" t="n">
        <v>1</v>
      </c>
      <c r="S406" t="n">
        <v>7</v>
      </c>
      <c r="T406" t="n">
        <v>9</v>
      </c>
      <c r="U406" t="n">
        <v>0</v>
      </c>
      <c r="V406" s="2" t="inlineStr">
        <is>
          <t>Garnlav
Kolflarnlav
Kortskaftad ärgspik
Vedskivlav
Violettgrå tagellav
Vårtig dynlav
Nästlav</t>
        </is>
      </c>
      <c r="W406">
        <f>HYPERLINK("https://klasma.github.io/Logging_2085/artfynd/A 37715-2026 artfynd.xlsx", "A 37715-2026")</f>
        <v/>
      </c>
      <c r="X406">
        <f>HYPERLINK("https://klasma.github.io/Logging_2085/kartor/A 37715-2026 karta.png", "A 37715-2026")</f>
        <v/>
      </c>
      <c r="Y406">
        <f>HYPERLINK("https://klasma.github.io/Logging_2085/kartor_geotiff/A 37715-2026 georefererad karta.tif", "A 37715-2026")</f>
        <v/>
      </c>
      <c r="AA406">
        <f>HYPERLINK("https://klasma.github.io/Logging_2085/klagomål/A 37715-2026 FSC-klagomål.docx", "A 37715-2026")</f>
        <v/>
      </c>
      <c r="AB406">
        <f>HYPERLINK("https://klasma.github.io/Logging_2085/klagomålsmail/A 37715-2026 FSC-klagomål mail.docx", "A 37715-2026")</f>
        <v/>
      </c>
      <c r="AC406">
        <f>HYPERLINK("https://klasma.github.io/Logging_2085/tillsyn/A 37715-2026 tillsynsbegäran.docx", "A 37715-2026")</f>
        <v/>
      </c>
      <c r="AD406">
        <f>HYPERLINK("https://klasma.github.io/Logging_2085/tillsynsmail/A 37715-2026 tillsynsbegäran mail.docx", "A 37715-2026")</f>
        <v/>
      </c>
    </row>
    <row r="407" ht="15" customHeight="1">
      <c r="A407" t="inlineStr">
        <is>
          <t>A 34447-2024</t>
        </is>
      </c>
      <c r="B407" t="inlineStr">
        <is>
          <t>avverkningsanmälan</t>
        </is>
      </c>
      <c r="C407" t="inlineStr">
        <is>
          <t>Föryngringsavverkning</t>
        </is>
      </c>
      <c r="D407" s="1" t="n">
        <v>45525</v>
      </c>
      <c r="E407" s="1" t="n">
        <v>46319</v>
      </c>
      <c r="F407" t="inlineStr">
        <is>
          <t>DALARNAS LÄN</t>
        </is>
      </c>
      <c r="G407" t="inlineStr">
        <is>
          <t>MORA</t>
        </is>
      </c>
      <c r="I407" t="n">
        <v>8.300000000000001</v>
      </c>
      <c r="J407" t="n">
        <v>0</v>
      </c>
      <c r="K407" t="n">
        <v>0</v>
      </c>
      <c r="L407" t="n">
        <v>6</v>
      </c>
      <c r="M407" t="n">
        <v>1</v>
      </c>
      <c r="N407" t="n">
        <v>0</v>
      </c>
      <c r="O407" t="n">
        <v>0</v>
      </c>
      <c r="P407" t="n">
        <v>0</v>
      </c>
      <c r="Q407" t="n">
        <v>7</v>
      </c>
      <c r="R407" t="n">
        <v>1</v>
      </c>
      <c r="S407" t="n">
        <v>7</v>
      </c>
      <c r="T407" t="n">
        <v>35</v>
      </c>
      <c r="U407" t="n">
        <v>35</v>
      </c>
      <c r="V407" s="2" t="inlineStr">
        <is>
          <t>Garnlav
Blanksvart spiklav
Dvärgbägarlav
Kolflarnlav
Mörk kolflarnlav
Vedflamlav
Vedskivlav</t>
        </is>
      </c>
      <c r="W407">
        <f>HYPERLINK("https://klasma.github.io/Logging_2062/artfynd/A 34447-2024 artfynd.xlsx", "A 34447-2024")</f>
        <v/>
      </c>
      <c r="X407">
        <f>HYPERLINK("https://klasma.github.io/Logging_2062/kartor/A 34447-2024 karta.png", "A 34447-2024")</f>
        <v/>
      </c>
      <c r="Y407">
        <f>HYPERLINK("https://klasma.github.io/Logging_2062/kartor_geotiff/A 34447-2024 georefererad karta.tif", "A 34447-2024")</f>
        <v/>
      </c>
      <c r="AA407">
        <f>HYPERLINK("https://klasma.github.io/Logging_2062/klagomål/A 34447-2024 FSC-klagomål.docx", "A 34447-2024")</f>
        <v/>
      </c>
      <c r="AB407">
        <f>HYPERLINK("https://klasma.github.io/Logging_2062/klagomålsmail/A 34447-2024 FSC-klagomål mail.docx", "A 34447-2024")</f>
        <v/>
      </c>
      <c r="AC407">
        <f>HYPERLINK("https://klasma.github.io/Logging_2062/tillsyn/A 34447-2024 tillsynsbegäran.docx", "A 34447-2024")</f>
        <v/>
      </c>
      <c r="AD407">
        <f>HYPERLINK("https://klasma.github.io/Logging_2062/tillsynsmail/A 34447-2024 tillsynsbegäran mail.docx", "A 34447-2024")</f>
        <v/>
      </c>
    </row>
    <row r="408" ht="15" customHeight="1">
      <c r="A408" t="inlineStr">
        <is>
          <t>A 39877-2026</t>
        </is>
      </c>
      <c r="B408" t="inlineStr">
        <is>
          <t>avverkningsanmälan</t>
        </is>
      </c>
      <c r="C408" t="inlineStr">
        <is>
          <t>Föryngringsavverkning</t>
        </is>
      </c>
      <c r="D408" s="1" t="n">
        <v>46290</v>
      </c>
      <c r="E408" s="1" t="n">
        <v>46319</v>
      </c>
      <c r="F408" t="inlineStr">
        <is>
          <t>DALARNAS LÄN</t>
        </is>
      </c>
      <c r="G408" t="inlineStr">
        <is>
          <t>FALUN</t>
        </is>
      </c>
      <c r="I408" t="n">
        <v>1.9</v>
      </c>
      <c r="J408" t="n">
        <v>1</v>
      </c>
      <c r="K408" t="n">
        <v>1</v>
      </c>
      <c r="L408" t="n">
        <v>4</v>
      </c>
      <c r="M408" t="n">
        <v>2</v>
      </c>
      <c r="N408" t="n">
        <v>0</v>
      </c>
      <c r="O408" t="n">
        <v>0</v>
      </c>
      <c r="P408" t="n">
        <v>0</v>
      </c>
      <c r="Q408" t="n">
        <v>6</v>
      </c>
      <c r="R408" t="n">
        <v>2</v>
      </c>
      <c r="S408" t="n">
        <v>7</v>
      </c>
      <c r="T408" t="n">
        <v>7</v>
      </c>
      <c r="U408" t="n">
        <v>0</v>
      </c>
      <c r="V408" s="2" t="inlineStr">
        <is>
          <t>Garnlav
Knärot
Kolflarnlav
Mörk kolflarnlav
Vedflikmossa
Vedtrappmossa
Gulnål</t>
        </is>
      </c>
      <c r="W408">
        <f>HYPERLINK("https://klasma.github.io/Logging_2080/artfynd/A 39877-2026 artfynd.xlsx", "A 39877-2026")</f>
        <v/>
      </c>
      <c r="X408">
        <f>HYPERLINK("https://klasma.github.io/Logging_2080/kartor/A 39877-2026 karta.png", "A 39877-2026")</f>
        <v/>
      </c>
      <c r="Y408">
        <f>HYPERLINK("https://klasma.github.io/Logging_2080/kartor_geotiff/A 39877-2026 georefererad karta.tif", "A 39877-2026")</f>
        <v/>
      </c>
      <c r="Z408">
        <f>HYPERLINK("https://klasma.github.io/Logging_2080/knärot/A 39877-2026 karta knärot.png", "A 39877-2026")</f>
        <v/>
      </c>
      <c r="AA408">
        <f>HYPERLINK("https://klasma.github.io/Logging_2080/klagomål/A 39877-2026 FSC-klagomål.docx", "A 39877-2026")</f>
        <v/>
      </c>
      <c r="AB408">
        <f>HYPERLINK("https://klasma.github.io/Logging_2080/klagomålsmail/A 39877-2026 FSC-klagomål mail.docx", "A 39877-2026")</f>
        <v/>
      </c>
      <c r="AC408">
        <f>HYPERLINK("https://klasma.github.io/Logging_2080/tillsyn/A 39877-2026 tillsynsbegäran.docx", "A 39877-2026")</f>
        <v/>
      </c>
      <c r="AD408">
        <f>HYPERLINK("https://klasma.github.io/Logging_2080/tillsynsmail/A 39877-2026 tillsynsbegäran mail.docx", "A 39877-2026")</f>
        <v/>
      </c>
    </row>
    <row r="409" ht="15" customHeight="1">
      <c r="A409" t="inlineStr">
        <is>
          <t>A 6170-2026</t>
        </is>
      </c>
      <c r="B409" t="inlineStr">
        <is>
          <t>avverkningsanmälan</t>
        </is>
      </c>
      <c r="C409" t="inlineStr">
        <is>
          <t>Föryngringsavverkning</t>
        </is>
      </c>
      <c r="D409" s="1" t="n">
        <v>46055</v>
      </c>
      <c r="E409" s="1" t="n">
        <v>46319</v>
      </c>
      <c r="F409" t="inlineStr">
        <is>
          <t>DALARNAS LÄN</t>
        </is>
      </c>
      <c r="G409" t="inlineStr">
        <is>
          <t>MALUNG-SÄLEN</t>
        </is>
      </c>
      <c r="H409" t="inlineStr">
        <is>
          <t>Kommuner</t>
        </is>
      </c>
      <c r="I409" t="n">
        <v>8.5</v>
      </c>
      <c r="J409" t="n">
        <v>2</v>
      </c>
      <c r="K409" t="n">
        <v>1</v>
      </c>
      <c r="L409" t="n">
        <v>4</v>
      </c>
      <c r="M409" t="n">
        <v>1</v>
      </c>
      <c r="N409" t="n">
        <v>0</v>
      </c>
      <c r="O409" t="n">
        <v>0</v>
      </c>
      <c r="P409" t="n">
        <v>0</v>
      </c>
      <c r="Q409" t="n">
        <v>5</v>
      </c>
      <c r="R409" t="n">
        <v>1</v>
      </c>
      <c r="S409" t="n">
        <v>7</v>
      </c>
      <c r="T409" t="n">
        <v>74</v>
      </c>
      <c r="U409" t="n">
        <v>74</v>
      </c>
      <c r="V409" s="2" t="inlineStr">
        <is>
          <t>Garnlav
Dvärgbägarlav
Mörk kolflarnlav
Tretåig hackspett
Vedskivlav
Nästlav
Tjäder</t>
        </is>
      </c>
      <c r="W409">
        <f>HYPERLINK("https://klasma.github.io/Logging_2023/artfynd/A 6170-2026 artfynd.xlsx", "A 6170-2026")</f>
        <v/>
      </c>
      <c r="X409">
        <f>HYPERLINK("https://klasma.github.io/Logging_2023/kartor/A 6170-2026 karta.png", "A 6170-2026")</f>
        <v/>
      </c>
      <c r="Y409">
        <f>HYPERLINK("https://klasma.github.io/Logging_2023/kartor_geotiff/A 6170-2026 georefererad karta.tif", "A 6170-2026")</f>
        <v/>
      </c>
      <c r="AA409">
        <f>HYPERLINK("https://klasma.github.io/Logging_2023/klagomål/A 6170-2026 FSC-klagomål.docx", "A 6170-2026")</f>
        <v/>
      </c>
      <c r="AB409">
        <f>HYPERLINK("https://klasma.github.io/Logging_2023/klagomålsmail/A 6170-2026 FSC-klagomål mail.docx", "A 6170-2026")</f>
        <v/>
      </c>
      <c r="AC409">
        <f>HYPERLINK("https://klasma.github.io/Logging_2023/tillsyn/A 6170-2026 tillsynsbegäran.docx", "A 6170-2026")</f>
        <v/>
      </c>
      <c r="AD409">
        <f>HYPERLINK("https://klasma.github.io/Logging_2023/tillsynsmail/A 6170-2026 tillsynsbegäran mail.docx", "A 6170-2026")</f>
        <v/>
      </c>
      <c r="AE409">
        <f>HYPERLINK("https://klasma.github.io/Logging_2023/fåglar/A 6170-2026 prioriterade fågelarter.docx", "A 6170-2026")</f>
        <v/>
      </c>
    </row>
    <row r="410" ht="15" customHeight="1">
      <c r="A410" t="inlineStr">
        <is>
          <t>A 6847-2026</t>
        </is>
      </c>
      <c r="B410" t="inlineStr">
        <is>
          <t>avverkningsanmälan</t>
        </is>
      </c>
      <c r="C410" t="inlineStr">
        <is>
          <t>Föryngringsavverkning</t>
        </is>
      </c>
      <c r="D410" s="1" t="n">
        <v>46057</v>
      </c>
      <c r="E410" s="1" t="n">
        <v>46319</v>
      </c>
      <c r="F410" t="inlineStr">
        <is>
          <t>DALARNAS LÄN</t>
        </is>
      </c>
      <c r="G410" t="inlineStr">
        <is>
          <t>ÄLVDALEN</t>
        </is>
      </c>
      <c r="I410" t="n">
        <v>3.6</v>
      </c>
      <c r="J410" t="n">
        <v>2</v>
      </c>
      <c r="K410" t="n">
        <v>1</v>
      </c>
      <c r="L410" t="n">
        <v>3</v>
      </c>
      <c r="M410" t="n">
        <v>1</v>
      </c>
      <c r="N410" t="n">
        <v>0</v>
      </c>
      <c r="O410" t="n">
        <v>0</v>
      </c>
      <c r="P410" t="n">
        <v>0</v>
      </c>
      <c r="Q410" t="n">
        <v>4</v>
      </c>
      <c r="R410" t="n">
        <v>1</v>
      </c>
      <c r="S410" t="n">
        <v>7</v>
      </c>
      <c r="T410" t="n">
        <v>64</v>
      </c>
      <c r="U410" t="n">
        <v>64</v>
      </c>
      <c r="V410" s="2" t="inlineStr">
        <is>
          <t>Garnlav
Apelsinticka
Vedskivlav
Älg
Mindre märgborre
Spillkråka
Tjäder</t>
        </is>
      </c>
      <c r="W410">
        <f>HYPERLINK("https://klasma.github.io/Logging_2039/artfynd/A 6847-2026 artfynd.xlsx", "A 6847-2026")</f>
        <v/>
      </c>
      <c r="X410">
        <f>HYPERLINK("https://klasma.github.io/Logging_2039/kartor/A 6847-2026 karta.png", "A 6847-2026")</f>
        <v/>
      </c>
      <c r="Y410">
        <f>HYPERLINK("https://klasma.github.io/Logging_2039/kartor_geotiff/A 6847-2026 georefererad karta.tif", "A 6847-2026")</f>
        <v/>
      </c>
      <c r="AA410">
        <f>HYPERLINK("https://klasma.github.io/Logging_2039/klagomål/A 6847-2026 FSC-klagomål.docx", "A 6847-2026")</f>
        <v/>
      </c>
      <c r="AB410">
        <f>HYPERLINK("https://klasma.github.io/Logging_2039/klagomålsmail/A 6847-2026 FSC-klagomål mail.docx", "A 6847-2026")</f>
        <v/>
      </c>
      <c r="AC410">
        <f>HYPERLINK("https://klasma.github.io/Logging_2039/tillsyn/A 6847-2026 tillsynsbegäran.docx", "A 6847-2026")</f>
        <v/>
      </c>
      <c r="AD410">
        <f>HYPERLINK("https://klasma.github.io/Logging_2039/tillsynsmail/A 6847-2026 tillsynsbegäran mail.docx", "A 6847-2026")</f>
        <v/>
      </c>
      <c r="AE410">
        <f>HYPERLINK("https://klasma.github.io/Logging_2039/fåglar/A 6847-2026 prioriterade fågelarter.docx", "A 6847-2026")</f>
        <v/>
      </c>
    </row>
    <row r="411" ht="15" customHeight="1">
      <c r="A411" t="inlineStr">
        <is>
          <t>A 33492-2026</t>
        </is>
      </c>
      <c r="B411" t="inlineStr">
        <is>
          <t>avverkningsanmälan</t>
        </is>
      </c>
      <c r="C411" t="inlineStr">
        <is>
          <t>Föryngringsavverkning</t>
        </is>
      </c>
      <c r="D411" s="1" t="n">
        <v>46247</v>
      </c>
      <c r="E411" s="1" t="n">
        <v>46319</v>
      </c>
      <c r="F411" t="inlineStr">
        <is>
          <t>DALARNAS LÄN</t>
        </is>
      </c>
      <c r="G411" t="inlineStr">
        <is>
          <t>BORLÄNGE</t>
        </is>
      </c>
      <c r="I411" t="n">
        <v>2.5</v>
      </c>
      <c r="J411" t="n">
        <v>2</v>
      </c>
      <c r="K411" t="n">
        <v>2</v>
      </c>
      <c r="L411" t="n">
        <v>4</v>
      </c>
      <c r="M411" t="n">
        <v>1</v>
      </c>
      <c r="N411" t="n">
        <v>0</v>
      </c>
      <c r="O411" t="n">
        <v>0</v>
      </c>
      <c r="P411" t="n">
        <v>0</v>
      </c>
      <c r="Q411" t="n">
        <v>5</v>
      </c>
      <c r="R411" t="n">
        <v>1</v>
      </c>
      <c r="S411" t="n">
        <v>7</v>
      </c>
      <c r="T411" t="n">
        <v>10</v>
      </c>
      <c r="U411" t="n">
        <v>0</v>
      </c>
      <c r="V411" s="2" t="inlineStr">
        <is>
          <t>Knärot
Rosenticka
Rynkskinn
Tretåig hackspett
Ullticka
Gullgröppa
Trådticka</t>
        </is>
      </c>
      <c r="W411">
        <f>HYPERLINK("https://klasma.github.io/Logging_2081/artfynd/A 33492-2026 artfynd.xlsx", "A 33492-2026")</f>
        <v/>
      </c>
      <c r="X411">
        <f>HYPERLINK("https://klasma.github.io/Logging_2081/kartor/A 33492-2026 karta.png", "A 33492-2026")</f>
        <v/>
      </c>
      <c r="Y411">
        <f>HYPERLINK("https://klasma.github.io/Logging_2081/kartor_geotiff/A 33492-2026 georefererad karta.tif", "A 33492-2026")</f>
        <v/>
      </c>
      <c r="Z411">
        <f>HYPERLINK("https://klasma.github.io/Logging_2081/knärot/A 33492-2026 karta knärot.png", "A 33492-2026")</f>
        <v/>
      </c>
      <c r="AA411">
        <f>HYPERLINK("https://klasma.github.io/Logging_2081/klagomål/A 33492-2026 FSC-klagomål.docx", "A 33492-2026")</f>
        <v/>
      </c>
      <c r="AB411">
        <f>HYPERLINK("https://klasma.github.io/Logging_2081/klagomålsmail/A 33492-2026 FSC-klagomål mail.docx", "A 33492-2026")</f>
        <v/>
      </c>
      <c r="AC411">
        <f>HYPERLINK("https://klasma.github.io/Logging_2081/tillsyn/A 33492-2026 tillsynsbegäran.docx", "A 33492-2026")</f>
        <v/>
      </c>
      <c r="AD411">
        <f>HYPERLINK("https://klasma.github.io/Logging_2081/tillsynsmail/A 33492-2026 tillsynsbegäran mail.docx", "A 33492-2026")</f>
        <v/>
      </c>
      <c r="AE411">
        <f>HYPERLINK("https://klasma.github.io/Logging_2081/fåglar/A 33492-2026 prioriterade fågelarter.docx", "A 33492-2026")</f>
        <v/>
      </c>
    </row>
    <row r="412" ht="15" customHeight="1">
      <c r="A412" t="inlineStr">
        <is>
          <t>A 707-2024</t>
        </is>
      </c>
      <c r="B412" t="inlineStr">
        <is>
          <t>avverkningsanmälan</t>
        </is>
      </c>
      <c r="C412" t="inlineStr">
        <is>
          <t>Föryngringsavverkning</t>
        </is>
      </c>
      <c r="D412" s="1" t="n">
        <v>45300</v>
      </c>
      <c r="E412" s="1" t="n">
        <v>46319</v>
      </c>
      <c r="F412" t="inlineStr">
        <is>
          <t>DALARNAS LÄN</t>
        </is>
      </c>
      <c r="G412" t="inlineStr">
        <is>
          <t>ORSA</t>
        </is>
      </c>
      <c r="I412" t="n">
        <v>9.4</v>
      </c>
      <c r="J412" t="n">
        <v>2</v>
      </c>
      <c r="K412" t="n">
        <v>0</v>
      </c>
      <c r="L412" t="n">
        <v>5</v>
      </c>
      <c r="M412" t="n">
        <v>1</v>
      </c>
      <c r="N412" t="n">
        <v>0</v>
      </c>
      <c r="O412" t="n">
        <v>0</v>
      </c>
      <c r="P412" t="n">
        <v>0</v>
      </c>
      <c r="Q412" t="n">
        <v>6</v>
      </c>
      <c r="R412" t="n">
        <v>1</v>
      </c>
      <c r="S412" t="n">
        <v>7</v>
      </c>
      <c r="T412" t="n">
        <v>21</v>
      </c>
      <c r="U412" t="n">
        <v>21</v>
      </c>
      <c r="V412" s="2" t="inlineStr">
        <is>
          <t>Garnlav
Doftskinn
Knottrig blåslav
Talltagel
Tretåig hackspett
Violettgrå tagellav
Svartvit flugsnappare</t>
        </is>
      </c>
      <c r="W412">
        <f>HYPERLINK("https://klasma.github.io/Logging_2034/artfynd/A 707-2024 artfynd.xlsx", "A 707-2024")</f>
        <v/>
      </c>
      <c r="X412">
        <f>HYPERLINK("https://klasma.github.io/Logging_2034/kartor/A 707-2024 karta.png", "A 707-2024")</f>
        <v/>
      </c>
      <c r="Y412">
        <f>HYPERLINK("https://klasma.github.io/Logging_2034/kartor_geotiff/A 707-2024 georefererad karta.tif", "A 707-2024")</f>
        <v/>
      </c>
      <c r="AA412">
        <f>HYPERLINK("https://klasma.github.io/Logging_2034/klagomål/A 707-2024 FSC-klagomål.docx", "A 707-2024")</f>
        <v/>
      </c>
      <c r="AB412">
        <f>HYPERLINK("https://klasma.github.io/Logging_2034/klagomålsmail/A 707-2024 FSC-klagomål mail.docx", "A 707-2024")</f>
        <v/>
      </c>
      <c r="AC412">
        <f>HYPERLINK("https://klasma.github.io/Logging_2034/tillsyn/A 707-2024 tillsynsbegäran.docx", "A 707-2024")</f>
        <v/>
      </c>
      <c r="AD412">
        <f>HYPERLINK("https://klasma.github.io/Logging_2034/tillsynsmail/A 707-2024 tillsynsbegäran mail.docx", "A 707-2024")</f>
        <v/>
      </c>
      <c r="AE412">
        <f>HYPERLINK("https://klasma.github.io/Logging_2034/fåglar/A 707-2024 prioriterade fågelarter.docx", "A 707-2024")</f>
        <v/>
      </c>
    </row>
    <row r="413" ht="15" customHeight="1">
      <c r="A413" t="inlineStr">
        <is>
          <t>A 31821-2025</t>
        </is>
      </c>
      <c r="B413" t="inlineStr">
        <is>
          <t>avverkningsanmälan</t>
        </is>
      </c>
      <c r="C413" t="inlineStr">
        <is>
          <t>Föryngringsavverkning</t>
        </is>
      </c>
      <c r="D413" s="1" t="n">
        <v>45834</v>
      </c>
      <c r="E413" s="1" t="n">
        <v>46319</v>
      </c>
      <c r="F413" t="inlineStr">
        <is>
          <t>DALARNAS LÄN</t>
        </is>
      </c>
      <c r="G413" t="inlineStr">
        <is>
          <t>ÄLVDALEN</t>
        </is>
      </c>
      <c r="H413" t="inlineStr">
        <is>
          <t>Allmännings- och besparingsskogar</t>
        </is>
      </c>
      <c r="I413" t="n">
        <v>1.2</v>
      </c>
      <c r="J413" t="n">
        <v>1</v>
      </c>
      <c r="K413" t="n">
        <v>1</v>
      </c>
      <c r="L413" t="n">
        <v>5</v>
      </c>
      <c r="M413" t="n">
        <v>1</v>
      </c>
      <c r="N413" t="n">
        <v>0</v>
      </c>
      <c r="O413" t="n">
        <v>0</v>
      </c>
      <c r="P413" t="n">
        <v>0</v>
      </c>
      <c r="Q413" t="n">
        <v>6</v>
      </c>
      <c r="R413" t="n">
        <v>1</v>
      </c>
      <c r="S413" t="n">
        <v>7</v>
      </c>
      <c r="T413" t="n">
        <v>16</v>
      </c>
      <c r="U413" t="n">
        <v>16</v>
      </c>
      <c r="V413" s="2" t="inlineStr">
        <is>
          <t>Fläckporing
Blanksvart spiklav
Kolflarnlav
Varglav
Vedflamlav
Vedskivlav
Mindre märgborre</t>
        </is>
      </c>
      <c r="W413">
        <f>HYPERLINK("https://klasma.github.io/Logging_2039/artfynd/A 31821-2025 artfynd.xlsx", "A 31821-2025")</f>
        <v/>
      </c>
      <c r="X413">
        <f>HYPERLINK("https://klasma.github.io/Logging_2039/kartor/A 31821-2025 karta.png", "A 31821-2025")</f>
        <v/>
      </c>
      <c r="Y413">
        <f>HYPERLINK("https://klasma.github.io/Logging_2039/kartor_geotiff/A 31821-2025 georefererad karta.tif", "A 31821-2025")</f>
        <v/>
      </c>
      <c r="AA413">
        <f>HYPERLINK("https://klasma.github.io/Logging_2039/klagomål/A 31821-2025 FSC-klagomål.docx", "A 31821-2025")</f>
        <v/>
      </c>
      <c r="AB413">
        <f>HYPERLINK("https://klasma.github.io/Logging_2039/klagomålsmail/A 31821-2025 FSC-klagomål mail.docx", "A 31821-2025")</f>
        <v/>
      </c>
      <c r="AC413">
        <f>HYPERLINK("https://klasma.github.io/Logging_2039/tillsyn/A 31821-2025 tillsynsbegäran.docx", "A 31821-2025")</f>
        <v/>
      </c>
      <c r="AD413">
        <f>HYPERLINK("https://klasma.github.io/Logging_2039/tillsynsmail/A 31821-2025 tillsynsbegäran mail.docx", "A 31821-2025")</f>
        <v/>
      </c>
    </row>
    <row r="414" ht="15" customHeight="1">
      <c r="A414" t="inlineStr">
        <is>
          <t>A 35890-2025</t>
        </is>
      </c>
      <c r="B414" t="inlineStr">
        <is>
          <t>avverkningsanmälan</t>
        </is>
      </c>
      <c r="C414" t="inlineStr">
        <is>
          <t>Avverkning för att bevara och utveckla /försöksver</t>
        </is>
      </c>
      <c r="D414" s="1" t="n">
        <v>45862</v>
      </c>
      <c r="E414" s="1" t="n">
        <v>46319</v>
      </c>
      <c r="F414" t="inlineStr">
        <is>
          <t>DALARNAS LÄN</t>
        </is>
      </c>
      <c r="G414" t="inlineStr">
        <is>
          <t>SMEDJEBACKEN</t>
        </is>
      </c>
      <c r="I414" t="n">
        <v>0.7</v>
      </c>
      <c r="J414" t="n">
        <v>1</v>
      </c>
      <c r="K414" t="n">
        <v>6</v>
      </c>
      <c r="L414" t="n">
        <v>0</v>
      </c>
      <c r="M414" t="n">
        <v>0</v>
      </c>
      <c r="N414" t="n">
        <v>0</v>
      </c>
      <c r="O414" t="n">
        <v>0</v>
      </c>
      <c r="P414" t="n">
        <v>0</v>
      </c>
      <c r="Q414" t="n">
        <v>0</v>
      </c>
      <c r="R414" t="n">
        <v>0</v>
      </c>
      <c r="S414" t="n">
        <v>7</v>
      </c>
      <c r="T414" t="n">
        <v>9</v>
      </c>
      <c r="U414" t="n">
        <v>2</v>
      </c>
      <c r="V414" s="2" t="inlineStr">
        <is>
          <t>Bågpraktmossa
Grov baronmossa
Guldlockmossa
Stenporella
Svart trolldruva
Trädporella
Blåsippa</t>
        </is>
      </c>
      <c r="W414">
        <f>HYPERLINK("https://klasma.github.io/Logging_2061/artfynd/A 35890-2025 artfynd.xlsx", "A 35890-2025")</f>
        <v/>
      </c>
      <c r="X414">
        <f>HYPERLINK("https://klasma.github.io/Logging_2061/kartor/A 35890-2025 karta.png", "A 35890-2025")</f>
        <v/>
      </c>
      <c r="Y414">
        <f>HYPERLINK("https://klasma.github.io/Logging_2061/kartor_geotiff/A 35890-2025 georefererad karta.tif", "A 35890-2025")</f>
        <v/>
      </c>
      <c r="AA414">
        <f>HYPERLINK("https://klasma.github.io/Logging_2061/klagomål/A 35890-2025 FSC-klagomål.docx", "A 35890-2025")</f>
        <v/>
      </c>
      <c r="AB414">
        <f>HYPERLINK("https://klasma.github.io/Logging_2061/klagomålsmail/A 35890-2025 FSC-klagomål mail.docx", "A 35890-2025")</f>
        <v/>
      </c>
      <c r="AC414">
        <f>HYPERLINK("https://klasma.github.io/Logging_2061/tillsyn/A 35890-2025 tillsynsbegäran.docx", "A 35890-2025")</f>
        <v/>
      </c>
      <c r="AD414">
        <f>HYPERLINK("https://klasma.github.io/Logging_2061/tillsynsmail/A 35890-2025 tillsynsbegäran mail.docx", "A 35890-2025")</f>
        <v/>
      </c>
    </row>
    <row r="415" ht="15" customHeight="1">
      <c r="A415" t="inlineStr">
        <is>
          <t>A 33626-2026</t>
        </is>
      </c>
      <c r="B415" t="inlineStr">
        <is>
          <t>avverkningsanmälan</t>
        </is>
      </c>
      <c r="C415" t="inlineStr">
        <is>
          <t>Föryngringsavverkning</t>
        </is>
      </c>
      <c r="D415" s="1" t="n">
        <v>46248</v>
      </c>
      <c r="E415" s="1" t="n">
        <v>46319</v>
      </c>
      <c r="F415" t="inlineStr">
        <is>
          <t>DALARNAS LÄN</t>
        </is>
      </c>
      <c r="G415" t="inlineStr">
        <is>
          <t>MORA</t>
        </is>
      </c>
      <c r="I415" t="n">
        <v>1.2</v>
      </c>
      <c r="J415" t="n">
        <v>3</v>
      </c>
      <c r="K415" t="n">
        <v>1</v>
      </c>
      <c r="L415" t="n">
        <v>3</v>
      </c>
      <c r="M415" t="n">
        <v>1</v>
      </c>
      <c r="N415" t="n">
        <v>0</v>
      </c>
      <c r="O415" t="n">
        <v>0</v>
      </c>
      <c r="P415" t="n">
        <v>0</v>
      </c>
      <c r="Q415" t="n">
        <v>4</v>
      </c>
      <c r="R415" t="n">
        <v>1</v>
      </c>
      <c r="S415" t="n">
        <v>7</v>
      </c>
      <c r="T415" t="n">
        <v>13</v>
      </c>
      <c r="U415" t="n">
        <v>0</v>
      </c>
      <c r="V415" s="2" t="inlineStr">
        <is>
          <t>Garnlav
Mörk kolflarnlav
Tretåig hackspett
Vedskivlav
Mindre märgborre
Spillkråka
Tjäder</t>
        </is>
      </c>
      <c r="W415">
        <f>HYPERLINK("https://klasma.github.io/Logging_2062/artfynd/A 33626-2026 artfynd.xlsx", "A 33626-2026")</f>
        <v/>
      </c>
      <c r="X415">
        <f>HYPERLINK("https://klasma.github.io/Logging_2062/kartor/A 33626-2026 karta.png", "A 33626-2026")</f>
        <v/>
      </c>
      <c r="Y415">
        <f>HYPERLINK("https://klasma.github.io/Logging_2062/kartor_geotiff/A 33626-2026 georefererad karta.tif", "A 33626-2026")</f>
        <v/>
      </c>
      <c r="AA415">
        <f>HYPERLINK("https://klasma.github.io/Logging_2062/klagomål/A 33626-2026 FSC-klagomål.docx", "A 33626-2026")</f>
        <v/>
      </c>
      <c r="AB415">
        <f>HYPERLINK("https://klasma.github.io/Logging_2062/klagomålsmail/A 33626-2026 FSC-klagomål mail.docx", "A 33626-2026")</f>
        <v/>
      </c>
      <c r="AC415">
        <f>HYPERLINK("https://klasma.github.io/Logging_2062/tillsyn/A 33626-2026 tillsynsbegäran.docx", "A 33626-2026")</f>
        <v/>
      </c>
      <c r="AD415">
        <f>HYPERLINK("https://klasma.github.io/Logging_2062/tillsynsmail/A 33626-2026 tillsynsbegäran mail.docx", "A 33626-2026")</f>
        <v/>
      </c>
      <c r="AE415">
        <f>HYPERLINK("https://klasma.github.io/Logging_2062/fåglar/A 33626-2026 prioriterade fågelarter.docx", "A 33626-2026")</f>
        <v/>
      </c>
    </row>
    <row r="416" ht="15" customHeight="1">
      <c r="A416" t="inlineStr">
        <is>
          <t>A 61535-2022</t>
        </is>
      </c>
      <c r="B416" t="inlineStr">
        <is>
          <t>avverkningsanmälan</t>
        </is>
      </c>
      <c r="C416" t="inlineStr">
        <is>
          <t>Föryngringsavverkning</t>
        </is>
      </c>
      <c r="D416" s="1" t="n">
        <v>44916</v>
      </c>
      <c r="E416" s="1" t="n">
        <v>46319</v>
      </c>
      <c r="F416" t="inlineStr">
        <is>
          <t>DALARNAS LÄN</t>
        </is>
      </c>
      <c r="G416" t="inlineStr">
        <is>
          <t>FALUN</t>
        </is>
      </c>
      <c r="I416" t="n">
        <v>13.1</v>
      </c>
      <c r="J416" t="n">
        <v>5</v>
      </c>
      <c r="K416" t="n">
        <v>1</v>
      </c>
      <c r="L416" t="n">
        <v>4</v>
      </c>
      <c r="M416" t="n">
        <v>1</v>
      </c>
      <c r="N416" t="n">
        <v>0</v>
      </c>
      <c r="O416" t="n">
        <v>0</v>
      </c>
      <c r="P416" t="n">
        <v>0</v>
      </c>
      <c r="Q416" t="n">
        <v>5</v>
      </c>
      <c r="R416" t="n">
        <v>1</v>
      </c>
      <c r="S416" t="n">
        <v>7</v>
      </c>
      <c r="T416" t="n">
        <v>7</v>
      </c>
      <c r="U416" t="n">
        <v>7</v>
      </c>
      <c r="V416" s="2" t="inlineStr">
        <is>
          <t>Knärot
Entita
Rosenticka
Sparvuggla
Talltita
Tibast
Spillkråka</t>
        </is>
      </c>
      <c r="W416">
        <f>HYPERLINK("https://klasma.github.io/Logging_2080/artfynd/A 61535-2022 artfynd.xlsx", "A 61535-2022")</f>
        <v/>
      </c>
      <c r="X416">
        <f>HYPERLINK("https://klasma.github.io/Logging_2080/kartor/A 61535-2022 karta.png", "A 61535-2022")</f>
        <v/>
      </c>
      <c r="Y416">
        <f>HYPERLINK("https://klasma.github.io/Logging_2080/kartor_geotiff/A 61535-2022 georefererad karta.tif", "A 61535-2022")</f>
        <v/>
      </c>
      <c r="Z416">
        <f>HYPERLINK("https://klasma.github.io/Logging_2080/knärot/A 61535-2022 karta knärot.png", "A 61535-2022")</f>
        <v/>
      </c>
      <c r="AA416">
        <f>HYPERLINK("https://klasma.github.io/Logging_2080/klagomål/A 61535-2022 FSC-klagomål.docx", "A 61535-2022")</f>
        <v/>
      </c>
      <c r="AB416">
        <f>HYPERLINK("https://klasma.github.io/Logging_2080/klagomålsmail/A 61535-2022 FSC-klagomål mail.docx", "A 61535-2022")</f>
        <v/>
      </c>
      <c r="AC416">
        <f>HYPERLINK("https://klasma.github.io/Logging_2080/tillsyn/A 61535-2022 tillsynsbegäran.docx", "A 61535-2022")</f>
        <v/>
      </c>
      <c r="AD416">
        <f>HYPERLINK("https://klasma.github.io/Logging_2080/tillsynsmail/A 61535-2022 tillsynsbegäran mail.docx", "A 61535-2022")</f>
        <v/>
      </c>
      <c r="AE416">
        <f>HYPERLINK("https://klasma.github.io/Logging_2080/fåglar/A 61535-2022 prioriterade fågelarter.docx", "A 61535-2022")</f>
        <v/>
      </c>
    </row>
    <row r="417" ht="15" customHeight="1">
      <c r="A417" t="inlineStr">
        <is>
          <t>A 41899-2026</t>
        </is>
      </c>
      <c r="B417" t="inlineStr">
        <is>
          <t>avverkningsanmälan</t>
        </is>
      </c>
      <c r="C417" t="inlineStr">
        <is>
          <t>Föryngringsavverkning</t>
        </is>
      </c>
      <c r="D417" s="1" t="n">
        <v>46303</v>
      </c>
      <c r="E417" s="1" t="n">
        <v>46319</v>
      </c>
      <c r="F417" t="inlineStr">
        <is>
          <t>DALARNAS LÄN</t>
        </is>
      </c>
      <c r="G417" t="inlineStr">
        <is>
          <t>MORA</t>
        </is>
      </c>
      <c r="I417" t="n">
        <v>1.1</v>
      </c>
      <c r="J417" t="n">
        <v>4</v>
      </c>
      <c r="K417" t="n">
        <v>1</v>
      </c>
      <c r="L417" t="n">
        <v>3</v>
      </c>
      <c r="M417" t="n">
        <v>0</v>
      </c>
      <c r="N417" t="n">
        <v>0</v>
      </c>
      <c r="O417" t="n">
        <v>0</v>
      </c>
      <c r="P417" t="n">
        <v>0</v>
      </c>
      <c r="Q417" t="n">
        <v>3</v>
      </c>
      <c r="R417" t="n">
        <v>0</v>
      </c>
      <c r="S417" t="n">
        <v>7</v>
      </c>
      <c r="T417" t="n">
        <v>11</v>
      </c>
      <c r="U417" t="n">
        <v>11</v>
      </c>
      <c r="V417" s="2" t="inlineStr">
        <is>
          <t>Gammelgransskål
Talltita
Tretåig hackspett
Thomsons trägnagare
Linnea
Spillkråka
Revlummer</t>
        </is>
      </c>
      <c r="W417">
        <f>HYPERLINK("https://klasma.github.io/Logging_2062/artfynd/A 41899-2026 artfynd.xlsx", "A 41899-2026")</f>
        <v/>
      </c>
      <c r="X417">
        <f>HYPERLINK("https://klasma.github.io/Logging_2062/kartor/A 41899-2026 karta.png", "A 41899-2026")</f>
        <v/>
      </c>
      <c r="Y417">
        <f>HYPERLINK("https://klasma.github.io/Logging_2062/kartor_geotiff/A 41899-2026 georefererad karta.tif", "A 41899-2026")</f>
        <v/>
      </c>
      <c r="AA417">
        <f>HYPERLINK("https://klasma.github.io/Logging_2062/klagomål/A 41899-2026 FSC-klagomål.docx", "A 41899-2026")</f>
        <v/>
      </c>
      <c r="AB417">
        <f>HYPERLINK("https://klasma.github.io/Logging_2062/klagomålsmail/A 41899-2026 FSC-klagomål mail.docx", "A 41899-2026")</f>
        <v/>
      </c>
      <c r="AC417">
        <f>HYPERLINK("https://klasma.github.io/Logging_2062/tillsyn/A 41899-2026 tillsynsbegäran.docx", "A 41899-2026")</f>
        <v/>
      </c>
      <c r="AD417">
        <f>HYPERLINK("https://klasma.github.io/Logging_2062/tillsynsmail/A 41899-2026 tillsynsbegäran mail.docx", "A 41899-2026")</f>
        <v/>
      </c>
      <c r="AE417">
        <f>HYPERLINK("https://klasma.github.io/Logging_2062/fåglar/A 41899-2026 prioriterade fågelarter.docx", "A 41899-2026")</f>
        <v/>
      </c>
    </row>
    <row r="418" ht="15" customHeight="1">
      <c r="A418" t="inlineStr">
        <is>
          <t>A 42301-2026</t>
        </is>
      </c>
      <c r="B418" t="inlineStr">
        <is>
          <t>avverkningsanmälan</t>
        </is>
      </c>
      <c r="C418" t="inlineStr">
        <is>
          <t>Föryngringsavverkning</t>
        </is>
      </c>
      <c r="D418" s="1" t="n">
        <v>46307</v>
      </c>
      <c r="E418" s="1" t="n">
        <v>46319</v>
      </c>
      <c r="F418" t="inlineStr">
        <is>
          <t>DALARNAS LÄN</t>
        </is>
      </c>
      <c r="G418" t="inlineStr">
        <is>
          <t>SÄTER</t>
        </is>
      </c>
      <c r="I418" t="n">
        <v>6.7</v>
      </c>
      <c r="J418" t="n">
        <v>3</v>
      </c>
      <c r="K418" t="n">
        <v>1</v>
      </c>
      <c r="L418" t="n">
        <v>3</v>
      </c>
      <c r="M418" t="n">
        <v>0</v>
      </c>
      <c r="N418" t="n">
        <v>0</v>
      </c>
      <c r="O418" t="n">
        <v>0</v>
      </c>
      <c r="P418" t="n">
        <v>0</v>
      </c>
      <c r="Q418" t="n">
        <v>3</v>
      </c>
      <c r="R418" t="n">
        <v>0</v>
      </c>
      <c r="S418" t="n">
        <v>7</v>
      </c>
      <c r="T418" t="n">
        <v>16</v>
      </c>
      <c r="U418" t="n">
        <v>0</v>
      </c>
      <c r="V418" s="2" t="inlineStr">
        <is>
          <t>Dropptaggsvamp
Talltita
Vedskivlav
Mindre märgborre
Spillkråka
Timmerticka
Revlummer</t>
        </is>
      </c>
      <c r="W418">
        <f>HYPERLINK("https://klasma.github.io/Logging_2082/artfynd/A 42301-2026 artfynd.xlsx", "A 42301-2026")</f>
        <v/>
      </c>
      <c r="X418">
        <f>HYPERLINK("https://klasma.github.io/Logging_2082/kartor/A 42301-2026 karta.png", "A 42301-2026")</f>
        <v/>
      </c>
      <c r="Y418">
        <f>HYPERLINK("https://klasma.github.io/Logging_2082/kartor_geotiff/A 42301-2026 georefererad karta.tif", "A 42301-2026")</f>
        <v/>
      </c>
      <c r="AA418">
        <f>HYPERLINK("https://klasma.github.io/Logging_2082/klagomål/A 42301-2026 FSC-klagomål.docx", "A 42301-2026")</f>
        <v/>
      </c>
      <c r="AB418">
        <f>HYPERLINK("https://klasma.github.io/Logging_2082/klagomålsmail/A 42301-2026 FSC-klagomål mail.docx", "A 42301-2026")</f>
        <v/>
      </c>
      <c r="AC418">
        <f>HYPERLINK("https://klasma.github.io/Logging_2082/tillsyn/A 42301-2026 tillsynsbegäran.docx", "A 42301-2026")</f>
        <v/>
      </c>
      <c r="AD418">
        <f>HYPERLINK("https://klasma.github.io/Logging_2082/tillsynsmail/A 42301-2026 tillsynsbegäran mail.docx", "A 42301-2026")</f>
        <v/>
      </c>
      <c r="AE418">
        <f>HYPERLINK("https://klasma.github.io/Logging_2082/fåglar/A 42301-2026 prioriterade fågelarter.docx", "A 42301-2026")</f>
        <v/>
      </c>
    </row>
    <row r="419" ht="15" customHeight="1">
      <c r="A419" t="inlineStr">
        <is>
          <t>A 49052-2023</t>
        </is>
      </c>
      <c r="B419" t="inlineStr">
        <is>
          <t>avverkningsanmälan</t>
        </is>
      </c>
      <c r="C419" t="inlineStr">
        <is>
          <t>Föryngringsavverkning</t>
        </is>
      </c>
      <c r="D419" s="1" t="n">
        <v>45210</v>
      </c>
      <c r="E419" s="1" t="n">
        <v>46319</v>
      </c>
      <c r="F419" t="inlineStr">
        <is>
          <t>DALARNAS LÄN</t>
        </is>
      </c>
      <c r="G419" t="inlineStr">
        <is>
          <t>ÄLVDALEN</t>
        </is>
      </c>
      <c r="H419" t="inlineStr">
        <is>
          <t>Sveaskog</t>
        </is>
      </c>
      <c r="I419" t="n">
        <v>4.4</v>
      </c>
      <c r="J419" t="n">
        <v>1</v>
      </c>
      <c r="K419" t="n">
        <v>0</v>
      </c>
      <c r="L419" t="n">
        <v>7</v>
      </c>
      <c r="M419" t="n">
        <v>0</v>
      </c>
      <c r="N419" t="n">
        <v>0</v>
      </c>
      <c r="O419" t="n">
        <v>0</v>
      </c>
      <c r="P419" t="n">
        <v>0</v>
      </c>
      <c r="Q419" t="n">
        <v>7</v>
      </c>
      <c r="R419" t="n">
        <v>0</v>
      </c>
      <c r="S419" t="n">
        <v>7</v>
      </c>
      <c r="T419" t="n">
        <v>8</v>
      </c>
      <c r="U419" t="n">
        <v>7</v>
      </c>
      <c r="V419" s="2" t="inlineStr">
        <is>
          <t>Blanksvart spiklav
Dropptaggsvamp
Kolflarnlav
Mörk kolflarnlav
Skarp dropptaggsvamp
Varglav
Vedflamlav</t>
        </is>
      </c>
      <c r="W419">
        <f>HYPERLINK("https://klasma.github.io/Logging_2039/artfynd/A 49052-2023 artfynd.xlsx", "A 49052-2023")</f>
        <v/>
      </c>
      <c r="X419">
        <f>HYPERLINK("https://klasma.github.io/Logging_2039/kartor/A 49052-2023 karta.png", "A 49052-2023")</f>
        <v/>
      </c>
      <c r="Y419">
        <f>HYPERLINK("https://klasma.github.io/Logging_2039/kartor_geotiff/A 49052-2023 georefererad karta.tif", "A 49052-2023")</f>
        <v/>
      </c>
      <c r="AA419">
        <f>HYPERLINK("https://klasma.github.io/Logging_2039/klagomål/A 49052-2023 FSC-klagomål.docx", "A 49052-2023")</f>
        <v/>
      </c>
      <c r="AB419">
        <f>HYPERLINK("https://klasma.github.io/Logging_2039/klagomålsmail/A 49052-2023 FSC-klagomål mail.docx", "A 49052-2023")</f>
        <v/>
      </c>
      <c r="AC419">
        <f>HYPERLINK("https://klasma.github.io/Logging_2039/tillsyn/A 49052-2023 tillsynsbegäran.docx", "A 49052-2023")</f>
        <v/>
      </c>
      <c r="AD419">
        <f>HYPERLINK("https://klasma.github.io/Logging_2039/tillsynsmail/A 49052-2023 tillsynsbegäran mail.docx", "A 49052-2023")</f>
        <v/>
      </c>
    </row>
    <row r="420" ht="15" customHeight="1">
      <c r="A420" t="inlineStr">
        <is>
          <t>A 32402-2026</t>
        </is>
      </c>
      <c r="B420" t="inlineStr">
        <is>
          <t>avverkningsanmälan</t>
        </is>
      </c>
      <c r="C420" t="inlineStr">
        <is>
          <t>Föryngringsavverkning</t>
        </is>
      </c>
      <c r="D420" s="1" t="n">
        <v>46238</v>
      </c>
      <c r="E420" s="1" t="n">
        <v>46319</v>
      </c>
      <c r="F420" t="inlineStr">
        <is>
          <t>DALARNAS LÄN</t>
        </is>
      </c>
      <c r="G420" t="inlineStr">
        <is>
          <t>ÄLVDALEN</t>
        </is>
      </c>
      <c r="H420" t="inlineStr">
        <is>
          <t>Allmännings- och besparingsskogar</t>
        </is>
      </c>
      <c r="I420" t="n">
        <v>1</v>
      </c>
      <c r="J420" t="n">
        <v>4</v>
      </c>
      <c r="K420" t="n">
        <v>0</v>
      </c>
      <c r="L420" t="n">
        <v>4</v>
      </c>
      <c r="M420" t="n">
        <v>1</v>
      </c>
      <c r="N420" t="n">
        <v>0</v>
      </c>
      <c r="O420" t="n">
        <v>0</v>
      </c>
      <c r="P420" t="n">
        <v>0</v>
      </c>
      <c r="Q420" t="n">
        <v>5</v>
      </c>
      <c r="R420" t="n">
        <v>1</v>
      </c>
      <c r="S420" t="n">
        <v>7</v>
      </c>
      <c r="T420" t="n">
        <v>10</v>
      </c>
      <c r="U420" t="n">
        <v>10</v>
      </c>
      <c r="V420" s="2" t="inlineStr">
        <is>
          <t>Garnlav
Dropptaggsvamp
Talltita
Varglav
Vedflamlav
Spillkråka
Vanlig groda</t>
        </is>
      </c>
      <c r="W420">
        <f>HYPERLINK("https://klasma.github.io/Logging_2039/artfynd/A 32402-2026 artfynd.xlsx", "A 32402-2026")</f>
        <v/>
      </c>
      <c r="X420">
        <f>HYPERLINK("https://klasma.github.io/Logging_2039/kartor/A 32402-2026 karta.png", "A 32402-2026")</f>
        <v/>
      </c>
      <c r="Y420">
        <f>HYPERLINK("https://klasma.github.io/Logging_2039/kartor_geotiff/A 32402-2026 georefererad karta.tif", "A 32402-2026")</f>
        <v/>
      </c>
      <c r="AA420">
        <f>HYPERLINK("https://klasma.github.io/Logging_2039/klagomål/A 32402-2026 FSC-klagomål.docx", "A 32402-2026")</f>
        <v/>
      </c>
      <c r="AB420">
        <f>HYPERLINK("https://klasma.github.io/Logging_2039/klagomålsmail/A 32402-2026 FSC-klagomål mail.docx", "A 32402-2026")</f>
        <v/>
      </c>
      <c r="AC420">
        <f>HYPERLINK("https://klasma.github.io/Logging_2039/tillsyn/A 32402-2026 tillsynsbegäran.docx", "A 32402-2026")</f>
        <v/>
      </c>
      <c r="AD420">
        <f>HYPERLINK("https://klasma.github.io/Logging_2039/tillsynsmail/A 32402-2026 tillsynsbegäran mail.docx", "A 32402-2026")</f>
        <v/>
      </c>
      <c r="AE420">
        <f>HYPERLINK("https://klasma.github.io/Logging_2039/fåglar/A 32402-2026 prioriterade fågelarter.docx", "A 32402-2026")</f>
        <v/>
      </c>
    </row>
    <row r="421" ht="15" customHeight="1">
      <c r="A421" t="inlineStr">
        <is>
          <t>A 2308-2023</t>
        </is>
      </c>
      <c r="B421" t="inlineStr">
        <is>
          <t>avverkningsanmälan</t>
        </is>
      </c>
      <c r="C421" t="inlineStr">
        <is>
          <t>Föryngringsavverkning</t>
        </is>
      </c>
      <c r="D421" s="1" t="n">
        <v>44942</v>
      </c>
      <c r="E421" s="1" t="n">
        <v>46319</v>
      </c>
      <c r="F421" t="inlineStr">
        <is>
          <t>DALARNAS LÄN</t>
        </is>
      </c>
      <c r="G421" t="inlineStr">
        <is>
          <t>MORA</t>
        </is>
      </c>
      <c r="I421" t="n">
        <v>2.2</v>
      </c>
      <c r="J421" t="n">
        <v>5</v>
      </c>
      <c r="K421" t="n">
        <v>0</v>
      </c>
      <c r="L421" t="n">
        <v>4</v>
      </c>
      <c r="M421" t="n">
        <v>1</v>
      </c>
      <c r="N421" t="n">
        <v>0</v>
      </c>
      <c r="O421" t="n">
        <v>0</v>
      </c>
      <c r="P421" t="n">
        <v>0</v>
      </c>
      <c r="Q421" t="n">
        <v>5</v>
      </c>
      <c r="R421" t="n">
        <v>1</v>
      </c>
      <c r="S421" t="n">
        <v>7</v>
      </c>
      <c r="T421" t="n">
        <v>23</v>
      </c>
      <c r="U421" t="n">
        <v>23</v>
      </c>
      <c r="V421" s="2" t="inlineStr">
        <is>
          <t>Knärot
Motaggsvamp
Talltita
Tretåig hackspett
Vaddporing
Spillkråka
Revlummer</t>
        </is>
      </c>
      <c r="W421">
        <f>HYPERLINK("https://klasma.github.io/Logging_2062/artfynd/A 2308-2023 artfynd.xlsx", "A 2308-2023")</f>
        <v/>
      </c>
      <c r="X421">
        <f>HYPERLINK("https://klasma.github.io/Logging_2062/kartor/A 2308-2023 karta.png", "A 2308-2023")</f>
        <v/>
      </c>
      <c r="Y421">
        <f>HYPERLINK("https://klasma.github.io/Logging_2062/kartor_geotiff/A 2308-2023 georefererad karta.tif", "A 2308-2023")</f>
        <v/>
      </c>
      <c r="Z421">
        <f>HYPERLINK("https://klasma.github.io/Logging_2062/knärot/A 2308-2023 karta knärot.png", "A 2308-2023")</f>
        <v/>
      </c>
      <c r="AA421">
        <f>HYPERLINK("https://klasma.github.io/Logging_2062/klagomål/A 2308-2023 FSC-klagomål.docx", "A 2308-2023")</f>
        <v/>
      </c>
      <c r="AB421">
        <f>HYPERLINK("https://klasma.github.io/Logging_2062/klagomålsmail/A 2308-2023 FSC-klagomål mail.docx", "A 2308-2023")</f>
        <v/>
      </c>
      <c r="AC421">
        <f>HYPERLINK("https://klasma.github.io/Logging_2062/tillsyn/A 2308-2023 tillsynsbegäran.docx", "A 2308-2023")</f>
        <v/>
      </c>
      <c r="AD421">
        <f>HYPERLINK("https://klasma.github.io/Logging_2062/tillsynsmail/A 2308-2023 tillsynsbegäran mail.docx", "A 2308-2023")</f>
        <v/>
      </c>
      <c r="AE421">
        <f>HYPERLINK("https://klasma.github.io/Logging_2062/fåglar/A 2308-2023 prioriterade fågelarter.docx", "A 2308-2023")</f>
        <v/>
      </c>
    </row>
    <row r="422" ht="15" customHeight="1">
      <c r="A422" t="inlineStr">
        <is>
          <t>A 40765-2025</t>
        </is>
      </c>
      <c r="B422" t="inlineStr">
        <is>
          <t>avverkningsanmälan</t>
        </is>
      </c>
      <c r="C422" t="inlineStr">
        <is>
          <t>Föryngringsavverkning</t>
        </is>
      </c>
      <c r="D422" s="1" t="n">
        <v>45897</v>
      </c>
      <c r="E422" s="1" t="n">
        <v>46319</v>
      </c>
      <c r="F422" t="inlineStr">
        <is>
          <t>DALARNAS LÄN</t>
        </is>
      </c>
      <c r="G422" t="inlineStr">
        <is>
          <t>HEDEMORA</t>
        </is>
      </c>
      <c r="I422" t="n">
        <v>3.4</v>
      </c>
      <c r="J422" t="n">
        <v>4</v>
      </c>
      <c r="K422" t="n">
        <v>1</v>
      </c>
      <c r="L422" t="n">
        <v>2</v>
      </c>
      <c r="M422" t="n">
        <v>2</v>
      </c>
      <c r="N422" t="n">
        <v>0</v>
      </c>
      <c r="O422" t="n">
        <v>0</v>
      </c>
      <c r="P422" t="n">
        <v>0</v>
      </c>
      <c r="Q422" t="n">
        <v>4</v>
      </c>
      <c r="R422" t="n">
        <v>2</v>
      </c>
      <c r="S422" t="n">
        <v>7</v>
      </c>
      <c r="T422" t="n">
        <v>20</v>
      </c>
      <c r="U422" t="n">
        <v>16</v>
      </c>
      <c r="V422" s="2" t="inlineStr">
        <is>
          <t>Garnlav
Knärot
Talltita
Vedtrappmossa
Bronshjon
Fläcknycklar
Revlummer</t>
        </is>
      </c>
      <c r="W422">
        <f>HYPERLINK("https://klasma.github.io/Logging_2083/artfynd/A 40765-2025 artfynd.xlsx", "A 40765-2025")</f>
        <v/>
      </c>
      <c r="X422">
        <f>HYPERLINK("https://klasma.github.io/Logging_2083/kartor/A 40765-2025 karta.png", "A 40765-2025")</f>
        <v/>
      </c>
      <c r="Y422">
        <f>HYPERLINK("https://klasma.github.io/Logging_2083/kartor_geotiff/A 40765-2025 georefererad karta.tif", "A 40765-2025")</f>
        <v/>
      </c>
      <c r="Z422">
        <f>HYPERLINK("https://klasma.github.io/Logging_2083/knärot/A 40765-2025 karta knärot.png", "A 40765-2025")</f>
        <v/>
      </c>
      <c r="AA422">
        <f>HYPERLINK("https://klasma.github.io/Logging_2083/klagomål/A 40765-2025 FSC-klagomål.docx", "A 40765-2025")</f>
        <v/>
      </c>
      <c r="AB422">
        <f>HYPERLINK("https://klasma.github.io/Logging_2083/klagomålsmail/A 40765-2025 FSC-klagomål mail.docx", "A 40765-2025")</f>
        <v/>
      </c>
      <c r="AC422">
        <f>HYPERLINK("https://klasma.github.io/Logging_2083/tillsyn/A 40765-2025 tillsynsbegäran.docx", "A 40765-2025")</f>
        <v/>
      </c>
      <c r="AD422">
        <f>HYPERLINK("https://klasma.github.io/Logging_2083/tillsynsmail/A 40765-2025 tillsynsbegäran mail.docx", "A 40765-2025")</f>
        <v/>
      </c>
      <c r="AE422">
        <f>HYPERLINK("https://klasma.github.io/Logging_2083/fåglar/A 40765-2025 prioriterade fågelarter.docx", "A 40765-2025")</f>
        <v/>
      </c>
    </row>
    <row r="423" ht="15" customHeight="1">
      <c r="A423" t="inlineStr">
        <is>
          <t>A 35234-2026</t>
        </is>
      </c>
      <c r="B423" t="inlineStr">
        <is>
          <t>avverkningsanmälan</t>
        </is>
      </c>
      <c r="C423" t="inlineStr">
        <is>
          <t>Föryngringsavverkning</t>
        </is>
      </c>
      <c r="D423" s="1" t="n">
        <v>46260</v>
      </c>
      <c r="E423" s="1" t="n">
        <v>46319</v>
      </c>
      <c r="F423" t="inlineStr">
        <is>
          <t>DALARNAS LÄN</t>
        </is>
      </c>
      <c r="G423" t="inlineStr">
        <is>
          <t>MORA</t>
        </is>
      </c>
      <c r="I423" t="n">
        <v>4.4</v>
      </c>
      <c r="J423" t="n">
        <v>3</v>
      </c>
      <c r="K423" t="n">
        <v>1</v>
      </c>
      <c r="L423" t="n">
        <v>4</v>
      </c>
      <c r="M423" t="n">
        <v>1</v>
      </c>
      <c r="N423" t="n">
        <v>0</v>
      </c>
      <c r="O423" t="n">
        <v>0</v>
      </c>
      <c r="P423" t="n">
        <v>0</v>
      </c>
      <c r="Q423" t="n">
        <v>5</v>
      </c>
      <c r="R423" t="n">
        <v>1</v>
      </c>
      <c r="S423" t="n">
        <v>7</v>
      </c>
      <c r="T423" t="n">
        <v>32</v>
      </c>
      <c r="U423" t="n">
        <v>32</v>
      </c>
      <c r="V423" s="2" t="inlineStr">
        <is>
          <t>Garnlav
Rödvingetrast
Stjärntagging
Tretåig hackspett
Violettgrå tagellav
Mindre märgborre
Spillkråka</t>
        </is>
      </c>
      <c r="W423">
        <f>HYPERLINK("https://klasma.github.io/Logging_2062/artfynd/A 35234-2026 artfynd.xlsx", "A 35234-2026")</f>
        <v/>
      </c>
      <c r="X423">
        <f>HYPERLINK("https://klasma.github.io/Logging_2062/kartor/A 35234-2026 karta.png", "A 35234-2026")</f>
        <v/>
      </c>
      <c r="Y423">
        <f>HYPERLINK("https://klasma.github.io/Logging_2062/kartor_geotiff/A 35234-2026 georefererad karta.tif", "A 35234-2026")</f>
        <v/>
      </c>
      <c r="AA423">
        <f>HYPERLINK("https://klasma.github.io/Logging_2062/klagomål/A 35234-2026 FSC-klagomål.docx", "A 35234-2026")</f>
        <v/>
      </c>
      <c r="AB423">
        <f>HYPERLINK("https://klasma.github.io/Logging_2062/klagomålsmail/A 35234-2026 FSC-klagomål mail.docx", "A 35234-2026")</f>
        <v/>
      </c>
      <c r="AC423">
        <f>HYPERLINK("https://klasma.github.io/Logging_2062/tillsyn/A 35234-2026 tillsynsbegäran.docx", "A 35234-2026")</f>
        <v/>
      </c>
      <c r="AD423">
        <f>HYPERLINK("https://klasma.github.io/Logging_2062/tillsynsmail/A 35234-2026 tillsynsbegäran mail.docx", "A 35234-2026")</f>
        <v/>
      </c>
      <c r="AE423">
        <f>HYPERLINK("https://klasma.github.io/Logging_2062/fåglar/A 35234-2026 prioriterade fågelarter.docx", "A 35234-2026")</f>
        <v/>
      </c>
    </row>
    <row r="424" ht="15" customHeight="1">
      <c r="A424" t="inlineStr">
        <is>
          <t>A 40417-2025</t>
        </is>
      </c>
      <c r="B424" t="inlineStr">
        <is>
          <t>avverkningsanmälan</t>
        </is>
      </c>
      <c r="C424" t="inlineStr">
        <is>
          <t>Föryngringsavverkning</t>
        </is>
      </c>
      <c r="D424" s="1" t="n">
        <v>45895</v>
      </c>
      <c r="E424" s="1" t="n">
        <v>46319</v>
      </c>
      <c r="F424" t="inlineStr">
        <is>
          <t>DALARNAS LÄN</t>
        </is>
      </c>
      <c r="G424" t="inlineStr">
        <is>
          <t>ÄLVDALEN</t>
        </is>
      </c>
      <c r="I424" t="n">
        <v>14.2</v>
      </c>
      <c r="J424" t="n">
        <v>2</v>
      </c>
      <c r="K424" t="n">
        <v>1</v>
      </c>
      <c r="L424" t="n">
        <v>4</v>
      </c>
      <c r="M424" t="n">
        <v>1</v>
      </c>
      <c r="N424" t="n">
        <v>0</v>
      </c>
      <c r="O424" t="n">
        <v>0</v>
      </c>
      <c r="P424" t="n">
        <v>0</v>
      </c>
      <c r="Q424" t="n">
        <v>5</v>
      </c>
      <c r="R424" t="n">
        <v>1</v>
      </c>
      <c r="S424" t="n">
        <v>7</v>
      </c>
      <c r="T424" t="n">
        <v>23</v>
      </c>
      <c r="U424" t="n">
        <v>23</v>
      </c>
      <c r="V424" s="2" t="inlineStr">
        <is>
          <t>Garnlav
Kolflarnlav
Mörk kolflarnlav
Talltagel
Vedskivlav
Plattlummer
Tjäder</t>
        </is>
      </c>
      <c r="W424">
        <f>HYPERLINK("https://klasma.github.io/Logging_2039/artfynd/A 40417-2025 artfynd.xlsx", "A 40417-2025")</f>
        <v/>
      </c>
      <c r="X424">
        <f>HYPERLINK("https://klasma.github.io/Logging_2039/kartor/A 40417-2025 karta.png", "A 40417-2025")</f>
        <v/>
      </c>
      <c r="Y424">
        <f>HYPERLINK("https://klasma.github.io/Logging_2039/kartor_geotiff/A 40417-2025 georefererad karta.tif", "A 40417-2025")</f>
        <v/>
      </c>
      <c r="AA424">
        <f>HYPERLINK("https://klasma.github.io/Logging_2039/klagomål/A 40417-2025 FSC-klagomål.docx", "A 40417-2025")</f>
        <v/>
      </c>
      <c r="AB424">
        <f>HYPERLINK("https://klasma.github.io/Logging_2039/klagomålsmail/A 40417-2025 FSC-klagomål mail.docx", "A 40417-2025")</f>
        <v/>
      </c>
      <c r="AC424">
        <f>HYPERLINK("https://klasma.github.io/Logging_2039/tillsyn/A 40417-2025 tillsynsbegäran.docx", "A 40417-2025")</f>
        <v/>
      </c>
      <c r="AD424">
        <f>HYPERLINK("https://klasma.github.io/Logging_2039/tillsynsmail/A 40417-2025 tillsynsbegäran mail.docx", "A 40417-2025")</f>
        <v/>
      </c>
      <c r="AE424">
        <f>HYPERLINK("https://klasma.github.io/Logging_2039/fåglar/A 40417-2025 prioriterade fågelarter.docx", "A 40417-2025")</f>
        <v/>
      </c>
    </row>
    <row r="425" ht="15" customHeight="1">
      <c r="A425" t="inlineStr">
        <is>
          <t>A 37535-2026</t>
        </is>
      </c>
      <c r="B425" t="inlineStr">
        <is>
          <t>avverkningsanmälan</t>
        </is>
      </c>
      <c r="C425" t="inlineStr">
        <is>
          <t>Föryngringsavverkning</t>
        </is>
      </c>
      <c r="D425" s="1" t="n">
        <v>46276</v>
      </c>
      <c r="E425" s="1" t="n">
        <v>46319</v>
      </c>
      <c r="F425" t="inlineStr">
        <is>
          <t>DALARNAS LÄN</t>
        </is>
      </c>
      <c r="G425" t="inlineStr">
        <is>
          <t>MORA</t>
        </is>
      </c>
      <c r="I425" t="n">
        <v>3.8</v>
      </c>
      <c r="J425" t="n">
        <v>2</v>
      </c>
      <c r="K425" t="n">
        <v>3</v>
      </c>
      <c r="L425" t="n">
        <v>1</v>
      </c>
      <c r="M425" t="n">
        <v>2</v>
      </c>
      <c r="N425" t="n">
        <v>0</v>
      </c>
      <c r="O425" t="n">
        <v>0</v>
      </c>
      <c r="P425" t="n">
        <v>0</v>
      </c>
      <c r="Q425" t="n">
        <v>3</v>
      </c>
      <c r="R425" t="n">
        <v>2</v>
      </c>
      <c r="S425" t="n">
        <v>7</v>
      </c>
      <c r="T425" t="n">
        <v>40</v>
      </c>
      <c r="U425" t="n">
        <v>38</v>
      </c>
      <c r="V425" s="2" t="inlineStr">
        <is>
          <t>Garnlav
Knärot
Dropptaggsvamp
Luddlav
Mindre märgborre
Trind spretmossa
Tjäder</t>
        </is>
      </c>
      <c r="W425">
        <f>HYPERLINK("https://klasma.github.io/Logging_2062/artfynd/A 37535-2026 artfynd.xlsx", "A 37535-2026")</f>
        <v/>
      </c>
      <c r="X425">
        <f>HYPERLINK("https://klasma.github.io/Logging_2062/kartor/A 37535-2026 karta.png", "A 37535-2026")</f>
        <v/>
      </c>
      <c r="Y425">
        <f>HYPERLINK("https://klasma.github.io/Logging_2062/kartor_geotiff/A 37535-2026 georefererad karta.tif", "A 37535-2026")</f>
        <v/>
      </c>
      <c r="Z425">
        <f>HYPERLINK("https://klasma.github.io/Logging_2062/knärot/A 37535-2026 karta knärot.png", "A 37535-2026")</f>
        <v/>
      </c>
      <c r="AA425">
        <f>HYPERLINK("https://klasma.github.io/Logging_2062/klagomål/A 37535-2026 FSC-klagomål.docx", "A 37535-2026")</f>
        <v/>
      </c>
      <c r="AB425">
        <f>HYPERLINK("https://klasma.github.io/Logging_2062/klagomålsmail/A 37535-2026 FSC-klagomål mail.docx", "A 37535-2026")</f>
        <v/>
      </c>
      <c r="AC425">
        <f>HYPERLINK("https://klasma.github.io/Logging_2062/tillsyn/A 37535-2026 tillsynsbegäran.docx", "A 37535-2026")</f>
        <v/>
      </c>
      <c r="AD425">
        <f>HYPERLINK("https://klasma.github.io/Logging_2062/tillsynsmail/A 37535-2026 tillsynsbegäran mail.docx", "A 37535-2026")</f>
        <v/>
      </c>
      <c r="AE425">
        <f>HYPERLINK("https://klasma.github.io/Logging_2062/fåglar/A 37535-2026 prioriterade fågelarter.docx", "A 37535-2026")</f>
        <v/>
      </c>
    </row>
    <row r="426" ht="15" customHeight="1">
      <c r="A426" t="inlineStr">
        <is>
          <t>A 5851-2025</t>
        </is>
      </c>
      <c r="B426" t="inlineStr">
        <is>
          <t>avverkningsanmälan</t>
        </is>
      </c>
      <c r="C426" t="inlineStr">
        <is>
          <t>Föryngringsavverkning</t>
        </is>
      </c>
      <c r="D426" s="1" t="n">
        <v>45695</v>
      </c>
      <c r="E426" s="1" t="n">
        <v>46319</v>
      </c>
      <c r="F426" t="inlineStr">
        <is>
          <t>DALARNAS LÄN</t>
        </is>
      </c>
      <c r="G426" t="inlineStr">
        <is>
          <t>MALUNG-SÄLEN</t>
        </is>
      </c>
      <c r="I426" t="n">
        <v>2.5</v>
      </c>
      <c r="J426" t="n">
        <v>0</v>
      </c>
      <c r="K426" t="n">
        <v>1</v>
      </c>
      <c r="L426" t="n">
        <v>5</v>
      </c>
      <c r="M426" t="n">
        <v>1</v>
      </c>
      <c r="N426" t="n">
        <v>0</v>
      </c>
      <c r="O426" t="n">
        <v>0</v>
      </c>
      <c r="P426" t="n">
        <v>0</v>
      </c>
      <c r="Q426" t="n">
        <v>6</v>
      </c>
      <c r="R426" t="n">
        <v>1</v>
      </c>
      <c r="S426" t="n">
        <v>7</v>
      </c>
      <c r="T426" t="n">
        <v>8</v>
      </c>
      <c r="U426" t="n">
        <v>6</v>
      </c>
      <c r="V426" s="2" t="inlineStr">
        <is>
          <t>Garnlav
Gammelgransskål
Kolflarnlav
Lunglav
Skrovellav
Vedtrappmossa
Bårdlav</t>
        </is>
      </c>
      <c r="W426">
        <f>HYPERLINK("https://klasma.github.io/Logging_2023/artfynd/A 5851-2025 artfynd.xlsx", "A 5851-2025")</f>
        <v/>
      </c>
      <c r="X426">
        <f>HYPERLINK("https://klasma.github.io/Logging_2023/kartor/A 5851-2025 karta.png", "A 5851-2025")</f>
        <v/>
      </c>
      <c r="Y426">
        <f>HYPERLINK("https://klasma.github.io/Logging_2023/kartor_geotiff/A 5851-2025 georefererad karta.tif", "A 5851-2025")</f>
        <v/>
      </c>
      <c r="AA426">
        <f>HYPERLINK("https://klasma.github.io/Logging_2023/klagomål/A 5851-2025 FSC-klagomål.docx", "A 5851-2025")</f>
        <v/>
      </c>
      <c r="AB426">
        <f>HYPERLINK("https://klasma.github.io/Logging_2023/klagomålsmail/A 5851-2025 FSC-klagomål mail.docx", "A 5851-2025")</f>
        <v/>
      </c>
      <c r="AC426">
        <f>HYPERLINK("https://klasma.github.io/Logging_2023/tillsyn/A 5851-2025 tillsynsbegäran.docx", "A 5851-2025")</f>
        <v/>
      </c>
      <c r="AD426">
        <f>HYPERLINK("https://klasma.github.io/Logging_2023/tillsynsmail/A 5851-2025 tillsynsbegäran mail.docx", "A 5851-2025")</f>
        <v/>
      </c>
    </row>
    <row r="427" ht="15" customHeight="1">
      <c r="A427" t="inlineStr">
        <is>
          <t>A 25774-2026</t>
        </is>
      </c>
      <c r="B427" t="inlineStr">
        <is>
          <t>avverkningsanmälan</t>
        </is>
      </c>
      <c r="C427" t="inlineStr">
        <is>
          <t>Föryngringsavverkning</t>
        </is>
      </c>
      <c r="D427" s="1" t="n">
        <v>46178</v>
      </c>
      <c r="E427" s="1" t="n">
        <v>46319</v>
      </c>
      <c r="F427" t="inlineStr">
        <is>
          <t>DALARNAS LÄN</t>
        </is>
      </c>
      <c r="G427" t="inlineStr">
        <is>
          <t>LEKSAND</t>
        </is>
      </c>
      <c r="H427" t="inlineStr">
        <is>
          <t>Bergvik skog väst AB</t>
        </is>
      </c>
      <c r="I427" t="n">
        <v>4.8</v>
      </c>
      <c r="J427" t="n">
        <v>2</v>
      </c>
      <c r="K427" t="n">
        <v>1</v>
      </c>
      <c r="L427" t="n">
        <v>4</v>
      </c>
      <c r="M427" t="n">
        <v>1</v>
      </c>
      <c r="N427" t="n">
        <v>0</v>
      </c>
      <c r="O427" t="n">
        <v>0</v>
      </c>
      <c r="P427" t="n">
        <v>0</v>
      </c>
      <c r="Q427" t="n">
        <v>5</v>
      </c>
      <c r="R427" t="n">
        <v>1</v>
      </c>
      <c r="S427" t="n">
        <v>7</v>
      </c>
      <c r="T427" t="n">
        <v>58</v>
      </c>
      <c r="U427" t="n">
        <v>58</v>
      </c>
      <c r="V427" s="2" t="inlineStr">
        <is>
          <t>Garnlav
Kolflarnlav
Mörk kolflarnlav
Tretåig hackspett
Vedskivlav
Mindre märgborre
Spillkråka</t>
        </is>
      </c>
      <c r="W427">
        <f>HYPERLINK("https://klasma.github.io/Logging_2029/artfynd/A 25774-2026 artfynd.xlsx", "A 25774-2026")</f>
        <v/>
      </c>
      <c r="X427">
        <f>HYPERLINK("https://klasma.github.io/Logging_2029/kartor/A 25774-2026 karta.png", "A 25774-2026")</f>
        <v/>
      </c>
      <c r="Y427">
        <f>HYPERLINK("https://klasma.github.io/Logging_2029/kartor_geotiff/A 25774-2026 georefererad karta.tif", "A 25774-2026")</f>
        <v/>
      </c>
      <c r="AA427">
        <f>HYPERLINK("https://klasma.github.io/Logging_2029/klagomål/A 25774-2026 FSC-klagomål.docx", "A 25774-2026")</f>
        <v/>
      </c>
      <c r="AB427">
        <f>HYPERLINK("https://klasma.github.io/Logging_2029/klagomålsmail/A 25774-2026 FSC-klagomål mail.docx", "A 25774-2026")</f>
        <v/>
      </c>
      <c r="AC427">
        <f>HYPERLINK("https://klasma.github.io/Logging_2029/tillsyn/A 25774-2026 tillsynsbegäran.docx", "A 25774-2026")</f>
        <v/>
      </c>
      <c r="AD427">
        <f>HYPERLINK("https://klasma.github.io/Logging_2029/tillsynsmail/A 25774-2026 tillsynsbegäran mail.docx", "A 25774-2026")</f>
        <v/>
      </c>
      <c r="AE427">
        <f>HYPERLINK("https://klasma.github.io/Logging_2029/fåglar/A 25774-2026 prioriterade fågelarter.docx", "A 25774-2026")</f>
        <v/>
      </c>
    </row>
    <row r="428" ht="15" customHeight="1">
      <c r="A428" t="inlineStr">
        <is>
          <t>A 26431-2024</t>
        </is>
      </c>
      <c r="B428" t="inlineStr">
        <is>
          <t>avverkningsanmälan</t>
        </is>
      </c>
      <c r="C428" t="inlineStr">
        <is>
          <t>Föryngringsavverkning</t>
        </is>
      </c>
      <c r="D428" s="1" t="n">
        <v>45469</v>
      </c>
      <c r="E428" s="1" t="n">
        <v>46319</v>
      </c>
      <c r="F428" t="inlineStr">
        <is>
          <t>DALARNAS LÄN</t>
        </is>
      </c>
      <c r="G428" t="inlineStr">
        <is>
          <t>HEDEMORA</t>
        </is>
      </c>
      <c r="I428" t="n">
        <v>1.6</v>
      </c>
      <c r="J428" t="n">
        <v>2</v>
      </c>
      <c r="K428" t="n">
        <v>2</v>
      </c>
      <c r="L428" t="n">
        <v>3</v>
      </c>
      <c r="M428" t="n">
        <v>1</v>
      </c>
      <c r="N428" t="n">
        <v>0</v>
      </c>
      <c r="O428" t="n">
        <v>0</v>
      </c>
      <c r="P428" t="n">
        <v>0</v>
      </c>
      <c r="Q428" t="n">
        <v>4</v>
      </c>
      <c r="R428" t="n">
        <v>1</v>
      </c>
      <c r="S428" t="n">
        <v>7</v>
      </c>
      <c r="T428" t="n">
        <v>7</v>
      </c>
      <c r="U428" t="n">
        <v>0</v>
      </c>
      <c r="V428" s="2" t="inlineStr">
        <is>
          <t>Knärot
Fjällig taggsvamp s.str.
Rynkskinn
Ullticka
Rödgul trumpetsvamp
Svavelriska
Blåsippa</t>
        </is>
      </c>
      <c r="W428">
        <f>HYPERLINK("https://klasma.github.io/Logging_2083/artfynd/A 26431-2024 artfynd.xlsx", "A 26431-2024")</f>
        <v/>
      </c>
      <c r="X428">
        <f>HYPERLINK("https://klasma.github.io/Logging_2083/kartor/A 26431-2024 karta.png", "A 26431-2024")</f>
        <v/>
      </c>
      <c r="Y428">
        <f>HYPERLINK("https://klasma.github.io/Logging_2083/kartor_geotiff/A 26431-2024 georefererad karta.tif", "A 26431-2024")</f>
        <v/>
      </c>
      <c r="Z428">
        <f>HYPERLINK("https://klasma.github.io/Logging_2083/knärot/A 26431-2024 karta knärot.png", "A 26431-2024")</f>
        <v/>
      </c>
      <c r="AA428">
        <f>HYPERLINK("https://klasma.github.io/Logging_2083/klagomål/A 26431-2024 FSC-klagomål.docx", "A 26431-2024")</f>
        <v/>
      </c>
      <c r="AB428">
        <f>HYPERLINK("https://klasma.github.io/Logging_2083/klagomålsmail/A 26431-2024 FSC-klagomål mail.docx", "A 26431-2024")</f>
        <v/>
      </c>
      <c r="AC428">
        <f>HYPERLINK("https://klasma.github.io/Logging_2083/tillsyn/A 26431-2024 tillsynsbegäran.docx", "A 26431-2024")</f>
        <v/>
      </c>
      <c r="AD428">
        <f>HYPERLINK("https://klasma.github.io/Logging_2083/tillsynsmail/A 26431-2024 tillsynsbegäran mail.docx", "A 26431-2024")</f>
        <v/>
      </c>
    </row>
    <row r="429" ht="15" customHeight="1">
      <c r="A429" t="inlineStr">
        <is>
          <t>A 31954-2024</t>
        </is>
      </c>
      <c r="B429" t="inlineStr">
        <is>
          <t>avverkningsanmälan</t>
        </is>
      </c>
      <c r="C429" t="inlineStr">
        <is>
          <t>Avverkning för annat ändamål</t>
        </is>
      </c>
      <c r="D429" s="1" t="n">
        <v>45510</v>
      </c>
      <c r="E429" s="1" t="n">
        <v>46319</v>
      </c>
      <c r="F429" t="inlineStr">
        <is>
          <t>DALARNAS LÄN</t>
        </is>
      </c>
      <c r="G429" t="inlineStr">
        <is>
          <t>MALUNG-SÄLEN</t>
        </is>
      </c>
      <c r="I429" t="n">
        <v>1.1</v>
      </c>
      <c r="J429" t="n">
        <v>1</v>
      </c>
      <c r="K429" t="n">
        <v>3</v>
      </c>
      <c r="L429" t="n">
        <v>2</v>
      </c>
      <c r="M429" t="n">
        <v>2</v>
      </c>
      <c r="N429" t="n">
        <v>0</v>
      </c>
      <c r="O429" t="n">
        <v>0</v>
      </c>
      <c r="P429" t="n">
        <v>0</v>
      </c>
      <c r="Q429" t="n">
        <v>4</v>
      </c>
      <c r="R429" t="n">
        <v>2</v>
      </c>
      <c r="S429" t="n">
        <v>7</v>
      </c>
      <c r="T429" t="n">
        <v>8</v>
      </c>
      <c r="U429" t="n">
        <v>2</v>
      </c>
      <c r="V429" s="2" t="inlineStr">
        <is>
          <t>Topplåsbräken
Vridfingersvamp
Grantaggsvamp
Praktvaxing
Sotlav
Vitvaxing agg.
Ängsvaxing agg.</t>
        </is>
      </c>
      <c r="W429">
        <f>HYPERLINK("https://klasma.github.io/Logging_2023/artfynd/A 31954-2024 artfynd.xlsx", "A 31954-2024")</f>
        <v/>
      </c>
      <c r="X429">
        <f>HYPERLINK("https://klasma.github.io/Logging_2023/kartor/A 31954-2024 karta.png", "A 31954-2024")</f>
        <v/>
      </c>
      <c r="Y429">
        <f>HYPERLINK("https://klasma.github.io/Logging_2023/kartor_geotiff/A 31954-2024 georefererad karta.tif", "A 31954-2024")</f>
        <v/>
      </c>
      <c r="AA429">
        <f>HYPERLINK("https://klasma.github.io/Logging_2023/klagomål/A 31954-2024 FSC-klagomål.docx", "A 31954-2024")</f>
        <v/>
      </c>
      <c r="AB429">
        <f>HYPERLINK("https://klasma.github.io/Logging_2023/klagomålsmail/A 31954-2024 FSC-klagomål mail.docx", "A 31954-2024")</f>
        <v/>
      </c>
      <c r="AC429">
        <f>HYPERLINK("https://klasma.github.io/Logging_2023/tillsyn/A 31954-2024 tillsynsbegäran.docx", "A 31954-2024")</f>
        <v/>
      </c>
      <c r="AD429">
        <f>HYPERLINK("https://klasma.github.io/Logging_2023/tillsynsmail/A 31954-2024 tillsynsbegäran mail.docx", "A 31954-2024")</f>
        <v/>
      </c>
    </row>
    <row r="430" ht="15" customHeight="1">
      <c r="A430" t="inlineStr">
        <is>
          <t>A 38585-2023</t>
        </is>
      </c>
      <c r="B430" t="inlineStr">
        <is>
          <t>avverkningsanmälan</t>
        </is>
      </c>
      <c r="C430" t="inlineStr">
        <is>
          <t>Föryngringsavverkning</t>
        </is>
      </c>
      <c r="D430" s="1" t="n">
        <v>45162</v>
      </c>
      <c r="E430" s="1" t="n">
        <v>46319</v>
      </c>
      <c r="F430" t="inlineStr">
        <is>
          <t>DALARNAS LÄN</t>
        </is>
      </c>
      <c r="G430" t="inlineStr">
        <is>
          <t>ÄLVDALEN</t>
        </is>
      </c>
      <c r="H430" t="inlineStr">
        <is>
          <t>Sveaskog</t>
        </is>
      </c>
      <c r="I430" t="n">
        <v>7.8</v>
      </c>
      <c r="J430" t="n">
        <v>1</v>
      </c>
      <c r="K430" t="n">
        <v>1</v>
      </c>
      <c r="L430" t="n">
        <v>6</v>
      </c>
      <c r="M430" t="n">
        <v>0</v>
      </c>
      <c r="N430" t="n">
        <v>0</v>
      </c>
      <c r="O430" t="n">
        <v>0</v>
      </c>
      <c r="P430" t="n">
        <v>0</v>
      </c>
      <c r="Q430" t="n">
        <v>6</v>
      </c>
      <c r="R430" t="n">
        <v>0</v>
      </c>
      <c r="S430" t="n">
        <v>7</v>
      </c>
      <c r="T430" t="n">
        <v>12</v>
      </c>
      <c r="U430" t="n">
        <v>11</v>
      </c>
      <c r="V430" s="2" t="inlineStr">
        <is>
          <t>Blanksvart spiklav
Blå taggsvamp
Dropptaggsvamp
Dvärgbägarlav
Kolflarnlav
Skarp dropptaggsvamp
Plattlummer</t>
        </is>
      </c>
      <c r="W430">
        <f>HYPERLINK("https://klasma.github.io/Logging_2039/artfynd/A 38585-2023 artfynd.xlsx", "A 38585-2023")</f>
        <v/>
      </c>
      <c r="X430">
        <f>HYPERLINK("https://klasma.github.io/Logging_2039/kartor/A 38585-2023 karta.png", "A 38585-2023")</f>
        <v/>
      </c>
      <c r="Y430">
        <f>HYPERLINK("https://klasma.github.io/Logging_2039/kartor_geotiff/A 38585-2023 georefererad karta.tif", "A 38585-2023")</f>
        <v/>
      </c>
      <c r="AA430">
        <f>HYPERLINK("https://klasma.github.io/Logging_2039/klagomål/A 38585-2023 FSC-klagomål.docx", "A 38585-2023")</f>
        <v/>
      </c>
      <c r="AB430">
        <f>HYPERLINK("https://klasma.github.io/Logging_2039/klagomålsmail/A 38585-2023 FSC-klagomål mail.docx", "A 38585-2023")</f>
        <v/>
      </c>
      <c r="AC430">
        <f>HYPERLINK("https://klasma.github.io/Logging_2039/tillsyn/A 38585-2023 tillsynsbegäran.docx", "A 38585-2023")</f>
        <v/>
      </c>
      <c r="AD430">
        <f>HYPERLINK("https://klasma.github.io/Logging_2039/tillsynsmail/A 38585-2023 tillsynsbegäran mail.docx", "A 38585-2023")</f>
        <v/>
      </c>
    </row>
    <row r="431" ht="15" customHeight="1">
      <c r="A431" t="inlineStr">
        <is>
          <t>A 52601-2024</t>
        </is>
      </c>
      <c r="B431" t="inlineStr">
        <is>
          <t>avverkningsanmälan</t>
        </is>
      </c>
      <c r="C431" t="inlineStr">
        <is>
          <t>Föryngringsavverkning</t>
        </is>
      </c>
      <c r="D431" s="1" t="n">
        <v>45609</v>
      </c>
      <c r="E431" s="1" t="n">
        <v>46319</v>
      </c>
      <c r="F431" t="inlineStr">
        <is>
          <t>DALARNAS LÄN</t>
        </is>
      </c>
      <c r="G431" t="inlineStr">
        <is>
          <t>SMEDJEBACKEN</t>
        </is>
      </c>
      <c r="H431" t="inlineStr">
        <is>
          <t>Bergvik skog väst AB</t>
        </is>
      </c>
      <c r="I431" t="n">
        <v>47.9</v>
      </c>
      <c r="J431" t="n">
        <v>2</v>
      </c>
      <c r="K431" t="n">
        <v>1</v>
      </c>
      <c r="L431" t="n">
        <v>4</v>
      </c>
      <c r="M431" t="n">
        <v>1</v>
      </c>
      <c r="N431" t="n">
        <v>0</v>
      </c>
      <c r="O431" t="n">
        <v>0</v>
      </c>
      <c r="P431" t="n">
        <v>0</v>
      </c>
      <c r="Q431" t="n">
        <v>5</v>
      </c>
      <c r="R431" t="n">
        <v>1</v>
      </c>
      <c r="S431" t="n">
        <v>7</v>
      </c>
      <c r="T431" t="n">
        <v>12</v>
      </c>
      <c r="U431" t="n">
        <v>12</v>
      </c>
      <c r="V431" s="2" t="inlineStr">
        <is>
          <t>Knärot
Motaggsvamp
Tallticka
Vedskivlav
Vedtrappmossa
Vågbandad barkbock
Spillkråka</t>
        </is>
      </c>
      <c r="W431">
        <f>HYPERLINK("https://klasma.github.io/Logging_2061/artfynd/A 52601-2024 artfynd.xlsx", "A 52601-2024")</f>
        <v/>
      </c>
      <c r="X431">
        <f>HYPERLINK("https://klasma.github.io/Logging_2061/kartor/A 52601-2024 karta.png", "A 52601-2024")</f>
        <v/>
      </c>
      <c r="Y431">
        <f>HYPERLINK("https://klasma.github.io/Logging_2061/kartor_geotiff/A 52601-2024 georefererad karta.tif", "A 52601-2024")</f>
        <v/>
      </c>
      <c r="Z431">
        <f>HYPERLINK("https://klasma.github.io/Logging_2061/knärot/A 52601-2024 karta knärot.png", "A 52601-2024")</f>
        <v/>
      </c>
      <c r="AA431">
        <f>HYPERLINK("https://klasma.github.io/Logging_2061/klagomål/A 52601-2024 FSC-klagomål.docx", "A 52601-2024")</f>
        <v/>
      </c>
      <c r="AB431">
        <f>HYPERLINK("https://klasma.github.io/Logging_2061/klagomålsmail/A 52601-2024 FSC-klagomål mail.docx", "A 52601-2024")</f>
        <v/>
      </c>
      <c r="AC431">
        <f>HYPERLINK("https://klasma.github.io/Logging_2061/tillsyn/A 52601-2024 tillsynsbegäran.docx", "A 52601-2024")</f>
        <v/>
      </c>
      <c r="AD431">
        <f>HYPERLINK("https://klasma.github.io/Logging_2061/tillsynsmail/A 52601-2024 tillsynsbegäran mail.docx", "A 52601-2024")</f>
        <v/>
      </c>
      <c r="AE431">
        <f>HYPERLINK("https://klasma.github.io/Logging_2061/fåglar/A 52601-2024 prioriterade fågelarter.docx", "A 52601-2024")</f>
        <v/>
      </c>
    </row>
    <row r="432" ht="15" customHeight="1">
      <c r="A432" t="inlineStr">
        <is>
          <t>A 8107-2024</t>
        </is>
      </c>
      <c r="B432" t="inlineStr">
        <is>
          <t>avverkningsanmälan</t>
        </is>
      </c>
      <c r="C432" t="inlineStr">
        <is>
          <t>Föryngringsavverkning</t>
        </is>
      </c>
      <c r="D432" s="1" t="n">
        <v>45351</v>
      </c>
      <c r="E432" s="1" t="n">
        <v>46319</v>
      </c>
      <c r="F432" t="inlineStr">
        <is>
          <t>DALARNAS LÄN</t>
        </is>
      </c>
      <c r="G432" t="inlineStr">
        <is>
          <t>ORSA</t>
        </is>
      </c>
      <c r="I432" t="n">
        <v>13.6</v>
      </c>
      <c r="J432" t="n">
        <v>2</v>
      </c>
      <c r="K432" t="n">
        <v>1</v>
      </c>
      <c r="L432" t="n">
        <v>4</v>
      </c>
      <c r="M432" t="n">
        <v>1</v>
      </c>
      <c r="N432" t="n">
        <v>0</v>
      </c>
      <c r="O432" t="n">
        <v>0</v>
      </c>
      <c r="P432" t="n">
        <v>0</v>
      </c>
      <c r="Q432" t="n">
        <v>5</v>
      </c>
      <c r="R432" t="n">
        <v>1</v>
      </c>
      <c r="S432" t="n">
        <v>7</v>
      </c>
      <c r="T432" t="n">
        <v>9</v>
      </c>
      <c r="U432" t="n">
        <v>9</v>
      </c>
      <c r="V432" s="2" t="inlineStr">
        <is>
          <t>Garnlav
Grönhjon
Lunglav
Mörk kolflarnlav
Tretåig hackspett
Björksplintborre
Tjäder</t>
        </is>
      </c>
      <c r="W432">
        <f>HYPERLINK("https://klasma.github.io/Logging_2034/artfynd/A 8107-2024 artfynd.xlsx", "A 8107-2024")</f>
        <v/>
      </c>
      <c r="X432">
        <f>HYPERLINK("https://klasma.github.io/Logging_2034/kartor/A 8107-2024 karta.png", "A 8107-2024")</f>
        <v/>
      </c>
      <c r="Y432">
        <f>HYPERLINK("https://klasma.github.io/Logging_2034/kartor_geotiff/A 8107-2024 georefererad karta.tif", "A 8107-2024")</f>
        <v/>
      </c>
      <c r="AA432">
        <f>HYPERLINK("https://klasma.github.io/Logging_2034/klagomål/A 8107-2024 FSC-klagomål.docx", "A 8107-2024")</f>
        <v/>
      </c>
      <c r="AB432">
        <f>HYPERLINK("https://klasma.github.io/Logging_2034/klagomålsmail/A 8107-2024 FSC-klagomål mail.docx", "A 8107-2024")</f>
        <v/>
      </c>
      <c r="AC432">
        <f>HYPERLINK("https://klasma.github.io/Logging_2034/tillsyn/A 8107-2024 tillsynsbegäran.docx", "A 8107-2024")</f>
        <v/>
      </c>
      <c r="AD432">
        <f>HYPERLINK("https://klasma.github.io/Logging_2034/tillsynsmail/A 8107-2024 tillsynsbegäran mail.docx", "A 8107-2024")</f>
        <v/>
      </c>
      <c r="AE432">
        <f>HYPERLINK("https://klasma.github.io/Logging_2034/fåglar/A 8107-2024 prioriterade fågelarter.docx", "A 8107-2024")</f>
        <v/>
      </c>
    </row>
    <row r="433" ht="15" customHeight="1">
      <c r="A433" t="inlineStr">
        <is>
          <t>A 16488-2025</t>
        </is>
      </c>
      <c r="B433" t="inlineStr">
        <is>
          <t>avverkningsanmälan</t>
        </is>
      </c>
      <c r="C433" t="inlineStr">
        <is>
          <t>Föryngringsavverkning</t>
        </is>
      </c>
      <c r="D433" s="1" t="n">
        <v>45751</v>
      </c>
      <c r="E433" s="1" t="n">
        <v>46319</v>
      </c>
      <c r="F433" t="inlineStr">
        <is>
          <t>DALARNAS LÄN</t>
        </is>
      </c>
      <c r="G433" t="inlineStr">
        <is>
          <t>FALUN</t>
        </is>
      </c>
      <c r="H433" t="inlineStr">
        <is>
          <t>Övriga statliga verk och myndigheter</t>
        </is>
      </c>
      <c r="I433" t="n">
        <v>3.3</v>
      </c>
      <c r="J433" t="n">
        <v>3</v>
      </c>
      <c r="K433" t="n">
        <v>3</v>
      </c>
      <c r="L433" t="n">
        <v>2</v>
      </c>
      <c r="M433" t="n">
        <v>0</v>
      </c>
      <c r="N433" t="n">
        <v>0</v>
      </c>
      <c r="O433" t="n">
        <v>0</v>
      </c>
      <c r="P433" t="n">
        <v>0</v>
      </c>
      <c r="Q433" t="n">
        <v>2</v>
      </c>
      <c r="R433" t="n">
        <v>0</v>
      </c>
      <c r="S433" t="n">
        <v>7</v>
      </c>
      <c r="T433" t="n">
        <v>28</v>
      </c>
      <c r="U433" t="n">
        <v>28</v>
      </c>
      <c r="V433" s="2" t="inlineStr">
        <is>
          <t>Rosenticka
Ullticka
Bronshjon
Gullgröppa
Plattlummer
Mattlummer
Revlummer</t>
        </is>
      </c>
      <c r="W433">
        <f>HYPERLINK("https://klasma.github.io/Logging_2080/artfynd/A 16488-2025 artfynd.xlsx", "A 16488-2025")</f>
        <v/>
      </c>
      <c r="X433">
        <f>HYPERLINK("https://klasma.github.io/Logging_2080/kartor/A 16488-2025 karta.png", "A 16488-2025")</f>
        <v/>
      </c>
      <c r="Y433">
        <f>HYPERLINK("https://klasma.github.io/Logging_2080/kartor_geotiff/A 16488-2025 georefererad karta.tif", "A 16488-2025")</f>
        <v/>
      </c>
      <c r="AA433">
        <f>HYPERLINK("https://klasma.github.io/Logging_2080/klagomål/A 16488-2025 FSC-klagomål.docx", "A 16488-2025")</f>
        <v/>
      </c>
      <c r="AB433">
        <f>HYPERLINK("https://klasma.github.io/Logging_2080/klagomålsmail/A 16488-2025 FSC-klagomål mail.docx", "A 16488-2025")</f>
        <v/>
      </c>
      <c r="AC433">
        <f>HYPERLINK("https://klasma.github.io/Logging_2080/tillsyn/A 16488-2025 tillsynsbegäran.docx", "A 16488-2025")</f>
        <v/>
      </c>
      <c r="AD433">
        <f>HYPERLINK("https://klasma.github.io/Logging_2080/tillsynsmail/A 16488-2025 tillsynsbegäran mail.docx", "A 16488-2025")</f>
        <v/>
      </c>
    </row>
    <row r="434" ht="15" customHeight="1">
      <c r="A434" t="inlineStr">
        <is>
          <t>A 52620-2022</t>
        </is>
      </c>
      <c r="B434" t="inlineStr">
        <is>
          <t>avverkningsanmälan</t>
        </is>
      </c>
      <c r="C434" t="inlineStr">
        <is>
          <t>Föryngringsavverkning</t>
        </is>
      </c>
      <c r="D434" s="1" t="n">
        <v>44874</v>
      </c>
      <c r="E434" s="1" t="n">
        <v>46319</v>
      </c>
      <c r="F434" t="inlineStr">
        <is>
          <t>DALARNAS LÄN</t>
        </is>
      </c>
      <c r="G434" t="inlineStr">
        <is>
          <t>RÄTTVIK</t>
        </is>
      </c>
      <c r="H434" t="inlineStr">
        <is>
          <t>Bergvik skog väst AB</t>
        </is>
      </c>
      <c r="I434" t="n">
        <v>46.7</v>
      </c>
      <c r="J434" t="n">
        <v>0</v>
      </c>
      <c r="K434" t="n">
        <v>1</v>
      </c>
      <c r="L434" t="n">
        <v>2</v>
      </c>
      <c r="M434" t="n">
        <v>3</v>
      </c>
      <c r="N434" t="n">
        <v>1</v>
      </c>
      <c r="O434" t="n">
        <v>0</v>
      </c>
      <c r="P434" t="n">
        <v>0</v>
      </c>
      <c r="Q434" t="n">
        <v>6</v>
      </c>
      <c r="R434" t="n">
        <v>4</v>
      </c>
      <c r="S434" t="n">
        <v>7</v>
      </c>
      <c r="T434" t="n">
        <v>11</v>
      </c>
      <c r="U434" t="n">
        <v>11</v>
      </c>
      <c r="V434" s="2" t="inlineStr">
        <is>
          <t>Urskogsporing
Gräddporing
Spadskinn
Tajgataggsvamp
Svartvit taggsvamp
Vaddporing
Vedticka</t>
        </is>
      </c>
      <c r="W434">
        <f>HYPERLINK("https://klasma.github.io/Logging_2031/artfynd/A 52620-2022 artfynd.xlsx", "A 52620-2022")</f>
        <v/>
      </c>
      <c r="X434">
        <f>HYPERLINK("https://klasma.github.io/Logging_2031/kartor/A 52620-2022 karta.png", "A 52620-2022")</f>
        <v/>
      </c>
      <c r="Y434">
        <f>HYPERLINK("https://klasma.github.io/Logging_2031/kartor_geotiff/A 52620-2022 georefererad karta.tif", "A 52620-2022")</f>
        <v/>
      </c>
      <c r="AA434">
        <f>HYPERLINK("https://klasma.github.io/Logging_2031/klagomål/A 52620-2022 FSC-klagomål.docx", "A 52620-2022")</f>
        <v/>
      </c>
      <c r="AB434">
        <f>HYPERLINK("https://klasma.github.io/Logging_2031/klagomålsmail/A 52620-2022 FSC-klagomål mail.docx", "A 52620-2022")</f>
        <v/>
      </c>
      <c r="AC434">
        <f>HYPERLINK("https://klasma.github.io/Logging_2031/tillsyn/A 52620-2022 tillsynsbegäran.docx", "A 52620-2022")</f>
        <v/>
      </c>
      <c r="AD434">
        <f>HYPERLINK("https://klasma.github.io/Logging_2031/tillsynsmail/A 52620-2022 tillsynsbegäran mail.docx", "A 52620-2022")</f>
        <v/>
      </c>
    </row>
    <row r="435" ht="15" customHeight="1">
      <c r="A435" t="inlineStr">
        <is>
          <t>S 1125-2023</t>
        </is>
      </c>
      <c r="B435" t="inlineStr">
        <is>
          <t>samrådsanmälan</t>
        </is>
      </c>
      <c r="C435" t="inlineStr">
        <is>
          <t>Askåterföring</t>
        </is>
      </c>
      <c r="D435" s="1" t="n">
        <v>45016</v>
      </c>
      <c r="E435" s="1" t="n">
        <v>46319</v>
      </c>
      <c r="F435" t="inlineStr">
        <is>
          <t>DALARNAS LÄN</t>
        </is>
      </c>
      <c r="G435" t="inlineStr">
        <is>
          <t>MALUNG-SÄLEN</t>
        </is>
      </c>
      <c r="H435" t="inlineStr">
        <is>
          <t>Allmännings- och besparingsskogar</t>
        </is>
      </c>
      <c r="I435" t="n">
        <v>118.5</v>
      </c>
      <c r="J435" t="n">
        <v>3</v>
      </c>
      <c r="K435" t="n">
        <v>1</v>
      </c>
      <c r="L435" t="n">
        <v>3</v>
      </c>
      <c r="M435" t="n">
        <v>1</v>
      </c>
      <c r="N435" t="n">
        <v>0</v>
      </c>
      <c r="O435" t="n">
        <v>0</v>
      </c>
      <c r="P435" t="n">
        <v>0</v>
      </c>
      <c r="Q435" t="n">
        <v>4</v>
      </c>
      <c r="R435" t="n">
        <v>1</v>
      </c>
      <c r="S435" t="n">
        <v>7</v>
      </c>
      <c r="T435" t="n">
        <v>8</v>
      </c>
      <c r="U435" t="n">
        <v>3</v>
      </c>
      <c r="V435" s="2" t="inlineStr">
        <is>
          <t>Garnlav
Doftskinn
Tretåig hackspett
Vedskivlav
Bronshjon
Spillkråka
Kungsfågel</t>
        </is>
      </c>
      <c r="W435">
        <f>HYPERLINK("https://klasma.github.io/Logging_2023/artfynd/S 1125-2023 artfynd.xlsx", "S 1125-2023")</f>
        <v/>
      </c>
      <c r="X435">
        <f>HYPERLINK("https://klasma.github.io/Logging_2023/kartor/S 1125-2023 karta.png", "S 1125-2023")</f>
        <v/>
      </c>
      <c r="Y435">
        <f>HYPERLINK("https://klasma.github.io/Logging_2023/kartor_geotiff/S 1125-2023 georefererad karta.tif", "S 1125-2023")</f>
        <v/>
      </c>
      <c r="AA435">
        <f>HYPERLINK("https://klasma.github.io/Logging_2023/klagomål/S 1125-2023 FSC-klagomål.docx", "S 1125-2023")</f>
        <v/>
      </c>
      <c r="AB435">
        <f>HYPERLINK("https://klasma.github.io/Logging_2023/klagomålsmail/S 1125-2023 FSC-klagomål mail.docx", "S 1125-2023")</f>
        <v/>
      </c>
      <c r="AC435">
        <f>HYPERLINK("https://klasma.github.io/Logging_2023/tillsyn/S 1125-2023 tillsynsbegäran.docx", "S 1125-2023")</f>
        <v/>
      </c>
      <c r="AD435">
        <f>HYPERLINK("https://klasma.github.io/Logging_2023/tillsynsmail/S 1125-2023 tillsynsbegäran mail.docx", "S 1125-2023")</f>
        <v/>
      </c>
      <c r="AE435">
        <f>HYPERLINK("https://klasma.github.io/Logging_2023/fåglar/S 1125-2023 prioriterade fågelarter.docx", "S 1125-2023")</f>
        <v/>
      </c>
    </row>
    <row r="436" ht="15" customHeight="1">
      <c r="A436" t="inlineStr">
        <is>
          <t>S 824-2022</t>
        </is>
      </c>
      <c r="B436" t="inlineStr">
        <is>
          <t>samrådsanmälan</t>
        </is>
      </c>
      <c r="C436" t="inlineStr">
        <is>
          <t>Skogsgödsling</t>
        </is>
      </c>
      <c r="D436" s="1" t="n">
        <v>44602</v>
      </c>
      <c r="E436" s="1" t="n">
        <v>46319</v>
      </c>
      <c r="F436" t="inlineStr">
        <is>
          <t>DALARNAS LÄN</t>
        </is>
      </c>
      <c r="G436" t="inlineStr">
        <is>
          <t>ÄLVDALEN</t>
        </is>
      </c>
      <c r="H436" t="inlineStr">
        <is>
          <t>Bergvik skog väst AB</t>
        </is>
      </c>
      <c r="I436" t="n">
        <v>273.4</v>
      </c>
      <c r="J436" t="n">
        <v>4</v>
      </c>
      <c r="K436" t="n">
        <v>2</v>
      </c>
      <c r="L436" t="n">
        <v>1</v>
      </c>
      <c r="M436" t="n">
        <v>0</v>
      </c>
      <c r="N436" t="n">
        <v>0</v>
      </c>
      <c r="O436" t="n">
        <v>0</v>
      </c>
      <c r="P436" t="n">
        <v>0</v>
      </c>
      <c r="Q436" t="n">
        <v>1</v>
      </c>
      <c r="R436" t="n">
        <v>0</v>
      </c>
      <c r="S436" t="n">
        <v>7</v>
      </c>
      <c r="T436" t="n">
        <v>13</v>
      </c>
      <c r="U436" t="n">
        <v>13</v>
      </c>
      <c r="V436" s="2" t="inlineStr">
        <is>
          <t>Vedskivlav
Mindre märgborre
Plattlummer
Linnea
Spillkråka
Tjäder
Revlummer</t>
        </is>
      </c>
      <c r="W436">
        <f>HYPERLINK("https://klasma.github.io/Logging_2039/artfynd/S 824-2022 artfynd.xlsx", "S 824-2022")</f>
        <v/>
      </c>
      <c r="X436">
        <f>HYPERLINK("https://klasma.github.io/Logging_2039/kartor/S 824-2022 karta.png", "S 824-2022")</f>
        <v/>
      </c>
      <c r="Y436">
        <f>HYPERLINK("https://klasma.github.io/Logging_2039/kartor_geotiff/S 824-2022 georefererad karta.tif", "S 824-2022")</f>
        <v/>
      </c>
      <c r="AA436">
        <f>HYPERLINK("https://klasma.github.io/Logging_2039/klagomål/S 824-2022 FSC-klagomål.docx", "S 824-2022")</f>
        <v/>
      </c>
      <c r="AB436">
        <f>HYPERLINK("https://klasma.github.io/Logging_2039/klagomålsmail/S 824-2022 FSC-klagomål mail.docx", "S 824-2022")</f>
        <v/>
      </c>
      <c r="AC436">
        <f>HYPERLINK("https://klasma.github.io/Logging_2039/tillsyn/S 824-2022 tillsynsbegäran.docx", "S 824-2022")</f>
        <v/>
      </c>
      <c r="AD436">
        <f>HYPERLINK("https://klasma.github.io/Logging_2039/tillsynsmail/S 824-2022 tillsynsbegäran mail.docx", "S 824-2022")</f>
        <v/>
      </c>
      <c r="AE436">
        <f>HYPERLINK("https://klasma.github.io/Logging_2039/fåglar/S 824-2022 prioriterade fågelarter.docx", "S 824-2022")</f>
        <v/>
      </c>
    </row>
    <row r="437" ht="15" customHeight="1">
      <c r="A437" t="inlineStr">
        <is>
          <t>S 5342-2022</t>
        </is>
      </c>
      <c r="B437" t="inlineStr">
        <is>
          <t>samrådsanmälan</t>
        </is>
      </c>
      <c r="C437" t="inlineStr">
        <is>
          <t>Annan skogsbruksåtgärd</t>
        </is>
      </c>
      <c r="D437" s="1" t="n">
        <v>44828</v>
      </c>
      <c r="E437" s="1" t="n">
        <v>46319</v>
      </c>
      <c r="F437" t="inlineStr">
        <is>
          <t>DALARNAS LÄN</t>
        </is>
      </c>
      <c r="G437" t="inlineStr">
        <is>
          <t>ÄLVDALEN</t>
        </is>
      </c>
      <c r="I437" t="n">
        <v>2</v>
      </c>
      <c r="J437" t="n">
        <v>0</v>
      </c>
      <c r="K437" t="n">
        <v>1</v>
      </c>
      <c r="L437" t="n">
        <v>5</v>
      </c>
      <c r="M437" t="n">
        <v>1</v>
      </c>
      <c r="N437" t="n">
        <v>0</v>
      </c>
      <c r="O437" t="n">
        <v>0</v>
      </c>
      <c r="P437" t="n">
        <v>0</v>
      </c>
      <c r="Q437" t="n">
        <v>6</v>
      </c>
      <c r="R437" t="n">
        <v>1</v>
      </c>
      <c r="S437" t="n">
        <v>7</v>
      </c>
      <c r="T437" t="n">
        <v>7</v>
      </c>
      <c r="U437" t="n">
        <v>0</v>
      </c>
      <c r="V437" s="2" t="inlineStr">
        <is>
          <t>Garnlav
Rosenticka
Rynkskinn
Tallticka
Violettgrå tagellav
Vitgrynig nållav
Vågbandad barkbock</t>
        </is>
      </c>
      <c r="W437">
        <f>HYPERLINK("https://klasma.github.io/Logging_2039/artfynd/S 5342-2022 artfynd.xlsx", "S 5342-2022")</f>
        <v/>
      </c>
      <c r="X437">
        <f>HYPERLINK("https://klasma.github.io/Logging_2039/kartor/S 5342-2022 karta.png", "S 5342-2022")</f>
        <v/>
      </c>
      <c r="Y437">
        <f>HYPERLINK("https://klasma.github.io/Logging_2039/kartor_geotiff/S 5342-2022 georefererad karta.tif", "S 5342-2022")</f>
        <v/>
      </c>
      <c r="AA437">
        <f>HYPERLINK("https://klasma.github.io/Logging_2039/klagomål/S 5342-2022 FSC-klagomål.docx", "S 5342-2022")</f>
        <v/>
      </c>
      <c r="AB437">
        <f>HYPERLINK("https://klasma.github.io/Logging_2039/klagomålsmail/S 5342-2022 FSC-klagomål mail.docx", "S 5342-2022")</f>
        <v/>
      </c>
      <c r="AC437">
        <f>HYPERLINK("https://klasma.github.io/Logging_2039/tillsyn/S 5342-2022 tillsynsbegäran.docx", "S 5342-2022")</f>
        <v/>
      </c>
      <c r="AD437">
        <f>HYPERLINK("https://klasma.github.io/Logging_2039/tillsynsmail/S 5342-2022 tillsynsbegäran mail.docx", "S 5342-2022")</f>
        <v/>
      </c>
    </row>
    <row r="438" ht="15" customHeight="1">
      <c r="A438" t="inlineStr">
        <is>
          <t>S 669-2023</t>
        </is>
      </c>
      <c r="B438" t="inlineStr">
        <is>
          <t>samrådsanmälan</t>
        </is>
      </c>
      <c r="C438" t="inlineStr">
        <is>
          <t>Skogsgödsling</t>
        </is>
      </c>
      <c r="D438" s="1" t="n">
        <v>44971</v>
      </c>
      <c r="E438" s="1" t="n">
        <v>46319</v>
      </c>
      <c r="F438" t="inlineStr">
        <is>
          <t>DALARNAS LÄN</t>
        </is>
      </c>
      <c r="G438" t="inlineStr">
        <is>
          <t>ÄLVDALEN</t>
        </is>
      </c>
      <c r="H438" t="inlineStr">
        <is>
          <t>Bergvik skog väst AB</t>
        </is>
      </c>
      <c r="I438" t="n">
        <v>269.2</v>
      </c>
      <c r="J438" t="n">
        <v>4</v>
      </c>
      <c r="K438" t="n">
        <v>2</v>
      </c>
      <c r="L438" t="n">
        <v>1</v>
      </c>
      <c r="M438" t="n">
        <v>0</v>
      </c>
      <c r="N438" t="n">
        <v>0</v>
      </c>
      <c r="O438" t="n">
        <v>0</v>
      </c>
      <c r="P438" t="n">
        <v>0</v>
      </c>
      <c r="Q438" t="n">
        <v>1</v>
      </c>
      <c r="R438" t="n">
        <v>0</v>
      </c>
      <c r="S438" t="n">
        <v>7</v>
      </c>
      <c r="T438" t="n">
        <v>13</v>
      </c>
      <c r="U438" t="n">
        <v>13</v>
      </c>
      <c r="V438" s="2" t="inlineStr">
        <is>
          <t>Vedskivlav
Mindre märgborre
Plattlummer
Linnea
Spillkråka
Tjäder
Revlummer</t>
        </is>
      </c>
      <c r="W438">
        <f>HYPERLINK("https://klasma.github.io/Logging_2039/artfynd/S 669-2023 artfynd.xlsx", "S 669-2023")</f>
        <v/>
      </c>
      <c r="X438">
        <f>HYPERLINK("https://klasma.github.io/Logging_2039/kartor/S 669-2023 karta.png", "S 669-2023")</f>
        <v/>
      </c>
      <c r="Y438">
        <f>HYPERLINK("https://klasma.github.io/Logging_2039/kartor_geotiff/S 669-2023 georefererad karta.tif", "S 669-2023")</f>
        <v/>
      </c>
      <c r="AA438">
        <f>HYPERLINK("https://klasma.github.io/Logging_2039/klagomål/S 669-2023 FSC-klagomål.docx", "S 669-2023")</f>
        <v/>
      </c>
      <c r="AB438">
        <f>HYPERLINK("https://klasma.github.io/Logging_2039/klagomålsmail/S 669-2023 FSC-klagomål mail.docx", "S 669-2023")</f>
        <v/>
      </c>
      <c r="AC438">
        <f>HYPERLINK("https://klasma.github.io/Logging_2039/tillsyn/S 669-2023 tillsynsbegäran.docx", "S 669-2023")</f>
        <v/>
      </c>
      <c r="AD438">
        <f>HYPERLINK("https://klasma.github.io/Logging_2039/tillsynsmail/S 669-2023 tillsynsbegäran mail.docx", "S 669-2023")</f>
        <v/>
      </c>
      <c r="AE438">
        <f>HYPERLINK("https://klasma.github.io/Logging_2039/fåglar/S 669-2023 prioriterade fågelarter.docx", "S 669-2023")</f>
        <v/>
      </c>
    </row>
    <row r="439" ht="15" customHeight="1">
      <c r="A439" t="inlineStr">
        <is>
          <t>S 742-2025</t>
        </is>
      </c>
      <c r="B439" t="inlineStr">
        <is>
          <t>samrådsanmälan</t>
        </is>
      </c>
      <c r="C439" t="inlineStr">
        <is>
          <t>Annan skogsbruksåtgärd</t>
        </is>
      </c>
      <c r="D439" s="1" t="n">
        <v>45723</v>
      </c>
      <c r="E439" s="1" t="n">
        <v>46319</v>
      </c>
      <c r="F439" t="inlineStr">
        <is>
          <t>DALARNAS LÄN</t>
        </is>
      </c>
      <c r="G439" t="inlineStr">
        <is>
          <t>SMEDJEBACKEN</t>
        </is>
      </c>
      <c r="H439" t="inlineStr">
        <is>
          <t>Bergvik skog väst AB</t>
        </is>
      </c>
      <c r="I439" t="n">
        <v>43</v>
      </c>
      <c r="J439" t="n">
        <v>3</v>
      </c>
      <c r="K439" t="n">
        <v>3</v>
      </c>
      <c r="L439" t="n">
        <v>2</v>
      </c>
      <c r="M439" t="n">
        <v>0</v>
      </c>
      <c r="N439" t="n">
        <v>0</v>
      </c>
      <c r="O439" t="n">
        <v>0</v>
      </c>
      <c r="P439" t="n">
        <v>0</v>
      </c>
      <c r="Q439" t="n">
        <v>2</v>
      </c>
      <c r="R439" t="n">
        <v>0</v>
      </c>
      <c r="S439" t="n">
        <v>7</v>
      </c>
      <c r="T439" t="n">
        <v>17</v>
      </c>
      <c r="U439" t="n">
        <v>16</v>
      </c>
      <c r="V439" s="2" t="inlineStr">
        <is>
          <t>Tjockfotad fingersvamp
Vedtrappmossa
Grön sköldmossa
Stubbspretmossa
Tibast
Blåsippa
Kopparödla</t>
        </is>
      </c>
      <c r="W439">
        <f>HYPERLINK("https://klasma.github.io/Logging_2061/artfynd/S 742-2025 artfynd.xlsx", "S 742-2025")</f>
        <v/>
      </c>
      <c r="X439">
        <f>HYPERLINK("https://klasma.github.io/Logging_2061/kartor/S 742-2025 karta.png", "S 742-2025")</f>
        <v/>
      </c>
      <c r="Y439">
        <f>HYPERLINK("https://klasma.github.io/Logging_2061/kartor_geotiff/S 742-2025 georefererad karta.tif", "S 742-2025")</f>
        <v/>
      </c>
      <c r="AA439">
        <f>HYPERLINK("https://klasma.github.io/Logging_2061/klagomål/S 742-2025 FSC-klagomål.docx", "S 742-2025")</f>
        <v/>
      </c>
      <c r="AB439">
        <f>HYPERLINK("https://klasma.github.io/Logging_2061/klagomålsmail/S 742-2025 FSC-klagomål mail.docx", "S 742-2025")</f>
        <v/>
      </c>
      <c r="AC439">
        <f>HYPERLINK("https://klasma.github.io/Logging_2061/tillsyn/S 742-2025 tillsynsbegäran.docx", "S 742-2025")</f>
        <v/>
      </c>
      <c r="AD439">
        <f>HYPERLINK("https://klasma.github.io/Logging_2061/tillsynsmail/S 742-2025 tillsynsbegäran mail.docx", "S 742-2025")</f>
        <v/>
      </c>
    </row>
    <row r="440" ht="15" customHeight="1">
      <c r="A440" t="inlineStr">
        <is>
          <t>S 4911-2024</t>
        </is>
      </c>
      <c r="B440" t="inlineStr">
        <is>
          <t>samrådsanmälan</t>
        </is>
      </c>
      <c r="C440" t="inlineStr">
        <is>
          <t>Annan skogsbruksåtgärd</t>
        </is>
      </c>
      <c r="D440" s="1" t="n">
        <v>45623</v>
      </c>
      <c r="E440" s="1" t="n">
        <v>46319</v>
      </c>
      <c r="F440" t="inlineStr">
        <is>
          <t>DALARNAS LÄN</t>
        </is>
      </c>
      <c r="G440" t="inlineStr">
        <is>
          <t>MORA</t>
        </is>
      </c>
      <c r="I440" t="n">
        <v>1.4</v>
      </c>
      <c r="J440" t="n">
        <v>0</v>
      </c>
      <c r="K440" t="n">
        <v>7</v>
      </c>
      <c r="L440" t="n">
        <v>0</v>
      </c>
      <c r="M440" t="n">
        <v>0</v>
      </c>
      <c r="N440" t="n">
        <v>0</v>
      </c>
      <c r="O440" t="n">
        <v>0</v>
      </c>
      <c r="P440" t="n">
        <v>0</v>
      </c>
      <c r="Q440" t="n">
        <v>0</v>
      </c>
      <c r="R440" t="n">
        <v>0</v>
      </c>
      <c r="S440" t="n">
        <v>7</v>
      </c>
      <c r="T440" t="n">
        <v>7</v>
      </c>
      <c r="U440" t="n">
        <v>0</v>
      </c>
      <c r="V440" s="2" t="inlineStr">
        <is>
          <t>Aprikosfingersvamp
Broskvaxing
Fjällig jordtunga
Honungsvaxing
Mönjevaxing
Sprödvaxing
Toppvaxing</t>
        </is>
      </c>
      <c r="W440">
        <f>HYPERLINK("https://klasma.github.io/Logging_2062/artfynd/S 4911-2024 artfynd.xlsx", "S 4911-2024")</f>
        <v/>
      </c>
      <c r="X440">
        <f>HYPERLINK("https://klasma.github.io/Logging_2062/kartor/S 4911-2024 karta.png", "S 4911-2024")</f>
        <v/>
      </c>
      <c r="Y440">
        <f>HYPERLINK("https://klasma.github.io/Logging_2062/kartor_geotiff/S 4911-2024 georefererad karta.tif", "S 4911-2024")</f>
        <v/>
      </c>
      <c r="AA440">
        <f>HYPERLINK("https://klasma.github.io/Logging_2062/klagomål/S 4911-2024 FSC-klagomål.docx", "S 4911-2024")</f>
        <v/>
      </c>
      <c r="AB440">
        <f>HYPERLINK("https://klasma.github.io/Logging_2062/klagomålsmail/S 4911-2024 FSC-klagomål mail.docx", "S 4911-2024")</f>
        <v/>
      </c>
      <c r="AC440">
        <f>HYPERLINK("https://klasma.github.io/Logging_2062/tillsyn/S 4911-2024 tillsynsbegäran.docx", "S 4911-2024")</f>
        <v/>
      </c>
      <c r="AD440">
        <f>HYPERLINK("https://klasma.github.io/Logging_2062/tillsynsmail/S 4911-2024 tillsynsbegäran mail.docx", "S 4911-2024")</f>
        <v/>
      </c>
    </row>
    <row r="441" ht="15" customHeight="1">
      <c r="A441" t="inlineStr">
        <is>
          <t>S 948-2026</t>
        </is>
      </c>
      <c r="B441" t="inlineStr">
        <is>
          <t>samrådsanmälan</t>
        </is>
      </c>
      <c r="C441" t="inlineStr">
        <is>
          <t>Annan skogsbruksåtgärd</t>
        </is>
      </c>
      <c r="D441" s="1" t="n">
        <v>46112</v>
      </c>
      <c r="E441" s="1" t="n">
        <v>46319</v>
      </c>
      <c r="F441" t="inlineStr">
        <is>
          <t>DALARNAS LÄN</t>
        </is>
      </c>
      <c r="G441" t="inlineStr">
        <is>
          <t>MORA</t>
        </is>
      </c>
      <c r="I441" t="n">
        <v>15.7</v>
      </c>
      <c r="J441" t="n">
        <v>1</v>
      </c>
      <c r="K441" t="n">
        <v>2</v>
      </c>
      <c r="L441" t="n">
        <v>2</v>
      </c>
      <c r="M441" t="n">
        <v>3</v>
      </c>
      <c r="N441" t="n">
        <v>0</v>
      </c>
      <c r="O441" t="n">
        <v>0</v>
      </c>
      <c r="P441" t="n">
        <v>0</v>
      </c>
      <c r="Q441" t="n">
        <v>5</v>
      </c>
      <c r="R441" t="n">
        <v>3</v>
      </c>
      <c r="S441" t="n">
        <v>7</v>
      </c>
      <c r="T441" t="n">
        <v>32</v>
      </c>
      <c r="U441" t="n">
        <v>0</v>
      </c>
      <c r="V441" s="2" t="inlineStr">
        <is>
          <t>Lakritsmusseron
Rotfingersvamp
Skrovlig taggsvamp
Dropptaggsvamp
Tallfingersvamp
Mindre märgborre
Plattlummer</t>
        </is>
      </c>
      <c r="W441">
        <f>HYPERLINK("https://klasma.github.io/Logging_2062/artfynd/S 948-2026 artfynd.xlsx", "S 948-2026")</f>
        <v/>
      </c>
      <c r="X441">
        <f>HYPERLINK("https://klasma.github.io/Logging_2062/kartor/S 948-2026 karta.png", "S 948-2026")</f>
        <v/>
      </c>
      <c r="Y441">
        <f>HYPERLINK("https://klasma.github.io/Logging_2062/kartor_geotiff/S 948-2026 georefererad karta.tif", "S 948-2026")</f>
        <v/>
      </c>
      <c r="AA441">
        <f>HYPERLINK("https://klasma.github.io/Logging_2062/klagomål/S 948-2026 FSC-klagomål.docx", "S 948-2026")</f>
        <v/>
      </c>
      <c r="AB441">
        <f>HYPERLINK("https://klasma.github.io/Logging_2062/klagomålsmail/S 948-2026 FSC-klagomål mail.docx", "S 948-2026")</f>
        <v/>
      </c>
      <c r="AC441">
        <f>HYPERLINK("https://klasma.github.io/Logging_2062/tillsyn/S 948-2026 tillsynsbegäran.docx", "S 948-2026")</f>
        <v/>
      </c>
      <c r="AD441">
        <f>HYPERLINK("https://klasma.github.io/Logging_2062/tillsynsmail/S 948-2026 tillsynsbegäran mail.docx", "S 948-2026")</f>
        <v/>
      </c>
    </row>
    <row r="442" ht="15" customHeight="1">
      <c r="A442" t="inlineStr">
        <is>
          <t>S 1582-2026</t>
        </is>
      </c>
      <c r="B442" t="inlineStr">
        <is>
          <t>samrådsanmälan</t>
        </is>
      </c>
      <c r="C442" t="inlineStr">
        <is>
          <t>Annan skogsbruksåtgärd</t>
        </is>
      </c>
      <c r="D442" s="1" t="n">
        <v>46170</v>
      </c>
      <c r="E442" s="1" t="n">
        <v>46319</v>
      </c>
      <c r="F442" t="inlineStr">
        <is>
          <t>DALARNAS LÄN</t>
        </is>
      </c>
      <c r="G442" t="inlineStr">
        <is>
          <t>LUDVIKA</t>
        </is>
      </c>
      <c r="H442" t="inlineStr">
        <is>
          <t>Övriga Aktiebolag</t>
        </is>
      </c>
      <c r="I442" t="n">
        <v>10.1</v>
      </c>
      <c r="J442" t="n">
        <v>3</v>
      </c>
      <c r="K442" t="n">
        <v>2</v>
      </c>
      <c r="L442" t="n">
        <v>2</v>
      </c>
      <c r="M442" t="n">
        <v>1</v>
      </c>
      <c r="N442" t="n">
        <v>0</v>
      </c>
      <c r="O442" t="n">
        <v>0</v>
      </c>
      <c r="P442" t="n">
        <v>0</v>
      </c>
      <c r="Q442" t="n">
        <v>3</v>
      </c>
      <c r="R442" t="n">
        <v>1</v>
      </c>
      <c r="S442" t="n">
        <v>7</v>
      </c>
      <c r="T442" t="n">
        <v>28</v>
      </c>
      <c r="U442" t="n">
        <v>1</v>
      </c>
      <c r="V442" s="2" t="inlineStr">
        <is>
          <t>Garnlav
Dropptaggsvamp
Tretåig hackspett
Korallblylav
Vedticka
Spillkråka
Tjäder</t>
        </is>
      </c>
      <c r="W442">
        <f>HYPERLINK("https://klasma.github.io/Logging_2085/artfynd/S 1582-2026 artfynd.xlsx", "S 1582-2026")</f>
        <v/>
      </c>
      <c r="X442">
        <f>HYPERLINK("https://klasma.github.io/Logging_2085/kartor/S 1582-2026 karta.png", "S 1582-2026")</f>
        <v/>
      </c>
      <c r="Y442">
        <f>HYPERLINK("https://klasma.github.io/Logging_2085/kartor_geotiff/S 1582-2026 georefererad karta.tif", "S 1582-2026")</f>
        <v/>
      </c>
      <c r="AA442">
        <f>HYPERLINK("https://klasma.github.io/Logging_2085/klagomål/S 1582-2026 FSC-klagomål.docx", "S 1582-2026")</f>
        <v/>
      </c>
      <c r="AB442">
        <f>HYPERLINK("https://klasma.github.io/Logging_2085/klagomålsmail/S 1582-2026 FSC-klagomål mail.docx", "S 1582-2026")</f>
        <v/>
      </c>
      <c r="AC442">
        <f>HYPERLINK("https://klasma.github.io/Logging_2085/tillsyn/S 1582-2026 tillsynsbegäran.docx", "S 1582-2026")</f>
        <v/>
      </c>
      <c r="AD442">
        <f>HYPERLINK("https://klasma.github.io/Logging_2085/tillsynsmail/S 1582-2026 tillsynsbegäran mail.docx", "S 1582-2026")</f>
        <v/>
      </c>
      <c r="AE442">
        <f>HYPERLINK("https://klasma.github.io/Logging_2085/fåglar/S 1582-2026 prioriterade fågelarter.docx", "S 1582-2026")</f>
        <v/>
      </c>
    </row>
    <row r="443" ht="15" customHeight="1">
      <c r="A443" t="inlineStr">
        <is>
          <t>S 2071-2026</t>
        </is>
      </c>
      <c r="B443" t="inlineStr">
        <is>
          <t>samrådsanmälan</t>
        </is>
      </c>
      <c r="C443" t="inlineStr">
        <is>
          <t>Askåterföring</t>
        </is>
      </c>
      <c r="D443" s="1" t="n">
        <v>46227</v>
      </c>
      <c r="E443" s="1" t="n">
        <v>46319</v>
      </c>
      <c r="F443" t="inlineStr">
        <is>
          <t>DALARNAS LÄN</t>
        </is>
      </c>
      <c r="G443" t="inlineStr">
        <is>
          <t>SÄTER</t>
        </is>
      </c>
      <c r="H443" t="inlineStr">
        <is>
          <t>Kommuner</t>
        </is>
      </c>
      <c r="I443" t="n">
        <v>47.6</v>
      </c>
      <c r="J443" t="n">
        <v>1</v>
      </c>
      <c r="K443" t="n">
        <v>2</v>
      </c>
      <c r="L443" t="n">
        <v>3</v>
      </c>
      <c r="M443" t="n">
        <v>2</v>
      </c>
      <c r="N443" t="n">
        <v>0</v>
      </c>
      <c r="O443" t="n">
        <v>0</v>
      </c>
      <c r="P443" t="n">
        <v>0</v>
      </c>
      <c r="Q443" t="n">
        <v>5</v>
      </c>
      <c r="R443" t="n">
        <v>2</v>
      </c>
      <c r="S443" t="n">
        <v>7</v>
      </c>
      <c r="T443" t="n">
        <v>8</v>
      </c>
      <c r="U443" t="n">
        <v>0</v>
      </c>
      <c r="V443" s="2" t="inlineStr">
        <is>
          <t>Knärot
Ulltickeporing
Fjällig taggsvamp s.str.
Rynkskinn
Ullticka
Brandticka
Grönpyrola</t>
        </is>
      </c>
      <c r="W443">
        <f>HYPERLINK("https://klasma.github.io/Logging_2082/artfynd/S 2071-2026 artfynd.xlsx", "S 2071-2026")</f>
        <v/>
      </c>
      <c r="X443">
        <f>HYPERLINK("https://klasma.github.io/Logging_2082/kartor/S 2071-2026 karta.png", "S 2071-2026")</f>
        <v/>
      </c>
      <c r="Y443">
        <f>HYPERLINK("https://klasma.github.io/Logging_2082/kartor_geotiff/S 2071-2026 georefererad karta.tif", "S 2071-2026")</f>
        <v/>
      </c>
      <c r="Z443">
        <f>HYPERLINK("https://klasma.github.io/Logging_2082/knärot/S 2071-2026 karta knärot.png", "S 2071-2026")</f>
        <v/>
      </c>
      <c r="AA443">
        <f>HYPERLINK("https://klasma.github.io/Logging_2082/klagomål/S 2071-2026 FSC-klagomål.docx", "S 2071-2026")</f>
        <v/>
      </c>
      <c r="AB443">
        <f>HYPERLINK("https://klasma.github.io/Logging_2082/klagomålsmail/S 2071-2026 FSC-klagomål mail.docx", "S 2071-2026")</f>
        <v/>
      </c>
      <c r="AC443">
        <f>HYPERLINK("https://klasma.github.io/Logging_2082/tillsyn/S 2071-2026 tillsynsbegäran.docx", "S 2071-2026")</f>
        <v/>
      </c>
      <c r="AD443">
        <f>HYPERLINK("https://klasma.github.io/Logging_2082/tillsynsmail/S 2071-2026 tillsynsbegäran mail.docx", "S 2071-2026")</f>
        <v/>
      </c>
    </row>
    <row r="444" ht="15" customHeight="1">
      <c r="A444" t="inlineStr">
        <is>
          <t>A 8305-2022</t>
        </is>
      </c>
      <c r="B444" t="inlineStr">
        <is>
          <t>avverkningsanmälan</t>
        </is>
      </c>
      <c r="C444" t="inlineStr">
        <is>
          <t>Föryngringsavverkning</t>
        </is>
      </c>
      <c r="D444" s="1" t="n">
        <v>44610</v>
      </c>
      <c r="E444" s="1" t="n">
        <v>46319</v>
      </c>
      <c r="F444" t="inlineStr">
        <is>
          <t>DALARNAS LÄN</t>
        </is>
      </c>
      <c r="G444" t="inlineStr">
        <is>
          <t>MALUNG-SÄLEN</t>
        </is>
      </c>
      <c r="I444" t="n">
        <v>2.7</v>
      </c>
      <c r="J444" t="n">
        <v>0</v>
      </c>
      <c r="K444" t="n">
        <v>1</v>
      </c>
      <c r="L444" t="n">
        <v>3</v>
      </c>
      <c r="M444" t="n">
        <v>2</v>
      </c>
      <c r="N444" t="n">
        <v>0</v>
      </c>
      <c r="O444" t="n">
        <v>0</v>
      </c>
      <c r="P444" t="n">
        <v>0</v>
      </c>
      <c r="Q444" t="n">
        <v>5</v>
      </c>
      <c r="R444" t="n">
        <v>2</v>
      </c>
      <c r="S444" t="n">
        <v>6</v>
      </c>
      <c r="T444" t="n">
        <v>8</v>
      </c>
      <c r="U444" t="n">
        <v>8</v>
      </c>
      <c r="V444" s="2" t="inlineStr">
        <is>
          <t>Garnlav
Skrovlig taggsvamp
Mörk kolflarnlav
Vaxspindling
Vedskivlav
Mindre märgborre</t>
        </is>
      </c>
      <c r="W444">
        <f>HYPERLINK("https://klasma.github.io/Logging_2023/artfynd/A 8305-2022 artfynd.xlsx", "A 8305-2022")</f>
        <v/>
      </c>
      <c r="X444">
        <f>HYPERLINK("https://klasma.github.io/Logging_2023/kartor/A 8305-2022 karta.png", "A 8305-2022")</f>
        <v/>
      </c>
      <c r="Y444">
        <f>HYPERLINK("https://klasma.github.io/Logging_2023/kartor_geotiff/A 8305-2022 georefererad karta.tif", "A 8305-2022")</f>
        <v/>
      </c>
      <c r="AA444">
        <f>HYPERLINK("https://klasma.github.io/Logging_2023/klagomål/A 8305-2022 FSC-klagomål.docx", "A 8305-2022")</f>
        <v/>
      </c>
      <c r="AB444">
        <f>HYPERLINK("https://klasma.github.io/Logging_2023/klagomålsmail/A 8305-2022 FSC-klagomål mail.docx", "A 8305-2022")</f>
        <v/>
      </c>
      <c r="AC444">
        <f>HYPERLINK("https://klasma.github.io/Logging_2023/tillsyn/A 8305-2022 tillsynsbegäran.docx", "A 8305-2022")</f>
        <v/>
      </c>
      <c r="AD444">
        <f>HYPERLINK("https://klasma.github.io/Logging_2023/tillsynsmail/A 8305-2022 tillsynsbegäran mail.docx", "A 8305-2022")</f>
        <v/>
      </c>
    </row>
    <row r="445" ht="15" customHeight="1">
      <c r="A445" t="inlineStr">
        <is>
          <t>A 40636-2025</t>
        </is>
      </c>
      <c r="B445" t="inlineStr">
        <is>
          <t>avverkningsanmälan</t>
        </is>
      </c>
      <c r="C445" t="inlineStr">
        <is>
          <t>Föryngringsavverkning</t>
        </is>
      </c>
      <c r="D445" s="1" t="n">
        <v>45896</v>
      </c>
      <c r="E445" s="1" t="n">
        <v>46319</v>
      </c>
      <c r="F445" t="inlineStr">
        <is>
          <t>DALARNAS LÄN</t>
        </is>
      </c>
      <c r="G445" t="inlineStr">
        <is>
          <t>LEKSAND</t>
        </is>
      </c>
      <c r="H445" t="inlineStr">
        <is>
          <t>Bergvik skog väst AB</t>
        </is>
      </c>
      <c r="I445" t="n">
        <v>3.2</v>
      </c>
      <c r="J445" t="n">
        <v>2</v>
      </c>
      <c r="K445" t="n">
        <v>0</v>
      </c>
      <c r="L445" t="n">
        <v>4</v>
      </c>
      <c r="M445" t="n">
        <v>2</v>
      </c>
      <c r="N445" t="n">
        <v>0</v>
      </c>
      <c r="O445" t="n">
        <v>0</v>
      </c>
      <c r="P445" t="n">
        <v>0</v>
      </c>
      <c r="Q445" t="n">
        <v>6</v>
      </c>
      <c r="R445" t="n">
        <v>2</v>
      </c>
      <c r="S445" t="n">
        <v>6</v>
      </c>
      <c r="T445" t="n">
        <v>25</v>
      </c>
      <c r="U445" t="n">
        <v>25</v>
      </c>
      <c r="V445" s="2" t="inlineStr">
        <is>
          <t>Garnlav
Knärot
Dofttaggsvamp
Rynkskinn
Tretåig hackspett
Ullticka</t>
        </is>
      </c>
      <c r="W445">
        <f>HYPERLINK("https://klasma.github.io/Logging_2029/artfynd/A 40636-2025 artfynd.xlsx", "A 40636-2025")</f>
        <v/>
      </c>
      <c r="X445">
        <f>HYPERLINK("https://klasma.github.io/Logging_2029/kartor/A 40636-2025 karta.png", "A 40636-2025")</f>
        <v/>
      </c>
      <c r="Y445">
        <f>HYPERLINK("https://klasma.github.io/Logging_2029/kartor_geotiff/A 40636-2025 georefererad karta.tif", "A 40636-2025")</f>
        <v/>
      </c>
      <c r="Z445">
        <f>HYPERLINK("https://klasma.github.io/Logging_2029/knärot/A 40636-2025 karta knärot.png", "A 40636-2025")</f>
        <v/>
      </c>
      <c r="AA445">
        <f>HYPERLINK("https://klasma.github.io/Logging_2029/klagomål/A 40636-2025 FSC-klagomål.docx", "A 40636-2025")</f>
        <v/>
      </c>
      <c r="AB445">
        <f>HYPERLINK("https://klasma.github.io/Logging_2029/klagomålsmail/A 40636-2025 FSC-klagomål mail.docx", "A 40636-2025")</f>
        <v/>
      </c>
      <c r="AC445">
        <f>HYPERLINK("https://klasma.github.io/Logging_2029/tillsyn/A 40636-2025 tillsynsbegäran.docx", "A 40636-2025")</f>
        <v/>
      </c>
      <c r="AD445">
        <f>HYPERLINK("https://klasma.github.io/Logging_2029/tillsynsmail/A 40636-2025 tillsynsbegäran mail.docx", "A 40636-2025")</f>
        <v/>
      </c>
      <c r="AE445">
        <f>HYPERLINK("https://klasma.github.io/Logging_2029/fåglar/A 40636-2025 prioriterade fågelarter.docx", "A 40636-2025")</f>
        <v/>
      </c>
    </row>
    <row r="446" ht="15" customHeight="1">
      <c r="A446" t="inlineStr">
        <is>
          <t>A 23023-2026</t>
        </is>
      </c>
      <c r="B446" t="inlineStr">
        <is>
          <t>avverkningsanmälan</t>
        </is>
      </c>
      <c r="C446" t="inlineStr">
        <is>
          <t>Föryngringsavverkning</t>
        </is>
      </c>
      <c r="D446" s="1" t="n">
        <v>46161</v>
      </c>
      <c r="E446" s="1" t="n">
        <v>46319</v>
      </c>
      <c r="F446" t="inlineStr">
        <is>
          <t>DALARNAS LÄN</t>
        </is>
      </c>
      <c r="G446" t="inlineStr">
        <is>
          <t>FALUN</t>
        </is>
      </c>
      <c r="H446" t="inlineStr">
        <is>
          <t>Bergvik skog väst AB</t>
        </is>
      </c>
      <c r="I446" t="n">
        <v>13.6</v>
      </c>
      <c r="J446" t="n">
        <v>2</v>
      </c>
      <c r="K446" t="n">
        <v>0</v>
      </c>
      <c r="L446" t="n">
        <v>3</v>
      </c>
      <c r="M446" t="n">
        <v>1</v>
      </c>
      <c r="N446" t="n">
        <v>0</v>
      </c>
      <c r="O446" t="n">
        <v>0</v>
      </c>
      <c r="P446" t="n">
        <v>0</v>
      </c>
      <c r="Q446" t="n">
        <v>4</v>
      </c>
      <c r="R446" t="n">
        <v>1</v>
      </c>
      <c r="S446" t="n">
        <v>6</v>
      </c>
      <c r="T446" t="n">
        <v>13</v>
      </c>
      <c r="U446" t="n">
        <v>0</v>
      </c>
      <c r="V446" s="2" t="inlineStr">
        <is>
          <t>Garnlav
Motaggsvamp
Mörk kolflarnlav
Vedskivlav
Fläcknycklar
Revlummer</t>
        </is>
      </c>
      <c r="W446">
        <f>HYPERLINK("https://klasma.github.io/Logging_2080/artfynd/A 23023-2026 artfynd.xlsx", "A 23023-2026")</f>
        <v/>
      </c>
      <c r="X446">
        <f>HYPERLINK("https://klasma.github.io/Logging_2080/kartor/A 23023-2026 karta.png", "A 23023-2026")</f>
        <v/>
      </c>
      <c r="Y446">
        <f>HYPERLINK("https://klasma.github.io/Logging_2080/kartor_geotiff/A 23023-2026 georefererad karta.tif", "A 23023-2026")</f>
        <v/>
      </c>
      <c r="AA446">
        <f>HYPERLINK("https://klasma.github.io/Logging_2080/klagomål/A 23023-2026 FSC-klagomål.docx", "A 23023-2026")</f>
        <v/>
      </c>
      <c r="AB446">
        <f>HYPERLINK("https://klasma.github.io/Logging_2080/klagomålsmail/A 23023-2026 FSC-klagomål mail.docx", "A 23023-2026")</f>
        <v/>
      </c>
      <c r="AC446">
        <f>HYPERLINK("https://klasma.github.io/Logging_2080/tillsyn/A 23023-2026 tillsynsbegäran.docx", "A 23023-2026")</f>
        <v/>
      </c>
      <c r="AD446">
        <f>HYPERLINK("https://klasma.github.io/Logging_2080/tillsynsmail/A 23023-2026 tillsynsbegäran mail.docx", "A 23023-2026")</f>
        <v/>
      </c>
    </row>
    <row r="447" ht="15" customHeight="1">
      <c r="A447" t="inlineStr">
        <is>
          <t>A 3204-2024</t>
        </is>
      </c>
      <c r="B447" t="inlineStr">
        <is>
          <t>avverkningsanmälan</t>
        </is>
      </c>
      <c r="C447" t="inlineStr">
        <is>
          <t>Föryngringsavverkning</t>
        </is>
      </c>
      <c r="D447" s="1" t="n">
        <v>45316</v>
      </c>
      <c r="E447" s="1" t="n">
        <v>46319</v>
      </c>
      <c r="F447" t="inlineStr">
        <is>
          <t>DALARNAS LÄN</t>
        </is>
      </c>
      <c r="G447" t="inlineStr">
        <is>
          <t>FALUN</t>
        </is>
      </c>
      <c r="I447" t="n">
        <v>6.1</v>
      </c>
      <c r="J447" t="n">
        <v>0</v>
      </c>
      <c r="K447" t="n">
        <v>2</v>
      </c>
      <c r="L447" t="n">
        <v>3</v>
      </c>
      <c r="M447" t="n">
        <v>1</v>
      </c>
      <c r="N447" t="n">
        <v>0</v>
      </c>
      <c r="O447" t="n">
        <v>0</v>
      </c>
      <c r="P447" t="n">
        <v>0</v>
      </c>
      <c r="Q447" t="n">
        <v>4</v>
      </c>
      <c r="R447" t="n">
        <v>1</v>
      </c>
      <c r="S447" t="n">
        <v>6</v>
      </c>
      <c r="T447" t="n">
        <v>11</v>
      </c>
      <c r="U447" t="n">
        <v>11</v>
      </c>
      <c r="V447" s="2" t="inlineStr">
        <is>
          <t>Garnlav
Kattfotslav
Skuggblåslav
Violettgrå tagellav
Rödgul trumpetsvamp
Skinnlav</t>
        </is>
      </c>
      <c r="W447">
        <f>HYPERLINK("https://klasma.github.io/Logging_2080/artfynd/A 3204-2024 artfynd.xlsx", "A 3204-2024")</f>
        <v/>
      </c>
      <c r="X447">
        <f>HYPERLINK("https://klasma.github.io/Logging_2080/kartor/A 3204-2024 karta.png", "A 3204-2024")</f>
        <v/>
      </c>
      <c r="Y447">
        <f>HYPERLINK("https://klasma.github.io/Logging_2080/kartor_geotiff/A 3204-2024 georefererad karta.tif", "A 3204-2024")</f>
        <v/>
      </c>
      <c r="AA447">
        <f>HYPERLINK("https://klasma.github.io/Logging_2080/klagomål/A 3204-2024 FSC-klagomål.docx", "A 3204-2024")</f>
        <v/>
      </c>
      <c r="AB447">
        <f>HYPERLINK("https://klasma.github.io/Logging_2080/klagomålsmail/A 3204-2024 FSC-klagomål mail.docx", "A 3204-2024")</f>
        <v/>
      </c>
      <c r="AC447">
        <f>HYPERLINK("https://klasma.github.io/Logging_2080/tillsyn/A 3204-2024 tillsynsbegäran.docx", "A 3204-2024")</f>
        <v/>
      </c>
      <c r="AD447">
        <f>HYPERLINK("https://klasma.github.io/Logging_2080/tillsynsmail/A 3204-2024 tillsynsbegäran mail.docx", "A 3204-2024")</f>
        <v/>
      </c>
    </row>
    <row r="448" ht="15" customHeight="1">
      <c r="A448" t="inlineStr">
        <is>
          <t>A 49235-2025</t>
        </is>
      </c>
      <c r="B448" t="inlineStr">
        <is>
          <t>avverkningsanmälan</t>
        </is>
      </c>
      <c r="C448" t="inlineStr">
        <is>
          <t>Föryngringsavverkning</t>
        </is>
      </c>
      <c r="D448" s="1" t="n">
        <v>45938</v>
      </c>
      <c r="E448" s="1" t="n">
        <v>46319</v>
      </c>
      <c r="F448" t="inlineStr">
        <is>
          <t>DALARNAS LÄN</t>
        </is>
      </c>
      <c r="G448" t="inlineStr">
        <is>
          <t>MALUNG-SÄLEN</t>
        </is>
      </c>
      <c r="H448" t="inlineStr">
        <is>
          <t>Bergvik skog väst AB</t>
        </is>
      </c>
      <c r="I448" t="n">
        <v>12.4</v>
      </c>
      <c r="J448" t="n">
        <v>2</v>
      </c>
      <c r="K448" t="n">
        <v>2</v>
      </c>
      <c r="L448" t="n">
        <v>1</v>
      </c>
      <c r="M448" t="n">
        <v>1</v>
      </c>
      <c r="N448" t="n">
        <v>0</v>
      </c>
      <c r="O448" t="n">
        <v>0</v>
      </c>
      <c r="P448" t="n">
        <v>0</v>
      </c>
      <c r="Q448" t="n">
        <v>2</v>
      </c>
      <c r="R448" t="n">
        <v>1</v>
      </c>
      <c r="S448" t="n">
        <v>6</v>
      </c>
      <c r="T448" t="n">
        <v>7</v>
      </c>
      <c r="U448" t="n">
        <v>7</v>
      </c>
      <c r="V448" s="2" t="inlineStr">
        <is>
          <t>Garnlav
Kattfotslav
Gräsull
Gulnål
Fläcknycklar
Revlummer</t>
        </is>
      </c>
      <c r="W448">
        <f>HYPERLINK("https://klasma.github.io/Logging_2023/artfynd/A 49235-2025 artfynd.xlsx", "A 49235-2025")</f>
        <v/>
      </c>
      <c r="X448">
        <f>HYPERLINK("https://klasma.github.io/Logging_2023/kartor/A 49235-2025 karta.png", "A 49235-2025")</f>
        <v/>
      </c>
      <c r="Y448">
        <f>HYPERLINK("https://klasma.github.io/Logging_2023/kartor_geotiff/A 49235-2025 georefererad karta.tif", "A 49235-2025")</f>
        <v/>
      </c>
      <c r="AA448">
        <f>HYPERLINK("https://klasma.github.io/Logging_2023/klagomål/A 49235-2025 FSC-klagomål.docx", "A 49235-2025")</f>
        <v/>
      </c>
      <c r="AB448">
        <f>HYPERLINK("https://klasma.github.io/Logging_2023/klagomålsmail/A 49235-2025 FSC-klagomål mail.docx", "A 49235-2025")</f>
        <v/>
      </c>
      <c r="AC448">
        <f>HYPERLINK("https://klasma.github.io/Logging_2023/tillsyn/A 49235-2025 tillsynsbegäran.docx", "A 49235-2025")</f>
        <v/>
      </c>
      <c r="AD448">
        <f>HYPERLINK("https://klasma.github.io/Logging_2023/tillsynsmail/A 49235-2025 tillsynsbegäran mail.docx", "A 49235-2025")</f>
        <v/>
      </c>
    </row>
    <row r="449" ht="15" customHeight="1">
      <c r="A449" t="inlineStr">
        <is>
          <t>A 23862-2026</t>
        </is>
      </c>
      <c r="B449" t="inlineStr">
        <is>
          <t>avverkningsanmälan</t>
        </is>
      </c>
      <c r="C449" t="inlineStr">
        <is>
          <t>Föryngringsavverkning</t>
        </is>
      </c>
      <c r="D449" s="1" t="n">
        <v>46167</v>
      </c>
      <c r="E449" s="1" t="n">
        <v>46319</v>
      </c>
      <c r="F449" t="inlineStr">
        <is>
          <t>DALARNAS LÄN</t>
        </is>
      </c>
      <c r="G449" t="inlineStr">
        <is>
          <t>LUDVIKA</t>
        </is>
      </c>
      <c r="H449" t="inlineStr">
        <is>
          <t>Bergvik skog väst AB</t>
        </is>
      </c>
      <c r="I449" t="n">
        <v>4.5</v>
      </c>
      <c r="J449" t="n">
        <v>1</v>
      </c>
      <c r="K449" t="n">
        <v>5</v>
      </c>
      <c r="L449" t="n">
        <v>0</v>
      </c>
      <c r="M449" t="n">
        <v>0</v>
      </c>
      <c r="N449" t="n">
        <v>0</v>
      </c>
      <c r="O449" t="n">
        <v>0</v>
      </c>
      <c r="P449" t="n">
        <v>0</v>
      </c>
      <c r="Q449" t="n">
        <v>0</v>
      </c>
      <c r="R449" t="n">
        <v>0</v>
      </c>
      <c r="S449" t="n">
        <v>6</v>
      </c>
      <c r="T449" t="n">
        <v>7</v>
      </c>
      <c r="U449" t="n">
        <v>0</v>
      </c>
      <c r="V449" s="2" t="inlineStr">
        <is>
          <t>Bårdlav
Dvärgtufs
Korallblylav
Skinnlav
Stuplav
Utter</t>
        </is>
      </c>
      <c r="W449">
        <f>HYPERLINK("https://klasma.github.io/Logging_2085/artfynd/A 23862-2026 artfynd.xlsx", "A 23862-2026")</f>
        <v/>
      </c>
      <c r="X449">
        <f>HYPERLINK("https://klasma.github.io/Logging_2085/kartor/A 23862-2026 karta.png", "A 23862-2026")</f>
        <v/>
      </c>
      <c r="Y449">
        <f>HYPERLINK("https://klasma.github.io/Logging_2085/kartor_geotiff/A 23862-2026 georefererad karta.tif", "A 23862-2026")</f>
        <v/>
      </c>
      <c r="AA449">
        <f>HYPERLINK("https://klasma.github.io/Logging_2085/klagomål/A 23862-2026 FSC-klagomål.docx", "A 23862-2026")</f>
        <v/>
      </c>
      <c r="AB449">
        <f>HYPERLINK("https://klasma.github.io/Logging_2085/klagomålsmail/A 23862-2026 FSC-klagomål mail.docx", "A 23862-2026")</f>
        <v/>
      </c>
      <c r="AC449">
        <f>HYPERLINK("https://klasma.github.io/Logging_2085/tillsyn/A 23862-2026 tillsynsbegäran.docx", "A 23862-2026")</f>
        <v/>
      </c>
      <c r="AD449">
        <f>HYPERLINK("https://klasma.github.io/Logging_2085/tillsynsmail/A 23862-2026 tillsynsbegäran mail.docx", "A 23862-2026")</f>
        <v/>
      </c>
    </row>
    <row r="450" ht="15" customHeight="1">
      <c r="A450" t="inlineStr">
        <is>
          <t>A 25878-2026</t>
        </is>
      </c>
      <c r="B450" t="inlineStr">
        <is>
          <t>avverkningsanmälan</t>
        </is>
      </c>
      <c r="C450" t="inlineStr">
        <is>
          <t>Föryngringsavverkning</t>
        </is>
      </c>
      <c r="D450" s="1" t="n">
        <v>46178</v>
      </c>
      <c r="E450" s="1" t="n">
        <v>46319</v>
      </c>
      <c r="F450" t="inlineStr">
        <is>
          <t>DALARNAS LÄN</t>
        </is>
      </c>
      <c r="G450" t="inlineStr">
        <is>
          <t>HEDEMORA</t>
        </is>
      </c>
      <c r="H450" t="inlineStr">
        <is>
          <t>Sveaskog</t>
        </is>
      </c>
      <c r="I450" t="n">
        <v>5.5</v>
      </c>
      <c r="J450" t="n">
        <v>0</v>
      </c>
      <c r="K450" t="n">
        <v>2</v>
      </c>
      <c r="L450" t="n">
        <v>1</v>
      </c>
      <c r="M450" t="n">
        <v>3</v>
      </c>
      <c r="N450" t="n">
        <v>0</v>
      </c>
      <c r="O450" t="n">
        <v>0</v>
      </c>
      <c r="P450" t="n">
        <v>0</v>
      </c>
      <c r="Q450" t="n">
        <v>4</v>
      </c>
      <c r="R450" t="n">
        <v>3</v>
      </c>
      <c r="S450" t="n">
        <v>6</v>
      </c>
      <c r="T450" t="n">
        <v>7</v>
      </c>
      <c r="U450" t="n">
        <v>0</v>
      </c>
      <c r="V450" s="2" t="inlineStr">
        <is>
          <t>Garnlav
Gränsticka
Sprickporing
Ullticka
Bollvitmossa
Vedticka</t>
        </is>
      </c>
      <c r="W450">
        <f>HYPERLINK("https://klasma.github.io/Logging_2083/artfynd/A 25878-2026 artfynd.xlsx", "A 25878-2026")</f>
        <v/>
      </c>
      <c r="X450">
        <f>HYPERLINK("https://klasma.github.io/Logging_2083/kartor/A 25878-2026 karta.png", "A 25878-2026")</f>
        <v/>
      </c>
      <c r="Y450">
        <f>HYPERLINK("https://klasma.github.io/Logging_2083/kartor_geotiff/A 25878-2026 georefererad karta.tif", "A 25878-2026")</f>
        <v/>
      </c>
      <c r="AA450">
        <f>HYPERLINK("https://klasma.github.io/Logging_2083/klagomål/A 25878-2026 FSC-klagomål.docx", "A 25878-2026")</f>
        <v/>
      </c>
      <c r="AB450">
        <f>HYPERLINK("https://klasma.github.io/Logging_2083/klagomålsmail/A 25878-2026 FSC-klagomål mail.docx", "A 25878-2026")</f>
        <v/>
      </c>
      <c r="AC450">
        <f>HYPERLINK("https://klasma.github.io/Logging_2083/tillsyn/A 25878-2026 tillsynsbegäran.docx", "A 25878-2026")</f>
        <v/>
      </c>
      <c r="AD450">
        <f>HYPERLINK("https://klasma.github.io/Logging_2083/tillsynsmail/A 25878-2026 tillsynsbegäran mail.docx", "A 25878-2026")</f>
        <v/>
      </c>
    </row>
    <row r="451" ht="15" customHeight="1">
      <c r="A451" t="inlineStr">
        <is>
          <t>A 51953-2025</t>
        </is>
      </c>
      <c r="B451" t="inlineStr">
        <is>
          <t>avverkningsanmälan</t>
        </is>
      </c>
      <c r="C451" t="inlineStr">
        <is>
          <t>Föryngringsavverkning</t>
        </is>
      </c>
      <c r="D451" s="1" t="n">
        <v>45952</v>
      </c>
      <c r="E451" s="1" t="n">
        <v>46319</v>
      </c>
      <c r="F451" t="inlineStr">
        <is>
          <t>DALARNAS LÄN</t>
        </is>
      </c>
      <c r="G451" t="inlineStr">
        <is>
          <t>BORLÄNGE</t>
        </is>
      </c>
      <c r="I451" t="n">
        <v>2.2</v>
      </c>
      <c r="J451" t="n">
        <v>2</v>
      </c>
      <c r="K451" t="n">
        <v>0</v>
      </c>
      <c r="L451" t="n">
        <v>3</v>
      </c>
      <c r="M451" t="n">
        <v>2</v>
      </c>
      <c r="N451" t="n">
        <v>0</v>
      </c>
      <c r="O451" t="n">
        <v>0</v>
      </c>
      <c r="P451" t="n">
        <v>0</v>
      </c>
      <c r="Q451" t="n">
        <v>5</v>
      </c>
      <c r="R451" t="n">
        <v>2</v>
      </c>
      <c r="S451" t="n">
        <v>6</v>
      </c>
      <c r="T451" t="n">
        <v>28</v>
      </c>
      <c r="U451" t="n">
        <v>26</v>
      </c>
      <c r="V451" s="2" t="inlineStr">
        <is>
          <t>Knärot
Skrovlig taggsvamp
Dropptaggsvamp
Orange taggsvamp
Tallticka
Tjäder</t>
        </is>
      </c>
      <c r="W451">
        <f>HYPERLINK("https://klasma.github.io/Logging_2081/artfynd/A 51953-2025 artfynd.xlsx", "A 51953-2025")</f>
        <v/>
      </c>
      <c r="X451">
        <f>HYPERLINK("https://klasma.github.io/Logging_2081/kartor/A 51953-2025 karta.png", "A 51953-2025")</f>
        <v/>
      </c>
      <c r="Y451">
        <f>HYPERLINK("https://klasma.github.io/Logging_2081/kartor_geotiff/A 51953-2025 georefererad karta.tif", "A 51953-2025")</f>
        <v/>
      </c>
      <c r="Z451">
        <f>HYPERLINK("https://klasma.github.io/Logging_2081/knärot/A 51953-2025 karta knärot.png", "A 51953-2025")</f>
        <v/>
      </c>
      <c r="AA451">
        <f>HYPERLINK("https://klasma.github.io/Logging_2081/klagomål/A 51953-2025 FSC-klagomål.docx", "A 51953-2025")</f>
        <v/>
      </c>
      <c r="AB451">
        <f>HYPERLINK("https://klasma.github.io/Logging_2081/klagomålsmail/A 51953-2025 FSC-klagomål mail.docx", "A 51953-2025")</f>
        <v/>
      </c>
      <c r="AC451">
        <f>HYPERLINK("https://klasma.github.io/Logging_2081/tillsyn/A 51953-2025 tillsynsbegäran.docx", "A 51953-2025")</f>
        <v/>
      </c>
      <c r="AD451">
        <f>HYPERLINK("https://klasma.github.io/Logging_2081/tillsynsmail/A 51953-2025 tillsynsbegäran mail.docx", "A 51953-2025")</f>
        <v/>
      </c>
      <c r="AE451">
        <f>HYPERLINK("https://klasma.github.io/Logging_2081/fåglar/A 51953-2025 prioriterade fågelarter.docx", "A 51953-2025")</f>
        <v/>
      </c>
    </row>
    <row r="452" ht="15" customHeight="1">
      <c r="A452" t="inlineStr">
        <is>
          <t>A 52779-2025</t>
        </is>
      </c>
      <c r="B452" t="inlineStr">
        <is>
          <t>avverkningsanmälan</t>
        </is>
      </c>
      <c r="C452" t="inlineStr">
        <is>
          <t>Föryngringsavverkning</t>
        </is>
      </c>
      <c r="D452" s="1" t="n">
        <v>45957</v>
      </c>
      <c r="E452" s="1" t="n">
        <v>46319</v>
      </c>
      <c r="F452" t="inlineStr">
        <is>
          <t>DALARNAS LÄN</t>
        </is>
      </c>
      <c r="G452" t="inlineStr">
        <is>
          <t>LUDVIKA</t>
        </is>
      </c>
      <c r="H452" t="inlineStr">
        <is>
          <t>Bergvik skog väst AB</t>
        </is>
      </c>
      <c r="I452" t="n">
        <v>0.5</v>
      </c>
      <c r="J452" t="n">
        <v>1</v>
      </c>
      <c r="K452" t="n">
        <v>0</v>
      </c>
      <c r="L452" t="n">
        <v>3</v>
      </c>
      <c r="M452" t="n">
        <v>2</v>
      </c>
      <c r="N452" t="n">
        <v>0</v>
      </c>
      <c r="O452" t="n">
        <v>0</v>
      </c>
      <c r="P452" t="n">
        <v>0</v>
      </c>
      <c r="Q452" t="n">
        <v>5</v>
      </c>
      <c r="R452" t="n">
        <v>2</v>
      </c>
      <c r="S452" t="n">
        <v>6</v>
      </c>
      <c r="T452" t="n">
        <v>6</v>
      </c>
      <c r="U452" t="n">
        <v>0</v>
      </c>
      <c r="V452" s="2" t="inlineStr">
        <is>
          <t>Sexfläckig bastardsvärmare
Ängsblåvinge
Mindre tåtelsmygare
Motaggsvamp
Skogsklocka
Huggorm</t>
        </is>
      </c>
      <c r="W452">
        <f>HYPERLINK("https://klasma.github.io/Logging_2085/artfynd/A 52779-2025 artfynd.xlsx", "A 52779-2025")</f>
        <v/>
      </c>
      <c r="X452">
        <f>HYPERLINK("https://klasma.github.io/Logging_2085/kartor/A 52779-2025 karta.png", "A 52779-2025")</f>
        <v/>
      </c>
      <c r="Y452">
        <f>HYPERLINK("https://klasma.github.io/Logging_2085/kartor_geotiff/A 52779-2025 georefererad karta.tif", "A 52779-2025")</f>
        <v/>
      </c>
      <c r="AA452">
        <f>HYPERLINK("https://klasma.github.io/Logging_2085/klagomål/A 52779-2025 FSC-klagomål.docx", "A 52779-2025")</f>
        <v/>
      </c>
      <c r="AB452">
        <f>HYPERLINK("https://klasma.github.io/Logging_2085/klagomålsmail/A 52779-2025 FSC-klagomål mail.docx", "A 52779-2025")</f>
        <v/>
      </c>
      <c r="AC452">
        <f>HYPERLINK("https://klasma.github.io/Logging_2085/tillsyn/A 52779-2025 tillsynsbegäran.docx", "A 52779-2025")</f>
        <v/>
      </c>
      <c r="AD452">
        <f>HYPERLINK("https://klasma.github.io/Logging_2085/tillsynsmail/A 52779-2025 tillsynsbegäran mail.docx", "A 52779-2025")</f>
        <v/>
      </c>
    </row>
    <row r="453" ht="15" customHeight="1">
      <c r="A453" t="inlineStr">
        <is>
          <t>A 55406-2025</t>
        </is>
      </c>
      <c r="B453" t="inlineStr">
        <is>
          <t>avverkningsanmälan</t>
        </is>
      </c>
      <c r="C453" t="inlineStr">
        <is>
          <t>Föryngringsavverkning</t>
        </is>
      </c>
      <c r="D453" s="1" t="n">
        <v>45971</v>
      </c>
      <c r="E453" s="1" t="n">
        <v>46319</v>
      </c>
      <c r="F453" t="inlineStr">
        <is>
          <t>DALARNAS LÄN</t>
        </is>
      </c>
      <c r="G453" t="inlineStr">
        <is>
          <t>LUDVIKA</t>
        </is>
      </c>
      <c r="H453" t="inlineStr">
        <is>
          <t>Bergvik skog väst AB</t>
        </is>
      </c>
      <c r="I453" t="n">
        <v>25</v>
      </c>
      <c r="J453" t="n">
        <v>5</v>
      </c>
      <c r="K453" t="n">
        <v>2</v>
      </c>
      <c r="L453" t="n">
        <v>0</v>
      </c>
      <c r="M453" t="n">
        <v>1</v>
      </c>
      <c r="N453" t="n">
        <v>0</v>
      </c>
      <c r="O453" t="n">
        <v>0</v>
      </c>
      <c r="P453" t="n">
        <v>0</v>
      </c>
      <c r="Q453" t="n">
        <v>1</v>
      </c>
      <c r="R453" t="n">
        <v>1</v>
      </c>
      <c r="S453" t="n">
        <v>6</v>
      </c>
      <c r="T453" t="n">
        <v>7</v>
      </c>
      <c r="U453" t="n">
        <v>3</v>
      </c>
      <c r="V453" s="2" t="inlineStr">
        <is>
          <t>Knärot
Gullgröppa
Plattlummer
Blåsippa
Nattviol
Revlummer</t>
        </is>
      </c>
      <c r="W453">
        <f>HYPERLINK("https://klasma.github.io/Logging_2085/artfynd/A 55406-2025 artfynd.xlsx", "A 55406-2025")</f>
        <v/>
      </c>
      <c r="X453">
        <f>HYPERLINK("https://klasma.github.io/Logging_2085/kartor/A 55406-2025 karta.png", "A 55406-2025")</f>
        <v/>
      </c>
      <c r="Y453">
        <f>HYPERLINK("https://klasma.github.io/Logging_2085/kartor_geotiff/A 55406-2025 georefererad karta.tif", "A 55406-2025")</f>
        <v/>
      </c>
      <c r="Z453">
        <f>HYPERLINK("https://klasma.github.io/Logging_2085/knärot/A 55406-2025 karta knärot.png", "A 55406-2025")</f>
        <v/>
      </c>
      <c r="AA453">
        <f>HYPERLINK("https://klasma.github.io/Logging_2085/klagomål/A 55406-2025 FSC-klagomål.docx", "A 55406-2025")</f>
        <v/>
      </c>
      <c r="AB453">
        <f>HYPERLINK("https://klasma.github.io/Logging_2085/klagomålsmail/A 55406-2025 FSC-klagomål mail.docx", "A 55406-2025")</f>
        <v/>
      </c>
      <c r="AC453">
        <f>HYPERLINK("https://klasma.github.io/Logging_2085/tillsyn/A 55406-2025 tillsynsbegäran.docx", "A 55406-2025")</f>
        <v/>
      </c>
      <c r="AD453">
        <f>HYPERLINK("https://klasma.github.io/Logging_2085/tillsynsmail/A 55406-2025 tillsynsbegäran mail.docx", "A 55406-2025")</f>
        <v/>
      </c>
    </row>
    <row r="454" ht="15" customHeight="1">
      <c r="A454" t="inlineStr">
        <is>
          <t>A 28480-2026</t>
        </is>
      </c>
      <c r="B454" t="inlineStr">
        <is>
          <t>avverkningsanmälan</t>
        </is>
      </c>
      <c r="C454" t="inlineStr">
        <is>
          <t>Föryngringsavverkning</t>
        </is>
      </c>
      <c r="D454" s="1" t="n">
        <v>46197</v>
      </c>
      <c r="E454" s="1" t="n">
        <v>46319</v>
      </c>
      <c r="F454" t="inlineStr">
        <is>
          <t>DALARNAS LÄN</t>
        </is>
      </c>
      <c r="G454" t="inlineStr">
        <is>
          <t>VANSBRO</t>
        </is>
      </c>
      <c r="H454" t="inlineStr">
        <is>
          <t>Bergvik skog öst AB</t>
        </is>
      </c>
      <c r="I454" t="n">
        <v>1.1</v>
      </c>
      <c r="J454" t="n">
        <v>2</v>
      </c>
      <c r="K454" t="n">
        <v>0</v>
      </c>
      <c r="L454" t="n">
        <v>4</v>
      </c>
      <c r="M454" t="n">
        <v>1</v>
      </c>
      <c r="N454" t="n">
        <v>0</v>
      </c>
      <c r="O454" t="n">
        <v>0</v>
      </c>
      <c r="P454" t="n">
        <v>0</v>
      </c>
      <c r="Q454" t="n">
        <v>5</v>
      </c>
      <c r="R454" t="n">
        <v>1</v>
      </c>
      <c r="S454" t="n">
        <v>6</v>
      </c>
      <c r="T454" t="n">
        <v>39</v>
      </c>
      <c r="U454" t="n">
        <v>39</v>
      </c>
      <c r="V454" s="2" t="inlineStr">
        <is>
          <t>Garnlav
Dropptaggsvamp
Kolflarnlav
Tallticka
Tretåig hackspett
Tjäder</t>
        </is>
      </c>
      <c r="W454">
        <f>HYPERLINK("https://klasma.github.io/Logging_2021/artfynd/A 28480-2026 artfynd.xlsx", "A 28480-2026")</f>
        <v/>
      </c>
      <c r="X454">
        <f>HYPERLINK("https://klasma.github.io/Logging_2021/kartor/A 28480-2026 karta.png", "A 28480-2026")</f>
        <v/>
      </c>
      <c r="Y454">
        <f>HYPERLINK("https://klasma.github.io/Logging_2021/kartor_geotiff/A 28480-2026 georefererad karta.tif", "A 28480-2026")</f>
        <v/>
      </c>
      <c r="AA454">
        <f>HYPERLINK("https://klasma.github.io/Logging_2021/klagomål/A 28480-2026 FSC-klagomål.docx", "A 28480-2026")</f>
        <v/>
      </c>
      <c r="AB454">
        <f>HYPERLINK("https://klasma.github.io/Logging_2021/klagomålsmail/A 28480-2026 FSC-klagomål mail.docx", "A 28480-2026")</f>
        <v/>
      </c>
      <c r="AC454">
        <f>HYPERLINK("https://klasma.github.io/Logging_2021/tillsyn/A 28480-2026 tillsynsbegäran.docx", "A 28480-2026")</f>
        <v/>
      </c>
      <c r="AD454">
        <f>HYPERLINK("https://klasma.github.io/Logging_2021/tillsynsmail/A 28480-2026 tillsynsbegäran mail.docx", "A 28480-2026")</f>
        <v/>
      </c>
      <c r="AE454">
        <f>HYPERLINK("https://klasma.github.io/Logging_2021/fåglar/A 28480-2026 prioriterade fågelarter.docx", "A 28480-2026")</f>
        <v/>
      </c>
    </row>
    <row r="455" ht="15" customHeight="1">
      <c r="A455" t="inlineStr">
        <is>
          <t>A 5574-2024</t>
        </is>
      </c>
      <c r="B455" t="inlineStr">
        <is>
          <t>avverkningsanmälan</t>
        </is>
      </c>
      <c r="C455" t="inlineStr">
        <is>
          <t>Föryngringsavverkning</t>
        </is>
      </c>
      <c r="D455" s="1" t="n">
        <v>45334</v>
      </c>
      <c r="E455" s="1" t="n">
        <v>46319</v>
      </c>
      <c r="F455" t="inlineStr">
        <is>
          <t>DALARNAS LÄN</t>
        </is>
      </c>
      <c r="G455" t="inlineStr">
        <is>
          <t>LEKSAND</t>
        </is>
      </c>
      <c r="I455" t="n">
        <v>0.4</v>
      </c>
      <c r="J455" t="n">
        <v>0</v>
      </c>
      <c r="K455" t="n">
        <v>3</v>
      </c>
      <c r="L455" t="n">
        <v>2</v>
      </c>
      <c r="M455" t="n">
        <v>1</v>
      </c>
      <c r="N455" t="n">
        <v>0</v>
      </c>
      <c r="O455" t="n">
        <v>0</v>
      </c>
      <c r="P455" t="n">
        <v>0</v>
      </c>
      <c r="Q455" t="n">
        <v>3</v>
      </c>
      <c r="R455" t="n">
        <v>1</v>
      </c>
      <c r="S455" t="n">
        <v>6</v>
      </c>
      <c r="T455" t="n">
        <v>7</v>
      </c>
      <c r="U455" t="n">
        <v>0</v>
      </c>
      <c r="V455" s="2" t="inlineStr">
        <is>
          <t>Slåttergubbe
Lilavaxing
Scharlakansvaxing
Blodvaxing
Broskvaxing
Papegojvaxing</t>
        </is>
      </c>
      <c r="W455">
        <f>HYPERLINK("https://klasma.github.io/Logging_2029/artfynd/A 5574-2024 artfynd.xlsx", "A 5574-2024")</f>
        <v/>
      </c>
      <c r="X455">
        <f>HYPERLINK("https://klasma.github.io/Logging_2029/kartor/A 5574-2024 karta.png", "A 5574-2024")</f>
        <v/>
      </c>
      <c r="Y455">
        <f>HYPERLINK("https://klasma.github.io/Logging_2029/kartor_geotiff/A 5574-2024 georefererad karta.tif", "A 5574-2024")</f>
        <v/>
      </c>
      <c r="AA455">
        <f>HYPERLINK("https://klasma.github.io/Logging_2029/klagomål/A 5574-2024 FSC-klagomål.docx", "A 5574-2024")</f>
        <v/>
      </c>
      <c r="AB455">
        <f>HYPERLINK("https://klasma.github.io/Logging_2029/klagomålsmail/A 5574-2024 FSC-klagomål mail.docx", "A 5574-2024")</f>
        <v/>
      </c>
      <c r="AC455">
        <f>HYPERLINK("https://klasma.github.io/Logging_2029/tillsyn/A 5574-2024 tillsynsbegäran.docx", "A 5574-2024")</f>
        <v/>
      </c>
      <c r="AD455">
        <f>HYPERLINK("https://klasma.github.io/Logging_2029/tillsynsmail/A 5574-2024 tillsynsbegäran mail.docx", "A 5574-2024")</f>
        <v/>
      </c>
    </row>
    <row r="456" ht="15" customHeight="1">
      <c r="A456" t="inlineStr">
        <is>
          <t>A 29720-2026</t>
        </is>
      </c>
      <c r="B456" t="inlineStr">
        <is>
          <t>avverkningsanmälan</t>
        </is>
      </c>
      <c r="C456" t="inlineStr">
        <is>
          <t>Avverkning för annat ändamål</t>
        </is>
      </c>
      <c r="D456" s="1" t="n">
        <v>46204</v>
      </c>
      <c r="E456" s="1" t="n">
        <v>46319</v>
      </c>
      <c r="F456" t="inlineStr">
        <is>
          <t>DALARNAS LÄN</t>
        </is>
      </c>
      <c r="G456" t="inlineStr">
        <is>
          <t>ORSA</t>
        </is>
      </c>
      <c r="I456" t="n">
        <v>1.1</v>
      </c>
      <c r="J456" t="n">
        <v>3</v>
      </c>
      <c r="K456" t="n">
        <v>2</v>
      </c>
      <c r="L456" t="n">
        <v>1</v>
      </c>
      <c r="M456" t="n">
        <v>1</v>
      </c>
      <c r="N456" t="n">
        <v>0</v>
      </c>
      <c r="O456" t="n">
        <v>0</v>
      </c>
      <c r="P456" t="n">
        <v>0</v>
      </c>
      <c r="Q456" t="n">
        <v>2</v>
      </c>
      <c r="R456" t="n">
        <v>1</v>
      </c>
      <c r="S456" t="n">
        <v>6</v>
      </c>
      <c r="T456" t="n">
        <v>13</v>
      </c>
      <c r="U456" t="n">
        <v>0</v>
      </c>
      <c r="V456" s="2" t="inlineStr">
        <is>
          <t>Garnlav
Violettgrå tagellav
Bronshjon
Plattlummer
Mattlummer
Fläcknycklar</t>
        </is>
      </c>
      <c r="W456">
        <f>HYPERLINK("https://klasma.github.io/Logging_2034/artfynd/A 29720-2026 artfynd.xlsx", "A 29720-2026")</f>
        <v/>
      </c>
      <c r="X456">
        <f>HYPERLINK("https://klasma.github.io/Logging_2034/kartor/A 29720-2026 karta.png", "A 29720-2026")</f>
        <v/>
      </c>
      <c r="Y456">
        <f>HYPERLINK("https://klasma.github.io/Logging_2034/kartor_geotiff/A 29720-2026 georefererad karta.tif", "A 29720-2026")</f>
        <v/>
      </c>
      <c r="AA456">
        <f>HYPERLINK("https://klasma.github.io/Logging_2034/klagomål/A 29720-2026 FSC-klagomål.docx", "A 29720-2026")</f>
        <v/>
      </c>
      <c r="AB456">
        <f>HYPERLINK("https://klasma.github.io/Logging_2034/klagomålsmail/A 29720-2026 FSC-klagomål mail.docx", "A 29720-2026")</f>
        <v/>
      </c>
      <c r="AC456">
        <f>HYPERLINK("https://klasma.github.io/Logging_2034/tillsyn/A 29720-2026 tillsynsbegäran.docx", "A 29720-2026")</f>
        <v/>
      </c>
      <c r="AD456">
        <f>HYPERLINK("https://klasma.github.io/Logging_2034/tillsynsmail/A 29720-2026 tillsynsbegäran mail.docx", "A 29720-2026")</f>
        <v/>
      </c>
    </row>
    <row r="457" ht="15" customHeight="1">
      <c r="A457" t="inlineStr">
        <is>
          <t>A 30158-2026</t>
        </is>
      </c>
      <c r="B457" t="inlineStr">
        <is>
          <t>avverkningsanmälan</t>
        </is>
      </c>
      <c r="C457" t="inlineStr">
        <is>
          <t>Föryngringsavverkning</t>
        </is>
      </c>
      <c r="D457" s="1" t="n">
        <v>46206</v>
      </c>
      <c r="E457" s="1" t="n">
        <v>46319</v>
      </c>
      <c r="F457" t="inlineStr">
        <is>
          <t>DALARNAS LÄN</t>
        </is>
      </c>
      <c r="G457" t="inlineStr">
        <is>
          <t>ORSA</t>
        </is>
      </c>
      <c r="H457" t="inlineStr">
        <is>
          <t>Bergvik skog öst AB</t>
        </is>
      </c>
      <c r="I457" t="n">
        <v>1.9</v>
      </c>
      <c r="J457" t="n">
        <v>2</v>
      </c>
      <c r="K457" t="n">
        <v>1</v>
      </c>
      <c r="L457" t="n">
        <v>3</v>
      </c>
      <c r="M457" t="n">
        <v>1</v>
      </c>
      <c r="N457" t="n">
        <v>0</v>
      </c>
      <c r="O457" t="n">
        <v>0</v>
      </c>
      <c r="P457" t="n">
        <v>0</v>
      </c>
      <c r="Q457" t="n">
        <v>4</v>
      </c>
      <c r="R457" t="n">
        <v>1</v>
      </c>
      <c r="S457" t="n">
        <v>6</v>
      </c>
      <c r="T457" t="n">
        <v>14</v>
      </c>
      <c r="U457" t="n">
        <v>11</v>
      </c>
      <c r="V457" s="2" t="inlineStr">
        <is>
          <t>Garnlav
Lunglav
Tretåig hackspett
Violettgrå tagellav
Stuplav
Revlummer</t>
        </is>
      </c>
      <c r="W457">
        <f>HYPERLINK("https://klasma.github.io/Logging_2034/artfynd/A 30158-2026 artfynd.xlsx", "A 30158-2026")</f>
        <v/>
      </c>
      <c r="X457">
        <f>HYPERLINK("https://klasma.github.io/Logging_2034/kartor/A 30158-2026 karta.png", "A 30158-2026")</f>
        <v/>
      </c>
      <c r="Y457">
        <f>HYPERLINK("https://klasma.github.io/Logging_2034/kartor_geotiff/A 30158-2026 georefererad karta.tif", "A 30158-2026")</f>
        <v/>
      </c>
      <c r="AA457">
        <f>HYPERLINK("https://klasma.github.io/Logging_2034/klagomål/A 30158-2026 FSC-klagomål.docx", "A 30158-2026")</f>
        <v/>
      </c>
      <c r="AB457">
        <f>HYPERLINK("https://klasma.github.io/Logging_2034/klagomålsmail/A 30158-2026 FSC-klagomål mail.docx", "A 30158-2026")</f>
        <v/>
      </c>
      <c r="AC457">
        <f>HYPERLINK("https://klasma.github.io/Logging_2034/tillsyn/A 30158-2026 tillsynsbegäran.docx", "A 30158-2026")</f>
        <v/>
      </c>
      <c r="AD457">
        <f>HYPERLINK("https://klasma.github.io/Logging_2034/tillsynsmail/A 30158-2026 tillsynsbegäran mail.docx", "A 30158-2026")</f>
        <v/>
      </c>
      <c r="AE457">
        <f>HYPERLINK("https://klasma.github.io/Logging_2034/fåglar/A 30158-2026 prioriterade fågelarter.docx", "A 30158-2026")</f>
        <v/>
      </c>
    </row>
    <row r="458" ht="15" customHeight="1">
      <c r="A458" t="inlineStr">
        <is>
          <t>A 29660-2026</t>
        </is>
      </c>
      <c r="B458" t="inlineStr">
        <is>
          <t>avverkningsanmälan</t>
        </is>
      </c>
      <c r="C458" t="inlineStr">
        <is>
          <t>Föryngringsavverkning</t>
        </is>
      </c>
      <c r="D458" s="1" t="n">
        <v>46204</v>
      </c>
      <c r="E458" s="1" t="n">
        <v>46319</v>
      </c>
      <c r="F458" t="inlineStr">
        <is>
          <t>DALARNAS LÄN</t>
        </is>
      </c>
      <c r="G458" t="inlineStr">
        <is>
          <t>SMEDJEBACKEN</t>
        </is>
      </c>
      <c r="I458" t="n">
        <v>0.6</v>
      </c>
      <c r="J458" t="n">
        <v>1</v>
      </c>
      <c r="K458" t="n">
        <v>2</v>
      </c>
      <c r="L458" t="n">
        <v>1</v>
      </c>
      <c r="M458" t="n">
        <v>0</v>
      </c>
      <c r="N458" t="n">
        <v>0</v>
      </c>
      <c r="O458" t="n">
        <v>0</v>
      </c>
      <c r="P458" t="n">
        <v>0</v>
      </c>
      <c r="Q458" t="n">
        <v>1</v>
      </c>
      <c r="R458" t="n">
        <v>0</v>
      </c>
      <c r="S458" t="n">
        <v>6</v>
      </c>
      <c r="T458" t="n">
        <v>13</v>
      </c>
      <c r="U458" t="n">
        <v>11</v>
      </c>
      <c r="V458" s="2" t="inlineStr">
        <is>
          <t>Ullticka
Noshornsoxe
Thomsons trägnagare
Blåsippa
Kransmossa
Ormbär</t>
        </is>
      </c>
      <c r="W458">
        <f>HYPERLINK("https://klasma.github.io/Logging_2061/artfynd/A 29660-2026 artfynd.xlsx", "A 29660-2026")</f>
        <v/>
      </c>
      <c r="X458">
        <f>HYPERLINK("https://klasma.github.io/Logging_2061/kartor/A 29660-2026 karta.png", "A 29660-2026")</f>
        <v/>
      </c>
      <c r="Y458">
        <f>HYPERLINK("https://klasma.github.io/Logging_2061/kartor_geotiff/A 29660-2026 georefererad karta.tif", "A 29660-2026")</f>
        <v/>
      </c>
      <c r="AA458">
        <f>HYPERLINK("https://klasma.github.io/Logging_2061/klagomål/A 29660-2026 FSC-klagomål.docx", "A 29660-2026")</f>
        <v/>
      </c>
      <c r="AB458">
        <f>HYPERLINK("https://klasma.github.io/Logging_2061/klagomålsmail/A 29660-2026 FSC-klagomål mail.docx", "A 29660-2026")</f>
        <v/>
      </c>
      <c r="AC458">
        <f>HYPERLINK("https://klasma.github.io/Logging_2061/tillsyn/A 29660-2026 tillsynsbegäran.docx", "A 29660-2026")</f>
        <v/>
      </c>
      <c r="AD458">
        <f>HYPERLINK("https://klasma.github.io/Logging_2061/tillsynsmail/A 29660-2026 tillsynsbegäran mail.docx", "A 29660-2026")</f>
        <v/>
      </c>
    </row>
    <row r="459" ht="15" customHeight="1">
      <c r="A459" t="inlineStr">
        <is>
          <t>A 61591-2025</t>
        </is>
      </c>
      <c r="B459" t="inlineStr">
        <is>
          <t>avverkningsanmälan</t>
        </is>
      </c>
      <c r="C459" t="inlineStr">
        <is>
          <t>Föryngringsavverkning</t>
        </is>
      </c>
      <c r="D459" s="1" t="n">
        <v>46002</v>
      </c>
      <c r="E459" s="1" t="n">
        <v>46319</v>
      </c>
      <c r="F459" t="inlineStr">
        <is>
          <t>DALARNAS LÄN</t>
        </is>
      </c>
      <c r="G459" t="inlineStr">
        <is>
          <t>ÄLVDALEN</t>
        </is>
      </c>
      <c r="H459" t="inlineStr">
        <is>
          <t>Sveaskog</t>
        </is>
      </c>
      <c r="I459" t="n">
        <v>8.1</v>
      </c>
      <c r="J459" t="n">
        <v>1</v>
      </c>
      <c r="K459" t="n">
        <v>1</v>
      </c>
      <c r="L459" t="n">
        <v>5</v>
      </c>
      <c r="M459" t="n">
        <v>0</v>
      </c>
      <c r="N459" t="n">
        <v>0</v>
      </c>
      <c r="O459" t="n">
        <v>0</v>
      </c>
      <c r="P459" t="n">
        <v>0</v>
      </c>
      <c r="Q459" t="n">
        <v>5</v>
      </c>
      <c r="R459" t="n">
        <v>0</v>
      </c>
      <c r="S459" t="n">
        <v>6</v>
      </c>
      <c r="T459" t="n">
        <v>9</v>
      </c>
      <c r="U459" t="n">
        <v>0</v>
      </c>
      <c r="V459" s="2" t="inlineStr">
        <is>
          <t>Dropptaggsvamp
Dvärgbägarlav
Kolflarnlav
Mörk kolflarnlav
Vedflamlav
Plattlummer</t>
        </is>
      </c>
      <c r="W459">
        <f>HYPERLINK("https://klasma.github.io/Logging_2039/artfynd/A 61591-2025 artfynd.xlsx", "A 61591-2025")</f>
        <v/>
      </c>
      <c r="X459">
        <f>HYPERLINK("https://klasma.github.io/Logging_2039/kartor/A 61591-2025 karta.png", "A 61591-2025")</f>
        <v/>
      </c>
      <c r="Y459">
        <f>HYPERLINK("https://klasma.github.io/Logging_2039/kartor_geotiff/A 61591-2025 georefererad karta.tif", "A 61591-2025")</f>
        <v/>
      </c>
      <c r="AA459">
        <f>HYPERLINK("https://klasma.github.io/Logging_2039/klagomål/A 61591-2025 FSC-klagomål.docx", "A 61591-2025")</f>
        <v/>
      </c>
      <c r="AB459">
        <f>HYPERLINK("https://klasma.github.io/Logging_2039/klagomålsmail/A 61591-2025 FSC-klagomål mail.docx", "A 61591-2025")</f>
        <v/>
      </c>
      <c r="AC459">
        <f>HYPERLINK("https://klasma.github.io/Logging_2039/tillsyn/A 61591-2025 tillsynsbegäran.docx", "A 61591-2025")</f>
        <v/>
      </c>
      <c r="AD459">
        <f>HYPERLINK("https://klasma.github.io/Logging_2039/tillsynsmail/A 61591-2025 tillsynsbegäran mail.docx", "A 61591-2025")</f>
        <v/>
      </c>
    </row>
    <row r="460" ht="15" customHeight="1">
      <c r="A460" t="inlineStr">
        <is>
          <t>A 20728-2023</t>
        </is>
      </c>
      <c r="B460" t="inlineStr">
        <is>
          <t>avverkningsanmälan</t>
        </is>
      </c>
      <c r="C460" t="inlineStr">
        <is>
          <t>Föryngringsavverkning</t>
        </is>
      </c>
      <c r="D460" s="1" t="n">
        <v>45055</v>
      </c>
      <c r="E460" s="1" t="n">
        <v>46319</v>
      </c>
      <c r="F460" t="inlineStr">
        <is>
          <t>DALARNAS LÄN</t>
        </is>
      </c>
      <c r="G460" t="inlineStr">
        <is>
          <t>GAGNEF</t>
        </is>
      </c>
      <c r="I460" t="n">
        <v>5.9</v>
      </c>
      <c r="J460" t="n">
        <v>3</v>
      </c>
      <c r="K460" t="n">
        <v>0</v>
      </c>
      <c r="L460" t="n">
        <v>3</v>
      </c>
      <c r="M460" t="n">
        <v>2</v>
      </c>
      <c r="N460" t="n">
        <v>0</v>
      </c>
      <c r="O460" t="n">
        <v>0</v>
      </c>
      <c r="P460" t="n">
        <v>0</v>
      </c>
      <c r="Q460" t="n">
        <v>5</v>
      </c>
      <c r="R460" t="n">
        <v>2</v>
      </c>
      <c r="S460" t="n">
        <v>6</v>
      </c>
      <c r="T460" t="n">
        <v>19</v>
      </c>
      <c r="U460" t="n">
        <v>19</v>
      </c>
      <c r="V460" s="2" t="inlineStr">
        <is>
          <t>Garnlav
Knärot
Rosenticka
Tretåig hackspett
Ullticka
Spillkråka</t>
        </is>
      </c>
      <c r="W460">
        <f>HYPERLINK("https://klasma.github.io/Logging_2026/artfynd/A 20728-2023 artfynd.xlsx", "A 20728-2023")</f>
        <v/>
      </c>
      <c r="X460">
        <f>HYPERLINK("https://klasma.github.io/Logging_2026/kartor/A 20728-2023 karta.png", "A 20728-2023")</f>
        <v/>
      </c>
      <c r="Y460">
        <f>HYPERLINK("https://klasma.github.io/Logging_2026/kartor_geotiff/A 20728-2023 georefererad karta.tif", "A 20728-2023")</f>
        <v/>
      </c>
      <c r="Z460">
        <f>HYPERLINK("https://klasma.github.io/Logging_2026/knärot/A 20728-2023 karta knärot.png", "A 20728-2023")</f>
        <v/>
      </c>
      <c r="AA460">
        <f>HYPERLINK("https://klasma.github.io/Logging_2026/klagomål/A 20728-2023 FSC-klagomål.docx", "A 20728-2023")</f>
        <v/>
      </c>
      <c r="AB460">
        <f>HYPERLINK("https://klasma.github.io/Logging_2026/klagomålsmail/A 20728-2023 FSC-klagomål mail.docx", "A 20728-2023")</f>
        <v/>
      </c>
      <c r="AC460">
        <f>HYPERLINK("https://klasma.github.io/Logging_2026/tillsyn/A 20728-2023 tillsynsbegäran.docx", "A 20728-2023")</f>
        <v/>
      </c>
      <c r="AD460">
        <f>HYPERLINK("https://klasma.github.io/Logging_2026/tillsynsmail/A 20728-2023 tillsynsbegäran mail.docx", "A 20728-2023")</f>
        <v/>
      </c>
      <c r="AE460">
        <f>HYPERLINK("https://klasma.github.io/Logging_2026/fåglar/A 20728-2023 prioriterade fågelarter.docx", "A 20728-2023")</f>
        <v/>
      </c>
    </row>
    <row r="461" ht="15" customHeight="1">
      <c r="A461" t="inlineStr">
        <is>
          <t>A 21799-2026</t>
        </is>
      </c>
      <c r="B461" t="inlineStr">
        <is>
          <t>avverkningsanmälan</t>
        </is>
      </c>
      <c r="C461" t="inlineStr">
        <is>
          <t>Föryngringsavverkning</t>
        </is>
      </c>
      <c r="D461" s="1" t="n">
        <v>46150</v>
      </c>
      <c r="E461" s="1" t="n">
        <v>46319</v>
      </c>
      <c r="F461" t="inlineStr">
        <is>
          <t>DALARNAS LÄN</t>
        </is>
      </c>
      <c r="G461" t="inlineStr">
        <is>
          <t>ORSA</t>
        </is>
      </c>
      <c r="I461" t="n">
        <v>3.3</v>
      </c>
      <c r="J461" t="n">
        <v>2</v>
      </c>
      <c r="K461" t="n">
        <v>3</v>
      </c>
      <c r="L461" t="n">
        <v>1</v>
      </c>
      <c r="M461" t="n">
        <v>1</v>
      </c>
      <c r="N461" t="n">
        <v>0</v>
      </c>
      <c r="O461" t="n">
        <v>0</v>
      </c>
      <c r="P461" t="n">
        <v>0</v>
      </c>
      <c r="Q461" t="n">
        <v>2</v>
      </c>
      <c r="R461" t="n">
        <v>1</v>
      </c>
      <c r="S461" t="n">
        <v>6</v>
      </c>
      <c r="T461" t="n">
        <v>12</v>
      </c>
      <c r="U461" t="n">
        <v>12</v>
      </c>
      <c r="V461" s="2" t="inlineStr">
        <is>
          <t>Garnlav
Tretåig hackspett
Bronshjon
Vanlig flatbagge
Vedticka
Tjäder</t>
        </is>
      </c>
      <c r="W461">
        <f>HYPERLINK("https://klasma.github.io/Logging_2034/artfynd/A 21799-2026 artfynd.xlsx", "A 21799-2026")</f>
        <v/>
      </c>
      <c r="X461">
        <f>HYPERLINK("https://klasma.github.io/Logging_2034/kartor/A 21799-2026 karta.png", "A 21799-2026")</f>
        <v/>
      </c>
      <c r="Y461">
        <f>HYPERLINK("https://klasma.github.io/Logging_2034/kartor_geotiff/A 21799-2026 georefererad karta.tif", "A 21799-2026")</f>
        <v/>
      </c>
      <c r="AA461">
        <f>HYPERLINK("https://klasma.github.io/Logging_2034/klagomål/A 21799-2026 FSC-klagomål.docx", "A 21799-2026")</f>
        <v/>
      </c>
      <c r="AB461">
        <f>HYPERLINK("https://klasma.github.io/Logging_2034/klagomålsmail/A 21799-2026 FSC-klagomål mail.docx", "A 21799-2026")</f>
        <v/>
      </c>
      <c r="AC461">
        <f>HYPERLINK("https://klasma.github.io/Logging_2034/tillsyn/A 21799-2026 tillsynsbegäran.docx", "A 21799-2026")</f>
        <v/>
      </c>
      <c r="AD461">
        <f>HYPERLINK("https://klasma.github.io/Logging_2034/tillsynsmail/A 21799-2026 tillsynsbegäran mail.docx", "A 21799-2026")</f>
        <v/>
      </c>
      <c r="AE461">
        <f>HYPERLINK("https://klasma.github.io/Logging_2034/fåglar/A 21799-2026 prioriterade fågelarter.docx", "A 21799-2026")</f>
        <v/>
      </c>
    </row>
    <row r="462" ht="15" customHeight="1">
      <c r="A462" t="inlineStr">
        <is>
          <t>A 63299-2025</t>
        </is>
      </c>
      <c r="B462" t="inlineStr">
        <is>
          <t>avverkningsanmälan</t>
        </is>
      </c>
      <c r="C462" t="inlineStr">
        <is>
          <t>Avverkning för att bevara och utveckla /försöksver</t>
        </is>
      </c>
      <c r="D462" s="1" t="n">
        <v>46010</v>
      </c>
      <c r="E462" s="1" t="n">
        <v>46319</v>
      </c>
      <c r="F462" t="inlineStr">
        <is>
          <t>DALARNAS LÄN</t>
        </is>
      </c>
      <c r="G462" t="inlineStr">
        <is>
          <t>LUDVIKA</t>
        </is>
      </c>
      <c r="H462" t="inlineStr">
        <is>
          <t>Bergvik skog väst AB</t>
        </is>
      </c>
      <c r="I462" t="n">
        <v>1.4</v>
      </c>
      <c r="J462" t="n">
        <v>1</v>
      </c>
      <c r="K462" t="n">
        <v>0</v>
      </c>
      <c r="L462" t="n">
        <v>3</v>
      </c>
      <c r="M462" t="n">
        <v>2</v>
      </c>
      <c r="N462" t="n">
        <v>0</v>
      </c>
      <c r="O462" t="n">
        <v>0</v>
      </c>
      <c r="P462" t="n">
        <v>0</v>
      </c>
      <c r="Q462" t="n">
        <v>5</v>
      </c>
      <c r="R462" t="n">
        <v>2</v>
      </c>
      <c r="S462" t="n">
        <v>6</v>
      </c>
      <c r="T462" t="n">
        <v>8</v>
      </c>
      <c r="U462" t="n">
        <v>1</v>
      </c>
      <c r="V462" s="2" t="inlineStr">
        <is>
          <t>Garnlav
Skrovlig taggsvamp
Blå taggsvamp
Motaggsvamp
Talltaggsvamp
Tjäder</t>
        </is>
      </c>
      <c r="W462">
        <f>HYPERLINK("https://klasma.github.io/Logging_2085/artfynd/A 63299-2025 artfynd.xlsx", "A 63299-2025")</f>
        <v/>
      </c>
      <c r="X462">
        <f>HYPERLINK("https://klasma.github.io/Logging_2085/kartor/A 63299-2025 karta.png", "A 63299-2025")</f>
        <v/>
      </c>
      <c r="Y462">
        <f>HYPERLINK("https://klasma.github.io/Logging_2085/kartor_geotiff/A 63299-2025 georefererad karta.tif", "A 63299-2025")</f>
        <v/>
      </c>
      <c r="AA462">
        <f>HYPERLINK("https://klasma.github.io/Logging_2085/klagomål/A 63299-2025 FSC-klagomål.docx", "A 63299-2025")</f>
        <v/>
      </c>
      <c r="AB462">
        <f>HYPERLINK("https://klasma.github.io/Logging_2085/klagomålsmail/A 63299-2025 FSC-klagomål mail.docx", "A 63299-2025")</f>
        <v/>
      </c>
      <c r="AC462">
        <f>HYPERLINK("https://klasma.github.io/Logging_2085/tillsyn/A 63299-2025 tillsynsbegäran.docx", "A 63299-2025")</f>
        <v/>
      </c>
      <c r="AD462">
        <f>HYPERLINK("https://klasma.github.io/Logging_2085/tillsynsmail/A 63299-2025 tillsynsbegäran mail.docx", "A 63299-2025")</f>
        <v/>
      </c>
      <c r="AE462">
        <f>HYPERLINK("https://klasma.github.io/Logging_2085/fåglar/A 63299-2025 prioriterade fågelarter.docx", "A 63299-2025")</f>
        <v/>
      </c>
    </row>
    <row r="463" ht="15" customHeight="1">
      <c r="A463" t="inlineStr">
        <is>
          <t>A 5462-2024</t>
        </is>
      </c>
      <c r="B463" t="inlineStr">
        <is>
          <t>avverkningsanmälan</t>
        </is>
      </c>
      <c r="C463" t="inlineStr">
        <is>
          <t>Föryngringsavverkning</t>
        </is>
      </c>
      <c r="D463" s="1" t="n">
        <v>45332</v>
      </c>
      <c r="E463" s="1" t="n">
        <v>46319</v>
      </c>
      <c r="F463" t="inlineStr">
        <is>
          <t>DALARNAS LÄN</t>
        </is>
      </c>
      <c r="G463" t="inlineStr">
        <is>
          <t>FALUN</t>
        </is>
      </c>
      <c r="H463" t="inlineStr">
        <is>
          <t>Kyrkan</t>
        </is>
      </c>
      <c r="I463" t="n">
        <v>11.1</v>
      </c>
      <c r="J463" t="n">
        <v>0</v>
      </c>
      <c r="K463" t="n">
        <v>1</v>
      </c>
      <c r="L463" t="n">
        <v>4</v>
      </c>
      <c r="M463" t="n">
        <v>1</v>
      </c>
      <c r="N463" t="n">
        <v>0</v>
      </c>
      <c r="O463" t="n">
        <v>0</v>
      </c>
      <c r="P463" t="n">
        <v>0</v>
      </c>
      <c r="Q463" t="n">
        <v>5</v>
      </c>
      <c r="R463" t="n">
        <v>1</v>
      </c>
      <c r="S463" t="n">
        <v>6</v>
      </c>
      <c r="T463" t="n">
        <v>12</v>
      </c>
      <c r="U463" t="n">
        <v>12</v>
      </c>
      <c r="V463" s="2" t="inlineStr">
        <is>
          <t>Garnlav
Dropptaggsvamp
Liten svartspik
Vitgrynig nållav
Vitplätt
Mindre märgborre</t>
        </is>
      </c>
      <c r="W463">
        <f>HYPERLINK("https://klasma.github.io/Logging_2080/artfynd/A 5462-2024 artfynd.xlsx", "A 5462-2024")</f>
        <v/>
      </c>
      <c r="X463">
        <f>HYPERLINK("https://klasma.github.io/Logging_2080/kartor/A 5462-2024 karta.png", "A 5462-2024")</f>
        <v/>
      </c>
      <c r="Y463">
        <f>HYPERLINK("https://klasma.github.io/Logging_2080/kartor_geotiff/A 5462-2024 georefererad karta.tif", "A 5462-2024")</f>
        <v/>
      </c>
      <c r="AA463">
        <f>HYPERLINK("https://klasma.github.io/Logging_2080/klagomål/A 5462-2024 FSC-klagomål.docx", "A 5462-2024")</f>
        <v/>
      </c>
      <c r="AB463">
        <f>HYPERLINK("https://klasma.github.io/Logging_2080/klagomålsmail/A 5462-2024 FSC-klagomål mail.docx", "A 5462-2024")</f>
        <v/>
      </c>
      <c r="AC463">
        <f>HYPERLINK("https://klasma.github.io/Logging_2080/tillsyn/A 5462-2024 tillsynsbegäran.docx", "A 5462-2024")</f>
        <v/>
      </c>
      <c r="AD463">
        <f>HYPERLINK("https://klasma.github.io/Logging_2080/tillsynsmail/A 5462-2024 tillsynsbegäran mail.docx", "A 5462-2024")</f>
        <v/>
      </c>
    </row>
    <row r="464" ht="15" customHeight="1">
      <c r="A464" t="inlineStr">
        <is>
          <t>A 180-2026</t>
        </is>
      </c>
      <c r="B464" t="inlineStr">
        <is>
          <t>avverkningsanmälan</t>
        </is>
      </c>
      <c r="C464" t="inlineStr">
        <is>
          <t>Föryngringsavverkning</t>
        </is>
      </c>
      <c r="D464" s="1" t="n">
        <v>46025</v>
      </c>
      <c r="E464" s="1" t="n">
        <v>46319</v>
      </c>
      <c r="F464" t="inlineStr">
        <is>
          <t>DALARNAS LÄN</t>
        </is>
      </c>
      <c r="G464" t="inlineStr">
        <is>
          <t>FALUN</t>
        </is>
      </c>
      <c r="I464" t="n">
        <v>6.9</v>
      </c>
      <c r="J464" t="n">
        <v>3</v>
      </c>
      <c r="K464" t="n">
        <v>1</v>
      </c>
      <c r="L464" t="n">
        <v>2</v>
      </c>
      <c r="M464" t="n">
        <v>1</v>
      </c>
      <c r="N464" t="n">
        <v>0</v>
      </c>
      <c r="O464" t="n">
        <v>0</v>
      </c>
      <c r="P464" t="n">
        <v>0</v>
      </c>
      <c r="Q464" t="n">
        <v>3</v>
      </c>
      <c r="R464" t="n">
        <v>1</v>
      </c>
      <c r="S464" t="n">
        <v>6</v>
      </c>
      <c r="T464" t="n">
        <v>7</v>
      </c>
      <c r="U464" t="n">
        <v>7</v>
      </c>
      <c r="V464" s="2" t="inlineStr">
        <is>
          <t>Garnlav
Dropptaggsvamp
Talltita
Mindre märgborre
Spillkråka
Tofsmes</t>
        </is>
      </c>
      <c r="W464">
        <f>HYPERLINK("https://klasma.github.io/Logging_2080/artfynd/A 180-2026 artfynd.xlsx", "A 180-2026")</f>
        <v/>
      </c>
      <c r="X464">
        <f>HYPERLINK("https://klasma.github.io/Logging_2080/kartor/A 180-2026 karta.png", "A 180-2026")</f>
        <v/>
      </c>
      <c r="Y464">
        <f>HYPERLINK("https://klasma.github.io/Logging_2080/kartor_geotiff/A 180-2026 georefererad karta.tif", "A 180-2026")</f>
        <v/>
      </c>
      <c r="AA464">
        <f>HYPERLINK("https://klasma.github.io/Logging_2080/klagomål/A 180-2026 FSC-klagomål.docx", "A 180-2026")</f>
        <v/>
      </c>
      <c r="AB464">
        <f>HYPERLINK("https://klasma.github.io/Logging_2080/klagomålsmail/A 180-2026 FSC-klagomål mail.docx", "A 180-2026")</f>
        <v/>
      </c>
      <c r="AC464">
        <f>HYPERLINK("https://klasma.github.io/Logging_2080/tillsyn/A 180-2026 tillsynsbegäran.docx", "A 180-2026")</f>
        <v/>
      </c>
      <c r="AD464">
        <f>HYPERLINK("https://klasma.github.io/Logging_2080/tillsynsmail/A 180-2026 tillsynsbegäran mail.docx", "A 180-2026")</f>
        <v/>
      </c>
      <c r="AE464">
        <f>HYPERLINK("https://klasma.github.io/Logging_2080/fåglar/A 180-2026 prioriterade fågelarter.docx", "A 180-2026")</f>
        <v/>
      </c>
    </row>
    <row r="465" ht="15" customHeight="1">
      <c r="A465" t="inlineStr">
        <is>
          <t>A 1019-2026</t>
        </is>
      </c>
      <c r="B465" t="inlineStr">
        <is>
          <t>avverkningsanmälan</t>
        </is>
      </c>
      <c r="C465" t="inlineStr">
        <is>
          <t>Föryngringsavverkning</t>
        </is>
      </c>
      <c r="D465" s="1" t="n">
        <v>46030</v>
      </c>
      <c r="E465" s="1" t="n">
        <v>46319</v>
      </c>
      <c r="F465" t="inlineStr">
        <is>
          <t>DALARNAS LÄN</t>
        </is>
      </c>
      <c r="G465" t="inlineStr">
        <is>
          <t>BORLÄNGE</t>
        </is>
      </c>
      <c r="I465" t="n">
        <v>4.8</v>
      </c>
      <c r="J465" t="n">
        <v>2</v>
      </c>
      <c r="K465" t="n">
        <v>1</v>
      </c>
      <c r="L465" t="n">
        <v>3</v>
      </c>
      <c r="M465" t="n">
        <v>1</v>
      </c>
      <c r="N465" t="n">
        <v>0</v>
      </c>
      <c r="O465" t="n">
        <v>0</v>
      </c>
      <c r="P465" t="n">
        <v>0</v>
      </c>
      <c r="Q465" t="n">
        <v>4</v>
      </c>
      <c r="R465" t="n">
        <v>1</v>
      </c>
      <c r="S465" t="n">
        <v>6</v>
      </c>
      <c r="T465" t="n">
        <v>9</v>
      </c>
      <c r="U465" t="n">
        <v>0</v>
      </c>
      <c r="V465" s="2" t="inlineStr">
        <is>
          <t>Knärot
Orange taggsvamp
Rynkskinn
Ullticka
Bronshjon
Revlummer</t>
        </is>
      </c>
      <c r="W465">
        <f>HYPERLINK("https://klasma.github.io/Logging_2081/artfynd/A 1019-2026 artfynd.xlsx", "A 1019-2026")</f>
        <v/>
      </c>
      <c r="X465">
        <f>HYPERLINK("https://klasma.github.io/Logging_2081/kartor/A 1019-2026 karta.png", "A 1019-2026")</f>
        <v/>
      </c>
      <c r="Y465">
        <f>HYPERLINK("https://klasma.github.io/Logging_2081/kartor_geotiff/A 1019-2026 georefererad karta.tif", "A 1019-2026")</f>
        <v/>
      </c>
      <c r="Z465">
        <f>HYPERLINK("https://klasma.github.io/Logging_2081/knärot/A 1019-2026 karta knärot.png", "A 1019-2026")</f>
        <v/>
      </c>
      <c r="AA465">
        <f>HYPERLINK("https://klasma.github.io/Logging_2081/klagomål/A 1019-2026 FSC-klagomål.docx", "A 1019-2026")</f>
        <v/>
      </c>
      <c r="AB465">
        <f>HYPERLINK("https://klasma.github.io/Logging_2081/klagomålsmail/A 1019-2026 FSC-klagomål mail.docx", "A 1019-2026")</f>
        <v/>
      </c>
      <c r="AC465">
        <f>HYPERLINK("https://klasma.github.io/Logging_2081/tillsyn/A 1019-2026 tillsynsbegäran.docx", "A 1019-2026")</f>
        <v/>
      </c>
      <c r="AD465">
        <f>HYPERLINK("https://klasma.github.io/Logging_2081/tillsynsmail/A 1019-2026 tillsynsbegäran mail.docx", "A 1019-2026")</f>
        <v/>
      </c>
    </row>
    <row r="466" ht="15" customHeight="1">
      <c r="A466" t="inlineStr">
        <is>
          <t>A 1364-2026</t>
        </is>
      </c>
      <c r="B466" t="inlineStr">
        <is>
          <t>avverkningsanmälan</t>
        </is>
      </c>
      <c r="C466" t="inlineStr">
        <is>
          <t>Föryngringsavverkning</t>
        </is>
      </c>
      <c r="D466" s="1" t="n">
        <v>46031</v>
      </c>
      <c r="E466" s="1" t="n">
        <v>46319</v>
      </c>
      <c r="F466" t="inlineStr">
        <is>
          <t>DALARNAS LÄN</t>
        </is>
      </c>
      <c r="G466" t="inlineStr">
        <is>
          <t>FALUN</t>
        </is>
      </c>
      <c r="I466" t="n">
        <v>10.2</v>
      </c>
      <c r="J466" t="n">
        <v>3</v>
      </c>
      <c r="K466" t="n">
        <v>1</v>
      </c>
      <c r="L466" t="n">
        <v>2</v>
      </c>
      <c r="M466" t="n">
        <v>0</v>
      </c>
      <c r="N466" t="n">
        <v>0</v>
      </c>
      <c r="O466" t="n">
        <v>0</v>
      </c>
      <c r="P466" t="n">
        <v>0</v>
      </c>
      <c r="Q466" t="n">
        <v>2</v>
      </c>
      <c r="R466" t="n">
        <v>0</v>
      </c>
      <c r="S466" t="n">
        <v>6</v>
      </c>
      <c r="T466" t="n">
        <v>10</v>
      </c>
      <c r="U466" t="n">
        <v>10</v>
      </c>
      <c r="V466" s="2" t="inlineStr">
        <is>
          <t>Stjärntagging
Tretåig hackspett
Nästlav
Linnea
Spillkråka
Grönsiska</t>
        </is>
      </c>
      <c r="W466">
        <f>HYPERLINK("https://klasma.github.io/Logging_2080/artfynd/A 1364-2026 artfynd.xlsx", "A 1364-2026")</f>
        <v/>
      </c>
      <c r="X466">
        <f>HYPERLINK("https://klasma.github.io/Logging_2080/kartor/A 1364-2026 karta.png", "A 1364-2026")</f>
        <v/>
      </c>
      <c r="Y466">
        <f>HYPERLINK("https://klasma.github.io/Logging_2080/kartor_geotiff/A 1364-2026 georefererad karta.tif", "A 1364-2026")</f>
        <v/>
      </c>
      <c r="AA466">
        <f>HYPERLINK("https://klasma.github.io/Logging_2080/klagomål/A 1364-2026 FSC-klagomål.docx", "A 1364-2026")</f>
        <v/>
      </c>
      <c r="AB466">
        <f>HYPERLINK("https://klasma.github.io/Logging_2080/klagomålsmail/A 1364-2026 FSC-klagomål mail.docx", "A 1364-2026")</f>
        <v/>
      </c>
      <c r="AC466">
        <f>HYPERLINK("https://klasma.github.io/Logging_2080/tillsyn/A 1364-2026 tillsynsbegäran.docx", "A 1364-2026")</f>
        <v/>
      </c>
      <c r="AD466">
        <f>HYPERLINK("https://klasma.github.io/Logging_2080/tillsynsmail/A 1364-2026 tillsynsbegäran mail.docx", "A 1364-2026")</f>
        <v/>
      </c>
      <c r="AE466">
        <f>HYPERLINK("https://klasma.github.io/Logging_2080/fåglar/A 1364-2026 prioriterade fågelarter.docx", "A 1364-2026")</f>
        <v/>
      </c>
    </row>
    <row r="467" ht="15" customHeight="1">
      <c r="A467" t="inlineStr">
        <is>
          <t>A 38692-2026</t>
        </is>
      </c>
      <c r="B467" t="inlineStr">
        <is>
          <t>avverkningsanmälan</t>
        </is>
      </c>
      <c r="C467" t="inlineStr">
        <is>
          <t>Föryngringsavverkning</t>
        </is>
      </c>
      <c r="D467" s="1" t="n">
        <v>46281</v>
      </c>
      <c r="E467" s="1" t="n">
        <v>46319</v>
      </c>
      <c r="F467" t="inlineStr">
        <is>
          <t>DALARNAS LÄN</t>
        </is>
      </c>
      <c r="G467" t="inlineStr">
        <is>
          <t>SÄTER</t>
        </is>
      </c>
      <c r="H467" t="inlineStr">
        <is>
          <t>Bergvik skog väst AB</t>
        </is>
      </c>
      <c r="I467" t="n">
        <v>15.5</v>
      </c>
      <c r="J467" t="n">
        <v>3</v>
      </c>
      <c r="K467" t="n">
        <v>2</v>
      </c>
      <c r="L467" t="n">
        <v>0</v>
      </c>
      <c r="M467" t="n">
        <v>1</v>
      </c>
      <c r="N467" t="n">
        <v>0</v>
      </c>
      <c r="O467" t="n">
        <v>0</v>
      </c>
      <c r="P467" t="n">
        <v>0</v>
      </c>
      <c r="Q467" t="n">
        <v>1</v>
      </c>
      <c r="R467" t="n">
        <v>1</v>
      </c>
      <c r="S467" t="n">
        <v>6</v>
      </c>
      <c r="T467" t="n">
        <v>12</v>
      </c>
      <c r="U467" t="n">
        <v>11</v>
      </c>
      <c r="V467" s="2" t="inlineStr">
        <is>
          <t>Knärot
Blåmossa
Bronshjon
Blåsippa
Kransmossa
Spillkråka</t>
        </is>
      </c>
      <c r="W467">
        <f>HYPERLINK("https://klasma.github.io/Logging_2082/artfynd/A 38692-2026 artfynd.xlsx", "A 38692-2026")</f>
        <v/>
      </c>
      <c r="X467">
        <f>HYPERLINK("https://klasma.github.io/Logging_2082/kartor/A 38692-2026 karta.png", "A 38692-2026")</f>
        <v/>
      </c>
      <c r="Y467">
        <f>HYPERLINK("https://klasma.github.io/Logging_2082/kartor_geotiff/A 38692-2026 georefererad karta.tif", "A 38692-2026")</f>
        <v/>
      </c>
      <c r="Z467">
        <f>HYPERLINK("https://klasma.github.io/Logging_2082/knärot/A 38692-2026 karta knärot.png", "A 38692-2026")</f>
        <v/>
      </c>
      <c r="AA467">
        <f>HYPERLINK("https://klasma.github.io/Logging_2082/klagomål/A 38692-2026 FSC-klagomål.docx", "A 38692-2026")</f>
        <v/>
      </c>
      <c r="AB467">
        <f>HYPERLINK("https://klasma.github.io/Logging_2082/klagomålsmail/A 38692-2026 FSC-klagomål mail.docx", "A 38692-2026")</f>
        <v/>
      </c>
      <c r="AC467">
        <f>HYPERLINK("https://klasma.github.io/Logging_2082/tillsyn/A 38692-2026 tillsynsbegäran.docx", "A 38692-2026")</f>
        <v/>
      </c>
      <c r="AD467">
        <f>HYPERLINK("https://klasma.github.io/Logging_2082/tillsynsmail/A 38692-2026 tillsynsbegäran mail.docx", "A 38692-2026")</f>
        <v/>
      </c>
      <c r="AE467">
        <f>HYPERLINK("https://klasma.github.io/Logging_2082/fåglar/A 38692-2026 prioriterade fågelarter.docx", "A 38692-2026")</f>
        <v/>
      </c>
    </row>
    <row r="468" ht="15" customHeight="1">
      <c r="A468" t="inlineStr">
        <is>
          <t>A 3383-2026</t>
        </is>
      </c>
      <c r="B468" t="inlineStr">
        <is>
          <t>avverkningsanmälan</t>
        </is>
      </c>
      <c r="C468" t="inlineStr">
        <is>
          <t>Föryngringsavverkning</t>
        </is>
      </c>
      <c r="D468" s="1" t="n">
        <v>46042</v>
      </c>
      <c r="E468" s="1" t="n">
        <v>46319</v>
      </c>
      <c r="F468" t="inlineStr">
        <is>
          <t>DALARNAS LÄN</t>
        </is>
      </c>
      <c r="G468" t="inlineStr">
        <is>
          <t>FALUN</t>
        </is>
      </c>
      <c r="I468" t="n">
        <v>15.7</v>
      </c>
      <c r="J468" t="n">
        <v>3</v>
      </c>
      <c r="K468" t="n">
        <v>2</v>
      </c>
      <c r="L468" t="n">
        <v>2</v>
      </c>
      <c r="M468" t="n">
        <v>0</v>
      </c>
      <c r="N468" t="n">
        <v>0</v>
      </c>
      <c r="O468" t="n">
        <v>0</v>
      </c>
      <c r="P468" t="n">
        <v>0</v>
      </c>
      <c r="Q468" t="n">
        <v>2</v>
      </c>
      <c r="R468" t="n">
        <v>0</v>
      </c>
      <c r="S468" t="n">
        <v>6</v>
      </c>
      <c r="T468" t="n">
        <v>8</v>
      </c>
      <c r="U468" t="n">
        <v>0</v>
      </c>
      <c r="V468" s="2" t="inlineStr">
        <is>
          <t>Dropptaggsvamp
Talltita
Bollvitmossa
Mindre märgborre
Spillkråka
Kungsfågel</t>
        </is>
      </c>
      <c r="W468">
        <f>HYPERLINK("https://klasma.github.io/Logging_2080/artfynd/A 3383-2026 artfynd.xlsx", "A 3383-2026")</f>
        <v/>
      </c>
      <c r="X468">
        <f>HYPERLINK("https://klasma.github.io/Logging_2080/kartor/A 3383-2026 karta.png", "A 3383-2026")</f>
        <v/>
      </c>
      <c r="Y468">
        <f>HYPERLINK("https://klasma.github.io/Logging_2080/kartor_geotiff/A 3383-2026 georefererad karta.tif", "A 3383-2026")</f>
        <v/>
      </c>
      <c r="AA468">
        <f>HYPERLINK("https://klasma.github.io/Logging_2080/klagomål/A 3383-2026 FSC-klagomål.docx", "A 3383-2026")</f>
        <v/>
      </c>
      <c r="AB468">
        <f>HYPERLINK("https://klasma.github.io/Logging_2080/klagomålsmail/A 3383-2026 FSC-klagomål mail.docx", "A 3383-2026")</f>
        <v/>
      </c>
      <c r="AC468">
        <f>HYPERLINK("https://klasma.github.io/Logging_2080/tillsyn/A 3383-2026 tillsynsbegäran.docx", "A 3383-2026")</f>
        <v/>
      </c>
      <c r="AD468">
        <f>HYPERLINK("https://klasma.github.io/Logging_2080/tillsynsmail/A 3383-2026 tillsynsbegäran mail.docx", "A 3383-2026")</f>
        <v/>
      </c>
      <c r="AE468">
        <f>HYPERLINK("https://klasma.github.io/Logging_2080/fåglar/A 3383-2026 prioriterade fågelarter.docx", "A 3383-2026")</f>
        <v/>
      </c>
    </row>
    <row r="469" ht="15" customHeight="1">
      <c r="A469" t="inlineStr">
        <is>
          <t>A 10282-2024</t>
        </is>
      </c>
      <c r="B469" t="inlineStr">
        <is>
          <t>avverkningsanmälan</t>
        </is>
      </c>
      <c r="C469" t="inlineStr">
        <is>
          <t>Föryngringsavverkning</t>
        </is>
      </c>
      <c r="D469" s="1" t="n">
        <v>45365</v>
      </c>
      <c r="E469" s="1" t="n">
        <v>46319</v>
      </c>
      <c r="F469" t="inlineStr">
        <is>
          <t>DALARNAS LÄN</t>
        </is>
      </c>
      <c r="G469" t="inlineStr">
        <is>
          <t>ÄLVDALEN</t>
        </is>
      </c>
      <c r="I469" t="n">
        <v>1.2</v>
      </c>
      <c r="J469" t="n">
        <v>2</v>
      </c>
      <c r="K469" t="n">
        <v>1</v>
      </c>
      <c r="L469" t="n">
        <v>3</v>
      </c>
      <c r="M469" t="n">
        <v>2</v>
      </c>
      <c r="N469" t="n">
        <v>0</v>
      </c>
      <c r="O469" t="n">
        <v>0</v>
      </c>
      <c r="P469" t="n">
        <v>0</v>
      </c>
      <c r="Q469" t="n">
        <v>5</v>
      </c>
      <c r="R469" t="n">
        <v>2</v>
      </c>
      <c r="S469" t="n">
        <v>6</v>
      </c>
      <c r="T469" t="n">
        <v>24</v>
      </c>
      <c r="U469" t="n">
        <v>24</v>
      </c>
      <c r="V469" s="2" t="inlineStr">
        <is>
          <t>Garnlav
Knärot
Tretåig hackspett
Ullticka
Violettgrå tagellav
Vedticka</t>
        </is>
      </c>
      <c r="W469">
        <f>HYPERLINK("https://klasma.github.io/Logging_2039/artfynd/A 10282-2024 artfynd.xlsx", "A 10282-2024")</f>
        <v/>
      </c>
      <c r="X469">
        <f>HYPERLINK("https://klasma.github.io/Logging_2039/kartor/A 10282-2024 karta.png", "A 10282-2024")</f>
        <v/>
      </c>
      <c r="Y469">
        <f>HYPERLINK("https://klasma.github.io/Logging_2039/kartor_geotiff/A 10282-2024 georefererad karta.tif", "A 10282-2024")</f>
        <v/>
      </c>
      <c r="Z469">
        <f>HYPERLINK("https://klasma.github.io/Logging_2039/knärot/A 10282-2024 karta knärot.png", "A 10282-2024")</f>
        <v/>
      </c>
      <c r="AA469">
        <f>HYPERLINK("https://klasma.github.io/Logging_2039/klagomål/A 10282-2024 FSC-klagomål.docx", "A 10282-2024")</f>
        <v/>
      </c>
      <c r="AB469">
        <f>HYPERLINK("https://klasma.github.io/Logging_2039/klagomålsmail/A 10282-2024 FSC-klagomål mail.docx", "A 10282-2024")</f>
        <v/>
      </c>
      <c r="AC469">
        <f>HYPERLINK("https://klasma.github.io/Logging_2039/tillsyn/A 10282-2024 tillsynsbegäran.docx", "A 10282-2024")</f>
        <v/>
      </c>
      <c r="AD469">
        <f>HYPERLINK("https://klasma.github.io/Logging_2039/tillsynsmail/A 10282-2024 tillsynsbegäran mail.docx", "A 10282-2024")</f>
        <v/>
      </c>
      <c r="AE469">
        <f>HYPERLINK("https://klasma.github.io/Logging_2039/fåglar/A 10282-2024 prioriterade fågelarter.docx", "A 10282-2024")</f>
        <v/>
      </c>
    </row>
    <row r="470" ht="15" customHeight="1">
      <c r="A470" t="inlineStr">
        <is>
          <t>A 1452-2026</t>
        </is>
      </c>
      <c r="B470" t="inlineStr">
        <is>
          <t>avverkningsanmälan</t>
        </is>
      </c>
      <c r="C470" t="inlineStr">
        <is>
          <t>Föryngringsavverkning</t>
        </is>
      </c>
      <c r="D470" s="1" t="n">
        <v>46033</v>
      </c>
      <c r="E470" s="1" t="n">
        <v>46319</v>
      </c>
      <c r="F470" t="inlineStr">
        <is>
          <t>DALARNAS LÄN</t>
        </is>
      </c>
      <c r="G470" t="inlineStr">
        <is>
          <t>HEDEMORA</t>
        </is>
      </c>
      <c r="I470" t="n">
        <v>11.1</v>
      </c>
      <c r="J470" t="n">
        <v>3</v>
      </c>
      <c r="K470" t="n">
        <v>2</v>
      </c>
      <c r="L470" t="n">
        <v>1</v>
      </c>
      <c r="M470" t="n">
        <v>1</v>
      </c>
      <c r="N470" t="n">
        <v>0</v>
      </c>
      <c r="O470" t="n">
        <v>0</v>
      </c>
      <c r="P470" t="n">
        <v>0</v>
      </c>
      <c r="Q470" t="n">
        <v>2</v>
      </c>
      <c r="R470" t="n">
        <v>1</v>
      </c>
      <c r="S470" t="n">
        <v>6</v>
      </c>
      <c r="T470" t="n">
        <v>18</v>
      </c>
      <c r="U470" t="n">
        <v>0</v>
      </c>
      <c r="V470" s="2" t="inlineStr">
        <is>
          <t>Knärot
Dropptaggsvamp
Blomkålssvamp
Gullgröppa
Tjäder
Slaguggla</t>
        </is>
      </c>
      <c r="W470">
        <f>HYPERLINK("https://klasma.github.io/Logging_2083/artfynd/A 1452-2026 artfynd.xlsx", "A 1452-2026")</f>
        <v/>
      </c>
      <c r="X470">
        <f>HYPERLINK("https://klasma.github.io/Logging_2083/kartor/A 1452-2026 karta.png", "A 1452-2026")</f>
        <v/>
      </c>
      <c r="Y470">
        <f>HYPERLINK("https://klasma.github.io/Logging_2083/kartor_geotiff/A 1452-2026 georefererad karta.tif", "A 1452-2026")</f>
        <v/>
      </c>
      <c r="Z470">
        <f>HYPERLINK("https://klasma.github.io/Logging_2083/knärot/A 1452-2026 karta knärot.png", "A 1452-2026")</f>
        <v/>
      </c>
      <c r="AA470">
        <f>HYPERLINK("https://klasma.github.io/Logging_2083/klagomål/A 1452-2026 FSC-klagomål.docx", "A 1452-2026")</f>
        <v/>
      </c>
      <c r="AB470">
        <f>HYPERLINK("https://klasma.github.io/Logging_2083/klagomålsmail/A 1452-2026 FSC-klagomål mail.docx", "A 1452-2026")</f>
        <v/>
      </c>
      <c r="AC470">
        <f>HYPERLINK("https://klasma.github.io/Logging_2083/tillsyn/A 1452-2026 tillsynsbegäran.docx", "A 1452-2026")</f>
        <v/>
      </c>
      <c r="AD470">
        <f>HYPERLINK("https://klasma.github.io/Logging_2083/tillsynsmail/A 1452-2026 tillsynsbegäran mail.docx", "A 1452-2026")</f>
        <v/>
      </c>
      <c r="AE470">
        <f>HYPERLINK("https://klasma.github.io/Logging_2083/fåglar/A 1452-2026 prioriterade fågelarter.docx", "A 1452-2026")</f>
        <v/>
      </c>
    </row>
    <row r="471" ht="15" customHeight="1">
      <c r="A471" t="inlineStr">
        <is>
          <t>A 25758-2025</t>
        </is>
      </c>
      <c r="B471" t="inlineStr">
        <is>
          <t>avverkningsanmälan</t>
        </is>
      </c>
      <c r="C471" t="inlineStr">
        <is>
          <t>Föryngringsavverkning</t>
        </is>
      </c>
      <c r="D471" s="1" t="n">
        <v>45804</v>
      </c>
      <c r="E471" s="1" t="n">
        <v>46319</v>
      </c>
      <c r="F471" t="inlineStr">
        <is>
          <t>DALARNAS LÄN</t>
        </is>
      </c>
      <c r="G471" t="inlineStr">
        <is>
          <t>ÄLVDALEN</t>
        </is>
      </c>
      <c r="H471" t="inlineStr">
        <is>
          <t>Kommuner</t>
        </is>
      </c>
      <c r="I471" t="n">
        <v>2.2</v>
      </c>
      <c r="J471" t="n">
        <v>2</v>
      </c>
      <c r="K471" t="n">
        <v>1</v>
      </c>
      <c r="L471" t="n">
        <v>3</v>
      </c>
      <c r="M471" t="n">
        <v>1</v>
      </c>
      <c r="N471" t="n">
        <v>0</v>
      </c>
      <c r="O471" t="n">
        <v>0</v>
      </c>
      <c r="P471" t="n">
        <v>0</v>
      </c>
      <c r="Q471" t="n">
        <v>4</v>
      </c>
      <c r="R471" t="n">
        <v>1</v>
      </c>
      <c r="S471" t="n">
        <v>6</v>
      </c>
      <c r="T471" t="n">
        <v>12</v>
      </c>
      <c r="U471" t="n">
        <v>12</v>
      </c>
      <c r="V471" s="2" t="inlineStr">
        <is>
          <t>Garnlav
Dropptaggsvamp
Rödvingetrast
Tallticka
Mindre märgborre
Spillkråka</t>
        </is>
      </c>
      <c r="W471">
        <f>HYPERLINK("https://klasma.github.io/Logging_2039/artfynd/A 25758-2025 artfynd.xlsx", "A 25758-2025")</f>
        <v/>
      </c>
      <c r="X471">
        <f>HYPERLINK("https://klasma.github.io/Logging_2039/kartor/A 25758-2025 karta.png", "A 25758-2025")</f>
        <v/>
      </c>
      <c r="Y471">
        <f>HYPERLINK("https://klasma.github.io/Logging_2039/kartor_geotiff/A 25758-2025 georefererad karta.tif", "A 25758-2025")</f>
        <v/>
      </c>
      <c r="AA471">
        <f>HYPERLINK("https://klasma.github.io/Logging_2039/klagomål/A 25758-2025 FSC-klagomål.docx", "A 25758-2025")</f>
        <v/>
      </c>
      <c r="AB471">
        <f>HYPERLINK("https://klasma.github.io/Logging_2039/klagomålsmail/A 25758-2025 FSC-klagomål mail.docx", "A 25758-2025")</f>
        <v/>
      </c>
      <c r="AC471">
        <f>HYPERLINK("https://klasma.github.io/Logging_2039/tillsyn/A 25758-2025 tillsynsbegäran.docx", "A 25758-2025")</f>
        <v/>
      </c>
      <c r="AD471">
        <f>HYPERLINK("https://klasma.github.io/Logging_2039/tillsynsmail/A 25758-2025 tillsynsbegäran mail.docx", "A 25758-2025")</f>
        <v/>
      </c>
      <c r="AE471">
        <f>HYPERLINK("https://klasma.github.io/Logging_2039/fåglar/A 25758-2025 prioriterade fågelarter.docx", "A 25758-2025")</f>
        <v/>
      </c>
    </row>
    <row r="472" ht="15" customHeight="1">
      <c r="A472" t="inlineStr">
        <is>
          <t>A 10693-2026</t>
        </is>
      </c>
      <c r="B472" t="inlineStr">
        <is>
          <t>avverkningsanmälan</t>
        </is>
      </c>
      <c r="C472" t="inlineStr">
        <is>
          <t>Föryngringsavverkning</t>
        </is>
      </c>
      <c r="D472" s="1" t="n">
        <v>46078</v>
      </c>
      <c r="E472" s="1" t="n">
        <v>46319</v>
      </c>
      <c r="F472" t="inlineStr">
        <is>
          <t>DALARNAS LÄN</t>
        </is>
      </c>
      <c r="G472" t="inlineStr">
        <is>
          <t>MORA</t>
        </is>
      </c>
      <c r="I472" t="n">
        <v>1.2</v>
      </c>
      <c r="J472" t="n">
        <v>2</v>
      </c>
      <c r="K472" t="n">
        <v>3</v>
      </c>
      <c r="L472" t="n">
        <v>1</v>
      </c>
      <c r="M472" t="n">
        <v>2</v>
      </c>
      <c r="N472" t="n">
        <v>0</v>
      </c>
      <c r="O472" t="n">
        <v>0</v>
      </c>
      <c r="P472" t="n">
        <v>0</v>
      </c>
      <c r="Q472" t="n">
        <v>3</v>
      </c>
      <c r="R472" t="n">
        <v>2</v>
      </c>
      <c r="S472" t="n">
        <v>6</v>
      </c>
      <c r="T472" t="n">
        <v>10</v>
      </c>
      <c r="U472" t="n">
        <v>10</v>
      </c>
      <c r="V472" s="2" t="inlineStr">
        <is>
          <t>Garnlav
Knärot
Tretåig hackspett
Bronshjon
Mindre märgborre
Nästlav</t>
        </is>
      </c>
      <c r="W472">
        <f>HYPERLINK("https://klasma.github.io/Logging_2062/artfynd/A 10693-2026 artfynd.xlsx", "A 10693-2026")</f>
        <v/>
      </c>
      <c r="X472">
        <f>HYPERLINK("https://klasma.github.io/Logging_2062/kartor/A 10693-2026 karta.png", "A 10693-2026")</f>
        <v/>
      </c>
      <c r="Y472">
        <f>HYPERLINK("https://klasma.github.io/Logging_2062/kartor_geotiff/A 10693-2026 georefererad karta.tif", "A 10693-2026")</f>
        <v/>
      </c>
      <c r="Z472">
        <f>HYPERLINK("https://klasma.github.io/Logging_2062/knärot/A 10693-2026 karta knärot.png", "A 10693-2026")</f>
        <v/>
      </c>
      <c r="AA472">
        <f>HYPERLINK("https://klasma.github.io/Logging_2062/klagomål/A 10693-2026 FSC-klagomål.docx", "A 10693-2026")</f>
        <v/>
      </c>
      <c r="AB472">
        <f>HYPERLINK("https://klasma.github.io/Logging_2062/klagomålsmail/A 10693-2026 FSC-klagomål mail.docx", "A 10693-2026")</f>
        <v/>
      </c>
      <c r="AC472">
        <f>HYPERLINK("https://klasma.github.io/Logging_2062/tillsyn/A 10693-2026 tillsynsbegäran.docx", "A 10693-2026")</f>
        <v/>
      </c>
      <c r="AD472">
        <f>HYPERLINK("https://klasma.github.io/Logging_2062/tillsynsmail/A 10693-2026 tillsynsbegäran mail.docx", "A 10693-2026")</f>
        <v/>
      </c>
      <c r="AE472">
        <f>HYPERLINK("https://klasma.github.io/Logging_2062/fåglar/A 10693-2026 prioriterade fågelarter.docx", "A 10693-2026")</f>
        <v/>
      </c>
    </row>
    <row r="473" ht="15" customHeight="1">
      <c r="A473" t="inlineStr">
        <is>
          <t>A 33638-2025</t>
        </is>
      </c>
      <c r="B473" t="inlineStr">
        <is>
          <t>avverkningsanmälan</t>
        </is>
      </c>
      <c r="C473" t="inlineStr">
        <is>
          <t>Föryngringsavverkning</t>
        </is>
      </c>
      <c r="D473" s="1" t="n">
        <v>45841</v>
      </c>
      <c r="E473" s="1" t="n">
        <v>46319</v>
      </c>
      <c r="F473" t="inlineStr">
        <is>
          <t>DALARNAS LÄN</t>
        </is>
      </c>
      <c r="G473" t="inlineStr">
        <is>
          <t>ÄLVDALEN</t>
        </is>
      </c>
      <c r="H473" t="inlineStr">
        <is>
          <t>Sveaskog</t>
        </is>
      </c>
      <c r="I473" t="n">
        <v>2.1</v>
      </c>
      <c r="J473" t="n">
        <v>0</v>
      </c>
      <c r="K473" t="n">
        <v>0</v>
      </c>
      <c r="L473" t="n">
        <v>5</v>
      </c>
      <c r="M473" t="n">
        <v>1</v>
      </c>
      <c r="N473" t="n">
        <v>0</v>
      </c>
      <c r="O473" t="n">
        <v>0</v>
      </c>
      <c r="P473" t="n">
        <v>0</v>
      </c>
      <c r="Q473" t="n">
        <v>6</v>
      </c>
      <c r="R473" t="n">
        <v>1</v>
      </c>
      <c r="S473" t="n">
        <v>6</v>
      </c>
      <c r="T473" t="n">
        <v>6</v>
      </c>
      <c r="U473" t="n">
        <v>1</v>
      </c>
      <c r="V473" s="2" t="inlineStr">
        <is>
          <t>Gräddporing
Blanksvart spiklav
Dropptaggsvamp
Dvärgbägarlav
Kolflarnlav
Mörk kolflarnlav</t>
        </is>
      </c>
      <c r="W473">
        <f>HYPERLINK("https://klasma.github.io/Logging_2039/artfynd/A 33638-2025 artfynd.xlsx", "A 33638-2025")</f>
        <v/>
      </c>
      <c r="X473">
        <f>HYPERLINK("https://klasma.github.io/Logging_2039/kartor/A 33638-2025 karta.png", "A 33638-2025")</f>
        <v/>
      </c>
      <c r="Y473">
        <f>HYPERLINK("https://klasma.github.io/Logging_2039/kartor_geotiff/A 33638-2025 georefererad karta.tif", "A 33638-2025")</f>
        <v/>
      </c>
      <c r="AA473">
        <f>HYPERLINK("https://klasma.github.io/Logging_2039/klagomål/A 33638-2025 FSC-klagomål.docx", "A 33638-2025")</f>
        <v/>
      </c>
      <c r="AB473">
        <f>HYPERLINK("https://klasma.github.io/Logging_2039/klagomålsmail/A 33638-2025 FSC-klagomål mail.docx", "A 33638-2025")</f>
        <v/>
      </c>
      <c r="AC473">
        <f>HYPERLINK("https://klasma.github.io/Logging_2039/tillsyn/A 33638-2025 tillsynsbegäran.docx", "A 33638-2025")</f>
        <v/>
      </c>
      <c r="AD473">
        <f>HYPERLINK("https://klasma.github.io/Logging_2039/tillsynsmail/A 33638-2025 tillsynsbegäran mail.docx", "A 33638-2025")</f>
        <v/>
      </c>
    </row>
    <row r="474" ht="15" customHeight="1">
      <c r="A474" t="inlineStr">
        <is>
          <t>A 14308-2026</t>
        </is>
      </c>
      <c r="B474" t="inlineStr">
        <is>
          <t>avverkningsanmälan</t>
        </is>
      </c>
      <c r="C474" t="inlineStr">
        <is>
          <t>Föryngringsavverkning</t>
        </is>
      </c>
      <c r="D474" s="1" t="n">
        <v>46099</v>
      </c>
      <c r="E474" s="1" t="n">
        <v>46319</v>
      </c>
      <c r="F474" t="inlineStr">
        <is>
          <t>DALARNAS LÄN</t>
        </is>
      </c>
      <c r="G474" t="inlineStr">
        <is>
          <t>FALUN</t>
        </is>
      </c>
      <c r="H474" t="inlineStr">
        <is>
          <t>Bergvik skog väst AB</t>
        </is>
      </c>
      <c r="I474" t="n">
        <v>44.5</v>
      </c>
      <c r="J474" t="n">
        <v>4</v>
      </c>
      <c r="K474" t="n">
        <v>1</v>
      </c>
      <c r="L474" t="n">
        <v>1</v>
      </c>
      <c r="M474" t="n">
        <v>1</v>
      </c>
      <c r="N474" t="n">
        <v>0</v>
      </c>
      <c r="O474" t="n">
        <v>0</v>
      </c>
      <c r="P474" t="n">
        <v>0</v>
      </c>
      <c r="Q474" t="n">
        <v>2</v>
      </c>
      <c r="R474" t="n">
        <v>1</v>
      </c>
      <c r="S474" t="n">
        <v>6</v>
      </c>
      <c r="T474" t="n">
        <v>8</v>
      </c>
      <c r="U474" t="n">
        <v>0</v>
      </c>
      <c r="V474" s="2" t="inlineStr">
        <is>
          <t>Garnlav
Kungsörn
Mindre märgborre
Järpe
Spillkråka
Tjäder</t>
        </is>
      </c>
      <c r="W474">
        <f>HYPERLINK("https://klasma.github.io/Logging_2080/artfynd/A 14308-2026 artfynd.xlsx", "A 14308-2026")</f>
        <v/>
      </c>
      <c r="X474">
        <f>HYPERLINK("https://klasma.github.io/Logging_2080/kartor/A 14308-2026 karta.png", "A 14308-2026")</f>
        <v/>
      </c>
      <c r="Y474">
        <f>HYPERLINK("https://klasma.github.io/Logging_2080/kartor_geotiff/A 14308-2026 georefererad karta.tif", "A 14308-2026")</f>
        <v/>
      </c>
      <c r="AA474">
        <f>HYPERLINK("https://klasma.github.io/Logging_2080/klagomål/A 14308-2026 FSC-klagomål.docx", "A 14308-2026")</f>
        <v/>
      </c>
      <c r="AB474">
        <f>HYPERLINK("https://klasma.github.io/Logging_2080/klagomålsmail/A 14308-2026 FSC-klagomål mail.docx", "A 14308-2026")</f>
        <v/>
      </c>
      <c r="AC474">
        <f>HYPERLINK("https://klasma.github.io/Logging_2080/tillsyn/A 14308-2026 tillsynsbegäran.docx", "A 14308-2026")</f>
        <v/>
      </c>
      <c r="AD474">
        <f>HYPERLINK("https://klasma.github.io/Logging_2080/tillsynsmail/A 14308-2026 tillsynsbegäran mail.docx", "A 14308-2026")</f>
        <v/>
      </c>
      <c r="AE474">
        <f>HYPERLINK("https://klasma.github.io/Logging_2080/fåglar/A 14308-2026 prioriterade fågelarter.docx", "A 14308-2026")</f>
        <v/>
      </c>
    </row>
    <row r="475" ht="15" customHeight="1">
      <c r="A475" t="inlineStr">
        <is>
          <t>A 33885-2025</t>
        </is>
      </c>
      <c r="B475" t="inlineStr">
        <is>
          <t>avverkningsanmälan</t>
        </is>
      </c>
      <c r="C475" t="inlineStr">
        <is>
          <t>Föryngringsavverkning</t>
        </is>
      </c>
      <c r="D475" s="1" t="n">
        <v>45842</v>
      </c>
      <c r="E475" s="1" t="n">
        <v>46319</v>
      </c>
      <c r="F475" t="inlineStr">
        <is>
          <t>DALARNAS LÄN</t>
        </is>
      </c>
      <c r="G475" t="inlineStr">
        <is>
          <t>LUDVIKA</t>
        </is>
      </c>
      <c r="H475" t="inlineStr">
        <is>
          <t>Bergvik skog väst AB</t>
        </is>
      </c>
      <c r="I475" t="n">
        <v>2.6</v>
      </c>
      <c r="J475" t="n">
        <v>2</v>
      </c>
      <c r="K475" t="n">
        <v>1</v>
      </c>
      <c r="L475" t="n">
        <v>2</v>
      </c>
      <c r="M475" t="n">
        <v>2</v>
      </c>
      <c r="N475" t="n">
        <v>0</v>
      </c>
      <c r="O475" t="n">
        <v>0</v>
      </c>
      <c r="P475" t="n">
        <v>0</v>
      </c>
      <c r="Q475" t="n">
        <v>4</v>
      </c>
      <c r="R475" t="n">
        <v>2</v>
      </c>
      <c r="S475" t="n">
        <v>6</v>
      </c>
      <c r="T475" t="n">
        <v>10</v>
      </c>
      <c r="U475" t="n">
        <v>10</v>
      </c>
      <c r="V475" s="2" t="inlineStr">
        <is>
          <t>Garnlav
Knärot
Dropptaggsvamp
Ullticka
Nästlav
Tjäder</t>
        </is>
      </c>
      <c r="W475">
        <f>HYPERLINK("https://klasma.github.io/Logging_2085/artfynd/A 33885-2025 artfynd.xlsx", "A 33885-2025")</f>
        <v/>
      </c>
      <c r="X475">
        <f>HYPERLINK("https://klasma.github.io/Logging_2085/kartor/A 33885-2025 karta.png", "A 33885-2025")</f>
        <v/>
      </c>
      <c r="Y475">
        <f>HYPERLINK("https://klasma.github.io/Logging_2085/kartor_geotiff/A 33885-2025 georefererad karta.tif", "A 33885-2025")</f>
        <v/>
      </c>
      <c r="Z475">
        <f>HYPERLINK("https://klasma.github.io/Logging_2085/knärot/A 33885-2025 karta knärot.png", "A 33885-2025")</f>
        <v/>
      </c>
      <c r="AA475">
        <f>HYPERLINK("https://klasma.github.io/Logging_2085/klagomål/A 33885-2025 FSC-klagomål.docx", "A 33885-2025")</f>
        <v/>
      </c>
      <c r="AB475">
        <f>HYPERLINK("https://klasma.github.io/Logging_2085/klagomålsmail/A 33885-2025 FSC-klagomål mail.docx", "A 33885-2025")</f>
        <v/>
      </c>
      <c r="AC475">
        <f>HYPERLINK("https://klasma.github.io/Logging_2085/tillsyn/A 33885-2025 tillsynsbegäran.docx", "A 33885-2025")</f>
        <v/>
      </c>
      <c r="AD475">
        <f>HYPERLINK("https://klasma.github.io/Logging_2085/tillsynsmail/A 33885-2025 tillsynsbegäran mail.docx", "A 33885-2025")</f>
        <v/>
      </c>
      <c r="AE475">
        <f>HYPERLINK("https://klasma.github.io/Logging_2085/fåglar/A 33885-2025 prioriterade fågelarter.docx", "A 33885-2025")</f>
        <v/>
      </c>
    </row>
    <row r="476" ht="15" customHeight="1">
      <c r="A476" t="inlineStr">
        <is>
          <t>A 30176-2024</t>
        </is>
      </c>
      <c r="B476" t="inlineStr">
        <is>
          <t>avverkningsanmälan</t>
        </is>
      </c>
      <c r="C476" t="inlineStr">
        <is>
          <t>Föryngringsavverkning</t>
        </is>
      </c>
      <c r="D476" s="1" t="n">
        <v>45489</v>
      </c>
      <c r="E476" s="1" t="n">
        <v>46319</v>
      </c>
      <c r="F476" t="inlineStr">
        <is>
          <t>DALARNAS LÄN</t>
        </is>
      </c>
      <c r="G476" t="inlineStr">
        <is>
          <t>LEKSAND</t>
        </is>
      </c>
      <c r="I476" t="n">
        <v>15.1</v>
      </c>
      <c r="J476" t="n">
        <v>0</v>
      </c>
      <c r="K476" t="n">
        <v>3</v>
      </c>
      <c r="L476" t="n">
        <v>3</v>
      </c>
      <c r="M476" t="n">
        <v>0</v>
      </c>
      <c r="N476" t="n">
        <v>0</v>
      </c>
      <c r="O476" t="n">
        <v>0</v>
      </c>
      <c r="P476" t="n">
        <v>0</v>
      </c>
      <c r="Q476" t="n">
        <v>3</v>
      </c>
      <c r="R476" t="n">
        <v>0</v>
      </c>
      <c r="S476" t="n">
        <v>6</v>
      </c>
      <c r="T476" t="n">
        <v>16</v>
      </c>
      <c r="U476" t="n">
        <v>0</v>
      </c>
      <c r="V476" s="2" t="inlineStr">
        <is>
          <t>Dropptaggsvamp
Kolflarnlav
Vedskivlav
Mindre märgborre
Rävticka
Skinnlav</t>
        </is>
      </c>
      <c r="W476">
        <f>HYPERLINK("https://klasma.github.io/Logging_2029/artfynd/A 30176-2024 artfynd.xlsx", "A 30176-2024")</f>
        <v/>
      </c>
      <c r="X476">
        <f>HYPERLINK("https://klasma.github.io/Logging_2029/kartor/A 30176-2024 karta.png", "A 30176-2024")</f>
        <v/>
      </c>
      <c r="Y476">
        <f>HYPERLINK("https://klasma.github.io/Logging_2029/kartor_geotiff/A 30176-2024 georefererad karta.tif", "A 30176-2024")</f>
        <v/>
      </c>
      <c r="AA476">
        <f>HYPERLINK("https://klasma.github.io/Logging_2029/klagomål/A 30176-2024 FSC-klagomål.docx", "A 30176-2024")</f>
        <v/>
      </c>
      <c r="AB476">
        <f>HYPERLINK("https://klasma.github.io/Logging_2029/klagomålsmail/A 30176-2024 FSC-klagomål mail.docx", "A 30176-2024")</f>
        <v/>
      </c>
      <c r="AC476">
        <f>HYPERLINK("https://klasma.github.io/Logging_2029/tillsyn/A 30176-2024 tillsynsbegäran.docx", "A 30176-2024")</f>
        <v/>
      </c>
      <c r="AD476">
        <f>HYPERLINK("https://klasma.github.io/Logging_2029/tillsynsmail/A 30176-2024 tillsynsbegäran mail.docx", "A 30176-2024")</f>
        <v/>
      </c>
    </row>
    <row r="477" ht="15" customHeight="1">
      <c r="A477" t="inlineStr">
        <is>
          <t>A 15164-2026</t>
        </is>
      </c>
      <c r="B477" t="inlineStr">
        <is>
          <t>avverkningsanmälan</t>
        </is>
      </c>
      <c r="C477" t="inlineStr">
        <is>
          <t>Föryngringsavverkning</t>
        </is>
      </c>
      <c r="D477" s="1" t="n">
        <v>46105</v>
      </c>
      <c r="E477" s="1" t="n">
        <v>46319</v>
      </c>
      <c r="F477" t="inlineStr">
        <is>
          <t>DALARNAS LÄN</t>
        </is>
      </c>
      <c r="G477" t="inlineStr">
        <is>
          <t>RÄTTVIK</t>
        </is>
      </c>
      <c r="H477" t="inlineStr">
        <is>
          <t>Bergvik skog väst AB</t>
        </is>
      </c>
      <c r="I477" t="n">
        <v>15.9</v>
      </c>
      <c r="J477" t="n">
        <v>5</v>
      </c>
      <c r="K477" t="n">
        <v>1</v>
      </c>
      <c r="L477" t="n">
        <v>1</v>
      </c>
      <c r="M477" t="n">
        <v>0</v>
      </c>
      <c r="N477" t="n">
        <v>0</v>
      </c>
      <c r="O477" t="n">
        <v>0</v>
      </c>
      <c r="P477" t="n">
        <v>0</v>
      </c>
      <c r="Q477" t="n">
        <v>1</v>
      </c>
      <c r="R477" t="n">
        <v>0</v>
      </c>
      <c r="S477" t="n">
        <v>6</v>
      </c>
      <c r="T477" t="n">
        <v>20</v>
      </c>
      <c r="U477" t="n">
        <v>19</v>
      </c>
      <c r="V477" s="2" t="inlineStr">
        <is>
          <t>Brunklöver
Tvåblad
Fläcknycklar
Nattviol
Vanliga ängsnycklar
Ängsnycklar</t>
        </is>
      </c>
      <c r="W477">
        <f>HYPERLINK("https://klasma.github.io/Logging_2031/artfynd/A 15164-2026 artfynd.xlsx", "A 15164-2026")</f>
        <v/>
      </c>
      <c r="X477">
        <f>HYPERLINK("https://klasma.github.io/Logging_2031/kartor/A 15164-2026 karta.png", "A 15164-2026")</f>
        <v/>
      </c>
      <c r="Y477">
        <f>HYPERLINK("https://klasma.github.io/Logging_2031/kartor_geotiff/A 15164-2026 georefererad karta.tif", "A 15164-2026")</f>
        <v/>
      </c>
      <c r="AA477">
        <f>HYPERLINK("https://klasma.github.io/Logging_2031/klagomål/A 15164-2026 FSC-klagomål.docx", "A 15164-2026")</f>
        <v/>
      </c>
      <c r="AB477">
        <f>HYPERLINK("https://klasma.github.io/Logging_2031/klagomålsmail/A 15164-2026 FSC-klagomål mail.docx", "A 15164-2026")</f>
        <v/>
      </c>
      <c r="AC477">
        <f>HYPERLINK("https://klasma.github.io/Logging_2031/tillsyn/A 15164-2026 tillsynsbegäran.docx", "A 15164-2026")</f>
        <v/>
      </c>
      <c r="AD477">
        <f>HYPERLINK("https://klasma.github.io/Logging_2031/tillsynsmail/A 15164-2026 tillsynsbegäran mail.docx", "A 15164-2026")</f>
        <v/>
      </c>
    </row>
    <row r="478" ht="15" customHeight="1">
      <c r="A478" t="inlineStr">
        <is>
          <t>A 33622-2026</t>
        </is>
      </c>
      <c r="B478" t="inlineStr">
        <is>
          <t>avverkningsanmälan</t>
        </is>
      </c>
      <c r="C478" t="inlineStr">
        <is>
          <t>Föryngringsavverkning</t>
        </is>
      </c>
      <c r="D478" s="1" t="n">
        <v>46248</v>
      </c>
      <c r="E478" s="1" t="n">
        <v>46319</v>
      </c>
      <c r="F478" t="inlineStr">
        <is>
          <t>DALARNAS LÄN</t>
        </is>
      </c>
      <c r="G478" t="inlineStr">
        <is>
          <t>MORA</t>
        </is>
      </c>
      <c r="I478" t="n">
        <v>1</v>
      </c>
      <c r="J478" t="n">
        <v>2</v>
      </c>
      <c r="K478" t="n">
        <v>1</v>
      </c>
      <c r="L478" t="n">
        <v>3</v>
      </c>
      <c r="M478" t="n">
        <v>1</v>
      </c>
      <c r="N478" t="n">
        <v>0</v>
      </c>
      <c r="O478" t="n">
        <v>0</v>
      </c>
      <c r="P478" t="n">
        <v>0</v>
      </c>
      <c r="Q478" t="n">
        <v>4</v>
      </c>
      <c r="R478" t="n">
        <v>1</v>
      </c>
      <c r="S478" t="n">
        <v>6</v>
      </c>
      <c r="T478" t="n">
        <v>23</v>
      </c>
      <c r="U478" t="n">
        <v>0</v>
      </c>
      <c r="V478" s="2" t="inlineStr">
        <is>
          <t>Garnlav
Tretåig hackspett
Vedflamlav
Vedskivlav
Mindre märgborre
Spillkråka</t>
        </is>
      </c>
      <c r="W478">
        <f>HYPERLINK("https://klasma.github.io/Logging_2062/artfynd/A 33622-2026 artfynd.xlsx", "A 33622-2026")</f>
        <v/>
      </c>
      <c r="X478">
        <f>HYPERLINK("https://klasma.github.io/Logging_2062/kartor/A 33622-2026 karta.png", "A 33622-2026")</f>
        <v/>
      </c>
      <c r="Y478">
        <f>HYPERLINK("https://klasma.github.io/Logging_2062/kartor_geotiff/A 33622-2026 georefererad karta.tif", "A 33622-2026")</f>
        <v/>
      </c>
      <c r="AA478">
        <f>HYPERLINK("https://klasma.github.io/Logging_2062/klagomål/A 33622-2026 FSC-klagomål.docx", "A 33622-2026")</f>
        <v/>
      </c>
      <c r="AB478">
        <f>HYPERLINK("https://klasma.github.io/Logging_2062/klagomålsmail/A 33622-2026 FSC-klagomål mail.docx", "A 33622-2026")</f>
        <v/>
      </c>
      <c r="AC478">
        <f>HYPERLINK("https://klasma.github.io/Logging_2062/tillsyn/A 33622-2026 tillsynsbegäran.docx", "A 33622-2026")</f>
        <v/>
      </c>
      <c r="AD478">
        <f>HYPERLINK("https://klasma.github.io/Logging_2062/tillsynsmail/A 33622-2026 tillsynsbegäran mail.docx", "A 33622-2026")</f>
        <v/>
      </c>
      <c r="AE478">
        <f>HYPERLINK("https://klasma.github.io/Logging_2062/fåglar/A 33622-2026 prioriterade fågelarter.docx", "A 33622-2026")</f>
        <v/>
      </c>
    </row>
    <row r="479" ht="15" customHeight="1">
      <c r="A479" t="inlineStr">
        <is>
          <t>A 19410-2023</t>
        </is>
      </c>
      <c r="B479" t="inlineStr">
        <is>
          <t>avverkningsanmälan</t>
        </is>
      </c>
      <c r="C479" t="inlineStr">
        <is>
          <t>Föryngringsavverkning</t>
        </is>
      </c>
      <c r="D479" s="1" t="n">
        <v>45049</v>
      </c>
      <c r="E479" s="1" t="n">
        <v>46319</v>
      </c>
      <c r="F479" t="inlineStr">
        <is>
          <t>DALARNAS LÄN</t>
        </is>
      </c>
      <c r="G479" t="inlineStr">
        <is>
          <t>SMEDJEBACKEN</t>
        </is>
      </c>
      <c r="H479" t="inlineStr">
        <is>
          <t>Övriga Aktiebolag</t>
        </is>
      </c>
      <c r="I479" t="n">
        <v>12.2</v>
      </c>
      <c r="J479" t="n">
        <v>5</v>
      </c>
      <c r="K479" t="n">
        <v>1</v>
      </c>
      <c r="L479" t="n">
        <v>1</v>
      </c>
      <c r="M479" t="n">
        <v>1</v>
      </c>
      <c r="N479" t="n">
        <v>0</v>
      </c>
      <c r="O479" t="n">
        <v>0</v>
      </c>
      <c r="P479" t="n">
        <v>0</v>
      </c>
      <c r="Q479" t="n">
        <v>2</v>
      </c>
      <c r="R479" t="n">
        <v>1</v>
      </c>
      <c r="S479" t="n">
        <v>6</v>
      </c>
      <c r="T479" t="n">
        <v>10</v>
      </c>
      <c r="U479" t="n">
        <v>10</v>
      </c>
      <c r="V479" s="2" t="inlineStr">
        <is>
          <t>Knärot
Talltita
Bollvitmossa
Tofsmes
Orre
Revlummer</t>
        </is>
      </c>
      <c r="W479">
        <f>HYPERLINK("https://klasma.github.io/Logging_2061/artfynd/A 19410-2023 artfynd.xlsx", "A 19410-2023")</f>
        <v/>
      </c>
      <c r="X479">
        <f>HYPERLINK("https://klasma.github.io/Logging_2061/kartor/A 19410-2023 karta.png", "A 19410-2023")</f>
        <v/>
      </c>
      <c r="Y479">
        <f>HYPERLINK("https://klasma.github.io/Logging_2061/kartor_geotiff/A 19410-2023 georefererad karta.tif", "A 19410-2023")</f>
        <v/>
      </c>
      <c r="Z479">
        <f>HYPERLINK("https://klasma.github.io/Logging_2061/knärot/A 19410-2023 karta knärot.png", "A 19410-2023")</f>
        <v/>
      </c>
      <c r="AA479">
        <f>HYPERLINK("https://klasma.github.io/Logging_2061/klagomål/A 19410-2023 FSC-klagomål.docx", "A 19410-2023")</f>
        <v/>
      </c>
      <c r="AB479">
        <f>HYPERLINK("https://klasma.github.io/Logging_2061/klagomålsmail/A 19410-2023 FSC-klagomål mail.docx", "A 19410-2023")</f>
        <v/>
      </c>
      <c r="AC479">
        <f>HYPERLINK("https://klasma.github.io/Logging_2061/tillsyn/A 19410-2023 tillsynsbegäran.docx", "A 19410-2023")</f>
        <v/>
      </c>
      <c r="AD479">
        <f>HYPERLINK("https://klasma.github.io/Logging_2061/tillsynsmail/A 19410-2023 tillsynsbegäran mail.docx", "A 19410-2023")</f>
        <v/>
      </c>
      <c r="AE479">
        <f>HYPERLINK("https://klasma.github.io/Logging_2061/fåglar/A 19410-2023 prioriterade fågelarter.docx", "A 19410-2023")</f>
        <v/>
      </c>
    </row>
    <row r="480" ht="15" customHeight="1">
      <c r="A480" t="inlineStr">
        <is>
          <t>A 61983-2022</t>
        </is>
      </c>
      <c r="B480" t="inlineStr">
        <is>
          <t>avverkningsanmälan</t>
        </is>
      </c>
      <c r="C480" t="inlineStr">
        <is>
          <t>Föryngringsavverkning</t>
        </is>
      </c>
      <c r="D480" s="1" t="n">
        <v>44918</v>
      </c>
      <c r="E480" s="1" t="n">
        <v>46319</v>
      </c>
      <c r="F480" t="inlineStr">
        <is>
          <t>DALARNAS LÄN</t>
        </is>
      </c>
      <c r="G480" t="inlineStr">
        <is>
          <t>RÄTTVIK</t>
        </is>
      </c>
      <c r="H480" t="inlineStr">
        <is>
          <t>Sveaskog</t>
        </is>
      </c>
      <c r="I480" t="n">
        <v>1.1</v>
      </c>
      <c r="J480" t="n">
        <v>1</v>
      </c>
      <c r="K480" t="n">
        <v>1</v>
      </c>
      <c r="L480" t="n">
        <v>3</v>
      </c>
      <c r="M480" t="n">
        <v>1</v>
      </c>
      <c r="N480" t="n">
        <v>0</v>
      </c>
      <c r="O480" t="n">
        <v>0</v>
      </c>
      <c r="P480" t="n">
        <v>0</v>
      </c>
      <c r="Q480" t="n">
        <v>4</v>
      </c>
      <c r="R480" t="n">
        <v>1</v>
      </c>
      <c r="S480" t="n">
        <v>6</v>
      </c>
      <c r="T480" t="n">
        <v>9</v>
      </c>
      <c r="U480" t="n">
        <v>1</v>
      </c>
      <c r="V480" s="2" t="inlineStr">
        <is>
          <t>Garnlav
Dropptaggsvamp
Dvärgbägarlav
Lunglav
Bronshjon
Tjäder</t>
        </is>
      </c>
      <c r="W480">
        <f>HYPERLINK("https://klasma.github.io/Logging_2031/artfynd/A 61983-2022 artfynd.xlsx", "A 61983-2022")</f>
        <v/>
      </c>
      <c r="X480">
        <f>HYPERLINK("https://klasma.github.io/Logging_2031/kartor/A 61983-2022 karta.png", "A 61983-2022")</f>
        <v/>
      </c>
      <c r="Y480">
        <f>HYPERLINK("https://klasma.github.io/Logging_2031/kartor_geotiff/A 61983-2022 georefererad karta.tif", "A 61983-2022")</f>
        <v/>
      </c>
      <c r="AA480">
        <f>HYPERLINK("https://klasma.github.io/Logging_2031/klagomål/A 61983-2022 FSC-klagomål.docx", "A 61983-2022")</f>
        <v/>
      </c>
      <c r="AB480">
        <f>HYPERLINK("https://klasma.github.io/Logging_2031/klagomålsmail/A 61983-2022 FSC-klagomål mail.docx", "A 61983-2022")</f>
        <v/>
      </c>
      <c r="AC480">
        <f>HYPERLINK("https://klasma.github.io/Logging_2031/tillsyn/A 61983-2022 tillsynsbegäran.docx", "A 61983-2022")</f>
        <v/>
      </c>
      <c r="AD480">
        <f>HYPERLINK("https://klasma.github.io/Logging_2031/tillsynsmail/A 61983-2022 tillsynsbegäran mail.docx", "A 61983-2022")</f>
        <v/>
      </c>
      <c r="AE480">
        <f>HYPERLINK("https://klasma.github.io/Logging_2031/fåglar/A 61983-2022 prioriterade fågelarter.docx", "A 61983-2022")</f>
        <v/>
      </c>
    </row>
    <row r="481" ht="15" customHeight="1">
      <c r="A481" t="inlineStr">
        <is>
          <t>A 19686-2026</t>
        </is>
      </c>
      <c r="B481" t="inlineStr">
        <is>
          <t>avverkningsanmälan</t>
        </is>
      </c>
      <c r="C481" t="inlineStr">
        <is>
          <t>Föryngringsavverkning</t>
        </is>
      </c>
      <c r="D481" s="1" t="n">
        <v>46134</v>
      </c>
      <c r="E481" s="1" t="n">
        <v>46319</v>
      </c>
      <c r="F481" t="inlineStr">
        <is>
          <t>DALARNAS LÄN</t>
        </is>
      </c>
      <c r="G481" t="inlineStr">
        <is>
          <t>ÄLVDALEN</t>
        </is>
      </c>
      <c r="I481" t="n">
        <v>5.1</v>
      </c>
      <c r="J481" t="n">
        <v>3</v>
      </c>
      <c r="K481" t="n">
        <v>1</v>
      </c>
      <c r="L481" t="n">
        <v>2</v>
      </c>
      <c r="M481" t="n">
        <v>1</v>
      </c>
      <c r="N481" t="n">
        <v>0</v>
      </c>
      <c r="O481" t="n">
        <v>0</v>
      </c>
      <c r="P481" t="n">
        <v>0</v>
      </c>
      <c r="Q481" t="n">
        <v>3</v>
      </c>
      <c r="R481" t="n">
        <v>1</v>
      </c>
      <c r="S481" t="n">
        <v>6</v>
      </c>
      <c r="T481" t="n">
        <v>11</v>
      </c>
      <c r="U481" t="n">
        <v>10</v>
      </c>
      <c r="V481" s="2" t="inlineStr">
        <is>
          <t>Garnlav
Talltita
Älg
Mindre märgborre
Spillkråka
Revlummer</t>
        </is>
      </c>
      <c r="W481">
        <f>HYPERLINK("https://klasma.github.io/Logging_2039/artfynd/A 19686-2026 artfynd.xlsx", "A 19686-2026")</f>
        <v/>
      </c>
      <c r="X481">
        <f>HYPERLINK("https://klasma.github.io/Logging_2039/kartor/A 19686-2026 karta.png", "A 19686-2026")</f>
        <v/>
      </c>
      <c r="Y481">
        <f>HYPERLINK("https://klasma.github.io/Logging_2039/kartor_geotiff/A 19686-2026 georefererad karta.tif", "A 19686-2026")</f>
        <v/>
      </c>
      <c r="AA481">
        <f>HYPERLINK("https://klasma.github.io/Logging_2039/klagomål/A 19686-2026 FSC-klagomål.docx", "A 19686-2026")</f>
        <v/>
      </c>
      <c r="AB481">
        <f>HYPERLINK("https://klasma.github.io/Logging_2039/klagomålsmail/A 19686-2026 FSC-klagomål mail.docx", "A 19686-2026")</f>
        <v/>
      </c>
      <c r="AC481">
        <f>HYPERLINK("https://klasma.github.io/Logging_2039/tillsyn/A 19686-2026 tillsynsbegäran.docx", "A 19686-2026")</f>
        <v/>
      </c>
      <c r="AD481">
        <f>HYPERLINK("https://klasma.github.io/Logging_2039/tillsynsmail/A 19686-2026 tillsynsbegäran mail.docx", "A 19686-2026")</f>
        <v/>
      </c>
      <c r="AE481">
        <f>HYPERLINK("https://klasma.github.io/Logging_2039/fåglar/A 19686-2026 prioriterade fågelarter.docx", "A 19686-2026")</f>
        <v/>
      </c>
    </row>
    <row r="482" ht="15" customHeight="1">
      <c r="A482" t="inlineStr">
        <is>
          <t>A 42880-2026</t>
        </is>
      </c>
      <c r="B482" t="inlineStr">
        <is>
          <t>avverkningsanmälan</t>
        </is>
      </c>
      <c r="C482" t="inlineStr">
        <is>
          <t>Föryngringsavverkning</t>
        </is>
      </c>
      <c r="D482" s="1" t="n">
        <v>46310</v>
      </c>
      <c r="E482" s="1" t="n">
        <v>46319</v>
      </c>
      <c r="F482" t="inlineStr">
        <is>
          <t>DALARNAS LÄN</t>
        </is>
      </c>
      <c r="G482" t="inlineStr">
        <is>
          <t>GAGNEF</t>
        </is>
      </c>
      <c r="I482" t="n">
        <v>4.8</v>
      </c>
      <c r="J482" t="n">
        <v>4</v>
      </c>
      <c r="K482" t="n">
        <v>1</v>
      </c>
      <c r="L482" t="n">
        <v>2</v>
      </c>
      <c r="M482" t="n">
        <v>2</v>
      </c>
      <c r="N482" t="n">
        <v>0</v>
      </c>
      <c r="O482" t="n">
        <v>0</v>
      </c>
      <c r="P482" t="n">
        <v>0</v>
      </c>
      <c r="Q482" t="n">
        <v>4</v>
      </c>
      <c r="R482" t="n">
        <v>2</v>
      </c>
      <c r="S482" t="n">
        <v>6</v>
      </c>
      <c r="T482" t="n">
        <v>31</v>
      </c>
      <c r="U482" t="n">
        <v>12</v>
      </c>
      <c r="V482" s="2" t="inlineStr">
        <is>
          <t>Garnlav
Knärot
Dropptaggsvamp
Tretåig hackspett
Plattlummer
Spillkråka</t>
        </is>
      </c>
      <c r="W482">
        <f>HYPERLINK("https://klasma.github.io/Logging_2026/artfynd/A 42880-2026 artfynd.xlsx", "A 42880-2026")</f>
        <v/>
      </c>
      <c r="X482">
        <f>HYPERLINK("https://klasma.github.io/Logging_2026/kartor/A 42880-2026 karta.png", "A 42880-2026")</f>
        <v/>
      </c>
      <c r="Y482">
        <f>HYPERLINK("https://klasma.github.io/Logging_2026/kartor_geotiff/A 42880-2026 georefererad karta.tif", "A 42880-2026")</f>
        <v/>
      </c>
      <c r="Z482">
        <f>HYPERLINK("https://klasma.github.io/Logging_2026/knärot/A 42880-2026 karta knärot.png", "A 42880-2026")</f>
        <v/>
      </c>
      <c r="AA482">
        <f>HYPERLINK("https://klasma.github.io/Logging_2026/klagomål/A 42880-2026 FSC-klagomål.docx", "A 42880-2026")</f>
        <v/>
      </c>
      <c r="AB482">
        <f>HYPERLINK("https://klasma.github.io/Logging_2026/klagomålsmail/A 42880-2026 FSC-klagomål mail.docx", "A 42880-2026")</f>
        <v/>
      </c>
      <c r="AC482">
        <f>HYPERLINK("https://klasma.github.io/Logging_2026/tillsyn/A 42880-2026 tillsynsbegäran.docx", "A 42880-2026")</f>
        <v/>
      </c>
      <c r="AD482">
        <f>HYPERLINK("https://klasma.github.io/Logging_2026/tillsynsmail/A 42880-2026 tillsynsbegäran mail.docx", "A 42880-2026")</f>
        <v/>
      </c>
      <c r="AE482">
        <f>HYPERLINK("https://klasma.github.io/Logging_2026/fåglar/A 42880-2026 prioriterade fågelarter.docx", "A 42880-2026")</f>
        <v/>
      </c>
    </row>
    <row r="483" ht="15" customHeight="1">
      <c r="A483" t="inlineStr">
        <is>
          <t>A 51268-2025</t>
        </is>
      </c>
      <c r="B483" t="inlineStr">
        <is>
          <t>avverkningsanmälan</t>
        </is>
      </c>
      <c r="C483" t="inlineStr">
        <is>
          <t>Föryngringsavverkning</t>
        </is>
      </c>
      <c r="D483" s="1" t="n">
        <v>45949</v>
      </c>
      <c r="E483" s="1" t="n">
        <v>46319</v>
      </c>
      <c r="F483" t="inlineStr">
        <is>
          <t>DALARNAS LÄN</t>
        </is>
      </c>
      <c r="G483" t="inlineStr">
        <is>
          <t>GAGNEF</t>
        </is>
      </c>
      <c r="I483" t="n">
        <v>1.4</v>
      </c>
      <c r="J483" t="n">
        <v>3</v>
      </c>
      <c r="K483" t="n">
        <v>1</v>
      </c>
      <c r="L483" t="n">
        <v>3</v>
      </c>
      <c r="M483" t="n">
        <v>2</v>
      </c>
      <c r="N483" t="n">
        <v>0</v>
      </c>
      <c r="O483" t="n">
        <v>0</v>
      </c>
      <c r="P483" t="n">
        <v>0</v>
      </c>
      <c r="Q483" t="n">
        <v>5</v>
      </c>
      <c r="R483" t="n">
        <v>2</v>
      </c>
      <c r="S483" t="n">
        <v>6</v>
      </c>
      <c r="T483" t="n">
        <v>37</v>
      </c>
      <c r="U483" t="n">
        <v>37</v>
      </c>
      <c r="V483" s="2" t="inlineStr">
        <is>
          <t>Garnlav
Knärot
Talltita
Tretåig hackspett
Ullticka
Bronshjon</t>
        </is>
      </c>
      <c r="W483">
        <f>HYPERLINK("https://klasma.github.io/Logging_2026/artfynd/A 51268-2025 artfynd.xlsx", "A 51268-2025")</f>
        <v/>
      </c>
      <c r="X483">
        <f>HYPERLINK("https://klasma.github.io/Logging_2026/kartor/A 51268-2025 karta.png", "A 51268-2025")</f>
        <v/>
      </c>
      <c r="Y483">
        <f>HYPERLINK("https://klasma.github.io/Logging_2026/kartor_geotiff/A 51268-2025 georefererad karta.tif", "A 51268-2025")</f>
        <v/>
      </c>
      <c r="Z483">
        <f>HYPERLINK("https://klasma.github.io/Logging_2026/knärot/A 51268-2025 karta knärot.png", "A 51268-2025")</f>
        <v/>
      </c>
      <c r="AA483">
        <f>HYPERLINK("https://klasma.github.io/Logging_2026/klagomål/A 51268-2025 FSC-klagomål.docx", "A 51268-2025")</f>
        <v/>
      </c>
      <c r="AB483">
        <f>HYPERLINK("https://klasma.github.io/Logging_2026/klagomålsmail/A 51268-2025 FSC-klagomål mail.docx", "A 51268-2025")</f>
        <v/>
      </c>
      <c r="AC483">
        <f>HYPERLINK("https://klasma.github.io/Logging_2026/tillsyn/A 51268-2025 tillsynsbegäran.docx", "A 51268-2025")</f>
        <v/>
      </c>
      <c r="AD483">
        <f>HYPERLINK("https://klasma.github.io/Logging_2026/tillsynsmail/A 51268-2025 tillsynsbegäran mail.docx", "A 51268-2025")</f>
        <v/>
      </c>
      <c r="AE483">
        <f>HYPERLINK("https://klasma.github.io/Logging_2026/fåglar/A 51268-2025 prioriterade fågelarter.docx", "A 51268-2025")</f>
        <v/>
      </c>
    </row>
    <row r="484" ht="15" customHeight="1">
      <c r="A484" t="inlineStr">
        <is>
          <t>A 58169-2025</t>
        </is>
      </c>
      <c r="B484" t="inlineStr">
        <is>
          <t>avverkningsanmälan</t>
        </is>
      </c>
      <c r="C484" t="inlineStr">
        <is>
          <t>Föryngringsavverkning</t>
        </is>
      </c>
      <c r="D484" s="1" t="n">
        <v>45982</v>
      </c>
      <c r="E484" s="1" t="n">
        <v>46319</v>
      </c>
      <c r="F484" t="inlineStr">
        <is>
          <t>DALARNAS LÄN</t>
        </is>
      </c>
      <c r="G484" t="inlineStr">
        <is>
          <t>MORA</t>
        </is>
      </c>
      <c r="H484" t="inlineStr">
        <is>
          <t>Bergvik skog väst AB</t>
        </is>
      </c>
      <c r="I484" t="n">
        <v>7.7</v>
      </c>
      <c r="J484" t="n">
        <v>2</v>
      </c>
      <c r="K484" t="n">
        <v>1</v>
      </c>
      <c r="L484" t="n">
        <v>3</v>
      </c>
      <c r="M484" t="n">
        <v>1</v>
      </c>
      <c r="N484" t="n">
        <v>0</v>
      </c>
      <c r="O484" t="n">
        <v>0</v>
      </c>
      <c r="P484" t="n">
        <v>0</v>
      </c>
      <c r="Q484" t="n">
        <v>4</v>
      </c>
      <c r="R484" t="n">
        <v>1</v>
      </c>
      <c r="S484" t="n">
        <v>6</v>
      </c>
      <c r="T484" t="n">
        <v>35</v>
      </c>
      <c r="U484" t="n">
        <v>35</v>
      </c>
      <c r="V484" s="2" t="inlineStr">
        <is>
          <t>Garnlav
Tretåig hackspett
Vedflamlav
Vedskivlav
Mindre märgborre
Spillkråka</t>
        </is>
      </c>
      <c r="W484">
        <f>HYPERLINK("https://klasma.github.io/Logging_2062/artfynd/A 58169-2025 artfynd.xlsx", "A 58169-2025")</f>
        <v/>
      </c>
      <c r="X484">
        <f>HYPERLINK("https://klasma.github.io/Logging_2062/kartor/A 58169-2025 karta.png", "A 58169-2025")</f>
        <v/>
      </c>
      <c r="Y484">
        <f>HYPERLINK("https://klasma.github.io/Logging_2062/kartor_geotiff/A 58169-2025 georefererad karta.tif", "A 58169-2025")</f>
        <v/>
      </c>
      <c r="AA484">
        <f>HYPERLINK("https://klasma.github.io/Logging_2062/klagomål/A 58169-2025 FSC-klagomål.docx", "A 58169-2025")</f>
        <v/>
      </c>
      <c r="AB484">
        <f>HYPERLINK("https://klasma.github.io/Logging_2062/klagomålsmail/A 58169-2025 FSC-klagomål mail.docx", "A 58169-2025")</f>
        <v/>
      </c>
      <c r="AC484">
        <f>HYPERLINK("https://klasma.github.io/Logging_2062/tillsyn/A 58169-2025 tillsynsbegäran.docx", "A 58169-2025")</f>
        <v/>
      </c>
      <c r="AD484">
        <f>HYPERLINK("https://klasma.github.io/Logging_2062/tillsynsmail/A 58169-2025 tillsynsbegäran mail.docx", "A 58169-2025")</f>
        <v/>
      </c>
      <c r="AE484">
        <f>HYPERLINK("https://klasma.github.io/Logging_2062/fåglar/A 58169-2025 prioriterade fågelarter.docx", "A 58169-2025")</f>
        <v/>
      </c>
    </row>
    <row r="485" ht="15" customHeight="1">
      <c r="A485" t="inlineStr">
        <is>
          <t>A 22195-2025</t>
        </is>
      </c>
      <c r="B485" t="inlineStr">
        <is>
          <t>avverkningsanmälan</t>
        </is>
      </c>
      <c r="C485" t="inlineStr">
        <is>
          <t>Föryngringsavverkning</t>
        </is>
      </c>
      <c r="D485" s="1" t="n">
        <v>45785</v>
      </c>
      <c r="E485" s="1" t="n">
        <v>46319</v>
      </c>
      <c r="F485" t="inlineStr">
        <is>
          <t>DALARNAS LÄN</t>
        </is>
      </c>
      <c r="G485" t="inlineStr">
        <is>
          <t>LUDVIKA</t>
        </is>
      </c>
      <c r="I485" t="n">
        <v>7.4</v>
      </c>
      <c r="J485" t="n">
        <v>5</v>
      </c>
      <c r="K485" t="n">
        <v>0</v>
      </c>
      <c r="L485" t="n">
        <v>3</v>
      </c>
      <c r="M485" t="n">
        <v>1</v>
      </c>
      <c r="N485" t="n">
        <v>0</v>
      </c>
      <c r="O485" t="n">
        <v>0</v>
      </c>
      <c r="P485" t="n">
        <v>0</v>
      </c>
      <c r="Q485" t="n">
        <v>4</v>
      </c>
      <c r="R485" t="n">
        <v>1</v>
      </c>
      <c r="S485" t="n">
        <v>6</v>
      </c>
      <c r="T485" t="n">
        <v>9</v>
      </c>
      <c r="U485" t="n">
        <v>9</v>
      </c>
      <c r="V485" s="2" t="inlineStr">
        <is>
          <t>Garnlav
Entita
Talltita
Tretåig hackspett
Spillkråka
Tjäder</t>
        </is>
      </c>
      <c r="W485">
        <f>HYPERLINK("https://klasma.github.io/Logging_2085/artfynd/A 22195-2025 artfynd.xlsx", "A 22195-2025")</f>
        <v/>
      </c>
      <c r="X485">
        <f>HYPERLINK("https://klasma.github.io/Logging_2085/kartor/A 22195-2025 karta.png", "A 22195-2025")</f>
        <v/>
      </c>
      <c r="Y485">
        <f>HYPERLINK("https://klasma.github.io/Logging_2085/kartor_geotiff/A 22195-2025 georefererad karta.tif", "A 22195-2025")</f>
        <v/>
      </c>
      <c r="AA485">
        <f>HYPERLINK("https://klasma.github.io/Logging_2085/klagomål/A 22195-2025 FSC-klagomål.docx", "A 22195-2025")</f>
        <v/>
      </c>
      <c r="AB485">
        <f>HYPERLINK("https://klasma.github.io/Logging_2085/klagomålsmail/A 22195-2025 FSC-klagomål mail.docx", "A 22195-2025")</f>
        <v/>
      </c>
      <c r="AC485">
        <f>HYPERLINK("https://klasma.github.io/Logging_2085/tillsyn/A 22195-2025 tillsynsbegäran.docx", "A 22195-2025")</f>
        <v/>
      </c>
      <c r="AD485">
        <f>HYPERLINK("https://klasma.github.io/Logging_2085/tillsynsmail/A 22195-2025 tillsynsbegäran mail.docx", "A 22195-2025")</f>
        <v/>
      </c>
      <c r="AE485">
        <f>HYPERLINK("https://klasma.github.io/Logging_2085/fåglar/A 22195-2025 prioriterade fågelarter.docx", "A 22195-2025")</f>
        <v/>
      </c>
    </row>
    <row r="486" ht="15" customHeight="1">
      <c r="A486" t="inlineStr">
        <is>
          <t>A 59946-2025</t>
        </is>
      </c>
      <c r="B486" t="inlineStr">
        <is>
          <t>avverkningsanmälan</t>
        </is>
      </c>
      <c r="C486" t="inlineStr">
        <is>
          <t>Föryngringsavverkning</t>
        </is>
      </c>
      <c r="D486" s="1" t="n">
        <v>45993</v>
      </c>
      <c r="E486" s="1" t="n">
        <v>46319</v>
      </c>
      <c r="F486" t="inlineStr">
        <is>
          <t>DALARNAS LÄN</t>
        </is>
      </c>
      <c r="G486" t="inlineStr">
        <is>
          <t>LUDVIKA</t>
        </is>
      </c>
      <c r="I486" t="n">
        <v>2.3</v>
      </c>
      <c r="J486" t="n">
        <v>2</v>
      </c>
      <c r="K486" t="n">
        <v>1</v>
      </c>
      <c r="L486" t="n">
        <v>3</v>
      </c>
      <c r="M486" t="n">
        <v>2</v>
      </c>
      <c r="N486" t="n">
        <v>0</v>
      </c>
      <c r="O486" t="n">
        <v>0</v>
      </c>
      <c r="P486" t="n">
        <v>0</v>
      </c>
      <c r="Q486" t="n">
        <v>5</v>
      </c>
      <c r="R486" t="n">
        <v>2</v>
      </c>
      <c r="S486" t="n">
        <v>6</v>
      </c>
      <c r="T486" t="n">
        <v>16</v>
      </c>
      <c r="U486" t="n">
        <v>16</v>
      </c>
      <c r="V486" s="2" t="inlineStr">
        <is>
          <t>Garnlav
Knärot
Kolflarnlav
Mörk kolflarnlav
Tretåig hackspett
Mindre märgborre</t>
        </is>
      </c>
      <c r="W486">
        <f>HYPERLINK("https://klasma.github.io/Logging_2085/artfynd/A 59946-2025 artfynd.xlsx", "A 59946-2025")</f>
        <v/>
      </c>
      <c r="X486">
        <f>HYPERLINK("https://klasma.github.io/Logging_2085/kartor/A 59946-2025 karta.png", "A 59946-2025")</f>
        <v/>
      </c>
      <c r="Y486">
        <f>HYPERLINK("https://klasma.github.io/Logging_2085/kartor_geotiff/A 59946-2025 georefererad karta.tif", "A 59946-2025")</f>
        <v/>
      </c>
      <c r="Z486">
        <f>HYPERLINK("https://klasma.github.io/Logging_2085/knärot/A 59946-2025 karta knärot.png", "A 59946-2025")</f>
        <v/>
      </c>
      <c r="AA486">
        <f>HYPERLINK("https://klasma.github.io/Logging_2085/klagomål/A 59946-2025 FSC-klagomål.docx", "A 59946-2025")</f>
        <v/>
      </c>
      <c r="AB486">
        <f>HYPERLINK("https://klasma.github.io/Logging_2085/klagomålsmail/A 59946-2025 FSC-klagomål mail.docx", "A 59946-2025")</f>
        <v/>
      </c>
      <c r="AC486">
        <f>HYPERLINK("https://klasma.github.io/Logging_2085/tillsyn/A 59946-2025 tillsynsbegäran.docx", "A 59946-2025")</f>
        <v/>
      </c>
      <c r="AD486">
        <f>HYPERLINK("https://klasma.github.io/Logging_2085/tillsynsmail/A 59946-2025 tillsynsbegäran mail.docx", "A 59946-2025")</f>
        <v/>
      </c>
      <c r="AE486">
        <f>HYPERLINK("https://klasma.github.io/Logging_2085/fåglar/A 59946-2025 prioriterade fågelarter.docx", "A 59946-2025")</f>
        <v/>
      </c>
    </row>
    <row r="487" ht="15" customHeight="1">
      <c r="A487" t="inlineStr">
        <is>
          <t>A 33962-2025</t>
        </is>
      </c>
      <c r="B487" t="inlineStr">
        <is>
          <t>avverkningsanmälan</t>
        </is>
      </c>
      <c r="C487" t="inlineStr">
        <is>
          <t>Föryngringsavverkning</t>
        </is>
      </c>
      <c r="D487" s="1" t="n">
        <v>45842</v>
      </c>
      <c r="E487" s="1" t="n">
        <v>46319</v>
      </c>
      <c r="F487" t="inlineStr">
        <is>
          <t>DALARNAS LÄN</t>
        </is>
      </c>
      <c r="G487" t="inlineStr">
        <is>
          <t>VANSBRO</t>
        </is>
      </c>
      <c r="I487" t="n">
        <v>7</v>
      </c>
      <c r="J487" t="n">
        <v>3</v>
      </c>
      <c r="K487" t="n">
        <v>1</v>
      </c>
      <c r="L487" t="n">
        <v>2</v>
      </c>
      <c r="M487" t="n">
        <v>2</v>
      </c>
      <c r="N487" t="n">
        <v>0</v>
      </c>
      <c r="O487" t="n">
        <v>0</v>
      </c>
      <c r="P487" t="n">
        <v>0</v>
      </c>
      <c r="Q487" t="n">
        <v>4</v>
      </c>
      <c r="R487" t="n">
        <v>2</v>
      </c>
      <c r="S487" t="n">
        <v>6</v>
      </c>
      <c r="T487" t="n">
        <v>22</v>
      </c>
      <c r="U487" t="n">
        <v>22</v>
      </c>
      <c r="V487" s="2" t="inlineStr">
        <is>
          <t>Garnlav
Knärot
Lunglav
Tretåig hackspett
Vedticka
Spillkråka</t>
        </is>
      </c>
      <c r="W487">
        <f>HYPERLINK("https://klasma.github.io/Logging_2021/artfynd/A 33962-2025 artfynd.xlsx", "A 33962-2025")</f>
        <v/>
      </c>
      <c r="X487">
        <f>HYPERLINK("https://klasma.github.io/Logging_2021/kartor/A 33962-2025 karta.png", "A 33962-2025")</f>
        <v/>
      </c>
      <c r="Y487">
        <f>HYPERLINK("https://klasma.github.io/Logging_2021/kartor_geotiff/A 33962-2025 georefererad karta.tif", "A 33962-2025")</f>
        <v/>
      </c>
      <c r="Z487">
        <f>HYPERLINK("https://klasma.github.io/Logging_2021/knärot/A 33962-2025 karta knärot.png", "A 33962-2025")</f>
        <v/>
      </c>
      <c r="AA487">
        <f>HYPERLINK("https://klasma.github.io/Logging_2021/klagomål/A 33962-2025 FSC-klagomål.docx", "A 33962-2025")</f>
        <v/>
      </c>
      <c r="AB487">
        <f>HYPERLINK("https://klasma.github.io/Logging_2021/klagomålsmail/A 33962-2025 FSC-klagomål mail.docx", "A 33962-2025")</f>
        <v/>
      </c>
      <c r="AC487">
        <f>HYPERLINK("https://klasma.github.io/Logging_2021/tillsyn/A 33962-2025 tillsynsbegäran.docx", "A 33962-2025")</f>
        <v/>
      </c>
      <c r="AD487">
        <f>HYPERLINK("https://klasma.github.io/Logging_2021/tillsynsmail/A 33962-2025 tillsynsbegäran mail.docx", "A 33962-2025")</f>
        <v/>
      </c>
      <c r="AE487">
        <f>HYPERLINK("https://klasma.github.io/Logging_2021/fåglar/A 33962-2025 prioriterade fågelarter.docx", "A 33962-2025")</f>
        <v/>
      </c>
    </row>
    <row r="488" ht="15" customHeight="1">
      <c r="A488" t="inlineStr">
        <is>
          <t>A 34719-2025</t>
        </is>
      </c>
      <c r="B488" t="inlineStr">
        <is>
          <t>avverkningsanmälan</t>
        </is>
      </c>
      <c r="C488" t="inlineStr">
        <is>
          <t>Föryngringsavverkning</t>
        </is>
      </c>
      <c r="D488" s="1" t="n">
        <v>45848</v>
      </c>
      <c r="E488" s="1" t="n">
        <v>46319</v>
      </c>
      <c r="F488" t="inlineStr">
        <is>
          <t>DALARNAS LÄN</t>
        </is>
      </c>
      <c r="G488" t="inlineStr">
        <is>
          <t>MORA</t>
        </is>
      </c>
      <c r="I488" t="n">
        <v>1.9</v>
      </c>
      <c r="J488" t="n">
        <v>2</v>
      </c>
      <c r="K488" t="n">
        <v>1</v>
      </c>
      <c r="L488" t="n">
        <v>3</v>
      </c>
      <c r="M488" t="n">
        <v>1</v>
      </c>
      <c r="N488" t="n">
        <v>0</v>
      </c>
      <c r="O488" t="n">
        <v>0</v>
      </c>
      <c r="P488" t="n">
        <v>0</v>
      </c>
      <c r="Q488" t="n">
        <v>4</v>
      </c>
      <c r="R488" t="n">
        <v>1</v>
      </c>
      <c r="S488" t="n">
        <v>6</v>
      </c>
      <c r="T488" t="n">
        <v>43</v>
      </c>
      <c r="U488" t="n">
        <v>43</v>
      </c>
      <c r="V488" s="2" t="inlineStr">
        <is>
          <t>Garnlav
Dvärgbägarlav
Tallticka
Tretåig hackspett
Mindre märgborre
Spillkråka</t>
        </is>
      </c>
      <c r="W488">
        <f>HYPERLINK("https://klasma.github.io/Logging_2062/artfynd/A 34719-2025 artfynd.xlsx", "A 34719-2025")</f>
        <v/>
      </c>
      <c r="X488">
        <f>HYPERLINK("https://klasma.github.io/Logging_2062/kartor/A 34719-2025 karta.png", "A 34719-2025")</f>
        <v/>
      </c>
      <c r="Y488">
        <f>HYPERLINK("https://klasma.github.io/Logging_2062/kartor_geotiff/A 34719-2025 georefererad karta.tif", "A 34719-2025")</f>
        <v/>
      </c>
      <c r="AA488">
        <f>HYPERLINK("https://klasma.github.io/Logging_2062/klagomål/A 34719-2025 FSC-klagomål.docx", "A 34719-2025")</f>
        <v/>
      </c>
      <c r="AB488">
        <f>HYPERLINK("https://klasma.github.io/Logging_2062/klagomålsmail/A 34719-2025 FSC-klagomål mail.docx", "A 34719-2025")</f>
        <v/>
      </c>
      <c r="AC488">
        <f>HYPERLINK("https://klasma.github.io/Logging_2062/tillsyn/A 34719-2025 tillsynsbegäran.docx", "A 34719-2025")</f>
        <v/>
      </c>
      <c r="AD488">
        <f>HYPERLINK("https://klasma.github.io/Logging_2062/tillsynsmail/A 34719-2025 tillsynsbegäran mail.docx", "A 34719-2025")</f>
        <v/>
      </c>
      <c r="AE488">
        <f>HYPERLINK("https://klasma.github.io/Logging_2062/fåglar/A 34719-2025 prioriterade fågelarter.docx", "A 34719-2025")</f>
        <v/>
      </c>
    </row>
    <row r="489" ht="15" customHeight="1">
      <c r="A489" t="inlineStr">
        <is>
          <t>A 22172-2025</t>
        </is>
      </c>
      <c r="B489" t="inlineStr">
        <is>
          <t>avverkningsanmälan</t>
        </is>
      </c>
      <c r="C489" t="inlineStr">
        <is>
          <t>Föryngringsavverkning</t>
        </is>
      </c>
      <c r="D489" s="1" t="n">
        <v>45785</v>
      </c>
      <c r="E489" s="1" t="n">
        <v>46319</v>
      </c>
      <c r="F489" t="inlineStr">
        <is>
          <t>DALARNAS LÄN</t>
        </is>
      </c>
      <c r="G489" t="inlineStr">
        <is>
          <t>ORSA</t>
        </is>
      </c>
      <c r="H489" t="inlineStr">
        <is>
          <t>Bergvik skog öst AB</t>
        </is>
      </c>
      <c r="I489" t="n">
        <v>3.8</v>
      </c>
      <c r="J489" t="n">
        <v>4</v>
      </c>
      <c r="K489" t="n">
        <v>0</v>
      </c>
      <c r="L489" t="n">
        <v>3</v>
      </c>
      <c r="M489" t="n">
        <v>1</v>
      </c>
      <c r="N489" t="n">
        <v>0</v>
      </c>
      <c r="O489" t="n">
        <v>0</v>
      </c>
      <c r="P489" t="n">
        <v>0</v>
      </c>
      <c r="Q489" t="n">
        <v>4</v>
      </c>
      <c r="R489" t="n">
        <v>1</v>
      </c>
      <c r="S489" t="n">
        <v>6</v>
      </c>
      <c r="T489" t="n">
        <v>18</v>
      </c>
      <c r="U489" t="n">
        <v>18</v>
      </c>
      <c r="V489" s="2" t="inlineStr">
        <is>
          <t>Garnlav
Lavskrika
Tallfingersvamp
Tretåig hackspett
Spillkråka
Revlummer</t>
        </is>
      </c>
      <c r="W489">
        <f>HYPERLINK("https://klasma.github.io/Logging_2034/artfynd/A 22172-2025 artfynd.xlsx", "A 22172-2025")</f>
        <v/>
      </c>
      <c r="X489">
        <f>HYPERLINK("https://klasma.github.io/Logging_2034/kartor/A 22172-2025 karta.png", "A 22172-2025")</f>
        <v/>
      </c>
      <c r="Y489">
        <f>HYPERLINK("https://klasma.github.io/Logging_2034/kartor_geotiff/A 22172-2025 georefererad karta.tif", "A 22172-2025")</f>
        <v/>
      </c>
      <c r="AA489">
        <f>HYPERLINK("https://klasma.github.io/Logging_2034/klagomål/A 22172-2025 FSC-klagomål.docx", "A 22172-2025")</f>
        <v/>
      </c>
      <c r="AB489">
        <f>HYPERLINK("https://klasma.github.io/Logging_2034/klagomålsmail/A 22172-2025 FSC-klagomål mail.docx", "A 22172-2025")</f>
        <v/>
      </c>
      <c r="AC489">
        <f>HYPERLINK("https://klasma.github.io/Logging_2034/tillsyn/A 22172-2025 tillsynsbegäran.docx", "A 22172-2025")</f>
        <v/>
      </c>
      <c r="AD489">
        <f>HYPERLINK("https://klasma.github.io/Logging_2034/tillsynsmail/A 22172-2025 tillsynsbegäran mail.docx", "A 22172-2025")</f>
        <v/>
      </c>
      <c r="AE489">
        <f>HYPERLINK("https://klasma.github.io/Logging_2034/fåglar/A 22172-2025 prioriterade fågelarter.docx", "A 22172-2025")</f>
        <v/>
      </c>
    </row>
    <row r="490" ht="15" customHeight="1">
      <c r="A490" t="inlineStr">
        <is>
          <t>A 24335-2022</t>
        </is>
      </c>
      <c r="B490" t="inlineStr">
        <is>
          <t>avverkningsanmälan</t>
        </is>
      </c>
      <c r="C490" t="inlineStr">
        <is>
          <t>Föryngringsavverkning</t>
        </is>
      </c>
      <c r="D490" s="1" t="n">
        <v>44725</v>
      </c>
      <c r="E490" s="1" t="n">
        <v>46319</v>
      </c>
      <c r="F490" t="inlineStr">
        <is>
          <t>DALARNAS LÄN</t>
        </is>
      </c>
      <c r="G490" t="inlineStr">
        <is>
          <t>MORA</t>
        </is>
      </c>
      <c r="I490" t="n">
        <v>16</v>
      </c>
      <c r="J490" t="n">
        <v>1</v>
      </c>
      <c r="K490" t="n">
        <v>1</v>
      </c>
      <c r="L490" t="n">
        <v>4</v>
      </c>
      <c r="M490" t="n">
        <v>1</v>
      </c>
      <c r="N490" t="n">
        <v>0</v>
      </c>
      <c r="O490" t="n">
        <v>0</v>
      </c>
      <c r="P490" t="n">
        <v>0</v>
      </c>
      <c r="Q490" t="n">
        <v>5</v>
      </c>
      <c r="R490" t="n">
        <v>1</v>
      </c>
      <c r="S490" t="n">
        <v>6</v>
      </c>
      <c r="T490" t="n">
        <v>9</v>
      </c>
      <c r="U490" t="n">
        <v>9</v>
      </c>
      <c r="V490" s="2" t="inlineStr">
        <is>
          <t>Garnlav
Doftskinn
Kolflarnlav
Mörk kolflarnlav
Talltita
Mindre märgborre</t>
        </is>
      </c>
      <c r="W490">
        <f>HYPERLINK("https://klasma.github.io/Logging_2062/artfynd/A 24335-2022 artfynd.xlsx", "A 24335-2022")</f>
        <v/>
      </c>
      <c r="X490">
        <f>HYPERLINK("https://klasma.github.io/Logging_2062/kartor/A 24335-2022 karta.png", "A 24335-2022")</f>
        <v/>
      </c>
      <c r="Y490">
        <f>HYPERLINK("https://klasma.github.io/Logging_2062/kartor_geotiff/A 24335-2022 georefererad karta.tif", "A 24335-2022")</f>
        <v/>
      </c>
      <c r="AA490">
        <f>HYPERLINK("https://klasma.github.io/Logging_2062/klagomål/A 24335-2022 FSC-klagomål.docx", "A 24335-2022")</f>
        <v/>
      </c>
      <c r="AB490">
        <f>HYPERLINK("https://klasma.github.io/Logging_2062/klagomålsmail/A 24335-2022 FSC-klagomål mail.docx", "A 24335-2022")</f>
        <v/>
      </c>
      <c r="AC490">
        <f>HYPERLINK("https://klasma.github.io/Logging_2062/tillsyn/A 24335-2022 tillsynsbegäran.docx", "A 24335-2022")</f>
        <v/>
      </c>
      <c r="AD490">
        <f>HYPERLINK("https://klasma.github.io/Logging_2062/tillsynsmail/A 24335-2022 tillsynsbegäran mail.docx", "A 24335-2022")</f>
        <v/>
      </c>
      <c r="AE490">
        <f>HYPERLINK("https://klasma.github.io/Logging_2062/fåglar/A 24335-2022 prioriterade fågelarter.docx", "A 24335-2022")</f>
        <v/>
      </c>
    </row>
    <row r="491" ht="15" customHeight="1">
      <c r="A491" t="inlineStr">
        <is>
          <t>A 56288-2025</t>
        </is>
      </c>
      <c r="B491" t="inlineStr">
        <is>
          <t>avverkningsanmälan</t>
        </is>
      </c>
      <c r="C491" t="inlineStr">
        <is>
          <t>Föryngringsavverkning</t>
        </is>
      </c>
      <c r="D491" s="1" t="n">
        <v>45974</v>
      </c>
      <c r="E491" s="1" t="n">
        <v>46319</v>
      </c>
      <c r="F491" t="inlineStr">
        <is>
          <t>DALARNAS LÄN</t>
        </is>
      </c>
      <c r="G491" t="inlineStr">
        <is>
          <t>ORSA</t>
        </is>
      </c>
      <c r="I491" t="n">
        <v>7.2</v>
      </c>
      <c r="J491" t="n">
        <v>2</v>
      </c>
      <c r="K491" t="n">
        <v>0</v>
      </c>
      <c r="L491" t="n">
        <v>4</v>
      </c>
      <c r="M491" t="n">
        <v>2</v>
      </c>
      <c r="N491" t="n">
        <v>0</v>
      </c>
      <c r="O491" t="n">
        <v>0</v>
      </c>
      <c r="P491" t="n">
        <v>0</v>
      </c>
      <c r="Q491" t="n">
        <v>6</v>
      </c>
      <c r="R491" t="n">
        <v>2</v>
      </c>
      <c r="S491" t="n">
        <v>6</v>
      </c>
      <c r="T491" t="n">
        <v>21</v>
      </c>
      <c r="U491" t="n">
        <v>21</v>
      </c>
      <c r="V491" s="2" t="inlineStr">
        <is>
          <t>Garnlav
Knärot
Kolflarnlav
Lunglav
Skrovellav
Tretåig hackspett</t>
        </is>
      </c>
      <c r="W491">
        <f>HYPERLINK("https://klasma.github.io/Logging_2034/artfynd/A 56288-2025 artfynd.xlsx", "A 56288-2025")</f>
        <v/>
      </c>
      <c r="X491">
        <f>HYPERLINK("https://klasma.github.io/Logging_2034/kartor/A 56288-2025 karta.png", "A 56288-2025")</f>
        <v/>
      </c>
      <c r="Y491">
        <f>HYPERLINK("https://klasma.github.io/Logging_2034/kartor_geotiff/A 56288-2025 georefererad karta.tif", "A 56288-2025")</f>
        <v/>
      </c>
      <c r="Z491">
        <f>HYPERLINK("https://klasma.github.io/Logging_2034/knärot/A 56288-2025 karta knärot.png", "A 56288-2025")</f>
        <v/>
      </c>
      <c r="AA491">
        <f>HYPERLINK("https://klasma.github.io/Logging_2034/klagomål/A 56288-2025 FSC-klagomål.docx", "A 56288-2025")</f>
        <v/>
      </c>
      <c r="AB491">
        <f>HYPERLINK("https://klasma.github.io/Logging_2034/klagomålsmail/A 56288-2025 FSC-klagomål mail.docx", "A 56288-2025")</f>
        <v/>
      </c>
      <c r="AC491">
        <f>HYPERLINK("https://klasma.github.io/Logging_2034/tillsyn/A 56288-2025 tillsynsbegäran.docx", "A 56288-2025")</f>
        <v/>
      </c>
      <c r="AD491">
        <f>HYPERLINK("https://klasma.github.io/Logging_2034/tillsynsmail/A 56288-2025 tillsynsbegäran mail.docx", "A 56288-2025")</f>
        <v/>
      </c>
      <c r="AE491">
        <f>HYPERLINK("https://klasma.github.io/Logging_2034/fåglar/A 56288-2025 prioriterade fågelarter.docx", "A 56288-2025")</f>
        <v/>
      </c>
    </row>
    <row r="492" ht="15" customHeight="1">
      <c r="A492" t="inlineStr">
        <is>
          <t>A 49775-2025</t>
        </is>
      </c>
      <c r="B492" t="inlineStr">
        <is>
          <t>avverkningsanmälan</t>
        </is>
      </c>
      <c r="C492" t="inlineStr">
        <is>
          <t>Föryngringsavverkning</t>
        </is>
      </c>
      <c r="D492" s="1" t="n">
        <v>45940</v>
      </c>
      <c r="E492" s="1" t="n">
        <v>46319</v>
      </c>
      <c r="F492" t="inlineStr">
        <is>
          <t>DALARNAS LÄN</t>
        </is>
      </c>
      <c r="G492" t="inlineStr">
        <is>
          <t>LUDVIKA</t>
        </is>
      </c>
      <c r="H492" t="inlineStr">
        <is>
          <t>Bergvik skog väst AB</t>
        </is>
      </c>
      <c r="I492" t="n">
        <v>25.5</v>
      </c>
      <c r="J492" t="n">
        <v>3</v>
      </c>
      <c r="K492" t="n">
        <v>1</v>
      </c>
      <c r="L492" t="n">
        <v>2</v>
      </c>
      <c r="M492" t="n">
        <v>1</v>
      </c>
      <c r="N492" t="n">
        <v>0</v>
      </c>
      <c r="O492" t="n">
        <v>0</v>
      </c>
      <c r="P492" t="n">
        <v>0</v>
      </c>
      <c r="Q492" t="n">
        <v>3</v>
      </c>
      <c r="R492" t="n">
        <v>1</v>
      </c>
      <c r="S492" t="n">
        <v>6</v>
      </c>
      <c r="T492" t="n">
        <v>20</v>
      </c>
      <c r="U492" t="n">
        <v>20</v>
      </c>
      <c r="V492" s="2" t="inlineStr">
        <is>
          <t>Garnlav
Kolflarnlav
Tretåig hackspett
Mindre märgborre
Järpe
Orre</t>
        </is>
      </c>
      <c r="W492">
        <f>HYPERLINK("https://klasma.github.io/Logging_2085/artfynd/A 49775-2025 artfynd.xlsx", "A 49775-2025")</f>
        <v/>
      </c>
      <c r="X492">
        <f>HYPERLINK("https://klasma.github.io/Logging_2085/kartor/A 49775-2025 karta.png", "A 49775-2025")</f>
        <v/>
      </c>
      <c r="Y492">
        <f>HYPERLINK("https://klasma.github.io/Logging_2085/kartor_geotiff/A 49775-2025 georefererad karta.tif", "A 49775-2025")</f>
        <v/>
      </c>
      <c r="AA492">
        <f>HYPERLINK("https://klasma.github.io/Logging_2085/klagomål/A 49775-2025 FSC-klagomål.docx", "A 49775-2025")</f>
        <v/>
      </c>
      <c r="AB492">
        <f>HYPERLINK("https://klasma.github.io/Logging_2085/klagomålsmail/A 49775-2025 FSC-klagomål mail.docx", "A 49775-2025")</f>
        <v/>
      </c>
      <c r="AC492">
        <f>HYPERLINK("https://klasma.github.io/Logging_2085/tillsyn/A 49775-2025 tillsynsbegäran.docx", "A 49775-2025")</f>
        <v/>
      </c>
      <c r="AD492">
        <f>HYPERLINK("https://klasma.github.io/Logging_2085/tillsynsmail/A 49775-2025 tillsynsbegäran mail.docx", "A 49775-2025")</f>
        <v/>
      </c>
      <c r="AE492">
        <f>HYPERLINK("https://klasma.github.io/Logging_2085/fåglar/A 49775-2025 prioriterade fågelarter.docx", "A 49775-2025")</f>
        <v/>
      </c>
    </row>
    <row r="493" ht="15" customHeight="1">
      <c r="A493" t="inlineStr">
        <is>
          <t>A 62748-2025</t>
        </is>
      </c>
      <c r="B493" t="inlineStr">
        <is>
          <t>avverkningsanmälan</t>
        </is>
      </c>
      <c r="C493" t="inlineStr">
        <is>
          <t>Föryngringsavverkning</t>
        </is>
      </c>
      <c r="D493" s="1" t="n">
        <v>46008</v>
      </c>
      <c r="E493" s="1" t="n">
        <v>46319</v>
      </c>
      <c r="F493" t="inlineStr">
        <is>
          <t>DALARNAS LÄN</t>
        </is>
      </c>
      <c r="G493" t="inlineStr">
        <is>
          <t>ORSA</t>
        </is>
      </c>
      <c r="I493" t="n">
        <v>10.8</v>
      </c>
      <c r="J493" t="n">
        <v>1</v>
      </c>
      <c r="K493" t="n">
        <v>2</v>
      </c>
      <c r="L493" t="n">
        <v>3</v>
      </c>
      <c r="M493" t="n">
        <v>1</v>
      </c>
      <c r="N493" t="n">
        <v>0</v>
      </c>
      <c r="O493" t="n">
        <v>0</v>
      </c>
      <c r="P493" t="n">
        <v>0</v>
      </c>
      <c r="Q493" t="n">
        <v>4</v>
      </c>
      <c r="R493" t="n">
        <v>1</v>
      </c>
      <c r="S493" t="n">
        <v>6</v>
      </c>
      <c r="T493" t="n">
        <v>25</v>
      </c>
      <c r="U493" t="n">
        <v>25</v>
      </c>
      <c r="V493" s="2" t="inlineStr">
        <is>
          <t>Garnlav
Mörk kolflarnlav
Tretåig hackspett
Violettgrå tagellav
Bronshjon
Mindre märgborre</t>
        </is>
      </c>
      <c r="W493">
        <f>HYPERLINK("https://klasma.github.io/Logging_2034/artfynd/A 62748-2025 artfynd.xlsx", "A 62748-2025")</f>
        <v/>
      </c>
      <c r="X493">
        <f>HYPERLINK("https://klasma.github.io/Logging_2034/kartor/A 62748-2025 karta.png", "A 62748-2025")</f>
        <v/>
      </c>
      <c r="Y493">
        <f>HYPERLINK("https://klasma.github.io/Logging_2034/kartor_geotiff/A 62748-2025 georefererad karta.tif", "A 62748-2025")</f>
        <v/>
      </c>
      <c r="AA493">
        <f>HYPERLINK("https://klasma.github.io/Logging_2034/klagomål/A 62748-2025 FSC-klagomål.docx", "A 62748-2025")</f>
        <v/>
      </c>
      <c r="AB493">
        <f>HYPERLINK("https://klasma.github.io/Logging_2034/klagomålsmail/A 62748-2025 FSC-klagomål mail.docx", "A 62748-2025")</f>
        <v/>
      </c>
      <c r="AC493">
        <f>HYPERLINK("https://klasma.github.io/Logging_2034/tillsyn/A 62748-2025 tillsynsbegäran.docx", "A 62748-2025")</f>
        <v/>
      </c>
      <c r="AD493">
        <f>HYPERLINK("https://klasma.github.io/Logging_2034/tillsynsmail/A 62748-2025 tillsynsbegäran mail.docx", "A 62748-2025")</f>
        <v/>
      </c>
      <c r="AE493">
        <f>HYPERLINK("https://klasma.github.io/Logging_2034/fåglar/A 62748-2025 prioriterade fågelarter.docx", "A 62748-2025")</f>
        <v/>
      </c>
    </row>
    <row r="494" ht="15" customHeight="1">
      <c r="A494" t="inlineStr">
        <is>
          <t>A 35597-2026</t>
        </is>
      </c>
      <c r="B494" t="inlineStr">
        <is>
          <t>avverkningsanmälan</t>
        </is>
      </c>
      <c r="C494" t="inlineStr">
        <is>
          <t>Föryngringsavverkning</t>
        </is>
      </c>
      <c r="D494" s="1" t="n">
        <v>46262</v>
      </c>
      <c r="E494" s="1" t="n">
        <v>46319</v>
      </c>
      <c r="F494" t="inlineStr">
        <is>
          <t>DALARNAS LÄN</t>
        </is>
      </c>
      <c r="G494" t="inlineStr">
        <is>
          <t>ORSA</t>
        </is>
      </c>
      <c r="H494" t="inlineStr">
        <is>
          <t>Allmännings- och besparingsskogar</t>
        </is>
      </c>
      <c r="I494" t="n">
        <v>1.8</v>
      </c>
      <c r="J494" t="n">
        <v>2</v>
      </c>
      <c r="K494" t="n">
        <v>1</v>
      </c>
      <c r="L494" t="n">
        <v>3</v>
      </c>
      <c r="M494" t="n">
        <v>1</v>
      </c>
      <c r="N494" t="n">
        <v>0</v>
      </c>
      <c r="O494" t="n">
        <v>0</v>
      </c>
      <c r="P494" t="n">
        <v>0</v>
      </c>
      <c r="Q494" t="n">
        <v>4</v>
      </c>
      <c r="R494" t="n">
        <v>1</v>
      </c>
      <c r="S494" t="n">
        <v>6</v>
      </c>
      <c r="T494" t="n">
        <v>19</v>
      </c>
      <c r="U494" t="n">
        <v>19</v>
      </c>
      <c r="V494" s="2" t="inlineStr">
        <is>
          <t>Garnlav
Skrovellav
Tretåig hackspett
Violettgrå tagellav
Nästlav
Spillkråka</t>
        </is>
      </c>
      <c r="W494">
        <f>HYPERLINK("https://klasma.github.io/Logging_2034/artfynd/A 35597-2026 artfynd.xlsx", "A 35597-2026")</f>
        <v/>
      </c>
      <c r="X494">
        <f>HYPERLINK("https://klasma.github.io/Logging_2034/kartor/A 35597-2026 karta.png", "A 35597-2026")</f>
        <v/>
      </c>
      <c r="Y494">
        <f>HYPERLINK("https://klasma.github.io/Logging_2034/kartor_geotiff/A 35597-2026 georefererad karta.tif", "A 35597-2026")</f>
        <v/>
      </c>
      <c r="AA494">
        <f>HYPERLINK("https://klasma.github.io/Logging_2034/klagomål/A 35597-2026 FSC-klagomål.docx", "A 35597-2026")</f>
        <v/>
      </c>
      <c r="AB494">
        <f>HYPERLINK("https://klasma.github.io/Logging_2034/klagomålsmail/A 35597-2026 FSC-klagomål mail.docx", "A 35597-2026")</f>
        <v/>
      </c>
      <c r="AC494">
        <f>HYPERLINK("https://klasma.github.io/Logging_2034/tillsyn/A 35597-2026 tillsynsbegäran.docx", "A 35597-2026")</f>
        <v/>
      </c>
      <c r="AD494">
        <f>HYPERLINK("https://klasma.github.io/Logging_2034/tillsynsmail/A 35597-2026 tillsynsbegäran mail.docx", "A 35597-2026")</f>
        <v/>
      </c>
      <c r="AE494">
        <f>HYPERLINK("https://klasma.github.io/Logging_2034/fåglar/A 35597-2026 prioriterade fågelarter.docx", "A 35597-2026")</f>
        <v/>
      </c>
    </row>
    <row r="495" ht="15" customHeight="1">
      <c r="A495" t="inlineStr">
        <is>
          <t>A 6339-2026</t>
        </is>
      </c>
      <c r="B495" t="inlineStr">
        <is>
          <t>avverkningsanmälan</t>
        </is>
      </c>
      <c r="C495" t="inlineStr">
        <is>
          <t>Föryngringsavverkning</t>
        </is>
      </c>
      <c r="D495" s="1" t="n">
        <v>46055</v>
      </c>
      <c r="E495" s="1" t="n">
        <v>46319</v>
      </c>
      <c r="F495" t="inlineStr">
        <is>
          <t>DALARNAS LÄN</t>
        </is>
      </c>
      <c r="G495" t="inlineStr">
        <is>
          <t>HEDEMORA</t>
        </is>
      </c>
      <c r="I495" t="n">
        <v>1.4</v>
      </c>
      <c r="J495" t="n">
        <v>1</v>
      </c>
      <c r="K495" t="n">
        <v>3</v>
      </c>
      <c r="L495" t="n">
        <v>2</v>
      </c>
      <c r="M495" t="n">
        <v>1</v>
      </c>
      <c r="N495" t="n">
        <v>0</v>
      </c>
      <c r="O495" t="n">
        <v>0</v>
      </c>
      <c r="P495" t="n">
        <v>0</v>
      </c>
      <c r="Q495" t="n">
        <v>3</v>
      </c>
      <c r="R495" t="n">
        <v>1</v>
      </c>
      <c r="S495" t="n">
        <v>6</v>
      </c>
      <c r="T495" t="n">
        <v>13</v>
      </c>
      <c r="U495" t="n">
        <v>0</v>
      </c>
      <c r="V495" s="2" t="inlineStr">
        <is>
          <t>Knärot
Gropticka
Ullticka
Bronshjon
Vedticka
Vågbandad barkbock</t>
        </is>
      </c>
      <c r="W495">
        <f>HYPERLINK("https://klasma.github.io/Logging_2083/artfynd/A 6339-2026 artfynd.xlsx", "A 6339-2026")</f>
        <v/>
      </c>
      <c r="X495">
        <f>HYPERLINK("https://klasma.github.io/Logging_2083/kartor/A 6339-2026 karta.png", "A 6339-2026")</f>
        <v/>
      </c>
      <c r="Y495">
        <f>HYPERLINK("https://klasma.github.io/Logging_2083/kartor_geotiff/A 6339-2026 georefererad karta.tif", "A 6339-2026")</f>
        <v/>
      </c>
      <c r="Z495">
        <f>HYPERLINK("https://klasma.github.io/Logging_2083/knärot/A 6339-2026 karta knärot.png", "A 6339-2026")</f>
        <v/>
      </c>
      <c r="AA495">
        <f>HYPERLINK("https://klasma.github.io/Logging_2083/klagomål/A 6339-2026 FSC-klagomål.docx", "A 6339-2026")</f>
        <v/>
      </c>
      <c r="AB495">
        <f>HYPERLINK("https://klasma.github.io/Logging_2083/klagomålsmail/A 6339-2026 FSC-klagomål mail.docx", "A 6339-2026")</f>
        <v/>
      </c>
      <c r="AC495">
        <f>HYPERLINK("https://klasma.github.io/Logging_2083/tillsyn/A 6339-2026 tillsynsbegäran.docx", "A 6339-2026")</f>
        <v/>
      </c>
      <c r="AD495">
        <f>HYPERLINK("https://klasma.github.io/Logging_2083/tillsynsmail/A 6339-2026 tillsynsbegäran mail.docx", "A 6339-2026")</f>
        <v/>
      </c>
    </row>
    <row r="496" ht="15" customHeight="1">
      <c r="A496" t="inlineStr">
        <is>
          <t>A 6671-2026</t>
        </is>
      </c>
      <c r="B496" t="inlineStr">
        <is>
          <t>avverkningsanmälan</t>
        </is>
      </c>
      <c r="C496" t="inlineStr">
        <is>
          <t>Föryngringsavverkning</t>
        </is>
      </c>
      <c r="D496" s="1" t="n">
        <v>46052</v>
      </c>
      <c r="E496" s="1" t="n">
        <v>46319</v>
      </c>
      <c r="F496" t="inlineStr">
        <is>
          <t>DALARNAS LÄN</t>
        </is>
      </c>
      <c r="G496" t="inlineStr">
        <is>
          <t>VANSBRO</t>
        </is>
      </c>
      <c r="I496" t="n">
        <v>13.9</v>
      </c>
      <c r="J496" t="n">
        <v>1</v>
      </c>
      <c r="K496" t="n">
        <v>1</v>
      </c>
      <c r="L496" t="n">
        <v>3</v>
      </c>
      <c r="M496" t="n">
        <v>1</v>
      </c>
      <c r="N496" t="n">
        <v>0</v>
      </c>
      <c r="O496" t="n">
        <v>0</v>
      </c>
      <c r="P496" t="n">
        <v>0</v>
      </c>
      <c r="Q496" t="n">
        <v>4</v>
      </c>
      <c r="R496" t="n">
        <v>1</v>
      </c>
      <c r="S496" t="n">
        <v>6</v>
      </c>
      <c r="T496" t="n">
        <v>27</v>
      </c>
      <c r="U496" t="n">
        <v>0</v>
      </c>
      <c r="V496" s="2" t="inlineStr">
        <is>
          <t>Garnlav
Kolflarnlav
Mörk kolflarnlav
Rynkskinn
Mindre märgborre
Tjäder</t>
        </is>
      </c>
      <c r="W496">
        <f>HYPERLINK("https://klasma.github.io/Logging_2021/artfynd/A 6671-2026 artfynd.xlsx", "A 6671-2026")</f>
        <v/>
      </c>
      <c r="X496">
        <f>HYPERLINK("https://klasma.github.io/Logging_2021/kartor/A 6671-2026 karta.png", "A 6671-2026")</f>
        <v/>
      </c>
      <c r="Y496">
        <f>HYPERLINK("https://klasma.github.io/Logging_2021/kartor_geotiff/A 6671-2026 georefererad karta.tif", "A 6671-2026")</f>
        <v/>
      </c>
      <c r="AA496">
        <f>HYPERLINK("https://klasma.github.io/Logging_2021/klagomål/A 6671-2026 FSC-klagomål.docx", "A 6671-2026")</f>
        <v/>
      </c>
      <c r="AB496">
        <f>HYPERLINK("https://klasma.github.io/Logging_2021/klagomålsmail/A 6671-2026 FSC-klagomål mail.docx", "A 6671-2026")</f>
        <v/>
      </c>
      <c r="AC496">
        <f>HYPERLINK("https://klasma.github.io/Logging_2021/tillsyn/A 6671-2026 tillsynsbegäran.docx", "A 6671-2026")</f>
        <v/>
      </c>
      <c r="AD496">
        <f>HYPERLINK("https://klasma.github.io/Logging_2021/tillsynsmail/A 6671-2026 tillsynsbegäran mail.docx", "A 6671-2026")</f>
        <v/>
      </c>
      <c r="AE496">
        <f>HYPERLINK("https://klasma.github.io/Logging_2021/fåglar/A 6671-2026 prioriterade fågelarter.docx", "A 6671-2026")</f>
        <v/>
      </c>
    </row>
    <row r="497" ht="15" customHeight="1">
      <c r="A497" t="inlineStr">
        <is>
          <t>A 48706-2023</t>
        </is>
      </c>
      <c r="B497" t="inlineStr">
        <is>
          <t>avverkningsanmälan</t>
        </is>
      </c>
      <c r="C497" t="inlineStr">
        <is>
          <t>Föryngringsavverkning</t>
        </is>
      </c>
      <c r="D497" s="1" t="n">
        <v>45208</v>
      </c>
      <c r="E497" s="1" t="n">
        <v>46319</v>
      </c>
      <c r="F497" t="inlineStr">
        <is>
          <t>DALARNAS LÄN</t>
        </is>
      </c>
      <c r="G497" t="inlineStr">
        <is>
          <t>BORLÄNGE</t>
        </is>
      </c>
      <c r="I497" t="n">
        <v>8.1</v>
      </c>
      <c r="J497" t="n">
        <v>2</v>
      </c>
      <c r="K497" t="n">
        <v>2</v>
      </c>
      <c r="L497" t="n">
        <v>2</v>
      </c>
      <c r="M497" t="n">
        <v>1</v>
      </c>
      <c r="N497" t="n">
        <v>0</v>
      </c>
      <c r="O497" t="n">
        <v>0</v>
      </c>
      <c r="P497" t="n">
        <v>0</v>
      </c>
      <c r="Q497" t="n">
        <v>3</v>
      </c>
      <c r="R497" t="n">
        <v>1</v>
      </c>
      <c r="S497" t="n">
        <v>6</v>
      </c>
      <c r="T497" t="n">
        <v>10</v>
      </c>
      <c r="U497" t="n">
        <v>6</v>
      </c>
      <c r="V497" s="2" t="inlineStr">
        <is>
          <t>Knärot
Dofttaggsvamp
Dropptaggsvamp
Bronshjon
Thomsons trägnagare
Blåsippa</t>
        </is>
      </c>
      <c r="W497">
        <f>HYPERLINK("https://klasma.github.io/Logging_2081/artfynd/A 48706-2023 artfynd.xlsx", "A 48706-2023")</f>
        <v/>
      </c>
      <c r="X497">
        <f>HYPERLINK("https://klasma.github.io/Logging_2081/kartor/A 48706-2023 karta.png", "A 48706-2023")</f>
        <v/>
      </c>
      <c r="Y497">
        <f>HYPERLINK("https://klasma.github.io/Logging_2081/kartor_geotiff/A 48706-2023 georefererad karta.tif", "A 48706-2023")</f>
        <v/>
      </c>
      <c r="Z497">
        <f>HYPERLINK("https://klasma.github.io/Logging_2081/knärot/A 48706-2023 karta knärot.png", "A 48706-2023")</f>
        <v/>
      </c>
      <c r="AA497">
        <f>HYPERLINK("https://klasma.github.io/Logging_2081/klagomål/A 48706-2023 FSC-klagomål.docx", "A 48706-2023")</f>
        <v/>
      </c>
      <c r="AB497">
        <f>HYPERLINK("https://klasma.github.io/Logging_2081/klagomålsmail/A 48706-2023 FSC-klagomål mail.docx", "A 48706-2023")</f>
        <v/>
      </c>
      <c r="AC497">
        <f>HYPERLINK("https://klasma.github.io/Logging_2081/tillsyn/A 48706-2023 tillsynsbegäran.docx", "A 48706-2023")</f>
        <v/>
      </c>
      <c r="AD497">
        <f>HYPERLINK("https://klasma.github.io/Logging_2081/tillsynsmail/A 48706-2023 tillsynsbegäran mail.docx", "A 48706-2023")</f>
        <v/>
      </c>
    </row>
    <row r="498" ht="15" customHeight="1">
      <c r="A498" t="inlineStr">
        <is>
          <t>A 48476-2024</t>
        </is>
      </c>
      <c r="B498" t="inlineStr">
        <is>
          <t>avverkningsanmälan</t>
        </is>
      </c>
      <c r="C498" t="inlineStr">
        <is>
          <t>Föryngringsavverkning</t>
        </is>
      </c>
      <c r="D498" s="1" t="n">
        <v>45591</v>
      </c>
      <c r="E498" s="1" t="n">
        <v>46319</v>
      </c>
      <c r="F498" t="inlineStr">
        <is>
          <t>DALARNAS LÄN</t>
        </is>
      </c>
      <c r="G498" t="inlineStr">
        <is>
          <t>FALUN</t>
        </is>
      </c>
      <c r="I498" t="n">
        <v>4.3</v>
      </c>
      <c r="J498" t="n">
        <v>2</v>
      </c>
      <c r="K498" t="n">
        <v>1</v>
      </c>
      <c r="L498" t="n">
        <v>2</v>
      </c>
      <c r="M498" t="n">
        <v>2</v>
      </c>
      <c r="N498" t="n">
        <v>0</v>
      </c>
      <c r="O498" t="n">
        <v>0</v>
      </c>
      <c r="P498" t="n">
        <v>0</v>
      </c>
      <c r="Q498" t="n">
        <v>4</v>
      </c>
      <c r="R498" t="n">
        <v>2</v>
      </c>
      <c r="S498" t="n">
        <v>6</v>
      </c>
      <c r="T498" t="n">
        <v>9</v>
      </c>
      <c r="U498" t="n">
        <v>9</v>
      </c>
      <c r="V498" s="2" t="inlineStr">
        <is>
          <t>Garnlav
Knärot
Rynkskinn
Ullticka
Grönpyrola
Revlummer</t>
        </is>
      </c>
      <c r="W498">
        <f>HYPERLINK("https://klasma.github.io/Logging_2080/artfynd/A 48476-2024 artfynd.xlsx", "A 48476-2024")</f>
        <v/>
      </c>
      <c r="X498">
        <f>HYPERLINK("https://klasma.github.io/Logging_2080/kartor/A 48476-2024 karta.png", "A 48476-2024")</f>
        <v/>
      </c>
      <c r="Y498">
        <f>HYPERLINK("https://klasma.github.io/Logging_2080/kartor_geotiff/A 48476-2024 georefererad karta.tif", "A 48476-2024")</f>
        <v/>
      </c>
      <c r="Z498">
        <f>HYPERLINK("https://klasma.github.io/Logging_2080/knärot/A 48476-2024 karta knärot.png", "A 48476-2024")</f>
        <v/>
      </c>
      <c r="AA498">
        <f>HYPERLINK("https://klasma.github.io/Logging_2080/klagomål/A 48476-2024 FSC-klagomål.docx", "A 48476-2024")</f>
        <v/>
      </c>
      <c r="AB498">
        <f>HYPERLINK("https://klasma.github.io/Logging_2080/klagomålsmail/A 48476-2024 FSC-klagomål mail.docx", "A 48476-2024")</f>
        <v/>
      </c>
      <c r="AC498">
        <f>HYPERLINK("https://klasma.github.io/Logging_2080/tillsyn/A 48476-2024 tillsynsbegäran.docx", "A 48476-2024")</f>
        <v/>
      </c>
      <c r="AD498">
        <f>HYPERLINK("https://klasma.github.io/Logging_2080/tillsynsmail/A 48476-2024 tillsynsbegäran mail.docx", "A 48476-2024")</f>
        <v/>
      </c>
    </row>
    <row r="499" ht="15" customHeight="1">
      <c r="A499" t="inlineStr">
        <is>
          <t>A 23681-2026</t>
        </is>
      </c>
      <c r="B499" t="inlineStr">
        <is>
          <t>avverkningsanmälan</t>
        </is>
      </c>
      <c r="C499" t="inlineStr">
        <is>
          <t>Föryngringsavverkning</t>
        </is>
      </c>
      <c r="D499" s="1" t="n">
        <v>46163</v>
      </c>
      <c r="E499" s="1" t="n">
        <v>46319</v>
      </c>
      <c r="F499" t="inlineStr">
        <is>
          <t>DALARNAS LÄN</t>
        </is>
      </c>
      <c r="G499" t="inlineStr">
        <is>
          <t>LUDVIKA</t>
        </is>
      </c>
      <c r="I499" t="n">
        <v>6.2</v>
      </c>
      <c r="J499" t="n">
        <v>3</v>
      </c>
      <c r="K499" t="n">
        <v>2</v>
      </c>
      <c r="L499" t="n">
        <v>2</v>
      </c>
      <c r="M499" t="n">
        <v>0</v>
      </c>
      <c r="N499" t="n">
        <v>0</v>
      </c>
      <c r="O499" t="n">
        <v>0</v>
      </c>
      <c r="P499" t="n">
        <v>0</v>
      </c>
      <c r="Q499" t="n">
        <v>2</v>
      </c>
      <c r="R499" t="n">
        <v>0</v>
      </c>
      <c r="S499" t="n">
        <v>6</v>
      </c>
      <c r="T499" t="n">
        <v>26</v>
      </c>
      <c r="U499" t="n">
        <v>26</v>
      </c>
      <c r="V499" s="2" t="inlineStr">
        <is>
          <t>Dropptaggsvamp
Tretåig hackspett
Blodticka
Mindre märgborre
Järpe
Spillkråka</t>
        </is>
      </c>
      <c r="W499">
        <f>HYPERLINK("https://klasma.github.io/Logging_2085/artfynd/A 23681-2026 artfynd.xlsx", "A 23681-2026")</f>
        <v/>
      </c>
      <c r="X499">
        <f>HYPERLINK("https://klasma.github.io/Logging_2085/kartor/A 23681-2026 karta.png", "A 23681-2026")</f>
        <v/>
      </c>
      <c r="Y499">
        <f>HYPERLINK("https://klasma.github.io/Logging_2085/kartor_geotiff/A 23681-2026 georefererad karta.tif", "A 23681-2026")</f>
        <v/>
      </c>
      <c r="AA499">
        <f>HYPERLINK("https://klasma.github.io/Logging_2085/klagomål/A 23681-2026 FSC-klagomål.docx", "A 23681-2026")</f>
        <v/>
      </c>
      <c r="AB499">
        <f>HYPERLINK("https://klasma.github.io/Logging_2085/klagomålsmail/A 23681-2026 FSC-klagomål mail.docx", "A 23681-2026")</f>
        <v/>
      </c>
      <c r="AC499">
        <f>HYPERLINK("https://klasma.github.io/Logging_2085/tillsyn/A 23681-2026 tillsynsbegäran.docx", "A 23681-2026")</f>
        <v/>
      </c>
      <c r="AD499">
        <f>HYPERLINK("https://klasma.github.io/Logging_2085/tillsynsmail/A 23681-2026 tillsynsbegäran mail.docx", "A 23681-2026")</f>
        <v/>
      </c>
      <c r="AE499">
        <f>HYPERLINK("https://klasma.github.io/Logging_2085/fåglar/A 23681-2026 prioriterade fågelarter.docx", "A 23681-2026")</f>
        <v/>
      </c>
    </row>
    <row r="500" ht="15" customHeight="1">
      <c r="A500" t="inlineStr">
        <is>
          <t>A 6189-2026</t>
        </is>
      </c>
      <c r="B500" t="inlineStr">
        <is>
          <t>avverkningsanmälan</t>
        </is>
      </c>
      <c r="C500" t="inlineStr">
        <is>
          <t>Föryngringsavverkning</t>
        </is>
      </c>
      <c r="D500" s="1" t="n">
        <v>46055</v>
      </c>
      <c r="E500" s="1" t="n">
        <v>46319</v>
      </c>
      <c r="F500" t="inlineStr">
        <is>
          <t>DALARNAS LÄN</t>
        </is>
      </c>
      <c r="G500" t="inlineStr">
        <is>
          <t>MALUNG-SÄLEN</t>
        </is>
      </c>
      <c r="I500" t="n">
        <v>13.4</v>
      </c>
      <c r="J500" t="n">
        <v>1</v>
      </c>
      <c r="K500" t="n">
        <v>0</v>
      </c>
      <c r="L500" t="n">
        <v>5</v>
      </c>
      <c r="M500" t="n">
        <v>1</v>
      </c>
      <c r="N500" t="n">
        <v>0</v>
      </c>
      <c r="O500" t="n">
        <v>0</v>
      </c>
      <c r="P500" t="n">
        <v>0</v>
      </c>
      <c r="Q500" t="n">
        <v>6</v>
      </c>
      <c r="R500" t="n">
        <v>1</v>
      </c>
      <c r="S500" t="n">
        <v>6</v>
      </c>
      <c r="T500" t="n">
        <v>14</v>
      </c>
      <c r="U500" t="n">
        <v>0</v>
      </c>
      <c r="V500" s="2" t="inlineStr">
        <is>
          <t>Smalfotad taggsvamp
Dropptaggsvamp
Dvärgbägarlav
Talltita
Vedskivlav
Violettgrå tagellav</t>
        </is>
      </c>
      <c r="W500">
        <f>HYPERLINK("https://klasma.github.io/Logging_2023/artfynd/A 6189-2026 artfynd.xlsx", "A 6189-2026")</f>
        <v/>
      </c>
      <c r="X500">
        <f>HYPERLINK("https://klasma.github.io/Logging_2023/kartor/A 6189-2026 karta.png", "A 6189-2026")</f>
        <v/>
      </c>
      <c r="Y500">
        <f>HYPERLINK("https://klasma.github.io/Logging_2023/kartor_geotiff/A 6189-2026 georefererad karta.tif", "A 6189-2026")</f>
        <v/>
      </c>
      <c r="AA500">
        <f>HYPERLINK("https://klasma.github.io/Logging_2023/klagomål/A 6189-2026 FSC-klagomål.docx", "A 6189-2026")</f>
        <v/>
      </c>
      <c r="AB500">
        <f>HYPERLINK("https://klasma.github.io/Logging_2023/klagomålsmail/A 6189-2026 FSC-klagomål mail.docx", "A 6189-2026")</f>
        <v/>
      </c>
      <c r="AC500">
        <f>HYPERLINK("https://klasma.github.io/Logging_2023/tillsyn/A 6189-2026 tillsynsbegäran.docx", "A 6189-2026")</f>
        <v/>
      </c>
      <c r="AD500">
        <f>HYPERLINK("https://klasma.github.io/Logging_2023/tillsynsmail/A 6189-2026 tillsynsbegäran mail.docx", "A 6189-2026")</f>
        <v/>
      </c>
      <c r="AE500">
        <f>HYPERLINK("https://klasma.github.io/Logging_2023/fåglar/A 6189-2026 prioriterade fågelarter.docx", "A 6189-2026")</f>
        <v/>
      </c>
    </row>
    <row r="501" ht="15" customHeight="1">
      <c r="A501" t="inlineStr">
        <is>
          <t>A 22701-2024</t>
        </is>
      </c>
      <c r="B501" t="inlineStr">
        <is>
          <t>avverkningsanmälan</t>
        </is>
      </c>
      <c r="C501" t="inlineStr">
        <is>
          <t>Föryngringsavverkning</t>
        </is>
      </c>
      <c r="D501" s="1" t="n">
        <v>45448</v>
      </c>
      <c r="E501" s="1" t="n">
        <v>46319</v>
      </c>
      <c r="F501" t="inlineStr">
        <is>
          <t>DALARNAS LÄN</t>
        </is>
      </c>
      <c r="G501" t="inlineStr">
        <is>
          <t>ÄLVDALEN</t>
        </is>
      </c>
      <c r="H501" t="inlineStr">
        <is>
          <t>Sveaskog</t>
        </is>
      </c>
      <c r="I501" t="n">
        <v>2.7</v>
      </c>
      <c r="J501" t="n">
        <v>0</v>
      </c>
      <c r="K501" t="n">
        <v>0</v>
      </c>
      <c r="L501" t="n">
        <v>3</v>
      </c>
      <c r="M501" t="n">
        <v>3</v>
      </c>
      <c r="N501" t="n">
        <v>0</v>
      </c>
      <c r="O501" t="n">
        <v>0</v>
      </c>
      <c r="P501" t="n">
        <v>0</v>
      </c>
      <c r="Q501" t="n">
        <v>6</v>
      </c>
      <c r="R501" t="n">
        <v>3</v>
      </c>
      <c r="S501" t="n">
        <v>6</v>
      </c>
      <c r="T501" t="n">
        <v>7</v>
      </c>
      <c r="U501" t="n">
        <v>0</v>
      </c>
      <c r="V501" s="2" t="inlineStr">
        <is>
          <t>Smalfotad taggsvamp
Tajgataggsvamp
Tallstocksticka
Dropptaggsvamp
Dvärgbägarlav
Skarp dropptaggsvamp</t>
        </is>
      </c>
      <c r="W501">
        <f>HYPERLINK("https://klasma.github.io/Logging_2039/artfynd/A 22701-2024 artfynd.xlsx", "A 22701-2024")</f>
        <v/>
      </c>
      <c r="X501">
        <f>HYPERLINK("https://klasma.github.io/Logging_2039/kartor/A 22701-2024 karta.png", "A 22701-2024")</f>
        <v/>
      </c>
      <c r="Y501">
        <f>HYPERLINK("https://klasma.github.io/Logging_2039/kartor_geotiff/A 22701-2024 georefererad karta.tif", "A 22701-2024")</f>
        <v/>
      </c>
      <c r="AA501">
        <f>HYPERLINK("https://klasma.github.io/Logging_2039/klagomål/A 22701-2024 FSC-klagomål.docx", "A 22701-2024")</f>
        <v/>
      </c>
      <c r="AB501">
        <f>HYPERLINK("https://klasma.github.io/Logging_2039/klagomålsmail/A 22701-2024 FSC-klagomål mail.docx", "A 22701-2024")</f>
        <v/>
      </c>
      <c r="AC501">
        <f>HYPERLINK("https://klasma.github.io/Logging_2039/tillsyn/A 22701-2024 tillsynsbegäran.docx", "A 22701-2024")</f>
        <v/>
      </c>
      <c r="AD501">
        <f>HYPERLINK("https://klasma.github.io/Logging_2039/tillsynsmail/A 22701-2024 tillsynsbegäran mail.docx", "A 22701-2024")</f>
        <v/>
      </c>
    </row>
    <row r="502" ht="15" customHeight="1">
      <c r="A502" t="inlineStr">
        <is>
          <t>A 22778-2026</t>
        </is>
      </c>
      <c r="B502" t="inlineStr">
        <is>
          <t>avverkningsanmälan</t>
        </is>
      </c>
      <c r="C502" t="inlineStr">
        <is>
          <t>Föryngringsavverkning</t>
        </is>
      </c>
      <c r="D502" s="1" t="n">
        <v>46157</v>
      </c>
      <c r="E502" s="1" t="n">
        <v>46319</v>
      </c>
      <c r="F502" t="inlineStr">
        <is>
          <t>DALARNAS LÄN</t>
        </is>
      </c>
      <c r="G502" t="inlineStr">
        <is>
          <t>ORSA</t>
        </is>
      </c>
      <c r="I502" t="n">
        <v>2.3</v>
      </c>
      <c r="J502" t="n">
        <v>4</v>
      </c>
      <c r="K502" t="n">
        <v>1</v>
      </c>
      <c r="L502" t="n">
        <v>1</v>
      </c>
      <c r="M502" t="n">
        <v>0</v>
      </c>
      <c r="N502" t="n">
        <v>0</v>
      </c>
      <c r="O502" t="n">
        <v>0</v>
      </c>
      <c r="P502" t="n">
        <v>0</v>
      </c>
      <c r="Q502" t="n">
        <v>1</v>
      </c>
      <c r="R502" t="n">
        <v>0</v>
      </c>
      <c r="S502" t="n">
        <v>6</v>
      </c>
      <c r="T502" t="n">
        <v>8</v>
      </c>
      <c r="U502" t="n">
        <v>6</v>
      </c>
      <c r="V502" s="2" t="inlineStr">
        <is>
          <t>Blå taggsvamp
Mindre märgborre
Spillkråka
Grönsiska
Svartvit flugsnappare
Trädlärka</t>
        </is>
      </c>
      <c r="W502">
        <f>HYPERLINK("https://klasma.github.io/Logging_2034/artfynd/A 22778-2026 artfynd.xlsx", "A 22778-2026")</f>
        <v/>
      </c>
      <c r="X502">
        <f>HYPERLINK("https://klasma.github.io/Logging_2034/kartor/A 22778-2026 karta.png", "A 22778-2026")</f>
        <v/>
      </c>
      <c r="Y502">
        <f>HYPERLINK("https://klasma.github.io/Logging_2034/kartor_geotiff/A 22778-2026 georefererad karta.tif", "A 22778-2026")</f>
        <v/>
      </c>
      <c r="AA502">
        <f>HYPERLINK("https://klasma.github.io/Logging_2034/klagomål/A 22778-2026 FSC-klagomål.docx", "A 22778-2026")</f>
        <v/>
      </c>
      <c r="AB502">
        <f>HYPERLINK("https://klasma.github.io/Logging_2034/klagomålsmail/A 22778-2026 FSC-klagomål mail.docx", "A 22778-2026")</f>
        <v/>
      </c>
      <c r="AC502">
        <f>HYPERLINK("https://klasma.github.io/Logging_2034/tillsyn/A 22778-2026 tillsynsbegäran.docx", "A 22778-2026")</f>
        <v/>
      </c>
      <c r="AD502">
        <f>HYPERLINK("https://klasma.github.io/Logging_2034/tillsynsmail/A 22778-2026 tillsynsbegäran mail.docx", "A 22778-2026")</f>
        <v/>
      </c>
      <c r="AE502">
        <f>HYPERLINK("https://klasma.github.io/Logging_2034/fåglar/A 22778-2026 prioriterade fågelarter.docx", "A 22778-2026")</f>
        <v/>
      </c>
    </row>
    <row r="503" ht="15" customHeight="1">
      <c r="A503" t="inlineStr">
        <is>
          <t>A 23464-2023</t>
        </is>
      </c>
      <c r="B503" t="inlineStr">
        <is>
          <t>avverkningsanmälan</t>
        </is>
      </c>
      <c r="C503" t="inlineStr">
        <is>
          <t>Föryngringsavverkning</t>
        </is>
      </c>
      <c r="D503" s="1" t="n">
        <v>45076</v>
      </c>
      <c r="E503" s="1" t="n">
        <v>46319</v>
      </c>
      <c r="F503" t="inlineStr">
        <is>
          <t>DALARNAS LÄN</t>
        </is>
      </c>
      <c r="G503" t="inlineStr">
        <is>
          <t>SÄTER</t>
        </is>
      </c>
      <c r="I503" t="n">
        <v>4.6</v>
      </c>
      <c r="J503" t="n">
        <v>0</v>
      </c>
      <c r="K503" t="n">
        <v>2</v>
      </c>
      <c r="L503" t="n">
        <v>3</v>
      </c>
      <c r="M503" t="n">
        <v>1</v>
      </c>
      <c r="N503" t="n">
        <v>0</v>
      </c>
      <c r="O503" t="n">
        <v>0</v>
      </c>
      <c r="P503" t="n">
        <v>0</v>
      </c>
      <c r="Q503" t="n">
        <v>4</v>
      </c>
      <c r="R503" t="n">
        <v>1</v>
      </c>
      <c r="S503" t="n">
        <v>6</v>
      </c>
      <c r="T503" t="n">
        <v>23</v>
      </c>
      <c r="U503" t="n">
        <v>2</v>
      </c>
      <c r="V503" s="2" t="inlineStr">
        <is>
          <t>Lammticka
Dropptaggsvamp
Skarp dropptaggsvamp
Tallfingersvamp
Rökmusseron
Smal svampklubba</t>
        </is>
      </c>
      <c r="W503">
        <f>HYPERLINK("https://klasma.github.io/Logging_2082/artfynd/A 23464-2023 artfynd.xlsx", "A 23464-2023")</f>
        <v/>
      </c>
      <c r="X503">
        <f>HYPERLINK("https://klasma.github.io/Logging_2082/kartor/A 23464-2023 karta.png", "A 23464-2023")</f>
        <v/>
      </c>
      <c r="Y503">
        <f>HYPERLINK("https://klasma.github.io/Logging_2082/kartor_geotiff/A 23464-2023 georefererad karta.tif", "A 23464-2023")</f>
        <v/>
      </c>
      <c r="AA503">
        <f>HYPERLINK("https://klasma.github.io/Logging_2082/klagomål/A 23464-2023 FSC-klagomål.docx", "A 23464-2023")</f>
        <v/>
      </c>
      <c r="AB503">
        <f>HYPERLINK("https://klasma.github.io/Logging_2082/klagomålsmail/A 23464-2023 FSC-klagomål mail.docx", "A 23464-2023")</f>
        <v/>
      </c>
      <c r="AC503">
        <f>HYPERLINK("https://klasma.github.io/Logging_2082/tillsyn/A 23464-2023 tillsynsbegäran.docx", "A 23464-2023")</f>
        <v/>
      </c>
      <c r="AD503">
        <f>HYPERLINK("https://klasma.github.io/Logging_2082/tillsynsmail/A 23464-2023 tillsynsbegäran mail.docx", "A 23464-2023")</f>
        <v/>
      </c>
    </row>
    <row r="504" ht="15" customHeight="1">
      <c r="A504" t="inlineStr">
        <is>
          <t>A 53633-2024</t>
        </is>
      </c>
      <c r="B504" t="inlineStr">
        <is>
          <t>avverkningsanmälan</t>
        </is>
      </c>
      <c r="C504" t="inlineStr">
        <is>
          <t>Föryngringsavverkning</t>
        </is>
      </c>
      <c r="D504" s="1" t="n">
        <v>45614</v>
      </c>
      <c r="E504" s="1" t="n">
        <v>46319</v>
      </c>
      <c r="F504" t="inlineStr">
        <is>
          <t>DALARNAS LÄN</t>
        </is>
      </c>
      <c r="G504" t="inlineStr">
        <is>
          <t>LEKSAND</t>
        </is>
      </c>
      <c r="I504" t="n">
        <v>1.6</v>
      </c>
      <c r="J504" t="n">
        <v>5</v>
      </c>
      <c r="K504" t="n">
        <v>0</v>
      </c>
      <c r="L504" t="n">
        <v>1</v>
      </c>
      <c r="M504" t="n">
        <v>1</v>
      </c>
      <c r="N504" t="n">
        <v>0</v>
      </c>
      <c r="O504" t="n">
        <v>0</v>
      </c>
      <c r="P504" t="n">
        <v>0</v>
      </c>
      <c r="Q504" t="n">
        <v>2</v>
      </c>
      <c r="R504" t="n">
        <v>1</v>
      </c>
      <c r="S504" t="n">
        <v>6</v>
      </c>
      <c r="T504" t="n">
        <v>7</v>
      </c>
      <c r="U504" t="n">
        <v>7</v>
      </c>
      <c r="V504" s="2" t="inlineStr">
        <is>
          <t>Garnlav
Tretåig hackspett
Spillkråka
Tjäder
Tofsmes
Fläcknycklar</t>
        </is>
      </c>
      <c r="W504">
        <f>HYPERLINK("https://klasma.github.io/Logging_2029/artfynd/A 53633-2024 artfynd.xlsx", "A 53633-2024")</f>
        <v/>
      </c>
      <c r="X504">
        <f>HYPERLINK("https://klasma.github.io/Logging_2029/kartor/A 53633-2024 karta.png", "A 53633-2024")</f>
        <v/>
      </c>
      <c r="Y504">
        <f>HYPERLINK("https://klasma.github.io/Logging_2029/kartor_geotiff/A 53633-2024 georefererad karta.tif", "A 53633-2024")</f>
        <v/>
      </c>
      <c r="AA504">
        <f>HYPERLINK("https://klasma.github.io/Logging_2029/klagomål/A 53633-2024 FSC-klagomål.docx", "A 53633-2024")</f>
        <v/>
      </c>
      <c r="AB504">
        <f>HYPERLINK("https://klasma.github.io/Logging_2029/klagomålsmail/A 53633-2024 FSC-klagomål mail.docx", "A 53633-2024")</f>
        <v/>
      </c>
      <c r="AC504">
        <f>HYPERLINK("https://klasma.github.io/Logging_2029/tillsyn/A 53633-2024 tillsynsbegäran.docx", "A 53633-2024")</f>
        <v/>
      </c>
      <c r="AD504">
        <f>HYPERLINK("https://klasma.github.io/Logging_2029/tillsynsmail/A 53633-2024 tillsynsbegäran mail.docx", "A 53633-2024")</f>
        <v/>
      </c>
      <c r="AE504">
        <f>HYPERLINK("https://klasma.github.io/Logging_2029/fåglar/A 53633-2024 prioriterade fågelarter.docx", "A 53633-2024")</f>
        <v/>
      </c>
    </row>
    <row r="505" ht="15" customHeight="1">
      <c r="A505" t="inlineStr">
        <is>
          <t>A 14209-2024</t>
        </is>
      </c>
      <c r="B505" t="inlineStr">
        <is>
          <t>avverkningsanmälan</t>
        </is>
      </c>
      <c r="C505" t="inlineStr">
        <is>
          <t>Föryngringsavverkning</t>
        </is>
      </c>
      <c r="D505" s="1" t="n">
        <v>45393</v>
      </c>
      <c r="E505" s="1" t="n">
        <v>46319</v>
      </c>
      <c r="F505" t="inlineStr">
        <is>
          <t>DALARNAS LÄN</t>
        </is>
      </c>
      <c r="G505" t="inlineStr">
        <is>
          <t>RÄTTVIK</t>
        </is>
      </c>
      <c r="I505" t="n">
        <v>0.6</v>
      </c>
      <c r="J505" t="n">
        <v>0</v>
      </c>
      <c r="K505" t="n">
        <v>2</v>
      </c>
      <c r="L505" t="n">
        <v>3</v>
      </c>
      <c r="M505" t="n">
        <v>1</v>
      </c>
      <c r="N505" t="n">
        <v>0</v>
      </c>
      <c r="O505" t="n">
        <v>0</v>
      </c>
      <c r="P505" t="n">
        <v>0</v>
      </c>
      <c r="Q505" t="n">
        <v>4</v>
      </c>
      <c r="R505" t="n">
        <v>1</v>
      </c>
      <c r="S505" t="n">
        <v>6</v>
      </c>
      <c r="T505" t="n">
        <v>7</v>
      </c>
      <c r="U505" t="n">
        <v>7</v>
      </c>
      <c r="V505" s="2" t="inlineStr">
        <is>
          <t>Garnlav
Rosenticka
Rynkskinn
Ullticka
Svavelriska
Vedticka</t>
        </is>
      </c>
      <c r="W505">
        <f>HYPERLINK("https://klasma.github.io/Logging_2031/artfynd/A 14209-2024 artfynd.xlsx", "A 14209-2024")</f>
        <v/>
      </c>
      <c r="X505">
        <f>HYPERLINK("https://klasma.github.io/Logging_2031/kartor/A 14209-2024 karta.png", "A 14209-2024")</f>
        <v/>
      </c>
      <c r="Y505">
        <f>HYPERLINK("https://klasma.github.io/Logging_2031/kartor_geotiff/A 14209-2024 georefererad karta.tif", "A 14209-2024")</f>
        <v/>
      </c>
      <c r="AA505">
        <f>HYPERLINK("https://klasma.github.io/Logging_2031/klagomål/A 14209-2024 FSC-klagomål.docx", "A 14209-2024")</f>
        <v/>
      </c>
      <c r="AB505">
        <f>HYPERLINK("https://klasma.github.io/Logging_2031/klagomålsmail/A 14209-2024 FSC-klagomål mail.docx", "A 14209-2024")</f>
        <v/>
      </c>
      <c r="AC505">
        <f>HYPERLINK("https://klasma.github.io/Logging_2031/tillsyn/A 14209-2024 tillsynsbegäran.docx", "A 14209-2024")</f>
        <v/>
      </c>
      <c r="AD505">
        <f>HYPERLINK("https://klasma.github.io/Logging_2031/tillsynsmail/A 14209-2024 tillsynsbegäran mail.docx", "A 14209-2024")</f>
        <v/>
      </c>
    </row>
    <row r="506" ht="15" customHeight="1">
      <c r="A506" t="inlineStr">
        <is>
          <t>A 31622-2023</t>
        </is>
      </c>
      <c r="B506" t="inlineStr">
        <is>
          <t>avverkningsanmälan</t>
        </is>
      </c>
      <c r="C506" t="inlineStr">
        <is>
          <t>Föryngringsavverkning</t>
        </is>
      </c>
      <c r="D506" s="1" t="n">
        <v>45117</v>
      </c>
      <c r="E506" s="1" t="n">
        <v>46319</v>
      </c>
      <c r="F506" t="inlineStr">
        <is>
          <t>DALARNAS LÄN</t>
        </is>
      </c>
      <c r="G506" t="inlineStr">
        <is>
          <t>FALUN</t>
        </is>
      </c>
      <c r="H506" t="inlineStr">
        <is>
          <t>Bergvik skog väst AB</t>
        </is>
      </c>
      <c r="I506" t="n">
        <v>6.6</v>
      </c>
      <c r="J506" t="n">
        <v>4</v>
      </c>
      <c r="K506" t="n">
        <v>2</v>
      </c>
      <c r="L506" t="n">
        <v>1</v>
      </c>
      <c r="M506" t="n">
        <v>1</v>
      </c>
      <c r="N506" t="n">
        <v>0</v>
      </c>
      <c r="O506" t="n">
        <v>0</v>
      </c>
      <c r="P506" t="n">
        <v>0</v>
      </c>
      <c r="Q506" t="n">
        <v>2</v>
      </c>
      <c r="R506" t="n">
        <v>1</v>
      </c>
      <c r="S506" t="n">
        <v>6</v>
      </c>
      <c r="T506" t="n">
        <v>29</v>
      </c>
      <c r="U506" t="n">
        <v>5</v>
      </c>
      <c r="V506" s="2" t="inlineStr">
        <is>
          <t>Knärot
Gultoppig fingersvamp
Grönpyrola
Plattlummer
Mattlummer
Spillkråka</t>
        </is>
      </c>
      <c r="W506">
        <f>HYPERLINK("https://klasma.github.io/Logging_2080/artfynd/A 31622-2023 artfynd.xlsx", "A 31622-2023")</f>
        <v/>
      </c>
      <c r="X506">
        <f>HYPERLINK("https://klasma.github.io/Logging_2080/kartor/A 31622-2023 karta.png", "A 31622-2023")</f>
        <v/>
      </c>
      <c r="Y506">
        <f>HYPERLINK("https://klasma.github.io/Logging_2080/kartor_geotiff/A 31622-2023 georefererad karta.tif", "A 31622-2023")</f>
        <v/>
      </c>
      <c r="Z506">
        <f>HYPERLINK("https://klasma.github.io/Logging_2080/knärot/A 31622-2023 karta knärot.png", "A 31622-2023")</f>
        <v/>
      </c>
      <c r="AA506">
        <f>HYPERLINK("https://klasma.github.io/Logging_2080/klagomål/A 31622-2023 FSC-klagomål.docx", "A 31622-2023")</f>
        <v/>
      </c>
      <c r="AB506">
        <f>HYPERLINK("https://klasma.github.io/Logging_2080/klagomålsmail/A 31622-2023 FSC-klagomål mail.docx", "A 31622-2023")</f>
        <v/>
      </c>
      <c r="AC506">
        <f>HYPERLINK("https://klasma.github.io/Logging_2080/tillsyn/A 31622-2023 tillsynsbegäran.docx", "A 31622-2023")</f>
        <v/>
      </c>
      <c r="AD506">
        <f>HYPERLINK("https://klasma.github.io/Logging_2080/tillsynsmail/A 31622-2023 tillsynsbegäran mail.docx", "A 31622-2023")</f>
        <v/>
      </c>
      <c r="AE506">
        <f>HYPERLINK("https://klasma.github.io/Logging_2080/fåglar/A 31622-2023 prioriterade fågelarter.docx", "A 31622-2023")</f>
        <v/>
      </c>
    </row>
    <row r="507" ht="15" customHeight="1">
      <c r="A507" t="inlineStr">
        <is>
          <t>A 5415-2024</t>
        </is>
      </c>
      <c r="B507" t="inlineStr">
        <is>
          <t>avverkningsanmälan</t>
        </is>
      </c>
      <c r="C507" t="inlineStr">
        <is>
          <t>Föryngringsavverkning</t>
        </is>
      </c>
      <c r="D507" s="1" t="n">
        <v>45331</v>
      </c>
      <c r="E507" s="1" t="n">
        <v>46319</v>
      </c>
      <c r="F507" t="inlineStr">
        <is>
          <t>DALARNAS LÄN</t>
        </is>
      </c>
      <c r="G507" t="inlineStr">
        <is>
          <t>FALUN</t>
        </is>
      </c>
      <c r="I507" t="n">
        <v>4.7</v>
      </c>
      <c r="J507" t="n">
        <v>2</v>
      </c>
      <c r="K507" t="n">
        <v>3</v>
      </c>
      <c r="L507" t="n">
        <v>1</v>
      </c>
      <c r="M507" t="n">
        <v>0</v>
      </c>
      <c r="N507" t="n">
        <v>0</v>
      </c>
      <c r="O507" t="n">
        <v>0</v>
      </c>
      <c r="P507" t="n">
        <v>0</v>
      </c>
      <c r="Q507" t="n">
        <v>1</v>
      </c>
      <c r="R507" t="n">
        <v>0</v>
      </c>
      <c r="S507" t="n">
        <v>6</v>
      </c>
      <c r="T507" t="n">
        <v>8</v>
      </c>
      <c r="U507" t="n">
        <v>3</v>
      </c>
      <c r="V507" s="2" t="inlineStr">
        <is>
          <t>Tallticka
Bronshjon
Gullgröppa
Mindre märgborre
Tjäder
Revlummer</t>
        </is>
      </c>
      <c r="W507">
        <f>HYPERLINK("https://klasma.github.io/Logging_2080/artfynd/A 5415-2024 artfynd.xlsx", "A 5415-2024")</f>
        <v/>
      </c>
      <c r="X507">
        <f>HYPERLINK("https://klasma.github.io/Logging_2080/kartor/A 5415-2024 karta.png", "A 5415-2024")</f>
        <v/>
      </c>
      <c r="Y507">
        <f>HYPERLINK("https://klasma.github.io/Logging_2080/kartor_geotiff/A 5415-2024 georefererad karta.tif", "A 5415-2024")</f>
        <v/>
      </c>
      <c r="AA507">
        <f>HYPERLINK("https://klasma.github.io/Logging_2080/klagomål/A 5415-2024 FSC-klagomål.docx", "A 5415-2024")</f>
        <v/>
      </c>
      <c r="AB507">
        <f>HYPERLINK("https://klasma.github.io/Logging_2080/klagomålsmail/A 5415-2024 FSC-klagomål mail.docx", "A 5415-2024")</f>
        <v/>
      </c>
      <c r="AC507">
        <f>HYPERLINK("https://klasma.github.io/Logging_2080/tillsyn/A 5415-2024 tillsynsbegäran.docx", "A 5415-2024")</f>
        <v/>
      </c>
      <c r="AD507">
        <f>HYPERLINK("https://klasma.github.io/Logging_2080/tillsynsmail/A 5415-2024 tillsynsbegäran mail.docx", "A 5415-2024")</f>
        <v/>
      </c>
      <c r="AE507">
        <f>HYPERLINK("https://klasma.github.io/Logging_2080/fåglar/A 5415-2024 prioriterade fågelarter.docx", "A 5415-2024")</f>
        <v/>
      </c>
    </row>
    <row r="508" ht="15" customHeight="1">
      <c r="A508" t="inlineStr">
        <is>
          <t>A 49053-2023</t>
        </is>
      </c>
      <c r="B508" t="inlineStr">
        <is>
          <t>avverkningsanmälan</t>
        </is>
      </c>
      <c r="C508" t="inlineStr">
        <is>
          <t>Föryngringsavverkning</t>
        </is>
      </c>
      <c r="D508" s="1" t="n">
        <v>45210</v>
      </c>
      <c r="E508" s="1" t="n">
        <v>46319</v>
      </c>
      <c r="F508" t="inlineStr">
        <is>
          <t>DALARNAS LÄN</t>
        </is>
      </c>
      <c r="G508" t="inlineStr">
        <is>
          <t>ÄLVDALEN</t>
        </is>
      </c>
      <c r="H508" t="inlineStr">
        <is>
          <t>Sveaskog</t>
        </is>
      </c>
      <c r="I508" t="n">
        <v>3.6</v>
      </c>
      <c r="J508" t="n">
        <v>0</v>
      </c>
      <c r="K508" t="n">
        <v>0</v>
      </c>
      <c r="L508" t="n">
        <v>5</v>
      </c>
      <c r="M508" t="n">
        <v>1</v>
      </c>
      <c r="N508" t="n">
        <v>0</v>
      </c>
      <c r="O508" t="n">
        <v>0</v>
      </c>
      <c r="P508" t="n">
        <v>0</v>
      </c>
      <c r="Q508" t="n">
        <v>6</v>
      </c>
      <c r="R508" t="n">
        <v>1</v>
      </c>
      <c r="S508" t="n">
        <v>6</v>
      </c>
      <c r="T508" t="n">
        <v>7</v>
      </c>
      <c r="U508" t="n">
        <v>5</v>
      </c>
      <c r="V508" s="2" t="inlineStr">
        <is>
          <t>Gräddporing
Dropptaggsvamp
Kolflarnlav
Nordtagging
Skarp dropptaggsvamp
Vedflamlav</t>
        </is>
      </c>
      <c r="W508">
        <f>HYPERLINK("https://klasma.github.io/Logging_2039/artfynd/A 49053-2023 artfynd.xlsx", "A 49053-2023")</f>
        <v/>
      </c>
      <c r="X508">
        <f>HYPERLINK("https://klasma.github.io/Logging_2039/kartor/A 49053-2023 karta.png", "A 49053-2023")</f>
        <v/>
      </c>
      <c r="Y508">
        <f>HYPERLINK("https://klasma.github.io/Logging_2039/kartor_geotiff/A 49053-2023 georefererad karta.tif", "A 49053-2023")</f>
        <v/>
      </c>
      <c r="AA508">
        <f>HYPERLINK("https://klasma.github.io/Logging_2039/klagomål/A 49053-2023 FSC-klagomål.docx", "A 49053-2023")</f>
        <v/>
      </c>
      <c r="AB508">
        <f>HYPERLINK("https://klasma.github.io/Logging_2039/klagomålsmail/A 49053-2023 FSC-klagomål mail.docx", "A 49053-2023")</f>
        <v/>
      </c>
      <c r="AC508">
        <f>HYPERLINK("https://klasma.github.io/Logging_2039/tillsyn/A 49053-2023 tillsynsbegäran.docx", "A 49053-2023")</f>
        <v/>
      </c>
      <c r="AD508">
        <f>HYPERLINK("https://klasma.github.io/Logging_2039/tillsynsmail/A 49053-2023 tillsynsbegäran mail.docx", "A 49053-2023")</f>
        <v/>
      </c>
    </row>
    <row r="509" ht="15" customHeight="1">
      <c r="A509" t="inlineStr">
        <is>
          <t>A 19262-2025</t>
        </is>
      </c>
      <c r="B509" t="inlineStr">
        <is>
          <t>avverkningsanmälan</t>
        </is>
      </c>
      <c r="C509" t="inlineStr">
        <is>
          <t>Föryngringsavverkning</t>
        </is>
      </c>
      <c r="D509" s="1" t="n">
        <v>45769</v>
      </c>
      <c r="E509" s="1" t="n">
        <v>46319</v>
      </c>
      <c r="F509" t="inlineStr">
        <is>
          <t>DALARNAS LÄN</t>
        </is>
      </c>
      <c r="G509" t="inlineStr">
        <is>
          <t>ÄLVDALEN</t>
        </is>
      </c>
      <c r="H509" t="inlineStr">
        <is>
          <t>Allmännings- och besparingsskogar</t>
        </is>
      </c>
      <c r="I509" t="n">
        <v>8.800000000000001</v>
      </c>
      <c r="J509" t="n">
        <v>0</v>
      </c>
      <c r="K509" t="n">
        <v>0</v>
      </c>
      <c r="L509" t="n">
        <v>3</v>
      </c>
      <c r="M509" t="n">
        <v>2</v>
      </c>
      <c r="N509" t="n">
        <v>1</v>
      </c>
      <c r="O509" t="n">
        <v>0</v>
      </c>
      <c r="P509" t="n">
        <v>0</v>
      </c>
      <c r="Q509" t="n">
        <v>6</v>
      </c>
      <c r="R509" t="n">
        <v>3</v>
      </c>
      <c r="S509" t="n">
        <v>6</v>
      </c>
      <c r="T509" t="n">
        <v>7</v>
      </c>
      <c r="U509" t="n">
        <v>3</v>
      </c>
      <c r="V509" s="2" t="inlineStr">
        <is>
          <t>Broktagel
Garnlav
Gräddporing
Dvärgbägarlav
Nordtagging
Skuggblåslav</t>
        </is>
      </c>
      <c r="W509">
        <f>HYPERLINK("https://klasma.github.io/Logging_2039/artfynd/A 19262-2025 artfynd.xlsx", "A 19262-2025")</f>
        <v/>
      </c>
      <c r="X509">
        <f>HYPERLINK("https://klasma.github.io/Logging_2039/kartor/A 19262-2025 karta.png", "A 19262-2025")</f>
        <v/>
      </c>
      <c r="Y509">
        <f>HYPERLINK("https://klasma.github.io/Logging_2039/kartor_geotiff/A 19262-2025 georefererad karta.tif", "A 19262-2025")</f>
        <v/>
      </c>
      <c r="AA509">
        <f>HYPERLINK("https://klasma.github.io/Logging_2039/klagomål/A 19262-2025 FSC-klagomål.docx", "A 19262-2025")</f>
        <v/>
      </c>
      <c r="AB509">
        <f>HYPERLINK("https://klasma.github.io/Logging_2039/klagomålsmail/A 19262-2025 FSC-klagomål mail.docx", "A 19262-2025")</f>
        <v/>
      </c>
      <c r="AC509">
        <f>HYPERLINK("https://klasma.github.io/Logging_2039/tillsyn/A 19262-2025 tillsynsbegäran.docx", "A 19262-2025")</f>
        <v/>
      </c>
      <c r="AD509">
        <f>HYPERLINK("https://klasma.github.io/Logging_2039/tillsynsmail/A 19262-2025 tillsynsbegäran mail.docx", "A 19262-2025")</f>
        <v/>
      </c>
    </row>
    <row r="510" ht="15" customHeight="1">
      <c r="A510" t="inlineStr">
        <is>
          <t>S 2004-2020</t>
        </is>
      </c>
      <c r="B510" t="inlineStr">
        <is>
          <t>samrådsanmälan</t>
        </is>
      </c>
      <c r="C510" t="inlineStr">
        <is>
          <t>Askåterföring</t>
        </is>
      </c>
      <c r="D510" s="1" t="n">
        <v>44090</v>
      </c>
      <c r="E510" s="1" t="n">
        <v>46319</v>
      </c>
      <c r="F510" t="inlineStr">
        <is>
          <t>DALARNAS LÄN</t>
        </is>
      </c>
      <c r="G510" t="inlineStr">
        <is>
          <t>MALUNG-SÄLEN</t>
        </is>
      </c>
      <c r="H510" t="inlineStr">
        <is>
          <t>Allmännings- och besparingsskogar</t>
        </is>
      </c>
      <c r="I510" t="n">
        <v>300.7</v>
      </c>
      <c r="J510" t="n">
        <v>0</v>
      </c>
      <c r="K510" t="n">
        <v>0</v>
      </c>
      <c r="L510" t="n">
        <v>4</v>
      </c>
      <c r="M510" t="n">
        <v>2</v>
      </c>
      <c r="N510" t="n">
        <v>0</v>
      </c>
      <c r="O510" t="n">
        <v>0</v>
      </c>
      <c r="P510" t="n">
        <v>0</v>
      </c>
      <c r="Q510" t="n">
        <v>6</v>
      </c>
      <c r="R510" t="n">
        <v>2</v>
      </c>
      <c r="S510" t="n">
        <v>6</v>
      </c>
      <c r="T510" t="n">
        <v>10</v>
      </c>
      <c r="U510" t="n">
        <v>1</v>
      </c>
      <c r="V510" s="2" t="inlineStr">
        <is>
          <t>Garnlav
Gräddporing
Dvärgbägarlav
Kolflarnlav
Skrovellav
Vedtrappmossa</t>
        </is>
      </c>
      <c r="W510">
        <f>HYPERLINK("https://klasma.github.io/Logging_2023/artfynd/S 2004-2020 artfynd.xlsx", "S 2004-2020")</f>
        <v/>
      </c>
      <c r="X510">
        <f>HYPERLINK("https://klasma.github.io/Logging_2023/kartor/S 2004-2020 karta.png", "S 2004-2020")</f>
        <v/>
      </c>
      <c r="Y510">
        <f>HYPERLINK("https://klasma.github.io/Logging_2023/kartor_geotiff/S 2004-2020 georefererad karta.tif", "S 2004-2020")</f>
        <v/>
      </c>
      <c r="AA510">
        <f>HYPERLINK("https://klasma.github.io/Logging_2023/klagomål/S 2004-2020 FSC-klagomål.docx", "S 2004-2020")</f>
        <v/>
      </c>
      <c r="AB510">
        <f>HYPERLINK("https://klasma.github.io/Logging_2023/klagomålsmail/S 2004-2020 FSC-klagomål mail.docx", "S 2004-2020")</f>
        <v/>
      </c>
      <c r="AC510">
        <f>HYPERLINK("https://klasma.github.io/Logging_2023/tillsyn/S 2004-2020 tillsynsbegäran.docx", "S 2004-2020")</f>
        <v/>
      </c>
      <c r="AD510">
        <f>HYPERLINK("https://klasma.github.io/Logging_2023/tillsynsmail/S 2004-2020 tillsynsbegäran mail.docx", "S 2004-2020")</f>
        <v/>
      </c>
    </row>
    <row r="511" ht="15" customHeight="1">
      <c r="A511" t="inlineStr">
        <is>
          <t>S 3178-2022</t>
        </is>
      </c>
      <c r="B511" t="inlineStr">
        <is>
          <t>samrådsanmälan</t>
        </is>
      </c>
      <c r="C511" t="inlineStr">
        <is>
          <t>Askåterföring</t>
        </is>
      </c>
      <c r="D511" s="1" t="n">
        <v>44722</v>
      </c>
      <c r="E511" s="1" t="n">
        <v>46319</v>
      </c>
      <c r="F511" t="inlineStr">
        <is>
          <t>DALARNAS LÄN</t>
        </is>
      </c>
      <c r="G511" t="inlineStr">
        <is>
          <t>MALUNG-SÄLEN</t>
        </is>
      </c>
      <c r="H511" t="inlineStr">
        <is>
          <t>Allmännings- och besparingsskogar</t>
        </is>
      </c>
      <c r="I511" t="n">
        <v>96.40000000000001</v>
      </c>
      <c r="J511" t="n">
        <v>0</v>
      </c>
      <c r="K511" t="n">
        <v>1</v>
      </c>
      <c r="L511" t="n">
        <v>4</v>
      </c>
      <c r="M511" t="n">
        <v>1</v>
      </c>
      <c r="N511" t="n">
        <v>0</v>
      </c>
      <c r="O511" t="n">
        <v>0</v>
      </c>
      <c r="P511" t="n">
        <v>0</v>
      </c>
      <c r="Q511" t="n">
        <v>5</v>
      </c>
      <c r="R511" t="n">
        <v>1</v>
      </c>
      <c r="S511" t="n">
        <v>6</v>
      </c>
      <c r="T511" t="n">
        <v>10</v>
      </c>
      <c r="U511" t="n">
        <v>0</v>
      </c>
      <c r="V511" s="2" t="inlineStr">
        <is>
          <t>Garnlav
Mörk kolflarnlav
Skuggblåslav
Vedskivlav
Violettgrå tagellav
Bollvitmossa</t>
        </is>
      </c>
      <c r="W511">
        <f>HYPERLINK("https://klasma.github.io/Logging_2023/artfynd/S 3178-2022 artfynd.xlsx", "S 3178-2022")</f>
        <v/>
      </c>
      <c r="X511">
        <f>HYPERLINK("https://klasma.github.io/Logging_2023/kartor/S 3178-2022 karta.png", "S 3178-2022")</f>
        <v/>
      </c>
      <c r="Y511">
        <f>HYPERLINK("https://klasma.github.io/Logging_2023/kartor_geotiff/S 3178-2022 georefererad karta.tif", "S 3178-2022")</f>
        <v/>
      </c>
      <c r="AA511">
        <f>HYPERLINK("https://klasma.github.io/Logging_2023/klagomål/S 3178-2022 FSC-klagomål.docx", "S 3178-2022")</f>
        <v/>
      </c>
      <c r="AB511">
        <f>HYPERLINK("https://klasma.github.io/Logging_2023/klagomålsmail/S 3178-2022 FSC-klagomål mail.docx", "S 3178-2022")</f>
        <v/>
      </c>
      <c r="AC511">
        <f>HYPERLINK("https://klasma.github.io/Logging_2023/tillsyn/S 3178-2022 tillsynsbegäran.docx", "S 3178-2022")</f>
        <v/>
      </c>
      <c r="AD511">
        <f>HYPERLINK("https://klasma.github.io/Logging_2023/tillsynsmail/S 3178-2022 tillsynsbegäran mail.docx", "S 3178-2022")</f>
        <v/>
      </c>
    </row>
    <row r="512" ht="15" customHeight="1">
      <c r="A512" t="inlineStr">
        <is>
          <t>S 1076-2022</t>
        </is>
      </c>
      <c r="B512" t="inlineStr">
        <is>
          <t>samrådsanmälan</t>
        </is>
      </c>
      <c r="C512" t="inlineStr">
        <is>
          <t>Skogsgödsling</t>
        </is>
      </c>
      <c r="D512" s="1" t="n">
        <v>44614</v>
      </c>
      <c r="E512" s="1" t="n">
        <v>46319</v>
      </c>
      <c r="F512" t="inlineStr">
        <is>
          <t>DALARNAS LÄN</t>
        </is>
      </c>
      <c r="G512" t="inlineStr">
        <is>
          <t>FALUN</t>
        </is>
      </c>
      <c r="H512" t="inlineStr">
        <is>
          <t>Bergvik skog väst AB</t>
        </is>
      </c>
      <c r="I512" t="n">
        <v>470.9</v>
      </c>
      <c r="J512" t="n">
        <v>3</v>
      </c>
      <c r="K512" t="n">
        <v>1</v>
      </c>
      <c r="L512" t="n">
        <v>1</v>
      </c>
      <c r="M512" t="n">
        <v>0</v>
      </c>
      <c r="N512" t="n">
        <v>1</v>
      </c>
      <c r="O512" t="n">
        <v>0</v>
      </c>
      <c r="P512" t="n">
        <v>0</v>
      </c>
      <c r="Q512" t="n">
        <v>2</v>
      </c>
      <c r="R512" t="n">
        <v>1</v>
      </c>
      <c r="S512" t="n">
        <v>6</v>
      </c>
      <c r="T512" t="n">
        <v>8</v>
      </c>
      <c r="U512" t="n">
        <v>6</v>
      </c>
      <c r="V512" s="2" t="inlineStr">
        <is>
          <t>Flodpärlmussla
Månlåsbräken
Vedticka
Mattlummer
Tjäder
Kungsfågel</t>
        </is>
      </c>
      <c r="W512">
        <f>HYPERLINK("https://klasma.github.io/Logging_2080/artfynd/S 1076-2022 artfynd.xlsx", "S 1076-2022")</f>
        <v/>
      </c>
      <c r="X512">
        <f>HYPERLINK("https://klasma.github.io/Logging_2080/kartor/S 1076-2022 karta.png", "S 1076-2022")</f>
        <v/>
      </c>
      <c r="Y512">
        <f>HYPERLINK("https://klasma.github.io/Logging_2080/kartor_geotiff/S 1076-2022 georefererad karta.tif", "S 1076-2022")</f>
        <v/>
      </c>
      <c r="AA512">
        <f>HYPERLINK("https://klasma.github.io/Logging_2080/klagomål/S 1076-2022 FSC-klagomål.docx", "S 1076-2022")</f>
        <v/>
      </c>
      <c r="AB512">
        <f>HYPERLINK("https://klasma.github.io/Logging_2080/klagomålsmail/S 1076-2022 FSC-klagomål mail.docx", "S 1076-2022")</f>
        <v/>
      </c>
      <c r="AC512">
        <f>HYPERLINK("https://klasma.github.io/Logging_2080/tillsyn/S 1076-2022 tillsynsbegäran.docx", "S 1076-2022")</f>
        <v/>
      </c>
      <c r="AD512">
        <f>HYPERLINK("https://klasma.github.io/Logging_2080/tillsynsmail/S 1076-2022 tillsynsbegäran mail.docx", "S 1076-2022")</f>
        <v/>
      </c>
      <c r="AE512">
        <f>HYPERLINK("https://klasma.github.io/Logging_2080/fåglar/S 1076-2022 prioriterade fågelarter.docx", "S 1076-2022")</f>
        <v/>
      </c>
    </row>
    <row r="513" ht="15" customHeight="1">
      <c r="A513" t="inlineStr">
        <is>
          <t>S 1500-2022</t>
        </is>
      </c>
      <c r="B513" t="inlineStr">
        <is>
          <t>samrådsanmälan</t>
        </is>
      </c>
      <c r="C513" t="inlineStr">
        <is>
          <t>Skogsgödsling</t>
        </is>
      </c>
      <c r="D513" s="1" t="n">
        <v>44637</v>
      </c>
      <c r="E513" s="1" t="n">
        <v>46319</v>
      </c>
      <c r="F513" t="inlineStr">
        <is>
          <t>DALARNAS LÄN</t>
        </is>
      </c>
      <c r="G513" t="inlineStr">
        <is>
          <t>MORA</t>
        </is>
      </c>
      <c r="H513" t="inlineStr">
        <is>
          <t>Bergvik skog öst AB</t>
        </is>
      </c>
      <c r="I513" t="n">
        <v>95.40000000000001</v>
      </c>
      <c r="J513" t="n">
        <v>3</v>
      </c>
      <c r="K513" t="n">
        <v>1</v>
      </c>
      <c r="L513" t="n">
        <v>2</v>
      </c>
      <c r="M513" t="n">
        <v>1</v>
      </c>
      <c r="N513" t="n">
        <v>0</v>
      </c>
      <c r="O513" t="n">
        <v>0</v>
      </c>
      <c r="P513" t="n">
        <v>0</v>
      </c>
      <c r="Q513" t="n">
        <v>3</v>
      </c>
      <c r="R513" t="n">
        <v>1</v>
      </c>
      <c r="S513" t="n">
        <v>6</v>
      </c>
      <c r="T513" t="n">
        <v>6</v>
      </c>
      <c r="U513" t="n">
        <v>5</v>
      </c>
      <c r="V513" s="2" t="inlineStr">
        <is>
          <t>Garnlav
Dvärgbägarlav
Talltita
Mindre märgborre
Tjäder
Utter</t>
        </is>
      </c>
      <c r="W513">
        <f>HYPERLINK("https://klasma.github.io/Logging_2062/artfynd/S 1500-2022 artfynd.xlsx", "S 1500-2022")</f>
        <v/>
      </c>
      <c r="X513">
        <f>HYPERLINK("https://klasma.github.io/Logging_2062/kartor/S 1500-2022 karta.png", "S 1500-2022")</f>
        <v/>
      </c>
      <c r="Y513">
        <f>HYPERLINK("https://klasma.github.io/Logging_2062/kartor_geotiff/S 1500-2022 georefererad karta.tif", "S 1500-2022")</f>
        <v/>
      </c>
      <c r="AA513">
        <f>HYPERLINK("https://klasma.github.io/Logging_2062/klagomål/S 1500-2022 FSC-klagomål.docx", "S 1500-2022")</f>
        <v/>
      </c>
      <c r="AB513">
        <f>HYPERLINK("https://klasma.github.io/Logging_2062/klagomålsmail/S 1500-2022 FSC-klagomål mail.docx", "S 1500-2022")</f>
        <v/>
      </c>
      <c r="AC513">
        <f>HYPERLINK("https://klasma.github.io/Logging_2062/tillsyn/S 1500-2022 tillsynsbegäran.docx", "S 1500-2022")</f>
        <v/>
      </c>
      <c r="AD513">
        <f>HYPERLINK("https://klasma.github.io/Logging_2062/tillsynsmail/S 1500-2022 tillsynsbegäran mail.docx", "S 1500-2022")</f>
        <v/>
      </c>
      <c r="AE513">
        <f>HYPERLINK("https://klasma.github.io/Logging_2062/fåglar/S 1500-2022 prioriterade fågelarter.docx", "S 1500-2022")</f>
        <v/>
      </c>
    </row>
    <row r="514" ht="15" customHeight="1">
      <c r="A514" t="inlineStr">
        <is>
          <t>S 5006-2024</t>
        </is>
      </c>
      <c r="B514" t="inlineStr">
        <is>
          <t>samrådsanmälan</t>
        </is>
      </c>
      <c r="C514" t="inlineStr">
        <is>
          <t>Annan skogsbruksåtgärd</t>
        </is>
      </c>
      <c r="D514" s="1" t="n">
        <v>45632</v>
      </c>
      <c r="E514" s="1" t="n">
        <v>46319</v>
      </c>
      <c r="F514" t="inlineStr">
        <is>
          <t>DALARNAS LÄN</t>
        </is>
      </c>
      <c r="G514" t="inlineStr">
        <is>
          <t>LEKSAND</t>
        </is>
      </c>
      <c r="I514" t="n">
        <v>5.2</v>
      </c>
      <c r="J514" t="n">
        <v>3</v>
      </c>
      <c r="K514" t="n">
        <v>3</v>
      </c>
      <c r="L514" t="n">
        <v>1</v>
      </c>
      <c r="M514" t="n">
        <v>0</v>
      </c>
      <c r="N514" t="n">
        <v>1</v>
      </c>
      <c r="O514" t="n">
        <v>0</v>
      </c>
      <c r="P514" t="n">
        <v>0</v>
      </c>
      <c r="Q514" t="n">
        <v>2</v>
      </c>
      <c r="R514" t="n">
        <v>1</v>
      </c>
      <c r="S514" t="n">
        <v>6</v>
      </c>
      <c r="T514" t="n">
        <v>10</v>
      </c>
      <c r="U514" t="n">
        <v>0</v>
      </c>
      <c r="V514" s="2" t="inlineStr">
        <is>
          <t>Mosippa
Dropptaggsvamp
Alsopp
Grönpyrola
Plattlummer
Nattviol</t>
        </is>
      </c>
      <c r="W514">
        <f>HYPERLINK("https://klasma.github.io/Logging_2029/artfynd/S 5006-2024 artfynd.xlsx", "S 5006-2024")</f>
        <v/>
      </c>
      <c r="X514">
        <f>HYPERLINK("https://klasma.github.io/Logging_2029/kartor/S 5006-2024 karta.png", "S 5006-2024")</f>
        <v/>
      </c>
      <c r="Y514">
        <f>HYPERLINK("https://klasma.github.io/Logging_2029/kartor_geotiff/S 5006-2024 georefererad karta.tif", "S 5006-2024")</f>
        <v/>
      </c>
      <c r="AA514">
        <f>HYPERLINK("https://klasma.github.io/Logging_2029/klagomål/S 5006-2024 FSC-klagomål.docx", "S 5006-2024")</f>
        <v/>
      </c>
      <c r="AB514">
        <f>HYPERLINK("https://klasma.github.io/Logging_2029/klagomålsmail/S 5006-2024 FSC-klagomål mail.docx", "S 5006-2024")</f>
        <v/>
      </c>
      <c r="AC514">
        <f>HYPERLINK("https://klasma.github.io/Logging_2029/tillsyn/S 5006-2024 tillsynsbegäran.docx", "S 5006-2024")</f>
        <v/>
      </c>
      <c r="AD514">
        <f>HYPERLINK("https://klasma.github.io/Logging_2029/tillsynsmail/S 5006-2024 tillsynsbegäran mail.docx", "S 5006-2024")</f>
        <v/>
      </c>
    </row>
    <row r="515" ht="15" customHeight="1">
      <c r="A515" t="inlineStr">
        <is>
          <t>S 1279-2025</t>
        </is>
      </c>
      <c r="B515" t="inlineStr">
        <is>
          <t>samrådsanmälan</t>
        </is>
      </c>
      <c r="C515" t="inlineStr">
        <is>
          <t>Annan skogsbruksåtgärd</t>
        </is>
      </c>
      <c r="D515" s="1" t="n">
        <v>45764</v>
      </c>
      <c r="E515" s="1" t="n">
        <v>46319</v>
      </c>
      <c r="F515" t="inlineStr">
        <is>
          <t>DALARNAS LÄN</t>
        </is>
      </c>
      <c r="G515" t="inlineStr">
        <is>
          <t>RÄTTVIK</t>
        </is>
      </c>
      <c r="H515" t="inlineStr">
        <is>
          <t>Sveaskog</t>
        </is>
      </c>
      <c r="I515" t="n">
        <v>128.3</v>
      </c>
      <c r="J515" t="n">
        <v>2</v>
      </c>
      <c r="K515" t="n">
        <v>1</v>
      </c>
      <c r="L515" t="n">
        <v>3</v>
      </c>
      <c r="M515" t="n">
        <v>1</v>
      </c>
      <c r="N515" t="n">
        <v>0</v>
      </c>
      <c r="O515" t="n">
        <v>0</v>
      </c>
      <c r="P515" t="n">
        <v>0</v>
      </c>
      <c r="Q515" t="n">
        <v>4</v>
      </c>
      <c r="R515" t="n">
        <v>1</v>
      </c>
      <c r="S515" t="n">
        <v>6</v>
      </c>
      <c r="T515" t="n">
        <v>8</v>
      </c>
      <c r="U515" t="n">
        <v>0</v>
      </c>
      <c r="V515" s="2" t="inlineStr">
        <is>
          <t>Raggbock
Dropptaggsvamp
Skarp dropptaggsvamp
Tallticka
Spindelblomster
Nattviol</t>
        </is>
      </c>
      <c r="W515">
        <f>HYPERLINK("https://klasma.github.io/Logging_2031/artfynd/S 1279-2025 artfynd.xlsx", "S 1279-2025")</f>
        <v/>
      </c>
      <c r="X515">
        <f>HYPERLINK("https://klasma.github.io/Logging_2031/kartor/S 1279-2025 karta.png", "S 1279-2025")</f>
        <v/>
      </c>
      <c r="Y515">
        <f>HYPERLINK("https://klasma.github.io/Logging_2031/kartor_geotiff/S 1279-2025 georefererad karta.tif", "S 1279-2025")</f>
        <v/>
      </c>
      <c r="AA515">
        <f>HYPERLINK("https://klasma.github.io/Logging_2031/klagomål/S 1279-2025 FSC-klagomål.docx", "S 1279-2025")</f>
        <v/>
      </c>
      <c r="AB515">
        <f>HYPERLINK("https://klasma.github.io/Logging_2031/klagomålsmail/S 1279-2025 FSC-klagomål mail.docx", "S 1279-2025")</f>
        <v/>
      </c>
      <c r="AC515">
        <f>HYPERLINK("https://klasma.github.io/Logging_2031/tillsyn/S 1279-2025 tillsynsbegäran.docx", "S 1279-2025")</f>
        <v/>
      </c>
      <c r="AD515">
        <f>HYPERLINK("https://klasma.github.io/Logging_2031/tillsynsmail/S 1279-2025 tillsynsbegäran mail.docx", "S 1279-2025")</f>
        <v/>
      </c>
    </row>
    <row r="516" ht="15" customHeight="1">
      <c r="A516" t="inlineStr">
        <is>
          <t>S 2128-2025</t>
        </is>
      </c>
      <c r="B516" t="inlineStr">
        <is>
          <t>samrådsanmälan</t>
        </is>
      </c>
      <c r="C516" t="inlineStr">
        <is>
          <t>Askåterföring</t>
        </is>
      </c>
      <c r="D516" s="1" t="n">
        <v>45846</v>
      </c>
      <c r="E516" s="1" t="n">
        <v>46319</v>
      </c>
      <c r="F516" t="inlineStr">
        <is>
          <t>DALARNAS LÄN</t>
        </is>
      </c>
      <c r="G516" t="inlineStr">
        <is>
          <t>SÄTER</t>
        </is>
      </c>
      <c r="H516" t="inlineStr">
        <is>
          <t>Kommuner</t>
        </is>
      </c>
      <c r="I516" t="n">
        <v>46.8</v>
      </c>
      <c r="J516" t="n">
        <v>1</v>
      </c>
      <c r="K516" t="n">
        <v>2</v>
      </c>
      <c r="L516" t="n">
        <v>3</v>
      </c>
      <c r="M516" t="n">
        <v>1</v>
      </c>
      <c r="N516" t="n">
        <v>0</v>
      </c>
      <c r="O516" t="n">
        <v>0</v>
      </c>
      <c r="P516" t="n">
        <v>0</v>
      </c>
      <c r="Q516" t="n">
        <v>4</v>
      </c>
      <c r="R516" t="n">
        <v>1</v>
      </c>
      <c r="S516" t="n">
        <v>6</v>
      </c>
      <c r="T516" t="n">
        <v>7</v>
      </c>
      <c r="U516" t="n">
        <v>5</v>
      </c>
      <c r="V516" s="2" t="inlineStr">
        <is>
          <t>Knärot
Fjällig taggsvamp s.str.
Rynkskinn
Ullticka
Brandticka
Grönpyrola</t>
        </is>
      </c>
      <c r="W516">
        <f>HYPERLINK("https://klasma.github.io/Logging_2082/artfynd/S 2128-2025 artfynd.xlsx", "S 2128-2025")</f>
        <v/>
      </c>
      <c r="X516">
        <f>HYPERLINK("https://klasma.github.io/Logging_2082/kartor/S 2128-2025 karta.png", "S 2128-2025")</f>
        <v/>
      </c>
      <c r="Y516">
        <f>HYPERLINK("https://klasma.github.io/Logging_2082/kartor_geotiff/S 2128-2025 georefererad karta.tif", "S 2128-2025")</f>
        <v/>
      </c>
      <c r="Z516">
        <f>HYPERLINK("https://klasma.github.io/Logging_2082/knärot/S 2128-2025 karta knärot.png", "S 2128-2025")</f>
        <v/>
      </c>
      <c r="AA516">
        <f>HYPERLINK("https://klasma.github.io/Logging_2082/klagomål/S 2128-2025 FSC-klagomål.docx", "S 2128-2025")</f>
        <v/>
      </c>
      <c r="AB516">
        <f>HYPERLINK("https://klasma.github.io/Logging_2082/klagomålsmail/S 2128-2025 FSC-klagomål mail.docx", "S 2128-2025")</f>
        <v/>
      </c>
      <c r="AC516">
        <f>HYPERLINK("https://klasma.github.io/Logging_2082/tillsyn/S 2128-2025 tillsynsbegäran.docx", "S 2128-2025")</f>
        <v/>
      </c>
      <c r="AD516">
        <f>HYPERLINK("https://klasma.github.io/Logging_2082/tillsynsmail/S 2128-2025 tillsynsbegäran mail.docx", "S 2128-2025")</f>
        <v/>
      </c>
    </row>
    <row r="517" ht="15" customHeight="1">
      <c r="A517" t="inlineStr">
        <is>
          <t>S 478-2025</t>
        </is>
      </c>
      <c r="B517" t="inlineStr">
        <is>
          <t>samrådsanmälan</t>
        </is>
      </c>
      <c r="C517" t="inlineStr">
        <is>
          <t>Askåterföring</t>
        </is>
      </c>
      <c r="D517" s="1" t="n">
        <v>45702</v>
      </c>
      <c r="E517" s="1" t="n">
        <v>46319</v>
      </c>
      <c r="F517" t="inlineStr">
        <is>
          <t>DALARNAS LÄN</t>
        </is>
      </c>
      <c r="G517" t="inlineStr">
        <is>
          <t>HEDEMORA</t>
        </is>
      </c>
      <c r="H517" t="inlineStr">
        <is>
          <t>Sveaskog</t>
        </is>
      </c>
      <c r="I517" t="n">
        <v>51.6</v>
      </c>
      <c r="J517" t="n">
        <v>6</v>
      </c>
      <c r="K517" t="n">
        <v>0</v>
      </c>
      <c r="L517" t="n">
        <v>1</v>
      </c>
      <c r="M517" t="n">
        <v>1</v>
      </c>
      <c r="N517" t="n">
        <v>0</v>
      </c>
      <c r="O517" t="n">
        <v>0</v>
      </c>
      <c r="P517" t="n">
        <v>0</v>
      </c>
      <c r="Q517" t="n">
        <v>2</v>
      </c>
      <c r="R517" t="n">
        <v>1</v>
      </c>
      <c r="S517" t="n">
        <v>6</v>
      </c>
      <c r="T517" t="n">
        <v>6</v>
      </c>
      <c r="U517" t="n">
        <v>0</v>
      </c>
      <c r="V517" s="2" t="inlineStr">
        <is>
          <t>Tornseglare
Duvhök
Spillkråka
Grönsiska
Sångsvan
Trana</t>
        </is>
      </c>
      <c r="W517">
        <f>HYPERLINK("https://klasma.github.io/Logging_2083/artfynd/S 478-2025 artfynd.xlsx", "S 478-2025")</f>
        <v/>
      </c>
      <c r="X517">
        <f>HYPERLINK("https://klasma.github.io/Logging_2083/kartor/S 478-2025 karta.png", "S 478-2025")</f>
        <v/>
      </c>
      <c r="Y517">
        <f>HYPERLINK("https://klasma.github.io/Logging_2083/kartor_geotiff/S 478-2025 georefererad karta.tif", "S 478-2025")</f>
        <v/>
      </c>
      <c r="AA517">
        <f>HYPERLINK("https://klasma.github.io/Logging_2083/klagomål/S 478-2025 FSC-klagomål.docx", "S 478-2025")</f>
        <v/>
      </c>
      <c r="AB517">
        <f>HYPERLINK("https://klasma.github.io/Logging_2083/klagomålsmail/S 478-2025 FSC-klagomål mail.docx", "S 478-2025")</f>
        <v/>
      </c>
      <c r="AC517">
        <f>HYPERLINK("https://klasma.github.io/Logging_2083/tillsyn/S 478-2025 tillsynsbegäran.docx", "S 478-2025")</f>
        <v/>
      </c>
      <c r="AD517">
        <f>HYPERLINK("https://klasma.github.io/Logging_2083/tillsynsmail/S 478-2025 tillsynsbegäran mail.docx", "S 478-2025")</f>
        <v/>
      </c>
      <c r="AE517">
        <f>HYPERLINK("https://klasma.github.io/Logging_2083/fåglar/S 478-2025 prioriterade fågelarter.docx", "S 478-2025")</f>
        <v/>
      </c>
    </row>
    <row r="518" ht="15" customHeight="1">
      <c r="A518" t="inlineStr">
        <is>
          <t>S 497-2023</t>
        </is>
      </c>
      <c r="B518" t="inlineStr">
        <is>
          <t>samrådsanmälan</t>
        </is>
      </c>
      <c r="C518" t="inlineStr">
        <is>
          <t>Askåterföring</t>
        </is>
      </c>
      <c r="D518" s="1" t="n">
        <v>44963</v>
      </c>
      <c r="E518" s="1" t="n">
        <v>46319</v>
      </c>
      <c r="F518" t="inlineStr">
        <is>
          <t>DALARNAS LÄN</t>
        </is>
      </c>
      <c r="G518" t="inlineStr">
        <is>
          <t>BORLÄNGE</t>
        </is>
      </c>
      <c r="I518" t="n">
        <v>6.3</v>
      </c>
      <c r="J518" t="n">
        <v>3</v>
      </c>
      <c r="K518" t="n">
        <v>0</v>
      </c>
      <c r="L518" t="n">
        <v>4</v>
      </c>
      <c r="M518" t="n">
        <v>1</v>
      </c>
      <c r="N518" t="n">
        <v>0</v>
      </c>
      <c r="O518" t="n">
        <v>0</v>
      </c>
      <c r="P518" t="n">
        <v>0</v>
      </c>
      <c r="Q518" t="n">
        <v>5</v>
      </c>
      <c r="R518" t="n">
        <v>1</v>
      </c>
      <c r="S518" t="n">
        <v>6</v>
      </c>
      <c r="T518" t="n">
        <v>24</v>
      </c>
      <c r="U518" t="n">
        <v>23</v>
      </c>
      <c r="V518" s="2" t="inlineStr">
        <is>
          <t>Knärot
Dropptaggsvamp
Tretåig hackspett
Ullticka
Vedtrappmossa
Nattskärra</t>
        </is>
      </c>
      <c r="W518">
        <f>HYPERLINK("https://klasma.github.io/Logging_2081/artfynd/S 497-2023 artfynd.xlsx", "S 497-2023")</f>
        <v/>
      </c>
      <c r="X518">
        <f>HYPERLINK("https://klasma.github.io/Logging_2081/kartor/S 497-2023 karta.png", "S 497-2023")</f>
        <v/>
      </c>
      <c r="Y518">
        <f>HYPERLINK("https://klasma.github.io/Logging_2081/kartor_geotiff/S 497-2023 georefererad karta.tif", "S 497-2023")</f>
        <v/>
      </c>
      <c r="Z518">
        <f>HYPERLINK("https://klasma.github.io/Logging_2081/knärot/S 497-2023 karta knärot.png", "S 497-2023")</f>
        <v/>
      </c>
      <c r="AA518">
        <f>HYPERLINK("https://klasma.github.io/Logging_2081/klagomål/S 497-2023 FSC-klagomål.docx", "S 497-2023")</f>
        <v/>
      </c>
      <c r="AB518">
        <f>HYPERLINK("https://klasma.github.io/Logging_2081/klagomålsmail/S 497-2023 FSC-klagomål mail.docx", "S 497-2023")</f>
        <v/>
      </c>
      <c r="AC518">
        <f>HYPERLINK("https://klasma.github.io/Logging_2081/tillsyn/S 497-2023 tillsynsbegäran.docx", "S 497-2023")</f>
        <v/>
      </c>
      <c r="AD518">
        <f>HYPERLINK("https://klasma.github.io/Logging_2081/tillsynsmail/S 497-2023 tillsynsbegäran mail.docx", "S 497-2023")</f>
        <v/>
      </c>
      <c r="AE518">
        <f>HYPERLINK("https://klasma.github.io/Logging_2081/fåglar/S 497-2023 prioriterade fågelarter.docx", "S 497-2023")</f>
        <v/>
      </c>
    </row>
    <row r="519" ht="15" customHeight="1">
      <c r="A519" t="inlineStr">
        <is>
          <t>S 346-2026</t>
        </is>
      </c>
      <c r="B519" t="inlineStr">
        <is>
          <t>samrådsanmälan</t>
        </is>
      </c>
      <c r="C519" t="inlineStr">
        <is>
          <t>Skogsgödsling</t>
        </is>
      </c>
      <c r="D519" s="1" t="n">
        <v>46062</v>
      </c>
      <c r="E519" s="1" t="n">
        <v>46319</v>
      </c>
      <c r="F519" t="inlineStr">
        <is>
          <t>DALARNAS LÄN</t>
        </is>
      </c>
      <c r="G519" t="inlineStr">
        <is>
          <t>HEDEMORA</t>
        </is>
      </c>
      <c r="H519" t="inlineStr">
        <is>
          <t>Sveaskog</t>
        </is>
      </c>
      <c r="I519" t="n">
        <v>81.40000000000001</v>
      </c>
      <c r="J519" t="n">
        <v>4</v>
      </c>
      <c r="K519" t="n">
        <v>0</v>
      </c>
      <c r="L519" t="n">
        <v>3</v>
      </c>
      <c r="M519" t="n">
        <v>0</v>
      </c>
      <c r="N519" t="n">
        <v>0</v>
      </c>
      <c r="O519" t="n">
        <v>0</v>
      </c>
      <c r="P519" t="n">
        <v>0</v>
      </c>
      <c r="Q519" t="n">
        <v>3</v>
      </c>
      <c r="R519" t="n">
        <v>0</v>
      </c>
      <c r="S519" t="n">
        <v>6</v>
      </c>
      <c r="T519" t="n">
        <v>62</v>
      </c>
      <c r="U519" t="n">
        <v>2</v>
      </c>
      <c r="V519" s="2" t="inlineStr">
        <is>
          <t>Myskmåra
Nordfladdermus
Vårärt
Tjäder
Orre
Vattenfladdermus</t>
        </is>
      </c>
      <c r="W519">
        <f>HYPERLINK("https://klasma.github.io/Logging_2083/artfynd/S 346-2026 artfynd.xlsx", "S 346-2026")</f>
        <v/>
      </c>
      <c r="X519">
        <f>HYPERLINK("https://klasma.github.io/Logging_2083/kartor/S 346-2026 karta.png", "S 346-2026")</f>
        <v/>
      </c>
      <c r="Y519">
        <f>HYPERLINK("https://klasma.github.io/Logging_2083/kartor_geotiff/S 346-2026 georefererad karta.tif", "S 346-2026")</f>
        <v/>
      </c>
      <c r="AA519">
        <f>HYPERLINK("https://klasma.github.io/Logging_2083/klagomål/S 346-2026 FSC-klagomål.docx", "S 346-2026")</f>
        <v/>
      </c>
      <c r="AB519">
        <f>HYPERLINK("https://klasma.github.io/Logging_2083/klagomålsmail/S 346-2026 FSC-klagomål mail.docx", "S 346-2026")</f>
        <v/>
      </c>
      <c r="AC519">
        <f>HYPERLINK("https://klasma.github.io/Logging_2083/tillsyn/S 346-2026 tillsynsbegäran.docx", "S 346-2026")</f>
        <v/>
      </c>
      <c r="AD519">
        <f>HYPERLINK("https://klasma.github.io/Logging_2083/tillsynsmail/S 346-2026 tillsynsbegäran mail.docx", "S 346-2026")</f>
        <v/>
      </c>
      <c r="AE519">
        <f>HYPERLINK("https://klasma.github.io/Logging_2083/fåglar/S 346-2026 prioriterade fågelarter.docx", "S 346-2026")</f>
        <v/>
      </c>
    </row>
    <row r="520" ht="15" customHeight="1">
      <c r="A520" t="inlineStr">
        <is>
          <t>A 4031-2022</t>
        </is>
      </c>
      <c r="B520" t="inlineStr">
        <is>
          <t>avverkningsanmälan</t>
        </is>
      </c>
      <c r="C520" t="inlineStr">
        <is>
          <t>Föryngringsavverkning</t>
        </is>
      </c>
      <c r="D520" s="1" t="n">
        <v>44588</v>
      </c>
      <c r="E520" s="1" t="n">
        <v>46319</v>
      </c>
      <c r="F520" t="inlineStr">
        <is>
          <t>DALARNAS LÄN</t>
        </is>
      </c>
      <c r="G520" t="inlineStr">
        <is>
          <t>HEDEMORA</t>
        </is>
      </c>
      <c r="H520" t="inlineStr">
        <is>
          <t>Kyrkan</t>
        </is>
      </c>
      <c r="I520" t="n">
        <v>4.3</v>
      </c>
      <c r="J520" t="n">
        <v>4</v>
      </c>
      <c r="K520" t="n">
        <v>2</v>
      </c>
      <c r="L520" t="n">
        <v>1</v>
      </c>
      <c r="M520" t="n">
        <v>0</v>
      </c>
      <c r="N520" t="n">
        <v>0</v>
      </c>
      <c r="O520" t="n">
        <v>0</v>
      </c>
      <c r="P520" t="n">
        <v>0</v>
      </c>
      <c r="Q520" t="n">
        <v>1</v>
      </c>
      <c r="R520" t="n">
        <v>0</v>
      </c>
      <c r="S520" t="n">
        <v>5</v>
      </c>
      <c r="T520" t="n">
        <v>5</v>
      </c>
      <c r="U520" t="n">
        <v>1</v>
      </c>
      <c r="V520" s="2" t="inlineStr">
        <is>
          <t>Rödvingetrast
Grön sköldmossa
Stubbspretmossa
Blåsippa
Kungsfågel</t>
        </is>
      </c>
      <c r="W520">
        <f>HYPERLINK("https://klasma.github.io/Logging_2083/artfynd/A 4031-2022 artfynd.xlsx", "A 4031-2022")</f>
        <v/>
      </c>
      <c r="X520">
        <f>HYPERLINK("https://klasma.github.io/Logging_2083/kartor/A 4031-2022 karta.png", "A 4031-2022")</f>
        <v/>
      </c>
      <c r="Y520">
        <f>HYPERLINK("https://klasma.github.io/Logging_2083/kartor_geotiff/A 4031-2022 georefererad karta.tif", "A 4031-2022")</f>
        <v/>
      </c>
      <c r="AA520">
        <f>HYPERLINK("https://klasma.github.io/Logging_2083/klagomål/A 4031-2022 FSC-klagomål.docx", "A 4031-2022")</f>
        <v/>
      </c>
      <c r="AB520">
        <f>HYPERLINK("https://klasma.github.io/Logging_2083/klagomålsmail/A 4031-2022 FSC-klagomål mail.docx", "A 4031-2022")</f>
        <v/>
      </c>
      <c r="AC520">
        <f>HYPERLINK("https://klasma.github.io/Logging_2083/tillsyn/A 4031-2022 tillsynsbegäran.docx", "A 4031-2022")</f>
        <v/>
      </c>
      <c r="AD520">
        <f>HYPERLINK("https://klasma.github.io/Logging_2083/tillsynsmail/A 4031-2022 tillsynsbegäran mail.docx", "A 4031-2022")</f>
        <v/>
      </c>
      <c r="AE520">
        <f>HYPERLINK("https://klasma.github.io/Logging_2083/fåglar/A 4031-2022 prioriterade fågelarter.docx", "A 4031-2022")</f>
        <v/>
      </c>
    </row>
    <row r="521" ht="15" customHeight="1">
      <c r="A521" t="inlineStr">
        <is>
          <t>A 19717-2022</t>
        </is>
      </c>
      <c r="B521" t="inlineStr">
        <is>
          <t>avverkningsanmälan</t>
        </is>
      </c>
      <c r="C521" t="inlineStr">
        <is>
          <t>Föryngringsavverkning</t>
        </is>
      </c>
      <c r="D521" s="1" t="n">
        <v>44694</v>
      </c>
      <c r="E521" s="1" t="n">
        <v>46319</v>
      </c>
      <c r="F521" t="inlineStr">
        <is>
          <t>DALARNAS LÄN</t>
        </is>
      </c>
      <c r="G521" t="inlineStr">
        <is>
          <t>LUDVIKA</t>
        </is>
      </c>
      <c r="H521" t="inlineStr">
        <is>
          <t>Bergvik skog väst AB</t>
        </is>
      </c>
      <c r="I521" t="n">
        <v>1.1</v>
      </c>
      <c r="J521" t="n">
        <v>0</v>
      </c>
      <c r="K521" t="n">
        <v>4</v>
      </c>
      <c r="L521" t="n">
        <v>0</v>
      </c>
      <c r="M521" t="n">
        <v>1</v>
      </c>
      <c r="N521" t="n">
        <v>0</v>
      </c>
      <c r="O521" t="n">
        <v>0</v>
      </c>
      <c r="P521" t="n">
        <v>0</v>
      </c>
      <c r="Q521" t="n">
        <v>1</v>
      </c>
      <c r="R521" t="n">
        <v>1</v>
      </c>
      <c r="S521" t="n">
        <v>5</v>
      </c>
      <c r="T521" t="n">
        <v>5</v>
      </c>
      <c r="U521" t="n">
        <v>0</v>
      </c>
      <c r="V521" s="2" t="inlineStr">
        <is>
          <t>Aspgelélav
Bårdlav
Dvärgtufs
Skinnlav
Vedticka</t>
        </is>
      </c>
      <c r="W521">
        <f>HYPERLINK("https://klasma.github.io/Logging_2085/artfynd/A 19717-2022 artfynd.xlsx", "A 19717-2022")</f>
        <v/>
      </c>
      <c r="X521">
        <f>HYPERLINK("https://klasma.github.io/Logging_2085/kartor/A 19717-2022 karta.png", "A 19717-2022")</f>
        <v/>
      </c>
      <c r="Y521">
        <f>HYPERLINK("https://klasma.github.io/Logging_2085/kartor_geotiff/A 19717-2022 georefererad karta.tif", "A 19717-2022")</f>
        <v/>
      </c>
      <c r="AA521">
        <f>HYPERLINK("https://klasma.github.io/Logging_2085/klagomål/A 19717-2022 FSC-klagomål.docx", "A 19717-2022")</f>
        <v/>
      </c>
      <c r="AB521">
        <f>HYPERLINK("https://klasma.github.io/Logging_2085/klagomålsmail/A 19717-2022 FSC-klagomål mail.docx", "A 19717-2022")</f>
        <v/>
      </c>
      <c r="AC521">
        <f>HYPERLINK("https://klasma.github.io/Logging_2085/tillsyn/A 19717-2022 tillsynsbegäran.docx", "A 19717-2022")</f>
        <v/>
      </c>
      <c r="AD521">
        <f>HYPERLINK("https://klasma.github.io/Logging_2085/tillsynsmail/A 19717-2022 tillsynsbegäran mail.docx", "A 19717-2022")</f>
        <v/>
      </c>
    </row>
    <row r="522" ht="15" customHeight="1">
      <c r="A522" t="inlineStr">
        <is>
          <t>A 41782-2025</t>
        </is>
      </c>
      <c r="B522" t="inlineStr">
        <is>
          <t>avverkningsanmälan</t>
        </is>
      </c>
      <c r="C522" t="inlineStr">
        <is>
          <t>Föryngringsavverkning</t>
        </is>
      </c>
      <c r="D522" s="1" t="n">
        <v>45902</v>
      </c>
      <c r="E522" s="1" t="n">
        <v>46319</v>
      </c>
      <c r="F522" t="inlineStr">
        <is>
          <t>DALARNAS LÄN</t>
        </is>
      </c>
      <c r="G522" t="inlineStr">
        <is>
          <t>ÄLVDALEN</t>
        </is>
      </c>
      <c r="H522" t="inlineStr">
        <is>
          <t>Sveaskog</t>
        </is>
      </c>
      <c r="I522" t="n">
        <v>22.8</v>
      </c>
      <c r="J522" t="n">
        <v>2</v>
      </c>
      <c r="K522" t="n">
        <v>1</v>
      </c>
      <c r="L522" t="n">
        <v>4</v>
      </c>
      <c r="M522" t="n">
        <v>0</v>
      </c>
      <c r="N522" t="n">
        <v>0</v>
      </c>
      <c r="O522" t="n">
        <v>0</v>
      </c>
      <c r="P522" t="n">
        <v>0</v>
      </c>
      <c r="Q522" t="n">
        <v>4</v>
      </c>
      <c r="R522" t="n">
        <v>0</v>
      </c>
      <c r="S522" t="n">
        <v>5</v>
      </c>
      <c r="T522" t="n">
        <v>23</v>
      </c>
      <c r="U522" t="n">
        <v>17</v>
      </c>
      <c r="V522" s="2" t="inlineStr">
        <is>
          <t>Blå taggsvamp
Dropptaggsvamp
Skarp dropptaggsvamp
Talltita
Plattlummer</t>
        </is>
      </c>
      <c r="W522">
        <f>HYPERLINK("https://klasma.github.io/Logging_2039/artfynd/A 41782-2025 artfynd.xlsx", "A 41782-2025")</f>
        <v/>
      </c>
      <c r="X522">
        <f>HYPERLINK("https://klasma.github.io/Logging_2039/kartor/A 41782-2025 karta.png", "A 41782-2025")</f>
        <v/>
      </c>
      <c r="Y522">
        <f>HYPERLINK("https://klasma.github.io/Logging_2039/kartor_geotiff/A 41782-2025 georefererad karta.tif", "A 41782-2025")</f>
        <v/>
      </c>
      <c r="AA522">
        <f>HYPERLINK("https://klasma.github.io/Logging_2039/klagomål/A 41782-2025 FSC-klagomål.docx", "A 41782-2025")</f>
        <v/>
      </c>
      <c r="AB522">
        <f>HYPERLINK("https://klasma.github.io/Logging_2039/klagomålsmail/A 41782-2025 FSC-klagomål mail.docx", "A 41782-2025")</f>
        <v/>
      </c>
      <c r="AC522">
        <f>HYPERLINK("https://klasma.github.io/Logging_2039/tillsyn/A 41782-2025 tillsynsbegäran.docx", "A 41782-2025")</f>
        <v/>
      </c>
      <c r="AD522">
        <f>HYPERLINK("https://klasma.github.io/Logging_2039/tillsynsmail/A 41782-2025 tillsynsbegäran mail.docx", "A 41782-2025")</f>
        <v/>
      </c>
      <c r="AE522">
        <f>HYPERLINK("https://klasma.github.io/Logging_2039/fåglar/A 41782-2025 prioriterade fågelarter.docx", "A 41782-2025")</f>
        <v/>
      </c>
    </row>
    <row r="523" ht="15" customHeight="1">
      <c r="A523" t="inlineStr">
        <is>
          <t>A 11259-2026</t>
        </is>
      </c>
      <c r="B523" t="inlineStr">
        <is>
          <t>avverkningsanmälan</t>
        </is>
      </c>
      <c r="C523" t="inlineStr">
        <is>
          <t>Föryngringsavverkning</t>
        </is>
      </c>
      <c r="D523" s="1" t="n">
        <v>46080</v>
      </c>
      <c r="E523" s="1" t="n">
        <v>46319</v>
      </c>
      <c r="F523" t="inlineStr">
        <is>
          <t>DALARNAS LÄN</t>
        </is>
      </c>
      <c r="G523" t="inlineStr">
        <is>
          <t>GAGNEF</t>
        </is>
      </c>
      <c r="I523" t="n">
        <v>7.1</v>
      </c>
      <c r="J523" t="n">
        <v>1</v>
      </c>
      <c r="K523" t="n">
        <v>1</v>
      </c>
      <c r="L523" t="n">
        <v>4</v>
      </c>
      <c r="M523" t="n">
        <v>0</v>
      </c>
      <c r="N523" t="n">
        <v>0</v>
      </c>
      <c r="O523" t="n">
        <v>0</v>
      </c>
      <c r="P523" t="n">
        <v>0</v>
      </c>
      <c r="Q523" t="n">
        <v>4</v>
      </c>
      <c r="R523" t="n">
        <v>0</v>
      </c>
      <c r="S523" t="n">
        <v>5</v>
      </c>
      <c r="T523" t="n">
        <v>20</v>
      </c>
      <c r="U523" t="n">
        <v>20</v>
      </c>
      <c r="V523" s="2" t="inlineStr">
        <is>
          <t>Rosenticka
Rynkskinn
Tretåig hackspett
Ullticka
Trådticka</t>
        </is>
      </c>
      <c r="W523">
        <f>HYPERLINK("https://klasma.github.io/Logging_2026/artfynd/A 11259-2026 artfynd.xlsx", "A 11259-2026")</f>
        <v/>
      </c>
      <c r="X523">
        <f>HYPERLINK("https://klasma.github.io/Logging_2026/kartor/A 11259-2026 karta.png", "A 11259-2026")</f>
        <v/>
      </c>
      <c r="Y523">
        <f>HYPERLINK("https://klasma.github.io/Logging_2026/kartor_geotiff/A 11259-2026 georefererad karta.tif", "A 11259-2026")</f>
        <v/>
      </c>
      <c r="AA523">
        <f>HYPERLINK("https://klasma.github.io/Logging_2026/klagomål/A 11259-2026 FSC-klagomål.docx", "A 11259-2026")</f>
        <v/>
      </c>
      <c r="AB523">
        <f>HYPERLINK("https://klasma.github.io/Logging_2026/klagomålsmail/A 11259-2026 FSC-klagomål mail.docx", "A 11259-2026")</f>
        <v/>
      </c>
      <c r="AC523">
        <f>HYPERLINK("https://klasma.github.io/Logging_2026/tillsyn/A 11259-2026 tillsynsbegäran.docx", "A 11259-2026")</f>
        <v/>
      </c>
      <c r="AD523">
        <f>HYPERLINK("https://klasma.github.io/Logging_2026/tillsynsmail/A 11259-2026 tillsynsbegäran mail.docx", "A 11259-2026")</f>
        <v/>
      </c>
      <c r="AE523">
        <f>HYPERLINK("https://klasma.github.io/Logging_2026/fåglar/A 11259-2026 prioriterade fågelarter.docx", "A 11259-2026")</f>
        <v/>
      </c>
    </row>
    <row r="524" ht="15" customHeight="1">
      <c r="A524" t="inlineStr">
        <is>
          <t>A 23458-2026</t>
        </is>
      </c>
      <c r="B524" t="inlineStr">
        <is>
          <t>avverkningsanmälan</t>
        </is>
      </c>
      <c r="C524" t="inlineStr">
        <is>
          <t>Föryngringsavverkning</t>
        </is>
      </c>
      <c r="D524" s="1" t="n">
        <v>46163</v>
      </c>
      <c r="E524" s="1" t="n">
        <v>46319</v>
      </c>
      <c r="F524" t="inlineStr">
        <is>
          <t>DALARNAS LÄN</t>
        </is>
      </c>
      <c r="G524" t="inlineStr">
        <is>
          <t>FALUN</t>
        </is>
      </c>
      <c r="H524" t="inlineStr">
        <is>
          <t>Bergvik skog väst AB</t>
        </is>
      </c>
      <c r="I524" t="n">
        <v>77.8</v>
      </c>
      <c r="J524" t="n">
        <v>1</v>
      </c>
      <c r="K524" t="n">
        <v>1</v>
      </c>
      <c r="L524" t="n">
        <v>4</v>
      </c>
      <c r="M524" t="n">
        <v>0</v>
      </c>
      <c r="N524" t="n">
        <v>0</v>
      </c>
      <c r="O524" t="n">
        <v>0</v>
      </c>
      <c r="P524" t="n">
        <v>0</v>
      </c>
      <c r="Q524" t="n">
        <v>4</v>
      </c>
      <c r="R524" t="n">
        <v>0</v>
      </c>
      <c r="S524" t="n">
        <v>5</v>
      </c>
      <c r="T524" t="n">
        <v>7</v>
      </c>
      <c r="U524" t="n">
        <v>0</v>
      </c>
      <c r="V524" s="2" t="inlineStr">
        <is>
          <t>Dropptaggsvamp
Ullticka
Vaddporing
Vedskivlav
Plattlummer</t>
        </is>
      </c>
      <c r="W524">
        <f>HYPERLINK("https://klasma.github.io/Logging_2080/artfynd/A 23458-2026 artfynd.xlsx", "A 23458-2026")</f>
        <v/>
      </c>
      <c r="X524">
        <f>HYPERLINK("https://klasma.github.io/Logging_2080/kartor/A 23458-2026 karta.png", "A 23458-2026")</f>
        <v/>
      </c>
      <c r="Y524">
        <f>HYPERLINK("https://klasma.github.io/Logging_2080/kartor_geotiff/A 23458-2026 georefererad karta.tif", "A 23458-2026")</f>
        <v/>
      </c>
      <c r="AA524">
        <f>HYPERLINK("https://klasma.github.io/Logging_2080/klagomål/A 23458-2026 FSC-klagomål.docx", "A 23458-2026")</f>
        <v/>
      </c>
      <c r="AB524">
        <f>HYPERLINK("https://klasma.github.io/Logging_2080/klagomålsmail/A 23458-2026 FSC-klagomål mail.docx", "A 23458-2026")</f>
        <v/>
      </c>
      <c r="AC524">
        <f>HYPERLINK("https://klasma.github.io/Logging_2080/tillsyn/A 23458-2026 tillsynsbegäran.docx", "A 23458-2026")</f>
        <v/>
      </c>
      <c r="AD524">
        <f>HYPERLINK("https://klasma.github.io/Logging_2080/tillsynsmail/A 23458-2026 tillsynsbegäran mail.docx", "A 23458-2026")</f>
        <v/>
      </c>
    </row>
    <row r="525" ht="15" customHeight="1">
      <c r="A525" t="inlineStr">
        <is>
          <t>A 23491-2026</t>
        </is>
      </c>
      <c r="B525" t="inlineStr">
        <is>
          <t>avverkningsanmälan</t>
        </is>
      </c>
      <c r="C525" t="inlineStr">
        <is>
          <t>Föryngringsavverkning</t>
        </is>
      </c>
      <c r="D525" s="1" t="n">
        <v>46163</v>
      </c>
      <c r="E525" s="1" t="n">
        <v>46319</v>
      </c>
      <c r="F525" t="inlineStr">
        <is>
          <t>DALARNAS LÄN</t>
        </is>
      </c>
      <c r="G525" t="inlineStr">
        <is>
          <t>LUDVIKA</t>
        </is>
      </c>
      <c r="H525" t="inlineStr">
        <is>
          <t>Bergvik skog väst AB</t>
        </is>
      </c>
      <c r="I525" t="n">
        <v>7.9</v>
      </c>
      <c r="J525" t="n">
        <v>4</v>
      </c>
      <c r="K525" t="n">
        <v>1</v>
      </c>
      <c r="L525" t="n">
        <v>1</v>
      </c>
      <c r="M525" t="n">
        <v>1</v>
      </c>
      <c r="N525" t="n">
        <v>0</v>
      </c>
      <c r="O525" t="n">
        <v>0</v>
      </c>
      <c r="P525" t="n">
        <v>0</v>
      </c>
      <c r="Q525" t="n">
        <v>2</v>
      </c>
      <c r="R525" t="n">
        <v>1</v>
      </c>
      <c r="S525" t="n">
        <v>5</v>
      </c>
      <c r="T525" t="n">
        <v>6</v>
      </c>
      <c r="U525" t="n">
        <v>6</v>
      </c>
      <c r="V525" s="2" t="inlineStr">
        <is>
          <t>Garnlav
Tretåig hackspett
Korallrot
Spillkråka
Tjäder</t>
        </is>
      </c>
      <c r="W525">
        <f>HYPERLINK("https://klasma.github.io/Logging_2085/artfynd/A 23491-2026 artfynd.xlsx", "A 23491-2026")</f>
        <v/>
      </c>
      <c r="X525">
        <f>HYPERLINK("https://klasma.github.io/Logging_2085/kartor/A 23491-2026 karta.png", "A 23491-2026")</f>
        <v/>
      </c>
      <c r="Y525">
        <f>HYPERLINK("https://klasma.github.io/Logging_2085/kartor_geotiff/A 23491-2026 georefererad karta.tif", "A 23491-2026")</f>
        <v/>
      </c>
      <c r="AA525">
        <f>HYPERLINK("https://klasma.github.io/Logging_2085/klagomål/A 23491-2026 FSC-klagomål.docx", "A 23491-2026")</f>
        <v/>
      </c>
      <c r="AB525">
        <f>HYPERLINK("https://klasma.github.io/Logging_2085/klagomålsmail/A 23491-2026 FSC-klagomål mail.docx", "A 23491-2026")</f>
        <v/>
      </c>
      <c r="AC525">
        <f>HYPERLINK("https://klasma.github.io/Logging_2085/tillsyn/A 23491-2026 tillsynsbegäran.docx", "A 23491-2026")</f>
        <v/>
      </c>
      <c r="AD525">
        <f>HYPERLINK("https://klasma.github.io/Logging_2085/tillsynsmail/A 23491-2026 tillsynsbegäran mail.docx", "A 23491-2026")</f>
        <v/>
      </c>
      <c r="AE525">
        <f>HYPERLINK("https://klasma.github.io/Logging_2085/fåglar/A 23491-2026 prioriterade fågelarter.docx", "A 23491-2026")</f>
        <v/>
      </c>
    </row>
    <row r="526" ht="15" customHeight="1">
      <c r="A526" t="inlineStr">
        <is>
          <t>A 47287-2025</t>
        </is>
      </c>
      <c r="B526" t="inlineStr">
        <is>
          <t>avverkningsanmälan</t>
        </is>
      </c>
      <c r="C526" t="inlineStr">
        <is>
          <t>Föryngringsavverkning</t>
        </is>
      </c>
      <c r="D526" s="1" t="n">
        <v>45930</v>
      </c>
      <c r="E526" s="1" t="n">
        <v>46319</v>
      </c>
      <c r="F526" t="inlineStr">
        <is>
          <t>DALARNAS LÄN</t>
        </is>
      </c>
      <c r="G526" t="inlineStr">
        <is>
          <t>LUDVIKA</t>
        </is>
      </c>
      <c r="H526" t="inlineStr">
        <is>
          <t>Bergvik skog väst AB</t>
        </is>
      </c>
      <c r="I526" t="n">
        <v>8.4</v>
      </c>
      <c r="J526" t="n">
        <v>3</v>
      </c>
      <c r="K526" t="n">
        <v>0</v>
      </c>
      <c r="L526" t="n">
        <v>3</v>
      </c>
      <c r="M526" t="n">
        <v>1</v>
      </c>
      <c r="N526" t="n">
        <v>0</v>
      </c>
      <c r="O526" t="n">
        <v>0</v>
      </c>
      <c r="P526" t="n">
        <v>0</v>
      </c>
      <c r="Q526" t="n">
        <v>4</v>
      </c>
      <c r="R526" t="n">
        <v>1</v>
      </c>
      <c r="S526" t="n">
        <v>5</v>
      </c>
      <c r="T526" t="n">
        <v>8</v>
      </c>
      <c r="U526" t="n">
        <v>8</v>
      </c>
      <c r="V526" s="2" t="inlineStr">
        <is>
          <t>Garnlav
Lunglav
Talltita
Tretåig hackspett
Järpe</t>
        </is>
      </c>
      <c r="W526">
        <f>HYPERLINK("https://klasma.github.io/Logging_2085/artfynd/A 47287-2025 artfynd.xlsx", "A 47287-2025")</f>
        <v/>
      </c>
      <c r="X526">
        <f>HYPERLINK("https://klasma.github.io/Logging_2085/kartor/A 47287-2025 karta.png", "A 47287-2025")</f>
        <v/>
      </c>
      <c r="Y526">
        <f>HYPERLINK("https://klasma.github.io/Logging_2085/kartor_geotiff/A 47287-2025 georefererad karta.tif", "A 47287-2025")</f>
        <v/>
      </c>
      <c r="AA526">
        <f>HYPERLINK("https://klasma.github.io/Logging_2085/klagomål/A 47287-2025 FSC-klagomål.docx", "A 47287-2025")</f>
        <v/>
      </c>
      <c r="AB526">
        <f>HYPERLINK("https://klasma.github.io/Logging_2085/klagomålsmail/A 47287-2025 FSC-klagomål mail.docx", "A 47287-2025")</f>
        <v/>
      </c>
      <c r="AC526">
        <f>HYPERLINK("https://klasma.github.io/Logging_2085/tillsyn/A 47287-2025 tillsynsbegäran.docx", "A 47287-2025")</f>
        <v/>
      </c>
      <c r="AD526">
        <f>HYPERLINK("https://klasma.github.io/Logging_2085/tillsynsmail/A 47287-2025 tillsynsbegäran mail.docx", "A 47287-2025")</f>
        <v/>
      </c>
      <c r="AE526">
        <f>HYPERLINK("https://klasma.github.io/Logging_2085/fåglar/A 47287-2025 prioriterade fågelarter.docx", "A 47287-2025")</f>
        <v/>
      </c>
    </row>
    <row r="527" ht="15" customHeight="1">
      <c r="A527" t="inlineStr">
        <is>
          <t>A 37639-2024</t>
        </is>
      </c>
      <c r="B527" t="inlineStr">
        <is>
          <t>avverkningsanmälan</t>
        </is>
      </c>
      <c r="C527" t="inlineStr">
        <is>
          <t>Föryngringsavverkning</t>
        </is>
      </c>
      <c r="D527" s="1" t="n">
        <v>45541</v>
      </c>
      <c r="E527" s="1" t="n">
        <v>46319</v>
      </c>
      <c r="F527" t="inlineStr">
        <is>
          <t>DALARNAS LÄN</t>
        </is>
      </c>
      <c r="G527" t="inlineStr">
        <is>
          <t>LUDVIKA</t>
        </is>
      </c>
      <c r="H527" t="inlineStr">
        <is>
          <t>Bergvik skog väst AB</t>
        </is>
      </c>
      <c r="I527" t="n">
        <v>1.6</v>
      </c>
      <c r="J527" t="n">
        <v>0</v>
      </c>
      <c r="K527" t="n">
        <v>2</v>
      </c>
      <c r="L527" t="n">
        <v>2</v>
      </c>
      <c r="M527" t="n">
        <v>1</v>
      </c>
      <c r="N527" t="n">
        <v>0</v>
      </c>
      <c r="O527" t="n">
        <v>0</v>
      </c>
      <c r="P527" t="n">
        <v>0</v>
      </c>
      <c r="Q527" t="n">
        <v>3</v>
      </c>
      <c r="R527" t="n">
        <v>1</v>
      </c>
      <c r="S527" t="n">
        <v>5</v>
      </c>
      <c r="T527" t="n">
        <v>5</v>
      </c>
      <c r="U527" t="n">
        <v>0</v>
      </c>
      <c r="V527" s="2" t="inlineStr">
        <is>
          <t>Garnlav
Lunglav
Violettgrå tagellav
Gulnål
Korallblylav</t>
        </is>
      </c>
      <c r="W527">
        <f>HYPERLINK("https://klasma.github.io/Logging_2085/artfynd/A 37639-2024 artfynd.xlsx", "A 37639-2024")</f>
        <v/>
      </c>
      <c r="X527">
        <f>HYPERLINK("https://klasma.github.io/Logging_2085/kartor/A 37639-2024 karta.png", "A 37639-2024")</f>
        <v/>
      </c>
      <c r="Y527">
        <f>HYPERLINK("https://klasma.github.io/Logging_2085/kartor_geotiff/A 37639-2024 georefererad karta.tif", "A 37639-2024")</f>
        <v/>
      </c>
      <c r="AA527">
        <f>HYPERLINK("https://klasma.github.io/Logging_2085/klagomål/A 37639-2024 FSC-klagomål.docx", "A 37639-2024")</f>
        <v/>
      </c>
      <c r="AB527">
        <f>HYPERLINK("https://klasma.github.io/Logging_2085/klagomålsmail/A 37639-2024 FSC-klagomål mail.docx", "A 37639-2024")</f>
        <v/>
      </c>
      <c r="AC527">
        <f>HYPERLINK("https://klasma.github.io/Logging_2085/tillsyn/A 37639-2024 tillsynsbegäran.docx", "A 37639-2024")</f>
        <v/>
      </c>
      <c r="AD527">
        <f>HYPERLINK("https://klasma.github.io/Logging_2085/tillsynsmail/A 37639-2024 tillsynsbegäran mail.docx", "A 37639-2024")</f>
        <v/>
      </c>
    </row>
    <row r="528" ht="15" customHeight="1">
      <c r="A528" t="inlineStr">
        <is>
          <t>A 59840-2024</t>
        </is>
      </c>
      <c r="B528" t="inlineStr">
        <is>
          <t>avverkningsanmälan</t>
        </is>
      </c>
      <c r="C528" t="inlineStr">
        <is>
          <t>Avverkning för annat ändamål</t>
        </is>
      </c>
      <c r="D528" s="1" t="n">
        <v>45638</v>
      </c>
      <c r="E528" s="1" t="n">
        <v>46319</v>
      </c>
      <c r="F528" t="inlineStr">
        <is>
          <t>DALARNAS LÄN</t>
        </is>
      </c>
      <c r="G528" t="inlineStr">
        <is>
          <t>LEKSAND</t>
        </is>
      </c>
      <c r="I528" t="n">
        <v>0.6</v>
      </c>
      <c r="J528" t="n">
        <v>1</v>
      </c>
      <c r="K528" t="n">
        <v>1</v>
      </c>
      <c r="L528" t="n">
        <v>3</v>
      </c>
      <c r="M528" t="n">
        <v>0</v>
      </c>
      <c r="N528" t="n">
        <v>0</v>
      </c>
      <c r="O528" t="n">
        <v>0</v>
      </c>
      <c r="P528" t="n">
        <v>0</v>
      </c>
      <c r="Q528" t="n">
        <v>3</v>
      </c>
      <c r="R528" t="n">
        <v>0</v>
      </c>
      <c r="S528" t="n">
        <v>5</v>
      </c>
      <c r="T528" t="n">
        <v>7</v>
      </c>
      <c r="U528" t="n">
        <v>1</v>
      </c>
      <c r="V528" s="2" t="inlineStr">
        <is>
          <t>Rosenticka
Rynkskinn
Slåtterfibbla
Svart trolldruva
Blåsippa</t>
        </is>
      </c>
      <c r="W528">
        <f>HYPERLINK("https://klasma.github.io/Logging_2029/artfynd/A 59840-2024 artfynd.xlsx", "A 59840-2024")</f>
        <v/>
      </c>
      <c r="X528">
        <f>HYPERLINK("https://klasma.github.io/Logging_2029/kartor/A 59840-2024 karta.png", "A 59840-2024")</f>
        <v/>
      </c>
      <c r="Y528">
        <f>HYPERLINK("https://klasma.github.io/Logging_2029/kartor_geotiff/A 59840-2024 georefererad karta.tif", "A 59840-2024")</f>
        <v/>
      </c>
      <c r="AA528">
        <f>HYPERLINK("https://klasma.github.io/Logging_2029/klagomål/A 59840-2024 FSC-klagomål.docx", "A 59840-2024")</f>
        <v/>
      </c>
      <c r="AB528">
        <f>HYPERLINK("https://klasma.github.io/Logging_2029/klagomålsmail/A 59840-2024 FSC-klagomål mail.docx", "A 59840-2024")</f>
        <v/>
      </c>
      <c r="AC528">
        <f>HYPERLINK("https://klasma.github.io/Logging_2029/tillsyn/A 59840-2024 tillsynsbegäran.docx", "A 59840-2024")</f>
        <v/>
      </c>
      <c r="AD528">
        <f>HYPERLINK("https://klasma.github.io/Logging_2029/tillsynsmail/A 59840-2024 tillsynsbegäran mail.docx", "A 59840-2024")</f>
        <v/>
      </c>
    </row>
    <row r="529" ht="15" customHeight="1">
      <c r="A529" t="inlineStr">
        <is>
          <t>A 14878-2024</t>
        </is>
      </c>
      <c r="B529" t="inlineStr">
        <is>
          <t>avverkningsanmälan</t>
        </is>
      </c>
      <c r="C529" t="inlineStr">
        <is>
          <t>Föryngringsavverkning</t>
        </is>
      </c>
      <c r="D529" s="1" t="n">
        <v>45398</v>
      </c>
      <c r="E529" s="1" t="n">
        <v>46319</v>
      </c>
      <c r="F529" t="inlineStr">
        <is>
          <t>DALARNAS LÄN</t>
        </is>
      </c>
      <c r="G529" t="inlineStr">
        <is>
          <t>FALUN</t>
        </is>
      </c>
      <c r="I529" t="n">
        <v>1.2</v>
      </c>
      <c r="J529" t="n">
        <v>3</v>
      </c>
      <c r="K529" t="n">
        <v>0</v>
      </c>
      <c r="L529" t="n">
        <v>1</v>
      </c>
      <c r="M529" t="n">
        <v>2</v>
      </c>
      <c r="N529" t="n">
        <v>0</v>
      </c>
      <c r="O529" t="n">
        <v>0</v>
      </c>
      <c r="P529" t="n">
        <v>0</v>
      </c>
      <c r="Q529" t="n">
        <v>3</v>
      </c>
      <c r="R529" t="n">
        <v>2</v>
      </c>
      <c r="S529" t="n">
        <v>5</v>
      </c>
      <c r="T529" t="n">
        <v>10</v>
      </c>
      <c r="U529" t="n">
        <v>10</v>
      </c>
      <c r="V529" s="2" t="inlineStr">
        <is>
          <t>Garnlav
Knärot
Dropptaggsvamp
Spillkråka
Tjäder</t>
        </is>
      </c>
      <c r="W529">
        <f>HYPERLINK("https://klasma.github.io/Logging_2080/artfynd/A 14878-2024 artfynd.xlsx", "A 14878-2024")</f>
        <v/>
      </c>
      <c r="X529">
        <f>HYPERLINK("https://klasma.github.io/Logging_2080/kartor/A 14878-2024 karta.png", "A 14878-2024")</f>
        <v/>
      </c>
      <c r="Y529">
        <f>HYPERLINK("https://klasma.github.io/Logging_2080/kartor_geotiff/A 14878-2024 georefererad karta.tif", "A 14878-2024")</f>
        <v/>
      </c>
      <c r="Z529">
        <f>HYPERLINK("https://klasma.github.io/Logging_2080/knärot/A 14878-2024 karta knärot.png", "A 14878-2024")</f>
        <v/>
      </c>
      <c r="AA529">
        <f>HYPERLINK("https://klasma.github.io/Logging_2080/klagomål/A 14878-2024 FSC-klagomål.docx", "A 14878-2024")</f>
        <v/>
      </c>
      <c r="AB529">
        <f>HYPERLINK("https://klasma.github.io/Logging_2080/klagomålsmail/A 14878-2024 FSC-klagomål mail.docx", "A 14878-2024")</f>
        <v/>
      </c>
      <c r="AC529">
        <f>HYPERLINK("https://klasma.github.io/Logging_2080/tillsyn/A 14878-2024 tillsynsbegäran.docx", "A 14878-2024")</f>
        <v/>
      </c>
      <c r="AD529">
        <f>HYPERLINK("https://klasma.github.io/Logging_2080/tillsynsmail/A 14878-2024 tillsynsbegäran mail.docx", "A 14878-2024")</f>
        <v/>
      </c>
      <c r="AE529">
        <f>HYPERLINK("https://klasma.github.io/Logging_2080/fåglar/A 14878-2024 prioriterade fågelarter.docx", "A 14878-2024")</f>
        <v/>
      </c>
    </row>
    <row r="530" ht="15" customHeight="1">
      <c r="A530" t="inlineStr">
        <is>
          <t>A 33366-2023</t>
        </is>
      </c>
      <c r="B530" t="inlineStr">
        <is>
          <t>avverkningsanmälan</t>
        </is>
      </c>
      <c r="C530" t="inlineStr">
        <is>
          <t>Föryngringsavverkning</t>
        </is>
      </c>
      <c r="D530" s="1" t="n">
        <v>45128</v>
      </c>
      <c r="E530" s="1" t="n">
        <v>46319</v>
      </c>
      <c r="F530" t="inlineStr">
        <is>
          <t>DALARNAS LÄN</t>
        </is>
      </c>
      <c r="G530" t="inlineStr">
        <is>
          <t>ORSA</t>
        </is>
      </c>
      <c r="H530" t="inlineStr">
        <is>
          <t>Bergvik skog väst AB</t>
        </is>
      </c>
      <c r="I530" t="n">
        <v>3.5</v>
      </c>
      <c r="J530" t="n">
        <v>2</v>
      </c>
      <c r="K530" t="n">
        <v>0</v>
      </c>
      <c r="L530" t="n">
        <v>4</v>
      </c>
      <c r="M530" t="n">
        <v>1</v>
      </c>
      <c r="N530" t="n">
        <v>0</v>
      </c>
      <c r="O530" t="n">
        <v>0</v>
      </c>
      <c r="P530" t="n">
        <v>0</v>
      </c>
      <c r="Q530" t="n">
        <v>5</v>
      </c>
      <c r="R530" t="n">
        <v>1</v>
      </c>
      <c r="S530" t="n">
        <v>5</v>
      </c>
      <c r="T530" t="n">
        <v>6</v>
      </c>
      <c r="U530" t="n">
        <v>6</v>
      </c>
      <c r="V530" s="2" t="inlineStr">
        <is>
          <t>Garnlav
Lavskrika
Tretåig hackspett
Violettgrå tagellav
Vitgrynig nållav</t>
        </is>
      </c>
      <c r="W530">
        <f>HYPERLINK("https://klasma.github.io/Logging_2034/artfynd/A 33366-2023 artfynd.xlsx", "A 33366-2023")</f>
        <v/>
      </c>
      <c r="X530">
        <f>HYPERLINK("https://klasma.github.io/Logging_2034/kartor/A 33366-2023 karta.png", "A 33366-2023")</f>
        <v/>
      </c>
      <c r="Y530">
        <f>HYPERLINK("https://klasma.github.io/Logging_2034/kartor_geotiff/A 33366-2023 georefererad karta.tif", "A 33366-2023")</f>
        <v/>
      </c>
      <c r="AA530">
        <f>HYPERLINK("https://klasma.github.io/Logging_2034/klagomål/A 33366-2023 FSC-klagomål.docx", "A 33366-2023")</f>
        <v/>
      </c>
      <c r="AB530">
        <f>HYPERLINK("https://klasma.github.io/Logging_2034/klagomålsmail/A 33366-2023 FSC-klagomål mail.docx", "A 33366-2023")</f>
        <v/>
      </c>
      <c r="AC530">
        <f>HYPERLINK("https://klasma.github.io/Logging_2034/tillsyn/A 33366-2023 tillsynsbegäran.docx", "A 33366-2023")</f>
        <v/>
      </c>
      <c r="AD530">
        <f>HYPERLINK("https://klasma.github.io/Logging_2034/tillsynsmail/A 33366-2023 tillsynsbegäran mail.docx", "A 33366-2023")</f>
        <v/>
      </c>
      <c r="AE530">
        <f>HYPERLINK("https://klasma.github.io/Logging_2034/fåglar/A 33366-2023 prioriterade fågelarter.docx", "A 33366-2023")</f>
        <v/>
      </c>
    </row>
    <row r="531" ht="15" customHeight="1">
      <c r="A531" t="inlineStr">
        <is>
          <t>A 25089-2024</t>
        </is>
      </c>
      <c r="B531" t="inlineStr">
        <is>
          <t>avverkningsanmälan</t>
        </is>
      </c>
      <c r="C531" t="inlineStr">
        <is>
          <t>Föryngringsavverkning</t>
        </is>
      </c>
      <c r="D531" s="1" t="n">
        <v>45462</v>
      </c>
      <c r="E531" s="1" t="n">
        <v>46319</v>
      </c>
      <c r="F531" t="inlineStr">
        <is>
          <t>DALARNAS LÄN</t>
        </is>
      </c>
      <c r="G531" t="inlineStr">
        <is>
          <t>ÄLVDALEN</t>
        </is>
      </c>
      <c r="H531" t="inlineStr">
        <is>
          <t>Sveaskog</t>
        </is>
      </c>
      <c r="I531" t="n">
        <v>3.9</v>
      </c>
      <c r="J531" t="n">
        <v>0</v>
      </c>
      <c r="K531" t="n">
        <v>0</v>
      </c>
      <c r="L531" t="n">
        <v>5</v>
      </c>
      <c r="M531" t="n">
        <v>0</v>
      </c>
      <c r="N531" t="n">
        <v>0</v>
      </c>
      <c r="O531" t="n">
        <v>0</v>
      </c>
      <c r="P531" t="n">
        <v>0</v>
      </c>
      <c r="Q531" t="n">
        <v>5</v>
      </c>
      <c r="R531" t="n">
        <v>0</v>
      </c>
      <c r="S531" t="n">
        <v>5</v>
      </c>
      <c r="T531" t="n">
        <v>5</v>
      </c>
      <c r="U531" t="n">
        <v>0</v>
      </c>
      <c r="V531" s="2" t="inlineStr">
        <is>
          <t>Blanksvart spiklav
Kolflarnlav
Mörk kolflarnlav
Skarp dropptaggsvamp
Vedflamlav</t>
        </is>
      </c>
      <c r="W531">
        <f>HYPERLINK("https://klasma.github.io/Logging_2039/artfynd/A 25089-2024 artfynd.xlsx", "A 25089-2024")</f>
        <v/>
      </c>
      <c r="X531">
        <f>HYPERLINK("https://klasma.github.io/Logging_2039/kartor/A 25089-2024 karta.png", "A 25089-2024")</f>
        <v/>
      </c>
      <c r="Y531">
        <f>HYPERLINK("https://klasma.github.io/Logging_2039/kartor_geotiff/A 25089-2024 georefererad karta.tif", "A 25089-2024")</f>
        <v/>
      </c>
      <c r="AA531">
        <f>HYPERLINK("https://klasma.github.io/Logging_2039/klagomål/A 25089-2024 FSC-klagomål.docx", "A 25089-2024")</f>
        <v/>
      </c>
      <c r="AB531">
        <f>HYPERLINK("https://klasma.github.io/Logging_2039/klagomålsmail/A 25089-2024 FSC-klagomål mail.docx", "A 25089-2024")</f>
        <v/>
      </c>
      <c r="AC531">
        <f>HYPERLINK("https://klasma.github.io/Logging_2039/tillsyn/A 25089-2024 tillsynsbegäran.docx", "A 25089-2024")</f>
        <v/>
      </c>
      <c r="AD531">
        <f>HYPERLINK("https://klasma.github.io/Logging_2039/tillsynsmail/A 25089-2024 tillsynsbegäran mail.docx", "A 25089-2024")</f>
        <v/>
      </c>
    </row>
    <row r="532" ht="15" customHeight="1">
      <c r="A532" t="inlineStr">
        <is>
          <t>A 16943-2026</t>
        </is>
      </c>
      <c r="B532" t="inlineStr">
        <is>
          <t>avverkningsanmälan</t>
        </is>
      </c>
      <c r="C532" t="inlineStr">
        <is>
          <t>Föryngringsavverkning</t>
        </is>
      </c>
      <c r="D532" s="1" t="n">
        <v>46113</v>
      </c>
      <c r="E532" s="1" t="n">
        <v>46319</v>
      </c>
      <c r="F532" t="inlineStr">
        <is>
          <t>DALARNAS LÄN</t>
        </is>
      </c>
      <c r="G532" t="inlineStr">
        <is>
          <t>BORLÄNGE</t>
        </is>
      </c>
      <c r="I532" t="n">
        <v>6.1</v>
      </c>
      <c r="J532" t="n">
        <v>2</v>
      </c>
      <c r="K532" t="n">
        <v>3</v>
      </c>
      <c r="L532" t="n">
        <v>0</v>
      </c>
      <c r="M532" t="n">
        <v>1</v>
      </c>
      <c r="N532" t="n">
        <v>0</v>
      </c>
      <c r="O532" t="n">
        <v>0</v>
      </c>
      <c r="P532" t="n">
        <v>0</v>
      </c>
      <c r="Q532" t="n">
        <v>1</v>
      </c>
      <c r="R532" t="n">
        <v>1</v>
      </c>
      <c r="S532" t="n">
        <v>5</v>
      </c>
      <c r="T532" t="n">
        <v>6</v>
      </c>
      <c r="U532" t="n">
        <v>0</v>
      </c>
      <c r="V532" s="2" t="inlineStr">
        <is>
          <t>Knärot
Dvärghäxört
Trådticka
Vågbandad barkbock
Blåsippa</t>
        </is>
      </c>
      <c r="W532">
        <f>HYPERLINK("https://klasma.github.io/Logging_2081/artfynd/A 16943-2026 artfynd.xlsx", "A 16943-2026")</f>
        <v/>
      </c>
      <c r="X532">
        <f>HYPERLINK("https://klasma.github.io/Logging_2081/kartor/A 16943-2026 karta.png", "A 16943-2026")</f>
        <v/>
      </c>
      <c r="Y532">
        <f>HYPERLINK("https://klasma.github.io/Logging_2081/kartor_geotiff/A 16943-2026 georefererad karta.tif", "A 16943-2026")</f>
        <v/>
      </c>
      <c r="Z532">
        <f>HYPERLINK("https://klasma.github.io/Logging_2081/knärot/A 16943-2026 karta knärot.png", "A 16943-2026")</f>
        <v/>
      </c>
      <c r="AA532">
        <f>HYPERLINK("https://klasma.github.io/Logging_2081/klagomål/A 16943-2026 FSC-klagomål.docx", "A 16943-2026")</f>
        <v/>
      </c>
      <c r="AB532">
        <f>HYPERLINK("https://klasma.github.io/Logging_2081/klagomålsmail/A 16943-2026 FSC-klagomål mail.docx", "A 16943-2026")</f>
        <v/>
      </c>
      <c r="AC532">
        <f>HYPERLINK("https://klasma.github.io/Logging_2081/tillsyn/A 16943-2026 tillsynsbegäran.docx", "A 16943-2026")</f>
        <v/>
      </c>
      <c r="AD532">
        <f>HYPERLINK("https://klasma.github.io/Logging_2081/tillsynsmail/A 16943-2026 tillsynsbegäran mail.docx", "A 16943-2026")</f>
        <v/>
      </c>
    </row>
    <row r="533" ht="15" customHeight="1">
      <c r="A533" t="inlineStr">
        <is>
          <t>A 25698-2026</t>
        </is>
      </c>
      <c r="B533" t="inlineStr">
        <is>
          <t>avverkningsanmälan</t>
        </is>
      </c>
      <c r="C533" t="inlineStr">
        <is>
          <t>Föryngringsavverkning</t>
        </is>
      </c>
      <c r="D533" s="1" t="n">
        <v>46178</v>
      </c>
      <c r="E533" s="1" t="n">
        <v>46319</v>
      </c>
      <c r="F533" t="inlineStr">
        <is>
          <t>DALARNAS LÄN</t>
        </is>
      </c>
      <c r="G533" t="inlineStr">
        <is>
          <t>MALUNG-SÄLEN</t>
        </is>
      </c>
      <c r="H533" t="inlineStr">
        <is>
          <t>Allmännings- och besparingsskogar</t>
        </is>
      </c>
      <c r="I533" t="n">
        <v>5.6</v>
      </c>
      <c r="J533" t="n">
        <v>0</v>
      </c>
      <c r="K533" t="n">
        <v>0</v>
      </c>
      <c r="L533" t="n">
        <v>4</v>
      </c>
      <c r="M533" t="n">
        <v>1</v>
      </c>
      <c r="N533" t="n">
        <v>0</v>
      </c>
      <c r="O533" t="n">
        <v>0</v>
      </c>
      <c r="P533" t="n">
        <v>0</v>
      </c>
      <c r="Q533" t="n">
        <v>5</v>
      </c>
      <c r="R533" t="n">
        <v>1</v>
      </c>
      <c r="S533" t="n">
        <v>5</v>
      </c>
      <c r="T533" t="n">
        <v>30</v>
      </c>
      <c r="U533" t="n">
        <v>30</v>
      </c>
      <c r="V533" s="2" t="inlineStr">
        <is>
          <t>Garnlav
Kortskaftad ärgspik
Mörk kolflarnlav
Vedskivlav
Violettgrå tagellav</t>
        </is>
      </c>
      <c r="W533">
        <f>HYPERLINK("https://klasma.github.io/Logging_2023/artfynd/A 25698-2026 artfynd.xlsx", "A 25698-2026")</f>
        <v/>
      </c>
      <c r="X533">
        <f>HYPERLINK("https://klasma.github.io/Logging_2023/kartor/A 25698-2026 karta.png", "A 25698-2026")</f>
        <v/>
      </c>
      <c r="Y533">
        <f>HYPERLINK("https://klasma.github.io/Logging_2023/kartor_geotiff/A 25698-2026 georefererad karta.tif", "A 25698-2026")</f>
        <v/>
      </c>
      <c r="AA533">
        <f>HYPERLINK("https://klasma.github.io/Logging_2023/klagomål/A 25698-2026 FSC-klagomål.docx", "A 25698-2026")</f>
        <v/>
      </c>
      <c r="AB533">
        <f>HYPERLINK("https://klasma.github.io/Logging_2023/klagomålsmail/A 25698-2026 FSC-klagomål mail.docx", "A 25698-2026")</f>
        <v/>
      </c>
      <c r="AC533">
        <f>HYPERLINK("https://klasma.github.io/Logging_2023/tillsyn/A 25698-2026 tillsynsbegäran.docx", "A 25698-2026")</f>
        <v/>
      </c>
      <c r="AD533">
        <f>HYPERLINK("https://klasma.github.io/Logging_2023/tillsynsmail/A 25698-2026 tillsynsbegäran mail.docx", "A 25698-2026")</f>
        <v/>
      </c>
    </row>
    <row r="534" ht="15" customHeight="1">
      <c r="A534" t="inlineStr">
        <is>
          <t>A 27569-2026</t>
        </is>
      </c>
      <c r="B534" t="inlineStr">
        <is>
          <t>avverkningsanmälan</t>
        </is>
      </c>
      <c r="C534" t="inlineStr">
        <is>
          <t>Föryngringsavverkning</t>
        </is>
      </c>
      <c r="D534" s="1" t="n">
        <v>46190</v>
      </c>
      <c r="E534" s="1" t="n">
        <v>46319</v>
      </c>
      <c r="F534" t="inlineStr">
        <is>
          <t>DALARNAS LÄN</t>
        </is>
      </c>
      <c r="G534" t="inlineStr">
        <is>
          <t>MALUNG-SÄLEN</t>
        </is>
      </c>
      <c r="H534" t="inlineStr">
        <is>
          <t>Kommuner</t>
        </is>
      </c>
      <c r="I534" t="n">
        <v>1.3</v>
      </c>
      <c r="J534" t="n">
        <v>0</v>
      </c>
      <c r="K534" t="n">
        <v>0</v>
      </c>
      <c r="L534" t="n">
        <v>4</v>
      </c>
      <c r="M534" t="n">
        <v>1</v>
      </c>
      <c r="N534" t="n">
        <v>0</v>
      </c>
      <c r="O534" t="n">
        <v>0</v>
      </c>
      <c r="P534" t="n">
        <v>0</v>
      </c>
      <c r="Q534" t="n">
        <v>5</v>
      </c>
      <c r="R534" t="n">
        <v>1</v>
      </c>
      <c r="S534" t="n">
        <v>5</v>
      </c>
      <c r="T534" t="n">
        <v>12</v>
      </c>
      <c r="U534" t="n">
        <v>12</v>
      </c>
      <c r="V534" s="2" t="inlineStr">
        <is>
          <t>Garnlav
Dvärgbägarlav
Kolflarnlav
Vedflamlav
Vedskivlav</t>
        </is>
      </c>
      <c r="W534">
        <f>HYPERLINK("https://klasma.github.io/Logging_2023/artfynd/A 27569-2026 artfynd.xlsx", "A 27569-2026")</f>
        <v/>
      </c>
      <c r="X534">
        <f>HYPERLINK("https://klasma.github.io/Logging_2023/kartor/A 27569-2026 karta.png", "A 27569-2026")</f>
        <v/>
      </c>
      <c r="Y534">
        <f>HYPERLINK("https://klasma.github.io/Logging_2023/kartor_geotiff/A 27569-2026 georefererad karta.tif", "A 27569-2026")</f>
        <v/>
      </c>
      <c r="AA534">
        <f>HYPERLINK("https://klasma.github.io/Logging_2023/klagomål/A 27569-2026 FSC-klagomål.docx", "A 27569-2026")</f>
        <v/>
      </c>
      <c r="AB534">
        <f>HYPERLINK("https://klasma.github.io/Logging_2023/klagomålsmail/A 27569-2026 FSC-klagomål mail.docx", "A 27569-2026")</f>
        <v/>
      </c>
      <c r="AC534">
        <f>HYPERLINK("https://klasma.github.io/Logging_2023/tillsyn/A 27569-2026 tillsynsbegäran.docx", "A 27569-2026")</f>
        <v/>
      </c>
      <c r="AD534">
        <f>HYPERLINK("https://klasma.github.io/Logging_2023/tillsynsmail/A 27569-2026 tillsynsbegäran mail.docx", "A 27569-2026")</f>
        <v/>
      </c>
    </row>
    <row r="535" ht="15" customHeight="1">
      <c r="A535" t="inlineStr">
        <is>
          <t>A 29519-2026</t>
        </is>
      </c>
      <c r="B535" t="inlineStr">
        <is>
          <t>avverkningsanmälan</t>
        </is>
      </c>
      <c r="C535" t="inlineStr">
        <is>
          <t>Föryngringsavverkning</t>
        </is>
      </c>
      <c r="D535" s="1" t="n">
        <v>46198</v>
      </c>
      <c r="E535" s="1" t="n">
        <v>46319</v>
      </c>
      <c r="F535" t="inlineStr">
        <is>
          <t>DALARNAS LÄN</t>
        </is>
      </c>
      <c r="G535" t="inlineStr">
        <is>
          <t>HEDEMORA</t>
        </is>
      </c>
      <c r="I535" t="n">
        <v>8.300000000000001</v>
      </c>
      <c r="J535" t="n">
        <v>1</v>
      </c>
      <c r="K535" t="n">
        <v>2</v>
      </c>
      <c r="L535" t="n">
        <v>3</v>
      </c>
      <c r="M535" t="n">
        <v>0</v>
      </c>
      <c r="N535" t="n">
        <v>0</v>
      </c>
      <c r="O535" t="n">
        <v>0</v>
      </c>
      <c r="P535" t="n">
        <v>0</v>
      </c>
      <c r="Q535" t="n">
        <v>3</v>
      </c>
      <c r="R535" t="n">
        <v>0</v>
      </c>
      <c r="S535" t="n">
        <v>5</v>
      </c>
      <c r="T535" t="n">
        <v>5</v>
      </c>
      <c r="U535" t="n">
        <v>0</v>
      </c>
      <c r="V535" s="2" t="inlineStr">
        <is>
          <t>Gultoppig fingersvamp
Svartvit taggsvamp
Talltita
Rödgul trumpetsvamp
Svavelriska</t>
        </is>
      </c>
      <c r="W535">
        <f>HYPERLINK("https://klasma.github.io/Logging_2083/artfynd/A 29519-2026 artfynd.xlsx", "A 29519-2026")</f>
        <v/>
      </c>
      <c r="X535">
        <f>HYPERLINK("https://klasma.github.io/Logging_2083/kartor/A 29519-2026 karta.png", "A 29519-2026")</f>
        <v/>
      </c>
      <c r="Y535">
        <f>HYPERLINK("https://klasma.github.io/Logging_2083/kartor_geotiff/A 29519-2026 georefererad karta.tif", "A 29519-2026")</f>
        <v/>
      </c>
      <c r="AA535">
        <f>HYPERLINK("https://klasma.github.io/Logging_2083/klagomål/A 29519-2026 FSC-klagomål.docx", "A 29519-2026")</f>
        <v/>
      </c>
      <c r="AB535">
        <f>HYPERLINK("https://klasma.github.io/Logging_2083/klagomålsmail/A 29519-2026 FSC-klagomål mail.docx", "A 29519-2026")</f>
        <v/>
      </c>
      <c r="AC535">
        <f>HYPERLINK("https://klasma.github.io/Logging_2083/tillsyn/A 29519-2026 tillsynsbegäran.docx", "A 29519-2026")</f>
        <v/>
      </c>
      <c r="AD535">
        <f>HYPERLINK("https://klasma.github.io/Logging_2083/tillsynsmail/A 29519-2026 tillsynsbegäran mail.docx", "A 29519-2026")</f>
        <v/>
      </c>
      <c r="AE535">
        <f>HYPERLINK("https://klasma.github.io/Logging_2083/fåglar/A 29519-2026 prioriterade fågelarter.docx", "A 29519-2026")</f>
        <v/>
      </c>
    </row>
    <row r="536" ht="15" customHeight="1">
      <c r="A536" t="inlineStr">
        <is>
          <t>A 47336-2024</t>
        </is>
      </c>
      <c r="B536" t="inlineStr">
        <is>
          <t>avverkningsanmälan</t>
        </is>
      </c>
      <c r="C536" t="inlineStr">
        <is>
          <t>Avverkning för annat ändamål</t>
        </is>
      </c>
      <c r="D536" s="1" t="n">
        <v>45583</v>
      </c>
      <c r="E536" s="1" t="n">
        <v>46319</v>
      </c>
      <c r="F536" t="inlineStr">
        <is>
          <t>DALARNAS LÄN</t>
        </is>
      </c>
      <c r="G536" t="inlineStr">
        <is>
          <t>MALUNG-SÄLEN</t>
        </is>
      </c>
      <c r="I536" t="n">
        <v>0.8</v>
      </c>
      <c r="J536" t="n">
        <v>3</v>
      </c>
      <c r="K536" t="n">
        <v>2</v>
      </c>
      <c r="L536" t="n">
        <v>0</v>
      </c>
      <c r="M536" t="n">
        <v>1</v>
      </c>
      <c r="N536" t="n">
        <v>0</v>
      </c>
      <c r="O536" t="n">
        <v>0</v>
      </c>
      <c r="P536" t="n">
        <v>0</v>
      </c>
      <c r="Q536" t="n">
        <v>1</v>
      </c>
      <c r="R536" t="n">
        <v>1</v>
      </c>
      <c r="S536" t="n">
        <v>5</v>
      </c>
      <c r="T536" t="n">
        <v>9</v>
      </c>
      <c r="U536" t="n">
        <v>9</v>
      </c>
      <c r="V536" s="2" t="inlineStr">
        <is>
          <t>Garnlav
Bollvitmossa
Tvåblad
Fläcknycklar
Revlummer</t>
        </is>
      </c>
      <c r="W536">
        <f>HYPERLINK("https://klasma.github.io/Logging_2023/artfynd/A 47336-2024 artfynd.xlsx", "A 47336-2024")</f>
        <v/>
      </c>
      <c r="X536">
        <f>HYPERLINK("https://klasma.github.io/Logging_2023/kartor/A 47336-2024 karta.png", "A 47336-2024")</f>
        <v/>
      </c>
      <c r="Y536">
        <f>HYPERLINK("https://klasma.github.io/Logging_2023/kartor_geotiff/A 47336-2024 georefererad karta.tif", "A 47336-2024")</f>
        <v/>
      </c>
      <c r="AA536">
        <f>HYPERLINK("https://klasma.github.io/Logging_2023/klagomål/A 47336-2024 FSC-klagomål.docx", "A 47336-2024")</f>
        <v/>
      </c>
      <c r="AB536">
        <f>HYPERLINK("https://klasma.github.io/Logging_2023/klagomålsmail/A 47336-2024 FSC-klagomål mail.docx", "A 47336-2024")</f>
        <v/>
      </c>
      <c r="AC536">
        <f>HYPERLINK("https://klasma.github.io/Logging_2023/tillsyn/A 47336-2024 tillsynsbegäran.docx", "A 47336-2024")</f>
        <v/>
      </c>
      <c r="AD536">
        <f>HYPERLINK("https://klasma.github.io/Logging_2023/tillsynsmail/A 47336-2024 tillsynsbegäran mail.docx", "A 47336-2024")</f>
        <v/>
      </c>
    </row>
    <row r="537" ht="15" customHeight="1">
      <c r="A537" t="inlineStr">
        <is>
          <t>A 51289-2023</t>
        </is>
      </c>
      <c r="B537" t="inlineStr">
        <is>
          <t>avverkningsanmälan</t>
        </is>
      </c>
      <c r="C537" t="inlineStr">
        <is>
          <t>Föryngringsavverkning</t>
        </is>
      </c>
      <c r="D537" s="1" t="n">
        <v>45219</v>
      </c>
      <c r="E537" s="1" t="n">
        <v>46319</v>
      </c>
      <c r="F537" t="inlineStr">
        <is>
          <t>DALARNAS LÄN</t>
        </is>
      </c>
      <c r="G537" t="inlineStr">
        <is>
          <t>ORSA</t>
        </is>
      </c>
      <c r="I537" t="n">
        <v>1.5</v>
      </c>
      <c r="J537" t="n">
        <v>1</v>
      </c>
      <c r="K537" t="n">
        <v>1</v>
      </c>
      <c r="L537" t="n">
        <v>2</v>
      </c>
      <c r="M537" t="n">
        <v>1</v>
      </c>
      <c r="N537" t="n">
        <v>0</v>
      </c>
      <c r="O537" t="n">
        <v>0</v>
      </c>
      <c r="P537" t="n">
        <v>0</v>
      </c>
      <c r="Q537" t="n">
        <v>3</v>
      </c>
      <c r="R537" t="n">
        <v>1</v>
      </c>
      <c r="S537" t="n">
        <v>5</v>
      </c>
      <c r="T537" t="n">
        <v>13</v>
      </c>
      <c r="U537" t="n">
        <v>13</v>
      </c>
      <c r="V537" s="2" t="inlineStr">
        <is>
          <t>Garnlav
Talltagel
Tallticka
Mindre märgborre
Spillkråka</t>
        </is>
      </c>
      <c r="W537">
        <f>HYPERLINK("https://klasma.github.io/Logging_2034/artfynd/A 51289-2023 artfynd.xlsx", "A 51289-2023")</f>
        <v/>
      </c>
      <c r="X537">
        <f>HYPERLINK("https://klasma.github.io/Logging_2034/kartor/A 51289-2023 karta.png", "A 51289-2023")</f>
        <v/>
      </c>
      <c r="Y537">
        <f>HYPERLINK("https://klasma.github.io/Logging_2034/kartor_geotiff/A 51289-2023 georefererad karta.tif", "A 51289-2023")</f>
        <v/>
      </c>
      <c r="AA537">
        <f>HYPERLINK("https://klasma.github.io/Logging_2034/klagomål/A 51289-2023 FSC-klagomål.docx", "A 51289-2023")</f>
        <v/>
      </c>
      <c r="AB537">
        <f>HYPERLINK("https://klasma.github.io/Logging_2034/klagomålsmail/A 51289-2023 FSC-klagomål mail.docx", "A 51289-2023")</f>
        <v/>
      </c>
      <c r="AC537">
        <f>HYPERLINK("https://klasma.github.io/Logging_2034/tillsyn/A 51289-2023 tillsynsbegäran.docx", "A 51289-2023")</f>
        <v/>
      </c>
      <c r="AD537">
        <f>HYPERLINK("https://klasma.github.io/Logging_2034/tillsynsmail/A 51289-2023 tillsynsbegäran mail.docx", "A 51289-2023")</f>
        <v/>
      </c>
      <c r="AE537">
        <f>HYPERLINK("https://klasma.github.io/Logging_2034/fåglar/A 51289-2023 prioriterade fågelarter.docx", "A 51289-2023")</f>
        <v/>
      </c>
    </row>
    <row r="538" ht="15" customHeight="1">
      <c r="A538" t="inlineStr">
        <is>
          <t>A 29319-2026</t>
        </is>
      </c>
      <c r="B538" t="inlineStr">
        <is>
          <t>avverkningsanmälan</t>
        </is>
      </c>
      <c r="C538" t="inlineStr">
        <is>
          <t>Föryngringsavverkning</t>
        </is>
      </c>
      <c r="D538" s="1" t="n">
        <v>46202</v>
      </c>
      <c r="E538" s="1" t="n">
        <v>46319</v>
      </c>
      <c r="F538" t="inlineStr">
        <is>
          <t>DALARNAS LÄN</t>
        </is>
      </c>
      <c r="G538" t="inlineStr">
        <is>
          <t>ÄLVDALEN</t>
        </is>
      </c>
      <c r="I538" t="n">
        <v>1</v>
      </c>
      <c r="J538" t="n">
        <v>5</v>
      </c>
      <c r="K538" t="n">
        <v>1</v>
      </c>
      <c r="L538" t="n">
        <v>0</v>
      </c>
      <c r="M538" t="n">
        <v>0</v>
      </c>
      <c r="N538" t="n">
        <v>0</v>
      </c>
      <c r="O538" t="n">
        <v>0</v>
      </c>
      <c r="P538" t="n">
        <v>0</v>
      </c>
      <c r="Q538" t="n">
        <v>0</v>
      </c>
      <c r="R538" t="n">
        <v>0</v>
      </c>
      <c r="S538" t="n">
        <v>5</v>
      </c>
      <c r="T538" t="n">
        <v>7</v>
      </c>
      <c r="U538" t="n">
        <v>7</v>
      </c>
      <c r="V538" s="2" t="inlineStr">
        <is>
          <t>Spindelblomster
Järpe
Spillkråka
Fläcknycklar
Revlummer</t>
        </is>
      </c>
      <c r="W538">
        <f>HYPERLINK("https://klasma.github.io/Logging_2039/artfynd/A 29319-2026 artfynd.xlsx", "A 29319-2026")</f>
        <v/>
      </c>
      <c r="X538">
        <f>HYPERLINK("https://klasma.github.io/Logging_2039/kartor/A 29319-2026 karta.png", "A 29319-2026")</f>
        <v/>
      </c>
      <c r="Y538">
        <f>HYPERLINK("https://klasma.github.io/Logging_2039/kartor_geotiff/A 29319-2026 georefererad karta.tif", "A 29319-2026")</f>
        <v/>
      </c>
      <c r="AA538">
        <f>HYPERLINK("https://klasma.github.io/Logging_2039/klagomål/A 29319-2026 FSC-klagomål.docx", "A 29319-2026")</f>
        <v/>
      </c>
      <c r="AB538">
        <f>HYPERLINK("https://klasma.github.io/Logging_2039/klagomålsmail/A 29319-2026 FSC-klagomål mail.docx", "A 29319-2026")</f>
        <v/>
      </c>
      <c r="AC538">
        <f>HYPERLINK("https://klasma.github.io/Logging_2039/tillsyn/A 29319-2026 tillsynsbegäran.docx", "A 29319-2026")</f>
        <v/>
      </c>
      <c r="AD538">
        <f>HYPERLINK("https://klasma.github.io/Logging_2039/tillsynsmail/A 29319-2026 tillsynsbegäran mail.docx", "A 29319-2026")</f>
        <v/>
      </c>
      <c r="AE538">
        <f>HYPERLINK("https://klasma.github.io/Logging_2039/fåglar/A 29319-2026 prioriterade fågelarter.docx", "A 29319-2026")</f>
        <v/>
      </c>
    </row>
    <row r="539" ht="15" customHeight="1">
      <c r="A539" t="inlineStr">
        <is>
          <t>A 10755-2024</t>
        </is>
      </c>
      <c r="B539" t="inlineStr">
        <is>
          <t>avverkningsanmälan</t>
        </is>
      </c>
      <c r="C539" t="inlineStr">
        <is>
          <t>Föryngringsavverkning</t>
        </is>
      </c>
      <c r="D539" s="1" t="n">
        <v>45369</v>
      </c>
      <c r="E539" s="1" t="n">
        <v>46319</v>
      </c>
      <c r="F539" t="inlineStr">
        <is>
          <t>DALARNAS LÄN</t>
        </is>
      </c>
      <c r="G539" t="inlineStr">
        <is>
          <t>BORLÄNGE</t>
        </is>
      </c>
      <c r="I539" t="n">
        <v>2.9</v>
      </c>
      <c r="J539" t="n">
        <v>0</v>
      </c>
      <c r="K539" t="n">
        <v>2</v>
      </c>
      <c r="L539" t="n">
        <v>3</v>
      </c>
      <c r="M539" t="n">
        <v>0</v>
      </c>
      <c r="N539" t="n">
        <v>0</v>
      </c>
      <c r="O539" t="n">
        <v>0</v>
      </c>
      <c r="P539" t="n">
        <v>0</v>
      </c>
      <c r="Q539" t="n">
        <v>3</v>
      </c>
      <c r="R539" t="n">
        <v>0</v>
      </c>
      <c r="S539" t="n">
        <v>5</v>
      </c>
      <c r="T539" t="n">
        <v>12</v>
      </c>
      <c r="U539" t="n">
        <v>3</v>
      </c>
      <c r="V539" s="2" t="inlineStr">
        <is>
          <t>Rosenticka
Rynkskinn
Ullticka
Brandticka
Trådticka</t>
        </is>
      </c>
      <c r="W539">
        <f>HYPERLINK("https://klasma.github.io/Logging_2081/artfynd/A 10755-2024 artfynd.xlsx", "A 10755-2024")</f>
        <v/>
      </c>
      <c r="X539">
        <f>HYPERLINK("https://klasma.github.io/Logging_2081/kartor/A 10755-2024 karta.png", "A 10755-2024")</f>
        <v/>
      </c>
      <c r="Y539">
        <f>HYPERLINK("https://klasma.github.io/Logging_2081/kartor_geotiff/A 10755-2024 georefererad karta.tif", "A 10755-2024")</f>
        <v/>
      </c>
      <c r="AA539">
        <f>HYPERLINK("https://klasma.github.io/Logging_2081/klagomål/A 10755-2024 FSC-klagomål.docx", "A 10755-2024")</f>
        <v/>
      </c>
      <c r="AB539">
        <f>HYPERLINK("https://klasma.github.io/Logging_2081/klagomålsmail/A 10755-2024 FSC-klagomål mail.docx", "A 10755-2024")</f>
        <v/>
      </c>
      <c r="AC539">
        <f>HYPERLINK("https://klasma.github.io/Logging_2081/tillsyn/A 10755-2024 tillsynsbegäran.docx", "A 10755-2024")</f>
        <v/>
      </c>
      <c r="AD539">
        <f>HYPERLINK("https://klasma.github.io/Logging_2081/tillsynsmail/A 10755-2024 tillsynsbegäran mail.docx", "A 10755-2024")</f>
        <v/>
      </c>
    </row>
    <row r="540" ht="15" customHeight="1">
      <c r="A540" t="inlineStr">
        <is>
          <t>A 52483-2023</t>
        </is>
      </c>
      <c r="B540" t="inlineStr">
        <is>
          <t>avverkningsanmälan</t>
        </is>
      </c>
      <c r="C540" t="inlineStr">
        <is>
          <t>Föryngringsavverkning</t>
        </is>
      </c>
      <c r="D540" s="1" t="n">
        <v>45225</v>
      </c>
      <c r="E540" s="1" t="n">
        <v>46319</v>
      </c>
      <c r="F540" t="inlineStr">
        <is>
          <t>DALARNAS LÄN</t>
        </is>
      </c>
      <c r="G540" t="inlineStr">
        <is>
          <t>ÄLVDALEN</t>
        </is>
      </c>
      <c r="H540" t="inlineStr">
        <is>
          <t>Allmännings- och besparingsskogar</t>
        </is>
      </c>
      <c r="I540" t="n">
        <v>30.9</v>
      </c>
      <c r="J540" t="n">
        <v>0</v>
      </c>
      <c r="K540" t="n">
        <v>0</v>
      </c>
      <c r="L540" t="n">
        <v>4</v>
      </c>
      <c r="M540" t="n">
        <v>1</v>
      </c>
      <c r="N540" t="n">
        <v>0</v>
      </c>
      <c r="O540" t="n">
        <v>0</v>
      </c>
      <c r="P540" t="n">
        <v>0</v>
      </c>
      <c r="Q540" t="n">
        <v>5</v>
      </c>
      <c r="R540" t="n">
        <v>1</v>
      </c>
      <c r="S540" t="n">
        <v>5</v>
      </c>
      <c r="T540" t="n">
        <v>5</v>
      </c>
      <c r="U540" t="n">
        <v>0</v>
      </c>
      <c r="V540" s="2" t="inlineStr">
        <is>
          <t>Garnlav
Dropptaggsvamp
Kolflarnlav
Mörk kolflarnlav
Skrovellav</t>
        </is>
      </c>
      <c r="W540">
        <f>HYPERLINK("https://klasma.github.io/Logging_2039/artfynd/A 52483-2023 artfynd.xlsx", "A 52483-2023")</f>
        <v/>
      </c>
      <c r="X540">
        <f>HYPERLINK("https://klasma.github.io/Logging_2039/kartor/A 52483-2023 karta.png", "A 52483-2023")</f>
        <v/>
      </c>
      <c r="Y540">
        <f>HYPERLINK("https://klasma.github.io/Logging_2039/kartor_geotiff/A 52483-2023 georefererad karta.tif", "A 52483-2023")</f>
        <v/>
      </c>
      <c r="Z540">
        <f>HYPERLINK("https://klasma.github.io/Logging_2039/knärot/A 52483-2023 karta knärot.png", "A 52483-2023")</f>
        <v/>
      </c>
      <c r="AA540">
        <f>HYPERLINK("https://klasma.github.io/Logging_2039/klagomål/A 52483-2023 FSC-klagomål.docx", "A 52483-2023")</f>
        <v/>
      </c>
      <c r="AB540">
        <f>HYPERLINK("https://klasma.github.io/Logging_2039/klagomålsmail/A 52483-2023 FSC-klagomål mail.docx", "A 52483-2023")</f>
        <v/>
      </c>
      <c r="AC540">
        <f>HYPERLINK("https://klasma.github.io/Logging_2039/tillsyn/A 52483-2023 tillsynsbegäran.docx", "A 52483-2023")</f>
        <v/>
      </c>
      <c r="AD540">
        <f>HYPERLINK("https://klasma.github.io/Logging_2039/tillsynsmail/A 52483-2023 tillsynsbegäran mail.docx", "A 52483-2023")</f>
        <v/>
      </c>
    </row>
    <row r="541" ht="15" customHeight="1">
      <c r="A541" t="inlineStr">
        <is>
          <t>A 28070-2023</t>
        </is>
      </c>
      <c r="B541" t="inlineStr">
        <is>
          <t>avverkningsanmälan</t>
        </is>
      </c>
      <c r="C541" t="inlineStr">
        <is>
          <t>Föryngringsavverkning</t>
        </is>
      </c>
      <c r="D541" s="1" t="n">
        <v>45099</v>
      </c>
      <c r="E541" s="1" t="n">
        <v>46319</v>
      </c>
      <c r="F541" t="inlineStr">
        <is>
          <t>DALARNAS LÄN</t>
        </is>
      </c>
      <c r="G541" t="inlineStr">
        <is>
          <t>MALUNG-SÄLEN</t>
        </is>
      </c>
      <c r="I541" t="n">
        <v>4.1</v>
      </c>
      <c r="J541" t="n">
        <v>0</v>
      </c>
      <c r="K541" t="n">
        <v>2</v>
      </c>
      <c r="L541" t="n">
        <v>2</v>
      </c>
      <c r="M541" t="n">
        <v>1</v>
      </c>
      <c r="N541" t="n">
        <v>0</v>
      </c>
      <c r="O541" t="n">
        <v>0</v>
      </c>
      <c r="P541" t="n">
        <v>0</v>
      </c>
      <c r="Q541" t="n">
        <v>3</v>
      </c>
      <c r="R541" t="n">
        <v>1</v>
      </c>
      <c r="S541" t="n">
        <v>5</v>
      </c>
      <c r="T541" t="n">
        <v>6</v>
      </c>
      <c r="U541" t="n">
        <v>0</v>
      </c>
      <c r="V541" s="2" t="inlineStr">
        <is>
          <t>Garnlav
Gammelgransskål
Violettgrå tagellav
Trådticka
Vedticka</t>
        </is>
      </c>
      <c r="W541">
        <f>HYPERLINK("https://klasma.github.io/Logging_2023/artfynd/A 28070-2023 artfynd.xlsx", "A 28070-2023")</f>
        <v/>
      </c>
      <c r="X541">
        <f>HYPERLINK("https://klasma.github.io/Logging_2023/kartor/A 28070-2023 karta.png", "A 28070-2023")</f>
        <v/>
      </c>
      <c r="Y541">
        <f>HYPERLINK("https://klasma.github.io/Logging_2023/kartor_geotiff/A 28070-2023 georefererad karta.tif", "A 28070-2023")</f>
        <v/>
      </c>
      <c r="AA541">
        <f>HYPERLINK("https://klasma.github.io/Logging_2023/klagomål/A 28070-2023 FSC-klagomål.docx", "A 28070-2023")</f>
        <v/>
      </c>
      <c r="AB541">
        <f>HYPERLINK("https://klasma.github.io/Logging_2023/klagomålsmail/A 28070-2023 FSC-klagomål mail.docx", "A 28070-2023")</f>
        <v/>
      </c>
      <c r="AC541">
        <f>HYPERLINK("https://klasma.github.io/Logging_2023/tillsyn/A 28070-2023 tillsynsbegäran.docx", "A 28070-2023")</f>
        <v/>
      </c>
      <c r="AD541">
        <f>HYPERLINK("https://klasma.github.io/Logging_2023/tillsynsmail/A 28070-2023 tillsynsbegäran mail.docx", "A 28070-2023")</f>
        <v/>
      </c>
    </row>
    <row r="542" ht="15" customHeight="1">
      <c r="A542" t="inlineStr">
        <is>
          <t>A 60678-2024</t>
        </is>
      </c>
      <c r="B542" t="inlineStr">
        <is>
          <t>avverkningsanmälan</t>
        </is>
      </c>
      <c r="C542" t="inlineStr">
        <is>
          <t>Föryngringsavverkning</t>
        </is>
      </c>
      <c r="D542" s="1" t="n">
        <v>45644</v>
      </c>
      <c r="E542" s="1" t="n">
        <v>46319</v>
      </c>
      <c r="F542" t="inlineStr">
        <is>
          <t>DALARNAS LÄN</t>
        </is>
      </c>
      <c r="G542" t="inlineStr">
        <is>
          <t>SMEDJEBACKEN</t>
        </is>
      </c>
      <c r="I542" t="n">
        <v>1.9</v>
      </c>
      <c r="J542" t="n">
        <v>5</v>
      </c>
      <c r="K542" t="n">
        <v>0</v>
      </c>
      <c r="L542" t="n">
        <v>0</v>
      </c>
      <c r="M542" t="n">
        <v>2</v>
      </c>
      <c r="N542" t="n">
        <v>0</v>
      </c>
      <c r="O542" t="n">
        <v>0</v>
      </c>
      <c r="P542" t="n">
        <v>0</v>
      </c>
      <c r="Q542" t="n">
        <v>2</v>
      </c>
      <c r="R542" t="n">
        <v>2</v>
      </c>
      <c r="S542" t="n">
        <v>5</v>
      </c>
      <c r="T542" t="n">
        <v>11</v>
      </c>
      <c r="U542" t="n">
        <v>11</v>
      </c>
      <c r="V542" s="2" t="inlineStr">
        <is>
          <t>Brun gräsfjäril
Väddnätfjäril
Mattlummer
Fläcknycklar
Revlummer</t>
        </is>
      </c>
      <c r="W542">
        <f>HYPERLINK("https://klasma.github.io/Logging_2061/artfynd/A 60678-2024 artfynd.xlsx", "A 60678-2024")</f>
        <v/>
      </c>
      <c r="X542">
        <f>HYPERLINK("https://klasma.github.io/Logging_2061/kartor/A 60678-2024 karta.png", "A 60678-2024")</f>
        <v/>
      </c>
      <c r="Y542">
        <f>HYPERLINK("https://klasma.github.io/Logging_2061/kartor_geotiff/A 60678-2024 georefererad karta.tif", "A 60678-2024")</f>
        <v/>
      </c>
      <c r="AA542">
        <f>HYPERLINK("https://klasma.github.io/Logging_2061/klagomål/A 60678-2024 FSC-klagomål.docx", "A 60678-2024")</f>
        <v/>
      </c>
      <c r="AB542">
        <f>HYPERLINK("https://klasma.github.io/Logging_2061/klagomålsmail/A 60678-2024 FSC-klagomål mail.docx", "A 60678-2024")</f>
        <v/>
      </c>
      <c r="AC542">
        <f>HYPERLINK("https://klasma.github.io/Logging_2061/tillsyn/A 60678-2024 tillsynsbegäran.docx", "A 60678-2024")</f>
        <v/>
      </c>
      <c r="AD542">
        <f>HYPERLINK("https://klasma.github.io/Logging_2061/tillsynsmail/A 60678-2024 tillsynsbegäran mail.docx", "A 60678-2024")</f>
        <v/>
      </c>
    </row>
    <row r="543" ht="15" customHeight="1">
      <c r="A543" t="inlineStr">
        <is>
          <t>A 59271-2025</t>
        </is>
      </c>
      <c r="B543" t="inlineStr">
        <is>
          <t>avverkningsanmälan</t>
        </is>
      </c>
      <c r="C543" t="inlineStr">
        <is>
          <t>Föryngringsavverkning</t>
        </is>
      </c>
      <c r="D543" s="1" t="n">
        <v>45988</v>
      </c>
      <c r="E543" s="1" t="n">
        <v>46319</v>
      </c>
      <c r="F543" t="inlineStr">
        <is>
          <t>DALARNAS LÄN</t>
        </is>
      </c>
      <c r="G543" t="inlineStr">
        <is>
          <t>LEKSAND</t>
        </is>
      </c>
      <c r="I543" t="n">
        <v>2.2</v>
      </c>
      <c r="J543" t="n">
        <v>1</v>
      </c>
      <c r="K543" t="n">
        <v>1</v>
      </c>
      <c r="L543" t="n">
        <v>2</v>
      </c>
      <c r="M543" t="n">
        <v>0</v>
      </c>
      <c r="N543" t="n">
        <v>0</v>
      </c>
      <c r="O543" t="n">
        <v>0</v>
      </c>
      <c r="P543" t="n">
        <v>0</v>
      </c>
      <c r="Q543" t="n">
        <v>2</v>
      </c>
      <c r="R543" t="n">
        <v>0</v>
      </c>
      <c r="S543" t="n">
        <v>5</v>
      </c>
      <c r="T543" t="n">
        <v>9</v>
      </c>
      <c r="U543" t="n">
        <v>8</v>
      </c>
      <c r="V543" s="2" t="inlineStr">
        <is>
          <t>Backstarr
Månlåsbräken
Brun nållav
Kattfot
Nattviol</t>
        </is>
      </c>
      <c r="W543">
        <f>HYPERLINK("https://klasma.github.io/Logging_2029/artfynd/A 59271-2025 artfynd.xlsx", "A 59271-2025")</f>
        <v/>
      </c>
      <c r="X543">
        <f>HYPERLINK("https://klasma.github.io/Logging_2029/kartor/A 59271-2025 karta.png", "A 59271-2025")</f>
        <v/>
      </c>
      <c r="Y543">
        <f>HYPERLINK("https://klasma.github.io/Logging_2029/kartor_geotiff/A 59271-2025 georefererad karta.tif", "A 59271-2025")</f>
        <v/>
      </c>
      <c r="AA543">
        <f>HYPERLINK("https://klasma.github.io/Logging_2029/klagomål/A 59271-2025 FSC-klagomål.docx", "A 59271-2025")</f>
        <v/>
      </c>
      <c r="AB543">
        <f>HYPERLINK("https://klasma.github.io/Logging_2029/klagomålsmail/A 59271-2025 FSC-klagomål mail.docx", "A 59271-2025")</f>
        <v/>
      </c>
      <c r="AC543">
        <f>HYPERLINK("https://klasma.github.io/Logging_2029/tillsyn/A 59271-2025 tillsynsbegäran.docx", "A 59271-2025")</f>
        <v/>
      </c>
      <c r="AD543">
        <f>HYPERLINK("https://klasma.github.io/Logging_2029/tillsynsmail/A 59271-2025 tillsynsbegäran mail.docx", "A 59271-2025")</f>
        <v/>
      </c>
    </row>
    <row r="544" ht="15" customHeight="1">
      <c r="A544" t="inlineStr">
        <is>
          <t>A 62628-2025</t>
        </is>
      </c>
      <c r="B544" t="inlineStr">
        <is>
          <t>avverkningsanmälan</t>
        </is>
      </c>
      <c r="C544" t="inlineStr">
        <is>
          <t>Föryngringsavverkning</t>
        </is>
      </c>
      <c r="D544" s="1" t="n">
        <v>46008</v>
      </c>
      <c r="E544" s="1" t="n">
        <v>46319</v>
      </c>
      <c r="F544" t="inlineStr">
        <is>
          <t>DALARNAS LÄN</t>
        </is>
      </c>
      <c r="G544" t="inlineStr">
        <is>
          <t>MORA</t>
        </is>
      </c>
      <c r="I544" t="n">
        <v>5.7</v>
      </c>
      <c r="J544" t="n">
        <v>3</v>
      </c>
      <c r="K544" t="n">
        <v>0</v>
      </c>
      <c r="L544" t="n">
        <v>2</v>
      </c>
      <c r="M544" t="n">
        <v>0</v>
      </c>
      <c r="N544" t="n">
        <v>0</v>
      </c>
      <c r="O544" t="n">
        <v>0</v>
      </c>
      <c r="P544" t="n">
        <v>0</v>
      </c>
      <c r="Q544" t="n">
        <v>2</v>
      </c>
      <c r="R544" t="n">
        <v>0</v>
      </c>
      <c r="S544" t="n">
        <v>5</v>
      </c>
      <c r="T544" t="n">
        <v>6</v>
      </c>
      <c r="U544" t="n">
        <v>1</v>
      </c>
      <c r="V544" s="2" t="inlineStr">
        <is>
          <t>Dvärgbägarlav
Skrovellav
Järpe
Tjäder
Fläcknycklar</t>
        </is>
      </c>
      <c r="W544">
        <f>HYPERLINK("https://klasma.github.io/Logging_2062/artfynd/A 62628-2025 artfynd.xlsx", "A 62628-2025")</f>
        <v/>
      </c>
      <c r="X544">
        <f>HYPERLINK("https://klasma.github.io/Logging_2062/kartor/A 62628-2025 karta.png", "A 62628-2025")</f>
        <v/>
      </c>
      <c r="Y544">
        <f>HYPERLINK("https://klasma.github.io/Logging_2062/kartor_geotiff/A 62628-2025 georefererad karta.tif", "A 62628-2025")</f>
        <v/>
      </c>
      <c r="AA544">
        <f>HYPERLINK("https://klasma.github.io/Logging_2062/klagomål/A 62628-2025 FSC-klagomål.docx", "A 62628-2025")</f>
        <v/>
      </c>
      <c r="AB544">
        <f>HYPERLINK("https://klasma.github.io/Logging_2062/klagomålsmail/A 62628-2025 FSC-klagomål mail.docx", "A 62628-2025")</f>
        <v/>
      </c>
      <c r="AC544">
        <f>HYPERLINK("https://klasma.github.io/Logging_2062/tillsyn/A 62628-2025 tillsynsbegäran.docx", "A 62628-2025")</f>
        <v/>
      </c>
      <c r="AD544">
        <f>HYPERLINK("https://klasma.github.io/Logging_2062/tillsynsmail/A 62628-2025 tillsynsbegäran mail.docx", "A 62628-2025")</f>
        <v/>
      </c>
      <c r="AE544">
        <f>HYPERLINK("https://klasma.github.io/Logging_2062/fåglar/A 62628-2025 prioriterade fågelarter.docx", "A 62628-2025")</f>
        <v/>
      </c>
    </row>
    <row r="545" ht="15" customHeight="1">
      <c r="A545" t="inlineStr">
        <is>
          <t>A 63164-2025</t>
        </is>
      </c>
      <c r="B545" t="inlineStr">
        <is>
          <t>avverkningsanmälan</t>
        </is>
      </c>
      <c r="C545" t="inlineStr">
        <is>
          <t>Föryngringsavverkning</t>
        </is>
      </c>
      <c r="D545" s="1" t="n">
        <v>46010</v>
      </c>
      <c r="E545" s="1" t="n">
        <v>46319</v>
      </c>
      <c r="F545" t="inlineStr">
        <is>
          <t>DALARNAS LÄN</t>
        </is>
      </c>
      <c r="G545" t="inlineStr">
        <is>
          <t>LUDVIKA</t>
        </is>
      </c>
      <c r="H545" t="inlineStr">
        <is>
          <t>Bergvik skog väst AB</t>
        </is>
      </c>
      <c r="I545" t="n">
        <v>3.6</v>
      </c>
      <c r="J545" t="n">
        <v>1</v>
      </c>
      <c r="K545" t="n">
        <v>0</v>
      </c>
      <c r="L545" t="n">
        <v>3</v>
      </c>
      <c r="M545" t="n">
        <v>1</v>
      </c>
      <c r="N545" t="n">
        <v>0</v>
      </c>
      <c r="O545" t="n">
        <v>0</v>
      </c>
      <c r="P545" t="n">
        <v>0</v>
      </c>
      <c r="Q545" t="n">
        <v>4</v>
      </c>
      <c r="R545" t="n">
        <v>1</v>
      </c>
      <c r="S545" t="n">
        <v>5</v>
      </c>
      <c r="T545" t="n">
        <v>7</v>
      </c>
      <c r="U545" t="n">
        <v>1</v>
      </c>
      <c r="V545" s="2" t="inlineStr">
        <is>
          <t>Garnlav
Doftskinn
Gammelgransskål
Vedskivlav
Tjäder</t>
        </is>
      </c>
      <c r="W545">
        <f>HYPERLINK("https://klasma.github.io/Logging_2085/artfynd/A 63164-2025 artfynd.xlsx", "A 63164-2025")</f>
        <v/>
      </c>
      <c r="X545">
        <f>HYPERLINK("https://klasma.github.io/Logging_2085/kartor/A 63164-2025 karta.png", "A 63164-2025")</f>
        <v/>
      </c>
      <c r="Y545">
        <f>HYPERLINK("https://klasma.github.io/Logging_2085/kartor_geotiff/A 63164-2025 georefererad karta.tif", "A 63164-2025")</f>
        <v/>
      </c>
      <c r="AA545">
        <f>HYPERLINK("https://klasma.github.io/Logging_2085/klagomål/A 63164-2025 FSC-klagomål.docx", "A 63164-2025")</f>
        <v/>
      </c>
      <c r="AB545">
        <f>HYPERLINK("https://klasma.github.io/Logging_2085/klagomålsmail/A 63164-2025 FSC-klagomål mail.docx", "A 63164-2025")</f>
        <v/>
      </c>
      <c r="AC545">
        <f>HYPERLINK("https://klasma.github.io/Logging_2085/tillsyn/A 63164-2025 tillsynsbegäran.docx", "A 63164-2025")</f>
        <v/>
      </c>
      <c r="AD545">
        <f>HYPERLINK("https://klasma.github.io/Logging_2085/tillsynsmail/A 63164-2025 tillsynsbegäran mail.docx", "A 63164-2025")</f>
        <v/>
      </c>
      <c r="AE545">
        <f>HYPERLINK("https://klasma.github.io/Logging_2085/fåglar/A 63164-2025 prioriterade fågelarter.docx", "A 63164-2025")</f>
        <v/>
      </c>
    </row>
    <row r="546" ht="15" customHeight="1">
      <c r="A546" t="inlineStr">
        <is>
          <t>A 20472-2025</t>
        </is>
      </c>
      <c r="B546" t="inlineStr">
        <is>
          <t>avverkningsanmälan</t>
        </is>
      </c>
      <c r="C546" t="inlineStr">
        <is>
          <t>Föryngringsavverkning</t>
        </is>
      </c>
      <c r="D546" s="1" t="n">
        <v>45775</v>
      </c>
      <c r="E546" s="1" t="n">
        <v>46319</v>
      </c>
      <c r="F546" t="inlineStr">
        <is>
          <t>DALARNAS LÄN</t>
        </is>
      </c>
      <c r="G546" t="inlineStr">
        <is>
          <t>MALUNG-SÄLEN</t>
        </is>
      </c>
      <c r="I546" t="n">
        <v>1.2</v>
      </c>
      <c r="J546" t="n">
        <v>0</v>
      </c>
      <c r="K546" t="n">
        <v>1</v>
      </c>
      <c r="L546" t="n">
        <v>3</v>
      </c>
      <c r="M546" t="n">
        <v>1</v>
      </c>
      <c r="N546" t="n">
        <v>0</v>
      </c>
      <c r="O546" t="n">
        <v>0</v>
      </c>
      <c r="P546" t="n">
        <v>0</v>
      </c>
      <c r="Q546" t="n">
        <v>4</v>
      </c>
      <c r="R546" t="n">
        <v>1</v>
      </c>
      <c r="S546" t="n">
        <v>5</v>
      </c>
      <c r="T546" t="n">
        <v>6</v>
      </c>
      <c r="U546" t="n">
        <v>6</v>
      </c>
      <c r="V546" s="2" t="inlineStr">
        <is>
          <t>Gränsticka
Rosenticka
Rynkskinn
Ullticka
Vedticka</t>
        </is>
      </c>
      <c r="W546">
        <f>HYPERLINK("https://klasma.github.io/Logging_2023/artfynd/A 20472-2025 artfynd.xlsx", "A 20472-2025")</f>
        <v/>
      </c>
      <c r="X546">
        <f>HYPERLINK("https://klasma.github.io/Logging_2023/kartor/A 20472-2025 karta.png", "A 20472-2025")</f>
        <v/>
      </c>
      <c r="Y546">
        <f>HYPERLINK("https://klasma.github.io/Logging_2023/kartor_geotiff/A 20472-2025 georefererad karta.tif", "A 20472-2025")</f>
        <v/>
      </c>
      <c r="AA546">
        <f>HYPERLINK("https://klasma.github.io/Logging_2023/klagomål/A 20472-2025 FSC-klagomål.docx", "A 20472-2025")</f>
        <v/>
      </c>
      <c r="AB546">
        <f>HYPERLINK("https://klasma.github.io/Logging_2023/klagomålsmail/A 20472-2025 FSC-klagomål mail.docx", "A 20472-2025")</f>
        <v/>
      </c>
      <c r="AC546">
        <f>HYPERLINK("https://klasma.github.io/Logging_2023/tillsyn/A 20472-2025 tillsynsbegäran.docx", "A 20472-2025")</f>
        <v/>
      </c>
      <c r="AD546">
        <f>HYPERLINK("https://klasma.github.io/Logging_2023/tillsynsmail/A 20472-2025 tillsynsbegäran mail.docx", "A 20472-2025")</f>
        <v/>
      </c>
    </row>
    <row r="547" ht="15" customHeight="1">
      <c r="A547" t="inlineStr">
        <is>
          <t>A 32529-2026</t>
        </is>
      </c>
      <c r="B547" t="inlineStr">
        <is>
          <t>avverkningsanmälan</t>
        </is>
      </c>
      <c r="C547" t="inlineStr">
        <is>
          <t>Föryngringsavverkning</t>
        </is>
      </c>
      <c r="D547" s="1" t="n">
        <v>46239</v>
      </c>
      <c r="E547" s="1" t="n">
        <v>46319</v>
      </c>
      <c r="F547" t="inlineStr">
        <is>
          <t>DALARNAS LÄN</t>
        </is>
      </c>
      <c r="G547" t="inlineStr">
        <is>
          <t>HEDEMORA</t>
        </is>
      </c>
      <c r="H547" t="inlineStr">
        <is>
          <t>Sveaskog</t>
        </is>
      </c>
      <c r="I547" t="n">
        <v>6.1</v>
      </c>
      <c r="J547" t="n">
        <v>4</v>
      </c>
      <c r="K547" t="n">
        <v>1</v>
      </c>
      <c r="L547" t="n">
        <v>0</v>
      </c>
      <c r="M547" t="n">
        <v>1</v>
      </c>
      <c r="N547" t="n">
        <v>0</v>
      </c>
      <c r="O547" t="n">
        <v>0</v>
      </c>
      <c r="P547" t="n">
        <v>0</v>
      </c>
      <c r="Q547" t="n">
        <v>1</v>
      </c>
      <c r="R547" t="n">
        <v>1</v>
      </c>
      <c r="S547" t="n">
        <v>5</v>
      </c>
      <c r="T547" t="n">
        <v>6</v>
      </c>
      <c r="U547" t="n">
        <v>0</v>
      </c>
      <c r="V547" s="2" t="inlineStr">
        <is>
          <t>Knärot
Bårdlav
Blåsippa
Nattviol
Revlummer</t>
        </is>
      </c>
      <c r="W547">
        <f>HYPERLINK("https://klasma.github.io/Logging_2083/artfynd/A 32529-2026 artfynd.xlsx", "A 32529-2026")</f>
        <v/>
      </c>
      <c r="X547">
        <f>HYPERLINK("https://klasma.github.io/Logging_2083/kartor/A 32529-2026 karta.png", "A 32529-2026")</f>
        <v/>
      </c>
      <c r="Y547">
        <f>HYPERLINK("https://klasma.github.io/Logging_2083/kartor_geotiff/A 32529-2026 georefererad karta.tif", "A 32529-2026")</f>
        <v/>
      </c>
      <c r="Z547">
        <f>HYPERLINK("https://klasma.github.io/Logging_2083/knärot/A 32529-2026 karta knärot.png", "A 32529-2026")</f>
        <v/>
      </c>
      <c r="AA547">
        <f>HYPERLINK("https://klasma.github.io/Logging_2083/klagomål/A 32529-2026 FSC-klagomål.docx", "A 32529-2026")</f>
        <v/>
      </c>
      <c r="AB547">
        <f>HYPERLINK("https://klasma.github.io/Logging_2083/klagomålsmail/A 32529-2026 FSC-klagomål mail.docx", "A 32529-2026")</f>
        <v/>
      </c>
      <c r="AC547">
        <f>HYPERLINK("https://klasma.github.io/Logging_2083/tillsyn/A 32529-2026 tillsynsbegäran.docx", "A 32529-2026")</f>
        <v/>
      </c>
      <c r="AD547">
        <f>HYPERLINK("https://klasma.github.io/Logging_2083/tillsynsmail/A 32529-2026 tillsynsbegäran mail.docx", "A 32529-2026")</f>
        <v/>
      </c>
    </row>
    <row r="548" ht="15" customHeight="1">
      <c r="A548" t="inlineStr">
        <is>
          <t>A 883-2026</t>
        </is>
      </c>
      <c r="B548" t="inlineStr">
        <is>
          <t>avverkningsanmälan</t>
        </is>
      </c>
      <c r="C548" t="inlineStr">
        <is>
          <t>Föryngringsavverkning</t>
        </is>
      </c>
      <c r="D548" s="1" t="n">
        <v>46030</v>
      </c>
      <c r="E548" s="1" t="n">
        <v>46319</v>
      </c>
      <c r="F548" t="inlineStr">
        <is>
          <t>DALARNAS LÄN</t>
        </is>
      </c>
      <c r="G548" t="inlineStr">
        <is>
          <t>ORSA</t>
        </is>
      </c>
      <c r="I548" t="n">
        <v>2.8</v>
      </c>
      <c r="J548" t="n">
        <v>0</v>
      </c>
      <c r="K548" t="n">
        <v>0</v>
      </c>
      <c r="L548" t="n">
        <v>4</v>
      </c>
      <c r="M548" t="n">
        <v>1</v>
      </c>
      <c r="N548" t="n">
        <v>0</v>
      </c>
      <c r="O548" t="n">
        <v>0</v>
      </c>
      <c r="P548" t="n">
        <v>0</v>
      </c>
      <c r="Q548" t="n">
        <v>5</v>
      </c>
      <c r="R548" t="n">
        <v>1</v>
      </c>
      <c r="S548" t="n">
        <v>5</v>
      </c>
      <c r="T548" t="n">
        <v>8</v>
      </c>
      <c r="U548" t="n">
        <v>0</v>
      </c>
      <c r="V548" s="2" t="inlineStr">
        <is>
          <t>Garnlav
Rosenticka
Rynkskinn
Ullticka
Vedtrappmossa</t>
        </is>
      </c>
      <c r="W548">
        <f>HYPERLINK("https://klasma.github.io/Logging_2034/artfynd/A 883-2026 artfynd.xlsx", "A 883-2026")</f>
        <v/>
      </c>
      <c r="X548">
        <f>HYPERLINK("https://klasma.github.io/Logging_2034/kartor/A 883-2026 karta.png", "A 883-2026")</f>
        <v/>
      </c>
      <c r="Y548">
        <f>HYPERLINK("https://klasma.github.io/Logging_2034/kartor_geotiff/A 883-2026 georefererad karta.tif", "A 883-2026")</f>
        <v/>
      </c>
      <c r="AA548">
        <f>HYPERLINK("https://klasma.github.io/Logging_2034/klagomål/A 883-2026 FSC-klagomål.docx", "A 883-2026")</f>
        <v/>
      </c>
      <c r="AB548">
        <f>HYPERLINK("https://klasma.github.io/Logging_2034/klagomålsmail/A 883-2026 FSC-klagomål mail.docx", "A 883-2026")</f>
        <v/>
      </c>
      <c r="AC548">
        <f>HYPERLINK("https://klasma.github.io/Logging_2034/tillsyn/A 883-2026 tillsynsbegäran.docx", "A 883-2026")</f>
        <v/>
      </c>
      <c r="AD548">
        <f>HYPERLINK("https://klasma.github.io/Logging_2034/tillsynsmail/A 883-2026 tillsynsbegäran mail.docx", "A 883-2026")</f>
        <v/>
      </c>
    </row>
    <row r="549" ht="15" customHeight="1">
      <c r="A549" t="inlineStr">
        <is>
          <t>A 366-2026</t>
        </is>
      </c>
      <c r="B549" t="inlineStr">
        <is>
          <t>avverkningsanmälan</t>
        </is>
      </c>
      <c r="C549" t="inlineStr">
        <is>
          <t>Föryngringsavverkning</t>
        </is>
      </c>
      <c r="D549" s="1" t="n">
        <v>46027</v>
      </c>
      <c r="E549" s="1" t="n">
        <v>46319</v>
      </c>
      <c r="F549" t="inlineStr">
        <is>
          <t>DALARNAS LÄN</t>
        </is>
      </c>
      <c r="G549" t="inlineStr">
        <is>
          <t>LEKSAND</t>
        </is>
      </c>
      <c r="I549" t="n">
        <v>21.7</v>
      </c>
      <c r="J549" t="n">
        <v>0</v>
      </c>
      <c r="K549" t="n">
        <v>1</v>
      </c>
      <c r="L549" t="n">
        <v>3</v>
      </c>
      <c r="M549" t="n">
        <v>1</v>
      </c>
      <c r="N549" t="n">
        <v>0</v>
      </c>
      <c r="O549" t="n">
        <v>0</v>
      </c>
      <c r="P549" t="n">
        <v>0</v>
      </c>
      <c r="Q549" t="n">
        <v>4</v>
      </c>
      <c r="R549" t="n">
        <v>1</v>
      </c>
      <c r="S549" t="n">
        <v>5</v>
      </c>
      <c r="T549" t="n">
        <v>8</v>
      </c>
      <c r="U549" t="n">
        <v>0</v>
      </c>
      <c r="V549" s="2" t="inlineStr">
        <is>
          <t>Garnlav
Rosenticka
Ullticka
Violettgrå tagellav
Vedticka</t>
        </is>
      </c>
      <c r="W549">
        <f>HYPERLINK("https://klasma.github.io/Logging_2029/artfynd/A 366-2026 artfynd.xlsx", "A 366-2026")</f>
        <v/>
      </c>
      <c r="X549">
        <f>HYPERLINK("https://klasma.github.io/Logging_2029/kartor/A 366-2026 karta.png", "A 366-2026")</f>
        <v/>
      </c>
      <c r="Y549">
        <f>HYPERLINK("https://klasma.github.io/Logging_2029/kartor_geotiff/A 366-2026 georefererad karta.tif", "A 366-2026")</f>
        <v/>
      </c>
      <c r="AA549">
        <f>HYPERLINK("https://klasma.github.io/Logging_2029/klagomål/A 366-2026 FSC-klagomål.docx", "A 366-2026")</f>
        <v/>
      </c>
      <c r="AB549">
        <f>HYPERLINK("https://klasma.github.io/Logging_2029/klagomålsmail/A 366-2026 FSC-klagomål mail.docx", "A 366-2026")</f>
        <v/>
      </c>
      <c r="AC549">
        <f>HYPERLINK("https://klasma.github.io/Logging_2029/tillsyn/A 366-2026 tillsynsbegäran.docx", "A 366-2026")</f>
        <v/>
      </c>
      <c r="AD549">
        <f>HYPERLINK("https://klasma.github.io/Logging_2029/tillsynsmail/A 366-2026 tillsynsbegäran mail.docx", "A 366-2026")</f>
        <v/>
      </c>
    </row>
    <row r="550" ht="15" customHeight="1">
      <c r="A550" t="inlineStr">
        <is>
          <t>A 1454-2026</t>
        </is>
      </c>
      <c r="B550" t="inlineStr">
        <is>
          <t>avverkningsanmälan</t>
        </is>
      </c>
      <c r="C550" t="inlineStr">
        <is>
          <t>Föryngringsavverkning</t>
        </is>
      </c>
      <c r="D550" s="1" t="n">
        <v>46033</v>
      </c>
      <c r="E550" s="1" t="n">
        <v>46319</v>
      </c>
      <c r="F550" t="inlineStr">
        <is>
          <t>DALARNAS LÄN</t>
        </is>
      </c>
      <c r="G550" t="inlineStr">
        <is>
          <t>HEDEMORA</t>
        </is>
      </c>
      <c r="I550" t="n">
        <v>2</v>
      </c>
      <c r="J550" t="n">
        <v>1</v>
      </c>
      <c r="K550" t="n">
        <v>0</v>
      </c>
      <c r="L550" t="n">
        <v>3</v>
      </c>
      <c r="M550" t="n">
        <v>2</v>
      </c>
      <c r="N550" t="n">
        <v>0</v>
      </c>
      <c r="O550" t="n">
        <v>0</v>
      </c>
      <c r="P550" t="n">
        <v>0</v>
      </c>
      <c r="Q550" t="n">
        <v>5</v>
      </c>
      <c r="R550" t="n">
        <v>2</v>
      </c>
      <c r="S550" t="n">
        <v>5</v>
      </c>
      <c r="T550" t="n">
        <v>18</v>
      </c>
      <c r="U550" t="n">
        <v>0</v>
      </c>
      <c r="V550" s="2" t="inlineStr">
        <is>
          <t>Garnlav
Knärot
Motaggsvamp
Tallfingersvamp
Ullticka</t>
        </is>
      </c>
      <c r="W550">
        <f>HYPERLINK("https://klasma.github.io/Logging_2083/artfynd/A 1454-2026 artfynd.xlsx", "A 1454-2026")</f>
        <v/>
      </c>
      <c r="X550">
        <f>HYPERLINK("https://klasma.github.io/Logging_2083/kartor/A 1454-2026 karta.png", "A 1454-2026")</f>
        <v/>
      </c>
      <c r="Y550">
        <f>HYPERLINK("https://klasma.github.io/Logging_2083/kartor_geotiff/A 1454-2026 georefererad karta.tif", "A 1454-2026")</f>
        <v/>
      </c>
      <c r="Z550">
        <f>HYPERLINK("https://klasma.github.io/Logging_2083/knärot/A 1454-2026 karta knärot.png", "A 1454-2026")</f>
        <v/>
      </c>
      <c r="AA550">
        <f>HYPERLINK("https://klasma.github.io/Logging_2083/klagomål/A 1454-2026 FSC-klagomål.docx", "A 1454-2026")</f>
        <v/>
      </c>
      <c r="AB550">
        <f>HYPERLINK("https://klasma.github.io/Logging_2083/klagomålsmail/A 1454-2026 FSC-klagomål mail.docx", "A 1454-2026")</f>
        <v/>
      </c>
      <c r="AC550">
        <f>HYPERLINK("https://klasma.github.io/Logging_2083/tillsyn/A 1454-2026 tillsynsbegäran.docx", "A 1454-2026")</f>
        <v/>
      </c>
      <c r="AD550">
        <f>HYPERLINK("https://klasma.github.io/Logging_2083/tillsynsmail/A 1454-2026 tillsynsbegäran mail.docx", "A 1454-2026")</f>
        <v/>
      </c>
    </row>
    <row r="551" ht="15" customHeight="1">
      <c r="A551" t="inlineStr">
        <is>
          <t>A 2493-2026</t>
        </is>
      </c>
      <c r="B551" t="inlineStr">
        <is>
          <t>avverkningsanmälan</t>
        </is>
      </c>
      <c r="C551" t="inlineStr">
        <is>
          <t>Föryngringsavverkning</t>
        </is>
      </c>
      <c r="D551" s="1" t="n">
        <v>46037</v>
      </c>
      <c r="E551" s="1" t="n">
        <v>46319</v>
      </c>
      <c r="F551" t="inlineStr">
        <is>
          <t>DALARNAS LÄN</t>
        </is>
      </c>
      <c r="G551" t="inlineStr">
        <is>
          <t>GAGNEF</t>
        </is>
      </c>
      <c r="I551" t="n">
        <v>9.4</v>
      </c>
      <c r="J551" t="n">
        <v>2</v>
      </c>
      <c r="K551" t="n">
        <v>2</v>
      </c>
      <c r="L551" t="n">
        <v>1</v>
      </c>
      <c r="M551" t="n">
        <v>0</v>
      </c>
      <c r="N551" t="n">
        <v>0</v>
      </c>
      <c r="O551" t="n">
        <v>0</v>
      </c>
      <c r="P551" t="n">
        <v>0</v>
      </c>
      <c r="Q551" t="n">
        <v>1</v>
      </c>
      <c r="R551" t="n">
        <v>0</v>
      </c>
      <c r="S551" t="n">
        <v>5</v>
      </c>
      <c r="T551" t="n">
        <v>20</v>
      </c>
      <c r="U551" t="n">
        <v>0</v>
      </c>
      <c r="V551" s="2" t="inlineStr">
        <is>
          <t>Ullticka
Rödgul trumpetsvamp
Stuplav
Fläcknycklar
Revlummer</t>
        </is>
      </c>
      <c r="W551">
        <f>HYPERLINK("https://klasma.github.io/Logging_2026/artfynd/A 2493-2026 artfynd.xlsx", "A 2493-2026")</f>
        <v/>
      </c>
      <c r="X551">
        <f>HYPERLINK("https://klasma.github.io/Logging_2026/kartor/A 2493-2026 karta.png", "A 2493-2026")</f>
        <v/>
      </c>
      <c r="Y551">
        <f>HYPERLINK("https://klasma.github.io/Logging_2026/kartor_geotiff/A 2493-2026 georefererad karta.tif", "A 2493-2026")</f>
        <v/>
      </c>
      <c r="AA551">
        <f>HYPERLINK("https://klasma.github.io/Logging_2026/klagomål/A 2493-2026 FSC-klagomål.docx", "A 2493-2026")</f>
        <v/>
      </c>
      <c r="AB551">
        <f>HYPERLINK("https://klasma.github.io/Logging_2026/klagomålsmail/A 2493-2026 FSC-klagomål mail.docx", "A 2493-2026")</f>
        <v/>
      </c>
      <c r="AC551">
        <f>HYPERLINK("https://klasma.github.io/Logging_2026/tillsyn/A 2493-2026 tillsynsbegäran.docx", "A 2493-2026")</f>
        <v/>
      </c>
      <c r="AD551">
        <f>HYPERLINK("https://klasma.github.io/Logging_2026/tillsynsmail/A 2493-2026 tillsynsbegäran mail.docx", "A 2493-2026")</f>
        <v/>
      </c>
    </row>
    <row r="552" ht="15" customHeight="1">
      <c r="A552" t="inlineStr">
        <is>
          <t>A 38689-2026</t>
        </is>
      </c>
      <c r="B552" t="inlineStr">
        <is>
          <t>avverkningsanmälan</t>
        </is>
      </c>
      <c r="C552" t="inlineStr">
        <is>
          <t>Föryngringsavverkning</t>
        </is>
      </c>
      <c r="D552" s="1" t="n">
        <v>46283</v>
      </c>
      <c r="E552" s="1" t="n">
        <v>46319</v>
      </c>
      <c r="F552" t="inlineStr">
        <is>
          <t>DALARNAS LÄN</t>
        </is>
      </c>
      <c r="G552" t="inlineStr">
        <is>
          <t>ÄLVDALEN</t>
        </is>
      </c>
      <c r="H552" t="inlineStr">
        <is>
          <t>Allmännings- och besparingsskogar</t>
        </is>
      </c>
      <c r="I552" t="n">
        <v>35.6</v>
      </c>
      <c r="J552" t="n">
        <v>2</v>
      </c>
      <c r="K552" t="n">
        <v>1</v>
      </c>
      <c r="L552" t="n">
        <v>3</v>
      </c>
      <c r="M552" t="n">
        <v>0</v>
      </c>
      <c r="N552" t="n">
        <v>0</v>
      </c>
      <c r="O552" t="n">
        <v>0</v>
      </c>
      <c r="P552" t="n">
        <v>0</v>
      </c>
      <c r="Q552" t="n">
        <v>3</v>
      </c>
      <c r="R552" t="n">
        <v>0</v>
      </c>
      <c r="S552" t="n">
        <v>5</v>
      </c>
      <c r="T552" t="n">
        <v>6</v>
      </c>
      <c r="U552" t="n">
        <v>0</v>
      </c>
      <c r="V552" s="2" t="inlineStr">
        <is>
          <t>Kolflarnlav
Mörk kolflarnlav
Talltita
Vågbandad barkbock
Ljungpipare</t>
        </is>
      </c>
      <c r="W552">
        <f>HYPERLINK("https://klasma.github.io/Logging_2039/artfynd/A 38689-2026 artfynd.xlsx", "A 38689-2026")</f>
        <v/>
      </c>
      <c r="X552">
        <f>HYPERLINK("https://klasma.github.io/Logging_2039/kartor/A 38689-2026 karta.png", "A 38689-2026")</f>
        <v/>
      </c>
      <c r="Y552">
        <f>HYPERLINK("https://klasma.github.io/Logging_2039/kartor_geotiff/A 38689-2026 georefererad karta.tif", "A 38689-2026")</f>
        <v/>
      </c>
      <c r="AA552">
        <f>HYPERLINK("https://klasma.github.io/Logging_2039/klagomål/A 38689-2026 FSC-klagomål.docx", "A 38689-2026")</f>
        <v/>
      </c>
      <c r="AB552">
        <f>HYPERLINK("https://klasma.github.io/Logging_2039/klagomålsmail/A 38689-2026 FSC-klagomål mail.docx", "A 38689-2026")</f>
        <v/>
      </c>
      <c r="AC552">
        <f>HYPERLINK("https://klasma.github.io/Logging_2039/tillsyn/A 38689-2026 tillsynsbegäran.docx", "A 38689-2026")</f>
        <v/>
      </c>
      <c r="AD552">
        <f>HYPERLINK("https://klasma.github.io/Logging_2039/tillsynsmail/A 38689-2026 tillsynsbegäran mail.docx", "A 38689-2026")</f>
        <v/>
      </c>
      <c r="AE552">
        <f>HYPERLINK("https://klasma.github.io/Logging_2039/fåglar/A 38689-2026 prioriterade fågelarter.docx", "A 38689-2026")</f>
        <v/>
      </c>
    </row>
    <row r="553" ht="15" customHeight="1">
      <c r="A553" t="inlineStr">
        <is>
          <t>A 24950-2025</t>
        </is>
      </c>
      <c r="B553" t="inlineStr">
        <is>
          <t>avverkningsanmälan</t>
        </is>
      </c>
      <c r="C553" t="inlineStr">
        <is>
          <t>Avverkning för annat ändamål</t>
        </is>
      </c>
      <c r="D553" s="1" t="n">
        <v>45799</v>
      </c>
      <c r="E553" s="1" t="n">
        <v>46319</v>
      </c>
      <c r="F553" t="inlineStr">
        <is>
          <t>DALARNAS LÄN</t>
        </is>
      </c>
      <c r="G553" t="inlineStr">
        <is>
          <t>ÄLVDALEN</t>
        </is>
      </c>
      <c r="H553" t="inlineStr">
        <is>
          <t>Sveaskog</t>
        </is>
      </c>
      <c r="I553" t="n">
        <v>0.4</v>
      </c>
      <c r="J553" t="n">
        <v>0</v>
      </c>
      <c r="K553" t="n">
        <v>0</v>
      </c>
      <c r="L553" t="n">
        <v>5</v>
      </c>
      <c r="M553" t="n">
        <v>0</v>
      </c>
      <c r="N553" t="n">
        <v>0</v>
      </c>
      <c r="O553" t="n">
        <v>0</v>
      </c>
      <c r="P553" t="n">
        <v>0</v>
      </c>
      <c r="Q553" t="n">
        <v>5</v>
      </c>
      <c r="R553" t="n">
        <v>0</v>
      </c>
      <c r="S553" t="n">
        <v>5</v>
      </c>
      <c r="T553" t="n">
        <v>13</v>
      </c>
      <c r="U553" t="n">
        <v>0</v>
      </c>
      <c r="V553" s="2" t="inlineStr">
        <is>
          <t>Blanksvart spiklav
Blå taggsvamp
Dropptaggsvamp
Kolflarnlav
Skarp dropptaggsvamp</t>
        </is>
      </c>
      <c r="W553">
        <f>HYPERLINK("https://klasma.github.io/Logging_2039/artfynd/A 24950-2025 artfynd.xlsx", "A 24950-2025")</f>
        <v/>
      </c>
      <c r="X553">
        <f>HYPERLINK("https://klasma.github.io/Logging_2039/kartor/A 24950-2025 karta.png", "A 24950-2025")</f>
        <v/>
      </c>
      <c r="Y553">
        <f>HYPERLINK("https://klasma.github.io/Logging_2039/kartor_geotiff/A 24950-2025 georefererad karta.tif", "A 24950-2025")</f>
        <v/>
      </c>
      <c r="AA553">
        <f>HYPERLINK("https://klasma.github.io/Logging_2039/klagomål/A 24950-2025 FSC-klagomål.docx", "A 24950-2025")</f>
        <v/>
      </c>
      <c r="AB553">
        <f>HYPERLINK("https://klasma.github.io/Logging_2039/klagomålsmail/A 24950-2025 FSC-klagomål mail.docx", "A 24950-2025")</f>
        <v/>
      </c>
      <c r="AC553">
        <f>HYPERLINK("https://klasma.github.io/Logging_2039/tillsyn/A 24950-2025 tillsynsbegäran.docx", "A 24950-2025")</f>
        <v/>
      </c>
      <c r="AD553">
        <f>HYPERLINK("https://klasma.github.io/Logging_2039/tillsynsmail/A 24950-2025 tillsynsbegäran mail.docx", "A 24950-2025")</f>
        <v/>
      </c>
    </row>
    <row r="554" ht="15" customHeight="1">
      <c r="A554" t="inlineStr">
        <is>
          <t>A 6158-2026</t>
        </is>
      </c>
      <c r="B554" t="inlineStr">
        <is>
          <t>avverkningsanmälan</t>
        </is>
      </c>
      <c r="C554" t="inlineStr">
        <is>
          <t>Föryngringsavverkning</t>
        </is>
      </c>
      <c r="D554" s="1" t="n">
        <v>46055</v>
      </c>
      <c r="E554" s="1" t="n">
        <v>46319</v>
      </c>
      <c r="F554" t="inlineStr">
        <is>
          <t>DALARNAS LÄN</t>
        </is>
      </c>
      <c r="G554" t="inlineStr">
        <is>
          <t>MALUNG-SÄLEN</t>
        </is>
      </c>
      <c r="H554" t="inlineStr">
        <is>
          <t>Kommuner</t>
        </is>
      </c>
      <c r="I554" t="n">
        <v>4.9</v>
      </c>
      <c r="J554" t="n">
        <v>1</v>
      </c>
      <c r="K554" t="n">
        <v>1</v>
      </c>
      <c r="L554" t="n">
        <v>2</v>
      </c>
      <c r="M554" t="n">
        <v>1</v>
      </c>
      <c r="N554" t="n">
        <v>0</v>
      </c>
      <c r="O554" t="n">
        <v>0</v>
      </c>
      <c r="P554" t="n">
        <v>0</v>
      </c>
      <c r="Q554" t="n">
        <v>3</v>
      </c>
      <c r="R554" t="n">
        <v>1</v>
      </c>
      <c r="S554" t="n">
        <v>5</v>
      </c>
      <c r="T554" t="n">
        <v>12</v>
      </c>
      <c r="U554" t="n">
        <v>12</v>
      </c>
      <c r="V554" s="2" t="inlineStr">
        <is>
          <t>Garnlav
Dvärgbägarlav
Vedskivlav
Nästlav
Tjäder</t>
        </is>
      </c>
      <c r="W554">
        <f>HYPERLINK("https://klasma.github.io/Logging_2023/artfynd/A 6158-2026 artfynd.xlsx", "A 6158-2026")</f>
        <v/>
      </c>
      <c r="X554">
        <f>HYPERLINK("https://klasma.github.io/Logging_2023/kartor/A 6158-2026 karta.png", "A 6158-2026")</f>
        <v/>
      </c>
      <c r="Y554">
        <f>HYPERLINK("https://klasma.github.io/Logging_2023/kartor_geotiff/A 6158-2026 georefererad karta.tif", "A 6158-2026")</f>
        <v/>
      </c>
      <c r="AA554">
        <f>HYPERLINK("https://klasma.github.io/Logging_2023/klagomål/A 6158-2026 FSC-klagomål.docx", "A 6158-2026")</f>
        <v/>
      </c>
      <c r="AB554">
        <f>HYPERLINK("https://klasma.github.io/Logging_2023/klagomålsmail/A 6158-2026 FSC-klagomål mail.docx", "A 6158-2026")</f>
        <v/>
      </c>
      <c r="AC554">
        <f>HYPERLINK("https://klasma.github.io/Logging_2023/tillsyn/A 6158-2026 tillsynsbegäran.docx", "A 6158-2026")</f>
        <v/>
      </c>
      <c r="AD554">
        <f>HYPERLINK("https://klasma.github.io/Logging_2023/tillsynsmail/A 6158-2026 tillsynsbegäran mail.docx", "A 6158-2026")</f>
        <v/>
      </c>
      <c r="AE554">
        <f>HYPERLINK("https://klasma.github.io/Logging_2023/fåglar/A 6158-2026 prioriterade fågelarter.docx", "A 6158-2026")</f>
        <v/>
      </c>
    </row>
    <row r="555" ht="15" customHeight="1">
      <c r="A555" t="inlineStr">
        <is>
          <t>A 8764-2026</t>
        </is>
      </c>
      <c r="B555" t="inlineStr">
        <is>
          <t>avverkningsanmälan</t>
        </is>
      </c>
      <c r="C555" t="inlineStr">
        <is>
          <t>Avverkning för annat ändamål</t>
        </is>
      </c>
      <c r="D555" s="1" t="n">
        <v>46066</v>
      </c>
      <c r="E555" s="1" t="n">
        <v>46319</v>
      </c>
      <c r="F555" t="inlineStr">
        <is>
          <t>DALARNAS LÄN</t>
        </is>
      </c>
      <c r="G555" t="inlineStr">
        <is>
          <t>RÄTTVIK</t>
        </is>
      </c>
      <c r="I555" t="n">
        <v>0.2</v>
      </c>
      <c r="J555" t="n">
        <v>0</v>
      </c>
      <c r="K555" t="n">
        <v>1</v>
      </c>
      <c r="L555" t="n">
        <v>1</v>
      </c>
      <c r="M555" t="n">
        <v>2</v>
      </c>
      <c r="N555" t="n">
        <v>1</v>
      </c>
      <c r="O555" t="n">
        <v>0</v>
      </c>
      <c r="P555" t="n">
        <v>0</v>
      </c>
      <c r="Q555" t="n">
        <v>4</v>
      </c>
      <c r="R555" t="n">
        <v>3</v>
      </c>
      <c r="S555" t="n">
        <v>5</v>
      </c>
      <c r="T555" t="n">
        <v>5</v>
      </c>
      <c r="U555" t="n">
        <v>0</v>
      </c>
      <c r="V555" s="2" t="inlineStr">
        <is>
          <t>Bitter taggsvamp
Kopparspindling
Skrovlig taggsvamp
Stor vårtrattskivling
Zontaggsvamp</t>
        </is>
      </c>
      <c r="W555">
        <f>HYPERLINK("https://klasma.github.io/Logging_2031/artfynd/A 8764-2026 artfynd.xlsx", "A 8764-2026")</f>
        <v/>
      </c>
      <c r="X555">
        <f>HYPERLINK("https://klasma.github.io/Logging_2031/kartor/A 8764-2026 karta.png", "A 8764-2026")</f>
        <v/>
      </c>
      <c r="Y555">
        <f>HYPERLINK("https://klasma.github.io/Logging_2031/kartor_geotiff/A 8764-2026 georefererad karta.tif", "A 8764-2026")</f>
        <v/>
      </c>
      <c r="AA555">
        <f>HYPERLINK("https://klasma.github.io/Logging_2031/klagomål/A 8764-2026 FSC-klagomål.docx", "A 8764-2026")</f>
        <v/>
      </c>
      <c r="AB555">
        <f>HYPERLINK("https://klasma.github.io/Logging_2031/klagomålsmail/A 8764-2026 FSC-klagomål mail.docx", "A 8764-2026")</f>
        <v/>
      </c>
      <c r="AC555">
        <f>HYPERLINK("https://klasma.github.io/Logging_2031/tillsyn/A 8764-2026 tillsynsbegäran.docx", "A 8764-2026")</f>
        <v/>
      </c>
      <c r="AD555">
        <f>HYPERLINK("https://klasma.github.io/Logging_2031/tillsynsmail/A 8764-2026 tillsynsbegäran mail.docx", "A 8764-2026")</f>
        <v/>
      </c>
    </row>
    <row r="556" ht="15" customHeight="1">
      <c r="A556" t="inlineStr">
        <is>
          <t>A 32206-2024</t>
        </is>
      </c>
      <c r="B556" t="inlineStr">
        <is>
          <t>avverkningsanmälan</t>
        </is>
      </c>
      <c r="C556" t="inlineStr">
        <is>
          <t>Föryngringsavverkning</t>
        </is>
      </c>
      <c r="D556" s="1" t="n">
        <v>45511</v>
      </c>
      <c r="E556" s="1" t="n">
        <v>46319</v>
      </c>
      <c r="F556" t="inlineStr">
        <is>
          <t>DALARNAS LÄN</t>
        </is>
      </c>
      <c r="G556" t="inlineStr">
        <is>
          <t>ÄLVDALEN</t>
        </is>
      </c>
      <c r="H556" t="inlineStr">
        <is>
          <t>Sveaskog</t>
        </is>
      </c>
      <c r="I556" t="n">
        <v>8.1</v>
      </c>
      <c r="J556" t="n">
        <v>0</v>
      </c>
      <c r="K556" t="n">
        <v>0</v>
      </c>
      <c r="L556" t="n">
        <v>5</v>
      </c>
      <c r="M556" t="n">
        <v>0</v>
      </c>
      <c r="N556" t="n">
        <v>0</v>
      </c>
      <c r="O556" t="n">
        <v>0</v>
      </c>
      <c r="P556" t="n">
        <v>0</v>
      </c>
      <c r="Q556" t="n">
        <v>5</v>
      </c>
      <c r="R556" t="n">
        <v>0</v>
      </c>
      <c r="S556" t="n">
        <v>5</v>
      </c>
      <c r="T556" t="n">
        <v>5</v>
      </c>
      <c r="U556" t="n">
        <v>5</v>
      </c>
      <c r="V556" s="2" t="inlineStr">
        <is>
          <t>Blanksvart spiklav
Dvärgbägarlav
Kolflarnlav
Mörk kolflarnlav
Vedflamlav</t>
        </is>
      </c>
      <c r="W556">
        <f>HYPERLINK("https://klasma.github.io/Logging_2039/artfynd/A 32206-2024 artfynd.xlsx", "A 32206-2024")</f>
        <v/>
      </c>
      <c r="X556">
        <f>HYPERLINK("https://klasma.github.io/Logging_2039/kartor/A 32206-2024 karta.png", "A 32206-2024")</f>
        <v/>
      </c>
      <c r="Y556">
        <f>HYPERLINK("https://klasma.github.io/Logging_2039/kartor_geotiff/A 32206-2024 georefererad karta.tif", "A 32206-2024")</f>
        <v/>
      </c>
      <c r="AA556">
        <f>HYPERLINK("https://klasma.github.io/Logging_2039/klagomål/A 32206-2024 FSC-klagomål.docx", "A 32206-2024")</f>
        <v/>
      </c>
      <c r="AB556">
        <f>HYPERLINK("https://klasma.github.io/Logging_2039/klagomålsmail/A 32206-2024 FSC-klagomål mail.docx", "A 32206-2024")</f>
        <v/>
      </c>
      <c r="AC556">
        <f>HYPERLINK("https://klasma.github.io/Logging_2039/tillsyn/A 32206-2024 tillsynsbegäran.docx", "A 32206-2024")</f>
        <v/>
      </c>
      <c r="AD556">
        <f>HYPERLINK("https://klasma.github.io/Logging_2039/tillsynsmail/A 32206-2024 tillsynsbegäran mail.docx", "A 32206-2024")</f>
        <v/>
      </c>
    </row>
    <row r="557" ht="15" customHeight="1">
      <c r="A557" t="inlineStr">
        <is>
          <t>A 30216-2025</t>
        </is>
      </c>
      <c r="B557" t="inlineStr">
        <is>
          <t>avverkningsanmälan</t>
        </is>
      </c>
      <c r="C557" t="inlineStr">
        <is>
          <t>Föryngringsavverkning</t>
        </is>
      </c>
      <c r="D557" s="1" t="n">
        <v>45827</v>
      </c>
      <c r="E557" s="1" t="n">
        <v>46319</v>
      </c>
      <c r="F557" t="inlineStr">
        <is>
          <t>DALARNAS LÄN</t>
        </is>
      </c>
      <c r="G557" t="inlineStr">
        <is>
          <t>BORLÄNGE</t>
        </is>
      </c>
      <c r="I557" t="n">
        <v>0.7</v>
      </c>
      <c r="J557" t="n">
        <v>0</v>
      </c>
      <c r="K557" t="n">
        <v>2</v>
      </c>
      <c r="L557" t="n">
        <v>3</v>
      </c>
      <c r="M557" t="n">
        <v>0</v>
      </c>
      <c r="N557" t="n">
        <v>0</v>
      </c>
      <c r="O557" t="n">
        <v>0</v>
      </c>
      <c r="P557" t="n">
        <v>0</v>
      </c>
      <c r="Q557" t="n">
        <v>3</v>
      </c>
      <c r="R557" t="n">
        <v>0</v>
      </c>
      <c r="S557" t="n">
        <v>5</v>
      </c>
      <c r="T557" t="n">
        <v>12</v>
      </c>
      <c r="U557" t="n">
        <v>0</v>
      </c>
      <c r="V557" s="2" t="inlineStr">
        <is>
          <t>Rosenticka
Rynkskinn
Ullticka
Brandticka
Trådticka</t>
        </is>
      </c>
      <c r="W557">
        <f>HYPERLINK("https://klasma.github.io/Logging_2081/artfynd/A 30216-2025 artfynd.xlsx", "A 30216-2025")</f>
        <v/>
      </c>
      <c r="X557">
        <f>HYPERLINK("https://klasma.github.io/Logging_2081/kartor/A 30216-2025 karta.png", "A 30216-2025")</f>
        <v/>
      </c>
      <c r="Y557">
        <f>HYPERLINK("https://klasma.github.io/Logging_2081/kartor_geotiff/A 30216-2025 georefererad karta.tif", "A 30216-2025")</f>
        <v/>
      </c>
      <c r="AA557">
        <f>HYPERLINK("https://klasma.github.io/Logging_2081/klagomål/A 30216-2025 FSC-klagomål.docx", "A 30216-2025")</f>
        <v/>
      </c>
      <c r="AB557">
        <f>HYPERLINK("https://klasma.github.io/Logging_2081/klagomålsmail/A 30216-2025 FSC-klagomål mail.docx", "A 30216-2025")</f>
        <v/>
      </c>
      <c r="AC557">
        <f>HYPERLINK("https://klasma.github.io/Logging_2081/tillsyn/A 30216-2025 tillsynsbegäran.docx", "A 30216-2025")</f>
        <v/>
      </c>
      <c r="AD557">
        <f>HYPERLINK("https://klasma.github.io/Logging_2081/tillsynsmail/A 30216-2025 tillsynsbegäran mail.docx", "A 30216-2025")</f>
        <v/>
      </c>
    </row>
    <row r="558" ht="15" customHeight="1">
      <c r="A558" t="inlineStr">
        <is>
          <t>A 32940-2025</t>
        </is>
      </c>
      <c r="B558" t="inlineStr">
        <is>
          <t>avverkningsanmälan</t>
        </is>
      </c>
      <c r="C558" t="inlineStr">
        <is>
          <t>Föryngringsavverkning</t>
        </is>
      </c>
      <c r="D558" s="1" t="n">
        <v>45839</v>
      </c>
      <c r="E558" s="1" t="n">
        <v>46319</v>
      </c>
      <c r="F558" t="inlineStr">
        <is>
          <t>DALARNAS LÄN</t>
        </is>
      </c>
      <c r="G558" t="inlineStr">
        <is>
          <t>MALUNG-SÄLEN</t>
        </is>
      </c>
      <c r="H558" t="inlineStr">
        <is>
          <t>Kommuner</t>
        </is>
      </c>
      <c r="I558" t="n">
        <v>1.3</v>
      </c>
      <c r="J558" t="n">
        <v>0</v>
      </c>
      <c r="K558" t="n">
        <v>0</v>
      </c>
      <c r="L558" t="n">
        <v>4</v>
      </c>
      <c r="M558" t="n">
        <v>1</v>
      </c>
      <c r="N558" t="n">
        <v>0</v>
      </c>
      <c r="O558" t="n">
        <v>0</v>
      </c>
      <c r="P558" t="n">
        <v>0</v>
      </c>
      <c r="Q558" t="n">
        <v>5</v>
      </c>
      <c r="R558" t="n">
        <v>1</v>
      </c>
      <c r="S558" t="n">
        <v>5</v>
      </c>
      <c r="T558" t="n">
        <v>12</v>
      </c>
      <c r="U558" t="n">
        <v>12</v>
      </c>
      <c r="V558" s="2" t="inlineStr">
        <is>
          <t>Garnlav
Dvärgbägarlav
Kolflarnlav
Vedflamlav
Vedskivlav</t>
        </is>
      </c>
      <c r="W558">
        <f>HYPERLINK("https://klasma.github.io/Logging_2023/artfynd/A 32940-2025 artfynd.xlsx", "A 32940-2025")</f>
        <v/>
      </c>
      <c r="X558">
        <f>HYPERLINK("https://klasma.github.io/Logging_2023/kartor/A 32940-2025 karta.png", "A 32940-2025")</f>
        <v/>
      </c>
      <c r="Y558">
        <f>HYPERLINK("https://klasma.github.io/Logging_2023/kartor_geotiff/A 32940-2025 georefererad karta.tif", "A 32940-2025")</f>
        <v/>
      </c>
      <c r="AA558">
        <f>HYPERLINK("https://klasma.github.io/Logging_2023/klagomål/A 32940-2025 FSC-klagomål.docx", "A 32940-2025")</f>
        <v/>
      </c>
      <c r="AB558">
        <f>HYPERLINK("https://klasma.github.io/Logging_2023/klagomålsmail/A 32940-2025 FSC-klagomål mail.docx", "A 32940-2025")</f>
        <v/>
      </c>
      <c r="AC558">
        <f>HYPERLINK("https://klasma.github.io/Logging_2023/tillsyn/A 32940-2025 tillsynsbegäran.docx", "A 32940-2025")</f>
        <v/>
      </c>
      <c r="AD558">
        <f>HYPERLINK("https://klasma.github.io/Logging_2023/tillsynsmail/A 32940-2025 tillsynsbegäran mail.docx", "A 32940-2025")</f>
        <v/>
      </c>
    </row>
    <row r="559" ht="15" customHeight="1">
      <c r="A559" t="inlineStr">
        <is>
          <t>A 33005-2025</t>
        </is>
      </c>
      <c r="B559" t="inlineStr">
        <is>
          <t>avverkningsanmälan</t>
        </is>
      </c>
      <c r="C559" t="inlineStr">
        <is>
          <t>Föryngringsavverkning</t>
        </is>
      </c>
      <c r="D559" s="1" t="n">
        <v>45840</v>
      </c>
      <c r="E559" s="1" t="n">
        <v>46319</v>
      </c>
      <c r="F559" t="inlineStr">
        <is>
          <t>DALARNAS LÄN</t>
        </is>
      </c>
      <c r="G559" t="inlineStr">
        <is>
          <t>VANSBRO</t>
        </is>
      </c>
      <c r="I559" t="n">
        <v>5.5</v>
      </c>
      <c r="J559" t="n">
        <v>2</v>
      </c>
      <c r="K559" t="n">
        <v>1</v>
      </c>
      <c r="L559" t="n">
        <v>3</v>
      </c>
      <c r="M559" t="n">
        <v>1</v>
      </c>
      <c r="N559" t="n">
        <v>0</v>
      </c>
      <c r="O559" t="n">
        <v>0</v>
      </c>
      <c r="P559" t="n">
        <v>0</v>
      </c>
      <c r="Q559" t="n">
        <v>4</v>
      </c>
      <c r="R559" t="n">
        <v>1</v>
      </c>
      <c r="S559" t="n">
        <v>5</v>
      </c>
      <c r="T559" t="n">
        <v>17</v>
      </c>
      <c r="U559" t="n">
        <v>17</v>
      </c>
      <c r="V559" s="2" t="inlineStr">
        <is>
          <t>Knärot
Kolflarnlav
Mörk kolflarnlav
Tretåig hackspett
Mindre märgborre</t>
        </is>
      </c>
      <c r="W559">
        <f>HYPERLINK("https://klasma.github.io/Logging_2021/artfynd/A 33005-2025 artfynd.xlsx", "A 33005-2025")</f>
        <v/>
      </c>
      <c r="X559">
        <f>HYPERLINK("https://klasma.github.io/Logging_2021/kartor/A 33005-2025 karta.png", "A 33005-2025")</f>
        <v/>
      </c>
      <c r="Y559">
        <f>HYPERLINK("https://klasma.github.io/Logging_2021/kartor_geotiff/A 33005-2025 georefererad karta.tif", "A 33005-2025")</f>
        <v/>
      </c>
      <c r="Z559">
        <f>HYPERLINK("https://klasma.github.io/Logging_2021/knärot/A 33005-2025 karta knärot.png", "A 33005-2025")</f>
        <v/>
      </c>
      <c r="AA559">
        <f>HYPERLINK("https://klasma.github.io/Logging_2021/klagomål/A 33005-2025 FSC-klagomål.docx", "A 33005-2025")</f>
        <v/>
      </c>
      <c r="AB559">
        <f>HYPERLINK("https://klasma.github.io/Logging_2021/klagomålsmail/A 33005-2025 FSC-klagomål mail.docx", "A 33005-2025")</f>
        <v/>
      </c>
      <c r="AC559">
        <f>HYPERLINK("https://klasma.github.io/Logging_2021/tillsyn/A 33005-2025 tillsynsbegäran.docx", "A 33005-2025")</f>
        <v/>
      </c>
      <c r="AD559">
        <f>HYPERLINK("https://klasma.github.io/Logging_2021/tillsynsmail/A 33005-2025 tillsynsbegäran mail.docx", "A 33005-2025")</f>
        <v/>
      </c>
      <c r="AE559">
        <f>HYPERLINK("https://klasma.github.io/Logging_2021/fåglar/A 33005-2025 prioriterade fågelarter.docx", "A 33005-2025")</f>
        <v/>
      </c>
    </row>
    <row r="560" ht="15" customHeight="1">
      <c r="A560" t="inlineStr">
        <is>
          <t>A 40957-2026</t>
        </is>
      </c>
      <c r="B560" t="inlineStr">
        <is>
          <t>avverkningsanmälan</t>
        </is>
      </c>
      <c r="C560" t="inlineStr">
        <is>
          <t>Föryngringsavverkning</t>
        </is>
      </c>
      <c r="D560" s="1" t="n">
        <v>46297</v>
      </c>
      <c r="E560" s="1" t="n">
        <v>46319</v>
      </c>
      <c r="F560" t="inlineStr">
        <is>
          <t>DALARNAS LÄN</t>
        </is>
      </c>
      <c r="G560" t="inlineStr">
        <is>
          <t>MORA</t>
        </is>
      </c>
      <c r="H560" t="inlineStr">
        <is>
          <t>Bergvik skog öst AB</t>
        </is>
      </c>
      <c r="I560" t="n">
        <v>0.4</v>
      </c>
      <c r="J560" t="n">
        <v>1</v>
      </c>
      <c r="K560" t="n">
        <v>1</v>
      </c>
      <c r="L560" t="n">
        <v>2</v>
      </c>
      <c r="M560" t="n">
        <v>1</v>
      </c>
      <c r="N560" t="n">
        <v>0</v>
      </c>
      <c r="O560" t="n">
        <v>0</v>
      </c>
      <c r="P560" t="n">
        <v>0</v>
      </c>
      <c r="Q560" t="n">
        <v>3</v>
      </c>
      <c r="R560" t="n">
        <v>1</v>
      </c>
      <c r="S560" t="n">
        <v>5</v>
      </c>
      <c r="T560" t="n">
        <v>6</v>
      </c>
      <c r="U560" t="n">
        <v>0</v>
      </c>
      <c r="V560" s="2" t="inlineStr">
        <is>
          <t>Garnlav
Rosenticka
Ullticka
Vedticka
Revlummer</t>
        </is>
      </c>
      <c r="W560">
        <f>HYPERLINK("https://klasma.github.io/Logging_2062/artfynd/A 40957-2026 artfynd.xlsx", "A 40957-2026")</f>
        <v/>
      </c>
      <c r="X560">
        <f>HYPERLINK("https://klasma.github.io/Logging_2062/kartor/A 40957-2026 karta.png", "A 40957-2026")</f>
        <v/>
      </c>
      <c r="Y560">
        <f>HYPERLINK("https://klasma.github.io/Logging_2062/kartor_geotiff/A 40957-2026 georefererad karta.tif", "A 40957-2026")</f>
        <v/>
      </c>
      <c r="AA560">
        <f>HYPERLINK("https://klasma.github.io/Logging_2062/klagomål/A 40957-2026 FSC-klagomål.docx", "A 40957-2026")</f>
        <v/>
      </c>
      <c r="AB560">
        <f>HYPERLINK("https://klasma.github.io/Logging_2062/klagomålsmail/A 40957-2026 FSC-klagomål mail.docx", "A 40957-2026")</f>
        <v/>
      </c>
      <c r="AC560">
        <f>HYPERLINK("https://klasma.github.io/Logging_2062/tillsyn/A 40957-2026 tillsynsbegäran.docx", "A 40957-2026")</f>
        <v/>
      </c>
      <c r="AD560">
        <f>HYPERLINK("https://klasma.github.io/Logging_2062/tillsynsmail/A 40957-2026 tillsynsbegäran mail.docx", "A 40957-2026")</f>
        <v/>
      </c>
    </row>
    <row r="561" ht="15" customHeight="1">
      <c r="A561" t="inlineStr">
        <is>
          <t>A 15203-2026</t>
        </is>
      </c>
      <c r="B561" t="inlineStr">
        <is>
          <t>avverkningsanmälan</t>
        </is>
      </c>
      <c r="C561" t="inlineStr">
        <is>
          <t>Föryngringsavverkning</t>
        </is>
      </c>
      <c r="D561" s="1" t="n">
        <v>46105</v>
      </c>
      <c r="E561" s="1" t="n">
        <v>46319</v>
      </c>
      <c r="F561" t="inlineStr">
        <is>
          <t>DALARNAS LÄN</t>
        </is>
      </c>
      <c r="G561" t="inlineStr">
        <is>
          <t>MORA</t>
        </is>
      </c>
      <c r="I561" t="n">
        <v>2.5</v>
      </c>
      <c r="J561" t="n">
        <v>1</v>
      </c>
      <c r="K561" t="n">
        <v>1</v>
      </c>
      <c r="L561" t="n">
        <v>2</v>
      </c>
      <c r="M561" t="n">
        <v>1</v>
      </c>
      <c r="N561" t="n">
        <v>0</v>
      </c>
      <c r="O561" t="n">
        <v>0</v>
      </c>
      <c r="P561" t="n">
        <v>0</v>
      </c>
      <c r="Q561" t="n">
        <v>3</v>
      </c>
      <c r="R561" t="n">
        <v>1</v>
      </c>
      <c r="S561" t="n">
        <v>5</v>
      </c>
      <c r="T561" t="n">
        <v>33</v>
      </c>
      <c r="U561" t="n">
        <v>33</v>
      </c>
      <c r="V561" s="2" t="inlineStr">
        <is>
          <t>Garnlav
Talltagel
Tallticka
Mindre märgborre
Spillkråka</t>
        </is>
      </c>
      <c r="W561">
        <f>HYPERLINK("https://klasma.github.io/Logging_2062/artfynd/A 15203-2026 artfynd.xlsx", "A 15203-2026")</f>
        <v/>
      </c>
      <c r="X561">
        <f>HYPERLINK("https://klasma.github.io/Logging_2062/kartor/A 15203-2026 karta.png", "A 15203-2026")</f>
        <v/>
      </c>
      <c r="Y561">
        <f>HYPERLINK("https://klasma.github.io/Logging_2062/kartor_geotiff/A 15203-2026 georefererad karta.tif", "A 15203-2026")</f>
        <v/>
      </c>
      <c r="AA561">
        <f>HYPERLINK("https://klasma.github.io/Logging_2062/klagomål/A 15203-2026 FSC-klagomål.docx", "A 15203-2026")</f>
        <v/>
      </c>
      <c r="AB561">
        <f>HYPERLINK("https://klasma.github.io/Logging_2062/klagomålsmail/A 15203-2026 FSC-klagomål mail.docx", "A 15203-2026")</f>
        <v/>
      </c>
      <c r="AC561">
        <f>HYPERLINK("https://klasma.github.io/Logging_2062/tillsyn/A 15203-2026 tillsynsbegäran.docx", "A 15203-2026")</f>
        <v/>
      </c>
      <c r="AD561">
        <f>HYPERLINK("https://klasma.github.io/Logging_2062/tillsynsmail/A 15203-2026 tillsynsbegäran mail.docx", "A 15203-2026")</f>
        <v/>
      </c>
      <c r="AE561">
        <f>HYPERLINK("https://klasma.github.io/Logging_2062/fåglar/A 15203-2026 prioriterade fågelarter.docx", "A 15203-2026")</f>
        <v/>
      </c>
    </row>
    <row r="562" ht="15" customHeight="1">
      <c r="A562" t="inlineStr">
        <is>
          <t>A 34144-2026</t>
        </is>
      </c>
      <c r="B562" t="inlineStr">
        <is>
          <t>avverkningsanmälan</t>
        </is>
      </c>
      <c r="C562" t="inlineStr">
        <is>
          <t>Föryngringsavverkning</t>
        </is>
      </c>
      <c r="D562" s="1" t="n">
        <v>46253</v>
      </c>
      <c r="E562" s="1" t="n">
        <v>46319</v>
      </c>
      <c r="F562" t="inlineStr">
        <is>
          <t>DALARNAS LÄN</t>
        </is>
      </c>
      <c r="G562" t="inlineStr">
        <is>
          <t>LUDVIKA</t>
        </is>
      </c>
      <c r="H562" t="inlineStr">
        <is>
          <t>Bergvik skog väst AB</t>
        </is>
      </c>
      <c r="I562" t="n">
        <v>4.6</v>
      </c>
      <c r="J562" t="n">
        <v>2</v>
      </c>
      <c r="K562" t="n">
        <v>1</v>
      </c>
      <c r="L562" t="n">
        <v>1</v>
      </c>
      <c r="M562" t="n">
        <v>1</v>
      </c>
      <c r="N562" t="n">
        <v>0</v>
      </c>
      <c r="O562" t="n">
        <v>0</v>
      </c>
      <c r="P562" t="n">
        <v>0</v>
      </c>
      <c r="Q562" t="n">
        <v>2</v>
      </c>
      <c r="R562" t="n">
        <v>1</v>
      </c>
      <c r="S562" t="n">
        <v>5</v>
      </c>
      <c r="T562" t="n">
        <v>5</v>
      </c>
      <c r="U562" t="n">
        <v>5</v>
      </c>
      <c r="V562" s="2" t="inlineStr">
        <is>
          <t>Garnlav
Dropptaggsvamp
Korallblylav
Järpe
Spillkråka</t>
        </is>
      </c>
      <c r="W562">
        <f>HYPERLINK("https://klasma.github.io/Logging_2085/artfynd/A 34144-2026 artfynd.xlsx", "A 34144-2026")</f>
        <v/>
      </c>
      <c r="X562">
        <f>HYPERLINK("https://klasma.github.io/Logging_2085/kartor/A 34144-2026 karta.png", "A 34144-2026")</f>
        <v/>
      </c>
      <c r="Y562">
        <f>HYPERLINK("https://klasma.github.io/Logging_2085/kartor_geotiff/A 34144-2026 georefererad karta.tif", "A 34144-2026")</f>
        <v/>
      </c>
      <c r="AA562">
        <f>HYPERLINK("https://klasma.github.io/Logging_2085/klagomål/A 34144-2026 FSC-klagomål.docx", "A 34144-2026")</f>
        <v/>
      </c>
      <c r="AB562">
        <f>HYPERLINK("https://klasma.github.io/Logging_2085/klagomålsmail/A 34144-2026 FSC-klagomål mail.docx", "A 34144-2026")</f>
        <v/>
      </c>
      <c r="AC562">
        <f>HYPERLINK("https://klasma.github.io/Logging_2085/tillsyn/A 34144-2026 tillsynsbegäran.docx", "A 34144-2026")</f>
        <v/>
      </c>
      <c r="AD562">
        <f>HYPERLINK("https://klasma.github.io/Logging_2085/tillsynsmail/A 34144-2026 tillsynsbegäran mail.docx", "A 34144-2026")</f>
        <v/>
      </c>
      <c r="AE562">
        <f>HYPERLINK("https://klasma.github.io/Logging_2085/fåglar/A 34144-2026 prioriterade fågelarter.docx", "A 34144-2026")</f>
        <v/>
      </c>
    </row>
    <row r="563" ht="15" customHeight="1">
      <c r="A563" t="inlineStr">
        <is>
          <t>A 35889-2025</t>
        </is>
      </c>
      <c r="B563" t="inlineStr">
        <is>
          <t>avverkningsanmälan</t>
        </is>
      </c>
      <c r="C563" t="inlineStr">
        <is>
          <t>Avverkning för att bevara och utveckla /försöksver</t>
        </is>
      </c>
      <c r="D563" s="1" t="n">
        <v>45862</v>
      </c>
      <c r="E563" s="1" t="n">
        <v>46319</v>
      </c>
      <c r="F563" t="inlineStr">
        <is>
          <t>DALARNAS LÄN</t>
        </is>
      </c>
      <c r="G563" t="inlineStr">
        <is>
          <t>SMEDJEBACKEN</t>
        </is>
      </c>
      <c r="I563" t="n">
        <v>1</v>
      </c>
      <c r="J563" t="n">
        <v>0</v>
      </c>
      <c r="K563" t="n">
        <v>4</v>
      </c>
      <c r="L563" t="n">
        <v>1</v>
      </c>
      <c r="M563" t="n">
        <v>0</v>
      </c>
      <c r="N563" t="n">
        <v>0</v>
      </c>
      <c r="O563" t="n">
        <v>0</v>
      </c>
      <c r="P563" t="n">
        <v>0</v>
      </c>
      <c r="Q563" t="n">
        <v>1</v>
      </c>
      <c r="R563" t="n">
        <v>0</v>
      </c>
      <c r="S563" t="n">
        <v>5</v>
      </c>
      <c r="T563" t="n">
        <v>5</v>
      </c>
      <c r="U563" t="n">
        <v>2</v>
      </c>
      <c r="V563" s="2" t="inlineStr">
        <is>
          <t>Fjällig taggsvamp s.str.
Sotriska
Strimspindling
Svart trolldruva
Ögonpyrola</t>
        </is>
      </c>
      <c r="W563">
        <f>HYPERLINK("https://klasma.github.io/Logging_2061/artfynd/A 35889-2025 artfynd.xlsx", "A 35889-2025")</f>
        <v/>
      </c>
      <c r="X563">
        <f>HYPERLINK("https://klasma.github.io/Logging_2061/kartor/A 35889-2025 karta.png", "A 35889-2025")</f>
        <v/>
      </c>
      <c r="Y563">
        <f>HYPERLINK("https://klasma.github.io/Logging_2061/kartor_geotiff/A 35889-2025 georefererad karta.tif", "A 35889-2025")</f>
        <v/>
      </c>
      <c r="AA563">
        <f>HYPERLINK("https://klasma.github.io/Logging_2061/klagomål/A 35889-2025 FSC-klagomål.docx", "A 35889-2025")</f>
        <v/>
      </c>
      <c r="AB563">
        <f>HYPERLINK("https://klasma.github.io/Logging_2061/klagomålsmail/A 35889-2025 FSC-klagomål mail.docx", "A 35889-2025")</f>
        <v/>
      </c>
      <c r="AC563">
        <f>HYPERLINK("https://klasma.github.io/Logging_2061/tillsyn/A 35889-2025 tillsynsbegäran.docx", "A 35889-2025")</f>
        <v/>
      </c>
      <c r="AD563">
        <f>HYPERLINK("https://klasma.github.io/Logging_2061/tillsynsmail/A 35889-2025 tillsynsbegäran mail.docx", "A 35889-2025")</f>
        <v/>
      </c>
    </row>
    <row r="564" ht="15" customHeight="1">
      <c r="A564" t="inlineStr">
        <is>
          <t>A 35366-2026</t>
        </is>
      </c>
      <c r="B564" t="inlineStr">
        <is>
          <t>avverkningsanmälan</t>
        </is>
      </c>
      <c r="C564" t="inlineStr">
        <is>
          <t>Föryngringsavverkning</t>
        </is>
      </c>
      <c r="D564" s="1" t="n">
        <v>46261</v>
      </c>
      <c r="E564" s="1" t="n">
        <v>46319</v>
      </c>
      <c r="F564" t="inlineStr">
        <is>
          <t>DALARNAS LÄN</t>
        </is>
      </c>
      <c r="G564" t="inlineStr">
        <is>
          <t>GAGNEF</t>
        </is>
      </c>
      <c r="I564" t="n">
        <v>10.2</v>
      </c>
      <c r="J564" t="n">
        <v>3</v>
      </c>
      <c r="K564" t="n">
        <v>0</v>
      </c>
      <c r="L564" t="n">
        <v>2</v>
      </c>
      <c r="M564" t="n">
        <v>2</v>
      </c>
      <c r="N564" t="n">
        <v>0</v>
      </c>
      <c r="O564" t="n">
        <v>0</v>
      </c>
      <c r="P564" t="n">
        <v>0</v>
      </c>
      <c r="Q564" t="n">
        <v>4</v>
      </c>
      <c r="R564" t="n">
        <v>2</v>
      </c>
      <c r="S564" t="n">
        <v>5</v>
      </c>
      <c r="T564" t="n">
        <v>16</v>
      </c>
      <c r="U564" t="n">
        <v>3</v>
      </c>
      <c r="V564" s="2" t="inlineStr">
        <is>
          <t>Garnlav
Knärot
Tretåig hackspett
Vedtrappmossa
Spillkråka</t>
        </is>
      </c>
      <c r="W564">
        <f>HYPERLINK("https://klasma.github.io/Logging_2026/artfynd/A 35366-2026 artfynd.xlsx", "A 35366-2026")</f>
        <v/>
      </c>
      <c r="X564">
        <f>HYPERLINK("https://klasma.github.io/Logging_2026/kartor/A 35366-2026 karta.png", "A 35366-2026")</f>
        <v/>
      </c>
      <c r="Y564">
        <f>HYPERLINK("https://klasma.github.io/Logging_2026/kartor_geotiff/A 35366-2026 georefererad karta.tif", "A 35366-2026")</f>
        <v/>
      </c>
      <c r="Z564">
        <f>HYPERLINK("https://klasma.github.io/Logging_2026/knärot/A 35366-2026 karta knärot.png", "A 35366-2026")</f>
        <v/>
      </c>
      <c r="AA564">
        <f>HYPERLINK("https://klasma.github.io/Logging_2026/klagomål/A 35366-2026 FSC-klagomål.docx", "A 35366-2026")</f>
        <v/>
      </c>
      <c r="AB564">
        <f>HYPERLINK("https://klasma.github.io/Logging_2026/klagomålsmail/A 35366-2026 FSC-klagomål mail.docx", "A 35366-2026")</f>
        <v/>
      </c>
      <c r="AC564">
        <f>HYPERLINK("https://klasma.github.io/Logging_2026/tillsyn/A 35366-2026 tillsynsbegäran.docx", "A 35366-2026")</f>
        <v/>
      </c>
      <c r="AD564">
        <f>HYPERLINK("https://klasma.github.io/Logging_2026/tillsynsmail/A 35366-2026 tillsynsbegäran mail.docx", "A 35366-2026")</f>
        <v/>
      </c>
      <c r="AE564">
        <f>HYPERLINK("https://klasma.github.io/Logging_2026/fåglar/A 35366-2026 prioriterade fågelarter.docx", "A 35366-2026")</f>
        <v/>
      </c>
    </row>
    <row r="565" ht="15" customHeight="1">
      <c r="A565" t="inlineStr">
        <is>
          <t>A 31957-2025</t>
        </is>
      </c>
      <c r="B565" t="inlineStr">
        <is>
          <t>avverkningsanmälan</t>
        </is>
      </c>
      <c r="C565" t="inlineStr">
        <is>
          <t>Föryngringsavverkning</t>
        </is>
      </c>
      <c r="D565" s="1" t="n">
        <v>45835</v>
      </c>
      <c r="E565" s="1" t="n">
        <v>46319</v>
      </c>
      <c r="F565" t="inlineStr">
        <is>
          <t>DALARNAS LÄN</t>
        </is>
      </c>
      <c r="G565" t="inlineStr">
        <is>
          <t>LEKSAND</t>
        </is>
      </c>
      <c r="I565" t="n">
        <v>5.2</v>
      </c>
      <c r="J565" t="n">
        <v>2</v>
      </c>
      <c r="K565" t="n">
        <v>0</v>
      </c>
      <c r="L565" t="n">
        <v>3</v>
      </c>
      <c r="M565" t="n">
        <v>1</v>
      </c>
      <c r="N565" t="n">
        <v>0</v>
      </c>
      <c r="O565" t="n">
        <v>0</v>
      </c>
      <c r="P565" t="n">
        <v>0</v>
      </c>
      <c r="Q565" t="n">
        <v>4</v>
      </c>
      <c r="R565" t="n">
        <v>1</v>
      </c>
      <c r="S565" t="n">
        <v>5</v>
      </c>
      <c r="T565" t="n">
        <v>21</v>
      </c>
      <c r="U565" t="n">
        <v>21</v>
      </c>
      <c r="V565" s="2" t="inlineStr">
        <is>
          <t>Knärot
Dvärgbägarlav
Mörk kolflarnlav
Vedskivlav
Tjäder</t>
        </is>
      </c>
      <c r="W565">
        <f>HYPERLINK("https://klasma.github.io/Logging_2029/artfynd/A 31957-2025 artfynd.xlsx", "A 31957-2025")</f>
        <v/>
      </c>
      <c r="X565">
        <f>HYPERLINK("https://klasma.github.io/Logging_2029/kartor/A 31957-2025 karta.png", "A 31957-2025")</f>
        <v/>
      </c>
      <c r="Y565">
        <f>HYPERLINK("https://klasma.github.io/Logging_2029/kartor_geotiff/A 31957-2025 georefererad karta.tif", "A 31957-2025")</f>
        <v/>
      </c>
      <c r="Z565">
        <f>HYPERLINK("https://klasma.github.io/Logging_2029/knärot/A 31957-2025 karta knärot.png", "A 31957-2025")</f>
        <v/>
      </c>
      <c r="AA565">
        <f>HYPERLINK("https://klasma.github.io/Logging_2029/klagomål/A 31957-2025 FSC-klagomål.docx", "A 31957-2025")</f>
        <v/>
      </c>
      <c r="AB565">
        <f>HYPERLINK("https://klasma.github.io/Logging_2029/klagomålsmail/A 31957-2025 FSC-klagomål mail.docx", "A 31957-2025")</f>
        <v/>
      </c>
      <c r="AC565">
        <f>HYPERLINK("https://klasma.github.io/Logging_2029/tillsyn/A 31957-2025 tillsynsbegäran.docx", "A 31957-2025")</f>
        <v/>
      </c>
      <c r="AD565">
        <f>HYPERLINK("https://klasma.github.io/Logging_2029/tillsynsmail/A 31957-2025 tillsynsbegäran mail.docx", "A 31957-2025")</f>
        <v/>
      </c>
      <c r="AE565">
        <f>HYPERLINK("https://klasma.github.io/Logging_2029/fåglar/A 31957-2025 prioriterade fågelarter.docx", "A 31957-2025")</f>
        <v/>
      </c>
    </row>
    <row r="566" ht="15" customHeight="1">
      <c r="A566" t="inlineStr">
        <is>
          <t>A 58478-2025</t>
        </is>
      </c>
      <c r="B566" t="inlineStr">
        <is>
          <t>avverkningsanmälan</t>
        </is>
      </c>
      <c r="C566" t="inlineStr">
        <is>
          <t>Föryngringsavverkning</t>
        </is>
      </c>
      <c r="D566" s="1" t="n">
        <v>45985</v>
      </c>
      <c r="E566" s="1" t="n">
        <v>46319</v>
      </c>
      <c r="F566" t="inlineStr">
        <is>
          <t>DALARNAS LÄN</t>
        </is>
      </c>
      <c r="G566" t="inlineStr">
        <is>
          <t>MORA</t>
        </is>
      </c>
      <c r="I566" t="n">
        <v>6</v>
      </c>
      <c r="J566" t="n">
        <v>2</v>
      </c>
      <c r="K566" t="n">
        <v>1</v>
      </c>
      <c r="L566" t="n">
        <v>2</v>
      </c>
      <c r="M566" t="n">
        <v>1</v>
      </c>
      <c r="N566" t="n">
        <v>0</v>
      </c>
      <c r="O566" t="n">
        <v>0</v>
      </c>
      <c r="P566" t="n">
        <v>0</v>
      </c>
      <c r="Q566" t="n">
        <v>3</v>
      </c>
      <c r="R566" t="n">
        <v>1</v>
      </c>
      <c r="S566" t="n">
        <v>5</v>
      </c>
      <c r="T566" t="n">
        <v>31</v>
      </c>
      <c r="U566" t="n">
        <v>31</v>
      </c>
      <c r="V566" s="2" t="inlineStr">
        <is>
          <t>Garnlav
Skogshare
Tretåig hackspett
Mindre märgborre
Spillkråka</t>
        </is>
      </c>
      <c r="W566">
        <f>HYPERLINK("https://klasma.github.io/Logging_2062/artfynd/A 58478-2025 artfynd.xlsx", "A 58478-2025")</f>
        <v/>
      </c>
      <c r="X566">
        <f>HYPERLINK("https://klasma.github.io/Logging_2062/kartor/A 58478-2025 karta.png", "A 58478-2025")</f>
        <v/>
      </c>
      <c r="Y566">
        <f>HYPERLINK("https://klasma.github.io/Logging_2062/kartor_geotiff/A 58478-2025 georefererad karta.tif", "A 58478-2025")</f>
        <v/>
      </c>
      <c r="AA566">
        <f>HYPERLINK("https://klasma.github.io/Logging_2062/klagomål/A 58478-2025 FSC-klagomål.docx", "A 58478-2025")</f>
        <v/>
      </c>
      <c r="AB566">
        <f>HYPERLINK("https://klasma.github.io/Logging_2062/klagomålsmail/A 58478-2025 FSC-klagomål mail.docx", "A 58478-2025")</f>
        <v/>
      </c>
      <c r="AC566">
        <f>HYPERLINK("https://klasma.github.io/Logging_2062/tillsyn/A 58478-2025 tillsynsbegäran.docx", "A 58478-2025")</f>
        <v/>
      </c>
      <c r="AD566">
        <f>HYPERLINK("https://klasma.github.io/Logging_2062/tillsynsmail/A 58478-2025 tillsynsbegäran mail.docx", "A 58478-2025")</f>
        <v/>
      </c>
      <c r="AE566">
        <f>HYPERLINK("https://klasma.github.io/Logging_2062/fåglar/A 58478-2025 prioriterade fågelarter.docx", "A 58478-2025")</f>
        <v/>
      </c>
    </row>
    <row r="567" ht="15" customHeight="1">
      <c r="A567" t="inlineStr">
        <is>
          <t>A 61770-2025</t>
        </is>
      </c>
      <c r="B567" t="inlineStr">
        <is>
          <t>avverkningsanmälan</t>
        </is>
      </c>
      <c r="C567" t="inlineStr">
        <is>
          <t>Föryngringsavverkning</t>
        </is>
      </c>
      <c r="D567" s="1" t="n">
        <v>46002</v>
      </c>
      <c r="E567" s="1" t="n">
        <v>46319</v>
      </c>
      <c r="F567" t="inlineStr">
        <is>
          <t>DALARNAS LÄN</t>
        </is>
      </c>
      <c r="G567" t="inlineStr">
        <is>
          <t>MORA</t>
        </is>
      </c>
      <c r="I567" t="n">
        <v>10.2</v>
      </c>
      <c r="J567" t="n">
        <v>2</v>
      </c>
      <c r="K567" t="n">
        <v>1</v>
      </c>
      <c r="L567" t="n">
        <v>2</v>
      </c>
      <c r="M567" t="n">
        <v>1</v>
      </c>
      <c r="N567" t="n">
        <v>0</v>
      </c>
      <c r="O567" t="n">
        <v>0</v>
      </c>
      <c r="P567" t="n">
        <v>0</v>
      </c>
      <c r="Q567" t="n">
        <v>3</v>
      </c>
      <c r="R567" t="n">
        <v>1</v>
      </c>
      <c r="S567" t="n">
        <v>5</v>
      </c>
      <c r="T567" t="n">
        <v>56</v>
      </c>
      <c r="U567" t="n">
        <v>56</v>
      </c>
      <c r="V567" s="2" t="inlineStr">
        <is>
          <t>Garnlav
Talltagel
Tretåig hackspett
Mindre märgborre
Spillkråka</t>
        </is>
      </c>
      <c r="W567">
        <f>HYPERLINK("https://klasma.github.io/Logging_2062/artfynd/A 61770-2025 artfynd.xlsx", "A 61770-2025")</f>
        <v/>
      </c>
      <c r="X567">
        <f>HYPERLINK("https://klasma.github.io/Logging_2062/kartor/A 61770-2025 karta.png", "A 61770-2025")</f>
        <v/>
      </c>
      <c r="Y567">
        <f>HYPERLINK("https://klasma.github.io/Logging_2062/kartor_geotiff/A 61770-2025 georefererad karta.tif", "A 61770-2025")</f>
        <v/>
      </c>
      <c r="AA567">
        <f>HYPERLINK("https://klasma.github.io/Logging_2062/klagomål/A 61770-2025 FSC-klagomål.docx", "A 61770-2025")</f>
        <v/>
      </c>
      <c r="AB567">
        <f>HYPERLINK("https://klasma.github.io/Logging_2062/klagomålsmail/A 61770-2025 FSC-klagomål mail.docx", "A 61770-2025")</f>
        <v/>
      </c>
      <c r="AC567">
        <f>HYPERLINK("https://klasma.github.io/Logging_2062/tillsyn/A 61770-2025 tillsynsbegäran.docx", "A 61770-2025")</f>
        <v/>
      </c>
      <c r="AD567">
        <f>HYPERLINK("https://klasma.github.io/Logging_2062/tillsynsmail/A 61770-2025 tillsynsbegäran mail.docx", "A 61770-2025")</f>
        <v/>
      </c>
      <c r="AE567">
        <f>HYPERLINK("https://klasma.github.io/Logging_2062/fåglar/A 61770-2025 prioriterade fågelarter.docx", "A 61770-2025")</f>
        <v/>
      </c>
    </row>
    <row r="568" ht="15" customHeight="1">
      <c r="A568" t="inlineStr">
        <is>
          <t>A 6823-2024</t>
        </is>
      </c>
      <c r="B568" t="inlineStr">
        <is>
          <t>avverkningsanmälan</t>
        </is>
      </c>
      <c r="C568" t="inlineStr">
        <is>
          <t>Föryngringsavverkning</t>
        </is>
      </c>
      <c r="D568" s="1" t="n">
        <v>45342</v>
      </c>
      <c r="E568" s="1" t="n">
        <v>46319</v>
      </c>
      <c r="F568" t="inlineStr">
        <is>
          <t>DALARNAS LÄN</t>
        </is>
      </c>
      <c r="G568" t="inlineStr">
        <is>
          <t>BORLÄNGE</t>
        </is>
      </c>
      <c r="I568" t="n">
        <v>10.3</v>
      </c>
      <c r="J568" t="n">
        <v>1</v>
      </c>
      <c r="K568" t="n">
        <v>1</v>
      </c>
      <c r="L568" t="n">
        <v>2</v>
      </c>
      <c r="M568" t="n">
        <v>1</v>
      </c>
      <c r="N568" t="n">
        <v>0</v>
      </c>
      <c r="O568" t="n">
        <v>0</v>
      </c>
      <c r="P568" t="n">
        <v>0</v>
      </c>
      <c r="Q568" t="n">
        <v>3</v>
      </c>
      <c r="R568" t="n">
        <v>1</v>
      </c>
      <c r="S568" t="n">
        <v>5</v>
      </c>
      <c r="T568" t="n">
        <v>10</v>
      </c>
      <c r="U568" t="n">
        <v>8</v>
      </c>
      <c r="V568" s="2" t="inlineStr">
        <is>
          <t>Garnlav
Dropptaggsvamp
Ullticka
Vedticka
Tjäder</t>
        </is>
      </c>
      <c r="W568">
        <f>HYPERLINK("https://klasma.github.io/Logging_2081/artfynd/A 6823-2024 artfynd.xlsx", "A 6823-2024")</f>
        <v/>
      </c>
      <c r="X568">
        <f>HYPERLINK("https://klasma.github.io/Logging_2081/kartor/A 6823-2024 karta.png", "A 6823-2024")</f>
        <v/>
      </c>
      <c r="Y568">
        <f>HYPERLINK("https://klasma.github.io/Logging_2081/kartor_geotiff/A 6823-2024 georefererad karta.tif", "A 6823-2024")</f>
        <v/>
      </c>
      <c r="AA568">
        <f>HYPERLINK("https://klasma.github.io/Logging_2081/klagomål/A 6823-2024 FSC-klagomål.docx", "A 6823-2024")</f>
        <v/>
      </c>
      <c r="AB568">
        <f>HYPERLINK("https://klasma.github.io/Logging_2081/klagomålsmail/A 6823-2024 FSC-klagomål mail.docx", "A 6823-2024")</f>
        <v/>
      </c>
      <c r="AC568">
        <f>HYPERLINK("https://klasma.github.io/Logging_2081/tillsyn/A 6823-2024 tillsynsbegäran.docx", "A 6823-2024")</f>
        <v/>
      </c>
      <c r="AD568">
        <f>HYPERLINK("https://klasma.github.io/Logging_2081/tillsynsmail/A 6823-2024 tillsynsbegäran mail.docx", "A 6823-2024")</f>
        <v/>
      </c>
      <c r="AE568">
        <f>HYPERLINK("https://klasma.github.io/Logging_2081/fåglar/A 6823-2024 prioriterade fågelarter.docx", "A 6823-2024")</f>
        <v/>
      </c>
    </row>
    <row r="569" ht="15" customHeight="1">
      <c r="A569" t="inlineStr">
        <is>
          <t>A 31539-2025</t>
        </is>
      </c>
      <c r="B569" t="inlineStr">
        <is>
          <t>avverkningsanmälan</t>
        </is>
      </c>
      <c r="C569" t="inlineStr">
        <is>
          <t>Föryngringsavverkning</t>
        </is>
      </c>
      <c r="D569" s="1" t="n">
        <v>45833</v>
      </c>
      <c r="E569" s="1" t="n">
        <v>46319</v>
      </c>
      <c r="F569" t="inlineStr">
        <is>
          <t>DALARNAS LÄN</t>
        </is>
      </c>
      <c r="G569" t="inlineStr">
        <is>
          <t>MORA</t>
        </is>
      </c>
      <c r="I569" t="n">
        <v>5.3</v>
      </c>
      <c r="J569" t="n">
        <v>2</v>
      </c>
      <c r="K569" t="n">
        <v>1</v>
      </c>
      <c r="L569" t="n">
        <v>3</v>
      </c>
      <c r="M569" t="n">
        <v>1</v>
      </c>
      <c r="N569" t="n">
        <v>0</v>
      </c>
      <c r="O569" t="n">
        <v>0</v>
      </c>
      <c r="P569" t="n">
        <v>0</v>
      </c>
      <c r="Q569" t="n">
        <v>4</v>
      </c>
      <c r="R569" t="n">
        <v>1</v>
      </c>
      <c r="S569" t="n">
        <v>5</v>
      </c>
      <c r="T569" t="n">
        <v>7</v>
      </c>
      <c r="U569" t="n">
        <v>7</v>
      </c>
      <c r="V569" s="2" t="inlineStr">
        <is>
          <t>Knärot
Kattfotslav
Tallticka
Talltita
Bollvitmossa</t>
        </is>
      </c>
      <c r="W569">
        <f>HYPERLINK("https://klasma.github.io/Logging_2062/artfynd/A 31539-2025 artfynd.xlsx", "A 31539-2025")</f>
        <v/>
      </c>
      <c r="X569">
        <f>HYPERLINK("https://klasma.github.io/Logging_2062/kartor/A 31539-2025 karta.png", "A 31539-2025")</f>
        <v/>
      </c>
      <c r="Y569">
        <f>HYPERLINK("https://klasma.github.io/Logging_2062/kartor_geotiff/A 31539-2025 georefererad karta.tif", "A 31539-2025")</f>
        <v/>
      </c>
      <c r="Z569">
        <f>HYPERLINK("https://klasma.github.io/Logging_2062/knärot/A 31539-2025 karta knärot.png", "A 31539-2025")</f>
        <v/>
      </c>
      <c r="AA569">
        <f>HYPERLINK("https://klasma.github.io/Logging_2062/klagomål/A 31539-2025 FSC-klagomål.docx", "A 31539-2025")</f>
        <v/>
      </c>
      <c r="AB569">
        <f>HYPERLINK("https://klasma.github.io/Logging_2062/klagomålsmail/A 31539-2025 FSC-klagomål mail.docx", "A 31539-2025")</f>
        <v/>
      </c>
      <c r="AC569">
        <f>HYPERLINK("https://klasma.github.io/Logging_2062/tillsyn/A 31539-2025 tillsynsbegäran.docx", "A 31539-2025")</f>
        <v/>
      </c>
      <c r="AD569">
        <f>HYPERLINK("https://klasma.github.io/Logging_2062/tillsynsmail/A 31539-2025 tillsynsbegäran mail.docx", "A 31539-2025")</f>
        <v/>
      </c>
      <c r="AE569">
        <f>HYPERLINK("https://klasma.github.io/Logging_2062/fåglar/A 31539-2025 prioriterade fågelarter.docx", "A 31539-2025")</f>
        <v/>
      </c>
    </row>
    <row r="570" ht="15" customHeight="1">
      <c r="A570" t="inlineStr">
        <is>
          <t>A 540-2026</t>
        </is>
      </c>
      <c r="B570" t="inlineStr">
        <is>
          <t>avverkningsanmälan</t>
        </is>
      </c>
      <c r="C570" t="inlineStr">
        <is>
          <t>Föryngringsavverkning</t>
        </is>
      </c>
      <c r="D570" s="1" t="n">
        <v>46029</v>
      </c>
      <c r="E570" s="1" t="n">
        <v>46319</v>
      </c>
      <c r="F570" t="inlineStr">
        <is>
          <t>DALARNAS LÄN</t>
        </is>
      </c>
      <c r="G570" t="inlineStr">
        <is>
          <t>MALUNG-SÄLEN</t>
        </is>
      </c>
      <c r="H570" t="inlineStr">
        <is>
          <t>Allmännings- och besparingsskogar</t>
        </is>
      </c>
      <c r="I570" t="n">
        <v>22.1</v>
      </c>
      <c r="J570" t="n">
        <v>0</v>
      </c>
      <c r="K570" t="n">
        <v>0</v>
      </c>
      <c r="L570" t="n">
        <v>4</v>
      </c>
      <c r="M570" t="n">
        <v>1</v>
      </c>
      <c r="N570" t="n">
        <v>0</v>
      </c>
      <c r="O570" t="n">
        <v>0</v>
      </c>
      <c r="P570" t="n">
        <v>0</v>
      </c>
      <c r="Q570" t="n">
        <v>5</v>
      </c>
      <c r="R570" t="n">
        <v>1</v>
      </c>
      <c r="S570" t="n">
        <v>5</v>
      </c>
      <c r="T570" t="n">
        <v>10</v>
      </c>
      <c r="U570" t="n">
        <v>0</v>
      </c>
      <c r="V570" s="2" t="inlineStr">
        <is>
          <t>Garnlav
Dropptaggsvamp
Dvärgbägarlav
Nordtagging
Vedskivlav</t>
        </is>
      </c>
      <c r="W570">
        <f>HYPERLINK("https://klasma.github.io/Logging_2023/artfynd/A 540-2026 artfynd.xlsx", "A 540-2026")</f>
        <v/>
      </c>
      <c r="X570">
        <f>HYPERLINK("https://klasma.github.io/Logging_2023/kartor/A 540-2026 karta.png", "A 540-2026")</f>
        <v/>
      </c>
      <c r="Y570">
        <f>HYPERLINK("https://klasma.github.io/Logging_2023/kartor_geotiff/A 540-2026 georefererad karta.tif", "A 540-2026")</f>
        <v/>
      </c>
      <c r="AA570">
        <f>HYPERLINK("https://klasma.github.io/Logging_2023/klagomål/A 540-2026 FSC-klagomål.docx", "A 540-2026")</f>
        <v/>
      </c>
      <c r="AB570">
        <f>HYPERLINK("https://klasma.github.io/Logging_2023/klagomålsmail/A 540-2026 FSC-klagomål mail.docx", "A 540-2026")</f>
        <v/>
      </c>
      <c r="AC570">
        <f>HYPERLINK("https://klasma.github.io/Logging_2023/tillsyn/A 540-2026 tillsynsbegäran.docx", "A 540-2026")</f>
        <v/>
      </c>
      <c r="AD570">
        <f>HYPERLINK("https://klasma.github.io/Logging_2023/tillsynsmail/A 540-2026 tillsynsbegäran mail.docx", "A 540-2026")</f>
        <v/>
      </c>
    </row>
    <row r="571" ht="15" customHeight="1">
      <c r="A571" t="inlineStr">
        <is>
          <t>A 29521-2026</t>
        </is>
      </c>
      <c r="B571" t="inlineStr">
        <is>
          <t>avverkningsanmälan</t>
        </is>
      </c>
      <c r="C571" t="inlineStr">
        <is>
          <t>Föryngringsavverkning</t>
        </is>
      </c>
      <c r="D571" s="1" t="n">
        <v>46198</v>
      </c>
      <c r="E571" s="1" t="n">
        <v>46319</v>
      </c>
      <c r="F571" t="inlineStr">
        <is>
          <t>DALARNAS LÄN</t>
        </is>
      </c>
      <c r="G571" t="inlineStr">
        <is>
          <t>HEDEMORA</t>
        </is>
      </c>
      <c r="I571" t="n">
        <v>14.9</v>
      </c>
      <c r="J571" t="n">
        <v>3</v>
      </c>
      <c r="K571" t="n">
        <v>1</v>
      </c>
      <c r="L571" t="n">
        <v>1</v>
      </c>
      <c r="M571" t="n">
        <v>1</v>
      </c>
      <c r="N571" t="n">
        <v>0</v>
      </c>
      <c r="O571" t="n">
        <v>0</v>
      </c>
      <c r="P571" t="n">
        <v>0</v>
      </c>
      <c r="Q571" t="n">
        <v>2</v>
      </c>
      <c r="R571" t="n">
        <v>1</v>
      </c>
      <c r="S571" t="n">
        <v>5</v>
      </c>
      <c r="T571" t="n">
        <v>25</v>
      </c>
      <c r="U571" t="n">
        <v>22</v>
      </c>
      <c r="V571" s="2" t="inlineStr">
        <is>
          <t>Knärot
Ullticka
Bronshjon
Spillkråka
Revlummer</t>
        </is>
      </c>
      <c r="W571">
        <f>HYPERLINK("https://klasma.github.io/Logging_2083/artfynd/A 29521-2026 artfynd.xlsx", "A 29521-2026")</f>
        <v/>
      </c>
      <c r="X571">
        <f>HYPERLINK("https://klasma.github.io/Logging_2083/kartor/A 29521-2026 karta.png", "A 29521-2026")</f>
        <v/>
      </c>
      <c r="Y571">
        <f>HYPERLINK("https://klasma.github.io/Logging_2083/kartor_geotiff/A 29521-2026 georefererad karta.tif", "A 29521-2026")</f>
        <v/>
      </c>
      <c r="Z571">
        <f>HYPERLINK("https://klasma.github.io/Logging_2083/knärot/A 29521-2026 karta knärot.png", "A 29521-2026")</f>
        <v/>
      </c>
      <c r="AA571">
        <f>HYPERLINK("https://klasma.github.io/Logging_2083/klagomål/A 29521-2026 FSC-klagomål.docx", "A 29521-2026")</f>
        <v/>
      </c>
      <c r="AB571">
        <f>HYPERLINK("https://klasma.github.io/Logging_2083/klagomålsmail/A 29521-2026 FSC-klagomål mail.docx", "A 29521-2026")</f>
        <v/>
      </c>
      <c r="AC571">
        <f>HYPERLINK("https://klasma.github.io/Logging_2083/tillsyn/A 29521-2026 tillsynsbegäran.docx", "A 29521-2026")</f>
        <v/>
      </c>
      <c r="AD571">
        <f>HYPERLINK("https://klasma.github.io/Logging_2083/tillsynsmail/A 29521-2026 tillsynsbegäran mail.docx", "A 29521-2026")</f>
        <v/>
      </c>
      <c r="AE571">
        <f>HYPERLINK("https://klasma.github.io/Logging_2083/fåglar/A 29521-2026 prioriterade fågelarter.docx", "A 29521-2026")</f>
        <v/>
      </c>
    </row>
    <row r="572" ht="15" customHeight="1">
      <c r="A572" t="inlineStr">
        <is>
          <t>A 3363-2026</t>
        </is>
      </c>
      <c r="B572" t="inlineStr">
        <is>
          <t>avverkningsanmälan</t>
        </is>
      </c>
      <c r="C572" t="inlineStr">
        <is>
          <t>Föryngringsavverkning</t>
        </is>
      </c>
      <c r="D572" s="1" t="n">
        <v>46042</v>
      </c>
      <c r="E572" s="1" t="n">
        <v>46319</v>
      </c>
      <c r="F572" t="inlineStr">
        <is>
          <t>DALARNAS LÄN</t>
        </is>
      </c>
      <c r="G572" t="inlineStr">
        <is>
          <t>VANSBRO</t>
        </is>
      </c>
      <c r="I572" t="n">
        <v>5.3</v>
      </c>
      <c r="J572" t="n">
        <v>3</v>
      </c>
      <c r="K572" t="n">
        <v>0</v>
      </c>
      <c r="L572" t="n">
        <v>2</v>
      </c>
      <c r="M572" t="n">
        <v>2</v>
      </c>
      <c r="N572" t="n">
        <v>0</v>
      </c>
      <c r="O572" t="n">
        <v>0</v>
      </c>
      <c r="P572" t="n">
        <v>0</v>
      </c>
      <c r="Q572" t="n">
        <v>4</v>
      </c>
      <c r="R572" t="n">
        <v>2</v>
      </c>
      <c r="S572" t="n">
        <v>5</v>
      </c>
      <c r="T572" t="n">
        <v>39</v>
      </c>
      <c r="U572" t="n">
        <v>39</v>
      </c>
      <c r="V572" s="2" t="inlineStr">
        <is>
          <t>Garnlav
Knärot
Tretåig hackspett
Ullticka
Tjäder</t>
        </is>
      </c>
      <c r="W572">
        <f>HYPERLINK("https://klasma.github.io/Logging_2021/artfynd/A 3363-2026 artfynd.xlsx", "A 3363-2026")</f>
        <v/>
      </c>
      <c r="X572">
        <f>HYPERLINK("https://klasma.github.io/Logging_2021/kartor/A 3363-2026 karta.png", "A 3363-2026")</f>
        <v/>
      </c>
      <c r="Y572">
        <f>HYPERLINK("https://klasma.github.io/Logging_2021/kartor_geotiff/A 3363-2026 georefererad karta.tif", "A 3363-2026")</f>
        <v/>
      </c>
      <c r="Z572">
        <f>HYPERLINK("https://klasma.github.io/Logging_2021/knärot/A 3363-2026 karta knärot.png", "A 3363-2026")</f>
        <v/>
      </c>
      <c r="AA572">
        <f>HYPERLINK("https://klasma.github.io/Logging_2021/klagomål/A 3363-2026 FSC-klagomål.docx", "A 3363-2026")</f>
        <v/>
      </c>
      <c r="AB572">
        <f>HYPERLINK("https://klasma.github.io/Logging_2021/klagomålsmail/A 3363-2026 FSC-klagomål mail.docx", "A 3363-2026")</f>
        <v/>
      </c>
      <c r="AC572">
        <f>HYPERLINK("https://klasma.github.io/Logging_2021/tillsyn/A 3363-2026 tillsynsbegäran.docx", "A 3363-2026")</f>
        <v/>
      </c>
      <c r="AD572">
        <f>HYPERLINK("https://klasma.github.io/Logging_2021/tillsynsmail/A 3363-2026 tillsynsbegäran mail.docx", "A 3363-2026")</f>
        <v/>
      </c>
      <c r="AE572">
        <f>HYPERLINK("https://klasma.github.io/Logging_2021/fåglar/A 3363-2026 prioriterade fågelarter.docx", "A 3363-2026")</f>
        <v/>
      </c>
    </row>
    <row r="573" ht="15" customHeight="1">
      <c r="A573" t="inlineStr">
        <is>
          <t>A 31070-2026</t>
        </is>
      </c>
      <c r="B573" t="inlineStr">
        <is>
          <t>avverkningsanmälan</t>
        </is>
      </c>
      <c r="C573" t="inlineStr">
        <is>
          <t>Föryngringsavverkning</t>
        </is>
      </c>
      <c r="D573" s="1" t="n">
        <v>46216</v>
      </c>
      <c r="E573" s="1" t="n">
        <v>46319</v>
      </c>
      <c r="F573" t="inlineStr">
        <is>
          <t>DALARNAS LÄN</t>
        </is>
      </c>
      <c r="G573" t="inlineStr">
        <is>
          <t>LUDVIKA</t>
        </is>
      </c>
      <c r="I573" t="n">
        <v>8.9</v>
      </c>
      <c r="J573" t="n">
        <v>4</v>
      </c>
      <c r="K573" t="n">
        <v>0</v>
      </c>
      <c r="L573" t="n">
        <v>0</v>
      </c>
      <c r="M573" t="n">
        <v>1</v>
      </c>
      <c r="N573" t="n">
        <v>0</v>
      </c>
      <c r="O573" t="n">
        <v>0</v>
      </c>
      <c r="P573" t="n">
        <v>0</v>
      </c>
      <c r="Q573" t="n">
        <v>1</v>
      </c>
      <c r="R573" t="n">
        <v>1</v>
      </c>
      <c r="S573" t="n">
        <v>5</v>
      </c>
      <c r="T573" t="n">
        <v>13</v>
      </c>
      <c r="U573" t="n">
        <v>11</v>
      </c>
      <c r="V573" s="2" t="inlineStr">
        <is>
          <t>Knärot
Blåsippa
Spillkråka
Sälg
Tjäder</t>
        </is>
      </c>
      <c r="W573">
        <f>HYPERLINK("https://klasma.github.io/Logging_2085/artfynd/A 31070-2026 artfynd.xlsx", "A 31070-2026")</f>
        <v/>
      </c>
      <c r="X573">
        <f>HYPERLINK("https://klasma.github.io/Logging_2085/kartor/A 31070-2026 karta.png", "A 31070-2026")</f>
        <v/>
      </c>
      <c r="Y573">
        <f>HYPERLINK("https://klasma.github.io/Logging_2085/kartor_geotiff/A 31070-2026 georefererad karta.tif", "A 31070-2026")</f>
        <v/>
      </c>
      <c r="Z573">
        <f>HYPERLINK("https://klasma.github.io/Logging_2085/knärot/A 31070-2026 karta knärot.png", "A 31070-2026")</f>
        <v/>
      </c>
      <c r="AA573">
        <f>HYPERLINK("https://klasma.github.io/Logging_2085/klagomål/A 31070-2026 FSC-klagomål.docx", "A 31070-2026")</f>
        <v/>
      </c>
      <c r="AB573">
        <f>HYPERLINK("https://klasma.github.io/Logging_2085/klagomålsmail/A 31070-2026 FSC-klagomål mail.docx", "A 31070-2026")</f>
        <v/>
      </c>
      <c r="AC573">
        <f>HYPERLINK("https://klasma.github.io/Logging_2085/tillsyn/A 31070-2026 tillsynsbegäran.docx", "A 31070-2026")</f>
        <v/>
      </c>
      <c r="AD573">
        <f>HYPERLINK("https://klasma.github.io/Logging_2085/tillsynsmail/A 31070-2026 tillsynsbegäran mail.docx", "A 31070-2026")</f>
        <v/>
      </c>
      <c r="AE573">
        <f>HYPERLINK("https://klasma.github.io/Logging_2085/fåglar/A 31070-2026 prioriterade fågelarter.docx", "A 31070-2026")</f>
        <v/>
      </c>
    </row>
    <row r="574" ht="15" customHeight="1">
      <c r="A574" t="inlineStr">
        <is>
          <t>A 23711-2026</t>
        </is>
      </c>
      <c r="B574" t="inlineStr">
        <is>
          <t>avverkningsanmälan</t>
        </is>
      </c>
      <c r="C574" t="inlineStr">
        <is>
          <t>Föryngringsavverkning</t>
        </is>
      </c>
      <c r="D574" s="1" t="n">
        <v>46163</v>
      </c>
      <c r="E574" s="1" t="n">
        <v>46319</v>
      </c>
      <c r="F574" t="inlineStr">
        <is>
          <t>DALARNAS LÄN</t>
        </is>
      </c>
      <c r="G574" t="inlineStr">
        <is>
          <t>LUDVIKA</t>
        </is>
      </c>
      <c r="I574" t="n">
        <v>1.4</v>
      </c>
      <c r="J574" t="n">
        <v>2</v>
      </c>
      <c r="K574" t="n">
        <v>1</v>
      </c>
      <c r="L574" t="n">
        <v>0</v>
      </c>
      <c r="M574" t="n">
        <v>1</v>
      </c>
      <c r="N574" t="n">
        <v>0</v>
      </c>
      <c r="O574" t="n">
        <v>0</v>
      </c>
      <c r="P574" t="n">
        <v>0</v>
      </c>
      <c r="Q574" t="n">
        <v>1</v>
      </c>
      <c r="R574" t="n">
        <v>1</v>
      </c>
      <c r="S574" t="n">
        <v>5</v>
      </c>
      <c r="T574" t="n">
        <v>7</v>
      </c>
      <c r="U574" t="n">
        <v>7</v>
      </c>
      <c r="V574" s="2" t="inlineStr">
        <is>
          <t>Garnlav
Mindre märgborre
Järpe
Spillkråka
Timmerticka</t>
        </is>
      </c>
      <c r="W574">
        <f>HYPERLINK("https://klasma.github.io/Logging_2085/artfynd/A 23711-2026 artfynd.xlsx", "A 23711-2026")</f>
        <v/>
      </c>
      <c r="X574">
        <f>HYPERLINK("https://klasma.github.io/Logging_2085/kartor/A 23711-2026 karta.png", "A 23711-2026")</f>
        <v/>
      </c>
      <c r="Y574">
        <f>HYPERLINK("https://klasma.github.io/Logging_2085/kartor_geotiff/A 23711-2026 georefererad karta.tif", "A 23711-2026")</f>
        <v/>
      </c>
      <c r="AA574">
        <f>HYPERLINK("https://klasma.github.io/Logging_2085/klagomål/A 23711-2026 FSC-klagomål.docx", "A 23711-2026")</f>
        <v/>
      </c>
      <c r="AB574">
        <f>HYPERLINK("https://klasma.github.io/Logging_2085/klagomålsmail/A 23711-2026 FSC-klagomål mail.docx", "A 23711-2026")</f>
        <v/>
      </c>
      <c r="AC574">
        <f>HYPERLINK("https://klasma.github.io/Logging_2085/tillsyn/A 23711-2026 tillsynsbegäran.docx", "A 23711-2026")</f>
        <v/>
      </c>
      <c r="AD574">
        <f>HYPERLINK("https://klasma.github.io/Logging_2085/tillsynsmail/A 23711-2026 tillsynsbegäran mail.docx", "A 23711-2026")</f>
        <v/>
      </c>
      <c r="AE574">
        <f>HYPERLINK("https://klasma.github.io/Logging_2085/fåglar/A 23711-2026 prioriterade fågelarter.docx", "A 23711-2026")</f>
        <v/>
      </c>
    </row>
    <row r="575" ht="15" customHeight="1">
      <c r="A575" t="inlineStr">
        <is>
          <t>A 23714-2026</t>
        </is>
      </c>
      <c r="B575" t="inlineStr">
        <is>
          <t>avverkningsanmälan</t>
        </is>
      </c>
      <c r="C575" t="inlineStr">
        <is>
          <t>Föryngringsavverkning</t>
        </is>
      </c>
      <c r="D575" s="1" t="n">
        <v>46163</v>
      </c>
      <c r="E575" s="1" t="n">
        <v>46319</v>
      </c>
      <c r="F575" t="inlineStr">
        <is>
          <t>DALARNAS LÄN</t>
        </is>
      </c>
      <c r="G575" t="inlineStr">
        <is>
          <t>LUDVIKA</t>
        </is>
      </c>
      <c r="I575" t="n">
        <v>4.6</v>
      </c>
      <c r="J575" t="n">
        <v>2</v>
      </c>
      <c r="K575" t="n">
        <v>0</v>
      </c>
      <c r="L575" t="n">
        <v>3</v>
      </c>
      <c r="M575" t="n">
        <v>1</v>
      </c>
      <c r="N575" t="n">
        <v>0</v>
      </c>
      <c r="O575" t="n">
        <v>0</v>
      </c>
      <c r="P575" t="n">
        <v>0</v>
      </c>
      <c r="Q575" t="n">
        <v>4</v>
      </c>
      <c r="R575" t="n">
        <v>1</v>
      </c>
      <c r="S575" t="n">
        <v>5</v>
      </c>
      <c r="T575" t="n">
        <v>7</v>
      </c>
      <c r="U575" t="n">
        <v>7</v>
      </c>
      <c r="V575" s="2" t="inlineStr">
        <is>
          <t>Garnlav
Rosenticka
Tretåig hackspett
Ullticka
Spillkråka</t>
        </is>
      </c>
      <c r="W575">
        <f>HYPERLINK("https://klasma.github.io/Logging_2085/artfynd/A 23714-2026 artfynd.xlsx", "A 23714-2026")</f>
        <v/>
      </c>
      <c r="X575">
        <f>HYPERLINK("https://klasma.github.io/Logging_2085/kartor/A 23714-2026 karta.png", "A 23714-2026")</f>
        <v/>
      </c>
      <c r="Y575">
        <f>HYPERLINK("https://klasma.github.io/Logging_2085/kartor_geotiff/A 23714-2026 georefererad karta.tif", "A 23714-2026")</f>
        <v/>
      </c>
      <c r="AA575">
        <f>HYPERLINK("https://klasma.github.io/Logging_2085/klagomål/A 23714-2026 FSC-klagomål.docx", "A 23714-2026")</f>
        <v/>
      </c>
      <c r="AB575">
        <f>HYPERLINK("https://klasma.github.io/Logging_2085/klagomålsmail/A 23714-2026 FSC-klagomål mail.docx", "A 23714-2026")</f>
        <v/>
      </c>
      <c r="AC575">
        <f>HYPERLINK("https://klasma.github.io/Logging_2085/tillsyn/A 23714-2026 tillsynsbegäran.docx", "A 23714-2026")</f>
        <v/>
      </c>
      <c r="AD575">
        <f>HYPERLINK("https://klasma.github.io/Logging_2085/tillsynsmail/A 23714-2026 tillsynsbegäran mail.docx", "A 23714-2026")</f>
        <v/>
      </c>
      <c r="AE575">
        <f>HYPERLINK("https://klasma.github.io/Logging_2085/fåglar/A 23714-2026 prioriterade fågelarter.docx", "A 23714-2026")</f>
        <v/>
      </c>
    </row>
    <row r="576" ht="15" customHeight="1">
      <c r="A576" t="inlineStr">
        <is>
          <t>A 14556-2026</t>
        </is>
      </c>
      <c r="B576" t="inlineStr">
        <is>
          <t>avverkningsanmälan</t>
        </is>
      </c>
      <c r="C576" t="inlineStr">
        <is>
          <t>Avverkning för annat ändamål</t>
        </is>
      </c>
      <c r="D576" s="1" t="n">
        <v>46100</v>
      </c>
      <c r="E576" s="1" t="n">
        <v>46319</v>
      </c>
      <c r="F576" t="inlineStr">
        <is>
          <t>DALARNAS LÄN</t>
        </is>
      </c>
      <c r="G576" t="inlineStr">
        <is>
          <t>GAGNEF</t>
        </is>
      </c>
      <c r="I576" t="n">
        <v>4</v>
      </c>
      <c r="J576" t="n">
        <v>1</v>
      </c>
      <c r="K576" t="n">
        <v>1</v>
      </c>
      <c r="L576" t="n">
        <v>2</v>
      </c>
      <c r="M576" t="n">
        <v>2</v>
      </c>
      <c r="N576" t="n">
        <v>0</v>
      </c>
      <c r="O576" t="n">
        <v>0</v>
      </c>
      <c r="P576" t="n">
        <v>0</v>
      </c>
      <c r="Q576" t="n">
        <v>4</v>
      </c>
      <c r="R576" t="n">
        <v>2</v>
      </c>
      <c r="S576" t="n">
        <v>5</v>
      </c>
      <c r="T576" t="n">
        <v>11</v>
      </c>
      <c r="U576" t="n">
        <v>11</v>
      </c>
      <c r="V576" s="2" t="inlineStr">
        <is>
          <t>Garnlav
Knärot
Rosenticka
Ullticka
Vedticka</t>
        </is>
      </c>
      <c r="W576">
        <f>HYPERLINK("https://klasma.github.io/Logging_2026/artfynd/A 14556-2026 artfynd.xlsx", "A 14556-2026")</f>
        <v/>
      </c>
      <c r="X576">
        <f>HYPERLINK("https://klasma.github.io/Logging_2026/kartor/A 14556-2026 karta.png", "A 14556-2026")</f>
        <v/>
      </c>
      <c r="Y576">
        <f>HYPERLINK("https://klasma.github.io/Logging_2026/kartor_geotiff/A 14556-2026 georefererad karta.tif", "A 14556-2026")</f>
        <v/>
      </c>
      <c r="Z576">
        <f>HYPERLINK("https://klasma.github.io/Logging_2026/knärot/A 14556-2026 karta knärot.png", "A 14556-2026")</f>
        <v/>
      </c>
      <c r="AA576">
        <f>HYPERLINK("https://klasma.github.io/Logging_2026/klagomål/A 14556-2026 FSC-klagomål.docx", "A 14556-2026")</f>
        <v/>
      </c>
      <c r="AB576">
        <f>HYPERLINK("https://klasma.github.io/Logging_2026/klagomålsmail/A 14556-2026 FSC-klagomål mail.docx", "A 14556-2026")</f>
        <v/>
      </c>
      <c r="AC576">
        <f>HYPERLINK("https://klasma.github.io/Logging_2026/tillsyn/A 14556-2026 tillsynsbegäran.docx", "A 14556-2026")</f>
        <v/>
      </c>
      <c r="AD576">
        <f>HYPERLINK("https://klasma.github.io/Logging_2026/tillsynsmail/A 14556-2026 tillsynsbegäran mail.docx", "A 14556-2026")</f>
        <v/>
      </c>
    </row>
    <row r="577" ht="15" customHeight="1">
      <c r="A577" t="inlineStr">
        <is>
          <t>A 6816-2026</t>
        </is>
      </c>
      <c r="B577" t="inlineStr">
        <is>
          <t>avverkningsanmälan</t>
        </is>
      </c>
      <c r="C577" t="inlineStr">
        <is>
          <t>Föryngringsavverkning</t>
        </is>
      </c>
      <c r="D577" s="1" t="n">
        <v>46056</v>
      </c>
      <c r="E577" s="1" t="n">
        <v>46319</v>
      </c>
      <c r="F577" t="inlineStr">
        <is>
          <t>DALARNAS LÄN</t>
        </is>
      </c>
      <c r="G577" t="inlineStr">
        <is>
          <t>FALUN</t>
        </is>
      </c>
      <c r="H577" t="inlineStr">
        <is>
          <t>Allmännings- och besparingsskogar</t>
        </is>
      </c>
      <c r="I577" t="n">
        <v>9.5</v>
      </c>
      <c r="J577" t="n">
        <v>1</v>
      </c>
      <c r="K577" t="n">
        <v>3</v>
      </c>
      <c r="L577" t="n">
        <v>2</v>
      </c>
      <c r="M577" t="n">
        <v>0</v>
      </c>
      <c r="N577" t="n">
        <v>0</v>
      </c>
      <c r="O577" t="n">
        <v>0</v>
      </c>
      <c r="P577" t="n">
        <v>0</v>
      </c>
      <c r="Q577" t="n">
        <v>2</v>
      </c>
      <c r="R577" t="n">
        <v>0</v>
      </c>
      <c r="S577" t="n">
        <v>5</v>
      </c>
      <c r="T577" t="n">
        <v>5</v>
      </c>
      <c r="U577" t="n">
        <v>0</v>
      </c>
      <c r="V577" s="2" t="inlineStr">
        <is>
          <t>Doftskinn
Gammelgransskål
Gulnål
Plattlummer
Vågbandad barkbock</t>
        </is>
      </c>
      <c r="W577">
        <f>HYPERLINK("https://klasma.github.io/Logging_2080/artfynd/A 6816-2026 artfynd.xlsx", "A 6816-2026")</f>
        <v/>
      </c>
      <c r="X577">
        <f>HYPERLINK("https://klasma.github.io/Logging_2080/kartor/A 6816-2026 karta.png", "A 6816-2026")</f>
        <v/>
      </c>
      <c r="Y577">
        <f>HYPERLINK("https://klasma.github.io/Logging_2080/kartor_geotiff/A 6816-2026 georefererad karta.tif", "A 6816-2026")</f>
        <v/>
      </c>
      <c r="AA577">
        <f>HYPERLINK("https://klasma.github.io/Logging_2080/klagomål/A 6816-2026 FSC-klagomål.docx", "A 6816-2026")</f>
        <v/>
      </c>
      <c r="AB577">
        <f>HYPERLINK("https://klasma.github.io/Logging_2080/klagomålsmail/A 6816-2026 FSC-klagomål mail.docx", "A 6816-2026")</f>
        <v/>
      </c>
      <c r="AC577">
        <f>HYPERLINK("https://klasma.github.io/Logging_2080/tillsyn/A 6816-2026 tillsynsbegäran.docx", "A 6816-2026")</f>
        <v/>
      </c>
      <c r="AD577">
        <f>HYPERLINK("https://klasma.github.io/Logging_2080/tillsynsmail/A 6816-2026 tillsynsbegäran mail.docx", "A 6816-2026")</f>
        <v/>
      </c>
    </row>
    <row r="578" ht="15" customHeight="1">
      <c r="A578" t="inlineStr">
        <is>
          <t>A 16894-2025</t>
        </is>
      </c>
      <c r="B578" t="inlineStr">
        <is>
          <t>avverkningsanmälan</t>
        </is>
      </c>
      <c r="C578" t="inlineStr">
        <is>
          <t>Föryngringsavverkning</t>
        </is>
      </c>
      <c r="D578" s="1" t="n">
        <v>45755</v>
      </c>
      <c r="E578" s="1" t="n">
        <v>46319</v>
      </c>
      <c r="F578" t="inlineStr">
        <is>
          <t>DALARNAS LÄN</t>
        </is>
      </c>
      <c r="G578" t="inlineStr">
        <is>
          <t>ÄLVDALEN</t>
        </is>
      </c>
      <c r="H578" t="inlineStr">
        <is>
          <t>Sveaskog</t>
        </is>
      </c>
      <c r="I578" t="n">
        <v>17.3</v>
      </c>
      <c r="J578" t="n">
        <v>0</v>
      </c>
      <c r="K578" t="n">
        <v>0</v>
      </c>
      <c r="L578" t="n">
        <v>5</v>
      </c>
      <c r="M578" t="n">
        <v>0</v>
      </c>
      <c r="N578" t="n">
        <v>0</v>
      </c>
      <c r="O578" t="n">
        <v>0</v>
      </c>
      <c r="P578" t="n">
        <v>0</v>
      </c>
      <c r="Q578" t="n">
        <v>5</v>
      </c>
      <c r="R578" t="n">
        <v>0</v>
      </c>
      <c r="S578" t="n">
        <v>5</v>
      </c>
      <c r="T578" t="n">
        <v>5</v>
      </c>
      <c r="U578" t="n">
        <v>1</v>
      </c>
      <c r="V578" s="2" t="inlineStr">
        <is>
          <t>Dropptaggsvamp
Dvärgbägarlav
Kolflarnlav
Mörk kolflarnlav
Vedflamlav</t>
        </is>
      </c>
      <c r="W578">
        <f>HYPERLINK("https://klasma.github.io/Logging_2039/artfynd/A 16894-2025 artfynd.xlsx", "A 16894-2025")</f>
        <v/>
      </c>
      <c r="X578">
        <f>HYPERLINK("https://klasma.github.io/Logging_2039/kartor/A 16894-2025 karta.png", "A 16894-2025")</f>
        <v/>
      </c>
      <c r="Y578">
        <f>HYPERLINK("https://klasma.github.io/Logging_2039/kartor_geotiff/A 16894-2025 georefererad karta.tif", "A 16894-2025")</f>
        <v/>
      </c>
      <c r="AA578">
        <f>HYPERLINK("https://klasma.github.io/Logging_2039/klagomål/A 16894-2025 FSC-klagomål.docx", "A 16894-2025")</f>
        <v/>
      </c>
      <c r="AB578">
        <f>HYPERLINK("https://klasma.github.io/Logging_2039/klagomålsmail/A 16894-2025 FSC-klagomål mail.docx", "A 16894-2025")</f>
        <v/>
      </c>
      <c r="AC578">
        <f>HYPERLINK("https://klasma.github.io/Logging_2039/tillsyn/A 16894-2025 tillsynsbegäran.docx", "A 16894-2025")</f>
        <v/>
      </c>
      <c r="AD578">
        <f>HYPERLINK("https://klasma.github.io/Logging_2039/tillsynsmail/A 16894-2025 tillsynsbegäran mail.docx", "A 16894-2025")</f>
        <v/>
      </c>
    </row>
    <row r="579" ht="15" customHeight="1">
      <c r="A579" t="inlineStr">
        <is>
          <t>A 17560-2025</t>
        </is>
      </c>
      <c r="B579" t="inlineStr">
        <is>
          <t>avverkningsanmälan</t>
        </is>
      </c>
      <c r="C579" t="inlineStr">
        <is>
          <t>Föryngringsavverkning</t>
        </is>
      </c>
      <c r="D579" s="1" t="n">
        <v>45757</v>
      </c>
      <c r="E579" s="1" t="n">
        <v>46319</v>
      </c>
      <c r="F579" t="inlineStr">
        <is>
          <t>DALARNAS LÄN</t>
        </is>
      </c>
      <c r="G579" t="inlineStr">
        <is>
          <t>BORLÄNGE</t>
        </is>
      </c>
      <c r="H579" t="inlineStr">
        <is>
          <t>Bergvik skog väst AB</t>
        </is>
      </c>
      <c r="I579" t="n">
        <v>3.7</v>
      </c>
      <c r="J579" t="n">
        <v>2</v>
      </c>
      <c r="K579" t="n">
        <v>0</v>
      </c>
      <c r="L579" t="n">
        <v>1</v>
      </c>
      <c r="M579" t="n">
        <v>3</v>
      </c>
      <c r="N579" t="n">
        <v>0</v>
      </c>
      <c r="O579" t="n">
        <v>0</v>
      </c>
      <c r="P579" t="n">
        <v>0</v>
      </c>
      <c r="Q579" t="n">
        <v>4</v>
      </c>
      <c r="R579" t="n">
        <v>3</v>
      </c>
      <c r="S579" t="n">
        <v>5</v>
      </c>
      <c r="T579" t="n">
        <v>15</v>
      </c>
      <c r="U579" t="n">
        <v>0</v>
      </c>
      <c r="V579" s="2" t="inlineStr">
        <is>
          <t>Brun gräsfjäril
Violettkantad guldvinge
Ängsblåvinge
Sotnätfjäril
Vanlig snok</t>
        </is>
      </c>
      <c r="W579">
        <f>HYPERLINK("https://klasma.github.io/Logging_2081/artfynd/A 17560-2025 artfynd.xlsx", "A 17560-2025")</f>
        <v/>
      </c>
      <c r="X579">
        <f>HYPERLINK("https://klasma.github.io/Logging_2081/kartor/A 17560-2025 karta.png", "A 17560-2025")</f>
        <v/>
      </c>
      <c r="Y579">
        <f>HYPERLINK("https://klasma.github.io/Logging_2081/kartor_geotiff/A 17560-2025 georefererad karta.tif", "A 17560-2025")</f>
        <v/>
      </c>
      <c r="AA579">
        <f>HYPERLINK("https://klasma.github.io/Logging_2081/klagomål/A 17560-2025 FSC-klagomål.docx", "A 17560-2025")</f>
        <v/>
      </c>
      <c r="AB579">
        <f>HYPERLINK("https://klasma.github.io/Logging_2081/klagomålsmail/A 17560-2025 FSC-klagomål mail.docx", "A 17560-2025")</f>
        <v/>
      </c>
      <c r="AC579">
        <f>HYPERLINK("https://klasma.github.io/Logging_2081/tillsyn/A 17560-2025 tillsynsbegäran.docx", "A 17560-2025")</f>
        <v/>
      </c>
      <c r="AD579">
        <f>HYPERLINK("https://klasma.github.io/Logging_2081/tillsynsmail/A 17560-2025 tillsynsbegäran mail.docx", "A 17560-2025")</f>
        <v/>
      </c>
    </row>
    <row r="580" ht="15" customHeight="1">
      <c r="A580" t="inlineStr">
        <is>
          <t>A 41004-2023</t>
        </is>
      </c>
      <c r="B580" t="inlineStr">
        <is>
          <t>avverkningsanmälan</t>
        </is>
      </c>
      <c r="C580" t="inlineStr">
        <is>
          <t>Föryngringsavverkning</t>
        </is>
      </c>
      <c r="D580" s="1" t="n">
        <v>45173</v>
      </c>
      <c r="E580" s="1" t="n">
        <v>46319</v>
      </c>
      <c r="F580" t="inlineStr">
        <is>
          <t>DALARNAS LÄN</t>
        </is>
      </c>
      <c r="G580" t="inlineStr">
        <is>
          <t>ÄLVDALEN</t>
        </is>
      </c>
      <c r="H580" t="inlineStr">
        <is>
          <t>Bergvik skog väst AB</t>
        </is>
      </c>
      <c r="I580" t="n">
        <v>2</v>
      </c>
      <c r="J580" t="n">
        <v>5</v>
      </c>
      <c r="K580" t="n">
        <v>0</v>
      </c>
      <c r="L580" t="n">
        <v>4</v>
      </c>
      <c r="M580" t="n">
        <v>1</v>
      </c>
      <c r="N580" t="n">
        <v>0</v>
      </c>
      <c r="O580" t="n">
        <v>0</v>
      </c>
      <c r="P580" t="n">
        <v>0</v>
      </c>
      <c r="Q580" t="n">
        <v>5</v>
      </c>
      <c r="R580" t="n">
        <v>1</v>
      </c>
      <c r="S580" t="n">
        <v>5</v>
      </c>
      <c r="T580" t="n">
        <v>5</v>
      </c>
      <c r="U580" t="n">
        <v>5</v>
      </c>
      <c r="V580" s="2" t="inlineStr">
        <is>
          <t>Stare
Björktrast
Ladusvala
Rödvingetrast
Talltita</t>
        </is>
      </c>
      <c r="W580">
        <f>HYPERLINK("https://klasma.github.io/Logging_2039/artfynd/A 41004-2023 artfynd.xlsx", "A 41004-2023")</f>
        <v/>
      </c>
      <c r="X580">
        <f>HYPERLINK("https://klasma.github.io/Logging_2039/kartor/A 41004-2023 karta.png", "A 41004-2023")</f>
        <v/>
      </c>
      <c r="Y580">
        <f>HYPERLINK("https://klasma.github.io/Logging_2039/kartor_geotiff/A 41004-2023 georefererad karta.tif", "A 41004-2023")</f>
        <v/>
      </c>
      <c r="AA580">
        <f>HYPERLINK("https://klasma.github.io/Logging_2039/klagomål/A 41004-2023 FSC-klagomål.docx", "A 41004-2023")</f>
        <v/>
      </c>
      <c r="AB580">
        <f>HYPERLINK("https://klasma.github.io/Logging_2039/klagomålsmail/A 41004-2023 FSC-klagomål mail.docx", "A 41004-2023")</f>
        <v/>
      </c>
      <c r="AC580">
        <f>HYPERLINK("https://klasma.github.io/Logging_2039/tillsyn/A 41004-2023 tillsynsbegäran.docx", "A 41004-2023")</f>
        <v/>
      </c>
      <c r="AD580">
        <f>HYPERLINK("https://klasma.github.io/Logging_2039/tillsynsmail/A 41004-2023 tillsynsbegäran mail.docx", "A 41004-2023")</f>
        <v/>
      </c>
      <c r="AE580">
        <f>HYPERLINK("https://klasma.github.io/Logging_2039/fåglar/A 41004-2023 prioriterade fågelarter.docx", "A 41004-2023")</f>
        <v/>
      </c>
    </row>
    <row r="581" ht="15" customHeight="1">
      <c r="A581" t="inlineStr">
        <is>
          <t>A 25699-2022</t>
        </is>
      </c>
      <c r="B581" t="inlineStr">
        <is>
          <t>avverkningsanmälan</t>
        </is>
      </c>
      <c r="C581" t="inlineStr">
        <is>
          <t>Föryngringsavverkning</t>
        </is>
      </c>
      <c r="D581" s="1" t="n">
        <v>44732</v>
      </c>
      <c r="E581" s="1" t="n">
        <v>46319</v>
      </c>
      <c r="F581" t="inlineStr">
        <is>
          <t>DALARNAS LÄN</t>
        </is>
      </c>
      <c r="G581" t="inlineStr">
        <is>
          <t>SÄTER</t>
        </is>
      </c>
      <c r="H581" t="inlineStr">
        <is>
          <t>Bergvik skog väst AB</t>
        </is>
      </c>
      <c r="I581" t="n">
        <v>22</v>
      </c>
      <c r="J581" t="n">
        <v>3</v>
      </c>
      <c r="K581" t="n">
        <v>1</v>
      </c>
      <c r="L581" t="n">
        <v>2</v>
      </c>
      <c r="M581" t="n">
        <v>0</v>
      </c>
      <c r="N581" t="n">
        <v>0</v>
      </c>
      <c r="O581" t="n">
        <v>0</v>
      </c>
      <c r="P581" t="n">
        <v>0</v>
      </c>
      <c r="Q581" t="n">
        <v>2</v>
      </c>
      <c r="R581" t="n">
        <v>0</v>
      </c>
      <c r="S581" t="n">
        <v>5</v>
      </c>
      <c r="T581" t="n">
        <v>5</v>
      </c>
      <c r="U581" t="n">
        <v>0</v>
      </c>
      <c r="V581" s="2" t="inlineStr">
        <is>
          <t>Jungfrulin
Slåtterfibbla
Tvåblad
Blåsippa
Fläcknycklar</t>
        </is>
      </c>
      <c r="W581">
        <f>HYPERLINK("https://klasma.github.io/Logging_2082/artfynd/A 25699-2022 artfynd.xlsx", "A 25699-2022")</f>
        <v/>
      </c>
      <c r="X581">
        <f>HYPERLINK("https://klasma.github.io/Logging_2082/kartor/A 25699-2022 karta.png", "A 25699-2022")</f>
        <v/>
      </c>
      <c r="Y581">
        <f>HYPERLINK("https://klasma.github.io/Logging_2082/kartor_geotiff/A 25699-2022 georefererad karta.tif", "A 25699-2022")</f>
        <v/>
      </c>
      <c r="AA581">
        <f>HYPERLINK("https://klasma.github.io/Logging_2082/klagomål/A 25699-2022 FSC-klagomål.docx", "A 25699-2022")</f>
        <v/>
      </c>
      <c r="AB581">
        <f>HYPERLINK("https://klasma.github.io/Logging_2082/klagomålsmail/A 25699-2022 FSC-klagomål mail.docx", "A 25699-2022")</f>
        <v/>
      </c>
      <c r="AC581">
        <f>HYPERLINK("https://klasma.github.io/Logging_2082/tillsyn/A 25699-2022 tillsynsbegäran.docx", "A 25699-2022")</f>
        <v/>
      </c>
      <c r="AD581">
        <f>HYPERLINK("https://klasma.github.io/Logging_2082/tillsynsmail/A 25699-2022 tillsynsbegäran mail.docx", "A 25699-2022")</f>
        <v/>
      </c>
    </row>
    <row r="582" ht="15" customHeight="1">
      <c r="A582" t="inlineStr">
        <is>
          <t>A 8756-2024</t>
        </is>
      </c>
      <c r="B582" t="inlineStr">
        <is>
          <t>avverkningsanmälan</t>
        </is>
      </c>
      <c r="C582" t="inlineStr">
        <is>
          <t>Föryngringsavverkning</t>
        </is>
      </c>
      <c r="D582" s="1" t="n">
        <v>45356</v>
      </c>
      <c r="E582" s="1" t="n">
        <v>46319</v>
      </c>
      <c r="F582" t="inlineStr">
        <is>
          <t>DALARNAS LÄN</t>
        </is>
      </c>
      <c r="G582" t="inlineStr">
        <is>
          <t>FALUN</t>
        </is>
      </c>
      <c r="I582" t="n">
        <v>4.1</v>
      </c>
      <c r="J582" t="n">
        <v>2</v>
      </c>
      <c r="K582" t="n">
        <v>1</v>
      </c>
      <c r="L582" t="n">
        <v>0</v>
      </c>
      <c r="M582" t="n">
        <v>0</v>
      </c>
      <c r="N582" t="n">
        <v>0</v>
      </c>
      <c r="O582" t="n">
        <v>0</v>
      </c>
      <c r="P582" t="n">
        <v>0</v>
      </c>
      <c r="Q582" t="n">
        <v>0</v>
      </c>
      <c r="R582" t="n">
        <v>0</v>
      </c>
      <c r="S582" t="n">
        <v>5</v>
      </c>
      <c r="T582" t="n">
        <v>11</v>
      </c>
      <c r="U582" t="n">
        <v>11</v>
      </c>
      <c r="V582" s="2" t="inlineStr">
        <is>
          <t>Mindre märgborre
Blåbär
Linnea
Spillkråka
Kungsfågel</t>
        </is>
      </c>
      <c r="W582">
        <f>HYPERLINK("https://klasma.github.io/Logging_2080/artfynd/A 8756-2024 artfynd.xlsx", "A 8756-2024")</f>
        <v/>
      </c>
      <c r="X582">
        <f>HYPERLINK("https://klasma.github.io/Logging_2080/kartor/A 8756-2024 karta.png", "A 8756-2024")</f>
        <v/>
      </c>
      <c r="Y582">
        <f>HYPERLINK("https://klasma.github.io/Logging_2080/kartor_geotiff/A 8756-2024 georefererad karta.tif", "A 8756-2024")</f>
        <v/>
      </c>
      <c r="AA582">
        <f>HYPERLINK("https://klasma.github.io/Logging_2080/klagomål/A 8756-2024 FSC-klagomål.docx", "A 8756-2024")</f>
        <v/>
      </c>
      <c r="AB582">
        <f>HYPERLINK("https://klasma.github.io/Logging_2080/klagomålsmail/A 8756-2024 FSC-klagomål mail.docx", "A 8756-2024")</f>
        <v/>
      </c>
      <c r="AC582">
        <f>HYPERLINK("https://klasma.github.io/Logging_2080/tillsyn/A 8756-2024 tillsynsbegäran.docx", "A 8756-2024")</f>
        <v/>
      </c>
      <c r="AD582">
        <f>HYPERLINK("https://klasma.github.io/Logging_2080/tillsynsmail/A 8756-2024 tillsynsbegäran mail.docx", "A 8756-2024")</f>
        <v/>
      </c>
      <c r="AE582">
        <f>HYPERLINK("https://klasma.github.io/Logging_2080/fåglar/A 8756-2024 prioriterade fågelarter.docx", "A 8756-2024")</f>
        <v/>
      </c>
    </row>
    <row r="583" ht="15" customHeight="1">
      <c r="A583" t="inlineStr">
        <is>
          <t>A 23498-2024</t>
        </is>
      </c>
      <c r="B583" t="inlineStr">
        <is>
          <t>avverkningsanmälan</t>
        </is>
      </c>
      <c r="C583" t="inlineStr">
        <is>
          <t>Föryngringsavverkning</t>
        </is>
      </c>
      <c r="D583" s="1" t="n">
        <v>45453</v>
      </c>
      <c r="E583" s="1" t="n">
        <v>46319</v>
      </c>
      <c r="F583" t="inlineStr">
        <is>
          <t>DALARNAS LÄN</t>
        </is>
      </c>
      <c r="G583" t="inlineStr">
        <is>
          <t>SMEDJEBACKEN</t>
        </is>
      </c>
      <c r="H583" t="inlineStr">
        <is>
          <t>Bergvik skog väst AB</t>
        </is>
      </c>
      <c r="I583" t="n">
        <v>3</v>
      </c>
      <c r="J583" t="n">
        <v>1</v>
      </c>
      <c r="K583" t="n">
        <v>3</v>
      </c>
      <c r="L583" t="n">
        <v>1</v>
      </c>
      <c r="M583" t="n">
        <v>1</v>
      </c>
      <c r="N583" t="n">
        <v>0</v>
      </c>
      <c r="O583" t="n">
        <v>0</v>
      </c>
      <c r="P583" t="n">
        <v>0</v>
      </c>
      <c r="Q583" t="n">
        <v>2</v>
      </c>
      <c r="R583" t="n">
        <v>1</v>
      </c>
      <c r="S583" t="n">
        <v>5</v>
      </c>
      <c r="T583" t="n">
        <v>6</v>
      </c>
      <c r="U583" t="n">
        <v>6</v>
      </c>
      <c r="V583" s="2" t="inlineStr">
        <is>
          <t>Knärot
Vedskivlav
Barkticka
Vedticka
Vågbandad barkbock</t>
        </is>
      </c>
      <c r="W583">
        <f>HYPERLINK("https://klasma.github.io/Logging_2061/artfynd/A 23498-2024 artfynd.xlsx", "A 23498-2024")</f>
        <v/>
      </c>
      <c r="X583">
        <f>HYPERLINK("https://klasma.github.io/Logging_2061/kartor/A 23498-2024 karta.png", "A 23498-2024")</f>
        <v/>
      </c>
      <c r="Y583">
        <f>HYPERLINK("https://klasma.github.io/Logging_2061/kartor_geotiff/A 23498-2024 georefererad karta.tif", "A 23498-2024")</f>
        <v/>
      </c>
      <c r="Z583">
        <f>HYPERLINK("https://klasma.github.io/Logging_2061/knärot/A 23498-2024 karta knärot.png", "A 23498-2024")</f>
        <v/>
      </c>
      <c r="AA583">
        <f>HYPERLINK("https://klasma.github.io/Logging_2061/klagomål/A 23498-2024 FSC-klagomål.docx", "A 23498-2024")</f>
        <v/>
      </c>
      <c r="AB583">
        <f>HYPERLINK("https://klasma.github.io/Logging_2061/klagomålsmail/A 23498-2024 FSC-klagomål mail.docx", "A 23498-2024")</f>
        <v/>
      </c>
      <c r="AC583">
        <f>HYPERLINK("https://klasma.github.io/Logging_2061/tillsyn/A 23498-2024 tillsynsbegäran.docx", "A 23498-2024")</f>
        <v/>
      </c>
      <c r="AD583">
        <f>HYPERLINK("https://klasma.github.io/Logging_2061/tillsynsmail/A 23498-2024 tillsynsbegäran mail.docx", "A 23498-2024")</f>
        <v/>
      </c>
    </row>
    <row r="584" ht="15" customHeight="1">
      <c r="A584" t="inlineStr">
        <is>
          <t>A 19616-2024</t>
        </is>
      </c>
      <c r="B584" t="inlineStr">
        <is>
          <t>avverkningsanmälan</t>
        </is>
      </c>
      <c r="C584" t="inlineStr">
        <is>
          <t>Föryngringsavverkning</t>
        </is>
      </c>
      <c r="D584" s="1" t="n">
        <v>45432</v>
      </c>
      <c r="E584" s="1" t="n">
        <v>46319</v>
      </c>
      <c r="F584" t="inlineStr">
        <is>
          <t>DALARNAS LÄN</t>
        </is>
      </c>
      <c r="G584" t="inlineStr">
        <is>
          <t>ÄLVDALEN</t>
        </is>
      </c>
      <c r="H584" t="inlineStr">
        <is>
          <t>Sveaskog</t>
        </is>
      </c>
      <c r="I584" t="n">
        <v>6.5</v>
      </c>
      <c r="J584" t="n">
        <v>1</v>
      </c>
      <c r="K584" t="n">
        <v>0</v>
      </c>
      <c r="L584" t="n">
        <v>5</v>
      </c>
      <c r="M584" t="n">
        <v>0</v>
      </c>
      <c r="N584" t="n">
        <v>0</v>
      </c>
      <c r="O584" t="n">
        <v>0</v>
      </c>
      <c r="P584" t="n">
        <v>0</v>
      </c>
      <c r="Q584" t="n">
        <v>5</v>
      </c>
      <c r="R584" t="n">
        <v>0</v>
      </c>
      <c r="S584" t="n">
        <v>5</v>
      </c>
      <c r="T584" t="n">
        <v>9</v>
      </c>
      <c r="U584" t="n">
        <v>9</v>
      </c>
      <c r="V584" s="2" t="inlineStr">
        <is>
          <t>Blanksvart spiklav
Kolflarnlav
Mörk kolflarnlav
Varglav
Vedflamlav</t>
        </is>
      </c>
      <c r="W584">
        <f>HYPERLINK("https://klasma.github.io/Logging_2039/artfynd/A 19616-2024 artfynd.xlsx", "A 19616-2024")</f>
        <v/>
      </c>
      <c r="X584">
        <f>HYPERLINK("https://klasma.github.io/Logging_2039/kartor/A 19616-2024 karta.png", "A 19616-2024")</f>
        <v/>
      </c>
      <c r="Y584">
        <f>HYPERLINK("https://klasma.github.io/Logging_2039/kartor_geotiff/A 19616-2024 georefererad karta.tif", "A 19616-2024")</f>
        <v/>
      </c>
      <c r="AA584">
        <f>HYPERLINK("https://klasma.github.io/Logging_2039/klagomål/A 19616-2024 FSC-klagomål.docx", "A 19616-2024")</f>
        <v/>
      </c>
      <c r="AB584">
        <f>HYPERLINK("https://klasma.github.io/Logging_2039/klagomålsmail/A 19616-2024 FSC-klagomål mail.docx", "A 19616-2024")</f>
        <v/>
      </c>
      <c r="AC584">
        <f>HYPERLINK("https://klasma.github.io/Logging_2039/tillsyn/A 19616-2024 tillsynsbegäran.docx", "A 19616-2024")</f>
        <v/>
      </c>
      <c r="AD584">
        <f>HYPERLINK("https://klasma.github.io/Logging_2039/tillsynsmail/A 19616-2024 tillsynsbegäran mail.docx", "A 19616-2024")</f>
        <v/>
      </c>
    </row>
    <row r="585" ht="15" customHeight="1">
      <c r="A585" t="inlineStr">
        <is>
          <t>S 3189-2022</t>
        </is>
      </c>
      <c r="B585" t="inlineStr">
        <is>
          <t>samrådsanmälan</t>
        </is>
      </c>
      <c r="C585" t="inlineStr">
        <is>
          <t>Askåterföring</t>
        </is>
      </c>
      <c r="D585" s="1" t="n">
        <v>44722</v>
      </c>
      <c r="E585" s="1" t="n">
        <v>46319</v>
      </c>
      <c r="F585" t="inlineStr">
        <is>
          <t>DALARNAS LÄN</t>
        </is>
      </c>
      <c r="G585" t="inlineStr">
        <is>
          <t>MALUNG-SÄLEN</t>
        </is>
      </c>
      <c r="H585" t="inlineStr">
        <is>
          <t>Allmännings- och besparingsskogar</t>
        </is>
      </c>
      <c r="I585" t="n">
        <v>68.09999999999999</v>
      </c>
      <c r="J585" t="n">
        <v>0</v>
      </c>
      <c r="K585" t="n">
        <v>0</v>
      </c>
      <c r="L585" t="n">
        <v>4</v>
      </c>
      <c r="M585" t="n">
        <v>1</v>
      </c>
      <c r="N585" t="n">
        <v>0</v>
      </c>
      <c r="O585" t="n">
        <v>0</v>
      </c>
      <c r="P585" t="n">
        <v>0</v>
      </c>
      <c r="Q585" t="n">
        <v>5</v>
      </c>
      <c r="R585" t="n">
        <v>1</v>
      </c>
      <c r="S585" t="n">
        <v>5</v>
      </c>
      <c r="T585" t="n">
        <v>5</v>
      </c>
      <c r="U585" t="n">
        <v>0</v>
      </c>
      <c r="V585" s="2" t="inlineStr">
        <is>
          <t>Garnlav
Kolflarnlav
Vedflamlav
Vedskivlav
Vedtrappmossa</t>
        </is>
      </c>
      <c r="W585">
        <f>HYPERLINK("https://klasma.github.io/Logging_2023/artfynd/S 3189-2022 artfynd.xlsx", "S 3189-2022")</f>
        <v/>
      </c>
      <c r="X585">
        <f>HYPERLINK("https://klasma.github.io/Logging_2023/kartor/S 3189-2022 karta.png", "S 3189-2022")</f>
        <v/>
      </c>
      <c r="Y585">
        <f>HYPERLINK("https://klasma.github.io/Logging_2023/kartor_geotiff/S 3189-2022 georefererad karta.tif", "S 3189-2022")</f>
        <v/>
      </c>
      <c r="AA585">
        <f>HYPERLINK("https://klasma.github.io/Logging_2023/klagomål/S 3189-2022 FSC-klagomål.docx", "S 3189-2022")</f>
        <v/>
      </c>
      <c r="AB585">
        <f>HYPERLINK("https://klasma.github.io/Logging_2023/klagomålsmail/S 3189-2022 FSC-klagomål mail.docx", "S 3189-2022")</f>
        <v/>
      </c>
      <c r="AC585">
        <f>HYPERLINK("https://klasma.github.io/Logging_2023/tillsyn/S 3189-2022 tillsynsbegäran.docx", "S 3189-2022")</f>
        <v/>
      </c>
      <c r="AD585">
        <f>HYPERLINK("https://klasma.github.io/Logging_2023/tillsynsmail/S 3189-2022 tillsynsbegäran mail.docx", "S 3189-2022")</f>
        <v/>
      </c>
    </row>
    <row r="586" ht="15" customHeight="1">
      <c r="A586" t="inlineStr">
        <is>
          <t>S 4464-2023</t>
        </is>
      </c>
      <c r="B586" t="inlineStr">
        <is>
          <t>samrådsanmälan</t>
        </is>
      </c>
      <c r="C586" t="inlineStr">
        <is>
          <t>Annan skogsbruksåtgärd</t>
        </is>
      </c>
      <c r="D586" s="1" t="n">
        <v>45272</v>
      </c>
      <c r="E586" s="1" t="n">
        <v>46319</v>
      </c>
      <c r="F586" t="inlineStr">
        <is>
          <t>DALARNAS LÄN</t>
        </is>
      </c>
      <c r="G586" t="inlineStr">
        <is>
          <t>LEKSAND</t>
        </is>
      </c>
      <c r="I586" t="n">
        <v>9.4</v>
      </c>
      <c r="J586" t="n">
        <v>2</v>
      </c>
      <c r="K586" t="n">
        <v>0</v>
      </c>
      <c r="L586" t="n">
        <v>3</v>
      </c>
      <c r="M586" t="n">
        <v>1</v>
      </c>
      <c r="N586" t="n">
        <v>1</v>
      </c>
      <c r="O586" t="n">
        <v>0</v>
      </c>
      <c r="P586" t="n">
        <v>0</v>
      </c>
      <c r="Q586" t="n">
        <v>5</v>
      </c>
      <c r="R586" t="n">
        <v>2</v>
      </c>
      <c r="S586" t="n">
        <v>5</v>
      </c>
      <c r="T586" t="n">
        <v>13</v>
      </c>
      <c r="U586" t="n">
        <v>2</v>
      </c>
      <c r="V586" s="2" t="inlineStr">
        <is>
          <t>Mosippa
Lappuggla
Backstarr
Sotnätfjäril
Tallticka</t>
        </is>
      </c>
      <c r="W586">
        <f>HYPERLINK("https://klasma.github.io/Logging_2029/artfynd/S 4464-2023 artfynd.xlsx", "S 4464-2023")</f>
        <v/>
      </c>
      <c r="X586">
        <f>HYPERLINK("https://klasma.github.io/Logging_2029/kartor/S 4464-2023 karta.png", "S 4464-2023")</f>
        <v/>
      </c>
      <c r="Y586">
        <f>HYPERLINK("https://klasma.github.io/Logging_2029/kartor_geotiff/S 4464-2023 georefererad karta.tif", "S 4464-2023")</f>
        <v/>
      </c>
      <c r="AA586">
        <f>HYPERLINK("https://klasma.github.io/Logging_2029/klagomål/S 4464-2023 FSC-klagomål.docx", "S 4464-2023")</f>
        <v/>
      </c>
      <c r="AB586">
        <f>HYPERLINK("https://klasma.github.io/Logging_2029/klagomålsmail/S 4464-2023 FSC-klagomål mail.docx", "S 4464-2023")</f>
        <v/>
      </c>
      <c r="AC586">
        <f>HYPERLINK("https://klasma.github.io/Logging_2029/tillsyn/S 4464-2023 tillsynsbegäran.docx", "S 4464-2023")</f>
        <v/>
      </c>
      <c r="AD586">
        <f>HYPERLINK("https://klasma.github.io/Logging_2029/tillsynsmail/S 4464-2023 tillsynsbegäran mail.docx", "S 4464-2023")</f>
        <v/>
      </c>
      <c r="AE586">
        <f>HYPERLINK("https://klasma.github.io/Logging_2029/fåglar/S 4464-2023 prioriterade fågelarter.docx", "S 4464-2023")</f>
        <v/>
      </c>
    </row>
    <row r="587" ht="15" customHeight="1">
      <c r="A587" t="inlineStr">
        <is>
          <t>S 5083-2024</t>
        </is>
      </c>
      <c r="B587" t="inlineStr">
        <is>
          <t>samrådsanmälan</t>
        </is>
      </c>
      <c r="C587" t="inlineStr">
        <is>
          <t>Annan skogsbruksåtgärd</t>
        </is>
      </c>
      <c r="D587" s="1" t="n">
        <v>45639</v>
      </c>
      <c r="E587" s="1" t="n">
        <v>46319</v>
      </c>
      <c r="F587" t="inlineStr">
        <is>
          <t>DALARNAS LÄN</t>
        </is>
      </c>
      <c r="G587" t="inlineStr">
        <is>
          <t>FALUN</t>
        </is>
      </c>
      <c r="I587" t="n">
        <v>0.9</v>
      </c>
      <c r="J587" t="n">
        <v>1</v>
      </c>
      <c r="K587" t="n">
        <v>1</v>
      </c>
      <c r="L587" t="n">
        <v>2</v>
      </c>
      <c r="M587" t="n">
        <v>2</v>
      </c>
      <c r="N587" t="n">
        <v>0</v>
      </c>
      <c r="O587" t="n">
        <v>0</v>
      </c>
      <c r="P587" t="n">
        <v>0</v>
      </c>
      <c r="Q587" t="n">
        <v>4</v>
      </c>
      <c r="R587" t="n">
        <v>2</v>
      </c>
      <c r="S587" t="n">
        <v>5</v>
      </c>
      <c r="T587" t="n">
        <v>7</v>
      </c>
      <c r="U587" t="n">
        <v>0</v>
      </c>
      <c r="V587" s="2" t="inlineStr">
        <is>
          <t>Garnlav
Knärot
Rynkskinn
Ullticka
Grönpyrola</t>
        </is>
      </c>
      <c r="W587">
        <f>HYPERLINK("https://klasma.github.io/Logging_2080/artfynd/S 5083-2024 artfynd.xlsx", "S 5083-2024")</f>
        <v/>
      </c>
      <c r="X587">
        <f>HYPERLINK("https://klasma.github.io/Logging_2080/kartor/S 5083-2024 karta.png", "S 5083-2024")</f>
        <v/>
      </c>
      <c r="Y587">
        <f>HYPERLINK("https://klasma.github.io/Logging_2080/kartor_geotiff/S 5083-2024 georefererad karta.tif", "S 5083-2024")</f>
        <v/>
      </c>
      <c r="Z587">
        <f>HYPERLINK("https://klasma.github.io/Logging_2080/knärot/S 5083-2024 karta knärot.png", "S 5083-2024")</f>
        <v/>
      </c>
      <c r="AA587">
        <f>HYPERLINK("https://klasma.github.io/Logging_2080/klagomål/S 5083-2024 FSC-klagomål.docx", "S 5083-2024")</f>
        <v/>
      </c>
      <c r="AB587">
        <f>HYPERLINK("https://klasma.github.io/Logging_2080/klagomålsmail/S 5083-2024 FSC-klagomål mail.docx", "S 5083-2024")</f>
        <v/>
      </c>
      <c r="AC587">
        <f>HYPERLINK("https://klasma.github.io/Logging_2080/tillsyn/S 5083-2024 tillsynsbegäran.docx", "S 5083-2024")</f>
        <v/>
      </c>
      <c r="AD587">
        <f>HYPERLINK("https://klasma.github.io/Logging_2080/tillsynsmail/S 5083-2024 tillsynsbegäran mail.docx", "S 5083-2024")</f>
        <v/>
      </c>
    </row>
    <row r="588" ht="15" customHeight="1">
      <c r="A588" t="inlineStr">
        <is>
          <t>S 3447-2025</t>
        </is>
      </c>
      <c r="B588" t="inlineStr">
        <is>
          <t>samrådsanmälan</t>
        </is>
      </c>
      <c r="C588" t="inlineStr">
        <is>
          <t>Skogsgödsling</t>
        </is>
      </c>
      <c r="D588" s="1" t="n">
        <v>45996</v>
      </c>
      <c r="E588" s="1" t="n">
        <v>46319</v>
      </c>
      <c r="F588" t="inlineStr">
        <is>
          <t>DALARNAS LÄN</t>
        </is>
      </c>
      <c r="G588" t="inlineStr">
        <is>
          <t>RÄTTVIK</t>
        </is>
      </c>
      <c r="H588" t="inlineStr">
        <is>
          <t>Bergvik skog väst AB</t>
        </is>
      </c>
      <c r="I588" t="n">
        <v>437.8</v>
      </c>
      <c r="J588" t="n">
        <v>3</v>
      </c>
      <c r="K588" t="n">
        <v>1</v>
      </c>
      <c r="L588" t="n">
        <v>3</v>
      </c>
      <c r="M588" t="n">
        <v>0</v>
      </c>
      <c r="N588" t="n">
        <v>0</v>
      </c>
      <c r="O588" t="n">
        <v>0</v>
      </c>
      <c r="P588" t="n">
        <v>0</v>
      </c>
      <c r="Q588" t="n">
        <v>3</v>
      </c>
      <c r="R588" t="n">
        <v>0</v>
      </c>
      <c r="S588" t="n">
        <v>5</v>
      </c>
      <c r="T588" t="n">
        <v>5</v>
      </c>
      <c r="U588" t="n">
        <v>0</v>
      </c>
      <c r="V588" s="2" t="inlineStr">
        <is>
          <t>Blå taggsvamp
Fjällig taggsvamp s.str.
Lavskrika
Plattlummer
Järpe</t>
        </is>
      </c>
      <c r="W588">
        <f>HYPERLINK("https://klasma.github.io/Logging_2031/artfynd/S 3447-2025 artfynd.xlsx", "S 3447-2025")</f>
        <v/>
      </c>
      <c r="X588">
        <f>HYPERLINK("https://klasma.github.io/Logging_2031/kartor/S 3447-2025 karta.png", "S 3447-2025")</f>
        <v/>
      </c>
      <c r="Y588">
        <f>HYPERLINK("https://klasma.github.io/Logging_2031/kartor_geotiff/S 3447-2025 georefererad karta.tif", "S 3447-2025")</f>
        <v/>
      </c>
      <c r="AA588">
        <f>HYPERLINK("https://klasma.github.io/Logging_2031/klagomål/S 3447-2025 FSC-klagomål.docx", "S 3447-2025")</f>
        <v/>
      </c>
      <c r="AB588">
        <f>HYPERLINK("https://klasma.github.io/Logging_2031/klagomålsmail/S 3447-2025 FSC-klagomål mail.docx", "S 3447-2025")</f>
        <v/>
      </c>
      <c r="AC588">
        <f>HYPERLINK("https://klasma.github.io/Logging_2031/tillsyn/S 3447-2025 tillsynsbegäran.docx", "S 3447-2025")</f>
        <v/>
      </c>
      <c r="AD588">
        <f>HYPERLINK("https://klasma.github.io/Logging_2031/tillsynsmail/S 3447-2025 tillsynsbegäran mail.docx", "S 3447-2025")</f>
        <v/>
      </c>
      <c r="AE588">
        <f>HYPERLINK("https://klasma.github.io/Logging_2031/fåglar/S 3447-2025 prioriterade fågelarter.docx", "S 3447-2025")</f>
        <v/>
      </c>
    </row>
    <row r="589" ht="15" customHeight="1">
      <c r="A589" t="inlineStr">
        <is>
          <t>S 1014-2026</t>
        </is>
      </c>
      <c r="B589" t="inlineStr">
        <is>
          <t>samrådsanmälan</t>
        </is>
      </c>
      <c r="C589" t="inlineStr">
        <is>
          <t>Skogsgödsling</t>
        </is>
      </c>
      <c r="D589" s="1" t="n">
        <v>46121</v>
      </c>
      <c r="E589" s="1" t="n">
        <v>46319</v>
      </c>
      <c r="F589" t="inlineStr">
        <is>
          <t>DALARNAS LÄN</t>
        </is>
      </c>
      <c r="G589" t="inlineStr">
        <is>
          <t>ÄLVDALEN</t>
        </is>
      </c>
      <c r="H589" t="inlineStr">
        <is>
          <t>Allmännings- och besparingsskogar</t>
        </is>
      </c>
      <c r="I589" t="n">
        <v>12.3</v>
      </c>
      <c r="J589" t="n">
        <v>1</v>
      </c>
      <c r="K589" t="n">
        <v>0</v>
      </c>
      <c r="L589" t="n">
        <v>2</v>
      </c>
      <c r="M589" t="n">
        <v>1</v>
      </c>
      <c r="N589" t="n">
        <v>0</v>
      </c>
      <c r="O589" t="n">
        <v>0</v>
      </c>
      <c r="P589" t="n">
        <v>0</v>
      </c>
      <c r="Q589" t="n">
        <v>3</v>
      </c>
      <c r="R589" t="n">
        <v>1</v>
      </c>
      <c r="S589" t="n">
        <v>5</v>
      </c>
      <c r="T589" t="n">
        <v>7</v>
      </c>
      <c r="U589" t="n">
        <v>7</v>
      </c>
      <c r="V589" s="2" t="inlineStr">
        <is>
          <t>Garnlav
Kortskaftad ärgspik
Violettgrå tagellav
Brudborste
Revlummer</t>
        </is>
      </c>
      <c r="W589">
        <f>HYPERLINK("https://klasma.github.io/Logging_2039/artfynd/S 1014-2026 artfynd.xlsx", "S 1014-2026")</f>
        <v/>
      </c>
      <c r="X589">
        <f>HYPERLINK("https://klasma.github.io/Logging_2039/kartor/S 1014-2026 karta.png", "S 1014-2026")</f>
        <v/>
      </c>
      <c r="Y589">
        <f>HYPERLINK("https://klasma.github.io/Logging_2039/kartor_geotiff/S 1014-2026 georefererad karta.tif", "S 1014-2026")</f>
        <v/>
      </c>
      <c r="AA589">
        <f>HYPERLINK("https://klasma.github.io/Logging_2039/klagomål/S 1014-2026 FSC-klagomål.docx", "S 1014-2026")</f>
        <v/>
      </c>
      <c r="AB589">
        <f>HYPERLINK("https://klasma.github.io/Logging_2039/klagomålsmail/S 1014-2026 FSC-klagomål mail.docx", "S 1014-2026")</f>
        <v/>
      </c>
      <c r="AC589">
        <f>HYPERLINK("https://klasma.github.io/Logging_2039/tillsyn/S 1014-2026 tillsynsbegäran.docx", "S 1014-2026")</f>
        <v/>
      </c>
      <c r="AD589">
        <f>HYPERLINK("https://klasma.github.io/Logging_2039/tillsynsmail/S 1014-2026 tillsynsbegäran mail.docx", "S 1014-2026")</f>
        <v/>
      </c>
    </row>
    <row r="590" ht="15" customHeight="1">
      <c r="A590" t="inlineStr">
        <is>
          <t>S 1270-2026</t>
        </is>
      </c>
      <c r="B590" t="inlineStr">
        <is>
          <t>samrådsanmälan</t>
        </is>
      </c>
      <c r="C590" t="inlineStr">
        <is>
          <t>Askåterföring</t>
        </is>
      </c>
      <c r="D590" s="1" t="n">
        <v>46142</v>
      </c>
      <c r="E590" s="1" t="n">
        <v>46319</v>
      </c>
      <c r="F590" t="inlineStr">
        <is>
          <t>DALARNAS LÄN</t>
        </is>
      </c>
      <c r="G590" t="inlineStr">
        <is>
          <t>FALUN</t>
        </is>
      </c>
      <c r="H590" t="inlineStr">
        <is>
          <t>Sveaskog</t>
        </is>
      </c>
      <c r="I590" t="n">
        <v>12</v>
      </c>
      <c r="J590" t="n">
        <v>5</v>
      </c>
      <c r="K590" t="n">
        <v>1</v>
      </c>
      <c r="L590" t="n">
        <v>0</v>
      </c>
      <c r="M590" t="n">
        <v>0</v>
      </c>
      <c r="N590" t="n">
        <v>0</v>
      </c>
      <c r="O590" t="n">
        <v>0</v>
      </c>
      <c r="P590" t="n">
        <v>0</v>
      </c>
      <c r="Q590" t="n">
        <v>0</v>
      </c>
      <c r="R590" t="n">
        <v>0</v>
      </c>
      <c r="S590" t="n">
        <v>5</v>
      </c>
      <c r="T590" t="n">
        <v>7</v>
      </c>
      <c r="U590" t="n">
        <v>0</v>
      </c>
      <c r="V590" s="2" t="inlineStr">
        <is>
          <t>Plattlummer
Tjäder
Kopparödla
Vanlig groda
Fläcknycklar</t>
        </is>
      </c>
      <c r="W590">
        <f>HYPERLINK("https://klasma.github.io/Logging_2080/artfynd/S 1270-2026 artfynd.xlsx", "S 1270-2026")</f>
        <v/>
      </c>
      <c r="X590">
        <f>HYPERLINK("https://klasma.github.io/Logging_2080/kartor/S 1270-2026 karta.png", "S 1270-2026")</f>
        <v/>
      </c>
      <c r="Y590">
        <f>HYPERLINK("https://klasma.github.io/Logging_2080/kartor_geotiff/S 1270-2026 georefererad karta.tif", "S 1270-2026")</f>
        <v/>
      </c>
      <c r="AA590">
        <f>HYPERLINK("https://klasma.github.io/Logging_2080/klagomål/S 1270-2026 FSC-klagomål.docx", "S 1270-2026")</f>
        <v/>
      </c>
      <c r="AB590">
        <f>HYPERLINK("https://klasma.github.io/Logging_2080/klagomålsmail/S 1270-2026 FSC-klagomål mail.docx", "S 1270-2026")</f>
        <v/>
      </c>
      <c r="AC590">
        <f>HYPERLINK("https://klasma.github.io/Logging_2080/tillsyn/S 1270-2026 tillsynsbegäran.docx", "S 1270-2026")</f>
        <v/>
      </c>
      <c r="AD590">
        <f>HYPERLINK("https://klasma.github.io/Logging_2080/tillsynsmail/S 1270-2026 tillsynsbegäran mail.docx", "S 1270-2026")</f>
        <v/>
      </c>
      <c r="AE590">
        <f>HYPERLINK("https://klasma.github.io/Logging_2080/fåglar/S 1270-2026 prioriterade fågelarter.docx", "S 1270-2026")</f>
        <v/>
      </c>
    </row>
    <row r="591" ht="15" customHeight="1">
      <c r="A591" t="inlineStr">
        <is>
          <t>A 34897-2022</t>
        </is>
      </c>
      <c r="B591" t="inlineStr">
        <is>
          <t>avverkningsanmälan</t>
        </is>
      </c>
      <c r="C591" t="inlineStr">
        <is>
          <t>Föryngringsavverkning</t>
        </is>
      </c>
      <c r="D591" s="1" t="n">
        <v>44796</v>
      </c>
      <c r="E591" s="1" t="n">
        <v>46319</v>
      </c>
      <c r="F591" t="inlineStr">
        <is>
          <t>DALARNAS LÄN</t>
        </is>
      </c>
      <c r="G591" t="inlineStr">
        <is>
          <t>MORA</t>
        </is>
      </c>
      <c r="H591" t="inlineStr">
        <is>
          <t>Bergvik skog väst AB</t>
        </is>
      </c>
      <c r="I591" t="n">
        <v>8</v>
      </c>
      <c r="J591" t="n">
        <v>3</v>
      </c>
      <c r="K591" t="n">
        <v>0</v>
      </c>
      <c r="L591" t="n">
        <v>1</v>
      </c>
      <c r="M591" t="n">
        <v>1</v>
      </c>
      <c r="N591" t="n">
        <v>0</v>
      </c>
      <c r="O591" t="n">
        <v>0</v>
      </c>
      <c r="P591" t="n">
        <v>0</v>
      </c>
      <c r="Q591" t="n">
        <v>2</v>
      </c>
      <c r="R591" t="n">
        <v>1</v>
      </c>
      <c r="S591" t="n">
        <v>4</v>
      </c>
      <c r="T591" t="n">
        <v>5</v>
      </c>
      <c r="U591" t="n">
        <v>5</v>
      </c>
      <c r="V591" s="2" t="inlineStr">
        <is>
          <t>Garnlav
Lavskrika
Fläcknycklar
Revlummer</t>
        </is>
      </c>
      <c r="W591">
        <f>HYPERLINK("https://klasma.github.io/Logging_2062/artfynd/A 34897-2022 artfynd.xlsx", "A 34897-2022")</f>
        <v/>
      </c>
      <c r="X591">
        <f>HYPERLINK("https://klasma.github.io/Logging_2062/kartor/A 34897-2022 karta.png", "A 34897-2022")</f>
        <v/>
      </c>
      <c r="Y591">
        <f>HYPERLINK("https://klasma.github.io/Logging_2062/kartor_geotiff/A 34897-2022 georefererad karta.tif", "A 34897-2022")</f>
        <v/>
      </c>
      <c r="AA591">
        <f>HYPERLINK("https://klasma.github.io/Logging_2062/klagomål/A 34897-2022 FSC-klagomål.docx", "A 34897-2022")</f>
        <v/>
      </c>
      <c r="AB591">
        <f>HYPERLINK("https://klasma.github.io/Logging_2062/klagomålsmail/A 34897-2022 FSC-klagomål mail.docx", "A 34897-2022")</f>
        <v/>
      </c>
      <c r="AC591">
        <f>HYPERLINK("https://klasma.github.io/Logging_2062/tillsyn/A 34897-2022 tillsynsbegäran.docx", "A 34897-2022")</f>
        <v/>
      </c>
      <c r="AD591">
        <f>HYPERLINK("https://klasma.github.io/Logging_2062/tillsynsmail/A 34897-2022 tillsynsbegäran mail.docx", "A 34897-2022")</f>
        <v/>
      </c>
      <c r="AE591">
        <f>HYPERLINK("https://klasma.github.io/Logging_2062/fåglar/A 34897-2022 prioriterade fågelarter.docx", "A 34897-2022")</f>
        <v/>
      </c>
    </row>
    <row r="592" ht="15" customHeight="1">
      <c r="A592" t="inlineStr">
        <is>
          <t>A 20167-2022</t>
        </is>
      </c>
      <c r="B592" t="inlineStr">
        <is>
          <t>avverkningsanmälan</t>
        </is>
      </c>
      <c r="C592" t="inlineStr">
        <is>
          <t>Föryngringsavverkning</t>
        </is>
      </c>
      <c r="D592" s="1" t="n">
        <v>44698</v>
      </c>
      <c r="E592" s="1" t="n">
        <v>46319</v>
      </c>
      <c r="F592" t="inlineStr">
        <is>
          <t>DALARNAS LÄN</t>
        </is>
      </c>
      <c r="G592" t="inlineStr">
        <is>
          <t>FALUN</t>
        </is>
      </c>
      <c r="H592" t="inlineStr">
        <is>
          <t>Bergvik skog väst AB</t>
        </is>
      </c>
      <c r="I592" t="n">
        <v>1.1</v>
      </c>
      <c r="J592" t="n">
        <v>0</v>
      </c>
      <c r="K592" t="n">
        <v>1</v>
      </c>
      <c r="L592" t="n">
        <v>2</v>
      </c>
      <c r="M592" t="n">
        <v>1</v>
      </c>
      <c r="N592" t="n">
        <v>0</v>
      </c>
      <c r="O592" t="n">
        <v>0</v>
      </c>
      <c r="P592" t="n">
        <v>0</v>
      </c>
      <c r="Q592" t="n">
        <v>3</v>
      </c>
      <c r="R592" t="n">
        <v>1</v>
      </c>
      <c r="S592" t="n">
        <v>4</v>
      </c>
      <c r="T592" t="n">
        <v>4</v>
      </c>
      <c r="U592" t="n">
        <v>4</v>
      </c>
      <c r="V592" s="2" t="inlineStr">
        <is>
          <t>Garnlav
Kötticka
Vedtrappmossa
Vedticka</t>
        </is>
      </c>
      <c r="W592">
        <f>HYPERLINK("https://klasma.github.io/Logging_2080/artfynd/A 20167-2022 artfynd.xlsx", "A 20167-2022")</f>
        <v/>
      </c>
      <c r="X592">
        <f>HYPERLINK("https://klasma.github.io/Logging_2080/kartor/A 20167-2022 karta.png", "A 20167-2022")</f>
        <v/>
      </c>
      <c r="Y592">
        <f>HYPERLINK("https://klasma.github.io/Logging_2080/kartor_geotiff/A 20167-2022 georefererad karta.tif", "A 20167-2022")</f>
        <v/>
      </c>
      <c r="AA592">
        <f>HYPERLINK("https://klasma.github.io/Logging_2080/klagomål/A 20167-2022 FSC-klagomål.docx", "A 20167-2022")</f>
        <v/>
      </c>
      <c r="AB592">
        <f>HYPERLINK("https://klasma.github.io/Logging_2080/klagomålsmail/A 20167-2022 FSC-klagomål mail.docx", "A 20167-2022")</f>
        <v/>
      </c>
      <c r="AC592">
        <f>HYPERLINK("https://klasma.github.io/Logging_2080/tillsyn/A 20167-2022 tillsynsbegäran.docx", "A 20167-2022")</f>
        <v/>
      </c>
      <c r="AD592">
        <f>HYPERLINK("https://klasma.github.io/Logging_2080/tillsynsmail/A 20167-2022 tillsynsbegäran mail.docx", "A 20167-2022")</f>
        <v/>
      </c>
    </row>
    <row r="593" ht="15" customHeight="1">
      <c r="A593" t="inlineStr">
        <is>
          <t>A 37770-2022</t>
        </is>
      </c>
      <c r="B593" t="inlineStr">
        <is>
          <t>avverkningsanmälan</t>
        </is>
      </c>
      <c r="C593" t="inlineStr">
        <is>
          <t>Avverkning för annat ändamål</t>
        </is>
      </c>
      <c r="D593" s="1" t="n">
        <v>44810</v>
      </c>
      <c r="E593" s="1" t="n">
        <v>46319</v>
      </c>
      <c r="F593" t="inlineStr">
        <is>
          <t>DALARNAS LÄN</t>
        </is>
      </c>
      <c r="G593" t="inlineStr">
        <is>
          <t>MALUNG-SÄLEN</t>
        </is>
      </c>
      <c r="H593" t="inlineStr">
        <is>
          <t>Bergvik skog öst AB</t>
        </is>
      </c>
      <c r="I593" t="n">
        <v>0.8</v>
      </c>
      <c r="J593" t="n">
        <v>0</v>
      </c>
      <c r="K593" t="n">
        <v>1</v>
      </c>
      <c r="L593" t="n">
        <v>2</v>
      </c>
      <c r="M593" t="n">
        <v>1</v>
      </c>
      <c r="N593" t="n">
        <v>0</v>
      </c>
      <c r="O593" t="n">
        <v>0</v>
      </c>
      <c r="P593" t="n">
        <v>0</v>
      </c>
      <c r="Q593" t="n">
        <v>3</v>
      </c>
      <c r="R593" t="n">
        <v>1</v>
      </c>
      <c r="S593" t="n">
        <v>4</v>
      </c>
      <c r="T593" t="n">
        <v>4</v>
      </c>
      <c r="U593" t="n">
        <v>4</v>
      </c>
      <c r="V593" s="2" t="inlineStr">
        <is>
          <t>Garnlav
Dvärgbägarlav
Vedskivlav
Vågbandad barkbock</t>
        </is>
      </c>
      <c r="W593">
        <f>HYPERLINK("https://klasma.github.io/Logging_2023/artfynd/A 37770-2022 artfynd.xlsx", "A 37770-2022")</f>
        <v/>
      </c>
      <c r="X593">
        <f>HYPERLINK("https://klasma.github.io/Logging_2023/kartor/A 37770-2022 karta.png", "A 37770-2022")</f>
        <v/>
      </c>
      <c r="Y593">
        <f>HYPERLINK("https://klasma.github.io/Logging_2023/kartor_geotiff/A 37770-2022 georefererad karta.tif", "A 37770-2022")</f>
        <v/>
      </c>
      <c r="AA593">
        <f>HYPERLINK("https://klasma.github.io/Logging_2023/klagomål/A 37770-2022 FSC-klagomål.docx", "A 37770-2022")</f>
        <v/>
      </c>
      <c r="AB593">
        <f>HYPERLINK("https://klasma.github.io/Logging_2023/klagomålsmail/A 37770-2022 FSC-klagomål mail.docx", "A 37770-2022")</f>
        <v/>
      </c>
      <c r="AC593">
        <f>HYPERLINK("https://klasma.github.io/Logging_2023/tillsyn/A 37770-2022 tillsynsbegäran.docx", "A 37770-2022")</f>
        <v/>
      </c>
      <c r="AD593">
        <f>HYPERLINK("https://klasma.github.io/Logging_2023/tillsynsmail/A 37770-2022 tillsynsbegäran mail.docx", "A 37770-2022")</f>
        <v/>
      </c>
    </row>
    <row r="594" ht="15" customHeight="1">
      <c r="A594" t="inlineStr">
        <is>
          <t>A 62734-2021</t>
        </is>
      </c>
      <c r="B594" t="inlineStr">
        <is>
          <t>avverkningsanmälan</t>
        </is>
      </c>
      <c r="C594" t="inlineStr">
        <is>
          <t>Föryngringsavverkning</t>
        </is>
      </c>
      <c r="D594" s="1" t="n">
        <v>44504</v>
      </c>
      <c r="E594" s="1" t="n">
        <v>46319</v>
      </c>
      <c r="F594" t="inlineStr">
        <is>
          <t>DALARNAS LÄN</t>
        </is>
      </c>
      <c r="G594" t="inlineStr">
        <is>
          <t>VANSBRO</t>
        </is>
      </c>
      <c r="H594" t="inlineStr">
        <is>
          <t>Bergvik skog öst AB</t>
        </is>
      </c>
      <c r="I594" t="n">
        <v>5.6</v>
      </c>
      <c r="J594" t="n">
        <v>0</v>
      </c>
      <c r="K594" t="n">
        <v>1</v>
      </c>
      <c r="L594" t="n">
        <v>3</v>
      </c>
      <c r="M594" t="n">
        <v>0</v>
      </c>
      <c r="N594" t="n">
        <v>0</v>
      </c>
      <c r="O594" t="n">
        <v>0</v>
      </c>
      <c r="P594" t="n">
        <v>0</v>
      </c>
      <c r="Q594" t="n">
        <v>3</v>
      </c>
      <c r="R594" t="n">
        <v>0</v>
      </c>
      <c r="S594" t="n">
        <v>4</v>
      </c>
      <c r="T594" t="n">
        <v>4</v>
      </c>
      <c r="U594" t="n">
        <v>4</v>
      </c>
      <c r="V594" s="2" t="inlineStr">
        <is>
          <t>Doftskinn
Ullticka
Violettgrå tagellav
Stuplav</t>
        </is>
      </c>
      <c r="W594">
        <f>HYPERLINK("https://klasma.github.io/Logging_2021/artfynd/A 62734-2021 artfynd.xlsx", "A 62734-2021")</f>
        <v/>
      </c>
      <c r="X594">
        <f>HYPERLINK("https://klasma.github.io/Logging_2021/kartor/A 62734-2021 karta.png", "A 62734-2021")</f>
        <v/>
      </c>
      <c r="Y594">
        <f>HYPERLINK("https://klasma.github.io/Logging_2021/kartor_geotiff/A 62734-2021 georefererad karta.tif", "A 62734-2021")</f>
        <v/>
      </c>
      <c r="AA594">
        <f>HYPERLINK("https://klasma.github.io/Logging_2021/klagomål/A 62734-2021 FSC-klagomål.docx", "A 62734-2021")</f>
        <v/>
      </c>
      <c r="AB594">
        <f>HYPERLINK("https://klasma.github.io/Logging_2021/klagomålsmail/A 62734-2021 FSC-klagomål mail.docx", "A 62734-2021")</f>
        <v/>
      </c>
      <c r="AC594">
        <f>HYPERLINK("https://klasma.github.io/Logging_2021/tillsyn/A 62734-2021 tillsynsbegäran.docx", "A 62734-2021")</f>
        <v/>
      </c>
      <c r="AD594">
        <f>HYPERLINK("https://klasma.github.io/Logging_2021/tillsynsmail/A 62734-2021 tillsynsbegäran mail.docx", "A 62734-2021")</f>
        <v/>
      </c>
    </row>
    <row r="595" ht="15" customHeight="1">
      <c r="A595" t="inlineStr">
        <is>
          <t>A 39481-2025</t>
        </is>
      </c>
      <c r="B595" t="inlineStr">
        <is>
          <t>avverkningsanmälan</t>
        </is>
      </c>
      <c r="C595" t="inlineStr">
        <is>
          <t>Föryngringsavverkning</t>
        </is>
      </c>
      <c r="D595" s="1" t="n">
        <v>45890</v>
      </c>
      <c r="E595" s="1" t="n">
        <v>46319</v>
      </c>
      <c r="F595" t="inlineStr">
        <is>
          <t>DALARNAS LÄN</t>
        </is>
      </c>
      <c r="G595" t="inlineStr">
        <is>
          <t>MORA</t>
        </is>
      </c>
      <c r="I595" t="n">
        <v>0.6</v>
      </c>
      <c r="J595" t="n">
        <v>2</v>
      </c>
      <c r="K595" t="n">
        <v>0</v>
      </c>
      <c r="L595" t="n">
        <v>2</v>
      </c>
      <c r="M595" t="n">
        <v>1</v>
      </c>
      <c r="N595" t="n">
        <v>0</v>
      </c>
      <c r="O595" t="n">
        <v>0</v>
      </c>
      <c r="P595" t="n">
        <v>0</v>
      </c>
      <c r="Q595" t="n">
        <v>3</v>
      </c>
      <c r="R595" t="n">
        <v>1</v>
      </c>
      <c r="S595" t="n">
        <v>4</v>
      </c>
      <c r="T595" t="n">
        <v>23</v>
      </c>
      <c r="U595" t="n">
        <v>23</v>
      </c>
      <c r="V595" s="2" t="inlineStr">
        <is>
          <t>Garnlav
Tretåig hackspett
Vedskivlav
Spillkråka</t>
        </is>
      </c>
      <c r="W595">
        <f>HYPERLINK("https://klasma.github.io/Logging_2062/artfynd/A 39481-2025 artfynd.xlsx", "A 39481-2025")</f>
        <v/>
      </c>
      <c r="X595">
        <f>HYPERLINK("https://klasma.github.io/Logging_2062/kartor/A 39481-2025 karta.png", "A 39481-2025")</f>
        <v/>
      </c>
      <c r="Y595">
        <f>HYPERLINK("https://klasma.github.io/Logging_2062/kartor_geotiff/A 39481-2025 georefererad karta.tif", "A 39481-2025")</f>
        <v/>
      </c>
      <c r="AA595">
        <f>HYPERLINK("https://klasma.github.io/Logging_2062/klagomål/A 39481-2025 FSC-klagomål.docx", "A 39481-2025")</f>
        <v/>
      </c>
      <c r="AB595">
        <f>HYPERLINK("https://klasma.github.io/Logging_2062/klagomålsmail/A 39481-2025 FSC-klagomål mail.docx", "A 39481-2025")</f>
        <v/>
      </c>
      <c r="AC595">
        <f>HYPERLINK("https://klasma.github.io/Logging_2062/tillsyn/A 39481-2025 tillsynsbegäran.docx", "A 39481-2025")</f>
        <v/>
      </c>
      <c r="AD595">
        <f>HYPERLINK("https://klasma.github.io/Logging_2062/tillsynsmail/A 39481-2025 tillsynsbegäran mail.docx", "A 39481-2025")</f>
        <v/>
      </c>
      <c r="AE595">
        <f>HYPERLINK("https://klasma.github.io/Logging_2062/fåglar/A 39481-2025 prioriterade fågelarter.docx", "A 39481-2025")</f>
        <v/>
      </c>
    </row>
    <row r="596" ht="15" customHeight="1">
      <c r="A596" t="inlineStr">
        <is>
          <t>A 42492-2025</t>
        </is>
      </c>
      <c r="B596" t="inlineStr">
        <is>
          <t>avverkningsanmälan</t>
        </is>
      </c>
      <c r="C596" t="inlineStr">
        <is>
          <t>Föryngringsavverkning</t>
        </is>
      </c>
      <c r="D596" s="1" t="n">
        <v>45904</v>
      </c>
      <c r="E596" s="1" t="n">
        <v>46319</v>
      </c>
      <c r="F596" t="inlineStr">
        <is>
          <t>DALARNAS LÄN</t>
        </is>
      </c>
      <c r="G596" t="inlineStr">
        <is>
          <t>SÄTER</t>
        </is>
      </c>
      <c r="H596" t="inlineStr">
        <is>
          <t>Bergvik skog väst AB</t>
        </is>
      </c>
      <c r="I596" t="n">
        <v>14.9</v>
      </c>
      <c r="J596" t="n">
        <v>1</v>
      </c>
      <c r="K596" t="n">
        <v>1</v>
      </c>
      <c r="L596" t="n">
        <v>2</v>
      </c>
      <c r="M596" t="n">
        <v>0</v>
      </c>
      <c r="N596" t="n">
        <v>0</v>
      </c>
      <c r="O596" t="n">
        <v>0</v>
      </c>
      <c r="P596" t="n">
        <v>0</v>
      </c>
      <c r="Q596" t="n">
        <v>2</v>
      </c>
      <c r="R596" t="n">
        <v>0</v>
      </c>
      <c r="S596" t="n">
        <v>4</v>
      </c>
      <c r="T596" t="n">
        <v>4</v>
      </c>
      <c r="U596" t="n">
        <v>3</v>
      </c>
      <c r="V596" s="2" t="inlineStr">
        <is>
          <t>Rynkskinn
Ullticka
Stuplav
Kungsfågel</t>
        </is>
      </c>
      <c r="W596">
        <f>HYPERLINK("https://klasma.github.io/Logging_2082/artfynd/A 42492-2025 artfynd.xlsx", "A 42492-2025")</f>
        <v/>
      </c>
      <c r="X596">
        <f>HYPERLINK("https://klasma.github.io/Logging_2082/kartor/A 42492-2025 karta.png", "A 42492-2025")</f>
        <v/>
      </c>
      <c r="Y596">
        <f>HYPERLINK("https://klasma.github.io/Logging_2082/kartor_geotiff/A 42492-2025 georefererad karta.tif", "A 42492-2025")</f>
        <v/>
      </c>
      <c r="AA596">
        <f>HYPERLINK("https://klasma.github.io/Logging_2082/klagomål/A 42492-2025 FSC-klagomål.docx", "A 42492-2025")</f>
        <v/>
      </c>
      <c r="AB596">
        <f>HYPERLINK("https://klasma.github.io/Logging_2082/klagomålsmail/A 42492-2025 FSC-klagomål mail.docx", "A 42492-2025")</f>
        <v/>
      </c>
      <c r="AC596">
        <f>HYPERLINK("https://klasma.github.io/Logging_2082/tillsyn/A 42492-2025 tillsynsbegäran.docx", "A 42492-2025")</f>
        <v/>
      </c>
      <c r="AD596">
        <f>HYPERLINK("https://klasma.github.io/Logging_2082/tillsynsmail/A 42492-2025 tillsynsbegäran mail.docx", "A 42492-2025")</f>
        <v/>
      </c>
    </row>
    <row r="597" ht="15" customHeight="1">
      <c r="A597" t="inlineStr">
        <is>
          <t>A 1251-2022</t>
        </is>
      </c>
      <c r="B597" t="inlineStr">
        <is>
          <t>avverkningsanmälan</t>
        </is>
      </c>
      <c r="C597" t="inlineStr">
        <is>
          <t>Föryngringsavverkning</t>
        </is>
      </c>
      <c r="D597" s="1" t="n">
        <v>44572</v>
      </c>
      <c r="E597" s="1" t="n">
        <v>46319</v>
      </c>
      <c r="F597" t="inlineStr">
        <is>
          <t>DALARNAS LÄN</t>
        </is>
      </c>
      <c r="G597" t="inlineStr">
        <is>
          <t>RÄTTVIK</t>
        </is>
      </c>
      <c r="I597" t="n">
        <v>2.4</v>
      </c>
      <c r="J597" t="n">
        <v>4</v>
      </c>
      <c r="K597" t="n">
        <v>0</v>
      </c>
      <c r="L597" t="n">
        <v>2</v>
      </c>
      <c r="M597" t="n">
        <v>0</v>
      </c>
      <c r="N597" t="n">
        <v>0</v>
      </c>
      <c r="O597" t="n">
        <v>0</v>
      </c>
      <c r="P597" t="n">
        <v>0</v>
      </c>
      <c r="Q597" t="n">
        <v>2</v>
      </c>
      <c r="R597" t="n">
        <v>0</v>
      </c>
      <c r="S597" t="n">
        <v>4</v>
      </c>
      <c r="T597" t="n">
        <v>4</v>
      </c>
      <c r="U597" t="n">
        <v>4</v>
      </c>
      <c r="V597" s="2" t="inlineStr">
        <is>
          <t>Björktrast
Sparvuggla
Järpe
Grönsiska</t>
        </is>
      </c>
      <c r="W597">
        <f>HYPERLINK("https://klasma.github.io/Logging_2031/artfynd/A 1251-2022 artfynd.xlsx", "A 1251-2022")</f>
        <v/>
      </c>
      <c r="X597">
        <f>HYPERLINK("https://klasma.github.io/Logging_2031/kartor/A 1251-2022 karta.png", "A 1251-2022")</f>
        <v/>
      </c>
      <c r="Y597">
        <f>HYPERLINK("https://klasma.github.io/Logging_2031/kartor_geotiff/A 1251-2022 georefererad karta.tif", "A 1251-2022")</f>
        <v/>
      </c>
      <c r="AA597">
        <f>HYPERLINK("https://klasma.github.io/Logging_2031/klagomål/A 1251-2022 FSC-klagomål.docx", "A 1251-2022")</f>
        <v/>
      </c>
      <c r="AB597">
        <f>HYPERLINK("https://klasma.github.io/Logging_2031/klagomålsmail/A 1251-2022 FSC-klagomål mail.docx", "A 1251-2022")</f>
        <v/>
      </c>
      <c r="AC597">
        <f>HYPERLINK("https://klasma.github.io/Logging_2031/tillsyn/A 1251-2022 tillsynsbegäran.docx", "A 1251-2022")</f>
        <v/>
      </c>
      <c r="AD597">
        <f>HYPERLINK("https://klasma.github.io/Logging_2031/tillsynsmail/A 1251-2022 tillsynsbegäran mail.docx", "A 1251-2022")</f>
        <v/>
      </c>
      <c r="AE597">
        <f>HYPERLINK("https://klasma.github.io/Logging_2031/fåglar/A 1251-2022 prioriterade fågelarter.docx", "A 1251-2022")</f>
        <v/>
      </c>
    </row>
    <row r="598" ht="15" customHeight="1">
      <c r="A598" t="inlineStr">
        <is>
          <t>A 46721-2025</t>
        </is>
      </c>
      <c r="B598" t="inlineStr">
        <is>
          <t>avverkningsanmälan</t>
        </is>
      </c>
      <c r="C598" t="inlineStr">
        <is>
          <t>Föryngringsavverkning</t>
        </is>
      </c>
      <c r="D598" s="1" t="n">
        <v>45926</v>
      </c>
      <c r="E598" s="1" t="n">
        <v>46319</v>
      </c>
      <c r="F598" t="inlineStr">
        <is>
          <t>DALARNAS LÄN</t>
        </is>
      </c>
      <c r="G598" t="inlineStr">
        <is>
          <t>LUDVIKA</t>
        </is>
      </c>
      <c r="H598" t="inlineStr">
        <is>
          <t>Bergvik skog väst AB</t>
        </is>
      </c>
      <c r="I598" t="n">
        <v>8.800000000000001</v>
      </c>
      <c r="J598" t="n">
        <v>3</v>
      </c>
      <c r="K598" t="n">
        <v>0</v>
      </c>
      <c r="L598" t="n">
        <v>3</v>
      </c>
      <c r="M598" t="n">
        <v>0</v>
      </c>
      <c r="N598" t="n">
        <v>0</v>
      </c>
      <c r="O598" t="n">
        <v>0</v>
      </c>
      <c r="P598" t="n">
        <v>0</v>
      </c>
      <c r="Q598" t="n">
        <v>3</v>
      </c>
      <c r="R598" t="n">
        <v>0</v>
      </c>
      <c r="S598" t="n">
        <v>4</v>
      </c>
      <c r="T598" t="n">
        <v>5</v>
      </c>
      <c r="U598" t="n">
        <v>4</v>
      </c>
      <c r="V598" s="2" t="inlineStr">
        <is>
          <t>Talltita
Tretåig hackspett
Vedskivlav
Järpe</t>
        </is>
      </c>
      <c r="W598">
        <f>HYPERLINK("https://klasma.github.io/Logging_2085/artfynd/A 46721-2025 artfynd.xlsx", "A 46721-2025")</f>
        <v/>
      </c>
      <c r="X598">
        <f>HYPERLINK("https://klasma.github.io/Logging_2085/kartor/A 46721-2025 karta.png", "A 46721-2025")</f>
        <v/>
      </c>
      <c r="Y598">
        <f>HYPERLINK("https://klasma.github.io/Logging_2085/kartor_geotiff/A 46721-2025 georefererad karta.tif", "A 46721-2025")</f>
        <v/>
      </c>
      <c r="AA598">
        <f>HYPERLINK("https://klasma.github.io/Logging_2085/klagomål/A 46721-2025 FSC-klagomål.docx", "A 46721-2025")</f>
        <v/>
      </c>
      <c r="AB598">
        <f>HYPERLINK("https://klasma.github.io/Logging_2085/klagomålsmail/A 46721-2025 FSC-klagomål mail.docx", "A 46721-2025")</f>
        <v/>
      </c>
      <c r="AC598">
        <f>HYPERLINK("https://klasma.github.io/Logging_2085/tillsyn/A 46721-2025 tillsynsbegäran.docx", "A 46721-2025")</f>
        <v/>
      </c>
      <c r="AD598">
        <f>HYPERLINK("https://klasma.github.io/Logging_2085/tillsynsmail/A 46721-2025 tillsynsbegäran mail.docx", "A 46721-2025")</f>
        <v/>
      </c>
      <c r="AE598">
        <f>HYPERLINK("https://klasma.github.io/Logging_2085/fåglar/A 46721-2025 prioriterade fågelarter.docx", "A 46721-2025")</f>
        <v/>
      </c>
    </row>
    <row r="599" ht="15" customHeight="1">
      <c r="A599" t="inlineStr">
        <is>
          <t>A 47601-2025</t>
        </is>
      </c>
      <c r="B599" t="inlineStr">
        <is>
          <t>avverkningsanmälan</t>
        </is>
      </c>
      <c r="C599" t="inlineStr">
        <is>
          <t>Föryngringsavverkning</t>
        </is>
      </c>
      <c r="D599" s="1" t="n">
        <v>45931</v>
      </c>
      <c r="E599" s="1" t="n">
        <v>46319</v>
      </c>
      <c r="F599" t="inlineStr">
        <is>
          <t>DALARNAS LÄN</t>
        </is>
      </c>
      <c r="G599" t="inlineStr">
        <is>
          <t>LEKSAND</t>
        </is>
      </c>
      <c r="I599" t="n">
        <v>1.9</v>
      </c>
      <c r="J599" t="n">
        <v>3</v>
      </c>
      <c r="K599" t="n">
        <v>1</v>
      </c>
      <c r="L599" t="n">
        <v>2</v>
      </c>
      <c r="M599" t="n">
        <v>0</v>
      </c>
      <c r="N599" t="n">
        <v>0</v>
      </c>
      <c r="O599" t="n">
        <v>0</v>
      </c>
      <c r="P599" t="n">
        <v>0</v>
      </c>
      <c r="Q599" t="n">
        <v>2</v>
      </c>
      <c r="R599" t="n">
        <v>0</v>
      </c>
      <c r="S599" t="n">
        <v>4</v>
      </c>
      <c r="T599" t="n">
        <v>4</v>
      </c>
      <c r="U599" t="n">
        <v>3</v>
      </c>
      <c r="V599" s="2" t="inlineStr">
        <is>
          <t>Brunlångöra
Nordfladdermus
Vågbandad barkbock
Mattlummer</t>
        </is>
      </c>
      <c r="W599">
        <f>HYPERLINK("https://klasma.github.io/Logging_2029/artfynd/A 47601-2025 artfynd.xlsx", "A 47601-2025")</f>
        <v/>
      </c>
      <c r="X599">
        <f>HYPERLINK("https://klasma.github.io/Logging_2029/kartor/A 47601-2025 karta.png", "A 47601-2025")</f>
        <v/>
      </c>
      <c r="Y599">
        <f>HYPERLINK("https://klasma.github.io/Logging_2029/kartor_geotiff/A 47601-2025 georefererad karta.tif", "A 47601-2025")</f>
        <v/>
      </c>
      <c r="AA599">
        <f>HYPERLINK("https://klasma.github.io/Logging_2029/klagomål/A 47601-2025 FSC-klagomål.docx", "A 47601-2025")</f>
        <v/>
      </c>
      <c r="AB599">
        <f>HYPERLINK("https://klasma.github.io/Logging_2029/klagomålsmail/A 47601-2025 FSC-klagomål mail.docx", "A 47601-2025")</f>
        <v/>
      </c>
      <c r="AC599">
        <f>HYPERLINK("https://klasma.github.io/Logging_2029/tillsyn/A 47601-2025 tillsynsbegäran.docx", "A 47601-2025")</f>
        <v/>
      </c>
      <c r="AD599">
        <f>HYPERLINK("https://klasma.github.io/Logging_2029/tillsynsmail/A 47601-2025 tillsynsbegäran mail.docx", "A 47601-2025")</f>
        <v/>
      </c>
    </row>
    <row r="600" ht="15" customHeight="1">
      <c r="A600" t="inlineStr">
        <is>
          <t>A 59462-2023</t>
        </is>
      </c>
      <c r="B600" t="inlineStr">
        <is>
          <t>avverkningsanmälan</t>
        </is>
      </c>
      <c r="C600" t="inlineStr">
        <is>
          <t>Föryngringsavverkning</t>
        </is>
      </c>
      <c r="D600" s="1" t="n">
        <v>45254</v>
      </c>
      <c r="E600" s="1" t="n">
        <v>46319</v>
      </c>
      <c r="F600" t="inlineStr">
        <is>
          <t>DALARNAS LÄN</t>
        </is>
      </c>
      <c r="G600" t="inlineStr">
        <is>
          <t>AVESTA</t>
        </is>
      </c>
      <c r="I600" t="n">
        <v>7.7</v>
      </c>
      <c r="J600" t="n">
        <v>3</v>
      </c>
      <c r="K600" t="n">
        <v>1</v>
      </c>
      <c r="L600" t="n">
        <v>1</v>
      </c>
      <c r="M600" t="n">
        <v>0</v>
      </c>
      <c r="N600" t="n">
        <v>0</v>
      </c>
      <c r="O600" t="n">
        <v>0</v>
      </c>
      <c r="P600" t="n">
        <v>0</v>
      </c>
      <c r="Q600" t="n">
        <v>1</v>
      </c>
      <c r="R600" t="n">
        <v>0</v>
      </c>
      <c r="S600" t="n">
        <v>4</v>
      </c>
      <c r="T600" t="n">
        <v>4</v>
      </c>
      <c r="U600" t="n">
        <v>4</v>
      </c>
      <c r="V600" s="2" t="inlineStr">
        <is>
          <t>Ullticka
Plattlummer
Mattlummer
Fläcknycklar</t>
        </is>
      </c>
      <c r="W600">
        <f>HYPERLINK("https://klasma.github.io/Logging_2084/artfynd/A 59462-2023 artfynd.xlsx", "A 59462-2023")</f>
        <v/>
      </c>
      <c r="X600">
        <f>HYPERLINK("https://klasma.github.io/Logging_2084/kartor/A 59462-2023 karta.png", "A 59462-2023")</f>
        <v/>
      </c>
      <c r="Y600">
        <f>HYPERLINK("https://klasma.github.io/Logging_2084/kartor_geotiff/A 59462-2023 georefererad karta.tif", "A 59462-2023")</f>
        <v/>
      </c>
      <c r="AA600">
        <f>HYPERLINK("https://klasma.github.io/Logging_2084/klagomål/A 59462-2023 FSC-klagomål.docx", "A 59462-2023")</f>
        <v/>
      </c>
      <c r="AB600">
        <f>HYPERLINK("https://klasma.github.io/Logging_2084/klagomålsmail/A 59462-2023 FSC-klagomål mail.docx", "A 59462-2023")</f>
        <v/>
      </c>
      <c r="AC600">
        <f>HYPERLINK("https://klasma.github.io/Logging_2084/tillsyn/A 59462-2023 tillsynsbegäran.docx", "A 59462-2023")</f>
        <v/>
      </c>
      <c r="AD600">
        <f>HYPERLINK("https://klasma.github.io/Logging_2084/tillsynsmail/A 59462-2023 tillsynsbegäran mail.docx", "A 59462-2023")</f>
        <v/>
      </c>
    </row>
    <row r="601" ht="15" customHeight="1">
      <c r="A601" t="inlineStr">
        <is>
          <t>A 41921-2022</t>
        </is>
      </c>
      <c r="B601" t="inlineStr">
        <is>
          <t>avverkningsanmälan</t>
        </is>
      </c>
      <c r="C601" t="inlineStr">
        <is>
          <t>Föryngringsavverkning</t>
        </is>
      </c>
      <c r="D601" s="1" t="n">
        <v>44830</v>
      </c>
      <c r="E601" s="1" t="n">
        <v>46319</v>
      </c>
      <c r="F601" t="inlineStr">
        <is>
          <t>DALARNAS LÄN</t>
        </is>
      </c>
      <c r="G601" t="inlineStr">
        <is>
          <t>ÄLVDALEN</t>
        </is>
      </c>
      <c r="H601" t="inlineStr">
        <is>
          <t>Sveaskog</t>
        </is>
      </c>
      <c r="I601" t="n">
        <v>5.4</v>
      </c>
      <c r="J601" t="n">
        <v>2</v>
      </c>
      <c r="K601" t="n">
        <v>0</v>
      </c>
      <c r="L601" t="n">
        <v>3</v>
      </c>
      <c r="M601" t="n">
        <v>0</v>
      </c>
      <c r="N601" t="n">
        <v>0</v>
      </c>
      <c r="O601" t="n">
        <v>0</v>
      </c>
      <c r="P601" t="n">
        <v>0</v>
      </c>
      <c r="Q601" t="n">
        <v>3</v>
      </c>
      <c r="R601" t="n">
        <v>0</v>
      </c>
      <c r="S601" t="n">
        <v>4</v>
      </c>
      <c r="T601" t="n">
        <v>4</v>
      </c>
      <c r="U601" t="n">
        <v>4</v>
      </c>
      <c r="V601" s="2" t="inlineStr">
        <is>
          <t>Blågrå svartspik
Tretåig hackspett
Vedskivlav
Tjäder</t>
        </is>
      </c>
      <c r="W601">
        <f>HYPERLINK("https://klasma.github.io/Logging_2039/artfynd/A 41921-2022 artfynd.xlsx", "A 41921-2022")</f>
        <v/>
      </c>
      <c r="X601">
        <f>HYPERLINK("https://klasma.github.io/Logging_2039/kartor/A 41921-2022 karta.png", "A 41921-2022")</f>
        <v/>
      </c>
      <c r="Y601">
        <f>HYPERLINK("https://klasma.github.io/Logging_2039/kartor_geotiff/A 41921-2022 georefererad karta.tif", "A 41921-2022")</f>
        <v/>
      </c>
      <c r="AA601">
        <f>HYPERLINK("https://klasma.github.io/Logging_2039/klagomål/A 41921-2022 FSC-klagomål.docx", "A 41921-2022")</f>
        <v/>
      </c>
      <c r="AB601">
        <f>HYPERLINK("https://klasma.github.io/Logging_2039/klagomålsmail/A 41921-2022 FSC-klagomål mail.docx", "A 41921-2022")</f>
        <v/>
      </c>
      <c r="AC601">
        <f>HYPERLINK("https://klasma.github.io/Logging_2039/tillsyn/A 41921-2022 tillsynsbegäran.docx", "A 41921-2022")</f>
        <v/>
      </c>
      <c r="AD601">
        <f>HYPERLINK("https://klasma.github.io/Logging_2039/tillsynsmail/A 41921-2022 tillsynsbegäran mail.docx", "A 41921-2022")</f>
        <v/>
      </c>
      <c r="AE601">
        <f>HYPERLINK("https://klasma.github.io/Logging_2039/fåglar/A 41921-2022 prioriterade fågelarter.docx", "A 41921-2022")</f>
        <v/>
      </c>
    </row>
    <row r="602" ht="15" customHeight="1">
      <c r="A602" t="inlineStr">
        <is>
          <t>A 49125-2025</t>
        </is>
      </c>
      <c r="B602" t="inlineStr">
        <is>
          <t>avverkningsanmälan</t>
        </is>
      </c>
      <c r="C602" t="inlineStr">
        <is>
          <t>Föryngringsavverkning</t>
        </is>
      </c>
      <c r="D602" s="1" t="n">
        <v>45937</v>
      </c>
      <c r="E602" s="1" t="n">
        <v>46319</v>
      </c>
      <c r="F602" t="inlineStr">
        <is>
          <t>DALARNAS LÄN</t>
        </is>
      </c>
      <c r="G602" t="inlineStr">
        <is>
          <t>ÄLVDALEN</t>
        </is>
      </c>
      <c r="H602" t="inlineStr">
        <is>
          <t>Sveaskog</t>
        </is>
      </c>
      <c r="I602" t="n">
        <v>1.8</v>
      </c>
      <c r="J602" t="n">
        <v>0</v>
      </c>
      <c r="K602" t="n">
        <v>0</v>
      </c>
      <c r="L602" t="n">
        <v>3</v>
      </c>
      <c r="M602" t="n">
        <v>1</v>
      </c>
      <c r="N602" t="n">
        <v>0</v>
      </c>
      <c r="O602" t="n">
        <v>0</v>
      </c>
      <c r="P602" t="n">
        <v>0</v>
      </c>
      <c r="Q602" t="n">
        <v>4</v>
      </c>
      <c r="R602" t="n">
        <v>1</v>
      </c>
      <c r="S602" t="n">
        <v>4</v>
      </c>
      <c r="T602" t="n">
        <v>4</v>
      </c>
      <c r="U602" t="n">
        <v>0</v>
      </c>
      <c r="V602" s="2" t="inlineStr">
        <is>
          <t>Garnlav
Blanksvart spiklav
Kolflarnlav
Mörk kolflarnlav</t>
        </is>
      </c>
      <c r="W602">
        <f>HYPERLINK("https://klasma.github.io/Logging_2039/artfynd/A 49125-2025 artfynd.xlsx", "A 49125-2025")</f>
        <v/>
      </c>
      <c r="X602">
        <f>HYPERLINK("https://klasma.github.io/Logging_2039/kartor/A 49125-2025 karta.png", "A 49125-2025")</f>
        <v/>
      </c>
      <c r="Y602">
        <f>HYPERLINK("https://klasma.github.io/Logging_2039/kartor_geotiff/A 49125-2025 georefererad karta.tif", "A 49125-2025")</f>
        <v/>
      </c>
      <c r="AA602">
        <f>HYPERLINK("https://klasma.github.io/Logging_2039/klagomål/A 49125-2025 FSC-klagomål.docx", "A 49125-2025")</f>
        <v/>
      </c>
      <c r="AB602">
        <f>HYPERLINK("https://klasma.github.io/Logging_2039/klagomålsmail/A 49125-2025 FSC-klagomål mail.docx", "A 49125-2025")</f>
        <v/>
      </c>
      <c r="AC602">
        <f>HYPERLINK("https://klasma.github.io/Logging_2039/tillsyn/A 49125-2025 tillsynsbegäran.docx", "A 49125-2025")</f>
        <v/>
      </c>
      <c r="AD602">
        <f>HYPERLINK("https://klasma.github.io/Logging_2039/tillsynsmail/A 49125-2025 tillsynsbegäran mail.docx", "A 49125-2025")</f>
        <v/>
      </c>
    </row>
    <row r="603" ht="15" customHeight="1">
      <c r="A603" t="inlineStr">
        <is>
          <t>A 49835-2025</t>
        </is>
      </c>
      <c r="B603" t="inlineStr">
        <is>
          <t>avverkningsanmälan</t>
        </is>
      </c>
      <c r="C603" t="inlineStr">
        <is>
          <t>Föryngringsavverkning</t>
        </is>
      </c>
      <c r="D603" s="1" t="n">
        <v>45940</v>
      </c>
      <c r="E603" s="1" t="n">
        <v>46319</v>
      </c>
      <c r="F603" t="inlineStr">
        <is>
          <t>DALARNAS LÄN</t>
        </is>
      </c>
      <c r="G603" t="inlineStr">
        <is>
          <t>BORLÄNGE</t>
        </is>
      </c>
      <c r="H603" t="inlineStr">
        <is>
          <t>Bergvik skog väst AB</t>
        </is>
      </c>
      <c r="I603" t="n">
        <v>5.6</v>
      </c>
      <c r="J603" t="n">
        <v>1</v>
      </c>
      <c r="K603" t="n">
        <v>1</v>
      </c>
      <c r="L603" t="n">
        <v>2</v>
      </c>
      <c r="M603" t="n">
        <v>1</v>
      </c>
      <c r="N603" t="n">
        <v>0</v>
      </c>
      <c r="O603" t="n">
        <v>0</v>
      </c>
      <c r="P603" t="n">
        <v>0</v>
      </c>
      <c r="Q603" t="n">
        <v>3</v>
      </c>
      <c r="R603" t="n">
        <v>1</v>
      </c>
      <c r="S603" t="n">
        <v>4</v>
      </c>
      <c r="T603" t="n">
        <v>8</v>
      </c>
      <c r="U603" t="n">
        <v>6</v>
      </c>
      <c r="V603" s="2" t="inlineStr">
        <is>
          <t>Knärot
Dropptaggsvamp
Fjällig taggsvamp s.str.
Mindre märgborre</t>
        </is>
      </c>
      <c r="W603">
        <f>HYPERLINK("https://klasma.github.io/Logging_2081/artfynd/A 49835-2025 artfynd.xlsx", "A 49835-2025")</f>
        <v/>
      </c>
      <c r="X603">
        <f>HYPERLINK("https://klasma.github.io/Logging_2081/kartor/A 49835-2025 karta.png", "A 49835-2025")</f>
        <v/>
      </c>
      <c r="Y603">
        <f>HYPERLINK("https://klasma.github.io/Logging_2081/kartor_geotiff/A 49835-2025 georefererad karta.tif", "A 49835-2025")</f>
        <v/>
      </c>
      <c r="Z603">
        <f>HYPERLINK("https://klasma.github.io/Logging_2081/knärot/A 49835-2025 karta knärot.png", "A 49835-2025")</f>
        <v/>
      </c>
      <c r="AA603">
        <f>HYPERLINK("https://klasma.github.io/Logging_2081/klagomål/A 49835-2025 FSC-klagomål.docx", "A 49835-2025")</f>
        <v/>
      </c>
      <c r="AB603">
        <f>HYPERLINK("https://klasma.github.io/Logging_2081/klagomålsmail/A 49835-2025 FSC-klagomål mail.docx", "A 49835-2025")</f>
        <v/>
      </c>
      <c r="AC603">
        <f>HYPERLINK("https://klasma.github.io/Logging_2081/tillsyn/A 49835-2025 tillsynsbegäran.docx", "A 49835-2025")</f>
        <v/>
      </c>
      <c r="AD603">
        <f>HYPERLINK("https://klasma.github.io/Logging_2081/tillsynsmail/A 49835-2025 tillsynsbegäran mail.docx", "A 49835-2025")</f>
        <v/>
      </c>
    </row>
    <row r="604" ht="15" customHeight="1">
      <c r="A604" t="inlineStr">
        <is>
          <t>A 50681-2025</t>
        </is>
      </c>
      <c r="B604" t="inlineStr">
        <is>
          <t>avverkningsanmälan</t>
        </is>
      </c>
      <c r="C604" t="inlineStr">
        <is>
          <t>Föryngringsavverkning</t>
        </is>
      </c>
      <c r="D604" s="1" t="n">
        <v>45945</v>
      </c>
      <c r="E604" s="1" t="n">
        <v>46319</v>
      </c>
      <c r="F604" t="inlineStr">
        <is>
          <t>DALARNAS LÄN</t>
        </is>
      </c>
      <c r="G604" t="inlineStr">
        <is>
          <t>SMEDJEBACKEN</t>
        </is>
      </c>
      <c r="H604" t="inlineStr">
        <is>
          <t>Bergvik skog väst AB</t>
        </is>
      </c>
      <c r="I604" t="n">
        <v>5.2</v>
      </c>
      <c r="J604" t="n">
        <v>0</v>
      </c>
      <c r="K604" t="n">
        <v>2</v>
      </c>
      <c r="L604" t="n">
        <v>1</v>
      </c>
      <c r="M604" t="n">
        <v>1</v>
      </c>
      <c r="N604" t="n">
        <v>0</v>
      </c>
      <c r="O604" t="n">
        <v>0</v>
      </c>
      <c r="P604" t="n">
        <v>0</v>
      </c>
      <c r="Q604" t="n">
        <v>2</v>
      </c>
      <c r="R604" t="n">
        <v>1</v>
      </c>
      <c r="S604" t="n">
        <v>4</v>
      </c>
      <c r="T604" t="n">
        <v>4</v>
      </c>
      <c r="U604" t="n">
        <v>0</v>
      </c>
      <c r="V604" s="2" t="inlineStr">
        <is>
          <t>Garnlav
Tallticka
Bollvitmossa
Mindre märgborre</t>
        </is>
      </c>
      <c r="W604">
        <f>HYPERLINK("https://klasma.github.io/Logging_2061/artfynd/A 50681-2025 artfynd.xlsx", "A 50681-2025")</f>
        <v/>
      </c>
      <c r="X604">
        <f>HYPERLINK("https://klasma.github.io/Logging_2061/kartor/A 50681-2025 karta.png", "A 50681-2025")</f>
        <v/>
      </c>
      <c r="Y604">
        <f>HYPERLINK("https://klasma.github.io/Logging_2061/kartor_geotiff/A 50681-2025 georefererad karta.tif", "A 50681-2025")</f>
        <v/>
      </c>
      <c r="AA604">
        <f>HYPERLINK("https://klasma.github.io/Logging_2061/klagomål/A 50681-2025 FSC-klagomål.docx", "A 50681-2025")</f>
        <v/>
      </c>
      <c r="AB604">
        <f>HYPERLINK("https://klasma.github.io/Logging_2061/klagomålsmail/A 50681-2025 FSC-klagomål mail.docx", "A 50681-2025")</f>
        <v/>
      </c>
      <c r="AC604">
        <f>HYPERLINK("https://klasma.github.io/Logging_2061/tillsyn/A 50681-2025 tillsynsbegäran.docx", "A 50681-2025")</f>
        <v/>
      </c>
      <c r="AD604">
        <f>HYPERLINK("https://klasma.github.io/Logging_2061/tillsynsmail/A 50681-2025 tillsynsbegäran mail.docx", "A 50681-2025")</f>
        <v/>
      </c>
    </row>
    <row r="605" ht="15" customHeight="1">
      <c r="A605" t="inlineStr">
        <is>
          <t>A 26031-2026</t>
        </is>
      </c>
      <c r="B605" t="inlineStr">
        <is>
          <t>avverkningsanmälan</t>
        </is>
      </c>
      <c r="C605" t="inlineStr">
        <is>
          <t>Föryngringsavverkning</t>
        </is>
      </c>
      <c r="D605" s="1" t="n">
        <v>46181</v>
      </c>
      <c r="E605" s="1" t="n">
        <v>46319</v>
      </c>
      <c r="F605" t="inlineStr">
        <is>
          <t>DALARNAS LÄN</t>
        </is>
      </c>
      <c r="G605" t="inlineStr">
        <is>
          <t>BORLÄNGE</t>
        </is>
      </c>
      <c r="H605" t="inlineStr">
        <is>
          <t>Bergvik skog väst AB</t>
        </is>
      </c>
      <c r="I605" t="n">
        <v>1.8</v>
      </c>
      <c r="J605" t="n">
        <v>0</v>
      </c>
      <c r="K605" t="n">
        <v>3</v>
      </c>
      <c r="L605" t="n">
        <v>0</v>
      </c>
      <c r="M605" t="n">
        <v>0</v>
      </c>
      <c r="N605" t="n">
        <v>1</v>
      </c>
      <c r="O605" t="n">
        <v>0</v>
      </c>
      <c r="P605" t="n">
        <v>0</v>
      </c>
      <c r="Q605" t="n">
        <v>1</v>
      </c>
      <c r="R605" t="n">
        <v>1</v>
      </c>
      <c r="S605" t="n">
        <v>4</v>
      </c>
      <c r="T605" t="n">
        <v>5</v>
      </c>
      <c r="U605" t="n">
        <v>0</v>
      </c>
      <c r="V605" s="2" t="inlineStr">
        <is>
          <t>Flodpärlmussla
Björksplintborre
Mindre märgborre
Vågbandad barkbock</t>
        </is>
      </c>
      <c r="W605">
        <f>HYPERLINK("https://klasma.github.io/Logging_2081/artfynd/A 26031-2026 artfynd.xlsx", "A 26031-2026")</f>
        <v/>
      </c>
      <c r="X605">
        <f>HYPERLINK("https://klasma.github.io/Logging_2081/kartor/A 26031-2026 karta.png", "A 26031-2026")</f>
        <v/>
      </c>
      <c r="Y605">
        <f>HYPERLINK("https://klasma.github.io/Logging_2081/kartor_geotiff/A 26031-2026 georefererad karta.tif", "A 26031-2026")</f>
        <v/>
      </c>
      <c r="AA605">
        <f>HYPERLINK("https://klasma.github.io/Logging_2081/klagomål/A 26031-2026 FSC-klagomål.docx", "A 26031-2026")</f>
        <v/>
      </c>
      <c r="AB605">
        <f>HYPERLINK("https://klasma.github.io/Logging_2081/klagomålsmail/A 26031-2026 FSC-klagomål mail.docx", "A 26031-2026")</f>
        <v/>
      </c>
      <c r="AC605">
        <f>HYPERLINK("https://klasma.github.io/Logging_2081/tillsyn/A 26031-2026 tillsynsbegäran.docx", "A 26031-2026")</f>
        <v/>
      </c>
      <c r="AD605">
        <f>HYPERLINK("https://klasma.github.io/Logging_2081/tillsynsmail/A 26031-2026 tillsynsbegäran mail.docx", "A 26031-2026")</f>
        <v/>
      </c>
    </row>
    <row r="606" ht="15" customHeight="1">
      <c r="A606" t="inlineStr">
        <is>
          <t>A 51825-2025</t>
        </is>
      </c>
      <c r="B606" t="inlineStr">
        <is>
          <t>avverkningsanmälan</t>
        </is>
      </c>
      <c r="C606" t="inlineStr">
        <is>
          <t>Föryngringsavverkning</t>
        </is>
      </c>
      <c r="D606" s="1" t="n">
        <v>45951</v>
      </c>
      <c r="E606" s="1" t="n">
        <v>46319</v>
      </c>
      <c r="F606" t="inlineStr">
        <is>
          <t>DALARNAS LÄN</t>
        </is>
      </c>
      <c r="G606" t="inlineStr">
        <is>
          <t>SÄTER</t>
        </is>
      </c>
      <c r="H606" t="inlineStr">
        <is>
          <t>Bergvik skog väst AB</t>
        </is>
      </c>
      <c r="I606" t="n">
        <v>12.8</v>
      </c>
      <c r="J606" t="n">
        <v>1</v>
      </c>
      <c r="K606" t="n">
        <v>1</v>
      </c>
      <c r="L606" t="n">
        <v>2</v>
      </c>
      <c r="M606" t="n">
        <v>0</v>
      </c>
      <c r="N606" t="n">
        <v>0</v>
      </c>
      <c r="O606" t="n">
        <v>0</v>
      </c>
      <c r="P606" t="n">
        <v>0</v>
      </c>
      <c r="Q606" t="n">
        <v>2</v>
      </c>
      <c r="R606" t="n">
        <v>0</v>
      </c>
      <c r="S606" t="n">
        <v>4</v>
      </c>
      <c r="T606" t="n">
        <v>4</v>
      </c>
      <c r="U606" t="n">
        <v>2</v>
      </c>
      <c r="V606" s="2" t="inlineStr">
        <is>
          <t>Dofttaggsvamp
Gultoppig fingersvamp
Mörk husmossa
Tjäder</t>
        </is>
      </c>
      <c r="W606">
        <f>HYPERLINK("https://klasma.github.io/Logging_2082/artfynd/A 51825-2025 artfynd.xlsx", "A 51825-2025")</f>
        <v/>
      </c>
      <c r="X606">
        <f>HYPERLINK("https://klasma.github.io/Logging_2082/kartor/A 51825-2025 karta.png", "A 51825-2025")</f>
        <v/>
      </c>
      <c r="Y606">
        <f>HYPERLINK("https://klasma.github.io/Logging_2082/kartor_geotiff/A 51825-2025 georefererad karta.tif", "A 51825-2025")</f>
        <v/>
      </c>
      <c r="AA606">
        <f>HYPERLINK("https://klasma.github.io/Logging_2082/klagomål/A 51825-2025 FSC-klagomål.docx", "A 51825-2025")</f>
        <v/>
      </c>
      <c r="AB606">
        <f>HYPERLINK("https://klasma.github.io/Logging_2082/klagomålsmail/A 51825-2025 FSC-klagomål mail.docx", "A 51825-2025")</f>
        <v/>
      </c>
      <c r="AC606">
        <f>HYPERLINK("https://klasma.github.io/Logging_2082/tillsyn/A 51825-2025 tillsynsbegäran.docx", "A 51825-2025")</f>
        <v/>
      </c>
      <c r="AD606">
        <f>HYPERLINK("https://klasma.github.io/Logging_2082/tillsynsmail/A 51825-2025 tillsynsbegäran mail.docx", "A 51825-2025")</f>
        <v/>
      </c>
      <c r="AE606">
        <f>HYPERLINK("https://klasma.github.io/Logging_2082/fåglar/A 51825-2025 prioriterade fågelarter.docx", "A 51825-2025")</f>
        <v/>
      </c>
    </row>
    <row r="607" ht="15" customHeight="1">
      <c r="A607" t="inlineStr">
        <is>
          <t>A 45350-2024</t>
        </is>
      </c>
      <c r="B607" t="inlineStr">
        <is>
          <t>avverkningsanmälan</t>
        </is>
      </c>
      <c r="C607" t="inlineStr">
        <is>
          <t>Föryngringsavverkning</t>
        </is>
      </c>
      <c r="D607" s="1" t="n">
        <v>45576</v>
      </c>
      <c r="E607" s="1" t="n">
        <v>46319</v>
      </c>
      <c r="F607" t="inlineStr">
        <is>
          <t>DALARNAS LÄN</t>
        </is>
      </c>
      <c r="G607" t="inlineStr">
        <is>
          <t>VANSBRO</t>
        </is>
      </c>
      <c r="I607" t="n">
        <v>13.4</v>
      </c>
      <c r="J607" t="n">
        <v>0</v>
      </c>
      <c r="K607" t="n">
        <v>1</v>
      </c>
      <c r="L607" t="n">
        <v>2</v>
      </c>
      <c r="M607" t="n">
        <v>1</v>
      </c>
      <c r="N607" t="n">
        <v>0</v>
      </c>
      <c r="O607" t="n">
        <v>0</v>
      </c>
      <c r="P607" t="n">
        <v>0</v>
      </c>
      <c r="Q607" t="n">
        <v>3</v>
      </c>
      <c r="R607" t="n">
        <v>1</v>
      </c>
      <c r="S607" t="n">
        <v>4</v>
      </c>
      <c r="T607" t="n">
        <v>8</v>
      </c>
      <c r="U607" t="n">
        <v>8</v>
      </c>
      <c r="V607" s="2" t="inlineStr">
        <is>
          <t>Garnlav
Dropptaggsvamp
Kolflarnlav
Mindre märgborre</t>
        </is>
      </c>
      <c r="W607">
        <f>HYPERLINK("https://klasma.github.io/Logging_2021/artfynd/A 45350-2024 artfynd.xlsx", "A 45350-2024")</f>
        <v/>
      </c>
      <c r="X607">
        <f>HYPERLINK("https://klasma.github.io/Logging_2021/kartor/A 45350-2024 karta.png", "A 45350-2024")</f>
        <v/>
      </c>
      <c r="Y607">
        <f>HYPERLINK("https://klasma.github.io/Logging_2021/kartor_geotiff/A 45350-2024 georefererad karta.tif", "A 45350-2024")</f>
        <v/>
      </c>
      <c r="AA607">
        <f>HYPERLINK("https://klasma.github.io/Logging_2021/klagomål/A 45350-2024 FSC-klagomål.docx", "A 45350-2024")</f>
        <v/>
      </c>
      <c r="AB607">
        <f>HYPERLINK("https://klasma.github.io/Logging_2021/klagomålsmail/A 45350-2024 FSC-klagomål mail.docx", "A 45350-2024")</f>
        <v/>
      </c>
      <c r="AC607">
        <f>HYPERLINK("https://klasma.github.io/Logging_2021/tillsyn/A 45350-2024 tillsynsbegäran.docx", "A 45350-2024")</f>
        <v/>
      </c>
      <c r="AD607">
        <f>HYPERLINK("https://klasma.github.io/Logging_2021/tillsynsmail/A 45350-2024 tillsynsbegäran mail.docx", "A 45350-2024")</f>
        <v/>
      </c>
    </row>
    <row r="608" ht="15" customHeight="1">
      <c r="A608" t="inlineStr">
        <is>
          <t>A 27373-2026</t>
        </is>
      </c>
      <c r="B608" t="inlineStr">
        <is>
          <t>avverkningsanmälan</t>
        </is>
      </c>
      <c r="C608" t="inlineStr">
        <is>
          <t>Föryngringsavverkning</t>
        </is>
      </c>
      <c r="D608" s="1" t="n">
        <v>46189</v>
      </c>
      <c r="E608" s="1" t="n">
        <v>46319</v>
      </c>
      <c r="F608" t="inlineStr">
        <is>
          <t>DALARNAS LÄN</t>
        </is>
      </c>
      <c r="G608" t="inlineStr">
        <is>
          <t>ÄLVDALEN</t>
        </is>
      </c>
      <c r="H608" t="inlineStr">
        <is>
          <t>Sveaskog</t>
        </is>
      </c>
      <c r="I608" t="n">
        <v>17.6</v>
      </c>
      <c r="J608" t="n">
        <v>1</v>
      </c>
      <c r="K608" t="n">
        <v>1</v>
      </c>
      <c r="L608" t="n">
        <v>3</v>
      </c>
      <c r="M608" t="n">
        <v>0</v>
      </c>
      <c r="N608" t="n">
        <v>0</v>
      </c>
      <c r="O608" t="n">
        <v>0</v>
      </c>
      <c r="P608" t="n">
        <v>0</v>
      </c>
      <c r="Q608" t="n">
        <v>3</v>
      </c>
      <c r="R608" t="n">
        <v>0</v>
      </c>
      <c r="S608" t="n">
        <v>4</v>
      </c>
      <c r="T608" t="n">
        <v>4</v>
      </c>
      <c r="U608" t="n">
        <v>1</v>
      </c>
      <c r="V608" s="2" t="inlineStr">
        <is>
          <t>Blanksvart spiklav
Kolflarnlav
Mörk kolflarnlav
Plattlummer</t>
        </is>
      </c>
      <c r="W608">
        <f>HYPERLINK("https://klasma.github.io/Logging_2039/artfynd/A 27373-2026 artfynd.xlsx", "A 27373-2026")</f>
        <v/>
      </c>
      <c r="X608">
        <f>HYPERLINK("https://klasma.github.io/Logging_2039/kartor/A 27373-2026 karta.png", "A 27373-2026")</f>
        <v/>
      </c>
      <c r="Y608">
        <f>HYPERLINK("https://klasma.github.io/Logging_2039/kartor_geotiff/A 27373-2026 georefererad karta.tif", "A 27373-2026")</f>
        <v/>
      </c>
      <c r="AA608">
        <f>HYPERLINK("https://klasma.github.io/Logging_2039/klagomål/A 27373-2026 FSC-klagomål.docx", "A 27373-2026")</f>
        <v/>
      </c>
      <c r="AB608">
        <f>HYPERLINK("https://klasma.github.io/Logging_2039/klagomålsmail/A 27373-2026 FSC-klagomål mail.docx", "A 27373-2026")</f>
        <v/>
      </c>
      <c r="AC608">
        <f>HYPERLINK("https://klasma.github.io/Logging_2039/tillsyn/A 27373-2026 tillsynsbegäran.docx", "A 27373-2026")</f>
        <v/>
      </c>
      <c r="AD608">
        <f>HYPERLINK("https://klasma.github.io/Logging_2039/tillsynsmail/A 27373-2026 tillsynsbegäran mail.docx", "A 27373-2026")</f>
        <v/>
      </c>
    </row>
    <row r="609" ht="15" customHeight="1">
      <c r="A609" t="inlineStr">
        <is>
          <t>A 1439-2023</t>
        </is>
      </c>
      <c r="B609" t="inlineStr">
        <is>
          <t>avverkningsanmälan</t>
        </is>
      </c>
      <c r="C609" t="inlineStr">
        <is>
          <t>Föryngringsavverkning</t>
        </is>
      </c>
      <c r="D609" s="1" t="n">
        <v>44937</v>
      </c>
      <c r="E609" s="1" t="n">
        <v>46319</v>
      </c>
      <c r="F609" t="inlineStr">
        <is>
          <t>DALARNAS LÄN</t>
        </is>
      </c>
      <c r="G609" t="inlineStr">
        <is>
          <t>FALUN</t>
        </is>
      </c>
      <c r="I609" t="n">
        <v>8.1</v>
      </c>
      <c r="J609" t="n">
        <v>4</v>
      </c>
      <c r="K609" t="n">
        <v>0</v>
      </c>
      <c r="L609" t="n">
        <v>1</v>
      </c>
      <c r="M609" t="n">
        <v>0</v>
      </c>
      <c r="N609" t="n">
        <v>0</v>
      </c>
      <c r="O609" t="n">
        <v>0</v>
      </c>
      <c r="P609" t="n">
        <v>0</v>
      </c>
      <c r="Q609" t="n">
        <v>1</v>
      </c>
      <c r="R609" t="n">
        <v>0</v>
      </c>
      <c r="S609" t="n">
        <v>4</v>
      </c>
      <c r="T609" t="n">
        <v>4</v>
      </c>
      <c r="U609" t="n">
        <v>4</v>
      </c>
      <c r="V609" s="2" t="inlineStr">
        <is>
          <t>Enkelbeckasin
Gråspett
Spillkråka
Törnskata</t>
        </is>
      </c>
      <c r="W609">
        <f>HYPERLINK("https://klasma.github.io/Logging_2080/artfynd/A 1439-2023 artfynd.xlsx", "A 1439-2023")</f>
        <v/>
      </c>
      <c r="X609">
        <f>HYPERLINK("https://klasma.github.io/Logging_2080/kartor/A 1439-2023 karta.png", "A 1439-2023")</f>
        <v/>
      </c>
      <c r="Y609">
        <f>HYPERLINK("https://klasma.github.io/Logging_2080/kartor_geotiff/A 1439-2023 georefererad karta.tif", "A 1439-2023")</f>
        <v/>
      </c>
      <c r="AA609">
        <f>HYPERLINK("https://klasma.github.io/Logging_2080/klagomål/A 1439-2023 FSC-klagomål.docx", "A 1439-2023")</f>
        <v/>
      </c>
      <c r="AB609">
        <f>HYPERLINK("https://klasma.github.io/Logging_2080/klagomålsmail/A 1439-2023 FSC-klagomål mail.docx", "A 1439-2023")</f>
        <v/>
      </c>
      <c r="AC609">
        <f>HYPERLINK("https://klasma.github.io/Logging_2080/tillsyn/A 1439-2023 tillsynsbegäran.docx", "A 1439-2023")</f>
        <v/>
      </c>
      <c r="AD609">
        <f>HYPERLINK("https://klasma.github.io/Logging_2080/tillsynsmail/A 1439-2023 tillsynsbegäran mail.docx", "A 1439-2023")</f>
        <v/>
      </c>
      <c r="AE609">
        <f>HYPERLINK("https://klasma.github.io/Logging_2080/fåglar/A 1439-2023 prioriterade fågelarter.docx", "A 1439-2023")</f>
        <v/>
      </c>
    </row>
    <row r="610" ht="15" customHeight="1">
      <c r="A610" t="inlineStr">
        <is>
          <t>A 28173-2026</t>
        </is>
      </c>
      <c r="B610" t="inlineStr">
        <is>
          <t>avverkningsanmälan</t>
        </is>
      </c>
      <c r="C610" t="inlineStr">
        <is>
          <t>Föryngringsavverkning</t>
        </is>
      </c>
      <c r="D610" s="1" t="n">
        <v>46195</v>
      </c>
      <c r="E610" s="1" t="n">
        <v>46319</v>
      </c>
      <c r="F610" t="inlineStr">
        <is>
          <t>DALARNAS LÄN</t>
        </is>
      </c>
      <c r="G610" t="inlineStr">
        <is>
          <t>FALUN</t>
        </is>
      </c>
      <c r="H610" t="inlineStr">
        <is>
          <t>Bergvik skog väst AB</t>
        </is>
      </c>
      <c r="I610" t="n">
        <v>3.8</v>
      </c>
      <c r="J610" t="n">
        <v>1</v>
      </c>
      <c r="K610" t="n">
        <v>0</v>
      </c>
      <c r="L610" t="n">
        <v>3</v>
      </c>
      <c r="M610" t="n">
        <v>1</v>
      </c>
      <c r="N610" t="n">
        <v>0</v>
      </c>
      <c r="O610" t="n">
        <v>0</v>
      </c>
      <c r="P610" t="n">
        <v>0</v>
      </c>
      <c r="Q610" t="n">
        <v>4</v>
      </c>
      <c r="R610" t="n">
        <v>1</v>
      </c>
      <c r="S610" t="n">
        <v>4</v>
      </c>
      <c r="T610" t="n">
        <v>11</v>
      </c>
      <c r="U610" t="n">
        <v>11</v>
      </c>
      <c r="V610" s="2" t="inlineStr">
        <is>
          <t>Garnlav
Rosenticka
Tallticka
Tretåig hackspett</t>
        </is>
      </c>
      <c r="W610">
        <f>HYPERLINK("https://klasma.github.io/Logging_2080/artfynd/A 28173-2026 artfynd.xlsx", "A 28173-2026")</f>
        <v/>
      </c>
      <c r="X610">
        <f>HYPERLINK("https://klasma.github.io/Logging_2080/kartor/A 28173-2026 karta.png", "A 28173-2026")</f>
        <v/>
      </c>
      <c r="Y610">
        <f>HYPERLINK("https://klasma.github.io/Logging_2080/kartor_geotiff/A 28173-2026 georefererad karta.tif", "A 28173-2026")</f>
        <v/>
      </c>
      <c r="AA610">
        <f>HYPERLINK("https://klasma.github.io/Logging_2080/klagomål/A 28173-2026 FSC-klagomål.docx", "A 28173-2026")</f>
        <v/>
      </c>
      <c r="AB610">
        <f>HYPERLINK("https://klasma.github.io/Logging_2080/klagomålsmail/A 28173-2026 FSC-klagomål mail.docx", "A 28173-2026")</f>
        <v/>
      </c>
      <c r="AC610">
        <f>HYPERLINK("https://klasma.github.io/Logging_2080/tillsyn/A 28173-2026 tillsynsbegäran.docx", "A 28173-2026")</f>
        <v/>
      </c>
      <c r="AD610">
        <f>HYPERLINK("https://klasma.github.io/Logging_2080/tillsynsmail/A 28173-2026 tillsynsbegäran mail.docx", "A 28173-2026")</f>
        <v/>
      </c>
      <c r="AE610">
        <f>HYPERLINK("https://klasma.github.io/Logging_2080/fåglar/A 28173-2026 prioriterade fågelarter.docx", "A 28173-2026")</f>
        <v/>
      </c>
    </row>
    <row r="611" ht="15" customHeight="1">
      <c r="A611" t="inlineStr">
        <is>
          <t>A 55420-2025</t>
        </is>
      </c>
      <c r="B611" t="inlineStr">
        <is>
          <t>avverkningsanmälan</t>
        </is>
      </c>
      <c r="C611" t="inlineStr">
        <is>
          <t>Föryngringsavverkning</t>
        </is>
      </c>
      <c r="D611" s="1" t="n">
        <v>45971</v>
      </c>
      <c r="E611" s="1" t="n">
        <v>46319</v>
      </c>
      <c r="F611" t="inlineStr">
        <is>
          <t>DALARNAS LÄN</t>
        </is>
      </c>
      <c r="G611" t="inlineStr">
        <is>
          <t>MALUNG-SÄLEN</t>
        </is>
      </c>
      <c r="H611" t="inlineStr">
        <is>
          <t>Bergvik skog väst AB</t>
        </is>
      </c>
      <c r="I611" t="n">
        <v>5.6</v>
      </c>
      <c r="J611" t="n">
        <v>0</v>
      </c>
      <c r="K611" t="n">
        <v>0</v>
      </c>
      <c r="L611" t="n">
        <v>3</v>
      </c>
      <c r="M611" t="n">
        <v>1</v>
      </c>
      <c r="N611" t="n">
        <v>0</v>
      </c>
      <c r="O611" t="n">
        <v>0</v>
      </c>
      <c r="P611" t="n">
        <v>0</v>
      </c>
      <c r="Q611" t="n">
        <v>4</v>
      </c>
      <c r="R611" t="n">
        <v>1</v>
      </c>
      <c r="S611" t="n">
        <v>4</v>
      </c>
      <c r="T611" t="n">
        <v>4</v>
      </c>
      <c r="U611" t="n">
        <v>4</v>
      </c>
      <c r="V611" s="2" t="inlineStr">
        <is>
          <t>Garnlav
Dropptaggsvamp
Motaggsvamp
Vedskivlav</t>
        </is>
      </c>
      <c r="W611">
        <f>HYPERLINK("https://klasma.github.io/Logging_2023/artfynd/A 55420-2025 artfynd.xlsx", "A 55420-2025")</f>
        <v/>
      </c>
      <c r="X611">
        <f>HYPERLINK("https://klasma.github.io/Logging_2023/kartor/A 55420-2025 karta.png", "A 55420-2025")</f>
        <v/>
      </c>
      <c r="Y611">
        <f>HYPERLINK("https://klasma.github.io/Logging_2023/kartor_geotiff/A 55420-2025 georefererad karta.tif", "A 55420-2025")</f>
        <v/>
      </c>
      <c r="AA611">
        <f>HYPERLINK("https://klasma.github.io/Logging_2023/klagomål/A 55420-2025 FSC-klagomål.docx", "A 55420-2025")</f>
        <v/>
      </c>
      <c r="AB611">
        <f>HYPERLINK("https://klasma.github.io/Logging_2023/klagomålsmail/A 55420-2025 FSC-klagomål mail.docx", "A 55420-2025")</f>
        <v/>
      </c>
      <c r="AC611">
        <f>HYPERLINK("https://klasma.github.io/Logging_2023/tillsyn/A 55420-2025 tillsynsbegäran.docx", "A 55420-2025")</f>
        <v/>
      </c>
      <c r="AD611">
        <f>HYPERLINK("https://klasma.github.io/Logging_2023/tillsynsmail/A 55420-2025 tillsynsbegäran mail.docx", "A 55420-2025")</f>
        <v/>
      </c>
    </row>
    <row r="612" ht="15" customHeight="1">
      <c r="A612" t="inlineStr">
        <is>
          <t>A 42848-2023</t>
        </is>
      </c>
      <c r="B612" t="inlineStr">
        <is>
          <t>avverkningsanmälan</t>
        </is>
      </c>
      <c r="C612" t="inlineStr">
        <is>
          <t>Föryngringsavverkning</t>
        </is>
      </c>
      <c r="D612" s="1" t="n">
        <v>45182</v>
      </c>
      <c r="E612" s="1" t="n">
        <v>46319</v>
      </c>
      <c r="F612" t="inlineStr">
        <is>
          <t>DALARNAS LÄN</t>
        </is>
      </c>
      <c r="G612" t="inlineStr">
        <is>
          <t>ÄLVDALEN</t>
        </is>
      </c>
      <c r="H612" t="inlineStr">
        <is>
          <t>Allmännings- och besparingsskogar</t>
        </is>
      </c>
      <c r="I612" t="n">
        <v>1.9</v>
      </c>
      <c r="J612" t="n">
        <v>0</v>
      </c>
      <c r="K612" t="n">
        <v>0</v>
      </c>
      <c r="L612" t="n">
        <v>3</v>
      </c>
      <c r="M612" t="n">
        <v>1</v>
      </c>
      <c r="N612" t="n">
        <v>0</v>
      </c>
      <c r="O612" t="n">
        <v>0</v>
      </c>
      <c r="P612" t="n">
        <v>0</v>
      </c>
      <c r="Q612" t="n">
        <v>4</v>
      </c>
      <c r="R612" t="n">
        <v>1</v>
      </c>
      <c r="S612" t="n">
        <v>4</v>
      </c>
      <c r="T612" t="n">
        <v>7</v>
      </c>
      <c r="U612" t="n">
        <v>2</v>
      </c>
      <c r="V612" s="2" t="inlineStr">
        <is>
          <t>Goliatmusseron
Blå taggsvamp
Dropptaggsvamp
Skarp dropptaggsvamp</t>
        </is>
      </c>
      <c r="W612">
        <f>HYPERLINK("https://klasma.github.io/Logging_2039/artfynd/A 42848-2023 artfynd.xlsx", "A 42848-2023")</f>
        <v/>
      </c>
      <c r="X612">
        <f>HYPERLINK("https://klasma.github.io/Logging_2039/kartor/A 42848-2023 karta.png", "A 42848-2023")</f>
        <v/>
      </c>
      <c r="Y612">
        <f>HYPERLINK("https://klasma.github.io/Logging_2039/kartor_geotiff/A 42848-2023 georefererad karta.tif", "A 42848-2023")</f>
        <v/>
      </c>
      <c r="AA612">
        <f>HYPERLINK("https://klasma.github.io/Logging_2039/klagomål/A 42848-2023 FSC-klagomål.docx", "A 42848-2023")</f>
        <v/>
      </c>
      <c r="AB612">
        <f>HYPERLINK("https://klasma.github.io/Logging_2039/klagomålsmail/A 42848-2023 FSC-klagomål mail.docx", "A 42848-2023")</f>
        <v/>
      </c>
      <c r="AC612">
        <f>HYPERLINK("https://klasma.github.io/Logging_2039/tillsyn/A 42848-2023 tillsynsbegäran.docx", "A 42848-2023")</f>
        <v/>
      </c>
      <c r="AD612">
        <f>HYPERLINK("https://klasma.github.io/Logging_2039/tillsynsmail/A 42848-2023 tillsynsbegäran mail.docx", "A 42848-2023")</f>
        <v/>
      </c>
    </row>
    <row r="613" ht="15" customHeight="1">
      <c r="A613" t="inlineStr">
        <is>
          <t>A 29122-2026</t>
        </is>
      </c>
      <c r="B613" t="inlineStr">
        <is>
          <t>avverkningsanmälan</t>
        </is>
      </c>
      <c r="C613" t="inlineStr">
        <is>
          <t>Föryngringsavverkning</t>
        </is>
      </c>
      <c r="D613" s="1" t="n">
        <v>46202</v>
      </c>
      <c r="E613" s="1" t="n">
        <v>46319</v>
      </c>
      <c r="F613" t="inlineStr">
        <is>
          <t>DALARNAS LÄN</t>
        </is>
      </c>
      <c r="G613" t="inlineStr">
        <is>
          <t>MORA</t>
        </is>
      </c>
      <c r="I613" t="n">
        <v>0.9</v>
      </c>
      <c r="J613" t="n">
        <v>1</v>
      </c>
      <c r="K613" t="n">
        <v>1</v>
      </c>
      <c r="L613" t="n">
        <v>1</v>
      </c>
      <c r="M613" t="n">
        <v>1</v>
      </c>
      <c r="N613" t="n">
        <v>0</v>
      </c>
      <c r="O613" t="n">
        <v>0</v>
      </c>
      <c r="P613" t="n">
        <v>0</v>
      </c>
      <c r="Q613" t="n">
        <v>2</v>
      </c>
      <c r="R613" t="n">
        <v>1</v>
      </c>
      <c r="S613" t="n">
        <v>4</v>
      </c>
      <c r="T613" t="n">
        <v>11</v>
      </c>
      <c r="U613" t="n">
        <v>11</v>
      </c>
      <c r="V613" s="2" t="inlineStr">
        <is>
          <t>Garnlav
Mörk kolflarnlav
Mindre märgborre
Mattlummer</t>
        </is>
      </c>
      <c r="W613">
        <f>HYPERLINK("https://klasma.github.io/Logging_2062/artfynd/A 29122-2026 artfynd.xlsx", "A 29122-2026")</f>
        <v/>
      </c>
      <c r="X613">
        <f>HYPERLINK("https://klasma.github.io/Logging_2062/kartor/A 29122-2026 karta.png", "A 29122-2026")</f>
        <v/>
      </c>
      <c r="Y613">
        <f>HYPERLINK("https://klasma.github.io/Logging_2062/kartor_geotiff/A 29122-2026 georefererad karta.tif", "A 29122-2026")</f>
        <v/>
      </c>
      <c r="AA613">
        <f>HYPERLINK("https://klasma.github.io/Logging_2062/klagomål/A 29122-2026 FSC-klagomål.docx", "A 29122-2026")</f>
        <v/>
      </c>
      <c r="AB613">
        <f>HYPERLINK("https://klasma.github.io/Logging_2062/klagomålsmail/A 29122-2026 FSC-klagomål mail.docx", "A 29122-2026")</f>
        <v/>
      </c>
      <c r="AC613">
        <f>HYPERLINK("https://klasma.github.io/Logging_2062/tillsyn/A 29122-2026 tillsynsbegäran.docx", "A 29122-2026")</f>
        <v/>
      </c>
      <c r="AD613">
        <f>HYPERLINK("https://klasma.github.io/Logging_2062/tillsynsmail/A 29122-2026 tillsynsbegäran mail.docx", "A 29122-2026")</f>
        <v/>
      </c>
    </row>
    <row r="614" ht="15" customHeight="1">
      <c r="A614" t="inlineStr">
        <is>
          <t>A 29339-2026</t>
        </is>
      </c>
      <c r="B614" t="inlineStr">
        <is>
          <t>avverkningsanmälan</t>
        </is>
      </c>
      <c r="C614" t="inlineStr">
        <is>
          <t>Föryngringsavverkning</t>
        </is>
      </c>
      <c r="D614" s="1" t="n">
        <v>46202</v>
      </c>
      <c r="E614" s="1" t="n">
        <v>46319</v>
      </c>
      <c r="F614" t="inlineStr">
        <is>
          <t>DALARNAS LÄN</t>
        </is>
      </c>
      <c r="G614" t="inlineStr">
        <is>
          <t>ÄLVDALEN</t>
        </is>
      </c>
      <c r="I614" t="n">
        <v>0.4</v>
      </c>
      <c r="J614" t="n">
        <v>2</v>
      </c>
      <c r="K614" t="n">
        <v>0</v>
      </c>
      <c r="L614" t="n">
        <v>1</v>
      </c>
      <c r="M614" t="n">
        <v>1</v>
      </c>
      <c r="N614" t="n">
        <v>0</v>
      </c>
      <c r="O614" t="n">
        <v>0</v>
      </c>
      <c r="P614" t="n">
        <v>0</v>
      </c>
      <c r="Q614" t="n">
        <v>2</v>
      </c>
      <c r="R614" t="n">
        <v>1</v>
      </c>
      <c r="S614" t="n">
        <v>4</v>
      </c>
      <c r="T614" t="n">
        <v>22</v>
      </c>
      <c r="U614" t="n">
        <v>22</v>
      </c>
      <c r="V614" s="2" t="inlineStr">
        <is>
          <t>Garnlav
Violettgrå tagellav
Spillkråka
Revlummer</t>
        </is>
      </c>
      <c r="W614">
        <f>HYPERLINK("https://klasma.github.io/Logging_2039/artfynd/A 29339-2026 artfynd.xlsx", "A 29339-2026")</f>
        <v/>
      </c>
      <c r="X614">
        <f>HYPERLINK("https://klasma.github.io/Logging_2039/kartor/A 29339-2026 karta.png", "A 29339-2026")</f>
        <v/>
      </c>
      <c r="Y614">
        <f>HYPERLINK("https://klasma.github.io/Logging_2039/kartor_geotiff/A 29339-2026 georefererad karta.tif", "A 29339-2026")</f>
        <v/>
      </c>
      <c r="AA614">
        <f>HYPERLINK("https://klasma.github.io/Logging_2039/klagomål/A 29339-2026 FSC-klagomål.docx", "A 29339-2026")</f>
        <v/>
      </c>
      <c r="AB614">
        <f>HYPERLINK("https://klasma.github.io/Logging_2039/klagomålsmail/A 29339-2026 FSC-klagomål mail.docx", "A 29339-2026")</f>
        <v/>
      </c>
      <c r="AC614">
        <f>HYPERLINK("https://klasma.github.io/Logging_2039/tillsyn/A 29339-2026 tillsynsbegäran.docx", "A 29339-2026")</f>
        <v/>
      </c>
      <c r="AD614">
        <f>HYPERLINK("https://klasma.github.io/Logging_2039/tillsynsmail/A 29339-2026 tillsynsbegäran mail.docx", "A 29339-2026")</f>
        <v/>
      </c>
      <c r="AE614">
        <f>HYPERLINK("https://klasma.github.io/Logging_2039/fåglar/A 29339-2026 prioriterade fågelarter.docx", "A 29339-2026")</f>
        <v/>
      </c>
    </row>
    <row r="615" ht="15" customHeight="1">
      <c r="A615" t="inlineStr">
        <is>
          <t>A 29123-2026</t>
        </is>
      </c>
      <c r="B615" t="inlineStr">
        <is>
          <t>avverkningsanmälan</t>
        </is>
      </c>
      <c r="C615" t="inlineStr">
        <is>
          <t>Föryngringsavverkning</t>
        </is>
      </c>
      <c r="D615" s="1" t="n">
        <v>46202</v>
      </c>
      <c r="E615" s="1" t="n">
        <v>46319</v>
      </c>
      <c r="F615" t="inlineStr">
        <is>
          <t>DALARNAS LÄN</t>
        </is>
      </c>
      <c r="G615" t="inlineStr">
        <is>
          <t>MORA</t>
        </is>
      </c>
      <c r="I615" t="n">
        <v>1.6</v>
      </c>
      <c r="J615" t="n">
        <v>0</v>
      </c>
      <c r="K615" t="n">
        <v>2</v>
      </c>
      <c r="L615" t="n">
        <v>1</v>
      </c>
      <c r="M615" t="n">
        <v>1</v>
      </c>
      <c r="N615" t="n">
        <v>0</v>
      </c>
      <c r="O615" t="n">
        <v>0</v>
      </c>
      <c r="P615" t="n">
        <v>0</v>
      </c>
      <c r="Q615" t="n">
        <v>2</v>
      </c>
      <c r="R615" t="n">
        <v>1</v>
      </c>
      <c r="S615" t="n">
        <v>4</v>
      </c>
      <c r="T615" t="n">
        <v>11</v>
      </c>
      <c r="U615" t="n">
        <v>11</v>
      </c>
      <c r="V615" s="2" t="inlineStr">
        <is>
          <t>Garnlav
Mörk kolflarnlav
Mindre märgborre
Rödgul trumpetsvamp</t>
        </is>
      </c>
      <c r="W615">
        <f>HYPERLINK("https://klasma.github.io/Logging_2062/artfynd/A 29123-2026 artfynd.xlsx", "A 29123-2026")</f>
        <v/>
      </c>
      <c r="X615">
        <f>HYPERLINK("https://klasma.github.io/Logging_2062/kartor/A 29123-2026 karta.png", "A 29123-2026")</f>
        <v/>
      </c>
      <c r="Y615">
        <f>HYPERLINK("https://klasma.github.io/Logging_2062/kartor_geotiff/A 29123-2026 georefererad karta.tif", "A 29123-2026")</f>
        <v/>
      </c>
      <c r="AA615">
        <f>HYPERLINK("https://klasma.github.io/Logging_2062/klagomål/A 29123-2026 FSC-klagomål.docx", "A 29123-2026")</f>
        <v/>
      </c>
      <c r="AB615">
        <f>HYPERLINK("https://klasma.github.io/Logging_2062/klagomålsmail/A 29123-2026 FSC-klagomål mail.docx", "A 29123-2026")</f>
        <v/>
      </c>
      <c r="AC615">
        <f>HYPERLINK("https://klasma.github.io/Logging_2062/tillsyn/A 29123-2026 tillsynsbegäran.docx", "A 29123-2026")</f>
        <v/>
      </c>
      <c r="AD615">
        <f>HYPERLINK("https://klasma.github.io/Logging_2062/tillsynsmail/A 29123-2026 tillsynsbegäran mail.docx", "A 29123-2026")</f>
        <v/>
      </c>
    </row>
    <row r="616" ht="15" customHeight="1">
      <c r="A616" t="inlineStr">
        <is>
          <t>A 4532-2024</t>
        </is>
      </c>
      <c r="B616" t="inlineStr">
        <is>
          <t>avverkningsanmälan</t>
        </is>
      </c>
      <c r="C616" t="inlineStr">
        <is>
          <t>Föryngringsavverkning</t>
        </is>
      </c>
      <c r="D616" s="1" t="n">
        <v>45327</v>
      </c>
      <c r="E616" s="1" t="n">
        <v>46319</v>
      </c>
      <c r="F616" t="inlineStr">
        <is>
          <t>DALARNAS LÄN</t>
        </is>
      </c>
      <c r="G616" t="inlineStr">
        <is>
          <t>FALUN</t>
        </is>
      </c>
      <c r="I616" t="n">
        <v>4.6</v>
      </c>
      <c r="J616" t="n">
        <v>1</v>
      </c>
      <c r="K616" t="n">
        <v>2</v>
      </c>
      <c r="L616" t="n">
        <v>1</v>
      </c>
      <c r="M616" t="n">
        <v>0</v>
      </c>
      <c r="N616" t="n">
        <v>0</v>
      </c>
      <c r="O616" t="n">
        <v>0</v>
      </c>
      <c r="P616" t="n">
        <v>0</v>
      </c>
      <c r="Q616" t="n">
        <v>1</v>
      </c>
      <c r="R616" t="n">
        <v>0</v>
      </c>
      <c r="S616" t="n">
        <v>4</v>
      </c>
      <c r="T616" t="n">
        <v>4</v>
      </c>
      <c r="U616" t="n">
        <v>0</v>
      </c>
      <c r="V616" s="2" t="inlineStr">
        <is>
          <t>Vedtrappmossa
Stuplav
Vedticka
Tjäder</t>
        </is>
      </c>
      <c r="W616">
        <f>HYPERLINK("https://klasma.github.io/Logging_2080/artfynd/A 4532-2024 artfynd.xlsx", "A 4532-2024")</f>
        <v/>
      </c>
      <c r="X616">
        <f>HYPERLINK("https://klasma.github.io/Logging_2080/kartor/A 4532-2024 karta.png", "A 4532-2024")</f>
        <v/>
      </c>
      <c r="Y616">
        <f>HYPERLINK("https://klasma.github.io/Logging_2080/kartor_geotiff/A 4532-2024 georefererad karta.tif", "A 4532-2024")</f>
        <v/>
      </c>
      <c r="AA616">
        <f>HYPERLINK("https://klasma.github.io/Logging_2080/klagomål/A 4532-2024 FSC-klagomål.docx", "A 4532-2024")</f>
        <v/>
      </c>
      <c r="AB616">
        <f>HYPERLINK("https://klasma.github.io/Logging_2080/klagomålsmail/A 4532-2024 FSC-klagomål mail.docx", "A 4532-2024")</f>
        <v/>
      </c>
      <c r="AC616">
        <f>HYPERLINK("https://klasma.github.io/Logging_2080/tillsyn/A 4532-2024 tillsynsbegäran.docx", "A 4532-2024")</f>
        <v/>
      </c>
      <c r="AD616">
        <f>HYPERLINK("https://klasma.github.io/Logging_2080/tillsynsmail/A 4532-2024 tillsynsbegäran mail.docx", "A 4532-2024")</f>
        <v/>
      </c>
      <c r="AE616">
        <f>HYPERLINK("https://klasma.github.io/Logging_2080/fåglar/A 4532-2024 prioriterade fågelarter.docx", "A 4532-2024")</f>
        <v/>
      </c>
    </row>
    <row r="617" ht="15" customHeight="1">
      <c r="A617" t="inlineStr">
        <is>
          <t>A 58513-2025</t>
        </is>
      </c>
      <c r="B617" t="inlineStr">
        <is>
          <t>avverkningsanmälan</t>
        </is>
      </c>
      <c r="C617" t="inlineStr">
        <is>
          <t>Föryngringsavverkning</t>
        </is>
      </c>
      <c r="D617" s="1" t="n">
        <v>45985</v>
      </c>
      <c r="E617" s="1" t="n">
        <v>46319</v>
      </c>
      <c r="F617" t="inlineStr">
        <is>
          <t>DALARNAS LÄN</t>
        </is>
      </c>
      <c r="G617" t="inlineStr">
        <is>
          <t>LUDVIKA</t>
        </is>
      </c>
      <c r="H617" t="inlineStr">
        <is>
          <t>Övriga Aktiebolag</t>
        </is>
      </c>
      <c r="I617" t="n">
        <v>7.2</v>
      </c>
      <c r="J617" t="n">
        <v>2</v>
      </c>
      <c r="K617" t="n">
        <v>1</v>
      </c>
      <c r="L617" t="n">
        <v>1</v>
      </c>
      <c r="M617" t="n">
        <v>1</v>
      </c>
      <c r="N617" t="n">
        <v>0</v>
      </c>
      <c r="O617" t="n">
        <v>0</v>
      </c>
      <c r="P617" t="n">
        <v>0</v>
      </c>
      <c r="Q617" t="n">
        <v>2</v>
      </c>
      <c r="R617" t="n">
        <v>1</v>
      </c>
      <c r="S617" t="n">
        <v>4</v>
      </c>
      <c r="T617" t="n">
        <v>23</v>
      </c>
      <c r="U617" t="n">
        <v>23</v>
      </c>
      <c r="V617" s="2" t="inlineStr">
        <is>
          <t>Garnlav
Tretåig hackspett
Gullgröppa
Spillkråka</t>
        </is>
      </c>
      <c r="W617">
        <f>HYPERLINK("https://klasma.github.io/Logging_2085/artfynd/A 58513-2025 artfynd.xlsx", "A 58513-2025")</f>
        <v/>
      </c>
      <c r="X617">
        <f>HYPERLINK("https://klasma.github.io/Logging_2085/kartor/A 58513-2025 karta.png", "A 58513-2025")</f>
        <v/>
      </c>
      <c r="Y617">
        <f>HYPERLINK("https://klasma.github.io/Logging_2085/kartor_geotiff/A 58513-2025 georefererad karta.tif", "A 58513-2025")</f>
        <v/>
      </c>
      <c r="AA617">
        <f>HYPERLINK("https://klasma.github.io/Logging_2085/klagomål/A 58513-2025 FSC-klagomål.docx", "A 58513-2025")</f>
        <v/>
      </c>
      <c r="AB617">
        <f>HYPERLINK("https://klasma.github.io/Logging_2085/klagomålsmail/A 58513-2025 FSC-klagomål mail.docx", "A 58513-2025")</f>
        <v/>
      </c>
      <c r="AC617">
        <f>HYPERLINK("https://klasma.github.io/Logging_2085/tillsyn/A 58513-2025 tillsynsbegäran.docx", "A 58513-2025")</f>
        <v/>
      </c>
      <c r="AD617">
        <f>HYPERLINK("https://klasma.github.io/Logging_2085/tillsynsmail/A 58513-2025 tillsynsbegäran mail.docx", "A 58513-2025")</f>
        <v/>
      </c>
      <c r="AE617">
        <f>HYPERLINK("https://klasma.github.io/Logging_2085/fåglar/A 58513-2025 prioriterade fågelarter.docx", "A 58513-2025")</f>
        <v/>
      </c>
    </row>
    <row r="618" ht="15" customHeight="1">
      <c r="A618" t="inlineStr">
        <is>
          <t>A 30185-2026</t>
        </is>
      </c>
      <c r="B618" t="inlineStr">
        <is>
          <t>avverkningsanmälan</t>
        </is>
      </c>
      <c r="C618" t="inlineStr">
        <is>
          <t>Föryngringsavverkning</t>
        </is>
      </c>
      <c r="D618" s="1" t="n">
        <v>46206</v>
      </c>
      <c r="E618" s="1" t="n">
        <v>46319</v>
      </c>
      <c r="F618" t="inlineStr">
        <is>
          <t>DALARNAS LÄN</t>
        </is>
      </c>
      <c r="G618" t="inlineStr">
        <is>
          <t>MORA</t>
        </is>
      </c>
      <c r="I618" t="n">
        <v>7.7</v>
      </c>
      <c r="J618" t="n">
        <v>3</v>
      </c>
      <c r="K618" t="n">
        <v>0</v>
      </c>
      <c r="L618" t="n">
        <v>1</v>
      </c>
      <c r="M618" t="n">
        <v>1</v>
      </c>
      <c r="N618" t="n">
        <v>0</v>
      </c>
      <c r="O618" t="n">
        <v>0</v>
      </c>
      <c r="P618" t="n">
        <v>0</v>
      </c>
      <c r="Q618" t="n">
        <v>2</v>
      </c>
      <c r="R618" t="n">
        <v>1</v>
      </c>
      <c r="S618" t="n">
        <v>4</v>
      </c>
      <c r="T618" t="n">
        <v>7</v>
      </c>
      <c r="U618" t="n">
        <v>7</v>
      </c>
      <c r="V618" s="2" t="inlineStr">
        <is>
          <t>Knärot
Kolflarnlav
Spillkråka
Revlummer</t>
        </is>
      </c>
      <c r="W618">
        <f>HYPERLINK("https://klasma.github.io/Logging_2062/artfynd/A 30185-2026 artfynd.xlsx", "A 30185-2026")</f>
        <v/>
      </c>
      <c r="X618">
        <f>HYPERLINK("https://klasma.github.io/Logging_2062/kartor/A 30185-2026 karta.png", "A 30185-2026")</f>
        <v/>
      </c>
      <c r="Y618">
        <f>HYPERLINK("https://klasma.github.io/Logging_2062/kartor_geotiff/A 30185-2026 georefererad karta.tif", "A 30185-2026")</f>
        <v/>
      </c>
      <c r="Z618">
        <f>HYPERLINK("https://klasma.github.io/Logging_2062/knärot/A 30185-2026 karta knärot.png", "A 30185-2026")</f>
        <v/>
      </c>
      <c r="AA618">
        <f>HYPERLINK("https://klasma.github.io/Logging_2062/klagomål/A 30185-2026 FSC-klagomål.docx", "A 30185-2026")</f>
        <v/>
      </c>
      <c r="AB618">
        <f>HYPERLINK("https://klasma.github.io/Logging_2062/klagomålsmail/A 30185-2026 FSC-klagomål mail.docx", "A 30185-2026")</f>
        <v/>
      </c>
      <c r="AC618">
        <f>HYPERLINK("https://klasma.github.io/Logging_2062/tillsyn/A 30185-2026 tillsynsbegäran.docx", "A 30185-2026")</f>
        <v/>
      </c>
      <c r="AD618">
        <f>HYPERLINK("https://klasma.github.io/Logging_2062/tillsynsmail/A 30185-2026 tillsynsbegäran mail.docx", "A 30185-2026")</f>
        <v/>
      </c>
      <c r="AE618">
        <f>HYPERLINK("https://klasma.github.io/Logging_2062/fåglar/A 30185-2026 prioriterade fågelarter.docx", "A 30185-2026")</f>
        <v/>
      </c>
    </row>
    <row r="619" ht="15" customHeight="1">
      <c r="A619" t="inlineStr">
        <is>
          <t>A 17648-2024</t>
        </is>
      </c>
      <c r="B619" t="inlineStr">
        <is>
          <t>avverkningsanmälan</t>
        </is>
      </c>
      <c r="C619" t="inlineStr">
        <is>
          <t>Föryngringsavverkning</t>
        </is>
      </c>
      <c r="D619" s="1" t="n">
        <v>45418</v>
      </c>
      <c r="E619" s="1" t="n">
        <v>46319</v>
      </c>
      <c r="F619" t="inlineStr">
        <is>
          <t>DALARNAS LÄN</t>
        </is>
      </c>
      <c r="G619" t="inlineStr">
        <is>
          <t>MORA</t>
        </is>
      </c>
      <c r="I619" t="n">
        <v>1.7</v>
      </c>
      <c r="J619" t="n">
        <v>4</v>
      </c>
      <c r="K619" t="n">
        <v>0</v>
      </c>
      <c r="L619" t="n">
        <v>2</v>
      </c>
      <c r="M619" t="n">
        <v>0</v>
      </c>
      <c r="N619" t="n">
        <v>0</v>
      </c>
      <c r="O619" t="n">
        <v>0</v>
      </c>
      <c r="P619" t="n">
        <v>0</v>
      </c>
      <c r="Q619" t="n">
        <v>2</v>
      </c>
      <c r="R619" t="n">
        <v>0</v>
      </c>
      <c r="S619" t="n">
        <v>4</v>
      </c>
      <c r="T619" t="n">
        <v>4</v>
      </c>
      <c r="U619" t="n">
        <v>4</v>
      </c>
      <c r="V619" s="2" t="inlineStr">
        <is>
          <t>Brunlångöra
Nordfladdermus
Dvärgpipistrell
Vattenfladdermus</t>
        </is>
      </c>
      <c r="W619">
        <f>HYPERLINK("https://klasma.github.io/Logging_2062/artfynd/A 17648-2024 artfynd.xlsx", "A 17648-2024")</f>
        <v/>
      </c>
      <c r="X619">
        <f>HYPERLINK("https://klasma.github.io/Logging_2062/kartor/A 17648-2024 karta.png", "A 17648-2024")</f>
        <v/>
      </c>
      <c r="Y619">
        <f>HYPERLINK("https://klasma.github.io/Logging_2062/kartor_geotiff/A 17648-2024 georefererad karta.tif", "A 17648-2024")</f>
        <v/>
      </c>
      <c r="AA619">
        <f>HYPERLINK("https://klasma.github.io/Logging_2062/klagomål/A 17648-2024 FSC-klagomål.docx", "A 17648-2024")</f>
        <v/>
      </c>
      <c r="AB619">
        <f>HYPERLINK("https://klasma.github.io/Logging_2062/klagomålsmail/A 17648-2024 FSC-klagomål mail.docx", "A 17648-2024")</f>
        <v/>
      </c>
      <c r="AC619">
        <f>HYPERLINK("https://klasma.github.io/Logging_2062/tillsyn/A 17648-2024 tillsynsbegäran.docx", "A 17648-2024")</f>
        <v/>
      </c>
      <c r="AD619">
        <f>HYPERLINK("https://klasma.github.io/Logging_2062/tillsynsmail/A 17648-2024 tillsynsbegäran mail.docx", "A 17648-2024")</f>
        <v/>
      </c>
    </row>
    <row r="620" ht="15" customHeight="1">
      <c r="A620" t="inlineStr">
        <is>
          <t>A 31339-2026</t>
        </is>
      </c>
      <c r="B620" t="inlineStr">
        <is>
          <t>avverkningsanmälan</t>
        </is>
      </c>
      <c r="C620" t="inlineStr">
        <is>
          <t>Föryngringsavverkning</t>
        </is>
      </c>
      <c r="D620" s="1" t="n">
        <v>46212</v>
      </c>
      <c r="E620" s="1" t="n">
        <v>46319</v>
      </c>
      <c r="F620" t="inlineStr">
        <is>
          <t>DALARNAS LÄN</t>
        </is>
      </c>
      <c r="G620" t="inlineStr">
        <is>
          <t>ÄLVDALEN</t>
        </is>
      </c>
      <c r="I620" t="n">
        <v>2.7</v>
      </c>
      <c r="J620" t="n">
        <v>0</v>
      </c>
      <c r="K620" t="n">
        <v>0</v>
      </c>
      <c r="L620" t="n">
        <v>4</v>
      </c>
      <c r="M620" t="n">
        <v>0</v>
      </c>
      <c r="N620" t="n">
        <v>0</v>
      </c>
      <c r="O620" t="n">
        <v>0</v>
      </c>
      <c r="P620" t="n">
        <v>0</v>
      </c>
      <c r="Q620" t="n">
        <v>4</v>
      </c>
      <c r="R620" t="n">
        <v>0</v>
      </c>
      <c r="S620" t="n">
        <v>4</v>
      </c>
      <c r="T620" t="n">
        <v>5</v>
      </c>
      <c r="U620" t="n">
        <v>5</v>
      </c>
      <c r="V620" s="2" t="inlineStr">
        <is>
          <t>Blanksvart spiklav
Nordtagging
Vedflamlav
Vedskivlav</t>
        </is>
      </c>
      <c r="W620">
        <f>HYPERLINK("https://klasma.github.io/Logging_2039/artfynd/A 31339-2026 artfynd.xlsx", "A 31339-2026")</f>
        <v/>
      </c>
      <c r="X620">
        <f>HYPERLINK("https://klasma.github.io/Logging_2039/kartor/A 31339-2026 karta.png", "A 31339-2026")</f>
        <v/>
      </c>
      <c r="Y620">
        <f>HYPERLINK("https://klasma.github.io/Logging_2039/kartor_geotiff/A 31339-2026 georefererad karta.tif", "A 31339-2026")</f>
        <v/>
      </c>
      <c r="AA620">
        <f>HYPERLINK("https://klasma.github.io/Logging_2039/klagomål/A 31339-2026 FSC-klagomål.docx", "A 31339-2026")</f>
        <v/>
      </c>
      <c r="AB620">
        <f>HYPERLINK("https://klasma.github.io/Logging_2039/klagomålsmail/A 31339-2026 FSC-klagomål mail.docx", "A 31339-2026")</f>
        <v/>
      </c>
      <c r="AC620">
        <f>HYPERLINK("https://klasma.github.io/Logging_2039/tillsyn/A 31339-2026 tillsynsbegäran.docx", "A 31339-2026")</f>
        <v/>
      </c>
      <c r="AD620">
        <f>HYPERLINK("https://klasma.github.io/Logging_2039/tillsynsmail/A 31339-2026 tillsynsbegäran mail.docx", "A 31339-2026")</f>
        <v/>
      </c>
    </row>
    <row r="621" ht="15" customHeight="1">
      <c r="A621" t="inlineStr">
        <is>
          <t>A 31341-2026</t>
        </is>
      </c>
      <c r="B621" t="inlineStr">
        <is>
          <t>avverkningsanmälan</t>
        </is>
      </c>
      <c r="C621" t="inlineStr">
        <is>
          <t>Föryngringsavverkning</t>
        </is>
      </c>
      <c r="D621" s="1" t="n">
        <v>46212</v>
      </c>
      <c r="E621" s="1" t="n">
        <v>46319</v>
      </c>
      <c r="F621" t="inlineStr">
        <is>
          <t>DALARNAS LÄN</t>
        </is>
      </c>
      <c r="G621" t="inlineStr">
        <is>
          <t>ÄLVDALEN</t>
        </is>
      </c>
      <c r="I621" t="n">
        <v>1.2</v>
      </c>
      <c r="J621" t="n">
        <v>0</v>
      </c>
      <c r="K621" t="n">
        <v>0</v>
      </c>
      <c r="L621" t="n">
        <v>4</v>
      </c>
      <c r="M621" t="n">
        <v>0</v>
      </c>
      <c r="N621" t="n">
        <v>0</v>
      </c>
      <c r="O621" t="n">
        <v>0</v>
      </c>
      <c r="P621" t="n">
        <v>0</v>
      </c>
      <c r="Q621" t="n">
        <v>4</v>
      </c>
      <c r="R621" t="n">
        <v>0</v>
      </c>
      <c r="S621" t="n">
        <v>4</v>
      </c>
      <c r="T621" t="n">
        <v>5</v>
      </c>
      <c r="U621" t="n">
        <v>5</v>
      </c>
      <c r="V621" s="2" t="inlineStr">
        <is>
          <t>Nordtagging
Talltaggsvamp
Vedflamlav
Vedskivlav</t>
        </is>
      </c>
      <c r="W621">
        <f>HYPERLINK("https://klasma.github.io/Logging_2039/artfynd/A 31341-2026 artfynd.xlsx", "A 31341-2026")</f>
        <v/>
      </c>
      <c r="X621">
        <f>HYPERLINK("https://klasma.github.io/Logging_2039/kartor/A 31341-2026 karta.png", "A 31341-2026")</f>
        <v/>
      </c>
      <c r="Y621">
        <f>HYPERLINK("https://klasma.github.io/Logging_2039/kartor_geotiff/A 31341-2026 georefererad karta.tif", "A 31341-2026")</f>
        <v/>
      </c>
      <c r="AA621">
        <f>HYPERLINK("https://klasma.github.io/Logging_2039/klagomål/A 31341-2026 FSC-klagomål.docx", "A 31341-2026")</f>
        <v/>
      </c>
      <c r="AB621">
        <f>HYPERLINK("https://klasma.github.io/Logging_2039/klagomålsmail/A 31341-2026 FSC-klagomål mail.docx", "A 31341-2026")</f>
        <v/>
      </c>
      <c r="AC621">
        <f>HYPERLINK("https://klasma.github.io/Logging_2039/tillsyn/A 31341-2026 tillsynsbegäran.docx", "A 31341-2026")</f>
        <v/>
      </c>
      <c r="AD621">
        <f>HYPERLINK("https://klasma.github.io/Logging_2039/tillsynsmail/A 31341-2026 tillsynsbegäran mail.docx", "A 31341-2026")</f>
        <v/>
      </c>
    </row>
    <row r="622" ht="15" customHeight="1">
      <c r="A622" t="inlineStr">
        <is>
          <t>A 31739-2026</t>
        </is>
      </c>
      <c r="B622" t="inlineStr">
        <is>
          <t>avverkningsanmälan</t>
        </is>
      </c>
      <c r="C622" t="inlineStr">
        <is>
          <t>Avverkning för att bevara och utveckla /försöksver</t>
        </is>
      </c>
      <c r="D622" s="1" t="n">
        <v>46227</v>
      </c>
      <c r="E622" s="1" t="n">
        <v>46319</v>
      </c>
      <c r="F622" t="inlineStr">
        <is>
          <t>DALARNAS LÄN</t>
        </is>
      </c>
      <c r="G622" t="inlineStr">
        <is>
          <t>GAGNEF</t>
        </is>
      </c>
      <c r="I622" t="n">
        <v>6</v>
      </c>
      <c r="J622" t="n">
        <v>2</v>
      </c>
      <c r="K622" t="n">
        <v>0</v>
      </c>
      <c r="L622" t="n">
        <v>3</v>
      </c>
      <c r="M622" t="n">
        <v>0</v>
      </c>
      <c r="N622" t="n">
        <v>1</v>
      </c>
      <c r="O622" t="n">
        <v>0</v>
      </c>
      <c r="P622" t="n">
        <v>0</v>
      </c>
      <c r="Q622" t="n">
        <v>4</v>
      </c>
      <c r="R622" t="n">
        <v>1</v>
      </c>
      <c r="S622" t="n">
        <v>4</v>
      </c>
      <c r="T622" t="n">
        <v>7</v>
      </c>
      <c r="U622" t="n">
        <v>0</v>
      </c>
      <c r="V622" s="2" t="inlineStr">
        <is>
          <t>Rutlåsbräken
Höstlåsbräken
Månlåsbräken
Vårstarr</t>
        </is>
      </c>
      <c r="W622">
        <f>HYPERLINK("https://klasma.github.io/Logging_2026/artfynd/A 31739-2026 artfynd.xlsx", "A 31739-2026")</f>
        <v/>
      </c>
      <c r="X622">
        <f>HYPERLINK("https://klasma.github.io/Logging_2026/kartor/A 31739-2026 karta.png", "A 31739-2026")</f>
        <v/>
      </c>
      <c r="Y622">
        <f>HYPERLINK("https://klasma.github.io/Logging_2026/kartor_geotiff/A 31739-2026 georefererad karta.tif", "A 31739-2026")</f>
        <v/>
      </c>
      <c r="AA622">
        <f>HYPERLINK("https://klasma.github.io/Logging_2026/klagomål/A 31739-2026 FSC-klagomål.docx", "A 31739-2026")</f>
        <v/>
      </c>
      <c r="AB622">
        <f>HYPERLINK("https://klasma.github.io/Logging_2026/klagomålsmail/A 31739-2026 FSC-klagomål mail.docx", "A 31739-2026")</f>
        <v/>
      </c>
      <c r="AC622">
        <f>HYPERLINK("https://klasma.github.io/Logging_2026/tillsyn/A 31739-2026 tillsynsbegäran.docx", "A 31739-2026")</f>
        <v/>
      </c>
      <c r="AD622">
        <f>HYPERLINK("https://klasma.github.io/Logging_2026/tillsynsmail/A 31739-2026 tillsynsbegäran mail.docx", "A 31739-2026")</f>
        <v/>
      </c>
    </row>
    <row r="623" ht="15" customHeight="1">
      <c r="A623" t="inlineStr">
        <is>
          <t>A 21747-2025</t>
        </is>
      </c>
      <c r="B623" t="inlineStr">
        <is>
          <t>avverkningsanmälan</t>
        </is>
      </c>
      <c r="C623" t="inlineStr">
        <is>
          <t>Föryngringsavverkning</t>
        </is>
      </c>
      <c r="D623" s="1" t="n">
        <v>45783</v>
      </c>
      <c r="E623" s="1" t="n">
        <v>46319</v>
      </c>
      <c r="F623" t="inlineStr">
        <is>
          <t>DALARNAS LÄN</t>
        </is>
      </c>
      <c r="G623" t="inlineStr">
        <is>
          <t>ORSA</t>
        </is>
      </c>
      <c r="I623" t="n">
        <v>1.2</v>
      </c>
      <c r="J623" t="n">
        <v>1</v>
      </c>
      <c r="K623" t="n">
        <v>1</v>
      </c>
      <c r="L623" t="n">
        <v>2</v>
      </c>
      <c r="M623" t="n">
        <v>1</v>
      </c>
      <c r="N623" t="n">
        <v>0</v>
      </c>
      <c r="O623" t="n">
        <v>0</v>
      </c>
      <c r="P623" t="n">
        <v>0</v>
      </c>
      <c r="Q623" t="n">
        <v>3</v>
      </c>
      <c r="R623" t="n">
        <v>1</v>
      </c>
      <c r="S623" t="n">
        <v>4</v>
      </c>
      <c r="T623" t="n">
        <v>5</v>
      </c>
      <c r="U623" t="n">
        <v>5</v>
      </c>
      <c r="V623" s="2" t="inlineStr">
        <is>
          <t>Garnlav
Tretåig hackspett
Violettgrå tagellav
Mindre märgborre</t>
        </is>
      </c>
      <c r="W623">
        <f>HYPERLINK("https://klasma.github.io/Logging_2034/artfynd/A 21747-2025 artfynd.xlsx", "A 21747-2025")</f>
        <v/>
      </c>
      <c r="X623">
        <f>HYPERLINK("https://klasma.github.io/Logging_2034/kartor/A 21747-2025 karta.png", "A 21747-2025")</f>
        <v/>
      </c>
      <c r="Y623">
        <f>HYPERLINK("https://klasma.github.io/Logging_2034/kartor_geotiff/A 21747-2025 georefererad karta.tif", "A 21747-2025")</f>
        <v/>
      </c>
      <c r="AA623">
        <f>HYPERLINK("https://klasma.github.io/Logging_2034/klagomål/A 21747-2025 FSC-klagomål.docx", "A 21747-2025")</f>
        <v/>
      </c>
      <c r="AB623">
        <f>HYPERLINK("https://klasma.github.io/Logging_2034/klagomålsmail/A 21747-2025 FSC-klagomål mail.docx", "A 21747-2025")</f>
        <v/>
      </c>
      <c r="AC623">
        <f>HYPERLINK("https://klasma.github.io/Logging_2034/tillsyn/A 21747-2025 tillsynsbegäran.docx", "A 21747-2025")</f>
        <v/>
      </c>
      <c r="AD623">
        <f>HYPERLINK("https://klasma.github.io/Logging_2034/tillsynsmail/A 21747-2025 tillsynsbegäran mail.docx", "A 21747-2025")</f>
        <v/>
      </c>
      <c r="AE623">
        <f>HYPERLINK("https://klasma.github.io/Logging_2034/fåglar/A 21747-2025 prioriterade fågelarter.docx", "A 21747-2025")</f>
        <v/>
      </c>
    </row>
    <row r="624" ht="15" customHeight="1">
      <c r="A624" t="inlineStr">
        <is>
          <t>A 28738-2026</t>
        </is>
      </c>
      <c r="B624" t="inlineStr">
        <is>
          <t>avverkningsanmälan</t>
        </is>
      </c>
      <c r="C624" t="inlineStr">
        <is>
          <t>Föryngringsavverkning</t>
        </is>
      </c>
      <c r="D624" s="1" t="n">
        <v>46198</v>
      </c>
      <c r="E624" s="1" t="n">
        <v>46319</v>
      </c>
      <c r="F624" t="inlineStr">
        <is>
          <t>DALARNAS LÄN</t>
        </is>
      </c>
      <c r="G624" t="inlineStr">
        <is>
          <t>LUDVIKA</t>
        </is>
      </c>
      <c r="H624" t="inlineStr">
        <is>
          <t>Bergvik skog väst AB</t>
        </is>
      </c>
      <c r="I624" t="n">
        <v>1.5</v>
      </c>
      <c r="J624" t="n">
        <v>1</v>
      </c>
      <c r="K624" t="n">
        <v>1</v>
      </c>
      <c r="L624" t="n">
        <v>1</v>
      </c>
      <c r="M624" t="n">
        <v>1</v>
      </c>
      <c r="N624" t="n">
        <v>0</v>
      </c>
      <c r="O624" t="n">
        <v>0</v>
      </c>
      <c r="P624" t="n">
        <v>0</v>
      </c>
      <c r="Q624" t="n">
        <v>2</v>
      </c>
      <c r="R624" t="n">
        <v>1</v>
      </c>
      <c r="S624" t="n">
        <v>4</v>
      </c>
      <c r="T624" t="n">
        <v>12</v>
      </c>
      <c r="U624" t="n">
        <v>12</v>
      </c>
      <c r="V624" s="2" t="inlineStr">
        <is>
          <t>Garnlav
Violettgrå tagellav
Mindre märgborre
Spillkråka</t>
        </is>
      </c>
      <c r="W624">
        <f>HYPERLINK("https://klasma.github.io/Logging_2085/artfynd/A 28738-2026 artfynd.xlsx", "A 28738-2026")</f>
        <v/>
      </c>
      <c r="X624">
        <f>HYPERLINK("https://klasma.github.io/Logging_2085/kartor/A 28738-2026 karta.png", "A 28738-2026")</f>
        <v/>
      </c>
      <c r="Y624">
        <f>HYPERLINK("https://klasma.github.io/Logging_2085/kartor_geotiff/A 28738-2026 georefererad karta.tif", "A 28738-2026")</f>
        <v/>
      </c>
      <c r="AA624">
        <f>HYPERLINK("https://klasma.github.io/Logging_2085/klagomål/A 28738-2026 FSC-klagomål.docx", "A 28738-2026")</f>
        <v/>
      </c>
      <c r="AB624">
        <f>HYPERLINK("https://klasma.github.io/Logging_2085/klagomålsmail/A 28738-2026 FSC-klagomål mail.docx", "A 28738-2026")</f>
        <v/>
      </c>
      <c r="AC624">
        <f>HYPERLINK("https://klasma.github.io/Logging_2085/tillsyn/A 28738-2026 tillsynsbegäran.docx", "A 28738-2026")</f>
        <v/>
      </c>
      <c r="AD624">
        <f>HYPERLINK("https://klasma.github.io/Logging_2085/tillsynsmail/A 28738-2026 tillsynsbegäran mail.docx", "A 28738-2026")</f>
        <v/>
      </c>
      <c r="AE624">
        <f>HYPERLINK("https://klasma.github.io/Logging_2085/fåglar/A 28738-2026 prioriterade fågelarter.docx", "A 28738-2026")</f>
        <v/>
      </c>
    </row>
    <row r="625" ht="15" customHeight="1">
      <c r="A625" t="inlineStr">
        <is>
          <t>A 32222-2026</t>
        </is>
      </c>
      <c r="B625" t="inlineStr">
        <is>
          <t>avverkningsanmälan</t>
        </is>
      </c>
      <c r="C625" t="inlineStr">
        <is>
          <t>Föryngringsavverkning</t>
        </is>
      </c>
      <c r="D625" s="1" t="n">
        <v>46237</v>
      </c>
      <c r="E625" s="1" t="n">
        <v>46319</v>
      </c>
      <c r="F625" t="inlineStr">
        <is>
          <t>DALARNAS LÄN</t>
        </is>
      </c>
      <c r="G625" t="inlineStr">
        <is>
          <t>MORA</t>
        </is>
      </c>
      <c r="I625" t="n">
        <v>3.9</v>
      </c>
      <c r="J625" t="n">
        <v>0</v>
      </c>
      <c r="K625" t="n">
        <v>0</v>
      </c>
      <c r="L625" t="n">
        <v>2</v>
      </c>
      <c r="M625" t="n">
        <v>2</v>
      </c>
      <c r="N625" t="n">
        <v>0</v>
      </c>
      <c r="O625" t="n">
        <v>0</v>
      </c>
      <c r="P625" t="n">
        <v>0</v>
      </c>
      <c r="Q625" t="n">
        <v>4</v>
      </c>
      <c r="R625" t="n">
        <v>2</v>
      </c>
      <c r="S625" t="n">
        <v>4</v>
      </c>
      <c r="T625" t="n">
        <v>11</v>
      </c>
      <c r="U625" t="n">
        <v>11</v>
      </c>
      <c r="V625" s="2" t="inlineStr">
        <is>
          <t>Garnlav
Skrovlig taggsvamp
Dropptaggsvamp
Tallfingersvamp</t>
        </is>
      </c>
      <c r="W625">
        <f>HYPERLINK("https://klasma.github.io/Logging_2062/artfynd/A 32222-2026 artfynd.xlsx", "A 32222-2026")</f>
        <v/>
      </c>
      <c r="X625">
        <f>HYPERLINK("https://klasma.github.io/Logging_2062/kartor/A 32222-2026 karta.png", "A 32222-2026")</f>
        <v/>
      </c>
      <c r="Y625">
        <f>HYPERLINK("https://klasma.github.io/Logging_2062/kartor_geotiff/A 32222-2026 georefererad karta.tif", "A 32222-2026")</f>
        <v/>
      </c>
      <c r="AA625">
        <f>HYPERLINK("https://klasma.github.io/Logging_2062/klagomål/A 32222-2026 FSC-klagomål.docx", "A 32222-2026")</f>
        <v/>
      </c>
      <c r="AB625">
        <f>HYPERLINK("https://klasma.github.io/Logging_2062/klagomålsmail/A 32222-2026 FSC-klagomål mail.docx", "A 32222-2026")</f>
        <v/>
      </c>
      <c r="AC625">
        <f>HYPERLINK("https://klasma.github.io/Logging_2062/tillsyn/A 32222-2026 tillsynsbegäran.docx", "A 32222-2026")</f>
        <v/>
      </c>
      <c r="AD625">
        <f>HYPERLINK("https://klasma.github.io/Logging_2062/tillsynsmail/A 32222-2026 tillsynsbegäran mail.docx", "A 32222-2026")</f>
        <v/>
      </c>
    </row>
    <row r="626" ht="15" customHeight="1">
      <c r="A626" t="inlineStr">
        <is>
          <t>A 22291-2025</t>
        </is>
      </c>
      <c r="B626" t="inlineStr">
        <is>
          <t>avverkningsanmälan</t>
        </is>
      </c>
      <c r="C626" t="inlineStr">
        <is>
          <t>Föryngringsavverkning</t>
        </is>
      </c>
      <c r="D626" s="1" t="n">
        <v>45786</v>
      </c>
      <c r="E626" s="1" t="n">
        <v>46319</v>
      </c>
      <c r="F626" t="inlineStr">
        <is>
          <t>DALARNAS LÄN</t>
        </is>
      </c>
      <c r="G626" t="inlineStr">
        <is>
          <t>ÄLVDALEN</t>
        </is>
      </c>
      <c r="H626" t="inlineStr">
        <is>
          <t>Sveaskog</t>
        </is>
      </c>
      <c r="I626" t="n">
        <v>3.7</v>
      </c>
      <c r="J626" t="n">
        <v>0</v>
      </c>
      <c r="K626" t="n">
        <v>0</v>
      </c>
      <c r="L626" t="n">
        <v>4</v>
      </c>
      <c r="M626" t="n">
        <v>0</v>
      </c>
      <c r="N626" t="n">
        <v>0</v>
      </c>
      <c r="O626" t="n">
        <v>0</v>
      </c>
      <c r="P626" t="n">
        <v>0</v>
      </c>
      <c r="Q626" t="n">
        <v>4</v>
      </c>
      <c r="R626" t="n">
        <v>0</v>
      </c>
      <c r="S626" t="n">
        <v>4</v>
      </c>
      <c r="T626" t="n">
        <v>4</v>
      </c>
      <c r="U626" t="n">
        <v>4</v>
      </c>
      <c r="V626" s="2" t="inlineStr">
        <is>
          <t>Dropptaggsvamp
Kolflarnlav
Mörk kolflarnlav
Vedflamlav</t>
        </is>
      </c>
      <c r="W626">
        <f>HYPERLINK("https://klasma.github.io/Logging_2039/artfynd/A 22291-2025 artfynd.xlsx", "A 22291-2025")</f>
        <v/>
      </c>
      <c r="X626">
        <f>HYPERLINK("https://klasma.github.io/Logging_2039/kartor/A 22291-2025 karta.png", "A 22291-2025")</f>
        <v/>
      </c>
      <c r="Y626">
        <f>HYPERLINK("https://klasma.github.io/Logging_2039/kartor_geotiff/A 22291-2025 georefererad karta.tif", "A 22291-2025")</f>
        <v/>
      </c>
      <c r="AA626">
        <f>HYPERLINK("https://klasma.github.io/Logging_2039/klagomål/A 22291-2025 FSC-klagomål.docx", "A 22291-2025")</f>
        <v/>
      </c>
      <c r="AB626">
        <f>HYPERLINK("https://klasma.github.io/Logging_2039/klagomålsmail/A 22291-2025 FSC-klagomål mail.docx", "A 22291-2025")</f>
        <v/>
      </c>
      <c r="AC626">
        <f>HYPERLINK("https://klasma.github.io/Logging_2039/tillsyn/A 22291-2025 tillsynsbegäran.docx", "A 22291-2025")</f>
        <v/>
      </c>
      <c r="AD626">
        <f>HYPERLINK("https://klasma.github.io/Logging_2039/tillsynsmail/A 22291-2025 tillsynsbegäran mail.docx", "A 22291-2025")</f>
        <v/>
      </c>
    </row>
    <row r="627" ht="15" customHeight="1">
      <c r="A627" t="inlineStr">
        <is>
          <t>A 64124-2025</t>
        </is>
      </c>
      <c r="B627" t="inlineStr">
        <is>
          <t>avverkningsanmälan</t>
        </is>
      </c>
      <c r="C627" t="inlineStr">
        <is>
          <t>Föryngringsavverkning</t>
        </is>
      </c>
      <c r="D627" s="1" t="n">
        <v>46021</v>
      </c>
      <c r="E627" s="1" t="n">
        <v>46319</v>
      </c>
      <c r="F627" t="inlineStr">
        <is>
          <t>DALARNAS LÄN</t>
        </is>
      </c>
      <c r="G627" t="inlineStr">
        <is>
          <t>BORLÄNGE</t>
        </is>
      </c>
      <c r="I627" t="n">
        <v>1.4</v>
      </c>
      <c r="J627" t="n">
        <v>1</v>
      </c>
      <c r="K627" t="n">
        <v>0</v>
      </c>
      <c r="L627" t="n">
        <v>3</v>
      </c>
      <c r="M627" t="n">
        <v>1</v>
      </c>
      <c r="N627" t="n">
        <v>0</v>
      </c>
      <c r="O627" t="n">
        <v>0</v>
      </c>
      <c r="P627" t="n">
        <v>0</v>
      </c>
      <c r="Q627" t="n">
        <v>4</v>
      </c>
      <c r="R627" t="n">
        <v>1</v>
      </c>
      <c r="S627" t="n">
        <v>4</v>
      </c>
      <c r="T627" t="n">
        <v>9</v>
      </c>
      <c r="U627" t="n">
        <v>0</v>
      </c>
      <c r="V627" s="2" t="inlineStr">
        <is>
          <t>Knärot
Rosenticka
Rynkskinn
Ullticka</t>
        </is>
      </c>
      <c r="W627">
        <f>HYPERLINK("https://klasma.github.io/Logging_2081/artfynd/A 64124-2025 artfynd.xlsx", "A 64124-2025")</f>
        <v/>
      </c>
      <c r="X627">
        <f>HYPERLINK("https://klasma.github.io/Logging_2081/kartor/A 64124-2025 karta.png", "A 64124-2025")</f>
        <v/>
      </c>
      <c r="Y627">
        <f>HYPERLINK("https://klasma.github.io/Logging_2081/kartor_geotiff/A 64124-2025 georefererad karta.tif", "A 64124-2025")</f>
        <v/>
      </c>
      <c r="Z627">
        <f>HYPERLINK("https://klasma.github.io/Logging_2081/knärot/A 64124-2025 karta knärot.png", "A 64124-2025")</f>
        <v/>
      </c>
      <c r="AA627">
        <f>HYPERLINK("https://klasma.github.io/Logging_2081/klagomål/A 64124-2025 FSC-klagomål.docx", "A 64124-2025")</f>
        <v/>
      </c>
      <c r="AB627">
        <f>HYPERLINK("https://klasma.github.io/Logging_2081/klagomålsmail/A 64124-2025 FSC-klagomål mail.docx", "A 64124-2025")</f>
        <v/>
      </c>
      <c r="AC627">
        <f>HYPERLINK("https://klasma.github.io/Logging_2081/tillsyn/A 64124-2025 tillsynsbegäran.docx", "A 64124-2025")</f>
        <v/>
      </c>
      <c r="AD627">
        <f>HYPERLINK("https://klasma.github.io/Logging_2081/tillsynsmail/A 64124-2025 tillsynsbegäran mail.docx", "A 64124-2025")</f>
        <v/>
      </c>
    </row>
    <row r="628" ht="15" customHeight="1">
      <c r="A628" t="inlineStr">
        <is>
          <t>A 48499-2024</t>
        </is>
      </c>
      <c r="B628" t="inlineStr">
        <is>
          <t>avverkningsanmälan</t>
        </is>
      </c>
      <c r="C628" t="inlineStr">
        <is>
          <t>Föryngringsavverkning</t>
        </is>
      </c>
      <c r="D628" s="1" t="n">
        <v>45592</v>
      </c>
      <c r="E628" s="1" t="n">
        <v>46319</v>
      </c>
      <c r="F628" t="inlineStr">
        <is>
          <t>DALARNAS LÄN</t>
        </is>
      </c>
      <c r="G628" t="inlineStr">
        <is>
          <t>ORSA</t>
        </is>
      </c>
      <c r="I628" t="n">
        <v>11.1</v>
      </c>
      <c r="J628" t="n">
        <v>2</v>
      </c>
      <c r="K628" t="n">
        <v>0</v>
      </c>
      <c r="L628" t="n">
        <v>2</v>
      </c>
      <c r="M628" t="n">
        <v>1</v>
      </c>
      <c r="N628" t="n">
        <v>0</v>
      </c>
      <c r="O628" t="n">
        <v>0</v>
      </c>
      <c r="P628" t="n">
        <v>0</v>
      </c>
      <c r="Q628" t="n">
        <v>3</v>
      </c>
      <c r="R628" t="n">
        <v>1</v>
      </c>
      <c r="S628" t="n">
        <v>4</v>
      </c>
      <c r="T628" t="n">
        <v>30</v>
      </c>
      <c r="U628" t="n">
        <v>30</v>
      </c>
      <c r="V628" s="2" t="inlineStr">
        <is>
          <t>Garnlav
Skogshare
Tretåig hackspett
Spillkråka</t>
        </is>
      </c>
      <c r="W628">
        <f>HYPERLINK("https://klasma.github.io/Logging_2034/artfynd/A 48499-2024 artfynd.xlsx", "A 48499-2024")</f>
        <v/>
      </c>
      <c r="X628">
        <f>HYPERLINK("https://klasma.github.io/Logging_2034/kartor/A 48499-2024 karta.png", "A 48499-2024")</f>
        <v/>
      </c>
      <c r="Y628">
        <f>HYPERLINK("https://klasma.github.io/Logging_2034/kartor_geotiff/A 48499-2024 georefererad karta.tif", "A 48499-2024")</f>
        <v/>
      </c>
      <c r="AA628">
        <f>HYPERLINK("https://klasma.github.io/Logging_2034/klagomål/A 48499-2024 FSC-klagomål.docx", "A 48499-2024")</f>
        <v/>
      </c>
      <c r="AB628">
        <f>HYPERLINK("https://klasma.github.io/Logging_2034/klagomålsmail/A 48499-2024 FSC-klagomål mail.docx", "A 48499-2024")</f>
        <v/>
      </c>
      <c r="AC628">
        <f>HYPERLINK("https://klasma.github.io/Logging_2034/tillsyn/A 48499-2024 tillsynsbegäran.docx", "A 48499-2024")</f>
        <v/>
      </c>
      <c r="AD628">
        <f>HYPERLINK("https://klasma.github.io/Logging_2034/tillsynsmail/A 48499-2024 tillsynsbegäran mail.docx", "A 48499-2024")</f>
        <v/>
      </c>
      <c r="AE628">
        <f>HYPERLINK("https://klasma.github.io/Logging_2034/fåglar/A 48499-2024 prioriterade fågelarter.docx", "A 48499-2024")</f>
        <v/>
      </c>
    </row>
    <row r="629" ht="15" customHeight="1">
      <c r="A629" t="inlineStr">
        <is>
          <t>A 38635-2026</t>
        </is>
      </c>
      <c r="B629" t="inlineStr">
        <is>
          <t>avverkningsanmälan</t>
        </is>
      </c>
      <c r="C629" t="inlineStr">
        <is>
          <t>Föryngringsavverkning</t>
        </is>
      </c>
      <c r="D629" s="1" t="n">
        <v>46283</v>
      </c>
      <c r="E629" s="1" t="n">
        <v>46319</v>
      </c>
      <c r="F629" t="inlineStr">
        <is>
          <t>DALARNAS LÄN</t>
        </is>
      </c>
      <c r="G629" t="inlineStr">
        <is>
          <t>LUDVIKA</t>
        </is>
      </c>
      <c r="H629" t="inlineStr">
        <is>
          <t>Bergvik skog väst AB</t>
        </is>
      </c>
      <c r="I629" t="n">
        <v>2.2</v>
      </c>
      <c r="J629" t="n">
        <v>0</v>
      </c>
      <c r="K629" t="n">
        <v>3</v>
      </c>
      <c r="L629" t="n">
        <v>1</v>
      </c>
      <c r="M629" t="n">
        <v>0</v>
      </c>
      <c r="N629" t="n">
        <v>0</v>
      </c>
      <c r="O629" t="n">
        <v>0</v>
      </c>
      <c r="P629" t="n">
        <v>0</v>
      </c>
      <c r="Q629" t="n">
        <v>1</v>
      </c>
      <c r="R629" t="n">
        <v>0</v>
      </c>
      <c r="S629" t="n">
        <v>4</v>
      </c>
      <c r="T629" t="n">
        <v>4</v>
      </c>
      <c r="U629" t="n">
        <v>0</v>
      </c>
      <c r="V629" s="2" t="inlineStr">
        <is>
          <t>Lunglav
Mörk husmossa
Vedticka
Vågbandad barkbock</t>
        </is>
      </c>
      <c r="W629">
        <f>HYPERLINK("https://klasma.github.io/Logging_2085/artfynd/A 38635-2026 artfynd.xlsx", "A 38635-2026")</f>
        <v/>
      </c>
      <c r="X629">
        <f>HYPERLINK("https://klasma.github.io/Logging_2085/kartor/A 38635-2026 karta.png", "A 38635-2026")</f>
        <v/>
      </c>
      <c r="Y629">
        <f>HYPERLINK("https://klasma.github.io/Logging_2085/kartor_geotiff/A 38635-2026 georefererad karta.tif", "A 38635-2026")</f>
        <v/>
      </c>
      <c r="AA629">
        <f>HYPERLINK("https://klasma.github.io/Logging_2085/klagomål/A 38635-2026 FSC-klagomål.docx", "A 38635-2026")</f>
        <v/>
      </c>
      <c r="AB629">
        <f>HYPERLINK("https://klasma.github.io/Logging_2085/klagomålsmail/A 38635-2026 FSC-klagomål mail.docx", "A 38635-2026")</f>
        <v/>
      </c>
      <c r="AC629">
        <f>HYPERLINK("https://klasma.github.io/Logging_2085/tillsyn/A 38635-2026 tillsynsbegäran.docx", "A 38635-2026")</f>
        <v/>
      </c>
      <c r="AD629">
        <f>HYPERLINK("https://klasma.github.io/Logging_2085/tillsynsmail/A 38635-2026 tillsynsbegäran mail.docx", "A 38635-2026")</f>
        <v/>
      </c>
    </row>
    <row r="630" ht="15" customHeight="1">
      <c r="A630" t="inlineStr">
        <is>
          <t>A 2089-2026</t>
        </is>
      </c>
      <c r="B630" t="inlineStr">
        <is>
          <t>avverkningsanmälan</t>
        </is>
      </c>
      <c r="C630" t="inlineStr">
        <is>
          <t>Föryngringsavverkning</t>
        </is>
      </c>
      <c r="D630" s="1" t="n">
        <v>46036</v>
      </c>
      <c r="E630" s="1" t="n">
        <v>46319</v>
      </c>
      <c r="F630" t="inlineStr">
        <is>
          <t>DALARNAS LÄN</t>
        </is>
      </c>
      <c r="G630" t="inlineStr">
        <is>
          <t>RÄTTVIK</t>
        </is>
      </c>
      <c r="I630" t="n">
        <v>0.6</v>
      </c>
      <c r="J630" t="n">
        <v>4</v>
      </c>
      <c r="K630" t="n">
        <v>0</v>
      </c>
      <c r="L630" t="n">
        <v>0</v>
      </c>
      <c r="M630" t="n">
        <v>0</v>
      </c>
      <c r="N630" t="n">
        <v>0</v>
      </c>
      <c r="O630" t="n">
        <v>0</v>
      </c>
      <c r="P630" t="n">
        <v>0</v>
      </c>
      <c r="Q630" t="n">
        <v>0</v>
      </c>
      <c r="R630" t="n">
        <v>0</v>
      </c>
      <c r="S630" t="n">
        <v>4</v>
      </c>
      <c r="T630" t="n">
        <v>4</v>
      </c>
      <c r="U630" t="n">
        <v>0</v>
      </c>
      <c r="V630" s="2" t="inlineStr">
        <is>
          <t>Spillkråka
Tjäder
Orre
Ärtsångare</t>
        </is>
      </c>
      <c r="W630">
        <f>HYPERLINK("https://klasma.github.io/Logging_2031/artfynd/A 2089-2026 artfynd.xlsx", "A 2089-2026")</f>
        <v/>
      </c>
      <c r="X630">
        <f>HYPERLINK("https://klasma.github.io/Logging_2031/kartor/A 2089-2026 karta.png", "A 2089-2026")</f>
        <v/>
      </c>
      <c r="Y630">
        <f>HYPERLINK("https://klasma.github.io/Logging_2031/kartor_geotiff/A 2089-2026 georefererad karta.tif", "A 2089-2026")</f>
        <v/>
      </c>
      <c r="AA630">
        <f>HYPERLINK("https://klasma.github.io/Logging_2031/klagomål/A 2089-2026 FSC-klagomål.docx", "A 2089-2026")</f>
        <v/>
      </c>
      <c r="AB630">
        <f>HYPERLINK("https://klasma.github.io/Logging_2031/klagomålsmail/A 2089-2026 FSC-klagomål mail.docx", "A 2089-2026")</f>
        <v/>
      </c>
      <c r="AC630">
        <f>HYPERLINK("https://klasma.github.io/Logging_2031/tillsyn/A 2089-2026 tillsynsbegäran.docx", "A 2089-2026")</f>
        <v/>
      </c>
      <c r="AD630">
        <f>HYPERLINK("https://klasma.github.io/Logging_2031/tillsynsmail/A 2089-2026 tillsynsbegäran mail.docx", "A 2089-2026")</f>
        <v/>
      </c>
      <c r="AE630">
        <f>HYPERLINK("https://klasma.github.io/Logging_2031/fåglar/A 2089-2026 prioriterade fågelarter.docx", "A 2089-2026")</f>
        <v/>
      </c>
    </row>
    <row r="631" ht="15" customHeight="1">
      <c r="A631" t="inlineStr">
        <is>
          <t>A 62054-2021</t>
        </is>
      </c>
      <c r="B631" t="inlineStr">
        <is>
          <t>avverkningsanmälan</t>
        </is>
      </c>
      <c r="C631" t="inlineStr">
        <is>
          <t>Föryngringsavverkning</t>
        </is>
      </c>
      <c r="D631" s="1" t="n">
        <v>44502</v>
      </c>
      <c r="E631" s="1" t="n">
        <v>46319</v>
      </c>
      <c r="F631" t="inlineStr">
        <is>
          <t>DALARNAS LÄN</t>
        </is>
      </c>
      <c r="G631" t="inlineStr">
        <is>
          <t>HEDEMORA</t>
        </is>
      </c>
      <c r="I631" t="n">
        <v>1.5</v>
      </c>
      <c r="J631" t="n">
        <v>1</v>
      </c>
      <c r="K631" t="n">
        <v>0</v>
      </c>
      <c r="L631" t="n">
        <v>2</v>
      </c>
      <c r="M631" t="n">
        <v>2</v>
      </c>
      <c r="N631" t="n">
        <v>0</v>
      </c>
      <c r="O631" t="n">
        <v>0</v>
      </c>
      <c r="P631" t="n">
        <v>0</v>
      </c>
      <c r="Q631" t="n">
        <v>4</v>
      </c>
      <c r="R631" t="n">
        <v>2</v>
      </c>
      <c r="S631" t="n">
        <v>4</v>
      </c>
      <c r="T631" t="n">
        <v>16</v>
      </c>
      <c r="U631" t="n">
        <v>15</v>
      </c>
      <c r="V631" s="2" t="inlineStr">
        <is>
          <t>Garnlav
Knärot
Motaggsvamp
Ullticka</t>
        </is>
      </c>
      <c r="W631">
        <f>HYPERLINK("https://klasma.github.io/Logging_2083/artfynd/A 62054-2021 artfynd.xlsx", "A 62054-2021")</f>
        <v/>
      </c>
      <c r="X631">
        <f>HYPERLINK("https://klasma.github.io/Logging_2083/kartor/A 62054-2021 karta.png", "A 62054-2021")</f>
        <v/>
      </c>
      <c r="Y631">
        <f>HYPERLINK("https://klasma.github.io/Logging_2083/kartor_geotiff/A 62054-2021 georefererad karta.tif", "A 62054-2021")</f>
        <v/>
      </c>
      <c r="Z631">
        <f>HYPERLINK("https://klasma.github.io/Logging_2083/knärot/A 62054-2021 karta knärot.png", "A 62054-2021")</f>
        <v/>
      </c>
      <c r="AA631">
        <f>HYPERLINK("https://klasma.github.io/Logging_2083/klagomål/A 62054-2021 FSC-klagomål.docx", "A 62054-2021")</f>
        <v/>
      </c>
      <c r="AB631">
        <f>HYPERLINK("https://klasma.github.io/Logging_2083/klagomålsmail/A 62054-2021 FSC-klagomål mail.docx", "A 62054-2021")</f>
        <v/>
      </c>
      <c r="AC631">
        <f>HYPERLINK("https://klasma.github.io/Logging_2083/tillsyn/A 62054-2021 tillsynsbegäran.docx", "A 62054-2021")</f>
        <v/>
      </c>
      <c r="AD631">
        <f>HYPERLINK("https://klasma.github.io/Logging_2083/tillsynsmail/A 62054-2021 tillsynsbegäran mail.docx", "A 62054-2021")</f>
        <v/>
      </c>
    </row>
    <row r="632" ht="15" customHeight="1">
      <c r="A632" t="inlineStr">
        <is>
          <t>A 3419-2026</t>
        </is>
      </c>
      <c r="B632" t="inlineStr">
        <is>
          <t>avverkningsanmälan</t>
        </is>
      </c>
      <c r="C632" t="inlineStr">
        <is>
          <t>Föryngringsavverkning</t>
        </is>
      </c>
      <c r="D632" s="1" t="n">
        <v>46042</v>
      </c>
      <c r="E632" s="1" t="n">
        <v>46319</v>
      </c>
      <c r="F632" t="inlineStr">
        <is>
          <t>DALARNAS LÄN</t>
        </is>
      </c>
      <c r="G632" t="inlineStr">
        <is>
          <t>AVESTA</t>
        </is>
      </c>
      <c r="I632" t="n">
        <v>5.4</v>
      </c>
      <c r="J632" t="n">
        <v>2</v>
      </c>
      <c r="K632" t="n">
        <v>0</v>
      </c>
      <c r="L632" t="n">
        <v>2</v>
      </c>
      <c r="M632" t="n">
        <v>1</v>
      </c>
      <c r="N632" t="n">
        <v>0</v>
      </c>
      <c r="O632" t="n">
        <v>0</v>
      </c>
      <c r="P632" t="n">
        <v>0</v>
      </c>
      <c r="Q632" t="n">
        <v>3</v>
      </c>
      <c r="R632" t="n">
        <v>1</v>
      </c>
      <c r="S632" t="n">
        <v>4</v>
      </c>
      <c r="T632" t="n">
        <v>14</v>
      </c>
      <c r="U632" t="n">
        <v>0</v>
      </c>
      <c r="V632" s="2" t="inlineStr">
        <is>
          <t>Knärot
Rynkskinn
Ullticka
Revlummer</t>
        </is>
      </c>
      <c r="W632">
        <f>HYPERLINK("https://klasma.github.io/Logging_2084/artfynd/A 3419-2026 artfynd.xlsx", "A 3419-2026")</f>
        <v/>
      </c>
      <c r="X632">
        <f>HYPERLINK("https://klasma.github.io/Logging_2084/kartor/A 3419-2026 karta.png", "A 3419-2026")</f>
        <v/>
      </c>
      <c r="Y632">
        <f>HYPERLINK("https://klasma.github.io/Logging_2084/kartor_geotiff/A 3419-2026 georefererad karta.tif", "A 3419-2026")</f>
        <v/>
      </c>
      <c r="Z632">
        <f>HYPERLINK("https://klasma.github.io/Logging_2084/knärot/A 3419-2026 karta knärot.png", "A 3419-2026")</f>
        <v/>
      </c>
      <c r="AA632">
        <f>HYPERLINK("https://klasma.github.io/Logging_2084/klagomål/A 3419-2026 FSC-klagomål.docx", "A 3419-2026")</f>
        <v/>
      </c>
      <c r="AB632">
        <f>HYPERLINK("https://klasma.github.io/Logging_2084/klagomålsmail/A 3419-2026 FSC-klagomål mail.docx", "A 3419-2026")</f>
        <v/>
      </c>
      <c r="AC632">
        <f>HYPERLINK("https://klasma.github.io/Logging_2084/tillsyn/A 3419-2026 tillsynsbegäran.docx", "A 3419-2026")</f>
        <v/>
      </c>
      <c r="AD632">
        <f>HYPERLINK("https://klasma.github.io/Logging_2084/tillsynsmail/A 3419-2026 tillsynsbegäran mail.docx", "A 3419-2026")</f>
        <v/>
      </c>
    </row>
    <row r="633" ht="15" customHeight="1">
      <c r="A633" t="inlineStr">
        <is>
          <t>A 643-2026</t>
        </is>
      </c>
      <c r="B633" t="inlineStr">
        <is>
          <t>avverkningsanmälan</t>
        </is>
      </c>
      <c r="C633" t="inlineStr">
        <is>
          <t>Föryngringsavverkning</t>
        </is>
      </c>
      <c r="D633" s="1" t="n">
        <v>46029</v>
      </c>
      <c r="E633" s="1" t="n">
        <v>46319</v>
      </c>
      <c r="F633" t="inlineStr">
        <is>
          <t>DALARNAS LÄN</t>
        </is>
      </c>
      <c r="G633" t="inlineStr">
        <is>
          <t>FALUN</t>
        </is>
      </c>
      <c r="I633" t="n">
        <v>41.8</v>
      </c>
      <c r="J633" t="n">
        <v>3</v>
      </c>
      <c r="K633" t="n">
        <v>0</v>
      </c>
      <c r="L633" t="n">
        <v>1</v>
      </c>
      <c r="M633" t="n">
        <v>0</v>
      </c>
      <c r="N633" t="n">
        <v>0</v>
      </c>
      <c r="O633" t="n">
        <v>0</v>
      </c>
      <c r="P633" t="n">
        <v>0</v>
      </c>
      <c r="Q633" t="n">
        <v>1</v>
      </c>
      <c r="R633" t="n">
        <v>0</v>
      </c>
      <c r="S633" t="n">
        <v>4</v>
      </c>
      <c r="T633" t="n">
        <v>7</v>
      </c>
      <c r="U633" t="n">
        <v>1</v>
      </c>
      <c r="V633" s="2" t="inlineStr">
        <is>
          <t>Dropptaggsvamp
Tjäder
Större vattensalamander
Skogsödla</t>
        </is>
      </c>
      <c r="W633">
        <f>HYPERLINK("https://klasma.github.io/Logging_2080/artfynd/A 643-2026 artfynd.xlsx", "A 643-2026")</f>
        <v/>
      </c>
      <c r="X633">
        <f>HYPERLINK("https://klasma.github.io/Logging_2080/kartor/A 643-2026 karta.png", "A 643-2026")</f>
        <v/>
      </c>
      <c r="Y633">
        <f>HYPERLINK("https://klasma.github.io/Logging_2080/kartor_geotiff/A 643-2026 georefererad karta.tif", "A 643-2026")</f>
        <v/>
      </c>
      <c r="AA633">
        <f>HYPERLINK("https://klasma.github.io/Logging_2080/klagomål/A 643-2026 FSC-klagomål.docx", "A 643-2026")</f>
        <v/>
      </c>
      <c r="AB633">
        <f>HYPERLINK("https://klasma.github.io/Logging_2080/klagomålsmail/A 643-2026 FSC-klagomål mail.docx", "A 643-2026")</f>
        <v/>
      </c>
      <c r="AC633">
        <f>HYPERLINK("https://klasma.github.io/Logging_2080/tillsyn/A 643-2026 tillsynsbegäran.docx", "A 643-2026")</f>
        <v/>
      </c>
      <c r="AD633">
        <f>HYPERLINK("https://klasma.github.io/Logging_2080/tillsynsmail/A 643-2026 tillsynsbegäran mail.docx", "A 643-2026")</f>
        <v/>
      </c>
      <c r="AE633">
        <f>HYPERLINK("https://klasma.github.io/Logging_2080/fåglar/A 643-2026 prioriterade fågelarter.docx", "A 643-2026")</f>
        <v/>
      </c>
    </row>
    <row r="634" ht="15" customHeight="1">
      <c r="A634" t="inlineStr">
        <is>
          <t>A 5326-2026</t>
        </is>
      </c>
      <c r="B634" t="inlineStr">
        <is>
          <t>avverkningsanmälan</t>
        </is>
      </c>
      <c r="C634" t="inlineStr">
        <is>
          <t>Föryngringsavverkning</t>
        </is>
      </c>
      <c r="D634" s="1" t="n">
        <v>46048</v>
      </c>
      <c r="E634" s="1" t="n">
        <v>46319</v>
      </c>
      <c r="F634" t="inlineStr">
        <is>
          <t>DALARNAS LÄN</t>
        </is>
      </c>
      <c r="G634" t="inlineStr">
        <is>
          <t>HEDEMORA</t>
        </is>
      </c>
      <c r="I634" t="n">
        <v>3.5</v>
      </c>
      <c r="J634" t="n">
        <v>2</v>
      </c>
      <c r="K634" t="n">
        <v>0</v>
      </c>
      <c r="L634" t="n">
        <v>2</v>
      </c>
      <c r="M634" t="n">
        <v>0</v>
      </c>
      <c r="N634" t="n">
        <v>0</v>
      </c>
      <c r="O634" t="n">
        <v>0</v>
      </c>
      <c r="P634" t="n">
        <v>0</v>
      </c>
      <c r="Q634" t="n">
        <v>2</v>
      </c>
      <c r="R634" t="n">
        <v>0</v>
      </c>
      <c r="S634" t="n">
        <v>4</v>
      </c>
      <c r="T634" t="n">
        <v>5</v>
      </c>
      <c r="U634" t="n">
        <v>5</v>
      </c>
      <c r="V634" s="2" t="inlineStr">
        <is>
          <t>Tretåig hackspett
Ullticka
Kransmossa
Spillkråka</t>
        </is>
      </c>
      <c r="W634">
        <f>HYPERLINK("https://klasma.github.io/Logging_2083/artfynd/A 5326-2026 artfynd.xlsx", "A 5326-2026")</f>
        <v/>
      </c>
      <c r="X634">
        <f>HYPERLINK("https://klasma.github.io/Logging_2083/kartor/A 5326-2026 karta.png", "A 5326-2026")</f>
        <v/>
      </c>
      <c r="Y634">
        <f>HYPERLINK("https://klasma.github.io/Logging_2083/kartor_geotiff/A 5326-2026 georefererad karta.tif", "A 5326-2026")</f>
        <v/>
      </c>
      <c r="AA634">
        <f>HYPERLINK("https://klasma.github.io/Logging_2083/klagomål/A 5326-2026 FSC-klagomål.docx", "A 5326-2026")</f>
        <v/>
      </c>
      <c r="AB634">
        <f>HYPERLINK("https://klasma.github.io/Logging_2083/klagomålsmail/A 5326-2026 FSC-klagomål mail.docx", "A 5326-2026")</f>
        <v/>
      </c>
      <c r="AC634">
        <f>HYPERLINK("https://klasma.github.io/Logging_2083/tillsyn/A 5326-2026 tillsynsbegäran.docx", "A 5326-2026")</f>
        <v/>
      </c>
      <c r="AD634">
        <f>HYPERLINK("https://klasma.github.io/Logging_2083/tillsynsmail/A 5326-2026 tillsynsbegäran mail.docx", "A 5326-2026")</f>
        <v/>
      </c>
      <c r="AE634">
        <f>HYPERLINK("https://klasma.github.io/Logging_2083/fåglar/A 5326-2026 prioriterade fågelarter.docx", "A 5326-2026")</f>
        <v/>
      </c>
    </row>
    <row r="635" ht="15" customHeight="1">
      <c r="A635" t="inlineStr">
        <is>
          <t>A 24972-2025</t>
        </is>
      </c>
      <c r="B635" t="inlineStr">
        <is>
          <t>avverkningsanmälan</t>
        </is>
      </c>
      <c r="C635" t="inlineStr">
        <is>
          <t>Föryngringsavverkning</t>
        </is>
      </c>
      <c r="D635" s="1" t="n">
        <v>45799</v>
      </c>
      <c r="E635" s="1" t="n">
        <v>46319</v>
      </c>
      <c r="F635" t="inlineStr">
        <is>
          <t>DALARNAS LÄN</t>
        </is>
      </c>
      <c r="G635" t="inlineStr">
        <is>
          <t>MALUNG-SÄLEN</t>
        </is>
      </c>
      <c r="I635" t="n">
        <v>1.8</v>
      </c>
      <c r="J635" t="n">
        <v>0</v>
      </c>
      <c r="K635" t="n">
        <v>0</v>
      </c>
      <c r="L635" t="n">
        <v>3</v>
      </c>
      <c r="M635" t="n">
        <v>1</v>
      </c>
      <c r="N635" t="n">
        <v>0</v>
      </c>
      <c r="O635" t="n">
        <v>0</v>
      </c>
      <c r="P635" t="n">
        <v>0</v>
      </c>
      <c r="Q635" t="n">
        <v>4</v>
      </c>
      <c r="R635" t="n">
        <v>1</v>
      </c>
      <c r="S635" t="n">
        <v>4</v>
      </c>
      <c r="T635" t="n">
        <v>6</v>
      </c>
      <c r="U635" t="n">
        <v>0</v>
      </c>
      <c r="V635" s="2" t="inlineStr">
        <is>
          <t>Garnlav
Kolflarnlav
Lunglav
Vedflamlav</t>
        </is>
      </c>
      <c r="W635">
        <f>HYPERLINK("https://klasma.github.io/Logging_2023/artfynd/A 24972-2025 artfynd.xlsx", "A 24972-2025")</f>
        <v/>
      </c>
      <c r="X635">
        <f>HYPERLINK("https://klasma.github.io/Logging_2023/kartor/A 24972-2025 karta.png", "A 24972-2025")</f>
        <v/>
      </c>
      <c r="Y635">
        <f>HYPERLINK("https://klasma.github.io/Logging_2023/kartor_geotiff/A 24972-2025 georefererad karta.tif", "A 24972-2025")</f>
        <v/>
      </c>
      <c r="AA635">
        <f>HYPERLINK("https://klasma.github.io/Logging_2023/klagomål/A 24972-2025 FSC-klagomål.docx", "A 24972-2025")</f>
        <v/>
      </c>
      <c r="AB635">
        <f>HYPERLINK("https://klasma.github.io/Logging_2023/klagomålsmail/A 24972-2025 FSC-klagomål mail.docx", "A 24972-2025")</f>
        <v/>
      </c>
      <c r="AC635">
        <f>HYPERLINK("https://klasma.github.io/Logging_2023/tillsyn/A 24972-2025 tillsynsbegäran.docx", "A 24972-2025")</f>
        <v/>
      </c>
      <c r="AD635">
        <f>HYPERLINK("https://klasma.github.io/Logging_2023/tillsynsmail/A 24972-2025 tillsynsbegäran mail.docx", "A 24972-2025")</f>
        <v/>
      </c>
    </row>
    <row r="636" ht="15" customHeight="1">
      <c r="A636" t="inlineStr">
        <is>
          <t>A 25090-2025</t>
        </is>
      </c>
      <c r="B636" t="inlineStr">
        <is>
          <t>avverkningsanmälan</t>
        </is>
      </c>
      <c r="C636" t="inlineStr">
        <is>
          <t>Föryngringsavverkning</t>
        </is>
      </c>
      <c r="D636" s="1" t="n">
        <v>45800</v>
      </c>
      <c r="E636" s="1" t="n">
        <v>46319</v>
      </c>
      <c r="F636" t="inlineStr">
        <is>
          <t>DALARNAS LÄN</t>
        </is>
      </c>
      <c r="G636" t="inlineStr">
        <is>
          <t>ÄLVDALEN</t>
        </is>
      </c>
      <c r="H636" t="inlineStr">
        <is>
          <t>Sveaskog</t>
        </is>
      </c>
      <c r="I636" t="n">
        <v>12.5</v>
      </c>
      <c r="J636" t="n">
        <v>0</v>
      </c>
      <c r="K636" t="n">
        <v>0</v>
      </c>
      <c r="L636" t="n">
        <v>4</v>
      </c>
      <c r="M636" t="n">
        <v>0</v>
      </c>
      <c r="N636" t="n">
        <v>0</v>
      </c>
      <c r="O636" t="n">
        <v>0</v>
      </c>
      <c r="P636" t="n">
        <v>0</v>
      </c>
      <c r="Q636" t="n">
        <v>4</v>
      </c>
      <c r="R636" t="n">
        <v>0</v>
      </c>
      <c r="S636" t="n">
        <v>4</v>
      </c>
      <c r="T636" t="n">
        <v>4</v>
      </c>
      <c r="U636" t="n">
        <v>0</v>
      </c>
      <c r="V636" s="2" t="inlineStr">
        <is>
          <t>Dvärgbägarlav
Kolflarnlav
Mörk kolflarnlav
Vedflamlav</t>
        </is>
      </c>
      <c r="W636">
        <f>HYPERLINK("https://klasma.github.io/Logging_2039/artfynd/A 25090-2025 artfynd.xlsx", "A 25090-2025")</f>
        <v/>
      </c>
      <c r="X636">
        <f>HYPERLINK("https://klasma.github.io/Logging_2039/kartor/A 25090-2025 karta.png", "A 25090-2025")</f>
        <v/>
      </c>
      <c r="Y636">
        <f>HYPERLINK("https://klasma.github.io/Logging_2039/kartor_geotiff/A 25090-2025 georefererad karta.tif", "A 25090-2025")</f>
        <v/>
      </c>
      <c r="AA636">
        <f>HYPERLINK("https://klasma.github.io/Logging_2039/klagomål/A 25090-2025 FSC-klagomål.docx", "A 25090-2025")</f>
        <v/>
      </c>
      <c r="AB636">
        <f>HYPERLINK("https://klasma.github.io/Logging_2039/klagomålsmail/A 25090-2025 FSC-klagomål mail.docx", "A 25090-2025")</f>
        <v/>
      </c>
      <c r="AC636">
        <f>HYPERLINK("https://klasma.github.io/Logging_2039/tillsyn/A 25090-2025 tillsynsbegäran.docx", "A 25090-2025")</f>
        <v/>
      </c>
      <c r="AD636">
        <f>HYPERLINK("https://klasma.github.io/Logging_2039/tillsynsmail/A 25090-2025 tillsynsbegäran mail.docx", "A 25090-2025")</f>
        <v/>
      </c>
    </row>
    <row r="637" ht="15" customHeight="1">
      <c r="A637" t="inlineStr">
        <is>
          <t>A 6165-2026</t>
        </is>
      </c>
      <c r="B637" t="inlineStr">
        <is>
          <t>avverkningsanmälan</t>
        </is>
      </c>
      <c r="C637" t="inlineStr">
        <is>
          <t>Föryngringsavverkning</t>
        </is>
      </c>
      <c r="D637" s="1" t="n">
        <v>46055</v>
      </c>
      <c r="E637" s="1" t="n">
        <v>46319</v>
      </c>
      <c r="F637" t="inlineStr">
        <is>
          <t>DALARNAS LÄN</t>
        </is>
      </c>
      <c r="G637" t="inlineStr">
        <is>
          <t>MALUNG-SÄLEN</t>
        </is>
      </c>
      <c r="H637" t="inlineStr">
        <is>
          <t>Kommuner</t>
        </is>
      </c>
      <c r="I637" t="n">
        <v>1.9</v>
      </c>
      <c r="J637" t="n">
        <v>1</v>
      </c>
      <c r="K637" t="n">
        <v>0</v>
      </c>
      <c r="L637" t="n">
        <v>2</v>
      </c>
      <c r="M637" t="n">
        <v>1</v>
      </c>
      <c r="N637" t="n">
        <v>0</v>
      </c>
      <c r="O637" t="n">
        <v>0</v>
      </c>
      <c r="P637" t="n">
        <v>0</v>
      </c>
      <c r="Q637" t="n">
        <v>3</v>
      </c>
      <c r="R637" t="n">
        <v>1</v>
      </c>
      <c r="S637" t="n">
        <v>4</v>
      </c>
      <c r="T637" t="n">
        <v>7</v>
      </c>
      <c r="U637" t="n">
        <v>7</v>
      </c>
      <c r="V637" s="2" t="inlineStr">
        <is>
          <t>Garnlav
Dvärgbägarlav
Vedskivlav
Tjäder</t>
        </is>
      </c>
      <c r="W637">
        <f>HYPERLINK("https://klasma.github.io/Logging_2023/artfynd/A 6165-2026 artfynd.xlsx", "A 6165-2026")</f>
        <v/>
      </c>
      <c r="X637">
        <f>HYPERLINK("https://klasma.github.io/Logging_2023/kartor/A 6165-2026 karta.png", "A 6165-2026")</f>
        <v/>
      </c>
      <c r="Y637">
        <f>HYPERLINK("https://klasma.github.io/Logging_2023/kartor_geotiff/A 6165-2026 georefererad karta.tif", "A 6165-2026")</f>
        <v/>
      </c>
      <c r="AA637">
        <f>HYPERLINK("https://klasma.github.io/Logging_2023/klagomål/A 6165-2026 FSC-klagomål.docx", "A 6165-2026")</f>
        <v/>
      </c>
      <c r="AB637">
        <f>HYPERLINK("https://klasma.github.io/Logging_2023/klagomålsmail/A 6165-2026 FSC-klagomål mail.docx", "A 6165-2026")</f>
        <v/>
      </c>
      <c r="AC637">
        <f>HYPERLINK("https://klasma.github.io/Logging_2023/tillsyn/A 6165-2026 tillsynsbegäran.docx", "A 6165-2026")</f>
        <v/>
      </c>
      <c r="AD637">
        <f>HYPERLINK("https://klasma.github.io/Logging_2023/tillsynsmail/A 6165-2026 tillsynsbegäran mail.docx", "A 6165-2026")</f>
        <v/>
      </c>
      <c r="AE637">
        <f>HYPERLINK("https://klasma.github.io/Logging_2023/fåglar/A 6165-2026 prioriterade fågelarter.docx", "A 6165-2026")</f>
        <v/>
      </c>
    </row>
    <row r="638" ht="15" customHeight="1">
      <c r="A638" t="inlineStr">
        <is>
          <t>A 28119-2025</t>
        </is>
      </c>
      <c r="B638" t="inlineStr">
        <is>
          <t>avverkningsanmälan</t>
        </is>
      </c>
      <c r="C638" t="inlineStr">
        <is>
          <t>Föryngringsavverkning</t>
        </is>
      </c>
      <c r="D638" s="1" t="n">
        <v>45818</v>
      </c>
      <c r="E638" s="1" t="n">
        <v>46319</v>
      </c>
      <c r="F638" t="inlineStr">
        <is>
          <t>DALARNAS LÄN</t>
        </is>
      </c>
      <c r="G638" t="inlineStr">
        <is>
          <t>FALUN</t>
        </is>
      </c>
      <c r="I638" t="n">
        <v>7.4</v>
      </c>
      <c r="J638" t="n">
        <v>3</v>
      </c>
      <c r="K638" t="n">
        <v>0</v>
      </c>
      <c r="L638" t="n">
        <v>1</v>
      </c>
      <c r="M638" t="n">
        <v>0</v>
      </c>
      <c r="N638" t="n">
        <v>0</v>
      </c>
      <c r="O638" t="n">
        <v>0</v>
      </c>
      <c r="P638" t="n">
        <v>0</v>
      </c>
      <c r="Q638" t="n">
        <v>1</v>
      </c>
      <c r="R638" t="n">
        <v>0</v>
      </c>
      <c r="S638" t="n">
        <v>4</v>
      </c>
      <c r="T638" t="n">
        <v>4</v>
      </c>
      <c r="U638" t="n">
        <v>1</v>
      </c>
      <c r="V638" s="2" t="inlineStr">
        <is>
          <t>Tallticka
Bred kärrtrollslända
Pudrad kärrtrollslända
Vattenfladdermus</t>
        </is>
      </c>
      <c r="W638">
        <f>HYPERLINK("https://klasma.github.io/Logging_2080/artfynd/A 28119-2025 artfynd.xlsx", "A 28119-2025")</f>
        <v/>
      </c>
      <c r="X638">
        <f>HYPERLINK("https://klasma.github.io/Logging_2080/kartor/A 28119-2025 karta.png", "A 28119-2025")</f>
        <v/>
      </c>
      <c r="Y638">
        <f>HYPERLINK("https://klasma.github.io/Logging_2080/kartor_geotiff/A 28119-2025 georefererad karta.tif", "A 28119-2025")</f>
        <v/>
      </c>
      <c r="AA638">
        <f>HYPERLINK("https://klasma.github.io/Logging_2080/klagomål/A 28119-2025 FSC-klagomål.docx", "A 28119-2025")</f>
        <v/>
      </c>
      <c r="AB638">
        <f>HYPERLINK("https://klasma.github.io/Logging_2080/klagomålsmail/A 28119-2025 FSC-klagomål mail.docx", "A 28119-2025")</f>
        <v/>
      </c>
      <c r="AC638">
        <f>HYPERLINK("https://klasma.github.io/Logging_2080/tillsyn/A 28119-2025 tillsynsbegäran.docx", "A 28119-2025")</f>
        <v/>
      </c>
      <c r="AD638">
        <f>HYPERLINK("https://klasma.github.io/Logging_2080/tillsynsmail/A 28119-2025 tillsynsbegäran mail.docx", "A 28119-2025")</f>
        <v/>
      </c>
    </row>
    <row r="639" ht="15" customHeight="1">
      <c r="A639" t="inlineStr">
        <is>
          <t>A 28667-2025</t>
        </is>
      </c>
      <c r="B639" t="inlineStr">
        <is>
          <t>avverkningsanmälan</t>
        </is>
      </c>
      <c r="C639" t="inlineStr">
        <is>
          <t>Föryngringsavverkning</t>
        </is>
      </c>
      <c r="D639" s="1" t="n">
        <v>45819</v>
      </c>
      <c r="E639" s="1" t="n">
        <v>46319</v>
      </c>
      <c r="F639" t="inlineStr">
        <is>
          <t>DALARNAS LÄN</t>
        </is>
      </c>
      <c r="G639" t="inlineStr">
        <is>
          <t>BORLÄNGE</t>
        </is>
      </c>
      <c r="H639" t="inlineStr">
        <is>
          <t>Bergvik skog väst AB</t>
        </is>
      </c>
      <c r="I639" t="n">
        <v>2</v>
      </c>
      <c r="J639" t="n">
        <v>3</v>
      </c>
      <c r="K639" t="n">
        <v>0</v>
      </c>
      <c r="L639" t="n">
        <v>2</v>
      </c>
      <c r="M639" t="n">
        <v>0</v>
      </c>
      <c r="N639" t="n">
        <v>0</v>
      </c>
      <c r="O639" t="n">
        <v>0</v>
      </c>
      <c r="P639" t="n">
        <v>0</v>
      </c>
      <c r="Q639" t="n">
        <v>2</v>
      </c>
      <c r="R639" t="n">
        <v>0</v>
      </c>
      <c r="S639" t="n">
        <v>4</v>
      </c>
      <c r="T639" t="n">
        <v>6</v>
      </c>
      <c r="U639" t="n">
        <v>5</v>
      </c>
      <c r="V639" s="2" t="inlineStr">
        <is>
          <t>Dropptaggsvamp
Tretåig hackspett
Spillkråka
Tjäder</t>
        </is>
      </c>
      <c r="W639">
        <f>HYPERLINK("https://klasma.github.io/Logging_2081/artfynd/A 28667-2025 artfynd.xlsx", "A 28667-2025")</f>
        <v/>
      </c>
      <c r="X639">
        <f>HYPERLINK("https://klasma.github.io/Logging_2081/kartor/A 28667-2025 karta.png", "A 28667-2025")</f>
        <v/>
      </c>
      <c r="Y639">
        <f>HYPERLINK("https://klasma.github.io/Logging_2081/kartor_geotiff/A 28667-2025 georefererad karta.tif", "A 28667-2025")</f>
        <v/>
      </c>
      <c r="AA639">
        <f>HYPERLINK("https://klasma.github.io/Logging_2081/klagomål/A 28667-2025 FSC-klagomål.docx", "A 28667-2025")</f>
        <v/>
      </c>
      <c r="AB639">
        <f>HYPERLINK("https://klasma.github.io/Logging_2081/klagomålsmail/A 28667-2025 FSC-klagomål mail.docx", "A 28667-2025")</f>
        <v/>
      </c>
      <c r="AC639">
        <f>HYPERLINK("https://klasma.github.io/Logging_2081/tillsyn/A 28667-2025 tillsynsbegäran.docx", "A 28667-2025")</f>
        <v/>
      </c>
      <c r="AD639">
        <f>HYPERLINK("https://klasma.github.io/Logging_2081/tillsynsmail/A 28667-2025 tillsynsbegäran mail.docx", "A 28667-2025")</f>
        <v/>
      </c>
      <c r="AE639">
        <f>HYPERLINK("https://klasma.github.io/Logging_2081/fåglar/A 28667-2025 prioriterade fågelarter.docx", "A 28667-2025")</f>
        <v/>
      </c>
    </row>
    <row r="640" ht="15" customHeight="1">
      <c r="A640" t="inlineStr">
        <is>
          <t>A 16859-2025</t>
        </is>
      </c>
      <c r="B640" t="inlineStr">
        <is>
          <t>avverkningsanmälan</t>
        </is>
      </c>
      <c r="C640" t="inlineStr">
        <is>
          <t>Föryngringsavverkning</t>
        </is>
      </c>
      <c r="D640" s="1" t="n">
        <v>45751</v>
      </c>
      <c r="E640" s="1" t="n">
        <v>46319</v>
      </c>
      <c r="F640" t="inlineStr">
        <is>
          <t>DALARNAS LÄN</t>
        </is>
      </c>
      <c r="G640" t="inlineStr">
        <is>
          <t>BORLÄNGE</t>
        </is>
      </c>
      <c r="I640" t="n">
        <v>12.8</v>
      </c>
      <c r="J640" t="n">
        <v>1</v>
      </c>
      <c r="K640" t="n">
        <v>2</v>
      </c>
      <c r="L640" t="n">
        <v>0</v>
      </c>
      <c r="M640" t="n">
        <v>2</v>
      </c>
      <c r="N640" t="n">
        <v>0</v>
      </c>
      <c r="O640" t="n">
        <v>0</v>
      </c>
      <c r="P640" t="n">
        <v>0</v>
      </c>
      <c r="Q640" t="n">
        <v>2</v>
      </c>
      <c r="R640" t="n">
        <v>2</v>
      </c>
      <c r="S640" t="n">
        <v>4</v>
      </c>
      <c r="T640" t="n">
        <v>6</v>
      </c>
      <c r="U640" t="n">
        <v>0</v>
      </c>
      <c r="V640" s="2" t="inlineStr">
        <is>
          <t>Garnlav
Knärot
Korallblylav
Stuplav</t>
        </is>
      </c>
      <c r="W640">
        <f>HYPERLINK("https://klasma.github.io/Logging_2081/artfynd/A 16859-2025 artfynd.xlsx", "A 16859-2025")</f>
        <v/>
      </c>
      <c r="X640">
        <f>HYPERLINK("https://klasma.github.io/Logging_2081/kartor/A 16859-2025 karta.png", "A 16859-2025")</f>
        <v/>
      </c>
      <c r="Y640">
        <f>HYPERLINK("https://klasma.github.io/Logging_2081/kartor_geotiff/A 16859-2025 georefererad karta.tif", "A 16859-2025")</f>
        <v/>
      </c>
      <c r="Z640">
        <f>HYPERLINK("https://klasma.github.io/Logging_2081/knärot/A 16859-2025 karta knärot.png", "A 16859-2025")</f>
        <v/>
      </c>
      <c r="AA640">
        <f>HYPERLINK("https://klasma.github.io/Logging_2081/klagomål/A 16859-2025 FSC-klagomål.docx", "A 16859-2025")</f>
        <v/>
      </c>
      <c r="AB640">
        <f>HYPERLINK("https://klasma.github.io/Logging_2081/klagomålsmail/A 16859-2025 FSC-klagomål mail.docx", "A 16859-2025")</f>
        <v/>
      </c>
      <c r="AC640">
        <f>HYPERLINK("https://klasma.github.io/Logging_2081/tillsyn/A 16859-2025 tillsynsbegäran.docx", "A 16859-2025")</f>
        <v/>
      </c>
      <c r="AD640">
        <f>HYPERLINK("https://klasma.github.io/Logging_2081/tillsynsmail/A 16859-2025 tillsynsbegäran mail.docx", "A 16859-2025")</f>
        <v/>
      </c>
    </row>
    <row r="641" ht="15" customHeight="1">
      <c r="A641" t="inlineStr">
        <is>
          <t>A 33834-2026</t>
        </is>
      </c>
      <c r="B641" t="inlineStr">
        <is>
          <t>avverkningsanmälan</t>
        </is>
      </c>
      <c r="C641" t="inlineStr">
        <is>
          <t>Föryngringsavverkning</t>
        </is>
      </c>
      <c r="D641" s="1" t="n">
        <v>46251</v>
      </c>
      <c r="E641" s="1" t="n">
        <v>46319</v>
      </c>
      <c r="F641" t="inlineStr">
        <is>
          <t>DALARNAS LÄN</t>
        </is>
      </c>
      <c r="G641" t="inlineStr">
        <is>
          <t>ORSA</t>
        </is>
      </c>
      <c r="H641" t="inlineStr">
        <is>
          <t>Allmännings- och besparingsskogar</t>
        </is>
      </c>
      <c r="I641" t="n">
        <v>8.5</v>
      </c>
      <c r="J641" t="n">
        <v>0</v>
      </c>
      <c r="K641" t="n">
        <v>0</v>
      </c>
      <c r="L641" t="n">
        <v>2</v>
      </c>
      <c r="M641" t="n">
        <v>2</v>
      </c>
      <c r="N641" t="n">
        <v>0</v>
      </c>
      <c r="O641" t="n">
        <v>0</v>
      </c>
      <c r="P641" t="n">
        <v>0</v>
      </c>
      <c r="Q641" t="n">
        <v>4</v>
      </c>
      <c r="R641" t="n">
        <v>2</v>
      </c>
      <c r="S641" t="n">
        <v>4</v>
      </c>
      <c r="T641" t="n">
        <v>4</v>
      </c>
      <c r="U641" t="n">
        <v>0</v>
      </c>
      <c r="V641" s="2" t="inlineStr">
        <is>
          <t>Garnlav
Norsk näverlav
Doftskinn
Skuggblåslav</t>
        </is>
      </c>
      <c r="W641">
        <f>HYPERLINK("https://klasma.github.io/Logging_2034/artfynd/A 33834-2026 artfynd.xlsx", "A 33834-2026")</f>
        <v/>
      </c>
      <c r="X641">
        <f>HYPERLINK("https://klasma.github.io/Logging_2034/kartor/A 33834-2026 karta.png", "A 33834-2026")</f>
        <v/>
      </c>
      <c r="Y641">
        <f>HYPERLINK("https://klasma.github.io/Logging_2034/kartor_geotiff/A 33834-2026 georefererad karta.tif", "A 33834-2026")</f>
        <v/>
      </c>
      <c r="AA641">
        <f>HYPERLINK("https://klasma.github.io/Logging_2034/klagomål/A 33834-2026 FSC-klagomål.docx", "A 33834-2026")</f>
        <v/>
      </c>
      <c r="AB641">
        <f>HYPERLINK("https://klasma.github.io/Logging_2034/klagomålsmail/A 33834-2026 FSC-klagomål mail.docx", "A 33834-2026")</f>
        <v/>
      </c>
      <c r="AC641">
        <f>HYPERLINK("https://klasma.github.io/Logging_2034/tillsyn/A 33834-2026 tillsynsbegäran.docx", "A 33834-2026")</f>
        <v/>
      </c>
      <c r="AD641">
        <f>HYPERLINK("https://klasma.github.io/Logging_2034/tillsynsmail/A 33834-2026 tillsynsbegäran mail.docx", "A 33834-2026")</f>
        <v/>
      </c>
    </row>
    <row r="642" ht="15" customHeight="1">
      <c r="A642" t="inlineStr">
        <is>
          <t>A 11477-2026</t>
        </is>
      </c>
      <c r="B642" t="inlineStr">
        <is>
          <t>avverkningsanmälan</t>
        </is>
      </c>
      <c r="C642" t="inlineStr">
        <is>
          <t>Föryngringsavverkning</t>
        </is>
      </c>
      <c r="D642" s="1" t="n">
        <v>46083</v>
      </c>
      <c r="E642" s="1" t="n">
        <v>46319</v>
      </c>
      <c r="F642" t="inlineStr">
        <is>
          <t>DALARNAS LÄN</t>
        </is>
      </c>
      <c r="G642" t="inlineStr">
        <is>
          <t>VANSBRO</t>
        </is>
      </c>
      <c r="I642" t="n">
        <v>14.5</v>
      </c>
      <c r="J642" t="n">
        <v>0</v>
      </c>
      <c r="K642" t="n">
        <v>0</v>
      </c>
      <c r="L642" t="n">
        <v>3</v>
      </c>
      <c r="M642" t="n">
        <v>1</v>
      </c>
      <c r="N642" t="n">
        <v>0</v>
      </c>
      <c r="O642" t="n">
        <v>0</v>
      </c>
      <c r="P642" t="n">
        <v>0</v>
      </c>
      <c r="Q642" t="n">
        <v>4</v>
      </c>
      <c r="R642" t="n">
        <v>1</v>
      </c>
      <c r="S642" t="n">
        <v>4</v>
      </c>
      <c r="T642" t="n">
        <v>5</v>
      </c>
      <c r="U642" t="n">
        <v>0</v>
      </c>
      <c r="V642" s="2" t="inlineStr">
        <is>
          <t>Garnlav
Dvärgbägarlav
Nordtagging
Vedskivlav</t>
        </is>
      </c>
      <c r="W642">
        <f>HYPERLINK("https://klasma.github.io/Logging_2021/artfynd/A 11477-2026 artfynd.xlsx", "A 11477-2026")</f>
        <v/>
      </c>
      <c r="X642">
        <f>HYPERLINK("https://klasma.github.io/Logging_2021/kartor/A 11477-2026 karta.png", "A 11477-2026")</f>
        <v/>
      </c>
      <c r="Y642">
        <f>HYPERLINK("https://klasma.github.io/Logging_2021/kartor_geotiff/A 11477-2026 georefererad karta.tif", "A 11477-2026")</f>
        <v/>
      </c>
      <c r="AA642">
        <f>HYPERLINK("https://klasma.github.io/Logging_2021/klagomål/A 11477-2026 FSC-klagomål.docx", "A 11477-2026")</f>
        <v/>
      </c>
      <c r="AB642">
        <f>HYPERLINK("https://klasma.github.io/Logging_2021/klagomålsmail/A 11477-2026 FSC-klagomål mail.docx", "A 11477-2026")</f>
        <v/>
      </c>
      <c r="AC642">
        <f>HYPERLINK("https://klasma.github.io/Logging_2021/tillsyn/A 11477-2026 tillsynsbegäran.docx", "A 11477-2026")</f>
        <v/>
      </c>
      <c r="AD642">
        <f>HYPERLINK("https://klasma.github.io/Logging_2021/tillsynsmail/A 11477-2026 tillsynsbegäran mail.docx", "A 11477-2026")</f>
        <v/>
      </c>
    </row>
    <row r="643" ht="15" customHeight="1">
      <c r="A643" t="inlineStr">
        <is>
          <t>A 53555-2025</t>
        </is>
      </c>
      <c r="B643" t="inlineStr">
        <is>
          <t>avverkningsanmälan</t>
        </is>
      </c>
      <c r="C643" t="inlineStr">
        <is>
          <t>Föryngringsavverkning</t>
        </is>
      </c>
      <c r="D643" s="1" t="n">
        <v>45960</v>
      </c>
      <c r="E643" s="1" t="n">
        <v>46319</v>
      </c>
      <c r="F643" t="inlineStr">
        <is>
          <t>DALARNAS LÄN</t>
        </is>
      </c>
      <c r="G643" t="inlineStr">
        <is>
          <t>SMEDJEBACKEN</t>
        </is>
      </c>
      <c r="I643" t="n">
        <v>23.7</v>
      </c>
      <c r="J643" t="n">
        <v>2</v>
      </c>
      <c r="K643" t="n">
        <v>2</v>
      </c>
      <c r="L643" t="n">
        <v>1</v>
      </c>
      <c r="M643" t="n">
        <v>1</v>
      </c>
      <c r="N643" t="n">
        <v>0</v>
      </c>
      <c r="O643" t="n">
        <v>0</v>
      </c>
      <c r="P643" t="n">
        <v>0</v>
      </c>
      <c r="Q643" t="n">
        <v>2</v>
      </c>
      <c r="R643" t="n">
        <v>1</v>
      </c>
      <c r="S643" t="n">
        <v>4</v>
      </c>
      <c r="T643" t="n">
        <v>5</v>
      </c>
      <c r="U643" t="n">
        <v>5</v>
      </c>
      <c r="V643" s="2" t="inlineStr">
        <is>
          <t>Knärot
Dropptaggsvamp
Plattlummer
Trådticka</t>
        </is>
      </c>
      <c r="W643">
        <f>HYPERLINK("https://klasma.github.io/Logging_2061/artfynd/A 53555-2025 artfynd.xlsx", "A 53555-2025")</f>
        <v/>
      </c>
      <c r="X643">
        <f>HYPERLINK("https://klasma.github.io/Logging_2061/kartor/A 53555-2025 karta.png", "A 53555-2025")</f>
        <v/>
      </c>
      <c r="Y643">
        <f>HYPERLINK("https://klasma.github.io/Logging_2061/kartor_geotiff/A 53555-2025 georefererad karta.tif", "A 53555-2025")</f>
        <v/>
      </c>
      <c r="Z643">
        <f>HYPERLINK("https://klasma.github.io/Logging_2061/knärot/A 53555-2025 karta knärot.png", "A 53555-2025")</f>
        <v/>
      </c>
      <c r="AA643">
        <f>HYPERLINK("https://klasma.github.io/Logging_2061/klagomål/A 53555-2025 FSC-klagomål.docx", "A 53555-2025")</f>
        <v/>
      </c>
      <c r="AB643">
        <f>HYPERLINK("https://klasma.github.io/Logging_2061/klagomålsmail/A 53555-2025 FSC-klagomål mail.docx", "A 53555-2025")</f>
        <v/>
      </c>
      <c r="AC643">
        <f>HYPERLINK("https://klasma.github.io/Logging_2061/tillsyn/A 53555-2025 tillsynsbegäran.docx", "A 53555-2025")</f>
        <v/>
      </c>
      <c r="AD643">
        <f>HYPERLINK("https://klasma.github.io/Logging_2061/tillsynsmail/A 53555-2025 tillsynsbegäran mail.docx", "A 53555-2025")</f>
        <v/>
      </c>
    </row>
    <row r="644" ht="15" customHeight="1">
      <c r="A644" t="inlineStr">
        <is>
          <t>A 11973-2026</t>
        </is>
      </c>
      <c r="B644" t="inlineStr">
        <is>
          <t>avverkningsanmälan</t>
        </is>
      </c>
      <c r="C644" t="inlineStr">
        <is>
          <t>Föryngringsavverkning</t>
        </is>
      </c>
      <c r="D644" s="1" t="n">
        <v>46085</v>
      </c>
      <c r="E644" s="1" t="n">
        <v>46319</v>
      </c>
      <c r="F644" t="inlineStr">
        <is>
          <t>DALARNAS LÄN</t>
        </is>
      </c>
      <c r="G644" t="inlineStr">
        <is>
          <t>MORA</t>
        </is>
      </c>
      <c r="I644" t="n">
        <v>5.4</v>
      </c>
      <c r="J644" t="n">
        <v>1</v>
      </c>
      <c r="K644" t="n">
        <v>1</v>
      </c>
      <c r="L644" t="n">
        <v>1</v>
      </c>
      <c r="M644" t="n">
        <v>1</v>
      </c>
      <c r="N644" t="n">
        <v>0</v>
      </c>
      <c r="O644" t="n">
        <v>0</v>
      </c>
      <c r="P644" t="n">
        <v>0</v>
      </c>
      <c r="Q644" t="n">
        <v>2</v>
      </c>
      <c r="R644" t="n">
        <v>1</v>
      </c>
      <c r="S644" t="n">
        <v>4</v>
      </c>
      <c r="T644" t="n">
        <v>4</v>
      </c>
      <c r="U644" t="n">
        <v>0</v>
      </c>
      <c r="V644" s="2" t="inlineStr">
        <is>
          <t>Garnlav
Mörk kolflarnlav
Mindre märgborre
Spillkråka</t>
        </is>
      </c>
      <c r="W644">
        <f>HYPERLINK("https://klasma.github.io/Logging_2062/artfynd/A 11973-2026 artfynd.xlsx", "A 11973-2026")</f>
        <v/>
      </c>
      <c r="X644">
        <f>HYPERLINK("https://klasma.github.io/Logging_2062/kartor/A 11973-2026 karta.png", "A 11973-2026")</f>
        <v/>
      </c>
      <c r="Y644">
        <f>HYPERLINK("https://klasma.github.io/Logging_2062/kartor_geotiff/A 11973-2026 georefererad karta.tif", "A 11973-2026")</f>
        <v/>
      </c>
      <c r="AA644">
        <f>HYPERLINK("https://klasma.github.io/Logging_2062/klagomål/A 11973-2026 FSC-klagomål.docx", "A 11973-2026")</f>
        <v/>
      </c>
      <c r="AB644">
        <f>HYPERLINK("https://klasma.github.io/Logging_2062/klagomålsmail/A 11973-2026 FSC-klagomål mail.docx", "A 11973-2026")</f>
        <v/>
      </c>
      <c r="AC644">
        <f>HYPERLINK("https://klasma.github.io/Logging_2062/tillsyn/A 11973-2026 tillsynsbegäran.docx", "A 11973-2026")</f>
        <v/>
      </c>
      <c r="AD644">
        <f>HYPERLINK("https://klasma.github.io/Logging_2062/tillsynsmail/A 11973-2026 tillsynsbegäran mail.docx", "A 11973-2026")</f>
        <v/>
      </c>
      <c r="AE644">
        <f>HYPERLINK("https://klasma.github.io/Logging_2062/fåglar/A 11973-2026 prioriterade fågelarter.docx", "A 11973-2026")</f>
        <v/>
      </c>
    </row>
    <row r="645" ht="15" customHeight="1">
      <c r="A645" t="inlineStr">
        <is>
          <t>A 28119-2024</t>
        </is>
      </c>
      <c r="B645" t="inlineStr">
        <is>
          <t>avverkningsanmälan</t>
        </is>
      </c>
      <c r="C645" t="inlineStr">
        <is>
          <t>Föryngringsavverkning</t>
        </is>
      </c>
      <c r="D645" s="1" t="n">
        <v>45476</v>
      </c>
      <c r="E645" s="1" t="n">
        <v>46319</v>
      </c>
      <c r="F645" t="inlineStr">
        <is>
          <t>DALARNAS LÄN</t>
        </is>
      </c>
      <c r="G645" t="inlineStr">
        <is>
          <t>RÄTTVIK</t>
        </is>
      </c>
      <c r="I645" t="n">
        <v>4.5</v>
      </c>
      <c r="J645" t="n">
        <v>1</v>
      </c>
      <c r="K645" t="n">
        <v>2</v>
      </c>
      <c r="L645" t="n">
        <v>1</v>
      </c>
      <c r="M645" t="n">
        <v>1</v>
      </c>
      <c r="N645" t="n">
        <v>0</v>
      </c>
      <c r="O645" t="n">
        <v>0</v>
      </c>
      <c r="P645" t="n">
        <v>0</v>
      </c>
      <c r="Q645" t="n">
        <v>2</v>
      </c>
      <c r="R645" t="n">
        <v>1</v>
      </c>
      <c r="S645" t="n">
        <v>4</v>
      </c>
      <c r="T645" t="n">
        <v>6</v>
      </c>
      <c r="U645" t="n">
        <v>0</v>
      </c>
      <c r="V645" s="2" t="inlineStr">
        <is>
          <t>Garnlav
Ullticka
Bronshjon
Plattlummer</t>
        </is>
      </c>
      <c r="W645">
        <f>HYPERLINK("https://klasma.github.io/Logging_2031/artfynd/A 28119-2024 artfynd.xlsx", "A 28119-2024")</f>
        <v/>
      </c>
      <c r="X645">
        <f>HYPERLINK("https://klasma.github.io/Logging_2031/kartor/A 28119-2024 karta.png", "A 28119-2024")</f>
        <v/>
      </c>
      <c r="Y645">
        <f>HYPERLINK("https://klasma.github.io/Logging_2031/kartor_geotiff/A 28119-2024 georefererad karta.tif", "A 28119-2024")</f>
        <v/>
      </c>
      <c r="AA645">
        <f>HYPERLINK("https://klasma.github.io/Logging_2031/klagomål/A 28119-2024 FSC-klagomål.docx", "A 28119-2024")</f>
        <v/>
      </c>
      <c r="AB645">
        <f>HYPERLINK("https://klasma.github.io/Logging_2031/klagomålsmail/A 28119-2024 FSC-klagomål mail.docx", "A 28119-2024")</f>
        <v/>
      </c>
      <c r="AC645">
        <f>HYPERLINK("https://klasma.github.io/Logging_2031/tillsyn/A 28119-2024 tillsynsbegäran.docx", "A 28119-2024")</f>
        <v/>
      </c>
      <c r="AD645">
        <f>HYPERLINK("https://klasma.github.io/Logging_2031/tillsynsmail/A 28119-2024 tillsynsbegäran mail.docx", "A 28119-2024")</f>
        <v/>
      </c>
    </row>
    <row r="646" ht="15" customHeight="1">
      <c r="A646" t="inlineStr">
        <is>
          <t>A 40905-2026</t>
        </is>
      </c>
      <c r="B646" t="inlineStr">
        <is>
          <t>avverkningsanmälan</t>
        </is>
      </c>
      <c r="C646" t="inlineStr">
        <is>
          <t>Föryngringsavverkning</t>
        </is>
      </c>
      <c r="D646" s="1" t="n">
        <v>46297</v>
      </c>
      <c r="E646" s="1" t="n">
        <v>46319</v>
      </c>
      <c r="F646" t="inlineStr">
        <is>
          <t>DALARNAS LÄN</t>
        </is>
      </c>
      <c r="G646" t="inlineStr">
        <is>
          <t>FALUN</t>
        </is>
      </c>
      <c r="I646" t="n">
        <v>3.2</v>
      </c>
      <c r="J646" t="n">
        <v>3</v>
      </c>
      <c r="K646" t="n">
        <v>1</v>
      </c>
      <c r="L646" t="n">
        <v>0</v>
      </c>
      <c r="M646" t="n">
        <v>1</v>
      </c>
      <c r="N646" t="n">
        <v>0</v>
      </c>
      <c r="O646" t="n">
        <v>0</v>
      </c>
      <c r="P646" t="n">
        <v>0</v>
      </c>
      <c r="Q646" t="n">
        <v>1</v>
      </c>
      <c r="R646" t="n">
        <v>1</v>
      </c>
      <c r="S646" t="n">
        <v>4</v>
      </c>
      <c r="T646" t="n">
        <v>9</v>
      </c>
      <c r="U646" t="n">
        <v>9</v>
      </c>
      <c r="V646" s="2" t="inlineStr">
        <is>
          <t>Knärot
Bronshjon
Blåsippa
Spillkråka</t>
        </is>
      </c>
      <c r="W646">
        <f>HYPERLINK("https://klasma.github.io/Logging_2080/artfynd/A 40905-2026 artfynd.xlsx", "A 40905-2026")</f>
        <v/>
      </c>
      <c r="X646">
        <f>HYPERLINK("https://klasma.github.io/Logging_2080/kartor/A 40905-2026 karta.png", "A 40905-2026")</f>
        <v/>
      </c>
      <c r="Y646">
        <f>HYPERLINK("https://klasma.github.io/Logging_2080/kartor_geotiff/A 40905-2026 georefererad karta.tif", "A 40905-2026")</f>
        <v/>
      </c>
      <c r="Z646">
        <f>HYPERLINK("https://klasma.github.io/Logging_2080/knärot/A 40905-2026 karta knärot.png", "A 40905-2026")</f>
        <v/>
      </c>
      <c r="AA646">
        <f>HYPERLINK("https://klasma.github.io/Logging_2080/klagomål/A 40905-2026 FSC-klagomål.docx", "A 40905-2026")</f>
        <v/>
      </c>
      <c r="AB646">
        <f>HYPERLINK("https://klasma.github.io/Logging_2080/klagomålsmail/A 40905-2026 FSC-klagomål mail.docx", "A 40905-2026")</f>
        <v/>
      </c>
      <c r="AC646">
        <f>HYPERLINK("https://klasma.github.io/Logging_2080/tillsyn/A 40905-2026 tillsynsbegäran.docx", "A 40905-2026")</f>
        <v/>
      </c>
      <c r="AD646">
        <f>HYPERLINK("https://klasma.github.io/Logging_2080/tillsynsmail/A 40905-2026 tillsynsbegäran mail.docx", "A 40905-2026")</f>
        <v/>
      </c>
      <c r="AE646">
        <f>HYPERLINK("https://klasma.github.io/Logging_2080/fåglar/A 40905-2026 prioriterade fågelarter.docx", "A 40905-2026")</f>
        <v/>
      </c>
    </row>
    <row r="647" ht="15" customHeight="1">
      <c r="A647" t="inlineStr">
        <is>
          <t>A 34304-2026</t>
        </is>
      </c>
      <c r="B647" t="inlineStr">
        <is>
          <t>avverkningsanmälan</t>
        </is>
      </c>
      <c r="C647" t="inlineStr">
        <is>
          <t>Föryngringsavverkning</t>
        </is>
      </c>
      <c r="D647" s="1" t="n">
        <v>46254</v>
      </c>
      <c r="E647" s="1" t="n">
        <v>46319</v>
      </c>
      <c r="F647" t="inlineStr">
        <is>
          <t>DALARNAS LÄN</t>
        </is>
      </c>
      <c r="G647" t="inlineStr">
        <is>
          <t>ÄLVDALEN</t>
        </is>
      </c>
      <c r="H647" t="inlineStr">
        <is>
          <t>Sveaskog</t>
        </is>
      </c>
      <c r="I647" t="n">
        <v>9.1</v>
      </c>
      <c r="J647" t="n">
        <v>1</v>
      </c>
      <c r="K647" t="n">
        <v>1</v>
      </c>
      <c r="L647" t="n">
        <v>3</v>
      </c>
      <c r="M647" t="n">
        <v>0</v>
      </c>
      <c r="N647" t="n">
        <v>0</v>
      </c>
      <c r="O647" t="n">
        <v>0</v>
      </c>
      <c r="P647" t="n">
        <v>0</v>
      </c>
      <c r="Q647" t="n">
        <v>3</v>
      </c>
      <c r="R647" t="n">
        <v>0</v>
      </c>
      <c r="S647" t="n">
        <v>4</v>
      </c>
      <c r="T647" t="n">
        <v>5</v>
      </c>
      <c r="U647" t="n">
        <v>1</v>
      </c>
      <c r="V647" s="2" t="inlineStr">
        <is>
          <t>Kolflarnlav
Mörk kolflarnlav
Skrovellav
Plattlummer</t>
        </is>
      </c>
      <c r="W647">
        <f>HYPERLINK("https://klasma.github.io/Logging_2039/artfynd/A 34304-2026 artfynd.xlsx", "A 34304-2026")</f>
        <v/>
      </c>
      <c r="X647">
        <f>HYPERLINK("https://klasma.github.io/Logging_2039/kartor/A 34304-2026 karta.png", "A 34304-2026")</f>
        <v/>
      </c>
      <c r="Y647">
        <f>HYPERLINK("https://klasma.github.io/Logging_2039/kartor_geotiff/A 34304-2026 georefererad karta.tif", "A 34304-2026")</f>
        <v/>
      </c>
      <c r="AA647">
        <f>HYPERLINK("https://klasma.github.io/Logging_2039/klagomål/A 34304-2026 FSC-klagomål.docx", "A 34304-2026")</f>
        <v/>
      </c>
      <c r="AB647">
        <f>HYPERLINK("https://klasma.github.io/Logging_2039/klagomålsmail/A 34304-2026 FSC-klagomål mail.docx", "A 34304-2026")</f>
        <v/>
      </c>
      <c r="AC647">
        <f>HYPERLINK("https://klasma.github.io/Logging_2039/tillsyn/A 34304-2026 tillsynsbegäran.docx", "A 34304-2026")</f>
        <v/>
      </c>
      <c r="AD647">
        <f>HYPERLINK("https://klasma.github.io/Logging_2039/tillsynsmail/A 34304-2026 tillsynsbegäran mail.docx", "A 34304-2026")</f>
        <v/>
      </c>
    </row>
    <row r="648" ht="15" customHeight="1">
      <c r="A648" t="inlineStr">
        <is>
          <t>A 32222-2025</t>
        </is>
      </c>
      <c r="B648" t="inlineStr">
        <is>
          <t>avverkningsanmälan</t>
        </is>
      </c>
      <c r="C648" t="inlineStr">
        <is>
          <t>Föryngringsavverkning</t>
        </is>
      </c>
      <c r="D648" s="1" t="n">
        <v>45835</v>
      </c>
      <c r="E648" s="1" t="n">
        <v>46319</v>
      </c>
      <c r="F648" t="inlineStr">
        <is>
          <t>DALARNAS LÄN</t>
        </is>
      </c>
      <c r="G648" t="inlineStr">
        <is>
          <t>MORA</t>
        </is>
      </c>
      <c r="I648" t="n">
        <v>11.5</v>
      </c>
      <c r="J648" t="n">
        <v>1</v>
      </c>
      <c r="K648" t="n">
        <v>0</v>
      </c>
      <c r="L648" t="n">
        <v>3</v>
      </c>
      <c r="M648" t="n">
        <v>1</v>
      </c>
      <c r="N648" t="n">
        <v>0</v>
      </c>
      <c r="O648" t="n">
        <v>0</v>
      </c>
      <c r="P648" t="n">
        <v>0</v>
      </c>
      <c r="Q648" t="n">
        <v>4</v>
      </c>
      <c r="R648" t="n">
        <v>1</v>
      </c>
      <c r="S648" t="n">
        <v>4</v>
      </c>
      <c r="T648" t="n">
        <v>10</v>
      </c>
      <c r="U648" t="n">
        <v>8</v>
      </c>
      <c r="V648" s="2" t="inlineStr">
        <is>
          <t>Garnlav
Reliktbock
Tallticka
Tretåig hackspett</t>
        </is>
      </c>
      <c r="W648">
        <f>HYPERLINK("https://klasma.github.io/Logging_2062/artfynd/A 32222-2025 artfynd.xlsx", "A 32222-2025")</f>
        <v/>
      </c>
      <c r="X648">
        <f>HYPERLINK("https://klasma.github.io/Logging_2062/kartor/A 32222-2025 karta.png", "A 32222-2025")</f>
        <v/>
      </c>
      <c r="Y648">
        <f>HYPERLINK("https://klasma.github.io/Logging_2062/kartor_geotiff/A 32222-2025 georefererad karta.tif", "A 32222-2025")</f>
        <v/>
      </c>
      <c r="AA648">
        <f>HYPERLINK("https://klasma.github.io/Logging_2062/klagomål/A 32222-2025 FSC-klagomål.docx", "A 32222-2025")</f>
        <v/>
      </c>
      <c r="AB648">
        <f>HYPERLINK("https://klasma.github.io/Logging_2062/klagomålsmail/A 32222-2025 FSC-klagomål mail.docx", "A 32222-2025")</f>
        <v/>
      </c>
      <c r="AC648">
        <f>HYPERLINK("https://klasma.github.io/Logging_2062/tillsyn/A 32222-2025 tillsynsbegäran.docx", "A 32222-2025")</f>
        <v/>
      </c>
      <c r="AD648">
        <f>HYPERLINK("https://klasma.github.io/Logging_2062/tillsynsmail/A 32222-2025 tillsynsbegäran mail.docx", "A 32222-2025")</f>
        <v/>
      </c>
      <c r="AE648">
        <f>HYPERLINK("https://klasma.github.io/Logging_2062/fåglar/A 32222-2025 prioriterade fågelarter.docx", "A 32222-2025")</f>
        <v/>
      </c>
    </row>
    <row r="649" ht="15" customHeight="1">
      <c r="A649" t="inlineStr">
        <is>
          <t>A 12901-2026</t>
        </is>
      </c>
      <c r="B649" t="inlineStr">
        <is>
          <t>avverkningsanmälan</t>
        </is>
      </c>
      <c r="C649" t="inlineStr">
        <is>
          <t>Föryngringsavverkning</t>
        </is>
      </c>
      <c r="D649" s="1" t="n">
        <v>46092</v>
      </c>
      <c r="E649" s="1" t="n">
        <v>46319</v>
      </c>
      <c r="F649" t="inlineStr">
        <is>
          <t>DALARNAS LÄN</t>
        </is>
      </c>
      <c r="G649" t="inlineStr">
        <is>
          <t>MALUNG-SÄLEN</t>
        </is>
      </c>
      <c r="I649" t="n">
        <v>3.8</v>
      </c>
      <c r="J649" t="n">
        <v>2</v>
      </c>
      <c r="K649" t="n">
        <v>0</v>
      </c>
      <c r="L649" t="n">
        <v>3</v>
      </c>
      <c r="M649" t="n">
        <v>1</v>
      </c>
      <c r="N649" t="n">
        <v>0</v>
      </c>
      <c r="O649" t="n">
        <v>0</v>
      </c>
      <c r="P649" t="n">
        <v>0</v>
      </c>
      <c r="Q649" t="n">
        <v>4</v>
      </c>
      <c r="R649" t="n">
        <v>1</v>
      </c>
      <c r="S649" t="n">
        <v>4</v>
      </c>
      <c r="T649" t="n">
        <v>5</v>
      </c>
      <c r="U649" t="n">
        <v>0</v>
      </c>
      <c r="V649" s="2" t="inlineStr">
        <is>
          <t>Garnlav
Kolflarnlav
Talltita
Tretåig hackspett</t>
        </is>
      </c>
      <c r="W649">
        <f>HYPERLINK("https://klasma.github.io/Logging_2023/artfynd/A 12901-2026 artfynd.xlsx", "A 12901-2026")</f>
        <v/>
      </c>
      <c r="X649">
        <f>HYPERLINK("https://klasma.github.io/Logging_2023/kartor/A 12901-2026 karta.png", "A 12901-2026")</f>
        <v/>
      </c>
      <c r="Y649">
        <f>HYPERLINK("https://klasma.github.io/Logging_2023/kartor_geotiff/A 12901-2026 georefererad karta.tif", "A 12901-2026")</f>
        <v/>
      </c>
      <c r="AA649">
        <f>HYPERLINK("https://klasma.github.io/Logging_2023/klagomål/A 12901-2026 FSC-klagomål.docx", "A 12901-2026")</f>
        <v/>
      </c>
      <c r="AB649">
        <f>HYPERLINK("https://klasma.github.io/Logging_2023/klagomålsmail/A 12901-2026 FSC-klagomål mail.docx", "A 12901-2026")</f>
        <v/>
      </c>
      <c r="AC649">
        <f>HYPERLINK("https://klasma.github.io/Logging_2023/tillsyn/A 12901-2026 tillsynsbegäran.docx", "A 12901-2026")</f>
        <v/>
      </c>
      <c r="AD649">
        <f>HYPERLINK("https://klasma.github.io/Logging_2023/tillsynsmail/A 12901-2026 tillsynsbegäran mail.docx", "A 12901-2026")</f>
        <v/>
      </c>
      <c r="AE649">
        <f>HYPERLINK("https://klasma.github.io/Logging_2023/fåglar/A 12901-2026 prioriterade fågelarter.docx", "A 12901-2026")</f>
        <v/>
      </c>
    </row>
    <row r="650" ht="15" customHeight="1">
      <c r="A650" t="inlineStr">
        <is>
          <t>A 10712-2025</t>
        </is>
      </c>
      <c r="B650" t="inlineStr">
        <is>
          <t>avverkningsanmälan</t>
        </is>
      </c>
      <c r="C650" t="inlineStr">
        <is>
          <t>Föryngringsavverkning</t>
        </is>
      </c>
      <c r="D650" s="1" t="n">
        <v>45722</v>
      </c>
      <c r="E650" s="1" t="n">
        <v>46319</v>
      </c>
      <c r="F650" t="inlineStr">
        <is>
          <t>DALARNAS LÄN</t>
        </is>
      </c>
      <c r="G650" t="inlineStr">
        <is>
          <t>BORLÄNGE</t>
        </is>
      </c>
      <c r="I650" t="n">
        <v>5.3</v>
      </c>
      <c r="J650" t="n">
        <v>3</v>
      </c>
      <c r="K650" t="n">
        <v>0</v>
      </c>
      <c r="L650" t="n">
        <v>2</v>
      </c>
      <c r="M650" t="n">
        <v>0</v>
      </c>
      <c r="N650" t="n">
        <v>0</v>
      </c>
      <c r="O650" t="n">
        <v>0</v>
      </c>
      <c r="P650" t="n">
        <v>0</v>
      </c>
      <c r="Q650" t="n">
        <v>2</v>
      </c>
      <c r="R650" t="n">
        <v>0</v>
      </c>
      <c r="S650" t="n">
        <v>4</v>
      </c>
      <c r="T650" t="n">
        <v>11</v>
      </c>
      <c r="U650" t="n">
        <v>11</v>
      </c>
      <c r="V650" s="2" t="inlineStr">
        <is>
          <t>Tretåig hackspett
Ullticka
Spillkråka
Tjäder</t>
        </is>
      </c>
      <c r="W650">
        <f>HYPERLINK("https://klasma.github.io/Logging_2081/artfynd/A 10712-2025 artfynd.xlsx", "A 10712-2025")</f>
        <v/>
      </c>
      <c r="X650">
        <f>HYPERLINK("https://klasma.github.io/Logging_2081/kartor/A 10712-2025 karta.png", "A 10712-2025")</f>
        <v/>
      </c>
      <c r="Y650">
        <f>HYPERLINK("https://klasma.github.io/Logging_2081/kartor_geotiff/A 10712-2025 georefererad karta.tif", "A 10712-2025")</f>
        <v/>
      </c>
      <c r="AA650">
        <f>HYPERLINK("https://klasma.github.io/Logging_2081/klagomål/A 10712-2025 FSC-klagomål.docx", "A 10712-2025")</f>
        <v/>
      </c>
      <c r="AB650">
        <f>HYPERLINK("https://klasma.github.io/Logging_2081/klagomålsmail/A 10712-2025 FSC-klagomål mail.docx", "A 10712-2025")</f>
        <v/>
      </c>
      <c r="AC650">
        <f>HYPERLINK("https://klasma.github.io/Logging_2081/tillsyn/A 10712-2025 tillsynsbegäran.docx", "A 10712-2025")</f>
        <v/>
      </c>
      <c r="AD650">
        <f>HYPERLINK("https://klasma.github.io/Logging_2081/tillsynsmail/A 10712-2025 tillsynsbegäran mail.docx", "A 10712-2025")</f>
        <v/>
      </c>
      <c r="AE650">
        <f>HYPERLINK("https://klasma.github.io/Logging_2081/fåglar/A 10712-2025 prioriterade fågelarter.docx", "A 10712-2025")</f>
        <v/>
      </c>
    </row>
    <row r="651" ht="15" customHeight="1">
      <c r="A651" t="inlineStr">
        <is>
          <t>A 33003-2025</t>
        </is>
      </c>
      <c r="B651" t="inlineStr">
        <is>
          <t>avverkningsanmälan</t>
        </is>
      </c>
      <c r="C651" t="inlineStr">
        <is>
          <t>Föryngringsavverkning</t>
        </is>
      </c>
      <c r="D651" s="1" t="n">
        <v>45840</v>
      </c>
      <c r="E651" s="1" t="n">
        <v>46319</v>
      </c>
      <c r="F651" t="inlineStr">
        <is>
          <t>DALARNAS LÄN</t>
        </is>
      </c>
      <c r="G651" t="inlineStr">
        <is>
          <t>VANSBRO</t>
        </is>
      </c>
      <c r="I651" t="n">
        <v>2.3</v>
      </c>
      <c r="J651" t="n">
        <v>2</v>
      </c>
      <c r="K651" t="n">
        <v>0</v>
      </c>
      <c r="L651" t="n">
        <v>2</v>
      </c>
      <c r="M651" t="n">
        <v>2</v>
      </c>
      <c r="N651" t="n">
        <v>0</v>
      </c>
      <c r="O651" t="n">
        <v>0</v>
      </c>
      <c r="P651" t="n">
        <v>0</v>
      </c>
      <c r="Q651" t="n">
        <v>4</v>
      </c>
      <c r="R651" t="n">
        <v>2</v>
      </c>
      <c r="S651" t="n">
        <v>4</v>
      </c>
      <c r="T651" t="n">
        <v>12</v>
      </c>
      <c r="U651" t="n">
        <v>12</v>
      </c>
      <c r="V651" s="2" t="inlineStr">
        <is>
          <t>Garnlav
Knärot
Kolflarnlav
Tretåig hackspett</t>
        </is>
      </c>
      <c r="W651">
        <f>HYPERLINK("https://klasma.github.io/Logging_2021/artfynd/A 33003-2025 artfynd.xlsx", "A 33003-2025")</f>
        <v/>
      </c>
      <c r="X651">
        <f>HYPERLINK("https://klasma.github.io/Logging_2021/kartor/A 33003-2025 karta.png", "A 33003-2025")</f>
        <v/>
      </c>
      <c r="Y651">
        <f>HYPERLINK("https://klasma.github.io/Logging_2021/kartor_geotiff/A 33003-2025 georefererad karta.tif", "A 33003-2025")</f>
        <v/>
      </c>
      <c r="Z651">
        <f>HYPERLINK("https://klasma.github.io/Logging_2021/knärot/A 33003-2025 karta knärot.png", "A 33003-2025")</f>
        <v/>
      </c>
      <c r="AA651">
        <f>HYPERLINK("https://klasma.github.io/Logging_2021/klagomål/A 33003-2025 FSC-klagomål.docx", "A 33003-2025")</f>
        <v/>
      </c>
      <c r="AB651">
        <f>HYPERLINK("https://klasma.github.io/Logging_2021/klagomålsmail/A 33003-2025 FSC-klagomål mail.docx", "A 33003-2025")</f>
        <v/>
      </c>
      <c r="AC651">
        <f>HYPERLINK("https://klasma.github.io/Logging_2021/tillsyn/A 33003-2025 tillsynsbegäran.docx", "A 33003-2025")</f>
        <v/>
      </c>
      <c r="AD651">
        <f>HYPERLINK("https://klasma.github.io/Logging_2021/tillsynsmail/A 33003-2025 tillsynsbegäran mail.docx", "A 33003-2025")</f>
        <v/>
      </c>
      <c r="AE651">
        <f>HYPERLINK("https://klasma.github.io/Logging_2021/fåglar/A 33003-2025 prioriterade fågelarter.docx", "A 33003-2025")</f>
        <v/>
      </c>
    </row>
    <row r="652" ht="15" customHeight="1">
      <c r="A652" t="inlineStr">
        <is>
          <t>A 14313-2026</t>
        </is>
      </c>
      <c r="B652" t="inlineStr">
        <is>
          <t>avverkningsanmälan</t>
        </is>
      </c>
      <c r="C652" t="inlineStr">
        <is>
          <t>Föryngringsavverkning</t>
        </is>
      </c>
      <c r="D652" s="1" t="n">
        <v>46099</v>
      </c>
      <c r="E652" s="1" t="n">
        <v>46319</v>
      </c>
      <c r="F652" t="inlineStr">
        <is>
          <t>DALARNAS LÄN</t>
        </is>
      </c>
      <c r="G652" t="inlineStr">
        <is>
          <t>FALUN</t>
        </is>
      </c>
      <c r="H652" t="inlineStr">
        <is>
          <t>Bergvik skog väst AB</t>
        </is>
      </c>
      <c r="I652" t="n">
        <v>39.7</v>
      </c>
      <c r="J652" t="n">
        <v>2</v>
      </c>
      <c r="K652" t="n">
        <v>0</v>
      </c>
      <c r="L652" t="n">
        <v>2</v>
      </c>
      <c r="M652" t="n">
        <v>0</v>
      </c>
      <c r="N652" t="n">
        <v>0</v>
      </c>
      <c r="O652" t="n">
        <v>0</v>
      </c>
      <c r="P652" t="n">
        <v>0</v>
      </c>
      <c r="Q652" t="n">
        <v>2</v>
      </c>
      <c r="R652" t="n">
        <v>0</v>
      </c>
      <c r="S652" t="n">
        <v>4</v>
      </c>
      <c r="T652" t="n">
        <v>9</v>
      </c>
      <c r="U652" t="n">
        <v>0</v>
      </c>
      <c r="V652" s="2" t="inlineStr">
        <is>
          <t>Kolflarnlav
Motaggsvamp
Fläcknycklar
Revlummer</t>
        </is>
      </c>
      <c r="W652">
        <f>HYPERLINK("https://klasma.github.io/Logging_2080/artfynd/A 14313-2026 artfynd.xlsx", "A 14313-2026")</f>
        <v/>
      </c>
      <c r="X652">
        <f>HYPERLINK("https://klasma.github.io/Logging_2080/kartor/A 14313-2026 karta.png", "A 14313-2026")</f>
        <v/>
      </c>
      <c r="Y652">
        <f>HYPERLINK("https://klasma.github.io/Logging_2080/kartor_geotiff/A 14313-2026 georefererad karta.tif", "A 14313-2026")</f>
        <v/>
      </c>
      <c r="AA652">
        <f>HYPERLINK("https://klasma.github.io/Logging_2080/klagomål/A 14313-2026 FSC-klagomål.docx", "A 14313-2026")</f>
        <v/>
      </c>
      <c r="AB652">
        <f>HYPERLINK("https://klasma.github.io/Logging_2080/klagomålsmail/A 14313-2026 FSC-klagomål mail.docx", "A 14313-2026")</f>
        <v/>
      </c>
      <c r="AC652">
        <f>HYPERLINK("https://klasma.github.io/Logging_2080/tillsyn/A 14313-2026 tillsynsbegäran.docx", "A 14313-2026")</f>
        <v/>
      </c>
      <c r="AD652">
        <f>HYPERLINK("https://klasma.github.io/Logging_2080/tillsynsmail/A 14313-2026 tillsynsbegäran mail.docx", "A 14313-2026")</f>
        <v/>
      </c>
    </row>
    <row r="653" ht="15" customHeight="1">
      <c r="A653" t="inlineStr">
        <is>
          <t>A 33525-2025</t>
        </is>
      </c>
      <c r="B653" t="inlineStr">
        <is>
          <t>avverkningsanmälan</t>
        </is>
      </c>
      <c r="C653" t="inlineStr">
        <is>
          <t>Föryngringsavverkning</t>
        </is>
      </c>
      <c r="D653" s="1" t="n">
        <v>45841</v>
      </c>
      <c r="E653" s="1" t="n">
        <v>46319</v>
      </c>
      <c r="F653" t="inlineStr">
        <is>
          <t>DALARNAS LÄN</t>
        </is>
      </c>
      <c r="G653" t="inlineStr">
        <is>
          <t>FALUN</t>
        </is>
      </c>
      <c r="H653" t="inlineStr">
        <is>
          <t>Bergvik skog väst AB</t>
        </is>
      </c>
      <c r="I653" t="n">
        <v>0.6</v>
      </c>
      <c r="J653" t="n">
        <v>0</v>
      </c>
      <c r="K653" t="n">
        <v>0</v>
      </c>
      <c r="L653" t="n">
        <v>3</v>
      </c>
      <c r="M653" t="n">
        <v>1</v>
      </c>
      <c r="N653" t="n">
        <v>0</v>
      </c>
      <c r="O653" t="n">
        <v>0</v>
      </c>
      <c r="P653" t="n">
        <v>0</v>
      </c>
      <c r="Q653" t="n">
        <v>4</v>
      </c>
      <c r="R653" t="n">
        <v>1</v>
      </c>
      <c r="S653" t="n">
        <v>4</v>
      </c>
      <c r="T653" t="n">
        <v>5</v>
      </c>
      <c r="U653" t="n">
        <v>0</v>
      </c>
      <c r="V653" s="2" t="inlineStr">
        <is>
          <t>Garnlav
Dropptaggsvamp
Ullticka
Vedskivlav</t>
        </is>
      </c>
      <c r="W653">
        <f>HYPERLINK("https://klasma.github.io/Logging_2080/artfynd/A 33525-2025 artfynd.xlsx", "A 33525-2025")</f>
        <v/>
      </c>
      <c r="X653">
        <f>HYPERLINK("https://klasma.github.io/Logging_2080/kartor/A 33525-2025 karta.png", "A 33525-2025")</f>
        <v/>
      </c>
      <c r="Y653">
        <f>HYPERLINK("https://klasma.github.io/Logging_2080/kartor_geotiff/A 33525-2025 georefererad karta.tif", "A 33525-2025")</f>
        <v/>
      </c>
      <c r="AA653">
        <f>HYPERLINK("https://klasma.github.io/Logging_2080/klagomål/A 33525-2025 FSC-klagomål.docx", "A 33525-2025")</f>
        <v/>
      </c>
      <c r="AB653">
        <f>HYPERLINK("https://klasma.github.io/Logging_2080/klagomålsmail/A 33525-2025 FSC-klagomål mail.docx", "A 33525-2025")</f>
        <v/>
      </c>
      <c r="AC653">
        <f>HYPERLINK("https://klasma.github.io/Logging_2080/tillsyn/A 33525-2025 tillsynsbegäran.docx", "A 33525-2025")</f>
        <v/>
      </c>
      <c r="AD653">
        <f>HYPERLINK("https://klasma.github.io/Logging_2080/tillsynsmail/A 33525-2025 tillsynsbegäran mail.docx", "A 33525-2025")</f>
        <v/>
      </c>
    </row>
    <row r="654" ht="15" customHeight="1">
      <c r="A654" t="inlineStr">
        <is>
          <t>A 35570-2024</t>
        </is>
      </c>
      <c r="B654" t="inlineStr">
        <is>
          <t>avverkningsanmälan</t>
        </is>
      </c>
      <c r="C654" t="inlineStr">
        <is>
          <t>Föryngringsavverkning</t>
        </is>
      </c>
      <c r="D654" s="1" t="n">
        <v>45531</v>
      </c>
      <c r="E654" s="1" t="n">
        <v>46319</v>
      </c>
      <c r="F654" t="inlineStr">
        <is>
          <t>DALARNAS LÄN</t>
        </is>
      </c>
      <c r="G654" t="inlineStr">
        <is>
          <t>ORSA</t>
        </is>
      </c>
      <c r="I654" t="n">
        <v>3.3</v>
      </c>
      <c r="J654" t="n">
        <v>1</v>
      </c>
      <c r="K654" t="n">
        <v>0</v>
      </c>
      <c r="L654" t="n">
        <v>3</v>
      </c>
      <c r="M654" t="n">
        <v>1</v>
      </c>
      <c r="N654" t="n">
        <v>0</v>
      </c>
      <c r="O654" t="n">
        <v>0</v>
      </c>
      <c r="P654" t="n">
        <v>0</v>
      </c>
      <c r="Q654" t="n">
        <v>4</v>
      </c>
      <c r="R654" t="n">
        <v>1</v>
      </c>
      <c r="S654" t="n">
        <v>4</v>
      </c>
      <c r="T654" t="n">
        <v>46</v>
      </c>
      <c r="U654" t="n">
        <v>46</v>
      </c>
      <c r="V654" s="2" t="inlineStr">
        <is>
          <t>Garnlav
Dropptaggsvamp
Tretåig hackspett
Violettgrå tagellav</t>
        </is>
      </c>
      <c r="W654">
        <f>HYPERLINK("https://klasma.github.io/Logging_2034/artfynd/A 35570-2024 artfynd.xlsx", "A 35570-2024")</f>
        <v/>
      </c>
      <c r="X654">
        <f>HYPERLINK("https://klasma.github.io/Logging_2034/kartor/A 35570-2024 karta.png", "A 35570-2024")</f>
        <v/>
      </c>
      <c r="Y654">
        <f>HYPERLINK("https://klasma.github.io/Logging_2034/kartor_geotiff/A 35570-2024 georefererad karta.tif", "A 35570-2024")</f>
        <v/>
      </c>
      <c r="AA654">
        <f>HYPERLINK("https://klasma.github.io/Logging_2034/klagomål/A 35570-2024 FSC-klagomål.docx", "A 35570-2024")</f>
        <v/>
      </c>
      <c r="AB654">
        <f>HYPERLINK("https://klasma.github.io/Logging_2034/klagomålsmail/A 35570-2024 FSC-klagomål mail.docx", "A 35570-2024")</f>
        <v/>
      </c>
      <c r="AC654">
        <f>HYPERLINK("https://klasma.github.io/Logging_2034/tillsyn/A 35570-2024 tillsynsbegäran.docx", "A 35570-2024")</f>
        <v/>
      </c>
      <c r="AD654">
        <f>HYPERLINK("https://klasma.github.io/Logging_2034/tillsynsmail/A 35570-2024 tillsynsbegäran mail.docx", "A 35570-2024")</f>
        <v/>
      </c>
      <c r="AE654">
        <f>HYPERLINK("https://klasma.github.io/Logging_2034/fåglar/A 35570-2024 prioriterade fågelarter.docx", "A 35570-2024")</f>
        <v/>
      </c>
    </row>
    <row r="655" ht="15" customHeight="1">
      <c r="A655" t="inlineStr">
        <is>
          <t>A 371-2026</t>
        </is>
      </c>
      <c r="B655" t="inlineStr">
        <is>
          <t>avverkningsanmälan</t>
        </is>
      </c>
      <c r="C655" t="inlineStr">
        <is>
          <t>Avverkning för annat ändamål</t>
        </is>
      </c>
      <c r="D655" s="1" t="n">
        <v>46027</v>
      </c>
      <c r="E655" s="1" t="n">
        <v>46319</v>
      </c>
      <c r="F655" t="inlineStr">
        <is>
          <t>DALARNAS LÄN</t>
        </is>
      </c>
      <c r="G655" t="inlineStr">
        <is>
          <t>FALUN</t>
        </is>
      </c>
      <c r="I655" t="n">
        <v>0.5</v>
      </c>
      <c r="J655" t="n">
        <v>1</v>
      </c>
      <c r="K655" t="n">
        <v>2</v>
      </c>
      <c r="L655" t="n">
        <v>1</v>
      </c>
      <c r="M655" t="n">
        <v>1</v>
      </c>
      <c r="N655" t="n">
        <v>0</v>
      </c>
      <c r="O655" t="n">
        <v>0</v>
      </c>
      <c r="P655" t="n">
        <v>0</v>
      </c>
      <c r="Q655" t="n">
        <v>2</v>
      </c>
      <c r="R655" t="n">
        <v>1</v>
      </c>
      <c r="S655" t="n">
        <v>4</v>
      </c>
      <c r="T655" t="n">
        <v>10</v>
      </c>
      <c r="U655" t="n">
        <v>10</v>
      </c>
      <c r="V655" s="2" t="inlineStr">
        <is>
          <t>Garnlav
Tretåig hackspett
Bronshjon
Mindre märgborre</t>
        </is>
      </c>
      <c r="W655">
        <f>HYPERLINK("https://klasma.github.io/Logging_2080/artfynd/A 371-2026 artfynd.xlsx", "A 371-2026")</f>
        <v/>
      </c>
      <c r="X655">
        <f>HYPERLINK("https://klasma.github.io/Logging_2080/kartor/A 371-2026 karta.png", "A 371-2026")</f>
        <v/>
      </c>
      <c r="Y655">
        <f>HYPERLINK("https://klasma.github.io/Logging_2080/kartor_geotiff/A 371-2026 georefererad karta.tif", "A 371-2026")</f>
        <v/>
      </c>
      <c r="AA655">
        <f>HYPERLINK("https://klasma.github.io/Logging_2080/klagomål/A 371-2026 FSC-klagomål.docx", "A 371-2026")</f>
        <v/>
      </c>
      <c r="AB655">
        <f>HYPERLINK("https://klasma.github.io/Logging_2080/klagomålsmail/A 371-2026 FSC-klagomål mail.docx", "A 371-2026")</f>
        <v/>
      </c>
      <c r="AC655">
        <f>HYPERLINK("https://klasma.github.io/Logging_2080/tillsyn/A 371-2026 tillsynsbegäran.docx", "A 371-2026")</f>
        <v/>
      </c>
      <c r="AD655">
        <f>HYPERLINK("https://klasma.github.io/Logging_2080/tillsynsmail/A 371-2026 tillsynsbegäran mail.docx", "A 371-2026")</f>
        <v/>
      </c>
      <c r="AE655">
        <f>HYPERLINK("https://klasma.github.io/Logging_2080/fåglar/A 371-2026 prioriterade fågelarter.docx", "A 371-2026")</f>
        <v/>
      </c>
    </row>
    <row r="656" ht="15" customHeight="1">
      <c r="A656" t="inlineStr">
        <is>
          <t>A 41525-2026</t>
        </is>
      </c>
      <c r="B656" t="inlineStr">
        <is>
          <t>avverkningsanmälan</t>
        </is>
      </c>
      <c r="C656" t="inlineStr">
        <is>
          <t>Föryngringsavverkning</t>
        </is>
      </c>
      <c r="D656" s="1" t="n">
        <v>46301</v>
      </c>
      <c r="E656" s="1" t="n">
        <v>46319</v>
      </c>
      <c r="F656" t="inlineStr">
        <is>
          <t>DALARNAS LÄN</t>
        </is>
      </c>
      <c r="G656" t="inlineStr">
        <is>
          <t>AVESTA</t>
        </is>
      </c>
      <c r="I656" t="n">
        <v>11.1</v>
      </c>
      <c r="J656" t="n">
        <v>3</v>
      </c>
      <c r="K656" t="n">
        <v>0</v>
      </c>
      <c r="L656" t="n">
        <v>2</v>
      </c>
      <c r="M656" t="n">
        <v>0</v>
      </c>
      <c r="N656" t="n">
        <v>0</v>
      </c>
      <c r="O656" t="n">
        <v>0</v>
      </c>
      <c r="P656" t="n">
        <v>0</v>
      </c>
      <c r="Q656" t="n">
        <v>2</v>
      </c>
      <c r="R656" t="n">
        <v>0</v>
      </c>
      <c r="S656" t="n">
        <v>4</v>
      </c>
      <c r="T656" t="n">
        <v>5</v>
      </c>
      <c r="U656" t="n">
        <v>0</v>
      </c>
      <c r="V656" s="2" t="inlineStr">
        <is>
          <t>Motaggsvamp
Nordfladdermus
Spillkråka
Svartvit flugsnappare</t>
        </is>
      </c>
      <c r="W656">
        <f>HYPERLINK("https://klasma.github.io/Logging_2084/artfynd/A 41525-2026 artfynd.xlsx", "A 41525-2026")</f>
        <v/>
      </c>
      <c r="X656">
        <f>HYPERLINK("https://klasma.github.io/Logging_2084/kartor/A 41525-2026 karta.png", "A 41525-2026")</f>
        <v/>
      </c>
      <c r="Y656">
        <f>HYPERLINK("https://klasma.github.io/Logging_2084/kartor_geotiff/A 41525-2026 georefererad karta.tif", "A 41525-2026")</f>
        <v/>
      </c>
      <c r="AA656">
        <f>HYPERLINK("https://klasma.github.io/Logging_2084/klagomål/A 41525-2026 FSC-klagomål.docx", "A 41525-2026")</f>
        <v/>
      </c>
      <c r="AB656">
        <f>HYPERLINK("https://klasma.github.io/Logging_2084/klagomålsmail/A 41525-2026 FSC-klagomål mail.docx", "A 41525-2026")</f>
        <v/>
      </c>
      <c r="AC656">
        <f>HYPERLINK("https://klasma.github.io/Logging_2084/tillsyn/A 41525-2026 tillsynsbegäran.docx", "A 41525-2026")</f>
        <v/>
      </c>
      <c r="AD656">
        <f>HYPERLINK("https://klasma.github.io/Logging_2084/tillsynsmail/A 41525-2026 tillsynsbegäran mail.docx", "A 41525-2026")</f>
        <v/>
      </c>
      <c r="AE656">
        <f>HYPERLINK("https://klasma.github.io/Logging_2084/fåglar/A 41525-2026 prioriterade fågelarter.docx", "A 41525-2026")</f>
        <v/>
      </c>
    </row>
    <row r="657" ht="15" customHeight="1">
      <c r="A657" t="inlineStr">
        <is>
          <t>A 36197-2025</t>
        </is>
      </c>
      <c r="B657" t="inlineStr">
        <is>
          <t>avverkningsanmälan</t>
        </is>
      </c>
      <c r="C657" t="inlineStr">
        <is>
          <t>Föryngringsavverkning</t>
        </is>
      </c>
      <c r="D657" s="1" t="n">
        <v>45867</v>
      </c>
      <c r="E657" s="1" t="n">
        <v>46319</v>
      </c>
      <c r="F657" t="inlineStr">
        <is>
          <t>DALARNAS LÄN</t>
        </is>
      </c>
      <c r="G657" t="inlineStr">
        <is>
          <t>FALUN</t>
        </is>
      </c>
      <c r="H657" t="inlineStr">
        <is>
          <t>Bergvik skog väst AB</t>
        </is>
      </c>
      <c r="I657" t="n">
        <v>27.9</v>
      </c>
      <c r="J657" t="n">
        <v>1</v>
      </c>
      <c r="K657" t="n">
        <v>1</v>
      </c>
      <c r="L657" t="n">
        <v>2</v>
      </c>
      <c r="M657" t="n">
        <v>1</v>
      </c>
      <c r="N657" t="n">
        <v>0</v>
      </c>
      <c r="O657" t="n">
        <v>0</v>
      </c>
      <c r="P657" t="n">
        <v>0</v>
      </c>
      <c r="Q657" t="n">
        <v>3</v>
      </c>
      <c r="R657" t="n">
        <v>1</v>
      </c>
      <c r="S657" t="n">
        <v>4</v>
      </c>
      <c r="T657" t="n">
        <v>19</v>
      </c>
      <c r="U657" t="n">
        <v>19</v>
      </c>
      <c r="V657" s="2" t="inlineStr">
        <is>
          <t>Knärot
Rynkskinn
Skarp dropptaggsvamp
Svavelriska</t>
        </is>
      </c>
      <c r="W657">
        <f>HYPERLINK("https://klasma.github.io/Logging_2080/artfynd/A 36197-2025 artfynd.xlsx", "A 36197-2025")</f>
        <v/>
      </c>
      <c r="X657">
        <f>HYPERLINK("https://klasma.github.io/Logging_2080/kartor/A 36197-2025 karta.png", "A 36197-2025")</f>
        <v/>
      </c>
      <c r="Y657">
        <f>HYPERLINK("https://klasma.github.io/Logging_2080/kartor_geotiff/A 36197-2025 georefererad karta.tif", "A 36197-2025")</f>
        <v/>
      </c>
      <c r="Z657">
        <f>HYPERLINK("https://klasma.github.io/Logging_2080/knärot/A 36197-2025 karta knärot.png", "A 36197-2025")</f>
        <v/>
      </c>
      <c r="AA657">
        <f>HYPERLINK("https://klasma.github.io/Logging_2080/klagomål/A 36197-2025 FSC-klagomål.docx", "A 36197-2025")</f>
        <v/>
      </c>
      <c r="AB657">
        <f>HYPERLINK("https://klasma.github.io/Logging_2080/klagomålsmail/A 36197-2025 FSC-klagomål mail.docx", "A 36197-2025")</f>
        <v/>
      </c>
      <c r="AC657">
        <f>HYPERLINK("https://klasma.github.io/Logging_2080/tillsyn/A 36197-2025 tillsynsbegäran.docx", "A 36197-2025")</f>
        <v/>
      </c>
      <c r="AD657">
        <f>HYPERLINK("https://klasma.github.io/Logging_2080/tillsynsmail/A 36197-2025 tillsynsbegäran mail.docx", "A 36197-2025")</f>
        <v/>
      </c>
    </row>
    <row r="658" ht="15" customHeight="1">
      <c r="A658" t="inlineStr">
        <is>
          <t>A 33629-2026</t>
        </is>
      </c>
      <c r="B658" t="inlineStr">
        <is>
          <t>avverkningsanmälan</t>
        </is>
      </c>
      <c r="C658" t="inlineStr">
        <is>
          <t>Föryngringsavverkning</t>
        </is>
      </c>
      <c r="D658" s="1" t="n">
        <v>46248</v>
      </c>
      <c r="E658" s="1" t="n">
        <v>46319</v>
      </c>
      <c r="F658" t="inlineStr">
        <is>
          <t>DALARNAS LÄN</t>
        </is>
      </c>
      <c r="G658" t="inlineStr">
        <is>
          <t>MORA</t>
        </is>
      </c>
      <c r="I658" t="n">
        <v>0.6</v>
      </c>
      <c r="J658" t="n">
        <v>2</v>
      </c>
      <c r="K658" t="n">
        <v>1</v>
      </c>
      <c r="L658" t="n">
        <v>1</v>
      </c>
      <c r="M658" t="n">
        <v>1</v>
      </c>
      <c r="N658" t="n">
        <v>0</v>
      </c>
      <c r="O658" t="n">
        <v>0</v>
      </c>
      <c r="P658" t="n">
        <v>0</v>
      </c>
      <c r="Q658" t="n">
        <v>2</v>
      </c>
      <c r="R658" t="n">
        <v>1</v>
      </c>
      <c r="S658" t="n">
        <v>4</v>
      </c>
      <c r="T658" t="n">
        <v>17</v>
      </c>
      <c r="U658" t="n">
        <v>0</v>
      </c>
      <c r="V658" s="2" t="inlineStr">
        <is>
          <t>Garnlav
Tretåig hackspett
Mindre märgborre
Spillkråka</t>
        </is>
      </c>
      <c r="W658">
        <f>HYPERLINK("https://klasma.github.io/Logging_2062/artfynd/A 33629-2026 artfynd.xlsx", "A 33629-2026")</f>
        <v/>
      </c>
      <c r="X658">
        <f>HYPERLINK("https://klasma.github.io/Logging_2062/kartor/A 33629-2026 karta.png", "A 33629-2026")</f>
        <v/>
      </c>
      <c r="Y658">
        <f>HYPERLINK("https://klasma.github.io/Logging_2062/kartor_geotiff/A 33629-2026 georefererad karta.tif", "A 33629-2026")</f>
        <v/>
      </c>
      <c r="AA658">
        <f>HYPERLINK("https://klasma.github.io/Logging_2062/klagomål/A 33629-2026 FSC-klagomål.docx", "A 33629-2026")</f>
        <v/>
      </c>
      <c r="AB658">
        <f>HYPERLINK("https://klasma.github.io/Logging_2062/klagomålsmail/A 33629-2026 FSC-klagomål mail.docx", "A 33629-2026")</f>
        <v/>
      </c>
      <c r="AC658">
        <f>HYPERLINK("https://klasma.github.io/Logging_2062/tillsyn/A 33629-2026 tillsynsbegäran.docx", "A 33629-2026")</f>
        <v/>
      </c>
      <c r="AD658">
        <f>HYPERLINK("https://klasma.github.io/Logging_2062/tillsynsmail/A 33629-2026 tillsynsbegäran mail.docx", "A 33629-2026")</f>
        <v/>
      </c>
      <c r="AE658">
        <f>HYPERLINK("https://klasma.github.io/Logging_2062/fåglar/A 33629-2026 prioriterade fågelarter.docx", "A 33629-2026")</f>
        <v/>
      </c>
    </row>
    <row r="659" ht="15" customHeight="1">
      <c r="A659" t="inlineStr">
        <is>
          <t>A 33634-2026</t>
        </is>
      </c>
      <c r="B659" t="inlineStr">
        <is>
          <t>avverkningsanmälan</t>
        </is>
      </c>
      <c r="C659" t="inlineStr">
        <is>
          <t>Föryngringsavverkning</t>
        </is>
      </c>
      <c r="D659" s="1" t="n">
        <v>46248</v>
      </c>
      <c r="E659" s="1" t="n">
        <v>46319</v>
      </c>
      <c r="F659" t="inlineStr">
        <is>
          <t>DALARNAS LÄN</t>
        </is>
      </c>
      <c r="G659" t="inlineStr">
        <is>
          <t>MORA</t>
        </is>
      </c>
      <c r="I659" t="n">
        <v>1.5</v>
      </c>
      <c r="J659" t="n">
        <v>1</v>
      </c>
      <c r="K659" t="n">
        <v>0</v>
      </c>
      <c r="L659" t="n">
        <v>2</v>
      </c>
      <c r="M659" t="n">
        <v>1</v>
      </c>
      <c r="N659" t="n">
        <v>0</v>
      </c>
      <c r="O659" t="n">
        <v>0</v>
      </c>
      <c r="P659" t="n">
        <v>0</v>
      </c>
      <c r="Q659" t="n">
        <v>3</v>
      </c>
      <c r="R659" t="n">
        <v>1</v>
      </c>
      <c r="S659" t="n">
        <v>4</v>
      </c>
      <c r="T659" t="n">
        <v>5</v>
      </c>
      <c r="U659" t="n">
        <v>0</v>
      </c>
      <c r="V659" s="2" t="inlineStr">
        <is>
          <t>Garnlav
Mörk kolflarnlav
Vedskivlav
Tjäder</t>
        </is>
      </c>
      <c r="W659">
        <f>HYPERLINK("https://klasma.github.io/Logging_2062/artfynd/A 33634-2026 artfynd.xlsx", "A 33634-2026")</f>
        <v/>
      </c>
      <c r="X659">
        <f>HYPERLINK("https://klasma.github.io/Logging_2062/kartor/A 33634-2026 karta.png", "A 33634-2026")</f>
        <v/>
      </c>
      <c r="Y659">
        <f>HYPERLINK("https://klasma.github.io/Logging_2062/kartor_geotiff/A 33634-2026 georefererad karta.tif", "A 33634-2026")</f>
        <v/>
      </c>
      <c r="AA659">
        <f>HYPERLINK("https://klasma.github.io/Logging_2062/klagomål/A 33634-2026 FSC-klagomål.docx", "A 33634-2026")</f>
        <v/>
      </c>
      <c r="AB659">
        <f>HYPERLINK("https://klasma.github.io/Logging_2062/klagomålsmail/A 33634-2026 FSC-klagomål mail.docx", "A 33634-2026")</f>
        <v/>
      </c>
      <c r="AC659">
        <f>HYPERLINK("https://klasma.github.io/Logging_2062/tillsyn/A 33634-2026 tillsynsbegäran.docx", "A 33634-2026")</f>
        <v/>
      </c>
      <c r="AD659">
        <f>HYPERLINK("https://klasma.github.io/Logging_2062/tillsynsmail/A 33634-2026 tillsynsbegäran mail.docx", "A 33634-2026")</f>
        <v/>
      </c>
      <c r="AE659">
        <f>HYPERLINK("https://klasma.github.io/Logging_2062/fåglar/A 33634-2026 prioriterade fågelarter.docx", "A 33634-2026")</f>
        <v/>
      </c>
    </row>
    <row r="660" ht="15" customHeight="1">
      <c r="A660" t="inlineStr">
        <is>
          <t>A 49676-2024</t>
        </is>
      </c>
      <c r="B660" t="inlineStr">
        <is>
          <t>avverkningsanmälan</t>
        </is>
      </c>
      <c r="C660" t="inlineStr">
        <is>
          <t>Avverkning för att bevara och utveckla /försöksver</t>
        </is>
      </c>
      <c r="D660" s="1" t="n">
        <v>45596</v>
      </c>
      <c r="E660" s="1" t="n">
        <v>46319</v>
      </c>
      <c r="F660" t="inlineStr">
        <is>
          <t>DALARNAS LÄN</t>
        </is>
      </c>
      <c r="G660" t="inlineStr">
        <is>
          <t>LUDVIKA</t>
        </is>
      </c>
      <c r="H660" t="inlineStr">
        <is>
          <t>Bergvik skog väst AB</t>
        </is>
      </c>
      <c r="I660" t="n">
        <v>3.5</v>
      </c>
      <c r="J660" t="n">
        <v>2</v>
      </c>
      <c r="K660" t="n">
        <v>0</v>
      </c>
      <c r="L660" t="n">
        <v>1</v>
      </c>
      <c r="M660" t="n">
        <v>1</v>
      </c>
      <c r="N660" t="n">
        <v>0</v>
      </c>
      <c r="O660" t="n">
        <v>0</v>
      </c>
      <c r="P660" t="n">
        <v>0</v>
      </c>
      <c r="Q660" t="n">
        <v>2</v>
      </c>
      <c r="R660" t="n">
        <v>1</v>
      </c>
      <c r="S660" t="n">
        <v>4</v>
      </c>
      <c r="T660" t="n">
        <v>8</v>
      </c>
      <c r="U660" t="n">
        <v>8</v>
      </c>
      <c r="V660" s="2" t="inlineStr">
        <is>
          <t>Garnlav
Dropptaggsvamp
Järpe
Spillkråka</t>
        </is>
      </c>
      <c r="W660">
        <f>HYPERLINK("https://klasma.github.io/Logging_2085/artfynd/A 49676-2024 artfynd.xlsx", "A 49676-2024")</f>
        <v/>
      </c>
      <c r="X660">
        <f>HYPERLINK("https://klasma.github.io/Logging_2085/kartor/A 49676-2024 karta.png", "A 49676-2024")</f>
        <v/>
      </c>
      <c r="Y660">
        <f>HYPERLINK("https://klasma.github.io/Logging_2085/kartor_geotiff/A 49676-2024 georefererad karta.tif", "A 49676-2024")</f>
        <v/>
      </c>
      <c r="AA660">
        <f>HYPERLINK("https://klasma.github.io/Logging_2085/klagomål/A 49676-2024 FSC-klagomål.docx", "A 49676-2024")</f>
        <v/>
      </c>
      <c r="AB660">
        <f>HYPERLINK("https://klasma.github.io/Logging_2085/klagomålsmail/A 49676-2024 FSC-klagomål mail.docx", "A 49676-2024")</f>
        <v/>
      </c>
      <c r="AC660">
        <f>HYPERLINK("https://klasma.github.io/Logging_2085/tillsyn/A 49676-2024 tillsynsbegäran.docx", "A 49676-2024")</f>
        <v/>
      </c>
      <c r="AD660">
        <f>HYPERLINK("https://klasma.github.io/Logging_2085/tillsynsmail/A 49676-2024 tillsynsbegäran mail.docx", "A 49676-2024")</f>
        <v/>
      </c>
      <c r="AE660">
        <f>HYPERLINK("https://klasma.github.io/Logging_2085/fåglar/A 49676-2024 prioriterade fågelarter.docx", "A 49676-2024")</f>
        <v/>
      </c>
    </row>
    <row r="661" ht="15" customHeight="1">
      <c r="A661" t="inlineStr">
        <is>
          <t>A 36580-2024</t>
        </is>
      </c>
      <c r="B661" t="inlineStr">
        <is>
          <t>avverkningsanmälan</t>
        </is>
      </c>
      <c r="C661" t="inlineStr">
        <is>
          <t>Föryngringsavverkning</t>
        </is>
      </c>
      <c r="D661" s="1" t="n">
        <v>45537</v>
      </c>
      <c r="E661" s="1" t="n">
        <v>46319</v>
      </c>
      <c r="F661" t="inlineStr">
        <is>
          <t>DALARNAS LÄN</t>
        </is>
      </c>
      <c r="G661" t="inlineStr">
        <is>
          <t>ÄLVDALEN</t>
        </is>
      </c>
      <c r="H661" t="inlineStr">
        <is>
          <t>Sveaskog</t>
        </is>
      </c>
      <c r="I661" t="n">
        <v>4.2</v>
      </c>
      <c r="J661" t="n">
        <v>0</v>
      </c>
      <c r="K661" t="n">
        <v>0</v>
      </c>
      <c r="L661" t="n">
        <v>3</v>
      </c>
      <c r="M661" t="n">
        <v>1</v>
      </c>
      <c r="N661" t="n">
        <v>0</v>
      </c>
      <c r="O661" t="n">
        <v>0</v>
      </c>
      <c r="P661" t="n">
        <v>0</v>
      </c>
      <c r="Q661" t="n">
        <v>4</v>
      </c>
      <c r="R661" t="n">
        <v>1</v>
      </c>
      <c r="S661" t="n">
        <v>4</v>
      </c>
      <c r="T661" t="n">
        <v>4</v>
      </c>
      <c r="U661" t="n">
        <v>4</v>
      </c>
      <c r="V661" s="2" t="inlineStr">
        <is>
          <t>Garnlav
Kolflarnlav
Mörk kolflarnlav
Vedflamlav</t>
        </is>
      </c>
      <c r="W661">
        <f>HYPERLINK("https://klasma.github.io/Logging_2039/artfynd/A 36580-2024 artfynd.xlsx", "A 36580-2024")</f>
        <v/>
      </c>
      <c r="X661">
        <f>HYPERLINK("https://klasma.github.io/Logging_2039/kartor/A 36580-2024 karta.png", "A 36580-2024")</f>
        <v/>
      </c>
      <c r="Y661">
        <f>HYPERLINK("https://klasma.github.io/Logging_2039/kartor_geotiff/A 36580-2024 georefererad karta.tif", "A 36580-2024")</f>
        <v/>
      </c>
      <c r="AA661">
        <f>HYPERLINK("https://klasma.github.io/Logging_2039/klagomål/A 36580-2024 FSC-klagomål.docx", "A 36580-2024")</f>
        <v/>
      </c>
      <c r="AB661">
        <f>HYPERLINK("https://klasma.github.io/Logging_2039/klagomålsmail/A 36580-2024 FSC-klagomål mail.docx", "A 36580-2024")</f>
        <v/>
      </c>
      <c r="AC661">
        <f>HYPERLINK("https://klasma.github.io/Logging_2039/tillsyn/A 36580-2024 tillsynsbegäran.docx", "A 36580-2024")</f>
        <v/>
      </c>
      <c r="AD661">
        <f>HYPERLINK("https://klasma.github.io/Logging_2039/tillsynsmail/A 36580-2024 tillsynsbegäran mail.docx", "A 36580-2024")</f>
        <v/>
      </c>
    </row>
    <row r="662" ht="15" customHeight="1">
      <c r="A662" t="inlineStr">
        <is>
          <t>A 35820-2026</t>
        </is>
      </c>
      <c r="B662" t="inlineStr">
        <is>
          <t>avverkningsanmälan</t>
        </is>
      </c>
      <c r="C662" t="inlineStr">
        <is>
          <t>Föryngringsavverkning</t>
        </is>
      </c>
      <c r="D662" s="1" t="n">
        <v>46265</v>
      </c>
      <c r="E662" s="1" t="n">
        <v>46319</v>
      </c>
      <c r="F662" t="inlineStr">
        <is>
          <t>DALARNAS LÄN</t>
        </is>
      </c>
      <c r="G662" t="inlineStr">
        <is>
          <t>LUDVIKA</t>
        </is>
      </c>
      <c r="H662" t="inlineStr">
        <is>
          <t>Naturvårdsverket</t>
        </is>
      </c>
      <c r="I662" t="n">
        <v>4.3</v>
      </c>
      <c r="J662" t="n">
        <v>1</v>
      </c>
      <c r="K662" t="n">
        <v>0</v>
      </c>
      <c r="L662" t="n">
        <v>2</v>
      </c>
      <c r="M662" t="n">
        <v>1</v>
      </c>
      <c r="N662" t="n">
        <v>0</v>
      </c>
      <c r="O662" t="n">
        <v>0</v>
      </c>
      <c r="P662" t="n">
        <v>0</v>
      </c>
      <c r="Q662" t="n">
        <v>3</v>
      </c>
      <c r="R662" t="n">
        <v>1</v>
      </c>
      <c r="S662" t="n">
        <v>4</v>
      </c>
      <c r="T662" t="n">
        <v>4</v>
      </c>
      <c r="U662" t="n">
        <v>0</v>
      </c>
      <c r="V662" s="2" t="inlineStr">
        <is>
          <t>Garnlav
Kortskaftad ärgspik
Vedtrappmossa
Spillkråka</t>
        </is>
      </c>
      <c r="W662">
        <f>HYPERLINK("https://klasma.github.io/Logging_2085/artfynd/A 35820-2026 artfynd.xlsx", "A 35820-2026")</f>
        <v/>
      </c>
      <c r="X662">
        <f>HYPERLINK("https://klasma.github.io/Logging_2085/kartor/A 35820-2026 karta.png", "A 35820-2026")</f>
        <v/>
      </c>
      <c r="Y662">
        <f>HYPERLINK("https://klasma.github.io/Logging_2085/kartor_geotiff/A 35820-2026 georefererad karta.tif", "A 35820-2026")</f>
        <v/>
      </c>
      <c r="AA662">
        <f>HYPERLINK("https://klasma.github.io/Logging_2085/klagomål/A 35820-2026 FSC-klagomål.docx", "A 35820-2026")</f>
        <v/>
      </c>
      <c r="AB662">
        <f>HYPERLINK("https://klasma.github.io/Logging_2085/klagomålsmail/A 35820-2026 FSC-klagomål mail.docx", "A 35820-2026")</f>
        <v/>
      </c>
      <c r="AC662">
        <f>HYPERLINK("https://klasma.github.io/Logging_2085/tillsyn/A 35820-2026 tillsynsbegäran.docx", "A 35820-2026")</f>
        <v/>
      </c>
      <c r="AD662">
        <f>HYPERLINK("https://klasma.github.io/Logging_2085/tillsynsmail/A 35820-2026 tillsynsbegäran mail.docx", "A 35820-2026")</f>
        <v/>
      </c>
      <c r="AE662">
        <f>HYPERLINK("https://klasma.github.io/Logging_2085/fåglar/A 35820-2026 prioriterade fågelarter.docx", "A 35820-2026")</f>
        <v/>
      </c>
    </row>
    <row r="663" ht="15" customHeight="1">
      <c r="A663" t="inlineStr">
        <is>
          <t>A 19870-2026</t>
        </is>
      </c>
      <c r="B663" t="inlineStr">
        <is>
          <t>avverkningsanmälan</t>
        </is>
      </c>
      <c r="C663" t="inlineStr">
        <is>
          <t>Föryngringsavverkning</t>
        </is>
      </c>
      <c r="D663" s="1" t="n">
        <v>46135</v>
      </c>
      <c r="E663" s="1" t="n">
        <v>46319</v>
      </c>
      <c r="F663" t="inlineStr">
        <is>
          <t>DALARNAS LÄN</t>
        </is>
      </c>
      <c r="G663" t="inlineStr">
        <is>
          <t>ÄLVDALEN</t>
        </is>
      </c>
      <c r="H663" t="inlineStr">
        <is>
          <t>Sveaskog</t>
        </is>
      </c>
      <c r="I663" t="n">
        <v>31.7</v>
      </c>
      <c r="J663" t="n">
        <v>0</v>
      </c>
      <c r="K663" t="n">
        <v>0</v>
      </c>
      <c r="L663" t="n">
        <v>4</v>
      </c>
      <c r="M663" t="n">
        <v>0</v>
      </c>
      <c r="N663" t="n">
        <v>0</v>
      </c>
      <c r="O663" t="n">
        <v>0</v>
      </c>
      <c r="P663" t="n">
        <v>0</v>
      </c>
      <c r="Q663" t="n">
        <v>4</v>
      </c>
      <c r="R663" t="n">
        <v>0</v>
      </c>
      <c r="S663" t="n">
        <v>4</v>
      </c>
      <c r="T663" t="n">
        <v>7</v>
      </c>
      <c r="U663" t="n">
        <v>1</v>
      </c>
      <c r="V663" s="2" t="inlineStr">
        <is>
          <t>Dropptaggsvamp
Kolflarnlav
Mörk kolflarnlav
Vedflamlav</t>
        </is>
      </c>
      <c r="W663">
        <f>HYPERLINK("https://klasma.github.io/Logging_2039/artfynd/A 19870-2026 artfynd.xlsx", "A 19870-2026")</f>
        <v/>
      </c>
      <c r="X663">
        <f>HYPERLINK("https://klasma.github.io/Logging_2039/kartor/A 19870-2026 karta.png", "A 19870-2026")</f>
        <v/>
      </c>
      <c r="Y663">
        <f>HYPERLINK("https://klasma.github.io/Logging_2039/kartor_geotiff/A 19870-2026 georefererad karta.tif", "A 19870-2026")</f>
        <v/>
      </c>
      <c r="AA663">
        <f>HYPERLINK("https://klasma.github.io/Logging_2039/klagomål/A 19870-2026 FSC-klagomål.docx", "A 19870-2026")</f>
        <v/>
      </c>
      <c r="AB663">
        <f>HYPERLINK("https://klasma.github.io/Logging_2039/klagomålsmail/A 19870-2026 FSC-klagomål mail.docx", "A 19870-2026")</f>
        <v/>
      </c>
      <c r="AC663">
        <f>HYPERLINK("https://klasma.github.io/Logging_2039/tillsyn/A 19870-2026 tillsynsbegäran.docx", "A 19870-2026")</f>
        <v/>
      </c>
      <c r="AD663">
        <f>HYPERLINK("https://klasma.github.io/Logging_2039/tillsynsmail/A 19870-2026 tillsynsbegäran mail.docx", "A 19870-2026")</f>
        <v/>
      </c>
    </row>
    <row r="664" ht="15" customHeight="1">
      <c r="A664" t="inlineStr">
        <is>
          <t>A 13339-2025</t>
        </is>
      </c>
      <c r="B664" t="inlineStr">
        <is>
          <t>avverkningsanmälan</t>
        </is>
      </c>
      <c r="C664" t="inlineStr">
        <is>
          <t>Föryngringsavverkning</t>
        </is>
      </c>
      <c r="D664" s="1" t="n">
        <v>45735</v>
      </c>
      <c r="E664" s="1" t="n">
        <v>46319</v>
      </c>
      <c r="F664" t="inlineStr">
        <is>
          <t>DALARNAS LÄN</t>
        </is>
      </c>
      <c r="G664" t="inlineStr">
        <is>
          <t>VANSBRO</t>
        </is>
      </c>
      <c r="I664" t="n">
        <v>0.4</v>
      </c>
      <c r="J664" t="n">
        <v>1</v>
      </c>
      <c r="K664" t="n">
        <v>0</v>
      </c>
      <c r="L664" t="n">
        <v>2</v>
      </c>
      <c r="M664" t="n">
        <v>2</v>
      </c>
      <c r="N664" t="n">
        <v>0</v>
      </c>
      <c r="O664" t="n">
        <v>0</v>
      </c>
      <c r="P664" t="n">
        <v>0</v>
      </c>
      <c r="Q664" t="n">
        <v>4</v>
      </c>
      <c r="R664" t="n">
        <v>2</v>
      </c>
      <c r="S664" t="n">
        <v>4</v>
      </c>
      <c r="T664" t="n">
        <v>5</v>
      </c>
      <c r="U664" t="n">
        <v>5</v>
      </c>
      <c r="V664" s="2" t="inlineStr">
        <is>
          <t>Garnlav
Knärot
Dropptaggsvamp
Mörk kolflarnlav</t>
        </is>
      </c>
      <c r="W664">
        <f>HYPERLINK("https://klasma.github.io/Logging_2021/artfynd/A 13339-2025 artfynd.xlsx", "A 13339-2025")</f>
        <v/>
      </c>
      <c r="X664">
        <f>HYPERLINK("https://klasma.github.io/Logging_2021/kartor/A 13339-2025 karta.png", "A 13339-2025")</f>
        <v/>
      </c>
      <c r="Y664">
        <f>HYPERLINK("https://klasma.github.io/Logging_2021/kartor_geotiff/A 13339-2025 georefererad karta.tif", "A 13339-2025")</f>
        <v/>
      </c>
      <c r="Z664">
        <f>HYPERLINK("https://klasma.github.io/Logging_2021/knärot/A 13339-2025 karta knärot.png", "A 13339-2025")</f>
        <v/>
      </c>
      <c r="AA664">
        <f>HYPERLINK("https://klasma.github.io/Logging_2021/klagomål/A 13339-2025 FSC-klagomål.docx", "A 13339-2025")</f>
        <v/>
      </c>
      <c r="AB664">
        <f>HYPERLINK("https://klasma.github.io/Logging_2021/klagomålsmail/A 13339-2025 FSC-klagomål mail.docx", "A 13339-2025")</f>
        <v/>
      </c>
      <c r="AC664">
        <f>HYPERLINK("https://klasma.github.io/Logging_2021/tillsyn/A 13339-2025 tillsynsbegäran.docx", "A 13339-2025")</f>
        <v/>
      </c>
      <c r="AD664">
        <f>HYPERLINK("https://klasma.github.io/Logging_2021/tillsynsmail/A 13339-2025 tillsynsbegäran mail.docx", "A 13339-2025")</f>
        <v/>
      </c>
    </row>
    <row r="665" ht="15" customHeight="1">
      <c r="A665" t="inlineStr">
        <is>
          <t>A 47044-2025</t>
        </is>
      </c>
      <c r="B665" t="inlineStr">
        <is>
          <t>avverkningsanmälan</t>
        </is>
      </c>
      <c r="C665" t="inlineStr">
        <is>
          <t>Föryngringsavverkning</t>
        </is>
      </c>
      <c r="D665" s="1" t="n">
        <v>45929</v>
      </c>
      <c r="E665" s="1" t="n">
        <v>46319</v>
      </c>
      <c r="F665" t="inlineStr">
        <is>
          <t>DALARNAS LÄN</t>
        </is>
      </c>
      <c r="G665" t="inlineStr">
        <is>
          <t>LUDVIKA</t>
        </is>
      </c>
      <c r="H665" t="inlineStr">
        <is>
          <t>Bergvik skog väst AB</t>
        </is>
      </c>
      <c r="I665" t="n">
        <v>2.7</v>
      </c>
      <c r="J665" t="n">
        <v>4</v>
      </c>
      <c r="K665" t="n">
        <v>0</v>
      </c>
      <c r="L665" t="n">
        <v>2</v>
      </c>
      <c r="M665" t="n">
        <v>0</v>
      </c>
      <c r="N665" t="n">
        <v>0</v>
      </c>
      <c r="O665" t="n">
        <v>0</v>
      </c>
      <c r="P665" t="n">
        <v>0</v>
      </c>
      <c r="Q665" t="n">
        <v>2</v>
      </c>
      <c r="R665" t="n">
        <v>0</v>
      </c>
      <c r="S665" t="n">
        <v>4</v>
      </c>
      <c r="T665" t="n">
        <v>4</v>
      </c>
      <c r="U665" t="n">
        <v>4</v>
      </c>
      <c r="V665" s="2" t="inlineStr">
        <is>
          <t>Duvhök
Tretåig hackspett
Järpe
Tjäder</t>
        </is>
      </c>
      <c r="W665">
        <f>HYPERLINK("https://klasma.github.io/Logging_2085/artfynd/A 47044-2025 artfynd.xlsx", "A 47044-2025")</f>
        <v/>
      </c>
      <c r="X665">
        <f>HYPERLINK("https://klasma.github.io/Logging_2085/kartor/A 47044-2025 karta.png", "A 47044-2025")</f>
        <v/>
      </c>
      <c r="Y665">
        <f>HYPERLINK("https://klasma.github.io/Logging_2085/kartor_geotiff/A 47044-2025 georefererad karta.tif", "A 47044-2025")</f>
        <v/>
      </c>
      <c r="AA665">
        <f>HYPERLINK("https://klasma.github.io/Logging_2085/klagomål/A 47044-2025 FSC-klagomål.docx", "A 47044-2025")</f>
        <v/>
      </c>
      <c r="AB665">
        <f>HYPERLINK("https://klasma.github.io/Logging_2085/klagomålsmail/A 47044-2025 FSC-klagomål mail.docx", "A 47044-2025")</f>
        <v/>
      </c>
      <c r="AC665">
        <f>HYPERLINK("https://klasma.github.io/Logging_2085/tillsyn/A 47044-2025 tillsynsbegäran.docx", "A 47044-2025")</f>
        <v/>
      </c>
      <c r="AD665">
        <f>HYPERLINK("https://klasma.github.io/Logging_2085/tillsynsmail/A 47044-2025 tillsynsbegäran mail.docx", "A 47044-2025")</f>
        <v/>
      </c>
      <c r="AE665">
        <f>HYPERLINK("https://klasma.github.io/Logging_2085/fåglar/A 47044-2025 prioriterade fågelarter.docx", "A 47044-2025")</f>
        <v/>
      </c>
    </row>
    <row r="666" ht="15" customHeight="1">
      <c r="A666" t="inlineStr">
        <is>
          <t>A 47294-2023</t>
        </is>
      </c>
      <c r="B666" t="inlineStr">
        <is>
          <t>avverkningsanmälan</t>
        </is>
      </c>
      <c r="C666" t="inlineStr">
        <is>
          <t>Föryngringsavverkning</t>
        </is>
      </c>
      <c r="D666" s="1" t="n">
        <v>45202</v>
      </c>
      <c r="E666" s="1" t="n">
        <v>46319</v>
      </c>
      <c r="F666" t="inlineStr">
        <is>
          <t>DALARNAS LÄN</t>
        </is>
      </c>
      <c r="G666" t="inlineStr">
        <is>
          <t>GAGNEF</t>
        </is>
      </c>
      <c r="I666" t="n">
        <v>54.2</v>
      </c>
      <c r="J666" t="n">
        <v>3</v>
      </c>
      <c r="K666" t="n">
        <v>0</v>
      </c>
      <c r="L666" t="n">
        <v>0</v>
      </c>
      <c r="M666" t="n">
        <v>1</v>
      </c>
      <c r="N666" t="n">
        <v>0</v>
      </c>
      <c r="O666" t="n">
        <v>0</v>
      </c>
      <c r="P666" t="n">
        <v>0</v>
      </c>
      <c r="Q666" t="n">
        <v>1</v>
      </c>
      <c r="R666" t="n">
        <v>1</v>
      </c>
      <c r="S666" t="n">
        <v>4</v>
      </c>
      <c r="T666" t="n">
        <v>28</v>
      </c>
      <c r="U666" t="n">
        <v>28</v>
      </c>
      <c r="V666" s="2" t="inlineStr">
        <is>
          <t>Garnlav
Spillkråka
Tjäder
Fläcknycklar</t>
        </is>
      </c>
      <c r="W666">
        <f>HYPERLINK("https://klasma.github.io/Logging_2026/artfynd/A 47294-2023 artfynd.xlsx", "A 47294-2023")</f>
        <v/>
      </c>
      <c r="X666">
        <f>HYPERLINK("https://klasma.github.io/Logging_2026/kartor/A 47294-2023 karta.png", "A 47294-2023")</f>
        <v/>
      </c>
      <c r="Y666">
        <f>HYPERLINK("https://klasma.github.io/Logging_2026/kartor_geotiff/A 47294-2023 georefererad karta.tif", "A 47294-2023")</f>
        <v/>
      </c>
      <c r="AA666">
        <f>HYPERLINK("https://klasma.github.io/Logging_2026/klagomål/A 47294-2023 FSC-klagomål.docx", "A 47294-2023")</f>
        <v/>
      </c>
      <c r="AB666">
        <f>HYPERLINK("https://klasma.github.io/Logging_2026/klagomålsmail/A 47294-2023 FSC-klagomål mail.docx", "A 47294-2023")</f>
        <v/>
      </c>
      <c r="AC666">
        <f>HYPERLINK("https://klasma.github.io/Logging_2026/tillsyn/A 47294-2023 tillsynsbegäran.docx", "A 47294-2023")</f>
        <v/>
      </c>
      <c r="AD666">
        <f>HYPERLINK("https://klasma.github.io/Logging_2026/tillsynsmail/A 47294-2023 tillsynsbegäran mail.docx", "A 47294-2023")</f>
        <v/>
      </c>
      <c r="AE666">
        <f>HYPERLINK("https://klasma.github.io/Logging_2026/fåglar/A 47294-2023 prioriterade fågelarter.docx", "A 47294-2023")</f>
        <v/>
      </c>
    </row>
    <row r="667" ht="15" customHeight="1">
      <c r="A667" t="inlineStr">
        <is>
          <t>A 54309-2022</t>
        </is>
      </c>
      <c r="B667" t="inlineStr">
        <is>
          <t>avverkningsanmälan</t>
        </is>
      </c>
      <c r="C667" t="inlineStr">
        <is>
          <t>Föryngringsavverkning</t>
        </is>
      </c>
      <c r="D667" s="1" t="n">
        <v>44882</v>
      </c>
      <c r="E667" s="1" t="n">
        <v>46319</v>
      </c>
      <c r="F667" t="inlineStr">
        <is>
          <t>DALARNAS LÄN</t>
        </is>
      </c>
      <c r="G667" t="inlineStr">
        <is>
          <t>FALUN</t>
        </is>
      </c>
      <c r="I667" t="n">
        <v>1.5</v>
      </c>
      <c r="J667" t="n">
        <v>4</v>
      </c>
      <c r="K667" t="n">
        <v>0</v>
      </c>
      <c r="L667" t="n">
        <v>1</v>
      </c>
      <c r="M667" t="n">
        <v>2</v>
      </c>
      <c r="N667" t="n">
        <v>0</v>
      </c>
      <c r="O667" t="n">
        <v>0</v>
      </c>
      <c r="P667" t="n">
        <v>0</v>
      </c>
      <c r="Q667" t="n">
        <v>3</v>
      </c>
      <c r="R667" t="n">
        <v>2</v>
      </c>
      <c r="S667" t="n">
        <v>4</v>
      </c>
      <c r="T667" t="n">
        <v>4</v>
      </c>
      <c r="U667" t="n">
        <v>3</v>
      </c>
      <c r="V667" s="2" t="inlineStr">
        <is>
          <t>Brun gräsfjäril
Tornseglare
Ladusvala
Svartvit flugsnappare</t>
        </is>
      </c>
      <c r="W667">
        <f>HYPERLINK("https://klasma.github.io/Logging_2080/artfynd/A 54309-2022 artfynd.xlsx", "A 54309-2022")</f>
        <v/>
      </c>
      <c r="X667">
        <f>HYPERLINK("https://klasma.github.io/Logging_2080/kartor/A 54309-2022 karta.png", "A 54309-2022")</f>
        <v/>
      </c>
      <c r="Y667">
        <f>HYPERLINK("https://klasma.github.io/Logging_2080/kartor_geotiff/A 54309-2022 georefererad karta.tif", "A 54309-2022")</f>
        <v/>
      </c>
      <c r="AA667">
        <f>HYPERLINK("https://klasma.github.io/Logging_2080/klagomål/A 54309-2022 FSC-klagomål.docx", "A 54309-2022")</f>
        <v/>
      </c>
      <c r="AB667">
        <f>HYPERLINK("https://klasma.github.io/Logging_2080/klagomålsmail/A 54309-2022 FSC-klagomål mail.docx", "A 54309-2022")</f>
        <v/>
      </c>
      <c r="AC667">
        <f>HYPERLINK("https://klasma.github.io/Logging_2080/tillsyn/A 54309-2022 tillsynsbegäran.docx", "A 54309-2022")</f>
        <v/>
      </c>
      <c r="AD667">
        <f>HYPERLINK("https://klasma.github.io/Logging_2080/tillsynsmail/A 54309-2022 tillsynsbegäran mail.docx", "A 54309-2022")</f>
        <v/>
      </c>
      <c r="AE667">
        <f>HYPERLINK("https://klasma.github.io/Logging_2080/fåglar/A 54309-2022 prioriterade fågelarter.docx", "A 54309-2022")</f>
        <v/>
      </c>
    </row>
    <row r="668" ht="15" customHeight="1">
      <c r="A668" t="inlineStr">
        <is>
          <t>A 51070-2025</t>
        </is>
      </c>
      <c r="B668" t="inlineStr">
        <is>
          <t>avverkningsanmälan</t>
        </is>
      </c>
      <c r="C668" t="inlineStr">
        <is>
          <t>Föryngringsavverkning</t>
        </is>
      </c>
      <c r="D668" s="1" t="n">
        <v>45947</v>
      </c>
      <c r="E668" s="1" t="n">
        <v>46319</v>
      </c>
      <c r="F668" t="inlineStr">
        <is>
          <t>DALARNAS LÄN</t>
        </is>
      </c>
      <c r="G668" t="inlineStr">
        <is>
          <t>ORSA</t>
        </is>
      </c>
      <c r="I668" t="n">
        <v>2.8</v>
      </c>
      <c r="J668" t="n">
        <v>2</v>
      </c>
      <c r="K668" t="n">
        <v>0</v>
      </c>
      <c r="L668" t="n">
        <v>2</v>
      </c>
      <c r="M668" t="n">
        <v>1</v>
      </c>
      <c r="N668" t="n">
        <v>0</v>
      </c>
      <c r="O668" t="n">
        <v>0</v>
      </c>
      <c r="P668" t="n">
        <v>0</v>
      </c>
      <c r="Q668" t="n">
        <v>3</v>
      </c>
      <c r="R668" t="n">
        <v>1</v>
      </c>
      <c r="S668" t="n">
        <v>4</v>
      </c>
      <c r="T668" t="n">
        <v>7</v>
      </c>
      <c r="U668" t="n">
        <v>7</v>
      </c>
      <c r="V668" s="2" t="inlineStr">
        <is>
          <t>Garnlav
Lunglav
Tretåig hackspett
Tjäder</t>
        </is>
      </c>
      <c r="W668">
        <f>HYPERLINK("https://klasma.github.io/Logging_2034/artfynd/A 51070-2025 artfynd.xlsx", "A 51070-2025")</f>
        <v/>
      </c>
      <c r="X668">
        <f>HYPERLINK("https://klasma.github.io/Logging_2034/kartor/A 51070-2025 karta.png", "A 51070-2025")</f>
        <v/>
      </c>
      <c r="Y668">
        <f>HYPERLINK("https://klasma.github.io/Logging_2034/kartor_geotiff/A 51070-2025 georefererad karta.tif", "A 51070-2025")</f>
        <v/>
      </c>
      <c r="AA668">
        <f>HYPERLINK("https://klasma.github.io/Logging_2034/klagomål/A 51070-2025 FSC-klagomål.docx", "A 51070-2025")</f>
        <v/>
      </c>
      <c r="AB668">
        <f>HYPERLINK("https://klasma.github.io/Logging_2034/klagomålsmail/A 51070-2025 FSC-klagomål mail.docx", "A 51070-2025")</f>
        <v/>
      </c>
      <c r="AC668">
        <f>HYPERLINK("https://klasma.github.io/Logging_2034/tillsyn/A 51070-2025 tillsynsbegäran.docx", "A 51070-2025")</f>
        <v/>
      </c>
      <c r="AD668">
        <f>HYPERLINK("https://klasma.github.io/Logging_2034/tillsynsmail/A 51070-2025 tillsynsbegäran mail.docx", "A 51070-2025")</f>
        <v/>
      </c>
      <c r="AE668">
        <f>HYPERLINK("https://klasma.github.io/Logging_2034/fåglar/A 51070-2025 prioriterade fågelarter.docx", "A 51070-2025")</f>
        <v/>
      </c>
    </row>
    <row r="669" ht="15" customHeight="1">
      <c r="A669" t="inlineStr">
        <is>
          <t>A 13344-2025</t>
        </is>
      </c>
      <c r="B669" t="inlineStr">
        <is>
          <t>avverkningsanmälan</t>
        </is>
      </c>
      <c r="C669" t="inlineStr">
        <is>
          <t>Föryngringsavverkning</t>
        </is>
      </c>
      <c r="D669" s="1" t="n">
        <v>45735</v>
      </c>
      <c r="E669" s="1" t="n">
        <v>46319</v>
      </c>
      <c r="F669" t="inlineStr">
        <is>
          <t>DALARNAS LÄN</t>
        </is>
      </c>
      <c r="G669" t="inlineStr">
        <is>
          <t>VANSBRO</t>
        </is>
      </c>
      <c r="I669" t="n">
        <v>0.5</v>
      </c>
      <c r="J669" t="n">
        <v>2</v>
      </c>
      <c r="K669" t="n">
        <v>0</v>
      </c>
      <c r="L669" t="n">
        <v>2</v>
      </c>
      <c r="M669" t="n">
        <v>1</v>
      </c>
      <c r="N669" t="n">
        <v>0</v>
      </c>
      <c r="O669" t="n">
        <v>0</v>
      </c>
      <c r="P669" t="n">
        <v>0</v>
      </c>
      <c r="Q669" t="n">
        <v>3</v>
      </c>
      <c r="R669" t="n">
        <v>1</v>
      </c>
      <c r="S669" t="n">
        <v>4</v>
      </c>
      <c r="T669" t="n">
        <v>6</v>
      </c>
      <c r="U669" t="n">
        <v>6</v>
      </c>
      <c r="V669" s="2" t="inlineStr">
        <is>
          <t>Knärot
Mörk kolflarnlav
Ullticka
Tjäder</t>
        </is>
      </c>
      <c r="W669">
        <f>HYPERLINK("https://klasma.github.io/Logging_2021/artfynd/A 13344-2025 artfynd.xlsx", "A 13344-2025")</f>
        <v/>
      </c>
      <c r="X669">
        <f>HYPERLINK("https://klasma.github.io/Logging_2021/kartor/A 13344-2025 karta.png", "A 13344-2025")</f>
        <v/>
      </c>
      <c r="Y669">
        <f>HYPERLINK("https://klasma.github.io/Logging_2021/kartor_geotiff/A 13344-2025 georefererad karta.tif", "A 13344-2025")</f>
        <v/>
      </c>
      <c r="Z669">
        <f>HYPERLINK("https://klasma.github.io/Logging_2021/knärot/A 13344-2025 karta knärot.png", "A 13344-2025")</f>
        <v/>
      </c>
      <c r="AA669">
        <f>HYPERLINK("https://klasma.github.io/Logging_2021/klagomål/A 13344-2025 FSC-klagomål.docx", "A 13344-2025")</f>
        <v/>
      </c>
      <c r="AB669">
        <f>HYPERLINK("https://klasma.github.io/Logging_2021/klagomålsmail/A 13344-2025 FSC-klagomål mail.docx", "A 13344-2025")</f>
        <v/>
      </c>
      <c r="AC669">
        <f>HYPERLINK("https://klasma.github.io/Logging_2021/tillsyn/A 13344-2025 tillsynsbegäran.docx", "A 13344-2025")</f>
        <v/>
      </c>
      <c r="AD669">
        <f>HYPERLINK("https://klasma.github.io/Logging_2021/tillsynsmail/A 13344-2025 tillsynsbegäran mail.docx", "A 13344-2025")</f>
        <v/>
      </c>
      <c r="AE669">
        <f>HYPERLINK("https://klasma.github.io/Logging_2021/fåglar/A 13344-2025 prioriterade fågelarter.docx", "A 13344-2025")</f>
        <v/>
      </c>
    </row>
    <row r="670" ht="15" customHeight="1">
      <c r="A670" t="inlineStr">
        <is>
          <t>A 32154-2026</t>
        </is>
      </c>
      <c r="B670" t="inlineStr">
        <is>
          <t>avverkningsanmälan</t>
        </is>
      </c>
      <c r="C670" t="inlineStr">
        <is>
          <t>Föryngringsavverkning</t>
        </is>
      </c>
      <c r="D670" s="1" t="n">
        <v>46236</v>
      </c>
      <c r="E670" s="1" t="n">
        <v>46319</v>
      </c>
      <c r="F670" t="inlineStr">
        <is>
          <t>DALARNAS LÄN</t>
        </is>
      </c>
      <c r="G670" t="inlineStr">
        <is>
          <t>ÄLVDALEN</t>
        </is>
      </c>
      <c r="H670" t="inlineStr">
        <is>
          <t>Naturvårdsverket</t>
        </is>
      </c>
      <c r="I670" t="n">
        <v>3.8</v>
      </c>
      <c r="J670" t="n">
        <v>1</v>
      </c>
      <c r="K670" t="n">
        <v>1</v>
      </c>
      <c r="L670" t="n">
        <v>2</v>
      </c>
      <c r="M670" t="n">
        <v>1</v>
      </c>
      <c r="N670" t="n">
        <v>0</v>
      </c>
      <c r="O670" t="n">
        <v>0</v>
      </c>
      <c r="P670" t="n">
        <v>0</v>
      </c>
      <c r="Q670" t="n">
        <v>3</v>
      </c>
      <c r="R670" t="n">
        <v>1</v>
      </c>
      <c r="S670" t="n">
        <v>4</v>
      </c>
      <c r="T670" t="n">
        <v>12</v>
      </c>
      <c r="U670" t="n">
        <v>12</v>
      </c>
      <c r="V670" s="2" t="inlineStr">
        <is>
          <t>Garnlav
Tretåig hackspett
Violettgrå tagellav
Vedticka</t>
        </is>
      </c>
      <c r="W670">
        <f>HYPERLINK("https://klasma.github.io/Logging_2039/artfynd/A 32154-2026 artfynd.xlsx", "A 32154-2026")</f>
        <v/>
      </c>
      <c r="X670">
        <f>HYPERLINK("https://klasma.github.io/Logging_2039/kartor/A 32154-2026 karta.png", "A 32154-2026")</f>
        <v/>
      </c>
      <c r="Y670">
        <f>HYPERLINK("https://klasma.github.io/Logging_2039/kartor_geotiff/A 32154-2026 georefererad karta.tif", "A 32154-2026")</f>
        <v/>
      </c>
      <c r="AA670">
        <f>HYPERLINK("https://klasma.github.io/Logging_2039/klagomål/A 32154-2026 FSC-klagomål.docx", "A 32154-2026")</f>
        <v/>
      </c>
      <c r="AB670">
        <f>HYPERLINK("https://klasma.github.io/Logging_2039/klagomålsmail/A 32154-2026 FSC-klagomål mail.docx", "A 32154-2026")</f>
        <v/>
      </c>
      <c r="AC670">
        <f>HYPERLINK("https://klasma.github.io/Logging_2039/tillsyn/A 32154-2026 tillsynsbegäran.docx", "A 32154-2026")</f>
        <v/>
      </c>
      <c r="AD670">
        <f>HYPERLINK("https://klasma.github.io/Logging_2039/tillsynsmail/A 32154-2026 tillsynsbegäran mail.docx", "A 32154-2026")</f>
        <v/>
      </c>
      <c r="AE670">
        <f>HYPERLINK("https://klasma.github.io/Logging_2039/fåglar/A 32154-2026 prioriterade fågelarter.docx", "A 32154-2026")</f>
        <v/>
      </c>
    </row>
    <row r="671" ht="15" customHeight="1">
      <c r="A671" t="inlineStr">
        <is>
          <t>A 3087-2025</t>
        </is>
      </c>
      <c r="B671" t="inlineStr">
        <is>
          <t>avverkningsanmälan</t>
        </is>
      </c>
      <c r="C671" t="inlineStr">
        <is>
          <t>Föryngringsavverkning</t>
        </is>
      </c>
      <c r="D671" s="1" t="n">
        <v>45678</v>
      </c>
      <c r="E671" s="1" t="n">
        <v>46319</v>
      </c>
      <c r="F671" t="inlineStr">
        <is>
          <t>DALARNAS LÄN</t>
        </is>
      </c>
      <c r="G671" t="inlineStr">
        <is>
          <t>BORLÄNGE</t>
        </is>
      </c>
      <c r="H671" t="inlineStr">
        <is>
          <t>Kommuner</t>
        </is>
      </c>
      <c r="I671" t="n">
        <v>10.8</v>
      </c>
      <c r="J671" t="n">
        <v>1</v>
      </c>
      <c r="K671" t="n">
        <v>0</v>
      </c>
      <c r="L671" t="n">
        <v>3</v>
      </c>
      <c r="M671" t="n">
        <v>0</v>
      </c>
      <c r="N671" t="n">
        <v>0</v>
      </c>
      <c r="O671" t="n">
        <v>0</v>
      </c>
      <c r="P671" t="n">
        <v>0</v>
      </c>
      <c r="Q671" t="n">
        <v>3</v>
      </c>
      <c r="R671" t="n">
        <v>0</v>
      </c>
      <c r="S671" t="n">
        <v>4</v>
      </c>
      <c r="T671" t="n">
        <v>13</v>
      </c>
      <c r="U671" t="n">
        <v>13</v>
      </c>
      <c r="V671" s="2" t="inlineStr">
        <is>
          <t>Rosenticka
Rynkskinn
Ullticka
Blåsippa</t>
        </is>
      </c>
      <c r="W671">
        <f>HYPERLINK("https://klasma.github.io/Logging_2081/artfynd/A 3087-2025 artfynd.xlsx", "A 3087-2025")</f>
        <v/>
      </c>
      <c r="X671">
        <f>HYPERLINK("https://klasma.github.io/Logging_2081/kartor/A 3087-2025 karta.png", "A 3087-2025")</f>
        <v/>
      </c>
      <c r="Y671">
        <f>HYPERLINK("https://klasma.github.io/Logging_2081/kartor_geotiff/A 3087-2025 georefererad karta.tif", "A 3087-2025")</f>
        <v/>
      </c>
      <c r="AA671">
        <f>HYPERLINK("https://klasma.github.io/Logging_2081/klagomål/A 3087-2025 FSC-klagomål.docx", "A 3087-2025")</f>
        <v/>
      </c>
      <c r="AB671">
        <f>HYPERLINK("https://klasma.github.io/Logging_2081/klagomålsmail/A 3087-2025 FSC-klagomål mail.docx", "A 3087-2025")</f>
        <v/>
      </c>
      <c r="AC671">
        <f>HYPERLINK("https://klasma.github.io/Logging_2081/tillsyn/A 3087-2025 tillsynsbegäran.docx", "A 3087-2025")</f>
        <v/>
      </c>
      <c r="AD671">
        <f>HYPERLINK("https://klasma.github.io/Logging_2081/tillsynsmail/A 3087-2025 tillsynsbegäran mail.docx", "A 3087-2025")</f>
        <v/>
      </c>
    </row>
    <row r="672" ht="15" customHeight="1">
      <c r="A672" t="inlineStr">
        <is>
          <t>A 6820-2026</t>
        </is>
      </c>
      <c r="B672" t="inlineStr">
        <is>
          <t>avverkningsanmälan</t>
        </is>
      </c>
      <c r="C672" t="inlineStr">
        <is>
          <t>Föryngringsavverkning</t>
        </is>
      </c>
      <c r="D672" s="1" t="n">
        <v>46057</v>
      </c>
      <c r="E672" s="1" t="n">
        <v>46319</v>
      </c>
      <c r="F672" t="inlineStr">
        <is>
          <t>DALARNAS LÄN</t>
        </is>
      </c>
      <c r="G672" t="inlineStr">
        <is>
          <t>ÄLVDALEN</t>
        </is>
      </c>
      <c r="I672" t="n">
        <v>0.8</v>
      </c>
      <c r="J672" t="n">
        <v>2</v>
      </c>
      <c r="K672" t="n">
        <v>0</v>
      </c>
      <c r="L672" t="n">
        <v>0</v>
      </c>
      <c r="M672" t="n">
        <v>1</v>
      </c>
      <c r="N672" t="n">
        <v>0</v>
      </c>
      <c r="O672" t="n">
        <v>0</v>
      </c>
      <c r="P672" t="n">
        <v>0</v>
      </c>
      <c r="Q672" t="n">
        <v>1</v>
      </c>
      <c r="R672" t="n">
        <v>1</v>
      </c>
      <c r="S672" t="n">
        <v>4</v>
      </c>
      <c r="T672" t="n">
        <v>6</v>
      </c>
      <c r="U672" t="n">
        <v>6</v>
      </c>
      <c r="V672" s="2" t="inlineStr">
        <is>
          <t>Garnlav
Linnea
Spillkråka
Tofsmes</t>
        </is>
      </c>
      <c r="W672">
        <f>HYPERLINK("https://klasma.github.io/Logging_2039/artfynd/A 6820-2026 artfynd.xlsx", "A 6820-2026")</f>
        <v/>
      </c>
      <c r="X672">
        <f>HYPERLINK("https://klasma.github.io/Logging_2039/kartor/A 6820-2026 karta.png", "A 6820-2026")</f>
        <v/>
      </c>
      <c r="Y672">
        <f>HYPERLINK("https://klasma.github.io/Logging_2039/kartor_geotiff/A 6820-2026 georefererad karta.tif", "A 6820-2026")</f>
        <v/>
      </c>
      <c r="AA672">
        <f>HYPERLINK("https://klasma.github.io/Logging_2039/klagomål/A 6820-2026 FSC-klagomål.docx", "A 6820-2026")</f>
        <v/>
      </c>
      <c r="AB672">
        <f>HYPERLINK("https://klasma.github.io/Logging_2039/klagomålsmail/A 6820-2026 FSC-klagomål mail.docx", "A 6820-2026")</f>
        <v/>
      </c>
      <c r="AC672">
        <f>HYPERLINK("https://klasma.github.io/Logging_2039/tillsyn/A 6820-2026 tillsynsbegäran.docx", "A 6820-2026")</f>
        <v/>
      </c>
      <c r="AD672">
        <f>HYPERLINK("https://klasma.github.io/Logging_2039/tillsynsmail/A 6820-2026 tillsynsbegäran mail.docx", "A 6820-2026")</f>
        <v/>
      </c>
      <c r="AE672">
        <f>HYPERLINK("https://klasma.github.io/Logging_2039/fåglar/A 6820-2026 prioriterade fågelarter.docx", "A 6820-2026")</f>
        <v/>
      </c>
    </row>
    <row r="673" ht="15" customHeight="1">
      <c r="A673" t="inlineStr">
        <is>
          <t>A 11705-2024</t>
        </is>
      </c>
      <c r="B673" t="inlineStr">
        <is>
          <t>avverkningsanmälan</t>
        </is>
      </c>
      <c r="C673" t="inlineStr">
        <is>
          <t>Föryngringsavverkning</t>
        </is>
      </c>
      <c r="D673" s="1" t="n">
        <v>45373</v>
      </c>
      <c r="E673" s="1" t="n">
        <v>46319</v>
      </c>
      <c r="F673" t="inlineStr">
        <is>
          <t>DALARNAS LÄN</t>
        </is>
      </c>
      <c r="G673" t="inlineStr">
        <is>
          <t>LUDVIKA</t>
        </is>
      </c>
      <c r="I673" t="n">
        <v>35.4</v>
      </c>
      <c r="J673" t="n">
        <v>2</v>
      </c>
      <c r="K673" t="n">
        <v>0</v>
      </c>
      <c r="L673" t="n">
        <v>2</v>
      </c>
      <c r="M673" t="n">
        <v>1</v>
      </c>
      <c r="N673" t="n">
        <v>0</v>
      </c>
      <c r="O673" t="n">
        <v>0</v>
      </c>
      <c r="P673" t="n">
        <v>0</v>
      </c>
      <c r="Q673" t="n">
        <v>3</v>
      </c>
      <c r="R673" t="n">
        <v>1</v>
      </c>
      <c r="S673" t="n">
        <v>4</v>
      </c>
      <c r="T673" t="n">
        <v>45</v>
      </c>
      <c r="U673" t="n">
        <v>45</v>
      </c>
      <c r="V673" s="2" t="inlineStr">
        <is>
          <t>Garnlav
Kortskaftad ärgspik
Tretåig hackspett
Spillkråka</t>
        </is>
      </c>
      <c r="W673">
        <f>HYPERLINK("https://klasma.github.io/Logging_2085/artfynd/A 11705-2024 artfynd.xlsx", "A 11705-2024")</f>
        <v/>
      </c>
      <c r="X673">
        <f>HYPERLINK("https://klasma.github.io/Logging_2085/kartor/A 11705-2024 karta.png", "A 11705-2024")</f>
        <v/>
      </c>
      <c r="Y673">
        <f>HYPERLINK("https://klasma.github.io/Logging_2085/kartor_geotiff/A 11705-2024 georefererad karta.tif", "A 11705-2024")</f>
        <v/>
      </c>
      <c r="AA673">
        <f>HYPERLINK("https://klasma.github.io/Logging_2085/klagomål/A 11705-2024 FSC-klagomål.docx", "A 11705-2024")</f>
        <v/>
      </c>
      <c r="AB673">
        <f>HYPERLINK("https://klasma.github.io/Logging_2085/klagomålsmail/A 11705-2024 FSC-klagomål mail.docx", "A 11705-2024")</f>
        <v/>
      </c>
      <c r="AC673">
        <f>HYPERLINK("https://klasma.github.io/Logging_2085/tillsyn/A 11705-2024 tillsynsbegäran.docx", "A 11705-2024")</f>
        <v/>
      </c>
      <c r="AD673">
        <f>HYPERLINK("https://klasma.github.io/Logging_2085/tillsynsmail/A 11705-2024 tillsynsbegäran mail.docx", "A 11705-2024")</f>
        <v/>
      </c>
      <c r="AE673">
        <f>HYPERLINK("https://klasma.github.io/Logging_2085/fåglar/A 11705-2024 prioriterade fågelarter.docx", "A 11705-2024")</f>
        <v/>
      </c>
    </row>
    <row r="674" ht="15" customHeight="1">
      <c r="A674" t="inlineStr">
        <is>
          <t>A 51928-2024</t>
        </is>
      </c>
      <c r="B674" t="inlineStr">
        <is>
          <t>avverkningsanmälan</t>
        </is>
      </c>
      <c r="C674" t="inlineStr">
        <is>
          <t>Föryngringsavverkning</t>
        </is>
      </c>
      <c r="D674" s="1" t="n">
        <v>45607</v>
      </c>
      <c r="E674" s="1" t="n">
        <v>46319</v>
      </c>
      <c r="F674" t="inlineStr">
        <is>
          <t>DALARNAS LÄN</t>
        </is>
      </c>
      <c r="G674" t="inlineStr">
        <is>
          <t>LUDVIKA</t>
        </is>
      </c>
      <c r="H674" t="inlineStr">
        <is>
          <t>Bergvik skog väst AB</t>
        </is>
      </c>
      <c r="I674" t="n">
        <v>27.9</v>
      </c>
      <c r="J674" t="n">
        <v>0</v>
      </c>
      <c r="K674" t="n">
        <v>3</v>
      </c>
      <c r="L674" t="n">
        <v>1</v>
      </c>
      <c r="M674" t="n">
        <v>0</v>
      </c>
      <c r="N674" t="n">
        <v>0</v>
      </c>
      <c r="O674" t="n">
        <v>0</v>
      </c>
      <c r="P674" t="n">
        <v>0</v>
      </c>
      <c r="Q674" t="n">
        <v>1</v>
      </c>
      <c r="R674" t="n">
        <v>0</v>
      </c>
      <c r="S674" t="n">
        <v>4</v>
      </c>
      <c r="T674" t="n">
        <v>4</v>
      </c>
      <c r="U674" t="n">
        <v>0</v>
      </c>
      <c r="V674" s="2" t="inlineStr">
        <is>
          <t>Brunpudrad nållav
Gulnål
Kornig nållav
Vedticka</t>
        </is>
      </c>
      <c r="W674">
        <f>HYPERLINK("https://klasma.github.io/Logging_2085/artfynd/A 51928-2024 artfynd.xlsx", "A 51928-2024")</f>
        <v/>
      </c>
      <c r="X674">
        <f>HYPERLINK("https://klasma.github.io/Logging_2085/kartor/A 51928-2024 karta.png", "A 51928-2024")</f>
        <v/>
      </c>
      <c r="Y674">
        <f>HYPERLINK("https://klasma.github.io/Logging_2085/kartor_geotiff/A 51928-2024 georefererad karta.tif", "A 51928-2024")</f>
        <v/>
      </c>
      <c r="AA674">
        <f>HYPERLINK("https://klasma.github.io/Logging_2085/klagomål/A 51928-2024 FSC-klagomål.docx", "A 51928-2024")</f>
        <v/>
      </c>
      <c r="AB674">
        <f>HYPERLINK("https://klasma.github.io/Logging_2085/klagomålsmail/A 51928-2024 FSC-klagomål mail.docx", "A 51928-2024")</f>
        <v/>
      </c>
      <c r="AC674">
        <f>HYPERLINK("https://klasma.github.io/Logging_2085/tillsyn/A 51928-2024 tillsynsbegäran.docx", "A 51928-2024")</f>
        <v/>
      </c>
      <c r="AD674">
        <f>HYPERLINK("https://klasma.github.io/Logging_2085/tillsynsmail/A 51928-2024 tillsynsbegäran mail.docx", "A 51928-2024")</f>
        <v/>
      </c>
    </row>
    <row r="675" ht="15" customHeight="1">
      <c r="A675" t="inlineStr">
        <is>
          <t>A 34715-2025</t>
        </is>
      </c>
      <c r="B675" t="inlineStr">
        <is>
          <t>avverkningsanmälan</t>
        </is>
      </c>
      <c r="C675" t="inlineStr">
        <is>
          <t>Föryngringsavverkning</t>
        </is>
      </c>
      <c r="D675" s="1" t="n">
        <v>45848</v>
      </c>
      <c r="E675" s="1" t="n">
        <v>46319</v>
      </c>
      <c r="F675" t="inlineStr">
        <is>
          <t>DALARNAS LÄN</t>
        </is>
      </c>
      <c r="G675" t="inlineStr">
        <is>
          <t>MORA</t>
        </is>
      </c>
      <c r="I675" t="n">
        <v>8.5</v>
      </c>
      <c r="J675" t="n">
        <v>2</v>
      </c>
      <c r="K675" t="n">
        <v>0</v>
      </c>
      <c r="L675" t="n">
        <v>2</v>
      </c>
      <c r="M675" t="n">
        <v>2</v>
      </c>
      <c r="N675" t="n">
        <v>0</v>
      </c>
      <c r="O675" t="n">
        <v>0</v>
      </c>
      <c r="P675" t="n">
        <v>0</v>
      </c>
      <c r="Q675" t="n">
        <v>4</v>
      </c>
      <c r="R675" t="n">
        <v>2</v>
      </c>
      <c r="S675" t="n">
        <v>4</v>
      </c>
      <c r="T675" t="n">
        <v>5</v>
      </c>
      <c r="U675" t="n">
        <v>5</v>
      </c>
      <c r="V675" s="2" t="inlineStr">
        <is>
          <t>Garnlav
Knärot
Tallticka
Tretåig hackspett</t>
        </is>
      </c>
      <c r="W675">
        <f>HYPERLINK("https://klasma.github.io/Logging_2062/artfynd/A 34715-2025 artfynd.xlsx", "A 34715-2025")</f>
        <v/>
      </c>
      <c r="X675">
        <f>HYPERLINK("https://klasma.github.io/Logging_2062/kartor/A 34715-2025 karta.png", "A 34715-2025")</f>
        <v/>
      </c>
      <c r="Y675">
        <f>HYPERLINK("https://klasma.github.io/Logging_2062/kartor_geotiff/A 34715-2025 georefererad karta.tif", "A 34715-2025")</f>
        <v/>
      </c>
      <c r="Z675">
        <f>HYPERLINK("https://klasma.github.io/Logging_2062/knärot/A 34715-2025 karta knärot.png", "A 34715-2025")</f>
        <v/>
      </c>
      <c r="AA675">
        <f>HYPERLINK("https://klasma.github.io/Logging_2062/klagomål/A 34715-2025 FSC-klagomål.docx", "A 34715-2025")</f>
        <v/>
      </c>
      <c r="AB675">
        <f>HYPERLINK("https://klasma.github.io/Logging_2062/klagomålsmail/A 34715-2025 FSC-klagomål mail.docx", "A 34715-2025")</f>
        <v/>
      </c>
      <c r="AC675">
        <f>HYPERLINK("https://klasma.github.io/Logging_2062/tillsyn/A 34715-2025 tillsynsbegäran.docx", "A 34715-2025")</f>
        <v/>
      </c>
      <c r="AD675">
        <f>HYPERLINK("https://klasma.github.io/Logging_2062/tillsynsmail/A 34715-2025 tillsynsbegäran mail.docx", "A 34715-2025")</f>
        <v/>
      </c>
      <c r="AE675">
        <f>HYPERLINK("https://klasma.github.io/Logging_2062/fåglar/A 34715-2025 prioriterade fågelarter.docx", "A 34715-2025")</f>
        <v/>
      </c>
    </row>
    <row r="676" ht="15" customHeight="1">
      <c r="A676" t="inlineStr">
        <is>
          <t>A 37505-2026</t>
        </is>
      </c>
      <c r="B676" t="inlineStr">
        <is>
          <t>avverkningsanmälan</t>
        </is>
      </c>
      <c r="C676" t="inlineStr">
        <is>
          <t>Föryngringsavverkning</t>
        </is>
      </c>
      <c r="D676" s="1" t="n">
        <v>46276</v>
      </c>
      <c r="E676" s="1" t="n">
        <v>46319</v>
      </c>
      <c r="F676" t="inlineStr">
        <is>
          <t>DALARNAS LÄN</t>
        </is>
      </c>
      <c r="G676" t="inlineStr">
        <is>
          <t>MORA</t>
        </is>
      </c>
      <c r="I676" t="n">
        <v>2.3</v>
      </c>
      <c r="J676" t="n">
        <v>1</v>
      </c>
      <c r="K676" t="n">
        <v>1</v>
      </c>
      <c r="L676" t="n">
        <v>1</v>
      </c>
      <c r="M676" t="n">
        <v>1</v>
      </c>
      <c r="N676" t="n">
        <v>0</v>
      </c>
      <c r="O676" t="n">
        <v>0</v>
      </c>
      <c r="P676" t="n">
        <v>0</v>
      </c>
      <c r="Q676" t="n">
        <v>2</v>
      </c>
      <c r="R676" t="n">
        <v>1</v>
      </c>
      <c r="S676" t="n">
        <v>4</v>
      </c>
      <c r="T676" t="n">
        <v>23</v>
      </c>
      <c r="U676" t="n">
        <v>23</v>
      </c>
      <c r="V676" s="2" t="inlineStr">
        <is>
          <t>Garnlav
Dropptaggsvamp
Mindre märgborre
Tofsmes</t>
        </is>
      </c>
      <c r="W676">
        <f>HYPERLINK("https://klasma.github.io/Logging_2062/artfynd/A 37505-2026 artfynd.xlsx", "A 37505-2026")</f>
        <v/>
      </c>
      <c r="X676">
        <f>HYPERLINK("https://klasma.github.io/Logging_2062/kartor/A 37505-2026 karta.png", "A 37505-2026")</f>
        <v/>
      </c>
      <c r="Y676">
        <f>HYPERLINK("https://klasma.github.io/Logging_2062/kartor_geotiff/A 37505-2026 georefererad karta.tif", "A 37505-2026")</f>
        <v/>
      </c>
      <c r="AA676">
        <f>HYPERLINK("https://klasma.github.io/Logging_2062/klagomål/A 37505-2026 FSC-klagomål.docx", "A 37505-2026")</f>
        <v/>
      </c>
      <c r="AB676">
        <f>HYPERLINK("https://klasma.github.io/Logging_2062/klagomålsmail/A 37505-2026 FSC-klagomål mail.docx", "A 37505-2026")</f>
        <v/>
      </c>
      <c r="AC676">
        <f>HYPERLINK("https://klasma.github.io/Logging_2062/tillsyn/A 37505-2026 tillsynsbegäran.docx", "A 37505-2026")</f>
        <v/>
      </c>
      <c r="AD676">
        <f>HYPERLINK("https://klasma.github.io/Logging_2062/tillsynsmail/A 37505-2026 tillsynsbegäran mail.docx", "A 37505-2026")</f>
        <v/>
      </c>
    </row>
    <row r="677" ht="15" customHeight="1">
      <c r="A677" t="inlineStr">
        <is>
          <t>A 37475-2025</t>
        </is>
      </c>
      <c r="B677" t="inlineStr">
        <is>
          <t>avverkningsanmälan</t>
        </is>
      </c>
      <c r="C677" t="inlineStr">
        <is>
          <t>Föryngringsavverkning</t>
        </is>
      </c>
      <c r="D677" s="1" t="n">
        <v>45877</v>
      </c>
      <c r="E677" s="1" t="n">
        <v>46319</v>
      </c>
      <c r="F677" t="inlineStr">
        <is>
          <t>DALARNAS LÄN</t>
        </is>
      </c>
      <c r="G677" t="inlineStr">
        <is>
          <t>BORLÄNGE</t>
        </is>
      </c>
      <c r="I677" t="n">
        <v>0.7</v>
      </c>
      <c r="J677" t="n">
        <v>2</v>
      </c>
      <c r="K677" t="n">
        <v>1</v>
      </c>
      <c r="L677" t="n">
        <v>2</v>
      </c>
      <c r="M677" t="n">
        <v>1</v>
      </c>
      <c r="N677" t="n">
        <v>0</v>
      </c>
      <c r="O677" t="n">
        <v>0</v>
      </c>
      <c r="P677" t="n">
        <v>0</v>
      </c>
      <c r="Q677" t="n">
        <v>3</v>
      </c>
      <c r="R677" t="n">
        <v>1</v>
      </c>
      <c r="S677" t="n">
        <v>4</v>
      </c>
      <c r="T677" t="n">
        <v>8</v>
      </c>
      <c r="U677" t="n">
        <v>6</v>
      </c>
      <c r="V677" s="2" t="inlineStr">
        <is>
          <t>Knärot
Tretåig hackspett
Violettgrå tagellav
Grönpyrola</t>
        </is>
      </c>
      <c r="W677">
        <f>HYPERLINK("https://klasma.github.io/Logging_2081/artfynd/A 37475-2025 artfynd.xlsx", "A 37475-2025")</f>
        <v/>
      </c>
      <c r="X677">
        <f>HYPERLINK("https://klasma.github.io/Logging_2081/kartor/A 37475-2025 karta.png", "A 37475-2025")</f>
        <v/>
      </c>
      <c r="Y677">
        <f>HYPERLINK("https://klasma.github.io/Logging_2081/kartor_geotiff/A 37475-2025 georefererad karta.tif", "A 37475-2025")</f>
        <v/>
      </c>
      <c r="Z677">
        <f>HYPERLINK("https://klasma.github.io/Logging_2081/knärot/A 37475-2025 karta knärot.png", "A 37475-2025")</f>
        <v/>
      </c>
      <c r="AA677">
        <f>HYPERLINK("https://klasma.github.io/Logging_2081/klagomål/A 37475-2025 FSC-klagomål.docx", "A 37475-2025")</f>
        <v/>
      </c>
      <c r="AB677">
        <f>HYPERLINK("https://klasma.github.io/Logging_2081/klagomålsmail/A 37475-2025 FSC-klagomål mail.docx", "A 37475-2025")</f>
        <v/>
      </c>
      <c r="AC677">
        <f>HYPERLINK("https://klasma.github.io/Logging_2081/tillsyn/A 37475-2025 tillsynsbegäran.docx", "A 37475-2025")</f>
        <v/>
      </c>
      <c r="AD677">
        <f>HYPERLINK("https://klasma.github.io/Logging_2081/tillsynsmail/A 37475-2025 tillsynsbegäran mail.docx", "A 37475-2025")</f>
        <v/>
      </c>
      <c r="AE677">
        <f>HYPERLINK("https://klasma.github.io/Logging_2081/fåglar/A 37475-2025 prioriterade fågelarter.docx", "A 37475-2025")</f>
        <v/>
      </c>
    </row>
    <row r="678" ht="15" customHeight="1">
      <c r="A678" t="inlineStr">
        <is>
          <t>A 35101-2026</t>
        </is>
      </c>
      <c r="B678" t="inlineStr">
        <is>
          <t>avverkningsanmälan</t>
        </is>
      </c>
      <c r="C678" t="inlineStr">
        <is>
          <t>Föryngringsavverkning</t>
        </is>
      </c>
      <c r="D678" s="1" t="n">
        <v>46260</v>
      </c>
      <c r="E678" s="1" t="n">
        <v>46319</v>
      </c>
      <c r="F678" t="inlineStr">
        <is>
          <t>DALARNAS LÄN</t>
        </is>
      </c>
      <c r="G678" t="inlineStr">
        <is>
          <t>LUDVIKA</t>
        </is>
      </c>
      <c r="I678" t="n">
        <v>2.3</v>
      </c>
      <c r="J678" t="n">
        <v>3</v>
      </c>
      <c r="K678" t="n">
        <v>1</v>
      </c>
      <c r="L678" t="n">
        <v>1</v>
      </c>
      <c r="M678" t="n">
        <v>0</v>
      </c>
      <c r="N678" t="n">
        <v>0</v>
      </c>
      <c r="O678" t="n">
        <v>0</v>
      </c>
      <c r="P678" t="n">
        <v>0</v>
      </c>
      <c r="Q678" t="n">
        <v>1</v>
      </c>
      <c r="R678" t="n">
        <v>0</v>
      </c>
      <c r="S678" t="n">
        <v>4</v>
      </c>
      <c r="T678" t="n">
        <v>7</v>
      </c>
      <c r="U678" t="n">
        <v>7</v>
      </c>
      <c r="V678" s="2" t="inlineStr">
        <is>
          <t>Tretåig hackspett
Rödgul trumpetsvamp
Järpe
Spillkråka</t>
        </is>
      </c>
      <c r="W678">
        <f>HYPERLINK("https://klasma.github.io/Logging_2085/artfynd/A 35101-2026 artfynd.xlsx", "A 35101-2026")</f>
        <v/>
      </c>
      <c r="X678">
        <f>HYPERLINK("https://klasma.github.io/Logging_2085/kartor/A 35101-2026 karta.png", "A 35101-2026")</f>
        <v/>
      </c>
      <c r="Y678">
        <f>HYPERLINK("https://klasma.github.io/Logging_2085/kartor_geotiff/A 35101-2026 georefererad karta.tif", "A 35101-2026")</f>
        <v/>
      </c>
      <c r="AA678">
        <f>HYPERLINK("https://klasma.github.io/Logging_2085/klagomål/A 35101-2026 FSC-klagomål.docx", "A 35101-2026")</f>
        <v/>
      </c>
      <c r="AB678">
        <f>HYPERLINK("https://klasma.github.io/Logging_2085/klagomålsmail/A 35101-2026 FSC-klagomål mail.docx", "A 35101-2026")</f>
        <v/>
      </c>
      <c r="AC678">
        <f>HYPERLINK("https://klasma.github.io/Logging_2085/tillsyn/A 35101-2026 tillsynsbegäran.docx", "A 35101-2026")</f>
        <v/>
      </c>
      <c r="AD678">
        <f>HYPERLINK("https://klasma.github.io/Logging_2085/tillsynsmail/A 35101-2026 tillsynsbegäran mail.docx", "A 35101-2026")</f>
        <v/>
      </c>
      <c r="AE678">
        <f>HYPERLINK("https://klasma.github.io/Logging_2085/fåglar/A 35101-2026 prioriterade fågelarter.docx", "A 35101-2026")</f>
        <v/>
      </c>
    </row>
    <row r="679" ht="15" customHeight="1">
      <c r="A679" t="inlineStr">
        <is>
          <t>A 59429-2024</t>
        </is>
      </c>
      <c r="B679" t="inlineStr">
        <is>
          <t>avverkningsanmälan</t>
        </is>
      </c>
      <c r="C679" t="inlineStr">
        <is>
          <t>Föryngringsavverkning</t>
        </is>
      </c>
      <c r="D679" s="1" t="n">
        <v>45638</v>
      </c>
      <c r="E679" s="1" t="n">
        <v>46319</v>
      </c>
      <c r="F679" t="inlineStr">
        <is>
          <t>DALARNAS LÄN</t>
        </is>
      </c>
      <c r="G679" t="inlineStr">
        <is>
          <t>ÄLVDALEN</t>
        </is>
      </c>
      <c r="H679" t="inlineStr">
        <is>
          <t>Allmännings- och besparingsskogar</t>
        </is>
      </c>
      <c r="I679" t="n">
        <v>4.9</v>
      </c>
      <c r="J679" t="n">
        <v>0</v>
      </c>
      <c r="K679" t="n">
        <v>1</v>
      </c>
      <c r="L679" t="n">
        <v>2</v>
      </c>
      <c r="M679" t="n">
        <v>1</v>
      </c>
      <c r="N679" t="n">
        <v>0</v>
      </c>
      <c r="O679" t="n">
        <v>0</v>
      </c>
      <c r="P679" t="n">
        <v>0</v>
      </c>
      <c r="Q679" t="n">
        <v>3</v>
      </c>
      <c r="R679" t="n">
        <v>1</v>
      </c>
      <c r="S679" t="n">
        <v>4</v>
      </c>
      <c r="T679" t="n">
        <v>4</v>
      </c>
      <c r="U679" t="n">
        <v>0</v>
      </c>
      <c r="V679" s="2" t="inlineStr">
        <is>
          <t>Garnlav
Lunglav
Skrovellav
Platt fjädermossa</t>
        </is>
      </c>
      <c r="W679">
        <f>HYPERLINK("https://klasma.github.io/Logging_2039/artfynd/A 59429-2024 artfynd.xlsx", "A 59429-2024")</f>
        <v/>
      </c>
      <c r="X679">
        <f>HYPERLINK("https://klasma.github.io/Logging_2039/kartor/A 59429-2024 karta.png", "A 59429-2024")</f>
        <v/>
      </c>
      <c r="Y679">
        <f>HYPERLINK("https://klasma.github.io/Logging_2039/kartor_geotiff/A 59429-2024 georefererad karta.tif", "A 59429-2024")</f>
        <v/>
      </c>
      <c r="AA679">
        <f>HYPERLINK("https://klasma.github.io/Logging_2039/klagomål/A 59429-2024 FSC-klagomål.docx", "A 59429-2024")</f>
        <v/>
      </c>
      <c r="AB679">
        <f>HYPERLINK("https://klasma.github.io/Logging_2039/klagomålsmail/A 59429-2024 FSC-klagomål mail.docx", "A 59429-2024")</f>
        <v/>
      </c>
      <c r="AC679">
        <f>HYPERLINK("https://klasma.github.io/Logging_2039/tillsyn/A 59429-2024 tillsynsbegäran.docx", "A 59429-2024")</f>
        <v/>
      </c>
      <c r="AD679">
        <f>HYPERLINK("https://klasma.github.io/Logging_2039/tillsynsmail/A 59429-2024 tillsynsbegäran mail.docx", "A 59429-2024")</f>
        <v/>
      </c>
    </row>
    <row r="680" ht="15" customHeight="1">
      <c r="A680" t="inlineStr">
        <is>
          <t>A 23682-2026</t>
        </is>
      </c>
      <c r="B680" t="inlineStr">
        <is>
          <t>avverkningsanmälan</t>
        </is>
      </c>
      <c r="C680" t="inlineStr">
        <is>
          <t>Föryngringsavverkning</t>
        </is>
      </c>
      <c r="D680" s="1" t="n">
        <v>46163</v>
      </c>
      <c r="E680" s="1" t="n">
        <v>46319</v>
      </c>
      <c r="F680" t="inlineStr">
        <is>
          <t>DALARNAS LÄN</t>
        </is>
      </c>
      <c r="G680" t="inlineStr">
        <is>
          <t>LUDVIKA</t>
        </is>
      </c>
      <c r="I680" t="n">
        <v>3.9</v>
      </c>
      <c r="J680" t="n">
        <v>3</v>
      </c>
      <c r="K680" t="n">
        <v>0</v>
      </c>
      <c r="L680" t="n">
        <v>1</v>
      </c>
      <c r="M680" t="n">
        <v>0</v>
      </c>
      <c r="N680" t="n">
        <v>0</v>
      </c>
      <c r="O680" t="n">
        <v>0</v>
      </c>
      <c r="P680" t="n">
        <v>0</v>
      </c>
      <c r="Q680" t="n">
        <v>1</v>
      </c>
      <c r="R680" t="n">
        <v>0</v>
      </c>
      <c r="S680" t="n">
        <v>4</v>
      </c>
      <c r="T680" t="n">
        <v>5</v>
      </c>
      <c r="U680" t="n">
        <v>5</v>
      </c>
      <c r="V680" s="2" t="inlineStr">
        <is>
          <t>Vårärt
Järpe
Spillkråka
Tjäder</t>
        </is>
      </c>
      <c r="W680">
        <f>HYPERLINK("https://klasma.github.io/Logging_2085/artfynd/A 23682-2026 artfynd.xlsx", "A 23682-2026")</f>
        <v/>
      </c>
      <c r="X680">
        <f>HYPERLINK("https://klasma.github.io/Logging_2085/kartor/A 23682-2026 karta.png", "A 23682-2026")</f>
        <v/>
      </c>
      <c r="Y680">
        <f>HYPERLINK("https://klasma.github.io/Logging_2085/kartor_geotiff/A 23682-2026 georefererad karta.tif", "A 23682-2026")</f>
        <v/>
      </c>
      <c r="AA680">
        <f>HYPERLINK("https://klasma.github.io/Logging_2085/klagomål/A 23682-2026 FSC-klagomål.docx", "A 23682-2026")</f>
        <v/>
      </c>
      <c r="AB680">
        <f>HYPERLINK("https://klasma.github.io/Logging_2085/klagomålsmail/A 23682-2026 FSC-klagomål mail.docx", "A 23682-2026")</f>
        <v/>
      </c>
      <c r="AC680">
        <f>HYPERLINK("https://klasma.github.io/Logging_2085/tillsyn/A 23682-2026 tillsynsbegäran.docx", "A 23682-2026")</f>
        <v/>
      </c>
      <c r="AD680">
        <f>HYPERLINK("https://klasma.github.io/Logging_2085/tillsynsmail/A 23682-2026 tillsynsbegäran mail.docx", "A 23682-2026")</f>
        <v/>
      </c>
      <c r="AE680">
        <f>HYPERLINK("https://klasma.github.io/Logging_2085/fåglar/A 23682-2026 prioriterade fågelarter.docx", "A 23682-2026")</f>
        <v/>
      </c>
    </row>
    <row r="681" ht="15" customHeight="1">
      <c r="A681" t="inlineStr">
        <is>
          <t>A 22589-2026</t>
        </is>
      </c>
      <c r="B681" t="inlineStr">
        <is>
          <t>avverkningsanmälan</t>
        </is>
      </c>
      <c r="C681" t="inlineStr">
        <is>
          <t>Föryngringsavverkning</t>
        </is>
      </c>
      <c r="D681" s="1" t="n">
        <v>46155</v>
      </c>
      <c r="E681" s="1" t="n">
        <v>46319</v>
      </c>
      <c r="F681" t="inlineStr">
        <is>
          <t>DALARNAS LÄN</t>
        </is>
      </c>
      <c r="G681" t="inlineStr">
        <is>
          <t>LUDVIKA</t>
        </is>
      </c>
      <c r="H681" t="inlineStr">
        <is>
          <t>Bergvik skog väst AB</t>
        </is>
      </c>
      <c r="I681" t="n">
        <v>3.7</v>
      </c>
      <c r="J681" t="n">
        <v>3</v>
      </c>
      <c r="K681" t="n">
        <v>0</v>
      </c>
      <c r="L681" t="n">
        <v>0</v>
      </c>
      <c r="M681" t="n">
        <v>1</v>
      </c>
      <c r="N681" t="n">
        <v>0</v>
      </c>
      <c r="O681" t="n">
        <v>0</v>
      </c>
      <c r="P681" t="n">
        <v>0</v>
      </c>
      <c r="Q681" t="n">
        <v>1</v>
      </c>
      <c r="R681" t="n">
        <v>1</v>
      </c>
      <c r="S681" t="n">
        <v>4</v>
      </c>
      <c r="T681" t="n">
        <v>5</v>
      </c>
      <c r="U681" t="n">
        <v>5</v>
      </c>
      <c r="V681" s="2" t="inlineStr">
        <is>
          <t>Garnlav
Järpe
Spillkråka
Tjäder</t>
        </is>
      </c>
      <c r="W681">
        <f>HYPERLINK("https://klasma.github.io/Logging_2085/artfynd/A 22589-2026 artfynd.xlsx", "A 22589-2026")</f>
        <v/>
      </c>
      <c r="X681">
        <f>HYPERLINK("https://klasma.github.io/Logging_2085/kartor/A 22589-2026 karta.png", "A 22589-2026")</f>
        <v/>
      </c>
      <c r="Y681">
        <f>HYPERLINK("https://klasma.github.io/Logging_2085/kartor_geotiff/A 22589-2026 georefererad karta.tif", "A 22589-2026")</f>
        <v/>
      </c>
      <c r="AA681">
        <f>HYPERLINK("https://klasma.github.io/Logging_2085/klagomål/A 22589-2026 FSC-klagomål.docx", "A 22589-2026")</f>
        <v/>
      </c>
      <c r="AB681">
        <f>HYPERLINK("https://klasma.github.io/Logging_2085/klagomålsmail/A 22589-2026 FSC-klagomål mail.docx", "A 22589-2026")</f>
        <v/>
      </c>
      <c r="AC681">
        <f>HYPERLINK("https://klasma.github.io/Logging_2085/tillsyn/A 22589-2026 tillsynsbegäran.docx", "A 22589-2026")</f>
        <v/>
      </c>
      <c r="AD681">
        <f>HYPERLINK("https://klasma.github.io/Logging_2085/tillsynsmail/A 22589-2026 tillsynsbegäran mail.docx", "A 22589-2026")</f>
        <v/>
      </c>
      <c r="AE681">
        <f>HYPERLINK("https://klasma.github.io/Logging_2085/fåglar/A 22589-2026 prioriterade fågelarter.docx", "A 22589-2026")</f>
        <v/>
      </c>
    </row>
    <row r="682" ht="15" customHeight="1">
      <c r="A682" t="inlineStr">
        <is>
          <t>A 35100-2026</t>
        </is>
      </c>
      <c r="B682" t="inlineStr">
        <is>
          <t>avverkningsanmälan</t>
        </is>
      </c>
      <c r="C682" t="inlineStr">
        <is>
          <t>Föryngringsavverkning</t>
        </is>
      </c>
      <c r="D682" s="1" t="n">
        <v>46260</v>
      </c>
      <c r="E682" s="1" t="n">
        <v>46319</v>
      </c>
      <c r="F682" t="inlineStr">
        <is>
          <t>DALARNAS LÄN</t>
        </is>
      </c>
      <c r="G682" t="inlineStr">
        <is>
          <t>LUDVIKA</t>
        </is>
      </c>
      <c r="I682" t="n">
        <v>1.6</v>
      </c>
      <c r="J682" t="n">
        <v>2</v>
      </c>
      <c r="K682" t="n">
        <v>1</v>
      </c>
      <c r="L682" t="n">
        <v>0</v>
      </c>
      <c r="M682" t="n">
        <v>1</v>
      </c>
      <c r="N682" t="n">
        <v>0</v>
      </c>
      <c r="O682" t="n">
        <v>0</v>
      </c>
      <c r="P682" t="n">
        <v>0</v>
      </c>
      <c r="Q682" t="n">
        <v>1</v>
      </c>
      <c r="R682" t="n">
        <v>1</v>
      </c>
      <c r="S682" t="n">
        <v>4</v>
      </c>
      <c r="T682" t="n">
        <v>8</v>
      </c>
      <c r="U682" t="n">
        <v>8</v>
      </c>
      <c r="V682" s="2" t="inlineStr">
        <is>
          <t>Knärot
Trådticka
Spillkråka
Sälg</t>
        </is>
      </c>
      <c r="W682">
        <f>HYPERLINK("https://klasma.github.io/Logging_2085/artfynd/A 35100-2026 artfynd.xlsx", "A 35100-2026")</f>
        <v/>
      </c>
      <c r="X682">
        <f>HYPERLINK("https://klasma.github.io/Logging_2085/kartor/A 35100-2026 karta.png", "A 35100-2026")</f>
        <v/>
      </c>
      <c r="Y682">
        <f>HYPERLINK("https://klasma.github.io/Logging_2085/kartor_geotiff/A 35100-2026 georefererad karta.tif", "A 35100-2026")</f>
        <v/>
      </c>
      <c r="Z682">
        <f>HYPERLINK("https://klasma.github.io/Logging_2085/knärot/A 35100-2026 karta knärot.png", "A 35100-2026")</f>
        <v/>
      </c>
      <c r="AA682">
        <f>HYPERLINK("https://klasma.github.io/Logging_2085/klagomål/A 35100-2026 FSC-klagomål.docx", "A 35100-2026")</f>
        <v/>
      </c>
      <c r="AB682">
        <f>HYPERLINK("https://klasma.github.io/Logging_2085/klagomålsmail/A 35100-2026 FSC-klagomål mail.docx", "A 35100-2026")</f>
        <v/>
      </c>
      <c r="AC682">
        <f>HYPERLINK("https://klasma.github.io/Logging_2085/tillsyn/A 35100-2026 tillsynsbegäran.docx", "A 35100-2026")</f>
        <v/>
      </c>
      <c r="AD682">
        <f>HYPERLINK("https://klasma.github.io/Logging_2085/tillsynsmail/A 35100-2026 tillsynsbegäran mail.docx", "A 35100-2026")</f>
        <v/>
      </c>
      <c r="AE682">
        <f>HYPERLINK("https://klasma.github.io/Logging_2085/fåglar/A 35100-2026 prioriterade fågelarter.docx", "A 35100-2026")</f>
        <v/>
      </c>
    </row>
    <row r="683" ht="15" customHeight="1">
      <c r="A683" t="inlineStr">
        <is>
          <t>A 62837-2025</t>
        </is>
      </c>
      <c r="B683" t="inlineStr">
        <is>
          <t>avverkningsanmälan</t>
        </is>
      </c>
      <c r="C683" t="inlineStr">
        <is>
          <t>Föryngringsavverkning</t>
        </is>
      </c>
      <c r="D683" s="1" t="n">
        <v>46008</v>
      </c>
      <c r="E683" s="1" t="n">
        <v>46319</v>
      </c>
      <c r="F683" t="inlineStr">
        <is>
          <t>DALARNAS LÄN</t>
        </is>
      </c>
      <c r="G683" t="inlineStr">
        <is>
          <t>ORSA</t>
        </is>
      </c>
      <c r="I683" t="n">
        <v>6.8</v>
      </c>
      <c r="J683" t="n">
        <v>3</v>
      </c>
      <c r="K683" t="n">
        <v>0</v>
      </c>
      <c r="L683" t="n">
        <v>1</v>
      </c>
      <c r="M683" t="n">
        <v>1</v>
      </c>
      <c r="N683" t="n">
        <v>0</v>
      </c>
      <c r="O683" t="n">
        <v>0</v>
      </c>
      <c r="P683" t="n">
        <v>0</v>
      </c>
      <c r="Q683" t="n">
        <v>2</v>
      </c>
      <c r="R683" t="n">
        <v>1</v>
      </c>
      <c r="S683" t="n">
        <v>4</v>
      </c>
      <c r="T683" t="n">
        <v>26</v>
      </c>
      <c r="U683" t="n">
        <v>25</v>
      </c>
      <c r="V683" s="2" t="inlineStr">
        <is>
          <t>Garnlav
Tretåig hackspett
Järpe
Spillkråka</t>
        </is>
      </c>
      <c r="W683">
        <f>HYPERLINK("https://klasma.github.io/Logging_2034/artfynd/A 62837-2025 artfynd.xlsx", "A 62837-2025")</f>
        <v/>
      </c>
      <c r="X683">
        <f>HYPERLINK("https://klasma.github.io/Logging_2034/kartor/A 62837-2025 karta.png", "A 62837-2025")</f>
        <v/>
      </c>
      <c r="Y683">
        <f>HYPERLINK("https://klasma.github.io/Logging_2034/kartor_geotiff/A 62837-2025 georefererad karta.tif", "A 62837-2025")</f>
        <v/>
      </c>
      <c r="AA683">
        <f>HYPERLINK("https://klasma.github.io/Logging_2034/klagomål/A 62837-2025 FSC-klagomål.docx", "A 62837-2025")</f>
        <v/>
      </c>
      <c r="AB683">
        <f>HYPERLINK("https://klasma.github.io/Logging_2034/klagomålsmail/A 62837-2025 FSC-klagomål mail.docx", "A 62837-2025")</f>
        <v/>
      </c>
      <c r="AC683">
        <f>HYPERLINK("https://klasma.github.io/Logging_2034/tillsyn/A 62837-2025 tillsynsbegäran.docx", "A 62837-2025")</f>
        <v/>
      </c>
      <c r="AD683">
        <f>HYPERLINK("https://klasma.github.io/Logging_2034/tillsynsmail/A 62837-2025 tillsynsbegäran mail.docx", "A 62837-2025")</f>
        <v/>
      </c>
      <c r="AE683">
        <f>HYPERLINK("https://klasma.github.io/Logging_2034/fåglar/A 62837-2025 prioriterade fågelarter.docx", "A 62837-2025")</f>
        <v/>
      </c>
    </row>
    <row r="684" ht="15" customHeight="1">
      <c r="A684" t="inlineStr">
        <is>
          <t>A 5713-2026</t>
        </is>
      </c>
      <c r="B684" t="inlineStr">
        <is>
          <t>avverkningsanmälan</t>
        </is>
      </c>
      <c r="C684" t="inlineStr">
        <is>
          <t>Föryngringsavverkning</t>
        </is>
      </c>
      <c r="D684" s="1" t="n">
        <v>46051</v>
      </c>
      <c r="E684" s="1" t="n">
        <v>46319</v>
      </c>
      <c r="F684" t="inlineStr">
        <is>
          <t>DALARNAS LÄN</t>
        </is>
      </c>
      <c r="G684" t="inlineStr">
        <is>
          <t>HEDEMORA</t>
        </is>
      </c>
      <c r="I684" t="n">
        <v>1</v>
      </c>
      <c r="J684" t="n">
        <v>1</v>
      </c>
      <c r="K684" t="n">
        <v>1</v>
      </c>
      <c r="L684" t="n">
        <v>2</v>
      </c>
      <c r="M684" t="n">
        <v>1</v>
      </c>
      <c r="N684" t="n">
        <v>0</v>
      </c>
      <c r="O684" t="n">
        <v>0</v>
      </c>
      <c r="P684" t="n">
        <v>0</v>
      </c>
      <c r="Q684" t="n">
        <v>3</v>
      </c>
      <c r="R684" t="n">
        <v>1</v>
      </c>
      <c r="S684" t="n">
        <v>4</v>
      </c>
      <c r="T684" t="n">
        <v>14</v>
      </c>
      <c r="U684" t="n">
        <v>0</v>
      </c>
      <c r="V684" s="2" t="inlineStr">
        <is>
          <t>Knärot
Rynkskinn
Ullticka
Bronshjon</t>
        </is>
      </c>
      <c r="W684">
        <f>HYPERLINK("https://klasma.github.io/Logging_2083/artfynd/A 5713-2026 artfynd.xlsx", "A 5713-2026")</f>
        <v/>
      </c>
      <c r="X684">
        <f>HYPERLINK("https://klasma.github.io/Logging_2083/kartor/A 5713-2026 karta.png", "A 5713-2026")</f>
        <v/>
      </c>
      <c r="Y684">
        <f>HYPERLINK("https://klasma.github.io/Logging_2083/kartor_geotiff/A 5713-2026 georefererad karta.tif", "A 5713-2026")</f>
        <v/>
      </c>
      <c r="Z684">
        <f>HYPERLINK("https://klasma.github.io/Logging_2083/knärot/A 5713-2026 karta knärot.png", "A 5713-2026")</f>
        <v/>
      </c>
      <c r="AA684">
        <f>HYPERLINK("https://klasma.github.io/Logging_2083/klagomål/A 5713-2026 FSC-klagomål.docx", "A 5713-2026")</f>
        <v/>
      </c>
      <c r="AB684">
        <f>HYPERLINK("https://klasma.github.io/Logging_2083/klagomålsmail/A 5713-2026 FSC-klagomål mail.docx", "A 5713-2026")</f>
        <v/>
      </c>
      <c r="AC684">
        <f>HYPERLINK("https://klasma.github.io/Logging_2083/tillsyn/A 5713-2026 tillsynsbegäran.docx", "A 5713-2026")</f>
        <v/>
      </c>
      <c r="AD684">
        <f>HYPERLINK("https://klasma.github.io/Logging_2083/tillsynsmail/A 5713-2026 tillsynsbegäran mail.docx", "A 5713-2026")</f>
        <v/>
      </c>
    </row>
    <row r="685" ht="15" customHeight="1">
      <c r="A685" t="inlineStr">
        <is>
          <t>A 28964-2024</t>
        </is>
      </c>
      <c r="B685" t="inlineStr">
        <is>
          <t>avverkningsanmälan</t>
        </is>
      </c>
      <c r="C685" t="inlineStr">
        <is>
          <t>Avverkning för annat ändamål</t>
        </is>
      </c>
      <c r="D685" s="1" t="n">
        <v>45481</v>
      </c>
      <c r="E685" s="1" t="n">
        <v>46319</v>
      </c>
      <c r="F685" t="inlineStr">
        <is>
          <t>DALARNAS LÄN</t>
        </is>
      </c>
      <c r="G685" t="inlineStr">
        <is>
          <t>MORA</t>
        </is>
      </c>
      <c r="I685" t="n">
        <v>1.3</v>
      </c>
      <c r="J685" t="n">
        <v>0</v>
      </c>
      <c r="K685" t="n">
        <v>0</v>
      </c>
      <c r="L685" t="n">
        <v>2</v>
      </c>
      <c r="M685" t="n">
        <v>2</v>
      </c>
      <c r="N685" t="n">
        <v>0</v>
      </c>
      <c r="O685" t="n">
        <v>0</v>
      </c>
      <c r="P685" t="n">
        <v>0</v>
      </c>
      <c r="Q685" t="n">
        <v>4</v>
      </c>
      <c r="R685" t="n">
        <v>2</v>
      </c>
      <c r="S685" t="n">
        <v>4</v>
      </c>
      <c r="T685" t="n">
        <v>4</v>
      </c>
      <c r="U685" t="n">
        <v>0</v>
      </c>
      <c r="V685" s="2" t="inlineStr">
        <is>
          <t>Lammticka
Tallgråticka
Kötticka
Tallfingersvamp</t>
        </is>
      </c>
      <c r="W685">
        <f>HYPERLINK("https://klasma.github.io/Logging_2062/artfynd/A 28964-2024 artfynd.xlsx", "A 28964-2024")</f>
        <v/>
      </c>
      <c r="X685">
        <f>HYPERLINK("https://klasma.github.io/Logging_2062/kartor/A 28964-2024 karta.png", "A 28964-2024")</f>
        <v/>
      </c>
      <c r="Y685">
        <f>HYPERLINK("https://klasma.github.io/Logging_2062/kartor_geotiff/A 28964-2024 georefererad karta.tif", "A 28964-2024")</f>
        <v/>
      </c>
      <c r="AA685">
        <f>HYPERLINK("https://klasma.github.io/Logging_2062/klagomål/A 28964-2024 FSC-klagomål.docx", "A 28964-2024")</f>
        <v/>
      </c>
      <c r="AB685">
        <f>HYPERLINK("https://klasma.github.io/Logging_2062/klagomålsmail/A 28964-2024 FSC-klagomål mail.docx", "A 28964-2024")</f>
        <v/>
      </c>
      <c r="AC685">
        <f>HYPERLINK("https://klasma.github.io/Logging_2062/tillsyn/A 28964-2024 tillsynsbegäran.docx", "A 28964-2024")</f>
        <v/>
      </c>
      <c r="AD685">
        <f>HYPERLINK("https://klasma.github.io/Logging_2062/tillsynsmail/A 28964-2024 tillsynsbegäran mail.docx", "A 28964-2024")</f>
        <v/>
      </c>
    </row>
    <row r="686" ht="15" customHeight="1">
      <c r="A686" t="inlineStr">
        <is>
          <t>A 8579-2025</t>
        </is>
      </c>
      <c r="B686" t="inlineStr">
        <is>
          <t>avverkningsanmälan</t>
        </is>
      </c>
      <c r="C686" t="inlineStr">
        <is>
          <t>Avverkning för att bevara och utveckla /försöksver</t>
        </is>
      </c>
      <c r="D686" s="1" t="n">
        <v>45709</v>
      </c>
      <c r="E686" s="1" t="n">
        <v>46319</v>
      </c>
      <c r="F686" t="inlineStr">
        <is>
          <t>DALARNAS LÄN</t>
        </is>
      </c>
      <c r="G686" t="inlineStr">
        <is>
          <t>ORSA</t>
        </is>
      </c>
      <c r="I686" t="n">
        <v>1.2</v>
      </c>
      <c r="J686" t="n">
        <v>1</v>
      </c>
      <c r="K686" t="n">
        <v>0</v>
      </c>
      <c r="L686" t="n">
        <v>3</v>
      </c>
      <c r="M686" t="n">
        <v>1</v>
      </c>
      <c r="N686" t="n">
        <v>0</v>
      </c>
      <c r="O686" t="n">
        <v>0</v>
      </c>
      <c r="P686" t="n">
        <v>0</v>
      </c>
      <c r="Q686" t="n">
        <v>4</v>
      </c>
      <c r="R686" t="n">
        <v>1</v>
      </c>
      <c r="S686" t="n">
        <v>4</v>
      </c>
      <c r="T686" t="n">
        <v>13</v>
      </c>
      <c r="U686" t="n">
        <v>3</v>
      </c>
      <c r="V686" s="2" t="inlineStr">
        <is>
          <t>Garnlav
Tretåig hackspett
Ullticka
Violettgrå tagellav</t>
        </is>
      </c>
      <c r="W686">
        <f>HYPERLINK("https://klasma.github.io/Logging_2034/artfynd/A 8579-2025 artfynd.xlsx", "A 8579-2025")</f>
        <v/>
      </c>
      <c r="X686">
        <f>HYPERLINK("https://klasma.github.io/Logging_2034/kartor/A 8579-2025 karta.png", "A 8579-2025")</f>
        <v/>
      </c>
      <c r="Y686">
        <f>HYPERLINK("https://klasma.github.io/Logging_2034/kartor_geotiff/A 8579-2025 georefererad karta.tif", "A 8579-2025")</f>
        <v/>
      </c>
      <c r="AA686">
        <f>HYPERLINK("https://klasma.github.io/Logging_2034/klagomål/A 8579-2025 FSC-klagomål.docx", "A 8579-2025")</f>
        <v/>
      </c>
      <c r="AB686">
        <f>HYPERLINK("https://klasma.github.io/Logging_2034/klagomålsmail/A 8579-2025 FSC-klagomål mail.docx", "A 8579-2025")</f>
        <v/>
      </c>
      <c r="AC686">
        <f>HYPERLINK("https://klasma.github.io/Logging_2034/tillsyn/A 8579-2025 tillsynsbegäran.docx", "A 8579-2025")</f>
        <v/>
      </c>
      <c r="AD686">
        <f>HYPERLINK("https://klasma.github.io/Logging_2034/tillsynsmail/A 8579-2025 tillsynsbegäran mail.docx", "A 8579-2025")</f>
        <v/>
      </c>
      <c r="AE686">
        <f>HYPERLINK("https://klasma.github.io/Logging_2034/fåglar/A 8579-2025 prioriterade fågelarter.docx", "A 8579-2025")</f>
        <v/>
      </c>
    </row>
    <row r="687" ht="15" customHeight="1">
      <c r="A687" t="inlineStr">
        <is>
          <t>A 32207-2024</t>
        </is>
      </c>
      <c r="B687" t="inlineStr">
        <is>
          <t>avverkningsanmälan</t>
        </is>
      </c>
      <c r="C687" t="inlineStr">
        <is>
          <t>Föryngringsavverkning</t>
        </is>
      </c>
      <c r="D687" s="1" t="n">
        <v>45511</v>
      </c>
      <c r="E687" s="1" t="n">
        <v>46319</v>
      </c>
      <c r="F687" t="inlineStr">
        <is>
          <t>DALARNAS LÄN</t>
        </is>
      </c>
      <c r="G687" t="inlineStr">
        <is>
          <t>ÄLVDALEN</t>
        </is>
      </c>
      <c r="H687" t="inlineStr">
        <is>
          <t>Sveaskog</t>
        </is>
      </c>
      <c r="I687" t="n">
        <v>2.5</v>
      </c>
      <c r="J687" t="n">
        <v>0</v>
      </c>
      <c r="K687" t="n">
        <v>0</v>
      </c>
      <c r="L687" t="n">
        <v>4</v>
      </c>
      <c r="M687" t="n">
        <v>0</v>
      </c>
      <c r="N687" t="n">
        <v>0</v>
      </c>
      <c r="O687" t="n">
        <v>0</v>
      </c>
      <c r="P687" t="n">
        <v>0</v>
      </c>
      <c r="Q687" t="n">
        <v>4</v>
      </c>
      <c r="R687" t="n">
        <v>0</v>
      </c>
      <c r="S687" t="n">
        <v>4</v>
      </c>
      <c r="T687" t="n">
        <v>4</v>
      </c>
      <c r="U687" t="n">
        <v>4</v>
      </c>
      <c r="V687" s="2" t="inlineStr">
        <is>
          <t>Dvärgbägarlav
Kolflarnlav
Mörk kolflarnlav
Vedflamlav</t>
        </is>
      </c>
      <c r="W687">
        <f>HYPERLINK("https://klasma.github.io/Logging_2039/artfynd/A 32207-2024 artfynd.xlsx", "A 32207-2024")</f>
        <v/>
      </c>
      <c r="X687">
        <f>HYPERLINK("https://klasma.github.io/Logging_2039/kartor/A 32207-2024 karta.png", "A 32207-2024")</f>
        <v/>
      </c>
      <c r="Y687">
        <f>HYPERLINK("https://klasma.github.io/Logging_2039/kartor_geotiff/A 32207-2024 georefererad karta.tif", "A 32207-2024")</f>
        <v/>
      </c>
      <c r="AA687">
        <f>HYPERLINK("https://klasma.github.io/Logging_2039/klagomål/A 32207-2024 FSC-klagomål.docx", "A 32207-2024")</f>
        <v/>
      </c>
      <c r="AB687">
        <f>HYPERLINK("https://klasma.github.io/Logging_2039/klagomålsmail/A 32207-2024 FSC-klagomål mail.docx", "A 32207-2024")</f>
        <v/>
      </c>
      <c r="AC687">
        <f>HYPERLINK("https://klasma.github.io/Logging_2039/tillsyn/A 32207-2024 tillsynsbegäran.docx", "A 32207-2024")</f>
        <v/>
      </c>
      <c r="AD687">
        <f>HYPERLINK("https://klasma.github.io/Logging_2039/tillsynsmail/A 32207-2024 tillsynsbegäran mail.docx", "A 32207-2024")</f>
        <v/>
      </c>
    </row>
    <row r="688" ht="15" customHeight="1">
      <c r="A688" t="inlineStr">
        <is>
          <t>A 58614-2023</t>
        </is>
      </c>
      <c r="B688" t="inlineStr">
        <is>
          <t>avverkningsanmälan</t>
        </is>
      </c>
      <c r="C688" t="inlineStr">
        <is>
          <t>Föryngringsavverkning</t>
        </is>
      </c>
      <c r="D688" s="1" t="n">
        <v>45251</v>
      </c>
      <c r="E688" s="1" t="n">
        <v>46319</v>
      </c>
      <c r="F688" t="inlineStr">
        <is>
          <t>DALARNAS LÄN</t>
        </is>
      </c>
      <c r="G688" t="inlineStr">
        <is>
          <t>BORLÄNGE</t>
        </is>
      </c>
      <c r="I688" t="n">
        <v>1.8</v>
      </c>
      <c r="J688" t="n">
        <v>1</v>
      </c>
      <c r="K688" t="n">
        <v>0</v>
      </c>
      <c r="L688" t="n">
        <v>3</v>
      </c>
      <c r="M688" t="n">
        <v>1</v>
      </c>
      <c r="N688" t="n">
        <v>0</v>
      </c>
      <c r="O688" t="n">
        <v>0</v>
      </c>
      <c r="P688" t="n">
        <v>0</v>
      </c>
      <c r="Q688" t="n">
        <v>4</v>
      </c>
      <c r="R688" t="n">
        <v>1</v>
      </c>
      <c r="S688" t="n">
        <v>4</v>
      </c>
      <c r="T688" t="n">
        <v>4</v>
      </c>
      <c r="U688" t="n">
        <v>0</v>
      </c>
      <c r="V688" s="2" t="inlineStr">
        <is>
          <t>Knärot
Gropticka
Rosenticka
Ullticka</t>
        </is>
      </c>
      <c r="W688">
        <f>HYPERLINK("https://klasma.github.io/Logging_2081/artfynd/A 58614-2023 artfynd.xlsx", "A 58614-2023")</f>
        <v/>
      </c>
      <c r="X688">
        <f>HYPERLINK("https://klasma.github.io/Logging_2081/kartor/A 58614-2023 karta.png", "A 58614-2023")</f>
        <v/>
      </c>
      <c r="Y688">
        <f>HYPERLINK("https://klasma.github.io/Logging_2081/kartor_geotiff/A 58614-2023 georefererad karta.tif", "A 58614-2023")</f>
        <v/>
      </c>
      <c r="Z688">
        <f>HYPERLINK("https://klasma.github.io/Logging_2081/knärot/A 58614-2023 karta knärot.png", "A 58614-2023")</f>
        <v/>
      </c>
      <c r="AA688">
        <f>HYPERLINK("https://klasma.github.io/Logging_2081/klagomål/A 58614-2023 FSC-klagomål.docx", "A 58614-2023")</f>
        <v/>
      </c>
      <c r="AB688">
        <f>HYPERLINK("https://klasma.github.io/Logging_2081/klagomålsmail/A 58614-2023 FSC-klagomål mail.docx", "A 58614-2023")</f>
        <v/>
      </c>
      <c r="AC688">
        <f>HYPERLINK("https://klasma.github.io/Logging_2081/tillsyn/A 58614-2023 tillsynsbegäran.docx", "A 58614-2023")</f>
        <v/>
      </c>
      <c r="AD688">
        <f>HYPERLINK("https://klasma.github.io/Logging_2081/tillsynsmail/A 58614-2023 tillsynsbegäran mail.docx", "A 58614-2023")</f>
        <v/>
      </c>
    </row>
    <row r="689" ht="15" customHeight="1">
      <c r="A689" t="inlineStr">
        <is>
          <t>A 23872-2023</t>
        </is>
      </c>
      <c r="B689" t="inlineStr">
        <is>
          <t>avverkningsanmälan</t>
        </is>
      </c>
      <c r="C689" t="inlineStr">
        <is>
          <t>Föryngringsavverkning</t>
        </is>
      </c>
      <c r="D689" s="1" t="n">
        <v>45078</v>
      </c>
      <c r="E689" s="1" t="n">
        <v>46319</v>
      </c>
      <c r="F689" t="inlineStr">
        <is>
          <t>DALARNAS LÄN</t>
        </is>
      </c>
      <c r="G689" t="inlineStr">
        <is>
          <t>ÄLVDALEN</t>
        </is>
      </c>
      <c r="H689" t="inlineStr">
        <is>
          <t>Allmännings- och besparingsskogar</t>
        </is>
      </c>
      <c r="I689" t="n">
        <v>79.5</v>
      </c>
      <c r="J689" t="n">
        <v>3</v>
      </c>
      <c r="K689" t="n">
        <v>0</v>
      </c>
      <c r="L689" t="n">
        <v>2</v>
      </c>
      <c r="M689" t="n">
        <v>0</v>
      </c>
      <c r="N689" t="n">
        <v>0</v>
      </c>
      <c r="O689" t="n">
        <v>0</v>
      </c>
      <c r="P689" t="n">
        <v>0</v>
      </c>
      <c r="Q689" t="n">
        <v>2</v>
      </c>
      <c r="R689" t="n">
        <v>0</v>
      </c>
      <c r="S689" t="n">
        <v>4</v>
      </c>
      <c r="T689" t="n">
        <v>14</v>
      </c>
      <c r="U689" t="n">
        <v>13</v>
      </c>
      <c r="V689" s="2" t="inlineStr">
        <is>
          <t>Kolflarnlav
Varglav
Vanlig groda
Fläcknycklar</t>
        </is>
      </c>
      <c r="W689">
        <f>HYPERLINK("https://klasma.github.io/Logging_2039/artfynd/A 23872-2023 artfynd.xlsx", "A 23872-2023")</f>
        <v/>
      </c>
      <c r="X689">
        <f>HYPERLINK("https://klasma.github.io/Logging_2039/kartor/A 23872-2023 karta.png", "A 23872-2023")</f>
        <v/>
      </c>
      <c r="Y689">
        <f>HYPERLINK("https://klasma.github.io/Logging_2039/kartor_geotiff/A 23872-2023 georefererad karta.tif", "A 23872-2023")</f>
        <v/>
      </c>
      <c r="AA689">
        <f>HYPERLINK("https://klasma.github.io/Logging_2039/klagomål/A 23872-2023 FSC-klagomål.docx", "A 23872-2023")</f>
        <v/>
      </c>
      <c r="AB689">
        <f>HYPERLINK("https://klasma.github.io/Logging_2039/klagomålsmail/A 23872-2023 FSC-klagomål mail.docx", "A 23872-2023")</f>
        <v/>
      </c>
      <c r="AC689">
        <f>HYPERLINK("https://klasma.github.io/Logging_2039/tillsyn/A 23872-2023 tillsynsbegäran.docx", "A 23872-2023")</f>
        <v/>
      </c>
      <c r="AD689">
        <f>HYPERLINK("https://klasma.github.io/Logging_2039/tillsynsmail/A 23872-2023 tillsynsbegäran mail.docx", "A 23872-2023")</f>
        <v/>
      </c>
    </row>
    <row r="690" ht="15" customHeight="1">
      <c r="A690" t="inlineStr">
        <is>
          <t>A 18009-2023</t>
        </is>
      </c>
      <c r="B690" t="inlineStr">
        <is>
          <t>avverkningsanmälan</t>
        </is>
      </c>
      <c r="C690" t="inlineStr">
        <is>
          <t>Föryngringsavverkning</t>
        </is>
      </c>
      <c r="D690" s="1" t="n">
        <v>45040</v>
      </c>
      <c r="E690" s="1" t="n">
        <v>46319</v>
      </c>
      <c r="F690" t="inlineStr">
        <is>
          <t>DALARNAS LÄN</t>
        </is>
      </c>
      <c r="G690" t="inlineStr">
        <is>
          <t>ORSA</t>
        </is>
      </c>
      <c r="I690" t="n">
        <v>5.8</v>
      </c>
      <c r="J690" t="n">
        <v>3</v>
      </c>
      <c r="K690" t="n">
        <v>2</v>
      </c>
      <c r="L690" t="n">
        <v>0</v>
      </c>
      <c r="M690" t="n">
        <v>0</v>
      </c>
      <c r="N690" t="n">
        <v>0</v>
      </c>
      <c r="O690" t="n">
        <v>0</v>
      </c>
      <c r="P690" t="n">
        <v>0</v>
      </c>
      <c r="Q690" t="n">
        <v>0</v>
      </c>
      <c r="R690" t="n">
        <v>0</v>
      </c>
      <c r="S690" t="n">
        <v>4</v>
      </c>
      <c r="T690" t="n">
        <v>4</v>
      </c>
      <c r="U690" t="n">
        <v>4</v>
      </c>
      <c r="V690" s="2" t="inlineStr">
        <is>
          <t>Guckusko
Tibast
Blåsippa
Fläcknycklar</t>
        </is>
      </c>
      <c r="W690">
        <f>HYPERLINK("https://klasma.github.io/Logging_2034/artfynd/A 18009-2023 artfynd.xlsx", "A 18009-2023")</f>
        <v/>
      </c>
      <c r="X690">
        <f>HYPERLINK("https://klasma.github.io/Logging_2034/kartor/A 18009-2023 karta.png", "A 18009-2023")</f>
        <v/>
      </c>
      <c r="Y690">
        <f>HYPERLINK("https://klasma.github.io/Logging_2034/kartor_geotiff/A 18009-2023 georefererad karta.tif", "A 18009-2023")</f>
        <v/>
      </c>
      <c r="AA690">
        <f>HYPERLINK("https://klasma.github.io/Logging_2034/klagomål/A 18009-2023 FSC-klagomål.docx", "A 18009-2023")</f>
        <v/>
      </c>
      <c r="AB690">
        <f>HYPERLINK("https://klasma.github.io/Logging_2034/klagomålsmail/A 18009-2023 FSC-klagomål mail.docx", "A 18009-2023")</f>
        <v/>
      </c>
      <c r="AC690">
        <f>HYPERLINK("https://klasma.github.io/Logging_2034/tillsyn/A 18009-2023 tillsynsbegäran.docx", "A 18009-2023")</f>
        <v/>
      </c>
      <c r="AD690">
        <f>HYPERLINK("https://klasma.github.io/Logging_2034/tillsynsmail/A 18009-2023 tillsynsbegäran mail.docx", "A 18009-2023")</f>
        <v/>
      </c>
    </row>
    <row r="691" ht="15" customHeight="1">
      <c r="A691" t="inlineStr">
        <is>
          <t>A 55132-2024</t>
        </is>
      </c>
      <c r="B691" t="inlineStr">
        <is>
          <t>avverkningsanmälan</t>
        </is>
      </c>
      <c r="C691" t="inlineStr">
        <is>
          <t>Avverkning för att bevara och utveckla /försöksver</t>
        </is>
      </c>
      <c r="D691" s="1" t="n">
        <v>45621</v>
      </c>
      <c r="E691" s="1" t="n">
        <v>46319</v>
      </c>
      <c r="F691" t="inlineStr">
        <is>
          <t>DALARNAS LÄN</t>
        </is>
      </c>
      <c r="G691" t="inlineStr">
        <is>
          <t>FALUN</t>
        </is>
      </c>
      <c r="H691" t="inlineStr">
        <is>
          <t>Bergvik skog väst AB</t>
        </is>
      </c>
      <c r="I691" t="n">
        <v>16.9</v>
      </c>
      <c r="J691" t="n">
        <v>0</v>
      </c>
      <c r="K691" t="n">
        <v>2</v>
      </c>
      <c r="L691" t="n">
        <v>2</v>
      </c>
      <c r="M691" t="n">
        <v>0</v>
      </c>
      <c r="N691" t="n">
        <v>0</v>
      </c>
      <c r="O691" t="n">
        <v>0</v>
      </c>
      <c r="P691" t="n">
        <v>0</v>
      </c>
      <c r="Q691" t="n">
        <v>2</v>
      </c>
      <c r="R691" t="n">
        <v>0</v>
      </c>
      <c r="S691" t="n">
        <v>4</v>
      </c>
      <c r="T691" t="n">
        <v>6</v>
      </c>
      <c r="U691" t="n">
        <v>1</v>
      </c>
      <c r="V691" s="2" t="inlineStr">
        <is>
          <t>Gullpudra
Gultoppig fingersvamp
Papegojvaxing
Tibast</t>
        </is>
      </c>
      <c r="W691">
        <f>HYPERLINK("https://klasma.github.io/Logging_2080/artfynd/A 55132-2024 artfynd.xlsx", "A 55132-2024")</f>
        <v/>
      </c>
      <c r="X691">
        <f>HYPERLINK("https://klasma.github.io/Logging_2080/kartor/A 55132-2024 karta.png", "A 55132-2024")</f>
        <v/>
      </c>
      <c r="Y691">
        <f>HYPERLINK("https://klasma.github.io/Logging_2080/kartor_geotiff/A 55132-2024 georefererad karta.tif", "A 55132-2024")</f>
        <v/>
      </c>
      <c r="AA691">
        <f>HYPERLINK("https://klasma.github.io/Logging_2080/klagomål/A 55132-2024 FSC-klagomål.docx", "A 55132-2024")</f>
        <v/>
      </c>
      <c r="AB691">
        <f>HYPERLINK("https://klasma.github.io/Logging_2080/klagomålsmail/A 55132-2024 FSC-klagomål mail.docx", "A 55132-2024")</f>
        <v/>
      </c>
      <c r="AC691">
        <f>HYPERLINK("https://klasma.github.io/Logging_2080/tillsyn/A 55132-2024 tillsynsbegäran.docx", "A 55132-2024")</f>
        <v/>
      </c>
      <c r="AD691">
        <f>HYPERLINK("https://klasma.github.io/Logging_2080/tillsynsmail/A 55132-2024 tillsynsbegäran mail.docx", "A 55132-2024")</f>
        <v/>
      </c>
    </row>
    <row r="692" ht="15" customHeight="1">
      <c r="A692" t="inlineStr">
        <is>
          <t>A 3060-2025</t>
        </is>
      </c>
      <c r="B692" t="inlineStr">
        <is>
          <t>avverkningsanmälan</t>
        </is>
      </c>
      <c r="C692" t="inlineStr">
        <is>
          <t>Föryngringsavverkning</t>
        </is>
      </c>
      <c r="D692" s="1" t="n">
        <v>45678</v>
      </c>
      <c r="E692" s="1" t="n">
        <v>46319</v>
      </c>
      <c r="F692" t="inlineStr">
        <is>
          <t>DALARNAS LÄN</t>
        </is>
      </c>
      <c r="G692" t="inlineStr">
        <is>
          <t>BORLÄNGE</t>
        </is>
      </c>
      <c r="H692" t="inlineStr">
        <is>
          <t>Kommuner</t>
        </is>
      </c>
      <c r="I692" t="n">
        <v>5</v>
      </c>
      <c r="J692" t="n">
        <v>2</v>
      </c>
      <c r="K692" t="n">
        <v>0</v>
      </c>
      <c r="L692" t="n">
        <v>2</v>
      </c>
      <c r="M692" t="n">
        <v>1</v>
      </c>
      <c r="N692" t="n">
        <v>0</v>
      </c>
      <c r="O692" t="n">
        <v>0</v>
      </c>
      <c r="P692" t="n">
        <v>0</v>
      </c>
      <c r="Q692" t="n">
        <v>3</v>
      </c>
      <c r="R692" t="n">
        <v>1</v>
      </c>
      <c r="S692" t="n">
        <v>4</v>
      </c>
      <c r="T692" t="n">
        <v>7</v>
      </c>
      <c r="U692" t="n">
        <v>7</v>
      </c>
      <c r="V692" s="2" t="inlineStr">
        <is>
          <t>Knärot
Rynkskinn
Ullticka
Tjäder</t>
        </is>
      </c>
      <c r="W692">
        <f>HYPERLINK("https://klasma.github.io/Logging_2081/artfynd/A 3060-2025 artfynd.xlsx", "A 3060-2025")</f>
        <v/>
      </c>
      <c r="X692">
        <f>HYPERLINK("https://klasma.github.io/Logging_2081/kartor/A 3060-2025 karta.png", "A 3060-2025")</f>
        <v/>
      </c>
      <c r="Y692">
        <f>HYPERLINK("https://klasma.github.io/Logging_2081/kartor_geotiff/A 3060-2025 georefererad karta.tif", "A 3060-2025")</f>
        <v/>
      </c>
      <c r="Z692">
        <f>HYPERLINK("https://klasma.github.io/Logging_2081/knärot/A 3060-2025 karta knärot.png", "A 3060-2025")</f>
        <v/>
      </c>
      <c r="AA692">
        <f>HYPERLINK("https://klasma.github.io/Logging_2081/klagomål/A 3060-2025 FSC-klagomål.docx", "A 3060-2025")</f>
        <v/>
      </c>
      <c r="AB692">
        <f>HYPERLINK("https://klasma.github.io/Logging_2081/klagomålsmail/A 3060-2025 FSC-klagomål mail.docx", "A 3060-2025")</f>
        <v/>
      </c>
      <c r="AC692">
        <f>HYPERLINK("https://klasma.github.io/Logging_2081/tillsyn/A 3060-2025 tillsynsbegäran.docx", "A 3060-2025")</f>
        <v/>
      </c>
      <c r="AD692">
        <f>HYPERLINK("https://klasma.github.io/Logging_2081/tillsynsmail/A 3060-2025 tillsynsbegäran mail.docx", "A 3060-2025")</f>
        <v/>
      </c>
      <c r="AE692">
        <f>HYPERLINK("https://klasma.github.io/Logging_2081/fåglar/A 3060-2025 prioriterade fågelarter.docx", "A 3060-2025")</f>
        <v/>
      </c>
    </row>
    <row r="693" ht="15" customHeight="1">
      <c r="A693" t="inlineStr">
        <is>
          <t>A 32204-2024</t>
        </is>
      </c>
      <c r="B693" t="inlineStr">
        <is>
          <t>avverkningsanmälan</t>
        </is>
      </c>
      <c r="C693" t="inlineStr">
        <is>
          <t>Föryngringsavverkning</t>
        </is>
      </c>
      <c r="D693" s="1" t="n">
        <v>45511</v>
      </c>
      <c r="E693" s="1" t="n">
        <v>46319</v>
      </c>
      <c r="F693" t="inlineStr">
        <is>
          <t>DALARNAS LÄN</t>
        </is>
      </c>
      <c r="G693" t="inlineStr">
        <is>
          <t>ÄLVDALEN</t>
        </is>
      </c>
      <c r="H693" t="inlineStr">
        <is>
          <t>Sveaskog</t>
        </is>
      </c>
      <c r="I693" t="n">
        <v>2.9</v>
      </c>
      <c r="J693" t="n">
        <v>0</v>
      </c>
      <c r="K693" t="n">
        <v>0</v>
      </c>
      <c r="L693" t="n">
        <v>4</v>
      </c>
      <c r="M693" t="n">
        <v>0</v>
      </c>
      <c r="N693" t="n">
        <v>0</v>
      </c>
      <c r="O693" t="n">
        <v>0</v>
      </c>
      <c r="P693" t="n">
        <v>0</v>
      </c>
      <c r="Q693" t="n">
        <v>4</v>
      </c>
      <c r="R693" t="n">
        <v>0</v>
      </c>
      <c r="S693" t="n">
        <v>4</v>
      </c>
      <c r="T693" t="n">
        <v>4</v>
      </c>
      <c r="U693" t="n">
        <v>4</v>
      </c>
      <c r="V693" s="2" t="inlineStr">
        <is>
          <t>Blanksvart spiklav
Kolflarnlav
Mörk kolflarnlav
Vedflamlav</t>
        </is>
      </c>
      <c r="W693">
        <f>HYPERLINK("https://klasma.github.io/Logging_2039/artfynd/A 32204-2024 artfynd.xlsx", "A 32204-2024")</f>
        <v/>
      </c>
      <c r="X693">
        <f>HYPERLINK("https://klasma.github.io/Logging_2039/kartor/A 32204-2024 karta.png", "A 32204-2024")</f>
        <v/>
      </c>
      <c r="Y693">
        <f>HYPERLINK("https://klasma.github.io/Logging_2039/kartor_geotiff/A 32204-2024 georefererad karta.tif", "A 32204-2024")</f>
        <v/>
      </c>
      <c r="AA693">
        <f>HYPERLINK("https://klasma.github.io/Logging_2039/klagomål/A 32204-2024 FSC-klagomål.docx", "A 32204-2024")</f>
        <v/>
      </c>
      <c r="AB693">
        <f>HYPERLINK("https://klasma.github.io/Logging_2039/klagomålsmail/A 32204-2024 FSC-klagomål mail.docx", "A 32204-2024")</f>
        <v/>
      </c>
      <c r="AC693">
        <f>HYPERLINK("https://klasma.github.io/Logging_2039/tillsyn/A 32204-2024 tillsynsbegäran.docx", "A 32204-2024")</f>
        <v/>
      </c>
      <c r="AD693">
        <f>HYPERLINK("https://klasma.github.io/Logging_2039/tillsynsmail/A 32204-2024 tillsynsbegäran mail.docx", "A 32204-2024")</f>
        <v/>
      </c>
    </row>
    <row r="694" ht="15" customHeight="1">
      <c r="A694" t="inlineStr">
        <is>
          <t>A 36640-2023</t>
        </is>
      </c>
      <c r="B694" t="inlineStr">
        <is>
          <t>avverkningsanmälan</t>
        </is>
      </c>
      <c r="C694" t="inlineStr">
        <is>
          <t>Föryngringsavverkning</t>
        </is>
      </c>
      <c r="D694" s="1" t="n">
        <v>45153</v>
      </c>
      <c r="E694" s="1" t="n">
        <v>46319</v>
      </c>
      <c r="F694" t="inlineStr">
        <is>
          <t>DALARNAS LÄN</t>
        </is>
      </c>
      <c r="G694" t="inlineStr">
        <is>
          <t>ÄLVDALEN</t>
        </is>
      </c>
      <c r="I694" t="n">
        <v>2.3</v>
      </c>
      <c r="J694" t="n">
        <v>0</v>
      </c>
      <c r="K694" t="n">
        <v>0</v>
      </c>
      <c r="L694" t="n">
        <v>4</v>
      </c>
      <c r="M694" t="n">
        <v>0</v>
      </c>
      <c r="N694" t="n">
        <v>0</v>
      </c>
      <c r="O694" t="n">
        <v>0</v>
      </c>
      <c r="P694" t="n">
        <v>0</v>
      </c>
      <c r="Q694" t="n">
        <v>4</v>
      </c>
      <c r="R694" t="n">
        <v>0</v>
      </c>
      <c r="S694" t="n">
        <v>4</v>
      </c>
      <c r="T694" t="n">
        <v>4</v>
      </c>
      <c r="U694" t="n">
        <v>4</v>
      </c>
      <c r="V694" s="2" t="inlineStr">
        <is>
          <t>Blanksvart spiklav
Kortskaftad ärgspik
Vedflamlav
Vedskivlav</t>
        </is>
      </c>
      <c r="W694">
        <f>HYPERLINK("https://klasma.github.io/Logging_2039/artfynd/A 36640-2023 artfynd.xlsx", "A 36640-2023")</f>
        <v/>
      </c>
      <c r="X694">
        <f>HYPERLINK("https://klasma.github.io/Logging_2039/kartor/A 36640-2023 karta.png", "A 36640-2023")</f>
        <v/>
      </c>
      <c r="Y694">
        <f>HYPERLINK("https://klasma.github.io/Logging_2039/kartor_geotiff/A 36640-2023 georefererad karta.tif", "A 36640-2023")</f>
        <v/>
      </c>
      <c r="AA694">
        <f>HYPERLINK("https://klasma.github.io/Logging_2039/klagomål/A 36640-2023 FSC-klagomål.docx", "A 36640-2023")</f>
        <v/>
      </c>
      <c r="AB694">
        <f>HYPERLINK("https://klasma.github.io/Logging_2039/klagomålsmail/A 36640-2023 FSC-klagomål mail.docx", "A 36640-2023")</f>
        <v/>
      </c>
      <c r="AC694">
        <f>HYPERLINK("https://klasma.github.io/Logging_2039/tillsyn/A 36640-2023 tillsynsbegäran.docx", "A 36640-2023")</f>
        <v/>
      </c>
      <c r="AD694">
        <f>HYPERLINK("https://klasma.github.io/Logging_2039/tillsynsmail/A 36640-2023 tillsynsbegäran mail.docx", "A 36640-2023")</f>
        <v/>
      </c>
    </row>
    <row r="695" ht="15" customHeight="1">
      <c r="A695" t="inlineStr">
        <is>
          <t>A 31138-2023</t>
        </is>
      </c>
      <c r="B695" t="inlineStr">
        <is>
          <t>avverkningsanmälan</t>
        </is>
      </c>
      <c r="C695" t="inlineStr">
        <is>
          <t>Föryngringsavverkning</t>
        </is>
      </c>
      <c r="D695" s="1" t="n">
        <v>45103</v>
      </c>
      <c r="E695" s="1" t="n">
        <v>46319</v>
      </c>
      <c r="F695" t="inlineStr">
        <is>
          <t>DALARNAS LÄN</t>
        </is>
      </c>
      <c r="G695" t="inlineStr">
        <is>
          <t>AVESTA</t>
        </is>
      </c>
      <c r="H695" t="inlineStr">
        <is>
          <t>Bergvik skog väst AB</t>
        </is>
      </c>
      <c r="I695" t="n">
        <v>4.3</v>
      </c>
      <c r="J695" t="n">
        <v>0</v>
      </c>
      <c r="K695" t="n">
        <v>2</v>
      </c>
      <c r="L695" t="n">
        <v>0</v>
      </c>
      <c r="M695" t="n">
        <v>2</v>
      </c>
      <c r="N695" t="n">
        <v>0</v>
      </c>
      <c r="O695" t="n">
        <v>0</v>
      </c>
      <c r="P695" t="n">
        <v>0</v>
      </c>
      <c r="Q695" t="n">
        <v>2</v>
      </c>
      <c r="R695" t="n">
        <v>2</v>
      </c>
      <c r="S695" t="n">
        <v>4</v>
      </c>
      <c r="T695" t="n">
        <v>4</v>
      </c>
      <c r="U695" t="n">
        <v>4</v>
      </c>
      <c r="V695" s="2" t="inlineStr">
        <is>
          <t>Klosterlav
Liten blekspik
Dvärgtufs
Rostfläck</t>
        </is>
      </c>
      <c r="W695">
        <f>HYPERLINK("https://klasma.github.io/Logging_2084/artfynd/A 31138-2023 artfynd.xlsx", "A 31138-2023")</f>
        <v/>
      </c>
      <c r="X695">
        <f>HYPERLINK("https://klasma.github.io/Logging_2084/kartor/A 31138-2023 karta.png", "A 31138-2023")</f>
        <v/>
      </c>
      <c r="Y695">
        <f>HYPERLINK("https://klasma.github.io/Logging_2084/kartor_geotiff/A 31138-2023 georefererad karta.tif", "A 31138-2023")</f>
        <v/>
      </c>
      <c r="AA695">
        <f>HYPERLINK("https://klasma.github.io/Logging_2084/klagomål/A 31138-2023 FSC-klagomål.docx", "A 31138-2023")</f>
        <v/>
      </c>
      <c r="AB695">
        <f>HYPERLINK("https://klasma.github.io/Logging_2084/klagomålsmail/A 31138-2023 FSC-klagomål mail.docx", "A 31138-2023")</f>
        <v/>
      </c>
      <c r="AC695">
        <f>HYPERLINK("https://klasma.github.io/Logging_2084/tillsyn/A 31138-2023 tillsynsbegäran.docx", "A 31138-2023")</f>
        <v/>
      </c>
      <c r="AD695">
        <f>HYPERLINK("https://klasma.github.io/Logging_2084/tillsynsmail/A 31138-2023 tillsynsbegäran mail.docx", "A 31138-2023")</f>
        <v/>
      </c>
    </row>
    <row r="696" ht="15" customHeight="1">
      <c r="A696" t="inlineStr">
        <is>
          <t>A 57803-2023</t>
        </is>
      </c>
      <c r="B696" t="inlineStr">
        <is>
          <t>avverkningsanmälan</t>
        </is>
      </c>
      <c r="C696" t="inlineStr">
        <is>
          <t>Föryngringsavverkning</t>
        </is>
      </c>
      <c r="D696" s="1" t="n">
        <v>45246</v>
      </c>
      <c r="E696" s="1" t="n">
        <v>46319</v>
      </c>
      <c r="F696" t="inlineStr">
        <is>
          <t>DALARNAS LÄN</t>
        </is>
      </c>
      <c r="G696" t="inlineStr">
        <is>
          <t>LUDVIKA</t>
        </is>
      </c>
      <c r="I696" t="n">
        <v>3.3</v>
      </c>
      <c r="J696" t="n">
        <v>3</v>
      </c>
      <c r="K696" t="n">
        <v>0</v>
      </c>
      <c r="L696" t="n">
        <v>0</v>
      </c>
      <c r="M696" t="n">
        <v>1</v>
      </c>
      <c r="N696" t="n">
        <v>0</v>
      </c>
      <c r="O696" t="n">
        <v>0</v>
      </c>
      <c r="P696" t="n">
        <v>0</v>
      </c>
      <c r="Q696" t="n">
        <v>1</v>
      </c>
      <c r="R696" t="n">
        <v>1</v>
      </c>
      <c r="S696" t="n">
        <v>4</v>
      </c>
      <c r="T696" t="n">
        <v>5</v>
      </c>
      <c r="U696" t="n">
        <v>5</v>
      </c>
      <c r="V696" s="2" t="inlineStr">
        <is>
          <t>Garnlav
Spillkråka
Tjäder
Gröngöling</t>
        </is>
      </c>
      <c r="W696">
        <f>HYPERLINK("https://klasma.github.io/Logging_2085/artfynd/A 57803-2023 artfynd.xlsx", "A 57803-2023")</f>
        <v/>
      </c>
      <c r="X696">
        <f>HYPERLINK("https://klasma.github.io/Logging_2085/kartor/A 57803-2023 karta.png", "A 57803-2023")</f>
        <v/>
      </c>
      <c r="Y696">
        <f>HYPERLINK("https://klasma.github.io/Logging_2085/kartor_geotiff/A 57803-2023 georefererad karta.tif", "A 57803-2023")</f>
        <v/>
      </c>
      <c r="AA696">
        <f>HYPERLINK("https://klasma.github.io/Logging_2085/klagomål/A 57803-2023 FSC-klagomål.docx", "A 57803-2023")</f>
        <v/>
      </c>
      <c r="AB696">
        <f>HYPERLINK("https://klasma.github.io/Logging_2085/klagomålsmail/A 57803-2023 FSC-klagomål mail.docx", "A 57803-2023")</f>
        <v/>
      </c>
      <c r="AC696">
        <f>HYPERLINK("https://klasma.github.io/Logging_2085/tillsyn/A 57803-2023 tillsynsbegäran.docx", "A 57803-2023")</f>
        <v/>
      </c>
      <c r="AD696">
        <f>HYPERLINK("https://klasma.github.io/Logging_2085/tillsynsmail/A 57803-2023 tillsynsbegäran mail.docx", "A 57803-2023")</f>
        <v/>
      </c>
      <c r="AE696">
        <f>HYPERLINK("https://klasma.github.io/Logging_2085/fåglar/A 57803-2023 prioriterade fågelarter.docx", "A 57803-2023")</f>
        <v/>
      </c>
    </row>
    <row r="697" ht="15" customHeight="1">
      <c r="A697" t="inlineStr">
        <is>
          <t>A 20396-2022</t>
        </is>
      </c>
      <c r="B697" t="inlineStr">
        <is>
          <t>avverkningsanmälan</t>
        </is>
      </c>
      <c r="C697" t="inlineStr">
        <is>
          <t>Föryngringsavverkning</t>
        </is>
      </c>
      <c r="D697" s="1" t="n">
        <v>44699</v>
      </c>
      <c r="E697" s="1" t="n">
        <v>46319</v>
      </c>
      <c r="F697" t="inlineStr">
        <is>
          <t>DALARNAS LÄN</t>
        </is>
      </c>
      <c r="G697" t="inlineStr">
        <is>
          <t>AVESTA</t>
        </is>
      </c>
      <c r="I697" t="n">
        <v>3.3</v>
      </c>
      <c r="J697" t="n">
        <v>3</v>
      </c>
      <c r="K697" t="n">
        <v>2</v>
      </c>
      <c r="L697" t="n">
        <v>0</v>
      </c>
      <c r="M697" t="n">
        <v>1</v>
      </c>
      <c r="N697" t="n">
        <v>0</v>
      </c>
      <c r="O697" t="n">
        <v>0</v>
      </c>
      <c r="P697" t="n">
        <v>0</v>
      </c>
      <c r="Q697" t="n">
        <v>1</v>
      </c>
      <c r="R697" t="n">
        <v>1</v>
      </c>
      <c r="S697" t="n">
        <v>4</v>
      </c>
      <c r="T697" t="n">
        <v>23</v>
      </c>
      <c r="U697" t="n">
        <v>23</v>
      </c>
      <c r="V697" s="2" t="inlineStr">
        <is>
          <t>Knärot
Bollvitmossa
Korallrot
Spillkråka</t>
        </is>
      </c>
      <c r="W697">
        <f>HYPERLINK("https://klasma.github.io/Logging_2084/artfynd/A 20396-2022 artfynd.xlsx", "A 20396-2022")</f>
        <v/>
      </c>
      <c r="X697">
        <f>HYPERLINK("https://klasma.github.io/Logging_2084/kartor/A 20396-2022 karta.png", "A 20396-2022")</f>
        <v/>
      </c>
      <c r="Y697">
        <f>HYPERLINK("https://klasma.github.io/Logging_2084/kartor_geotiff/A 20396-2022 georefererad karta.tif", "A 20396-2022")</f>
        <v/>
      </c>
      <c r="Z697">
        <f>HYPERLINK("https://klasma.github.io/Logging_2084/knärot/A 20396-2022 karta knärot.png", "A 20396-2022")</f>
        <v/>
      </c>
      <c r="AA697">
        <f>HYPERLINK("https://klasma.github.io/Logging_2084/klagomål/A 20396-2022 FSC-klagomål.docx", "A 20396-2022")</f>
        <v/>
      </c>
      <c r="AB697">
        <f>HYPERLINK("https://klasma.github.io/Logging_2084/klagomålsmail/A 20396-2022 FSC-klagomål mail.docx", "A 20396-2022")</f>
        <v/>
      </c>
      <c r="AC697">
        <f>HYPERLINK("https://klasma.github.io/Logging_2084/tillsyn/A 20396-2022 tillsynsbegäran.docx", "A 20396-2022")</f>
        <v/>
      </c>
      <c r="AD697">
        <f>HYPERLINK("https://klasma.github.io/Logging_2084/tillsynsmail/A 20396-2022 tillsynsbegäran mail.docx", "A 20396-2022")</f>
        <v/>
      </c>
      <c r="AE697">
        <f>HYPERLINK("https://klasma.github.io/Logging_2084/fåglar/A 20396-2022 prioriterade fågelarter.docx", "A 20396-2022")</f>
        <v/>
      </c>
    </row>
    <row r="698" ht="15" customHeight="1">
      <c r="A698" t="inlineStr">
        <is>
          <t>A 38819-2024</t>
        </is>
      </c>
      <c r="B698" t="inlineStr">
        <is>
          <t>avverkningsanmälan</t>
        </is>
      </c>
      <c r="C698" t="inlineStr">
        <is>
          <t>Föryngringsavverkning</t>
        </is>
      </c>
      <c r="D698" s="1" t="n">
        <v>45547</v>
      </c>
      <c r="E698" s="1" t="n">
        <v>46319</v>
      </c>
      <c r="F698" t="inlineStr">
        <is>
          <t>DALARNAS LÄN</t>
        </is>
      </c>
      <c r="G698" t="inlineStr">
        <is>
          <t>ÄLVDALEN</t>
        </is>
      </c>
      <c r="H698" t="inlineStr">
        <is>
          <t>Sveaskog</t>
        </is>
      </c>
      <c r="I698" t="n">
        <v>2.9</v>
      </c>
      <c r="J698" t="n">
        <v>0</v>
      </c>
      <c r="K698" t="n">
        <v>0</v>
      </c>
      <c r="L698" t="n">
        <v>4</v>
      </c>
      <c r="M698" t="n">
        <v>0</v>
      </c>
      <c r="N698" t="n">
        <v>0</v>
      </c>
      <c r="O698" t="n">
        <v>0</v>
      </c>
      <c r="P698" t="n">
        <v>0</v>
      </c>
      <c r="Q698" t="n">
        <v>4</v>
      </c>
      <c r="R698" t="n">
        <v>0</v>
      </c>
      <c r="S698" t="n">
        <v>4</v>
      </c>
      <c r="T698" t="n">
        <v>4</v>
      </c>
      <c r="U698" t="n">
        <v>4</v>
      </c>
      <c r="V698" s="2" t="inlineStr">
        <is>
          <t>Dvärgbägarlav
Kolflarnlav
Mörk kolflarnlav
Vedflamlav</t>
        </is>
      </c>
      <c r="W698">
        <f>HYPERLINK("https://klasma.github.io/Logging_2039/artfynd/A 38819-2024 artfynd.xlsx", "A 38819-2024")</f>
        <v/>
      </c>
      <c r="X698">
        <f>HYPERLINK("https://klasma.github.io/Logging_2039/kartor/A 38819-2024 karta.png", "A 38819-2024")</f>
        <v/>
      </c>
      <c r="Y698">
        <f>HYPERLINK("https://klasma.github.io/Logging_2039/kartor_geotiff/A 38819-2024 georefererad karta.tif", "A 38819-2024")</f>
        <v/>
      </c>
      <c r="AA698">
        <f>HYPERLINK("https://klasma.github.io/Logging_2039/klagomål/A 38819-2024 FSC-klagomål.docx", "A 38819-2024")</f>
        <v/>
      </c>
      <c r="AB698">
        <f>HYPERLINK("https://klasma.github.io/Logging_2039/klagomålsmail/A 38819-2024 FSC-klagomål mail.docx", "A 38819-2024")</f>
        <v/>
      </c>
      <c r="AC698">
        <f>HYPERLINK("https://klasma.github.io/Logging_2039/tillsyn/A 38819-2024 tillsynsbegäran.docx", "A 38819-2024")</f>
        <v/>
      </c>
      <c r="AD698">
        <f>HYPERLINK("https://klasma.github.io/Logging_2039/tillsynsmail/A 38819-2024 tillsynsbegäran mail.docx", "A 38819-2024")</f>
        <v/>
      </c>
    </row>
    <row r="699" ht="15" customHeight="1">
      <c r="A699" t="inlineStr">
        <is>
          <t>A 3854-2024</t>
        </is>
      </c>
      <c r="B699" t="inlineStr">
        <is>
          <t>avverkningsanmälan</t>
        </is>
      </c>
      <c r="C699" t="inlineStr">
        <is>
          <t>Föryngringsavverkning</t>
        </is>
      </c>
      <c r="D699" s="1" t="n">
        <v>45322</v>
      </c>
      <c r="E699" s="1" t="n">
        <v>46319</v>
      </c>
      <c r="F699" t="inlineStr">
        <is>
          <t>DALARNAS LÄN</t>
        </is>
      </c>
      <c r="G699" t="inlineStr">
        <is>
          <t>VANSBRO</t>
        </is>
      </c>
      <c r="H699" t="inlineStr">
        <is>
          <t>Kyrkan</t>
        </is>
      </c>
      <c r="I699" t="n">
        <v>4.6</v>
      </c>
      <c r="J699" t="n">
        <v>2</v>
      </c>
      <c r="K699" t="n">
        <v>1</v>
      </c>
      <c r="L699" t="n">
        <v>1</v>
      </c>
      <c r="M699" t="n">
        <v>1</v>
      </c>
      <c r="N699" t="n">
        <v>0</v>
      </c>
      <c r="O699" t="n">
        <v>0</v>
      </c>
      <c r="P699" t="n">
        <v>0</v>
      </c>
      <c r="Q699" t="n">
        <v>2</v>
      </c>
      <c r="R699" t="n">
        <v>1</v>
      </c>
      <c r="S699" t="n">
        <v>4</v>
      </c>
      <c r="T699" t="n">
        <v>4</v>
      </c>
      <c r="U699" t="n">
        <v>3</v>
      </c>
      <c r="V699" s="2" t="inlineStr">
        <is>
          <t>Garnlav
Tretåig hackspett
Björksplintborre
Utter</t>
        </is>
      </c>
      <c r="W699">
        <f>HYPERLINK("https://klasma.github.io/Logging_2021/artfynd/A 3854-2024 artfynd.xlsx", "A 3854-2024")</f>
        <v/>
      </c>
      <c r="X699">
        <f>HYPERLINK("https://klasma.github.io/Logging_2021/kartor/A 3854-2024 karta.png", "A 3854-2024")</f>
        <v/>
      </c>
      <c r="Y699">
        <f>HYPERLINK("https://klasma.github.io/Logging_2021/kartor_geotiff/A 3854-2024 georefererad karta.tif", "A 3854-2024")</f>
        <v/>
      </c>
      <c r="AA699">
        <f>HYPERLINK("https://klasma.github.io/Logging_2021/klagomål/A 3854-2024 FSC-klagomål.docx", "A 3854-2024")</f>
        <v/>
      </c>
      <c r="AB699">
        <f>HYPERLINK("https://klasma.github.io/Logging_2021/klagomålsmail/A 3854-2024 FSC-klagomål mail.docx", "A 3854-2024")</f>
        <v/>
      </c>
      <c r="AC699">
        <f>HYPERLINK("https://klasma.github.io/Logging_2021/tillsyn/A 3854-2024 tillsynsbegäran.docx", "A 3854-2024")</f>
        <v/>
      </c>
      <c r="AD699">
        <f>HYPERLINK("https://klasma.github.io/Logging_2021/tillsynsmail/A 3854-2024 tillsynsbegäran mail.docx", "A 3854-2024")</f>
        <v/>
      </c>
      <c r="AE699">
        <f>HYPERLINK("https://klasma.github.io/Logging_2021/fåglar/A 3854-2024 prioriterade fågelarter.docx", "A 3854-2024")</f>
        <v/>
      </c>
    </row>
    <row r="700" ht="15" customHeight="1">
      <c r="A700" t="inlineStr">
        <is>
          <t>A 34506-2024</t>
        </is>
      </c>
      <c r="B700" t="inlineStr">
        <is>
          <t>avverkningsanmälan</t>
        </is>
      </c>
      <c r="C700" t="inlineStr">
        <is>
          <t>Föryngringsavverkning</t>
        </is>
      </c>
      <c r="D700" s="1" t="n">
        <v>45525</v>
      </c>
      <c r="E700" s="1" t="n">
        <v>46319</v>
      </c>
      <c r="F700" t="inlineStr">
        <is>
          <t>DALARNAS LÄN</t>
        </is>
      </c>
      <c r="G700" t="inlineStr">
        <is>
          <t>FALUN</t>
        </is>
      </c>
      <c r="H700" t="inlineStr">
        <is>
          <t>Bergvik skog väst AB</t>
        </is>
      </c>
      <c r="I700" t="n">
        <v>12.5</v>
      </c>
      <c r="J700" t="n">
        <v>2</v>
      </c>
      <c r="K700" t="n">
        <v>0</v>
      </c>
      <c r="L700" t="n">
        <v>3</v>
      </c>
      <c r="M700" t="n">
        <v>1</v>
      </c>
      <c r="N700" t="n">
        <v>0</v>
      </c>
      <c r="O700" t="n">
        <v>0</v>
      </c>
      <c r="P700" t="n">
        <v>0</v>
      </c>
      <c r="Q700" t="n">
        <v>4</v>
      </c>
      <c r="R700" t="n">
        <v>1</v>
      </c>
      <c r="S700" t="n">
        <v>4</v>
      </c>
      <c r="T700" t="n">
        <v>4</v>
      </c>
      <c r="U700" t="n">
        <v>4</v>
      </c>
      <c r="V700" s="2" t="inlineStr">
        <is>
          <t>Knärot
Dropptaggsvamp
Tallticka
Tretåig hackspett</t>
        </is>
      </c>
      <c r="W700">
        <f>HYPERLINK("https://klasma.github.io/Logging_2080/artfynd/A 34506-2024 artfynd.xlsx", "A 34506-2024")</f>
        <v/>
      </c>
      <c r="X700">
        <f>HYPERLINK("https://klasma.github.io/Logging_2080/kartor/A 34506-2024 karta.png", "A 34506-2024")</f>
        <v/>
      </c>
      <c r="Y700">
        <f>HYPERLINK("https://klasma.github.io/Logging_2080/kartor_geotiff/A 34506-2024 georefererad karta.tif", "A 34506-2024")</f>
        <v/>
      </c>
      <c r="Z700">
        <f>HYPERLINK("https://klasma.github.io/Logging_2080/knärot/A 34506-2024 karta knärot.png", "A 34506-2024")</f>
        <v/>
      </c>
      <c r="AA700">
        <f>HYPERLINK("https://klasma.github.io/Logging_2080/klagomål/A 34506-2024 FSC-klagomål.docx", "A 34506-2024")</f>
        <v/>
      </c>
      <c r="AB700">
        <f>HYPERLINK("https://klasma.github.io/Logging_2080/klagomålsmail/A 34506-2024 FSC-klagomål mail.docx", "A 34506-2024")</f>
        <v/>
      </c>
      <c r="AC700">
        <f>HYPERLINK("https://klasma.github.io/Logging_2080/tillsyn/A 34506-2024 tillsynsbegäran.docx", "A 34506-2024")</f>
        <v/>
      </c>
      <c r="AD700">
        <f>HYPERLINK("https://klasma.github.io/Logging_2080/tillsynsmail/A 34506-2024 tillsynsbegäran mail.docx", "A 34506-2024")</f>
        <v/>
      </c>
      <c r="AE700">
        <f>HYPERLINK("https://klasma.github.io/Logging_2080/fåglar/A 34506-2024 prioriterade fågelarter.docx", "A 34506-2024")</f>
        <v/>
      </c>
    </row>
    <row r="701" ht="15" customHeight="1">
      <c r="A701" t="inlineStr">
        <is>
          <t>S 1284-2022</t>
        </is>
      </c>
      <c r="B701" t="inlineStr">
        <is>
          <t>samrådsanmälan</t>
        </is>
      </c>
      <c r="C701" t="inlineStr">
        <is>
          <t>Skogsgödsling</t>
        </is>
      </c>
      <c r="D701" s="1" t="n">
        <v>44624</v>
      </c>
      <c r="E701" s="1" t="n">
        <v>46319</v>
      </c>
      <c r="F701" t="inlineStr">
        <is>
          <t>DALARNAS LÄN</t>
        </is>
      </c>
      <c r="G701" t="inlineStr">
        <is>
          <t>LUDVIKA</t>
        </is>
      </c>
      <c r="H701" t="inlineStr">
        <is>
          <t>Bergvik skog väst AB</t>
        </is>
      </c>
      <c r="I701" t="n">
        <v>374</v>
      </c>
      <c r="J701" t="n">
        <v>3</v>
      </c>
      <c r="K701" t="n">
        <v>2</v>
      </c>
      <c r="L701" t="n">
        <v>0</v>
      </c>
      <c r="M701" t="n">
        <v>0</v>
      </c>
      <c r="N701" t="n">
        <v>0</v>
      </c>
      <c r="O701" t="n">
        <v>0</v>
      </c>
      <c r="P701" t="n">
        <v>0</v>
      </c>
      <c r="Q701" t="n">
        <v>0</v>
      </c>
      <c r="R701" t="n">
        <v>0</v>
      </c>
      <c r="S701" t="n">
        <v>4</v>
      </c>
      <c r="T701" t="n">
        <v>4</v>
      </c>
      <c r="U701" t="n">
        <v>3</v>
      </c>
      <c r="V701" s="2" t="inlineStr">
        <is>
          <t>Korallblylav
Purpurknipprot
Järpe
Orre</t>
        </is>
      </c>
      <c r="W701">
        <f>HYPERLINK("https://klasma.github.io/Logging_2085/artfynd/S 1284-2022 artfynd.xlsx", "S 1284-2022")</f>
        <v/>
      </c>
      <c r="X701">
        <f>HYPERLINK("https://klasma.github.io/Logging_2085/kartor/S 1284-2022 karta.png", "S 1284-2022")</f>
        <v/>
      </c>
      <c r="Y701">
        <f>HYPERLINK("https://klasma.github.io/Logging_2085/kartor_geotiff/S 1284-2022 georefererad karta.tif", "S 1284-2022")</f>
        <v/>
      </c>
      <c r="AA701">
        <f>HYPERLINK("https://klasma.github.io/Logging_2085/klagomål/S 1284-2022 FSC-klagomål.docx", "S 1284-2022")</f>
        <v/>
      </c>
      <c r="AB701">
        <f>HYPERLINK("https://klasma.github.io/Logging_2085/klagomålsmail/S 1284-2022 FSC-klagomål mail.docx", "S 1284-2022")</f>
        <v/>
      </c>
      <c r="AC701">
        <f>HYPERLINK("https://klasma.github.io/Logging_2085/tillsyn/S 1284-2022 tillsynsbegäran.docx", "S 1284-2022")</f>
        <v/>
      </c>
      <c r="AD701">
        <f>HYPERLINK("https://klasma.github.io/Logging_2085/tillsynsmail/S 1284-2022 tillsynsbegäran mail.docx", "S 1284-2022")</f>
        <v/>
      </c>
      <c r="AE701">
        <f>HYPERLINK("https://klasma.github.io/Logging_2085/fåglar/S 1284-2022 prioriterade fågelarter.docx", "S 1284-2022")</f>
        <v/>
      </c>
    </row>
    <row r="702" ht="15" customHeight="1">
      <c r="A702" t="inlineStr">
        <is>
          <t>S 2072-2022</t>
        </is>
      </c>
      <c r="B702" t="inlineStr">
        <is>
          <t>samrådsanmälan</t>
        </is>
      </c>
      <c r="C702" t="inlineStr">
        <is>
          <t>Askåterföring</t>
        </is>
      </c>
      <c r="D702" s="1" t="n">
        <v>44672</v>
      </c>
      <c r="E702" s="1" t="n">
        <v>46319</v>
      </c>
      <c r="F702" t="inlineStr">
        <is>
          <t>DALARNAS LÄN</t>
        </is>
      </c>
      <c r="G702" t="inlineStr">
        <is>
          <t>SÄTER</t>
        </is>
      </c>
      <c r="H702" t="inlineStr">
        <is>
          <t>Kommuner</t>
        </is>
      </c>
      <c r="I702" t="n">
        <v>125.6</v>
      </c>
      <c r="J702" t="n">
        <v>2</v>
      </c>
      <c r="K702" t="n">
        <v>1</v>
      </c>
      <c r="L702" t="n">
        <v>1</v>
      </c>
      <c r="M702" t="n">
        <v>1</v>
      </c>
      <c r="N702" t="n">
        <v>0</v>
      </c>
      <c r="O702" t="n">
        <v>0</v>
      </c>
      <c r="P702" t="n">
        <v>0</v>
      </c>
      <c r="Q702" t="n">
        <v>2</v>
      </c>
      <c r="R702" t="n">
        <v>1</v>
      </c>
      <c r="S702" t="n">
        <v>4</v>
      </c>
      <c r="T702" t="n">
        <v>5</v>
      </c>
      <c r="U702" t="n">
        <v>5</v>
      </c>
      <c r="V702" s="2" t="inlineStr">
        <is>
          <t>Knärot
Säfferot
Grovticka
Fläcknycklar</t>
        </is>
      </c>
      <c r="W702">
        <f>HYPERLINK("https://klasma.github.io/Logging_2082/artfynd/S 2072-2022 artfynd.xlsx", "S 2072-2022")</f>
        <v/>
      </c>
      <c r="X702">
        <f>HYPERLINK("https://klasma.github.io/Logging_2082/kartor/S 2072-2022 karta.png", "S 2072-2022")</f>
        <v/>
      </c>
      <c r="Y702">
        <f>HYPERLINK("https://klasma.github.io/Logging_2082/kartor_geotiff/S 2072-2022 georefererad karta.tif", "S 2072-2022")</f>
        <v/>
      </c>
      <c r="Z702">
        <f>HYPERLINK("https://klasma.github.io/Logging_2082/knärot/S 2072-2022 karta knärot.png", "S 2072-2022")</f>
        <v/>
      </c>
      <c r="AA702">
        <f>HYPERLINK("https://klasma.github.io/Logging_2082/klagomål/S 2072-2022 FSC-klagomål.docx", "S 2072-2022")</f>
        <v/>
      </c>
      <c r="AB702">
        <f>HYPERLINK("https://klasma.github.io/Logging_2082/klagomålsmail/S 2072-2022 FSC-klagomål mail.docx", "S 2072-2022")</f>
        <v/>
      </c>
      <c r="AC702">
        <f>HYPERLINK("https://klasma.github.io/Logging_2082/tillsyn/S 2072-2022 tillsynsbegäran.docx", "S 2072-2022")</f>
        <v/>
      </c>
      <c r="AD702">
        <f>HYPERLINK("https://klasma.github.io/Logging_2082/tillsynsmail/S 2072-2022 tillsynsbegäran mail.docx", "S 2072-2022")</f>
        <v/>
      </c>
    </row>
    <row r="703" ht="15" customHeight="1">
      <c r="A703" t="inlineStr">
        <is>
          <t>S 4215-2023</t>
        </is>
      </c>
      <c r="B703" t="inlineStr">
        <is>
          <t>samrådsanmälan</t>
        </is>
      </c>
      <c r="C703" t="inlineStr">
        <is>
          <t>Annan skogsbruksåtgärd</t>
        </is>
      </c>
      <c r="D703" s="1" t="n">
        <v>45251</v>
      </c>
      <c r="E703" s="1" t="n">
        <v>46319</v>
      </c>
      <c r="F703" t="inlineStr">
        <is>
          <t>DALARNAS LÄN</t>
        </is>
      </c>
      <c r="G703" t="inlineStr">
        <is>
          <t>SMEDJEBACKEN</t>
        </is>
      </c>
      <c r="H703" t="inlineStr">
        <is>
          <t>Bergvik skog väst AB</t>
        </is>
      </c>
      <c r="I703" t="n">
        <v>5.1</v>
      </c>
      <c r="J703" t="n">
        <v>4</v>
      </c>
      <c r="K703" t="n">
        <v>0</v>
      </c>
      <c r="L703" t="n">
        <v>1</v>
      </c>
      <c r="M703" t="n">
        <v>0</v>
      </c>
      <c r="N703" t="n">
        <v>0</v>
      </c>
      <c r="O703" t="n">
        <v>0</v>
      </c>
      <c r="P703" t="n">
        <v>0</v>
      </c>
      <c r="Q703" t="n">
        <v>1</v>
      </c>
      <c r="R703" t="n">
        <v>0</v>
      </c>
      <c r="S703" t="n">
        <v>4</v>
      </c>
      <c r="T703" t="n">
        <v>4</v>
      </c>
      <c r="U703" t="n">
        <v>0</v>
      </c>
      <c r="V703" s="2" t="inlineStr">
        <is>
          <t>Grönsångare
Spillkråka
Buskmus
Svartvit flugsnappare</t>
        </is>
      </c>
      <c r="W703">
        <f>HYPERLINK("https://klasma.github.io/Logging_2061/artfynd/S 4215-2023 artfynd.xlsx", "S 4215-2023")</f>
        <v/>
      </c>
      <c r="X703">
        <f>HYPERLINK("https://klasma.github.io/Logging_2061/kartor/S 4215-2023 karta.png", "S 4215-2023")</f>
        <v/>
      </c>
      <c r="Y703">
        <f>HYPERLINK("https://klasma.github.io/Logging_2061/kartor_geotiff/S 4215-2023 georefererad karta.tif", "S 4215-2023")</f>
        <v/>
      </c>
      <c r="AA703">
        <f>HYPERLINK("https://klasma.github.io/Logging_2061/klagomål/S 4215-2023 FSC-klagomål.docx", "S 4215-2023")</f>
        <v/>
      </c>
      <c r="AB703">
        <f>HYPERLINK("https://klasma.github.io/Logging_2061/klagomålsmail/S 4215-2023 FSC-klagomål mail.docx", "S 4215-2023")</f>
        <v/>
      </c>
      <c r="AC703">
        <f>HYPERLINK("https://klasma.github.io/Logging_2061/tillsyn/S 4215-2023 tillsynsbegäran.docx", "S 4215-2023")</f>
        <v/>
      </c>
      <c r="AD703">
        <f>HYPERLINK("https://klasma.github.io/Logging_2061/tillsynsmail/S 4215-2023 tillsynsbegäran mail.docx", "S 4215-2023")</f>
        <v/>
      </c>
      <c r="AE703">
        <f>HYPERLINK("https://klasma.github.io/Logging_2061/fåglar/S 4215-2023 prioriterade fågelarter.docx", "S 4215-2023")</f>
        <v/>
      </c>
    </row>
    <row r="704" ht="15" customHeight="1">
      <c r="A704" t="inlineStr">
        <is>
          <t>S 582-2024</t>
        </is>
      </c>
      <c r="B704" t="inlineStr">
        <is>
          <t>samrådsanmälan</t>
        </is>
      </c>
      <c r="C704" t="inlineStr">
        <is>
          <t>Skogsgödsling</t>
        </is>
      </c>
      <c r="D704" s="1" t="n">
        <v>45351</v>
      </c>
      <c r="E704" s="1" t="n">
        <v>46319</v>
      </c>
      <c r="F704" t="inlineStr">
        <is>
          <t>DALARNAS LÄN</t>
        </is>
      </c>
      <c r="G704" t="inlineStr">
        <is>
          <t>FALUN</t>
        </is>
      </c>
      <c r="H704" t="inlineStr">
        <is>
          <t>Bergvik skog väst AB</t>
        </is>
      </c>
      <c r="I704" t="n">
        <v>571</v>
      </c>
      <c r="J704" t="n">
        <v>1</v>
      </c>
      <c r="K704" t="n">
        <v>0</v>
      </c>
      <c r="L704" t="n">
        <v>3</v>
      </c>
      <c r="M704" t="n">
        <v>0</v>
      </c>
      <c r="N704" t="n">
        <v>0</v>
      </c>
      <c r="O704" t="n">
        <v>0</v>
      </c>
      <c r="P704" t="n">
        <v>0</v>
      </c>
      <c r="Q704" t="n">
        <v>3</v>
      </c>
      <c r="R704" t="n">
        <v>0</v>
      </c>
      <c r="S704" t="n">
        <v>4</v>
      </c>
      <c r="T704" t="n">
        <v>5</v>
      </c>
      <c r="U704" t="n">
        <v>4</v>
      </c>
      <c r="V704" s="2" t="inlineStr">
        <is>
          <t>Dropptaggsvamp
Motaggsvamp
Skogshare
Järpe</t>
        </is>
      </c>
      <c r="W704">
        <f>HYPERLINK("https://klasma.github.io/Logging_2080/artfynd/S 582-2024 artfynd.xlsx", "S 582-2024")</f>
        <v/>
      </c>
      <c r="X704">
        <f>HYPERLINK("https://klasma.github.io/Logging_2080/kartor/S 582-2024 karta.png", "S 582-2024")</f>
        <v/>
      </c>
      <c r="Y704">
        <f>HYPERLINK("https://klasma.github.io/Logging_2080/kartor_geotiff/S 582-2024 georefererad karta.tif", "S 582-2024")</f>
        <v/>
      </c>
      <c r="AA704">
        <f>HYPERLINK("https://klasma.github.io/Logging_2080/klagomål/S 582-2024 FSC-klagomål.docx", "S 582-2024")</f>
        <v/>
      </c>
      <c r="AB704">
        <f>HYPERLINK("https://klasma.github.io/Logging_2080/klagomålsmail/S 582-2024 FSC-klagomål mail.docx", "S 582-2024")</f>
        <v/>
      </c>
      <c r="AC704">
        <f>HYPERLINK("https://klasma.github.io/Logging_2080/tillsyn/S 582-2024 tillsynsbegäran.docx", "S 582-2024")</f>
        <v/>
      </c>
      <c r="AD704">
        <f>HYPERLINK("https://klasma.github.io/Logging_2080/tillsynsmail/S 582-2024 tillsynsbegäran mail.docx", "S 582-2024")</f>
        <v/>
      </c>
      <c r="AE704">
        <f>HYPERLINK("https://klasma.github.io/Logging_2080/fåglar/S 582-2024 prioriterade fågelarter.docx", "S 582-2024")</f>
        <v/>
      </c>
    </row>
    <row r="705" ht="15" customHeight="1">
      <c r="A705" t="inlineStr">
        <is>
          <t>S 1097-2024</t>
        </is>
      </c>
      <c r="B705" t="inlineStr">
        <is>
          <t>samrådsanmälan</t>
        </is>
      </c>
      <c r="C705" t="inlineStr">
        <is>
          <t>Skogsgödsling</t>
        </is>
      </c>
      <c r="D705" s="1" t="n">
        <v>45391</v>
      </c>
      <c r="E705" s="1" t="n">
        <v>46319</v>
      </c>
      <c r="F705" t="inlineStr">
        <is>
          <t>DALARNAS LÄN</t>
        </is>
      </c>
      <c r="G705" t="inlineStr">
        <is>
          <t>SMEDJEBACKEN</t>
        </is>
      </c>
      <c r="H705" t="inlineStr">
        <is>
          <t>Bergvik skog väst AB</t>
        </is>
      </c>
      <c r="I705" t="n">
        <v>192</v>
      </c>
      <c r="J705" t="n">
        <v>3</v>
      </c>
      <c r="K705" t="n">
        <v>0</v>
      </c>
      <c r="L705" t="n">
        <v>2</v>
      </c>
      <c r="M705" t="n">
        <v>0</v>
      </c>
      <c r="N705" t="n">
        <v>0</v>
      </c>
      <c r="O705" t="n">
        <v>0</v>
      </c>
      <c r="P705" t="n">
        <v>0</v>
      </c>
      <c r="Q705" t="n">
        <v>2</v>
      </c>
      <c r="R705" t="n">
        <v>0</v>
      </c>
      <c r="S705" t="n">
        <v>4</v>
      </c>
      <c r="T705" t="n">
        <v>4</v>
      </c>
      <c r="U705" t="n">
        <v>4</v>
      </c>
      <c r="V705" s="2" t="inlineStr">
        <is>
          <t>Grönsångare
Talltagel
Blåsippa
Revlummer</t>
        </is>
      </c>
      <c r="W705">
        <f>HYPERLINK("https://klasma.github.io/Logging_2061/artfynd/S 1097-2024 artfynd.xlsx", "S 1097-2024")</f>
        <v/>
      </c>
      <c r="X705">
        <f>HYPERLINK("https://klasma.github.io/Logging_2061/kartor/S 1097-2024 karta.png", "S 1097-2024")</f>
        <v/>
      </c>
      <c r="Y705">
        <f>HYPERLINK("https://klasma.github.io/Logging_2061/kartor_geotiff/S 1097-2024 georefererad karta.tif", "S 1097-2024")</f>
        <v/>
      </c>
      <c r="AA705">
        <f>HYPERLINK("https://klasma.github.io/Logging_2061/klagomål/S 1097-2024 FSC-klagomål.docx", "S 1097-2024")</f>
        <v/>
      </c>
      <c r="AB705">
        <f>HYPERLINK("https://klasma.github.io/Logging_2061/klagomålsmail/S 1097-2024 FSC-klagomål mail.docx", "S 1097-2024")</f>
        <v/>
      </c>
      <c r="AC705">
        <f>HYPERLINK("https://klasma.github.io/Logging_2061/tillsyn/S 1097-2024 tillsynsbegäran.docx", "S 1097-2024")</f>
        <v/>
      </c>
      <c r="AD705">
        <f>HYPERLINK("https://klasma.github.io/Logging_2061/tillsynsmail/S 1097-2024 tillsynsbegäran mail.docx", "S 1097-2024")</f>
        <v/>
      </c>
      <c r="AE705">
        <f>HYPERLINK("https://klasma.github.io/Logging_2061/fåglar/S 1097-2024 prioriterade fågelarter.docx", "S 1097-2024")</f>
        <v/>
      </c>
    </row>
    <row r="706" ht="15" customHeight="1">
      <c r="A706" t="inlineStr">
        <is>
          <t>S 5005-2024</t>
        </is>
      </c>
      <c r="B706" t="inlineStr">
        <is>
          <t>samrådsanmälan</t>
        </is>
      </c>
      <c r="C706" t="inlineStr">
        <is>
          <t>Annan skogsbruksåtgärd</t>
        </is>
      </c>
      <c r="D706" s="1" t="n">
        <v>45632</v>
      </c>
      <c r="E706" s="1" t="n">
        <v>46319</v>
      </c>
      <c r="F706" t="inlineStr">
        <is>
          <t>DALARNAS LÄN</t>
        </is>
      </c>
      <c r="G706" t="inlineStr">
        <is>
          <t>LEKSAND</t>
        </is>
      </c>
      <c r="I706" t="n">
        <v>3</v>
      </c>
      <c r="J706" t="n">
        <v>2</v>
      </c>
      <c r="K706" t="n">
        <v>0</v>
      </c>
      <c r="L706" t="n">
        <v>2</v>
      </c>
      <c r="M706" t="n">
        <v>0</v>
      </c>
      <c r="N706" t="n">
        <v>1</v>
      </c>
      <c r="O706" t="n">
        <v>0</v>
      </c>
      <c r="P706" t="n">
        <v>0</v>
      </c>
      <c r="Q706" t="n">
        <v>3</v>
      </c>
      <c r="R706" t="n">
        <v>1</v>
      </c>
      <c r="S706" t="n">
        <v>4</v>
      </c>
      <c r="T706" t="n">
        <v>11</v>
      </c>
      <c r="U706" t="n">
        <v>5</v>
      </c>
      <c r="V706" s="2" t="inlineStr">
        <is>
          <t>Mosippa
Backstarr
Dropptaggsvamp
Nattviol</t>
        </is>
      </c>
      <c r="W706">
        <f>HYPERLINK("https://klasma.github.io/Logging_2029/artfynd/S 5005-2024 artfynd.xlsx", "S 5005-2024")</f>
        <v/>
      </c>
      <c r="X706">
        <f>HYPERLINK("https://klasma.github.io/Logging_2029/kartor/S 5005-2024 karta.png", "S 5005-2024")</f>
        <v/>
      </c>
      <c r="Y706">
        <f>HYPERLINK("https://klasma.github.io/Logging_2029/kartor_geotiff/S 5005-2024 georefererad karta.tif", "S 5005-2024")</f>
        <v/>
      </c>
      <c r="AA706">
        <f>HYPERLINK("https://klasma.github.io/Logging_2029/klagomål/S 5005-2024 FSC-klagomål.docx", "S 5005-2024")</f>
        <v/>
      </c>
      <c r="AB706">
        <f>HYPERLINK("https://klasma.github.io/Logging_2029/klagomålsmail/S 5005-2024 FSC-klagomål mail.docx", "S 5005-2024")</f>
        <v/>
      </c>
      <c r="AC706">
        <f>HYPERLINK("https://klasma.github.io/Logging_2029/tillsyn/S 5005-2024 tillsynsbegäran.docx", "S 5005-2024")</f>
        <v/>
      </c>
      <c r="AD706">
        <f>HYPERLINK("https://klasma.github.io/Logging_2029/tillsynsmail/S 5005-2024 tillsynsbegäran mail.docx", "S 5005-2024")</f>
        <v/>
      </c>
    </row>
    <row r="707" ht="15" customHeight="1">
      <c r="A707" t="inlineStr">
        <is>
          <t>S 3011-2023</t>
        </is>
      </c>
      <c r="B707" t="inlineStr">
        <is>
          <t>samrådsanmälan</t>
        </is>
      </c>
      <c r="C707" t="inlineStr">
        <is>
          <t>Annan skogsbruksåtgärd</t>
        </is>
      </c>
      <c r="D707" s="1" t="n">
        <v>45176</v>
      </c>
      <c r="E707" s="1" t="n">
        <v>46319</v>
      </c>
      <c r="F707" t="inlineStr">
        <is>
          <t>DALARNAS LÄN</t>
        </is>
      </c>
      <c r="G707" t="inlineStr">
        <is>
          <t>FALUN</t>
        </is>
      </c>
      <c r="H707" t="inlineStr">
        <is>
          <t>Bergvik skog väst AB</t>
        </is>
      </c>
      <c r="I707" t="n">
        <v>4.4</v>
      </c>
      <c r="J707" t="n">
        <v>1</v>
      </c>
      <c r="K707" t="n">
        <v>2</v>
      </c>
      <c r="L707" t="n">
        <v>1</v>
      </c>
      <c r="M707" t="n">
        <v>1</v>
      </c>
      <c r="N707" t="n">
        <v>0</v>
      </c>
      <c r="O707" t="n">
        <v>0</v>
      </c>
      <c r="P707" t="n">
        <v>0</v>
      </c>
      <c r="Q707" t="n">
        <v>2</v>
      </c>
      <c r="R707" t="n">
        <v>1</v>
      </c>
      <c r="S707" t="n">
        <v>4</v>
      </c>
      <c r="T707" t="n">
        <v>13</v>
      </c>
      <c r="U707" t="n">
        <v>3</v>
      </c>
      <c r="V707" s="2" t="inlineStr">
        <is>
          <t>Brun gräsfjäril
Brunklöver
Mindre märgborre
Myskbock</t>
        </is>
      </c>
      <c r="W707">
        <f>HYPERLINK("https://klasma.github.io/Logging_2080/artfynd/S 3011-2023 artfynd.xlsx", "S 3011-2023")</f>
        <v/>
      </c>
      <c r="X707">
        <f>HYPERLINK("https://klasma.github.io/Logging_2080/kartor/S 3011-2023 karta.png", "S 3011-2023")</f>
        <v/>
      </c>
      <c r="Y707">
        <f>HYPERLINK("https://klasma.github.io/Logging_2080/kartor_geotiff/S 3011-2023 georefererad karta.tif", "S 3011-2023")</f>
        <v/>
      </c>
      <c r="AA707">
        <f>HYPERLINK("https://klasma.github.io/Logging_2080/klagomål/S 3011-2023 FSC-klagomål.docx", "S 3011-2023")</f>
        <v/>
      </c>
      <c r="AB707">
        <f>HYPERLINK("https://klasma.github.io/Logging_2080/klagomålsmail/S 3011-2023 FSC-klagomål mail.docx", "S 3011-2023")</f>
        <v/>
      </c>
      <c r="AC707">
        <f>HYPERLINK("https://klasma.github.io/Logging_2080/tillsyn/S 3011-2023 tillsynsbegäran.docx", "S 3011-2023")</f>
        <v/>
      </c>
      <c r="AD707">
        <f>HYPERLINK("https://klasma.github.io/Logging_2080/tillsynsmail/S 3011-2023 tillsynsbegäran mail.docx", "S 3011-2023")</f>
        <v/>
      </c>
    </row>
    <row r="708" ht="15" customHeight="1">
      <c r="A708" t="inlineStr">
        <is>
          <t>S 1183-2025</t>
        </is>
      </c>
      <c r="B708" t="inlineStr">
        <is>
          <t>samrådsanmälan</t>
        </is>
      </c>
      <c r="C708" t="inlineStr">
        <is>
          <t>Annan skogsbruksåtgärd</t>
        </is>
      </c>
      <c r="D708" s="1" t="n">
        <v>45757</v>
      </c>
      <c r="E708" s="1" t="n">
        <v>46319</v>
      </c>
      <c r="F708" t="inlineStr">
        <is>
          <t>DALARNAS LÄN</t>
        </is>
      </c>
      <c r="G708" t="inlineStr">
        <is>
          <t>RÄTTVIK</t>
        </is>
      </c>
      <c r="H708" t="inlineStr">
        <is>
          <t>Sveaskog</t>
        </is>
      </c>
      <c r="I708" t="n">
        <v>38.2</v>
      </c>
      <c r="J708" t="n">
        <v>0</v>
      </c>
      <c r="K708" t="n">
        <v>0</v>
      </c>
      <c r="L708" t="n">
        <v>4</v>
      </c>
      <c r="M708" t="n">
        <v>0</v>
      </c>
      <c r="N708" t="n">
        <v>0</v>
      </c>
      <c r="O708" t="n">
        <v>0</v>
      </c>
      <c r="P708" t="n">
        <v>0</v>
      </c>
      <c r="Q708" t="n">
        <v>4</v>
      </c>
      <c r="R708" t="n">
        <v>0</v>
      </c>
      <c r="S708" t="n">
        <v>4</v>
      </c>
      <c r="T708" t="n">
        <v>6</v>
      </c>
      <c r="U708" t="n">
        <v>0</v>
      </c>
      <c r="V708" s="2" t="inlineStr">
        <is>
          <t>Kolflarnlav
Lunglav
Mörk kolflarnlav
Reliktbock</t>
        </is>
      </c>
      <c r="W708">
        <f>HYPERLINK("https://klasma.github.io/Logging_2031/artfynd/S 1183-2025 artfynd.xlsx", "S 1183-2025")</f>
        <v/>
      </c>
      <c r="X708">
        <f>HYPERLINK("https://klasma.github.io/Logging_2031/kartor/S 1183-2025 karta.png", "S 1183-2025")</f>
        <v/>
      </c>
      <c r="Y708">
        <f>HYPERLINK("https://klasma.github.io/Logging_2031/kartor_geotiff/S 1183-2025 georefererad karta.tif", "S 1183-2025")</f>
        <v/>
      </c>
      <c r="AA708">
        <f>HYPERLINK("https://klasma.github.io/Logging_2031/klagomål/S 1183-2025 FSC-klagomål.docx", "S 1183-2025")</f>
        <v/>
      </c>
      <c r="AB708">
        <f>HYPERLINK("https://klasma.github.io/Logging_2031/klagomålsmail/S 1183-2025 FSC-klagomål mail.docx", "S 1183-2025")</f>
        <v/>
      </c>
      <c r="AC708">
        <f>HYPERLINK("https://klasma.github.io/Logging_2031/tillsyn/S 1183-2025 tillsynsbegäran.docx", "S 1183-2025")</f>
        <v/>
      </c>
      <c r="AD708">
        <f>HYPERLINK("https://klasma.github.io/Logging_2031/tillsynsmail/S 1183-2025 tillsynsbegäran mail.docx", "S 1183-2025")</f>
        <v/>
      </c>
    </row>
    <row r="709" ht="15" customHeight="1">
      <c r="A709" t="inlineStr">
        <is>
          <t>S 1406-2025</t>
        </is>
      </c>
      <c r="B709" t="inlineStr">
        <is>
          <t>samrådsanmälan</t>
        </is>
      </c>
      <c r="C709" t="inlineStr">
        <is>
          <t>Annan skogsbruksåtgärd</t>
        </is>
      </c>
      <c r="D709" s="1" t="n">
        <v>45782</v>
      </c>
      <c r="E709" s="1" t="n">
        <v>46319</v>
      </c>
      <c r="F709" t="inlineStr">
        <is>
          <t>DALARNAS LÄN</t>
        </is>
      </c>
      <c r="G709" t="inlineStr">
        <is>
          <t>MORA</t>
        </is>
      </c>
      <c r="I709" t="n">
        <v>1.5</v>
      </c>
      <c r="J709" t="n">
        <v>3</v>
      </c>
      <c r="K709" t="n">
        <v>1</v>
      </c>
      <c r="L709" t="n">
        <v>0</v>
      </c>
      <c r="M709" t="n">
        <v>0</v>
      </c>
      <c r="N709" t="n">
        <v>0</v>
      </c>
      <c r="O709" t="n">
        <v>0</v>
      </c>
      <c r="P709" t="n">
        <v>0</v>
      </c>
      <c r="Q709" t="n">
        <v>0</v>
      </c>
      <c r="R709" t="n">
        <v>0</v>
      </c>
      <c r="S709" t="n">
        <v>4</v>
      </c>
      <c r="T709" t="n">
        <v>7</v>
      </c>
      <c r="U709" t="n">
        <v>1</v>
      </c>
      <c r="V709" s="2" t="inlineStr">
        <is>
          <t>Grönpyrola
Mattlummer
Huggorm
Kopparödla</t>
        </is>
      </c>
      <c r="W709">
        <f>HYPERLINK("https://klasma.github.io/Logging_2062/artfynd/S 1406-2025 artfynd.xlsx", "S 1406-2025")</f>
        <v/>
      </c>
      <c r="X709">
        <f>HYPERLINK("https://klasma.github.io/Logging_2062/kartor/S 1406-2025 karta.png", "S 1406-2025")</f>
        <v/>
      </c>
      <c r="Y709">
        <f>HYPERLINK("https://klasma.github.io/Logging_2062/kartor_geotiff/S 1406-2025 georefererad karta.tif", "S 1406-2025")</f>
        <v/>
      </c>
      <c r="AA709">
        <f>HYPERLINK("https://klasma.github.io/Logging_2062/klagomål/S 1406-2025 FSC-klagomål.docx", "S 1406-2025")</f>
        <v/>
      </c>
      <c r="AB709">
        <f>HYPERLINK("https://klasma.github.io/Logging_2062/klagomålsmail/S 1406-2025 FSC-klagomål mail.docx", "S 1406-2025")</f>
        <v/>
      </c>
      <c r="AC709">
        <f>HYPERLINK("https://klasma.github.io/Logging_2062/tillsyn/S 1406-2025 tillsynsbegäran.docx", "S 1406-2025")</f>
        <v/>
      </c>
      <c r="AD709">
        <f>HYPERLINK("https://klasma.github.io/Logging_2062/tillsynsmail/S 1406-2025 tillsynsbegäran mail.docx", "S 1406-2025")</f>
        <v/>
      </c>
    </row>
    <row r="710" ht="15" customHeight="1">
      <c r="A710" t="inlineStr">
        <is>
          <t>S 3443-2025</t>
        </is>
      </c>
      <c r="B710" t="inlineStr">
        <is>
          <t>samrådsanmälan</t>
        </is>
      </c>
      <c r="C710" t="inlineStr">
        <is>
          <t>Skogsgödsling</t>
        </is>
      </c>
      <c r="D710" s="1" t="n">
        <v>45996</v>
      </c>
      <c r="E710" s="1" t="n">
        <v>46319</v>
      </c>
      <c r="F710" t="inlineStr">
        <is>
          <t>DALARNAS LÄN</t>
        </is>
      </c>
      <c r="G710" t="inlineStr">
        <is>
          <t>FALUN</t>
        </is>
      </c>
      <c r="H710" t="inlineStr">
        <is>
          <t>Bergvik skog väst AB</t>
        </is>
      </c>
      <c r="I710" t="n">
        <v>214.4</v>
      </c>
      <c r="J710" t="n">
        <v>3</v>
      </c>
      <c r="K710" t="n">
        <v>0</v>
      </c>
      <c r="L710" t="n">
        <v>2</v>
      </c>
      <c r="M710" t="n">
        <v>0</v>
      </c>
      <c r="N710" t="n">
        <v>0</v>
      </c>
      <c r="O710" t="n">
        <v>0</v>
      </c>
      <c r="P710" t="n">
        <v>0</v>
      </c>
      <c r="Q710" t="n">
        <v>2</v>
      </c>
      <c r="R710" t="n">
        <v>0</v>
      </c>
      <c r="S710" t="n">
        <v>4</v>
      </c>
      <c r="T710" t="n">
        <v>4</v>
      </c>
      <c r="U710" t="n">
        <v>0</v>
      </c>
      <c r="V710" s="2" t="inlineStr">
        <is>
          <t>Tretåig hackspett
Öring
Tjäder
Revlummer</t>
        </is>
      </c>
      <c r="W710">
        <f>HYPERLINK("https://klasma.github.io/Logging_2080/artfynd/S 3443-2025 artfynd.xlsx", "S 3443-2025")</f>
        <v/>
      </c>
      <c r="X710">
        <f>HYPERLINK("https://klasma.github.io/Logging_2080/kartor/S 3443-2025 karta.png", "S 3443-2025")</f>
        <v/>
      </c>
      <c r="Y710">
        <f>HYPERLINK("https://klasma.github.io/Logging_2080/kartor_geotiff/S 3443-2025 georefererad karta.tif", "S 3443-2025")</f>
        <v/>
      </c>
      <c r="Z710">
        <f>HYPERLINK("https://klasma.github.io/Logging_2080/knärot/S 3443-2025 karta knärot.png", "S 3443-2025")</f>
        <v/>
      </c>
      <c r="AA710">
        <f>HYPERLINK("https://klasma.github.io/Logging_2080/klagomål/S 3443-2025 FSC-klagomål.docx", "S 3443-2025")</f>
        <v/>
      </c>
      <c r="AB710">
        <f>HYPERLINK("https://klasma.github.io/Logging_2080/klagomålsmail/S 3443-2025 FSC-klagomål mail.docx", "S 3443-2025")</f>
        <v/>
      </c>
      <c r="AC710">
        <f>HYPERLINK("https://klasma.github.io/Logging_2080/tillsyn/S 3443-2025 tillsynsbegäran.docx", "S 3443-2025")</f>
        <v/>
      </c>
      <c r="AD710">
        <f>HYPERLINK("https://klasma.github.io/Logging_2080/tillsynsmail/S 3443-2025 tillsynsbegäran mail.docx", "S 3443-2025")</f>
        <v/>
      </c>
      <c r="AE710">
        <f>HYPERLINK("https://klasma.github.io/Logging_2080/fåglar/S 3443-2025 prioriterade fågelarter.docx", "S 3443-2025")</f>
        <v/>
      </c>
    </row>
    <row r="711" ht="15" customHeight="1">
      <c r="A711" t="inlineStr">
        <is>
          <t>S 1663-2022</t>
        </is>
      </c>
      <c r="B711" t="inlineStr">
        <is>
          <t>samrådsanmälan</t>
        </is>
      </c>
      <c r="C711" t="inlineStr">
        <is>
          <t>Askåterföring</t>
        </is>
      </c>
      <c r="D711" s="1" t="n">
        <v>44649</v>
      </c>
      <c r="E711" s="1" t="n">
        <v>46319</v>
      </c>
      <c r="F711" t="inlineStr">
        <is>
          <t>DALARNAS LÄN</t>
        </is>
      </c>
      <c r="G711" t="inlineStr">
        <is>
          <t>BORLÄNGE</t>
        </is>
      </c>
      <c r="I711" t="n">
        <v>30.7</v>
      </c>
      <c r="J711" t="n">
        <v>3</v>
      </c>
      <c r="K711" t="n">
        <v>0</v>
      </c>
      <c r="L711" t="n">
        <v>1</v>
      </c>
      <c r="M711" t="n">
        <v>1</v>
      </c>
      <c r="N711" t="n">
        <v>0</v>
      </c>
      <c r="O711" t="n">
        <v>0</v>
      </c>
      <c r="P711" t="n">
        <v>0</v>
      </c>
      <c r="Q711" t="n">
        <v>2</v>
      </c>
      <c r="R711" t="n">
        <v>1</v>
      </c>
      <c r="S711" t="n">
        <v>4</v>
      </c>
      <c r="T711" t="n">
        <v>8</v>
      </c>
      <c r="U711" t="n">
        <v>4</v>
      </c>
      <c r="V711" s="2" t="inlineStr">
        <is>
          <t>Knärot
Motaggsvamp
Kungsfågel
Fläcknycklar</t>
        </is>
      </c>
      <c r="W711">
        <f>HYPERLINK("https://klasma.github.io/Logging_2081/artfynd/S 1663-2022 artfynd.xlsx", "S 1663-2022")</f>
        <v/>
      </c>
      <c r="X711">
        <f>HYPERLINK("https://klasma.github.io/Logging_2081/kartor/S 1663-2022 karta.png", "S 1663-2022")</f>
        <v/>
      </c>
      <c r="Y711">
        <f>HYPERLINK("https://klasma.github.io/Logging_2081/kartor_geotiff/S 1663-2022 georefererad karta.tif", "S 1663-2022")</f>
        <v/>
      </c>
      <c r="Z711">
        <f>HYPERLINK("https://klasma.github.io/Logging_2081/knärot/S 1663-2022 karta knärot.png", "S 1663-2022")</f>
        <v/>
      </c>
      <c r="AA711">
        <f>HYPERLINK("https://klasma.github.io/Logging_2081/klagomål/S 1663-2022 FSC-klagomål.docx", "S 1663-2022")</f>
        <v/>
      </c>
      <c r="AB711">
        <f>HYPERLINK("https://klasma.github.io/Logging_2081/klagomålsmail/S 1663-2022 FSC-klagomål mail.docx", "S 1663-2022")</f>
        <v/>
      </c>
      <c r="AC711">
        <f>HYPERLINK("https://klasma.github.io/Logging_2081/tillsyn/S 1663-2022 tillsynsbegäran.docx", "S 1663-2022")</f>
        <v/>
      </c>
      <c r="AD711">
        <f>HYPERLINK("https://klasma.github.io/Logging_2081/tillsynsmail/S 1663-2022 tillsynsbegäran mail.docx", "S 1663-2022")</f>
        <v/>
      </c>
    </row>
    <row r="712" ht="15" customHeight="1">
      <c r="A712" t="inlineStr">
        <is>
          <t>A 72780-2021</t>
        </is>
      </c>
      <c r="B712" t="inlineStr">
        <is>
          <t>avverkningsanmälan</t>
        </is>
      </c>
      <c r="C712" t="inlineStr">
        <is>
          <t>Avverkning för att bevara och utveckla /försöksver</t>
        </is>
      </c>
      <c r="D712" s="1" t="n">
        <v>44545</v>
      </c>
      <c r="E712" s="1" t="n">
        <v>46319</v>
      </c>
      <c r="F712" t="inlineStr">
        <is>
          <t>DALARNAS LÄN</t>
        </is>
      </c>
      <c r="G712" t="inlineStr">
        <is>
          <t>MORA</t>
        </is>
      </c>
      <c r="H712" t="inlineStr">
        <is>
          <t>Allmännings- och besparingsskogar</t>
        </is>
      </c>
      <c r="I712" t="n">
        <v>1</v>
      </c>
      <c r="J712" t="n">
        <v>3</v>
      </c>
      <c r="K712" t="n">
        <v>0</v>
      </c>
      <c r="L712" t="n">
        <v>0</v>
      </c>
      <c r="M712" t="n">
        <v>0</v>
      </c>
      <c r="N712" t="n">
        <v>1</v>
      </c>
      <c r="O712" t="n">
        <v>0</v>
      </c>
      <c r="P712" t="n">
        <v>0</v>
      </c>
      <c r="Q712" t="n">
        <v>1</v>
      </c>
      <c r="R712" t="n">
        <v>1</v>
      </c>
      <c r="S712" t="n">
        <v>3</v>
      </c>
      <c r="T712" t="n">
        <v>3</v>
      </c>
      <c r="U712" t="n">
        <v>3</v>
      </c>
      <c r="V712" s="2" t="inlineStr">
        <is>
          <t>Mosippa
Nattskärra
Skogsödla</t>
        </is>
      </c>
      <c r="W712">
        <f>HYPERLINK("https://klasma.github.io/Logging_2062/artfynd/A 72780-2021 artfynd.xlsx", "A 72780-2021")</f>
        <v/>
      </c>
      <c r="X712">
        <f>HYPERLINK("https://klasma.github.io/Logging_2062/kartor/A 72780-2021 karta.png", "A 72780-2021")</f>
        <v/>
      </c>
      <c r="Y712">
        <f>HYPERLINK("https://klasma.github.io/Logging_2062/kartor_geotiff/A 72780-2021 georefererad karta.tif", "A 72780-2021")</f>
        <v/>
      </c>
      <c r="AA712">
        <f>HYPERLINK("https://klasma.github.io/Logging_2062/klagomål/A 72780-2021 FSC-klagomål.docx", "A 72780-2021")</f>
        <v/>
      </c>
      <c r="AB712">
        <f>HYPERLINK("https://klasma.github.io/Logging_2062/klagomålsmail/A 72780-2021 FSC-klagomål mail.docx", "A 72780-2021")</f>
        <v/>
      </c>
      <c r="AC712">
        <f>HYPERLINK("https://klasma.github.io/Logging_2062/tillsyn/A 72780-2021 tillsynsbegäran.docx", "A 72780-2021")</f>
        <v/>
      </c>
      <c r="AD712">
        <f>HYPERLINK("https://klasma.github.io/Logging_2062/tillsynsmail/A 72780-2021 tillsynsbegäran mail.docx", "A 72780-2021")</f>
        <v/>
      </c>
      <c r="AE712">
        <f>HYPERLINK("https://klasma.github.io/Logging_2062/fåglar/A 72780-2021 prioriterade fågelarter.docx", "A 72780-2021")</f>
        <v/>
      </c>
    </row>
    <row r="713" ht="15" customHeight="1">
      <c r="A713" t="inlineStr">
        <is>
          <t>A 31791-2022</t>
        </is>
      </c>
      <c r="B713" t="inlineStr">
        <is>
          <t>avverkningsanmälan</t>
        </is>
      </c>
      <c r="C713" t="inlineStr">
        <is>
          <t>Föryngringsavverkning</t>
        </is>
      </c>
      <c r="D713" s="1" t="n">
        <v>44776</v>
      </c>
      <c r="E713" s="1" t="n">
        <v>46319</v>
      </c>
      <c r="F713" t="inlineStr">
        <is>
          <t>DALARNAS LÄN</t>
        </is>
      </c>
      <c r="G713" t="inlineStr">
        <is>
          <t>SMEDJEBACKEN</t>
        </is>
      </c>
      <c r="H713" t="inlineStr">
        <is>
          <t>Bergvik skog väst AB</t>
        </is>
      </c>
      <c r="I713" t="n">
        <v>9.199999999999999</v>
      </c>
      <c r="J713" t="n">
        <v>2</v>
      </c>
      <c r="K713" t="n">
        <v>1</v>
      </c>
      <c r="L713" t="n">
        <v>0</v>
      </c>
      <c r="M713" t="n">
        <v>0</v>
      </c>
      <c r="N713" t="n">
        <v>0</v>
      </c>
      <c r="O713" t="n">
        <v>0</v>
      </c>
      <c r="P713" t="n">
        <v>0</v>
      </c>
      <c r="Q713" t="n">
        <v>0</v>
      </c>
      <c r="R713" t="n">
        <v>0</v>
      </c>
      <c r="S713" t="n">
        <v>3</v>
      </c>
      <c r="T713" t="n">
        <v>3</v>
      </c>
      <c r="U713" t="n">
        <v>1</v>
      </c>
      <c r="V713" s="2" t="inlineStr">
        <is>
          <t>Bronshjon
Spillkråka
Tjäder</t>
        </is>
      </c>
      <c r="W713">
        <f>HYPERLINK("https://klasma.github.io/Logging_2061/artfynd/A 31791-2022 artfynd.xlsx", "A 31791-2022")</f>
        <v/>
      </c>
      <c r="X713">
        <f>HYPERLINK("https://klasma.github.io/Logging_2061/kartor/A 31791-2022 karta.png", "A 31791-2022")</f>
        <v/>
      </c>
      <c r="Y713">
        <f>HYPERLINK("https://klasma.github.io/Logging_2061/kartor_geotiff/A 31791-2022 georefererad karta.tif", "A 31791-2022")</f>
        <v/>
      </c>
      <c r="AA713">
        <f>HYPERLINK("https://klasma.github.io/Logging_2061/klagomål/A 31791-2022 FSC-klagomål.docx", "A 31791-2022")</f>
        <v/>
      </c>
      <c r="AB713">
        <f>HYPERLINK("https://klasma.github.io/Logging_2061/klagomålsmail/A 31791-2022 FSC-klagomål mail.docx", "A 31791-2022")</f>
        <v/>
      </c>
      <c r="AC713">
        <f>HYPERLINK("https://klasma.github.io/Logging_2061/tillsyn/A 31791-2022 tillsynsbegäran.docx", "A 31791-2022")</f>
        <v/>
      </c>
      <c r="AD713">
        <f>HYPERLINK("https://klasma.github.io/Logging_2061/tillsynsmail/A 31791-2022 tillsynsbegäran mail.docx", "A 31791-2022")</f>
        <v/>
      </c>
      <c r="AE713">
        <f>HYPERLINK("https://klasma.github.io/Logging_2061/fåglar/A 31791-2022 prioriterade fågelarter.docx", "A 31791-2022")</f>
        <v/>
      </c>
    </row>
    <row r="714" ht="15" customHeight="1">
      <c r="A714" t="inlineStr">
        <is>
          <t>A 51505-2022</t>
        </is>
      </c>
      <c r="B714" t="inlineStr">
        <is>
          <t>avverkningsanmälan</t>
        </is>
      </c>
      <c r="C714" t="inlineStr">
        <is>
          <t>Föryngringsavverkning</t>
        </is>
      </c>
      <c r="D714" s="1" t="n">
        <v>44869</v>
      </c>
      <c r="E714" s="1" t="n">
        <v>46319</v>
      </c>
      <c r="F714" t="inlineStr">
        <is>
          <t>DALARNAS LÄN</t>
        </is>
      </c>
      <c r="G714" t="inlineStr">
        <is>
          <t>LEKSAND</t>
        </is>
      </c>
      <c r="H714" t="inlineStr">
        <is>
          <t>Bergvik skog väst AB</t>
        </is>
      </c>
      <c r="I714" t="n">
        <v>1.3</v>
      </c>
      <c r="J714" t="n">
        <v>0</v>
      </c>
      <c r="K714" t="n">
        <v>1</v>
      </c>
      <c r="L714" t="n">
        <v>1</v>
      </c>
      <c r="M714" t="n">
        <v>1</v>
      </c>
      <c r="N714" t="n">
        <v>0</v>
      </c>
      <c r="O714" t="n">
        <v>0</v>
      </c>
      <c r="P714" t="n">
        <v>0</v>
      </c>
      <c r="Q714" t="n">
        <v>2</v>
      </c>
      <c r="R714" t="n">
        <v>1</v>
      </c>
      <c r="S714" t="n">
        <v>3</v>
      </c>
      <c r="T714" t="n">
        <v>3</v>
      </c>
      <c r="U714" t="n">
        <v>0</v>
      </c>
      <c r="V714" s="2" t="inlineStr">
        <is>
          <t>Garnlav
Motaggsvamp
Bronshjon</t>
        </is>
      </c>
      <c r="W714">
        <f>HYPERLINK("https://klasma.github.io/Logging_2029/artfynd/A 51505-2022 artfynd.xlsx", "A 51505-2022")</f>
        <v/>
      </c>
      <c r="X714">
        <f>HYPERLINK("https://klasma.github.io/Logging_2029/kartor/A 51505-2022 karta.png", "A 51505-2022")</f>
        <v/>
      </c>
      <c r="Y714">
        <f>HYPERLINK("https://klasma.github.io/Logging_2029/kartor_geotiff/A 51505-2022 georefererad karta.tif", "A 51505-2022")</f>
        <v/>
      </c>
      <c r="AA714">
        <f>HYPERLINK("https://klasma.github.io/Logging_2029/klagomål/A 51505-2022 FSC-klagomål.docx", "A 51505-2022")</f>
        <v/>
      </c>
      <c r="AB714">
        <f>HYPERLINK("https://klasma.github.io/Logging_2029/klagomålsmail/A 51505-2022 FSC-klagomål mail.docx", "A 51505-2022")</f>
        <v/>
      </c>
      <c r="AC714">
        <f>HYPERLINK("https://klasma.github.io/Logging_2029/tillsyn/A 51505-2022 tillsynsbegäran.docx", "A 51505-2022")</f>
        <v/>
      </c>
      <c r="AD714">
        <f>HYPERLINK("https://klasma.github.io/Logging_2029/tillsynsmail/A 51505-2022 tillsynsbegäran mail.docx", "A 51505-2022")</f>
        <v/>
      </c>
    </row>
    <row r="715" ht="15" customHeight="1">
      <c r="A715" t="inlineStr">
        <is>
          <t>A 36966-2022</t>
        </is>
      </c>
      <c r="B715" t="inlineStr">
        <is>
          <t>avverkningsanmälan</t>
        </is>
      </c>
      <c r="C715" t="inlineStr">
        <is>
          <t>Föryngringsavverkning</t>
        </is>
      </c>
      <c r="D715" s="1" t="n">
        <v>44806</v>
      </c>
      <c r="E715" s="1" t="n">
        <v>46319</v>
      </c>
      <c r="F715" t="inlineStr">
        <is>
          <t>DALARNAS LÄN</t>
        </is>
      </c>
      <c r="G715" t="inlineStr">
        <is>
          <t>FALUN</t>
        </is>
      </c>
      <c r="I715" t="n">
        <v>4.2</v>
      </c>
      <c r="J715" t="n">
        <v>1</v>
      </c>
      <c r="K715" t="n">
        <v>0</v>
      </c>
      <c r="L715" t="n">
        <v>2</v>
      </c>
      <c r="M715" t="n">
        <v>1</v>
      </c>
      <c r="N715" t="n">
        <v>0</v>
      </c>
      <c r="O715" t="n">
        <v>0</v>
      </c>
      <c r="P715" t="n">
        <v>0</v>
      </c>
      <c r="Q715" t="n">
        <v>3</v>
      </c>
      <c r="R715" t="n">
        <v>1</v>
      </c>
      <c r="S715" t="n">
        <v>3</v>
      </c>
      <c r="T715" t="n">
        <v>3</v>
      </c>
      <c r="U715" t="n">
        <v>3</v>
      </c>
      <c r="V715" s="2" t="inlineStr">
        <is>
          <t>Knärot
Dropptaggsvamp
Rynkskinn</t>
        </is>
      </c>
      <c r="W715">
        <f>HYPERLINK("https://klasma.github.io/Logging_2080/artfynd/A 36966-2022 artfynd.xlsx", "A 36966-2022")</f>
        <v/>
      </c>
      <c r="X715">
        <f>HYPERLINK("https://klasma.github.io/Logging_2080/kartor/A 36966-2022 karta.png", "A 36966-2022")</f>
        <v/>
      </c>
      <c r="Y715">
        <f>HYPERLINK("https://klasma.github.io/Logging_2080/kartor_geotiff/A 36966-2022 georefererad karta.tif", "A 36966-2022")</f>
        <v/>
      </c>
      <c r="Z715">
        <f>HYPERLINK("https://klasma.github.io/Logging_2080/knärot/A 36966-2022 karta knärot.png", "A 36966-2022")</f>
        <v/>
      </c>
      <c r="AA715">
        <f>HYPERLINK("https://klasma.github.io/Logging_2080/klagomål/A 36966-2022 FSC-klagomål.docx", "A 36966-2022")</f>
        <v/>
      </c>
      <c r="AB715">
        <f>HYPERLINK("https://klasma.github.io/Logging_2080/klagomålsmail/A 36966-2022 FSC-klagomål mail.docx", "A 36966-2022")</f>
        <v/>
      </c>
      <c r="AC715">
        <f>HYPERLINK("https://klasma.github.io/Logging_2080/tillsyn/A 36966-2022 tillsynsbegäran.docx", "A 36966-2022")</f>
        <v/>
      </c>
      <c r="AD715">
        <f>HYPERLINK("https://klasma.github.io/Logging_2080/tillsynsmail/A 36966-2022 tillsynsbegäran mail.docx", "A 36966-2022")</f>
        <v/>
      </c>
    </row>
    <row r="716" ht="15" customHeight="1">
      <c r="A716" t="inlineStr">
        <is>
          <t>A 41553-2025</t>
        </is>
      </c>
      <c r="B716" t="inlineStr">
        <is>
          <t>avverkningsanmälan</t>
        </is>
      </c>
      <c r="C716" t="inlineStr">
        <is>
          <t>Föryngringsavverkning</t>
        </is>
      </c>
      <c r="D716" s="1" t="n">
        <v>45901</v>
      </c>
      <c r="E716" s="1" t="n">
        <v>46319</v>
      </c>
      <c r="F716" t="inlineStr">
        <is>
          <t>DALARNAS LÄN</t>
        </is>
      </c>
      <c r="G716" t="inlineStr">
        <is>
          <t>ORSA</t>
        </is>
      </c>
      <c r="H716" t="inlineStr">
        <is>
          <t>Bergvik skog väst AB</t>
        </is>
      </c>
      <c r="I716" t="n">
        <v>2.2</v>
      </c>
      <c r="J716" t="n">
        <v>0</v>
      </c>
      <c r="K716" t="n">
        <v>1</v>
      </c>
      <c r="L716" t="n">
        <v>1</v>
      </c>
      <c r="M716" t="n">
        <v>1</v>
      </c>
      <c r="N716" t="n">
        <v>0</v>
      </c>
      <c r="O716" t="n">
        <v>0</v>
      </c>
      <c r="P716" t="n">
        <v>0</v>
      </c>
      <c r="Q716" t="n">
        <v>2</v>
      </c>
      <c r="R716" t="n">
        <v>1</v>
      </c>
      <c r="S716" t="n">
        <v>3</v>
      </c>
      <c r="T716" t="n">
        <v>5</v>
      </c>
      <c r="U716" t="n">
        <v>1</v>
      </c>
      <c r="V716" s="2" t="inlineStr">
        <is>
          <t>Honungsticka
Rosenticka
Rävticka</t>
        </is>
      </c>
      <c r="W716">
        <f>HYPERLINK("https://klasma.github.io/Logging_2034/artfynd/A 41553-2025 artfynd.xlsx", "A 41553-2025")</f>
        <v/>
      </c>
      <c r="X716">
        <f>HYPERLINK("https://klasma.github.io/Logging_2034/kartor/A 41553-2025 karta.png", "A 41553-2025")</f>
        <v/>
      </c>
      <c r="Y716">
        <f>HYPERLINK("https://klasma.github.io/Logging_2034/kartor_geotiff/A 41553-2025 georefererad karta.tif", "A 41553-2025")</f>
        <v/>
      </c>
      <c r="AA716">
        <f>HYPERLINK("https://klasma.github.io/Logging_2034/klagomål/A 41553-2025 FSC-klagomål.docx", "A 41553-2025")</f>
        <v/>
      </c>
      <c r="AB716">
        <f>HYPERLINK("https://klasma.github.io/Logging_2034/klagomålsmail/A 41553-2025 FSC-klagomål mail.docx", "A 41553-2025")</f>
        <v/>
      </c>
      <c r="AC716">
        <f>HYPERLINK("https://klasma.github.io/Logging_2034/tillsyn/A 41553-2025 tillsynsbegäran.docx", "A 41553-2025")</f>
        <v/>
      </c>
      <c r="AD716">
        <f>HYPERLINK("https://klasma.github.io/Logging_2034/tillsynsmail/A 41553-2025 tillsynsbegäran mail.docx", "A 41553-2025")</f>
        <v/>
      </c>
    </row>
    <row r="717" ht="15" customHeight="1">
      <c r="A717" t="inlineStr">
        <is>
          <t>A 41456-2025</t>
        </is>
      </c>
      <c r="B717" t="inlineStr">
        <is>
          <t>avverkningsanmälan</t>
        </is>
      </c>
      <c r="C717" t="inlineStr">
        <is>
          <t>Föryngringsavverkning</t>
        </is>
      </c>
      <c r="D717" s="1" t="n">
        <v>45901</v>
      </c>
      <c r="E717" s="1" t="n">
        <v>46319</v>
      </c>
      <c r="F717" t="inlineStr">
        <is>
          <t>DALARNAS LÄN</t>
        </is>
      </c>
      <c r="G717" t="inlineStr">
        <is>
          <t>LUDVIKA</t>
        </is>
      </c>
      <c r="I717" t="n">
        <v>1.9</v>
      </c>
      <c r="J717" t="n">
        <v>1</v>
      </c>
      <c r="K717" t="n">
        <v>0</v>
      </c>
      <c r="L717" t="n">
        <v>1</v>
      </c>
      <c r="M717" t="n">
        <v>1</v>
      </c>
      <c r="N717" t="n">
        <v>0</v>
      </c>
      <c r="O717" t="n">
        <v>0</v>
      </c>
      <c r="P717" t="n">
        <v>0</v>
      </c>
      <c r="Q717" t="n">
        <v>2</v>
      </c>
      <c r="R717" t="n">
        <v>1</v>
      </c>
      <c r="S717" t="n">
        <v>3</v>
      </c>
      <c r="T717" t="n">
        <v>4</v>
      </c>
      <c r="U717" t="n">
        <v>3</v>
      </c>
      <c r="V717" s="2" t="inlineStr">
        <is>
          <t>Aspgelélav
Lunglav
Järpe</t>
        </is>
      </c>
      <c r="W717">
        <f>HYPERLINK("https://klasma.github.io/Logging_2085/artfynd/A 41456-2025 artfynd.xlsx", "A 41456-2025")</f>
        <v/>
      </c>
      <c r="X717">
        <f>HYPERLINK("https://klasma.github.io/Logging_2085/kartor/A 41456-2025 karta.png", "A 41456-2025")</f>
        <v/>
      </c>
      <c r="Y717">
        <f>HYPERLINK("https://klasma.github.io/Logging_2085/kartor_geotiff/A 41456-2025 georefererad karta.tif", "A 41456-2025")</f>
        <v/>
      </c>
      <c r="AA717">
        <f>HYPERLINK("https://klasma.github.io/Logging_2085/klagomål/A 41456-2025 FSC-klagomål.docx", "A 41456-2025")</f>
        <v/>
      </c>
      <c r="AB717">
        <f>HYPERLINK("https://klasma.github.io/Logging_2085/klagomålsmail/A 41456-2025 FSC-klagomål mail.docx", "A 41456-2025")</f>
        <v/>
      </c>
      <c r="AC717">
        <f>HYPERLINK("https://klasma.github.io/Logging_2085/tillsyn/A 41456-2025 tillsynsbegäran.docx", "A 41456-2025")</f>
        <v/>
      </c>
      <c r="AD717">
        <f>HYPERLINK("https://klasma.github.io/Logging_2085/tillsynsmail/A 41456-2025 tillsynsbegäran mail.docx", "A 41456-2025")</f>
        <v/>
      </c>
      <c r="AE717">
        <f>HYPERLINK("https://klasma.github.io/Logging_2085/fåglar/A 41456-2025 prioriterade fågelarter.docx", "A 41456-2025")</f>
        <v/>
      </c>
    </row>
    <row r="718" ht="15" customHeight="1">
      <c r="A718" t="inlineStr">
        <is>
          <t>A 41528-2025</t>
        </is>
      </c>
      <c r="B718" t="inlineStr">
        <is>
          <t>avverkningsanmälan</t>
        </is>
      </c>
      <c r="C718" t="inlineStr">
        <is>
          <t>Föryngringsavverkning</t>
        </is>
      </c>
      <c r="D718" s="1" t="n">
        <v>45901</v>
      </c>
      <c r="E718" s="1" t="n">
        <v>46319</v>
      </c>
      <c r="F718" t="inlineStr">
        <is>
          <t>DALARNAS LÄN</t>
        </is>
      </c>
      <c r="G718" t="inlineStr">
        <is>
          <t>LEKSAND</t>
        </is>
      </c>
      <c r="H718" t="inlineStr">
        <is>
          <t>Bergvik skog väst AB</t>
        </is>
      </c>
      <c r="I718" t="n">
        <v>2.7</v>
      </c>
      <c r="J718" t="n">
        <v>1</v>
      </c>
      <c r="K718" t="n">
        <v>1</v>
      </c>
      <c r="L718" t="n">
        <v>1</v>
      </c>
      <c r="M718" t="n">
        <v>1</v>
      </c>
      <c r="N718" t="n">
        <v>0</v>
      </c>
      <c r="O718" t="n">
        <v>0</v>
      </c>
      <c r="P718" t="n">
        <v>0</v>
      </c>
      <c r="Q718" t="n">
        <v>2</v>
      </c>
      <c r="R718" t="n">
        <v>1</v>
      </c>
      <c r="S718" t="n">
        <v>3</v>
      </c>
      <c r="T718" t="n">
        <v>31</v>
      </c>
      <c r="U718" t="n">
        <v>31</v>
      </c>
      <c r="V718" s="2" t="inlineStr">
        <is>
          <t>Garnlav
Tretåig hackspett
Mindre märgborre</t>
        </is>
      </c>
      <c r="W718">
        <f>HYPERLINK("https://klasma.github.io/Logging_2029/artfynd/A 41528-2025 artfynd.xlsx", "A 41528-2025")</f>
        <v/>
      </c>
      <c r="X718">
        <f>HYPERLINK("https://klasma.github.io/Logging_2029/kartor/A 41528-2025 karta.png", "A 41528-2025")</f>
        <v/>
      </c>
      <c r="Y718">
        <f>HYPERLINK("https://klasma.github.io/Logging_2029/kartor_geotiff/A 41528-2025 georefererad karta.tif", "A 41528-2025")</f>
        <v/>
      </c>
      <c r="AA718">
        <f>HYPERLINK("https://klasma.github.io/Logging_2029/klagomål/A 41528-2025 FSC-klagomål.docx", "A 41528-2025")</f>
        <v/>
      </c>
      <c r="AB718">
        <f>HYPERLINK("https://klasma.github.io/Logging_2029/klagomålsmail/A 41528-2025 FSC-klagomål mail.docx", "A 41528-2025")</f>
        <v/>
      </c>
      <c r="AC718">
        <f>HYPERLINK("https://klasma.github.io/Logging_2029/tillsyn/A 41528-2025 tillsynsbegäran.docx", "A 41528-2025")</f>
        <v/>
      </c>
      <c r="AD718">
        <f>HYPERLINK("https://klasma.github.io/Logging_2029/tillsynsmail/A 41528-2025 tillsynsbegäran mail.docx", "A 41528-2025")</f>
        <v/>
      </c>
      <c r="AE718">
        <f>HYPERLINK("https://klasma.github.io/Logging_2029/fåglar/A 41528-2025 prioriterade fågelarter.docx", "A 41528-2025")</f>
        <v/>
      </c>
    </row>
    <row r="719" ht="15" customHeight="1">
      <c r="A719" t="inlineStr">
        <is>
          <t>A 42099-2025</t>
        </is>
      </c>
      <c r="B719" t="inlineStr">
        <is>
          <t>avverkningsanmälan</t>
        </is>
      </c>
      <c r="C719" t="inlineStr">
        <is>
          <t>Föryngringsavverkning</t>
        </is>
      </c>
      <c r="D719" s="1" t="n">
        <v>45903</v>
      </c>
      <c r="E719" s="1" t="n">
        <v>46319</v>
      </c>
      <c r="F719" t="inlineStr">
        <is>
          <t>DALARNAS LÄN</t>
        </is>
      </c>
      <c r="G719" t="inlineStr">
        <is>
          <t>MALUNG-SÄLEN</t>
        </is>
      </c>
      <c r="I719" t="n">
        <v>3.7</v>
      </c>
      <c r="J719" t="n">
        <v>0</v>
      </c>
      <c r="K719" t="n">
        <v>0</v>
      </c>
      <c r="L719" t="n">
        <v>2</v>
      </c>
      <c r="M719" t="n">
        <v>1</v>
      </c>
      <c r="N719" t="n">
        <v>0</v>
      </c>
      <c r="O719" t="n">
        <v>0</v>
      </c>
      <c r="P719" t="n">
        <v>0</v>
      </c>
      <c r="Q719" t="n">
        <v>3</v>
      </c>
      <c r="R719" t="n">
        <v>1</v>
      </c>
      <c r="S719" t="n">
        <v>3</v>
      </c>
      <c r="T719" t="n">
        <v>4</v>
      </c>
      <c r="U719" t="n">
        <v>2</v>
      </c>
      <c r="V719" s="2" t="inlineStr">
        <is>
          <t>Garnlav
Kolflarnlav
Mörk kolflarnlav</t>
        </is>
      </c>
      <c r="W719">
        <f>HYPERLINK("https://klasma.github.io/Logging_2023/artfynd/A 42099-2025 artfynd.xlsx", "A 42099-2025")</f>
        <v/>
      </c>
      <c r="X719">
        <f>HYPERLINK("https://klasma.github.io/Logging_2023/kartor/A 42099-2025 karta.png", "A 42099-2025")</f>
        <v/>
      </c>
      <c r="Y719">
        <f>HYPERLINK("https://klasma.github.io/Logging_2023/kartor_geotiff/A 42099-2025 georefererad karta.tif", "A 42099-2025")</f>
        <v/>
      </c>
      <c r="AA719">
        <f>HYPERLINK("https://klasma.github.io/Logging_2023/klagomål/A 42099-2025 FSC-klagomål.docx", "A 42099-2025")</f>
        <v/>
      </c>
      <c r="AB719">
        <f>HYPERLINK("https://klasma.github.io/Logging_2023/klagomålsmail/A 42099-2025 FSC-klagomål mail.docx", "A 42099-2025")</f>
        <v/>
      </c>
      <c r="AC719">
        <f>HYPERLINK("https://klasma.github.io/Logging_2023/tillsyn/A 42099-2025 tillsynsbegäran.docx", "A 42099-2025")</f>
        <v/>
      </c>
      <c r="AD719">
        <f>HYPERLINK("https://klasma.github.io/Logging_2023/tillsynsmail/A 42099-2025 tillsynsbegäran mail.docx", "A 42099-2025")</f>
        <v/>
      </c>
    </row>
    <row r="720" ht="15" customHeight="1">
      <c r="A720" t="inlineStr">
        <is>
          <t>A 48343-2022</t>
        </is>
      </c>
      <c r="B720" t="inlineStr">
        <is>
          <t>avverkningsanmälan</t>
        </is>
      </c>
      <c r="C720" t="inlineStr">
        <is>
          <t>Avverkning för annat ändamål</t>
        </is>
      </c>
      <c r="D720" s="1" t="n">
        <v>44858</v>
      </c>
      <c r="E720" s="1" t="n">
        <v>46319</v>
      </c>
      <c r="F720" t="inlineStr">
        <is>
          <t>DALARNAS LÄN</t>
        </is>
      </c>
      <c r="G720" t="inlineStr">
        <is>
          <t>ORSA</t>
        </is>
      </c>
      <c r="I720" t="n">
        <v>1.6</v>
      </c>
      <c r="J720" t="n">
        <v>2</v>
      </c>
      <c r="K720" t="n">
        <v>0</v>
      </c>
      <c r="L720" t="n">
        <v>1</v>
      </c>
      <c r="M720" t="n">
        <v>1</v>
      </c>
      <c r="N720" t="n">
        <v>0</v>
      </c>
      <c r="O720" t="n">
        <v>0</v>
      </c>
      <c r="P720" t="n">
        <v>0</v>
      </c>
      <c r="Q720" t="n">
        <v>2</v>
      </c>
      <c r="R720" t="n">
        <v>1</v>
      </c>
      <c r="S720" t="n">
        <v>3</v>
      </c>
      <c r="T720" t="n">
        <v>7</v>
      </c>
      <c r="U720" t="n">
        <v>6</v>
      </c>
      <c r="V720" s="2" t="inlineStr">
        <is>
          <t>Igelkott
Nordfladdermus
Vattenfladdermus</t>
        </is>
      </c>
      <c r="W720">
        <f>HYPERLINK("https://klasma.github.io/Logging_2034/artfynd/A 48343-2022 artfynd.xlsx", "A 48343-2022")</f>
        <v/>
      </c>
      <c r="X720">
        <f>HYPERLINK("https://klasma.github.io/Logging_2034/kartor/A 48343-2022 karta.png", "A 48343-2022")</f>
        <v/>
      </c>
      <c r="Y720">
        <f>HYPERLINK("https://klasma.github.io/Logging_2034/kartor_geotiff/A 48343-2022 georefererad karta.tif", "A 48343-2022")</f>
        <v/>
      </c>
      <c r="AA720">
        <f>HYPERLINK("https://klasma.github.io/Logging_2034/klagomål/A 48343-2022 FSC-klagomål.docx", "A 48343-2022")</f>
        <v/>
      </c>
      <c r="AB720">
        <f>HYPERLINK("https://klasma.github.io/Logging_2034/klagomålsmail/A 48343-2022 FSC-klagomål mail.docx", "A 48343-2022")</f>
        <v/>
      </c>
      <c r="AC720">
        <f>HYPERLINK("https://klasma.github.io/Logging_2034/tillsyn/A 48343-2022 tillsynsbegäran.docx", "A 48343-2022")</f>
        <v/>
      </c>
      <c r="AD720">
        <f>HYPERLINK("https://klasma.github.io/Logging_2034/tillsynsmail/A 48343-2022 tillsynsbegäran mail.docx", "A 48343-2022")</f>
        <v/>
      </c>
    </row>
    <row r="721" ht="15" customHeight="1">
      <c r="A721" t="inlineStr">
        <is>
          <t>A 44380-2025</t>
        </is>
      </c>
      <c r="B721" t="inlineStr">
        <is>
          <t>avverkningsanmälan</t>
        </is>
      </c>
      <c r="C721" t="inlineStr">
        <is>
          <t>Föryngringsavverkning</t>
        </is>
      </c>
      <c r="D721" s="1" t="n">
        <v>45916</v>
      </c>
      <c r="E721" s="1" t="n">
        <v>46319</v>
      </c>
      <c r="F721" t="inlineStr">
        <is>
          <t>DALARNAS LÄN</t>
        </is>
      </c>
      <c r="G721" t="inlineStr">
        <is>
          <t>GAGNEF</t>
        </is>
      </c>
      <c r="I721" t="n">
        <v>0.8</v>
      </c>
      <c r="J721" t="n">
        <v>0</v>
      </c>
      <c r="K721" t="n">
        <v>1</v>
      </c>
      <c r="L721" t="n">
        <v>2</v>
      </c>
      <c r="M721" t="n">
        <v>0</v>
      </c>
      <c r="N721" t="n">
        <v>0</v>
      </c>
      <c r="O721" t="n">
        <v>0</v>
      </c>
      <c r="P721" t="n">
        <v>0</v>
      </c>
      <c r="Q721" t="n">
        <v>2</v>
      </c>
      <c r="R721" t="n">
        <v>0</v>
      </c>
      <c r="S721" t="n">
        <v>3</v>
      </c>
      <c r="T721" t="n">
        <v>3</v>
      </c>
      <c r="U721" t="n">
        <v>0</v>
      </c>
      <c r="V721" s="2" t="inlineStr">
        <is>
          <t>Lunglav
Skorpgelélav
Bårdlav</t>
        </is>
      </c>
      <c r="W721">
        <f>HYPERLINK("https://klasma.github.io/Logging_2026/artfynd/A 44380-2025 artfynd.xlsx", "A 44380-2025")</f>
        <v/>
      </c>
      <c r="X721">
        <f>HYPERLINK("https://klasma.github.io/Logging_2026/kartor/A 44380-2025 karta.png", "A 44380-2025")</f>
        <v/>
      </c>
      <c r="Y721">
        <f>HYPERLINK("https://klasma.github.io/Logging_2026/kartor_geotiff/A 44380-2025 georefererad karta.tif", "A 44380-2025")</f>
        <v/>
      </c>
      <c r="AA721">
        <f>HYPERLINK("https://klasma.github.io/Logging_2026/klagomål/A 44380-2025 FSC-klagomål.docx", "A 44380-2025")</f>
        <v/>
      </c>
      <c r="AB721">
        <f>HYPERLINK("https://klasma.github.io/Logging_2026/klagomålsmail/A 44380-2025 FSC-klagomål mail.docx", "A 44380-2025")</f>
        <v/>
      </c>
      <c r="AC721">
        <f>HYPERLINK("https://klasma.github.io/Logging_2026/tillsyn/A 44380-2025 tillsynsbegäran.docx", "A 44380-2025")</f>
        <v/>
      </c>
      <c r="AD721">
        <f>HYPERLINK("https://klasma.github.io/Logging_2026/tillsynsmail/A 44380-2025 tillsynsbegäran mail.docx", "A 44380-2025")</f>
        <v/>
      </c>
    </row>
    <row r="722" ht="15" customHeight="1">
      <c r="A722" t="inlineStr">
        <is>
          <t>A 59674-2021</t>
        </is>
      </c>
      <c r="B722" t="inlineStr">
        <is>
          <t>avverkningsanmälan</t>
        </is>
      </c>
      <c r="C722" t="inlineStr">
        <is>
          <t>Avverkning för annat ändamål</t>
        </is>
      </c>
      <c r="D722" s="1" t="n">
        <v>44494</v>
      </c>
      <c r="E722" s="1" t="n">
        <v>46319</v>
      </c>
      <c r="F722" t="inlineStr">
        <is>
          <t>DALARNAS LÄN</t>
        </is>
      </c>
      <c r="G722" t="inlineStr">
        <is>
          <t>BORLÄNGE</t>
        </is>
      </c>
      <c r="I722" t="n">
        <v>1</v>
      </c>
      <c r="J722" t="n">
        <v>1</v>
      </c>
      <c r="K722" t="n">
        <v>0</v>
      </c>
      <c r="L722" t="n">
        <v>2</v>
      </c>
      <c r="M722" t="n">
        <v>1</v>
      </c>
      <c r="N722" t="n">
        <v>0</v>
      </c>
      <c r="O722" t="n">
        <v>0</v>
      </c>
      <c r="P722" t="n">
        <v>0</v>
      </c>
      <c r="Q722" t="n">
        <v>3</v>
      </c>
      <c r="R722" t="n">
        <v>1</v>
      </c>
      <c r="S722" t="n">
        <v>3</v>
      </c>
      <c r="T722" t="n">
        <v>3</v>
      </c>
      <c r="U722" t="n">
        <v>3</v>
      </c>
      <c r="V722" s="2" t="inlineStr">
        <is>
          <t>Knärot
Fjällig taggsvamp s.str.
Ullticka</t>
        </is>
      </c>
      <c r="W722">
        <f>HYPERLINK("https://klasma.github.io/Logging_2081/artfynd/A 59674-2021 artfynd.xlsx", "A 59674-2021")</f>
        <v/>
      </c>
      <c r="X722">
        <f>HYPERLINK("https://klasma.github.io/Logging_2081/kartor/A 59674-2021 karta.png", "A 59674-2021")</f>
        <v/>
      </c>
      <c r="Y722">
        <f>HYPERLINK("https://klasma.github.io/Logging_2081/kartor_geotiff/A 59674-2021 georefererad karta.tif", "A 59674-2021")</f>
        <v/>
      </c>
      <c r="Z722">
        <f>HYPERLINK("https://klasma.github.io/Logging_2081/knärot/A 59674-2021 karta knärot.png", "A 59674-2021")</f>
        <v/>
      </c>
      <c r="AA722">
        <f>HYPERLINK("https://klasma.github.io/Logging_2081/klagomål/A 59674-2021 FSC-klagomål.docx", "A 59674-2021")</f>
        <v/>
      </c>
      <c r="AB722">
        <f>HYPERLINK("https://klasma.github.io/Logging_2081/klagomålsmail/A 59674-2021 FSC-klagomål mail.docx", "A 59674-2021")</f>
        <v/>
      </c>
      <c r="AC722">
        <f>HYPERLINK("https://klasma.github.io/Logging_2081/tillsyn/A 59674-2021 tillsynsbegäran.docx", "A 59674-2021")</f>
        <v/>
      </c>
      <c r="AD722">
        <f>HYPERLINK("https://klasma.github.io/Logging_2081/tillsynsmail/A 59674-2021 tillsynsbegäran mail.docx", "A 59674-2021")</f>
        <v/>
      </c>
    </row>
    <row r="723" ht="15" customHeight="1">
      <c r="A723" t="inlineStr">
        <is>
          <t>A 23986-2026</t>
        </is>
      </c>
      <c r="B723" t="inlineStr">
        <is>
          <t>avverkningsanmälan</t>
        </is>
      </c>
      <c r="C723" t="inlineStr">
        <is>
          <t>Föryngringsavverkning</t>
        </is>
      </c>
      <c r="D723" s="1" t="n">
        <v>46167</v>
      </c>
      <c r="E723" s="1" t="n">
        <v>46319</v>
      </c>
      <c r="F723" t="inlineStr">
        <is>
          <t>DALARNAS LÄN</t>
        </is>
      </c>
      <c r="G723" t="inlineStr">
        <is>
          <t>RÄTTVIK</t>
        </is>
      </c>
      <c r="H723" t="inlineStr">
        <is>
          <t>Bergvik skog väst AB</t>
        </is>
      </c>
      <c r="I723" t="n">
        <v>12.1</v>
      </c>
      <c r="J723" t="n">
        <v>0</v>
      </c>
      <c r="K723" t="n">
        <v>0</v>
      </c>
      <c r="L723" t="n">
        <v>1</v>
      </c>
      <c r="M723" t="n">
        <v>1</v>
      </c>
      <c r="N723" t="n">
        <v>0</v>
      </c>
      <c r="O723" t="n">
        <v>0</v>
      </c>
      <c r="P723" t="n">
        <v>0</v>
      </c>
      <c r="Q723" t="n">
        <v>2</v>
      </c>
      <c r="R723" t="n">
        <v>1</v>
      </c>
      <c r="S723" t="n">
        <v>3</v>
      </c>
      <c r="T723" t="n">
        <v>3</v>
      </c>
      <c r="U723" t="n">
        <v>3</v>
      </c>
      <c r="V723" s="2" t="inlineStr">
        <is>
          <t>Garnlav
Ullticka
Ormbär</t>
        </is>
      </c>
      <c r="W723">
        <f>HYPERLINK("https://klasma.github.io/Logging_2031/artfynd/A 23986-2026 artfynd.xlsx", "A 23986-2026")</f>
        <v/>
      </c>
      <c r="X723">
        <f>HYPERLINK("https://klasma.github.io/Logging_2031/kartor/A 23986-2026 karta.png", "A 23986-2026")</f>
        <v/>
      </c>
      <c r="Y723">
        <f>HYPERLINK("https://klasma.github.io/Logging_2031/kartor_geotiff/A 23986-2026 georefererad karta.tif", "A 23986-2026")</f>
        <v/>
      </c>
      <c r="AA723">
        <f>HYPERLINK("https://klasma.github.io/Logging_2031/klagomål/A 23986-2026 FSC-klagomål.docx", "A 23986-2026")</f>
        <v/>
      </c>
      <c r="AB723">
        <f>HYPERLINK("https://klasma.github.io/Logging_2031/klagomålsmail/A 23986-2026 FSC-klagomål mail.docx", "A 23986-2026")</f>
        <v/>
      </c>
      <c r="AC723">
        <f>HYPERLINK("https://klasma.github.io/Logging_2031/tillsyn/A 23986-2026 tillsynsbegäran.docx", "A 23986-2026")</f>
        <v/>
      </c>
      <c r="AD723">
        <f>HYPERLINK("https://klasma.github.io/Logging_2031/tillsynsmail/A 23986-2026 tillsynsbegäran mail.docx", "A 23986-2026")</f>
        <v/>
      </c>
    </row>
    <row r="724" ht="15" customHeight="1">
      <c r="A724" t="inlineStr">
        <is>
          <t>A 48382-2025</t>
        </is>
      </c>
      <c r="B724" t="inlineStr">
        <is>
          <t>avverkningsanmälan</t>
        </is>
      </c>
      <c r="C724" t="inlineStr">
        <is>
          <t>Föryngringsavverkning</t>
        </is>
      </c>
      <c r="D724" s="1" t="n">
        <v>45933</v>
      </c>
      <c r="E724" s="1" t="n">
        <v>46319</v>
      </c>
      <c r="F724" t="inlineStr">
        <is>
          <t>DALARNAS LÄN</t>
        </is>
      </c>
      <c r="G724" t="inlineStr">
        <is>
          <t>HEDEMORA</t>
        </is>
      </c>
      <c r="H724" t="inlineStr">
        <is>
          <t>Sveaskog</t>
        </is>
      </c>
      <c r="I724" t="n">
        <v>1.9</v>
      </c>
      <c r="J724" t="n">
        <v>2</v>
      </c>
      <c r="K724" t="n">
        <v>1</v>
      </c>
      <c r="L724" t="n">
        <v>0</v>
      </c>
      <c r="M724" t="n">
        <v>1</v>
      </c>
      <c r="N724" t="n">
        <v>0</v>
      </c>
      <c r="O724" t="n">
        <v>0</v>
      </c>
      <c r="P724" t="n">
        <v>0</v>
      </c>
      <c r="Q724" t="n">
        <v>1</v>
      </c>
      <c r="R724" t="n">
        <v>1</v>
      </c>
      <c r="S724" t="n">
        <v>3</v>
      </c>
      <c r="T724" t="n">
        <v>3</v>
      </c>
      <c r="U724" t="n">
        <v>0</v>
      </c>
      <c r="V724" s="2" t="inlineStr">
        <is>
          <t>Knärot
Bronshjon
Svartvit flugsnappare</t>
        </is>
      </c>
      <c r="W724">
        <f>HYPERLINK("https://klasma.github.io/Logging_2083/artfynd/A 48382-2025 artfynd.xlsx", "A 48382-2025")</f>
        <v/>
      </c>
      <c r="X724">
        <f>HYPERLINK("https://klasma.github.io/Logging_2083/kartor/A 48382-2025 karta.png", "A 48382-2025")</f>
        <v/>
      </c>
      <c r="Y724">
        <f>HYPERLINK("https://klasma.github.io/Logging_2083/kartor_geotiff/A 48382-2025 georefererad karta.tif", "A 48382-2025")</f>
        <v/>
      </c>
      <c r="Z724">
        <f>HYPERLINK("https://klasma.github.io/Logging_2083/knärot/A 48382-2025 karta knärot.png", "A 48382-2025")</f>
        <v/>
      </c>
      <c r="AA724">
        <f>HYPERLINK("https://klasma.github.io/Logging_2083/klagomål/A 48382-2025 FSC-klagomål.docx", "A 48382-2025")</f>
        <v/>
      </c>
      <c r="AB724">
        <f>HYPERLINK("https://klasma.github.io/Logging_2083/klagomålsmail/A 48382-2025 FSC-klagomål mail.docx", "A 48382-2025")</f>
        <v/>
      </c>
      <c r="AC724">
        <f>HYPERLINK("https://klasma.github.io/Logging_2083/tillsyn/A 48382-2025 tillsynsbegäran.docx", "A 48382-2025")</f>
        <v/>
      </c>
      <c r="AD724">
        <f>HYPERLINK("https://klasma.github.io/Logging_2083/tillsynsmail/A 48382-2025 tillsynsbegäran mail.docx", "A 48382-2025")</f>
        <v/>
      </c>
    </row>
    <row r="725" ht="15" customHeight="1">
      <c r="A725" t="inlineStr">
        <is>
          <t>A 12314-2023</t>
        </is>
      </c>
      <c r="B725" t="inlineStr">
        <is>
          <t>avverkningsanmälan</t>
        </is>
      </c>
      <c r="C725" t="inlineStr">
        <is>
          <t>Föryngringsavverkning</t>
        </is>
      </c>
      <c r="D725" s="1" t="n">
        <v>44996</v>
      </c>
      <c r="E725" s="1" t="n">
        <v>46319</v>
      </c>
      <c r="F725" t="inlineStr">
        <is>
          <t>DALARNAS LÄN</t>
        </is>
      </c>
      <c r="G725" t="inlineStr">
        <is>
          <t>BORLÄNGE</t>
        </is>
      </c>
      <c r="I725" t="n">
        <v>22.7</v>
      </c>
      <c r="J725" t="n">
        <v>0</v>
      </c>
      <c r="K725" t="n">
        <v>0</v>
      </c>
      <c r="L725" t="n">
        <v>2</v>
      </c>
      <c r="M725" t="n">
        <v>1</v>
      </c>
      <c r="N725" t="n">
        <v>0</v>
      </c>
      <c r="O725" t="n">
        <v>0</v>
      </c>
      <c r="P725" t="n">
        <v>0</v>
      </c>
      <c r="Q725" t="n">
        <v>3</v>
      </c>
      <c r="R725" t="n">
        <v>1</v>
      </c>
      <c r="S725" t="n">
        <v>3</v>
      </c>
      <c r="T725" t="n">
        <v>3</v>
      </c>
      <c r="U725" t="n">
        <v>0</v>
      </c>
      <c r="V725" s="2" t="inlineStr">
        <is>
          <t>Skrovlig taggsvamp
Dropptaggsvamp
Kolflarnlav</t>
        </is>
      </c>
      <c r="W725">
        <f>HYPERLINK("https://klasma.github.io/Logging_2081/artfynd/A 12314-2023 artfynd.xlsx", "A 12314-2023")</f>
        <v/>
      </c>
      <c r="X725">
        <f>HYPERLINK("https://klasma.github.io/Logging_2081/kartor/A 12314-2023 karta.png", "A 12314-2023")</f>
        <v/>
      </c>
      <c r="Y725">
        <f>HYPERLINK("https://klasma.github.io/Logging_2081/kartor_geotiff/A 12314-2023 georefererad karta.tif", "A 12314-2023")</f>
        <v/>
      </c>
      <c r="Z725">
        <f>HYPERLINK("https://klasma.github.io/Logging_2081/knärot/A 12314-2023 karta knärot.png", "A 12314-2023")</f>
        <v/>
      </c>
      <c r="AA725">
        <f>HYPERLINK("https://klasma.github.io/Logging_2081/klagomål/A 12314-2023 FSC-klagomål.docx", "A 12314-2023")</f>
        <v/>
      </c>
      <c r="AB725">
        <f>HYPERLINK("https://klasma.github.io/Logging_2081/klagomålsmail/A 12314-2023 FSC-klagomål mail.docx", "A 12314-2023")</f>
        <v/>
      </c>
      <c r="AC725">
        <f>HYPERLINK("https://klasma.github.io/Logging_2081/tillsyn/A 12314-2023 tillsynsbegäran.docx", "A 12314-2023")</f>
        <v/>
      </c>
      <c r="AD725">
        <f>HYPERLINK("https://klasma.github.io/Logging_2081/tillsynsmail/A 12314-2023 tillsynsbegäran mail.docx", "A 12314-2023")</f>
        <v/>
      </c>
    </row>
    <row r="726" ht="15" customHeight="1">
      <c r="A726" t="inlineStr">
        <is>
          <t>A 50417-2025</t>
        </is>
      </c>
      <c r="B726" t="inlineStr">
        <is>
          <t>avverkningsanmälan</t>
        </is>
      </c>
      <c r="C726" t="inlineStr">
        <is>
          <t>Föryngringsavverkning</t>
        </is>
      </c>
      <c r="D726" s="1" t="n">
        <v>45944</v>
      </c>
      <c r="E726" s="1" t="n">
        <v>46319</v>
      </c>
      <c r="F726" t="inlineStr">
        <is>
          <t>DALARNAS LÄN</t>
        </is>
      </c>
      <c r="G726" t="inlineStr">
        <is>
          <t>FALUN</t>
        </is>
      </c>
      <c r="H726" t="inlineStr">
        <is>
          <t>Bergvik skog väst AB</t>
        </is>
      </c>
      <c r="I726" t="n">
        <v>2.5</v>
      </c>
      <c r="J726" t="n">
        <v>0</v>
      </c>
      <c r="K726" t="n">
        <v>1</v>
      </c>
      <c r="L726" t="n">
        <v>2</v>
      </c>
      <c r="M726" t="n">
        <v>0</v>
      </c>
      <c r="N726" t="n">
        <v>0</v>
      </c>
      <c r="O726" t="n">
        <v>0</v>
      </c>
      <c r="P726" t="n">
        <v>0</v>
      </c>
      <c r="Q726" t="n">
        <v>2</v>
      </c>
      <c r="R726" t="n">
        <v>0</v>
      </c>
      <c r="S726" t="n">
        <v>3</v>
      </c>
      <c r="T726" t="n">
        <v>3</v>
      </c>
      <c r="U726" t="n">
        <v>0</v>
      </c>
      <c r="V726" s="2" t="inlineStr">
        <is>
          <t>Kattfotslav
Ullticka
Bollvitmossa</t>
        </is>
      </c>
      <c r="W726">
        <f>HYPERLINK("https://klasma.github.io/Logging_2080/artfynd/A 50417-2025 artfynd.xlsx", "A 50417-2025")</f>
        <v/>
      </c>
      <c r="X726">
        <f>HYPERLINK("https://klasma.github.io/Logging_2080/kartor/A 50417-2025 karta.png", "A 50417-2025")</f>
        <v/>
      </c>
      <c r="Y726">
        <f>HYPERLINK("https://klasma.github.io/Logging_2080/kartor_geotiff/A 50417-2025 georefererad karta.tif", "A 50417-2025")</f>
        <v/>
      </c>
      <c r="AA726">
        <f>HYPERLINK("https://klasma.github.io/Logging_2080/klagomål/A 50417-2025 FSC-klagomål.docx", "A 50417-2025")</f>
        <v/>
      </c>
      <c r="AB726">
        <f>HYPERLINK("https://klasma.github.io/Logging_2080/klagomålsmail/A 50417-2025 FSC-klagomål mail.docx", "A 50417-2025")</f>
        <v/>
      </c>
      <c r="AC726">
        <f>HYPERLINK("https://klasma.github.io/Logging_2080/tillsyn/A 50417-2025 tillsynsbegäran.docx", "A 50417-2025")</f>
        <v/>
      </c>
      <c r="AD726">
        <f>HYPERLINK("https://klasma.github.io/Logging_2080/tillsynsmail/A 50417-2025 tillsynsbegäran mail.docx", "A 50417-2025")</f>
        <v/>
      </c>
    </row>
    <row r="727" ht="15" customHeight="1">
      <c r="A727" t="inlineStr">
        <is>
          <t>A 35141-2023</t>
        </is>
      </c>
      <c r="B727" t="inlineStr">
        <is>
          <t>avverkningsanmälan</t>
        </is>
      </c>
      <c r="C727" t="inlineStr">
        <is>
          <t>Föryngringsavverkning</t>
        </is>
      </c>
      <c r="D727" s="1" t="n">
        <v>45145</v>
      </c>
      <c r="E727" s="1" t="n">
        <v>46319</v>
      </c>
      <c r="F727" t="inlineStr">
        <is>
          <t>DALARNAS LÄN</t>
        </is>
      </c>
      <c r="G727" t="inlineStr">
        <is>
          <t>ÄLVDALEN</t>
        </is>
      </c>
      <c r="H727" t="inlineStr">
        <is>
          <t>Sveaskog</t>
        </is>
      </c>
      <c r="I727" t="n">
        <v>1.8</v>
      </c>
      <c r="J727" t="n">
        <v>1</v>
      </c>
      <c r="K727" t="n">
        <v>0</v>
      </c>
      <c r="L727" t="n">
        <v>2</v>
      </c>
      <c r="M727" t="n">
        <v>1</v>
      </c>
      <c r="N727" t="n">
        <v>0</v>
      </c>
      <c r="O727" t="n">
        <v>0</v>
      </c>
      <c r="P727" t="n">
        <v>0</v>
      </c>
      <c r="Q727" t="n">
        <v>3</v>
      </c>
      <c r="R727" t="n">
        <v>1</v>
      </c>
      <c r="S727" t="n">
        <v>3</v>
      </c>
      <c r="T727" t="n">
        <v>4</v>
      </c>
      <c r="U727" t="n">
        <v>4</v>
      </c>
      <c r="V727" s="2" t="inlineStr">
        <is>
          <t>Garnlav
Kolflarnlav
Varglav</t>
        </is>
      </c>
      <c r="W727">
        <f>HYPERLINK("https://klasma.github.io/Logging_2039/artfynd/A 35141-2023 artfynd.xlsx", "A 35141-2023")</f>
        <v/>
      </c>
      <c r="X727">
        <f>HYPERLINK("https://klasma.github.io/Logging_2039/kartor/A 35141-2023 karta.png", "A 35141-2023")</f>
        <v/>
      </c>
      <c r="Y727">
        <f>HYPERLINK("https://klasma.github.io/Logging_2039/kartor_geotiff/A 35141-2023 georefererad karta.tif", "A 35141-2023")</f>
        <v/>
      </c>
      <c r="AA727">
        <f>HYPERLINK("https://klasma.github.io/Logging_2039/klagomål/A 35141-2023 FSC-klagomål.docx", "A 35141-2023")</f>
        <v/>
      </c>
      <c r="AB727">
        <f>HYPERLINK("https://klasma.github.io/Logging_2039/klagomålsmail/A 35141-2023 FSC-klagomål mail.docx", "A 35141-2023")</f>
        <v/>
      </c>
      <c r="AC727">
        <f>HYPERLINK("https://klasma.github.io/Logging_2039/tillsyn/A 35141-2023 tillsynsbegäran.docx", "A 35141-2023")</f>
        <v/>
      </c>
      <c r="AD727">
        <f>HYPERLINK("https://klasma.github.io/Logging_2039/tillsynsmail/A 35141-2023 tillsynsbegäran mail.docx", "A 35141-2023")</f>
        <v/>
      </c>
    </row>
    <row r="728" ht="15" customHeight="1">
      <c r="A728" t="inlineStr">
        <is>
          <t>A 18839-2024</t>
        </is>
      </c>
      <c r="B728" t="inlineStr">
        <is>
          <t>avverkningsanmälan</t>
        </is>
      </c>
      <c r="C728" t="inlineStr">
        <is>
          <t>Föryngringsavverkning</t>
        </is>
      </c>
      <c r="D728" s="1" t="n">
        <v>45426</v>
      </c>
      <c r="E728" s="1" t="n">
        <v>46319</v>
      </c>
      <c r="F728" t="inlineStr">
        <is>
          <t>DALARNAS LÄN</t>
        </is>
      </c>
      <c r="G728" t="inlineStr">
        <is>
          <t>ÄLVDALEN</t>
        </is>
      </c>
      <c r="H728" t="inlineStr">
        <is>
          <t>Sveaskog</t>
        </is>
      </c>
      <c r="I728" t="n">
        <v>1.3</v>
      </c>
      <c r="J728" t="n">
        <v>0</v>
      </c>
      <c r="K728" t="n">
        <v>0</v>
      </c>
      <c r="L728" t="n">
        <v>3</v>
      </c>
      <c r="M728" t="n">
        <v>0</v>
      </c>
      <c r="N728" t="n">
        <v>0</v>
      </c>
      <c r="O728" t="n">
        <v>0</v>
      </c>
      <c r="P728" t="n">
        <v>0</v>
      </c>
      <c r="Q728" t="n">
        <v>3</v>
      </c>
      <c r="R728" t="n">
        <v>0</v>
      </c>
      <c r="S728" t="n">
        <v>3</v>
      </c>
      <c r="T728" t="n">
        <v>3</v>
      </c>
      <c r="U728" t="n">
        <v>0</v>
      </c>
      <c r="V728" s="2" t="inlineStr">
        <is>
          <t>Dropptaggsvamp
Kolflarnlav
Vedflamlav</t>
        </is>
      </c>
      <c r="W728">
        <f>HYPERLINK("https://klasma.github.io/Logging_2039/artfynd/A 18839-2024 artfynd.xlsx", "A 18839-2024")</f>
        <v/>
      </c>
      <c r="X728">
        <f>HYPERLINK("https://klasma.github.io/Logging_2039/kartor/A 18839-2024 karta.png", "A 18839-2024")</f>
        <v/>
      </c>
      <c r="Y728">
        <f>HYPERLINK("https://klasma.github.io/Logging_2039/kartor_geotiff/A 18839-2024 georefererad karta.tif", "A 18839-2024")</f>
        <v/>
      </c>
      <c r="AA728">
        <f>HYPERLINK("https://klasma.github.io/Logging_2039/klagomål/A 18839-2024 FSC-klagomål.docx", "A 18839-2024")</f>
        <v/>
      </c>
      <c r="AB728">
        <f>HYPERLINK("https://klasma.github.io/Logging_2039/klagomålsmail/A 18839-2024 FSC-klagomål mail.docx", "A 18839-2024")</f>
        <v/>
      </c>
      <c r="AC728">
        <f>HYPERLINK("https://klasma.github.io/Logging_2039/tillsyn/A 18839-2024 tillsynsbegäran.docx", "A 18839-2024")</f>
        <v/>
      </c>
      <c r="AD728">
        <f>HYPERLINK("https://klasma.github.io/Logging_2039/tillsynsmail/A 18839-2024 tillsynsbegäran mail.docx", "A 18839-2024")</f>
        <v/>
      </c>
    </row>
    <row r="729" ht="15" customHeight="1">
      <c r="A729" t="inlineStr">
        <is>
          <t>A 33079-2024</t>
        </is>
      </c>
      <c r="B729" t="inlineStr">
        <is>
          <t>avverkningsanmälan</t>
        </is>
      </c>
      <c r="C729" t="inlineStr">
        <is>
          <t>Föryngringsavverkning</t>
        </is>
      </c>
      <c r="D729" s="1" t="n">
        <v>45517</v>
      </c>
      <c r="E729" s="1" t="n">
        <v>46319</v>
      </c>
      <c r="F729" t="inlineStr">
        <is>
          <t>DALARNAS LÄN</t>
        </is>
      </c>
      <c r="G729" t="inlineStr">
        <is>
          <t>RÄTTVIK</t>
        </is>
      </c>
      <c r="H729" t="inlineStr">
        <is>
          <t>Övriga statliga verk och myndigheter</t>
        </is>
      </c>
      <c r="I729" t="n">
        <v>1.1</v>
      </c>
      <c r="J729" t="n">
        <v>0</v>
      </c>
      <c r="K729" t="n">
        <v>2</v>
      </c>
      <c r="L729" t="n">
        <v>1</v>
      </c>
      <c r="M729" t="n">
        <v>0</v>
      </c>
      <c r="N729" t="n">
        <v>0</v>
      </c>
      <c r="O729" t="n">
        <v>0</v>
      </c>
      <c r="P729" t="n">
        <v>0</v>
      </c>
      <c r="Q729" t="n">
        <v>1</v>
      </c>
      <c r="R729" t="n">
        <v>0</v>
      </c>
      <c r="S729" t="n">
        <v>3</v>
      </c>
      <c r="T729" t="n">
        <v>3</v>
      </c>
      <c r="U729" t="n">
        <v>3</v>
      </c>
      <c r="V729" s="2" t="inlineStr">
        <is>
          <t>Talltagel
Bronshjon
Mindre märgborre</t>
        </is>
      </c>
      <c r="W729">
        <f>HYPERLINK("https://klasma.github.io/Logging_2031/artfynd/A 33079-2024 artfynd.xlsx", "A 33079-2024")</f>
        <v/>
      </c>
      <c r="X729">
        <f>HYPERLINK("https://klasma.github.io/Logging_2031/kartor/A 33079-2024 karta.png", "A 33079-2024")</f>
        <v/>
      </c>
      <c r="Y729">
        <f>HYPERLINK("https://klasma.github.io/Logging_2031/kartor_geotiff/A 33079-2024 georefererad karta.tif", "A 33079-2024")</f>
        <v/>
      </c>
      <c r="AA729">
        <f>HYPERLINK("https://klasma.github.io/Logging_2031/klagomål/A 33079-2024 FSC-klagomål.docx", "A 33079-2024")</f>
        <v/>
      </c>
      <c r="AB729">
        <f>HYPERLINK("https://klasma.github.io/Logging_2031/klagomålsmail/A 33079-2024 FSC-klagomål mail.docx", "A 33079-2024")</f>
        <v/>
      </c>
      <c r="AC729">
        <f>HYPERLINK("https://klasma.github.io/Logging_2031/tillsyn/A 33079-2024 tillsynsbegäran.docx", "A 33079-2024")</f>
        <v/>
      </c>
      <c r="AD729">
        <f>HYPERLINK("https://klasma.github.io/Logging_2031/tillsynsmail/A 33079-2024 tillsynsbegäran mail.docx", "A 33079-2024")</f>
        <v/>
      </c>
    </row>
    <row r="730" ht="15" customHeight="1">
      <c r="A730" t="inlineStr">
        <is>
          <t>A 9959-2026</t>
        </is>
      </c>
      <c r="B730" t="inlineStr">
        <is>
          <t>avverkningsanmälan</t>
        </is>
      </c>
      <c r="C730" t="inlineStr">
        <is>
          <t>Föryngringsavverkning</t>
        </is>
      </c>
      <c r="D730" s="1" t="n">
        <v>46073</v>
      </c>
      <c r="E730" s="1" t="n">
        <v>46319</v>
      </c>
      <c r="F730" t="inlineStr">
        <is>
          <t>DALARNAS LÄN</t>
        </is>
      </c>
      <c r="G730" t="inlineStr">
        <is>
          <t>BORLÄNGE</t>
        </is>
      </c>
      <c r="I730" t="n">
        <v>3.5</v>
      </c>
      <c r="J730" t="n">
        <v>2</v>
      </c>
      <c r="K730" t="n">
        <v>1</v>
      </c>
      <c r="L730" t="n">
        <v>1</v>
      </c>
      <c r="M730" t="n">
        <v>0</v>
      </c>
      <c r="N730" t="n">
        <v>0</v>
      </c>
      <c r="O730" t="n">
        <v>0</v>
      </c>
      <c r="P730" t="n">
        <v>0</v>
      </c>
      <c r="Q730" t="n">
        <v>1</v>
      </c>
      <c r="R730" t="n">
        <v>0</v>
      </c>
      <c r="S730" t="n">
        <v>3</v>
      </c>
      <c r="T730" t="n">
        <v>5</v>
      </c>
      <c r="U730" t="n">
        <v>2</v>
      </c>
      <c r="V730" s="2" t="inlineStr">
        <is>
          <t>Tretåig hackspett
Gullgröppa
Tjäder</t>
        </is>
      </c>
      <c r="W730">
        <f>HYPERLINK("https://klasma.github.io/Logging_2081/artfynd/A 9959-2026 artfynd.xlsx", "A 9959-2026")</f>
        <v/>
      </c>
      <c r="X730">
        <f>HYPERLINK("https://klasma.github.io/Logging_2081/kartor/A 9959-2026 karta.png", "A 9959-2026")</f>
        <v/>
      </c>
      <c r="Y730">
        <f>HYPERLINK("https://klasma.github.io/Logging_2081/kartor_geotiff/A 9959-2026 georefererad karta.tif", "A 9959-2026")</f>
        <v/>
      </c>
      <c r="AA730">
        <f>HYPERLINK("https://klasma.github.io/Logging_2081/klagomål/A 9959-2026 FSC-klagomål.docx", "A 9959-2026")</f>
        <v/>
      </c>
      <c r="AB730">
        <f>HYPERLINK("https://klasma.github.io/Logging_2081/klagomålsmail/A 9959-2026 FSC-klagomål mail.docx", "A 9959-2026")</f>
        <v/>
      </c>
      <c r="AC730">
        <f>HYPERLINK("https://klasma.github.io/Logging_2081/tillsyn/A 9959-2026 tillsynsbegäran.docx", "A 9959-2026")</f>
        <v/>
      </c>
      <c r="AD730">
        <f>HYPERLINK("https://klasma.github.io/Logging_2081/tillsynsmail/A 9959-2026 tillsynsbegäran mail.docx", "A 9959-2026")</f>
        <v/>
      </c>
      <c r="AE730">
        <f>HYPERLINK("https://klasma.github.io/Logging_2081/fåglar/A 9959-2026 prioriterade fågelarter.docx", "A 9959-2026")</f>
        <v/>
      </c>
    </row>
    <row r="731" ht="15" customHeight="1">
      <c r="A731" t="inlineStr">
        <is>
          <t>A 21382-2025</t>
        </is>
      </c>
      <c r="B731" t="inlineStr">
        <is>
          <t>avverkningsanmälan</t>
        </is>
      </c>
      <c r="C731" t="inlineStr">
        <is>
          <t>Föryngringsavverkning</t>
        </is>
      </c>
      <c r="D731" s="1" t="n">
        <v>45781</v>
      </c>
      <c r="E731" s="1" t="n">
        <v>46319</v>
      </c>
      <c r="F731" t="inlineStr">
        <is>
          <t>DALARNAS LÄN</t>
        </is>
      </c>
      <c r="G731" t="inlineStr">
        <is>
          <t>SÄTER</t>
        </is>
      </c>
      <c r="H731" t="inlineStr">
        <is>
          <t>Bergvik skog väst AB</t>
        </is>
      </c>
      <c r="I731" t="n">
        <v>37</v>
      </c>
      <c r="J731" t="n">
        <v>3</v>
      </c>
      <c r="K731" t="n">
        <v>0</v>
      </c>
      <c r="L731" t="n">
        <v>0</v>
      </c>
      <c r="M731" t="n">
        <v>0</v>
      </c>
      <c r="N731" t="n">
        <v>0</v>
      </c>
      <c r="O731" t="n">
        <v>0</v>
      </c>
      <c r="P731" t="n">
        <v>0</v>
      </c>
      <c r="Q731" t="n">
        <v>0</v>
      </c>
      <c r="R731" t="n">
        <v>0</v>
      </c>
      <c r="S731" t="n">
        <v>3</v>
      </c>
      <c r="T731" t="n">
        <v>3</v>
      </c>
      <c r="U731" t="n">
        <v>0</v>
      </c>
      <c r="V731" s="2" t="inlineStr">
        <is>
          <t>Brudsporre
Revlummer
Äkta lopplummer</t>
        </is>
      </c>
      <c r="W731">
        <f>HYPERLINK("https://klasma.github.io/Logging_2082/artfynd/A 21382-2025 artfynd.xlsx", "A 21382-2025")</f>
        <v/>
      </c>
      <c r="X731">
        <f>HYPERLINK("https://klasma.github.io/Logging_2082/kartor/A 21382-2025 karta.png", "A 21382-2025")</f>
        <v/>
      </c>
      <c r="Y731">
        <f>HYPERLINK("https://klasma.github.io/Logging_2082/kartor_geotiff/A 21382-2025 georefererad karta.tif", "A 21382-2025")</f>
        <v/>
      </c>
      <c r="AA731">
        <f>HYPERLINK("https://klasma.github.io/Logging_2082/klagomål/A 21382-2025 FSC-klagomål.docx", "A 21382-2025")</f>
        <v/>
      </c>
      <c r="AB731">
        <f>HYPERLINK("https://klasma.github.io/Logging_2082/klagomålsmail/A 21382-2025 FSC-klagomål mail.docx", "A 21382-2025")</f>
        <v/>
      </c>
      <c r="AC731">
        <f>HYPERLINK("https://klasma.github.io/Logging_2082/tillsyn/A 21382-2025 tillsynsbegäran.docx", "A 21382-2025")</f>
        <v/>
      </c>
      <c r="AD731">
        <f>HYPERLINK("https://klasma.github.io/Logging_2082/tillsynsmail/A 21382-2025 tillsynsbegäran mail.docx", "A 21382-2025")</f>
        <v/>
      </c>
    </row>
    <row r="732" ht="15" customHeight="1">
      <c r="A732" t="inlineStr">
        <is>
          <t>A 9064-2025</t>
        </is>
      </c>
      <c r="B732" t="inlineStr">
        <is>
          <t>avverkningsanmälan</t>
        </is>
      </c>
      <c r="C732" t="inlineStr">
        <is>
          <t>Föryngringsavverkning</t>
        </is>
      </c>
      <c r="D732" s="1" t="n">
        <v>45713</v>
      </c>
      <c r="E732" s="1" t="n">
        <v>46319</v>
      </c>
      <c r="F732" t="inlineStr">
        <is>
          <t>DALARNAS LÄN</t>
        </is>
      </c>
      <c r="G732" t="inlineStr">
        <is>
          <t>MALUNG-SÄLEN</t>
        </is>
      </c>
      <c r="I732" t="n">
        <v>10.2</v>
      </c>
      <c r="J732" t="n">
        <v>0</v>
      </c>
      <c r="K732" t="n">
        <v>0</v>
      </c>
      <c r="L732" t="n">
        <v>2</v>
      </c>
      <c r="M732" t="n">
        <v>1</v>
      </c>
      <c r="N732" t="n">
        <v>0</v>
      </c>
      <c r="O732" t="n">
        <v>0</v>
      </c>
      <c r="P732" t="n">
        <v>0</v>
      </c>
      <c r="Q732" t="n">
        <v>3</v>
      </c>
      <c r="R732" t="n">
        <v>1</v>
      </c>
      <c r="S732" t="n">
        <v>3</v>
      </c>
      <c r="T732" t="n">
        <v>3</v>
      </c>
      <c r="U732" t="n">
        <v>0</v>
      </c>
      <c r="V732" s="2" t="inlineStr">
        <is>
          <t>Garnlav
Kolflarnlav
Vedskivlav</t>
        </is>
      </c>
      <c r="W732">
        <f>HYPERLINK("https://klasma.github.io/Logging_2023/artfynd/A 9064-2025 artfynd.xlsx", "A 9064-2025")</f>
        <v/>
      </c>
      <c r="X732">
        <f>HYPERLINK("https://klasma.github.io/Logging_2023/kartor/A 9064-2025 karta.png", "A 9064-2025")</f>
        <v/>
      </c>
      <c r="Y732">
        <f>HYPERLINK("https://klasma.github.io/Logging_2023/kartor_geotiff/A 9064-2025 georefererad karta.tif", "A 9064-2025")</f>
        <v/>
      </c>
      <c r="AA732">
        <f>HYPERLINK("https://klasma.github.io/Logging_2023/klagomål/A 9064-2025 FSC-klagomål.docx", "A 9064-2025")</f>
        <v/>
      </c>
      <c r="AB732">
        <f>HYPERLINK("https://klasma.github.io/Logging_2023/klagomålsmail/A 9064-2025 FSC-klagomål mail.docx", "A 9064-2025")</f>
        <v/>
      </c>
      <c r="AC732">
        <f>HYPERLINK("https://klasma.github.io/Logging_2023/tillsyn/A 9064-2025 tillsynsbegäran.docx", "A 9064-2025")</f>
        <v/>
      </c>
      <c r="AD732">
        <f>HYPERLINK("https://klasma.github.io/Logging_2023/tillsynsmail/A 9064-2025 tillsynsbegäran mail.docx", "A 9064-2025")</f>
        <v/>
      </c>
    </row>
    <row r="733" ht="15" customHeight="1">
      <c r="A733" t="inlineStr">
        <is>
          <t>A 54919-2025</t>
        </is>
      </c>
      <c r="B733" t="inlineStr">
        <is>
          <t>avverkningsanmälan</t>
        </is>
      </c>
      <c r="C733" t="inlineStr">
        <is>
          <t>Föryngringsavverkning</t>
        </is>
      </c>
      <c r="D733" s="1" t="n">
        <v>45967</v>
      </c>
      <c r="E733" s="1" t="n">
        <v>46319</v>
      </c>
      <c r="F733" t="inlineStr">
        <is>
          <t>DALARNAS LÄN</t>
        </is>
      </c>
      <c r="G733" t="inlineStr">
        <is>
          <t>MORA</t>
        </is>
      </c>
      <c r="H733" t="inlineStr">
        <is>
          <t>Bergvik skog väst AB</t>
        </is>
      </c>
      <c r="I733" t="n">
        <v>5.6</v>
      </c>
      <c r="J733" t="n">
        <v>0</v>
      </c>
      <c r="K733" t="n">
        <v>0</v>
      </c>
      <c r="L733" t="n">
        <v>2</v>
      </c>
      <c r="M733" t="n">
        <v>1</v>
      </c>
      <c r="N733" t="n">
        <v>0</v>
      </c>
      <c r="O733" t="n">
        <v>0</v>
      </c>
      <c r="P733" t="n">
        <v>0</v>
      </c>
      <c r="Q733" t="n">
        <v>3</v>
      </c>
      <c r="R733" t="n">
        <v>1</v>
      </c>
      <c r="S733" t="n">
        <v>3</v>
      </c>
      <c r="T733" t="n">
        <v>5</v>
      </c>
      <c r="U733" t="n">
        <v>0</v>
      </c>
      <c r="V733" s="2" t="inlineStr">
        <is>
          <t>Gräddporing
Nordtagging
Vedskivlav</t>
        </is>
      </c>
      <c r="W733">
        <f>HYPERLINK("https://klasma.github.io/Logging_2062/artfynd/A 54919-2025 artfynd.xlsx", "A 54919-2025")</f>
        <v/>
      </c>
      <c r="X733">
        <f>HYPERLINK("https://klasma.github.io/Logging_2062/kartor/A 54919-2025 karta.png", "A 54919-2025")</f>
        <v/>
      </c>
      <c r="Y733">
        <f>HYPERLINK("https://klasma.github.io/Logging_2062/kartor_geotiff/A 54919-2025 georefererad karta.tif", "A 54919-2025")</f>
        <v/>
      </c>
      <c r="AA733">
        <f>HYPERLINK("https://klasma.github.io/Logging_2062/klagomål/A 54919-2025 FSC-klagomål.docx", "A 54919-2025")</f>
        <v/>
      </c>
      <c r="AB733">
        <f>HYPERLINK("https://klasma.github.io/Logging_2062/klagomålsmail/A 54919-2025 FSC-klagomål mail.docx", "A 54919-2025")</f>
        <v/>
      </c>
      <c r="AC733">
        <f>HYPERLINK("https://klasma.github.io/Logging_2062/tillsyn/A 54919-2025 tillsynsbegäran.docx", "A 54919-2025")</f>
        <v/>
      </c>
      <c r="AD733">
        <f>HYPERLINK("https://klasma.github.io/Logging_2062/tillsynsmail/A 54919-2025 tillsynsbegäran mail.docx", "A 54919-2025")</f>
        <v/>
      </c>
    </row>
    <row r="734" ht="15" customHeight="1">
      <c r="A734" t="inlineStr">
        <is>
          <t>A 54868-2025</t>
        </is>
      </c>
      <c r="B734" t="inlineStr">
        <is>
          <t>avverkningsanmälan</t>
        </is>
      </c>
      <c r="C734" t="inlineStr">
        <is>
          <t>Föryngringsavverkning</t>
        </is>
      </c>
      <c r="D734" s="1" t="n">
        <v>45966</v>
      </c>
      <c r="E734" s="1" t="n">
        <v>46319</v>
      </c>
      <c r="F734" t="inlineStr">
        <is>
          <t>DALARNAS LÄN</t>
        </is>
      </c>
      <c r="G734" t="inlineStr">
        <is>
          <t>MORA</t>
        </is>
      </c>
      <c r="H734" t="inlineStr">
        <is>
          <t>Bergvik skog väst AB</t>
        </is>
      </c>
      <c r="I734" t="n">
        <v>5.6</v>
      </c>
      <c r="J734" t="n">
        <v>0</v>
      </c>
      <c r="K734" t="n">
        <v>0</v>
      </c>
      <c r="L734" t="n">
        <v>2</v>
      </c>
      <c r="M734" t="n">
        <v>1</v>
      </c>
      <c r="N734" t="n">
        <v>0</v>
      </c>
      <c r="O734" t="n">
        <v>0</v>
      </c>
      <c r="P734" t="n">
        <v>0</v>
      </c>
      <c r="Q734" t="n">
        <v>3</v>
      </c>
      <c r="R734" t="n">
        <v>1</v>
      </c>
      <c r="S734" t="n">
        <v>3</v>
      </c>
      <c r="T734" t="n">
        <v>5</v>
      </c>
      <c r="U734" t="n">
        <v>0</v>
      </c>
      <c r="V734" s="2" t="inlineStr">
        <is>
          <t>Gräddporing
Nordtagging
Vedskivlav</t>
        </is>
      </c>
      <c r="W734">
        <f>HYPERLINK("https://klasma.github.io/Logging_2062/artfynd/A 54868-2025 artfynd.xlsx", "A 54868-2025")</f>
        <v/>
      </c>
      <c r="X734">
        <f>HYPERLINK("https://klasma.github.io/Logging_2062/kartor/A 54868-2025 karta.png", "A 54868-2025")</f>
        <v/>
      </c>
      <c r="Y734">
        <f>HYPERLINK("https://klasma.github.io/Logging_2062/kartor_geotiff/A 54868-2025 georefererad karta.tif", "A 54868-2025")</f>
        <v/>
      </c>
      <c r="AA734">
        <f>HYPERLINK("https://klasma.github.io/Logging_2062/klagomål/A 54868-2025 FSC-klagomål.docx", "A 54868-2025")</f>
        <v/>
      </c>
      <c r="AB734">
        <f>HYPERLINK("https://klasma.github.io/Logging_2062/klagomålsmail/A 54868-2025 FSC-klagomål mail.docx", "A 54868-2025")</f>
        <v/>
      </c>
      <c r="AC734">
        <f>HYPERLINK("https://klasma.github.io/Logging_2062/tillsyn/A 54868-2025 tillsynsbegäran.docx", "A 54868-2025")</f>
        <v/>
      </c>
      <c r="AD734">
        <f>HYPERLINK("https://klasma.github.io/Logging_2062/tillsynsmail/A 54868-2025 tillsynsbegäran mail.docx", "A 54868-2025")</f>
        <v/>
      </c>
    </row>
    <row r="735" ht="15" customHeight="1">
      <c r="A735" t="inlineStr">
        <is>
          <t>A 27747-2026</t>
        </is>
      </c>
      <c r="B735" t="inlineStr">
        <is>
          <t>avverkningsanmälan</t>
        </is>
      </c>
      <c r="C735" t="inlineStr">
        <is>
          <t>Föryngringsavverkning</t>
        </is>
      </c>
      <c r="D735" s="1" t="n">
        <v>46191</v>
      </c>
      <c r="E735" s="1" t="n">
        <v>46319</v>
      </c>
      <c r="F735" t="inlineStr">
        <is>
          <t>DALARNAS LÄN</t>
        </is>
      </c>
      <c r="G735" t="inlineStr">
        <is>
          <t>FALUN</t>
        </is>
      </c>
      <c r="I735" t="n">
        <v>2.5</v>
      </c>
      <c r="J735" t="n">
        <v>0</v>
      </c>
      <c r="K735" t="n">
        <v>0</v>
      </c>
      <c r="L735" t="n">
        <v>2</v>
      </c>
      <c r="M735" t="n">
        <v>1</v>
      </c>
      <c r="N735" t="n">
        <v>0</v>
      </c>
      <c r="O735" t="n">
        <v>0</v>
      </c>
      <c r="P735" t="n">
        <v>0</v>
      </c>
      <c r="Q735" t="n">
        <v>3</v>
      </c>
      <c r="R735" t="n">
        <v>1</v>
      </c>
      <c r="S735" t="n">
        <v>3</v>
      </c>
      <c r="T735" t="n">
        <v>3</v>
      </c>
      <c r="U735" t="n">
        <v>0</v>
      </c>
      <c r="V735" s="2" t="inlineStr">
        <is>
          <t>Garnlav
Kolflarnlav
Kortskaftad ärgspik</t>
        </is>
      </c>
      <c r="W735">
        <f>HYPERLINK("https://klasma.github.io/Logging_2080/artfynd/A 27747-2026 artfynd.xlsx", "A 27747-2026")</f>
        <v/>
      </c>
      <c r="X735">
        <f>HYPERLINK("https://klasma.github.io/Logging_2080/kartor/A 27747-2026 karta.png", "A 27747-2026")</f>
        <v/>
      </c>
      <c r="Y735">
        <f>HYPERLINK("https://klasma.github.io/Logging_2080/kartor_geotiff/A 27747-2026 georefererad karta.tif", "A 27747-2026")</f>
        <v/>
      </c>
      <c r="AA735">
        <f>HYPERLINK("https://klasma.github.io/Logging_2080/klagomål/A 27747-2026 FSC-klagomål.docx", "A 27747-2026")</f>
        <v/>
      </c>
      <c r="AB735">
        <f>HYPERLINK("https://klasma.github.io/Logging_2080/klagomålsmail/A 27747-2026 FSC-klagomål mail.docx", "A 27747-2026")</f>
        <v/>
      </c>
      <c r="AC735">
        <f>HYPERLINK("https://klasma.github.io/Logging_2080/tillsyn/A 27747-2026 tillsynsbegäran.docx", "A 27747-2026")</f>
        <v/>
      </c>
      <c r="AD735">
        <f>HYPERLINK("https://klasma.github.io/Logging_2080/tillsynsmail/A 27747-2026 tillsynsbegäran mail.docx", "A 27747-2026")</f>
        <v/>
      </c>
    </row>
    <row r="736" ht="15" customHeight="1">
      <c r="A736" t="inlineStr">
        <is>
          <t>A 29144-2023</t>
        </is>
      </c>
      <c r="B736" t="inlineStr">
        <is>
          <t>avverkningsanmälan</t>
        </is>
      </c>
      <c r="C736" t="inlineStr">
        <is>
          <t>Föryngringsavverkning</t>
        </is>
      </c>
      <c r="D736" s="1" t="n">
        <v>45105</v>
      </c>
      <c r="E736" s="1" t="n">
        <v>46319</v>
      </c>
      <c r="F736" t="inlineStr">
        <is>
          <t>DALARNAS LÄN</t>
        </is>
      </c>
      <c r="G736" t="inlineStr">
        <is>
          <t>LUDVIKA</t>
        </is>
      </c>
      <c r="H736" t="inlineStr">
        <is>
          <t>Allmännings- och besparingsskogar</t>
        </is>
      </c>
      <c r="I736" t="n">
        <v>6.2</v>
      </c>
      <c r="J736" t="n">
        <v>1</v>
      </c>
      <c r="K736" t="n">
        <v>0</v>
      </c>
      <c r="L736" t="n">
        <v>1</v>
      </c>
      <c r="M736" t="n">
        <v>2</v>
      </c>
      <c r="N736" t="n">
        <v>0</v>
      </c>
      <c r="O736" t="n">
        <v>0</v>
      </c>
      <c r="P736" t="n">
        <v>0</v>
      </c>
      <c r="Q736" t="n">
        <v>3</v>
      </c>
      <c r="R736" t="n">
        <v>2</v>
      </c>
      <c r="S736" t="n">
        <v>3</v>
      </c>
      <c r="T736" t="n">
        <v>14</v>
      </c>
      <c r="U736" t="n">
        <v>0</v>
      </c>
      <c r="V736" s="2" t="inlineStr">
        <is>
          <t>Garnlav
Knärot
Brunklöver</t>
        </is>
      </c>
      <c r="W736">
        <f>HYPERLINK("https://klasma.github.io/Logging_2085/artfynd/A 29144-2023 artfynd.xlsx", "A 29144-2023")</f>
        <v/>
      </c>
      <c r="X736">
        <f>HYPERLINK("https://klasma.github.io/Logging_2085/kartor/A 29144-2023 karta.png", "A 29144-2023")</f>
        <v/>
      </c>
      <c r="Y736">
        <f>HYPERLINK("https://klasma.github.io/Logging_2085/kartor_geotiff/A 29144-2023 georefererad karta.tif", "A 29144-2023")</f>
        <v/>
      </c>
      <c r="Z736">
        <f>HYPERLINK("https://klasma.github.io/Logging_2085/knärot/A 29144-2023 karta knärot.png", "A 29144-2023")</f>
        <v/>
      </c>
      <c r="AA736">
        <f>HYPERLINK("https://klasma.github.io/Logging_2085/klagomål/A 29144-2023 FSC-klagomål.docx", "A 29144-2023")</f>
        <v/>
      </c>
      <c r="AB736">
        <f>HYPERLINK("https://klasma.github.io/Logging_2085/klagomålsmail/A 29144-2023 FSC-klagomål mail.docx", "A 29144-2023")</f>
        <v/>
      </c>
      <c r="AC736">
        <f>HYPERLINK("https://klasma.github.io/Logging_2085/tillsyn/A 29144-2023 tillsynsbegäran.docx", "A 29144-2023")</f>
        <v/>
      </c>
      <c r="AD736">
        <f>HYPERLINK("https://klasma.github.io/Logging_2085/tillsynsmail/A 29144-2023 tillsynsbegäran mail.docx", "A 29144-2023")</f>
        <v/>
      </c>
    </row>
    <row r="737" ht="15" customHeight="1">
      <c r="A737" t="inlineStr">
        <is>
          <t>A 28135-2026</t>
        </is>
      </c>
      <c r="B737" t="inlineStr">
        <is>
          <t>avverkningsanmälan</t>
        </is>
      </c>
      <c r="C737" t="inlineStr">
        <is>
          <t>Föryngringsavverkning</t>
        </is>
      </c>
      <c r="D737" s="1" t="n">
        <v>46195</v>
      </c>
      <c r="E737" s="1" t="n">
        <v>46319</v>
      </c>
      <c r="F737" t="inlineStr">
        <is>
          <t>DALARNAS LÄN</t>
        </is>
      </c>
      <c r="G737" t="inlineStr">
        <is>
          <t>ÄLVDALEN</t>
        </is>
      </c>
      <c r="H737" t="inlineStr">
        <is>
          <t>Sveaskog</t>
        </is>
      </c>
      <c r="I737" t="n">
        <v>1.9</v>
      </c>
      <c r="J737" t="n">
        <v>0</v>
      </c>
      <c r="K737" t="n">
        <v>0</v>
      </c>
      <c r="L737" t="n">
        <v>3</v>
      </c>
      <c r="M737" t="n">
        <v>0</v>
      </c>
      <c r="N737" t="n">
        <v>0</v>
      </c>
      <c r="O737" t="n">
        <v>0</v>
      </c>
      <c r="P737" t="n">
        <v>0</v>
      </c>
      <c r="Q737" t="n">
        <v>3</v>
      </c>
      <c r="R737" t="n">
        <v>0</v>
      </c>
      <c r="S737" t="n">
        <v>3</v>
      </c>
      <c r="T737" t="n">
        <v>3</v>
      </c>
      <c r="U737" t="n">
        <v>3</v>
      </c>
      <c r="V737" s="2" t="inlineStr">
        <is>
          <t>Blanksvart spiklav
Kolflarnlav
Mörk kolflarnlav</t>
        </is>
      </c>
      <c r="W737">
        <f>HYPERLINK("https://klasma.github.io/Logging_2039/artfynd/A 28135-2026 artfynd.xlsx", "A 28135-2026")</f>
        <v/>
      </c>
      <c r="X737">
        <f>HYPERLINK("https://klasma.github.io/Logging_2039/kartor/A 28135-2026 karta.png", "A 28135-2026")</f>
        <v/>
      </c>
      <c r="Y737">
        <f>HYPERLINK("https://klasma.github.io/Logging_2039/kartor_geotiff/A 28135-2026 georefererad karta.tif", "A 28135-2026")</f>
        <v/>
      </c>
      <c r="AA737">
        <f>HYPERLINK("https://klasma.github.io/Logging_2039/klagomål/A 28135-2026 FSC-klagomål.docx", "A 28135-2026")</f>
        <v/>
      </c>
      <c r="AB737">
        <f>HYPERLINK("https://klasma.github.io/Logging_2039/klagomålsmail/A 28135-2026 FSC-klagomål mail.docx", "A 28135-2026")</f>
        <v/>
      </c>
      <c r="AC737">
        <f>HYPERLINK("https://klasma.github.io/Logging_2039/tillsyn/A 28135-2026 tillsynsbegäran.docx", "A 28135-2026")</f>
        <v/>
      </c>
      <c r="AD737">
        <f>HYPERLINK("https://klasma.github.io/Logging_2039/tillsynsmail/A 28135-2026 tillsynsbegäran mail.docx", "A 28135-2026")</f>
        <v/>
      </c>
    </row>
    <row r="738" ht="15" customHeight="1">
      <c r="A738" t="inlineStr">
        <is>
          <t>A 55724-2025</t>
        </is>
      </c>
      <c r="B738" t="inlineStr">
        <is>
          <t>avverkningsanmälan</t>
        </is>
      </c>
      <c r="C738" t="inlineStr">
        <is>
          <t>Föryngringsavverkning</t>
        </is>
      </c>
      <c r="D738" s="1" t="n">
        <v>45972</v>
      </c>
      <c r="E738" s="1" t="n">
        <v>46319</v>
      </c>
      <c r="F738" t="inlineStr">
        <is>
          <t>DALARNAS LÄN</t>
        </is>
      </c>
      <c r="G738" t="inlineStr">
        <is>
          <t>FALUN</t>
        </is>
      </c>
      <c r="I738" t="n">
        <v>3.4</v>
      </c>
      <c r="J738" t="n">
        <v>2</v>
      </c>
      <c r="K738" t="n">
        <v>1</v>
      </c>
      <c r="L738" t="n">
        <v>0</v>
      </c>
      <c r="M738" t="n">
        <v>0</v>
      </c>
      <c r="N738" t="n">
        <v>0</v>
      </c>
      <c r="O738" t="n">
        <v>0</v>
      </c>
      <c r="P738" t="n">
        <v>0</v>
      </c>
      <c r="Q738" t="n">
        <v>0</v>
      </c>
      <c r="R738" t="n">
        <v>0</v>
      </c>
      <c r="S738" t="n">
        <v>3</v>
      </c>
      <c r="T738" t="n">
        <v>4</v>
      </c>
      <c r="U738" t="n">
        <v>3</v>
      </c>
      <c r="V738" s="2" t="inlineStr">
        <is>
          <t>Mindre märgborre
Blåsippa
Spillkråka</t>
        </is>
      </c>
      <c r="W738">
        <f>HYPERLINK("https://klasma.github.io/Logging_2080/artfynd/A 55724-2025 artfynd.xlsx", "A 55724-2025")</f>
        <v/>
      </c>
      <c r="X738">
        <f>HYPERLINK("https://klasma.github.io/Logging_2080/kartor/A 55724-2025 karta.png", "A 55724-2025")</f>
        <v/>
      </c>
      <c r="Y738">
        <f>HYPERLINK("https://klasma.github.io/Logging_2080/kartor_geotiff/A 55724-2025 georefererad karta.tif", "A 55724-2025")</f>
        <v/>
      </c>
      <c r="AA738">
        <f>HYPERLINK("https://klasma.github.io/Logging_2080/klagomål/A 55724-2025 FSC-klagomål.docx", "A 55724-2025")</f>
        <v/>
      </c>
      <c r="AB738">
        <f>HYPERLINK("https://klasma.github.io/Logging_2080/klagomålsmail/A 55724-2025 FSC-klagomål mail.docx", "A 55724-2025")</f>
        <v/>
      </c>
      <c r="AC738">
        <f>HYPERLINK("https://klasma.github.io/Logging_2080/tillsyn/A 55724-2025 tillsynsbegäran.docx", "A 55724-2025")</f>
        <v/>
      </c>
      <c r="AD738">
        <f>HYPERLINK("https://klasma.github.io/Logging_2080/tillsynsmail/A 55724-2025 tillsynsbegäran mail.docx", "A 55724-2025")</f>
        <v/>
      </c>
      <c r="AE738">
        <f>HYPERLINK("https://klasma.github.io/Logging_2080/fåglar/A 55724-2025 prioriterade fågelarter.docx", "A 55724-2025")</f>
        <v/>
      </c>
    </row>
    <row r="739" ht="15" customHeight="1">
      <c r="A739" t="inlineStr">
        <is>
          <t>A 64610-2023</t>
        </is>
      </c>
      <c r="B739" t="inlineStr">
        <is>
          <t>avverkningsanmälan</t>
        </is>
      </c>
      <c r="C739" t="inlineStr">
        <is>
          <t>Föryngringsavverkning</t>
        </is>
      </c>
      <c r="D739" s="1" t="n">
        <v>45281</v>
      </c>
      <c r="E739" s="1" t="n">
        <v>46319</v>
      </c>
      <c r="F739" t="inlineStr">
        <is>
          <t>DALARNAS LÄN</t>
        </is>
      </c>
      <c r="G739" t="inlineStr">
        <is>
          <t>SÄTER</t>
        </is>
      </c>
      <c r="I739" t="n">
        <v>0.9</v>
      </c>
      <c r="J739" t="n">
        <v>2</v>
      </c>
      <c r="K739" t="n">
        <v>1</v>
      </c>
      <c r="L739" t="n">
        <v>0</v>
      </c>
      <c r="M739" t="n">
        <v>0</v>
      </c>
      <c r="N739" t="n">
        <v>0</v>
      </c>
      <c r="O739" t="n">
        <v>0</v>
      </c>
      <c r="P739" t="n">
        <v>0</v>
      </c>
      <c r="Q739" t="n">
        <v>0</v>
      </c>
      <c r="R739" t="n">
        <v>0</v>
      </c>
      <c r="S739" t="n">
        <v>3</v>
      </c>
      <c r="T739" t="n">
        <v>13</v>
      </c>
      <c r="U739" t="n">
        <v>13</v>
      </c>
      <c r="V739" s="2" t="inlineStr">
        <is>
          <t>Tvåblad
Brudborste
Fläcknycklar</t>
        </is>
      </c>
      <c r="W739">
        <f>HYPERLINK("https://klasma.github.io/Logging_2082/artfynd/A 64610-2023 artfynd.xlsx", "A 64610-2023")</f>
        <v/>
      </c>
      <c r="X739">
        <f>HYPERLINK("https://klasma.github.io/Logging_2082/kartor/A 64610-2023 karta.png", "A 64610-2023")</f>
        <v/>
      </c>
      <c r="Y739">
        <f>HYPERLINK("https://klasma.github.io/Logging_2082/kartor_geotiff/A 64610-2023 georefererad karta.tif", "A 64610-2023")</f>
        <v/>
      </c>
      <c r="AA739">
        <f>HYPERLINK("https://klasma.github.io/Logging_2082/klagomål/A 64610-2023 FSC-klagomål.docx", "A 64610-2023")</f>
        <v/>
      </c>
      <c r="AB739">
        <f>HYPERLINK("https://klasma.github.io/Logging_2082/klagomålsmail/A 64610-2023 FSC-klagomål mail.docx", "A 64610-2023")</f>
        <v/>
      </c>
      <c r="AC739">
        <f>HYPERLINK("https://klasma.github.io/Logging_2082/tillsyn/A 64610-2023 tillsynsbegäran.docx", "A 64610-2023")</f>
        <v/>
      </c>
      <c r="AD739">
        <f>HYPERLINK("https://klasma.github.io/Logging_2082/tillsynsmail/A 64610-2023 tillsynsbegäran mail.docx", "A 64610-2023")</f>
        <v/>
      </c>
    </row>
    <row r="740" ht="15" customHeight="1">
      <c r="A740" t="inlineStr">
        <is>
          <t>A 18759-2026</t>
        </is>
      </c>
      <c r="B740" t="inlineStr">
        <is>
          <t>avverkningsanmälan</t>
        </is>
      </c>
      <c r="C740" t="inlineStr">
        <is>
          <t>Föryngringsavverkning</t>
        </is>
      </c>
      <c r="D740" s="1" t="n">
        <v>46128</v>
      </c>
      <c r="E740" s="1" t="n">
        <v>46319</v>
      </c>
      <c r="F740" t="inlineStr">
        <is>
          <t>DALARNAS LÄN</t>
        </is>
      </c>
      <c r="G740" t="inlineStr">
        <is>
          <t>LUDVIKA</t>
        </is>
      </c>
      <c r="H740" t="inlineStr">
        <is>
          <t>Bergvik skog väst AB</t>
        </is>
      </c>
      <c r="I740" t="n">
        <v>3.5</v>
      </c>
      <c r="J740" t="n">
        <v>2</v>
      </c>
      <c r="K740" t="n">
        <v>0</v>
      </c>
      <c r="L740" t="n">
        <v>1</v>
      </c>
      <c r="M740" t="n">
        <v>1</v>
      </c>
      <c r="N740" t="n">
        <v>0</v>
      </c>
      <c r="O740" t="n">
        <v>0</v>
      </c>
      <c r="P740" t="n">
        <v>0</v>
      </c>
      <c r="Q740" t="n">
        <v>2</v>
      </c>
      <c r="R740" t="n">
        <v>1</v>
      </c>
      <c r="S740" t="n">
        <v>3</v>
      </c>
      <c r="T740" t="n">
        <v>11</v>
      </c>
      <c r="U740" t="n">
        <v>0</v>
      </c>
      <c r="V740" s="2" t="inlineStr">
        <is>
          <t>Knärot
Dropptaggsvamp
Nattviol</t>
        </is>
      </c>
      <c r="W740">
        <f>HYPERLINK("https://klasma.github.io/Logging_2085/artfynd/A 18759-2026 artfynd.xlsx", "A 18759-2026")</f>
        <v/>
      </c>
      <c r="X740">
        <f>HYPERLINK("https://klasma.github.io/Logging_2085/kartor/A 18759-2026 karta.png", "A 18759-2026")</f>
        <v/>
      </c>
      <c r="Y740">
        <f>HYPERLINK("https://klasma.github.io/Logging_2085/kartor_geotiff/A 18759-2026 georefererad karta.tif", "A 18759-2026")</f>
        <v/>
      </c>
      <c r="Z740">
        <f>HYPERLINK("https://klasma.github.io/Logging_2085/knärot/A 18759-2026 karta knärot.png", "A 18759-2026")</f>
        <v/>
      </c>
      <c r="AA740">
        <f>HYPERLINK("https://klasma.github.io/Logging_2085/klagomål/A 18759-2026 FSC-klagomål.docx", "A 18759-2026")</f>
        <v/>
      </c>
      <c r="AB740">
        <f>HYPERLINK("https://klasma.github.io/Logging_2085/klagomålsmail/A 18759-2026 FSC-klagomål mail.docx", "A 18759-2026")</f>
        <v/>
      </c>
      <c r="AC740">
        <f>HYPERLINK("https://klasma.github.io/Logging_2085/tillsyn/A 18759-2026 tillsynsbegäran.docx", "A 18759-2026")</f>
        <v/>
      </c>
      <c r="AD740">
        <f>HYPERLINK("https://klasma.github.io/Logging_2085/tillsynsmail/A 18759-2026 tillsynsbegäran mail.docx", "A 18759-2026")</f>
        <v/>
      </c>
    </row>
    <row r="741" ht="15" customHeight="1">
      <c r="A741" t="inlineStr">
        <is>
          <t>A 57530-2023</t>
        </is>
      </c>
      <c r="B741" t="inlineStr">
        <is>
          <t>avverkningsanmälan</t>
        </is>
      </c>
      <c r="C741" t="inlineStr">
        <is>
          <t>Föryngringsavverkning</t>
        </is>
      </c>
      <c r="D741" s="1" t="n">
        <v>45246</v>
      </c>
      <c r="E741" s="1" t="n">
        <v>46319</v>
      </c>
      <c r="F741" t="inlineStr">
        <is>
          <t>DALARNAS LÄN</t>
        </is>
      </c>
      <c r="G741" t="inlineStr">
        <is>
          <t>BORLÄNGE</t>
        </is>
      </c>
      <c r="I741" t="n">
        <v>1.2</v>
      </c>
      <c r="J741" t="n">
        <v>1</v>
      </c>
      <c r="K741" t="n">
        <v>1</v>
      </c>
      <c r="L741" t="n">
        <v>0</v>
      </c>
      <c r="M741" t="n">
        <v>0</v>
      </c>
      <c r="N741" t="n">
        <v>0</v>
      </c>
      <c r="O741" t="n">
        <v>0</v>
      </c>
      <c r="P741" t="n">
        <v>0</v>
      </c>
      <c r="Q741" t="n">
        <v>0</v>
      </c>
      <c r="R741" t="n">
        <v>0</v>
      </c>
      <c r="S741" t="n">
        <v>3</v>
      </c>
      <c r="T741" t="n">
        <v>3</v>
      </c>
      <c r="U741" t="n">
        <v>3</v>
      </c>
      <c r="V741" s="2" t="inlineStr">
        <is>
          <t>Grönpyrola
Kransmossa
Spillkråka</t>
        </is>
      </c>
      <c r="W741">
        <f>HYPERLINK("https://klasma.github.io/Logging_2081/artfynd/A 57530-2023 artfynd.xlsx", "A 57530-2023")</f>
        <v/>
      </c>
      <c r="X741">
        <f>HYPERLINK("https://klasma.github.io/Logging_2081/kartor/A 57530-2023 karta.png", "A 57530-2023")</f>
        <v/>
      </c>
      <c r="Y741">
        <f>HYPERLINK("https://klasma.github.io/Logging_2081/kartor_geotiff/A 57530-2023 georefererad karta.tif", "A 57530-2023")</f>
        <v/>
      </c>
      <c r="AA741">
        <f>HYPERLINK("https://klasma.github.io/Logging_2081/klagomål/A 57530-2023 FSC-klagomål.docx", "A 57530-2023")</f>
        <v/>
      </c>
      <c r="AB741">
        <f>HYPERLINK("https://klasma.github.io/Logging_2081/klagomålsmail/A 57530-2023 FSC-klagomål mail.docx", "A 57530-2023")</f>
        <v/>
      </c>
      <c r="AC741">
        <f>HYPERLINK("https://klasma.github.io/Logging_2081/tillsyn/A 57530-2023 tillsynsbegäran.docx", "A 57530-2023")</f>
        <v/>
      </c>
      <c r="AD741">
        <f>HYPERLINK("https://klasma.github.io/Logging_2081/tillsynsmail/A 57530-2023 tillsynsbegäran mail.docx", "A 57530-2023")</f>
        <v/>
      </c>
      <c r="AE741">
        <f>HYPERLINK("https://klasma.github.io/Logging_2081/fåglar/A 57530-2023 prioriterade fågelarter.docx", "A 57530-2023")</f>
        <v/>
      </c>
    </row>
    <row r="742" ht="15" customHeight="1">
      <c r="A742" t="inlineStr">
        <is>
          <t>A 29893-2026</t>
        </is>
      </c>
      <c r="B742" t="inlineStr">
        <is>
          <t>avverkningsanmälan</t>
        </is>
      </c>
      <c r="C742" t="inlineStr">
        <is>
          <t>Avverkning för annat ändamål</t>
        </is>
      </c>
      <c r="D742" s="1" t="n">
        <v>46205</v>
      </c>
      <c r="E742" s="1" t="n">
        <v>46319</v>
      </c>
      <c r="F742" t="inlineStr">
        <is>
          <t>DALARNAS LÄN</t>
        </is>
      </c>
      <c r="G742" t="inlineStr">
        <is>
          <t>ORSA</t>
        </is>
      </c>
      <c r="I742" t="n">
        <v>9.9</v>
      </c>
      <c r="J742" t="n">
        <v>2</v>
      </c>
      <c r="K742" t="n">
        <v>2</v>
      </c>
      <c r="L742" t="n">
        <v>0</v>
      </c>
      <c r="M742" t="n">
        <v>0</v>
      </c>
      <c r="N742" t="n">
        <v>0</v>
      </c>
      <c r="O742" t="n">
        <v>0</v>
      </c>
      <c r="P742" t="n">
        <v>0</v>
      </c>
      <c r="Q742" t="n">
        <v>0</v>
      </c>
      <c r="R742" t="n">
        <v>0</v>
      </c>
      <c r="S742" t="n">
        <v>3</v>
      </c>
      <c r="T742" t="n">
        <v>3</v>
      </c>
      <c r="U742" t="n">
        <v>0</v>
      </c>
      <c r="V742" s="2" t="inlineStr">
        <is>
          <t>Skogshakmossa
Spindelblomster
Nattviol</t>
        </is>
      </c>
      <c r="W742">
        <f>HYPERLINK("https://klasma.github.io/Logging_2034/artfynd/A 29893-2026 artfynd.xlsx", "A 29893-2026")</f>
        <v/>
      </c>
      <c r="X742">
        <f>HYPERLINK("https://klasma.github.io/Logging_2034/kartor/A 29893-2026 karta.png", "A 29893-2026")</f>
        <v/>
      </c>
      <c r="Y742">
        <f>HYPERLINK("https://klasma.github.io/Logging_2034/kartor_geotiff/A 29893-2026 georefererad karta.tif", "A 29893-2026")</f>
        <v/>
      </c>
      <c r="AA742">
        <f>HYPERLINK("https://klasma.github.io/Logging_2034/klagomål/A 29893-2026 FSC-klagomål.docx", "A 29893-2026")</f>
        <v/>
      </c>
      <c r="AB742">
        <f>HYPERLINK("https://klasma.github.io/Logging_2034/klagomålsmail/A 29893-2026 FSC-klagomål mail.docx", "A 29893-2026")</f>
        <v/>
      </c>
      <c r="AC742">
        <f>HYPERLINK("https://klasma.github.io/Logging_2034/tillsyn/A 29893-2026 tillsynsbegäran.docx", "A 29893-2026")</f>
        <v/>
      </c>
      <c r="AD742">
        <f>HYPERLINK("https://klasma.github.io/Logging_2034/tillsynsmail/A 29893-2026 tillsynsbegäran mail.docx", "A 29893-2026")</f>
        <v/>
      </c>
    </row>
    <row r="743" ht="15" customHeight="1">
      <c r="A743" t="inlineStr">
        <is>
          <t>A 58476-2025</t>
        </is>
      </c>
      <c r="B743" t="inlineStr">
        <is>
          <t>avverkningsanmälan</t>
        </is>
      </c>
      <c r="C743" t="inlineStr">
        <is>
          <t>Föryngringsavverkning</t>
        </is>
      </c>
      <c r="D743" s="1" t="n">
        <v>45985</v>
      </c>
      <c r="E743" s="1" t="n">
        <v>46319</v>
      </c>
      <c r="F743" t="inlineStr">
        <is>
          <t>DALARNAS LÄN</t>
        </is>
      </c>
      <c r="G743" t="inlineStr">
        <is>
          <t>ÄLVDALEN</t>
        </is>
      </c>
      <c r="H743" t="inlineStr">
        <is>
          <t>Allmännings- och besparingsskogar</t>
        </is>
      </c>
      <c r="I743" t="n">
        <v>17.9</v>
      </c>
      <c r="J743" t="n">
        <v>3</v>
      </c>
      <c r="K743" t="n">
        <v>0</v>
      </c>
      <c r="L743" t="n">
        <v>1</v>
      </c>
      <c r="M743" t="n">
        <v>0</v>
      </c>
      <c r="N743" t="n">
        <v>0</v>
      </c>
      <c r="O743" t="n">
        <v>0</v>
      </c>
      <c r="P743" t="n">
        <v>0</v>
      </c>
      <c r="Q743" t="n">
        <v>1</v>
      </c>
      <c r="R743" t="n">
        <v>0</v>
      </c>
      <c r="S743" t="n">
        <v>3</v>
      </c>
      <c r="T743" t="n">
        <v>3</v>
      </c>
      <c r="U743" t="n">
        <v>0</v>
      </c>
      <c r="V743" s="2" t="inlineStr">
        <is>
          <t>Lavskrika
Tjäder
Huggorm</t>
        </is>
      </c>
      <c r="W743">
        <f>HYPERLINK("https://klasma.github.io/Logging_2039/artfynd/A 58476-2025 artfynd.xlsx", "A 58476-2025")</f>
        <v/>
      </c>
      <c r="X743">
        <f>HYPERLINK("https://klasma.github.io/Logging_2039/kartor/A 58476-2025 karta.png", "A 58476-2025")</f>
        <v/>
      </c>
      <c r="Y743">
        <f>HYPERLINK("https://klasma.github.io/Logging_2039/kartor_geotiff/A 58476-2025 georefererad karta.tif", "A 58476-2025")</f>
        <v/>
      </c>
      <c r="AA743">
        <f>HYPERLINK("https://klasma.github.io/Logging_2039/klagomål/A 58476-2025 FSC-klagomål.docx", "A 58476-2025")</f>
        <v/>
      </c>
      <c r="AB743">
        <f>HYPERLINK("https://klasma.github.io/Logging_2039/klagomålsmail/A 58476-2025 FSC-klagomål mail.docx", "A 58476-2025")</f>
        <v/>
      </c>
      <c r="AC743">
        <f>HYPERLINK("https://klasma.github.io/Logging_2039/tillsyn/A 58476-2025 tillsynsbegäran.docx", "A 58476-2025")</f>
        <v/>
      </c>
      <c r="AD743">
        <f>HYPERLINK("https://klasma.github.io/Logging_2039/tillsynsmail/A 58476-2025 tillsynsbegäran mail.docx", "A 58476-2025")</f>
        <v/>
      </c>
      <c r="AE743">
        <f>HYPERLINK("https://klasma.github.io/Logging_2039/fåglar/A 58476-2025 prioriterade fågelarter.docx", "A 58476-2025")</f>
        <v/>
      </c>
    </row>
    <row r="744" ht="15" customHeight="1">
      <c r="A744" t="inlineStr">
        <is>
          <t>A 5666-2025</t>
        </is>
      </c>
      <c r="B744" t="inlineStr">
        <is>
          <t>avverkningsanmälan</t>
        </is>
      </c>
      <c r="C744" t="inlineStr">
        <is>
          <t>Föryngringsavverkning</t>
        </is>
      </c>
      <c r="D744" s="1" t="n">
        <v>45693</v>
      </c>
      <c r="E744" s="1" t="n">
        <v>46319</v>
      </c>
      <c r="F744" t="inlineStr">
        <is>
          <t>DALARNAS LÄN</t>
        </is>
      </c>
      <c r="G744" t="inlineStr">
        <is>
          <t>FALUN</t>
        </is>
      </c>
      <c r="I744" t="n">
        <v>1.5</v>
      </c>
      <c r="J744" t="n">
        <v>2</v>
      </c>
      <c r="K744" t="n">
        <v>1</v>
      </c>
      <c r="L744" t="n">
        <v>0</v>
      </c>
      <c r="M744" t="n">
        <v>1</v>
      </c>
      <c r="N744" t="n">
        <v>0</v>
      </c>
      <c r="O744" t="n">
        <v>0</v>
      </c>
      <c r="P744" t="n">
        <v>0</v>
      </c>
      <c r="Q744" t="n">
        <v>1</v>
      </c>
      <c r="R744" t="n">
        <v>1</v>
      </c>
      <c r="S744" t="n">
        <v>3</v>
      </c>
      <c r="T744" t="n">
        <v>10</v>
      </c>
      <c r="U744" t="n">
        <v>10</v>
      </c>
      <c r="V744" s="2" t="inlineStr">
        <is>
          <t>Knärot
Mindre märgborre
Spillkråka</t>
        </is>
      </c>
      <c r="W744">
        <f>HYPERLINK("https://klasma.github.io/Logging_2080/artfynd/A 5666-2025 artfynd.xlsx", "A 5666-2025")</f>
        <v/>
      </c>
      <c r="X744">
        <f>HYPERLINK("https://klasma.github.io/Logging_2080/kartor/A 5666-2025 karta.png", "A 5666-2025")</f>
        <v/>
      </c>
      <c r="Y744">
        <f>HYPERLINK("https://klasma.github.io/Logging_2080/kartor_geotiff/A 5666-2025 georefererad karta.tif", "A 5666-2025")</f>
        <v/>
      </c>
      <c r="Z744">
        <f>HYPERLINK("https://klasma.github.io/Logging_2080/knärot/A 5666-2025 karta knärot.png", "A 5666-2025")</f>
        <v/>
      </c>
      <c r="AA744">
        <f>HYPERLINK("https://klasma.github.io/Logging_2080/klagomål/A 5666-2025 FSC-klagomål.docx", "A 5666-2025")</f>
        <v/>
      </c>
      <c r="AB744">
        <f>HYPERLINK("https://klasma.github.io/Logging_2080/klagomålsmail/A 5666-2025 FSC-klagomål mail.docx", "A 5666-2025")</f>
        <v/>
      </c>
      <c r="AC744">
        <f>HYPERLINK("https://klasma.github.io/Logging_2080/tillsyn/A 5666-2025 tillsynsbegäran.docx", "A 5666-2025")</f>
        <v/>
      </c>
      <c r="AD744">
        <f>HYPERLINK("https://klasma.github.io/Logging_2080/tillsynsmail/A 5666-2025 tillsynsbegäran mail.docx", "A 5666-2025")</f>
        <v/>
      </c>
      <c r="AE744">
        <f>HYPERLINK("https://klasma.github.io/Logging_2080/fåglar/A 5666-2025 prioriterade fågelarter.docx", "A 5666-2025")</f>
        <v/>
      </c>
    </row>
    <row r="745" ht="15" customHeight="1">
      <c r="A745" t="inlineStr">
        <is>
          <t>A 59587-2025</t>
        </is>
      </c>
      <c r="B745" t="inlineStr">
        <is>
          <t>avverkningsanmälan</t>
        </is>
      </c>
      <c r="C745" t="inlineStr">
        <is>
          <t>Föryngringsavverkning</t>
        </is>
      </c>
      <c r="D745" s="1" t="n">
        <v>45992</v>
      </c>
      <c r="E745" s="1" t="n">
        <v>46319</v>
      </c>
      <c r="F745" t="inlineStr">
        <is>
          <t>DALARNAS LÄN</t>
        </is>
      </c>
      <c r="G745" t="inlineStr">
        <is>
          <t>ÄLVDALEN</t>
        </is>
      </c>
      <c r="H745" t="inlineStr">
        <is>
          <t>Sveaskog</t>
        </is>
      </c>
      <c r="I745" t="n">
        <v>10.7</v>
      </c>
      <c r="J745" t="n">
        <v>0</v>
      </c>
      <c r="K745" t="n">
        <v>0</v>
      </c>
      <c r="L745" t="n">
        <v>3</v>
      </c>
      <c r="M745" t="n">
        <v>0</v>
      </c>
      <c r="N745" t="n">
        <v>0</v>
      </c>
      <c r="O745" t="n">
        <v>0</v>
      </c>
      <c r="P745" t="n">
        <v>0</v>
      </c>
      <c r="Q745" t="n">
        <v>3</v>
      </c>
      <c r="R745" t="n">
        <v>0</v>
      </c>
      <c r="S745" t="n">
        <v>3</v>
      </c>
      <c r="T745" t="n">
        <v>3</v>
      </c>
      <c r="U745" t="n">
        <v>0</v>
      </c>
      <c r="V745" s="2" t="inlineStr">
        <is>
          <t>Dropptaggsvamp
Kolflarnlav
Vedflamlav</t>
        </is>
      </c>
      <c r="W745">
        <f>HYPERLINK("https://klasma.github.io/Logging_2039/artfynd/A 59587-2025 artfynd.xlsx", "A 59587-2025")</f>
        <v/>
      </c>
      <c r="X745">
        <f>HYPERLINK("https://klasma.github.io/Logging_2039/kartor/A 59587-2025 karta.png", "A 59587-2025")</f>
        <v/>
      </c>
      <c r="Y745">
        <f>HYPERLINK("https://klasma.github.io/Logging_2039/kartor_geotiff/A 59587-2025 georefererad karta.tif", "A 59587-2025")</f>
        <v/>
      </c>
      <c r="AA745">
        <f>HYPERLINK("https://klasma.github.io/Logging_2039/klagomål/A 59587-2025 FSC-klagomål.docx", "A 59587-2025")</f>
        <v/>
      </c>
      <c r="AB745">
        <f>HYPERLINK("https://klasma.github.io/Logging_2039/klagomålsmail/A 59587-2025 FSC-klagomål mail.docx", "A 59587-2025")</f>
        <v/>
      </c>
      <c r="AC745">
        <f>HYPERLINK("https://klasma.github.io/Logging_2039/tillsyn/A 59587-2025 tillsynsbegäran.docx", "A 59587-2025")</f>
        <v/>
      </c>
      <c r="AD745">
        <f>HYPERLINK("https://klasma.github.io/Logging_2039/tillsynsmail/A 59587-2025 tillsynsbegäran mail.docx", "A 59587-2025")</f>
        <v/>
      </c>
    </row>
    <row r="746" ht="15" customHeight="1">
      <c r="A746" t="inlineStr">
        <is>
          <t>A 53468-2023</t>
        </is>
      </c>
      <c r="B746" t="inlineStr">
        <is>
          <t>avverkningsanmälan</t>
        </is>
      </c>
      <c r="C746" t="inlineStr">
        <is>
          <t>Föryngringsavverkning</t>
        </is>
      </c>
      <c r="D746" s="1" t="n">
        <v>45230</v>
      </c>
      <c r="E746" s="1" t="n">
        <v>46319</v>
      </c>
      <c r="F746" t="inlineStr">
        <is>
          <t>DALARNAS LÄN</t>
        </is>
      </c>
      <c r="G746" t="inlineStr">
        <is>
          <t>RÄTTVIK</t>
        </is>
      </c>
      <c r="I746" t="n">
        <v>4.8</v>
      </c>
      <c r="J746" t="n">
        <v>1</v>
      </c>
      <c r="K746" t="n">
        <v>1</v>
      </c>
      <c r="L746" t="n">
        <v>0</v>
      </c>
      <c r="M746" t="n">
        <v>1</v>
      </c>
      <c r="N746" t="n">
        <v>1</v>
      </c>
      <c r="O746" t="n">
        <v>0</v>
      </c>
      <c r="P746" t="n">
        <v>0</v>
      </c>
      <c r="Q746" t="n">
        <v>2</v>
      </c>
      <c r="R746" t="n">
        <v>2</v>
      </c>
      <c r="S746" t="n">
        <v>3</v>
      </c>
      <c r="T746" t="n">
        <v>3</v>
      </c>
      <c r="U746" t="n">
        <v>2</v>
      </c>
      <c r="V746" s="2" t="inlineStr">
        <is>
          <t>Flodpärlmussla
Knärot
Mindre märgborre</t>
        </is>
      </c>
      <c r="W746">
        <f>HYPERLINK("https://klasma.github.io/Logging_2031/artfynd/A 53468-2023 artfynd.xlsx", "A 53468-2023")</f>
        <v/>
      </c>
      <c r="X746">
        <f>HYPERLINK("https://klasma.github.io/Logging_2031/kartor/A 53468-2023 karta.png", "A 53468-2023")</f>
        <v/>
      </c>
      <c r="Y746">
        <f>HYPERLINK("https://klasma.github.io/Logging_2031/kartor_geotiff/A 53468-2023 georefererad karta.tif", "A 53468-2023")</f>
        <v/>
      </c>
      <c r="Z746">
        <f>HYPERLINK("https://klasma.github.io/Logging_2031/knärot/A 53468-2023 karta knärot.png", "A 53468-2023")</f>
        <v/>
      </c>
      <c r="AA746">
        <f>HYPERLINK("https://klasma.github.io/Logging_2031/klagomål/A 53468-2023 FSC-klagomål.docx", "A 53468-2023")</f>
        <v/>
      </c>
      <c r="AB746">
        <f>HYPERLINK("https://klasma.github.io/Logging_2031/klagomålsmail/A 53468-2023 FSC-klagomål mail.docx", "A 53468-2023")</f>
        <v/>
      </c>
      <c r="AC746">
        <f>HYPERLINK("https://klasma.github.io/Logging_2031/tillsyn/A 53468-2023 tillsynsbegäran.docx", "A 53468-2023")</f>
        <v/>
      </c>
      <c r="AD746">
        <f>HYPERLINK("https://klasma.github.io/Logging_2031/tillsynsmail/A 53468-2023 tillsynsbegäran mail.docx", "A 53468-2023")</f>
        <v/>
      </c>
    </row>
    <row r="747" ht="15" customHeight="1">
      <c r="A747" t="inlineStr">
        <is>
          <t>A 61163-2025</t>
        </is>
      </c>
      <c r="B747" t="inlineStr">
        <is>
          <t>avverkningsanmälan</t>
        </is>
      </c>
      <c r="C747" t="inlineStr">
        <is>
          <t>Föryngringsavverkning</t>
        </is>
      </c>
      <c r="D747" s="1" t="n">
        <v>46000</v>
      </c>
      <c r="E747" s="1" t="n">
        <v>46319</v>
      </c>
      <c r="F747" t="inlineStr">
        <is>
          <t>DALARNAS LÄN</t>
        </is>
      </c>
      <c r="G747" t="inlineStr">
        <is>
          <t>ORSA</t>
        </is>
      </c>
      <c r="I747" t="n">
        <v>6.4</v>
      </c>
      <c r="J747" t="n">
        <v>1</v>
      </c>
      <c r="K747" t="n">
        <v>1</v>
      </c>
      <c r="L747" t="n">
        <v>0</v>
      </c>
      <c r="M747" t="n">
        <v>1</v>
      </c>
      <c r="N747" t="n">
        <v>0</v>
      </c>
      <c r="O747" t="n">
        <v>0</v>
      </c>
      <c r="P747" t="n">
        <v>0</v>
      </c>
      <c r="Q747" t="n">
        <v>1</v>
      </c>
      <c r="R747" t="n">
        <v>1</v>
      </c>
      <c r="S747" t="n">
        <v>3</v>
      </c>
      <c r="T747" t="n">
        <v>3</v>
      </c>
      <c r="U747" t="n">
        <v>3</v>
      </c>
      <c r="V747" s="2" t="inlineStr">
        <is>
          <t>Garnlav
Mindre märgborre
Mattlummer</t>
        </is>
      </c>
      <c r="W747">
        <f>HYPERLINK("https://klasma.github.io/Logging_2034/artfynd/A 61163-2025 artfynd.xlsx", "A 61163-2025")</f>
        <v/>
      </c>
      <c r="X747">
        <f>HYPERLINK("https://klasma.github.io/Logging_2034/kartor/A 61163-2025 karta.png", "A 61163-2025")</f>
        <v/>
      </c>
      <c r="Y747">
        <f>HYPERLINK("https://klasma.github.io/Logging_2034/kartor_geotiff/A 61163-2025 georefererad karta.tif", "A 61163-2025")</f>
        <v/>
      </c>
      <c r="AA747">
        <f>HYPERLINK("https://klasma.github.io/Logging_2034/klagomål/A 61163-2025 FSC-klagomål.docx", "A 61163-2025")</f>
        <v/>
      </c>
      <c r="AB747">
        <f>HYPERLINK("https://klasma.github.io/Logging_2034/klagomålsmail/A 61163-2025 FSC-klagomål mail.docx", "A 61163-2025")</f>
        <v/>
      </c>
      <c r="AC747">
        <f>HYPERLINK("https://klasma.github.io/Logging_2034/tillsyn/A 61163-2025 tillsynsbegäran.docx", "A 61163-2025")</f>
        <v/>
      </c>
      <c r="AD747">
        <f>HYPERLINK("https://klasma.github.io/Logging_2034/tillsynsmail/A 61163-2025 tillsynsbegäran mail.docx", "A 61163-2025")</f>
        <v/>
      </c>
    </row>
    <row r="748" ht="15" customHeight="1">
      <c r="A748" t="inlineStr">
        <is>
          <t>A 60940-2025</t>
        </is>
      </c>
      <c r="B748" t="inlineStr">
        <is>
          <t>avverkningsanmälan</t>
        </is>
      </c>
      <c r="C748" t="inlineStr">
        <is>
          <t>Föryngringsavverkning</t>
        </is>
      </c>
      <c r="D748" s="1" t="n">
        <v>45999</v>
      </c>
      <c r="E748" s="1" t="n">
        <v>46319</v>
      </c>
      <c r="F748" t="inlineStr">
        <is>
          <t>DALARNAS LÄN</t>
        </is>
      </c>
      <c r="G748" t="inlineStr">
        <is>
          <t>FALUN</t>
        </is>
      </c>
      <c r="H748" t="inlineStr">
        <is>
          <t>Bergvik skog väst AB</t>
        </is>
      </c>
      <c r="I748" t="n">
        <v>13.7</v>
      </c>
      <c r="J748" t="n">
        <v>1</v>
      </c>
      <c r="K748" t="n">
        <v>0</v>
      </c>
      <c r="L748" t="n">
        <v>2</v>
      </c>
      <c r="M748" t="n">
        <v>0</v>
      </c>
      <c r="N748" t="n">
        <v>0</v>
      </c>
      <c r="O748" t="n">
        <v>0</v>
      </c>
      <c r="P748" t="n">
        <v>0</v>
      </c>
      <c r="Q748" t="n">
        <v>2</v>
      </c>
      <c r="R748" t="n">
        <v>0</v>
      </c>
      <c r="S748" t="n">
        <v>3</v>
      </c>
      <c r="T748" t="n">
        <v>4</v>
      </c>
      <c r="U748" t="n">
        <v>0</v>
      </c>
      <c r="V748" s="2" t="inlineStr">
        <is>
          <t>Kortskaftad ärgspik
Tallticka
Tjäder</t>
        </is>
      </c>
      <c r="W748">
        <f>HYPERLINK("https://klasma.github.io/Logging_2080/artfynd/A 60940-2025 artfynd.xlsx", "A 60940-2025")</f>
        <v/>
      </c>
      <c r="X748">
        <f>HYPERLINK("https://klasma.github.io/Logging_2080/kartor/A 60940-2025 karta.png", "A 60940-2025")</f>
        <v/>
      </c>
      <c r="Y748">
        <f>HYPERLINK("https://klasma.github.io/Logging_2080/kartor_geotiff/A 60940-2025 georefererad karta.tif", "A 60940-2025")</f>
        <v/>
      </c>
      <c r="AA748">
        <f>HYPERLINK("https://klasma.github.io/Logging_2080/klagomål/A 60940-2025 FSC-klagomål.docx", "A 60940-2025")</f>
        <v/>
      </c>
      <c r="AB748">
        <f>HYPERLINK("https://klasma.github.io/Logging_2080/klagomålsmail/A 60940-2025 FSC-klagomål mail.docx", "A 60940-2025")</f>
        <v/>
      </c>
      <c r="AC748">
        <f>HYPERLINK("https://klasma.github.io/Logging_2080/tillsyn/A 60940-2025 tillsynsbegäran.docx", "A 60940-2025")</f>
        <v/>
      </c>
      <c r="AD748">
        <f>HYPERLINK("https://klasma.github.io/Logging_2080/tillsynsmail/A 60940-2025 tillsynsbegäran mail.docx", "A 60940-2025")</f>
        <v/>
      </c>
      <c r="AE748">
        <f>HYPERLINK("https://klasma.github.io/Logging_2080/fåglar/A 60940-2025 prioriterade fågelarter.docx", "A 60940-2025")</f>
        <v/>
      </c>
    </row>
    <row r="749" ht="15" customHeight="1">
      <c r="A749" t="inlineStr">
        <is>
          <t>A 22623-2026</t>
        </is>
      </c>
      <c r="B749" t="inlineStr">
        <is>
          <t>avverkningsanmälan</t>
        </is>
      </c>
      <c r="C749" t="inlineStr">
        <is>
          <t>Föryngringsavverkning</t>
        </is>
      </c>
      <c r="D749" s="1" t="n">
        <v>46155</v>
      </c>
      <c r="E749" s="1" t="n">
        <v>46319</v>
      </c>
      <c r="F749" t="inlineStr">
        <is>
          <t>DALARNAS LÄN</t>
        </is>
      </c>
      <c r="G749" t="inlineStr">
        <is>
          <t>SMEDJEBACKEN</t>
        </is>
      </c>
      <c r="H749" t="inlineStr">
        <is>
          <t>Sveaskog</t>
        </is>
      </c>
      <c r="I749" t="n">
        <v>3.1</v>
      </c>
      <c r="J749" t="n">
        <v>0</v>
      </c>
      <c r="K749" t="n">
        <v>2</v>
      </c>
      <c r="L749" t="n">
        <v>0</v>
      </c>
      <c r="M749" t="n">
        <v>0</v>
      </c>
      <c r="N749" t="n">
        <v>1</v>
      </c>
      <c r="O749" t="n">
        <v>0</v>
      </c>
      <c r="P749" t="n">
        <v>0</v>
      </c>
      <c r="Q749" t="n">
        <v>1</v>
      </c>
      <c r="R749" t="n">
        <v>1</v>
      </c>
      <c r="S749" t="n">
        <v>3</v>
      </c>
      <c r="T749" t="n">
        <v>3</v>
      </c>
      <c r="U749" t="n">
        <v>0</v>
      </c>
      <c r="V749" s="2" t="inlineStr">
        <is>
          <t>Skogsalm
Brandticka
Dvärgtufs</t>
        </is>
      </c>
      <c r="W749">
        <f>HYPERLINK("https://klasma.github.io/Logging_2061/artfynd/A 22623-2026 artfynd.xlsx", "A 22623-2026")</f>
        <v/>
      </c>
      <c r="X749">
        <f>HYPERLINK("https://klasma.github.io/Logging_2061/kartor/A 22623-2026 karta.png", "A 22623-2026")</f>
        <v/>
      </c>
      <c r="Y749">
        <f>HYPERLINK("https://klasma.github.io/Logging_2061/kartor_geotiff/A 22623-2026 georefererad karta.tif", "A 22623-2026")</f>
        <v/>
      </c>
      <c r="AA749">
        <f>HYPERLINK("https://klasma.github.io/Logging_2061/klagomål/A 22623-2026 FSC-klagomål.docx", "A 22623-2026")</f>
        <v/>
      </c>
      <c r="AB749">
        <f>HYPERLINK("https://klasma.github.io/Logging_2061/klagomålsmail/A 22623-2026 FSC-klagomål mail.docx", "A 22623-2026")</f>
        <v/>
      </c>
      <c r="AC749">
        <f>HYPERLINK("https://klasma.github.io/Logging_2061/tillsyn/A 22623-2026 tillsynsbegäran.docx", "A 22623-2026")</f>
        <v/>
      </c>
      <c r="AD749">
        <f>HYPERLINK("https://klasma.github.io/Logging_2061/tillsynsmail/A 22623-2026 tillsynsbegäran mail.docx", "A 22623-2026")</f>
        <v/>
      </c>
    </row>
    <row r="750" ht="15" customHeight="1">
      <c r="A750" t="inlineStr">
        <is>
          <t>A 62620-2025</t>
        </is>
      </c>
      <c r="B750" t="inlineStr">
        <is>
          <t>avverkningsanmälan</t>
        </is>
      </c>
      <c r="C750" t="inlineStr">
        <is>
          <t>Föryngringsavverkning</t>
        </is>
      </c>
      <c r="D750" s="1" t="n">
        <v>46008</v>
      </c>
      <c r="E750" s="1" t="n">
        <v>46319</v>
      </c>
      <c r="F750" t="inlineStr">
        <is>
          <t>DALARNAS LÄN</t>
        </is>
      </c>
      <c r="G750" t="inlineStr">
        <is>
          <t>MORA</t>
        </is>
      </c>
      <c r="I750" t="n">
        <v>3.3</v>
      </c>
      <c r="J750" t="n">
        <v>1</v>
      </c>
      <c r="K750" t="n">
        <v>1</v>
      </c>
      <c r="L750" t="n">
        <v>1</v>
      </c>
      <c r="M750" t="n">
        <v>1</v>
      </c>
      <c r="N750" t="n">
        <v>0</v>
      </c>
      <c r="O750" t="n">
        <v>0</v>
      </c>
      <c r="P750" t="n">
        <v>0</v>
      </c>
      <c r="Q750" t="n">
        <v>2</v>
      </c>
      <c r="R750" t="n">
        <v>1</v>
      </c>
      <c r="S750" t="n">
        <v>3</v>
      </c>
      <c r="T750" t="n">
        <v>14</v>
      </c>
      <c r="U750" t="n">
        <v>14</v>
      </c>
      <c r="V750" s="2" t="inlineStr">
        <is>
          <t>Garnlav
Tretåig hackspett
Mindre märgborre</t>
        </is>
      </c>
      <c r="W750">
        <f>HYPERLINK("https://klasma.github.io/Logging_2062/artfynd/A 62620-2025 artfynd.xlsx", "A 62620-2025")</f>
        <v/>
      </c>
      <c r="X750">
        <f>HYPERLINK("https://klasma.github.io/Logging_2062/kartor/A 62620-2025 karta.png", "A 62620-2025")</f>
        <v/>
      </c>
      <c r="Y750">
        <f>HYPERLINK("https://klasma.github.io/Logging_2062/kartor_geotiff/A 62620-2025 georefererad karta.tif", "A 62620-2025")</f>
        <v/>
      </c>
      <c r="AA750">
        <f>HYPERLINK("https://klasma.github.io/Logging_2062/klagomål/A 62620-2025 FSC-klagomål.docx", "A 62620-2025")</f>
        <v/>
      </c>
      <c r="AB750">
        <f>HYPERLINK("https://klasma.github.io/Logging_2062/klagomålsmail/A 62620-2025 FSC-klagomål mail.docx", "A 62620-2025")</f>
        <v/>
      </c>
      <c r="AC750">
        <f>HYPERLINK("https://klasma.github.io/Logging_2062/tillsyn/A 62620-2025 tillsynsbegäran.docx", "A 62620-2025")</f>
        <v/>
      </c>
      <c r="AD750">
        <f>HYPERLINK("https://klasma.github.io/Logging_2062/tillsynsmail/A 62620-2025 tillsynsbegäran mail.docx", "A 62620-2025")</f>
        <v/>
      </c>
      <c r="AE750">
        <f>HYPERLINK("https://klasma.github.io/Logging_2062/fåglar/A 62620-2025 prioriterade fågelarter.docx", "A 62620-2025")</f>
        <v/>
      </c>
    </row>
    <row r="751" ht="15" customHeight="1">
      <c r="A751" t="inlineStr">
        <is>
          <t>A 63048-2025</t>
        </is>
      </c>
      <c r="B751" t="inlineStr">
        <is>
          <t>avverkningsanmälan</t>
        </is>
      </c>
      <c r="C751" t="inlineStr">
        <is>
          <t>Föryngringsavverkning</t>
        </is>
      </c>
      <c r="D751" s="1" t="n">
        <v>46009</v>
      </c>
      <c r="E751" s="1" t="n">
        <v>46319</v>
      </c>
      <c r="F751" t="inlineStr">
        <is>
          <t>DALARNAS LÄN</t>
        </is>
      </c>
      <c r="G751" t="inlineStr">
        <is>
          <t>SMEDJEBACKEN</t>
        </is>
      </c>
      <c r="H751" t="inlineStr">
        <is>
          <t>Övriga Aktiebolag</t>
        </is>
      </c>
      <c r="I751" t="n">
        <v>1.4</v>
      </c>
      <c r="J751" t="n">
        <v>2</v>
      </c>
      <c r="K751" t="n">
        <v>1</v>
      </c>
      <c r="L751" t="n">
        <v>0</v>
      </c>
      <c r="M751" t="n">
        <v>0</v>
      </c>
      <c r="N751" t="n">
        <v>0</v>
      </c>
      <c r="O751" t="n">
        <v>0</v>
      </c>
      <c r="P751" t="n">
        <v>0</v>
      </c>
      <c r="Q751" t="n">
        <v>0</v>
      </c>
      <c r="R751" t="n">
        <v>0</v>
      </c>
      <c r="S751" t="n">
        <v>3</v>
      </c>
      <c r="T751" t="n">
        <v>8</v>
      </c>
      <c r="U751" t="n">
        <v>0</v>
      </c>
      <c r="V751" s="2" t="inlineStr">
        <is>
          <t>Stubbspretmossa
Blåsippa
Revlummer</t>
        </is>
      </c>
      <c r="W751">
        <f>HYPERLINK("https://klasma.github.io/Logging_2061/artfynd/A 63048-2025 artfynd.xlsx", "A 63048-2025")</f>
        <v/>
      </c>
      <c r="X751">
        <f>HYPERLINK("https://klasma.github.io/Logging_2061/kartor/A 63048-2025 karta.png", "A 63048-2025")</f>
        <v/>
      </c>
      <c r="Y751">
        <f>HYPERLINK("https://klasma.github.io/Logging_2061/kartor_geotiff/A 63048-2025 georefererad karta.tif", "A 63048-2025")</f>
        <v/>
      </c>
      <c r="AA751">
        <f>HYPERLINK("https://klasma.github.io/Logging_2061/klagomål/A 63048-2025 FSC-klagomål.docx", "A 63048-2025")</f>
        <v/>
      </c>
      <c r="AB751">
        <f>HYPERLINK("https://klasma.github.io/Logging_2061/klagomålsmail/A 63048-2025 FSC-klagomål mail.docx", "A 63048-2025")</f>
        <v/>
      </c>
      <c r="AC751">
        <f>HYPERLINK("https://klasma.github.io/Logging_2061/tillsyn/A 63048-2025 tillsynsbegäran.docx", "A 63048-2025")</f>
        <v/>
      </c>
      <c r="AD751">
        <f>HYPERLINK("https://klasma.github.io/Logging_2061/tillsynsmail/A 63048-2025 tillsynsbegäran mail.docx", "A 63048-2025")</f>
        <v/>
      </c>
    </row>
    <row r="752" ht="15" customHeight="1">
      <c r="A752" t="inlineStr">
        <is>
          <t>A 32530-2026</t>
        </is>
      </c>
      <c r="B752" t="inlineStr">
        <is>
          <t>avverkningsanmälan</t>
        </is>
      </c>
      <c r="C752" t="inlineStr">
        <is>
          <t>Föryngringsavverkning</t>
        </is>
      </c>
      <c r="D752" s="1" t="n">
        <v>46239</v>
      </c>
      <c r="E752" s="1" t="n">
        <v>46319</v>
      </c>
      <c r="F752" t="inlineStr">
        <is>
          <t>DALARNAS LÄN</t>
        </is>
      </c>
      <c r="G752" t="inlineStr">
        <is>
          <t>HEDEMORA</t>
        </is>
      </c>
      <c r="H752" t="inlineStr">
        <is>
          <t>Sveaskog</t>
        </is>
      </c>
      <c r="I752" t="n">
        <v>2.8</v>
      </c>
      <c r="J752" t="n">
        <v>2</v>
      </c>
      <c r="K752" t="n">
        <v>0</v>
      </c>
      <c r="L752" t="n">
        <v>1</v>
      </c>
      <c r="M752" t="n">
        <v>1</v>
      </c>
      <c r="N752" t="n">
        <v>0</v>
      </c>
      <c r="O752" t="n">
        <v>0</v>
      </c>
      <c r="P752" t="n">
        <v>0</v>
      </c>
      <c r="Q752" t="n">
        <v>2</v>
      </c>
      <c r="R752" t="n">
        <v>1</v>
      </c>
      <c r="S752" t="n">
        <v>3</v>
      </c>
      <c r="T752" t="n">
        <v>3</v>
      </c>
      <c r="U752" t="n">
        <v>0</v>
      </c>
      <c r="V752" s="2" t="inlineStr">
        <is>
          <t>Knärot
Kolflarnlav
Blåsippa</t>
        </is>
      </c>
      <c r="W752">
        <f>HYPERLINK("https://klasma.github.io/Logging_2083/artfynd/A 32530-2026 artfynd.xlsx", "A 32530-2026")</f>
        <v/>
      </c>
      <c r="X752">
        <f>HYPERLINK("https://klasma.github.io/Logging_2083/kartor/A 32530-2026 karta.png", "A 32530-2026")</f>
        <v/>
      </c>
      <c r="Y752">
        <f>HYPERLINK("https://klasma.github.io/Logging_2083/kartor_geotiff/A 32530-2026 georefererad karta.tif", "A 32530-2026")</f>
        <v/>
      </c>
      <c r="Z752">
        <f>HYPERLINK("https://klasma.github.io/Logging_2083/knärot/A 32530-2026 karta knärot.png", "A 32530-2026")</f>
        <v/>
      </c>
      <c r="AA752">
        <f>HYPERLINK("https://klasma.github.io/Logging_2083/klagomål/A 32530-2026 FSC-klagomål.docx", "A 32530-2026")</f>
        <v/>
      </c>
      <c r="AB752">
        <f>HYPERLINK("https://klasma.github.io/Logging_2083/klagomålsmail/A 32530-2026 FSC-klagomål mail.docx", "A 32530-2026")</f>
        <v/>
      </c>
      <c r="AC752">
        <f>HYPERLINK("https://klasma.github.io/Logging_2083/tillsyn/A 32530-2026 tillsynsbegäran.docx", "A 32530-2026")</f>
        <v/>
      </c>
      <c r="AD752">
        <f>HYPERLINK("https://klasma.github.io/Logging_2083/tillsynsmail/A 32530-2026 tillsynsbegäran mail.docx", "A 32530-2026")</f>
        <v/>
      </c>
    </row>
    <row r="753" ht="15" customHeight="1">
      <c r="A753" t="inlineStr">
        <is>
          <t>A 23087-2025</t>
        </is>
      </c>
      <c r="B753" t="inlineStr">
        <is>
          <t>avverkningsanmälan</t>
        </is>
      </c>
      <c r="C753" t="inlineStr">
        <is>
          <t>Föryngringsavverkning</t>
        </is>
      </c>
      <c r="D753" s="1" t="n">
        <v>45791</v>
      </c>
      <c r="E753" s="1" t="n">
        <v>46319</v>
      </c>
      <c r="F753" t="inlineStr">
        <is>
          <t>DALARNAS LÄN</t>
        </is>
      </c>
      <c r="G753" t="inlineStr">
        <is>
          <t>LUDVIKA</t>
        </is>
      </c>
      <c r="H753" t="inlineStr">
        <is>
          <t>Bergvik skog väst AB</t>
        </is>
      </c>
      <c r="I753" t="n">
        <v>0.9</v>
      </c>
      <c r="J753" t="n">
        <v>0</v>
      </c>
      <c r="K753" t="n">
        <v>0</v>
      </c>
      <c r="L753" t="n">
        <v>3</v>
      </c>
      <c r="M753" t="n">
        <v>0</v>
      </c>
      <c r="N753" t="n">
        <v>0</v>
      </c>
      <c r="O753" t="n">
        <v>0</v>
      </c>
      <c r="P753" t="n">
        <v>0</v>
      </c>
      <c r="Q753" t="n">
        <v>3</v>
      </c>
      <c r="R753" t="n">
        <v>0</v>
      </c>
      <c r="S753" t="n">
        <v>3</v>
      </c>
      <c r="T753" t="n">
        <v>3</v>
      </c>
      <c r="U753" t="n">
        <v>3</v>
      </c>
      <c r="V753" s="2" t="inlineStr">
        <is>
          <t>Dropptaggsvamp
Motaggsvamp
Orange taggsvamp</t>
        </is>
      </c>
      <c r="W753">
        <f>HYPERLINK("https://klasma.github.io/Logging_2085/artfynd/A 23087-2025 artfynd.xlsx", "A 23087-2025")</f>
        <v/>
      </c>
      <c r="X753">
        <f>HYPERLINK("https://klasma.github.io/Logging_2085/kartor/A 23087-2025 karta.png", "A 23087-2025")</f>
        <v/>
      </c>
      <c r="Y753">
        <f>HYPERLINK("https://klasma.github.io/Logging_2085/kartor_geotiff/A 23087-2025 georefererad karta.tif", "A 23087-2025")</f>
        <v/>
      </c>
      <c r="AA753">
        <f>HYPERLINK("https://klasma.github.io/Logging_2085/klagomål/A 23087-2025 FSC-klagomål.docx", "A 23087-2025")</f>
        <v/>
      </c>
      <c r="AB753">
        <f>HYPERLINK("https://klasma.github.io/Logging_2085/klagomålsmail/A 23087-2025 FSC-klagomål mail.docx", "A 23087-2025")</f>
        <v/>
      </c>
      <c r="AC753">
        <f>HYPERLINK("https://klasma.github.io/Logging_2085/tillsyn/A 23087-2025 tillsynsbegäran.docx", "A 23087-2025")</f>
        <v/>
      </c>
      <c r="AD753">
        <f>HYPERLINK("https://klasma.github.io/Logging_2085/tillsynsmail/A 23087-2025 tillsynsbegäran mail.docx", "A 23087-2025")</f>
        <v/>
      </c>
    </row>
    <row r="754" ht="15" customHeight="1">
      <c r="A754" t="inlineStr">
        <is>
          <t>A 2295-2026</t>
        </is>
      </c>
      <c r="B754" t="inlineStr">
        <is>
          <t>avverkningsanmälan</t>
        </is>
      </c>
      <c r="C754" t="inlineStr">
        <is>
          <t>Föryngringsavverkning</t>
        </is>
      </c>
      <c r="D754" s="1" t="n">
        <v>46036</v>
      </c>
      <c r="E754" s="1" t="n">
        <v>46319</v>
      </c>
      <c r="F754" t="inlineStr">
        <is>
          <t>DALARNAS LÄN</t>
        </is>
      </c>
      <c r="G754" t="inlineStr">
        <is>
          <t>BORLÄNGE</t>
        </is>
      </c>
      <c r="I754" t="n">
        <v>12.7</v>
      </c>
      <c r="J754" t="n">
        <v>1</v>
      </c>
      <c r="K754" t="n">
        <v>1</v>
      </c>
      <c r="L754" t="n">
        <v>1</v>
      </c>
      <c r="M754" t="n">
        <v>0</v>
      </c>
      <c r="N754" t="n">
        <v>0</v>
      </c>
      <c r="O754" t="n">
        <v>0</v>
      </c>
      <c r="P754" t="n">
        <v>0</v>
      </c>
      <c r="Q754" t="n">
        <v>1</v>
      </c>
      <c r="R754" t="n">
        <v>0</v>
      </c>
      <c r="S754" t="n">
        <v>3</v>
      </c>
      <c r="T754" t="n">
        <v>6</v>
      </c>
      <c r="U754" t="n">
        <v>3</v>
      </c>
      <c r="V754" s="2" t="inlineStr">
        <is>
          <t>Vedskivlav
Vedticka
Tjäder</t>
        </is>
      </c>
      <c r="W754">
        <f>HYPERLINK("https://klasma.github.io/Logging_2081/artfynd/A 2295-2026 artfynd.xlsx", "A 2295-2026")</f>
        <v/>
      </c>
      <c r="X754">
        <f>HYPERLINK("https://klasma.github.io/Logging_2081/kartor/A 2295-2026 karta.png", "A 2295-2026")</f>
        <v/>
      </c>
      <c r="Y754">
        <f>HYPERLINK("https://klasma.github.io/Logging_2081/kartor_geotiff/A 2295-2026 georefererad karta.tif", "A 2295-2026")</f>
        <v/>
      </c>
      <c r="AA754">
        <f>HYPERLINK("https://klasma.github.io/Logging_2081/klagomål/A 2295-2026 FSC-klagomål.docx", "A 2295-2026")</f>
        <v/>
      </c>
      <c r="AB754">
        <f>HYPERLINK("https://klasma.github.io/Logging_2081/klagomålsmail/A 2295-2026 FSC-klagomål mail.docx", "A 2295-2026")</f>
        <v/>
      </c>
      <c r="AC754">
        <f>HYPERLINK("https://klasma.github.io/Logging_2081/tillsyn/A 2295-2026 tillsynsbegäran.docx", "A 2295-2026")</f>
        <v/>
      </c>
      <c r="AD754">
        <f>HYPERLINK("https://klasma.github.io/Logging_2081/tillsynsmail/A 2295-2026 tillsynsbegäran mail.docx", "A 2295-2026")</f>
        <v/>
      </c>
      <c r="AE754">
        <f>HYPERLINK("https://klasma.github.io/Logging_2081/fåglar/A 2295-2026 prioriterade fågelarter.docx", "A 2295-2026")</f>
        <v/>
      </c>
    </row>
    <row r="755" ht="15" customHeight="1">
      <c r="A755" t="inlineStr">
        <is>
          <t>A 37708-2024</t>
        </is>
      </c>
      <c r="B755" t="inlineStr">
        <is>
          <t>avverkningsanmälan</t>
        </is>
      </c>
      <c r="C755" t="inlineStr">
        <is>
          <t>Föryngringsavverkning</t>
        </is>
      </c>
      <c r="D755" s="1" t="n">
        <v>45541</v>
      </c>
      <c r="E755" s="1" t="n">
        <v>46319</v>
      </c>
      <c r="F755" t="inlineStr">
        <is>
          <t>DALARNAS LÄN</t>
        </is>
      </c>
      <c r="G755" t="inlineStr">
        <is>
          <t>BORLÄNGE</t>
        </is>
      </c>
      <c r="I755" t="n">
        <v>0.6</v>
      </c>
      <c r="J755" t="n">
        <v>0</v>
      </c>
      <c r="K755" t="n">
        <v>0</v>
      </c>
      <c r="L755" t="n">
        <v>3</v>
      </c>
      <c r="M755" t="n">
        <v>0</v>
      </c>
      <c r="N755" t="n">
        <v>0</v>
      </c>
      <c r="O755" t="n">
        <v>0</v>
      </c>
      <c r="P755" t="n">
        <v>0</v>
      </c>
      <c r="Q755" t="n">
        <v>3</v>
      </c>
      <c r="R755" t="n">
        <v>0</v>
      </c>
      <c r="S755" t="n">
        <v>3</v>
      </c>
      <c r="T755" t="n">
        <v>3</v>
      </c>
      <c r="U755" t="n">
        <v>0</v>
      </c>
      <c r="V755" s="2" t="inlineStr">
        <is>
          <t>Gropticka
Rosenticka
Ullticka</t>
        </is>
      </c>
      <c r="W755">
        <f>HYPERLINK("https://klasma.github.io/Logging_2081/artfynd/A 37708-2024 artfynd.xlsx", "A 37708-2024")</f>
        <v/>
      </c>
      <c r="X755">
        <f>HYPERLINK("https://klasma.github.io/Logging_2081/kartor/A 37708-2024 karta.png", "A 37708-2024")</f>
        <v/>
      </c>
      <c r="Y755">
        <f>HYPERLINK("https://klasma.github.io/Logging_2081/kartor_geotiff/A 37708-2024 georefererad karta.tif", "A 37708-2024")</f>
        <v/>
      </c>
      <c r="AA755">
        <f>HYPERLINK("https://klasma.github.io/Logging_2081/klagomål/A 37708-2024 FSC-klagomål.docx", "A 37708-2024")</f>
        <v/>
      </c>
      <c r="AB755">
        <f>HYPERLINK("https://klasma.github.io/Logging_2081/klagomålsmail/A 37708-2024 FSC-klagomål mail.docx", "A 37708-2024")</f>
        <v/>
      </c>
      <c r="AC755">
        <f>HYPERLINK("https://klasma.github.io/Logging_2081/tillsyn/A 37708-2024 tillsynsbegäran.docx", "A 37708-2024")</f>
        <v/>
      </c>
      <c r="AD755">
        <f>HYPERLINK("https://klasma.github.io/Logging_2081/tillsynsmail/A 37708-2024 tillsynsbegäran mail.docx", "A 37708-2024")</f>
        <v/>
      </c>
    </row>
    <row r="756" ht="15" customHeight="1">
      <c r="A756" t="inlineStr">
        <is>
          <t>A 27374-2022</t>
        </is>
      </c>
      <c r="B756" t="inlineStr">
        <is>
          <t>avverkningsanmälan</t>
        </is>
      </c>
      <c r="C756" t="inlineStr">
        <is>
          <t>Föryngringsavverkning</t>
        </is>
      </c>
      <c r="D756" s="1" t="n">
        <v>44742</v>
      </c>
      <c r="E756" s="1" t="n">
        <v>46319</v>
      </c>
      <c r="F756" t="inlineStr">
        <is>
          <t>DALARNAS LÄN</t>
        </is>
      </c>
      <c r="G756" t="inlineStr">
        <is>
          <t>SÄTER</t>
        </is>
      </c>
      <c r="H756" t="inlineStr">
        <is>
          <t>Kommuner</t>
        </is>
      </c>
      <c r="I756" t="n">
        <v>4.3</v>
      </c>
      <c r="J756" t="n">
        <v>2</v>
      </c>
      <c r="K756" t="n">
        <v>1</v>
      </c>
      <c r="L756" t="n">
        <v>0</v>
      </c>
      <c r="M756" t="n">
        <v>2</v>
      </c>
      <c r="N756" t="n">
        <v>0</v>
      </c>
      <c r="O756" t="n">
        <v>0</v>
      </c>
      <c r="P756" t="n">
        <v>0</v>
      </c>
      <c r="Q756" t="n">
        <v>2</v>
      </c>
      <c r="R756" t="n">
        <v>2</v>
      </c>
      <c r="S756" t="n">
        <v>3</v>
      </c>
      <c r="T756" t="n">
        <v>13</v>
      </c>
      <c r="U756" t="n">
        <v>0</v>
      </c>
      <c r="V756" s="2" t="inlineStr">
        <is>
          <t>Garnlav
Knärot
Nästrot</t>
        </is>
      </c>
      <c r="W756">
        <f>HYPERLINK("https://klasma.github.io/Logging_2082/artfynd/A 27374-2022 artfynd.xlsx", "A 27374-2022")</f>
        <v/>
      </c>
      <c r="X756">
        <f>HYPERLINK("https://klasma.github.io/Logging_2082/kartor/A 27374-2022 karta.png", "A 27374-2022")</f>
        <v/>
      </c>
      <c r="Y756">
        <f>HYPERLINK("https://klasma.github.io/Logging_2082/kartor_geotiff/A 27374-2022 georefererad karta.tif", "A 27374-2022")</f>
        <v/>
      </c>
      <c r="Z756">
        <f>HYPERLINK("https://klasma.github.io/Logging_2082/knärot/A 27374-2022 karta knärot.png", "A 27374-2022")</f>
        <v/>
      </c>
      <c r="AA756">
        <f>HYPERLINK("https://klasma.github.io/Logging_2082/klagomål/A 27374-2022 FSC-klagomål.docx", "A 27374-2022")</f>
        <v/>
      </c>
      <c r="AB756">
        <f>HYPERLINK("https://klasma.github.io/Logging_2082/klagomålsmail/A 27374-2022 FSC-klagomål mail.docx", "A 27374-2022")</f>
        <v/>
      </c>
      <c r="AC756">
        <f>HYPERLINK("https://klasma.github.io/Logging_2082/tillsyn/A 27374-2022 tillsynsbegäran.docx", "A 27374-2022")</f>
        <v/>
      </c>
      <c r="AD756">
        <f>HYPERLINK("https://klasma.github.io/Logging_2082/tillsynsmail/A 27374-2022 tillsynsbegäran mail.docx", "A 27374-2022")</f>
        <v/>
      </c>
    </row>
    <row r="757" ht="15" customHeight="1">
      <c r="A757" t="inlineStr">
        <is>
          <t>A 39108-2026</t>
        </is>
      </c>
      <c r="B757" t="inlineStr">
        <is>
          <t>avverkningsanmälan</t>
        </is>
      </c>
      <c r="C757" t="inlineStr">
        <is>
          <t>Föryngringsavverkning</t>
        </is>
      </c>
      <c r="D757" s="1" t="n">
        <v>46287</v>
      </c>
      <c r="E757" s="1" t="n">
        <v>46319</v>
      </c>
      <c r="F757" t="inlineStr">
        <is>
          <t>DALARNAS LÄN</t>
        </is>
      </c>
      <c r="G757" t="inlineStr">
        <is>
          <t>FALUN</t>
        </is>
      </c>
      <c r="H757" t="inlineStr">
        <is>
          <t>Bergvik skog väst AB</t>
        </is>
      </c>
      <c r="I757" t="n">
        <v>21.6</v>
      </c>
      <c r="J757" t="n">
        <v>0</v>
      </c>
      <c r="K757" t="n">
        <v>0</v>
      </c>
      <c r="L757" t="n">
        <v>2</v>
      </c>
      <c r="M757" t="n">
        <v>1</v>
      </c>
      <c r="N757" t="n">
        <v>0</v>
      </c>
      <c r="O757" t="n">
        <v>0</v>
      </c>
      <c r="P757" t="n">
        <v>0</v>
      </c>
      <c r="Q757" t="n">
        <v>3</v>
      </c>
      <c r="R757" t="n">
        <v>1</v>
      </c>
      <c r="S757" t="n">
        <v>3</v>
      </c>
      <c r="T757" t="n">
        <v>3</v>
      </c>
      <c r="U757" t="n">
        <v>0</v>
      </c>
      <c r="V757" s="2" t="inlineStr">
        <is>
          <t>Garnlav
Gammelgransskål
Liten svartspik</t>
        </is>
      </c>
      <c r="W757">
        <f>HYPERLINK("https://klasma.github.io/Logging_2080/artfynd/A 39108-2026 artfynd.xlsx", "A 39108-2026")</f>
        <v/>
      </c>
      <c r="X757">
        <f>HYPERLINK("https://klasma.github.io/Logging_2080/kartor/A 39108-2026 karta.png", "A 39108-2026")</f>
        <v/>
      </c>
      <c r="Y757">
        <f>HYPERLINK("https://klasma.github.io/Logging_2080/kartor_geotiff/A 39108-2026 georefererad karta.tif", "A 39108-2026")</f>
        <v/>
      </c>
      <c r="AA757">
        <f>HYPERLINK("https://klasma.github.io/Logging_2080/klagomål/A 39108-2026 FSC-klagomål.docx", "A 39108-2026")</f>
        <v/>
      </c>
      <c r="AB757">
        <f>HYPERLINK("https://klasma.github.io/Logging_2080/klagomålsmail/A 39108-2026 FSC-klagomål mail.docx", "A 39108-2026")</f>
        <v/>
      </c>
      <c r="AC757">
        <f>HYPERLINK("https://klasma.github.io/Logging_2080/tillsyn/A 39108-2026 tillsynsbegäran.docx", "A 39108-2026")</f>
        <v/>
      </c>
      <c r="AD757">
        <f>HYPERLINK("https://klasma.github.io/Logging_2080/tillsynsmail/A 39108-2026 tillsynsbegäran mail.docx", "A 39108-2026")</f>
        <v/>
      </c>
    </row>
    <row r="758" ht="15" customHeight="1">
      <c r="A758" t="inlineStr">
        <is>
          <t>A 3208-2026</t>
        </is>
      </c>
      <c r="B758" t="inlineStr">
        <is>
          <t>avverkningsanmälan</t>
        </is>
      </c>
      <c r="C758" t="inlineStr">
        <is>
          <t>Föryngringsavverkning</t>
        </is>
      </c>
      <c r="D758" s="1" t="n">
        <v>46041</v>
      </c>
      <c r="E758" s="1" t="n">
        <v>46319</v>
      </c>
      <c r="F758" t="inlineStr">
        <is>
          <t>DALARNAS LÄN</t>
        </is>
      </c>
      <c r="G758" t="inlineStr">
        <is>
          <t>FALUN</t>
        </is>
      </c>
      <c r="I758" t="n">
        <v>5.3</v>
      </c>
      <c r="J758" t="n">
        <v>0</v>
      </c>
      <c r="K758" t="n">
        <v>0</v>
      </c>
      <c r="L758" t="n">
        <v>2</v>
      </c>
      <c r="M758" t="n">
        <v>1</v>
      </c>
      <c r="N758" t="n">
        <v>0</v>
      </c>
      <c r="O758" t="n">
        <v>0</v>
      </c>
      <c r="P758" t="n">
        <v>0</v>
      </c>
      <c r="Q758" t="n">
        <v>3</v>
      </c>
      <c r="R758" t="n">
        <v>1</v>
      </c>
      <c r="S758" t="n">
        <v>3</v>
      </c>
      <c r="T758" t="n">
        <v>5</v>
      </c>
      <c r="U758" t="n">
        <v>5</v>
      </c>
      <c r="V758" s="2" t="inlineStr">
        <is>
          <t>Garnlav
Kolflarnlav
Mörk kolflarnlav</t>
        </is>
      </c>
      <c r="W758">
        <f>HYPERLINK("https://klasma.github.io/Logging_2080/artfynd/A 3208-2026 artfynd.xlsx", "A 3208-2026")</f>
        <v/>
      </c>
      <c r="X758">
        <f>HYPERLINK("https://klasma.github.io/Logging_2080/kartor/A 3208-2026 karta.png", "A 3208-2026")</f>
        <v/>
      </c>
      <c r="Y758">
        <f>HYPERLINK("https://klasma.github.io/Logging_2080/kartor_geotiff/A 3208-2026 georefererad karta.tif", "A 3208-2026")</f>
        <v/>
      </c>
      <c r="AA758">
        <f>HYPERLINK("https://klasma.github.io/Logging_2080/klagomål/A 3208-2026 FSC-klagomål.docx", "A 3208-2026")</f>
        <v/>
      </c>
      <c r="AB758">
        <f>HYPERLINK("https://klasma.github.io/Logging_2080/klagomålsmail/A 3208-2026 FSC-klagomål mail.docx", "A 3208-2026")</f>
        <v/>
      </c>
      <c r="AC758">
        <f>HYPERLINK("https://klasma.github.io/Logging_2080/tillsyn/A 3208-2026 tillsynsbegäran.docx", "A 3208-2026")</f>
        <v/>
      </c>
      <c r="AD758">
        <f>HYPERLINK("https://klasma.github.io/Logging_2080/tillsynsmail/A 3208-2026 tillsynsbegäran mail.docx", "A 3208-2026")</f>
        <v/>
      </c>
    </row>
    <row r="759" ht="15" customHeight="1">
      <c r="A759" t="inlineStr">
        <is>
          <t>A 60367-2024</t>
        </is>
      </c>
      <c r="B759" t="inlineStr">
        <is>
          <t>avverkningsanmälan</t>
        </is>
      </c>
      <c r="C759" t="inlineStr">
        <is>
          <t>Föryngringsavverkning</t>
        </is>
      </c>
      <c r="D759" s="1" t="n">
        <v>45643</v>
      </c>
      <c r="E759" s="1" t="n">
        <v>46319</v>
      </c>
      <c r="F759" t="inlineStr">
        <is>
          <t>DALARNAS LÄN</t>
        </is>
      </c>
      <c r="G759" t="inlineStr">
        <is>
          <t>AVESTA</t>
        </is>
      </c>
      <c r="I759" t="n">
        <v>10.1</v>
      </c>
      <c r="J759" t="n">
        <v>2</v>
      </c>
      <c r="K759" t="n">
        <v>2</v>
      </c>
      <c r="L759" t="n">
        <v>0</v>
      </c>
      <c r="M759" t="n">
        <v>1</v>
      </c>
      <c r="N759" t="n">
        <v>0</v>
      </c>
      <c r="O759" t="n">
        <v>0</v>
      </c>
      <c r="P759" t="n">
        <v>0</v>
      </c>
      <c r="Q759" t="n">
        <v>1</v>
      </c>
      <c r="R759" t="n">
        <v>1</v>
      </c>
      <c r="S759" t="n">
        <v>3</v>
      </c>
      <c r="T759" t="n">
        <v>6</v>
      </c>
      <c r="U759" t="n">
        <v>0</v>
      </c>
      <c r="V759" s="2" t="inlineStr">
        <is>
          <t>Knärot
Grönpyrola
Plattlummer</t>
        </is>
      </c>
      <c r="W759">
        <f>HYPERLINK("https://klasma.github.io/Logging_2084/artfynd/A 60367-2024 artfynd.xlsx", "A 60367-2024")</f>
        <v/>
      </c>
      <c r="X759">
        <f>HYPERLINK("https://klasma.github.io/Logging_2084/kartor/A 60367-2024 karta.png", "A 60367-2024")</f>
        <v/>
      </c>
      <c r="Y759">
        <f>HYPERLINK("https://klasma.github.io/Logging_2084/kartor_geotiff/A 60367-2024 georefererad karta.tif", "A 60367-2024")</f>
        <v/>
      </c>
      <c r="Z759">
        <f>HYPERLINK("https://klasma.github.io/Logging_2084/knärot/A 60367-2024 karta knärot.png", "A 60367-2024")</f>
        <v/>
      </c>
      <c r="AA759">
        <f>HYPERLINK("https://klasma.github.io/Logging_2084/klagomål/A 60367-2024 FSC-klagomål.docx", "A 60367-2024")</f>
        <v/>
      </c>
      <c r="AB759">
        <f>HYPERLINK("https://klasma.github.io/Logging_2084/klagomålsmail/A 60367-2024 FSC-klagomål mail.docx", "A 60367-2024")</f>
        <v/>
      </c>
      <c r="AC759">
        <f>HYPERLINK("https://klasma.github.io/Logging_2084/tillsyn/A 60367-2024 tillsynsbegäran.docx", "A 60367-2024")</f>
        <v/>
      </c>
      <c r="AD759">
        <f>HYPERLINK("https://klasma.github.io/Logging_2084/tillsynsmail/A 60367-2024 tillsynsbegäran mail.docx", "A 60367-2024")</f>
        <v/>
      </c>
    </row>
    <row r="760" ht="15" customHeight="1">
      <c r="A760" t="inlineStr">
        <is>
          <t>A 7024-2024</t>
        </is>
      </c>
      <c r="B760" t="inlineStr">
        <is>
          <t>avverkningsanmälan</t>
        </is>
      </c>
      <c r="C760" t="inlineStr">
        <is>
          <t>Föryngringsavverkning</t>
        </is>
      </c>
      <c r="D760" s="1" t="n">
        <v>45343</v>
      </c>
      <c r="E760" s="1" t="n">
        <v>46319</v>
      </c>
      <c r="F760" t="inlineStr">
        <is>
          <t>DALARNAS LÄN</t>
        </is>
      </c>
      <c r="G760" t="inlineStr">
        <is>
          <t>ÄLVDALEN</t>
        </is>
      </c>
      <c r="H760" t="inlineStr">
        <is>
          <t>Sveaskog</t>
        </is>
      </c>
      <c r="I760" t="n">
        <v>30.1</v>
      </c>
      <c r="J760" t="n">
        <v>0</v>
      </c>
      <c r="K760" t="n">
        <v>0</v>
      </c>
      <c r="L760" t="n">
        <v>2</v>
      </c>
      <c r="M760" t="n">
        <v>1</v>
      </c>
      <c r="N760" t="n">
        <v>0</v>
      </c>
      <c r="O760" t="n">
        <v>0</v>
      </c>
      <c r="P760" t="n">
        <v>0</v>
      </c>
      <c r="Q760" t="n">
        <v>3</v>
      </c>
      <c r="R760" t="n">
        <v>1</v>
      </c>
      <c r="S760" t="n">
        <v>3</v>
      </c>
      <c r="T760" t="n">
        <v>3</v>
      </c>
      <c r="U760" t="n">
        <v>0</v>
      </c>
      <c r="V760" s="2" t="inlineStr">
        <is>
          <t>Gräddporing
Nordtagging
Vaddporing</t>
        </is>
      </c>
      <c r="W760">
        <f>HYPERLINK("https://klasma.github.io/Logging_2039/artfynd/A 7024-2024 artfynd.xlsx", "A 7024-2024")</f>
        <v/>
      </c>
      <c r="X760">
        <f>HYPERLINK("https://klasma.github.io/Logging_2039/kartor/A 7024-2024 karta.png", "A 7024-2024")</f>
        <v/>
      </c>
      <c r="Y760">
        <f>HYPERLINK("https://klasma.github.io/Logging_2039/kartor_geotiff/A 7024-2024 georefererad karta.tif", "A 7024-2024")</f>
        <v/>
      </c>
      <c r="AA760">
        <f>HYPERLINK("https://klasma.github.io/Logging_2039/klagomål/A 7024-2024 FSC-klagomål.docx", "A 7024-2024")</f>
        <v/>
      </c>
      <c r="AB760">
        <f>HYPERLINK("https://klasma.github.io/Logging_2039/klagomålsmail/A 7024-2024 FSC-klagomål mail.docx", "A 7024-2024")</f>
        <v/>
      </c>
      <c r="AC760">
        <f>HYPERLINK("https://klasma.github.io/Logging_2039/tillsyn/A 7024-2024 tillsynsbegäran.docx", "A 7024-2024")</f>
        <v/>
      </c>
      <c r="AD760">
        <f>HYPERLINK("https://klasma.github.io/Logging_2039/tillsynsmail/A 7024-2024 tillsynsbegäran mail.docx", "A 7024-2024")</f>
        <v/>
      </c>
    </row>
    <row r="761" ht="15" customHeight="1">
      <c r="A761" t="inlineStr">
        <is>
          <t>A 5677-2026</t>
        </is>
      </c>
      <c r="B761" t="inlineStr">
        <is>
          <t>avverkningsanmälan</t>
        </is>
      </c>
      <c r="C761" t="inlineStr">
        <is>
          <t>Föryngringsavverkning</t>
        </is>
      </c>
      <c r="D761" s="1" t="n">
        <v>46051</v>
      </c>
      <c r="E761" s="1" t="n">
        <v>46319</v>
      </c>
      <c r="F761" t="inlineStr">
        <is>
          <t>DALARNAS LÄN</t>
        </is>
      </c>
      <c r="G761" t="inlineStr">
        <is>
          <t>HEDEMORA</t>
        </is>
      </c>
      <c r="I761" t="n">
        <v>2.4</v>
      </c>
      <c r="J761" t="n">
        <v>3</v>
      </c>
      <c r="K761" t="n">
        <v>0</v>
      </c>
      <c r="L761" t="n">
        <v>2</v>
      </c>
      <c r="M761" t="n">
        <v>0</v>
      </c>
      <c r="N761" t="n">
        <v>0</v>
      </c>
      <c r="O761" t="n">
        <v>0</v>
      </c>
      <c r="P761" t="n">
        <v>0</v>
      </c>
      <c r="Q761" t="n">
        <v>2</v>
      </c>
      <c r="R761" t="n">
        <v>0</v>
      </c>
      <c r="S761" t="n">
        <v>3</v>
      </c>
      <c r="T761" t="n">
        <v>3</v>
      </c>
      <c r="U761" t="n">
        <v>3</v>
      </c>
      <c r="V761" s="2" t="inlineStr">
        <is>
          <t>Brunlångöra
Nordfladdermus
Vattenfladdermus</t>
        </is>
      </c>
      <c r="W761">
        <f>HYPERLINK("https://klasma.github.io/Logging_2083/artfynd/A 5677-2026 artfynd.xlsx", "A 5677-2026")</f>
        <v/>
      </c>
      <c r="X761">
        <f>HYPERLINK("https://klasma.github.io/Logging_2083/kartor/A 5677-2026 karta.png", "A 5677-2026")</f>
        <v/>
      </c>
      <c r="Y761">
        <f>HYPERLINK("https://klasma.github.io/Logging_2083/kartor_geotiff/A 5677-2026 georefererad karta.tif", "A 5677-2026")</f>
        <v/>
      </c>
      <c r="AA761">
        <f>HYPERLINK("https://klasma.github.io/Logging_2083/klagomål/A 5677-2026 FSC-klagomål.docx", "A 5677-2026")</f>
        <v/>
      </c>
      <c r="AB761">
        <f>HYPERLINK("https://klasma.github.io/Logging_2083/klagomålsmail/A 5677-2026 FSC-klagomål mail.docx", "A 5677-2026")</f>
        <v/>
      </c>
      <c r="AC761">
        <f>HYPERLINK("https://klasma.github.io/Logging_2083/tillsyn/A 5677-2026 tillsynsbegäran.docx", "A 5677-2026")</f>
        <v/>
      </c>
      <c r="AD761">
        <f>HYPERLINK("https://klasma.github.io/Logging_2083/tillsynsmail/A 5677-2026 tillsynsbegäran mail.docx", "A 5677-2026")</f>
        <v/>
      </c>
    </row>
    <row r="762" ht="15" customHeight="1">
      <c r="A762" t="inlineStr">
        <is>
          <t>A 26751-2025</t>
        </is>
      </c>
      <c r="B762" t="inlineStr">
        <is>
          <t>avverkningsanmälan</t>
        </is>
      </c>
      <c r="C762" t="inlineStr">
        <is>
          <t>Föryngringsavverkning</t>
        </is>
      </c>
      <c r="D762" s="1" t="n">
        <v>45810</v>
      </c>
      <c r="E762" s="1" t="n">
        <v>46319</v>
      </c>
      <c r="F762" t="inlineStr">
        <is>
          <t>DALARNAS LÄN</t>
        </is>
      </c>
      <c r="G762" t="inlineStr">
        <is>
          <t>ÄLVDALEN</t>
        </is>
      </c>
      <c r="H762" t="inlineStr">
        <is>
          <t>Allmännings- och besparingsskogar</t>
        </is>
      </c>
      <c r="I762" t="n">
        <v>3.6</v>
      </c>
      <c r="J762" t="n">
        <v>1</v>
      </c>
      <c r="K762" t="n">
        <v>1</v>
      </c>
      <c r="L762" t="n">
        <v>1</v>
      </c>
      <c r="M762" t="n">
        <v>1</v>
      </c>
      <c r="N762" t="n">
        <v>0</v>
      </c>
      <c r="O762" t="n">
        <v>0</v>
      </c>
      <c r="P762" t="n">
        <v>0</v>
      </c>
      <c r="Q762" t="n">
        <v>2</v>
      </c>
      <c r="R762" t="n">
        <v>1</v>
      </c>
      <c r="S762" t="n">
        <v>3</v>
      </c>
      <c r="T762" t="n">
        <v>4</v>
      </c>
      <c r="U762" t="n">
        <v>4</v>
      </c>
      <c r="V762" s="2" t="inlineStr">
        <is>
          <t>Garnlav
Skrovellav
Spindelblomster</t>
        </is>
      </c>
      <c r="W762">
        <f>HYPERLINK("https://klasma.github.io/Logging_2039/artfynd/A 26751-2025 artfynd.xlsx", "A 26751-2025")</f>
        <v/>
      </c>
      <c r="X762">
        <f>HYPERLINK("https://klasma.github.io/Logging_2039/kartor/A 26751-2025 karta.png", "A 26751-2025")</f>
        <v/>
      </c>
      <c r="Y762">
        <f>HYPERLINK("https://klasma.github.io/Logging_2039/kartor_geotiff/A 26751-2025 georefererad karta.tif", "A 26751-2025")</f>
        <v/>
      </c>
      <c r="AA762">
        <f>HYPERLINK("https://klasma.github.io/Logging_2039/klagomål/A 26751-2025 FSC-klagomål.docx", "A 26751-2025")</f>
        <v/>
      </c>
      <c r="AB762">
        <f>HYPERLINK("https://klasma.github.io/Logging_2039/klagomålsmail/A 26751-2025 FSC-klagomål mail.docx", "A 26751-2025")</f>
        <v/>
      </c>
      <c r="AC762">
        <f>HYPERLINK("https://klasma.github.io/Logging_2039/tillsyn/A 26751-2025 tillsynsbegäran.docx", "A 26751-2025")</f>
        <v/>
      </c>
      <c r="AD762">
        <f>HYPERLINK("https://klasma.github.io/Logging_2039/tillsynsmail/A 26751-2025 tillsynsbegäran mail.docx", "A 26751-2025")</f>
        <v/>
      </c>
    </row>
    <row r="763" ht="15" customHeight="1">
      <c r="A763" t="inlineStr">
        <is>
          <t>A 21950-2024</t>
        </is>
      </c>
      <c r="B763" t="inlineStr">
        <is>
          <t>avverkningsanmälan</t>
        </is>
      </c>
      <c r="C763" t="inlineStr">
        <is>
          <t>Avverkning för annat ändamål</t>
        </is>
      </c>
      <c r="D763" s="1" t="n">
        <v>45443</v>
      </c>
      <c r="E763" s="1" t="n">
        <v>46319</v>
      </c>
      <c r="F763" t="inlineStr">
        <is>
          <t>DALARNAS LÄN</t>
        </is>
      </c>
      <c r="G763" t="inlineStr">
        <is>
          <t>MALUNG-SÄLEN</t>
        </is>
      </c>
      <c r="H763" t="inlineStr">
        <is>
          <t>Kommuner</t>
        </is>
      </c>
      <c r="I763" t="n">
        <v>2.3</v>
      </c>
      <c r="J763" t="n">
        <v>0</v>
      </c>
      <c r="K763" t="n">
        <v>2</v>
      </c>
      <c r="L763" t="n">
        <v>1</v>
      </c>
      <c r="M763" t="n">
        <v>0</v>
      </c>
      <c r="N763" t="n">
        <v>0</v>
      </c>
      <c r="O763" t="n">
        <v>0</v>
      </c>
      <c r="P763" t="n">
        <v>0</v>
      </c>
      <c r="Q763" t="n">
        <v>1</v>
      </c>
      <c r="R763" t="n">
        <v>0</v>
      </c>
      <c r="S763" t="n">
        <v>3</v>
      </c>
      <c r="T763" t="n">
        <v>10</v>
      </c>
      <c r="U763" t="n">
        <v>10</v>
      </c>
      <c r="V763" s="2" t="inlineStr">
        <is>
          <t>Lunglav
Korallblylav
Stuplav</t>
        </is>
      </c>
      <c r="W763">
        <f>HYPERLINK("https://klasma.github.io/Logging_2023/artfynd/A 21950-2024 artfynd.xlsx", "A 21950-2024")</f>
        <v/>
      </c>
      <c r="X763">
        <f>HYPERLINK("https://klasma.github.io/Logging_2023/kartor/A 21950-2024 karta.png", "A 21950-2024")</f>
        <v/>
      </c>
      <c r="Y763">
        <f>HYPERLINK("https://klasma.github.io/Logging_2023/kartor_geotiff/A 21950-2024 georefererad karta.tif", "A 21950-2024")</f>
        <v/>
      </c>
      <c r="AA763">
        <f>HYPERLINK("https://klasma.github.io/Logging_2023/klagomål/A 21950-2024 FSC-klagomål.docx", "A 21950-2024")</f>
        <v/>
      </c>
      <c r="AB763">
        <f>HYPERLINK("https://klasma.github.io/Logging_2023/klagomålsmail/A 21950-2024 FSC-klagomål mail.docx", "A 21950-2024")</f>
        <v/>
      </c>
      <c r="AC763">
        <f>HYPERLINK("https://klasma.github.io/Logging_2023/tillsyn/A 21950-2024 tillsynsbegäran.docx", "A 21950-2024")</f>
        <v/>
      </c>
      <c r="AD763">
        <f>HYPERLINK("https://klasma.github.io/Logging_2023/tillsynsmail/A 21950-2024 tillsynsbegäran mail.docx", "A 21950-2024")</f>
        <v/>
      </c>
    </row>
    <row r="764" ht="15" customHeight="1">
      <c r="A764" t="inlineStr">
        <is>
          <t>A 27933-2025</t>
        </is>
      </c>
      <c r="B764" t="inlineStr">
        <is>
          <t>avverkningsanmälan</t>
        </is>
      </c>
      <c r="C764" t="inlineStr">
        <is>
          <t>Föryngringsavverkning</t>
        </is>
      </c>
      <c r="D764" s="1" t="n">
        <v>45817</v>
      </c>
      <c r="E764" s="1" t="n">
        <v>46319</v>
      </c>
      <c r="F764" t="inlineStr">
        <is>
          <t>DALARNAS LÄN</t>
        </is>
      </c>
      <c r="G764" t="inlineStr">
        <is>
          <t>ÄLVDALEN</t>
        </is>
      </c>
      <c r="H764" t="inlineStr">
        <is>
          <t>Sveaskog</t>
        </is>
      </c>
      <c r="I764" t="n">
        <v>2.5</v>
      </c>
      <c r="J764" t="n">
        <v>0</v>
      </c>
      <c r="K764" t="n">
        <v>0</v>
      </c>
      <c r="L764" t="n">
        <v>3</v>
      </c>
      <c r="M764" t="n">
        <v>0</v>
      </c>
      <c r="N764" t="n">
        <v>0</v>
      </c>
      <c r="O764" t="n">
        <v>0</v>
      </c>
      <c r="P764" t="n">
        <v>0</v>
      </c>
      <c r="Q764" t="n">
        <v>3</v>
      </c>
      <c r="R764" t="n">
        <v>0</v>
      </c>
      <c r="S764" t="n">
        <v>3</v>
      </c>
      <c r="T764" t="n">
        <v>3</v>
      </c>
      <c r="U764" t="n">
        <v>0</v>
      </c>
      <c r="V764" s="2" t="inlineStr">
        <is>
          <t>Kolflarnlav
Mörk kolflarnlav
Vedflamlav</t>
        </is>
      </c>
      <c r="W764">
        <f>HYPERLINK("https://klasma.github.io/Logging_2039/artfynd/A 27933-2025 artfynd.xlsx", "A 27933-2025")</f>
        <v/>
      </c>
      <c r="X764">
        <f>HYPERLINK("https://klasma.github.io/Logging_2039/kartor/A 27933-2025 karta.png", "A 27933-2025")</f>
        <v/>
      </c>
      <c r="Y764">
        <f>HYPERLINK("https://klasma.github.io/Logging_2039/kartor_geotiff/A 27933-2025 georefererad karta.tif", "A 27933-2025")</f>
        <v/>
      </c>
      <c r="AA764">
        <f>HYPERLINK("https://klasma.github.io/Logging_2039/klagomål/A 27933-2025 FSC-klagomål.docx", "A 27933-2025")</f>
        <v/>
      </c>
      <c r="AB764">
        <f>HYPERLINK("https://klasma.github.io/Logging_2039/klagomålsmail/A 27933-2025 FSC-klagomål mail.docx", "A 27933-2025")</f>
        <v/>
      </c>
      <c r="AC764">
        <f>HYPERLINK("https://klasma.github.io/Logging_2039/tillsyn/A 27933-2025 tillsynsbegäran.docx", "A 27933-2025")</f>
        <v/>
      </c>
      <c r="AD764">
        <f>HYPERLINK("https://klasma.github.io/Logging_2039/tillsynsmail/A 27933-2025 tillsynsbegäran mail.docx", "A 27933-2025")</f>
        <v/>
      </c>
    </row>
    <row r="765" ht="15" customHeight="1">
      <c r="A765" t="inlineStr">
        <is>
          <t>A 9315-2026</t>
        </is>
      </c>
      <c r="B765" t="inlineStr">
        <is>
          <t>avverkningsanmälan</t>
        </is>
      </c>
      <c r="C765" t="inlineStr">
        <is>
          <t>Föryngringsavverkning</t>
        </is>
      </c>
      <c r="D765" s="1" t="n">
        <v>46070</v>
      </c>
      <c r="E765" s="1" t="n">
        <v>46319</v>
      </c>
      <c r="F765" t="inlineStr">
        <is>
          <t>DALARNAS LÄN</t>
        </is>
      </c>
      <c r="G765" t="inlineStr">
        <is>
          <t>BORLÄNGE</t>
        </is>
      </c>
      <c r="I765" t="n">
        <v>3.5</v>
      </c>
      <c r="J765" t="n">
        <v>2</v>
      </c>
      <c r="K765" t="n">
        <v>1</v>
      </c>
      <c r="L765" t="n">
        <v>1</v>
      </c>
      <c r="M765" t="n">
        <v>0</v>
      </c>
      <c r="N765" t="n">
        <v>0</v>
      </c>
      <c r="O765" t="n">
        <v>0</v>
      </c>
      <c r="P765" t="n">
        <v>0</v>
      </c>
      <c r="Q765" t="n">
        <v>1</v>
      </c>
      <c r="R765" t="n">
        <v>0</v>
      </c>
      <c r="S765" t="n">
        <v>3</v>
      </c>
      <c r="T765" t="n">
        <v>5</v>
      </c>
      <c r="U765" t="n">
        <v>2</v>
      </c>
      <c r="V765" s="2" t="inlineStr">
        <is>
          <t>Tretåig hackspett
Gullgröppa
Tjäder</t>
        </is>
      </c>
      <c r="W765">
        <f>HYPERLINK("https://klasma.github.io/Logging_2081/artfynd/A 9315-2026 artfynd.xlsx", "A 9315-2026")</f>
        <v/>
      </c>
      <c r="X765">
        <f>HYPERLINK("https://klasma.github.io/Logging_2081/kartor/A 9315-2026 karta.png", "A 9315-2026")</f>
        <v/>
      </c>
      <c r="Y765">
        <f>HYPERLINK("https://klasma.github.io/Logging_2081/kartor_geotiff/A 9315-2026 georefererad karta.tif", "A 9315-2026")</f>
        <v/>
      </c>
      <c r="AA765">
        <f>HYPERLINK("https://klasma.github.io/Logging_2081/klagomål/A 9315-2026 FSC-klagomål.docx", "A 9315-2026")</f>
        <v/>
      </c>
      <c r="AB765">
        <f>HYPERLINK("https://klasma.github.io/Logging_2081/klagomålsmail/A 9315-2026 FSC-klagomål mail.docx", "A 9315-2026")</f>
        <v/>
      </c>
      <c r="AC765">
        <f>HYPERLINK("https://klasma.github.io/Logging_2081/tillsyn/A 9315-2026 tillsynsbegäran.docx", "A 9315-2026")</f>
        <v/>
      </c>
      <c r="AD765">
        <f>HYPERLINK("https://klasma.github.io/Logging_2081/tillsynsmail/A 9315-2026 tillsynsbegäran mail.docx", "A 9315-2026")</f>
        <v/>
      </c>
      <c r="AE765">
        <f>HYPERLINK("https://klasma.github.io/Logging_2081/fåglar/A 9315-2026 prioriterade fågelarter.docx", "A 9315-2026")</f>
        <v/>
      </c>
    </row>
    <row r="766" ht="15" customHeight="1">
      <c r="A766" t="inlineStr">
        <is>
          <t>A 40235-2026</t>
        </is>
      </c>
      <c r="B766" t="inlineStr">
        <is>
          <t>avverkningsanmälan</t>
        </is>
      </c>
      <c r="C766" t="inlineStr">
        <is>
          <t>Föryngringsavverkning</t>
        </is>
      </c>
      <c r="D766" s="1" t="n">
        <v>46290</v>
      </c>
      <c r="E766" s="1" t="n">
        <v>46319</v>
      </c>
      <c r="F766" t="inlineStr">
        <is>
          <t>DALARNAS LÄN</t>
        </is>
      </c>
      <c r="G766" t="inlineStr">
        <is>
          <t>BORLÄNGE</t>
        </is>
      </c>
      <c r="I766" t="n">
        <v>1.9</v>
      </c>
      <c r="J766" t="n">
        <v>3</v>
      </c>
      <c r="K766" t="n">
        <v>0</v>
      </c>
      <c r="L766" t="n">
        <v>1</v>
      </c>
      <c r="M766" t="n">
        <v>0</v>
      </c>
      <c r="N766" t="n">
        <v>0</v>
      </c>
      <c r="O766" t="n">
        <v>0</v>
      </c>
      <c r="P766" t="n">
        <v>0</v>
      </c>
      <c r="Q766" t="n">
        <v>1</v>
      </c>
      <c r="R766" t="n">
        <v>0</v>
      </c>
      <c r="S766" t="n">
        <v>3</v>
      </c>
      <c r="T766" t="n">
        <v>5</v>
      </c>
      <c r="U766" t="n">
        <v>0</v>
      </c>
      <c r="V766" s="2" t="inlineStr">
        <is>
          <t>Talltita
Tjäder
Kungsfågel</t>
        </is>
      </c>
      <c r="W766">
        <f>HYPERLINK("https://klasma.github.io/Logging_2081/artfynd/A 40235-2026 artfynd.xlsx", "A 40235-2026")</f>
        <v/>
      </c>
      <c r="X766">
        <f>HYPERLINK("https://klasma.github.io/Logging_2081/kartor/A 40235-2026 karta.png", "A 40235-2026")</f>
        <v/>
      </c>
      <c r="Y766">
        <f>HYPERLINK("https://klasma.github.io/Logging_2081/kartor_geotiff/A 40235-2026 georefererad karta.tif", "A 40235-2026")</f>
        <v/>
      </c>
      <c r="Z766">
        <f>HYPERLINK("https://klasma.github.io/Logging_2081/knärot/A 40235-2026 karta knärot.png", "A 40235-2026")</f>
        <v/>
      </c>
      <c r="AA766">
        <f>HYPERLINK("https://klasma.github.io/Logging_2081/klagomål/A 40235-2026 FSC-klagomål.docx", "A 40235-2026")</f>
        <v/>
      </c>
      <c r="AB766">
        <f>HYPERLINK("https://klasma.github.io/Logging_2081/klagomålsmail/A 40235-2026 FSC-klagomål mail.docx", "A 40235-2026")</f>
        <v/>
      </c>
      <c r="AC766">
        <f>HYPERLINK("https://klasma.github.io/Logging_2081/tillsyn/A 40235-2026 tillsynsbegäran.docx", "A 40235-2026")</f>
        <v/>
      </c>
      <c r="AD766">
        <f>HYPERLINK("https://klasma.github.io/Logging_2081/tillsynsmail/A 40235-2026 tillsynsbegäran mail.docx", "A 40235-2026")</f>
        <v/>
      </c>
      <c r="AE766">
        <f>HYPERLINK("https://klasma.github.io/Logging_2081/fåglar/A 40235-2026 prioriterade fågelarter.docx", "A 40235-2026")</f>
        <v/>
      </c>
    </row>
    <row r="767" ht="15" customHeight="1">
      <c r="A767" t="inlineStr">
        <is>
          <t>A 56085-2023</t>
        </is>
      </c>
      <c r="B767" t="inlineStr">
        <is>
          <t>avverkningsanmälan</t>
        </is>
      </c>
      <c r="C767" t="inlineStr">
        <is>
          <t>Föryngringsavverkning</t>
        </is>
      </c>
      <c r="D767" s="1" t="n">
        <v>45240</v>
      </c>
      <c r="E767" s="1" t="n">
        <v>46319</v>
      </c>
      <c r="F767" t="inlineStr">
        <is>
          <t>DALARNAS LÄN</t>
        </is>
      </c>
      <c r="G767" t="inlineStr">
        <is>
          <t>AVESTA</t>
        </is>
      </c>
      <c r="I767" t="n">
        <v>2.7</v>
      </c>
      <c r="J767" t="n">
        <v>1</v>
      </c>
      <c r="K767" t="n">
        <v>1</v>
      </c>
      <c r="L767" t="n">
        <v>0</v>
      </c>
      <c r="M767" t="n">
        <v>0</v>
      </c>
      <c r="N767" t="n">
        <v>1</v>
      </c>
      <c r="O767" t="n">
        <v>0</v>
      </c>
      <c r="P767" t="n">
        <v>0</v>
      </c>
      <c r="Q767" t="n">
        <v>1</v>
      </c>
      <c r="R767" t="n">
        <v>1</v>
      </c>
      <c r="S767" t="n">
        <v>3</v>
      </c>
      <c r="T767" t="n">
        <v>4</v>
      </c>
      <c r="U767" t="n">
        <v>0</v>
      </c>
      <c r="V767" s="2" t="inlineStr">
        <is>
          <t>Strandskinnlav
Rostfläck
Hårklomossa</t>
        </is>
      </c>
      <c r="W767">
        <f>HYPERLINK("https://klasma.github.io/Logging_2084/artfynd/A 56085-2023 artfynd.xlsx", "A 56085-2023")</f>
        <v/>
      </c>
      <c r="X767">
        <f>HYPERLINK("https://klasma.github.io/Logging_2084/kartor/A 56085-2023 karta.png", "A 56085-2023")</f>
        <v/>
      </c>
      <c r="Y767">
        <f>HYPERLINK("https://klasma.github.io/Logging_2084/kartor_geotiff/A 56085-2023 georefererad karta.tif", "A 56085-2023")</f>
        <v/>
      </c>
      <c r="AA767">
        <f>HYPERLINK("https://klasma.github.io/Logging_2084/klagomål/A 56085-2023 FSC-klagomål.docx", "A 56085-2023")</f>
        <v/>
      </c>
      <c r="AB767">
        <f>HYPERLINK("https://klasma.github.io/Logging_2084/klagomålsmail/A 56085-2023 FSC-klagomål mail.docx", "A 56085-2023")</f>
        <v/>
      </c>
      <c r="AC767">
        <f>HYPERLINK("https://klasma.github.io/Logging_2084/tillsyn/A 56085-2023 tillsynsbegäran.docx", "A 56085-2023")</f>
        <v/>
      </c>
      <c r="AD767">
        <f>HYPERLINK("https://klasma.github.io/Logging_2084/tillsynsmail/A 56085-2023 tillsynsbegäran mail.docx", "A 56085-2023")</f>
        <v/>
      </c>
    </row>
    <row r="768" ht="15" customHeight="1">
      <c r="A768" t="inlineStr">
        <is>
          <t>A 3152-2022</t>
        </is>
      </c>
      <c r="B768" t="inlineStr">
        <is>
          <t>avverkningsanmälan</t>
        </is>
      </c>
      <c r="C768" t="inlineStr">
        <is>
          <t>Föryngringsavverkning</t>
        </is>
      </c>
      <c r="D768" s="1" t="n">
        <v>44582</v>
      </c>
      <c r="E768" s="1" t="n">
        <v>46319</v>
      </c>
      <c r="F768" t="inlineStr">
        <is>
          <t>DALARNAS LÄN</t>
        </is>
      </c>
      <c r="G768" t="inlineStr">
        <is>
          <t>HEDEMORA</t>
        </is>
      </c>
      <c r="I768" t="n">
        <v>8.800000000000001</v>
      </c>
      <c r="J768" t="n">
        <v>1</v>
      </c>
      <c r="K768" t="n">
        <v>1</v>
      </c>
      <c r="L768" t="n">
        <v>1</v>
      </c>
      <c r="M768" t="n">
        <v>1</v>
      </c>
      <c r="N768" t="n">
        <v>0</v>
      </c>
      <c r="O768" t="n">
        <v>0</v>
      </c>
      <c r="P768" t="n">
        <v>0</v>
      </c>
      <c r="Q768" t="n">
        <v>2</v>
      </c>
      <c r="R768" t="n">
        <v>1</v>
      </c>
      <c r="S768" t="n">
        <v>3</v>
      </c>
      <c r="T768" t="n">
        <v>25</v>
      </c>
      <c r="U768" t="n">
        <v>25</v>
      </c>
      <c r="V768" s="2" t="inlineStr">
        <is>
          <t>Knärot
Ullticka
Bronshjon</t>
        </is>
      </c>
      <c r="W768">
        <f>HYPERLINK("https://klasma.github.io/Logging_2083/artfynd/A 3152-2022 artfynd.xlsx", "A 3152-2022")</f>
        <v/>
      </c>
      <c r="X768">
        <f>HYPERLINK("https://klasma.github.io/Logging_2083/kartor/A 3152-2022 karta.png", "A 3152-2022")</f>
        <v/>
      </c>
      <c r="Y768">
        <f>HYPERLINK("https://klasma.github.io/Logging_2083/kartor_geotiff/A 3152-2022 georefererad karta.tif", "A 3152-2022")</f>
        <v/>
      </c>
      <c r="Z768">
        <f>HYPERLINK("https://klasma.github.io/Logging_2083/knärot/A 3152-2022 karta knärot.png", "A 3152-2022")</f>
        <v/>
      </c>
      <c r="AA768">
        <f>HYPERLINK("https://klasma.github.io/Logging_2083/klagomål/A 3152-2022 FSC-klagomål.docx", "A 3152-2022")</f>
        <v/>
      </c>
      <c r="AB768">
        <f>HYPERLINK("https://klasma.github.io/Logging_2083/klagomålsmail/A 3152-2022 FSC-klagomål mail.docx", "A 3152-2022")</f>
        <v/>
      </c>
      <c r="AC768">
        <f>HYPERLINK("https://klasma.github.io/Logging_2083/tillsyn/A 3152-2022 tillsynsbegäran.docx", "A 3152-2022")</f>
        <v/>
      </c>
      <c r="AD768">
        <f>HYPERLINK("https://klasma.github.io/Logging_2083/tillsynsmail/A 3152-2022 tillsynsbegäran mail.docx", "A 3152-2022")</f>
        <v/>
      </c>
    </row>
    <row r="769" ht="15" customHeight="1">
      <c r="A769" t="inlineStr">
        <is>
          <t>A 34959-2026</t>
        </is>
      </c>
      <c r="B769" t="inlineStr">
        <is>
          <t>avverkningsanmälan</t>
        </is>
      </c>
      <c r="C769" t="inlineStr">
        <is>
          <t>Föryngringsavverkning</t>
        </is>
      </c>
      <c r="D769" s="1" t="n">
        <v>46258</v>
      </c>
      <c r="E769" s="1" t="n">
        <v>46319</v>
      </c>
      <c r="F769" t="inlineStr">
        <is>
          <t>DALARNAS LÄN</t>
        </is>
      </c>
      <c r="G769" t="inlineStr">
        <is>
          <t>MALUNG-SÄLEN</t>
        </is>
      </c>
      <c r="H769" t="inlineStr">
        <is>
          <t>Allmännings- och besparingsskogar</t>
        </is>
      </c>
      <c r="I769" t="n">
        <v>6.9</v>
      </c>
      <c r="J769" t="n">
        <v>0</v>
      </c>
      <c r="K769" t="n">
        <v>1</v>
      </c>
      <c r="L769" t="n">
        <v>2</v>
      </c>
      <c r="M769" t="n">
        <v>0</v>
      </c>
      <c r="N769" t="n">
        <v>0</v>
      </c>
      <c r="O769" t="n">
        <v>0</v>
      </c>
      <c r="P769" t="n">
        <v>0</v>
      </c>
      <c r="Q769" t="n">
        <v>2</v>
      </c>
      <c r="R769" t="n">
        <v>0</v>
      </c>
      <c r="S769" t="n">
        <v>3</v>
      </c>
      <c r="T769" t="n">
        <v>3</v>
      </c>
      <c r="U769" t="n">
        <v>0</v>
      </c>
      <c r="V769" s="2" t="inlineStr">
        <is>
          <t>Kolflarnlav
Vedskivlav
Vedticka</t>
        </is>
      </c>
      <c r="W769">
        <f>HYPERLINK("https://klasma.github.io/Logging_2023/artfynd/A 34959-2026 artfynd.xlsx", "A 34959-2026")</f>
        <v/>
      </c>
      <c r="X769">
        <f>HYPERLINK("https://klasma.github.io/Logging_2023/kartor/A 34959-2026 karta.png", "A 34959-2026")</f>
        <v/>
      </c>
      <c r="Y769">
        <f>HYPERLINK("https://klasma.github.io/Logging_2023/kartor_geotiff/A 34959-2026 georefererad karta.tif", "A 34959-2026")</f>
        <v/>
      </c>
      <c r="AA769">
        <f>HYPERLINK("https://klasma.github.io/Logging_2023/klagomål/A 34959-2026 FSC-klagomål.docx", "A 34959-2026")</f>
        <v/>
      </c>
      <c r="AB769">
        <f>HYPERLINK("https://klasma.github.io/Logging_2023/klagomålsmail/A 34959-2026 FSC-klagomål mail.docx", "A 34959-2026")</f>
        <v/>
      </c>
      <c r="AC769">
        <f>HYPERLINK("https://klasma.github.io/Logging_2023/tillsyn/A 34959-2026 tillsynsbegäran.docx", "A 34959-2026")</f>
        <v/>
      </c>
      <c r="AD769">
        <f>HYPERLINK("https://klasma.github.io/Logging_2023/tillsynsmail/A 34959-2026 tillsynsbegäran mail.docx", "A 34959-2026")</f>
        <v/>
      </c>
    </row>
    <row r="770" ht="15" customHeight="1">
      <c r="A770" t="inlineStr">
        <is>
          <t>A 13105-2026</t>
        </is>
      </c>
      <c r="B770" t="inlineStr">
        <is>
          <t>avverkningsanmälan</t>
        </is>
      </c>
      <c r="C770" t="inlineStr">
        <is>
          <t>Föryngringsavverkning</t>
        </is>
      </c>
      <c r="D770" s="1" t="n">
        <v>46093</v>
      </c>
      <c r="E770" s="1" t="n">
        <v>46319</v>
      </c>
      <c r="F770" t="inlineStr">
        <is>
          <t>DALARNAS LÄN</t>
        </is>
      </c>
      <c r="G770" t="inlineStr">
        <is>
          <t>MALUNG-SÄLEN</t>
        </is>
      </c>
      <c r="I770" t="n">
        <v>5.6</v>
      </c>
      <c r="J770" t="n">
        <v>1</v>
      </c>
      <c r="K770" t="n">
        <v>0</v>
      </c>
      <c r="L770" t="n">
        <v>1</v>
      </c>
      <c r="M770" t="n">
        <v>1</v>
      </c>
      <c r="N770" t="n">
        <v>0</v>
      </c>
      <c r="O770" t="n">
        <v>0</v>
      </c>
      <c r="P770" t="n">
        <v>0</v>
      </c>
      <c r="Q770" t="n">
        <v>2</v>
      </c>
      <c r="R770" t="n">
        <v>1</v>
      </c>
      <c r="S770" t="n">
        <v>3</v>
      </c>
      <c r="T770" t="n">
        <v>4</v>
      </c>
      <c r="U770" t="n">
        <v>0</v>
      </c>
      <c r="V770" s="2" t="inlineStr">
        <is>
          <t>Garnlav
Kolflarnlav
Orre</t>
        </is>
      </c>
      <c r="W770">
        <f>HYPERLINK("https://klasma.github.io/Logging_2023/artfynd/A 13105-2026 artfynd.xlsx", "A 13105-2026")</f>
        <v/>
      </c>
      <c r="X770">
        <f>HYPERLINK("https://klasma.github.io/Logging_2023/kartor/A 13105-2026 karta.png", "A 13105-2026")</f>
        <v/>
      </c>
      <c r="Y770">
        <f>HYPERLINK("https://klasma.github.io/Logging_2023/kartor_geotiff/A 13105-2026 georefererad karta.tif", "A 13105-2026")</f>
        <v/>
      </c>
      <c r="AA770">
        <f>HYPERLINK("https://klasma.github.io/Logging_2023/klagomål/A 13105-2026 FSC-klagomål.docx", "A 13105-2026")</f>
        <v/>
      </c>
      <c r="AB770">
        <f>HYPERLINK("https://klasma.github.io/Logging_2023/klagomålsmail/A 13105-2026 FSC-klagomål mail.docx", "A 13105-2026")</f>
        <v/>
      </c>
      <c r="AC770">
        <f>HYPERLINK("https://klasma.github.io/Logging_2023/tillsyn/A 13105-2026 tillsynsbegäran.docx", "A 13105-2026")</f>
        <v/>
      </c>
      <c r="AD770">
        <f>HYPERLINK("https://klasma.github.io/Logging_2023/tillsynsmail/A 13105-2026 tillsynsbegäran mail.docx", "A 13105-2026")</f>
        <v/>
      </c>
      <c r="AE770">
        <f>HYPERLINK("https://klasma.github.io/Logging_2023/fåglar/A 13105-2026 prioriterade fågelarter.docx", "A 13105-2026")</f>
        <v/>
      </c>
    </row>
    <row r="771" ht="15" customHeight="1">
      <c r="A771" t="inlineStr">
        <is>
          <t>A 33000-2025</t>
        </is>
      </c>
      <c r="B771" t="inlineStr">
        <is>
          <t>avverkningsanmälan</t>
        </is>
      </c>
      <c r="C771" t="inlineStr">
        <is>
          <t>Föryngringsavverkning</t>
        </is>
      </c>
      <c r="D771" s="1" t="n">
        <v>45840</v>
      </c>
      <c r="E771" s="1" t="n">
        <v>46319</v>
      </c>
      <c r="F771" t="inlineStr">
        <is>
          <t>DALARNAS LÄN</t>
        </is>
      </c>
      <c r="G771" t="inlineStr">
        <is>
          <t>VANSBRO</t>
        </is>
      </c>
      <c r="I771" t="n">
        <v>0.7</v>
      </c>
      <c r="J771" t="n">
        <v>1</v>
      </c>
      <c r="K771" t="n">
        <v>0</v>
      </c>
      <c r="L771" t="n">
        <v>2</v>
      </c>
      <c r="M771" t="n">
        <v>0</v>
      </c>
      <c r="N771" t="n">
        <v>0</v>
      </c>
      <c r="O771" t="n">
        <v>0</v>
      </c>
      <c r="P771" t="n">
        <v>0</v>
      </c>
      <c r="Q771" t="n">
        <v>2</v>
      </c>
      <c r="R771" t="n">
        <v>0</v>
      </c>
      <c r="S771" t="n">
        <v>3</v>
      </c>
      <c r="T771" t="n">
        <v>8</v>
      </c>
      <c r="U771" t="n">
        <v>8</v>
      </c>
      <c r="V771" s="2" t="inlineStr">
        <is>
          <t>Kolflarnlav
Mörk kolflarnlav
Tjäder</t>
        </is>
      </c>
      <c r="W771">
        <f>HYPERLINK("https://klasma.github.io/Logging_2021/artfynd/A 33000-2025 artfynd.xlsx", "A 33000-2025")</f>
        <v/>
      </c>
      <c r="X771">
        <f>HYPERLINK("https://klasma.github.io/Logging_2021/kartor/A 33000-2025 karta.png", "A 33000-2025")</f>
        <v/>
      </c>
      <c r="Y771">
        <f>HYPERLINK("https://klasma.github.io/Logging_2021/kartor_geotiff/A 33000-2025 georefererad karta.tif", "A 33000-2025")</f>
        <v/>
      </c>
      <c r="AA771">
        <f>HYPERLINK("https://klasma.github.io/Logging_2021/klagomål/A 33000-2025 FSC-klagomål.docx", "A 33000-2025")</f>
        <v/>
      </c>
      <c r="AB771">
        <f>HYPERLINK("https://klasma.github.io/Logging_2021/klagomålsmail/A 33000-2025 FSC-klagomål mail.docx", "A 33000-2025")</f>
        <v/>
      </c>
      <c r="AC771">
        <f>HYPERLINK("https://klasma.github.io/Logging_2021/tillsyn/A 33000-2025 tillsynsbegäran.docx", "A 33000-2025")</f>
        <v/>
      </c>
      <c r="AD771">
        <f>HYPERLINK("https://klasma.github.io/Logging_2021/tillsynsmail/A 33000-2025 tillsynsbegäran mail.docx", "A 33000-2025")</f>
        <v/>
      </c>
      <c r="AE771">
        <f>HYPERLINK("https://klasma.github.io/Logging_2021/fåglar/A 33000-2025 prioriterade fågelarter.docx", "A 33000-2025")</f>
        <v/>
      </c>
    </row>
    <row r="772" ht="15" customHeight="1">
      <c r="A772" t="inlineStr">
        <is>
          <t>A 13612-2026</t>
        </is>
      </c>
      <c r="B772" t="inlineStr">
        <is>
          <t>avverkningsanmälan</t>
        </is>
      </c>
      <c r="C772" t="inlineStr">
        <is>
          <t>Föryngringsavverkning</t>
        </is>
      </c>
      <c r="D772" s="1" t="n">
        <v>46097</v>
      </c>
      <c r="E772" s="1" t="n">
        <v>46319</v>
      </c>
      <c r="F772" t="inlineStr">
        <is>
          <t>DALARNAS LÄN</t>
        </is>
      </c>
      <c r="G772" t="inlineStr">
        <is>
          <t>LEKSAND</t>
        </is>
      </c>
      <c r="I772" t="n">
        <v>3.9</v>
      </c>
      <c r="J772" t="n">
        <v>1</v>
      </c>
      <c r="K772" t="n">
        <v>1</v>
      </c>
      <c r="L772" t="n">
        <v>1</v>
      </c>
      <c r="M772" t="n">
        <v>1</v>
      </c>
      <c r="N772" t="n">
        <v>0</v>
      </c>
      <c r="O772" t="n">
        <v>0</v>
      </c>
      <c r="P772" t="n">
        <v>0</v>
      </c>
      <c r="Q772" t="n">
        <v>2</v>
      </c>
      <c r="R772" t="n">
        <v>1</v>
      </c>
      <c r="S772" t="n">
        <v>3</v>
      </c>
      <c r="T772" t="n">
        <v>5</v>
      </c>
      <c r="U772" t="n">
        <v>0</v>
      </c>
      <c r="V772" s="2" t="inlineStr">
        <is>
          <t>Knärot
Vedtrappmossa
Bronshjon</t>
        </is>
      </c>
      <c r="W772">
        <f>HYPERLINK("https://klasma.github.io/Logging_2029/artfynd/A 13612-2026 artfynd.xlsx", "A 13612-2026")</f>
        <v/>
      </c>
      <c r="X772">
        <f>HYPERLINK("https://klasma.github.io/Logging_2029/kartor/A 13612-2026 karta.png", "A 13612-2026")</f>
        <v/>
      </c>
      <c r="Y772">
        <f>HYPERLINK("https://klasma.github.io/Logging_2029/kartor_geotiff/A 13612-2026 georefererad karta.tif", "A 13612-2026")</f>
        <v/>
      </c>
      <c r="Z772">
        <f>HYPERLINK("https://klasma.github.io/Logging_2029/knärot/A 13612-2026 karta knärot.png", "A 13612-2026")</f>
        <v/>
      </c>
      <c r="AA772">
        <f>HYPERLINK("https://klasma.github.io/Logging_2029/klagomål/A 13612-2026 FSC-klagomål.docx", "A 13612-2026")</f>
        <v/>
      </c>
      <c r="AB772">
        <f>HYPERLINK("https://klasma.github.io/Logging_2029/klagomålsmail/A 13612-2026 FSC-klagomål mail.docx", "A 13612-2026")</f>
        <v/>
      </c>
      <c r="AC772">
        <f>HYPERLINK("https://klasma.github.io/Logging_2029/tillsyn/A 13612-2026 tillsynsbegäran.docx", "A 13612-2026")</f>
        <v/>
      </c>
      <c r="AD772">
        <f>HYPERLINK("https://klasma.github.io/Logging_2029/tillsynsmail/A 13612-2026 tillsynsbegäran mail.docx", "A 13612-2026")</f>
        <v/>
      </c>
    </row>
    <row r="773" ht="15" customHeight="1">
      <c r="A773" t="inlineStr">
        <is>
          <t>A 33645-2025</t>
        </is>
      </c>
      <c r="B773" t="inlineStr">
        <is>
          <t>avverkningsanmälan</t>
        </is>
      </c>
      <c r="C773" t="inlineStr">
        <is>
          <t>Avverkning för att bevara och utveckla /försöksver</t>
        </is>
      </c>
      <c r="D773" s="1" t="n">
        <v>45841</v>
      </c>
      <c r="E773" s="1" t="n">
        <v>46319</v>
      </c>
      <c r="F773" t="inlineStr">
        <is>
          <t>DALARNAS LÄN</t>
        </is>
      </c>
      <c r="G773" t="inlineStr">
        <is>
          <t>ÄLVDALEN</t>
        </is>
      </c>
      <c r="H773" t="inlineStr">
        <is>
          <t>Sveaskog</t>
        </is>
      </c>
      <c r="I773" t="n">
        <v>1.6</v>
      </c>
      <c r="J773" t="n">
        <v>0</v>
      </c>
      <c r="K773" t="n">
        <v>0</v>
      </c>
      <c r="L773" t="n">
        <v>3</v>
      </c>
      <c r="M773" t="n">
        <v>0</v>
      </c>
      <c r="N773" t="n">
        <v>0</v>
      </c>
      <c r="O773" t="n">
        <v>0</v>
      </c>
      <c r="P773" t="n">
        <v>0</v>
      </c>
      <c r="Q773" t="n">
        <v>3</v>
      </c>
      <c r="R773" t="n">
        <v>0</v>
      </c>
      <c r="S773" t="n">
        <v>3</v>
      </c>
      <c r="T773" t="n">
        <v>3</v>
      </c>
      <c r="U773" t="n">
        <v>0</v>
      </c>
      <c r="V773" s="2" t="inlineStr">
        <is>
          <t>Dvärgbägarlav
Kolflarnlav
Vedflamlav</t>
        </is>
      </c>
      <c r="W773">
        <f>HYPERLINK("https://klasma.github.io/Logging_2039/artfynd/A 33645-2025 artfynd.xlsx", "A 33645-2025")</f>
        <v/>
      </c>
      <c r="X773">
        <f>HYPERLINK("https://klasma.github.io/Logging_2039/kartor/A 33645-2025 karta.png", "A 33645-2025")</f>
        <v/>
      </c>
      <c r="Y773">
        <f>HYPERLINK("https://klasma.github.io/Logging_2039/kartor_geotiff/A 33645-2025 georefererad karta.tif", "A 33645-2025")</f>
        <v/>
      </c>
      <c r="AA773">
        <f>HYPERLINK("https://klasma.github.io/Logging_2039/klagomål/A 33645-2025 FSC-klagomål.docx", "A 33645-2025")</f>
        <v/>
      </c>
      <c r="AB773">
        <f>HYPERLINK("https://klasma.github.io/Logging_2039/klagomålsmail/A 33645-2025 FSC-klagomål mail.docx", "A 33645-2025")</f>
        <v/>
      </c>
      <c r="AC773">
        <f>HYPERLINK("https://klasma.github.io/Logging_2039/tillsyn/A 33645-2025 tillsynsbegäran.docx", "A 33645-2025")</f>
        <v/>
      </c>
      <c r="AD773">
        <f>HYPERLINK("https://klasma.github.io/Logging_2039/tillsynsmail/A 33645-2025 tillsynsbegäran mail.docx", "A 33645-2025")</f>
        <v/>
      </c>
    </row>
    <row r="774" ht="15" customHeight="1">
      <c r="A774" t="inlineStr">
        <is>
          <t>A 14015-2026</t>
        </is>
      </c>
      <c r="B774" t="inlineStr">
        <is>
          <t>avverkningsanmälan</t>
        </is>
      </c>
      <c r="C774" t="inlineStr">
        <is>
          <t>Föryngringsavverkning</t>
        </is>
      </c>
      <c r="D774" s="1" t="n">
        <v>46098</v>
      </c>
      <c r="E774" s="1" t="n">
        <v>46319</v>
      </c>
      <c r="F774" t="inlineStr">
        <is>
          <t>DALARNAS LÄN</t>
        </is>
      </c>
      <c r="G774" t="inlineStr">
        <is>
          <t>GAGNEF</t>
        </is>
      </c>
      <c r="H774" t="inlineStr">
        <is>
          <t>Bergvik skog väst AB</t>
        </is>
      </c>
      <c r="I774" t="n">
        <v>1.9</v>
      </c>
      <c r="J774" t="n">
        <v>0</v>
      </c>
      <c r="K774" t="n">
        <v>0</v>
      </c>
      <c r="L774" t="n">
        <v>2</v>
      </c>
      <c r="M774" t="n">
        <v>1</v>
      </c>
      <c r="N774" t="n">
        <v>0</v>
      </c>
      <c r="O774" t="n">
        <v>0</v>
      </c>
      <c r="P774" t="n">
        <v>0</v>
      </c>
      <c r="Q774" t="n">
        <v>3</v>
      </c>
      <c r="R774" t="n">
        <v>1</v>
      </c>
      <c r="S774" t="n">
        <v>3</v>
      </c>
      <c r="T774" t="n">
        <v>3</v>
      </c>
      <c r="U774" t="n">
        <v>0</v>
      </c>
      <c r="V774" s="2" t="inlineStr">
        <is>
          <t>Skrovlig taggsvamp
Dropptaggsvamp
Talltaggsvamp</t>
        </is>
      </c>
      <c r="W774">
        <f>HYPERLINK("https://klasma.github.io/Logging_2026/artfynd/A 14015-2026 artfynd.xlsx", "A 14015-2026")</f>
        <v/>
      </c>
      <c r="X774">
        <f>HYPERLINK("https://klasma.github.io/Logging_2026/kartor/A 14015-2026 karta.png", "A 14015-2026")</f>
        <v/>
      </c>
      <c r="Y774">
        <f>HYPERLINK("https://klasma.github.io/Logging_2026/kartor_geotiff/A 14015-2026 georefererad karta.tif", "A 14015-2026")</f>
        <v/>
      </c>
      <c r="AA774">
        <f>HYPERLINK("https://klasma.github.io/Logging_2026/klagomål/A 14015-2026 FSC-klagomål.docx", "A 14015-2026")</f>
        <v/>
      </c>
      <c r="AB774">
        <f>HYPERLINK("https://klasma.github.io/Logging_2026/klagomålsmail/A 14015-2026 FSC-klagomål mail.docx", "A 14015-2026")</f>
        <v/>
      </c>
      <c r="AC774">
        <f>HYPERLINK("https://klasma.github.io/Logging_2026/tillsyn/A 14015-2026 tillsynsbegäran.docx", "A 14015-2026")</f>
        <v/>
      </c>
      <c r="AD774">
        <f>HYPERLINK("https://klasma.github.io/Logging_2026/tillsynsmail/A 14015-2026 tillsynsbegäran mail.docx", "A 14015-2026")</f>
        <v/>
      </c>
    </row>
    <row r="775" ht="15" customHeight="1">
      <c r="A775" t="inlineStr">
        <is>
          <t>A 41377-2026</t>
        </is>
      </c>
      <c r="B775" t="inlineStr">
        <is>
          <t>avverkningsanmälan</t>
        </is>
      </c>
      <c r="C775" t="inlineStr">
        <is>
          <t>Föryngringsavverkning</t>
        </is>
      </c>
      <c r="D775" s="1" t="n">
        <v>46301</v>
      </c>
      <c r="E775" s="1" t="n">
        <v>46319</v>
      </c>
      <c r="F775" t="inlineStr">
        <is>
          <t>DALARNAS LÄN</t>
        </is>
      </c>
      <c r="G775" t="inlineStr">
        <is>
          <t>VANSBRO</t>
        </is>
      </c>
      <c r="I775" t="n">
        <v>0.6</v>
      </c>
      <c r="J775" t="n">
        <v>1</v>
      </c>
      <c r="K775" t="n">
        <v>0</v>
      </c>
      <c r="L775" t="n">
        <v>1</v>
      </c>
      <c r="M775" t="n">
        <v>2</v>
      </c>
      <c r="N775" t="n">
        <v>0</v>
      </c>
      <c r="O775" t="n">
        <v>0</v>
      </c>
      <c r="P775" t="n">
        <v>0</v>
      </c>
      <c r="Q775" t="n">
        <v>3</v>
      </c>
      <c r="R775" t="n">
        <v>2</v>
      </c>
      <c r="S775" t="n">
        <v>3</v>
      </c>
      <c r="T775" t="n">
        <v>4</v>
      </c>
      <c r="U775" t="n">
        <v>0</v>
      </c>
      <c r="V775" s="2" t="inlineStr">
        <is>
          <t>Garnlav
Knärot
Ullticka</t>
        </is>
      </c>
      <c r="W775">
        <f>HYPERLINK("https://klasma.github.io/Logging_2021/artfynd/A 41377-2026 artfynd.xlsx", "A 41377-2026")</f>
        <v/>
      </c>
      <c r="X775">
        <f>HYPERLINK("https://klasma.github.io/Logging_2021/kartor/A 41377-2026 karta.png", "A 41377-2026")</f>
        <v/>
      </c>
      <c r="Y775">
        <f>HYPERLINK("https://klasma.github.io/Logging_2021/kartor_geotiff/A 41377-2026 georefererad karta.tif", "A 41377-2026")</f>
        <v/>
      </c>
      <c r="Z775">
        <f>HYPERLINK("https://klasma.github.io/Logging_2021/knärot/A 41377-2026 karta knärot.png", "A 41377-2026")</f>
        <v/>
      </c>
      <c r="AA775">
        <f>HYPERLINK("https://klasma.github.io/Logging_2021/klagomål/A 41377-2026 FSC-klagomål.docx", "A 41377-2026")</f>
        <v/>
      </c>
      <c r="AB775">
        <f>HYPERLINK("https://klasma.github.io/Logging_2021/klagomålsmail/A 41377-2026 FSC-klagomål mail.docx", "A 41377-2026")</f>
        <v/>
      </c>
      <c r="AC775">
        <f>HYPERLINK("https://klasma.github.io/Logging_2021/tillsyn/A 41377-2026 tillsynsbegäran.docx", "A 41377-2026")</f>
        <v/>
      </c>
      <c r="AD775">
        <f>HYPERLINK("https://klasma.github.io/Logging_2021/tillsynsmail/A 41377-2026 tillsynsbegäran mail.docx", "A 41377-2026")</f>
        <v/>
      </c>
    </row>
    <row r="776" ht="15" customHeight="1">
      <c r="A776" t="inlineStr">
        <is>
          <t>A 41690-2026</t>
        </is>
      </c>
      <c r="B776" t="inlineStr">
        <is>
          <t>avverkningsanmälan</t>
        </is>
      </c>
      <c r="C776" t="inlineStr">
        <is>
          <t>Föryngringsavverkning</t>
        </is>
      </c>
      <c r="D776" s="1" t="n">
        <v>46302</v>
      </c>
      <c r="E776" s="1" t="n">
        <v>46319</v>
      </c>
      <c r="F776" t="inlineStr">
        <is>
          <t>DALARNAS LÄN</t>
        </is>
      </c>
      <c r="G776" t="inlineStr">
        <is>
          <t>VANSBRO</t>
        </is>
      </c>
      <c r="I776" t="n">
        <v>2.4</v>
      </c>
      <c r="J776" t="n">
        <v>1</v>
      </c>
      <c r="K776" t="n">
        <v>0</v>
      </c>
      <c r="L776" t="n">
        <v>3</v>
      </c>
      <c r="M776" t="n">
        <v>0</v>
      </c>
      <c r="N776" t="n">
        <v>0</v>
      </c>
      <c r="O776" t="n">
        <v>0</v>
      </c>
      <c r="P776" t="n">
        <v>0</v>
      </c>
      <c r="Q776" t="n">
        <v>3</v>
      </c>
      <c r="R776" t="n">
        <v>0</v>
      </c>
      <c r="S776" t="n">
        <v>3</v>
      </c>
      <c r="T776" t="n">
        <v>3</v>
      </c>
      <c r="U776" t="n">
        <v>0</v>
      </c>
      <c r="V776" s="2" t="inlineStr">
        <is>
          <t>Drillsnäppa
Ullticka
Älg</t>
        </is>
      </c>
      <c r="W776">
        <f>HYPERLINK("https://klasma.github.io/Logging_2021/artfynd/A 41690-2026 artfynd.xlsx", "A 41690-2026")</f>
        <v/>
      </c>
      <c r="X776">
        <f>HYPERLINK("https://klasma.github.io/Logging_2021/kartor/A 41690-2026 karta.png", "A 41690-2026")</f>
        <v/>
      </c>
      <c r="Y776">
        <f>HYPERLINK("https://klasma.github.io/Logging_2021/kartor_geotiff/A 41690-2026 georefererad karta.tif", "A 41690-2026")</f>
        <v/>
      </c>
      <c r="AA776">
        <f>HYPERLINK("https://klasma.github.io/Logging_2021/klagomål/A 41690-2026 FSC-klagomål.docx", "A 41690-2026")</f>
        <v/>
      </c>
      <c r="AB776">
        <f>HYPERLINK("https://klasma.github.io/Logging_2021/klagomålsmail/A 41690-2026 FSC-klagomål mail.docx", "A 41690-2026")</f>
        <v/>
      </c>
      <c r="AC776">
        <f>HYPERLINK("https://klasma.github.io/Logging_2021/tillsyn/A 41690-2026 tillsynsbegäran.docx", "A 41690-2026")</f>
        <v/>
      </c>
      <c r="AD776">
        <f>HYPERLINK("https://klasma.github.io/Logging_2021/tillsynsmail/A 41690-2026 tillsynsbegäran mail.docx", "A 41690-2026")</f>
        <v/>
      </c>
      <c r="AE776">
        <f>HYPERLINK("https://klasma.github.io/Logging_2021/fåglar/A 41690-2026 prioriterade fågelarter.docx", "A 41690-2026")</f>
        <v/>
      </c>
    </row>
    <row r="777" ht="15" customHeight="1">
      <c r="A777" t="inlineStr">
        <is>
          <t>A 41916-2026</t>
        </is>
      </c>
      <c r="B777" t="inlineStr">
        <is>
          <t>avverkningsanmälan</t>
        </is>
      </c>
      <c r="C777" t="inlineStr">
        <is>
          <t>Föryngringsavverkning</t>
        </is>
      </c>
      <c r="D777" s="1" t="n">
        <v>46303</v>
      </c>
      <c r="E777" s="1" t="n">
        <v>46319</v>
      </c>
      <c r="F777" t="inlineStr">
        <is>
          <t>DALARNAS LÄN</t>
        </is>
      </c>
      <c r="G777" t="inlineStr">
        <is>
          <t>ORSA</t>
        </is>
      </c>
      <c r="I777" t="n">
        <v>2.1</v>
      </c>
      <c r="J777" t="n">
        <v>2</v>
      </c>
      <c r="K777" t="n">
        <v>0</v>
      </c>
      <c r="L777" t="n">
        <v>1</v>
      </c>
      <c r="M777" t="n">
        <v>1</v>
      </c>
      <c r="N777" t="n">
        <v>0</v>
      </c>
      <c r="O777" t="n">
        <v>0</v>
      </c>
      <c r="P777" t="n">
        <v>0</v>
      </c>
      <c r="Q777" t="n">
        <v>2</v>
      </c>
      <c r="R777" t="n">
        <v>1</v>
      </c>
      <c r="S777" t="n">
        <v>3</v>
      </c>
      <c r="T777" t="n">
        <v>10</v>
      </c>
      <c r="U777" t="n">
        <v>0</v>
      </c>
      <c r="V777" s="2" t="inlineStr">
        <is>
          <t>Garnlav
Tretåig hackspett
Spillkråka</t>
        </is>
      </c>
      <c r="W777">
        <f>HYPERLINK("https://klasma.github.io/Logging_2034/artfynd/A 41916-2026 artfynd.xlsx", "A 41916-2026")</f>
        <v/>
      </c>
      <c r="X777">
        <f>HYPERLINK("https://klasma.github.io/Logging_2034/kartor/A 41916-2026 karta.png", "A 41916-2026")</f>
        <v/>
      </c>
      <c r="Y777">
        <f>HYPERLINK("https://klasma.github.io/Logging_2034/kartor_geotiff/A 41916-2026 georefererad karta.tif", "A 41916-2026")</f>
        <v/>
      </c>
      <c r="AA777">
        <f>HYPERLINK("https://klasma.github.io/Logging_2034/klagomål/A 41916-2026 FSC-klagomål.docx", "A 41916-2026")</f>
        <v/>
      </c>
      <c r="AB777">
        <f>HYPERLINK("https://klasma.github.io/Logging_2034/klagomålsmail/A 41916-2026 FSC-klagomål mail.docx", "A 41916-2026")</f>
        <v/>
      </c>
      <c r="AC777">
        <f>HYPERLINK("https://klasma.github.io/Logging_2034/tillsyn/A 41916-2026 tillsynsbegäran.docx", "A 41916-2026")</f>
        <v/>
      </c>
      <c r="AD777">
        <f>HYPERLINK("https://klasma.github.io/Logging_2034/tillsynsmail/A 41916-2026 tillsynsbegäran mail.docx", "A 41916-2026")</f>
        <v/>
      </c>
      <c r="AE777">
        <f>HYPERLINK("https://klasma.github.io/Logging_2034/fåglar/A 41916-2026 prioriterade fågelarter.docx", "A 41916-2026")</f>
        <v/>
      </c>
    </row>
    <row r="778" ht="15" customHeight="1">
      <c r="A778" t="inlineStr">
        <is>
          <t>A 41923-2026</t>
        </is>
      </c>
      <c r="B778" t="inlineStr">
        <is>
          <t>avverkningsanmälan</t>
        </is>
      </c>
      <c r="C778" t="inlineStr">
        <is>
          <t>Föryngringsavverkning</t>
        </is>
      </c>
      <c r="D778" s="1" t="n">
        <v>46303</v>
      </c>
      <c r="E778" s="1" t="n">
        <v>46319</v>
      </c>
      <c r="F778" t="inlineStr">
        <is>
          <t>DALARNAS LÄN</t>
        </is>
      </c>
      <c r="G778" t="inlineStr">
        <is>
          <t>ORSA</t>
        </is>
      </c>
      <c r="I778" t="n">
        <v>1.6</v>
      </c>
      <c r="J778" t="n">
        <v>2</v>
      </c>
      <c r="K778" t="n">
        <v>1</v>
      </c>
      <c r="L778" t="n">
        <v>1</v>
      </c>
      <c r="M778" t="n">
        <v>0</v>
      </c>
      <c r="N778" t="n">
        <v>0</v>
      </c>
      <c r="O778" t="n">
        <v>0</v>
      </c>
      <c r="P778" t="n">
        <v>0</v>
      </c>
      <c r="Q778" t="n">
        <v>1</v>
      </c>
      <c r="R778" t="n">
        <v>0</v>
      </c>
      <c r="S778" t="n">
        <v>3</v>
      </c>
      <c r="T778" t="n">
        <v>4</v>
      </c>
      <c r="U778" t="n">
        <v>0</v>
      </c>
      <c r="V778" s="2" t="inlineStr">
        <is>
          <t>Tretåig hackspett
Mindre märgborre
Spillkråka</t>
        </is>
      </c>
      <c r="W778">
        <f>HYPERLINK("https://klasma.github.io/Logging_2034/artfynd/A 41923-2026 artfynd.xlsx", "A 41923-2026")</f>
        <v/>
      </c>
      <c r="X778">
        <f>HYPERLINK("https://klasma.github.io/Logging_2034/kartor/A 41923-2026 karta.png", "A 41923-2026")</f>
        <v/>
      </c>
      <c r="Y778">
        <f>HYPERLINK("https://klasma.github.io/Logging_2034/kartor_geotiff/A 41923-2026 georefererad karta.tif", "A 41923-2026")</f>
        <v/>
      </c>
      <c r="AA778">
        <f>HYPERLINK("https://klasma.github.io/Logging_2034/klagomål/A 41923-2026 FSC-klagomål.docx", "A 41923-2026")</f>
        <v/>
      </c>
      <c r="AB778">
        <f>HYPERLINK("https://klasma.github.io/Logging_2034/klagomålsmail/A 41923-2026 FSC-klagomål mail.docx", "A 41923-2026")</f>
        <v/>
      </c>
      <c r="AC778">
        <f>HYPERLINK("https://klasma.github.io/Logging_2034/tillsyn/A 41923-2026 tillsynsbegäran.docx", "A 41923-2026")</f>
        <v/>
      </c>
      <c r="AD778">
        <f>HYPERLINK("https://klasma.github.io/Logging_2034/tillsynsmail/A 41923-2026 tillsynsbegäran mail.docx", "A 41923-2026")</f>
        <v/>
      </c>
      <c r="AE778">
        <f>HYPERLINK("https://klasma.github.io/Logging_2034/fåglar/A 41923-2026 prioriterade fågelarter.docx", "A 41923-2026")</f>
        <v/>
      </c>
    </row>
    <row r="779" ht="15" customHeight="1">
      <c r="A779" t="inlineStr">
        <is>
          <t>A 17628-2026</t>
        </is>
      </c>
      <c r="B779" t="inlineStr">
        <is>
          <t>avverkningsanmälan</t>
        </is>
      </c>
      <c r="C779" t="inlineStr">
        <is>
          <t>Föryngringsavverkning</t>
        </is>
      </c>
      <c r="D779" s="1" t="n">
        <v>46121</v>
      </c>
      <c r="E779" s="1" t="n">
        <v>46319</v>
      </c>
      <c r="F779" t="inlineStr">
        <is>
          <t>DALARNAS LÄN</t>
        </is>
      </c>
      <c r="G779" t="inlineStr">
        <is>
          <t>FALUN</t>
        </is>
      </c>
      <c r="I779" t="n">
        <v>4.6</v>
      </c>
      <c r="J779" t="n">
        <v>0</v>
      </c>
      <c r="K779" t="n">
        <v>1</v>
      </c>
      <c r="L779" t="n">
        <v>2</v>
      </c>
      <c r="M779" t="n">
        <v>0</v>
      </c>
      <c r="N779" t="n">
        <v>0</v>
      </c>
      <c r="O779" t="n">
        <v>0</v>
      </c>
      <c r="P779" t="n">
        <v>0</v>
      </c>
      <c r="Q779" t="n">
        <v>2</v>
      </c>
      <c r="R779" t="n">
        <v>0</v>
      </c>
      <c r="S779" t="n">
        <v>3</v>
      </c>
      <c r="T779" t="n">
        <v>3</v>
      </c>
      <c r="U779" t="n">
        <v>0</v>
      </c>
      <c r="V779" s="2" t="inlineStr">
        <is>
          <t>Kolflarnlav
Vedskivlav
Mindre märgborre</t>
        </is>
      </c>
      <c r="W779">
        <f>HYPERLINK("https://klasma.github.io/Logging_2080/artfynd/A 17628-2026 artfynd.xlsx", "A 17628-2026")</f>
        <v/>
      </c>
      <c r="X779">
        <f>HYPERLINK("https://klasma.github.io/Logging_2080/kartor/A 17628-2026 karta.png", "A 17628-2026")</f>
        <v/>
      </c>
      <c r="Y779">
        <f>HYPERLINK("https://klasma.github.io/Logging_2080/kartor_geotiff/A 17628-2026 georefererad karta.tif", "A 17628-2026")</f>
        <v/>
      </c>
      <c r="AA779">
        <f>HYPERLINK("https://klasma.github.io/Logging_2080/klagomål/A 17628-2026 FSC-klagomål.docx", "A 17628-2026")</f>
        <v/>
      </c>
      <c r="AB779">
        <f>HYPERLINK("https://klasma.github.io/Logging_2080/klagomålsmail/A 17628-2026 FSC-klagomål mail.docx", "A 17628-2026")</f>
        <v/>
      </c>
      <c r="AC779">
        <f>HYPERLINK("https://klasma.github.io/Logging_2080/tillsyn/A 17628-2026 tillsynsbegäran.docx", "A 17628-2026")</f>
        <v/>
      </c>
      <c r="AD779">
        <f>HYPERLINK("https://klasma.github.io/Logging_2080/tillsynsmail/A 17628-2026 tillsynsbegäran mail.docx", "A 17628-2026")</f>
        <v/>
      </c>
    </row>
    <row r="780" ht="15" customHeight="1">
      <c r="A780" t="inlineStr">
        <is>
          <t>A 31164-2025</t>
        </is>
      </c>
      <c r="B780" t="inlineStr">
        <is>
          <t>avverkningsanmälan</t>
        </is>
      </c>
      <c r="C780" t="inlineStr">
        <is>
          <t>Föryngringsavverkning</t>
        </is>
      </c>
      <c r="D780" s="1" t="n">
        <v>45832</v>
      </c>
      <c r="E780" s="1" t="n">
        <v>46319</v>
      </c>
      <c r="F780" t="inlineStr">
        <is>
          <t>DALARNAS LÄN</t>
        </is>
      </c>
      <c r="G780" t="inlineStr">
        <is>
          <t>ORSA</t>
        </is>
      </c>
      <c r="I780" t="n">
        <v>0.9</v>
      </c>
      <c r="J780" t="n">
        <v>1</v>
      </c>
      <c r="K780" t="n">
        <v>1</v>
      </c>
      <c r="L780" t="n">
        <v>1</v>
      </c>
      <c r="M780" t="n">
        <v>1</v>
      </c>
      <c r="N780" t="n">
        <v>0</v>
      </c>
      <c r="O780" t="n">
        <v>0</v>
      </c>
      <c r="P780" t="n">
        <v>0</v>
      </c>
      <c r="Q780" t="n">
        <v>2</v>
      </c>
      <c r="R780" t="n">
        <v>1</v>
      </c>
      <c r="S780" t="n">
        <v>3</v>
      </c>
      <c r="T780" t="n">
        <v>6</v>
      </c>
      <c r="U780" t="n">
        <v>6</v>
      </c>
      <c r="V780" s="2" t="inlineStr">
        <is>
          <t>Garnlav
Tretåig hackspett
Bronshjon</t>
        </is>
      </c>
      <c r="W780">
        <f>HYPERLINK("https://klasma.github.io/Logging_2034/artfynd/A 31164-2025 artfynd.xlsx", "A 31164-2025")</f>
        <v/>
      </c>
      <c r="X780">
        <f>HYPERLINK("https://klasma.github.io/Logging_2034/kartor/A 31164-2025 karta.png", "A 31164-2025")</f>
        <v/>
      </c>
      <c r="Y780">
        <f>HYPERLINK("https://klasma.github.io/Logging_2034/kartor_geotiff/A 31164-2025 georefererad karta.tif", "A 31164-2025")</f>
        <v/>
      </c>
      <c r="AA780">
        <f>HYPERLINK("https://klasma.github.io/Logging_2034/klagomål/A 31164-2025 FSC-klagomål.docx", "A 31164-2025")</f>
        <v/>
      </c>
      <c r="AB780">
        <f>HYPERLINK("https://klasma.github.io/Logging_2034/klagomålsmail/A 31164-2025 FSC-klagomål mail.docx", "A 31164-2025")</f>
        <v/>
      </c>
      <c r="AC780">
        <f>HYPERLINK("https://klasma.github.io/Logging_2034/tillsyn/A 31164-2025 tillsynsbegäran.docx", "A 31164-2025")</f>
        <v/>
      </c>
      <c r="AD780">
        <f>HYPERLINK("https://klasma.github.io/Logging_2034/tillsynsmail/A 31164-2025 tillsynsbegäran mail.docx", "A 31164-2025")</f>
        <v/>
      </c>
      <c r="AE780">
        <f>HYPERLINK("https://klasma.github.io/Logging_2034/fåglar/A 31164-2025 prioriterade fågelarter.docx", "A 31164-2025")</f>
        <v/>
      </c>
    </row>
    <row r="781" ht="15" customHeight="1">
      <c r="A781" t="inlineStr">
        <is>
          <t>A 18617-2026</t>
        </is>
      </c>
      <c r="B781" t="inlineStr">
        <is>
          <t>avverkningsanmälan</t>
        </is>
      </c>
      <c r="C781" t="inlineStr">
        <is>
          <t>Föryngringsavverkning</t>
        </is>
      </c>
      <c r="D781" s="1" t="n">
        <v>46127</v>
      </c>
      <c r="E781" s="1" t="n">
        <v>46319</v>
      </c>
      <c r="F781" t="inlineStr">
        <is>
          <t>DALARNAS LÄN</t>
        </is>
      </c>
      <c r="G781" t="inlineStr">
        <is>
          <t>ÄLVDALEN</t>
        </is>
      </c>
      <c r="I781" t="n">
        <v>1.3</v>
      </c>
      <c r="J781" t="n">
        <v>0</v>
      </c>
      <c r="K781" t="n">
        <v>1</v>
      </c>
      <c r="L781" t="n">
        <v>2</v>
      </c>
      <c r="M781" t="n">
        <v>0</v>
      </c>
      <c r="N781" t="n">
        <v>0</v>
      </c>
      <c r="O781" t="n">
        <v>0</v>
      </c>
      <c r="P781" t="n">
        <v>0</v>
      </c>
      <c r="Q781" t="n">
        <v>2</v>
      </c>
      <c r="R781" t="n">
        <v>0</v>
      </c>
      <c r="S781" t="n">
        <v>3</v>
      </c>
      <c r="T781" t="n">
        <v>6</v>
      </c>
      <c r="U781" t="n">
        <v>6</v>
      </c>
      <c r="V781" s="2" t="inlineStr">
        <is>
          <t>Kolflarnlav
Mörk kolflarnlav
Mindre märgborre</t>
        </is>
      </c>
      <c r="W781">
        <f>HYPERLINK("https://klasma.github.io/Logging_2039/artfynd/A 18617-2026 artfynd.xlsx", "A 18617-2026")</f>
        <v/>
      </c>
      <c r="X781">
        <f>HYPERLINK("https://klasma.github.io/Logging_2039/kartor/A 18617-2026 karta.png", "A 18617-2026")</f>
        <v/>
      </c>
      <c r="Y781">
        <f>HYPERLINK("https://klasma.github.io/Logging_2039/kartor_geotiff/A 18617-2026 georefererad karta.tif", "A 18617-2026")</f>
        <v/>
      </c>
      <c r="AA781">
        <f>HYPERLINK("https://klasma.github.io/Logging_2039/klagomål/A 18617-2026 FSC-klagomål.docx", "A 18617-2026")</f>
        <v/>
      </c>
      <c r="AB781">
        <f>HYPERLINK("https://klasma.github.io/Logging_2039/klagomålsmail/A 18617-2026 FSC-klagomål mail.docx", "A 18617-2026")</f>
        <v/>
      </c>
      <c r="AC781">
        <f>HYPERLINK("https://klasma.github.io/Logging_2039/tillsyn/A 18617-2026 tillsynsbegäran.docx", "A 18617-2026")</f>
        <v/>
      </c>
      <c r="AD781">
        <f>HYPERLINK("https://klasma.github.io/Logging_2039/tillsynsmail/A 18617-2026 tillsynsbegäran mail.docx", "A 18617-2026")</f>
        <v/>
      </c>
    </row>
    <row r="782" ht="15" customHeight="1">
      <c r="A782" t="inlineStr">
        <is>
          <t>A 2409-2022</t>
        </is>
      </c>
      <c r="B782" t="inlineStr">
        <is>
          <t>avverkningsanmälan</t>
        </is>
      </c>
      <c r="C782" t="inlineStr">
        <is>
          <t>Föryngringsavverkning</t>
        </is>
      </c>
      <c r="D782" s="1" t="n">
        <v>44579</v>
      </c>
      <c r="E782" s="1" t="n">
        <v>46319</v>
      </c>
      <c r="F782" t="inlineStr">
        <is>
          <t>DALARNAS LÄN</t>
        </is>
      </c>
      <c r="G782" t="inlineStr">
        <is>
          <t>HEDEMORA</t>
        </is>
      </c>
      <c r="I782" t="n">
        <v>3.1</v>
      </c>
      <c r="J782" t="n">
        <v>1</v>
      </c>
      <c r="K782" t="n">
        <v>1</v>
      </c>
      <c r="L782" t="n">
        <v>1</v>
      </c>
      <c r="M782" t="n">
        <v>1</v>
      </c>
      <c r="N782" t="n">
        <v>0</v>
      </c>
      <c r="O782" t="n">
        <v>0</v>
      </c>
      <c r="P782" t="n">
        <v>0</v>
      </c>
      <c r="Q782" t="n">
        <v>2</v>
      </c>
      <c r="R782" t="n">
        <v>1</v>
      </c>
      <c r="S782" t="n">
        <v>3</v>
      </c>
      <c r="T782" t="n">
        <v>12</v>
      </c>
      <c r="U782" t="n">
        <v>12</v>
      </c>
      <c r="V782" s="2" t="inlineStr">
        <is>
          <t>Knärot
Ullticka
Vedticka</t>
        </is>
      </c>
      <c r="W782">
        <f>HYPERLINK("https://klasma.github.io/Logging_2083/artfynd/A 2409-2022 artfynd.xlsx", "A 2409-2022")</f>
        <v/>
      </c>
      <c r="X782">
        <f>HYPERLINK("https://klasma.github.io/Logging_2083/kartor/A 2409-2022 karta.png", "A 2409-2022")</f>
        <v/>
      </c>
      <c r="Y782">
        <f>HYPERLINK("https://klasma.github.io/Logging_2083/kartor_geotiff/A 2409-2022 georefererad karta.tif", "A 2409-2022")</f>
        <v/>
      </c>
      <c r="Z782">
        <f>HYPERLINK("https://klasma.github.io/Logging_2083/knärot/A 2409-2022 karta knärot.png", "A 2409-2022")</f>
        <v/>
      </c>
      <c r="AA782">
        <f>HYPERLINK("https://klasma.github.io/Logging_2083/klagomål/A 2409-2022 FSC-klagomål.docx", "A 2409-2022")</f>
        <v/>
      </c>
      <c r="AB782">
        <f>HYPERLINK("https://klasma.github.io/Logging_2083/klagomålsmail/A 2409-2022 FSC-klagomål mail.docx", "A 2409-2022")</f>
        <v/>
      </c>
      <c r="AC782">
        <f>HYPERLINK("https://klasma.github.io/Logging_2083/tillsyn/A 2409-2022 tillsynsbegäran.docx", "A 2409-2022")</f>
        <v/>
      </c>
      <c r="AD782">
        <f>HYPERLINK("https://klasma.github.io/Logging_2083/tillsynsmail/A 2409-2022 tillsynsbegäran mail.docx", "A 2409-2022")</f>
        <v/>
      </c>
    </row>
    <row r="783" ht="15" customHeight="1">
      <c r="A783" t="inlineStr">
        <is>
          <t>A 74432-2021</t>
        </is>
      </c>
      <c r="B783" t="inlineStr">
        <is>
          <t>avverkningsanmälan</t>
        </is>
      </c>
      <c r="C783" t="inlineStr">
        <is>
          <t>Föryngringsavverkning</t>
        </is>
      </c>
      <c r="D783" s="1" t="n">
        <v>44560</v>
      </c>
      <c r="E783" s="1" t="n">
        <v>46319</v>
      </c>
      <c r="F783" t="inlineStr">
        <is>
          <t>DALARNAS LÄN</t>
        </is>
      </c>
      <c r="G783" t="inlineStr">
        <is>
          <t>LUDVIKA</t>
        </is>
      </c>
      <c r="H783" t="inlineStr">
        <is>
          <t>Kommuner</t>
        </is>
      </c>
      <c r="I783" t="n">
        <v>1</v>
      </c>
      <c r="J783" t="n">
        <v>3</v>
      </c>
      <c r="K783" t="n">
        <v>0</v>
      </c>
      <c r="L783" t="n">
        <v>0</v>
      </c>
      <c r="M783" t="n">
        <v>0</v>
      </c>
      <c r="N783" t="n">
        <v>0</v>
      </c>
      <c r="O783" t="n">
        <v>0</v>
      </c>
      <c r="P783" t="n">
        <v>0</v>
      </c>
      <c r="Q783" t="n">
        <v>0</v>
      </c>
      <c r="R783" t="n">
        <v>0</v>
      </c>
      <c r="S783" t="n">
        <v>3</v>
      </c>
      <c r="T783" t="n">
        <v>3</v>
      </c>
      <c r="U783" t="n">
        <v>3</v>
      </c>
      <c r="V783" s="2" t="inlineStr">
        <is>
          <t>Spillkråka
Gröngöling
Kungsfågel</t>
        </is>
      </c>
      <c r="W783">
        <f>HYPERLINK("https://klasma.github.io/Logging_2085/artfynd/A 74432-2021 artfynd.xlsx", "A 74432-2021")</f>
        <v/>
      </c>
      <c r="X783">
        <f>HYPERLINK("https://klasma.github.io/Logging_2085/kartor/A 74432-2021 karta.png", "A 74432-2021")</f>
        <v/>
      </c>
      <c r="Y783">
        <f>HYPERLINK("https://klasma.github.io/Logging_2085/kartor_geotiff/A 74432-2021 georefererad karta.tif", "A 74432-2021")</f>
        <v/>
      </c>
      <c r="AA783">
        <f>HYPERLINK("https://klasma.github.io/Logging_2085/klagomål/A 74432-2021 FSC-klagomål.docx", "A 74432-2021")</f>
        <v/>
      </c>
      <c r="AB783">
        <f>HYPERLINK("https://klasma.github.io/Logging_2085/klagomålsmail/A 74432-2021 FSC-klagomål mail.docx", "A 74432-2021")</f>
        <v/>
      </c>
      <c r="AC783">
        <f>HYPERLINK("https://klasma.github.io/Logging_2085/tillsyn/A 74432-2021 tillsynsbegäran.docx", "A 74432-2021")</f>
        <v/>
      </c>
      <c r="AD783">
        <f>HYPERLINK("https://klasma.github.io/Logging_2085/tillsynsmail/A 74432-2021 tillsynsbegäran mail.docx", "A 74432-2021")</f>
        <v/>
      </c>
      <c r="AE783">
        <f>HYPERLINK("https://klasma.github.io/Logging_2085/fåglar/A 74432-2021 prioriterade fågelarter.docx", "A 74432-2021")</f>
        <v/>
      </c>
    </row>
    <row r="784" ht="15" customHeight="1">
      <c r="A784" t="inlineStr">
        <is>
          <t>A 37457-2025</t>
        </is>
      </c>
      <c r="B784" t="inlineStr">
        <is>
          <t>avverkningsanmälan</t>
        </is>
      </c>
      <c r="C784" t="inlineStr">
        <is>
          <t>Föryngringsavverkning</t>
        </is>
      </c>
      <c r="D784" s="1" t="n">
        <v>45877</v>
      </c>
      <c r="E784" s="1" t="n">
        <v>46319</v>
      </c>
      <c r="F784" t="inlineStr">
        <is>
          <t>DALARNAS LÄN</t>
        </is>
      </c>
      <c r="G784" t="inlineStr">
        <is>
          <t>ORSA</t>
        </is>
      </c>
      <c r="H784" t="inlineStr">
        <is>
          <t>Allmännings- och besparingsskogar</t>
        </is>
      </c>
      <c r="I784" t="n">
        <v>6.5</v>
      </c>
      <c r="J784" t="n">
        <v>0</v>
      </c>
      <c r="K784" t="n">
        <v>0</v>
      </c>
      <c r="L784" t="n">
        <v>2</v>
      </c>
      <c r="M784" t="n">
        <v>0</v>
      </c>
      <c r="N784" t="n">
        <v>1</v>
      </c>
      <c r="O784" t="n">
        <v>0</v>
      </c>
      <c r="P784" t="n">
        <v>0</v>
      </c>
      <c r="Q784" t="n">
        <v>3</v>
      </c>
      <c r="R784" t="n">
        <v>1</v>
      </c>
      <c r="S784" t="n">
        <v>3</v>
      </c>
      <c r="T784" t="n">
        <v>3</v>
      </c>
      <c r="U784" t="n">
        <v>0</v>
      </c>
      <c r="V784" s="2" t="inlineStr">
        <is>
          <t>Urskogsporing
Blanksvart spiklav
Dvärgbägarlav</t>
        </is>
      </c>
      <c r="W784">
        <f>HYPERLINK("https://klasma.github.io/Logging_2034/artfynd/A 37457-2025 artfynd.xlsx", "A 37457-2025")</f>
        <v/>
      </c>
      <c r="X784">
        <f>HYPERLINK("https://klasma.github.io/Logging_2034/kartor/A 37457-2025 karta.png", "A 37457-2025")</f>
        <v/>
      </c>
      <c r="Y784">
        <f>HYPERLINK("https://klasma.github.io/Logging_2034/kartor_geotiff/A 37457-2025 georefererad karta.tif", "A 37457-2025")</f>
        <v/>
      </c>
      <c r="AA784">
        <f>HYPERLINK("https://klasma.github.io/Logging_2034/klagomål/A 37457-2025 FSC-klagomål.docx", "A 37457-2025")</f>
        <v/>
      </c>
      <c r="AB784">
        <f>HYPERLINK("https://klasma.github.io/Logging_2034/klagomålsmail/A 37457-2025 FSC-klagomål mail.docx", "A 37457-2025")</f>
        <v/>
      </c>
      <c r="AC784">
        <f>HYPERLINK("https://klasma.github.io/Logging_2034/tillsyn/A 37457-2025 tillsynsbegäran.docx", "A 37457-2025")</f>
        <v/>
      </c>
      <c r="AD784">
        <f>HYPERLINK("https://klasma.github.io/Logging_2034/tillsynsmail/A 37457-2025 tillsynsbegäran mail.docx", "A 37457-2025")</f>
        <v/>
      </c>
    </row>
    <row r="785" ht="15" customHeight="1">
      <c r="A785" t="inlineStr">
        <is>
          <t>A 41914-2026</t>
        </is>
      </c>
      <c r="B785" t="inlineStr">
        <is>
          <t>avverkningsanmälan</t>
        </is>
      </c>
      <c r="C785" t="inlineStr">
        <is>
          <t>Föryngringsavverkning</t>
        </is>
      </c>
      <c r="D785" s="1" t="n">
        <v>46303</v>
      </c>
      <c r="E785" s="1" t="n">
        <v>46319</v>
      </c>
      <c r="F785" t="inlineStr">
        <is>
          <t>DALARNAS LÄN</t>
        </is>
      </c>
      <c r="G785" t="inlineStr">
        <is>
          <t>ORSA</t>
        </is>
      </c>
      <c r="I785" t="n">
        <v>5.7</v>
      </c>
      <c r="J785" t="n">
        <v>2</v>
      </c>
      <c r="K785" t="n">
        <v>0</v>
      </c>
      <c r="L785" t="n">
        <v>1</v>
      </c>
      <c r="M785" t="n">
        <v>1</v>
      </c>
      <c r="N785" t="n">
        <v>0</v>
      </c>
      <c r="O785" t="n">
        <v>0</v>
      </c>
      <c r="P785" t="n">
        <v>0</v>
      </c>
      <c r="Q785" t="n">
        <v>2</v>
      </c>
      <c r="R785" t="n">
        <v>1</v>
      </c>
      <c r="S785" t="n">
        <v>3</v>
      </c>
      <c r="T785" t="n">
        <v>7</v>
      </c>
      <c r="U785" t="n">
        <v>0</v>
      </c>
      <c r="V785" s="2" t="inlineStr">
        <is>
          <t>Garnlav
Tretåig hackspett
Spillkråka</t>
        </is>
      </c>
      <c r="W785">
        <f>HYPERLINK("https://klasma.github.io/Logging_2034/artfynd/A 41914-2026 artfynd.xlsx", "A 41914-2026")</f>
        <v/>
      </c>
      <c r="X785">
        <f>HYPERLINK("https://klasma.github.io/Logging_2034/kartor/A 41914-2026 karta.png", "A 41914-2026")</f>
        <v/>
      </c>
      <c r="Y785">
        <f>HYPERLINK("https://klasma.github.io/Logging_2034/kartor_geotiff/A 41914-2026 georefererad karta.tif", "A 41914-2026")</f>
        <v/>
      </c>
      <c r="AA785">
        <f>HYPERLINK("https://klasma.github.io/Logging_2034/klagomål/A 41914-2026 FSC-klagomål.docx", "A 41914-2026")</f>
        <v/>
      </c>
      <c r="AB785">
        <f>HYPERLINK("https://klasma.github.io/Logging_2034/klagomålsmail/A 41914-2026 FSC-klagomål mail.docx", "A 41914-2026")</f>
        <v/>
      </c>
      <c r="AC785">
        <f>HYPERLINK("https://klasma.github.io/Logging_2034/tillsyn/A 41914-2026 tillsynsbegäran.docx", "A 41914-2026")</f>
        <v/>
      </c>
      <c r="AD785">
        <f>HYPERLINK("https://klasma.github.io/Logging_2034/tillsynsmail/A 41914-2026 tillsynsbegäran mail.docx", "A 41914-2026")</f>
        <v/>
      </c>
      <c r="AE785">
        <f>HYPERLINK("https://klasma.github.io/Logging_2034/fåglar/A 41914-2026 prioriterade fågelarter.docx", "A 41914-2026")</f>
        <v/>
      </c>
    </row>
    <row r="786" ht="15" customHeight="1">
      <c r="A786" t="inlineStr">
        <is>
          <t>A 23163-2025</t>
        </is>
      </c>
      <c r="B786" t="inlineStr">
        <is>
          <t>avverkningsanmälan</t>
        </is>
      </c>
      <c r="C786" t="inlineStr">
        <is>
          <t>Föryngringsavverkning</t>
        </is>
      </c>
      <c r="D786" s="1" t="n">
        <v>45791</v>
      </c>
      <c r="E786" s="1" t="n">
        <v>46319</v>
      </c>
      <c r="F786" t="inlineStr">
        <is>
          <t>DALARNAS LÄN</t>
        </is>
      </c>
      <c r="G786" t="inlineStr">
        <is>
          <t>MORA</t>
        </is>
      </c>
      <c r="I786" t="n">
        <v>4.2</v>
      </c>
      <c r="J786" t="n">
        <v>2</v>
      </c>
      <c r="K786" t="n">
        <v>0</v>
      </c>
      <c r="L786" t="n">
        <v>1</v>
      </c>
      <c r="M786" t="n">
        <v>1</v>
      </c>
      <c r="N786" t="n">
        <v>0</v>
      </c>
      <c r="O786" t="n">
        <v>0</v>
      </c>
      <c r="P786" t="n">
        <v>0</v>
      </c>
      <c r="Q786" t="n">
        <v>2</v>
      </c>
      <c r="R786" t="n">
        <v>1</v>
      </c>
      <c r="S786" t="n">
        <v>3</v>
      </c>
      <c r="T786" t="n">
        <v>3</v>
      </c>
      <c r="U786" t="n">
        <v>1</v>
      </c>
      <c r="V786" s="2" t="inlineStr">
        <is>
          <t>Garnlav
Talltita
Spillkråka</t>
        </is>
      </c>
      <c r="W786">
        <f>HYPERLINK("https://klasma.github.io/Logging_2062/artfynd/A 23163-2025 artfynd.xlsx", "A 23163-2025")</f>
        <v/>
      </c>
      <c r="X786">
        <f>HYPERLINK("https://klasma.github.io/Logging_2062/kartor/A 23163-2025 karta.png", "A 23163-2025")</f>
        <v/>
      </c>
      <c r="Y786">
        <f>HYPERLINK("https://klasma.github.io/Logging_2062/kartor_geotiff/A 23163-2025 georefererad karta.tif", "A 23163-2025")</f>
        <v/>
      </c>
      <c r="Z786">
        <f>HYPERLINK("https://klasma.github.io/Logging_2062/knärot/A 23163-2025 karta knärot.png", "A 23163-2025")</f>
        <v/>
      </c>
      <c r="AA786">
        <f>HYPERLINK("https://klasma.github.io/Logging_2062/klagomål/A 23163-2025 FSC-klagomål.docx", "A 23163-2025")</f>
        <v/>
      </c>
      <c r="AB786">
        <f>HYPERLINK("https://klasma.github.io/Logging_2062/klagomålsmail/A 23163-2025 FSC-klagomål mail.docx", "A 23163-2025")</f>
        <v/>
      </c>
      <c r="AC786">
        <f>HYPERLINK("https://klasma.github.io/Logging_2062/tillsyn/A 23163-2025 tillsynsbegäran.docx", "A 23163-2025")</f>
        <v/>
      </c>
      <c r="AD786">
        <f>HYPERLINK("https://klasma.github.io/Logging_2062/tillsynsmail/A 23163-2025 tillsynsbegäran mail.docx", "A 23163-2025")</f>
        <v/>
      </c>
      <c r="AE786">
        <f>HYPERLINK("https://klasma.github.io/Logging_2062/fåglar/A 23163-2025 prioriterade fågelarter.docx", "A 23163-2025")</f>
        <v/>
      </c>
    </row>
    <row r="787" ht="15" customHeight="1">
      <c r="A787" t="inlineStr">
        <is>
          <t>A 451-2025</t>
        </is>
      </c>
      <c r="B787" t="inlineStr">
        <is>
          <t>avverkningsanmälan</t>
        </is>
      </c>
      <c r="C787" t="inlineStr">
        <is>
          <t>Föryngringsavverkning</t>
        </is>
      </c>
      <c r="D787" s="1" t="n">
        <v>45664</v>
      </c>
      <c r="E787" s="1" t="n">
        <v>46319</v>
      </c>
      <c r="F787" t="inlineStr">
        <is>
          <t>DALARNAS LÄN</t>
        </is>
      </c>
      <c r="G787" t="inlineStr">
        <is>
          <t>HEDEMORA</t>
        </is>
      </c>
      <c r="I787" t="n">
        <v>4.5</v>
      </c>
      <c r="J787" t="n">
        <v>2</v>
      </c>
      <c r="K787" t="n">
        <v>0</v>
      </c>
      <c r="L787" t="n">
        <v>1</v>
      </c>
      <c r="M787" t="n">
        <v>1</v>
      </c>
      <c r="N787" t="n">
        <v>0</v>
      </c>
      <c r="O787" t="n">
        <v>0</v>
      </c>
      <c r="P787" t="n">
        <v>0</v>
      </c>
      <c r="Q787" t="n">
        <v>2</v>
      </c>
      <c r="R787" t="n">
        <v>1</v>
      </c>
      <c r="S787" t="n">
        <v>3</v>
      </c>
      <c r="T787" t="n">
        <v>5</v>
      </c>
      <c r="U787" t="n">
        <v>5</v>
      </c>
      <c r="V787" s="2" t="inlineStr">
        <is>
          <t>Knärot
Vedskivlav
Spillkråka</t>
        </is>
      </c>
      <c r="W787">
        <f>HYPERLINK("https://klasma.github.io/Logging_2083/artfynd/A 451-2025 artfynd.xlsx", "A 451-2025")</f>
        <v/>
      </c>
      <c r="X787">
        <f>HYPERLINK("https://klasma.github.io/Logging_2083/kartor/A 451-2025 karta.png", "A 451-2025")</f>
        <v/>
      </c>
      <c r="Y787">
        <f>HYPERLINK("https://klasma.github.io/Logging_2083/kartor_geotiff/A 451-2025 georefererad karta.tif", "A 451-2025")</f>
        <v/>
      </c>
      <c r="Z787">
        <f>HYPERLINK("https://klasma.github.io/Logging_2083/knärot/A 451-2025 karta knärot.png", "A 451-2025")</f>
        <v/>
      </c>
      <c r="AA787">
        <f>HYPERLINK("https://klasma.github.io/Logging_2083/klagomål/A 451-2025 FSC-klagomål.docx", "A 451-2025")</f>
        <v/>
      </c>
      <c r="AB787">
        <f>HYPERLINK("https://klasma.github.io/Logging_2083/klagomålsmail/A 451-2025 FSC-klagomål mail.docx", "A 451-2025")</f>
        <v/>
      </c>
      <c r="AC787">
        <f>HYPERLINK("https://klasma.github.io/Logging_2083/tillsyn/A 451-2025 tillsynsbegäran.docx", "A 451-2025")</f>
        <v/>
      </c>
      <c r="AD787">
        <f>HYPERLINK("https://klasma.github.io/Logging_2083/tillsynsmail/A 451-2025 tillsynsbegäran mail.docx", "A 451-2025")</f>
        <v/>
      </c>
      <c r="AE787">
        <f>HYPERLINK("https://klasma.github.io/Logging_2083/fåglar/A 451-2025 prioriterade fågelarter.docx", "A 451-2025")</f>
        <v/>
      </c>
    </row>
    <row r="788" ht="15" customHeight="1">
      <c r="A788" t="inlineStr">
        <is>
          <t>A 43245-2026</t>
        </is>
      </c>
      <c r="B788" t="inlineStr">
        <is>
          <t>avverkningsanmälan</t>
        </is>
      </c>
      <c r="C788" t="inlineStr">
        <is>
          <t>Föryngringsavverkning</t>
        </is>
      </c>
      <c r="D788" s="1" t="n">
        <v>46314</v>
      </c>
      <c r="E788" s="1" t="n">
        <v>46319</v>
      </c>
      <c r="F788" t="inlineStr">
        <is>
          <t>DALARNAS LÄN</t>
        </is>
      </c>
      <c r="G788" t="inlineStr">
        <is>
          <t>FALUN</t>
        </is>
      </c>
      <c r="H788" t="inlineStr">
        <is>
          <t>Bergvik skog väst AB</t>
        </is>
      </c>
      <c r="I788" t="n">
        <v>22.7</v>
      </c>
      <c r="J788" t="n">
        <v>1</v>
      </c>
      <c r="K788" t="n">
        <v>0</v>
      </c>
      <c r="L788" t="n">
        <v>3</v>
      </c>
      <c r="M788" t="n">
        <v>0</v>
      </c>
      <c r="N788" t="n">
        <v>0</v>
      </c>
      <c r="O788" t="n">
        <v>0</v>
      </c>
      <c r="P788" t="n">
        <v>0</v>
      </c>
      <c r="Q788" t="n">
        <v>3</v>
      </c>
      <c r="R788" t="n">
        <v>0</v>
      </c>
      <c r="S788" t="n">
        <v>3</v>
      </c>
      <c r="T788" t="n">
        <v>5</v>
      </c>
      <c r="U788" t="n">
        <v>0</v>
      </c>
      <c r="V788" s="2" t="inlineStr">
        <is>
          <t>Blanksvart spiklav
Varglav
Vedflamlav</t>
        </is>
      </c>
      <c r="W788">
        <f>HYPERLINK("https://klasma.github.io/Logging_2080/artfynd/A 43245-2026 artfynd.xlsx", "A 43245-2026")</f>
        <v/>
      </c>
      <c r="X788">
        <f>HYPERLINK("https://klasma.github.io/Logging_2080/kartor/A 43245-2026 karta.png", "A 43245-2026")</f>
        <v/>
      </c>
      <c r="Y788">
        <f>HYPERLINK("https://klasma.github.io/Logging_2080/kartor_geotiff/A 43245-2026 georefererad karta.tif", "A 43245-2026")</f>
        <v/>
      </c>
      <c r="AA788">
        <f>HYPERLINK("https://klasma.github.io/Logging_2080/klagomål/A 43245-2026 FSC-klagomål.docx", "A 43245-2026")</f>
        <v/>
      </c>
      <c r="AB788">
        <f>HYPERLINK("https://klasma.github.io/Logging_2080/klagomålsmail/A 43245-2026 FSC-klagomål mail.docx", "A 43245-2026")</f>
        <v/>
      </c>
      <c r="AC788">
        <f>HYPERLINK("https://klasma.github.io/Logging_2080/tillsyn/A 43245-2026 tillsynsbegäran.docx", "A 43245-2026")</f>
        <v/>
      </c>
      <c r="AD788">
        <f>HYPERLINK("https://klasma.github.io/Logging_2080/tillsynsmail/A 43245-2026 tillsynsbegäran mail.docx", "A 43245-2026")</f>
        <v/>
      </c>
    </row>
    <row r="789" ht="15" customHeight="1">
      <c r="A789" t="inlineStr">
        <is>
          <t>A 27504-2025</t>
        </is>
      </c>
      <c r="B789" t="inlineStr">
        <is>
          <t>avverkningsanmälan</t>
        </is>
      </c>
      <c r="C789" t="inlineStr">
        <is>
          <t>Föryngringsavverkning</t>
        </is>
      </c>
      <c r="D789" s="1" t="n">
        <v>45813</v>
      </c>
      <c r="E789" s="1" t="n">
        <v>46319</v>
      </c>
      <c r="F789" t="inlineStr">
        <is>
          <t>DALARNAS LÄN</t>
        </is>
      </c>
      <c r="G789" t="inlineStr">
        <is>
          <t>VANSBRO</t>
        </is>
      </c>
      <c r="H789" t="inlineStr">
        <is>
          <t>Bergvik skog väst AB</t>
        </is>
      </c>
      <c r="I789" t="n">
        <v>3.4</v>
      </c>
      <c r="J789" t="n">
        <v>0</v>
      </c>
      <c r="K789" t="n">
        <v>1</v>
      </c>
      <c r="L789" t="n">
        <v>1</v>
      </c>
      <c r="M789" t="n">
        <v>1</v>
      </c>
      <c r="N789" t="n">
        <v>0</v>
      </c>
      <c r="O789" t="n">
        <v>0</v>
      </c>
      <c r="P789" t="n">
        <v>0</v>
      </c>
      <c r="Q789" t="n">
        <v>2</v>
      </c>
      <c r="R789" t="n">
        <v>1</v>
      </c>
      <c r="S789" t="n">
        <v>3</v>
      </c>
      <c r="T789" t="n">
        <v>5</v>
      </c>
      <c r="U789" t="n">
        <v>0</v>
      </c>
      <c r="V789" s="2" t="inlineStr">
        <is>
          <t>Garnlav
Kortskaftad ärgspik
Vedticka</t>
        </is>
      </c>
      <c r="W789">
        <f>HYPERLINK("https://klasma.github.io/Logging_2021/artfynd/A 27504-2025 artfynd.xlsx", "A 27504-2025")</f>
        <v/>
      </c>
      <c r="X789">
        <f>HYPERLINK("https://klasma.github.io/Logging_2021/kartor/A 27504-2025 karta.png", "A 27504-2025")</f>
        <v/>
      </c>
      <c r="Y789">
        <f>HYPERLINK("https://klasma.github.io/Logging_2021/kartor_geotiff/A 27504-2025 georefererad karta.tif", "A 27504-2025")</f>
        <v/>
      </c>
      <c r="AA789">
        <f>HYPERLINK("https://klasma.github.io/Logging_2021/klagomål/A 27504-2025 FSC-klagomål.docx", "A 27504-2025")</f>
        <v/>
      </c>
      <c r="AB789">
        <f>HYPERLINK("https://klasma.github.io/Logging_2021/klagomålsmail/A 27504-2025 FSC-klagomål mail.docx", "A 27504-2025")</f>
        <v/>
      </c>
      <c r="AC789">
        <f>HYPERLINK("https://klasma.github.io/Logging_2021/tillsyn/A 27504-2025 tillsynsbegäran.docx", "A 27504-2025")</f>
        <v/>
      </c>
      <c r="AD789">
        <f>HYPERLINK("https://klasma.github.io/Logging_2021/tillsynsmail/A 27504-2025 tillsynsbegäran mail.docx", "A 27504-2025")</f>
        <v/>
      </c>
    </row>
    <row r="790" ht="15" customHeight="1">
      <c r="A790" t="inlineStr">
        <is>
          <t>A 6317-2023</t>
        </is>
      </c>
      <c r="B790" t="inlineStr">
        <is>
          <t>avverkningsanmälan</t>
        </is>
      </c>
      <c r="C790" t="inlineStr">
        <is>
          <t>Föryngringsavverkning</t>
        </is>
      </c>
      <c r="D790" s="1" t="n">
        <v>44965</v>
      </c>
      <c r="E790" s="1" t="n">
        <v>46319</v>
      </c>
      <c r="F790" t="inlineStr">
        <is>
          <t>DALARNAS LÄN</t>
        </is>
      </c>
      <c r="G790" t="inlineStr">
        <is>
          <t>FALUN</t>
        </is>
      </c>
      <c r="I790" t="n">
        <v>1.4</v>
      </c>
      <c r="J790" t="n">
        <v>1</v>
      </c>
      <c r="K790" t="n">
        <v>1</v>
      </c>
      <c r="L790" t="n">
        <v>2</v>
      </c>
      <c r="M790" t="n">
        <v>0</v>
      </c>
      <c r="N790" t="n">
        <v>0</v>
      </c>
      <c r="O790" t="n">
        <v>0</v>
      </c>
      <c r="P790" t="n">
        <v>0</v>
      </c>
      <c r="Q790" t="n">
        <v>2</v>
      </c>
      <c r="R790" t="n">
        <v>0</v>
      </c>
      <c r="S790" t="n">
        <v>3</v>
      </c>
      <c r="T790" t="n">
        <v>3</v>
      </c>
      <c r="U790" t="n">
        <v>2</v>
      </c>
      <c r="V790" s="2" t="inlineStr">
        <is>
          <t>Gullpudra
Sparvuggla
Svavelriska</t>
        </is>
      </c>
      <c r="W790">
        <f>HYPERLINK("https://klasma.github.io/Logging_2080/artfynd/A 6317-2023 artfynd.xlsx", "A 6317-2023")</f>
        <v/>
      </c>
      <c r="X790">
        <f>HYPERLINK("https://klasma.github.io/Logging_2080/kartor/A 6317-2023 karta.png", "A 6317-2023")</f>
        <v/>
      </c>
      <c r="Y790">
        <f>HYPERLINK("https://klasma.github.io/Logging_2080/kartor_geotiff/A 6317-2023 georefererad karta.tif", "A 6317-2023")</f>
        <v/>
      </c>
      <c r="AA790">
        <f>HYPERLINK("https://klasma.github.io/Logging_2080/klagomål/A 6317-2023 FSC-klagomål.docx", "A 6317-2023")</f>
        <v/>
      </c>
      <c r="AB790">
        <f>HYPERLINK("https://klasma.github.io/Logging_2080/klagomålsmail/A 6317-2023 FSC-klagomål mail.docx", "A 6317-2023")</f>
        <v/>
      </c>
      <c r="AC790">
        <f>HYPERLINK("https://klasma.github.io/Logging_2080/tillsyn/A 6317-2023 tillsynsbegäran.docx", "A 6317-2023")</f>
        <v/>
      </c>
      <c r="AD790">
        <f>HYPERLINK("https://klasma.github.io/Logging_2080/tillsynsmail/A 6317-2023 tillsynsbegäran mail.docx", "A 6317-2023")</f>
        <v/>
      </c>
      <c r="AE790">
        <f>HYPERLINK("https://klasma.github.io/Logging_2080/fåglar/A 6317-2023 prioriterade fågelarter.docx", "A 6317-2023")</f>
        <v/>
      </c>
    </row>
    <row r="791" ht="15" customHeight="1">
      <c r="A791" t="inlineStr">
        <is>
          <t>A 43914-2024</t>
        </is>
      </c>
      <c r="B791" t="inlineStr">
        <is>
          <t>avverkningsanmälan</t>
        </is>
      </c>
      <c r="C791" t="inlineStr">
        <is>
          <t>Föryngringsavverkning</t>
        </is>
      </c>
      <c r="D791" s="1" t="n">
        <v>45572</v>
      </c>
      <c r="E791" s="1" t="n">
        <v>46319</v>
      </c>
      <c r="F791" t="inlineStr">
        <is>
          <t>DALARNAS LÄN</t>
        </is>
      </c>
      <c r="G791" t="inlineStr">
        <is>
          <t>GAGNEF</t>
        </is>
      </c>
      <c r="I791" t="n">
        <v>4</v>
      </c>
      <c r="J791" t="n">
        <v>2</v>
      </c>
      <c r="K791" t="n">
        <v>0</v>
      </c>
      <c r="L791" t="n">
        <v>1</v>
      </c>
      <c r="M791" t="n">
        <v>2</v>
      </c>
      <c r="N791" t="n">
        <v>0</v>
      </c>
      <c r="O791" t="n">
        <v>0</v>
      </c>
      <c r="P791" t="n">
        <v>0</v>
      </c>
      <c r="Q791" t="n">
        <v>3</v>
      </c>
      <c r="R791" t="n">
        <v>2</v>
      </c>
      <c r="S791" t="n">
        <v>3</v>
      </c>
      <c r="T791" t="n">
        <v>17</v>
      </c>
      <c r="U791" t="n">
        <v>17</v>
      </c>
      <c r="V791" s="2" t="inlineStr">
        <is>
          <t>Garnlav
Knärot
Tretåig hackspett</t>
        </is>
      </c>
      <c r="W791">
        <f>HYPERLINK("https://klasma.github.io/Logging_2026/artfynd/A 43914-2024 artfynd.xlsx", "A 43914-2024")</f>
        <v/>
      </c>
      <c r="X791">
        <f>HYPERLINK("https://klasma.github.io/Logging_2026/kartor/A 43914-2024 karta.png", "A 43914-2024")</f>
        <v/>
      </c>
      <c r="Y791">
        <f>HYPERLINK("https://klasma.github.io/Logging_2026/kartor_geotiff/A 43914-2024 georefererad karta.tif", "A 43914-2024")</f>
        <v/>
      </c>
      <c r="Z791">
        <f>HYPERLINK("https://klasma.github.io/Logging_2026/knärot/A 43914-2024 karta knärot.png", "A 43914-2024")</f>
        <v/>
      </c>
      <c r="AA791">
        <f>HYPERLINK("https://klasma.github.io/Logging_2026/klagomål/A 43914-2024 FSC-klagomål.docx", "A 43914-2024")</f>
        <v/>
      </c>
      <c r="AB791">
        <f>HYPERLINK("https://klasma.github.io/Logging_2026/klagomålsmail/A 43914-2024 FSC-klagomål mail.docx", "A 43914-2024")</f>
        <v/>
      </c>
      <c r="AC791">
        <f>HYPERLINK("https://klasma.github.io/Logging_2026/tillsyn/A 43914-2024 tillsynsbegäran.docx", "A 43914-2024")</f>
        <v/>
      </c>
      <c r="AD791">
        <f>HYPERLINK("https://klasma.github.io/Logging_2026/tillsynsmail/A 43914-2024 tillsynsbegäran mail.docx", "A 43914-2024")</f>
        <v/>
      </c>
      <c r="AE791">
        <f>HYPERLINK("https://klasma.github.io/Logging_2026/fåglar/A 43914-2024 prioriterade fågelarter.docx", "A 43914-2024")</f>
        <v/>
      </c>
    </row>
    <row r="792" ht="15" customHeight="1">
      <c r="A792" t="inlineStr">
        <is>
          <t>A 5890-2026</t>
        </is>
      </c>
      <c r="B792" t="inlineStr">
        <is>
          <t>avverkningsanmälan</t>
        </is>
      </c>
      <c r="C792" t="inlineStr">
        <is>
          <t>Föryngringsavverkning</t>
        </is>
      </c>
      <c r="D792" s="1" t="n">
        <v>46052</v>
      </c>
      <c r="E792" s="1" t="n">
        <v>46319</v>
      </c>
      <c r="F792" t="inlineStr">
        <is>
          <t>DALARNAS LÄN</t>
        </is>
      </c>
      <c r="G792" t="inlineStr">
        <is>
          <t>RÄTTVIK</t>
        </is>
      </c>
      <c r="I792" t="n">
        <v>3.1</v>
      </c>
      <c r="J792" t="n">
        <v>0</v>
      </c>
      <c r="K792" t="n">
        <v>2</v>
      </c>
      <c r="L792" t="n">
        <v>1</v>
      </c>
      <c r="M792" t="n">
        <v>0</v>
      </c>
      <c r="N792" t="n">
        <v>0</v>
      </c>
      <c r="O792" t="n">
        <v>0</v>
      </c>
      <c r="P792" t="n">
        <v>0</v>
      </c>
      <c r="Q792" t="n">
        <v>1</v>
      </c>
      <c r="R792" t="n">
        <v>0</v>
      </c>
      <c r="S792" t="n">
        <v>3</v>
      </c>
      <c r="T792" t="n">
        <v>3</v>
      </c>
      <c r="U792" t="n">
        <v>0</v>
      </c>
      <c r="V792" s="2" t="inlineStr">
        <is>
          <t>Vedflamlav
Sotlav
Stor aspticka</t>
        </is>
      </c>
      <c r="W792">
        <f>HYPERLINK("https://klasma.github.io/Logging_2031/artfynd/A 5890-2026 artfynd.xlsx", "A 5890-2026")</f>
        <v/>
      </c>
      <c r="X792">
        <f>HYPERLINK("https://klasma.github.io/Logging_2031/kartor/A 5890-2026 karta.png", "A 5890-2026")</f>
        <v/>
      </c>
      <c r="Y792">
        <f>HYPERLINK("https://klasma.github.io/Logging_2031/kartor_geotiff/A 5890-2026 georefererad karta.tif", "A 5890-2026")</f>
        <v/>
      </c>
      <c r="AA792">
        <f>HYPERLINK("https://klasma.github.io/Logging_2031/klagomål/A 5890-2026 FSC-klagomål.docx", "A 5890-2026")</f>
        <v/>
      </c>
      <c r="AB792">
        <f>HYPERLINK("https://klasma.github.io/Logging_2031/klagomålsmail/A 5890-2026 FSC-klagomål mail.docx", "A 5890-2026")</f>
        <v/>
      </c>
      <c r="AC792">
        <f>HYPERLINK("https://klasma.github.io/Logging_2031/tillsyn/A 5890-2026 tillsynsbegäran.docx", "A 5890-2026")</f>
        <v/>
      </c>
      <c r="AD792">
        <f>HYPERLINK("https://klasma.github.io/Logging_2031/tillsynsmail/A 5890-2026 tillsynsbegäran mail.docx", "A 5890-2026")</f>
        <v/>
      </c>
    </row>
    <row r="793" ht="15" customHeight="1">
      <c r="A793" t="inlineStr">
        <is>
          <t>A 43506-2026</t>
        </is>
      </c>
      <c r="B793" t="inlineStr">
        <is>
          <t>avverkningsanmälan</t>
        </is>
      </c>
      <c r="C793" t="inlineStr">
        <is>
          <t>Föryngringsavverkning</t>
        </is>
      </c>
      <c r="D793" s="1" t="n">
        <v>46315</v>
      </c>
      <c r="E793" s="1" t="n">
        <v>46319</v>
      </c>
      <c r="F793" t="inlineStr">
        <is>
          <t>DALARNAS LÄN</t>
        </is>
      </c>
      <c r="G793" t="inlineStr">
        <is>
          <t>FALUN</t>
        </is>
      </c>
      <c r="H793" t="inlineStr">
        <is>
          <t>Bergvik skog väst AB</t>
        </is>
      </c>
      <c r="I793" t="n">
        <v>17.3</v>
      </c>
      <c r="J793" t="n">
        <v>0</v>
      </c>
      <c r="K793" t="n">
        <v>0</v>
      </c>
      <c r="L793" t="n">
        <v>2</v>
      </c>
      <c r="M793" t="n">
        <v>1</v>
      </c>
      <c r="N793" t="n">
        <v>0</v>
      </c>
      <c r="O793" t="n">
        <v>0</v>
      </c>
      <c r="P793" t="n">
        <v>0</v>
      </c>
      <c r="Q793" t="n">
        <v>3</v>
      </c>
      <c r="R793" t="n">
        <v>1</v>
      </c>
      <c r="S793" t="n">
        <v>3</v>
      </c>
      <c r="T793" t="n">
        <v>3</v>
      </c>
      <c r="U793" t="n">
        <v>0</v>
      </c>
      <c r="V793" s="2" t="inlineStr">
        <is>
          <t>Gränsticka
Stjärntagging
Vedtrappmossa</t>
        </is>
      </c>
      <c r="W793">
        <f>HYPERLINK("https://klasma.github.io/Logging_2080/artfynd/A 43506-2026 artfynd.xlsx", "A 43506-2026")</f>
        <v/>
      </c>
      <c r="X793">
        <f>HYPERLINK("https://klasma.github.io/Logging_2080/kartor/A 43506-2026 karta.png", "A 43506-2026")</f>
        <v/>
      </c>
      <c r="Y793">
        <f>HYPERLINK("https://klasma.github.io/Logging_2080/kartor_geotiff/A 43506-2026 georefererad karta.tif", "A 43506-2026")</f>
        <v/>
      </c>
      <c r="AA793">
        <f>HYPERLINK("https://klasma.github.io/Logging_2080/klagomål/A 43506-2026 FSC-klagomål.docx", "A 43506-2026")</f>
        <v/>
      </c>
      <c r="AB793">
        <f>HYPERLINK("https://klasma.github.io/Logging_2080/klagomålsmail/A 43506-2026 FSC-klagomål mail.docx", "A 43506-2026")</f>
        <v/>
      </c>
      <c r="AC793">
        <f>HYPERLINK("https://klasma.github.io/Logging_2080/tillsyn/A 43506-2026 tillsynsbegäran.docx", "A 43506-2026")</f>
        <v/>
      </c>
      <c r="AD793">
        <f>HYPERLINK("https://klasma.github.io/Logging_2080/tillsynsmail/A 43506-2026 tillsynsbegäran mail.docx", "A 43506-2026")</f>
        <v/>
      </c>
    </row>
    <row r="794" ht="15" customHeight="1">
      <c r="A794" t="inlineStr">
        <is>
          <t>A 6832-2024</t>
        </is>
      </c>
      <c r="B794" t="inlineStr">
        <is>
          <t>avverkningsanmälan</t>
        </is>
      </c>
      <c r="C794" t="inlineStr">
        <is>
          <t>Föryngringsavverkning</t>
        </is>
      </c>
      <c r="D794" s="1" t="n">
        <v>45342</v>
      </c>
      <c r="E794" s="1" t="n">
        <v>46319</v>
      </c>
      <c r="F794" t="inlineStr">
        <is>
          <t>DALARNAS LÄN</t>
        </is>
      </c>
      <c r="G794" t="inlineStr">
        <is>
          <t>BORLÄNGE</t>
        </is>
      </c>
      <c r="I794" t="n">
        <v>14.2</v>
      </c>
      <c r="J794" t="n">
        <v>0</v>
      </c>
      <c r="K794" t="n">
        <v>3</v>
      </c>
      <c r="L794" t="n">
        <v>0</v>
      </c>
      <c r="M794" t="n">
        <v>0</v>
      </c>
      <c r="N794" t="n">
        <v>0</v>
      </c>
      <c r="O794" t="n">
        <v>0</v>
      </c>
      <c r="P794" t="n">
        <v>0</v>
      </c>
      <c r="Q794" t="n">
        <v>0</v>
      </c>
      <c r="R794" t="n">
        <v>0</v>
      </c>
      <c r="S794" t="n">
        <v>3</v>
      </c>
      <c r="T794" t="n">
        <v>5</v>
      </c>
      <c r="U794" t="n">
        <v>0</v>
      </c>
      <c r="V794" s="2" t="inlineStr">
        <is>
          <t>Bronshjon
Thomsons trägnagare
Vågbandad barkbock</t>
        </is>
      </c>
      <c r="W794">
        <f>HYPERLINK("https://klasma.github.io/Logging_2081/artfynd/A 6832-2024 artfynd.xlsx", "A 6832-2024")</f>
        <v/>
      </c>
      <c r="X794">
        <f>HYPERLINK("https://klasma.github.io/Logging_2081/kartor/A 6832-2024 karta.png", "A 6832-2024")</f>
        <v/>
      </c>
      <c r="Y794">
        <f>HYPERLINK("https://klasma.github.io/Logging_2081/kartor_geotiff/A 6832-2024 georefererad karta.tif", "A 6832-2024")</f>
        <v/>
      </c>
      <c r="AA794">
        <f>HYPERLINK("https://klasma.github.io/Logging_2081/klagomål/A 6832-2024 FSC-klagomål.docx", "A 6832-2024")</f>
        <v/>
      </c>
      <c r="AB794">
        <f>HYPERLINK("https://klasma.github.io/Logging_2081/klagomålsmail/A 6832-2024 FSC-klagomål mail.docx", "A 6832-2024")</f>
        <v/>
      </c>
      <c r="AC794">
        <f>HYPERLINK("https://klasma.github.io/Logging_2081/tillsyn/A 6832-2024 tillsynsbegäran.docx", "A 6832-2024")</f>
        <v/>
      </c>
      <c r="AD794">
        <f>HYPERLINK("https://klasma.github.io/Logging_2081/tillsynsmail/A 6832-2024 tillsynsbegäran mail.docx", "A 6832-2024")</f>
        <v/>
      </c>
    </row>
    <row r="795" ht="15" customHeight="1">
      <c r="A795" t="inlineStr">
        <is>
          <t>A 36315-2024</t>
        </is>
      </c>
      <c r="B795" t="inlineStr">
        <is>
          <t>avverkningsanmälan</t>
        </is>
      </c>
      <c r="C795" t="inlineStr">
        <is>
          <t>Föryngringsavverkning</t>
        </is>
      </c>
      <c r="D795" s="1" t="n">
        <v>45534</v>
      </c>
      <c r="E795" s="1" t="n">
        <v>46319</v>
      </c>
      <c r="F795" t="inlineStr">
        <is>
          <t>DALARNAS LÄN</t>
        </is>
      </c>
      <c r="G795" t="inlineStr">
        <is>
          <t>RÄTTVIK</t>
        </is>
      </c>
      <c r="I795" t="n">
        <v>4.7</v>
      </c>
      <c r="J795" t="n">
        <v>0</v>
      </c>
      <c r="K795" t="n">
        <v>0</v>
      </c>
      <c r="L795" t="n">
        <v>3</v>
      </c>
      <c r="M795" t="n">
        <v>0</v>
      </c>
      <c r="N795" t="n">
        <v>0</v>
      </c>
      <c r="O795" t="n">
        <v>0</v>
      </c>
      <c r="P795" t="n">
        <v>0</v>
      </c>
      <c r="Q795" t="n">
        <v>3</v>
      </c>
      <c r="R795" t="n">
        <v>0</v>
      </c>
      <c r="S795" t="n">
        <v>3</v>
      </c>
      <c r="T795" t="n">
        <v>4</v>
      </c>
      <c r="U795" t="n">
        <v>0</v>
      </c>
      <c r="V795" s="2" t="inlineStr">
        <is>
          <t>Rosenticka
Rynkskinn
Ullticka</t>
        </is>
      </c>
      <c r="W795">
        <f>HYPERLINK("https://klasma.github.io/Logging_2031/artfynd/A 36315-2024 artfynd.xlsx", "A 36315-2024")</f>
        <v/>
      </c>
      <c r="X795">
        <f>HYPERLINK("https://klasma.github.io/Logging_2031/kartor/A 36315-2024 karta.png", "A 36315-2024")</f>
        <v/>
      </c>
      <c r="Y795">
        <f>HYPERLINK("https://klasma.github.io/Logging_2031/kartor_geotiff/A 36315-2024 georefererad karta.tif", "A 36315-2024")</f>
        <v/>
      </c>
      <c r="AA795">
        <f>HYPERLINK("https://klasma.github.io/Logging_2031/klagomål/A 36315-2024 FSC-klagomål.docx", "A 36315-2024")</f>
        <v/>
      </c>
      <c r="AB795">
        <f>HYPERLINK("https://klasma.github.io/Logging_2031/klagomålsmail/A 36315-2024 FSC-klagomål mail.docx", "A 36315-2024")</f>
        <v/>
      </c>
      <c r="AC795">
        <f>HYPERLINK("https://klasma.github.io/Logging_2031/tillsyn/A 36315-2024 tillsynsbegäran.docx", "A 36315-2024")</f>
        <v/>
      </c>
      <c r="AD795">
        <f>HYPERLINK("https://klasma.github.io/Logging_2031/tillsynsmail/A 36315-2024 tillsynsbegäran mail.docx", "A 36315-2024")</f>
        <v/>
      </c>
    </row>
    <row r="796" ht="15" customHeight="1">
      <c r="A796" t="inlineStr">
        <is>
          <t>A 61787-2024</t>
        </is>
      </c>
      <c r="B796" t="inlineStr">
        <is>
          <t>avverkningsanmälan</t>
        </is>
      </c>
      <c r="C796" t="inlineStr">
        <is>
          <t>Föryngringsavverkning</t>
        </is>
      </c>
      <c r="D796" s="1" t="n">
        <v>45649</v>
      </c>
      <c r="E796" s="1" t="n">
        <v>46319</v>
      </c>
      <c r="F796" t="inlineStr">
        <is>
          <t>DALARNAS LÄN</t>
        </is>
      </c>
      <c r="G796" t="inlineStr">
        <is>
          <t>GAGNEF</t>
        </is>
      </c>
      <c r="I796" t="n">
        <v>1.6</v>
      </c>
      <c r="J796" t="n">
        <v>2</v>
      </c>
      <c r="K796" t="n">
        <v>0</v>
      </c>
      <c r="L796" t="n">
        <v>1</v>
      </c>
      <c r="M796" t="n">
        <v>0</v>
      </c>
      <c r="N796" t="n">
        <v>0</v>
      </c>
      <c r="O796" t="n">
        <v>0</v>
      </c>
      <c r="P796" t="n">
        <v>0</v>
      </c>
      <c r="Q796" t="n">
        <v>1</v>
      </c>
      <c r="R796" t="n">
        <v>0</v>
      </c>
      <c r="S796" t="n">
        <v>3</v>
      </c>
      <c r="T796" t="n">
        <v>3</v>
      </c>
      <c r="U796" t="n">
        <v>0</v>
      </c>
      <c r="V796" s="2" t="inlineStr">
        <is>
          <t>Tallticka
Tjäder
Orre</t>
        </is>
      </c>
      <c r="W796">
        <f>HYPERLINK("https://klasma.github.io/Logging_2026/artfynd/A 61787-2024 artfynd.xlsx", "A 61787-2024")</f>
        <v/>
      </c>
      <c r="X796">
        <f>HYPERLINK("https://klasma.github.io/Logging_2026/kartor/A 61787-2024 karta.png", "A 61787-2024")</f>
        <v/>
      </c>
      <c r="Y796">
        <f>HYPERLINK("https://klasma.github.io/Logging_2026/kartor_geotiff/A 61787-2024 georefererad karta.tif", "A 61787-2024")</f>
        <v/>
      </c>
      <c r="AA796">
        <f>HYPERLINK("https://klasma.github.io/Logging_2026/klagomål/A 61787-2024 FSC-klagomål.docx", "A 61787-2024")</f>
        <v/>
      </c>
      <c r="AB796">
        <f>HYPERLINK("https://klasma.github.io/Logging_2026/klagomålsmail/A 61787-2024 FSC-klagomål mail.docx", "A 61787-2024")</f>
        <v/>
      </c>
      <c r="AC796">
        <f>HYPERLINK("https://klasma.github.io/Logging_2026/tillsyn/A 61787-2024 tillsynsbegäran.docx", "A 61787-2024")</f>
        <v/>
      </c>
      <c r="AD796">
        <f>HYPERLINK("https://klasma.github.io/Logging_2026/tillsynsmail/A 61787-2024 tillsynsbegäran mail.docx", "A 61787-2024")</f>
        <v/>
      </c>
      <c r="AE796">
        <f>HYPERLINK("https://klasma.github.io/Logging_2026/fåglar/A 61787-2024 prioriterade fågelarter.docx", "A 61787-2024")</f>
        <v/>
      </c>
    </row>
    <row r="797" ht="15" customHeight="1">
      <c r="A797" t="inlineStr">
        <is>
          <t>A 32233-2026</t>
        </is>
      </c>
      <c r="B797" t="inlineStr">
        <is>
          <t>avverkningsanmälan</t>
        </is>
      </c>
      <c r="C797" t="inlineStr">
        <is>
          <t>Föryngringsavverkning</t>
        </is>
      </c>
      <c r="D797" s="1" t="n">
        <v>46237</v>
      </c>
      <c r="E797" s="1" t="n">
        <v>46319</v>
      </c>
      <c r="F797" t="inlineStr">
        <is>
          <t>DALARNAS LÄN</t>
        </is>
      </c>
      <c r="G797" t="inlineStr">
        <is>
          <t>LEKSAND</t>
        </is>
      </c>
      <c r="I797" t="n">
        <v>1.2</v>
      </c>
      <c r="J797" t="n">
        <v>1</v>
      </c>
      <c r="K797" t="n">
        <v>0</v>
      </c>
      <c r="L797" t="n">
        <v>1</v>
      </c>
      <c r="M797" t="n">
        <v>1</v>
      </c>
      <c r="N797" t="n">
        <v>0</v>
      </c>
      <c r="O797" t="n">
        <v>0</v>
      </c>
      <c r="P797" t="n">
        <v>0</v>
      </c>
      <c r="Q797" t="n">
        <v>2</v>
      </c>
      <c r="R797" t="n">
        <v>1</v>
      </c>
      <c r="S797" t="n">
        <v>3</v>
      </c>
      <c r="T797" t="n">
        <v>10</v>
      </c>
      <c r="U797" t="n">
        <v>10</v>
      </c>
      <c r="V797" s="2" t="inlineStr">
        <is>
          <t>Garnlav
Ullticka
Tjäder</t>
        </is>
      </c>
      <c r="W797">
        <f>HYPERLINK("https://klasma.github.io/Logging_2029/artfynd/A 32233-2026 artfynd.xlsx", "A 32233-2026")</f>
        <v/>
      </c>
      <c r="X797">
        <f>HYPERLINK("https://klasma.github.io/Logging_2029/kartor/A 32233-2026 karta.png", "A 32233-2026")</f>
        <v/>
      </c>
      <c r="Y797">
        <f>HYPERLINK("https://klasma.github.io/Logging_2029/kartor_geotiff/A 32233-2026 georefererad karta.tif", "A 32233-2026")</f>
        <v/>
      </c>
      <c r="AA797">
        <f>HYPERLINK("https://klasma.github.io/Logging_2029/klagomål/A 32233-2026 FSC-klagomål.docx", "A 32233-2026")</f>
        <v/>
      </c>
      <c r="AB797">
        <f>HYPERLINK("https://klasma.github.io/Logging_2029/klagomålsmail/A 32233-2026 FSC-klagomål mail.docx", "A 32233-2026")</f>
        <v/>
      </c>
      <c r="AC797">
        <f>HYPERLINK("https://klasma.github.io/Logging_2029/tillsyn/A 32233-2026 tillsynsbegäran.docx", "A 32233-2026")</f>
        <v/>
      </c>
      <c r="AD797">
        <f>HYPERLINK("https://klasma.github.io/Logging_2029/tillsynsmail/A 32233-2026 tillsynsbegäran mail.docx", "A 32233-2026")</f>
        <v/>
      </c>
      <c r="AE797">
        <f>HYPERLINK("https://klasma.github.io/Logging_2029/fåglar/A 32233-2026 prioriterade fågelarter.docx", "A 32233-2026")</f>
        <v/>
      </c>
    </row>
    <row r="798" ht="15" customHeight="1">
      <c r="A798" t="inlineStr">
        <is>
          <t>A 43226-2025</t>
        </is>
      </c>
      <c r="B798" t="inlineStr">
        <is>
          <t>avverkningsanmälan</t>
        </is>
      </c>
      <c r="C798" t="inlineStr">
        <is>
          <t>Föryngringsavverkning</t>
        </is>
      </c>
      <c r="D798" s="1" t="n">
        <v>45910</v>
      </c>
      <c r="E798" s="1" t="n">
        <v>46319</v>
      </c>
      <c r="F798" t="inlineStr">
        <is>
          <t>DALARNAS LÄN</t>
        </is>
      </c>
      <c r="G798" t="inlineStr">
        <is>
          <t>LUDVIKA</t>
        </is>
      </c>
      <c r="I798" t="n">
        <v>1.1</v>
      </c>
      <c r="J798" t="n">
        <v>1</v>
      </c>
      <c r="K798" t="n">
        <v>2</v>
      </c>
      <c r="L798" t="n">
        <v>1</v>
      </c>
      <c r="M798" t="n">
        <v>0</v>
      </c>
      <c r="N798" t="n">
        <v>0</v>
      </c>
      <c r="O798" t="n">
        <v>0</v>
      </c>
      <c r="P798" t="n">
        <v>0</v>
      </c>
      <c r="Q798" t="n">
        <v>1</v>
      </c>
      <c r="R798" t="n">
        <v>0</v>
      </c>
      <c r="S798" t="n">
        <v>3</v>
      </c>
      <c r="T798" t="n">
        <v>5</v>
      </c>
      <c r="U798" t="n">
        <v>4</v>
      </c>
      <c r="V798" s="2" t="inlineStr">
        <is>
          <t>Tretåig hackspett
Rävticka
Rödgul trumpetsvamp</t>
        </is>
      </c>
      <c r="W798">
        <f>HYPERLINK("https://klasma.github.io/Logging_2085/artfynd/A 43226-2025 artfynd.xlsx", "A 43226-2025")</f>
        <v/>
      </c>
      <c r="X798">
        <f>HYPERLINK("https://klasma.github.io/Logging_2085/kartor/A 43226-2025 karta.png", "A 43226-2025")</f>
        <v/>
      </c>
      <c r="Y798">
        <f>HYPERLINK("https://klasma.github.io/Logging_2085/kartor_geotiff/A 43226-2025 georefererad karta.tif", "A 43226-2025")</f>
        <v/>
      </c>
      <c r="AA798">
        <f>HYPERLINK("https://klasma.github.io/Logging_2085/klagomål/A 43226-2025 FSC-klagomål.docx", "A 43226-2025")</f>
        <v/>
      </c>
      <c r="AB798">
        <f>HYPERLINK("https://klasma.github.io/Logging_2085/klagomålsmail/A 43226-2025 FSC-klagomål mail.docx", "A 43226-2025")</f>
        <v/>
      </c>
      <c r="AC798">
        <f>HYPERLINK("https://klasma.github.io/Logging_2085/tillsyn/A 43226-2025 tillsynsbegäran.docx", "A 43226-2025")</f>
        <v/>
      </c>
      <c r="AD798">
        <f>HYPERLINK("https://klasma.github.io/Logging_2085/tillsynsmail/A 43226-2025 tillsynsbegäran mail.docx", "A 43226-2025")</f>
        <v/>
      </c>
      <c r="AE798">
        <f>HYPERLINK("https://klasma.github.io/Logging_2085/fåglar/A 43226-2025 prioriterade fågelarter.docx", "A 43226-2025")</f>
        <v/>
      </c>
    </row>
    <row r="799" ht="15" customHeight="1">
      <c r="A799" t="inlineStr">
        <is>
          <t>A 58427-2025</t>
        </is>
      </c>
      <c r="B799" t="inlineStr">
        <is>
          <t>avverkningsanmälan</t>
        </is>
      </c>
      <c r="C799" t="inlineStr">
        <is>
          <t>Föryngringsavverkning</t>
        </is>
      </c>
      <c r="D799" s="1" t="n">
        <v>45985</v>
      </c>
      <c r="E799" s="1" t="n">
        <v>46319</v>
      </c>
      <c r="F799" t="inlineStr">
        <is>
          <t>DALARNAS LÄN</t>
        </is>
      </c>
      <c r="G799" t="inlineStr">
        <is>
          <t>GAGNEF</t>
        </is>
      </c>
      <c r="I799" t="n">
        <v>1.6</v>
      </c>
      <c r="J799" t="n">
        <v>3</v>
      </c>
      <c r="K799" t="n">
        <v>0</v>
      </c>
      <c r="L799" t="n">
        <v>1</v>
      </c>
      <c r="M799" t="n">
        <v>1</v>
      </c>
      <c r="N799" t="n">
        <v>0</v>
      </c>
      <c r="O799" t="n">
        <v>0</v>
      </c>
      <c r="P799" t="n">
        <v>0</v>
      </c>
      <c r="Q799" t="n">
        <v>2</v>
      </c>
      <c r="R799" t="n">
        <v>1</v>
      </c>
      <c r="S799" t="n">
        <v>3</v>
      </c>
      <c r="T799" t="n">
        <v>5</v>
      </c>
      <c r="U799" t="n">
        <v>5</v>
      </c>
      <c r="V799" s="2" t="inlineStr">
        <is>
          <t>Knärot
Tretåig hackspett
Tjäder</t>
        </is>
      </c>
      <c r="W799">
        <f>HYPERLINK("https://klasma.github.io/Logging_2026/artfynd/A 58427-2025 artfynd.xlsx", "A 58427-2025")</f>
        <v/>
      </c>
      <c r="X799">
        <f>HYPERLINK("https://klasma.github.io/Logging_2026/kartor/A 58427-2025 karta.png", "A 58427-2025")</f>
        <v/>
      </c>
      <c r="Y799">
        <f>HYPERLINK("https://klasma.github.io/Logging_2026/kartor_geotiff/A 58427-2025 georefererad karta.tif", "A 58427-2025")</f>
        <v/>
      </c>
      <c r="Z799">
        <f>HYPERLINK("https://klasma.github.io/Logging_2026/knärot/A 58427-2025 karta knärot.png", "A 58427-2025")</f>
        <v/>
      </c>
      <c r="AA799">
        <f>HYPERLINK("https://klasma.github.io/Logging_2026/klagomål/A 58427-2025 FSC-klagomål.docx", "A 58427-2025")</f>
        <v/>
      </c>
      <c r="AB799">
        <f>HYPERLINK("https://klasma.github.io/Logging_2026/klagomålsmail/A 58427-2025 FSC-klagomål mail.docx", "A 58427-2025")</f>
        <v/>
      </c>
      <c r="AC799">
        <f>HYPERLINK("https://klasma.github.io/Logging_2026/tillsyn/A 58427-2025 tillsynsbegäran.docx", "A 58427-2025")</f>
        <v/>
      </c>
      <c r="AD799">
        <f>HYPERLINK("https://klasma.github.io/Logging_2026/tillsynsmail/A 58427-2025 tillsynsbegäran mail.docx", "A 58427-2025")</f>
        <v/>
      </c>
      <c r="AE799">
        <f>HYPERLINK("https://klasma.github.io/Logging_2026/fåglar/A 58427-2025 prioriterade fågelarter.docx", "A 58427-2025")</f>
        <v/>
      </c>
    </row>
    <row r="800" ht="15" customHeight="1">
      <c r="A800" t="inlineStr">
        <is>
          <t>A 24425-2026</t>
        </is>
      </c>
      <c r="B800" t="inlineStr">
        <is>
          <t>avverkningsanmälan</t>
        </is>
      </c>
      <c r="C800" t="inlineStr">
        <is>
          <t>Föryngringsavverkning</t>
        </is>
      </c>
      <c r="D800" s="1" t="n">
        <v>46168</v>
      </c>
      <c r="E800" s="1" t="n">
        <v>46319</v>
      </c>
      <c r="F800" t="inlineStr">
        <is>
          <t>DALARNAS LÄN</t>
        </is>
      </c>
      <c r="G800" t="inlineStr">
        <is>
          <t>LUDVIKA</t>
        </is>
      </c>
      <c r="H800" t="inlineStr">
        <is>
          <t>Övriga Aktiebolag</t>
        </is>
      </c>
      <c r="I800" t="n">
        <v>5.6</v>
      </c>
      <c r="J800" t="n">
        <v>2</v>
      </c>
      <c r="K800" t="n">
        <v>0</v>
      </c>
      <c r="L800" t="n">
        <v>1</v>
      </c>
      <c r="M800" t="n">
        <v>0</v>
      </c>
      <c r="N800" t="n">
        <v>0</v>
      </c>
      <c r="O800" t="n">
        <v>0</v>
      </c>
      <c r="P800" t="n">
        <v>0</v>
      </c>
      <c r="Q800" t="n">
        <v>1</v>
      </c>
      <c r="R800" t="n">
        <v>0</v>
      </c>
      <c r="S800" t="n">
        <v>3</v>
      </c>
      <c r="T800" t="n">
        <v>6</v>
      </c>
      <c r="U800" t="n">
        <v>0</v>
      </c>
      <c r="V800" s="2" t="inlineStr">
        <is>
          <t>Tretåig hackspett
Spillkråka
Sälg</t>
        </is>
      </c>
      <c r="W800">
        <f>HYPERLINK("https://klasma.github.io/Logging_2085/artfynd/A 24425-2026 artfynd.xlsx", "A 24425-2026")</f>
        <v/>
      </c>
      <c r="X800">
        <f>HYPERLINK("https://klasma.github.io/Logging_2085/kartor/A 24425-2026 karta.png", "A 24425-2026")</f>
        <v/>
      </c>
      <c r="Y800">
        <f>HYPERLINK("https://klasma.github.io/Logging_2085/kartor_geotiff/A 24425-2026 georefererad karta.tif", "A 24425-2026")</f>
        <v/>
      </c>
      <c r="AA800">
        <f>HYPERLINK("https://klasma.github.io/Logging_2085/klagomål/A 24425-2026 FSC-klagomål.docx", "A 24425-2026")</f>
        <v/>
      </c>
      <c r="AB800">
        <f>HYPERLINK("https://klasma.github.io/Logging_2085/klagomålsmail/A 24425-2026 FSC-klagomål mail.docx", "A 24425-2026")</f>
        <v/>
      </c>
      <c r="AC800">
        <f>HYPERLINK("https://klasma.github.io/Logging_2085/tillsyn/A 24425-2026 tillsynsbegäran.docx", "A 24425-2026")</f>
        <v/>
      </c>
      <c r="AD800">
        <f>HYPERLINK("https://klasma.github.io/Logging_2085/tillsynsmail/A 24425-2026 tillsynsbegäran mail.docx", "A 24425-2026")</f>
        <v/>
      </c>
      <c r="AE800">
        <f>HYPERLINK("https://klasma.github.io/Logging_2085/fåglar/A 24425-2026 prioriterade fågelarter.docx", "A 24425-2026")</f>
        <v/>
      </c>
    </row>
    <row r="801" ht="15" customHeight="1">
      <c r="A801" t="inlineStr">
        <is>
          <t>A 64154-2025</t>
        </is>
      </c>
      <c r="B801" t="inlineStr">
        <is>
          <t>avverkningsanmälan</t>
        </is>
      </c>
      <c r="C801" t="inlineStr">
        <is>
          <t>Föryngringsavverkning</t>
        </is>
      </c>
      <c r="D801" s="1" t="n">
        <v>46022</v>
      </c>
      <c r="E801" s="1" t="n">
        <v>46319</v>
      </c>
      <c r="F801" t="inlineStr">
        <is>
          <t>DALARNAS LÄN</t>
        </is>
      </c>
      <c r="G801" t="inlineStr">
        <is>
          <t>ORSA</t>
        </is>
      </c>
      <c r="I801" t="n">
        <v>29.9</v>
      </c>
      <c r="J801" t="n">
        <v>1</v>
      </c>
      <c r="K801" t="n">
        <v>1</v>
      </c>
      <c r="L801" t="n">
        <v>1</v>
      </c>
      <c r="M801" t="n">
        <v>1</v>
      </c>
      <c r="N801" t="n">
        <v>0</v>
      </c>
      <c r="O801" t="n">
        <v>0</v>
      </c>
      <c r="P801" t="n">
        <v>0</v>
      </c>
      <c r="Q801" t="n">
        <v>2</v>
      </c>
      <c r="R801" t="n">
        <v>1</v>
      </c>
      <c r="S801" t="n">
        <v>3</v>
      </c>
      <c r="T801" t="n">
        <v>8</v>
      </c>
      <c r="U801" t="n">
        <v>8</v>
      </c>
      <c r="V801" s="2" t="inlineStr">
        <is>
          <t>Garnlav
Tretåig hackspett
Mindre märgborre</t>
        </is>
      </c>
      <c r="W801">
        <f>HYPERLINK("https://klasma.github.io/Logging_2034/artfynd/A 64154-2025 artfynd.xlsx", "A 64154-2025")</f>
        <v/>
      </c>
      <c r="X801">
        <f>HYPERLINK("https://klasma.github.io/Logging_2034/kartor/A 64154-2025 karta.png", "A 64154-2025")</f>
        <v/>
      </c>
      <c r="Y801">
        <f>HYPERLINK("https://klasma.github.io/Logging_2034/kartor_geotiff/A 64154-2025 georefererad karta.tif", "A 64154-2025")</f>
        <v/>
      </c>
      <c r="AA801">
        <f>HYPERLINK("https://klasma.github.io/Logging_2034/klagomål/A 64154-2025 FSC-klagomål.docx", "A 64154-2025")</f>
        <v/>
      </c>
      <c r="AB801">
        <f>HYPERLINK("https://klasma.github.io/Logging_2034/klagomålsmail/A 64154-2025 FSC-klagomål mail.docx", "A 64154-2025")</f>
        <v/>
      </c>
      <c r="AC801">
        <f>HYPERLINK("https://klasma.github.io/Logging_2034/tillsyn/A 64154-2025 tillsynsbegäran.docx", "A 64154-2025")</f>
        <v/>
      </c>
      <c r="AD801">
        <f>HYPERLINK("https://klasma.github.io/Logging_2034/tillsynsmail/A 64154-2025 tillsynsbegäran mail.docx", "A 64154-2025")</f>
        <v/>
      </c>
      <c r="AE801">
        <f>HYPERLINK("https://klasma.github.io/Logging_2034/fåglar/A 64154-2025 prioriterade fågelarter.docx", "A 64154-2025")</f>
        <v/>
      </c>
    </row>
    <row r="802" ht="15" customHeight="1">
      <c r="A802" t="inlineStr">
        <is>
          <t>A 1462-2023</t>
        </is>
      </c>
      <c r="B802" t="inlineStr">
        <is>
          <t>avverkningsanmälan</t>
        </is>
      </c>
      <c r="C802" t="inlineStr">
        <is>
          <t>Föryngringsavverkning</t>
        </is>
      </c>
      <c r="D802" s="1" t="n">
        <v>44937</v>
      </c>
      <c r="E802" s="1" t="n">
        <v>46319</v>
      </c>
      <c r="F802" t="inlineStr">
        <is>
          <t>DALARNAS LÄN</t>
        </is>
      </c>
      <c r="G802" t="inlineStr">
        <is>
          <t>FALUN</t>
        </is>
      </c>
      <c r="I802" t="n">
        <v>8.199999999999999</v>
      </c>
      <c r="J802" t="n">
        <v>2</v>
      </c>
      <c r="K802" t="n">
        <v>0</v>
      </c>
      <c r="L802" t="n">
        <v>1</v>
      </c>
      <c r="M802" t="n">
        <v>1</v>
      </c>
      <c r="N802" t="n">
        <v>0</v>
      </c>
      <c r="O802" t="n">
        <v>0</v>
      </c>
      <c r="P802" t="n">
        <v>0</v>
      </c>
      <c r="Q802" t="n">
        <v>2</v>
      </c>
      <c r="R802" t="n">
        <v>1</v>
      </c>
      <c r="S802" t="n">
        <v>3</v>
      </c>
      <c r="T802" t="n">
        <v>5</v>
      </c>
      <c r="U802" t="n">
        <v>5</v>
      </c>
      <c r="V802" s="2" t="inlineStr">
        <is>
          <t>Garnlav
Tretåig hackspett
Spillkråka</t>
        </is>
      </c>
      <c r="W802">
        <f>HYPERLINK("https://klasma.github.io/Logging_2080/artfynd/A 1462-2023 artfynd.xlsx", "A 1462-2023")</f>
        <v/>
      </c>
      <c r="X802">
        <f>HYPERLINK("https://klasma.github.io/Logging_2080/kartor/A 1462-2023 karta.png", "A 1462-2023")</f>
        <v/>
      </c>
      <c r="Y802">
        <f>HYPERLINK("https://klasma.github.io/Logging_2080/kartor_geotiff/A 1462-2023 georefererad karta.tif", "A 1462-2023")</f>
        <v/>
      </c>
      <c r="AA802">
        <f>HYPERLINK("https://klasma.github.io/Logging_2080/klagomål/A 1462-2023 FSC-klagomål.docx", "A 1462-2023")</f>
        <v/>
      </c>
      <c r="AB802">
        <f>HYPERLINK("https://klasma.github.io/Logging_2080/klagomålsmail/A 1462-2023 FSC-klagomål mail.docx", "A 1462-2023")</f>
        <v/>
      </c>
      <c r="AC802">
        <f>HYPERLINK("https://klasma.github.io/Logging_2080/tillsyn/A 1462-2023 tillsynsbegäran.docx", "A 1462-2023")</f>
        <v/>
      </c>
      <c r="AD802">
        <f>HYPERLINK("https://klasma.github.io/Logging_2080/tillsynsmail/A 1462-2023 tillsynsbegäran mail.docx", "A 1462-2023")</f>
        <v/>
      </c>
      <c r="AE802">
        <f>HYPERLINK("https://klasma.github.io/Logging_2080/fåglar/A 1462-2023 prioriterade fågelarter.docx", "A 1462-2023")</f>
        <v/>
      </c>
    </row>
    <row r="803" ht="15" customHeight="1">
      <c r="A803" t="inlineStr">
        <is>
          <t>A 59111-2024</t>
        </is>
      </c>
      <c r="B803" t="inlineStr">
        <is>
          <t>avverkningsanmälan</t>
        </is>
      </c>
      <c r="C803" t="inlineStr">
        <is>
          <t>Föryngringsavverkning</t>
        </is>
      </c>
      <c r="D803" s="1" t="n">
        <v>45637</v>
      </c>
      <c r="E803" s="1" t="n">
        <v>46319</v>
      </c>
      <c r="F803" t="inlineStr">
        <is>
          <t>DALARNAS LÄN</t>
        </is>
      </c>
      <c r="G803" t="inlineStr">
        <is>
          <t>LEKSAND</t>
        </is>
      </c>
      <c r="I803" t="n">
        <v>8.800000000000001</v>
      </c>
      <c r="J803" t="n">
        <v>0</v>
      </c>
      <c r="K803" t="n">
        <v>0</v>
      </c>
      <c r="L803" t="n">
        <v>2</v>
      </c>
      <c r="M803" t="n">
        <v>1</v>
      </c>
      <c r="N803" t="n">
        <v>0</v>
      </c>
      <c r="O803" t="n">
        <v>0</v>
      </c>
      <c r="P803" t="n">
        <v>0</v>
      </c>
      <c r="Q803" t="n">
        <v>3</v>
      </c>
      <c r="R803" t="n">
        <v>1</v>
      </c>
      <c r="S803" t="n">
        <v>3</v>
      </c>
      <c r="T803" t="n">
        <v>3</v>
      </c>
      <c r="U803" t="n">
        <v>0</v>
      </c>
      <c r="V803" s="2" t="inlineStr">
        <is>
          <t>Garnlav
Rosenticka
Violettgrå tagellav</t>
        </is>
      </c>
      <c r="W803">
        <f>HYPERLINK("https://klasma.github.io/Logging_2029/artfynd/A 59111-2024 artfynd.xlsx", "A 59111-2024")</f>
        <v/>
      </c>
      <c r="X803">
        <f>HYPERLINK("https://klasma.github.io/Logging_2029/kartor/A 59111-2024 karta.png", "A 59111-2024")</f>
        <v/>
      </c>
      <c r="Y803">
        <f>HYPERLINK("https://klasma.github.io/Logging_2029/kartor_geotiff/A 59111-2024 georefererad karta.tif", "A 59111-2024")</f>
        <v/>
      </c>
      <c r="AA803">
        <f>HYPERLINK("https://klasma.github.io/Logging_2029/klagomål/A 59111-2024 FSC-klagomål.docx", "A 59111-2024")</f>
        <v/>
      </c>
      <c r="AB803">
        <f>HYPERLINK("https://klasma.github.io/Logging_2029/klagomålsmail/A 59111-2024 FSC-klagomål mail.docx", "A 59111-2024")</f>
        <v/>
      </c>
      <c r="AC803">
        <f>HYPERLINK("https://klasma.github.io/Logging_2029/tillsyn/A 59111-2024 tillsynsbegäran.docx", "A 59111-2024")</f>
        <v/>
      </c>
      <c r="AD803">
        <f>HYPERLINK("https://klasma.github.io/Logging_2029/tillsynsmail/A 59111-2024 tillsynsbegäran mail.docx", "A 59111-2024")</f>
        <v/>
      </c>
    </row>
    <row r="804" ht="15" customHeight="1">
      <c r="A804" t="inlineStr">
        <is>
          <t>A 6556-2023</t>
        </is>
      </c>
      <c r="B804" t="inlineStr">
        <is>
          <t>avverkningsanmälan</t>
        </is>
      </c>
      <c r="C804" t="inlineStr">
        <is>
          <t>Avverkning för att bevara och utveckla /försöksver</t>
        </is>
      </c>
      <c r="D804" s="1" t="n">
        <v>44961</v>
      </c>
      <c r="E804" s="1" t="n">
        <v>46319</v>
      </c>
      <c r="F804" t="inlineStr">
        <is>
          <t>DALARNAS LÄN</t>
        </is>
      </c>
      <c r="G804" t="inlineStr">
        <is>
          <t>HEDEMORA</t>
        </is>
      </c>
      <c r="I804" t="n">
        <v>3.7</v>
      </c>
      <c r="J804" t="n">
        <v>2</v>
      </c>
      <c r="K804" t="n">
        <v>0</v>
      </c>
      <c r="L804" t="n">
        <v>0</v>
      </c>
      <c r="M804" t="n">
        <v>0</v>
      </c>
      <c r="N804" t="n">
        <v>1</v>
      </c>
      <c r="O804" t="n">
        <v>0</v>
      </c>
      <c r="P804" t="n">
        <v>0</v>
      </c>
      <c r="Q804" t="n">
        <v>1</v>
      </c>
      <c r="R804" t="n">
        <v>1</v>
      </c>
      <c r="S804" t="n">
        <v>3</v>
      </c>
      <c r="T804" t="n">
        <v>3</v>
      </c>
      <c r="U804" t="n">
        <v>2</v>
      </c>
      <c r="V804" s="2" t="inlineStr">
        <is>
          <t>Ask
Buskskvätta
Kungsfågel</t>
        </is>
      </c>
      <c r="W804">
        <f>HYPERLINK("https://klasma.github.io/Logging_2083/artfynd/A 6556-2023 artfynd.xlsx", "A 6556-2023")</f>
        <v/>
      </c>
      <c r="X804">
        <f>HYPERLINK("https://klasma.github.io/Logging_2083/kartor/A 6556-2023 karta.png", "A 6556-2023")</f>
        <v/>
      </c>
      <c r="Y804">
        <f>HYPERLINK("https://klasma.github.io/Logging_2083/kartor_geotiff/A 6556-2023 georefererad karta.tif", "A 6556-2023")</f>
        <v/>
      </c>
      <c r="AA804">
        <f>HYPERLINK("https://klasma.github.io/Logging_2083/klagomål/A 6556-2023 FSC-klagomål.docx", "A 6556-2023")</f>
        <v/>
      </c>
      <c r="AB804">
        <f>HYPERLINK("https://klasma.github.io/Logging_2083/klagomålsmail/A 6556-2023 FSC-klagomål mail.docx", "A 6556-2023")</f>
        <v/>
      </c>
      <c r="AC804">
        <f>HYPERLINK("https://klasma.github.io/Logging_2083/tillsyn/A 6556-2023 tillsynsbegäran.docx", "A 6556-2023")</f>
        <v/>
      </c>
      <c r="AD804">
        <f>HYPERLINK("https://klasma.github.io/Logging_2083/tillsynsmail/A 6556-2023 tillsynsbegäran mail.docx", "A 6556-2023")</f>
        <v/>
      </c>
    </row>
    <row r="805" ht="15" customHeight="1">
      <c r="A805" t="inlineStr">
        <is>
          <t>A 21583-2026</t>
        </is>
      </c>
      <c r="B805" t="inlineStr">
        <is>
          <t>avverkningsanmälan</t>
        </is>
      </c>
      <c r="C805" t="inlineStr">
        <is>
          <t>Föryngringsavverkning</t>
        </is>
      </c>
      <c r="D805" s="1" t="n">
        <v>46149</v>
      </c>
      <c r="E805" s="1" t="n">
        <v>46319</v>
      </c>
      <c r="F805" t="inlineStr">
        <is>
          <t>DALARNAS LÄN</t>
        </is>
      </c>
      <c r="G805" t="inlineStr">
        <is>
          <t>FALUN</t>
        </is>
      </c>
      <c r="H805" t="inlineStr">
        <is>
          <t>Bergvik skog väst AB</t>
        </is>
      </c>
      <c r="I805" t="n">
        <v>3.3</v>
      </c>
      <c r="J805" t="n">
        <v>0</v>
      </c>
      <c r="K805" t="n">
        <v>1</v>
      </c>
      <c r="L805" t="n">
        <v>2</v>
      </c>
      <c r="M805" t="n">
        <v>0</v>
      </c>
      <c r="N805" t="n">
        <v>0</v>
      </c>
      <c r="O805" t="n">
        <v>0</v>
      </c>
      <c r="P805" t="n">
        <v>0</v>
      </c>
      <c r="Q805" t="n">
        <v>2</v>
      </c>
      <c r="R805" t="n">
        <v>0</v>
      </c>
      <c r="S805" t="n">
        <v>3</v>
      </c>
      <c r="T805" t="n">
        <v>3</v>
      </c>
      <c r="U805" t="n">
        <v>0</v>
      </c>
      <c r="V805" s="2" t="inlineStr">
        <is>
          <t>Doftskinn
Ullticka
Vedticka</t>
        </is>
      </c>
      <c r="W805">
        <f>HYPERLINK("https://klasma.github.io/Logging_2080/artfynd/A 21583-2026 artfynd.xlsx", "A 21583-2026")</f>
        <v/>
      </c>
      <c r="X805">
        <f>HYPERLINK("https://klasma.github.io/Logging_2080/kartor/A 21583-2026 karta.png", "A 21583-2026")</f>
        <v/>
      </c>
      <c r="Y805">
        <f>HYPERLINK("https://klasma.github.io/Logging_2080/kartor_geotiff/A 21583-2026 georefererad karta.tif", "A 21583-2026")</f>
        <v/>
      </c>
      <c r="AA805">
        <f>HYPERLINK("https://klasma.github.io/Logging_2080/klagomål/A 21583-2026 FSC-klagomål.docx", "A 21583-2026")</f>
        <v/>
      </c>
      <c r="AB805">
        <f>HYPERLINK("https://klasma.github.io/Logging_2080/klagomålsmail/A 21583-2026 FSC-klagomål mail.docx", "A 21583-2026")</f>
        <v/>
      </c>
      <c r="AC805">
        <f>HYPERLINK("https://klasma.github.io/Logging_2080/tillsyn/A 21583-2026 tillsynsbegäran.docx", "A 21583-2026")</f>
        <v/>
      </c>
      <c r="AD805">
        <f>HYPERLINK("https://klasma.github.io/Logging_2080/tillsynsmail/A 21583-2026 tillsynsbegäran mail.docx", "A 21583-2026")</f>
        <v/>
      </c>
    </row>
    <row r="806" ht="15" customHeight="1">
      <c r="A806" t="inlineStr">
        <is>
          <t>A 34878-2022</t>
        </is>
      </c>
      <c r="B806" t="inlineStr">
        <is>
          <t>avverkningsanmälan</t>
        </is>
      </c>
      <c r="C806" t="inlineStr">
        <is>
          <t>Föryngringsavverkning</t>
        </is>
      </c>
      <c r="D806" s="1" t="n">
        <v>44796</v>
      </c>
      <c r="E806" s="1" t="n">
        <v>46319</v>
      </c>
      <c r="F806" t="inlineStr">
        <is>
          <t>DALARNAS LÄN</t>
        </is>
      </c>
      <c r="G806" t="inlineStr">
        <is>
          <t>MALUNG-SÄLEN</t>
        </is>
      </c>
      <c r="I806" t="n">
        <v>0.7</v>
      </c>
      <c r="J806" t="n">
        <v>0</v>
      </c>
      <c r="K806" t="n">
        <v>0</v>
      </c>
      <c r="L806" t="n">
        <v>2</v>
      </c>
      <c r="M806" t="n">
        <v>1</v>
      </c>
      <c r="N806" t="n">
        <v>0</v>
      </c>
      <c r="O806" t="n">
        <v>0</v>
      </c>
      <c r="P806" t="n">
        <v>0</v>
      </c>
      <c r="Q806" t="n">
        <v>3</v>
      </c>
      <c r="R806" t="n">
        <v>1</v>
      </c>
      <c r="S806" t="n">
        <v>3</v>
      </c>
      <c r="T806" t="n">
        <v>4</v>
      </c>
      <c r="U806" t="n">
        <v>4</v>
      </c>
      <c r="V806" s="2" t="inlineStr">
        <is>
          <t>Garnlav
Gammelgransskål
Violettgrå tagellav</t>
        </is>
      </c>
      <c r="W806">
        <f>HYPERLINK("https://klasma.github.io/Logging_2023/artfynd/A 34878-2022 artfynd.xlsx", "A 34878-2022")</f>
        <v/>
      </c>
      <c r="X806">
        <f>HYPERLINK("https://klasma.github.io/Logging_2023/kartor/A 34878-2022 karta.png", "A 34878-2022")</f>
        <v/>
      </c>
      <c r="Y806">
        <f>HYPERLINK("https://klasma.github.io/Logging_2023/kartor_geotiff/A 34878-2022 georefererad karta.tif", "A 34878-2022")</f>
        <v/>
      </c>
      <c r="AA806">
        <f>HYPERLINK("https://klasma.github.io/Logging_2023/klagomål/A 34878-2022 FSC-klagomål.docx", "A 34878-2022")</f>
        <v/>
      </c>
      <c r="AB806">
        <f>HYPERLINK("https://klasma.github.io/Logging_2023/klagomålsmail/A 34878-2022 FSC-klagomål mail.docx", "A 34878-2022")</f>
        <v/>
      </c>
      <c r="AC806">
        <f>HYPERLINK("https://klasma.github.io/Logging_2023/tillsyn/A 34878-2022 tillsynsbegäran.docx", "A 34878-2022")</f>
        <v/>
      </c>
      <c r="AD806">
        <f>HYPERLINK("https://klasma.github.io/Logging_2023/tillsynsmail/A 34878-2022 tillsynsbegäran mail.docx", "A 34878-2022")</f>
        <v/>
      </c>
    </row>
    <row r="807" ht="15" customHeight="1">
      <c r="A807" t="inlineStr">
        <is>
          <t>A 24140-2022</t>
        </is>
      </c>
      <c r="B807" t="inlineStr">
        <is>
          <t>avverkningsanmälan</t>
        </is>
      </c>
      <c r="C807" t="inlineStr">
        <is>
          <t>Föryngringsavverkning</t>
        </is>
      </c>
      <c r="D807" s="1" t="n">
        <v>44725</v>
      </c>
      <c r="E807" s="1" t="n">
        <v>46319</v>
      </c>
      <c r="F807" t="inlineStr">
        <is>
          <t>DALARNAS LÄN</t>
        </is>
      </c>
      <c r="G807" t="inlineStr">
        <is>
          <t>MALUNG-SÄLEN</t>
        </is>
      </c>
      <c r="H807" t="inlineStr">
        <is>
          <t>Kommuner</t>
        </is>
      </c>
      <c r="I807" t="n">
        <v>10.2</v>
      </c>
      <c r="J807" t="n">
        <v>1</v>
      </c>
      <c r="K807" t="n">
        <v>0</v>
      </c>
      <c r="L807" t="n">
        <v>3</v>
      </c>
      <c r="M807" t="n">
        <v>0</v>
      </c>
      <c r="N807" t="n">
        <v>0</v>
      </c>
      <c r="O807" t="n">
        <v>0</v>
      </c>
      <c r="P807" t="n">
        <v>0</v>
      </c>
      <c r="Q807" t="n">
        <v>3</v>
      </c>
      <c r="R807" t="n">
        <v>0</v>
      </c>
      <c r="S807" t="n">
        <v>3</v>
      </c>
      <c r="T807" t="n">
        <v>3</v>
      </c>
      <c r="U807" t="n">
        <v>3</v>
      </c>
      <c r="V807" s="2" t="inlineStr">
        <is>
          <t>Gammelgransskål
Mörk kolflarnlav
Tretåig hackspett</t>
        </is>
      </c>
      <c r="W807">
        <f>HYPERLINK("https://klasma.github.io/Logging_2023/artfynd/A 24140-2022 artfynd.xlsx", "A 24140-2022")</f>
        <v/>
      </c>
      <c r="X807">
        <f>HYPERLINK("https://klasma.github.io/Logging_2023/kartor/A 24140-2022 karta.png", "A 24140-2022")</f>
        <v/>
      </c>
      <c r="Y807">
        <f>HYPERLINK("https://klasma.github.io/Logging_2023/kartor_geotiff/A 24140-2022 georefererad karta.tif", "A 24140-2022")</f>
        <v/>
      </c>
      <c r="AA807">
        <f>HYPERLINK("https://klasma.github.io/Logging_2023/klagomål/A 24140-2022 FSC-klagomål.docx", "A 24140-2022")</f>
        <v/>
      </c>
      <c r="AB807">
        <f>HYPERLINK("https://klasma.github.io/Logging_2023/klagomålsmail/A 24140-2022 FSC-klagomål mail.docx", "A 24140-2022")</f>
        <v/>
      </c>
      <c r="AC807">
        <f>HYPERLINK("https://klasma.github.io/Logging_2023/tillsyn/A 24140-2022 tillsynsbegäran.docx", "A 24140-2022")</f>
        <v/>
      </c>
      <c r="AD807">
        <f>HYPERLINK("https://klasma.github.io/Logging_2023/tillsynsmail/A 24140-2022 tillsynsbegäran mail.docx", "A 24140-2022")</f>
        <v/>
      </c>
      <c r="AE807">
        <f>HYPERLINK("https://klasma.github.io/Logging_2023/fåglar/A 24140-2022 prioriterade fågelarter.docx", "A 24140-2022")</f>
        <v/>
      </c>
    </row>
    <row r="808" ht="15" customHeight="1">
      <c r="A808" t="inlineStr">
        <is>
          <t>A 60556-2022</t>
        </is>
      </c>
      <c r="B808" t="inlineStr">
        <is>
          <t>avverkningsanmälan</t>
        </is>
      </c>
      <c r="C808" t="inlineStr">
        <is>
          <t>Föryngringsavverkning</t>
        </is>
      </c>
      <c r="D808" s="1" t="n">
        <v>44911</v>
      </c>
      <c r="E808" s="1" t="n">
        <v>46319</v>
      </c>
      <c r="F808" t="inlineStr">
        <is>
          <t>DALARNAS LÄN</t>
        </is>
      </c>
      <c r="G808" t="inlineStr">
        <is>
          <t>RÄTTVIK</t>
        </is>
      </c>
      <c r="I808" t="n">
        <v>7.4</v>
      </c>
      <c r="J808" t="n">
        <v>1</v>
      </c>
      <c r="K808" t="n">
        <v>3</v>
      </c>
      <c r="L808" t="n">
        <v>0</v>
      </c>
      <c r="M808" t="n">
        <v>0</v>
      </c>
      <c r="N808" t="n">
        <v>0</v>
      </c>
      <c r="O808" t="n">
        <v>0</v>
      </c>
      <c r="P808" t="n">
        <v>0</v>
      </c>
      <c r="Q808" t="n">
        <v>0</v>
      </c>
      <c r="R808" t="n">
        <v>0</v>
      </c>
      <c r="S808" t="n">
        <v>3</v>
      </c>
      <c r="T808" t="n">
        <v>3</v>
      </c>
      <c r="U808" t="n">
        <v>3</v>
      </c>
      <c r="V808" s="2" t="inlineStr">
        <is>
          <t>Scharlakansvårskål agg.
Skogsknipprot
Svart trolldruva</t>
        </is>
      </c>
      <c r="W808">
        <f>HYPERLINK("https://klasma.github.io/Logging_2031/artfynd/A 60556-2022 artfynd.xlsx", "A 60556-2022")</f>
        <v/>
      </c>
      <c r="X808">
        <f>HYPERLINK("https://klasma.github.io/Logging_2031/kartor/A 60556-2022 karta.png", "A 60556-2022")</f>
        <v/>
      </c>
      <c r="Y808">
        <f>HYPERLINK("https://klasma.github.io/Logging_2031/kartor_geotiff/A 60556-2022 georefererad karta.tif", "A 60556-2022")</f>
        <v/>
      </c>
      <c r="AA808">
        <f>HYPERLINK("https://klasma.github.io/Logging_2031/klagomål/A 60556-2022 FSC-klagomål.docx", "A 60556-2022")</f>
        <v/>
      </c>
      <c r="AB808">
        <f>HYPERLINK("https://klasma.github.io/Logging_2031/klagomålsmail/A 60556-2022 FSC-klagomål mail.docx", "A 60556-2022")</f>
        <v/>
      </c>
      <c r="AC808">
        <f>HYPERLINK("https://klasma.github.io/Logging_2031/tillsyn/A 60556-2022 tillsynsbegäran.docx", "A 60556-2022")</f>
        <v/>
      </c>
      <c r="AD808">
        <f>HYPERLINK("https://klasma.github.io/Logging_2031/tillsynsmail/A 60556-2022 tillsynsbegäran mail.docx", "A 60556-2022")</f>
        <v/>
      </c>
    </row>
    <row r="809" ht="15" customHeight="1">
      <c r="A809" t="inlineStr">
        <is>
          <t>A 22794-2026</t>
        </is>
      </c>
      <c r="B809" t="inlineStr">
        <is>
          <t>avverkningsanmälan</t>
        </is>
      </c>
      <c r="C809" t="inlineStr">
        <is>
          <t>Föryngringsavverkning</t>
        </is>
      </c>
      <c r="D809" s="1" t="n">
        <v>46157</v>
      </c>
      <c r="E809" s="1" t="n">
        <v>46319</v>
      </c>
      <c r="F809" t="inlineStr">
        <is>
          <t>DALARNAS LÄN</t>
        </is>
      </c>
      <c r="G809" t="inlineStr">
        <is>
          <t>FALUN</t>
        </is>
      </c>
      <c r="H809" t="inlineStr">
        <is>
          <t>Bergvik skog väst AB</t>
        </is>
      </c>
      <c r="I809" t="n">
        <v>1.4</v>
      </c>
      <c r="J809" t="n">
        <v>0</v>
      </c>
      <c r="K809" t="n">
        <v>0</v>
      </c>
      <c r="L809" t="n">
        <v>2</v>
      </c>
      <c r="M809" t="n">
        <v>1</v>
      </c>
      <c r="N809" t="n">
        <v>0</v>
      </c>
      <c r="O809" t="n">
        <v>0</v>
      </c>
      <c r="P809" t="n">
        <v>0</v>
      </c>
      <c r="Q809" t="n">
        <v>3</v>
      </c>
      <c r="R809" t="n">
        <v>1</v>
      </c>
      <c r="S809" t="n">
        <v>3</v>
      </c>
      <c r="T809" t="n">
        <v>6</v>
      </c>
      <c r="U809" t="n">
        <v>0</v>
      </c>
      <c r="V809" s="2" t="inlineStr">
        <is>
          <t>Garnlav
Kolflarnlav
Violettgrå tagellav</t>
        </is>
      </c>
      <c r="W809">
        <f>HYPERLINK("https://klasma.github.io/Logging_2080/artfynd/A 22794-2026 artfynd.xlsx", "A 22794-2026")</f>
        <v/>
      </c>
      <c r="X809">
        <f>HYPERLINK("https://klasma.github.io/Logging_2080/kartor/A 22794-2026 karta.png", "A 22794-2026")</f>
        <v/>
      </c>
      <c r="Y809">
        <f>HYPERLINK("https://klasma.github.io/Logging_2080/kartor_geotiff/A 22794-2026 georefererad karta.tif", "A 22794-2026")</f>
        <v/>
      </c>
      <c r="AA809">
        <f>HYPERLINK("https://klasma.github.io/Logging_2080/klagomål/A 22794-2026 FSC-klagomål.docx", "A 22794-2026")</f>
        <v/>
      </c>
      <c r="AB809">
        <f>HYPERLINK("https://klasma.github.io/Logging_2080/klagomålsmail/A 22794-2026 FSC-klagomål mail.docx", "A 22794-2026")</f>
        <v/>
      </c>
      <c r="AC809">
        <f>HYPERLINK("https://klasma.github.io/Logging_2080/tillsyn/A 22794-2026 tillsynsbegäran.docx", "A 22794-2026")</f>
        <v/>
      </c>
      <c r="AD809">
        <f>HYPERLINK("https://klasma.github.io/Logging_2080/tillsynsmail/A 22794-2026 tillsynsbegäran mail.docx", "A 22794-2026")</f>
        <v/>
      </c>
    </row>
    <row r="810" ht="15" customHeight="1">
      <c r="A810" t="inlineStr">
        <is>
          <t>A 11777-2025</t>
        </is>
      </c>
      <c r="B810" t="inlineStr">
        <is>
          <t>avverkningsanmälan</t>
        </is>
      </c>
      <c r="C810" t="inlineStr">
        <is>
          <t>Föryngringsavverkning</t>
        </is>
      </c>
      <c r="D810" s="1" t="n">
        <v>45727</v>
      </c>
      <c r="E810" s="1" t="n">
        <v>46319</v>
      </c>
      <c r="F810" t="inlineStr">
        <is>
          <t>DALARNAS LÄN</t>
        </is>
      </c>
      <c r="G810" t="inlineStr">
        <is>
          <t>FALUN</t>
        </is>
      </c>
      <c r="I810" t="n">
        <v>1.6</v>
      </c>
      <c r="J810" t="n">
        <v>2</v>
      </c>
      <c r="K810" t="n">
        <v>1</v>
      </c>
      <c r="L810" t="n">
        <v>0</v>
      </c>
      <c r="M810" t="n">
        <v>1</v>
      </c>
      <c r="N810" t="n">
        <v>0</v>
      </c>
      <c r="O810" t="n">
        <v>0</v>
      </c>
      <c r="P810" t="n">
        <v>0</v>
      </c>
      <c r="Q810" t="n">
        <v>1</v>
      </c>
      <c r="R810" t="n">
        <v>1</v>
      </c>
      <c r="S810" t="n">
        <v>3</v>
      </c>
      <c r="T810" t="n">
        <v>17</v>
      </c>
      <c r="U810" t="n">
        <v>17</v>
      </c>
      <c r="V810" s="2" t="inlineStr">
        <is>
          <t>Knärot
Bronshjon
Revlummer</t>
        </is>
      </c>
      <c r="W810">
        <f>HYPERLINK("https://klasma.github.io/Logging_2080/artfynd/A 11777-2025 artfynd.xlsx", "A 11777-2025")</f>
        <v/>
      </c>
      <c r="X810">
        <f>HYPERLINK("https://klasma.github.io/Logging_2080/kartor/A 11777-2025 karta.png", "A 11777-2025")</f>
        <v/>
      </c>
      <c r="Y810">
        <f>HYPERLINK("https://klasma.github.io/Logging_2080/kartor_geotiff/A 11777-2025 georefererad karta.tif", "A 11777-2025")</f>
        <v/>
      </c>
      <c r="Z810">
        <f>HYPERLINK("https://klasma.github.io/Logging_2080/knärot/A 11777-2025 karta knärot.png", "A 11777-2025")</f>
        <v/>
      </c>
      <c r="AA810">
        <f>HYPERLINK("https://klasma.github.io/Logging_2080/klagomål/A 11777-2025 FSC-klagomål.docx", "A 11777-2025")</f>
        <v/>
      </c>
      <c r="AB810">
        <f>HYPERLINK("https://klasma.github.io/Logging_2080/klagomålsmail/A 11777-2025 FSC-klagomål mail.docx", "A 11777-2025")</f>
        <v/>
      </c>
      <c r="AC810">
        <f>HYPERLINK("https://klasma.github.io/Logging_2080/tillsyn/A 11777-2025 tillsynsbegäran.docx", "A 11777-2025")</f>
        <v/>
      </c>
      <c r="AD810">
        <f>HYPERLINK("https://klasma.github.io/Logging_2080/tillsynsmail/A 11777-2025 tillsynsbegäran mail.docx", "A 11777-2025")</f>
        <v/>
      </c>
    </row>
    <row r="811" ht="15" customHeight="1">
      <c r="A811" t="inlineStr">
        <is>
          <t>A 2055-2025</t>
        </is>
      </c>
      <c r="B811" t="inlineStr">
        <is>
          <t>avverkningsanmälan</t>
        </is>
      </c>
      <c r="C811" t="inlineStr">
        <is>
          <t>Föryngringsavverkning</t>
        </is>
      </c>
      <c r="D811" s="1" t="n">
        <v>45671</v>
      </c>
      <c r="E811" s="1" t="n">
        <v>46319</v>
      </c>
      <c r="F811" t="inlineStr">
        <is>
          <t>DALARNAS LÄN</t>
        </is>
      </c>
      <c r="G811" t="inlineStr">
        <is>
          <t>FALUN</t>
        </is>
      </c>
      <c r="I811" t="n">
        <v>1.5</v>
      </c>
      <c r="J811" t="n">
        <v>2</v>
      </c>
      <c r="K811" t="n">
        <v>1</v>
      </c>
      <c r="L811" t="n">
        <v>0</v>
      </c>
      <c r="M811" t="n">
        <v>1</v>
      </c>
      <c r="N811" t="n">
        <v>0</v>
      </c>
      <c r="O811" t="n">
        <v>0</v>
      </c>
      <c r="P811" t="n">
        <v>0</v>
      </c>
      <c r="Q811" t="n">
        <v>1</v>
      </c>
      <c r="R811" t="n">
        <v>1</v>
      </c>
      <c r="S811" t="n">
        <v>3</v>
      </c>
      <c r="T811" t="n">
        <v>16</v>
      </c>
      <c r="U811" t="n">
        <v>16</v>
      </c>
      <c r="V811" s="2" t="inlineStr">
        <is>
          <t>Knärot
Bronshjon
Revlummer</t>
        </is>
      </c>
      <c r="W811">
        <f>HYPERLINK("https://klasma.github.io/Logging_2080/artfynd/A 2055-2025 artfynd.xlsx", "A 2055-2025")</f>
        <v/>
      </c>
      <c r="X811">
        <f>HYPERLINK("https://klasma.github.io/Logging_2080/kartor/A 2055-2025 karta.png", "A 2055-2025")</f>
        <v/>
      </c>
      <c r="Y811">
        <f>HYPERLINK("https://klasma.github.io/Logging_2080/kartor_geotiff/A 2055-2025 georefererad karta.tif", "A 2055-2025")</f>
        <v/>
      </c>
      <c r="Z811">
        <f>HYPERLINK("https://klasma.github.io/Logging_2080/knärot/A 2055-2025 karta knärot.png", "A 2055-2025")</f>
        <v/>
      </c>
      <c r="AA811">
        <f>HYPERLINK("https://klasma.github.io/Logging_2080/klagomål/A 2055-2025 FSC-klagomål.docx", "A 2055-2025")</f>
        <v/>
      </c>
      <c r="AB811">
        <f>HYPERLINK("https://klasma.github.io/Logging_2080/klagomålsmail/A 2055-2025 FSC-klagomål mail.docx", "A 2055-2025")</f>
        <v/>
      </c>
      <c r="AC811">
        <f>HYPERLINK("https://klasma.github.io/Logging_2080/tillsyn/A 2055-2025 tillsynsbegäran.docx", "A 2055-2025")</f>
        <v/>
      </c>
      <c r="AD811">
        <f>HYPERLINK("https://klasma.github.io/Logging_2080/tillsynsmail/A 2055-2025 tillsynsbegäran mail.docx", "A 2055-2025")</f>
        <v/>
      </c>
    </row>
    <row r="812" ht="15" customHeight="1">
      <c r="A812" t="inlineStr">
        <is>
          <t>A 42614-2024</t>
        </is>
      </c>
      <c r="B812" t="inlineStr">
        <is>
          <t>avverkningsanmälan</t>
        </is>
      </c>
      <c r="C812" t="inlineStr">
        <is>
          <t>Föryngringsavverkning</t>
        </is>
      </c>
      <c r="D812" s="1" t="n">
        <v>45565</v>
      </c>
      <c r="E812" s="1" t="n">
        <v>46319</v>
      </c>
      <c r="F812" t="inlineStr">
        <is>
          <t>DALARNAS LÄN</t>
        </is>
      </c>
      <c r="G812" t="inlineStr">
        <is>
          <t>HEDEMORA</t>
        </is>
      </c>
      <c r="H812" t="inlineStr">
        <is>
          <t>Sveaskog</t>
        </is>
      </c>
      <c r="I812" t="n">
        <v>3</v>
      </c>
      <c r="J812" t="n">
        <v>2</v>
      </c>
      <c r="K812" t="n">
        <v>0</v>
      </c>
      <c r="L812" t="n">
        <v>1</v>
      </c>
      <c r="M812" t="n">
        <v>1</v>
      </c>
      <c r="N812" t="n">
        <v>0</v>
      </c>
      <c r="O812" t="n">
        <v>0</v>
      </c>
      <c r="P812" t="n">
        <v>0</v>
      </c>
      <c r="Q812" t="n">
        <v>2</v>
      </c>
      <c r="R812" t="n">
        <v>1</v>
      </c>
      <c r="S812" t="n">
        <v>3</v>
      </c>
      <c r="T812" t="n">
        <v>3</v>
      </c>
      <c r="U812" t="n">
        <v>2</v>
      </c>
      <c r="V812" s="2" t="inlineStr">
        <is>
          <t>Garnlav
Talltita
Spillkråka</t>
        </is>
      </c>
      <c r="W812">
        <f>HYPERLINK("https://klasma.github.io/Logging_2083/artfynd/A 42614-2024 artfynd.xlsx", "A 42614-2024")</f>
        <v/>
      </c>
      <c r="X812">
        <f>HYPERLINK("https://klasma.github.io/Logging_2083/kartor/A 42614-2024 karta.png", "A 42614-2024")</f>
        <v/>
      </c>
      <c r="Y812">
        <f>HYPERLINK("https://klasma.github.io/Logging_2083/kartor_geotiff/A 42614-2024 georefererad karta.tif", "A 42614-2024")</f>
        <v/>
      </c>
      <c r="AA812">
        <f>HYPERLINK("https://klasma.github.io/Logging_2083/klagomål/A 42614-2024 FSC-klagomål.docx", "A 42614-2024")</f>
        <v/>
      </c>
      <c r="AB812">
        <f>HYPERLINK("https://klasma.github.io/Logging_2083/klagomålsmail/A 42614-2024 FSC-klagomål mail.docx", "A 42614-2024")</f>
        <v/>
      </c>
      <c r="AC812">
        <f>HYPERLINK("https://klasma.github.io/Logging_2083/tillsyn/A 42614-2024 tillsynsbegäran.docx", "A 42614-2024")</f>
        <v/>
      </c>
      <c r="AD812">
        <f>HYPERLINK("https://klasma.github.io/Logging_2083/tillsynsmail/A 42614-2024 tillsynsbegäran mail.docx", "A 42614-2024")</f>
        <v/>
      </c>
      <c r="AE812">
        <f>HYPERLINK("https://klasma.github.io/Logging_2083/fåglar/A 42614-2024 prioriterade fågelarter.docx", "A 42614-2024")</f>
        <v/>
      </c>
    </row>
    <row r="813" ht="15" customHeight="1">
      <c r="A813" t="inlineStr">
        <is>
          <t>A 69304-2021</t>
        </is>
      </c>
      <c r="B813" t="inlineStr">
        <is>
          <t>avverkningsanmälan</t>
        </is>
      </c>
      <c r="C813" t="inlineStr">
        <is>
          <t>Föryngringsavverkning</t>
        </is>
      </c>
      <c r="D813" s="1" t="n">
        <v>44531</v>
      </c>
      <c r="E813" s="1" t="n">
        <v>46319</v>
      </c>
      <c r="F813" t="inlineStr">
        <is>
          <t>DALARNAS LÄN</t>
        </is>
      </c>
      <c r="G813" t="inlineStr">
        <is>
          <t>AVESTA</t>
        </is>
      </c>
      <c r="I813" t="n">
        <v>8</v>
      </c>
      <c r="J813" t="n">
        <v>1</v>
      </c>
      <c r="K813" t="n">
        <v>2</v>
      </c>
      <c r="L813" t="n">
        <v>0</v>
      </c>
      <c r="M813" t="n">
        <v>1</v>
      </c>
      <c r="N813" t="n">
        <v>0</v>
      </c>
      <c r="O813" t="n">
        <v>0</v>
      </c>
      <c r="P813" t="n">
        <v>0</v>
      </c>
      <c r="Q813" t="n">
        <v>1</v>
      </c>
      <c r="R813" t="n">
        <v>1</v>
      </c>
      <c r="S813" t="n">
        <v>3</v>
      </c>
      <c r="T813" t="n">
        <v>10</v>
      </c>
      <c r="U813" t="n">
        <v>10</v>
      </c>
      <c r="V813" s="2" t="inlineStr">
        <is>
          <t>Knärot
Bronshjon
Vedticka</t>
        </is>
      </c>
      <c r="W813">
        <f>HYPERLINK("https://klasma.github.io/Logging_2084/artfynd/A 69304-2021 artfynd.xlsx", "A 69304-2021")</f>
        <v/>
      </c>
      <c r="X813">
        <f>HYPERLINK("https://klasma.github.io/Logging_2084/kartor/A 69304-2021 karta.png", "A 69304-2021")</f>
        <v/>
      </c>
      <c r="Y813">
        <f>HYPERLINK("https://klasma.github.io/Logging_2084/kartor_geotiff/A 69304-2021 georefererad karta.tif", "A 69304-2021")</f>
        <v/>
      </c>
      <c r="Z813">
        <f>HYPERLINK("https://klasma.github.io/Logging_2084/knärot/A 69304-2021 karta knärot.png", "A 69304-2021")</f>
        <v/>
      </c>
      <c r="AA813">
        <f>HYPERLINK("https://klasma.github.io/Logging_2084/klagomål/A 69304-2021 FSC-klagomål.docx", "A 69304-2021")</f>
        <v/>
      </c>
      <c r="AB813">
        <f>HYPERLINK("https://klasma.github.io/Logging_2084/klagomålsmail/A 69304-2021 FSC-klagomål mail.docx", "A 69304-2021")</f>
        <v/>
      </c>
      <c r="AC813">
        <f>HYPERLINK("https://klasma.github.io/Logging_2084/tillsyn/A 69304-2021 tillsynsbegäran.docx", "A 69304-2021")</f>
        <v/>
      </c>
      <c r="AD813">
        <f>HYPERLINK("https://klasma.github.io/Logging_2084/tillsynsmail/A 69304-2021 tillsynsbegäran mail.docx", "A 69304-2021")</f>
        <v/>
      </c>
    </row>
    <row r="814" ht="15" customHeight="1">
      <c r="A814" t="inlineStr">
        <is>
          <t>A 35916-2022</t>
        </is>
      </c>
      <c r="B814" t="inlineStr">
        <is>
          <t>avverkningsanmälan</t>
        </is>
      </c>
      <c r="C814" t="inlineStr">
        <is>
          <t>Föryngringsavverkning</t>
        </is>
      </c>
      <c r="D814" s="1" t="n">
        <v>44802</v>
      </c>
      <c r="E814" s="1" t="n">
        <v>46319</v>
      </c>
      <c r="F814" t="inlineStr">
        <is>
          <t>DALARNAS LÄN</t>
        </is>
      </c>
      <c r="G814" t="inlineStr">
        <is>
          <t>SÄTER</t>
        </is>
      </c>
      <c r="H814" t="inlineStr">
        <is>
          <t>Bergvik skog väst AB</t>
        </is>
      </c>
      <c r="I814" t="n">
        <v>2.6</v>
      </c>
      <c r="J814" t="n">
        <v>1</v>
      </c>
      <c r="K814" t="n">
        <v>0</v>
      </c>
      <c r="L814" t="n">
        <v>1</v>
      </c>
      <c r="M814" t="n">
        <v>1</v>
      </c>
      <c r="N814" t="n">
        <v>0</v>
      </c>
      <c r="O814" t="n">
        <v>0</v>
      </c>
      <c r="P814" t="n">
        <v>0</v>
      </c>
      <c r="Q814" t="n">
        <v>2</v>
      </c>
      <c r="R814" t="n">
        <v>1</v>
      </c>
      <c r="S814" t="n">
        <v>3</v>
      </c>
      <c r="T814" t="n">
        <v>7</v>
      </c>
      <c r="U814" t="n">
        <v>1</v>
      </c>
      <c r="V814" s="2" t="inlineStr">
        <is>
          <t>Slåttergubbe
Slåtterfibbla
Huggorm</t>
        </is>
      </c>
      <c r="W814">
        <f>HYPERLINK("https://klasma.github.io/Logging_2082/artfynd/A 35916-2022 artfynd.xlsx", "A 35916-2022")</f>
        <v/>
      </c>
      <c r="X814">
        <f>HYPERLINK("https://klasma.github.io/Logging_2082/kartor/A 35916-2022 karta.png", "A 35916-2022")</f>
        <v/>
      </c>
      <c r="Y814">
        <f>HYPERLINK("https://klasma.github.io/Logging_2082/kartor_geotiff/A 35916-2022 georefererad karta.tif", "A 35916-2022")</f>
        <v/>
      </c>
      <c r="AA814">
        <f>HYPERLINK("https://klasma.github.io/Logging_2082/klagomål/A 35916-2022 FSC-klagomål.docx", "A 35916-2022")</f>
        <v/>
      </c>
      <c r="AB814">
        <f>HYPERLINK("https://klasma.github.io/Logging_2082/klagomålsmail/A 35916-2022 FSC-klagomål mail.docx", "A 35916-2022")</f>
        <v/>
      </c>
      <c r="AC814">
        <f>HYPERLINK("https://klasma.github.io/Logging_2082/tillsyn/A 35916-2022 tillsynsbegäran.docx", "A 35916-2022")</f>
        <v/>
      </c>
      <c r="AD814">
        <f>HYPERLINK("https://klasma.github.io/Logging_2082/tillsynsmail/A 35916-2022 tillsynsbegäran mail.docx", "A 35916-2022")</f>
        <v/>
      </c>
    </row>
    <row r="815" ht="15" customHeight="1">
      <c r="A815" t="inlineStr">
        <is>
          <t>A 42709-2024</t>
        </is>
      </c>
      <c r="B815" t="inlineStr">
        <is>
          <t>avverkningsanmälan</t>
        </is>
      </c>
      <c r="C815" t="inlineStr">
        <is>
          <t>Föryngringsavverkning</t>
        </is>
      </c>
      <c r="D815" s="1" t="n">
        <v>45566</v>
      </c>
      <c r="E815" s="1" t="n">
        <v>46319</v>
      </c>
      <c r="F815" t="inlineStr">
        <is>
          <t>DALARNAS LÄN</t>
        </is>
      </c>
      <c r="G815" t="inlineStr">
        <is>
          <t>GAGNEF</t>
        </is>
      </c>
      <c r="I815" t="n">
        <v>4</v>
      </c>
      <c r="J815" t="n">
        <v>2</v>
      </c>
      <c r="K815" t="n">
        <v>0</v>
      </c>
      <c r="L815" t="n">
        <v>1</v>
      </c>
      <c r="M815" t="n">
        <v>2</v>
      </c>
      <c r="N815" t="n">
        <v>0</v>
      </c>
      <c r="O815" t="n">
        <v>0</v>
      </c>
      <c r="P815" t="n">
        <v>0</v>
      </c>
      <c r="Q815" t="n">
        <v>3</v>
      </c>
      <c r="R815" t="n">
        <v>2</v>
      </c>
      <c r="S815" t="n">
        <v>3</v>
      </c>
      <c r="T815" t="n">
        <v>17</v>
      </c>
      <c r="U815" t="n">
        <v>17</v>
      </c>
      <c r="V815" s="2" t="inlineStr">
        <is>
          <t>Garnlav
Knärot
Tretåig hackspett</t>
        </is>
      </c>
      <c r="W815">
        <f>HYPERLINK("https://klasma.github.io/Logging_2026/artfynd/A 42709-2024 artfynd.xlsx", "A 42709-2024")</f>
        <v/>
      </c>
      <c r="X815">
        <f>HYPERLINK("https://klasma.github.io/Logging_2026/kartor/A 42709-2024 karta.png", "A 42709-2024")</f>
        <v/>
      </c>
      <c r="Y815">
        <f>HYPERLINK("https://klasma.github.io/Logging_2026/kartor_geotiff/A 42709-2024 georefererad karta.tif", "A 42709-2024")</f>
        <v/>
      </c>
      <c r="Z815">
        <f>HYPERLINK("https://klasma.github.io/Logging_2026/knärot/A 42709-2024 karta knärot.png", "A 42709-2024")</f>
        <v/>
      </c>
      <c r="AA815">
        <f>HYPERLINK("https://klasma.github.io/Logging_2026/klagomål/A 42709-2024 FSC-klagomål.docx", "A 42709-2024")</f>
        <v/>
      </c>
      <c r="AB815">
        <f>HYPERLINK("https://klasma.github.io/Logging_2026/klagomålsmail/A 42709-2024 FSC-klagomål mail.docx", "A 42709-2024")</f>
        <v/>
      </c>
      <c r="AC815">
        <f>HYPERLINK("https://klasma.github.io/Logging_2026/tillsyn/A 42709-2024 tillsynsbegäran.docx", "A 42709-2024")</f>
        <v/>
      </c>
      <c r="AD815">
        <f>HYPERLINK("https://klasma.github.io/Logging_2026/tillsynsmail/A 42709-2024 tillsynsbegäran mail.docx", "A 42709-2024")</f>
        <v/>
      </c>
      <c r="AE815">
        <f>HYPERLINK("https://klasma.github.io/Logging_2026/fåglar/A 42709-2024 prioriterade fågelarter.docx", "A 42709-2024")</f>
        <v/>
      </c>
    </row>
    <row r="816" ht="15" customHeight="1">
      <c r="A816" t="inlineStr">
        <is>
          <t>A 39832-2024</t>
        </is>
      </c>
      <c r="B816" t="inlineStr">
        <is>
          <t>avverkningsanmälan</t>
        </is>
      </c>
      <c r="C816" t="inlineStr">
        <is>
          <t>Föryngringsavverkning</t>
        </is>
      </c>
      <c r="D816" s="1" t="n">
        <v>45553</v>
      </c>
      <c r="E816" s="1" t="n">
        <v>46319</v>
      </c>
      <c r="F816" t="inlineStr">
        <is>
          <t>DALARNAS LÄN</t>
        </is>
      </c>
      <c r="G816" t="inlineStr">
        <is>
          <t>SMEDJEBACKEN</t>
        </is>
      </c>
      <c r="I816" t="n">
        <v>2.4</v>
      </c>
      <c r="J816" t="n">
        <v>3</v>
      </c>
      <c r="K816" t="n">
        <v>0</v>
      </c>
      <c r="L816" t="n">
        <v>0</v>
      </c>
      <c r="M816" t="n">
        <v>0</v>
      </c>
      <c r="N816" t="n">
        <v>0</v>
      </c>
      <c r="O816" t="n">
        <v>0</v>
      </c>
      <c r="P816" t="n">
        <v>0</v>
      </c>
      <c r="Q816" t="n">
        <v>0</v>
      </c>
      <c r="R816" t="n">
        <v>0</v>
      </c>
      <c r="S816" t="n">
        <v>3</v>
      </c>
      <c r="T816" t="n">
        <v>5</v>
      </c>
      <c r="U816" t="n">
        <v>5</v>
      </c>
      <c r="V816" s="2" t="inlineStr">
        <is>
          <t>Mindre vattensalamander
Vanlig groda
Revlummer</t>
        </is>
      </c>
      <c r="W816">
        <f>HYPERLINK("https://klasma.github.io/Logging_2061/artfynd/A 39832-2024 artfynd.xlsx", "A 39832-2024")</f>
        <v/>
      </c>
      <c r="X816">
        <f>HYPERLINK("https://klasma.github.io/Logging_2061/kartor/A 39832-2024 karta.png", "A 39832-2024")</f>
        <v/>
      </c>
      <c r="Y816">
        <f>HYPERLINK("https://klasma.github.io/Logging_2061/kartor_geotiff/A 39832-2024 georefererad karta.tif", "A 39832-2024")</f>
        <v/>
      </c>
      <c r="AA816">
        <f>HYPERLINK("https://klasma.github.io/Logging_2061/klagomål/A 39832-2024 FSC-klagomål.docx", "A 39832-2024")</f>
        <v/>
      </c>
      <c r="AB816">
        <f>HYPERLINK("https://klasma.github.io/Logging_2061/klagomålsmail/A 39832-2024 FSC-klagomål mail.docx", "A 39832-2024")</f>
        <v/>
      </c>
      <c r="AC816">
        <f>HYPERLINK("https://klasma.github.io/Logging_2061/tillsyn/A 39832-2024 tillsynsbegäran.docx", "A 39832-2024")</f>
        <v/>
      </c>
      <c r="AD816">
        <f>HYPERLINK("https://klasma.github.io/Logging_2061/tillsynsmail/A 39832-2024 tillsynsbegäran mail.docx", "A 39832-2024")</f>
        <v/>
      </c>
    </row>
    <row r="817" ht="15" customHeight="1">
      <c r="A817" t="inlineStr">
        <is>
          <t>A 28591-2024</t>
        </is>
      </c>
      <c r="B817" t="inlineStr">
        <is>
          <t>avverkningsanmälan</t>
        </is>
      </c>
      <c r="C817" t="inlineStr">
        <is>
          <t>Föryngringsavverkning</t>
        </is>
      </c>
      <c r="D817" s="1" t="n">
        <v>45478</v>
      </c>
      <c r="E817" s="1" t="n">
        <v>46319</v>
      </c>
      <c r="F817" t="inlineStr">
        <is>
          <t>DALARNAS LÄN</t>
        </is>
      </c>
      <c r="G817" t="inlineStr">
        <is>
          <t>GAGNEF</t>
        </is>
      </c>
      <c r="H817" t="inlineStr">
        <is>
          <t>Bergvik skog väst AB</t>
        </is>
      </c>
      <c r="I817" t="n">
        <v>1.7</v>
      </c>
      <c r="J817" t="n">
        <v>1</v>
      </c>
      <c r="K817" t="n">
        <v>0</v>
      </c>
      <c r="L817" t="n">
        <v>1</v>
      </c>
      <c r="M817" t="n">
        <v>1</v>
      </c>
      <c r="N817" t="n">
        <v>0</v>
      </c>
      <c r="O817" t="n">
        <v>0</v>
      </c>
      <c r="P817" t="n">
        <v>0</v>
      </c>
      <c r="Q817" t="n">
        <v>2</v>
      </c>
      <c r="R817" t="n">
        <v>1</v>
      </c>
      <c r="S817" t="n">
        <v>3</v>
      </c>
      <c r="T817" t="n">
        <v>4</v>
      </c>
      <c r="U817" t="n">
        <v>4</v>
      </c>
      <c r="V817" s="2" t="inlineStr">
        <is>
          <t>Aspgelélav
Rosenticka
Nattviol</t>
        </is>
      </c>
      <c r="W817">
        <f>HYPERLINK("https://klasma.github.io/Logging_2026/artfynd/A 28591-2024 artfynd.xlsx", "A 28591-2024")</f>
        <v/>
      </c>
      <c r="X817">
        <f>HYPERLINK("https://klasma.github.io/Logging_2026/kartor/A 28591-2024 karta.png", "A 28591-2024")</f>
        <v/>
      </c>
      <c r="Y817">
        <f>HYPERLINK("https://klasma.github.io/Logging_2026/kartor_geotiff/A 28591-2024 georefererad karta.tif", "A 28591-2024")</f>
        <v/>
      </c>
      <c r="AA817">
        <f>HYPERLINK("https://klasma.github.io/Logging_2026/klagomål/A 28591-2024 FSC-klagomål.docx", "A 28591-2024")</f>
        <v/>
      </c>
      <c r="AB817">
        <f>HYPERLINK("https://klasma.github.io/Logging_2026/klagomålsmail/A 28591-2024 FSC-klagomål mail.docx", "A 28591-2024")</f>
        <v/>
      </c>
      <c r="AC817">
        <f>HYPERLINK("https://klasma.github.io/Logging_2026/tillsyn/A 28591-2024 tillsynsbegäran.docx", "A 28591-2024")</f>
        <v/>
      </c>
      <c r="AD817">
        <f>HYPERLINK("https://klasma.github.io/Logging_2026/tillsynsmail/A 28591-2024 tillsynsbegäran mail.docx", "A 28591-2024")</f>
        <v/>
      </c>
    </row>
    <row r="818" ht="15" customHeight="1">
      <c r="A818" t="inlineStr">
        <is>
          <t>A 14883-2024</t>
        </is>
      </c>
      <c r="B818" t="inlineStr">
        <is>
          <t>avverkningsanmälan</t>
        </is>
      </c>
      <c r="C818" t="inlineStr">
        <is>
          <t>Föryngringsavverkning</t>
        </is>
      </c>
      <c r="D818" s="1" t="n">
        <v>45398</v>
      </c>
      <c r="E818" s="1" t="n">
        <v>46319</v>
      </c>
      <c r="F818" t="inlineStr">
        <is>
          <t>DALARNAS LÄN</t>
        </is>
      </c>
      <c r="G818" t="inlineStr">
        <is>
          <t>FALUN</t>
        </is>
      </c>
      <c r="I818" t="n">
        <v>7</v>
      </c>
      <c r="J818" t="n">
        <v>0</v>
      </c>
      <c r="K818" t="n">
        <v>1</v>
      </c>
      <c r="L818" t="n">
        <v>1</v>
      </c>
      <c r="M818" t="n">
        <v>1</v>
      </c>
      <c r="N818" t="n">
        <v>0</v>
      </c>
      <c r="O818" t="n">
        <v>0</v>
      </c>
      <c r="P818" t="n">
        <v>0</v>
      </c>
      <c r="Q818" t="n">
        <v>2</v>
      </c>
      <c r="R818" t="n">
        <v>1</v>
      </c>
      <c r="S818" t="n">
        <v>3</v>
      </c>
      <c r="T818" t="n">
        <v>3</v>
      </c>
      <c r="U818" t="n">
        <v>0</v>
      </c>
      <c r="V818" s="2" t="inlineStr">
        <is>
          <t>Garnlav
Tallriska
Vedticka</t>
        </is>
      </c>
      <c r="W818">
        <f>HYPERLINK("https://klasma.github.io/Logging_2080/artfynd/A 14883-2024 artfynd.xlsx", "A 14883-2024")</f>
        <v/>
      </c>
      <c r="X818">
        <f>HYPERLINK("https://klasma.github.io/Logging_2080/kartor/A 14883-2024 karta.png", "A 14883-2024")</f>
        <v/>
      </c>
      <c r="Y818">
        <f>HYPERLINK("https://klasma.github.io/Logging_2080/kartor_geotiff/A 14883-2024 georefererad karta.tif", "A 14883-2024")</f>
        <v/>
      </c>
      <c r="AA818">
        <f>HYPERLINK("https://klasma.github.io/Logging_2080/klagomål/A 14883-2024 FSC-klagomål.docx", "A 14883-2024")</f>
        <v/>
      </c>
      <c r="AB818">
        <f>HYPERLINK("https://klasma.github.io/Logging_2080/klagomålsmail/A 14883-2024 FSC-klagomål mail.docx", "A 14883-2024")</f>
        <v/>
      </c>
      <c r="AC818">
        <f>HYPERLINK("https://klasma.github.io/Logging_2080/tillsyn/A 14883-2024 tillsynsbegäran.docx", "A 14883-2024")</f>
        <v/>
      </c>
      <c r="AD818">
        <f>HYPERLINK("https://klasma.github.io/Logging_2080/tillsynsmail/A 14883-2024 tillsynsbegäran mail.docx", "A 14883-2024")</f>
        <v/>
      </c>
    </row>
    <row r="819" ht="15" customHeight="1">
      <c r="A819" t="inlineStr">
        <is>
          <t>A 16725-2024</t>
        </is>
      </c>
      <c r="B819" t="inlineStr">
        <is>
          <t>avverkningsanmälan</t>
        </is>
      </c>
      <c r="C819" t="inlineStr">
        <is>
          <t>Föryngringsavverkning</t>
        </is>
      </c>
      <c r="D819" s="1" t="n">
        <v>45409</v>
      </c>
      <c r="E819" s="1" t="n">
        <v>46319</v>
      </c>
      <c r="F819" t="inlineStr">
        <is>
          <t>DALARNAS LÄN</t>
        </is>
      </c>
      <c r="G819" t="inlineStr">
        <is>
          <t>VANSBRO</t>
        </is>
      </c>
      <c r="I819" t="n">
        <v>3.1</v>
      </c>
      <c r="J819" t="n">
        <v>0</v>
      </c>
      <c r="K819" t="n">
        <v>1</v>
      </c>
      <c r="L819" t="n">
        <v>2</v>
      </c>
      <c r="M819" t="n">
        <v>0</v>
      </c>
      <c r="N819" t="n">
        <v>0</v>
      </c>
      <c r="O819" t="n">
        <v>0</v>
      </c>
      <c r="P819" t="n">
        <v>0</v>
      </c>
      <c r="Q819" t="n">
        <v>2</v>
      </c>
      <c r="R819" t="n">
        <v>0</v>
      </c>
      <c r="S819" t="n">
        <v>3</v>
      </c>
      <c r="T819" t="n">
        <v>3</v>
      </c>
      <c r="U819" t="n">
        <v>0</v>
      </c>
      <c r="V819" s="2" t="inlineStr">
        <is>
          <t>Dropptaggsvamp
Skuggblåslav
Bollvitmossa</t>
        </is>
      </c>
      <c r="W819">
        <f>HYPERLINK("https://klasma.github.io/Logging_2021/artfynd/A 16725-2024 artfynd.xlsx", "A 16725-2024")</f>
        <v/>
      </c>
      <c r="X819">
        <f>HYPERLINK("https://klasma.github.io/Logging_2021/kartor/A 16725-2024 karta.png", "A 16725-2024")</f>
        <v/>
      </c>
      <c r="Y819">
        <f>HYPERLINK("https://klasma.github.io/Logging_2021/kartor_geotiff/A 16725-2024 georefererad karta.tif", "A 16725-2024")</f>
        <v/>
      </c>
      <c r="AA819">
        <f>HYPERLINK("https://klasma.github.io/Logging_2021/klagomål/A 16725-2024 FSC-klagomål.docx", "A 16725-2024")</f>
        <v/>
      </c>
      <c r="AB819">
        <f>HYPERLINK("https://klasma.github.io/Logging_2021/klagomålsmail/A 16725-2024 FSC-klagomål mail.docx", "A 16725-2024")</f>
        <v/>
      </c>
      <c r="AC819">
        <f>HYPERLINK("https://klasma.github.io/Logging_2021/tillsyn/A 16725-2024 tillsynsbegäran.docx", "A 16725-2024")</f>
        <v/>
      </c>
      <c r="AD819">
        <f>HYPERLINK("https://klasma.github.io/Logging_2021/tillsynsmail/A 16725-2024 tillsynsbegäran mail.docx", "A 16725-2024")</f>
        <v/>
      </c>
    </row>
    <row r="820" ht="15" customHeight="1">
      <c r="A820" t="inlineStr">
        <is>
          <t>A 42548-2023</t>
        </is>
      </c>
      <c r="B820" t="inlineStr">
        <is>
          <t>avverkningsanmälan</t>
        </is>
      </c>
      <c r="C820" t="inlineStr">
        <is>
          <t>Föryngringsavverkning</t>
        </is>
      </c>
      <c r="D820" s="1" t="n">
        <v>45181</v>
      </c>
      <c r="E820" s="1" t="n">
        <v>46319</v>
      </c>
      <c r="F820" t="inlineStr">
        <is>
          <t>DALARNAS LÄN</t>
        </is>
      </c>
      <c r="G820" t="inlineStr">
        <is>
          <t>MALUNG-SÄLEN</t>
        </is>
      </c>
      <c r="H820" t="inlineStr">
        <is>
          <t>Bergvik skog öst AB</t>
        </is>
      </c>
      <c r="I820" t="n">
        <v>7.8</v>
      </c>
      <c r="J820" t="n">
        <v>1</v>
      </c>
      <c r="K820" t="n">
        <v>2</v>
      </c>
      <c r="L820" t="n">
        <v>0</v>
      </c>
      <c r="M820" t="n">
        <v>0</v>
      </c>
      <c r="N820" t="n">
        <v>0</v>
      </c>
      <c r="O820" t="n">
        <v>0</v>
      </c>
      <c r="P820" t="n">
        <v>0</v>
      </c>
      <c r="Q820" t="n">
        <v>0</v>
      </c>
      <c r="R820" t="n">
        <v>0</v>
      </c>
      <c r="S820" t="n">
        <v>3</v>
      </c>
      <c r="T820" t="n">
        <v>3</v>
      </c>
      <c r="U820" t="n">
        <v>3</v>
      </c>
      <c r="V820" s="2" t="inlineStr">
        <is>
          <t>Bårdlav
Stuplav
Orre</t>
        </is>
      </c>
      <c r="W820">
        <f>HYPERLINK("https://klasma.github.io/Logging_2023/artfynd/A 42548-2023 artfynd.xlsx", "A 42548-2023")</f>
        <v/>
      </c>
      <c r="X820">
        <f>HYPERLINK("https://klasma.github.io/Logging_2023/kartor/A 42548-2023 karta.png", "A 42548-2023")</f>
        <v/>
      </c>
      <c r="Y820">
        <f>HYPERLINK("https://klasma.github.io/Logging_2023/kartor_geotiff/A 42548-2023 georefererad karta.tif", "A 42548-2023")</f>
        <v/>
      </c>
      <c r="AA820">
        <f>HYPERLINK("https://klasma.github.io/Logging_2023/klagomål/A 42548-2023 FSC-klagomål.docx", "A 42548-2023")</f>
        <v/>
      </c>
      <c r="AB820">
        <f>HYPERLINK("https://klasma.github.io/Logging_2023/klagomålsmail/A 42548-2023 FSC-klagomål mail.docx", "A 42548-2023")</f>
        <v/>
      </c>
      <c r="AC820">
        <f>HYPERLINK("https://klasma.github.io/Logging_2023/tillsyn/A 42548-2023 tillsynsbegäran.docx", "A 42548-2023")</f>
        <v/>
      </c>
      <c r="AD820">
        <f>HYPERLINK("https://klasma.github.io/Logging_2023/tillsynsmail/A 42548-2023 tillsynsbegäran mail.docx", "A 42548-2023")</f>
        <v/>
      </c>
      <c r="AE820">
        <f>HYPERLINK("https://klasma.github.io/Logging_2023/fåglar/A 42548-2023 prioriterade fågelarter.docx", "A 42548-2023")</f>
        <v/>
      </c>
    </row>
    <row r="821" ht="15" customHeight="1">
      <c r="A821" t="inlineStr">
        <is>
          <t>A 54154-2023</t>
        </is>
      </c>
      <c r="B821" t="inlineStr">
        <is>
          <t>avverkningsanmälan</t>
        </is>
      </c>
      <c r="C821" t="inlineStr">
        <is>
          <t>Föryngringsavverkning</t>
        </is>
      </c>
      <c r="D821" s="1" t="n">
        <v>45232</v>
      </c>
      <c r="E821" s="1" t="n">
        <v>46319</v>
      </c>
      <c r="F821" t="inlineStr">
        <is>
          <t>DALARNAS LÄN</t>
        </is>
      </c>
      <c r="G821" t="inlineStr">
        <is>
          <t>BORLÄNGE</t>
        </is>
      </c>
      <c r="H821" t="inlineStr">
        <is>
          <t>Bergvik skog väst AB</t>
        </is>
      </c>
      <c r="I821" t="n">
        <v>1.5</v>
      </c>
      <c r="J821" t="n">
        <v>0</v>
      </c>
      <c r="K821" t="n">
        <v>2</v>
      </c>
      <c r="L821" t="n">
        <v>0</v>
      </c>
      <c r="M821" t="n">
        <v>1</v>
      </c>
      <c r="N821" t="n">
        <v>0</v>
      </c>
      <c r="O821" t="n">
        <v>0</v>
      </c>
      <c r="P821" t="n">
        <v>0</v>
      </c>
      <c r="Q821" t="n">
        <v>1</v>
      </c>
      <c r="R821" t="n">
        <v>1</v>
      </c>
      <c r="S821" t="n">
        <v>3</v>
      </c>
      <c r="T821" t="n">
        <v>4</v>
      </c>
      <c r="U821" t="n">
        <v>3</v>
      </c>
      <c r="V821" s="2" t="inlineStr">
        <is>
          <t>Garnlav
Bronshjon
Vågbandad barkbock</t>
        </is>
      </c>
      <c r="W821">
        <f>HYPERLINK("https://klasma.github.io/Logging_2081/artfynd/A 54154-2023 artfynd.xlsx", "A 54154-2023")</f>
        <v/>
      </c>
      <c r="X821">
        <f>HYPERLINK("https://klasma.github.io/Logging_2081/kartor/A 54154-2023 karta.png", "A 54154-2023")</f>
        <v/>
      </c>
      <c r="Y821">
        <f>HYPERLINK("https://klasma.github.io/Logging_2081/kartor_geotiff/A 54154-2023 georefererad karta.tif", "A 54154-2023")</f>
        <v/>
      </c>
      <c r="AA821">
        <f>HYPERLINK("https://klasma.github.io/Logging_2081/klagomål/A 54154-2023 FSC-klagomål.docx", "A 54154-2023")</f>
        <v/>
      </c>
      <c r="AB821">
        <f>HYPERLINK("https://klasma.github.io/Logging_2081/klagomålsmail/A 54154-2023 FSC-klagomål mail.docx", "A 54154-2023")</f>
        <v/>
      </c>
      <c r="AC821">
        <f>HYPERLINK("https://klasma.github.io/Logging_2081/tillsyn/A 54154-2023 tillsynsbegäran.docx", "A 54154-2023")</f>
        <v/>
      </c>
      <c r="AD821">
        <f>HYPERLINK("https://klasma.github.io/Logging_2081/tillsynsmail/A 54154-2023 tillsynsbegäran mail.docx", "A 54154-2023")</f>
        <v/>
      </c>
    </row>
    <row r="822" ht="15" customHeight="1">
      <c r="A822" t="inlineStr">
        <is>
          <t>A 51303-2023</t>
        </is>
      </c>
      <c r="B822" t="inlineStr">
        <is>
          <t>avverkningsanmälan</t>
        </is>
      </c>
      <c r="C822" t="inlineStr">
        <is>
          <t>Föryngringsavverkning</t>
        </is>
      </c>
      <c r="D822" s="1" t="n">
        <v>45219</v>
      </c>
      <c r="E822" s="1" t="n">
        <v>46319</v>
      </c>
      <c r="F822" t="inlineStr">
        <is>
          <t>DALARNAS LÄN</t>
        </is>
      </c>
      <c r="G822" t="inlineStr">
        <is>
          <t>ORSA</t>
        </is>
      </c>
      <c r="I822" t="n">
        <v>1.8</v>
      </c>
      <c r="J822" t="n">
        <v>1</v>
      </c>
      <c r="K822" t="n">
        <v>1</v>
      </c>
      <c r="L822" t="n">
        <v>1</v>
      </c>
      <c r="M822" t="n">
        <v>0</v>
      </c>
      <c r="N822" t="n">
        <v>0</v>
      </c>
      <c r="O822" t="n">
        <v>0</v>
      </c>
      <c r="P822" t="n">
        <v>0</v>
      </c>
      <c r="Q822" t="n">
        <v>1</v>
      </c>
      <c r="R822" t="n">
        <v>0</v>
      </c>
      <c r="S822" t="n">
        <v>3</v>
      </c>
      <c r="T822" t="n">
        <v>9</v>
      </c>
      <c r="U822" t="n">
        <v>9</v>
      </c>
      <c r="V822" s="2" t="inlineStr">
        <is>
          <t>Tallticka
Mindre märgborre
Spillkråka</t>
        </is>
      </c>
      <c r="W822">
        <f>HYPERLINK("https://klasma.github.io/Logging_2034/artfynd/A 51303-2023 artfynd.xlsx", "A 51303-2023")</f>
        <v/>
      </c>
      <c r="X822">
        <f>HYPERLINK("https://klasma.github.io/Logging_2034/kartor/A 51303-2023 karta.png", "A 51303-2023")</f>
        <v/>
      </c>
      <c r="Y822">
        <f>HYPERLINK("https://klasma.github.io/Logging_2034/kartor_geotiff/A 51303-2023 georefererad karta.tif", "A 51303-2023")</f>
        <v/>
      </c>
      <c r="AA822">
        <f>HYPERLINK("https://klasma.github.io/Logging_2034/klagomål/A 51303-2023 FSC-klagomål.docx", "A 51303-2023")</f>
        <v/>
      </c>
      <c r="AB822">
        <f>HYPERLINK("https://klasma.github.io/Logging_2034/klagomålsmail/A 51303-2023 FSC-klagomål mail.docx", "A 51303-2023")</f>
        <v/>
      </c>
      <c r="AC822">
        <f>HYPERLINK("https://klasma.github.io/Logging_2034/tillsyn/A 51303-2023 tillsynsbegäran.docx", "A 51303-2023")</f>
        <v/>
      </c>
      <c r="AD822">
        <f>HYPERLINK("https://klasma.github.io/Logging_2034/tillsynsmail/A 51303-2023 tillsynsbegäran mail.docx", "A 51303-2023")</f>
        <v/>
      </c>
      <c r="AE822">
        <f>HYPERLINK("https://klasma.github.io/Logging_2034/fåglar/A 51303-2023 prioriterade fågelarter.docx", "A 51303-2023")</f>
        <v/>
      </c>
    </row>
    <row r="823" ht="15" customHeight="1">
      <c r="A823" t="inlineStr">
        <is>
          <t>A 16774-2025</t>
        </is>
      </c>
      <c r="B823" t="inlineStr">
        <is>
          <t>avverkningsanmälan</t>
        </is>
      </c>
      <c r="C823" t="inlineStr">
        <is>
          <t>Föryngringsavverkning</t>
        </is>
      </c>
      <c r="D823" s="1" t="n">
        <v>45754</v>
      </c>
      <c r="E823" s="1" t="n">
        <v>46319</v>
      </c>
      <c r="F823" t="inlineStr">
        <is>
          <t>DALARNAS LÄN</t>
        </is>
      </c>
      <c r="G823" t="inlineStr">
        <is>
          <t>MALUNG-SÄLEN</t>
        </is>
      </c>
      <c r="I823" t="n">
        <v>2.7</v>
      </c>
      <c r="J823" t="n">
        <v>0</v>
      </c>
      <c r="K823" t="n">
        <v>0</v>
      </c>
      <c r="L823" t="n">
        <v>2</v>
      </c>
      <c r="M823" t="n">
        <v>1</v>
      </c>
      <c r="N823" t="n">
        <v>0</v>
      </c>
      <c r="O823" t="n">
        <v>0</v>
      </c>
      <c r="P823" t="n">
        <v>0</v>
      </c>
      <c r="Q823" t="n">
        <v>3</v>
      </c>
      <c r="R823" t="n">
        <v>1</v>
      </c>
      <c r="S823" t="n">
        <v>3</v>
      </c>
      <c r="T823" t="n">
        <v>3</v>
      </c>
      <c r="U823" t="n">
        <v>0</v>
      </c>
      <c r="V823" s="2" t="inlineStr">
        <is>
          <t>Garnlav
Gammelgransskål
Kattfotslav</t>
        </is>
      </c>
      <c r="W823">
        <f>HYPERLINK("https://klasma.github.io/Logging_2023/artfynd/A 16774-2025 artfynd.xlsx", "A 16774-2025")</f>
        <v/>
      </c>
      <c r="X823">
        <f>HYPERLINK("https://klasma.github.io/Logging_2023/kartor/A 16774-2025 karta.png", "A 16774-2025")</f>
        <v/>
      </c>
      <c r="Y823">
        <f>HYPERLINK("https://klasma.github.io/Logging_2023/kartor_geotiff/A 16774-2025 georefererad karta.tif", "A 16774-2025")</f>
        <v/>
      </c>
      <c r="AA823">
        <f>HYPERLINK("https://klasma.github.io/Logging_2023/klagomål/A 16774-2025 FSC-klagomål.docx", "A 16774-2025")</f>
        <v/>
      </c>
      <c r="AB823">
        <f>HYPERLINK("https://klasma.github.io/Logging_2023/klagomålsmail/A 16774-2025 FSC-klagomål mail.docx", "A 16774-2025")</f>
        <v/>
      </c>
      <c r="AC823">
        <f>HYPERLINK("https://klasma.github.io/Logging_2023/tillsyn/A 16774-2025 tillsynsbegäran.docx", "A 16774-2025")</f>
        <v/>
      </c>
      <c r="AD823">
        <f>HYPERLINK("https://klasma.github.io/Logging_2023/tillsynsmail/A 16774-2025 tillsynsbegäran mail.docx", "A 16774-2025")</f>
        <v/>
      </c>
    </row>
    <row r="824" ht="15" customHeight="1">
      <c r="A824" t="inlineStr">
        <is>
          <t>A 27720-2024</t>
        </is>
      </c>
      <c r="B824" t="inlineStr">
        <is>
          <t>avverkningsanmälan</t>
        </is>
      </c>
      <c r="C824" t="inlineStr">
        <is>
          <t>Avverkning för annat ändamål</t>
        </is>
      </c>
      <c r="D824" s="1" t="n">
        <v>45475</v>
      </c>
      <c r="E824" s="1" t="n">
        <v>46319</v>
      </c>
      <c r="F824" t="inlineStr">
        <is>
          <t>DALARNAS LÄN</t>
        </is>
      </c>
      <c r="G824" t="inlineStr">
        <is>
          <t>BORLÄNGE</t>
        </is>
      </c>
      <c r="I824" t="n">
        <v>1</v>
      </c>
      <c r="J824" t="n">
        <v>3</v>
      </c>
      <c r="K824" t="n">
        <v>1</v>
      </c>
      <c r="L824" t="n">
        <v>0</v>
      </c>
      <c r="M824" t="n">
        <v>0</v>
      </c>
      <c r="N824" t="n">
        <v>0</v>
      </c>
      <c r="O824" t="n">
        <v>0</v>
      </c>
      <c r="P824" t="n">
        <v>0</v>
      </c>
      <c r="Q824" t="n">
        <v>0</v>
      </c>
      <c r="R824" t="n">
        <v>0</v>
      </c>
      <c r="S824" t="n">
        <v>3</v>
      </c>
      <c r="T824" t="n">
        <v>4</v>
      </c>
      <c r="U824" t="n">
        <v>0</v>
      </c>
      <c r="V824" s="2" t="inlineStr">
        <is>
          <t>Spindelblomster
Fläcknycklar
Revlummer</t>
        </is>
      </c>
      <c r="W824">
        <f>HYPERLINK("https://klasma.github.io/Logging_2081/artfynd/A 27720-2024 artfynd.xlsx", "A 27720-2024")</f>
        <v/>
      </c>
      <c r="X824">
        <f>HYPERLINK("https://klasma.github.io/Logging_2081/kartor/A 27720-2024 karta.png", "A 27720-2024")</f>
        <v/>
      </c>
      <c r="Y824">
        <f>HYPERLINK("https://klasma.github.io/Logging_2081/kartor_geotiff/A 27720-2024 georefererad karta.tif", "A 27720-2024")</f>
        <v/>
      </c>
      <c r="AA824">
        <f>HYPERLINK("https://klasma.github.io/Logging_2081/klagomål/A 27720-2024 FSC-klagomål.docx", "A 27720-2024")</f>
        <v/>
      </c>
      <c r="AB824">
        <f>HYPERLINK("https://klasma.github.io/Logging_2081/klagomålsmail/A 27720-2024 FSC-klagomål mail.docx", "A 27720-2024")</f>
        <v/>
      </c>
      <c r="AC824">
        <f>HYPERLINK("https://klasma.github.io/Logging_2081/tillsyn/A 27720-2024 tillsynsbegäran.docx", "A 27720-2024")</f>
        <v/>
      </c>
      <c r="AD824">
        <f>HYPERLINK("https://klasma.github.io/Logging_2081/tillsynsmail/A 27720-2024 tillsynsbegäran mail.docx", "A 27720-2024")</f>
        <v/>
      </c>
    </row>
    <row r="825" ht="15" customHeight="1">
      <c r="A825" t="inlineStr">
        <is>
          <t>A 3531-2024</t>
        </is>
      </c>
      <c r="B825" t="inlineStr">
        <is>
          <t>avverkningsanmälan</t>
        </is>
      </c>
      <c r="C825" t="inlineStr">
        <is>
          <t>Avverkning för annat ändamål</t>
        </is>
      </c>
      <c r="D825" s="1" t="n">
        <v>45320</v>
      </c>
      <c r="E825" s="1" t="n">
        <v>46319</v>
      </c>
      <c r="F825" t="inlineStr">
        <is>
          <t>DALARNAS LÄN</t>
        </is>
      </c>
      <c r="G825" t="inlineStr">
        <is>
          <t>MORA</t>
        </is>
      </c>
      <c r="I825" t="n">
        <v>1.4</v>
      </c>
      <c r="J825" t="n">
        <v>2</v>
      </c>
      <c r="K825" t="n">
        <v>1</v>
      </c>
      <c r="L825" t="n">
        <v>0</v>
      </c>
      <c r="M825" t="n">
        <v>1</v>
      </c>
      <c r="N825" t="n">
        <v>1</v>
      </c>
      <c r="O825" t="n">
        <v>0</v>
      </c>
      <c r="P825" t="n">
        <v>0</v>
      </c>
      <c r="Q825" t="n">
        <v>2</v>
      </c>
      <c r="R825" t="n">
        <v>2</v>
      </c>
      <c r="S825" t="n">
        <v>3</v>
      </c>
      <c r="T825" t="n">
        <v>3</v>
      </c>
      <c r="U825" t="n">
        <v>2</v>
      </c>
      <c r="V825" s="2" t="inlineStr">
        <is>
          <t>Mosippa
Knärot
Bronshjon</t>
        </is>
      </c>
      <c r="W825">
        <f>HYPERLINK("https://klasma.github.io/Logging_2062/artfynd/A 3531-2024 artfynd.xlsx", "A 3531-2024")</f>
        <v/>
      </c>
      <c r="X825">
        <f>HYPERLINK("https://klasma.github.io/Logging_2062/kartor/A 3531-2024 karta.png", "A 3531-2024")</f>
        <v/>
      </c>
      <c r="Y825">
        <f>HYPERLINK("https://klasma.github.io/Logging_2062/kartor_geotiff/A 3531-2024 georefererad karta.tif", "A 3531-2024")</f>
        <v/>
      </c>
      <c r="Z825">
        <f>HYPERLINK("https://klasma.github.io/Logging_2062/knärot/A 3531-2024 karta knärot.png", "A 3531-2024")</f>
        <v/>
      </c>
      <c r="AA825">
        <f>HYPERLINK("https://klasma.github.io/Logging_2062/klagomål/A 3531-2024 FSC-klagomål.docx", "A 3531-2024")</f>
        <v/>
      </c>
      <c r="AB825">
        <f>HYPERLINK("https://klasma.github.io/Logging_2062/klagomålsmail/A 3531-2024 FSC-klagomål mail.docx", "A 3531-2024")</f>
        <v/>
      </c>
      <c r="AC825">
        <f>HYPERLINK("https://klasma.github.io/Logging_2062/tillsyn/A 3531-2024 tillsynsbegäran.docx", "A 3531-2024")</f>
        <v/>
      </c>
      <c r="AD825">
        <f>HYPERLINK("https://klasma.github.io/Logging_2062/tillsynsmail/A 3531-2024 tillsynsbegäran mail.docx", "A 3531-2024")</f>
        <v/>
      </c>
    </row>
    <row r="826" ht="15" customHeight="1">
      <c r="A826" t="inlineStr">
        <is>
          <t>A 59921-2023</t>
        </is>
      </c>
      <c r="B826" t="inlineStr">
        <is>
          <t>avverkningsanmälan</t>
        </is>
      </c>
      <c r="C826" t="inlineStr">
        <is>
          <t>Föryngringsavverkning</t>
        </is>
      </c>
      <c r="D826" s="1" t="n">
        <v>45257</v>
      </c>
      <c r="E826" s="1" t="n">
        <v>46319</v>
      </c>
      <c r="F826" t="inlineStr">
        <is>
          <t>DALARNAS LÄN</t>
        </is>
      </c>
      <c r="G826" t="inlineStr">
        <is>
          <t>AVESTA</t>
        </is>
      </c>
      <c r="I826" t="n">
        <v>0.4</v>
      </c>
      <c r="J826" t="n">
        <v>3</v>
      </c>
      <c r="K826" t="n">
        <v>0</v>
      </c>
      <c r="L826" t="n">
        <v>2</v>
      </c>
      <c r="M826" t="n">
        <v>0</v>
      </c>
      <c r="N826" t="n">
        <v>0</v>
      </c>
      <c r="O826" t="n">
        <v>0</v>
      </c>
      <c r="P826" t="n">
        <v>0</v>
      </c>
      <c r="Q826" t="n">
        <v>2</v>
      </c>
      <c r="R826" t="n">
        <v>0</v>
      </c>
      <c r="S826" t="n">
        <v>3</v>
      </c>
      <c r="T826" t="n">
        <v>3</v>
      </c>
      <c r="U826" t="n">
        <v>0</v>
      </c>
      <c r="V826" s="2" t="inlineStr">
        <is>
          <t>Gulsparv
Talltita
Kungsfågel</t>
        </is>
      </c>
      <c r="W826">
        <f>HYPERLINK("https://klasma.github.io/Logging_2084/artfynd/A 59921-2023 artfynd.xlsx", "A 59921-2023")</f>
        <v/>
      </c>
      <c r="X826">
        <f>HYPERLINK("https://klasma.github.io/Logging_2084/kartor/A 59921-2023 karta.png", "A 59921-2023")</f>
        <v/>
      </c>
      <c r="Y826">
        <f>HYPERLINK("https://klasma.github.io/Logging_2084/kartor_geotiff/A 59921-2023 georefererad karta.tif", "A 59921-2023")</f>
        <v/>
      </c>
      <c r="AA826">
        <f>HYPERLINK("https://klasma.github.io/Logging_2084/klagomål/A 59921-2023 FSC-klagomål.docx", "A 59921-2023")</f>
        <v/>
      </c>
      <c r="AB826">
        <f>HYPERLINK("https://klasma.github.io/Logging_2084/klagomålsmail/A 59921-2023 FSC-klagomål mail.docx", "A 59921-2023")</f>
        <v/>
      </c>
      <c r="AC826">
        <f>HYPERLINK("https://klasma.github.io/Logging_2084/tillsyn/A 59921-2023 tillsynsbegäran.docx", "A 59921-2023")</f>
        <v/>
      </c>
      <c r="AD826">
        <f>HYPERLINK("https://klasma.github.io/Logging_2084/tillsynsmail/A 59921-2023 tillsynsbegäran mail.docx", "A 59921-2023")</f>
        <v/>
      </c>
      <c r="AE826">
        <f>HYPERLINK("https://klasma.github.io/Logging_2084/fåglar/A 59921-2023 prioriterade fågelarter.docx", "A 59921-2023")</f>
        <v/>
      </c>
    </row>
    <row r="827" ht="15" customHeight="1">
      <c r="A827" t="inlineStr">
        <is>
          <t>A 41909-2022</t>
        </is>
      </c>
      <c r="B827" t="inlineStr">
        <is>
          <t>avverkningsanmälan</t>
        </is>
      </c>
      <c r="C827" t="inlineStr">
        <is>
          <t>Föryngringsavverkning</t>
        </is>
      </c>
      <c r="D827" s="1" t="n">
        <v>44830</v>
      </c>
      <c r="E827" s="1" t="n">
        <v>46319</v>
      </c>
      <c r="F827" t="inlineStr">
        <is>
          <t>DALARNAS LÄN</t>
        </is>
      </c>
      <c r="G827" t="inlineStr">
        <is>
          <t>ÄLVDALEN</t>
        </is>
      </c>
      <c r="H827" t="inlineStr">
        <is>
          <t>Sveaskog</t>
        </is>
      </c>
      <c r="I827" t="n">
        <v>3.5</v>
      </c>
      <c r="J827" t="n">
        <v>1</v>
      </c>
      <c r="K827" t="n">
        <v>0</v>
      </c>
      <c r="L827" t="n">
        <v>2</v>
      </c>
      <c r="M827" t="n">
        <v>1</v>
      </c>
      <c r="N827" t="n">
        <v>0</v>
      </c>
      <c r="O827" t="n">
        <v>0</v>
      </c>
      <c r="P827" t="n">
        <v>0</v>
      </c>
      <c r="Q827" t="n">
        <v>3</v>
      </c>
      <c r="R827" t="n">
        <v>1</v>
      </c>
      <c r="S827" t="n">
        <v>3</v>
      </c>
      <c r="T827" t="n">
        <v>4</v>
      </c>
      <c r="U827" t="n">
        <v>4</v>
      </c>
      <c r="V827" s="2" t="inlineStr">
        <is>
          <t>Tajgataggsvamp
Blanksvart spiklav
Talltita</t>
        </is>
      </c>
      <c r="W827">
        <f>HYPERLINK("https://klasma.github.io/Logging_2039/artfynd/A 41909-2022 artfynd.xlsx", "A 41909-2022")</f>
        <v/>
      </c>
      <c r="X827">
        <f>HYPERLINK("https://klasma.github.io/Logging_2039/kartor/A 41909-2022 karta.png", "A 41909-2022")</f>
        <v/>
      </c>
      <c r="Y827">
        <f>HYPERLINK("https://klasma.github.io/Logging_2039/kartor_geotiff/A 41909-2022 georefererad karta.tif", "A 41909-2022")</f>
        <v/>
      </c>
      <c r="AA827">
        <f>HYPERLINK("https://klasma.github.io/Logging_2039/klagomål/A 41909-2022 FSC-klagomål.docx", "A 41909-2022")</f>
        <v/>
      </c>
      <c r="AB827">
        <f>HYPERLINK("https://klasma.github.io/Logging_2039/klagomålsmail/A 41909-2022 FSC-klagomål mail.docx", "A 41909-2022")</f>
        <v/>
      </c>
      <c r="AC827">
        <f>HYPERLINK("https://klasma.github.io/Logging_2039/tillsyn/A 41909-2022 tillsynsbegäran.docx", "A 41909-2022")</f>
        <v/>
      </c>
      <c r="AD827">
        <f>HYPERLINK("https://klasma.github.io/Logging_2039/tillsynsmail/A 41909-2022 tillsynsbegäran mail.docx", "A 41909-2022")</f>
        <v/>
      </c>
      <c r="AE827">
        <f>HYPERLINK("https://klasma.github.io/Logging_2039/fåglar/A 41909-2022 prioriterade fågelarter.docx", "A 41909-2022")</f>
        <v/>
      </c>
    </row>
    <row r="828" ht="15" customHeight="1">
      <c r="A828" t="inlineStr">
        <is>
          <t>A 11433-2025</t>
        </is>
      </c>
      <c r="B828" t="inlineStr">
        <is>
          <t>avverkningsanmälan</t>
        </is>
      </c>
      <c r="C828" t="inlineStr">
        <is>
          <t>Föryngringsavverkning</t>
        </is>
      </c>
      <c r="D828" s="1" t="n">
        <v>45726</v>
      </c>
      <c r="E828" s="1" t="n">
        <v>46319</v>
      </c>
      <c r="F828" t="inlineStr">
        <is>
          <t>DALARNAS LÄN</t>
        </is>
      </c>
      <c r="G828" t="inlineStr">
        <is>
          <t>VANSBRO</t>
        </is>
      </c>
      <c r="I828" t="n">
        <v>7.5</v>
      </c>
      <c r="J828" t="n">
        <v>1</v>
      </c>
      <c r="K828" t="n">
        <v>1</v>
      </c>
      <c r="L828" t="n">
        <v>0</v>
      </c>
      <c r="M828" t="n">
        <v>2</v>
      </c>
      <c r="N828" t="n">
        <v>0</v>
      </c>
      <c r="O828" t="n">
        <v>0</v>
      </c>
      <c r="P828" t="n">
        <v>0</v>
      </c>
      <c r="Q828" t="n">
        <v>2</v>
      </c>
      <c r="R828" t="n">
        <v>2</v>
      </c>
      <c r="S828" t="n">
        <v>3</v>
      </c>
      <c r="T828" t="n">
        <v>24</v>
      </c>
      <c r="U828" t="n">
        <v>24</v>
      </c>
      <c r="V828" s="2" t="inlineStr">
        <is>
          <t>Garnlav
Knärot
Bollvitmossa</t>
        </is>
      </c>
      <c r="W828">
        <f>HYPERLINK("https://klasma.github.io/Logging_2021/artfynd/A 11433-2025 artfynd.xlsx", "A 11433-2025")</f>
        <v/>
      </c>
      <c r="X828">
        <f>HYPERLINK("https://klasma.github.io/Logging_2021/kartor/A 11433-2025 karta.png", "A 11433-2025")</f>
        <v/>
      </c>
      <c r="Y828">
        <f>HYPERLINK("https://klasma.github.io/Logging_2021/kartor_geotiff/A 11433-2025 georefererad karta.tif", "A 11433-2025")</f>
        <v/>
      </c>
      <c r="Z828">
        <f>HYPERLINK("https://klasma.github.io/Logging_2021/knärot/A 11433-2025 karta knärot.png", "A 11433-2025")</f>
        <v/>
      </c>
      <c r="AA828">
        <f>HYPERLINK("https://klasma.github.io/Logging_2021/klagomål/A 11433-2025 FSC-klagomål.docx", "A 11433-2025")</f>
        <v/>
      </c>
      <c r="AB828">
        <f>HYPERLINK("https://klasma.github.io/Logging_2021/klagomålsmail/A 11433-2025 FSC-klagomål mail.docx", "A 11433-2025")</f>
        <v/>
      </c>
      <c r="AC828">
        <f>HYPERLINK("https://klasma.github.io/Logging_2021/tillsyn/A 11433-2025 tillsynsbegäran.docx", "A 11433-2025")</f>
        <v/>
      </c>
      <c r="AD828">
        <f>HYPERLINK("https://klasma.github.io/Logging_2021/tillsynsmail/A 11433-2025 tillsynsbegäran mail.docx", "A 11433-2025")</f>
        <v/>
      </c>
    </row>
    <row r="829" ht="15" customHeight="1">
      <c r="A829" t="inlineStr">
        <is>
          <t>A 31057-2024</t>
        </is>
      </c>
      <c r="B829" t="inlineStr">
        <is>
          <t>avverkningsanmälan</t>
        </is>
      </c>
      <c r="C829" t="inlineStr">
        <is>
          <t>Föryngringsavverkning</t>
        </is>
      </c>
      <c r="D829" s="1" t="n">
        <v>45502</v>
      </c>
      <c r="E829" s="1" t="n">
        <v>46319</v>
      </c>
      <c r="F829" t="inlineStr">
        <is>
          <t>DALARNAS LÄN</t>
        </is>
      </c>
      <c r="G829" t="inlineStr">
        <is>
          <t>ÄLVDALEN</t>
        </is>
      </c>
      <c r="H829" t="inlineStr">
        <is>
          <t>Sveaskog</t>
        </is>
      </c>
      <c r="I829" t="n">
        <v>2.4</v>
      </c>
      <c r="J829" t="n">
        <v>0</v>
      </c>
      <c r="K829" t="n">
        <v>0</v>
      </c>
      <c r="L829" t="n">
        <v>3</v>
      </c>
      <c r="M829" t="n">
        <v>0</v>
      </c>
      <c r="N829" t="n">
        <v>0</v>
      </c>
      <c r="O829" t="n">
        <v>0</v>
      </c>
      <c r="P829" t="n">
        <v>0</v>
      </c>
      <c r="Q829" t="n">
        <v>3</v>
      </c>
      <c r="R829" t="n">
        <v>0</v>
      </c>
      <c r="S829" t="n">
        <v>3</v>
      </c>
      <c r="T829" t="n">
        <v>3</v>
      </c>
      <c r="U829" t="n">
        <v>1</v>
      </c>
      <c r="V829" s="2" t="inlineStr">
        <is>
          <t>Blå taggsvamp
Kolflarnlav
Skarp dropptaggsvamp</t>
        </is>
      </c>
      <c r="W829">
        <f>HYPERLINK("https://klasma.github.io/Logging_2039/artfynd/A 31057-2024 artfynd.xlsx", "A 31057-2024")</f>
        <v/>
      </c>
      <c r="X829">
        <f>HYPERLINK("https://klasma.github.io/Logging_2039/kartor/A 31057-2024 karta.png", "A 31057-2024")</f>
        <v/>
      </c>
      <c r="Y829">
        <f>HYPERLINK("https://klasma.github.io/Logging_2039/kartor_geotiff/A 31057-2024 georefererad karta.tif", "A 31057-2024")</f>
        <v/>
      </c>
      <c r="AA829">
        <f>HYPERLINK("https://klasma.github.io/Logging_2039/klagomål/A 31057-2024 FSC-klagomål.docx", "A 31057-2024")</f>
        <v/>
      </c>
      <c r="AB829">
        <f>HYPERLINK("https://klasma.github.io/Logging_2039/klagomålsmail/A 31057-2024 FSC-klagomål mail.docx", "A 31057-2024")</f>
        <v/>
      </c>
      <c r="AC829">
        <f>HYPERLINK("https://klasma.github.io/Logging_2039/tillsyn/A 31057-2024 tillsynsbegäran.docx", "A 31057-2024")</f>
        <v/>
      </c>
      <c r="AD829">
        <f>HYPERLINK("https://klasma.github.io/Logging_2039/tillsynsmail/A 31057-2024 tillsynsbegäran mail.docx", "A 31057-2024")</f>
        <v/>
      </c>
    </row>
    <row r="830" ht="15" customHeight="1">
      <c r="A830" t="inlineStr">
        <is>
          <t>A 11155-2025</t>
        </is>
      </c>
      <c r="B830" t="inlineStr">
        <is>
          <t>avverkningsanmälan</t>
        </is>
      </c>
      <c r="C830" t="inlineStr">
        <is>
          <t>Föryngringsavverkning</t>
        </is>
      </c>
      <c r="D830" s="1" t="n">
        <v>45723</v>
      </c>
      <c r="E830" s="1" t="n">
        <v>46319</v>
      </c>
      <c r="F830" t="inlineStr">
        <is>
          <t>DALARNAS LÄN</t>
        </is>
      </c>
      <c r="G830" t="inlineStr">
        <is>
          <t>SMEDJEBACKEN</t>
        </is>
      </c>
      <c r="H830" t="inlineStr">
        <is>
          <t>Bergvik skog väst AB</t>
        </is>
      </c>
      <c r="I830" t="n">
        <v>6.3</v>
      </c>
      <c r="J830" t="n">
        <v>2</v>
      </c>
      <c r="K830" t="n">
        <v>2</v>
      </c>
      <c r="L830" t="n">
        <v>0</v>
      </c>
      <c r="M830" t="n">
        <v>0</v>
      </c>
      <c r="N830" t="n">
        <v>0</v>
      </c>
      <c r="O830" t="n">
        <v>0</v>
      </c>
      <c r="P830" t="n">
        <v>0</v>
      </c>
      <c r="Q830" t="n">
        <v>0</v>
      </c>
      <c r="R830" t="n">
        <v>0</v>
      </c>
      <c r="S830" t="n">
        <v>3</v>
      </c>
      <c r="T830" t="n">
        <v>3</v>
      </c>
      <c r="U830" t="n">
        <v>3</v>
      </c>
      <c r="V830" s="2" t="inlineStr">
        <is>
          <t>Grön sköldmossa
Stubbspretmossa
Blåsippa</t>
        </is>
      </c>
      <c r="W830">
        <f>HYPERLINK("https://klasma.github.io/Logging_2061/artfynd/A 11155-2025 artfynd.xlsx", "A 11155-2025")</f>
        <v/>
      </c>
      <c r="X830">
        <f>HYPERLINK("https://klasma.github.io/Logging_2061/kartor/A 11155-2025 karta.png", "A 11155-2025")</f>
        <v/>
      </c>
      <c r="Y830">
        <f>HYPERLINK("https://klasma.github.io/Logging_2061/kartor_geotiff/A 11155-2025 georefererad karta.tif", "A 11155-2025")</f>
        <v/>
      </c>
      <c r="AA830">
        <f>HYPERLINK("https://klasma.github.io/Logging_2061/klagomål/A 11155-2025 FSC-klagomål.docx", "A 11155-2025")</f>
        <v/>
      </c>
      <c r="AB830">
        <f>HYPERLINK("https://klasma.github.io/Logging_2061/klagomålsmail/A 11155-2025 FSC-klagomål mail.docx", "A 11155-2025")</f>
        <v/>
      </c>
      <c r="AC830">
        <f>HYPERLINK("https://klasma.github.io/Logging_2061/tillsyn/A 11155-2025 tillsynsbegäran.docx", "A 11155-2025")</f>
        <v/>
      </c>
      <c r="AD830">
        <f>HYPERLINK("https://klasma.github.io/Logging_2061/tillsynsmail/A 11155-2025 tillsynsbegäran mail.docx", "A 11155-2025")</f>
        <v/>
      </c>
    </row>
    <row r="831" ht="15" customHeight="1">
      <c r="A831" t="inlineStr">
        <is>
          <t>A 3067-2025</t>
        </is>
      </c>
      <c r="B831" t="inlineStr">
        <is>
          <t>avverkningsanmälan</t>
        </is>
      </c>
      <c r="C831" t="inlineStr">
        <is>
          <t>Föryngringsavverkning</t>
        </is>
      </c>
      <c r="D831" s="1" t="n">
        <v>45678</v>
      </c>
      <c r="E831" s="1" t="n">
        <v>46319</v>
      </c>
      <c r="F831" t="inlineStr">
        <is>
          <t>DALARNAS LÄN</t>
        </is>
      </c>
      <c r="G831" t="inlineStr">
        <is>
          <t>BORLÄNGE</t>
        </is>
      </c>
      <c r="H831" t="inlineStr">
        <is>
          <t>Kommuner</t>
        </is>
      </c>
      <c r="I831" t="n">
        <v>8</v>
      </c>
      <c r="J831" t="n">
        <v>2</v>
      </c>
      <c r="K831" t="n">
        <v>1</v>
      </c>
      <c r="L831" t="n">
        <v>0</v>
      </c>
      <c r="M831" t="n">
        <v>1</v>
      </c>
      <c r="N831" t="n">
        <v>0</v>
      </c>
      <c r="O831" t="n">
        <v>0</v>
      </c>
      <c r="P831" t="n">
        <v>0</v>
      </c>
      <c r="Q831" t="n">
        <v>1</v>
      </c>
      <c r="R831" t="n">
        <v>1</v>
      </c>
      <c r="S831" t="n">
        <v>3</v>
      </c>
      <c r="T831" t="n">
        <v>11</v>
      </c>
      <c r="U831" t="n">
        <v>11</v>
      </c>
      <c r="V831" s="2" t="inlineStr">
        <is>
          <t>Knärot
Vedticka
Tjäder</t>
        </is>
      </c>
      <c r="W831">
        <f>HYPERLINK("https://klasma.github.io/Logging_2081/artfynd/A 3067-2025 artfynd.xlsx", "A 3067-2025")</f>
        <v/>
      </c>
      <c r="X831">
        <f>HYPERLINK("https://klasma.github.io/Logging_2081/kartor/A 3067-2025 karta.png", "A 3067-2025")</f>
        <v/>
      </c>
      <c r="Y831">
        <f>HYPERLINK("https://klasma.github.io/Logging_2081/kartor_geotiff/A 3067-2025 georefererad karta.tif", "A 3067-2025")</f>
        <v/>
      </c>
      <c r="Z831">
        <f>HYPERLINK("https://klasma.github.io/Logging_2081/knärot/A 3067-2025 karta knärot.png", "A 3067-2025")</f>
        <v/>
      </c>
      <c r="AA831">
        <f>HYPERLINK("https://klasma.github.io/Logging_2081/klagomål/A 3067-2025 FSC-klagomål.docx", "A 3067-2025")</f>
        <v/>
      </c>
      <c r="AB831">
        <f>HYPERLINK("https://klasma.github.io/Logging_2081/klagomålsmail/A 3067-2025 FSC-klagomål mail.docx", "A 3067-2025")</f>
        <v/>
      </c>
      <c r="AC831">
        <f>HYPERLINK("https://klasma.github.io/Logging_2081/tillsyn/A 3067-2025 tillsynsbegäran.docx", "A 3067-2025")</f>
        <v/>
      </c>
      <c r="AD831">
        <f>HYPERLINK("https://klasma.github.io/Logging_2081/tillsynsmail/A 3067-2025 tillsynsbegäran mail.docx", "A 3067-2025")</f>
        <v/>
      </c>
      <c r="AE831">
        <f>HYPERLINK("https://klasma.github.io/Logging_2081/fåglar/A 3067-2025 prioriterade fågelarter.docx", "A 3067-2025")</f>
        <v/>
      </c>
    </row>
    <row r="832" ht="15" customHeight="1">
      <c r="A832" t="inlineStr">
        <is>
          <t>S 6554-2022</t>
        </is>
      </c>
      <c r="B832" t="inlineStr">
        <is>
          <t>samrådsanmälan</t>
        </is>
      </c>
      <c r="C832" t="inlineStr">
        <is>
          <t>Annan skogsbruksåtgärd</t>
        </is>
      </c>
      <c r="D832" s="1" t="n">
        <v>44881</v>
      </c>
      <c r="E832" s="1" t="n">
        <v>46319</v>
      </c>
      <c r="F832" t="inlineStr">
        <is>
          <t>DALARNAS LÄN</t>
        </is>
      </c>
      <c r="G832" t="inlineStr">
        <is>
          <t>MORA</t>
        </is>
      </c>
      <c r="H832" t="inlineStr">
        <is>
          <t>Bergvik skog öst AB</t>
        </is>
      </c>
      <c r="I832" t="n">
        <v>45.4</v>
      </c>
      <c r="J832" t="n">
        <v>0</v>
      </c>
      <c r="K832" t="n">
        <v>1</v>
      </c>
      <c r="L832" t="n">
        <v>1</v>
      </c>
      <c r="M832" t="n">
        <v>1</v>
      </c>
      <c r="N832" t="n">
        <v>0</v>
      </c>
      <c r="O832" t="n">
        <v>0</v>
      </c>
      <c r="P832" t="n">
        <v>0</v>
      </c>
      <c r="Q832" t="n">
        <v>2</v>
      </c>
      <c r="R832" t="n">
        <v>1</v>
      </c>
      <c r="S832" t="n">
        <v>3</v>
      </c>
      <c r="T832" t="n">
        <v>3</v>
      </c>
      <c r="U832" t="n">
        <v>0</v>
      </c>
      <c r="V832" s="2" t="inlineStr">
        <is>
          <t>Aspgelélav
Lunglav
Korallblylav</t>
        </is>
      </c>
      <c r="W832">
        <f>HYPERLINK("https://klasma.github.io/Logging_2062/artfynd/S 6554-2022 artfynd.xlsx", "S 6554-2022")</f>
        <v/>
      </c>
      <c r="X832">
        <f>HYPERLINK("https://klasma.github.io/Logging_2062/kartor/S 6554-2022 karta.png", "S 6554-2022")</f>
        <v/>
      </c>
      <c r="Y832">
        <f>HYPERLINK("https://klasma.github.io/Logging_2062/kartor_geotiff/S 6554-2022 georefererad karta.tif", "S 6554-2022")</f>
        <v/>
      </c>
      <c r="AA832">
        <f>HYPERLINK("https://klasma.github.io/Logging_2062/klagomål/S 6554-2022 FSC-klagomål.docx", "S 6554-2022")</f>
        <v/>
      </c>
      <c r="AB832">
        <f>HYPERLINK("https://klasma.github.io/Logging_2062/klagomålsmail/S 6554-2022 FSC-klagomål mail.docx", "S 6554-2022")</f>
        <v/>
      </c>
      <c r="AC832">
        <f>HYPERLINK("https://klasma.github.io/Logging_2062/tillsyn/S 6554-2022 tillsynsbegäran.docx", "S 6554-2022")</f>
        <v/>
      </c>
      <c r="AD832">
        <f>HYPERLINK("https://klasma.github.io/Logging_2062/tillsynsmail/S 6554-2022 tillsynsbegäran mail.docx", "S 6554-2022")</f>
        <v/>
      </c>
    </row>
    <row r="833" ht="15" customHeight="1">
      <c r="A833" t="inlineStr">
        <is>
          <t>S 1103-2022</t>
        </is>
      </c>
      <c r="B833" t="inlineStr">
        <is>
          <t>samrådsanmälan</t>
        </is>
      </c>
      <c r="C833" t="inlineStr">
        <is>
          <t>Skogsgödsling</t>
        </is>
      </c>
      <c r="D833" s="1" t="n">
        <v>44615</v>
      </c>
      <c r="E833" s="1" t="n">
        <v>46319</v>
      </c>
      <c r="F833" t="inlineStr">
        <is>
          <t>DALARNAS LÄN</t>
        </is>
      </c>
      <c r="G833" t="inlineStr">
        <is>
          <t>SMEDJEBACKEN</t>
        </is>
      </c>
      <c r="H833" t="inlineStr">
        <is>
          <t>Sveaskog</t>
        </is>
      </c>
      <c r="I833" t="n">
        <v>1090.7</v>
      </c>
      <c r="J833" t="n">
        <v>2</v>
      </c>
      <c r="K833" t="n">
        <v>0</v>
      </c>
      <c r="L833" t="n">
        <v>1</v>
      </c>
      <c r="M833" t="n">
        <v>0</v>
      </c>
      <c r="N833" t="n">
        <v>0</v>
      </c>
      <c r="O833" t="n">
        <v>0</v>
      </c>
      <c r="P833" t="n">
        <v>0</v>
      </c>
      <c r="Q833" t="n">
        <v>1</v>
      </c>
      <c r="R833" t="n">
        <v>0</v>
      </c>
      <c r="S833" t="n">
        <v>3</v>
      </c>
      <c r="T833" t="n">
        <v>5</v>
      </c>
      <c r="U833" t="n">
        <v>0</v>
      </c>
      <c r="V833" s="2" t="inlineStr">
        <is>
          <t>Bred trollknäppare
Mattlummer
Fläcknycklar</t>
        </is>
      </c>
      <c r="W833">
        <f>HYPERLINK("https://klasma.github.io/Logging_2061/artfynd/S 1103-2022 artfynd.xlsx", "S 1103-2022")</f>
        <v/>
      </c>
      <c r="X833">
        <f>HYPERLINK("https://klasma.github.io/Logging_2061/kartor/S 1103-2022 karta.png", "S 1103-2022")</f>
        <v/>
      </c>
      <c r="Y833">
        <f>HYPERLINK("https://klasma.github.io/Logging_2061/kartor_geotiff/S 1103-2022 georefererad karta.tif", "S 1103-2022")</f>
        <v/>
      </c>
      <c r="AA833">
        <f>HYPERLINK("https://klasma.github.io/Logging_2061/klagomål/S 1103-2022 FSC-klagomål.docx", "S 1103-2022")</f>
        <v/>
      </c>
      <c r="AB833">
        <f>HYPERLINK("https://klasma.github.io/Logging_2061/klagomålsmail/S 1103-2022 FSC-klagomål mail.docx", "S 1103-2022")</f>
        <v/>
      </c>
      <c r="AC833">
        <f>HYPERLINK("https://klasma.github.io/Logging_2061/tillsyn/S 1103-2022 tillsynsbegäran.docx", "S 1103-2022")</f>
        <v/>
      </c>
      <c r="AD833">
        <f>HYPERLINK("https://klasma.github.io/Logging_2061/tillsynsmail/S 1103-2022 tillsynsbegäran mail.docx", "S 1103-2022")</f>
        <v/>
      </c>
    </row>
    <row r="834" ht="15" customHeight="1">
      <c r="A834" t="inlineStr">
        <is>
          <t>S 10369-2021</t>
        </is>
      </c>
      <c r="B834" t="inlineStr">
        <is>
          <t>samrådsanmälan</t>
        </is>
      </c>
      <c r="C834" t="inlineStr">
        <is>
          <t>Skogsgödsling</t>
        </is>
      </c>
      <c r="D834" s="1" t="n">
        <v>44550</v>
      </c>
      <c r="E834" s="1" t="n">
        <v>46319</v>
      </c>
      <c r="F834" t="inlineStr">
        <is>
          <t>DALARNAS LÄN</t>
        </is>
      </c>
      <c r="G834" t="inlineStr">
        <is>
          <t>HEDEMORA</t>
        </is>
      </c>
      <c r="H834" t="inlineStr">
        <is>
          <t>Sveaskog</t>
        </is>
      </c>
      <c r="I834" t="n">
        <v>165.4</v>
      </c>
      <c r="J834" t="n">
        <v>3</v>
      </c>
      <c r="K834" t="n">
        <v>0</v>
      </c>
      <c r="L834" t="n">
        <v>1</v>
      </c>
      <c r="M834" t="n">
        <v>0</v>
      </c>
      <c r="N834" t="n">
        <v>0</v>
      </c>
      <c r="O834" t="n">
        <v>0</v>
      </c>
      <c r="P834" t="n">
        <v>0</v>
      </c>
      <c r="Q834" t="n">
        <v>1</v>
      </c>
      <c r="R834" t="n">
        <v>0</v>
      </c>
      <c r="S834" t="n">
        <v>3</v>
      </c>
      <c r="T834" t="n">
        <v>3</v>
      </c>
      <c r="U834" t="n">
        <v>3</v>
      </c>
      <c r="V834" s="2" t="inlineStr">
        <is>
          <t>Talltita
Tjäder
Fläcknycklar</t>
        </is>
      </c>
      <c r="W834">
        <f>HYPERLINK("https://klasma.github.io/Logging_2083/artfynd/S 10369-2021 artfynd.xlsx", "S 10369-2021")</f>
        <v/>
      </c>
      <c r="X834">
        <f>HYPERLINK("https://klasma.github.io/Logging_2083/kartor/S 10369-2021 karta.png", "S 10369-2021")</f>
        <v/>
      </c>
      <c r="Y834">
        <f>HYPERLINK("https://klasma.github.io/Logging_2083/kartor_geotiff/S 10369-2021 georefererad karta.tif", "S 10369-2021")</f>
        <v/>
      </c>
      <c r="AA834">
        <f>HYPERLINK("https://klasma.github.io/Logging_2083/klagomål/S 10369-2021 FSC-klagomål.docx", "S 10369-2021")</f>
        <v/>
      </c>
      <c r="AB834">
        <f>HYPERLINK("https://klasma.github.io/Logging_2083/klagomålsmail/S 10369-2021 FSC-klagomål mail.docx", "S 10369-2021")</f>
        <v/>
      </c>
      <c r="AC834">
        <f>HYPERLINK("https://klasma.github.io/Logging_2083/tillsyn/S 10369-2021 tillsynsbegäran.docx", "S 10369-2021")</f>
        <v/>
      </c>
      <c r="AD834">
        <f>HYPERLINK("https://klasma.github.io/Logging_2083/tillsynsmail/S 10369-2021 tillsynsbegäran mail.docx", "S 10369-2021")</f>
        <v/>
      </c>
      <c r="AE834">
        <f>HYPERLINK("https://klasma.github.io/Logging_2083/fåglar/S 10369-2021 prioriterade fågelarter.docx", "S 10369-2021")</f>
        <v/>
      </c>
    </row>
    <row r="835" ht="15" customHeight="1">
      <c r="A835" t="inlineStr">
        <is>
          <t>S 2703-2022</t>
        </is>
      </c>
      <c r="B835" t="inlineStr">
        <is>
          <t>samrådsanmälan</t>
        </is>
      </c>
      <c r="C835" t="inlineStr">
        <is>
          <t>Annan skogsbruksåtgärd</t>
        </is>
      </c>
      <c r="D835" s="1" t="n">
        <v>44701</v>
      </c>
      <c r="E835" s="1" t="n">
        <v>46319</v>
      </c>
      <c r="F835" t="inlineStr">
        <is>
          <t>DALARNAS LÄN</t>
        </is>
      </c>
      <c r="G835" t="inlineStr">
        <is>
          <t>SMEDJEBACKEN</t>
        </is>
      </c>
      <c r="H835" t="inlineStr">
        <is>
          <t>Bergvik skog väst AB</t>
        </is>
      </c>
      <c r="I835" t="n">
        <v>2.1</v>
      </c>
      <c r="J835" t="n">
        <v>1</v>
      </c>
      <c r="K835" t="n">
        <v>2</v>
      </c>
      <c r="L835" t="n">
        <v>0</v>
      </c>
      <c r="M835" t="n">
        <v>0</v>
      </c>
      <c r="N835" t="n">
        <v>0</v>
      </c>
      <c r="O835" t="n">
        <v>0</v>
      </c>
      <c r="P835" t="n">
        <v>0</v>
      </c>
      <c r="Q835" t="n">
        <v>0</v>
      </c>
      <c r="R835" t="n">
        <v>0</v>
      </c>
      <c r="S835" t="n">
        <v>3</v>
      </c>
      <c r="T835" t="n">
        <v>3</v>
      </c>
      <c r="U835" t="n">
        <v>3</v>
      </c>
      <c r="V835" s="2" t="inlineStr">
        <is>
          <t>Bårdlav
Dvärgtufs
Blåsippa</t>
        </is>
      </c>
      <c r="W835">
        <f>HYPERLINK("https://klasma.github.io/Logging_2061/artfynd/S 2703-2022 artfynd.xlsx", "S 2703-2022")</f>
        <v/>
      </c>
      <c r="X835">
        <f>HYPERLINK("https://klasma.github.io/Logging_2061/kartor/S 2703-2022 karta.png", "S 2703-2022")</f>
        <v/>
      </c>
      <c r="Y835">
        <f>HYPERLINK("https://klasma.github.io/Logging_2061/kartor_geotiff/S 2703-2022 georefererad karta.tif", "S 2703-2022")</f>
        <v/>
      </c>
      <c r="AA835">
        <f>HYPERLINK("https://klasma.github.io/Logging_2061/klagomål/S 2703-2022 FSC-klagomål.docx", "S 2703-2022")</f>
        <v/>
      </c>
      <c r="AB835">
        <f>HYPERLINK("https://klasma.github.io/Logging_2061/klagomålsmail/S 2703-2022 FSC-klagomål mail.docx", "S 2703-2022")</f>
        <v/>
      </c>
      <c r="AC835">
        <f>HYPERLINK("https://klasma.github.io/Logging_2061/tillsyn/S 2703-2022 tillsynsbegäran.docx", "S 2703-2022")</f>
        <v/>
      </c>
      <c r="AD835">
        <f>HYPERLINK("https://klasma.github.io/Logging_2061/tillsynsmail/S 2703-2022 tillsynsbegäran mail.docx", "S 2703-2022")</f>
        <v/>
      </c>
    </row>
    <row r="836" ht="15" customHeight="1">
      <c r="A836" t="inlineStr">
        <is>
          <t>S 563-2022</t>
        </is>
      </c>
      <c r="B836" t="inlineStr">
        <is>
          <t>samrådsanmälan</t>
        </is>
      </c>
      <c r="C836" t="inlineStr">
        <is>
          <t>Skogsgödsling</t>
        </is>
      </c>
      <c r="D836" s="1" t="n">
        <v>44589</v>
      </c>
      <c r="E836" s="1" t="n">
        <v>46319</v>
      </c>
      <c r="F836" t="inlineStr">
        <is>
          <t>DALARNAS LÄN</t>
        </is>
      </c>
      <c r="G836" t="inlineStr">
        <is>
          <t>MALUNG-SÄLEN</t>
        </is>
      </c>
      <c r="H836" t="inlineStr">
        <is>
          <t>Bergvik skog öst AB</t>
        </is>
      </c>
      <c r="I836" t="n">
        <v>239.5</v>
      </c>
      <c r="J836" t="n">
        <v>2</v>
      </c>
      <c r="K836" t="n">
        <v>0</v>
      </c>
      <c r="L836" t="n">
        <v>2</v>
      </c>
      <c r="M836" t="n">
        <v>0</v>
      </c>
      <c r="N836" t="n">
        <v>0</v>
      </c>
      <c r="O836" t="n">
        <v>0</v>
      </c>
      <c r="P836" t="n">
        <v>0</v>
      </c>
      <c r="Q836" t="n">
        <v>2</v>
      </c>
      <c r="R836" t="n">
        <v>0</v>
      </c>
      <c r="S836" t="n">
        <v>3</v>
      </c>
      <c r="T836" t="n">
        <v>3</v>
      </c>
      <c r="U836" t="n">
        <v>3</v>
      </c>
      <c r="V836" s="2" t="inlineStr">
        <is>
          <t>Talltita
Älg
Tjäder</t>
        </is>
      </c>
      <c r="W836">
        <f>HYPERLINK("https://klasma.github.io/Logging_2023/artfynd/S 563-2022 artfynd.xlsx", "S 563-2022")</f>
        <v/>
      </c>
      <c r="X836">
        <f>HYPERLINK("https://klasma.github.io/Logging_2023/kartor/S 563-2022 karta.png", "S 563-2022")</f>
        <v/>
      </c>
      <c r="Y836">
        <f>HYPERLINK("https://klasma.github.io/Logging_2023/kartor_geotiff/S 563-2022 georefererad karta.tif", "S 563-2022")</f>
        <v/>
      </c>
      <c r="AA836">
        <f>HYPERLINK("https://klasma.github.io/Logging_2023/klagomål/S 563-2022 FSC-klagomål.docx", "S 563-2022")</f>
        <v/>
      </c>
      <c r="AB836">
        <f>HYPERLINK("https://klasma.github.io/Logging_2023/klagomålsmail/S 563-2022 FSC-klagomål mail.docx", "S 563-2022")</f>
        <v/>
      </c>
      <c r="AC836">
        <f>HYPERLINK("https://klasma.github.io/Logging_2023/tillsyn/S 563-2022 tillsynsbegäran.docx", "S 563-2022")</f>
        <v/>
      </c>
      <c r="AD836">
        <f>HYPERLINK("https://klasma.github.io/Logging_2023/tillsynsmail/S 563-2022 tillsynsbegäran mail.docx", "S 563-2022")</f>
        <v/>
      </c>
      <c r="AE836">
        <f>HYPERLINK("https://klasma.github.io/Logging_2023/fåglar/S 563-2022 prioriterade fågelarter.docx", "S 563-2022")</f>
        <v/>
      </c>
    </row>
    <row r="837" ht="15" customHeight="1">
      <c r="A837" t="inlineStr">
        <is>
          <t>S 201-2024</t>
        </is>
      </c>
      <c r="B837" t="inlineStr">
        <is>
          <t>samrådsanmälan</t>
        </is>
      </c>
      <c r="C837" t="inlineStr">
        <is>
          <t>Skogsgödsling</t>
        </is>
      </c>
      <c r="D837" s="1" t="n">
        <v>45315</v>
      </c>
      <c r="E837" s="1" t="n">
        <v>46319</v>
      </c>
      <c r="F837" t="inlineStr">
        <is>
          <t>DALARNAS LÄN</t>
        </is>
      </c>
      <c r="G837" t="inlineStr">
        <is>
          <t>MALUNG-SÄLEN</t>
        </is>
      </c>
      <c r="H837" t="inlineStr">
        <is>
          <t>Bergvik skog öst AB</t>
        </is>
      </c>
      <c r="I837" t="n">
        <v>69.8</v>
      </c>
      <c r="J837" t="n">
        <v>3</v>
      </c>
      <c r="K837" t="n">
        <v>0</v>
      </c>
      <c r="L837" t="n">
        <v>1</v>
      </c>
      <c r="M837" t="n">
        <v>0</v>
      </c>
      <c r="N837" t="n">
        <v>0</v>
      </c>
      <c r="O837" t="n">
        <v>0</v>
      </c>
      <c r="P837" t="n">
        <v>0</v>
      </c>
      <c r="Q837" t="n">
        <v>1</v>
      </c>
      <c r="R837" t="n">
        <v>0</v>
      </c>
      <c r="S837" t="n">
        <v>3</v>
      </c>
      <c r="T837" t="n">
        <v>3</v>
      </c>
      <c r="U837" t="n">
        <v>0</v>
      </c>
      <c r="V837" s="2" t="inlineStr">
        <is>
          <t>Kricka
Fjällvråk
Törnskata</t>
        </is>
      </c>
      <c r="W837">
        <f>HYPERLINK("https://klasma.github.io/Logging_2023/artfynd/S 201-2024 artfynd.xlsx", "S 201-2024")</f>
        <v/>
      </c>
      <c r="X837">
        <f>HYPERLINK("https://klasma.github.io/Logging_2023/kartor/S 201-2024 karta.png", "S 201-2024")</f>
        <v/>
      </c>
      <c r="Y837">
        <f>HYPERLINK("https://klasma.github.io/Logging_2023/kartor_geotiff/S 201-2024 georefererad karta.tif", "S 201-2024")</f>
        <v/>
      </c>
      <c r="AA837">
        <f>HYPERLINK("https://klasma.github.io/Logging_2023/klagomål/S 201-2024 FSC-klagomål.docx", "S 201-2024")</f>
        <v/>
      </c>
      <c r="AB837">
        <f>HYPERLINK("https://klasma.github.io/Logging_2023/klagomålsmail/S 201-2024 FSC-klagomål mail.docx", "S 201-2024")</f>
        <v/>
      </c>
      <c r="AC837">
        <f>HYPERLINK("https://klasma.github.io/Logging_2023/tillsyn/S 201-2024 tillsynsbegäran.docx", "S 201-2024")</f>
        <v/>
      </c>
      <c r="AD837">
        <f>HYPERLINK("https://klasma.github.io/Logging_2023/tillsynsmail/S 201-2024 tillsynsbegäran mail.docx", "S 201-2024")</f>
        <v/>
      </c>
      <c r="AE837">
        <f>HYPERLINK("https://klasma.github.io/Logging_2023/fåglar/S 201-2024 prioriterade fågelarter.docx", "S 201-2024")</f>
        <v/>
      </c>
    </row>
    <row r="838" ht="15" customHeight="1">
      <c r="A838" t="inlineStr">
        <is>
          <t>S 892-2024</t>
        </is>
      </c>
      <c r="B838" t="inlineStr">
        <is>
          <t>samrådsanmälan</t>
        </is>
      </c>
      <c r="C838" t="inlineStr">
        <is>
          <t>Skogsgödsling</t>
        </is>
      </c>
      <c r="D838" s="1" t="n">
        <v>45376</v>
      </c>
      <c r="E838" s="1" t="n">
        <v>46319</v>
      </c>
      <c r="F838" t="inlineStr">
        <is>
          <t>DALARNAS LÄN</t>
        </is>
      </c>
      <c r="G838" t="inlineStr">
        <is>
          <t>ORSA</t>
        </is>
      </c>
      <c r="H838" t="inlineStr">
        <is>
          <t>Allmännings- och besparingsskogar</t>
        </is>
      </c>
      <c r="I838" t="n">
        <v>58.9</v>
      </c>
      <c r="J838" t="n">
        <v>2</v>
      </c>
      <c r="K838" t="n">
        <v>0</v>
      </c>
      <c r="L838" t="n">
        <v>1</v>
      </c>
      <c r="M838" t="n">
        <v>0</v>
      </c>
      <c r="N838" t="n">
        <v>0</v>
      </c>
      <c r="O838" t="n">
        <v>0</v>
      </c>
      <c r="P838" t="n">
        <v>0</v>
      </c>
      <c r="Q838" t="n">
        <v>1</v>
      </c>
      <c r="R838" t="n">
        <v>0</v>
      </c>
      <c r="S838" t="n">
        <v>3</v>
      </c>
      <c r="T838" t="n">
        <v>3</v>
      </c>
      <c r="U838" t="n">
        <v>3</v>
      </c>
      <c r="V838" s="2" t="inlineStr">
        <is>
          <t>Tretåig hackspett
Tjäder
Torta</t>
        </is>
      </c>
      <c r="W838">
        <f>HYPERLINK("https://klasma.github.io/Logging_2034/artfynd/S 892-2024 artfynd.xlsx", "S 892-2024")</f>
        <v/>
      </c>
      <c r="X838">
        <f>HYPERLINK("https://klasma.github.io/Logging_2034/kartor/S 892-2024 karta.png", "S 892-2024")</f>
        <v/>
      </c>
      <c r="Y838">
        <f>HYPERLINK("https://klasma.github.io/Logging_2034/kartor_geotiff/S 892-2024 georefererad karta.tif", "S 892-2024")</f>
        <v/>
      </c>
      <c r="AA838">
        <f>HYPERLINK("https://klasma.github.io/Logging_2034/klagomål/S 892-2024 FSC-klagomål.docx", "S 892-2024")</f>
        <v/>
      </c>
      <c r="AB838">
        <f>HYPERLINK("https://klasma.github.io/Logging_2034/klagomålsmail/S 892-2024 FSC-klagomål mail.docx", "S 892-2024")</f>
        <v/>
      </c>
      <c r="AC838">
        <f>HYPERLINK("https://klasma.github.io/Logging_2034/tillsyn/S 892-2024 tillsynsbegäran.docx", "S 892-2024")</f>
        <v/>
      </c>
      <c r="AD838">
        <f>HYPERLINK("https://klasma.github.io/Logging_2034/tillsynsmail/S 892-2024 tillsynsbegäran mail.docx", "S 892-2024")</f>
        <v/>
      </c>
      <c r="AE838">
        <f>HYPERLINK("https://klasma.github.io/Logging_2034/fåglar/S 892-2024 prioriterade fågelarter.docx", "S 892-2024")</f>
        <v/>
      </c>
    </row>
    <row r="839" ht="15" customHeight="1">
      <c r="A839" t="inlineStr">
        <is>
          <t>S 4799-2022</t>
        </is>
      </c>
      <c r="B839" t="inlineStr">
        <is>
          <t>samrådsanmälan</t>
        </is>
      </c>
      <c r="C839" t="inlineStr">
        <is>
          <t>Annan skogsbruksåtgärd</t>
        </is>
      </c>
      <c r="D839" s="1" t="n">
        <v>44803</v>
      </c>
      <c r="E839" s="1" t="n">
        <v>46319</v>
      </c>
      <c r="F839" t="inlineStr">
        <is>
          <t>DALARNAS LÄN</t>
        </is>
      </c>
      <c r="G839" t="inlineStr">
        <is>
          <t>SÄTER</t>
        </is>
      </c>
      <c r="I839" t="n">
        <v>0.7</v>
      </c>
      <c r="J839" t="n">
        <v>2</v>
      </c>
      <c r="K839" t="n">
        <v>0</v>
      </c>
      <c r="L839" t="n">
        <v>1</v>
      </c>
      <c r="M839" t="n">
        <v>1</v>
      </c>
      <c r="N839" t="n">
        <v>0</v>
      </c>
      <c r="O839" t="n">
        <v>0</v>
      </c>
      <c r="P839" t="n">
        <v>0</v>
      </c>
      <c r="Q839" t="n">
        <v>2</v>
      </c>
      <c r="R839" t="n">
        <v>1</v>
      </c>
      <c r="S839" t="n">
        <v>3</v>
      </c>
      <c r="T839" t="n">
        <v>5</v>
      </c>
      <c r="U839" t="n">
        <v>0</v>
      </c>
      <c r="V839" s="2" t="inlineStr">
        <is>
          <t>Knärot
Dropptaggsvamp
Blåsippa</t>
        </is>
      </c>
      <c r="W839">
        <f>HYPERLINK("https://klasma.github.io/Logging_2082/artfynd/S 4799-2022 artfynd.xlsx", "S 4799-2022")</f>
        <v/>
      </c>
      <c r="X839">
        <f>HYPERLINK("https://klasma.github.io/Logging_2082/kartor/S 4799-2022 karta.png", "S 4799-2022")</f>
        <v/>
      </c>
      <c r="Y839">
        <f>HYPERLINK("https://klasma.github.io/Logging_2082/kartor_geotiff/S 4799-2022 georefererad karta.tif", "S 4799-2022")</f>
        <v/>
      </c>
      <c r="Z839">
        <f>HYPERLINK("https://klasma.github.io/Logging_2082/knärot/S 4799-2022 karta knärot.png", "S 4799-2022")</f>
        <v/>
      </c>
      <c r="AA839">
        <f>HYPERLINK("https://klasma.github.io/Logging_2082/klagomål/S 4799-2022 FSC-klagomål.docx", "S 4799-2022")</f>
        <v/>
      </c>
      <c r="AB839">
        <f>HYPERLINK("https://klasma.github.io/Logging_2082/klagomålsmail/S 4799-2022 FSC-klagomål mail.docx", "S 4799-2022")</f>
        <v/>
      </c>
      <c r="AC839">
        <f>HYPERLINK("https://klasma.github.io/Logging_2082/tillsyn/S 4799-2022 tillsynsbegäran.docx", "S 4799-2022")</f>
        <v/>
      </c>
      <c r="AD839">
        <f>HYPERLINK("https://klasma.github.io/Logging_2082/tillsynsmail/S 4799-2022 tillsynsbegäran mail.docx", "S 4799-2022")</f>
        <v/>
      </c>
    </row>
    <row r="840" ht="15" customHeight="1">
      <c r="A840" t="inlineStr">
        <is>
          <t>S 407-2025</t>
        </is>
      </c>
      <c r="B840" t="inlineStr">
        <is>
          <t>samrådsanmälan</t>
        </is>
      </c>
      <c r="C840" t="inlineStr">
        <is>
          <t>Skogsgödsling</t>
        </is>
      </c>
      <c r="D840" s="1" t="n">
        <v>45699</v>
      </c>
      <c r="E840" s="1" t="n">
        <v>46319</v>
      </c>
      <c r="F840" t="inlineStr">
        <is>
          <t>DALARNAS LÄN</t>
        </is>
      </c>
      <c r="G840" t="inlineStr">
        <is>
          <t>MORA</t>
        </is>
      </c>
      <c r="H840" t="inlineStr">
        <is>
          <t>Bergvik skog öst AB</t>
        </is>
      </c>
      <c r="I840" t="n">
        <v>457.8</v>
      </c>
      <c r="J840" t="n">
        <v>1</v>
      </c>
      <c r="K840" t="n">
        <v>0</v>
      </c>
      <c r="L840" t="n">
        <v>1</v>
      </c>
      <c r="M840" t="n">
        <v>1</v>
      </c>
      <c r="N840" t="n">
        <v>0</v>
      </c>
      <c r="O840" t="n">
        <v>0</v>
      </c>
      <c r="P840" t="n">
        <v>0</v>
      </c>
      <c r="Q840" t="n">
        <v>2</v>
      </c>
      <c r="R840" t="n">
        <v>1</v>
      </c>
      <c r="S840" t="n">
        <v>3</v>
      </c>
      <c r="T840" t="n">
        <v>5</v>
      </c>
      <c r="U840" t="n">
        <v>1</v>
      </c>
      <c r="V840" s="2" t="inlineStr">
        <is>
          <t>Garnlav
Vedtrappmossa
Järpe</t>
        </is>
      </c>
      <c r="W840">
        <f>HYPERLINK("https://klasma.github.io/Logging_2062/artfynd/S 407-2025 artfynd.xlsx", "S 407-2025")</f>
        <v/>
      </c>
      <c r="X840">
        <f>HYPERLINK("https://klasma.github.io/Logging_2062/kartor/S 407-2025 karta.png", "S 407-2025")</f>
        <v/>
      </c>
      <c r="Y840">
        <f>HYPERLINK("https://klasma.github.io/Logging_2062/kartor_geotiff/S 407-2025 georefererad karta.tif", "S 407-2025")</f>
        <v/>
      </c>
      <c r="AA840">
        <f>HYPERLINK("https://klasma.github.io/Logging_2062/klagomål/S 407-2025 FSC-klagomål.docx", "S 407-2025")</f>
        <v/>
      </c>
      <c r="AB840">
        <f>HYPERLINK("https://klasma.github.io/Logging_2062/klagomålsmail/S 407-2025 FSC-klagomål mail.docx", "S 407-2025")</f>
        <v/>
      </c>
      <c r="AC840">
        <f>HYPERLINK("https://klasma.github.io/Logging_2062/tillsyn/S 407-2025 tillsynsbegäran.docx", "S 407-2025")</f>
        <v/>
      </c>
      <c r="AD840">
        <f>HYPERLINK("https://klasma.github.io/Logging_2062/tillsynsmail/S 407-2025 tillsynsbegäran mail.docx", "S 407-2025")</f>
        <v/>
      </c>
      <c r="AE840">
        <f>HYPERLINK("https://klasma.github.io/Logging_2062/fåglar/S 407-2025 prioriterade fågelarter.docx", "S 407-2025")</f>
        <v/>
      </c>
    </row>
    <row r="841" ht="15" customHeight="1">
      <c r="A841" t="inlineStr">
        <is>
          <t>S 2088-2025</t>
        </is>
      </c>
      <c r="B841" t="inlineStr">
        <is>
          <t>samrådsanmälan</t>
        </is>
      </c>
      <c r="C841" t="inlineStr">
        <is>
          <t>Annan skogsbruksåtgärd</t>
        </is>
      </c>
      <c r="D841" s="1" t="n">
        <v>45841</v>
      </c>
      <c r="E841" s="1" t="n">
        <v>46319</v>
      </c>
      <c r="F841" t="inlineStr">
        <is>
          <t>DALARNAS LÄN</t>
        </is>
      </c>
      <c r="G841" t="inlineStr">
        <is>
          <t>ÄLVDALEN</t>
        </is>
      </c>
      <c r="H841" t="inlineStr">
        <is>
          <t>Sveaskog</t>
        </is>
      </c>
      <c r="I841" t="n">
        <v>1.6</v>
      </c>
      <c r="J841" t="n">
        <v>0</v>
      </c>
      <c r="K841" t="n">
        <v>0</v>
      </c>
      <c r="L841" t="n">
        <v>3</v>
      </c>
      <c r="M841" t="n">
        <v>0</v>
      </c>
      <c r="N841" t="n">
        <v>0</v>
      </c>
      <c r="O841" t="n">
        <v>0</v>
      </c>
      <c r="P841" t="n">
        <v>0</v>
      </c>
      <c r="Q841" t="n">
        <v>3</v>
      </c>
      <c r="R841" t="n">
        <v>0</v>
      </c>
      <c r="S841" t="n">
        <v>3</v>
      </c>
      <c r="T841" t="n">
        <v>3</v>
      </c>
      <c r="U841" t="n">
        <v>0</v>
      </c>
      <c r="V841" s="2" t="inlineStr">
        <is>
          <t>Dvärgbägarlav
Kolflarnlav
Vedflamlav</t>
        </is>
      </c>
      <c r="W841">
        <f>HYPERLINK("https://klasma.github.io/Logging_2039/artfynd/S 2088-2025 artfynd.xlsx", "S 2088-2025")</f>
        <v/>
      </c>
      <c r="X841">
        <f>HYPERLINK("https://klasma.github.io/Logging_2039/kartor/S 2088-2025 karta.png", "S 2088-2025")</f>
        <v/>
      </c>
      <c r="Y841">
        <f>HYPERLINK("https://klasma.github.io/Logging_2039/kartor_geotiff/S 2088-2025 georefererad karta.tif", "S 2088-2025")</f>
        <v/>
      </c>
      <c r="AA841">
        <f>HYPERLINK("https://klasma.github.io/Logging_2039/klagomål/S 2088-2025 FSC-klagomål.docx", "S 2088-2025")</f>
        <v/>
      </c>
      <c r="AB841">
        <f>HYPERLINK("https://klasma.github.io/Logging_2039/klagomålsmail/S 2088-2025 FSC-klagomål mail.docx", "S 2088-2025")</f>
        <v/>
      </c>
      <c r="AC841">
        <f>HYPERLINK("https://klasma.github.io/Logging_2039/tillsyn/S 2088-2025 tillsynsbegäran.docx", "S 2088-2025")</f>
        <v/>
      </c>
      <c r="AD841">
        <f>HYPERLINK("https://klasma.github.io/Logging_2039/tillsynsmail/S 2088-2025 tillsynsbegäran mail.docx", "S 2088-2025")</f>
        <v/>
      </c>
    </row>
    <row r="842" ht="15" customHeight="1">
      <c r="A842" t="inlineStr">
        <is>
          <t>S 2127-2025</t>
        </is>
      </c>
      <c r="B842" t="inlineStr">
        <is>
          <t>samrådsanmälan</t>
        </is>
      </c>
      <c r="C842" t="inlineStr">
        <is>
          <t>Askåterföring</t>
        </is>
      </c>
      <c r="D842" s="1" t="n">
        <v>45846</v>
      </c>
      <c r="E842" s="1" t="n">
        <v>46319</v>
      </c>
      <c r="F842" t="inlineStr">
        <is>
          <t>DALARNAS LÄN</t>
        </is>
      </c>
      <c r="G842" t="inlineStr">
        <is>
          <t>FALUN</t>
        </is>
      </c>
      <c r="I842" t="n">
        <v>7.9</v>
      </c>
      <c r="J842" t="n">
        <v>0</v>
      </c>
      <c r="K842" t="n">
        <v>1</v>
      </c>
      <c r="L842" t="n">
        <v>0</v>
      </c>
      <c r="M842" t="n">
        <v>2</v>
      </c>
      <c r="N842" t="n">
        <v>0</v>
      </c>
      <c r="O842" t="n">
        <v>0</v>
      </c>
      <c r="P842" t="n">
        <v>0</v>
      </c>
      <c r="Q842" t="n">
        <v>2</v>
      </c>
      <c r="R842" t="n">
        <v>2</v>
      </c>
      <c r="S842" t="n">
        <v>3</v>
      </c>
      <c r="T842" t="n">
        <v>3</v>
      </c>
      <c r="U842" t="n">
        <v>3</v>
      </c>
      <c r="V842" s="2" t="inlineStr">
        <is>
          <t>Garnlav
Norsk näverlav
Purpurmylia</t>
        </is>
      </c>
      <c r="W842">
        <f>HYPERLINK("https://klasma.github.io/Logging_2080/artfynd/S 2127-2025 artfynd.xlsx", "S 2127-2025")</f>
        <v/>
      </c>
      <c r="X842">
        <f>HYPERLINK("https://klasma.github.io/Logging_2080/kartor/S 2127-2025 karta.png", "S 2127-2025")</f>
        <v/>
      </c>
      <c r="Y842">
        <f>HYPERLINK("https://klasma.github.io/Logging_2080/kartor_geotiff/S 2127-2025 georefererad karta.tif", "S 2127-2025")</f>
        <v/>
      </c>
      <c r="AA842">
        <f>HYPERLINK("https://klasma.github.io/Logging_2080/klagomål/S 2127-2025 FSC-klagomål.docx", "S 2127-2025")</f>
        <v/>
      </c>
      <c r="AB842">
        <f>HYPERLINK("https://klasma.github.io/Logging_2080/klagomålsmail/S 2127-2025 FSC-klagomål mail.docx", "S 2127-2025")</f>
        <v/>
      </c>
      <c r="AC842">
        <f>HYPERLINK("https://klasma.github.io/Logging_2080/tillsyn/S 2127-2025 tillsynsbegäran.docx", "S 2127-2025")</f>
        <v/>
      </c>
      <c r="AD842">
        <f>HYPERLINK("https://klasma.github.io/Logging_2080/tillsynsmail/S 2127-2025 tillsynsbegäran mail.docx", "S 2127-2025")</f>
        <v/>
      </c>
    </row>
    <row r="843" ht="15" customHeight="1">
      <c r="A843" t="inlineStr">
        <is>
          <t>S 2496-2025</t>
        </is>
      </c>
      <c r="B843" t="inlineStr">
        <is>
          <t>samrådsanmälan</t>
        </is>
      </c>
      <c r="C843" t="inlineStr">
        <is>
          <t>Annan skogsbruksåtgärd</t>
        </is>
      </c>
      <c r="D843" s="1" t="n">
        <v>45903</v>
      </c>
      <c r="E843" s="1" t="n">
        <v>46319</v>
      </c>
      <c r="F843" t="inlineStr">
        <is>
          <t>DALARNAS LÄN</t>
        </is>
      </c>
      <c r="G843" t="inlineStr">
        <is>
          <t>MALUNG-SÄLEN</t>
        </is>
      </c>
      <c r="I843" t="n">
        <v>5.8</v>
      </c>
      <c r="J843" t="n">
        <v>1</v>
      </c>
      <c r="K843" t="n">
        <v>0</v>
      </c>
      <c r="L843" t="n">
        <v>0</v>
      </c>
      <c r="M843" t="n">
        <v>2</v>
      </c>
      <c r="N843" t="n">
        <v>0</v>
      </c>
      <c r="O843" t="n">
        <v>0</v>
      </c>
      <c r="P843" t="n">
        <v>0</v>
      </c>
      <c r="Q843" t="n">
        <v>2</v>
      </c>
      <c r="R843" t="n">
        <v>2</v>
      </c>
      <c r="S843" t="n">
        <v>3</v>
      </c>
      <c r="T843" t="n">
        <v>4</v>
      </c>
      <c r="U843" t="n">
        <v>4</v>
      </c>
      <c r="V843" s="2" t="inlineStr">
        <is>
          <t>Gränsticka
Skuggnål
Spillkråka</t>
        </is>
      </c>
      <c r="W843">
        <f>HYPERLINK("https://klasma.github.io/Logging_2023/artfynd/S 2496-2025 artfynd.xlsx", "S 2496-2025")</f>
        <v/>
      </c>
      <c r="X843">
        <f>HYPERLINK("https://klasma.github.io/Logging_2023/kartor/S 2496-2025 karta.png", "S 2496-2025")</f>
        <v/>
      </c>
      <c r="Y843">
        <f>HYPERLINK("https://klasma.github.io/Logging_2023/kartor_geotiff/S 2496-2025 georefererad karta.tif", "S 2496-2025")</f>
        <v/>
      </c>
      <c r="AA843">
        <f>HYPERLINK("https://klasma.github.io/Logging_2023/klagomål/S 2496-2025 FSC-klagomål.docx", "S 2496-2025")</f>
        <v/>
      </c>
      <c r="AB843">
        <f>HYPERLINK("https://klasma.github.io/Logging_2023/klagomålsmail/S 2496-2025 FSC-klagomål mail.docx", "S 2496-2025")</f>
        <v/>
      </c>
      <c r="AC843">
        <f>HYPERLINK("https://klasma.github.io/Logging_2023/tillsyn/S 2496-2025 tillsynsbegäran.docx", "S 2496-2025")</f>
        <v/>
      </c>
      <c r="AD843">
        <f>HYPERLINK("https://klasma.github.io/Logging_2023/tillsynsmail/S 2496-2025 tillsynsbegäran mail.docx", "S 2496-2025")</f>
        <v/>
      </c>
      <c r="AE843">
        <f>HYPERLINK("https://klasma.github.io/Logging_2023/fåglar/S 2496-2025 prioriterade fågelarter.docx", "S 2496-2025")</f>
        <v/>
      </c>
    </row>
    <row r="844" ht="15" customHeight="1">
      <c r="A844" t="inlineStr">
        <is>
          <t>S 659-2026</t>
        </is>
      </c>
      <c r="B844" t="inlineStr">
        <is>
          <t>samrådsanmälan</t>
        </is>
      </c>
      <c r="C844" t="inlineStr">
        <is>
          <t>Skogsgödsling</t>
        </is>
      </c>
      <c r="D844" s="1" t="n">
        <v>46089</v>
      </c>
      <c r="E844" s="1" t="n">
        <v>46319</v>
      </c>
      <c r="F844" t="inlineStr">
        <is>
          <t>DALARNAS LÄN</t>
        </is>
      </c>
      <c r="G844" t="inlineStr">
        <is>
          <t>ORSA</t>
        </is>
      </c>
      <c r="H844" t="inlineStr">
        <is>
          <t>Bergvik skog öst AB</t>
        </is>
      </c>
      <c r="I844" t="n">
        <v>263.4</v>
      </c>
      <c r="J844" t="n">
        <v>3</v>
      </c>
      <c r="K844" t="n">
        <v>0</v>
      </c>
      <c r="L844" t="n">
        <v>1</v>
      </c>
      <c r="M844" t="n">
        <v>2</v>
      </c>
      <c r="N844" t="n">
        <v>0</v>
      </c>
      <c r="O844" t="n">
        <v>0</v>
      </c>
      <c r="P844" t="n">
        <v>0</v>
      </c>
      <c r="Q844" t="n">
        <v>3</v>
      </c>
      <c r="R844" t="n">
        <v>2</v>
      </c>
      <c r="S844" t="n">
        <v>3</v>
      </c>
      <c r="T844" t="n">
        <v>3</v>
      </c>
      <c r="U844" t="n">
        <v>1</v>
      </c>
      <c r="V844" s="2" t="inlineStr">
        <is>
          <t>Knärot
Lappuggla
Mellanlummer</t>
        </is>
      </c>
      <c r="W844">
        <f>HYPERLINK("https://klasma.github.io/Logging_2034/artfynd/S 659-2026 artfynd.xlsx", "S 659-2026")</f>
        <v/>
      </c>
      <c r="X844">
        <f>HYPERLINK("https://klasma.github.io/Logging_2034/kartor/S 659-2026 karta.png", "S 659-2026")</f>
        <v/>
      </c>
      <c r="Y844">
        <f>HYPERLINK("https://klasma.github.io/Logging_2034/kartor_geotiff/S 659-2026 georefererad karta.tif", "S 659-2026")</f>
        <v/>
      </c>
      <c r="Z844">
        <f>HYPERLINK("https://klasma.github.io/Logging_2034/knärot/S 659-2026 karta knärot.png", "S 659-2026")</f>
        <v/>
      </c>
      <c r="AA844">
        <f>HYPERLINK("https://klasma.github.io/Logging_2034/klagomål/S 659-2026 FSC-klagomål.docx", "S 659-2026")</f>
        <v/>
      </c>
      <c r="AB844">
        <f>HYPERLINK("https://klasma.github.io/Logging_2034/klagomålsmail/S 659-2026 FSC-klagomål mail.docx", "S 659-2026")</f>
        <v/>
      </c>
      <c r="AC844">
        <f>HYPERLINK("https://klasma.github.io/Logging_2034/tillsyn/S 659-2026 tillsynsbegäran.docx", "S 659-2026")</f>
        <v/>
      </c>
      <c r="AD844">
        <f>HYPERLINK("https://klasma.github.io/Logging_2034/tillsynsmail/S 659-2026 tillsynsbegäran mail.docx", "S 659-2026")</f>
        <v/>
      </c>
      <c r="AE844">
        <f>HYPERLINK("https://klasma.github.io/Logging_2034/fåglar/S 659-2026 prioriterade fågelarter.docx", "S 659-2026")</f>
        <v/>
      </c>
    </row>
    <row r="845" ht="15" customHeight="1">
      <c r="A845" t="inlineStr">
        <is>
          <t>S 1583-2026</t>
        </is>
      </c>
      <c r="B845" t="inlineStr">
        <is>
          <t>samrådsanmälan</t>
        </is>
      </c>
      <c r="C845" t="inlineStr">
        <is>
          <t>Annan skogsbruksåtgärd</t>
        </is>
      </c>
      <c r="D845" s="1" t="n">
        <v>46170</v>
      </c>
      <c r="E845" s="1" t="n">
        <v>46319</v>
      </c>
      <c r="F845" t="inlineStr">
        <is>
          <t>DALARNAS LÄN</t>
        </is>
      </c>
      <c r="G845" t="inlineStr">
        <is>
          <t>LUDVIKA</t>
        </is>
      </c>
      <c r="H845" t="inlineStr">
        <is>
          <t>Övriga Aktiebolag</t>
        </is>
      </c>
      <c r="I845" t="n">
        <v>3.5</v>
      </c>
      <c r="J845" t="n">
        <v>1</v>
      </c>
      <c r="K845" t="n">
        <v>1</v>
      </c>
      <c r="L845" t="n">
        <v>1</v>
      </c>
      <c r="M845" t="n">
        <v>0</v>
      </c>
      <c r="N845" t="n">
        <v>0</v>
      </c>
      <c r="O845" t="n">
        <v>0</v>
      </c>
      <c r="P845" t="n">
        <v>0</v>
      </c>
      <c r="Q845" t="n">
        <v>1</v>
      </c>
      <c r="R845" t="n">
        <v>0</v>
      </c>
      <c r="S845" t="n">
        <v>3</v>
      </c>
      <c r="T845" t="n">
        <v>3</v>
      </c>
      <c r="U845" t="n">
        <v>0</v>
      </c>
      <c r="V845" s="2" t="inlineStr">
        <is>
          <t>Ullticka
Vedticka
Spillkråka</t>
        </is>
      </c>
      <c r="W845">
        <f>HYPERLINK("https://klasma.github.io/Logging_2085/artfynd/S 1583-2026 artfynd.xlsx", "S 1583-2026")</f>
        <v/>
      </c>
      <c r="X845">
        <f>HYPERLINK("https://klasma.github.io/Logging_2085/kartor/S 1583-2026 karta.png", "S 1583-2026")</f>
        <v/>
      </c>
      <c r="Y845">
        <f>HYPERLINK("https://klasma.github.io/Logging_2085/kartor_geotiff/S 1583-2026 georefererad karta.tif", "S 1583-2026")</f>
        <v/>
      </c>
      <c r="AA845">
        <f>HYPERLINK("https://klasma.github.io/Logging_2085/klagomål/S 1583-2026 FSC-klagomål.docx", "S 1583-2026")</f>
        <v/>
      </c>
      <c r="AB845">
        <f>HYPERLINK("https://klasma.github.io/Logging_2085/klagomålsmail/S 1583-2026 FSC-klagomål mail.docx", "S 1583-2026")</f>
        <v/>
      </c>
      <c r="AC845">
        <f>HYPERLINK("https://klasma.github.io/Logging_2085/tillsyn/S 1583-2026 tillsynsbegäran.docx", "S 1583-2026")</f>
        <v/>
      </c>
      <c r="AD845">
        <f>HYPERLINK("https://klasma.github.io/Logging_2085/tillsynsmail/S 1583-2026 tillsynsbegäran mail.docx", "S 1583-2026")</f>
        <v/>
      </c>
      <c r="AE845">
        <f>HYPERLINK("https://klasma.github.io/Logging_2085/fåglar/S 1583-2026 prioriterade fågelarter.docx", "S 1583-2026")</f>
        <v/>
      </c>
    </row>
    <row r="846" ht="15" customHeight="1">
      <c r="A846" t="inlineStr">
        <is>
          <t>A 21302-2022</t>
        </is>
      </c>
      <c r="B846" t="inlineStr">
        <is>
          <t>avverkningsanmälan</t>
        </is>
      </c>
      <c r="C846" t="inlineStr">
        <is>
          <t>Föryngringsavverkning</t>
        </is>
      </c>
      <c r="D846" s="1" t="n">
        <v>44705</v>
      </c>
      <c r="E846" s="1" t="n">
        <v>46319</v>
      </c>
      <c r="F846" t="inlineStr">
        <is>
          <t>DALARNAS LÄN</t>
        </is>
      </c>
      <c r="G846" t="inlineStr">
        <is>
          <t>BORLÄNGE</t>
        </is>
      </c>
      <c r="I846" t="n">
        <v>0.9</v>
      </c>
      <c r="J846" t="n">
        <v>1</v>
      </c>
      <c r="K846" t="n">
        <v>0</v>
      </c>
      <c r="L846" t="n">
        <v>1</v>
      </c>
      <c r="M846" t="n">
        <v>1</v>
      </c>
      <c r="N846" t="n">
        <v>0</v>
      </c>
      <c r="O846" t="n">
        <v>0</v>
      </c>
      <c r="P846" t="n">
        <v>0</v>
      </c>
      <c r="Q846" t="n">
        <v>2</v>
      </c>
      <c r="R846" t="n">
        <v>1</v>
      </c>
      <c r="S846" t="n">
        <v>2</v>
      </c>
      <c r="T846" t="n">
        <v>27</v>
      </c>
      <c r="U846" t="n">
        <v>3</v>
      </c>
      <c r="V846" s="2" t="inlineStr">
        <is>
          <t>Brun gräsfjäril
Älg</t>
        </is>
      </c>
      <c r="W846">
        <f>HYPERLINK("https://klasma.github.io/Logging_2081/artfynd/A 21302-2022 artfynd.xlsx", "A 21302-2022")</f>
        <v/>
      </c>
      <c r="X846">
        <f>HYPERLINK("https://klasma.github.io/Logging_2081/kartor/A 21302-2022 karta.png", "A 21302-2022")</f>
        <v/>
      </c>
      <c r="Y846">
        <f>HYPERLINK("https://klasma.github.io/Logging_2081/kartor_geotiff/A 21302-2022 georefererad karta.tif", "A 21302-2022")</f>
        <v/>
      </c>
      <c r="AA846">
        <f>HYPERLINK("https://klasma.github.io/Logging_2081/klagomål/A 21302-2022 FSC-klagomål.docx", "A 21302-2022")</f>
        <v/>
      </c>
      <c r="AB846">
        <f>HYPERLINK("https://klasma.github.io/Logging_2081/klagomålsmail/A 21302-2022 FSC-klagomål mail.docx", "A 21302-2022")</f>
        <v/>
      </c>
      <c r="AC846">
        <f>HYPERLINK("https://klasma.github.io/Logging_2081/tillsyn/A 21302-2022 tillsynsbegäran.docx", "A 21302-2022")</f>
        <v/>
      </c>
      <c r="AD846">
        <f>HYPERLINK("https://klasma.github.io/Logging_2081/tillsynsmail/A 21302-2022 tillsynsbegäran mail.docx", "A 21302-2022")</f>
        <v/>
      </c>
    </row>
    <row r="847" ht="15" customHeight="1">
      <c r="A847" t="inlineStr">
        <is>
          <t>A 21081-2022</t>
        </is>
      </c>
      <c r="B847" t="inlineStr">
        <is>
          <t>avverkningsanmälan</t>
        </is>
      </c>
      <c r="C847" t="inlineStr">
        <is>
          <t>Föryngringsavverkning</t>
        </is>
      </c>
      <c r="D847" s="1" t="n">
        <v>44704</v>
      </c>
      <c r="E847" s="1" t="n">
        <v>46319</v>
      </c>
      <c r="F847" t="inlineStr">
        <is>
          <t>DALARNAS LÄN</t>
        </is>
      </c>
      <c r="G847" t="inlineStr">
        <is>
          <t>MALUNG-SÄLEN</t>
        </is>
      </c>
      <c r="I847" t="n">
        <v>0.9</v>
      </c>
      <c r="J847" t="n">
        <v>2</v>
      </c>
      <c r="K847" t="n">
        <v>0</v>
      </c>
      <c r="L847" t="n">
        <v>1</v>
      </c>
      <c r="M847" t="n">
        <v>0</v>
      </c>
      <c r="N847" t="n">
        <v>0</v>
      </c>
      <c r="O847" t="n">
        <v>0</v>
      </c>
      <c r="P847" t="n">
        <v>0</v>
      </c>
      <c r="Q847" t="n">
        <v>1</v>
      </c>
      <c r="R847" t="n">
        <v>0</v>
      </c>
      <c r="S847" t="n">
        <v>2</v>
      </c>
      <c r="T847" t="n">
        <v>2</v>
      </c>
      <c r="U847" t="n">
        <v>2</v>
      </c>
      <c r="V847" s="2" t="inlineStr">
        <is>
          <t>Talltita
Fläcknycklar</t>
        </is>
      </c>
      <c r="W847">
        <f>HYPERLINK("https://klasma.github.io/Logging_2023/artfynd/A 21081-2022 artfynd.xlsx", "A 21081-2022")</f>
        <v/>
      </c>
      <c r="X847">
        <f>HYPERLINK("https://klasma.github.io/Logging_2023/kartor/A 21081-2022 karta.png", "A 21081-2022")</f>
        <v/>
      </c>
      <c r="Y847">
        <f>HYPERLINK("https://klasma.github.io/Logging_2023/kartor_geotiff/A 21081-2022 georefererad karta.tif", "A 21081-2022")</f>
        <v/>
      </c>
      <c r="AA847">
        <f>HYPERLINK("https://klasma.github.io/Logging_2023/klagomål/A 21081-2022 FSC-klagomål.docx", "A 21081-2022")</f>
        <v/>
      </c>
      <c r="AB847">
        <f>HYPERLINK("https://klasma.github.io/Logging_2023/klagomålsmail/A 21081-2022 FSC-klagomål mail.docx", "A 21081-2022")</f>
        <v/>
      </c>
      <c r="AC847">
        <f>HYPERLINK("https://klasma.github.io/Logging_2023/tillsyn/A 21081-2022 tillsynsbegäran.docx", "A 21081-2022")</f>
        <v/>
      </c>
      <c r="AD847">
        <f>HYPERLINK("https://klasma.github.io/Logging_2023/tillsynsmail/A 21081-2022 tillsynsbegäran mail.docx", "A 21081-2022")</f>
        <v/>
      </c>
      <c r="AE847">
        <f>HYPERLINK("https://klasma.github.io/Logging_2023/fåglar/A 21081-2022 prioriterade fågelarter.docx", "A 21081-2022")</f>
        <v/>
      </c>
    </row>
    <row r="848" ht="15" customHeight="1">
      <c r="A848" t="inlineStr">
        <is>
          <t>A 67709-2021</t>
        </is>
      </c>
      <c r="B848" t="inlineStr">
        <is>
          <t>avverkningsanmälan</t>
        </is>
      </c>
      <c r="C848" t="inlineStr">
        <is>
          <t>Föryngringsavverkning</t>
        </is>
      </c>
      <c r="D848" s="1" t="n">
        <v>44525</v>
      </c>
      <c r="E848" s="1" t="n">
        <v>46319</v>
      </c>
      <c r="F848" t="inlineStr">
        <is>
          <t>DALARNAS LÄN</t>
        </is>
      </c>
      <c r="G848" t="inlineStr">
        <is>
          <t>ÄLVDALEN</t>
        </is>
      </c>
      <c r="H848" t="inlineStr">
        <is>
          <t>Sveaskog</t>
        </is>
      </c>
      <c r="I848" t="n">
        <v>4.4</v>
      </c>
      <c r="J848" t="n">
        <v>0</v>
      </c>
      <c r="K848" t="n">
        <v>0</v>
      </c>
      <c r="L848" t="n">
        <v>2</v>
      </c>
      <c r="M848" t="n">
        <v>0</v>
      </c>
      <c r="N848" t="n">
        <v>0</v>
      </c>
      <c r="O848" t="n">
        <v>0</v>
      </c>
      <c r="P848" t="n">
        <v>0</v>
      </c>
      <c r="Q848" t="n">
        <v>2</v>
      </c>
      <c r="R848" t="n">
        <v>0</v>
      </c>
      <c r="S848" t="n">
        <v>2</v>
      </c>
      <c r="T848" t="n">
        <v>2</v>
      </c>
      <c r="U848" t="n">
        <v>2</v>
      </c>
      <c r="V848" s="2" t="inlineStr">
        <is>
          <t>Dropptaggsvamp
Skarp dropptaggsvamp</t>
        </is>
      </c>
      <c r="W848">
        <f>HYPERLINK("https://klasma.github.io/Logging_2039/artfynd/A 67709-2021 artfynd.xlsx", "A 67709-2021")</f>
        <v/>
      </c>
      <c r="X848">
        <f>HYPERLINK("https://klasma.github.io/Logging_2039/kartor/A 67709-2021 karta.png", "A 67709-2021")</f>
        <v/>
      </c>
      <c r="Y848">
        <f>HYPERLINK("https://klasma.github.io/Logging_2039/kartor_geotiff/A 67709-2021 georefererad karta.tif", "A 67709-2021")</f>
        <v/>
      </c>
      <c r="AA848">
        <f>HYPERLINK("https://klasma.github.io/Logging_2039/klagomål/A 67709-2021 FSC-klagomål.docx", "A 67709-2021")</f>
        <v/>
      </c>
      <c r="AB848">
        <f>HYPERLINK("https://klasma.github.io/Logging_2039/klagomålsmail/A 67709-2021 FSC-klagomål mail.docx", "A 67709-2021")</f>
        <v/>
      </c>
      <c r="AC848">
        <f>HYPERLINK("https://klasma.github.io/Logging_2039/tillsyn/A 67709-2021 tillsynsbegäran.docx", "A 67709-2021")</f>
        <v/>
      </c>
      <c r="AD848">
        <f>HYPERLINK("https://klasma.github.io/Logging_2039/tillsynsmail/A 67709-2021 tillsynsbegäran mail.docx", "A 67709-2021")</f>
        <v/>
      </c>
    </row>
    <row r="849" ht="15" customHeight="1">
      <c r="A849" t="inlineStr">
        <is>
          <t>A 53409-2022</t>
        </is>
      </c>
      <c r="B849" t="inlineStr">
        <is>
          <t>avverkningsanmälan</t>
        </is>
      </c>
      <c r="C849" t="inlineStr">
        <is>
          <t>Föryngringsavverkning</t>
        </is>
      </c>
      <c r="D849" s="1" t="n">
        <v>44879</v>
      </c>
      <c r="E849" s="1" t="n">
        <v>46319</v>
      </c>
      <c r="F849" t="inlineStr">
        <is>
          <t>DALARNAS LÄN</t>
        </is>
      </c>
      <c r="G849" t="inlineStr">
        <is>
          <t>FALUN</t>
        </is>
      </c>
      <c r="I849" t="n">
        <v>0.4</v>
      </c>
      <c r="J849" t="n">
        <v>2</v>
      </c>
      <c r="K849" t="n">
        <v>0</v>
      </c>
      <c r="L849" t="n">
        <v>0</v>
      </c>
      <c r="M849" t="n">
        <v>1</v>
      </c>
      <c r="N849" t="n">
        <v>0</v>
      </c>
      <c r="O849" t="n">
        <v>0</v>
      </c>
      <c r="P849" t="n">
        <v>0</v>
      </c>
      <c r="Q849" t="n">
        <v>1</v>
      </c>
      <c r="R849" t="n">
        <v>1</v>
      </c>
      <c r="S849" t="n">
        <v>2</v>
      </c>
      <c r="T849" t="n">
        <v>5</v>
      </c>
      <c r="U849" t="n">
        <v>5</v>
      </c>
      <c r="V849" s="2" t="inlineStr">
        <is>
          <t>Knärot
Revlummer</t>
        </is>
      </c>
      <c r="W849">
        <f>HYPERLINK("https://klasma.github.io/Logging_2080/artfynd/A 53409-2022 artfynd.xlsx", "A 53409-2022")</f>
        <v/>
      </c>
      <c r="X849">
        <f>HYPERLINK("https://klasma.github.io/Logging_2080/kartor/A 53409-2022 karta.png", "A 53409-2022")</f>
        <v/>
      </c>
      <c r="Y849">
        <f>HYPERLINK("https://klasma.github.io/Logging_2080/kartor_geotiff/A 53409-2022 georefererad karta.tif", "A 53409-2022")</f>
        <v/>
      </c>
      <c r="Z849">
        <f>HYPERLINK("https://klasma.github.io/Logging_2080/knärot/A 53409-2022 karta knärot.png", "A 53409-2022")</f>
        <v/>
      </c>
      <c r="AA849">
        <f>HYPERLINK("https://klasma.github.io/Logging_2080/klagomål/A 53409-2022 FSC-klagomål.docx", "A 53409-2022")</f>
        <v/>
      </c>
      <c r="AB849">
        <f>HYPERLINK("https://klasma.github.io/Logging_2080/klagomålsmail/A 53409-2022 FSC-klagomål mail.docx", "A 53409-2022")</f>
        <v/>
      </c>
      <c r="AC849">
        <f>HYPERLINK("https://klasma.github.io/Logging_2080/tillsyn/A 53409-2022 tillsynsbegäran.docx", "A 53409-2022")</f>
        <v/>
      </c>
      <c r="AD849">
        <f>HYPERLINK("https://klasma.github.io/Logging_2080/tillsynsmail/A 53409-2022 tillsynsbegäran mail.docx", "A 53409-2022")</f>
        <v/>
      </c>
    </row>
    <row r="850" ht="15" customHeight="1">
      <c r="A850" t="inlineStr">
        <is>
          <t>A 33898-2022</t>
        </is>
      </c>
      <c r="B850" t="inlineStr">
        <is>
          <t>avverkningsanmälan</t>
        </is>
      </c>
      <c r="C850" t="inlineStr">
        <is>
          <t>Föryngringsavverkning</t>
        </is>
      </c>
      <c r="D850" s="1" t="n">
        <v>44790</v>
      </c>
      <c r="E850" s="1" t="n">
        <v>46319</v>
      </c>
      <c r="F850" t="inlineStr">
        <is>
          <t>DALARNAS LÄN</t>
        </is>
      </c>
      <c r="G850" t="inlineStr">
        <is>
          <t>VANSBRO</t>
        </is>
      </c>
      <c r="I850" t="n">
        <v>2.8</v>
      </c>
      <c r="J850" t="n">
        <v>2</v>
      </c>
      <c r="K850" t="n">
        <v>0</v>
      </c>
      <c r="L850" t="n">
        <v>0</v>
      </c>
      <c r="M850" t="n">
        <v>1</v>
      </c>
      <c r="N850" t="n">
        <v>0</v>
      </c>
      <c r="O850" t="n">
        <v>0</v>
      </c>
      <c r="P850" t="n">
        <v>0</v>
      </c>
      <c r="Q850" t="n">
        <v>1</v>
      </c>
      <c r="R850" t="n">
        <v>1</v>
      </c>
      <c r="S850" t="n">
        <v>2</v>
      </c>
      <c r="T850" t="n">
        <v>2</v>
      </c>
      <c r="U850" t="n">
        <v>2</v>
      </c>
      <c r="V850" s="2" t="inlineStr">
        <is>
          <t>Knärot
Kungsfågel</t>
        </is>
      </c>
      <c r="W850">
        <f>HYPERLINK("https://klasma.github.io/Logging_2021/artfynd/A 33898-2022 artfynd.xlsx", "A 33898-2022")</f>
        <v/>
      </c>
      <c r="X850">
        <f>HYPERLINK("https://klasma.github.io/Logging_2021/kartor/A 33898-2022 karta.png", "A 33898-2022")</f>
        <v/>
      </c>
      <c r="Y850">
        <f>HYPERLINK("https://klasma.github.io/Logging_2021/kartor_geotiff/A 33898-2022 georefererad karta.tif", "A 33898-2022")</f>
        <v/>
      </c>
      <c r="Z850">
        <f>HYPERLINK("https://klasma.github.io/Logging_2021/knärot/A 33898-2022 karta knärot.png", "A 33898-2022")</f>
        <v/>
      </c>
      <c r="AA850">
        <f>HYPERLINK("https://klasma.github.io/Logging_2021/klagomål/A 33898-2022 FSC-klagomål.docx", "A 33898-2022")</f>
        <v/>
      </c>
      <c r="AB850">
        <f>HYPERLINK("https://klasma.github.io/Logging_2021/klagomålsmail/A 33898-2022 FSC-klagomål mail.docx", "A 33898-2022")</f>
        <v/>
      </c>
      <c r="AC850">
        <f>HYPERLINK("https://klasma.github.io/Logging_2021/tillsyn/A 33898-2022 tillsynsbegäran.docx", "A 33898-2022")</f>
        <v/>
      </c>
      <c r="AD850">
        <f>HYPERLINK("https://klasma.github.io/Logging_2021/tillsynsmail/A 33898-2022 tillsynsbegäran mail.docx", "A 33898-2022")</f>
        <v/>
      </c>
    </row>
    <row r="851" ht="15" customHeight="1">
      <c r="A851" t="inlineStr">
        <is>
          <t>A 53127-2022</t>
        </is>
      </c>
      <c r="B851" t="inlineStr">
        <is>
          <t>avverkningsanmälan</t>
        </is>
      </c>
      <c r="C851" t="inlineStr">
        <is>
          <t>Föryngringsavverkning</t>
        </is>
      </c>
      <c r="D851" s="1" t="n">
        <v>44876</v>
      </c>
      <c r="E851" s="1" t="n">
        <v>46319</v>
      </c>
      <c r="F851" t="inlineStr">
        <is>
          <t>DALARNAS LÄN</t>
        </is>
      </c>
      <c r="G851" t="inlineStr">
        <is>
          <t>SÄTER</t>
        </is>
      </c>
      <c r="H851" t="inlineStr">
        <is>
          <t>Kyrkan</t>
        </is>
      </c>
      <c r="I851" t="n">
        <v>8.5</v>
      </c>
      <c r="J851" t="n">
        <v>1</v>
      </c>
      <c r="K851" t="n">
        <v>0</v>
      </c>
      <c r="L851" t="n">
        <v>2</v>
      </c>
      <c r="M851" t="n">
        <v>0</v>
      </c>
      <c r="N851" t="n">
        <v>0</v>
      </c>
      <c r="O851" t="n">
        <v>0</v>
      </c>
      <c r="P851" t="n">
        <v>0</v>
      </c>
      <c r="Q851" t="n">
        <v>2</v>
      </c>
      <c r="R851" t="n">
        <v>0</v>
      </c>
      <c r="S851" t="n">
        <v>2</v>
      </c>
      <c r="T851" t="n">
        <v>2</v>
      </c>
      <c r="U851" t="n">
        <v>2</v>
      </c>
      <c r="V851" s="2" t="inlineStr">
        <is>
          <t>Motaggsvamp
Talltita</t>
        </is>
      </c>
      <c r="W851">
        <f>HYPERLINK("https://klasma.github.io/Logging_2082/artfynd/A 53127-2022 artfynd.xlsx", "A 53127-2022")</f>
        <v/>
      </c>
      <c r="X851">
        <f>HYPERLINK("https://klasma.github.io/Logging_2082/kartor/A 53127-2022 karta.png", "A 53127-2022")</f>
        <v/>
      </c>
      <c r="Y851">
        <f>HYPERLINK("https://klasma.github.io/Logging_2082/kartor_geotiff/A 53127-2022 georefererad karta.tif", "A 53127-2022")</f>
        <v/>
      </c>
      <c r="AA851">
        <f>HYPERLINK("https://klasma.github.io/Logging_2082/klagomål/A 53127-2022 FSC-klagomål.docx", "A 53127-2022")</f>
        <v/>
      </c>
      <c r="AB851">
        <f>HYPERLINK("https://klasma.github.io/Logging_2082/klagomålsmail/A 53127-2022 FSC-klagomål mail.docx", "A 53127-2022")</f>
        <v/>
      </c>
      <c r="AC851">
        <f>HYPERLINK("https://klasma.github.io/Logging_2082/tillsyn/A 53127-2022 tillsynsbegäran.docx", "A 53127-2022")</f>
        <v/>
      </c>
      <c r="AD851">
        <f>HYPERLINK("https://klasma.github.io/Logging_2082/tillsynsmail/A 53127-2022 tillsynsbegäran mail.docx", "A 53127-2022")</f>
        <v/>
      </c>
      <c r="AE851">
        <f>HYPERLINK("https://klasma.github.io/Logging_2082/fåglar/A 53127-2022 prioriterade fågelarter.docx", "A 53127-2022")</f>
        <v/>
      </c>
    </row>
    <row r="852" ht="15" customHeight="1">
      <c r="A852" t="inlineStr">
        <is>
          <t>A 27461-2022</t>
        </is>
      </c>
      <c r="B852" t="inlineStr">
        <is>
          <t>avverkningsanmälan</t>
        </is>
      </c>
      <c r="C852" t="inlineStr">
        <is>
          <t>Föryngringsavverkning</t>
        </is>
      </c>
      <c r="D852" s="1" t="n">
        <v>44742</v>
      </c>
      <c r="E852" s="1" t="n">
        <v>46319</v>
      </c>
      <c r="F852" t="inlineStr">
        <is>
          <t>DALARNAS LÄN</t>
        </is>
      </c>
      <c r="G852" t="inlineStr">
        <is>
          <t>MORA</t>
        </is>
      </c>
      <c r="H852" t="inlineStr">
        <is>
          <t>Bergvik skog väst AB</t>
        </is>
      </c>
      <c r="I852" t="n">
        <v>1.4</v>
      </c>
      <c r="J852" t="n">
        <v>1</v>
      </c>
      <c r="K852" t="n">
        <v>1</v>
      </c>
      <c r="L852" t="n">
        <v>0</v>
      </c>
      <c r="M852" t="n">
        <v>1</v>
      </c>
      <c r="N852" t="n">
        <v>0</v>
      </c>
      <c r="O852" t="n">
        <v>0</v>
      </c>
      <c r="P852" t="n">
        <v>0</v>
      </c>
      <c r="Q852" t="n">
        <v>1</v>
      </c>
      <c r="R852" t="n">
        <v>1</v>
      </c>
      <c r="S852" t="n">
        <v>2</v>
      </c>
      <c r="T852" t="n">
        <v>10</v>
      </c>
      <c r="U852" t="n">
        <v>10</v>
      </c>
      <c r="V852" s="2" t="inlineStr">
        <is>
          <t>Knärot
Kransrams</t>
        </is>
      </c>
      <c r="W852">
        <f>HYPERLINK("https://klasma.github.io/Logging_2062/artfynd/A 27461-2022 artfynd.xlsx", "A 27461-2022")</f>
        <v/>
      </c>
      <c r="X852">
        <f>HYPERLINK("https://klasma.github.io/Logging_2062/kartor/A 27461-2022 karta.png", "A 27461-2022")</f>
        <v/>
      </c>
      <c r="Y852">
        <f>HYPERLINK("https://klasma.github.io/Logging_2062/kartor_geotiff/A 27461-2022 georefererad karta.tif", "A 27461-2022")</f>
        <v/>
      </c>
      <c r="Z852">
        <f>HYPERLINK("https://klasma.github.io/Logging_2062/knärot/A 27461-2022 karta knärot.png", "A 27461-2022")</f>
        <v/>
      </c>
      <c r="AA852">
        <f>HYPERLINK("https://klasma.github.io/Logging_2062/klagomål/A 27461-2022 FSC-klagomål.docx", "A 27461-2022")</f>
        <v/>
      </c>
      <c r="AB852">
        <f>HYPERLINK("https://klasma.github.io/Logging_2062/klagomålsmail/A 27461-2022 FSC-klagomål mail.docx", "A 27461-2022")</f>
        <v/>
      </c>
      <c r="AC852">
        <f>HYPERLINK("https://klasma.github.io/Logging_2062/tillsyn/A 27461-2022 tillsynsbegäran.docx", "A 27461-2022")</f>
        <v/>
      </c>
      <c r="AD852">
        <f>HYPERLINK("https://klasma.github.io/Logging_2062/tillsynsmail/A 27461-2022 tillsynsbegäran mail.docx", "A 27461-2022")</f>
        <v/>
      </c>
    </row>
    <row r="853" ht="15" customHeight="1">
      <c r="A853" t="inlineStr">
        <is>
          <t>A 20142-2022</t>
        </is>
      </c>
      <c r="B853" t="inlineStr">
        <is>
          <t>avverkningsanmälan</t>
        </is>
      </c>
      <c r="C853" t="inlineStr">
        <is>
          <t>Föryngringsavverkning</t>
        </is>
      </c>
      <c r="D853" s="1" t="n">
        <v>44698</v>
      </c>
      <c r="E853" s="1" t="n">
        <v>46319</v>
      </c>
      <c r="F853" t="inlineStr">
        <is>
          <t>DALARNAS LÄN</t>
        </is>
      </c>
      <c r="G853" t="inlineStr">
        <is>
          <t>FALUN</t>
        </is>
      </c>
      <c r="H853" t="inlineStr">
        <is>
          <t>Bergvik skog väst AB</t>
        </is>
      </c>
      <c r="I853" t="n">
        <v>1.9</v>
      </c>
      <c r="J853" t="n">
        <v>1</v>
      </c>
      <c r="K853" t="n">
        <v>0</v>
      </c>
      <c r="L853" t="n">
        <v>0</v>
      </c>
      <c r="M853" t="n">
        <v>1</v>
      </c>
      <c r="N853" t="n">
        <v>0</v>
      </c>
      <c r="O853" t="n">
        <v>0</v>
      </c>
      <c r="P853" t="n">
        <v>0</v>
      </c>
      <c r="Q853" t="n">
        <v>1</v>
      </c>
      <c r="R853" t="n">
        <v>1</v>
      </c>
      <c r="S853" t="n">
        <v>2</v>
      </c>
      <c r="T853" t="n">
        <v>3</v>
      </c>
      <c r="U853" t="n">
        <v>3</v>
      </c>
      <c r="V853" s="2" t="inlineStr">
        <is>
          <t>Garnlav
Fläcknycklar</t>
        </is>
      </c>
      <c r="W853">
        <f>HYPERLINK("https://klasma.github.io/Logging_2080/artfynd/A 20142-2022 artfynd.xlsx", "A 20142-2022")</f>
        <v/>
      </c>
      <c r="X853">
        <f>HYPERLINK("https://klasma.github.io/Logging_2080/kartor/A 20142-2022 karta.png", "A 20142-2022")</f>
        <v/>
      </c>
      <c r="Y853">
        <f>HYPERLINK("https://klasma.github.io/Logging_2080/kartor_geotiff/A 20142-2022 georefererad karta.tif", "A 20142-2022")</f>
        <v/>
      </c>
      <c r="AA853">
        <f>HYPERLINK("https://klasma.github.io/Logging_2080/klagomål/A 20142-2022 FSC-klagomål.docx", "A 20142-2022")</f>
        <v/>
      </c>
      <c r="AB853">
        <f>HYPERLINK("https://klasma.github.io/Logging_2080/klagomålsmail/A 20142-2022 FSC-klagomål mail.docx", "A 20142-2022")</f>
        <v/>
      </c>
      <c r="AC853">
        <f>HYPERLINK("https://klasma.github.io/Logging_2080/tillsyn/A 20142-2022 tillsynsbegäran.docx", "A 20142-2022")</f>
        <v/>
      </c>
      <c r="AD853">
        <f>HYPERLINK("https://klasma.github.io/Logging_2080/tillsynsmail/A 20142-2022 tillsynsbegäran mail.docx", "A 20142-2022")</f>
        <v/>
      </c>
    </row>
    <row r="854" ht="15" customHeight="1">
      <c r="A854" t="inlineStr">
        <is>
          <t>A 67282-2021</t>
        </is>
      </c>
      <c r="B854" t="inlineStr">
        <is>
          <t>avverkningsanmälan</t>
        </is>
      </c>
      <c r="C854" t="inlineStr">
        <is>
          <t>Föryngringsavverkning</t>
        </is>
      </c>
      <c r="D854" s="1" t="n">
        <v>44523</v>
      </c>
      <c r="E854" s="1" t="n">
        <v>46319</v>
      </c>
      <c r="F854" t="inlineStr">
        <is>
          <t>DALARNAS LÄN</t>
        </is>
      </c>
      <c r="G854" t="inlineStr">
        <is>
          <t>HEDEMORA</t>
        </is>
      </c>
      <c r="H854" t="inlineStr">
        <is>
          <t>Övriga Aktiebolag</t>
        </is>
      </c>
      <c r="I854" t="n">
        <v>3.2</v>
      </c>
      <c r="J854" t="n">
        <v>1</v>
      </c>
      <c r="K854" t="n">
        <v>1</v>
      </c>
      <c r="L854" t="n">
        <v>0</v>
      </c>
      <c r="M854" t="n">
        <v>0</v>
      </c>
      <c r="N854" t="n">
        <v>0</v>
      </c>
      <c r="O854" t="n">
        <v>0</v>
      </c>
      <c r="P854" t="n">
        <v>0</v>
      </c>
      <c r="Q854" t="n">
        <v>0</v>
      </c>
      <c r="R854" t="n">
        <v>0</v>
      </c>
      <c r="S854" t="n">
        <v>2</v>
      </c>
      <c r="T854" t="n">
        <v>2</v>
      </c>
      <c r="U854" t="n">
        <v>2</v>
      </c>
      <c r="V854" s="2" t="inlineStr">
        <is>
          <t>Vågbandad barkbock
Revlummer</t>
        </is>
      </c>
      <c r="W854">
        <f>HYPERLINK("https://klasma.github.io/Logging_2083/artfynd/A 67282-2021 artfynd.xlsx", "A 67282-2021")</f>
        <v/>
      </c>
      <c r="X854">
        <f>HYPERLINK("https://klasma.github.io/Logging_2083/kartor/A 67282-2021 karta.png", "A 67282-2021")</f>
        <v/>
      </c>
      <c r="Y854">
        <f>HYPERLINK("https://klasma.github.io/Logging_2083/kartor_geotiff/A 67282-2021 georefererad karta.tif", "A 67282-2021")</f>
        <v/>
      </c>
      <c r="AA854">
        <f>HYPERLINK("https://klasma.github.io/Logging_2083/klagomål/A 67282-2021 FSC-klagomål.docx", "A 67282-2021")</f>
        <v/>
      </c>
      <c r="AB854">
        <f>HYPERLINK("https://klasma.github.io/Logging_2083/klagomålsmail/A 67282-2021 FSC-klagomål mail.docx", "A 67282-2021")</f>
        <v/>
      </c>
      <c r="AC854">
        <f>HYPERLINK("https://klasma.github.io/Logging_2083/tillsyn/A 67282-2021 tillsynsbegäran.docx", "A 67282-2021")</f>
        <v/>
      </c>
      <c r="AD854">
        <f>HYPERLINK("https://klasma.github.io/Logging_2083/tillsynsmail/A 67282-2021 tillsynsbegäran mail.docx", "A 67282-2021")</f>
        <v/>
      </c>
    </row>
    <row r="855" ht="15" customHeight="1">
      <c r="A855" t="inlineStr">
        <is>
          <t>A 41870-2022</t>
        </is>
      </c>
      <c r="B855" t="inlineStr">
        <is>
          <t>avverkningsanmälan</t>
        </is>
      </c>
      <c r="C855" t="inlineStr">
        <is>
          <t>Föryngringsavverkning</t>
        </is>
      </c>
      <c r="D855" s="1" t="n">
        <v>44829</v>
      </c>
      <c r="E855" s="1" t="n">
        <v>46319</v>
      </c>
      <c r="F855" t="inlineStr">
        <is>
          <t>DALARNAS LÄN</t>
        </is>
      </c>
      <c r="G855" t="inlineStr">
        <is>
          <t>SMEDJEBACKEN</t>
        </is>
      </c>
      <c r="I855" t="n">
        <v>0.7</v>
      </c>
      <c r="J855" t="n">
        <v>0</v>
      </c>
      <c r="K855" t="n">
        <v>1</v>
      </c>
      <c r="L855" t="n">
        <v>1</v>
      </c>
      <c r="M855" t="n">
        <v>0</v>
      </c>
      <c r="N855" t="n">
        <v>0</v>
      </c>
      <c r="O855" t="n">
        <v>0</v>
      </c>
      <c r="P855" t="n">
        <v>0</v>
      </c>
      <c r="Q855" t="n">
        <v>1</v>
      </c>
      <c r="R855" t="n">
        <v>0</v>
      </c>
      <c r="S855" t="n">
        <v>2</v>
      </c>
      <c r="T855" t="n">
        <v>2</v>
      </c>
      <c r="U855" t="n">
        <v>2</v>
      </c>
      <c r="V855" s="2" t="inlineStr">
        <is>
          <t>Dropptaggsvamp
Blomkålssvamp</t>
        </is>
      </c>
      <c r="W855">
        <f>HYPERLINK("https://klasma.github.io/Logging_2061/artfynd/A 41870-2022 artfynd.xlsx", "A 41870-2022")</f>
        <v/>
      </c>
      <c r="X855">
        <f>HYPERLINK("https://klasma.github.io/Logging_2061/kartor/A 41870-2022 karta.png", "A 41870-2022")</f>
        <v/>
      </c>
      <c r="Y855">
        <f>HYPERLINK("https://klasma.github.io/Logging_2061/kartor_geotiff/A 41870-2022 georefererad karta.tif", "A 41870-2022")</f>
        <v/>
      </c>
      <c r="AA855">
        <f>HYPERLINK("https://klasma.github.io/Logging_2061/klagomål/A 41870-2022 FSC-klagomål.docx", "A 41870-2022")</f>
        <v/>
      </c>
      <c r="AB855">
        <f>HYPERLINK("https://klasma.github.io/Logging_2061/klagomålsmail/A 41870-2022 FSC-klagomål mail.docx", "A 41870-2022")</f>
        <v/>
      </c>
      <c r="AC855">
        <f>HYPERLINK("https://klasma.github.io/Logging_2061/tillsyn/A 41870-2022 tillsynsbegäran.docx", "A 41870-2022")</f>
        <v/>
      </c>
      <c r="AD855">
        <f>HYPERLINK("https://klasma.github.io/Logging_2061/tillsynsmail/A 41870-2022 tillsynsbegäran mail.docx", "A 41870-2022")</f>
        <v/>
      </c>
    </row>
    <row r="856" ht="15" customHeight="1">
      <c r="A856" t="inlineStr">
        <is>
          <t>A 39546-2025</t>
        </is>
      </c>
      <c r="B856" t="inlineStr">
        <is>
          <t>avverkningsanmälan</t>
        </is>
      </c>
      <c r="C856" t="inlineStr">
        <is>
          <t>Föryngringsavverkning</t>
        </is>
      </c>
      <c r="D856" s="1" t="n">
        <v>45890</v>
      </c>
      <c r="E856" s="1" t="n">
        <v>46319</v>
      </c>
      <c r="F856" t="inlineStr">
        <is>
          <t>DALARNAS LÄN</t>
        </is>
      </c>
      <c r="G856" t="inlineStr">
        <is>
          <t>LEKSAND</t>
        </is>
      </c>
      <c r="I856" t="n">
        <v>4.6</v>
      </c>
      <c r="J856" t="n">
        <v>0</v>
      </c>
      <c r="K856" t="n">
        <v>1</v>
      </c>
      <c r="L856" t="n">
        <v>0</v>
      </c>
      <c r="M856" t="n">
        <v>1</v>
      </c>
      <c r="N856" t="n">
        <v>0</v>
      </c>
      <c r="O856" t="n">
        <v>0</v>
      </c>
      <c r="P856" t="n">
        <v>0</v>
      </c>
      <c r="Q856" t="n">
        <v>1</v>
      </c>
      <c r="R856" t="n">
        <v>1</v>
      </c>
      <c r="S856" t="n">
        <v>2</v>
      </c>
      <c r="T856" t="n">
        <v>2</v>
      </c>
      <c r="U856" t="n">
        <v>1</v>
      </c>
      <c r="V856" s="2" t="inlineStr">
        <is>
          <t>Aspgelélav
Stuplav</t>
        </is>
      </c>
      <c r="W856">
        <f>HYPERLINK("https://klasma.github.io/Logging_2029/artfynd/A 39546-2025 artfynd.xlsx", "A 39546-2025")</f>
        <v/>
      </c>
      <c r="X856">
        <f>HYPERLINK("https://klasma.github.io/Logging_2029/kartor/A 39546-2025 karta.png", "A 39546-2025")</f>
        <v/>
      </c>
      <c r="Y856">
        <f>HYPERLINK("https://klasma.github.io/Logging_2029/kartor_geotiff/A 39546-2025 georefererad karta.tif", "A 39546-2025")</f>
        <v/>
      </c>
      <c r="AA856">
        <f>HYPERLINK("https://klasma.github.io/Logging_2029/klagomål/A 39546-2025 FSC-klagomål.docx", "A 39546-2025")</f>
        <v/>
      </c>
      <c r="AB856">
        <f>HYPERLINK("https://klasma.github.io/Logging_2029/klagomålsmail/A 39546-2025 FSC-klagomål mail.docx", "A 39546-2025")</f>
        <v/>
      </c>
      <c r="AC856">
        <f>HYPERLINK("https://klasma.github.io/Logging_2029/tillsyn/A 39546-2025 tillsynsbegäran.docx", "A 39546-2025")</f>
        <v/>
      </c>
      <c r="AD856">
        <f>HYPERLINK("https://klasma.github.io/Logging_2029/tillsynsmail/A 39546-2025 tillsynsbegäran mail.docx", "A 39546-2025")</f>
        <v/>
      </c>
    </row>
    <row r="857" ht="15" customHeight="1">
      <c r="A857" t="inlineStr">
        <is>
          <t>A 41477-2023</t>
        </is>
      </c>
      <c r="B857" t="inlineStr">
        <is>
          <t>avverkningsanmälan</t>
        </is>
      </c>
      <c r="C857" t="inlineStr">
        <is>
          <t>Föryngringsavverkning</t>
        </is>
      </c>
      <c r="D857" s="1" t="n">
        <v>45171</v>
      </c>
      <c r="E857" s="1" t="n">
        <v>46319</v>
      </c>
      <c r="F857" t="inlineStr">
        <is>
          <t>DALARNAS LÄN</t>
        </is>
      </c>
      <c r="G857" t="inlineStr">
        <is>
          <t>HEDEMORA</t>
        </is>
      </c>
      <c r="H857" t="inlineStr">
        <is>
          <t>Bergvik skog väst AB</t>
        </is>
      </c>
      <c r="I857" t="n">
        <v>9.1</v>
      </c>
      <c r="J857" t="n">
        <v>0</v>
      </c>
      <c r="K857" t="n">
        <v>1</v>
      </c>
      <c r="L857" t="n">
        <v>1</v>
      </c>
      <c r="M857" t="n">
        <v>0</v>
      </c>
      <c r="N857" t="n">
        <v>0</v>
      </c>
      <c r="O857" t="n">
        <v>0</v>
      </c>
      <c r="P857" t="n">
        <v>0</v>
      </c>
      <c r="Q857" t="n">
        <v>1</v>
      </c>
      <c r="R857" t="n">
        <v>0</v>
      </c>
      <c r="S857" t="n">
        <v>2</v>
      </c>
      <c r="T857" t="n">
        <v>2</v>
      </c>
      <c r="U857" t="n">
        <v>2</v>
      </c>
      <c r="V857" s="2" t="inlineStr">
        <is>
          <t>Gullpudra
Ögonpyrola</t>
        </is>
      </c>
      <c r="W857">
        <f>HYPERLINK("https://klasma.github.io/Logging_2083/artfynd/A 41477-2023 artfynd.xlsx", "A 41477-2023")</f>
        <v/>
      </c>
      <c r="X857">
        <f>HYPERLINK("https://klasma.github.io/Logging_2083/kartor/A 41477-2023 karta.png", "A 41477-2023")</f>
        <v/>
      </c>
      <c r="Y857">
        <f>HYPERLINK("https://klasma.github.io/Logging_2083/kartor_geotiff/A 41477-2023 georefererad karta.tif", "A 41477-2023")</f>
        <v/>
      </c>
      <c r="AA857">
        <f>HYPERLINK("https://klasma.github.io/Logging_2083/klagomål/A 41477-2023 FSC-klagomål.docx", "A 41477-2023")</f>
        <v/>
      </c>
      <c r="AB857">
        <f>HYPERLINK("https://klasma.github.io/Logging_2083/klagomålsmail/A 41477-2023 FSC-klagomål mail.docx", "A 41477-2023")</f>
        <v/>
      </c>
      <c r="AC857">
        <f>HYPERLINK("https://klasma.github.io/Logging_2083/tillsyn/A 41477-2023 tillsynsbegäran.docx", "A 41477-2023")</f>
        <v/>
      </c>
      <c r="AD857">
        <f>HYPERLINK("https://klasma.github.io/Logging_2083/tillsynsmail/A 41477-2023 tillsynsbegäran mail.docx", "A 41477-2023")</f>
        <v/>
      </c>
    </row>
    <row r="858" ht="15" customHeight="1">
      <c r="A858" t="inlineStr">
        <is>
          <t>A 40354-2025</t>
        </is>
      </c>
      <c r="B858" t="inlineStr">
        <is>
          <t>avverkningsanmälan</t>
        </is>
      </c>
      <c r="C858" t="inlineStr">
        <is>
          <t>Föryngringsavverkning</t>
        </is>
      </c>
      <c r="D858" s="1" t="n">
        <v>45895</v>
      </c>
      <c r="E858" s="1" t="n">
        <v>46319</v>
      </c>
      <c r="F858" t="inlineStr">
        <is>
          <t>DALARNAS LÄN</t>
        </is>
      </c>
      <c r="G858" t="inlineStr">
        <is>
          <t>MALUNG-SÄLEN</t>
        </is>
      </c>
      <c r="H858" t="inlineStr">
        <is>
          <t>Bergvik skog öst AB</t>
        </is>
      </c>
      <c r="I858" t="n">
        <v>0.7</v>
      </c>
      <c r="J858" t="n">
        <v>1</v>
      </c>
      <c r="K858" t="n">
        <v>0</v>
      </c>
      <c r="L858" t="n">
        <v>0</v>
      </c>
      <c r="M858" t="n">
        <v>2</v>
      </c>
      <c r="N858" t="n">
        <v>0</v>
      </c>
      <c r="O858" t="n">
        <v>0</v>
      </c>
      <c r="P858" t="n">
        <v>0</v>
      </c>
      <c r="Q858" t="n">
        <v>2</v>
      </c>
      <c r="R858" t="n">
        <v>2</v>
      </c>
      <c r="S858" t="n">
        <v>2</v>
      </c>
      <c r="T858" t="n">
        <v>2</v>
      </c>
      <c r="U858" t="n">
        <v>0</v>
      </c>
      <c r="V858" s="2" t="inlineStr">
        <is>
          <t>Garnlav
Knärot</t>
        </is>
      </c>
      <c r="W858">
        <f>HYPERLINK("https://klasma.github.io/Logging_2023/artfynd/A 40354-2025 artfynd.xlsx", "A 40354-2025")</f>
        <v/>
      </c>
      <c r="X858">
        <f>HYPERLINK("https://klasma.github.io/Logging_2023/kartor/A 40354-2025 karta.png", "A 40354-2025")</f>
        <v/>
      </c>
      <c r="Y858">
        <f>HYPERLINK("https://klasma.github.io/Logging_2023/kartor_geotiff/A 40354-2025 georefererad karta.tif", "A 40354-2025")</f>
        <v/>
      </c>
      <c r="Z858">
        <f>HYPERLINK("https://klasma.github.io/Logging_2023/knärot/A 40354-2025 karta knärot.png", "A 40354-2025")</f>
        <v/>
      </c>
      <c r="AA858">
        <f>HYPERLINK("https://klasma.github.io/Logging_2023/klagomål/A 40354-2025 FSC-klagomål.docx", "A 40354-2025")</f>
        <v/>
      </c>
      <c r="AB858">
        <f>HYPERLINK("https://klasma.github.io/Logging_2023/klagomålsmail/A 40354-2025 FSC-klagomål mail.docx", "A 40354-2025")</f>
        <v/>
      </c>
      <c r="AC858">
        <f>HYPERLINK("https://klasma.github.io/Logging_2023/tillsyn/A 40354-2025 tillsynsbegäran.docx", "A 40354-2025")</f>
        <v/>
      </c>
      <c r="AD858">
        <f>HYPERLINK("https://klasma.github.io/Logging_2023/tillsynsmail/A 40354-2025 tillsynsbegäran mail.docx", "A 40354-2025")</f>
        <v/>
      </c>
    </row>
    <row r="859" ht="15" customHeight="1">
      <c r="A859" t="inlineStr">
        <is>
          <t>A 41050-2025</t>
        </is>
      </c>
      <c r="B859" t="inlineStr">
        <is>
          <t>avverkningsanmälan</t>
        </is>
      </c>
      <c r="C859" t="inlineStr">
        <is>
          <t>Föryngringsavverkning</t>
        </is>
      </c>
      <c r="D859" s="1" t="n">
        <v>45898</v>
      </c>
      <c r="E859" s="1" t="n">
        <v>46319</v>
      </c>
      <c r="F859" t="inlineStr">
        <is>
          <t>DALARNAS LÄN</t>
        </is>
      </c>
      <c r="G859" t="inlineStr">
        <is>
          <t>FALUN</t>
        </is>
      </c>
      <c r="I859" t="n">
        <v>4.7</v>
      </c>
      <c r="J859" t="n">
        <v>1</v>
      </c>
      <c r="K859" t="n">
        <v>0</v>
      </c>
      <c r="L859" t="n">
        <v>1</v>
      </c>
      <c r="M859" t="n">
        <v>1</v>
      </c>
      <c r="N859" t="n">
        <v>0</v>
      </c>
      <c r="O859" t="n">
        <v>0</v>
      </c>
      <c r="P859" t="n">
        <v>0</v>
      </c>
      <c r="Q859" t="n">
        <v>2</v>
      </c>
      <c r="R859" t="n">
        <v>1</v>
      </c>
      <c r="S859" t="n">
        <v>2</v>
      </c>
      <c r="T859" t="n">
        <v>2</v>
      </c>
      <c r="U859" t="n">
        <v>0</v>
      </c>
      <c r="V859" s="2" t="inlineStr">
        <is>
          <t>Knärot
Motaggsvamp</t>
        </is>
      </c>
      <c r="W859">
        <f>HYPERLINK("https://klasma.github.io/Logging_2080/artfynd/A 41050-2025 artfynd.xlsx", "A 41050-2025")</f>
        <v/>
      </c>
      <c r="X859">
        <f>HYPERLINK("https://klasma.github.io/Logging_2080/kartor/A 41050-2025 karta.png", "A 41050-2025")</f>
        <v/>
      </c>
      <c r="Y859">
        <f>HYPERLINK("https://klasma.github.io/Logging_2080/kartor_geotiff/A 41050-2025 georefererad karta.tif", "A 41050-2025")</f>
        <v/>
      </c>
      <c r="Z859">
        <f>HYPERLINK("https://klasma.github.io/Logging_2080/knärot/A 41050-2025 karta knärot.png", "A 41050-2025")</f>
        <v/>
      </c>
      <c r="AA859">
        <f>HYPERLINK("https://klasma.github.io/Logging_2080/klagomål/A 41050-2025 FSC-klagomål.docx", "A 41050-2025")</f>
        <v/>
      </c>
      <c r="AB859">
        <f>HYPERLINK("https://klasma.github.io/Logging_2080/klagomålsmail/A 41050-2025 FSC-klagomål mail.docx", "A 41050-2025")</f>
        <v/>
      </c>
      <c r="AC859">
        <f>HYPERLINK("https://klasma.github.io/Logging_2080/tillsyn/A 41050-2025 tillsynsbegäran.docx", "A 41050-2025")</f>
        <v/>
      </c>
      <c r="AD859">
        <f>HYPERLINK("https://klasma.github.io/Logging_2080/tillsynsmail/A 41050-2025 tillsynsbegäran mail.docx", "A 41050-2025")</f>
        <v/>
      </c>
    </row>
    <row r="860" ht="15" customHeight="1">
      <c r="A860" t="inlineStr">
        <is>
          <t>A 34932-2024</t>
        </is>
      </c>
      <c r="B860" t="inlineStr">
        <is>
          <t>avverkningsanmälan</t>
        </is>
      </c>
      <c r="C860" t="inlineStr">
        <is>
          <t>Föryngringsavverkning</t>
        </is>
      </c>
      <c r="D860" s="1" t="n">
        <v>45527</v>
      </c>
      <c r="E860" s="1" t="n">
        <v>46319</v>
      </c>
      <c r="F860" t="inlineStr">
        <is>
          <t>DALARNAS LÄN</t>
        </is>
      </c>
      <c r="G860" t="inlineStr">
        <is>
          <t>HEDEMORA</t>
        </is>
      </c>
      <c r="H860" t="inlineStr">
        <is>
          <t>Sveaskog</t>
        </is>
      </c>
      <c r="I860" t="n">
        <v>2.4</v>
      </c>
      <c r="J860" t="n">
        <v>2</v>
      </c>
      <c r="K860" t="n">
        <v>0</v>
      </c>
      <c r="L860" t="n">
        <v>0</v>
      </c>
      <c r="M860" t="n">
        <v>0</v>
      </c>
      <c r="N860" t="n">
        <v>0</v>
      </c>
      <c r="O860" t="n">
        <v>0</v>
      </c>
      <c r="P860" t="n">
        <v>0</v>
      </c>
      <c r="Q860" t="n">
        <v>0</v>
      </c>
      <c r="R860" t="n">
        <v>0</v>
      </c>
      <c r="S860" t="n">
        <v>2</v>
      </c>
      <c r="T860" t="n">
        <v>12</v>
      </c>
      <c r="U860" t="n">
        <v>12</v>
      </c>
      <c r="V860" s="2" t="inlineStr">
        <is>
          <t>Fläcknycklar
Nattviol</t>
        </is>
      </c>
      <c r="W860">
        <f>HYPERLINK("https://klasma.github.io/Logging_2083/artfynd/A 34932-2024 artfynd.xlsx", "A 34932-2024")</f>
        <v/>
      </c>
      <c r="X860">
        <f>HYPERLINK("https://klasma.github.io/Logging_2083/kartor/A 34932-2024 karta.png", "A 34932-2024")</f>
        <v/>
      </c>
      <c r="Y860">
        <f>HYPERLINK("https://klasma.github.io/Logging_2083/kartor_geotiff/A 34932-2024 georefererad karta.tif", "A 34932-2024")</f>
        <v/>
      </c>
      <c r="AA860">
        <f>HYPERLINK("https://klasma.github.io/Logging_2083/klagomål/A 34932-2024 FSC-klagomål.docx", "A 34932-2024")</f>
        <v/>
      </c>
      <c r="AB860">
        <f>HYPERLINK("https://klasma.github.io/Logging_2083/klagomålsmail/A 34932-2024 FSC-klagomål mail.docx", "A 34932-2024")</f>
        <v/>
      </c>
      <c r="AC860">
        <f>HYPERLINK("https://klasma.github.io/Logging_2083/tillsyn/A 34932-2024 tillsynsbegäran.docx", "A 34932-2024")</f>
        <v/>
      </c>
      <c r="AD860">
        <f>HYPERLINK("https://klasma.github.io/Logging_2083/tillsynsmail/A 34932-2024 tillsynsbegäran mail.docx", "A 34932-2024")</f>
        <v/>
      </c>
    </row>
    <row r="861" ht="15" customHeight="1">
      <c r="A861" t="inlineStr">
        <is>
          <t>A 59826-2023</t>
        </is>
      </c>
      <c r="B861" t="inlineStr">
        <is>
          <t>avverkningsanmälan</t>
        </is>
      </c>
      <c r="C861" t="inlineStr">
        <is>
          <t>Föryngringsavverkning</t>
        </is>
      </c>
      <c r="D861" s="1" t="n">
        <v>45254</v>
      </c>
      <c r="E861" s="1" t="n">
        <v>46319</v>
      </c>
      <c r="F861" t="inlineStr">
        <is>
          <t>DALARNAS LÄN</t>
        </is>
      </c>
      <c r="G861" t="inlineStr">
        <is>
          <t>LEKSAND</t>
        </is>
      </c>
      <c r="I861" t="n">
        <v>1.1</v>
      </c>
      <c r="J861" t="n">
        <v>0</v>
      </c>
      <c r="K861" t="n">
        <v>1</v>
      </c>
      <c r="L861" t="n">
        <v>1</v>
      </c>
      <c r="M861" t="n">
        <v>0</v>
      </c>
      <c r="N861" t="n">
        <v>0</v>
      </c>
      <c r="O861" t="n">
        <v>0</v>
      </c>
      <c r="P861" t="n">
        <v>0</v>
      </c>
      <c r="Q861" t="n">
        <v>1</v>
      </c>
      <c r="R861" t="n">
        <v>0</v>
      </c>
      <c r="S861" t="n">
        <v>2</v>
      </c>
      <c r="T861" t="n">
        <v>2</v>
      </c>
      <c r="U861" t="n">
        <v>0</v>
      </c>
      <c r="V861" s="2" t="inlineStr">
        <is>
          <t>Stiftgelélav
Skinnlav</t>
        </is>
      </c>
      <c r="W861">
        <f>HYPERLINK("https://klasma.github.io/Logging_2029/artfynd/A 59826-2023 artfynd.xlsx", "A 59826-2023")</f>
        <v/>
      </c>
      <c r="X861">
        <f>HYPERLINK("https://klasma.github.io/Logging_2029/kartor/A 59826-2023 karta.png", "A 59826-2023")</f>
        <v/>
      </c>
      <c r="Y861">
        <f>HYPERLINK("https://klasma.github.io/Logging_2029/kartor_geotiff/A 59826-2023 georefererad karta.tif", "A 59826-2023")</f>
        <v/>
      </c>
      <c r="AA861">
        <f>HYPERLINK("https://klasma.github.io/Logging_2029/klagomål/A 59826-2023 FSC-klagomål.docx", "A 59826-2023")</f>
        <v/>
      </c>
      <c r="AB861">
        <f>HYPERLINK("https://klasma.github.io/Logging_2029/klagomålsmail/A 59826-2023 FSC-klagomål mail.docx", "A 59826-2023")</f>
        <v/>
      </c>
      <c r="AC861">
        <f>HYPERLINK("https://klasma.github.io/Logging_2029/tillsyn/A 59826-2023 tillsynsbegäran.docx", "A 59826-2023")</f>
        <v/>
      </c>
      <c r="AD861">
        <f>HYPERLINK("https://klasma.github.io/Logging_2029/tillsynsmail/A 59826-2023 tillsynsbegäran mail.docx", "A 59826-2023")</f>
        <v/>
      </c>
    </row>
    <row r="862" ht="15" customHeight="1">
      <c r="A862" t="inlineStr">
        <is>
          <t>A 42327-2025</t>
        </is>
      </c>
      <c r="B862" t="inlineStr">
        <is>
          <t>avverkningsanmälan</t>
        </is>
      </c>
      <c r="C862" t="inlineStr">
        <is>
          <t>Föryngringsavverkning</t>
        </is>
      </c>
      <c r="D862" s="1" t="n">
        <v>45904</v>
      </c>
      <c r="E862" s="1" t="n">
        <v>46319</v>
      </c>
      <c r="F862" t="inlineStr">
        <is>
          <t>DALARNAS LÄN</t>
        </is>
      </c>
      <c r="G862" t="inlineStr">
        <is>
          <t>ORSA</t>
        </is>
      </c>
      <c r="I862" t="n">
        <v>1.6</v>
      </c>
      <c r="J862" t="n">
        <v>2</v>
      </c>
      <c r="K862" t="n">
        <v>0</v>
      </c>
      <c r="L862" t="n">
        <v>2</v>
      </c>
      <c r="M862" t="n">
        <v>0</v>
      </c>
      <c r="N862" t="n">
        <v>0</v>
      </c>
      <c r="O862" t="n">
        <v>0</v>
      </c>
      <c r="P862" t="n">
        <v>0</v>
      </c>
      <c r="Q862" t="n">
        <v>2</v>
      </c>
      <c r="R862" t="n">
        <v>0</v>
      </c>
      <c r="S862" t="n">
        <v>2</v>
      </c>
      <c r="T862" t="n">
        <v>2</v>
      </c>
      <c r="U862" t="n">
        <v>0</v>
      </c>
      <c r="V862" s="2" t="inlineStr">
        <is>
          <t>Grönsångare
Lavskrika</t>
        </is>
      </c>
      <c r="W862">
        <f>HYPERLINK("https://klasma.github.io/Logging_2034/artfynd/A 42327-2025 artfynd.xlsx", "A 42327-2025")</f>
        <v/>
      </c>
      <c r="X862">
        <f>HYPERLINK("https://klasma.github.io/Logging_2034/kartor/A 42327-2025 karta.png", "A 42327-2025")</f>
        <v/>
      </c>
      <c r="Y862">
        <f>HYPERLINK("https://klasma.github.io/Logging_2034/kartor_geotiff/A 42327-2025 georefererad karta.tif", "A 42327-2025")</f>
        <v/>
      </c>
      <c r="AA862">
        <f>HYPERLINK("https://klasma.github.io/Logging_2034/klagomål/A 42327-2025 FSC-klagomål.docx", "A 42327-2025")</f>
        <v/>
      </c>
      <c r="AB862">
        <f>HYPERLINK("https://klasma.github.io/Logging_2034/klagomålsmail/A 42327-2025 FSC-klagomål mail.docx", "A 42327-2025")</f>
        <v/>
      </c>
      <c r="AC862">
        <f>HYPERLINK("https://klasma.github.io/Logging_2034/tillsyn/A 42327-2025 tillsynsbegäran.docx", "A 42327-2025")</f>
        <v/>
      </c>
      <c r="AD862">
        <f>HYPERLINK("https://klasma.github.io/Logging_2034/tillsynsmail/A 42327-2025 tillsynsbegäran mail.docx", "A 42327-2025")</f>
        <v/>
      </c>
      <c r="AE862">
        <f>HYPERLINK("https://klasma.github.io/Logging_2034/fåglar/A 42327-2025 prioriterade fågelarter.docx", "A 42327-2025")</f>
        <v/>
      </c>
    </row>
    <row r="863" ht="15" customHeight="1">
      <c r="A863" t="inlineStr">
        <is>
          <t>A 60150-2023</t>
        </is>
      </c>
      <c r="B863" t="inlineStr">
        <is>
          <t>avverkningsanmälan</t>
        </is>
      </c>
      <c r="C863" t="inlineStr">
        <is>
          <t>Föryngringsavverkning</t>
        </is>
      </c>
      <c r="D863" s="1" t="n">
        <v>45258</v>
      </c>
      <c r="E863" s="1" t="n">
        <v>46319</v>
      </c>
      <c r="F863" t="inlineStr">
        <is>
          <t>DALARNAS LÄN</t>
        </is>
      </c>
      <c r="G863" t="inlineStr">
        <is>
          <t>BORLÄNGE</t>
        </is>
      </c>
      <c r="I863" t="n">
        <v>2.7</v>
      </c>
      <c r="J863" t="n">
        <v>1</v>
      </c>
      <c r="K863" t="n">
        <v>1</v>
      </c>
      <c r="L863" t="n">
        <v>0</v>
      </c>
      <c r="M863" t="n">
        <v>0</v>
      </c>
      <c r="N863" t="n">
        <v>0</v>
      </c>
      <c r="O863" t="n">
        <v>0</v>
      </c>
      <c r="P863" t="n">
        <v>0</v>
      </c>
      <c r="Q863" t="n">
        <v>0</v>
      </c>
      <c r="R863" t="n">
        <v>0</v>
      </c>
      <c r="S863" t="n">
        <v>2</v>
      </c>
      <c r="T863" t="n">
        <v>2</v>
      </c>
      <c r="U863" t="n">
        <v>0</v>
      </c>
      <c r="V863" s="2" t="inlineStr">
        <is>
          <t>Trådticka
Utter</t>
        </is>
      </c>
      <c r="W863">
        <f>HYPERLINK("https://klasma.github.io/Logging_2081/artfynd/A 60150-2023 artfynd.xlsx", "A 60150-2023")</f>
        <v/>
      </c>
      <c r="X863">
        <f>HYPERLINK("https://klasma.github.io/Logging_2081/kartor/A 60150-2023 karta.png", "A 60150-2023")</f>
        <v/>
      </c>
      <c r="Y863">
        <f>HYPERLINK("https://klasma.github.io/Logging_2081/kartor_geotiff/A 60150-2023 georefererad karta.tif", "A 60150-2023")</f>
        <v/>
      </c>
      <c r="AA863">
        <f>HYPERLINK("https://klasma.github.io/Logging_2081/klagomål/A 60150-2023 FSC-klagomål.docx", "A 60150-2023")</f>
        <v/>
      </c>
      <c r="AB863">
        <f>HYPERLINK("https://klasma.github.io/Logging_2081/klagomålsmail/A 60150-2023 FSC-klagomål mail.docx", "A 60150-2023")</f>
        <v/>
      </c>
      <c r="AC863">
        <f>HYPERLINK("https://klasma.github.io/Logging_2081/tillsyn/A 60150-2023 tillsynsbegäran.docx", "A 60150-2023")</f>
        <v/>
      </c>
      <c r="AD863">
        <f>HYPERLINK("https://klasma.github.io/Logging_2081/tillsynsmail/A 60150-2023 tillsynsbegäran mail.docx", "A 60150-2023")</f>
        <v/>
      </c>
    </row>
    <row r="864" ht="15" customHeight="1">
      <c r="A864" t="inlineStr">
        <is>
          <t>A 23261-2026</t>
        </is>
      </c>
      <c r="B864" t="inlineStr">
        <is>
          <t>avverkningsanmälan</t>
        </is>
      </c>
      <c r="C864" t="inlineStr">
        <is>
          <t>Föryngringsavverkning</t>
        </is>
      </c>
      <c r="D864" s="1" t="n">
        <v>46162</v>
      </c>
      <c r="E864" s="1" t="n">
        <v>46319</v>
      </c>
      <c r="F864" t="inlineStr">
        <is>
          <t>DALARNAS LÄN</t>
        </is>
      </c>
      <c r="G864" t="inlineStr">
        <is>
          <t>MORA</t>
        </is>
      </c>
      <c r="I864" t="n">
        <v>4.1</v>
      </c>
      <c r="J864" t="n">
        <v>0</v>
      </c>
      <c r="K864" t="n">
        <v>0</v>
      </c>
      <c r="L864" t="n">
        <v>1</v>
      </c>
      <c r="M864" t="n">
        <v>1</v>
      </c>
      <c r="N864" t="n">
        <v>0</v>
      </c>
      <c r="O864" t="n">
        <v>0</v>
      </c>
      <c r="P864" t="n">
        <v>0</v>
      </c>
      <c r="Q864" t="n">
        <v>2</v>
      </c>
      <c r="R864" t="n">
        <v>1</v>
      </c>
      <c r="S864" t="n">
        <v>2</v>
      </c>
      <c r="T864" t="n">
        <v>2</v>
      </c>
      <c r="U864" t="n">
        <v>0</v>
      </c>
      <c r="V864" s="2" t="inlineStr">
        <is>
          <t>Garnlav
Tallticka</t>
        </is>
      </c>
      <c r="W864">
        <f>HYPERLINK("https://klasma.github.io/Logging_2062/artfynd/A 23261-2026 artfynd.xlsx", "A 23261-2026")</f>
        <v/>
      </c>
      <c r="X864">
        <f>HYPERLINK("https://klasma.github.io/Logging_2062/kartor/A 23261-2026 karta.png", "A 23261-2026")</f>
        <v/>
      </c>
      <c r="Y864">
        <f>HYPERLINK("https://klasma.github.io/Logging_2062/kartor_geotiff/A 23261-2026 georefererad karta.tif", "A 23261-2026")</f>
        <v/>
      </c>
      <c r="AA864">
        <f>HYPERLINK("https://klasma.github.io/Logging_2062/klagomål/A 23261-2026 FSC-klagomål.docx", "A 23261-2026")</f>
        <v/>
      </c>
      <c r="AB864">
        <f>HYPERLINK("https://klasma.github.io/Logging_2062/klagomålsmail/A 23261-2026 FSC-klagomål mail.docx", "A 23261-2026")</f>
        <v/>
      </c>
      <c r="AC864">
        <f>HYPERLINK("https://klasma.github.io/Logging_2062/tillsyn/A 23261-2026 tillsynsbegäran.docx", "A 23261-2026")</f>
        <v/>
      </c>
      <c r="AD864">
        <f>HYPERLINK("https://klasma.github.io/Logging_2062/tillsynsmail/A 23261-2026 tillsynsbegäran mail.docx", "A 23261-2026")</f>
        <v/>
      </c>
    </row>
    <row r="865" ht="15" customHeight="1">
      <c r="A865" t="inlineStr">
        <is>
          <t>A 51519-2023</t>
        </is>
      </c>
      <c r="B865" t="inlineStr">
        <is>
          <t>avverkningsanmälan</t>
        </is>
      </c>
      <c r="C865" t="inlineStr">
        <is>
          <t>Föryngringsavverkning</t>
        </is>
      </c>
      <c r="D865" s="1" t="n">
        <v>45222</v>
      </c>
      <c r="E865" s="1" t="n">
        <v>46319</v>
      </c>
      <c r="F865" t="inlineStr">
        <is>
          <t>DALARNAS LÄN</t>
        </is>
      </c>
      <c r="G865" t="inlineStr">
        <is>
          <t>RÄTTVIK</t>
        </is>
      </c>
      <c r="H865" t="inlineStr">
        <is>
          <t>Bergvik skog väst AB</t>
        </is>
      </c>
      <c r="I865" t="n">
        <v>2.4</v>
      </c>
      <c r="J865" t="n">
        <v>0</v>
      </c>
      <c r="K865" t="n">
        <v>1</v>
      </c>
      <c r="L865" t="n">
        <v>0</v>
      </c>
      <c r="M865" t="n">
        <v>1</v>
      </c>
      <c r="N865" t="n">
        <v>0</v>
      </c>
      <c r="O865" t="n">
        <v>0</v>
      </c>
      <c r="P865" t="n">
        <v>0</v>
      </c>
      <c r="Q865" t="n">
        <v>1</v>
      </c>
      <c r="R865" t="n">
        <v>1</v>
      </c>
      <c r="S865" t="n">
        <v>2</v>
      </c>
      <c r="T865" t="n">
        <v>22</v>
      </c>
      <c r="U865" t="n">
        <v>22</v>
      </c>
      <c r="V865" s="2" t="inlineStr">
        <is>
          <t>Garnlav
Bronshjon</t>
        </is>
      </c>
      <c r="W865">
        <f>HYPERLINK("https://klasma.github.io/Logging_2031/artfynd/A 51519-2023 artfynd.xlsx", "A 51519-2023")</f>
        <v/>
      </c>
      <c r="X865">
        <f>HYPERLINK("https://klasma.github.io/Logging_2031/kartor/A 51519-2023 karta.png", "A 51519-2023")</f>
        <v/>
      </c>
      <c r="Y865">
        <f>HYPERLINK("https://klasma.github.io/Logging_2031/kartor_geotiff/A 51519-2023 georefererad karta.tif", "A 51519-2023")</f>
        <v/>
      </c>
      <c r="AA865">
        <f>HYPERLINK("https://klasma.github.io/Logging_2031/klagomål/A 51519-2023 FSC-klagomål.docx", "A 51519-2023")</f>
        <v/>
      </c>
      <c r="AB865">
        <f>HYPERLINK("https://klasma.github.io/Logging_2031/klagomålsmail/A 51519-2023 FSC-klagomål mail.docx", "A 51519-2023")</f>
        <v/>
      </c>
      <c r="AC865">
        <f>HYPERLINK("https://klasma.github.io/Logging_2031/tillsyn/A 51519-2023 tillsynsbegäran.docx", "A 51519-2023")</f>
        <v/>
      </c>
      <c r="AD865">
        <f>HYPERLINK("https://klasma.github.io/Logging_2031/tillsynsmail/A 51519-2023 tillsynsbegäran mail.docx", "A 51519-2023")</f>
        <v/>
      </c>
    </row>
    <row r="866" ht="15" customHeight="1">
      <c r="A866" t="inlineStr">
        <is>
          <t>A 23645-2026</t>
        </is>
      </c>
      <c r="B866" t="inlineStr">
        <is>
          <t>avverkningsanmälan</t>
        </is>
      </c>
      <c r="C866" t="inlineStr">
        <is>
          <t>Föryngringsavverkning</t>
        </is>
      </c>
      <c r="D866" s="1" t="n">
        <v>46163</v>
      </c>
      <c r="E866" s="1" t="n">
        <v>46319</v>
      </c>
      <c r="F866" t="inlineStr">
        <is>
          <t>DALARNAS LÄN</t>
        </is>
      </c>
      <c r="G866" t="inlineStr">
        <is>
          <t>SMEDJEBACKEN</t>
        </is>
      </c>
      <c r="I866" t="n">
        <v>7.4</v>
      </c>
      <c r="J866" t="n">
        <v>1</v>
      </c>
      <c r="K866" t="n">
        <v>2</v>
      </c>
      <c r="L866" t="n">
        <v>0</v>
      </c>
      <c r="M866" t="n">
        <v>0</v>
      </c>
      <c r="N866" t="n">
        <v>0</v>
      </c>
      <c r="O866" t="n">
        <v>0</v>
      </c>
      <c r="P866" t="n">
        <v>0</v>
      </c>
      <c r="Q866" t="n">
        <v>0</v>
      </c>
      <c r="R866" t="n">
        <v>0</v>
      </c>
      <c r="S866" t="n">
        <v>2</v>
      </c>
      <c r="T866" t="n">
        <v>2</v>
      </c>
      <c r="U866" t="n">
        <v>0</v>
      </c>
      <c r="V866" s="2" t="inlineStr">
        <is>
          <t>Korallrot
Ögonpyrola</t>
        </is>
      </c>
      <c r="W866">
        <f>HYPERLINK("https://klasma.github.io/Logging_2061/artfynd/A 23645-2026 artfynd.xlsx", "A 23645-2026")</f>
        <v/>
      </c>
      <c r="X866">
        <f>HYPERLINK("https://klasma.github.io/Logging_2061/kartor/A 23645-2026 karta.png", "A 23645-2026")</f>
        <v/>
      </c>
      <c r="Y866">
        <f>HYPERLINK("https://klasma.github.io/Logging_2061/kartor_geotiff/A 23645-2026 georefererad karta.tif", "A 23645-2026")</f>
        <v/>
      </c>
      <c r="AA866">
        <f>HYPERLINK("https://klasma.github.io/Logging_2061/klagomål/A 23645-2026 FSC-klagomål.docx", "A 23645-2026")</f>
        <v/>
      </c>
      <c r="AB866">
        <f>HYPERLINK("https://klasma.github.io/Logging_2061/klagomålsmail/A 23645-2026 FSC-klagomål mail.docx", "A 23645-2026")</f>
        <v/>
      </c>
      <c r="AC866">
        <f>HYPERLINK("https://klasma.github.io/Logging_2061/tillsyn/A 23645-2026 tillsynsbegäran.docx", "A 23645-2026")</f>
        <v/>
      </c>
      <c r="AD866">
        <f>HYPERLINK("https://klasma.github.io/Logging_2061/tillsynsmail/A 23645-2026 tillsynsbegäran mail.docx", "A 23645-2026")</f>
        <v/>
      </c>
    </row>
    <row r="867" ht="15" customHeight="1">
      <c r="A867" t="inlineStr">
        <is>
          <t>A 44262-2025</t>
        </is>
      </c>
      <c r="B867" t="inlineStr">
        <is>
          <t>avverkningsanmälan</t>
        </is>
      </c>
      <c r="C867" t="inlineStr">
        <is>
          <t>Föryngringsavverkning</t>
        </is>
      </c>
      <c r="D867" s="1" t="n">
        <v>45916</v>
      </c>
      <c r="E867" s="1" t="n">
        <v>46319</v>
      </c>
      <c r="F867" t="inlineStr">
        <is>
          <t>DALARNAS LÄN</t>
        </is>
      </c>
      <c r="G867" t="inlineStr">
        <is>
          <t>LUDVIKA</t>
        </is>
      </c>
      <c r="I867" t="n">
        <v>3</v>
      </c>
      <c r="J867" t="n">
        <v>2</v>
      </c>
      <c r="K867" t="n">
        <v>0</v>
      </c>
      <c r="L867" t="n">
        <v>1</v>
      </c>
      <c r="M867" t="n">
        <v>0</v>
      </c>
      <c r="N867" t="n">
        <v>0</v>
      </c>
      <c r="O867" t="n">
        <v>0</v>
      </c>
      <c r="P867" t="n">
        <v>0</v>
      </c>
      <c r="Q867" t="n">
        <v>1</v>
      </c>
      <c r="R867" t="n">
        <v>0</v>
      </c>
      <c r="S867" t="n">
        <v>2</v>
      </c>
      <c r="T867" t="n">
        <v>6</v>
      </c>
      <c r="U867" t="n">
        <v>0</v>
      </c>
      <c r="V867" s="2" t="inlineStr">
        <is>
          <t>Nordfladdermus
Fläcknycklar</t>
        </is>
      </c>
      <c r="W867">
        <f>HYPERLINK("https://klasma.github.io/Logging_2085/artfynd/A 44262-2025 artfynd.xlsx", "A 44262-2025")</f>
        <v/>
      </c>
      <c r="X867">
        <f>HYPERLINK("https://klasma.github.io/Logging_2085/kartor/A 44262-2025 karta.png", "A 44262-2025")</f>
        <v/>
      </c>
      <c r="Y867">
        <f>HYPERLINK("https://klasma.github.io/Logging_2085/kartor_geotiff/A 44262-2025 georefererad karta.tif", "A 44262-2025")</f>
        <v/>
      </c>
      <c r="AA867">
        <f>HYPERLINK("https://klasma.github.io/Logging_2085/klagomål/A 44262-2025 FSC-klagomål.docx", "A 44262-2025")</f>
        <v/>
      </c>
      <c r="AB867">
        <f>HYPERLINK("https://klasma.github.io/Logging_2085/klagomålsmail/A 44262-2025 FSC-klagomål mail.docx", "A 44262-2025")</f>
        <v/>
      </c>
      <c r="AC867">
        <f>HYPERLINK("https://klasma.github.io/Logging_2085/tillsyn/A 44262-2025 tillsynsbegäran.docx", "A 44262-2025")</f>
        <v/>
      </c>
      <c r="AD867">
        <f>HYPERLINK("https://klasma.github.io/Logging_2085/tillsynsmail/A 44262-2025 tillsynsbegäran mail.docx", "A 44262-2025")</f>
        <v/>
      </c>
    </row>
    <row r="868" ht="15" customHeight="1">
      <c r="A868" t="inlineStr">
        <is>
          <t>A 4682-2025</t>
        </is>
      </c>
      <c r="B868" t="inlineStr">
        <is>
          <t>avverkningsanmälan</t>
        </is>
      </c>
      <c r="C868" t="inlineStr">
        <is>
          <t>Föryngringsavverkning</t>
        </is>
      </c>
      <c r="D868" s="1" t="n">
        <v>45687</v>
      </c>
      <c r="E868" s="1" t="n">
        <v>46319</v>
      </c>
      <c r="F868" t="inlineStr">
        <is>
          <t>DALARNAS LÄN</t>
        </is>
      </c>
      <c r="G868" t="inlineStr">
        <is>
          <t>BORLÄNGE</t>
        </is>
      </c>
      <c r="I868" t="n">
        <v>0.6</v>
      </c>
      <c r="J868" t="n">
        <v>1</v>
      </c>
      <c r="K868" t="n">
        <v>1</v>
      </c>
      <c r="L868" t="n">
        <v>0</v>
      </c>
      <c r="M868" t="n">
        <v>0</v>
      </c>
      <c r="N868" t="n">
        <v>0</v>
      </c>
      <c r="O868" t="n">
        <v>0</v>
      </c>
      <c r="P868" t="n">
        <v>0</v>
      </c>
      <c r="Q868" t="n">
        <v>0</v>
      </c>
      <c r="R868" t="n">
        <v>0</v>
      </c>
      <c r="S868" t="n">
        <v>2</v>
      </c>
      <c r="T868" t="n">
        <v>2</v>
      </c>
      <c r="U868" t="n">
        <v>2</v>
      </c>
      <c r="V868" s="2" t="inlineStr">
        <is>
          <t>Vedticka
Tjäder</t>
        </is>
      </c>
      <c r="W868">
        <f>HYPERLINK("https://klasma.github.io/Logging_2081/artfynd/A 4682-2025 artfynd.xlsx", "A 4682-2025")</f>
        <v/>
      </c>
      <c r="X868">
        <f>HYPERLINK("https://klasma.github.io/Logging_2081/kartor/A 4682-2025 karta.png", "A 4682-2025")</f>
        <v/>
      </c>
      <c r="Y868">
        <f>HYPERLINK("https://klasma.github.io/Logging_2081/kartor_geotiff/A 4682-2025 georefererad karta.tif", "A 4682-2025")</f>
        <v/>
      </c>
      <c r="AA868">
        <f>HYPERLINK("https://klasma.github.io/Logging_2081/klagomål/A 4682-2025 FSC-klagomål.docx", "A 4682-2025")</f>
        <v/>
      </c>
      <c r="AB868">
        <f>HYPERLINK("https://klasma.github.io/Logging_2081/klagomålsmail/A 4682-2025 FSC-klagomål mail.docx", "A 4682-2025")</f>
        <v/>
      </c>
      <c r="AC868">
        <f>HYPERLINK("https://klasma.github.io/Logging_2081/tillsyn/A 4682-2025 tillsynsbegäran.docx", "A 4682-2025")</f>
        <v/>
      </c>
      <c r="AD868">
        <f>HYPERLINK("https://klasma.github.io/Logging_2081/tillsynsmail/A 4682-2025 tillsynsbegäran mail.docx", "A 4682-2025")</f>
        <v/>
      </c>
      <c r="AE868">
        <f>HYPERLINK("https://klasma.github.io/Logging_2081/fåglar/A 4682-2025 prioriterade fågelarter.docx", "A 4682-2025")</f>
        <v/>
      </c>
    </row>
    <row r="869" ht="15" customHeight="1">
      <c r="A869" t="inlineStr">
        <is>
          <t>A 23947-2026</t>
        </is>
      </c>
      <c r="B869" t="inlineStr">
        <is>
          <t>avverkningsanmälan</t>
        </is>
      </c>
      <c r="C869" t="inlineStr">
        <is>
          <t>Föryngringsavverkning</t>
        </is>
      </c>
      <c r="D869" s="1" t="n">
        <v>46167</v>
      </c>
      <c r="E869" s="1" t="n">
        <v>46319</v>
      </c>
      <c r="F869" t="inlineStr">
        <is>
          <t>DALARNAS LÄN</t>
        </is>
      </c>
      <c r="G869" t="inlineStr">
        <is>
          <t>BORLÄNGE</t>
        </is>
      </c>
      <c r="H869" t="inlineStr">
        <is>
          <t>Kommuner</t>
        </is>
      </c>
      <c r="I869" t="n">
        <v>3</v>
      </c>
      <c r="J869" t="n">
        <v>1</v>
      </c>
      <c r="K869" t="n">
        <v>0</v>
      </c>
      <c r="L869" t="n">
        <v>1</v>
      </c>
      <c r="M869" t="n">
        <v>0</v>
      </c>
      <c r="N869" t="n">
        <v>0</v>
      </c>
      <c r="O869" t="n">
        <v>0</v>
      </c>
      <c r="P869" t="n">
        <v>0</v>
      </c>
      <c r="Q869" t="n">
        <v>1</v>
      </c>
      <c r="R869" t="n">
        <v>0</v>
      </c>
      <c r="S869" t="n">
        <v>2</v>
      </c>
      <c r="T869" t="n">
        <v>3</v>
      </c>
      <c r="U869" t="n">
        <v>0</v>
      </c>
      <c r="V869" s="2" t="inlineStr">
        <is>
          <t>Älg
Spillkråka</t>
        </is>
      </c>
      <c r="W869">
        <f>HYPERLINK("https://klasma.github.io/Logging_2081/artfynd/A 23947-2026 artfynd.xlsx", "A 23947-2026")</f>
        <v/>
      </c>
      <c r="X869">
        <f>HYPERLINK("https://klasma.github.io/Logging_2081/kartor/A 23947-2026 karta.png", "A 23947-2026")</f>
        <v/>
      </c>
      <c r="Y869">
        <f>HYPERLINK("https://klasma.github.io/Logging_2081/kartor_geotiff/A 23947-2026 georefererad karta.tif", "A 23947-2026")</f>
        <v/>
      </c>
      <c r="AA869">
        <f>HYPERLINK("https://klasma.github.io/Logging_2081/klagomål/A 23947-2026 FSC-klagomål.docx", "A 23947-2026")</f>
        <v/>
      </c>
      <c r="AB869">
        <f>HYPERLINK("https://klasma.github.io/Logging_2081/klagomålsmail/A 23947-2026 FSC-klagomål mail.docx", "A 23947-2026")</f>
        <v/>
      </c>
      <c r="AC869">
        <f>HYPERLINK("https://klasma.github.io/Logging_2081/tillsyn/A 23947-2026 tillsynsbegäran.docx", "A 23947-2026")</f>
        <v/>
      </c>
      <c r="AD869">
        <f>HYPERLINK("https://klasma.github.io/Logging_2081/tillsynsmail/A 23947-2026 tillsynsbegäran mail.docx", "A 23947-2026")</f>
        <v/>
      </c>
      <c r="AE869">
        <f>HYPERLINK("https://klasma.github.io/Logging_2081/fåglar/A 23947-2026 prioriterade fågelarter.docx", "A 23947-2026")</f>
        <v/>
      </c>
    </row>
    <row r="870" ht="15" customHeight="1">
      <c r="A870" t="inlineStr">
        <is>
          <t>A 45791-2025</t>
        </is>
      </c>
      <c r="B870" t="inlineStr">
        <is>
          <t>avverkningsanmälan</t>
        </is>
      </c>
      <c r="C870" t="inlineStr">
        <is>
          <t>Föryngringsavverkning</t>
        </is>
      </c>
      <c r="D870" s="1" t="n">
        <v>45923</v>
      </c>
      <c r="E870" s="1" t="n">
        <v>46319</v>
      </c>
      <c r="F870" t="inlineStr">
        <is>
          <t>DALARNAS LÄN</t>
        </is>
      </c>
      <c r="G870" t="inlineStr">
        <is>
          <t>LUDVIKA</t>
        </is>
      </c>
      <c r="H870" t="inlineStr">
        <is>
          <t>Bergvik skog väst AB</t>
        </is>
      </c>
      <c r="I870" t="n">
        <v>3.2</v>
      </c>
      <c r="J870" t="n">
        <v>1</v>
      </c>
      <c r="K870" t="n">
        <v>0</v>
      </c>
      <c r="L870" t="n">
        <v>1</v>
      </c>
      <c r="M870" t="n">
        <v>0</v>
      </c>
      <c r="N870" t="n">
        <v>0</v>
      </c>
      <c r="O870" t="n">
        <v>0</v>
      </c>
      <c r="P870" t="n">
        <v>0</v>
      </c>
      <c r="Q870" t="n">
        <v>1</v>
      </c>
      <c r="R870" t="n">
        <v>0</v>
      </c>
      <c r="S870" t="n">
        <v>2</v>
      </c>
      <c r="T870" t="n">
        <v>2</v>
      </c>
      <c r="U870" t="n">
        <v>2</v>
      </c>
      <c r="V870" s="2" t="inlineStr">
        <is>
          <t>Vitfläckig guldvinge
Fläcknycklar</t>
        </is>
      </c>
      <c r="W870">
        <f>HYPERLINK("https://klasma.github.io/Logging_2085/artfynd/A 45791-2025 artfynd.xlsx", "A 45791-2025")</f>
        <v/>
      </c>
      <c r="X870">
        <f>HYPERLINK("https://klasma.github.io/Logging_2085/kartor/A 45791-2025 karta.png", "A 45791-2025")</f>
        <v/>
      </c>
      <c r="Y870">
        <f>HYPERLINK("https://klasma.github.io/Logging_2085/kartor_geotiff/A 45791-2025 georefererad karta.tif", "A 45791-2025")</f>
        <v/>
      </c>
      <c r="AA870">
        <f>HYPERLINK("https://klasma.github.io/Logging_2085/klagomål/A 45791-2025 FSC-klagomål.docx", "A 45791-2025")</f>
        <v/>
      </c>
      <c r="AB870">
        <f>HYPERLINK("https://klasma.github.io/Logging_2085/klagomålsmail/A 45791-2025 FSC-klagomål mail.docx", "A 45791-2025")</f>
        <v/>
      </c>
      <c r="AC870">
        <f>HYPERLINK("https://klasma.github.io/Logging_2085/tillsyn/A 45791-2025 tillsynsbegäran.docx", "A 45791-2025")</f>
        <v/>
      </c>
      <c r="AD870">
        <f>HYPERLINK("https://klasma.github.io/Logging_2085/tillsynsmail/A 45791-2025 tillsynsbegäran mail.docx", "A 45791-2025")</f>
        <v/>
      </c>
    </row>
    <row r="871" ht="15" customHeight="1">
      <c r="A871" t="inlineStr">
        <is>
          <t>A 12034-2024</t>
        </is>
      </c>
      <c r="B871" t="inlineStr">
        <is>
          <t>avverkningsanmälan</t>
        </is>
      </c>
      <c r="C871" t="inlineStr">
        <is>
          <t>Föryngringsavverkning</t>
        </is>
      </c>
      <c r="D871" s="1" t="n">
        <v>45377</v>
      </c>
      <c r="E871" s="1" t="n">
        <v>46319</v>
      </c>
      <c r="F871" t="inlineStr">
        <is>
          <t>DALARNAS LÄN</t>
        </is>
      </c>
      <c r="G871" t="inlineStr">
        <is>
          <t>RÄTTVIK</t>
        </is>
      </c>
      <c r="I871" t="n">
        <v>1.4</v>
      </c>
      <c r="J871" t="n">
        <v>1</v>
      </c>
      <c r="K871" t="n">
        <v>0</v>
      </c>
      <c r="L871" t="n">
        <v>0</v>
      </c>
      <c r="M871" t="n">
        <v>2</v>
      </c>
      <c r="N871" t="n">
        <v>0</v>
      </c>
      <c r="O871" t="n">
        <v>0</v>
      </c>
      <c r="P871" t="n">
        <v>0</v>
      </c>
      <c r="Q871" t="n">
        <v>2</v>
      </c>
      <c r="R871" t="n">
        <v>2</v>
      </c>
      <c r="S871" t="n">
        <v>2</v>
      </c>
      <c r="T871" t="n">
        <v>2</v>
      </c>
      <c r="U871" t="n">
        <v>2</v>
      </c>
      <c r="V871" s="2" t="inlineStr">
        <is>
          <t>Brun gräsfjäril
Violettkantad guldvinge</t>
        </is>
      </c>
      <c r="W871">
        <f>HYPERLINK("https://klasma.github.io/Logging_2031/artfynd/A 12034-2024 artfynd.xlsx", "A 12034-2024")</f>
        <v/>
      </c>
      <c r="X871">
        <f>HYPERLINK("https://klasma.github.io/Logging_2031/kartor/A 12034-2024 karta.png", "A 12034-2024")</f>
        <v/>
      </c>
      <c r="Y871">
        <f>HYPERLINK("https://klasma.github.io/Logging_2031/kartor_geotiff/A 12034-2024 georefererad karta.tif", "A 12034-2024")</f>
        <v/>
      </c>
      <c r="AA871">
        <f>HYPERLINK("https://klasma.github.io/Logging_2031/klagomål/A 12034-2024 FSC-klagomål.docx", "A 12034-2024")</f>
        <v/>
      </c>
      <c r="AB871">
        <f>HYPERLINK("https://klasma.github.io/Logging_2031/klagomålsmail/A 12034-2024 FSC-klagomål mail.docx", "A 12034-2024")</f>
        <v/>
      </c>
      <c r="AC871">
        <f>HYPERLINK("https://klasma.github.io/Logging_2031/tillsyn/A 12034-2024 tillsynsbegäran.docx", "A 12034-2024")</f>
        <v/>
      </c>
      <c r="AD871">
        <f>HYPERLINK("https://klasma.github.io/Logging_2031/tillsynsmail/A 12034-2024 tillsynsbegäran mail.docx", "A 12034-2024")</f>
        <v/>
      </c>
    </row>
    <row r="872" ht="15" customHeight="1">
      <c r="A872" t="inlineStr">
        <is>
          <t>A 46348-2025</t>
        </is>
      </c>
      <c r="B872" t="inlineStr">
        <is>
          <t>avverkningsanmälan</t>
        </is>
      </c>
      <c r="C872" t="inlineStr">
        <is>
          <t>Föryngringsavverkning</t>
        </is>
      </c>
      <c r="D872" s="1" t="n">
        <v>45925</v>
      </c>
      <c r="E872" s="1" t="n">
        <v>46319</v>
      </c>
      <c r="F872" t="inlineStr">
        <is>
          <t>DALARNAS LÄN</t>
        </is>
      </c>
      <c r="G872" t="inlineStr">
        <is>
          <t>MALUNG-SÄLEN</t>
        </is>
      </c>
      <c r="I872" t="n">
        <v>8</v>
      </c>
      <c r="J872" t="n">
        <v>0</v>
      </c>
      <c r="K872" t="n">
        <v>0</v>
      </c>
      <c r="L872" t="n">
        <v>1</v>
      </c>
      <c r="M872" t="n">
        <v>1</v>
      </c>
      <c r="N872" t="n">
        <v>0</v>
      </c>
      <c r="O872" t="n">
        <v>0</v>
      </c>
      <c r="P872" t="n">
        <v>0</v>
      </c>
      <c r="Q872" t="n">
        <v>2</v>
      </c>
      <c r="R872" t="n">
        <v>1</v>
      </c>
      <c r="S872" t="n">
        <v>2</v>
      </c>
      <c r="T872" t="n">
        <v>6</v>
      </c>
      <c r="U872" t="n">
        <v>6</v>
      </c>
      <c r="V872" s="2" t="inlineStr">
        <is>
          <t>Garnlav
Kolflarnlav</t>
        </is>
      </c>
      <c r="W872">
        <f>HYPERLINK("https://klasma.github.io/Logging_2023/artfynd/A 46348-2025 artfynd.xlsx", "A 46348-2025")</f>
        <v/>
      </c>
      <c r="X872">
        <f>HYPERLINK("https://klasma.github.io/Logging_2023/kartor/A 46348-2025 karta.png", "A 46348-2025")</f>
        <v/>
      </c>
      <c r="Y872">
        <f>HYPERLINK("https://klasma.github.io/Logging_2023/kartor_geotiff/A 46348-2025 georefererad karta.tif", "A 46348-2025")</f>
        <v/>
      </c>
      <c r="AA872">
        <f>HYPERLINK("https://klasma.github.io/Logging_2023/klagomål/A 46348-2025 FSC-klagomål.docx", "A 46348-2025")</f>
        <v/>
      </c>
      <c r="AB872">
        <f>HYPERLINK("https://klasma.github.io/Logging_2023/klagomålsmail/A 46348-2025 FSC-klagomål mail.docx", "A 46348-2025")</f>
        <v/>
      </c>
      <c r="AC872">
        <f>HYPERLINK("https://klasma.github.io/Logging_2023/tillsyn/A 46348-2025 tillsynsbegäran.docx", "A 46348-2025")</f>
        <v/>
      </c>
      <c r="AD872">
        <f>HYPERLINK("https://klasma.github.io/Logging_2023/tillsynsmail/A 46348-2025 tillsynsbegäran mail.docx", "A 46348-2025")</f>
        <v/>
      </c>
    </row>
    <row r="873" ht="15" customHeight="1">
      <c r="A873" t="inlineStr">
        <is>
          <t>A 45869-2023</t>
        </is>
      </c>
      <c r="B873" t="inlineStr">
        <is>
          <t>avverkningsanmälan</t>
        </is>
      </c>
      <c r="C873" t="inlineStr">
        <is>
          <t>Föryngringsavverkning</t>
        </is>
      </c>
      <c r="D873" s="1" t="n">
        <v>45195</v>
      </c>
      <c r="E873" s="1" t="n">
        <v>46319</v>
      </c>
      <c r="F873" t="inlineStr">
        <is>
          <t>DALARNAS LÄN</t>
        </is>
      </c>
      <c r="G873" t="inlineStr">
        <is>
          <t>FALUN</t>
        </is>
      </c>
      <c r="I873" t="n">
        <v>2.8</v>
      </c>
      <c r="J873" t="n">
        <v>2</v>
      </c>
      <c r="K873" t="n">
        <v>0</v>
      </c>
      <c r="L873" t="n">
        <v>0</v>
      </c>
      <c r="M873" t="n">
        <v>0</v>
      </c>
      <c r="N873" t="n">
        <v>0</v>
      </c>
      <c r="O873" t="n">
        <v>0</v>
      </c>
      <c r="P873" t="n">
        <v>0</v>
      </c>
      <c r="Q873" t="n">
        <v>0</v>
      </c>
      <c r="R873" t="n">
        <v>0</v>
      </c>
      <c r="S873" t="n">
        <v>2</v>
      </c>
      <c r="T873" t="n">
        <v>2</v>
      </c>
      <c r="U873" t="n">
        <v>2</v>
      </c>
      <c r="V873" s="2" t="inlineStr">
        <is>
          <t>Mindre vattensalamander
Vanlig padda</t>
        </is>
      </c>
      <c r="W873">
        <f>HYPERLINK("https://klasma.github.io/Logging_2080/artfynd/A 45869-2023 artfynd.xlsx", "A 45869-2023")</f>
        <v/>
      </c>
      <c r="X873">
        <f>HYPERLINK("https://klasma.github.io/Logging_2080/kartor/A 45869-2023 karta.png", "A 45869-2023")</f>
        <v/>
      </c>
      <c r="Y873">
        <f>HYPERLINK("https://klasma.github.io/Logging_2080/kartor_geotiff/A 45869-2023 georefererad karta.tif", "A 45869-2023")</f>
        <v/>
      </c>
      <c r="AA873">
        <f>HYPERLINK("https://klasma.github.io/Logging_2080/klagomål/A 45869-2023 FSC-klagomål.docx", "A 45869-2023")</f>
        <v/>
      </c>
      <c r="AB873">
        <f>HYPERLINK("https://klasma.github.io/Logging_2080/klagomålsmail/A 45869-2023 FSC-klagomål mail.docx", "A 45869-2023")</f>
        <v/>
      </c>
      <c r="AC873">
        <f>HYPERLINK("https://klasma.github.io/Logging_2080/tillsyn/A 45869-2023 tillsynsbegäran.docx", "A 45869-2023")</f>
        <v/>
      </c>
      <c r="AD873">
        <f>HYPERLINK("https://klasma.github.io/Logging_2080/tillsynsmail/A 45869-2023 tillsynsbegäran mail.docx", "A 45869-2023")</f>
        <v/>
      </c>
    </row>
    <row r="874" ht="15" customHeight="1">
      <c r="A874" t="inlineStr">
        <is>
          <t>A 48973-2025</t>
        </is>
      </c>
      <c r="B874" t="inlineStr">
        <is>
          <t>avverkningsanmälan</t>
        </is>
      </c>
      <c r="C874" t="inlineStr">
        <is>
          <t>Föryngringsavverkning</t>
        </is>
      </c>
      <c r="D874" s="1" t="n">
        <v>45937</v>
      </c>
      <c r="E874" s="1" t="n">
        <v>46319</v>
      </c>
      <c r="F874" t="inlineStr">
        <is>
          <t>DALARNAS LÄN</t>
        </is>
      </c>
      <c r="G874" t="inlineStr">
        <is>
          <t>ORSA</t>
        </is>
      </c>
      <c r="H874" t="inlineStr">
        <is>
          <t>Bergvik skog öst AB</t>
        </is>
      </c>
      <c r="I874" t="n">
        <v>5</v>
      </c>
      <c r="J874" t="n">
        <v>1</v>
      </c>
      <c r="K874" t="n">
        <v>0</v>
      </c>
      <c r="L874" t="n">
        <v>1</v>
      </c>
      <c r="M874" t="n">
        <v>1</v>
      </c>
      <c r="N874" t="n">
        <v>0</v>
      </c>
      <c r="O874" t="n">
        <v>0</v>
      </c>
      <c r="P874" t="n">
        <v>0</v>
      </c>
      <c r="Q874" t="n">
        <v>2</v>
      </c>
      <c r="R874" t="n">
        <v>1</v>
      </c>
      <c r="S874" t="n">
        <v>2</v>
      </c>
      <c r="T874" t="n">
        <v>4</v>
      </c>
      <c r="U874" t="n">
        <v>4</v>
      </c>
      <c r="V874" s="2" t="inlineStr">
        <is>
          <t>Garnlav
Tretåig hackspett</t>
        </is>
      </c>
      <c r="W874">
        <f>HYPERLINK("https://klasma.github.io/Logging_2034/artfynd/A 48973-2025 artfynd.xlsx", "A 48973-2025")</f>
        <v/>
      </c>
      <c r="X874">
        <f>HYPERLINK("https://klasma.github.io/Logging_2034/kartor/A 48973-2025 karta.png", "A 48973-2025")</f>
        <v/>
      </c>
      <c r="Y874">
        <f>HYPERLINK("https://klasma.github.io/Logging_2034/kartor_geotiff/A 48973-2025 georefererad karta.tif", "A 48973-2025")</f>
        <v/>
      </c>
      <c r="AA874">
        <f>HYPERLINK("https://klasma.github.io/Logging_2034/klagomål/A 48973-2025 FSC-klagomål.docx", "A 48973-2025")</f>
        <v/>
      </c>
      <c r="AB874">
        <f>HYPERLINK("https://klasma.github.io/Logging_2034/klagomålsmail/A 48973-2025 FSC-klagomål mail.docx", "A 48973-2025")</f>
        <v/>
      </c>
      <c r="AC874">
        <f>HYPERLINK("https://klasma.github.io/Logging_2034/tillsyn/A 48973-2025 tillsynsbegäran.docx", "A 48973-2025")</f>
        <v/>
      </c>
      <c r="AD874">
        <f>HYPERLINK("https://klasma.github.io/Logging_2034/tillsynsmail/A 48973-2025 tillsynsbegäran mail.docx", "A 48973-2025")</f>
        <v/>
      </c>
      <c r="AE874">
        <f>HYPERLINK("https://klasma.github.io/Logging_2034/fåglar/A 48973-2025 prioriterade fågelarter.docx", "A 48973-2025")</f>
        <v/>
      </c>
    </row>
    <row r="875" ht="15" customHeight="1">
      <c r="A875" t="inlineStr">
        <is>
          <t>A 49767-2025</t>
        </is>
      </c>
      <c r="B875" t="inlineStr">
        <is>
          <t>avverkningsanmälan</t>
        </is>
      </c>
      <c r="C875" t="inlineStr">
        <is>
          <t>Föryngringsavverkning</t>
        </is>
      </c>
      <c r="D875" s="1" t="n">
        <v>45940</v>
      </c>
      <c r="E875" s="1" t="n">
        <v>46319</v>
      </c>
      <c r="F875" t="inlineStr">
        <is>
          <t>DALARNAS LÄN</t>
        </is>
      </c>
      <c r="G875" t="inlineStr">
        <is>
          <t>LUDVIKA</t>
        </is>
      </c>
      <c r="H875" t="inlineStr">
        <is>
          <t>Bergvik skog väst AB</t>
        </is>
      </c>
      <c r="I875" t="n">
        <v>2.5</v>
      </c>
      <c r="J875" t="n">
        <v>1</v>
      </c>
      <c r="K875" t="n">
        <v>0</v>
      </c>
      <c r="L875" t="n">
        <v>1</v>
      </c>
      <c r="M875" t="n">
        <v>1</v>
      </c>
      <c r="N875" t="n">
        <v>0</v>
      </c>
      <c r="O875" t="n">
        <v>0</v>
      </c>
      <c r="P875" t="n">
        <v>0</v>
      </c>
      <c r="Q875" t="n">
        <v>2</v>
      </c>
      <c r="R875" t="n">
        <v>1</v>
      </c>
      <c r="S875" t="n">
        <v>2</v>
      </c>
      <c r="T875" t="n">
        <v>4</v>
      </c>
      <c r="U875" t="n">
        <v>4</v>
      </c>
      <c r="V875" s="2" t="inlineStr">
        <is>
          <t>Garnlav
Tretåig hackspett</t>
        </is>
      </c>
      <c r="W875">
        <f>HYPERLINK("https://klasma.github.io/Logging_2085/artfynd/A 49767-2025 artfynd.xlsx", "A 49767-2025")</f>
        <v/>
      </c>
      <c r="X875">
        <f>HYPERLINK("https://klasma.github.io/Logging_2085/kartor/A 49767-2025 karta.png", "A 49767-2025")</f>
        <v/>
      </c>
      <c r="Y875">
        <f>HYPERLINK("https://klasma.github.io/Logging_2085/kartor_geotiff/A 49767-2025 georefererad karta.tif", "A 49767-2025")</f>
        <v/>
      </c>
      <c r="AA875">
        <f>HYPERLINK("https://klasma.github.io/Logging_2085/klagomål/A 49767-2025 FSC-klagomål.docx", "A 49767-2025")</f>
        <v/>
      </c>
      <c r="AB875">
        <f>HYPERLINK("https://klasma.github.io/Logging_2085/klagomålsmail/A 49767-2025 FSC-klagomål mail.docx", "A 49767-2025")</f>
        <v/>
      </c>
      <c r="AC875">
        <f>HYPERLINK("https://klasma.github.io/Logging_2085/tillsyn/A 49767-2025 tillsynsbegäran.docx", "A 49767-2025")</f>
        <v/>
      </c>
      <c r="AD875">
        <f>HYPERLINK("https://klasma.github.io/Logging_2085/tillsynsmail/A 49767-2025 tillsynsbegäran mail.docx", "A 49767-2025")</f>
        <v/>
      </c>
      <c r="AE875">
        <f>HYPERLINK("https://klasma.github.io/Logging_2085/fåglar/A 49767-2025 prioriterade fågelarter.docx", "A 49767-2025")</f>
        <v/>
      </c>
    </row>
    <row r="876" ht="15" customHeight="1">
      <c r="A876" t="inlineStr">
        <is>
          <t>A 25420-2026</t>
        </is>
      </c>
      <c r="B876" t="inlineStr">
        <is>
          <t>avverkningsanmälan</t>
        </is>
      </c>
      <c r="C876" t="inlineStr">
        <is>
          <t>Föryngringsavverkning</t>
        </is>
      </c>
      <c r="D876" s="1" t="n">
        <v>46177</v>
      </c>
      <c r="E876" s="1" t="n">
        <v>46319</v>
      </c>
      <c r="F876" t="inlineStr">
        <is>
          <t>DALARNAS LÄN</t>
        </is>
      </c>
      <c r="G876" t="inlineStr">
        <is>
          <t>HEDEMORA</t>
        </is>
      </c>
      <c r="H876" t="inlineStr">
        <is>
          <t>Sveaskog</t>
        </is>
      </c>
      <c r="I876" t="n">
        <v>2.3</v>
      </c>
      <c r="J876" t="n">
        <v>1</v>
      </c>
      <c r="K876" t="n">
        <v>0</v>
      </c>
      <c r="L876" t="n">
        <v>1</v>
      </c>
      <c r="M876" t="n">
        <v>0</v>
      </c>
      <c r="N876" t="n">
        <v>0</v>
      </c>
      <c r="O876" t="n">
        <v>0</v>
      </c>
      <c r="P876" t="n">
        <v>0</v>
      </c>
      <c r="Q876" t="n">
        <v>1</v>
      </c>
      <c r="R876" t="n">
        <v>0</v>
      </c>
      <c r="S876" t="n">
        <v>2</v>
      </c>
      <c r="T876" t="n">
        <v>2</v>
      </c>
      <c r="U876" t="n">
        <v>0</v>
      </c>
      <c r="V876" s="2" t="inlineStr">
        <is>
          <t>Gullpudra
Huggorm</t>
        </is>
      </c>
      <c r="W876">
        <f>HYPERLINK("https://klasma.github.io/Logging_2083/artfynd/A 25420-2026 artfynd.xlsx", "A 25420-2026")</f>
        <v/>
      </c>
      <c r="X876">
        <f>HYPERLINK("https://klasma.github.io/Logging_2083/kartor/A 25420-2026 karta.png", "A 25420-2026")</f>
        <v/>
      </c>
      <c r="Y876">
        <f>HYPERLINK("https://klasma.github.io/Logging_2083/kartor_geotiff/A 25420-2026 georefererad karta.tif", "A 25420-2026")</f>
        <v/>
      </c>
      <c r="AA876">
        <f>HYPERLINK("https://klasma.github.io/Logging_2083/klagomål/A 25420-2026 FSC-klagomål.docx", "A 25420-2026")</f>
        <v/>
      </c>
      <c r="AB876">
        <f>HYPERLINK("https://klasma.github.io/Logging_2083/klagomålsmail/A 25420-2026 FSC-klagomål mail.docx", "A 25420-2026")</f>
        <v/>
      </c>
      <c r="AC876">
        <f>HYPERLINK("https://klasma.github.io/Logging_2083/tillsyn/A 25420-2026 tillsynsbegäran.docx", "A 25420-2026")</f>
        <v/>
      </c>
      <c r="AD876">
        <f>HYPERLINK("https://klasma.github.io/Logging_2083/tillsynsmail/A 25420-2026 tillsynsbegäran mail.docx", "A 25420-2026")</f>
        <v/>
      </c>
    </row>
    <row r="877" ht="15" customHeight="1">
      <c r="A877" t="inlineStr">
        <is>
          <t>A 25520-2026</t>
        </is>
      </c>
      <c r="B877" t="inlineStr">
        <is>
          <t>avverkningsanmälan</t>
        </is>
      </c>
      <c r="C877" t="inlineStr">
        <is>
          <t>Föryngringsavverkning</t>
        </is>
      </c>
      <c r="D877" s="1" t="n">
        <v>46177</v>
      </c>
      <c r="E877" s="1" t="n">
        <v>46319</v>
      </c>
      <c r="F877" t="inlineStr">
        <is>
          <t>DALARNAS LÄN</t>
        </is>
      </c>
      <c r="G877" t="inlineStr">
        <is>
          <t>ÄLVDALEN</t>
        </is>
      </c>
      <c r="H877" t="inlineStr">
        <is>
          <t>Sveaskog</t>
        </is>
      </c>
      <c r="I877" t="n">
        <v>3.9</v>
      </c>
      <c r="J877" t="n">
        <v>0</v>
      </c>
      <c r="K877" t="n">
        <v>0</v>
      </c>
      <c r="L877" t="n">
        <v>2</v>
      </c>
      <c r="M877" t="n">
        <v>0</v>
      </c>
      <c r="N877" t="n">
        <v>0</v>
      </c>
      <c r="O877" t="n">
        <v>0</v>
      </c>
      <c r="P877" t="n">
        <v>0</v>
      </c>
      <c r="Q877" t="n">
        <v>2</v>
      </c>
      <c r="R877" t="n">
        <v>0</v>
      </c>
      <c r="S877" t="n">
        <v>2</v>
      </c>
      <c r="T877" t="n">
        <v>2</v>
      </c>
      <c r="U877" t="n">
        <v>0</v>
      </c>
      <c r="V877" s="2" t="inlineStr">
        <is>
          <t>Kolflarnlav
Mörk kolflarnlav</t>
        </is>
      </c>
      <c r="W877">
        <f>HYPERLINK("https://klasma.github.io/Logging_2039/artfynd/A 25520-2026 artfynd.xlsx", "A 25520-2026")</f>
        <v/>
      </c>
      <c r="X877">
        <f>HYPERLINK("https://klasma.github.io/Logging_2039/kartor/A 25520-2026 karta.png", "A 25520-2026")</f>
        <v/>
      </c>
      <c r="Y877">
        <f>HYPERLINK("https://klasma.github.io/Logging_2039/kartor_geotiff/A 25520-2026 georefererad karta.tif", "A 25520-2026")</f>
        <v/>
      </c>
      <c r="AA877">
        <f>HYPERLINK("https://klasma.github.io/Logging_2039/klagomål/A 25520-2026 FSC-klagomål.docx", "A 25520-2026")</f>
        <v/>
      </c>
      <c r="AB877">
        <f>HYPERLINK("https://klasma.github.io/Logging_2039/klagomålsmail/A 25520-2026 FSC-klagomål mail.docx", "A 25520-2026")</f>
        <v/>
      </c>
      <c r="AC877">
        <f>HYPERLINK("https://klasma.github.io/Logging_2039/tillsyn/A 25520-2026 tillsynsbegäran.docx", "A 25520-2026")</f>
        <v/>
      </c>
      <c r="AD877">
        <f>HYPERLINK("https://klasma.github.io/Logging_2039/tillsynsmail/A 25520-2026 tillsynsbegäran mail.docx", "A 25520-2026")</f>
        <v/>
      </c>
    </row>
    <row r="878" ht="15" customHeight="1">
      <c r="A878" t="inlineStr">
        <is>
          <t>A 51886-2022</t>
        </is>
      </c>
      <c r="B878" t="inlineStr">
        <is>
          <t>avverkningsanmälan</t>
        </is>
      </c>
      <c r="C878" t="inlineStr">
        <is>
          <t>Föryngringsavverkning</t>
        </is>
      </c>
      <c r="D878" s="1" t="n">
        <v>44872</v>
      </c>
      <c r="E878" s="1" t="n">
        <v>46319</v>
      </c>
      <c r="F878" t="inlineStr">
        <is>
          <t>DALARNAS LÄN</t>
        </is>
      </c>
      <c r="G878" t="inlineStr">
        <is>
          <t>LUDVIKA</t>
        </is>
      </c>
      <c r="H878" t="inlineStr">
        <is>
          <t>Bergvik skog väst AB</t>
        </is>
      </c>
      <c r="I878" t="n">
        <v>1.8</v>
      </c>
      <c r="J878" t="n">
        <v>2</v>
      </c>
      <c r="K878" t="n">
        <v>1</v>
      </c>
      <c r="L878" t="n">
        <v>0</v>
      </c>
      <c r="M878" t="n">
        <v>1</v>
      </c>
      <c r="N878" t="n">
        <v>0</v>
      </c>
      <c r="O878" t="n">
        <v>0</v>
      </c>
      <c r="P878" t="n">
        <v>0</v>
      </c>
      <c r="Q878" t="n">
        <v>1</v>
      </c>
      <c r="R878" t="n">
        <v>1</v>
      </c>
      <c r="S878" t="n">
        <v>2</v>
      </c>
      <c r="T878" t="n">
        <v>2</v>
      </c>
      <c r="U878" t="n">
        <v>1</v>
      </c>
      <c r="V878" s="2" t="inlineStr">
        <is>
          <t>Brun gräsfjäril
Tvåblad</t>
        </is>
      </c>
      <c r="W878">
        <f>HYPERLINK("https://klasma.github.io/Logging_2085/artfynd/A 51886-2022 artfynd.xlsx", "A 51886-2022")</f>
        <v/>
      </c>
      <c r="X878">
        <f>HYPERLINK("https://klasma.github.io/Logging_2085/kartor/A 51886-2022 karta.png", "A 51886-2022")</f>
        <v/>
      </c>
      <c r="Y878">
        <f>HYPERLINK("https://klasma.github.io/Logging_2085/kartor_geotiff/A 51886-2022 georefererad karta.tif", "A 51886-2022")</f>
        <v/>
      </c>
      <c r="AA878">
        <f>HYPERLINK("https://klasma.github.io/Logging_2085/klagomål/A 51886-2022 FSC-klagomål.docx", "A 51886-2022")</f>
        <v/>
      </c>
      <c r="AB878">
        <f>HYPERLINK("https://klasma.github.io/Logging_2085/klagomålsmail/A 51886-2022 FSC-klagomål mail.docx", "A 51886-2022")</f>
        <v/>
      </c>
      <c r="AC878">
        <f>HYPERLINK("https://klasma.github.io/Logging_2085/tillsyn/A 51886-2022 tillsynsbegäran.docx", "A 51886-2022")</f>
        <v/>
      </c>
      <c r="AD878">
        <f>HYPERLINK("https://klasma.github.io/Logging_2085/tillsynsmail/A 51886-2022 tillsynsbegäran mail.docx", "A 51886-2022")</f>
        <v/>
      </c>
    </row>
    <row r="879" ht="15" customHeight="1">
      <c r="A879" t="inlineStr">
        <is>
          <t>A 25338-2026</t>
        </is>
      </c>
      <c r="B879" t="inlineStr">
        <is>
          <t>avverkningsanmälan</t>
        </is>
      </c>
      <c r="C879" t="inlineStr">
        <is>
          <t>Föryngringsavverkning</t>
        </is>
      </c>
      <c r="D879" s="1" t="n">
        <v>46176</v>
      </c>
      <c r="E879" s="1" t="n">
        <v>46319</v>
      </c>
      <c r="F879" t="inlineStr">
        <is>
          <t>DALARNAS LÄN</t>
        </is>
      </c>
      <c r="G879" t="inlineStr">
        <is>
          <t>HEDEMORA</t>
        </is>
      </c>
      <c r="H879" t="inlineStr">
        <is>
          <t>Sveaskog</t>
        </is>
      </c>
      <c r="I879" t="n">
        <v>2.2</v>
      </c>
      <c r="J879" t="n">
        <v>2</v>
      </c>
      <c r="K879" t="n">
        <v>0</v>
      </c>
      <c r="L879" t="n">
        <v>0</v>
      </c>
      <c r="M879" t="n">
        <v>0</v>
      </c>
      <c r="N879" t="n">
        <v>0</v>
      </c>
      <c r="O879" t="n">
        <v>0</v>
      </c>
      <c r="P879" t="n">
        <v>0</v>
      </c>
      <c r="Q879" t="n">
        <v>0</v>
      </c>
      <c r="R879" t="n">
        <v>0</v>
      </c>
      <c r="S879" t="n">
        <v>2</v>
      </c>
      <c r="T879" t="n">
        <v>2</v>
      </c>
      <c r="U879" t="n">
        <v>0</v>
      </c>
      <c r="V879" s="2" t="inlineStr">
        <is>
          <t>Åkergroda
Fläcknycklar</t>
        </is>
      </c>
      <c r="W879">
        <f>HYPERLINK("https://klasma.github.io/Logging_2083/artfynd/A 25338-2026 artfynd.xlsx", "A 25338-2026")</f>
        <v/>
      </c>
      <c r="X879">
        <f>HYPERLINK("https://klasma.github.io/Logging_2083/kartor/A 25338-2026 karta.png", "A 25338-2026")</f>
        <v/>
      </c>
      <c r="Y879">
        <f>HYPERLINK("https://klasma.github.io/Logging_2083/kartor_geotiff/A 25338-2026 georefererad karta.tif", "A 25338-2026")</f>
        <v/>
      </c>
      <c r="AA879">
        <f>HYPERLINK("https://klasma.github.io/Logging_2083/klagomål/A 25338-2026 FSC-klagomål.docx", "A 25338-2026")</f>
        <v/>
      </c>
      <c r="AB879">
        <f>HYPERLINK("https://klasma.github.io/Logging_2083/klagomålsmail/A 25338-2026 FSC-klagomål mail.docx", "A 25338-2026")</f>
        <v/>
      </c>
      <c r="AC879">
        <f>HYPERLINK("https://klasma.github.io/Logging_2083/tillsyn/A 25338-2026 tillsynsbegäran.docx", "A 25338-2026")</f>
        <v/>
      </c>
      <c r="AD879">
        <f>HYPERLINK("https://klasma.github.io/Logging_2083/tillsynsmail/A 25338-2026 tillsynsbegäran mail.docx", "A 25338-2026")</f>
        <v/>
      </c>
    </row>
    <row r="880" ht="15" customHeight="1">
      <c r="A880" t="inlineStr">
        <is>
          <t>A 21423-2023</t>
        </is>
      </c>
      <c r="B880" t="inlineStr">
        <is>
          <t>avverkningsanmälan</t>
        </is>
      </c>
      <c r="C880" t="inlineStr">
        <is>
          <t>Föryngringsavverkning</t>
        </is>
      </c>
      <c r="D880" s="1" t="n">
        <v>45063</v>
      </c>
      <c r="E880" s="1" t="n">
        <v>46319</v>
      </c>
      <c r="F880" t="inlineStr">
        <is>
          <t>DALARNAS LÄN</t>
        </is>
      </c>
      <c r="G880" t="inlineStr">
        <is>
          <t>SMEDJEBACKEN</t>
        </is>
      </c>
      <c r="H880" t="inlineStr">
        <is>
          <t>Bergvik skog väst AB</t>
        </is>
      </c>
      <c r="I880" t="n">
        <v>0.5</v>
      </c>
      <c r="J880" t="n">
        <v>1</v>
      </c>
      <c r="K880" t="n">
        <v>0</v>
      </c>
      <c r="L880" t="n">
        <v>1</v>
      </c>
      <c r="M880" t="n">
        <v>0</v>
      </c>
      <c r="N880" t="n">
        <v>0</v>
      </c>
      <c r="O880" t="n">
        <v>0</v>
      </c>
      <c r="P880" t="n">
        <v>0</v>
      </c>
      <c r="Q880" t="n">
        <v>1</v>
      </c>
      <c r="R880" t="n">
        <v>0</v>
      </c>
      <c r="S880" t="n">
        <v>2</v>
      </c>
      <c r="T880" t="n">
        <v>2</v>
      </c>
      <c r="U880" t="n">
        <v>2</v>
      </c>
      <c r="V880" s="2" t="inlineStr">
        <is>
          <t>Tallkötticka
Törnskata</t>
        </is>
      </c>
      <c r="W880">
        <f>HYPERLINK("https://klasma.github.io/Logging_2061/artfynd/A 21423-2023 artfynd.xlsx", "A 21423-2023")</f>
        <v/>
      </c>
      <c r="X880">
        <f>HYPERLINK("https://klasma.github.io/Logging_2061/kartor/A 21423-2023 karta.png", "A 21423-2023")</f>
        <v/>
      </c>
      <c r="Y880">
        <f>HYPERLINK("https://klasma.github.io/Logging_2061/kartor_geotiff/A 21423-2023 georefererad karta.tif", "A 21423-2023")</f>
        <v/>
      </c>
      <c r="AA880">
        <f>HYPERLINK("https://klasma.github.io/Logging_2061/klagomål/A 21423-2023 FSC-klagomål.docx", "A 21423-2023")</f>
        <v/>
      </c>
      <c r="AB880">
        <f>HYPERLINK("https://klasma.github.io/Logging_2061/klagomålsmail/A 21423-2023 FSC-klagomål mail.docx", "A 21423-2023")</f>
        <v/>
      </c>
      <c r="AC880">
        <f>HYPERLINK("https://klasma.github.io/Logging_2061/tillsyn/A 21423-2023 tillsynsbegäran.docx", "A 21423-2023")</f>
        <v/>
      </c>
      <c r="AD880">
        <f>HYPERLINK("https://klasma.github.io/Logging_2061/tillsynsmail/A 21423-2023 tillsynsbegäran mail.docx", "A 21423-2023")</f>
        <v/>
      </c>
      <c r="AE880">
        <f>HYPERLINK("https://klasma.github.io/Logging_2061/fåglar/A 21423-2023 prioriterade fågelarter.docx", "A 21423-2023")</f>
        <v/>
      </c>
    </row>
    <row r="881" ht="15" customHeight="1">
      <c r="A881" t="inlineStr">
        <is>
          <t>A 18024-2026</t>
        </is>
      </c>
      <c r="B881" t="inlineStr">
        <is>
          <t>avverkningsanmälan</t>
        </is>
      </c>
      <c r="C881" t="inlineStr">
        <is>
          <t>Avverkning för att bevara och utveckla /försöksver</t>
        </is>
      </c>
      <c r="D881" s="1" t="n">
        <v>46125</v>
      </c>
      <c r="E881" s="1" t="n">
        <v>46319</v>
      </c>
      <c r="F881" t="inlineStr">
        <is>
          <t>DALARNAS LÄN</t>
        </is>
      </c>
      <c r="G881" t="inlineStr">
        <is>
          <t>LUDVIKA</t>
        </is>
      </c>
      <c r="H881" t="inlineStr">
        <is>
          <t>Bergvik skog väst AB</t>
        </is>
      </c>
      <c r="I881" t="n">
        <v>1.9</v>
      </c>
      <c r="J881" t="n">
        <v>0</v>
      </c>
      <c r="K881" t="n">
        <v>2</v>
      </c>
      <c r="L881" t="n">
        <v>0</v>
      </c>
      <c r="M881" t="n">
        <v>0</v>
      </c>
      <c r="N881" t="n">
        <v>0</v>
      </c>
      <c r="O881" t="n">
        <v>0</v>
      </c>
      <c r="P881" t="n">
        <v>0</v>
      </c>
      <c r="Q881" t="n">
        <v>0</v>
      </c>
      <c r="R881" t="n">
        <v>0</v>
      </c>
      <c r="S881" t="n">
        <v>2</v>
      </c>
      <c r="T881" t="n">
        <v>2</v>
      </c>
      <c r="U881" t="n">
        <v>0</v>
      </c>
      <c r="V881" s="2" t="inlineStr">
        <is>
          <t>Skinnlav
Svavelriska</t>
        </is>
      </c>
      <c r="W881">
        <f>HYPERLINK("https://klasma.github.io/Logging_2085/artfynd/A 18024-2026 artfynd.xlsx", "A 18024-2026")</f>
        <v/>
      </c>
      <c r="X881">
        <f>HYPERLINK("https://klasma.github.io/Logging_2085/kartor/A 18024-2026 karta.png", "A 18024-2026")</f>
        <v/>
      </c>
      <c r="Y881">
        <f>HYPERLINK("https://klasma.github.io/Logging_2085/kartor_geotiff/A 18024-2026 georefererad karta.tif", "A 18024-2026")</f>
        <v/>
      </c>
      <c r="AA881">
        <f>HYPERLINK("https://klasma.github.io/Logging_2085/klagomål/A 18024-2026 FSC-klagomål.docx", "A 18024-2026")</f>
        <v/>
      </c>
      <c r="AB881">
        <f>HYPERLINK("https://klasma.github.io/Logging_2085/klagomålsmail/A 18024-2026 FSC-klagomål mail.docx", "A 18024-2026")</f>
        <v/>
      </c>
      <c r="AC881">
        <f>HYPERLINK("https://klasma.github.io/Logging_2085/tillsyn/A 18024-2026 tillsynsbegäran.docx", "A 18024-2026")</f>
        <v/>
      </c>
      <c r="AD881">
        <f>HYPERLINK("https://klasma.github.io/Logging_2085/tillsynsmail/A 18024-2026 tillsynsbegäran mail.docx", "A 18024-2026")</f>
        <v/>
      </c>
    </row>
    <row r="882" ht="15" customHeight="1">
      <c r="A882" t="inlineStr">
        <is>
          <t>A 25884-2026</t>
        </is>
      </c>
      <c r="B882" t="inlineStr">
        <is>
          <t>avverkningsanmälan</t>
        </is>
      </c>
      <c r="C882" t="inlineStr">
        <is>
          <t>Föryngringsavverkning</t>
        </is>
      </c>
      <c r="D882" s="1" t="n">
        <v>46178</v>
      </c>
      <c r="E882" s="1" t="n">
        <v>46319</v>
      </c>
      <c r="F882" t="inlineStr">
        <is>
          <t>DALARNAS LÄN</t>
        </is>
      </c>
      <c r="G882" t="inlineStr">
        <is>
          <t>HEDEMORA</t>
        </is>
      </c>
      <c r="H882" t="inlineStr">
        <is>
          <t>Sveaskog</t>
        </is>
      </c>
      <c r="I882" t="n">
        <v>2.1</v>
      </c>
      <c r="J882" t="n">
        <v>2</v>
      </c>
      <c r="K882" t="n">
        <v>0</v>
      </c>
      <c r="L882" t="n">
        <v>1</v>
      </c>
      <c r="M882" t="n">
        <v>0</v>
      </c>
      <c r="N882" t="n">
        <v>0</v>
      </c>
      <c r="O882" t="n">
        <v>0</v>
      </c>
      <c r="P882" t="n">
        <v>0</v>
      </c>
      <c r="Q882" t="n">
        <v>1</v>
      </c>
      <c r="R882" t="n">
        <v>0</v>
      </c>
      <c r="S882" t="n">
        <v>2</v>
      </c>
      <c r="T882" t="n">
        <v>2</v>
      </c>
      <c r="U882" t="n">
        <v>0</v>
      </c>
      <c r="V882" s="2" t="inlineStr">
        <is>
          <t>Kungsörn
Tjäder</t>
        </is>
      </c>
      <c r="W882">
        <f>HYPERLINK("https://klasma.github.io/Logging_2083/artfynd/A 25884-2026 artfynd.xlsx", "A 25884-2026")</f>
        <v/>
      </c>
      <c r="X882">
        <f>HYPERLINK("https://klasma.github.io/Logging_2083/kartor/A 25884-2026 karta.png", "A 25884-2026")</f>
        <v/>
      </c>
      <c r="Y882">
        <f>HYPERLINK("https://klasma.github.io/Logging_2083/kartor_geotiff/A 25884-2026 georefererad karta.tif", "A 25884-2026")</f>
        <v/>
      </c>
      <c r="AA882">
        <f>HYPERLINK("https://klasma.github.io/Logging_2083/klagomål/A 25884-2026 FSC-klagomål.docx", "A 25884-2026")</f>
        <v/>
      </c>
      <c r="AB882">
        <f>HYPERLINK("https://klasma.github.io/Logging_2083/klagomålsmail/A 25884-2026 FSC-klagomål mail.docx", "A 25884-2026")</f>
        <v/>
      </c>
      <c r="AC882">
        <f>HYPERLINK("https://klasma.github.io/Logging_2083/tillsyn/A 25884-2026 tillsynsbegäran.docx", "A 25884-2026")</f>
        <v/>
      </c>
      <c r="AD882">
        <f>HYPERLINK("https://klasma.github.io/Logging_2083/tillsynsmail/A 25884-2026 tillsynsbegäran mail.docx", "A 25884-2026")</f>
        <v/>
      </c>
      <c r="AE882">
        <f>HYPERLINK("https://klasma.github.io/Logging_2083/fåglar/A 25884-2026 prioriterade fågelarter.docx", "A 25884-2026")</f>
        <v/>
      </c>
    </row>
    <row r="883" ht="15" customHeight="1">
      <c r="A883" t="inlineStr">
        <is>
          <t>A 25876-2026</t>
        </is>
      </c>
      <c r="B883" t="inlineStr">
        <is>
          <t>avverkningsanmälan</t>
        </is>
      </c>
      <c r="C883" t="inlineStr">
        <is>
          <t>Föryngringsavverkning</t>
        </is>
      </c>
      <c r="D883" s="1" t="n">
        <v>46178</v>
      </c>
      <c r="E883" s="1" t="n">
        <v>46319</v>
      </c>
      <c r="F883" t="inlineStr">
        <is>
          <t>DALARNAS LÄN</t>
        </is>
      </c>
      <c r="G883" t="inlineStr">
        <is>
          <t>HEDEMORA</t>
        </is>
      </c>
      <c r="H883" t="inlineStr">
        <is>
          <t>Sveaskog</t>
        </is>
      </c>
      <c r="I883" t="n">
        <v>12.1</v>
      </c>
      <c r="J883" t="n">
        <v>1</v>
      </c>
      <c r="K883" t="n">
        <v>1</v>
      </c>
      <c r="L883" t="n">
        <v>0</v>
      </c>
      <c r="M883" t="n">
        <v>1</v>
      </c>
      <c r="N883" t="n">
        <v>0</v>
      </c>
      <c r="O883" t="n">
        <v>0</v>
      </c>
      <c r="P883" t="n">
        <v>0</v>
      </c>
      <c r="Q883" t="n">
        <v>1</v>
      </c>
      <c r="R883" t="n">
        <v>1</v>
      </c>
      <c r="S883" t="n">
        <v>2</v>
      </c>
      <c r="T883" t="n">
        <v>6</v>
      </c>
      <c r="U883" t="n">
        <v>0</v>
      </c>
      <c r="V883" s="2" t="inlineStr">
        <is>
          <t>Knärot
Bronshjon</t>
        </is>
      </c>
      <c r="W883">
        <f>HYPERLINK("https://klasma.github.io/Logging_2083/artfynd/A 25876-2026 artfynd.xlsx", "A 25876-2026")</f>
        <v/>
      </c>
      <c r="X883">
        <f>HYPERLINK("https://klasma.github.io/Logging_2083/kartor/A 25876-2026 karta.png", "A 25876-2026")</f>
        <v/>
      </c>
      <c r="Y883">
        <f>HYPERLINK("https://klasma.github.io/Logging_2083/kartor_geotiff/A 25876-2026 georefererad karta.tif", "A 25876-2026")</f>
        <v/>
      </c>
      <c r="Z883">
        <f>HYPERLINK("https://klasma.github.io/Logging_2083/knärot/A 25876-2026 karta knärot.png", "A 25876-2026")</f>
        <v/>
      </c>
      <c r="AA883">
        <f>HYPERLINK("https://klasma.github.io/Logging_2083/klagomål/A 25876-2026 FSC-klagomål.docx", "A 25876-2026")</f>
        <v/>
      </c>
      <c r="AB883">
        <f>HYPERLINK("https://klasma.github.io/Logging_2083/klagomålsmail/A 25876-2026 FSC-klagomål mail.docx", "A 25876-2026")</f>
        <v/>
      </c>
      <c r="AC883">
        <f>HYPERLINK("https://klasma.github.io/Logging_2083/tillsyn/A 25876-2026 tillsynsbegäran.docx", "A 25876-2026")</f>
        <v/>
      </c>
      <c r="AD883">
        <f>HYPERLINK("https://klasma.github.io/Logging_2083/tillsynsmail/A 25876-2026 tillsynsbegäran mail.docx", "A 25876-2026")</f>
        <v/>
      </c>
    </row>
    <row r="884" ht="15" customHeight="1">
      <c r="A884" t="inlineStr">
        <is>
          <t>A 821-2025</t>
        </is>
      </c>
      <c r="B884" t="inlineStr">
        <is>
          <t>avverkningsanmälan</t>
        </is>
      </c>
      <c r="C884" t="inlineStr">
        <is>
          <t>Föryngringsavverkning</t>
        </is>
      </c>
      <c r="D884" s="1" t="n">
        <v>45665</v>
      </c>
      <c r="E884" s="1" t="n">
        <v>46319</v>
      </c>
      <c r="F884" t="inlineStr">
        <is>
          <t>DALARNAS LÄN</t>
        </is>
      </c>
      <c r="G884" t="inlineStr">
        <is>
          <t>RÄTTVIK</t>
        </is>
      </c>
      <c r="I884" t="n">
        <v>6.4</v>
      </c>
      <c r="J884" t="n">
        <v>2</v>
      </c>
      <c r="K884" t="n">
        <v>1</v>
      </c>
      <c r="L884" t="n">
        <v>0</v>
      </c>
      <c r="M884" t="n">
        <v>0</v>
      </c>
      <c r="N884" t="n">
        <v>0</v>
      </c>
      <c r="O884" t="n">
        <v>0</v>
      </c>
      <c r="P884" t="n">
        <v>0</v>
      </c>
      <c r="Q884" t="n">
        <v>0</v>
      </c>
      <c r="R884" t="n">
        <v>0</v>
      </c>
      <c r="S884" t="n">
        <v>2</v>
      </c>
      <c r="T884" t="n">
        <v>2</v>
      </c>
      <c r="U884" t="n">
        <v>2</v>
      </c>
      <c r="V884" s="2" t="inlineStr">
        <is>
          <t>Tvåblad
Huggorm</t>
        </is>
      </c>
      <c r="W884">
        <f>HYPERLINK("https://klasma.github.io/Logging_2031/artfynd/A 821-2025 artfynd.xlsx", "A 821-2025")</f>
        <v/>
      </c>
      <c r="X884">
        <f>HYPERLINK("https://klasma.github.io/Logging_2031/kartor/A 821-2025 karta.png", "A 821-2025")</f>
        <v/>
      </c>
      <c r="Y884">
        <f>HYPERLINK("https://klasma.github.io/Logging_2031/kartor_geotiff/A 821-2025 georefererad karta.tif", "A 821-2025")</f>
        <v/>
      </c>
      <c r="AA884">
        <f>HYPERLINK("https://klasma.github.io/Logging_2031/klagomål/A 821-2025 FSC-klagomål.docx", "A 821-2025")</f>
        <v/>
      </c>
      <c r="AB884">
        <f>HYPERLINK("https://klasma.github.io/Logging_2031/klagomålsmail/A 821-2025 FSC-klagomål mail.docx", "A 821-2025")</f>
        <v/>
      </c>
      <c r="AC884">
        <f>HYPERLINK("https://klasma.github.io/Logging_2031/tillsyn/A 821-2025 tillsynsbegäran.docx", "A 821-2025")</f>
        <v/>
      </c>
      <c r="AD884">
        <f>HYPERLINK("https://klasma.github.io/Logging_2031/tillsynsmail/A 821-2025 tillsynsbegäran mail.docx", "A 821-2025")</f>
        <v/>
      </c>
    </row>
    <row r="885" ht="15" customHeight="1">
      <c r="A885" t="inlineStr">
        <is>
          <t>A 23619-2024</t>
        </is>
      </c>
      <c r="B885" t="inlineStr">
        <is>
          <t>avverkningsanmälan</t>
        </is>
      </c>
      <c r="C885" t="inlineStr">
        <is>
          <t>Föryngringsavverkning</t>
        </is>
      </c>
      <c r="D885" s="1" t="n">
        <v>45454</v>
      </c>
      <c r="E885" s="1" t="n">
        <v>46319</v>
      </c>
      <c r="F885" t="inlineStr">
        <is>
          <t>DALARNAS LÄN</t>
        </is>
      </c>
      <c r="G885" t="inlineStr">
        <is>
          <t>SMEDJEBACKEN</t>
        </is>
      </c>
      <c r="H885" t="inlineStr">
        <is>
          <t>Bergvik skog väst AB</t>
        </is>
      </c>
      <c r="I885" t="n">
        <v>4.2</v>
      </c>
      <c r="J885" t="n">
        <v>1</v>
      </c>
      <c r="K885" t="n">
        <v>0</v>
      </c>
      <c r="L885" t="n">
        <v>1</v>
      </c>
      <c r="M885" t="n">
        <v>1</v>
      </c>
      <c r="N885" t="n">
        <v>0</v>
      </c>
      <c r="O885" t="n">
        <v>0</v>
      </c>
      <c r="P885" t="n">
        <v>0</v>
      </c>
      <c r="Q885" t="n">
        <v>2</v>
      </c>
      <c r="R885" t="n">
        <v>1</v>
      </c>
      <c r="S885" t="n">
        <v>2</v>
      </c>
      <c r="T885" t="n">
        <v>3</v>
      </c>
      <c r="U885" t="n">
        <v>3</v>
      </c>
      <c r="V885" s="2" t="inlineStr">
        <is>
          <t>Knärot
Dropptaggsvamp</t>
        </is>
      </c>
      <c r="W885">
        <f>HYPERLINK("https://klasma.github.io/Logging_2061/artfynd/A 23619-2024 artfynd.xlsx", "A 23619-2024")</f>
        <v/>
      </c>
      <c r="X885">
        <f>HYPERLINK("https://klasma.github.io/Logging_2061/kartor/A 23619-2024 karta.png", "A 23619-2024")</f>
        <v/>
      </c>
      <c r="Y885">
        <f>HYPERLINK("https://klasma.github.io/Logging_2061/kartor_geotiff/A 23619-2024 georefererad karta.tif", "A 23619-2024")</f>
        <v/>
      </c>
      <c r="Z885">
        <f>HYPERLINK("https://klasma.github.io/Logging_2061/knärot/A 23619-2024 karta knärot.png", "A 23619-2024")</f>
        <v/>
      </c>
      <c r="AA885">
        <f>HYPERLINK("https://klasma.github.io/Logging_2061/klagomål/A 23619-2024 FSC-klagomål.docx", "A 23619-2024")</f>
        <v/>
      </c>
      <c r="AB885">
        <f>HYPERLINK("https://klasma.github.io/Logging_2061/klagomålsmail/A 23619-2024 FSC-klagomål mail.docx", "A 23619-2024")</f>
        <v/>
      </c>
      <c r="AC885">
        <f>HYPERLINK("https://klasma.github.io/Logging_2061/tillsyn/A 23619-2024 tillsynsbegäran.docx", "A 23619-2024")</f>
        <v/>
      </c>
      <c r="AD885">
        <f>HYPERLINK("https://klasma.github.io/Logging_2061/tillsynsmail/A 23619-2024 tillsynsbegäran mail.docx", "A 23619-2024")</f>
        <v/>
      </c>
    </row>
    <row r="886" ht="15" customHeight="1">
      <c r="A886" t="inlineStr">
        <is>
          <t>A 23652-2023</t>
        </is>
      </c>
      <c r="B886" t="inlineStr">
        <is>
          <t>avverkningsanmälan</t>
        </is>
      </c>
      <c r="C886" t="inlineStr">
        <is>
          <t>Avverkning för annat ändamål</t>
        </is>
      </c>
      <c r="D886" s="1" t="n">
        <v>45074</v>
      </c>
      <c r="E886" s="1" t="n">
        <v>46319</v>
      </c>
      <c r="F886" t="inlineStr">
        <is>
          <t>DALARNAS LÄN</t>
        </is>
      </c>
      <c r="G886" t="inlineStr">
        <is>
          <t>BORLÄNGE</t>
        </is>
      </c>
      <c r="I886" t="n">
        <v>1.4</v>
      </c>
      <c r="J886" t="n">
        <v>1</v>
      </c>
      <c r="K886" t="n">
        <v>1</v>
      </c>
      <c r="L886" t="n">
        <v>0</v>
      </c>
      <c r="M886" t="n">
        <v>0</v>
      </c>
      <c r="N886" t="n">
        <v>0</v>
      </c>
      <c r="O886" t="n">
        <v>0</v>
      </c>
      <c r="P886" t="n">
        <v>0</v>
      </c>
      <c r="Q886" t="n">
        <v>0</v>
      </c>
      <c r="R886" t="n">
        <v>0</v>
      </c>
      <c r="S886" t="n">
        <v>2</v>
      </c>
      <c r="T886" t="n">
        <v>2</v>
      </c>
      <c r="U886" t="n">
        <v>1</v>
      </c>
      <c r="V886" s="2" t="inlineStr">
        <is>
          <t>Tibast
Spillkråka</t>
        </is>
      </c>
      <c r="W886">
        <f>HYPERLINK("https://klasma.github.io/Logging_2081/artfynd/A 23652-2023 artfynd.xlsx", "A 23652-2023")</f>
        <v/>
      </c>
      <c r="X886">
        <f>HYPERLINK("https://klasma.github.io/Logging_2081/kartor/A 23652-2023 karta.png", "A 23652-2023")</f>
        <v/>
      </c>
      <c r="Y886">
        <f>HYPERLINK("https://klasma.github.io/Logging_2081/kartor_geotiff/A 23652-2023 georefererad karta.tif", "A 23652-2023")</f>
        <v/>
      </c>
      <c r="AA886">
        <f>HYPERLINK("https://klasma.github.io/Logging_2081/klagomål/A 23652-2023 FSC-klagomål.docx", "A 23652-2023")</f>
        <v/>
      </c>
      <c r="AB886">
        <f>HYPERLINK("https://klasma.github.io/Logging_2081/klagomålsmail/A 23652-2023 FSC-klagomål mail.docx", "A 23652-2023")</f>
        <v/>
      </c>
      <c r="AC886">
        <f>HYPERLINK("https://klasma.github.io/Logging_2081/tillsyn/A 23652-2023 tillsynsbegäran.docx", "A 23652-2023")</f>
        <v/>
      </c>
      <c r="AD886">
        <f>HYPERLINK("https://klasma.github.io/Logging_2081/tillsynsmail/A 23652-2023 tillsynsbegäran mail.docx", "A 23652-2023")</f>
        <v/>
      </c>
      <c r="AE886">
        <f>HYPERLINK("https://klasma.github.io/Logging_2081/fåglar/A 23652-2023 prioriterade fågelarter.docx", "A 23652-2023")</f>
        <v/>
      </c>
    </row>
    <row r="887" ht="15" customHeight="1">
      <c r="A887" t="inlineStr">
        <is>
          <t>A 52436-2024</t>
        </is>
      </c>
      <c r="B887" t="inlineStr">
        <is>
          <t>avverkningsanmälan</t>
        </is>
      </c>
      <c r="C887" t="inlineStr">
        <is>
          <t>Föryngringsavverkning</t>
        </is>
      </c>
      <c r="D887" s="1" t="n">
        <v>45608</v>
      </c>
      <c r="E887" s="1" t="n">
        <v>46319</v>
      </c>
      <c r="F887" t="inlineStr">
        <is>
          <t>DALARNAS LÄN</t>
        </is>
      </c>
      <c r="G887" t="inlineStr">
        <is>
          <t>GAGNEF</t>
        </is>
      </c>
      <c r="I887" t="n">
        <v>1.2</v>
      </c>
      <c r="J887" t="n">
        <v>0</v>
      </c>
      <c r="K887" t="n">
        <v>0</v>
      </c>
      <c r="L887" t="n">
        <v>1</v>
      </c>
      <c r="M887" t="n">
        <v>1</v>
      </c>
      <c r="N887" t="n">
        <v>0</v>
      </c>
      <c r="O887" t="n">
        <v>0</v>
      </c>
      <c r="P887" t="n">
        <v>0</v>
      </c>
      <c r="Q887" t="n">
        <v>2</v>
      </c>
      <c r="R887" t="n">
        <v>1</v>
      </c>
      <c r="S887" t="n">
        <v>2</v>
      </c>
      <c r="T887" t="n">
        <v>4</v>
      </c>
      <c r="U887" t="n">
        <v>0</v>
      </c>
      <c r="V887" s="2" t="inlineStr">
        <is>
          <t>Skrovlig taggsvamp
Dropptaggsvamp</t>
        </is>
      </c>
      <c r="W887">
        <f>HYPERLINK("https://klasma.github.io/Logging_2026/artfynd/A 52436-2024 artfynd.xlsx", "A 52436-2024")</f>
        <v/>
      </c>
      <c r="X887">
        <f>HYPERLINK("https://klasma.github.io/Logging_2026/kartor/A 52436-2024 karta.png", "A 52436-2024")</f>
        <v/>
      </c>
      <c r="Y887">
        <f>HYPERLINK("https://klasma.github.io/Logging_2026/kartor_geotiff/A 52436-2024 georefererad karta.tif", "A 52436-2024")</f>
        <v/>
      </c>
      <c r="AA887">
        <f>HYPERLINK("https://klasma.github.io/Logging_2026/klagomål/A 52436-2024 FSC-klagomål.docx", "A 52436-2024")</f>
        <v/>
      </c>
      <c r="AB887">
        <f>HYPERLINK("https://klasma.github.io/Logging_2026/klagomålsmail/A 52436-2024 FSC-klagomål mail.docx", "A 52436-2024")</f>
        <v/>
      </c>
      <c r="AC887">
        <f>HYPERLINK("https://klasma.github.io/Logging_2026/tillsyn/A 52436-2024 tillsynsbegäran.docx", "A 52436-2024")</f>
        <v/>
      </c>
      <c r="AD887">
        <f>HYPERLINK("https://klasma.github.io/Logging_2026/tillsynsmail/A 52436-2024 tillsynsbegäran mail.docx", "A 52436-2024")</f>
        <v/>
      </c>
    </row>
    <row r="888" ht="15" customHeight="1">
      <c r="A888" t="inlineStr">
        <is>
          <t>A 23919-2026</t>
        </is>
      </c>
      <c r="B888" t="inlineStr">
        <is>
          <t>avverkningsanmälan</t>
        </is>
      </c>
      <c r="C888" t="inlineStr">
        <is>
          <t>Föryngringsavverkning</t>
        </is>
      </c>
      <c r="D888" s="1" t="n">
        <v>46167</v>
      </c>
      <c r="E888" s="1" t="n">
        <v>46319</v>
      </c>
      <c r="F888" t="inlineStr">
        <is>
          <t>DALARNAS LÄN</t>
        </is>
      </c>
      <c r="G888" t="inlineStr">
        <is>
          <t>LUDVIKA</t>
        </is>
      </c>
      <c r="H888" t="inlineStr">
        <is>
          <t>Bergvik skog väst AB</t>
        </is>
      </c>
      <c r="I888" t="n">
        <v>2.2</v>
      </c>
      <c r="J888" t="n">
        <v>0</v>
      </c>
      <c r="K888" t="n">
        <v>2</v>
      </c>
      <c r="L888" t="n">
        <v>0</v>
      </c>
      <c r="M888" t="n">
        <v>0</v>
      </c>
      <c r="N888" t="n">
        <v>0</v>
      </c>
      <c r="O888" t="n">
        <v>0</v>
      </c>
      <c r="P888" t="n">
        <v>0</v>
      </c>
      <c r="Q888" t="n">
        <v>0</v>
      </c>
      <c r="R888" t="n">
        <v>0</v>
      </c>
      <c r="S888" t="n">
        <v>2</v>
      </c>
      <c r="T888" t="n">
        <v>3</v>
      </c>
      <c r="U888" t="n">
        <v>3</v>
      </c>
      <c r="V888" s="2" t="inlineStr">
        <is>
          <t>Korallblylav
Skinnlav</t>
        </is>
      </c>
      <c r="W888">
        <f>HYPERLINK("https://klasma.github.io/Logging_2085/artfynd/A 23919-2026 artfynd.xlsx", "A 23919-2026")</f>
        <v/>
      </c>
      <c r="X888">
        <f>HYPERLINK("https://klasma.github.io/Logging_2085/kartor/A 23919-2026 karta.png", "A 23919-2026")</f>
        <v/>
      </c>
      <c r="Y888">
        <f>HYPERLINK("https://klasma.github.io/Logging_2085/kartor_geotiff/A 23919-2026 georefererad karta.tif", "A 23919-2026")</f>
        <v/>
      </c>
      <c r="AA888">
        <f>HYPERLINK("https://klasma.github.io/Logging_2085/klagomål/A 23919-2026 FSC-klagomål.docx", "A 23919-2026")</f>
        <v/>
      </c>
      <c r="AB888">
        <f>HYPERLINK("https://klasma.github.io/Logging_2085/klagomålsmail/A 23919-2026 FSC-klagomål mail.docx", "A 23919-2026")</f>
        <v/>
      </c>
      <c r="AC888">
        <f>HYPERLINK("https://klasma.github.io/Logging_2085/tillsyn/A 23919-2026 tillsynsbegäran.docx", "A 23919-2026")</f>
        <v/>
      </c>
      <c r="AD888">
        <f>HYPERLINK("https://klasma.github.io/Logging_2085/tillsynsmail/A 23919-2026 tillsynsbegäran mail.docx", "A 23919-2026")</f>
        <v/>
      </c>
    </row>
    <row r="889" ht="15" customHeight="1">
      <c r="A889" t="inlineStr">
        <is>
          <t>A 26904-2026</t>
        </is>
      </c>
      <c r="B889" t="inlineStr">
        <is>
          <t>avverkningsanmälan</t>
        </is>
      </c>
      <c r="C889" t="inlineStr">
        <is>
          <t>Föryngringsavverkning</t>
        </is>
      </c>
      <c r="D889" s="1" t="n">
        <v>46185</v>
      </c>
      <c r="E889" s="1" t="n">
        <v>46319</v>
      </c>
      <c r="F889" t="inlineStr">
        <is>
          <t>DALARNAS LÄN</t>
        </is>
      </c>
      <c r="G889" t="inlineStr">
        <is>
          <t>HEDEMORA</t>
        </is>
      </c>
      <c r="H889" t="inlineStr">
        <is>
          <t>Sveaskog</t>
        </is>
      </c>
      <c r="I889" t="n">
        <v>3</v>
      </c>
      <c r="J889" t="n">
        <v>2</v>
      </c>
      <c r="K889" t="n">
        <v>0</v>
      </c>
      <c r="L889" t="n">
        <v>0</v>
      </c>
      <c r="M889" t="n">
        <v>0</v>
      </c>
      <c r="N889" t="n">
        <v>0</v>
      </c>
      <c r="O889" t="n">
        <v>0</v>
      </c>
      <c r="P889" t="n">
        <v>0</v>
      </c>
      <c r="Q889" t="n">
        <v>0</v>
      </c>
      <c r="R889" t="n">
        <v>0</v>
      </c>
      <c r="S889" t="n">
        <v>2</v>
      </c>
      <c r="T889" t="n">
        <v>2</v>
      </c>
      <c r="U889" t="n">
        <v>0</v>
      </c>
      <c r="V889" s="2" t="inlineStr">
        <is>
          <t>Spillkråka
Kungsfågel</t>
        </is>
      </c>
      <c r="W889">
        <f>HYPERLINK("https://klasma.github.io/Logging_2083/artfynd/A 26904-2026 artfynd.xlsx", "A 26904-2026")</f>
        <v/>
      </c>
      <c r="X889">
        <f>HYPERLINK("https://klasma.github.io/Logging_2083/kartor/A 26904-2026 karta.png", "A 26904-2026")</f>
        <v/>
      </c>
      <c r="Y889">
        <f>HYPERLINK("https://klasma.github.io/Logging_2083/kartor_geotiff/A 26904-2026 georefererad karta.tif", "A 26904-2026")</f>
        <v/>
      </c>
      <c r="AA889">
        <f>HYPERLINK("https://klasma.github.io/Logging_2083/klagomål/A 26904-2026 FSC-klagomål.docx", "A 26904-2026")</f>
        <v/>
      </c>
      <c r="AB889">
        <f>HYPERLINK("https://klasma.github.io/Logging_2083/klagomålsmail/A 26904-2026 FSC-klagomål mail.docx", "A 26904-2026")</f>
        <v/>
      </c>
      <c r="AC889">
        <f>HYPERLINK("https://klasma.github.io/Logging_2083/tillsyn/A 26904-2026 tillsynsbegäran.docx", "A 26904-2026")</f>
        <v/>
      </c>
      <c r="AD889">
        <f>HYPERLINK("https://klasma.github.io/Logging_2083/tillsynsmail/A 26904-2026 tillsynsbegäran mail.docx", "A 26904-2026")</f>
        <v/>
      </c>
      <c r="AE889">
        <f>HYPERLINK("https://klasma.github.io/Logging_2083/fåglar/A 26904-2026 prioriterade fågelarter.docx", "A 26904-2026")</f>
        <v/>
      </c>
    </row>
    <row r="890" ht="15" customHeight="1">
      <c r="A890" t="inlineStr">
        <is>
          <t>A 13323-2025</t>
        </is>
      </c>
      <c r="B890" t="inlineStr">
        <is>
          <t>avverkningsanmälan</t>
        </is>
      </c>
      <c r="C890" t="inlineStr">
        <is>
          <t>Föryngringsavverkning</t>
        </is>
      </c>
      <c r="D890" s="1" t="n">
        <v>45735</v>
      </c>
      <c r="E890" s="1" t="n">
        <v>46319</v>
      </c>
      <c r="F890" t="inlineStr">
        <is>
          <t>DALARNAS LÄN</t>
        </is>
      </c>
      <c r="G890" t="inlineStr">
        <is>
          <t>VANSBRO</t>
        </is>
      </c>
      <c r="I890" t="n">
        <v>2.1</v>
      </c>
      <c r="J890" t="n">
        <v>1</v>
      </c>
      <c r="K890" t="n">
        <v>0</v>
      </c>
      <c r="L890" t="n">
        <v>1</v>
      </c>
      <c r="M890" t="n">
        <v>1</v>
      </c>
      <c r="N890" t="n">
        <v>0</v>
      </c>
      <c r="O890" t="n">
        <v>0</v>
      </c>
      <c r="P890" t="n">
        <v>0</v>
      </c>
      <c r="Q890" t="n">
        <v>2</v>
      </c>
      <c r="R890" t="n">
        <v>1</v>
      </c>
      <c r="S890" t="n">
        <v>2</v>
      </c>
      <c r="T890" t="n">
        <v>4</v>
      </c>
      <c r="U890" t="n">
        <v>4</v>
      </c>
      <c r="V890" s="2" t="inlineStr">
        <is>
          <t>Knärot
Ullticka</t>
        </is>
      </c>
      <c r="W890">
        <f>HYPERLINK("https://klasma.github.io/Logging_2021/artfynd/A 13323-2025 artfynd.xlsx", "A 13323-2025")</f>
        <v/>
      </c>
      <c r="X890">
        <f>HYPERLINK("https://klasma.github.io/Logging_2021/kartor/A 13323-2025 karta.png", "A 13323-2025")</f>
        <v/>
      </c>
      <c r="Y890">
        <f>HYPERLINK("https://klasma.github.io/Logging_2021/kartor_geotiff/A 13323-2025 georefererad karta.tif", "A 13323-2025")</f>
        <v/>
      </c>
      <c r="Z890">
        <f>HYPERLINK("https://klasma.github.io/Logging_2021/knärot/A 13323-2025 karta knärot.png", "A 13323-2025")</f>
        <v/>
      </c>
      <c r="AA890">
        <f>HYPERLINK("https://klasma.github.io/Logging_2021/klagomål/A 13323-2025 FSC-klagomål.docx", "A 13323-2025")</f>
        <v/>
      </c>
      <c r="AB890">
        <f>HYPERLINK("https://klasma.github.io/Logging_2021/klagomålsmail/A 13323-2025 FSC-klagomål mail.docx", "A 13323-2025")</f>
        <v/>
      </c>
      <c r="AC890">
        <f>HYPERLINK("https://klasma.github.io/Logging_2021/tillsyn/A 13323-2025 tillsynsbegäran.docx", "A 13323-2025")</f>
        <v/>
      </c>
      <c r="AD890">
        <f>HYPERLINK("https://klasma.github.io/Logging_2021/tillsynsmail/A 13323-2025 tillsynsbegäran mail.docx", "A 13323-2025")</f>
        <v/>
      </c>
    </row>
    <row r="891" ht="15" customHeight="1">
      <c r="A891" t="inlineStr">
        <is>
          <t>A 50170-2025</t>
        </is>
      </c>
      <c r="B891" t="inlineStr">
        <is>
          <t>avverkningsanmälan</t>
        </is>
      </c>
      <c r="C891" t="inlineStr">
        <is>
          <t>Föryngringsavverkning</t>
        </is>
      </c>
      <c r="D891" s="1" t="n">
        <v>45943</v>
      </c>
      <c r="E891" s="1" t="n">
        <v>46319</v>
      </c>
      <c r="F891" t="inlineStr">
        <is>
          <t>DALARNAS LÄN</t>
        </is>
      </c>
      <c r="G891" t="inlineStr">
        <is>
          <t>LUDVIKA</t>
        </is>
      </c>
      <c r="H891" t="inlineStr">
        <is>
          <t>Bergvik skog väst AB</t>
        </is>
      </c>
      <c r="I891" t="n">
        <v>2.5</v>
      </c>
      <c r="J891" t="n">
        <v>0</v>
      </c>
      <c r="K891" t="n">
        <v>1</v>
      </c>
      <c r="L891" t="n">
        <v>1</v>
      </c>
      <c r="M891" t="n">
        <v>0</v>
      </c>
      <c r="N891" t="n">
        <v>0</v>
      </c>
      <c r="O891" t="n">
        <v>0</v>
      </c>
      <c r="P891" t="n">
        <v>0</v>
      </c>
      <c r="Q891" t="n">
        <v>1</v>
      </c>
      <c r="R891" t="n">
        <v>0</v>
      </c>
      <c r="S891" t="n">
        <v>2</v>
      </c>
      <c r="T891" t="n">
        <v>2</v>
      </c>
      <c r="U891" t="n">
        <v>0</v>
      </c>
      <c r="V891" s="2" t="inlineStr">
        <is>
          <t>Labyrintlav
Gulnål</t>
        </is>
      </c>
      <c r="W891">
        <f>HYPERLINK("https://klasma.github.io/Logging_2085/artfynd/A 50170-2025 artfynd.xlsx", "A 50170-2025")</f>
        <v/>
      </c>
      <c r="X891">
        <f>HYPERLINK("https://klasma.github.io/Logging_2085/kartor/A 50170-2025 karta.png", "A 50170-2025")</f>
        <v/>
      </c>
      <c r="Y891">
        <f>HYPERLINK("https://klasma.github.io/Logging_2085/kartor_geotiff/A 50170-2025 georefererad karta.tif", "A 50170-2025")</f>
        <v/>
      </c>
      <c r="AA891">
        <f>HYPERLINK("https://klasma.github.io/Logging_2085/klagomål/A 50170-2025 FSC-klagomål.docx", "A 50170-2025")</f>
        <v/>
      </c>
      <c r="AB891">
        <f>HYPERLINK("https://klasma.github.io/Logging_2085/klagomålsmail/A 50170-2025 FSC-klagomål mail.docx", "A 50170-2025")</f>
        <v/>
      </c>
      <c r="AC891">
        <f>HYPERLINK("https://klasma.github.io/Logging_2085/tillsyn/A 50170-2025 tillsynsbegäran.docx", "A 50170-2025")</f>
        <v/>
      </c>
      <c r="AD891">
        <f>HYPERLINK("https://klasma.github.io/Logging_2085/tillsynsmail/A 50170-2025 tillsynsbegäran mail.docx", "A 50170-2025")</f>
        <v/>
      </c>
    </row>
    <row r="892" ht="15" customHeight="1">
      <c r="A892" t="inlineStr">
        <is>
          <t>A 54687-2025</t>
        </is>
      </c>
      <c r="B892" t="inlineStr">
        <is>
          <t>avverkningsanmälan</t>
        </is>
      </c>
      <c r="C892" t="inlineStr">
        <is>
          <t>Föryngringsavverkning</t>
        </is>
      </c>
      <c r="D892" s="1" t="n">
        <v>45966</v>
      </c>
      <c r="E892" s="1" t="n">
        <v>46319</v>
      </c>
      <c r="F892" t="inlineStr">
        <is>
          <t>DALARNAS LÄN</t>
        </is>
      </c>
      <c r="G892" t="inlineStr">
        <is>
          <t>ORSA</t>
        </is>
      </c>
      <c r="H892" t="inlineStr">
        <is>
          <t>Allmännings- och besparingsskogar</t>
        </is>
      </c>
      <c r="I892" t="n">
        <v>2</v>
      </c>
      <c r="J892" t="n">
        <v>1</v>
      </c>
      <c r="K892" t="n">
        <v>0</v>
      </c>
      <c r="L892" t="n">
        <v>1</v>
      </c>
      <c r="M892" t="n">
        <v>1</v>
      </c>
      <c r="N892" t="n">
        <v>0</v>
      </c>
      <c r="O892" t="n">
        <v>0</v>
      </c>
      <c r="P892" t="n">
        <v>0</v>
      </c>
      <c r="Q892" t="n">
        <v>2</v>
      </c>
      <c r="R892" t="n">
        <v>1</v>
      </c>
      <c r="S892" t="n">
        <v>2</v>
      </c>
      <c r="T892" t="n">
        <v>3</v>
      </c>
      <c r="U892" t="n">
        <v>3</v>
      </c>
      <c r="V892" s="2" t="inlineStr">
        <is>
          <t>Garnlav
Tretåig hackspett</t>
        </is>
      </c>
      <c r="W892">
        <f>HYPERLINK("https://klasma.github.io/Logging_2034/artfynd/A 54687-2025 artfynd.xlsx", "A 54687-2025")</f>
        <v/>
      </c>
      <c r="X892">
        <f>HYPERLINK("https://klasma.github.io/Logging_2034/kartor/A 54687-2025 karta.png", "A 54687-2025")</f>
        <v/>
      </c>
      <c r="Y892">
        <f>HYPERLINK("https://klasma.github.io/Logging_2034/kartor_geotiff/A 54687-2025 georefererad karta.tif", "A 54687-2025")</f>
        <v/>
      </c>
      <c r="AA892">
        <f>HYPERLINK("https://klasma.github.io/Logging_2034/klagomål/A 54687-2025 FSC-klagomål.docx", "A 54687-2025")</f>
        <v/>
      </c>
      <c r="AB892">
        <f>HYPERLINK("https://klasma.github.io/Logging_2034/klagomålsmail/A 54687-2025 FSC-klagomål mail.docx", "A 54687-2025")</f>
        <v/>
      </c>
      <c r="AC892">
        <f>HYPERLINK("https://klasma.github.io/Logging_2034/tillsyn/A 54687-2025 tillsynsbegäran.docx", "A 54687-2025")</f>
        <v/>
      </c>
      <c r="AD892">
        <f>HYPERLINK("https://klasma.github.io/Logging_2034/tillsynsmail/A 54687-2025 tillsynsbegäran mail.docx", "A 54687-2025")</f>
        <v/>
      </c>
      <c r="AE892">
        <f>HYPERLINK("https://klasma.github.io/Logging_2034/fåglar/A 54687-2025 prioriterade fågelarter.docx", "A 54687-2025")</f>
        <v/>
      </c>
    </row>
    <row r="893" ht="15" customHeight="1">
      <c r="A893" t="inlineStr">
        <is>
          <t>A 60152-2023</t>
        </is>
      </c>
      <c r="B893" t="inlineStr">
        <is>
          <t>avverkningsanmälan</t>
        </is>
      </c>
      <c r="C893" t="inlineStr">
        <is>
          <t>Föryngringsavverkning</t>
        </is>
      </c>
      <c r="D893" s="1" t="n">
        <v>45258</v>
      </c>
      <c r="E893" s="1" t="n">
        <v>46319</v>
      </c>
      <c r="F893" t="inlineStr">
        <is>
          <t>DALARNAS LÄN</t>
        </is>
      </c>
      <c r="G893" t="inlineStr">
        <is>
          <t>BORLÄNGE</t>
        </is>
      </c>
      <c r="I893" t="n">
        <v>1</v>
      </c>
      <c r="J893" t="n">
        <v>2</v>
      </c>
      <c r="K893" t="n">
        <v>1</v>
      </c>
      <c r="L893" t="n">
        <v>0</v>
      </c>
      <c r="M893" t="n">
        <v>0</v>
      </c>
      <c r="N893" t="n">
        <v>0</v>
      </c>
      <c r="O893" t="n">
        <v>0</v>
      </c>
      <c r="P893" t="n">
        <v>0</v>
      </c>
      <c r="Q893" t="n">
        <v>0</v>
      </c>
      <c r="R893" t="n">
        <v>0</v>
      </c>
      <c r="S893" t="n">
        <v>2</v>
      </c>
      <c r="T893" t="n">
        <v>3</v>
      </c>
      <c r="U893" t="n">
        <v>0</v>
      </c>
      <c r="V893" s="2" t="inlineStr">
        <is>
          <t>Tvåblad
Tjäder</t>
        </is>
      </c>
      <c r="W893">
        <f>HYPERLINK("https://klasma.github.io/Logging_2081/artfynd/A 60152-2023 artfynd.xlsx", "A 60152-2023")</f>
        <v/>
      </c>
      <c r="X893">
        <f>HYPERLINK("https://klasma.github.io/Logging_2081/kartor/A 60152-2023 karta.png", "A 60152-2023")</f>
        <v/>
      </c>
      <c r="Y893">
        <f>HYPERLINK("https://klasma.github.io/Logging_2081/kartor_geotiff/A 60152-2023 georefererad karta.tif", "A 60152-2023")</f>
        <v/>
      </c>
      <c r="AA893">
        <f>HYPERLINK("https://klasma.github.io/Logging_2081/klagomål/A 60152-2023 FSC-klagomål.docx", "A 60152-2023")</f>
        <v/>
      </c>
      <c r="AB893">
        <f>HYPERLINK("https://klasma.github.io/Logging_2081/klagomålsmail/A 60152-2023 FSC-klagomål mail.docx", "A 60152-2023")</f>
        <v/>
      </c>
      <c r="AC893">
        <f>HYPERLINK("https://klasma.github.io/Logging_2081/tillsyn/A 60152-2023 tillsynsbegäran.docx", "A 60152-2023")</f>
        <v/>
      </c>
      <c r="AD893">
        <f>HYPERLINK("https://klasma.github.io/Logging_2081/tillsynsmail/A 60152-2023 tillsynsbegäran mail.docx", "A 60152-2023")</f>
        <v/>
      </c>
      <c r="AE893">
        <f>HYPERLINK("https://klasma.github.io/Logging_2081/fåglar/A 60152-2023 prioriterade fågelarter.docx", "A 60152-2023")</f>
        <v/>
      </c>
    </row>
    <row r="894" ht="15" customHeight="1">
      <c r="A894" t="inlineStr">
        <is>
          <t>A 27338-2026</t>
        </is>
      </c>
      <c r="B894" t="inlineStr">
        <is>
          <t>avverkningsanmälan</t>
        </is>
      </c>
      <c r="C894" t="inlineStr">
        <is>
          <t>Föryngringsavverkning</t>
        </is>
      </c>
      <c r="D894" s="1" t="n">
        <v>46188</v>
      </c>
      <c r="E894" s="1" t="n">
        <v>46319</v>
      </c>
      <c r="F894" t="inlineStr">
        <is>
          <t>DALARNAS LÄN</t>
        </is>
      </c>
      <c r="G894" t="inlineStr">
        <is>
          <t>RÄTTVIK</t>
        </is>
      </c>
      <c r="H894" t="inlineStr">
        <is>
          <t>Bergvik skog väst AB</t>
        </is>
      </c>
      <c r="I894" t="n">
        <v>2.4</v>
      </c>
      <c r="J894" t="n">
        <v>0</v>
      </c>
      <c r="K894" t="n">
        <v>0</v>
      </c>
      <c r="L894" t="n">
        <v>2</v>
      </c>
      <c r="M894" t="n">
        <v>0</v>
      </c>
      <c r="N894" t="n">
        <v>0</v>
      </c>
      <c r="O894" t="n">
        <v>0</v>
      </c>
      <c r="P894" t="n">
        <v>0</v>
      </c>
      <c r="Q894" t="n">
        <v>2</v>
      </c>
      <c r="R894" t="n">
        <v>0</v>
      </c>
      <c r="S894" t="n">
        <v>2</v>
      </c>
      <c r="T894" t="n">
        <v>2</v>
      </c>
      <c r="U894" t="n">
        <v>0</v>
      </c>
      <c r="V894" s="2" t="inlineStr">
        <is>
          <t>Mörk kolflarnlav
Vedskivlav</t>
        </is>
      </c>
      <c r="W894">
        <f>HYPERLINK("https://klasma.github.io/Logging_2031/artfynd/A 27338-2026 artfynd.xlsx", "A 27338-2026")</f>
        <v/>
      </c>
      <c r="X894">
        <f>HYPERLINK("https://klasma.github.io/Logging_2031/kartor/A 27338-2026 karta.png", "A 27338-2026")</f>
        <v/>
      </c>
      <c r="Y894">
        <f>HYPERLINK("https://klasma.github.io/Logging_2031/kartor_geotiff/A 27338-2026 georefererad karta.tif", "A 27338-2026")</f>
        <v/>
      </c>
      <c r="AA894">
        <f>HYPERLINK("https://klasma.github.io/Logging_2031/klagomål/A 27338-2026 FSC-klagomål.docx", "A 27338-2026")</f>
        <v/>
      </c>
      <c r="AB894">
        <f>HYPERLINK("https://klasma.github.io/Logging_2031/klagomålsmail/A 27338-2026 FSC-klagomål mail.docx", "A 27338-2026")</f>
        <v/>
      </c>
      <c r="AC894">
        <f>HYPERLINK("https://klasma.github.io/Logging_2031/tillsyn/A 27338-2026 tillsynsbegäran.docx", "A 27338-2026")</f>
        <v/>
      </c>
      <c r="AD894">
        <f>HYPERLINK("https://klasma.github.io/Logging_2031/tillsynsmail/A 27338-2026 tillsynsbegäran mail.docx", "A 27338-2026")</f>
        <v/>
      </c>
    </row>
    <row r="895" ht="15" customHeight="1">
      <c r="A895" t="inlineStr">
        <is>
          <t>A 8504-2025</t>
        </is>
      </c>
      <c r="B895" t="inlineStr">
        <is>
          <t>avverkningsanmälan</t>
        </is>
      </c>
      <c r="C895" t="inlineStr">
        <is>
          <t>Avverkning för annat ändamål</t>
        </is>
      </c>
      <c r="D895" s="1" t="n">
        <v>45709</v>
      </c>
      <c r="E895" s="1" t="n">
        <v>46319</v>
      </c>
      <c r="F895" t="inlineStr">
        <is>
          <t>DALARNAS LÄN</t>
        </is>
      </c>
      <c r="G895" t="inlineStr">
        <is>
          <t>BORLÄNGE</t>
        </is>
      </c>
      <c r="I895" t="n">
        <v>3.6</v>
      </c>
      <c r="J895" t="n">
        <v>2</v>
      </c>
      <c r="K895" t="n">
        <v>0</v>
      </c>
      <c r="L895" t="n">
        <v>0</v>
      </c>
      <c r="M895" t="n">
        <v>0</v>
      </c>
      <c r="N895" t="n">
        <v>0</v>
      </c>
      <c r="O895" t="n">
        <v>0</v>
      </c>
      <c r="P895" t="n">
        <v>0</v>
      </c>
      <c r="Q895" t="n">
        <v>0</v>
      </c>
      <c r="R895" t="n">
        <v>0</v>
      </c>
      <c r="S895" t="n">
        <v>2</v>
      </c>
      <c r="T895" t="n">
        <v>2</v>
      </c>
      <c r="U895" t="n">
        <v>1</v>
      </c>
      <c r="V895" s="2" t="inlineStr">
        <is>
          <t>Vanlig groda
Nattviol</t>
        </is>
      </c>
      <c r="W895">
        <f>HYPERLINK("https://klasma.github.io/Logging_2081/artfynd/A 8504-2025 artfynd.xlsx", "A 8504-2025")</f>
        <v/>
      </c>
      <c r="X895">
        <f>HYPERLINK("https://klasma.github.io/Logging_2081/kartor/A 8504-2025 karta.png", "A 8504-2025")</f>
        <v/>
      </c>
      <c r="Y895">
        <f>HYPERLINK("https://klasma.github.io/Logging_2081/kartor_geotiff/A 8504-2025 georefererad karta.tif", "A 8504-2025")</f>
        <v/>
      </c>
      <c r="AA895">
        <f>HYPERLINK("https://klasma.github.io/Logging_2081/klagomål/A 8504-2025 FSC-klagomål.docx", "A 8504-2025")</f>
        <v/>
      </c>
      <c r="AB895">
        <f>HYPERLINK("https://klasma.github.io/Logging_2081/klagomålsmail/A 8504-2025 FSC-klagomål mail.docx", "A 8504-2025")</f>
        <v/>
      </c>
      <c r="AC895">
        <f>HYPERLINK("https://klasma.github.io/Logging_2081/tillsyn/A 8504-2025 tillsynsbegäran.docx", "A 8504-2025")</f>
        <v/>
      </c>
      <c r="AD895">
        <f>HYPERLINK("https://klasma.github.io/Logging_2081/tillsynsmail/A 8504-2025 tillsynsbegäran mail.docx", "A 8504-2025")</f>
        <v/>
      </c>
    </row>
    <row r="896" ht="15" customHeight="1">
      <c r="A896" t="inlineStr">
        <is>
          <t>A 55225-2025</t>
        </is>
      </c>
      <c r="B896" t="inlineStr">
        <is>
          <t>avverkningsanmälan</t>
        </is>
      </c>
      <c r="C896" t="inlineStr">
        <is>
          <t>Föryngringsavverkning</t>
        </is>
      </c>
      <c r="D896" s="1" t="n">
        <v>45968</v>
      </c>
      <c r="E896" s="1" t="n">
        <v>46319</v>
      </c>
      <c r="F896" t="inlineStr">
        <is>
          <t>DALARNAS LÄN</t>
        </is>
      </c>
      <c r="G896" t="inlineStr">
        <is>
          <t>ÄLVDALEN</t>
        </is>
      </c>
      <c r="H896" t="inlineStr">
        <is>
          <t>Sveaskog</t>
        </is>
      </c>
      <c r="I896" t="n">
        <v>2.2</v>
      </c>
      <c r="J896" t="n">
        <v>0</v>
      </c>
      <c r="K896" t="n">
        <v>0</v>
      </c>
      <c r="L896" t="n">
        <v>2</v>
      </c>
      <c r="M896" t="n">
        <v>0</v>
      </c>
      <c r="N896" t="n">
        <v>0</v>
      </c>
      <c r="O896" t="n">
        <v>0</v>
      </c>
      <c r="P896" t="n">
        <v>0</v>
      </c>
      <c r="Q896" t="n">
        <v>2</v>
      </c>
      <c r="R896" t="n">
        <v>0</v>
      </c>
      <c r="S896" t="n">
        <v>2</v>
      </c>
      <c r="T896" t="n">
        <v>2</v>
      </c>
      <c r="U896" t="n">
        <v>0</v>
      </c>
      <c r="V896" s="2" t="inlineStr">
        <is>
          <t>Dvärgbägarlav
Kolflarnlav</t>
        </is>
      </c>
      <c r="W896">
        <f>HYPERLINK("https://klasma.github.io/Logging_2039/artfynd/A 55225-2025 artfynd.xlsx", "A 55225-2025")</f>
        <v/>
      </c>
      <c r="X896">
        <f>HYPERLINK("https://klasma.github.io/Logging_2039/kartor/A 55225-2025 karta.png", "A 55225-2025")</f>
        <v/>
      </c>
      <c r="Y896">
        <f>HYPERLINK("https://klasma.github.io/Logging_2039/kartor_geotiff/A 55225-2025 georefererad karta.tif", "A 55225-2025")</f>
        <v/>
      </c>
      <c r="AA896">
        <f>HYPERLINK("https://klasma.github.io/Logging_2039/klagomål/A 55225-2025 FSC-klagomål.docx", "A 55225-2025")</f>
        <v/>
      </c>
      <c r="AB896">
        <f>HYPERLINK("https://klasma.github.io/Logging_2039/klagomålsmail/A 55225-2025 FSC-klagomål mail.docx", "A 55225-2025")</f>
        <v/>
      </c>
      <c r="AC896">
        <f>HYPERLINK("https://klasma.github.io/Logging_2039/tillsyn/A 55225-2025 tillsynsbegäran.docx", "A 55225-2025")</f>
        <v/>
      </c>
      <c r="AD896">
        <f>HYPERLINK("https://klasma.github.io/Logging_2039/tillsynsmail/A 55225-2025 tillsynsbegäran mail.docx", "A 55225-2025")</f>
        <v/>
      </c>
    </row>
    <row r="897" ht="15" customHeight="1">
      <c r="A897" t="inlineStr">
        <is>
          <t>A 55227-2025</t>
        </is>
      </c>
      <c r="B897" t="inlineStr">
        <is>
          <t>avverkningsanmälan</t>
        </is>
      </c>
      <c r="C897" t="inlineStr">
        <is>
          <t>Föryngringsavverkning</t>
        </is>
      </c>
      <c r="D897" s="1" t="n">
        <v>45968</v>
      </c>
      <c r="E897" s="1" t="n">
        <v>46319</v>
      </c>
      <c r="F897" t="inlineStr">
        <is>
          <t>DALARNAS LÄN</t>
        </is>
      </c>
      <c r="G897" t="inlineStr">
        <is>
          <t>ÄLVDALEN</t>
        </is>
      </c>
      <c r="H897" t="inlineStr">
        <is>
          <t>Sveaskog</t>
        </is>
      </c>
      <c r="I897" t="n">
        <v>0.9</v>
      </c>
      <c r="J897" t="n">
        <v>0</v>
      </c>
      <c r="K897" t="n">
        <v>0</v>
      </c>
      <c r="L897" t="n">
        <v>2</v>
      </c>
      <c r="M897" t="n">
        <v>0</v>
      </c>
      <c r="N897" t="n">
        <v>0</v>
      </c>
      <c r="O897" t="n">
        <v>0</v>
      </c>
      <c r="P897" t="n">
        <v>0</v>
      </c>
      <c r="Q897" t="n">
        <v>2</v>
      </c>
      <c r="R897" t="n">
        <v>0</v>
      </c>
      <c r="S897" t="n">
        <v>2</v>
      </c>
      <c r="T897" t="n">
        <v>2</v>
      </c>
      <c r="U897" t="n">
        <v>0</v>
      </c>
      <c r="V897" s="2" t="inlineStr">
        <is>
          <t>Kolflarnlav
Vedflamlav</t>
        </is>
      </c>
      <c r="W897">
        <f>HYPERLINK("https://klasma.github.io/Logging_2039/artfynd/A 55227-2025 artfynd.xlsx", "A 55227-2025")</f>
        <v/>
      </c>
      <c r="X897">
        <f>HYPERLINK("https://klasma.github.io/Logging_2039/kartor/A 55227-2025 karta.png", "A 55227-2025")</f>
        <v/>
      </c>
      <c r="Y897">
        <f>HYPERLINK("https://klasma.github.io/Logging_2039/kartor_geotiff/A 55227-2025 georefererad karta.tif", "A 55227-2025")</f>
        <v/>
      </c>
      <c r="AA897">
        <f>HYPERLINK("https://klasma.github.io/Logging_2039/klagomål/A 55227-2025 FSC-klagomål.docx", "A 55227-2025")</f>
        <v/>
      </c>
      <c r="AB897">
        <f>HYPERLINK("https://klasma.github.io/Logging_2039/klagomålsmail/A 55227-2025 FSC-klagomål mail.docx", "A 55227-2025")</f>
        <v/>
      </c>
      <c r="AC897">
        <f>HYPERLINK("https://klasma.github.io/Logging_2039/tillsyn/A 55227-2025 tillsynsbegäran.docx", "A 55227-2025")</f>
        <v/>
      </c>
      <c r="AD897">
        <f>HYPERLINK("https://klasma.github.io/Logging_2039/tillsynsmail/A 55227-2025 tillsynsbegäran mail.docx", "A 55227-2025")</f>
        <v/>
      </c>
    </row>
    <row r="898" ht="15" customHeight="1">
      <c r="A898" t="inlineStr">
        <is>
          <t>A 28970-2026</t>
        </is>
      </c>
      <c r="B898" t="inlineStr">
        <is>
          <t>avverkningsanmälan</t>
        </is>
      </c>
      <c r="C898" t="inlineStr">
        <is>
          <t>Avverkning för annat ändamål</t>
        </is>
      </c>
      <c r="D898" s="1" t="n">
        <v>46196</v>
      </c>
      <c r="E898" s="1" t="n">
        <v>46319</v>
      </c>
      <c r="F898" t="inlineStr">
        <is>
          <t>DALARNAS LÄN</t>
        </is>
      </c>
      <c r="G898" t="inlineStr">
        <is>
          <t>ÄLVDALEN</t>
        </is>
      </c>
      <c r="H898" t="inlineStr">
        <is>
          <t>Allmännings- och besparingsskogar</t>
        </is>
      </c>
      <c r="I898" t="n">
        <v>0.1</v>
      </c>
      <c r="J898" t="n">
        <v>0</v>
      </c>
      <c r="K898" t="n">
        <v>0</v>
      </c>
      <c r="L898" t="n">
        <v>2</v>
      </c>
      <c r="M898" t="n">
        <v>0</v>
      </c>
      <c r="N898" t="n">
        <v>0</v>
      </c>
      <c r="O898" t="n">
        <v>0</v>
      </c>
      <c r="P898" t="n">
        <v>0</v>
      </c>
      <c r="Q898" t="n">
        <v>2</v>
      </c>
      <c r="R898" t="n">
        <v>0</v>
      </c>
      <c r="S898" t="n">
        <v>2</v>
      </c>
      <c r="T898" t="n">
        <v>2</v>
      </c>
      <c r="U898" t="n">
        <v>0</v>
      </c>
      <c r="V898" s="2" t="inlineStr">
        <is>
          <t>Mörk kolflarnlav
Nordtagging</t>
        </is>
      </c>
      <c r="W898">
        <f>HYPERLINK("https://klasma.github.io/Logging_2039/artfynd/A 28970-2026 artfynd.xlsx", "A 28970-2026")</f>
        <v/>
      </c>
      <c r="X898">
        <f>HYPERLINK("https://klasma.github.io/Logging_2039/kartor/A 28970-2026 karta.png", "A 28970-2026")</f>
        <v/>
      </c>
      <c r="Y898">
        <f>HYPERLINK("https://klasma.github.io/Logging_2039/kartor_geotiff/A 28970-2026 georefererad karta.tif", "A 28970-2026")</f>
        <v/>
      </c>
      <c r="AA898">
        <f>HYPERLINK("https://klasma.github.io/Logging_2039/klagomål/A 28970-2026 FSC-klagomål.docx", "A 28970-2026")</f>
        <v/>
      </c>
      <c r="AB898">
        <f>HYPERLINK("https://klasma.github.io/Logging_2039/klagomålsmail/A 28970-2026 FSC-klagomål mail.docx", "A 28970-2026")</f>
        <v/>
      </c>
      <c r="AC898">
        <f>HYPERLINK("https://klasma.github.io/Logging_2039/tillsyn/A 28970-2026 tillsynsbegäran.docx", "A 28970-2026")</f>
        <v/>
      </c>
      <c r="AD898">
        <f>HYPERLINK("https://klasma.github.io/Logging_2039/tillsynsmail/A 28970-2026 tillsynsbegäran mail.docx", "A 28970-2026")</f>
        <v/>
      </c>
    </row>
    <row r="899" ht="15" customHeight="1">
      <c r="A899" t="inlineStr">
        <is>
          <t>A 55399-2025</t>
        </is>
      </c>
      <c r="B899" t="inlineStr">
        <is>
          <t>avverkningsanmälan</t>
        </is>
      </c>
      <c r="C899" t="inlineStr">
        <is>
          <t>Föryngringsavverkning</t>
        </is>
      </c>
      <c r="D899" s="1" t="n">
        <v>45971</v>
      </c>
      <c r="E899" s="1" t="n">
        <v>46319</v>
      </c>
      <c r="F899" t="inlineStr">
        <is>
          <t>DALARNAS LÄN</t>
        </is>
      </c>
      <c r="G899" t="inlineStr">
        <is>
          <t>LUDVIKA</t>
        </is>
      </c>
      <c r="H899" t="inlineStr">
        <is>
          <t>Bergvik skog väst AB</t>
        </is>
      </c>
      <c r="I899" t="n">
        <v>11.5</v>
      </c>
      <c r="J899" t="n">
        <v>2</v>
      </c>
      <c r="K899" t="n">
        <v>0</v>
      </c>
      <c r="L899" t="n">
        <v>0</v>
      </c>
      <c r="M899" t="n">
        <v>0</v>
      </c>
      <c r="N899" t="n">
        <v>0</v>
      </c>
      <c r="O899" t="n">
        <v>0</v>
      </c>
      <c r="P899" t="n">
        <v>0</v>
      </c>
      <c r="Q899" t="n">
        <v>0</v>
      </c>
      <c r="R899" t="n">
        <v>0</v>
      </c>
      <c r="S899" t="n">
        <v>2</v>
      </c>
      <c r="T899" t="n">
        <v>3</v>
      </c>
      <c r="U899" t="n">
        <v>3</v>
      </c>
      <c r="V899" s="2" t="inlineStr">
        <is>
          <t>Spillkråka
Revlummer</t>
        </is>
      </c>
      <c r="W899">
        <f>HYPERLINK("https://klasma.github.io/Logging_2085/artfynd/A 55399-2025 artfynd.xlsx", "A 55399-2025")</f>
        <v/>
      </c>
      <c r="X899">
        <f>HYPERLINK("https://klasma.github.io/Logging_2085/kartor/A 55399-2025 karta.png", "A 55399-2025")</f>
        <v/>
      </c>
      <c r="Y899">
        <f>HYPERLINK("https://klasma.github.io/Logging_2085/kartor_geotiff/A 55399-2025 georefererad karta.tif", "A 55399-2025")</f>
        <v/>
      </c>
      <c r="AA899">
        <f>HYPERLINK("https://klasma.github.io/Logging_2085/klagomål/A 55399-2025 FSC-klagomål.docx", "A 55399-2025")</f>
        <v/>
      </c>
      <c r="AB899">
        <f>HYPERLINK("https://klasma.github.io/Logging_2085/klagomålsmail/A 55399-2025 FSC-klagomål mail.docx", "A 55399-2025")</f>
        <v/>
      </c>
      <c r="AC899">
        <f>HYPERLINK("https://klasma.github.io/Logging_2085/tillsyn/A 55399-2025 tillsynsbegäran.docx", "A 55399-2025")</f>
        <v/>
      </c>
      <c r="AD899">
        <f>HYPERLINK("https://klasma.github.io/Logging_2085/tillsynsmail/A 55399-2025 tillsynsbegäran mail.docx", "A 55399-2025")</f>
        <v/>
      </c>
      <c r="AE899">
        <f>HYPERLINK("https://klasma.github.io/Logging_2085/fåglar/A 55399-2025 prioriterade fågelarter.docx", "A 55399-2025")</f>
        <v/>
      </c>
    </row>
    <row r="900" ht="15" customHeight="1">
      <c r="A900" t="inlineStr">
        <is>
          <t>A 56179-2025</t>
        </is>
      </c>
      <c r="B900" t="inlineStr">
        <is>
          <t>avverkningsanmälan</t>
        </is>
      </c>
      <c r="C900" t="inlineStr">
        <is>
          <t>Föryngringsavverkning</t>
        </is>
      </c>
      <c r="D900" s="1" t="n">
        <v>45974</v>
      </c>
      <c r="E900" s="1" t="n">
        <v>46319</v>
      </c>
      <c r="F900" t="inlineStr">
        <is>
          <t>DALARNAS LÄN</t>
        </is>
      </c>
      <c r="G900" t="inlineStr">
        <is>
          <t>LUDVIKA</t>
        </is>
      </c>
      <c r="H900" t="inlineStr">
        <is>
          <t>Bergvik skog väst AB</t>
        </is>
      </c>
      <c r="I900" t="n">
        <v>2.8</v>
      </c>
      <c r="J900" t="n">
        <v>0</v>
      </c>
      <c r="K900" t="n">
        <v>0</v>
      </c>
      <c r="L900" t="n">
        <v>2</v>
      </c>
      <c r="M900" t="n">
        <v>0</v>
      </c>
      <c r="N900" t="n">
        <v>0</v>
      </c>
      <c r="O900" t="n">
        <v>0</v>
      </c>
      <c r="P900" t="n">
        <v>0</v>
      </c>
      <c r="Q900" t="n">
        <v>2</v>
      </c>
      <c r="R900" t="n">
        <v>0</v>
      </c>
      <c r="S900" t="n">
        <v>2</v>
      </c>
      <c r="T900" t="n">
        <v>2</v>
      </c>
      <c r="U900" t="n">
        <v>0</v>
      </c>
      <c r="V900" s="2" t="inlineStr">
        <is>
          <t>Gultoppig fingersvamp
Kortskaftad ärgspik</t>
        </is>
      </c>
      <c r="W900">
        <f>HYPERLINK("https://klasma.github.io/Logging_2085/artfynd/A 56179-2025 artfynd.xlsx", "A 56179-2025")</f>
        <v/>
      </c>
      <c r="X900">
        <f>HYPERLINK("https://klasma.github.io/Logging_2085/kartor/A 56179-2025 karta.png", "A 56179-2025")</f>
        <v/>
      </c>
      <c r="Y900">
        <f>HYPERLINK("https://klasma.github.io/Logging_2085/kartor_geotiff/A 56179-2025 georefererad karta.tif", "A 56179-2025")</f>
        <v/>
      </c>
      <c r="Z900">
        <f>HYPERLINK("https://klasma.github.io/Logging_2085/knärot/A 56179-2025 karta knärot.png", "A 56179-2025")</f>
        <v/>
      </c>
      <c r="AA900">
        <f>HYPERLINK("https://klasma.github.io/Logging_2085/klagomål/A 56179-2025 FSC-klagomål.docx", "A 56179-2025")</f>
        <v/>
      </c>
      <c r="AB900">
        <f>HYPERLINK("https://klasma.github.io/Logging_2085/klagomålsmail/A 56179-2025 FSC-klagomål mail.docx", "A 56179-2025")</f>
        <v/>
      </c>
      <c r="AC900">
        <f>HYPERLINK("https://klasma.github.io/Logging_2085/tillsyn/A 56179-2025 tillsynsbegäran.docx", "A 56179-2025")</f>
        <v/>
      </c>
      <c r="AD900">
        <f>HYPERLINK("https://klasma.github.io/Logging_2085/tillsynsmail/A 56179-2025 tillsynsbegäran mail.docx", "A 56179-2025")</f>
        <v/>
      </c>
    </row>
    <row r="901" ht="15" customHeight="1">
      <c r="A901" t="inlineStr">
        <is>
          <t>A 28727-2026</t>
        </is>
      </c>
      <c r="B901" t="inlineStr">
        <is>
          <t>avverkningsanmälan</t>
        </is>
      </c>
      <c r="C901" t="inlineStr">
        <is>
          <t>Föryngringsavverkning</t>
        </is>
      </c>
      <c r="D901" s="1" t="n">
        <v>46198</v>
      </c>
      <c r="E901" s="1" t="n">
        <v>46319</v>
      </c>
      <c r="F901" t="inlineStr">
        <is>
          <t>DALARNAS LÄN</t>
        </is>
      </c>
      <c r="G901" t="inlineStr">
        <is>
          <t>LUDVIKA</t>
        </is>
      </c>
      <c r="H901" t="inlineStr">
        <is>
          <t>Bergvik skog väst AB</t>
        </is>
      </c>
      <c r="I901" t="n">
        <v>14</v>
      </c>
      <c r="J901" t="n">
        <v>0</v>
      </c>
      <c r="K901" t="n">
        <v>1</v>
      </c>
      <c r="L901" t="n">
        <v>0</v>
      </c>
      <c r="M901" t="n">
        <v>1</v>
      </c>
      <c r="N901" t="n">
        <v>0</v>
      </c>
      <c r="O901" t="n">
        <v>0</v>
      </c>
      <c r="P901" t="n">
        <v>0</v>
      </c>
      <c r="Q901" t="n">
        <v>1</v>
      </c>
      <c r="R901" t="n">
        <v>1</v>
      </c>
      <c r="S901" t="n">
        <v>2</v>
      </c>
      <c r="T901" t="n">
        <v>3</v>
      </c>
      <c r="U901" t="n">
        <v>3</v>
      </c>
      <c r="V901" s="2" t="inlineStr">
        <is>
          <t>Garnlav
Mindre märgborre</t>
        </is>
      </c>
      <c r="W901">
        <f>HYPERLINK("https://klasma.github.io/Logging_2085/artfynd/A 28727-2026 artfynd.xlsx", "A 28727-2026")</f>
        <v/>
      </c>
      <c r="X901">
        <f>HYPERLINK("https://klasma.github.io/Logging_2085/kartor/A 28727-2026 karta.png", "A 28727-2026")</f>
        <v/>
      </c>
      <c r="Y901">
        <f>HYPERLINK("https://klasma.github.io/Logging_2085/kartor_geotiff/A 28727-2026 georefererad karta.tif", "A 28727-2026")</f>
        <v/>
      </c>
      <c r="AA901">
        <f>HYPERLINK("https://klasma.github.io/Logging_2085/klagomål/A 28727-2026 FSC-klagomål.docx", "A 28727-2026")</f>
        <v/>
      </c>
      <c r="AB901">
        <f>HYPERLINK("https://klasma.github.io/Logging_2085/klagomålsmail/A 28727-2026 FSC-klagomål mail.docx", "A 28727-2026")</f>
        <v/>
      </c>
      <c r="AC901">
        <f>HYPERLINK("https://klasma.github.io/Logging_2085/tillsyn/A 28727-2026 tillsynsbegäran.docx", "A 28727-2026")</f>
        <v/>
      </c>
      <c r="AD901">
        <f>HYPERLINK("https://klasma.github.io/Logging_2085/tillsynsmail/A 28727-2026 tillsynsbegäran mail.docx", "A 28727-2026")</f>
        <v/>
      </c>
    </row>
    <row r="902" ht="15" customHeight="1">
      <c r="A902" t="inlineStr">
        <is>
          <t>A 30691-2024</t>
        </is>
      </c>
      <c r="B902" t="inlineStr">
        <is>
          <t>avverkningsanmälan</t>
        </is>
      </c>
      <c r="C902" t="inlineStr">
        <is>
          <t>Föryngringsavverkning</t>
        </is>
      </c>
      <c r="D902" s="1" t="n">
        <v>45496</v>
      </c>
      <c r="E902" s="1" t="n">
        <v>46319</v>
      </c>
      <c r="F902" t="inlineStr">
        <is>
          <t>DALARNAS LÄN</t>
        </is>
      </c>
      <c r="G902" t="inlineStr">
        <is>
          <t>ÄLVDALEN</t>
        </is>
      </c>
      <c r="I902" t="n">
        <v>2.9</v>
      </c>
      <c r="J902" t="n">
        <v>0</v>
      </c>
      <c r="K902" t="n">
        <v>0</v>
      </c>
      <c r="L902" t="n">
        <v>2</v>
      </c>
      <c r="M902" t="n">
        <v>0</v>
      </c>
      <c r="N902" t="n">
        <v>0</v>
      </c>
      <c r="O902" t="n">
        <v>0</v>
      </c>
      <c r="P902" t="n">
        <v>0</v>
      </c>
      <c r="Q902" t="n">
        <v>2</v>
      </c>
      <c r="R902" t="n">
        <v>0</v>
      </c>
      <c r="S902" t="n">
        <v>2</v>
      </c>
      <c r="T902" t="n">
        <v>2</v>
      </c>
      <c r="U902" t="n">
        <v>0</v>
      </c>
      <c r="V902" s="2" t="inlineStr">
        <is>
          <t>Dropptaggsvamp
Nordtagging</t>
        </is>
      </c>
      <c r="W902">
        <f>HYPERLINK("https://klasma.github.io/Logging_2039/artfynd/A 30691-2024 artfynd.xlsx", "A 30691-2024")</f>
        <v/>
      </c>
      <c r="X902">
        <f>HYPERLINK("https://klasma.github.io/Logging_2039/kartor/A 30691-2024 karta.png", "A 30691-2024")</f>
        <v/>
      </c>
      <c r="Y902">
        <f>HYPERLINK("https://klasma.github.io/Logging_2039/kartor_geotiff/A 30691-2024 georefererad karta.tif", "A 30691-2024")</f>
        <v/>
      </c>
      <c r="AA902">
        <f>HYPERLINK("https://klasma.github.io/Logging_2039/klagomål/A 30691-2024 FSC-klagomål.docx", "A 30691-2024")</f>
        <v/>
      </c>
      <c r="AB902">
        <f>HYPERLINK("https://klasma.github.io/Logging_2039/klagomålsmail/A 30691-2024 FSC-klagomål mail.docx", "A 30691-2024")</f>
        <v/>
      </c>
      <c r="AC902">
        <f>HYPERLINK("https://klasma.github.io/Logging_2039/tillsyn/A 30691-2024 tillsynsbegäran.docx", "A 30691-2024")</f>
        <v/>
      </c>
      <c r="AD902">
        <f>HYPERLINK("https://klasma.github.io/Logging_2039/tillsynsmail/A 30691-2024 tillsynsbegäran mail.docx", "A 30691-2024")</f>
        <v/>
      </c>
    </row>
    <row r="903" ht="15" customHeight="1">
      <c r="A903" t="inlineStr">
        <is>
          <t>A 28834-2026</t>
        </is>
      </c>
      <c r="B903" t="inlineStr">
        <is>
          <t>avverkningsanmälan</t>
        </is>
      </c>
      <c r="C903" t="inlineStr">
        <is>
          <t>Föryngringsavverkning</t>
        </is>
      </c>
      <c r="D903" s="1" t="n">
        <v>46198</v>
      </c>
      <c r="E903" s="1" t="n">
        <v>46319</v>
      </c>
      <c r="F903" t="inlineStr">
        <is>
          <t>DALARNAS LÄN</t>
        </is>
      </c>
      <c r="G903" t="inlineStr">
        <is>
          <t>MORA</t>
        </is>
      </c>
      <c r="I903" t="n">
        <v>0.8</v>
      </c>
      <c r="J903" t="n">
        <v>0</v>
      </c>
      <c r="K903" t="n">
        <v>1</v>
      </c>
      <c r="L903" t="n">
        <v>1</v>
      </c>
      <c r="M903" t="n">
        <v>0</v>
      </c>
      <c r="N903" t="n">
        <v>0</v>
      </c>
      <c r="O903" t="n">
        <v>0</v>
      </c>
      <c r="P903" t="n">
        <v>0</v>
      </c>
      <c r="Q903" t="n">
        <v>1</v>
      </c>
      <c r="R903" t="n">
        <v>0</v>
      </c>
      <c r="S903" t="n">
        <v>2</v>
      </c>
      <c r="T903" t="n">
        <v>2</v>
      </c>
      <c r="U903" t="n">
        <v>2</v>
      </c>
      <c r="V903" s="2" t="inlineStr">
        <is>
          <t>Mörk kolflarnlav
Mindre märgborre</t>
        </is>
      </c>
      <c r="W903">
        <f>HYPERLINK("https://klasma.github.io/Logging_2062/artfynd/A 28834-2026 artfynd.xlsx", "A 28834-2026")</f>
        <v/>
      </c>
      <c r="X903">
        <f>HYPERLINK("https://klasma.github.io/Logging_2062/kartor/A 28834-2026 karta.png", "A 28834-2026")</f>
        <v/>
      </c>
      <c r="Y903">
        <f>HYPERLINK("https://klasma.github.io/Logging_2062/kartor_geotiff/A 28834-2026 georefererad karta.tif", "A 28834-2026")</f>
        <v/>
      </c>
      <c r="AA903">
        <f>HYPERLINK("https://klasma.github.io/Logging_2062/klagomål/A 28834-2026 FSC-klagomål.docx", "A 28834-2026")</f>
        <v/>
      </c>
      <c r="AB903">
        <f>HYPERLINK("https://klasma.github.io/Logging_2062/klagomålsmail/A 28834-2026 FSC-klagomål mail.docx", "A 28834-2026")</f>
        <v/>
      </c>
      <c r="AC903">
        <f>HYPERLINK("https://klasma.github.io/Logging_2062/tillsyn/A 28834-2026 tillsynsbegäran.docx", "A 28834-2026")</f>
        <v/>
      </c>
      <c r="AD903">
        <f>HYPERLINK("https://klasma.github.io/Logging_2062/tillsynsmail/A 28834-2026 tillsynsbegäran mail.docx", "A 28834-2026")</f>
        <v/>
      </c>
    </row>
    <row r="904" ht="15" customHeight="1">
      <c r="A904" t="inlineStr">
        <is>
          <t>A 13950-2026</t>
        </is>
      </c>
      <c r="B904" t="inlineStr">
        <is>
          <t>avverkningsanmälan</t>
        </is>
      </c>
      <c r="C904" t="inlineStr">
        <is>
          <t>Föryngringsavverkning</t>
        </is>
      </c>
      <c r="D904" s="1" t="n">
        <v>46098</v>
      </c>
      <c r="E904" s="1" t="n">
        <v>46319</v>
      </c>
      <c r="F904" t="inlineStr">
        <is>
          <t>DALARNAS LÄN</t>
        </is>
      </c>
      <c r="G904" t="inlineStr">
        <is>
          <t>GAGNEF</t>
        </is>
      </c>
      <c r="H904" t="inlineStr">
        <is>
          <t>Bergvik skog väst AB</t>
        </is>
      </c>
      <c r="I904" t="n">
        <v>8.1</v>
      </c>
      <c r="J904" t="n">
        <v>2</v>
      </c>
      <c r="K904" t="n">
        <v>0</v>
      </c>
      <c r="L904" t="n">
        <v>0</v>
      </c>
      <c r="M904" t="n">
        <v>0</v>
      </c>
      <c r="N904" t="n">
        <v>0</v>
      </c>
      <c r="O904" t="n">
        <v>0</v>
      </c>
      <c r="P904" t="n">
        <v>0</v>
      </c>
      <c r="Q904" t="n">
        <v>0</v>
      </c>
      <c r="R904" t="n">
        <v>0</v>
      </c>
      <c r="S904" t="n">
        <v>2</v>
      </c>
      <c r="T904" t="n">
        <v>4</v>
      </c>
      <c r="U904" t="n">
        <v>0</v>
      </c>
      <c r="V904" s="2" t="inlineStr">
        <is>
          <t>Mindre vattensalamander
Vanlig groda</t>
        </is>
      </c>
      <c r="W904">
        <f>HYPERLINK("https://klasma.github.io/Logging_2026/artfynd/A 13950-2026 artfynd.xlsx", "A 13950-2026")</f>
        <v/>
      </c>
      <c r="X904">
        <f>HYPERLINK("https://klasma.github.io/Logging_2026/kartor/A 13950-2026 karta.png", "A 13950-2026")</f>
        <v/>
      </c>
      <c r="Y904">
        <f>HYPERLINK("https://klasma.github.io/Logging_2026/kartor_geotiff/A 13950-2026 georefererad karta.tif", "A 13950-2026")</f>
        <v/>
      </c>
      <c r="AA904">
        <f>HYPERLINK("https://klasma.github.io/Logging_2026/klagomål/A 13950-2026 FSC-klagomål.docx", "A 13950-2026")</f>
        <v/>
      </c>
      <c r="AB904">
        <f>HYPERLINK("https://klasma.github.io/Logging_2026/klagomålsmail/A 13950-2026 FSC-klagomål mail.docx", "A 13950-2026")</f>
        <v/>
      </c>
      <c r="AC904">
        <f>HYPERLINK("https://klasma.github.io/Logging_2026/tillsyn/A 13950-2026 tillsynsbegäran.docx", "A 13950-2026")</f>
        <v/>
      </c>
      <c r="AD904">
        <f>HYPERLINK("https://klasma.github.io/Logging_2026/tillsynsmail/A 13950-2026 tillsynsbegäran mail.docx", "A 13950-2026")</f>
        <v/>
      </c>
    </row>
    <row r="905" ht="15" customHeight="1">
      <c r="A905" t="inlineStr">
        <is>
          <t>A 21369-2023</t>
        </is>
      </c>
      <c r="B905" t="inlineStr">
        <is>
          <t>avverkningsanmälan</t>
        </is>
      </c>
      <c r="C905" t="inlineStr">
        <is>
          <t>Föryngringsavverkning</t>
        </is>
      </c>
      <c r="D905" s="1" t="n">
        <v>45063</v>
      </c>
      <c r="E905" s="1" t="n">
        <v>46319</v>
      </c>
      <c r="F905" t="inlineStr">
        <is>
          <t>DALARNAS LÄN</t>
        </is>
      </c>
      <c r="G905" t="inlineStr">
        <is>
          <t>LUDVIKA</t>
        </is>
      </c>
      <c r="H905" t="inlineStr">
        <is>
          <t>Bergvik skog väst AB</t>
        </is>
      </c>
      <c r="I905" t="n">
        <v>0.4</v>
      </c>
      <c r="J905" t="n">
        <v>0</v>
      </c>
      <c r="K905" t="n">
        <v>1</v>
      </c>
      <c r="L905" t="n">
        <v>0</v>
      </c>
      <c r="M905" t="n">
        <v>0</v>
      </c>
      <c r="N905" t="n">
        <v>1</v>
      </c>
      <c r="O905" t="n">
        <v>0</v>
      </c>
      <c r="P905" t="n">
        <v>0</v>
      </c>
      <c r="Q905" t="n">
        <v>1</v>
      </c>
      <c r="R905" t="n">
        <v>1</v>
      </c>
      <c r="S905" t="n">
        <v>2</v>
      </c>
      <c r="T905" t="n">
        <v>2</v>
      </c>
      <c r="U905" t="n">
        <v>0</v>
      </c>
      <c r="V905" s="2" t="inlineStr">
        <is>
          <t>Skogsalm
Tibast</t>
        </is>
      </c>
      <c r="W905">
        <f>HYPERLINK("https://klasma.github.io/Logging_2085/artfynd/A 21369-2023 artfynd.xlsx", "A 21369-2023")</f>
        <v/>
      </c>
      <c r="X905">
        <f>HYPERLINK("https://klasma.github.io/Logging_2085/kartor/A 21369-2023 karta.png", "A 21369-2023")</f>
        <v/>
      </c>
      <c r="Y905">
        <f>HYPERLINK("https://klasma.github.io/Logging_2085/kartor_geotiff/A 21369-2023 georefererad karta.tif", "A 21369-2023")</f>
        <v/>
      </c>
      <c r="AA905">
        <f>HYPERLINK("https://klasma.github.io/Logging_2085/klagomål/A 21369-2023 FSC-klagomål.docx", "A 21369-2023")</f>
        <v/>
      </c>
      <c r="AB905">
        <f>HYPERLINK("https://klasma.github.io/Logging_2085/klagomålsmail/A 21369-2023 FSC-klagomål mail.docx", "A 21369-2023")</f>
        <v/>
      </c>
      <c r="AC905">
        <f>HYPERLINK("https://klasma.github.io/Logging_2085/tillsyn/A 21369-2023 tillsynsbegäran.docx", "A 21369-2023")</f>
        <v/>
      </c>
      <c r="AD905">
        <f>HYPERLINK("https://klasma.github.io/Logging_2085/tillsynsmail/A 21369-2023 tillsynsbegäran mail.docx", "A 21369-2023")</f>
        <v/>
      </c>
    </row>
    <row r="906" ht="15" customHeight="1">
      <c r="A906" t="inlineStr">
        <is>
          <t>A 21421-2023</t>
        </is>
      </c>
      <c r="B906" t="inlineStr">
        <is>
          <t>avverkningsanmälan</t>
        </is>
      </c>
      <c r="C906" t="inlineStr">
        <is>
          <t>Föryngringsavverkning</t>
        </is>
      </c>
      <c r="D906" s="1" t="n">
        <v>45063</v>
      </c>
      <c r="E906" s="1" t="n">
        <v>46319</v>
      </c>
      <c r="F906" t="inlineStr">
        <is>
          <t>DALARNAS LÄN</t>
        </is>
      </c>
      <c r="G906" t="inlineStr">
        <is>
          <t>SMEDJEBACKEN</t>
        </is>
      </c>
      <c r="H906" t="inlineStr">
        <is>
          <t>Bergvik skog väst AB</t>
        </is>
      </c>
      <c r="I906" t="n">
        <v>0.5</v>
      </c>
      <c r="J906" t="n">
        <v>0</v>
      </c>
      <c r="K906" t="n">
        <v>0</v>
      </c>
      <c r="L906" t="n">
        <v>2</v>
      </c>
      <c r="M906" t="n">
        <v>0</v>
      </c>
      <c r="N906" t="n">
        <v>0</v>
      </c>
      <c r="O906" t="n">
        <v>0</v>
      </c>
      <c r="P906" t="n">
        <v>0</v>
      </c>
      <c r="Q906" t="n">
        <v>2</v>
      </c>
      <c r="R906" t="n">
        <v>0</v>
      </c>
      <c r="S906" t="n">
        <v>2</v>
      </c>
      <c r="T906" t="n">
        <v>2</v>
      </c>
      <c r="U906" t="n">
        <v>2</v>
      </c>
      <c r="V906" s="2" t="inlineStr">
        <is>
          <t>Barrpraktbagge
Tallkötticka</t>
        </is>
      </c>
      <c r="W906">
        <f>HYPERLINK("https://klasma.github.io/Logging_2061/artfynd/A 21421-2023 artfynd.xlsx", "A 21421-2023")</f>
        <v/>
      </c>
      <c r="X906">
        <f>HYPERLINK("https://klasma.github.io/Logging_2061/kartor/A 21421-2023 karta.png", "A 21421-2023")</f>
        <v/>
      </c>
      <c r="Y906">
        <f>HYPERLINK("https://klasma.github.io/Logging_2061/kartor_geotiff/A 21421-2023 georefererad karta.tif", "A 21421-2023")</f>
        <v/>
      </c>
      <c r="AA906">
        <f>HYPERLINK("https://klasma.github.io/Logging_2061/klagomål/A 21421-2023 FSC-klagomål.docx", "A 21421-2023")</f>
        <v/>
      </c>
      <c r="AB906">
        <f>HYPERLINK("https://klasma.github.io/Logging_2061/klagomålsmail/A 21421-2023 FSC-klagomål mail.docx", "A 21421-2023")</f>
        <v/>
      </c>
      <c r="AC906">
        <f>HYPERLINK("https://klasma.github.io/Logging_2061/tillsyn/A 21421-2023 tillsynsbegäran.docx", "A 21421-2023")</f>
        <v/>
      </c>
      <c r="AD906">
        <f>HYPERLINK("https://klasma.github.io/Logging_2061/tillsynsmail/A 21421-2023 tillsynsbegäran mail.docx", "A 21421-2023")</f>
        <v/>
      </c>
    </row>
    <row r="907" ht="15" customHeight="1">
      <c r="A907" t="inlineStr">
        <is>
          <t>A 10740-2024</t>
        </is>
      </c>
      <c r="B907" t="inlineStr">
        <is>
          <t>avverkningsanmälan</t>
        </is>
      </c>
      <c r="C907" t="inlineStr">
        <is>
          <t>Föryngringsavverkning</t>
        </is>
      </c>
      <c r="D907" s="1" t="n">
        <v>45369</v>
      </c>
      <c r="E907" s="1" t="n">
        <v>46319</v>
      </c>
      <c r="F907" t="inlineStr">
        <is>
          <t>DALARNAS LÄN</t>
        </is>
      </c>
      <c r="G907" t="inlineStr">
        <is>
          <t>BORLÄNGE</t>
        </is>
      </c>
      <c r="I907" t="n">
        <v>1</v>
      </c>
      <c r="J907" t="n">
        <v>0</v>
      </c>
      <c r="K907" t="n">
        <v>0</v>
      </c>
      <c r="L907" t="n">
        <v>1</v>
      </c>
      <c r="M907" t="n">
        <v>1</v>
      </c>
      <c r="N907" t="n">
        <v>0</v>
      </c>
      <c r="O907" t="n">
        <v>0</v>
      </c>
      <c r="P907" t="n">
        <v>0</v>
      </c>
      <c r="Q907" t="n">
        <v>2</v>
      </c>
      <c r="R907" t="n">
        <v>1</v>
      </c>
      <c r="S907" t="n">
        <v>2</v>
      </c>
      <c r="T907" t="n">
        <v>2</v>
      </c>
      <c r="U907" t="n">
        <v>0</v>
      </c>
      <c r="V907" s="2" t="inlineStr">
        <is>
          <t>Skrovlig taggsvamp
Ullticka</t>
        </is>
      </c>
      <c r="W907">
        <f>HYPERLINK("https://klasma.github.io/Logging_2081/artfynd/A 10740-2024 artfynd.xlsx", "A 10740-2024")</f>
        <v/>
      </c>
      <c r="X907">
        <f>HYPERLINK("https://klasma.github.io/Logging_2081/kartor/A 10740-2024 karta.png", "A 10740-2024")</f>
        <v/>
      </c>
      <c r="Y907">
        <f>HYPERLINK("https://klasma.github.io/Logging_2081/kartor_geotiff/A 10740-2024 georefererad karta.tif", "A 10740-2024")</f>
        <v/>
      </c>
      <c r="AA907">
        <f>HYPERLINK("https://klasma.github.io/Logging_2081/klagomål/A 10740-2024 FSC-klagomål.docx", "A 10740-2024")</f>
        <v/>
      </c>
      <c r="AB907">
        <f>HYPERLINK("https://klasma.github.io/Logging_2081/klagomålsmail/A 10740-2024 FSC-klagomål mail.docx", "A 10740-2024")</f>
        <v/>
      </c>
      <c r="AC907">
        <f>HYPERLINK("https://klasma.github.io/Logging_2081/tillsyn/A 10740-2024 tillsynsbegäran.docx", "A 10740-2024")</f>
        <v/>
      </c>
      <c r="AD907">
        <f>HYPERLINK("https://klasma.github.io/Logging_2081/tillsynsmail/A 10740-2024 tillsynsbegäran mail.docx", "A 10740-2024")</f>
        <v/>
      </c>
    </row>
    <row r="908" ht="15" customHeight="1">
      <c r="A908" t="inlineStr">
        <is>
          <t>A 26586-2023</t>
        </is>
      </c>
      <c r="B908" t="inlineStr">
        <is>
          <t>avverkningsanmälan</t>
        </is>
      </c>
      <c r="C908" t="inlineStr">
        <is>
          <t>Föryngringsavverkning</t>
        </is>
      </c>
      <c r="D908" s="1" t="n">
        <v>45092</v>
      </c>
      <c r="E908" s="1" t="n">
        <v>46319</v>
      </c>
      <c r="F908" t="inlineStr">
        <is>
          <t>DALARNAS LÄN</t>
        </is>
      </c>
      <c r="G908" t="inlineStr">
        <is>
          <t>FALUN</t>
        </is>
      </c>
      <c r="I908" t="n">
        <v>6.1</v>
      </c>
      <c r="J908" t="n">
        <v>2</v>
      </c>
      <c r="K908" t="n">
        <v>0</v>
      </c>
      <c r="L908" t="n">
        <v>0</v>
      </c>
      <c r="M908" t="n">
        <v>0</v>
      </c>
      <c r="N908" t="n">
        <v>0</v>
      </c>
      <c r="O908" t="n">
        <v>0</v>
      </c>
      <c r="P908" t="n">
        <v>0</v>
      </c>
      <c r="Q908" t="n">
        <v>0</v>
      </c>
      <c r="R908" t="n">
        <v>0</v>
      </c>
      <c r="S908" t="n">
        <v>2</v>
      </c>
      <c r="T908" t="n">
        <v>2</v>
      </c>
      <c r="U908" t="n">
        <v>0</v>
      </c>
      <c r="V908" s="2" t="inlineStr">
        <is>
          <t>Spillkråka
Tjäder</t>
        </is>
      </c>
      <c r="W908">
        <f>HYPERLINK("https://klasma.github.io/Logging_2080/artfynd/A 26586-2023 artfynd.xlsx", "A 26586-2023")</f>
        <v/>
      </c>
      <c r="X908">
        <f>HYPERLINK("https://klasma.github.io/Logging_2080/kartor/A 26586-2023 karta.png", "A 26586-2023")</f>
        <v/>
      </c>
      <c r="Y908">
        <f>HYPERLINK("https://klasma.github.io/Logging_2080/kartor_geotiff/A 26586-2023 georefererad karta.tif", "A 26586-2023")</f>
        <v/>
      </c>
      <c r="AA908">
        <f>HYPERLINK("https://klasma.github.io/Logging_2080/klagomål/A 26586-2023 FSC-klagomål.docx", "A 26586-2023")</f>
        <v/>
      </c>
      <c r="AB908">
        <f>HYPERLINK("https://klasma.github.io/Logging_2080/klagomålsmail/A 26586-2023 FSC-klagomål mail.docx", "A 26586-2023")</f>
        <v/>
      </c>
      <c r="AC908">
        <f>HYPERLINK("https://klasma.github.io/Logging_2080/tillsyn/A 26586-2023 tillsynsbegäran.docx", "A 26586-2023")</f>
        <v/>
      </c>
      <c r="AD908">
        <f>HYPERLINK("https://klasma.github.io/Logging_2080/tillsynsmail/A 26586-2023 tillsynsbegäran mail.docx", "A 26586-2023")</f>
        <v/>
      </c>
      <c r="AE908">
        <f>HYPERLINK("https://klasma.github.io/Logging_2080/fåglar/A 26586-2023 prioriterade fågelarter.docx", "A 26586-2023")</f>
        <v/>
      </c>
    </row>
    <row r="909" ht="15" customHeight="1">
      <c r="A909" t="inlineStr">
        <is>
          <t>A 16845-2024</t>
        </is>
      </c>
      <c r="B909" t="inlineStr">
        <is>
          <t>avverkningsanmälan</t>
        </is>
      </c>
      <c r="C909" t="inlineStr">
        <is>
          <t>Föryngringsavverkning</t>
        </is>
      </c>
      <c r="D909" s="1" t="n">
        <v>45411</v>
      </c>
      <c r="E909" s="1" t="n">
        <v>46319</v>
      </c>
      <c r="F909" t="inlineStr">
        <is>
          <t>DALARNAS LÄN</t>
        </is>
      </c>
      <c r="G909" t="inlineStr">
        <is>
          <t>SÄTER</t>
        </is>
      </c>
      <c r="I909" t="n">
        <v>1.4</v>
      </c>
      <c r="J909" t="n">
        <v>2</v>
      </c>
      <c r="K909" t="n">
        <v>0</v>
      </c>
      <c r="L909" t="n">
        <v>0</v>
      </c>
      <c r="M909" t="n">
        <v>0</v>
      </c>
      <c r="N909" t="n">
        <v>0</v>
      </c>
      <c r="O909" t="n">
        <v>0</v>
      </c>
      <c r="P909" t="n">
        <v>0</v>
      </c>
      <c r="Q909" t="n">
        <v>0</v>
      </c>
      <c r="R909" t="n">
        <v>0</v>
      </c>
      <c r="S909" t="n">
        <v>2</v>
      </c>
      <c r="T909" t="n">
        <v>2</v>
      </c>
      <c r="U909" t="n">
        <v>2</v>
      </c>
      <c r="V909" s="2" t="inlineStr">
        <is>
          <t>Järpe
Kungsfågel</t>
        </is>
      </c>
      <c r="W909">
        <f>HYPERLINK("https://klasma.github.io/Logging_2082/artfynd/A 16845-2024 artfynd.xlsx", "A 16845-2024")</f>
        <v/>
      </c>
      <c r="X909">
        <f>HYPERLINK("https://klasma.github.io/Logging_2082/kartor/A 16845-2024 karta.png", "A 16845-2024")</f>
        <v/>
      </c>
      <c r="Y909">
        <f>HYPERLINK("https://klasma.github.io/Logging_2082/kartor_geotiff/A 16845-2024 georefererad karta.tif", "A 16845-2024")</f>
        <v/>
      </c>
      <c r="AA909">
        <f>HYPERLINK("https://klasma.github.io/Logging_2082/klagomål/A 16845-2024 FSC-klagomål.docx", "A 16845-2024")</f>
        <v/>
      </c>
      <c r="AB909">
        <f>HYPERLINK("https://klasma.github.io/Logging_2082/klagomålsmail/A 16845-2024 FSC-klagomål mail.docx", "A 16845-2024")</f>
        <v/>
      </c>
      <c r="AC909">
        <f>HYPERLINK("https://klasma.github.io/Logging_2082/tillsyn/A 16845-2024 tillsynsbegäran.docx", "A 16845-2024")</f>
        <v/>
      </c>
      <c r="AD909">
        <f>HYPERLINK("https://klasma.github.io/Logging_2082/tillsynsmail/A 16845-2024 tillsynsbegäran mail.docx", "A 16845-2024")</f>
        <v/>
      </c>
      <c r="AE909">
        <f>HYPERLINK("https://klasma.github.io/Logging_2082/fåglar/A 16845-2024 prioriterade fågelarter.docx", "A 16845-2024")</f>
        <v/>
      </c>
    </row>
    <row r="910" ht="15" customHeight="1">
      <c r="A910" t="inlineStr">
        <is>
          <t>A 30369-2026</t>
        </is>
      </c>
      <c r="B910" t="inlineStr">
        <is>
          <t>avverkningsanmälan</t>
        </is>
      </c>
      <c r="C910" t="inlineStr">
        <is>
          <t>Föryngringsavverkning</t>
        </is>
      </c>
      <c r="D910" s="1" t="n">
        <v>46209</v>
      </c>
      <c r="E910" s="1" t="n">
        <v>46319</v>
      </c>
      <c r="F910" t="inlineStr">
        <is>
          <t>DALARNAS LÄN</t>
        </is>
      </c>
      <c r="G910" t="inlineStr">
        <is>
          <t>BORLÄNGE</t>
        </is>
      </c>
      <c r="I910" t="n">
        <v>0.8</v>
      </c>
      <c r="J910" t="n">
        <v>0</v>
      </c>
      <c r="K910" t="n">
        <v>1</v>
      </c>
      <c r="L910" t="n">
        <v>1</v>
      </c>
      <c r="M910" t="n">
        <v>0</v>
      </c>
      <c r="N910" t="n">
        <v>0</v>
      </c>
      <c r="O910" t="n">
        <v>0</v>
      </c>
      <c r="P910" t="n">
        <v>0</v>
      </c>
      <c r="Q910" t="n">
        <v>1</v>
      </c>
      <c r="R910" t="n">
        <v>0</v>
      </c>
      <c r="S910" t="n">
        <v>2</v>
      </c>
      <c r="T910" t="n">
        <v>2</v>
      </c>
      <c r="U910" t="n">
        <v>0</v>
      </c>
      <c r="V910" s="2" t="inlineStr">
        <is>
          <t>Brunklöver
Hagfingersvamp</t>
        </is>
      </c>
      <c r="W910">
        <f>HYPERLINK("https://klasma.github.io/Logging_2081/artfynd/A 30369-2026 artfynd.xlsx", "A 30369-2026")</f>
        <v/>
      </c>
      <c r="X910">
        <f>HYPERLINK("https://klasma.github.io/Logging_2081/kartor/A 30369-2026 karta.png", "A 30369-2026")</f>
        <v/>
      </c>
      <c r="Y910">
        <f>HYPERLINK("https://klasma.github.io/Logging_2081/kartor_geotiff/A 30369-2026 georefererad karta.tif", "A 30369-2026")</f>
        <v/>
      </c>
      <c r="AA910">
        <f>HYPERLINK("https://klasma.github.io/Logging_2081/klagomål/A 30369-2026 FSC-klagomål.docx", "A 30369-2026")</f>
        <v/>
      </c>
      <c r="AB910">
        <f>HYPERLINK("https://klasma.github.io/Logging_2081/klagomålsmail/A 30369-2026 FSC-klagomål mail.docx", "A 30369-2026")</f>
        <v/>
      </c>
      <c r="AC910">
        <f>HYPERLINK("https://klasma.github.io/Logging_2081/tillsyn/A 30369-2026 tillsynsbegäran.docx", "A 30369-2026")</f>
        <v/>
      </c>
      <c r="AD910">
        <f>HYPERLINK("https://klasma.github.io/Logging_2081/tillsynsmail/A 30369-2026 tillsynsbegäran mail.docx", "A 30369-2026")</f>
        <v/>
      </c>
    </row>
    <row r="911" ht="15" customHeight="1">
      <c r="A911" t="inlineStr">
        <is>
          <t>A 30672-2026</t>
        </is>
      </c>
      <c r="B911" t="inlineStr">
        <is>
          <t>avverkningsanmälan</t>
        </is>
      </c>
      <c r="C911" t="inlineStr">
        <is>
          <t>Föryngringsavverkning</t>
        </is>
      </c>
      <c r="D911" s="1" t="n">
        <v>46211</v>
      </c>
      <c r="E911" s="1" t="n">
        <v>46319</v>
      </c>
      <c r="F911" t="inlineStr">
        <is>
          <t>DALARNAS LÄN</t>
        </is>
      </c>
      <c r="G911" t="inlineStr">
        <is>
          <t>ORSA</t>
        </is>
      </c>
      <c r="H911" t="inlineStr">
        <is>
          <t>Bergvik skog öst AB</t>
        </is>
      </c>
      <c r="I911" t="n">
        <v>16.8</v>
      </c>
      <c r="J911" t="n">
        <v>1</v>
      </c>
      <c r="K911" t="n">
        <v>1</v>
      </c>
      <c r="L911" t="n">
        <v>0</v>
      </c>
      <c r="M911" t="n">
        <v>0</v>
      </c>
      <c r="N911" t="n">
        <v>0</v>
      </c>
      <c r="O911" t="n">
        <v>0</v>
      </c>
      <c r="P911" t="n">
        <v>0</v>
      </c>
      <c r="Q911" t="n">
        <v>0</v>
      </c>
      <c r="R911" t="n">
        <v>0</v>
      </c>
      <c r="S911" t="n">
        <v>2</v>
      </c>
      <c r="T911" t="n">
        <v>2</v>
      </c>
      <c r="U911" t="n">
        <v>0</v>
      </c>
      <c r="V911" s="2" t="inlineStr">
        <is>
          <t>Plattlummer
Stjärnstarr</t>
        </is>
      </c>
      <c r="W911">
        <f>HYPERLINK("https://klasma.github.io/Logging_2034/artfynd/A 30672-2026 artfynd.xlsx", "A 30672-2026")</f>
        <v/>
      </c>
      <c r="X911">
        <f>HYPERLINK("https://klasma.github.io/Logging_2034/kartor/A 30672-2026 karta.png", "A 30672-2026")</f>
        <v/>
      </c>
      <c r="Y911">
        <f>HYPERLINK("https://klasma.github.io/Logging_2034/kartor_geotiff/A 30672-2026 georefererad karta.tif", "A 30672-2026")</f>
        <v/>
      </c>
      <c r="AA911">
        <f>HYPERLINK("https://klasma.github.io/Logging_2034/klagomål/A 30672-2026 FSC-klagomål.docx", "A 30672-2026")</f>
        <v/>
      </c>
      <c r="AB911">
        <f>HYPERLINK("https://klasma.github.io/Logging_2034/klagomålsmail/A 30672-2026 FSC-klagomål mail.docx", "A 30672-2026")</f>
        <v/>
      </c>
      <c r="AC911">
        <f>HYPERLINK("https://klasma.github.io/Logging_2034/tillsyn/A 30672-2026 tillsynsbegäran.docx", "A 30672-2026")</f>
        <v/>
      </c>
      <c r="AD911">
        <f>HYPERLINK("https://klasma.github.io/Logging_2034/tillsynsmail/A 30672-2026 tillsynsbegäran mail.docx", "A 30672-2026")</f>
        <v/>
      </c>
    </row>
    <row r="912" ht="15" customHeight="1">
      <c r="A912" t="inlineStr">
        <is>
          <t>A 17368-2026</t>
        </is>
      </c>
      <c r="B912" t="inlineStr">
        <is>
          <t>avverkningsanmälan</t>
        </is>
      </c>
      <c r="C912" t="inlineStr">
        <is>
          <t>Föryngringsavverkning</t>
        </is>
      </c>
      <c r="D912" s="1" t="n">
        <v>46119</v>
      </c>
      <c r="E912" s="1" t="n">
        <v>46319</v>
      </c>
      <c r="F912" t="inlineStr">
        <is>
          <t>DALARNAS LÄN</t>
        </is>
      </c>
      <c r="G912" t="inlineStr">
        <is>
          <t>FALUN</t>
        </is>
      </c>
      <c r="I912" t="n">
        <v>1.1</v>
      </c>
      <c r="J912" t="n">
        <v>0</v>
      </c>
      <c r="K912" t="n">
        <v>0</v>
      </c>
      <c r="L912" t="n">
        <v>2</v>
      </c>
      <c r="M912" t="n">
        <v>0</v>
      </c>
      <c r="N912" t="n">
        <v>0</v>
      </c>
      <c r="O912" t="n">
        <v>0</v>
      </c>
      <c r="P912" t="n">
        <v>0</v>
      </c>
      <c r="Q912" t="n">
        <v>2</v>
      </c>
      <c r="R912" t="n">
        <v>0</v>
      </c>
      <c r="S912" t="n">
        <v>2</v>
      </c>
      <c r="T912" t="n">
        <v>2</v>
      </c>
      <c r="U912" t="n">
        <v>0</v>
      </c>
      <c r="V912" s="2" t="inlineStr">
        <is>
          <t>Rosenticka
Ullticka</t>
        </is>
      </c>
      <c r="W912">
        <f>HYPERLINK("https://klasma.github.io/Logging_2080/artfynd/A 17368-2026 artfynd.xlsx", "A 17368-2026")</f>
        <v/>
      </c>
      <c r="X912">
        <f>HYPERLINK("https://klasma.github.io/Logging_2080/kartor/A 17368-2026 karta.png", "A 17368-2026")</f>
        <v/>
      </c>
      <c r="Y912">
        <f>HYPERLINK("https://klasma.github.io/Logging_2080/kartor_geotiff/A 17368-2026 georefererad karta.tif", "A 17368-2026")</f>
        <v/>
      </c>
      <c r="AA912">
        <f>HYPERLINK("https://klasma.github.io/Logging_2080/klagomål/A 17368-2026 FSC-klagomål.docx", "A 17368-2026")</f>
        <v/>
      </c>
      <c r="AB912">
        <f>HYPERLINK("https://klasma.github.io/Logging_2080/klagomålsmail/A 17368-2026 FSC-klagomål mail.docx", "A 17368-2026")</f>
        <v/>
      </c>
      <c r="AC912">
        <f>HYPERLINK("https://klasma.github.io/Logging_2080/tillsyn/A 17368-2026 tillsynsbegäran.docx", "A 17368-2026")</f>
        <v/>
      </c>
      <c r="AD912">
        <f>HYPERLINK("https://klasma.github.io/Logging_2080/tillsynsmail/A 17368-2026 tillsynsbegäran mail.docx", "A 17368-2026")</f>
        <v/>
      </c>
    </row>
    <row r="913" ht="15" customHeight="1">
      <c r="A913" t="inlineStr">
        <is>
          <t>A 60614-2025</t>
        </is>
      </c>
      <c r="B913" t="inlineStr">
        <is>
          <t>avverkningsanmälan</t>
        </is>
      </c>
      <c r="C913" t="inlineStr">
        <is>
          <t>Föryngringsavverkning</t>
        </is>
      </c>
      <c r="D913" s="1" t="n">
        <v>45996</v>
      </c>
      <c r="E913" s="1" t="n">
        <v>46319</v>
      </c>
      <c r="F913" t="inlineStr">
        <is>
          <t>DALARNAS LÄN</t>
        </is>
      </c>
      <c r="G913" t="inlineStr">
        <is>
          <t>LEKSAND</t>
        </is>
      </c>
      <c r="I913" t="n">
        <v>3.4</v>
      </c>
      <c r="J913" t="n">
        <v>1</v>
      </c>
      <c r="K913" t="n">
        <v>0</v>
      </c>
      <c r="L913" t="n">
        <v>1</v>
      </c>
      <c r="M913" t="n">
        <v>0</v>
      </c>
      <c r="N913" t="n">
        <v>0</v>
      </c>
      <c r="O913" t="n">
        <v>0</v>
      </c>
      <c r="P913" t="n">
        <v>0</v>
      </c>
      <c r="Q913" t="n">
        <v>1</v>
      </c>
      <c r="R913" t="n">
        <v>0</v>
      </c>
      <c r="S913" t="n">
        <v>2</v>
      </c>
      <c r="T913" t="n">
        <v>4</v>
      </c>
      <c r="U913" t="n">
        <v>4</v>
      </c>
      <c r="V913" s="2" t="inlineStr">
        <is>
          <t>Majviva
Fläcknycklar</t>
        </is>
      </c>
      <c r="W913">
        <f>HYPERLINK("https://klasma.github.io/Logging_2029/artfynd/A 60614-2025 artfynd.xlsx", "A 60614-2025")</f>
        <v/>
      </c>
      <c r="X913">
        <f>HYPERLINK("https://klasma.github.io/Logging_2029/kartor/A 60614-2025 karta.png", "A 60614-2025")</f>
        <v/>
      </c>
      <c r="Y913">
        <f>HYPERLINK("https://klasma.github.io/Logging_2029/kartor_geotiff/A 60614-2025 georefererad karta.tif", "A 60614-2025")</f>
        <v/>
      </c>
      <c r="AA913">
        <f>HYPERLINK("https://klasma.github.io/Logging_2029/klagomål/A 60614-2025 FSC-klagomål.docx", "A 60614-2025")</f>
        <v/>
      </c>
      <c r="AB913">
        <f>HYPERLINK("https://klasma.github.io/Logging_2029/klagomålsmail/A 60614-2025 FSC-klagomål mail.docx", "A 60614-2025")</f>
        <v/>
      </c>
      <c r="AC913">
        <f>HYPERLINK("https://klasma.github.io/Logging_2029/tillsyn/A 60614-2025 tillsynsbegäran.docx", "A 60614-2025")</f>
        <v/>
      </c>
      <c r="AD913">
        <f>HYPERLINK("https://klasma.github.io/Logging_2029/tillsynsmail/A 60614-2025 tillsynsbegäran mail.docx", "A 60614-2025")</f>
        <v/>
      </c>
    </row>
    <row r="914" ht="15" customHeight="1">
      <c r="A914" t="inlineStr">
        <is>
          <t>A 28639-2026</t>
        </is>
      </c>
      <c r="B914" t="inlineStr">
        <is>
          <t>avverkningsanmälan</t>
        </is>
      </c>
      <c r="C914" t="inlineStr">
        <is>
          <t>Föryngringsavverkning</t>
        </is>
      </c>
      <c r="D914" s="1" t="n">
        <v>46198</v>
      </c>
      <c r="E914" s="1" t="n">
        <v>46319</v>
      </c>
      <c r="F914" t="inlineStr">
        <is>
          <t>DALARNAS LÄN</t>
        </is>
      </c>
      <c r="G914" t="inlineStr">
        <is>
          <t>LUDVIKA</t>
        </is>
      </c>
      <c r="H914" t="inlineStr">
        <is>
          <t>Bergvik skog väst AB</t>
        </is>
      </c>
      <c r="I914" t="n">
        <v>2.7</v>
      </c>
      <c r="J914" t="n">
        <v>0</v>
      </c>
      <c r="K914" t="n">
        <v>0</v>
      </c>
      <c r="L914" t="n">
        <v>2</v>
      </c>
      <c r="M914" t="n">
        <v>0</v>
      </c>
      <c r="N914" t="n">
        <v>0</v>
      </c>
      <c r="O914" t="n">
        <v>0</v>
      </c>
      <c r="P914" t="n">
        <v>0</v>
      </c>
      <c r="Q914" t="n">
        <v>2</v>
      </c>
      <c r="R914" t="n">
        <v>0</v>
      </c>
      <c r="S914" t="n">
        <v>2</v>
      </c>
      <c r="T914" t="n">
        <v>3</v>
      </c>
      <c r="U914" t="n">
        <v>0</v>
      </c>
      <c r="V914" s="2" t="inlineStr">
        <is>
          <t>Blå taggsvamp
Motaggsvamp</t>
        </is>
      </c>
      <c r="W914">
        <f>HYPERLINK("https://klasma.github.io/Logging_2085/artfynd/A 28639-2026 artfynd.xlsx", "A 28639-2026")</f>
        <v/>
      </c>
      <c r="X914">
        <f>HYPERLINK("https://klasma.github.io/Logging_2085/kartor/A 28639-2026 karta.png", "A 28639-2026")</f>
        <v/>
      </c>
      <c r="Y914">
        <f>HYPERLINK("https://klasma.github.io/Logging_2085/kartor_geotiff/A 28639-2026 georefererad karta.tif", "A 28639-2026")</f>
        <v/>
      </c>
      <c r="AA914">
        <f>HYPERLINK("https://klasma.github.io/Logging_2085/klagomål/A 28639-2026 FSC-klagomål.docx", "A 28639-2026")</f>
        <v/>
      </c>
      <c r="AB914">
        <f>HYPERLINK("https://klasma.github.io/Logging_2085/klagomålsmail/A 28639-2026 FSC-klagomål mail.docx", "A 28639-2026")</f>
        <v/>
      </c>
      <c r="AC914">
        <f>HYPERLINK("https://klasma.github.io/Logging_2085/tillsyn/A 28639-2026 tillsynsbegäran.docx", "A 28639-2026")</f>
        <v/>
      </c>
      <c r="AD914">
        <f>HYPERLINK("https://klasma.github.io/Logging_2085/tillsynsmail/A 28639-2026 tillsynsbegäran mail.docx", "A 28639-2026")</f>
        <v/>
      </c>
    </row>
    <row r="915" ht="15" customHeight="1">
      <c r="A915" t="inlineStr">
        <is>
          <t>A 36058-2024</t>
        </is>
      </c>
      <c r="B915" t="inlineStr">
        <is>
          <t>avverkningsanmälan</t>
        </is>
      </c>
      <c r="C915" t="inlineStr">
        <is>
          <t>Föryngringsavverkning</t>
        </is>
      </c>
      <c r="D915" s="1" t="n">
        <v>45533</v>
      </c>
      <c r="E915" s="1" t="n">
        <v>46319</v>
      </c>
      <c r="F915" t="inlineStr">
        <is>
          <t>DALARNAS LÄN</t>
        </is>
      </c>
      <c r="G915" t="inlineStr">
        <is>
          <t>MORA</t>
        </is>
      </c>
      <c r="I915" t="n">
        <v>1</v>
      </c>
      <c r="J915" t="n">
        <v>0</v>
      </c>
      <c r="K915" t="n">
        <v>1</v>
      </c>
      <c r="L915" t="n">
        <v>0</v>
      </c>
      <c r="M915" t="n">
        <v>1</v>
      </c>
      <c r="N915" t="n">
        <v>0</v>
      </c>
      <c r="O915" t="n">
        <v>0</v>
      </c>
      <c r="P915" t="n">
        <v>0</v>
      </c>
      <c r="Q915" t="n">
        <v>1</v>
      </c>
      <c r="R915" t="n">
        <v>1</v>
      </c>
      <c r="S915" t="n">
        <v>2</v>
      </c>
      <c r="T915" t="n">
        <v>3</v>
      </c>
      <c r="U915" t="n">
        <v>3</v>
      </c>
      <c r="V915" s="2" t="inlineStr">
        <is>
          <t>Garnlav
Mindre märgborre</t>
        </is>
      </c>
      <c r="W915">
        <f>HYPERLINK("https://klasma.github.io/Logging_2062/artfynd/A 36058-2024 artfynd.xlsx", "A 36058-2024")</f>
        <v/>
      </c>
      <c r="X915">
        <f>HYPERLINK("https://klasma.github.io/Logging_2062/kartor/A 36058-2024 karta.png", "A 36058-2024")</f>
        <v/>
      </c>
      <c r="Y915">
        <f>HYPERLINK("https://klasma.github.io/Logging_2062/kartor_geotiff/A 36058-2024 georefererad karta.tif", "A 36058-2024")</f>
        <v/>
      </c>
      <c r="AA915">
        <f>HYPERLINK("https://klasma.github.io/Logging_2062/klagomål/A 36058-2024 FSC-klagomål.docx", "A 36058-2024")</f>
        <v/>
      </c>
      <c r="AB915">
        <f>HYPERLINK("https://klasma.github.io/Logging_2062/klagomålsmail/A 36058-2024 FSC-klagomål mail.docx", "A 36058-2024")</f>
        <v/>
      </c>
      <c r="AC915">
        <f>HYPERLINK("https://klasma.github.io/Logging_2062/tillsyn/A 36058-2024 tillsynsbegäran.docx", "A 36058-2024")</f>
        <v/>
      </c>
      <c r="AD915">
        <f>HYPERLINK("https://klasma.github.io/Logging_2062/tillsynsmail/A 36058-2024 tillsynsbegäran mail.docx", "A 36058-2024")</f>
        <v/>
      </c>
    </row>
    <row r="916" ht="15" customHeight="1">
      <c r="A916" t="inlineStr">
        <is>
          <t>A 15760-2024</t>
        </is>
      </c>
      <c r="B916" t="inlineStr">
        <is>
          <t>avverkningsanmälan</t>
        </is>
      </c>
      <c r="C916" t="inlineStr">
        <is>
          <t>Föryngringsavverkning</t>
        </is>
      </c>
      <c r="D916" s="1" t="n">
        <v>45404</v>
      </c>
      <c r="E916" s="1" t="n">
        <v>46319</v>
      </c>
      <c r="F916" t="inlineStr">
        <is>
          <t>DALARNAS LÄN</t>
        </is>
      </c>
      <c r="G916" t="inlineStr">
        <is>
          <t>ÄLVDALEN</t>
        </is>
      </c>
      <c r="I916" t="n">
        <v>1.9</v>
      </c>
      <c r="J916" t="n">
        <v>0</v>
      </c>
      <c r="K916" t="n">
        <v>0</v>
      </c>
      <c r="L916" t="n">
        <v>1</v>
      </c>
      <c r="M916" t="n">
        <v>1</v>
      </c>
      <c r="N916" t="n">
        <v>0</v>
      </c>
      <c r="O916" t="n">
        <v>0</v>
      </c>
      <c r="P916" t="n">
        <v>0</v>
      </c>
      <c r="Q916" t="n">
        <v>2</v>
      </c>
      <c r="R916" t="n">
        <v>1</v>
      </c>
      <c r="S916" t="n">
        <v>2</v>
      </c>
      <c r="T916" t="n">
        <v>2</v>
      </c>
      <c r="U916" t="n">
        <v>2</v>
      </c>
      <c r="V916" s="2" t="inlineStr">
        <is>
          <t>Garnlav
Kolflarnlav</t>
        </is>
      </c>
      <c r="W916">
        <f>HYPERLINK("https://klasma.github.io/Logging_2039/artfynd/A 15760-2024 artfynd.xlsx", "A 15760-2024")</f>
        <v/>
      </c>
      <c r="X916">
        <f>HYPERLINK("https://klasma.github.io/Logging_2039/kartor/A 15760-2024 karta.png", "A 15760-2024")</f>
        <v/>
      </c>
      <c r="Y916">
        <f>HYPERLINK("https://klasma.github.io/Logging_2039/kartor_geotiff/A 15760-2024 georefererad karta.tif", "A 15760-2024")</f>
        <v/>
      </c>
      <c r="AA916">
        <f>HYPERLINK("https://klasma.github.io/Logging_2039/klagomål/A 15760-2024 FSC-klagomål.docx", "A 15760-2024")</f>
        <v/>
      </c>
      <c r="AB916">
        <f>HYPERLINK("https://klasma.github.io/Logging_2039/klagomålsmail/A 15760-2024 FSC-klagomål mail.docx", "A 15760-2024")</f>
        <v/>
      </c>
      <c r="AC916">
        <f>HYPERLINK("https://klasma.github.io/Logging_2039/tillsyn/A 15760-2024 tillsynsbegäran.docx", "A 15760-2024")</f>
        <v/>
      </c>
      <c r="AD916">
        <f>HYPERLINK("https://klasma.github.io/Logging_2039/tillsynsmail/A 15760-2024 tillsynsbegäran mail.docx", "A 15760-2024")</f>
        <v/>
      </c>
    </row>
    <row r="917" ht="15" customHeight="1">
      <c r="A917" t="inlineStr">
        <is>
          <t>A 60407-2025</t>
        </is>
      </c>
      <c r="B917" t="inlineStr">
        <is>
          <t>avverkningsanmälan</t>
        </is>
      </c>
      <c r="C917" t="inlineStr">
        <is>
          <t>Avverkning för att bevara och utveckla /försöksver</t>
        </is>
      </c>
      <c r="D917" s="1" t="n">
        <v>45995</v>
      </c>
      <c r="E917" s="1" t="n">
        <v>46319</v>
      </c>
      <c r="F917" t="inlineStr">
        <is>
          <t>DALARNAS LÄN</t>
        </is>
      </c>
      <c r="G917" t="inlineStr">
        <is>
          <t>MALUNG-SÄLEN</t>
        </is>
      </c>
      <c r="H917" t="inlineStr">
        <is>
          <t>Bergvik skog öst AB</t>
        </is>
      </c>
      <c r="I917" t="n">
        <v>5.1</v>
      </c>
      <c r="J917" t="n">
        <v>2</v>
      </c>
      <c r="K917" t="n">
        <v>0</v>
      </c>
      <c r="L917" t="n">
        <v>0</v>
      </c>
      <c r="M917" t="n">
        <v>0</v>
      </c>
      <c r="N917" t="n">
        <v>0</v>
      </c>
      <c r="O917" t="n">
        <v>0</v>
      </c>
      <c r="P917" t="n">
        <v>0</v>
      </c>
      <c r="Q917" t="n">
        <v>0</v>
      </c>
      <c r="R917" t="n">
        <v>0</v>
      </c>
      <c r="S917" t="n">
        <v>2</v>
      </c>
      <c r="T917" t="n">
        <v>2</v>
      </c>
      <c r="U917" t="n">
        <v>1</v>
      </c>
      <c r="V917" s="2" t="inlineStr">
        <is>
          <t>Kungsfågel
Ärtsångare</t>
        </is>
      </c>
      <c r="W917">
        <f>HYPERLINK("https://klasma.github.io/Logging_2023/artfynd/A 60407-2025 artfynd.xlsx", "A 60407-2025")</f>
        <v/>
      </c>
      <c r="X917">
        <f>HYPERLINK("https://klasma.github.io/Logging_2023/kartor/A 60407-2025 karta.png", "A 60407-2025")</f>
        <v/>
      </c>
      <c r="Y917">
        <f>HYPERLINK("https://klasma.github.io/Logging_2023/kartor_geotiff/A 60407-2025 georefererad karta.tif", "A 60407-2025")</f>
        <v/>
      </c>
      <c r="AA917">
        <f>HYPERLINK("https://klasma.github.io/Logging_2023/klagomål/A 60407-2025 FSC-klagomål.docx", "A 60407-2025")</f>
        <v/>
      </c>
      <c r="AB917">
        <f>HYPERLINK("https://klasma.github.io/Logging_2023/klagomålsmail/A 60407-2025 FSC-klagomål mail.docx", "A 60407-2025")</f>
        <v/>
      </c>
      <c r="AC917">
        <f>HYPERLINK("https://klasma.github.io/Logging_2023/tillsyn/A 60407-2025 tillsynsbegäran.docx", "A 60407-2025")</f>
        <v/>
      </c>
      <c r="AD917">
        <f>HYPERLINK("https://klasma.github.io/Logging_2023/tillsynsmail/A 60407-2025 tillsynsbegäran mail.docx", "A 60407-2025")</f>
        <v/>
      </c>
    </row>
    <row r="918" ht="15" customHeight="1">
      <c r="A918" t="inlineStr">
        <is>
          <t>A 54849-2022</t>
        </is>
      </c>
      <c r="B918" t="inlineStr">
        <is>
          <t>avverkningsanmälan</t>
        </is>
      </c>
      <c r="C918" t="inlineStr">
        <is>
          <t>Föryngringsavverkning</t>
        </is>
      </c>
      <c r="D918" s="1" t="n">
        <v>44883</v>
      </c>
      <c r="E918" s="1" t="n">
        <v>46319</v>
      </c>
      <c r="F918" t="inlineStr">
        <is>
          <t>DALARNAS LÄN</t>
        </is>
      </c>
      <c r="G918" t="inlineStr">
        <is>
          <t>HEDEMORA</t>
        </is>
      </c>
      <c r="H918" t="inlineStr">
        <is>
          <t>Sveaskog</t>
        </is>
      </c>
      <c r="I918" t="n">
        <v>8.5</v>
      </c>
      <c r="J918" t="n">
        <v>1</v>
      </c>
      <c r="K918" t="n">
        <v>0</v>
      </c>
      <c r="L918" t="n">
        <v>1</v>
      </c>
      <c r="M918" t="n">
        <v>1</v>
      </c>
      <c r="N918" t="n">
        <v>0</v>
      </c>
      <c r="O918" t="n">
        <v>0</v>
      </c>
      <c r="P918" t="n">
        <v>0</v>
      </c>
      <c r="Q918" t="n">
        <v>2</v>
      </c>
      <c r="R918" t="n">
        <v>1</v>
      </c>
      <c r="S918" t="n">
        <v>2</v>
      </c>
      <c r="T918" t="n">
        <v>3</v>
      </c>
      <c r="U918" t="n">
        <v>3</v>
      </c>
      <c r="V918" s="2" t="inlineStr">
        <is>
          <t>Garnlav
Talltita</t>
        </is>
      </c>
      <c r="W918">
        <f>HYPERLINK("https://klasma.github.io/Logging_2083/artfynd/A 54849-2022 artfynd.xlsx", "A 54849-2022")</f>
        <v/>
      </c>
      <c r="X918">
        <f>HYPERLINK("https://klasma.github.io/Logging_2083/kartor/A 54849-2022 karta.png", "A 54849-2022")</f>
        <v/>
      </c>
      <c r="Y918">
        <f>HYPERLINK("https://klasma.github.io/Logging_2083/kartor_geotiff/A 54849-2022 georefererad karta.tif", "A 54849-2022")</f>
        <v/>
      </c>
      <c r="AA918">
        <f>HYPERLINK("https://klasma.github.io/Logging_2083/klagomål/A 54849-2022 FSC-klagomål.docx", "A 54849-2022")</f>
        <v/>
      </c>
      <c r="AB918">
        <f>HYPERLINK("https://klasma.github.io/Logging_2083/klagomålsmail/A 54849-2022 FSC-klagomål mail.docx", "A 54849-2022")</f>
        <v/>
      </c>
      <c r="AC918">
        <f>HYPERLINK("https://klasma.github.io/Logging_2083/tillsyn/A 54849-2022 tillsynsbegäran.docx", "A 54849-2022")</f>
        <v/>
      </c>
      <c r="AD918">
        <f>HYPERLINK("https://klasma.github.io/Logging_2083/tillsynsmail/A 54849-2022 tillsynsbegäran mail.docx", "A 54849-2022")</f>
        <v/>
      </c>
      <c r="AE918">
        <f>HYPERLINK("https://klasma.github.io/Logging_2083/fåglar/A 54849-2022 prioriterade fågelarter.docx", "A 54849-2022")</f>
        <v/>
      </c>
    </row>
    <row r="919" ht="15" customHeight="1">
      <c r="A919" t="inlineStr">
        <is>
          <t>A 61136-2025</t>
        </is>
      </c>
      <c r="B919" t="inlineStr">
        <is>
          <t>avverkningsanmälan</t>
        </is>
      </c>
      <c r="C919" t="inlineStr">
        <is>
          <t>Föryngringsavverkning</t>
        </is>
      </c>
      <c r="D919" s="1" t="n">
        <v>46000</v>
      </c>
      <c r="E919" s="1" t="n">
        <v>46319</v>
      </c>
      <c r="F919" t="inlineStr">
        <is>
          <t>DALARNAS LÄN</t>
        </is>
      </c>
      <c r="G919" t="inlineStr">
        <is>
          <t>HEDEMORA</t>
        </is>
      </c>
      <c r="H919" t="inlineStr">
        <is>
          <t>Bergvik skog väst AB</t>
        </is>
      </c>
      <c r="I919" t="n">
        <v>6.2</v>
      </c>
      <c r="J919" t="n">
        <v>1</v>
      </c>
      <c r="K919" t="n">
        <v>0</v>
      </c>
      <c r="L919" t="n">
        <v>1</v>
      </c>
      <c r="M919" t="n">
        <v>0</v>
      </c>
      <c r="N919" t="n">
        <v>0</v>
      </c>
      <c r="O919" t="n">
        <v>0</v>
      </c>
      <c r="P919" t="n">
        <v>0</v>
      </c>
      <c r="Q919" t="n">
        <v>1</v>
      </c>
      <c r="R919" t="n">
        <v>0</v>
      </c>
      <c r="S919" t="n">
        <v>2</v>
      </c>
      <c r="T919" t="n">
        <v>2</v>
      </c>
      <c r="U919" t="n">
        <v>0</v>
      </c>
      <c r="V919" s="2" t="inlineStr">
        <is>
          <t>Brunklöver
Fläcknycklar</t>
        </is>
      </c>
      <c r="W919">
        <f>HYPERLINK("https://klasma.github.io/Logging_2083/artfynd/A 61136-2025 artfynd.xlsx", "A 61136-2025")</f>
        <v/>
      </c>
      <c r="X919">
        <f>HYPERLINK("https://klasma.github.io/Logging_2083/kartor/A 61136-2025 karta.png", "A 61136-2025")</f>
        <v/>
      </c>
      <c r="Y919">
        <f>HYPERLINK("https://klasma.github.io/Logging_2083/kartor_geotiff/A 61136-2025 georefererad karta.tif", "A 61136-2025")</f>
        <v/>
      </c>
      <c r="AA919">
        <f>HYPERLINK("https://klasma.github.io/Logging_2083/klagomål/A 61136-2025 FSC-klagomål.docx", "A 61136-2025")</f>
        <v/>
      </c>
      <c r="AB919">
        <f>HYPERLINK("https://klasma.github.io/Logging_2083/klagomålsmail/A 61136-2025 FSC-klagomål mail.docx", "A 61136-2025")</f>
        <v/>
      </c>
      <c r="AC919">
        <f>HYPERLINK("https://klasma.github.io/Logging_2083/tillsyn/A 61136-2025 tillsynsbegäran.docx", "A 61136-2025")</f>
        <v/>
      </c>
      <c r="AD919">
        <f>HYPERLINK("https://klasma.github.io/Logging_2083/tillsynsmail/A 61136-2025 tillsynsbegäran mail.docx", "A 61136-2025")</f>
        <v/>
      </c>
    </row>
    <row r="920" ht="15" customHeight="1">
      <c r="A920" t="inlineStr">
        <is>
          <t>A 26750-2026</t>
        </is>
      </c>
      <c r="B920" t="inlineStr">
        <is>
          <t>avverkningsanmälan</t>
        </is>
      </c>
      <c r="C920" t="inlineStr">
        <is>
          <t>Föryngringsavverkning</t>
        </is>
      </c>
      <c r="D920" s="1" t="n">
        <v>46164</v>
      </c>
      <c r="E920" s="1" t="n">
        <v>46319</v>
      </c>
      <c r="F920" t="inlineStr">
        <is>
          <t>DALARNAS LÄN</t>
        </is>
      </c>
      <c r="G920" t="inlineStr">
        <is>
          <t>MALUNG-SÄLEN</t>
        </is>
      </c>
      <c r="I920" t="n">
        <v>2.7</v>
      </c>
      <c r="J920" t="n">
        <v>1</v>
      </c>
      <c r="K920" t="n">
        <v>0</v>
      </c>
      <c r="L920" t="n">
        <v>1</v>
      </c>
      <c r="M920" t="n">
        <v>0</v>
      </c>
      <c r="N920" t="n">
        <v>0</v>
      </c>
      <c r="O920" t="n">
        <v>0</v>
      </c>
      <c r="P920" t="n">
        <v>0</v>
      </c>
      <c r="Q920" t="n">
        <v>1</v>
      </c>
      <c r="R920" t="n">
        <v>0</v>
      </c>
      <c r="S920" t="n">
        <v>2</v>
      </c>
      <c r="T920" t="n">
        <v>6</v>
      </c>
      <c r="U920" t="n">
        <v>1</v>
      </c>
      <c r="V920" s="2" t="inlineStr">
        <is>
          <t>Brunklöver
Fläcknycklar</t>
        </is>
      </c>
      <c r="W920">
        <f>HYPERLINK("https://klasma.github.io/Logging_2023/artfynd/A 26750-2026 artfynd.xlsx", "A 26750-2026")</f>
        <v/>
      </c>
      <c r="X920">
        <f>HYPERLINK("https://klasma.github.io/Logging_2023/kartor/A 26750-2026 karta.png", "A 26750-2026")</f>
        <v/>
      </c>
      <c r="Y920">
        <f>HYPERLINK("https://klasma.github.io/Logging_2023/kartor_geotiff/A 26750-2026 georefererad karta.tif", "A 26750-2026")</f>
        <v/>
      </c>
      <c r="AA920">
        <f>HYPERLINK("https://klasma.github.io/Logging_2023/klagomål/A 26750-2026 FSC-klagomål.docx", "A 26750-2026")</f>
        <v/>
      </c>
      <c r="AB920">
        <f>HYPERLINK("https://klasma.github.io/Logging_2023/klagomålsmail/A 26750-2026 FSC-klagomål mail.docx", "A 26750-2026")</f>
        <v/>
      </c>
      <c r="AC920">
        <f>HYPERLINK("https://klasma.github.io/Logging_2023/tillsyn/A 26750-2026 tillsynsbegäran.docx", "A 26750-2026")</f>
        <v/>
      </c>
      <c r="AD920">
        <f>HYPERLINK("https://klasma.github.io/Logging_2023/tillsynsmail/A 26750-2026 tillsynsbegäran mail.docx", "A 26750-2026")</f>
        <v/>
      </c>
    </row>
    <row r="921" ht="15" customHeight="1">
      <c r="A921" t="inlineStr">
        <is>
          <t>A 31687-2026</t>
        </is>
      </c>
      <c r="B921" t="inlineStr">
        <is>
          <t>avverkningsanmälan</t>
        </is>
      </c>
      <c r="C921" t="inlineStr">
        <is>
          <t>Föryngringsavverkning</t>
        </is>
      </c>
      <c r="D921" s="1" t="n">
        <v>46226</v>
      </c>
      <c r="E921" s="1" t="n">
        <v>46319</v>
      </c>
      <c r="F921" t="inlineStr">
        <is>
          <t>DALARNAS LÄN</t>
        </is>
      </c>
      <c r="G921" t="inlineStr">
        <is>
          <t>LEKSAND</t>
        </is>
      </c>
      <c r="H921" t="inlineStr">
        <is>
          <t>Bergvik skog väst AB</t>
        </is>
      </c>
      <c r="I921" t="n">
        <v>2.2</v>
      </c>
      <c r="J921" t="n">
        <v>0</v>
      </c>
      <c r="K921" t="n">
        <v>0</v>
      </c>
      <c r="L921" t="n">
        <v>2</v>
      </c>
      <c r="M921" t="n">
        <v>0</v>
      </c>
      <c r="N921" t="n">
        <v>0</v>
      </c>
      <c r="O921" t="n">
        <v>0</v>
      </c>
      <c r="P921" t="n">
        <v>0</v>
      </c>
      <c r="Q921" t="n">
        <v>2</v>
      </c>
      <c r="R921" t="n">
        <v>0</v>
      </c>
      <c r="S921" t="n">
        <v>2</v>
      </c>
      <c r="T921" t="n">
        <v>2</v>
      </c>
      <c r="U921" t="n">
        <v>0</v>
      </c>
      <c r="V921" s="2" t="inlineStr">
        <is>
          <t>Rosenticka
Ullticka</t>
        </is>
      </c>
      <c r="W921">
        <f>HYPERLINK("https://klasma.github.io/Logging_2029/artfynd/A 31687-2026 artfynd.xlsx", "A 31687-2026")</f>
        <v/>
      </c>
      <c r="X921">
        <f>HYPERLINK("https://klasma.github.io/Logging_2029/kartor/A 31687-2026 karta.png", "A 31687-2026")</f>
        <v/>
      </c>
      <c r="Y921">
        <f>HYPERLINK("https://klasma.github.io/Logging_2029/kartor_geotiff/A 31687-2026 georefererad karta.tif", "A 31687-2026")</f>
        <v/>
      </c>
      <c r="AA921">
        <f>HYPERLINK("https://klasma.github.io/Logging_2029/klagomål/A 31687-2026 FSC-klagomål.docx", "A 31687-2026")</f>
        <v/>
      </c>
      <c r="AB921">
        <f>HYPERLINK("https://klasma.github.io/Logging_2029/klagomålsmail/A 31687-2026 FSC-klagomål mail.docx", "A 31687-2026")</f>
        <v/>
      </c>
      <c r="AC921">
        <f>HYPERLINK("https://klasma.github.io/Logging_2029/tillsyn/A 31687-2026 tillsynsbegäran.docx", "A 31687-2026")</f>
        <v/>
      </c>
      <c r="AD921">
        <f>HYPERLINK("https://klasma.github.io/Logging_2029/tillsynsmail/A 31687-2026 tillsynsbegäran mail.docx", "A 31687-2026")</f>
        <v/>
      </c>
    </row>
    <row r="922" ht="15" customHeight="1">
      <c r="A922" t="inlineStr">
        <is>
          <t>A 54490-2023</t>
        </is>
      </c>
      <c r="B922" t="inlineStr">
        <is>
          <t>avverkningsanmälan</t>
        </is>
      </c>
      <c r="C922" t="inlineStr">
        <is>
          <t>Föryngringsavverkning</t>
        </is>
      </c>
      <c r="D922" s="1" t="n">
        <v>45233</v>
      </c>
      <c r="E922" s="1" t="n">
        <v>46319</v>
      </c>
      <c r="F922" t="inlineStr">
        <is>
          <t>DALARNAS LÄN</t>
        </is>
      </c>
      <c r="G922" t="inlineStr">
        <is>
          <t>MALUNG-SÄLEN</t>
        </is>
      </c>
      <c r="I922" t="n">
        <v>5.7</v>
      </c>
      <c r="J922" t="n">
        <v>0</v>
      </c>
      <c r="K922" t="n">
        <v>0</v>
      </c>
      <c r="L922" t="n">
        <v>2</v>
      </c>
      <c r="M922" t="n">
        <v>0</v>
      </c>
      <c r="N922" t="n">
        <v>0</v>
      </c>
      <c r="O922" t="n">
        <v>0</v>
      </c>
      <c r="P922" t="n">
        <v>0</v>
      </c>
      <c r="Q922" t="n">
        <v>2</v>
      </c>
      <c r="R922" t="n">
        <v>0</v>
      </c>
      <c r="S922" t="n">
        <v>2</v>
      </c>
      <c r="T922" t="n">
        <v>2</v>
      </c>
      <c r="U922" t="n">
        <v>2</v>
      </c>
      <c r="V922" s="2" t="inlineStr">
        <is>
          <t>Doftskinn
Lunglav</t>
        </is>
      </c>
      <c r="W922">
        <f>HYPERLINK("https://klasma.github.io/Logging_2023/artfynd/A 54490-2023 artfynd.xlsx", "A 54490-2023")</f>
        <v/>
      </c>
      <c r="X922">
        <f>HYPERLINK("https://klasma.github.io/Logging_2023/kartor/A 54490-2023 karta.png", "A 54490-2023")</f>
        <v/>
      </c>
      <c r="Y922">
        <f>HYPERLINK("https://klasma.github.io/Logging_2023/kartor_geotiff/A 54490-2023 georefererad karta.tif", "A 54490-2023")</f>
        <v/>
      </c>
      <c r="AA922">
        <f>HYPERLINK("https://klasma.github.io/Logging_2023/klagomål/A 54490-2023 FSC-klagomål.docx", "A 54490-2023")</f>
        <v/>
      </c>
      <c r="AB922">
        <f>HYPERLINK("https://klasma.github.io/Logging_2023/klagomålsmail/A 54490-2023 FSC-klagomål mail.docx", "A 54490-2023")</f>
        <v/>
      </c>
      <c r="AC922">
        <f>HYPERLINK("https://klasma.github.io/Logging_2023/tillsyn/A 54490-2023 tillsynsbegäran.docx", "A 54490-2023")</f>
        <v/>
      </c>
      <c r="AD922">
        <f>HYPERLINK("https://klasma.github.io/Logging_2023/tillsynsmail/A 54490-2023 tillsynsbegäran mail.docx", "A 54490-2023")</f>
        <v/>
      </c>
    </row>
    <row r="923" ht="15" customHeight="1">
      <c r="A923" t="inlineStr">
        <is>
          <t>A 37723-2024</t>
        </is>
      </c>
      <c r="B923" t="inlineStr">
        <is>
          <t>avverkningsanmälan</t>
        </is>
      </c>
      <c r="C923" t="inlineStr">
        <is>
          <t>Föryngringsavverkning</t>
        </is>
      </c>
      <c r="D923" s="1" t="n">
        <v>45541</v>
      </c>
      <c r="E923" s="1" t="n">
        <v>46319</v>
      </c>
      <c r="F923" t="inlineStr">
        <is>
          <t>DALARNAS LÄN</t>
        </is>
      </c>
      <c r="G923" t="inlineStr">
        <is>
          <t>BORLÄNGE</t>
        </is>
      </c>
      <c r="I923" t="n">
        <v>1.4</v>
      </c>
      <c r="J923" t="n">
        <v>0</v>
      </c>
      <c r="K923" t="n">
        <v>0</v>
      </c>
      <c r="L923" t="n">
        <v>2</v>
      </c>
      <c r="M923" t="n">
        <v>0</v>
      </c>
      <c r="N923" t="n">
        <v>0</v>
      </c>
      <c r="O923" t="n">
        <v>0</v>
      </c>
      <c r="P923" t="n">
        <v>0</v>
      </c>
      <c r="Q923" t="n">
        <v>2</v>
      </c>
      <c r="R923" t="n">
        <v>0</v>
      </c>
      <c r="S923" t="n">
        <v>2</v>
      </c>
      <c r="T923" t="n">
        <v>2</v>
      </c>
      <c r="U923" t="n">
        <v>0</v>
      </c>
      <c r="V923" s="2" t="inlineStr">
        <is>
          <t>Rosenticka
Ullticka</t>
        </is>
      </c>
      <c r="W923">
        <f>HYPERLINK("https://klasma.github.io/Logging_2081/artfynd/A 37723-2024 artfynd.xlsx", "A 37723-2024")</f>
        <v/>
      </c>
      <c r="X923">
        <f>HYPERLINK("https://klasma.github.io/Logging_2081/kartor/A 37723-2024 karta.png", "A 37723-2024")</f>
        <v/>
      </c>
      <c r="Y923">
        <f>HYPERLINK("https://klasma.github.io/Logging_2081/kartor_geotiff/A 37723-2024 georefererad karta.tif", "A 37723-2024")</f>
        <v/>
      </c>
      <c r="AA923">
        <f>HYPERLINK("https://klasma.github.io/Logging_2081/klagomål/A 37723-2024 FSC-klagomål.docx", "A 37723-2024")</f>
        <v/>
      </c>
      <c r="AB923">
        <f>HYPERLINK("https://klasma.github.io/Logging_2081/klagomålsmail/A 37723-2024 FSC-klagomål mail.docx", "A 37723-2024")</f>
        <v/>
      </c>
      <c r="AC923">
        <f>HYPERLINK("https://klasma.github.io/Logging_2081/tillsyn/A 37723-2024 tillsynsbegäran.docx", "A 37723-2024")</f>
        <v/>
      </c>
      <c r="AD923">
        <f>HYPERLINK("https://klasma.github.io/Logging_2081/tillsynsmail/A 37723-2024 tillsynsbegäran mail.docx", "A 37723-2024")</f>
        <v/>
      </c>
    </row>
    <row r="924" ht="15" customHeight="1">
      <c r="A924" t="inlineStr">
        <is>
          <t>A 49656-2025</t>
        </is>
      </c>
      <c r="B924" t="inlineStr">
        <is>
          <t>avverkningsanmälan</t>
        </is>
      </c>
      <c r="C924" t="inlineStr">
        <is>
          <t>Föryngringsavverkning</t>
        </is>
      </c>
      <c r="D924" s="1" t="n">
        <v>45939</v>
      </c>
      <c r="E924" s="1" t="n">
        <v>46319</v>
      </c>
      <c r="F924" t="inlineStr">
        <is>
          <t>DALARNAS LÄN</t>
        </is>
      </c>
      <c r="G924" t="inlineStr">
        <is>
          <t>SÄTER</t>
        </is>
      </c>
      <c r="I924" t="n">
        <v>0.6</v>
      </c>
      <c r="J924" t="n">
        <v>1</v>
      </c>
      <c r="K924" t="n">
        <v>0</v>
      </c>
      <c r="L924" t="n">
        <v>1</v>
      </c>
      <c r="M924" t="n">
        <v>1</v>
      </c>
      <c r="N924" t="n">
        <v>0</v>
      </c>
      <c r="O924" t="n">
        <v>0</v>
      </c>
      <c r="P924" t="n">
        <v>0</v>
      </c>
      <c r="Q924" t="n">
        <v>2</v>
      </c>
      <c r="R924" t="n">
        <v>1</v>
      </c>
      <c r="S924" t="n">
        <v>2</v>
      </c>
      <c r="T924" t="n">
        <v>2</v>
      </c>
      <c r="U924" t="n">
        <v>2</v>
      </c>
      <c r="V924" s="2" t="inlineStr">
        <is>
          <t>Knärot
Motaggsvamp</t>
        </is>
      </c>
      <c r="W924">
        <f>HYPERLINK("https://klasma.github.io/Logging_2082/artfynd/A 49656-2025 artfynd.xlsx", "A 49656-2025")</f>
        <v/>
      </c>
      <c r="X924">
        <f>HYPERLINK("https://klasma.github.io/Logging_2082/kartor/A 49656-2025 karta.png", "A 49656-2025")</f>
        <v/>
      </c>
      <c r="Y924">
        <f>HYPERLINK("https://klasma.github.io/Logging_2082/kartor_geotiff/A 49656-2025 georefererad karta.tif", "A 49656-2025")</f>
        <v/>
      </c>
      <c r="Z924">
        <f>HYPERLINK("https://klasma.github.io/Logging_2082/knärot/A 49656-2025 karta knärot.png", "A 49656-2025")</f>
        <v/>
      </c>
      <c r="AA924">
        <f>HYPERLINK("https://klasma.github.io/Logging_2082/klagomål/A 49656-2025 FSC-klagomål.docx", "A 49656-2025")</f>
        <v/>
      </c>
      <c r="AB924">
        <f>HYPERLINK("https://klasma.github.io/Logging_2082/klagomålsmail/A 49656-2025 FSC-klagomål mail.docx", "A 49656-2025")</f>
        <v/>
      </c>
      <c r="AC924">
        <f>HYPERLINK("https://klasma.github.io/Logging_2082/tillsyn/A 49656-2025 tillsynsbegäran.docx", "A 49656-2025")</f>
        <v/>
      </c>
      <c r="AD924">
        <f>HYPERLINK("https://klasma.github.io/Logging_2082/tillsynsmail/A 49656-2025 tillsynsbegäran mail.docx", "A 49656-2025")</f>
        <v/>
      </c>
    </row>
    <row r="925" ht="15" customHeight="1">
      <c r="A925" t="inlineStr">
        <is>
          <t>A 90-2026</t>
        </is>
      </c>
      <c r="B925" t="inlineStr">
        <is>
          <t>avverkningsanmälan</t>
        </is>
      </c>
      <c r="C925" t="inlineStr">
        <is>
          <t>Föryngringsavverkning</t>
        </is>
      </c>
      <c r="D925" s="1" t="n">
        <v>46024</v>
      </c>
      <c r="E925" s="1" t="n">
        <v>46319</v>
      </c>
      <c r="F925" t="inlineStr">
        <is>
          <t>DALARNAS LÄN</t>
        </is>
      </c>
      <c r="G925" t="inlineStr">
        <is>
          <t>BORLÄNGE</t>
        </is>
      </c>
      <c r="I925" t="n">
        <v>8</v>
      </c>
      <c r="J925" t="n">
        <v>2</v>
      </c>
      <c r="K925" t="n">
        <v>0</v>
      </c>
      <c r="L925" t="n">
        <v>0</v>
      </c>
      <c r="M925" t="n">
        <v>0</v>
      </c>
      <c r="N925" t="n">
        <v>0</v>
      </c>
      <c r="O925" t="n">
        <v>0</v>
      </c>
      <c r="P925" t="n">
        <v>0</v>
      </c>
      <c r="Q925" t="n">
        <v>0</v>
      </c>
      <c r="R925" t="n">
        <v>0</v>
      </c>
      <c r="S925" t="n">
        <v>2</v>
      </c>
      <c r="T925" t="n">
        <v>5</v>
      </c>
      <c r="U925" t="n">
        <v>0</v>
      </c>
      <c r="V925" s="2" t="inlineStr">
        <is>
          <t>Fläcknycklar
Revlummer</t>
        </is>
      </c>
      <c r="W925">
        <f>HYPERLINK("https://klasma.github.io/Logging_2081/artfynd/A 90-2026 artfynd.xlsx", "A 90-2026")</f>
        <v/>
      </c>
      <c r="X925">
        <f>HYPERLINK("https://klasma.github.io/Logging_2081/kartor/A 90-2026 karta.png", "A 90-2026")</f>
        <v/>
      </c>
      <c r="Y925">
        <f>HYPERLINK("https://klasma.github.io/Logging_2081/kartor_geotiff/A 90-2026 georefererad karta.tif", "A 90-2026")</f>
        <v/>
      </c>
      <c r="AA925">
        <f>HYPERLINK("https://klasma.github.io/Logging_2081/klagomål/A 90-2026 FSC-klagomål.docx", "A 90-2026")</f>
        <v/>
      </c>
      <c r="AB925">
        <f>HYPERLINK("https://klasma.github.io/Logging_2081/klagomålsmail/A 90-2026 FSC-klagomål mail.docx", "A 90-2026")</f>
        <v/>
      </c>
      <c r="AC925">
        <f>HYPERLINK("https://klasma.github.io/Logging_2081/tillsyn/A 90-2026 tillsynsbegäran.docx", "A 90-2026")</f>
        <v/>
      </c>
      <c r="AD925">
        <f>HYPERLINK("https://klasma.github.io/Logging_2081/tillsynsmail/A 90-2026 tillsynsbegäran mail.docx", "A 90-2026")</f>
        <v/>
      </c>
    </row>
    <row r="926" ht="15" customHeight="1">
      <c r="A926" t="inlineStr">
        <is>
          <t>A 22969-2025</t>
        </is>
      </c>
      <c r="B926" t="inlineStr">
        <is>
          <t>avverkningsanmälan</t>
        </is>
      </c>
      <c r="C926" t="inlineStr">
        <is>
          <t>Föryngringsavverkning</t>
        </is>
      </c>
      <c r="D926" s="1" t="n">
        <v>45790</v>
      </c>
      <c r="E926" s="1" t="n">
        <v>46319</v>
      </c>
      <c r="F926" t="inlineStr">
        <is>
          <t>DALARNAS LÄN</t>
        </is>
      </c>
      <c r="G926" t="inlineStr">
        <is>
          <t>FALUN</t>
        </is>
      </c>
      <c r="H926" t="inlineStr">
        <is>
          <t>Bergvik skog väst AB</t>
        </is>
      </c>
      <c r="I926" t="n">
        <v>9.1</v>
      </c>
      <c r="J926" t="n">
        <v>0</v>
      </c>
      <c r="K926" t="n">
        <v>0</v>
      </c>
      <c r="L926" t="n">
        <v>1</v>
      </c>
      <c r="M926" t="n">
        <v>1</v>
      </c>
      <c r="N926" t="n">
        <v>0</v>
      </c>
      <c r="O926" t="n">
        <v>0</v>
      </c>
      <c r="P926" t="n">
        <v>0</v>
      </c>
      <c r="Q926" t="n">
        <v>2</v>
      </c>
      <c r="R926" t="n">
        <v>1</v>
      </c>
      <c r="S926" t="n">
        <v>2</v>
      </c>
      <c r="T926" t="n">
        <v>2</v>
      </c>
      <c r="U926" t="n">
        <v>0</v>
      </c>
      <c r="V926" s="2" t="inlineStr">
        <is>
          <t>Gul taggsvamp
Dofttaggsvamp</t>
        </is>
      </c>
      <c r="W926">
        <f>HYPERLINK("https://klasma.github.io/Logging_2080/artfynd/A 22969-2025 artfynd.xlsx", "A 22969-2025")</f>
        <v/>
      </c>
      <c r="X926">
        <f>HYPERLINK("https://klasma.github.io/Logging_2080/kartor/A 22969-2025 karta.png", "A 22969-2025")</f>
        <v/>
      </c>
      <c r="Y926">
        <f>HYPERLINK("https://klasma.github.io/Logging_2080/kartor_geotiff/A 22969-2025 georefererad karta.tif", "A 22969-2025")</f>
        <v/>
      </c>
      <c r="AA926">
        <f>HYPERLINK("https://klasma.github.io/Logging_2080/klagomål/A 22969-2025 FSC-klagomål.docx", "A 22969-2025")</f>
        <v/>
      </c>
      <c r="AB926">
        <f>HYPERLINK("https://klasma.github.io/Logging_2080/klagomålsmail/A 22969-2025 FSC-klagomål mail.docx", "A 22969-2025")</f>
        <v/>
      </c>
      <c r="AC926">
        <f>HYPERLINK("https://klasma.github.io/Logging_2080/tillsyn/A 22969-2025 tillsynsbegäran.docx", "A 22969-2025")</f>
        <v/>
      </c>
      <c r="AD926">
        <f>HYPERLINK("https://klasma.github.io/Logging_2080/tillsynsmail/A 22969-2025 tillsynsbegäran mail.docx", "A 22969-2025")</f>
        <v/>
      </c>
    </row>
    <row r="927" ht="15" customHeight="1">
      <c r="A927" t="inlineStr">
        <is>
          <t>A 38556-2026</t>
        </is>
      </c>
      <c r="B927" t="inlineStr">
        <is>
          <t>avverkningsanmälan</t>
        </is>
      </c>
      <c r="C927" t="inlineStr">
        <is>
          <t>Föryngringsavverkning</t>
        </is>
      </c>
      <c r="D927" s="1" t="n">
        <v>46283</v>
      </c>
      <c r="E927" s="1" t="n">
        <v>46319</v>
      </c>
      <c r="F927" t="inlineStr">
        <is>
          <t>DALARNAS LÄN</t>
        </is>
      </c>
      <c r="G927" t="inlineStr">
        <is>
          <t>RÄTTVIK</t>
        </is>
      </c>
      <c r="H927" t="inlineStr">
        <is>
          <t>Sveaskog</t>
        </is>
      </c>
      <c r="I927" t="n">
        <v>1.6</v>
      </c>
      <c r="J927" t="n">
        <v>0</v>
      </c>
      <c r="K927" t="n">
        <v>0</v>
      </c>
      <c r="L927" t="n">
        <v>2</v>
      </c>
      <c r="M927" t="n">
        <v>0</v>
      </c>
      <c r="N927" t="n">
        <v>0</v>
      </c>
      <c r="O927" t="n">
        <v>0</v>
      </c>
      <c r="P927" t="n">
        <v>0</v>
      </c>
      <c r="Q927" t="n">
        <v>2</v>
      </c>
      <c r="R927" t="n">
        <v>0</v>
      </c>
      <c r="S927" t="n">
        <v>2</v>
      </c>
      <c r="T927" t="n">
        <v>3</v>
      </c>
      <c r="U927" t="n">
        <v>0</v>
      </c>
      <c r="V927" s="2" t="inlineStr">
        <is>
          <t>Dropptaggsvamp
Skarp dropptaggsvamp</t>
        </is>
      </c>
      <c r="W927">
        <f>HYPERLINK("https://klasma.github.io/Logging_2031/artfynd/A 38556-2026 artfynd.xlsx", "A 38556-2026")</f>
        <v/>
      </c>
      <c r="X927">
        <f>HYPERLINK("https://klasma.github.io/Logging_2031/kartor/A 38556-2026 karta.png", "A 38556-2026")</f>
        <v/>
      </c>
      <c r="Y927">
        <f>HYPERLINK("https://klasma.github.io/Logging_2031/kartor_geotiff/A 38556-2026 georefererad karta.tif", "A 38556-2026")</f>
        <v/>
      </c>
      <c r="AA927">
        <f>HYPERLINK("https://klasma.github.io/Logging_2031/klagomål/A 38556-2026 FSC-klagomål.docx", "A 38556-2026")</f>
        <v/>
      </c>
      <c r="AB927">
        <f>HYPERLINK("https://klasma.github.io/Logging_2031/klagomålsmail/A 38556-2026 FSC-klagomål mail.docx", "A 38556-2026")</f>
        <v/>
      </c>
      <c r="AC927">
        <f>HYPERLINK("https://klasma.github.io/Logging_2031/tillsyn/A 38556-2026 tillsynsbegäran.docx", "A 38556-2026")</f>
        <v/>
      </c>
      <c r="AD927">
        <f>HYPERLINK("https://klasma.github.io/Logging_2031/tillsynsmail/A 38556-2026 tillsynsbegäran mail.docx", "A 38556-2026")</f>
        <v/>
      </c>
    </row>
    <row r="928" ht="15" customHeight="1">
      <c r="A928" t="inlineStr">
        <is>
          <t>A 1691-2026</t>
        </is>
      </c>
      <c r="B928" t="inlineStr">
        <is>
          <t>avverkningsanmälan</t>
        </is>
      </c>
      <c r="C928" t="inlineStr">
        <is>
          <t>Föryngringsavverkning</t>
        </is>
      </c>
      <c r="D928" s="1" t="n">
        <v>46034</v>
      </c>
      <c r="E928" s="1" t="n">
        <v>46319</v>
      </c>
      <c r="F928" t="inlineStr">
        <is>
          <t>DALARNAS LÄN</t>
        </is>
      </c>
      <c r="G928" t="inlineStr">
        <is>
          <t>VANSBRO</t>
        </is>
      </c>
      <c r="I928" t="n">
        <v>6.3</v>
      </c>
      <c r="J928" t="n">
        <v>0</v>
      </c>
      <c r="K928" t="n">
        <v>0</v>
      </c>
      <c r="L928" t="n">
        <v>2</v>
      </c>
      <c r="M928" t="n">
        <v>0</v>
      </c>
      <c r="N928" t="n">
        <v>0</v>
      </c>
      <c r="O928" t="n">
        <v>0</v>
      </c>
      <c r="P928" t="n">
        <v>0</v>
      </c>
      <c r="Q928" t="n">
        <v>2</v>
      </c>
      <c r="R928" t="n">
        <v>0</v>
      </c>
      <c r="S928" t="n">
        <v>2</v>
      </c>
      <c r="T928" t="n">
        <v>3</v>
      </c>
      <c r="U928" t="n">
        <v>0</v>
      </c>
      <c r="V928" s="2" t="inlineStr">
        <is>
          <t>Dropptaggsvamp
Motaggsvamp</t>
        </is>
      </c>
      <c r="W928">
        <f>HYPERLINK("https://klasma.github.io/Logging_2021/artfynd/A 1691-2026 artfynd.xlsx", "A 1691-2026")</f>
        <v/>
      </c>
      <c r="X928">
        <f>HYPERLINK("https://klasma.github.io/Logging_2021/kartor/A 1691-2026 karta.png", "A 1691-2026")</f>
        <v/>
      </c>
      <c r="Y928">
        <f>HYPERLINK("https://klasma.github.io/Logging_2021/kartor_geotiff/A 1691-2026 georefererad karta.tif", "A 1691-2026")</f>
        <v/>
      </c>
      <c r="AA928">
        <f>HYPERLINK("https://klasma.github.io/Logging_2021/klagomål/A 1691-2026 FSC-klagomål.docx", "A 1691-2026")</f>
        <v/>
      </c>
      <c r="AB928">
        <f>HYPERLINK("https://klasma.github.io/Logging_2021/klagomålsmail/A 1691-2026 FSC-klagomål mail.docx", "A 1691-2026")</f>
        <v/>
      </c>
      <c r="AC928">
        <f>HYPERLINK("https://klasma.github.io/Logging_2021/tillsyn/A 1691-2026 tillsynsbegäran.docx", "A 1691-2026")</f>
        <v/>
      </c>
      <c r="AD928">
        <f>HYPERLINK("https://klasma.github.io/Logging_2021/tillsynsmail/A 1691-2026 tillsynsbegäran mail.docx", "A 1691-2026")</f>
        <v/>
      </c>
    </row>
    <row r="929" ht="15" customHeight="1">
      <c r="A929" t="inlineStr">
        <is>
          <t>A 368-2026</t>
        </is>
      </c>
      <c r="B929" t="inlineStr">
        <is>
          <t>avverkningsanmälan</t>
        </is>
      </c>
      <c r="C929" t="inlineStr">
        <is>
          <t>Föryngringsavverkning</t>
        </is>
      </c>
      <c r="D929" s="1" t="n">
        <v>46027</v>
      </c>
      <c r="E929" s="1" t="n">
        <v>46319</v>
      </c>
      <c r="F929" t="inlineStr">
        <is>
          <t>DALARNAS LÄN</t>
        </is>
      </c>
      <c r="G929" t="inlineStr">
        <is>
          <t>LEKSAND</t>
        </is>
      </c>
      <c r="I929" t="n">
        <v>3.2</v>
      </c>
      <c r="J929" t="n">
        <v>0</v>
      </c>
      <c r="K929" t="n">
        <v>0</v>
      </c>
      <c r="L929" t="n">
        <v>2</v>
      </c>
      <c r="M929" t="n">
        <v>0</v>
      </c>
      <c r="N929" t="n">
        <v>0</v>
      </c>
      <c r="O929" t="n">
        <v>0</v>
      </c>
      <c r="P929" t="n">
        <v>0</v>
      </c>
      <c r="Q929" t="n">
        <v>2</v>
      </c>
      <c r="R929" t="n">
        <v>0</v>
      </c>
      <c r="S929" t="n">
        <v>2</v>
      </c>
      <c r="T929" t="n">
        <v>2</v>
      </c>
      <c r="U929" t="n">
        <v>0</v>
      </c>
      <c r="V929" s="2" t="inlineStr">
        <is>
          <t>Rosenticka
Rynkskinn</t>
        </is>
      </c>
      <c r="W929">
        <f>HYPERLINK("https://klasma.github.io/Logging_2029/artfynd/A 368-2026 artfynd.xlsx", "A 368-2026")</f>
        <v/>
      </c>
      <c r="X929">
        <f>HYPERLINK("https://klasma.github.io/Logging_2029/kartor/A 368-2026 karta.png", "A 368-2026")</f>
        <v/>
      </c>
      <c r="Y929">
        <f>HYPERLINK("https://klasma.github.io/Logging_2029/kartor_geotiff/A 368-2026 georefererad karta.tif", "A 368-2026")</f>
        <v/>
      </c>
      <c r="AA929">
        <f>HYPERLINK("https://klasma.github.io/Logging_2029/klagomål/A 368-2026 FSC-klagomål.docx", "A 368-2026")</f>
        <v/>
      </c>
      <c r="AB929">
        <f>HYPERLINK("https://klasma.github.io/Logging_2029/klagomålsmail/A 368-2026 FSC-klagomål mail.docx", "A 368-2026")</f>
        <v/>
      </c>
      <c r="AC929">
        <f>HYPERLINK("https://klasma.github.io/Logging_2029/tillsyn/A 368-2026 tillsynsbegäran.docx", "A 368-2026")</f>
        <v/>
      </c>
      <c r="AD929">
        <f>HYPERLINK("https://klasma.github.io/Logging_2029/tillsynsmail/A 368-2026 tillsynsbegäran mail.docx", "A 368-2026")</f>
        <v/>
      </c>
    </row>
    <row r="930" ht="15" customHeight="1">
      <c r="A930" t="inlineStr">
        <is>
          <t>A 38632-2026</t>
        </is>
      </c>
      <c r="B930" t="inlineStr">
        <is>
          <t>avverkningsanmälan</t>
        </is>
      </c>
      <c r="C930" t="inlineStr">
        <is>
          <t>Föryngringsavverkning</t>
        </is>
      </c>
      <c r="D930" s="1" t="n">
        <v>46283</v>
      </c>
      <c r="E930" s="1" t="n">
        <v>46319</v>
      </c>
      <c r="F930" t="inlineStr">
        <is>
          <t>DALARNAS LÄN</t>
        </is>
      </c>
      <c r="G930" t="inlineStr">
        <is>
          <t>LEKSAND</t>
        </is>
      </c>
      <c r="H930" t="inlineStr">
        <is>
          <t>Bergvik skog väst AB</t>
        </is>
      </c>
      <c r="I930" t="n">
        <v>2.7</v>
      </c>
      <c r="J930" t="n">
        <v>0</v>
      </c>
      <c r="K930" t="n">
        <v>0</v>
      </c>
      <c r="L930" t="n">
        <v>1</v>
      </c>
      <c r="M930" t="n">
        <v>1</v>
      </c>
      <c r="N930" t="n">
        <v>0</v>
      </c>
      <c r="O930" t="n">
        <v>0</v>
      </c>
      <c r="P930" t="n">
        <v>0</v>
      </c>
      <c r="Q930" t="n">
        <v>2</v>
      </c>
      <c r="R930" t="n">
        <v>1</v>
      </c>
      <c r="S930" t="n">
        <v>2</v>
      </c>
      <c r="T930" t="n">
        <v>2</v>
      </c>
      <c r="U930" t="n">
        <v>0</v>
      </c>
      <c r="V930" s="2" t="inlineStr">
        <is>
          <t>Garnlav
Violettgrå tagellav</t>
        </is>
      </c>
      <c r="W930">
        <f>HYPERLINK("https://klasma.github.io/Logging_2029/artfynd/A 38632-2026 artfynd.xlsx", "A 38632-2026")</f>
        <v/>
      </c>
      <c r="X930">
        <f>HYPERLINK("https://klasma.github.io/Logging_2029/kartor/A 38632-2026 karta.png", "A 38632-2026")</f>
        <v/>
      </c>
      <c r="Y930">
        <f>HYPERLINK("https://klasma.github.io/Logging_2029/kartor_geotiff/A 38632-2026 georefererad karta.tif", "A 38632-2026")</f>
        <v/>
      </c>
      <c r="AA930">
        <f>HYPERLINK("https://klasma.github.io/Logging_2029/klagomål/A 38632-2026 FSC-klagomål.docx", "A 38632-2026")</f>
        <v/>
      </c>
      <c r="AB930">
        <f>HYPERLINK("https://klasma.github.io/Logging_2029/klagomålsmail/A 38632-2026 FSC-klagomål mail.docx", "A 38632-2026")</f>
        <v/>
      </c>
      <c r="AC930">
        <f>HYPERLINK("https://klasma.github.io/Logging_2029/tillsyn/A 38632-2026 tillsynsbegäran.docx", "A 38632-2026")</f>
        <v/>
      </c>
      <c r="AD930">
        <f>HYPERLINK("https://klasma.github.io/Logging_2029/tillsynsmail/A 38632-2026 tillsynsbegäran mail.docx", "A 38632-2026")</f>
        <v/>
      </c>
    </row>
    <row r="931" ht="15" customHeight="1">
      <c r="A931" t="inlineStr">
        <is>
          <t>A 63514-2023</t>
        </is>
      </c>
      <c r="B931" t="inlineStr">
        <is>
          <t>avverkningsanmälan</t>
        </is>
      </c>
      <c r="C931" t="inlineStr">
        <is>
          <t>Avverkning för att bevara och utveckla /försöksver</t>
        </is>
      </c>
      <c r="D931" s="1" t="n">
        <v>45274</v>
      </c>
      <c r="E931" s="1" t="n">
        <v>46319</v>
      </c>
      <c r="F931" t="inlineStr">
        <is>
          <t>DALARNAS LÄN</t>
        </is>
      </c>
      <c r="G931" t="inlineStr">
        <is>
          <t>LEKSAND</t>
        </is>
      </c>
      <c r="I931" t="n">
        <v>1</v>
      </c>
      <c r="J931" t="n">
        <v>2</v>
      </c>
      <c r="K931" t="n">
        <v>0</v>
      </c>
      <c r="L931" t="n">
        <v>1</v>
      </c>
      <c r="M931" t="n">
        <v>0</v>
      </c>
      <c r="N931" t="n">
        <v>0</v>
      </c>
      <c r="O931" t="n">
        <v>0</v>
      </c>
      <c r="P931" t="n">
        <v>0</v>
      </c>
      <c r="Q931" t="n">
        <v>1</v>
      </c>
      <c r="R931" t="n">
        <v>0</v>
      </c>
      <c r="S931" t="n">
        <v>2</v>
      </c>
      <c r="T931" t="n">
        <v>2</v>
      </c>
      <c r="U931" t="n">
        <v>0</v>
      </c>
      <c r="V931" s="2" t="inlineStr">
        <is>
          <t>Grönsångare
Trana</t>
        </is>
      </c>
      <c r="W931">
        <f>HYPERLINK("https://klasma.github.io/Logging_2029/artfynd/A 63514-2023 artfynd.xlsx", "A 63514-2023")</f>
        <v/>
      </c>
      <c r="X931">
        <f>HYPERLINK("https://klasma.github.io/Logging_2029/kartor/A 63514-2023 karta.png", "A 63514-2023")</f>
        <v/>
      </c>
      <c r="Y931">
        <f>HYPERLINK("https://klasma.github.io/Logging_2029/kartor_geotiff/A 63514-2023 georefererad karta.tif", "A 63514-2023")</f>
        <v/>
      </c>
      <c r="AA931">
        <f>HYPERLINK("https://klasma.github.io/Logging_2029/klagomål/A 63514-2023 FSC-klagomål.docx", "A 63514-2023")</f>
        <v/>
      </c>
      <c r="AB931">
        <f>HYPERLINK("https://klasma.github.io/Logging_2029/klagomålsmail/A 63514-2023 FSC-klagomål mail.docx", "A 63514-2023")</f>
        <v/>
      </c>
      <c r="AC931">
        <f>HYPERLINK("https://klasma.github.io/Logging_2029/tillsyn/A 63514-2023 tillsynsbegäran.docx", "A 63514-2023")</f>
        <v/>
      </c>
      <c r="AD931">
        <f>HYPERLINK("https://klasma.github.io/Logging_2029/tillsynsmail/A 63514-2023 tillsynsbegäran mail.docx", "A 63514-2023")</f>
        <v/>
      </c>
      <c r="AE931">
        <f>HYPERLINK("https://klasma.github.io/Logging_2029/fåglar/A 63514-2023 prioriterade fågelarter.docx", "A 63514-2023")</f>
        <v/>
      </c>
    </row>
    <row r="932" ht="15" customHeight="1">
      <c r="A932" t="inlineStr">
        <is>
          <t>A 38742-2026</t>
        </is>
      </c>
      <c r="B932" t="inlineStr">
        <is>
          <t>avverkningsanmälan</t>
        </is>
      </c>
      <c r="C932" t="inlineStr">
        <is>
          <t>Föryngringsavverkning</t>
        </is>
      </c>
      <c r="D932" s="1" t="n">
        <v>46286</v>
      </c>
      <c r="E932" s="1" t="n">
        <v>46319</v>
      </c>
      <c r="F932" t="inlineStr">
        <is>
          <t>DALARNAS LÄN</t>
        </is>
      </c>
      <c r="G932" t="inlineStr">
        <is>
          <t>ÄLVDALEN</t>
        </is>
      </c>
      <c r="H932" t="inlineStr">
        <is>
          <t>Sveaskog</t>
        </is>
      </c>
      <c r="I932" t="n">
        <v>5.8</v>
      </c>
      <c r="J932" t="n">
        <v>0</v>
      </c>
      <c r="K932" t="n">
        <v>0</v>
      </c>
      <c r="L932" t="n">
        <v>2</v>
      </c>
      <c r="M932" t="n">
        <v>0</v>
      </c>
      <c r="N932" t="n">
        <v>0</v>
      </c>
      <c r="O932" t="n">
        <v>0</v>
      </c>
      <c r="P932" t="n">
        <v>0</v>
      </c>
      <c r="Q932" t="n">
        <v>2</v>
      </c>
      <c r="R932" t="n">
        <v>0</v>
      </c>
      <c r="S932" t="n">
        <v>2</v>
      </c>
      <c r="T932" t="n">
        <v>2</v>
      </c>
      <c r="U932" t="n">
        <v>0</v>
      </c>
      <c r="V932" s="2" t="inlineStr">
        <is>
          <t>Kolflarnlav
Mörk kolflarnlav</t>
        </is>
      </c>
      <c r="W932">
        <f>HYPERLINK("https://klasma.github.io/Logging_2039/artfynd/A 38742-2026 artfynd.xlsx", "A 38742-2026")</f>
        <v/>
      </c>
      <c r="X932">
        <f>HYPERLINK("https://klasma.github.io/Logging_2039/kartor/A 38742-2026 karta.png", "A 38742-2026")</f>
        <v/>
      </c>
      <c r="Y932">
        <f>HYPERLINK("https://klasma.github.io/Logging_2039/kartor_geotiff/A 38742-2026 georefererad karta.tif", "A 38742-2026")</f>
        <v/>
      </c>
      <c r="AA932">
        <f>HYPERLINK("https://klasma.github.io/Logging_2039/klagomål/A 38742-2026 FSC-klagomål.docx", "A 38742-2026")</f>
        <v/>
      </c>
      <c r="AB932">
        <f>HYPERLINK("https://klasma.github.io/Logging_2039/klagomålsmail/A 38742-2026 FSC-klagomål mail.docx", "A 38742-2026")</f>
        <v/>
      </c>
      <c r="AC932">
        <f>HYPERLINK("https://klasma.github.io/Logging_2039/tillsyn/A 38742-2026 tillsynsbegäran.docx", "A 38742-2026")</f>
        <v/>
      </c>
      <c r="AD932">
        <f>HYPERLINK("https://klasma.github.io/Logging_2039/tillsynsmail/A 38742-2026 tillsynsbegäran mail.docx", "A 38742-2026")</f>
        <v/>
      </c>
    </row>
    <row r="933" ht="15" customHeight="1">
      <c r="A933" t="inlineStr">
        <is>
          <t>A 32662-2026</t>
        </is>
      </c>
      <c r="B933" t="inlineStr">
        <is>
          <t>avverkningsanmälan</t>
        </is>
      </c>
      <c r="C933" t="inlineStr">
        <is>
          <t>Föryngringsavverkning</t>
        </is>
      </c>
      <c r="D933" s="1" t="n">
        <v>46240</v>
      </c>
      <c r="E933" s="1" t="n">
        <v>46319</v>
      </c>
      <c r="F933" t="inlineStr">
        <is>
          <t>DALARNAS LÄN</t>
        </is>
      </c>
      <c r="G933" t="inlineStr">
        <is>
          <t>HEDEMORA</t>
        </is>
      </c>
      <c r="H933" t="inlineStr">
        <is>
          <t>Sveaskog</t>
        </is>
      </c>
      <c r="I933" t="n">
        <v>1.1</v>
      </c>
      <c r="J933" t="n">
        <v>1</v>
      </c>
      <c r="K933" t="n">
        <v>1</v>
      </c>
      <c r="L933" t="n">
        <v>0</v>
      </c>
      <c r="M933" t="n">
        <v>0</v>
      </c>
      <c r="N933" t="n">
        <v>0</v>
      </c>
      <c r="O933" t="n">
        <v>0</v>
      </c>
      <c r="P933" t="n">
        <v>0</v>
      </c>
      <c r="Q933" t="n">
        <v>0</v>
      </c>
      <c r="R933" t="n">
        <v>0</v>
      </c>
      <c r="S933" t="n">
        <v>2</v>
      </c>
      <c r="T933" t="n">
        <v>2</v>
      </c>
      <c r="U933" t="n">
        <v>0</v>
      </c>
      <c r="V933" s="2" t="inlineStr">
        <is>
          <t>Rödgul trumpetsvamp
Fläcknycklar</t>
        </is>
      </c>
      <c r="W933">
        <f>HYPERLINK("https://klasma.github.io/Logging_2083/artfynd/A 32662-2026 artfynd.xlsx", "A 32662-2026")</f>
        <v/>
      </c>
      <c r="X933">
        <f>HYPERLINK("https://klasma.github.io/Logging_2083/kartor/A 32662-2026 karta.png", "A 32662-2026")</f>
        <v/>
      </c>
      <c r="Y933">
        <f>HYPERLINK("https://klasma.github.io/Logging_2083/kartor_geotiff/A 32662-2026 georefererad karta.tif", "A 32662-2026")</f>
        <v/>
      </c>
      <c r="AA933">
        <f>HYPERLINK("https://klasma.github.io/Logging_2083/klagomål/A 32662-2026 FSC-klagomål.docx", "A 32662-2026")</f>
        <v/>
      </c>
      <c r="AB933">
        <f>HYPERLINK("https://klasma.github.io/Logging_2083/klagomålsmail/A 32662-2026 FSC-klagomål mail.docx", "A 32662-2026")</f>
        <v/>
      </c>
      <c r="AC933">
        <f>HYPERLINK("https://klasma.github.io/Logging_2083/tillsyn/A 32662-2026 tillsynsbegäran.docx", "A 32662-2026")</f>
        <v/>
      </c>
      <c r="AD933">
        <f>HYPERLINK("https://klasma.github.io/Logging_2083/tillsynsmail/A 32662-2026 tillsynsbegäran mail.docx", "A 32662-2026")</f>
        <v/>
      </c>
    </row>
    <row r="934" ht="15" customHeight="1">
      <c r="A934" t="inlineStr">
        <is>
          <t>A 42558-2022</t>
        </is>
      </c>
      <c r="B934" t="inlineStr">
        <is>
          <t>avverkningsanmälan</t>
        </is>
      </c>
      <c r="C934" t="inlineStr">
        <is>
          <t>Föryngringsavverkning</t>
        </is>
      </c>
      <c r="D934" s="1" t="n">
        <v>44831</v>
      </c>
      <c r="E934" s="1" t="n">
        <v>46319</v>
      </c>
      <c r="F934" t="inlineStr">
        <is>
          <t>DALARNAS LÄN</t>
        </is>
      </c>
      <c r="G934" t="inlineStr">
        <is>
          <t>LUDVIKA</t>
        </is>
      </c>
      <c r="H934" t="inlineStr">
        <is>
          <t>Naturvårdsverket</t>
        </is>
      </c>
      <c r="I934" t="n">
        <v>4.9</v>
      </c>
      <c r="J934" t="n">
        <v>1</v>
      </c>
      <c r="K934" t="n">
        <v>0</v>
      </c>
      <c r="L934" t="n">
        <v>0</v>
      </c>
      <c r="M934" t="n">
        <v>1</v>
      </c>
      <c r="N934" t="n">
        <v>0</v>
      </c>
      <c r="O934" t="n">
        <v>0</v>
      </c>
      <c r="P934" t="n">
        <v>0</v>
      </c>
      <c r="Q934" t="n">
        <v>1</v>
      </c>
      <c r="R934" t="n">
        <v>1</v>
      </c>
      <c r="S934" t="n">
        <v>2</v>
      </c>
      <c r="T934" t="n">
        <v>2</v>
      </c>
      <c r="U934" t="n">
        <v>2</v>
      </c>
      <c r="V934" s="2" t="inlineStr">
        <is>
          <t>Gräddporing
Lopplummer (aggregat)</t>
        </is>
      </c>
      <c r="W934">
        <f>HYPERLINK("https://klasma.github.io/Logging_2085/artfynd/A 42558-2022 artfynd.xlsx", "A 42558-2022")</f>
        <v/>
      </c>
      <c r="X934">
        <f>HYPERLINK("https://klasma.github.io/Logging_2085/kartor/A 42558-2022 karta.png", "A 42558-2022")</f>
        <v/>
      </c>
      <c r="Y934">
        <f>HYPERLINK("https://klasma.github.io/Logging_2085/kartor_geotiff/A 42558-2022 georefererad karta.tif", "A 42558-2022")</f>
        <v/>
      </c>
      <c r="AA934">
        <f>HYPERLINK("https://klasma.github.io/Logging_2085/klagomål/A 42558-2022 FSC-klagomål.docx", "A 42558-2022")</f>
        <v/>
      </c>
      <c r="AB934">
        <f>HYPERLINK("https://klasma.github.io/Logging_2085/klagomålsmail/A 42558-2022 FSC-klagomål mail.docx", "A 42558-2022")</f>
        <v/>
      </c>
      <c r="AC934">
        <f>HYPERLINK("https://klasma.github.io/Logging_2085/tillsyn/A 42558-2022 tillsynsbegäran.docx", "A 42558-2022")</f>
        <v/>
      </c>
      <c r="AD934">
        <f>HYPERLINK("https://klasma.github.io/Logging_2085/tillsynsmail/A 42558-2022 tillsynsbegäran mail.docx", "A 42558-2022")</f>
        <v/>
      </c>
    </row>
    <row r="935" ht="15" customHeight="1">
      <c r="A935" t="inlineStr">
        <is>
          <t>A 3586-2026</t>
        </is>
      </c>
      <c r="B935" t="inlineStr">
        <is>
          <t>avverkningsanmälan</t>
        </is>
      </c>
      <c r="C935" t="inlineStr">
        <is>
          <t>Föryngringsavverkning</t>
        </is>
      </c>
      <c r="D935" s="1" t="n">
        <v>46042</v>
      </c>
      <c r="E935" s="1" t="n">
        <v>46319</v>
      </c>
      <c r="F935" t="inlineStr">
        <is>
          <t>DALARNAS LÄN</t>
        </is>
      </c>
      <c r="G935" t="inlineStr">
        <is>
          <t>FALUN</t>
        </is>
      </c>
      <c r="I935" t="n">
        <v>7.6</v>
      </c>
      <c r="J935" t="n">
        <v>1</v>
      </c>
      <c r="K935" t="n">
        <v>1</v>
      </c>
      <c r="L935" t="n">
        <v>0</v>
      </c>
      <c r="M935" t="n">
        <v>0</v>
      </c>
      <c r="N935" t="n">
        <v>0</v>
      </c>
      <c r="O935" t="n">
        <v>0</v>
      </c>
      <c r="P935" t="n">
        <v>0</v>
      </c>
      <c r="Q935" t="n">
        <v>0</v>
      </c>
      <c r="R935" t="n">
        <v>0</v>
      </c>
      <c r="S935" t="n">
        <v>2</v>
      </c>
      <c r="T935" t="n">
        <v>2</v>
      </c>
      <c r="U935" t="n">
        <v>0</v>
      </c>
      <c r="V935" s="2" t="inlineStr">
        <is>
          <t>Bronshjon
Revlummer</t>
        </is>
      </c>
      <c r="W935">
        <f>HYPERLINK("https://klasma.github.io/Logging_2080/artfynd/A 3586-2026 artfynd.xlsx", "A 3586-2026")</f>
        <v/>
      </c>
      <c r="X935">
        <f>HYPERLINK("https://klasma.github.io/Logging_2080/kartor/A 3586-2026 karta.png", "A 3586-2026")</f>
        <v/>
      </c>
      <c r="Y935">
        <f>HYPERLINK("https://klasma.github.io/Logging_2080/kartor_geotiff/A 3586-2026 georefererad karta.tif", "A 3586-2026")</f>
        <v/>
      </c>
      <c r="AA935">
        <f>HYPERLINK("https://klasma.github.io/Logging_2080/klagomål/A 3586-2026 FSC-klagomål.docx", "A 3586-2026")</f>
        <v/>
      </c>
      <c r="AB935">
        <f>HYPERLINK("https://klasma.github.io/Logging_2080/klagomålsmail/A 3586-2026 FSC-klagomål mail.docx", "A 3586-2026")</f>
        <v/>
      </c>
      <c r="AC935">
        <f>HYPERLINK("https://klasma.github.io/Logging_2080/tillsyn/A 3586-2026 tillsynsbegäran.docx", "A 3586-2026")</f>
        <v/>
      </c>
      <c r="AD935">
        <f>HYPERLINK("https://klasma.github.io/Logging_2080/tillsynsmail/A 3586-2026 tillsynsbegäran mail.docx", "A 3586-2026")</f>
        <v/>
      </c>
    </row>
    <row r="936" ht="15" customHeight="1">
      <c r="A936" t="inlineStr">
        <is>
          <t>A 3280-2026</t>
        </is>
      </c>
      <c r="B936" t="inlineStr">
        <is>
          <t>avverkningsanmälan</t>
        </is>
      </c>
      <c r="C936" t="inlineStr">
        <is>
          <t>Föryngringsavverkning</t>
        </is>
      </c>
      <c r="D936" s="1" t="n">
        <v>46041</v>
      </c>
      <c r="E936" s="1" t="n">
        <v>46319</v>
      </c>
      <c r="F936" t="inlineStr">
        <is>
          <t>DALARNAS LÄN</t>
        </is>
      </c>
      <c r="G936" t="inlineStr">
        <is>
          <t>FALUN</t>
        </is>
      </c>
      <c r="I936" t="n">
        <v>30</v>
      </c>
      <c r="J936" t="n">
        <v>2</v>
      </c>
      <c r="K936" t="n">
        <v>0</v>
      </c>
      <c r="L936" t="n">
        <v>0</v>
      </c>
      <c r="M936" t="n">
        <v>0</v>
      </c>
      <c r="N936" t="n">
        <v>0</v>
      </c>
      <c r="O936" t="n">
        <v>0</v>
      </c>
      <c r="P936" t="n">
        <v>0</v>
      </c>
      <c r="Q936" t="n">
        <v>0</v>
      </c>
      <c r="R936" t="n">
        <v>0</v>
      </c>
      <c r="S936" t="n">
        <v>2</v>
      </c>
      <c r="T936" t="n">
        <v>2</v>
      </c>
      <c r="U936" t="n">
        <v>1</v>
      </c>
      <c r="V936" s="2" t="inlineStr">
        <is>
          <t>Spillkråka
Gröngöling</t>
        </is>
      </c>
      <c r="W936">
        <f>HYPERLINK("https://klasma.github.io/Logging_2080/artfynd/A 3280-2026 artfynd.xlsx", "A 3280-2026")</f>
        <v/>
      </c>
      <c r="X936">
        <f>HYPERLINK("https://klasma.github.io/Logging_2080/kartor/A 3280-2026 karta.png", "A 3280-2026")</f>
        <v/>
      </c>
      <c r="Y936">
        <f>HYPERLINK("https://klasma.github.io/Logging_2080/kartor_geotiff/A 3280-2026 georefererad karta.tif", "A 3280-2026")</f>
        <v/>
      </c>
      <c r="AA936">
        <f>HYPERLINK("https://klasma.github.io/Logging_2080/klagomål/A 3280-2026 FSC-klagomål.docx", "A 3280-2026")</f>
        <v/>
      </c>
      <c r="AB936">
        <f>HYPERLINK("https://klasma.github.io/Logging_2080/klagomålsmail/A 3280-2026 FSC-klagomål mail.docx", "A 3280-2026")</f>
        <v/>
      </c>
      <c r="AC936">
        <f>HYPERLINK("https://klasma.github.io/Logging_2080/tillsyn/A 3280-2026 tillsynsbegäran.docx", "A 3280-2026")</f>
        <v/>
      </c>
      <c r="AD936">
        <f>HYPERLINK("https://klasma.github.io/Logging_2080/tillsynsmail/A 3280-2026 tillsynsbegäran mail.docx", "A 3280-2026")</f>
        <v/>
      </c>
      <c r="AE936">
        <f>HYPERLINK("https://klasma.github.io/Logging_2080/fåglar/A 3280-2026 prioriterade fågelarter.docx", "A 3280-2026")</f>
        <v/>
      </c>
    </row>
    <row r="937" ht="15" customHeight="1">
      <c r="A937" t="inlineStr">
        <is>
          <t>A 4244-2026</t>
        </is>
      </c>
      <c r="B937" t="inlineStr">
        <is>
          <t>avverkningsanmälan</t>
        </is>
      </c>
      <c r="C937" t="inlineStr">
        <is>
          <t>Föryngringsavverkning</t>
        </is>
      </c>
      <c r="D937" s="1" t="n">
        <v>46045</v>
      </c>
      <c r="E937" s="1" t="n">
        <v>46319</v>
      </c>
      <c r="F937" t="inlineStr">
        <is>
          <t>DALARNAS LÄN</t>
        </is>
      </c>
      <c r="G937" t="inlineStr">
        <is>
          <t>FALUN</t>
        </is>
      </c>
      <c r="I937" t="n">
        <v>3.2</v>
      </c>
      <c r="J937" t="n">
        <v>0</v>
      </c>
      <c r="K937" t="n">
        <v>0</v>
      </c>
      <c r="L937" t="n">
        <v>2</v>
      </c>
      <c r="M937" t="n">
        <v>0</v>
      </c>
      <c r="N937" t="n">
        <v>0</v>
      </c>
      <c r="O937" t="n">
        <v>0</v>
      </c>
      <c r="P937" t="n">
        <v>0</v>
      </c>
      <c r="Q937" t="n">
        <v>2</v>
      </c>
      <c r="R937" t="n">
        <v>0</v>
      </c>
      <c r="S937" t="n">
        <v>2</v>
      </c>
      <c r="T937" t="n">
        <v>2</v>
      </c>
      <c r="U937" t="n">
        <v>0</v>
      </c>
      <c r="V937" s="2" t="inlineStr">
        <is>
          <t>Rynkskinn
Ullticka</t>
        </is>
      </c>
      <c r="W937">
        <f>HYPERLINK("https://klasma.github.io/Logging_2080/artfynd/A 4244-2026 artfynd.xlsx", "A 4244-2026")</f>
        <v/>
      </c>
      <c r="X937">
        <f>HYPERLINK("https://klasma.github.io/Logging_2080/kartor/A 4244-2026 karta.png", "A 4244-2026")</f>
        <v/>
      </c>
      <c r="Y937">
        <f>HYPERLINK("https://klasma.github.io/Logging_2080/kartor_geotiff/A 4244-2026 georefererad karta.tif", "A 4244-2026")</f>
        <v/>
      </c>
      <c r="AA937">
        <f>HYPERLINK("https://klasma.github.io/Logging_2080/klagomål/A 4244-2026 FSC-klagomål.docx", "A 4244-2026")</f>
        <v/>
      </c>
      <c r="AB937">
        <f>HYPERLINK("https://klasma.github.io/Logging_2080/klagomålsmail/A 4244-2026 FSC-klagomål mail.docx", "A 4244-2026")</f>
        <v/>
      </c>
      <c r="AC937">
        <f>HYPERLINK("https://klasma.github.io/Logging_2080/tillsyn/A 4244-2026 tillsynsbegäran.docx", "A 4244-2026")</f>
        <v/>
      </c>
      <c r="AD937">
        <f>HYPERLINK("https://klasma.github.io/Logging_2080/tillsynsmail/A 4244-2026 tillsynsbegäran mail.docx", "A 4244-2026")</f>
        <v/>
      </c>
    </row>
    <row r="938" ht="15" customHeight="1">
      <c r="A938" t="inlineStr">
        <is>
          <t>A 3284-2026</t>
        </is>
      </c>
      <c r="B938" t="inlineStr">
        <is>
          <t>avverkningsanmälan</t>
        </is>
      </c>
      <c r="C938" t="inlineStr">
        <is>
          <t>Föryngringsavverkning</t>
        </is>
      </c>
      <c r="D938" s="1" t="n">
        <v>46041</v>
      </c>
      <c r="E938" s="1" t="n">
        <v>46319</v>
      </c>
      <c r="F938" t="inlineStr">
        <is>
          <t>DALARNAS LÄN</t>
        </is>
      </c>
      <c r="G938" t="inlineStr">
        <is>
          <t>FALUN</t>
        </is>
      </c>
      <c r="I938" t="n">
        <v>3.5</v>
      </c>
      <c r="J938" t="n">
        <v>1</v>
      </c>
      <c r="K938" t="n">
        <v>0</v>
      </c>
      <c r="L938" t="n">
        <v>0</v>
      </c>
      <c r="M938" t="n">
        <v>0</v>
      </c>
      <c r="N938" t="n">
        <v>0</v>
      </c>
      <c r="O938" t="n">
        <v>0</v>
      </c>
      <c r="P938" t="n">
        <v>0</v>
      </c>
      <c r="Q938" t="n">
        <v>0</v>
      </c>
      <c r="R938" t="n">
        <v>0</v>
      </c>
      <c r="S938" t="n">
        <v>2</v>
      </c>
      <c r="T938" t="n">
        <v>2</v>
      </c>
      <c r="U938" t="n">
        <v>2</v>
      </c>
      <c r="V938" s="2" t="inlineStr">
        <is>
          <t>Blåbär
Spillkråka</t>
        </is>
      </c>
      <c r="W938">
        <f>HYPERLINK("https://klasma.github.io/Logging_2080/artfynd/A 3284-2026 artfynd.xlsx", "A 3284-2026")</f>
        <v/>
      </c>
      <c r="X938">
        <f>HYPERLINK("https://klasma.github.io/Logging_2080/kartor/A 3284-2026 karta.png", "A 3284-2026")</f>
        <v/>
      </c>
      <c r="Y938">
        <f>HYPERLINK("https://klasma.github.io/Logging_2080/kartor_geotiff/A 3284-2026 georefererad karta.tif", "A 3284-2026")</f>
        <v/>
      </c>
      <c r="AA938">
        <f>HYPERLINK("https://klasma.github.io/Logging_2080/klagomål/A 3284-2026 FSC-klagomål.docx", "A 3284-2026")</f>
        <v/>
      </c>
      <c r="AB938">
        <f>HYPERLINK("https://klasma.github.io/Logging_2080/klagomålsmail/A 3284-2026 FSC-klagomål mail.docx", "A 3284-2026")</f>
        <v/>
      </c>
      <c r="AC938">
        <f>HYPERLINK("https://klasma.github.io/Logging_2080/tillsyn/A 3284-2026 tillsynsbegäran.docx", "A 3284-2026")</f>
        <v/>
      </c>
      <c r="AD938">
        <f>HYPERLINK("https://klasma.github.io/Logging_2080/tillsynsmail/A 3284-2026 tillsynsbegäran mail.docx", "A 3284-2026")</f>
        <v/>
      </c>
      <c r="AE938">
        <f>HYPERLINK("https://klasma.github.io/Logging_2080/fåglar/A 3284-2026 prioriterade fågelarter.docx", "A 3284-2026")</f>
        <v/>
      </c>
    </row>
    <row r="939" ht="15" customHeight="1">
      <c r="A939" t="inlineStr">
        <is>
          <t>A 39794-2026</t>
        </is>
      </c>
      <c r="B939" t="inlineStr">
        <is>
          <t>avverkningsanmälan</t>
        </is>
      </c>
      <c r="C939" t="inlineStr">
        <is>
          <t>Föryngringsavverkning</t>
        </is>
      </c>
      <c r="D939" s="1" t="n">
        <v>46290</v>
      </c>
      <c r="E939" s="1" t="n">
        <v>46319</v>
      </c>
      <c r="F939" t="inlineStr">
        <is>
          <t>DALARNAS LÄN</t>
        </is>
      </c>
      <c r="G939" t="inlineStr">
        <is>
          <t>BORLÄNGE</t>
        </is>
      </c>
      <c r="I939" t="n">
        <v>2.2</v>
      </c>
      <c r="J939" t="n">
        <v>1</v>
      </c>
      <c r="K939" t="n">
        <v>1</v>
      </c>
      <c r="L939" t="n">
        <v>0</v>
      </c>
      <c r="M939" t="n">
        <v>0</v>
      </c>
      <c r="N939" t="n">
        <v>0</v>
      </c>
      <c r="O939" t="n">
        <v>0</v>
      </c>
      <c r="P939" t="n">
        <v>0</v>
      </c>
      <c r="Q939" t="n">
        <v>0</v>
      </c>
      <c r="R939" t="n">
        <v>0</v>
      </c>
      <c r="S939" t="n">
        <v>2</v>
      </c>
      <c r="T939" t="n">
        <v>2</v>
      </c>
      <c r="U939" t="n">
        <v>0</v>
      </c>
      <c r="V939" s="2" t="inlineStr">
        <is>
          <t>Mindre märgborre
Tjäder</t>
        </is>
      </c>
      <c r="W939">
        <f>HYPERLINK("https://klasma.github.io/Logging_2081/artfynd/A 39794-2026 artfynd.xlsx", "A 39794-2026")</f>
        <v/>
      </c>
      <c r="X939">
        <f>HYPERLINK("https://klasma.github.io/Logging_2081/kartor/A 39794-2026 karta.png", "A 39794-2026")</f>
        <v/>
      </c>
      <c r="Y939">
        <f>HYPERLINK("https://klasma.github.io/Logging_2081/kartor_geotiff/A 39794-2026 georefererad karta.tif", "A 39794-2026")</f>
        <v/>
      </c>
      <c r="AA939">
        <f>HYPERLINK("https://klasma.github.io/Logging_2081/klagomål/A 39794-2026 FSC-klagomål.docx", "A 39794-2026")</f>
        <v/>
      </c>
      <c r="AB939">
        <f>HYPERLINK("https://klasma.github.io/Logging_2081/klagomålsmail/A 39794-2026 FSC-klagomål mail.docx", "A 39794-2026")</f>
        <v/>
      </c>
      <c r="AC939">
        <f>HYPERLINK("https://klasma.github.io/Logging_2081/tillsyn/A 39794-2026 tillsynsbegäran.docx", "A 39794-2026")</f>
        <v/>
      </c>
      <c r="AD939">
        <f>HYPERLINK("https://klasma.github.io/Logging_2081/tillsynsmail/A 39794-2026 tillsynsbegäran mail.docx", "A 39794-2026")</f>
        <v/>
      </c>
      <c r="AE939">
        <f>HYPERLINK("https://klasma.github.io/Logging_2081/fåglar/A 39794-2026 prioriterade fågelarter.docx", "A 39794-2026")</f>
        <v/>
      </c>
    </row>
    <row r="940" ht="15" customHeight="1">
      <c r="A940" t="inlineStr">
        <is>
          <t>A 6400-2026</t>
        </is>
      </c>
      <c r="B940" t="inlineStr">
        <is>
          <t>avverkningsanmälan</t>
        </is>
      </c>
      <c r="C940" t="inlineStr">
        <is>
          <t>Föryngringsavverkning</t>
        </is>
      </c>
      <c r="D940" s="1" t="n">
        <v>46055</v>
      </c>
      <c r="E940" s="1" t="n">
        <v>46319</v>
      </c>
      <c r="F940" t="inlineStr">
        <is>
          <t>DALARNAS LÄN</t>
        </is>
      </c>
      <c r="G940" t="inlineStr">
        <is>
          <t>FALUN</t>
        </is>
      </c>
      <c r="I940" t="n">
        <v>3.3</v>
      </c>
      <c r="J940" t="n">
        <v>2</v>
      </c>
      <c r="K940" t="n">
        <v>0</v>
      </c>
      <c r="L940" t="n">
        <v>0</v>
      </c>
      <c r="M940" t="n">
        <v>0</v>
      </c>
      <c r="N940" t="n">
        <v>0</v>
      </c>
      <c r="O940" t="n">
        <v>0</v>
      </c>
      <c r="P940" t="n">
        <v>0</v>
      </c>
      <c r="Q940" t="n">
        <v>0</v>
      </c>
      <c r="R940" t="n">
        <v>0</v>
      </c>
      <c r="S940" t="n">
        <v>2</v>
      </c>
      <c r="T940" t="n">
        <v>3</v>
      </c>
      <c r="U940" t="n">
        <v>3</v>
      </c>
      <c r="V940" s="2" t="inlineStr">
        <is>
          <t>Spillkråka
Revlummer</t>
        </is>
      </c>
      <c r="W940">
        <f>HYPERLINK("https://klasma.github.io/Logging_2080/artfynd/A 6400-2026 artfynd.xlsx", "A 6400-2026")</f>
        <v/>
      </c>
      <c r="X940">
        <f>HYPERLINK("https://klasma.github.io/Logging_2080/kartor/A 6400-2026 karta.png", "A 6400-2026")</f>
        <v/>
      </c>
      <c r="Y940">
        <f>HYPERLINK("https://klasma.github.io/Logging_2080/kartor_geotiff/A 6400-2026 georefererad karta.tif", "A 6400-2026")</f>
        <v/>
      </c>
      <c r="AA940">
        <f>HYPERLINK("https://klasma.github.io/Logging_2080/klagomål/A 6400-2026 FSC-klagomål.docx", "A 6400-2026")</f>
        <v/>
      </c>
      <c r="AB940">
        <f>HYPERLINK("https://klasma.github.io/Logging_2080/klagomålsmail/A 6400-2026 FSC-klagomål mail.docx", "A 6400-2026")</f>
        <v/>
      </c>
      <c r="AC940">
        <f>HYPERLINK("https://klasma.github.io/Logging_2080/tillsyn/A 6400-2026 tillsynsbegäran.docx", "A 6400-2026")</f>
        <v/>
      </c>
      <c r="AD940">
        <f>HYPERLINK("https://klasma.github.io/Logging_2080/tillsynsmail/A 6400-2026 tillsynsbegäran mail.docx", "A 6400-2026")</f>
        <v/>
      </c>
      <c r="AE940">
        <f>HYPERLINK("https://klasma.github.io/Logging_2080/fåglar/A 6400-2026 prioriterade fågelarter.docx", "A 6400-2026")</f>
        <v/>
      </c>
    </row>
    <row r="941" ht="15" customHeight="1">
      <c r="A941" t="inlineStr">
        <is>
          <t>A 21364-2025</t>
        </is>
      </c>
      <c r="B941" t="inlineStr">
        <is>
          <t>avverkningsanmälan</t>
        </is>
      </c>
      <c r="C941" t="inlineStr">
        <is>
          <t>Föryngringsavverkning</t>
        </is>
      </c>
      <c r="D941" s="1" t="n">
        <v>45782</v>
      </c>
      <c r="E941" s="1" t="n">
        <v>46319</v>
      </c>
      <c r="F941" t="inlineStr">
        <is>
          <t>DALARNAS LÄN</t>
        </is>
      </c>
      <c r="G941" t="inlineStr">
        <is>
          <t>ORSA</t>
        </is>
      </c>
      <c r="H941" t="inlineStr">
        <is>
          <t>Allmännings- och besparingsskogar</t>
        </is>
      </c>
      <c r="I941" t="n">
        <v>52.6</v>
      </c>
      <c r="J941" t="n">
        <v>2</v>
      </c>
      <c r="K941" t="n">
        <v>0</v>
      </c>
      <c r="L941" t="n">
        <v>0</v>
      </c>
      <c r="M941" t="n">
        <v>1</v>
      </c>
      <c r="N941" t="n">
        <v>0</v>
      </c>
      <c r="O941" t="n">
        <v>0</v>
      </c>
      <c r="P941" t="n">
        <v>0</v>
      </c>
      <c r="Q941" t="n">
        <v>1</v>
      </c>
      <c r="R941" t="n">
        <v>1</v>
      </c>
      <c r="S941" t="n">
        <v>2</v>
      </c>
      <c r="T941" t="n">
        <v>2</v>
      </c>
      <c r="U941" t="n">
        <v>0</v>
      </c>
      <c r="V941" s="2" t="inlineStr">
        <is>
          <t>Lappuggla
Orre</t>
        </is>
      </c>
      <c r="W941">
        <f>HYPERLINK("https://klasma.github.io/Logging_2034/artfynd/A 21364-2025 artfynd.xlsx", "A 21364-2025")</f>
        <v/>
      </c>
      <c r="X941">
        <f>HYPERLINK("https://klasma.github.io/Logging_2034/kartor/A 21364-2025 karta.png", "A 21364-2025")</f>
        <v/>
      </c>
      <c r="Y941">
        <f>HYPERLINK("https://klasma.github.io/Logging_2034/kartor_geotiff/A 21364-2025 georefererad karta.tif", "A 21364-2025")</f>
        <v/>
      </c>
      <c r="AA941">
        <f>HYPERLINK("https://klasma.github.io/Logging_2034/klagomål/A 21364-2025 FSC-klagomål.docx", "A 21364-2025")</f>
        <v/>
      </c>
      <c r="AB941">
        <f>HYPERLINK("https://klasma.github.io/Logging_2034/klagomålsmail/A 21364-2025 FSC-klagomål mail.docx", "A 21364-2025")</f>
        <v/>
      </c>
      <c r="AC941">
        <f>HYPERLINK("https://klasma.github.io/Logging_2034/tillsyn/A 21364-2025 tillsynsbegäran.docx", "A 21364-2025")</f>
        <v/>
      </c>
      <c r="AD941">
        <f>HYPERLINK("https://klasma.github.io/Logging_2034/tillsynsmail/A 21364-2025 tillsynsbegäran mail.docx", "A 21364-2025")</f>
        <v/>
      </c>
      <c r="AE941">
        <f>HYPERLINK("https://klasma.github.io/Logging_2034/fåglar/A 21364-2025 prioriterade fågelarter.docx", "A 21364-2025")</f>
        <v/>
      </c>
    </row>
    <row r="942" ht="15" customHeight="1">
      <c r="A942" t="inlineStr">
        <is>
          <t>A 39810-2026</t>
        </is>
      </c>
      <c r="B942" t="inlineStr">
        <is>
          <t>avverkningsanmälan</t>
        </is>
      </c>
      <c r="C942" t="inlineStr">
        <is>
          <t>Föryngringsavverkning</t>
        </is>
      </c>
      <c r="D942" s="1" t="n">
        <v>46290</v>
      </c>
      <c r="E942" s="1" t="n">
        <v>46319</v>
      </c>
      <c r="F942" t="inlineStr">
        <is>
          <t>DALARNAS LÄN</t>
        </is>
      </c>
      <c r="G942" t="inlineStr">
        <is>
          <t>BORLÄNGE</t>
        </is>
      </c>
      <c r="I942" t="n">
        <v>3.5</v>
      </c>
      <c r="J942" t="n">
        <v>1</v>
      </c>
      <c r="K942" t="n">
        <v>0</v>
      </c>
      <c r="L942" t="n">
        <v>1</v>
      </c>
      <c r="M942" t="n">
        <v>0</v>
      </c>
      <c r="N942" t="n">
        <v>0</v>
      </c>
      <c r="O942" t="n">
        <v>0</v>
      </c>
      <c r="P942" t="n">
        <v>0</v>
      </c>
      <c r="Q942" t="n">
        <v>1</v>
      </c>
      <c r="R942" t="n">
        <v>0</v>
      </c>
      <c r="S942" t="n">
        <v>2</v>
      </c>
      <c r="T942" t="n">
        <v>2</v>
      </c>
      <c r="U942" t="n">
        <v>0</v>
      </c>
      <c r="V942" s="2" t="inlineStr">
        <is>
          <t>Dropptaggsvamp
Tjäder</t>
        </is>
      </c>
      <c r="W942">
        <f>HYPERLINK("https://klasma.github.io/Logging_2081/artfynd/A 39810-2026 artfynd.xlsx", "A 39810-2026")</f>
        <v/>
      </c>
      <c r="X942">
        <f>HYPERLINK("https://klasma.github.io/Logging_2081/kartor/A 39810-2026 karta.png", "A 39810-2026")</f>
        <v/>
      </c>
      <c r="Y942">
        <f>HYPERLINK("https://klasma.github.io/Logging_2081/kartor_geotiff/A 39810-2026 georefererad karta.tif", "A 39810-2026")</f>
        <v/>
      </c>
      <c r="AA942">
        <f>HYPERLINK("https://klasma.github.io/Logging_2081/klagomål/A 39810-2026 FSC-klagomål.docx", "A 39810-2026")</f>
        <v/>
      </c>
      <c r="AB942">
        <f>HYPERLINK("https://klasma.github.io/Logging_2081/klagomålsmail/A 39810-2026 FSC-klagomål mail.docx", "A 39810-2026")</f>
        <v/>
      </c>
      <c r="AC942">
        <f>HYPERLINK("https://klasma.github.io/Logging_2081/tillsyn/A 39810-2026 tillsynsbegäran.docx", "A 39810-2026")</f>
        <v/>
      </c>
      <c r="AD942">
        <f>HYPERLINK("https://klasma.github.io/Logging_2081/tillsynsmail/A 39810-2026 tillsynsbegäran mail.docx", "A 39810-2026")</f>
        <v/>
      </c>
      <c r="AE942">
        <f>HYPERLINK("https://klasma.github.io/Logging_2081/fåglar/A 39810-2026 prioriterade fågelarter.docx", "A 39810-2026")</f>
        <v/>
      </c>
    </row>
    <row r="943" ht="15" customHeight="1">
      <c r="A943" t="inlineStr">
        <is>
          <t>A 39527-2026</t>
        </is>
      </c>
      <c r="B943" t="inlineStr">
        <is>
          <t>avverkningsanmälan</t>
        </is>
      </c>
      <c r="C943" t="inlineStr">
        <is>
          <t>Föryngringsavverkning</t>
        </is>
      </c>
      <c r="D943" s="1" t="n">
        <v>46289</v>
      </c>
      <c r="E943" s="1" t="n">
        <v>46319</v>
      </c>
      <c r="F943" t="inlineStr">
        <is>
          <t>DALARNAS LÄN</t>
        </is>
      </c>
      <c r="G943" t="inlineStr">
        <is>
          <t>LEKSAND</t>
        </is>
      </c>
      <c r="H943" t="inlineStr">
        <is>
          <t>Bergvik skog väst AB</t>
        </is>
      </c>
      <c r="I943" t="n">
        <v>0.7</v>
      </c>
      <c r="J943" t="n">
        <v>2</v>
      </c>
      <c r="K943" t="n">
        <v>0</v>
      </c>
      <c r="L943" t="n">
        <v>2</v>
      </c>
      <c r="M943" t="n">
        <v>0</v>
      </c>
      <c r="N943" t="n">
        <v>0</v>
      </c>
      <c r="O943" t="n">
        <v>0</v>
      </c>
      <c r="P943" t="n">
        <v>0</v>
      </c>
      <c r="Q943" t="n">
        <v>2</v>
      </c>
      <c r="R943" t="n">
        <v>0</v>
      </c>
      <c r="S943" t="n">
        <v>2</v>
      </c>
      <c r="T943" t="n">
        <v>3</v>
      </c>
      <c r="U943" t="n">
        <v>3</v>
      </c>
      <c r="V943" s="2" t="inlineStr">
        <is>
          <t>Talltita
Tretåig hackspett</t>
        </is>
      </c>
      <c r="W943">
        <f>HYPERLINK("https://klasma.github.io/Logging_2029/artfynd/A 39527-2026 artfynd.xlsx", "A 39527-2026")</f>
        <v/>
      </c>
      <c r="X943">
        <f>HYPERLINK("https://klasma.github.io/Logging_2029/kartor/A 39527-2026 karta.png", "A 39527-2026")</f>
        <v/>
      </c>
      <c r="Y943">
        <f>HYPERLINK("https://klasma.github.io/Logging_2029/kartor_geotiff/A 39527-2026 georefererad karta.tif", "A 39527-2026")</f>
        <v/>
      </c>
      <c r="AA943">
        <f>HYPERLINK("https://klasma.github.io/Logging_2029/klagomål/A 39527-2026 FSC-klagomål.docx", "A 39527-2026")</f>
        <v/>
      </c>
      <c r="AB943">
        <f>HYPERLINK("https://klasma.github.io/Logging_2029/klagomålsmail/A 39527-2026 FSC-klagomål mail.docx", "A 39527-2026")</f>
        <v/>
      </c>
      <c r="AC943">
        <f>HYPERLINK("https://klasma.github.io/Logging_2029/tillsyn/A 39527-2026 tillsynsbegäran.docx", "A 39527-2026")</f>
        <v/>
      </c>
      <c r="AD943">
        <f>HYPERLINK("https://klasma.github.io/Logging_2029/tillsynsmail/A 39527-2026 tillsynsbegäran mail.docx", "A 39527-2026")</f>
        <v/>
      </c>
      <c r="AE943">
        <f>HYPERLINK("https://klasma.github.io/Logging_2029/fåglar/A 39527-2026 prioriterade fågelarter.docx", "A 39527-2026")</f>
        <v/>
      </c>
    </row>
    <row r="944" ht="15" customHeight="1">
      <c r="A944" t="inlineStr">
        <is>
          <t>A 2996-2023</t>
        </is>
      </c>
      <c r="B944" t="inlineStr">
        <is>
          <t>avverkningsanmälan</t>
        </is>
      </c>
      <c r="C944" t="inlineStr">
        <is>
          <t>Avverkning för annat ändamål</t>
        </is>
      </c>
      <c r="D944" s="1" t="n">
        <v>44945</v>
      </c>
      <c r="E944" s="1" t="n">
        <v>46319</v>
      </c>
      <c r="F944" t="inlineStr">
        <is>
          <t>DALARNAS LÄN</t>
        </is>
      </c>
      <c r="G944" t="inlineStr">
        <is>
          <t>HEDEMORA</t>
        </is>
      </c>
      <c r="I944" t="n">
        <v>2.1</v>
      </c>
      <c r="J944" t="n">
        <v>1</v>
      </c>
      <c r="K944" t="n">
        <v>0</v>
      </c>
      <c r="L944" t="n">
        <v>1</v>
      </c>
      <c r="M944" t="n">
        <v>0</v>
      </c>
      <c r="N944" t="n">
        <v>0</v>
      </c>
      <c r="O944" t="n">
        <v>0</v>
      </c>
      <c r="P944" t="n">
        <v>0</v>
      </c>
      <c r="Q944" t="n">
        <v>1</v>
      </c>
      <c r="R944" t="n">
        <v>0</v>
      </c>
      <c r="S944" t="n">
        <v>2</v>
      </c>
      <c r="T944" t="n">
        <v>2</v>
      </c>
      <c r="U944" t="n">
        <v>0</v>
      </c>
      <c r="V944" s="2" t="inlineStr">
        <is>
          <t>Vedtrappmossa
Blåsippa</t>
        </is>
      </c>
      <c r="W944">
        <f>HYPERLINK("https://klasma.github.io/Logging_2083/artfynd/A 2996-2023 artfynd.xlsx", "A 2996-2023")</f>
        <v/>
      </c>
      <c r="X944">
        <f>HYPERLINK("https://klasma.github.io/Logging_2083/kartor/A 2996-2023 karta.png", "A 2996-2023")</f>
        <v/>
      </c>
      <c r="Y944">
        <f>HYPERLINK("https://klasma.github.io/Logging_2083/kartor_geotiff/A 2996-2023 georefererad karta.tif", "A 2996-2023")</f>
        <v/>
      </c>
      <c r="AA944">
        <f>HYPERLINK("https://klasma.github.io/Logging_2083/klagomål/A 2996-2023 FSC-klagomål.docx", "A 2996-2023")</f>
        <v/>
      </c>
      <c r="AB944">
        <f>HYPERLINK("https://klasma.github.io/Logging_2083/klagomålsmail/A 2996-2023 FSC-klagomål mail.docx", "A 2996-2023")</f>
        <v/>
      </c>
      <c r="AC944">
        <f>HYPERLINK("https://klasma.github.io/Logging_2083/tillsyn/A 2996-2023 tillsynsbegäran.docx", "A 2996-2023")</f>
        <v/>
      </c>
      <c r="AD944">
        <f>HYPERLINK("https://klasma.github.io/Logging_2083/tillsynsmail/A 2996-2023 tillsynsbegäran mail.docx", "A 2996-2023")</f>
        <v/>
      </c>
    </row>
    <row r="945" ht="15" customHeight="1">
      <c r="A945" t="inlineStr">
        <is>
          <t>A 27183-2025</t>
        </is>
      </c>
      <c r="B945" t="inlineStr">
        <is>
          <t>avverkningsanmälan</t>
        </is>
      </c>
      <c r="C945" t="inlineStr">
        <is>
          <t>Föryngringsavverkning</t>
        </is>
      </c>
      <c r="D945" s="1" t="n">
        <v>45812</v>
      </c>
      <c r="E945" s="1" t="n">
        <v>46319</v>
      </c>
      <c r="F945" t="inlineStr">
        <is>
          <t>DALARNAS LÄN</t>
        </is>
      </c>
      <c r="G945" t="inlineStr">
        <is>
          <t>LEKSAND</t>
        </is>
      </c>
      <c r="I945" t="n">
        <v>1</v>
      </c>
      <c r="J945" t="n">
        <v>2</v>
      </c>
      <c r="K945" t="n">
        <v>0</v>
      </c>
      <c r="L945" t="n">
        <v>0</v>
      </c>
      <c r="M945" t="n">
        <v>2</v>
      </c>
      <c r="N945" t="n">
        <v>0</v>
      </c>
      <c r="O945" t="n">
        <v>0</v>
      </c>
      <c r="P945" t="n">
        <v>0</v>
      </c>
      <c r="Q945" t="n">
        <v>2</v>
      </c>
      <c r="R945" t="n">
        <v>2</v>
      </c>
      <c r="S945" t="n">
        <v>2</v>
      </c>
      <c r="T945" t="n">
        <v>2</v>
      </c>
      <c r="U945" t="n">
        <v>1</v>
      </c>
      <c r="V945" s="2" t="inlineStr">
        <is>
          <t>Brun gräsfjäril
Väddnätfjäril</t>
        </is>
      </c>
      <c r="W945">
        <f>HYPERLINK("https://klasma.github.io/Logging_2029/artfynd/A 27183-2025 artfynd.xlsx", "A 27183-2025")</f>
        <v/>
      </c>
      <c r="X945">
        <f>HYPERLINK("https://klasma.github.io/Logging_2029/kartor/A 27183-2025 karta.png", "A 27183-2025")</f>
        <v/>
      </c>
      <c r="Y945">
        <f>HYPERLINK("https://klasma.github.io/Logging_2029/kartor_geotiff/A 27183-2025 georefererad karta.tif", "A 27183-2025")</f>
        <v/>
      </c>
      <c r="AA945">
        <f>HYPERLINK("https://klasma.github.io/Logging_2029/klagomål/A 27183-2025 FSC-klagomål.docx", "A 27183-2025")</f>
        <v/>
      </c>
      <c r="AB945">
        <f>HYPERLINK("https://klasma.github.io/Logging_2029/klagomålsmail/A 27183-2025 FSC-klagomål mail.docx", "A 27183-2025")</f>
        <v/>
      </c>
      <c r="AC945">
        <f>HYPERLINK("https://klasma.github.io/Logging_2029/tillsyn/A 27183-2025 tillsynsbegäran.docx", "A 27183-2025")</f>
        <v/>
      </c>
      <c r="AD945">
        <f>HYPERLINK("https://klasma.github.io/Logging_2029/tillsynsmail/A 27183-2025 tillsynsbegäran mail.docx", "A 27183-2025")</f>
        <v/>
      </c>
    </row>
    <row r="946" ht="15" customHeight="1">
      <c r="A946" t="inlineStr">
        <is>
          <t>A 28299-2026</t>
        </is>
      </c>
      <c r="B946" t="inlineStr">
        <is>
          <t>avverkningsanmälan</t>
        </is>
      </c>
      <c r="C946" t="inlineStr">
        <is>
          <t>Föryngringsavverkning</t>
        </is>
      </c>
      <c r="D946" s="1" t="n">
        <v>46196</v>
      </c>
      <c r="E946" s="1" t="n">
        <v>46319</v>
      </c>
      <c r="F946" t="inlineStr">
        <is>
          <t>DALARNAS LÄN</t>
        </is>
      </c>
      <c r="G946" t="inlineStr">
        <is>
          <t>BORLÄNGE</t>
        </is>
      </c>
      <c r="H946" t="inlineStr">
        <is>
          <t>Kommuner</t>
        </is>
      </c>
      <c r="I946" t="n">
        <v>9.199999999999999</v>
      </c>
      <c r="J946" t="n">
        <v>0</v>
      </c>
      <c r="K946" t="n">
        <v>1</v>
      </c>
      <c r="L946" t="n">
        <v>1</v>
      </c>
      <c r="M946" t="n">
        <v>0</v>
      </c>
      <c r="N946" t="n">
        <v>0</v>
      </c>
      <c r="O946" t="n">
        <v>0</v>
      </c>
      <c r="P946" t="n">
        <v>0</v>
      </c>
      <c r="Q946" t="n">
        <v>1</v>
      </c>
      <c r="R946" t="n">
        <v>0</v>
      </c>
      <c r="S946" t="n">
        <v>2</v>
      </c>
      <c r="T946" t="n">
        <v>2</v>
      </c>
      <c r="U946" t="n">
        <v>0</v>
      </c>
      <c r="V946" s="2" t="inlineStr">
        <is>
          <t>Fjällig taggsvamp s.str.
Rödgul trumpetsvamp</t>
        </is>
      </c>
      <c r="W946">
        <f>HYPERLINK("https://klasma.github.io/Logging_2081/artfynd/A 28299-2026 artfynd.xlsx", "A 28299-2026")</f>
        <v/>
      </c>
      <c r="X946">
        <f>HYPERLINK("https://klasma.github.io/Logging_2081/kartor/A 28299-2026 karta.png", "A 28299-2026")</f>
        <v/>
      </c>
      <c r="Y946">
        <f>HYPERLINK("https://klasma.github.io/Logging_2081/kartor_geotiff/A 28299-2026 georefererad karta.tif", "A 28299-2026")</f>
        <v/>
      </c>
      <c r="AA946">
        <f>HYPERLINK("https://klasma.github.io/Logging_2081/klagomål/A 28299-2026 FSC-klagomål.docx", "A 28299-2026")</f>
        <v/>
      </c>
      <c r="AB946">
        <f>HYPERLINK("https://klasma.github.io/Logging_2081/klagomålsmail/A 28299-2026 FSC-klagomål mail.docx", "A 28299-2026")</f>
        <v/>
      </c>
      <c r="AC946">
        <f>HYPERLINK("https://klasma.github.io/Logging_2081/tillsyn/A 28299-2026 tillsynsbegäran.docx", "A 28299-2026")</f>
        <v/>
      </c>
      <c r="AD946">
        <f>HYPERLINK("https://klasma.github.io/Logging_2081/tillsynsmail/A 28299-2026 tillsynsbegäran mail.docx", "A 28299-2026")</f>
        <v/>
      </c>
    </row>
    <row r="947" ht="15" customHeight="1">
      <c r="A947" t="inlineStr">
        <is>
          <t>A 4421-2026</t>
        </is>
      </c>
      <c r="B947" t="inlineStr">
        <is>
          <t>avverkningsanmälan</t>
        </is>
      </c>
      <c r="C947" t="inlineStr">
        <is>
          <t>Föryngringsavverkning</t>
        </is>
      </c>
      <c r="D947" s="1" t="n">
        <v>46045</v>
      </c>
      <c r="E947" s="1" t="n">
        <v>46319</v>
      </c>
      <c r="F947" t="inlineStr">
        <is>
          <t>DALARNAS LÄN</t>
        </is>
      </c>
      <c r="G947" t="inlineStr">
        <is>
          <t>GAGNEF</t>
        </is>
      </c>
      <c r="H947" t="inlineStr">
        <is>
          <t>Kommuner</t>
        </is>
      </c>
      <c r="I947" t="n">
        <v>8.300000000000001</v>
      </c>
      <c r="J947" t="n">
        <v>0</v>
      </c>
      <c r="K947" t="n">
        <v>0</v>
      </c>
      <c r="L947" t="n">
        <v>2</v>
      </c>
      <c r="M947" t="n">
        <v>0</v>
      </c>
      <c r="N947" t="n">
        <v>0</v>
      </c>
      <c r="O947" t="n">
        <v>0</v>
      </c>
      <c r="P947" t="n">
        <v>0</v>
      </c>
      <c r="Q947" t="n">
        <v>2</v>
      </c>
      <c r="R947" t="n">
        <v>0</v>
      </c>
      <c r="S947" t="n">
        <v>2</v>
      </c>
      <c r="T947" t="n">
        <v>2</v>
      </c>
      <c r="U947" t="n">
        <v>0</v>
      </c>
      <c r="V947" s="2" t="inlineStr">
        <is>
          <t>Rosenticka
Ullticka</t>
        </is>
      </c>
      <c r="W947">
        <f>HYPERLINK("https://klasma.github.io/Logging_2026/artfynd/A 4421-2026 artfynd.xlsx", "A 4421-2026")</f>
        <v/>
      </c>
      <c r="X947">
        <f>HYPERLINK("https://klasma.github.io/Logging_2026/kartor/A 4421-2026 karta.png", "A 4421-2026")</f>
        <v/>
      </c>
      <c r="Y947">
        <f>HYPERLINK("https://klasma.github.io/Logging_2026/kartor_geotiff/A 4421-2026 georefererad karta.tif", "A 4421-2026")</f>
        <v/>
      </c>
      <c r="AA947">
        <f>HYPERLINK("https://klasma.github.io/Logging_2026/klagomål/A 4421-2026 FSC-klagomål.docx", "A 4421-2026")</f>
        <v/>
      </c>
      <c r="AB947">
        <f>HYPERLINK("https://klasma.github.io/Logging_2026/klagomålsmail/A 4421-2026 FSC-klagomål mail.docx", "A 4421-2026")</f>
        <v/>
      </c>
      <c r="AC947">
        <f>HYPERLINK("https://klasma.github.io/Logging_2026/tillsyn/A 4421-2026 tillsynsbegäran.docx", "A 4421-2026")</f>
        <v/>
      </c>
      <c r="AD947">
        <f>HYPERLINK("https://klasma.github.io/Logging_2026/tillsynsmail/A 4421-2026 tillsynsbegäran mail.docx", "A 4421-2026")</f>
        <v/>
      </c>
    </row>
    <row r="948" ht="15" customHeight="1">
      <c r="A948" t="inlineStr">
        <is>
          <t>A 28087-2025</t>
        </is>
      </c>
      <c r="B948" t="inlineStr">
        <is>
          <t>avverkningsanmälan</t>
        </is>
      </c>
      <c r="C948" t="inlineStr">
        <is>
          <t>Föryngringsavverkning</t>
        </is>
      </c>
      <c r="D948" s="1" t="n">
        <v>45817</v>
      </c>
      <c r="E948" s="1" t="n">
        <v>46319</v>
      </c>
      <c r="F948" t="inlineStr">
        <is>
          <t>DALARNAS LÄN</t>
        </is>
      </c>
      <c r="G948" t="inlineStr">
        <is>
          <t>AVESTA</t>
        </is>
      </c>
      <c r="H948" t="inlineStr">
        <is>
          <t>Sveaskog</t>
        </is>
      </c>
      <c r="I948" t="n">
        <v>4.5</v>
      </c>
      <c r="J948" t="n">
        <v>2</v>
      </c>
      <c r="K948" t="n">
        <v>0</v>
      </c>
      <c r="L948" t="n">
        <v>1</v>
      </c>
      <c r="M948" t="n">
        <v>0</v>
      </c>
      <c r="N948" t="n">
        <v>0</v>
      </c>
      <c r="O948" t="n">
        <v>0</v>
      </c>
      <c r="P948" t="n">
        <v>0</v>
      </c>
      <c r="Q948" t="n">
        <v>1</v>
      </c>
      <c r="R948" t="n">
        <v>0</v>
      </c>
      <c r="S948" t="n">
        <v>2</v>
      </c>
      <c r="T948" t="n">
        <v>3</v>
      </c>
      <c r="U948" t="n">
        <v>1</v>
      </c>
      <c r="V948" s="2" t="inlineStr">
        <is>
          <t>Nordfladdermus
Fläcknycklar</t>
        </is>
      </c>
      <c r="W948">
        <f>HYPERLINK("https://klasma.github.io/Logging_2084/artfynd/A 28087-2025 artfynd.xlsx", "A 28087-2025")</f>
        <v/>
      </c>
      <c r="X948">
        <f>HYPERLINK("https://klasma.github.io/Logging_2084/kartor/A 28087-2025 karta.png", "A 28087-2025")</f>
        <v/>
      </c>
      <c r="Y948">
        <f>HYPERLINK("https://klasma.github.io/Logging_2084/kartor_geotiff/A 28087-2025 georefererad karta.tif", "A 28087-2025")</f>
        <v/>
      </c>
      <c r="AA948">
        <f>HYPERLINK("https://klasma.github.io/Logging_2084/klagomål/A 28087-2025 FSC-klagomål.docx", "A 28087-2025")</f>
        <v/>
      </c>
      <c r="AB948">
        <f>HYPERLINK("https://klasma.github.io/Logging_2084/klagomålsmail/A 28087-2025 FSC-klagomål mail.docx", "A 28087-2025")</f>
        <v/>
      </c>
      <c r="AC948">
        <f>HYPERLINK("https://klasma.github.io/Logging_2084/tillsyn/A 28087-2025 tillsynsbegäran.docx", "A 28087-2025")</f>
        <v/>
      </c>
      <c r="AD948">
        <f>HYPERLINK("https://klasma.github.io/Logging_2084/tillsynsmail/A 28087-2025 tillsynsbegäran mail.docx", "A 28087-2025")</f>
        <v/>
      </c>
    </row>
    <row r="949" ht="15" customHeight="1">
      <c r="A949" t="inlineStr">
        <is>
          <t>A 27937-2025</t>
        </is>
      </c>
      <c r="B949" t="inlineStr">
        <is>
          <t>avverkningsanmälan</t>
        </is>
      </c>
      <c r="C949" t="inlineStr">
        <is>
          <t>Föryngringsavverkning</t>
        </is>
      </c>
      <c r="D949" s="1" t="n">
        <v>45817</v>
      </c>
      <c r="E949" s="1" t="n">
        <v>46319</v>
      </c>
      <c r="F949" t="inlineStr">
        <is>
          <t>DALARNAS LÄN</t>
        </is>
      </c>
      <c r="G949" t="inlineStr">
        <is>
          <t>ÄLVDALEN</t>
        </is>
      </c>
      <c r="H949" t="inlineStr">
        <is>
          <t>Sveaskog</t>
        </is>
      </c>
      <c r="I949" t="n">
        <v>0.9</v>
      </c>
      <c r="J949" t="n">
        <v>0</v>
      </c>
      <c r="K949" t="n">
        <v>0</v>
      </c>
      <c r="L949" t="n">
        <v>2</v>
      </c>
      <c r="M949" t="n">
        <v>0</v>
      </c>
      <c r="N949" t="n">
        <v>0</v>
      </c>
      <c r="O949" t="n">
        <v>0</v>
      </c>
      <c r="P949" t="n">
        <v>0</v>
      </c>
      <c r="Q949" t="n">
        <v>2</v>
      </c>
      <c r="R949" t="n">
        <v>0</v>
      </c>
      <c r="S949" t="n">
        <v>2</v>
      </c>
      <c r="T949" t="n">
        <v>2</v>
      </c>
      <c r="U949" t="n">
        <v>1</v>
      </c>
      <c r="V949" s="2" t="inlineStr">
        <is>
          <t>Dropptaggsvamp
Kolflarnlav</t>
        </is>
      </c>
      <c r="W949">
        <f>HYPERLINK("https://klasma.github.io/Logging_2039/artfynd/A 27937-2025 artfynd.xlsx", "A 27937-2025")</f>
        <v/>
      </c>
      <c r="X949">
        <f>HYPERLINK("https://klasma.github.io/Logging_2039/kartor/A 27937-2025 karta.png", "A 27937-2025")</f>
        <v/>
      </c>
      <c r="Y949">
        <f>HYPERLINK("https://klasma.github.io/Logging_2039/kartor_geotiff/A 27937-2025 georefererad karta.tif", "A 27937-2025")</f>
        <v/>
      </c>
      <c r="AA949">
        <f>HYPERLINK("https://klasma.github.io/Logging_2039/klagomål/A 27937-2025 FSC-klagomål.docx", "A 27937-2025")</f>
        <v/>
      </c>
      <c r="AB949">
        <f>HYPERLINK("https://klasma.github.io/Logging_2039/klagomålsmail/A 27937-2025 FSC-klagomål mail.docx", "A 27937-2025")</f>
        <v/>
      </c>
      <c r="AC949">
        <f>HYPERLINK("https://klasma.github.io/Logging_2039/tillsyn/A 27937-2025 tillsynsbegäran.docx", "A 27937-2025")</f>
        <v/>
      </c>
      <c r="AD949">
        <f>HYPERLINK("https://klasma.github.io/Logging_2039/tillsynsmail/A 27937-2025 tillsynsbegäran mail.docx", "A 27937-2025")</f>
        <v/>
      </c>
    </row>
    <row r="950" ht="15" customHeight="1">
      <c r="A950" t="inlineStr">
        <is>
          <t>A 9549-2026</t>
        </is>
      </c>
      <c r="B950" t="inlineStr">
        <is>
          <t>avverkningsanmälan</t>
        </is>
      </c>
      <c r="C950" t="inlineStr">
        <is>
          <t>Föryngringsavverkning</t>
        </is>
      </c>
      <c r="D950" s="1" t="n">
        <v>46070</v>
      </c>
      <c r="E950" s="1" t="n">
        <v>46319</v>
      </c>
      <c r="F950" t="inlineStr">
        <is>
          <t>DALARNAS LÄN</t>
        </is>
      </c>
      <c r="G950" t="inlineStr">
        <is>
          <t>HEDEMORA</t>
        </is>
      </c>
      <c r="I950" t="n">
        <v>4.2</v>
      </c>
      <c r="J950" t="n">
        <v>1</v>
      </c>
      <c r="K950" t="n">
        <v>1</v>
      </c>
      <c r="L950" t="n">
        <v>0</v>
      </c>
      <c r="M950" t="n">
        <v>0</v>
      </c>
      <c r="N950" t="n">
        <v>0</v>
      </c>
      <c r="O950" t="n">
        <v>0</v>
      </c>
      <c r="P950" t="n">
        <v>0</v>
      </c>
      <c r="Q950" t="n">
        <v>0</v>
      </c>
      <c r="R950" t="n">
        <v>0</v>
      </c>
      <c r="S950" t="n">
        <v>2</v>
      </c>
      <c r="T950" t="n">
        <v>2</v>
      </c>
      <c r="U950" t="n">
        <v>0</v>
      </c>
      <c r="V950" s="2" t="inlineStr">
        <is>
          <t>Korallblylav
Orre</t>
        </is>
      </c>
      <c r="W950">
        <f>HYPERLINK("https://klasma.github.io/Logging_2083/artfynd/A 9549-2026 artfynd.xlsx", "A 9549-2026")</f>
        <v/>
      </c>
      <c r="X950">
        <f>HYPERLINK("https://klasma.github.io/Logging_2083/kartor/A 9549-2026 karta.png", "A 9549-2026")</f>
        <v/>
      </c>
      <c r="Y950">
        <f>HYPERLINK("https://klasma.github.io/Logging_2083/kartor_geotiff/A 9549-2026 georefererad karta.tif", "A 9549-2026")</f>
        <v/>
      </c>
      <c r="AA950">
        <f>HYPERLINK("https://klasma.github.io/Logging_2083/klagomål/A 9549-2026 FSC-klagomål.docx", "A 9549-2026")</f>
        <v/>
      </c>
      <c r="AB950">
        <f>HYPERLINK("https://klasma.github.io/Logging_2083/klagomålsmail/A 9549-2026 FSC-klagomål mail.docx", "A 9549-2026")</f>
        <v/>
      </c>
      <c r="AC950">
        <f>HYPERLINK("https://klasma.github.io/Logging_2083/tillsyn/A 9549-2026 tillsynsbegäran.docx", "A 9549-2026")</f>
        <v/>
      </c>
      <c r="AD950">
        <f>HYPERLINK("https://klasma.github.io/Logging_2083/tillsynsmail/A 9549-2026 tillsynsbegäran mail.docx", "A 9549-2026")</f>
        <v/>
      </c>
      <c r="AE950">
        <f>HYPERLINK("https://klasma.github.io/Logging_2083/fåglar/A 9549-2026 prioriterade fågelarter.docx", "A 9549-2026")</f>
        <v/>
      </c>
    </row>
    <row r="951" ht="15" customHeight="1">
      <c r="A951" t="inlineStr">
        <is>
          <t>A 29511-2025</t>
        </is>
      </c>
      <c r="B951" t="inlineStr">
        <is>
          <t>avverkningsanmälan</t>
        </is>
      </c>
      <c r="C951" t="inlineStr">
        <is>
          <t>Föryngringsavverkning</t>
        </is>
      </c>
      <c r="D951" s="1" t="n">
        <v>45825</v>
      </c>
      <c r="E951" s="1" t="n">
        <v>46319</v>
      </c>
      <c r="F951" t="inlineStr">
        <is>
          <t>DALARNAS LÄN</t>
        </is>
      </c>
      <c r="G951" t="inlineStr">
        <is>
          <t>RÄTTVIK</t>
        </is>
      </c>
      <c r="I951" t="n">
        <v>1.3</v>
      </c>
      <c r="J951" t="n">
        <v>2</v>
      </c>
      <c r="K951" t="n">
        <v>1</v>
      </c>
      <c r="L951" t="n">
        <v>0</v>
      </c>
      <c r="M951" t="n">
        <v>0</v>
      </c>
      <c r="N951" t="n">
        <v>0</v>
      </c>
      <c r="O951" t="n">
        <v>0</v>
      </c>
      <c r="P951" t="n">
        <v>0</v>
      </c>
      <c r="Q951" t="n">
        <v>0</v>
      </c>
      <c r="R951" t="n">
        <v>0</v>
      </c>
      <c r="S951" t="n">
        <v>2</v>
      </c>
      <c r="T951" t="n">
        <v>2</v>
      </c>
      <c r="U951" t="n">
        <v>0</v>
      </c>
      <c r="V951" s="2" t="inlineStr">
        <is>
          <t>Tvåblad
Nattviol</t>
        </is>
      </c>
      <c r="W951">
        <f>HYPERLINK("https://klasma.github.io/Logging_2031/artfynd/A 29511-2025 artfynd.xlsx", "A 29511-2025")</f>
        <v/>
      </c>
      <c r="X951">
        <f>HYPERLINK("https://klasma.github.io/Logging_2031/kartor/A 29511-2025 karta.png", "A 29511-2025")</f>
        <v/>
      </c>
      <c r="Y951">
        <f>HYPERLINK("https://klasma.github.io/Logging_2031/kartor_geotiff/A 29511-2025 georefererad karta.tif", "A 29511-2025")</f>
        <v/>
      </c>
      <c r="AA951">
        <f>HYPERLINK("https://klasma.github.io/Logging_2031/klagomål/A 29511-2025 FSC-klagomål.docx", "A 29511-2025")</f>
        <v/>
      </c>
      <c r="AB951">
        <f>HYPERLINK("https://klasma.github.io/Logging_2031/klagomålsmail/A 29511-2025 FSC-klagomål mail.docx", "A 29511-2025")</f>
        <v/>
      </c>
      <c r="AC951">
        <f>HYPERLINK("https://klasma.github.io/Logging_2031/tillsyn/A 29511-2025 tillsynsbegäran.docx", "A 29511-2025")</f>
        <v/>
      </c>
      <c r="AD951">
        <f>HYPERLINK("https://klasma.github.io/Logging_2031/tillsynsmail/A 29511-2025 tillsynsbegäran mail.docx", "A 29511-2025")</f>
        <v/>
      </c>
    </row>
    <row r="952" ht="15" customHeight="1">
      <c r="A952" t="inlineStr">
        <is>
          <t>A 29791-2025</t>
        </is>
      </c>
      <c r="B952" t="inlineStr">
        <is>
          <t>avverkningsanmälan</t>
        </is>
      </c>
      <c r="C952" t="inlineStr">
        <is>
          <t>Föryngringsavverkning</t>
        </is>
      </c>
      <c r="D952" s="1" t="n">
        <v>45825</v>
      </c>
      <c r="E952" s="1" t="n">
        <v>46319</v>
      </c>
      <c r="F952" t="inlineStr">
        <is>
          <t>DALARNAS LÄN</t>
        </is>
      </c>
      <c r="G952" t="inlineStr">
        <is>
          <t>FALUN</t>
        </is>
      </c>
      <c r="H952" t="inlineStr">
        <is>
          <t>Bergvik skog väst AB</t>
        </is>
      </c>
      <c r="I952" t="n">
        <v>6.7</v>
      </c>
      <c r="J952" t="n">
        <v>1</v>
      </c>
      <c r="K952" t="n">
        <v>0</v>
      </c>
      <c r="L952" t="n">
        <v>1</v>
      </c>
      <c r="M952" t="n">
        <v>1</v>
      </c>
      <c r="N952" t="n">
        <v>0</v>
      </c>
      <c r="O952" t="n">
        <v>0</v>
      </c>
      <c r="P952" t="n">
        <v>0</v>
      </c>
      <c r="Q952" t="n">
        <v>2</v>
      </c>
      <c r="R952" t="n">
        <v>1</v>
      </c>
      <c r="S952" t="n">
        <v>2</v>
      </c>
      <c r="T952" t="n">
        <v>3</v>
      </c>
      <c r="U952" t="n">
        <v>0</v>
      </c>
      <c r="V952" s="2" t="inlineStr">
        <is>
          <t>Knärot
Ullticka</t>
        </is>
      </c>
      <c r="W952">
        <f>HYPERLINK("https://klasma.github.io/Logging_2080/artfynd/A 29791-2025 artfynd.xlsx", "A 29791-2025")</f>
        <v/>
      </c>
      <c r="X952">
        <f>HYPERLINK("https://klasma.github.io/Logging_2080/kartor/A 29791-2025 karta.png", "A 29791-2025")</f>
        <v/>
      </c>
      <c r="Y952">
        <f>HYPERLINK("https://klasma.github.io/Logging_2080/kartor_geotiff/A 29791-2025 georefererad karta.tif", "A 29791-2025")</f>
        <v/>
      </c>
      <c r="Z952">
        <f>HYPERLINK("https://klasma.github.io/Logging_2080/knärot/A 29791-2025 karta knärot.png", "A 29791-2025")</f>
        <v/>
      </c>
      <c r="AA952">
        <f>HYPERLINK("https://klasma.github.io/Logging_2080/klagomål/A 29791-2025 FSC-klagomål.docx", "A 29791-2025")</f>
        <v/>
      </c>
      <c r="AB952">
        <f>HYPERLINK("https://klasma.github.io/Logging_2080/klagomålsmail/A 29791-2025 FSC-klagomål mail.docx", "A 29791-2025")</f>
        <v/>
      </c>
      <c r="AC952">
        <f>HYPERLINK("https://klasma.github.io/Logging_2080/tillsyn/A 29791-2025 tillsynsbegäran.docx", "A 29791-2025")</f>
        <v/>
      </c>
      <c r="AD952">
        <f>HYPERLINK("https://klasma.github.io/Logging_2080/tillsynsmail/A 29791-2025 tillsynsbegäran mail.docx", "A 29791-2025")</f>
        <v/>
      </c>
    </row>
    <row r="953" ht="15" customHeight="1">
      <c r="A953" t="inlineStr">
        <is>
          <t>A 21926-2023</t>
        </is>
      </c>
      <c r="B953" t="inlineStr">
        <is>
          <t>avverkningsanmälan</t>
        </is>
      </c>
      <c r="C953" t="inlineStr">
        <is>
          <t>Föryngringsavverkning</t>
        </is>
      </c>
      <c r="D953" s="1" t="n">
        <v>45068</v>
      </c>
      <c r="E953" s="1" t="n">
        <v>46319</v>
      </c>
      <c r="F953" t="inlineStr">
        <is>
          <t>DALARNAS LÄN</t>
        </is>
      </c>
      <c r="G953" t="inlineStr">
        <is>
          <t>BORLÄNGE</t>
        </is>
      </c>
      <c r="I953" t="n">
        <v>1.4</v>
      </c>
      <c r="J953" t="n">
        <v>1</v>
      </c>
      <c r="K953" t="n">
        <v>1</v>
      </c>
      <c r="L953" t="n">
        <v>0</v>
      </c>
      <c r="M953" t="n">
        <v>1</v>
      </c>
      <c r="N953" t="n">
        <v>0</v>
      </c>
      <c r="O953" t="n">
        <v>0</v>
      </c>
      <c r="P953" t="n">
        <v>0</v>
      </c>
      <c r="Q953" t="n">
        <v>1</v>
      </c>
      <c r="R953" t="n">
        <v>1</v>
      </c>
      <c r="S953" t="n">
        <v>2</v>
      </c>
      <c r="T953" t="n">
        <v>12</v>
      </c>
      <c r="U953" t="n">
        <v>12</v>
      </c>
      <c r="V953" s="2" t="inlineStr">
        <is>
          <t>Knärot
Vedticka</t>
        </is>
      </c>
      <c r="W953">
        <f>HYPERLINK("https://klasma.github.io/Logging_2081/artfynd/A 21926-2023 artfynd.xlsx", "A 21926-2023")</f>
        <v/>
      </c>
      <c r="X953">
        <f>HYPERLINK("https://klasma.github.io/Logging_2081/kartor/A 21926-2023 karta.png", "A 21926-2023")</f>
        <v/>
      </c>
      <c r="Y953">
        <f>HYPERLINK("https://klasma.github.io/Logging_2081/kartor_geotiff/A 21926-2023 georefererad karta.tif", "A 21926-2023")</f>
        <v/>
      </c>
      <c r="Z953">
        <f>HYPERLINK("https://klasma.github.io/Logging_2081/knärot/A 21926-2023 karta knärot.png", "A 21926-2023")</f>
        <v/>
      </c>
      <c r="AA953">
        <f>HYPERLINK("https://klasma.github.io/Logging_2081/klagomål/A 21926-2023 FSC-klagomål.docx", "A 21926-2023")</f>
        <v/>
      </c>
      <c r="AB953">
        <f>HYPERLINK("https://klasma.github.io/Logging_2081/klagomålsmail/A 21926-2023 FSC-klagomål mail.docx", "A 21926-2023")</f>
        <v/>
      </c>
      <c r="AC953">
        <f>HYPERLINK("https://klasma.github.io/Logging_2081/tillsyn/A 21926-2023 tillsynsbegäran.docx", "A 21926-2023")</f>
        <v/>
      </c>
      <c r="AD953">
        <f>HYPERLINK("https://klasma.github.io/Logging_2081/tillsynsmail/A 21926-2023 tillsynsbegäran mail.docx", "A 21926-2023")</f>
        <v/>
      </c>
    </row>
    <row r="954" ht="15" customHeight="1">
      <c r="A954" t="inlineStr">
        <is>
          <t>A 33793-2026</t>
        </is>
      </c>
      <c r="B954" t="inlineStr">
        <is>
          <t>avverkningsanmälan</t>
        </is>
      </c>
      <c r="C954" t="inlineStr">
        <is>
          <t>Föryngringsavverkning</t>
        </is>
      </c>
      <c r="D954" s="1" t="n">
        <v>46251</v>
      </c>
      <c r="E954" s="1" t="n">
        <v>46319</v>
      </c>
      <c r="F954" t="inlineStr">
        <is>
          <t>DALARNAS LÄN</t>
        </is>
      </c>
      <c r="G954" t="inlineStr">
        <is>
          <t>VANSBRO</t>
        </is>
      </c>
      <c r="H954" t="inlineStr">
        <is>
          <t>Bergvik skog öst AB</t>
        </is>
      </c>
      <c r="I954" t="n">
        <v>0.9</v>
      </c>
      <c r="J954" t="n">
        <v>0</v>
      </c>
      <c r="K954" t="n">
        <v>1</v>
      </c>
      <c r="L954" t="n">
        <v>0</v>
      </c>
      <c r="M954" t="n">
        <v>1</v>
      </c>
      <c r="N954" t="n">
        <v>0</v>
      </c>
      <c r="O954" t="n">
        <v>0</v>
      </c>
      <c r="P954" t="n">
        <v>0</v>
      </c>
      <c r="Q954" t="n">
        <v>1</v>
      </c>
      <c r="R954" t="n">
        <v>1</v>
      </c>
      <c r="S954" t="n">
        <v>2</v>
      </c>
      <c r="T954" t="n">
        <v>2</v>
      </c>
      <c r="U954" t="n">
        <v>0</v>
      </c>
      <c r="V954" s="2" t="inlineStr">
        <is>
          <t>Garnlav
Nästlav</t>
        </is>
      </c>
      <c r="W954">
        <f>HYPERLINK("https://klasma.github.io/Logging_2021/artfynd/A 33793-2026 artfynd.xlsx", "A 33793-2026")</f>
        <v/>
      </c>
      <c r="X954">
        <f>HYPERLINK("https://klasma.github.io/Logging_2021/kartor/A 33793-2026 karta.png", "A 33793-2026")</f>
        <v/>
      </c>
      <c r="Y954">
        <f>HYPERLINK("https://klasma.github.io/Logging_2021/kartor_geotiff/A 33793-2026 georefererad karta.tif", "A 33793-2026")</f>
        <v/>
      </c>
      <c r="AA954">
        <f>HYPERLINK("https://klasma.github.io/Logging_2021/klagomål/A 33793-2026 FSC-klagomål.docx", "A 33793-2026")</f>
        <v/>
      </c>
      <c r="AB954">
        <f>HYPERLINK("https://klasma.github.io/Logging_2021/klagomålsmail/A 33793-2026 FSC-klagomål mail.docx", "A 33793-2026")</f>
        <v/>
      </c>
      <c r="AC954">
        <f>HYPERLINK("https://klasma.github.io/Logging_2021/tillsyn/A 33793-2026 tillsynsbegäran.docx", "A 33793-2026")</f>
        <v/>
      </c>
      <c r="AD954">
        <f>HYPERLINK("https://klasma.github.io/Logging_2021/tillsynsmail/A 33793-2026 tillsynsbegäran mail.docx", "A 33793-2026")</f>
        <v/>
      </c>
    </row>
    <row r="955" ht="15" customHeight="1">
      <c r="A955" t="inlineStr">
        <is>
          <t>A 33811-2026</t>
        </is>
      </c>
      <c r="B955" t="inlineStr">
        <is>
          <t>avverkningsanmälan</t>
        </is>
      </c>
      <c r="C955" t="inlineStr">
        <is>
          <t>Föryngringsavverkning</t>
        </is>
      </c>
      <c r="D955" s="1" t="n">
        <v>46251</v>
      </c>
      <c r="E955" s="1" t="n">
        <v>46319</v>
      </c>
      <c r="F955" t="inlineStr">
        <is>
          <t>DALARNAS LÄN</t>
        </is>
      </c>
      <c r="G955" t="inlineStr">
        <is>
          <t>FALUN</t>
        </is>
      </c>
      <c r="I955" t="n">
        <v>2.6</v>
      </c>
      <c r="J955" t="n">
        <v>1</v>
      </c>
      <c r="K955" t="n">
        <v>0</v>
      </c>
      <c r="L955" t="n">
        <v>0</v>
      </c>
      <c r="M955" t="n">
        <v>2</v>
      </c>
      <c r="N955" t="n">
        <v>0</v>
      </c>
      <c r="O955" t="n">
        <v>0</v>
      </c>
      <c r="P955" t="n">
        <v>0</v>
      </c>
      <c r="Q955" t="n">
        <v>2</v>
      </c>
      <c r="R955" t="n">
        <v>2</v>
      </c>
      <c r="S955" t="n">
        <v>2</v>
      </c>
      <c r="T955" t="n">
        <v>6</v>
      </c>
      <c r="U955" t="n">
        <v>6</v>
      </c>
      <c r="V955" s="2" t="inlineStr">
        <is>
          <t>Garnlav
Knärot</t>
        </is>
      </c>
      <c r="W955">
        <f>HYPERLINK("https://klasma.github.io/Logging_2080/artfynd/A 33811-2026 artfynd.xlsx", "A 33811-2026")</f>
        <v/>
      </c>
      <c r="X955">
        <f>HYPERLINK("https://klasma.github.io/Logging_2080/kartor/A 33811-2026 karta.png", "A 33811-2026")</f>
        <v/>
      </c>
      <c r="Y955">
        <f>HYPERLINK("https://klasma.github.io/Logging_2080/kartor_geotiff/A 33811-2026 georefererad karta.tif", "A 33811-2026")</f>
        <v/>
      </c>
      <c r="Z955">
        <f>HYPERLINK("https://klasma.github.io/Logging_2080/knärot/A 33811-2026 karta knärot.png", "A 33811-2026")</f>
        <v/>
      </c>
      <c r="AA955">
        <f>HYPERLINK("https://klasma.github.io/Logging_2080/klagomål/A 33811-2026 FSC-klagomål.docx", "A 33811-2026")</f>
        <v/>
      </c>
      <c r="AB955">
        <f>HYPERLINK("https://klasma.github.io/Logging_2080/klagomålsmail/A 33811-2026 FSC-klagomål mail.docx", "A 33811-2026")</f>
        <v/>
      </c>
      <c r="AC955">
        <f>HYPERLINK("https://klasma.github.io/Logging_2080/tillsyn/A 33811-2026 tillsynsbegäran.docx", "A 33811-2026")</f>
        <v/>
      </c>
      <c r="AD955">
        <f>HYPERLINK("https://klasma.github.io/Logging_2080/tillsynsmail/A 33811-2026 tillsynsbegäran mail.docx", "A 33811-2026")</f>
        <v/>
      </c>
    </row>
    <row r="956" ht="15" customHeight="1">
      <c r="A956" t="inlineStr">
        <is>
          <t>A 11348-2026</t>
        </is>
      </c>
      <c r="B956" t="inlineStr">
        <is>
          <t>avverkningsanmälan</t>
        </is>
      </c>
      <c r="C956" t="inlineStr">
        <is>
          <t>Föryngringsavverkning</t>
        </is>
      </c>
      <c r="D956" s="1" t="n">
        <v>46082</v>
      </c>
      <c r="E956" s="1" t="n">
        <v>46319</v>
      </c>
      <c r="F956" t="inlineStr">
        <is>
          <t>DALARNAS LÄN</t>
        </is>
      </c>
      <c r="G956" t="inlineStr">
        <is>
          <t>FALUN</t>
        </is>
      </c>
      <c r="I956" t="n">
        <v>36.7</v>
      </c>
      <c r="J956" t="n">
        <v>2</v>
      </c>
      <c r="K956" t="n">
        <v>1</v>
      </c>
      <c r="L956" t="n">
        <v>0</v>
      </c>
      <c r="M956" t="n">
        <v>0</v>
      </c>
      <c r="N956" t="n">
        <v>0</v>
      </c>
      <c r="O956" t="n">
        <v>0</v>
      </c>
      <c r="P956" t="n">
        <v>0</v>
      </c>
      <c r="Q956" t="n">
        <v>0</v>
      </c>
      <c r="R956" t="n">
        <v>0</v>
      </c>
      <c r="S956" t="n">
        <v>2</v>
      </c>
      <c r="T956" t="n">
        <v>2</v>
      </c>
      <c r="U956" t="n">
        <v>0</v>
      </c>
      <c r="V956" s="2" t="inlineStr">
        <is>
          <t>Plattlummer
Spillkråka</t>
        </is>
      </c>
      <c r="W956">
        <f>HYPERLINK("https://klasma.github.io/Logging_2080/artfynd/A 11348-2026 artfynd.xlsx", "A 11348-2026")</f>
        <v/>
      </c>
      <c r="X956">
        <f>HYPERLINK("https://klasma.github.io/Logging_2080/kartor/A 11348-2026 karta.png", "A 11348-2026")</f>
        <v/>
      </c>
      <c r="Y956">
        <f>HYPERLINK("https://klasma.github.io/Logging_2080/kartor_geotiff/A 11348-2026 georefererad karta.tif", "A 11348-2026")</f>
        <v/>
      </c>
      <c r="Z956">
        <f>HYPERLINK("https://klasma.github.io/Logging_2080/knärot/A 11348-2026 karta knärot.png", "A 11348-2026")</f>
        <v/>
      </c>
      <c r="AA956">
        <f>HYPERLINK("https://klasma.github.io/Logging_2080/klagomål/A 11348-2026 FSC-klagomål.docx", "A 11348-2026")</f>
        <v/>
      </c>
      <c r="AB956">
        <f>HYPERLINK("https://klasma.github.io/Logging_2080/klagomålsmail/A 11348-2026 FSC-klagomål mail.docx", "A 11348-2026")</f>
        <v/>
      </c>
      <c r="AC956">
        <f>HYPERLINK("https://klasma.github.io/Logging_2080/tillsyn/A 11348-2026 tillsynsbegäran.docx", "A 11348-2026")</f>
        <v/>
      </c>
      <c r="AD956">
        <f>HYPERLINK("https://klasma.github.io/Logging_2080/tillsynsmail/A 11348-2026 tillsynsbegäran mail.docx", "A 11348-2026")</f>
        <v/>
      </c>
      <c r="AE956">
        <f>HYPERLINK("https://klasma.github.io/Logging_2080/fåglar/A 11348-2026 prioriterade fågelarter.docx", "A 11348-2026")</f>
        <v/>
      </c>
    </row>
    <row r="957" ht="15" customHeight="1">
      <c r="A957" t="inlineStr">
        <is>
          <t>A 30728-2025</t>
        </is>
      </c>
      <c r="B957" t="inlineStr">
        <is>
          <t>avverkningsanmälan</t>
        </is>
      </c>
      <c r="C957" t="inlineStr">
        <is>
          <t>Föryngringsavverkning</t>
        </is>
      </c>
      <c r="D957" s="1" t="n">
        <v>45831</v>
      </c>
      <c r="E957" s="1" t="n">
        <v>46319</v>
      </c>
      <c r="F957" t="inlineStr">
        <is>
          <t>DALARNAS LÄN</t>
        </is>
      </c>
      <c r="G957" t="inlineStr">
        <is>
          <t>MALUNG-SÄLEN</t>
        </is>
      </c>
      <c r="H957" t="inlineStr">
        <is>
          <t>Bergvik skog öst AB</t>
        </is>
      </c>
      <c r="I957" t="n">
        <v>3.8</v>
      </c>
      <c r="J957" t="n">
        <v>0</v>
      </c>
      <c r="K957" t="n">
        <v>0</v>
      </c>
      <c r="L957" t="n">
        <v>1</v>
      </c>
      <c r="M957" t="n">
        <v>1</v>
      </c>
      <c r="N957" t="n">
        <v>0</v>
      </c>
      <c r="O957" t="n">
        <v>0</v>
      </c>
      <c r="P957" t="n">
        <v>0</v>
      </c>
      <c r="Q957" t="n">
        <v>2</v>
      </c>
      <c r="R957" t="n">
        <v>1</v>
      </c>
      <c r="S957" t="n">
        <v>2</v>
      </c>
      <c r="T957" t="n">
        <v>3</v>
      </c>
      <c r="U957" t="n">
        <v>0</v>
      </c>
      <c r="V957" s="2" t="inlineStr">
        <is>
          <t>Garnlav
Violettgrå tagellav</t>
        </is>
      </c>
      <c r="W957">
        <f>HYPERLINK("https://klasma.github.io/Logging_2023/artfynd/A 30728-2025 artfynd.xlsx", "A 30728-2025")</f>
        <v/>
      </c>
      <c r="X957">
        <f>HYPERLINK("https://klasma.github.io/Logging_2023/kartor/A 30728-2025 karta.png", "A 30728-2025")</f>
        <v/>
      </c>
      <c r="Y957">
        <f>HYPERLINK("https://klasma.github.io/Logging_2023/kartor_geotiff/A 30728-2025 georefererad karta.tif", "A 30728-2025")</f>
        <v/>
      </c>
      <c r="AA957">
        <f>HYPERLINK("https://klasma.github.io/Logging_2023/klagomål/A 30728-2025 FSC-klagomål.docx", "A 30728-2025")</f>
        <v/>
      </c>
      <c r="AB957">
        <f>HYPERLINK("https://klasma.github.io/Logging_2023/klagomålsmail/A 30728-2025 FSC-klagomål mail.docx", "A 30728-2025")</f>
        <v/>
      </c>
      <c r="AC957">
        <f>HYPERLINK("https://klasma.github.io/Logging_2023/tillsyn/A 30728-2025 tillsynsbegäran.docx", "A 30728-2025")</f>
        <v/>
      </c>
      <c r="AD957">
        <f>HYPERLINK("https://klasma.github.io/Logging_2023/tillsynsmail/A 30728-2025 tillsynsbegäran mail.docx", "A 30728-2025")</f>
        <v/>
      </c>
    </row>
    <row r="958" ht="15" customHeight="1">
      <c r="A958" t="inlineStr">
        <is>
          <t>A 30707-2025</t>
        </is>
      </c>
      <c r="B958" t="inlineStr">
        <is>
          <t>avverkningsanmälan</t>
        </is>
      </c>
      <c r="C958" t="inlineStr">
        <is>
          <t>Föryngringsavverkning</t>
        </is>
      </c>
      <c r="D958" s="1" t="n">
        <v>45831</v>
      </c>
      <c r="E958" s="1" t="n">
        <v>46319</v>
      </c>
      <c r="F958" t="inlineStr">
        <is>
          <t>DALARNAS LÄN</t>
        </is>
      </c>
      <c r="G958" t="inlineStr">
        <is>
          <t>RÄTTVIK</t>
        </is>
      </c>
      <c r="I958" t="n">
        <v>2.5</v>
      </c>
      <c r="J958" t="n">
        <v>2</v>
      </c>
      <c r="K958" t="n">
        <v>0</v>
      </c>
      <c r="L958" t="n">
        <v>0</v>
      </c>
      <c r="M958" t="n">
        <v>0</v>
      </c>
      <c r="N958" t="n">
        <v>0</v>
      </c>
      <c r="O958" t="n">
        <v>0</v>
      </c>
      <c r="P958" t="n">
        <v>0</v>
      </c>
      <c r="Q958" t="n">
        <v>0</v>
      </c>
      <c r="R958" t="n">
        <v>0</v>
      </c>
      <c r="S958" t="n">
        <v>2</v>
      </c>
      <c r="T958" t="n">
        <v>2</v>
      </c>
      <c r="U958" t="n">
        <v>0</v>
      </c>
      <c r="V958" s="2" t="inlineStr">
        <is>
          <t>Blåsippa
Revlummer</t>
        </is>
      </c>
      <c r="W958">
        <f>HYPERLINK("https://klasma.github.io/Logging_2031/artfynd/A 30707-2025 artfynd.xlsx", "A 30707-2025")</f>
        <v/>
      </c>
      <c r="X958">
        <f>HYPERLINK("https://klasma.github.io/Logging_2031/kartor/A 30707-2025 karta.png", "A 30707-2025")</f>
        <v/>
      </c>
      <c r="Y958">
        <f>HYPERLINK("https://klasma.github.io/Logging_2031/kartor_geotiff/A 30707-2025 georefererad karta.tif", "A 30707-2025")</f>
        <v/>
      </c>
      <c r="AA958">
        <f>HYPERLINK("https://klasma.github.io/Logging_2031/klagomål/A 30707-2025 FSC-klagomål.docx", "A 30707-2025")</f>
        <v/>
      </c>
      <c r="AB958">
        <f>HYPERLINK("https://klasma.github.io/Logging_2031/klagomålsmail/A 30707-2025 FSC-klagomål mail.docx", "A 30707-2025")</f>
        <v/>
      </c>
      <c r="AC958">
        <f>HYPERLINK("https://klasma.github.io/Logging_2031/tillsyn/A 30707-2025 tillsynsbegäran.docx", "A 30707-2025")</f>
        <v/>
      </c>
      <c r="AD958">
        <f>HYPERLINK("https://klasma.github.io/Logging_2031/tillsynsmail/A 30707-2025 tillsynsbegäran mail.docx", "A 30707-2025")</f>
        <v/>
      </c>
    </row>
    <row r="959" ht="15" customHeight="1">
      <c r="A959" t="inlineStr">
        <is>
          <t>A 30552-2025</t>
        </is>
      </c>
      <c r="B959" t="inlineStr">
        <is>
          <t>avverkningsanmälan</t>
        </is>
      </c>
      <c r="C959" t="inlineStr">
        <is>
          <t>Föryngringsavverkning</t>
        </is>
      </c>
      <c r="D959" s="1" t="n">
        <v>45831</v>
      </c>
      <c r="E959" s="1" t="n">
        <v>46319</v>
      </c>
      <c r="F959" t="inlineStr">
        <is>
          <t>DALARNAS LÄN</t>
        </is>
      </c>
      <c r="G959" t="inlineStr">
        <is>
          <t>MALUNG-SÄLEN</t>
        </is>
      </c>
      <c r="H959" t="inlineStr">
        <is>
          <t>Bergvik skog väst AB</t>
        </is>
      </c>
      <c r="I959" t="n">
        <v>4.3</v>
      </c>
      <c r="J959" t="n">
        <v>0</v>
      </c>
      <c r="K959" t="n">
        <v>1</v>
      </c>
      <c r="L959" t="n">
        <v>0</v>
      </c>
      <c r="M959" t="n">
        <v>1</v>
      </c>
      <c r="N959" t="n">
        <v>0</v>
      </c>
      <c r="O959" t="n">
        <v>0</v>
      </c>
      <c r="P959" t="n">
        <v>0</v>
      </c>
      <c r="Q959" t="n">
        <v>1</v>
      </c>
      <c r="R959" t="n">
        <v>1</v>
      </c>
      <c r="S959" t="n">
        <v>2</v>
      </c>
      <c r="T959" t="n">
        <v>3</v>
      </c>
      <c r="U959" t="n">
        <v>0</v>
      </c>
      <c r="V959" s="2" t="inlineStr">
        <is>
          <t>Garnlav
Mörk husmossa</t>
        </is>
      </c>
      <c r="W959">
        <f>HYPERLINK("https://klasma.github.io/Logging_2023/artfynd/A 30552-2025 artfynd.xlsx", "A 30552-2025")</f>
        <v/>
      </c>
      <c r="X959">
        <f>HYPERLINK("https://klasma.github.io/Logging_2023/kartor/A 30552-2025 karta.png", "A 30552-2025")</f>
        <v/>
      </c>
      <c r="Y959">
        <f>HYPERLINK("https://klasma.github.io/Logging_2023/kartor_geotiff/A 30552-2025 georefererad karta.tif", "A 30552-2025")</f>
        <v/>
      </c>
      <c r="AA959">
        <f>HYPERLINK("https://klasma.github.io/Logging_2023/klagomål/A 30552-2025 FSC-klagomål.docx", "A 30552-2025")</f>
        <v/>
      </c>
      <c r="AB959">
        <f>HYPERLINK("https://klasma.github.io/Logging_2023/klagomålsmail/A 30552-2025 FSC-klagomål mail.docx", "A 30552-2025")</f>
        <v/>
      </c>
      <c r="AC959">
        <f>HYPERLINK("https://klasma.github.io/Logging_2023/tillsyn/A 30552-2025 tillsynsbegäran.docx", "A 30552-2025")</f>
        <v/>
      </c>
      <c r="AD959">
        <f>HYPERLINK("https://klasma.github.io/Logging_2023/tillsynsmail/A 30552-2025 tillsynsbegäran mail.docx", "A 30552-2025")</f>
        <v/>
      </c>
    </row>
    <row r="960" ht="15" customHeight="1">
      <c r="A960" t="inlineStr">
        <is>
          <t>A 31264-2025</t>
        </is>
      </c>
      <c r="B960" t="inlineStr">
        <is>
          <t>avverkningsanmälan</t>
        </is>
      </c>
      <c r="C960" t="inlineStr">
        <is>
          <t>Avverkning för att bevara och utveckla /försöksver</t>
        </is>
      </c>
      <c r="D960" s="1" t="n">
        <v>45833</v>
      </c>
      <c r="E960" s="1" t="n">
        <v>46319</v>
      </c>
      <c r="F960" t="inlineStr">
        <is>
          <t>DALARNAS LÄN</t>
        </is>
      </c>
      <c r="G960" t="inlineStr">
        <is>
          <t>ÄLVDALEN</t>
        </is>
      </c>
      <c r="H960" t="inlineStr">
        <is>
          <t>Sveaskog</t>
        </is>
      </c>
      <c r="I960" t="n">
        <v>1.3</v>
      </c>
      <c r="J960" t="n">
        <v>2</v>
      </c>
      <c r="K960" t="n">
        <v>0</v>
      </c>
      <c r="L960" t="n">
        <v>1</v>
      </c>
      <c r="M960" t="n">
        <v>0</v>
      </c>
      <c r="N960" t="n">
        <v>1</v>
      </c>
      <c r="O960" t="n">
        <v>0</v>
      </c>
      <c r="P960" t="n">
        <v>0</v>
      </c>
      <c r="Q960" t="n">
        <v>2</v>
      </c>
      <c r="R960" t="n">
        <v>1</v>
      </c>
      <c r="S960" t="n">
        <v>2</v>
      </c>
      <c r="T960" t="n">
        <v>2</v>
      </c>
      <c r="U960" t="n">
        <v>0</v>
      </c>
      <c r="V960" s="2" t="inlineStr">
        <is>
          <t>Mosippa
Drillsnäppa</t>
        </is>
      </c>
      <c r="W960">
        <f>HYPERLINK("https://klasma.github.io/Logging_2039/artfynd/A 31264-2025 artfynd.xlsx", "A 31264-2025")</f>
        <v/>
      </c>
      <c r="X960">
        <f>HYPERLINK("https://klasma.github.io/Logging_2039/kartor/A 31264-2025 karta.png", "A 31264-2025")</f>
        <v/>
      </c>
      <c r="Y960">
        <f>HYPERLINK("https://klasma.github.io/Logging_2039/kartor_geotiff/A 31264-2025 georefererad karta.tif", "A 31264-2025")</f>
        <v/>
      </c>
      <c r="AA960">
        <f>HYPERLINK("https://klasma.github.io/Logging_2039/klagomål/A 31264-2025 FSC-klagomål.docx", "A 31264-2025")</f>
        <v/>
      </c>
      <c r="AB960">
        <f>HYPERLINK("https://klasma.github.io/Logging_2039/klagomålsmail/A 31264-2025 FSC-klagomål mail.docx", "A 31264-2025")</f>
        <v/>
      </c>
      <c r="AC960">
        <f>HYPERLINK("https://klasma.github.io/Logging_2039/tillsyn/A 31264-2025 tillsynsbegäran.docx", "A 31264-2025")</f>
        <v/>
      </c>
      <c r="AD960">
        <f>HYPERLINK("https://klasma.github.io/Logging_2039/tillsynsmail/A 31264-2025 tillsynsbegäran mail.docx", "A 31264-2025")</f>
        <v/>
      </c>
      <c r="AE960">
        <f>HYPERLINK("https://klasma.github.io/Logging_2039/fåglar/A 31264-2025 prioriterade fågelarter.docx", "A 31264-2025")</f>
        <v/>
      </c>
    </row>
    <row r="961" ht="15" customHeight="1">
      <c r="A961" t="inlineStr">
        <is>
          <t>A 31951-2025</t>
        </is>
      </c>
      <c r="B961" t="inlineStr">
        <is>
          <t>avverkningsanmälan</t>
        </is>
      </c>
      <c r="C961" t="inlineStr">
        <is>
          <t>Föryngringsavverkning</t>
        </is>
      </c>
      <c r="D961" s="1" t="n">
        <v>45835</v>
      </c>
      <c r="E961" s="1" t="n">
        <v>46319</v>
      </c>
      <c r="F961" t="inlineStr">
        <is>
          <t>DALARNAS LÄN</t>
        </is>
      </c>
      <c r="G961" t="inlineStr">
        <is>
          <t>LEKSAND</t>
        </is>
      </c>
      <c r="I961" t="n">
        <v>6.6</v>
      </c>
      <c r="J961" t="n">
        <v>1</v>
      </c>
      <c r="K961" t="n">
        <v>0</v>
      </c>
      <c r="L961" t="n">
        <v>1</v>
      </c>
      <c r="M961" t="n">
        <v>0</v>
      </c>
      <c r="N961" t="n">
        <v>0</v>
      </c>
      <c r="O961" t="n">
        <v>0</v>
      </c>
      <c r="P961" t="n">
        <v>0</v>
      </c>
      <c r="Q961" t="n">
        <v>1</v>
      </c>
      <c r="R961" t="n">
        <v>0</v>
      </c>
      <c r="S961" t="n">
        <v>2</v>
      </c>
      <c r="T961" t="n">
        <v>26</v>
      </c>
      <c r="U961" t="n">
        <v>26</v>
      </c>
      <c r="V961" s="2" t="inlineStr">
        <is>
          <t>Tallticka
Tjäder</t>
        </is>
      </c>
      <c r="W961">
        <f>HYPERLINK("https://klasma.github.io/Logging_2029/artfynd/A 31951-2025 artfynd.xlsx", "A 31951-2025")</f>
        <v/>
      </c>
      <c r="X961">
        <f>HYPERLINK("https://klasma.github.io/Logging_2029/kartor/A 31951-2025 karta.png", "A 31951-2025")</f>
        <v/>
      </c>
      <c r="Y961">
        <f>HYPERLINK("https://klasma.github.io/Logging_2029/kartor_geotiff/A 31951-2025 georefererad karta.tif", "A 31951-2025")</f>
        <v/>
      </c>
      <c r="AA961">
        <f>HYPERLINK("https://klasma.github.io/Logging_2029/klagomål/A 31951-2025 FSC-klagomål.docx", "A 31951-2025")</f>
        <v/>
      </c>
      <c r="AB961">
        <f>HYPERLINK("https://klasma.github.io/Logging_2029/klagomålsmail/A 31951-2025 FSC-klagomål mail.docx", "A 31951-2025")</f>
        <v/>
      </c>
      <c r="AC961">
        <f>HYPERLINK("https://klasma.github.io/Logging_2029/tillsyn/A 31951-2025 tillsynsbegäran.docx", "A 31951-2025")</f>
        <v/>
      </c>
      <c r="AD961">
        <f>HYPERLINK("https://klasma.github.io/Logging_2029/tillsynsmail/A 31951-2025 tillsynsbegäran mail.docx", "A 31951-2025")</f>
        <v/>
      </c>
      <c r="AE961">
        <f>HYPERLINK("https://klasma.github.io/Logging_2029/fåglar/A 31951-2025 prioriterade fågelarter.docx", "A 31951-2025")</f>
        <v/>
      </c>
    </row>
    <row r="962" ht="15" customHeight="1">
      <c r="A962" t="inlineStr">
        <is>
          <t>A 12431-2026</t>
        </is>
      </c>
      <c r="B962" t="inlineStr">
        <is>
          <t>avverkningsanmälan</t>
        </is>
      </c>
      <c r="C962" t="inlineStr">
        <is>
          <t>Föryngringsavverkning</t>
        </is>
      </c>
      <c r="D962" s="1" t="n">
        <v>46090</v>
      </c>
      <c r="E962" s="1" t="n">
        <v>46319</v>
      </c>
      <c r="F962" t="inlineStr">
        <is>
          <t>DALARNAS LÄN</t>
        </is>
      </c>
      <c r="G962" t="inlineStr">
        <is>
          <t>FALUN</t>
        </is>
      </c>
      <c r="H962" t="inlineStr">
        <is>
          <t>Bergvik skog väst AB</t>
        </is>
      </c>
      <c r="I962" t="n">
        <v>3.2</v>
      </c>
      <c r="J962" t="n">
        <v>1</v>
      </c>
      <c r="K962" t="n">
        <v>0</v>
      </c>
      <c r="L962" t="n">
        <v>0</v>
      </c>
      <c r="M962" t="n">
        <v>0</v>
      </c>
      <c r="N962" t="n">
        <v>0</v>
      </c>
      <c r="O962" t="n">
        <v>0</v>
      </c>
      <c r="P962" t="n">
        <v>0</v>
      </c>
      <c r="Q962" t="n">
        <v>0</v>
      </c>
      <c r="R962" t="n">
        <v>0</v>
      </c>
      <c r="S962" t="n">
        <v>2</v>
      </c>
      <c r="T962" t="n">
        <v>2</v>
      </c>
      <c r="U962" t="n">
        <v>2</v>
      </c>
      <c r="V962" s="2" t="inlineStr">
        <is>
          <t>Kärrviol
Revlummer</t>
        </is>
      </c>
      <c r="W962">
        <f>HYPERLINK("https://klasma.github.io/Logging_2080/artfynd/A 12431-2026 artfynd.xlsx", "A 12431-2026")</f>
        <v/>
      </c>
      <c r="X962">
        <f>HYPERLINK("https://klasma.github.io/Logging_2080/kartor/A 12431-2026 karta.png", "A 12431-2026")</f>
        <v/>
      </c>
      <c r="Y962">
        <f>HYPERLINK("https://klasma.github.io/Logging_2080/kartor_geotiff/A 12431-2026 georefererad karta.tif", "A 12431-2026")</f>
        <v/>
      </c>
      <c r="AA962">
        <f>HYPERLINK("https://klasma.github.io/Logging_2080/klagomål/A 12431-2026 FSC-klagomål.docx", "A 12431-2026")</f>
        <v/>
      </c>
      <c r="AB962">
        <f>HYPERLINK("https://klasma.github.io/Logging_2080/klagomålsmail/A 12431-2026 FSC-klagomål mail.docx", "A 12431-2026")</f>
        <v/>
      </c>
      <c r="AC962">
        <f>HYPERLINK("https://klasma.github.io/Logging_2080/tillsyn/A 12431-2026 tillsynsbegäran.docx", "A 12431-2026")</f>
        <v/>
      </c>
      <c r="AD962">
        <f>HYPERLINK("https://klasma.github.io/Logging_2080/tillsynsmail/A 12431-2026 tillsynsbegäran mail.docx", "A 12431-2026")</f>
        <v/>
      </c>
    </row>
    <row r="963" ht="15" customHeight="1">
      <c r="A963" t="inlineStr">
        <is>
          <t>A 12420-2026</t>
        </is>
      </c>
      <c r="B963" t="inlineStr">
        <is>
          <t>avverkningsanmälan</t>
        </is>
      </c>
      <c r="C963" t="inlineStr">
        <is>
          <t>Föryngringsavverkning</t>
        </is>
      </c>
      <c r="D963" s="1" t="n">
        <v>46090</v>
      </c>
      <c r="E963" s="1" t="n">
        <v>46319</v>
      </c>
      <c r="F963" t="inlineStr">
        <is>
          <t>DALARNAS LÄN</t>
        </is>
      </c>
      <c r="G963" t="inlineStr">
        <is>
          <t>FALUN</t>
        </is>
      </c>
      <c r="H963" t="inlineStr">
        <is>
          <t>Bergvik skog väst AB</t>
        </is>
      </c>
      <c r="I963" t="n">
        <v>21.8</v>
      </c>
      <c r="J963" t="n">
        <v>2</v>
      </c>
      <c r="K963" t="n">
        <v>0</v>
      </c>
      <c r="L963" t="n">
        <v>0</v>
      </c>
      <c r="M963" t="n">
        <v>0</v>
      </c>
      <c r="N963" t="n">
        <v>0</v>
      </c>
      <c r="O963" t="n">
        <v>0</v>
      </c>
      <c r="P963" t="n">
        <v>0</v>
      </c>
      <c r="Q963" t="n">
        <v>0</v>
      </c>
      <c r="R963" t="n">
        <v>0</v>
      </c>
      <c r="S963" t="n">
        <v>2</v>
      </c>
      <c r="T963" t="n">
        <v>2</v>
      </c>
      <c r="U963" t="n">
        <v>0</v>
      </c>
      <c r="V963" s="2" t="inlineStr">
        <is>
          <t>Tjäder
Kungsfågel</t>
        </is>
      </c>
      <c r="W963">
        <f>HYPERLINK("https://klasma.github.io/Logging_2080/artfynd/A 12420-2026 artfynd.xlsx", "A 12420-2026")</f>
        <v/>
      </c>
      <c r="X963">
        <f>HYPERLINK("https://klasma.github.io/Logging_2080/kartor/A 12420-2026 karta.png", "A 12420-2026")</f>
        <v/>
      </c>
      <c r="Y963">
        <f>HYPERLINK("https://klasma.github.io/Logging_2080/kartor_geotiff/A 12420-2026 georefererad karta.tif", "A 12420-2026")</f>
        <v/>
      </c>
      <c r="AA963">
        <f>HYPERLINK("https://klasma.github.io/Logging_2080/klagomål/A 12420-2026 FSC-klagomål.docx", "A 12420-2026")</f>
        <v/>
      </c>
      <c r="AB963">
        <f>HYPERLINK("https://klasma.github.io/Logging_2080/klagomålsmail/A 12420-2026 FSC-klagomål mail.docx", "A 12420-2026")</f>
        <v/>
      </c>
      <c r="AC963">
        <f>HYPERLINK("https://klasma.github.io/Logging_2080/tillsyn/A 12420-2026 tillsynsbegäran.docx", "A 12420-2026")</f>
        <v/>
      </c>
      <c r="AD963">
        <f>HYPERLINK("https://klasma.github.io/Logging_2080/tillsynsmail/A 12420-2026 tillsynsbegäran mail.docx", "A 12420-2026")</f>
        <v/>
      </c>
      <c r="AE963">
        <f>HYPERLINK("https://klasma.github.io/Logging_2080/fåglar/A 12420-2026 prioriterade fågelarter.docx", "A 12420-2026")</f>
        <v/>
      </c>
    </row>
    <row r="964" ht="15" customHeight="1">
      <c r="A964" t="inlineStr">
        <is>
          <t>A 12490-2026</t>
        </is>
      </c>
      <c r="B964" t="inlineStr">
        <is>
          <t>avverkningsanmälan</t>
        </is>
      </c>
      <c r="C964" t="inlineStr">
        <is>
          <t>Föryngringsavverkning</t>
        </is>
      </c>
      <c r="D964" s="1" t="n">
        <v>46090</v>
      </c>
      <c r="E964" s="1" t="n">
        <v>46319</v>
      </c>
      <c r="F964" t="inlineStr">
        <is>
          <t>DALARNAS LÄN</t>
        </is>
      </c>
      <c r="G964" t="inlineStr">
        <is>
          <t>BORLÄNGE</t>
        </is>
      </c>
      <c r="I964" t="n">
        <v>7.7</v>
      </c>
      <c r="J964" t="n">
        <v>2</v>
      </c>
      <c r="K964" t="n">
        <v>0</v>
      </c>
      <c r="L964" t="n">
        <v>1</v>
      </c>
      <c r="M964" t="n">
        <v>0</v>
      </c>
      <c r="N964" t="n">
        <v>0</v>
      </c>
      <c r="O964" t="n">
        <v>0</v>
      </c>
      <c r="P964" t="n">
        <v>0</v>
      </c>
      <c r="Q964" t="n">
        <v>1</v>
      </c>
      <c r="R964" t="n">
        <v>0</v>
      </c>
      <c r="S964" t="n">
        <v>2</v>
      </c>
      <c r="T964" t="n">
        <v>6</v>
      </c>
      <c r="U964" t="n">
        <v>0</v>
      </c>
      <c r="V964" s="2" t="inlineStr">
        <is>
          <t>Tretåig hackspett
Tjäder</t>
        </is>
      </c>
      <c r="W964">
        <f>HYPERLINK("https://klasma.github.io/Logging_2081/artfynd/A 12490-2026 artfynd.xlsx", "A 12490-2026")</f>
        <v/>
      </c>
      <c r="X964">
        <f>HYPERLINK("https://klasma.github.io/Logging_2081/kartor/A 12490-2026 karta.png", "A 12490-2026")</f>
        <v/>
      </c>
      <c r="Y964">
        <f>HYPERLINK("https://klasma.github.io/Logging_2081/kartor_geotiff/A 12490-2026 georefererad karta.tif", "A 12490-2026")</f>
        <v/>
      </c>
      <c r="AA964">
        <f>HYPERLINK("https://klasma.github.io/Logging_2081/klagomål/A 12490-2026 FSC-klagomål.docx", "A 12490-2026")</f>
        <v/>
      </c>
      <c r="AB964">
        <f>HYPERLINK("https://klasma.github.io/Logging_2081/klagomålsmail/A 12490-2026 FSC-klagomål mail.docx", "A 12490-2026")</f>
        <v/>
      </c>
      <c r="AC964">
        <f>HYPERLINK("https://klasma.github.io/Logging_2081/tillsyn/A 12490-2026 tillsynsbegäran.docx", "A 12490-2026")</f>
        <v/>
      </c>
      <c r="AD964">
        <f>HYPERLINK("https://klasma.github.io/Logging_2081/tillsynsmail/A 12490-2026 tillsynsbegäran mail.docx", "A 12490-2026")</f>
        <v/>
      </c>
      <c r="AE964">
        <f>HYPERLINK("https://klasma.github.io/Logging_2081/fåglar/A 12490-2026 prioriterade fågelarter.docx", "A 12490-2026")</f>
        <v/>
      </c>
    </row>
    <row r="965" ht="15" customHeight="1">
      <c r="A965" t="inlineStr">
        <is>
          <t>A 41007-2026</t>
        </is>
      </c>
      <c r="B965" t="inlineStr">
        <is>
          <t>avverkningsanmälan</t>
        </is>
      </c>
      <c r="C965" t="inlineStr">
        <is>
          <t>Föryngringsavverkning</t>
        </is>
      </c>
      <c r="D965" s="1" t="n">
        <v>46297</v>
      </c>
      <c r="E965" s="1" t="n">
        <v>46319</v>
      </c>
      <c r="F965" t="inlineStr">
        <is>
          <t>DALARNAS LÄN</t>
        </is>
      </c>
      <c r="G965" t="inlineStr">
        <is>
          <t>RÄTTVIK</t>
        </is>
      </c>
      <c r="H965" t="inlineStr">
        <is>
          <t>Sveaskog</t>
        </is>
      </c>
      <c r="I965" t="n">
        <v>3.6</v>
      </c>
      <c r="J965" t="n">
        <v>0</v>
      </c>
      <c r="K965" t="n">
        <v>0</v>
      </c>
      <c r="L965" t="n">
        <v>2</v>
      </c>
      <c r="M965" t="n">
        <v>0</v>
      </c>
      <c r="N965" t="n">
        <v>0</v>
      </c>
      <c r="O965" t="n">
        <v>0</v>
      </c>
      <c r="P965" t="n">
        <v>0</v>
      </c>
      <c r="Q965" t="n">
        <v>2</v>
      </c>
      <c r="R965" t="n">
        <v>0</v>
      </c>
      <c r="S965" t="n">
        <v>2</v>
      </c>
      <c r="T965" t="n">
        <v>3</v>
      </c>
      <c r="U965" t="n">
        <v>2</v>
      </c>
      <c r="V965" s="2" t="inlineStr">
        <is>
          <t>Skarp dropptaggsvamp
Tallmovägstekel</t>
        </is>
      </c>
      <c r="W965">
        <f>HYPERLINK("https://klasma.github.io/Logging_2031/artfynd/A 41007-2026 artfynd.xlsx", "A 41007-2026")</f>
        <v/>
      </c>
      <c r="X965">
        <f>HYPERLINK("https://klasma.github.io/Logging_2031/kartor/A 41007-2026 karta.png", "A 41007-2026")</f>
        <v/>
      </c>
      <c r="Y965">
        <f>HYPERLINK("https://klasma.github.io/Logging_2031/kartor_geotiff/A 41007-2026 georefererad karta.tif", "A 41007-2026")</f>
        <v/>
      </c>
      <c r="AA965">
        <f>HYPERLINK("https://klasma.github.io/Logging_2031/klagomål/A 41007-2026 FSC-klagomål.docx", "A 41007-2026")</f>
        <v/>
      </c>
      <c r="AB965">
        <f>HYPERLINK("https://klasma.github.io/Logging_2031/klagomålsmail/A 41007-2026 FSC-klagomål mail.docx", "A 41007-2026")</f>
        <v/>
      </c>
      <c r="AC965">
        <f>HYPERLINK("https://klasma.github.io/Logging_2031/tillsyn/A 41007-2026 tillsynsbegäran.docx", "A 41007-2026")</f>
        <v/>
      </c>
      <c r="AD965">
        <f>HYPERLINK("https://klasma.github.io/Logging_2031/tillsynsmail/A 41007-2026 tillsynsbegäran mail.docx", "A 41007-2026")</f>
        <v/>
      </c>
    </row>
    <row r="966" ht="15" customHeight="1">
      <c r="A966" t="inlineStr">
        <is>
          <t>A 12786-2026</t>
        </is>
      </c>
      <c r="B966" t="inlineStr">
        <is>
          <t>avverkningsanmälan</t>
        </is>
      </c>
      <c r="C966" t="inlineStr">
        <is>
          <t>Föryngringsavverkning</t>
        </is>
      </c>
      <c r="D966" s="1" t="n">
        <v>46091</v>
      </c>
      <c r="E966" s="1" t="n">
        <v>46319</v>
      </c>
      <c r="F966" t="inlineStr">
        <is>
          <t>DALARNAS LÄN</t>
        </is>
      </c>
      <c r="G966" t="inlineStr">
        <is>
          <t>FALUN</t>
        </is>
      </c>
      <c r="H966" t="inlineStr">
        <is>
          <t>Bergvik skog väst AB</t>
        </is>
      </c>
      <c r="I966" t="n">
        <v>45.9</v>
      </c>
      <c r="J966" t="n">
        <v>1</v>
      </c>
      <c r="K966" t="n">
        <v>0</v>
      </c>
      <c r="L966" t="n">
        <v>1</v>
      </c>
      <c r="M966" t="n">
        <v>0</v>
      </c>
      <c r="N966" t="n">
        <v>0</v>
      </c>
      <c r="O966" t="n">
        <v>0</v>
      </c>
      <c r="P966" t="n">
        <v>0</v>
      </c>
      <c r="Q966" t="n">
        <v>1</v>
      </c>
      <c r="R966" t="n">
        <v>0</v>
      </c>
      <c r="S966" t="n">
        <v>2</v>
      </c>
      <c r="T966" t="n">
        <v>2</v>
      </c>
      <c r="U966" t="n">
        <v>0</v>
      </c>
      <c r="V966" s="2" t="inlineStr">
        <is>
          <t>Månlåsbräken
Tjäder</t>
        </is>
      </c>
      <c r="W966">
        <f>HYPERLINK("https://klasma.github.io/Logging_2080/artfynd/A 12786-2026 artfynd.xlsx", "A 12786-2026")</f>
        <v/>
      </c>
      <c r="X966">
        <f>HYPERLINK("https://klasma.github.io/Logging_2080/kartor/A 12786-2026 karta.png", "A 12786-2026")</f>
        <v/>
      </c>
      <c r="Y966">
        <f>HYPERLINK("https://klasma.github.io/Logging_2080/kartor_geotiff/A 12786-2026 georefererad karta.tif", "A 12786-2026")</f>
        <v/>
      </c>
      <c r="AA966">
        <f>HYPERLINK("https://klasma.github.io/Logging_2080/klagomål/A 12786-2026 FSC-klagomål.docx", "A 12786-2026")</f>
        <v/>
      </c>
      <c r="AB966">
        <f>HYPERLINK("https://klasma.github.io/Logging_2080/klagomålsmail/A 12786-2026 FSC-klagomål mail.docx", "A 12786-2026")</f>
        <v/>
      </c>
      <c r="AC966">
        <f>HYPERLINK("https://klasma.github.io/Logging_2080/tillsyn/A 12786-2026 tillsynsbegäran.docx", "A 12786-2026")</f>
        <v/>
      </c>
      <c r="AD966">
        <f>HYPERLINK("https://klasma.github.io/Logging_2080/tillsynsmail/A 12786-2026 tillsynsbegäran mail.docx", "A 12786-2026")</f>
        <v/>
      </c>
      <c r="AE966">
        <f>HYPERLINK("https://klasma.github.io/Logging_2080/fåglar/A 12786-2026 prioriterade fågelarter.docx", "A 12786-2026")</f>
        <v/>
      </c>
    </row>
    <row r="967" ht="15" customHeight="1">
      <c r="A967" t="inlineStr">
        <is>
          <t>A 40906-2026</t>
        </is>
      </c>
      <c r="B967" t="inlineStr">
        <is>
          <t>avverkningsanmälan</t>
        </is>
      </c>
      <c r="C967" t="inlineStr">
        <is>
          <t>Föryngringsavverkning</t>
        </is>
      </c>
      <c r="D967" s="1" t="n">
        <v>46297</v>
      </c>
      <c r="E967" s="1" t="n">
        <v>46319</v>
      </c>
      <c r="F967" t="inlineStr">
        <is>
          <t>DALARNAS LÄN</t>
        </is>
      </c>
      <c r="G967" t="inlineStr">
        <is>
          <t>FALUN</t>
        </is>
      </c>
      <c r="I967" t="n">
        <v>1.5</v>
      </c>
      <c r="J967" t="n">
        <v>2</v>
      </c>
      <c r="K967" t="n">
        <v>0</v>
      </c>
      <c r="L967" t="n">
        <v>0</v>
      </c>
      <c r="M967" t="n">
        <v>0</v>
      </c>
      <c r="N967" t="n">
        <v>0</v>
      </c>
      <c r="O967" t="n">
        <v>0</v>
      </c>
      <c r="P967" t="n">
        <v>0</v>
      </c>
      <c r="Q967" t="n">
        <v>0</v>
      </c>
      <c r="R967" t="n">
        <v>0</v>
      </c>
      <c r="S967" t="n">
        <v>2</v>
      </c>
      <c r="T967" t="n">
        <v>3</v>
      </c>
      <c r="U967" t="n">
        <v>3</v>
      </c>
      <c r="V967" s="2" t="inlineStr">
        <is>
          <t>Blåsippa
Spillkråka</t>
        </is>
      </c>
      <c r="W967">
        <f>HYPERLINK("https://klasma.github.io/Logging_2080/artfynd/A 40906-2026 artfynd.xlsx", "A 40906-2026")</f>
        <v/>
      </c>
      <c r="X967">
        <f>HYPERLINK("https://klasma.github.io/Logging_2080/kartor/A 40906-2026 karta.png", "A 40906-2026")</f>
        <v/>
      </c>
      <c r="Y967">
        <f>HYPERLINK("https://klasma.github.io/Logging_2080/kartor_geotiff/A 40906-2026 georefererad karta.tif", "A 40906-2026")</f>
        <v/>
      </c>
      <c r="AA967">
        <f>HYPERLINK("https://klasma.github.io/Logging_2080/klagomål/A 40906-2026 FSC-klagomål.docx", "A 40906-2026")</f>
        <v/>
      </c>
      <c r="AB967">
        <f>HYPERLINK("https://klasma.github.io/Logging_2080/klagomålsmail/A 40906-2026 FSC-klagomål mail.docx", "A 40906-2026")</f>
        <v/>
      </c>
      <c r="AC967">
        <f>HYPERLINK("https://klasma.github.io/Logging_2080/tillsyn/A 40906-2026 tillsynsbegäran.docx", "A 40906-2026")</f>
        <v/>
      </c>
      <c r="AD967">
        <f>HYPERLINK("https://klasma.github.io/Logging_2080/tillsynsmail/A 40906-2026 tillsynsbegäran mail.docx", "A 40906-2026")</f>
        <v/>
      </c>
      <c r="AE967">
        <f>HYPERLINK("https://klasma.github.io/Logging_2080/fåglar/A 40906-2026 prioriterade fågelarter.docx", "A 40906-2026")</f>
        <v/>
      </c>
    </row>
    <row r="968" ht="15" customHeight="1">
      <c r="A968" t="inlineStr">
        <is>
          <t>A 58910-2025</t>
        </is>
      </c>
      <c r="B968" t="inlineStr">
        <is>
          <t>avverkningsanmälan</t>
        </is>
      </c>
      <c r="C968" t="inlineStr">
        <is>
          <t>Föryngringsavverkning</t>
        </is>
      </c>
      <c r="D968" s="1" t="n">
        <v>45987</v>
      </c>
      <c r="E968" s="1" t="n">
        <v>46319</v>
      </c>
      <c r="F968" t="inlineStr">
        <is>
          <t>DALARNAS LÄN</t>
        </is>
      </c>
      <c r="G968" t="inlineStr">
        <is>
          <t>ORSA</t>
        </is>
      </c>
      <c r="I968" t="n">
        <v>2.1</v>
      </c>
      <c r="J968" t="n">
        <v>1</v>
      </c>
      <c r="K968" t="n">
        <v>1</v>
      </c>
      <c r="L968" t="n">
        <v>0</v>
      </c>
      <c r="M968" t="n">
        <v>1</v>
      </c>
      <c r="N968" t="n">
        <v>0</v>
      </c>
      <c r="O968" t="n">
        <v>0</v>
      </c>
      <c r="P968" t="n">
        <v>0</v>
      </c>
      <c r="Q968" t="n">
        <v>1</v>
      </c>
      <c r="R968" t="n">
        <v>1</v>
      </c>
      <c r="S968" t="n">
        <v>2</v>
      </c>
      <c r="T968" t="n">
        <v>2</v>
      </c>
      <c r="U968" t="n">
        <v>2</v>
      </c>
      <c r="V968" s="2" t="inlineStr">
        <is>
          <t>Knärot
Gräsull</t>
        </is>
      </c>
      <c r="W968">
        <f>HYPERLINK("https://klasma.github.io/Logging_2034/artfynd/A 58910-2025 artfynd.xlsx", "A 58910-2025")</f>
        <v/>
      </c>
      <c r="X968">
        <f>HYPERLINK("https://klasma.github.io/Logging_2034/kartor/A 58910-2025 karta.png", "A 58910-2025")</f>
        <v/>
      </c>
      <c r="Y968">
        <f>HYPERLINK("https://klasma.github.io/Logging_2034/kartor_geotiff/A 58910-2025 georefererad karta.tif", "A 58910-2025")</f>
        <v/>
      </c>
      <c r="Z968">
        <f>HYPERLINK("https://klasma.github.io/Logging_2034/knärot/A 58910-2025 karta knärot.png", "A 58910-2025")</f>
        <v/>
      </c>
      <c r="AA968">
        <f>HYPERLINK("https://klasma.github.io/Logging_2034/klagomål/A 58910-2025 FSC-klagomål.docx", "A 58910-2025")</f>
        <v/>
      </c>
      <c r="AB968">
        <f>HYPERLINK("https://klasma.github.io/Logging_2034/klagomålsmail/A 58910-2025 FSC-klagomål mail.docx", "A 58910-2025")</f>
        <v/>
      </c>
      <c r="AC968">
        <f>HYPERLINK("https://klasma.github.io/Logging_2034/tillsyn/A 58910-2025 tillsynsbegäran.docx", "A 58910-2025")</f>
        <v/>
      </c>
      <c r="AD968">
        <f>HYPERLINK("https://klasma.github.io/Logging_2034/tillsynsmail/A 58910-2025 tillsynsbegäran mail.docx", "A 58910-2025")</f>
        <v/>
      </c>
    </row>
    <row r="969" ht="15" customHeight="1">
      <c r="A969" t="inlineStr">
        <is>
          <t>A 52490-2022</t>
        </is>
      </c>
      <c r="B969" t="inlineStr">
        <is>
          <t>avverkningsanmälan</t>
        </is>
      </c>
      <c r="C969" t="inlineStr">
        <is>
          <t>Föryngringsavverkning</t>
        </is>
      </c>
      <c r="D969" s="1" t="n">
        <v>44874</v>
      </c>
      <c r="E969" s="1" t="n">
        <v>46319</v>
      </c>
      <c r="F969" t="inlineStr">
        <is>
          <t>DALARNAS LÄN</t>
        </is>
      </c>
      <c r="G969" t="inlineStr">
        <is>
          <t>ÄLVDALEN</t>
        </is>
      </c>
      <c r="I969" t="n">
        <v>4.3</v>
      </c>
      <c r="J969" t="n">
        <v>0</v>
      </c>
      <c r="K969" t="n">
        <v>0</v>
      </c>
      <c r="L969" t="n">
        <v>1</v>
      </c>
      <c r="M969" t="n">
        <v>1</v>
      </c>
      <c r="N969" t="n">
        <v>0</v>
      </c>
      <c r="O969" t="n">
        <v>0</v>
      </c>
      <c r="P969" t="n">
        <v>0</v>
      </c>
      <c r="Q969" t="n">
        <v>2</v>
      </c>
      <c r="R969" t="n">
        <v>1</v>
      </c>
      <c r="S969" t="n">
        <v>2</v>
      </c>
      <c r="T969" t="n">
        <v>2</v>
      </c>
      <c r="U969" t="n">
        <v>0</v>
      </c>
      <c r="V969" s="2" t="inlineStr">
        <is>
          <t>Garnlav
Dropptaggsvamp</t>
        </is>
      </c>
      <c r="W969">
        <f>HYPERLINK("https://klasma.github.io/Logging_2039/artfynd/A 52490-2022 artfynd.xlsx", "A 52490-2022")</f>
        <v/>
      </c>
      <c r="X969">
        <f>HYPERLINK("https://klasma.github.io/Logging_2039/kartor/A 52490-2022 karta.png", "A 52490-2022")</f>
        <v/>
      </c>
      <c r="Y969">
        <f>HYPERLINK("https://klasma.github.io/Logging_2039/kartor_geotiff/A 52490-2022 georefererad karta.tif", "A 52490-2022")</f>
        <v/>
      </c>
      <c r="AA969">
        <f>HYPERLINK("https://klasma.github.io/Logging_2039/klagomål/A 52490-2022 FSC-klagomål.docx", "A 52490-2022")</f>
        <v/>
      </c>
      <c r="AB969">
        <f>HYPERLINK("https://klasma.github.io/Logging_2039/klagomålsmail/A 52490-2022 FSC-klagomål mail.docx", "A 52490-2022")</f>
        <v/>
      </c>
      <c r="AC969">
        <f>HYPERLINK("https://klasma.github.io/Logging_2039/tillsyn/A 52490-2022 tillsynsbegäran.docx", "A 52490-2022")</f>
        <v/>
      </c>
      <c r="AD969">
        <f>HYPERLINK("https://klasma.github.io/Logging_2039/tillsynsmail/A 52490-2022 tillsynsbegäran mail.docx", "A 52490-2022")</f>
        <v/>
      </c>
    </row>
    <row r="970" ht="15" customHeight="1">
      <c r="A970" t="inlineStr">
        <is>
          <t>A 56879-2025</t>
        </is>
      </c>
      <c r="B970" t="inlineStr">
        <is>
          <t>avverkningsanmälan</t>
        </is>
      </c>
      <c r="C970" t="inlineStr">
        <is>
          <t>Föryngringsavverkning</t>
        </is>
      </c>
      <c r="D970" s="1" t="n">
        <v>45978</v>
      </c>
      <c r="E970" s="1" t="n">
        <v>46319</v>
      </c>
      <c r="F970" t="inlineStr">
        <is>
          <t>DALARNAS LÄN</t>
        </is>
      </c>
      <c r="G970" t="inlineStr">
        <is>
          <t>LUDVIKA</t>
        </is>
      </c>
      <c r="H970" t="inlineStr">
        <is>
          <t>Bergvik skog väst AB</t>
        </is>
      </c>
      <c r="I970" t="n">
        <v>1.6</v>
      </c>
      <c r="J970" t="n">
        <v>1</v>
      </c>
      <c r="K970" t="n">
        <v>0</v>
      </c>
      <c r="L970" t="n">
        <v>0</v>
      </c>
      <c r="M970" t="n">
        <v>1</v>
      </c>
      <c r="N970" t="n">
        <v>0</v>
      </c>
      <c r="O970" t="n">
        <v>0</v>
      </c>
      <c r="P970" t="n">
        <v>0</v>
      </c>
      <c r="Q970" t="n">
        <v>1</v>
      </c>
      <c r="R970" t="n">
        <v>1</v>
      </c>
      <c r="S970" t="n">
        <v>2</v>
      </c>
      <c r="T970" t="n">
        <v>3</v>
      </c>
      <c r="U970" t="n">
        <v>3</v>
      </c>
      <c r="V970" s="2" t="inlineStr">
        <is>
          <t>Garnlav
Tjäder</t>
        </is>
      </c>
      <c r="W970">
        <f>HYPERLINK("https://klasma.github.io/Logging_2085/artfynd/A 56879-2025 artfynd.xlsx", "A 56879-2025")</f>
        <v/>
      </c>
      <c r="X970">
        <f>HYPERLINK("https://klasma.github.io/Logging_2085/kartor/A 56879-2025 karta.png", "A 56879-2025")</f>
        <v/>
      </c>
      <c r="Y970">
        <f>HYPERLINK("https://klasma.github.io/Logging_2085/kartor_geotiff/A 56879-2025 georefererad karta.tif", "A 56879-2025")</f>
        <v/>
      </c>
      <c r="AA970">
        <f>HYPERLINK("https://klasma.github.io/Logging_2085/klagomål/A 56879-2025 FSC-klagomål.docx", "A 56879-2025")</f>
        <v/>
      </c>
      <c r="AB970">
        <f>HYPERLINK("https://klasma.github.io/Logging_2085/klagomålsmail/A 56879-2025 FSC-klagomål mail.docx", "A 56879-2025")</f>
        <v/>
      </c>
      <c r="AC970">
        <f>HYPERLINK("https://klasma.github.io/Logging_2085/tillsyn/A 56879-2025 tillsynsbegäran.docx", "A 56879-2025")</f>
        <v/>
      </c>
      <c r="AD970">
        <f>HYPERLINK("https://klasma.github.io/Logging_2085/tillsynsmail/A 56879-2025 tillsynsbegäran mail.docx", "A 56879-2025")</f>
        <v/>
      </c>
      <c r="AE970">
        <f>HYPERLINK("https://klasma.github.io/Logging_2085/fåglar/A 56879-2025 prioriterade fågelarter.docx", "A 56879-2025")</f>
        <v/>
      </c>
    </row>
    <row r="971" ht="15" customHeight="1">
      <c r="A971" t="inlineStr">
        <is>
          <t>A 13946-2026</t>
        </is>
      </c>
      <c r="B971" t="inlineStr">
        <is>
          <t>avverkningsanmälan</t>
        </is>
      </c>
      <c r="C971" t="inlineStr">
        <is>
          <t>Föryngringsavverkning</t>
        </is>
      </c>
      <c r="D971" s="1" t="n">
        <v>46098</v>
      </c>
      <c r="E971" s="1" t="n">
        <v>46319</v>
      </c>
      <c r="F971" t="inlineStr">
        <is>
          <t>DALARNAS LÄN</t>
        </is>
      </c>
      <c r="G971" t="inlineStr">
        <is>
          <t>FALUN</t>
        </is>
      </c>
      <c r="H971" t="inlineStr">
        <is>
          <t>Allmännings- och besparingsskogar</t>
        </is>
      </c>
      <c r="I971" t="n">
        <v>12.5</v>
      </c>
      <c r="J971" t="n">
        <v>0</v>
      </c>
      <c r="K971" t="n">
        <v>0</v>
      </c>
      <c r="L971" t="n">
        <v>2</v>
      </c>
      <c r="M971" t="n">
        <v>0</v>
      </c>
      <c r="N971" t="n">
        <v>0</v>
      </c>
      <c r="O971" t="n">
        <v>0</v>
      </c>
      <c r="P971" t="n">
        <v>0</v>
      </c>
      <c r="Q971" t="n">
        <v>2</v>
      </c>
      <c r="R971" t="n">
        <v>0</v>
      </c>
      <c r="S971" t="n">
        <v>2</v>
      </c>
      <c r="T971" t="n">
        <v>2</v>
      </c>
      <c r="U971" t="n">
        <v>2</v>
      </c>
      <c r="V971" s="2" t="inlineStr">
        <is>
          <t>Dropptaggsvamp
Ullticka</t>
        </is>
      </c>
      <c r="W971">
        <f>HYPERLINK("https://klasma.github.io/Logging_2080/artfynd/A 13946-2026 artfynd.xlsx", "A 13946-2026")</f>
        <v/>
      </c>
      <c r="X971">
        <f>HYPERLINK("https://klasma.github.io/Logging_2080/kartor/A 13946-2026 karta.png", "A 13946-2026")</f>
        <v/>
      </c>
      <c r="Y971">
        <f>HYPERLINK("https://klasma.github.io/Logging_2080/kartor_geotiff/A 13946-2026 georefererad karta.tif", "A 13946-2026")</f>
        <v/>
      </c>
      <c r="AA971">
        <f>HYPERLINK("https://klasma.github.io/Logging_2080/klagomål/A 13946-2026 FSC-klagomål.docx", "A 13946-2026")</f>
        <v/>
      </c>
      <c r="AB971">
        <f>HYPERLINK("https://klasma.github.io/Logging_2080/klagomålsmail/A 13946-2026 FSC-klagomål mail.docx", "A 13946-2026")</f>
        <v/>
      </c>
      <c r="AC971">
        <f>HYPERLINK("https://klasma.github.io/Logging_2080/tillsyn/A 13946-2026 tillsynsbegäran.docx", "A 13946-2026")</f>
        <v/>
      </c>
      <c r="AD971">
        <f>HYPERLINK("https://klasma.github.io/Logging_2080/tillsynsmail/A 13946-2026 tillsynsbegäran mail.docx", "A 13946-2026")</f>
        <v/>
      </c>
    </row>
    <row r="972" ht="15" customHeight="1">
      <c r="A972" t="inlineStr">
        <is>
          <t>A 34418-2025</t>
        </is>
      </c>
      <c r="B972" t="inlineStr">
        <is>
          <t>avverkningsanmälan</t>
        </is>
      </c>
      <c r="C972" t="inlineStr">
        <is>
          <t>Föryngringsavverkning</t>
        </is>
      </c>
      <c r="D972" s="1" t="n">
        <v>45846</v>
      </c>
      <c r="E972" s="1" t="n">
        <v>46319</v>
      </c>
      <c r="F972" t="inlineStr">
        <is>
          <t>DALARNAS LÄN</t>
        </is>
      </c>
      <c r="G972" t="inlineStr">
        <is>
          <t>GAGNEF</t>
        </is>
      </c>
      <c r="I972" t="n">
        <v>2.3</v>
      </c>
      <c r="J972" t="n">
        <v>0</v>
      </c>
      <c r="K972" t="n">
        <v>1</v>
      </c>
      <c r="L972" t="n">
        <v>1</v>
      </c>
      <c r="M972" t="n">
        <v>0</v>
      </c>
      <c r="N972" t="n">
        <v>0</v>
      </c>
      <c r="O972" t="n">
        <v>0</v>
      </c>
      <c r="P972" t="n">
        <v>0</v>
      </c>
      <c r="Q972" t="n">
        <v>1</v>
      </c>
      <c r="R972" t="n">
        <v>0</v>
      </c>
      <c r="S972" t="n">
        <v>2</v>
      </c>
      <c r="T972" t="n">
        <v>4</v>
      </c>
      <c r="U972" t="n">
        <v>0</v>
      </c>
      <c r="V972" s="2" t="inlineStr">
        <is>
          <t>Mörk kolflarnlav
Stuplav</t>
        </is>
      </c>
      <c r="W972">
        <f>HYPERLINK("https://klasma.github.io/Logging_2026/artfynd/A 34418-2025 artfynd.xlsx", "A 34418-2025")</f>
        <v/>
      </c>
      <c r="X972">
        <f>HYPERLINK("https://klasma.github.io/Logging_2026/kartor/A 34418-2025 karta.png", "A 34418-2025")</f>
        <v/>
      </c>
      <c r="Y972">
        <f>HYPERLINK("https://klasma.github.io/Logging_2026/kartor_geotiff/A 34418-2025 georefererad karta.tif", "A 34418-2025")</f>
        <v/>
      </c>
      <c r="AA972">
        <f>HYPERLINK("https://klasma.github.io/Logging_2026/klagomål/A 34418-2025 FSC-klagomål.docx", "A 34418-2025")</f>
        <v/>
      </c>
      <c r="AB972">
        <f>HYPERLINK("https://klasma.github.io/Logging_2026/klagomålsmail/A 34418-2025 FSC-klagomål mail.docx", "A 34418-2025")</f>
        <v/>
      </c>
      <c r="AC972">
        <f>HYPERLINK("https://klasma.github.io/Logging_2026/tillsyn/A 34418-2025 tillsynsbegäran.docx", "A 34418-2025")</f>
        <v/>
      </c>
      <c r="AD972">
        <f>HYPERLINK("https://klasma.github.io/Logging_2026/tillsynsmail/A 34418-2025 tillsynsbegäran mail.docx", "A 34418-2025")</f>
        <v/>
      </c>
    </row>
    <row r="973" ht="15" customHeight="1">
      <c r="A973" t="inlineStr">
        <is>
          <t>A 34241-2025</t>
        </is>
      </c>
      <c r="B973" t="inlineStr">
        <is>
          <t>avverkningsanmälan</t>
        </is>
      </c>
      <c r="C973" t="inlineStr">
        <is>
          <t>Föryngringsavverkning</t>
        </is>
      </c>
      <c r="D973" s="1" t="n">
        <v>45845</v>
      </c>
      <c r="E973" s="1" t="n">
        <v>46319</v>
      </c>
      <c r="F973" t="inlineStr">
        <is>
          <t>DALARNAS LÄN</t>
        </is>
      </c>
      <c r="G973" t="inlineStr">
        <is>
          <t>RÄTTVIK</t>
        </is>
      </c>
      <c r="H973" t="inlineStr">
        <is>
          <t>Sveaskog</t>
        </is>
      </c>
      <c r="I973" t="n">
        <v>23.4</v>
      </c>
      <c r="J973" t="n">
        <v>0</v>
      </c>
      <c r="K973" t="n">
        <v>0</v>
      </c>
      <c r="L973" t="n">
        <v>2</v>
      </c>
      <c r="M973" t="n">
        <v>0</v>
      </c>
      <c r="N973" t="n">
        <v>0</v>
      </c>
      <c r="O973" t="n">
        <v>0</v>
      </c>
      <c r="P973" t="n">
        <v>0</v>
      </c>
      <c r="Q973" t="n">
        <v>2</v>
      </c>
      <c r="R973" t="n">
        <v>0</v>
      </c>
      <c r="S973" t="n">
        <v>2</v>
      </c>
      <c r="T973" t="n">
        <v>2</v>
      </c>
      <c r="U973" t="n">
        <v>2</v>
      </c>
      <c r="V973" s="2" t="inlineStr">
        <is>
          <t>Kolflarnlav
Mörk kolflarnlav</t>
        </is>
      </c>
      <c r="W973">
        <f>HYPERLINK("https://klasma.github.io/Logging_2031/artfynd/A 34241-2025 artfynd.xlsx", "A 34241-2025")</f>
        <v/>
      </c>
      <c r="X973">
        <f>HYPERLINK("https://klasma.github.io/Logging_2031/kartor/A 34241-2025 karta.png", "A 34241-2025")</f>
        <v/>
      </c>
      <c r="Y973">
        <f>HYPERLINK("https://klasma.github.io/Logging_2031/kartor_geotiff/A 34241-2025 georefererad karta.tif", "A 34241-2025")</f>
        <v/>
      </c>
      <c r="AA973">
        <f>HYPERLINK("https://klasma.github.io/Logging_2031/klagomål/A 34241-2025 FSC-klagomål.docx", "A 34241-2025")</f>
        <v/>
      </c>
      <c r="AB973">
        <f>HYPERLINK("https://klasma.github.io/Logging_2031/klagomålsmail/A 34241-2025 FSC-klagomål mail.docx", "A 34241-2025")</f>
        <v/>
      </c>
      <c r="AC973">
        <f>HYPERLINK("https://klasma.github.io/Logging_2031/tillsyn/A 34241-2025 tillsynsbegäran.docx", "A 34241-2025")</f>
        <v/>
      </c>
      <c r="AD973">
        <f>HYPERLINK("https://klasma.github.io/Logging_2031/tillsynsmail/A 34241-2025 tillsynsbegäran mail.docx", "A 34241-2025")</f>
        <v/>
      </c>
    </row>
    <row r="974" ht="15" customHeight="1">
      <c r="A974" t="inlineStr">
        <is>
          <t>A 35068-2025</t>
        </is>
      </c>
      <c r="B974" t="inlineStr">
        <is>
          <t>avverkningsanmälan</t>
        </is>
      </c>
      <c r="C974" t="inlineStr">
        <is>
          <t>Föryngringsavverkning</t>
        </is>
      </c>
      <c r="D974" s="1" t="n">
        <v>45852</v>
      </c>
      <c r="E974" s="1" t="n">
        <v>46319</v>
      </c>
      <c r="F974" t="inlineStr">
        <is>
          <t>DALARNAS LÄN</t>
        </is>
      </c>
      <c r="G974" t="inlineStr">
        <is>
          <t>MORA</t>
        </is>
      </c>
      <c r="I974" t="n">
        <v>0.7</v>
      </c>
      <c r="J974" t="n">
        <v>0</v>
      </c>
      <c r="K974" t="n">
        <v>1</v>
      </c>
      <c r="L974" t="n">
        <v>0</v>
      </c>
      <c r="M974" t="n">
        <v>1</v>
      </c>
      <c r="N974" t="n">
        <v>0</v>
      </c>
      <c r="O974" t="n">
        <v>0</v>
      </c>
      <c r="P974" t="n">
        <v>0</v>
      </c>
      <c r="Q974" t="n">
        <v>1</v>
      </c>
      <c r="R974" t="n">
        <v>1</v>
      </c>
      <c r="S974" t="n">
        <v>2</v>
      </c>
      <c r="T974" t="n">
        <v>7</v>
      </c>
      <c r="U974" t="n">
        <v>7</v>
      </c>
      <c r="V974" s="2" t="inlineStr">
        <is>
          <t>Garnlav
Mindre märgborre</t>
        </is>
      </c>
      <c r="W974">
        <f>HYPERLINK("https://klasma.github.io/Logging_2062/artfynd/A 35068-2025 artfynd.xlsx", "A 35068-2025")</f>
        <v/>
      </c>
      <c r="X974">
        <f>HYPERLINK("https://klasma.github.io/Logging_2062/kartor/A 35068-2025 karta.png", "A 35068-2025")</f>
        <v/>
      </c>
      <c r="Y974">
        <f>HYPERLINK("https://klasma.github.io/Logging_2062/kartor_geotiff/A 35068-2025 georefererad karta.tif", "A 35068-2025")</f>
        <v/>
      </c>
      <c r="AA974">
        <f>HYPERLINK("https://klasma.github.io/Logging_2062/klagomål/A 35068-2025 FSC-klagomål.docx", "A 35068-2025")</f>
        <v/>
      </c>
      <c r="AB974">
        <f>HYPERLINK("https://klasma.github.io/Logging_2062/klagomålsmail/A 35068-2025 FSC-klagomål mail.docx", "A 35068-2025")</f>
        <v/>
      </c>
      <c r="AC974">
        <f>HYPERLINK("https://klasma.github.io/Logging_2062/tillsyn/A 35068-2025 tillsynsbegäran.docx", "A 35068-2025")</f>
        <v/>
      </c>
      <c r="AD974">
        <f>HYPERLINK("https://klasma.github.io/Logging_2062/tillsynsmail/A 35068-2025 tillsynsbegäran mail.docx", "A 35068-2025")</f>
        <v/>
      </c>
    </row>
    <row r="975" ht="15" customHeight="1">
      <c r="A975" t="inlineStr">
        <is>
          <t>A 15875-2026</t>
        </is>
      </c>
      <c r="B975" t="inlineStr">
        <is>
          <t>avverkningsanmälan</t>
        </is>
      </c>
      <c r="C975" t="inlineStr">
        <is>
          <t>Föryngringsavverkning</t>
        </is>
      </c>
      <c r="D975" s="1" t="n">
        <v>46107</v>
      </c>
      <c r="E975" s="1" t="n">
        <v>46319</v>
      </c>
      <c r="F975" t="inlineStr">
        <is>
          <t>DALARNAS LÄN</t>
        </is>
      </c>
      <c r="G975" t="inlineStr">
        <is>
          <t>FALUN</t>
        </is>
      </c>
      <c r="I975" t="n">
        <v>2.8</v>
      </c>
      <c r="J975" t="n">
        <v>2</v>
      </c>
      <c r="K975" t="n">
        <v>0</v>
      </c>
      <c r="L975" t="n">
        <v>0</v>
      </c>
      <c r="M975" t="n">
        <v>0</v>
      </c>
      <c r="N975" t="n">
        <v>0</v>
      </c>
      <c r="O975" t="n">
        <v>0</v>
      </c>
      <c r="P975" t="n">
        <v>0</v>
      </c>
      <c r="Q975" t="n">
        <v>0</v>
      </c>
      <c r="R975" t="n">
        <v>0</v>
      </c>
      <c r="S975" t="n">
        <v>2</v>
      </c>
      <c r="T975" t="n">
        <v>2</v>
      </c>
      <c r="U975" t="n">
        <v>0</v>
      </c>
      <c r="V975" s="2" t="inlineStr">
        <is>
          <t>Fläcknycklar
Revlummer</t>
        </is>
      </c>
      <c r="W975">
        <f>HYPERLINK("https://klasma.github.io/Logging_2080/artfynd/A 15875-2026 artfynd.xlsx", "A 15875-2026")</f>
        <v/>
      </c>
      <c r="X975">
        <f>HYPERLINK("https://klasma.github.io/Logging_2080/kartor/A 15875-2026 karta.png", "A 15875-2026")</f>
        <v/>
      </c>
      <c r="Y975">
        <f>HYPERLINK("https://klasma.github.io/Logging_2080/kartor_geotiff/A 15875-2026 georefererad karta.tif", "A 15875-2026")</f>
        <v/>
      </c>
      <c r="AA975">
        <f>HYPERLINK("https://klasma.github.io/Logging_2080/klagomål/A 15875-2026 FSC-klagomål.docx", "A 15875-2026")</f>
        <v/>
      </c>
      <c r="AB975">
        <f>HYPERLINK("https://klasma.github.io/Logging_2080/klagomålsmail/A 15875-2026 FSC-klagomål mail.docx", "A 15875-2026")</f>
        <v/>
      </c>
      <c r="AC975">
        <f>HYPERLINK("https://klasma.github.io/Logging_2080/tillsyn/A 15875-2026 tillsynsbegäran.docx", "A 15875-2026")</f>
        <v/>
      </c>
      <c r="AD975">
        <f>HYPERLINK("https://klasma.github.io/Logging_2080/tillsynsmail/A 15875-2026 tillsynsbegäran mail.docx", "A 15875-2026")</f>
        <v/>
      </c>
    </row>
    <row r="976" ht="15" customHeight="1">
      <c r="A976" t="inlineStr">
        <is>
          <t>A 34996-2025</t>
        </is>
      </c>
      <c r="B976" t="inlineStr">
        <is>
          <t>avverkningsanmälan</t>
        </is>
      </c>
      <c r="C976" t="inlineStr">
        <is>
          <t>Föryngringsavverkning</t>
        </is>
      </c>
      <c r="D976" s="1" t="n">
        <v>45849</v>
      </c>
      <c r="E976" s="1" t="n">
        <v>46319</v>
      </c>
      <c r="F976" t="inlineStr">
        <is>
          <t>DALARNAS LÄN</t>
        </is>
      </c>
      <c r="G976" t="inlineStr">
        <is>
          <t>LEKSAND</t>
        </is>
      </c>
      <c r="I976" t="n">
        <v>1.1</v>
      </c>
      <c r="J976" t="n">
        <v>0</v>
      </c>
      <c r="K976" t="n">
        <v>0</v>
      </c>
      <c r="L976" t="n">
        <v>1</v>
      </c>
      <c r="M976" t="n">
        <v>1</v>
      </c>
      <c r="N976" t="n">
        <v>0</v>
      </c>
      <c r="O976" t="n">
        <v>0</v>
      </c>
      <c r="P976" t="n">
        <v>0</v>
      </c>
      <c r="Q976" t="n">
        <v>2</v>
      </c>
      <c r="R976" t="n">
        <v>1</v>
      </c>
      <c r="S976" t="n">
        <v>2</v>
      </c>
      <c r="T976" t="n">
        <v>3</v>
      </c>
      <c r="U976" t="n">
        <v>0</v>
      </c>
      <c r="V976" s="2" t="inlineStr">
        <is>
          <t>Garnlav
Dvärgbägarlav</t>
        </is>
      </c>
      <c r="W976">
        <f>HYPERLINK("https://klasma.github.io/Logging_2029/artfynd/A 34996-2025 artfynd.xlsx", "A 34996-2025")</f>
        <v/>
      </c>
      <c r="X976">
        <f>HYPERLINK("https://klasma.github.io/Logging_2029/kartor/A 34996-2025 karta.png", "A 34996-2025")</f>
        <v/>
      </c>
      <c r="Y976">
        <f>HYPERLINK("https://klasma.github.io/Logging_2029/kartor_geotiff/A 34996-2025 georefererad karta.tif", "A 34996-2025")</f>
        <v/>
      </c>
      <c r="AA976">
        <f>HYPERLINK("https://klasma.github.io/Logging_2029/klagomål/A 34996-2025 FSC-klagomål.docx", "A 34996-2025")</f>
        <v/>
      </c>
      <c r="AB976">
        <f>HYPERLINK("https://klasma.github.io/Logging_2029/klagomålsmail/A 34996-2025 FSC-klagomål mail.docx", "A 34996-2025")</f>
        <v/>
      </c>
      <c r="AC976">
        <f>HYPERLINK("https://klasma.github.io/Logging_2029/tillsyn/A 34996-2025 tillsynsbegäran.docx", "A 34996-2025")</f>
        <v/>
      </c>
      <c r="AD976">
        <f>HYPERLINK("https://klasma.github.io/Logging_2029/tillsynsmail/A 34996-2025 tillsynsbegäran mail.docx", "A 34996-2025")</f>
        <v/>
      </c>
    </row>
    <row r="977" ht="15" customHeight="1">
      <c r="A977" t="inlineStr">
        <is>
          <t>A 16480-2026</t>
        </is>
      </c>
      <c r="B977" t="inlineStr">
        <is>
          <t>avverkningsanmälan</t>
        </is>
      </c>
      <c r="C977" t="inlineStr">
        <is>
          <t>Föryngringsavverkning</t>
        </is>
      </c>
      <c r="D977" s="1" t="n">
        <v>46112</v>
      </c>
      <c r="E977" s="1" t="n">
        <v>46319</v>
      </c>
      <c r="F977" t="inlineStr">
        <is>
          <t>DALARNAS LÄN</t>
        </is>
      </c>
      <c r="G977" t="inlineStr">
        <is>
          <t>GAGNEF</t>
        </is>
      </c>
      <c r="I977" t="n">
        <v>0.9</v>
      </c>
      <c r="J977" t="n">
        <v>0</v>
      </c>
      <c r="K977" t="n">
        <v>1</v>
      </c>
      <c r="L977" t="n">
        <v>1</v>
      </c>
      <c r="M977" t="n">
        <v>0</v>
      </c>
      <c r="N977" t="n">
        <v>0</v>
      </c>
      <c r="O977" t="n">
        <v>0</v>
      </c>
      <c r="P977" t="n">
        <v>0</v>
      </c>
      <c r="Q977" t="n">
        <v>1</v>
      </c>
      <c r="R977" t="n">
        <v>0</v>
      </c>
      <c r="S977" t="n">
        <v>2</v>
      </c>
      <c r="T977" t="n">
        <v>2</v>
      </c>
      <c r="U977" t="n">
        <v>0</v>
      </c>
      <c r="V977" s="2" t="inlineStr">
        <is>
          <t>Backnopping
Blodvaxing</t>
        </is>
      </c>
      <c r="W977">
        <f>HYPERLINK("https://klasma.github.io/Logging_2026/artfynd/A 16480-2026 artfynd.xlsx", "A 16480-2026")</f>
        <v/>
      </c>
      <c r="X977">
        <f>HYPERLINK("https://klasma.github.io/Logging_2026/kartor/A 16480-2026 karta.png", "A 16480-2026")</f>
        <v/>
      </c>
      <c r="Y977">
        <f>HYPERLINK("https://klasma.github.io/Logging_2026/kartor_geotiff/A 16480-2026 georefererad karta.tif", "A 16480-2026")</f>
        <v/>
      </c>
      <c r="AA977">
        <f>HYPERLINK("https://klasma.github.io/Logging_2026/klagomål/A 16480-2026 FSC-klagomål.docx", "A 16480-2026")</f>
        <v/>
      </c>
      <c r="AB977">
        <f>HYPERLINK("https://klasma.github.io/Logging_2026/klagomålsmail/A 16480-2026 FSC-klagomål mail.docx", "A 16480-2026")</f>
        <v/>
      </c>
      <c r="AC977">
        <f>HYPERLINK("https://klasma.github.io/Logging_2026/tillsyn/A 16480-2026 tillsynsbegäran.docx", "A 16480-2026")</f>
        <v/>
      </c>
      <c r="AD977">
        <f>HYPERLINK("https://klasma.github.io/Logging_2026/tillsynsmail/A 16480-2026 tillsynsbegäran mail.docx", "A 16480-2026")</f>
        <v/>
      </c>
    </row>
    <row r="978" ht="15" customHeight="1">
      <c r="A978" t="inlineStr">
        <is>
          <t>A 17672-2026</t>
        </is>
      </c>
      <c r="B978" t="inlineStr">
        <is>
          <t>avverkningsanmälan</t>
        </is>
      </c>
      <c r="C978" t="inlineStr">
        <is>
          <t>Avverkning för annat ändamål</t>
        </is>
      </c>
      <c r="D978" s="1" t="n">
        <v>46121</v>
      </c>
      <c r="E978" s="1" t="n">
        <v>46319</v>
      </c>
      <c r="F978" t="inlineStr">
        <is>
          <t>DALARNAS LÄN</t>
        </is>
      </c>
      <c r="G978" t="inlineStr">
        <is>
          <t>ÄLVDALEN</t>
        </is>
      </c>
      <c r="H978" t="inlineStr">
        <is>
          <t>Allmännings- och besparingsskogar</t>
        </is>
      </c>
      <c r="I978" t="n">
        <v>0.2</v>
      </c>
      <c r="J978" t="n">
        <v>1</v>
      </c>
      <c r="K978" t="n">
        <v>0</v>
      </c>
      <c r="L978" t="n">
        <v>1</v>
      </c>
      <c r="M978" t="n">
        <v>0</v>
      </c>
      <c r="N978" t="n">
        <v>0</v>
      </c>
      <c r="O978" t="n">
        <v>0</v>
      </c>
      <c r="P978" t="n">
        <v>0</v>
      </c>
      <c r="Q978" t="n">
        <v>1</v>
      </c>
      <c r="R978" t="n">
        <v>0</v>
      </c>
      <c r="S978" t="n">
        <v>2</v>
      </c>
      <c r="T978" t="n">
        <v>2</v>
      </c>
      <c r="U978" t="n">
        <v>0</v>
      </c>
      <c r="V978" s="2" t="inlineStr">
        <is>
          <t>Vedskivlav
Orre</t>
        </is>
      </c>
      <c r="W978">
        <f>HYPERLINK("https://klasma.github.io/Logging_2039/artfynd/A 17672-2026 artfynd.xlsx", "A 17672-2026")</f>
        <v/>
      </c>
      <c r="X978">
        <f>HYPERLINK("https://klasma.github.io/Logging_2039/kartor/A 17672-2026 karta.png", "A 17672-2026")</f>
        <v/>
      </c>
      <c r="Y978">
        <f>HYPERLINK("https://klasma.github.io/Logging_2039/kartor_geotiff/A 17672-2026 georefererad karta.tif", "A 17672-2026")</f>
        <v/>
      </c>
      <c r="AA978">
        <f>HYPERLINK("https://klasma.github.io/Logging_2039/klagomål/A 17672-2026 FSC-klagomål.docx", "A 17672-2026")</f>
        <v/>
      </c>
      <c r="AB978">
        <f>HYPERLINK("https://klasma.github.io/Logging_2039/klagomålsmail/A 17672-2026 FSC-klagomål mail.docx", "A 17672-2026")</f>
        <v/>
      </c>
      <c r="AC978">
        <f>HYPERLINK("https://klasma.github.io/Logging_2039/tillsyn/A 17672-2026 tillsynsbegäran.docx", "A 17672-2026")</f>
        <v/>
      </c>
      <c r="AD978">
        <f>HYPERLINK("https://klasma.github.io/Logging_2039/tillsynsmail/A 17672-2026 tillsynsbegäran mail.docx", "A 17672-2026")</f>
        <v/>
      </c>
      <c r="AE978">
        <f>HYPERLINK("https://klasma.github.io/Logging_2039/fåglar/A 17672-2026 prioriterade fågelarter.docx", "A 17672-2026")</f>
        <v/>
      </c>
    </row>
    <row r="979" ht="15" customHeight="1">
      <c r="A979" t="inlineStr">
        <is>
          <t>A 62161-2024</t>
        </is>
      </c>
      <c r="B979" t="inlineStr">
        <is>
          <t>avverkningsanmälan</t>
        </is>
      </c>
      <c r="C979" t="inlineStr">
        <is>
          <t>Föryngringsavverkning</t>
        </is>
      </c>
      <c r="D979" s="1" t="n">
        <v>45656</v>
      </c>
      <c r="E979" s="1" t="n">
        <v>46319</v>
      </c>
      <c r="F979" t="inlineStr">
        <is>
          <t>DALARNAS LÄN</t>
        </is>
      </c>
      <c r="G979" t="inlineStr">
        <is>
          <t>LEKSAND</t>
        </is>
      </c>
      <c r="I979" t="n">
        <v>2</v>
      </c>
      <c r="J979" t="n">
        <v>1</v>
      </c>
      <c r="K979" t="n">
        <v>2</v>
      </c>
      <c r="L979" t="n">
        <v>0</v>
      </c>
      <c r="M979" t="n">
        <v>0</v>
      </c>
      <c r="N979" t="n">
        <v>0</v>
      </c>
      <c r="O979" t="n">
        <v>0</v>
      </c>
      <c r="P979" t="n">
        <v>0</v>
      </c>
      <c r="Q979" t="n">
        <v>0</v>
      </c>
      <c r="R979" t="n">
        <v>0</v>
      </c>
      <c r="S979" t="n">
        <v>2</v>
      </c>
      <c r="T979" t="n">
        <v>2</v>
      </c>
      <c r="U979" t="n">
        <v>0</v>
      </c>
      <c r="V979" s="2" t="inlineStr">
        <is>
          <t>Kambräken
Korallrot</t>
        </is>
      </c>
      <c r="W979">
        <f>HYPERLINK("https://klasma.github.io/Logging_2029/artfynd/A 62161-2024 artfynd.xlsx", "A 62161-2024")</f>
        <v/>
      </c>
      <c r="X979">
        <f>HYPERLINK("https://klasma.github.io/Logging_2029/kartor/A 62161-2024 karta.png", "A 62161-2024")</f>
        <v/>
      </c>
      <c r="Y979">
        <f>HYPERLINK("https://klasma.github.io/Logging_2029/kartor_geotiff/A 62161-2024 georefererad karta.tif", "A 62161-2024")</f>
        <v/>
      </c>
      <c r="AA979">
        <f>HYPERLINK("https://klasma.github.io/Logging_2029/klagomål/A 62161-2024 FSC-klagomål.docx", "A 62161-2024")</f>
        <v/>
      </c>
      <c r="AB979">
        <f>HYPERLINK("https://klasma.github.io/Logging_2029/klagomålsmail/A 62161-2024 FSC-klagomål mail.docx", "A 62161-2024")</f>
        <v/>
      </c>
      <c r="AC979">
        <f>HYPERLINK("https://klasma.github.io/Logging_2029/tillsyn/A 62161-2024 tillsynsbegäran.docx", "A 62161-2024")</f>
        <v/>
      </c>
      <c r="AD979">
        <f>HYPERLINK("https://klasma.github.io/Logging_2029/tillsynsmail/A 62161-2024 tillsynsbegäran mail.docx", "A 62161-2024")</f>
        <v/>
      </c>
    </row>
    <row r="980" ht="15" customHeight="1">
      <c r="A980" t="inlineStr">
        <is>
          <t>A 29128-2025</t>
        </is>
      </c>
      <c r="B980" t="inlineStr">
        <is>
          <t>avverkningsanmälan</t>
        </is>
      </c>
      <c r="C980" t="inlineStr">
        <is>
          <t>Föryngringsavverkning</t>
        </is>
      </c>
      <c r="D980" s="1" t="n">
        <v>45821</v>
      </c>
      <c r="E980" s="1" t="n">
        <v>46319</v>
      </c>
      <c r="F980" t="inlineStr">
        <is>
          <t>DALARNAS LÄN</t>
        </is>
      </c>
      <c r="G980" t="inlineStr">
        <is>
          <t>HEDEMORA</t>
        </is>
      </c>
      <c r="H980" t="inlineStr">
        <is>
          <t>Sveaskog</t>
        </is>
      </c>
      <c r="I980" t="n">
        <v>15.5</v>
      </c>
      <c r="J980" t="n">
        <v>2</v>
      </c>
      <c r="K980" t="n">
        <v>0</v>
      </c>
      <c r="L980" t="n">
        <v>0</v>
      </c>
      <c r="M980" t="n">
        <v>0</v>
      </c>
      <c r="N980" t="n">
        <v>0</v>
      </c>
      <c r="O980" t="n">
        <v>0</v>
      </c>
      <c r="P980" t="n">
        <v>0</v>
      </c>
      <c r="Q980" t="n">
        <v>0</v>
      </c>
      <c r="R980" t="n">
        <v>0</v>
      </c>
      <c r="S980" t="n">
        <v>2</v>
      </c>
      <c r="T980" t="n">
        <v>2</v>
      </c>
      <c r="U980" t="n">
        <v>2</v>
      </c>
      <c r="V980" s="2" t="inlineStr">
        <is>
          <t>Gråspett
Tjäder</t>
        </is>
      </c>
      <c r="W980">
        <f>HYPERLINK("https://klasma.github.io/Logging_2083/artfynd/A 29128-2025 artfynd.xlsx", "A 29128-2025")</f>
        <v/>
      </c>
      <c r="X980">
        <f>HYPERLINK("https://klasma.github.io/Logging_2083/kartor/A 29128-2025 karta.png", "A 29128-2025")</f>
        <v/>
      </c>
      <c r="Y980">
        <f>HYPERLINK("https://klasma.github.io/Logging_2083/kartor_geotiff/A 29128-2025 georefererad karta.tif", "A 29128-2025")</f>
        <v/>
      </c>
      <c r="AA980">
        <f>HYPERLINK("https://klasma.github.io/Logging_2083/klagomål/A 29128-2025 FSC-klagomål.docx", "A 29128-2025")</f>
        <v/>
      </c>
      <c r="AB980">
        <f>HYPERLINK("https://klasma.github.io/Logging_2083/klagomålsmail/A 29128-2025 FSC-klagomål mail.docx", "A 29128-2025")</f>
        <v/>
      </c>
      <c r="AC980">
        <f>HYPERLINK("https://klasma.github.io/Logging_2083/tillsyn/A 29128-2025 tillsynsbegäran.docx", "A 29128-2025")</f>
        <v/>
      </c>
      <c r="AD980">
        <f>HYPERLINK("https://klasma.github.io/Logging_2083/tillsynsmail/A 29128-2025 tillsynsbegäran mail.docx", "A 29128-2025")</f>
        <v/>
      </c>
      <c r="AE980">
        <f>HYPERLINK("https://klasma.github.io/Logging_2083/fåglar/A 29128-2025 prioriterade fågelarter.docx", "A 29128-2025")</f>
        <v/>
      </c>
    </row>
    <row r="981" ht="15" customHeight="1">
      <c r="A981" t="inlineStr">
        <is>
          <t>A 18031-2026</t>
        </is>
      </c>
      <c r="B981" t="inlineStr">
        <is>
          <t>avverkningsanmälan</t>
        </is>
      </c>
      <c r="C981" t="inlineStr">
        <is>
          <t>Föryngringsavverkning</t>
        </is>
      </c>
      <c r="D981" s="1" t="n">
        <v>46125</v>
      </c>
      <c r="E981" s="1" t="n">
        <v>46319</v>
      </c>
      <c r="F981" t="inlineStr">
        <is>
          <t>DALARNAS LÄN</t>
        </is>
      </c>
      <c r="G981" t="inlineStr">
        <is>
          <t>FALUN</t>
        </is>
      </c>
      <c r="H981" t="inlineStr">
        <is>
          <t>Bergvik skog väst AB</t>
        </is>
      </c>
      <c r="I981" t="n">
        <v>9.1</v>
      </c>
      <c r="J981" t="n">
        <v>0</v>
      </c>
      <c r="K981" t="n">
        <v>1</v>
      </c>
      <c r="L981" t="n">
        <v>1</v>
      </c>
      <c r="M981" t="n">
        <v>0</v>
      </c>
      <c r="N981" t="n">
        <v>0</v>
      </c>
      <c r="O981" t="n">
        <v>0</v>
      </c>
      <c r="P981" t="n">
        <v>0</v>
      </c>
      <c r="Q981" t="n">
        <v>1</v>
      </c>
      <c r="R981" t="n">
        <v>0</v>
      </c>
      <c r="S981" t="n">
        <v>2</v>
      </c>
      <c r="T981" t="n">
        <v>3</v>
      </c>
      <c r="U981" t="n">
        <v>3</v>
      </c>
      <c r="V981" s="2" t="inlineStr">
        <is>
          <t>Slät tallkapuschongbagge
Mindre märgborre</t>
        </is>
      </c>
      <c r="W981">
        <f>HYPERLINK("https://klasma.github.io/Logging_2080/artfynd/A 18031-2026 artfynd.xlsx", "A 18031-2026")</f>
        <v/>
      </c>
      <c r="X981">
        <f>HYPERLINK("https://klasma.github.io/Logging_2080/kartor/A 18031-2026 karta.png", "A 18031-2026")</f>
        <v/>
      </c>
      <c r="Y981">
        <f>HYPERLINK("https://klasma.github.io/Logging_2080/kartor_geotiff/A 18031-2026 georefererad karta.tif", "A 18031-2026")</f>
        <v/>
      </c>
      <c r="AA981">
        <f>HYPERLINK("https://klasma.github.io/Logging_2080/klagomål/A 18031-2026 FSC-klagomål.docx", "A 18031-2026")</f>
        <v/>
      </c>
      <c r="AB981">
        <f>HYPERLINK("https://klasma.github.io/Logging_2080/klagomålsmail/A 18031-2026 FSC-klagomål mail.docx", "A 18031-2026")</f>
        <v/>
      </c>
      <c r="AC981">
        <f>HYPERLINK("https://klasma.github.io/Logging_2080/tillsyn/A 18031-2026 tillsynsbegäran.docx", "A 18031-2026")</f>
        <v/>
      </c>
      <c r="AD981">
        <f>HYPERLINK("https://klasma.github.io/Logging_2080/tillsynsmail/A 18031-2026 tillsynsbegäran mail.docx", "A 18031-2026")</f>
        <v/>
      </c>
    </row>
    <row r="982" ht="15" customHeight="1">
      <c r="A982" t="inlineStr">
        <is>
          <t>A 1688-2022</t>
        </is>
      </c>
      <c r="B982" t="inlineStr">
        <is>
          <t>avverkningsanmälan</t>
        </is>
      </c>
      <c r="C982" t="inlineStr">
        <is>
          <t>Föryngringsavverkning</t>
        </is>
      </c>
      <c r="D982" s="1" t="n">
        <v>44574</v>
      </c>
      <c r="E982" s="1" t="n">
        <v>46319</v>
      </c>
      <c r="F982" t="inlineStr">
        <is>
          <t>DALARNAS LÄN</t>
        </is>
      </c>
      <c r="G982" t="inlineStr">
        <is>
          <t>AVESTA</t>
        </is>
      </c>
      <c r="I982" t="n">
        <v>10</v>
      </c>
      <c r="J982" t="n">
        <v>2</v>
      </c>
      <c r="K982" t="n">
        <v>0</v>
      </c>
      <c r="L982" t="n">
        <v>0</v>
      </c>
      <c r="M982" t="n">
        <v>1</v>
      </c>
      <c r="N982" t="n">
        <v>0</v>
      </c>
      <c r="O982" t="n">
        <v>0</v>
      </c>
      <c r="P982" t="n">
        <v>0</v>
      </c>
      <c r="Q982" t="n">
        <v>1</v>
      </c>
      <c r="R982" t="n">
        <v>1</v>
      </c>
      <c r="S982" t="n">
        <v>2</v>
      </c>
      <c r="T982" t="n">
        <v>22</v>
      </c>
      <c r="U982" t="n">
        <v>22</v>
      </c>
      <c r="V982" s="2" t="inlineStr">
        <is>
          <t>Knärot
Spillkråka</t>
        </is>
      </c>
      <c r="W982">
        <f>HYPERLINK("https://klasma.github.io/Logging_2084/artfynd/A 1688-2022 artfynd.xlsx", "A 1688-2022")</f>
        <v/>
      </c>
      <c r="X982">
        <f>HYPERLINK("https://klasma.github.io/Logging_2084/kartor/A 1688-2022 karta.png", "A 1688-2022")</f>
        <v/>
      </c>
      <c r="Y982">
        <f>HYPERLINK("https://klasma.github.io/Logging_2084/kartor_geotiff/A 1688-2022 georefererad karta.tif", "A 1688-2022")</f>
        <v/>
      </c>
      <c r="Z982">
        <f>HYPERLINK("https://klasma.github.io/Logging_2084/knärot/A 1688-2022 karta knärot.png", "A 1688-2022")</f>
        <v/>
      </c>
      <c r="AA982">
        <f>HYPERLINK("https://klasma.github.io/Logging_2084/klagomål/A 1688-2022 FSC-klagomål.docx", "A 1688-2022")</f>
        <v/>
      </c>
      <c r="AB982">
        <f>HYPERLINK("https://klasma.github.io/Logging_2084/klagomålsmail/A 1688-2022 FSC-klagomål mail.docx", "A 1688-2022")</f>
        <v/>
      </c>
      <c r="AC982">
        <f>HYPERLINK("https://klasma.github.io/Logging_2084/tillsyn/A 1688-2022 tillsynsbegäran.docx", "A 1688-2022")</f>
        <v/>
      </c>
      <c r="AD982">
        <f>HYPERLINK("https://klasma.github.io/Logging_2084/tillsynsmail/A 1688-2022 tillsynsbegäran mail.docx", "A 1688-2022")</f>
        <v/>
      </c>
      <c r="AE982">
        <f>HYPERLINK("https://klasma.github.io/Logging_2084/fåglar/A 1688-2022 prioriterade fågelarter.docx", "A 1688-2022")</f>
        <v/>
      </c>
    </row>
    <row r="983" ht="15" customHeight="1">
      <c r="A983" t="inlineStr">
        <is>
          <t>A 29792-2025</t>
        </is>
      </c>
      <c r="B983" t="inlineStr">
        <is>
          <t>avverkningsanmälan</t>
        </is>
      </c>
      <c r="C983" t="inlineStr">
        <is>
          <t>Föryngringsavverkning</t>
        </is>
      </c>
      <c r="D983" s="1" t="n">
        <v>45825</v>
      </c>
      <c r="E983" s="1" t="n">
        <v>46319</v>
      </c>
      <c r="F983" t="inlineStr">
        <is>
          <t>DALARNAS LÄN</t>
        </is>
      </c>
      <c r="G983" t="inlineStr">
        <is>
          <t>HEDEMORA</t>
        </is>
      </c>
      <c r="H983" t="inlineStr">
        <is>
          <t>Sveaskog</t>
        </is>
      </c>
      <c r="I983" t="n">
        <v>26.3</v>
      </c>
      <c r="J983" t="n">
        <v>2</v>
      </c>
      <c r="K983" t="n">
        <v>0</v>
      </c>
      <c r="L983" t="n">
        <v>1</v>
      </c>
      <c r="M983" t="n">
        <v>0</v>
      </c>
      <c r="N983" t="n">
        <v>0</v>
      </c>
      <c r="O983" t="n">
        <v>0</v>
      </c>
      <c r="P983" t="n">
        <v>0</v>
      </c>
      <c r="Q983" t="n">
        <v>1</v>
      </c>
      <c r="R983" t="n">
        <v>0</v>
      </c>
      <c r="S983" t="n">
        <v>2</v>
      </c>
      <c r="T983" t="n">
        <v>2</v>
      </c>
      <c r="U983" t="n">
        <v>2</v>
      </c>
      <c r="V983" s="2" t="inlineStr">
        <is>
          <t>Entita
Tjäder</t>
        </is>
      </c>
      <c r="W983">
        <f>HYPERLINK("https://klasma.github.io/Logging_2083/artfynd/A 29792-2025 artfynd.xlsx", "A 29792-2025")</f>
        <v/>
      </c>
      <c r="X983">
        <f>HYPERLINK("https://klasma.github.io/Logging_2083/kartor/A 29792-2025 karta.png", "A 29792-2025")</f>
        <v/>
      </c>
      <c r="Y983">
        <f>HYPERLINK("https://klasma.github.io/Logging_2083/kartor_geotiff/A 29792-2025 georefererad karta.tif", "A 29792-2025")</f>
        <v/>
      </c>
      <c r="AA983">
        <f>HYPERLINK("https://klasma.github.io/Logging_2083/klagomål/A 29792-2025 FSC-klagomål.docx", "A 29792-2025")</f>
        <v/>
      </c>
      <c r="AB983">
        <f>HYPERLINK("https://klasma.github.io/Logging_2083/klagomålsmail/A 29792-2025 FSC-klagomål mail.docx", "A 29792-2025")</f>
        <v/>
      </c>
      <c r="AC983">
        <f>HYPERLINK("https://klasma.github.io/Logging_2083/tillsyn/A 29792-2025 tillsynsbegäran.docx", "A 29792-2025")</f>
        <v/>
      </c>
      <c r="AD983">
        <f>HYPERLINK("https://klasma.github.io/Logging_2083/tillsynsmail/A 29792-2025 tillsynsbegäran mail.docx", "A 29792-2025")</f>
        <v/>
      </c>
      <c r="AE983">
        <f>HYPERLINK("https://klasma.github.io/Logging_2083/fåglar/A 29792-2025 prioriterade fågelarter.docx", "A 29792-2025")</f>
        <v/>
      </c>
    </row>
    <row r="984" ht="15" customHeight="1">
      <c r="A984" t="inlineStr">
        <is>
          <t>A 1518-2025</t>
        </is>
      </c>
      <c r="B984" t="inlineStr">
        <is>
          <t>avverkningsanmälan</t>
        </is>
      </c>
      <c r="C984" t="inlineStr">
        <is>
          <t>Föryngringsavverkning</t>
        </is>
      </c>
      <c r="D984" s="1" t="n">
        <v>45670</v>
      </c>
      <c r="E984" s="1" t="n">
        <v>46319</v>
      </c>
      <c r="F984" t="inlineStr">
        <is>
          <t>DALARNAS LÄN</t>
        </is>
      </c>
      <c r="G984" t="inlineStr">
        <is>
          <t>HEDEMORA</t>
        </is>
      </c>
      <c r="I984" t="n">
        <v>3.8</v>
      </c>
      <c r="J984" t="n">
        <v>1</v>
      </c>
      <c r="K984" t="n">
        <v>0</v>
      </c>
      <c r="L984" t="n">
        <v>1</v>
      </c>
      <c r="M984" t="n">
        <v>1</v>
      </c>
      <c r="N984" t="n">
        <v>0</v>
      </c>
      <c r="O984" t="n">
        <v>0</v>
      </c>
      <c r="P984" t="n">
        <v>0</v>
      </c>
      <c r="Q984" t="n">
        <v>2</v>
      </c>
      <c r="R984" t="n">
        <v>1</v>
      </c>
      <c r="S984" t="n">
        <v>2</v>
      </c>
      <c r="T984" t="n">
        <v>8</v>
      </c>
      <c r="U984" t="n">
        <v>0</v>
      </c>
      <c r="V984" s="2" t="inlineStr">
        <is>
          <t>Knärot
Ullticka</t>
        </is>
      </c>
      <c r="W984">
        <f>HYPERLINK("https://klasma.github.io/Logging_2083/artfynd/A 1518-2025 artfynd.xlsx", "A 1518-2025")</f>
        <v/>
      </c>
      <c r="X984">
        <f>HYPERLINK("https://klasma.github.io/Logging_2083/kartor/A 1518-2025 karta.png", "A 1518-2025")</f>
        <v/>
      </c>
      <c r="Y984">
        <f>HYPERLINK("https://klasma.github.io/Logging_2083/kartor_geotiff/A 1518-2025 georefererad karta.tif", "A 1518-2025")</f>
        <v/>
      </c>
      <c r="Z984">
        <f>HYPERLINK("https://klasma.github.io/Logging_2083/knärot/A 1518-2025 karta knärot.png", "A 1518-2025")</f>
        <v/>
      </c>
      <c r="AA984">
        <f>HYPERLINK("https://klasma.github.io/Logging_2083/klagomål/A 1518-2025 FSC-klagomål.docx", "A 1518-2025")</f>
        <v/>
      </c>
      <c r="AB984">
        <f>HYPERLINK("https://klasma.github.io/Logging_2083/klagomålsmail/A 1518-2025 FSC-klagomål mail.docx", "A 1518-2025")</f>
        <v/>
      </c>
      <c r="AC984">
        <f>HYPERLINK("https://klasma.github.io/Logging_2083/tillsyn/A 1518-2025 tillsynsbegäran.docx", "A 1518-2025")</f>
        <v/>
      </c>
      <c r="AD984">
        <f>HYPERLINK("https://klasma.github.io/Logging_2083/tillsynsmail/A 1518-2025 tillsynsbegäran mail.docx", "A 1518-2025")</f>
        <v/>
      </c>
    </row>
    <row r="985" ht="15" customHeight="1">
      <c r="A985" t="inlineStr">
        <is>
          <t>A 8202-2025</t>
        </is>
      </c>
      <c r="B985" t="inlineStr">
        <is>
          <t>avverkningsanmälan</t>
        </is>
      </c>
      <c r="C985" t="inlineStr">
        <is>
          <t>Föryngringsavverkning</t>
        </is>
      </c>
      <c r="D985" s="1" t="n">
        <v>45708</v>
      </c>
      <c r="E985" s="1" t="n">
        <v>46319</v>
      </c>
      <c r="F985" t="inlineStr">
        <is>
          <t>DALARNAS LÄN</t>
        </is>
      </c>
      <c r="G985" t="inlineStr">
        <is>
          <t>LUDVIKA</t>
        </is>
      </c>
      <c r="I985" t="n">
        <v>6.4</v>
      </c>
      <c r="J985" t="n">
        <v>2</v>
      </c>
      <c r="K985" t="n">
        <v>0</v>
      </c>
      <c r="L985" t="n">
        <v>1</v>
      </c>
      <c r="M985" t="n">
        <v>0</v>
      </c>
      <c r="N985" t="n">
        <v>0</v>
      </c>
      <c r="O985" t="n">
        <v>0</v>
      </c>
      <c r="P985" t="n">
        <v>0</v>
      </c>
      <c r="Q985" t="n">
        <v>1</v>
      </c>
      <c r="R985" t="n">
        <v>0</v>
      </c>
      <c r="S985" t="n">
        <v>2</v>
      </c>
      <c r="T985" t="n">
        <v>7</v>
      </c>
      <c r="U985" t="n">
        <v>7</v>
      </c>
      <c r="V985" s="2" t="inlineStr">
        <is>
          <t>Tretåig hackspett
Spillkråka</t>
        </is>
      </c>
      <c r="W985">
        <f>HYPERLINK("https://klasma.github.io/Logging_2085/artfynd/A 8202-2025 artfynd.xlsx", "A 8202-2025")</f>
        <v/>
      </c>
      <c r="X985">
        <f>HYPERLINK("https://klasma.github.io/Logging_2085/kartor/A 8202-2025 karta.png", "A 8202-2025")</f>
        <v/>
      </c>
      <c r="Y985">
        <f>HYPERLINK("https://klasma.github.io/Logging_2085/kartor_geotiff/A 8202-2025 georefererad karta.tif", "A 8202-2025")</f>
        <v/>
      </c>
      <c r="AA985">
        <f>HYPERLINK("https://klasma.github.io/Logging_2085/klagomål/A 8202-2025 FSC-klagomål.docx", "A 8202-2025")</f>
        <v/>
      </c>
      <c r="AB985">
        <f>HYPERLINK("https://klasma.github.io/Logging_2085/klagomålsmail/A 8202-2025 FSC-klagomål mail.docx", "A 8202-2025")</f>
        <v/>
      </c>
      <c r="AC985">
        <f>HYPERLINK("https://klasma.github.io/Logging_2085/tillsyn/A 8202-2025 tillsynsbegäran.docx", "A 8202-2025")</f>
        <v/>
      </c>
      <c r="AD985">
        <f>HYPERLINK("https://klasma.github.io/Logging_2085/tillsynsmail/A 8202-2025 tillsynsbegäran mail.docx", "A 8202-2025")</f>
        <v/>
      </c>
      <c r="AE985">
        <f>HYPERLINK("https://klasma.github.io/Logging_2085/fåglar/A 8202-2025 prioriterade fågelarter.docx", "A 8202-2025")</f>
        <v/>
      </c>
    </row>
    <row r="986" ht="15" customHeight="1">
      <c r="A986" t="inlineStr">
        <is>
          <t>A 11755-2023</t>
        </is>
      </c>
      <c r="B986" t="inlineStr">
        <is>
          <t>avverkningsanmälan</t>
        </is>
      </c>
      <c r="C986" t="inlineStr">
        <is>
          <t>Föryngringsavverkning</t>
        </is>
      </c>
      <c r="D986" s="1" t="n">
        <v>44994</v>
      </c>
      <c r="E986" s="1" t="n">
        <v>46319</v>
      </c>
      <c r="F986" t="inlineStr">
        <is>
          <t>DALARNAS LÄN</t>
        </is>
      </c>
      <c r="G986" t="inlineStr">
        <is>
          <t>LUDVIKA</t>
        </is>
      </c>
      <c r="H986" t="inlineStr">
        <is>
          <t>Övriga Aktiebolag</t>
        </is>
      </c>
      <c r="I986" t="n">
        <v>7</v>
      </c>
      <c r="J986" t="n">
        <v>1</v>
      </c>
      <c r="K986" t="n">
        <v>0</v>
      </c>
      <c r="L986" t="n">
        <v>0</v>
      </c>
      <c r="M986" t="n">
        <v>1</v>
      </c>
      <c r="N986" t="n">
        <v>0</v>
      </c>
      <c r="O986" t="n">
        <v>0</v>
      </c>
      <c r="P986" t="n">
        <v>0</v>
      </c>
      <c r="Q986" t="n">
        <v>1</v>
      </c>
      <c r="R986" t="n">
        <v>1</v>
      </c>
      <c r="S986" t="n">
        <v>2</v>
      </c>
      <c r="T986" t="n">
        <v>2</v>
      </c>
      <c r="U986" t="n">
        <v>2</v>
      </c>
      <c r="V986" s="2" t="inlineStr">
        <is>
          <t>Garnlav
Spillkråka</t>
        </is>
      </c>
      <c r="W986">
        <f>HYPERLINK("https://klasma.github.io/Logging_2085/artfynd/A 11755-2023 artfynd.xlsx", "A 11755-2023")</f>
        <v/>
      </c>
      <c r="X986">
        <f>HYPERLINK("https://klasma.github.io/Logging_2085/kartor/A 11755-2023 karta.png", "A 11755-2023")</f>
        <v/>
      </c>
      <c r="Y986">
        <f>HYPERLINK("https://klasma.github.io/Logging_2085/kartor_geotiff/A 11755-2023 georefererad karta.tif", "A 11755-2023")</f>
        <v/>
      </c>
      <c r="AA986">
        <f>HYPERLINK("https://klasma.github.io/Logging_2085/klagomål/A 11755-2023 FSC-klagomål.docx", "A 11755-2023")</f>
        <v/>
      </c>
      <c r="AB986">
        <f>HYPERLINK("https://klasma.github.io/Logging_2085/klagomålsmail/A 11755-2023 FSC-klagomål mail.docx", "A 11755-2023")</f>
        <v/>
      </c>
      <c r="AC986">
        <f>HYPERLINK("https://klasma.github.io/Logging_2085/tillsyn/A 11755-2023 tillsynsbegäran.docx", "A 11755-2023")</f>
        <v/>
      </c>
      <c r="AD986">
        <f>HYPERLINK("https://klasma.github.io/Logging_2085/tillsynsmail/A 11755-2023 tillsynsbegäran mail.docx", "A 11755-2023")</f>
        <v/>
      </c>
      <c r="AE986">
        <f>HYPERLINK("https://klasma.github.io/Logging_2085/fåglar/A 11755-2023 prioriterade fågelarter.docx", "A 11755-2023")</f>
        <v/>
      </c>
    </row>
    <row r="987" ht="15" customHeight="1">
      <c r="A987" t="inlineStr">
        <is>
          <t>A 33201-2026</t>
        </is>
      </c>
      <c r="B987" t="inlineStr">
        <is>
          <t>avverkningsanmälan</t>
        </is>
      </c>
      <c r="C987" t="inlineStr">
        <is>
          <t>Föryngringsavverkning</t>
        </is>
      </c>
      <c r="D987" s="1" t="n">
        <v>46246</v>
      </c>
      <c r="E987" s="1" t="n">
        <v>46319</v>
      </c>
      <c r="F987" t="inlineStr">
        <is>
          <t>DALARNAS LÄN</t>
        </is>
      </c>
      <c r="G987" t="inlineStr">
        <is>
          <t>AVESTA</t>
        </is>
      </c>
      <c r="H987" t="inlineStr">
        <is>
          <t>Sveaskog</t>
        </is>
      </c>
      <c r="I987" t="n">
        <v>2.3</v>
      </c>
      <c r="J987" t="n">
        <v>2</v>
      </c>
      <c r="K987" t="n">
        <v>0</v>
      </c>
      <c r="L987" t="n">
        <v>1</v>
      </c>
      <c r="M987" t="n">
        <v>0</v>
      </c>
      <c r="N987" t="n">
        <v>0</v>
      </c>
      <c r="O987" t="n">
        <v>0</v>
      </c>
      <c r="P987" t="n">
        <v>0</v>
      </c>
      <c r="Q987" t="n">
        <v>1</v>
      </c>
      <c r="R987" t="n">
        <v>0</v>
      </c>
      <c r="S987" t="n">
        <v>2</v>
      </c>
      <c r="T987" t="n">
        <v>2</v>
      </c>
      <c r="U987" t="n">
        <v>0</v>
      </c>
      <c r="V987" s="2" t="inlineStr">
        <is>
          <t>Nordfladdermus
Revlummer</t>
        </is>
      </c>
      <c r="W987">
        <f>HYPERLINK("https://klasma.github.io/Logging_2084/artfynd/A 33201-2026 artfynd.xlsx", "A 33201-2026")</f>
        <v/>
      </c>
      <c r="X987">
        <f>HYPERLINK("https://klasma.github.io/Logging_2084/kartor/A 33201-2026 karta.png", "A 33201-2026")</f>
        <v/>
      </c>
      <c r="Y987">
        <f>HYPERLINK("https://klasma.github.io/Logging_2084/kartor_geotiff/A 33201-2026 georefererad karta.tif", "A 33201-2026")</f>
        <v/>
      </c>
      <c r="AA987">
        <f>HYPERLINK("https://klasma.github.io/Logging_2084/klagomål/A 33201-2026 FSC-klagomål.docx", "A 33201-2026")</f>
        <v/>
      </c>
      <c r="AB987">
        <f>HYPERLINK("https://klasma.github.io/Logging_2084/klagomålsmail/A 33201-2026 FSC-klagomål mail.docx", "A 33201-2026")</f>
        <v/>
      </c>
      <c r="AC987">
        <f>HYPERLINK("https://klasma.github.io/Logging_2084/tillsyn/A 33201-2026 tillsynsbegäran.docx", "A 33201-2026")</f>
        <v/>
      </c>
      <c r="AD987">
        <f>HYPERLINK("https://klasma.github.io/Logging_2084/tillsynsmail/A 33201-2026 tillsynsbegäran mail.docx", "A 33201-2026")</f>
        <v/>
      </c>
    </row>
    <row r="988" ht="15" customHeight="1">
      <c r="A988" t="inlineStr">
        <is>
          <t>A 18692-2026</t>
        </is>
      </c>
      <c r="B988" t="inlineStr">
        <is>
          <t>avverkningsanmälan</t>
        </is>
      </c>
      <c r="C988" t="inlineStr">
        <is>
          <t>Föryngringsavverkning</t>
        </is>
      </c>
      <c r="D988" s="1" t="n">
        <v>46128</v>
      </c>
      <c r="E988" s="1" t="n">
        <v>46319</v>
      </c>
      <c r="F988" t="inlineStr">
        <is>
          <t>DALARNAS LÄN</t>
        </is>
      </c>
      <c r="G988" t="inlineStr">
        <is>
          <t>ORSA</t>
        </is>
      </c>
      <c r="I988" t="n">
        <v>3.3</v>
      </c>
      <c r="J988" t="n">
        <v>1</v>
      </c>
      <c r="K988" t="n">
        <v>1</v>
      </c>
      <c r="L988" t="n">
        <v>0</v>
      </c>
      <c r="M988" t="n">
        <v>0</v>
      </c>
      <c r="N988" t="n">
        <v>0</v>
      </c>
      <c r="O988" t="n">
        <v>0</v>
      </c>
      <c r="P988" t="n">
        <v>0</v>
      </c>
      <c r="Q988" t="n">
        <v>0</v>
      </c>
      <c r="R988" t="n">
        <v>0</v>
      </c>
      <c r="S988" t="n">
        <v>2</v>
      </c>
      <c r="T988" t="n">
        <v>3</v>
      </c>
      <c r="U988" t="n">
        <v>3</v>
      </c>
      <c r="V988" s="2" t="inlineStr">
        <is>
          <t>Mindre märgborre
Tjäder</t>
        </is>
      </c>
      <c r="W988">
        <f>HYPERLINK("https://klasma.github.io/Logging_2034/artfynd/A 18692-2026 artfynd.xlsx", "A 18692-2026")</f>
        <v/>
      </c>
      <c r="X988">
        <f>HYPERLINK("https://klasma.github.io/Logging_2034/kartor/A 18692-2026 karta.png", "A 18692-2026")</f>
        <v/>
      </c>
      <c r="Y988">
        <f>HYPERLINK("https://klasma.github.io/Logging_2034/kartor_geotiff/A 18692-2026 georefererad karta.tif", "A 18692-2026")</f>
        <v/>
      </c>
      <c r="AA988">
        <f>HYPERLINK("https://klasma.github.io/Logging_2034/klagomål/A 18692-2026 FSC-klagomål.docx", "A 18692-2026")</f>
        <v/>
      </c>
      <c r="AB988">
        <f>HYPERLINK("https://klasma.github.io/Logging_2034/klagomålsmail/A 18692-2026 FSC-klagomål mail.docx", "A 18692-2026")</f>
        <v/>
      </c>
      <c r="AC988">
        <f>HYPERLINK("https://klasma.github.io/Logging_2034/tillsyn/A 18692-2026 tillsynsbegäran.docx", "A 18692-2026")</f>
        <v/>
      </c>
      <c r="AD988">
        <f>HYPERLINK("https://klasma.github.io/Logging_2034/tillsynsmail/A 18692-2026 tillsynsbegäran mail.docx", "A 18692-2026")</f>
        <v/>
      </c>
      <c r="AE988">
        <f>HYPERLINK("https://klasma.github.io/Logging_2034/fåglar/A 18692-2026 prioriterade fågelarter.docx", "A 18692-2026")</f>
        <v/>
      </c>
    </row>
    <row r="989" ht="15" customHeight="1">
      <c r="A989" t="inlineStr">
        <is>
          <t>A 19656-2026</t>
        </is>
      </c>
      <c r="B989" t="inlineStr">
        <is>
          <t>avverkningsanmälan</t>
        </is>
      </c>
      <c r="C989" t="inlineStr">
        <is>
          <t>Föryngringsavverkning</t>
        </is>
      </c>
      <c r="D989" s="1" t="n">
        <v>46134</v>
      </c>
      <c r="E989" s="1" t="n">
        <v>46319</v>
      </c>
      <c r="F989" t="inlineStr">
        <is>
          <t>DALARNAS LÄN</t>
        </is>
      </c>
      <c r="G989" t="inlineStr">
        <is>
          <t>VANSBRO</t>
        </is>
      </c>
      <c r="H989" t="inlineStr">
        <is>
          <t>Bergvik skog väst AB</t>
        </is>
      </c>
      <c r="I989" t="n">
        <v>18.2</v>
      </c>
      <c r="J989" t="n">
        <v>0</v>
      </c>
      <c r="K989" t="n">
        <v>0</v>
      </c>
      <c r="L989" t="n">
        <v>1</v>
      </c>
      <c r="M989" t="n">
        <v>1</v>
      </c>
      <c r="N989" t="n">
        <v>0</v>
      </c>
      <c r="O989" t="n">
        <v>0</v>
      </c>
      <c r="P989" t="n">
        <v>0</v>
      </c>
      <c r="Q989" t="n">
        <v>2</v>
      </c>
      <c r="R989" t="n">
        <v>1</v>
      </c>
      <c r="S989" t="n">
        <v>2</v>
      </c>
      <c r="T989" t="n">
        <v>2</v>
      </c>
      <c r="U989" t="n">
        <v>0</v>
      </c>
      <c r="V989" s="2" t="inlineStr">
        <is>
          <t>Ängsblåvinge
Berggräsfjäril</t>
        </is>
      </c>
      <c r="W989">
        <f>HYPERLINK("https://klasma.github.io/Logging_2021/artfynd/A 19656-2026 artfynd.xlsx", "A 19656-2026")</f>
        <v/>
      </c>
      <c r="X989">
        <f>HYPERLINK("https://klasma.github.io/Logging_2021/kartor/A 19656-2026 karta.png", "A 19656-2026")</f>
        <v/>
      </c>
      <c r="Y989">
        <f>HYPERLINK("https://klasma.github.io/Logging_2021/kartor_geotiff/A 19656-2026 georefererad karta.tif", "A 19656-2026")</f>
        <v/>
      </c>
      <c r="AA989">
        <f>HYPERLINK("https://klasma.github.io/Logging_2021/klagomål/A 19656-2026 FSC-klagomål.docx", "A 19656-2026")</f>
        <v/>
      </c>
      <c r="AB989">
        <f>HYPERLINK("https://klasma.github.io/Logging_2021/klagomålsmail/A 19656-2026 FSC-klagomål mail.docx", "A 19656-2026")</f>
        <v/>
      </c>
      <c r="AC989">
        <f>HYPERLINK("https://klasma.github.io/Logging_2021/tillsyn/A 19656-2026 tillsynsbegäran.docx", "A 19656-2026")</f>
        <v/>
      </c>
      <c r="AD989">
        <f>HYPERLINK("https://klasma.github.io/Logging_2021/tillsynsmail/A 19656-2026 tillsynsbegäran mail.docx", "A 19656-2026")</f>
        <v/>
      </c>
    </row>
    <row r="990" ht="15" customHeight="1">
      <c r="A990" t="inlineStr">
        <is>
          <t>A 41873-2022</t>
        </is>
      </c>
      <c r="B990" t="inlineStr">
        <is>
          <t>avverkningsanmälan</t>
        </is>
      </c>
      <c r="C990" t="inlineStr">
        <is>
          <t>Föryngringsavverkning</t>
        </is>
      </c>
      <c r="D990" s="1" t="n">
        <v>44829</v>
      </c>
      <c r="E990" s="1" t="n">
        <v>46319</v>
      </c>
      <c r="F990" t="inlineStr">
        <is>
          <t>DALARNAS LÄN</t>
        </is>
      </c>
      <c r="G990" t="inlineStr">
        <is>
          <t>LEKSAND</t>
        </is>
      </c>
      <c r="I990" t="n">
        <v>2.1</v>
      </c>
      <c r="J990" t="n">
        <v>1</v>
      </c>
      <c r="K990" t="n">
        <v>1</v>
      </c>
      <c r="L990" t="n">
        <v>0</v>
      </c>
      <c r="M990" t="n">
        <v>0</v>
      </c>
      <c r="N990" t="n">
        <v>0</v>
      </c>
      <c r="O990" t="n">
        <v>0</v>
      </c>
      <c r="P990" t="n">
        <v>0</v>
      </c>
      <c r="Q990" t="n">
        <v>0</v>
      </c>
      <c r="R990" t="n">
        <v>0</v>
      </c>
      <c r="S990" t="n">
        <v>2</v>
      </c>
      <c r="T990" t="n">
        <v>2</v>
      </c>
      <c r="U990" t="n">
        <v>2</v>
      </c>
      <c r="V990" s="2" t="inlineStr">
        <is>
          <t>Underviol
Spillkråka</t>
        </is>
      </c>
      <c r="W990">
        <f>HYPERLINK("https://klasma.github.io/Logging_2029/artfynd/A 41873-2022 artfynd.xlsx", "A 41873-2022")</f>
        <v/>
      </c>
      <c r="X990">
        <f>HYPERLINK("https://klasma.github.io/Logging_2029/kartor/A 41873-2022 karta.png", "A 41873-2022")</f>
        <v/>
      </c>
      <c r="Y990">
        <f>HYPERLINK("https://klasma.github.io/Logging_2029/kartor_geotiff/A 41873-2022 georefererad karta.tif", "A 41873-2022")</f>
        <v/>
      </c>
      <c r="AA990">
        <f>HYPERLINK("https://klasma.github.io/Logging_2029/klagomål/A 41873-2022 FSC-klagomål.docx", "A 41873-2022")</f>
        <v/>
      </c>
      <c r="AB990">
        <f>HYPERLINK("https://klasma.github.io/Logging_2029/klagomålsmail/A 41873-2022 FSC-klagomål mail.docx", "A 41873-2022")</f>
        <v/>
      </c>
      <c r="AC990">
        <f>HYPERLINK("https://klasma.github.io/Logging_2029/tillsyn/A 41873-2022 tillsynsbegäran.docx", "A 41873-2022")</f>
        <v/>
      </c>
      <c r="AD990">
        <f>HYPERLINK("https://klasma.github.io/Logging_2029/tillsynsmail/A 41873-2022 tillsynsbegäran mail.docx", "A 41873-2022")</f>
        <v/>
      </c>
      <c r="AE990">
        <f>HYPERLINK("https://klasma.github.io/Logging_2029/fåglar/A 41873-2022 prioriterade fågelarter.docx", "A 41873-2022")</f>
        <v/>
      </c>
    </row>
    <row r="991" ht="15" customHeight="1">
      <c r="A991" t="inlineStr">
        <is>
          <t>A 39377-2024</t>
        </is>
      </c>
      <c r="B991" t="inlineStr">
        <is>
          <t>avverkningsanmälan</t>
        </is>
      </c>
      <c r="C991" t="inlineStr">
        <is>
          <t>Föryngringsavverkning</t>
        </is>
      </c>
      <c r="D991" s="1" t="n">
        <v>45551</v>
      </c>
      <c r="E991" s="1" t="n">
        <v>46319</v>
      </c>
      <c r="F991" t="inlineStr">
        <is>
          <t>DALARNAS LÄN</t>
        </is>
      </c>
      <c r="G991" t="inlineStr">
        <is>
          <t>BORLÄNGE</t>
        </is>
      </c>
      <c r="I991" t="n">
        <v>1</v>
      </c>
      <c r="J991" t="n">
        <v>0</v>
      </c>
      <c r="K991" t="n">
        <v>0</v>
      </c>
      <c r="L991" t="n">
        <v>2</v>
      </c>
      <c r="M991" t="n">
        <v>0</v>
      </c>
      <c r="N991" t="n">
        <v>0</v>
      </c>
      <c r="O991" t="n">
        <v>0</v>
      </c>
      <c r="P991" t="n">
        <v>0</v>
      </c>
      <c r="Q991" t="n">
        <v>2</v>
      </c>
      <c r="R991" t="n">
        <v>0</v>
      </c>
      <c r="S991" t="n">
        <v>2</v>
      </c>
      <c r="T991" t="n">
        <v>2</v>
      </c>
      <c r="U991" t="n">
        <v>0</v>
      </c>
      <c r="V991" s="2" t="inlineStr">
        <is>
          <t>Rosenticka
Ullticka</t>
        </is>
      </c>
      <c r="W991">
        <f>HYPERLINK("https://klasma.github.io/Logging_2081/artfynd/A 39377-2024 artfynd.xlsx", "A 39377-2024")</f>
        <v/>
      </c>
      <c r="X991">
        <f>HYPERLINK("https://klasma.github.io/Logging_2081/kartor/A 39377-2024 karta.png", "A 39377-2024")</f>
        <v/>
      </c>
      <c r="Y991">
        <f>HYPERLINK("https://klasma.github.io/Logging_2081/kartor_geotiff/A 39377-2024 georefererad karta.tif", "A 39377-2024")</f>
        <v/>
      </c>
      <c r="AA991">
        <f>HYPERLINK("https://klasma.github.io/Logging_2081/klagomål/A 39377-2024 FSC-klagomål.docx", "A 39377-2024")</f>
        <v/>
      </c>
      <c r="AB991">
        <f>HYPERLINK("https://klasma.github.io/Logging_2081/klagomålsmail/A 39377-2024 FSC-klagomål mail.docx", "A 39377-2024")</f>
        <v/>
      </c>
      <c r="AC991">
        <f>HYPERLINK("https://klasma.github.io/Logging_2081/tillsyn/A 39377-2024 tillsynsbegäran.docx", "A 39377-2024")</f>
        <v/>
      </c>
      <c r="AD991">
        <f>HYPERLINK("https://klasma.github.io/Logging_2081/tillsynsmail/A 39377-2024 tillsynsbegäran mail.docx", "A 39377-2024")</f>
        <v/>
      </c>
    </row>
    <row r="992" ht="15" customHeight="1">
      <c r="A992" t="inlineStr">
        <is>
          <t>A 63810-2021</t>
        </is>
      </c>
      <c r="B992" t="inlineStr">
        <is>
          <t>avverkningsanmälan</t>
        </is>
      </c>
      <c r="C992" t="inlineStr">
        <is>
          <t>Avverkning för annat ändamål</t>
        </is>
      </c>
      <c r="D992" s="1" t="n">
        <v>44509</v>
      </c>
      <c r="E992" s="1" t="n">
        <v>46319</v>
      </c>
      <c r="F992" t="inlineStr">
        <is>
          <t>DALARNAS LÄN</t>
        </is>
      </c>
      <c r="G992" t="inlineStr">
        <is>
          <t>ORSA</t>
        </is>
      </c>
      <c r="I992" t="n">
        <v>18.4</v>
      </c>
      <c r="J992" t="n">
        <v>0</v>
      </c>
      <c r="K992" t="n">
        <v>0</v>
      </c>
      <c r="L992" t="n">
        <v>1</v>
      </c>
      <c r="M992" t="n">
        <v>1</v>
      </c>
      <c r="N992" t="n">
        <v>0</v>
      </c>
      <c r="O992" t="n">
        <v>0</v>
      </c>
      <c r="P992" t="n">
        <v>0</v>
      </c>
      <c r="Q992" t="n">
        <v>2</v>
      </c>
      <c r="R992" t="n">
        <v>1</v>
      </c>
      <c r="S992" t="n">
        <v>2</v>
      </c>
      <c r="T992" t="n">
        <v>16</v>
      </c>
      <c r="U992" t="n">
        <v>1</v>
      </c>
      <c r="V992" s="2" t="inlineStr">
        <is>
          <t>Garnlav
Violettgrå tagellav</t>
        </is>
      </c>
      <c r="W992">
        <f>HYPERLINK("https://klasma.github.io/Logging_2034/artfynd/A 63810-2021 artfynd.xlsx", "A 63810-2021")</f>
        <v/>
      </c>
      <c r="X992">
        <f>HYPERLINK("https://klasma.github.io/Logging_2034/kartor/A 63810-2021 karta.png", "A 63810-2021")</f>
        <v/>
      </c>
      <c r="Y992">
        <f>HYPERLINK("https://klasma.github.io/Logging_2034/kartor_geotiff/A 63810-2021 georefererad karta.tif", "A 63810-2021")</f>
        <v/>
      </c>
      <c r="AA992">
        <f>HYPERLINK("https://klasma.github.io/Logging_2034/klagomål/A 63810-2021 FSC-klagomål.docx", "A 63810-2021")</f>
        <v/>
      </c>
      <c r="AB992">
        <f>HYPERLINK("https://klasma.github.io/Logging_2034/klagomålsmail/A 63810-2021 FSC-klagomål mail.docx", "A 63810-2021")</f>
        <v/>
      </c>
      <c r="AC992">
        <f>HYPERLINK("https://klasma.github.io/Logging_2034/tillsyn/A 63810-2021 tillsynsbegäran.docx", "A 63810-2021")</f>
        <v/>
      </c>
      <c r="AD992">
        <f>HYPERLINK("https://klasma.github.io/Logging_2034/tillsynsmail/A 63810-2021 tillsynsbegäran mail.docx", "A 63810-2021")</f>
        <v/>
      </c>
    </row>
    <row r="993" ht="15" customHeight="1">
      <c r="A993" t="inlineStr">
        <is>
          <t>A 35695-2026</t>
        </is>
      </c>
      <c r="B993" t="inlineStr">
        <is>
          <t>avverkningsanmälan</t>
        </is>
      </c>
      <c r="C993" t="inlineStr">
        <is>
          <t>Avverkning för att bevara och utveckla /försöksver</t>
        </is>
      </c>
      <c r="D993" s="1" t="n">
        <v>46265</v>
      </c>
      <c r="E993" s="1" t="n">
        <v>46319</v>
      </c>
      <c r="F993" t="inlineStr">
        <is>
          <t>DALARNAS LÄN</t>
        </is>
      </c>
      <c r="G993" t="inlineStr">
        <is>
          <t>ÄLVDALEN</t>
        </is>
      </c>
      <c r="H993" t="inlineStr">
        <is>
          <t>Sveaskog</t>
        </is>
      </c>
      <c r="I993" t="n">
        <v>4.1</v>
      </c>
      <c r="J993" t="n">
        <v>0</v>
      </c>
      <c r="K993" t="n">
        <v>0</v>
      </c>
      <c r="L993" t="n">
        <v>2</v>
      </c>
      <c r="M993" t="n">
        <v>0</v>
      </c>
      <c r="N993" t="n">
        <v>0</v>
      </c>
      <c r="O993" t="n">
        <v>0</v>
      </c>
      <c r="P993" t="n">
        <v>0</v>
      </c>
      <c r="Q993" t="n">
        <v>2</v>
      </c>
      <c r="R993" t="n">
        <v>0</v>
      </c>
      <c r="S993" t="n">
        <v>2</v>
      </c>
      <c r="T993" t="n">
        <v>2</v>
      </c>
      <c r="U993" t="n">
        <v>0</v>
      </c>
      <c r="V993" s="2" t="inlineStr">
        <is>
          <t>Kolflarnlav
Mörk kolflarnlav</t>
        </is>
      </c>
      <c r="W993">
        <f>HYPERLINK("https://klasma.github.io/Logging_2039/artfynd/A 35695-2026 artfynd.xlsx", "A 35695-2026")</f>
        <v/>
      </c>
      <c r="X993">
        <f>HYPERLINK("https://klasma.github.io/Logging_2039/kartor/A 35695-2026 karta.png", "A 35695-2026")</f>
        <v/>
      </c>
      <c r="Y993">
        <f>HYPERLINK("https://klasma.github.io/Logging_2039/kartor_geotiff/A 35695-2026 georefererad karta.tif", "A 35695-2026")</f>
        <v/>
      </c>
      <c r="AA993">
        <f>HYPERLINK("https://klasma.github.io/Logging_2039/klagomål/A 35695-2026 FSC-klagomål.docx", "A 35695-2026")</f>
        <v/>
      </c>
      <c r="AB993">
        <f>HYPERLINK("https://klasma.github.io/Logging_2039/klagomålsmail/A 35695-2026 FSC-klagomål mail.docx", "A 35695-2026")</f>
        <v/>
      </c>
      <c r="AC993">
        <f>HYPERLINK("https://klasma.github.io/Logging_2039/tillsyn/A 35695-2026 tillsynsbegäran.docx", "A 35695-2026")</f>
        <v/>
      </c>
      <c r="AD993">
        <f>HYPERLINK("https://klasma.github.io/Logging_2039/tillsynsmail/A 35695-2026 tillsynsbegäran mail.docx", "A 35695-2026")</f>
        <v/>
      </c>
    </row>
    <row r="994" ht="15" customHeight="1">
      <c r="A994" t="inlineStr">
        <is>
          <t>A 41906-2026</t>
        </is>
      </c>
      <c r="B994" t="inlineStr">
        <is>
          <t>avverkningsanmälan</t>
        </is>
      </c>
      <c r="C994" t="inlineStr">
        <is>
          <t>Föryngringsavverkning</t>
        </is>
      </c>
      <c r="D994" s="1" t="n">
        <v>46303</v>
      </c>
      <c r="E994" s="1" t="n">
        <v>46319</v>
      </c>
      <c r="F994" t="inlineStr">
        <is>
          <t>DALARNAS LÄN</t>
        </is>
      </c>
      <c r="G994" t="inlineStr">
        <is>
          <t>MORA</t>
        </is>
      </c>
      <c r="I994" t="n">
        <v>4.1</v>
      </c>
      <c r="J994" t="n">
        <v>1</v>
      </c>
      <c r="K994" t="n">
        <v>1</v>
      </c>
      <c r="L994" t="n">
        <v>0</v>
      </c>
      <c r="M994" t="n">
        <v>1</v>
      </c>
      <c r="N994" t="n">
        <v>0</v>
      </c>
      <c r="O994" t="n">
        <v>0</v>
      </c>
      <c r="P994" t="n">
        <v>0</v>
      </c>
      <c r="Q994" t="n">
        <v>1</v>
      </c>
      <c r="R994" t="n">
        <v>1</v>
      </c>
      <c r="S994" t="n">
        <v>2</v>
      </c>
      <c r="T994" t="n">
        <v>2</v>
      </c>
      <c r="U994" t="n">
        <v>2</v>
      </c>
      <c r="V994" s="2" t="inlineStr">
        <is>
          <t>Knärot
Mörk husmossa</t>
        </is>
      </c>
      <c r="W994">
        <f>HYPERLINK("https://klasma.github.io/Logging_2062/artfynd/A 41906-2026 artfynd.xlsx", "A 41906-2026")</f>
        <v/>
      </c>
      <c r="X994">
        <f>HYPERLINK("https://klasma.github.io/Logging_2062/kartor/A 41906-2026 karta.png", "A 41906-2026")</f>
        <v/>
      </c>
      <c r="Y994">
        <f>HYPERLINK("https://klasma.github.io/Logging_2062/kartor_geotiff/A 41906-2026 georefererad karta.tif", "A 41906-2026")</f>
        <v/>
      </c>
      <c r="Z994">
        <f>HYPERLINK("https://klasma.github.io/Logging_2062/knärot/A 41906-2026 karta knärot.png", "A 41906-2026")</f>
        <v/>
      </c>
      <c r="AA994">
        <f>HYPERLINK("https://klasma.github.io/Logging_2062/klagomål/A 41906-2026 FSC-klagomål.docx", "A 41906-2026")</f>
        <v/>
      </c>
      <c r="AB994">
        <f>HYPERLINK("https://klasma.github.io/Logging_2062/klagomålsmail/A 41906-2026 FSC-klagomål mail.docx", "A 41906-2026")</f>
        <v/>
      </c>
      <c r="AC994">
        <f>HYPERLINK("https://klasma.github.io/Logging_2062/tillsyn/A 41906-2026 tillsynsbegäran.docx", "A 41906-2026")</f>
        <v/>
      </c>
      <c r="AD994">
        <f>HYPERLINK("https://klasma.github.io/Logging_2062/tillsynsmail/A 41906-2026 tillsynsbegäran mail.docx", "A 41906-2026")</f>
        <v/>
      </c>
    </row>
    <row r="995" ht="15" customHeight="1">
      <c r="A995" t="inlineStr">
        <is>
          <t>A 19512-2022</t>
        </is>
      </c>
      <c r="B995" t="inlineStr">
        <is>
          <t>avverkningsanmälan</t>
        </is>
      </c>
      <c r="C995" t="inlineStr">
        <is>
          <t>Föryngringsavverkning</t>
        </is>
      </c>
      <c r="D995" s="1" t="n">
        <v>44693</v>
      </c>
      <c r="E995" s="1" t="n">
        <v>46319</v>
      </c>
      <c r="F995" t="inlineStr">
        <is>
          <t>DALARNAS LÄN</t>
        </is>
      </c>
      <c r="G995" t="inlineStr">
        <is>
          <t>LUDVIKA</t>
        </is>
      </c>
      <c r="H995" t="inlineStr">
        <is>
          <t>Bergvik skog väst AB</t>
        </is>
      </c>
      <c r="I995" t="n">
        <v>2.8</v>
      </c>
      <c r="J995" t="n">
        <v>1</v>
      </c>
      <c r="K995" t="n">
        <v>1</v>
      </c>
      <c r="L995" t="n">
        <v>1</v>
      </c>
      <c r="M995" t="n">
        <v>0</v>
      </c>
      <c r="N995" t="n">
        <v>0</v>
      </c>
      <c r="O995" t="n">
        <v>0</v>
      </c>
      <c r="P995" t="n">
        <v>0</v>
      </c>
      <c r="Q995" t="n">
        <v>1</v>
      </c>
      <c r="R995" t="n">
        <v>0</v>
      </c>
      <c r="S995" t="n">
        <v>2</v>
      </c>
      <c r="T995" t="n">
        <v>2</v>
      </c>
      <c r="U995" t="n">
        <v>1</v>
      </c>
      <c r="V995" s="2" t="inlineStr">
        <is>
          <t>Tretåig hackspett
Nästlav</t>
        </is>
      </c>
      <c r="W995">
        <f>HYPERLINK("https://klasma.github.io/Logging_2085/artfynd/A 19512-2022 artfynd.xlsx", "A 19512-2022")</f>
        <v/>
      </c>
      <c r="X995">
        <f>HYPERLINK("https://klasma.github.io/Logging_2085/kartor/A 19512-2022 karta.png", "A 19512-2022")</f>
        <v/>
      </c>
      <c r="Y995">
        <f>HYPERLINK("https://klasma.github.io/Logging_2085/kartor_geotiff/A 19512-2022 georefererad karta.tif", "A 19512-2022")</f>
        <v/>
      </c>
      <c r="AA995">
        <f>HYPERLINK("https://klasma.github.io/Logging_2085/klagomål/A 19512-2022 FSC-klagomål.docx", "A 19512-2022")</f>
        <v/>
      </c>
      <c r="AB995">
        <f>HYPERLINK("https://klasma.github.io/Logging_2085/klagomålsmail/A 19512-2022 FSC-klagomål mail.docx", "A 19512-2022")</f>
        <v/>
      </c>
      <c r="AC995">
        <f>HYPERLINK("https://klasma.github.io/Logging_2085/tillsyn/A 19512-2022 tillsynsbegäran.docx", "A 19512-2022")</f>
        <v/>
      </c>
      <c r="AD995">
        <f>HYPERLINK("https://klasma.github.io/Logging_2085/tillsynsmail/A 19512-2022 tillsynsbegäran mail.docx", "A 19512-2022")</f>
        <v/>
      </c>
      <c r="AE995">
        <f>HYPERLINK("https://klasma.github.io/Logging_2085/fåglar/A 19512-2022 prioriterade fågelarter.docx", "A 19512-2022")</f>
        <v/>
      </c>
    </row>
    <row r="996" ht="15" customHeight="1">
      <c r="A996" t="inlineStr">
        <is>
          <t>A 19752-2026</t>
        </is>
      </c>
      <c r="B996" t="inlineStr">
        <is>
          <t>avverkningsanmälan</t>
        </is>
      </c>
      <c r="C996" t="inlineStr">
        <is>
          <t>Föryngringsavverkning</t>
        </is>
      </c>
      <c r="D996" s="1" t="n">
        <v>46135</v>
      </c>
      <c r="E996" s="1" t="n">
        <v>46319</v>
      </c>
      <c r="F996" t="inlineStr">
        <is>
          <t>DALARNAS LÄN</t>
        </is>
      </c>
      <c r="G996" t="inlineStr">
        <is>
          <t>FALUN</t>
        </is>
      </c>
      <c r="I996" t="n">
        <v>2.9</v>
      </c>
      <c r="J996" t="n">
        <v>2</v>
      </c>
      <c r="K996" t="n">
        <v>0</v>
      </c>
      <c r="L996" t="n">
        <v>1</v>
      </c>
      <c r="M996" t="n">
        <v>0</v>
      </c>
      <c r="N996" t="n">
        <v>0</v>
      </c>
      <c r="O996" t="n">
        <v>0</v>
      </c>
      <c r="P996" t="n">
        <v>0</v>
      </c>
      <c r="Q996" t="n">
        <v>1</v>
      </c>
      <c r="R996" t="n">
        <v>0</v>
      </c>
      <c r="S996" t="n">
        <v>2</v>
      </c>
      <c r="T996" t="n">
        <v>2</v>
      </c>
      <c r="U996" t="n">
        <v>0</v>
      </c>
      <c r="V996" s="2" t="inlineStr">
        <is>
          <t>Talltita
Kungsfågel</t>
        </is>
      </c>
      <c r="W996">
        <f>HYPERLINK("https://klasma.github.io/Logging_2080/artfynd/A 19752-2026 artfynd.xlsx", "A 19752-2026")</f>
        <v/>
      </c>
      <c r="X996">
        <f>HYPERLINK("https://klasma.github.io/Logging_2080/kartor/A 19752-2026 karta.png", "A 19752-2026")</f>
        <v/>
      </c>
      <c r="Y996">
        <f>HYPERLINK("https://klasma.github.io/Logging_2080/kartor_geotiff/A 19752-2026 georefererad karta.tif", "A 19752-2026")</f>
        <v/>
      </c>
      <c r="AA996">
        <f>HYPERLINK("https://klasma.github.io/Logging_2080/klagomål/A 19752-2026 FSC-klagomål.docx", "A 19752-2026")</f>
        <v/>
      </c>
      <c r="AB996">
        <f>HYPERLINK("https://klasma.github.io/Logging_2080/klagomålsmail/A 19752-2026 FSC-klagomål mail.docx", "A 19752-2026")</f>
        <v/>
      </c>
      <c r="AC996">
        <f>HYPERLINK("https://klasma.github.io/Logging_2080/tillsyn/A 19752-2026 tillsynsbegäran.docx", "A 19752-2026")</f>
        <v/>
      </c>
      <c r="AD996">
        <f>HYPERLINK("https://klasma.github.io/Logging_2080/tillsynsmail/A 19752-2026 tillsynsbegäran mail.docx", "A 19752-2026")</f>
        <v/>
      </c>
      <c r="AE996">
        <f>HYPERLINK("https://klasma.github.io/Logging_2080/fåglar/A 19752-2026 prioriterade fågelarter.docx", "A 19752-2026")</f>
        <v/>
      </c>
    </row>
    <row r="997" ht="15" customHeight="1">
      <c r="A997" t="inlineStr">
        <is>
          <t>A 42684-2026</t>
        </is>
      </c>
      <c r="B997" t="inlineStr">
        <is>
          <t>avverkningsanmälan</t>
        </is>
      </c>
      <c r="C997" t="inlineStr">
        <is>
          <t>Föryngringsavverkning</t>
        </is>
      </c>
      <c r="D997" s="1" t="n">
        <v>46309</v>
      </c>
      <c r="E997" s="1" t="n">
        <v>46319</v>
      </c>
      <c r="F997" t="inlineStr">
        <is>
          <t>DALARNAS LÄN</t>
        </is>
      </c>
      <c r="G997" t="inlineStr">
        <is>
          <t>AVESTA</t>
        </is>
      </c>
      <c r="I997" t="n">
        <v>2.4</v>
      </c>
      <c r="J997" t="n">
        <v>1</v>
      </c>
      <c r="K997" t="n">
        <v>1</v>
      </c>
      <c r="L997" t="n">
        <v>0</v>
      </c>
      <c r="M997" t="n">
        <v>0</v>
      </c>
      <c r="N997" t="n">
        <v>0</v>
      </c>
      <c r="O997" t="n">
        <v>0</v>
      </c>
      <c r="P997" t="n">
        <v>0</v>
      </c>
      <c r="Q997" t="n">
        <v>0</v>
      </c>
      <c r="R997" t="n">
        <v>0</v>
      </c>
      <c r="S997" t="n">
        <v>2</v>
      </c>
      <c r="T997" t="n">
        <v>3</v>
      </c>
      <c r="U997" t="n">
        <v>0</v>
      </c>
      <c r="V997" s="2" t="inlineStr">
        <is>
          <t>Rävticka
Blåsippa</t>
        </is>
      </c>
      <c r="W997">
        <f>HYPERLINK("https://klasma.github.io/Logging_2084/artfynd/A 42684-2026 artfynd.xlsx", "A 42684-2026")</f>
        <v/>
      </c>
      <c r="X997">
        <f>HYPERLINK("https://klasma.github.io/Logging_2084/kartor/A 42684-2026 karta.png", "A 42684-2026")</f>
        <v/>
      </c>
      <c r="Y997">
        <f>HYPERLINK("https://klasma.github.io/Logging_2084/kartor_geotiff/A 42684-2026 georefererad karta.tif", "A 42684-2026")</f>
        <v/>
      </c>
      <c r="AA997">
        <f>HYPERLINK("https://klasma.github.io/Logging_2084/klagomål/A 42684-2026 FSC-klagomål.docx", "A 42684-2026")</f>
        <v/>
      </c>
      <c r="AB997">
        <f>HYPERLINK("https://klasma.github.io/Logging_2084/klagomålsmail/A 42684-2026 FSC-klagomål mail.docx", "A 42684-2026")</f>
        <v/>
      </c>
      <c r="AC997">
        <f>HYPERLINK("https://klasma.github.io/Logging_2084/tillsyn/A 42684-2026 tillsynsbegäran.docx", "A 42684-2026")</f>
        <v/>
      </c>
      <c r="AD997">
        <f>HYPERLINK("https://klasma.github.io/Logging_2084/tillsynsmail/A 42684-2026 tillsynsbegäran mail.docx", "A 42684-2026")</f>
        <v/>
      </c>
    </row>
    <row r="998" ht="15" customHeight="1">
      <c r="A998" t="inlineStr">
        <is>
          <t>A 34513-2026</t>
        </is>
      </c>
      <c r="B998" t="inlineStr">
        <is>
          <t>avverkningsanmälan</t>
        </is>
      </c>
      <c r="C998" t="inlineStr">
        <is>
          <t>Föryngringsavverkning</t>
        </is>
      </c>
      <c r="D998" s="1" t="n">
        <v>46255</v>
      </c>
      <c r="E998" s="1" t="n">
        <v>46319</v>
      </c>
      <c r="F998" t="inlineStr">
        <is>
          <t>DALARNAS LÄN</t>
        </is>
      </c>
      <c r="G998" t="inlineStr">
        <is>
          <t>GAGNEF</t>
        </is>
      </c>
      <c r="I998" t="n">
        <v>7.6</v>
      </c>
      <c r="J998" t="n">
        <v>2</v>
      </c>
      <c r="K998" t="n">
        <v>0</v>
      </c>
      <c r="L998" t="n">
        <v>1</v>
      </c>
      <c r="M998" t="n">
        <v>0</v>
      </c>
      <c r="N998" t="n">
        <v>0</v>
      </c>
      <c r="O998" t="n">
        <v>0</v>
      </c>
      <c r="P998" t="n">
        <v>0</v>
      </c>
      <c r="Q998" t="n">
        <v>1</v>
      </c>
      <c r="R998" t="n">
        <v>0</v>
      </c>
      <c r="S998" t="n">
        <v>2</v>
      </c>
      <c r="T998" t="n">
        <v>10</v>
      </c>
      <c r="U998" t="n">
        <v>10</v>
      </c>
      <c r="V998" s="2" t="inlineStr">
        <is>
          <t>Tretåig hackspett
Spillkråka</t>
        </is>
      </c>
      <c r="W998">
        <f>HYPERLINK("https://klasma.github.io/Logging_2026/artfynd/A 34513-2026 artfynd.xlsx", "A 34513-2026")</f>
        <v/>
      </c>
      <c r="X998">
        <f>HYPERLINK("https://klasma.github.io/Logging_2026/kartor/A 34513-2026 karta.png", "A 34513-2026")</f>
        <v/>
      </c>
      <c r="Y998">
        <f>HYPERLINK("https://klasma.github.io/Logging_2026/kartor_geotiff/A 34513-2026 georefererad karta.tif", "A 34513-2026")</f>
        <v/>
      </c>
      <c r="AA998">
        <f>HYPERLINK("https://klasma.github.io/Logging_2026/klagomål/A 34513-2026 FSC-klagomål.docx", "A 34513-2026")</f>
        <v/>
      </c>
      <c r="AB998">
        <f>HYPERLINK("https://klasma.github.io/Logging_2026/klagomålsmail/A 34513-2026 FSC-klagomål mail.docx", "A 34513-2026")</f>
        <v/>
      </c>
      <c r="AC998">
        <f>HYPERLINK("https://klasma.github.io/Logging_2026/tillsyn/A 34513-2026 tillsynsbegäran.docx", "A 34513-2026")</f>
        <v/>
      </c>
      <c r="AD998">
        <f>HYPERLINK("https://klasma.github.io/Logging_2026/tillsynsmail/A 34513-2026 tillsynsbegäran mail.docx", "A 34513-2026")</f>
        <v/>
      </c>
      <c r="AE998">
        <f>HYPERLINK("https://klasma.github.io/Logging_2026/fåglar/A 34513-2026 prioriterade fågelarter.docx", "A 34513-2026")</f>
        <v/>
      </c>
    </row>
    <row r="999" ht="15" customHeight="1">
      <c r="A999" t="inlineStr">
        <is>
          <t>A 2303-2026</t>
        </is>
      </c>
      <c r="B999" t="inlineStr">
        <is>
          <t>avverkningsanmälan</t>
        </is>
      </c>
      <c r="C999" t="inlineStr">
        <is>
          <t>Föryngringsavverkning</t>
        </is>
      </c>
      <c r="D999" s="1" t="n">
        <v>46036</v>
      </c>
      <c r="E999" s="1" t="n">
        <v>46319</v>
      </c>
      <c r="F999" t="inlineStr">
        <is>
          <t>DALARNAS LÄN</t>
        </is>
      </c>
      <c r="G999" t="inlineStr">
        <is>
          <t>BORLÄNGE</t>
        </is>
      </c>
      <c r="I999" t="n">
        <v>6.8</v>
      </c>
      <c r="J999" t="n">
        <v>1</v>
      </c>
      <c r="K999" t="n">
        <v>0</v>
      </c>
      <c r="L999" t="n">
        <v>1</v>
      </c>
      <c r="M999" t="n">
        <v>0</v>
      </c>
      <c r="N999" t="n">
        <v>0</v>
      </c>
      <c r="O999" t="n">
        <v>0</v>
      </c>
      <c r="P999" t="n">
        <v>0</v>
      </c>
      <c r="Q999" t="n">
        <v>1</v>
      </c>
      <c r="R999" t="n">
        <v>0</v>
      </c>
      <c r="S999" t="n">
        <v>2</v>
      </c>
      <c r="T999" t="n">
        <v>2</v>
      </c>
      <c r="U999" t="n">
        <v>0</v>
      </c>
      <c r="V999" s="2" t="inlineStr">
        <is>
          <t>Skarp dropptaggsvamp
Järpe</t>
        </is>
      </c>
      <c r="W999">
        <f>HYPERLINK("https://klasma.github.io/Logging_2081/artfynd/A 2303-2026 artfynd.xlsx", "A 2303-2026")</f>
        <v/>
      </c>
      <c r="X999">
        <f>HYPERLINK("https://klasma.github.io/Logging_2081/kartor/A 2303-2026 karta.png", "A 2303-2026")</f>
        <v/>
      </c>
      <c r="Y999">
        <f>HYPERLINK("https://klasma.github.io/Logging_2081/kartor_geotiff/A 2303-2026 georefererad karta.tif", "A 2303-2026")</f>
        <v/>
      </c>
      <c r="AA999">
        <f>HYPERLINK("https://klasma.github.io/Logging_2081/klagomål/A 2303-2026 FSC-klagomål.docx", "A 2303-2026")</f>
        <v/>
      </c>
      <c r="AB999">
        <f>HYPERLINK("https://klasma.github.io/Logging_2081/klagomålsmail/A 2303-2026 FSC-klagomål mail.docx", "A 2303-2026")</f>
        <v/>
      </c>
      <c r="AC999">
        <f>HYPERLINK("https://klasma.github.io/Logging_2081/tillsyn/A 2303-2026 tillsynsbegäran.docx", "A 2303-2026")</f>
        <v/>
      </c>
      <c r="AD999">
        <f>HYPERLINK("https://klasma.github.io/Logging_2081/tillsynsmail/A 2303-2026 tillsynsbegäran mail.docx", "A 2303-2026")</f>
        <v/>
      </c>
      <c r="AE999">
        <f>HYPERLINK("https://klasma.github.io/Logging_2081/fåglar/A 2303-2026 prioriterade fågelarter.docx", "A 2303-2026")</f>
        <v/>
      </c>
    </row>
    <row r="1000" ht="15" customHeight="1">
      <c r="A1000" t="inlineStr">
        <is>
          <t>A 43141-2026</t>
        </is>
      </c>
      <c r="B1000" t="inlineStr">
        <is>
          <t>avverkningsanmälan</t>
        </is>
      </c>
      <c r="C1000" t="inlineStr">
        <is>
          <t>Föryngringsavverkning</t>
        </is>
      </c>
      <c r="D1000" s="1" t="n">
        <v>46311</v>
      </c>
      <c r="E1000" s="1" t="n">
        <v>46319</v>
      </c>
      <c r="F1000" t="inlineStr">
        <is>
          <t>DALARNAS LÄN</t>
        </is>
      </c>
      <c r="G1000" t="inlineStr">
        <is>
          <t>RÄTTVIK</t>
        </is>
      </c>
      <c r="H1000" t="inlineStr">
        <is>
          <t>Sveaskog</t>
        </is>
      </c>
      <c r="I1000" t="n">
        <v>6.6</v>
      </c>
      <c r="J1000" t="n">
        <v>1</v>
      </c>
      <c r="K1000" t="n">
        <v>0</v>
      </c>
      <c r="L1000" t="n">
        <v>1</v>
      </c>
      <c r="M1000" t="n">
        <v>1</v>
      </c>
      <c r="N1000" t="n">
        <v>0</v>
      </c>
      <c r="O1000" t="n">
        <v>0</v>
      </c>
      <c r="P1000" t="n">
        <v>0</v>
      </c>
      <c r="Q1000" t="n">
        <v>2</v>
      </c>
      <c r="R1000" t="n">
        <v>1</v>
      </c>
      <c r="S1000" t="n">
        <v>2</v>
      </c>
      <c r="T1000" t="n">
        <v>6</v>
      </c>
      <c r="U1000" t="n">
        <v>0</v>
      </c>
      <c r="V1000" s="2" t="inlineStr">
        <is>
          <t>Knärot
Dropptaggsvamp</t>
        </is>
      </c>
      <c r="W1000">
        <f>HYPERLINK("https://klasma.github.io/Logging_2031/artfynd/A 43141-2026 artfynd.xlsx", "A 43141-2026")</f>
        <v/>
      </c>
      <c r="X1000">
        <f>HYPERLINK("https://klasma.github.io/Logging_2031/kartor/A 43141-2026 karta.png", "A 43141-2026")</f>
        <v/>
      </c>
      <c r="Y1000">
        <f>HYPERLINK("https://klasma.github.io/Logging_2031/kartor_geotiff/A 43141-2026 georefererad karta.tif", "A 43141-2026")</f>
        <v/>
      </c>
      <c r="Z1000">
        <f>HYPERLINK("https://klasma.github.io/Logging_2031/knärot/A 43141-2026 karta knärot.png", "A 43141-2026")</f>
        <v/>
      </c>
      <c r="AA1000">
        <f>HYPERLINK("https://klasma.github.io/Logging_2031/klagomål/A 43141-2026 FSC-klagomål.docx", "A 43141-2026")</f>
        <v/>
      </c>
      <c r="AB1000">
        <f>HYPERLINK("https://klasma.github.io/Logging_2031/klagomålsmail/A 43141-2026 FSC-klagomål mail.docx", "A 43141-2026")</f>
        <v/>
      </c>
      <c r="AC1000">
        <f>HYPERLINK("https://klasma.github.io/Logging_2031/tillsyn/A 43141-2026 tillsynsbegäran.docx", "A 43141-2026")</f>
        <v/>
      </c>
      <c r="AD1000">
        <f>HYPERLINK("https://klasma.github.io/Logging_2031/tillsynsmail/A 43141-2026 tillsynsbegäran mail.docx", "A 43141-2026")</f>
        <v/>
      </c>
    </row>
    <row r="1001" ht="15" customHeight="1">
      <c r="A1001" t="inlineStr">
        <is>
          <t>A 18745-2025</t>
        </is>
      </c>
      <c r="B1001" t="inlineStr">
        <is>
          <t>avverkningsanmälan</t>
        </is>
      </c>
      <c r="C1001" t="inlineStr">
        <is>
          <t>Föryngringsavverkning</t>
        </is>
      </c>
      <c r="D1001" s="1" t="n">
        <v>45763</v>
      </c>
      <c r="E1001" s="1" t="n">
        <v>46319</v>
      </c>
      <c r="F1001" t="inlineStr">
        <is>
          <t>DALARNAS LÄN</t>
        </is>
      </c>
      <c r="G1001" t="inlineStr">
        <is>
          <t>SMEDJEBACKEN</t>
        </is>
      </c>
      <c r="H1001" t="inlineStr">
        <is>
          <t>Övriga Aktiebolag</t>
        </is>
      </c>
      <c r="I1001" t="n">
        <v>2.9</v>
      </c>
      <c r="J1001" t="n">
        <v>1</v>
      </c>
      <c r="K1001" t="n">
        <v>1</v>
      </c>
      <c r="L1001" t="n">
        <v>0</v>
      </c>
      <c r="M1001" t="n">
        <v>0</v>
      </c>
      <c r="N1001" t="n">
        <v>0</v>
      </c>
      <c r="O1001" t="n">
        <v>0</v>
      </c>
      <c r="P1001" t="n">
        <v>0</v>
      </c>
      <c r="Q1001" t="n">
        <v>0</v>
      </c>
      <c r="R1001" t="n">
        <v>0</v>
      </c>
      <c r="S1001" t="n">
        <v>2</v>
      </c>
      <c r="T1001" t="n">
        <v>2</v>
      </c>
      <c r="U1001" t="n">
        <v>0</v>
      </c>
      <c r="V1001" s="2" t="inlineStr">
        <is>
          <t>Jättesvampmal
Spillkråka</t>
        </is>
      </c>
      <c r="W1001">
        <f>HYPERLINK("https://klasma.github.io/Logging_2061/artfynd/A 18745-2025 artfynd.xlsx", "A 18745-2025")</f>
        <v/>
      </c>
      <c r="X1001">
        <f>HYPERLINK("https://klasma.github.io/Logging_2061/kartor/A 18745-2025 karta.png", "A 18745-2025")</f>
        <v/>
      </c>
      <c r="Y1001">
        <f>HYPERLINK("https://klasma.github.io/Logging_2061/kartor_geotiff/A 18745-2025 georefererad karta.tif", "A 18745-2025")</f>
        <v/>
      </c>
      <c r="AA1001">
        <f>HYPERLINK("https://klasma.github.io/Logging_2061/klagomål/A 18745-2025 FSC-klagomål.docx", "A 18745-2025")</f>
        <v/>
      </c>
      <c r="AB1001">
        <f>HYPERLINK("https://klasma.github.io/Logging_2061/klagomålsmail/A 18745-2025 FSC-klagomål mail.docx", "A 18745-2025")</f>
        <v/>
      </c>
      <c r="AC1001">
        <f>HYPERLINK("https://klasma.github.io/Logging_2061/tillsyn/A 18745-2025 tillsynsbegäran.docx", "A 18745-2025")</f>
        <v/>
      </c>
      <c r="AD1001">
        <f>HYPERLINK("https://klasma.github.io/Logging_2061/tillsynsmail/A 18745-2025 tillsynsbegäran mail.docx", "A 18745-2025")</f>
        <v/>
      </c>
      <c r="AE1001">
        <f>HYPERLINK("https://klasma.github.io/Logging_2061/fåglar/A 18745-2025 prioriterade fågelarter.docx", "A 18745-2025")</f>
        <v/>
      </c>
    </row>
    <row r="1002" ht="15" customHeight="1">
      <c r="A1002" t="inlineStr">
        <is>
          <t>A 9408-2024</t>
        </is>
      </c>
      <c r="B1002" t="inlineStr">
        <is>
          <t>avverkningsanmälan</t>
        </is>
      </c>
      <c r="C1002" t="inlineStr">
        <is>
          <t>Föryngringsavverkning</t>
        </is>
      </c>
      <c r="D1002" s="1" t="n">
        <v>45358</v>
      </c>
      <c r="E1002" s="1" t="n">
        <v>46319</v>
      </c>
      <c r="F1002" t="inlineStr">
        <is>
          <t>DALARNAS LÄN</t>
        </is>
      </c>
      <c r="G1002" t="inlineStr">
        <is>
          <t>LEKSAND</t>
        </is>
      </c>
      <c r="I1002" t="n">
        <v>3</v>
      </c>
      <c r="J1002" t="n">
        <v>0</v>
      </c>
      <c r="K1002" t="n">
        <v>0</v>
      </c>
      <c r="L1002" t="n">
        <v>2</v>
      </c>
      <c r="M1002" t="n">
        <v>0</v>
      </c>
      <c r="N1002" t="n">
        <v>0</v>
      </c>
      <c r="O1002" t="n">
        <v>0</v>
      </c>
      <c r="P1002" t="n">
        <v>0</v>
      </c>
      <c r="Q1002" t="n">
        <v>2</v>
      </c>
      <c r="R1002" t="n">
        <v>0</v>
      </c>
      <c r="S1002" t="n">
        <v>2</v>
      </c>
      <c r="T1002" t="n">
        <v>2</v>
      </c>
      <c r="U1002" t="n">
        <v>0</v>
      </c>
      <c r="V1002" s="2" t="inlineStr">
        <is>
          <t>Kolflarnlav
Talltaggsvamp</t>
        </is>
      </c>
      <c r="W1002">
        <f>HYPERLINK("https://klasma.github.io/Logging_2029/artfynd/A 9408-2024 artfynd.xlsx", "A 9408-2024")</f>
        <v/>
      </c>
      <c r="X1002">
        <f>HYPERLINK("https://klasma.github.io/Logging_2029/kartor/A 9408-2024 karta.png", "A 9408-2024")</f>
        <v/>
      </c>
      <c r="Y1002">
        <f>HYPERLINK("https://klasma.github.io/Logging_2029/kartor_geotiff/A 9408-2024 georefererad karta.tif", "A 9408-2024")</f>
        <v/>
      </c>
      <c r="AA1002">
        <f>HYPERLINK("https://klasma.github.io/Logging_2029/klagomål/A 9408-2024 FSC-klagomål.docx", "A 9408-2024")</f>
        <v/>
      </c>
      <c r="AB1002">
        <f>HYPERLINK("https://klasma.github.io/Logging_2029/klagomålsmail/A 9408-2024 FSC-klagomål mail.docx", "A 9408-2024")</f>
        <v/>
      </c>
      <c r="AC1002">
        <f>HYPERLINK("https://klasma.github.io/Logging_2029/tillsyn/A 9408-2024 tillsynsbegäran.docx", "A 9408-2024")</f>
        <v/>
      </c>
      <c r="AD1002">
        <f>HYPERLINK("https://klasma.github.io/Logging_2029/tillsynsmail/A 9408-2024 tillsynsbegäran mail.docx", "A 9408-2024")</f>
        <v/>
      </c>
    </row>
    <row r="1003" ht="15" customHeight="1">
      <c r="A1003" t="inlineStr">
        <is>
          <t>A 31336-2025</t>
        </is>
      </c>
      <c r="B1003" t="inlineStr">
        <is>
          <t>avverkningsanmälan</t>
        </is>
      </c>
      <c r="C1003" t="inlineStr">
        <is>
          <t>Föryngringsavverkning</t>
        </is>
      </c>
      <c r="D1003" s="1" t="n">
        <v>45833</v>
      </c>
      <c r="E1003" s="1" t="n">
        <v>46319</v>
      </c>
      <c r="F1003" t="inlineStr">
        <is>
          <t>DALARNAS LÄN</t>
        </is>
      </c>
      <c r="G1003" t="inlineStr">
        <is>
          <t>ORSA</t>
        </is>
      </c>
      <c r="I1003" t="n">
        <v>12.8</v>
      </c>
      <c r="J1003" t="n">
        <v>1</v>
      </c>
      <c r="K1003" t="n">
        <v>0</v>
      </c>
      <c r="L1003" t="n">
        <v>0</v>
      </c>
      <c r="M1003" t="n">
        <v>1</v>
      </c>
      <c r="N1003" t="n">
        <v>0</v>
      </c>
      <c r="O1003" t="n">
        <v>0</v>
      </c>
      <c r="P1003" t="n">
        <v>0</v>
      </c>
      <c r="Q1003" t="n">
        <v>1</v>
      </c>
      <c r="R1003" t="n">
        <v>1</v>
      </c>
      <c r="S1003" t="n">
        <v>2</v>
      </c>
      <c r="T1003" t="n">
        <v>2</v>
      </c>
      <c r="U1003" t="n">
        <v>2</v>
      </c>
      <c r="V1003" s="2" t="inlineStr">
        <is>
          <t>Garnlav
Spillkråka</t>
        </is>
      </c>
      <c r="W1003">
        <f>HYPERLINK("https://klasma.github.io/Logging_2034/artfynd/A 31336-2025 artfynd.xlsx", "A 31336-2025")</f>
        <v/>
      </c>
      <c r="X1003">
        <f>HYPERLINK("https://klasma.github.io/Logging_2034/kartor/A 31336-2025 karta.png", "A 31336-2025")</f>
        <v/>
      </c>
      <c r="Y1003">
        <f>HYPERLINK("https://klasma.github.io/Logging_2034/kartor_geotiff/A 31336-2025 georefererad karta.tif", "A 31336-2025")</f>
        <v/>
      </c>
      <c r="AA1003">
        <f>HYPERLINK("https://klasma.github.io/Logging_2034/klagomål/A 31336-2025 FSC-klagomål.docx", "A 31336-2025")</f>
        <v/>
      </c>
      <c r="AB1003">
        <f>HYPERLINK("https://klasma.github.io/Logging_2034/klagomålsmail/A 31336-2025 FSC-klagomål mail.docx", "A 31336-2025")</f>
        <v/>
      </c>
      <c r="AC1003">
        <f>HYPERLINK("https://klasma.github.io/Logging_2034/tillsyn/A 31336-2025 tillsynsbegäran.docx", "A 31336-2025")</f>
        <v/>
      </c>
      <c r="AD1003">
        <f>HYPERLINK("https://klasma.github.io/Logging_2034/tillsynsmail/A 31336-2025 tillsynsbegäran mail.docx", "A 31336-2025")</f>
        <v/>
      </c>
      <c r="AE1003">
        <f>HYPERLINK("https://klasma.github.io/Logging_2034/fåglar/A 31336-2025 prioriterade fågelarter.docx", "A 31336-2025")</f>
        <v/>
      </c>
    </row>
    <row r="1004" ht="15" customHeight="1">
      <c r="A1004" t="inlineStr">
        <is>
          <t>A 45201-2024</t>
        </is>
      </c>
      <c r="B1004" t="inlineStr">
        <is>
          <t>avverkningsanmälan</t>
        </is>
      </c>
      <c r="C1004" t="inlineStr">
        <is>
          <t>Föryngringsavverkning</t>
        </is>
      </c>
      <c r="D1004" s="1" t="n">
        <v>45575</v>
      </c>
      <c r="E1004" s="1" t="n">
        <v>46319</v>
      </c>
      <c r="F1004" t="inlineStr">
        <is>
          <t>DALARNAS LÄN</t>
        </is>
      </c>
      <c r="G1004" t="inlineStr">
        <is>
          <t>ÄLVDALEN</t>
        </is>
      </c>
      <c r="I1004" t="n">
        <v>24.5</v>
      </c>
      <c r="J1004" t="n">
        <v>2</v>
      </c>
      <c r="K1004" t="n">
        <v>0</v>
      </c>
      <c r="L1004" t="n">
        <v>1</v>
      </c>
      <c r="M1004" t="n">
        <v>0</v>
      </c>
      <c r="N1004" t="n">
        <v>0</v>
      </c>
      <c r="O1004" t="n">
        <v>0</v>
      </c>
      <c r="P1004" t="n">
        <v>0</v>
      </c>
      <c r="Q1004" t="n">
        <v>1</v>
      </c>
      <c r="R1004" t="n">
        <v>0</v>
      </c>
      <c r="S1004" t="n">
        <v>2</v>
      </c>
      <c r="T1004" t="n">
        <v>7</v>
      </c>
      <c r="U1004" t="n">
        <v>0</v>
      </c>
      <c r="V1004" s="2" t="inlineStr">
        <is>
          <t>Varglav
Tjäder</t>
        </is>
      </c>
      <c r="W1004">
        <f>HYPERLINK("https://klasma.github.io/Logging_2039/artfynd/A 45201-2024 artfynd.xlsx", "A 45201-2024")</f>
        <v/>
      </c>
      <c r="X1004">
        <f>HYPERLINK("https://klasma.github.io/Logging_2039/kartor/A 45201-2024 karta.png", "A 45201-2024")</f>
        <v/>
      </c>
      <c r="Y1004">
        <f>HYPERLINK("https://klasma.github.io/Logging_2039/kartor_geotiff/A 45201-2024 georefererad karta.tif", "A 45201-2024")</f>
        <v/>
      </c>
      <c r="AA1004">
        <f>HYPERLINK("https://klasma.github.io/Logging_2039/klagomål/A 45201-2024 FSC-klagomål.docx", "A 45201-2024")</f>
        <v/>
      </c>
      <c r="AB1004">
        <f>HYPERLINK("https://klasma.github.io/Logging_2039/klagomålsmail/A 45201-2024 FSC-klagomål mail.docx", "A 45201-2024")</f>
        <v/>
      </c>
      <c r="AC1004">
        <f>HYPERLINK("https://klasma.github.io/Logging_2039/tillsyn/A 45201-2024 tillsynsbegäran.docx", "A 45201-2024")</f>
        <v/>
      </c>
      <c r="AD1004">
        <f>HYPERLINK("https://klasma.github.io/Logging_2039/tillsynsmail/A 45201-2024 tillsynsbegäran mail.docx", "A 45201-2024")</f>
        <v/>
      </c>
      <c r="AE1004">
        <f>HYPERLINK("https://klasma.github.io/Logging_2039/fåglar/A 45201-2024 prioriterade fågelarter.docx", "A 45201-2024")</f>
        <v/>
      </c>
    </row>
    <row r="1005" ht="15" customHeight="1">
      <c r="A1005" t="inlineStr">
        <is>
          <t>A 45202-2024</t>
        </is>
      </c>
      <c r="B1005" t="inlineStr">
        <is>
          <t>avverkningsanmälan</t>
        </is>
      </c>
      <c r="C1005" t="inlineStr">
        <is>
          <t>Föryngringsavverkning</t>
        </is>
      </c>
      <c r="D1005" s="1" t="n">
        <v>45575</v>
      </c>
      <c r="E1005" s="1" t="n">
        <v>46319</v>
      </c>
      <c r="F1005" t="inlineStr">
        <is>
          <t>DALARNAS LÄN</t>
        </is>
      </c>
      <c r="G1005" t="inlineStr">
        <is>
          <t>ÄLVDALEN</t>
        </is>
      </c>
      <c r="I1005" t="n">
        <v>121.5</v>
      </c>
      <c r="J1005" t="n">
        <v>2</v>
      </c>
      <c r="K1005" t="n">
        <v>0</v>
      </c>
      <c r="L1005" t="n">
        <v>2</v>
      </c>
      <c r="M1005" t="n">
        <v>0</v>
      </c>
      <c r="N1005" t="n">
        <v>0</v>
      </c>
      <c r="O1005" t="n">
        <v>0</v>
      </c>
      <c r="P1005" t="n">
        <v>0</v>
      </c>
      <c r="Q1005" t="n">
        <v>2</v>
      </c>
      <c r="R1005" t="n">
        <v>0</v>
      </c>
      <c r="S1005" t="n">
        <v>2</v>
      </c>
      <c r="T1005" t="n">
        <v>2</v>
      </c>
      <c r="U1005" t="n">
        <v>1</v>
      </c>
      <c r="V1005" s="2" t="inlineStr">
        <is>
          <t>Lavskrika
Tretåig hackspett</t>
        </is>
      </c>
      <c r="W1005">
        <f>HYPERLINK("https://klasma.github.io/Logging_2039/artfynd/A 45202-2024 artfynd.xlsx", "A 45202-2024")</f>
        <v/>
      </c>
      <c r="X1005">
        <f>HYPERLINK("https://klasma.github.io/Logging_2039/kartor/A 45202-2024 karta.png", "A 45202-2024")</f>
        <v/>
      </c>
      <c r="Y1005">
        <f>HYPERLINK("https://klasma.github.io/Logging_2039/kartor_geotiff/A 45202-2024 georefererad karta.tif", "A 45202-2024")</f>
        <v/>
      </c>
      <c r="AA1005">
        <f>HYPERLINK("https://klasma.github.io/Logging_2039/klagomål/A 45202-2024 FSC-klagomål.docx", "A 45202-2024")</f>
        <v/>
      </c>
      <c r="AB1005">
        <f>HYPERLINK("https://klasma.github.io/Logging_2039/klagomålsmail/A 45202-2024 FSC-klagomål mail.docx", "A 45202-2024")</f>
        <v/>
      </c>
      <c r="AC1005">
        <f>HYPERLINK("https://klasma.github.io/Logging_2039/tillsyn/A 45202-2024 tillsynsbegäran.docx", "A 45202-2024")</f>
        <v/>
      </c>
      <c r="AD1005">
        <f>HYPERLINK("https://klasma.github.io/Logging_2039/tillsynsmail/A 45202-2024 tillsynsbegäran mail.docx", "A 45202-2024")</f>
        <v/>
      </c>
      <c r="AE1005">
        <f>HYPERLINK("https://klasma.github.io/Logging_2039/fåglar/A 45202-2024 prioriterade fågelarter.docx", "A 45202-2024")</f>
        <v/>
      </c>
    </row>
    <row r="1006" ht="15" customHeight="1">
      <c r="A1006" t="inlineStr">
        <is>
          <t>A 43753-2026</t>
        </is>
      </c>
      <c r="B1006" t="inlineStr">
        <is>
          <t>avverkningsanmälan</t>
        </is>
      </c>
      <c r="C1006" t="inlineStr">
        <is>
          <t>Föryngringsavverkning</t>
        </is>
      </c>
      <c r="D1006" s="1" t="n">
        <v>46316</v>
      </c>
      <c r="E1006" s="1" t="n">
        <v>46319</v>
      </c>
      <c r="F1006" t="inlineStr">
        <is>
          <t>DALARNAS LÄN</t>
        </is>
      </c>
      <c r="G1006" t="inlineStr">
        <is>
          <t>VANSBRO</t>
        </is>
      </c>
      <c r="I1006" t="n">
        <v>2.7</v>
      </c>
      <c r="J1006" t="n">
        <v>2</v>
      </c>
      <c r="K1006" t="n">
        <v>0</v>
      </c>
      <c r="L1006" t="n">
        <v>0</v>
      </c>
      <c r="M1006" t="n">
        <v>1</v>
      </c>
      <c r="N1006" t="n">
        <v>0</v>
      </c>
      <c r="O1006" t="n">
        <v>0</v>
      </c>
      <c r="P1006" t="n">
        <v>0</v>
      </c>
      <c r="Q1006" t="n">
        <v>1</v>
      </c>
      <c r="R1006" t="n">
        <v>1</v>
      </c>
      <c r="S1006" t="n">
        <v>2</v>
      </c>
      <c r="T1006" t="n">
        <v>2</v>
      </c>
      <c r="U1006" t="n">
        <v>0</v>
      </c>
      <c r="V1006" s="2" t="inlineStr">
        <is>
          <t>Knärot
Kungsfågel</t>
        </is>
      </c>
      <c r="W1006">
        <f>HYPERLINK("https://klasma.github.io/Logging_2021/artfynd/A 43753-2026 artfynd.xlsx", "A 43753-2026")</f>
        <v/>
      </c>
      <c r="X1006">
        <f>HYPERLINK("https://klasma.github.io/Logging_2021/kartor/A 43753-2026 karta.png", "A 43753-2026")</f>
        <v/>
      </c>
      <c r="Y1006">
        <f>HYPERLINK("https://klasma.github.io/Logging_2021/kartor_geotiff/A 43753-2026 georefererad karta.tif", "A 43753-2026")</f>
        <v/>
      </c>
      <c r="Z1006">
        <f>HYPERLINK("https://klasma.github.io/Logging_2021/knärot/A 43753-2026 karta knärot.png", "A 43753-2026")</f>
        <v/>
      </c>
      <c r="AA1006">
        <f>HYPERLINK("https://klasma.github.io/Logging_2021/klagomål/A 43753-2026 FSC-klagomål.docx", "A 43753-2026")</f>
        <v/>
      </c>
      <c r="AB1006">
        <f>HYPERLINK("https://klasma.github.io/Logging_2021/klagomålsmail/A 43753-2026 FSC-klagomål mail.docx", "A 43753-2026")</f>
        <v/>
      </c>
      <c r="AC1006">
        <f>HYPERLINK("https://klasma.github.io/Logging_2021/tillsyn/A 43753-2026 tillsynsbegäran.docx", "A 43753-2026")</f>
        <v/>
      </c>
      <c r="AD1006">
        <f>HYPERLINK("https://klasma.github.io/Logging_2021/tillsynsmail/A 43753-2026 tillsynsbegäran mail.docx", "A 43753-2026")</f>
        <v/>
      </c>
    </row>
    <row r="1007" ht="15" customHeight="1">
      <c r="A1007" t="inlineStr">
        <is>
          <t>A 19958-2025</t>
        </is>
      </c>
      <c r="B1007" t="inlineStr">
        <is>
          <t>avverkningsanmälan</t>
        </is>
      </c>
      <c r="C1007" t="inlineStr">
        <is>
          <t>Föryngringsavverkning</t>
        </is>
      </c>
      <c r="D1007" s="1" t="n">
        <v>45771</v>
      </c>
      <c r="E1007" s="1" t="n">
        <v>46319</v>
      </c>
      <c r="F1007" t="inlineStr">
        <is>
          <t>DALARNAS LÄN</t>
        </is>
      </c>
      <c r="G1007" t="inlineStr">
        <is>
          <t>RÄTTVIK</t>
        </is>
      </c>
      <c r="I1007" t="n">
        <v>2.5</v>
      </c>
      <c r="J1007" t="n">
        <v>1</v>
      </c>
      <c r="K1007" t="n">
        <v>0</v>
      </c>
      <c r="L1007" t="n">
        <v>1</v>
      </c>
      <c r="M1007" t="n">
        <v>1</v>
      </c>
      <c r="N1007" t="n">
        <v>0</v>
      </c>
      <c r="O1007" t="n">
        <v>0</v>
      </c>
      <c r="P1007" t="n">
        <v>0</v>
      </c>
      <c r="Q1007" t="n">
        <v>2</v>
      </c>
      <c r="R1007" t="n">
        <v>1</v>
      </c>
      <c r="S1007" t="n">
        <v>2</v>
      </c>
      <c r="T1007" t="n">
        <v>2</v>
      </c>
      <c r="U1007" t="n">
        <v>2</v>
      </c>
      <c r="V1007" s="2" t="inlineStr">
        <is>
          <t>Knärot
Orange taggsvamp</t>
        </is>
      </c>
      <c r="W1007">
        <f>HYPERLINK("https://klasma.github.io/Logging_2031/artfynd/A 19958-2025 artfynd.xlsx", "A 19958-2025")</f>
        <v/>
      </c>
      <c r="X1007">
        <f>HYPERLINK("https://klasma.github.io/Logging_2031/kartor/A 19958-2025 karta.png", "A 19958-2025")</f>
        <v/>
      </c>
      <c r="Y1007">
        <f>HYPERLINK("https://klasma.github.io/Logging_2031/kartor_geotiff/A 19958-2025 georefererad karta.tif", "A 19958-2025")</f>
        <v/>
      </c>
      <c r="Z1007">
        <f>HYPERLINK("https://klasma.github.io/Logging_2031/knärot/A 19958-2025 karta knärot.png", "A 19958-2025")</f>
        <v/>
      </c>
      <c r="AA1007">
        <f>HYPERLINK("https://klasma.github.io/Logging_2031/klagomål/A 19958-2025 FSC-klagomål.docx", "A 19958-2025")</f>
        <v/>
      </c>
      <c r="AB1007">
        <f>HYPERLINK("https://klasma.github.io/Logging_2031/klagomålsmail/A 19958-2025 FSC-klagomål mail.docx", "A 19958-2025")</f>
        <v/>
      </c>
      <c r="AC1007">
        <f>HYPERLINK("https://klasma.github.io/Logging_2031/tillsyn/A 19958-2025 tillsynsbegäran.docx", "A 19958-2025")</f>
        <v/>
      </c>
      <c r="AD1007">
        <f>HYPERLINK("https://klasma.github.io/Logging_2031/tillsynsmail/A 19958-2025 tillsynsbegäran mail.docx", "A 19958-2025")</f>
        <v/>
      </c>
    </row>
    <row r="1008" ht="15" customHeight="1">
      <c r="A1008" t="inlineStr">
        <is>
          <t>A 52242-2024</t>
        </is>
      </c>
      <c r="B1008" t="inlineStr">
        <is>
          <t>avverkningsanmälan</t>
        </is>
      </c>
      <c r="C1008" t="inlineStr">
        <is>
          <t>Föryngringsavverkning</t>
        </is>
      </c>
      <c r="D1008" s="1" t="n">
        <v>45607</v>
      </c>
      <c r="E1008" s="1" t="n">
        <v>46319</v>
      </c>
      <c r="F1008" t="inlineStr">
        <is>
          <t>DALARNAS LÄN</t>
        </is>
      </c>
      <c r="G1008" t="inlineStr">
        <is>
          <t>SMEDJEBACKEN</t>
        </is>
      </c>
      <c r="H1008" t="inlineStr">
        <is>
          <t>Bergvik skog väst AB</t>
        </is>
      </c>
      <c r="I1008" t="n">
        <v>26.2</v>
      </c>
      <c r="J1008" t="n">
        <v>2</v>
      </c>
      <c r="K1008" t="n">
        <v>0</v>
      </c>
      <c r="L1008" t="n">
        <v>0</v>
      </c>
      <c r="M1008" t="n">
        <v>0</v>
      </c>
      <c r="N1008" t="n">
        <v>0</v>
      </c>
      <c r="O1008" t="n">
        <v>0</v>
      </c>
      <c r="P1008" t="n">
        <v>0</v>
      </c>
      <c r="Q1008" t="n">
        <v>0</v>
      </c>
      <c r="R1008" t="n">
        <v>0</v>
      </c>
      <c r="S1008" t="n">
        <v>2</v>
      </c>
      <c r="T1008" t="n">
        <v>2</v>
      </c>
      <c r="U1008" t="n">
        <v>0</v>
      </c>
      <c r="V1008" s="2" t="inlineStr">
        <is>
          <t>Blåsippa
Havsörn</t>
        </is>
      </c>
      <c r="W1008">
        <f>HYPERLINK("https://klasma.github.io/Logging_2061/artfynd/A 52242-2024 artfynd.xlsx", "A 52242-2024")</f>
        <v/>
      </c>
      <c r="X1008">
        <f>HYPERLINK("https://klasma.github.io/Logging_2061/kartor/A 52242-2024 karta.png", "A 52242-2024")</f>
        <v/>
      </c>
      <c r="Y1008">
        <f>HYPERLINK("https://klasma.github.io/Logging_2061/kartor_geotiff/A 52242-2024 georefererad karta.tif", "A 52242-2024")</f>
        <v/>
      </c>
      <c r="AA1008">
        <f>HYPERLINK("https://klasma.github.io/Logging_2061/klagomål/A 52242-2024 FSC-klagomål.docx", "A 52242-2024")</f>
        <v/>
      </c>
      <c r="AB1008">
        <f>HYPERLINK("https://klasma.github.io/Logging_2061/klagomålsmail/A 52242-2024 FSC-klagomål mail.docx", "A 52242-2024")</f>
        <v/>
      </c>
      <c r="AC1008">
        <f>HYPERLINK("https://klasma.github.io/Logging_2061/tillsyn/A 52242-2024 tillsynsbegäran.docx", "A 52242-2024")</f>
        <v/>
      </c>
      <c r="AD1008">
        <f>HYPERLINK("https://klasma.github.io/Logging_2061/tillsynsmail/A 52242-2024 tillsynsbegäran mail.docx", "A 52242-2024")</f>
        <v/>
      </c>
      <c r="AE1008">
        <f>HYPERLINK("https://klasma.github.io/Logging_2061/fåglar/A 52242-2024 prioriterade fågelarter.docx", "A 52242-2024")</f>
        <v/>
      </c>
    </row>
    <row r="1009" ht="15" customHeight="1">
      <c r="A1009" t="inlineStr">
        <is>
          <t>A 6778-2022</t>
        </is>
      </c>
      <c r="B1009" t="inlineStr">
        <is>
          <t>avverkningsanmälan</t>
        </is>
      </c>
      <c r="C1009" t="inlineStr">
        <is>
          <t>Föryngringsavverkning</t>
        </is>
      </c>
      <c r="D1009" s="1" t="n">
        <v>44602</v>
      </c>
      <c r="E1009" s="1" t="n">
        <v>46319</v>
      </c>
      <c r="F1009" t="inlineStr">
        <is>
          <t>DALARNAS LÄN</t>
        </is>
      </c>
      <c r="G1009" t="inlineStr">
        <is>
          <t>LEKSAND</t>
        </is>
      </c>
      <c r="H1009" t="inlineStr">
        <is>
          <t>Kyrkan</t>
        </is>
      </c>
      <c r="I1009" t="n">
        <v>2</v>
      </c>
      <c r="J1009" t="n">
        <v>2</v>
      </c>
      <c r="K1009" t="n">
        <v>0</v>
      </c>
      <c r="L1009" t="n">
        <v>1</v>
      </c>
      <c r="M1009" t="n">
        <v>0</v>
      </c>
      <c r="N1009" t="n">
        <v>0</v>
      </c>
      <c r="O1009" t="n">
        <v>0</v>
      </c>
      <c r="P1009" t="n">
        <v>0</v>
      </c>
      <c r="Q1009" t="n">
        <v>1</v>
      </c>
      <c r="R1009" t="n">
        <v>0</v>
      </c>
      <c r="S1009" t="n">
        <v>2</v>
      </c>
      <c r="T1009" t="n">
        <v>2</v>
      </c>
      <c r="U1009" t="n">
        <v>2</v>
      </c>
      <c r="V1009" s="2" t="inlineStr">
        <is>
          <t>Talltita
Orre</t>
        </is>
      </c>
      <c r="W1009">
        <f>HYPERLINK("https://klasma.github.io/Logging_2029/artfynd/A 6778-2022 artfynd.xlsx", "A 6778-2022")</f>
        <v/>
      </c>
      <c r="X1009">
        <f>HYPERLINK("https://klasma.github.io/Logging_2029/kartor/A 6778-2022 karta.png", "A 6778-2022")</f>
        <v/>
      </c>
      <c r="Y1009">
        <f>HYPERLINK("https://klasma.github.io/Logging_2029/kartor_geotiff/A 6778-2022 georefererad karta.tif", "A 6778-2022")</f>
        <v/>
      </c>
      <c r="AA1009">
        <f>HYPERLINK("https://klasma.github.io/Logging_2029/klagomål/A 6778-2022 FSC-klagomål.docx", "A 6778-2022")</f>
        <v/>
      </c>
      <c r="AB1009">
        <f>HYPERLINK("https://klasma.github.io/Logging_2029/klagomålsmail/A 6778-2022 FSC-klagomål mail.docx", "A 6778-2022")</f>
        <v/>
      </c>
      <c r="AC1009">
        <f>HYPERLINK("https://klasma.github.io/Logging_2029/tillsyn/A 6778-2022 tillsynsbegäran.docx", "A 6778-2022")</f>
        <v/>
      </c>
      <c r="AD1009">
        <f>HYPERLINK("https://klasma.github.io/Logging_2029/tillsynsmail/A 6778-2022 tillsynsbegäran mail.docx", "A 6778-2022")</f>
        <v/>
      </c>
      <c r="AE1009">
        <f>HYPERLINK("https://klasma.github.io/Logging_2029/fåglar/A 6778-2022 prioriterade fågelarter.docx", "A 6778-2022")</f>
        <v/>
      </c>
    </row>
    <row r="1010" ht="15" customHeight="1">
      <c r="A1010" t="inlineStr">
        <is>
          <t>A 3125-2026</t>
        </is>
      </c>
      <c r="B1010" t="inlineStr">
        <is>
          <t>avverkningsanmälan</t>
        </is>
      </c>
      <c r="C1010" t="inlineStr">
        <is>
          <t>Föryngringsavverkning</t>
        </is>
      </c>
      <c r="D1010" s="1" t="n">
        <v>46041</v>
      </c>
      <c r="E1010" s="1" t="n">
        <v>46319</v>
      </c>
      <c r="F1010" t="inlineStr">
        <is>
          <t>DALARNAS LÄN</t>
        </is>
      </c>
      <c r="G1010" t="inlineStr">
        <is>
          <t>GAGNEF</t>
        </is>
      </c>
      <c r="I1010" t="n">
        <v>3.3</v>
      </c>
      <c r="J1010" t="n">
        <v>0</v>
      </c>
      <c r="K1010" t="n">
        <v>0</v>
      </c>
      <c r="L1010" t="n">
        <v>2</v>
      </c>
      <c r="M1010" t="n">
        <v>0</v>
      </c>
      <c r="N1010" t="n">
        <v>0</v>
      </c>
      <c r="O1010" t="n">
        <v>0</v>
      </c>
      <c r="P1010" t="n">
        <v>0</v>
      </c>
      <c r="Q1010" t="n">
        <v>2</v>
      </c>
      <c r="R1010" t="n">
        <v>0</v>
      </c>
      <c r="S1010" t="n">
        <v>2</v>
      </c>
      <c r="T1010" t="n">
        <v>2</v>
      </c>
      <c r="U1010" t="n">
        <v>0</v>
      </c>
      <c r="V1010" s="2" t="inlineStr">
        <is>
          <t>Rynkskinn
Ullticka</t>
        </is>
      </c>
      <c r="W1010">
        <f>HYPERLINK("https://klasma.github.io/Logging_2026/artfynd/A 3125-2026 artfynd.xlsx", "A 3125-2026")</f>
        <v/>
      </c>
      <c r="X1010">
        <f>HYPERLINK("https://klasma.github.io/Logging_2026/kartor/A 3125-2026 karta.png", "A 3125-2026")</f>
        <v/>
      </c>
      <c r="Y1010">
        <f>HYPERLINK("https://klasma.github.io/Logging_2026/kartor_geotiff/A 3125-2026 georefererad karta.tif", "A 3125-2026")</f>
        <v/>
      </c>
      <c r="AA1010">
        <f>HYPERLINK("https://klasma.github.io/Logging_2026/klagomål/A 3125-2026 FSC-klagomål.docx", "A 3125-2026")</f>
        <v/>
      </c>
      <c r="AB1010">
        <f>HYPERLINK("https://klasma.github.io/Logging_2026/klagomålsmail/A 3125-2026 FSC-klagomål mail.docx", "A 3125-2026")</f>
        <v/>
      </c>
      <c r="AC1010">
        <f>HYPERLINK("https://klasma.github.io/Logging_2026/tillsyn/A 3125-2026 tillsynsbegäran.docx", "A 3125-2026")</f>
        <v/>
      </c>
      <c r="AD1010">
        <f>HYPERLINK("https://klasma.github.io/Logging_2026/tillsynsmail/A 3125-2026 tillsynsbegäran mail.docx", "A 3125-2026")</f>
        <v/>
      </c>
    </row>
    <row r="1011" ht="15" customHeight="1">
      <c r="A1011" t="inlineStr">
        <is>
          <t>A 35099-2026</t>
        </is>
      </c>
      <c r="B1011" t="inlineStr">
        <is>
          <t>avverkningsanmälan</t>
        </is>
      </c>
      <c r="C1011" t="inlineStr">
        <is>
          <t>Föryngringsavverkning</t>
        </is>
      </c>
      <c r="D1011" s="1" t="n">
        <v>46260</v>
      </c>
      <c r="E1011" s="1" t="n">
        <v>46319</v>
      </c>
      <c r="F1011" t="inlineStr">
        <is>
          <t>DALARNAS LÄN</t>
        </is>
      </c>
      <c r="G1011" t="inlineStr">
        <is>
          <t>LUDVIKA</t>
        </is>
      </c>
      <c r="I1011" t="n">
        <v>3</v>
      </c>
      <c r="J1011" t="n">
        <v>1</v>
      </c>
      <c r="K1011" t="n">
        <v>0</v>
      </c>
      <c r="L1011" t="n">
        <v>0</v>
      </c>
      <c r="M1011" t="n">
        <v>1</v>
      </c>
      <c r="N1011" t="n">
        <v>0</v>
      </c>
      <c r="O1011" t="n">
        <v>0</v>
      </c>
      <c r="P1011" t="n">
        <v>0</v>
      </c>
      <c r="Q1011" t="n">
        <v>1</v>
      </c>
      <c r="R1011" t="n">
        <v>1</v>
      </c>
      <c r="S1011" t="n">
        <v>2</v>
      </c>
      <c r="T1011" t="n">
        <v>5</v>
      </c>
      <c r="U1011" t="n">
        <v>5</v>
      </c>
      <c r="V1011" s="2" t="inlineStr">
        <is>
          <t>Knärot
Sälg</t>
        </is>
      </c>
      <c r="W1011">
        <f>HYPERLINK("https://klasma.github.io/Logging_2085/artfynd/A 35099-2026 artfynd.xlsx", "A 35099-2026")</f>
        <v/>
      </c>
      <c r="X1011">
        <f>HYPERLINK("https://klasma.github.io/Logging_2085/kartor/A 35099-2026 karta.png", "A 35099-2026")</f>
        <v/>
      </c>
      <c r="Y1011">
        <f>HYPERLINK("https://klasma.github.io/Logging_2085/kartor_geotiff/A 35099-2026 georefererad karta.tif", "A 35099-2026")</f>
        <v/>
      </c>
      <c r="Z1011">
        <f>HYPERLINK("https://klasma.github.io/Logging_2085/knärot/A 35099-2026 karta knärot.png", "A 35099-2026")</f>
        <v/>
      </c>
      <c r="AA1011">
        <f>HYPERLINK("https://klasma.github.io/Logging_2085/klagomål/A 35099-2026 FSC-klagomål.docx", "A 35099-2026")</f>
        <v/>
      </c>
      <c r="AB1011">
        <f>HYPERLINK("https://klasma.github.io/Logging_2085/klagomålsmail/A 35099-2026 FSC-klagomål mail.docx", "A 35099-2026")</f>
        <v/>
      </c>
      <c r="AC1011">
        <f>HYPERLINK("https://klasma.github.io/Logging_2085/tillsyn/A 35099-2026 tillsynsbegäran.docx", "A 35099-2026")</f>
        <v/>
      </c>
      <c r="AD1011">
        <f>HYPERLINK("https://klasma.github.io/Logging_2085/tillsynsmail/A 35099-2026 tillsynsbegäran mail.docx", "A 35099-2026")</f>
        <v/>
      </c>
    </row>
    <row r="1012" ht="15" customHeight="1">
      <c r="A1012" t="inlineStr">
        <is>
          <t>A 49763-2025</t>
        </is>
      </c>
      <c r="B1012" t="inlineStr">
        <is>
          <t>avverkningsanmälan</t>
        </is>
      </c>
      <c r="C1012" t="inlineStr">
        <is>
          <t>Föryngringsavverkning</t>
        </is>
      </c>
      <c r="D1012" s="1" t="n">
        <v>45940</v>
      </c>
      <c r="E1012" s="1" t="n">
        <v>46319</v>
      </c>
      <c r="F1012" t="inlineStr">
        <is>
          <t>DALARNAS LÄN</t>
        </is>
      </c>
      <c r="G1012" t="inlineStr">
        <is>
          <t>LUDVIKA</t>
        </is>
      </c>
      <c r="H1012" t="inlineStr">
        <is>
          <t>Bergvik skog väst AB</t>
        </is>
      </c>
      <c r="I1012" t="n">
        <v>6.9</v>
      </c>
      <c r="J1012" t="n">
        <v>0</v>
      </c>
      <c r="K1012" t="n">
        <v>1</v>
      </c>
      <c r="L1012" t="n">
        <v>1</v>
      </c>
      <c r="M1012" t="n">
        <v>0</v>
      </c>
      <c r="N1012" t="n">
        <v>0</v>
      </c>
      <c r="O1012" t="n">
        <v>0</v>
      </c>
      <c r="P1012" t="n">
        <v>0</v>
      </c>
      <c r="Q1012" t="n">
        <v>1</v>
      </c>
      <c r="R1012" t="n">
        <v>0</v>
      </c>
      <c r="S1012" t="n">
        <v>2</v>
      </c>
      <c r="T1012" t="n">
        <v>3</v>
      </c>
      <c r="U1012" t="n">
        <v>2</v>
      </c>
      <c r="V1012" s="2" t="inlineStr">
        <is>
          <t>Dvärgbägarlav
Vedticka</t>
        </is>
      </c>
      <c r="W1012">
        <f>HYPERLINK("https://klasma.github.io/Logging_2085/artfynd/A 49763-2025 artfynd.xlsx", "A 49763-2025")</f>
        <v/>
      </c>
      <c r="X1012">
        <f>HYPERLINK("https://klasma.github.io/Logging_2085/kartor/A 49763-2025 karta.png", "A 49763-2025")</f>
        <v/>
      </c>
      <c r="Y1012">
        <f>HYPERLINK("https://klasma.github.io/Logging_2085/kartor_geotiff/A 49763-2025 georefererad karta.tif", "A 49763-2025")</f>
        <v/>
      </c>
      <c r="AA1012">
        <f>HYPERLINK("https://klasma.github.io/Logging_2085/klagomål/A 49763-2025 FSC-klagomål.docx", "A 49763-2025")</f>
        <v/>
      </c>
      <c r="AB1012">
        <f>HYPERLINK("https://klasma.github.io/Logging_2085/klagomålsmail/A 49763-2025 FSC-klagomål mail.docx", "A 49763-2025")</f>
        <v/>
      </c>
      <c r="AC1012">
        <f>HYPERLINK("https://klasma.github.io/Logging_2085/tillsyn/A 49763-2025 tillsynsbegäran.docx", "A 49763-2025")</f>
        <v/>
      </c>
      <c r="AD1012">
        <f>HYPERLINK("https://klasma.github.io/Logging_2085/tillsynsmail/A 49763-2025 tillsynsbegäran mail.docx", "A 49763-2025")</f>
        <v/>
      </c>
    </row>
    <row r="1013" ht="15" customHeight="1">
      <c r="A1013" t="inlineStr">
        <is>
          <t>A 35464-2025</t>
        </is>
      </c>
      <c r="B1013" t="inlineStr">
        <is>
          <t>avverkningsanmälan</t>
        </is>
      </c>
      <c r="C1013" t="inlineStr">
        <is>
          <t>Föryngringsavverkning</t>
        </is>
      </c>
      <c r="D1013" s="1" t="n">
        <v>45855</v>
      </c>
      <c r="E1013" s="1" t="n">
        <v>46319</v>
      </c>
      <c r="F1013" t="inlineStr">
        <is>
          <t>DALARNAS LÄN</t>
        </is>
      </c>
      <c r="G1013" t="inlineStr">
        <is>
          <t>GAGNEF</t>
        </is>
      </c>
      <c r="I1013" t="n">
        <v>2.7</v>
      </c>
      <c r="J1013" t="n">
        <v>2</v>
      </c>
      <c r="K1013" t="n">
        <v>0</v>
      </c>
      <c r="L1013" t="n">
        <v>0</v>
      </c>
      <c r="M1013" t="n">
        <v>1</v>
      </c>
      <c r="N1013" t="n">
        <v>0</v>
      </c>
      <c r="O1013" t="n">
        <v>0</v>
      </c>
      <c r="P1013" t="n">
        <v>0</v>
      </c>
      <c r="Q1013" t="n">
        <v>1</v>
      </c>
      <c r="R1013" t="n">
        <v>1</v>
      </c>
      <c r="S1013" t="n">
        <v>2</v>
      </c>
      <c r="T1013" t="n">
        <v>8</v>
      </c>
      <c r="U1013" t="n">
        <v>8</v>
      </c>
      <c r="V1013" s="2" t="inlineStr">
        <is>
          <t>Knärot
Järpe</t>
        </is>
      </c>
      <c r="W1013">
        <f>HYPERLINK("https://klasma.github.io/Logging_2026/artfynd/A 35464-2025 artfynd.xlsx", "A 35464-2025")</f>
        <v/>
      </c>
      <c r="X1013">
        <f>HYPERLINK("https://klasma.github.io/Logging_2026/kartor/A 35464-2025 karta.png", "A 35464-2025")</f>
        <v/>
      </c>
      <c r="Y1013">
        <f>HYPERLINK("https://klasma.github.io/Logging_2026/kartor_geotiff/A 35464-2025 georefererad karta.tif", "A 35464-2025")</f>
        <v/>
      </c>
      <c r="Z1013">
        <f>HYPERLINK("https://klasma.github.io/Logging_2026/knärot/A 35464-2025 karta knärot.png", "A 35464-2025")</f>
        <v/>
      </c>
      <c r="AA1013">
        <f>HYPERLINK("https://klasma.github.io/Logging_2026/klagomål/A 35464-2025 FSC-klagomål.docx", "A 35464-2025")</f>
        <v/>
      </c>
      <c r="AB1013">
        <f>HYPERLINK("https://klasma.github.io/Logging_2026/klagomålsmail/A 35464-2025 FSC-klagomål mail.docx", "A 35464-2025")</f>
        <v/>
      </c>
      <c r="AC1013">
        <f>HYPERLINK("https://klasma.github.io/Logging_2026/tillsyn/A 35464-2025 tillsynsbegäran.docx", "A 35464-2025")</f>
        <v/>
      </c>
      <c r="AD1013">
        <f>HYPERLINK("https://klasma.github.io/Logging_2026/tillsynsmail/A 35464-2025 tillsynsbegäran mail.docx", "A 35464-2025")</f>
        <v/>
      </c>
      <c r="AE1013">
        <f>HYPERLINK("https://klasma.github.io/Logging_2026/fåglar/A 35464-2025 prioriterade fågelarter.docx", "A 35464-2025")</f>
        <v/>
      </c>
    </row>
    <row r="1014" ht="15" customHeight="1">
      <c r="A1014" t="inlineStr">
        <is>
          <t>A 40461-2025</t>
        </is>
      </c>
      <c r="B1014" t="inlineStr">
        <is>
          <t>avverkningsanmälan</t>
        </is>
      </c>
      <c r="C1014" t="inlineStr">
        <is>
          <t>Föryngringsavverkning</t>
        </is>
      </c>
      <c r="D1014" s="1" t="n">
        <v>45895</v>
      </c>
      <c r="E1014" s="1" t="n">
        <v>46319</v>
      </c>
      <c r="F1014" t="inlineStr">
        <is>
          <t>DALARNAS LÄN</t>
        </is>
      </c>
      <c r="G1014" t="inlineStr">
        <is>
          <t>ÄLVDALEN</t>
        </is>
      </c>
      <c r="I1014" t="n">
        <v>3.1</v>
      </c>
      <c r="J1014" t="n">
        <v>2</v>
      </c>
      <c r="K1014" t="n">
        <v>0</v>
      </c>
      <c r="L1014" t="n">
        <v>1</v>
      </c>
      <c r="M1014" t="n">
        <v>0</v>
      </c>
      <c r="N1014" t="n">
        <v>0</v>
      </c>
      <c r="O1014" t="n">
        <v>0</v>
      </c>
      <c r="P1014" t="n">
        <v>0</v>
      </c>
      <c r="Q1014" t="n">
        <v>1</v>
      </c>
      <c r="R1014" t="n">
        <v>0</v>
      </c>
      <c r="S1014" t="n">
        <v>2</v>
      </c>
      <c r="T1014" t="n">
        <v>2</v>
      </c>
      <c r="U1014" t="n">
        <v>2</v>
      </c>
      <c r="V1014" s="2" t="inlineStr">
        <is>
          <t>Talltita
Kungsfågel</t>
        </is>
      </c>
      <c r="W1014">
        <f>HYPERLINK("https://klasma.github.io/Logging_2039/artfynd/A 40461-2025 artfynd.xlsx", "A 40461-2025")</f>
        <v/>
      </c>
      <c r="X1014">
        <f>HYPERLINK("https://klasma.github.io/Logging_2039/kartor/A 40461-2025 karta.png", "A 40461-2025")</f>
        <v/>
      </c>
      <c r="Y1014">
        <f>HYPERLINK("https://klasma.github.io/Logging_2039/kartor_geotiff/A 40461-2025 georefererad karta.tif", "A 40461-2025")</f>
        <v/>
      </c>
      <c r="AA1014">
        <f>HYPERLINK("https://klasma.github.io/Logging_2039/klagomål/A 40461-2025 FSC-klagomål.docx", "A 40461-2025")</f>
        <v/>
      </c>
      <c r="AB1014">
        <f>HYPERLINK("https://klasma.github.io/Logging_2039/klagomålsmail/A 40461-2025 FSC-klagomål mail.docx", "A 40461-2025")</f>
        <v/>
      </c>
      <c r="AC1014">
        <f>HYPERLINK("https://klasma.github.io/Logging_2039/tillsyn/A 40461-2025 tillsynsbegäran.docx", "A 40461-2025")</f>
        <v/>
      </c>
      <c r="AD1014">
        <f>HYPERLINK("https://klasma.github.io/Logging_2039/tillsynsmail/A 40461-2025 tillsynsbegäran mail.docx", "A 40461-2025")</f>
        <v/>
      </c>
      <c r="AE1014">
        <f>HYPERLINK("https://klasma.github.io/Logging_2039/fåglar/A 40461-2025 prioriterade fågelarter.docx", "A 40461-2025")</f>
        <v/>
      </c>
    </row>
    <row r="1015" ht="15" customHeight="1">
      <c r="A1015" t="inlineStr">
        <is>
          <t>A 35104-2026</t>
        </is>
      </c>
      <c r="B1015" t="inlineStr">
        <is>
          <t>avverkningsanmälan</t>
        </is>
      </c>
      <c r="C1015" t="inlineStr">
        <is>
          <t>Föryngringsavverkning</t>
        </is>
      </c>
      <c r="D1015" s="1" t="n">
        <v>46260</v>
      </c>
      <c r="E1015" s="1" t="n">
        <v>46319</v>
      </c>
      <c r="F1015" t="inlineStr">
        <is>
          <t>DALARNAS LÄN</t>
        </is>
      </c>
      <c r="G1015" t="inlineStr">
        <is>
          <t>LUDVIKA</t>
        </is>
      </c>
      <c r="I1015" t="n">
        <v>1.4</v>
      </c>
      <c r="J1015" t="n">
        <v>1</v>
      </c>
      <c r="K1015" t="n">
        <v>1</v>
      </c>
      <c r="L1015" t="n">
        <v>0</v>
      </c>
      <c r="M1015" t="n">
        <v>1</v>
      </c>
      <c r="N1015" t="n">
        <v>0</v>
      </c>
      <c r="O1015" t="n">
        <v>0</v>
      </c>
      <c r="P1015" t="n">
        <v>0</v>
      </c>
      <c r="Q1015" t="n">
        <v>1</v>
      </c>
      <c r="R1015" t="n">
        <v>1</v>
      </c>
      <c r="S1015" t="n">
        <v>2</v>
      </c>
      <c r="T1015" t="n">
        <v>3</v>
      </c>
      <c r="U1015" t="n">
        <v>3</v>
      </c>
      <c r="V1015" s="2" t="inlineStr">
        <is>
          <t>Knärot
Rödgul trumpetsvamp</t>
        </is>
      </c>
      <c r="W1015">
        <f>HYPERLINK("https://klasma.github.io/Logging_2085/artfynd/A 35104-2026 artfynd.xlsx", "A 35104-2026")</f>
        <v/>
      </c>
      <c r="X1015">
        <f>HYPERLINK("https://klasma.github.io/Logging_2085/kartor/A 35104-2026 karta.png", "A 35104-2026")</f>
        <v/>
      </c>
      <c r="Y1015">
        <f>HYPERLINK("https://klasma.github.io/Logging_2085/kartor_geotiff/A 35104-2026 georefererad karta.tif", "A 35104-2026")</f>
        <v/>
      </c>
      <c r="Z1015">
        <f>HYPERLINK("https://klasma.github.io/Logging_2085/knärot/A 35104-2026 karta knärot.png", "A 35104-2026")</f>
        <v/>
      </c>
      <c r="AA1015">
        <f>HYPERLINK("https://klasma.github.io/Logging_2085/klagomål/A 35104-2026 FSC-klagomål.docx", "A 35104-2026")</f>
        <v/>
      </c>
      <c r="AB1015">
        <f>HYPERLINK("https://klasma.github.io/Logging_2085/klagomålsmail/A 35104-2026 FSC-klagomål mail.docx", "A 35104-2026")</f>
        <v/>
      </c>
      <c r="AC1015">
        <f>HYPERLINK("https://klasma.github.io/Logging_2085/tillsyn/A 35104-2026 tillsynsbegäran.docx", "A 35104-2026")</f>
        <v/>
      </c>
      <c r="AD1015">
        <f>HYPERLINK("https://klasma.github.io/Logging_2085/tillsynsmail/A 35104-2026 tillsynsbegäran mail.docx", "A 35104-2026")</f>
        <v/>
      </c>
    </row>
    <row r="1016" ht="15" customHeight="1">
      <c r="A1016" t="inlineStr">
        <is>
          <t>A 2968-2026</t>
        </is>
      </c>
      <c r="B1016" t="inlineStr">
        <is>
          <t>avverkningsanmälan</t>
        </is>
      </c>
      <c r="C1016" t="inlineStr">
        <is>
          <t>Föryngringsavverkning</t>
        </is>
      </c>
      <c r="D1016" s="1" t="n">
        <v>46037</v>
      </c>
      <c r="E1016" s="1" t="n">
        <v>46319</v>
      </c>
      <c r="F1016" t="inlineStr">
        <is>
          <t>DALARNAS LÄN</t>
        </is>
      </c>
      <c r="G1016" t="inlineStr">
        <is>
          <t>FALUN</t>
        </is>
      </c>
      <c r="I1016" t="n">
        <v>12.6</v>
      </c>
      <c r="J1016" t="n">
        <v>1</v>
      </c>
      <c r="K1016" t="n">
        <v>0</v>
      </c>
      <c r="L1016" t="n">
        <v>0</v>
      </c>
      <c r="M1016" t="n">
        <v>1</v>
      </c>
      <c r="N1016" t="n">
        <v>0</v>
      </c>
      <c r="O1016" t="n">
        <v>0</v>
      </c>
      <c r="P1016" t="n">
        <v>0</v>
      </c>
      <c r="Q1016" t="n">
        <v>1</v>
      </c>
      <c r="R1016" t="n">
        <v>1</v>
      </c>
      <c r="S1016" t="n">
        <v>2</v>
      </c>
      <c r="T1016" t="n">
        <v>5</v>
      </c>
      <c r="U1016" t="n">
        <v>1</v>
      </c>
      <c r="V1016" s="2" t="inlineStr">
        <is>
          <t>Garnlav
Tjäder</t>
        </is>
      </c>
      <c r="W1016">
        <f>HYPERLINK("https://klasma.github.io/Logging_2080/artfynd/A 2968-2026 artfynd.xlsx", "A 2968-2026")</f>
        <v/>
      </c>
      <c r="X1016">
        <f>HYPERLINK("https://klasma.github.io/Logging_2080/kartor/A 2968-2026 karta.png", "A 2968-2026")</f>
        <v/>
      </c>
      <c r="Y1016">
        <f>HYPERLINK("https://klasma.github.io/Logging_2080/kartor_geotiff/A 2968-2026 georefererad karta.tif", "A 2968-2026")</f>
        <v/>
      </c>
      <c r="AA1016">
        <f>HYPERLINK("https://klasma.github.io/Logging_2080/klagomål/A 2968-2026 FSC-klagomål.docx", "A 2968-2026")</f>
        <v/>
      </c>
      <c r="AB1016">
        <f>HYPERLINK("https://klasma.github.io/Logging_2080/klagomålsmail/A 2968-2026 FSC-klagomål mail.docx", "A 2968-2026")</f>
        <v/>
      </c>
      <c r="AC1016">
        <f>HYPERLINK("https://klasma.github.io/Logging_2080/tillsyn/A 2968-2026 tillsynsbegäran.docx", "A 2968-2026")</f>
        <v/>
      </c>
      <c r="AD1016">
        <f>HYPERLINK("https://klasma.github.io/Logging_2080/tillsynsmail/A 2968-2026 tillsynsbegäran mail.docx", "A 2968-2026")</f>
        <v/>
      </c>
      <c r="AE1016">
        <f>HYPERLINK("https://klasma.github.io/Logging_2080/fåglar/A 2968-2026 prioriterade fågelarter.docx", "A 2968-2026")</f>
        <v/>
      </c>
    </row>
    <row r="1017" ht="15" customHeight="1">
      <c r="A1017" t="inlineStr">
        <is>
          <t>A 56826-2025</t>
        </is>
      </c>
      <c r="B1017" t="inlineStr">
        <is>
          <t>avverkningsanmälan</t>
        </is>
      </c>
      <c r="C1017" t="inlineStr">
        <is>
          <t>Föryngringsavverkning</t>
        </is>
      </c>
      <c r="D1017" s="1" t="n">
        <v>45978</v>
      </c>
      <c r="E1017" s="1" t="n">
        <v>46319</v>
      </c>
      <c r="F1017" t="inlineStr">
        <is>
          <t>DALARNAS LÄN</t>
        </is>
      </c>
      <c r="G1017" t="inlineStr">
        <is>
          <t>LUDVIKA</t>
        </is>
      </c>
      <c r="H1017" t="inlineStr">
        <is>
          <t>Bergvik skog väst AB</t>
        </is>
      </c>
      <c r="I1017" t="n">
        <v>4.5</v>
      </c>
      <c r="J1017" t="n">
        <v>1</v>
      </c>
      <c r="K1017" t="n">
        <v>0</v>
      </c>
      <c r="L1017" t="n">
        <v>1</v>
      </c>
      <c r="M1017" t="n">
        <v>1</v>
      </c>
      <c r="N1017" t="n">
        <v>0</v>
      </c>
      <c r="O1017" t="n">
        <v>0</v>
      </c>
      <c r="P1017" t="n">
        <v>0</v>
      </c>
      <c r="Q1017" t="n">
        <v>2</v>
      </c>
      <c r="R1017" t="n">
        <v>1</v>
      </c>
      <c r="S1017" t="n">
        <v>2</v>
      </c>
      <c r="T1017" t="n">
        <v>8</v>
      </c>
      <c r="U1017" t="n">
        <v>8</v>
      </c>
      <c r="V1017" s="2" t="inlineStr">
        <is>
          <t>Garnlav
Tretåig hackspett</t>
        </is>
      </c>
      <c r="W1017">
        <f>HYPERLINK("https://klasma.github.io/Logging_2085/artfynd/A 56826-2025 artfynd.xlsx", "A 56826-2025")</f>
        <v/>
      </c>
      <c r="X1017">
        <f>HYPERLINK("https://klasma.github.io/Logging_2085/kartor/A 56826-2025 karta.png", "A 56826-2025")</f>
        <v/>
      </c>
      <c r="Y1017">
        <f>HYPERLINK("https://klasma.github.io/Logging_2085/kartor_geotiff/A 56826-2025 georefererad karta.tif", "A 56826-2025")</f>
        <v/>
      </c>
      <c r="AA1017">
        <f>HYPERLINK("https://klasma.github.io/Logging_2085/klagomål/A 56826-2025 FSC-klagomål.docx", "A 56826-2025")</f>
        <v/>
      </c>
      <c r="AB1017">
        <f>HYPERLINK("https://klasma.github.io/Logging_2085/klagomålsmail/A 56826-2025 FSC-klagomål mail.docx", "A 56826-2025")</f>
        <v/>
      </c>
      <c r="AC1017">
        <f>HYPERLINK("https://klasma.github.io/Logging_2085/tillsyn/A 56826-2025 tillsynsbegäran.docx", "A 56826-2025")</f>
        <v/>
      </c>
      <c r="AD1017">
        <f>HYPERLINK("https://klasma.github.io/Logging_2085/tillsynsmail/A 56826-2025 tillsynsbegäran mail.docx", "A 56826-2025")</f>
        <v/>
      </c>
      <c r="AE1017">
        <f>HYPERLINK("https://klasma.github.io/Logging_2085/fåglar/A 56826-2025 prioriterade fågelarter.docx", "A 56826-2025")</f>
        <v/>
      </c>
    </row>
    <row r="1018" ht="15" customHeight="1">
      <c r="A1018" t="inlineStr">
        <is>
          <t>A 44282-2026</t>
        </is>
      </c>
      <c r="B1018" t="inlineStr">
        <is>
          <t>avverkningsanmälan</t>
        </is>
      </c>
      <c r="C1018" t="inlineStr">
        <is>
          <t>Föryngringsavverkning</t>
        </is>
      </c>
      <c r="D1018" s="1" t="n">
        <v>46318</v>
      </c>
      <c r="E1018" s="1" t="n">
        <v>46319</v>
      </c>
      <c r="F1018" t="inlineStr">
        <is>
          <t>DALARNAS LÄN</t>
        </is>
      </c>
      <c r="G1018" t="inlineStr">
        <is>
          <t>ÄLVDALEN</t>
        </is>
      </c>
      <c r="I1018" t="n">
        <v>5.4</v>
      </c>
      <c r="J1018" t="n">
        <v>2</v>
      </c>
      <c r="K1018" t="n">
        <v>0</v>
      </c>
      <c r="L1018" t="n">
        <v>0</v>
      </c>
      <c r="M1018" t="n">
        <v>0</v>
      </c>
      <c r="N1018" t="n">
        <v>0</v>
      </c>
      <c r="O1018" t="n">
        <v>0</v>
      </c>
      <c r="P1018" t="n">
        <v>0</v>
      </c>
      <c r="Q1018" t="n">
        <v>0</v>
      </c>
      <c r="R1018" t="n">
        <v>0</v>
      </c>
      <c r="S1018" t="n">
        <v>2</v>
      </c>
      <c r="T1018" t="n">
        <v>2</v>
      </c>
      <c r="U1018" t="n">
        <v>0</v>
      </c>
      <c r="V1018" s="2" t="inlineStr">
        <is>
          <t>Tjäder
Dubbelnycklar</t>
        </is>
      </c>
      <c r="W1018">
        <f>HYPERLINK("https://klasma.github.io/Logging_2039/artfynd/A 44282-2026 artfynd.xlsx", "A 44282-2026")</f>
        <v/>
      </c>
      <c r="X1018">
        <f>HYPERLINK("https://klasma.github.io/Logging_2039/kartor/A 44282-2026 karta.png", "A 44282-2026")</f>
        <v/>
      </c>
      <c r="Y1018">
        <f>HYPERLINK("https://klasma.github.io/Logging_2039/kartor_geotiff/A 44282-2026 georefererad karta.tif", "A 44282-2026")</f>
        <v/>
      </c>
      <c r="AA1018">
        <f>HYPERLINK("https://klasma.github.io/Logging_2039/klagomål/A 44282-2026 FSC-klagomål.docx", "A 44282-2026")</f>
        <v/>
      </c>
      <c r="AB1018">
        <f>HYPERLINK("https://klasma.github.io/Logging_2039/klagomålsmail/A 44282-2026 FSC-klagomål mail.docx", "A 44282-2026")</f>
        <v/>
      </c>
      <c r="AC1018">
        <f>HYPERLINK("https://klasma.github.io/Logging_2039/tillsyn/A 44282-2026 tillsynsbegäran.docx", "A 44282-2026")</f>
        <v/>
      </c>
      <c r="AD1018">
        <f>HYPERLINK("https://klasma.github.io/Logging_2039/tillsynsmail/A 44282-2026 tillsynsbegäran mail.docx", "A 44282-2026")</f>
        <v/>
      </c>
      <c r="AE1018">
        <f>HYPERLINK("https://klasma.github.io/Logging_2039/fåglar/A 44282-2026 prioriterade fågelarter.docx", "A 44282-2026")</f>
        <v/>
      </c>
    </row>
    <row r="1019" ht="15" customHeight="1">
      <c r="A1019" t="inlineStr">
        <is>
          <t>A 47815-2024</t>
        </is>
      </c>
      <c r="B1019" t="inlineStr">
        <is>
          <t>avverkningsanmälan</t>
        </is>
      </c>
      <c r="C1019" t="inlineStr">
        <is>
          <t>Föryngringsavverkning</t>
        </is>
      </c>
      <c r="D1019" s="1" t="n">
        <v>45588</v>
      </c>
      <c r="E1019" s="1" t="n">
        <v>46319</v>
      </c>
      <c r="F1019" t="inlineStr">
        <is>
          <t>DALARNAS LÄN</t>
        </is>
      </c>
      <c r="G1019" t="inlineStr">
        <is>
          <t>GAGNEF</t>
        </is>
      </c>
      <c r="I1019" t="n">
        <v>1.6</v>
      </c>
      <c r="J1019" t="n">
        <v>1</v>
      </c>
      <c r="K1019" t="n">
        <v>1</v>
      </c>
      <c r="L1019" t="n">
        <v>1</v>
      </c>
      <c r="M1019" t="n">
        <v>0</v>
      </c>
      <c r="N1019" t="n">
        <v>0</v>
      </c>
      <c r="O1019" t="n">
        <v>0</v>
      </c>
      <c r="P1019" t="n">
        <v>0</v>
      </c>
      <c r="Q1019" t="n">
        <v>1</v>
      </c>
      <c r="R1019" t="n">
        <v>0</v>
      </c>
      <c r="S1019" t="n">
        <v>2</v>
      </c>
      <c r="T1019" t="n">
        <v>3</v>
      </c>
      <c r="U1019" t="n">
        <v>3</v>
      </c>
      <c r="V1019" s="2" t="inlineStr">
        <is>
          <t>Tretåig hackspett
Bollvitmossa</t>
        </is>
      </c>
      <c r="W1019">
        <f>HYPERLINK("https://klasma.github.io/Logging_2026/artfynd/A 47815-2024 artfynd.xlsx", "A 47815-2024")</f>
        <v/>
      </c>
      <c r="X1019">
        <f>HYPERLINK("https://klasma.github.io/Logging_2026/kartor/A 47815-2024 karta.png", "A 47815-2024")</f>
        <v/>
      </c>
      <c r="Y1019">
        <f>HYPERLINK("https://klasma.github.io/Logging_2026/kartor_geotiff/A 47815-2024 georefererad karta.tif", "A 47815-2024")</f>
        <v/>
      </c>
      <c r="AA1019">
        <f>HYPERLINK("https://klasma.github.io/Logging_2026/klagomål/A 47815-2024 FSC-klagomål.docx", "A 47815-2024")</f>
        <v/>
      </c>
      <c r="AB1019">
        <f>HYPERLINK("https://klasma.github.io/Logging_2026/klagomålsmail/A 47815-2024 FSC-klagomål mail.docx", "A 47815-2024")</f>
        <v/>
      </c>
      <c r="AC1019">
        <f>HYPERLINK("https://klasma.github.io/Logging_2026/tillsyn/A 47815-2024 tillsynsbegäran.docx", "A 47815-2024")</f>
        <v/>
      </c>
      <c r="AD1019">
        <f>HYPERLINK("https://klasma.github.io/Logging_2026/tillsynsmail/A 47815-2024 tillsynsbegäran mail.docx", "A 47815-2024")</f>
        <v/>
      </c>
      <c r="AE1019">
        <f>HYPERLINK("https://klasma.github.io/Logging_2026/fåglar/A 47815-2024 prioriterade fågelarter.docx", "A 47815-2024")</f>
        <v/>
      </c>
    </row>
    <row r="1020" ht="15" customHeight="1">
      <c r="A1020" t="inlineStr">
        <is>
          <t>A 37126-2026</t>
        </is>
      </c>
      <c r="B1020" t="inlineStr">
        <is>
          <t>avverkningsanmälan</t>
        </is>
      </c>
      <c r="C1020" t="inlineStr">
        <is>
          <t>Föryngringsavverkning</t>
        </is>
      </c>
      <c r="D1020" s="1" t="n">
        <v>46274</v>
      </c>
      <c r="E1020" s="1" t="n">
        <v>46319</v>
      </c>
      <c r="F1020" t="inlineStr">
        <is>
          <t>DALARNAS LÄN</t>
        </is>
      </c>
      <c r="G1020" t="inlineStr">
        <is>
          <t>RÄTTVIK</t>
        </is>
      </c>
      <c r="H1020" t="inlineStr">
        <is>
          <t>Sveaskog</t>
        </is>
      </c>
      <c r="I1020" t="n">
        <v>8.6</v>
      </c>
      <c r="J1020" t="n">
        <v>1</v>
      </c>
      <c r="K1020" t="n">
        <v>1</v>
      </c>
      <c r="L1020" t="n">
        <v>1</v>
      </c>
      <c r="M1020" t="n">
        <v>0</v>
      </c>
      <c r="N1020" t="n">
        <v>0</v>
      </c>
      <c r="O1020" t="n">
        <v>0</v>
      </c>
      <c r="P1020" t="n">
        <v>0</v>
      </c>
      <c r="Q1020" t="n">
        <v>1</v>
      </c>
      <c r="R1020" t="n">
        <v>0</v>
      </c>
      <c r="S1020" t="n">
        <v>2</v>
      </c>
      <c r="T1020" t="n">
        <v>2</v>
      </c>
      <c r="U1020" t="n">
        <v>0</v>
      </c>
      <c r="V1020" s="2" t="inlineStr">
        <is>
          <t>Kolflarnlav
Plattlummer</t>
        </is>
      </c>
      <c r="W1020">
        <f>HYPERLINK("https://klasma.github.io/Logging_2031/artfynd/A 37126-2026 artfynd.xlsx", "A 37126-2026")</f>
        <v/>
      </c>
      <c r="X1020">
        <f>HYPERLINK("https://klasma.github.io/Logging_2031/kartor/A 37126-2026 karta.png", "A 37126-2026")</f>
        <v/>
      </c>
      <c r="Y1020">
        <f>HYPERLINK("https://klasma.github.io/Logging_2031/kartor_geotiff/A 37126-2026 georefererad karta.tif", "A 37126-2026")</f>
        <v/>
      </c>
      <c r="AA1020">
        <f>HYPERLINK("https://klasma.github.io/Logging_2031/klagomål/A 37126-2026 FSC-klagomål.docx", "A 37126-2026")</f>
        <v/>
      </c>
      <c r="AB1020">
        <f>HYPERLINK("https://klasma.github.io/Logging_2031/klagomålsmail/A 37126-2026 FSC-klagomål mail.docx", "A 37126-2026")</f>
        <v/>
      </c>
      <c r="AC1020">
        <f>HYPERLINK("https://klasma.github.io/Logging_2031/tillsyn/A 37126-2026 tillsynsbegäran.docx", "A 37126-2026")</f>
        <v/>
      </c>
      <c r="AD1020">
        <f>HYPERLINK("https://klasma.github.io/Logging_2031/tillsynsmail/A 37126-2026 tillsynsbegäran mail.docx", "A 37126-2026")</f>
        <v/>
      </c>
    </row>
    <row r="1021" ht="15" customHeight="1">
      <c r="A1021" t="inlineStr">
        <is>
          <t>A 20658-2026</t>
        </is>
      </c>
      <c r="B1021" t="inlineStr">
        <is>
          <t>avverkningsanmälan</t>
        </is>
      </c>
      <c r="C1021" t="inlineStr">
        <is>
          <t>Föryngringsavverkning</t>
        </is>
      </c>
      <c r="D1021" s="1" t="n">
        <v>46141</v>
      </c>
      <c r="E1021" s="1" t="n">
        <v>46319</v>
      </c>
      <c r="F1021" t="inlineStr">
        <is>
          <t>DALARNAS LÄN</t>
        </is>
      </c>
      <c r="G1021" t="inlineStr">
        <is>
          <t>FALUN</t>
        </is>
      </c>
      <c r="H1021" t="inlineStr">
        <is>
          <t>Bergvik skog väst AB</t>
        </is>
      </c>
      <c r="I1021" t="n">
        <v>2.2</v>
      </c>
      <c r="J1021" t="n">
        <v>1</v>
      </c>
      <c r="K1021" t="n">
        <v>0</v>
      </c>
      <c r="L1021" t="n">
        <v>2</v>
      </c>
      <c r="M1021" t="n">
        <v>0</v>
      </c>
      <c r="N1021" t="n">
        <v>0</v>
      </c>
      <c r="O1021" t="n">
        <v>0</v>
      </c>
      <c r="P1021" t="n">
        <v>0</v>
      </c>
      <c r="Q1021" t="n">
        <v>2</v>
      </c>
      <c r="R1021" t="n">
        <v>0</v>
      </c>
      <c r="S1021" t="n">
        <v>2</v>
      </c>
      <c r="T1021" t="n">
        <v>2</v>
      </c>
      <c r="U1021" t="n">
        <v>0</v>
      </c>
      <c r="V1021" s="2" t="inlineStr">
        <is>
          <t>Tretåig hackspett
Ullticka</t>
        </is>
      </c>
      <c r="W1021">
        <f>HYPERLINK("https://klasma.github.io/Logging_2080/artfynd/A 20658-2026 artfynd.xlsx", "A 20658-2026")</f>
        <v/>
      </c>
      <c r="X1021">
        <f>HYPERLINK("https://klasma.github.io/Logging_2080/kartor/A 20658-2026 karta.png", "A 20658-2026")</f>
        <v/>
      </c>
      <c r="Y1021">
        <f>HYPERLINK("https://klasma.github.io/Logging_2080/kartor_geotiff/A 20658-2026 georefererad karta.tif", "A 20658-2026")</f>
        <v/>
      </c>
      <c r="AA1021">
        <f>HYPERLINK("https://klasma.github.io/Logging_2080/klagomål/A 20658-2026 FSC-klagomål.docx", "A 20658-2026")</f>
        <v/>
      </c>
      <c r="AB1021">
        <f>HYPERLINK("https://klasma.github.io/Logging_2080/klagomålsmail/A 20658-2026 FSC-klagomål mail.docx", "A 20658-2026")</f>
        <v/>
      </c>
      <c r="AC1021">
        <f>HYPERLINK("https://klasma.github.io/Logging_2080/tillsyn/A 20658-2026 tillsynsbegäran.docx", "A 20658-2026")</f>
        <v/>
      </c>
      <c r="AD1021">
        <f>HYPERLINK("https://klasma.github.io/Logging_2080/tillsynsmail/A 20658-2026 tillsynsbegäran mail.docx", "A 20658-2026")</f>
        <v/>
      </c>
      <c r="AE1021">
        <f>HYPERLINK("https://klasma.github.io/Logging_2080/fåglar/A 20658-2026 prioriterade fågelarter.docx", "A 20658-2026")</f>
        <v/>
      </c>
    </row>
    <row r="1022" ht="15" customHeight="1">
      <c r="A1022" t="inlineStr">
        <is>
          <t>A 24426-2026</t>
        </is>
      </c>
      <c r="B1022" t="inlineStr">
        <is>
          <t>avverkningsanmälan</t>
        </is>
      </c>
      <c r="C1022" t="inlineStr">
        <is>
          <t>Föryngringsavverkning</t>
        </is>
      </c>
      <c r="D1022" s="1" t="n">
        <v>46168</v>
      </c>
      <c r="E1022" s="1" t="n">
        <v>46319</v>
      </c>
      <c r="F1022" t="inlineStr">
        <is>
          <t>DALARNAS LÄN</t>
        </is>
      </c>
      <c r="G1022" t="inlineStr">
        <is>
          <t>LUDVIKA</t>
        </is>
      </c>
      <c r="H1022" t="inlineStr">
        <is>
          <t>Övriga Aktiebolag</t>
        </is>
      </c>
      <c r="I1022" t="n">
        <v>12.4</v>
      </c>
      <c r="J1022" t="n">
        <v>1</v>
      </c>
      <c r="K1022" t="n">
        <v>0</v>
      </c>
      <c r="L1022" t="n">
        <v>0</v>
      </c>
      <c r="M1022" t="n">
        <v>0</v>
      </c>
      <c r="N1022" t="n">
        <v>0</v>
      </c>
      <c r="O1022" t="n">
        <v>0</v>
      </c>
      <c r="P1022" t="n">
        <v>0</v>
      </c>
      <c r="Q1022" t="n">
        <v>0</v>
      </c>
      <c r="R1022" t="n">
        <v>0</v>
      </c>
      <c r="S1022" t="n">
        <v>2</v>
      </c>
      <c r="T1022" t="n">
        <v>3</v>
      </c>
      <c r="U1022" t="n">
        <v>0</v>
      </c>
      <c r="V1022" s="2" t="inlineStr">
        <is>
          <t>Spillkråka
Sälg</t>
        </is>
      </c>
      <c r="W1022">
        <f>HYPERLINK("https://klasma.github.io/Logging_2085/artfynd/A 24426-2026 artfynd.xlsx", "A 24426-2026")</f>
        <v/>
      </c>
      <c r="X1022">
        <f>HYPERLINK("https://klasma.github.io/Logging_2085/kartor/A 24426-2026 karta.png", "A 24426-2026")</f>
        <v/>
      </c>
      <c r="Y1022">
        <f>HYPERLINK("https://klasma.github.io/Logging_2085/kartor_geotiff/A 24426-2026 georefererad karta.tif", "A 24426-2026")</f>
        <v/>
      </c>
      <c r="AA1022">
        <f>HYPERLINK("https://klasma.github.io/Logging_2085/klagomål/A 24426-2026 FSC-klagomål.docx", "A 24426-2026")</f>
        <v/>
      </c>
      <c r="AB1022">
        <f>HYPERLINK("https://klasma.github.io/Logging_2085/klagomålsmail/A 24426-2026 FSC-klagomål mail.docx", "A 24426-2026")</f>
        <v/>
      </c>
      <c r="AC1022">
        <f>HYPERLINK("https://klasma.github.io/Logging_2085/tillsyn/A 24426-2026 tillsynsbegäran.docx", "A 24426-2026")</f>
        <v/>
      </c>
      <c r="AD1022">
        <f>HYPERLINK("https://klasma.github.io/Logging_2085/tillsynsmail/A 24426-2026 tillsynsbegäran mail.docx", "A 24426-2026")</f>
        <v/>
      </c>
      <c r="AE1022">
        <f>HYPERLINK("https://klasma.github.io/Logging_2085/fåglar/A 24426-2026 prioriterade fågelarter.docx", "A 24426-2026")</f>
        <v/>
      </c>
    </row>
    <row r="1023" ht="15" customHeight="1">
      <c r="A1023" t="inlineStr">
        <is>
          <t>A 3515-2023</t>
        </is>
      </c>
      <c r="B1023" t="inlineStr">
        <is>
          <t>avverkningsanmälan</t>
        </is>
      </c>
      <c r="C1023" t="inlineStr">
        <is>
          <t>Föryngringsavverkning</t>
        </is>
      </c>
      <c r="D1023" s="1" t="n">
        <v>44950</v>
      </c>
      <c r="E1023" s="1" t="n">
        <v>46319</v>
      </c>
      <c r="F1023" t="inlineStr">
        <is>
          <t>DALARNAS LÄN</t>
        </is>
      </c>
      <c r="G1023" t="inlineStr">
        <is>
          <t>BORLÄNGE</t>
        </is>
      </c>
      <c r="I1023" t="n">
        <v>2.8</v>
      </c>
      <c r="J1023" t="n">
        <v>2</v>
      </c>
      <c r="K1023" t="n">
        <v>0</v>
      </c>
      <c r="L1023" t="n">
        <v>2</v>
      </c>
      <c r="M1023" t="n">
        <v>0</v>
      </c>
      <c r="N1023" t="n">
        <v>0</v>
      </c>
      <c r="O1023" t="n">
        <v>0</v>
      </c>
      <c r="P1023" t="n">
        <v>0</v>
      </c>
      <c r="Q1023" t="n">
        <v>2</v>
      </c>
      <c r="R1023" t="n">
        <v>0</v>
      </c>
      <c r="S1023" t="n">
        <v>2</v>
      </c>
      <c r="T1023" t="n">
        <v>2</v>
      </c>
      <c r="U1023" t="n">
        <v>2</v>
      </c>
      <c r="V1023" s="2" t="inlineStr">
        <is>
          <t>Gulsparv
Rödvingetrast</t>
        </is>
      </c>
      <c r="W1023">
        <f>HYPERLINK("https://klasma.github.io/Logging_2081/artfynd/A 3515-2023 artfynd.xlsx", "A 3515-2023")</f>
        <v/>
      </c>
      <c r="X1023">
        <f>HYPERLINK("https://klasma.github.io/Logging_2081/kartor/A 3515-2023 karta.png", "A 3515-2023")</f>
        <v/>
      </c>
      <c r="Y1023">
        <f>HYPERLINK("https://klasma.github.io/Logging_2081/kartor_geotiff/A 3515-2023 georefererad karta.tif", "A 3515-2023")</f>
        <v/>
      </c>
      <c r="AA1023">
        <f>HYPERLINK("https://klasma.github.io/Logging_2081/klagomål/A 3515-2023 FSC-klagomål.docx", "A 3515-2023")</f>
        <v/>
      </c>
      <c r="AB1023">
        <f>HYPERLINK("https://klasma.github.io/Logging_2081/klagomålsmail/A 3515-2023 FSC-klagomål mail.docx", "A 3515-2023")</f>
        <v/>
      </c>
      <c r="AC1023">
        <f>HYPERLINK("https://klasma.github.io/Logging_2081/tillsyn/A 3515-2023 tillsynsbegäran.docx", "A 3515-2023")</f>
        <v/>
      </c>
      <c r="AD1023">
        <f>HYPERLINK("https://klasma.github.io/Logging_2081/tillsynsmail/A 3515-2023 tillsynsbegäran mail.docx", "A 3515-2023")</f>
        <v/>
      </c>
      <c r="AE1023">
        <f>HYPERLINK("https://klasma.github.io/Logging_2081/fåglar/A 3515-2023 prioriterade fågelarter.docx", "A 3515-2023")</f>
        <v/>
      </c>
    </row>
    <row r="1024" ht="15" customHeight="1">
      <c r="A1024" t="inlineStr">
        <is>
          <t>A 12787-2024</t>
        </is>
      </c>
      <c r="B1024" t="inlineStr">
        <is>
          <t>avverkningsanmälan</t>
        </is>
      </c>
      <c r="C1024" t="inlineStr">
        <is>
          <t>Föryngringsavverkning</t>
        </is>
      </c>
      <c r="D1024" s="1" t="n">
        <v>45384</v>
      </c>
      <c r="E1024" s="1" t="n">
        <v>46319</v>
      </c>
      <c r="F1024" t="inlineStr">
        <is>
          <t>DALARNAS LÄN</t>
        </is>
      </c>
      <c r="G1024" t="inlineStr">
        <is>
          <t>BORLÄNGE</t>
        </is>
      </c>
      <c r="I1024" t="n">
        <v>1.1</v>
      </c>
      <c r="J1024" t="n">
        <v>2</v>
      </c>
      <c r="K1024" t="n">
        <v>0</v>
      </c>
      <c r="L1024" t="n">
        <v>2</v>
      </c>
      <c r="M1024" t="n">
        <v>0</v>
      </c>
      <c r="N1024" t="n">
        <v>0</v>
      </c>
      <c r="O1024" t="n">
        <v>0</v>
      </c>
      <c r="P1024" t="n">
        <v>0</v>
      </c>
      <c r="Q1024" t="n">
        <v>2</v>
      </c>
      <c r="R1024" t="n">
        <v>0</v>
      </c>
      <c r="S1024" t="n">
        <v>2</v>
      </c>
      <c r="T1024" t="n">
        <v>2</v>
      </c>
      <c r="U1024" t="n">
        <v>2</v>
      </c>
      <c r="V1024" s="2" t="inlineStr">
        <is>
          <t>Gulsparv
Rödvingetrast</t>
        </is>
      </c>
      <c r="W1024">
        <f>HYPERLINK("https://klasma.github.io/Logging_2081/artfynd/A 12787-2024 artfynd.xlsx", "A 12787-2024")</f>
        <v/>
      </c>
      <c r="X1024">
        <f>HYPERLINK("https://klasma.github.io/Logging_2081/kartor/A 12787-2024 karta.png", "A 12787-2024")</f>
        <v/>
      </c>
      <c r="Y1024">
        <f>HYPERLINK("https://klasma.github.io/Logging_2081/kartor_geotiff/A 12787-2024 georefererad karta.tif", "A 12787-2024")</f>
        <v/>
      </c>
      <c r="AA1024">
        <f>HYPERLINK("https://klasma.github.io/Logging_2081/klagomål/A 12787-2024 FSC-klagomål.docx", "A 12787-2024")</f>
        <v/>
      </c>
      <c r="AB1024">
        <f>HYPERLINK("https://klasma.github.io/Logging_2081/klagomålsmail/A 12787-2024 FSC-klagomål mail.docx", "A 12787-2024")</f>
        <v/>
      </c>
      <c r="AC1024">
        <f>HYPERLINK("https://klasma.github.io/Logging_2081/tillsyn/A 12787-2024 tillsynsbegäran.docx", "A 12787-2024")</f>
        <v/>
      </c>
      <c r="AD1024">
        <f>HYPERLINK("https://klasma.github.io/Logging_2081/tillsynsmail/A 12787-2024 tillsynsbegäran mail.docx", "A 12787-2024")</f>
        <v/>
      </c>
      <c r="AE1024">
        <f>HYPERLINK("https://klasma.github.io/Logging_2081/fåglar/A 12787-2024 prioriterade fågelarter.docx", "A 12787-2024")</f>
        <v/>
      </c>
    </row>
    <row r="1025" ht="15" customHeight="1">
      <c r="A1025" t="inlineStr">
        <is>
          <t>A 44727-2025</t>
        </is>
      </c>
      <c r="B1025" t="inlineStr">
        <is>
          <t>avverkningsanmälan</t>
        </is>
      </c>
      <c r="C1025" t="inlineStr">
        <is>
          <t>Föryngringsavverkning</t>
        </is>
      </c>
      <c r="D1025" s="1" t="n">
        <v>45917</v>
      </c>
      <c r="E1025" s="1" t="n">
        <v>46319</v>
      </c>
      <c r="F1025" t="inlineStr">
        <is>
          <t>DALARNAS LÄN</t>
        </is>
      </c>
      <c r="G1025" t="inlineStr">
        <is>
          <t>FALUN</t>
        </is>
      </c>
      <c r="I1025" t="n">
        <v>1.7</v>
      </c>
      <c r="J1025" t="n">
        <v>1</v>
      </c>
      <c r="K1025" t="n">
        <v>0</v>
      </c>
      <c r="L1025" t="n">
        <v>1</v>
      </c>
      <c r="M1025" t="n">
        <v>1</v>
      </c>
      <c r="N1025" t="n">
        <v>0</v>
      </c>
      <c r="O1025" t="n">
        <v>0</v>
      </c>
      <c r="P1025" t="n">
        <v>0</v>
      </c>
      <c r="Q1025" t="n">
        <v>2</v>
      </c>
      <c r="R1025" t="n">
        <v>1</v>
      </c>
      <c r="S1025" t="n">
        <v>2</v>
      </c>
      <c r="T1025" t="n">
        <v>2</v>
      </c>
      <c r="U1025" t="n">
        <v>0</v>
      </c>
      <c r="V1025" s="2" t="inlineStr">
        <is>
          <t>Knärot
Dropptaggsvamp</t>
        </is>
      </c>
      <c r="W1025">
        <f>HYPERLINK("https://klasma.github.io/Logging_2080/artfynd/A 44727-2025 artfynd.xlsx", "A 44727-2025")</f>
        <v/>
      </c>
      <c r="X1025">
        <f>HYPERLINK("https://klasma.github.io/Logging_2080/kartor/A 44727-2025 karta.png", "A 44727-2025")</f>
        <v/>
      </c>
      <c r="Y1025">
        <f>HYPERLINK("https://klasma.github.io/Logging_2080/kartor_geotiff/A 44727-2025 georefererad karta.tif", "A 44727-2025")</f>
        <v/>
      </c>
      <c r="Z1025">
        <f>HYPERLINK("https://klasma.github.io/Logging_2080/knärot/A 44727-2025 karta knärot.png", "A 44727-2025")</f>
        <v/>
      </c>
      <c r="AA1025">
        <f>HYPERLINK("https://klasma.github.io/Logging_2080/klagomål/A 44727-2025 FSC-klagomål.docx", "A 44727-2025")</f>
        <v/>
      </c>
      <c r="AB1025">
        <f>HYPERLINK("https://klasma.github.io/Logging_2080/klagomålsmail/A 44727-2025 FSC-klagomål mail.docx", "A 44727-2025")</f>
        <v/>
      </c>
      <c r="AC1025">
        <f>HYPERLINK("https://klasma.github.io/Logging_2080/tillsyn/A 44727-2025 tillsynsbegäran.docx", "A 44727-2025")</f>
        <v/>
      </c>
      <c r="AD1025">
        <f>HYPERLINK("https://klasma.github.io/Logging_2080/tillsynsmail/A 44727-2025 tillsynsbegäran mail.docx", "A 44727-2025")</f>
        <v/>
      </c>
    </row>
    <row r="1026" ht="15" customHeight="1">
      <c r="A1026" t="inlineStr">
        <is>
          <t>A 21029-2026</t>
        </is>
      </c>
      <c r="B1026" t="inlineStr">
        <is>
          <t>avverkningsanmälan</t>
        </is>
      </c>
      <c r="C1026" t="inlineStr">
        <is>
          <t>Föryngringsavverkning</t>
        </is>
      </c>
      <c r="D1026" s="1" t="n">
        <v>46146</v>
      </c>
      <c r="E1026" s="1" t="n">
        <v>46319</v>
      </c>
      <c r="F1026" t="inlineStr">
        <is>
          <t>DALARNAS LÄN</t>
        </is>
      </c>
      <c r="G1026" t="inlineStr">
        <is>
          <t>HEDEMORA</t>
        </is>
      </c>
      <c r="H1026" t="inlineStr">
        <is>
          <t>Sveaskog</t>
        </is>
      </c>
      <c r="I1026" t="n">
        <v>25.7</v>
      </c>
      <c r="J1026" t="n">
        <v>2</v>
      </c>
      <c r="K1026" t="n">
        <v>0</v>
      </c>
      <c r="L1026" t="n">
        <v>1</v>
      </c>
      <c r="M1026" t="n">
        <v>0</v>
      </c>
      <c r="N1026" t="n">
        <v>0</v>
      </c>
      <c r="O1026" t="n">
        <v>0</v>
      </c>
      <c r="P1026" t="n">
        <v>0</v>
      </c>
      <c r="Q1026" t="n">
        <v>1</v>
      </c>
      <c r="R1026" t="n">
        <v>0</v>
      </c>
      <c r="S1026" t="n">
        <v>2</v>
      </c>
      <c r="T1026" t="n">
        <v>2</v>
      </c>
      <c r="U1026" t="n">
        <v>1</v>
      </c>
      <c r="V1026" s="2" t="inlineStr">
        <is>
          <t>Nordfladdermus
Fläcknycklar</t>
        </is>
      </c>
      <c r="W1026">
        <f>HYPERLINK("https://klasma.github.io/Logging_2083/artfynd/A 21029-2026 artfynd.xlsx", "A 21029-2026")</f>
        <v/>
      </c>
      <c r="X1026">
        <f>HYPERLINK("https://klasma.github.io/Logging_2083/kartor/A 21029-2026 karta.png", "A 21029-2026")</f>
        <v/>
      </c>
      <c r="Y1026">
        <f>HYPERLINK("https://klasma.github.io/Logging_2083/kartor_geotiff/A 21029-2026 georefererad karta.tif", "A 21029-2026")</f>
        <v/>
      </c>
      <c r="AA1026">
        <f>HYPERLINK("https://klasma.github.io/Logging_2083/klagomål/A 21029-2026 FSC-klagomål.docx", "A 21029-2026")</f>
        <v/>
      </c>
      <c r="AB1026">
        <f>HYPERLINK("https://klasma.github.io/Logging_2083/klagomålsmail/A 21029-2026 FSC-klagomål mail.docx", "A 21029-2026")</f>
        <v/>
      </c>
      <c r="AC1026">
        <f>HYPERLINK("https://klasma.github.io/Logging_2083/tillsyn/A 21029-2026 tillsynsbegäran.docx", "A 21029-2026")</f>
        <v/>
      </c>
      <c r="AD1026">
        <f>HYPERLINK("https://klasma.github.io/Logging_2083/tillsynsmail/A 21029-2026 tillsynsbegäran mail.docx", "A 21029-2026")</f>
        <v/>
      </c>
    </row>
    <row r="1027" ht="15" customHeight="1">
      <c r="A1027" t="inlineStr">
        <is>
          <t>A 21876-2026</t>
        </is>
      </c>
      <c r="B1027" t="inlineStr">
        <is>
          <t>avverkningsanmälan</t>
        </is>
      </c>
      <c r="C1027" t="inlineStr">
        <is>
          <t>Föryngringsavverkning</t>
        </is>
      </c>
      <c r="D1027" s="1" t="n">
        <v>46150</v>
      </c>
      <c r="E1027" s="1" t="n">
        <v>46319</v>
      </c>
      <c r="F1027" t="inlineStr">
        <is>
          <t>DALARNAS LÄN</t>
        </is>
      </c>
      <c r="G1027" t="inlineStr">
        <is>
          <t>LUDVIKA</t>
        </is>
      </c>
      <c r="H1027" t="inlineStr">
        <is>
          <t>Bergvik skog väst AB</t>
        </is>
      </c>
      <c r="I1027" t="n">
        <v>1.9</v>
      </c>
      <c r="J1027" t="n">
        <v>1</v>
      </c>
      <c r="K1027" t="n">
        <v>0</v>
      </c>
      <c r="L1027" t="n">
        <v>1</v>
      </c>
      <c r="M1027" t="n">
        <v>1</v>
      </c>
      <c r="N1027" t="n">
        <v>0</v>
      </c>
      <c r="O1027" t="n">
        <v>0</v>
      </c>
      <c r="P1027" t="n">
        <v>0</v>
      </c>
      <c r="Q1027" t="n">
        <v>2</v>
      </c>
      <c r="R1027" t="n">
        <v>1</v>
      </c>
      <c r="S1027" t="n">
        <v>2</v>
      </c>
      <c r="T1027" t="n">
        <v>2</v>
      </c>
      <c r="U1027" t="n">
        <v>2</v>
      </c>
      <c r="V1027" s="2" t="inlineStr">
        <is>
          <t>Garnlav
Tretåig hackspett</t>
        </is>
      </c>
      <c r="W1027">
        <f>HYPERLINK("https://klasma.github.io/Logging_2085/artfynd/A 21876-2026 artfynd.xlsx", "A 21876-2026")</f>
        <v/>
      </c>
      <c r="X1027">
        <f>HYPERLINK("https://klasma.github.io/Logging_2085/kartor/A 21876-2026 karta.png", "A 21876-2026")</f>
        <v/>
      </c>
      <c r="Y1027">
        <f>HYPERLINK("https://klasma.github.io/Logging_2085/kartor_geotiff/A 21876-2026 georefererad karta.tif", "A 21876-2026")</f>
        <v/>
      </c>
      <c r="AA1027">
        <f>HYPERLINK("https://klasma.github.io/Logging_2085/klagomål/A 21876-2026 FSC-klagomål.docx", "A 21876-2026")</f>
        <v/>
      </c>
      <c r="AB1027">
        <f>HYPERLINK("https://klasma.github.io/Logging_2085/klagomålsmail/A 21876-2026 FSC-klagomål mail.docx", "A 21876-2026")</f>
        <v/>
      </c>
      <c r="AC1027">
        <f>HYPERLINK("https://klasma.github.io/Logging_2085/tillsyn/A 21876-2026 tillsynsbegäran.docx", "A 21876-2026")</f>
        <v/>
      </c>
      <c r="AD1027">
        <f>HYPERLINK("https://klasma.github.io/Logging_2085/tillsynsmail/A 21876-2026 tillsynsbegäran mail.docx", "A 21876-2026")</f>
        <v/>
      </c>
      <c r="AE1027">
        <f>HYPERLINK("https://klasma.github.io/Logging_2085/fåglar/A 21876-2026 prioriterade fågelarter.docx", "A 21876-2026")</f>
        <v/>
      </c>
    </row>
    <row r="1028" ht="15" customHeight="1">
      <c r="A1028" t="inlineStr">
        <is>
          <t>A 8751-2024</t>
        </is>
      </c>
      <c r="B1028" t="inlineStr">
        <is>
          <t>avverkningsanmälan</t>
        </is>
      </c>
      <c r="C1028" t="inlineStr">
        <is>
          <t>Föryngringsavverkning</t>
        </is>
      </c>
      <c r="D1028" s="1" t="n">
        <v>45356</v>
      </c>
      <c r="E1028" s="1" t="n">
        <v>46319</v>
      </c>
      <c r="F1028" t="inlineStr">
        <is>
          <t>DALARNAS LÄN</t>
        </is>
      </c>
      <c r="G1028" t="inlineStr">
        <is>
          <t>FALUN</t>
        </is>
      </c>
      <c r="I1028" t="n">
        <v>6</v>
      </c>
      <c r="J1028" t="n">
        <v>2</v>
      </c>
      <c r="K1028" t="n">
        <v>0</v>
      </c>
      <c r="L1028" t="n">
        <v>0</v>
      </c>
      <c r="M1028" t="n">
        <v>1</v>
      </c>
      <c r="N1028" t="n">
        <v>0</v>
      </c>
      <c r="O1028" t="n">
        <v>0</v>
      </c>
      <c r="P1028" t="n">
        <v>0</v>
      </c>
      <c r="Q1028" t="n">
        <v>1</v>
      </c>
      <c r="R1028" t="n">
        <v>1</v>
      </c>
      <c r="S1028" t="n">
        <v>2</v>
      </c>
      <c r="T1028" t="n">
        <v>2</v>
      </c>
      <c r="U1028" t="n">
        <v>2</v>
      </c>
      <c r="V1028" s="2" t="inlineStr">
        <is>
          <t>Knärot
Vanlig groda</t>
        </is>
      </c>
      <c r="W1028">
        <f>HYPERLINK("https://klasma.github.io/Logging_2080/artfynd/A 8751-2024 artfynd.xlsx", "A 8751-2024")</f>
        <v/>
      </c>
      <c r="X1028">
        <f>HYPERLINK("https://klasma.github.io/Logging_2080/kartor/A 8751-2024 karta.png", "A 8751-2024")</f>
        <v/>
      </c>
      <c r="Y1028">
        <f>HYPERLINK("https://klasma.github.io/Logging_2080/kartor_geotiff/A 8751-2024 georefererad karta.tif", "A 8751-2024")</f>
        <v/>
      </c>
      <c r="Z1028">
        <f>HYPERLINK("https://klasma.github.io/Logging_2080/knärot/A 8751-2024 karta knärot.png", "A 8751-2024")</f>
        <v/>
      </c>
      <c r="AA1028">
        <f>HYPERLINK("https://klasma.github.io/Logging_2080/klagomål/A 8751-2024 FSC-klagomål.docx", "A 8751-2024")</f>
        <v/>
      </c>
      <c r="AB1028">
        <f>HYPERLINK("https://klasma.github.io/Logging_2080/klagomålsmail/A 8751-2024 FSC-klagomål mail.docx", "A 8751-2024")</f>
        <v/>
      </c>
      <c r="AC1028">
        <f>HYPERLINK("https://klasma.github.io/Logging_2080/tillsyn/A 8751-2024 tillsynsbegäran.docx", "A 8751-2024")</f>
        <v/>
      </c>
      <c r="AD1028">
        <f>HYPERLINK("https://klasma.github.io/Logging_2080/tillsynsmail/A 8751-2024 tillsynsbegäran mail.docx", "A 8751-2024")</f>
        <v/>
      </c>
    </row>
    <row r="1029" ht="15" customHeight="1">
      <c r="A1029" t="inlineStr">
        <is>
          <t>A 22762-2026</t>
        </is>
      </c>
      <c r="B1029" t="inlineStr">
        <is>
          <t>avverkningsanmälan</t>
        </is>
      </c>
      <c r="C1029" t="inlineStr">
        <is>
          <t>Föryngringsavverkning</t>
        </is>
      </c>
      <c r="D1029" s="1" t="n">
        <v>46157</v>
      </c>
      <c r="E1029" s="1" t="n">
        <v>46319</v>
      </c>
      <c r="F1029" t="inlineStr">
        <is>
          <t>DALARNAS LÄN</t>
        </is>
      </c>
      <c r="G1029" t="inlineStr">
        <is>
          <t>HEDEMORA</t>
        </is>
      </c>
      <c r="H1029" t="inlineStr">
        <is>
          <t>Bergvik skog väst AB</t>
        </is>
      </c>
      <c r="I1029" t="n">
        <v>2.2</v>
      </c>
      <c r="J1029" t="n">
        <v>0</v>
      </c>
      <c r="K1029" t="n">
        <v>0</v>
      </c>
      <c r="L1029" t="n">
        <v>2</v>
      </c>
      <c r="M1029" t="n">
        <v>0</v>
      </c>
      <c r="N1029" t="n">
        <v>0</v>
      </c>
      <c r="O1029" t="n">
        <v>0</v>
      </c>
      <c r="P1029" t="n">
        <v>0</v>
      </c>
      <c r="Q1029" t="n">
        <v>2</v>
      </c>
      <c r="R1029" t="n">
        <v>0</v>
      </c>
      <c r="S1029" t="n">
        <v>2</v>
      </c>
      <c r="T1029" t="n">
        <v>2</v>
      </c>
      <c r="U1029" t="n">
        <v>2</v>
      </c>
      <c r="V1029" s="2" t="inlineStr">
        <is>
          <t>Rosenticka
Rynkskinn</t>
        </is>
      </c>
      <c r="W1029">
        <f>HYPERLINK("https://klasma.github.io/Logging_2083/artfynd/A 22762-2026 artfynd.xlsx", "A 22762-2026")</f>
        <v/>
      </c>
      <c r="X1029">
        <f>HYPERLINK("https://klasma.github.io/Logging_2083/kartor/A 22762-2026 karta.png", "A 22762-2026")</f>
        <v/>
      </c>
      <c r="Y1029">
        <f>HYPERLINK("https://klasma.github.io/Logging_2083/kartor_geotiff/A 22762-2026 georefererad karta.tif", "A 22762-2026")</f>
        <v/>
      </c>
      <c r="AA1029">
        <f>HYPERLINK("https://klasma.github.io/Logging_2083/klagomål/A 22762-2026 FSC-klagomål.docx", "A 22762-2026")</f>
        <v/>
      </c>
      <c r="AB1029">
        <f>HYPERLINK("https://klasma.github.io/Logging_2083/klagomålsmail/A 22762-2026 FSC-klagomål mail.docx", "A 22762-2026")</f>
        <v/>
      </c>
      <c r="AC1029">
        <f>HYPERLINK("https://klasma.github.io/Logging_2083/tillsyn/A 22762-2026 tillsynsbegäran.docx", "A 22762-2026")</f>
        <v/>
      </c>
      <c r="AD1029">
        <f>HYPERLINK("https://klasma.github.io/Logging_2083/tillsynsmail/A 22762-2026 tillsynsbegäran mail.docx", "A 22762-2026")</f>
        <v/>
      </c>
    </row>
    <row r="1030" ht="15" customHeight="1">
      <c r="A1030" t="inlineStr">
        <is>
          <t>A 570-2024</t>
        </is>
      </c>
      <c r="B1030" t="inlineStr">
        <is>
          <t>avverkningsanmälan</t>
        </is>
      </c>
      <c r="C1030" t="inlineStr">
        <is>
          <t>Föryngringsavverkning</t>
        </is>
      </c>
      <c r="D1030" s="1" t="n">
        <v>45299</v>
      </c>
      <c r="E1030" s="1" t="n">
        <v>46319</v>
      </c>
      <c r="F1030" t="inlineStr">
        <is>
          <t>DALARNAS LÄN</t>
        </is>
      </c>
      <c r="G1030" t="inlineStr">
        <is>
          <t>SÄTER</t>
        </is>
      </c>
      <c r="H1030" t="inlineStr">
        <is>
          <t>Kommuner</t>
        </is>
      </c>
      <c r="I1030" t="n">
        <v>2.8</v>
      </c>
      <c r="J1030" t="n">
        <v>0</v>
      </c>
      <c r="K1030" t="n">
        <v>1</v>
      </c>
      <c r="L1030" t="n">
        <v>1</v>
      </c>
      <c r="M1030" t="n">
        <v>0</v>
      </c>
      <c r="N1030" t="n">
        <v>0</v>
      </c>
      <c r="O1030" t="n">
        <v>0</v>
      </c>
      <c r="P1030" t="n">
        <v>0</v>
      </c>
      <c r="Q1030" t="n">
        <v>1</v>
      </c>
      <c r="R1030" t="n">
        <v>0</v>
      </c>
      <c r="S1030" t="n">
        <v>2</v>
      </c>
      <c r="T1030" t="n">
        <v>2</v>
      </c>
      <c r="U1030" t="n">
        <v>1</v>
      </c>
      <c r="V1030" s="2" t="inlineStr">
        <is>
          <t>Motaggsvamp
Svavelriska</t>
        </is>
      </c>
      <c r="W1030">
        <f>HYPERLINK("https://klasma.github.io/Logging_2082/artfynd/A 570-2024 artfynd.xlsx", "A 570-2024")</f>
        <v/>
      </c>
      <c r="X1030">
        <f>HYPERLINK("https://klasma.github.io/Logging_2082/kartor/A 570-2024 karta.png", "A 570-2024")</f>
        <v/>
      </c>
      <c r="Y1030">
        <f>HYPERLINK("https://klasma.github.io/Logging_2082/kartor_geotiff/A 570-2024 georefererad karta.tif", "A 570-2024")</f>
        <v/>
      </c>
      <c r="AA1030">
        <f>HYPERLINK("https://klasma.github.io/Logging_2082/klagomål/A 570-2024 FSC-klagomål.docx", "A 570-2024")</f>
        <v/>
      </c>
      <c r="AB1030">
        <f>HYPERLINK("https://klasma.github.io/Logging_2082/klagomålsmail/A 570-2024 FSC-klagomål mail.docx", "A 570-2024")</f>
        <v/>
      </c>
      <c r="AC1030">
        <f>HYPERLINK("https://klasma.github.io/Logging_2082/tillsyn/A 570-2024 tillsynsbegäran.docx", "A 570-2024")</f>
        <v/>
      </c>
      <c r="AD1030">
        <f>HYPERLINK("https://klasma.github.io/Logging_2082/tillsynsmail/A 570-2024 tillsynsbegäran mail.docx", "A 570-2024")</f>
        <v/>
      </c>
    </row>
    <row r="1031" ht="15" customHeight="1">
      <c r="A1031" t="inlineStr">
        <is>
          <t>A 1252-2023</t>
        </is>
      </c>
      <c r="B1031" t="inlineStr">
        <is>
          <t>avverkningsanmälan</t>
        </is>
      </c>
      <c r="C1031" t="inlineStr">
        <is>
          <t>Föryngringsavverkning</t>
        </is>
      </c>
      <c r="D1031" s="1" t="n">
        <v>44936</v>
      </c>
      <c r="E1031" s="1" t="n">
        <v>46319</v>
      </c>
      <c r="F1031" t="inlineStr">
        <is>
          <t>DALARNAS LÄN</t>
        </is>
      </c>
      <c r="G1031" t="inlineStr">
        <is>
          <t>MALUNG-SÄLEN</t>
        </is>
      </c>
      <c r="I1031" t="n">
        <v>3.7</v>
      </c>
      <c r="J1031" t="n">
        <v>2</v>
      </c>
      <c r="K1031" t="n">
        <v>0</v>
      </c>
      <c r="L1031" t="n">
        <v>0</v>
      </c>
      <c r="M1031" t="n">
        <v>0</v>
      </c>
      <c r="N1031" t="n">
        <v>0</v>
      </c>
      <c r="O1031" t="n">
        <v>0</v>
      </c>
      <c r="P1031" t="n">
        <v>0</v>
      </c>
      <c r="Q1031" t="n">
        <v>0</v>
      </c>
      <c r="R1031" t="n">
        <v>0</v>
      </c>
      <c r="S1031" t="n">
        <v>2</v>
      </c>
      <c r="T1031" t="n">
        <v>2</v>
      </c>
      <c r="U1031" t="n">
        <v>2</v>
      </c>
      <c r="V1031" s="2" t="inlineStr">
        <is>
          <t>Mustaschfladdermus
Tajgafladdermus</t>
        </is>
      </c>
      <c r="W1031">
        <f>HYPERLINK("https://klasma.github.io/Logging_2023/artfynd/A 1252-2023 artfynd.xlsx", "A 1252-2023")</f>
        <v/>
      </c>
      <c r="X1031">
        <f>HYPERLINK("https://klasma.github.io/Logging_2023/kartor/A 1252-2023 karta.png", "A 1252-2023")</f>
        <v/>
      </c>
      <c r="Y1031">
        <f>HYPERLINK("https://klasma.github.io/Logging_2023/kartor_geotiff/A 1252-2023 georefererad karta.tif", "A 1252-2023")</f>
        <v/>
      </c>
      <c r="AA1031">
        <f>HYPERLINK("https://klasma.github.io/Logging_2023/klagomål/A 1252-2023 FSC-klagomål.docx", "A 1252-2023")</f>
        <v/>
      </c>
      <c r="AB1031">
        <f>HYPERLINK("https://klasma.github.io/Logging_2023/klagomålsmail/A 1252-2023 FSC-klagomål mail.docx", "A 1252-2023")</f>
        <v/>
      </c>
      <c r="AC1031">
        <f>HYPERLINK("https://klasma.github.io/Logging_2023/tillsyn/A 1252-2023 tillsynsbegäran.docx", "A 1252-2023")</f>
        <v/>
      </c>
      <c r="AD1031">
        <f>HYPERLINK("https://klasma.github.io/Logging_2023/tillsynsmail/A 1252-2023 tillsynsbegäran mail.docx", "A 1252-2023")</f>
        <v/>
      </c>
    </row>
    <row r="1032" ht="15" customHeight="1">
      <c r="A1032" t="inlineStr">
        <is>
          <t>A 69061-2021</t>
        </is>
      </c>
      <c r="B1032" t="inlineStr">
        <is>
          <t>avverkningsanmälan</t>
        </is>
      </c>
      <c r="C1032" t="inlineStr">
        <is>
          <t>Föryngringsavverkning</t>
        </is>
      </c>
      <c r="D1032" s="1" t="n">
        <v>44529</v>
      </c>
      <c r="E1032" s="1" t="n">
        <v>46319</v>
      </c>
      <c r="F1032" t="inlineStr">
        <is>
          <t>DALARNAS LÄN</t>
        </is>
      </c>
      <c r="G1032" t="inlineStr">
        <is>
          <t>RÄTTVIK</t>
        </is>
      </c>
      <c r="I1032" t="n">
        <v>3</v>
      </c>
      <c r="J1032" t="n">
        <v>1</v>
      </c>
      <c r="K1032" t="n">
        <v>1</v>
      </c>
      <c r="L1032" t="n">
        <v>0</v>
      </c>
      <c r="M1032" t="n">
        <v>1</v>
      </c>
      <c r="N1032" t="n">
        <v>0</v>
      </c>
      <c r="O1032" t="n">
        <v>0</v>
      </c>
      <c r="P1032" t="n">
        <v>0</v>
      </c>
      <c r="Q1032" t="n">
        <v>1</v>
      </c>
      <c r="R1032" t="n">
        <v>1</v>
      </c>
      <c r="S1032" t="n">
        <v>2</v>
      </c>
      <c r="T1032" t="n">
        <v>2</v>
      </c>
      <c r="U1032" t="n">
        <v>2</v>
      </c>
      <c r="V1032" s="2" t="inlineStr">
        <is>
          <t>Knärot
Mindre märgborre</t>
        </is>
      </c>
      <c r="W1032">
        <f>HYPERLINK("https://klasma.github.io/Logging_2031/artfynd/A 69061-2021 artfynd.xlsx", "A 69061-2021")</f>
        <v/>
      </c>
      <c r="X1032">
        <f>HYPERLINK("https://klasma.github.io/Logging_2031/kartor/A 69061-2021 karta.png", "A 69061-2021")</f>
        <v/>
      </c>
      <c r="Y1032">
        <f>HYPERLINK("https://klasma.github.io/Logging_2031/kartor_geotiff/A 69061-2021 georefererad karta.tif", "A 69061-2021")</f>
        <v/>
      </c>
      <c r="Z1032">
        <f>HYPERLINK("https://klasma.github.io/Logging_2031/knärot/A 69061-2021 karta knärot.png", "A 69061-2021")</f>
        <v/>
      </c>
      <c r="AA1032">
        <f>HYPERLINK("https://klasma.github.io/Logging_2031/klagomål/A 69061-2021 FSC-klagomål.docx", "A 69061-2021")</f>
        <v/>
      </c>
      <c r="AB1032">
        <f>HYPERLINK("https://klasma.github.io/Logging_2031/klagomålsmail/A 69061-2021 FSC-klagomål mail.docx", "A 69061-2021")</f>
        <v/>
      </c>
      <c r="AC1032">
        <f>HYPERLINK("https://klasma.github.io/Logging_2031/tillsyn/A 69061-2021 tillsynsbegäran.docx", "A 69061-2021")</f>
        <v/>
      </c>
      <c r="AD1032">
        <f>HYPERLINK("https://klasma.github.io/Logging_2031/tillsynsmail/A 69061-2021 tillsynsbegäran mail.docx", "A 69061-2021")</f>
        <v/>
      </c>
    </row>
    <row r="1033" ht="15" customHeight="1">
      <c r="A1033" t="inlineStr">
        <is>
          <t>A 16333-2023</t>
        </is>
      </c>
      <c r="B1033" t="inlineStr">
        <is>
          <t>avverkningsanmälan</t>
        </is>
      </c>
      <c r="C1033" t="inlineStr">
        <is>
          <t>Avverkning för annat ändamål</t>
        </is>
      </c>
      <c r="D1033" s="1" t="n">
        <v>45028</v>
      </c>
      <c r="E1033" s="1" t="n">
        <v>46319</v>
      </c>
      <c r="F1033" t="inlineStr">
        <is>
          <t>DALARNAS LÄN</t>
        </is>
      </c>
      <c r="G1033" t="inlineStr">
        <is>
          <t>LEKSAND</t>
        </is>
      </c>
      <c r="I1033" t="n">
        <v>1.5</v>
      </c>
      <c r="J1033" t="n">
        <v>1</v>
      </c>
      <c r="K1033" t="n">
        <v>1</v>
      </c>
      <c r="L1033" t="n">
        <v>0</v>
      </c>
      <c r="M1033" t="n">
        <v>0</v>
      </c>
      <c r="N1033" t="n">
        <v>0</v>
      </c>
      <c r="O1033" t="n">
        <v>0</v>
      </c>
      <c r="P1033" t="n">
        <v>0</v>
      </c>
      <c r="Q1033" t="n">
        <v>0</v>
      </c>
      <c r="R1033" t="n">
        <v>0</v>
      </c>
      <c r="S1033" t="n">
        <v>2</v>
      </c>
      <c r="T1033" t="n">
        <v>2</v>
      </c>
      <c r="U1033" t="n">
        <v>2</v>
      </c>
      <c r="V1033" s="2" t="inlineStr">
        <is>
          <t>Läderskål
Nattviol</t>
        </is>
      </c>
      <c r="W1033">
        <f>HYPERLINK("https://klasma.github.io/Logging_2029/artfynd/A 16333-2023 artfynd.xlsx", "A 16333-2023")</f>
        <v/>
      </c>
      <c r="X1033">
        <f>HYPERLINK("https://klasma.github.io/Logging_2029/kartor/A 16333-2023 karta.png", "A 16333-2023")</f>
        <v/>
      </c>
      <c r="Y1033">
        <f>HYPERLINK("https://klasma.github.io/Logging_2029/kartor_geotiff/A 16333-2023 georefererad karta.tif", "A 16333-2023")</f>
        <v/>
      </c>
      <c r="AA1033">
        <f>HYPERLINK("https://klasma.github.io/Logging_2029/klagomål/A 16333-2023 FSC-klagomål.docx", "A 16333-2023")</f>
        <v/>
      </c>
      <c r="AB1033">
        <f>HYPERLINK("https://klasma.github.io/Logging_2029/klagomålsmail/A 16333-2023 FSC-klagomål mail.docx", "A 16333-2023")</f>
        <v/>
      </c>
      <c r="AC1033">
        <f>HYPERLINK("https://klasma.github.io/Logging_2029/tillsyn/A 16333-2023 tillsynsbegäran.docx", "A 16333-2023")</f>
        <v/>
      </c>
      <c r="AD1033">
        <f>HYPERLINK("https://klasma.github.io/Logging_2029/tillsynsmail/A 16333-2023 tillsynsbegäran mail.docx", "A 16333-2023")</f>
        <v/>
      </c>
    </row>
    <row r="1034" ht="15" customHeight="1">
      <c r="A1034" t="inlineStr">
        <is>
          <t>A 20538-2025</t>
        </is>
      </c>
      <c r="B1034" t="inlineStr">
        <is>
          <t>avverkningsanmälan</t>
        </is>
      </c>
      <c r="C1034" t="inlineStr">
        <is>
          <t>Föryngringsavverkning</t>
        </is>
      </c>
      <c r="D1034" s="1" t="n">
        <v>45775</v>
      </c>
      <c r="E1034" s="1" t="n">
        <v>46319</v>
      </c>
      <c r="F1034" t="inlineStr">
        <is>
          <t>DALARNAS LÄN</t>
        </is>
      </c>
      <c r="G1034" t="inlineStr">
        <is>
          <t>MORA</t>
        </is>
      </c>
      <c r="I1034" t="n">
        <v>0.9</v>
      </c>
      <c r="J1034" t="n">
        <v>0</v>
      </c>
      <c r="K1034" t="n">
        <v>1</v>
      </c>
      <c r="L1034" t="n">
        <v>0</v>
      </c>
      <c r="M1034" t="n">
        <v>1</v>
      </c>
      <c r="N1034" t="n">
        <v>0</v>
      </c>
      <c r="O1034" t="n">
        <v>0</v>
      </c>
      <c r="P1034" t="n">
        <v>0</v>
      </c>
      <c r="Q1034" t="n">
        <v>1</v>
      </c>
      <c r="R1034" t="n">
        <v>1</v>
      </c>
      <c r="S1034" t="n">
        <v>2</v>
      </c>
      <c r="T1034" t="n">
        <v>4</v>
      </c>
      <c r="U1034" t="n">
        <v>4</v>
      </c>
      <c r="V1034" s="2" t="inlineStr">
        <is>
          <t>Garnlav
Mindre märgborre</t>
        </is>
      </c>
      <c r="W1034">
        <f>HYPERLINK("https://klasma.github.io/Logging_2062/artfynd/A 20538-2025 artfynd.xlsx", "A 20538-2025")</f>
        <v/>
      </c>
      <c r="X1034">
        <f>HYPERLINK("https://klasma.github.io/Logging_2062/kartor/A 20538-2025 karta.png", "A 20538-2025")</f>
        <v/>
      </c>
      <c r="Y1034">
        <f>HYPERLINK("https://klasma.github.io/Logging_2062/kartor_geotiff/A 20538-2025 georefererad karta.tif", "A 20538-2025")</f>
        <v/>
      </c>
      <c r="AA1034">
        <f>HYPERLINK("https://klasma.github.io/Logging_2062/klagomål/A 20538-2025 FSC-klagomål.docx", "A 20538-2025")</f>
        <v/>
      </c>
      <c r="AB1034">
        <f>HYPERLINK("https://klasma.github.io/Logging_2062/klagomålsmail/A 20538-2025 FSC-klagomål mail.docx", "A 20538-2025")</f>
        <v/>
      </c>
      <c r="AC1034">
        <f>HYPERLINK("https://klasma.github.io/Logging_2062/tillsyn/A 20538-2025 tillsynsbegäran.docx", "A 20538-2025")</f>
        <v/>
      </c>
      <c r="AD1034">
        <f>HYPERLINK("https://klasma.github.io/Logging_2062/tillsynsmail/A 20538-2025 tillsynsbegäran mail.docx", "A 20538-2025")</f>
        <v/>
      </c>
    </row>
    <row r="1035" ht="15" customHeight="1">
      <c r="A1035" t="inlineStr">
        <is>
          <t>A 62275-2022</t>
        </is>
      </c>
      <c r="B1035" t="inlineStr">
        <is>
          <t>avverkningsanmälan</t>
        </is>
      </c>
      <c r="C1035" t="inlineStr">
        <is>
          <t>Föryngringsavverkning</t>
        </is>
      </c>
      <c r="D1035" s="1" t="n">
        <v>44923</v>
      </c>
      <c r="E1035" s="1" t="n">
        <v>46319</v>
      </c>
      <c r="F1035" t="inlineStr">
        <is>
          <t>DALARNAS LÄN</t>
        </is>
      </c>
      <c r="G1035" t="inlineStr">
        <is>
          <t>LUDVIKA</t>
        </is>
      </c>
      <c r="I1035" t="n">
        <v>4.6</v>
      </c>
      <c r="J1035" t="n">
        <v>1</v>
      </c>
      <c r="K1035" t="n">
        <v>0</v>
      </c>
      <c r="L1035" t="n">
        <v>1</v>
      </c>
      <c r="M1035" t="n">
        <v>1</v>
      </c>
      <c r="N1035" t="n">
        <v>0</v>
      </c>
      <c r="O1035" t="n">
        <v>0</v>
      </c>
      <c r="P1035" t="n">
        <v>0</v>
      </c>
      <c r="Q1035" t="n">
        <v>2</v>
      </c>
      <c r="R1035" t="n">
        <v>1</v>
      </c>
      <c r="S1035" t="n">
        <v>2</v>
      </c>
      <c r="T1035" t="n">
        <v>5</v>
      </c>
      <c r="U1035" t="n">
        <v>5</v>
      </c>
      <c r="V1035" s="2" t="inlineStr">
        <is>
          <t>Knärot
Brunklöver</t>
        </is>
      </c>
      <c r="W1035">
        <f>HYPERLINK("https://klasma.github.io/Logging_2085/artfynd/A 62275-2022 artfynd.xlsx", "A 62275-2022")</f>
        <v/>
      </c>
      <c r="X1035">
        <f>HYPERLINK("https://klasma.github.io/Logging_2085/kartor/A 62275-2022 karta.png", "A 62275-2022")</f>
        <v/>
      </c>
      <c r="Y1035">
        <f>HYPERLINK("https://klasma.github.io/Logging_2085/kartor_geotiff/A 62275-2022 georefererad karta.tif", "A 62275-2022")</f>
        <v/>
      </c>
      <c r="Z1035">
        <f>HYPERLINK("https://klasma.github.io/Logging_2085/knärot/A 62275-2022 karta knärot.png", "A 62275-2022")</f>
        <v/>
      </c>
      <c r="AA1035">
        <f>HYPERLINK("https://klasma.github.io/Logging_2085/klagomål/A 62275-2022 FSC-klagomål.docx", "A 62275-2022")</f>
        <v/>
      </c>
      <c r="AB1035">
        <f>HYPERLINK("https://klasma.github.io/Logging_2085/klagomålsmail/A 62275-2022 FSC-klagomål mail.docx", "A 62275-2022")</f>
        <v/>
      </c>
      <c r="AC1035">
        <f>HYPERLINK("https://klasma.github.io/Logging_2085/tillsyn/A 62275-2022 tillsynsbegäran.docx", "A 62275-2022")</f>
        <v/>
      </c>
      <c r="AD1035">
        <f>HYPERLINK("https://klasma.github.io/Logging_2085/tillsynsmail/A 62275-2022 tillsynsbegäran mail.docx", "A 62275-2022")</f>
        <v/>
      </c>
    </row>
    <row r="1036" ht="15" customHeight="1">
      <c r="A1036" t="inlineStr">
        <is>
          <t>A 13717-2023</t>
        </is>
      </c>
      <c r="B1036" t="inlineStr">
        <is>
          <t>avverkningsanmälan</t>
        </is>
      </c>
      <c r="C1036" t="inlineStr">
        <is>
          <t>Avverkning för annat ändamål</t>
        </is>
      </c>
      <c r="D1036" s="1" t="n">
        <v>45007</v>
      </c>
      <c r="E1036" s="1" t="n">
        <v>46319</v>
      </c>
      <c r="F1036" t="inlineStr">
        <is>
          <t>DALARNAS LÄN</t>
        </is>
      </c>
      <c r="G1036" t="inlineStr">
        <is>
          <t>MORA</t>
        </is>
      </c>
      <c r="I1036" t="n">
        <v>5.6</v>
      </c>
      <c r="J1036" t="n">
        <v>1</v>
      </c>
      <c r="K1036" t="n">
        <v>0</v>
      </c>
      <c r="L1036" t="n">
        <v>1</v>
      </c>
      <c r="M1036" t="n">
        <v>1</v>
      </c>
      <c r="N1036" t="n">
        <v>0</v>
      </c>
      <c r="O1036" t="n">
        <v>0</v>
      </c>
      <c r="P1036" t="n">
        <v>0</v>
      </c>
      <c r="Q1036" t="n">
        <v>2</v>
      </c>
      <c r="R1036" t="n">
        <v>1</v>
      </c>
      <c r="S1036" t="n">
        <v>2</v>
      </c>
      <c r="T1036" t="n">
        <v>2</v>
      </c>
      <c r="U1036" t="n">
        <v>1</v>
      </c>
      <c r="V1036" s="2" t="inlineStr">
        <is>
          <t>Knärot
Slåtterfibbla</t>
        </is>
      </c>
      <c r="W1036">
        <f>HYPERLINK("https://klasma.github.io/Logging_2062/artfynd/A 13717-2023 artfynd.xlsx", "A 13717-2023")</f>
        <v/>
      </c>
      <c r="X1036">
        <f>HYPERLINK("https://klasma.github.io/Logging_2062/kartor/A 13717-2023 karta.png", "A 13717-2023")</f>
        <v/>
      </c>
      <c r="Y1036">
        <f>HYPERLINK("https://klasma.github.io/Logging_2062/kartor_geotiff/A 13717-2023 georefererad karta.tif", "A 13717-2023")</f>
        <v/>
      </c>
      <c r="Z1036">
        <f>HYPERLINK("https://klasma.github.io/Logging_2062/knärot/A 13717-2023 karta knärot.png", "A 13717-2023")</f>
        <v/>
      </c>
      <c r="AA1036">
        <f>HYPERLINK("https://klasma.github.io/Logging_2062/klagomål/A 13717-2023 FSC-klagomål.docx", "A 13717-2023")</f>
        <v/>
      </c>
      <c r="AB1036">
        <f>HYPERLINK("https://klasma.github.io/Logging_2062/klagomålsmail/A 13717-2023 FSC-klagomål mail.docx", "A 13717-2023")</f>
        <v/>
      </c>
      <c r="AC1036">
        <f>HYPERLINK("https://klasma.github.io/Logging_2062/tillsyn/A 13717-2023 tillsynsbegäran.docx", "A 13717-2023")</f>
        <v/>
      </c>
      <c r="AD1036">
        <f>HYPERLINK("https://klasma.github.io/Logging_2062/tillsynsmail/A 13717-2023 tillsynsbegäran mail.docx", "A 13717-2023")</f>
        <v/>
      </c>
    </row>
    <row r="1037" ht="15" customHeight="1">
      <c r="A1037" t="inlineStr">
        <is>
          <t>A 42302-2023</t>
        </is>
      </c>
      <c r="B1037" t="inlineStr">
        <is>
          <t>avverkningsanmälan</t>
        </is>
      </c>
      <c r="C1037" t="inlineStr">
        <is>
          <t>Avverkning för annat ändamål</t>
        </is>
      </c>
      <c r="D1037" s="1" t="n">
        <v>45175</v>
      </c>
      <c r="E1037" s="1" t="n">
        <v>46319</v>
      </c>
      <c r="F1037" t="inlineStr">
        <is>
          <t>DALARNAS LÄN</t>
        </is>
      </c>
      <c r="G1037" t="inlineStr">
        <is>
          <t>FALUN</t>
        </is>
      </c>
      <c r="I1037" t="n">
        <v>8.5</v>
      </c>
      <c r="J1037" t="n">
        <v>0</v>
      </c>
      <c r="K1037" t="n">
        <v>0</v>
      </c>
      <c r="L1037" t="n">
        <v>1</v>
      </c>
      <c r="M1037" t="n">
        <v>1</v>
      </c>
      <c r="N1037" t="n">
        <v>0</v>
      </c>
      <c r="O1037" t="n">
        <v>0</v>
      </c>
      <c r="P1037" t="n">
        <v>0</v>
      </c>
      <c r="Q1037" t="n">
        <v>2</v>
      </c>
      <c r="R1037" t="n">
        <v>1</v>
      </c>
      <c r="S1037" t="n">
        <v>2</v>
      </c>
      <c r="T1037" t="n">
        <v>2</v>
      </c>
      <c r="U1037" t="n">
        <v>2</v>
      </c>
      <c r="V1037" s="2" t="inlineStr">
        <is>
          <t>Silverblåvinge
Brunklöver</t>
        </is>
      </c>
      <c r="W1037">
        <f>HYPERLINK("https://klasma.github.io/Logging_2080/artfynd/A 42302-2023 artfynd.xlsx", "A 42302-2023")</f>
        <v/>
      </c>
      <c r="X1037">
        <f>HYPERLINK("https://klasma.github.io/Logging_2080/kartor/A 42302-2023 karta.png", "A 42302-2023")</f>
        <v/>
      </c>
      <c r="Y1037">
        <f>HYPERLINK("https://klasma.github.io/Logging_2080/kartor_geotiff/A 42302-2023 georefererad karta.tif", "A 42302-2023")</f>
        <v/>
      </c>
      <c r="AA1037">
        <f>HYPERLINK("https://klasma.github.io/Logging_2080/klagomål/A 42302-2023 FSC-klagomål.docx", "A 42302-2023")</f>
        <v/>
      </c>
      <c r="AB1037">
        <f>HYPERLINK("https://klasma.github.io/Logging_2080/klagomålsmail/A 42302-2023 FSC-klagomål mail.docx", "A 42302-2023")</f>
        <v/>
      </c>
      <c r="AC1037">
        <f>HYPERLINK("https://klasma.github.io/Logging_2080/tillsyn/A 42302-2023 tillsynsbegäran.docx", "A 42302-2023")</f>
        <v/>
      </c>
      <c r="AD1037">
        <f>HYPERLINK("https://klasma.github.io/Logging_2080/tillsynsmail/A 42302-2023 tillsynsbegäran mail.docx", "A 42302-2023")</f>
        <v/>
      </c>
    </row>
    <row r="1038" ht="15" customHeight="1">
      <c r="A1038" t="inlineStr">
        <is>
          <t>A 52510-2022</t>
        </is>
      </c>
      <c r="B1038" t="inlineStr">
        <is>
          <t>avverkningsanmälan</t>
        </is>
      </c>
      <c r="C1038" t="inlineStr">
        <is>
          <t>Föryngringsavverkning</t>
        </is>
      </c>
      <c r="D1038" s="1" t="n">
        <v>44874</v>
      </c>
      <c r="E1038" s="1" t="n">
        <v>46319</v>
      </c>
      <c r="F1038" t="inlineStr">
        <is>
          <t>DALARNAS LÄN</t>
        </is>
      </c>
      <c r="G1038" t="inlineStr">
        <is>
          <t>BORLÄNGE</t>
        </is>
      </c>
      <c r="I1038" t="n">
        <v>1</v>
      </c>
      <c r="J1038" t="n">
        <v>0</v>
      </c>
      <c r="K1038" t="n">
        <v>1</v>
      </c>
      <c r="L1038" t="n">
        <v>0</v>
      </c>
      <c r="M1038" t="n">
        <v>1</v>
      </c>
      <c r="N1038" t="n">
        <v>0</v>
      </c>
      <c r="O1038" t="n">
        <v>0</v>
      </c>
      <c r="P1038" t="n">
        <v>0</v>
      </c>
      <c r="Q1038" t="n">
        <v>1</v>
      </c>
      <c r="R1038" t="n">
        <v>1</v>
      </c>
      <c r="S1038" t="n">
        <v>2</v>
      </c>
      <c r="T1038" t="n">
        <v>2</v>
      </c>
      <c r="U1038" t="n">
        <v>2</v>
      </c>
      <c r="V1038" s="2" t="inlineStr">
        <is>
          <t>Gränsticka
Vedticka</t>
        </is>
      </c>
      <c r="W1038">
        <f>HYPERLINK("https://klasma.github.io/Logging_2081/artfynd/A 52510-2022 artfynd.xlsx", "A 52510-2022")</f>
        <v/>
      </c>
      <c r="X1038">
        <f>HYPERLINK("https://klasma.github.io/Logging_2081/kartor/A 52510-2022 karta.png", "A 52510-2022")</f>
        <v/>
      </c>
      <c r="Y1038">
        <f>HYPERLINK("https://klasma.github.io/Logging_2081/kartor_geotiff/A 52510-2022 georefererad karta.tif", "A 52510-2022")</f>
        <v/>
      </c>
      <c r="AA1038">
        <f>HYPERLINK("https://klasma.github.io/Logging_2081/klagomål/A 52510-2022 FSC-klagomål.docx", "A 52510-2022")</f>
        <v/>
      </c>
      <c r="AB1038">
        <f>HYPERLINK("https://klasma.github.io/Logging_2081/klagomålsmail/A 52510-2022 FSC-klagomål mail.docx", "A 52510-2022")</f>
        <v/>
      </c>
      <c r="AC1038">
        <f>HYPERLINK("https://klasma.github.io/Logging_2081/tillsyn/A 52510-2022 tillsynsbegäran.docx", "A 52510-2022")</f>
        <v/>
      </c>
      <c r="AD1038">
        <f>HYPERLINK("https://klasma.github.io/Logging_2081/tillsynsmail/A 52510-2022 tillsynsbegäran mail.docx", "A 52510-2022")</f>
        <v/>
      </c>
    </row>
    <row r="1039" ht="15" customHeight="1">
      <c r="A1039" t="inlineStr">
        <is>
          <t>A 16815-2025</t>
        </is>
      </c>
      <c r="B1039" t="inlineStr">
        <is>
          <t>avverkningsanmälan</t>
        </is>
      </c>
      <c r="C1039" t="inlineStr">
        <is>
          <t>Föryngringsavverkning</t>
        </is>
      </c>
      <c r="D1039" s="1" t="n">
        <v>45754</v>
      </c>
      <c r="E1039" s="1" t="n">
        <v>46319</v>
      </c>
      <c r="F1039" t="inlineStr">
        <is>
          <t>DALARNAS LÄN</t>
        </is>
      </c>
      <c r="G1039" t="inlineStr">
        <is>
          <t>LEKSAND</t>
        </is>
      </c>
      <c r="I1039" t="n">
        <v>2.8</v>
      </c>
      <c r="J1039" t="n">
        <v>1</v>
      </c>
      <c r="K1039" t="n">
        <v>1</v>
      </c>
      <c r="L1039" t="n">
        <v>0</v>
      </c>
      <c r="M1039" t="n">
        <v>0</v>
      </c>
      <c r="N1039" t="n">
        <v>0</v>
      </c>
      <c r="O1039" t="n">
        <v>0</v>
      </c>
      <c r="P1039" t="n">
        <v>0</v>
      </c>
      <c r="Q1039" t="n">
        <v>0</v>
      </c>
      <c r="R1039" t="n">
        <v>0</v>
      </c>
      <c r="S1039" t="n">
        <v>2</v>
      </c>
      <c r="T1039" t="n">
        <v>2</v>
      </c>
      <c r="U1039" t="n">
        <v>1</v>
      </c>
      <c r="V1039" s="2" t="inlineStr">
        <is>
          <t>Svavelriska
Tjäder</t>
        </is>
      </c>
      <c r="W1039">
        <f>HYPERLINK("https://klasma.github.io/Logging_2029/artfynd/A 16815-2025 artfynd.xlsx", "A 16815-2025")</f>
        <v/>
      </c>
      <c r="X1039">
        <f>HYPERLINK("https://klasma.github.io/Logging_2029/kartor/A 16815-2025 karta.png", "A 16815-2025")</f>
        <v/>
      </c>
      <c r="Y1039">
        <f>HYPERLINK("https://klasma.github.io/Logging_2029/kartor_geotiff/A 16815-2025 georefererad karta.tif", "A 16815-2025")</f>
        <v/>
      </c>
      <c r="AA1039">
        <f>HYPERLINK("https://klasma.github.io/Logging_2029/klagomål/A 16815-2025 FSC-klagomål.docx", "A 16815-2025")</f>
        <v/>
      </c>
      <c r="AB1039">
        <f>HYPERLINK("https://klasma.github.io/Logging_2029/klagomålsmail/A 16815-2025 FSC-klagomål mail.docx", "A 16815-2025")</f>
        <v/>
      </c>
      <c r="AC1039">
        <f>HYPERLINK("https://klasma.github.io/Logging_2029/tillsyn/A 16815-2025 tillsynsbegäran.docx", "A 16815-2025")</f>
        <v/>
      </c>
      <c r="AD1039">
        <f>HYPERLINK("https://klasma.github.io/Logging_2029/tillsynsmail/A 16815-2025 tillsynsbegäran mail.docx", "A 16815-2025")</f>
        <v/>
      </c>
      <c r="AE1039">
        <f>HYPERLINK("https://klasma.github.io/Logging_2029/fåglar/A 16815-2025 prioriterade fågelarter.docx", "A 16815-2025")</f>
        <v/>
      </c>
    </row>
    <row r="1040" ht="15" customHeight="1">
      <c r="A1040" t="inlineStr">
        <is>
          <t>A 25749-2023</t>
        </is>
      </c>
      <c r="B1040" t="inlineStr">
        <is>
          <t>avverkningsanmälan</t>
        </is>
      </c>
      <c r="C1040" t="inlineStr">
        <is>
          <t>Föryngringsavverkning</t>
        </is>
      </c>
      <c r="D1040" s="1" t="n">
        <v>45090</v>
      </c>
      <c r="E1040" s="1" t="n">
        <v>46319</v>
      </c>
      <c r="F1040" t="inlineStr">
        <is>
          <t>DALARNAS LÄN</t>
        </is>
      </c>
      <c r="G1040" t="inlineStr">
        <is>
          <t>MORA</t>
        </is>
      </c>
      <c r="I1040" t="n">
        <v>2.4</v>
      </c>
      <c r="J1040" t="n">
        <v>0</v>
      </c>
      <c r="K1040" t="n">
        <v>0</v>
      </c>
      <c r="L1040" t="n">
        <v>2</v>
      </c>
      <c r="M1040" t="n">
        <v>0</v>
      </c>
      <c r="N1040" t="n">
        <v>0</v>
      </c>
      <c r="O1040" t="n">
        <v>0</v>
      </c>
      <c r="P1040" t="n">
        <v>0</v>
      </c>
      <c r="Q1040" t="n">
        <v>2</v>
      </c>
      <c r="R1040" t="n">
        <v>0</v>
      </c>
      <c r="S1040" t="n">
        <v>2</v>
      </c>
      <c r="T1040" t="n">
        <v>2</v>
      </c>
      <c r="U1040" t="n">
        <v>0</v>
      </c>
      <c r="V1040" s="2" t="inlineStr">
        <is>
          <t>Blå taggsvamp
Orange taggsvamp</t>
        </is>
      </c>
      <c r="W1040">
        <f>HYPERLINK("https://klasma.github.io/Logging_2062/artfynd/A 25749-2023 artfynd.xlsx", "A 25749-2023")</f>
        <v/>
      </c>
      <c r="X1040">
        <f>HYPERLINK("https://klasma.github.io/Logging_2062/kartor/A 25749-2023 karta.png", "A 25749-2023")</f>
        <v/>
      </c>
      <c r="Y1040">
        <f>HYPERLINK("https://klasma.github.io/Logging_2062/kartor_geotiff/A 25749-2023 georefererad karta.tif", "A 25749-2023")</f>
        <v/>
      </c>
      <c r="AA1040">
        <f>HYPERLINK("https://klasma.github.io/Logging_2062/klagomål/A 25749-2023 FSC-klagomål.docx", "A 25749-2023")</f>
        <v/>
      </c>
      <c r="AB1040">
        <f>HYPERLINK("https://klasma.github.io/Logging_2062/klagomålsmail/A 25749-2023 FSC-klagomål mail.docx", "A 25749-2023")</f>
        <v/>
      </c>
      <c r="AC1040">
        <f>HYPERLINK("https://klasma.github.io/Logging_2062/tillsyn/A 25749-2023 tillsynsbegäran.docx", "A 25749-2023")</f>
        <v/>
      </c>
      <c r="AD1040">
        <f>HYPERLINK("https://klasma.github.io/Logging_2062/tillsynsmail/A 25749-2023 tillsynsbegäran mail.docx", "A 25749-2023")</f>
        <v/>
      </c>
    </row>
    <row r="1041" ht="15" customHeight="1">
      <c r="A1041" t="inlineStr">
        <is>
          <t>A 193-2022</t>
        </is>
      </c>
      <c r="B1041" t="inlineStr">
        <is>
          <t>avverkningsanmälan</t>
        </is>
      </c>
      <c r="C1041" t="inlineStr">
        <is>
          <t>Föryngringsavverkning</t>
        </is>
      </c>
      <c r="D1041" s="1" t="n">
        <v>44564</v>
      </c>
      <c r="E1041" s="1" t="n">
        <v>46319</v>
      </c>
      <c r="F1041" t="inlineStr">
        <is>
          <t>DALARNAS LÄN</t>
        </is>
      </c>
      <c r="G1041" t="inlineStr">
        <is>
          <t>SÄTER</t>
        </is>
      </c>
      <c r="I1041" t="n">
        <v>1.9</v>
      </c>
      <c r="J1041" t="n">
        <v>1</v>
      </c>
      <c r="K1041" t="n">
        <v>0</v>
      </c>
      <c r="L1041" t="n">
        <v>2</v>
      </c>
      <c r="M1041" t="n">
        <v>0</v>
      </c>
      <c r="N1041" t="n">
        <v>0</v>
      </c>
      <c r="O1041" t="n">
        <v>0</v>
      </c>
      <c r="P1041" t="n">
        <v>0</v>
      </c>
      <c r="Q1041" t="n">
        <v>2</v>
      </c>
      <c r="R1041" t="n">
        <v>0</v>
      </c>
      <c r="S1041" t="n">
        <v>2</v>
      </c>
      <c r="T1041" t="n">
        <v>4</v>
      </c>
      <c r="U1041" t="n">
        <v>4</v>
      </c>
      <c r="V1041" s="2" t="inlineStr">
        <is>
          <t>Dropptaggsvamp
Talltita</t>
        </is>
      </c>
      <c r="W1041">
        <f>HYPERLINK("https://klasma.github.io/Logging_2082/artfynd/A 193-2022 artfynd.xlsx", "A 193-2022")</f>
        <v/>
      </c>
      <c r="X1041">
        <f>HYPERLINK("https://klasma.github.io/Logging_2082/kartor/A 193-2022 karta.png", "A 193-2022")</f>
        <v/>
      </c>
      <c r="Y1041">
        <f>HYPERLINK("https://klasma.github.io/Logging_2082/kartor_geotiff/A 193-2022 georefererad karta.tif", "A 193-2022")</f>
        <v/>
      </c>
      <c r="AA1041">
        <f>HYPERLINK("https://klasma.github.io/Logging_2082/klagomål/A 193-2022 FSC-klagomål.docx", "A 193-2022")</f>
        <v/>
      </c>
      <c r="AB1041">
        <f>HYPERLINK("https://klasma.github.io/Logging_2082/klagomålsmail/A 193-2022 FSC-klagomål mail.docx", "A 193-2022")</f>
        <v/>
      </c>
      <c r="AC1041">
        <f>HYPERLINK("https://klasma.github.io/Logging_2082/tillsyn/A 193-2022 tillsynsbegäran.docx", "A 193-2022")</f>
        <v/>
      </c>
      <c r="AD1041">
        <f>HYPERLINK("https://klasma.github.io/Logging_2082/tillsynsmail/A 193-2022 tillsynsbegäran mail.docx", "A 193-2022")</f>
        <v/>
      </c>
      <c r="AE1041">
        <f>HYPERLINK("https://klasma.github.io/Logging_2082/fåglar/A 193-2022 prioriterade fågelarter.docx", "A 193-2022")</f>
        <v/>
      </c>
    </row>
    <row r="1042" ht="15" customHeight="1">
      <c r="A1042" t="inlineStr">
        <is>
          <t>A 63654-2023</t>
        </is>
      </c>
      <c r="B1042" t="inlineStr">
        <is>
          <t>avverkningsanmälan</t>
        </is>
      </c>
      <c r="C1042" t="inlineStr">
        <is>
          <t>Föryngringsavverkning</t>
        </is>
      </c>
      <c r="D1042" s="1" t="n">
        <v>45275</v>
      </c>
      <c r="E1042" s="1" t="n">
        <v>46319</v>
      </c>
      <c r="F1042" t="inlineStr">
        <is>
          <t>DALARNAS LÄN</t>
        </is>
      </c>
      <c r="G1042" t="inlineStr">
        <is>
          <t>GAGNEF</t>
        </is>
      </c>
      <c r="I1042" t="n">
        <v>5</v>
      </c>
      <c r="J1042" t="n">
        <v>0</v>
      </c>
      <c r="K1042" t="n">
        <v>1</v>
      </c>
      <c r="L1042" t="n">
        <v>0</v>
      </c>
      <c r="M1042" t="n">
        <v>1</v>
      </c>
      <c r="N1042" t="n">
        <v>0</v>
      </c>
      <c r="O1042" t="n">
        <v>0</v>
      </c>
      <c r="P1042" t="n">
        <v>0</v>
      </c>
      <c r="Q1042" t="n">
        <v>1</v>
      </c>
      <c r="R1042" t="n">
        <v>1</v>
      </c>
      <c r="S1042" t="n">
        <v>2</v>
      </c>
      <c r="T1042" t="n">
        <v>4</v>
      </c>
      <c r="U1042" t="n">
        <v>0</v>
      </c>
      <c r="V1042" s="2" t="inlineStr">
        <is>
          <t>Garnlav
Trådticka</t>
        </is>
      </c>
      <c r="W1042">
        <f>HYPERLINK("https://klasma.github.io/Logging_2026/artfynd/A 63654-2023 artfynd.xlsx", "A 63654-2023")</f>
        <v/>
      </c>
      <c r="X1042">
        <f>HYPERLINK("https://klasma.github.io/Logging_2026/kartor/A 63654-2023 karta.png", "A 63654-2023")</f>
        <v/>
      </c>
      <c r="Y1042">
        <f>HYPERLINK("https://klasma.github.io/Logging_2026/kartor_geotiff/A 63654-2023 georefererad karta.tif", "A 63654-2023")</f>
        <v/>
      </c>
      <c r="AA1042">
        <f>HYPERLINK("https://klasma.github.io/Logging_2026/klagomål/A 63654-2023 FSC-klagomål.docx", "A 63654-2023")</f>
        <v/>
      </c>
      <c r="AB1042">
        <f>HYPERLINK("https://klasma.github.io/Logging_2026/klagomålsmail/A 63654-2023 FSC-klagomål mail.docx", "A 63654-2023")</f>
        <v/>
      </c>
      <c r="AC1042">
        <f>HYPERLINK("https://klasma.github.io/Logging_2026/tillsyn/A 63654-2023 tillsynsbegäran.docx", "A 63654-2023")</f>
        <v/>
      </c>
      <c r="AD1042">
        <f>HYPERLINK("https://klasma.github.io/Logging_2026/tillsynsmail/A 63654-2023 tillsynsbegäran mail.docx", "A 63654-2023")</f>
        <v/>
      </c>
    </row>
    <row r="1043" ht="15" customHeight="1">
      <c r="A1043" t="inlineStr">
        <is>
          <t>A 61974-2021</t>
        </is>
      </c>
      <c r="B1043" t="inlineStr">
        <is>
          <t>avverkningsanmälan</t>
        </is>
      </c>
      <c r="C1043" t="inlineStr">
        <is>
          <t>Föryngringsavverkning</t>
        </is>
      </c>
      <c r="D1043" s="1" t="n">
        <v>44501</v>
      </c>
      <c r="E1043" s="1" t="n">
        <v>46319</v>
      </c>
      <c r="F1043" t="inlineStr">
        <is>
          <t>DALARNAS LÄN</t>
        </is>
      </c>
      <c r="G1043" t="inlineStr">
        <is>
          <t>MALUNG-SÄLEN</t>
        </is>
      </c>
      <c r="H1043" t="inlineStr">
        <is>
          <t>Allmännings- och besparingsskogar</t>
        </is>
      </c>
      <c r="I1043" t="n">
        <v>12.5</v>
      </c>
      <c r="J1043" t="n">
        <v>1</v>
      </c>
      <c r="K1043" t="n">
        <v>0</v>
      </c>
      <c r="L1043" t="n">
        <v>0</v>
      </c>
      <c r="M1043" t="n">
        <v>1</v>
      </c>
      <c r="N1043" t="n">
        <v>0</v>
      </c>
      <c r="O1043" t="n">
        <v>0</v>
      </c>
      <c r="P1043" t="n">
        <v>0</v>
      </c>
      <c r="Q1043" t="n">
        <v>1</v>
      </c>
      <c r="R1043" t="n">
        <v>1</v>
      </c>
      <c r="S1043" t="n">
        <v>2</v>
      </c>
      <c r="T1043" t="n">
        <v>2</v>
      </c>
      <c r="U1043" t="n">
        <v>2</v>
      </c>
      <c r="V1043" s="2" t="inlineStr">
        <is>
          <t>Garnlav
Tjäder</t>
        </is>
      </c>
      <c r="W1043">
        <f>HYPERLINK("https://klasma.github.io/Logging_2023/artfynd/A 61974-2021 artfynd.xlsx", "A 61974-2021")</f>
        <v/>
      </c>
      <c r="X1043">
        <f>HYPERLINK("https://klasma.github.io/Logging_2023/kartor/A 61974-2021 karta.png", "A 61974-2021")</f>
        <v/>
      </c>
      <c r="Y1043">
        <f>HYPERLINK("https://klasma.github.io/Logging_2023/kartor_geotiff/A 61974-2021 georefererad karta.tif", "A 61974-2021")</f>
        <v/>
      </c>
      <c r="AA1043">
        <f>HYPERLINK("https://klasma.github.io/Logging_2023/klagomål/A 61974-2021 FSC-klagomål.docx", "A 61974-2021")</f>
        <v/>
      </c>
      <c r="AB1043">
        <f>HYPERLINK("https://klasma.github.io/Logging_2023/klagomålsmail/A 61974-2021 FSC-klagomål mail.docx", "A 61974-2021")</f>
        <v/>
      </c>
      <c r="AC1043">
        <f>HYPERLINK("https://klasma.github.io/Logging_2023/tillsyn/A 61974-2021 tillsynsbegäran.docx", "A 61974-2021")</f>
        <v/>
      </c>
      <c r="AD1043">
        <f>HYPERLINK("https://klasma.github.io/Logging_2023/tillsynsmail/A 61974-2021 tillsynsbegäran mail.docx", "A 61974-2021")</f>
        <v/>
      </c>
      <c r="AE1043">
        <f>HYPERLINK("https://klasma.github.io/Logging_2023/fåglar/A 61974-2021 prioriterade fågelarter.docx", "A 61974-2021")</f>
        <v/>
      </c>
    </row>
    <row r="1044" ht="15" customHeight="1">
      <c r="A1044" t="inlineStr">
        <is>
          <t>A 16116-2024</t>
        </is>
      </c>
      <c r="B1044" t="inlineStr">
        <is>
          <t>avverkningsanmälan</t>
        </is>
      </c>
      <c r="C1044" t="inlineStr">
        <is>
          <t>Föryngringsavverkning</t>
        </is>
      </c>
      <c r="D1044" s="1" t="n">
        <v>45406</v>
      </c>
      <c r="E1044" s="1" t="n">
        <v>46319</v>
      </c>
      <c r="F1044" t="inlineStr">
        <is>
          <t>DALARNAS LÄN</t>
        </is>
      </c>
      <c r="G1044" t="inlineStr">
        <is>
          <t>RÄTTVIK</t>
        </is>
      </c>
      <c r="I1044" t="n">
        <v>19.1</v>
      </c>
      <c r="J1044" t="n">
        <v>0</v>
      </c>
      <c r="K1044" t="n">
        <v>1</v>
      </c>
      <c r="L1044" t="n">
        <v>1</v>
      </c>
      <c r="M1044" t="n">
        <v>0</v>
      </c>
      <c r="N1044" t="n">
        <v>0</v>
      </c>
      <c r="O1044" t="n">
        <v>0</v>
      </c>
      <c r="P1044" t="n">
        <v>0</v>
      </c>
      <c r="Q1044" t="n">
        <v>1</v>
      </c>
      <c r="R1044" t="n">
        <v>0</v>
      </c>
      <c r="S1044" t="n">
        <v>2</v>
      </c>
      <c r="T1044" t="n">
        <v>2</v>
      </c>
      <c r="U1044" t="n">
        <v>0</v>
      </c>
      <c r="V1044" s="2" t="inlineStr">
        <is>
          <t>Majviva
Korallblylav</t>
        </is>
      </c>
      <c r="W1044">
        <f>HYPERLINK("https://klasma.github.io/Logging_2031/artfynd/A 16116-2024 artfynd.xlsx", "A 16116-2024")</f>
        <v/>
      </c>
      <c r="X1044">
        <f>HYPERLINK("https://klasma.github.io/Logging_2031/kartor/A 16116-2024 karta.png", "A 16116-2024")</f>
        <v/>
      </c>
      <c r="Y1044">
        <f>HYPERLINK("https://klasma.github.io/Logging_2031/kartor_geotiff/A 16116-2024 georefererad karta.tif", "A 16116-2024")</f>
        <v/>
      </c>
      <c r="AA1044">
        <f>HYPERLINK("https://klasma.github.io/Logging_2031/klagomål/A 16116-2024 FSC-klagomål.docx", "A 16116-2024")</f>
        <v/>
      </c>
      <c r="AB1044">
        <f>HYPERLINK("https://klasma.github.io/Logging_2031/klagomålsmail/A 16116-2024 FSC-klagomål mail.docx", "A 16116-2024")</f>
        <v/>
      </c>
      <c r="AC1044">
        <f>HYPERLINK("https://klasma.github.io/Logging_2031/tillsyn/A 16116-2024 tillsynsbegäran.docx", "A 16116-2024")</f>
        <v/>
      </c>
      <c r="AD1044">
        <f>HYPERLINK("https://klasma.github.io/Logging_2031/tillsynsmail/A 16116-2024 tillsynsbegäran mail.docx", "A 16116-2024")</f>
        <v/>
      </c>
    </row>
    <row r="1045" ht="15" customHeight="1">
      <c r="A1045" t="inlineStr">
        <is>
          <t>A 58495-2023</t>
        </is>
      </c>
      <c r="B1045" t="inlineStr">
        <is>
          <t>avverkningsanmälan</t>
        </is>
      </c>
      <c r="C1045" t="inlineStr">
        <is>
          <t>Avverkning för annat ändamål</t>
        </is>
      </c>
      <c r="D1045" s="1" t="n">
        <v>45251</v>
      </c>
      <c r="E1045" s="1" t="n">
        <v>46319</v>
      </c>
      <c r="F1045" t="inlineStr">
        <is>
          <t>DALARNAS LÄN</t>
        </is>
      </c>
      <c r="G1045" t="inlineStr">
        <is>
          <t>LEKSAND</t>
        </is>
      </c>
      <c r="I1045" t="n">
        <v>1.7</v>
      </c>
      <c r="J1045" t="n">
        <v>0</v>
      </c>
      <c r="K1045" t="n">
        <v>2</v>
      </c>
      <c r="L1045" t="n">
        <v>0</v>
      </c>
      <c r="M1045" t="n">
        <v>0</v>
      </c>
      <c r="N1045" t="n">
        <v>0</v>
      </c>
      <c r="O1045" t="n">
        <v>0</v>
      </c>
      <c r="P1045" t="n">
        <v>0</v>
      </c>
      <c r="Q1045" t="n">
        <v>0</v>
      </c>
      <c r="R1045" t="n">
        <v>0</v>
      </c>
      <c r="S1045" t="n">
        <v>2</v>
      </c>
      <c r="T1045" t="n">
        <v>4</v>
      </c>
      <c r="U1045" t="n">
        <v>0</v>
      </c>
      <c r="V1045" s="2" t="inlineStr">
        <is>
          <t>Brun nållav
Sotlav</t>
        </is>
      </c>
      <c r="W1045">
        <f>HYPERLINK("https://klasma.github.io/Logging_2029/artfynd/A 58495-2023 artfynd.xlsx", "A 58495-2023")</f>
        <v/>
      </c>
      <c r="X1045">
        <f>HYPERLINK("https://klasma.github.io/Logging_2029/kartor/A 58495-2023 karta.png", "A 58495-2023")</f>
        <v/>
      </c>
      <c r="Y1045">
        <f>HYPERLINK("https://klasma.github.io/Logging_2029/kartor_geotiff/A 58495-2023 georefererad karta.tif", "A 58495-2023")</f>
        <v/>
      </c>
      <c r="AA1045">
        <f>HYPERLINK("https://klasma.github.io/Logging_2029/klagomål/A 58495-2023 FSC-klagomål.docx", "A 58495-2023")</f>
        <v/>
      </c>
      <c r="AB1045">
        <f>HYPERLINK("https://klasma.github.io/Logging_2029/klagomålsmail/A 58495-2023 FSC-klagomål mail.docx", "A 58495-2023")</f>
        <v/>
      </c>
      <c r="AC1045">
        <f>HYPERLINK("https://klasma.github.io/Logging_2029/tillsyn/A 58495-2023 tillsynsbegäran.docx", "A 58495-2023")</f>
        <v/>
      </c>
      <c r="AD1045">
        <f>HYPERLINK("https://klasma.github.io/Logging_2029/tillsynsmail/A 58495-2023 tillsynsbegäran mail.docx", "A 58495-2023")</f>
        <v/>
      </c>
    </row>
    <row r="1046" ht="15" customHeight="1">
      <c r="A1046" t="inlineStr">
        <is>
          <t>A 14475-2024</t>
        </is>
      </c>
      <c r="B1046" t="inlineStr">
        <is>
          <t>avverkningsanmälan</t>
        </is>
      </c>
      <c r="C1046" t="inlineStr">
        <is>
          <t>Föryngringsavverkning</t>
        </is>
      </c>
      <c r="D1046" s="1" t="n">
        <v>45394</v>
      </c>
      <c r="E1046" s="1" t="n">
        <v>46319</v>
      </c>
      <c r="F1046" t="inlineStr">
        <is>
          <t>DALARNAS LÄN</t>
        </is>
      </c>
      <c r="G1046" t="inlineStr">
        <is>
          <t>VANSBRO</t>
        </is>
      </c>
      <c r="I1046" t="n">
        <v>20.4</v>
      </c>
      <c r="J1046" t="n">
        <v>0</v>
      </c>
      <c r="K1046" t="n">
        <v>0</v>
      </c>
      <c r="L1046" t="n">
        <v>1</v>
      </c>
      <c r="M1046" t="n">
        <v>1</v>
      </c>
      <c r="N1046" t="n">
        <v>0</v>
      </c>
      <c r="O1046" t="n">
        <v>0</v>
      </c>
      <c r="P1046" t="n">
        <v>0</v>
      </c>
      <c r="Q1046" t="n">
        <v>2</v>
      </c>
      <c r="R1046" t="n">
        <v>1</v>
      </c>
      <c r="S1046" t="n">
        <v>2</v>
      </c>
      <c r="T1046" t="n">
        <v>3</v>
      </c>
      <c r="U1046" t="n">
        <v>3</v>
      </c>
      <c r="V1046" s="2" t="inlineStr">
        <is>
          <t>Garnlav
Dropptaggsvamp</t>
        </is>
      </c>
      <c r="W1046">
        <f>HYPERLINK("https://klasma.github.io/Logging_2021/artfynd/A 14475-2024 artfynd.xlsx", "A 14475-2024")</f>
        <v/>
      </c>
      <c r="X1046">
        <f>HYPERLINK("https://klasma.github.io/Logging_2021/kartor/A 14475-2024 karta.png", "A 14475-2024")</f>
        <v/>
      </c>
      <c r="Y1046">
        <f>HYPERLINK("https://klasma.github.io/Logging_2021/kartor_geotiff/A 14475-2024 georefererad karta.tif", "A 14475-2024")</f>
        <v/>
      </c>
      <c r="AA1046">
        <f>HYPERLINK("https://klasma.github.io/Logging_2021/klagomål/A 14475-2024 FSC-klagomål.docx", "A 14475-2024")</f>
        <v/>
      </c>
      <c r="AB1046">
        <f>HYPERLINK("https://klasma.github.io/Logging_2021/klagomålsmail/A 14475-2024 FSC-klagomål mail.docx", "A 14475-2024")</f>
        <v/>
      </c>
      <c r="AC1046">
        <f>HYPERLINK("https://klasma.github.io/Logging_2021/tillsyn/A 14475-2024 tillsynsbegäran.docx", "A 14475-2024")</f>
        <v/>
      </c>
      <c r="AD1046">
        <f>HYPERLINK("https://klasma.github.io/Logging_2021/tillsynsmail/A 14475-2024 tillsynsbegäran mail.docx", "A 14475-2024")</f>
        <v/>
      </c>
    </row>
    <row r="1047" ht="15" customHeight="1">
      <c r="A1047" t="inlineStr">
        <is>
          <t>A 37552-2023</t>
        </is>
      </c>
      <c r="B1047" t="inlineStr">
        <is>
          <t>avverkningsanmälan</t>
        </is>
      </c>
      <c r="C1047" t="inlineStr">
        <is>
          <t>Föryngringsavverkning</t>
        </is>
      </c>
      <c r="D1047" s="1" t="n">
        <v>45159</v>
      </c>
      <c r="E1047" s="1" t="n">
        <v>46319</v>
      </c>
      <c r="F1047" t="inlineStr">
        <is>
          <t>DALARNAS LÄN</t>
        </is>
      </c>
      <c r="G1047" t="inlineStr">
        <is>
          <t>MORA</t>
        </is>
      </c>
      <c r="I1047" t="n">
        <v>4</v>
      </c>
      <c r="J1047" t="n">
        <v>0</v>
      </c>
      <c r="K1047" t="n">
        <v>0</v>
      </c>
      <c r="L1047" t="n">
        <v>1</v>
      </c>
      <c r="M1047" t="n">
        <v>1</v>
      </c>
      <c r="N1047" t="n">
        <v>0</v>
      </c>
      <c r="O1047" t="n">
        <v>0</v>
      </c>
      <c r="P1047" t="n">
        <v>0</v>
      </c>
      <c r="Q1047" t="n">
        <v>2</v>
      </c>
      <c r="R1047" t="n">
        <v>1</v>
      </c>
      <c r="S1047" t="n">
        <v>2</v>
      </c>
      <c r="T1047" t="n">
        <v>2</v>
      </c>
      <c r="U1047" t="n">
        <v>2</v>
      </c>
      <c r="V1047" s="2" t="inlineStr">
        <is>
          <t>Garnlav
Tallticka</t>
        </is>
      </c>
      <c r="W1047">
        <f>HYPERLINK("https://klasma.github.io/Logging_2062/artfynd/A 37552-2023 artfynd.xlsx", "A 37552-2023")</f>
        <v/>
      </c>
      <c r="X1047">
        <f>HYPERLINK("https://klasma.github.io/Logging_2062/kartor/A 37552-2023 karta.png", "A 37552-2023")</f>
        <v/>
      </c>
      <c r="Y1047">
        <f>HYPERLINK("https://klasma.github.io/Logging_2062/kartor_geotiff/A 37552-2023 georefererad karta.tif", "A 37552-2023")</f>
        <v/>
      </c>
      <c r="AA1047">
        <f>HYPERLINK("https://klasma.github.io/Logging_2062/klagomål/A 37552-2023 FSC-klagomål.docx", "A 37552-2023")</f>
        <v/>
      </c>
      <c r="AB1047">
        <f>HYPERLINK("https://klasma.github.io/Logging_2062/klagomålsmail/A 37552-2023 FSC-klagomål mail.docx", "A 37552-2023")</f>
        <v/>
      </c>
      <c r="AC1047">
        <f>HYPERLINK("https://klasma.github.io/Logging_2062/tillsyn/A 37552-2023 tillsynsbegäran.docx", "A 37552-2023")</f>
        <v/>
      </c>
      <c r="AD1047">
        <f>HYPERLINK("https://klasma.github.io/Logging_2062/tillsynsmail/A 37552-2023 tillsynsbegäran mail.docx", "A 37552-2023")</f>
        <v/>
      </c>
    </row>
    <row r="1048" ht="15" customHeight="1">
      <c r="A1048" t="inlineStr">
        <is>
          <t>A 33155-2024</t>
        </is>
      </c>
      <c r="B1048" t="inlineStr">
        <is>
          <t>avverkningsanmälan</t>
        </is>
      </c>
      <c r="C1048" t="inlineStr">
        <is>
          <t>Föryngringsavverkning</t>
        </is>
      </c>
      <c r="D1048" s="1" t="n">
        <v>45518</v>
      </c>
      <c r="E1048" s="1" t="n">
        <v>46319</v>
      </c>
      <c r="F1048" t="inlineStr">
        <is>
          <t>DALARNAS LÄN</t>
        </is>
      </c>
      <c r="G1048" t="inlineStr">
        <is>
          <t>LUDVIKA</t>
        </is>
      </c>
      <c r="I1048" t="n">
        <v>2.9</v>
      </c>
      <c r="J1048" t="n">
        <v>1</v>
      </c>
      <c r="K1048" t="n">
        <v>0</v>
      </c>
      <c r="L1048" t="n">
        <v>2</v>
      </c>
      <c r="M1048" t="n">
        <v>0</v>
      </c>
      <c r="N1048" t="n">
        <v>0</v>
      </c>
      <c r="O1048" t="n">
        <v>0</v>
      </c>
      <c r="P1048" t="n">
        <v>0</v>
      </c>
      <c r="Q1048" t="n">
        <v>2</v>
      </c>
      <c r="R1048" t="n">
        <v>0</v>
      </c>
      <c r="S1048" t="n">
        <v>2</v>
      </c>
      <c r="T1048" t="n">
        <v>2</v>
      </c>
      <c r="U1048" t="n">
        <v>1</v>
      </c>
      <c r="V1048" s="2" t="inlineStr">
        <is>
          <t>Brunpudrad nållav
Tretåig hackspett</t>
        </is>
      </c>
      <c r="W1048">
        <f>HYPERLINK("https://klasma.github.io/Logging_2085/artfynd/A 33155-2024 artfynd.xlsx", "A 33155-2024")</f>
        <v/>
      </c>
      <c r="X1048">
        <f>HYPERLINK("https://klasma.github.io/Logging_2085/kartor/A 33155-2024 karta.png", "A 33155-2024")</f>
        <v/>
      </c>
      <c r="Y1048">
        <f>HYPERLINK("https://klasma.github.io/Logging_2085/kartor_geotiff/A 33155-2024 georefererad karta.tif", "A 33155-2024")</f>
        <v/>
      </c>
      <c r="AA1048">
        <f>HYPERLINK("https://klasma.github.io/Logging_2085/klagomål/A 33155-2024 FSC-klagomål.docx", "A 33155-2024")</f>
        <v/>
      </c>
      <c r="AB1048">
        <f>HYPERLINK("https://klasma.github.io/Logging_2085/klagomålsmail/A 33155-2024 FSC-klagomål mail.docx", "A 33155-2024")</f>
        <v/>
      </c>
      <c r="AC1048">
        <f>HYPERLINK("https://klasma.github.io/Logging_2085/tillsyn/A 33155-2024 tillsynsbegäran.docx", "A 33155-2024")</f>
        <v/>
      </c>
      <c r="AD1048">
        <f>HYPERLINK("https://klasma.github.io/Logging_2085/tillsynsmail/A 33155-2024 tillsynsbegäran mail.docx", "A 33155-2024")</f>
        <v/>
      </c>
      <c r="AE1048">
        <f>HYPERLINK("https://klasma.github.io/Logging_2085/fåglar/A 33155-2024 prioriterade fågelarter.docx", "A 33155-2024")</f>
        <v/>
      </c>
    </row>
    <row r="1049" ht="15" customHeight="1">
      <c r="A1049" t="inlineStr">
        <is>
          <t>A 42391-2023</t>
        </is>
      </c>
      <c r="B1049" t="inlineStr">
        <is>
          <t>avverkningsanmälan</t>
        </is>
      </c>
      <c r="C1049" t="inlineStr">
        <is>
          <t>Avverkning för annat ändamål</t>
        </is>
      </c>
      <c r="D1049" s="1" t="n">
        <v>45180</v>
      </c>
      <c r="E1049" s="1" t="n">
        <v>46319</v>
      </c>
      <c r="F1049" t="inlineStr">
        <is>
          <t>DALARNAS LÄN</t>
        </is>
      </c>
      <c r="G1049" t="inlineStr">
        <is>
          <t>MORA</t>
        </is>
      </c>
      <c r="H1049" t="inlineStr">
        <is>
          <t>Kommuner</t>
        </is>
      </c>
      <c r="I1049" t="n">
        <v>0.3</v>
      </c>
      <c r="J1049" t="n">
        <v>0</v>
      </c>
      <c r="K1049" t="n">
        <v>2</v>
      </c>
      <c r="L1049" t="n">
        <v>0</v>
      </c>
      <c r="M1049" t="n">
        <v>0</v>
      </c>
      <c r="N1049" t="n">
        <v>0</v>
      </c>
      <c r="O1049" t="n">
        <v>0</v>
      </c>
      <c r="P1049" t="n">
        <v>0</v>
      </c>
      <c r="Q1049" t="n">
        <v>0</v>
      </c>
      <c r="R1049" t="n">
        <v>0</v>
      </c>
      <c r="S1049" t="n">
        <v>2</v>
      </c>
      <c r="T1049" t="n">
        <v>2</v>
      </c>
      <c r="U1049" t="n">
        <v>1</v>
      </c>
      <c r="V1049" s="2" t="inlineStr">
        <is>
          <t>Grön jordtunga
Sotriska</t>
        </is>
      </c>
      <c r="W1049">
        <f>HYPERLINK("https://klasma.github.io/Logging_2062/artfynd/A 42391-2023 artfynd.xlsx", "A 42391-2023")</f>
        <v/>
      </c>
      <c r="X1049">
        <f>HYPERLINK("https://klasma.github.io/Logging_2062/kartor/A 42391-2023 karta.png", "A 42391-2023")</f>
        <v/>
      </c>
      <c r="Y1049">
        <f>HYPERLINK("https://klasma.github.io/Logging_2062/kartor_geotiff/A 42391-2023 georefererad karta.tif", "A 42391-2023")</f>
        <v/>
      </c>
      <c r="AA1049">
        <f>HYPERLINK("https://klasma.github.io/Logging_2062/klagomål/A 42391-2023 FSC-klagomål.docx", "A 42391-2023")</f>
        <v/>
      </c>
      <c r="AB1049">
        <f>HYPERLINK("https://klasma.github.io/Logging_2062/klagomålsmail/A 42391-2023 FSC-klagomål mail.docx", "A 42391-2023")</f>
        <v/>
      </c>
      <c r="AC1049">
        <f>HYPERLINK("https://klasma.github.io/Logging_2062/tillsyn/A 42391-2023 tillsynsbegäran.docx", "A 42391-2023")</f>
        <v/>
      </c>
      <c r="AD1049">
        <f>HYPERLINK("https://klasma.github.io/Logging_2062/tillsynsmail/A 42391-2023 tillsynsbegäran mail.docx", "A 42391-2023")</f>
        <v/>
      </c>
    </row>
    <row r="1050" ht="15" customHeight="1">
      <c r="A1050" t="inlineStr">
        <is>
          <t>A 16832-2023</t>
        </is>
      </c>
      <c r="B1050" t="inlineStr">
        <is>
          <t>avverkningsanmälan</t>
        </is>
      </c>
      <c r="C1050" t="inlineStr">
        <is>
          <t>Föryngringsavverkning</t>
        </is>
      </c>
      <c r="D1050" s="1" t="n">
        <v>45033</v>
      </c>
      <c r="E1050" s="1" t="n">
        <v>46319</v>
      </c>
      <c r="F1050" t="inlineStr">
        <is>
          <t>DALARNAS LÄN</t>
        </is>
      </c>
      <c r="G1050" t="inlineStr">
        <is>
          <t>RÄTTVIK</t>
        </is>
      </c>
      <c r="I1050" t="n">
        <v>1.7</v>
      </c>
      <c r="J1050" t="n">
        <v>0</v>
      </c>
      <c r="K1050" t="n">
        <v>0</v>
      </c>
      <c r="L1050" t="n">
        <v>1</v>
      </c>
      <c r="M1050" t="n">
        <v>1</v>
      </c>
      <c r="N1050" t="n">
        <v>0</v>
      </c>
      <c r="O1050" t="n">
        <v>0</v>
      </c>
      <c r="P1050" t="n">
        <v>0</v>
      </c>
      <c r="Q1050" t="n">
        <v>2</v>
      </c>
      <c r="R1050" t="n">
        <v>1</v>
      </c>
      <c r="S1050" t="n">
        <v>2</v>
      </c>
      <c r="T1050" t="n">
        <v>2</v>
      </c>
      <c r="U1050" t="n">
        <v>0</v>
      </c>
      <c r="V1050" s="2" t="inlineStr">
        <is>
          <t>Garnlav
Ullticka</t>
        </is>
      </c>
      <c r="W1050">
        <f>HYPERLINK("https://klasma.github.io/Logging_2031/artfynd/A 16832-2023 artfynd.xlsx", "A 16832-2023")</f>
        <v/>
      </c>
      <c r="X1050">
        <f>HYPERLINK("https://klasma.github.io/Logging_2031/kartor/A 16832-2023 karta.png", "A 16832-2023")</f>
        <v/>
      </c>
      <c r="Y1050">
        <f>HYPERLINK("https://klasma.github.io/Logging_2031/kartor_geotiff/A 16832-2023 georefererad karta.tif", "A 16832-2023")</f>
        <v/>
      </c>
      <c r="AA1050">
        <f>HYPERLINK("https://klasma.github.io/Logging_2031/klagomål/A 16832-2023 FSC-klagomål.docx", "A 16832-2023")</f>
        <v/>
      </c>
      <c r="AB1050">
        <f>HYPERLINK("https://klasma.github.io/Logging_2031/klagomålsmail/A 16832-2023 FSC-klagomål mail.docx", "A 16832-2023")</f>
        <v/>
      </c>
      <c r="AC1050">
        <f>HYPERLINK("https://klasma.github.io/Logging_2031/tillsyn/A 16832-2023 tillsynsbegäran.docx", "A 16832-2023")</f>
        <v/>
      </c>
      <c r="AD1050">
        <f>HYPERLINK("https://klasma.github.io/Logging_2031/tillsynsmail/A 16832-2023 tillsynsbegäran mail.docx", "A 16832-2023")</f>
        <v/>
      </c>
    </row>
    <row r="1051" ht="15" customHeight="1">
      <c r="A1051" t="inlineStr">
        <is>
          <t>A 49051-2024</t>
        </is>
      </c>
      <c r="B1051" t="inlineStr">
        <is>
          <t>avverkningsanmälan</t>
        </is>
      </c>
      <c r="C1051" t="inlineStr">
        <is>
          <t>Föryngringsavverkning</t>
        </is>
      </c>
      <c r="D1051" s="1" t="n">
        <v>45594</v>
      </c>
      <c r="E1051" s="1" t="n">
        <v>46319</v>
      </c>
      <c r="F1051" t="inlineStr">
        <is>
          <t>DALARNAS LÄN</t>
        </is>
      </c>
      <c r="G1051" t="inlineStr">
        <is>
          <t>LUDVIKA</t>
        </is>
      </c>
      <c r="I1051" t="n">
        <v>1.8</v>
      </c>
      <c r="J1051" t="n">
        <v>0</v>
      </c>
      <c r="K1051" t="n">
        <v>0</v>
      </c>
      <c r="L1051" t="n">
        <v>0</v>
      </c>
      <c r="M1051" t="n">
        <v>0</v>
      </c>
      <c r="N1051" t="n">
        <v>2</v>
      </c>
      <c r="O1051" t="n">
        <v>0</v>
      </c>
      <c r="P1051" t="n">
        <v>0</v>
      </c>
      <c r="Q1051" t="n">
        <v>2</v>
      </c>
      <c r="R1051" t="n">
        <v>2</v>
      </c>
      <c r="S1051" t="n">
        <v>2</v>
      </c>
      <c r="T1051" t="n">
        <v>2</v>
      </c>
      <c r="U1051" t="n">
        <v>0</v>
      </c>
      <c r="V1051" s="2" t="inlineStr">
        <is>
          <t>Ladparasitspik
Vedkastanjelav</t>
        </is>
      </c>
      <c r="W1051">
        <f>HYPERLINK("https://klasma.github.io/Logging_2085/artfynd/A 49051-2024 artfynd.xlsx", "A 49051-2024")</f>
        <v/>
      </c>
      <c r="X1051">
        <f>HYPERLINK("https://klasma.github.io/Logging_2085/kartor/A 49051-2024 karta.png", "A 49051-2024")</f>
        <v/>
      </c>
      <c r="Y1051">
        <f>HYPERLINK("https://klasma.github.io/Logging_2085/kartor_geotiff/A 49051-2024 georefererad karta.tif", "A 49051-2024")</f>
        <v/>
      </c>
      <c r="AA1051">
        <f>HYPERLINK("https://klasma.github.io/Logging_2085/klagomål/A 49051-2024 FSC-klagomål.docx", "A 49051-2024")</f>
        <v/>
      </c>
      <c r="AB1051">
        <f>HYPERLINK("https://klasma.github.io/Logging_2085/klagomålsmail/A 49051-2024 FSC-klagomål mail.docx", "A 49051-2024")</f>
        <v/>
      </c>
      <c r="AC1051">
        <f>HYPERLINK("https://klasma.github.io/Logging_2085/tillsyn/A 49051-2024 tillsynsbegäran.docx", "A 49051-2024")</f>
        <v/>
      </c>
      <c r="AD1051">
        <f>HYPERLINK("https://klasma.github.io/Logging_2085/tillsynsmail/A 49051-2024 tillsynsbegäran mail.docx", "A 49051-2024")</f>
        <v/>
      </c>
    </row>
    <row r="1052" ht="15" customHeight="1">
      <c r="A1052" t="inlineStr">
        <is>
          <t>A 23707-2023</t>
        </is>
      </c>
      <c r="B1052" t="inlineStr">
        <is>
          <t>avverkningsanmälan</t>
        </is>
      </c>
      <c r="C1052" t="inlineStr">
        <is>
          <t>Föryngringsavverkning</t>
        </is>
      </c>
      <c r="D1052" s="1" t="n">
        <v>45077</v>
      </c>
      <c r="E1052" s="1" t="n">
        <v>46319</v>
      </c>
      <c r="F1052" t="inlineStr">
        <is>
          <t>DALARNAS LÄN</t>
        </is>
      </c>
      <c r="G1052" t="inlineStr">
        <is>
          <t>RÄTTVIK</t>
        </is>
      </c>
      <c r="I1052" t="n">
        <v>3.4</v>
      </c>
      <c r="J1052" t="n">
        <v>0</v>
      </c>
      <c r="K1052" t="n">
        <v>1</v>
      </c>
      <c r="L1052" t="n">
        <v>1</v>
      </c>
      <c r="M1052" t="n">
        <v>0</v>
      </c>
      <c r="N1052" t="n">
        <v>0</v>
      </c>
      <c r="O1052" t="n">
        <v>0</v>
      </c>
      <c r="P1052" t="n">
        <v>0</v>
      </c>
      <c r="Q1052" t="n">
        <v>1</v>
      </c>
      <c r="R1052" t="n">
        <v>0</v>
      </c>
      <c r="S1052" t="n">
        <v>2</v>
      </c>
      <c r="T1052" t="n">
        <v>2</v>
      </c>
      <c r="U1052" t="n">
        <v>0</v>
      </c>
      <c r="V1052" s="2" t="inlineStr">
        <is>
          <t>Ullticka
Vedticka</t>
        </is>
      </c>
      <c r="W1052">
        <f>HYPERLINK("https://klasma.github.io/Logging_2031/artfynd/A 23707-2023 artfynd.xlsx", "A 23707-2023")</f>
        <v/>
      </c>
      <c r="X1052">
        <f>HYPERLINK("https://klasma.github.io/Logging_2031/kartor/A 23707-2023 karta.png", "A 23707-2023")</f>
        <v/>
      </c>
      <c r="Y1052">
        <f>HYPERLINK("https://klasma.github.io/Logging_2031/kartor_geotiff/A 23707-2023 georefererad karta.tif", "A 23707-2023")</f>
        <v/>
      </c>
      <c r="AA1052">
        <f>HYPERLINK("https://klasma.github.io/Logging_2031/klagomål/A 23707-2023 FSC-klagomål.docx", "A 23707-2023")</f>
        <v/>
      </c>
      <c r="AB1052">
        <f>HYPERLINK("https://klasma.github.io/Logging_2031/klagomålsmail/A 23707-2023 FSC-klagomål mail.docx", "A 23707-2023")</f>
        <v/>
      </c>
      <c r="AC1052">
        <f>HYPERLINK("https://klasma.github.io/Logging_2031/tillsyn/A 23707-2023 tillsynsbegäran.docx", "A 23707-2023")</f>
        <v/>
      </c>
      <c r="AD1052">
        <f>HYPERLINK("https://klasma.github.io/Logging_2031/tillsynsmail/A 23707-2023 tillsynsbegäran mail.docx", "A 23707-2023")</f>
        <v/>
      </c>
    </row>
    <row r="1053" ht="15" customHeight="1">
      <c r="A1053" t="inlineStr">
        <is>
          <t>A 42290-2024</t>
        </is>
      </c>
      <c r="B1053" t="inlineStr">
        <is>
          <t>avverkningsanmälan</t>
        </is>
      </c>
      <c r="C1053" t="inlineStr">
        <is>
          <t>Föryngringsavverkning</t>
        </is>
      </c>
      <c r="D1053" s="1" t="n">
        <v>45562</v>
      </c>
      <c r="E1053" s="1" t="n">
        <v>46319</v>
      </c>
      <c r="F1053" t="inlineStr">
        <is>
          <t>DALARNAS LÄN</t>
        </is>
      </c>
      <c r="G1053" t="inlineStr">
        <is>
          <t>AVESTA</t>
        </is>
      </c>
      <c r="H1053" t="inlineStr">
        <is>
          <t>Sveaskog</t>
        </is>
      </c>
      <c r="I1053" t="n">
        <v>0.7</v>
      </c>
      <c r="J1053" t="n">
        <v>2</v>
      </c>
      <c r="K1053" t="n">
        <v>0</v>
      </c>
      <c r="L1053" t="n">
        <v>0</v>
      </c>
      <c r="M1053" t="n">
        <v>0</v>
      </c>
      <c r="N1053" t="n">
        <v>0</v>
      </c>
      <c r="O1053" t="n">
        <v>0</v>
      </c>
      <c r="P1053" t="n">
        <v>0</v>
      </c>
      <c r="Q1053" t="n">
        <v>0</v>
      </c>
      <c r="R1053" t="n">
        <v>0</v>
      </c>
      <c r="S1053" t="n">
        <v>2</v>
      </c>
      <c r="T1053" t="n">
        <v>2</v>
      </c>
      <c r="U1053" t="n">
        <v>0</v>
      </c>
      <c r="V1053" s="2" t="inlineStr">
        <is>
          <t>Tjäder
Revlummer</t>
        </is>
      </c>
      <c r="W1053">
        <f>HYPERLINK("https://klasma.github.io/Logging_2084/artfynd/A 42290-2024 artfynd.xlsx", "A 42290-2024")</f>
        <v/>
      </c>
      <c r="X1053">
        <f>HYPERLINK("https://klasma.github.io/Logging_2084/kartor/A 42290-2024 karta.png", "A 42290-2024")</f>
        <v/>
      </c>
      <c r="Y1053">
        <f>HYPERLINK("https://klasma.github.io/Logging_2084/kartor_geotiff/A 42290-2024 georefererad karta.tif", "A 42290-2024")</f>
        <v/>
      </c>
      <c r="AA1053">
        <f>HYPERLINK("https://klasma.github.io/Logging_2084/klagomål/A 42290-2024 FSC-klagomål.docx", "A 42290-2024")</f>
        <v/>
      </c>
      <c r="AB1053">
        <f>HYPERLINK("https://klasma.github.io/Logging_2084/klagomålsmail/A 42290-2024 FSC-klagomål mail.docx", "A 42290-2024")</f>
        <v/>
      </c>
      <c r="AC1053">
        <f>HYPERLINK("https://klasma.github.io/Logging_2084/tillsyn/A 42290-2024 tillsynsbegäran.docx", "A 42290-2024")</f>
        <v/>
      </c>
      <c r="AD1053">
        <f>HYPERLINK("https://klasma.github.io/Logging_2084/tillsynsmail/A 42290-2024 tillsynsbegäran mail.docx", "A 42290-2024")</f>
        <v/>
      </c>
      <c r="AE1053">
        <f>HYPERLINK("https://klasma.github.io/Logging_2084/fåglar/A 42290-2024 prioriterade fågelarter.docx", "A 42290-2024")</f>
        <v/>
      </c>
    </row>
    <row r="1054" ht="15" customHeight="1">
      <c r="A1054" t="inlineStr">
        <is>
          <t>A 18714-2023</t>
        </is>
      </c>
      <c r="B1054" t="inlineStr">
        <is>
          <t>avverkningsanmälan</t>
        </is>
      </c>
      <c r="C1054" t="inlineStr">
        <is>
          <t>Föryngringsavverkning</t>
        </is>
      </c>
      <c r="D1054" s="1" t="n">
        <v>45043</v>
      </c>
      <c r="E1054" s="1" t="n">
        <v>46319</v>
      </c>
      <c r="F1054" t="inlineStr">
        <is>
          <t>DALARNAS LÄN</t>
        </is>
      </c>
      <c r="G1054" t="inlineStr">
        <is>
          <t>FALUN</t>
        </is>
      </c>
      <c r="I1054" t="n">
        <v>1.8</v>
      </c>
      <c r="J1054" t="n">
        <v>0</v>
      </c>
      <c r="K1054" t="n">
        <v>1</v>
      </c>
      <c r="L1054" t="n">
        <v>1</v>
      </c>
      <c r="M1054" t="n">
        <v>0</v>
      </c>
      <c r="N1054" t="n">
        <v>0</v>
      </c>
      <c r="O1054" t="n">
        <v>0</v>
      </c>
      <c r="P1054" t="n">
        <v>0</v>
      </c>
      <c r="Q1054" t="n">
        <v>1</v>
      </c>
      <c r="R1054" t="n">
        <v>0</v>
      </c>
      <c r="S1054" t="n">
        <v>2</v>
      </c>
      <c r="T1054" t="n">
        <v>2</v>
      </c>
      <c r="U1054" t="n">
        <v>2</v>
      </c>
      <c r="V1054" s="2" t="inlineStr">
        <is>
          <t>Gammelgransskål
Bronshjon</t>
        </is>
      </c>
      <c r="W1054">
        <f>HYPERLINK("https://klasma.github.io/Logging_2080/artfynd/A 18714-2023 artfynd.xlsx", "A 18714-2023")</f>
        <v/>
      </c>
      <c r="X1054">
        <f>HYPERLINK("https://klasma.github.io/Logging_2080/kartor/A 18714-2023 karta.png", "A 18714-2023")</f>
        <v/>
      </c>
      <c r="Y1054">
        <f>HYPERLINK("https://klasma.github.io/Logging_2080/kartor_geotiff/A 18714-2023 georefererad karta.tif", "A 18714-2023")</f>
        <v/>
      </c>
      <c r="AA1054">
        <f>HYPERLINK("https://klasma.github.io/Logging_2080/klagomål/A 18714-2023 FSC-klagomål.docx", "A 18714-2023")</f>
        <v/>
      </c>
      <c r="AB1054">
        <f>HYPERLINK("https://klasma.github.io/Logging_2080/klagomålsmail/A 18714-2023 FSC-klagomål mail.docx", "A 18714-2023")</f>
        <v/>
      </c>
      <c r="AC1054">
        <f>HYPERLINK("https://klasma.github.io/Logging_2080/tillsyn/A 18714-2023 tillsynsbegäran.docx", "A 18714-2023")</f>
        <v/>
      </c>
      <c r="AD1054">
        <f>HYPERLINK("https://klasma.github.io/Logging_2080/tillsynsmail/A 18714-2023 tillsynsbegäran mail.docx", "A 18714-2023")</f>
        <v/>
      </c>
    </row>
    <row r="1055" ht="15" customHeight="1">
      <c r="A1055" t="inlineStr">
        <is>
          <t>A 21629-2022</t>
        </is>
      </c>
      <c r="B1055" t="inlineStr">
        <is>
          <t>avverkningsanmälan</t>
        </is>
      </c>
      <c r="C1055" t="inlineStr">
        <is>
          <t>Föryngringsavverkning</t>
        </is>
      </c>
      <c r="D1055" s="1" t="n">
        <v>44706</v>
      </c>
      <c r="E1055" s="1" t="n">
        <v>46319</v>
      </c>
      <c r="F1055" t="inlineStr">
        <is>
          <t>DALARNAS LÄN</t>
        </is>
      </c>
      <c r="G1055" t="inlineStr">
        <is>
          <t>ÄLVDALEN</t>
        </is>
      </c>
      <c r="H1055" t="inlineStr">
        <is>
          <t>Övriga statliga verk och myndigheter</t>
        </is>
      </c>
      <c r="I1055" t="n">
        <v>19.2</v>
      </c>
      <c r="J1055" t="n">
        <v>0</v>
      </c>
      <c r="K1055" t="n">
        <v>1</v>
      </c>
      <c r="L1055" t="n">
        <v>1</v>
      </c>
      <c r="M1055" t="n">
        <v>0</v>
      </c>
      <c r="N1055" t="n">
        <v>0</v>
      </c>
      <c r="O1055" t="n">
        <v>0</v>
      </c>
      <c r="P1055" t="n">
        <v>0</v>
      </c>
      <c r="Q1055" t="n">
        <v>1</v>
      </c>
      <c r="R1055" t="n">
        <v>0</v>
      </c>
      <c r="S1055" t="n">
        <v>2</v>
      </c>
      <c r="T1055" t="n">
        <v>2</v>
      </c>
      <c r="U1055" t="n">
        <v>0</v>
      </c>
      <c r="V1055" s="2" t="inlineStr">
        <is>
          <t>Vitgrynig nållav
Kransrams</t>
        </is>
      </c>
      <c r="W1055">
        <f>HYPERLINK("https://klasma.github.io/Logging_2039/artfynd/A 21629-2022 artfynd.xlsx", "A 21629-2022")</f>
        <v/>
      </c>
      <c r="X1055">
        <f>HYPERLINK("https://klasma.github.io/Logging_2039/kartor/A 21629-2022 karta.png", "A 21629-2022")</f>
        <v/>
      </c>
      <c r="Y1055">
        <f>HYPERLINK("https://klasma.github.io/Logging_2039/kartor_geotiff/A 21629-2022 georefererad karta.tif", "A 21629-2022")</f>
        <v/>
      </c>
      <c r="AA1055">
        <f>HYPERLINK("https://klasma.github.io/Logging_2039/klagomål/A 21629-2022 FSC-klagomål.docx", "A 21629-2022")</f>
        <v/>
      </c>
      <c r="AB1055">
        <f>HYPERLINK("https://klasma.github.io/Logging_2039/klagomålsmail/A 21629-2022 FSC-klagomål mail.docx", "A 21629-2022")</f>
        <v/>
      </c>
      <c r="AC1055">
        <f>HYPERLINK("https://klasma.github.io/Logging_2039/tillsyn/A 21629-2022 tillsynsbegäran.docx", "A 21629-2022")</f>
        <v/>
      </c>
      <c r="AD1055">
        <f>HYPERLINK("https://klasma.github.io/Logging_2039/tillsynsmail/A 21629-2022 tillsynsbegäran mail.docx", "A 21629-2022")</f>
        <v/>
      </c>
    </row>
    <row r="1056" ht="15" customHeight="1">
      <c r="A1056" t="inlineStr">
        <is>
          <t>A 42040-2023</t>
        </is>
      </c>
      <c r="B1056" t="inlineStr">
        <is>
          <t>avverkningsanmälan</t>
        </is>
      </c>
      <c r="C1056" t="inlineStr">
        <is>
          <t>Föryngringsavverkning</t>
        </is>
      </c>
      <c r="D1056" s="1" t="n">
        <v>45177</v>
      </c>
      <c r="E1056" s="1" t="n">
        <v>46319</v>
      </c>
      <c r="F1056" t="inlineStr">
        <is>
          <t>DALARNAS LÄN</t>
        </is>
      </c>
      <c r="G1056" t="inlineStr">
        <is>
          <t>BORLÄNGE</t>
        </is>
      </c>
      <c r="I1056" t="n">
        <v>4.7</v>
      </c>
      <c r="J1056" t="n">
        <v>1</v>
      </c>
      <c r="K1056" t="n">
        <v>1</v>
      </c>
      <c r="L1056" t="n">
        <v>0</v>
      </c>
      <c r="M1056" t="n">
        <v>1</v>
      </c>
      <c r="N1056" t="n">
        <v>0</v>
      </c>
      <c r="O1056" t="n">
        <v>0</v>
      </c>
      <c r="P1056" t="n">
        <v>0</v>
      </c>
      <c r="Q1056" t="n">
        <v>1</v>
      </c>
      <c r="R1056" t="n">
        <v>1</v>
      </c>
      <c r="S1056" t="n">
        <v>2</v>
      </c>
      <c r="T1056" t="n">
        <v>2</v>
      </c>
      <c r="U1056" t="n">
        <v>0</v>
      </c>
      <c r="V1056" s="2" t="inlineStr">
        <is>
          <t>Knärot
Rödgul trumpetsvamp</t>
        </is>
      </c>
      <c r="W1056">
        <f>HYPERLINK("https://klasma.github.io/Logging_2081/artfynd/A 42040-2023 artfynd.xlsx", "A 42040-2023")</f>
        <v/>
      </c>
      <c r="X1056">
        <f>HYPERLINK("https://klasma.github.io/Logging_2081/kartor/A 42040-2023 karta.png", "A 42040-2023")</f>
        <v/>
      </c>
      <c r="Y1056">
        <f>HYPERLINK("https://klasma.github.io/Logging_2081/kartor_geotiff/A 42040-2023 georefererad karta.tif", "A 42040-2023")</f>
        <v/>
      </c>
      <c r="Z1056">
        <f>HYPERLINK("https://klasma.github.io/Logging_2081/knärot/A 42040-2023 karta knärot.png", "A 42040-2023")</f>
        <v/>
      </c>
      <c r="AA1056">
        <f>HYPERLINK("https://klasma.github.io/Logging_2081/klagomål/A 42040-2023 FSC-klagomål.docx", "A 42040-2023")</f>
        <v/>
      </c>
      <c r="AB1056">
        <f>HYPERLINK("https://klasma.github.io/Logging_2081/klagomålsmail/A 42040-2023 FSC-klagomål mail.docx", "A 42040-2023")</f>
        <v/>
      </c>
      <c r="AC1056">
        <f>HYPERLINK("https://klasma.github.io/Logging_2081/tillsyn/A 42040-2023 tillsynsbegäran.docx", "A 42040-2023")</f>
        <v/>
      </c>
      <c r="AD1056">
        <f>HYPERLINK("https://klasma.github.io/Logging_2081/tillsynsmail/A 42040-2023 tillsynsbegäran mail.docx", "A 42040-2023")</f>
        <v/>
      </c>
    </row>
    <row r="1057" ht="15" customHeight="1">
      <c r="A1057" t="inlineStr">
        <is>
          <t>A 19015-2024</t>
        </is>
      </c>
      <c r="B1057" t="inlineStr">
        <is>
          <t>avverkningsanmälan</t>
        </is>
      </c>
      <c r="C1057" t="inlineStr">
        <is>
          <t>Föryngringsavverkning</t>
        </is>
      </c>
      <c r="D1057" s="1" t="n">
        <v>45427</v>
      </c>
      <c r="E1057" s="1" t="n">
        <v>46319</v>
      </c>
      <c r="F1057" t="inlineStr">
        <is>
          <t>DALARNAS LÄN</t>
        </is>
      </c>
      <c r="G1057" t="inlineStr">
        <is>
          <t>FALUN</t>
        </is>
      </c>
      <c r="H1057" t="inlineStr">
        <is>
          <t>Bergvik skog väst AB</t>
        </is>
      </c>
      <c r="I1057" t="n">
        <v>13.8</v>
      </c>
      <c r="J1057" t="n">
        <v>2</v>
      </c>
      <c r="K1057" t="n">
        <v>0</v>
      </c>
      <c r="L1057" t="n">
        <v>1</v>
      </c>
      <c r="M1057" t="n">
        <v>0</v>
      </c>
      <c r="N1057" t="n">
        <v>0</v>
      </c>
      <c r="O1057" t="n">
        <v>0</v>
      </c>
      <c r="P1057" t="n">
        <v>0</v>
      </c>
      <c r="Q1057" t="n">
        <v>1</v>
      </c>
      <c r="R1057" t="n">
        <v>0</v>
      </c>
      <c r="S1057" t="n">
        <v>2</v>
      </c>
      <c r="T1057" t="n">
        <v>2</v>
      </c>
      <c r="U1057" t="n">
        <v>2</v>
      </c>
      <c r="V1057" s="2" t="inlineStr">
        <is>
          <t>Talltita
Kungsfågel</t>
        </is>
      </c>
      <c r="W1057">
        <f>HYPERLINK("https://klasma.github.io/Logging_2080/artfynd/A 19015-2024 artfynd.xlsx", "A 19015-2024")</f>
        <v/>
      </c>
      <c r="X1057">
        <f>HYPERLINK("https://klasma.github.io/Logging_2080/kartor/A 19015-2024 karta.png", "A 19015-2024")</f>
        <v/>
      </c>
      <c r="Y1057">
        <f>HYPERLINK("https://klasma.github.io/Logging_2080/kartor_geotiff/A 19015-2024 georefererad karta.tif", "A 19015-2024")</f>
        <v/>
      </c>
      <c r="AA1057">
        <f>HYPERLINK("https://klasma.github.io/Logging_2080/klagomål/A 19015-2024 FSC-klagomål.docx", "A 19015-2024")</f>
        <v/>
      </c>
      <c r="AB1057">
        <f>HYPERLINK("https://klasma.github.io/Logging_2080/klagomålsmail/A 19015-2024 FSC-klagomål mail.docx", "A 19015-2024")</f>
        <v/>
      </c>
      <c r="AC1057">
        <f>HYPERLINK("https://klasma.github.io/Logging_2080/tillsyn/A 19015-2024 tillsynsbegäran.docx", "A 19015-2024")</f>
        <v/>
      </c>
      <c r="AD1057">
        <f>HYPERLINK("https://klasma.github.io/Logging_2080/tillsynsmail/A 19015-2024 tillsynsbegäran mail.docx", "A 19015-2024")</f>
        <v/>
      </c>
      <c r="AE1057">
        <f>HYPERLINK("https://klasma.github.io/Logging_2080/fåglar/A 19015-2024 prioriterade fågelarter.docx", "A 19015-2024")</f>
        <v/>
      </c>
    </row>
    <row r="1058" ht="15" customHeight="1">
      <c r="A1058" t="inlineStr">
        <is>
          <t>A 60017-2024</t>
        </is>
      </c>
      <c r="B1058" t="inlineStr">
        <is>
          <t>avverkningsanmälan</t>
        </is>
      </c>
      <c r="C1058" t="inlineStr">
        <is>
          <t>Avverkning för annat ändamål</t>
        </is>
      </c>
      <c r="D1058" s="1" t="n">
        <v>45642</v>
      </c>
      <c r="E1058" s="1" t="n">
        <v>46319</v>
      </c>
      <c r="F1058" t="inlineStr">
        <is>
          <t>DALARNAS LÄN</t>
        </is>
      </c>
      <c r="G1058" t="inlineStr">
        <is>
          <t>HEDEMORA</t>
        </is>
      </c>
      <c r="H1058" t="inlineStr">
        <is>
          <t>Sveaskog</t>
        </is>
      </c>
      <c r="I1058" t="n">
        <v>0.5</v>
      </c>
      <c r="J1058" t="n">
        <v>1</v>
      </c>
      <c r="K1058" t="n">
        <v>1</v>
      </c>
      <c r="L1058" t="n">
        <v>0</v>
      </c>
      <c r="M1058" t="n">
        <v>1</v>
      </c>
      <c r="N1058" t="n">
        <v>0</v>
      </c>
      <c r="O1058" t="n">
        <v>0</v>
      </c>
      <c r="P1058" t="n">
        <v>0</v>
      </c>
      <c r="Q1058" t="n">
        <v>1</v>
      </c>
      <c r="R1058" t="n">
        <v>1</v>
      </c>
      <c r="S1058" t="n">
        <v>2</v>
      </c>
      <c r="T1058" t="n">
        <v>8</v>
      </c>
      <c r="U1058" t="n">
        <v>8</v>
      </c>
      <c r="V1058" s="2" t="inlineStr">
        <is>
          <t>Knärot
Rödgul trumpetsvamp</t>
        </is>
      </c>
      <c r="W1058">
        <f>HYPERLINK("https://klasma.github.io/Logging_2083/artfynd/A 60017-2024 artfynd.xlsx", "A 60017-2024")</f>
        <v/>
      </c>
      <c r="X1058">
        <f>HYPERLINK("https://klasma.github.io/Logging_2083/kartor/A 60017-2024 karta.png", "A 60017-2024")</f>
        <v/>
      </c>
      <c r="Y1058">
        <f>HYPERLINK("https://klasma.github.io/Logging_2083/kartor_geotiff/A 60017-2024 georefererad karta.tif", "A 60017-2024")</f>
        <v/>
      </c>
      <c r="Z1058">
        <f>HYPERLINK("https://klasma.github.io/Logging_2083/knärot/A 60017-2024 karta knärot.png", "A 60017-2024")</f>
        <v/>
      </c>
      <c r="AA1058">
        <f>HYPERLINK("https://klasma.github.io/Logging_2083/klagomål/A 60017-2024 FSC-klagomål.docx", "A 60017-2024")</f>
        <v/>
      </c>
      <c r="AB1058">
        <f>HYPERLINK("https://klasma.github.io/Logging_2083/klagomålsmail/A 60017-2024 FSC-klagomål mail.docx", "A 60017-2024")</f>
        <v/>
      </c>
      <c r="AC1058">
        <f>HYPERLINK("https://klasma.github.io/Logging_2083/tillsyn/A 60017-2024 tillsynsbegäran.docx", "A 60017-2024")</f>
        <v/>
      </c>
      <c r="AD1058">
        <f>HYPERLINK("https://klasma.github.io/Logging_2083/tillsynsmail/A 60017-2024 tillsynsbegäran mail.docx", "A 60017-2024")</f>
        <v/>
      </c>
    </row>
    <row r="1059" ht="15" customHeight="1">
      <c r="A1059" t="inlineStr">
        <is>
          <t>A 43266-2023</t>
        </is>
      </c>
      <c r="B1059" t="inlineStr">
        <is>
          <t>avverkningsanmälan</t>
        </is>
      </c>
      <c r="C1059" t="inlineStr">
        <is>
          <t>Föryngringsavverkning</t>
        </is>
      </c>
      <c r="D1059" s="1" t="n">
        <v>45183</v>
      </c>
      <c r="E1059" s="1" t="n">
        <v>46319</v>
      </c>
      <c r="F1059" t="inlineStr">
        <is>
          <t>DALARNAS LÄN</t>
        </is>
      </c>
      <c r="G1059" t="inlineStr">
        <is>
          <t>FALUN</t>
        </is>
      </c>
      <c r="H1059" t="inlineStr">
        <is>
          <t>Bergvik skog väst AB</t>
        </is>
      </c>
      <c r="I1059" t="n">
        <v>0.7</v>
      </c>
      <c r="J1059" t="n">
        <v>2</v>
      </c>
      <c r="K1059" t="n">
        <v>0</v>
      </c>
      <c r="L1059" t="n">
        <v>0</v>
      </c>
      <c r="M1059" t="n">
        <v>1</v>
      </c>
      <c r="N1059" t="n">
        <v>0</v>
      </c>
      <c r="O1059" t="n">
        <v>0</v>
      </c>
      <c r="P1059" t="n">
        <v>0</v>
      </c>
      <c r="Q1059" t="n">
        <v>1</v>
      </c>
      <c r="R1059" t="n">
        <v>1</v>
      </c>
      <c r="S1059" t="n">
        <v>2</v>
      </c>
      <c r="T1059" t="n">
        <v>2</v>
      </c>
      <c r="U1059" t="n">
        <v>2</v>
      </c>
      <c r="V1059" s="2" t="inlineStr">
        <is>
          <t>Brun gräsfjäril
Törnskata</t>
        </is>
      </c>
      <c r="W1059">
        <f>HYPERLINK("https://klasma.github.io/Logging_2080/artfynd/A 43266-2023 artfynd.xlsx", "A 43266-2023")</f>
        <v/>
      </c>
      <c r="X1059">
        <f>HYPERLINK("https://klasma.github.io/Logging_2080/kartor/A 43266-2023 karta.png", "A 43266-2023")</f>
        <v/>
      </c>
      <c r="Y1059">
        <f>HYPERLINK("https://klasma.github.io/Logging_2080/kartor_geotiff/A 43266-2023 georefererad karta.tif", "A 43266-2023")</f>
        <v/>
      </c>
      <c r="AA1059">
        <f>HYPERLINK("https://klasma.github.io/Logging_2080/klagomål/A 43266-2023 FSC-klagomål.docx", "A 43266-2023")</f>
        <v/>
      </c>
      <c r="AB1059">
        <f>HYPERLINK("https://klasma.github.io/Logging_2080/klagomålsmail/A 43266-2023 FSC-klagomål mail.docx", "A 43266-2023")</f>
        <v/>
      </c>
      <c r="AC1059">
        <f>HYPERLINK("https://klasma.github.io/Logging_2080/tillsyn/A 43266-2023 tillsynsbegäran.docx", "A 43266-2023")</f>
        <v/>
      </c>
      <c r="AD1059">
        <f>HYPERLINK("https://klasma.github.io/Logging_2080/tillsynsmail/A 43266-2023 tillsynsbegäran mail.docx", "A 43266-2023")</f>
        <v/>
      </c>
      <c r="AE1059">
        <f>HYPERLINK("https://klasma.github.io/Logging_2080/fåglar/A 43266-2023 prioriterade fågelarter.docx", "A 43266-2023")</f>
        <v/>
      </c>
    </row>
    <row r="1060" ht="15" customHeight="1">
      <c r="A1060" t="inlineStr">
        <is>
          <t>A 59205-2023</t>
        </is>
      </c>
      <c r="B1060" t="inlineStr">
        <is>
          <t>avverkningsanmälan</t>
        </is>
      </c>
      <c r="C1060" t="inlineStr">
        <is>
          <t>Föryngringsavverkning</t>
        </is>
      </c>
      <c r="D1060" s="1" t="n">
        <v>45251</v>
      </c>
      <c r="E1060" s="1" t="n">
        <v>46319</v>
      </c>
      <c r="F1060" t="inlineStr">
        <is>
          <t>DALARNAS LÄN</t>
        </is>
      </c>
      <c r="G1060" t="inlineStr">
        <is>
          <t>LEKSAND</t>
        </is>
      </c>
      <c r="I1060" t="n">
        <v>1.9</v>
      </c>
      <c r="J1060" t="n">
        <v>2</v>
      </c>
      <c r="K1060" t="n">
        <v>0</v>
      </c>
      <c r="L1060" t="n">
        <v>0</v>
      </c>
      <c r="M1060" t="n">
        <v>1</v>
      </c>
      <c r="N1060" t="n">
        <v>0</v>
      </c>
      <c r="O1060" t="n">
        <v>0</v>
      </c>
      <c r="P1060" t="n">
        <v>0</v>
      </c>
      <c r="Q1060" t="n">
        <v>1</v>
      </c>
      <c r="R1060" t="n">
        <v>1</v>
      </c>
      <c r="S1060" t="n">
        <v>2</v>
      </c>
      <c r="T1060" t="n">
        <v>2</v>
      </c>
      <c r="U1060" t="n">
        <v>0</v>
      </c>
      <c r="V1060" s="2" t="inlineStr">
        <is>
          <t>Knärot
Revlummer</t>
        </is>
      </c>
      <c r="W1060">
        <f>HYPERLINK("https://klasma.github.io/Logging_2029/artfynd/A 59205-2023 artfynd.xlsx", "A 59205-2023")</f>
        <v/>
      </c>
      <c r="X1060">
        <f>HYPERLINK("https://klasma.github.io/Logging_2029/kartor/A 59205-2023 karta.png", "A 59205-2023")</f>
        <v/>
      </c>
      <c r="Y1060">
        <f>HYPERLINK("https://klasma.github.io/Logging_2029/kartor_geotiff/A 59205-2023 georefererad karta.tif", "A 59205-2023")</f>
        <v/>
      </c>
      <c r="Z1060">
        <f>HYPERLINK("https://klasma.github.io/Logging_2029/knärot/A 59205-2023 karta knärot.png", "A 59205-2023")</f>
        <v/>
      </c>
      <c r="AA1060">
        <f>HYPERLINK("https://klasma.github.io/Logging_2029/klagomål/A 59205-2023 FSC-klagomål.docx", "A 59205-2023")</f>
        <v/>
      </c>
      <c r="AB1060">
        <f>HYPERLINK("https://klasma.github.io/Logging_2029/klagomålsmail/A 59205-2023 FSC-klagomål mail.docx", "A 59205-2023")</f>
        <v/>
      </c>
      <c r="AC1060">
        <f>HYPERLINK("https://klasma.github.io/Logging_2029/tillsyn/A 59205-2023 tillsynsbegäran.docx", "A 59205-2023")</f>
        <v/>
      </c>
      <c r="AD1060">
        <f>HYPERLINK("https://klasma.github.io/Logging_2029/tillsynsmail/A 59205-2023 tillsynsbegäran mail.docx", "A 59205-2023")</f>
        <v/>
      </c>
    </row>
    <row r="1061" ht="15" customHeight="1">
      <c r="A1061" t="inlineStr">
        <is>
          <t>A 17163-2025</t>
        </is>
      </c>
      <c r="B1061" t="inlineStr">
        <is>
          <t>avverkningsanmälan</t>
        </is>
      </c>
      <c r="C1061" t="inlineStr">
        <is>
          <t>Föryngringsavverkning</t>
        </is>
      </c>
      <c r="D1061" s="1" t="n">
        <v>45756</v>
      </c>
      <c r="E1061" s="1" t="n">
        <v>46319</v>
      </c>
      <c r="F1061" t="inlineStr">
        <is>
          <t>DALARNAS LÄN</t>
        </is>
      </c>
      <c r="G1061" t="inlineStr">
        <is>
          <t>MORA</t>
        </is>
      </c>
      <c r="H1061" t="inlineStr">
        <is>
          <t>Bergvik skog öst AB</t>
        </is>
      </c>
      <c r="I1061" t="n">
        <v>0.5</v>
      </c>
      <c r="J1061" t="n">
        <v>0</v>
      </c>
      <c r="K1061" t="n">
        <v>1</v>
      </c>
      <c r="L1061" t="n">
        <v>0</v>
      </c>
      <c r="M1061" t="n">
        <v>1</v>
      </c>
      <c r="N1061" t="n">
        <v>0</v>
      </c>
      <c r="O1061" t="n">
        <v>0</v>
      </c>
      <c r="P1061" t="n">
        <v>0</v>
      </c>
      <c r="Q1061" t="n">
        <v>1</v>
      </c>
      <c r="R1061" t="n">
        <v>1</v>
      </c>
      <c r="S1061" t="n">
        <v>2</v>
      </c>
      <c r="T1061" t="n">
        <v>2</v>
      </c>
      <c r="U1061" t="n">
        <v>0</v>
      </c>
      <c r="V1061" s="2" t="inlineStr">
        <is>
          <t>Garnlav
Bronshjon</t>
        </is>
      </c>
      <c r="W1061">
        <f>HYPERLINK("https://klasma.github.io/Logging_2062/artfynd/A 17163-2025 artfynd.xlsx", "A 17163-2025")</f>
        <v/>
      </c>
      <c r="X1061">
        <f>HYPERLINK("https://klasma.github.io/Logging_2062/kartor/A 17163-2025 karta.png", "A 17163-2025")</f>
        <v/>
      </c>
      <c r="Y1061">
        <f>HYPERLINK("https://klasma.github.io/Logging_2062/kartor_geotiff/A 17163-2025 georefererad karta.tif", "A 17163-2025")</f>
        <v/>
      </c>
      <c r="AA1061">
        <f>HYPERLINK("https://klasma.github.io/Logging_2062/klagomål/A 17163-2025 FSC-klagomål.docx", "A 17163-2025")</f>
        <v/>
      </c>
      <c r="AB1061">
        <f>HYPERLINK("https://klasma.github.io/Logging_2062/klagomålsmail/A 17163-2025 FSC-klagomål mail.docx", "A 17163-2025")</f>
        <v/>
      </c>
      <c r="AC1061">
        <f>HYPERLINK("https://klasma.github.io/Logging_2062/tillsyn/A 17163-2025 tillsynsbegäran.docx", "A 17163-2025")</f>
        <v/>
      </c>
      <c r="AD1061">
        <f>HYPERLINK("https://klasma.github.io/Logging_2062/tillsynsmail/A 17163-2025 tillsynsbegäran mail.docx", "A 17163-2025")</f>
        <v/>
      </c>
    </row>
    <row r="1062" ht="15" customHeight="1">
      <c r="A1062" t="inlineStr">
        <is>
          <t>A 9199-2025</t>
        </is>
      </c>
      <c r="B1062" t="inlineStr">
        <is>
          <t>avverkningsanmälan</t>
        </is>
      </c>
      <c r="C1062" t="inlineStr">
        <is>
          <t>Föryngringsavverkning</t>
        </is>
      </c>
      <c r="D1062" s="1" t="n">
        <v>45714</v>
      </c>
      <c r="E1062" s="1" t="n">
        <v>46319</v>
      </c>
      <c r="F1062" t="inlineStr">
        <is>
          <t>DALARNAS LÄN</t>
        </is>
      </c>
      <c r="G1062" t="inlineStr">
        <is>
          <t>MALUNG-SÄLEN</t>
        </is>
      </c>
      <c r="I1062" t="n">
        <v>2.2</v>
      </c>
      <c r="J1062" t="n">
        <v>1</v>
      </c>
      <c r="K1062" t="n">
        <v>0</v>
      </c>
      <c r="L1062" t="n">
        <v>2</v>
      </c>
      <c r="M1062" t="n">
        <v>0</v>
      </c>
      <c r="N1062" t="n">
        <v>0</v>
      </c>
      <c r="O1062" t="n">
        <v>0</v>
      </c>
      <c r="P1062" t="n">
        <v>0</v>
      </c>
      <c r="Q1062" t="n">
        <v>2</v>
      </c>
      <c r="R1062" t="n">
        <v>0</v>
      </c>
      <c r="S1062" t="n">
        <v>2</v>
      </c>
      <c r="T1062" t="n">
        <v>2</v>
      </c>
      <c r="U1062" t="n">
        <v>0</v>
      </c>
      <c r="V1062" s="2" t="inlineStr">
        <is>
          <t>Kolflarnlav
Talltita</t>
        </is>
      </c>
      <c r="W1062">
        <f>HYPERLINK("https://klasma.github.io/Logging_2023/artfynd/A 9199-2025 artfynd.xlsx", "A 9199-2025")</f>
        <v/>
      </c>
      <c r="X1062">
        <f>HYPERLINK("https://klasma.github.io/Logging_2023/kartor/A 9199-2025 karta.png", "A 9199-2025")</f>
        <v/>
      </c>
      <c r="Y1062">
        <f>HYPERLINK("https://klasma.github.io/Logging_2023/kartor_geotiff/A 9199-2025 georefererad karta.tif", "A 9199-2025")</f>
        <v/>
      </c>
      <c r="AA1062">
        <f>HYPERLINK("https://klasma.github.io/Logging_2023/klagomål/A 9199-2025 FSC-klagomål.docx", "A 9199-2025")</f>
        <v/>
      </c>
      <c r="AB1062">
        <f>HYPERLINK("https://klasma.github.io/Logging_2023/klagomålsmail/A 9199-2025 FSC-klagomål mail.docx", "A 9199-2025")</f>
        <v/>
      </c>
      <c r="AC1062">
        <f>HYPERLINK("https://klasma.github.io/Logging_2023/tillsyn/A 9199-2025 tillsynsbegäran.docx", "A 9199-2025")</f>
        <v/>
      </c>
      <c r="AD1062">
        <f>HYPERLINK("https://klasma.github.io/Logging_2023/tillsynsmail/A 9199-2025 tillsynsbegäran mail.docx", "A 9199-2025")</f>
        <v/>
      </c>
      <c r="AE1062">
        <f>HYPERLINK("https://klasma.github.io/Logging_2023/fåglar/A 9199-2025 prioriterade fågelarter.docx", "A 9199-2025")</f>
        <v/>
      </c>
    </row>
    <row r="1063" ht="15" customHeight="1">
      <c r="A1063" t="inlineStr">
        <is>
          <t>A 58009-2023</t>
        </is>
      </c>
      <c r="B1063" t="inlineStr">
        <is>
          <t>avverkningsanmälan</t>
        </is>
      </c>
      <c r="C1063" t="inlineStr">
        <is>
          <t>Föryngringsavverkning</t>
        </is>
      </c>
      <c r="D1063" s="1" t="n">
        <v>45247</v>
      </c>
      <c r="E1063" s="1" t="n">
        <v>46319</v>
      </c>
      <c r="F1063" t="inlineStr">
        <is>
          <t>DALARNAS LÄN</t>
        </is>
      </c>
      <c r="G1063" t="inlineStr">
        <is>
          <t>VANSBRO</t>
        </is>
      </c>
      <c r="I1063" t="n">
        <v>0.5</v>
      </c>
      <c r="J1063" t="n">
        <v>2</v>
      </c>
      <c r="K1063" t="n">
        <v>0</v>
      </c>
      <c r="L1063" t="n">
        <v>1</v>
      </c>
      <c r="M1063" t="n">
        <v>0</v>
      </c>
      <c r="N1063" t="n">
        <v>0</v>
      </c>
      <c r="O1063" t="n">
        <v>0</v>
      </c>
      <c r="P1063" t="n">
        <v>0</v>
      </c>
      <c r="Q1063" t="n">
        <v>1</v>
      </c>
      <c r="R1063" t="n">
        <v>0</v>
      </c>
      <c r="S1063" t="n">
        <v>2</v>
      </c>
      <c r="T1063" t="n">
        <v>2</v>
      </c>
      <c r="U1063" t="n">
        <v>2</v>
      </c>
      <c r="V1063" s="2" t="inlineStr">
        <is>
          <t>Sädesärla
Orre</t>
        </is>
      </c>
      <c r="W1063">
        <f>HYPERLINK("https://klasma.github.io/Logging_2021/artfynd/A 58009-2023 artfynd.xlsx", "A 58009-2023")</f>
        <v/>
      </c>
      <c r="X1063">
        <f>HYPERLINK("https://klasma.github.io/Logging_2021/kartor/A 58009-2023 karta.png", "A 58009-2023")</f>
        <v/>
      </c>
      <c r="Y1063">
        <f>HYPERLINK("https://klasma.github.io/Logging_2021/kartor_geotiff/A 58009-2023 georefererad karta.tif", "A 58009-2023")</f>
        <v/>
      </c>
      <c r="AA1063">
        <f>HYPERLINK("https://klasma.github.io/Logging_2021/klagomål/A 58009-2023 FSC-klagomål.docx", "A 58009-2023")</f>
        <v/>
      </c>
      <c r="AB1063">
        <f>HYPERLINK("https://klasma.github.io/Logging_2021/klagomålsmail/A 58009-2023 FSC-klagomål mail.docx", "A 58009-2023")</f>
        <v/>
      </c>
      <c r="AC1063">
        <f>HYPERLINK("https://klasma.github.io/Logging_2021/tillsyn/A 58009-2023 tillsynsbegäran.docx", "A 58009-2023")</f>
        <v/>
      </c>
      <c r="AD1063">
        <f>HYPERLINK("https://klasma.github.io/Logging_2021/tillsynsmail/A 58009-2023 tillsynsbegäran mail.docx", "A 58009-2023")</f>
        <v/>
      </c>
      <c r="AE1063">
        <f>HYPERLINK("https://klasma.github.io/Logging_2021/fåglar/A 58009-2023 prioriterade fågelarter.docx", "A 58009-2023")</f>
        <v/>
      </c>
    </row>
    <row r="1064" ht="15" customHeight="1">
      <c r="A1064" t="inlineStr">
        <is>
          <t>A 50079-2023</t>
        </is>
      </c>
      <c r="B1064" t="inlineStr">
        <is>
          <t>avverkningsanmälan</t>
        </is>
      </c>
      <c r="C1064" t="inlineStr">
        <is>
          <t>Föryngringsavverkning</t>
        </is>
      </c>
      <c r="D1064" s="1" t="n">
        <v>45215</v>
      </c>
      <c r="E1064" s="1" t="n">
        <v>46319</v>
      </c>
      <c r="F1064" t="inlineStr">
        <is>
          <t>DALARNAS LÄN</t>
        </is>
      </c>
      <c r="G1064" t="inlineStr">
        <is>
          <t>SÄTER</t>
        </is>
      </c>
      <c r="I1064" t="n">
        <v>3.8</v>
      </c>
      <c r="J1064" t="n">
        <v>1</v>
      </c>
      <c r="K1064" t="n">
        <v>0</v>
      </c>
      <c r="L1064" t="n">
        <v>1</v>
      </c>
      <c r="M1064" t="n">
        <v>0</v>
      </c>
      <c r="N1064" t="n">
        <v>0</v>
      </c>
      <c r="O1064" t="n">
        <v>0</v>
      </c>
      <c r="P1064" t="n">
        <v>0</v>
      </c>
      <c r="Q1064" t="n">
        <v>1</v>
      </c>
      <c r="R1064" t="n">
        <v>0</v>
      </c>
      <c r="S1064" t="n">
        <v>2</v>
      </c>
      <c r="T1064" t="n">
        <v>8</v>
      </c>
      <c r="U1064" t="n">
        <v>1</v>
      </c>
      <c r="V1064" s="2" t="inlineStr">
        <is>
          <t>Tallticka
Blåsippa</t>
        </is>
      </c>
      <c r="W1064">
        <f>HYPERLINK("https://klasma.github.io/Logging_2082/artfynd/A 50079-2023 artfynd.xlsx", "A 50079-2023")</f>
        <v/>
      </c>
      <c r="X1064">
        <f>HYPERLINK("https://klasma.github.io/Logging_2082/kartor/A 50079-2023 karta.png", "A 50079-2023")</f>
        <v/>
      </c>
      <c r="Y1064">
        <f>HYPERLINK("https://klasma.github.io/Logging_2082/kartor_geotiff/A 50079-2023 georefererad karta.tif", "A 50079-2023")</f>
        <v/>
      </c>
      <c r="AA1064">
        <f>HYPERLINK("https://klasma.github.io/Logging_2082/klagomål/A 50079-2023 FSC-klagomål.docx", "A 50079-2023")</f>
        <v/>
      </c>
      <c r="AB1064">
        <f>HYPERLINK("https://klasma.github.io/Logging_2082/klagomålsmail/A 50079-2023 FSC-klagomål mail.docx", "A 50079-2023")</f>
        <v/>
      </c>
      <c r="AC1064">
        <f>HYPERLINK("https://klasma.github.io/Logging_2082/tillsyn/A 50079-2023 tillsynsbegäran.docx", "A 50079-2023")</f>
        <v/>
      </c>
      <c r="AD1064">
        <f>HYPERLINK("https://klasma.github.io/Logging_2082/tillsynsmail/A 50079-2023 tillsynsbegäran mail.docx", "A 50079-2023")</f>
        <v/>
      </c>
    </row>
    <row r="1065" ht="15" customHeight="1">
      <c r="A1065" t="inlineStr">
        <is>
          <t>A 3809-2024</t>
        </is>
      </c>
      <c r="B1065" t="inlineStr">
        <is>
          <t>avverkningsanmälan</t>
        </is>
      </c>
      <c r="C1065" t="inlineStr">
        <is>
          <t>Föryngringsavverkning</t>
        </is>
      </c>
      <c r="D1065" s="1" t="n">
        <v>45321</v>
      </c>
      <c r="E1065" s="1" t="n">
        <v>46319</v>
      </c>
      <c r="F1065" t="inlineStr">
        <is>
          <t>DALARNAS LÄN</t>
        </is>
      </c>
      <c r="G1065" t="inlineStr">
        <is>
          <t>LUDVIKA</t>
        </is>
      </c>
      <c r="I1065" t="n">
        <v>0.5</v>
      </c>
      <c r="J1065" t="n">
        <v>2</v>
      </c>
      <c r="K1065" t="n">
        <v>0</v>
      </c>
      <c r="L1065" t="n">
        <v>1</v>
      </c>
      <c r="M1065" t="n">
        <v>0</v>
      </c>
      <c r="N1065" t="n">
        <v>0</v>
      </c>
      <c r="O1065" t="n">
        <v>0</v>
      </c>
      <c r="P1065" t="n">
        <v>0</v>
      </c>
      <c r="Q1065" t="n">
        <v>1</v>
      </c>
      <c r="R1065" t="n">
        <v>0</v>
      </c>
      <c r="S1065" t="n">
        <v>2</v>
      </c>
      <c r="T1065" t="n">
        <v>8</v>
      </c>
      <c r="U1065" t="n">
        <v>8</v>
      </c>
      <c r="V1065" s="2" t="inlineStr">
        <is>
          <t>Nordfladdermus
Fläcknycklar</t>
        </is>
      </c>
      <c r="W1065">
        <f>HYPERLINK("https://klasma.github.io/Logging_2085/artfynd/A 3809-2024 artfynd.xlsx", "A 3809-2024")</f>
        <v/>
      </c>
      <c r="X1065">
        <f>HYPERLINK("https://klasma.github.io/Logging_2085/kartor/A 3809-2024 karta.png", "A 3809-2024")</f>
        <v/>
      </c>
      <c r="Y1065">
        <f>HYPERLINK("https://klasma.github.io/Logging_2085/kartor_geotiff/A 3809-2024 georefererad karta.tif", "A 3809-2024")</f>
        <v/>
      </c>
      <c r="AA1065">
        <f>HYPERLINK("https://klasma.github.io/Logging_2085/klagomål/A 3809-2024 FSC-klagomål.docx", "A 3809-2024")</f>
        <v/>
      </c>
      <c r="AB1065">
        <f>HYPERLINK("https://klasma.github.io/Logging_2085/klagomålsmail/A 3809-2024 FSC-klagomål mail.docx", "A 3809-2024")</f>
        <v/>
      </c>
      <c r="AC1065">
        <f>HYPERLINK("https://klasma.github.io/Logging_2085/tillsyn/A 3809-2024 tillsynsbegäran.docx", "A 3809-2024")</f>
        <v/>
      </c>
      <c r="AD1065">
        <f>HYPERLINK("https://klasma.github.io/Logging_2085/tillsynsmail/A 3809-2024 tillsynsbegäran mail.docx", "A 3809-2024")</f>
        <v/>
      </c>
    </row>
    <row r="1066" ht="15" customHeight="1">
      <c r="A1066" t="inlineStr">
        <is>
          <t>A 35594-2022</t>
        </is>
      </c>
      <c r="B1066" t="inlineStr">
        <is>
          <t>avverkningsanmälan</t>
        </is>
      </c>
      <c r="C1066" t="inlineStr">
        <is>
          <t>Föryngringsavverkning</t>
        </is>
      </c>
      <c r="D1066" s="1" t="n">
        <v>44799</v>
      </c>
      <c r="E1066" s="1" t="n">
        <v>46319</v>
      </c>
      <c r="F1066" t="inlineStr">
        <is>
          <t>DALARNAS LÄN</t>
        </is>
      </c>
      <c r="G1066" t="inlineStr">
        <is>
          <t>BORLÄNGE</t>
        </is>
      </c>
      <c r="H1066" t="inlineStr">
        <is>
          <t>Bergvik skog väst AB</t>
        </is>
      </c>
      <c r="I1066" t="n">
        <v>1.7</v>
      </c>
      <c r="J1066" t="n">
        <v>0</v>
      </c>
      <c r="K1066" t="n">
        <v>0</v>
      </c>
      <c r="L1066" t="n">
        <v>2</v>
      </c>
      <c r="M1066" t="n">
        <v>0</v>
      </c>
      <c r="N1066" t="n">
        <v>0</v>
      </c>
      <c r="O1066" t="n">
        <v>0</v>
      </c>
      <c r="P1066" t="n">
        <v>0</v>
      </c>
      <c r="Q1066" t="n">
        <v>2</v>
      </c>
      <c r="R1066" t="n">
        <v>0</v>
      </c>
      <c r="S1066" t="n">
        <v>2</v>
      </c>
      <c r="T1066" t="n">
        <v>2</v>
      </c>
      <c r="U1066" t="n">
        <v>2</v>
      </c>
      <c r="V1066" s="2" t="inlineStr">
        <is>
          <t>Rynkskinn
Ullticka</t>
        </is>
      </c>
      <c r="W1066">
        <f>HYPERLINK("https://klasma.github.io/Logging_2081/artfynd/A 35594-2022 artfynd.xlsx", "A 35594-2022")</f>
        <v/>
      </c>
      <c r="X1066">
        <f>HYPERLINK("https://klasma.github.io/Logging_2081/kartor/A 35594-2022 karta.png", "A 35594-2022")</f>
        <v/>
      </c>
      <c r="Y1066">
        <f>HYPERLINK("https://klasma.github.io/Logging_2081/kartor_geotiff/A 35594-2022 georefererad karta.tif", "A 35594-2022")</f>
        <v/>
      </c>
      <c r="AA1066">
        <f>HYPERLINK("https://klasma.github.io/Logging_2081/klagomål/A 35594-2022 FSC-klagomål.docx", "A 35594-2022")</f>
        <v/>
      </c>
      <c r="AB1066">
        <f>HYPERLINK("https://klasma.github.io/Logging_2081/klagomålsmail/A 35594-2022 FSC-klagomål mail.docx", "A 35594-2022")</f>
        <v/>
      </c>
      <c r="AC1066">
        <f>HYPERLINK("https://klasma.github.io/Logging_2081/tillsyn/A 35594-2022 tillsynsbegäran.docx", "A 35594-2022")</f>
        <v/>
      </c>
      <c r="AD1066">
        <f>HYPERLINK("https://klasma.github.io/Logging_2081/tillsynsmail/A 35594-2022 tillsynsbegäran mail.docx", "A 35594-2022")</f>
        <v/>
      </c>
    </row>
    <row r="1067" ht="15" customHeight="1">
      <c r="A1067" t="inlineStr">
        <is>
          <t>A 51253-2023</t>
        </is>
      </c>
      <c r="B1067" t="inlineStr">
        <is>
          <t>avverkningsanmälan</t>
        </is>
      </c>
      <c r="C1067" t="inlineStr">
        <is>
          <t>Föryngringsavverkning</t>
        </is>
      </c>
      <c r="D1067" s="1" t="n">
        <v>45219</v>
      </c>
      <c r="E1067" s="1" t="n">
        <v>46319</v>
      </c>
      <c r="F1067" t="inlineStr">
        <is>
          <t>DALARNAS LÄN</t>
        </is>
      </c>
      <c r="G1067" t="inlineStr">
        <is>
          <t>MORA</t>
        </is>
      </c>
      <c r="I1067" t="n">
        <v>5</v>
      </c>
      <c r="J1067" t="n">
        <v>0</v>
      </c>
      <c r="K1067" t="n">
        <v>1</v>
      </c>
      <c r="L1067" t="n">
        <v>0</v>
      </c>
      <c r="M1067" t="n">
        <v>1</v>
      </c>
      <c r="N1067" t="n">
        <v>0</v>
      </c>
      <c r="O1067" t="n">
        <v>0</v>
      </c>
      <c r="P1067" t="n">
        <v>0</v>
      </c>
      <c r="Q1067" t="n">
        <v>1</v>
      </c>
      <c r="R1067" t="n">
        <v>1</v>
      </c>
      <c r="S1067" t="n">
        <v>2</v>
      </c>
      <c r="T1067" t="n">
        <v>5</v>
      </c>
      <c r="U1067" t="n">
        <v>5</v>
      </c>
      <c r="V1067" s="2" t="inlineStr">
        <is>
          <t>Garnlav
Mindre märgborre</t>
        </is>
      </c>
      <c r="W1067">
        <f>HYPERLINK("https://klasma.github.io/Logging_2062/artfynd/A 51253-2023 artfynd.xlsx", "A 51253-2023")</f>
        <v/>
      </c>
      <c r="X1067">
        <f>HYPERLINK("https://klasma.github.io/Logging_2062/kartor/A 51253-2023 karta.png", "A 51253-2023")</f>
        <v/>
      </c>
      <c r="Y1067">
        <f>HYPERLINK("https://klasma.github.io/Logging_2062/kartor_geotiff/A 51253-2023 georefererad karta.tif", "A 51253-2023")</f>
        <v/>
      </c>
      <c r="AA1067">
        <f>HYPERLINK("https://klasma.github.io/Logging_2062/klagomål/A 51253-2023 FSC-klagomål.docx", "A 51253-2023")</f>
        <v/>
      </c>
      <c r="AB1067">
        <f>HYPERLINK("https://klasma.github.io/Logging_2062/klagomålsmail/A 51253-2023 FSC-klagomål mail.docx", "A 51253-2023")</f>
        <v/>
      </c>
      <c r="AC1067">
        <f>HYPERLINK("https://klasma.github.io/Logging_2062/tillsyn/A 51253-2023 tillsynsbegäran.docx", "A 51253-2023")</f>
        <v/>
      </c>
      <c r="AD1067">
        <f>HYPERLINK("https://klasma.github.io/Logging_2062/tillsynsmail/A 51253-2023 tillsynsbegäran mail.docx", "A 51253-2023")</f>
        <v/>
      </c>
    </row>
    <row r="1068" ht="15" customHeight="1">
      <c r="A1068" t="inlineStr">
        <is>
          <t>A 12636-2022</t>
        </is>
      </c>
      <c r="B1068" t="inlineStr">
        <is>
          <t>avverkningsanmälan</t>
        </is>
      </c>
      <c r="C1068" t="inlineStr">
        <is>
          <t>Föryngringsavverkning</t>
        </is>
      </c>
      <c r="D1068" s="1" t="n">
        <v>44641</v>
      </c>
      <c r="E1068" s="1" t="n">
        <v>46319</v>
      </c>
      <c r="F1068" t="inlineStr">
        <is>
          <t>DALARNAS LÄN</t>
        </is>
      </c>
      <c r="G1068" t="inlineStr">
        <is>
          <t>MALUNG-SÄLEN</t>
        </is>
      </c>
      <c r="I1068" t="n">
        <v>6.6</v>
      </c>
      <c r="J1068" t="n">
        <v>0</v>
      </c>
      <c r="K1068" t="n">
        <v>0</v>
      </c>
      <c r="L1068" t="n">
        <v>1</v>
      </c>
      <c r="M1068" t="n">
        <v>1</v>
      </c>
      <c r="N1068" t="n">
        <v>0</v>
      </c>
      <c r="O1068" t="n">
        <v>0</v>
      </c>
      <c r="P1068" t="n">
        <v>0</v>
      </c>
      <c r="Q1068" t="n">
        <v>2</v>
      </c>
      <c r="R1068" t="n">
        <v>1</v>
      </c>
      <c r="S1068" t="n">
        <v>2</v>
      </c>
      <c r="T1068" t="n">
        <v>2</v>
      </c>
      <c r="U1068" t="n">
        <v>0</v>
      </c>
      <c r="V1068" s="2" t="inlineStr">
        <is>
          <t>Garnlav
Violettgrå tagellav</t>
        </is>
      </c>
      <c r="W1068">
        <f>HYPERLINK("https://klasma.github.io/Logging_2023/artfynd/A 12636-2022 artfynd.xlsx", "A 12636-2022")</f>
        <v/>
      </c>
      <c r="X1068">
        <f>HYPERLINK("https://klasma.github.io/Logging_2023/kartor/A 12636-2022 karta.png", "A 12636-2022")</f>
        <v/>
      </c>
      <c r="Y1068">
        <f>HYPERLINK("https://klasma.github.io/Logging_2023/kartor_geotiff/A 12636-2022 georefererad karta.tif", "A 12636-2022")</f>
        <v/>
      </c>
      <c r="AA1068">
        <f>HYPERLINK("https://klasma.github.io/Logging_2023/klagomål/A 12636-2022 FSC-klagomål.docx", "A 12636-2022")</f>
        <v/>
      </c>
      <c r="AB1068">
        <f>HYPERLINK("https://klasma.github.io/Logging_2023/klagomålsmail/A 12636-2022 FSC-klagomål mail.docx", "A 12636-2022")</f>
        <v/>
      </c>
      <c r="AC1068">
        <f>HYPERLINK("https://klasma.github.io/Logging_2023/tillsyn/A 12636-2022 tillsynsbegäran.docx", "A 12636-2022")</f>
        <v/>
      </c>
      <c r="AD1068">
        <f>HYPERLINK("https://klasma.github.io/Logging_2023/tillsynsmail/A 12636-2022 tillsynsbegäran mail.docx", "A 12636-2022")</f>
        <v/>
      </c>
    </row>
    <row r="1069" ht="15" customHeight="1">
      <c r="A1069" t="inlineStr">
        <is>
          <t>A 27212-2022</t>
        </is>
      </c>
      <c r="B1069" t="inlineStr">
        <is>
          <t>avverkningsanmälan</t>
        </is>
      </c>
      <c r="C1069" t="inlineStr">
        <is>
          <t>Föryngringsavverkning</t>
        </is>
      </c>
      <c r="D1069" s="1" t="n">
        <v>44741</v>
      </c>
      <c r="E1069" s="1" t="n">
        <v>46319</v>
      </c>
      <c r="F1069" t="inlineStr">
        <is>
          <t>DALARNAS LÄN</t>
        </is>
      </c>
      <c r="G1069" t="inlineStr">
        <is>
          <t>MALUNG-SÄLEN</t>
        </is>
      </c>
      <c r="H1069" t="inlineStr">
        <is>
          <t>Bergvik skog öst AB</t>
        </is>
      </c>
      <c r="I1069" t="n">
        <v>1.5</v>
      </c>
      <c r="J1069" t="n">
        <v>0</v>
      </c>
      <c r="K1069" t="n">
        <v>0</v>
      </c>
      <c r="L1069" t="n">
        <v>1</v>
      </c>
      <c r="M1069" t="n">
        <v>1</v>
      </c>
      <c r="N1069" t="n">
        <v>0</v>
      </c>
      <c r="O1069" t="n">
        <v>0</v>
      </c>
      <c r="P1069" t="n">
        <v>0</v>
      </c>
      <c r="Q1069" t="n">
        <v>2</v>
      </c>
      <c r="R1069" t="n">
        <v>1</v>
      </c>
      <c r="S1069" t="n">
        <v>2</v>
      </c>
      <c r="T1069" t="n">
        <v>2</v>
      </c>
      <c r="U1069" t="n">
        <v>0</v>
      </c>
      <c r="V1069" s="2" t="inlineStr">
        <is>
          <t>Norsk näverlav
Skuggblåslav</t>
        </is>
      </c>
      <c r="W1069">
        <f>HYPERLINK("https://klasma.github.io/Logging_2023/artfynd/A 27212-2022 artfynd.xlsx", "A 27212-2022")</f>
        <v/>
      </c>
      <c r="X1069">
        <f>HYPERLINK("https://klasma.github.io/Logging_2023/kartor/A 27212-2022 karta.png", "A 27212-2022")</f>
        <v/>
      </c>
      <c r="Y1069">
        <f>HYPERLINK("https://klasma.github.io/Logging_2023/kartor_geotiff/A 27212-2022 georefererad karta.tif", "A 27212-2022")</f>
        <v/>
      </c>
      <c r="AA1069">
        <f>HYPERLINK("https://klasma.github.io/Logging_2023/klagomål/A 27212-2022 FSC-klagomål.docx", "A 27212-2022")</f>
        <v/>
      </c>
      <c r="AB1069">
        <f>HYPERLINK("https://klasma.github.io/Logging_2023/klagomålsmail/A 27212-2022 FSC-klagomål mail.docx", "A 27212-2022")</f>
        <v/>
      </c>
      <c r="AC1069">
        <f>HYPERLINK("https://klasma.github.io/Logging_2023/tillsyn/A 27212-2022 tillsynsbegäran.docx", "A 27212-2022")</f>
        <v/>
      </c>
      <c r="AD1069">
        <f>HYPERLINK("https://klasma.github.io/Logging_2023/tillsynsmail/A 27212-2022 tillsynsbegäran mail.docx", "A 27212-2022")</f>
        <v/>
      </c>
    </row>
    <row r="1070" ht="15" customHeight="1">
      <c r="A1070" t="inlineStr">
        <is>
          <t>S 931-2023</t>
        </is>
      </c>
      <c r="B1070" t="inlineStr">
        <is>
          <t>samrådsanmälan</t>
        </is>
      </c>
      <c r="C1070" t="inlineStr">
        <is>
          <t>Askåterföring</t>
        </is>
      </c>
      <c r="D1070" s="1" t="n">
        <v>45001</v>
      </c>
      <c r="E1070" s="1" t="n">
        <v>46319</v>
      </c>
      <c r="F1070" t="inlineStr">
        <is>
          <t>DALARNAS LÄN</t>
        </is>
      </c>
      <c r="G1070" t="inlineStr">
        <is>
          <t>HEDEMORA</t>
        </is>
      </c>
      <c r="I1070" t="n">
        <v>41.2</v>
      </c>
      <c r="J1070" t="n">
        <v>0</v>
      </c>
      <c r="K1070" t="n">
        <v>1</v>
      </c>
      <c r="L1070" t="n">
        <v>0</v>
      </c>
      <c r="M1070" t="n">
        <v>1</v>
      </c>
      <c r="N1070" t="n">
        <v>0</v>
      </c>
      <c r="O1070" t="n">
        <v>0</v>
      </c>
      <c r="P1070" t="n">
        <v>0</v>
      </c>
      <c r="Q1070" t="n">
        <v>1</v>
      </c>
      <c r="R1070" t="n">
        <v>1</v>
      </c>
      <c r="S1070" t="n">
        <v>2</v>
      </c>
      <c r="T1070" t="n">
        <v>2</v>
      </c>
      <c r="U1070" t="n">
        <v>2</v>
      </c>
      <c r="V1070" s="2" t="inlineStr">
        <is>
          <t>Garnlav
Vågbandad barkbock</t>
        </is>
      </c>
      <c r="W1070">
        <f>HYPERLINK("https://klasma.github.io/Logging_2083/artfynd/S 931-2023 artfynd.xlsx", "S 931-2023")</f>
        <v/>
      </c>
      <c r="X1070">
        <f>HYPERLINK("https://klasma.github.io/Logging_2083/kartor/S 931-2023 karta.png", "S 931-2023")</f>
        <v/>
      </c>
      <c r="Y1070">
        <f>HYPERLINK("https://klasma.github.io/Logging_2083/kartor_geotiff/S 931-2023 georefererad karta.tif", "S 931-2023")</f>
        <v/>
      </c>
      <c r="AA1070">
        <f>HYPERLINK("https://klasma.github.io/Logging_2083/klagomål/S 931-2023 FSC-klagomål.docx", "S 931-2023")</f>
        <v/>
      </c>
      <c r="AB1070">
        <f>HYPERLINK("https://klasma.github.io/Logging_2083/klagomålsmail/S 931-2023 FSC-klagomål mail.docx", "S 931-2023")</f>
        <v/>
      </c>
      <c r="AC1070">
        <f>HYPERLINK("https://klasma.github.io/Logging_2083/tillsyn/S 931-2023 tillsynsbegäran.docx", "S 931-2023")</f>
        <v/>
      </c>
      <c r="AD1070">
        <f>HYPERLINK("https://klasma.github.io/Logging_2083/tillsynsmail/S 931-2023 tillsynsbegäran mail.docx", "S 931-2023")</f>
        <v/>
      </c>
    </row>
    <row r="1071" ht="15" customHeight="1">
      <c r="A1071" t="inlineStr">
        <is>
          <t>S 567-2022</t>
        </is>
      </c>
      <c r="B1071" t="inlineStr">
        <is>
          <t>samrådsanmälan</t>
        </is>
      </c>
      <c r="C1071" t="inlineStr">
        <is>
          <t>Skogsgödsling</t>
        </is>
      </c>
      <c r="D1071" s="1" t="n">
        <v>44589</v>
      </c>
      <c r="E1071" s="1" t="n">
        <v>46319</v>
      </c>
      <c r="F1071" t="inlineStr">
        <is>
          <t>DALARNAS LÄN</t>
        </is>
      </c>
      <c r="G1071" t="inlineStr">
        <is>
          <t>MORA</t>
        </is>
      </c>
      <c r="H1071" t="inlineStr">
        <is>
          <t>Bergvik skog öst AB</t>
        </is>
      </c>
      <c r="I1071" t="n">
        <v>495</v>
      </c>
      <c r="J1071" t="n">
        <v>1</v>
      </c>
      <c r="K1071" t="n">
        <v>0</v>
      </c>
      <c r="L1071" t="n">
        <v>1</v>
      </c>
      <c r="M1071" t="n">
        <v>0</v>
      </c>
      <c r="N1071" t="n">
        <v>0</v>
      </c>
      <c r="O1071" t="n">
        <v>0</v>
      </c>
      <c r="P1071" t="n">
        <v>0</v>
      </c>
      <c r="Q1071" t="n">
        <v>1</v>
      </c>
      <c r="R1071" t="n">
        <v>0</v>
      </c>
      <c r="S1071" t="n">
        <v>2</v>
      </c>
      <c r="T1071" t="n">
        <v>3</v>
      </c>
      <c r="U1071" t="n">
        <v>2</v>
      </c>
      <c r="V1071" s="2" t="inlineStr">
        <is>
          <t>Violettgrå tagellav
Tjäder</t>
        </is>
      </c>
      <c r="W1071">
        <f>HYPERLINK("https://klasma.github.io/Logging_2062/artfynd/S 567-2022 artfynd.xlsx", "S 567-2022")</f>
        <v/>
      </c>
      <c r="X1071">
        <f>HYPERLINK("https://klasma.github.io/Logging_2062/kartor/S 567-2022 karta.png", "S 567-2022")</f>
        <v/>
      </c>
      <c r="Y1071">
        <f>HYPERLINK("https://klasma.github.io/Logging_2062/kartor_geotiff/S 567-2022 georefererad karta.tif", "S 567-2022")</f>
        <v/>
      </c>
      <c r="AA1071">
        <f>HYPERLINK("https://klasma.github.io/Logging_2062/klagomål/S 567-2022 FSC-klagomål.docx", "S 567-2022")</f>
        <v/>
      </c>
      <c r="AB1071">
        <f>HYPERLINK("https://klasma.github.io/Logging_2062/klagomålsmail/S 567-2022 FSC-klagomål mail.docx", "S 567-2022")</f>
        <v/>
      </c>
      <c r="AC1071">
        <f>HYPERLINK("https://klasma.github.io/Logging_2062/tillsyn/S 567-2022 tillsynsbegäran.docx", "S 567-2022")</f>
        <v/>
      </c>
      <c r="AD1071">
        <f>HYPERLINK("https://klasma.github.io/Logging_2062/tillsynsmail/S 567-2022 tillsynsbegäran mail.docx", "S 567-2022")</f>
        <v/>
      </c>
      <c r="AE1071">
        <f>HYPERLINK("https://klasma.github.io/Logging_2062/fåglar/S 567-2022 prioriterade fågelarter.docx", "S 567-2022")</f>
        <v/>
      </c>
    </row>
    <row r="1072" ht="15" customHeight="1">
      <c r="A1072" t="inlineStr">
        <is>
          <t>S 10368-2021</t>
        </is>
      </c>
      <c r="B1072" t="inlineStr">
        <is>
          <t>samrådsanmälan</t>
        </is>
      </c>
      <c r="C1072" t="inlineStr">
        <is>
          <t>Skogsgödsling</t>
        </is>
      </c>
      <c r="D1072" s="1" t="n">
        <v>44550</v>
      </c>
      <c r="E1072" s="1" t="n">
        <v>46319</v>
      </c>
      <c r="F1072" t="inlineStr">
        <is>
          <t>DALARNAS LÄN</t>
        </is>
      </c>
      <c r="G1072" t="inlineStr">
        <is>
          <t>HEDEMORA</t>
        </is>
      </c>
      <c r="H1072" t="inlineStr">
        <is>
          <t>Sveaskog</t>
        </is>
      </c>
      <c r="I1072" t="n">
        <v>70.7</v>
      </c>
      <c r="J1072" t="n">
        <v>0</v>
      </c>
      <c r="K1072" t="n">
        <v>0</v>
      </c>
      <c r="L1072" t="n">
        <v>2</v>
      </c>
      <c r="M1072" t="n">
        <v>0</v>
      </c>
      <c r="N1072" t="n">
        <v>0</v>
      </c>
      <c r="O1072" t="n">
        <v>0</v>
      </c>
      <c r="P1072" t="n">
        <v>0</v>
      </c>
      <c r="Q1072" t="n">
        <v>2</v>
      </c>
      <c r="R1072" t="n">
        <v>0</v>
      </c>
      <c r="S1072" t="n">
        <v>2</v>
      </c>
      <c r="T1072" t="n">
        <v>2</v>
      </c>
      <c r="U1072" t="n">
        <v>1</v>
      </c>
      <c r="V1072" s="2" t="inlineStr">
        <is>
          <t>Linmåra/småsnärjmåra
Motaggsvamp</t>
        </is>
      </c>
      <c r="W1072">
        <f>HYPERLINK("https://klasma.github.io/Logging_2083/artfynd/S 10368-2021 artfynd.xlsx", "S 10368-2021")</f>
        <v/>
      </c>
      <c r="X1072">
        <f>HYPERLINK("https://klasma.github.io/Logging_2083/kartor/S 10368-2021 karta.png", "S 10368-2021")</f>
        <v/>
      </c>
      <c r="Y1072">
        <f>HYPERLINK("https://klasma.github.io/Logging_2083/kartor_geotiff/S 10368-2021 georefererad karta.tif", "S 10368-2021")</f>
        <v/>
      </c>
      <c r="AA1072">
        <f>HYPERLINK("https://klasma.github.io/Logging_2083/klagomål/S 10368-2021 FSC-klagomål.docx", "S 10368-2021")</f>
        <v/>
      </c>
      <c r="AB1072">
        <f>HYPERLINK("https://klasma.github.io/Logging_2083/klagomålsmail/S 10368-2021 FSC-klagomål mail.docx", "S 10368-2021")</f>
        <v/>
      </c>
      <c r="AC1072">
        <f>HYPERLINK("https://klasma.github.io/Logging_2083/tillsyn/S 10368-2021 tillsynsbegäran.docx", "S 10368-2021")</f>
        <v/>
      </c>
      <c r="AD1072">
        <f>HYPERLINK("https://klasma.github.io/Logging_2083/tillsynsmail/S 10368-2021 tillsynsbegäran mail.docx", "S 10368-2021")</f>
        <v/>
      </c>
    </row>
    <row r="1073" ht="15" customHeight="1">
      <c r="A1073" t="inlineStr">
        <is>
          <t>S 404-2022</t>
        </is>
      </c>
      <c r="B1073" t="inlineStr">
        <is>
          <t>samrådsanmälan</t>
        </is>
      </c>
      <c r="C1073" t="inlineStr">
        <is>
          <t>Skogsgödsling</t>
        </is>
      </c>
      <c r="D1073" s="1" t="n">
        <v>44585</v>
      </c>
      <c r="E1073" s="1" t="n">
        <v>46319</v>
      </c>
      <c r="F1073" t="inlineStr">
        <is>
          <t>DALARNAS LÄN</t>
        </is>
      </c>
      <c r="G1073" t="inlineStr">
        <is>
          <t>HEDEMORA</t>
        </is>
      </c>
      <c r="H1073" t="inlineStr">
        <is>
          <t>Bergvik skog väst AB</t>
        </is>
      </c>
      <c r="I1073" t="n">
        <v>23.2</v>
      </c>
      <c r="J1073" t="n">
        <v>2</v>
      </c>
      <c r="K1073" t="n">
        <v>1</v>
      </c>
      <c r="L1073" t="n">
        <v>0</v>
      </c>
      <c r="M1073" t="n">
        <v>0</v>
      </c>
      <c r="N1073" t="n">
        <v>0</v>
      </c>
      <c r="O1073" t="n">
        <v>0</v>
      </c>
      <c r="P1073" t="n">
        <v>0</v>
      </c>
      <c r="Q1073" t="n">
        <v>0</v>
      </c>
      <c r="R1073" t="n">
        <v>0</v>
      </c>
      <c r="S1073" t="n">
        <v>2</v>
      </c>
      <c r="T1073" t="n">
        <v>2</v>
      </c>
      <c r="U1073" t="n">
        <v>2</v>
      </c>
      <c r="V1073" s="2" t="inlineStr">
        <is>
          <t>Tvåblad
Fläcknycklar</t>
        </is>
      </c>
      <c r="W1073">
        <f>HYPERLINK("https://klasma.github.io/Logging_2083/artfynd/S 404-2022 artfynd.xlsx", "S 404-2022")</f>
        <v/>
      </c>
      <c r="X1073">
        <f>HYPERLINK("https://klasma.github.io/Logging_2083/kartor/S 404-2022 karta.png", "S 404-2022")</f>
        <v/>
      </c>
      <c r="Y1073">
        <f>HYPERLINK("https://klasma.github.io/Logging_2083/kartor_geotiff/S 404-2022 georefererad karta.tif", "S 404-2022")</f>
        <v/>
      </c>
      <c r="AA1073">
        <f>HYPERLINK("https://klasma.github.io/Logging_2083/klagomål/S 404-2022 FSC-klagomål.docx", "S 404-2022")</f>
        <v/>
      </c>
      <c r="AB1073">
        <f>HYPERLINK("https://klasma.github.io/Logging_2083/klagomålsmail/S 404-2022 FSC-klagomål mail.docx", "S 404-2022")</f>
        <v/>
      </c>
      <c r="AC1073">
        <f>HYPERLINK("https://klasma.github.io/Logging_2083/tillsyn/S 404-2022 tillsynsbegäran.docx", "S 404-2022")</f>
        <v/>
      </c>
      <c r="AD1073">
        <f>HYPERLINK("https://klasma.github.io/Logging_2083/tillsynsmail/S 404-2022 tillsynsbegäran mail.docx", "S 404-2022")</f>
        <v/>
      </c>
    </row>
    <row r="1074" ht="15" customHeight="1">
      <c r="A1074" t="inlineStr">
        <is>
          <t>S 389-2022</t>
        </is>
      </c>
      <c r="B1074" t="inlineStr">
        <is>
          <t>samrådsanmälan</t>
        </is>
      </c>
      <c r="C1074" t="inlineStr">
        <is>
          <t>Skogsgödsling</t>
        </is>
      </c>
      <c r="D1074" s="1" t="n">
        <v>44582</v>
      </c>
      <c r="E1074" s="1" t="n">
        <v>46319</v>
      </c>
      <c r="F1074" t="inlineStr">
        <is>
          <t>DALARNAS LÄN</t>
        </is>
      </c>
      <c r="G1074" t="inlineStr">
        <is>
          <t>RÄTTVIK</t>
        </is>
      </c>
      <c r="H1074" t="inlineStr">
        <is>
          <t>Sveaskog</t>
        </is>
      </c>
      <c r="I1074" t="n">
        <v>601.7</v>
      </c>
      <c r="J1074" t="n">
        <v>0</v>
      </c>
      <c r="K1074" t="n">
        <v>0</v>
      </c>
      <c r="L1074" t="n">
        <v>2</v>
      </c>
      <c r="M1074" t="n">
        <v>0</v>
      </c>
      <c r="N1074" t="n">
        <v>0</v>
      </c>
      <c r="O1074" t="n">
        <v>0</v>
      </c>
      <c r="P1074" t="n">
        <v>0</v>
      </c>
      <c r="Q1074" t="n">
        <v>2</v>
      </c>
      <c r="R1074" t="n">
        <v>0</v>
      </c>
      <c r="S1074" t="n">
        <v>2</v>
      </c>
      <c r="T1074" t="n">
        <v>2</v>
      </c>
      <c r="U1074" t="n">
        <v>2</v>
      </c>
      <c r="V1074" s="2" t="inlineStr">
        <is>
          <t>Klofibbla
Kolflarnlav</t>
        </is>
      </c>
      <c r="W1074">
        <f>HYPERLINK("https://klasma.github.io/Logging_2031/artfynd/S 389-2022 artfynd.xlsx", "S 389-2022")</f>
        <v/>
      </c>
      <c r="X1074">
        <f>HYPERLINK("https://klasma.github.io/Logging_2031/kartor/S 389-2022 karta.png", "S 389-2022")</f>
        <v/>
      </c>
      <c r="Y1074">
        <f>HYPERLINK("https://klasma.github.io/Logging_2031/kartor_geotiff/S 389-2022 georefererad karta.tif", "S 389-2022")</f>
        <v/>
      </c>
      <c r="AA1074">
        <f>HYPERLINK("https://klasma.github.io/Logging_2031/klagomål/S 389-2022 FSC-klagomål.docx", "S 389-2022")</f>
        <v/>
      </c>
      <c r="AB1074">
        <f>HYPERLINK("https://klasma.github.io/Logging_2031/klagomålsmail/S 389-2022 FSC-klagomål mail.docx", "S 389-2022")</f>
        <v/>
      </c>
      <c r="AC1074">
        <f>HYPERLINK("https://klasma.github.io/Logging_2031/tillsyn/S 389-2022 tillsynsbegäran.docx", "S 389-2022")</f>
        <v/>
      </c>
      <c r="AD1074">
        <f>HYPERLINK("https://klasma.github.io/Logging_2031/tillsynsmail/S 389-2022 tillsynsbegäran mail.docx", "S 389-2022")</f>
        <v/>
      </c>
    </row>
    <row r="1075" ht="15" customHeight="1">
      <c r="A1075" t="inlineStr">
        <is>
          <t>S 3188-2022</t>
        </is>
      </c>
      <c r="B1075" t="inlineStr">
        <is>
          <t>samrådsanmälan</t>
        </is>
      </c>
      <c r="C1075" t="inlineStr">
        <is>
          <t>Askåterföring</t>
        </is>
      </c>
      <c r="D1075" s="1" t="n">
        <v>44722</v>
      </c>
      <c r="E1075" s="1" t="n">
        <v>46319</v>
      </c>
      <c r="F1075" t="inlineStr">
        <is>
          <t>DALARNAS LÄN</t>
        </is>
      </c>
      <c r="G1075" t="inlineStr">
        <is>
          <t>MALUNG-SÄLEN</t>
        </is>
      </c>
      <c r="H1075" t="inlineStr">
        <is>
          <t>Allmännings- och besparingsskogar</t>
        </is>
      </c>
      <c r="I1075" t="n">
        <v>133.5</v>
      </c>
      <c r="J1075" t="n">
        <v>0</v>
      </c>
      <c r="K1075" t="n">
        <v>0</v>
      </c>
      <c r="L1075" t="n">
        <v>2</v>
      </c>
      <c r="M1075" t="n">
        <v>0</v>
      </c>
      <c r="N1075" t="n">
        <v>0</v>
      </c>
      <c r="O1075" t="n">
        <v>0</v>
      </c>
      <c r="P1075" t="n">
        <v>0</v>
      </c>
      <c r="Q1075" t="n">
        <v>2</v>
      </c>
      <c r="R1075" t="n">
        <v>0</v>
      </c>
      <c r="S1075" t="n">
        <v>2</v>
      </c>
      <c r="T1075" t="n">
        <v>4</v>
      </c>
      <c r="U1075" t="n">
        <v>0</v>
      </c>
      <c r="V1075" s="2" t="inlineStr">
        <is>
          <t>Kolflarnlav
Vedskivlav</t>
        </is>
      </c>
      <c r="W1075">
        <f>HYPERLINK("https://klasma.github.io/Logging_2023/artfynd/S 3188-2022 artfynd.xlsx", "S 3188-2022")</f>
        <v/>
      </c>
      <c r="X1075">
        <f>HYPERLINK("https://klasma.github.io/Logging_2023/kartor/S 3188-2022 karta.png", "S 3188-2022")</f>
        <v/>
      </c>
      <c r="Y1075">
        <f>HYPERLINK("https://klasma.github.io/Logging_2023/kartor_geotiff/S 3188-2022 georefererad karta.tif", "S 3188-2022")</f>
        <v/>
      </c>
      <c r="AA1075">
        <f>HYPERLINK("https://klasma.github.io/Logging_2023/klagomål/S 3188-2022 FSC-klagomål.docx", "S 3188-2022")</f>
        <v/>
      </c>
      <c r="AB1075">
        <f>HYPERLINK("https://klasma.github.io/Logging_2023/klagomålsmail/S 3188-2022 FSC-klagomål mail.docx", "S 3188-2022")</f>
        <v/>
      </c>
      <c r="AC1075">
        <f>HYPERLINK("https://klasma.github.io/Logging_2023/tillsyn/S 3188-2022 tillsynsbegäran.docx", "S 3188-2022")</f>
        <v/>
      </c>
      <c r="AD1075">
        <f>HYPERLINK("https://klasma.github.io/Logging_2023/tillsynsmail/S 3188-2022 tillsynsbegäran mail.docx", "S 3188-2022")</f>
        <v/>
      </c>
    </row>
    <row r="1076" ht="15" customHeight="1">
      <c r="A1076" t="inlineStr">
        <is>
          <t>S 890-2024</t>
        </is>
      </c>
      <c r="B1076" t="inlineStr">
        <is>
          <t>samrådsanmälan</t>
        </is>
      </c>
      <c r="C1076" t="inlineStr">
        <is>
          <t>Skogsgödsling</t>
        </is>
      </c>
      <c r="D1076" s="1" t="n">
        <v>45376</v>
      </c>
      <c r="E1076" s="1" t="n">
        <v>46319</v>
      </c>
      <c r="F1076" t="inlineStr">
        <is>
          <t>DALARNAS LÄN</t>
        </is>
      </c>
      <c r="G1076" t="inlineStr">
        <is>
          <t>ORSA</t>
        </is>
      </c>
      <c r="H1076" t="inlineStr">
        <is>
          <t>Allmännings- och besparingsskogar</t>
        </is>
      </c>
      <c r="I1076" t="n">
        <v>137.6</v>
      </c>
      <c r="J1076" t="n">
        <v>0</v>
      </c>
      <c r="K1076" t="n">
        <v>0</v>
      </c>
      <c r="L1076" t="n">
        <v>1</v>
      </c>
      <c r="M1076" t="n">
        <v>1</v>
      </c>
      <c r="N1076" t="n">
        <v>0</v>
      </c>
      <c r="O1076" t="n">
        <v>0</v>
      </c>
      <c r="P1076" t="n">
        <v>0</v>
      </c>
      <c r="Q1076" t="n">
        <v>2</v>
      </c>
      <c r="R1076" t="n">
        <v>1</v>
      </c>
      <c r="S1076" t="n">
        <v>2</v>
      </c>
      <c r="T1076" t="n">
        <v>2</v>
      </c>
      <c r="U1076" t="n">
        <v>1</v>
      </c>
      <c r="V1076" s="2" t="inlineStr">
        <is>
          <t>Garnlav
Lunglav</t>
        </is>
      </c>
      <c r="W1076">
        <f>HYPERLINK("https://klasma.github.io/Logging_2034/artfynd/S 890-2024 artfynd.xlsx", "S 890-2024")</f>
        <v/>
      </c>
      <c r="X1076">
        <f>HYPERLINK("https://klasma.github.io/Logging_2034/kartor/S 890-2024 karta.png", "S 890-2024")</f>
        <v/>
      </c>
      <c r="Y1076">
        <f>HYPERLINK("https://klasma.github.io/Logging_2034/kartor_geotiff/S 890-2024 georefererad karta.tif", "S 890-2024")</f>
        <v/>
      </c>
      <c r="AA1076">
        <f>HYPERLINK("https://klasma.github.io/Logging_2034/klagomål/S 890-2024 FSC-klagomål.docx", "S 890-2024")</f>
        <v/>
      </c>
      <c r="AB1076">
        <f>HYPERLINK("https://klasma.github.io/Logging_2034/klagomålsmail/S 890-2024 FSC-klagomål mail.docx", "S 890-2024")</f>
        <v/>
      </c>
      <c r="AC1076">
        <f>HYPERLINK("https://klasma.github.io/Logging_2034/tillsyn/S 890-2024 tillsynsbegäran.docx", "S 890-2024")</f>
        <v/>
      </c>
      <c r="AD1076">
        <f>HYPERLINK("https://klasma.github.io/Logging_2034/tillsynsmail/S 890-2024 tillsynsbegäran mail.docx", "S 890-2024")</f>
        <v/>
      </c>
    </row>
    <row r="1077" ht="15" customHeight="1">
      <c r="A1077" t="inlineStr">
        <is>
          <t>S 5391-2022</t>
        </is>
      </c>
      <c r="B1077" t="inlineStr">
        <is>
          <t>samrådsanmälan</t>
        </is>
      </c>
      <c r="C1077" t="inlineStr">
        <is>
          <t>Annan skogsbruksåtgärd</t>
        </is>
      </c>
      <c r="D1077" s="1" t="n">
        <v>44827</v>
      </c>
      <c r="E1077" s="1" t="n">
        <v>46319</v>
      </c>
      <c r="F1077" t="inlineStr">
        <is>
          <t>DALARNAS LÄN</t>
        </is>
      </c>
      <c r="G1077" t="inlineStr">
        <is>
          <t>ORSA</t>
        </is>
      </c>
      <c r="H1077" t="inlineStr">
        <is>
          <t>Allmännings- och besparingsskogar</t>
        </is>
      </c>
      <c r="I1077" t="n">
        <v>8.800000000000001</v>
      </c>
      <c r="J1077" t="n">
        <v>0</v>
      </c>
      <c r="K1077" t="n">
        <v>0</v>
      </c>
      <c r="L1077" t="n">
        <v>2</v>
      </c>
      <c r="M1077" t="n">
        <v>0</v>
      </c>
      <c r="N1077" t="n">
        <v>0</v>
      </c>
      <c r="O1077" t="n">
        <v>0</v>
      </c>
      <c r="P1077" t="n">
        <v>0</v>
      </c>
      <c r="Q1077" t="n">
        <v>2</v>
      </c>
      <c r="R1077" t="n">
        <v>0</v>
      </c>
      <c r="S1077" t="n">
        <v>2</v>
      </c>
      <c r="T1077" t="n">
        <v>2</v>
      </c>
      <c r="U1077" t="n">
        <v>0</v>
      </c>
      <c r="V1077" s="2" t="inlineStr">
        <is>
          <t>Vaddporing
Vitplätt</t>
        </is>
      </c>
      <c r="W1077">
        <f>HYPERLINK("https://klasma.github.io/Logging_2034/artfynd/S 5391-2022 artfynd.xlsx", "S 5391-2022")</f>
        <v/>
      </c>
      <c r="X1077">
        <f>HYPERLINK("https://klasma.github.io/Logging_2034/kartor/S 5391-2022 karta.png", "S 5391-2022")</f>
        <v/>
      </c>
      <c r="Y1077">
        <f>HYPERLINK("https://klasma.github.io/Logging_2034/kartor_geotiff/S 5391-2022 georefererad karta.tif", "S 5391-2022")</f>
        <v/>
      </c>
      <c r="AA1077">
        <f>HYPERLINK("https://klasma.github.io/Logging_2034/klagomål/S 5391-2022 FSC-klagomål.docx", "S 5391-2022")</f>
        <v/>
      </c>
      <c r="AB1077">
        <f>HYPERLINK("https://klasma.github.io/Logging_2034/klagomålsmail/S 5391-2022 FSC-klagomål mail.docx", "S 5391-2022")</f>
        <v/>
      </c>
      <c r="AC1077">
        <f>HYPERLINK("https://klasma.github.io/Logging_2034/tillsyn/S 5391-2022 tillsynsbegäran.docx", "S 5391-2022")</f>
        <v/>
      </c>
      <c r="AD1077">
        <f>HYPERLINK("https://klasma.github.io/Logging_2034/tillsynsmail/S 5391-2022 tillsynsbegäran mail.docx", "S 5391-2022")</f>
        <v/>
      </c>
    </row>
    <row r="1078" ht="15" customHeight="1">
      <c r="A1078" t="inlineStr">
        <is>
          <t>S 2400-2023</t>
        </is>
      </c>
      <c r="B1078" t="inlineStr">
        <is>
          <t>samrådsanmälan</t>
        </is>
      </c>
      <c r="C1078" t="inlineStr">
        <is>
          <t>Annan skogsbruksåtgärd</t>
        </is>
      </c>
      <c r="D1078" s="1" t="n">
        <v>45112</v>
      </c>
      <c r="E1078" s="1" t="n">
        <v>46319</v>
      </c>
      <c r="F1078" t="inlineStr">
        <is>
          <t>DALARNAS LÄN</t>
        </is>
      </c>
      <c r="G1078" t="inlineStr">
        <is>
          <t>GAGNEF</t>
        </is>
      </c>
      <c r="I1078" t="n">
        <v>2.1</v>
      </c>
      <c r="J1078" t="n">
        <v>0</v>
      </c>
      <c r="K1078" t="n">
        <v>1</v>
      </c>
      <c r="L1078" t="n">
        <v>1</v>
      </c>
      <c r="M1078" t="n">
        <v>0</v>
      </c>
      <c r="N1078" t="n">
        <v>0</v>
      </c>
      <c r="O1078" t="n">
        <v>0</v>
      </c>
      <c r="P1078" t="n">
        <v>0</v>
      </c>
      <c r="Q1078" t="n">
        <v>1</v>
      </c>
      <c r="R1078" t="n">
        <v>0</v>
      </c>
      <c r="S1078" t="n">
        <v>2</v>
      </c>
      <c r="T1078" t="n">
        <v>3</v>
      </c>
      <c r="U1078" t="n">
        <v>0</v>
      </c>
      <c r="V1078" s="2" t="inlineStr">
        <is>
          <t>Ullticka
Vedticka</t>
        </is>
      </c>
      <c r="W1078">
        <f>HYPERLINK("https://klasma.github.io/Logging_2026/artfynd/S 2400-2023 artfynd.xlsx", "S 2400-2023")</f>
        <v/>
      </c>
      <c r="X1078">
        <f>HYPERLINK("https://klasma.github.io/Logging_2026/kartor/S 2400-2023 karta.png", "S 2400-2023")</f>
        <v/>
      </c>
      <c r="Y1078">
        <f>HYPERLINK("https://klasma.github.io/Logging_2026/kartor_geotiff/S 2400-2023 georefererad karta.tif", "S 2400-2023")</f>
        <v/>
      </c>
      <c r="AA1078">
        <f>HYPERLINK("https://klasma.github.io/Logging_2026/klagomål/S 2400-2023 FSC-klagomål.docx", "S 2400-2023")</f>
        <v/>
      </c>
      <c r="AB1078">
        <f>HYPERLINK("https://klasma.github.io/Logging_2026/klagomålsmail/S 2400-2023 FSC-klagomål mail.docx", "S 2400-2023")</f>
        <v/>
      </c>
      <c r="AC1078">
        <f>HYPERLINK("https://klasma.github.io/Logging_2026/tillsyn/S 2400-2023 tillsynsbegäran.docx", "S 2400-2023")</f>
        <v/>
      </c>
      <c r="AD1078">
        <f>HYPERLINK("https://klasma.github.io/Logging_2026/tillsynsmail/S 2400-2023 tillsynsbegäran mail.docx", "S 2400-2023")</f>
        <v/>
      </c>
    </row>
    <row r="1079" ht="15" customHeight="1">
      <c r="A1079" t="inlineStr">
        <is>
          <t>S 1025-2023</t>
        </is>
      </c>
      <c r="B1079" t="inlineStr">
        <is>
          <t>samrådsanmälan</t>
        </is>
      </c>
      <c r="C1079" t="inlineStr">
        <is>
          <t>Skogsgödsling</t>
        </is>
      </c>
      <c r="D1079" s="1" t="n">
        <v>45008</v>
      </c>
      <c r="E1079" s="1" t="n">
        <v>46319</v>
      </c>
      <c r="F1079" t="inlineStr">
        <is>
          <t>DALARNAS LÄN</t>
        </is>
      </c>
      <c r="G1079" t="inlineStr">
        <is>
          <t>RÄTTVIK</t>
        </is>
      </c>
      <c r="H1079" t="inlineStr">
        <is>
          <t>Bergvik skog väst AB</t>
        </is>
      </c>
      <c r="I1079" t="n">
        <v>232.3</v>
      </c>
      <c r="J1079" t="n">
        <v>1</v>
      </c>
      <c r="K1079" t="n">
        <v>0</v>
      </c>
      <c r="L1079" t="n">
        <v>1</v>
      </c>
      <c r="M1079" t="n">
        <v>0</v>
      </c>
      <c r="N1079" t="n">
        <v>0</v>
      </c>
      <c r="O1079" t="n">
        <v>0</v>
      </c>
      <c r="P1079" t="n">
        <v>0</v>
      </c>
      <c r="Q1079" t="n">
        <v>1</v>
      </c>
      <c r="R1079" t="n">
        <v>0</v>
      </c>
      <c r="S1079" t="n">
        <v>2</v>
      </c>
      <c r="T1079" t="n">
        <v>3</v>
      </c>
      <c r="U1079" t="n">
        <v>0</v>
      </c>
      <c r="V1079" s="2" t="inlineStr">
        <is>
          <t>Älg
Tjäder</t>
        </is>
      </c>
      <c r="W1079">
        <f>HYPERLINK("https://klasma.github.io/Logging_2031/artfynd/S 1025-2023 artfynd.xlsx", "S 1025-2023")</f>
        <v/>
      </c>
      <c r="X1079">
        <f>HYPERLINK("https://klasma.github.io/Logging_2031/kartor/S 1025-2023 karta.png", "S 1025-2023")</f>
        <v/>
      </c>
      <c r="Y1079">
        <f>HYPERLINK("https://klasma.github.io/Logging_2031/kartor_geotiff/S 1025-2023 georefererad karta.tif", "S 1025-2023")</f>
        <v/>
      </c>
      <c r="AA1079">
        <f>HYPERLINK("https://klasma.github.io/Logging_2031/klagomål/S 1025-2023 FSC-klagomål.docx", "S 1025-2023")</f>
        <v/>
      </c>
      <c r="AB1079">
        <f>HYPERLINK("https://klasma.github.io/Logging_2031/klagomålsmail/S 1025-2023 FSC-klagomål mail.docx", "S 1025-2023")</f>
        <v/>
      </c>
      <c r="AC1079">
        <f>HYPERLINK("https://klasma.github.io/Logging_2031/tillsyn/S 1025-2023 tillsynsbegäran.docx", "S 1025-2023")</f>
        <v/>
      </c>
      <c r="AD1079">
        <f>HYPERLINK("https://klasma.github.io/Logging_2031/tillsynsmail/S 1025-2023 tillsynsbegäran mail.docx", "S 1025-2023")</f>
        <v/>
      </c>
      <c r="AE1079">
        <f>HYPERLINK("https://klasma.github.io/Logging_2031/fåglar/S 1025-2023 prioriterade fågelarter.docx", "S 1025-2023")</f>
        <v/>
      </c>
    </row>
    <row r="1080" ht="15" customHeight="1">
      <c r="A1080" t="inlineStr">
        <is>
          <t>S 4771-2024</t>
        </is>
      </c>
      <c r="B1080" t="inlineStr">
        <is>
          <t>samrådsanmälan</t>
        </is>
      </c>
      <c r="C1080" t="inlineStr">
        <is>
          <t>Annan skogsbruksåtgärd</t>
        </is>
      </c>
      <c r="D1080" s="1" t="n">
        <v>45610</v>
      </c>
      <c r="E1080" s="1" t="n">
        <v>46319</v>
      </c>
      <c r="F1080" t="inlineStr">
        <is>
          <t>DALARNAS LÄN</t>
        </is>
      </c>
      <c r="G1080" t="inlineStr">
        <is>
          <t>SÄTER</t>
        </is>
      </c>
      <c r="H1080" t="inlineStr">
        <is>
          <t>Bergvik skog väst AB</t>
        </is>
      </c>
      <c r="I1080" t="n">
        <v>6.3</v>
      </c>
      <c r="J1080" t="n">
        <v>0</v>
      </c>
      <c r="K1080" t="n">
        <v>1</v>
      </c>
      <c r="L1080" t="n">
        <v>0</v>
      </c>
      <c r="M1080" t="n">
        <v>0</v>
      </c>
      <c r="N1080" t="n">
        <v>1</v>
      </c>
      <c r="O1080" t="n">
        <v>0</v>
      </c>
      <c r="P1080" t="n">
        <v>0</v>
      </c>
      <c r="Q1080" t="n">
        <v>1</v>
      </c>
      <c r="R1080" t="n">
        <v>1</v>
      </c>
      <c r="S1080" t="n">
        <v>2</v>
      </c>
      <c r="T1080" t="n">
        <v>4</v>
      </c>
      <c r="U1080" t="n">
        <v>0</v>
      </c>
      <c r="V1080" s="2" t="inlineStr">
        <is>
          <t>Skogsalm
Tibast</t>
        </is>
      </c>
      <c r="W1080">
        <f>HYPERLINK("https://klasma.github.io/Logging_2082/artfynd/S 4771-2024 artfynd.xlsx", "S 4771-2024")</f>
        <v/>
      </c>
      <c r="X1080">
        <f>HYPERLINK("https://klasma.github.io/Logging_2082/kartor/S 4771-2024 karta.png", "S 4771-2024")</f>
        <v/>
      </c>
      <c r="Y1080">
        <f>HYPERLINK("https://klasma.github.io/Logging_2082/kartor_geotiff/S 4771-2024 georefererad karta.tif", "S 4771-2024")</f>
        <v/>
      </c>
      <c r="AA1080">
        <f>HYPERLINK("https://klasma.github.io/Logging_2082/klagomål/S 4771-2024 FSC-klagomål.docx", "S 4771-2024")</f>
        <v/>
      </c>
      <c r="AB1080">
        <f>HYPERLINK("https://klasma.github.io/Logging_2082/klagomålsmail/S 4771-2024 FSC-klagomål mail.docx", "S 4771-2024")</f>
        <v/>
      </c>
      <c r="AC1080">
        <f>HYPERLINK("https://klasma.github.io/Logging_2082/tillsyn/S 4771-2024 tillsynsbegäran.docx", "S 4771-2024")</f>
        <v/>
      </c>
      <c r="AD1080">
        <f>HYPERLINK("https://klasma.github.io/Logging_2082/tillsynsmail/S 4771-2024 tillsynsbegäran mail.docx", "S 4771-2024")</f>
        <v/>
      </c>
    </row>
    <row r="1081" ht="15" customHeight="1">
      <c r="A1081" t="inlineStr">
        <is>
          <t>S 3885-2023</t>
        </is>
      </c>
      <c r="B1081" t="inlineStr">
        <is>
          <t>samrådsanmälan</t>
        </is>
      </c>
      <c r="C1081" t="inlineStr">
        <is>
          <t>Annan skogsbruksåtgärd</t>
        </is>
      </c>
      <c r="D1081" s="1" t="n">
        <v>45230</v>
      </c>
      <c r="E1081" s="1" t="n">
        <v>46319</v>
      </c>
      <c r="F1081" t="inlineStr">
        <is>
          <t>DALARNAS LÄN</t>
        </is>
      </c>
      <c r="G1081" t="inlineStr">
        <is>
          <t>BORLÄNGE</t>
        </is>
      </c>
      <c r="H1081" t="inlineStr">
        <is>
          <t>Bergvik skog väst AB</t>
        </is>
      </c>
      <c r="I1081" t="n">
        <v>3.5</v>
      </c>
      <c r="J1081" t="n">
        <v>1</v>
      </c>
      <c r="K1081" t="n">
        <v>0</v>
      </c>
      <c r="L1081" t="n">
        <v>1</v>
      </c>
      <c r="M1081" t="n">
        <v>1</v>
      </c>
      <c r="N1081" t="n">
        <v>0</v>
      </c>
      <c r="O1081" t="n">
        <v>0</v>
      </c>
      <c r="P1081" t="n">
        <v>0</v>
      </c>
      <c r="Q1081" t="n">
        <v>2</v>
      </c>
      <c r="R1081" t="n">
        <v>1</v>
      </c>
      <c r="S1081" t="n">
        <v>2</v>
      </c>
      <c r="T1081" t="n">
        <v>2</v>
      </c>
      <c r="U1081" t="n">
        <v>2</v>
      </c>
      <c r="V1081" s="2" t="inlineStr">
        <is>
          <t>Knärot
Dropptaggsvamp</t>
        </is>
      </c>
      <c r="W1081">
        <f>HYPERLINK("https://klasma.github.io/Logging_2081/artfynd/S 3885-2023 artfynd.xlsx", "S 3885-2023")</f>
        <v/>
      </c>
      <c r="X1081">
        <f>HYPERLINK("https://klasma.github.io/Logging_2081/kartor/S 3885-2023 karta.png", "S 3885-2023")</f>
        <v/>
      </c>
      <c r="Y1081">
        <f>HYPERLINK("https://klasma.github.io/Logging_2081/kartor_geotiff/S 3885-2023 georefererad karta.tif", "S 3885-2023")</f>
        <v/>
      </c>
      <c r="Z1081">
        <f>HYPERLINK("https://klasma.github.io/Logging_2081/knärot/S 3885-2023 karta knärot.png", "S 3885-2023")</f>
        <v/>
      </c>
      <c r="AA1081">
        <f>HYPERLINK("https://klasma.github.io/Logging_2081/klagomål/S 3885-2023 FSC-klagomål.docx", "S 3885-2023")</f>
        <v/>
      </c>
      <c r="AB1081">
        <f>HYPERLINK("https://klasma.github.io/Logging_2081/klagomålsmail/S 3885-2023 FSC-klagomål mail.docx", "S 3885-2023")</f>
        <v/>
      </c>
      <c r="AC1081">
        <f>HYPERLINK("https://klasma.github.io/Logging_2081/tillsyn/S 3885-2023 tillsynsbegäran.docx", "S 3885-2023")</f>
        <v/>
      </c>
      <c r="AD1081">
        <f>HYPERLINK("https://klasma.github.io/Logging_2081/tillsynsmail/S 3885-2023 tillsynsbegäran mail.docx", "S 3885-2023")</f>
        <v/>
      </c>
    </row>
    <row r="1082" ht="15" customHeight="1">
      <c r="A1082" t="inlineStr">
        <is>
          <t>S 8668-2021</t>
        </is>
      </c>
      <c r="B1082" t="inlineStr">
        <is>
          <t>samrådsanmälan</t>
        </is>
      </c>
      <c r="C1082" t="inlineStr">
        <is>
          <t>Skogsgödsling</t>
        </is>
      </c>
      <c r="D1082" s="1" t="n">
        <v>44498</v>
      </c>
      <c r="E1082" s="1" t="n">
        <v>46319</v>
      </c>
      <c r="F1082" t="inlineStr">
        <is>
          <t>DALARNAS LÄN</t>
        </is>
      </c>
      <c r="G1082" t="inlineStr">
        <is>
          <t>ORSA</t>
        </is>
      </c>
      <c r="H1082" t="inlineStr">
        <is>
          <t>Allmännings- och besparingsskogar</t>
        </is>
      </c>
      <c r="I1082" t="n">
        <v>115.5</v>
      </c>
      <c r="J1082" t="n">
        <v>0</v>
      </c>
      <c r="K1082" t="n">
        <v>0</v>
      </c>
      <c r="L1082" t="n">
        <v>1</v>
      </c>
      <c r="M1082" t="n">
        <v>1</v>
      </c>
      <c r="N1082" t="n">
        <v>0</v>
      </c>
      <c r="O1082" t="n">
        <v>0</v>
      </c>
      <c r="P1082" t="n">
        <v>0</v>
      </c>
      <c r="Q1082" t="n">
        <v>2</v>
      </c>
      <c r="R1082" t="n">
        <v>1</v>
      </c>
      <c r="S1082" t="n">
        <v>2</v>
      </c>
      <c r="T1082" t="n">
        <v>2</v>
      </c>
      <c r="U1082" t="n">
        <v>0</v>
      </c>
      <c r="V1082" s="2" t="inlineStr">
        <is>
          <t>Garnlav
Doftskinn</t>
        </is>
      </c>
      <c r="W1082">
        <f>HYPERLINK("https://klasma.github.io/Logging_2034/artfynd/S 8668-2021 artfynd.xlsx", "S 8668-2021")</f>
        <v/>
      </c>
      <c r="X1082">
        <f>HYPERLINK("https://klasma.github.io/Logging_2034/kartor/S 8668-2021 karta.png", "S 8668-2021")</f>
        <v/>
      </c>
      <c r="Y1082">
        <f>HYPERLINK("https://klasma.github.io/Logging_2034/kartor_geotiff/S 8668-2021 georefererad karta.tif", "S 8668-2021")</f>
        <v/>
      </c>
      <c r="AA1082">
        <f>HYPERLINK("https://klasma.github.io/Logging_2034/klagomål/S 8668-2021 FSC-klagomål.docx", "S 8668-2021")</f>
        <v/>
      </c>
      <c r="AB1082">
        <f>HYPERLINK("https://klasma.github.io/Logging_2034/klagomålsmail/S 8668-2021 FSC-klagomål mail.docx", "S 8668-2021")</f>
        <v/>
      </c>
      <c r="AC1082">
        <f>HYPERLINK("https://klasma.github.io/Logging_2034/tillsyn/S 8668-2021 tillsynsbegäran.docx", "S 8668-2021")</f>
        <v/>
      </c>
      <c r="AD1082">
        <f>HYPERLINK("https://klasma.github.io/Logging_2034/tillsynsmail/S 8668-2021 tillsynsbegäran mail.docx", "S 8668-2021")</f>
        <v/>
      </c>
    </row>
    <row r="1083" ht="15" customHeight="1">
      <c r="A1083" t="inlineStr">
        <is>
          <t>S 227-2024</t>
        </is>
      </c>
      <c r="B1083" t="inlineStr">
        <is>
          <t>samrådsanmälan</t>
        </is>
      </c>
      <c r="C1083" t="inlineStr">
        <is>
          <t>Skogsgödsling</t>
        </is>
      </c>
      <c r="D1083" s="1" t="n">
        <v>45317</v>
      </c>
      <c r="E1083" s="1" t="n">
        <v>46319</v>
      </c>
      <c r="F1083" t="inlineStr">
        <is>
          <t>DALARNAS LÄN</t>
        </is>
      </c>
      <c r="G1083" t="inlineStr">
        <is>
          <t>HEDEMORA</t>
        </is>
      </c>
      <c r="H1083" t="inlineStr">
        <is>
          <t>Sveaskog</t>
        </is>
      </c>
      <c r="I1083" t="n">
        <v>39.6</v>
      </c>
      <c r="J1083" t="n">
        <v>2</v>
      </c>
      <c r="K1083" t="n">
        <v>0</v>
      </c>
      <c r="L1083" t="n">
        <v>0</v>
      </c>
      <c r="M1083" t="n">
        <v>0</v>
      </c>
      <c r="N1083" t="n">
        <v>0</v>
      </c>
      <c r="O1083" t="n">
        <v>0</v>
      </c>
      <c r="P1083" t="n">
        <v>0</v>
      </c>
      <c r="Q1083" t="n">
        <v>0</v>
      </c>
      <c r="R1083" t="n">
        <v>0</v>
      </c>
      <c r="S1083" t="n">
        <v>2</v>
      </c>
      <c r="T1083" t="n">
        <v>7</v>
      </c>
      <c r="U1083" t="n">
        <v>7</v>
      </c>
      <c r="V1083" s="2" t="inlineStr">
        <is>
          <t>Järpe
Tjäder</t>
        </is>
      </c>
      <c r="W1083">
        <f>HYPERLINK("https://klasma.github.io/Logging_2083/artfynd/S 227-2024 artfynd.xlsx", "S 227-2024")</f>
        <v/>
      </c>
      <c r="X1083">
        <f>HYPERLINK("https://klasma.github.io/Logging_2083/kartor/S 227-2024 karta.png", "S 227-2024")</f>
        <v/>
      </c>
      <c r="Y1083">
        <f>HYPERLINK("https://klasma.github.io/Logging_2083/kartor_geotiff/S 227-2024 georefererad karta.tif", "S 227-2024")</f>
        <v/>
      </c>
      <c r="AA1083">
        <f>HYPERLINK("https://klasma.github.io/Logging_2083/klagomål/S 227-2024 FSC-klagomål.docx", "S 227-2024")</f>
        <v/>
      </c>
      <c r="AB1083">
        <f>HYPERLINK("https://klasma.github.io/Logging_2083/klagomålsmail/S 227-2024 FSC-klagomål mail.docx", "S 227-2024")</f>
        <v/>
      </c>
      <c r="AC1083">
        <f>HYPERLINK("https://klasma.github.io/Logging_2083/tillsyn/S 227-2024 tillsynsbegäran.docx", "S 227-2024")</f>
        <v/>
      </c>
      <c r="AD1083">
        <f>HYPERLINK("https://klasma.github.io/Logging_2083/tillsynsmail/S 227-2024 tillsynsbegäran mail.docx", "S 227-2024")</f>
        <v/>
      </c>
      <c r="AE1083">
        <f>HYPERLINK("https://klasma.github.io/Logging_2083/fåglar/S 227-2024 prioriterade fågelarter.docx", "S 227-2024")</f>
        <v/>
      </c>
    </row>
    <row r="1084" ht="15" customHeight="1">
      <c r="A1084" t="inlineStr">
        <is>
          <t>S 296-2025</t>
        </is>
      </c>
      <c r="B1084" t="inlineStr">
        <is>
          <t>samrådsanmälan</t>
        </is>
      </c>
      <c r="C1084" t="inlineStr">
        <is>
          <t>Skogsgödsling</t>
        </is>
      </c>
      <c r="D1084" s="1" t="n">
        <v>45687</v>
      </c>
      <c r="E1084" s="1" t="n">
        <v>46319</v>
      </c>
      <c r="F1084" t="inlineStr">
        <is>
          <t>DALARNAS LÄN</t>
        </is>
      </c>
      <c r="G1084" t="inlineStr">
        <is>
          <t>LUDVIKA</t>
        </is>
      </c>
      <c r="H1084" t="inlineStr">
        <is>
          <t>Bergvik skog väst AB</t>
        </is>
      </c>
      <c r="I1084" t="n">
        <v>278.6</v>
      </c>
      <c r="J1084" t="n">
        <v>0</v>
      </c>
      <c r="K1084" t="n">
        <v>1</v>
      </c>
      <c r="L1084" t="n">
        <v>1</v>
      </c>
      <c r="M1084" t="n">
        <v>0</v>
      </c>
      <c r="N1084" t="n">
        <v>0</v>
      </c>
      <c r="O1084" t="n">
        <v>0</v>
      </c>
      <c r="P1084" t="n">
        <v>0</v>
      </c>
      <c r="Q1084" t="n">
        <v>1</v>
      </c>
      <c r="R1084" t="n">
        <v>0</v>
      </c>
      <c r="S1084" t="n">
        <v>2</v>
      </c>
      <c r="T1084" t="n">
        <v>2</v>
      </c>
      <c r="U1084" t="n">
        <v>0</v>
      </c>
      <c r="V1084" s="2" t="inlineStr">
        <is>
          <t>Brunpudrad nållav
Rödgul trumpetsvamp</t>
        </is>
      </c>
      <c r="W1084">
        <f>HYPERLINK("https://klasma.github.io/Logging_2085/artfynd/S 296-2025 artfynd.xlsx", "S 296-2025")</f>
        <v/>
      </c>
      <c r="X1084">
        <f>HYPERLINK("https://klasma.github.io/Logging_2085/kartor/S 296-2025 karta.png", "S 296-2025")</f>
        <v/>
      </c>
      <c r="Y1084">
        <f>HYPERLINK("https://klasma.github.io/Logging_2085/kartor_geotiff/S 296-2025 georefererad karta.tif", "S 296-2025")</f>
        <v/>
      </c>
      <c r="AA1084">
        <f>HYPERLINK("https://klasma.github.io/Logging_2085/klagomål/S 296-2025 FSC-klagomål.docx", "S 296-2025")</f>
        <v/>
      </c>
      <c r="AB1084">
        <f>HYPERLINK("https://klasma.github.io/Logging_2085/klagomålsmail/S 296-2025 FSC-klagomål mail.docx", "S 296-2025")</f>
        <v/>
      </c>
      <c r="AC1084">
        <f>HYPERLINK("https://klasma.github.io/Logging_2085/tillsyn/S 296-2025 tillsynsbegäran.docx", "S 296-2025")</f>
        <v/>
      </c>
      <c r="AD1084">
        <f>HYPERLINK("https://klasma.github.io/Logging_2085/tillsynsmail/S 296-2025 tillsynsbegäran mail.docx", "S 296-2025")</f>
        <v/>
      </c>
    </row>
    <row r="1085" ht="15" customHeight="1">
      <c r="A1085" t="inlineStr">
        <is>
          <t>S 550-2025</t>
        </is>
      </c>
      <c r="B1085" t="inlineStr">
        <is>
          <t>samrådsanmälan</t>
        </is>
      </c>
      <c r="C1085" t="inlineStr">
        <is>
          <t>Skogsgödsling</t>
        </is>
      </c>
      <c r="D1085" s="1" t="n">
        <v>45708</v>
      </c>
      <c r="E1085" s="1" t="n">
        <v>46319</v>
      </c>
      <c r="F1085" t="inlineStr">
        <is>
          <t>DALARNAS LÄN</t>
        </is>
      </c>
      <c r="G1085" t="inlineStr">
        <is>
          <t>FALUN</t>
        </is>
      </c>
      <c r="H1085" t="inlineStr">
        <is>
          <t>Bergvik skog väst AB</t>
        </is>
      </c>
      <c r="I1085" t="n">
        <v>437.3</v>
      </c>
      <c r="J1085" t="n">
        <v>0</v>
      </c>
      <c r="K1085" t="n">
        <v>0</v>
      </c>
      <c r="L1085" t="n">
        <v>1</v>
      </c>
      <c r="M1085" t="n">
        <v>1</v>
      </c>
      <c r="N1085" t="n">
        <v>0</v>
      </c>
      <c r="O1085" t="n">
        <v>0</v>
      </c>
      <c r="P1085" t="n">
        <v>0</v>
      </c>
      <c r="Q1085" t="n">
        <v>2</v>
      </c>
      <c r="R1085" t="n">
        <v>1</v>
      </c>
      <c r="S1085" t="n">
        <v>2</v>
      </c>
      <c r="T1085" t="n">
        <v>2</v>
      </c>
      <c r="U1085" t="n">
        <v>0</v>
      </c>
      <c r="V1085" s="2" t="inlineStr">
        <is>
          <t>Garnlav
Ullticka</t>
        </is>
      </c>
      <c r="W1085">
        <f>HYPERLINK("https://klasma.github.io/Logging_2080/artfynd/S 550-2025 artfynd.xlsx", "S 550-2025")</f>
        <v/>
      </c>
      <c r="X1085">
        <f>HYPERLINK("https://klasma.github.io/Logging_2080/kartor/S 550-2025 karta.png", "S 550-2025")</f>
        <v/>
      </c>
      <c r="Y1085">
        <f>HYPERLINK("https://klasma.github.io/Logging_2080/kartor_geotiff/S 550-2025 georefererad karta.tif", "S 550-2025")</f>
        <v/>
      </c>
      <c r="AA1085">
        <f>HYPERLINK("https://klasma.github.io/Logging_2080/klagomål/S 550-2025 FSC-klagomål.docx", "S 550-2025")</f>
        <v/>
      </c>
      <c r="AB1085">
        <f>HYPERLINK("https://klasma.github.io/Logging_2080/klagomålsmail/S 550-2025 FSC-klagomål mail.docx", "S 550-2025")</f>
        <v/>
      </c>
      <c r="AC1085">
        <f>HYPERLINK("https://klasma.github.io/Logging_2080/tillsyn/S 550-2025 tillsynsbegäran.docx", "S 550-2025")</f>
        <v/>
      </c>
      <c r="AD1085">
        <f>HYPERLINK("https://klasma.github.io/Logging_2080/tillsynsmail/S 550-2025 tillsynsbegäran mail.docx", "S 550-2025")</f>
        <v/>
      </c>
    </row>
    <row r="1086" ht="15" customHeight="1">
      <c r="A1086" t="inlineStr">
        <is>
          <t>S 702-2025</t>
        </is>
      </c>
      <c r="B1086" t="inlineStr">
        <is>
          <t>samrådsanmälan</t>
        </is>
      </c>
      <c r="C1086" t="inlineStr">
        <is>
          <t>Skogsgödsling</t>
        </is>
      </c>
      <c r="D1086" s="1" t="n">
        <v>45720</v>
      </c>
      <c r="E1086" s="1" t="n">
        <v>46319</v>
      </c>
      <c r="F1086" t="inlineStr">
        <is>
          <t>DALARNAS LÄN</t>
        </is>
      </c>
      <c r="G1086" t="inlineStr">
        <is>
          <t>SMEDJEBACKEN</t>
        </is>
      </c>
      <c r="H1086" t="inlineStr">
        <is>
          <t>Bergvik skog väst AB</t>
        </is>
      </c>
      <c r="I1086" t="n">
        <v>214.7</v>
      </c>
      <c r="J1086" t="n">
        <v>2</v>
      </c>
      <c r="K1086" t="n">
        <v>0</v>
      </c>
      <c r="L1086" t="n">
        <v>1</v>
      </c>
      <c r="M1086" t="n">
        <v>0</v>
      </c>
      <c r="N1086" t="n">
        <v>0</v>
      </c>
      <c r="O1086" t="n">
        <v>0</v>
      </c>
      <c r="P1086" t="n">
        <v>0</v>
      </c>
      <c r="Q1086" t="n">
        <v>1</v>
      </c>
      <c r="R1086" t="n">
        <v>0</v>
      </c>
      <c r="S1086" t="n">
        <v>2</v>
      </c>
      <c r="T1086" t="n">
        <v>3</v>
      </c>
      <c r="U1086" t="n">
        <v>0</v>
      </c>
      <c r="V1086" s="2" t="inlineStr">
        <is>
          <t>Kungsörn
Tjäder</t>
        </is>
      </c>
      <c r="W1086">
        <f>HYPERLINK("https://klasma.github.io/Logging_2061/artfynd/S 702-2025 artfynd.xlsx", "S 702-2025")</f>
        <v/>
      </c>
      <c r="X1086">
        <f>HYPERLINK("https://klasma.github.io/Logging_2061/kartor/S 702-2025 karta.png", "S 702-2025")</f>
        <v/>
      </c>
      <c r="Y1086">
        <f>HYPERLINK("https://klasma.github.io/Logging_2061/kartor_geotiff/S 702-2025 georefererad karta.tif", "S 702-2025")</f>
        <v/>
      </c>
      <c r="AA1086">
        <f>HYPERLINK("https://klasma.github.io/Logging_2061/klagomål/S 702-2025 FSC-klagomål.docx", "S 702-2025")</f>
        <v/>
      </c>
      <c r="AB1086">
        <f>HYPERLINK("https://klasma.github.io/Logging_2061/klagomålsmail/S 702-2025 FSC-klagomål mail.docx", "S 702-2025")</f>
        <v/>
      </c>
      <c r="AC1086">
        <f>HYPERLINK("https://klasma.github.io/Logging_2061/tillsyn/S 702-2025 tillsynsbegäran.docx", "S 702-2025")</f>
        <v/>
      </c>
      <c r="AD1086">
        <f>HYPERLINK("https://klasma.github.io/Logging_2061/tillsynsmail/S 702-2025 tillsynsbegäran mail.docx", "S 702-2025")</f>
        <v/>
      </c>
      <c r="AE1086">
        <f>HYPERLINK("https://klasma.github.io/Logging_2061/fåglar/S 702-2025 prioriterade fågelarter.docx", "S 702-2025")</f>
        <v/>
      </c>
    </row>
    <row r="1087" ht="15" customHeight="1">
      <c r="A1087" t="inlineStr">
        <is>
          <t>S 3682-2024</t>
        </is>
      </c>
      <c r="B1087" t="inlineStr">
        <is>
          <t>samrådsanmälan</t>
        </is>
      </c>
      <c r="C1087" t="inlineStr">
        <is>
          <t>Annan skogsbruksåtgärd</t>
        </is>
      </c>
      <c r="D1087" s="1" t="n">
        <v>45547</v>
      </c>
      <c r="E1087" s="1" t="n">
        <v>46319</v>
      </c>
      <c r="F1087" t="inlineStr">
        <is>
          <t>DALARNAS LÄN</t>
        </is>
      </c>
      <c r="G1087" t="inlineStr">
        <is>
          <t>RÄTTVIK</t>
        </is>
      </c>
      <c r="H1087" t="inlineStr">
        <is>
          <t>Bergvik skog väst AB</t>
        </is>
      </c>
      <c r="I1087" t="n">
        <v>2.4</v>
      </c>
      <c r="J1087" t="n">
        <v>0</v>
      </c>
      <c r="K1087" t="n">
        <v>0</v>
      </c>
      <c r="L1087" t="n">
        <v>2</v>
      </c>
      <c r="M1087" t="n">
        <v>0</v>
      </c>
      <c r="N1087" t="n">
        <v>0</v>
      </c>
      <c r="O1087" t="n">
        <v>0</v>
      </c>
      <c r="P1087" t="n">
        <v>0</v>
      </c>
      <c r="Q1087" t="n">
        <v>2</v>
      </c>
      <c r="R1087" t="n">
        <v>0</v>
      </c>
      <c r="S1087" t="n">
        <v>2</v>
      </c>
      <c r="T1087" t="n">
        <v>2</v>
      </c>
      <c r="U1087" t="n">
        <v>2</v>
      </c>
      <c r="V1087" s="2" t="inlineStr">
        <is>
          <t>Mörk kolflarnlav
Vedskivlav</t>
        </is>
      </c>
      <c r="W1087">
        <f>HYPERLINK("https://klasma.github.io/Logging_2031/artfynd/S 3682-2024 artfynd.xlsx", "S 3682-2024")</f>
        <v/>
      </c>
      <c r="X1087">
        <f>HYPERLINK("https://klasma.github.io/Logging_2031/kartor/S 3682-2024 karta.png", "S 3682-2024")</f>
        <v/>
      </c>
      <c r="Y1087">
        <f>HYPERLINK("https://klasma.github.io/Logging_2031/kartor_geotiff/S 3682-2024 georefererad karta.tif", "S 3682-2024")</f>
        <v/>
      </c>
      <c r="AA1087">
        <f>HYPERLINK("https://klasma.github.io/Logging_2031/klagomål/S 3682-2024 FSC-klagomål.docx", "S 3682-2024")</f>
        <v/>
      </c>
      <c r="AB1087">
        <f>HYPERLINK("https://klasma.github.io/Logging_2031/klagomålsmail/S 3682-2024 FSC-klagomål mail.docx", "S 3682-2024")</f>
        <v/>
      </c>
      <c r="AC1087">
        <f>HYPERLINK("https://klasma.github.io/Logging_2031/tillsyn/S 3682-2024 tillsynsbegäran.docx", "S 3682-2024")</f>
        <v/>
      </c>
      <c r="AD1087">
        <f>HYPERLINK("https://klasma.github.io/Logging_2031/tillsynsmail/S 3682-2024 tillsynsbegäran mail.docx", "S 3682-2024")</f>
        <v/>
      </c>
    </row>
    <row r="1088" ht="15" customHeight="1">
      <c r="A1088" t="inlineStr">
        <is>
          <t>S 2470-2025</t>
        </is>
      </c>
      <c r="B1088" t="inlineStr">
        <is>
          <t>samrådsanmälan</t>
        </is>
      </c>
      <c r="C1088" t="inlineStr">
        <is>
          <t>Annan skogsbruksåtgärd</t>
        </is>
      </c>
      <c r="D1088" s="1" t="n">
        <v>45902</v>
      </c>
      <c r="E1088" s="1" t="n">
        <v>46319</v>
      </c>
      <c r="F1088" t="inlineStr">
        <is>
          <t>DALARNAS LÄN</t>
        </is>
      </c>
      <c r="G1088" t="inlineStr">
        <is>
          <t>ÄLVDALEN</t>
        </is>
      </c>
      <c r="H1088" t="inlineStr">
        <is>
          <t>Sveaskog</t>
        </is>
      </c>
      <c r="I1088" t="n">
        <v>0.9</v>
      </c>
      <c r="J1088" t="n">
        <v>1</v>
      </c>
      <c r="K1088" t="n">
        <v>0</v>
      </c>
      <c r="L1088" t="n">
        <v>2</v>
      </c>
      <c r="M1088" t="n">
        <v>0</v>
      </c>
      <c r="N1088" t="n">
        <v>0</v>
      </c>
      <c r="O1088" t="n">
        <v>0</v>
      </c>
      <c r="P1088" t="n">
        <v>0</v>
      </c>
      <c r="Q1088" t="n">
        <v>2</v>
      </c>
      <c r="R1088" t="n">
        <v>0</v>
      </c>
      <c r="S1088" t="n">
        <v>2</v>
      </c>
      <c r="T1088" t="n">
        <v>2</v>
      </c>
      <c r="U1088" t="n">
        <v>0</v>
      </c>
      <c r="V1088" s="2" t="inlineStr">
        <is>
          <t>Dropptaggsvamp
Varglav</t>
        </is>
      </c>
      <c r="W1088">
        <f>HYPERLINK("https://klasma.github.io/Logging_2039/artfynd/S 2470-2025 artfynd.xlsx", "S 2470-2025")</f>
        <v/>
      </c>
      <c r="X1088">
        <f>HYPERLINK("https://klasma.github.io/Logging_2039/kartor/S 2470-2025 karta.png", "S 2470-2025")</f>
        <v/>
      </c>
      <c r="Y1088">
        <f>HYPERLINK("https://klasma.github.io/Logging_2039/kartor_geotiff/S 2470-2025 georefererad karta.tif", "S 2470-2025")</f>
        <v/>
      </c>
      <c r="AA1088">
        <f>HYPERLINK("https://klasma.github.io/Logging_2039/klagomål/S 2470-2025 FSC-klagomål.docx", "S 2470-2025")</f>
        <v/>
      </c>
      <c r="AB1088">
        <f>HYPERLINK("https://klasma.github.io/Logging_2039/klagomålsmail/S 2470-2025 FSC-klagomål mail.docx", "S 2470-2025")</f>
        <v/>
      </c>
      <c r="AC1088">
        <f>HYPERLINK("https://klasma.github.io/Logging_2039/tillsyn/S 2470-2025 tillsynsbegäran.docx", "S 2470-2025")</f>
        <v/>
      </c>
      <c r="AD1088">
        <f>HYPERLINK("https://klasma.github.io/Logging_2039/tillsynsmail/S 2470-2025 tillsynsbegäran mail.docx", "S 2470-2025")</f>
        <v/>
      </c>
    </row>
    <row r="1089" ht="15" customHeight="1">
      <c r="A1089" t="inlineStr">
        <is>
          <t>S 1849-2025</t>
        </is>
      </c>
      <c r="B1089" t="inlineStr">
        <is>
          <t>samrådsanmälan</t>
        </is>
      </c>
      <c r="C1089" t="inlineStr">
        <is>
          <t>Annan skogsbruksåtgärd</t>
        </is>
      </c>
      <c r="D1089" s="1" t="n">
        <v>45820</v>
      </c>
      <c r="E1089" s="1" t="n">
        <v>46319</v>
      </c>
      <c r="F1089" t="inlineStr">
        <is>
          <t>DALARNAS LÄN</t>
        </is>
      </c>
      <c r="G1089" t="inlineStr">
        <is>
          <t>FALUN</t>
        </is>
      </c>
      <c r="I1089" t="n">
        <v>1.6</v>
      </c>
      <c r="J1089" t="n">
        <v>2</v>
      </c>
      <c r="K1089" t="n">
        <v>0</v>
      </c>
      <c r="L1089" t="n">
        <v>0</v>
      </c>
      <c r="M1089" t="n">
        <v>1</v>
      </c>
      <c r="N1089" t="n">
        <v>0</v>
      </c>
      <c r="O1089" t="n">
        <v>0</v>
      </c>
      <c r="P1089" t="n">
        <v>0</v>
      </c>
      <c r="Q1089" t="n">
        <v>1</v>
      </c>
      <c r="R1089" t="n">
        <v>1</v>
      </c>
      <c r="S1089" t="n">
        <v>2</v>
      </c>
      <c r="T1089" t="n">
        <v>11</v>
      </c>
      <c r="U1089" t="n">
        <v>10</v>
      </c>
      <c r="V1089" s="2" t="inlineStr">
        <is>
          <t>Knärot
Kungsfågel</t>
        </is>
      </c>
      <c r="W1089">
        <f>HYPERLINK("https://klasma.github.io/Logging_2080/artfynd/S 1849-2025 artfynd.xlsx", "S 1849-2025")</f>
        <v/>
      </c>
      <c r="X1089">
        <f>HYPERLINK("https://klasma.github.io/Logging_2080/kartor/S 1849-2025 karta.png", "S 1849-2025")</f>
        <v/>
      </c>
      <c r="Y1089">
        <f>HYPERLINK("https://klasma.github.io/Logging_2080/kartor_geotiff/S 1849-2025 georefererad karta.tif", "S 1849-2025")</f>
        <v/>
      </c>
      <c r="Z1089">
        <f>HYPERLINK("https://klasma.github.io/Logging_2080/knärot/S 1849-2025 karta knärot.png", "S 1849-2025")</f>
        <v/>
      </c>
      <c r="AA1089">
        <f>HYPERLINK("https://klasma.github.io/Logging_2080/klagomål/S 1849-2025 FSC-klagomål.docx", "S 1849-2025")</f>
        <v/>
      </c>
      <c r="AB1089">
        <f>HYPERLINK("https://klasma.github.io/Logging_2080/klagomålsmail/S 1849-2025 FSC-klagomål mail.docx", "S 1849-2025")</f>
        <v/>
      </c>
      <c r="AC1089">
        <f>HYPERLINK("https://klasma.github.io/Logging_2080/tillsyn/S 1849-2025 tillsynsbegäran.docx", "S 1849-2025")</f>
        <v/>
      </c>
      <c r="AD1089">
        <f>HYPERLINK("https://klasma.github.io/Logging_2080/tillsynsmail/S 1849-2025 tillsynsbegäran mail.docx", "S 1849-2025")</f>
        <v/>
      </c>
    </row>
    <row r="1090" ht="15" customHeight="1">
      <c r="A1090" t="inlineStr">
        <is>
          <t>S 322-2026</t>
        </is>
      </c>
      <c r="B1090" t="inlineStr">
        <is>
          <t>samrådsanmälan</t>
        </is>
      </c>
      <c r="C1090" t="inlineStr">
        <is>
          <t>Skogsgödsling</t>
        </is>
      </c>
      <c r="D1090" s="1" t="n">
        <v>46059</v>
      </c>
      <c r="E1090" s="1" t="n">
        <v>46319</v>
      </c>
      <c r="F1090" t="inlineStr">
        <is>
          <t>DALARNAS LÄN</t>
        </is>
      </c>
      <c r="G1090" t="inlineStr">
        <is>
          <t>AVESTA</t>
        </is>
      </c>
      <c r="H1090" t="inlineStr">
        <is>
          <t>Sveaskog</t>
        </is>
      </c>
      <c r="I1090" t="n">
        <v>26.8</v>
      </c>
      <c r="J1090" t="n">
        <v>2</v>
      </c>
      <c r="K1090" t="n">
        <v>0</v>
      </c>
      <c r="L1090" t="n">
        <v>1</v>
      </c>
      <c r="M1090" t="n">
        <v>1</v>
      </c>
      <c r="N1090" t="n">
        <v>0</v>
      </c>
      <c r="O1090" t="n">
        <v>0</v>
      </c>
      <c r="P1090" t="n">
        <v>0</v>
      </c>
      <c r="Q1090" t="n">
        <v>2</v>
      </c>
      <c r="R1090" t="n">
        <v>1</v>
      </c>
      <c r="S1090" t="n">
        <v>2</v>
      </c>
      <c r="T1090" t="n">
        <v>4</v>
      </c>
      <c r="U1090" t="n">
        <v>0</v>
      </c>
      <c r="V1090" s="2" t="inlineStr">
        <is>
          <t>Väddnätfjäril
Nordfladdermus</t>
        </is>
      </c>
      <c r="W1090">
        <f>HYPERLINK("https://klasma.github.io/Logging_2084/artfynd/S 322-2026 artfynd.xlsx", "S 322-2026")</f>
        <v/>
      </c>
      <c r="X1090">
        <f>HYPERLINK("https://klasma.github.io/Logging_2084/kartor/S 322-2026 karta.png", "S 322-2026")</f>
        <v/>
      </c>
      <c r="Y1090">
        <f>HYPERLINK("https://klasma.github.io/Logging_2084/kartor_geotiff/S 322-2026 georefererad karta.tif", "S 322-2026")</f>
        <v/>
      </c>
      <c r="AA1090">
        <f>HYPERLINK("https://klasma.github.io/Logging_2084/klagomål/S 322-2026 FSC-klagomål.docx", "S 322-2026")</f>
        <v/>
      </c>
      <c r="AB1090">
        <f>HYPERLINK("https://klasma.github.io/Logging_2084/klagomålsmail/S 322-2026 FSC-klagomål mail.docx", "S 322-2026")</f>
        <v/>
      </c>
      <c r="AC1090">
        <f>HYPERLINK("https://klasma.github.io/Logging_2084/tillsyn/S 322-2026 tillsynsbegäran.docx", "S 322-2026")</f>
        <v/>
      </c>
      <c r="AD1090">
        <f>HYPERLINK("https://klasma.github.io/Logging_2084/tillsynsmail/S 322-2026 tillsynsbegäran mail.docx", "S 322-2026")</f>
        <v/>
      </c>
    </row>
    <row r="1091" ht="15" customHeight="1">
      <c r="A1091" t="inlineStr">
        <is>
          <t>S 658-2026</t>
        </is>
      </c>
      <c r="B1091" t="inlineStr">
        <is>
          <t>samrådsanmälan</t>
        </is>
      </c>
      <c r="C1091" t="inlineStr">
        <is>
          <t>Skogsgödsling</t>
        </is>
      </c>
      <c r="D1091" s="1" t="n">
        <v>46089</v>
      </c>
      <c r="E1091" s="1" t="n">
        <v>46319</v>
      </c>
      <c r="F1091" t="inlineStr">
        <is>
          <t>DALARNAS LÄN</t>
        </is>
      </c>
      <c r="G1091" t="inlineStr">
        <is>
          <t>ORSA</t>
        </is>
      </c>
      <c r="H1091" t="inlineStr">
        <is>
          <t>Bergvik skog öst AB</t>
        </is>
      </c>
      <c r="I1091" t="n">
        <v>33.5</v>
      </c>
      <c r="J1091" t="n">
        <v>2</v>
      </c>
      <c r="K1091" t="n">
        <v>0</v>
      </c>
      <c r="L1091" t="n">
        <v>1</v>
      </c>
      <c r="M1091" t="n">
        <v>1</v>
      </c>
      <c r="N1091" t="n">
        <v>0</v>
      </c>
      <c r="O1091" t="n">
        <v>0</v>
      </c>
      <c r="P1091" t="n">
        <v>0</v>
      </c>
      <c r="Q1091" t="n">
        <v>2</v>
      </c>
      <c r="R1091" t="n">
        <v>1</v>
      </c>
      <c r="S1091" t="n">
        <v>2</v>
      </c>
      <c r="T1091" t="n">
        <v>2</v>
      </c>
      <c r="U1091" t="n">
        <v>1</v>
      </c>
      <c r="V1091" s="2" t="inlineStr">
        <is>
          <t>Knärot
Mellanlummer</t>
        </is>
      </c>
      <c r="W1091">
        <f>HYPERLINK("https://klasma.github.io/Logging_2034/artfynd/S 658-2026 artfynd.xlsx", "S 658-2026")</f>
        <v/>
      </c>
      <c r="X1091">
        <f>HYPERLINK("https://klasma.github.io/Logging_2034/kartor/S 658-2026 karta.png", "S 658-2026")</f>
        <v/>
      </c>
      <c r="Y1091">
        <f>HYPERLINK("https://klasma.github.io/Logging_2034/kartor_geotiff/S 658-2026 georefererad karta.tif", "S 658-2026")</f>
        <v/>
      </c>
      <c r="Z1091">
        <f>HYPERLINK("https://klasma.github.io/Logging_2034/knärot/S 658-2026 karta knärot.png", "S 658-2026")</f>
        <v/>
      </c>
      <c r="AA1091">
        <f>HYPERLINK("https://klasma.github.io/Logging_2034/klagomål/S 658-2026 FSC-klagomål.docx", "S 658-2026")</f>
        <v/>
      </c>
      <c r="AB1091">
        <f>HYPERLINK("https://klasma.github.io/Logging_2034/klagomålsmail/S 658-2026 FSC-klagomål mail.docx", "S 658-2026")</f>
        <v/>
      </c>
      <c r="AC1091">
        <f>HYPERLINK("https://klasma.github.io/Logging_2034/tillsyn/S 658-2026 tillsynsbegäran.docx", "S 658-2026")</f>
        <v/>
      </c>
      <c r="AD1091">
        <f>HYPERLINK("https://klasma.github.io/Logging_2034/tillsynsmail/S 658-2026 tillsynsbegäran mail.docx", "S 658-2026")</f>
        <v/>
      </c>
    </row>
    <row r="1092" ht="15" customHeight="1">
      <c r="A1092" t="inlineStr">
        <is>
          <t>S 608-2026</t>
        </is>
      </c>
      <c r="B1092" t="inlineStr">
        <is>
          <t>samrådsanmälan</t>
        </is>
      </c>
      <c r="C1092" t="inlineStr">
        <is>
          <t>Skogsgödsling</t>
        </is>
      </c>
      <c r="D1092" s="1" t="n">
        <v>46085</v>
      </c>
      <c r="E1092" s="1" t="n">
        <v>46319</v>
      </c>
      <c r="F1092" t="inlineStr">
        <is>
          <t>DALARNAS LÄN</t>
        </is>
      </c>
      <c r="G1092" t="inlineStr">
        <is>
          <t>SMEDJEBACKEN</t>
        </is>
      </c>
      <c r="H1092" t="inlineStr">
        <is>
          <t>Bergvik skog väst AB</t>
        </is>
      </c>
      <c r="I1092" t="n">
        <v>47.9</v>
      </c>
      <c r="J1092" t="n">
        <v>2</v>
      </c>
      <c r="K1092" t="n">
        <v>0</v>
      </c>
      <c r="L1092" t="n">
        <v>0</v>
      </c>
      <c r="M1092" t="n">
        <v>0</v>
      </c>
      <c r="N1092" t="n">
        <v>0</v>
      </c>
      <c r="O1092" t="n">
        <v>0</v>
      </c>
      <c r="P1092" t="n">
        <v>0</v>
      </c>
      <c r="Q1092" t="n">
        <v>0</v>
      </c>
      <c r="R1092" t="n">
        <v>0</v>
      </c>
      <c r="S1092" t="n">
        <v>2</v>
      </c>
      <c r="T1092" t="n">
        <v>2</v>
      </c>
      <c r="U1092" t="n">
        <v>0</v>
      </c>
      <c r="V1092" s="2" t="inlineStr">
        <is>
          <t>Fläcknycklar
Revlummer</t>
        </is>
      </c>
      <c r="W1092">
        <f>HYPERLINK("https://klasma.github.io/Logging_2061/artfynd/S 608-2026 artfynd.xlsx", "S 608-2026")</f>
        <v/>
      </c>
      <c r="X1092">
        <f>HYPERLINK("https://klasma.github.io/Logging_2061/kartor/S 608-2026 karta.png", "S 608-2026")</f>
        <v/>
      </c>
      <c r="Y1092">
        <f>HYPERLINK("https://klasma.github.io/Logging_2061/kartor_geotiff/S 608-2026 georefererad karta.tif", "S 608-2026")</f>
        <v/>
      </c>
      <c r="AA1092">
        <f>HYPERLINK("https://klasma.github.io/Logging_2061/klagomål/S 608-2026 FSC-klagomål.docx", "S 608-2026")</f>
        <v/>
      </c>
      <c r="AB1092">
        <f>HYPERLINK("https://klasma.github.io/Logging_2061/klagomålsmail/S 608-2026 FSC-klagomål mail.docx", "S 608-2026")</f>
        <v/>
      </c>
      <c r="AC1092">
        <f>HYPERLINK("https://klasma.github.io/Logging_2061/tillsyn/S 608-2026 tillsynsbegäran.docx", "S 608-2026")</f>
        <v/>
      </c>
      <c r="AD1092">
        <f>HYPERLINK("https://klasma.github.io/Logging_2061/tillsynsmail/S 608-2026 tillsynsbegäran mail.docx", "S 608-2026")</f>
        <v/>
      </c>
    </row>
    <row r="1093" ht="15" customHeight="1">
      <c r="A1093" t="inlineStr">
        <is>
          <t>S 859-2026</t>
        </is>
      </c>
      <c r="B1093" t="inlineStr">
        <is>
          <t>samrådsanmälan</t>
        </is>
      </c>
      <c r="C1093" t="inlineStr">
        <is>
          <t>Skogsgödsling</t>
        </is>
      </c>
      <c r="D1093" s="1" t="n">
        <v>46106</v>
      </c>
      <c r="E1093" s="1" t="n">
        <v>46319</v>
      </c>
      <c r="F1093" t="inlineStr">
        <is>
          <t>DALARNAS LÄN</t>
        </is>
      </c>
      <c r="G1093" t="inlineStr">
        <is>
          <t>ÄLVDALEN</t>
        </is>
      </c>
      <c r="H1093" t="inlineStr">
        <is>
          <t>Allmännings- och besparingsskogar</t>
        </is>
      </c>
      <c r="I1093" t="n">
        <v>30</v>
      </c>
      <c r="J1093" t="n">
        <v>2</v>
      </c>
      <c r="K1093" t="n">
        <v>0</v>
      </c>
      <c r="L1093" t="n">
        <v>1</v>
      </c>
      <c r="M1093" t="n">
        <v>0</v>
      </c>
      <c r="N1093" t="n">
        <v>0</v>
      </c>
      <c r="O1093" t="n">
        <v>0</v>
      </c>
      <c r="P1093" t="n">
        <v>0</v>
      </c>
      <c r="Q1093" t="n">
        <v>1</v>
      </c>
      <c r="R1093" t="n">
        <v>0</v>
      </c>
      <c r="S1093" t="n">
        <v>2</v>
      </c>
      <c r="T1093" t="n">
        <v>2</v>
      </c>
      <c r="U1093" t="n">
        <v>0</v>
      </c>
      <c r="V1093" s="2" t="inlineStr">
        <is>
          <t>Duvhök
Tjäder</t>
        </is>
      </c>
      <c r="W1093">
        <f>HYPERLINK("https://klasma.github.io/Logging_2039/artfynd/S 859-2026 artfynd.xlsx", "S 859-2026")</f>
        <v/>
      </c>
      <c r="X1093">
        <f>HYPERLINK("https://klasma.github.io/Logging_2039/kartor/S 859-2026 karta.png", "S 859-2026")</f>
        <v/>
      </c>
      <c r="Y1093">
        <f>HYPERLINK("https://klasma.github.io/Logging_2039/kartor_geotiff/S 859-2026 georefererad karta.tif", "S 859-2026")</f>
        <v/>
      </c>
      <c r="AA1093">
        <f>HYPERLINK("https://klasma.github.io/Logging_2039/klagomål/S 859-2026 FSC-klagomål.docx", "S 859-2026")</f>
        <v/>
      </c>
      <c r="AB1093">
        <f>HYPERLINK("https://klasma.github.io/Logging_2039/klagomålsmail/S 859-2026 FSC-klagomål mail.docx", "S 859-2026")</f>
        <v/>
      </c>
      <c r="AC1093">
        <f>HYPERLINK("https://klasma.github.io/Logging_2039/tillsyn/S 859-2026 tillsynsbegäran.docx", "S 859-2026")</f>
        <v/>
      </c>
      <c r="AD1093">
        <f>HYPERLINK("https://klasma.github.io/Logging_2039/tillsynsmail/S 859-2026 tillsynsbegäran mail.docx", "S 859-2026")</f>
        <v/>
      </c>
      <c r="AE1093">
        <f>HYPERLINK("https://klasma.github.io/Logging_2039/fåglar/S 859-2026 prioriterade fågelarter.docx", "S 859-2026")</f>
        <v/>
      </c>
    </row>
    <row r="1094" ht="15" customHeight="1">
      <c r="A1094" t="inlineStr">
        <is>
          <t>S 3586-2025</t>
        </is>
      </c>
      <c r="B1094" t="inlineStr">
        <is>
          <t>samrådsanmälan</t>
        </is>
      </c>
      <c r="C1094" t="inlineStr">
        <is>
          <t>Skogsgödsling</t>
        </is>
      </c>
      <c r="D1094" s="1" t="n">
        <v>46010</v>
      </c>
      <c r="E1094" s="1" t="n">
        <v>46319</v>
      </c>
      <c r="F1094" t="inlineStr">
        <is>
          <t>DALARNAS LÄN</t>
        </is>
      </c>
      <c r="G1094" t="inlineStr">
        <is>
          <t>LUDVIKA</t>
        </is>
      </c>
      <c r="H1094" t="inlineStr">
        <is>
          <t>Bergvik skog väst AB</t>
        </is>
      </c>
      <c r="I1094" t="n">
        <v>275.6</v>
      </c>
      <c r="J1094" t="n">
        <v>1</v>
      </c>
      <c r="K1094" t="n">
        <v>0</v>
      </c>
      <c r="L1094" t="n">
        <v>0</v>
      </c>
      <c r="M1094" t="n">
        <v>1</v>
      </c>
      <c r="N1094" t="n">
        <v>0</v>
      </c>
      <c r="O1094" t="n">
        <v>0</v>
      </c>
      <c r="P1094" t="n">
        <v>0</v>
      </c>
      <c r="Q1094" t="n">
        <v>1</v>
      </c>
      <c r="R1094" t="n">
        <v>1</v>
      </c>
      <c r="S1094" t="n">
        <v>2</v>
      </c>
      <c r="T1094" t="n">
        <v>2</v>
      </c>
      <c r="U1094" t="n">
        <v>1</v>
      </c>
      <c r="V1094" s="2" t="inlineStr">
        <is>
          <t>Garnlav
Järpe</t>
        </is>
      </c>
      <c r="W1094">
        <f>HYPERLINK("https://klasma.github.io/Logging_2085/artfynd/S 3586-2025 artfynd.xlsx", "S 3586-2025")</f>
        <v/>
      </c>
      <c r="X1094">
        <f>HYPERLINK("https://klasma.github.io/Logging_2085/kartor/S 3586-2025 karta.png", "S 3586-2025")</f>
        <v/>
      </c>
      <c r="Y1094">
        <f>HYPERLINK("https://klasma.github.io/Logging_2085/kartor_geotiff/S 3586-2025 georefererad karta.tif", "S 3586-2025")</f>
        <v/>
      </c>
      <c r="AA1094">
        <f>HYPERLINK("https://klasma.github.io/Logging_2085/klagomål/S 3586-2025 FSC-klagomål.docx", "S 3586-2025")</f>
        <v/>
      </c>
      <c r="AB1094">
        <f>HYPERLINK("https://klasma.github.io/Logging_2085/klagomålsmail/S 3586-2025 FSC-klagomål mail.docx", "S 3586-2025")</f>
        <v/>
      </c>
      <c r="AC1094">
        <f>HYPERLINK("https://klasma.github.io/Logging_2085/tillsyn/S 3586-2025 tillsynsbegäran.docx", "S 3586-2025")</f>
        <v/>
      </c>
      <c r="AD1094">
        <f>HYPERLINK("https://klasma.github.io/Logging_2085/tillsynsmail/S 3586-2025 tillsynsbegäran mail.docx", "S 3586-2025")</f>
        <v/>
      </c>
      <c r="AE1094">
        <f>HYPERLINK("https://klasma.github.io/Logging_2085/fåglar/S 3586-2025 prioriterade fågelarter.docx", "S 3586-2025")</f>
        <v/>
      </c>
    </row>
    <row r="1095" ht="15" customHeight="1">
      <c r="A1095" t="inlineStr">
        <is>
          <t>S 2274-2026</t>
        </is>
      </c>
      <c r="B1095" t="inlineStr">
        <is>
          <t>samrådsanmälan</t>
        </is>
      </c>
      <c r="C1095" t="inlineStr">
        <is>
          <t>Annan skogsbruksåtgärd</t>
        </is>
      </c>
      <c r="D1095" s="1" t="n">
        <v>46265</v>
      </c>
      <c r="E1095" s="1" t="n">
        <v>46319</v>
      </c>
      <c r="F1095" t="inlineStr">
        <is>
          <t>DALARNAS LÄN</t>
        </is>
      </c>
      <c r="G1095" t="inlineStr">
        <is>
          <t>ÄLVDALEN</t>
        </is>
      </c>
      <c r="H1095" t="inlineStr">
        <is>
          <t>Sveaskog</t>
        </is>
      </c>
      <c r="I1095" t="n">
        <v>4.1</v>
      </c>
      <c r="J1095" t="n">
        <v>0</v>
      </c>
      <c r="K1095" t="n">
        <v>0</v>
      </c>
      <c r="L1095" t="n">
        <v>2</v>
      </c>
      <c r="M1095" t="n">
        <v>0</v>
      </c>
      <c r="N1095" t="n">
        <v>0</v>
      </c>
      <c r="O1095" t="n">
        <v>0</v>
      </c>
      <c r="P1095" t="n">
        <v>0</v>
      </c>
      <c r="Q1095" t="n">
        <v>2</v>
      </c>
      <c r="R1095" t="n">
        <v>0</v>
      </c>
      <c r="S1095" t="n">
        <v>2</v>
      </c>
      <c r="T1095" t="n">
        <v>2</v>
      </c>
      <c r="U1095" t="n">
        <v>0</v>
      </c>
      <c r="V1095" s="2" t="inlineStr">
        <is>
          <t>Kolflarnlav
Mörk kolflarnlav</t>
        </is>
      </c>
      <c r="W1095">
        <f>HYPERLINK("https://klasma.github.io/Logging_2039/artfynd/S 2274-2026 artfynd.xlsx", "S 2274-2026")</f>
        <v/>
      </c>
      <c r="X1095">
        <f>HYPERLINK("https://klasma.github.io/Logging_2039/kartor/S 2274-2026 karta.png", "S 2274-2026")</f>
        <v/>
      </c>
      <c r="Y1095">
        <f>HYPERLINK("https://klasma.github.io/Logging_2039/kartor_geotiff/S 2274-2026 georefererad karta.tif", "S 2274-2026")</f>
        <v/>
      </c>
      <c r="AA1095">
        <f>HYPERLINK("https://klasma.github.io/Logging_2039/klagomål/S 2274-2026 FSC-klagomål.docx", "S 2274-2026")</f>
        <v/>
      </c>
      <c r="AB1095">
        <f>HYPERLINK("https://klasma.github.io/Logging_2039/klagomålsmail/S 2274-2026 FSC-klagomål mail.docx", "S 2274-2026")</f>
        <v/>
      </c>
      <c r="AC1095">
        <f>HYPERLINK("https://klasma.github.io/Logging_2039/tillsyn/S 2274-2026 tillsynsbegäran.docx", "S 2274-2026")</f>
        <v/>
      </c>
      <c r="AD1095">
        <f>HYPERLINK("https://klasma.github.io/Logging_2039/tillsynsmail/S 2274-2026 tillsynsbegäran mail.docx", "S 2274-2026")</f>
        <v/>
      </c>
    </row>
    <row r="1096" ht="15" customHeight="1">
      <c r="A1096" t="inlineStr">
        <is>
          <t>S 2283-2026</t>
        </is>
      </c>
      <c r="B1096" t="inlineStr">
        <is>
          <t>samrådsanmälan</t>
        </is>
      </c>
      <c r="C1096" t="inlineStr">
        <is>
          <t>Annan skogsbruksåtgärd</t>
        </is>
      </c>
      <c r="D1096" s="1" t="n">
        <v>46265</v>
      </c>
      <c r="E1096" s="1" t="n">
        <v>46319</v>
      </c>
      <c r="F1096" t="inlineStr">
        <is>
          <t>DALARNAS LÄN</t>
        </is>
      </c>
      <c r="G1096" t="inlineStr">
        <is>
          <t>GAGNEF</t>
        </is>
      </c>
      <c r="H1096" t="inlineStr">
        <is>
          <t>Kommuner</t>
        </is>
      </c>
      <c r="I1096" t="n">
        <v>1.2</v>
      </c>
      <c r="J1096" t="n">
        <v>1</v>
      </c>
      <c r="K1096" t="n">
        <v>1</v>
      </c>
      <c r="L1096" t="n">
        <v>0</v>
      </c>
      <c r="M1096" t="n">
        <v>0</v>
      </c>
      <c r="N1096" t="n">
        <v>0</v>
      </c>
      <c r="O1096" t="n">
        <v>0</v>
      </c>
      <c r="P1096" t="n">
        <v>0</v>
      </c>
      <c r="Q1096" t="n">
        <v>0</v>
      </c>
      <c r="R1096" t="n">
        <v>0</v>
      </c>
      <c r="S1096" t="n">
        <v>2</v>
      </c>
      <c r="T1096" t="n">
        <v>2</v>
      </c>
      <c r="U1096" t="n">
        <v>0</v>
      </c>
      <c r="V1096" s="2" t="inlineStr">
        <is>
          <t>Strutbräken
Blåsippa</t>
        </is>
      </c>
      <c r="W1096">
        <f>HYPERLINK("https://klasma.github.io/Logging_2026/artfynd/S 2283-2026 artfynd.xlsx", "S 2283-2026")</f>
        <v/>
      </c>
      <c r="X1096">
        <f>HYPERLINK("https://klasma.github.io/Logging_2026/kartor/S 2283-2026 karta.png", "S 2283-2026")</f>
        <v/>
      </c>
      <c r="Y1096">
        <f>HYPERLINK("https://klasma.github.io/Logging_2026/kartor_geotiff/S 2283-2026 georefererad karta.tif", "S 2283-2026")</f>
        <v/>
      </c>
      <c r="AA1096">
        <f>HYPERLINK("https://klasma.github.io/Logging_2026/klagomål/S 2283-2026 FSC-klagomål.docx", "S 2283-2026")</f>
        <v/>
      </c>
      <c r="AB1096">
        <f>HYPERLINK("https://klasma.github.io/Logging_2026/klagomålsmail/S 2283-2026 FSC-klagomål mail.docx", "S 2283-2026")</f>
        <v/>
      </c>
      <c r="AC1096">
        <f>HYPERLINK("https://klasma.github.io/Logging_2026/tillsyn/S 2283-2026 tillsynsbegäran.docx", "S 2283-2026")</f>
        <v/>
      </c>
      <c r="AD1096">
        <f>HYPERLINK("https://klasma.github.io/Logging_2026/tillsynsmail/S 2283-2026 tillsynsbegäran mail.docx", "S 2283-2026")</f>
        <v/>
      </c>
    </row>
    <row r="1097" ht="15" customHeight="1">
      <c r="A1097" t="inlineStr">
        <is>
          <t>A 70451-2021</t>
        </is>
      </c>
      <c r="B1097" t="inlineStr">
        <is>
          <t>avverkningsanmälan</t>
        </is>
      </c>
      <c r="C1097" t="inlineStr">
        <is>
          <t>Avverkning för annat ändamål</t>
        </is>
      </c>
      <c r="D1097" s="1" t="n">
        <v>44536</v>
      </c>
      <c r="E1097" s="1" t="n">
        <v>46319</v>
      </c>
      <c r="F1097" t="inlineStr">
        <is>
          <t>DALARNAS LÄN</t>
        </is>
      </c>
      <c r="G1097" t="inlineStr">
        <is>
          <t>LEKSAND</t>
        </is>
      </c>
      <c r="I1097" t="n">
        <v>3.7</v>
      </c>
      <c r="J1097" t="n">
        <v>0</v>
      </c>
      <c r="K1097" t="n">
        <v>0</v>
      </c>
      <c r="L1097" t="n">
        <v>1</v>
      </c>
      <c r="M1097" t="n">
        <v>0</v>
      </c>
      <c r="N1097" t="n">
        <v>0</v>
      </c>
      <c r="O1097" t="n">
        <v>0</v>
      </c>
      <c r="P1097" t="n">
        <v>0</v>
      </c>
      <c r="Q1097" t="n">
        <v>1</v>
      </c>
      <c r="R1097" t="n">
        <v>0</v>
      </c>
      <c r="S1097" t="n">
        <v>1</v>
      </c>
      <c r="T1097" t="n">
        <v>1</v>
      </c>
      <c r="U1097" t="n">
        <v>0</v>
      </c>
      <c r="V1097" s="2" t="inlineStr">
        <is>
          <t>Gullpudra</t>
        </is>
      </c>
      <c r="W1097">
        <f>HYPERLINK("https://klasma.github.io/Logging_2029/artfynd/A 70451-2021 artfynd.xlsx", "A 70451-2021")</f>
        <v/>
      </c>
      <c r="X1097">
        <f>HYPERLINK("https://klasma.github.io/Logging_2029/kartor/A 70451-2021 karta.png", "A 70451-2021")</f>
        <v/>
      </c>
      <c r="Y1097">
        <f>HYPERLINK("https://klasma.github.io/Logging_2029/kartor_geotiff/A 70451-2021 georefererad karta.tif", "A 70451-2021")</f>
        <v/>
      </c>
      <c r="AA1097">
        <f>HYPERLINK("https://klasma.github.io/Logging_2029/klagomål/A 70451-2021 FSC-klagomål.docx", "A 70451-2021")</f>
        <v/>
      </c>
      <c r="AB1097">
        <f>HYPERLINK("https://klasma.github.io/Logging_2029/klagomålsmail/A 70451-2021 FSC-klagomål mail.docx", "A 70451-2021")</f>
        <v/>
      </c>
      <c r="AC1097">
        <f>HYPERLINK("https://klasma.github.io/Logging_2029/tillsyn/A 70451-2021 tillsynsbegäran.docx", "A 70451-2021")</f>
        <v/>
      </c>
      <c r="AD1097">
        <f>HYPERLINK("https://klasma.github.io/Logging_2029/tillsynsmail/A 70451-2021 tillsynsbegäran mail.docx", "A 70451-2021")</f>
        <v/>
      </c>
    </row>
    <row r="1098" ht="15" customHeight="1">
      <c r="A1098" t="inlineStr">
        <is>
          <t>A 53915-2022</t>
        </is>
      </c>
      <c r="B1098" t="inlineStr">
        <is>
          <t>avverkningsanmälan</t>
        </is>
      </c>
      <c r="C1098" t="inlineStr">
        <is>
          <t>Föryngringsavverkning</t>
        </is>
      </c>
      <c r="D1098" s="1" t="n">
        <v>44880</v>
      </c>
      <c r="E1098" s="1" t="n">
        <v>46319</v>
      </c>
      <c r="F1098" t="inlineStr">
        <is>
          <t>DALARNAS LÄN</t>
        </is>
      </c>
      <c r="G1098" t="inlineStr">
        <is>
          <t>HEDEMORA</t>
        </is>
      </c>
      <c r="H1098" t="inlineStr">
        <is>
          <t>Sveaskog</t>
        </is>
      </c>
      <c r="I1098" t="n">
        <v>5.3</v>
      </c>
      <c r="J1098" t="n">
        <v>1</v>
      </c>
      <c r="K1098" t="n">
        <v>0</v>
      </c>
      <c r="L1098" t="n">
        <v>1</v>
      </c>
      <c r="M1098" t="n">
        <v>0</v>
      </c>
      <c r="N1098" t="n">
        <v>0</v>
      </c>
      <c r="O1098" t="n">
        <v>0</v>
      </c>
      <c r="P1098" t="n">
        <v>0</v>
      </c>
      <c r="Q1098" t="n">
        <v>1</v>
      </c>
      <c r="R1098" t="n">
        <v>0</v>
      </c>
      <c r="S1098" t="n">
        <v>1</v>
      </c>
      <c r="T1098" t="n">
        <v>2</v>
      </c>
      <c r="U1098" t="n">
        <v>2</v>
      </c>
      <c r="V1098" s="2" t="inlineStr">
        <is>
          <t>Talltita</t>
        </is>
      </c>
      <c r="W1098">
        <f>HYPERLINK("https://klasma.github.io/Logging_2083/artfynd/A 53915-2022 artfynd.xlsx", "A 53915-2022")</f>
        <v/>
      </c>
      <c r="X1098">
        <f>HYPERLINK("https://klasma.github.io/Logging_2083/kartor/A 53915-2022 karta.png", "A 53915-2022")</f>
        <v/>
      </c>
      <c r="Y1098">
        <f>HYPERLINK("https://klasma.github.io/Logging_2083/kartor_geotiff/A 53915-2022 georefererad karta.tif", "A 53915-2022")</f>
        <v/>
      </c>
      <c r="AA1098">
        <f>HYPERLINK("https://klasma.github.io/Logging_2083/klagomål/A 53915-2022 FSC-klagomål.docx", "A 53915-2022")</f>
        <v/>
      </c>
      <c r="AB1098">
        <f>HYPERLINK("https://klasma.github.io/Logging_2083/klagomålsmail/A 53915-2022 FSC-klagomål mail.docx", "A 53915-2022")</f>
        <v/>
      </c>
      <c r="AC1098">
        <f>HYPERLINK("https://klasma.github.io/Logging_2083/tillsyn/A 53915-2022 tillsynsbegäran.docx", "A 53915-2022")</f>
        <v/>
      </c>
      <c r="AD1098">
        <f>HYPERLINK("https://klasma.github.io/Logging_2083/tillsynsmail/A 53915-2022 tillsynsbegäran mail.docx", "A 53915-2022")</f>
        <v/>
      </c>
      <c r="AE1098">
        <f>HYPERLINK("https://klasma.github.io/Logging_2083/fåglar/A 53915-2022 prioriterade fågelarter.docx", "A 53915-2022")</f>
        <v/>
      </c>
    </row>
    <row r="1099" ht="15" customHeight="1">
      <c r="A1099" t="inlineStr">
        <is>
          <t>A 51502-2022</t>
        </is>
      </c>
      <c r="B1099" t="inlineStr">
        <is>
          <t>avverkningsanmälan</t>
        </is>
      </c>
      <c r="C1099" t="inlineStr">
        <is>
          <t>Föryngringsavverkning</t>
        </is>
      </c>
      <c r="D1099" s="1" t="n">
        <v>44869</v>
      </c>
      <c r="E1099" s="1" t="n">
        <v>46319</v>
      </c>
      <c r="F1099" t="inlineStr">
        <is>
          <t>DALARNAS LÄN</t>
        </is>
      </c>
      <c r="G1099" t="inlineStr">
        <is>
          <t>LEKSAND</t>
        </is>
      </c>
      <c r="H1099" t="inlineStr">
        <is>
          <t>Bergvik skog väst AB</t>
        </is>
      </c>
      <c r="I1099" t="n">
        <v>2.4</v>
      </c>
      <c r="J1099" t="n">
        <v>0</v>
      </c>
      <c r="K1099" t="n">
        <v>0</v>
      </c>
      <c r="L1099" t="n">
        <v>0</v>
      </c>
      <c r="M1099" t="n">
        <v>1</v>
      </c>
      <c r="N1099" t="n">
        <v>0</v>
      </c>
      <c r="O1099" t="n">
        <v>0</v>
      </c>
      <c r="P1099" t="n">
        <v>0</v>
      </c>
      <c r="Q1099" t="n">
        <v>1</v>
      </c>
      <c r="R1099" t="n">
        <v>1</v>
      </c>
      <c r="S1099" t="n">
        <v>1</v>
      </c>
      <c r="T1099" t="n">
        <v>1</v>
      </c>
      <c r="U1099" t="n">
        <v>0</v>
      </c>
      <c r="V1099" s="2" t="inlineStr">
        <is>
          <t>Garnlav</t>
        </is>
      </c>
      <c r="W1099">
        <f>HYPERLINK("https://klasma.github.io/Logging_2029/artfynd/A 51502-2022 artfynd.xlsx", "A 51502-2022")</f>
        <v/>
      </c>
      <c r="X1099">
        <f>HYPERLINK("https://klasma.github.io/Logging_2029/kartor/A 51502-2022 karta.png", "A 51502-2022")</f>
        <v/>
      </c>
      <c r="Y1099">
        <f>HYPERLINK("https://klasma.github.io/Logging_2029/kartor_geotiff/A 51502-2022 georefererad karta.tif", "A 51502-2022")</f>
        <v/>
      </c>
      <c r="AA1099">
        <f>HYPERLINK("https://klasma.github.io/Logging_2029/klagomål/A 51502-2022 FSC-klagomål.docx", "A 51502-2022")</f>
        <v/>
      </c>
      <c r="AB1099">
        <f>HYPERLINK("https://klasma.github.io/Logging_2029/klagomålsmail/A 51502-2022 FSC-klagomål mail.docx", "A 51502-2022")</f>
        <v/>
      </c>
      <c r="AC1099">
        <f>HYPERLINK("https://klasma.github.io/Logging_2029/tillsyn/A 51502-2022 tillsynsbegäran.docx", "A 51502-2022")</f>
        <v/>
      </c>
      <c r="AD1099">
        <f>HYPERLINK("https://klasma.github.io/Logging_2029/tillsynsmail/A 51502-2022 tillsynsbegäran mail.docx", "A 51502-2022")</f>
        <v/>
      </c>
    </row>
    <row r="1100" ht="15" customHeight="1">
      <c r="A1100" t="inlineStr">
        <is>
          <t>A 9803-2022</t>
        </is>
      </c>
      <c r="B1100" t="inlineStr">
        <is>
          <t>avverkningsanmälan</t>
        </is>
      </c>
      <c r="C1100" t="inlineStr">
        <is>
          <t>Föryngringsavverkning</t>
        </is>
      </c>
      <c r="D1100" s="1" t="n">
        <v>44620</v>
      </c>
      <c r="E1100" s="1" t="n">
        <v>46319</v>
      </c>
      <c r="F1100" t="inlineStr">
        <is>
          <t>DALARNAS LÄN</t>
        </is>
      </c>
      <c r="G1100" t="inlineStr">
        <is>
          <t>RÄTTVIK</t>
        </is>
      </c>
      <c r="I1100" t="n">
        <v>0.7</v>
      </c>
      <c r="J1100" t="n">
        <v>1</v>
      </c>
      <c r="K1100" t="n">
        <v>0</v>
      </c>
      <c r="L1100" t="n">
        <v>0</v>
      </c>
      <c r="M1100" t="n">
        <v>0</v>
      </c>
      <c r="N1100" t="n">
        <v>0</v>
      </c>
      <c r="O1100" t="n">
        <v>0</v>
      </c>
      <c r="P1100" t="n">
        <v>0</v>
      </c>
      <c r="Q1100" t="n">
        <v>0</v>
      </c>
      <c r="R1100" t="n">
        <v>0</v>
      </c>
      <c r="S1100" t="n">
        <v>1</v>
      </c>
      <c r="T1100" t="n">
        <v>1</v>
      </c>
      <c r="U1100" t="n">
        <v>0</v>
      </c>
      <c r="V1100" s="2" t="inlineStr">
        <is>
          <t>Utter</t>
        </is>
      </c>
      <c r="W1100">
        <f>HYPERLINK("https://klasma.github.io/Logging_2031/artfynd/A 9803-2022 artfynd.xlsx", "A 9803-2022")</f>
        <v/>
      </c>
      <c r="X1100">
        <f>HYPERLINK("https://klasma.github.io/Logging_2031/kartor/A 9803-2022 karta.png", "A 9803-2022")</f>
        <v/>
      </c>
      <c r="Y1100">
        <f>HYPERLINK("https://klasma.github.io/Logging_2031/kartor_geotiff/A 9803-2022 georefererad karta.tif", "A 9803-2022")</f>
        <v/>
      </c>
      <c r="AA1100">
        <f>HYPERLINK("https://klasma.github.io/Logging_2031/klagomål/A 9803-2022 FSC-klagomål.docx", "A 9803-2022")</f>
        <v/>
      </c>
      <c r="AB1100">
        <f>HYPERLINK("https://klasma.github.io/Logging_2031/klagomålsmail/A 9803-2022 FSC-klagomål mail.docx", "A 9803-2022")</f>
        <v/>
      </c>
      <c r="AC1100">
        <f>HYPERLINK("https://klasma.github.io/Logging_2031/tillsyn/A 9803-2022 tillsynsbegäran.docx", "A 9803-2022")</f>
        <v/>
      </c>
      <c r="AD1100">
        <f>HYPERLINK("https://klasma.github.io/Logging_2031/tillsynsmail/A 9803-2022 tillsynsbegäran mail.docx", "A 9803-2022")</f>
        <v/>
      </c>
    </row>
    <row r="1101" ht="15" customHeight="1">
      <c r="A1101" t="inlineStr">
        <is>
          <t>A 65500-2021</t>
        </is>
      </c>
      <c r="B1101" t="inlineStr">
        <is>
          <t>avverkningsanmälan</t>
        </is>
      </c>
      <c r="C1101" t="inlineStr">
        <is>
          <t>Föryngringsavverkning</t>
        </is>
      </c>
      <c r="D1101" s="1" t="n">
        <v>44516</v>
      </c>
      <c r="E1101" s="1" t="n">
        <v>46319</v>
      </c>
      <c r="F1101" t="inlineStr">
        <is>
          <t>DALARNAS LÄN</t>
        </is>
      </c>
      <c r="G1101" t="inlineStr">
        <is>
          <t>ÄLVDALEN</t>
        </is>
      </c>
      <c r="H1101" t="inlineStr">
        <is>
          <t>Sveaskog</t>
        </is>
      </c>
      <c r="I1101" t="n">
        <v>10.4</v>
      </c>
      <c r="J1101" t="n">
        <v>1</v>
      </c>
      <c r="K1101" t="n">
        <v>0</v>
      </c>
      <c r="L1101" t="n">
        <v>1</v>
      </c>
      <c r="M1101" t="n">
        <v>0</v>
      </c>
      <c r="N1101" t="n">
        <v>0</v>
      </c>
      <c r="O1101" t="n">
        <v>0</v>
      </c>
      <c r="P1101" t="n">
        <v>0</v>
      </c>
      <c r="Q1101" t="n">
        <v>1</v>
      </c>
      <c r="R1101" t="n">
        <v>0</v>
      </c>
      <c r="S1101" t="n">
        <v>1</v>
      </c>
      <c r="T1101" t="n">
        <v>1</v>
      </c>
      <c r="U1101" t="n">
        <v>1</v>
      </c>
      <c r="V1101" s="2" t="inlineStr">
        <is>
          <t>Varglav</t>
        </is>
      </c>
      <c r="W1101">
        <f>HYPERLINK("https://klasma.github.io/Logging_2039/artfynd/A 65500-2021 artfynd.xlsx", "A 65500-2021")</f>
        <v/>
      </c>
      <c r="X1101">
        <f>HYPERLINK("https://klasma.github.io/Logging_2039/kartor/A 65500-2021 karta.png", "A 65500-2021")</f>
        <v/>
      </c>
      <c r="Y1101">
        <f>HYPERLINK("https://klasma.github.io/Logging_2039/kartor_geotiff/A 65500-2021 georefererad karta.tif", "A 65500-2021")</f>
        <v/>
      </c>
      <c r="AA1101">
        <f>HYPERLINK("https://klasma.github.io/Logging_2039/klagomål/A 65500-2021 FSC-klagomål.docx", "A 65500-2021")</f>
        <v/>
      </c>
      <c r="AB1101">
        <f>HYPERLINK("https://klasma.github.io/Logging_2039/klagomålsmail/A 65500-2021 FSC-klagomål mail.docx", "A 65500-2021")</f>
        <v/>
      </c>
      <c r="AC1101">
        <f>HYPERLINK("https://klasma.github.io/Logging_2039/tillsyn/A 65500-2021 tillsynsbegäran.docx", "A 65500-2021")</f>
        <v/>
      </c>
      <c r="AD1101">
        <f>HYPERLINK("https://klasma.github.io/Logging_2039/tillsynsmail/A 65500-2021 tillsynsbegäran mail.docx", "A 65500-2021")</f>
        <v/>
      </c>
    </row>
    <row r="1102" ht="15" customHeight="1">
      <c r="A1102" t="inlineStr">
        <is>
          <t>A 46740-2022</t>
        </is>
      </c>
      <c r="B1102" t="inlineStr">
        <is>
          <t>avverkningsanmälan</t>
        </is>
      </c>
      <c r="C1102" t="inlineStr">
        <is>
          <t>Föryngringsavverkning</t>
        </is>
      </c>
      <c r="D1102" s="1" t="n">
        <v>44851</v>
      </c>
      <c r="E1102" s="1" t="n">
        <v>46319</v>
      </c>
      <c r="F1102" t="inlineStr">
        <is>
          <t>DALARNAS LÄN</t>
        </is>
      </c>
      <c r="G1102" t="inlineStr">
        <is>
          <t>FALUN</t>
        </is>
      </c>
      <c r="I1102" t="n">
        <v>0.4</v>
      </c>
      <c r="J1102" t="n">
        <v>1</v>
      </c>
      <c r="K1102" t="n">
        <v>0</v>
      </c>
      <c r="L1102" t="n">
        <v>0</v>
      </c>
      <c r="M1102" t="n">
        <v>0</v>
      </c>
      <c r="N1102" t="n">
        <v>1</v>
      </c>
      <c r="O1102" t="n">
        <v>0</v>
      </c>
      <c r="P1102" t="n">
        <v>0</v>
      </c>
      <c r="Q1102" t="n">
        <v>1</v>
      </c>
      <c r="R1102" t="n">
        <v>1</v>
      </c>
      <c r="S1102" t="n">
        <v>1</v>
      </c>
      <c r="T1102" t="n">
        <v>1</v>
      </c>
      <c r="U1102" t="n">
        <v>1</v>
      </c>
      <c r="V1102" s="2" t="inlineStr">
        <is>
          <t>Pärluggla</t>
        </is>
      </c>
      <c r="W1102">
        <f>HYPERLINK("https://klasma.github.io/Logging_2080/artfynd/A 46740-2022 artfynd.xlsx", "A 46740-2022")</f>
        <v/>
      </c>
      <c r="X1102">
        <f>HYPERLINK("https://klasma.github.io/Logging_2080/kartor/A 46740-2022 karta.png", "A 46740-2022")</f>
        <v/>
      </c>
      <c r="Y1102">
        <f>HYPERLINK("https://klasma.github.io/Logging_2080/kartor_geotiff/A 46740-2022 georefererad karta.tif", "A 46740-2022")</f>
        <v/>
      </c>
      <c r="AA1102">
        <f>HYPERLINK("https://klasma.github.io/Logging_2080/klagomål/A 46740-2022 FSC-klagomål.docx", "A 46740-2022")</f>
        <v/>
      </c>
      <c r="AB1102">
        <f>HYPERLINK("https://klasma.github.io/Logging_2080/klagomålsmail/A 46740-2022 FSC-klagomål mail.docx", "A 46740-2022")</f>
        <v/>
      </c>
      <c r="AC1102">
        <f>HYPERLINK("https://klasma.github.io/Logging_2080/tillsyn/A 46740-2022 tillsynsbegäran.docx", "A 46740-2022")</f>
        <v/>
      </c>
      <c r="AD1102">
        <f>HYPERLINK("https://klasma.github.io/Logging_2080/tillsynsmail/A 46740-2022 tillsynsbegäran mail.docx", "A 46740-2022")</f>
        <v/>
      </c>
      <c r="AE1102">
        <f>HYPERLINK("https://klasma.github.io/Logging_2080/fåglar/A 46740-2022 prioriterade fågelarter.docx", "A 46740-2022")</f>
        <v/>
      </c>
    </row>
    <row r="1103" ht="15" customHeight="1">
      <c r="A1103" t="inlineStr">
        <is>
          <t>A 4478-2022</t>
        </is>
      </c>
      <c r="B1103" t="inlineStr">
        <is>
          <t>avverkningsanmälan</t>
        </is>
      </c>
      <c r="C1103" t="inlineStr">
        <is>
          <t>Föryngringsavverkning</t>
        </is>
      </c>
      <c r="D1103" s="1" t="n">
        <v>44589</v>
      </c>
      <c r="E1103" s="1" t="n">
        <v>46319</v>
      </c>
      <c r="F1103" t="inlineStr">
        <is>
          <t>DALARNAS LÄN</t>
        </is>
      </c>
      <c r="G1103" t="inlineStr">
        <is>
          <t>BORLÄNGE</t>
        </is>
      </c>
      <c r="I1103" t="n">
        <v>0.7</v>
      </c>
      <c r="J1103" t="n">
        <v>1</v>
      </c>
      <c r="K1103" t="n">
        <v>0</v>
      </c>
      <c r="L1103" t="n">
        <v>0</v>
      </c>
      <c r="M1103" t="n">
        <v>1</v>
      </c>
      <c r="N1103" t="n">
        <v>0</v>
      </c>
      <c r="O1103" t="n">
        <v>0</v>
      </c>
      <c r="P1103" t="n">
        <v>0</v>
      </c>
      <c r="Q1103" t="n">
        <v>1</v>
      </c>
      <c r="R1103" t="n">
        <v>1</v>
      </c>
      <c r="S1103" t="n">
        <v>1</v>
      </c>
      <c r="T1103" t="n">
        <v>3</v>
      </c>
      <c r="U1103" t="n">
        <v>3</v>
      </c>
      <c r="V1103" s="2" t="inlineStr">
        <is>
          <t>Knärot</t>
        </is>
      </c>
      <c r="W1103">
        <f>HYPERLINK("https://klasma.github.io/Logging_2081/artfynd/A 4478-2022 artfynd.xlsx", "A 4478-2022")</f>
        <v/>
      </c>
      <c r="X1103">
        <f>HYPERLINK("https://klasma.github.io/Logging_2081/kartor/A 4478-2022 karta.png", "A 4478-2022")</f>
        <v/>
      </c>
      <c r="Y1103">
        <f>HYPERLINK("https://klasma.github.io/Logging_2081/kartor_geotiff/A 4478-2022 georefererad karta.tif", "A 4478-2022")</f>
        <v/>
      </c>
      <c r="Z1103">
        <f>HYPERLINK("https://klasma.github.io/Logging_2081/knärot/A 4478-2022 karta knärot.png", "A 4478-2022")</f>
        <v/>
      </c>
      <c r="AA1103">
        <f>HYPERLINK("https://klasma.github.io/Logging_2081/klagomål/A 4478-2022 FSC-klagomål.docx", "A 4478-2022")</f>
        <v/>
      </c>
      <c r="AB1103">
        <f>HYPERLINK("https://klasma.github.io/Logging_2081/klagomålsmail/A 4478-2022 FSC-klagomål mail.docx", "A 4478-2022")</f>
        <v/>
      </c>
      <c r="AC1103">
        <f>HYPERLINK("https://klasma.github.io/Logging_2081/tillsyn/A 4478-2022 tillsynsbegäran.docx", "A 4478-2022")</f>
        <v/>
      </c>
      <c r="AD1103">
        <f>HYPERLINK("https://klasma.github.io/Logging_2081/tillsynsmail/A 4478-2022 tillsynsbegäran mail.docx", "A 4478-2022")</f>
        <v/>
      </c>
    </row>
    <row r="1104" ht="15" customHeight="1">
      <c r="A1104" t="inlineStr">
        <is>
          <t>A 63831-2021</t>
        </is>
      </c>
      <c r="B1104" t="inlineStr">
        <is>
          <t>avverkningsanmälan</t>
        </is>
      </c>
      <c r="C1104" t="inlineStr">
        <is>
          <t>Föryngringsavverkning</t>
        </is>
      </c>
      <c r="D1104" s="1" t="n">
        <v>44509</v>
      </c>
      <c r="E1104" s="1" t="n">
        <v>46319</v>
      </c>
      <c r="F1104" t="inlineStr">
        <is>
          <t>DALARNAS LÄN</t>
        </is>
      </c>
      <c r="G1104" t="inlineStr">
        <is>
          <t>LEKSAND</t>
        </is>
      </c>
      <c r="H1104" t="inlineStr">
        <is>
          <t>Bergvik skog väst AB</t>
        </is>
      </c>
      <c r="I1104" t="n">
        <v>2.6</v>
      </c>
      <c r="J1104" t="n">
        <v>1</v>
      </c>
      <c r="K1104" t="n">
        <v>0</v>
      </c>
      <c r="L1104" t="n">
        <v>1</v>
      </c>
      <c r="M1104" t="n">
        <v>0</v>
      </c>
      <c r="N1104" t="n">
        <v>0</v>
      </c>
      <c r="O1104" t="n">
        <v>0</v>
      </c>
      <c r="P1104" t="n">
        <v>0</v>
      </c>
      <c r="Q1104" t="n">
        <v>1</v>
      </c>
      <c r="R1104" t="n">
        <v>0</v>
      </c>
      <c r="S1104" t="n">
        <v>1</v>
      </c>
      <c r="T1104" t="n">
        <v>1</v>
      </c>
      <c r="U1104" t="n">
        <v>1</v>
      </c>
      <c r="V1104" s="2" t="inlineStr">
        <is>
          <t>Tretåig hackspett</t>
        </is>
      </c>
      <c r="W1104">
        <f>HYPERLINK("https://klasma.github.io/Logging_2029/artfynd/A 63831-2021 artfynd.xlsx", "A 63831-2021")</f>
        <v/>
      </c>
      <c r="X1104">
        <f>HYPERLINK("https://klasma.github.io/Logging_2029/kartor/A 63831-2021 karta.png", "A 63831-2021")</f>
        <v/>
      </c>
      <c r="Y1104">
        <f>HYPERLINK("https://klasma.github.io/Logging_2029/kartor_geotiff/A 63831-2021 georefererad karta.tif", "A 63831-2021")</f>
        <v/>
      </c>
      <c r="AA1104">
        <f>HYPERLINK("https://klasma.github.io/Logging_2029/klagomål/A 63831-2021 FSC-klagomål.docx", "A 63831-2021")</f>
        <v/>
      </c>
      <c r="AB1104">
        <f>HYPERLINK("https://klasma.github.io/Logging_2029/klagomålsmail/A 63831-2021 FSC-klagomål mail.docx", "A 63831-2021")</f>
        <v/>
      </c>
      <c r="AC1104">
        <f>HYPERLINK("https://klasma.github.io/Logging_2029/tillsyn/A 63831-2021 tillsynsbegäran.docx", "A 63831-2021")</f>
        <v/>
      </c>
      <c r="AD1104">
        <f>HYPERLINK("https://klasma.github.io/Logging_2029/tillsynsmail/A 63831-2021 tillsynsbegäran mail.docx", "A 63831-2021")</f>
        <v/>
      </c>
      <c r="AE1104">
        <f>HYPERLINK("https://klasma.github.io/Logging_2029/fåglar/A 63831-2021 prioriterade fågelarter.docx", "A 63831-2021")</f>
        <v/>
      </c>
    </row>
    <row r="1105" ht="15" customHeight="1">
      <c r="A1105" t="inlineStr">
        <is>
          <t>A 10626-2022</t>
        </is>
      </c>
      <c r="B1105" t="inlineStr">
        <is>
          <t>avverkningsanmälan</t>
        </is>
      </c>
      <c r="C1105" t="inlineStr">
        <is>
          <t>Föryngringsavverkning</t>
        </is>
      </c>
      <c r="D1105" s="1" t="n">
        <v>44627</v>
      </c>
      <c r="E1105" s="1" t="n">
        <v>46319</v>
      </c>
      <c r="F1105" t="inlineStr">
        <is>
          <t>DALARNAS LÄN</t>
        </is>
      </c>
      <c r="G1105" t="inlineStr">
        <is>
          <t>RÄTTVIK</t>
        </is>
      </c>
      <c r="I1105" t="n">
        <v>2.1</v>
      </c>
      <c r="J1105" t="n">
        <v>0</v>
      </c>
      <c r="K1105" t="n">
        <v>1</v>
      </c>
      <c r="L1105" t="n">
        <v>0</v>
      </c>
      <c r="M1105" t="n">
        <v>0</v>
      </c>
      <c r="N1105" t="n">
        <v>0</v>
      </c>
      <c r="O1105" t="n">
        <v>0</v>
      </c>
      <c r="P1105" t="n">
        <v>0</v>
      </c>
      <c r="Q1105" t="n">
        <v>0</v>
      </c>
      <c r="R1105" t="n">
        <v>0</v>
      </c>
      <c r="S1105" t="n">
        <v>1</v>
      </c>
      <c r="T1105" t="n">
        <v>1</v>
      </c>
      <c r="U1105" t="n">
        <v>1</v>
      </c>
      <c r="V1105" s="2" t="inlineStr">
        <is>
          <t>Rödgul trumpetsvamp</t>
        </is>
      </c>
      <c r="W1105">
        <f>HYPERLINK("https://klasma.github.io/Logging_2031/artfynd/A 10626-2022 artfynd.xlsx", "A 10626-2022")</f>
        <v/>
      </c>
      <c r="X1105">
        <f>HYPERLINK("https://klasma.github.io/Logging_2031/kartor/A 10626-2022 karta.png", "A 10626-2022")</f>
        <v/>
      </c>
      <c r="Y1105">
        <f>HYPERLINK("https://klasma.github.io/Logging_2031/kartor_geotiff/A 10626-2022 georefererad karta.tif", "A 10626-2022")</f>
        <v/>
      </c>
      <c r="AA1105">
        <f>HYPERLINK("https://klasma.github.io/Logging_2031/klagomål/A 10626-2022 FSC-klagomål.docx", "A 10626-2022")</f>
        <v/>
      </c>
      <c r="AB1105">
        <f>HYPERLINK("https://klasma.github.io/Logging_2031/klagomålsmail/A 10626-2022 FSC-klagomål mail.docx", "A 10626-2022")</f>
        <v/>
      </c>
      <c r="AC1105">
        <f>HYPERLINK("https://klasma.github.io/Logging_2031/tillsyn/A 10626-2022 tillsynsbegäran.docx", "A 10626-2022")</f>
        <v/>
      </c>
      <c r="AD1105">
        <f>HYPERLINK("https://klasma.github.io/Logging_2031/tillsynsmail/A 10626-2022 tillsynsbegäran mail.docx", "A 10626-2022")</f>
        <v/>
      </c>
    </row>
    <row r="1106" ht="15" customHeight="1">
      <c r="A1106" t="inlineStr">
        <is>
          <t>A 927-2022</t>
        </is>
      </c>
      <c r="B1106" t="inlineStr">
        <is>
          <t>avverkningsanmälan</t>
        </is>
      </c>
      <c r="C1106" t="inlineStr">
        <is>
          <t>Föryngringsavverkning</t>
        </is>
      </c>
      <c r="D1106" s="1" t="n">
        <v>44571</v>
      </c>
      <c r="E1106" s="1" t="n">
        <v>46319</v>
      </c>
      <c r="F1106" t="inlineStr">
        <is>
          <t>DALARNAS LÄN</t>
        </is>
      </c>
      <c r="G1106" t="inlineStr">
        <is>
          <t>LUDVIKA</t>
        </is>
      </c>
      <c r="H1106" t="inlineStr">
        <is>
          <t>Allmännings- och besparingsskogar</t>
        </is>
      </c>
      <c r="I1106" t="n">
        <v>2.4</v>
      </c>
      <c r="J1106" t="n">
        <v>0</v>
      </c>
      <c r="K1106" t="n">
        <v>0</v>
      </c>
      <c r="L1106" t="n">
        <v>1</v>
      </c>
      <c r="M1106" t="n">
        <v>0</v>
      </c>
      <c r="N1106" t="n">
        <v>0</v>
      </c>
      <c r="O1106" t="n">
        <v>0</v>
      </c>
      <c r="P1106" t="n">
        <v>0</v>
      </c>
      <c r="Q1106" t="n">
        <v>1</v>
      </c>
      <c r="R1106" t="n">
        <v>0</v>
      </c>
      <c r="S1106" t="n">
        <v>1</v>
      </c>
      <c r="T1106" t="n">
        <v>1</v>
      </c>
      <c r="U1106" t="n">
        <v>0</v>
      </c>
      <c r="V1106" s="2" t="inlineStr">
        <is>
          <t>Brunklöver</t>
        </is>
      </c>
      <c r="W1106">
        <f>HYPERLINK("https://klasma.github.io/Logging_2085/artfynd/A 927-2022 artfynd.xlsx", "A 927-2022")</f>
        <v/>
      </c>
      <c r="X1106">
        <f>HYPERLINK("https://klasma.github.io/Logging_2085/kartor/A 927-2022 karta.png", "A 927-2022")</f>
        <v/>
      </c>
      <c r="Y1106">
        <f>HYPERLINK("https://klasma.github.io/Logging_2085/kartor_geotiff/A 927-2022 georefererad karta.tif", "A 927-2022")</f>
        <v/>
      </c>
      <c r="AA1106">
        <f>HYPERLINK("https://klasma.github.io/Logging_2085/klagomål/A 927-2022 FSC-klagomål.docx", "A 927-2022")</f>
        <v/>
      </c>
      <c r="AB1106">
        <f>HYPERLINK("https://klasma.github.io/Logging_2085/klagomålsmail/A 927-2022 FSC-klagomål mail.docx", "A 927-2022")</f>
        <v/>
      </c>
      <c r="AC1106">
        <f>HYPERLINK("https://klasma.github.io/Logging_2085/tillsyn/A 927-2022 tillsynsbegäran.docx", "A 927-2022")</f>
        <v/>
      </c>
      <c r="AD1106">
        <f>HYPERLINK("https://klasma.github.io/Logging_2085/tillsynsmail/A 927-2022 tillsynsbegäran mail.docx", "A 927-2022")</f>
        <v/>
      </c>
    </row>
    <row r="1107" ht="15" customHeight="1">
      <c r="A1107" t="inlineStr">
        <is>
          <t>A 734-2022</t>
        </is>
      </c>
      <c r="B1107" t="inlineStr">
        <is>
          <t>avverkningsanmälan</t>
        </is>
      </c>
      <c r="C1107" t="inlineStr">
        <is>
          <t>Föryngringsavverkning</t>
        </is>
      </c>
      <c r="D1107" s="1" t="n">
        <v>44568</v>
      </c>
      <c r="E1107" s="1" t="n">
        <v>46319</v>
      </c>
      <c r="F1107" t="inlineStr">
        <is>
          <t>DALARNAS LÄN</t>
        </is>
      </c>
      <c r="G1107" t="inlineStr">
        <is>
          <t>RÄTTVIK</t>
        </is>
      </c>
      <c r="H1107" t="inlineStr">
        <is>
          <t>Sveaskog</t>
        </is>
      </c>
      <c r="I1107" t="n">
        <v>1.5</v>
      </c>
      <c r="J1107" t="n">
        <v>1</v>
      </c>
      <c r="K1107" t="n">
        <v>0</v>
      </c>
      <c r="L1107" t="n">
        <v>0</v>
      </c>
      <c r="M1107" t="n">
        <v>1</v>
      </c>
      <c r="N1107" t="n">
        <v>0</v>
      </c>
      <c r="O1107" t="n">
        <v>0</v>
      </c>
      <c r="P1107" t="n">
        <v>0</v>
      </c>
      <c r="Q1107" t="n">
        <v>1</v>
      </c>
      <c r="R1107" t="n">
        <v>1</v>
      </c>
      <c r="S1107" t="n">
        <v>1</v>
      </c>
      <c r="T1107" t="n">
        <v>1</v>
      </c>
      <c r="U1107" t="n">
        <v>1</v>
      </c>
      <c r="V1107" s="2" t="inlineStr">
        <is>
          <t>Knärot</t>
        </is>
      </c>
      <c r="W1107">
        <f>HYPERLINK("https://klasma.github.io/Logging_2031/artfynd/A 734-2022 artfynd.xlsx", "A 734-2022")</f>
        <v/>
      </c>
      <c r="X1107">
        <f>HYPERLINK("https://klasma.github.io/Logging_2031/kartor/A 734-2022 karta.png", "A 734-2022")</f>
        <v/>
      </c>
      <c r="Y1107">
        <f>HYPERLINK("https://klasma.github.io/Logging_2031/kartor_geotiff/A 734-2022 georefererad karta.tif", "A 734-2022")</f>
        <v/>
      </c>
      <c r="Z1107">
        <f>HYPERLINK("https://klasma.github.io/Logging_2031/knärot/A 734-2022 karta knärot.png", "A 734-2022")</f>
        <v/>
      </c>
      <c r="AA1107">
        <f>HYPERLINK("https://klasma.github.io/Logging_2031/klagomål/A 734-2022 FSC-klagomål.docx", "A 734-2022")</f>
        <v/>
      </c>
      <c r="AB1107">
        <f>HYPERLINK("https://klasma.github.io/Logging_2031/klagomålsmail/A 734-2022 FSC-klagomål mail.docx", "A 734-2022")</f>
        <v/>
      </c>
      <c r="AC1107">
        <f>HYPERLINK("https://klasma.github.io/Logging_2031/tillsyn/A 734-2022 tillsynsbegäran.docx", "A 734-2022")</f>
        <v/>
      </c>
      <c r="AD1107">
        <f>HYPERLINK("https://klasma.github.io/Logging_2031/tillsynsmail/A 734-2022 tillsynsbegäran mail.docx", "A 734-2022")</f>
        <v/>
      </c>
    </row>
    <row r="1108" ht="15" customHeight="1">
      <c r="A1108" t="inlineStr">
        <is>
          <t>A 13051-2022</t>
        </is>
      </c>
      <c r="B1108" t="inlineStr">
        <is>
          <t>avverkningsanmälan</t>
        </is>
      </c>
      <c r="C1108" t="inlineStr">
        <is>
          <t>Föryngringsavverkning</t>
        </is>
      </c>
      <c r="D1108" s="1" t="n">
        <v>44643</v>
      </c>
      <c r="E1108" s="1" t="n">
        <v>46319</v>
      </c>
      <c r="F1108" t="inlineStr">
        <is>
          <t>DALARNAS LÄN</t>
        </is>
      </c>
      <c r="G1108" t="inlineStr">
        <is>
          <t>LUDVIKA</t>
        </is>
      </c>
      <c r="I1108" t="n">
        <v>1.4</v>
      </c>
      <c r="J1108" t="n">
        <v>1</v>
      </c>
      <c r="K1108" t="n">
        <v>0</v>
      </c>
      <c r="L1108" t="n">
        <v>0</v>
      </c>
      <c r="M1108" t="n">
        <v>0</v>
      </c>
      <c r="N1108" t="n">
        <v>1</v>
      </c>
      <c r="O1108" t="n">
        <v>0</v>
      </c>
      <c r="P1108" t="n">
        <v>0</v>
      </c>
      <c r="Q1108" t="n">
        <v>1</v>
      </c>
      <c r="R1108" t="n">
        <v>1</v>
      </c>
      <c r="S1108" t="n">
        <v>1</v>
      </c>
      <c r="T1108" t="n">
        <v>1</v>
      </c>
      <c r="U1108" t="n">
        <v>1</v>
      </c>
      <c r="V1108" s="2" t="inlineStr">
        <is>
          <t>Mosippa</t>
        </is>
      </c>
      <c r="W1108">
        <f>HYPERLINK("https://klasma.github.io/Logging_2085/artfynd/A 13051-2022 artfynd.xlsx", "A 13051-2022")</f>
        <v/>
      </c>
      <c r="X1108">
        <f>HYPERLINK("https://klasma.github.io/Logging_2085/kartor/A 13051-2022 karta.png", "A 13051-2022")</f>
        <v/>
      </c>
      <c r="Y1108">
        <f>HYPERLINK("https://klasma.github.io/Logging_2085/kartor_geotiff/A 13051-2022 georefererad karta.tif", "A 13051-2022")</f>
        <v/>
      </c>
      <c r="AA1108">
        <f>HYPERLINK("https://klasma.github.io/Logging_2085/klagomål/A 13051-2022 FSC-klagomål.docx", "A 13051-2022")</f>
        <v/>
      </c>
      <c r="AB1108">
        <f>HYPERLINK("https://klasma.github.io/Logging_2085/klagomålsmail/A 13051-2022 FSC-klagomål mail.docx", "A 13051-2022")</f>
        <v/>
      </c>
      <c r="AC1108">
        <f>HYPERLINK("https://klasma.github.io/Logging_2085/tillsyn/A 13051-2022 tillsynsbegäran.docx", "A 13051-2022")</f>
        <v/>
      </c>
      <c r="AD1108">
        <f>HYPERLINK("https://klasma.github.io/Logging_2085/tillsynsmail/A 13051-2022 tillsynsbegäran mail.docx", "A 13051-2022")</f>
        <v/>
      </c>
    </row>
    <row r="1109" ht="15" customHeight="1">
      <c r="A1109" t="inlineStr">
        <is>
          <t>A 1666-2022</t>
        </is>
      </c>
      <c r="B1109" t="inlineStr">
        <is>
          <t>avverkningsanmälan</t>
        </is>
      </c>
      <c r="C1109" t="inlineStr">
        <is>
          <t>Föryngringsavverkning</t>
        </is>
      </c>
      <c r="D1109" s="1" t="n">
        <v>44574</v>
      </c>
      <c r="E1109" s="1" t="n">
        <v>46319</v>
      </c>
      <c r="F1109" t="inlineStr">
        <is>
          <t>DALARNAS LÄN</t>
        </is>
      </c>
      <c r="G1109" t="inlineStr">
        <is>
          <t>HEDEMORA</t>
        </is>
      </c>
      <c r="H1109" t="inlineStr">
        <is>
          <t>Sveaskog</t>
        </is>
      </c>
      <c r="I1109" t="n">
        <v>1.3</v>
      </c>
      <c r="J1109" t="n">
        <v>1</v>
      </c>
      <c r="K1109" t="n">
        <v>0</v>
      </c>
      <c r="L1109" t="n">
        <v>0</v>
      </c>
      <c r="M1109" t="n">
        <v>0</v>
      </c>
      <c r="N1109" t="n">
        <v>0</v>
      </c>
      <c r="O1109" t="n">
        <v>0</v>
      </c>
      <c r="P1109" t="n">
        <v>0</v>
      </c>
      <c r="Q1109" t="n">
        <v>0</v>
      </c>
      <c r="R1109" t="n">
        <v>0</v>
      </c>
      <c r="S1109" t="n">
        <v>1</v>
      </c>
      <c r="T1109" t="n">
        <v>1</v>
      </c>
      <c r="U1109" t="n">
        <v>1</v>
      </c>
      <c r="V1109" s="2" t="inlineStr">
        <is>
          <t>Fläcknycklar</t>
        </is>
      </c>
      <c r="W1109">
        <f>HYPERLINK("https://klasma.github.io/Logging_2083/artfynd/A 1666-2022 artfynd.xlsx", "A 1666-2022")</f>
        <v/>
      </c>
      <c r="X1109">
        <f>HYPERLINK("https://klasma.github.io/Logging_2083/kartor/A 1666-2022 karta.png", "A 1666-2022")</f>
        <v/>
      </c>
      <c r="Y1109">
        <f>HYPERLINK("https://klasma.github.io/Logging_2083/kartor_geotiff/A 1666-2022 georefererad karta.tif", "A 1666-2022")</f>
        <v/>
      </c>
      <c r="AA1109">
        <f>HYPERLINK("https://klasma.github.io/Logging_2083/klagomål/A 1666-2022 FSC-klagomål.docx", "A 1666-2022")</f>
        <v/>
      </c>
      <c r="AB1109">
        <f>HYPERLINK("https://klasma.github.io/Logging_2083/klagomålsmail/A 1666-2022 FSC-klagomål mail.docx", "A 1666-2022")</f>
        <v/>
      </c>
      <c r="AC1109">
        <f>HYPERLINK("https://klasma.github.io/Logging_2083/tillsyn/A 1666-2022 tillsynsbegäran.docx", "A 1666-2022")</f>
        <v/>
      </c>
      <c r="AD1109">
        <f>HYPERLINK("https://klasma.github.io/Logging_2083/tillsynsmail/A 1666-2022 tillsynsbegäran mail.docx", "A 1666-2022")</f>
        <v/>
      </c>
    </row>
    <row r="1110" ht="15" customHeight="1">
      <c r="A1110" t="inlineStr">
        <is>
          <t>A 53916-2022</t>
        </is>
      </c>
      <c r="B1110" t="inlineStr">
        <is>
          <t>avverkningsanmälan</t>
        </is>
      </c>
      <c r="C1110" t="inlineStr">
        <is>
          <t>Föryngringsavverkning</t>
        </is>
      </c>
      <c r="D1110" s="1" t="n">
        <v>44880</v>
      </c>
      <c r="E1110" s="1" t="n">
        <v>46319</v>
      </c>
      <c r="F1110" t="inlineStr">
        <is>
          <t>DALARNAS LÄN</t>
        </is>
      </c>
      <c r="G1110" t="inlineStr">
        <is>
          <t>HEDEMORA</t>
        </is>
      </c>
      <c r="H1110" t="inlineStr">
        <is>
          <t>Sveaskog</t>
        </is>
      </c>
      <c r="I1110" t="n">
        <v>12.1</v>
      </c>
      <c r="J1110" t="n">
        <v>1</v>
      </c>
      <c r="K1110" t="n">
        <v>0</v>
      </c>
      <c r="L1110" t="n">
        <v>0</v>
      </c>
      <c r="M1110" t="n">
        <v>0</v>
      </c>
      <c r="N1110" t="n">
        <v>0</v>
      </c>
      <c r="O1110" t="n">
        <v>0</v>
      </c>
      <c r="P1110" t="n">
        <v>0</v>
      </c>
      <c r="Q1110" t="n">
        <v>0</v>
      </c>
      <c r="R1110" t="n">
        <v>0</v>
      </c>
      <c r="S1110" t="n">
        <v>1</v>
      </c>
      <c r="T1110" t="n">
        <v>2</v>
      </c>
      <c r="U1110" t="n">
        <v>2</v>
      </c>
      <c r="V1110" s="2" t="inlineStr">
        <is>
          <t>Spillkråka</t>
        </is>
      </c>
      <c r="W1110">
        <f>HYPERLINK("https://klasma.github.io/Logging_2083/artfynd/A 53916-2022 artfynd.xlsx", "A 53916-2022")</f>
        <v/>
      </c>
      <c r="X1110">
        <f>HYPERLINK("https://klasma.github.io/Logging_2083/kartor/A 53916-2022 karta.png", "A 53916-2022")</f>
        <v/>
      </c>
      <c r="Y1110">
        <f>HYPERLINK("https://klasma.github.io/Logging_2083/kartor_geotiff/A 53916-2022 georefererad karta.tif", "A 53916-2022")</f>
        <v/>
      </c>
      <c r="AA1110">
        <f>HYPERLINK("https://klasma.github.io/Logging_2083/klagomål/A 53916-2022 FSC-klagomål.docx", "A 53916-2022")</f>
        <v/>
      </c>
      <c r="AB1110">
        <f>HYPERLINK("https://klasma.github.io/Logging_2083/klagomålsmail/A 53916-2022 FSC-klagomål mail.docx", "A 53916-2022")</f>
        <v/>
      </c>
      <c r="AC1110">
        <f>HYPERLINK("https://klasma.github.io/Logging_2083/tillsyn/A 53916-2022 tillsynsbegäran.docx", "A 53916-2022")</f>
        <v/>
      </c>
      <c r="AD1110">
        <f>HYPERLINK("https://klasma.github.io/Logging_2083/tillsynsmail/A 53916-2022 tillsynsbegäran mail.docx", "A 53916-2022")</f>
        <v/>
      </c>
      <c r="AE1110">
        <f>HYPERLINK("https://klasma.github.io/Logging_2083/fåglar/A 53916-2022 prioriterade fågelarter.docx", "A 53916-2022")</f>
        <v/>
      </c>
    </row>
    <row r="1111" ht="15" customHeight="1">
      <c r="A1111" t="inlineStr">
        <is>
          <t>A 69726-2021</t>
        </is>
      </c>
      <c r="B1111" t="inlineStr">
        <is>
          <t>avverkningsanmälan</t>
        </is>
      </c>
      <c r="C1111" t="inlineStr">
        <is>
          <t>Föryngringsavverkning</t>
        </is>
      </c>
      <c r="D1111" s="1" t="n">
        <v>44532</v>
      </c>
      <c r="E1111" s="1" t="n">
        <v>46319</v>
      </c>
      <c r="F1111" t="inlineStr">
        <is>
          <t>DALARNAS LÄN</t>
        </is>
      </c>
      <c r="G1111" t="inlineStr">
        <is>
          <t>ÄLVDALEN</t>
        </is>
      </c>
      <c r="H1111" t="inlineStr">
        <is>
          <t>Sveaskog</t>
        </is>
      </c>
      <c r="I1111" t="n">
        <v>7.2</v>
      </c>
      <c r="J1111" t="n">
        <v>0</v>
      </c>
      <c r="K1111" t="n">
        <v>0</v>
      </c>
      <c r="L1111" t="n">
        <v>1</v>
      </c>
      <c r="M1111" t="n">
        <v>0</v>
      </c>
      <c r="N1111" t="n">
        <v>0</v>
      </c>
      <c r="O1111" t="n">
        <v>0</v>
      </c>
      <c r="P1111" t="n">
        <v>0</v>
      </c>
      <c r="Q1111" t="n">
        <v>1</v>
      </c>
      <c r="R1111" t="n">
        <v>0</v>
      </c>
      <c r="S1111" t="n">
        <v>1</v>
      </c>
      <c r="T1111" t="n">
        <v>1</v>
      </c>
      <c r="U1111" t="n">
        <v>1</v>
      </c>
      <c r="V1111" s="2" t="inlineStr">
        <is>
          <t>Dropptaggsvamp</t>
        </is>
      </c>
      <c r="W1111">
        <f>HYPERLINK("https://klasma.github.io/Logging_2039/artfynd/A 69726-2021 artfynd.xlsx", "A 69726-2021")</f>
        <v/>
      </c>
      <c r="X1111">
        <f>HYPERLINK("https://klasma.github.io/Logging_2039/kartor/A 69726-2021 karta.png", "A 69726-2021")</f>
        <v/>
      </c>
      <c r="Y1111">
        <f>HYPERLINK("https://klasma.github.io/Logging_2039/kartor_geotiff/A 69726-2021 georefererad karta.tif", "A 69726-2021")</f>
        <v/>
      </c>
      <c r="AA1111">
        <f>HYPERLINK("https://klasma.github.io/Logging_2039/klagomål/A 69726-2021 FSC-klagomål.docx", "A 69726-2021")</f>
        <v/>
      </c>
      <c r="AB1111">
        <f>HYPERLINK("https://klasma.github.io/Logging_2039/klagomålsmail/A 69726-2021 FSC-klagomål mail.docx", "A 69726-2021")</f>
        <v/>
      </c>
      <c r="AC1111">
        <f>HYPERLINK("https://klasma.github.io/Logging_2039/tillsyn/A 69726-2021 tillsynsbegäran.docx", "A 69726-2021")</f>
        <v/>
      </c>
      <c r="AD1111">
        <f>HYPERLINK("https://klasma.github.io/Logging_2039/tillsynsmail/A 69726-2021 tillsynsbegäran mail.docx", "A 69726-2021")</f>
        <v/>
      </c>
    </row>
    <row r="1112" ht="15" customHeight="1">
      <c r="A1112" t="inlineStr">
        <is>
          <t>A 68996-2021</t>
        </is>
      </c>
      <c r="B1112" t="inlineStr">
        <is>
          <t>avverkningsanmälan</t>
        </is>
      </c>
      <c r="C1112" t="inlineStr">
        <is>
          <t>Föryngringsavverkning</t>
        </is>
      </c>
      <c r="D1112" s="1" t="n">
        <v>44529</v>
      </c>
      <c r="E1112" s="1" t="n">
        <v>46319</v>
      </c>
      <c r="F1112" t="inlineStr">
        <is>
          <t>DALARNAS LÄN</t>
        </is>
      </c>
      <c r="G1112" t="inlineStr">
        <is>
          <t>RÄTTVIK</t>
        </is>
      </c>
      <c r="I1112" t="n">
        <v>1</v>
      </c>
      <c r="J1112" t="n">
        <v>0</v>
      </c>
      <c r="K1112" t="n">
        <v>0</v>
      </c>
      <c r="L1112" t="n">
        <v>1</v>
      </c>
      <c r="M1112" t="n">
        <v>0</v>
      </c>
      <c r="N1112" t="n">
        <v>0</v>
      </c>
      <c r="O1112" t="n">
        <v>0</v>
      </c>
      <c r="P1112" t="n">
        <v>0</v>
      </c>
      <c r="Q1112" t="n">
        <v>1</v>
      </c>
      <c r="R1112" t="n">
        <v>0</v>
      </c>
      <c r="S1112" t="n">
        <v>1</v>
      </c>
      <c r="T1112" t="n">
        <v>1</v>
      </c>
      <c r="U1112" t="n">
        <v>0</v>
      </c>
      <c r="V1112" s="2" t="inlineStr">
        <is>
          <t>Ullticka</t>
        </is>
      </c>
      <c r="W1112">
        <f>HYPERLINK("https://klasma.github.io/Logging_2031/artfynd/A 68996-2021 artfynd.xlsx", "A 68996-2021")</f>
        <v/>
      </c>
      <c r="X1112">
        <f>HYPERLINK("https://klasma.github.io/Logging_2031/kartor/A 68996-2021 karta.png", "A 68996-2021")</f>
        <v/>
      </c>
      <c r="Y1112">
        <f>HYPERLINK("https://klasma.github.io/Logging_2031/kartor_geotiff/A 68996-2021 georefererad karta.tif", "A 68996-2021")</f>
        <v/>
      </c>
      <c r="AA1112">
        <f>HYPERLINK("https://klasma.github.io/Logging_2031/klagomål/A 68996-2021 FSC-klagomål.docx", "A 68996-2021")</f>
        <v/>
      </c>
      <c r="AB1112">
        <f>HYPERLINK("https://klasma.github.io/Logging_2031/klagomålsmail/A 68996-2021 FSC-klagomål mail.docx", "A 68996-2021")</f>
        <v/>
      </c>
      <c r="AC1112">
        <f>HYPERLINK("https://klasma.github.io/Logging_2031/tillsyn/A 68996-2021 tillsynsbegäran.docx", "A 68996-2021")</f>
        <v/>
      </c>
      <c r="AD1112">
        <f>HYPERLINK("https://klasma.github.io/Logging_2031/tillsynsmail/A 68996-2021 tillsynsbegäran mail.docx", "A 68996-2021")</f>
        <v/>
      </c>
    </row>
    <row r="1113" ht="15" customHeight="1">
      <c r="A1113" t="inlineStr">
        <is>
          <t>A 9807-2022</t>
        </is>
      </c>
      <c r="B1113" t="inlineStr">
        <is>
          <t>avverkningsanmälan</t>
        </is>
      </c>
      <c r="C1113" t="inlineStr">
        <is>
          <t>Föryngringsavverkning</t>
        </is>
      </c>
      <c r="D1113" s="1" t="n">
        <v>44620</v>
      </c>
      <c r="E1113" s="1" t="n">
        <v>46319</v>
      </c>
      <c r="F1113" t="inlineStr">
        <is>
          <t>DALARNAS LÄN</t>
        </is>
      </c>
      <c r="G1113" t="inlineStr">
        <is>
          <t>ORSA</t>
        </is>
      </c>
      <c r="I1113" t="n">
        <v>0.5</v>
      </c>
      <c r="J1113" t="n">
        <v>1</v>
      </c>
      <c r="K1113" t="n">
        <v>0</v>
      </c>
      <c r="L1113" t="n">
        <v>0</v>
      </c>
      <c r="M1113" t="n">
        <v>0</v>
      </c>
      <c r="N1113" t="n">
        <v>0</v>
      </c>
      <c r="O1113" t="n">
        <v>0</v>
      </c>
      <c r="P1113" t="n">
        <v>0</v>
      </c>
      <c r="Q1113" t="n">
        <v>0</v>
      </c>
      <c r="R1113" t="n">
        <v>0</v>
      </c>
      <c r="S1113" t="n">
        <v>1</v>
      </c>
      <c r="T1113" t="n">
        <v>1</v>
      </c>
      <c r="U1113" t="n">
        <v>1</v>
      </c>
      <c r="V1113" s="2" t="inlineStr">
        <is>
          <t>Ärtsångare</t>
        </is>
      </c>
      <c r="W1113">
        <f>HYPERLINK("https://klasma.github.io/Logging_2034/artfynd/A 9807-2022 artfynd.xlsx", "A 9807-2022")</f>
        <v/>
      </c>
      <c r="X1113">
        <f>HYPERLINK("https://klasma.github.io/Logging_2034/kartor/A 9807-2022 karta.png", "A 9807-2022")</f>
        <v/>
      </c>
      <c r="Y1113">
        <f>HYPERLINK("https://klasma.github.io/Logging_2034/kartor_geotiff/A 9807-2022 georefererad karta.tif", "A 9807-2022")</f>
        <v/>
      </c>
      <c r="AA1113">
        <f>HYPERLINK("https://klasma.github.io/Logging_2034/klagomål/A 9807-2022 FSC-klagomål.docx", "A 9807-2022")</f>
        <v/>
      </c>
      <c r="AB1113">
        <f>HYPERLINK("https://klasma.github.io/Logging_2034/klagomålsmail/A 9807-2022 FSC-klagomål mail.docx", "A 9807-2022")</f>
        <v/>
      </c>
      <c r="AC1113">
        <f>HYPERLINK("https://klasma.github.io/Logging_2034/tillsyn/A 9807-2022 tillsynsbegäran.docx", "A 9807-2022")</f>
        <v/>
      </c>
      <c r="AD1113">
        <f>HYPERLINK("https://klasma.github.io/Logging_2034/tillsynsmail/A 9807-2022 tillsynsbegäran mail.docx", "A 9807-2022")</f>
        <v/>
      </c>
    </row>
    <row r="1114" ht="15" customHeight="1">
      <c r="A1114" t="inlineStr">
        <is>
          <t>A 15540-2022</t>
        </is>
      </c>
      <c r="B1114" t="inlineStr">
        <is>
          <t>avverkningsanmälan</t>
        </is>
      </c>
      <c r="C1114" t="inlineStr">
        <is>
          <t>Föryngringsavverkning</t>
        </is>
      </c>
      <c r="D1114" s="1" t="n">
        <v>44662</v>
      </c>
      <c r="E1114" s="1" t="n">
        <v>46319</v>
      </c>
      <c r="F1114" t="inlineStr">
        <is>
          <t>DALARNAS LÄN</t>
        </is>
      </c>
      <c r="G1114" t="inlineStr">
        <is>
          <t>FALUN</t>
        </is>
      </c>
      <c r="I1114" t="n">
        <v>1.5</v>
      </c>
      <c r="J1114" t="n">
        <v>1</v>
      </c>
      <c r="K1114" t="n">
        <v>0</v>
      </c>
      <c r="L1114" t="n">
        <v>0</v>
      </c>
      <c r="M1114" t="n">
        <v>0</v>
      </c>
      <c r="N1114" t="n">
        <v>0</v>
      </c>
      <c r="O1114" t="n">
        <v>0</v>
      </c>
      <c r="P1114" t="n">
        <v>0</v>
      </c>
      <c r="Q1114" t="n">
        <v>0</v>
      </c>
      <c r="R1114" t="n">
        <v>0</v>
      </c>
      <c r="S1114" t="n">
        <v>1</v>
      </c>
      <c r="T1114" t="n">
        <v>1</v>
      </c>
      <c r="U1114" t="n">
        <v>1</v>
      </c>
      <c r="V1114" s="2" t="inlineStr">
        <is>
          <t>Åkergroda</t>
        </is>
      </c>
      <c r="W1114">
        <f>HYPERLINK("https://klasma.github.io/Logging_2080/artfynd/A 15540-2022 artfynd.xlsx", "A 15540-2022")</f>
        <v/>
      </c>
      <c r="X1114">
        <f>HYPERLINK("https://klasma.github.io/Logging_2080/kartor/A 15540-2022 karta.png", "A 15540-2022")</f>
        <v/>
      </c>
      <c r="Y1114">
        <f>HYPERLINK("https://klasma.github.io/Logging_2080/kartor_geotiff/A 15540-2022 georefererad karta.tif", "A 15540-2022")</f>
        <v/>
      </c>
      <c r="AA1114">
        <f>HYPERLINK("https://klasma.github.io/Logging_2080/klagomål/A 15540-2022 FSC-klagomål.docx", "A 15540-2022")</f>
        <v/>
      </c>
      <c r="AB1114">
        <f>HYPERLINK("https://klasma.github.io/Logging_2080/klagomålsmail/A 15540-2022 FSC-klagomål mail.docx", "A 15540-2022")</f>
        <v/>
      </c>
      <c r="AC1114">
        <f>HYPERLINK("https://klasma.github.io/Logging_2080/tillsyn/A 15540-2022 tillsynsbegäran.docx", "A 15540-2022")</f>
        <v/>
      </c>
      <c r="AD1114">
        <f>HYPERLINK("https://klasma.github.io/Logging_2080/tillsynsmail/A 15540-2022 tillsynsbegäran mail.docx", "A 15540-2022")</f>
        <v/>
      </c>
    </row>
    <row r="1115" ht="15" customHeight="1">
      <c r="A1115" t="inlineStr">
        <is>
          <t>A 51709-2022</t>
        </is>
      </c>
      <c r="B1115" t="inlineStr">
        <is>
          <t>avverkningsanmälan</t>
        </is>
      </c>
      <c r="C1115" t="inlineStr">
        <is>
          <t>Föryngringsavverkning</t>
        </is>
      </c>
      <c r="D1115" s="1" t="n">
        <v>44872</v>
      </c>
      <c r="E1115" s="1" t="n">
        <v>46319</v>
      </c>
      <c r="F1115" t="inlineStr">
        <is>
          <t>DALARNAS LÄN</t>
        </is>
      </c>
      <c r="G1115" t="inlineStr">
        <is>
          <t>LUDVIKA</t>
        </is>
      </c>
      <c r="H1115" t="inlineStr">
        <is>
          <t>Bergvik skog väst AB</t>
        </is>
      </c>
      <c r="I1115" t="n">
        <v>2.1</v>
      </c>
      <c r="J1115" t="n">
        <v>0</v>
      </c>
      <c r="K1115" t="n">
        <v>0</v>
      </c>
      <c r="L1115" t="n">
        <v>1</v>
      </c>
      <c r="M1115" t="n">
        <v>0</v>
      </c>
      <c r="N1115" t="n">
        <v>0</v>
      </c>
      <c r="O1115" t="n">
        <v>0</v>
      </c>
      <c r="P1115" t="n">
        <v>0</v>
      </c>
      <c r="Q1115" t="n">
        <v>1</v>
      </c>
      <c r="R1115" t="n">
        <v>0</v>
      </c>
      <c r="S1115" t="n">
        <v>1</v>
      </c>
      <c r="T1115" t="n">
        <v>1</v>
      </c>
      <c r="U1115" t="n">
        <v>0</v>
      </c>
      <c r="V1115" s="2" t="inlineStr">
        <is>
          <t>Ängsmetallvinge</t>
        </is>
      </c>
      <c r="W1115">
        <f>HYPERLINK("https://klasma.github.io/Logging_2085/artfynd/A 51709-2022 artfynd.xlsx", "A 51709-2022")</f>
        <v/>
      </c>
      <c r="X1115">
        <f>HYPERLINK("https://klasma.github.io/Logging_2085/kartor/A 51709-2022 karta.png", "A 51709-2022")</f>
        <v/>
      </c>
      <c r="Y1115">
        <f>HYPERLINK("https://klasma.github.io/Logging_2085/kartor_geotiff/A 51709-2022 georefererad karta.tif", "A 51709-2022")</f>
        <v/>
      </c>
      <c r="AA1115">
        <f>HYPERLINK("https://klasma.github.io/Logging_2085/klagomål/A 51709-2022 FSC-klagomål.docx", "A 51709-2022")</f>
        <v/>
      </c>
      <c r="AB1115">
        <f>HYPERLINK("https://klasma.github.io/Logging_2085/klagomålsmail/A 51709-2022 FSC-klagomål mail.docx", "A 51709-2022")</f>
        <v/>
      </c>
      <c r="AC1115">
        <f>HYPERLINK("https://klasma.github.io/Logging_2085/tillsyn/A 51709-2022 tillsynsbegäran.docx", "A 51709-2022")</f>
        <v/>
      </c>
      <c r="AD1115">
        <f>HYPERLINK("https://klasma.github.io/Logging_2085/tillsynsmail/A 51709-2022 tillsynsbegäran mail.docx", "A 51709-2022")</f>
        <v/>
      </c>
    </row>
    <row r="1116" ht="15" customHeight="1">
      <c r="A1116" t="inlineStr">
        <is>
          <t>A 3978-2022</t>
        </is>
      </c>
      <c r="B1116" t="inlineStr">
        <is>
          <t>avverkningsanmälan</t>
        </is>
      </c>
      <c r="C1116" t="inlineStr">
        <is>
          <t>Föryngringsavverkning</t>
        </is>
      </c>
      <c r="D1116" s="1" t="n">
        <v>44587</v>
      </c>
      <c r="E1116" s="1" t="n">
        <v>46319</v>
      </c>
      <c r="F1116" t="inlineStr">
        <is>
          <t>DALARNAS LÄN</t>
        </is>
      </c>
      <c r="G1116" t="inlineStr">
        <is>
          <t>BORLÄNGE</t>
        </is>
      </c>
      <c r="I1116" t="n">
        <v>2.4</v>
      </c>
      <c r="J1116" t="n">
        <v>1</v>
      </c>
      <c r="K1116" t="n">
        <v>0</v>
      </c>
      <c r="L1116" t="n">
        <v>1</v>
      </c>
      <c r="M1116" t="n">
        <v>0</v>
      </c>
      <c r="N1116" t="n">
        <v>0</v>
      </c>
      <c r="O1116" t="n">
        <v>0</v>
      </c>
      <c r="P1116" t="n">
        <v>0</v>
      </c>
      <c r="Q1116" t="n">
        <v>1</v>
      </c>
      <c r="R1116" t="n">
        <v>0</v>
      </c>
      <c r="S1116" t="n">
        <v>1</v>
      </c>
      <c r="T1116" t="n">
        <v>1</v>
      </c>
      <c r="U1116" t="n">
        <v>0</v>
      </c>
      <c r="V1116" s="2" t="inlineStr">
        <is>
          <t>Sparvuggla</t>
        </is>
      </c>
      <c r="W1116">
        <f>HYPERLINK("https://klasma.github.io/Logging_2081/artfynd/A 3978-2022 artfynd.xlsx", "A 3978-2022")</f>
        <v/>
      </c>
      <c r="X1116">
        <f>HYPERLINK("https://klasma.github.io/Logging_2081/kartor/A 3978-2022 karta.png", "A 3978-2022")</f>
        <v/>
      </c>
      <c r="Y1116">
        <f>HYPERLINK("https://klasma.github.io/Logging_2081/kartor_geotiff/A 3978-2022 georefererad karta.tif", "A 3978-2022")</f>
        <v/>
      </c>
      <c r="AA1116">
        <f>HYPERLINK("https://klasma.github.io/Logging_2081/klagomål/A 3978-2022 FSC-klagomål.docx", "A 3978-2022")</f>
        <v/>
      </c>
      <c r="AB1116">
        <f>HYPERLINK("https://klasma.github.io/Logging_2081/klagomålsmail/A 3978-2022 FSC-klagomål mail.docx", "A 3978-2022")</f>
        <v/>
      </c>
      <c r="AC1116">
        <f>HYPERLINK("https://klasma.github.io/Logging_2081/tillsyn/A 3978-2022 tillsynsbegäran.docx", "A 3978-2022")</f>
        <v/>
      </c>
      <c r="AD1116">
        <f>HYPERLINK("https://klasma.github.io/Logging_2081/tillsynsmail/A 3978-2022 tillsynsbegäran mail.docx", "A 3978-2022")</f>
        <v/>
      </c>
      <c r="AE1116">
        <f>HYPERLINK("https://klasma.github.io/Logging_2081/fåglar/A 3978-2022 prioriterade fågelarter.docx", "A 3978-2022")</f>
        <v/>
      </c>
    </row>
    <row r="1117" ht="15" customHeight="1">
      <c r="A1117" t="inlineStr">
        <is>
          <t>A 35357-2022</t>
        </is>
      </c>
      <c r="B1117" t="inlineStr">
        <is>
          <t>avverkningsanmälan</t>
        </is>
      </c>
      <c r="C1117" t="inlineStr">
        <is>
          <t>Föryngringsavverkning</t>
        </is>
      </c>
      <c r="D1117" s="1" t="n">
        <v>44798</v>
      </c>
      <c r="E1117" s="1" t="n">
        <v>46319</v>
      </c>
      <c r="F1117" t="inlineStr">
        <is>
          <t>DALARNAS LÄN</t>
        </is>
      </c>
      <c r="G1117" t="inlineStr">
        <is>
          <t>BORLÄNGE</t>
        </is>
      </c>
      <c r="I1117" t="n">
        <v>3.1</v>
      </c>
      <c r="J1117" t="n">
        <v>1</v>
      </c>
      <c r="K1117" t="n">
        <v>0</v>
      </c>
      <c r="L1117" t="n">
        <v>0</v>
      </c>
      <c r="M1117" t="n">
        <v>0</v>
      </c>
      <c r="N1117" t="n">
        <v>0</v>
      </c>
      <c r="O1117" t="n">
        <v>0</v>
      </c>
      <c r="P1117" t="n">
        <v>0</v>
      </c>
      <c r="Q1117" t="n">
        <v>0</v>
      </c>
      <c r="R1117" t="n">
        <v>0</v>
      </c>
      <c r="S1117" t="n">
        <v>1</v>
      </c>
      <c r="T1117" t="n">
        <v>1</v>
      </c>
      <c r="U1117" t="n">
        <v>0</v>
      </c>
      <c r="V1117" s="2" t="inlineStr">
        <is>
          <t>Revlummer</t>
        </is>
      </c>
      <c r="W1117">
        <f>HYPERLINK("https://klasma.github.io/Logging_2081/artfynd/A 35357-2022 artfynd.xlsx", "A 35357-2022")</f>
        <v/>
      </c>
      <c r="X1117">
        <f>HYPERLINK("https://klasma.github.io/Logging_2081/kartor/A 35357-2022 karta.png", "A 35357-2022")</f>
        <v/>
      </c>
      <c r="Y1117">
        <f>HYPERLINK("https://klasma.github.io/Logging_2081/kartor_geotiff/A 35357-2022 georefererad karta.tif", "A 35357-2022")</f>
        <v/>
      </c>
      <c r="AA1117">
        <f>HYPERLINK("https://klasma.github.io/Logging_2081/klagomål/A 35357-2022 FSC-klagomål.docx", "A 35357-2022")</f>
        <v/>
      </c>
      <c r="AB1117">
        <f>HYPERLINK("https://klasma.github.io/Logging_2081/klagomålsmail/A 35357-2022 FSC-klagomål mail.docx", "A 35357-2022")</f>
        <v/>
      </c>
      <c r="AC1117">
        <f>HYPERLINK("https://klasma.github.io/Logging_2081/tillsyn/A 35357-2022 tillsynsbegäran.docx", "A 35357-2022")</f>
        <v/>
      </c>
      <c r="AD1117">
        <f>HYPERLINK("https://klasma.github.io/Logging_2081/tillsynsmail/A 35357-2022 tillsynsbegäran mail.docx", "A 35357-2022")</f>
        <v/>
      </c>
    </row>
    <row r="1118" ht="15" customHeight="1">
      <c r="A1118" t="inlineStr">
        <is>
          <t>A 26289-2022</t>
        </is>
      </c>
      <c r="B1118" t="inlineStr">
        <is>
          <t>avverkningsanmälan</t>
        </is>
      </c>
      <c r="C1118" t="inlineStr">
        <is>
          <t>Föryngringsavverkning</t>
        </is>
      </c>
      <c r="D1118" s="1" t="n">
        <v>44735</v>
      </c>
      <c r="E1118" s="1" t="n">
        <v>46319</v>
      </c>
      <c r="F1118" t="inlineStr">
        <is>
          <t>DALARNAS LÄN</t>
        </is>
      </c>
      <c r="G1118" t="inlineStr">
        <is>
          <t>LEKSAND</t>
        </is>
      </c>
      <c r="I1118" t="n">
        <v>1</v>
      </c>
      <c r="J1118" t="n">
        <v>1</v>
      </c>
      <c r="K1118" t="n">
        <v>1</v>
      </c>
      <c r="L1118" t="n">
        <v>0</v>
      </c>
      <c r="M1118" t="n">
        <v>0</v>
      </c>
      <c r="N1118" t="n">
        <v>0</v>
      </c>
      <c r="O1118" t="n">
        <v>0</v>
      </c>
      <c r="P1118" t="n">
        <v>0</v>
      </c>
      <c r="Q1118" t="n">
        <v>0</v>
      </c>
      <c r="R1118" t="n">
        <v>0</v>
      </c>
      <c r="S1118" t="n">
        <v>1</v>
      </c>
      <c r="T1118" t="n">
        <v>1</v>
      </c>
      <c r="U1118" t="n">
        <v>1</v>
      </c>
      <c r="V1118" s="2" t="inlineStr">
        <is>
          <t>Skogsknipprot</t>
        </is>
      </c>
      <c r="W1118">
        <f>HYPERLINK("https://klasma.github.io/Logging_2029/artfynd/A 26289-2022 artfynd.xlsx", "A 26289-2022")</f>
        <v/>
      </c>
      <c r="X1118">
        <f>HYPERLINK("https://klasma.github.io/Logging_2029/kartor/A 26289-2022 karta.png", "A 26289-2022")</f>
        <v/>
      </c>
      <c r="Y1118">
        <f>HYPERLINK("https://klasma.github.io/Logging_2029/kartor_geotiff/A 26289-2022 georefererad karta.tif", "A 26289-2022")</f>
        <v/>
      </c>
      <c r="AA1118">
        <f>HYPERLINK("https://klasma.github.io/Logging_2029/klagomål/A 26289-2022 FSC-klagomål.docx", "A 26289-2022")</f>
        <v/>
      </c>
      <c r="AB1118">
        <f>HYPERLINK("https://klasma.github.io/Logging_2029/klagomålsmail/A 26289-2022 FSC-klagomål mail.docx", "A 26289-2022")</f>
        <v/>
      </c>
      <c r="AC1118">
        <f>HYPERLINK("https://klasma.github.io/Logging_2029/tillsyn/A 26289-2022 tillsynsbegäran.docx", "A 26289-2022")</f>
        <v/>
      </c>
      <c r="AD1118">
        <f>HYPERLINK("https://klasma.github.io/Logging_2029/tillsynsmail/A 26289-2022 tillsynsbegäran mail.docx", "A 26289-2022")</f>
        <v/>
      </c>
    </row>
    <row r="1119" ht="15" customHeight="1">
      <c r="A1119" t="inlineStr">
        <is>
          <t>A 45622-2022</t>
        </is>
      </c>
      <c r="B1119" t="inlineStr">
        <is>
          <t>avverkningsanmälan</t>
        </is>
      </c>
      <c r="C1119" t="inlineStr">
        <is>
          <t>Föryngringsavverkning</t>
        </is>
      </c>
      <c r="D1119" s="1" t="n">
        <v>44845</v>
      </c>
      <c r="E1119" s="1" t="n">
        <v>46319</v>
      </c>
      <c r="F1119" t="inlineStr">
        <is>
          <t>DALARNAS LÄN</t>
        </is>
      </c>
      <c r="G1119" t="inlineStr">
        <is>
          <t>RÄTTVIK</t>
        </is>
      </c>
      <c r="H1119" t="inlineStr">
        <is>
          <t>Sveaskog</t>
        </is>
      </c>
      <c r="I1119" t="n">
        <v>3.5</v>
      </c>
      <c r="J1119" t="n">
        <v>1</v>
      </c>
      <c r="K1119" t="n">
        <v>0</v>
      </c>
      <c r="L1119" t="n">
        <v>0</v>
      </c>
      <c r="M1119" t="n">
        <v>0</v>
      </c>
      <c r="N1119" t="n">
        <v>0</v>
      </c>
      <c r="O1119" t="n">
        <v>0</v>
      </c>
      <c r="P1119" t="n">
        <v>0</v>
      </c>
      <c r="Q1119" t="n">
        <v>0</v>
      </c>
      <c r="R1119" t="n">
        <v>0</v>
      </c>
      <c r="S1119" t="n">
        <v>1</v>
      </c>
      <c r="T1119" t="n">
        <v>1</v>
      </c>
      <c r="U1119" t="n">
        <v>0</v>
      </c>
      <c r="V1119" s="2" t="inlineStr">
        <is>
          <t>Utter</t>
        </is>
      </c>
      <c r="W1119">
        <f>HYPERLINK("https://klasma.github.io/Logging_2031/artfynd/A 45622-2022 artfynd.xlsx", "A 45622-2022")</f>
        <v/>
      </c>
      <c r="X1119">
        <f>HYPERLINK("https://klasma.github.io/Logging_2031/kartor/A 45622-2022 karta.png", "A 45622-2022")</f>
        <v/>
      </c>
      <c r="Y1119">
        <f>HYPERLINK("https://klasma.github.io/Logging_2031/kartor_geotiff/A 45622-2022 georefererad karta.tif", "A 45622-2022")</f>
        <v/>
      </c>
      <c r="AA1119">
        <f>HYPERLINK("https://klasma.github.io/Logging_2031/klagomål/A 45622-2022 FSC-klagomål.docx", "A 45622-2022")</f>
        <v/>
      </c>
      <c r="AB1119">
        <f>HYPERLINK("https://klasma.github.io/Logging_2031/klagomålsmail/A 45622-2022 FSC-klagomål mail.docx", "A 45622-2022")</f>
        <v/>
      </c>
      <c r="AC1119">
        <f>HYPERLINK("https://klasma.github.io/Logging_2031/tillsyn/A 45622-2022 tillsynsbegäran.docx", "A 45622-2022")</f>
        <v/>
      </c>
      <c r="AD1119">
        <f>HYPERLINK("https://klasma.github.io/Logging_2031/tillsynsmail/A 45622-2022 tillsynsbegäran mail.docx", "A 45622-2022")</f>
        <v/>
      </c>
    </row>
    <row r="1120" ht="15" customHeight="1">
      <c r="A1120" t="inlineStr">
        <is>
          <t>A 46244-2022</t>
        </is>
      </c>
      <c r="B1120" t="inlineStr">
        <is>
          <t>avverkningsanmälan</t>
        </is>
      </c>
      <c r="C1120" t="inlineStr">
        <is>
          <t>Föryngringsavverkning</t>
        </is>
      </c>
      <c r="D1120" s="1" t="n">
        <v>44847</v>
      </c>
      <c r="E1120" s="1" t="n">
        <v>46319</v>
      </c>
      <c r="F1120" t="inlineStr">
        <is>
          <t>DALARNAS LÄN</t>
        </is>
      </c>
      <c r="G1120" t="inlineStr">
        <is>
          <t>ORSA</t>
        </is>
      </c>
      <c r="H1120" t="inlineStr">
        <is>
          <t>Bergvik skog öst AB</t>
        </is>
      </c>
      <c r="I1120" t="n">
        <v>2.6</v>
      </c>
      <c r="J1120" t="n">
        <v>1</v>
      </c>
      <c r="K1120" t="n">
        <v>1</v>
      </c>
      <c r="L1120" t="n">
        <v>0</v>
      </c>
      <c r="M1120" t="n">
        <v>0</v>
      </c>
      <c r="N1120" t="n">
        <v>0</v>
      </c>
      <c r="O1120" t="n">
        <v>0</v>
      </c>
      <c r="P1120" t="n">
        <v>0</v>
      </c>
      <c r="Q1120" t="n">
        <v>0</v>
      </c>
      <c r="R1120" t="n">
        <v>0</v>
      </c>
      <c r="S1120" t="n">
        <v>1</v>
      </c>
      <c r="T1120" t="n">
        <v>1</v>
      </c>
      <c r="U1120" t="n">
        <v>1</v>
      </c>
      <c r="V1120" s="2" t="inlineStr">
        <is>
          <t>Spindelblomster</t>
        </is>
      </c>
      <c r="W1120">
        <f>HYPERLINK("https://klasma.github.io/Logging_2034/artfynd/A 46244-2022 artfynd.xlsx", "A 46244-2022")</f>
        <v/>
      </c>
      <c r="X1120">
        <f>HYPERLINK("https://klasma.github.io/Logging_2034/kartor/A 46244-2022 karta.png", "A 46244-2022")</f>
        <v/>
      </c>
      <c r="Y1120">
        <f>HYPERLINK("https://klasma.github.io/Logging_2034/kartor_geotiff/A 46244-2022 georefererad karta.tif", "A 46244-2022")</f>
        <v/>
      </c>
      <c r="AA1120">
        <f>HYPERLINK("https://klasma.github.io/Logging_2034/klagomål/A 46244-2022 FSC-klagomål.docx", "A 46244-2022")</f>
        <v/>
      </c>
      <c r="AB1120">
        <f>HYPERLINK("https://klasma.github.io/Logging_2034/klagomålsmail/A 46244-2022 FSC-klagomål mail.docx", "A 46244-2022")</f>
        <v/>
      </c>
      <c r="AC1120">
        <f>HYPERLINK("https://klasma.github.io/Logging_2034/tillsyn/A 46244-2022 tillsynsbegäran.docx", "A 46244-2022")</f>
        <v/>
      </c>
      <c r="AD1120">
        <f>HYPERLINK("https://klasma.github.io/Logging_2034/tillsynsmail/A 46244-2022 tillsynsbegäran mail.docx", "A 46244-2022")</f>
        <v/>
      </c>
    </row>
    <row r="1121" ht="15" customHeight="1">
      <c r="A1121" t="inlineStr">
        <is>
          <t>A 23476-2022</t>
        </is>
      </c>
      <c r="B1121" t="inlineStr">
        <is>
          <t>avverkningsanmälan</t>
        </is>
      </c>
      <c r="C1121" t="inlineStr">
        <is>
          <t>Föryngringsavverkning</t>
        </is>
      </c>
      <c r="D1121" s="1" t="n">
        <v>44721</v>
      </c>
      <c r="E1121" s="1" t="n">
        <v>46319</v>
      </c>
      <c r="F1121" t="inlineStr">
        <is>
          <t>DALARNAS LÄN</t>
        </is>
      </c>
      <c r="G1121" t="inlineStr">
        <is>
          <t>MALUNG-SÄLEN</t>
        </is>
      </c>
      <c r="H1121" t="inlineStr">
        <is>
          <t>Övriga statliga verk och myndigheter</t>
        </is>
      </c>
      <c r="I1121" t="n">
        <v>1.2</v>
      </c>
      <c r="J1121" t="n">
        <v>0</v>
      </c>
      <c r="K1121" t="n">
        <v>1</v>
      </c>
      <c r="L1121" t="n">
        <v>0</v>
      </c>
      <c r="M1121" t="n">
        <v>0</v>
      </c>
      <c r="N1121" t="n">
        <v>0</v>
      </c>
      <c r="O1121" t="n">
        <v>0</v>
      </c>
      <c r="P1121" t="n">
        <v>0</v>
      </c>
      <c r="Q1121" t="n">
        <v>0</v>
      </c>
      <c r="R1121" t="n">
        <v>0</v>
      </c>
      <c r="S1121" t="n">
        <v>1</v>
      </c>
      <c r="T1121" t="n">
        <v>1</v>
      </c>
      <c r="U1121" t="n">
        <v>0</v>
      </c>
      <c r="V1121" s="2" t="inlineStr">
        <is>
          <t>Sotlav</t>
        </is>
      </c>
      <c r="W1121">
        <f>HYPERLINK("https://klasma.github.io/Logging_2023/artfynd/A 23476-2022 artfynd.xlsx", "A 23476-2022")</f>
        <v/>
      </c>
      <c r="X1121">
        <f>HYPERLINK("https://klasma.github.io/Logging_2023/kartor/A 23476-2022 karta.png", "A 23476-2022")</f>
        <v/>
      </c>
      <c r="Y1121">
        <f>HYPERLINK("https://klasma.github.io/Logging_2023/kartor_geotiff/A 23476-2022 georefererad karta.tif", "A 23476-2022")</f>
        <v/>
      </c>
      <c r="AA1121">
        <f>HYPERLINK("https://klasma.github.io/Logging_2023/klagomål/A 23476-2022 FSC-klagomål.docx", "A 23476-2022")</f>
        <v/>
      </c>
      <c r="AB1121">
        <f>HYPERLINK("https://klasma.github.io/Logging_2023/klagomålsmail/A 23476-2022 FSC-klagomål mail.docx", "A 23476-2022")</f>
        <v/>
      </c>
      <c r="AC1121">
        <f>HYPERLINK("https://klasma.github.io/Logging_2023/tillsyn/A 23476-2022 tillsynsbegäran.docx", "A 23476-2022")</f>
        <v/>
      </c>
      <c r="AD1121">
        <f>HYPERLINK("https://klasma.github.io/Logging_2023/tillsynsmail/A 23476-2022 tillsynsbegäran mail.docx", "A 23476-2022")</f>
        <v/>
      </c>
    </row>
    <row r="1122" ht="15" customHeight="1">
      <c r="A1122" t="inlineStr">
        <is>
          <t>A 49889-2022</t>
        </is>
      </c>
      <c r="B1122" t="inlineStr">
        <is>
          <t>avverkningsanmälan</t>
        </is>
      </c>
      <c r="C1122" t="inlineStr">
        <is>
          <t>Föryngringsavverkning</t>
        </is>
      </c>
      <c r="D1122" s="1" t="n">
        <v>44864</v>
      </c>
      <c r="E1122" s="1" t="n">
        <v>46319</v>
      </c>
      <c r="F1122" t="inlineStr">
        <is>
          <t>DALARNAS LÄN</t>
        </is>
      </c>
      <c r="G1122" t="inlineStr">
        <is>
          <t>HEDEMORA</t>
        </is>
      </c>
      <c r="H1122" t="inlineStr">
        <is>
          <t>Sveaskog</t>
        </is>
      </c>
      <c r="I1122" t="n">
        <v>6.8</v>
      </c>
      <c r="J1122" t="n">
        <v>1</v>
      </c>
      <c r="K1122" t="n">
        <v>0</v>
      </c>
      <c r="L1122" t="n">
        <v>0</v>
      </c>
      <c r="M1122" t="n">
        <v>1</v>
      </c>
      <c r="N1122" t="n">
        <v>0</v>
      </c>
      <c r="O1122" t="n">
        <v>0</v>
      </c>
      <c r="P1122" t="n">
        <v>0</v>
      </c>
      <c r="Q1122" t="n">
        <v>1</v>
      </c>
      <c r="R1122" t="n">
        <v>1</v>
      </c>
      <c r="S1122" t="n">
        <v>1</v>
      </c>
      <c r="T1122" t="n">
        <v>2</v>
      </c>
      <c r="U1122" t="n">
        <v>2</v>
      </c>
      <c r="V1122" s="2" t="inlineStr">
        <is>
          <t>Knärot</t>
        </is>
      </c>
      <c r="W1122">
        <f>HYPERLINK("https://klasma.github.io/Logging_2083/artfynd/A 49889-2022 artfynd.xlsx", "A 49889-2022")</f>
        <v/>
      </c>
      <c r="X1122">
        <f>HYPERLINK("https://klasma.github.io/Logging_2083/kartor/A 49889-2022 karta.png", "A 49889-2022")</f>
        <v/>
      </c>
      <c r="Y1122">
        <f>HYPERLINK("https://klasma.github.io/Logging_2083/kartor_geotiff/A 49889-2022 georefererad karta.tif", "A 49889-2022")</f>
        <v/>
      </c>
      <c r="Z1122">
        <f>HYPERLINK("https://klasma.github.io/Logging_2083/knärot/A 49889-2022 karta knärot.png", "A 49889-2022")</f>
        <v/>
      </c>
      <c r="AA1122">
        <f>HYPERLINK("https://klasma.github.io/Logging_2083/klagomål/A 49889-2022 FSC-klagomål.docx", "A 49889-2022")</f>
        <v/>
      </c>
      <c r="AB1122">
        <f>HYPERLINK("https://klasma.github.io/Logging_2083/klagomålsmail/A 49889-2022 FSC-klagomål mail.docx", "A 49889-2022")</f>
        <v/>
      </c>
      <c r="AC1122">
        <f>HYPERLINK("https://klasma.github.io/Logging_2083/tillsyn/A 49889-2022 tillsynsbegäran.docx", "A 49889-2022")</f>
        <v/>
      </c>
      <c r="AD1122">
        <f>HYPERLINK("https://klasma.github.io/Logging_2083/tillsynsmail/A 49889-2022 tillsynsbegäran mail.docx", "A 49889-2022")</f>
        <v/>
      </c>
    </row>
    <row r="1123" ht="15" customHeight="1">
      <c r="A1123" t="inlineStr">
        <is>
          <t>A 12997-2022</t>
        </is>
      </c>
      <c r="B1123" t="inlineStr">
        <is>
          <t>avverkningsanmälan</t>
        </is>
      </c>
      <c r="C1123" t="inlineStr">
        <is>
          <t>Föryngringsavverkning</t>
        </is>
      </c>
      <c r="D1123" s="1" t="n">
        <v>44643</v>
      </c>
      <c r="E1123" s="1" t="n">
        <v>46319</v>
      </c>
      <c r="F1123" t="inlineStr">
        <is>
          <t>DALARNAS LÄN</t>
        </is>
      </c>
      <c r="G1123" t="inlineStr">
        <is>
          <t>AVESTA</t>
        </is>
      </c>
      <c r="I1123" t="n">
        <v>0.6</v>
      </c>
      <c r="J1123" t="n">
        <v>1</v>
      </c>
      <c r="K1123" t="n">
        <v>0</v>
      </c>
      <c r="L1123" t="n">
        <v>1</v>
      </c>
      <c r="M1123" t="n">
        <v>0</v>
      </c>
      <c r="N1123" t="n">
        <v>0</v>
      </c>
      <c r="O1123" t="n">
        <v>0</v>
      </c>
      <c r="P1123" t="n">
        <v>0</v>
      </c>
      <c r="Q1123" t="n">
        <v>1</v>
      </c>
      <c r="R1123" t="n">
        <v>0</v>
      </c>
      <c r="S1123" t="n">
        <v>1</v>
      </c>
      <c r="T1123" t="n">
        <v>1</v>
      </c>
      <c r="U1123" t="n">
        <v>1</v>
      </c>
      <c r="V1123" s="2" t="inlineStr">
        <is>
          <t>Tretåig hackspett</t>
        </is>
      </c>
      <c r="W1123">
        <f>HYPERLINK("https://klasma.github.io/Logging_2084/artfynd/A 12997-2022 artfynd.xlsx", "A 12997-2022")</f>
        <v/>
      </c>
      <c r="X1123">
        <f>HYPERLINK("https://klasma.github.io/Logging_2084/kartor/A 12997-2022 karta.png", "A 12997-2022")</f>
        <v/>
      </c>
      <c r="Y1123">
        <f>HYPERLINK("https://klasma.github.io/Logging_2084/kartor_geotiff/A 12997-2022 georefererad karta.tif", "A 12997-2022")</f>
        <v/>
      </c>
      <c r="AA1123">
        <f>HYPERLINK("https://klasma.github.io/Logging_2084/klagomål/A 12997-2022 FSC-klagomål.docx", "A 12997-2022")</f>
        <v/>
      </c>
      <c r="AB1123">
        <f>HYPERLINK("https://klasma.github.io/Logging_2084/klagomålsmail/A 12997-2022 FSC-klagomål mail.docx", "A 12997-2022")</f>
        <v/>
      </c>
      <c r="AC1123">
        <f>HYPERLINK("https://klasma.github.io/Logging_2084/tillsyn/A 12997-2022 tillsynsbegäran.docx", "A 12997-2022")</f>
        <v/>
      </c>
      <c r="AD1123">
        <f>HYPERLINK("https://klasma.github.io/Logging_2084/tillsynsmail/A 12997-2022 tillsynsbegäran mail.docx", "A 12997-2022")</f>
        <v/>
      </c>
      <c r="AE1123">
        <f>HYPERLINK("https://klasma.github.io/Logging_2084/fåglar/A 12997-2022 prioriterade fågelarter.docx", "A 12997-2022")</f>
        <v/>
      </c>
    </row>
    <row r="1124" ht="15" customHeight="1">
      <c r="A1124" t="inlineStr">
        <is>
          <t>A 34382-2022</t>
        </is>
      </c>
      <c r="B1124" t="inlineStr">
        <is>
          <t>avverkningsanmälan</t>
        </is>
      </c>
      <c r="C1124" t="inlineStr">
        <is>
          <t>Föryngringsavverkning</t>
        </is>
      </c>
      <c r="D1124" s="1" t="n">
        <v>44792</v>
      </c>
      <c r="E1124" s="1" t="n">
        <v>46319</v>
      </c>
      <c r="F1124" t="inlineStr">
        <is>
          <t>DALARNAS LÄN</t>
        </is>
      </c>
      <c r="G1124" t="inlineStr">
        <is>
          <t>SMEDJEBACKEN</t>
        </is>
      </c>
      <c r="H1124" t="inlineStr">
        <is>
          <t>Sveaskog</t>
        </is>
      </c>
      <c r="I1124" t="n">
        <v>3.3</v>
      </c>
      <c r="J1124" t="n">
        <v>1</v>
      </c>
      <c r="K1124" t="n">
        <v>0</v>
      </c>
      <c r="L1124" t="n">
        <v>1</v>
      </c>
      <c r="M1124" t="n">
        <v>0</v>
      </c>
      <c r="N1124" t="n">
        <v>0</v>
      </c>
      <c r="O1124" t="n">
        <v>0</v>
      </c>
      <c r="P1124" t="n">
        <v>0</v>
      </c>
      <c r="Q1124" t="n">
        <v>1</v>
      </c>
      <c r="R1124" t="n">
        <v>0</v>
      </c>
      <c r="S1124" t="n">
        <v>1</v>
      </c>
      <c r="T1124" t="n">
        <v>1</v>
      </c>
      <c r="U1124" t="n">
        <v>1</v>
      </c>
      <c r="V1124" s="2" t="inlineStr">
        <is>
          <t>Sparvuggla</t>
        </is>
      </c>
      <c r="W1124">
        <f>HYPERLINK("https://klasma.github.io/Logging_2061/artfynd/A 34382-2022 artfynd.xlsx", "A 34382-2022")</f>
        <v/>
      </c>
      <c r="X1124">
        <f>HYPERLINK("https://klasma.github.io/Logging_2061/kartor/A 34382-2022 karta.png", "A 34382-2022")</f>
        <v/>
      </c>
      <c r="Y1124">
        <f>HYPERLINK("https://klasma.github.io/Logging_2061/kartor_geotiff/A 34382-2022 georefererad karta.tif", "A 34382-2022")</f>
        <v/>
      </c>
      <c r="AA1124">
        <f>HYPERLINK("https://klasma.github.io/Logging_2061/klagomål/A 34382-2022 FSC-klagomål.docx", "A 34382-2022")</f>
        <v/>
      </c>
      <c r="AB1124">
        <f>HYPERLINK("https://klasma.github.io/Logging_2061/klagomålsmail/A 34382-2022 FSC-klagomål mail.docx", "A 34382-2022")</f>
        <v/>
      </c>
      <c r="AC1124">
        <f>HYPERLINK("https://klasma.github.io/Logging_2061/tillsyn/A 34382-2022 tillsynsbegäran.docx", "A 34382-2022")</f>
        <v/>
      </c>
      <c r="AD1124">
        <f>HYPERLINK("https://klasma.github.io/Logging_2061/tillsynsmail/A 34382-2022 tillsynsbegäran mail.docx", "A 34382-2022")</f>
        <v/>
      </c>
      <c r="AE1124">
        <f>HYPERLINK("https://klasma.github.io/Logging_2061/fåglar/A 34382-2022 prioriterade fågelarter.docx", "A 34382-2022")</f>
        <v/>
      </c>
    </row>
    <row r="1125" ht="15" customHeight="1">
      <c r="A1125" t="inlineStr">
        <is>
          <t>A 22363-2022</t>
        </is>
      </c>
      <c r="B1125" t="inlineStr">
        <is>
          <t>avverkningsanmälan</t>
        </is>
      </c>
      <c r="C1125" t="inlineStr">
        <is>
          <t>Föryngringsavverkning</t>
        </is>
      </c>
      <c r="D1125" s="1" t="n">
        <v>44713</v>
      </c>
      <c r="E1125" s="1" t="n">
        <v>46319</v>
      </c>
      <c r="F1125" t="inlineStr">
        <is>
          <t>DALARNAS LÄN</t>
        </is>
      </c>
      <c r="G1125" t="inlineStr">
        <is>
          <t>BORLÄNGE</t>
        </is>
      </c>
      <c r="H1125" t="inlineStr">
        <is>
          <t>Naturvårdsverket</t>
        </is>
      </c>
      <c r="I1125" t="n">
        <v>0.8</v>
      </c>
      <c r="J1125" t="n">
        <v>1</v>
      </c>
      <c r="K1125" t="n">
        <v>0</v>
      </c>
      <c r="L1125" t="n">
        <v>0</v>
      </c>
      <c r="M1125" t="n">
        <v>0</v>
      </c>
      <c r="N1125" t="n">
        <v>0</v>
      </c>
      <c r="O1125" t="n">
        <v>0</v>
      </c>
      <c r="P1125" t="n">
        <v>0</v>
      </c>
      <c r="Q1125" t="n">
        <v>0</v>
      </c>
      <c r="R1125" t="n">
        <v>0</v>
      </c>
      <c r="S1125" t="n">
        <v>1</v>
      </c>
      <c r="T1125" t="n">
        <v>1</v>
      </c>
      <c r="U1125" t="n">
        <v>0</v>
      </c>
      <c r="V1125" s="2" t="inlineStr">
        <is>
          <t>Fläcknycklar</t>
        </is>
      </c>
      <c r="W1125">
        <f>HYPERLINK("https://klasma.github.io/Logging_2081/artfynd/A 22363-2022 artfynd.xlsx", "A 22363-2022")</f>
        <v/>
      </c>
      <c r="X1125">
        <f>HYPERLINK("https://klasma.github.io/Logging_2081/kartor/A 22363-2022 karta.png", "A 22363-2022")</f>
        <v/>
      </c>
      <c r="Y1125">
        <f>HYPERLINK("https://klasma.github.io/Logging_2081/kartor_geotiff/A 22363-2022 georefererad karta.tif", "A 22363-2022")</f>
        <v/>
      </c>
      <c r="AA1125">
        <f>HYPERLINK("https://klasma.github.io/Logging_2081/klagomål/A 22363-2022 FSC-klagomål.docx", "A 22363-2022")</f>
        <v/>
      </c>
      <c r="AB1125">
        <f>HYPERLINK("https://klasma.github.io/Logging_2081/klagomålsmail/A 22363-2022 FSC-klagomål mail.docx", "A 22363-2022")</f>
        <v/>
      </c>
      <c r="AC1125">
        <f>HYPERLINK("https://klasma.github.io/Logging_2081/tillsyn/A 22363-2022 tillsynsbegäran.docx", "A 22363-2022")</f>
        <v/>
      </c>
      <c r="AD1125">
        <f>HYPERLINK("https://klasma.github.io/Logging_2081/tillsynsmail/A 22363-2022 tillsynsbegäran mail.docx", "A 22363-2022")</f>
        <v/>
      </c>
    </row>
    <row r="1126" ht="15" customHeight="1">
      <c r="A1126" t="inlineStr">
        <is>
          <t>A 4209-2023</t>
        </is>
      </c>
      <c r="B1126" t="inlineStr">
        <is>
          <t>avverkningsanmälan</t>
        </is>
      </c>
      <c r="C1126" t="inlineStr">
        <is>
          <t>Föryngringsavverkning</t>
        </is>
      </c>
      <c r="D1126" s="1" t="n">
        <v>44953</v>
      </c>
      <c r="E1126" s="1" t="n">
        <v>46319</v>
      </c>
      <c r="F1126" t="inlineStr">
        <is>
          <t>DALARNAS LÄN</t>
        </is>
      </c>
      <c r="G1126" t="inlineStr">
        <is>
          <t>MORA</t>
        </is>
      </c>
      <c r="I1126" t="n">
        <v>1</v>
      </c>
      <c r="J1126" t="n">
        <v>1</v>
      </c>
      <c r="K1126" t="n">
        <v>0</v>
      </c>
      <c r="L1126" t="n">
        <v>0</v>
      </c>
      <c r="M1126" t="n">
        <v>0</v>
      </c>
      <c r="N1126" t="n">
        <v>0</v>
      </c>
      <c r="O1126" t="n">
        <v>0</v>
      </c>
      <c r="P1126" t="n">
        <v>0</v>
      </c>
      <c r="Q1126" t="n">
        <v>0</v>
      </c>
      <c r="R1126" t="n">
        <v>0</v>
      </c>
      <c r="S1126" t="n">
        <v>1</v>
      </c>
      <c r="T1126" t="n">
        <v>1</v>
      </c>
      <c r="U1126" t="n">
        <v>0</v>
      </c>
      <c r="V1126" s="2" t="inlineStr">
        <is>
          <t>Utter</t>
        </is>
      </c>
      <c r="W1126">
        <f>HYPERLINK("https://klasma.github.io/Logging_2062/artfynd/A 4209-2023 artfynd.xlsx", "A 4209-2023")</f>
        <v/>
      </c>
      <c r="X1126">
        <f>HYPERLINK("https://klasma.github.io/Logging_2062/kartor/A 4209-2023 karta.png", "A 4209-2023")</f>
        <v/>
      </c>
      <c r="Y1126">
        <f>HYPERLINK("https://klasma.github.io/Logging_2062/kartor_geotiff/A 4209-2023 georefererad karta.tif", "A 4209-2023")</f>
        <v/>
      </c>
      <c r="AA1126">
        <f>HYPERLINK("https://klasma.github.io/Logging_2062/klagomål/A 4209-2023 FSC-klagomål.docx", "A 4209-2023")</f>
        <v/>
      </c>
      <c r="AB1126">
        <f>HYPERLINK("https://klasma.github.io/Logging_2062/klagomålsmail/A 4209-2023 FSC-klagomål mail.docx", "A 4209-2023")</f>
        <v/>
      </c>
      <c r="AC1126">
        <f>HYPERLINK("https://klasma.github.io/Logging_2062/tillsyn/A 4209-2023 tillsynsbegäran.docx", "A 4209-2023")</f>
        <v/>
      </c>
      <c r="AD1126">
        <f>HYPERLINK("https://klasma.github.io/Logging_2062/tillsynsmail/A 4209-2023 tillsynsbegäran mail.docx", "A 4209-2023")</f>
        <v/>
      </c>
    </row>
    <row r="1127" ht="15" customHeight="1">
      <c r="A1127" t="inlineStr">
        <is>
          <t>A 30449-2022</t>
        </is>
      </c>
      <c r="B1127" t="inlineStr">
        <is>
          <t>avverkningsanmälan</t>
        </is>
      </c>
      <c r="C1127" t="inlineStr">
        <is>
          <t>Föryngringsavverkning</t>
        </is>
      </c>
      <c r="D1127" s="1" t="n">
        <v>44761</v>
      </c>
      <c r="E1127" s="1" t="n">
        <v>46319</v>
      </c>
      <c r="F1127" t="inlineStr">
        <is>
          <t>DALARNAS LÄN</t>
        </is>
      </c>
      <c r="G1127" t="inlineStr">
        <is>
          <t>LEKSAND</t>
        </is>
      </c>
      <c r="I1127" t="n">
        <v>5.7</v>
      </c>
      <c r="J1127" t="n">
        <v>1</v>
      </c>
      <c r="K1127" t="n">
        <v>0</v>
      </c>
      <c r="L1127" t="n">
        <v>0</v>
      </c>
      <c r="M1127" t="n">
        <v>0</v>
      </c>
      <c r="N1127" t="n">
        <v>0</v>
      </c>
      <c r="O1127" t="n">
        <v>0</v>
      </c>
      <c r="P1127" t="n">
        <v>0</v>
      </c>
      <c r="Q1127" t="n">
        <v>0</v>
      </c>
      <c r="R1127" t="n">
        <v>0</v>
      </c>
      <c r="S1127" t="n">
        <v>1</v>
      </c>
      <c r="T1127" t="n">
        <v>1</v>
      </c>
      <c r="U1127" t="n">
        <v>1</v>
      </c>
      <c r="V1127" s="2" t="inlineStr">
        <is>
          <t>Orre</t>
        </is>
      </c>
      <c r="W1127">
        <f>HYPERLINK("https://klasma.github.io/Logging_2029/artfynd/A 30449-2022 artfynd.xlsx", "A 30449-2022")</f>
        <v/>
      </c>
      <c r="X1127">
        <f>HYPERLINK("https://klasma.github.io/Logging_2029/kartor/A 30449-2022 karta.png", "A 30449-2022")</f>
        <v/>
      </c>
      <c r="Y1127">
        <f>HYPERLINK("https://klasma.github.io/Logging_2029/kartor_geotiff/A 30449-2022 georefererad karta.tif", "A 30449-2022")</f>
        <v/>
      </c>
      <c r="AA1127">
        <f>HYPERLINK("https://klasma.github.io/Logging_2029/klagomål/A 30449-2022 FSC-klagomål.docx", "A 30449-2022")</f>
        <v/>
      </c>
      <c r="AB1127">
        <f>HYPERLINK("https://klasma.github.io/Logging_2029/klagomålsmail/A 30449-2022 FSC-klagomål mail.docx", "A 30449-2022")</f>
        <v/>
      </c>
      <c r="AC1127">
        <f>HYPERLINK("https://klasma.github.io/Logging_2029/tillsyn/A 30449-2022 tillsynsbegäran.docx", "A 30449-2022")</f>
        <v/>
      </c>
      <c r="AD1127">
        <f>HYPERLINK("https://klasma.github.io/Logging_2029/tillsynsmail/A 30449-2022 tillsynsbegäran mail.docx", "A 30449-2022")</f>
        <v/>
      </c>
      <c r="AE1127">
        <f>HYPERLINK("https://klasma.github.io/Logging_2029/fåglar/A 30449-2022 prioriterade fågelarter.docx", "A 30449-2022")</f>
        <v/>
      </c>
    </row>
    <row r="1128" ht="15" customHeight="1">
      <c r="A1128" t="inlineStr">
        <is>
          <t>A 56807-2024</t>
        </is>
      </c>
      <c r="B1128" t="inlineStr">
        <is>
          <t>avverkningsanmälan</t>
        </is>
      </c>
      <c r="C1128" t="inlineStr">
        <is>
          <t>Föryngringsavverkning</t>
        </is>
      </c>
      <c r="D1128" s="1" t="n">
        <v>45628</v>
      </c>
      <c r="E1128" s="1" t="n">
        <v>46319</v>
      </c>
      <c r="F1128" t="inlineStr">
        <is>
          <t>DALARNAS LÄN</t>
        </is>
      </c>
      <c r="G1128" t="inlineStr">
        <is>
          <t>ORSA</t>
        </is>
      </c>
      <c r="I1128" t="n">
        <v>1.9</v>
      </c>
      <c r="J1128" t="n">
        <v>1</v>
      </c>
      <c r="K1128" t="n">
        <v>0</v>
      </c>
      <c r="L1128" t="n">
        <v>1</v>
      </c>
      <c r="M1128" t="n">
        <v>0</v>
      </c>
      <c r="N1128" t="n">
        <v>0</v>
      </c>
      <c r="O1128" t="n">
        <v>0</v>
      </c>
      <c r="P1128" t="n">
        <v>0</v>
      </c>
      <c r="Q1128" t="n">
        <v>1</v>
      </c>
      <c r="R1128" t="n">
        <v>0</v>
      </c>
      <c r="S1128" t="n">
        <v>1</v>
      </c>
      <c r="T1128" t="n">
        <v>1</v>
      </c>
      <c r="U1128" t="n">
        <v>0</v>
      </c>
      <c r="V1128" s="2" t="inlineStr">
        <is>
          <t>Lavskrika</t>
        </is>
      </c>
      <c r="W1128">
        <f>HYPERLINK("https://klasma.github.io/Logging_2034/artfynd/A 56807-2024 artfynd.xlsx", "A 56807-2024")</f>
        <v/>
      </c>
      <c r="X1128">
        <f>HYPERLINK("https://klasma.github.io/Logging_2034/kartor/A 56807-2024 karta.png", "A 56807-2024")</f>
        <v/>
      </c>
      <c r="Y1128">
        <f>HYPERLINK("https://klasma.github.io/Logging_2034/kartor_geotiff/A 56807-2024 georefererad karta.tif", "A 56807-2024")</f>
        <v/>
      </c>
      <c r="AA1128">
        <f>HYPERLINK("https://klasma.github.io/Logging_2034/klagomål/A 56807-2024 FSC-klagomål.docx", "A 56807-2024")</f>
        <v/>
      </c>
      <c r="AB1128">
        <f>HYPERLINK("https://klasma.github.io/Logging_2034/klagomålsmail/A 56807-2024 FSC-klagomål mail.docx", "A 56807-2024")</f>
        <v/>
      </c>
      <c r="AC1128">
        <f>HYPERLINK("https://klasma.github.io/Logging_2034/tillsyn/A 56807-2024 tillsynsbegäran.docx", "A 56807-2024")</f>
        <v/>
      </c>
      <c r="AD1128">
        <f>HYPERLINK("https://klasma.github.io/Logging_2034/tillsynsmail/A 56807-2024 tillsynsbegäran mail.docx", "A 56807-2024")</f>
        <v/>
      </c>
      <c r="AE1128">
        <f>HYPERLINK("https://klasma.github.io/Logging_2034/fåglar/A 56807-2024 prioriterade fågelarter.docx", "A 56807-2024")</f>
        <v/>
      </c>
    </row>
    <row r="1129" ht="15" customHeight="1">
      <c r="A1129" t="inlineStr">
        <is>
          <t>A 6280-2025</t>
        </is>
      </c>
      <c r="B1129" t="inlineStr">
        <is>
          <t>avverkningsanmälan</t>
        </is>
      </c>
      <c r="C1129" t="inlineStr">
        <is>
          <t>Föryngringsavverkning</t>
        </is>
      </c>
      <c r="D1129" s="1" t="n">
        <v>45698</v>
      </c>
      <c r="E1129" s="1" t="n">
        <v>46319</v>
      </c>
      <c r="F1129" t="inlineStr">
        <is>
          <t>DALARNAS LÄN</t>
        </is>
      </c>
      <c r="G1129" t="inlineStr">
        <is>
          <t>SMEDJEBACKEN</t>
        </is>
      </c>
      <c r="I1129" t="n">
        <v>3.3</v>
      </c>
      <c r="J1129" t="n">
        <v>0</v>
      </c>
      <c r="K1129" t="n">
        <v>1</v>
      </c>
      <c r="L1129" t="n">
        <v>0</v>
      </c>
      <c r="M1129" t="n">
        <v>0</v>
      </c>
      <c r="N1129" t="n">
        <v>0</v>
      </c>
      <c r="O1129" t="n">
        <v>0</v>
      </c>
      <c r="P1129" t="n">
        <v>0</v>
      </c>
      <c r="Q1129" t="n">
        <v>0</v>
      </c>
      <c r="R1129" t="n">
        <v>0</v>
      </c>
      <c r="S1129" t="n">
        <v>1</v>
      </c>
      <c r="T1129" t="n">
        <v>3</v>
      </c>
      <c r="U1129" t="n">
        <v>0</v>
      </c>
      <c r="V1129" s="2" t="inlineStr">
        <is>
          <t>Tibast</t>
        </is>
      </c>
      <c r="W1129">
        <f>HYPERLINK("https://klasma.github.io/Logging_2061/artfynd/A 6280-2025 artfynd.xlsx", "A 6280-2025")</f>
        <v/>
      </c>
      <c r="X1129">
        <f>HYPERLINK("https://klasma.github.io/Logging_2061/kartor/A 6280-2025 karta.png", "A 6280-2025")</f>
        <v/>
      </c>
      <c r="Y1129">
        <f>HYPERLINK("https://klasma.github.io/Logging_2061/kartor_geotiff/A 6280-2025 georefererad karta.tif", "A 6280-2025")</f>
        <v/>
      </c>
      <c r="AA1129">
        <f>HYPERLINK("https://klasma.github.io/Logging_2061/klagomål/A 6280-2025 FSC-klagomål.docx", "A 6280-2025")</f>
        <v/>
      </c>
      <c r="AB1129">
        <f>HYPERLINK("https://klasma.github.io/Logging_2061/klagomålsmail/A 6280-2025 FSC-klagomål mail.docx", "A 6280-2025")</f>
        <v/>
      </c>
      <c r="AC1129">
        <f>HYPERLINK("https://klasma.github.io/Logging_2061/tillsyn/A 6280-2025 tillsynsbegäran.docx", "A 6280-2025")</f>
        <v/>
      </c>
      <c r="AD1129">
        <f>HYPERLINK("https://klasma.github.io/Logging_2061/tillsynsmail/A 6280-2025 tillsynsbegäran mail.docx", "A 6280-2025")</f>
        <v/>
      </c>
    </row>
    <row r="1130" ht="15" customHeight="1">
      <c r="A1130" t="inlineStr">
        <is>
          <t>A 32584-2024</t>
        </is>
      </c>
      <c r="B1130" t="inlineStr">
        <is>
          <t>avverkningsanmälan</t>
        </is>
      </c>
      <c r="C1130" t="inlineStr">
        <is>
          <t>Föryngringsavverkning</t>
        </is>
      </c>
      <c r="D1130" s="1" t="n">
        <v>45513</v>
      </c>
      <c r="E1130" s="1" t="n">
        <v>46319</v>
      </c>
      <c r="F1130" t="inlineStr">
        <is>
          <t>DALARNAS LÄN</t>
        </is>
      </c>
      <c r="G1130" t="inlineStr">
        <is>
          <t>FALUN</t>
        </is>
      </c>
      <c r="I1130" t="n">
        <v>3.7</v>
      </c>
      <c r="J1130" t="n">
        <v>1</v>
      </c>
      <c r="K1130" t="n">
        <v>0</v>
      </c>
      <c r="L1130" t="n">
        <v>0</v>
      </c>
      <c r="M1130" t="n">
        <v>0</v>
      </c>
      <c r="N1130" t="n">
        <v>0</v>
      </c>
      <c r="O1130" t="n">
        <v>0</v>
      </c>
      <c r="P1130" t="n">
        <v>0</v>
      </c>
      <c r="Q1130" t="n">
        <v>0</v>
      </c>
      <c r="R1130" t="n">
        <v>0</v>
      </c>
      <c r="S1130" t="n">
        <v>1</v>
      </c>
      <c r="T1130" t="n">
        <v>1</v>
      </c>
      <c r="U1130" t="n">
        <v>0</v>
      </c>
      <c r="V1130" s="2" t="inlineStr">
        <is>
          <t>Kungsfågel</t>
        </is>
      </c>
      <c r="W1130">
        <f>HYPERLINK("https://klasma.github.io/Logging_2080/artfynd/A 32584-2024 artfynd.xlsx", "A 32584-2024")</f>
        <v/>
      </c>
      <c r="X1130">
        <f>HYPERLINK("https://klasma.github.io/Logging_2080/kartor/A 32584-2024 karta.png", "A 32584-2024")</f>
        <v/>
      </c>
      <c r="Y1130">
        <f>HYPERLINK("https://klasma.github.io/Logging_2080/kartor_geotiff/A 32584-2024 georefererad karta.tif", "A 32584-2024")</f>
        <v/>
      </c>
      <c r="AA1130">
        <f>HYPERLINK("https://klasma.github.io/Logging_2080/klagomål/A 32584-2024 FSC-klagomål.docx", "A 32584-2024")</f>
        <v/>
      </c>
      <c r="AB1130">
        <f>HYPERLINK("https://klasma.github.io/Logging_2080/klagomålsmail/A 32584-2024 FSC-klagomål mail.docx", "A 32584-2024")</f>
        <v/>
      </c>
      <c r="AC1130">
        <f>HYPERLINK("https://klasma.github.io/Logging_2080/tillsyn/A 32584-2024 tillsynsbegäran.docx", "A 32584-2024")</f>
        <v/>
      </c>
      <c r="AD1130">
        <f>HYPERLINK("https://klasma.github.io/Logging_2080/tillsynsmail/A 32584-2024 tillsynsbegäran mail.docx", "A 32584-2024")</f>
        <v/>
      </c>
    </row>
    <row r="1131" ht="15" customHeight="1">
      <c r="A1131" t="inlineStr">
        <is>
          <t>A 39396-2025</t>
        </is>
      </c>
      <c r="B1131" t="inlineStr">
        <is>
          <t>avverkningsanmälan</t>
        </is>
      </c>
      <c r="C1131" t="inlineStr">
        <is>
          <t>Föryngringsavverkning</t>
        </is>
      </c>
      <c r="D1131" s="1" t="n">
        <v>45889</v>
      </c>
      <c r="E1131" s="1" t="n">
        <v>46319</v>
      </c>
      <c r="F1131" t="inlineStr">
        <is>
          <t>DALARNAS LÄN</t>
        </is>
      </c>
      <c r="G1131" t="inlineStr">
        <is>
          <t>HEDEMORA</t>
        </is>
      </c>
      <c r="H1131" t="inlineStr">
        <is>
          <t>Sveaskog</t>
        </is>
      </c>
      <c r="I1131" t="n">
        <v>4.3</v>
      </c>
      <c r="J1131" t="n">
        <v>1</v>
      </c>
      <c r="K1131" t="n">
        <v>0</v>
      </c>
      <c r="L1131" t="n">
        <v>0</v>
      </c>
      <c r="M1131" t="n">
        <v>1</v>
      </c>
      <c r="N1131" t="n">
        <v>0</v>
      </c>
      <c r="O1131" t="n">
        <v>0</v>
      </c>
      <c r="P1131" t="n">
        <v>0</v>
      </c>
      <c r="Q1131" t="n">
        <v>1</v>
      </c>
      <c r="R1131" t="n">
        <v>1</v>
      </c>
      <c r="S1131" t="n">
        <v>1</v>
      </c>
      <c r="T1131" t="n">
        <v>1</v>
      </c>
      <c r="U1131" t="n">
        <v>0</v>
      </c>
      <c r="V1131" s="2" t="inlineStr">
        <is>
          <t>Knärot</t>
        </is>
      </c>
      <c r="W1131">
        <f>HYPERLINK("https://klasma.github.io/Logging_2083/artfynd/A 39396-2025 artfynd.xlsx", "A 39396-2025")</f>
        <v/>
      </c>
      <c r="X1131">
        <f>HYPERLINK("https://klasma.github.io/Logging_2083/kartor/A 39396-2025 karta.png", "A 39396-2025")</f>
        <v/>
      </c>
      <c r="Y1131">
        <f>HYPERLINK("https://klasma.github.io/Logging_2083/kartor_geotiff/A 39396-2025 georefererad karta.tif", "A 39396-2025")</f>
        <v/>
      </c>
      <c r="Z1131">
        <f>HYPERLINK("https://klasma.github.io/Logging_2083/knärot/A 39396-2025 karta knärot.png", "A 39396-2025")</f>
        <v/>
      </c>
      <c r="AA1131">
        <f>HYPERLINK("https://klasma.github.io/Logging_2083/klagomål/A 39396-2025 FSC-klagomål.docx", "A 39396-2025")</f>
        <v/>
      </c>
      <c r="AB1131">
        <f>HYPERLINK("https://klasma.github.io/Logging_2083/klagomålsmail/A 39396-2025 FSC-klagomål mail.docx", "A 39396-2025")</f>
        <v/>
      </c>
      <c r="AC1131">
        <f>HYPERLINK("https://klasma.github.io/Logging_2083/tillsyn/A 39396-2025 tillsynsbegäran.docx", "A 39396-2025")</f>
        <v/>
      </c>
      <c r="AD1131">
        <f>HYPERLINK("https://klasma.github.io/Logging_2083/tillsynsmail/A 39396-2025 tillsynsbegäran mail.docx", "A 39396-2025")</f>
        <v/>
      </c>
    </row>
    <row r="1132" ht="15" customHeight="1">
      <c r="A1132" t="inlineStr">
        <is>
          <t>A 40212-2025</t>
        </is>
      </c>
      <c r="B1132" t="inlineStr">
        <is>
          <t>avverkningsanmälan</t>
        </is>
      </c>
      <c r="C1132" t="inlineStr">
        <is>
          <t>Föryngringsavverkning</t>
        </is>
      </c>
      <c r="D1132" s="1" t="n">
        <v>45894</v>
      </c>
      <c r="E1132" s="1" t="n">
        <v>46319</v>
      </c>
      <c r="F1132" t="inlineStr">
        <is>
          <t>DALARNAS LÄN</t>
        </is>
      </c>
      <c r="G1132" t="inlineStr">
        <is>
          <t>RÄTTVIK</t>
        </is>
      </c>
      <c r="H1132" t="inlineStr">
        <is>
          <t>Sveaskog</t>
        </is>
      </c>
      <c r="I1132" t="n">
        <v>2.8</v>
      </c>
      <c r="J1132" t="n">
        <v>1</v>
      </c>
      <c r="K1132" t="n">
        <v>0</v>
      </c>
      <c r="L1132" t="n">
        <v>0</v>
      </c>
      <c r="M1132" t="n">
        <v>0</v>
      </c>
      <c r="N1132" t="n">
        <v>0</v>
      </c>
      <c r="O1132" t="n">
        <v>0</v>
      </c>
      <c r="P1132" t="n">
        <v>0</v>
      </c>
      <c r="Q1132" t="n">
        <v>0</v>
      </c>
      <c r="R1132" t="n">
        <v>0</v>
      </c>
      <c r="S1132" t="n">
        <v>1</v>
      </c>
      <c r="T1132" t="n">
        <v>1</v>
      </c>
      <c r="U1132" t="n">
        <v>0</v>
      </c>
      <c r="V1132" s="2" t="inlineStr">
        <is>
          <t>Utter</t>
        </is>
      </c>
      <c r="W1132">
        <f>HYPERLINK("https://klasma.github.io/Logging_2031/artfynd/A 40212-2025 artfynd.xlsx", "A 40212-2025")</f>
        <v/>
      </c>
      <c r="X1132">
        <f>HYPERLINK("https://klasma.github.io/Logging_2031/kartor/A 40212-2025 karta.png", "A 40212-2025")</f>
        <v/>
      </c>
      <c r="Y1132">
        <f>HYPERLINK("https://klasma.github.io/Logging_2031/kartor_geotiff/A 40212-2025 georefererad karta.tif", "A 40212-2025")</f>
        <v/>
      </c>
      <c r="AA1132">
        <f>HYPERLINK("https://klasma.github.io/Logging_2031/klagomål/A 40212-2025 FSC-klagomål.docx", "A 40212-2025")</f>
        <v/>
      </c>
      <c r="AB1132">
        <f>HYPERLINK("https://klasma.github.io/Logging_2031/klagomålsmail/A 40212-2025 FSC-klagomål mail.docx", "A 40212-2025")</f>
        <v/>
      </c>
      <c r="AC1132">
        <f>HYPERLINK("https://klasma.github.io/Logging_2031/tillsyn/A 40212-2025 tillsynsbegäran.docx", "A 40212-2025")</f>
        <v/>
      </c>
      <c r="AD1132">
        <f>HYPERLINK("https://klasma.github.io/Logging_2031/tillsynsmail/A 40212-2025 tillsynsbegäran mail.docx", "A 40212-2025")</f>
        <v/>
      </c>
    </row>
    <row r="1133" ht="15" customHeight="1">
      <c r="A1133" t="inlineStr">
        <is>
          <t>A 40405-2025</t>
        </is>
      </c>
      <c r="B1133" t="inlineStr">
        <is>
          <t>avverkningsanmälan</t>
        </is>
      </c>
      <c r="C1133" t="inlineStr">
        <is>
          <t>Föryngringsavverkning</t>
        </is>
      </c>
      <c r="D1133" s="1" t="n">
        <v>45895</v>
      </c>
      <c r="E1133" s="1" t="n">
        <v>46319</v>
      </c>
      <c r="F1133" t="inlineStr">
        <is>
          <t>DALARNAS LÄN</t>
        </is>
      </c>
      <c r="G1133" t="inlineStr">
        <is>
          <t>RÄTTVIK</t>
        </is>
      </c>
      <c r="I1133" t="n">
        <v>3.4</v>
      </c>
      <c r="J1133" t="n">
        <v>0</v>
      </c>
      <c r="K1133" t="n">
        <v>0</v>
      </c>
      <c r="L1133" t="n">
        <v>0</v>
      </c>
      <c r="M1133" t="n">
        <v>1</v>
      </c>
      <c r="N1133" t="n">
        <v>0</v>
      </c>
      <c r="O1133" t="n">
        <v>0</v>
      </c>
      <c r="P1133" t="n">
        <v>0</v>
      </c>
      <c r="Q1133" t="n">
        <v>1</v>
      </c>
      <c r="R1133" t="n">
        <v>1</v>
      </c>
      <c r="S1133" t="n">
        <v>1</v>
      </c>
      <c r="T1133" t="n">
        <v>1</v>
      </c>
      <c r="U1133" t="n">
        <v>1</v>
      </c>
      <c r="V1133" s="2" t="inlineStr">
        <is>
          <t>Garnlav</t>
        </is>
      </c>
      <c r="W1133">
        <f>HYPERLINK("https://klasma.github.io/Logging_2031/artfynd/A 40405-2025 artfynd.xlsx", "A 40405-2025")</f>
        <v/>
      </c>
      <c r="X1133">
        <f>HYPERLINK("https://klasma.github.io/Logging_2031/kartor/A 40405-2025 karta.png", "A 40405-2025")</f>
        <v/>
      </c>
      <c r="Y1133">
        <f>HYPERLINK("https://klasma.github.io/Logging_2031/kartor_geotiff/A 40405-2025 georefererad karta.tif", "A 40405-2025")</f>
        <v/>
      </c>
      <c r="AA1133">
        <f>HYPERLINK("https://klasma.github.io/Logging_2031/klagomål/A 40405-2025 FSC-klagomål.docx", "A 40405-2025")</f>
        <v/>
      </c>
      <c r="AB1133">
        <f>HYPERLINK("https://klasma.github.io/Logging_2031/klagomålsmail/A 40405-2025 FSC-klagomål mail.docx", "A 40405-2025")</f>
        <v/>
      </c>
      <c r="AC1133">
        <f>HYPERLINK("https://klasma.github.io/Logging_2031/tillsyn/A 40405-2025 tillsynsbegäran.docx", "A 40405-2025")</f>
        <v/>
      </c>
      <c r="AD1133">
        <f>HYPERLINK("https://klasma.github.io/Logging_2031/tillsynsmail/A 40405-2025 tillsynsbegäran mail.docx", "A 40405-2025")</f>
        <v/>
      </c>
    </row>
    <row r="1134" ht="15" customHeight="1">
      <c r="A1134" t="inlineStr">
        <is>
          <t>A 58616-2023</t>
        </is>
      </c>
      <c r="B1134" t="inlineStr">
        <is>
          <t>avverkningsanmälan</t>
        </is>
      </c>
      <c r="C1134" t="inlineStr">
        <is>
          <t>Avverkning för annat ändamål</t>
        </is>
      </c>
      <c r="D1134" s="1" t="n">
        <v>45251</v>
      </c>
      <c r="E1134" s="1" t="n">
        <v>46319</v>
      </c>
      <c r="F1134" t="inlineStr">
        <is>
          <t>DALARNAS LÄN</t>
        </is>
      </c>
      <c r="G1134" t="inlineStr">
        <is>
          <t>BORLÄNGE</t>
        </is>
      </c>
      <c r="I1134" t="n">
        <v>2.5</v>
      </c>
      <c r="J1134" t="n">
        <v>0</v>
      </c>
      <c r="K1134" t="n">
        <v>0</v>
      </c>
      <c r="L1134" t="n">
        <v>1</v>
      </c>
      <c r="M1134" t="n">
        <v>0</v>
      </c>
      <c r="N1134" t="n">
        <v>0</v>
      </c>
      <c r="O1134" t="n">
        <v>0</v>
      </c>
      <c r="P1134" t="n">
        <v>0</v>
      </c>
      <c r="Q1134" t="n">
        <v>1</v>
      </c>
      <c r="R1134" t="n">
        <v>0</v>
      </c>
      <c r="S1134" t="n">
        <v>1</v>
      </c>
      <c r="T1134" t="n">
        <v>1</v>
      </c>
      <c r="U1134" t="n">
        <v>0</v>
      </c>
      <c r="V1134" s="2" t="inlineStr">
        <is>
          <t>Ullticka</t>
        </is>
      </c>
      <c r="W1134">
        <f>HYPERLINK("https://klasma.github.io/Logging_2081/artfynd/A 58616-2023 artfynd.xlsx", "A 58616-2023")</f>
        <v/>
      </c>
      <c r="X1134">
        <f>HYPERLINK("https://klasma.github.io/Logging_2081/kartor/A 58616-2023 karta.png", "A 58616-2023")</f>
        <v/>
      </c>
      <c r="Y1134">
        <f>HYPERLINK("https://klasma.github.io/Logging_2081/kartor_geotiff/A 58616-2023 georefererad karta.tif", "A 58616-2023")</f>
        <v/>
      </c>
      <c r="AA1134">
        <f>HYPERLINK("https://klasma.github.io/Logging_2081/klagomål/A 58616-2023 FSC-klagomål.docx", "A 58616-2023")</f>
        <v/>
      </c>
      <c r="AB1134">
        <f>HYPERLINK("https://klasma.github.io/Logging_2081/klagomålsmail/A 58616-2023 FSC-klagomål mail.docx", "A 58616-2023")</f>
        <v/>
      </c>
      <c r="AC1134">
        <f>HYPERLINK("https://klasma.github.io/Logging_2081/tillsyn/A 58616-2023 tillsynsbegäran.docx", "A 58616-2023")</f>
        <v/>
      </c>
      <c r="AD1134">
        <f>HYPERLINK("https://klasma.github.io/Logging_2081/tillsynsmail/A 58616-2023 tillsynsbegäran mail.docx", "A 58616-2023")</f>
        <v/>
      </c>
    </row>
    <row r="1135" ht="15" customHeight="1">
      <c r="A1135" t="inlineStr">
        <is>
          <t>A 11154-2025</t>
        </is>
      </c>
      <c r="B1135" t="inlineStr">
        <is>
          <t>avverkningsanmälan</t>
        </is>
      </c>
      <c r="C1135" t="inlineStr">
        <is>
          <t>Föryngringsavverkning</t>
        </is>
      </c>
      <c r="D1135" s="1" t="n">
        <v>45723</v>
      </c>
      <c r="E1135" s="1" t="n">
        <v>46319</v>
      </c>
      <c r="F1135" t="inlineStr">
        <is>
          <t>DALARNAS LÄN</t>
        </is>
      </c>
      <c r="G1135" t="inlineStr">
        <is>
          <t>SMEDJEBACKEN</t>
        </is>
      </c>
      <c r="H1135" t="inlineStr">
        <is>
          <t>Bergvik skog väst AB</t>
        </is>
      </c>
      <c r="I1135" t="n">
        <v>0.7</v>
      </c>
      <c r="J1135" t="n">
        <v>0</v>
      </c>
      <c r="K1135" t="n">
        <v>1</v>
      </c>
      <c r="L1135" t="n">
        <v>0</v>
      </c>
      <c r="M1135" t="n">
        <v>0</v>
      </c>
      <c r="N1135" t="n">
        <v>0</v>
      </c>
      <c r="O1135" t="n">
        <v>0</v>
      </c>
      <c r="P1135" t="n">
        <v>0</v>
      </c>
      <c r="Q1135" t="n">
        <v>0</v>
      </c>
      <c r="R1135" t="n">
        <v>0</v>
      </c>
      <c r="S1135" t="n">
        <v>1</v>
      </c>
      <c r="T1135" t="n">
        <v>1</v>
      </c>
      <c r="U1135" t="n">
        <v>1</v>
      </c>
      <c r="V1135" s="2" t="inlineStr">
        <is>
          <t>Tibast</t>
        </is>
      </c>
      <c r="W1135">
        <f>HYPERLINK("https://klasma.github.io/Logging_2061/artfynd/A 11154-2025 artfynd.xlsx", "A 11154-2025")</f>
        <v/>
      </c>
      <c r="X1135">
        <f>HYPERLINK("https://klasma.github.io/Logging_2061/kartor/A 11154-2025 karta.png", "A 11154-2025")</f>
        <v/>
      </c>
      <c r="Y1135">
        <f>HYPERLINK("https://klasma.github.io/Logging_2061/kartor_geotiff/A 11154-2025 georefererad karta.tif", "A 11154-2025")</f>
        <v/>
      </c>
      <c r="AA1135">
        <f>HYPERLINK("https://klasma.github.io/Logging_2061/klagomål/A 11154-2025 FSC-klagomål.docx", "A 11154-2025")</f>
        <v/>
      </c>
      <c r="AB1135">
        <f>HYPERLINK("https://klasma.github.io/Logging_2061/klagomålsmail/A 11154-2025 FSC-klagomål mail.docx", "A 11154-2025")</f>
        <v/>
      </c>
      <c r="AC1135">
        <f>HYPERLINK("https://klasma.github.io/Logging_2061/tillsyn/A 11154-2025 tillsynsbegäran.docx", "A 11154-2025")</f>
        <v/>
      </c>
      <c r="AD1135">
        <f>HYPERLINK("https://klasma.github.io/Logging_2061/tillsynsmail/A 11154-2025 tillsynsbegäran mail.docx", "A 11154-2025")</f>
        <v/>
      </c>
    </row>
    <row r="1136" ht="15" customHeight="1">
      <c r="A1136" t="inlineStr">
        <is>
          <t>A 37722-2024</t>
        </is>
      </c>
      <c r="B1136" t="inlineStr">
        <is>
          <t>avverkningsanmälan</t>
        </is>
      </c>
      <c r="C1136" t="inlineStr">
        <is>
          <t>Föryngringsavverkning</t>
        </is>
      </c>
      <c r="D1136" s="1" t="n">
        <v>45541</v>
      </c>
      <c r="E1136" s="1" t="n">
        <v>46319</v>
      </c>
      <c r="F1136" t="inlineStr">
        <is>
          <t>DALARNAS LÄN</t>
        </is>
      </c>
      <c r="G1136" t="inlineStr">
        <is>
          <t>BORLÄNGE</t>
        </is>
      </c>
      <c r="I1136" t="n">
        <v>1.2</v>
      </c>
      <c r="J1136" t="n">
        <v>0</v>
      </c>
      <c r="K1136" t="n">
        <v>0</v>
      </c>
      <c r="L1136" t="n">
        <v>1</v>
      </c>
      <c r="M1136" t="n">
        <v>0</v>
      </c>
      <c r="N1136" t="n">
        <v>0</v>
      </c>
      <c r="O1136" t="n">
        <v>0</v>
      </c>
      <c r="P1136" t="n">
        <v>0</v>
      </c>
      <c r="Q1136" t="n">
        <v>1</v>
      </c>
      <c r="R1136" t="n">
        <v>0</v>
      </c>
      <c r="S1136" t="n">
        <v>1</v>
      </c>
      <c r="T1136" t="n">
        <v>1</v>
      </c>
      <c r="U1136" t="n">
        <v>0</v>
      </c>
      <c r="V1136" s="2" t="inlineStr">
        <is>
          <t>Motaggsvamp</t>
        </is>
      </c>
      <c r="W1136">
        <f>HYPERLINK("https://klasma.github.io/Logging_2081/artfynd/A 37722-2024 artfynd.xlsx", "A 37722-2024")</f>
        <v/>
      </c>
      <c r="X1136">
        <f>HYPERLINK("https://klasma.github.io/Logging_2081/kartor/A 37722-2024 karta.png", "A 37722-2024")</f>
        <v/>
      </c>
      <c r="Y1136">
        <f>HYPERLINK("https://klasma.github.io/Logging_2081/kartor_geotiff/A 37722-2024 georefererad karta.tif", "A 37722-2024")</f>
        <v/>
      </c>
      <c r="AA1136">
        <f>HYPERLINK("https://klasma.github.io/Logging_2081/klagomål/A 37722-2024 FSC-klagomål.docx", "A 37722-2024")</f>
        <v/>
      </c>
      <c r="AB1136">
        <f>HYPERLINK("https://klasma.github.io/Logging_2081/klagomålsmail/A 37722-2024 FSC-klagomål mail.docx", "A 37722-2024")</f>
        <v/>
      </c>
      <c r="AC1136">
        <f>HYPERLINK("https://klasma.github.io/Logging_2081/tillsyn/A 37722-2024 tillsynsbegäran.docx", "A 37722-2024")</f>
        <v/>
      </c>
      <c r="AD1136">
        <f>HYPERLINK("https://klasma.github.io/Logging_2081/tillsynsmail/A 37722-2024 tillsynsbegäran mail.docx", "A 37722-2024")</f>
        <v/>
      </c>
    </row>
    <row r="1137" ht="15" customHeight="1">
      <c r="A1137" t="inlineStr">
        <is>
          <t>A 41927-2025</t>
        </is>
      </c>
      <c r="B1137" t="inlineStr">
        <is>
          <t>avverkningsanmälan</t>
        </is>
      </c>
      <c r="C1137" t="inlineStr">
        <is>
          <t>Föryngringsavverkning</t>
        </is>
      </c>
      <c r="D1137" s="1" t="n">
        <v>45903</v>
      </c>
      <c r="E1137" s="1" t="n">
        <v>46319</v>
      </c>
      <c r="F1137" t="inlineStr">
        <is>
          <t>DALARNAS LÄN</t>
        </is>
      </c>
      <c r="G1137" t="inlineStr">
        <is>
          <t>ORSA</t>
        </is>
      </c>
      <c r="I1137" t="n">
        <v>2.4</v>
      </c>
      <c r="J1137" t="n">
        <v>0</v>
      </c>
      <c r="K1137" t="n">
        <v>0</v>
      </c>
      <c r="L1137" t="n">
        <v>1</v>
      </c>
      <c r="M1137" t="n">
        <v>0</v>
      </c>
      <c r="N1137" t="n">
        <v>0</v>
      </c>
      <c r="O1137" t="n">
        <v>0</v>
      </c>
      <c r="P1137" t="n">
        <v>0</v>
      </c>
      <c r="Q1137" t="n">
        <v>1</v>
      </c>
      <c r="R1137" t="n">
        <v>0</v>
      </c>
      <c r="S1137" t="n">
        <v>1</v>
      </c>
      <c r="T1137" t="n">
        <v>1</v>
      </c>
      <c r="U1137" t="n">
        <v>0</v>
      </c>
      <c r="V1137" s="2" t="inlineStr">
        <is>
          <t>Dofttaggsvamp</t>
        </is>
      </c>
      <c r="W1137">
        <f>HYPERLINK("https://klasma.github.io/Logging_2034/artfynd/A 41927-2025 artfynd.xlsx", "A 41927-2025")</f>
        <v/>
      </c>
      <c r="X1137">
        <f>HYPERLINK("https://klasma.github.io/Logging_2034/kartor/A 41927-2025 karta.png", "A 41927-2025")</f>
        <v/>
      </c>
      <c r="Y1137">
        <f>HYPERLINK("https://klasma.github.io/Logging_2034/kartor_geotiff/A 41927-2025 georefererad karta.tif", "A 41927-2025")</f>
        <v/>
      </c>
      <c r="AA1137">
        <f>HYPERLINK("https://klasma.github.io/Logging_2034/klagomål/A 41927-2025 FSC-klagomål.docx", "A 41927-2025")</f>
        <v/>
      </c>
      <c r="AB1137">
        <f>HYPERLINK("https://klasma.github.io/Logging_2034/klagomålsmail/A 41927-2025 FSC-klagomål mail.docx", "A 41927-2025")</f>
        <v/>
      </c>
      <c r="AC1137">
        <f>HYPERLINK("https://klasma.github.io/Logging_2034/tillsyn/A 41927-2025 tillsynsbegäran.docx", "A 41927-2025")</f>
        <v/>
      </c>
      <c r="AD1137">
        <f>HYPERLINK("https://klasma.github.io/Logging_2034/tillsynsmail/A 41927-2025 tillsynsbegäran mail.docx", "A 41927-2025")</f>
        <v/>
      </c>
    </row>
    <row r="1138" ht="15" customHeight="1">
      <c r="A1138" t="inlineStr">
        <is>
          <t>A 41932-2025</t>
        </is>
      </c>
      <c r="B1138" t="inlineStr">
        <is>
          <t>avverkningsanmälan</t>
        </is>
      </c>
      <c r="C1138" t="inlineStr">
        <is>
          <t>Avverkning för att bevara och utveckla /försöksver</t>
        </is>
      </c>
      <c r="D1138" s="1" t="n">
        <v>45903</v>
      </c>
      <c r="E1138" s="1" t="n">
        <v>46319</v>
      </c>
      <c r="F1138" t="inlineStr">
        <is>
          <t>DALARNAS LÄN</t>
        </is>
      </c>
      <c r="G1138" t="inlineStr">
        <is>
          <t>ÄLVDALEN</t>
        </is>
      </c>
      <c r="H1138" t="inlineStr">
        <is>
          <t>Sveaskog</t>
        </is>
      </c>
      <c r="I1138" t="n">
        <v>5.5</v>
      </c>
      <c r="J1138" t="n">
        <v>0</v>
      </c>
      <c r="K1138" t="n">
        <v>0</v>
      </c>
      <c r="L1138" t="n">
        <v>1</v>
      </c>
      <c r="M1138" t="n">
        <v>0</v>
      </c>
      <c r="N1138" t="n">
        <v>0</v>
      </c>
      <c r="O1138" t="n">
        <v>0</v>
      </c>
      <c r="P1138" t="n">
        <v>0</v>
      </c>
      <c r="Q1138" t="n">
        <v>1</v>
      </c>
      <c r="R1138" t="n">
        <v>0</v>
      </c>
      <c r="S1138" t="n">
        <v>1</v>
      </c>
      <c r="T1138" t="n">
        <v>1</v>
      </c>
      <c r="U1138" t="n">
        <v>0</v>
      </c>
      <c r="V1138" s="2" t="inlineStr">
        <is>
          <t>Dropptaggsvamp</t>
        </is>
      </c>
      <c r="W1138">
        <f>HYPERLINK("https://klasma.github.io/Logging_2039/artfynd/A 41932-2025 artfynd.xlsx", "A 41932-2025")</f>
        <v/>
      </c>
      <c r="X1138">
        <f>HYPERLINK("https://klasma.github.io/Logging_2039/kartor/A 41932-2025 karta.png", "A 41932-2025")</f>
        <v/>
      </c>
      <c r="Y1138">
        <f>HYPERLINK("https://klasma.github.io/Logging_2039/kartor_geotiff/A 41932-2025 georefererad karta.tif", "A 41932-2025")</f>
        <v/>
      </c>
      <c r="AA1138">
        <f>HYPERLINK("https://klasma.github.io/Logging_2039/klagomål/A 41932-2025 FSC-klagomål.docx", "A 41932-2025")</f>
        <v/>
      </c>
      <c r="AB1138">
        <f>HYPERLINK("https://klasma.github.io/Logging_2039/klagomålsmail/A 41932-2025 FSC-klagomål mail.docx", "A 41932-2025")</f>
        <v/>
      </c>
      <c r="AC1138">
        <f>HYPERLINK("https://klasma.github.io/Logging_2039/tillsyn/A 41932-2025 tillsynsbegäran.docx", "A 41932-2025")</f>
        <v/>
      </c>
      <c r="AD1138">
        <f>HYPERLINK("https://klasma.github.io/Logging_2039/tillsynsmail/A 41932-2025 tillsynsbegäran mail.docx", "A 41932-2025")</f>
        <v/>
      </c>
    </row>
    <row r="1139" ht="15" customHeight="1">
      <c r="A1139" t="inlineStr">
        <is>
          <t>A 33605-2022</t>
        </is>
      </c>
      <c r="B1139" t="inlineStr">
        <is>
          <t>avverkningsanmälan</t>
        </is>
      </c>
      <c r="C1139" t="inlineStr">
        <is>
          <t>Föryngringsavverkning</t>
        </is>
      </c>
      <c r="D1139" s="1" t="n">
        <v>44789</v>
      </c>
      <c r="E1139" s="1" t="n">
        <v>46319</v>
      </c>
      <c r="F1139" t="inlineStr">
        <is>
          <t>DALARNAS LÄN</t>
        </is>
      </c>
      <c r="G1139" t="inlineStr">
        <is>
          <t>SÄTER</t>
        </is>
      </c>
      <c r="I1139" t="n">
        <v>1.2</v>
      </c>
      <c r="J1139" t="n">
        <v>0</v>
      </c>
      <c r="K1139" t="n">
        <v>0</v>
      </c>
      <c r="L1139" t="n">
        <v>1</v>
      </c>
      <c r="M1139" t="n">
        <v>0</v>
      </c>
      <c r="N1139" t="n">
        <v>0</v>
      </c>
      <c r="O1139" t="n">
        <v>0</v>
      </c>
      <c r="P1139" t="n">
        <v>0</v>
      </c>
      <c r="Q1139" t="n">
        <v>1</v>
      </c>
      <c r="R1139" t="n">
        <v>0</v>
      </c>
      <c r="S1139" t="n">
        <v>1</v>
      </c>
      <c r="T1139" t="n">
        <v>1</v>
      </c>
      <c r="U1139" t="n">
        <v>1</v>
      </c>
      <c r="V1139" s="2" t="inlineStr">
        <is>
          <t>Ullticka</t>
        </is>
      </c>
      <c r="W1139">
        <f>HYPERLINK("https://klasma.github.io/Logging_2082/artfynd/A 33605-2022 artfynd.xlsx", "A 33605-2022")</f>
        <v/>
      </c>
      <c r="X1139">
        <f>HYPERLINK("https://klasma.github.io/Logging_2082/kartor/A 33605-2022 karta.png", "A 33605-2022")</f>
        <v/>
      </c>
      <c r="Y1139">
        <f>HYPERLINK("https://klasma.github.io/Logging_2082/kartor_geotiff/A 33605-2022 georefererad karta.tif", "A 33605-2022")</f>
        <v/>
      </c>
      <c r="AA1139">
        <f>HYPERLINK("https://klasma.github.io/Logging_2082/klagomål/A 33605-2022 FSC-klagomål.docx", "A 33605-2022")</f>
        <v/>
      </c>
      <c r="AB1139">
        <f>HYPERLINK("https://klasma.github.io/Logging_2082/klagomålsmail/A 33605-2022 FSC-klagomål mail.docx", "A 33605-2022")</f>
        <v/>
      </c>
      <c r="AC1139">
        <f>HYPERLINK("https://klasma.github.io/Logging_2082/tillsyn/A 33605-2022 tillsynsbegäran.docx", "A 33605-2022")</f>
        <v/>
      </c>
      <c r="AD1139">
        <f>HYPERLINK("https://klasma.github.io/Logging_2082/tillsynsmail/A 33605-2022 tillsynsbegäran mail.docx", "A 33605-2022")</f>
        <v/>
      </c>
    </row>
    <row r="1140" ht="15" customHeight="1">
      <c r="A1140" t="inlineStr">
        <is>
          <t>A 42364-2025</t>
        </is>
      </c>
      <c r="B1140" t="inlineStr">
        <is>
          <t>avverkningsanmälan</t>
        </is>
      </c>
      <c r="C1140" t="inlineStr">
        <is>
          <t>Föryngringsavverkning</t>
        </is>
      </c>
      <c r="D1140" s="1" t="n">
        <v>45905</v>
      </c>
      <c r="E1140" s="1" t="n">
        <v>46319</v>
      </c>
      <c r="F1140" t="inlineStr">
        <is>
          <t>DALARNAS LÄN</t>
        </is>
      </c>
      <c r="G1140" t="inlineStr">
        <is>
          <t>FALUN</t>
        </is>
      </c>
      <c r="H1140" t="inlineStr">
        <is>
          <t>Bergvik skog väst AB</t>
        </is>
      </c>
      <c r="I1140" t="n">
        <v>24.1</v>
      </c>
      <c r="J1140" t="n">
        <v>1</v>
      </c>
      <c r="K1140" t="n">
        <v>0</v>
      </c>
      <c r="L1140" t="n">
        <v>0</v>
      </c>
      <c r="M1140" t="n">
        <v>0</v>
      </c>
      <c r="N1140" t="n">
        <v>0</v>
      </c>
      <c r="O1140" t="n">
        <v>0</v>
      </c>
      <c r="P1140" t="n">
        <v>0</v>
      </c>
      <c r="Q1140" t="n">
        <v>0</v>
      </c>
      <c r="R1140" t="n">
        <v>0</v>
      </c>
      <c r="S1140" t="n">
        <v>1</v>
      </c>
      <c r="T1140" t="n">
        <v>2</v>
      </c>
      <c r="U1140" t="n">
        <v>2</v>
      </c>
      <c r="V1140" s="2" t="inlineStr">
        <is>
          <t>Fläcknycklar</t>
        </is>
      </c>
      <c r="W1140">
        <f>HYPERLINK("https://klasma.github.io/Logging_2080/artfynd/A 42364-2025 artfynd.xlsx", "A 42364-2025")</f>
        <v/>
      </c>
      <c r="X1140">
        <f>HYPERLINK("https://klasma.github.io/Logging_2080/kartor/A 42364-2025 karta.png", "A 42364-2025")</f>
        <v/>
      </c>
      <c r="Y1140">
        <f>HYPERLINK("https://klasma.github.io/Logging_2080/kartor_geotiff/A 42364-2025 georefererad karta.tif", "A 42364-2025")</f>
        <v/>
      </c>
      <c r="AA1140">
        <f>HYPERLINK("https://klasma.github.io/Logging_2080/klagomål/A 42364-2025 FSC-klagomål.docx", "A 42364-2025")</f>
        <v/>
      </c>
      <c r="AB1140">
        <f>HYPERLINK("https://klasma.github.io/Logging_2080/klagomålsmail/A 42364-2025 FSC-klagomål mail.docx", "A 42364-2025")</f>
        <v/>
      </c>
      <c r="AC1140">
        <f>HYPERLINK("https://klasma.github.io/Logging_2080/tillsyn/A 42364-2025 tillsynsbegäran.docx", "A 42364-2025")</f>
        <v/>
      </c>
      <c r="AD1140">
        <f>HYPERLINK("https://klasma.github.io/Logging_2080/tillsynsmail/A 42364-2025 tillsynsbegäran mail.docx", "A 42364-2025")</f>
        <v/>
      </c>
    </row>
    <row r="1141" ht="15" customHeight="1">
      <c r="A1141" t="inlineStr">
        <is>
          <t>A 16818-2024</t>
        </is>
      </c>
      <c r="B1141" t="inlineStr">
        <is>
          <t>avverkningsanmälan</t>
        </is>
      </c>
      <c r="C1141" t="inlineStr">
        <is>
          <t>Föryngringsavverkning</t>
        </is>
      </c>
      <c r="D1141" s="1" t="n">
        <v>45411</v>
      </c>
      <c r="E1141" s="1" t="n">
        <v>46319</v>
      </c>
      <c r="F1141" t="inlineStr">
        <is>
          <t>DALARNAS LÄN</t>
        </is>
      </c>
      <c r="G1141" t="inlineStr">
        <is>
          <t>RÄTTVIK</t>
        </is>
      </c>
      <c r="H1141" t="inlineStr">
        <is>
          <t>Sveaskog</t>
        </is>
      </c>
      <c r="I1141" t="n">
        <v>2.5</v>
      </c>
      <c r="J1141" t="n">
        <v>1</v>
      </c>
      <c r="K1141" t="n">
        <v>1</v>
      </c>
      <c r="L1141" t="n">
        <v>0</v>
      </c>
      <c r="M1141" t="n">
        <v>0</v>
      </c>
      <c r="N1141" t="n">
        <v>0</v>
      </c>
      <c r="O1141" t="n">
        <v>0</v>
      </c>
      <c r="P1141" t="n">
        <v>0</v>
      </c>
      <c r="Q1141" t="n">
        <v>0</v>
      </c>
      <c r="R1141" t="n">
        <v>0</v>
      </c>
      <c r="S1141" t="n">
        <v>1</v>
      </c>
      <c r="T1141" t="n">
        <v>1</v>
      </c>
      <c r="U1141" t="n">
        <v>1</v>
      </c>
      <c r="V1141" s="2" t="inlineStr">
        <is>
          <t>Plattlummer</t>
        </is>
      </c>
      <c r="W1141">
        <f>HYPERLINK("https://klasma.github.io/Logging_2031/artfynd/A 16818-2024 artfynd.xlsx", "A 16818-2024")</f>
        <v/>
      </c>
      <c r="X1141">
        <f>HYPERLINK("https://klasma.github.io/Logging_2031/kartor/A 16818-2024 karta.png", "A 16818-2024")</f>
        <v/>
      </c>
      <c r="Y1141">
        <f>HYPERLINK("https://klasma.github.io/Logging_2031/kartor_geotiff/A 16818-2024 georefererad karta.tif", "A 16818-2024")</f>
        <v/>
      </c>
      <c r="AA1141">
        <f>HYPERLINK("https://klasma.github.io/Logging_2031/klagomål/A 16818-2024 FSC-klagomål.docx", "A 16818-2024")</f>
        <v/>
      </c>
      <c r="AB1141">
        <f>HYPERLINK("https://klasma.github.io/Logging_2031/klagomålsmail/A 16818-2024 FSC-klagomål mail.docx", "A 16818-2024")</f>
        <v/>
      </c>
      <c r="AC1141">
        <f>HYPERLINK("https://klasma.github.io/Logging_2031/tillsyn/A 16818-2024 tillsynsbegäran.docx", "A 16818-2024")</f>
        <v/>
      </c>
      <c r="AD1141">
        <f>HYPERLINK("https://klasma.github.io/Logging_2031/tillsynsmail/A 16818-2024 tillsynsbegäran mail.docx", "A 16818-2024")</f>
        <v/>
      </c>
    </row>
    <row r="1142" ht="15" customHeight="1">
      <c r="A1142" t="inlineStr">
        <is>
          <t>A 26886-2024</t>
        </is>
      </c>
      <c r="B1142" t="inlineStr">
        <is>
          <t>avverkningsanmälan</t>
        </is>
      </c>
      <c r="C1142" t="inlineStr">
        <is>
          <t>Föryngringsavverkning</t>
        </is>
      </c>
      <c r="D1142" s="1" t="n">
        <v>45470</v>
      </c>
      <c r="E1142" s="1" t="n">
        <v>46319</v>
      </c>
      <c r="F1142" t="inlineStr">
        <is>
          <t>DALARNAS LÄN</t>
        </is>
      </c>
      <c r="G1142" t="inlineStr">
        <is>
          <t>BORLÄNGE</t>
        </is>
      </c>
      <c r="I1142" t="n">
        <v>4</v>
      </c>
      <c r="J1142" t="n">
        <v>1</v>
      </c>
      <c r="K1142" t="n">
        <v>0</v>
      </c>
      <c r="L1142" t="n">
        <v>0</v>
      </c>
      <c r="M1142" t="n">
        <v>1</v>
      </c>
      <c r="N1142" t="n">
        <v>0</v>
      </c>
      <c r="O1142" t="n">
        <v>0</v>
      </c>
      <c r="P1142" t="n">
        <v>0</v>
      </c>
      <c r="Q1142" t="n">
        <v>1</v>
      </c>
      <c r="R1142" t="n">
        <v>1</v>
      </c>
      <c r="S1142" t="n">
        <v>1</v>
      </c>
      <c r="T1142" t="n">
        <v>1</v>
      </c>
      <c r="U1142" t="n">
        <v>0</v>
      </c>
      <c r="V1142" s="2" t="inlineStr">
        <is>
          <t>Knärot</t>
        </is>
      </c>
      <c r="W1142">
        <f>HYPERLINK("https://klasma.github.io/Logging_2081/artfynd/A 26886-2024 artfynd.xlsx", "A 26886-2024")</f>
        <v/>
      </c>
      <c r="X1142">
        <f>HYPERLINK("https://klasma.github.io/Logging_2081/kartor/A 26886-2024 karta.png", "A 26886-2024")</f>
        <v/>
      </c>
      <c r="Y1142">
        <f>HYPERLINK("https://klasma.github.io/Logging_2081/kartor_geotiff/A 26886-2024 georefererad karta.tif", "A 26886-2024")</f>
        <v/>
      </c>
      <c r="Z1142">
        <f>HYPERLINK("https://klasma.github.io/Logging_2081/knärot/A 26886-2024 karta knärot.png", "A 26886-2024")</f>
        <v/>
      </c>
      <c r="AA1142">
        <f>HYPERLINK("https://klasma.github.io/Logging_2081/klagomål/A 26886-2024 FSC-klagomål.docx", "A 26886-2024")</f>
        <v/>
      </c>
      <c r="AB1142">
        <f>HYPERLINK("https://klasma.github.io/Logging_2081/klagomålsmail/A 26886-2024 FSC-klagomål mail.docx", "A 26886-2024")</f>
        <v/>
      </c>
      <c r="AC1142">
        <f>HYPERLINK("https://klasma.github.io/Logging_2081/tillsyn/A 26886-2024 tillsynsbegäran.docx", "A 26886-2024")</f>
        <v/>
      </c>
      <c r="AD1142">
        <f>HYPERLINK("https://klasma.github.io/Logging_2081/tillsynsmail/A 26886-2024 tillsynsbegäran mail.docx", "A 26886-2024")</f>
        <v/>
      </c>
    </row>
    <row r="1143" ht="15" customHeight="1">
      <c r="A1143" t="inlineStr">
        <is>
          <t>A 68448-2021</t>
        </is>
      </c>
      <c r="B1143" t="inlineStr">
        <is>
          <t>avverkningsanmälan</t>
        </is>
      </c>
      <c r="C1143" t="inlineStr">
        <is>
          <t>Föryngringsavverkning</t>
        </is>
      </c>
      <c r="D1143" s="1" t="n">
        <v>44529</v>
      </c>
      <c r="E1143" s="1" t="n">
        <v>46319</v>
      </c>
      <c r="F1143" t="inlineStr">
        <is>
          <t>DALARNAS LÄN</t>
        </is>
      </c>
      <c r="G1143" t="inlineStr">
        <is>
          <t>SÄTER</t>
        </is>
      </c>
      <c r="I1143" t="n">
        <v>1.4</v>
      </c>
      <c r="J1143" t="n">
        <v>1</v>
      </c>
      <c r="K1143" t="n">
        <v>0</v>
      </c>
      <c r="L1143" t="n">
        <v>0</v>
      </c>
      <c r="M1143" t="n">
        <v>1</v>
      </c>
      <c r="N1143" t="n">
        <v>0</v>
      </c>
      <c r="O1143" t="n">
        <v>0</v>
      </c>
      <c r="P1143" t="n">
        <v>0</v>
      </c>
      <c r="Q1143" t="n">
        <v>1</v>
      </c>
      <c r="R1143" t="n">
        <v>1</v>
      </c>
      <c r="S1143" t="n">
        <v>1</v>
      </c>
      <c r="T1143" t="n">
        <v>1</v>
      </c>
      <c r="U1143" t="n">
        <v>0</v>
      </c>
      <c r="V1143" s="2" t="inlineStr">
        <is>
          <t>Knärot</t>
        </is>
      </c>
      <c r="W1143">
        <f>HYPERLINK("https://klasma.github.io/Logging_2082/artfynd/A 68448-2021 artfynd.xlsx", "A 68448-2021")</f>
        <v/>
      </c>
      <c r="X1143">
        <f>HYPERLINK("https://klasma.github.io/Logging_2082/kartor/A 68448-2021 karta.png", "A 68448-2021")</f>
        <v/>
      </c>
      <c r="Y1143">
        <f>HYPERLINK("https://klasma.github.io/Logging_2082/kartor_geotiff/A 68448-2021 georefererad karta.tif", "A 68448-2021")</f>
        <v/>
      </c>
      <c r="Z1143">
        <f>HYPERLINK("https://klasma.github.io/Logging_2082/knärot/A 68448-2021 karta knärot.png", "A 68448-2021")</f>
        <v/>
      </c>
      <c r="AA1143">
        <f>HYPERLINK("https://klasma.github.io/Logging_2082/klagomål/A 68448-2021 FSC-klagomål.docx", "A 68448-2021")</f>
        <v/>
      </c>
      <c r="AB1143">
        <f>HYPERLINK("https://klasma.github.io/Logging_2082/klagomålsmail/A 68448-2021 FSC-klagomål mail.docx", "A 68448-2021")</f>
        <v/>
      </c>
      <c r="AC1143">
        <f>HYPERLINK("https://klasma.github.io/Logging_2082/tillsyn/A 68448-2021 tillsynsbegäran.docx", "A 68448-2021")</f>
        <v/>
      </c>
      <c r="AD1143">
        <f>HYPERLINK("https://klasma.github.io/Logging_2082/tillsynsmail/A 68448-2021 tillsynsbegäran mail.docx", "A 68448-2021")</f>
        <v/>
      </c>
    </row>
    <row r="1144" ht="15" customHeight="1">
      <c r="A1144" t="inlineStr">
        <is>
          <t>A 55914-2024</t>
        </is>
      </c>
      <c r="B1144" t="inlineStr">
        <is>
          <t>avverkningsanmälan</t>
        </is>
      </c>
      <c r="C1144" t="inlineStr">
        <is>
          <t>Föryngringsavverkning</t>
        </is>
      </c>
      <c r="D1144" s="1" t="n">
        <v>45623</v>
      </c>
      <c r="E1144" s="1" t="n">
        <v>46319</v>
      </c>
      <c r="F1144" t="inlineStr">
        <is>
          <t>DALARNAS LÄN</t>
        </is>
      </c>
      <c r="G1144" t="inlineStr">
        <is>
          <t>MALUNG-SÄLEN</t>
        </is>
      </c>
      <c r="I1144" t="n">
        <v>1.3</v>
      </c>
      <c r="J1144" t="n">
        <v>0</v>
      </c>
      <c r="K1144" t="n">
        <v>0</v>
      </c>
      <c r="L1144" t="n">
        <v>1</v>
      </c>
      <c r="M1144" t="n">
        <v>0</v>
      </c>
      <c r="N1144" t="n">
        <v>0</v>
      </c>
      <c r="O1144" t="n">
        <v>0</v>
      </c>
      <c r="P1144" t="n">
        <v>0</v>
      </c>
      <c r="Q1144" t="n">
        <v>1</v>
      </c>
      <c r="R1144" t="n">
        <v>0</v>
      </c>
      <c r="S1144" t="n">
        <v>1</v>
      </c>
      <c r="T1144" t="n">
        <v>1</v>
      </c>
      <c r="U1144" t="n">
        <v>0</v>
      </c>
      <c r="V1144" s="2" t="inlineStr">
        <is>
          <t>Lunglav</t>
        </is>
      </c>
      <c r="W1144">
        <f>HYPERLINK("https://klasma.github.io/Logging_2023/artfynd/A 55914-2024 artfynd.xlsx", "A 55914-2024")</f>
        <v/>
      </c>
      <c r="X1144">
        <f>HYPERLINK("https://klasma.github.io/Logging_2023/kartor/A 55914-2024 karta.png", "A 55914-2024")</f>
        <v/>
      </c>
      <c r="Y1144">
        <f>HYPERLINK("https://klasma.github.io/Logging_2023/kartor_geotiff/A 55914-2024 georefererad karta.tif", "A 55914-2024")</f>
        <v/>
      </c>
      <c r="AA1144">
        <f>HYPERLINK("https://klasma.github.io/Logging_2023/klagomål/A 55914-2024 FSC-klagomål.docx", "A 55914-2024")</f>
        <v/>
      </c>
      <c r="AB1144">
        <f>HYPERLINK("https://klasma.github.io/Logging_2023/klagomålsmail/A 55914-2024 FSC-klagomål mail.docx", "A 55914-2024")</f>
        <v/>
      </c>
      <c r="AC1144">
        <f>HYPERLINK("https://klasma.github.io/Logging_2023/tillsyn/A 55914-2024 tillsynsbegäran.docx", "A 55914-2024")</f>
        <v/>
      </c>
      <c r="AD1144">
        <f>HYPERLINK("https://klasma.github.io/Logging_2023/tillsynsmail/A 55914-2024 tillsynsbegäran mail.docx", "A 55914-2024")</f>
        <v/>
      </c>
    </row>
    <row r="1145" ht="15" customHeight="1">
      <c r="A1145" t="inlineStr">
        <is>
          <t>A 43602-2025</t>
        </is>
      </c>
      <c r="B1145" t="inlineStr">
        <is>
          <t>avverkningsanmälan</t>
        </is>
      </c>
      <c r="C1145" t="inlineStr">
        <is>
          <t>Föryngringsavverkning</t>
        </is>
      </c>
      <c r="D1145" s="1" t="n">
        <v>45911</v>
      </c>
      <c r="E1145" s="1" t="n">
        <v>46319</v>
      </c>
      <c r="F1145" t="inlineStr">
        <is>
          <t>DALARNAS LÄN</t>
        </is>
      </c>
      <c r="G1145" t="inlineStr">
        <is>
          <t>ÄLVDALEN</t>
        </is>
      </c>
      <c r="I1145" t="n">
        <v>2.9</v>
      </c>
      <c r="J1145" t="n">
        <v>0</v>
      </c>
      <c r="K1145" t="n">
        <v>0</v>
      </c>
      <c r="L1145" t="n">
        <v>1</v>
      </c>
      <c r="M1145" t="n">
        <v>0</v>
      </c>
      <c r="N1145" t="n">
        <v>0</v>
      </c>
      <c r="O1145" t="n">
        <v>0</v>
      </c>
      <c r="P1145" t="n">
        <v>0</v>
      </c>
      <c r="Q1145" t="n">
        <v>1</v>
      </c>
      <c r="R1145" t="n">
        <v>0</v>
      </c>
      <c r="S1145" t="n">
        <v>1</v>
      </c>
      <c r="T1145" t="n">
        <v>1</v>
      </c>
      <c r="U1145" t="n">
        <v>1</v>
      </c>
      <c r="V1145" s="2" t="inlineStr">
        <is>
          <t>Nordtagging</t>
        </is>
      </c>
      <c r="W1145">
        <f>HYPERLINK("https://klasma.github.io/Logging_2039/artfynd/A 43602-2025 artfynd.xlsx", "A 43602-2025")</f>
        <v/>
      </c>
      <c r="X1145">
        <f>HYPERLINK("https://klasma.github.io/Logging_2039/kartor/A 43602-2025 karta.png", "A 43602-2025")</f>
        <v/>
      </c>
      <c r="Y1145">
        <f>HYPERLINK("https://klasma.github.io/Logging_2039/kartor_geotiff/A 43602-2025 georefererad karta.tif", "A 43602-2025")</f>
        <v/>
      </c>
      <c r="AA1145">
        <f>HYPERLINK("https://klasma.github.io/Logging_2039/klagomål/A 43602-2025 FSC-klagomål.docx", "A 43602-2025")</f>
        <v/>
      </c>
      <c r="AB1145">
        <f>HYPERLINK("https://klasma.github.io/Logging_2039/klagomålsmail/A 43602-2025 FSC-klagomål mail.docx", "A 43602-2025")</f>
        <v/>
      </c>
      <c r="AC1145">
        <f>HYPERLINK("https://klasma.github.io/Logging_2039/tillsyn/A 43602-2025 tillsynsbegäran.docx", "A 43602-2025")</f>
        <v/>
      </c>
      <c r="AD1145">
        <f>HYPERLINK("https://klasma.github.io/Logging_2039/tillsynsmail/A 43602-2025 tillsynsbegäran mail.docx", "A 43602-2025")</f>
        <v/>
      </c>
    </row>
    <row r="1146" ht="15" customHeight="1">
      <c r="A1146" t="inlineStr">
        <is>
          <t>A 43450-2025</t>
        </is>
      </c>
      <c r="B1146" t="inlineStr">
        <is>
          <t>avverkningsanmälan</t>
        </is>
      </c>
      <c r="C1146" t="inlineStr">
        <is>
          <t>Föryngringsavverkning</t>
        </is>
      </c>
      <c r="D1146" s="1" t="n">
        <v>45911</v>
      </c>
      <c r="E1146" s="1" t="n">
        <v>46319</v>
      </c>
      <c r="F1146" t="inlineStr">
        <is>
          <t>DALARNAS LÄN</t>
        </is>
      </c>
      <c r="G1146" t="inlineStr">
        <is>
          <t>RÄTTVIK</t>
        </is>
      </c>
      <c r="I1146" t="n">
        <v>1.4</v>
      </c>
      <c r="J1146" t="n">
        <v>0</v>
      </c>
      <c r="K1146" t="n">
        <v>0</v>
      </c>
      <c r="L1146" t="n">
        <v>0</v>
      </c>
      <c r="M1146" t="n">
        <v>1</v>
      </c>
      <c r="N1146" t="n">
        <v>0</v>
      </c>
      <c r="O1146" t="n">
        <v>0</v>
      </c>
      <c r="P1146" t="n">
        <v>0</v>
      </c>
      <c r="Q1146" t="n">
        <v>1</v>
      </c>
      <c r="R1146" t="n">
        <v>1</v>
      </c>
      <c r="S1146" t="n">
        <v>1</v>
      </c>
      <c r="T1146" t="n">
        <v>7</v>
      </c>
      <c r="U1146" t="n">
        <v>7</v>
      </c>
      <c r="V1146" s="2" t="inlineStr">
        <is>
          <t>Garnlav</t>
        </is>
      </c>
      <c r="W1146">
        <f>HYPERLINK("https://klasma.github.io/Logging_2031/artfynd/A 43450-2025 artfynd.xlsx", "A 43450-2025")</f>
        <v/>
      </c>
      <c r="X1146">
        <f>HYPERLINK("https://klasma.github.io/Logging_2031/kartor/A 43450-2025 karta.png", "A 43450-2025")</f>
        <v/>
      </c>
      <c r="Y1146">
        <f>HYPERLINK("https://klasma.github.io/Logging_2031/kartor_geotiff/A 43450-2025 georefererad karta.tif", "A 43450-2025")</f>
        <v/>
      </c>
      <c r="AA1146">
        <f>HYPERLINK("https://klasma.github.io/Logging_2031/klagomål/A 43450-2025 FSC-klagomål.docx", "A 43450-2025")</f>
        <v/>
      </c>
      <c r="AB1146">
        <f>HYPERLINK("https://klasma.github.io/Logging_2031/klagomålsmail/A 43450-2025 FSC-klagomål mail.docx", "A 43450-2025")</f>
        <v/>
      </c>
      <c r="AC1146">
        <f>HYPERLINK("https://klasma.github.io/Logging_2031/tillsyn/A 43450-2025 tillsynsbegäran.docx", "A 43450-2025")</f>
        <v/>
      </c>
      <c r="AD1146">
        <f>HYPERLINK("https://klasma.github.io/Logging_2031/tillsynsmail/A 43450-2025 tillsynsbegäran mail.docx", "A 43450-2025")</f>
        <v/>
      </c>
    </row>
    <row r="1147" ht="15" customHeight="1">
      <c r="A1147" t="inlineStr">
        <is>
          <t>A 23370-2026</t>
        </is>
      </c>
      <c r="B1147" t="inlineStr">
        <is>
          <t>avverkningsanmälan</t>
        </is>
      </c>
      <c r="C1147" t="inlineStr">
        <is>
          <t>Föryngringsavverkning</t>
        </is>
      </c>
      <c r="D1147" s="1" t="n">
        <v>46162</v>
      </c>
      <c r="E1147" s="1" t="n">
        <v>46319</v>
      </c>
      <c r="F1147" t="inlineStr">
        <is>
          <t>DALARNAS LÄN</t>
        </is>
      </c>
      <c r="G1147" t="inlineStr">
        <is>
          <t>SMEDJEBACKEN</t>
        </is>
      </c>
      <c r="H1147" t="inlineStr">
        <is>
          <t>Sveaskog</t>
        </is>
      </c>
      <c r="I1147" t="n">
        <v>2.3</v>
      </c>
      <c r="J1147" t="n">
        <v>1</v>
      </c>
      <c r="K1147" t="n">
        <v>0</v>
      </c>
      <c r="L1147" t="n">
        <v>0</v>
      </c>
      <c r="M1147" t="n">
        <v>0</v>
      </c>
      <c r="N1147" t="n">
        <v>1</v>
      </c>
      <c r="O1147" t="n">
        <v>0</v>
      </c>
      <c r="P1147" t="n">
        <v>0</v>
      </c>
      <c r="Q1147" t="n">
        <v>1</v>
      </c>
      <c r="R1147" t="n">
        <v>1</v>
      </c>
      <c r="S1147" t="n">
        <v>1</v>
      </c>
      <c r="T1147" t="n">
        <v>1</v>
      </c>
      <c r="U1147" t="n">
        <v>0</v>
      </c>
      <c r="V1147" s="2" t="inlineStr">
        <is>
          <t>Pärluggla</t>
        </is>
      </c>
      <c r="W1147">
        <f>HYPERLINK("https://klasma.github.io/Logging_2061/artfynd/A 23370-2026 artfynd.xlsx", "A 23370-2026")</f>
        <v/>
      </c>
      <c r="X1147">
        <f>HYPERLINK("https://klasma.github.io/Logging_2061/kartor/A 23370-2026 karta.png", "A 23370-2026")</f>
        <v/>
      </c>
      <c r="Y1147">
        <f>HYPERLINK("https://klasma.github.io/Logging_2061/kartor_geotiff/A 23370-2026 georefererad karta.tif", "A 23370-2026")</f>
        <v/>
      </c>
      <c r="AA1147">
        <f>HYPERLINK("https://klasma.github.io/Logging_2061/klagomål/A 23370-2026 FSC-klagomål.docx", "A 23370-2026")</f>
        <v/>
      </c>
      <c r="AB1147">
        <f>HYPERLINK("https://klasma.github.io/Logging_2061/klagomålsmail/A 23370-2026 FSC-klagomål mail.docx", "A 23370-2026")</f>
        <v/>
      </c>
      <c r="AC1147">
        <f>HYPERLINK("https://klasma.github.io/Logging_2061/tillsyn/A 23370-2026 tillsynsbegäran.docx", "A 23370-2026")</f>
        <v/>
      </c>
      <c r="AD1147">
        <f>HYPERLINK("https://klasma.github.io/Logging_2061/tillsynsmail/A 23370-2026 tillsynsbegäran mail.docx", "A 23370-2026")</f>
        <v/>
      </c>
      <c r="AE1147">
        <f>HYPERLINK("https://klasma.github.io/Logging_2061/fåglar/A 23370-2026 prioriterade fågelarter.docx", "A 23370-2026")</f>
        <v/>
      </c>
    </row>
    <row r="1148" ht="15" customHeight="1">
      <c r="A1148" t="inlineStr">
        <is>
          <t>A 23642-2026</t>
        </is>
      </c>
      <c r="B1148" t="inlineStr">
        <is>
          <t>avverkningsanmälan</t>
        </is>
      </c>
      <c r="C1148" t="inlineStr">
        <is>
          <t>Föryngringsavverkning</t>
        </is>
      </c>
      <c r="D1148" s="1" t="n">
        <v>46164</v>
      </c>
      <c r="E1148" s="1" t="n">
        <v>46319</v>
      </c>
      <c r="F1148" t="inlineStr">
        <is>
          <t>DALARNAS LÄN</t>
        </is>
      </c>
      <c r="G1148" t="inlineStr">
        <is>
          <t>HEDEMORA</t>
        </is>
      </c>
      <c r="H1148" t="inlineStr">
        <is>
          <t>Sveaskog</t>
        </is>
      </c>
      <c r="I1148" t="n">
        <v>6.3</v>
      </c>
      <c r="J1148" t="n">
        <v>1</v>
      </c>
      <c r="K1148" t="n">
        <v>0</v>
      </c>
      <c r="L1148" t="n">
        <v>0</v>
      </c>
      <c r="M1148" t="n">
        <v>0</v>
      </c>
      <c r="N1148" t="n">
        <v>0</v>
      </c>
      <c r="O1148" t="n">
        <v>0</v>
      </c>
      <c r="P1148" t="n">
        <v>0</v>
      </c>
      <c r="Q1148" t="n">
        <v>0</v>
      </c>
      <c r="R1148" t="n">
        <v>0</v>
      </c>
      <c r="S1148" t="n">
        <v>1</v>
      </c>
      <c r="T1148" t="n">
        <v>1</v>
      </c>
      <c r="U1148" t="n">
        <v>1</v>
      </c>
      <c r="V1148" s="2" t="inlineStr">
        <is>
          <t>Revlummer</t>
        </is>
      </c>
      <c r="W1148">
        <f>HYPERLINK("https://klasma.github.io/Logging_2083/artfynd/A 23642-2026 artfynd.xlsx", "A 23642-2026")</f>
        <v/>
      </c>
      <c r="X1148">
        <f>HYPERLINK("https://klasma.github.io/Logging_2083/kartor/A 23642-2026 karta.png", "A 23642-2026")</f>
        <v/>
      </c>
      <c r="Y1148">
        <f>HYPERLINK("https://klasma.github.io/Logging_2083/kartor_geotiff/A 23642-2026 georefererad karta.tif", "A 23642-2026")</f>
        <v/>
      </c>
      <c r="AA1148">
        <f>HYPERLINK("https://klasma.github.io/Logging_2083/klagomål/A 23642-2026 FSC-klagomål.docx", "A 23642-2026")</f>
        <v/>
      </c>
      <c r="AB1148">
        <f>HYPERLINK("https://klasma.github.io/Logging_2083/klagomålsmail/A 23642-2026 FSC-klagomål mail.docx", "A 23642-2026")</f>
        <v/>
      </c>
      <c r="AC1148">
        <f>HYPERLINK("https://klasma.github.io/Logging_2083/tillsyn/A 23642-2026 tillsynsbegäran.docx", "A 23642-2026")</f>
        <v/>
      </c>
      <c r="AD1148">
        <f>HYPERLINK("https://klasma.github.io/Logging_2083/tillsynsmail/A 23642-2026 tillsynsbegäran mail.docx", "A 23642-2026")</f>
        <v/>
      </c>
    </row>
    <row r="1149" ht="15" customHeight="1">
      <c r="A1149" t="inlineStr">
        <is>
          <t>A 25763-2023</t>
        </is>
      </c>
      <c r="B1149" t="inlineStr">
        <is>
          <t>avverkningsanmälan</t>
        </is>
      </c>
      <c r="C1149" t="inlineStr">
        <is>
          <t>Föryngringsavverkning</t>
        </is>
      </c>
      <c r="D1149" s="1" t="n">
        <v>45090</v>
      </c>
      <c r="E1149" s="1" t="n">
        <v>46319</v>
      </c>
      <c r="F1149" t="inlineStr">
        <is>
          <t>DALARNAS LÄN</t>
        </is>
      </c>
      <c r="G1149" t="inlineStr">
        <is>
          <t>BORLÄNGE</t>
        </is>
      </c>
      <c r="I1149" t="n">
        <v>2.9</v>
      </c>
      <c r="J1149" t="n">
        <v>1</v>
      </c>
      <c r="K1149" t="n">
        <v>0</v>
      </c>
      <c r="L1149" t="n">
        <v>0</v>
      </c>
      <c r="M1149" t="n">
        <v>0</v>
      </c>
      <c r="N1149" t="n">
        <v>0</v>
      </c>
      <c r="O1149" t="n">
        <v>0</v>
      </c>
      <c r="P1149" t="n">
        <v>0</v>
      </c>
      <c r="Q1149" t="n">
        <v>0</v>
      </c>
      <c r="R1149" t="n">
        <v>0</v>
      </c>
      <c r="S1149" t="n">
        <v>1</v>
      </c>
      <c r="T1149" t="n">
        <v>2</v>
      </c>
      <c r="U1149" t="n">
        <v>0</v>
      </c>
      <c r="V1149" s="2" t="inlineStr">
        <is>
          <t>Fläcknycklar</t>
        </is>
      </c>
      <c r="W1149">
        <f>HYPERLINK("https://klasma.github.io/Logging_2081/artfynd/A 25763-2023 artfynd.xlsx", "A 25763-2023")</f>
        <v/>
      </c>
      <c r="X1149">
        <f>HYPERLINK("https://klasma.github.io/Logging_2081/kartor/A 25763-2023 karta.png", "A 25763-2023")</f>
        <v/>
      </c>
      <c r="Y1149">
        <f>HYPERLINK("https://klasma.github.io/Logging_2081/kartor_geotiff/A 25763-2023 georefererad karta.tif", "A 25763-2023")</f>
        <v/>
      </c>
      <c r="AA1149">
        <f>HYPERLINK("https://klasma.github.io/Logging_2081/klagomål/A 25763-2023 FSC-klagomål.docx", "A 25763-2023")</f>
        <v/>
      </c>
      <c r="AB1149">
        <f>HYPERLINK("https://klasma.github.io/Logging_2081/klagomålsmail/A 25763-2023 FSC-klagomål mail.docx", "A 25763-2023")</f>
        <v/>
      </c>
      <c r="AC1149">
        <f>HYPERLINK("https://klasma.github.io/Logging_2081/tillsyn/A 25763-2023 tillsynsbegäran.docx", "A 25763-2023")</f>
        <v/>
      </c>
      <c r="AD1149">
        <f>HYPERLINK("https://klasma.github.io/Logging_2081/tillsynsmail/A 25763-2023 tillsynsbegäran mail.docx", "A 25763-2023")</f>
        <v/>
      </c>
    </row>
    <row r="1150" ht="15" customHeight="1">
      <c r="A1150" t="inlineStr">
        <is>
          <t>A 23720-2026</t>
        </is>
      </c>
      <c r="B1150" t="inlineStr">
        <is>
          <t>avverkningsanmälan</t>
        </is>
      </c>
      <c r="C1150" t="inlineStr">
        <is>
          <t>Föryngringsavverkning</t>
        </is>
      </c>
      <c r="D1150" s="1" t="n">
        <v>46163</v>
      </c>
      <c r="E1150" s="1" t="n">
        <v>46319</v>
      </c>
      <c r="F1150" t="inlineStr">
        <is>
          <t>DALARNAS LÄN</t>
        </is>
      </c>
      <c r="G1150" t="inlineStr">
        <is>
          <t>LUDVIKA</t>
        </is>
      </c>
      <c r="I1150" t="n">
        <v>3</v>
      </c>
      <c r="J1150" t="n">
        <v>1</v>
      </c>
      <c r="K1150" t="n">
        <v>0</v>
      </c>
      <c r="L1150" t="n">
        <v>1</v>
      </c>
      <c r="M1150" t="n">
        <v>0</v>
      </c>
      <c r="N1150" t="n">
        <v>0</v>
      </c>
      <c r="O1150" t="n">
        <v>0</v>
      </c>
      <c r="P1150" t="n">
        <v>0</v>
      </c>
      <c r="Q1150" t="n">
        <v>1</v>
      </c>
      <c r="R1150" t="n">
        <v>0</v>
      </c>
      <c r="S1150" t="n">
        <v>1</v>
      </c>
      <c r="T1150" t="n">
        <v>1</v>
      </c>
      <c r="U1150" t="n">
        <v>1</v>
      </c>
      <c r="V1150" s="2" t="inlineStr">
        <is>
          <t>Tretåig hackspett</t>
        </is>
      </c>
      <c r="W1150">
        <f>HYPERLINK("https://klasma.github.io/Logging_2085/artfynd/A 23720-2026 artfynd.xlsx", "A 23720-2026")</f>
        <v/>
      </c>
      <c r="X1150">
        <f>HYPERLINK("https://klasma.github.io/Logging_2085/kartor/A 23720-2026 karta.png", "A 23720-2026")</f>
        <v/>
      </c>
      <c r="Y1150">
        <f>HYPERLINK("https://klasma.github.io/Logging_2085/kartor_geotiff/A 23720-2026 georefererad karta.tif", "A 23720-2026")</f>
        <v/>
      </c>
      <c r="AA1150">
        <f>HYPERLINK("https://klasma.github.io/Logging_2085/klagomål/A 23720-2026 FSC-klagomål.docx", "A 23720-2026")</f>
        <v/>
      </c>
      <c r="AB1150">
        <f>HYPERLINK("https://klasma.github.io/Logging_2085/klagomålsmail/A 23720-2026 FSC-klagomål mail.docx", "A 23720-2026")</f>
        <v/>
      </c>
      <c r="AC1150">
        <f>HYPERLINK("https://klasma.github.io/Logging_2085/tillsyn/A 23720-2026 tillsynsbegäran.docx", "A 23720-2026")</f>
        <v/>
      </c>
      <c r="AD1150">
        <f>HYPERLINK("https://klasma.github.io/Logging_2085/tillsynsmail/A 23720-2026 tillsynsbegäran mail.docx", "A 23720-2026")</f>
        <v/>
      </c>
      <c r="AE1150">
        <f>HYPERLINK("https://klasma.github.io/Logging_2085/fåglar/A 23720-2026 prioriterade fågelarter.docx", "A 23720-2026")</f>
        <v/>
      </c>
    </row>
    <row r="1151" ht="15" customHeight="1">
      <c r="A1151" t="inlineStr">
        <is>
          <t>A 23778-2026</t>
        </is>
      </c>
      <c r="B1151" t="inlineStr">
        <is>
          <t>avverkningsanmälan</t>
        </is>
      </c>
      <c r="C1151" t="inlineStr">
        <is>
          <t>Föryngringsavverkning</t>
        </is>
      </c>
      <c r="D1151" s="1" t="n">
        <v>46164</v>
      </c>
      <c r="E1151" s="1" t="n">
        <v>46319</v>
      </c>
      <c r="F1151" t="inlineStr">
        <is>
          <t>DALARNAS LÄN</t>
        </is>
      </c>
      <c r="G1151" t="inlineStr">
        <is>
          <t>LUDVIKA</t>
        </is>
      </c>
      <c r="H1151" t="inlineStr">
        <is>
          <t>Bergvik skog väst AB</t>
        </is>
      </c>
      <c r="I1151" t="n">
        <v>1.9</v>
      </c>
      <c r="J1151" t="n">
        <v>1</v>
      </c>
      <c r="K1151" t="n">
        <v>0</v>
      </c>
      <c r="L1151" t="n">
        <v>0</v>
      </c>
      <c r="M1151" t="n">
        <v>0</v>
      </c>
      <c r="N1151" t="n">
        <v>0</v>
      </c>
      <c r="O1151" t="n">
        <v>0</v>
      </c>
      <c r="P1151" t="n">
        <v>0</v>
      </c>
      <c r="Q1151" t="n">
        <v>0</v>
      </c>
      <c r="R1151" t="n">
        <v>0</v>
      </c>
      <c r="S1151" t="n">
        <v>1</v>
      </c>
      <c r="T1151" t="n">
        <v>1</v>
      </c>
      <c r="U1151" t="n">
        <v>1</v>
      </c>
      <c r="V1151" s="2" t="inlineStr">
        <is>
          <t>Spillkråka</t>
        </is>
      </c>
      <c r="W1151">
        <f>HYPERLINK("https://klasma.github.io/Logging_2085/artfynd/A 23778-2026 artfynd.xlsx", "A 23778-2026")</f>
        <v/>
      </c>
      <c r="X1151">
        <f>HYPERLINK("https://klasma.github.io/Logging_2085/kartor/A 23778-2026 karta.png", "A 23778-2026")</f>
        <v/>
      </c>
      <c r="Y1151">
        <f>HYPERLINK("https://klasma.github.io/Logging_2085/kartor_geotiff/A 23778-2026 georefererad karta.tif", "A 23778-2026")</f>
        <v/>
      </c>
      <c r="AA1151">
        <f>HYPERLINK("https://klasma.github.io/Logging_2085/klagomål/A 23778-2026 FSC-klagomål.docx", "A 23778-2026")</f>
        <v/>
      </c>
      <c r="AB1151">
        <f>HYPERLINK("https://klasma.github.io/Logging_2085/klagomålsmail/A 23778-2026 FSC-klagomål mail.docx", "A 23778-2026")</f>
        <v/>
      </c>
      <c r="AC1151">
        <f>HYPERLINK("https://klasma.github.io/Logging_2085/tillsyn/A 23778-2026 tillsynsbegäran.docx", "A 23778-2026")</f>
        <v/>
      </c>
      <c r="AD1151">
        <f>HYPERLINK("https://klasma.github.io/Logging_2085/tillsynsmail/A 23778-2026 tillsynsbegäran mail.docx", "A 23778-2026")</f>
        <v/>
      </c>
      <c r="AE1151">
        <f>HYPERLINK("https://klasma.github.io/Logging_2085/fåglar/A 23778-2026 prioriterade fågelarter.docx", "A 23778-2026")</f>
        <v/>
      </c>
    </row>
    <row r="1152" ht="15" customHeight="1">
      <c r="A1152" t="inlineStr">
        <is>
          <t>A 15036-2025</t>
        </is>
      </c>
      <c r="B1152" t="inlineStr">
        <is>
          <t>avverkningsanmälan</t>
        </is>
      </c>
      <c r="C1152" t="inlineStr">
        <is>
          <t>Föryngringsavverkning</t>
        </is>
      </c>
      <c r="D1152" s="1" t="n">
        <v>45743</v>
      </c>
      <c r="E1152" s="1" t="n">
        <v>46319</v>
      </c>
      <c r="F1152" t="inlineStr">
        <is>
          <t>DALARNAS LÄN</t>
        </is>
      </c>
      <c r="G1152" t="inlineStr">
        <is>
          <t>HEDEMORA</t>
        </is>
      </c>
      <c r="H1152" t="inlineStr">
        <is>
          <t>Sveaskog</t>
        </is>
      </c>
      <c r="I1152" t="n">
        <v>20.4</v>
      </c>
      <c r="J1152" t="n">
        <v>0</v>
      </c>
      <c r="K1152" t="n">
        <v>0</v>
      </c>
      <c r="L1152" t="n">
        <v>1</v>
      </c>
      <c r="M1152" t="n">
        <v>0</v>
      </c>
      <c r="N1152" t="n">
        <v>0</v>
      </c>
      <c r="O1152" t="n">
        <v>0</v>
      </c>
      <c r="P1152" t="n">
        <v>0</v>
      </c>
      <c r="Q1152" t="n">
        <v>1</v>
      </c>
      <c r="R1152" t="n">
        <v>0</v>
      </c>
      <c r="S1152" t="n">
        <v>1</v>
      </c>
      <c r="T1152" t="n">
        <v>1</v>
      </c>
      <c r="U1152" t="n">
        <v>1</v>
      </c>
      <c r="V1152" s="2" t="inlineStr">
        <is>
          <t>Kolflarnlav</t>
        </is>
      </c>
      <c r="W1152">
        <f>HYPERLINK("https://klasma.github.io/Logging_2083/artfynd/A 15036-2025 artfynd.xlsx", "A 15036-2025")</f>
        <v/>
      </c>
      <c r="X1152">
        <f>HYPERLINK("https://klasma.github.io/Logging_2083/kartor/A 15036-2025 karta.png", "A 15036-2025")</f>
        <v/>
      </c>
      <c r="Y1152">
        <f>HYPERLINK("https://klasma.github.io/Logging_2083/kartor_geotiff/A 15036-2025 georefererad karta.tif", "A 15036-2025")</f>
        <v/>
      </c>
      <c r="AA1152">
        <f>HYPERLINK("https://klasma.github.io/Logging_2083/klagomål/A 15036-2025 FSC-klagomål.docx", "A 15036-2025")</f>
        <v/>
      </c>
      <c r="AB1152">
        <f>HYPERLINK("https://klasma.github.io/Logging_2083/klagomålsmail/A 15036-2025 FSC-klagomål mail.docx", "A 15036-2025")</f>
        <v/>
      </c>
      <c r="AC1152">
        <f>HYPERLINK("https://klasma.github.io/Logging_2083/tillsyn/A 15036-2025 tillsynsbegäran.docx", "A 15036-2025")</f>
        <v/>
      </c>
      <c r="AD1152">
        <f>HYPERLINK("https://klasma.github.io/Logging_2083/tillsynsmail/A 15036-2025 tillsynsbegäran mail.docx", "A 15036-2025")</f>
        <v/>
      </c>
    </row>
    <row r="1153" ht="15" customHeight="1">
      <c r="A1153" t="inlineStr">
        <is>
          <t>A 27975-2023</t>
        </is>
      </c>
      <c r="B1153" t="inlineStr">
        <is>
          <t>avverkningsanmälan</t>
        </is>
      </c>
      <c r="C1153" t="inlineStr">
        <is>
          <t>Föryngringsavverkning</t>
        </is>
      </c>
      <c r="D1153" s="1" t="n">
        <v>45098</v>
      </c>
      <c r="E1153" s="1" t="n">
        <v>46319</v>
      </c>
      <c r="F1153" t="inlineStr">
        <is>
          <t>DALARNAS LÄN</t>
        </is>
      </c>
      <c r="G1153" t="inlineStr">
        <is>
          <t>MORA</t>
        </is>
      </c>
      <c r="I1153" t="n">
        <v>1.1</v>
      </c>
      <c r="J1153" t="n">
        <v>0</v>
      </c>
      <c r="K1153" t="n">
        <v>0</v>
      </c>
      <c r="L1153" t="n">
        <v>1</v>
      </c>
      <c r="M1153" t="n">
        <v>0</v>
      </c>
      <c r="N1153" t="n">
        <v>0</v>
      </c>
      <c r="O1153" t="n">
        <v>0</v>
      </c>
      <c r="P1153" t="n">
        <v>0</v>
      </c>
      <c r="Q1153" t="n">
        <v>1</v>
      </c>
      <c r="R1153" t="n">
        <v>0</v>
      </c>
      <c r="S1153" t="n">
        <v>1</v>
      </c>
      <c r="T1153" t="n">
        <v>1</v>
      </c>
      <c r="U1153" t="n">
        <v>0</v>
      </c>
      <c r="V1153" s="2" t="inlineStr">
        <is>
          <t>Tallticka</t>
        </is>
      </c>
      <c r="W1153">
        <f>HYPERLINK("https://klasma.github.io/Logging_2062/artfynd/A 27975-2023 artfynd.xlsx", "A 27975-2023")</f>
        <v/>
      </c>
      <c r="X1153">
        <f>HYPERLINK("https://klasma.github.io/Logging_2062/kartor/A 27975-2023 karta.png", "A 27975-2023")</f>
        <v/>
      </c>
      <c r="Y1153">
        <f>HYPERLINK("https://klasma.github.io/Logging_2062/kartor_geotiff/A 27975-2023 georefererad karta.tif", "A 27975-2023")</f>
        <v/>
      </c>
      <c r="AA1153">
        <f>HYPERLINK("https://klasma.github.io/Logging_2062/klagomål/A 27975-2023 FSC-klagomål.docx", "A 27975-2023")</f>
        <v/>
      </c>
      <c r="AB1153">
        <f>HYPERLINK("https://klasma.github.io/Logging_2062/klagomålsmail/A 27975-2023 FSC-klagomål mail.docx", "A 27975-2023")</f>
        <v/>
      </c>
      <c r="AC1153">
        <f>HYPERLINK("https://klasma.github.io/Logging_2062/tillsyn/A 27975-2023 tillsynsbegäran.docx", "A 27975-2023")</f>
        <v/>
      </c>
      <c r="AD1153">
        <f>HYPERLINK("https://klasma.github.io/Logging_2062/tillsynsmail/A 27975-2023 tillsynsbegäran mail.docx", "A 27975-2023")</f>
        <v/>
      </c>
    </row>
    <row r="1154" ht="15" customHeight="1">
      <c r="A1154" t="inlineStr">
        <is>
          <t>A 17219-2026</t>
        </is>
      </c>
      <c r="B1154" t="inlineStr">
        <is>
          <t>avverkningsanmälan</t>
        </is>
      </c>
      <c r="C1154" t="inlineStr">
        <is>
          <t>Föryngringsavverkning</t>
        </is>
      </c>
      <c r="D1154" s="1" t="n">
        <v>46119</v>
      </c>
      <c r="E1154" s="1" t="n">
        <v>46319</v>
      </c>
      <c r="F1154" t="inlineStr">
        <is>
          <t>DALARNAS LÄN</t>
        </is>
      </c>
      <c r="G1154" t="inlineStr">
        <is>
          <t>GAGNEF</t>
        </is>
      </c>
      <c r="I1154" t="n">
        <v>4.3</v>
      </c>
      <c r="J1154" t="n">
        <v>1</v>
      </c>
      <c r="K1154" t="n">
        <v>0</v>
      </c>
      <c r="L1154" t="n">
        <v>0</v>
      </c>
      <c r="M1154" t="n">
        <v>0</v>
      </c>
      <c r="N1154" t="n">
        <v>0</v>
      </c>
      <c r="O1154" t="n">
        <v>0</v>
      </c>
      <c r="P1154" t="n">
        <v>0</v>
      </c>
      <c r="Q1154" t="n">
        <v>0</v>
      </c>
      <c r="R1154" t="n">
        <v>0</v>
      </c>
      <c r="S1154" t="n">
        <v>1</v>
      </c>
      <c r="T1154" t="n">
        <v>1</v>
      </c>
      <c r="U1154" t="n">
        <v>0</v>
      </c>
      <c r="V1154" s="2" t="inlineStr">
        <is>
          <t>Vanlig groda</t>
        </is>
      </c>
      <c r="W1154">
        <f>HYPERLINK("https://klasma.github.io/Logging_2026/artfynd/A 17219-2026 artfynd.xlsx", "A 17219-2026")</f>
        <v/>
      </c>
      <c r="X1154">
        <f>HYPERLINK("https://klasma.github.io/Logging_2026/kartor/A 17219-2026 karta.png", "A 17219-2026")</f>
        <v/>
      </c>
      <c r="Y1154">
        <f>HYPERLINK("https://klasma.github.io/Logging_2026/kartor_geotiff/A 17219-2026 georefererad karta.tif", "A 17219-2026")</f>
        <v/>
      </c>
      <c r="AA1154">
        <f>HYPERLINK("https://klasma.github.io/Logging_2026/klagomål/A 17219-2026 FSC-klagomål.docx", "A 17219-2026")</f>
        <v/>
      </c>
      <c r="AB1154">
        <f>HYPERLINK("https://klasma.github.io/Logging_2026/klagomålsmail/A 17219-2026 FSC-klagomål mail.docx", "A 17219-2026")</f>
        <v/>
      </c>
      <c r="AC1154">
        <f>HYPERLINK("https://klasma.github.io/Logging_2026/tillsyn/A 17219-2026 tillsynsbegäran.docx", "A 17219-2026")</f>
        <v/>
      </c>
      <c r="AD1154">
        <f>HYPERLINK("https://klasma.github.io/Logging_2026/tillsynsmail/A 17219-2026 tillsynsbegäran mail.docx", "A 17219-2026")</f>
        <v/>
      </c>
    </row>
    <row r="1155" ht="15" customHeight="1">
      <c r="A1155" t="inlineStr">
        <is>
          <t>A 18535-2026</t>
        </is>
      </c>
      <c r="B1155" t="inlineStr">
        <is>
          <t>avverkningsanmälan</t>
        </is>
      </c>
      <c r="C1155" t="inlineStr">
        <is>
          <t>Föryngringsavverkning</t>
        </is>
      </c>
      <c r="D1155" s="1" t="n">
        <v>46127</v>
      </c>
      <c r="E1155" s="1" t="n">
        <v>46319</v>
      </c>
      <c r="F1155" t="inlineStr">
        <is>
          <t>DALARNAS LÄN</t>
        </is>
      </c>
      <c r="G1155" t="inlineStr">
        <is>
          <t>RÄTTVIK</t>
        </is>
      </c>
      <c r="I1155" t="n">
        <v>5</v>
      </c>
      <c r="J1155" t="n">
        <v>1</v>
      </c>
      <c r="K1155" t="n">
        <v>0</v>
      </c>
      <c r="L1155" t="n">
        <v>0</v>
      </c>
      <c r="M1155" t="n">
        <v>1</v>
      </c>
      <c r="N1155" t="n">
        <v>0</v>
      </c>
      <c r="O1155" t="n">
        <v>0</v>
      </c>
      <c r="P1155" t="n">
        <v>0</v>
      </c>
      <c r="Q1155" t="n">
        <v>1</v>
      </c>
      <c r="R1155" t="n">
        <v>1</v>
      </c>
      <c r="S1155" t="n">
        <v>1</v>
      </c>
      <c r="T1155" t="n">
        <v>2</v>
      </c>
      <c r="U1155" t="n">
        <v>0</v>
      </c>
      <c r="V1155" s="2" t="inlineStr">
        <is>
          <t>Väddnätfjäril</t>
        </is>
      </c>
      <c r="W1155">
        <f>HYPERLINK("https://klasma.github.io/Logging_2031/artfynd/A 18535-2026 artfynd.xlsx", "A 18535-2026")</f>
        <v/>
      </c>
      <c r="X1155">
        <f>HYPERLINK("https://klasma.github.io/Logging_2031/kartor/A 18535-2026 karta.png", "A 18535-2026")</f>
        <v/>
      </c>
      <c r="Y1155">
        <f>HYPERLINK("https://klasma.github.io/Logging_2031/kartor_geotiff/A 18535-2026 georefererad karta.tif", "A 18535-2026")</f>
        <v/>
      </c>
      <c r="AA1155">
        <f>HYPERLINK("https://klasma.github.io/Logging_2031/klagomål/A 18535-2026 FSC-klagomål.docx", "A 18535-2026")</f>
        <v/>
      </c>
      <c r="AB1155">
        <f>HYPERLINK("https://klasma.github.io/Logging_2031/klagomålsmail/A 18535-2026 FSC-klagomål mail.docx", "A 18535-2026")</f>
        <v/>
      </c>
      <c r="AC1155">
        <f>HYPERLINK("https://klasma.github.io/Logging_2031/tillsyn/A 18535-2026 tillsynsbegäran.docx", "A 18535-2026")</f>
        <v/>
      </c>
      <c r="AD1155">
        <f>HYPERLINK("https://klasma.github.io/Logging_2031/tillsynsmail/A 18535-2026 tillsynsbegäran mail.docx", "A 18535-2026")</f>
        <v/>
      </c>
    </row>
    <row r="1156" ht="15" customHeight="1">
      <c r="A1156" t="inlineStr">
        <is>
          <t>A 13401-2023</t>
        </is>
      </c>
      <c r="B1156" t="inlineStr">
        <is>
          <t>avverkningsanmälan</t>
        </is>
      </c>
      <c r="C1156" t="inlineStr">
        <is>
          <t>Föryngringsavverkning</t>
        </is>
      </c>
      <c r="D1156" s="1" t="n">
        <v>45005</v>
      </c>
      <c r="E1156" s="1" t="n">
        <v>46319</v>
      </c>
      <c r="F1156" t="inlineStr">
        <is>
          <t>DALARNAS LÄN</t>
        </is>
      </c>
      <c r="G1156" t="inlineStr">
        <is>
          <t>LEKSAND</t>
        </is>
      </c>
      <c r="I1156" t="n">
        <v>0.7</v>
      </c>
      <c r="J1156" t="n">
        <v>1</v>
      </c>
      <c r="K1156" t="n">
        <v>0</v>
      </c>
      <c r="L1156" t="n">
        <v>0</v>
      </c>
      <c r="M1156" t="n">
        <v>0</v>
      </c>
      <c r="N1156" t="n">
        <v>0</v>
      </c>
      <c r="O1156" t="n">
        <v>0</v>
      </c>
      <c r="P1156" t="n">
        <v>0</v>
      </c>
      <c r="Q1156" t="n">
        <v>0</v>
      </c>
      <c r="R1156" t="n">
        <v>0</v>
      </c>
      <c r="S1156" t="n">
        <v>1</v>
      </c>
      <c r="T1156" t="n">
        <v>1</v>
      </c>
      <c r="U1156" t="n">
        <v>1</v>
      </c>
      <c r="V1156" s="2" t="inlineStr">
        <is>
          <t>Orre</t>
        </is>
      </c>
      <c r="W1156">
        <f>HYPERLINK("https://klasma.github.io/Logging_2029/artfynd/A 13401-2023 artfynd.xlsx", "A 13401-2023")</f>
        <v/>
      </c>
      <c r="X1156">
        <f>HYPERLINK("https://klasma.github.io/Logging_2029/kartor/A 13401-2023 karta.png", "A 13401-2023")</f>
        <v/>
      </c>
      <c r="Y1156">
        <f>HYPERLINK("https://klasma.github.io/Logging_2029/kartor_geotiff/A 13401-2023 georefererad karta.tif", "A 13401-2023")</f>
        <v/>
      </c>
      <c r="AA1156">
        <f>HYPERLINK("https://klasma.github.io/Logging_2029/klagomål/A 13401-2023 FSC-klagomål.docx", "A 13401-2023")</f>
        <v/>
      </c>
      <c r="AB1156">
        <f>HYPERLINK("https://klasma.github.io/Logging_2029/klagomålsmail/A 13401-2023 FSC-klagomål mail.docx", "A 13401-2023")</f>
        <v/>
      </c>
      <c r="AC1156">
        <f>HYPERLINK("https://klasma.github.io/Logging_2029/tillsyn/A 13401-2023 tillsynsbegäran.docx", "A 13401-2023")</f>
        <v/>
      </c>
      <c r="AD1156">
        <f>HYPERLINK("https://klasma.github.io/Logging_2029/tillsynsmail/A 13401-2023 tillsynsbegäran mail.docx", "A 13401-2023")</f>
        <v/>
      </c>
      <c r="AE1156">
        <f>HYPERLINK("https://klasma.github.io/Logging_2029/fåglar/A 13401-2023 prioriterade fågelarter.docx", "A 13401-2023")</f>
        <v/>
      </c>
    </row>
    <row r="1157" ht="15" customHeight="1">
      <c r="A1157" t="inlineStr">
        <is>
          <t>A 45858-2025</t>
        </is>
      </c>
      <c r="B1157" t="inlineStr">
        <is>
          <t>avverkningsanmälan</t>
        </is>
      </c>
      <c r="C1157" t="inlineStr">
        <is>
          <t>Föryngringsavverkning</t>
        </is>
      </c>
      <c r="D1157" s="1" t="n">
        <v>45923</v>
      </c>
      <c r="E1157" s="1" t="n">
        <v>46319</v>
      </c>
      <c r="F1157" t="inlineStr">
        <is>
          <t>DALARNAS LÄN</t>
        </is>
      </c>
      <c r="G1157" t="inlineStr">
        <is>
          <t>LUDVIKA</t>
        </is>
      </c>
      <c r="H1157" t="inlineStr">
        <is>
          <t>Bergvik skog väst AB</t>
        </is>
      </c>
      <c r="I1157" t="n">
        <v>1.3</v>
      </c>
      <c r="J1157" t="n">
        <v>0</v>
      </c>
      <c r="K1157" t="n">
        <v>1</v>
      </c>
      <c r="L1157" t="n">
        <v>0</v>
      </c>
      <c r="M1157" t="n">
        <v>0</v>
      </c>
      <c r="N1157" t="n">
        <v>0</v>
      </c>
      <c r="O1157" t="n">
        <v>0</v>
      </c>
      <c r="P1157" t="n">
        <v>0</v>
      </c>
      <c r="Q1157" t="n">
        <v>0</v>
      </c>
      <c r="R1157" t="n">
        <v>0</v>
      </c>
      <c r="S1157" t="n">
        <v>1</v>
      </c>
      <c r="T1157" t="n">
        <v>1</v>
      </c>
      <c r="U1157" t="n">
        <v>0</v>
      </c>
      <c r="V1157" s="2" t="inlineStr">
        <is>
          <t>Granbarkgnagare</t>
        </is>
      </c>
      <c r="W1157">
        <f>HYPERLINK("https://klasma.github.io/Logging_2085/artfynd/A 45858-2025 artfynd.xlsx", "A 45858-2025")</f>
        <v/>
      </c>
      <c r="X1157">
        <f>HYPERLINK("https://klasma.github.io/Logging_2085/kartor/A 45858-2025 karta.png", "A 45858-2025")</f>
        <v/>
      </c>
      <c r="Y1157">
        <f>HYPERLINK("https://klasma.github.io/Logging_2085/kartor_geotiff/A 45858-2025 georefererad karta.tif", "A 45858-2025")</f>
        <v/>
      </c>
      <c r="AA1157">
        <f>HYPERLINK("https://klasma.github.io/Logging_2085/klagomål/A 45858-2025 FSC-klagomål.docx", "A 45858-2025")</f>
        <v/>
      </c>
      <c r="AB1157">
        <f>HYPERLINK("https://klasma.github.io/Logging_2085/klagomålsmail/A 45858-2025 FSC-klagomål mail.docx", "A 45858-2025")</f>
        <v/>
      </c>
      <c r="AC1157">
        <f>HYPERLINK("https://klasma.github.io/Logging_2085/tillsyn/A 45858-2025 tillsynsbegäran.docx", "A 45858-2025")</f>
        <v/>
      </c>
      <c r="AD1157">
        <f>HYPERLINK("https://klasma.github.io/Logging_2085/tillsynsmail/A 45858-2025 tillsynsbegäran mail.docx", "A 45858-2025")</f>
        <v/>
      </c>
    </row>
    <row r="1158" ht="15" customHeight="1">
      <c r="A1158" t="inlineStr">
        <is>
          <t>A 56438-2023</t>
        </is>
      </c>
      <c r="B1158" t="inlineStr">
        <is>
          <t>avverkningsanmälan</t>
        </is>
      </c>
      <c r="C1158" t="inlineStr">
        <is>
          <t>Föryngringsavverkning</t>
        </is>
      </c>
      <c r="D1158" s="1" t="n">
        <v>45243</v>
      </c>
      <c r="E1158" s="1" t="n">
        <v>46319</v>
      </c>
      <c r="F1158" t="inlineStr">
        <is>
          <t>DALARNAS LÄN</t>
        </is>
      </c>
      <c r="G1158" t="inlineStr">
        <is>
          <t>RÄTTVIK</t>
        </is>
      </c>
      <c r="I1158" t="n">
        <v>2.4</v>
      </c>
      <c r="J1158" t="n">
        <v>0</v>
      </c>
      <c r="K1158" t="n">
        <v>1</v>
      </c>
      <c r="L1158" t="n">
        <v>0</v>
      </c>
      <c r="M1158" t="n">
        <v>0</v>
      </c>
      <c r="N1158" t="n">
        <v>0</v>
      </c>
      <c r="O1158" t="n">
        <v>0</v>
      </c>
      <c r="P1158" t="n">
        <v>0</v>
      </c>
      <c r="Q1158" t="n">
        <v>0</v>
      </c>
      <c r="R1158" t="n">
        <v>0</v>
      </c>
      <c r="S1158" t="n">
        <v>1</v>
      </c>
      <c r="T1158" t="n">
        <v>1</v>
      </c>
      <c r="U1158" t="n">
        <v>0</v>
      </c>
      <c r="V1158" s="2" t="inlineStr">
        <is>
          <t>Vedticka</t>
        </is>
      </c>
      <c r="W1158">
        <f>HYPERLINK("https://klasma.github.io/Logging_2031/artfynd/A 56438-2023 artfynd.xlsx", "A 56438-2023")</f>
        <v/>
      </c>
      <c r="X1158">
        <f>HYPERLINK("https://klasma.github.io/Logging_2031/kartor/A 56438-2023 karta.png", "A 56438-2023")</f>
        <v/>
      </c>
      <c r="Y1158">
        <f>HYPERLINK("https://klasma.github.io/Logging_2031/kartor_geotiff/A 56438-2023 georefererad karta.tif", "A 56438-2023")</f>
        <v/>
      </c>
      <c r="AA1158">
        <f>HYPERLINK("https://klasma.github.io/Logging_2031/klagomål/A 56438-2023 FSC-klagomål.docx", "A 56438-2023")</f>
        <v/>
      </c>
      <c r="AB1158">
        <f>HYPERLINK("https://klasma.github.io/Logging_2031/klagomålsmail/A 56438-2023 FSC-klagomål mail.docx", "A 56438-2023")</f>
        <v/>
      </c>
      <c r="AC1158">
        <f>HYPERLINK("https://klasma.github.io/Logging_2031/tillsyn/A 56438-2023 tillsynsbegäran.docx", "A 56438-2023")</f>
        <v/>
      </c>
      <c r="AD1158">
        <f>HYPERLINK("https://klasma.github.io/Logging_2031/tillsynsmail/A 56438-2023 tillsynsbegäran mail.docx", "A 56438-2023")</f>
        <v/>
      </c>
    </row>
    <row r="1159" ht="15" customHeight="1">
      <c r="A1159" t="inlineStr">
        <is>
          <t>A 46646-2025</t>
        </is>
      </c>
      <c r="B1159" t="inlineStr">
        <is>
          <t>avverkningsanmälan</t>
        </is>
      </c>
      <c r="C1159" t="inlineStr">
        <is>
          <t>Föryngringsavverkning</t>
        </is>
      </c>
      <c r="D1159" s="1" t="n">
        <v>45926</v>
      </c>
      <c r="E1159" s="1" t="n">
        <v>46319</v>
      </c>
      <c r="F1159" t="inlineStr">
        <is>
          <t>DALARNAS LÄN</t>
        </is>
      </c>
      <c r="G1159" t="inlineStr">
        <is>
          <t>RÄTTVIK</t>
        </is>
      </c>
      <c r="I1159" t="n">
        <v>3.2</v>
      </c>
      <c r="J1159" t="n">
        <v>0</v>
      </c>
      <c r="K1159" t="n">
        <v>0</v>
      </c>
      <c r="L1159" t="n">
        <v>0</v>
      </c>
      <c r="M1159" t="n">
        <v>1</v>
      </c>
      <c r="N1159" t="n">
        <v>0</v>
      </c>
      <c r="O1159" t="n">
        <v>0</v>
      </c>
      <c r="P1159" t="n">
        <v>0</v>
      </c>
      <c r="Q1159" t="n">
        <v>1</v>
      </c>
      <c r="R1159" t="n">
        <v>1</v>
      </c>
      <c r="S1159" t="n">
        <v>1</v>
      </c>
      <c r="T1159" t="n">
        <v>2</v>
      </c>
      <c r="U1159" t="n">
        <v>2</v>
      </c>
      <c r="V1159" s="2" t="inlineStr">
        <is>
          <t>Garnlav</t>
        </is>
      </c>
      <c r="W1159">
        <f>HYPERLINK("https://klasma.github.io/Logging_2031/artfynd/A 46646-2025 artfynd.xlsx", "A 46646-2025")</f>
        <v/>
      </c>
      <c r="X1159">
        <f>HYPERLINK("https://klasma.github.io/Logging_2031/kartor/A 46646-2025 karta.png", "A 46646-2025")</f>
        <v/>
      </c>
      <c r="Y1159">
        <f>HYPERLINK("https://klasma.github.io/Logging_2031/kartor_geotiff/A 46646-2025 georefererad karta.tif", "A 46646-2025")</f>
        <v/>
      </c>
      <c r="AA1159">
        <f>HYPERLINK("https://klasma.github.io/Logging_2031/klagomål/A 46646-2025 FSC-klagomål.docx", "A 46646-2025")</f>
        <v/>
      </c>
      <c r="AB1159">
        <f>HYPERLINK("https://klasma.github.io/Logging_2031/klagomålsmail/A 46646-2025 FSC-klagomål mail.docx", "A 46646-2025")</f>
        <v/>
      </c>
      <c r="AC1159">
        <f>HYPERLINK("https://klasma.github.io/Logging_2031/tillsyn/A 46646-2025 tillsynsbegäran.docx", "A 46646-2025")</f>
        <v/>
      </c>
      <c r="AD1159">
        <f>HYPERLINK("https://klasma.github.io/Logging_2031/tillsynsmail/A 46646-2025 tillsynsbegäran mail.docx", "A 46646-2025")</f>
        <v/>
      </c>
    </row>
    <row r="1160" ht="15" customHeight="1">
      <c r="A1160" t="inlineStr">
        <is>
          <t>A 21412-2023</t>
        </is>
      </c>
      <c r="B1160" t="inlineStr">
        <is>
          <t>avverkningsanmälan</t>
        </is>
      </c>
      <c r="C1160" t="inlineStr">
        <is>
          <t>Föryngringsavverkning</t>
        </is>
      </c>
      <c r="D1160" s="1" t="n">
        <v>45058</v>
      </c>
      <c r="E1160" s="1" t="n">
        <v>46319</v>
      </c>
      <c r="F1160" t="inlineStr">
        <is>
          <t>DALARNAS LÄN</t>
        </is>
      </c>
      <c r="G1160" t="inlineStr">
        <is>
          <t>AVESTA</t>
        </is>
      </c>
      <c r="H1160" t="inlineStr">
        <is>
          <t>Bergvik skog väst AB</t>
        </is>
      </c>
      <c r="I1160" t="n">
        <v>3.4</v>
      </c>
      <c r="J1160" t="n">
        <v>1</v>
      </c>
      <c r="K1160" t="n">
        <v>0</v>
      </c>
      <c r="L1160" t="n">
        <v>0</v>
      </c>
      <c r="M1160" t="n">
        <v>0</v>
      </c>
      <c r="N1160" t="n">
        <v>0</v>
      </c>
      <c r="O1160" t="n">
        <v>0</v>
      </c>
      <c r="P1160" t="n">
        <v>0</v>
      </c>
      <c r="Q1160" t="n">
        <v>0</v>
      </c>
      <c r="R1160" t="n">
        <v>0</v>
      </c>
      <c r="S1160" t="n">
        <v>1</v>
      </c>
      <c r="T1160" t="n">
        <v>1</v>
      </c>
      <c r="U1160" t="n">
        <v>1</v>
      </c>
      <c r="V1160" s="2" t="inlineStr">
        <is>
          <t>Nattviol</t>
        </is>
      </c>
      <c r="W1160">
        <f>HYPERLINK("https://klasma.github.io/Logging_2084/artfynd/A 21412-2023 artfynd.xlsx", "A 21412-2023")</f>
        <v/>
      </c>
      <c r="X1160">
        <f>HYPERLINK("https://klasma.github.io/Logging_2084/kartor/A 21412-2023 karta.png", "A 21412-2023")</f>
        <v/>
      </c>
      <c r="Y1160">
        <f>HYPERLINK("https://klasma.github.io/Logging_2084/kartor_geotiff/A 21412-2023 georefererad karta.tif", "A 21412-2023")</f>
        <v/>
      </c>
      <c r="AA1160">
        <f>HYPERLINK("https://klasma.github.io/Logging_2084/klagomål/A 21412-2023 FSC-klagomål.docx", "A 21412-2023")</f>
        <v/>
      </c>
      <c r="AB1160">
        <f>HYPERLINK("https://klasma.github.io/Logging_2084/klagomålsmail/A 21412-2023 FSC-klagomål mail.docx", "A 21412-2023")</f>
        <v/>
      </c>
      <c r="AC1160">
        <f>HYPERLINK("https://klasma.github.io/Logging_2084/tillsyn/A 21412-2023 tillsynsbegäran.docx", "A 21412-2023")</f>
        <v/>
      </c>
      <c r="AD1160">
        <f>HYPERLINK("https://klasma.github.io/Logging_2084/tillsynsmail/A 21412-2023 tillsynsbegäran mail.docx", "A 21412-2023")</f>
        <v/>
      </c>
    </row>
    <row r="1161" ht="15" customHeight="1">
      <c r="A1161" t="inlineStr">
        <is>
          <t>A 30175-2023</t>
        </is>
      </c>
      <c r="B1161" t="inlineStr">
        <is>
          <t>avverkningsanmälan</t>
        </is>
      </c>
      <c r="C1161" t="inlineStr">
        <is>
          <t>Avverkning för annat ändamål</t>
        </is>
      </c>
      <c r="D1161" s="1" t="n">
        <v>45110</v>
      </c>
      <c r="E1161" s="1" t="n">
        <v>46319</v>
      </c>
      <c r="F1161" t="inlineStr">
        <is>
          <t>DALARNAS LÄN</t>
        </is>
      </c>
      <c r="G1161" t="inlineStr">
        <is>
          <t>LEKSAND</t>
        </is>
      </c>
      <c r="I1161" t="n">
        <v>0.5</v>
      </c>
      <c r="J1161" t="n">
        <v>1</v>
      </c>
      <c r="K1161" t="n">
        <v>1</v>
      </c>
      <c r="L1161" t="n">
        <v>0</v>
      </c>
      <c r="M1161" t="n">
        <v>0</v>
      </c>
      <c r="N1161" t="n">
        <v>0</v>
      </c>
      <c r="O1161" t="n">
        <v>0</v>
      </c>
      <c r="P1161" t="n">
        <v>0</v>
      </c>
      <c r="Q1161" t="n">
        <v>0</v>
      </c>
      <c r="R1161" t="n">
        <v>0</v>
      </c>
      <c r="S1161" t="n">
        <v>1</v>
      </c>
      <c r="T1161" t="n">
        <v>2</v>
      </c>
      <c r="U1161" t="n">
        <v>0</v>
      </c>
      <c r="V1161" s="2" t="inlineStr">
        <is>
          <t>Guckusko</t>
        </is>
      </c>
      <c r="W1161">
        <f>HYPERLINK("https://klasma.github.io/Logging_2029/artfynd/A 30175-2023 artfynd.xlsx", "A 30175-2023")</f>
        <v/>
      </c>
      <c r="X1161">
        <f>HYPERLINK("https://klasma.github.io/Logging_2029/kartor/A 30175-2023 karta.png", "A 30175-2023")</f>
        <v/>
      </c>
      <c r="Y1161">
        <f>HYPERLINK("https://klasma.github.io/Logging_2029/kartor_geotiff/A 30175-2023 georefererad karta.tif", "A 30175-2023")</f>
        <v/>
      </c>
      <c r="AA1161">
        <f>HYPERLINK("https://klasma.github.io/Logging_2029/klagomål/A 30175-2023 FSC-klagomål.docx", "A 30175-2023")</f>
        <v/>
      </c>
      <c r="AB1161">
        <f>HYPERLINK("https://klasma.github.io/Logging_2029/klagomålsmail/A 30175-2023 FSC-klagomål mail.docx", "A 30175-2023")</f>
        <v/>
      </c>
      <c r="AC1161">
        <f>HYPERLINK("https://klasma.github.io/Logging_2029/tillsyn/A 30175-2023 tillsynsbegäran.docx", "A 30175-2023")</f>
        <v/>
      </c>
      <c r="AD1161">
        <f>HYPERLINK("https://klasma.github.io/Logging_2029/tillsynsmail/A 30175-2023 tillsynsbegäran mail.docx", "A 30175-2023")</f>
        <v/>
      </c>
    </row>
    <row r="1162" ht="15" customHeight="1">
      <c r="A1162" t="inlineStr">
        <is>
          <t>A 10317-2024</t>
        </is>
      </c>
      <c r="B1162" t="inlineStr">
        <is>
          <t>avverkningsanmälan</t>
        </is>
      </c>
      <c r="C1162" t="inlineStr">
        <is>
          <t>Föryngringsavverkning</t>
        </is>
      </c>
      <c r="D1162" s="1" t="n">
        <v>45365</v>
      </c>
      <c r="E1162" s="1" t="n">
        <v>46319</v>
      </c>
      <c r="F1162" t="inlineStr">
        <is>
          <t>DALARNAS LÄN</t>
        </is>
      </c>
      <c r="G1162" t="inlineStr">
        <is>
          <t>RÄTTVIK</t>
        </is>
      </c>
      <c r="I1162" t="n">
        <v>4.2</v>
      </c>
      <c r="J1162" t="n">
        <v>0</v>
      </c>
      <c r="K1162" t="n">
        <v>1</v>
      </c>
      <c r="L1162" t="n">
        <v>0</v>
      </c>
      <c r="M1162" t="n">
        <v>0</v>
      </c>
      <c r="N1162" t="n">
        <v>0</v>
      </c>
      <c r="O1162" t="n">
        <v>0</v>
      </c>
      <c r="P1162" t="n">
        <v>0</v>
      </c>
      <c r="Q1162" t="n">
        <v>0</v>
      </c>
      <c r="R1162" t="n">
        <v>0</v>
      </c>
      <c r="S1162" t="n">
        <v>1</v>
      </c>
      <c r="T1162" t="n">
        <v>1</v>
      </c>
      <c r="U1162" t="n">
        <v>0</v>
      </c>
      <c r="V1162" s="2" t="inlineStr">
        <is>
          <t>Grönpyrola</t>
        </is>
      </c>
      <c r="W1162">
        <f>HYPERLINK("https://klasma.github.io/Logging_2031/artfynd/A 10317-2024 artfynd.xlsx", "A 10317-2024")</f>
        <v/>
      </c>
      <c r="X1162">
        <f>HYPERLINK("https://klasma.github.io/Logging_2031/kartor/A 10317-2024 karta.png", "A 10317-2024")</f>
        <v/>
      </c>
      <c r="Y1162">
        <f>HYPERLINK("https://klasma.github.io/Logging_2031/kartor_geotiff/A 10317-2024 georefererad karta.tif", "A 10317-2024")</f>
        <v/>
      </c>
      <c r="AA1162">
        <f>HYPERLINK("https://klasma.github.io/Logging_2031/klagomål/A 10317-2024 FSC-klagomål.docx", "A 10317-2024")</f>
        <v/>
      </c>
      <c r="AB1162">
        <f>HYPERLINK("https://klasma.github.io/Logging_2031/klagomålsmail/A 10317-2024 FSC-klagomål mail.docx", "A 10317-2024")</f>
        <v/>
      </c>
      <c r="AC1162">
        <f>HYPERLINK("https://klasma.github.io/Logging_2031/tillsyn/A 10317-2024 tillsynsbegäran.docx", "A 10317-2024")</f>
        <v/>
      </c>
      <c r="AD1162">
        <f>HYPERLINK("https://klasma.github.io/Logging_2031/tillsynsmail/A 10317-2024 tillsynsbegäran mail.docx", "A 10317-2024")</f>
        <v/>
      </c>
    </row>
    <row r="1163" ht="15" customHeight="1">
      <c r="A1163" t="inlineStr">
        <is>
          <t>A 4393-2026</t>
        </is>
      </c>
      <c r="B1163" t="inlineStr">
        <is>
          <t>avverkningsanmälan</t>
        </is>
      </c>
      <c r="C1163" t="inlineStr">
        <is>
          <t>Föryngringsavverkning</t>
        </is>
      </c>
      <c r="D1163" s="1" t="n">
        <v>46045</v>
      </c>
      <c r="E1163" s="1" t="n">
        <v>46319</v>
      </c>
      <c r="F1163" t="inlineStr">
        <is>
          <t>DALARNAS LÄN</t>
        </is>
      </c>
      <c r="G1163" t="inlineStr">
        <is>
          <t>FALUN</t>
        </is>
      </c>
      <c r="I1163" t="n">
        <v>10.2</v>
      </c>
      <c r="J1163" t="n">
        <v>1</v>
      </c>
      <c r="K1163" t="n">
        <v>0</v>
      </c>
      <c r="L1163" t="n">
        <v>0</v>
      </c>
      <c r="M1163" t="n">
        <v>0</v>
      </c>
      <c r="N1163" t="n">
        <v>0</v>
      </c>
      <c r="O1163" t="n">
        <v>0</v>
      </c>
      <c r="P1163" t="n">
        <v>0</v>
      </c>
      <c r="Q1163" t="n">
        <v>0</v>
      </c>
      <c r="R1163" t="n">
        <v>0</v>
      </c>
      <c r="S1163" t="n">
        <v>1</v>
      </c>
      <c r="T1163" t="n">
        <v>1</v>
      </c>
      <c r="U1163" t="n">
        <v>0</v>
      </c>
      <c r="V1163" s="2" t="inlineStr">
        <is>
          <t>Järpe</t>
        </is>
      </c>
      <c r="W1163">
        <f>HYPERLINK("https://klasma.github.io/Logging_2080/artfynd/A 4393-2026 artfynd.xlsx", "A 4393-2026")</f>
        <v/>
      </c>
      <c r="X1163">
        <f>HYPERLINK("https://klasma.github.io/Logging_2080/kartor/A 4393-2026 karta.png", "A 4393-2026")</f>
        <v/>
      </c>
      <c r="Y1163">
        <f>HYPERLINK("https://klasma.github.io/Logging_2080/kartor_geotiff/A 4393-2026 georefererad karta.tif", "A 4393-2026")</f>
        <v/>
      </c>
      <c r="AA1163">
        <f>HYPERLINK("https://klasma.github.io/Logging_2080/klagomål/A 4393-2026 FSC-klagomål.docx", "A 4393-2026")</f>
        <v/>
      </c>
      <c r="AB1163">
        <f>HYPERLINK("https://klasma.github.io/Logging_2080/klagomålsmail/A 4393-2026 FSC-klagomål mail.docx", "A 4393-2026")</f>
        <v/>
      </c>
      <c r="AC1163">
        <f>HYPERLINK("https://klasma.github.io/Logging_2080/tillsyn/A 4393-2026 tillsynsbegäran.docx", "A 4393-2026")</f>
        <v/>
      </c>
      <c r="AD1163">
        <f>HYPERLINK("https://klasma.github.io/Logging_2080/tillsynsmail/A 4393-2026 tillsynsbegäran mail.docx", "A 4393-2026")</f>
        <v/>
      </c>
      <c r="AE1163">
        <f>HYPERLINK("https://klasma.github.io/Logging_2080/fåglar/A 4393-2026 prioriterade fågelarter.docx", "A 4393-2026")</f>
        <v/>
      </c>
    </row>
    <row r="1164" ht="15" customHeight="1">
      <c r="A1164" t="inlineStr">
        <is>
          <t>A 63005-2025</t>
        </is>
      </c>
      <c r="B1164" t="inlineStr">
        <is>
          <t>avverkningsanmälan</t>
        </is>
      </c>
      <c r="C1164" t="inlineStr">
        <is>
          <t>Föryngringsavverkning</t>
        </is>
      </c>
      <c r="D1164" s="1" t="n">
        <v>46009</v>
      </c>
      <c r="E1164" s="1" t="n">
        <v>46319</v>
      </c>
      <c r="F1164" t="inlineStr">
        <is>
          <t>DALARNAS LÄN</t>
        </is>
      </c>
      <c r="G1164" t="inlineStr">
        <is>
          <t>LUDVIKA</t>
        </is>
      </c>
      <c r="I1164" t="n">
        <v>4.4</v>
      </c>
      <c r="J1164" t="n">
        <v>1</v>
      </c>
      <c r="K1164" t="n">
        <v>0</v>
      </c>
      <c r="L1164" t="n">
        <v>0</v>
      </c>
      <c r="M1164" t="n">
        <v>0</v>
      </c>
      <c r="N1164" t="n">
        <v>0</v>
      </c>
      <c r="O1164" t="n">
        <v>0</v>
      </c>
      <c r="P1164" t="n">
        <v>0</v>
      </c>
      <c r="Q1164" t="n">
        <v>0</v>
      </c>
      <c r="R1164" t="n">
        <v>0</v>
      </c>
      <c r="S1164" t="n">
        <v>1</v>
      </c>
      <c r="T1164" t="n">
        <v>1</v>
      </c>
      <c r="U1164" t="n">
        <v>1</v>
      </c>
      <c r="V1164" s="2" t="inlineStr">
        <is>
          <t>Spillkråka</t>
        </is>
      </c>
      <c r="W1164">
        <f>HYPERLINK("https://klasma.github.io/Logging_2085/artfynd/A 63005-2025 artfynd.xlsx", "A 63005-2025")</f>
        <v/>
      </c>
      <c r="X1164">
        <f>HYPERLINK("https://klasma.github.io/Logging_2085/kartor/A 63005-2025 karta.png", "A 63005-2025")</f>
        <v/>
      </c>
      <c r="Y1164">
        <f>HYPERLINK("https://klasma.github.io/Logging_2085/kartor_geotiff/A 63005-2025 georefererad karta.tif", "A 63005-2025")</f>
        <v/>
      </c>
      <c r="AA1164">
        <f>HYPERLINK("https://klasma.github.io/Logging_2085/klagomål/A 63005-2025 FSC-klagomål.docx", "A 63005-2025")</f>
        <v/>
      </c>
      <c r="AB1164">
        <f>HYPERLINK("https://klasma.github.io/Logging_2085/klagomålsmail/A 63005-2025 FSC-klagomål mail.docx", "A 63005-2025")</f>
        <v/>
      </c>
      <c r="AC1164">
        <f>HYPERLINK("https://klasma.github.io/Logging_2085/tillsyn/A 63005-2025 tillsynsbegäran.docx", "A 63005-2025")</f>
        <v/>
      </c>
      <c r="AD1164">
        <f>HYPERLINK("https://klasma.github.io/Logging_2085/tillsynsmail/A 63005-2025 tillsynsbegäran mail.docx", "A 63005-2025")</f>
        <v/>
      </c>
      <c r="AE1164">
        <f>HYPERLINK("https://klasma.github.io/Logging_2085/fåglar/A 63005-2025 prioriterade fågelarter.docx", "A 63005-2025")</f>
        <v/>
      </c>
    </row>
    <row r="1165" ht="15" customHeight="1">
      <c r="A1165" t="inlineStr">
        <is>
          <t>A 47661-2025</t>
        </is>
      </c>
      <c r="B1165" t="inlineStr">
        <is>
          <t>avverkningsanmälan</t>
        </is>
      </c>
      <c r="C1165" t="inlineStr">
        <is>
          <t>Föryngringsavverkning</t>
        </is>
      </c>
      <c r="D1165" s="1" t="n">
        <v>45931</v>
      </c>
      <c r="E1165" s="1" t="n">
        <v>46319</v>
      </c>
      <c r="F1165" t="inlineStr">
        <is>
          <t>DALARNAS LÄN</t>
        </is>
      </c>
      <c r="G1165" t="inlineStr">
        <is>
          <t>SÄTER</t>
        </is>
      </c>
      <c r="H1165" t="inlineStr">
        <is>
          <t>Bergvik skog väst AB</t>
        </is>
      </c>
      <c r="I1165" t="n">
        <v>13.8</v>
      </c>
      <c r="J1165" t="n">
        <v>1</v>
      </c>
      <c r="K1165" t="n">
        <v>0</v>
      </c>
      <c r="L1165" t="n">
        <v>1</v>
      </c>
      <c r="M1165" t="n">
        <v>0</v>
      </c>
      <c r="N1165" t="n">
        <v>0</v>
      </c>
      <c r="O1165" t="n">
        <v>0</v>
      </c>
      <c r="P1165" t="n">
        <v>0</v>
      </c>
      <c r="Q1165" t="n">
        <v>1</v>
      </c>
      <c r="R1165" t="n">
        <v>0</v>
      </c>
      <c r="S1165" t="n">
        <v>1</v>
      </c>
      <c r="T1165" t="n">
        <v>1</v>
      </c>
      <c r="U1165" t="n">
        <v>0</v>
      </c>
      <c r="V1165" s="2" t="inlineStr">
        <is>
          <t>Järnsparv</t>
        </is>
      </c>
      <c r="W1165">
        <f>HYPERLINK("https://klasma.github.io/Logging_2082/artfynd/A 47661-2025 artfynd.xlsx", "A 47661-2025")</f>
        <v/>
      </c>
      <c r="X1165">
        <f>HYPERLINK("https://klasma.github.io/Logging_2082/kartor/A 47661-2025 karta.png", "A 47661-2025")</f>
        <v/>
      </c>
      <c r="Y1165">
        <f>HYPERLINK("https://klasma.github.io/Logging_2082/kartor_geotiff/A 47661-2025 georefererad karta.tif", "A 47661-2025")</f>
        <v/>
      </c>
      <c r="AA1165">
        <f>HYPERLINK("https://klasma.github.io/Logging_2082/klagomål/A 47661-2025 FSC-klagomål.docx", "A 47661-2025")</f>
        <v/>
      </c>
      <c r="AB1165">
        <f>HYPERLINK("https://klasma.github.io/Logging_2082/klagomålsmail/A 47661-2025 FSC-klagomål mail.docx", "A 47661-2025")</f>
        <v/>
      </c>
      <c r="AC1165">
        <f>HYPERLINK("https://klasma.github.io/Logging_2082/tillsyn/A 47661-2025 tillsynsbegäran.docx", "A 47661-2025")</f>
        <v/>
      </c>
      <c r="AD1165">
        <f>HYPERLINK("https://klasma.github.io/Logging_2082/tillsynsmail/A 47661-2025 tillsynsbegäran mail.docx", "A 47661-2025")</f>
        <v/>
      </c>
      <c r="AE1165">
        <f>HYPERLINK("https://klasma.github.io/Logging_2082/fåglar/A 47661-2025 prioriterade fågelarter.docx", "A 47661-2025")</f>
        <v/>
      </c>
    </row>
    <row r="1166" ht="15" customHeight="1">
      <c r="A1166" t="inlineStr">
        <is>
          <t>A 48109-2025</t>
        </is>
      </c>
      <c r="B1166" t="inlineStr">
        <is>
          <t>avverkningsanmälan</t>
        </is>
      </c>
      <c r="C1166" t="inlineStr">
        <is>
          <t>Föryngringsavverkning</t>
        </is>
      </c>
      <c r="D1166" s="1" t="n">
        <v>45933</v>
      </c>
      <c r="E1166" s="1" t="n">
        <v>46319</v>
      </c>
      <c r="F1166" t="inlineStr">
        <is>
          <t>DALARNAS LÄN</t>
        </is>
      </c>
      <c r="G1166" t="inlineStr">
        <is>
          <t>VANSBRO</t>
        </is>
      </c>
      <c r="I1166" t="n">
        <v>0.8</v>
      </c>
      <c r="J1166" t="n">
        <v>0</v>
      </c>
      <c r="K1166" t="n">
        <v>0</v>
      </c>
      <c r="L1166" t="n">
        <v>0</v>
      </c>
      <c r="M1166" t="n">
        <v>1</v>
      </c>
      <c r="N1166" t="n">
        <v>0</v>
      </c>
      <c r="O1166" t="n">
        <v>0</v>
      </c>
      <c r="P1166" t="n">
        <v>0</v>
      </c>
      <c r="Q1166" t="n">
        <v>1</v>
      </c>
      <c r="R1166" t="n">
        <v>1</v>
      </c>
      <c r="S1166" t="n">
        <v>1</v>
      </c>
      <c r="T1166" t="n">
        <v>1</v>
      </c>
      <c r="U1166" t="n">
        <v>0</v>
      </c>
      <c r="V1166" s="2" t="inlineStr">
        <is>
          <t>Gränsticka</t>
        </is>
      </c>
      <c r="W1166">
        <f>HYPERLINK("https://klasma.github.io/Logging_2021/artfynd/A 48109-2025 artfynd.xlsx", "A 48109-2025")</f>
        <v/>
      </c>
      <c r="X1166">
        <f>HYPERLINK("https://klasma.github.io/Logging_2021/kartor/A 48109-2025 karta.png", "A 48109-2025")</f>
        <v/>
      </c>
      <c r="Y1166">
        <f>HYPERLINK("https://klasma.github.io/Logging_2021/kartor_geotiff/A 48109-2025 georefererad karta.tif", "A 48109-2025")</f>
        <v/>
      </c>
      <c r="AA1166">
        <f>HYPERLINK("https://klasma.github.io/Logging_2021/klagomål/A 48109-2025 FSC-klagomål.docx", "A 48109-2025")</f>
        <v/>
      </c>
      <c r="AB1166">
        <f>HYPERLINK("https://klasma.github.io/Logging_2021/klagomålsmail/A 48109-2025 FSC-klagomål mail.docx", "A 48109-2025")</f>
        <v/>
      </c>
      <c r="AC1166">
        <f>HYPERLINK("https://klasma.github.io/Logging_2021/tillsyn/A 48109-2025 tillsynsbegäran.docx", "A 48109-2025")</f>
        <v/>
      </c>
      <c r="AD1166">
        <f>HYPERLINK("https://klasma.github.io/Logging_2021/tillsynsmail/A 48109-2025 tillsynsbegäran mail.docx", "A 48109-2025")</f>
        <v/>
      </c>
    </row>
    <row r="1167" ht="15" customHeight="1">
      <c r="A1167" t="inlineStr">
        <is>
          <t>A 21507-2024</t>
        </is>
      </c>
      <c r="B1167" t="inlineStr">
        <is>
          <t>avverkningsanmälan</t>
        </is>
      </c>
      <c r="C1167" t="inlineStr">
        <is>
          <t>Föryngringsavverkning</t>
        </is>
      </c>
      <c r="D1167" s="1" t="n">
        <v>45441</v>
      </c>
      <c r="E1167" s="1" t="n">
        <v>46319</v>
      </c>
      <c r="F1167" t="inlineStr">
        <is>
          <t>DALARNAS LÄN</t>
        </is>
      </c>
      <c r="G1167" t="inlineStr">
        <is>
          <t>SMEDJEBACKEN</t>
        </is>
      </c>
      <c r="H1167" t="inlineStr">
        <is>
          <t>Sveaskog</t>
        </is>
      </c>
      <c r="I1167" t="n">
        <v>16</v>
      </c>
      <c r="J1167" t="n">
        <v>0</v>
      </c>
      <c r="K1167" t="n">
        <v>0</v>
      </c>
      <c r="L1167" t="n">
        <v>1</v>
      </c>
      <c r="M1167" t="n">
        <v>0</v>
      </c>
      <c r="N1167" t="n">
        <v>0</v>
      </c>
      <c r="O1167" t="n">
        <v>0</v>
      </c>
      <c r="P1167" t="n">
        <v>0</v>
      </c>
      <c r="Q1167" t="n">
        <v>1</v>
      </c>
      <c r="R1167" t="n">
        <v>0</v>
      </c>
      <c r="S1167" t="n">
        <v>1</v>
      </c>
      <c r="T1167" t="n">
        <v>1</v>
      </c>
      <c r="U1167" t="n">
        <v>0</v>
      </c>
      <c r="V1167" s="2" t="inlineStr">
        <is>
          <t>Ullticka</t>
        </is>
      </c>
      <c r="W1167">
        <f>HYPERLINK("https://klasma.github.io/Logging_2061/artfynd/A 21507-2024 artfynd.xlsx", "A 21507-2024")</f>
        <v/>
      </c>
      <c r="X1167">
        <f>HYPERLINK("https://klasma.github.io/Logging_2061/kartor/A 21507-2024 karta.png", "A 21507-2024")</f>
        <v/>
      </c>
      <c r="Y1167">
        <f>HYPERLINK("https://klasma.github.io/Logging_2061/kartor_geotiff/A 21507-2024 georefererad karta.tif", "A 21507-2024")</f>
        <v/>
      </c>
      <c r="AA1167">
        <f>HYPERLINK("https://klasma.github.io/Logging_2061/klagomål/A 21507-2024 FSC-klagomål.docx", "A 21507-2024")</f>
        <v/>
      </c>
      <c r="AB1167">
        <f>HYPERLINK("https://klasma.github.io/Logging_2061/klagomålsmail/A 21507-2024 FSC-klagomål mail.docx", "A 21507-2024")</f>
        <v/>
      </c>
      <c r="AC1167">
        <f>HYPERLINK("https://klasma.github.io/Logging_2061/tillsyn/A 21507-2024 tillsynsbegäran.docx", "A 21507-2024")</f>
        <v/>
      </c>
      <c r="AD1167">
        <f>HYPERLINK("https://klasma.github.io/Logging_2061/tillsynsmail/A 21507-2024 tillsynsbegäran mail.docx", "A 21507-2024")</f>
        <v/>
      </c>
    </row>
    <row r="1168" ht="15" customHeight="1">
      <c r="A1168" t="inlineStr">
        <is>
          <t>A 49141-2025</t>
        </is>
      </c>
      <c r="B1168" t="inlineStr">
        <is>
          <t>avverkningsanmälan</t>
        </is>
      </c>
      <c r="C1168" t="inlineStr">
        <is>
          <t>Föryngringsavverkning</t>
        </is>
      </c>
      <c r="D1168" s="1" t="n">
        <v>45938</v>
      </c>
      <c r="E1168" s="1" t="n">
        <v>46319</v>
      </c>
      <c r="F1168" t="inlineStr">
        <is>
          <t>DALARNAS LÄN</t>
        </is>
      </c>
      <c r="G1168" t="inlineStr">
        <is>
          <t>ÄLVDALEN</t>
        </is>
      </c>
      <c r="H1168" t="inlineStr">
        <is>
          <t>Allmännings- och besparingsskogar</t>
        </is>
      </c>
      <c r="I1168" t="n">
        <v>0.8</v>
      </c>
      <c r="J1168" t="n">
        <v>0</v>
      </c>
      <c r="K1168" t="n">
        <v>0</v>
      </c>
      <c r="L1168" t="n">
        <v>0</v>
      </c>
      <c r="M1168" t="n">
        <v>1</v>
      </c>
      <c r="N1168" t="n">
        <v>0</v>
      </c>
      <c r="O1168" t="n">
        <v>0</v>
      </c>
      <c r="P1168" t="n">
        <v>0</v>
      </c>
      <c r="Q1168" t="n">
        <v>1</v>
      </c>
      <c r="R1168" t="n">
        <v>1</v>
      </c>
      <c r="S1168" t="n">
        <v>1</v>
      </c>
      <c r="T1168" t="n">
        <v>3</v>
      </c>
      <c r="U1168" t="n">
        <v>3</v>
      </c>
      <c r="V1168" s="2" t="inlineStr">
        <is>
          <t>Garnlav</t>
        </is>
      </c>
      <c r="W1168">
        <f>HYPERLINK("https://klasma.github.io/Logging_2039/artfynd/A 49141-2025 artfynd.xlsx", "A 49141-2025")</f>
        <v/>
      </c>
      <c r="X1168">
        <f>HYPERLINK("https://klasma.github.io/Logging_2039/kartor/A 49141-2025 karta.png", "A 49141-2025")</f>
        <v/>
      </c>
      <c r="Y1168">
        <f>HYPERLINK("https://klasma.github.io/Logging_2039/kartor_geotiff/A 49141-2025 georefererad karta.tif", "A 49141-2025")</f>
        <v/>
      </c>
      <c r="AA1168">
        <f>HYPERLINK("https://klasma.github.io/Logging_2039/klagomål/A 49141-2025 FSC-klagomål.docx", "A 49141-2025")</f>
        <v/>
      </c>
      <c r="AB1168">
        <f>HYPERLINK("https://klasma.github.io/Logging_2039/klagomålsmail/A 49141-2025 FSC-klagomål mail.docx", "A 49141-2025")</f>
        <v/>
      </c>
      <c r="AC1168">
        <f>HYPERLINK("https://klasma.github.io/Logging_2039/tillsyn/A 49141-2025 tillsynsbegäran.docx", "A 49141-2025")</f>
        <v/>
      </c>
      <c r="AD1168">
        <f>HYPERLINK("https://klasma.github.io/Logging_2039/tillsynsmail/A 49141-2025 tillsynsbegäran mail.docx", "A 49141-2025")</f>
        <v/>
      </c>
    </row>
    <row r="1169" ht="15" customHeight="1">
      <c r="A1169" t="inlineStr">
        <is>
          <t>A 49374-2025</t>
        </is>
      </c>
      <c r="B1169" t="inlineStr">
        <is>
          <t>avverkningsanmälan</t>
        </is>
      </c>
      <c r="C1169" t="inlineStr">
        <is>
          <t>Föryngringsavverkning</t>
        </is>
      </c>
      <c r="D1169" s="1" t="n">
        <v>45938</v>
      </c>
      <c r="E1169" s="1" t="n">
        <v>46319</v>
      </c>
      <c r="F1169" t="inlineStr">
        <is>
          <t>DALARNAS LÄN</t>
        </is>
      </c>
      <c r="G1169" t="inlineStr">
        <is>
          <t>FALUN</t>
        </is>
      </c>
      <c r="I1169" t="n">
        <v>1.1</v>
      </c>
      <c r="J1169" t="n">
        <v>1</v>
      </c>
      <c r="K1169" t="n">
        <v>0</v>
      </c>
      <c r="L1169" t="n">
        <v>0</v>
      </c>
      <c r="M1169" t="n">
        <v>1</v>
      </c>
      <c r="N1169" t="n">
        <v>0</v>
      </c>
      <c r="O1169" t="n">
        <v>0</v>
      </c>
      <c r="P1169" t="n">
        <v>0</v>
      </c>
      <c r="Q1169" t="n">
        <v>1</v>
      </c>
      <c r="R1169" t="n">
        <v>1</v>
      </c>
      <c r="S1169" t="n">
        <v>1</v>
      </c>
      <c r="T1169" t="n">
        <v>12</v>
      </c>
      <c r="U1169" t="n">
        <v>0</v>
      </c>
      <c r="V1169" s="2" t="inlineStr">
        <is>
          <t>Brun gräsfjäril</t>
        </is>
      </c>
      <c r="W1169">
        <f>HYPERLINK("https://klasma.github.io/Logging_2080/artfynd/A 49374-2025 artfynd.xlsx", "A 49374-2025")</f>
        <v/>
      </c>
      <c r="X1169">
        <f>HYPERLINK("https://klasma.github.io/Logging_2080/kartor/A 49374-2025 karta.png", "A 49374-2025")</f>
        <v/>
      </c>
      <c r="Y1169">
        <f>HYPERLINK("https://klasma.github.io/Logging_2080/kartor_geotiff/A 49374-2025 georefererad karta.tif", "A 49374-2025")</f>
        <v/>
      </c>
      <c r="AA1169">
        <f>HYPERLINK("https://klasma.github.io/Logging_2080/klagomål/A 49374-2025 FSC-klagomål.docx", "A 49374-2025")</f>
        <v/>
      </c>
      <c r="AB1169">
        <f>HYPERLINK("https://klasma.github.io/Logging_2080/klagomålsmail/A 49374-2025 FSC-klagomål mail.docx", "A 49374-2025")</f>
        <v/>
      </c>
      <c r="AC1169">
        <f>HYPERLINK("https://klasma.github.io/Logging_2080/tillsyn/A 49374-2025 tillsynsbegäran.docx", "A 49374-2025")</f>
        <v/>
      </c>
      <c r="AD1169">
        <f>HYPERLINK("https://klasma.github.io/Logging_2080/tillsynsmail/A 49374-2025 tillsynsbegäran mail.docx", "A 49374-2025")</f>
        <v/>
      </c>
    </row>
    <row r="1170" ht="15" customHeight="1">
      <c r="A1170" t="inlineStr">
        <is>
          <t>A 51870-2022</t>
        </is>
      </c>
      <c r="B1170" t="inlineStr">
        <is>
          <t>avverkningsanmälan</t>
        </is>
      </c>
      <c r="C1170" t="inlineStr">
        <is>
          <t>Föryngringsavverkning</t>
        </is>
      </c>
      <c r="D1170" s="1" t="n">
        <v>44872</v>
      </c>
      <c r="E1170" s="1" t="n">
        <v>46319</v>
      </c>
      <c r="F1170" t="inlineStr">
        <is>
          <t>DALARNAS LÄN</t>
        </is>
      </c>
      <c r="G1170" t="inlineStr">
        <is>
          <t>FALUN</t>
        </is>
      </c>
      <c r="H1170" t="inlineStr">
        <is>
          <t>Bergvik skog väst AB</t>
        </is>
      </c>
      <c r="I1170" t="n">
        <v>1.6</v>
      </c>
      <c r="J1170" t="n">
        <v>1</v>
      </c>
      <c r="K1170" t="n">
        <v>0</v>
      </c>
      <c r="L1170" t="n">
        <v>1</v>
      </c>
      <c r="M1170" t="n">
        <v>0</v>
      </c>
      <c r="N1170" t="n">
        <v>0</v>
      </c>
      <c r="O1170" t="n">
        <v>0</v>
      </c>
      <c r="P1170" t="n">
        <v>0</v>
      </c>
      <c r="Q1170" t="n">
        <v>1</v>
      </c>
      <c r="R1170" t="n">
        <v>0</v>
      </c>
      <c r="S1170" t="n">
        <v>1</v>
      </c>
      <c r="T1170" t="n">
        <v>1</v>
      </c>
      <c r="U1170" t="n">
        <v>1</v>
      </c>
      <c r="V1170" s="2" t="inlineStr">
        <is>
          <t>Tretåig hackspett</t>
        </is>
      </c>
      <c r="W1170">
        <f>HYPERLINK("https://klasma.github.io/Logging_2080/artfynd/A 51870-2022 artfynd.xlsx", "A 51870-2022")</f>
        <v/>
      </c>
      <c r="X1170">
        <f>HYPERLINK("https://klasma.github.io/Logging_2080/kartor/A 51870-2022 karta.png", "A 51870-2022")</f>
        <v/>
      </c>
      <c r="Y1170">
        <f>HYPERLINK("https://klasma.github.io/Logging_2080/kartor_geotiff/A 51870-2022 georefererad karta.tif", "A 51870-2022")</f>
        <v/>
      </c>
      <c r="AA1170">
        <f>HYPERLINK("https://klasma.github.io/Logging_2080/klagomål/A 51870-2022 FSC-klagomål.docx", "A 51870-2022")</f>
        <v/>
      </c>
      <c r="AB1170">
        <f>HYPERLINK("https://klasma.github.io/Logging_2080/klagomålsmail/A 51870-2022 FSC-klagomål mail.docx", "A 51870-2022")</f>
        <v/>
      </c>
      <c r="AC1170">
        <f>HYPERLINK("https://klasma.github.io/Logging_2080/tillsyn/A 51870-2022 tillsynsbegäran.docx", "A 51870-2022")</f>
        <v/>
      </c>
      <c r="AD1170">
        <f>HYPERLINK("https://klasma.github.io/Logging_2080/tillsynsmail/A 51870-2022 tillsynsbegäran mail.docx", "A 51870-2022")</f>
        <v/>
      </c>
      <c r="AE1170">
        <f>HYPERLINK("https://klasma.github.io/Logging_2080/fåglar/A 51870-2022 prioriterade fågelarter.docx", "A 51870-2022")</f>
        <v/>
      </c>
    </row>
    <row r="1171" ht="15" customHeight="1">
      <c r="A1171" t="inlineStr">
        <is>
          <t>A 25159-2026</t>
        </is>
      </c>
      <c r="B1171" t="inlineStr">
        <is>
          <t>avverkningsanmälan</t>
        </is>
      </c>
      <c r="C1171" t="inlineStr">
        <is>
          <t>Avverkning för annat ändamål</t>
        </is>
      </c>
      <c r="D1171" s="1" t="n">
        <v>46175</v>
      </c>
      <c r="E1171" s="1" t="n">
        <v>46319</v>
      </c>
      <c r="F1171" t="inlineStr">
        <is>
          <t>DALARNAS LÄN</t>
        </is>
      </c>
      <c r="G1171" t="inlineStr">
        <is>
          <t>LUDVIKA</t>
        </is>
      </c>
      <c r="I1171" t="n">
        <v>2.3</v>
      </c>
      <c r="J1171" t="n">
        <v>0</v>
      </c>
      <c r="K1171" t="n">
        <v>1</v>
      </c>
      <c r="L1171" t="n">
        <v>0</v>
      </c>
      <c r="M1171" t="n">
        <v>0</v>
      </c>
      <c r="N1171" t="n">
        <v>0</v>
      </c>
      <c r="O1171" t="n">
        <v>0</v>
      </c>
      <c r="P1171" t="n">
        <v>0</v>
      </c>
      <c r="Q1171" t="n">
        <v>0</v>
      </c>
      <c r="R1171" t="n">
        <v>0</v>
      </c>
      <c r="S1171" t="n">
        <v>1</v>
      </c>
      <c r="T1171" t="n">
        <v>1</v>
      </c>
      <c r="U1171" t="n">
        <v>0</v>
      </c>
      <c r="V1171" s="2" t="inlineStr">
        <is>
          <t>Tibast</t>
        </is>
      </c>
      <c r="W1171">
        <f>HYPERLINK("https://klasma.github.io/Logging_2085/artfynd/A 25159-2026 artfynd.xlsx", "A 25159-2026")</f>
        <v/>
      </c>
      <c r="X1171">
        <f>HYPERLINK("https://klasma.github.io/Logging_2085/kartor/A 25159-2026 karta.png", "A 25159-2026")</f>
        <v/>
      </c>
      <c r="Y1171">
        <f>HYPERLINK("https://klasma.github.io/Logging_2085/kartor_geotiff/A 25159-2026 georefererad karta.tif", "A 25159-2026")</f>
        <v/>
      </c>
      <c r="AA1171">
        <f>HYPERLINK("https://klasma.github.io/Logging_2085/klagomål/A 25159-2026 FSC-klagomål.docx", "A 25159-2026")</f>
        <v/>
      </c>
      <c r="AB1171">
        <f>HYPERLINK("https://klasma.github.io/Logging_2085/klagomålsmail/A 25159-2026 FSC-klagomål mail.docx", "A 25159-2026")</f>
        <v/>
      </c>
      <c r="AC1171">
        <f>HYPERLINK("https://klasma.github.io/Logging_2085/tillsyn/A 25159-2026 tillsynsbegäran.docx", "A 25159-2026")</f>
        <v/>
      </c>
      <c r="AD1171">
        <f>HYPERLINK("https://klasma.github.io/Logging_2085/tillsynsmail/A 25159-2026 tillsynsbegäran mail.docx", "A 25159-2026")</f>
        <v/>
      </c>
    </row>
    <row r="1172" ht="15" customHeight="1">
      <c r="A1172" t="inlineStr">
        <is>
          <t>A 49653-2025</t>
        </is>
      </c>
      <c r="B1172" t="inlineStr">
        <is>
          <t>avverkningsanmälan</t>
        </is>
      </c>
      <c r="C1172" t="inlineStr">
        <is>
          <t>Föryngringsavverkning</t>
        </is>
      </c>
      <c r="D1172" s="1" t="n">
        <v>45939</v>
      </c>
      <c r="E1172" s="1" t="n">
        <v>46319</v>
      </c>
      <c r="F1172" t="inlineStr">
        <is>
          <t>DALARNAS LÄN</t>
        </is>
      </c>
      <c r="G1172" t="inlineStr">
        <is>
          <t>SÄTER</t>
        </is>
      </c>
      <c r="I1172" t="n">
        <v>0.8</v>
      </c>
      <c r="J1172" t="n">
        <v>0</v>
      </c>
      <c r="K1172" t="n">
        <v>0</v>
      </c>
      <c r="L1172" t="n">
        <v>1</v>
      </c>
      <c r="M1172" t="n">
        <v>0</v>
      </c>
      <c r="N1172" t="n">
        <v>0</v>
      </c>
      <c r="O1172" t="n">
        <v>0</v>
      </c>
      <c r="P1172" t="n">
        <v>0</v>
      </c>
      <c r="Q1172" t="n">
        <v>1</v>
      </c>
      <c r="R1172" t="n">
        <v>0</v>
      </c>
      <c r="S1172" t="n">
        <v>1</v>
      </c>
      <c r="T1172" t="n">
        <v>1</v>
      </c>
      <c r="U1172" t="n">
        <v>1</v>
      </c>
      <c r="V1172" s="2" t="inlineStr">
        <is>
          <t>Ullticka</t>
        </is>
      </c>
      <c r="W1172">
        <f>HYPERLINK("https://klasma.github.io/Logging_2082/artfynd/A 49653-2025 artfynd.xlsx", "A 49653-2025")</f>
        <v/>
      </c>
      <c r="X1172">
        <f>HYPERLINK("https://klasma.github.io/Logging_2082/kartor/A 49653-2025 karta.png", "A 49653-2025")</f>
        <v/>
      </c>
      <c r="Y1172">
        <f>HYPERLINK("https://klasma.github.io/Logging_2082/kartor_geotiff/A 49653-2025 georefererad karta.tif", "A 49653-2025")</f>
        <v/>
      </c>
      <c r="AA1172">
        <f>HYPERLINK("https://klasma.github.io/Logging_2082/klagomål/A 49653-2025 FSC-klagomål.docx", "A 49653-2025")</f>
        <v/>
      </c>
      <c r="AB1172">
        <f>HYPERLINK("https://klasma.github.io/Logging_2082/klagomålsmail/A 49653-2025 FSC-klagomål mail.docx", "A 49653-2025")</f>
        <v/>
      </c>
      <c r="AC1172">
        <f>HYPERLINK("https://klasma.github.io/Logging_2082/tillsyn/A 49653-2025 tillsynsbegäran.docx", "A 49653-2025")</f>
        <v/>
      </c>
      <c r="AD1172">
        <f>HYPERLINK("https://klasma.github.io/Logging_2082/tillsynsmail/A 49653-2025 tillsynsbegäran mail.docx", "A 49653-2025")</f>
        <v/>
      </c>
    </row>
    <row r="1173" ht="15" customHeight="1">
      <c r="A1173" t="inlineStr">
        <is>
          <t>A 54453-2024</t>
        </is>
      </c>
      <c r="B1173" t="inlineStr">
        <is>
          <t>avverkningsanmälan</t>
        </is>
      </c>
      <c r="C1173" t="inlineStr">
        <is>
          <t>Föryngringsavverkning</t>
        </is>
      </c>
      <c r="D1173" s="1" t="n">
        <v>45617</v>
      </c>
      <c r="E1173" s="1" t="n">
        <v>46319</v>
      </c>
      <c r="F1173" t="inlineStr">
        <is>
          <t>DALARNAS LÄN</t>
        </is>
      </c>
      <c r="G1173" t="inlineStr">
        <is>
          <t>VANSBRO</t>
        </is>
      </c>
      <c r="I1173" t="n">
        <v>0.4</v>
      </c>
      <c r="J1173" t="n">
        <v>0</v>
      </c>
      <c r="K1173" t="n">
        <v>0</v>
      </c>
      <c r="L1173" t="n">
        <v>1</v>
      </c>
      <c r="M1173" t="n">
        <v>0</v>
      </c>
      <c r="N1173" t="n">
        <v>0</v>
      </c>
      <c r="O1173" t="n">
        <v>0</v>
      </c>
      <c r="P1173" t="n">
        <v>0</v>
      </c>
      <c r="Q1173" t="n">
        <v>1</v>
      </c>
      <c r="R1173" t="n">
        <v>0</v>
      </c>
      <c r="S1173" t="n">
        <v>1</v>
      </c>
      <c r="T1173" t="n">
        <v>1</v>
      </c>
      <c r="U1173" t="n">
        <v>0</v>
      </c>
      <c r="V1173" s="2" t="inlineStr">
        <is>
          <t>Skarp dropptaggsvamp</t>
        </is>
      </c>
      <c r="W1173">
        <f>HYPERLINK("https://klasma.github.io/Logging_2021/artfynd/A 54453-2024 artfynd.xlsx", "A 54453-2024")</f>
        <v/>
      </c>
      <c r="X1173">
        <f>HYPERLINK("https://klasma.github.io/Logging_2021/kartor/A 54453-2024 karta.png", "A 54453-2024")</f>
        <v/>
      </c>
      <c r="Y1173">
        <f>HYPERLINK("https://klasma.github.io/Logging_2021/kartor_geotiff/A 54453-2024 georefererad karta.tif", "A 54453-2024")</f>
        <v/>
      </c>
      <c r="AA1173">
        <f>HYPERLINK("https://klasma.github.io/Logging_2021/klagomål/A 54453-2024 FSC-klagomål.docx", "A 54453-2024")</f>
        <v/>
      </c>
      <c r="AB1173">
        <f>HYPERLINK("https://klasma.github.io/Logging_2021/klagomålsmail/A 54453-2024 FSC-klagomål mail.docx", "A 54453-2024")</f>
        <v/>
      </c>
      <c r="AC1173">
        <f>HYPERLINK("https://klasma.github.io/Logging_2021/tillsyn/A 54453-2024 tillsynsbegäran.docx", "A 54453-2024")</f>
        <v/>
      </c>
      <c r="AD1173">
        <f>HYPERLINK("https://klasma.github.io/Logging_2021/tillsynsmail/A 54453-2024 tillsynsbegäran mail.docx", "A 54453-2024")</f>
        <v/>
      </c>
    </row>
    <row r="1174" ht="15" customHeight="1">
      <c r="A1174" t="inlineStr">
        <is>
          <t>A 23736-2023</t>
        </is>
      </c>
      <c r="B1174" t="inlineStr">
        <is>
          <t>avverkningsanmälan</t>
        </is>
      </c>
      <c r="C1174" t="inlineStr">
        <is>
          <t>Föryngringsavverkning</t>
        </is>
      </c>
      <c r="D1174" s="1" t="n">
        <v>45077</v>
      </c>
      <c r="E1174" s="1" t="n">
        <v>46319</v>
      </c>
      <c r="F1174" t="inlineStr">
        <is>
          <t>DALARNAS LÄN</t>
        </is>
      </c>
      <c r="G1174" t="inlineStr">
        <is>
          <t>MORA</t>
        </is>
      </c>
      <c r="I1174" t="n">
        <v>7.2</v>
      </c>
      <c r="J1174" t="n">
        <v>0</v>
      </c>
      <c r="K1174" t="n">
        <v>0</v>
      </c>
      <c r="L1174" t="n">
        <v>1</v>
      </c>
      <c r="M1174" t="n">
        <v>0</v>
      </c>
      <c r="N1174" t="n">
        <v>0</v>
      </c>
      <c r="O1174" t="n">
        <v>0</v>
      </c>
      <c r="P1174" t="n">
        <v>0</v>
      </c>
      <c r="Q1174" t="n">
        <v>1</v>
      </c>
      <c r="R1174" t="n">
        <v>0</v>
      </c>
      <c r="S1174" t="n">
        <v>1</v>
      </c>
      <c r="T1174" t="n">
        <v>1</v>
      </c>
      <c r="U1174" t="n">
        <v>0</v>
      </c>
      <c r="V1174" s="2" t="inlineStr">
        <is>
          <t>Reliktbock</t>
        </is>
      </c>
      <c r="W1174">
        <f>HYPERLINK("https://klasma.github.io/Logging_2062/artfynd/A 23736-2023 artfynd.xlsx", "A 23736-2023")</f>
        <v/>
      </c>
      <c r="X1174">
        <f>HYPERLINK("https://klasma.github.io/Logging_2062/kartor/A 23736-2023 karta.png", "A 23736-2023")</f>
        <v/>
      </c>
      <c r="Y1174">
        <f>HYPERLINK("https://klasma.github.io/Logging_2062/kartor_geotiff/A 23736-2023 georefererad karta.tif", "A 23736-2023")</f>
        <v/>
      </c>
      <c r="AA1174">
        <f>HYPERLINK("https://klasma.github.io/Logging_2062/klagomål/A 23736-2023 FSC-klagomål.docx", "A 23736-2023")</f>
        <v/>
      </c>
      <c r="AB1174">
        <f>HYPERLINK("https://klasma.github.io/Logging_2062/klagomålsmail/A 23736-2023 FSC-klagomål mail.docx", "A 23736-2023")</f>
        <v/>
      </c>
      <c r="AC1174">
        <f>HYPERLINK("https://klasma.github.io/Logging_2062/tillsyn/A 23736-2023 tillsynsbegäran.docx", "A 23736-2023")</f>
        <v/>
      </c>
      <c r="AD1174">
        <f>HYPERLINK("https://klasma.github.io/Logging_2062/tillsynsmail/A 23736-2023 tillsynsbegäran mail.docx", "A 23736-2023")</f>
        <v/>
      </c>
    </row>
    <row r="1175" ht="15" customHeight="1">
      <c r="A1175" t="inlineStr">
        <is>
          <t>A 33968-2025</t>
        </is>
      </c>
      <c r="B1175" t="inlineStr">
        <is>
          <t>avverkningsanmälan</t>
        </is>
      </c>
      <c r="C1175" t="inlineStr">
        <is>
          <t>Föryngringsavverkning</t>
        </is>
      </c>
      <c r="D1175" s="1" t="n">
        <v>45842</v>
      </c>
      <c r="E1175" s="1" t="n">
        <v>46319</v>
      </c>
      <c r="F1175" t="inlineStr">
        <is>
          <t>DALARNAS LÄN</t>
        </is>
      </c>
      <c r="G1175" t="inlineStr">
        <is>
          <t>HEDEMORA</t>
        </is>
      </c>
      <c r="H1175" t="inlineStr">
        <is>
          <t>Sveaskog</t>
        </is>
      </c>
      <c r="I1175" t="n">
        <v>1.6</v>
      </c>
      <c r="J1175" t="n">
        <v>1</v>
      </c>
      <c r="K1175" t="n">
        <v>1</v>
      </c>
      <c r="L1175" t="n">
        <v>0</v>
      </c>
      <c r="M1175" t="n">
        <v>0</v>
      </c>
      <c r="N1175" t="n">
        <v>0</v>
      </c>
      <c r="O1175" t="n">
        <v>0</v>
      </c>
      <c r="P1175" t="n">
        <v>0</v>
      </c>
      <c r="Q1175" t="n">
        <v>0</v>
      </c>
      <c r="R1175" t="n">
        <v>0</v>
      </c>
      <c r="S1175" t="n">
        <v>1</v>
      </c>
      <c r="T1175" t="n">
        <v>2</v>
      </c>
      <c r="U1175" t="n">
        <v>2</v>
      </c>
      <c r="V1175" s="2" t="inlineStr">
        <is>
          <t>Plattlummer</t>
        </is>
      </c>
      <c r="W1175">
        <f>HYPERLINK("https://klasma.github.io/Logging_2083/artfynd/A 33968-2025 artfynd.xlsx", "A 33968-2025")</f>
        <v/>
      </c>
      <c r="X1175">
        <f>HYPERLINK("https://klasma.github.io/Logging_2083/kartor/A 33968-2025 karta.png", "A 33968-2025")</f>
        <v/>
      </c>
      <c r="Y1175">
        <f>HYPERLINK("https://klasma.github.io/Logging_2083/kartor_geotiff/A 33968-2025 georefererad karta.tif", "A 33968-2025")</f>
        <v/>
      </c>
      <c r="AA1175">
        <f>HYPERLINK("https://klasma.github.io/Logging_2083/klagomål/A 33968-2025 FSC-klagomål.docx", "A 33968-2025")</f>
        <v/>
      </c>
      <c r="AB1175">
        <f>HYPERLINK("https://klasma.github.io/Logging_2083/klagomålsmail/A 33968-2025 FSC-klagomål mail.docx", "A 33968-2025")</f>
        <v/>
      </c>
      <c r="AC1175">
        <f>HYPERLINK("https://klasma.github.io/Logging_2083/tillsyn/A 33968-2025 tillsynsbegäran.docx", "A 33968-2025")</f>
        <v/>
      </c>
      <c r="AD1175">
        <f>HYPERLINK("https://klasma.github.io/Logging_2083/tillsynsmail/A 33968-2025 tillsynsbegäran mail.docx", "A 33968-2025")</f>
        <v/>
      </c>
    </row>
    <row r="1176" ht="15" customHeight="1">
      <c r="A1176" t="inlineStr">
        <is>
          <t>A 25540-2026</t>
        </is>
      </c>
      <c r="B1176" t="inlineStr">
        <is>
          <t>avverkningsanmälan</t>
        </is>
      </c>
      <c r="C1176" t="inlineStr">
        <is>
          <t>Föryngringsavverkning</t>
        </is>
      </c>
      <c r="D1176" s="1" t="n">
        <v>46177</v>
      </c>
      <c r="E1176" s="1" t="n">
        <v>46319</v>
      </c>
      <c r="F1176" t="inlineStr">
        <is>
          <t>DALARNAS LÄN</t>
        </is>
      </c>
      <c r="G1176" t="inlineStr">
        <is>
          <t>FALUN</t>
        </is>
      </c>
      <c r="H1176" t="inlineStr">
        <is>
          <t>Bergvik skog väst AB</t>
        </is>
      </c>
      <c r="I1176" t="n">
        <v>2.6</v>
      </c>
      <c r="J1176" t="n">
        <v>0</v>
      </c>
      <c r="K1176" t="n">
        <v>0</v>
      </c>
      <c r="L1176" t="n">
        <v>1</v>
      </c>
      <c r="M1176" t="n">
        <v>0</v>
      </c>
      <c r="N1176" t="n">
        <v>0</v>
      </c>
      <c r="O1176" t="n">
        <v>0</v>
      </c>
      <c r="P1176" t="n">
        <v>0</v>
      </c>
      <c r="Q1176" t="n">
        <v>1</v>
      </c>
      <c r="R1176" t="n">
        <v>0</v>
      </c>
      <c r="S1176" t="n">
        <v>1</v>
      </c>
      <c r="T1176" t="n">
        <v>1</v>
      </c>
      <c r="U1176" t="n">
        <v>0</v>
      </c>
      <c r="V1176" s="2" t="inlineStr">
        <is>
          <t>Ullticka</t>
        </is>
      </c>
      <c r="W1176">
        <f>HYPERLINK("https://klasma.github.io/Logging_2080/artfynd/A 25540-2026 artfynd.xlsx", "A 25540-2026")</f>
        <v/>
      </c>
      <c r="X1176">
        <f>HYPERLINK("https://klasma.github.io/Logging_2080/kartor/A 25540-2026 karta.png", "A 25540-2026")</f>
        <v/>
      </c>
      <c r="Y1176">
        <f>HYPERLINK("https://klasma.github.io/Logging_2080/kartor_geotiff/A 25540-2026 georefererad karta.tif", "A 25540-2026")</f>
        <v/>
      </c>
      <c r="AA1176">
        <f>HYPERLINK("https://klasma.github.io/Logging_2080/klagomål/A 25540-2026 FSC-klagomål.docx", "A 25540-2026")</f>
        <v/>
      </c>
      <c r="AB1176">
        <f>HYPERLINK("https://klasma.github.io/Logging_2080/klagomålsmail/A 25540-2026 FSC-klagomål mail.docx", "A 25540-2026")</f>
        <v/>
      </c>
      <c r="AC1176">
        <f>HYPERLINK("https://klasma.github.io/Logging_2080/tillsyn/A 25540-2026 tillsynsbegäran.docx", "A 25540-2026")</f>
        <v/>
      </c>
      <c r="AD1176">
        <f>HYPERLINK("https://klasma.github.io/Logging_2080/tillsynsmail/A 25540-2026 tillsynsbegäran mail.docx", "A 25540-2026")</f>
        <v/>
      </c>
    </row>
    <row r="1177" ht="15" customHeight="1">
      <c r="A1177" t="inlineStr">
        <is>
          <t>A 1010-2023</t>
        </is>
      </c>
      <c r="B1177" t="inlineStr">
        <is>
          <t>avverkningsanmälan</t>
        </is>
      </c>
      <c r="C1177" t="inlineStr">
        <is>
          <t>Föryngringsavverkning</t>
        </is>
      </c>
      <c r="D1177" s="1" t="n">
        <v>44935</v>
      </c>
      <c r="E1177" s="1" t="n">
        <v>46319</v>
      </c>
      <c r="F1177" t="inlineStr">
        <is>
          <t>DALARNAS LÄN</t>
        </is>
      </c>
      <c r="G1177" t="inlineStr">
        <is>
          <t>FALUN</t>
        </is>
      </c>
      <c r="I1177" t="n">
        <v>0.5</v>
      </c>
      <c r="J1177" t="n">
        <v>0</v>
      </c>
      <c r="K1177" t="n">
        <v>0</v>
      </c>
      <c r="L1177" t="n">
        <v>1</v>
      </c>
      <c r="M1177" t="n">
        <v>0</v>
      </c>
      <c r="N1177" t="n">
        <v>0</v>
      </c>
      <c r="O1177" t="n">
        <v>0</v>
      </c>
      <c r="P1177" t="n">
        <v>0</v>
      </c>
      <c r="Q1177" t="n">
        <v>1</v>
      </c>
      <c r="R1177" t="n">
        <v>0</v>
      </c>
      <c r="S1177" t="n">
        <v>1</v>
      </c>
      <c r="T1177" t="n">
        <v>1</v>
      </c>
      <c r="U1177" t="n">
        <v>1</v>
      </c>
      <c r="V1177" s="2" t="inlineStr">
        <is>
          <t>Blå taggsvamp</t>
        </is>
      </c>
      <c r="W1177">
        <f>HYPERLINK("https://klasma.github.io/Logging_2080/artfynd/A 1010-2023 artfynd.xlsx", "A 1010-2023")</f>
        <v/>
      </c>
      <c r="X1177">
        <f>HYPERLINK("https://klasma.github.io/Logging_2080/kartor/A 1010-2023 karta.png", "A 1010-2023")</f>
        <v/>
      </c>
      <c r="Y1177">
        <f>HYPERLINK("https://klasma.github.io/Logging_2080/kartor_geotiff/A 1010-2023 georefererad karta.tif", "A 1010-2023")</f>
        <v/>
      </c>
      <c r="AA1177">
        <f>HYPERLINK("https://klasma.github.io/Logging_2080/klagomål/A 1010-2023 FSC-klagomål.docx", "A 1010-2023")</f>
        <v/>
      </c>
      <c r="AB1177">
        <f>HYPERLINK("https://klasma.github.io/Logging_2080/klagomålsmail/A 1010-2023 FSC-klagomål mail.docx", "A 1010-2023")</f>
        <v/>
      </c>
      <c r="AC1177">
        <f>HYPERLINK("https://klasma.github.io/Logging_2080/tillsyn/A 1010-2023 tillsynsbegäran.docx", "A 1010-2023")</f>
        <v/>
      </c>
      <c r="AD1177">
        <f>HYPERLINK("https://klasma.github.io/Logging_2080/tillsynsmail/A 1010-2023 tillsynsbegäran mail.docx", "A 1010-2023")</f>
        <v/>
      </c>
    </row>
    <row r="1178" ht="15" customHeight="1">
      <c r="A1178" t="inlineStr">
        <is>
          <t>A 25422-2026</t>
        </is>
      </c>
      <c r="B1178" t="inlineStr">
        <is>
          <t>avverkningsanmälan</t>
        </is>
      </c>
      <c r="C1178" t="inlineStr">
        <is>
          <t>Föryngringsavverkning</t>
        </is>
      </c>
      <c r="D1178" s="1" t="n">
        <v>46177</v>
      </c>
      <c r="E1178" s="1" t="n">
        <v>46319</v>
      </c>
      <c r="F1178" t="inlineStr">
        <is>
          <t>DALARNAS LÄN</t>
        </is>
      </c>
      <c r="G1178" t="inlineStr">
        <is>
          <t>HEDEMORA</t>
        </is>
      </c>
      <c r="H1178" t="inlineStr">
        <is>
          <t>Sveaskog</t>
        </is>
      </c>
      <c r="I1178" t="n">
        <v>0.8</v>
      </c>
      <c r="J1178" t="n">
        <v>0</v>
      </c>
      <c r="K1178" t="n">
        <v>0</v>
      </c>
      <c r="L1178" t="n">
        <v>1</v>
      </c>
      <c r="M1178" t="n">
        <v>0</v>
      </c>
      <c r="N1178" t="n">
        <v>0</v>
      </c>
      <c r="O1178" t="n">
        <v>0</v>
      </c>
      <c r="P1178" t="n">
        <v>0</v>
      </c>
      <c r="Q1178" t="n">
        <v>1</v>
      </c>
      <c r="R1178" t="n">
        <v>0</v>
      </c>
      <c r="S1178" t="n">
        <v>1</v>
      </c>
      <c r="T1178" t="n">
        <v>1</v>
      </c>
      <c r="U1178" t="n">
        <v>1</v>
      </c>
      <c r="V1178" s="2" t="inlineStr">
        <is>
          <t>Tallticka</t>
        </is>
      </c>
      <c r="W1178">
        <f>HYPERLINK("https://klasma.github.io/Logging_2083/artfynd/A 25422-2026 artfynd.xlsx", "A 25422-2026")</f>
        <v/>
      </c>
      <c r="X1178">
        <f>HYPERLINK("https://klasma.github.io/Logging_2083/kartor/A 25422-2026 karta.png", "A 25422-2026")</f>
        <v/>
      </c>
      <c r="Y1178">
        <f>HYPERLINK("https://klasma.github.io/Logging_2083/kartor_geotiff/A 25422-2026 georefererad karta.tif", "A 25422-2026")</f>
        <v/>
      </c>
      <c r="AA1178">
        <f>HYPERLINK("https://klasma.github.io/Logging_2083/klagomål/A 25422-2026 FSC-klagomål.docx", "A 25422-2026")</f>
        <v/>
      </c>
      <c r="AB1178">
        <f>HYPERLINK("https://klasma.github.io/Logging_2083/klagomålsmail/A 25422-2026 FSC-klagomål mail.docx", "A 25422-2026")</f>
        <v/>
      </c>
      <c r="AC1178">
        <f>HYPERLINK("https://klasma.github.io/Logging_2083/tillsyn/A 25422-2026 tillsynsbegäran.docx", "A 25422-2026")</f>
        <v/>
      </c>
      <c r="AD1178">
        <f>HYPERLINK("https://klasma.github.io/Logging_2083/tillsynsmail/A 25422-2026 tillsynsbegäran mail.docx", "A 25422-2026")</f>
        <v/>
      </c>
    </row>
    <row r="1179" ht="15" customHeight="1">
      <c r="A1179" t="inlineStr">
        <is>
          <t>A 25448-2024</t>
        </is>
      </c>
      <c r="B1179" t="inlineStr">
        <is>
          <t>avverkningsanmälan</t>
        </is>
      </c>
      <c r="C1179" t="inlineStr">
        <is>
          <t>Avverkning för att bevara och utveckla /försöksver</t>
        </is>
      </c>
      <c r="D1179" s="1" t="n">
        <v>45463</v>
      </c>
      <c r="E1179" s="1" t="n">
        <v>46319</v>
      </c>
      <c r="F1179" t="inlineStr">
        <is>
          <t>DALARNAS LÄN</t>
        </is>
      </c>
      <c r="G1179" t="inlineStr">
        <is>
          <t>LUDVIKA</t>
        </is>
      </c>
      <c r="H1179" t="inlineStr">
        <is>
          <t>Bergvik skog väst AB</t>
        </is>
      </c>
      <c r="I1179" t="n">
        <v>24.7</v>
      </c>
      <c r="J1179" t="n">
        <v>1</v>
      </c>
      <c r="K1179" t="n">
        <v>0</v>
      </c>
      <c r="L1179" t="n">
        <v>0</v>
      </c>
      <c r="M1179" t="n">
        <v>0</v>
      </c>
      <c r="N1179" t="n">
        <v>0</v>
      </c>
      <c r="O1179" t="n">
        <v>0</v>
      </c>
      <c r="P1179" t="n">
        <v>0</v>
      </c>
      <c r="Q1179" t="n">
        <v>0</v>
      </c>
      <c r="R1179" t="n">
        <v>0</v>
      </c>
      <c r="S1179" t="n">
        <v>1</v>
      </c>
      <c r="T1179" t="n">
        <v>2</v>
      </c>
      <c r="U1179" t="n">
        <v>0</v>
      </c>
      <c r="V1179" s="2" t="inlineStr">
        <is>
          <t>Blåsippa</t>
        </is>
      </c>
      <c r="W1179">
        <f>HYPERLINK("https://klasma.github.io/Logging_2085/artfynd/A 25448-2024 artfynd.xlsx", "A 25448-2024")</f>
        <v/>
      </c>
      <c r="X1179">
        <f>HYPERLINK("https://klasma.github.io/Logging_2085/kartor/A 25448-2024 karta.png", "A 25448-2024")</f>
        <v/>
      </c>
      <c r="Y1179">
        <f>HYPERLINK("https://klasma.github.io/Logging_2085/kartor_geotiff/A 25448-2024 georefererad karta.tif", "A 25448-2024")</f>
        <v/>
      </c>
      <c r="AA1179">
        <f>HYPERLINK("https://klasma.github.io/Logging_2085/klagomål/A 25448-2024 FSC-klagomål.docx", "A 25448-2024")</f>
        <v/>
      </c>
      <c r="AB1179">
        <f>HYPERLINK("https://klasma.github.io/Logging_2085/klagomålsmail/A 25448-2024 FSC-klagomål mail.docx", "A 25448-2024")</f>
        <v/>
      </c>
      <c r="AC1179">
        <f>HYPERLINK("https://klasma.github.io/Logging_2085/tillsyn/A 25448-2024 tillsynsbegäran.docx", "A 25448-2024")</f>
        <v/>
      </c>
      <c r="AD1179">
        <f>HYPERLINK("https://klasma.github.io/Logging_2085/tillsynsmail/A 25448-2024 tillsynsbegäran mail.docx", "A 25448-2024")</f>
        <v/>
      </c>
    </row>
    <row r="1180" ht="15" customHeight="1">
      <c r="A1180" t="inlineStr">
        <is>
          <t>A 10943-2024</t>
        </is>
      </c>
      <c r="B1180" t="inlineStr">
        <is>
          <t>avverkningsanmälan</t>
        </is>
      </c>
      <c r="C1180" t="inlineStr">
        <is>
          <t>Föryngringsavverkning</t>
        </is>
      </c>
      <c r="D1180" s="1" t="n">
        <v>45370</v>
      </c>
      <c r="E1180" s="1" t="n">
        <v>46319</v>
      </c>
      <c r="F1180" t="inlineStr">
        <is>
          <t>DALARNAS LÄN</t>
        </is>
      </c>
      <c r="G1180" t="inlineStr">
        <is>
          <t>AVESTA</t>
        </is>
      </c>
      <c r="I1180" t="n">
        <v>8.5</v>
      </c>
      <c r="J1180" t="n">
        <v>1</v>
      </c>
      <c r="K1180" t="n">
        <v>0</v>
      </c>
      <c r="L1180" t="n">
        <v>0</v>
      </c>
      <c r="M1180" t="n">
        <v>0</v>
      </c>
      <c r="N1180" t="n">
        <v>0</v>
      </c>
      <c r="O1180" t="n">
        <v>0</v>
      </c>
      <c r="P1180" t="n">
        <v>0</v>
      </c>
      <c r="Q1180" t="n">
        <v>0</v>
      </c>
      <c r="R1180" t="n">
        <v>0</v>
      </c>
      <c r="S1180" t="n">
        <v>1</v>
      </c>
      <c r="T1180" t="n">
        <v>1</v>
      </c>
      <c r="U1180" t="n">
        <v>0</v>
      </c>
      <c r="V1180" s="2" t="inlineStr">
        <is>
          <t>Havsörn</t>
        </is>
      </c>
      <c r="W1180">
        <f>HYPERLINK("https://klasma.github.io/Logging_2084/artfynd/A 10943-2024 artfynd.xlsx", "A 10943-2024")</f>
        <v/>
      </c>
      <c r="X1180">
        <f>HYPERLINK("https://klasma.github.io/Logging_2084/kartor/A 10943-2024 karta.png", "A 10943-2024")</f>
        <v/>
      </c>
      <c r="Y1180">
        <f>HYPERLINK("https://klasma.github.io/Logging_2084/kartor_geotiff/A 10943-2024 georefererad karta.tif", "A 10943-2024")</f>
        <v/>
      </c>
      <c r="AA1180">
        <f>HYPERLINK("https://klasma.github.io/Logging_2084/klagomål/A 10943-2024 FSC-klagomål.docx", "A 10943-2024")</f>
        <v/>
      </c>
      <c r="AB1180">
        <f>HYPERLINK("https://klasma.github.io/Logging_2084/klagomålsmail/A 10943-2024 FSC-klagomål mail.docx", "A 10943-2024")</f>
        <v/>
      </c>
      <c r="AC1180">
        <f>HYPERLINK("https://klasma.github.io/Logging_2084/tillsyn/A 10943-2024 tillsynsbegäran.docx", "A 10943-2024")</f>
        <v/>
      </c>
      <c r="AD1180">
        <f>HYPERLINK("https://klasma.github.io/Logging_2084/tillsynsmail/A 10943-2024 tillsynsbegäran mail.docx", "A 10943-2024")</f>
        <v/>
      </c>
      <c r="AE1180">
        <f>HYPERLINK("https://klasma.github.io/Logging_2084/fåglar/A 10943-2024 prioriterade fågelarter.docx", "A 10943-2024")</f>
        <v/>
      </c>
    </row>
    <row r="1181" ht="15" customHeight="1">
      <c r="A1181" t="inlineStr">
        <is>
          <t>A 25526-2026</t>
        </is>
      </c>
      <c r="B1181" t="inlineStr">
        <is>
          <t>avverkningsanmälan</t>
        </is>
      </c>
      <c r="C1181" t="inlineStr">
        <is>
          <t>Föryngringsavverkning</t>
        </is>
      </c>
      <c r="D1181" s="1" t="n">
        <v>46177</v>
      </c>
      <c r="E1181" s="1" t="n">
        <v>46319</v>
      </c>
      <c r="F1181" t="inlineStr">
        <is>
          <t>DALARNAS LÄN</t>
        </is>
      </c>
      <c r="G1181" t="inlineStr">
        <is>
          <t>ÄLVDALEN</t>
        </is>
      </c>
      <c r="H1181" t="inlineStr">
        <is>
          <t>Sveaskog</t>
        </is>
      </c>
      <c r="I1181" t="n">
        <v>3.7</v>
      </c>
      <c r="J1181" t="n">
        <v>0</v>
      </c>
      <c r="K1181" t="n">
        <v>0</v>
      </c>
      <c r="L1181" t="n">
        <v>1</v>
      </c>
      <c r="M1181" t="n">
        <v>0</v>
      </c>
      <c r="N1181" t="n">
        <v>0</v>
      </c>
      <c r="O1181" t="n">
        <v>0</v>
      </c>
      <c r="P1181" t="n">
        <v>0</v>
      </c>
      <c r="Q1181" t="n">
        <v>1</v>
      </c>
      <c r="R1181" t="n">
        <v>0</v>
      </c>
      <c r="S1181" t="n">
        <v>1</v>
      </c>
      <c r="T1181" t="n">
        <v>1</v>
      </c>
      <c r="U1181" t="n">
        <v>0</v>
      </c>
      <c r="V1181" s="2" t="inlineStr">
        <is>
          <t>Kolflarnlav</t>
        </is>
      </c>
      <c r="W1181">
        <f>HYPERLINK("https://klasma.github.io/Logging_2039/artfynd/A 25526-2026 artfynd.xlsx", "A 25526-2026")</f>
        <v/>
      </c>
      <c r="X1181">
        <f>HYPERLINK("https://klasma.github.io/Logging_2039/kartor/A 25526-2026 karta.png", "A 25526-2026")</f>
        <v/>
      </c>
      <c r="Y1181">
        <f>HYPERLINK("https://klasma.github.io/Logging_2039/kartor_geotiff/A 25526-2026 georefererad karta.tif", "A 25526-2026")</f>
        <v/>
      </c>
      <c r="AA1181">
        <f>HYPERLINK("https://klasma.github.io/Logging_2039/klagomål/A 25526-2026 FSC-klagomål.docx", "A 25526-2026")</f>
        <v/>
      </c>
      <c r="AB1181">
        <f>HYPERLINK("https://klasma.github.io/Logging_2039/klagomålsmail/A 25526-2026 FSC-klagomål mail.docx", "A 25526-2026")</f>
        <v/>
      </c>
      <c r="AC1181">
        <f>HYPERLINK("https://klasma.github.io/Logging_2039/tillsyn/A 25526-2026 tillsynsbegäran.docx", "A 25526-2026")</f>
        <v/>
      </c>
      <c r="AD1181">
        <f>HYPERLINK("https://klasma.github.io/Logging_2039/tillsynsmail/A 25526-2026 tillsynsbegäran mail.docx", "A 25526-2026")</f>
        <v/>
      </c>
    </row>
    <row r="1182" ht="15" customHeight="1">
      <c r="A1182" t="inlineStr">
        <is>
          <t>A 32726-2025</t>
        </is>
      </c>
      <c r="B1182" t="inlineStr">
        <is>
          <t>avverkningsanmälan</t>
        </is>
      </c>
      <c r="C1182" t="inlineStr">
        <is>
          <t>Avverkning för annat ändamål</t>
        </is>
      </c>
      <c r="D1182" s="1" t="n">
        <v>45839</v>
      </c>
      <c r="E1182" s="1" t="n">
        <v>46319</v>
      </c>
      <c r="F1182" t="inlineStr">
        <is>
          <t>DALARNAS LÄN</t>
        </is>
      </c>
      <c r="G1182" t="inlineStr">
        <is>
          <t>LEKSAND</t>
        </is>
      </c>
      <c r="H1182" t="inlineStr">
        <is>
          <t>Bergvik skog väst AB</t>
        </is>
      </c>
      <c r="I1182" t="n">
        <v>2.5</v>
      </c>
      <c r="J1182" t="n">
        <v>1</v>
      </c>
      <c r="K1182" t="n">
        <v>0</v>
      </c>
      <c r="L1182" t="n">
        <v>0</v>
      </c>
      <c r="M1182" t="n">
        <v>0</v>
      </c>
      <c r="N1182" t="n">
        <v>0</v>
      </c>
      <c r="O1182" t="n">
        <v>0</v>
      </c>
      <c r="P1182" t="n">
        <v>0</v>
      </c>
      <c r="Q1182" t="n">
        <v>0</v>
      </c>
      <c r="R1182" t="n">
        <v>0</v>
      </c>
      <c r="S1182" t="n">
        <v>1</v>
      </c>
      <c r="T1182" t="n">
        <v>1</v>
      </c>
      <c r="U1182" t="n">
        <v>0</v>
      </c>
      <c r="V1182" s="2" t="inlineStr">
        <is>
          <t>Fläcknycklar</t>
        </is>
      </c>
      <c r="W1182">
        <f>HYPERLINK("https://klasma.github.io/Logging_2029/artfynd/A 32726-2025 artfynd.xlsx", "A 32726-2025")</f>
        <v/>
      </c>
      <c r="X1182">
        <f>HYPERLINK("https://klasma.github.io/Logging_2029/kartor/A 32726-2025 karta.png", "A 32726-2025")</f>
        <v/>
      </c>
      <c r="Y1182">
        <f>HYPERLINK("https://klasma.github.io/Logging_2029/kartor_geotiff/A 32726-2025 georefererad karta.tif", "A 32726-2025")</f>
        <v/>
      </c>
      <c r="AA1182">
        <f>HYPERLINK("https://klasma.github.io/Logging_2029/klagomål/A 32726-2025 FSC-klagomål.docx", "A 32726-2025")</f>
        <v/>
      </c>
      <c r="AB1182">
        <f>HYPERLINK("https://klasma.github.io/Logging_2029/klagomålsmail/A 32726-2025 FSC-klagomål mail.docx", "A 32726-2025")</f>
        <v/>
      </c>
      <c r="AC1182">
        <f>HYPERLINK("https://klasma.github.io/Logging_2029/tillsyn/A 32726-2025 tillsynsbegäran.docx", "A 32726-2025")</f>
        <v/>
      </c>
      <c r="AD1182">
        <f>HYPERLINK("https://klasma.github.io/Logging_2029/tillsynsmail/A 32726-2025 tillsynsbegäran mail.docx", "A 32726-2025")</f>
        <v/>
      </c>
    </row>
    <row r="1183" ht="15" customHeight="1">
      <c r="A1183" t="inlineStr">
        <is>
          <t>A 17726-2024</t>
        </is>
      </c>
      <c r="B1183" t="inlineStr">
        <is>
          <t>avverkningsanmälan</t>
        </is>
      </c>
      <c r="C1183" t="inlineStr">
        <is>
          <t>Föryngringsavverkning</t>
        </is>
      </c>
      <c r="D1183" s="1" t="n">
        <v>45418</v>
      </c>
      <c r="E1183" s="1" t="n">
        <v>46319</v>
      </c>
      <c r="F1183" t="inlineStr">
        <is>
          <t>DALARNAS LÄN</t>
        </is>
      </c>
      <c r="G1183" t="inlineStr">
        <is>
          <t>LEKSAND</t>
        </is>
      </c>
      <c r="I1183" t="n">
        <v>5.2</v>
      </c>
      <c r="J1183" t="n">
        <v>0</v>
      </c>
      <c r="K1183" t="n">
        <v>0</v>
      </c>
      <c r="L1183" t="n">
        <v>0</v>
      </c>
      <c r="M1183" t="n">
        <v>1</v>
      </c>
      <c r="N1183" t="n">
        <v>0</v>
      </c>
      <c r="O1183" t="n">
        <v>0</v>
      </c>
      <c r="P1183" t="n">
        <v>0</v>
      </c>
      <c r="Q1183" t="n">
        <v>1</v>
      </c>
      <c r="R1183" t="n">
        <v>1</v>
      </c>
      <c r="S1183" t="n">
        <v>1</v>
      </c>
      <c r="T1183" t="n">
        <v>1</v>
      </c>
      <c r="U1183" t="n">
        <v>1</v>
      </c>
      <c r="V1183" s="2" t="inlineStr">
        <is>
          <t>Silverblåvinge</t>
        </is>
      </c>
      <c r="W1183">
        <f>HYPERLINK("https://klasma.github.io/Logging_2029/artfynd/A 17726-2024 artfynd.xlsx", "A 17726-2024")</f>
        <v/>
      </c>
      <c r="X1183">
        <f>HYPERLINK("https://klasma.github.io/Logging_2029/kartor/A 17726-2024 karta.png", "A 17726-2024")</f>
        <v/>
      </c>
      <c r="Y1183">
        <f>HYPERLINK("https://klasma.github.io/Logging_2029/kartor_geotiff/A 17726-2024 georefererad karta.tif", "A 17726-2024")</f>
        <v/>
      </c>
      <c r="AA1183">
        <f>HYPERLINK("https://klasma.github.io/Logging_2029/klagomål/A 17726-2024 FSC-klagomål.docx", "A 17726-2024")</f>
        <v/>
      </c>
      <c r="AB1183">
        <f>HYPERLINK("https://klasma.github.io/Logging_2029/klagomålsmail/A 17726-2024 FSC-klagomål mail.docx", "A 17726-2024")</f>
        <v/>
      </c>
      <c r="AC1183">
        <f>HYPERLINK("https://klasma.github.io/Logging_2029/tillsyn/A 17726-2024 tillsynsbegäran.docx", "A 17726-2024")</f>
        <v/>
      </c>
      <c r="AD1183">
        <f>HYPERLINK("https://klasma.github.io/Logging_2029/tillsynsmail/A 17726-2024 tillsynsbegäran mail.docx", "A 17726-2024")</f>
        <v/>
      </c>
    </row>
    <row r="1184" ht="15" customHeight="1">
      <c r="A1184" t="inlineStr">
        <is>
          <t>A 53814-2025</t>
        </is>
      </c>
      <c r="B1184" t="inlineStr">
        <is>
          <t>avverkningsanmälan</t>
        </is>
      </c>
      <c r="C1184" t="inlineStr">
        <is>
          <t>Avverkning för annat ändamål</t>
        </is>
      </c>
      <c r="D1184" s="1" t="n">
        <v>45961</v>
      </c>
      <c r="E1184" s="1" t="n">
        <v>46319</v>
      </c>
      <c r="F1184" t="inlineStr">
        <is>
          <t>DALARNAS LÄN</t>
        </is>
      </c>
      <c r="G1184" t="inlineStr">
        <is>
          <t>AVESTA</t>
        </is>
      </c>
      <c r="I1184" t="n">
        <v>2.1</v>
      </c>
      <c r="J1184" t="n">
        <v>1</v>
      </c>
      <c r="K1184" t="n">
        <v>0</v>
      </c>
      <c r="L1184" t="n">
        <v>0</v>
      </c>
      <c r="M1184" t="n">
        <v>0</v>
      </c>
      <c r="N1184" t="n">
        <v>0</v>
      </c>
      <c r="O1184" t="n">
        <v>0</v>
      </c>
      <c r="P1184" t="n">
        <v>0</v>
      </c>
      <c r="Q1184" t="n">
        <v>0</v>
      </c>
      <c r="R1184" t="n">
        <v>0</v>
      </c>
      <c r="S1184" t="n">
        <v>1</v>
      </c>
      <c r="T1184" t="n">
        <v>1</v>
      </c>
      <c r="U1184" t="n">
        <v>0</v>
      </c>
      <c r="V1184" s="2" t="inlineStr">
        <is>
          <t>Mattlummer</t>
        </is>
      </c>
      <c r="W1184">
        <f>HYPERLINK("https://klasma.github.io/Logging_2084/artfynd/A 53814-2025 artfynd.xlsx", "A 53814-2025")</f>
        <v/>
      </c>
      <c r="X1184">
        <f>HYPERLINK("https://klasma.github.io/Logging_2084/kartor/A 53814-2025 karta.png", "A 53814-2025")</f>
        <v/>
      </c>
      <c r="Y1184">
        <f>HYPERLINK("https://klasma.github.io/Logging_2084/kartor_geotiff/A 53814-2025 georefererad karta.tif", "A 53814-2025")</f>
        <v/>
      </c>
      <c r="AA1184">
        <f>HYPERLINK("https://klasma.github.io/Logging_2084/klagomål/A 53814-2025 FSC-klagomål.docx", "A 53814-2025")</f>
        <v/>
      </c>
      <c r="AB1184">
        <f>HYPERLINK("https://klasma.github.io/Logging_2084/klagomålsmail/A 53814-2025 FSC-klagomål mail.docx", "A 53814-2025")</f>
        <v/>
      </c>
      <c r="AC1184">
        <f>HYPERLINK("https://klasma.github.io/Logging_2084/tillsyn/A 53814-2025 tillsynsbegäran.docx", "A 53814-2025")</f>
        <v/>
      </c>
      <c r="AD1184">
        <f>HYPERLINK("https://klasma.github.io/Logging_2084/tillsynsmail/A 53814-2025 tillsynsbegäran mail.docx", "A 53814-2025")</f>
        <v/>
      </c>
    </row>
    <row r="1185" ht="15" customHeight="1">
      <c r="A1185" t="inlineStr">
        <is>
          <t>A 26096-2026</t>
        </is>
      </c>
      <c r="B1185" t="inlineStr">
        <is>
          <t>avverkningsanmälan</t>
        </is>
      </c>
      <c r="C1185" t="inlineStr">
        <is>
          <t>Föryngringsavverkning</t>
        </is>
      </c>
      <c r="D1185" s="1" t="n">
        <v>46181</v>
      </c>
      <c r="E1185" s="1" t="n">
        <v>46319</v>
      </c>
      <c r="F1185" t="inlineStr">
        <is>
          <t>DALARNAS LÄN</t>
        </is>
      </c>
      <c r="G1185" t="inlineStr">
        <is>
          <t>FALUN</t>
        </is>
      </c>
      <c r="I1185" t="n">
        <v>0.7</v>
      </c>
      <c r="J1185" t="n">
        <v>1</v>
      </c>
      <c r="K1185" t="n">
        <v>0</v>
      </c>
      <c r="L1185" t="n">
        <v>0</v>
      </c>
      <c r="M1185" t="n">
        <v>0</v>
      </c>
      <c r="N1185" t="n">
        <v>0</v>
      </c>
      <c r="O1185" t="n">
        <v>0</v>
      </c>
      <c r="P1185" t="n">
        <v>0</v>
      </c>
      <c r="Q1185" t="n">
        <v>0</v>
      </c>
      <c r="R1185" t="n">
        <v>0</v>
      </c>
      <c r="S1185" t="n">
        <v>1</v>
      </c>
      <c r="T1185" t="n">
        <v>1</v>
      </c>
      <c r="U1185" t="n">
        <v>0</v>
      </c>
      <c r="V1185" s="2" t="inlineStr">
        <is>
          <t>Mattlummer</t>
        </is>
      </c>
      <c r="W1185">
        <f>HYPERLINK("https://klasma.github.io/Logging_2080/artfynd/A 26096-2026 artfynd.xlsx", "A 26096-2026")</f>
        <v/>
      </c>
      <c r="X1185">
        <f>HYPERLINK("https://klasma.github.io/Logging_2080/kartor/A 26096-2026 karta.png", "A 26096-2026")</f>
        <v/>
      </c>
      <c r="Y1185">
        <f>HYPERLINK("https://klasma.github.io/Logging_2080/kartor_geotiff/A 26096-2026 georefererad karta.tif", "A 26096-2026")</f>
        <v/>
      </c>
      <c r="AA1185">
        <f>HYPERLINK("https://klasma.github.io/Logging_2080/klagomål/A 26096-2026 FSC-klagomål.docx", "A 26096-2026")</f>
        <v/>
      </c>
      <c r="AB1185">
        <f>HYPERLINK("https://klasma.github.io/Logging_2080/klagomålsmail/A 26096-2026 FSC-klagomål mail.docx", "A 26096-2026")</f>
        <v/>
      </c>
      <c r="AC1185">
        <f>HYPERLINK("https://klasma.github.io/Logging_2080/tillsyn/A 26096-2026 tillsynsbegäran.docx", "A 26096-2026")</f>
        <v/>
      </c>
      <c r="AD1185">
        <f>HYPERLINK("https://klasma.github.io/Logging_2080/tillsynsmail/A 26096-2026 tillsynsbegäran mail.docx", "A 26096-2026")</f>
        <v/>
      </c>
    </row>
    <row r="1186" ht="15" customHeight="1">
      <c r="A1186" t="inlineStr">
        <is>
          <t>A 15601-2026</t>
        </is>
      </c>
      <c r="B1186" t="inlineStr">
        <is>
          <t>avverkningsanmälan</t>
        </is>
      </c>
      <c r="C1186" t="inlineStr">
        <is>
          <t>Föryngringsavverkning</t>
        </is>
      </c>
      <c r="D1186" s="1" t="n">
        <v>46106</v>
      </c>
      <c r="E1186" s="1" t="n">
        <v>46319</v>
      </c>
      <c r="F1186" t="inlineStr">
        <is>
          <t>DALARNAS LÄN</t>
        </is>
      </c>
      <c r="G1186" t="inlineStr">
        <is>
          <t>FALUN</t>
        </is>
      </c>
      <c r="H1186" t="inlineStr">
        <is>
          <t>Bergvik skog väst AB</t>
        </is>
      </c>
      <c r="I1186" t="n">
        <v>35.5</v>
      </c>
      <c r="J1186" t="n">
        <v>0</v>
      </c>
      <c r="K1186" t="n">
        <v>0</v>
      </c>
      <c r="L1186" t="n">
        <v>1</v>
      </c>
      <c r="M1186" t="n">
        <v>0</v>
      </c>
      <c r="N1186" t="n">
        <v>0</v>
      </c>
      <c r="O1186" t="n">
        <v>0</v>
      </c>
      <c r="P1186" t="n">
        <v>0</v>
      </c>
      <c r="Q1186" t="n">
        <v>1</v>
      </c>
      <c r="R1186" t="n">
        <v>0</v>
      </c>
      <c r="S1186" t="n">
        <v>1</v>
      </c>
      <c r="T1186" t="n">
        <v>1</v>
      </c>
      <c r="U1186" t="n">
        <v>0</v>
      </c>
      <c r="V1186" s="2" t="inlineStr">
        <is>
          <t>Ullticka</t>
        </is>
      </c>
      <c r="W1186">
        <f>HYPERLINK("https://klasma.github.io/Logging_2080/artfynd/A 15601-2026 artfynd.xlsx", "A 15601-2026")</f>
        <v/>
      </c>
      <c r="X1186">
        <f>HYPERLINK("https://klasma.github.io/Logging_2080/kartor/A 15601-2026 karta.png", "A 15601-2026")</f>
        <v/>
      </c>
      <c r="Y1186">
        <f>HYPERLINK("https://klasma.github.io/Logging_2080/kartor_geotiff/A 15601-2026 georefererad karta.tif", "A 15601-2026")</f>
        <v/>
      </c>
      <c r="AA1186">
        <f>HYPERLINK("https://klasma.github.io/Logging_2080/klagomål/A 15601-2026 FSC-klagomål.docx", "A 15601-2026")</f>
        <v/>
      </c>
      <c r="AB1186">
        <f>HYPERLINK("https://klasma.github.io/Logging_2080/klagomålsmail/A 15601-2026 FSC-klagomål mail.docx", "A 15601-2026")</f>
        <v/>
      </c>
      <c r="AC1186">
        <f>HYPERLINK("https://klasma.github.io/Logging_2080/tillsyn/A 15601-2026 tillsynsbegäran.docx", "A 15601-2026")</f>
        <v/>
      </c>
      <c r="AD1186">
        <f>HYPERLINK("https://klasma.github.io/Logging_2080/tillsynsmail/A 15601-2026 tillsynsbegäran mail.docx", "A 15601-2026")</f>
        <v/>
      </c>
    </row>
    <row r="1187" ht="15" customHeight="1">
      <c r="A1187" t="inlineStr">
        <is>
          <t>A 48381-2025</t>
        </is>
      </c>
      <c r="B1187" t="inlineStr">
        <is>
          <t>avverkningsanmälan</t>
        </is>
      </c>
      <c r="C1187" t="inlineStr">
        <is>
          <t>Föryngringsavverkning</t>
        </is>
      </c>
      <c r="D1187" s="1" t="n">
        <v>45933</v>
      </c>
      <c r="E1187" s="1" t="n">
        <v>46319</v>
      </c>
      <c r="F1187" t="inlineStr">
        <is>
          <t>DALARNAS LÄN</t>
        </is>
      </c>
      <c r="G1187" t="inlineStr">
        <is>
          <t>HEDEMORA</t>
        </is>
      </c>
      <c r="H1187" t="inlineStr">
        <is>
          <t>Sveaskog</t>
        </is>
      </c>
      <c r="I1187" t="n">
        <v>6.3</v>
      </c>
      <c r="J1187" t="n">
        <v>0</v>
      </c>
      <c r="K1187" t="n">
        <v>0</v>
      </c>
      <c r="L1187" t="n">
        <v>1</v>
      </c>
      <c r="M1187" t="n">
        <v>0</v>
      </c>
      <c r="N1187" t="n">
        <v>0</v>
      </c>
      <c r="O1187" t="n">
        <v>0</v>
      </c>
      <c r="P1187" t="n">
        <v>0</v>
      </c>
      <c r="Q1187" t="n">
        <v>1</v>
      </c>
      <c r="R1187" t="n">
        <v>0</v>
      </c>
      <c r="S1187" t="n">
        <v>1</v>
      </c>
      <c r="T1187" t="n">
        <v>2</v>
      </c>
      <c r="U1187" t="n">
        <v>2</v>
      </c>
      <c r="V1187" s="2" t="inlineStr">
        <is>
          <t>Rynkskinn</t>
        </is>
      </c>
      <c r="W1187">
        <f>HYPERLINK("https://klasma.github.io/Logging_2083/artfynd/A 48381-2025 artfynd.xlsx", "A 48381-2025")</f>
        <v/>
      </c>
      <c r="X1187">
        <f>HYPERLINK("https://klasma.github.io/Logging_2083/kartor/A 48381-2025 karta.png", "A 48381-2025")</f>
        <v/>
      </c>
      <c r="Y1187">
        <f>HYPERLINK("https://klasma.github.io/Logging_2083/kartor_geotiff/A 48381-2025 georefererad karta.tif", "A 48381-2025")</f>
        <v/>
      </c>
      <c r="AA1187">
        <f>HYPERLINK("https://klasma.github.io/Logging_2083/klagomål/A 48381-2025 FSC-klagomål.docx", "A 48381-2025")</f>
        <v/>
      </c>
      <c r="AB1187">
        <f>HYPERLINK("https://klasma.github.io/Logging_2083/klagomålsmail/A 48381-2025 FSC-klagomål mail.docx", "A 48381-2025")</f>
        <v/>
      </c>
      <c r="AC1187">
        <f>HYPERLINK("https://klasma.github.io/Logging_2083/tillsyn/A 48381-2025 tillsynsbegäran.docx", "A 48381-2025")</f>
        <v/>
      </c>
      <c r="AD1187">
        <f>HYPERLINK("https://klasma.github.io/Logging_2083/tillsynsmail/A 48381-2025 tillsynsbegäran mail.docx", "A 48381-2025")</f>
        <v/>
      </c>
    </row>
    <row r="1188" ht="15" customHeight="1">
      <c r="A1188" t="inlineStr">
        <is>
          <t>A 15598-2026</t>
        </is>
      </c>
      <c r="B1188" t="inlineStr">
        <is>
          <t>avverkningsanmälan</t>
        </is>
      </c>
      <c r="C1188" t="inlineStr">
        <is>
          <t>Föryngringsavverkning</t>
        </is>
      </c>
      <c r="D1188" s="1" t="n">
        <v>46106</v>
      </c>
      <c r="E1188" s="1" t="n">
        <v>46319</v>
      </c>
      <c r="F1188" t="inlineStr">
        <is>
          <t>DALARNAS LÄN</t>
        </is>
      </c>
      <c r="G1188" t="inlineStr">
        <is>
          <t>FALUN</t>
        </is>
      </c>
      <c r="H1188" t="inlineStr">
        <is>
          <t>Bergvik skog väst AB</t>
        </is>
      </c>
      <c r="I1188" t="n">
        <v>18.2</v>
      </c>
      <c r="J1188" t="n">
        <v>1</v>
      </c>
      <c r="K1188" t="n">
        <v>0</v>
      </c>
      <c r="L1188" t="n">
        <v>1</v>
      </c>
      <c r="M1188" t="n">
        <v>0</v>
      </c>
      <c r="N1188" t="n">
        <v>0</v>
      </c>
      <c r="O1188" t="n">
        <v>0</v>
      </c>
      <c r="P1188" t="n">
        <v>0</v>
      </c>
      <c r="Q1188" t="n">
        <v>1</v>
      </c>
      <c r="R1188" t="n">
        <v>0</v>
      </c>
      <c r="S1188" t="n">
        <v>1</v>
      </c>
      <c r="T1188" t="n">
        <v>1</v>
      </c>
      <c r="U1188" t="n">
        <v>0</v>
      </c>
      <c r="V1188" s="2" t="inlineStr">
        <is>
          <t>Sparvuggla</t>
        </is>
      </c>
      <c r="W1188">
        <f>HYPERLINK("https://klasma.github.io/Logging_2080/artfynd/A 15598-2026 artfynd.xlsx", "A 15598-2026")</f>
        <v/>
      </c>
      <c r="X1188">
        <f>HYPERLINK("https://klasma.github.io/Logging_2080/kartor/A 15598-2026 karta.png", "A 15598-2026")</f>
        <v/>
      </c>
      <c r="Y1188">
        <f>HYPERLINK("https://klasma.github.io/Logging_2080/kartor_geotiff/A 15598-2026 georefererad karta.tif", "A 15598-2026")</f>
        <v/>
      </c>
      <c r="AA1188">
        <f>HYPERLINK("https://klasma.github.io/Logging_2080/klagomål/A 15598-2026 FSC-klagomål.docx", "A 15598-2026")</f>
        <v/>
      </c>
      <c r="AB1188">
        <f>HYPERLINK("https://klasma.github.io/Logging_2080/klagomålsmail/A 15598-2026 FSC-klagomål mail.docx", "A 15598-2026")</f>
        <v/>
      </c>
      <c r="AC1188">
        <f>HYPERLINK("https://klasma.github.io/Logging_2080/tillsyn/A 15598-2026 tillsynsbegäran.docx", "A 15598-2026")</f>
        <v/>
      </c>
      <c r="AD1188">
        <f>HYPERLINK("https://klasma.github.io/Logging_2080/tillsynsmail/A 15598-2026 tillsynsbegäran mail.docx", "A 15598-2026")</f>
        <v/>
      </c>
      <c r="AE1188">
        <f>HYPERLINK("https://klasma.github.io/Logging_2080/fåglar/A 15598-2026 prioriterade fågelarter.docx", "A 15598-2026")</f>
        <v/>
      </c>
    </row>
    <row r="1189" ht="15" customHeight="1">
      <c r="A1189" t="inlineStr">
        <is>
          <t>A 36939-2025</t>
        </is>
      </c>
      <c r="B1189" t="inlineStr">
        <is>
          <t>avverkningsanmälan</t>
        </is>
      </c>
      <c r="C1189" t="inlineStr">
        <is>
          <t>Föryngringsavverkning</t>
        </is>
      </c>
      <c r="D1189" s="1" t="n">
        <v>45874</v>
      </c>
      <c r="E1189" s="1" t="n">
        <v>46319</v>
      </c>
      <c r="F1189" t="inlineStr">
        <is>
          <t>DALARNAS LÄN</t>
        </is>
      </c>
      <c r="G1189" t="inlineStr">
        <is>
          <t>SÄTER</t>
        </is>
      </c>
      <c r="I1189" t="n">
        <v>1</v>
      </c>
      <c r="J1189" t="n">
        <v>1</v>
      </c>
      <c r="K1189" t="n">
        <v>0</v>
      </c>
      <c r="L1189" t="n">
        <v>0</v>
      </c>
      <c r="M1189" t="n">
        <v>0</v>
      </c>
      <c r="N1189" t="n">
        <v>0</v>
      </c>
      <c r="O1189" t="n">
        <v>0</v>
      </c>
      <c r="P1189" t="n">
        <v>0</v>
      </c>
      <c r="Q1189" t="n">
        <v>0</v>
      </c>
      <c r="R1189" t="n">
        <v>0</v>
      </c>
      <c r="S1189" t="n">
        <v>1</v>
      </c>
      <c r="T1189" t="n">
        <v>1</v>
      </c>
      <c r="U1189" t="n">
        <v>1</v>
      </c>
      <c r="V1189" s="2" t="inlineStr">
        <is>
          <t>Slaguggla</t>
        </is>
      </c>
      <c r="W1189">
        <f>HYPERLINK("https://klasma.github.io/Logging_2082/artfynd/A 36939-2025 artfynd.xlsx", "A 36939-2025")</f>
        <v/>
      </c>
      <c r="X1189">
        <f>HYPERLINK("https://klasma.github.io/Logging_2082/kartor/A 36939-2025 karta.png", "A 36939-2025")</f>
        <v/>
      </c>
      <c r="Y1189">
        <f>HYPERLINK("https://klasma.github.io/Logging_2082/kartor_geotiff/A 36939-2025 georefererad karta.tif", "A 36939-2025")</f>
        <v/>
      </c>
      <c r="AA1189">
        <f>HYPERLINK("https://klasma.github.io/Logging_2082/klagomål/A 36939-2025 FSC-klagomål.docx", "A 36939-2025")</f>
        <v/>
      </c>
      <c r="AB1189">
        <f>HYPERLINK("https://klasma.github.io/Logging_2082/klagomålsmail/A 36939-2025 FSC-klagomål mail.docx", "A 36939-2025")</f>
        <v/>
      </c>
      <c r="AC1189">
        <f>HYPERLINK("https://klasma.github.io/Logging_2082/tillsyn/A 36939-2025 tillsynsbegäran.docx", "A 36939-2025")</f>
        <v/>
      </c>
      <c r="AD1189">
        <f>HYPERLINK("https://klasma.github.io/Logging_2082/tillsynsmail/A 36939-2025 tillsynsbegäran mail.docx", "A 36939-2025")</f>
        <v/>
      </c>
      <c r="AE1189">
        <f>HYPERLINK("https://klasma.github.io/Logging_2082/fåglar/A 36939-2025 prioriterade fågelarter.docx", "A 36939-2025")</f>
        <v/>
      </c>
    </row>
    <row r="1190" ht="15" customHeight="1">
      <c r="A1190" t="inlineStr">
        <is>
          <t>A 32363-2024</t>
        </is>
      </c>
      <c r="B1190" t="inlineStr">
        <is>
          <t>avverkningsanmälan</t>
        </is>
      </c>
      <c r="C1190" t="inlineStr">
        <is>
          <t>Avverkning för annat ändamål</t>
        </is>
      </c>
      <c r="D1190" s="1" t="n">
        <v>45512</v>
      </c>
      <c r="E1190" s="1" t="n">
        <v>46319</v>
      </c>
      <c r="F1190" t="inlineStr">
        <is>
          <t>DALARNAS LÄN</t>
        </is>
      </c>
      <c r="G1190" t="inlineStr">
        <is>
          <t>ÄLVDALEN</t>
        </is>
      </c>
      <c r="H1190" t="inlineStr">
        <is>
          <t>Sveaskog</t>
        </is>
      </c>
      <c r="I1190" t="n">
        <v>0.6</v>
      </c>
      <c r="J1190" t="n">
        <v>0</v>
      </c>
      <c r="K1190" t="n">
        <v>0</v>
      </c>
      <c r="L1190" t="n">
        <v>1</v>
      </c>
      <c r="M1190" t="n">
        <v>0</v>
      </c>
      <c r="N1190" t="n">
        <v>0</v>
      </c>
      <c r="O1190" t="n">
        <v>0</v>
      </c>
      <c r="P1190" t="n">
        <v>0</v>
      </c>
      <c r="Q1190" t="n">
        <v>1</v>
      </c>
      <c r="R1190" t="n">
        <v>0</v>
      </c>
      <c r="S1190" t="n">
        <v>1</v>
      </c>
      <c r="T1190" t="n">
        <v>1</v>
      </c>
      <c r="U1190" t="n">
        <v>1</v>
      </c>
      <c r="V1190" s="2" t="inlineStr">
        <is>
          <t>Dropptaggsvamp</t>
        </is>
      </c>
      <c r="W1190">
        <f>HYPERLINK("https://klasma.github.io/Logging_2039/artfynd/A 32363-2024 artfynd.xlsx", "A 32363-2024")</f>
        <v/>
      </c>
      <c r="X1190">
        <f>HYPERLINK("https://klasma.github.io/Logging_2039/kartor/A 32363-2024 karta.png", "A 32363-2024")</f>
        <v/>
      </c>
      <c r="Y1190">
        <f>HYPERLINK("https://klasma.github.io/Logging_2039/kartor_geotiff/A 32363-2024 georefererad karta.tif", "A 32363-2024")</f>
        <v/>
      </c>
      <c r="AA1190">
        <f>HYPERLINK("https://klasma.github.io/Logging_2039/klagomål/A 32363-2024 FSC-klagomål.docx", "A 32363-2024")</f>
        <v/>
      </c>
      <c r="AB1190">
        <f>HYPERLINK("https://klasma.github.io/Logging_2039/klagomålsmail/A 32363-2024 FSC-klagomål mail.docx", "A 32363-2024")</f>
        <v/>
      </c>
      <c r="AC1190">
        <f>HYPERLINK("https://klasma.github.io/Logging_2039/tillsyn/A 32363-2024 tillsynsbegäran.docx", "A 32363-2024")</f>
        <v/>
      </c>
      <c r="AD1190">
        <f>HYPERLINK("https://klasma.github.io/Logging_2039/tillsynsmail/A 32363-2024 tillsynsbegäran mail.docx", "A 32363-2024")</f>
        <v/>
      </c>
    </row>
    <row r="1191" ht="15" customHeight="1">
      <c r="A1191" t="inlineStr">
        <is>
          <t>A 52756-2025</t>
        </is>
      </c>
      <c r="B1191" t="inlineStr">
        <is>
          <t>avverkningsanmälan</t>
        </is>
      </c>
      <c r="C1191" t="inlineStr">
        <is>
          <t>Föryngringsavverkning</t>
        </is>
      </c>
      <c r="D1191" s="1" t="n">
        <v>45957</v>
      </c>
      <c r="E1191" s="1" t="n">
        <v>46319</v>
      </c>
      <c r="F1191" t="inlineStr">
        <is>
          <t>DALARNAS LÄN</t>
        </is>
      </c>
      <c r="G1191" t="inlineStr">
        <is>
          <t>MALUNG-SÄLEN</t>
        </is>
      </c>
      <c r="I1191" t="n">
        <v>7.7</v>
      </c>
      <c r="J1191" t="n">
        <v>0</v>
      </c>
      <c r="K1191" t="n">
        <v>0</v>
      </c>
      <c r="L1191" t="n">
        <v>0</v>
      </c>
      <c r="M1191" t="n">
        <v>1</v>
      </c>
      <c r="N1191" t="n">
        <v>0</v>
      </c>
      <c r="O1191" t="n">
        <v>0</v>
      </c>
      <c r="P1191" t="n">
        <v>0</v>
      </c>
      <c r="Q1191" t="n">
        <v>1</v>
      </c>
      <c r="R1191" t="n">
        <v>1</v>
      </c>
      <c r="S1191" t="n">
        <v>1</v>
      </c>
      <c r="T1191" t="n">
        <v>1</v>
      </c>
      <c r="U1191" t="n">
        <v>1</v>
      </c>
      <c r="V1191" s="2" t="inlineStr">
        <is>
          <t>Garnlav</t>
        </is>
      </c>
      <c r="W1191">
        <f>HYPERLINK("https://klasma.github.io/Logging_2023/artfynd/A 52756-2025 artfynd.xlsx", "A 52756-2025")</f>
        <v/>
      </c>
      <c r="X1191">
        <f>HYPERLINK("https://klasma.github.io/Logging_2023/kartor/A 52756-2025 karta.png", "A 52756-2025")</f>
        <v/>
      </c>
      <c r="Y1191">
        <f>HYPERLINK("https://klasma.github.io/Logging_2023/kartor_geotiff/A 52756-2025 georefererad karta.tif", "A 52756-2025")</f>
        <v/>
      </c>
      <c r="AA1191">
        <f>HYPERLINK("https://klasma.github.io/Logging_2023/klagomål/A 52756-2025 FSC-klagomål.docx", "A 52756-2025")</f>
        <v/>
      </c>
      <c r="AB1191">
        <f>HYPERLINK("https://klasma.github.io/Logging_2023/klagomålsmail/A 52756-2025 FSC-klagomål mail.docx", "A 52756-2025")</f>
        <v/>
      </c>
      <c r="AC1191">
        <f>HYPERLINK("https://klasma.github.io/Logging_2023/tillsyn/A 52756-2025 tillsynsbegäran.docx", "A 52756-2025")</f>
        <v/>
      </c>
      <c r="AD1191">
        <f>HYPERLINK("https://klasma.github.io/Logging_2023/tillsynsmail/A 52756-2025 tillsynsbegäran mail.docx", "A 52756-2025")</f>
        <v/>
      </c>
    </row>
    <row r="1192" ht="15" customHeight="1">
      <c r="A1192" t="inlineStr">
        <is>
          <t>A 53438-2025</t>
        </is>
      </c>
      <c r="B1192" t="inlineStr">
        <is>
          <t>avverkningsanmälan</t>
        </is>
      </c>
      <c r="C1192" t="inlineStr">
        <is>
          <t>Föryngringsavverkning</t>
        </is>
      </c>
      <c r="D1192" s="1" t="n">
        <v>45959</v>
      </c>
      <c r="E1192" s="1" t="n">
        <v>46319</v>
      </c>
      <c r="F1192" t="inlineStr">
        <is>
          <t>DALARNAS LÄN</t>
        </is>
      </c>
      <c r="G1192" t="inlineStr">
        <is>
          <t>LEKSAND</t>
        </is>
      </c>
      <c r="I1192" t="n">
        <v>1.2</v>
      </c>
      <c r="J1192" t="n">
        <v>1</v>
      </c>
      <c r="K1192" t="n">
        <v>0</v>
      </c>
      <c r="L1192" t="n">
        <v>0</v>
      </c>
      <c r="M1192" t="n">
        <v>0</v>
      </c>
      <c r="N1192" t="n">
        <v>0</v>
      </c>
      <c r="O1192" t="n">
        <v>0</v>
      </c>
      <c r="P1192" t="n">
        <v>0</v>
      </c>
      <c r="Q1192" t="n">
        <v>0</v>
      </c>
      <c r="R1192" t="n">
        <v>0</v>
      </c>
      <c r="S1192" t="n">
        <v>1</v>
      </c>
      <c r="T1192" t="n">
        <v>1</v>
      </c>
      <c r="U1192" t="n">
        <v>0</v>
      </c>
      <c r="V1192" s="2" t="inlineStr">
        <is>
          <t>Tjäder</t>
        </is>
      </c>
      <c r="W1192">
        <f>HYPERLINK("https://klasma.github.io/Logging_2029/artfynd/A 53438-2025 artfynd.xlsx", "A 53438-2025")</f>
        <v/>
      </c>
      <c r="X1192">
        <f>HYPERLINK("https://klasma.github.io/Logging_2029/kartor/A 53438-2025 karta.png", "A 53438-2025")</f>
        <v/>
      </c>
      <c r="Y1192">
        <f>HYPERLINK("https://klasma.github.io/Logging_2029/kartor_geotiff/A 53438-2025 georefererad karta.tif", "A 53438-2025")</f>
        <v/>
      </c>
      <c r="AA1192">
        <f>HYPERLINK("https://klasma.github.io/Logging_2029/klagomål/A 53438-2025 FSC-klagomål.docx", "A 53438-2025")</f>
        <v/>
      </c>
      <c r="AB1192">
        <f>HYPERLINK("https://klasma.github.io/Logging_2029/klagomålsmail/A 53438-2025 FSC-klagomål mail.docx", "A 53438-2025")</f>
        <v/>
      </c>
      <c r="AC1192">
        <f>HYPERLINK("https://klasma.github.io/Logging_2029/tillsyn/A 53438-2025 tillsynsbegäran.docx", "A 53438-2025")</f>
        <v/>
      </c>
      <c r="AD1192">
        <f>HYPERLINK("https://klasma.github.io/Logging_2029/tillsynsmail/A 53438-2025 tillsynsbegäran mail.docx", "A 53438-2025")</f>
        <v/>
      </c>
      <c r="AE1192">
        <f>HYPERLINK("https://klasma.github.io/Logging_2029/fåglar/A 53438-2025 prioriterade fågelarter.docx", "A 53438-2025")</f>
        <v/>
      </c>
    </row>
    <row r="1193" ht="15" customHeight="1">
      <c r="A1193" t="inlineStr">
        <is>
          <t>A 26756-2026</t>
        </is>
      </c>
      <c r="B1193" t="inlineStr">
        <is>
          <t>avverkningsanmälan</t>
        </is>
      </c>
      <c r="C1193" t="inlineStr">
        <is>
          <t>Föryngringsavverkning</t>
        </is>
      </c>
      <c r="D1193" s="1" t="n">
        <v>46184</v>
      </c>
      <c r="E1193" s="1" t="n">
        <v>46319</v>
      </c>
      <c r="F1193" t="inlineStr">
        <is>
          <t>DALARNAS LÄN</t>
        </is>
      </c>
      <c r="G1193" t="inlineStr">
        <is>
          <t>VANSBRO</t>
        </is>
      </c>
      <c r="H1193" t="inlineStr">
        <is>
          <t>Bergvik skog väst AB</t>
        </is>
      </c>
      <c r="I1193" t="n">
        <v>11.4</v>
      </c>
      <c r="J1193" t="n">
        <v>1</v>
      </c>
      <c r="K1193" t="n">
        <v>0</v>
      </c>
      <c r="L1193" t="n">
        <v>1</v>
      </c>
      <c r="M1193" t="n">
        <v>0</v>
      </c>
      <c r="N1193" t="n">
        <v>0</v>
      </c>
      <c r="O1193" t="n">
        <v>0</v>
      </c>
      <c r="P1193" t="n">
        <v>0</v>
      </c>
      <c r="Q1193" t="n">
        <v>1</v>
      </c>
      <c r="R1193" t="n">
        <v>0</v>
      </c>
      <c r="S1193" t="n">
        <v>1</v>
      </c>
      <c r="T1193" t="n">
        <v>1</v>
      </c>
      <c r="U1193" t="n">
        <v>0</v>
      </c>
      <c r="V1193" s="2" t="inlineStr">
        <is>
          <t>Talltita</t>
        </is>
      </c>
      <c r="W1193">
        <f>HYPERLINK("https://klasma.github.io/Logging_2021/artfynd/A 26756-2026 artfynd.xlsx", "A 26756-2026")</f>
        <v/>
      </c>
      <c r="X1193">
        <f>HYPERLINK("https://klasma.github.io/Logging_2021/kartor/A 26756-2026 karta.png", "A 26756-2026")</f>
        <v/>
      </c>
      <c r="Y1193">
        <f>HYPERLINK("https://klasma.github.io/Logging_2021/kartor_geotiff/A 26756-2026 georefererad karta.tif", "A 26756-2026")</f>
        <v/>
      </c>
      <c r="AA1193">
        <f>HYPERLINK("https://klasma.github.io/Logging_2021/klagomål/A 26756-2026 FSC-klagomål.docx", "A 26756-2026")</f>
        <v/>
      </c>
      <c r="AB1193">
        <f>HYPERLINK("https://klasma.github.io/Logging_2021/klagomålsmail/A 26756-2026 FSC-klagomål mail.docx", "A 26756-2026")</f>
        <v/>
      </c>
      <c r="AC1193">
        <f>HYPERLINK("https://klasma.github.io/Logging_2021/tillsyn/A 26756-2026 tillsynsbegäran.docx", "A 26756-2026")</f>
        <v/>
      </c>
      <c r="AD1193">
        <f>HYPERLINK("https://klasma.github.io/Logging_2021/tillsynsmail/A 26756-2026 tillsynsbegäran mail.docx", "A 26756-2026")</f>
        <v/>
      </c>
      <c r="AE1193">
        <f>HYPERLINK("https://klasma.github.io/Logging_2021/fåglar/A 26756-2026 prioriterade fågelarter.docx", "A 26756-2026")</f>
        <v/>
      </c>
    </row>
    <row r="1194" ht="15" customHeight="1">
      <c r="A1194" t="inlineStr">
        <is>
          <t>A 53619-2025</t>
        </is>
      </c>
      <c r="B1194" t="inlineStr">
        <is>
          <t>avverkningsanmälan</t>
        </is>
      </c>
      <c r="C1194" t="inlineStr">
        <is>
          <t>Föryngringsavverkning</t>
        </is>
      </c>
      <c r="D1194" s="1" t="n">
        <v>45960</v>
      </c>
      <c r="E1194" s="1" t="n">
        <v>46319</v>
      </c>
      <c r="F1194" t="inlineStr">
        <is>
          <t>DALARNAS LÄN</t>
        </is>
      </c>
      <c r="G1194" t="inlineStr">
        <is>
          <t>LEKSAND</t>
        </is>
      </c>
      <c r="H1194" t="inlineStr">
        <is>
          <t>Bergvik skog väst AB</t>
        </is>
      </c>
      <c r="I1194" t="n">
        <v>1.8</v>
      </c>
      <c r="J1194" t="n">
        <v>1</v>
      </c>
      <c r="K1194" t="n">
        <v>0</v>
      </c>
      <c r="L1194" t="n">
        <v>0</v>
      </c>
      <c r="M1194" t="n">
        <v>0</v>
      </c>
      <c r="N1194" t="n">
        <v>0</v>
      </c>
      <c r="O1194" t="n">
        <v>0</v>
      </c>
      <c r="P1194" t="n">
        <v>0</v>
      </c>
      <c r="Q1194" t="n">
        <v>0</v>
      </c>
      <c r="R1194" t="n">
        <v>0</v>
      </c>
      <c r="S1194" t="n">
        <v>1</v>
      </c>
      <c r="T1194" t="n">
        <v>1</v>
      </c>
      <c r="U1194" t="n">
        <v>0</v>
      </c>
      <c r="V1194" s="2" t="inlineStr">
        <is>
          <t>Utter</t>
        </is>
      </c>
      <c r="W1194">
        <f>HYPERLINK("https://klasma.github.io/Logging_2029/artfynd/A 53619-2025 artfynd.xlsx", "A 53619-2025")</f>
        <v/>
      </c>
      <c r="X1194">
        <f>HYPERLINK("https://klasma.github.io/Logging_2029/kartor/A 53619-2025 karta.png", "A 53619-2025")</f>
        <v/>
      </c>
      <c r="Y1194">
        <f>HYPERLINK("https://klasma.github.io/Logging_2029/kartor_geotiff/A 53619-2025 georefererad karta.tif", "A 53619-2025")</f>
        <v/>
      </c>
      <c r="AA1194">
        <f>HYPERLINK("https://klasma.github.io/Logging_2029/klagomål/A 53619-2025 FSC-klagomål.docx", "A 53619-2025")</f>
        <v/>
      </c>
      <c r="AB1194">
        <f>HYPERLINK("https://klasma.github.io/Logging_2029/klagomålsmail/A 53619-2025 FSC-klagomål mail.docx", "A 53619-2025")</f>
        <v/>
      </c>
      <c r="AC1194">
        <f>HYPERLINK("https://klasma.github.io/Logging_2029/tillsyn/A 53619-2025 tillsynsbegäran.docx", "A 53619-2025")</f>
        <v/>
      </c>
      <c r="AD1194">
        <f>HYPERLINK("https://klasma.github.io/Logging_2029/tillsynsmail/A 53619-2025 tillsynsbegäran mail.docx", "A 53619-2025")</f>
        <v/>
      </c>
    </row>
    <row r="1195" ht="15" customHeight="1">
      <c r="A1195" t="inlineStr">
        <is>
          <t>A 53573-2025</t>
        </is>
      </c>
      <c r="B1195" t="inlineStr">
        <is>
          <t>avverkningsanmälan</t>
        </is>
      </c>
      <c r="C1195" t="inlineStr">
        <is>
          <t>Föryngringsavverkning</t>
        </is>
      </c>
      <c r="D1195" s="1" t="n">
        <v>45960</v>
      </c>
      <c r="E1195" s="1" t="n">
        <v>46319</v>
      </c>
      <c r="F1195" t="inlineStr">
        <is>
          <t>DALARNAS LÄN</t>
        </is>
      </c>
      <c r="G1195" t="inlineStr">
        <is>
          <t>ORSA</t>
        </is>
      </c>
      <c r="H1195" t="inlineStr">
        <is>
          <t>Bergvik skog öst AB</t>
        </is>
      </c>
      <c r="I1195" t="n">
        <v>2.3</v>
      </c>
      <c r="J1195" t="n">
        <v>1</v>
      </c>
      <c r="K1195" t="n">
        <v>0</v>
      </c>
      <c r="L1195" t="n">
        <v>1</v>
      </c>
      <c r="M1195" t="n">
        <v>0</v>
      </c>
      <c r="N1195" t="n">
        <v>0</v>
      </c>
      <c r="O1195" t="n">
        <v>0</v>
      </c>
      <c r="P1195" t="n">
        <v>0</v>
      </c>
      <c r="Q1195" t="n">
        <v>1</v>
      </c>
      <c r="R1195" t="n">
        <v>0</v>
      </c>
      <c r="S1195" t="n">
        <v>1</v>
      </c>
      <c r="T1195" t="n">
        <v>1</v>
      </c>
      <c r="U1195" t="n">
        <v>1</v>
      </c>
      <c r="V1195" s="2" t="inlineStr">
        <is>
          <t>Järnsparv</t>
        </is>
      </c>
      <c r="W1195">
        <f>HYPERLINK("https://klasma.github.io/Logging_2034/artfynd/A 53573-2025 artfynd.xlsx", "A 53573-2025")</f>
        <v/>
      </c>
      <c r="X1195">
        <f>HYPERLINK("https://klasma.github.io/Logging_2034/kartor/A 53573-2025 karta.png", "A 53573-2025")</f>
        <v/>
      </c>
      <c r="Y1195">
        <f>HYPERLINK("https://klasma.github.io/Logging_2034/kartor_geotiff/A 53573-2025 georefererad karta.tif", "A 53573-2025")</f>
        <v/>
      </c>
      <c r="AA1195">
        <f>HYPERLINK("https://klasma.github.io/Logging_2034/klagomål/A 53573-2025 FSC-klagomål.docx", "A 53573-2025")</f>
        <v/>
      </c>
      <c r="AB1195">
        <f>HYPERLINK("https://klasma.github.io/Logging_2034/klagomålsmail/A 53573-2025 FSC-klagomål mail.docx", "A 53573-2025")</f>
        <v/>
      </c>
      <c r="AC1195">
        <f>HYPERLINK("https://klasma.github.io/Logging_2034/tillsyn/A 53573-2025 tillsynsbegäran.docx", "A 53573-2025")</f>
        <v/>
      </c>
      <c r="AD1195">
        <f>HYPERLINK("https://klasma.github.io/Logging_2034/tillsynsmail/A 53573-2025 tillsynsbegäran mail.docx", "A 53573-2025")</f>
        <v/>
      </c>
      <c r="AE1195">
        <f>HYPERLINK("https://klasma.github.io/Logging_2034/fåglar/A 53573-2025 prioriterade fågelarter.docx", "A 53573-2025")</f>
        <v/>
      </c>
    </row>
    <row r="1196" ht="15" customHeight="1">
      <c r="A1196" t="inlineStr">
        <is>
          <t>A 53944-2025</t>
        </is>
      </c>
      <c r="B1196" t="inlineStr">
        <is>
          <t>avverkningsanmälan</t>
        </is>
      </c>
      <c r="C1196" t="inlineStr">
        <is>
          <t>Föryngringsavverkning</t>
        </is>
      </c>
      <c r="D1196" s="1" t="n">
        <v>45961</v>
      </c>
      <c r="E1196" s="1" t="n">
        <v>46319</v>
      </c>
      <c r="F1196" t="inlineStr">
        <is>
          <t>DALARNAS LÄN</t>
        </is>
      </c>
      <c r="G1196" t="inlineStr">
        <is>
          <t>RÄTTVIK</t>
        </is>
      </c>
      <c r="I1196" t="n">
        <v>0.7</v>
      </c>
      <c r="J1196" t="n">
        <v>0</v>
      </c>
      <c r="K1196" t="n">
        <v>0</v>
      </c>
      <c r="L1196" t="n">
        <v>1</v>
      </c>
      <c r="M1196" t="n">
        <v>0</v>
      </c>
      <c r="N1196" t="n">
        <v>0</v>
      </c>
      <c r="O1196" t="n">
        <v>0</v>
      </c>
      <c r="P1196" t="n">
        <v>0</v>
      </c>
      <c r="Q1196" t="n">
        <v>1</v>
      </c>
      <c r="R1196" t="n">
        <v>0</v>
      </c>
      <c r="S1196" t="n">
        <v>1</v>
      </c>
      <c r="T1196" t="n">
        <v>1</v>
      </c>
      <c r="U1196" t="n">
        <v>1</v>
      </c>
      <c r="V1196" s="2" t="inlineStr">
        <is>
          <t>Majviva</t>
        </is>
      </c>
      <c r="W1196">
        <f>HYPERLINK("https://klasma.github.io/Logging_2031/artfynd/A 53944-2025 artfynd.xlsx", "A 53944-2025")</f>
        <v/>
      </c>
      <c r="X1196">
        <f>HYPERLINK("https://klasma.github.io/Logging_2031/kartor/A 53944-2025 karta.png", "A 53944-2025")</f>
        <v/>
      </c>
      <c r="Y1196">
        <f>HYPERLINK("https://klasma.github.io/Logging_2031/kartor_geotiff/A 53944-2025 georefererad karta.tif", "A 53944-2025")</f>
        <v/>
      </c>
      <c r="AA1196">
        <f>HYPERLINK("https://klasma.github.io/Logging_2031/klagomål/A 53944-2025 FSC-klagomål.docx", "A 53944-2025")</f>
        <v/>
      </c>
      <c r="AB1196">
        <f>HYPERLINK("https://klasma.github.io/Logging_2031/klagomålsmail/A 53944-2025 FSC-klagomål mail.docx", "A 53944-2025")</f>
        <v/>
      </c>
      <c r="AC1196">
        <f>HYPERLINK("https://klasma.github.io/Logging_2031/tillsyn/A 53944-2025 tillsynsbegäran.docx", "A 53944-2025")</f>
        <v/>
      </c>
      <c r="AD1196">
        <f>HYPERLINK("https://klasma.github.io/Logging_2031/tillsynsmail/A 53944-2025 tillsynsbegäran mail.docx", "A 53944-2025")</f>
        <v/>
      </c>
    </row>
    <row r="1197" ht="15" customHeight="1">
      <c r="A1197" t="inlineStr">
        <is>
          <t>A 27263-2026</t>
        </is>
      </c>
      <c r="B1197" t="inlineStr">
        <is>
          <t>avverkningsanmälan</t>
        </is>
      </c>
      <c r="C1197" t="inlineStr">
        <is>
          <t>Föryngringsavverkning</t>
        </is>
      </c>
      <c r="D1197" s="1" t="n">
        <v>46188</v>
      </c>
      <c r="E1197" s="1" t="n">
        <v>46319</v>
      </c>
      <c r="F1197" t="inlineStr">
        <is>
          <t>DALARNAS LÄN</t>
        </is>
      </c>
      <c r="G1197" t="inlineStr">
        <is>
          <t>FALUN</t>
        </is>
      </c>
      <c r="I1197" t="n">
        <v>2.3</v>
      </c>
      <c r="J1197" t="n">
        <v>0</v>
      </c>
      <c r="K1197" t="n">
        <v>0</v>
      </c>
      <c r="L1197" t="n">
        <v>1</v>
      </c>
      <c r="M1197" t="n">
        <v>0</v>
      </c>
      <c r="N1197" t="n">
        <v>0</v>
      </c>
      <c r="O1197" t="n">
        <v>0</v>
      </c>
      <c r="P1197" t="n">
        <v>0</v>
      </c>
      <c r="Q1197" t="n">
        <v>1</v>
      </c>
      <c r="R1197" t="n">
        <v>0</v>
      </c>
      <c r="S1197" t="n">
        <v>1</v>
      </c>
      <c r="T1197" t="n">
        <v>1</v>
      </c>
      <c r="U1197" t="n">
        <v>0</v>
      </c>
      <c r="V1197" s="2" t="inlineStr">
        <is>
          <t>Dropptaggsvamp</t>
        </is>
      </c>
      <c r="W1197">
        <f>HYPERLINK("https://klasma.github.io/Logging_2080/artfynd/A 27263-2026 artfynd.xlsx", "A 27263-2026")</f>
        <v/>
      </c>
      <c r="X1197">
        <f>HYPERLINK("https://klasma.github.io/Logging_2080/kartor/A 27263-2026 karta.png", "A 27263-2026")</f>
        <v/>
      </c>
      <c r="Y1197">
        <f>HYPERLINK("https://klasma.github.io/Logging_2080/kartor_geotiff/A 27263-2026 georefererad karta.tif", "A 27263-2026")</f>
        <v/>
      </c>
      <c r="AA1197">
        <f>HYPERLINK("https://klasma.github.io/Logging_2080/klagomål/A 27263-2026 FSC-klagomål.docx", "A 27263-2026")</f>
        <v/>
      </c>
      <c r="AB1197">
        <f>HYPERLINK("https://klasma.github.io/Logging_2080/klagomålsmail/A 27263-2026 FSC-klagomål mail.docx", "A 27263-2026")</f>
        <v/>
      </c>
      <c r="AC1197">
        <f>HYPERLINK("https://klasma.github.io/Logging_2080/tillsyn/A 27263-2026 tillsynsbegäran.docx", "A 27263-2026")</f>
        <v/>
      </c>
      <c r="AD1197">
        <f>HYPERLINK("https://klasma.github.io/Logging_2080/tillsynsmail/A 27263-2026 tillsynsbegäran mail.docx", "A 27263-2026")</f>
        <v/>
      </c>
    </row>
    <row r="1198" ht="15" customHeight="1">
      <c r="A1198" t="inlineStr">
        <is>
          <t>A 27121-2026</t>
        </is>
      </c>
      <c r="B1198" t="inlineStr">
        <is>
          <t>avverkningsanmälan</t>
        </is>
      </c>
      <c r="C1198" t="inlineStr">
        <is>
          <t>Föryngringsavverkning</t>
        </is>
      </c>
      <c r="D1198" s="1" t="n">
        <v>46188</v>
      </c>
      <c r="E1198" s="1" t="n">
        <v>46319</v>
      </c>
      <c r="F1198" t="inlineStr">
        <is>
          <t>DALARNAS LÄN</t>
        </is>
      </c>
      <c r="G1198" t="inlineStr">
        <is>
          <t>BORLÄNGE</t>
        </is>
      </c>
      <c r="H1198" t="inlineStr">
        <is>
          <t>Bergvik skog väst AB</t>
        </is>
      </c>
      <c r="I1198" t="n">
        <v>2.5</v>
      </c>
      <c r="J1198" t="n">
        <v>1</v>
      </c>
      <c r="K1198" t="n">
        <v>0</v>
      </c>
      <c r="L1198" t="n">
        <v>0</v>
      </c>
      <c r="M1198" t="n">
        <v>0</v>
      </c>
      <c r="N1198" t="n">
        <v>0</v>
      </c>
      <c r="O1198" t="n">
        <v>0</v>
      </c>
      <c r="P1198" t="n">
        <v>0</v>
      </c>
      <c r="Q1198" t="n">
        <v>0</v>
      </c>
      <c r="R1198" t="n">
        <v>0</v>
      </c>
      <c r="S1198" t="n">
        <v>1</v>
      </c>
      <c r="T1198" t="n">
        <v>1</v>
      </c>
      <c r="U1198" t="n">
        <v>0</v>
      </c>
      <c r="V1198" s="2" t="inlineStr">
        <is>
          <t>Spillkråka</t>
        </is>
      </c>
      <c r="W1198">
        <f>HYPERLINK("https://klasma.github.io/Logging_2081/artfynd/A 27121-2026 artfynd.xlsx", "A 27121-2026")</f>
        <v/>
      </c>
      <c r="X1198">
        <f>HYPERLINK("https://klasma.github.io/Logging_2081/kartor/A 27121-2026 karta.png", "A 27121-2026")</f>
        <v/>
      </c>
      <c r="Y1198">
        <f>HYPERLINK("https://klasma.github.io/Logging_2081/kartor_geotiff/A 27121-2026 georefererad karta.tif", "A 27121-2026")</f>
        <v/>
      </c>
      <c r="AA1198">
        <f>HYPERLINK("https://klasma.github.io/Logging_2081/klagomål/A 27121-2026 FSC-klagomål.docx", "A 27121-2026")</f>
        <v/>
      </c>
      <c r="AB1198">
        <f>HYPERLINK("https://klasma.github.io/Logging_2081/klagomålsmail/A 27121-2026 FSC-klagomål mail.docx", "A 27121-2026")</f>
        <v/>
      </c>
      <c r="AC1198">
        <f>HYPERLINK("https://klasma.github.io/Logging_2081/tillsyn/A 27121-2026 tillsynsbegäran.docx", "A 27121-2026")</f>
        <v/>
      </c>
      <c r="AD1198">
        <f>HYPERLINK("https://klasma.github.io/Logging_2081/tillsynsmail/A 27121-2026 tillsynsbegäran mail.docx", "A 27121-2026")</f>
        <v/>
      </c>
      <c r="AE1198">
        <f>HYPERLINK("https://klasma.github.io/Logging_2081/fåglar/A 27121-2026 prioriterade fågelarter.docx", "A 27121-2026")</f>
        <v/>
      </c>
    </row>
    <row r="1199" ht="15" customHeight="1">
      <c r="A1199" t="inlineStr">
        <is>
          <t>A 27734-2026</t>
        </is>
      </c>
      <c r="B1199" t="inlineStr">
        <is>
          <t>avverkningsanmälan</t>
        </is>
      </c>
      <c r="C1199" t="inlineStr">
        <is>
          <t>Föryngringsavverkning</t>
        </is>
      </c>
      <c r="D1199" s="1" t="n">
        <v>46189</v>
      </c>
      <c r="E1199" s="1" t="n">
        <v>46319</v>
      </c>
      <c r="F1199" t="inlineStr">
        <is>
          <t>DALARNAS LÄN</t>
        </is>
      </c>
      <c r="G1199" t="inlineStr">
        <is>
          <t>ÄLVDALEN</t>
        </is>
      </c>
      <c r="H1199" t="inlineStr">
        <is>
          <t>Sveaskog</t>
        </is>
      </c>
      <c r="I1199" t="n">
        <v>23.3</v>
      </c>
      <c r="J1199" t="n">
        <v>0</v>
      </c>
      <c r="K1199" t="n">
        <v>0</v>
      </c>
      <c r="L1199" t="n">
        <v>1</v>
      </c>
      <c r="M1199" t="n">
        <v>0</v>
      </c>
      <c r="N1199" t="n">
        <v>0</v>
      </c>
      <c r="O1199" t="n">
        <v>0</v>
      </c>
      <c r="P1199" t="n">
        <v>0</v>
      </c>
      <c r="Q1199" t="n">
        <v>1</v>
      </c>
      <c r="R1199" t="n">
        <v>0</v>
      </c>
      <c r="S1199" t="n">
        <v>1</v>
      </c>
      <c r="T1199" t="n">
        <v>1</v>
      </c>
      <c r="U1199" t="n">
        <v>0</v>
      </c>
      <c r="V1199" s="2" t="inlineStr">
        <is>
          <t>Skrovellav</t>
        </is>
      </c>
      <c r="W1199">
        <f>HYPERLINK("https://klasma.github.io/Logging_2039/artfynd/A 27734-2026 artfynd.xlsx", "A 27734-2026")</f>
        <v/>
      </c>
      <c r="X1199">
        <f>HYPERLINK("https://klasma.github.io/Logging_2039/kartor/A 27734-2026 karta.png", "A 27734-2026")</f>
        <v/>
      </c>
      <c r="Y1199">
        <f>HYPERLINK("https://klasma.github.io/Logging_2039/kartor_geotiff/A 27734-2026 georefererad karta.tif", "A 27734-2026")</f>
        <v/>
      </c>
      <c r="AA1199">
        <f>HYPERLINK("https://klasma.github.io/Logging_2039/klagomål/A 27734-2026 FSC-klagomål.docx", "A 27734-2026")</f>
        <v/>
      </c>
      <c r="AB1199">
        <f>HYPERLINK("https://klasma.github.io/Logging_2039/klagomålsmail/A 27734-2026 FSC-klagomål mail.docx", "A 27734-2026")</f>
        <v/>
      </c>
      <c r="AC1199">
        <f>HYPERLINK("https://klasma.github.io/Logging_2039/tillsyn/A 27734-2026 tillsynsbegäran.docx", "A 27734-2026")</f>
        <v/>
      </c>
      <c r="AD1199">
        <f>HYPERLINK("https://klasma.github.io/Logging_2039/tillsynsmail/A 27734-2026 tillsynsbegäran mail.docx", "A 27734-2026")</f>
        <v/>
      </c>
    </row>
    <row r="1200" ht="15" customHeight="1">
      <c r="A1200" t="inlineStr">
        <is>
          <t>A 9063-2025</t>
        </is>
      </c>
      <c r="B1200" t="inlineStr">
        <is>
          <t>avverkningsanmälan</t>
        </is>
      </c>
      <c r="C1200" t="inlineStr">
        <is>
          <t>Föryngringsavverkning</t>
        </is>
      </c>
      <c r="D1200" s="1" t="n">
        <v>45713</v>
      </c>
      <c r="E1200" s="1" t="n">
        <v>46319</v>
      </c>
      <c r="F1200" t="inlineStr">
        <is>
          <t>DALARNAS LÄN</t>
        </is>
      </c>
      <c r="G1200" t="inlineStr">
        <is>
          <t>MALUNG-SÄLEN</t>
        </is>
      </c>
      <c r="I1200" t="n">
        <v>3.9</v>
      </c>
      <c r="J1200" t="n">
        <v>0</v>
      </c>
      <c r="K1200" t="n">
        <v>0</v>
      </c>
      <c r="L1200" t="n">
        <v>1</v>
      </c>
      <c r="M1200" t="n">
        <v>0</v>
      </c>
      <c r="N1200" t="n">
        <v>0</v>
      </c>
      <c r="O1200" t="n">
        <v>0</v>
      </c>
      <c r="P1200" t="n">
        <v>0</v>
      </c>
      <c r="Q1200" t="n">
        <v>1</v>
      </c>
      <c r="R1200" t="n">
        <v>0</v>
      </c>
      <c r="S1200" t="n">
        <v>1</v>
      </c>
      <c r="T1200" t="n">
        <v>1</v>
      </c>
      <c r="U1200" t="n">
        <v>0</v>
      </c>
      <c r="V1200" s="2" t="inlineStr">
        <is>
          <t>Doftskinn</t>
        </is>
      </c>
      <c r="W1200">
        <f>HYPERLINK("https://klasma.github.io/Logging_2023/artfynd/A 9063-2025 artfynd.xlsx", "A 9063-2025")</f>
        <v/>
      </c>
      <c r="X1200">
        <f>HYPERLINK("https://klasma.github.io/Logging_2023/kartor/A 9063-2025 karta.png", "A 9063-2025")</f>
        <v/>
      </c>
      <c r="Y1200">
        <f>HYPERLINK("https://klasma.github.io/Logging_2023/kartor_geotiff/A 9063-2025 georefererad karta.tif", "A 9063-2025")</f>
        <v/>
      </c>
      <c r="AA1200">
        <f>HYPERLINK("https://klasma.github.io/Logging_2023/klagomål/A 9063-2025 FSC-klagomål.docx", "A 9063-2025")</f>
        <v/>
      </c>
      <c r="AB1200">
        <f>HYPERLINK("https://klasma.github.io/Logging_2023/klagomålsmail/A 9063-2025 FSC-klagomål mail.docx", "A 9063-2025")</f>
        <v/>
      </c>
      <c r="AC1200">
        <f>HYPERLINK("https://klasma.github.io/Logging_2023/tillsyn/A 9063-2025 tillsynsbegäran.docx", "A 9063-2025")</f>
        <v/>
      </c>
      <c r="AD1200">
        <f>HYPERLINK("https://klasma.github.io/Logging_2023/tillsynsmail/A 9063-2025 tillsynsbegäran mail.docx", "A 9063-2025")</f>
        <v/>
      </c>
    </row>
    <row r="1201" ht="15" customHeight="1">
      <c r="A1201" t="inlineStr">
        <is>
          <t>A 20186-2024</t>
        </is>
      </c>
      <c r="B1201" t="inlineStr">
        <is>
          <t>avverkningsanmälan</t>
        </is>
      </c>
      <c r="C1201" t="inlineStr">
        <is>
          <t>Avverkning för att bevara och utveckla /försöksver</t>
        </is>
      </c>
      <c r="D1201" s="1" t="n">
        <v>45434</v>
      </c>
      <c r="E1201" s="1" t="n">
        <v>46319</v>
      </c>
      <c r="F1201" t="inlineStr">
        <is>
          <t>DALARNAS LÄN</t>
        </is>
      </c>
      <c r="G1201" t="inlineStr">
        <is>
          <t>FALUN</t>
        </is>
      </c>
      <c r="I1201" t="n">
        <v>0.9</v>
      </c>
      <c r="J1201" t="n">
        <v>1</v>
      </c>
      <c r="K1201" t="n">
        <v>0</v>
      </c>
      <c r="L1201" t="n">
        <v>0</v>
      </c>
      <c r="M1201" t="n">
        <v>1</v>
      </c>
      <c r="N1201" t="n">
        <v>0</v>
      </c>
      <c r="O1201" t="n">
        <v>0</v>
      </c>
      <c r="P1201" t="n">
        <v>0</v>
      </c>
      <c r="Q1201" t="n">
        <v>1</v>
      </c>
      <c r="R1201" t="n">
        <v>1</v>
      </c>
      <c r="S1201" t="n">
        <v>1</v>
      </c>
      <c r="T1201" t="n">
        <v>1</v>
      </c>
      <c r="U1201" t="n">
        <v>1</v>
      </c>
      <c r="V1201" s="2" t="inlineStr">
        <is>
          <t>Knärot</t>
        </is>
      </c>
      <c r="W1201">
        <f>HYPERLINK("https://klasma.github.io/Logging_2080/artfynd/A 20186-2024 artfynd.xlsx", "A 20186-2024")</f>
        <v/>
      </c>
      <c r="X1201">
        <f>HYPERLINK("https://klasma.github.io/Logging_2080/kartor/A 20186-2024 karta.png", "A 20186-2024")</f>
        <v/>
      </c>
      <c r="Y1201">
        <f>HYPERLINK("https://klasma.github.io/Logging_2080/kartor_geotiff/A 20186-2024 georefererad karta.tif", "A 20186-2024")</f>
        <v/>
      </c>
      <c r="Z1201">
        <f>HYPERLINK("https://klasma.github.io/Logging_2080/knärot/A 20186-2024 karta knärot.png", "A 20186-2024")</f>
        <v/>
      </c>
      <c r="AA1201">
        <f>HYPERLINK("https://klasma.github.io/Logging_2080/klagomål/A 20186-2024 FSC-klagomål.docx", "A 20186-2024")</f>
        <v/>
      </c>
      <c r="AB1201">
        <f>HYPERLINK("https://klasma.github.io/Logging_2080/klagomålsmail/A 20186-2024 FSC-klagomål mail.docx", "A 20186-2024")</f>
        <v/>
      </c>
      <c r="AC1201">
        <f>HYPERLINK("https://klasma.github.io/Logging_2080/tillsyn/A 20186-2024 tillsynsbegäran.docx", "A 20186-2024")</f>
        <v/>
      </c>
      <c r="AD1201">
        <f>HYPERLINK("https://klasma.github.io/Logging_2080/tillsynsmail/A 20186-2024 tillsynsbegäran mail.docx", "A 20186-2024")</f>
        <v/>
      </c>
    </row>
    <row r="1202" ht="15" customHeight="1">
      <c r="A1202" t="inlineStr">
        <is>
          <t>A 54773-2025</t>
        </is>
      </c>
      <c r="B1202" t="inlineStr">
        <is>
          <t>avverkningsanmälan</t>
        </is>
      </c>
      <c r="C1202" t="inlineStr">
        <is>
          <t>Föryngringsavverkning</t>
        </is>
      </c>
      <c r="D1202" s="1" t="n">
        <v>45966</v>
      </c>
      <c r="E1202" s="1" t="n">
        <v>46319</v>
      </c>
      <c r="F1202" t="inlineStr">
        <is>
          <t>DALARNAS LÄN</t>
        </is>
      </c>
      <c r="G1202" t="inlineStr">
        <is>
          <t>ORSA</t>
        </is>
      </c>
      <c r="I1202" t="n">
        <v>3.6</v>
      </c>
      <c r="J1202" t="n">
        <v>1</v>
      </c>
      <c r="K1202" t="n">
        <v>0</v>
      </c>
      <c r="L1202" t="n">
        <v>0</v>
      </c>
      <c r="M1202" t="n">
        <v>0</v>
      </c>
      <c r="N1202" t="n">
        <v>0</v>
      </c>
      <c r="O1202" t="n">
        <v>0</v>
      </c>
      <c r="P1202" t="n">
        <v>0</v>
      </c>
      <c r="Q1202" t="n">
        <v>0</v>
      </c>
      <c r="R1202" t="n">
        <v>0</v>
      </c>
      <c r="S1202" t="n">
        <v>1</v>
      </c>
      <c r="T1202" t="n">
        <v>1</v>
      </c>
      <c r="U1202" t="n">
        <v>1</v>
      </c>
      <c r="V1202" s="2" t="inlineStr">
        <is>
          <t>Tjäder</t>
        </is>
      </c>
      <c r="W1202">
        <f>HYPERLINK("https://klasma.github.io/Logging_2034/artfynd/A 54773-2025 artfynd.xlsx", "A 54773-2025")</f>
        <v/>
      </c>
      <c r="X1202">
        <f>HYPERLINK("https://klasma.github.io/Logging_2034/kartor/A 54773-2025 karta.png", "A 54773-2025")</f>
        <v/>
      </c>
      <c r="Y1202">
        <f>HYPERLINK("https://klasma.github.io/Logging_2034/kartor_geotiff/A 54773-2025 georefererad karta.tif", "A 54773-2025")</f>
        <v/>
      </c>
      <c r="AA1202">
        <f>HYPERLINK("https://klasma.github.io/Logging_2034/klagomål/A 54773-2025 FSC-klagomål.docx", "A 54773-2025")</f>
        <v/>
      </c>
      <c r="AB1202">
        <f>HYPERLINK("https://klasma.github.io/Logging_2034/klagomålsmail/A 54773-2025 FSC-klagomål mail.docx", "A 54773-2025")</f>
        <v/>
      </c>
      <c r="AC1202">
        <f>HYPERLINK("https://klasma.github.io/Logging_2034/tillsyn/A 54773-2025 tillsynsbegäran.docx", "A 54773-2025")</f>
        <v/>
      </c>
      <c r="AD1202">
        <f>HYPERLINK("https://klasma.github.io/Logging_2034/tillsynsmail/A 54773-2025 tillsynsbegäran mail.docx", "A 54773-2025")</f>
        <v/>
      </c>
      <c r="AE1202">
        <f>HYPERLINK("https://klasma.github.io/Logging_2034/fåglar/A 54773-2025 prioriterade fågelarter.docx", "A 54773-2025")</f>
        <v/>
      </c>
    </row>
    <row r="1203" ht="15" customHeight="1">
      <c r="A1203" t="inlineStr">
        <is>
          <t>A 13553-2025</t>
        </is>
      </c>
      <c r="B1203" t="inlineStr">
        <is>
          <t>avverkningsanmälan</t>
        </is>
      </c>
      <c r="C1203" t="inlineStr">
        <is>
          <t>Föryngringsavverkning</t>
        </is>
      </c>
      <c r="D1203" s="1" t="n">
        <v>45736</v>
      </c>
      <c r="E1203" s="1" t="n">
        <v>46319</v>
      </c>
      <c r="F1203" t="inlineStr">
        <is>
          <t>DALARNAS LÄN</t>
        </is>
      </c>
      <c r="G1203" t="inlineStr">
        <is>
          <t>AVESTA</t>
        </is>
      </c>
      <c r="I1203" t="n">
        <v>2.9</v>
      </c>
      <c r="J1203" t="n">
        <v>0</v>
      </c>
      <c r="K1203" t="n">
        <v>0</v>
      </c>
      <c r="L1203" t="n">
        <v>1</v>
      </c>
      <c r="M1203" t="n">
        <v>0</v>
      </c>
      <c r="N1203" t="n">
        <v>0</v>
      </c>
      <c r="O1203" t="n">
        <v>0</v>
      </c>
      <c r="P1203" t="n">
        <v>0</v>
      </c>
      <c r="Q1203" t="n">
        <v>1</v>
      </c>
      <c r="R1203" t="n">
        <v>0</v>
      </c>
      <c r="S1203" t="n">
        <v>1</v>
      </c>
      <c r="T1203" t="n">
        <v>1</v>
      </c>
      <c r="U1203" t="n">
        <v>1</v>
      </c>
      <c r="V1203" s="2" t="inlineStr">
        <is>
          <t>Svinrot</t>
        </is>
      </c>
      <c r="W1203">
        <f>HYPERLINK("https://klasma.github.io/Logging_2084/artfynd/A 13553-2025 artfynd.xlsx", "A 13553-2025")</f>
        <v/>
      </c>
      <c r="X1203">
        <f>HYPERLINK("https://klasma.github.io/Logging_2084/kartor/A 13553-2025 karta.png", "A 13553-2025")</f>
        <v/>
      </c>
      <c r="Y1203">
        <f>HYPERLINK("https://klasma.github.io/Logging_2084/kartor_geotiff/A 13553-2025 georefererad karta.tif", "A 13553-2025")</f>
        <v/>
      </c>
      <c r="AA1203">
        <f>HYPERLINK("https://klasma.github.io/Logging_2084/klagomål/A 13553-2025 FSC-klagomål.docx", "A 13553-2025")</f>
        <v/>
      </c>
      <c r="AB1203">
        <f>HYPERLINK("https://klasma.github.io/Logging_2084/klagomålsmail/A 13553-2025 FSC-klagomål mail.docx", "A 13553-2025")</f>
        <v/>
      </c>
      <c r="AC1203">
        <f>HYPERLINK("https://klasma.github.io/Logging_2084/tillsyn/A 13553-2025 tillsynsbegäran.docx", "A 13553-2025")</f>
        <v/>
      </c>
      <c r="AD1203">
        <f>HYPERLINK("https://klasma.github.io/Logging_2084/tillsynsmail/A 13553-2025 tillsynsbegäran mail.docx", "A 13553-2025")</f>
        <v/>
      </c>
    </row>
    <row r="1204" ht="15" customHeight="1">
      <c r="A1204" t="inlineStr">
        <is>
          <t>A 27316-2026</t>
        </is>
      </c>
      <c r="B1204" t="inlineStr">
        <is>
          <t>avverkningsanmälan</t>
        </is>
      </c>
      <c r="C1204" t="inlineStr">
        <is>
          <t>Föryngringsavverkning</t>
        </is>
      </c>
      <c r="D1204" s="1" t="n">
        <v>46188</v>
      </c>
      <c r="E1204" s="1" t="n">
        <v>46319</v>
      </c>
      <c r="F1204" t="inlineStr">
        <is>
          <t>DALARNAS LÄN</t>
        </is>
      </c>
      <c r="G1204" t="inlineStr">
        <is>
          <t>FALUN</t>
        </is>
      </c>
      <c r="I1204" t="n">
        <v>2.2</v>
      </c>
      <c r="J1204" t="n">
        <v>0</v>
      </c>
      <c r="K1204" t="n">
        <v>0</v>
      </c>
      <c r="L1204" t="n">
        <v>0</v>
      </c>
      <c r="M1204" t="n">
        <v>1</v>
      </c>
      <c r="N1204" t="n">
        <v>0</v>
      </c>
      <c r="O1204" t="n">
        <v>0</v>
      </c>
      <c r="P1204" t="n">
        <v>0</v>
      </c>
      <c r="Q1204" t="n">
        <v>1</v>
      </c>
      <c r="R1204" t="n">
        <v>1</v>
      </c>
      <c r="S1204" t="n">
        <v>1</v>
      </c>
      <c r="T1204" t="n">
        <v>1</v>
      </c>
      <c r="U1204" t="n">
        <v>0</v>
      </c>
      <c r="V1204" s="2" t="inlineStr">
        <is>
          <t>Garnlav</t>
        </is>
      </c>
      <c r="W1204">
        <f>HYPERLINK("https://klasma.github.io/Logging_2080/artfynd/A 27316-2026 artfynd.xlsx", "A 27316-2026")</f>
        <v/>
      </c>
      <c r="X1204">
        <f>HYPERLINK("https://klasma.github.io/Logging_2080/kartor/A 27316-2026 karta.png", "A 27316-2026")</f>
        <v/>
      </c>
      <c r="Y1204">
        <f>HYPERLINK("https://klasma.github.io/Logging_2080/kartor_geotiff/A 27316-2026 georefererad karta.tif", "A 27316-2026")</f>
        <v/>
      </c>
      <c r="AA1204">
        <f>HYPERLINK("https://klasma.github.io/Logging_2080/klagomål/A 27316-2026 FSC-klagomål.docx", "A 27316-2026")</f>
        <v/>
      </c>
      <c r="AB1204">
        <f>HYPERLINK("https://klasma.github.io/Logging_2080/klagomålsmail/A 27316-2026 FSC-klagomål mail.docx", "A 27316-2026")</f>
        <v/>
      </c>
      <c r="AC1204">
        <f>HYPERLINK("https://klasma.github.io/Logging_2080/tillsyn/A 27316-2026 tillsynsbegäran.docx", "A 27316-2026")</f>
        <v/>
      </c>
      <c r="AD1204">
        <f>HYPERLINK("https://klasma.github.io/Logging_2080/tillsynsmail/A 27316-2026 tillsynsbegäran mail.docx", "A 27316-2026")</f>
        <v/>
      </c>
    </row>
    <row r="1205" ht="15" customHeight="1">
      <c r="A1205" t="inlineStr">
        <is>
          <t>A 36050-2025</t>
        </is>
      </c>
      <c r="B1205" t="inlineStr">
        <is>
          <t>avverkningsanmälan</t>
        </is>
      </c>
      <c r="C1205" t="inlineStr">
        <is>
          <t>Avverkning för annat ändamål</t>
        </is>
      </c>
      <c r="D1205" s="1" t="n">
        <v>45866</v>
      </c>
      <c r="E1205" s="1" t="n">
        <v>46319</v>
      </c>
      <c r="F1205" t="inlineStr">
        <is>
          <t>DALARNAS LÄN</t>
        </is>
      </c>
      <c r="G1205" t="inlineStr">
        <is>
          <t>LUDVIKA</t>
        </is>
      </c>
      <c r="I1205" t="n">
        <v>1.4</v>
      </c>
      <c r="J1205" t="n">
        <v>1</v>
      </c>
      <c r="K1205" t="n">
        <v>0</v>
      </c>
      <c r="L1205" t="n">
        <v>1</v>
      </c>
      <c r="M1205" t="n">
        <v>0</v>
      </c>
      <c r="N1205" t="n">
        <v>0</v>
      </c>
      <c r="O1205" t="n">
        <v>0</v>
      </c>
      <c r="P1205" t="n">
        <v>0</v>
      </c>
      <c r="Q1205" t="n">
        <v>1</v>
      </c>
      <c r="R1205" t="n">
        <v>0</v>
      </c>
      <c r="S1205" t="n">
        <v>1</v>
      </c>
      <c r="T1205" t="n">
        <v>1</v>
      </c>
      <c r="U1205" t="n">
        <v>0</v>
      </c>
      <c r="V1205" s="2" t="inlineStr">
        <is>
          <t>Mindre hackspett</t>
        </is>
      </c>
      <c r="W1205">
        <f>HYPERLINK("https://klasma.github.io/Logging_2085/artfynd/A 36050-2025 artfynd.xlsx", "A 36050-2025")</f>
        <v/>
      </c>
      <c r="X1205">
        <f>HYPERLINK("https://klasma.github.io/Logging_2085/kartor/A 36050-2025 karta.png", "A 36050-2025")</f>
        <v/>
      </c>
      <c r="Y1205">
        <f>HYPERLINK("https://klasma.github.io/Logging_2085/kartor_geotiff/A 36050-2025 georefererad karta.tif", "A 36050-2025")</f>
        <v/>
      </c>
      <c r="AA1205">
        <f>HYPERLINK("https://klasma.github.io/Logging_2085/klagomål/A 36050-2025 FSC-klagomål.docx", "A 36050-2025")</f>
        <v/>
      </c>
      <c r="AB1205">
        <f>HYPERLINK("https://klasma.github.io/Logging_2085/klagomålsmail/A 36050-2025 FSC-klagomål mail.docx", "A 36050-2025")</f>
        <v/>
      </c>
      <c r="AC1205">
        <f>HYPERLINK("https://klasma.github.io/Logging_2085/tillsyn/A 36050-2025 tillsynsbegäran.docx", "A 36050-2025")</f>
        <v/>
      </c>
      <c r="AD1205">
        <f>HYPERLINK("https://klasma.github.io/Logging_2085/tillsynsmail/A 36050-2025 tillsynsbegäran mail.docx", "A 36050-2025")</f>
        <v/>
      </c>
      <c r="AE1205">
        <f>HYPERLINK("https://klasma.github.io/Logging_2085/fåglar/A 36050-2025 prioriterade fågelarter.docx", "A 36050-2025")</f>
        <v/>
      </c>
    </row>
    <row r="1206" ht="15" customHeight="1">
      <c r="A1206" t="inlineStr">
        <is>
          <t>A 27831-2026</t>
        </is>
      </c>
      <c r="B1206" t="inlineStr">
        <is>
          <t>avverkningsanmälan</t>
        </is>
      </c>
      <c r="C1206" t="inlineStr">
        <is>
          <t>Föryngringsavverkning</t>
        </is>
      </c>
      <c r="D1206" s="1" t="n">
        <v>46191</v>
      </c>
      <c r="E1206" s="1" t="n">
        <v>46319</v>
      </c>
      <c r="F1206" t="inlineStr">
        <is>
          <t>DALARNAS LÄN</t>
        </is>
      </c>
      <c r="G1206" t="inlineStr">
        <is>
          <t>FALUN</t>
        </is>
      </c>
      <c r="I1206" t="n">
        <v>1.4</v>
      </c>
      <c r="J1206" t="n">
        <v>1</v>
      </c>
      <c r="K1206" t="n">
        <v>0</v>
      </c>
      <c r="L1206" t="n">
        <v>0</v>
      </c>
      <c r="M1206" t="n">
        <v>0</v>
      </c>
      <c r="N1206" t="n">
        <v>0</v>
      </c>
      <c r="O1206" t="n">
        <v>0</v>
      </c>
      <c r="P1206" t="n">
        <v>0</v>
      </c>
      <c r="Q1206" t="n">
        <v>0</v>
      </c>
      <c r="R1206" t="n">
        <v>0</v>
      </c>
      <c r="S1206" t="n">
        <v>1</v>
      </c>
      <c r="T1206" t="n">
        <v>1</v>
      </c>
      <c r="U1206" t="n">
        <v>0</v>
      </c>
      <c r="V1206" s="2" t="inlineStr">
        <is>
          <t>Nattviol</t>
        </is>
      </c>
      <c r="W1206">
        <f>HYPERLINK("https://klasma.github.io/Logging_2080/artfynd/A 27831-2026 artfynd.xlsx", "A 27831-2026")</f>
        <v/>
      </c>
      <c r="X1206">
        <f>HYPERLINK("https://klasma.github.io/Logging_2080/kartor/A 27831-2026 karta.png", "A 27831-2026")</f>
        <v/>
      </c>
      <c r="Y1206">
        <f>HYPERLINK("https://klasma.github.io/Logging_2080/kartor_geotiff/A 27831-2026 georefererad karta.tif", "A 27831-2026")</f>
        <v/>
      </c>
      <c r="AA1206">
        <f>HYPERLINK("https://klasma.github.io/Logging_2080/klagomål/A 27831-2026 FSC-klagomål.docx", "A 27831-2026")</f>
        <v/>
      </c>
      <c r="AB1206">
        <f>HYPERLINK("https://klasma.github.io/Logging_2080/klagomålsmail/A 27831-2026 FSC-klagomål mail.docx", "A 27831-2026")</f>
        <v/>
      </c>
      <c r="AC1206">
        <f>HYPERLINK("https://klasma.github.io/Logging_2080/tillsyn/A 27831-2026 tillsynsbegäran.docx", "A 27831-2026")</f>
        <v/>
      </c>
      <c r="AD1206">
        <f>HYPERLINK("https://klasma.github.io/Logging_2080/tillsynsmail/A 27831-2026 tillsynsbegäran mail.docx", "A 27831-2026")</f>
        <v/>
      </c>
    </row>
    <row r="1207" ht="15" customHeight="1">
      <c r="A1207" t="inlineStr">
        <is>
          <t>A 9466-2023</t>
        </is>
      </c>
      <c r="B1207" t="inlineStr">
        <is>
          <t>avverkningsanmälan</t>
        </is>
      </c>
      <c r="C1207" t="inlineStr">
        <is>
          <t>Avverkning för annat ändamål</t>
        </is>
      </c>
      <c r="D1207" s="1" t="n">
        <v>44981</v>
      </c>
      <c r="E1207" s="1" t="n">
        <v>46319</v>
      </c>
      <c r="F1207" t="inlineStr">
        <is>
          <t>DALARNAS LÄN</t>
        </is>
      </c>
      <c r="G1207" t="inlineStr">
        <is>
          <t>ORSA</t>
        </is>
      </c>
      <c r="H1207" t="inlineStr">
        <is>
          <t>Bergvik skog väst AB</t>
        </is>
      </c>
      <c r="I1207" t="n">
        <v>3.8</v>
      </c>
      <c r="J1207" t="n">
        <v>1</v>
      </c>
      <c r="K1207" t="n">
        <v>0</v>
      </c>
      <c r="L1207" t="n">
        <v>0</v>
      </c>
      <c r="M1207" t="n">
        <v>0</v>
      </c>
      <c r="N1207" t="n">
        <v>0</v>
      </c>
      <c r="O1207" t="n">
        <v>0</v>
      </c>
      <c r="P1207" t="n">
        <v>0</v>
      </c>
      <c r="Q1207" t="n">
        <v>0</v>
      </c>
      <c r="R1207" t="n">
        <v>0</v>
      </c>
      <c r="S1207" t="n">
        <v>1</v>
      </c>
      <c r="T1207" t="n">
        <v>1</v>
      </c>
      <c r="U1207" t="n">
        <v>1</v>
      </c>
      <c r="V1207" s="2" t="inlineStr">
        <is>
          <t>Tjäder</t>
        </is>
      </c>
      <c r="W1207">
        <f>HYPERLINK("https://klasma.github.io/Logging_2034/artfynd/A 9466-2023 artfynd.xlsx", "A 9466-2023")</f>
        <v/>
      </c>
      <c r="X1207">
        <f>HYPERLINK("https://klasma.github.io/Logging_2034/kartor/A 9466-2023 karta.png", "A 9466-2023")</f>
        <v/>
      </c>
      <c r="Y1207">
        <f>HYPERLINK("https://klasma.github.io/Logging_2034/kartor_geotiff/A 9466-2023 georefererad karta.tif", "A 9466-2023")</f>
        <v/>
      </c>
      <c r="AA1207">
        <f>HYPERLINK("https://klasma.github.io/Logging_2034/klagomål/A 9466-2023 FSC-klagomål.docx", "A 9466-2023")</f>
        <v/>
      </c>
      <c r="AB1207">
        <f>HYPERLINK("https://klasma.github.io/Logging_2034/klagomålsmail/A 9466-2023 FSC-klagomål mail.docx", "A 9466-2023")</f>
        <v/>
      </c>
      <c r="AC1207">
        <f>HYPERLINK("https://klasma.github.io/Logging_2034/tillsyn/A 9466-2023 tillsynsbegäran.docx", "A 9466-2023")</f>
        <v/>
      </c>
      <c r="AD1207">
        <f>HYPERLINK("https://klasma.github.io/Logging_2034/tillsynsmail/A 9466-2023 tillsynsbegäran mail.docx", "A 9466-2023")</f>
        <v/>
      </c>
      <c r="AE1207">
        <f>HYPERLINK("https://klasma.github.io/Logging_2034/fåglar/A 9466-2023 prioriterade fågelarter.docx", "A 9466-2023")</f>
        <v/>
      </c>
    </row>
    <row r="1208" ht="15" customHeight="1">
      <c r="A1208" t="inlineStr">
        <is>
          <t>A 54776-2025</t>
        </is>
      </c>
      <c r="B1208" t="inlineStr">
        <is>
          <t>avverkningsanmälan</t>
        </is>
      </c>
      <c r="C1208" t="inlineStr">
        <is>
          <t>Föryngringsavverkning</t>
        </is>
      </c>
      <c r="D1208" s="1" t="n">
        <v>45966</v>
      </c>
      <c r="E1208" s="1" t="n">
        <v>46319</v>
      </c>
      <c r="F1208" t="inlineStr">
        <is>
          <t>DALARNAS LÄN</t>
        </is>
      </c>
      <c r="G1208" t="inlineStr">
        <is>
          <t>ORSA</t>
        </is>
      </c>
      <c r="I1208" t="n">
        <v>4.8</v>
      </c>
      <c r="J1208" t="n">
        <v>0</v>
      </c>
      <c r="K1208" t="n">
        <v>1</v>
      </c>
      <c r="L1208" t="n">
        <v>0</v>
      </c>
      <c r="M1208" t="n">
        <v>0</v>
      </c>
      <c r="N1208" t="n">
        <v>0</v>
      </c>
      <c r="O1208" t="n">
        <v>0</v>
      </c>
      <c r="P1208" t="n">
        <v>0</v>
      </c>
      <c r="Q1208" t="n">
        <v>0</v>
      </c>
      <c r="R1208" t="n">
        <v>0</v>
      </c>
      <c r="S1208" t="n">
        <v>1</v>
      </c>
      <c r="T1208" t="n">
        <v>1</v>
      </c>
      <c r="U1208" t="n">
        <v>1</v>
      </c>
      <c r="V1208" s="2" t="inlineStr">
        <is>
          <t>Björksplintborre</t>
        </is>
      </c>
      <c r="W1208">
        <f>HYPERLINK("https://klasma.github.io/Logging_2034/artfynd/A 54776-2025 artfynd.xlsx", "A 54776-2025")</f>
        <v/>
      </c>
      <c r="X1208">
        <f>HYPERLINK("https://klasma.github.io/Logging_2034/kartor/A 54776-2025 karta.png", "A 54776-2025")</f>
        <v/>
      </c>
      <c r="Y1208">
        <f>HYPERLINK("https://klasma.github.io/Logging_2034/kartor_geotiff/A 54776-2025 georefererad karta.tif", "A 54776-2025")</f>
        <v/>
      </c>
      <c r="AA1208">
        <f>HYPERLINK("https://klasma.github.io/Logging_2034/klagomål/A 54776-2025 FSC-klagomål.docx", "A 54776-2025")</f>
        <v/>
      </c>
      <c r="AB1208">
        <f>HYPERLINK("https://klasma.github.io/Logging_2034/klagomålsmail/A 54776-2025 FSC-klagomål mail.docx", "A 54776-2025")</f>
        <v/>
      </c>
      <c r="AC1208">
        <f>HYPERLINK("https://klasma.github.io/Logging_2034/tillsyn/A 54776-2025 tillsynsbegäran.docx", "A 54776-2025")</f>
        <v/>
      </c>
      <c r="AD1208">
        <f>HYPERLINK("https://klasma.github.io/Logging_2034/tillsynsmail/A 54776-2025 tillsynsbegäran mail.docx", "A 54776-2025")</f>
        <v/>
      </c>
    </row>
    <row r="1209" ht="15" customHeight="1">
      <c r="A1209" t="inlineStr">
        <is>
          <t>A 48693-2023</t>
        </is>
      </c>
      <c r="B1209" t="inlineStr">
        <is>
          <t>avverkningsanmälan</t>
        </is>
      </c>
      <c r="C1209" t="inlineStr">
        <is>
          <t>Föryngringsavverkning</t>
        </is>
      </c>
      <c r="D1209" s="1" t="n">
        <v>45208</v>
      </c>
      <c r="E1209" s="1" t="n">
        <v>46319</v>
      </c>
      <c r="F1209" t="inlineStr">
        <is>
          <t>DALARNAS LÄN</t>
        </is>
      </c>
      <c r="G1209" t="inlineStr">
        <is>
          <t>FALUN</t>
        </is>
      </c>
      <c r="H1209" t="inlineStr">
        <is>
          <t>Bergvik skog väst AB</t>
        </is>
      </c>
      <c r="I1209" t="n">
        <v>4.1</v>
      </c>
      <c r="J1209" t="n">
        <v>1</v>
      </c>
      <c r="K1209" t="n">
        <v>0</v>
      </c>
      <c r="L1209" t="n">
        <v>0</v>
      </c>
      <c r="M1209" t="n">
        <v>0</v>
      </c>
      <c r="N1209" t="n">
        <v>0</v>
      </c>
      <c r="O1209" t="n">
        <v>0</v>
      </c>
      <c r="P1209" t="n">
        <v>0</v>
      </c>
      <c r="Q1209" t="n">
        <v>0</v>
      </c>
      <c r="R1209" t="n">
        <v>0</v>
      </c>
      <c r="S1209" t="n">
        <v>1</v>
      </c>
      <c r="T1209" t="n">
        <v>1</v>
      </c>
      <c r="U1209" t="n">
        <v>1</v>
      </c>
      <c r="V1209" s="2" t="inlineStr">
        <is>
          <t>Revlummer</t>
        </is>
      </c>
      <c r="W1209">
        <f>HYPERLINK("https://klasma.github.io/Logging_2080/artfynd/A 48693-2023 artfynd.xlsx", "A 48693-2023")</f>
        <v/>
      </c>
      <c r="X1209">
        <f>HYPERLINK("https://klasma.github.io/Logging_2080/kartor/A 48693-2023 karta.png", "A 48693-2023")</f>
        <v/>
      </c>
      <c r="Y1209">
        <f>HYPERLINK("https://klasma.github.io/Logging_2080/kartor_geotiff/A 48693-2023 georefererad karta.tif", "A 48693-2023")</f>
        <v/>
      </c>
      <c r="AA1209">
        <f>HYPERLINK("https://klasma.github.io/Logging_2080/klagomål/A 48693-2023 FSC-klagomål.docx", "A 48693-2023")</f>
        <v/>
      </c>
      <c r="AB1209">
        <f>HYPERLINK("https://klasma.github.io/Logging_2080/klagomålsmail/A 48693-2023 FSC-klagomål mail.docx", "A 48693-2023")</f>
        <v/>
      </c>
      <c r="AC1209">
        <f>HYPERLINK("https://klasma.github.io/Logging_2080/tillsyn/A 48693-2023 tillsynsbegäran.docx", "A 48693-2023")</f>
        <v/>
      </c>
      <c r="AD1209">
        <f>HYPERLINK("https://klasma.github.io/Logging_2080/tillsynsmail/A 48693-2023 tillsynsbegäran mail.docx", "A 48693-2023")</f>
        <v/>
      </c>
    </row>
    <row r="1210" ht="15" customHeight="1">
      <c r="A1210" t="inlineStr">
        <is>
          <t>A 27627-2026</t>
        </is>
      </c>
      <c r="B1210" t="inlineStr">
        <is>
          <t>avverkningsanmälan</t>
        </is>
      </c>
      <c r="C1210" t="inlineStr">
        <is>
          <t>Föryngringsavverkning</t>
        </is>
      </c>
      <c r="D1210" s="1" t="n">
        <v>46190</v>
      </c>
      <c r="E1210" s="1" t="n">
        <v>46319</v>
      </c>
      <c r="F1210" t="inlineStr">
        <is>
          <t>DALARNAS LÄN</t>
        </is>
      </c>
      <c r="G1210" t="inlineStr">
        <is>
          <t>FALUN</t>
        </is>
      </c>
      <c r="I1210" t="n">
        <v>1.7</v>
      </c>
      <c r="J1210" t="n">
        <v>1</v>
      </c>
      <c r="K1210" t="n">
        <v>0</v>
      </c>
      <c r="L1210" t="n">
        <v>0</v>
      </c>
      <c r="M1210" t="n">
        <v>1</v>
      </c>
      <c r="N1210" t="n">
        <v>0</v>
      </c>
      <c r="O1210" t="n">
        <v>0</v>
      </c>
      <c r="P1210" t="n">
        <v>0</v>
      </c>
      <c r="Q1210" t="n">
        <v>1</v>
      </c>
      <c r="R1210" t="n">
        <v>1</v>
      </c>
      <c r="S1210" t="n">
        <v>1</v>
      </c>
      <c r="T1210" t="n">
        <v>1</v>
      </c>
      <c r="U1210" t="n">
        <v>0</v>
      </c>
      <c r="V1210" s="2" t="inlineStr">
        <is>
          <t>Knärot</t>
        </is>
      </c>
      <c r="W1210">
        <f>HYPERLINK("https://klasma.github.io/Logging_2080/artfynd/A 27627-2026 artfynd.xlsx", "A 27627-2026")</f>
        <v/>
      </c>
      <c r="X1210">
        <f>HYPERLINK("https://klasma.github.io/Logging_2080/kartor/A 27627-2026 karta.png", "A 27627-2026")</f>
        <v/>
      </c>
      <c r="Y1210">
        <f>HYPERLINK("https://klasma.github.io/Logging_2080/kartor_geotiff/A 27627-2026 georefererad karta.tif", "A 27627-2026")</f>
        <v/>
      </c>
      <c r="Z1210">
        <f>HYPERLINK("https://klasma.github.io/Logging_2080/knärot/A 27627-2026 karta knärot.png", "A 27627-2026")</f>
        <v/>
      </c>
      <c r="AA1210">
        <f>HYPERLINK("https://klasma.github.io/Logging_2080/klagomål/A 27627-2026 FSC-klagomål.docx", "A 27627-2026")</f>
        <v/>
      </c>
      <c r="AB1210">
        <f>HYPERLINK("https://klasma.github.io/Logging_2080/klagomålsmail/A 27627-2026 FSC-klagomål mail.docx", "A 27627-2026")</f>
        <v/>
      </c>
      <c r="AC1210">
        <f>HYPERLINK("https://klasma.github.io/Logging_2080/tillsyn/A 27627-2026 tillsynsbegäran.docx", "A 27627-2026")</f>
        <v/>
      </c>
      <c r="AD1210">
        <f>HYPERLINK("https://klasma.github.io/Logging_2080/tillsynsmail/A 27627-2026 tillsynsbegäran mail.docx", "A 27627-2026")</f>
        <v/>
      </c>
    </row>
    <row r="1211" ht="15" customHeight="1">
      <c r="A1211" t="inlineStr">
        <is>
          <t>A 10381-2023</t>
        </is>
      </c>
      <c r="B1211" t="inlineStr">
        <is>
          <t>avverkningsanmälan</t>
        </is>
      </c>
      <c r="C1211" t="inlineStr">
        <is>
          <t>Föryngringsavverkning</t>
        </is>
      </c>
      <c r="D1211" s="1" t="n">
        <v>44987</v>
      </c>
      <c r="E1211" s="1" t="n">
        <v>46319</v>
      </c>
      <c r="F1211" t="inlineStr">
        <is>
          <t>DALARNAS LÄN</t>
        </is>
      </c>
      <c r="G1211" t="inlineStr">
        <is>
          <t>BORLÄNGE</t>
        </is>
      </c>
      <c r="I1211" t="n">
        <v>2.4</v>
      </c>
      <c r="J1211" t="n">
        <v>1</v>
      </c>
      <c r="K1211" t="n">
        <v>0</v>
      </c>
      <c r="L1211" t="n">
        <v>0</v>
      </c>
      <c r="M1211" t="n">
        <v>0</v>
      </c>
      <c r="N1211" t="n">
        <v>0</v>
      </c>
      <c r="O1211" t="n">
        <v>0</v>
      </c>
      <c r="P1211" t="n">
        <v>0</v>
      </c>
      <c r="Q1211" t="n">
        <v>0</v>
      </c>
      <c r="R1211" t="n">
        <v>0</v>
      </c>
      <c r="S1211" t="n">
        <v>1</v>
      </c>
      <c r="T1211" t="n">
        <v>1</v>
      </c>
      <c r="U1211" t="n">
        <v>0</v>
      </c>
      <c r="V1211" s="2" t="inlineStr">
        <is>
          <t>Mattlummer</t>
        </is>
      </c>
      <c r="W1211">
        <f>HYPERLINK("https://klasma.github.io/Logging_2081/artfynd/A 10381-2023 artfynd.xlsx", "A 10381-2023")</f>
        <v/>
      </c>
      <c r="X1211">
        <f>HYPERLINK("https://klasma.github.io/Logging_2081/kartor/A 10381-2023 karta.png", "A 10381-2023")</f>
        <v/>
      </c>
      <c r="Y1211">
        <f>HYPERLINK("https://klasma.github.io/Logging_2081/kartor_geotiff/A 10381-2023 georefererad karta.tif", "A 10381-2023")</f>
        <v/>
      </c>
      <c r="AA1211">
        <f>HYPERLINK("https://klasma.github.io/Logging_2081/klagomål/A 10381-2023 FSC-klagomål.docx", "A 10381-2023")</f>
        <v/>
      </c>
      <c r="AB1211">
        <f>HYPERLINK("https://klasma.github.io/Logging_2081/klagomålsmail/A 10381-2023 FSC-klagomål mail.docx", "A 10381-2023")</f>
        <v/>
      </c>
      <c r="AC1211">
        <f>HYPERLINK("https://klasma.github.io/Logging_2081/tillsyn/A 10381-2023 tillsynsbegäran.docx", "A 10381-2023")</f>
        <v/>
      </c>
      <c r="AD1211">
        <f>HYPERLINK("https://klasma.github.io/Logging_2081/tillsynsmail/A 10381-2023 tillsynsbegäran mail.docx", "A 10381-2023")</f>
        <v/>
      </c>
    </row>
    <row r="1212" ht="15" customHeight="1">
      <c r="A1212" t="inlineStr">
        <is>
          <t>A 39253-2025</t>
        </is>
      </c>
      <c r="B1212" t="inlineStr">
        <is>
          <t>avverkningsanmälan</t>
        </is>
      </c>
      <c r="C1212" t="inlineStr">
        <is>
          <t>Föryngringsavverkning</t>
        </is>
      </c>
      <c r="D1212" s="1" t="n">
        <v>45889</v>
      </c>
      <c r="E1212" s="1" t="n">
        <v>46319</v>
      </c>
      <c r="F1212" t="inlineStr">
        <is>
          <t>DALARNAS LÄN</t>
        </is>
      </c>
      <c r="G1212" t="inlineStr">
        <is>
          <t>AVESTA</t>
        </is>
      </c>
      <c r="H1212" t="inlineStr">
        <is>
          <t>Sveaskog</t>
        </is>
      </c>
      <c r="I1212" t="n">
        <v>10.2</v>
      </c>
      <c r="J1212" t="n">
        <v>1</v>
      </c>
      <c r="K1212" t="n">
        <v>0</v>
      </c>
      <c r="L1212" t="n">
        <v>1</v>
      </c>
      <c r="M1212" t="n">
        <v>0</v>
      </c>
      <c r="N1212" t="n">
        <v>0</v>
      </c>
      <c r="O1212" t="n">
        <v>0</v>
      </c>
      <c r="P1212" t="n">
        <v>0</v>
      </c>
      <c r="Q1212" t="n">
        <v>1</v>
      </c>
      <c r="R1212" t="n">
        <v>0</v>
      </c>
      <c r="S1212" t="n">
        <v>1</v>
      </c>
      <c r="T1212" t="n">
        <v>3</v>
      </c>
      <c r="U1212" t="n">
        <v>0</v>
      </c>
      <c r="V1212" s="2" t="inlineStr">
        <is>
          <t>Nordfladdermus</t>
        </is>
      </c>
      <c r="W1212">
        <f>HYPERLINK("https://klasma.github.io/Logging_2084/artfynd/A 39253-2025 artfynd.xlsx", "A 39253-2025")</f>
        <v/>
      </c>
      <c r="X1212">
        <f>HYPERLINK("https://klasma.github.io/Logging_2084/kartor/A 39253-2025 karta.png", "A 39253-2025")</f>
        <v/>
      </c>
      <c r="Y1212">
        <f>HYPERLINK("https://klasma.github.io/Logging_2084/kartor_geotiff/A 39253-2025 georefererad karta.tif", "A 39253-2025")</f>
        <v/>
      </c>
      <c r="AA1212">
        <f>HYPERLINK("https://klasma.github.io/Logging_2084/klagomål/A 39253-2025 FSC-klagomål.docx", "A 39253-2025")</f>
        <v/>
      </c>
      <c r="AB1212">
        <f>HYPERLINK("https://klasma.github.io/Logging_2084/klagomålsmail/A 39253-2025 FSC-klagomål mail.docx", "A 39253-2025")</f>
        <v/>
      </c>
      <c r="AC1212">
        <f>HYPERLINK("https://klasma.github.io/Logging_2084/tillsyn/A 39253-2025 tillsynsbegäran.docx", "A 39253-2025")</f>
        <v/>
      </c>
      <c r="AD1212">
        <f>HYPERLINK("https://klasma.github.io/Logging_2084/tillsynsmail/A 39253-2025 tillsynsbegäran mail.docx", "A 39253-2025")</f>
        <v/>
      </c>
    </row>
    <row r="1213" ht="15" customHeight="1">
      <c r="A1213" t="inlineStr">
        <is>
          <t>A 55056-2025</t>
        </is>
      </c>
      <c r="B1213" t="inlineStr">
        <is>
          <t>avverkningsanmälan</t>
        </is>
      </c>
      <c r="C1213" t="inlineStr">
        <is>
          <t>Föryngringsavverkning</t>
        </is>
      </c>
      <c r="D1213" s="1" t="n">
        <v>45967</v>
      </c>
      <c r="E1213" s="1" t="n">
        <v>46319</v>
      </c>
      <c r="F1213" t="inlineStr">
        <is>
          <t>DALARNAS LÄN</t>
        </is>
      </c>
      <c r="G1213" t="inlineStr">
        <is>
          <t>BORLÄNGE</t>
        </is>
      </c>
      <c r="I1213" t="n">
        <v>0.9</v>
      </c>
      <c r="J1213" t="n">
        <v>1</v>
      </c>
      <c r="K1213" t="n">
        <v>0</v>
      </c>
      <c r="L1213" t="n">
        <v>0</v>
      </c>
      <c r="M1213" t="n">
        <v>0</v>
      </c>
      <c r="N1213" t="n">
        <v>0</v>
      </c>
      <c r="O1213" t="n">
        <v>0</v>
      </c>
      <c r="P1213" t="n">
        <v>0</v>
      </c>
      <c r="Q1213" t="n">
        <v>0</v>
      </c>
      <c r="R1213" t="n">
        <v>0</v>
      </c>
      <c r="S1213" t="n">
        <v>1</v>
      </c>
      <c r="T1213" t="n">
        <v>1</v>
      </c>
      <c r="U1213" t="n">
        <v>0</v>
      </c>
      <c r="V1213" s="2" t="inlineStr">
        <is>
          <t>Spillkråka</t>
        </is>
      </c>
      <c r="W1213">
        <f>HYPERLINK("https://klasma.github.io/Logging_2081/artfynd/A 55056-2025 artfynd.xlsx", "A 55056-2025")</f>
        <v/>
      </c>
      <c r="X1213">
        <f>HYPERLINK("https://klasma.github.io/Logging_2081/kartor/A 55056-2025 karta.png", "A 55056-2025")</f>
        <v/>
      </c>
      <c r="Y1213">
        <f>HYPERLINK("https://klasma.github.io/Logging_2081/kartor_geotiff/A 55056-2025 georefererad karta.tif", "A 55056-2025")</f>
        <v/>
      </c>
      <c r="AA1213">
        <f>HYPERLINK("https://klasma.github.io/Logging_2081/klagomål/A 55056-2025 FSC-klagomål.docx", "A 55056-2025")</f>
        <v/>
      </c>
      <c r="AB1213">
        <f>HYPERLINK("https://klasma.github.io/Logging_2081/klagomålsmail/A 55056-2025 FSC-klagomål mail.docx", "A 55056-2025")</f>
        <v/>
      </c>
      <c r="AC1213">
        <f>HYPERLINK("https://klasma.github.io/Logging_2081/tillsyn/A 55056-2025 tillsynsbegäran.docx", "A 55056-2025")</f>
        <v/>
      </c>
      <c r="AD1213">
        <f>HYPERLINK("https://klasma.github.io/Logging_2081/tillsynsmail/A 55056-2025 tillsynsbegäran mail.docx", "A 55056-2025")</f>
        <v/>
      </c>
      <c r="AE1213">
        <f>HYPERLINK("https://klasma.github.io/Logging_2081/fåglar/A 55056-2025 prioriterade fågelarter.docx", "A 55056-2025")</f>
        <v/>
      </c>
    </row>
    <row r="1214" ht="15" customHeight="1">
      <c r="A1214" t="inlineStr">
        <is>
          <t>A 28096-2026</t>
        </is>
      </c>
      <c r="B1214" t="inlineStr">
        <is>
          <t>avverkningsanmälan</t>
        </is>
      </c>
      <c r="C1214" t="inlineStr">
        <is>
          <t>Föryngringsavverkning</t>
        </is>
      </c>
      <c r="D1214" s="1" t="n">
        <v>46195</v>
      </c>
      <c r="E1214" s="1" t="n">
        <v>46319</v>
      </c>
      <c r="F1214" t="inlineStr">
        <is>
          <t>DALARNAS LÄN</t>
        </is>
      </c>
      <c r="G1214" t="inlineStr">
        <is>
          <t>FALUN</t>
        </is>
      </c>
      <c r="I1214" t="n">
        <v>8.800000000000001</v>
      </c>
      <c r="J1214" t="n">
        <v>0</v>
      </c>
      <c r="K1214" t="n">
        <v>0</v>
      </c>
      <c r="L1214" t="n">
        <v>0</v>
      </c>
      <c r="M1214" t="n">
        <v>1</v>
      </c>
      <c r="N1214" t="n">
        <v>0</v>
      </c>
      <c r="O1214" t="n">
        <v>0</v>
      </c>
      <c r="P1214" t="n">
        <v>0</v>
      </c>
      <c r="Q1214" t="n">
        <v>1</v>
      </c>
      <c r="R1214" t="n">
        <v>1</v>
      </c>
      <c r="S1214" t="n">
        <v>1</v>
      </c>
      <c r="T1214" t="n">
        <v>1</v>
      </c>
      <c r="U1214" t="n">
        <v>0</v>
      </c>
      <c r="V1214" s="2" t="inlineStr">
        <is>
          <t>Garnlav</t>
        </is>
      </c>
      <c r="W1214">
        <f>HYPERLINK("https://klasma.github.io/Logging_2080/artfynd/A 28096-2026 artfynd.xlsx", "A 28096-2026")</f>
        <v/>
      </c>
      <c r="X1214">
        <f>HYPERLINK("https://klasma.github.io/Logging_2080/kartor/A 28096-2026 karta.png", "A 28096-2026")</f>
        <v/>
      </c>
      <c r="Y1214">
        <f>HYPERLINK("https://klasma.github.io/Logging_2080/kartor_geotiff/A 28096-2026 georefererad karta.tif", "A 28096-2026")</f>
        <v/>
      </c>
      <c r="AA1214">
        <f>HYPERLINK("https://klasma.github.io/Logging_2080/klagomål/A 28096-2026 FSC-klagomål.docx", "A 28096-2026")</f>
        <v/>
      </c>
      <c r="AB1214">
        <f>HYPERLINK("https://klasma.github.io/Logging_2080/klagomålsmail/A 28096-2026 FSC-klagomål mail.docx", "A 28096-2026")</f>
        <v/>
      </c>
      <c r="AC1214">
        <f>HYPERLINK("https://klasma.github.io/Logging_2080/tillsyn/A 28096-2026 tillsynsbegäran.docx", "A 28096-2026")</f>
        <v/>
      </c>
      <c r="AD1214">
        <f>HYPERLINK("https://klasma.github.io/Logging_2080/tillsynsmail/A 28096-2026 tillsynsbegäran mail.docx", "A 28096-2026")</f>
        <v/>
      </c>
    </row>
    <row r="1215" ht="15" customHeight="1">
      <c r="A1215" t="inlineStr">
        <is>
          <t>A 28190-2026</t>
        </is>
      </c>
      <c r="B1215" t="inlineStr">
        <is>
          <t>avverkningsanmälan</t>
        </is>
      </c>
      <c r="C1215" t="inlineStr">
        <is>
          <t>Föryngringsavverkning</t>
        </is>
      </c>
      <c r="D1215" s="1" t="n">
        <v>46195</v>
      </c>
      <c r="E1215" s="1" t="n">
        <v>46319</v>
      </c>
      <c r="F1215" t="inlineStr">
        <is>
          <t>DALARNAS LÄN</t>
        </is>
      </c>
      <c r="G1215" t="inlineStr">
        <is>
          <t>GAGNEF</t>
        </is>
      </c>
      <c r="I1215" t="n">
        <v>3.5</v>
      </c>
      <c r="J1215" t="n">
        <v>1</v>
      </c>
      <c r="K1215" t="n">
        <v>0</v>
      </c>
      <c r="L1215" t="n">
        <v>0</v>
      </c>
      <c r="M1215" t="n">
        <v>0</v>
      </c>
      <c r="N1215" t="n">
        <v>0</v>
      </c>
      <c r="O1215" t="n">
        <v>0</v>
      </c>
      <c r="P1215" t="n">
        <v>0</v>
      </c>
      <c r="Q1215" t="n">
        <v>0</v>
      </c>
      <c r="R1215" t="n">
        <v>0</v>
      </c>
      <c r="S1215" t="n">
        <v>1</v>
      </c>
      <c r="T1215" t="n">
        <v>1</v>
      </c>
      <c r="U1215" t="n">
        <v>1</v>
      </c>
      <c r="V1215" s="2" t="inlineStr">
        <is>
          <t>Spillkråka</t>
        </is>
      </c>
      <c r="W1215">
        <f>HYPERLINK("https://klasma.github.io/Logging_2026/artfynd/A 28190-2026 artfynd.xlsx", "A 28190-2026")</f>
        <v/>
      </c>
      <c r="X1215">
        <f>HYPERLINK("https://klasma.github.io/Logging_2026/kartor/A 28190-2026 karta.png", "A 28190-2026")</f>
        <v/>
      </c>
      <c r="Y1215">
        <f>HYPERLINK("https://klasma.github.io/Logging_2026/kartor_geotiff/A 28190-2026 georefererad karta.tif", "A 28190-2026")</f>
        <v/>
      </c>
      <c r="AA1215">
        <f>HYPERLINK("https://klasma.github.io/Logging_2026/klagomål/A 28190-2026 FSC-klagomål.docx", "A 28190-2026")</f>
        <v/>
      </c>
      <c r="AB1215">
        <f>HYPERLINK("https://klasma.github.io/Logging_2026/klagomålsmail/A 28190-2026 FSC-klagomål mail.docx", "A 28190-2026")</f>
        <v/>
      </c>
      <c r="AC1215">
        <f>HYPERLINK("https://klasma.github.io/Logging_2026/tillsyn/A 28190-2026 tillsynsbegäran.docx", "A 28190-2026")</f>
        <v/>
      </c>
      <c r="AD1215">
        <f>HYPERLINK("https://klasma.github.io/Logging_2026/tillsynsmail/A 28190-2026 tillsynsbegäran mail.docx", "A 28190-2026")</f>
        <v/>
      </c>
      <c r="AE1215">
        <f>HYPERLINK("https://klasma.github.io/Logging_2026/fåglar/A 28190-2026 prioriterade fågelarter.docx", "A 28190-2026")</f>
        <v/>
      </c>
    </row>
    <row r="1216" ht="15" customHeight="1">
      <c r="A1216" t="inlineStr">
        <is>
          <t>A 55474-2025</t>
        </is>
      </c>
      <c r="B1216" t="inlineStr">
        <is>
          <t>avverkningsanmälan</t>
        </is>
      </c>
      <c r="C1216" t="inlineStr">
        <is>
          <t>Föryngringsavverkning</t>
        </is>
      </c>
      <c r="D1216" s="1" t="n">
        <v>45971</v>
      </c>
      <c r="E1216" s="1" t="n">
        <v>46319</v>
      </c>
      <c r="F1216" t="inlineStr">
        <is>
          <t>DALARNAS LÄN</t>
        </is>
      </c>
      <c r="G1216" t="inlineStr">
        <is>
          <t>MALUNG-SÄLEN</t>
        </is>
      </c>
      <c r="H1216" t="inlineStr">
        <is>
          <t>Allmännings- och besparingsskogar</t>
        </is>
      </c>
      <c r="I1216" t="n">
        <v>35.8</v>
      </c>
      <c r="J1216" t="n">
        <v>1</v>
      </c>
      <c r="K1216" t="n">
        <v>0</v>
      </c>
      <c r="L1216" t="n">
        <v>0</v>
      </c>
      <c r="M1216" t="n">
        <v>0</v>
      </c>
      <c r="N1216" t="n">
        <v>1</v>
      </c>
      <c r="O1216" t="n">
        <v>0</v>
      </c>
      <c r="P1216" t="n">
        <v>0</v>
      </c>
      <c r="Q1216" t="n">
        <v>1</v>
      </c>
      <c r="R1216" t="n">
        <v>1</v>
      </c>
      <c r="S1216" t="n">
        <v>1</v>
      </c>
      <c r="T1216" t="n">
        <v>1</v>
      </c>
      <c r="U1216" t="n">
        <v>0</v>
      </c>
      <c r="V1216" s="2" t="inlineStr">
        <is>
          <t>Mosippa</t>
        </is>
      </c>
      <c r="W1216">
        <f>HYPERLINK("https://klasma.github.io/Logging_2023/artfynd/A 55474-2025 artfynd.xlsx", "A 55474-2025")</f>
        <v/>
      </c>
      <c r="X1216">
        <f>HYPERLINK("https://klasma.github.io/Logging_2023/kartor/A 55474-2025 karta.png", "A 55474-2025")</f>
        <v/>
      </c>
      <c r="Y1216">
        <f>HYPERLINK("https://klasma.github.io/Logging_2023/kartor_geotiff/A 55474-2025 georefererad karta.tif", "A 55474-2025")</f>
        <v/>
      </c>
      <c r="AA1216">
        <f>HYPERLINK("https://klasma.github.io/Logging_2023/klagomål/A 55474-2025 FSC-klagomål.docx", "A 55474-2025")</f>
        <v/>
      </c>
      <c r="AB1216">
        <f>HYPERLINK("https://klasma.github.io/Logging_2023/klagomålsmail/A 55474-2025 FSC-klagomål mail.docx", "A 55474-2025")</f>
        <v/>
      </c>
      <c r="AC1216">
        <f>HYPERLINK("https://klasma.github.io/Logging_2023/tillsyn/A 55474-2025 tillsynsbegäran.docx", "A 55474-2025")</f>
        <v/>
      </c>
      <c r="AD1216">
        <f>HYPERLINK("https://klasma.github.io/Logging_2023/tillsynsmail/A 55474-2025 tillsynsbegäran mail.docx", "A 55474-2025")</f>
        <v/>
      </c>
    </row>
    <row r="1217" ht="15" customHeight="1">
      <c r="A1217" t="inlineStr">
        <is>
          <t>A 28191-2026</t>
        </is>
      </c>
      <c r="B1217" t="inlineStr">
        <is>
          <t>avverkningsanmälan</t>
        </is>
      </c>
      <c r="C1217" t="inlineStr">
        <is>
          <t>Föryngringsavverkning</t>
        </is>
      </c>
      <c r="D1217" s="1" t="n">
        <v>46195</v>
      </c>
      <c r="E1217" s="1" t="n">
        <v>46319</v>
      </c>
      <c r="F1217" t="inlineStr">
        <is>
          <t>DALARNAS LÄN</t>
        </is>
      </c>
      <c r="G1217" t="inlineStr">
        <is>
          <t>GAGNEF</t>
        </is>
      </c>
      <c r="I1217" t="n">
        <v>3.8</v>
      </c>
      <c r="J1217" t="n">
        <v>1</v>
      </c>
      <c r="K1217" t="n">
        <v>0</v>
      </c>
      <c r="L1217" t="n">
        <v>0</v>
      </c>
      <c r="M1217" t="n">
        <v>0</v>
      </c>
      <c r="N1217" t="n">
        <v>0</v>
      </c>
      <c r="O1217" t="n">
        <v>0</v>
      </c>
      <c r="P1217" t="n">
        <v>0</v>
      </c>
      <c r="Q1217" t="n">
        <v>0</v>
      </c>
      <c r="R1217" t="n">
        <v>0</v>
      </c>
      <c r="S1217" t="n">
        <v>1</v>
      </c>
      <c r="T1217" t="n">
        <v>1</v>
      </c>
      <c r="U1217" t="n">
        <v>1</v>
      </c>
      <c r="V1217" s="2" t="inlineStr">
        <is>
          <t>Spillkråka</t>
        </is>
      </c>
      <c r="W1217">
        <f>HYPERLINK("https://klasma.github.io/Logging_2026/artfynd/A 28191-2026 artfynd.xlsx", "A 28191-2026")</f>
        <v/>
      </c>
      <c r="X1217">
        <f>HYPERLINK("https://klasma.github.io/Logging_2026/kartor/A 28191-2026 karta.png", "A 28191-2026")</f>
        <v/>
      </c>
      <c r="Y1217">
        <f>HYPERLINK("https://klasma.github.io/Logging_2026/kartor_geotiff/A 28191-2026 georefererad karta.tif", "A 28191-2026")</f>
        <v/>
      </c>
      <c r="AA1217">
        <f>HYPERLINK("https://klasma.github.io/Logging_2026/klagomål/A 28191-2026 FSC-klagomål.docx", "A 28191-2026")</f>
        <v/>
      </c>
      <c r="AB1217">
        <f>HYPERLINK("https://klasma.github.io/Logging_2026/klagomålsmail/A 28191-2026 FSC-klagomål mail.docx", "A 28191-2026")</f>
        <v/>
      </c>
      <c r="AC1217">
        <f>HYPERLINK("https://klasma.github.io/Logging_2026/tillsyn/A 28191-2026 tillsynsbegäran.docx", "A 28191-2026")</f>
        <v/>
      </c>
      <c r="AD1217">
        <f>HYPERLINK("https://klasma.github.io/Logging_2026/tillsynsmail/A 28191-2026 tillsynsbegäran mail.docx", "A 28191-2026")</f>
        <v/>
      </c>
      <c r="AE1217">
        <f>HYPERLINK("https://klasma.github.io/Logging_2026/fåglar/A 28191-2026 prioriterade fågelarter.docx", "A 28191-2026")</f>
        <v/>
      </c>
    </row>
    <row r="1218" ht="15" customHeight="1">
      <c r="A1218" t="inlineStr">
        <is>
          <t>A 55321-2025</t>
        </is>
      </c>
      <c r="B1218" t="inlineStr">
        <is>
          <t>avverkningsanmälan</t>
        </is>
      </c>
      <c r="C1218" t="inlineStr">
        <is>
          <t>Föryngringsavverkning</t>
        </is>
      </c>
      <c r="D1218" s="1" t="n">
        <v>45971</v>
      </c>
      <c r="E1218" s="1" t="n">
        <v>46319</v>
      </c>
      <c r="F1218" t="inlineStr">
        <is>
          <t>DALARNAS LÄN</t>
        </is>
      </c>
      <c r="G1218" t="inlineStr">
        <is>
          <t>RÄTTVIK</t>
        </is>
      </c>
      <c r="I1218" t="n">
        <v>1.1</v>
      </c>
      <c r="J1218" t="n">
        <v>1</v>
      </c>
      <c r="K1218" t="n">
        <v>0</v>
      </c>
      <c r="L1218" t="n">
        <v>0</v>
      </c>
      <c r="M1218" t="n">
        <v>0</v>
      </c>
      <c r="N1218" t="n">
        <v>0</v>
      </c>
      <c r="O1218" t="n">
        <v>0</v>
      </c>
      <c r="P1218" t="n">
        <v>0</v>
      </c>
      <c r="Q1218" t="n">
        <v>0</v>
      </c>
      <c r="R1218" t="n">
        <v>0</v>
      </c>
      <c r="S1218" t="n">
        <v>1</v>
      </c>
      <c r="T1218" t="n">
        <v>1</v>
      </c>
      <c r="U1218" t="n">
        <v>1</v>
      </c>
      <c r="V1218" s="2" t="inlineStr">
        <is>
          <t>Nattviol</t>
        </is>
      </c>
      <c r="W1218">
        <f>HYPERLINK("https://klasma.github.io/Logging_2031/artfynd/A 55321-2025 artfynd.xlsx", "A 55321-2025")</f>
        <v/>
      </c>
      <c r="X1218">
        <f>HYPERLINK("https://klasma.github.io/Logging_2031/kartor/A 55321-2025 karta.png", "A 55321-2025")</f>
        <v/>
      </c>
      <c r="Y1218">
        <f>HYPERLINK("https://klasma.github.io/Logging_2031/kartor_geotiff/A 55321-2025 georefererad karta.tif", "A 55321-2025")</f>
        <v/>
      </c>
      <c r="AA1218">
        <f>HYPERLINK("https://klasma.github.io/Logging_2031/klagomål/A 55321-2025 FSC-klagomål.docx", "A 55321-2025")</f>
        <v/>
      </c>
      <c r="AB1218">
        <f>HYPERLINK("https://klasma.github.io/Logging_2031/klagomålsmail/A 55321-2025 FSC-klagomål mail.docx", "A 55321-2025")</f>
        <v/>
      </c>
      <c r="AC1218">
        <f>HYPERLINK("https://klasma.github.io/Logging_2031/tillsyn/A 55321-2025 tillsynsbegäran.docx", "A 55321-2025")</f>
        <v/>
      </c>
      <c r="AD1218">
        <f>HYPERLINK("https://klasma.github.io/Logging_2031/tillsynsmail/A 55321-2025 tillsynsbegäran mail.docx", "A 55321-2025")</f>
        <v/>
      </c>
    </row>
    <row r="1219" ht="15" customHeight="1">
      <c r="A1219" t="inlineStr">
        <is>
          <t>A 19727-2026</t>
        </is>
      </c>
      <c r="B1219" t="inlineStr">
        <is>
          <t>avverkningsanmälan</t>
        </is>
      </c>
      <c r="C1219" t="inlineStr">
        <is>
          <t>Föryngringsavverkning</t>
        </is>
      </c>
      <c r="D1219" s="1" t="n">
        <v>46135</v>
      </c>
      <c r="E1219" s="1" t="n">
        <v>46319</v>
      </c>
      <c r="F1219" t="inlineStr">
        <is>
          <t>DALARNAS LÄN</t>
        </is>
      </c>
      <c r="G1219" t="inlineStr">
        <is>
          <t>FALUN</t>
        </is>
      </c>
      <c r="H1219" t="inlineStr">
        <is>
          <t>Bergvik skog väst AB</t>
        </is>
      </c>
      <c r="I1219" t="n">
        <v>24.3</v>
      </c>
      <c r="J1219" t="n">
        <v>0</v>
      </c>
      <c r="K1219" t="n">
        <v>0</v>
      </c>
      <c r="L1219" t="n">
        <v>0</v>
      </c>
      <c r="M1219" t="n">
        <v>0</v>
      </c>
      <c r="N1219" t="n">
        <v>1</v>
      </c>
      <c r="O1219" t="n">
        <v>0</v>
      </c>
      <c r="P1219" t="n">
        <v>0</v>
      </c>
      <c r="Q1219" t="n">
        <v>1</v>
      </c>
      <c r="R1219" t="n">
        <v>1</v>
      </c>
      <c r="S1219" t="n">
        <v>1</v>
      </c>
      <c r="T1219" t="n">
        <v>1</v>
      </c>
      <c r="U1219" t="n">
        <v>0</v>
      </c>
      <c r="V1219" s="2" t="inlineStr">
        <is>
          <t>Flodpärlmussla</t>
        </is>
      </c>
      <c r="W1219">
        <f>HYPERLINK("https://klasma.github.io/Logging_2080/artfynd/A 19727-2026 artfynd.xlsx", "A 19727-2026")</f>
        <v/>
      </c>
      <c r="X1219">
        <f>HYPERLINK("https://klasma.github.io/Logging_2080/kartor/A 19727-2026 karta.png", "A 19727-2026")</f>
        <v/>
      </c>
      <c r="Y1219">
        <f>HYPERLINK("https://klasma.github.io/Logging_2080/kartor_geotiff/A 19727-2026 georefererad karta.tif", "A 19727-2026")</f>
        <v/>
      </c>
      <c r="AA1219">
        <f>HYPERLINK("https://klasma.github.io/Logging_2080/klagomål/A 19727-2026 FSC-klagomål.docx", "A 19727-2026")</f>
        <v/>
      </c>
      <c r="AB1219">
        <f>HYPERLINK("https://klasma.github.io/Logging_2080/klagomålsmail/A 19727-2026 FSC-klagomål mail.docx", "A 19727-2026")</f>
        <v/>
      </c>
      <c r="AC1219">
        <f>HYPERLINK("https://klasma.github.io/Logging_2080/tillsyn/A 19727-2026 tillsynsbegäran.docx", "A 19727-2026")</f>
        <v/>
      </c>
      <c r="AD1219">
        <f>HYPERLINK("https://klasma.github.io/Logging_2080/tillsynsmail/A 19727-2026 tillsynsbegäran mail.docx", "A 19727-2026")</f>
        <v/>
      </c>
    </row>
    <row r="1220" ht="15" customHeight="1">
      <c r="A1220" t="inlineStr">
        <is>
          <t>A 37471-2024</t>
        </is>
      </c>
      <c r="B1220" t="inlineStr">
        <is>
          <t>avverkningsanmälan</t>
        </is>
      </c>
      <c r="C1220" t="inlineStr">
        <is>
          <t>Föryngringsavverkning</t>
        </is>
      </c>
      <c r="D1220" s="1" t="n">
        <v>45540</v>
      </c>
      <c r="E1220" s="1" t="n">
        <v>46319</v>
      </c>
      <c r="F1220" t="inlineStr">
        <is>
          <t>DALARNAS LÄN</t>
        </is>
      </c>
      <c r="G1220" t="inlineStr">
        <is>
          <t>MORA</t>
        </is>
      </c>
      <c r="I1220" t="n">
        <v>3.5</v>
      </c>
      <c r="J1220" t="n">
        <v>1</v>
      </c>
      <c r="K1220" t="n">
        <v>0</v>
      </c>
      <c r="L1220" t="n">
        <v>1</v>
      </c>
      <c r="M1220" t="n">
        <v>0</v>
      </c>
      <c r="N1220" t="n">
        <v>0</v>
      </c>
      <c r="O1220" t="n">
        <v>0</v>
      </c>
      <c r="P1220" t="n">
        <v>0</v>
      </c>
      <c r="Q1220" t="n">
        <v>1</v>
      </c>
      <c r="R1220" t="n">
        <v>0</v>
      </c>
      <c r="S1220" t="n">
        <v>1</v>
      </c>
      <c r="T1220" t="n">
        <v>1</v>
      </c>
      <c r="U1220" t="n">
        <v>1</v>
      </c>
      <c r="V1220" s="2" t="inlineStr">
        <is>
          <t>Talltita</t>
        </is>
      </c>
      <c r="W1220">
        <f>HYPERLINK("https://klasma.github.io/Logging_2062/artfynd/A 37471-2024 artfynd.xlsx", "A 37471-2024")</f>
        <v/>
      </c>
      <c r="X1220">
        <f>HYPERLINK("https://klasma.github.io/Logging_2062/kartor/A 37471-2024 karta.png", "A 37471-2024")</f>
        <v/>
      </c>
      <c r="Y1220">
        <f>HYPERLINK("https://klasma.github.io/Logging_2062/kartor_geotiff/A 37471-2024 georefererad karta.tif", "A 37471-2024")</f>
        <v/>
      </c>
      <c r="AA1220">
        <f>HYPERLINK("https://klasma.github.io/Logging_2062/klagomål/A 37471-2024 FSC-klagomål.docx", "A 37471-2024")</f>
        <v/>
      </c>
      <c r="AB1220">
        <f>HYPERLINK("https://klasma.github.io/Logging_2062/klagomålsmail/A 37471-2024 FSC-klagomål mail.docx", "A 37471-2024")</f>
        <v/>
      </c>
      <c r="AC1220">
        <f>HYPERLINK("https://klasma.github.io/Logging_2062/tillsyn/A 37471-2024 tillsynsbegäran.docx", "A 37471-2024")</f>
        <v/>
      </c>
      <c r="AD1220">
        <f>HYPERLINK("https://klasma.github.io/Logging_2062/tillsynsmail/A 37471-2024 tillsynsbegäran mail.docx", "A 37471-2024")</f>
        <v/>
      </c>
      <c r="AE1220">
        <f>HYPERLINK("https://klasma.github.io/Logging_2062/fåglar/A 37471-2024 prioriterade fågelarter.docx", "A 37471-2024")</f>
        <v/>
      </c>
    </row>
    <row r="1221" ht="15" customHeight="1">
      <c r="A1221" t="inlineStr">
        <is>
          <t>A 22539-2026</t>
        </is>
      </c>
      <c r="B1221" t="inlineStr">
        <is>
          <t>avverkningsanmälan</t>
        </is>
      </c>
      <c r="C1221" t="inlineStr">
        <is>
          <t>Föryngringsavverkning</t>
        </is>
      </c>
      <c r="D1221" s="1" t="n">
        <v>46155</v>
      </c>
      <c r="E1221" s="1" t="n">
        <v>46319</v>
      </c>
      <c r="F1221" t="inlineStr">
        <is>
          <t>DALARNAS LÄN</t>
        </is>
      </c>
      <c r="G1221" t="inlineStr">
        <is>
          <t>LEKSAND</t>
        </is>
      </c>
      <c r="H1221" t="inlineStr">
        <is>
          <t>Bergvik skog väst AB</t>
        </is>
      </c>
      <c r="I1221" t="n">
        <v>2</v>
      </c>
      <c r="J1221" t="n">
        <v>1</v>
      </c>
      <c r="K1221" t="n">
        <v>0</v>
      </c>
      <c r="L1221" t="n">
        <v>0</v>
      </c>
      <c r="M1221" t="n">
        <v>1</v>
      </c>
      <c r="N1221" t="n">
        <v>0</v>
      </c>
      <c r="O1221" t="n">
        <v>0</v>
      </c>
      <c r="P1221" t="n">
        <v>0</v>
      </c>
      <c r="Q1221" t="n">
        <v>1</v>
      </c>
      <c r="R1221" t="n">
        <v>1</v>
      </c>
      <c r="S1221" t="n">
        <v>1</v>
      </c>
      <c r="T1221" t="n">
        <v>1</v>
      </c>
      <c r="U1221" t="n">
        <v>1</v>
      </c>
      <c r="V1221" s="2" t="inlineStr">
        <is>
          <t>Knärot</t>
        </is>
      </c>
      <c r="W1221">
        <f>HYPERLINK("https://klasma.github.io/Logging_2029/artfynd/A 22539-2026 artfynd.xlsx", "A 22539-2026")</f>
        <v/>
      </c>
      <c r="X1221">
        <f>HYPERLINK("https://klasma.github.io/Logging_2029/kartor/A 22539-2026 karta.png", "A 22539-2026")</f>
        <v/>
      </c>
      <c r="Y1221">
        <f>HYPERLINK("https://klasma.github.io/Logging_2029/kartor_geotiff/A 22539-2026 georefererad karta.tif", "A 22539-2026")</f>
        <v/>
      </c>
      <c r="Z1221">
        <f>HYPERLINK("https://klasma.github.io/Logging_2029/knärot/A 22539-2026 karta knärot.png", "A 22539-2026")</f>
        <v/>
      </c>
      <c r="AA1221">
        <f>HYPERLINK("https://klasma.github.io/Logging_2029/klagomål/A 22539-2026 FSC-klagomål.docx", "A 22539-2026")</f>
        <v/>
      </c>
      <c r="AB1221">
        <f>HYPERLINK("https://klasma.github.io/Logging_2029/klagomålsmail/A 22539-2026 FSC-klagomål mail.docx", "A 22539-2026")</f>
        <v/>
      </c>
      <c r="AC1221">
        <f>HYPERLINK("https://klasma.github.io/Logging_2029/tillsyn/A 22539-2026 tillsynsbegäran.docx", "A 22539-2026")</f>
        <v/>
      </c>
      <c r="AD1221">
        <f>HYPERLINK("https://klasma.github.io/Logging_2029/tillsynsmail/A 22539-2026 tillsynsbegäran mail.docx", "A 22539-2026")</f>
        <v/>
      </c>
    </row>
    <row r="1222" ht="15" customHeight="1">
      <c r="A1222" t="inlineStr">
        <is>
          <t>A 23553-2025</t>
        </is>
      </c>
      <c r="B1222" t="inlineStr">
        <is>
          <t>avverkningsanmälan</t>
        </is>
      </c>
      <c r="C1222" t="inlineStr">
        <is>
          <t>Föryngringsavverkning</t>
        </is>
      </c>
      <c r="D1222" s="1" t="n">
        <v>45792</v>
      </c>
      <c r="E1222" s="1" t="n">
        <v>46319</v>
      </c>
      <c r="F1222" t="inlineStr">
        <is>
          <t>DALARNAS LÄN</t>
        </is>
      </c>
      <c r="G1222" t="inlineStr">
        <is>
          <t>ÄLVDALEN</t>
        </is>
      </c>
      <c r="I1222" t="n">
        <v>41.4</v>
      </c>
      <c r="J1222" t="n">
        <v>0</v>
      </c>
      <c r="K1222" t="n">
        <v>0</v>
      </c>
      <c r="L1222" t="n">
        <v>1</v>
      </c>
      <c r="M1222" t="n">
        <v>0</v>
      </c>
      <c r="N1222" t="n">
        <v>0</v>
      </c>
      <c r="O1222" t="n">
        <v>0</v>
      </c>
      <c r="P1222" t="n">
        <v>0</v>
      </c>
      <c r="Q1222" t="n">
        <v>1</v>
      </c>
      <c r="R1222" t="n">
        <v>0</v>
      </c>
      <c r="S1222" t="n">
        <v>1</v>
      </c>
      <c r="T1222" t="n">
        <v>1</v>
      </c>
      <c r="U1222" t="n">
        <v>0</v>
      </c>
      <c r="V1222" s="2" t="inlineStr">
        <is>
          <t>Motaggsvamp</t>
        </is>
      </c>
      <c r="W1222">
        <f>HYPERLINK("https://klasma.github.io/Logging_2039/artfynd/A 23553-2025 artfynd.xlsx", "A 23553-2025")</f>
        <v/>
      </c>
      <c r="X1222">
        <f>HYPERLINK("https://klasma.github.io/Logging_2039/kartor/A 23553-2025 karta.png", "A 23553-2025")</f>
        <v/>
      </c>
      <c r="Y1222">
        <f>HYPERLINK("https://klasma.github.io/Logging_2039/kartor_geotiff/A 23553-2025 georefererad karta.tif", "A 23553-2025")</f>
        <v/>
      </c>
      <c r="AA1222">
        <f>HYPERLINK("https://klasma.github.io/Logging_2039/klagomål/A 23553-2025 FSC-klagomål.docx", "A 23553-2025")</f>
        <v/>
      </c>
      <c r="AB1222">
        <f>HYPERLINK("https://klasma.github.io/Logging_2039/klagomålsmail/A 23553-2025 FSC-klagomål mail.docx", "A 23553-2025")</f>
        <v/>
      </c>
      <c r="AC1222">
        <f>HYPERLINK("https://klasma.github.io/Logging_2039/tillsyn/A 23553-2025 tillsynsbegäran.docx", "A 23553-2025")</f>
        <v/>
      </c>
      <c r="AD1222">
        <f>HYPERLINK("https://klasma.github.io/Logging_2039/tillsynsmail/A 23553-2025 tillsynsbegäran mail.docx", "A 23553-2025")</f>
        <v/>
      </c>
    </row>
    <row r="1223" ht="15" customHeight="1">
      <c r="A1223" t="inlineStr">
        <is>
          <t>A 1047-2023</t>
        </is>
      </c>
      <c r="B1223" t="inlineStr">
        <is>
          <t>avverkningsanmälan</t>
        </is>
      </c>
      <c r="C1223" t="inlineStr">
        <is>
          <t>Föryngringsavverkning</t>
        </is>
      </c>
      <c r="D1223" s="1" t="n">
        <v>44929</v>
      </c>
      <c r="E1223" s="1" t="n">
        <v>46319</v>
      </c>
      <c r="F1223" t="inlineStr">
        <is>
          <t>DALARNAS LÄN</t>
        </is>
      </c>
      <c r="G1223" t="inlineStr">
        <is>
          <t>LUDVIKA</t>
        </is>
      </c>
      <c r="H1223" t="inlineStr">
        <is>
          <t>Kommuner</t>
        </is>
      </c>
      <c r="I1223" t="n">
        <v>3.2</v>
      </c>
      <c r="J1223" t="n">
        <v>0</v>
      </c>
      <c r="K1223" t="n">
        <v>0</v>
      </c>
      <c r="L1223" t="n">
        <v>1</v>
      </c>
      <c r="M1223" t="n">
        <v>0</v>
      </c>
      <c r="N1223" t="n">
        <v>0</v>
      </c>
      <c r="O1223" t="n">
        <v>0</v>
      </c>
      <c r="P1223" t="n">
        <v>0</v>
      </c>
      <c r="Q1223" t="n">
        <v>1</v>
      </c>
      <c r="R1223" t="n">
        <v>0</v>
      </c>
      <c r="S1223" t="n">
        <v>1</v>
      </c>
      <c r="T1223" t="n">
        <v>1</v>
      </c>
      <c r="U1223" t="n">
        <v>1</v>
      </c>
      <c r="V1223" s="2" t="inlineStr">
        <is>
          <t>Ullticka</t>
        </is>
      </c>
      <c r="W1223">
        <f>HYPERLINK("https://klasma.github.io/Logging_2085/artfynd/A 1047-2023 artfynd.xlsx", "A 1047-2023")</f>
        <v/>
      </c>
      <c r="X1223">
        <f>HYPERLINK("https://klasma.github.io/Logging_2085/kartor/A 1047-2023 karta.png", "A 1047-2023")</f>
        <v/>
      </c>
      <c r="Y1223">
        <f>HYPERLINK("https://klasma.github.io/Logging_2085/kartor_geotiff/A 1047-2023 georefererad karta.tif", "A 1047-2023")</f>
        <v/>
      </c>
      <c r="AA1223">
        <f>HYPERLINK("https://klasma.github.io/Logging_2085/klagomål/A 1047-2023 FSC-klagomål.docx", "A 1047-2023")</f>
        <v/>
      </c>
      <c r="AB1223">
        <f>HYPERLINK("https://klasma.github.io/Logging_2085/klagomålsmail/A 1047-2023 FSC-klagomål mail.docx", "A 1047-2023")</f>
        <v/>
      </c>
      <c r="AC1223">
        <f>HYPERLINK("https://klasma.github.io/Logging_2085/tillsyn/A 1047-2023 tillsynsbegäran.docx", "A 1047-2023")</f>
        <v/>
      </c>
      <c r="AD1223">
        <f>HYPERLINK("https://klasma.github.io/Logging_2085/tillsynsmail/A 1047-2023 tillsynsbegäran mail.docx", "A 1047-2023")</f>
        <v/>
      </c>
    </row>
    <row r="1224" ht="15" customHeight="1">
      <c r="A1224" t="inlineStr">
        <is>
          <t>A 11364-2025</t>
        </is>
      </c>
      <c r="B1224" t="inlineStr">
        <is>
          <t>avverkningsanmälan</t>
        </is>
      </c>
      <c r="C1224" t="inlineStr">
        <is>
          <t>Föryngringsavverkning</t>
        </is>
      </c>
      <c r="D1224" s="1" t="n">
        <v>45726</v>
      </c>
      <c r="E1224" s="1" t="n">
        <v>46319</v>
      </c>
      <c r="F1224" t="inlineStr">
        <is>
          <t>DALARNAS LÄN</t>
        </is>
      </c>
      <c r="G1224" t="inlineStr">
        <is>
          <t>SMEDJEBACKEN</t>
        </is>
      </c>
      <c r="H1224" t="inlineStr">
        <is>
          <t>Bergvik skog väst AB</t>
        </is>
      </c>
      <c r="I1224" t="n">
        <v>3.5</v>
      </c>
      <c r="J1224" t="n">
        <v>1</v>
      </c>
      <c r="K1224" t="n">
        <v>0</v>
      </c>
      <c r="L1224" t="n">
        <v>0</v>
      </c>
      <c r="M1224" t="n">
        <v>0</v>
      </c>
      <c r="N1224" t="n">
        <v>0</v>
      </c>
      <c r="O1224" t="n">
        <v>0</v>
      </c>
      <c r="P1224" t="n">
        <v>0</v>
      </c>
      <c r="Q1224" t="n">
        <v>0</v>
      </c>
      <c r="R1224" t="n">
        <v>0</v>
      </c>
      <c r="S1224" t="n">
        <v>1</v>
      </c>
      <c r="T1224" t="n">
        <v>1</v>
      </c>
      <c r="U1224" t="n">
        <v>1</v>
      </c>
      <c r="V1224" s="2" t="inlineStr">
        <is>
          <t>Blåsippa</t>
        </is>
      </c>
      <c r="W1224">
        <f>HYPERLINK("https://klasma.github.io/Logging_2061/artfynd/A 11364-2025 artfynd.xlsx", "A 11364-2025")</f>
        <v/>
      </c>
      <c r="X1224">
        <f>HYPERLINK("https://klasma.github.io/Logging_2061/kartor/A 11364-2025 karta.png", "A 11364-2025")</f>
        <v/>
      </c>
      <c r="Y1224">
        <f>HYPERLINK("https://klasma.github.io/Logging_2061/kartor_geotiff/A 11364-2025 georefererad karta.tif", "A 11364-2025")</f>
        <v/>
      </c>
      <c r="AA1224">
        <f>HYPERLINK("https://klasma.github.io/Logging_2061/klagomål/A 11364-2025 FSC-klagomål.docx", "A 11364-2025")</f>
        <v/>
      </c>
      <c r="AB1224">
        <f>HYPERLINK("https://klasma.github.io/Logging_2061/klagomålsmail/A 11364-2025 FSC-klagomål mail.docx", "A 11364-2025")</f>
        <v/>
      </c>
      <c r="AC1224">
        <f>HYPERLINK("https://klasma.github.io/Logging_2061/tillsyn/A 11364-2025 tillsynsbegäran.docx", "A 11364-2025")</f>
        <v/>
      </c>
      <c r="AD1224">
        <f>HYPERLINK("https://klasma.github.io/Logging_2061/tillsynsmail/A 11364-2025 tillsynsbegäran mail.docx", "A 11364-2025")</f>
        <v/>
      </c>
    </row>
    <row r="1225" ht="15" customHeight="1">
      <c r="A1225" t="inlineStr">
        <is>
          <t>A 15120-2023</t>
        </is>
      </c>
      <c r="B1225" t="inlineStr">
        <is>
          <t>avverkningsanmälan</t>
        </is>
      </c>
      <c r="C1225" t="inlineStr">
        <is>
          <t>Föryngringsavverkning</t>
        </is>
      </c>
      <c r="D1225" s="1" t="n">
        <v>45016</v>
      </c>
      <c r="E1225" s="1" t="n">
        <v>46319</v>
      </c>
      <c r="F1225" t="inlineStr">
        <is>
          <t>DALARNAS LÄN</t>
        </is>
      </c>
      <c r="G1225" t="inlineStr">
        <is>
          <t>LEKSAND</t>
        </is>
      </c>
      <c r="I1225" t="n">
        <v>2.7</v>
      </c>
      <c r="J1225" t="n">
        <v>1</v>
      </c>
      <c r="K1225" t="n">
        <v>0</v>
      </c>
      <c r="L1225" t="n">
        <v>0</v>
      </c>
      <c r="M1225" t="n">
        <v>0</v>
      </c>
      <c r="N1225" t="n">
        <v>0</v>
      </c>
      <c r="O1225" t="n">
        <v>0</v>
      </c>
      <c r="P1225" t="n">
        <v>0</v>
      </c>
      <c r="Q1225" t="n">
        <v>0</v>
      </c>
      <c r="R1225" t="n">
        <v>0</v>
      </c>
      <c r="S1225" t="n">
        <v>1</v>
      </c>
      <c r="T1225" t="n">
        <v>1</v>
      </c>
      <c r="U1225" t="n">
        <v>0</v>
      </c>
      <c r="V1225" s="2" t="inlineStr">
        <is>
          <t>Kungsfågel</t>
        </is>
      </c>
      <c r="W1225">
        <f>HYPERLINK("https://klasma.github.io/Logging_2029/artfynd/A 15120-2023 artfynd.xlsx", "A 15120-2023")</f>
        <v/>
      </c>
      <c r="X1225">
        <f>HYPERLINK("https://klasma.github.io/Logging_2029/kartor/A 15120-2023 karta.png", "A 15120-2023")</f>
        <v/>
      </c>
      <c r="Y1225">
        <f>HYPERLINK("https://klasma.github.io/Logging_2029/kartor_geotiff/A 15120-2023 georefererad karta.tif", "A 15120-2023")</f>
        <v/>
      </c>
      <c r="AA1225">
        <f>HYPERLINK("https://klasma.github.io/Logging_2029/klagomål/A 15120-2023 FSC-klagomål.docx", "A 15120-2023")</f>
        <v/>
      </c>
      <c r="AB1225">
        <f>HYPERLINK("https://klasma.github.io/Logging_2029/klagomålsmail/A 15120-2023 FSC-klagomål mail.docx", "A 15120-2023")</f>
        <v/>
      </c>
      <c r="AC1225">
        <f>HYPERLINK("https://klasma.github.io/Logging_2029/tillsyn/A 15120-2023 tillsynsbegäran.docx", "A 15120-2023")</f>
        <v/>
      </c>
      <c r="AD1225">
        <f>HYPERLINK("https://klasma.github.io/Logging_2029/tillsynsmail/A 15120-2023 tillsynsbegäran mail.docx", "A 15120-2023")</f>
        <v/>
      </c>
    </row>
    <row r="1226" ht="15" customHeight="1">
      <c r="A1226" t="inlineStr">
        <is>
          <t>A 28890-2026</t>
        </is>
      </c>
      <c r="B1226" t="inlineStr">
        <is>
          <t>avverkningsanmälan</t>
        </is>
      </c>
      <c r="C1226" t="inlineStr">
        <is>
          <t>Föryngringsavverkning</t>
        </is>
      </c>
      <c r="D1226" s="1" t="n">
        <v>46199</v>
      </c>
      <c r="E1226" s="1" t="n">
        <v>46319</v>
      </c>
      <c r="F1226" t="inlineStr">
        <is>
          <t>DALARNAS LÄN</t>
        </is>
      </c>
      <c r="G1226" t="inlineStr">
        <is>
          <t>ORSA</t>
        </is>
      </c>
      <c r="I1226" t="n">
        <v>2.1</v>
      </c>
      <c r="J1226" t="n">
        <v>1</v>
      </c>
      <c r="K1226" t="n">
        <v>0</v>
      </c>
      <c r="L1226" t="n">
        <v>0</v>
      </c>
      <c r="M1226" t="n">
        <v>0</v>
      </c>
      <c r="N1226" t="n">
        <v>0</v>
      </c>
      <c r="O1226" t="n">
        <v>0</v>
      </c>
      <c r="P1226" t="n">
        <v>0</v>
      </c>
      <c r="Q1226" t="n">
        <v>0</v>
      </c>
      <c r="R1226" t="n">
        <v>0</v>
      </c>
      <c r="S1226" t="n">
        <v>1</v>
      </c>
      <c r="T1226" t="n">
        <v>1</v>
      </c>
      <c r="U1226" t="n">
        <v>0</v>
      </c>
      <c r="V1226" s="2" t="inlineStr">
        <is>
          <t>Tjäder</t>
        </is>
      </c>
      <c r="W1226">
        <f>HYPERLINK("https://klasma.github.io/Logging_2034/artfynd/A 28890-2026 artfynd.xlsx", "A 28890-2026")</f>
        <v/>
      </c>
      <c r="X1226">
        <f>HYPERLINK("https://klasma.github.io/Logging_2034/kartor/A 28890-2026 karta.png", "A 28890-2026")</f>
        <v/>
      </c>
      <c r="Y1226">
        <f>HYPERLINK("https://klasma.github.io/Logging_2034/kartor_geotiff/A 28890-2026 georefererad karta.tif", "A 28890-2026")</f>
        <v/>
      </c>
      <c r="AA1226">
        <f>HYPERLINK("https://klasma.github.io/Logging_2034/klagomål/A 28890-2026 FSC-klagomål.docx", "A 28890-2026")</f>
        <v/>
      </c>
      <c r="AB1226">
        <f>HYPERLINK("https://klasma.github.io/Logging_2034/klagomålsmail/A 28890-2026 FSC-klagomål mail.docx", "A 28890-2026")</f>
        <v/>
      </c>
      <c r="AC1226">
        <f>HYPERLINK("https://klasma.github.io/Logging_2034/tillsyn/A 28890-2026 tillsynsbegäran.docx", "A 28890-2026")</f>
        <v/>
      </c>
      <c r="AD1226">
        <f>HYPERLINK("https://klasma.github.io/Logging_2034/tillsynsmail/A 28890-2026 tillsynsbegäran mail.docx", "A 28890-2026")</f>
        <v/>
      </c>
      <c r="AE1226">
        <f>HYPERLINK("https://klasma.github.io/Logging_2034/fåglar/A 28890-2026 prioriterade fågelarter.docx", "A 28890-2026")</f>
        <v/>
      </c>
    </row>
    <row r="1227" ht="15" customHeight="1">
      <c r="A1227" t="inlineStr">
        <is>
          <t>A 56659-2025</t>
        </is>
      </c>
      <c r="B1227" t="inlineStr">
        <is>
          <t>avverkningsanmälan</t>
        </is>
      </c>
      <c r="C1227" t="inlineStr">
        <is>
          <t>Föryngringsavverkning</t>
        </is>
      </c>
      <c r="D1227" s="1" t="n">
        <v>45975</v>
      </c>
      <c r="E1227" s="1" t="n">
        <v>46319</v>
      </c>
      <c r="F1227" t="inlineStr">
        <is>
          <t>DALARNAS LÄN</t>
        </is>
      </c>
      <c r="G1227" t="inlineStr">
        <is>
          <t>SMEDJEBACKEN</t>
        </is>
      </c>
      <c r="I1227" t="n">
        <v>1.7</v>
      </c>
      <c r="J1227" t="n">
        <v>0</v>
      </c>
      <c r="K1227" t="n">
        <v>0</v>
      </c>
      <c r="L1227" t="n">
        <v>1</v>
      </c>
      <c r="M1227" t="n">
        <v>0</v>
      </c>
      <c r="N1227" t="n">
        <v>0</v>
      </c>
      <c r="O1227" t="n">
        <v>0</v>
      </c>
      <c r="P1227" t="n">
        <v>0</v>
      </c>
      <c r="Q1227" t="n">
        <v>1</v>
      </c>
      <c r="R1227" t="n">
        <v>0</v>
      </c>
      <c r="S1227" t="n">
        <v>1</v>
      </c>
      <c r="T1227" t="n">
        <v>1</v>
      </c>
      <c r="U1227" t="n">
        <v>0</v>
      </c>
      <c r="V1227" s="2" t="inlineStr">
        <is>
          <t>Grentaggsvamp</t>
        </is>
      </c>
      <c r="W1227">
        <f>HYPERLINK("https://klasma.github.io/Logging_2061/artfynd/A 56659-2025 artfynd.xlsx", "A 56659-2025")</f>
        <v/>
      </c>
      <c r="X1227">
        <f>HYPERLINK("https://klasma.github.io/Logging_2061/kartor/A 56659-2025 karta.png", "A 56659-2025")</f>
        <v/>
      </c>
      <c r="Y1227">
        <f>HYPERLINK("https://klasma.github.io/Logging_2061/kartor_geotiff/A 56659-2025 georefererad karta.tif", "A 56659-2025")</f>
        <v/>
      </c>
      <c r="AA1227">
        <f>HYPERLINK("https://klasma.github.io/Logging_2061/klagomål/A 56659-2025 FSC-klagomål.docx", "A 56659-2025")</f>
        <v/>
      </c>
      <c r="AB1227">
        <f>HYPERLINK("https://klasma.github.io/Logging_2061/klagomålsmail/A 56659-2025 FSC-klagomål mail.docx", "A 56659-2025")</f>
        <v/>
      </c>
      <c r="AC1227">
        <f>HYPERLINK("https://klasma.github.io/Logging_2061/tillsyn/A 56659-2025 tillsynsbegäran.docx", "A 56659-2025")</f>
        <v/>
      </c>
      <c r="AD1227">
        <f>HYPERLINK("https://klasma.github.io/Logging_2061/tillsynsmail/A 56659-2025 tillsynsbegäran mail.docx", "A 56659-2025")</f>
        <v/>
      </c>
    </row>
    <row r="1228" ht="15" customHeight="1">
      <c r="A1228" t="inlineStr">
        <is>
          <t>A 26787-2026</t>
        </is>
      </c>
      <c r="B1228" t="inlineStr">
        <is>
          <t>avverkningsanmälan</t>
        </is>
      </c>
      <c r="C1228" t="inlineStr">
        <is>
          <t>Avverkning för annat ändamål</t>
        </is>
      </c>
      <c r="D1228" s="1" t="n">
        <v>46183</v>
      </c>
      <c r="E1228" s="1" t="n">
        <v>46319</v>
      </c>
      <c r="F1228" t="inlineStr">
        <is>
          <t>DALARNAS LÄN</t>
        </is>
      </c>
      <c r="G1228" t="inlineStr">
        <is>
          <t>AVESTA</t>
        </is>
      </c>
      <c r="I1228" t="n">
        <v>1.8</v>
      </c>
      <c r="J1228" t="n">
        <v>1</v>
      </c>
      <c r="K1228" t="n">
        <v>0</v>
      </c>
      <c r="L1228" t="n">
        <v>0</v>
      </c>
      <c r="M1228" t="n">
        <v>0</v>
      </c>
      <c r="N1228" t="n">
        <v>0</v>
      </c>
      <c r="O1228" t="n">
        <v>0</v>
      </c>
      <c r="P1228" t="n">
        <v>0</v>
      </c>
      <c r="Q1228" t="n">
        <v>0</v>
      </c>
      <c r="R1228" t="n">
        <v>0</v>
      </c>
      <c r="S1228" t="n">
        <v>1</v>
      </c>
      <c r="T1228" t="n">
        <v>1</v>
      </c>
      <c r="U1228" t="n">
        <v>0</v>
      </c>
      <c r="V1228" s="2" t="inlineStr">
        <is>
          <t>Kungsfågel</t>
        </is>
      </c>
      <c r="W1228">
        <f>HYPERLINK("https://klasma.github.io/Logging_2084/artfynd/A 26787-2026 artfynd.xlsx", "A 26787-2026")</f>
        <v/>
      </c>
      <c r="X1228">
        <f>HYPERLINK("https://klasma.github.io/Logging_2084/kartor/A 26787-2026 karta.png", "A 26787-2026")</f>
        <v/>
      </c>
      <c r="Y1228">
        <f>HYPERLINK("https://klasma.github.io/Logging_2084/kartor_geotiff/A 26787-2026 georefererad karta.tif", "A 26787-2026")</f>
        <v/>
      </c>
      <c r="AA1228">
        <f>HYPERLINK("https://klasma.github.io/Logging_2084/klagomål/A 26787-2026 FSC-klagomål.docx", "A 26787-2026")</f>
        <v/>
      </c>
      <c r="AB1228">
        <f>HYPERLINK("https://klasma.github.io/Logging_2084/klagomålsmail/A 26787-2026 FSC-klagomål mail.docx", "A 26787-2026")</f>
        <v/>
      </c>
      <c r="AC1228">
        <f>HYPERLINK("https://klasma.github.io/Logging_2084/tillsyn/A 26787-2026 tillsynsbegäran.docx", "A 26787-2026")</f>
        <v/>
      </c>
      <c r="AD1228">
        <f>HYPERLINK("https://klasma.github.io/Logging_2084/tillsynsmail/A 26787-2026 tillsynsbegäran mail.docx", "A 26787-2026")</f>
        <v/>
      </c>
    </row>
    <row r="1229" ht="15" customHeight="1">
      <c r="A1229" t="inlineStr">
        <is>
          <t>A 29065-2026</t>
        </is>
      </c>
      <c r="B1229" t="inlineStr">
        <is>
          <t>avverkningsanmälan</t>
        </is>
      </c>
      <c r="C1229" t="inlineStr">
        <is>
          <t>Föryngringsavverkning</t>
        </is>
      </c>
      <c r="D1229" s="1" t="n">
        <v>46199</v>
      </c>
      <c r="E1229" s="1" t="n">
        <v>46319</v>
      </c>
      <c r="F1229" t="inlineStr">
        <is>
          <t>DALARNAS LÄN</t>
        </is>
      </c>
      <c r="G1229" t="inlineStr">
        <is>
          <t>SMEDJEBACKEN</t>
        </is>
      </c>
      <c r="H1229" t="inlineStr">
        <is>
          <t>Sveaskog</t>
        </is>
      </c>
      <c r="I1229" t="n">
        <v>3.4</v>
      </c>
      <c r="J1229" t="n">
        <v>0</v>
      </c>
      <c r="K1229" t="n">
        <v>0</v>
      </c>
      <c r="L1229" t="n">
        <v>1</v>
      </c>
      <c r="M1229" t="n">
        <v>0</v>
      </c>
      <c r="N1229" t="n">
        <v>0</v>
      </c>
      <c r="O1229" t="n">
        <v>0</v>
      </c>
      <c r="P1229" t="n">
        <v>0</v>
      </c>
      <c r="Q1229" t="n">
        <v>1</v>
      </c>
      <c r="R1229" t="n">
        <v>0</v>
      </c>
      <c r="S1229" t="n">
        <v>1</v>
      </c>
      <c r="T1229" t="n">
        <v>1</v>
      </c>
      <c r="U1229" t="n">
        <v>1</v>
      </c>
      <c r="V1229" s="2" t="inlineStr">
        <is>
          <t>Kandelabersvamp</t>
        </is>
      </c>
      <c r="W1229">
        <f>HYPERLINK("https://klasma.github.io/Logging_2061/artfynd/A 29065-2026 artfynd.xlsx", "A 29065-2026")</f>
        <v/>
      </c>
      <c r="X1229">
        <f>HYPERLINK("https://klasma.github.io/Logging_2061/kartor/A 29065-2026 karta.png", "A 29065-2026")</f>
        <v/>
      </c>
      <c r="Y1229">
        <f>HYPERLINK("https://klasma.github.io/Logging_2061/kartor_geotiff/A 29065-2026 georefererad karta.tif", "A 29065-2026")</f>
        <v/>
      </c>
      <c r="AA1229">
        <f>HYPERLINK("https://klasma.github.io/Logging_2061/klagomål/A 29065-2026 FSC-klagomål.docx", "A 29065-2026")</f>
        <v/>
      </c>
      <c r="AB1229">
        <f>HYPERLINK("https://klasma.github.io/Logging_2061/klagomålsmail/A 29065-2026 FSC-klagomål mail.docx", "A 29065-2026")</f>
        <v/>
      </c>
      <c r="AC1229">
        <f>HYPERLINK("https://klasma.github.io/Logging_2061/tillsyn/A 29065-2026 tillsynsbegäran.docx", "A 29065-2026")</f>
        <v/>
      </c>
      <c r="AD1229">
        <f>HYPERLINK("https://klasma.github.io/Logging_2061/tillsynsmail/A 29065-2026 tillsynsbegäran mail.docx", "A 29065-2026")</f>
        <v/>
      </c>
    </row>
    <row r="1230" ht="15" customHeight="1">
      <c r="A1230" t="inlineStr">
        <is>
          <t>A 29070-2026</t>
        </is>
      </c>
      <c r="B1230" t="inlineStr">
        <is>
          <t>avverkningsanmälan</t>
        </is>
      </c>
      <c r="C1230" t="inlineStr">
        <is>
          <t>Föryngringsavverkning</t>
        </is>
      </c>
      <c r="D1230" s="1" t="n">
        <v>46199</v>
      </c>
      <c r="E1230" s="1" t="n">
        <v>46319</v>
      </c>
      <c r="F1230" t="inlineStr">
        <is>
          <t>DALARNAS LÄN</t>
        </is>
      </c>
      <c r="G1230" t="inlineStr">
        <is>
          <t>SMEDJEBACKEN</t>
        </is>
      </c>
      <c r="H1230" t="inlineStr">
        <is>
          <t>Sveaskog</t>
        </is>
      </c>
      <c r="I1230" t="n">
        <v>1.6</v>
      </c>
      <c r="J1230" t="n">
        <v>0</v>
      </c>
      <c r="K1230" t="n">
        <v>0</v>
      </c>
      <c r="L1230" t="n">
        <v>1</v>
      </c>
      <c r="M1230" t="n">
        <v>0</v>
      </c>
      <c r="N1230" t="n">
        <v>0</v>
      </c>
      <c r="O1230" t="n">
        <v>0</v>
      </c>
      <c r="P1230" t="n">
        <v>0</v>
      </c>
      <c r="Q1230" t="n">
        <v>1</v>
      </c>
      <c r="R1230" t="n">
        <v>0</v>
      </c>
      <c r="S1230" t="n">
        <v>1</v>
      </c>
      <c r="T1230" t="n">
        <v>1</v>
      </c>
      <c r="U1230" t="n">
        <v>1</v>
      </c>
      <c r="V1230" s="2" t="inlineStr">
        <is>
          <t>Vit vedfingersvamp</t>
        </is>
      </c>
      <c r="W1230">
        <f>HYPERLINK("https://klasma.github.io/Logging_2061/artfynd/A 29070-2026 artfynd.xlsx", "A 29070-2026")</f>
        <v/>
      </c>
      <c r="X1230">
        <f>HYPERLINK("https://klasma.github.io/Logging_2061/kartor/A 29070-2026 karta.png", "A 29070-2026")</f>
        <v/>
      </c>
      <c r="Y1230">
        <f>HYPERLINK("https://klasma.github.io/Logging_2061/kartor_geotiff/A 29070-2026 georefererad karta.tif", "A 29070-2026")</f>
        <v/>
      </c>
      <c r="AA1230">
        <f>HYPERLINK("https://klasma.github.io/Logging_2061/klagomål/A 29070-2026 FSC-klagomål.docx", "A 29070-2026")</f>
        <v/>
      </c>
      <c r="AB1230">
        <f>HYPERLINK("https://klasma.github.io/Logging_2061/klagomålsmail/A 29070-2026 FSC-klagomål mail.docx", "A 29070-2026")</f>
        <v/>
      </c>
      <c r="AC1230">
        <f>HYPERLINK("https://klasma.github.io/Logging_2061/tillsyn/A 29070-2026 tillsynsbegäran.docx", "A 29070-2026")</f>
        <v/>
      </c>
      <c r="AD1230">
        <f>HYPERLINK("https://klasma.github.io/Logging_2061/tillsynsmail/A 29070-2026 tillsynsbegäran mail.docx", "A 29070-2026")</f>
        <v/>
      </c>
    </row>
    <row r="1231" ht="15" customHeight="1">
      <c r="A1231" t="inlineStr">
        <is>
          <t>A 24957-2024</t>
        </is>
      </c>
      <c r="B1231" t="inlineStr">
        <is>
          <t>avverkningsanmälan</t>
        </is>
      </c>
      <c r="C1231" t="inlineStr">
        <is>
          <t>Föryngringsavverkning</t>
        </is>
      </c>
      <c r="D1231" s="1" t="n">
        <v>45461</v>
      </c>
      <c r="E1231" s="1" t="n">
        <v>46319</v>
      </c>
      <c r="F1231" t="inlineStr">
        <is>
          <t>DALARNAS LÄN</t>
        </is>
      </c>
      <c r="G1231" t="inlineStr">
        <is>
          <t>MALUNG-SÄLEN</t>
        </is>
      </c>
      <c r="I1231" t="n">
        <v>1.4</v>
      </c>
      <c r="J1231" t="n">
        <v>1</v>
      </c>
      <c r="K1231" t="n">
        <v>0</v>
      </c>
      <c r="L1231" t="n">
        <v>1</v>
      </c>
      <c r="M1231" t="n">
        <v>0</v>
      </c>
      <c r="N1231" t="n">
        <v>0</v>
      </c>
      <c r="O1231" t="n">
        <v>0</v>
      </c>
      <c r="P1231" t="n">
        <v>0</v>
      </c>
      <c r="Q1231" t="n">
        <v>1</v>
      </c>
      <c r="R1231" t="n">
        <v>0</v>
      </c>
      <c r="S1231" t="n">
        <v>1</v>
      </c>
      <c r="T1231" t="n">
        <v>1</v>
      </c>
      <c r="U1231" t="n">
        <v>1</v>
      </c>
      <c r="V1231" s="2" t="inlineStr">
        <is>
          <t>Talltita</t>
        </is>
      </c>
      <c r="W1231">
        <f>HYPERLINK("https://klasma.github.io/Logging_2023/artfynd/A 24957-2024 artfynd.xlsx", "A 24957-2024")</f>
        <v/>
      </c>
      <c r="X1231">
        <f>HYPERLINK("https://klasma.github.io/Logging_2023/kartor/A 24957-2024 karta.png", "A 24957-2024")</f>
        <v/>
      </c>
      <c r="Y1231">
        <f>HYPERLINK("https://klasma.github.io/Logging_2023/kartor_geotiff/A 24957-2024 georefererad karta.tif", "A 24957-2024")</f>
        <v/>
      </c>
      <c r="AA1231">
        <f>HYPERLINK("https://klasma.github.io/Logging_2023/klagomål/A 24957-2024 FSC-klagomål.docx", "A 24957-2024")</f>
        <v/>
      </c>
      <c r="AB1231">
        <f>HYPERLINK("https://klasma.github.io/Logging_2023/klagomålsmail/A 24957-2024 FSC-klagomål mail.docx", "A 24957-2024")</f>
        <v/>
      </c>
      <c r="AC1231">
        <f>HYPERLINK("https://klasma.github.io/Logging_2023/tillsyn/A 24957-2024 tillsynsbegäran.docx", "A 24957-2024")</f>
        <v/>
      </c>
      <c r="AD1231">
        <f>HYPERLINK("https://klasma.github.io/Logging_2023/tillsynsmail/A 24957-2024 tillsynsbegäran mail.docx", "A 24957-2024")</f>
        <v/>
      </c>
      <c r="AE1231">
        <f>HYPERLINK("https://klasma.github.io/Logging_2023/fåglar/A 24957-2024 prioriterade fågelarter.docx", "A 24957-2024")</f>
        <v/>
      </c>
    </row>
    <row r="1232" ht="15" customHeight="1">
      <c r="A1232" t="inlineStr">
        <is>
          <t>A 29133-2026</t>
        </is>
      </c>
      <c r="B1232" t="inlineStr">
        <is>
          <t>avverkningsanmälan</t>
        </is>
      </c>
      <c r="C1232" t="inlineStr">
        <is>
          <t>Föryngringsavverkning</t>
        </is>
      </c>
      <c r="D1232" s="1" t="n">
        <v>46202</v>
      </c>
      <c r="E1232" s="1" t="n">
        <v>46319</v>
      </c>
      <c r="F1232" t="inlineStr">
        <is>
          <t>DALARNAS LÄN</t>
        </is>
      </c>
      <c r="G1232" t="inlineStr">
        <is>
          <t>FALUN</t>
        </is>
      </c>
      <c r="H1232" t="inlineStr">
        <is>
          <t>Bergvik skog väst AB</t>
        </is>
      </c>
      <c r="I1232" t="n">
        <v>2</v>
      </c>
      <c r="J1232" t="n">
        <v>1</v>
      </c>
      <c r="K1232" t="n">
        <v>0</v>
      </c>
      <c r="L1232" t="n">
        <v>0</v>
      </c>
      <c r="M1232" t="n">
        <v>0</v>
      </c>
      <c r="N1232" t="n">
        <v>0</v>
      </c>
      <c r="O1232" t="n">
        <v>0</v>
      </c>
      <c r="P1232" t="n">
        <v>0</v>
      </c>
      <c r="Q1232" t="n">
        <v>0</v>
      </c>
      <c r="R1232" t="n">
        <v>0</v>
      </c>
      <c r="S1232" t="n">
        <v>1</v>
      </c>
      <c r="T1232" t="n">
        <v>1</v>
      </c>
      <c r="U1232" t="n">
        <v>0</v>
      </c>
      <c r="V1232" s="2" t="inlineStr">
        <is>
          <t>Revlummer</t>
        </is>
      </c>
      <c r="W1232">
        <f>HYPERLINK("https://klasma.github.io/Logging_2080/artfynd/A 29133-2026 artfynd.xlsx", "A 29133-2026")</f>
        <v/>
      </c>
      <c r="X1232">
        <f>HYPERLINK("https://klasma.github.io/Logging_2080/kartor/A 29133-2026 karta.png", "A 29133-2026")</f>
        <v/>
      </c>
      <c r="Y1232">
        <f>HYPERLINK("https://klasma.github.io/Logging_2080/kartor_geotiff/A 29133-2026 georefererad karta.tif", "A 29133-2026")</f>
        <v/>
      </c>
      <c r="AA1232">
        <f>HYPERLINK("https://klasma.github.io/Logging_2080/klagomål/A 29133-2026 FSC-klagomål.docx", "A 29133-2026")</f>
        <v/>
      </c>
      <c r="AB1232">
        <f>HYPERLINK("https://klasma.github.io/Logging_2080/klagomålsmail/A 29133-2026 FSC-klagomål mail.docx", "A 29133-2026")</f>
        <v/>
      </c>
      <c r="AC1232">
        <f>HYPERLINK("https://klasma.github.io/Logging_2080/tillsyn/A 29133-2026 tillsynsbegäran.docx", "A 29133-2026")</f>
        <v/>
      </c>
      <c r="AD1232">
        <f>HYPERLINK("https://klasma.github.io/Logging_2080/tillsynsmail/A 29133-2026 tillsynsbegäran mail.docx", "A 29133-2026")</f>
        <v/>
      </c>
    </row>
    <row r="1233" ht="15" customHeight="1">
      <c r="A1233" t="inlineStr">
        <is>
          <t>A 29131-2026</t>
        </is>
      </c>
      <c r="B1233" t="inlineStr">
        <is>
          <t>avverkningsanmälan</t>
        </is>
      </c>
      <c r="C1233" t="inlineStr">
        <is>
          <t>Föryngringsavverkning</t>
        </is>
      </c>
      <c r="D1233" s="1" t="n">
        <v>46202</v>
      </c>
      <c r="E1233" s="1" t="n">
        <v>46319</v>
      </c>
      <c r="F1233" t="inlineStr">
        <is>
          <t>DALARNAS LÄN</t>
        </is>
      </c>
      <c r="G1233" t="inlineStr">
        <is>
          <t>LEKSAND</t>
        </is>
      </c>
      <c r="I1233" t="n">
        <v>2.2</v>
      </c>
      <c r="J1233" t="n">
        <v>1</v>
      </c>
      <c r="K1233" t="n">
        <v>0</v>
      </c>
      <c r="L1233" t="n">
        <v>0</v>
      </c>
      <c r="M1233" t="n">
        <v>0</v>
      </c>
      <c r="N1233" t="n">
        <v>0</v>
      </c>
      <c r="O1233" t="n">
        <v>0</v>
      </c>
      <c r="P1233" t="n">
        <v>0</v>
      </c>
      <c r="Q1233" t="n">
        <v>0</v>
      </c>
      <c r="R1233" t="n">
        <v>0</v>
      </c>
      <c r="S1233" t="n">
        <v>1</v>
      </c>
      <c r="T1233" t="n">
        <v>1</v>
      </c>
      <c r="U1233" t="n">
        <v>0</v>
      </c>
      <c r="V1233" s="2" t="inlineStr">
        <is>
          <t>Spillkråka</t>
        </is>
      </c>
      <c r="W1233">
        <f>HYPERLINK("https://klasma.github.io/Logging_2029/artfynd/A 29131-2026 artfynd.xlsx", "A 29131-2026")</f>
        <v/>
      </c>
      <c r="X1233">
        <f>HYPERLINK("https://klasma.github.io/Logging_2029/kartor/A 29131-2026 karta.png", "A 29131-2026")</f>
        <v/>
      </c>
      <c r="Y1233">
        <f>HYPERLINK("https://klasma.github.io/Logging_2029/kartor_geotiff/A 29131-2026 georefererad karta.tif", "A 29131-2026")</f>
        <v/>
      </c>
      <c r="AA1233">
        <f>HYPERLINK("https://klasma.github.io/Logging_2029/klagomål/A 29131-2026 FSC-klagomål.docx", "A 29131-2026")</f>
        <v/>
      </c>
      <c r="AB1233">
        <f>HYPERLINK("https://klasma.github.io/Logging_2029/klagomålsmail/A 29131-2026 FSC-klagomål mail.docx", "A 29131-2026")</f>
        <v/>
      </c>
      <c r="AC1233">
        <f>HYPERLINK("https://klasma.github.io/Logging_2029/tillsyn/A 29131-2026 tillsynsbegäran.docx", "A 29131-2026")</f>
        <v/>
      </c>
      <c r="AD1233">
        <f>HYPERLINK("https://klasma.github.io/Logging_2029/tillsynsmail/A 29131-2026 tillsynsbegäran mail.docx", "A 29131-2026")</f>
        <v/>
      </c>
      <c r="AE1233">
        <f>HYPERLINK("https://klasma.github.io/Logging_2029/fåglar/A 29131-2026 prioriterade fågelarter.docx", "A 29131-2026")</f>
        <v/>
      </c>
    </row>
    <row r="1234" ht="15" customHeight="1">
      <c r="A1234" t="inlineStr">
        <is>
          <t>A 46963-2023</t>
        </is>
      </c>
      <c r="B1234" t="inlineStr">
        <is>
          <t>avverkningsanmälan</t>
        </is>
      </c>
      <c r="C1234" t="inlineStr">
        <is>
          <t>Föryngringsavverkning</t>
        </is>
      </c>
      <c r="D1234" s="1" t="n">
        <v>45201</v>
      </c>
      <c r="E1234" s="1" t="n">
        <v>46319</v>
      </c>
      <c r="F1234" t="inlineStr">
        <is>
          <t>DALARNAS LÄN</t>
        </is>
      </c>
      <c r="G1234" t="inlineStr">
        <is>
          <t>FALUN</t>
        </is>
      </c>
      <c r="I1234" t="n">
        <v>13.6</v>
      </c>
      <c r="J1234" t="n">
        <v>1</v>
      </c>
      <c r="K1234" t="n">
        <v>0</v>
      </c>
      <c r="L1234" t="n">
        <v>1</v>
      </c>
      <c r="M1234" t="n">
        <v>0</v>
      </c>
      <c r="N1234" t="n">
        <v>0</v>
      </c>
      <c r="O1234" t="n">
        <v>0</v>
      </c>
      <c r="P1234" t="n">
        <v>0</v>
      </c>
      <c r="Q1234" t="n">
        <v>1</v>
      </c>
      <c r="R1234" t="n">
        <v>0</v>
      </c>
      <c r="S1234" t="n">
        <v>1</v>
      </c>
      <c r="T1234" t="n">
        <v>1</v>
      </c>
      <c r="U1234" t="n">
        <v>0</v>
      </c>
      <c r="V1234" s="2" t="inlineStr">
        <is>
          <t>Talltita</t>
        </is>
      </c>
      <c r="W1234">
        <f>HYPERLINK("https://klasma.github.io/Logging_2080/artfynd/A 46963-2023 artfynd.xlsx", "A 46963-2023")</f>
        <v/>
      </c>
      <c r="X1234">
        <f>HYPERLINK("https://klasma.github.io/Logging_2080/kartor/A 46963-2023 karta.png", "A 46963-2023")</f>
        <v/>
      </c>
      <c r="Y1234">
        <f>HYPERLINK("https://klasma.github.io/Logging_2080/kartor_geotiff/A 46963-2023 georefererad karta.tif", "A 46963-2023")</f>
        <v/>
      </c>
      <c r="AA1234">
        <f>HYPERLINK("https://klasma.github.io/Logging_2080/klagomål/A 46963-2023 FSC-klagomål.docx", "A 46963-2023")</f>
        <v/>
      </c>
      <c r="AB1234">
        <f>HYPERLINK("https://klasma.github.io/Logging_2080/klagomålsmail/A 46963-2023 FSC-klagomål mail.docx", "A 46963-2023")</f>
        <v/>
      </c>
      <c r="AC1234">
        <f>HYPERLINK("https://klasma.github.io/Logging_2080/tillsyn/A 46963-2023 tillsynsbegäran.docx", "A 46963-2023")</f>
        <v/>
      </c>
      <c r="AD1234">
        <f>HYPERLINK("https://klasma.github.io/Logging_2080/tillsynsmail/A 46963-2023 tillsynsbegäran mail.docx", "A 46963-2023")</f>
        <v/>
      </c>
      <c r="AE1234">
        <f>HYPERLINK("https://klasma.github.io/Logging_2080/fåglar/A 46963-2023 prioriterade fågelarter.docx", "A 46963-2023")</f>
        <v/>
      </c>
    </row>
    <row r="1235" ht="15" customHeight="1">
      <c r="A1235" t="inlineStr">
        <is>
          <t>A 57869-2025</t>
        </is>
      </c>
      <c r="B1235" t="inlineStr">
        <is>
          <t>avverkningsanmälan</t>
        </is>
      </c>
      <c r="C1235" t="inlineStr">
        <is>
          <t>Föryngringsavverkning</t>
        </is>
      </c>
      <c r="D1235" s="1" t="n">
        <v>45981</v>
      </c>
      <c r="E1235" s="1" t="n">
        <v>46319</v>
      </c>
      <c r="F1235" t="inlineStr">
        <is>
          <t>DALARNAS LÄN</t>
        </is>
      </c>
      <c r="G1235" t="inlineStr">
        <is>
          <t>LEKSAND</t>
        </is>
      </c>
      <c r="I1235" t="n">
        <v>0.6</v>
      </c>
      <c r="J1235" t="n">
        <v>1</v>
      </c>
      <c r="K1235" t="n">
        <v>0</v>
      </c>
      <c r="L1235" t="n">
        <v>0</v>
      </c>
      <c r="M1235" t="n">
        <v>0</v>
      </c>
      <c r="N1235" t="n">
        <v>0</v>
      </c>
      <c r="O1235" t="n">
        <v>0</v>
      </c>
      <c r="P1235" t="n">
        <v>0</v>
      </c>
      <c r="Q1235" t="n">
        <v>0</v>
      </c>
      <c r="R1235" t="n">
        <v>0</v>
      </c>
      <c r="S1235" t="n">
        <v>1</v>
      </c>
      <c r="T1235" t="n">
        <v>1</v>
      </c>
      <c r="U1235" t="n">
        <v>0</v>
      </c>
      <c r="V1235" s="2" t="inlineStr">
        <is>
          <t>Utter</t>
        </is>
      </c>
      <c r="W1235">
        <f>HYPERLINK("https://klasma.github.io/Logging_2029/artfynd/A 57869-2025 artfynd.xlsx", "A 57869-2025")</f>
        <v/>
      </c>
      <c r="X1235">
        <f>HYPERLINK("https://klasma.github.io/Logging_2029/kartor/A 57869-2025 karta.png", "A 57869-2025")</f>
        <v/>
      </c>
      <c r="Y1235">
        <f>HYPERLINK("https://klasma.github.io/Logging_2029/kartor_geotiff/A 57869-2025 georefererad karta.tif", "A 57869-2025")</f>
        <v/>
      </c>
      <c r="AA1235">
        <f>HYPERLINK("https://klasma.github.io/Logging_2029/klagomål/A 57869-2025 FSC-klagomål.docx", "A 57869-2025")</f>
        <v/>
      </c>
      <c r="AB1235">
        <f>HYPERLINK("https://klasma.github.io/Logging_2029/klagomålsmail/A 57869-2025 FSC-klagomål mail.docx", "A 57869-2025")</f>
        <v/>
      </c>
      <c r="AC1235">
        <f>HYPERLINK("https://klasma.github.io/Logging_2029/tillsyn/A 57869-2025 tillsynsbegäran.docx", "A 57869-2025")</f>
        <v/>
      </c>
      <c r="AD1235">
        <f>HYPERLINK("https://klasma.github.io/Logging_2029/tillsynsmail/A 57869-2025 tillsynsbegäran mail.docx", "A 57869-2025")</f>
        <v/>
      </c>
    </row>
    <row r="1236" ht="15" customHeight="1">
      <c r="A1236" t="inlineStr">
        <is>
          <t>A 29640-2026</t>
        </is>
      </c>
      <c r="B1236" t="inlineStr">
        <is>
          <t>avverkningsanmälan</t>
        </is>
      </c>
      <c r="C1236" t="inlineStr">
        <is>
          <t>Föryngringsavverkning</t>
        </is>
      </c>
      <c r="D1236" s="1" t="n">
        <v>46204</v>
      </c>
      <c r="E1236" s="1" t="n">
        <v>46319</v>
      </c>
      <c r="F1236" t="inlineStr">
        <is>
          <t>DALARNAS LÄN</t>
        </is>
      </c>
      <c r="G1236" t="inlineStr">
        <is>
          <t>HEDEMORA</t>
        </is>
      </c>
      <c r="I1236" t="n">
        <v>1.2</v>
      </c>
      <c r="J1236" t="n">
        <v>1</v>
      </c>
      <c r="K1236" t="n">
        <v>0</v>
      </c>
      <c r="L1236" t="n">
        <v>0</v>
      </c>
      <c r="M1236" t="n">
        <v>1</v>
      </c>
      <c r="N1236" t="n">
        <v>0</v>
      </c>
      <c r="O1236" t="n">
        <v>0</v>
      </c>
      <c r="P1236" t="n">
        <v>0</v>
      </c>
      <c r="Q1236" t="n">
        <v>1</v>
      </c>
      <c r="R1236" t="n">
        <v>1</v>
      </c>
      <c r="S1236" t="n">
        <v>1</v>
      </c>
      <c r="T1236" t="n">
        <v>7</v>
      </c>
      <c r="U1236" t="n">
        <v>0</v>
      </c>
      <c r="V1236" s="2" t="inlineStr">
        <is>
          <t>Knärot</t>
        </is>
      </c>
      <c r="W1236">
        <f>HYPERLINK("https://klasma.github.io/Logging_2083/artfynd/A 29640-2026 artfynd.xlsx", "A 29640-2026")</f>
        <v/>
      </c>
      <c r="X1236">
        <f>HYPERLINK("https://klasma.github.io/Logging_2083/kartor/A 29640-2026 karta.png", "A 29640-2026")</f>
        <v/>
      </c>
      <c r="Y1236">
        <f>HYPERLINK("https://klasma.github.io/Logging_2083/kartor_geotiff/A 29640-2026 georefererad karta.tif", "A 29640-2026")</f>
        <v/>
      </c>
      <c r="Z1236">
        <f>HYPERLINK("https://klasma.github.io/Logging_2083/knärot/A 29640-2026 karta knärot.png", "A 29640-2026")</f>
        <v/>
      </c>
      <c r="AA1236">
        <f>HYPERLINK("https://klasma.github.io/Logging_2083/klagomål/A 29640-2026 FSC-klagomål.docx", "A 29640-2026")</f>
        <v/>
      </c>
      <c r="AB1236">
        <f>HYPERLINK("https://klasma.github.io/Logging_2083/klagomålsmail/A 29640-2026 FSC-klagomål mail.docx", "A 29640-2026")</f>
        <v/>
      </c>
      <c r="AC1236">
        <f>HYPERLINK("https://klasma.github.io/Logging_2083/tillsyn/A 29640-2026 tillsynsbegäran.docx", "A 29640-2026")</f>
        <v/>
      </c>
      <c r="AD1236">
        <f>HYPERLINK("https://klasma.github.io/Logging_2083/tillsynsmail/A 29640-2026 tillsynsbegäran mail.docx", "A 29640-2026")</f>
        <v/>
      </c>
    </row>
    <row r="1237" ht="15" customHeight="1">
      <c r="A1237" t="inlineStr">
        <is>
          <t>A 53122-2023</t>
        </is>
      </c>
      <c r="B1237" t="inlineStr">
        <is>
          <t>avverkningsanmälan</t>
        </is>
      </c>
      <c r="C1237" t="inlineStr">
        <is>
          <t>Föryngringsavverkning</t>
        </is>
      </c>
      <c r="D1237" s="1" t="n">
        <v>45228</v>
      </c>
      <c r="E1237" s="1" t="n">
        <v>46319</v>
      </c>
      <c r="F1237" t="inlineStr">
        <is>
          <t>DALARNAS LÄN</t>
        </is>
      </c>
      <c r="G1237" t="inlineStr">
        <is>
          <t>LEKSAND</t>
        </is>
      </c>
      <c r="I1237" t="n">
        <v>1.9</v>
      </c>
      <c r="J1237" t="n">
        <v>1</v>
      </c>
      <c r="K1237" t="n">
        <v>0</v>
      </c>
      <c r="L1237" t="n">
        <v>0</v>
      </c>
      <c r="M1237" t="n">
        <v>0</v>
      </c>
      <c r="N1237" t="n">
        <v>0</v>
      </c>
      <c r="O1237" t="n">
        <v>0</v>
      </c>
      <c r="P1237" t="n">
        <v>0</v>
      </c>
      <c r="Q1237" t="n">
        <v>0</v>
      </c>
      <c r="R1237" t="n">
        <v>0</v>
      </c>
      <c r="S1237" t="n">
        <v>1</v>
      </c>
      <c r="T1237" t="n">
        <v>1</v>
      </c>
      <c r="U1237" t="n">
        <v>0</v>
      </c>
      <c r="V1237" s="2" t="inlineStr">
        <is>
          <t>Trana</t>
        </is>
      </c>
      <c r="W1237">
        <f>HYPERLINK("https://klasma.github.io/Logging_2029/artfynd/A 53122-2023 artfynd.xlsx", "A 53122-2023")</f>
        <v/>
      </c>
      <c r="X1237">
        <f>HYPERLINK("https://klasma.github.io/Logging_2029/kartor/A 53122-2023 karta.png", "A 53122-2023")</f>
        <v/>
      </c>
      <c r="Y1237">
        <f>HYPERLINK("https://klasma.github.io/Logging_2029/kartor_geotiff/A 53122-2023 georefererad karta.tif", "A 53122-2023")</f>
        <v/>
      </c>
      <c r="AA1237">
        <f>HYPERLINK("https://klasma.github.io/Logging_2029/klagomål/A 53122-2023 FSC-klagomål.docx", "A 53122-2023")</f>
        <v/>
      </c>
      <c r="AB1237">
        <f>HYPERLINK("https://klasma.github.io/Logging_2029/klagomålsmail/A 53122-2023 FSC-klagomål mail.docx", "A 53122-2023")</f>
        <v/>
      </c>
      <c r="AC1237">
        <f>HYPERLINK("https://klasma.github.io/Logging_2029/tillsyn/A 53122-2023 tillsynsbegäran.docx", "A 53122-2023")</f>
        <v/>
      </c>
      <c r="AD1237">
        <f>HYPERLINK("https://klasma.github.io/Logging_2029/tillsynsmail/A 53122-2023 tillsynsbegäran mail.docx", "A 53122-2023")</f>
        <v/>
      </c>
      <c r="AE1237">
        <f>HYPERLINK("https://klasma.github.io/Logging_2029/fåglar/A 53122-2023 prioriterade fågelarter.docx", "A 53122-2023")</f>
        <v/>
      </c>
    </row>
    <row r="1238" ht="15" customHeight="1">
      <c r="A1238" t="inlineStr">
        <is>
          <t>A 30316-2026</t>
        </is>
      </c>
      <c r="B1238" t="inlineStr">
        <is>
          <t>avverkningsanmälan</t>
        </is>
      </c>
      <c r="C1238" t="inlineStr">
        <is>
          <t>Avverkning för annat ändamål</t>
        </is>
      </c>
      <c r="D1238" s="1" t="n">
        <v>46206</v>
      </c>
      <c r="E1238" s="1" t="n">
        <v>46319</v>
      </c>
      <c r="F1238" t="inlineStr">
        <is>
          <t>DALARNAS LÄN</t>
        </is>
      </c>
      <c r="G1238" t="inlineStr">
        <is>
          <t>ORSA</t>
        </is>
      </c>
      <c r="I1238" t="n">
        <v>1.9</v>
      </c>
      <c r="J1238" t="n">
        <v>0</v>
      </c>
      <c r="K1238" t="n">
        <v>0</v>
      </c>
      <c r="L1238" t="n">
        <v>1</v>
      </c>
      <c r="M1238" t="n">
        <v>0</v>
      </c>
      <c r="N1238" t="n">
        <v>0</v>
      </c>
      <c r="O1238" t="n">
        <v>0</v>
      </c>
      <c r="P1238" t="n">
        <v>0</v>
      </c>
      <c r="Q1238" t="n">
        <v>1</v>
      </c>
      <c r="R1238" t="n">
        <v>0</v>
      </c>
      <c r="S1238" t="n">
        <v>1</v>
      </c>
      <c r="T1238" t="n">
        <v>1</v>
      </c>
      <c r="U1238" t="n">
        <v>0</v>
      </c>
      <c r="V1238" s="2" t="inlineStr">
        <is>
          <t>Violettgrå tagellav</t>
        </is>
      </c>
      <c r="W1238">
        <f>HYPERLINK("https://klasma.github.io/Logging_2034/artfynd/A 30316-2026 artfynd.xlsx", "A 30316-2026")</f>
        <v/>
      </c>
      <c r="X1238">
        <f>HYPERLINK("https://klasma.github.io/Logging_2034/kartor/A 30316-2026 karta.png", "A 30316-2026")</f>
        <v/>
      </c>
      <c r="Y1238">
        <f>HYPERLINK("https://klasma.github.io/Logging_2034/kartor_geotiff/A 30316-2026 georefererad karta.tif", "A 30316-2026")</f>
        <v/>
      </c>
      <c r="AA1238">
        <f>HYPERLINK("https://klasma.github.io/Logging_2034/klagomål/A 30316-2026 FSC-klagomål.docx", "A 30316-2026")</f>
        <v/>
      </c>
      <c r="AB1238">
        <f>HYPERLINK("https://klasma.github.io/Logging_2034/klagomålsmail/A 30316-2026 FSC-klagomål mail.docx", "A 30316-2026")</f>
        <v/>
      </c>
      <c r="AC1238">
        <f>HYPERLINK("https://klasma.github.io/Logging_2034/tillsyn/A 30316-2026 tillsynsbegäran.docx", "A 30316-2026")</f>
        <v/>
      </c>
      <c r="AD1238">
        <f>HYPERLINK("https://klasma.github.io/Logging_2034/tillsynsmail/A 30316-2026 tillsynsbegäran mail.docx", "A 30316-2026")</f>
        <v/>
      </c>
    </row>
    <row r="1239" ht="15" customHeight="1">
      <c r="A1239" t="inlineStr">
        <is>
          <t>A 30675-2026</t>
        </is>
      </c>
      <c r="B1239" t="inlineStr">
        <is>
          <t>avverkningsanmälan</t>
        </is>
      </c>
      <c r="C1239" t="inlineStr">
        <is>
          <t>Föryngringsavverkning</t>
        </is>
      </c>
      <c r="D1239" s="1" t="n">
        <v>46211</v>
      </c>
      <c r="E1239" s="1" t="n">
        <v>46319</v>
      </c>
      <c r="F1239" t="inlineStr">
        <is>
          <t>DALARNAS LÄN</t>
        </is>
      </c>
      <c r="G1239" t="inlineStr">
        <is>
          <t>ORSA</t>
        </is>
      </c>
      <c r="H1239" t="inlineStr">
        <is>
          <t>Bergvik skog öst AB</t>
        </is>
      </c>
      <c r="I1239" t="n">
        <v>8.4</v>
      </c>
      <c r="J1239" t="n">
        <v>0</v>
      </c>
      <c r="K1239" t="n">
        <v>0</v>
      </c>
      <c r="L1239" t="n">
        <v>0</v>
      </c>
      <c r="M1239" t="n">
        <v>1</v>
      </c>
      <c r="N1239" t="n">
        <v>0</v>
      </c>
      <c r="O1239" t="n">
        <v>0</v>
      </c>
      <c r="P1239" t="n">
        <v>0</v>
      </c>
      <c r="Q1239" t="n">
        <v>1</v>
      </c>
      <c r="R1239" t="n">
        <v>1</v>
      </c>
      <c r="S1239" t="n">
        <v>1</v>
      </c>
      <c r="T1239" t="n">
        <v>1</v>
      </c>
      <c r="U1239" t="n">
        <v>0</v>
      </c>
      <c r="V1239" s="2" t="inlineStr">
        <is>
          <t>Garnlav</t>
        </is>
      </c>
      <c r="W1239">
        <f>HYPERLINK("https://klasma.github.io/Logging_2034/artfynd/A 30675-2026 artfynd.xlsx", "A 30675-2026")</f>
        <v/>
      </c>
      <c r="X1239">
        <f>HYPERLINK("https://klasma.github.io/Logging_2034/kartor/A 30675-2026 karta.png", "A 30675-2026")</f>
        <v/>
      </c>
      <c r="Y1239">
        <f>HYPERLINK("https://klasma.github.io/Logging_2034/kartor_geotiff/A 30675-2026 georefererad karta.tif", "A 30675-2026")</f>
        <v/>
      </c>
      <c r="AA1239">
        <f>HYPERLINK("https://klasma.github.io/Logging_2034/klagomål/A 30675-2026 FSC-klagomål.docx", "A 30675-2026")</f>
        <v/>
      </c>
      <c r="AB1239">
        <f>HYPERLINK("https://klasma.github.io/Logging_2034/klagomålsmail/A 30675-2026 FSC-klagomål mail.docx", "A 30675-2026")</f>
        <v/>
      </c>
      <c r="AC1239">
        <f>HYPERLINK("https://klasma.github.io/Logging_2034/tillsyn/A 30675-2026 tillsynsbegäran.docx", "A 30675-2026")</f>
        <v/>
      </c>
      <c r="AD1239">
        <f>HYPERLINK("https://klasma.github.io/Logging_2034/tillsynsmail/A 30675-2026 tillsynsbegäran mail.docx", "A 30675-2026")</f>
        <v/>
      </c>
    </row>
    <row r="1240" ht="15" customHeight="1">
      <c r="A1240" t="inlineStr">
        <is>
          <t>A 30682-2026</t>
        </is>
      </c>
      <c r="B1240" t="inlineStr">
        <is>
          <t>avverkningsanmälan</t>
        </is>
      </c>
      <c r="C1240" t="inlineStr">
        <is>
          <t>Föryngringsavverkning</t>
        </is>
      </c>
      <c r="D1240" s="1" t="n">
        <v>46211</v>
      </c>
      <c r="E1240" s="1" t="n">
        <v>46319</v>
      </c>
      <c r="F1240" t="inlineStr">
        <is>
          <t>DALARNAS LÄN</t>
        </is>
      </c>
      <c r="G1240" t="inlineStr">
        <is>
          <t>ORSA</t>
        </is>
      </c>
      <c r="H1240" t="inlineStr">
        <is>
          <t>Bergvik skog öst AB</t>
        </is>
      </c>
      <c r="I1240" t="n">
        <v>3.8</v>
      </c>
      <c r="J1240" t="n">
        <v>1</v>
      </c>
      <c r="K1240" t="n">
        <v>1</v>
      </c>
      <c r="L1240" t="n">
        <v>0</v>
      </c>
      <c r="M1240" t="n">
        <v>0</v>
      </c>
      <c r="N1240" t="n">
        <v>0</v>
      </c>
      <c r="O1240" t="n">
        <v>0</v>
      </c>
      <c r="P1240" t="n">
        <v>0</v>
      </c>
      <c r="Q1240" t="n">
        <v>0</v>
      </c>
      <c r="R1240" t="n">
        <v>0</v>
      </c>
      <c r="S1240" t="n">
        <v>1</v>
      </c>
      <c r="T1240" t="n">
        <v>1</v>
      </c>
      <c r="U1240" t="n">
        <v>0</v>
      </c>
      <c r="V1240" s="2" t="inlineStr">
        <is>
          <t>Plattlummer</t>
        </is>
      </c>
      <c r="W1240">
        <f>HYPERLINK("https://klasma.github.io/Logging_2034/artfynd/A 30682-2026 artfynd.xlsx", "A 30682-2026")</f>
        <v/>
      </c>
      <c r="X1240">
        <f>HYPERLINK("https://klasma.github.io/Logging_2034/kartor/A 30682-2026 karta.png", "A 30682-2026")</f>
        <v/>
      </c>
      <c r="Y1240">
        <f>HYPERLINK("https://klasma.github.io/Logging_2034/kartor_geotiff/A 30682-2026 georefererad karta.tif", "A 30682-2026")</f>
        <v/>
      </c>
      <c r="AA1240">
        <f>HYPERLINK("https://klasma.github.io/Logging_2034/klagomål/A 30682-2026 FSC-klagomål.docx", "A 30682-2026")</f>
        <v/>
      </c>
      <c r="AB1240">
        <f>HYPERLINK("https://klasma.github.io/Logging_2034/klagomålsmail/A 30682-2026 FSC-klagomål mail.docx", "A 30682-2026")</f>
        <v/>
      </c>
      <c r="AC1240">
        <f>HYPERLINK("https://klasma.github.io/Logging_2034/tillsyn/A 30682-2026 tillsynsbegäran.docx", "A 30682-2026")</f>
        <v/>
      </c>
      <c r="AD1240">
        <f>HYPERLINK("https://klasma.github.io/Logging_2034/tillsynsmail/A 30682-2026 tillsynsbegäran mail.docx", "A 30682-2026")</f>
        <v/>
      </c>
    </row>
    <row r="1241" ht="15" customHeight="1">
      <c r="A1241" t="inlineStr">
        <is>
          <t>A 29941-2026</t>
        </is>
      </c>
      <c r="B1241" t="inlineStr">
        <is>
          <t>avverkningsanmälan</t>
        </is>
      </c>
      <c r="C1241" t="inlineStr">
        <is>
          <t>Föryngringsavverkning</t>
        </is>
      </c>
      <c r="D1241" s="1" t="n">
        <v>46205</v>
      </c>
      <c r="E1241" s="1" t="n">
        <v>46319</v>
      </c>
      <c r="F1241" t="inlineStr">
        <is>
          <t>DALARNAS LÄN</t>
        </is>
      </c>
      <c r="G1241" t="inlineStr">
        <is>
          <t>RÄTTVIK</t>
        </is>
      </c>
      <c r="I1241" t="n">
        <v>10.3</v>
      </c>
      <c r="J1241" t="n">
        <v>1</v>
      </c>
      <c r="K1241" t="n">
        <v>0</v>
      </c>
      <c r="L1241" t="n">
        <v>0</v>
      </c>
      <c r="M1241" t="n">
        <v>1</v>
      </c>
      <c r="N1241" t="n">
        <v>0</v>
      </c>
      <c r="O1241" t="n">
        <v>0</v>
      </c>
      <c r="P1241" t="n">
        <v>0</v>
      </c>
      <c r="Q1241" t="n">
        <v>1</v>
      </c>
      <c r="R1241" t="n">
        <v>1</v>
      </c>
      <c r="S1241" t="n">
        <v>1</v>
      </c>
      <c r="T1241" t="n">
        <v>6</v>
      </c>
      <c r="U1241" t="n">
        <v>0</v>
      </c>
      <c r="V1241" s="2" t="inlineStr">
        <is>
          <t>Väddnätfjäril</t>
        </is>
      </c>
      <c r="W1241">
        <f>HYPERLINK("https://klasma.github.io/Logging_2031/artfynd/A 29941-2026 artfynd.xlsx", "A 29941-2026")</f>
        <v/>
      </c>
      <c r="X1241">
        <f>HYPERLINK("https://klasma.github.io/Logging_2031/kartor/A 29941-2026 karta.png", "A 29941-2026")</f>
        <v/>
      </c>
      <c r="Y1241">
        <f>HYPERLINK("https://klasma.github.io/Logging_2031/kartor_geotiff/A 29941-2026 georefererad karta.tif", "A 29941-2026")</f>
        <v/>
      </c>
      <c r="AA1241">
        <f>HYPERLINK("https://klasma.github.io/Logging_2031/klagomål/A 29941-2026 FSC-klagomål.docx", "A 29941-2026")</f>
        <v/>
      </c>
      <c r="AB1241">
        <f>HYPERLINK("https://klasma.github.io/Logging_2031/klagomålsmail/A 29941-2026 FSC-klagomål mail.docx", "A 29941-2026")</f>
        <v/>
      </c>
      <c r="AC1241">
        <f>HYPERLINK("https://klasma.github.io/Logging_2031/tillsyn/A 29941-2026 tillsynsbegäran.docx", "A 29941-2026")</f>
        <v/>
      </c>
      <c r="AD1241">
        <f>HYPERLINK("https://klasma.github.io/Logging_2031/tillsynsmail/A 29941-2026 tillsynsbegäran mail.docx", "A 29941-2026")</f>
        <v/>
      </c>
    </row>
    <row r="1242" ht="15" customHeight="1">
      <c r="A1242" t="inlineStr">
        <is>
          <t>A 30692-2026</t>
        </is>
      </c>
      <c r="B1242" t="inlineStr">
        <is>
          <t>avverkningsanmälan</t>
        </is>
      </c>
      <c r="C1242" t="inlineStr">
        <is>
          <t>Föryngringsavverkning</t>
        </is>
      </c>
      <c r="D1242" s="1" t="n">
        <v>46211</v>
      </c>
      <c r="E1242" s="1" t="n">
        <v>46319</v>
      </c>
      <c r="F1242" t="inlineStr">
        <is>
          <t>DALARNAS LÄN</t>
        </is>
      </c>
      <c r="G1242" t="inlineStr">
        <is>
          <t>RÄTTVIK</t>
        </is>
      </c>
      <c r="H1242" t="inlineStr">
        <is>
          <t>Sveaskog</t>
        </is>
      </c>
      <c r="I1242" t="n">
        <v>14.6</v>
      </c>
      <c r="J1242" t="n">
        <v>1</v>
      </c>
      <c r="K1242" t="n">
        <v>0</v>
      </c>
      <c r="L1242" t="n">
        <v>0</v>
      </c>
      <c r="M1242" t="n">
        <v>0</v>
      </c>
      <c r="N1242" t="n">
        <v>0</v>
      </c>
      <c r="O1242" t="n">
        <v>0</v>
      </c>
      <c r="P1242" t="n">
        <v>0</v>
      </c>
      <c r="Q1242" t="n">
        <v>0</v>
      </c>
      <c r="R1242" t="n">
        <v>0</v>
      </c>
      <c r="S1242" t="n">
        <v>1</v>
      </c>
      <c r="T1242" t="n">
        <v>2</v>
      </c>
      <c r="U1242" t="n">
        <v>0</v>
      </c>
      <c r="V1242" s="2" t="inlineStr">
        <is>
          <t>Fläcknycklar</t>
        </is>
      </c>
      <c r="W1242">
        <f>HYPERLINK("https://klasma.github.io/Logging_2031/artfynd/A 30692-2026 artfynd.xlsx", "A 30692-2026")</f>
        <v/>
      </c>
      <c r="X1242">
        <f>HYPERLINK("https://klasma.github.io/Logging_2031/kartor/A 30692-2026 karta.png", "A 30692-2026")</f>
        <v/>
      </c>
      <c r="Y1242">
        <f>HYPERLINK("https://klasma.github.io/Logging_2031/kartor_geotiff/A 30692-2026 georefererad karta.tif", "A 30692-2026")</f>
        <v/>
      </c>
      <c r="AA1242">
        <f>HYPERLINK("https://klasma.github.io/Logging_2031/klagomål/A 30692-2026 FSC-klagomål.docx", "A 30692-2026")</f>
        <v/>
      </c>
      <c r="AB1242">
        <f>HYPERLINK("https://klasma.github.io/Logging_2031/klagomålsmail/A 30692-2026 FSC-klagomål mail.docx", "A 30692-2026")</f>
        <v/>
      </c>
      <c r="AC1242">
        <f>HYPERLINK("https://klasma.github.io/Logging_2031/tillsyn/A 30692-2026 tillsynsbegäran.docx", "A 30692-2026")</f>
        <v/>
      </c>
      <c r="AD1242">
        <f>HYPERLINK("https://klasma.github.io/Logging_2031/tillsynsmail/A 30692-2026 tillsynsbegäran mail.docx", "A 30692-2026")</f>
        <v/>
      </c>
    </row>
    <row r="1243" ht="15" customHeight="1">
      <c r="A1243" t="inlineStr">
        <is>
          <t>A 59380-2025</t>
        </is>
      </c>
      <c r="B1243" t="inlineStr">
        <is>
          <t>avverkningsanmälan</t>
        </is>
      </c>
      <c r="C1243" t="inlineStr">
        <is>
          <t>Föryngringsavverkning</t>
        </is>
      </c>
      <c r="D1243" s="1" t="n">
        <v>45989</v>
      </c>
      <c r="E1243" s="1" t="n">
        <v>46319</v>
      </c>
      <c r="F1243" t="inlineStr">
        <is>
          <t>DALARNAS LÄN</t>
        </is>
      </c>
      <c r="G1243" t="inlineStr">
        <is>
          <t>ÄLVDALEN</t>
        </is>
      </c>
      <c r="H1243" t="inlineStr">
        <is>
          <t>Sveaskog</t>
        </is>
      </c>
      <c r="I1243" t="n">
        <v>1.1</v>
      </c>
      <c r="J1243" t="n">
        <v>0</v>
      </c>
      <c r="K1243" t="n">
        <v>0</v>
      </c>
      <c r="L1243" t="n">
        <v>1</v>
      </c>
      <c r="M1243" t="n">
        <v>0</v>
      </c>
      <c r="N1243" t="n">
        <v>0</v>
      </c>
      <c r="O1243" t="n">
        <v>0</v>
      </c>
      <c r="P1243" t="n">
        <v>0</v>
      </c>
      <c r="Q1243" t="n">
        <v>1</v>
      </c>
      <c r="R1243" t="n">
        <v>0</v>
      </c>
      <c r="S1243" t="n">
        <v>1</v>
      </c>
      <c r="T1243" t="n">
        <v>2</v>
      </c>
      <c r="U1243" t="n">
        <v>0</v>
      </c>
      <c r="V1243" s="2" t="inlineStr">
        <is>
          <t>Lunglav</t>
        </is>
      </c>
      <c r="W1243">
        <f>HYPERLINK("https://klasma.github.io/Logging_2039/artfynd/A 59380-2025 artfynd.xlsx", "A 59380-2025")</f>
        <v/>
      </c>
      <c r="X1243">
        <f>HYPERLINK("https://klasma.github.io/Logging_2039/kartor/A 59380-2025 karta.png", "A 59380-2025")</f>
        <v/>
      </c>
      <c r="Y1243">
        <f>HYPERLINK("https://klasma.github.io/Logging_2039/kartor_geotiff/A 59380-2025 georefererad karta.tif", "A 59380-2025")</f>
        <v/>
      </c>
      <c r="AA1243">
        <f>HYPERLINK("https://klasma.github.io/Logging_2039/klagomål/A 59380-2025 FSC-klagomål.docx", "A 59380-2025")</f>
        <v/>
      </c>
      <c r="AB1243">
        <f>HYPERLINK("https://klasma.github.io/Logging_2039/klagomålsmail/A 59380-2025 FSC-klagomål mail.docx", "A 59380-2025")</f>
        <v/>
      </c>
      <c r="AC1243">
        <f>HYPERLINK("https://klasma.github.io/Logging_2039/tillsyn/A 59380-2025 tillsynsbegäran.docx", "A 59380-2025")</f>
        <v/>
      </c>
      <c r="AD1243">
        <f>HYPERLINK("https://klasma.github.io/Logging_2039/tillsynsmail/A 59380-2025 tillsynsbegäran mail.docx", "A 59380-2025")</f>
        <v/>
      </c>
    </row>
    <row r="1244" ht="15" customHeight="1">
      <c r="A1244" t="inlineStr">
        <is>
          <t>A 32068-2023</t>
        </is>
      </c>
      <c r="B1244" t="inlineStr">
        <is>
          <t>avverkningsanmälan</t>
        </is>
      </c>
      <c r="C1244" t="inlineStr">
        <is>
          <t>Föryngringsavverkning</t>
        </is>
      </c>
      <c r="D1244" s="1" t="n">
        <v>45119</v>
      </c>
      <c r="E1244" s="1" t="n">
        <v>46319</v>
      </c>
      <c r="F1244" t="inlineStr">
        <is>
          <t>DALARNAS LÄN</t>
        </is>
      </c>
      <c r="G1244" t="inlineStr">
        <is>
          <t>MALUNG-SÄLEN</t>
        </is>
      </c>
      <c r="H1244" t="inlineStr">
        <is>
          <t>Bergvik skog öst AB</t>
        </is>
      </c>
      <c r="I1244" t="n">
        <v>1.6</v>
      </c>
      <c r="J1244" t="n">
        <v>1</v>
      </c>
      <c r="K1244" t="n">
        <v>0</v>
      </c>
      <c r="L1244" t="n">
        <v>1</v>
      </c>
      <c r="M1244" t="n">
        <v>0</v>
      </c>
      <c r="N1244" t="n">
        <v>0</v>
      </c>
      <c r="O1244" t="n">
        <v>0</v>
      </c>
      <c r="P1244" t="n">
        <v>0</v>
      </c>
      <c r="Q1244" t="n">
        <v>1</v>
      </c>
      <c r="R1244" t="n">
        <v>0</v>
      </c>
      <c r="S1244" t="n">
        <v>1</v>
      </c>
      <c r="T1244" t="n">
        <v>1</v>
      </c>
      <c r="U1244" t="n">
        <v>0</v>
      </c>
      <c r="V1244" s="2" t="inlineStr">
        <is>
          <t>Kungsörn</t>
        </is>
      </c>
      <c r="W1244">
        <f>HYPERLINK("https://klasma.github.io/Logging_2023/artfynd/A 32068-2023 artfynd.xlsx", "A 32068-2023")</f>
        <v/>
      </c>
      <c r="X1244">
        <f>HYPERLINK("https://klasma.github.io/Logging_2023/kartor/A 32068-2023 karta.png", "A 32068-2023")</f>
        <v/>
      </c>
      <c r="Y1244">
        <f>HYPERLINK("https://klasma.github.io/Logging_2023/kartor_geotiff/A 32068-2023 georefererad karta.tif", "A 32068-2023")</f>
        <v/>
      </c>
      <c r="AA1244">
        <f>HYPERLINK("https://klasma.github.io/Logging_2023/klagomål/A 32068-2023 FSC-klagomål.docx", "A 32068-2023")</f>
        <v/>
      </c>
      <c r="AB1244">
        <f>HYPERLINK("https://klasma.github.io/Logging_2023/klagomålsmail/A 32068-2023 FSC-klagomål mail.docx", "A 32068-2023")</f>
        <v/>
      </c>
      <c r="AC1244">
        <f>HYPERLINK("https://klasma.github.io/Logging_2023/tillsyn/A 32068-2023 tillsynsbegäran.docx", "A 32068-2023")</f>
        <v/>
      </c>
      <c r="AD1244">
        <f>HYPERLINK("https://klasma.github.io/Logging_2023/tillsynsmail/A 32068-2023 tillsynsbegäran mail.docx", "A 32068-2023")</f>
        <v/>
      </c>
      <c r="AE1244">
        <f>HYPERLINK("https://klasma.github.io/Logging_2023/fåglar/A 32068-2023 prioriterade fågelarter.docx", "A 32068-2023")</f>
        <v/>
      </c>
    </row>
    <row r="1245" ht="15" customHeight="1">
      <c r="A1245" t="inlineStr">
        <is>
          <t>A 30879-2026</t>
        </is>
      </c>
      <c r="B1245" t="inlineStr">
        <is>
          <t>avverkningsanmälan</t>
        </is>
      </c>
      <c r="C1245" t="inlineStr">
        <is>
          <t>Föryngringsavverkning</t>
        </is>
      </c>
      <c r="D1245" s="1" t="n">
        <v>46212</v>
      </c>
      <c r="E1245" s="1" t="n">
        <v>46319</v>
      </c>
      <c r="F1245" t="inlineStr">
        <is>
          <t>DALARNAS LÄN</t>
        </is>
      </c>
      <c r="G1245" t="inlineStr">
        <is>
          <t>HEDEMORA</t>
        </is>
      </c>
      <c r="H1245" t="inlineStr">
        <is>
          <t>Sveaskog</t>
        </is>
      </c>
      <c r="I1245" t="n">
        <v>0.8</v>
      </c>
      <c r="J1245" t="n">
        <v>0</v>
      </c>
      <c r="K1245" t="n">
        <v>0</v>
      </c>
      <c r="L1245" t="n">
        <v>1</v>
      </c>
      <c r="M1245" t="n">
        <v>0</v>
      </c>
      <c r="N1245" t="n">
        <v>0</v>
      </c>
      <c r="O1245" t="n">
        <v>0</v>
      </c>
      <c r="P1245" t="n">
        <v>0</v>
      </c>
      <c r="Q1245" t="n">
        <v>1</v>
      </c>
      <c r="R1245" t="n">
        <v>0</v>
      </c>
      <c r="S1245" t="n">
        <v>1</v>
      </c>
      <c r="T1245" t="n">
        <v>1</v>
      </c>
      <c r="U1245" t="n">
        <v>1</v>
      </c>
      <c r="V1245" s="2" t="inlineStr">
        <is>
          <t>Tallticka</t>
        </is>
      </c>
      <c r="W1245">
        <f>HYPERLINK("https://klasma.github.io/Logging_2083/artfynd/A 30879-2026 artfynd.xlsx", "A 30879-2026")</f>
        <v/>
      </c>
      <c r="X1245">
        <f>HYPERLINK("https://klasma.github.io/Logging_2083/kartor/A 30879-2026 karta.png", "A 30879-2026")</f>
        <v/>
      </c>
      <c r="Y1245">
        <f>HYPERLINK("https://klasma.github.io/Logging_2083/kartor_geotiff/A 30879-2026 georefererad karta.tif", "A 30879-2026")</f>
        <v/>
      </c>
      <c r="AA1245">
        <f>HYPERLINK("https://klasma.github.io/Logging_2083/klagomål/A 30879-2026 FSC-klagomål.docx", "A 30879-2026")</f>
        <v/>
      </c>
      <c r="AB1245">
        <f>HYPERLINK("https://klasma.github.io/Logging_2083/klagomålsmail/A 30879-2026 FSC-klagomål mail.docx", "A 30879-2026")</f>
        <v/>
      </c>
      <c r="AC1245">
        <f>HYPERLINK("https://klasma.github.io/Logging_2083/tillsyn/A 30879-2026 tillsynsbegäran.docx", "A 30879-2026")</f>
        <v/>
      </c>
      <c r="AD1245">
        <f>HYPERLINK("https://klasma.github.io/Logging_2083/tillsynsmail/A 30879-2026 tillsynsbegäran mail.docx", "A 30879-2026")</f>
        <v/>
      </c>
    </row>
    <row r="1246" ht="15" customHeight="1">
      <c r="A1246" t="inlineStr">
        <is>
          <t>A 59873-2025</t>
        </is>
      </c>
      <c r="B1246" t="inlineStr">
        <is>
          <t>avverkningsanmälan</t>
        </is>
      </c>
      <c r="C1246" t="inlineStr">
        <is>
          <t>Föryngringsavverkning</t>
        </is>
      </c>
      <c r="D1246" s="1" t="n">
        <v>45992</v>
      </c>
      <c r="E1246" s="1" t="n">
        <v>46319</v>
      </c>
      <c r="F1246" t="inlineStr">
        <is>
          <t>DALARNAS LÄN</t>
        </is>
      </c>
      <c r="G1246" t="inlineStr">
        <is>
          <t>LUDVIKA</t>
        </is>
      </c>
      <c r="I1246" t="n">
        <v>3.7</v>
      </c>
      <c r="J1246" t="n">
        <v>0</v>
      </c>
      <c r="K1246" t="n">
        <v>0</v>
      </c>
      <c r="L1246" t="n">
        <v>0</v>
      </c>
      <c r="M1246" t="n">
        <v>1</v>
      </c>
      <c r="N1246" t="n">
        <v>0</v>
      </c>
      <c r="O1246" t="n">
        <v>0</v>
      </c>
      <c r="P1246" t="n">
        <v>0</v>
      </c>
      <c r="Q1246" t="n">
        <v>1</v>
      </c>
      <c r="R1246" t="n">
        <v>1</v>
      </c>
      <c r="S1246" t="n">
        <v>1</v>
      </c>
      <c r="T1246" t="n">
        <v>1</v>
      </c>
      <c r="U1246" t="n">
        <v>1</v>
      </c>
      <c r="V1246" s="2" t="inlineStr">
        <is>
          <t>Lateritticka</t>
        </is>
      </c>
      <c r="W1246">
        <f>HYPERLINK("https://klasma.github.io/Logging_2085/artfynd/A 59873-2025 artfynd.xlsx", "A 59873-2025")</f>
        <v/>
      </c>
      <c r="X1246">
        <f>HYPERLINK("https://klasma.github.io/Logging_2085/kartor/A 59873-2025 karta.png", "A 59873-2025")</f>
        <v/>
      </c>
      <c r="Y1246">
        <f>HYPERLINK("https://klasma.github.io/Logging_2085/kartor_geotiff/A 59873-2025 georefererad karta.tif", "A 59873-2025")</f>
        <v/>
      </c>
      <c r="AA1246">
        <f>HYPERLINK("https://klasma.github.io/Logging_2085/klagomål/A 59873-2025 FSC-klagomål.docx", "A 59873-2025")</f>
        <v/>
      </c>
      <c r="AB1246">
        <f>HYPERLINK("https://klasma.github.io/Logging_2085/klagomålsmail/A 59873-2025 FSC-klagomål mail.docx", "A 59873-2025")</f>
        <v/>
      </c>
      <c r="AC1246">
        <f>HYPERLINK("https://klasma.github.io/Logging_2085/tillsyn/A 59873-2025 tillsynsbegäran.docx", "A 59873-2025")</f>
        <v/>
      </c>
      <c r="AD1246">
        <f>HYPERLINK("https://klasma.github.io/Logging_2085/tillsynsmail/A 59873-2025 tillsynsbegäran mail.docx", "A 59873-2025")</f>
        <v/>
      </c>
    </row>
    <row r="1247" ht="15" customHeight="1">
      <c r="A1247" t="inlineStr">
        <is>
          <t>A 36038-2024</t>
        </is>
      </c>
      <c r="B1247" t="inlineStr">
        <is>
          <t>avverkningsanmälan</t>
        </is>
      </c>
      <c r="C1247" t="inlineStr">
        <is>
          <t>Föryngringsavverkning</t>
        </is>
      </c>
      <c r="D1247" s="1" t="n">
        <v>45533</v>
      </c>
      <c r="E1247" s="1" t="n">
        <v>46319</v>
      </c>
      <c r="F1247" t="inlineStr">
        <is>
          <t>DALARNAS LÄN</t>
        </is>
      </c>
      <c r="G1247" t="inlineStr">
        <is>
          <t>MORA</t>
        </is>
      </c>
      <c r="I1247" t="n">
        <v>5.1</v>
      </c>
      <c r="J1247" t="n">
        <v>0</v>
      </c>
      <c r="K1247" t="n">
        <v>0</v>
      </c>
      <c r="L1247" t="n">
        <v>0</v>
      </c>
      <c r="M1247" t="n">
        <v>1</v>
      </c>
      <c r="N1247" t="n">
        <v>0</v>
      </c>
      <c r="O1247" t="n">
        <v>0</v>
      </c>
      <c r="P1247" t="n">
        <v>0</v>
      </c>
      <c r="Q1247" t="n">
        <v>1</v>
      </c>
      <c r="R1247" t="n">
        <v>1</v>
      </c>
      <c r="S1247" t="n">
        <v>1</v>
      </c>
      <c r="T1247" t="n">
        <v>1</v>
      </c>
      <c r="U1247" t="n">
        <v>1</v>
      </c>
      <c r="V1247" s="2" t="inlineStr">
        <is>
          <t>Garnlav</t>
        </is>
      </c>
      <c r="W1247">
        <f>HYPERLINK("https://klasma.github.io/Logging_2062/artfynd/A 36038-2024 artfynd.xlsx", "A 36038-2024")</f>
        <v/>
      </c>
      <c r="X1247">
        <f>HYPERLINK("https://klasma.github.io/Logging_2062/kartor/A 36038-2024 karta.png", "A 36038-2024")</f>
        <v/>
      </c>
      <c r="Y1247">
        <f>HYPERLINK("https://klasma.github.io/Logging_2062/kartor_geotiff/A 36038-2024 georefererad karta.tif", "A 36038-2024")</f>
        <v/>
      </c>
      <c r="AA1247">
        <f>HYPERLINK("https://klasma.github.io/Logging_2062/klagomål/A 36038-2024 FSC-klagomål.docx", "A 36038-2024")</f>
        <v/>
      </c>
      <c r="AB1247">
        <f>HYPERLINK("https://klasma.github.io/Logging_2062/klagomålsmail/A 36038-2024 FSC-klagomål mail.docx", "A 36038-2024")</f>
        <v/>
      </c>
      <c r="AC1247">
        <f>HYPERLINK("https://klasma.github.io/Logging_2062/tillsyn/A 36038-2024 tillsynsbegäran.docx", "A 36038-2024")</f>
        <v/>
      </c>
      <c r="AD1247">
        <f>HYPERLINK("https://klasma.github.io/Logging_2062/tillsynsmail/A 36038-2024 tillsynsbegäran mail.docx", "A 36038-2024")</f>
        <v/>
      </c>
    </row>
    <row r="1248" ht="15" customHeight="1">
      <c r="A1248" t="inlineStr">
        <is>
          <t>A 31023-2026</t>
        </is>
      </c>
      <c r="B1248" t="inlineStr">
        <is>
          <t>avverkningsanmälan</t>
        </is>
      </c>
      <c r="C1248" t="inlineStr">
        <is>
          <t>Föryngringsavverkning</t>
        </is>
      </c>
      <c r="D1248" s="1" t="n">
        <v>46213</v>
      </c>
      <c r="E1248" s="1" t="n">
        <v>46319</v>
      </c>
      <c r="F1248" t="inlineStr">
        <is>
          <t>DALARNAS LÄN</t>
        </is>
      </c>
      <c r="G1248" t="inlineStr">
        <is>
          <t>HEDEMORA</t>
        </is>
      </c>
      <c r="I1248" t="n">
        <v>1.8</v>
      </c>
      <c r="J1248" t="n">
        <v>1</v>
      </c>
      <c r="K1248" t="n">
        <v>0</v>
      </c>
      <c r="L1248" t="n">
        <v>0</v>
      </c>
      <c r="M1248" t="n">
        <v>1</v>
      </c>
      <c r="N1248" t="n">
        <v>0</v>
      </c>
      <c r="O1248" t="n">
        <v>0</v>
      </c>
      <c r="P1248" t="n">
        <v>0</v>
      </c>
      <c r="Q1248" t="n">
        <v>1</v>
      </c>
      <c r="R1248" t="n">
        <v>1</v>
      </c>
      <c r="S1248" t="n">
        <v>1</v>
      </c>
      <c r="T1248" t="n">
        <v>4</v>
      </c>
      <c r="U1248" t="n">
        <v>0</v>
      </c>
      <c r="V1248" s="2" t="inlineStr">
        <is>
          <t>Knärot</t>
        </is>
      </c>
      <c r="W1248">
        <f>HYPERLINK("https://klasma.github.io/Logging_2083/artfynd/A 31023-2026 artfynd.xlsx", "A 31023-2026")</f>
        <v/>
      </c>
      <c r="X1248">
        <f>HYPERLINK("https://klasma.github.io/Logging_2083/kartor/A 31023-2026 karta.png", "A 31023-2026")</f>
        <v/>
      </c>
      <c r="Y1248">
        <f>HYPERLINK("https://klasma.github.io/Logging_2083/kartor_geotiff/A 31023-2026 georefererad karta.tif", "A 31023-2026")</f>
        <v/>
      </c>
      <c r="Z1248">
        <f>HYPERLINK("https://klasma.github.io/Logging_2083/knärot/A 31023-2026 karta knärot.png", "A 31023-2026")</f>
        <v/>
      </c>
      <c r="AA1248">
        <f>HYPERLINK("https://klasma.github.io/Logging_2083/klagomål/A 31023-2026 FSC-klagomål.docx", "A 31023-2026")</f>
        <v/>
      </c>
      <c r="AB1248">
        <f>HYPERLINK("https://klasma.github.io/Logging_2083/klagomålsmail/A 31023-2026 FSC-klagomål mail.docx", "A 31023-2026")</f>
        <v/>
      </c>
      <c r="AC1248">
        <f>HYPERLINK("https://klasma.github.io/Logging_2083/tillsyn/A 31023-2026 tillsynsbegäran.docx", "A 31023-2026")</f>
        <v/>
      </c>
      <c r="AD1248">
        <f>HYPERLINK("https://klasma.github.io/Logging_2083/tillsynsmail/A 31023-2026 tillsynsbegäran mail.docx", "A 31023-2026")</f>
        <v/>
      </c>
    </row>
    <row r="1249" ht="15" customHeight="1">
      <c r="A1249" t="inlineStr">
        <is>
          <t>A 60082-2025</t>
        </is>
      </c>
      <c r="B1249" t="inlineStr">
        <is>
          <t>avverkningsanmälan</t>
        </is>
      </c>
      <c r="C1249" t="inlineStr">
        <is>
          <t>Föryngringsavverkning</t>
        </is>
      </c>
      <c r="D1249" s="1" t="n">
        <v>45993</v>
      </c>
      <c r="E1249" s="1" t="n">
        <v>46319</v>
      </c>
      <c r="F1249" t="inlineStr">
        <is>
          <t>DALARNAS LÄN</t>
        </is>
      </c>
      <c r="G1249" t="inlineStr">
        <is>
          <t>ÄLVDALEN</t>
        </is>
      </c>
      <c r="I1249" t="n">
        <v>7.5</v>
      </c>
      <c r="J1249" t="n">
        <v>1</v>
      </c>
      <c r="K1249" t="n">
        <v>0</v>
      </c>
      <c r="L1249" t="n">
        <v>0</v>
      </c>
      <c r="M1249" t="n">
        <v>0</v>
      </c>
      <c r="N1249" t="n">
        <v>0</v>
      </c>
      <c r="O1249" t="n">
        <v>0</v>
      </c>
      <c r="P1249" t="n">
        <v>0</v>
      </c>
      <c r="Q1249" t="n">
        <v>0</v>
      </c>
      <c r="R1249" t="n">
        <v>0</v>
      </c>
      <c r="S1249" t="n">
        <v>1</v>
      </c>
      <c r="T1249" t="n">
        <v>1</v>
      </c>
      <c r="U1249" t="n">
        <v>1</v>
      </c>
      <c r="V1249" s="2" t="inlineStr">
        <is>
          <t>Revlummer</t>
        </is>
      </c>
      <c r="W1249">
        <f>HYPERLINK("https://klasma.github.io/Logging_2039/artfynd/A 60082-2025 artfynd.xlsx", "A 60082-2025")</f>
        <v/>
      </c>
      <c r="X1249">
        <f>HYPERLINK("https://klasma.github.io/Logging_2039/kartor/A 60082-2025 karta.png", "A 60082-2025")</f>
        <v/>
      </c>
      <c r="Y1249">
        <f>HYPERLINK("https://klasma.github.io/Logging_2039/kartor_geotiff/A 60082-2025 georefererad karta.tif", "A 60082-2025")</f>
        <v/>
      </c>
      <c r="AA1249">
        <f>HYPERLINK("https://klasma.github.io/Logging_2039/klagomål/A 60082-2025 FSC-klagomål.docx", "A 60082-2025")</f>
        <v/>
      </c>
      <c r="AB1249">
        <f>HYPERLINK("https://klasma.github.io/Logging_2039/klagomålsmail/A 60082-2025 FSC-klagomål mail.docx", "A 60082-2025")</f>
        <v/>
      </c>
      <c r="AC1249">
        <f>HYPERLINK("https://klasma.github.io/Logging_2039/tillsyn/A 60082-2025 tillsynsbegäran.docx", "A 60082-2025")</f>
        <v/>
      </c>
      <c r="AD1249">
        <f>HYPERLINK("https://klasma.github.io/Logging_2039/tillsynsmail/A 60082-2025 tillsynsbegäran mail.docx", "A 60082-2025")</f>
        <v/>
      </c>
    </row>
    <row r="1250" ht="15" customHeight="1">
      <c r="A1250" t="inlineStr">
        <is>
          <t>A 16084-2026</t>
        </is>
      </c>
      <c r="B1250" t="inlineStr">
        <is>
          <t>avverkningsanmälan</t>
        </is>
      </c>
      <c r="C1250" t="inlineStr">
        <is>
          <t>Föryngringsavverkning</t>
        </is>
      </c>
      <c r="D1250" s="1" t="n">
        <v>46107</v>
      </c>
      <c r="E1250" s="1" t="n">
        <v>46319</v>
      </c>
      <c r="F1250" t="inlineStr">
        <is>
          <t>DALARNAS LÄN</t>
        </is>
      </c>
      <c r="G1250" t="inlineStr">
        <is>
          <t>FALUN</t>
        </is>
      </c>
      <c r="H1250" t="inlineStr">
        <is>
          <t>Allmännings- och besparingsskogar</t>
        </is>
      </c>
      <c r="I1250" t="n">
        <v>10.4</v>
      </c>
      <c r="J1250" t="n">
        <v>0</v>
      </c>
      <c r="K1250" t="n">
        <v>0</v>
      </c>
      <c r="L1250" t="n">
        <v>1</v>
      </c>
      <c r="M1250" t="n">
        <v>0</v>
      </c>
      <c r="N1250" t="n">
        <v>0</v>
      </c>
      <c r="O1250" t="n">
        <v>0</v>
      </c>
      <c r="P1250" t="n">
        <v>0</v>
      </c>
      <c r="Q1250" t="n">
        <v>1</v>
      </c>
      <c r="R1250" t="n">
        <v>0</v>
      </c>
      <c r="S1250" t="n">
        <v>1</v>
      </c>
      <c r="T1250" t="n">
        <v>1</v>
      </c>
      <c r="U1250" t="n">
        <v>0</v>
      </c>
      <c r="V1250" s="2" t="inlineStr">
        <is>
          <t>Älg</t>
        </is>
      </c>
      <c r="W1250">
        <f>HYPERLINK("https://klasma.github.io/Logging_2080/artfynd/A 16084-2026 artfynd.xlsx", "A 16084-2026")</f>
        <v/>
      </c>
      <c r="X1250">
        <f>HYPERLINK("https://klasma.github.io/Logging_2080/kartor/A 16084-2026 karta.png", "A 16084-2026")</f>
        <v/>
      </c>
      <c r="Y1250">
        <f>HYPERLINK("https://klasma.github.io/Logging_2080/kartor_geotiff/A 16084-2026 georefererad karta.tif", "A 16084-2026")</f>
        <v/>
      </c>
      <c r="AA1250">
        <f>HYPERLINK("https://klasma.github.io/Logging_2080/klagomål/A 16084-2026 FSC-klagomål.docx", "A 16084-2026")</f>
        <v/>
      </c>
      <c r="AB1250">
        <f>HYPERLINK("https://klasma.github.io/Logging_2080/klagomålsmail/A 16084-2026 FSC-klagomål mail.docx", "A 16084-2026")</f>
        <v/>
      </c>
      <c r="AC1250">
        <f>HYPERLINK("https://klasma.github.io/Logging_2080/tillsyn/A 16084-2026 tillsynsbegäran.docx", "A 16084-2026")</f>
        <v/>
      </c>
      <c r="AD1250">
        <f>HYPERLINK("https://klasma.github.io/Logging_2080/tillsynsmail/A 16084-2026 tillsynsbegäran mail.docx", "A 16084-2026")</f>
        <v/>
      </c>
    </row>
    <row r="1251" ht="15" customHeight="1">
      <c r="A1251" t="inlineStr">
        <is>
          <t>A 51675-2022</t>
        </is>
      </c>
      <c r="B1251" t="inlineStr">
        <is>
          <t>avverkningsanmälan</t>
        </is>
      </c>
      <c r="C1251" t="inlineStr">
        <is>
          <t>Avverkning för annat ändamål</t>
        </is>
      </c>
      <c r="D1251" s="1" t="n">
        <v>44867</v>
      </c>
      <c r="E1251" s="1" t="n">
        <v>46319</v>
      </c>
      <c r="F1251" t="inlineStr">
        <is>
          <t>DALARNAS LÄN</t>
        </is>
      </c>
      <c r="G1251" t="inlineStr">
        <is>
          <t>MALUNG-SÄLEN</t>
        </is>
      </c>
      <c r="I1251" t="n">
        <v>0.1</v>
      </c>
      <c r="J1251" t="n">
        <v>0</v>
      </c>
      <c r="K1251" t="n">
        <v>0</v>
      </c>
      <c r="L1251" t="n">
        <v>1</v>
      </c>
      <c r="M1251" t="n">
        <v>0</v>
      </c>
      <c r="N1251" t="n">
        <v>0</v>
      </c>
      <c r="O1251" t="n">
        <v>0</v>
      </c>
      <c r="P1251" t="n">
        <v>0</v>
      </c>
      <c r="Q1251" t="n">
        <v>1</v>
      </c>
      <c r="R1251" t="n">
        <v>0</v>
      </c>
      <c r="S1251" t="n">
        <v>1</v>
      </c>
      <c r="T1251" t="n">
        <v>1</v>
      </c>
      <c r="U1251" t="n">
        <v>0</v>
      </c>
      <c r="V1251" s="2" t="inlineStr">
        <is>
          <t>Rödfläckigt jordfly</t>
        </is>
      </c>
      <c r="W1251">
        <f>HYPERLINK("https://klasma.github.io/Logging_2023/artfynd/A 51675-2022 artfynd.xlsx", "A 51675-2022")</f>
        <v/>
      </c>
      <c r="X1251">
        <f>HYPERLINK("https://klasma.github.io/Logging_2023/kartor/A 51675-2022 karta.png", "A 51675-2022")</f>
        <v/>
      </c>
      <c r="Y1251">
        <f>HYPERLINK("https://klasma.github.io/Logging_2023/kartor_geotiff/A 51675-2022 georefererad karta.tif", "A 51675-2022")</f>
        <v/>
      </c>
      <c r="AA1251">
        <f>HYPERLINK("https://klasma.github.io/Logging_2023/klagomål/A 51675-2022 FSC-klagomål.docx", "A 51675-2022")</f>
        <v/>
      </c>
      <c r="AB1251">
        <f>HYPERLINK("https://klasma.github.io/Logging_2023/klagomålsmail/A 51675-2022 FSC-klagomål mail.docx", "A 51675-2022")</f>
        <v/>
      </c>
      <c r="AC1251">
        <f>HYPERLINK("https://klasma.github.io/Logging_2023/tillsyn/A 51675-2022 tillsynsbegäran.docx", "A 51675-2022")</f>
        <v/>
      </c>
      <c r="AD1251">
        <f>HYPERLINK("https://klasma.github.io/Logging_2023/tillsynsmail/A 51675-2022 tillsynsbegäran mail.docx", "A 51675-2022")</f>
        <v/>
      </c>
    </row>
    <row r="1252" ht="15" customHeight="1">
      <c r="A1252" t="inlineStr">
        <is>
          <t>A 60710-2025</t>
        </is>
      </c>
      <c r="B1252" t="inlineStr">
        <is>
          <t>avverkningsanmälan</t>
        </is>
      </c>
      <c r="C1252" t="inlineStr">
        <is>
          <t>Föryngringsavverkning</t>
        </is>
      </c>
      <c r="D1252" s="1" t="n">
        <v>45996</v>
      </c>
      <c r="E1252" s="1" t="n">
        <v>46319</v>
      </c>
      <c r="F1252" t="inlineStr">
        <is>
          <t>DALARNAS LÄN</t>
        </is>
      </c>
      <c r="G1252" t="inlineStr">
        <is>
          <t>RÄTTVIK</t>
        </is>
      </c>
      <c r="I1252" t="n">
        <v>1.2</v>
      </c>
      <c r="J1252" t="n">
        <v>0</v>
      </c>
      <c r="K1252" t="n">
        <v>0</v>
      </c>
      <c r="L1252" t="n">
        <v>0</v>
      </c>
      <c r="M1252" t="n">
        <v>1</v>
      </c>
      <c r="N1252" t="n">
        <v>0</v>
      </c>
      <c r="O1252" t="n">
        <v>0</v>
      </c>
      <c r="P1252" t="n">
        <v>0</v>
      </c>
      <c r="Q1252" t="n">
        <v>1</v>
      </c>
      <c r="R1252" t="n">
        <v>1</v>
      </c>
      <c r="S1252" t="n">
        <v>1</v>
      </c>
      <c r="T1252" t="n">
        <v>4</v>
      </c>
      <c r="U1252" t="n">
        <v>4</v>
      </c>
      <c r="V1252" s="2" t="inlineStr">
        <is>
          <t>Garnlav</t>
        </is>
      </c>
      <c r="W1252">
        <f>HYPERLINK("https://klasma.github.io/Logging_2031/artfynd/A 60710-2025 artfynd.xlsx", "A 60710-2025")</f>
        <v/>
      </c>
      <c r="X1252">
        <f>HYPERLINK("https://klasma.github.io/Logging_2031/kartor/A 60710-2025 karta.png", "A 60710-2025")</f>
        <v/>
      </c>
      <c r="Y1252">
        <f>HYPERLINK("https://klasma.github.io/Logging_2031/kartor_geotiff/A 60710-2025 georefererad karta.tif", "A 60710-2025")</f>
        <v/>
      </c>
      <c r="AA1252">
        <f>HYPERLINK("https://klasma.github.io/Logging_2031/klagomål/A 60710-2025 FSC-klagomål.docx", "A 60710-2025")</f>
        <v/>
      </c>
      <c r="AB1252">
        <f>HYPERLINK("https://klasma.github.io/Logging_2031/klagomålsmail/A 60710-2025 FSC-klagomål mail.docx", "A 60710-2025")</f>
        <v/>
      </c>
      <c r="AC1252">
        <f>HYPERLINK("https://klasma.github.io/Logging_2031/tillsyn/A 60710-2025 tillsynsbegäran.docx", "A 60710-2025")</f>
        <v/>
      </c>
      <c r="AD1252">
        <f>HYPERLINK("https://klasma.github.io/Logging_2031/tillsynsmail/A 60710-2025 tillsynsbegäran mail.docx", "A 60710-2025")</f>
        <v/>
      </c>
    </row>
    <row r="1253" ht="15" customHeight="1">
      <c r="A1253" t="inlineStr">
        <is>
          <t>A 31352-2026</t>
        </is>
      </c>
      <c r="B1253" t="inlineStr">
        <is>
          <t>avverkningsanmälan</t>
        </is>
      </c>
      <c r="C1253" t="inlineStr">
        <is>
          <t>Föryngringsavverkning</t>
        </is>
      </c>
      <c r="D1253" s="1" t="n">
        <v>46219</v>
      </c>
      <c r="E1253" s="1" t="n">
        <v>46319</v>
      </c>
      <c r="F1253" t="inlineStr">
        <is>
          <t>DALARNAS LÄN</t>
        </is>
      </c>
      <c r="G1253" t="inlineStr">
        <is>
          <t>LUDVIKA</t>
        </is>
      </c>
      <c r="H1253" t="inlineStr">
        <is>
          <t>Bergvik skog väst AB</t>
        </is>
      </c>
      <c r="I1253" t="n">
        <v>1.2</v>
      </c>
      <c r="J1253" t="n">
        <v>1</v>
      </c>
      <c r="K1253" t="n">
        <v>1</v>
      </c>
      <c r="L1253" t="n">
        <v>0</v>
      </c>
      <c r="M1253" t="n">
        <v>0</v>
      </c>
      <c r="N1253" t="n">
        <v>0</v>
      </c>
      <c r="O1253" t="n">
        <v>0</v>
      </c>
      <c r="P1253" t="n">
        <v>0</v>
      </c>
      <c r="Q1253" t="n">
        <v>0</v>
      </c>
      <c r="R1253" t="n">
        <v>0</v>
      </c>
      <c r="S1253" t="n">
        <v>1</v>
      </c>
      <c r="T1253" t="n">
        <v>1</v>
      </c>
      <c r="U1253" t="n">
        <v>0</v>
      </c>
      <c r="V1253" s="2" t="inlineStr">
        <is>
          <t>Tvåblad</t>
        </is>
      </c>
      <c r="W1253">
        <f>HYPERLINK("https://klasma.github.io/Logging_2085/artfynd/A 31352-2026 artfynd.xlsx", "A 31352-2026")</f>
        <v/>
      </c>
      <c r="X1253">
        <f>HYPERLINK("https://klasma.github.io/Logging_2085/kartor/A 31352-2026 karta.png", "A 31352-2026")</f>
        <v/>
      </c>
      <c r="Y1253">
        <f>HYPERLINK("https://klasma.github.io/Logging_2085/kartor_geotiff/A 31352-2026 georefererad karta.tif", "A 31352-2026")</f>
        <v/>
      </c>
      <c r="AA1253">
        <f>HYPERLINK("https://klasma.github.io/Logging_2085/klagomål/A 31352-2026 FSC-klagomål.docx", "A 31352-2026")</f>
        <v/>
      </c>
      <c r="AB1253">
        <f>HYPERLINK("https://klasma.github.io/Logging_2085/klagomålsmail/A 31352-2026 FSC-klagomål mail.docx", "A 31352-2026")</f>
        <v/>
      </c>
      <c r="AC1253">
        <f>HYPERLINK("https://klasma.github.io/Logging_2085/tillsyn/A 31352-2026 tillsynsbegäran.docx", "A 31352-2026")</f>
        <v/>
      </c>
      <c r="AD1253">
        <f>HYPERLINK("https://klasma.github.io/Logging_2085/tillsynsmail/A 31352-2026 tillsynsbegäran mail.docx", "A 31352-2026")</f>
        <v/>
      </c>
    </row>
    <row r="1254" ht="15" customHeight="1">
      <c r="A1254" t="inlineStr">
        <is>
          <t>A 61197-2025</t>
        </is>
      </c>
      <c r="B1254" t="inlineStr">
        <is>
          <t>avverkningsanmälan</t>
        </is>
      </c>
      <c r="C1254" t="inlineStr">
        <is>
          <t>Föryngringsavverkning</t>
        </is>
      </c>
      <c r="D1254" s="1" t="n">
        <v>46000</v>
      </c>
      <c r="E1254" s="1" t="n">
        <v>46319</v>
      </c>
      <c r="F1254" t="inlineStr">
        <is>
          <t>DALARNAS LÄN</t>
        </is>
      </c>
      <c r="G1254" t="inlineStr">
        <is>
          <t>SÄTER</t>
        </is>
      </c>
      <c r="I1254" t="n">
        <v>4.1</v>
      </c>
      <c r="J1254" t="n">
        <v>1</v>
      </c>
      <c r="K1254" t="n">
        <v>0</v>
      </c>
      <c r="L1254" t="n">
        <v>0</v>
      </c>
      <c r="M1254" t="n">
        <v>1</v>
      </c>
      <c r="N1254" t="n">
        <v>0</v>
      </c>
      <c r="O1254" t="n">
        <v>0</v>
      </c>
      <c r="P1254" t="n">
        <v>0</v>
      </c>
      <c r="Q1254" t="n">
        <v>1</v>
      </c>
      <c r="R1254" t="n">
        <v>1</v>
      </c>
      <c r="S1254" t="n">
        <v>1</v>
      </c>
      <c r="T1254" t="n">
        <v>1</v>
      </c>
      <c r="U1254" t="n">
        <v>1</v>
      </c>
      <c r="V1254" s="2" t="inlineStr">
        <is>
          <t>Knärot</t>
        </is>
      </c>
      <c r="W1254">
        <f>HYPERLINK("https://klasma.github.io/Logging_2082/artfynd/A 61197-2025 artfynd.xlsx", "A 61197-2025")</f>
        <v/>
      </c>
      <c r="X1254">
        <f>HYPERLINK("https://klasma.github.io/Logging_2082/kartor/A 61197-2025 karta.png", "A 61197-2025")</f>
        <v/>
      </c>
      <c r="Y1254">
        <f>HYPERLINK("https://klasma.github.io/Logging_2082/kartor_geotiff/A 61197-2025 georefererad karta.tif", "A 61197-2025")</f>
        <v/>
      </c>
      <c r="Z1254">
        <f>HYPERLINK("https://klasma.github.io/Logging_2082/knärot/A 61197-2025 karta knärot.png", "A 61197-2025")</f>
        <v/>
      </c>
      <c r="AA1254">
        <f>HYPERLINK("https://klasma.github.io/Logging_2082/klagomål/A 61197-2025 FSC-klagomål.docx", "A 61197-2025")</f>
        <v/>
      </c>
      <c r="AB1254">
        <f>HYPERLINK("https://klasma.github.io/Logging_2082/klagomålsmail/A 61197-2025 FSC-klagomål mail.docx", "A 61197-2025")</f>
        <v/>
      </c>
      <c r="AC1254">
        <f>HYPERLINK("https://klasma.github.io/Logging_2082/tillsyn/A 61197-2025 tillsynsbegäran.docx", "A 61197-2025")</f>
        <v/>
      </c>
      <c r="AD1254">
        <f>HYPERLINK("https://klasma.github.io/Logging_2082/tillsynsmail/A 61197-2025 tillsynsbegäran mail.docx", "A 61197-2025")</f>
        <v/>
      </c>
    </row>
    <row r="1255" ht="15" customHeight="1">
      <c r="A1255" t="inlineStr">
        <is>
          <t>A 60816-2025</t>
        </is>
      </c>
      <c r="B1255" t="inlineStr">
        <is>
          <t>avverkningsanmälan</t>
        </is>
      </c>
      <c r="C1255" t="inlineStr">
        <is>
          <t>Föryngringsavverkning</t>
        </is>
      </c>
      <c r="D1255" s="1" t="n">
        <v>45999</v>
      </c>
      <c r="E1255" s="1" t="n">
        <v>46319</v>
      </c>
      <c r="F1255" t="inlineStr">
        <is>
          <t>DALARNAS LÄN</t>
        </is>
      </c>
      <c r="G1255" t="inlineStr">
        <is>
          <t>SMEDJEBACKEN</t>
        </is>
      </c>
      <c r="I1255" t="n">
        <v>2.3</v>
      </c>
      <c r="J1255" t="n">
        <v>0</v>
      </c>
      <c r="K1255" t="n">
        <v>1</v>
      </c>
      <c r="L1255" t="n">
        <v>0</v>
      </c>
      <c r="M1255" t="n">
        <v>0</v>
      </c>
      <c r="N1255" t="n">
        <v>0</v>
      </c>
      <c r="O1255" t="n">
        <v>0</v>
      </c>
      <c r="P1255" t="n">
        <v>0</v>
      </c>
      <c r="Q1255" t="n">
        <v>0</v>
      </c>
      <c r="R1255" t="n">
        <v>0</v>
      </c>
      <c r="S1255" t="n">
        <v>1</v>
      </c>
      <c r="T1255" t="n">
        <v>1</v>
      </c>
      <c r="U1255" t="n">
        <v>1</v>
      </c>
      <c r="V1255" s="2" t="inlineStr">
        <is>
          <t>Jättesvampmal</t>
        </is>
      </c>
      <c r="W1255">
        <f>HYPERLINK("https://klasma.github.io/Logging_2061/artfynd/A 60816-2025 artfynd.xlsx", "A 60816-2025")</f>
        <v/>
      </c>
      <c r="X1255">
        <f>HYPERLINK("https://klasma.github.io/Logging_2061/kartor/A 60816-2025 karta.png", "A 60816-2025")</f>
        <v/>
      </c>
      <c r="Y1255">
        <f>HYPERLINK("https://klasma.github.io/Logging_2061/kartor_geotiff/A 60816-2025 georefererad karta.tif", "A 60816-2025")</f>
        <v/>
      </c>
      <c r="AA1255">
        <f>HYPERLINK("https://klasma.github.io/Logging_2061/klagomål/A 60816-2025 FSC-klagomål.docx", "A 60816-2025")</f>
        <v/>
      </c>
      <c r="AB1255">
        <f>HYPERLINK("https://klasma.github.io/Logging_2061/klagomålsmail/A 60816-2025 FSC-klagomål mail.docx", "A 60816-2025")</f>
        <v/>
      </c>
      <c r="AC1255">
        <f>HYPERLINK("https://klasma.github.io/Logging_2061/tillsyn/A 60816-2025 tillsynsbegäran.docx", "A 60816-2025")</f>
        <v/>
      </c>
      <c r="AD1255">
        <f>HYPERLINK("https://klasma.github.io/Logging_2061/tillsynsmail/A 60816-2025 tillsynsbegäran mail.docx", "A 60816-2025")</f>
        <v/>
      </c>
    </row>
    <row r="1256" ht="15" customHeight="1">
      <c r="A1256" t="inlineStr">
        <is>
          <t>A 61589-2025</t>
        </is>
      </c>
      <c r="B1256" t="inlineStr">
        <is>
          <t>avverkningsanmälan</t>
        </is>
      </c>
      <c r="C1256" t="inlineStr">
        <is>
          <t>Föryngringsavverkning</t>
        </is>
      </c>
      <c r="D1256" s="1" t="n">
        <v>46002</v>
      </c>
      <c r="E1256" s="1" t="n">
        <v>46319</v>
      </c>
      <c r="F1256" t="inlineStr">
        <is>
          <t>DALARNAS LÄN</t>
        </is>
      </c>
      <c r="G1256" t="inlineStr">
        <is>
          <t>ÄLVDALEN</t>
        </is>
      </c>
      <c r="H1256" t="inlineStr">
        <is>
          <t>Sveaskog</t>
        </is>
      </c>
      <c r="I1256" t="n">
        <v>2.4</v>
      </c>
      <c r="J1256" t="n">
        <v>0</v>
      </c>
      <c r="K1256" t="n">
        <v>0</v>
      </c>
      <c r="L1256" t="n">
        <v>1</v>
      </c>
      <c r="M1256" t="n">
        <v>0</v>
      </c>
      <c r="N1256" t="n">
        <v>0</v>
      </c>
      <c r="O1256" t="n">
        <v>0</v>
      </c>
      <c r="P1256" t="n">
        <v>0</v>
      </c>
      <c r="Q1256" t="n">
        <v>1</v>
      </c>
      <c r="R1256" t="n">
        <v>0</v>
      </c>
      <c r="S1256" t="n">
        <v>1</v>
      </c>
      <c r="T1256" t="n">
        <v>1</v>
      </c>
      <c r="U1256" t="n">
        <v>0</v>
      </c>
      <c r="V1256" s="2" t="inlineStr">
        <is>
          <t>Skrovellav</t>
        </is>
      </c>
      <c r="W1256">
        <f>HYPERLINK("https://klasma.github.io/Logging_2039/artfynd/A 61589-2025 artfynd.xlsx", "A 61589-2025")</f>
        <v/>
      </c>
      <c r="X1256">
        <f>HYPERLINK("https://klasma.github.io/Logging_2039/kartor/A 61589-2025 karta.png", "A 61589-2025")</f>
        <v/>
      </c>
      <c r="Y1256">
        <f>HYPERLINK("https://klasma.github.io/Logging_2039/kartor_geotiff/A 61589-2025 georefererad karta.tif", "A 61589-2025")</f>
        <v/>
      </c>
      <c r="AA1256">
        <f>HYPERLINK("https://klasma.github.io/Logging_2039/klagomål/A 61589-2025 FSC-klagomål.docx", "A 61589-2025")</f>
        <v/>
      </c>
      <c r="AB1256">
        <f>HYPERLINK("https://klasma.github.io/Logging_2039/klagomålsmail/A 61589-2025 FSC-klagomål mail.docx", "A 61589-2025")</f>
        <v/>
      </c>
      <c r="AC1256">
        <f>HYPERLINK("https://klasma.github.io/Logging_2039/tillsyn/A 61589-2025 tillsynsbegäran.docx", "A 61589-2025")</f>
        <v/>
      </c>
      <c r="AD1256">
        <f>HYPERLINK("https://klasma.github.io/Logging_2039/tillsynsmail/A 61589-2025 tillsynsbegäran mail.docx", "A 61589-2025")</f>
        <v/>
      </c>
    </row>
    <row r="1257" ht="15" customHeight="1">
      <c r="A1257" t="inlineStr">
        <is>
          <t>A 31488-2026</t>
        </is>
      </c>
      <c r="B1257" t="inlineStr">
        <is>
          <t>avverkningsanmälan</t>
        </is>
      </c>
      <c r="C1257" t="inlineStr">
        <is>
          <t>Föryngringsavverkning</t>
        </is>
      </c>
      <c r="D1257" s="1" t="n">
        <v>46223</v>
      </c>
      <c r="E1257" s="1" t="n">
        <v>46319</v>
      </c>
      <c r="F1257" t="inlineStr">
        <is>
          <t>DALARNAS LÄN</t>
        </is>
      </c>
      <c r="G1257" t="inlineStr">
        <is>
          <t>ÄLVDALEN</t>
        </is>
      </c>
      <c r="I1257" t="n">
        <v>2.9</v>
      </c>
      <c r="J1257" t="n">
        <v>1</v>
      </c>
      <c r="K1257" t="n">
        <v>0</v>
      </c>
      <c r="L1257" t="n">
        <v>1</v>
      </c>
      <c r="M1257" t="n">
        <v>0</v>
      </c>
      <c r="N1257" t="n">
        <v>0</v>
      </c>
      <c r="O1257" t="n">
        <v>0</v>
      </c>
      <c r="P1257" t="n">
        <v>0</v>
      </c>
      <c r="Q1257" t="n">
        <v>1</v>
      </c>
      <c r="R1257" t="n">
        <v>0</v>
      </c>
      <c r="S1257" t="n">
        <v>1</v>
      </c>
      <c r="T1257" t="n">
        <v>2</v>
      </c>
      <c r="U1257" t="n">
        <v>0</v>
      </c>
      <c r="V1257" s="2" t="inlineStr">
        <is>
          <t>Tretåig hackspett</t>
        </is>
      </c>
      <c r="W1257">
        <f>HYPERLINK("https://klasma.github.io/Logging_2039/artfynd/A 31488-2026 artfynd.xlsx", "A 31488-2026")</f>
        <v/>
      </c>
      <c r="X1257">
        <f>HYPERLINK("https://klasma.github.io/Logging_2039/kartor/A 31488-2026 karta.png", "A 31488-2026")</f>
        <v/>
      </c>
      <c r="Y1257">
        <f>HYPERLINK("https://klasma.github.io/Logging_2039/kartor_geotiff/A 31488-2026 georefererad karta.tif", "A 31488-2026")</f>
        <v/>
      </c>
      <c r="AA1257">
        <f>HYPERLINK("https://klasma.github.io/Logging_2039/klagomål/A 31488-2026 FSC-klagomål.docx", "A 31488-2026")</f>
        <v/>
      </c>
      <c r="AB1257">
        <f>HYPERLINK("https://klasma.github.io/Logging_2039/klagomålsmail/A 31488-2026 FSC-klagomål mail.docx", "A 31488-2026")</f>
        <v/>
      </c>
      <c r="AC1257">
        <f>HYPERLINK("https://klasma.github.io/Logging_2039/tillsyn/A 31488-2026 tillsynsbegäran.docx", "A 31488-2026")</f>
        <v/>
      </c>
      <c r="AD1257">
        <f>HYPERLINK("https://klasma.github.io/Logging_2039/tillsynsmail/A 31488-2026 tillsynsbegäran mail.docx", "A 31488-2026")</f>
        <v/>
      </c>
      <c r="AE1257">
        <f>HYPERLINK("https://klasma.github.io/Logging_2039/fåglar/A 31488-2026 prioriterade fågelarter.docx", "A 31488-2026")</f>
        <v/>
      </c>
    </row>
    <row r="1258" ht="15" customHeight="1">
      <c r="A1258" t="inlineStr">
        <is>
          <t>A 28550-2024</t>
        </is>
      </c>
      <c r="B1258" t="inlineStr">
        <is>
          <t>avverkningsanmälan</t>
        </is>
      </c>
      <c r="C1258" t="inlineStr">
        <is>
          <t>Föryngringsavverkning</t>
        </is>
      </c>
      <c r="D1258" s="1" t="n">
        <v>45478</v>
      </c>
      <c r="E1258" s="1" t="n">
        <v>46319</v>
      </c>
      <c r="F1258" t="inlineStr">
        <is>
          <t>DALARNAS LÄN</t>
        </is>
      </c>
      <c r="G1258" t="inlineStr">
        <is>
          <t>GAGNEF</t>
        </is>
      </c>
      <c r="H1258" t="inlineStr">
        <is>
          <t>Bergvik skog väst AB</t>
        </is>
      </c>
      <c r="I1258" t="n">
        <v>2.6</v>
      </c>
      <c r="J1258" t="n">
        <v>0</v>
      </c>
      <c r="K1258" t="n">
        <v>0</v>
      </c>
      <c r="L1258" t="n">
        <v>0</v>
      </c>
      <c r="M1258" t="n">
        <v>1</v>
      </c>
      <c r="N1258" t="n">
        <v>0</v>
      </c>
      <c r="O1258" t="n">
        <v>0</v>
      </c>
      <c r="P1258" t="n">
        <v>0</v>
      </c>
      <c r="Q1258" t="n">
        <v>1</v>
      </c>
      <c r="R1258" t="n">
        <v>1</v>
      </c>
      <c r="S1258" t="n">
        <v>1</v>
      </c>
      <c r="T1258" t="n">
        <v>1</v>
      </c>
      <c r="U1258" t="n">
        <v>1</v>
      </c>
      <c r="V1258" s="2" t="inlineStr">
        <is>
          <t>Citronporing</t>
        </is>
      </c>
      <c r="W1258">
        <f>HYPERLINK("https://klasma.github.io/Logging_2026/artfynd/A 28550-2024 artfynd.xlsx", "A 28550-2024")</f>
        <v/>
      </c>
      <c r="X1258">
        <f>HYPERLINK("https://klasma.github.io/Logging_2026/kartor/A 28550-2024 karta.png", "A 28550-2024")</f>
        <v/>
      </c>
      <c r="Y1258">
        <f>HYPERLINK("https://klasma.github.io/Logging_2026/kartor_geotiff/A 28550-2024 georefererad karta.tif", "A 28550-2024")</f>
        <v/>
      </c>
      <c r="AA1258">
        <f>HYPERLINK("https://klasma.github.io/Logging_2026/klagomål/A 28550-2024 FSC-klagomål.docx", "A 28550-2024")</f>
        <v/>
      </c>
      <c r="AB1258">
        <f>HYPERLINK("https://klasma.github.io/Logging_2026/klagomålsmail/A 28550-2024 FSC-klagomål mail.docx", "A 28550-2024")</f>
        <v/>
      </c>
      <c r="AC1258">
        <f>HYPERLINK("https://klasma.github.io/Logging_2026/tillsyn/A 28550-2024 tillsynsbegäran.docx", "A 28550-2024")</f>
        <v/>
      </c>
      <c r="AD1258">
        <f>HYPERLINK("https://klasma.github.io/Logging_2026/tillsynsmail/A 28550-2024 tillsynsbegäran mail.docx", "A 28550-2024")</f>
        <v/>
      </c>
    </row>
    <row r="1259" ht="15" customHeight="1">
      <c r="A1259" t="inlineStr">
        <is>
          <t>A 31600-2026</t>
        </is>
      </c>
      <c r="B1259" t="inlineStr">
        <is>
          <t>avverkningsanmälan</t>
        </is>
      </c>
      <c r="C1259" t="inlineStr">
        <is>
          <t>Föryngringsavverkning</t>
        </is>
      </c>
      <c r="D1259" s="1" t="n">
        <v>46224</v>
      </c>
      <c r="E1259" s="1" t="n">
        <v>46319</v>
      </c>
      <c r="F1259" t="inlineStr">
        <is>
          <t>DALARNAS LÄN</t>
        </is>
      </c>
      <c r="G1259" t="inlineStr">
        <is>
          <t>ORSA</t>
        </is>
      </c>
      <c r="H1259" t="inlineStr">
        <is>
          <t>Bergvik skog öst AB</t>
        </is>
      </c>
      <c r="I1259" t="n">
        <v>9.9</v>
      </c>
      <c r="J1259" t="n">
        <v>1</v>
      </c>
      <c r="K1259" t="n">
        <v>0</v>
      </c>
      <c r="L1259" t="n">
        <v>0</v>
      </c>
      <c r="M1259" t="n">
        <v>0</v>
      </c>
      <c r="N1259" t="n">
        <v>0</v>
      </c>
      <c r="O1259" t="n">
        <v>0</v>
      </c>
      <c r="P1259" t="n">
        <v>0</v>
      </c>
      <c r="Q1259" t="n">
        <v>0</v>
      </c>
      <c r="R1259" t="n">
        <v>0</v>
      </c>
      <c r="S1259" t="n">
        <v>1</v>
      </c>
      <c r="T1259" t="n">
        <v>1</v>
      </c>
      <c r="U1259" t="n">
        <v>0</v>
      </c>
      <c r="V1259" s="2" t="inlineStr">
        <is>
          <t>Mattlummer</t>
        </is>
      </c>
      <c r="W1259">
        <f>HYPERLINK("https://klasma.github.io/Logging_2034/artfynd/A 31600-2026 artfynd.xlsx", "A 31600-2026")</f>
        <v/>
      </c>
      <c r="X1259">
        <f>HYPERLINK("https://klasma.github.io/Logging_2034/kartor/A 31600-2026 karta.png", "A 31600-2026")</f>
        <v/>
      </c>
      <c r="Y1259">
        <f>HYPERLINK("https://klasma.github.io/Logging_2034/kartor_geotiff/A 31600-2026 georefererad karta.tif", "A 31600-2026")</f>
        <v/>
      </c>
      <c r="AA1259">
        <f>HYPERLINK("https://klasma.github.io/Logging_2034/klagomål/A 31600-2026 FSC-klagomål.docx", "A 31600-2026")</f>
        <v/>
      </c>
      <c r="AB1259">
        <f>HYPERLINK("https://klasma.github.io/Logging_2034/klagomålsmail/A 31600-2026 FSC-klagomål mail.docx", "A 31600-2026")</f>
        <v/>
      </c>
      <c r="AC1259">
        <f>HYPERLINK("https://klasma.github.io/Logging_2034/tillsyn/A 31600-2026 tillsynsbegäran.docx", "A 31600-2026")</f>
        <v/>
      </c>
      <c r="AD1259">
        <f>HYPERLINK("https://klasma.github.io/Logging_2034/tillsynsmail/A 31600-2026 tillsynsbegäran mail.docx", "A 31600-2026")</f>
        <v/>
      </c>
    </row>
    <row r="1260" ht="15" customHeight="1">
      <c r="A1260" t="inlineStr">
        <is>
          <t>A 6936-2024</t>
        </is>
      </c>
      <c r="B1260" t="inlineStr">
        <is>
          <t>avverkningsanmälan</t>
        </is>
      </c>
      <c r="C1260" t="inlineStr">
        <is>
          <t>Föryngringsavverkning</t>
        </is>
      </c>
      <c r="D1260" s="1" t="n">
        <v>45343</v>
      </c>
      <c r="E1260" s="1" t="n">
        <v>46319</v>
      </c>
      <c r="F1260" t="inlineStr">
        <is>
          <t>DALARNAS LÄN</t>
        </is>
      </c>
      <c r="G1260" t="inlineStr">
        <is>
          <t>FALUN</t>
        </is>
      </c>
      <c r="I1260" t="n">
        <v>2.1</v>
      </c>
      <c r="J1260" t="n">
        <v>1</v>
      </c>
      <c r="K1260" t="n">
        <v>0</v>
      </c>
      <c r="L1260" t="n">
        <v>1</v>
      </c>
      <c r="M1260" t="n">
        <v>0</v>
      </c>
      <c r="N1260" t="n">
        <v>0</v>
      </c>
      <c r="O1260" t="n">
        <v>0</v>
      </c>
      <c r="P1260" t="n">
        <v>0</v>
      </c>
      <c r="Q1260" t="n">
        <v>1</v>
      </c>
      <c r="R1260" t="n">
        <v>0</v>
      </c>
      <c r="S1260" t="n">
        <v>1</v>
      </c>
      <c r="T1260" t="n">
        <v>1</v>
      </c>
      <c r="U1260" t="n">
        <v>1</v>
      </c>
      <c r="V1260" s="2" t="inlineStr">
        <is>
          <t>Talltita</t>
        </is>
      </c>
      <c r="W1260">
        <f>HYPERLINK("https://klasma.github.io/Logging_2080/artfynd/A 6936-2024 artfynd.xlsx", "A 6936-2024")</f>
        <v/>
      </c>
      <c r="X1260">
        <f>HYPERLINK("https://klasma.github.io/Logging_2080/kartor/A 6936-2024 karta.png", "A 6936-2024")</f>
        <v/>
      </c>
      <c r="Y1260">
        <f>HYPERLINK("https://klasma.github.io/Logging_2080/kartor_geotiff/A 6936-2024 georefererad karta.tif", "A 6936-2024")</f>
        <v/>
      </c>
      <c r="AA1260">
        <f>HYPERLINK("https://klasma.github.io/Logging_2080/klagomål/A 6936-2024 FSC-klagomål.docx", "A 6936-2024")</f>
        <v/>
      </c>
      <c r="AB1260">
        <f>HYPERLINK("https://klasma.github.io/Logging_2080/klagomålsmail/A 6936-2024 FSC-klagomål mail.docx", "A 6936-2024")</f>
        <v/>
      </c>
      <c r="AC1260">
        <f>HYPERLINK("https://klasma.github.io/Logging_2080/tillsyn/A 6936-2024 tillsynsbegäran.docx", "A 6936-2024")</f>
        <v/>
      </c>
      <c r="AD1260">
        <f>HYPERLINK("https://klasma.github.io/Logging_2080/tillsynsmail/A 6936-2024 tillsynsbegäran mail.docx", "A 6936-2024")</f>
        <v/>
      </c>
      <c r="AE1260">
        <f>HYPERLINK("https://klasma.github.io/Logging_2080/fåglar/A 6936-2024 prioriterade fågelarter.docx", "A 6936-2024")</f>
        <v/>
      </c>
    </row>
    <row r="1261" ht="15" customHeight="1">
      <c r="A1261" t="inlineStr">
        <is>
          <t>A 62096-2025</t>
        </is>
      </c>
      <c r="B1261" t="inlineStr">
        <is>
          <t>avverkningsanmälan</t>
        </is>
      </c>
      <c r="C1261" t="inlineStr">
        <is>
          <t>Föryngringsavverkning</t>
        </is>
      </c>
      <c r="D1261" s="1" t="n">
        <v>46006</v>
      </c>
      <c r="E1261" s="1" t="n">
        <v>46319</v>
      </c>
      <c r="F1261" t="inlineStr">
        <is>
          <t>DALARNAS LÄN</t>
        </is>
      </c>
      <c r="G1261" t="inlineStr">
        <is>
          <t>MORA</t>
        </is>
      </c>
      <c r="I1261" t="n">
        <v>4.1</v>
      </c>
      <c r="J1261" t="n">
        <v>0</v>
      </c>
      <c r="K1261" t="n">
        <v>0</v>
      </c>
      <c r="L1261" t="n">
        <v>0</v>
      </c>
      <c r="M1261" t="n">
        <v>1</v>
      </c>
      <c r="N1261" t="n">
        <v>0</v>
      </c>
      <c r="O1261" t="n">
        <v>0</v>
      </c>
      <c r="P1261" t="n">
        <v>0</v>
      </c>
      <c r="Q1261" t="n">
        <v>1</v>
      </c>
      <c r="R1261" t="n">
        <v>1</v>
      </c>
      <c r="S1261" t="n">
        <v>1</v>
      </c>
      <c r="T1261" t="n">
        <v>1</v>
      </c>
      <c r="U1261" t="n">
        <v>1</v>
      </c>
      <c r="V1261" s="2" t="inlineStr">
        <is>
          <t>Garnlav</t>
        </is>
      </c>
      <c r="W1261">
        <f>HYPERLINK("https://klasma.github.io/Logging_2062/artfynd/A 62096-2025 artfynd.xlsx", "A 62096-2025")</f>
        <v/>
      </c>
      <c r="X1261">
        <f>HYPERLINK("https://klasma.github.io/Logging_2062/kartor/A 62096-2025 karta.png", "A 62096-2025")</f>
        <v/>
      </c>
      <c r="Y1261">
        <f>HYPERLINK("https://klasma.github.io/Logging_2062/kartor_geotiff/A 62096-2025 georefererad karta.tif", "A 62096-2025")</f>
        <v/>
      </c>
      <c r="AA1261">
        <f>HYPERLINK("https://klasma.github.io/Logging_2062/klagomål/A 62096-2025 FSC-klagomål.docx", "A 62096-2025")</f>
        <v/>
      </c>
      <c r="AB1261">
        <f>HYPERLINK("https://klasma.github.io/Logging_2062/klagomålsmail/A 62096-2025 FSC-klagomål mail.docx", "A 62096-2025")</f>
        <v/>
      </c>
      <c r="AC1261">
        <f>HYPERLINK("https://klasma.github.io/Logging_2062/tillsyn/A 62096-2025 tillsynsbegäran.docx", "A 62096-2025")</f>
        <v/>
      </c>
      <c r="AD1261">
        <f>HYPERLINK("https://klasma.github.io/Logging_2062/tillsynsmail/A 62096-2025 tillsynsbegäran mail.docx", "A 62096-2025")</f>
        <v/>
      </c>
    </row>
    <row r="1262" ht="15" customHeight="1">
      <c r="A1262" t="inlineStr">
        <is>
          <t>A 31886-2026</t>
        </is>
      </c>
      <c r="B1262" t="inlineStr">
        <is>
          <t>avverkningsanmälan</t>
        </is>
      </c>
      <c r="C1262" t="inlineStr">
        <is>
          <t>Föryngringsavverkning</t>
        </is>
      </c>
      <c r="D1262" s="1" t="n">
        <v>46231</v>
      </c>
      <c r="E1262" s="1" t="n">
        <v>46319</v>
      </c>
      <c r="F1262" t="inlineStr">
        <is>
          <t>DALARNAS LÄN</t>
        </is>
      </c>
      <c r="G1262" t="inlineStr">
        <is>
          <t>ÄLVDALEN</t>
        </is>
      </c>
      <c r="H1262" t="inlineStr">
        <is>
          <t>Bergvik skog väst AB</t>
        </is>
      </c>
      <c r="I1262" t="n">
        <v>2.2</v>
      </c>
      <c r="J1262" t="n">
        <v>0</v>
      </c>
      <c r="K1262" t="n">
        <v>1</v>
      </c>
      <c r="L1262" t="n">
        <v>0</v>
      </c>
      <c r="M1262" t="n">
        <v>0</v>
      </c>
      <c r="N1262" t="n">
        <v>0</v>
      </c>
      <c r="O1262" t="n">
        <v>0</v>
      </c>
      <c r="P1262" t="n">
        <v>0</v>
      </c>
      <c r="Q1262" t="n">
        <v>0</v>
      </c>
      <c r="R1262" t="n">
        <v>0</v>
      </c>
      <c r="S1262" t="n">
        <v>1</v>
      </c>
      <c r="T1262" t="n">
        <v>1</v>
      </c>
      <c r="U1262" t="n">
        <v>0</v>
      </c>
      <c r="V1262" s="2" t="inlineStr">
        <is>
          <t>Mindre märgborre</t>
        </is>
      </c>
      <c r="W1262">
        <f>HYPERLINK("https://klasma.github.io/Logging_2039/artfynd/A 31886-2026 artfynd.xlsx", "A 31886-2026")</f>
        <v/>
      </c>
      <c r="X1262">
        <f>HYPERLINK("https://klasma.github.io/Logging_2039/kartor/A 31886-2026 karta.png", "A 31886-2026")</f>
        <v/>
      </c>
      <c r="Y1262">
        <f>HYPERLINK("https://klasma.github.io/Logging_2039/kartor_geotiff/A 31886-2026 georefererad karta.tif", "A 31886-2026")</f>
        <v/>
      </c>
      <c r="AA1262">
        <f>HYPERLINK("https://klasma.github.io/Logging_2039/klagomål/A 31886-2026 FSC-klagomål.docx", "A 31886-2026")</f>
        <v/>
      </c>
      <c r="AB1262">
        <f>HYPERLINK("https://klasma.github.io/Logging_2039/klagomålsmail/A 31886-2026 FSC-klagomål mail.docx", "A 31886-2026")</f>
        <v/>
      </c>
      <c r="AC1262">
        <f>HYPERLINK("https://klasma.github.io/Logging_2039/tillsyn/A 31886-2026 tillsynsbegäran.docx", "A 31886-2026")</f>
        <v/>
      </c>
      <c r="AD1262">
        <f>HYPERLINK("https://klasma.github.io/Logging_2039/tillsynsmail/A 31886-2026 tillsynsbegäran mail.docx", "A 31886-2026")</f>
        <v/>
      </c>
    </row>
    <row r="1263" ht="15" customHeight="1">
      <c r="A1263" t="inlineStr">
        <is>
          <t>A 31861-2026</t>
        </is>
      </c>
      <c r="B1263" t="inlineStr">
        <is>
          <t>avverkningsanmälan</t>
        </is>
      </c>
      <c r="C1263" t="inlineStr">
        <is>
          <t>Föryngringsavverkning</t>
        </is>
      </c>
      <c r="D1263" s="1" t="n">
        <v>46231</v>
      </c>
      <c r="E1263" s="1" t="n">
        <v>46319</v>
      </c>
      <c r="F1263" t="inlineStr">
        <is>
          <t>DALARNAS LÄN</t>
        </is>
      </c>
      <c r="G1263" t="inlineStr">
        <is>
          <t>RÄTTVIK</t>
        </is>
      </c>
      <c r="I1263" t="n">
        <v>2.8</v>
      </c>
      <c r="J1263" t="n">
        <v>1</v>
      </c>
      <c r="K1263" t="n">
        <v>0</v>
      </c>
      <c r="L1263" t="n">
        <v>0</v>
      </c>
      <c r="M1263" t="n">
        <v>0</v>
      </c>
      <c r="N1263" t="n">
        <v>0</v>
      </c>
      <c r="O1263" t="n">
        <v>0</v>
      </c>
      <c r="P1263" t="n">
        <v>0</v>
      </c>
      <c r="Q1263" t="n">
        <v>0</v>
      </c>
      <c r="R1263" t="n">
        <v>0</v>
      </c>
      <c r="S1263" t="n">
        <v>1</v>
      </c>
      <c r="T1263" t="n">
        <v>1</v>
      </c>
      <c r="U1263" t="n">
        <v>0</v>
      </c>
      <c r="V1263" s="2" t="inlineStr">
        <is>
          <t>Tjäder</t>
        </is>
      </c>
      <c r="W1263">
        <f>HYPERLINK("https://klasma.github.io/Logging_2031/artfynd/A 31861-2026 artfynd.xlsx", "A 31861-2026")</f>
        <v/>
      </c>
      <c r="X1263">
        <f>HYPERLINK("https://klasma.github.io/Logging_2031/kartor/A 31861-2026 karta.png", "A 31861-2026")</f>
        <v/>
      </c>
      <c r="Y1263">
        <f>HYPERLINK("https://klasma.github.io/Logging_2031/kartor_geotiff/A 31861-2026 georefererad karta.tif", "A 31861-2026")</f>
        <v/>
      </c>
      <c r="AA1263">
        <f>HYPERLINK("https://klasma.github.io/Logging_2031/klagomål/A 31861-2026 FSC-klagomål.docx", "A 31861-2026")</f>
        <v/>
      </c>
      <c r="AB1263">
        <f>HYPERLINK("https://klasma.github.io/Logging_2031/klagomålsmail/A 31861-2026 FSC-klagomål mail.docx", "A 31861-2026")</f>
        <v/>
      </c>
      <c r="AC1263">
        <f>HYPERLINK("https://klasma.github.io/Logging_2031/tillsyn/A 31861-2026 tillsynsbegäran.docx", "A 31861-2026")</f>
        <v/>
      </c>
      <c r="AD1263">
        <f>HYPERLINK("https://klasma.github.io/Logging_2031/tillsynsmail/A 31861-2026 tillsynsbegäran mail.docx", "A 31861-2026")</f>
        <v/>
      </c>
      <c r="AE1263">
        <f>HYPERLINK("https://klasma.github.io/Logging_2031/fåglar/A 31861-2026 prioriterade fågelarter.docx", "A 31861-2026")</f>
        <v/>
      </c>
    </row>
    <row r="1264" ht="15" customHeight="1">
      <c r="A1264" t="inlineStr">
        <is>
          <t>A 19856-2023</t>
        </is>
      </c>
      <c r="B1264" t="inlineStr">
        <is>
          <t>avverkningsanmälan</t>
        </is>
      </c>
      <c r="C1264" t="inlineStr">
        <is>
          <t>Föryngringsavverkning</t>
        </is>
      </c>
      <c r="D1264" s="1" t="n">
        <v>45053</v>
      </c>
      <c r="E1264" s="1" t="n">
        <v>46319</v>
      </c>
      <c r="F1264" t="inlineStr">
        <is>
          <t>DALARNAS LÄN</t>
        </is>
      </c>
      <c r="G1264" t="inlineStr">
        <is>
          <t>MALUNG-SÄLEN</t>
        </is>
      </c>
      <c r="I1264" t="n">
        <v>4.6</v>
      </c>
      <c r="J1264" t="n">
        <v>0</v>
      </c>
      <c r="K1264" t="n">
        <v>1</v>
      </c>
      <c r="L1264" t="n">
        <v>0</v>
      </c>
      <c r="M1264" t="n">
        <v>0</v>
      </c>
      <c r="N1264" t="n">
        <v>0</v>
      </c>
      <c r="O1264" t="n">
        <v>0</v>
      </c>
      <c r="P1264" t="n">
        <v>0</v>
      </c>
      <c r="Q1264" t="n">
        <v>0</v>
      </c>
      <c r="R1264" t="n">
        <v>0</v>
      </c>
      <c r="S1264" t="n">
        <v>1</v>
      </c>
      <c r="T1264" t="n">
        <v>1</v>
      </c>
      <c r="U1264" t="n">
        <v>0</v>
      </c>
      <c r="V1264" s="2" t="inlineStr">
        <is>
          <t>Sotlav</t>
        </is>
      </c>
      <c r="W1264">
        <f>HYPERLINK("https://klasma.github.io/Logging_2023/artfynd/A 19856-2023 artfynd.xlsx", "A 19856-2023")</f>
        <v/>
      </c>
      <c r="X1264">
        <f>HYPERLINK("https://klasma.github.io/Logging_2023/kartor/A 19856-2023 karta.png", "A 19856-2023")</f>
        <v/>
      </c>
      <c r="Y1264">
        <f>HYPERLINK("https://klasma.github.io/Logging_2023/kartor_geotiff/A 19856-2023 georefererad karta.tif", "A 19856-2023")</f>
        <v/>
      </c>
      <c r="AA1264">
        <f>HYPERLINK("https://klasma.github.io/Logging_2023/klagomål/A 19856-2023 FSC-klagomål.docx", "A 19856-2023")</f>
        <v/>
      </c>
      <c r="AB1264">
        <f>HYPERLINK("https://klasma.github.io/Logging_2023/klagomålsmail/A 19856-2023 FSC-klagomål mail.docx", "A 19856-2023")</f>
        <v/>
      </c>
      <c r="AC1264">
        <f>HYPERLINK("https://klasma.github.io/Logging_2023/tillsyn/A 19856-2023 tillsynsbegäran.docx", "A 19856-2023")</f>
        <v/>
      </c>
      <c r="AD1264">
        <f>HYPERLINK("https://klasma.github.io/Logging_2023/tillsynsmail/A 19856-2023 tillsynsbegäran mail.docx", "A 19856-2023")</f>
        <v/>
      </c>
    </row>
    <row r="1265" ht="15" customHeight="1">
      <c r="A1265" t="inlineStr">
        <is>
          <t>A 62676-2025</t>
        </is>
      </c>
      <c r="B1265" t="inlineStr">
        <is>
          <t>avverkningsanmälan</t>
        </is>
      </c>
      <c r="C1265" t="inlineStr">
        <is>
          <t>Föryngringsavverkning</t>
        </is>
      </c>
      <c r="D1265" s="1" t="n">
        <v>46008</v>
      </c>
      <c r="E1265" s="1" t="n">
        <v>46319</v>
      </c>
      <c r="F1265" t="inlineStr">
        <is>
          <t>DALARNAS LÄN</t>
        </is>
      </c>
      <c r="G1265" t="inlineStr">
        <is>
          <t>LUDVIKA</t>
        </is>
      </c>
      <c r="H1265" t="inlineStr">
        <is>
          <t>Bergvik skog väst AB</t>
        </is>
      </c>
      <c r="I1265" t="n">
        <v>4.2</v>
      </c>
      <c r="J1265" t="n">
        <v>0</v>
      </c>
      <c r="K1265" t="n">
        <v>0</v>
      </c>
      <c r="L1265" t="n">
        <v>1</v>
      </c>
      <c r="M1265" t="n">
        <v>0</v>
      </c>
      <c r="N1265" t="n">
        <v>0</v>
      </c>
      <c r="O1265" t="n">
        <v>0</v>
      </c>
      <c r="P1265" t="n">
        <v>0</v>
      </c>
      <c r="Q1265" t="n">
        <v>1</v>
      </c>
      <c r="R1265" t="n">
        <v>0</v>
      </c>
      <c r="S1265" t="n">
        <v>1</v>
      </c>
      <c r="T1265" t="n">
        <v>1</v>
      </c>
      <c r="U1265" t="n">
        <v>0</v>
      </c>
      <c r="V1265" s="2" t="inlineStr">
        <is>
          <t>Kolflarnlav</t>
        </is>
      </c>
      <c r="W1265">
        <f>HYPERLINK("https://klasma.github.io/Logging_2085/artfynd/A 62676-2025 artfynd.xlsx", "A 62676-2025")</f>
        <v/>
      </c>
      <c r="X1265">
        <f>HYPERLINK("https://klasma.github.io/Logging_2085/kartor/A 62676-2025 karta.png", "A 62676-2025")</f>
        <v/>
      </c>
      <c r="Y1265">
        <f>HYPERLINK("https://klasma.github.io/Logging_2085/kartor_geotiff/A 62676-2025 georefererad karta.tif", "A 62676-2025")</f>
        <v/>
      </c>
      <c r="AA1265">
        <f>HYPERLINK("https://klasma.github.io/Logging_2085/klagomål/A 62676-2025 FSC-klagomål.docx", "A 62676-2025")</f>
        <v/>
      </c>
      <c r="AB1265">
        <f>HYPERLINK("https://klasma.github.io/Logging_2085/klagomålsmail/A 62676-2025 FSC-klagomål mail.docx", "A 62676-2025")</f>
        <v/>
      </c>
      <c r="AC1265">
        <f>HYPERLINK("https://klasma.github.io/Logging_2085/tillsyn/A 62676-2025 tillsynsbegäran.docx", "A 62676-2025")</f>
        <v/>
      </c>
      <c r="AD1265">
        <f>HYPERLINK("https://klasma.github.io/Logging_2085/tillsynsmail/A 62676-2025 tillsynsbegäran mail.docx", "A 62676-2025")</f>
        <v/>
      </c>
    </row>
    <row r="1266" ht="15" customHeight="1">
      <c r="A1266" t="inlineStr">
        <is>
          <t>A 33250-2024</t>
        </is>
      </c>
      <c r="B1266" t="inlineStr">
        <is>
          <t>avverkningsanmälan</t>
        </is>
      </c>
      <c r="C1266" t="inlineStr">
        <is>
          <t>Föryngringsavverkning</t>
        </is>
      </c>
      <c r="D1266" s="1" t="n">
        <v>45518</v>
      </c>
      <c r="E1266" s="1" t="n">
        <v>46319</v>
      </c>
      <c r="F1266" t="inlineStr">
        <is>
          <t>DALARNAS LÄN</t>
        </is>
      </c>
      <c r="G1266" t="inlineStr">
        <is>
          <t>VANSBRO</t>
        </is>
      </c>
      <c r="I1266" t="n">
        <v>6.8</v>
      </c>
      <c r="J1266" t="n">
        <v>0</v>
      </c>
      <c r="K1266" t="n">
        <v>0</v>
      </c>
      <c r="L1266" t="n">
        <v>1</v>
      </c>
      <c r="M1266" t="n">
        <v>0</v>
      </c>
      <c r="N1266" t="n">
        <v>0</v>
      </c>
      <c r="O1266" t="n">
        <v>0</v>
      </c>
      <c r="P1266" t="n">
        <v>0</v>
      </c>
      <c r="Q1266" t="n">
        <v>1</v>
      </c>
      <c r="R1266" t="n">
        <v>0</v>
      </c>
      <c r="S1266" t="n">
        <v>1</v>
      </c>
      <c r="T1266" t="n">
        <v>2</v>
      </c>
      <c r="U1266" t="n">
        <v>0</v>
      </c>
      <c r="V1266" s="2" t="inlineStr">
        <is>
          <t>Reliktbock</t>
        </is>
      </c>
      <c r="W1266">
        <f>HYPERLINK("https://klasma.github.io/Logging_2021/artfynd/A 33250-2024 artfynd.xlsx", "A 33250-2024")</f>
        <v/>
      </c>
      <c r="X1266">
        <f>HYPERLINK("https://klasma.github.io/Logging_2021/kartor/A 33250-2024 karta.png", "A 33250-2024")</f>
        <v/>
      </c>
      <c r="Y1266">
        <f>HYPERLINK("https://klasma.github.io/Logging_2021/kartor_geotiff/A 33250-2024 georefererad karta.tif", "A 33250-2024")</f>
        <v/>
      </c>
      <c r="AA1266">
        <f>HYPERLINK("https://klasma.github.io/Logging_2021/klagomål/A 33250-2024 FSC-klagomål.docx", "A 33250-2024")</f>
        <v/>
      </c>
      <c r="AB1266">
        <f>HYPERLINK("https://klasma.github.io/Logging_2021/klagomålsmail/A 33250-2024 FSC-klagomål mail.docx", "A 33250-2024")</f>
        <v/>
      </c>
      <c r="AC1266">
        <f>HYPERLINK("https://klasma.github.io/Logging_2021/tillsyn/A 33250-2024 tillsynsbegäran.docx", "A 33250-2024")</f>
        <v/>
      </c>
      <c r="AD1266">
        <f>HYPERLINK("https://klasma.github.io/Logging_2021/tillsynsmail/A 33250-2024 tillsynsbegäran mail.docx", "A 33250-2024")</f>
        <v/>
      </c>
    </row>
    <row r="1267" ht="15" customHeight="1">
      <c r="A1267" t="inlineStr">
        <is>
          <t>A 32033-2026</t>
        </is>
      </c>
      <c r="B1267" t="inlineStr">
        <is>
          <t>avverkningsanmälan</t>
        </is>
      </c>
      <c r="C1267" t="inlineStr">
        <is>
          <t>Föryngringsavverkning</t>
        </is>
      </c>
      <c r="D1267" s="1" t="n">
        <v>46233</v>
      </c>
      <c r="E1267" s="1" t="n">
        <v>46319</v>
      </c>
      <c r="F1267" t="inlineStr">
        <is>
          <t>DALARNAS LÄN</t>
        </is>
      </c>
      <c r="G1267" t="inlineStr">
        <is>
          <t>ÄLVDALEN</t>
        </is>
      </c>
      <c r="I1267" t="n">
        <v>4.6</v>
      </c>
      <c r="J1267" t="n">
        <v>0</v>
      </c>
      <c r="K1267" t="n">
        <v>0</v>
      </c>
      <c r="L1267" t="n">
        <v>0</v>
      </c>
      <c r="M1267" t="n">
        <v>1</v>
      </c>
      <c r="N1267" t="n">
        <v>0</v>
      </c>
      <c r="O1267" t="n">
        <v>0</v>
      </c>
      <c r="P1267" t="n">
        <v>0</v>
      </c>
      <c r="Q1267" t="n">
        <v>1</v>
      </c>
      <c r="R1267" t="n">
        <v>1</v>
      </c>
      <c r="S1267" t="n">
        <v>1</v>
      </c>
      <c r="T1267" t="n">
        <v>2</v>
      </c>
      <c r="U1267" t="n">
        <v>0</v>
      </c>
      <c r="V1267" s="2" t="inlineStr">
        <is>
          <t>Garnlav</t>
        </is>
      </c>
      <c r="W1267">
        <f>HYPERLINK("https://klasma.github.io/Logging_2039/artfynd/A 32033-2026 artfynd.xlsx", "A 32033-2026")</f>
        <v/>
      </c>
      <c r="X1267">
        <f>HYPERLINK("https://klasma.github.io/Logging_2039/kartor/A 32033-2026 karta.png", "A 32033-2026")</f>
        <v/>
      </c>
      <c r="Y1267">
        <f>HYPERLINK("https://klasma.github.io/Logging_2039/kartor_geotiff/A 32033-2026 georefererad karta.tif", "A 32033-2026")</f>
        <v/>
      </c>
      <c r="AA1267">
        <f>HYPERLINK("https://klasma.github.io/Logging_2039/klagomål/A 32033-2026 FSC-klagomål.docx", "A 32033-2026")</f>
        <v/>
      </c>
      <c r="AB1267">
        <f>HYPERLINK("https://klasma.github.io/Logging_2039/klagomålsmail/A 32033-2026 FSC-klagomål mail.docx", "A 32033-2026")</f>
        <v/>
      </c>
      <c r="AC1267">
        <f>HYPERLINK("https://klasma.github.io/Logging_2039/tillsyn/A 32033-2026 tillsynsbegäran.docx", "A 32033-2026")</f>
        <v/>
      </c>
      <c r="AD1267">
        <f>HYPERLINK("https://klasma.github.io/Logging_2039/tillsynsmail/A 32033-2026 tillsynsbegäran mail.docx", "A 32033-2026")</f>
        <v/>
      </c>
    </row>
    <row r="1268" ht="15" customHeight="1">
      <c r="A1268" t="inlineStr">
        <is>
          <t>A 32273-2026</t>
        </is>
      </c>
      <c r="B1268" t="inlineStr">
        <is>
          <t>avverkningsanmälan</t>
        </is>
      </c>
      <c r="C1268" t="inlineStr">
        <is>
          <t>Föryngringsavverkning</t>
        </is>
      </c>
      <c r="D1268" s="1" t="n">
        <v>46237</v>
      </c>
      <c r="E1268" s="1" t="n">
        <v>46319</v>
      </c>
      <c r="F1268" t="inlineStr">
        <is>
          <t>DALARNAS LÄN</t>
        </is>
      </c>
      <c r="G1268" t="inlineStr">
        <is>
          <t>MORA</t>
        </is>
      </c>
      <c r="H1268" t="inlineStr">
        <is>
          <t>Bergvik skog öst AB</t>
        </is>
      </c>
      <c r="I1268" t="n">
        <v>3.1</v>
      </c>
      <c r="J1268" t="n">
        <v>1</v>
      </c>
      <c r="K1268" t="n">
        <v>0</v>
      </c>
      <c r="L1268" t="n">
        <v>0</v>
      </c>
      <c r="M1268" t="n">
        <v>0</v>
      </c>
      <c r="N1268" t="n">
        <v>0</v>
      </c>
      <c r="O1268" t="n">
        <v>0</v>
      </c>
      <c r="P1268" t="n">
        <v>0</v>
      </c>
      <c r="Q1268" t="n">
        <v>0</v>
      </c>
      <c r="R1268" t="n">
        <v>0</v>
      </c>
      <c r="S1268" t="n">
        <v>1</v>
      </c>
      <c r="T1268" t="n">
        <v>1</v>
      </c>
      <c r="U1268" t="n">
        <v>0</v>
      </c>
      <c r="V1268" s="2" t="inlineStr">
        <is>
          <t>Järpe</t>
        </is>
      </c>
      <c r="W1268">
        <f>HYPERLINK("https://klasma.github.io/Logging_2062/artfynd/A 32273-2026 artfynd.xlsx", "A 32273-2026")</f>
        <v/>
      </c>
      <c r="X1268">
        <f>HYPERLINK("https://klasma.github.io/Logging_2062/kartor/A 32273-2026 karta.png", "A 32273-2026")</f>
        <v/>
      </c>
      <c r="Y1268">
        <f>HYPERLINK("https://klasma.github.io/Logging_2062/kartor_geotiff/A 32273-2026 georefererad karta.tif", "A 32273-2026")</f>
        <v/>
      </c>
      <c r="AA1268">
        <f>HYPERLINK("https://klasma.github.io/Logging_2062/klagomål/A 32273-2026 FSC-klagomål.docx", "A 32273-2026")</f>
        <v/>
      </c>
      <c r="AB1268">
        <f>HYPERLINK("https://klasma.github.io/Logging_2062/klagomålsmail/A 32273-2026 FSC-klagomål mail.docx", "A 32273-2026")</f>
        <v/>
      </c>
      <c r="AC1268">
        <f>HYPERLINK("https://klasma.github.io/Logging_2062/tillsyn/A 32273-2026 tillsynsbegäran.docx", "A 32273-2026")</f>
        <v/>
      </c>
      <c r="AD1268">
        <f>HYPERLINK("https://klasma.github.io/Logging_2062/tillsynsmail/A 32273-2026 tillsynsbegäran mail.docx", "A 32273-2026")</f>
        <v/>
      </c>
      <c r="AE1268">
        <f>HYPERLINK("https://klasma.github.io/Logging_2062/fåglar/A 32273-2026 prioriterade fågelarter.docx", "A 32273-2026")</f>
        <v/>
      </c>
    </row>
    <row r="1269" ht="15" customHeight="1">
      <c r="A1269" t="inlineStr">
        <is>
          <t>A 22462-2025</t>
        </is>
      </c>
      <c r="B1269" t="inlineStr">
        <is>
          <t>avverkningsanmälan</t>
        </is>
      </c>
      <c r="C1269" t="inlineStr">
        <is>
          <t>Föryngringsavverkning</t>
        </is>
      </c>
      <c r="D1269" s="1" t="n">
        <v>45786</v>
      </c>
      <c r="E1269" s="1" t="n">
        <v>46319</v>
      </c>
      <c r="F1269" t="inlineStr">
        <is>
          <t>DALARNAS LÄN</t>
        </is>
      </c>
      <c r="G1269" t="inlineStr">
        <is>
          <t>SMEDJEBACKEN</t>
        </is>
      </c>
      <c r="H1269" t="inlineStr">
        <is>
          <t>Sveaskog</t>
        </is>
      </c>
      <c r="I1269" t="n">
        <v>8.800000000000001</v>
      </c>
      <c r="J1269" t="n">
        <v>0</v>
      </c>
      <c r="K1269" t="n">
        <v>0</v>
      </c>
      <c r="L1269" t="n">
        <v>0</v>
      </c>
      <c r="M1269" t="n">
        <v>1</v>
      </c>
      <c r="N1269" t="n">
        <v>0</v>
      </c>
      <c r="O1269" t="n">
        <v>0</v>
      </c>
      <c r="P1269" t="n">
        <v>0</v>
      </c>
      <c r="Q1269" t="n">
        <v>1</v>
      </c>
      <c r="R1269" t="n">
        <v>1</v>
      </c>
      <c r="S1269" t="n">
        <v>1</v>
      </c>
      <c r="T1269" t="n">
        <v>1</v>
      </c>
      <c r="U1269" t="n">
        <v>0</v>
      </c>
      <c r="V1269" s="2" t="inlineStr">
        <is>
          <t>Garnlav</t>
        </is>
      </c>
      <c r="W1269">
        <f>HYPERLINK("https://klasma.github.io/Logging_2061/artfynd/A 22462-2025 artfynd.xlsx", "A 22462-2025")</f>
        <v/>
      </c>
      <c r="X1269">
        <f>HYPERLINK("https://klasma.github.io/Logging_2061/kartor/A 22462-2025 karta.png", "A 22462-2025")</f>
        <v/>
      </c>
      <c r="Y1269">
        <f>HYPERLINK("https://klasma.github.io/Logging_2061/kartor_geotiff/A 22462-2025 georefererad karta.tif", "A 22462-2025")</f>
        <v/>
      </c>
      <c r="AA1269">
        <f>HYPERLINK("https://klasma.github.io/Logging_2061/klagomål/A 22462-2025 FSC-klagomål.docx", "A 22462-2025")</f>
        <v/>
      </c>
      <c r="AB1269">
        <f>HYPERLINK("https://klasma.github.io/Logging_2061/klagomålsmail/A 22462-2025 FSC-klagomål mail.docx", "A 22462-2025")</f>
        <v/>
      </c>
      <c r="AC1269">
        <f>HYPERLINK("https://klasma.github.io/Logging_2061/tillsyn/A 22462-2025 tillsynsbegäran.docx", "A 22462-2025")</f>
        <v/>
      </c>
      <c r="AD1269">
        <f>HYPERLINK("https://klasma.github.io/Logging_2061/tillsynsmail/A 22462-2025 tillsynsbegäran mail.docx", "A 22462-2025")</f>
        <v/>
      </c>
    </row>
    <row r="1270" ht="15" customHeight="1">
      <c r="A1270" t="inlineStr">
        <is>
          <t>A 34942-2024</t>
        </is>
      </c>
      <c r="B1270" t="inlineStr">
        <is>
          <t>avverkningsanmälan</t>
        </is>
      </c>
      <c r="C1270" t="inlineStr">
        <is>
          <t>Föryngringsavverkning</t>
        </is>
      </c>
      <c r="D1270" s="1" t="n">
        <v>45527</v>
      </c>
      <c r="E1270" s="1" t="n">
        <v>46319</v>
      </c>
      <c r="F1270" t="inlineStr">
        <is>
          <t>DALARNAS LÄN</t>
        </is>
      </c>
      <c r="G1270" t="inlineStr">
        <is>
          <t>SMEDJEBACKEN</t>
        </is>
      </c>
      <c r="I1270" t="n">
        <v>11</v>
      </c>
      <c r="J1270" t="n">
        <v>0</v>
      </c>
      <c r="K1270" t="n">
        <v>0</v>
      </c>
      <c r="L1270" t="n">
        <v>1</v>
      </c>
      <c r="M1270" t="n">
        <v>0</v>
      </c>
      <c r="N1270" t="n">
        <v>0</v>
      </c>
      <c r="O1270" t="n">
        <v>0</v>
      </c>
      <c r="P1270" t="n">
        <v>0</v>
      </c>
      <c r="Q1270" t="n">
        <v>1</v>
      </c>
      <c r="R1270" t="n">
        <v>0</v>
      </c>
      <c r="S1270" t="n">
        <v>1</v>
      </c>
      <c r="T1270" t="n">
        <v>1</v>
      </c>
      <c r="U1270" t="n">
        <v>0</v>
      </c>
      <c r="V1270" s="2" t="inlineStr">
        <is>
          <t>Skogsklocka</t>
        </is>
      </c>
      <c r="W1270">
        <f>HYPERLINK("https://klasma.github.io/Logging_2061/artfynd/A 34942-2024 artfynd.xlsx", "A 34942-2024")</f>
        <v/>
      </c>
      <c r="X1270">
        <f>HYPERLINK("https://klasma.github.io/Logging_2061/kartor/A 34942-2024 karta.png", "A 34942-2024")</f>
        <v/>
      </c>
      <c r="Y1270">
        <f>HYPERLINK("https://klasma.github.io/Logging_2061/kartor_geotiff/A 34942-2024 georefererad karta.tif", "A 34942-2024")</f>
        <v/>
      </c>
      <c r="AA1270">
        <f>HYPERLINK("https://klasma.github.io/Logging_2061/klagomål/A 34942-2024 FSC-klagomål.docx", "A 34942-2024")</f>
        <v/>
      </c>
      <c r="AB1270">
        <f>HYPERLINK("https://klasma.github.io/Logging_2061/klagomålsmail/A 34942-2024 FSC-klagomål mail.docx", "A 34942-2024")</f>
        <v/>
      </c>
      <c r="AC1270">
        <f>HYPERLINK("https://klasma.github.io/Logging_2061/tillsyn/A 34942-2024 tillsynsbegäran.docx", "A 34942-2024")</f>
        <v/>
      </c>
      <c r="AD1270">
        <f>HYPERLINK("https://klasma.github.io/Logging_2061/tillsynsmail/A 34942-2024 tillsynsbegäran mail.docx", "A 34942-2024")</f>
        <v/>
      </c>
    </row>
    <row r="1271" ht="15" customHeight="1">
      <c r="A1271" t="inlineStr">
        <is>
          <t>A 31124-2024</t>
        </is>
      </c>
      <c r="B1271" t="inlineStr">
        <is>
          <t>avverkningsanmälan</t>
        </is>
      </c>
      <c r="C1271" t="inlineStr">
        <is>
          <t>Föryngringsavverkning</t>
        </is>
      </c>
      <c r="D1271" s="1" t="n">
        <v>45502</v>
      </c>
      <c r="E1271" s="1" t="n">
        <v>46319</v>
      </c>
      <c r="F1271" t="inlineStr">
        <is>
          <t>DALARNAS LÄN</t>
        </is>
      </c>
      <c r="G1271" t="inlineStr">
        <is>
          <t>LEKSAND</t>
        </is>
      </c>
      <c r="I1271" t="n">
        <v>1.9</v>
      </c>
      <c r="J1271" t="n">
        <v>1</v>
      </c>
      <c r="K1271" t="n">
        <v>0</v>
      </c>
      <c r="L1271" t="n">
        <v>0</v>
      </c>
      <c r="M1271" t="n">
        <v>1</v>
      </c>
      <c r="N1271" t="n">
        <v>0</v>
      </c>
      <c r="O1271" t="n">
        <v>0</v>
      </c>
      <c r="P1271" t="n">
        <v>0</v>
      </c>
      <c r="Q1271" t="n">
        <v>1</v>
      </c>
      <c r="R1271" t="n">
        <v>1</v>
      </c>
      <c r="S1271" t="n">
        <v>1</v>
      </c>
      <c r="T1271" t="n">
        <v>76</v>
      </c>
      <c r="U1271" t="n">
        <v>13</v>
      </c>
      <c r="V1271" s="2" t="inlineStr">
        <is>
          <t>Väddnätfjäril</t>
        </is>
      </c>
      <c r="W1271">
        <f>HYPERLINK("https://klasma.github.io/Logging_2029/artfynd/A 31124-2024 artfynd.xlsx", "A 31124-2024")</f>
        <v/>
      </c>
      <c r="X1271">
        <f>HYPERLINK("https://klasma.github.io/Logging_2029/kartor/A 31124-2024 karta.png", "A 31124-2024")</f>
        <v/>
      </c>
      <c r="Y1271">
        <f>HYPERLINK("https://klasma.github.io/Logging_2029/kartor_geotiff/A 31124-2024 georefererad karta.tif", "A 31124-2024")</f>
        <v/>
      </c>
      <c r="AA1271">
        <f>HYPERLINK("https://klasma.github.io/Logging_2029/klagomål/A 31124-2024 FSC-klagomål.docx", "A 31124-2024")</f>
        <v/>
      </c>
      <c r="AB1271">
        <f>HYPERLINK("https://klasma.github.io/Logging_2029/klagomålsmail/A 31124-2024 FSC-klagomål mail.docx", "A 31124-2024")</f>
        <v/>
      </c>
      <c r="AC1271">
        <f>HYPERLINK("https://klasma.github.io/Logging_2029/tillsyn/A 31124-2024 tillsynsbegäran.docx", "A 31124-2024")</f>
        <v/>
      </c>
      <c r="AD1271">
        <f>HYPERLINK("https://klasma.github.io/Logging_2029/tillsynsmail/A 31124-2024 tillsynsbegäran mail.docx", "A 31124-2024")</f>
        <v/>
      </c>
    </row>
    <row r="1272" ht="15" customHeight="1">
      <c r="A1272" t="inlineStr">
        <is>
          <t>A 37896-2026</t>
        </is>
      </c>
      <c r="B1272" t="inlineStr">
        <is>
          <t>avverkningsanmälan</t>
        </is>
      </c>
      <c r="C1272" t="inlineStr">
        <is>
          <t>Föryngringsavverkning</t>
        </is>
      </c>
      <c r="D1272" s="1" t="n">
        <v>46279</v>
      </c>
      <c r="E1272" s="1" t="n">
        <v>46319</v>
      </c>
      <c r="F1272" t="inlineStr">
        <is>
          <t>DALARNAS LÄN</t>
        </is>
      </c>
      <c r="G1272" t="inlineStr">
        <is>
          <t>SÄTER</t>
        </is>
      </c>
      <c r="H1272" t="inlineStr">
        <is>
          <t>Bergvik skog väst AB</t>
        </is>
      </c>
      <c r="I1272" t="n">
        <v>16.9</v>
      </c>
      <c r="J1272" t="n">
        <v>0</v>
      </c>
      <c r="K1272" t="n">
        <v>0</v>
      </c>
      <c r="L1272" t="n">
        <v>0</v>
      </c>
      <c r="M1272" t="n">
        <v>1</v>
      </c>
      <c r="N1272" t="n">
        <v>0</v>
      </c>
      <c r="O1272" t="n">
        <v>0</v>
      </c>
      <c r="P1272" t="n">
        <v>0</v>
      </c>
      <c r="Q1272" t="n">
        <v>1</v>
      </c>
      <c r="R1272" t="n">
        <v>1</v>
      </c>
      <c r="S1272" t="n">
        <v>1</v>
      </c>
      <c r="T1272" t="n">
        <v>1</v>
      </c>
      <c r="U1272" t="n">
        <v>1</v>
      </c>
      <c r="V1272" s="2" t="inlineStr">
        <is>
          <t>Gräddticka</t>
        </is>
      </c>
      <c r="W1272">
        <f>HYPERLINK("https://klasma.github.io/Logging_2082/artfynd/A 37896-2026 artfynd.xlsx", "A 37896-2026")</f>
        <v/>
      </c>
      <c r="X1272">
        <f>HYPERLINK("https://klasma.github.io/Logging_2082/kartor/A 37896-2026 karta.png", "A 37896-2026")</f>
        <v/>
      </c>
      <c r="Y1272">
        <f>HYPERLINK("https://klasma.github.io/Logging_2082/kartor_geotiff/A 37896-2026 georefererad karta.tif", "A 37896-2026")</f>
        <v/>
      </c>
      <c r="AA1272">
        <f>HYPERLINK("https://klasma.github.io/Logging_2082/klagomål/A 37896-2026 FSC-klagomål.docx", "A 37896-2026")</f>
        <v/>
      </c>
      <c r="AB1272">
        <f>HYPERLINK("https://klasma.github.io/Logging_2082/klagomålsmail/A 37896-2026 FSC-klagomål mail.docx", "A 37896-2026")</f>
        <v/>
      </c>
      <c r="AC1272">
        <f>HYPERLINK("https://klasma.github.io/Logging_2082/tillsyn/A 37896-2026 tillsynsbegäran.docx", "A 37896-2026")</f>
        <v/>
      </c>
      <c r="AD1272">
        <f>HYPERLINK("https://klasma.github.io/Logging_2082/tillsynsmail/A 37896-2026 tillsynsbegäran mail.docx", "A 37896-2026")</f>
        <v/>
      </c>
    </row>
    <row r="1273" ht="15" customHeight="1">
      <c r="A1273" t="inlineStr">
        <is>
          <t>A 22286-2025</t>
        </is>
      </c>
      <c r="B1273" t="inlineStr">
        <is>
          <t>avverkningsanmälan</t>
        </is>
      </c>
      <c r="C1273" t="inlineStr">
        <is>
          <t>Föryngringsavverkning</t>
        </is>
      </c>
      <c r="D1273" s="1" t="n">
        <v>45786</v>
      </c>
      <c r="E1273" s="1" t="n">
        <v>46319</v>
      </c>
      <c r="F1273" t="inlineStr">
        <is>
          <t>DALARNAS LÄN</t>
        </is>
      </c>
      <c r="G1273" t="inlineStr">
        <is>
          <t>ÄLVDALEN</t>
        </is>
      </c>
      <c r="H1273" t="inlineStr">
        <is>
          <t>Sveaskog</t>
        </is>
      </c>
      <c r="I1273" t="n">
        <v>1.3</v>
      </c>
      <c r="J1273" t="n">
        <v>0</v>
      </c>
      <c r="K1273" t="n">
        <v>0</v>
      </c>
      <c r="L1273" t="n">
        <v>1</v>
      </c>
      <c r="M1273" t="n">
        <v>0</v>
      </c>
      <c r="N1273" t="n">
        <v>0</v>
      </c>
      <c r="O1273" t="n">
        <v>0</v>
      </c>
      <c r="P1273" t="n">
        <v>0</v>
      </c>
      <c r="Q1273" t="n">
        <v>1</v>
      </c>
      <c r="R1273" t="n">
        <v>0</v>
      </c>
      <c r="S1273" t="n">
        <v>1</v>
      </c>
      <c r="T1273" t="n">
        <v>1</v>
      </c>
      <c r="U1273" t="n">
        <v>1</v>
      </c>
      <c r="V1273" s="2" t="inlineStr">
        <is>
          <t>Kolflarnlav</t>
        </is>
      </c>
      <c r="W1273">
        <f>HYPERLINK("https://klasma.github.io/Logging_2039/artfynd/A 22286-2025 artfynd.xlsx", "A 22286-2025")</f>
        <v/>
      </c>
      <c r="X1273">
        <f>HYPERLINK("https://klasma.github.io/Logging_2039/kartor/A 22286-2025 karta.png", "A 22286-2025")</f>
        <v/>
      </c>
      <c r="Y1273">
        <f>HYPERLINK("https://klasma.github.io/Logging_2039/kartor_geotiff/A 22286-2025 georefererad karta.tif", "A 22286-2025")</f>
        <v/>
      </c>
      <c r="AA1273">
        <f>HYPERLINK("https://klasma.github.io/Logging_2039/klagomål/A 22286-2025 FSC-klagomål.docx", "A 22286-2025")</f>
        <v/>
      </c>
      <c r="AB1273">
        <f>HYPERLINK("https://klasma.github.io/Logging_2039/klagomålsmail/A 22286-2025 FSC-klagomål mail.docx", "A 22286-2025")</f>
        <v/>
      </c>
      <c r="AC1273">
        <f>HYPERLINK("https://klasma.github.io/Logging_2039/tillsyn/A 22286-2025 tillsynsbegäran.docx", "A 22286-2025")</f>
        <v/>
      </c>
      <c r="AD1273">
        <f>HYPERLINK("https://klasma.github.io/Logging_2039/tillsynsmail/A 22286-2025 tillsynsbegäran mail.docx", "A 22286-2025")</f>
        <v/>
      </c>
    </row>
    <row r="1274" ht="15" customHeight="1">
      <c r="A1274" t="inlineStr">
        <is>
          <t>A 22026-2025</t>
        </is>
      </c>
      <c r="B1274" t="inlineStr">
        <is>
          <t>avverkningsanmälan</t>
        </is>
      </c>
      <c r="C1274" t="inlineStr">
        <is>
          <t>Föryngringsavverkning</t>
        </is>
      </c>
      <c r="D1274" s="1" t="n">
        <v>45784</v>
      </c>
      <c r="E1274" s="1" t="n">
        <v>46319</v>
      </c>
      <c r="F1274" t="inlineStr">
        <is>
          <t>DALARNAS LÄN</t>
        </is>
      </c>
      <c r="G1274" t="inlineStr">
        <is>
          <t>RÄTTVIK</t>
        </is>
      </c>
      <c r="I1274" t="n">
        <v>6.7</v>
      </c>
      <c r="J1274" t="n">
        <v>0</v>
      </c>
      <c r="K1274" t="n">
        <v>0</v>
      </c>
      <c r="L1274" t="n">
        <v>0</v>
      </c>
      <c r="M1274" t="n">
        <v>1</v>
      </c>
      <c r="N1274" t="n">
        <v>0</v>
      </c>
      <c r="O1274" t="n">
        <v>0</v>
      </c>
      <c r="P1274" t="n">
        <v>0</v>
      </c>
      <c r="Q1274" t="n">
        <v>1</v>
      </c>
      <c r="R1274" t="n">
        <v>1</v>
      </c>
      <c r="S1274" t="n">
        <v>1</v>
      </c>
      <c r="T1274" t="n">
        <v>1</v>
      </c>
      <c r="U1274" t="n">
        <v>1</v>
      </c>
      <c r="V1274" s="2" t="inlineStr">
        <is>
          <t>Garnlav</t>
        </is>
      </c>
      <c r="W1274">
        <f>HYPERLINK("https://klasma.github.io/Logging_2031/artfynd/A 22026-2025 artfynd.xlsx", "A 22026-2025")</f>
        <v/>
      </c>
      <c r="X1274">
        <f>HYPERLINK("https://klasma.github.io/Logging_2031/kartor/A 22026-2025 karta.png", "A 22026-2025")</f>
        <v/>
      </c>
      <c r="Y1274">
        <f>HYPERLINK("https://klasma.github.io/Logging_2031/kartor_geotiff/A 22026-2025 georefererad karta.tif", "A 22026-2025")</f>
        <v/>
      </c>
      <c r="AA1274">
        <f>HYPERLINK("https://klasma.github.io/Logging_2031/klagomål/A 22026-2025 FSC-klagomål.docx", "A 22026-2025")</f>
        <v/>
      </c>
      <c r="AB1274">
        <f>HYPERLINK("https://klasma.github.io/Logging_2031/klagomålsmail/A 22026-2025 FSC-klagomål mail.docx", "A 22026-2025")</f>
        <v/>
      </c>
      <c r="AC1274">
        <f>HYPERLINK("https://klasma.github.io/Logging_2031/tillsyn/A 22026-2025 tillsynsbegäran.docx", "A 22026-2025")</f>
        <v/>
      </c>
      <c r="AD1274">
        <f>HYPERLINK("https://klasma.github.io/Logging_2031/tillsynsmail/A 22026-2025 tillsynsbegäran mail.docx", "A 22026-2025")</f>
        <v/>
      </c>
    </row>
    <row r="1275" ht="15" customHeight="1">
      <c r="A1275" t="inlineStr">
        <is>
          <t>A 30368-2024</t>
        </is>
      </c>
      <c r="B1275" t="inlineStr">
        <is>
          <t>avverkningsanmälan</t>
        </is>
      </c>
      <c r="C1275" t="inlineStr">
        <is>
          <t>Avverkning för annat ändamål</t>
        </is>
      </c>
      <c r="D1275" s="1" t="n">
        <v>45490</v>
      </c>
      <c r="E1275" s="1" t="n">
        <v>46319</v>
      </c>
      <c r="F1275" t="inlineStr">
        <is>
          <t>DALARNAS LÄN</t>
        </is>
      </c>
      <c r="G1275" t="inlineStr">
        <is>
          <t>RÄTTVIK</t>
        </is>
      </c>
      <c r="I1275" t="n">
        <v>16.5</v>
      </c>
      <c r="J1275" t="n">
        <v>0</v>
      </c>
      <c r="K1275" t="n">
        <v>1</v>
      </c>
      <c r="L1275" t="n">
        <v>0</v>
      </c>
      <c r="M1275" t="n">
        <v>0</v>
      </c>
      <c r="N1275" t="n">
        <v>0</v>
      </c>
      <c r="O1275" t="n">
        <v>0</v>
      </c>
      <c r="P1275" t="n">
        <v>0</v>
      </c>
      <c r="Q1275" t="n">
        <v>0</v>
      </c>
      <c r="R1275" t="n">
        <v>0</v>
      </c>
      <c r="S1275" t="n">
        <v>1</v>
      </c>
      <c r="T1275" t="n">
        <v>2</v>
      </c>
      <c r="U1275" t="n">
        <v>0</v>
      </c>
      <c r="V1275" s="2" t="inlineStr">
        <is>
          <t>Svart trolldruva</t>
        </is>
      </c>
      <c r="W1275">
        <f>HYPERLINK("https://klasma.github.io/Logging_2031/artfynd/A 30368-2024 artfynd.xlsx", "A 30368-2024")</f>
        <v/>
      </c>
      <c r="X1275">
        <f>HYPERLINK("https://klasma.github.io/Logging_2031/kartor/A 30368-2024 karta.png", "A 30368-2024")</f>
        <v/>
      </c>
      <c r="Y1275">
        <f>HYPERLINK("https://klasma.github.io/Logging_2031/kartor_geotiff/A 30368-2024 georefererad karta.tif", "A 30368-2024")</f>
        <v/>
      </c>
      <c r="AA1275">
        <f>HYPERLINK("https://klasma.github.io/Logging_2031/klagomål/A 30368-2024 FSC-klagomål.docx", "A 30368-2024")</f>
        <v/>
      </c>
      <c r="AB1275">
        <f>HYPERLINK("https://klasma.github.io/Logging_2031/klagomålsmail/A 30368-2024 FSC-klagomål mail.docx", "A 30368-2024")</f>
        <v/>
      </c>
      <c r="AC1275">
        <f>HYPERLINK("https://klasma.github.io/Logging_2031/tillsyn/A 30368-2024 tillsynsbegäran.docx", "A 30368-2024")</f>
        <v/>
      </c>
      <c r="AD1275">
        <f>HYPERLINK("https://klasma.github.io/Logging_2031/tillsynsmail/A 30368-2024 tillsynsbegäran mail.docx", "A 30368-2024")</f>
        <v/>
      </c>
    </row>
    <row r="1276" ht="15" customHeight="1">
      <c r="A1276" t="inlineStr">
        <is>
          <t>A 22459-2025</t>
        </is>
      </c>
      <c r="B1276" t="inlineStr">
        <is>
          <t>avverkningsanmälan</t>
        </is>
      </c>
      <c r="C1276" t="inlineStr">
        <is>
          <t>Föryngringsavverkning</t>
        </is>
      </c>
      <c r="D1276" s="1" t="n">
        <v>45786</v>
      </c>
      <c r="E1276" s="1" t="n">
        <v>46319</v>
      </c>
      <c r="F1276" t="inlineStr">
        <is>
          <t>DALARNAS LÄN</t>
        </is>
      </c>
      <c r="G1276" t="inlineStr">
        <is>
          <t>SMEDJEBACKEN</t>
        </is>
      </c>
      <c r="H1276" t="inlineStr">
        <is>
          <t>Sveaskog</t>
        </is>
      </c>
      <c r="I1276" t="n">
        <v>8.800000000000001</v>
      </c>
      <c r="J1276" t="n">
        <v>0</v>
      </c>
      <c r="K1276" t="n">
        <v>0</v>
      </c>
      <c r="L1276" t="n">
        <v>0</v>
      </c>
      <c r="M1276" t="n">
        <v>1</v>
      </c>
      <c r="N1276" t="n">
        <v>0</v>
      </c>
      <c r="O1276" t="n">
        <v>0</v>
      </c>
      <c r="P1276" t="n">
        <v>0</v>
      </c>
      <c r="Q1276" t="n">
        <v>1</v>
      </c>
      <c r="R1276" t="n">
        <v>1</v>
      </c>
      <c r="S1276" t="n">
        <v>1</v>
      </c>
      <c r="T1276" t="n">
        <v>1</v>
      </c>
      <c r="U1276" t="n">
        <v>0</v>
      </c>
      <c r="V1276" s="2" t="inlineStr">
        <is>
          <t>Garnlav</t>
        </is>
      </c>
      <c r="W1276">
        <f>HYPERLINK("https://klasma.github.io/Logging_2061/artfynd/A 22459-2025 artfynd.xlsx", "A 22459-2025")</f>
        <v/>
      </c>
      <c r="X1276">
        <f>HYPERLINK("https://klasma.github.io/Logging_2061/kartor/A 22459-2025 karta.png", "A 22459-2025")</f>
        <v/>
      </c>
      <c r="Y1276">
        <f>HYPERLINK("https://klasma.github.io/Logging_2061/kartor_geotiff/A 22459-2025 georefererad karta.tif", "A 22459-2025")</f>
        <v/>
      </c>
      <c r="AA1276">
        <f>HYPERLINK("https://klasma.github.io/Logging_2061/klagomål/A 22459-2025 FSC-klagomål.docx", "A 22459-2025")</f>
        <v/>
      </c>
      <c r="AB1276">
        <f>HYPERLINK("https://klasma.github.io/Logging_2061/klagomålsmail/A 22459-2025 FSC-klagomål mail.docx", "A 22459-2025")</f>
        <v/>
      </c>
      <c r="AC1276">
        <f>HYPERLINK("https://klasma.github.io/Logging_2061/tillsyn/A 22459-2025 tillsynsbegäran.docx", "A 22459-2025")</f>
        <v/>
      </c>
      <c r="AD1276">
        <f>HYPERLINK("https://klasma.github.io/Logging_2061/tillsynsmail/A 22459-2025 tillsynsbegäran mail.docx", "A 22459-2025")</f>
        <v/>
      </c>
    </row>
    <row r="1277" ht="15" customHeight="1">
      <c r="A1277" t="inlineStr">
        <is>
          <t>A 63962-2025</t>
        </is>
      </c>
      <c r="B1277" t="inlineStr">
        <is>
          <t>avverkningsanmälan</t>
        </is>
      </c>
      <c r="C1277" t="inlineStr">
        <is>
          <t>Föryngringsavverkning</t>
        </is>
      </c>
      <c r="D1277" s="1" t="n">
        <v>46020</v>
      </c>
      <c r="E1277" s="1" t="n">
        <v>46319</v>
      </c>
      <c r="F1277" t="inlineStr">
        <is>
          <t>DALARNAS LÄN</t>
        </is>
      </c>
      <c r="G1277" t="inlineStr">
        <is>
          <t>BORLÄNGE</t>
        </is>
      </c>
      <c r="I1277" t="n">
        <v>48.9</v>
      </c>
      <c r="J1277" t="n">
        <v>0</v>
      </c>
      <c r="K1277" t="n">
        <v>0</v>
      </c>
      <c r="L1277" t="n">
        <v>1</v>
      </c>
      <c r="M1277" t="n">
        <v>0</v>
      </c>
      <c r="N1277" t="n">
        <v>0</v>
      </c>
      <c r="O1277" t="n">
        <v>0</v>
      </c>
      <c r="P1277" t="n">
        <v>0</v>
      </c>
      <c r="Q1277" t="n">
        <v>1</v>
      </c>
      <c r="R1277" t="n">
        <v>0</v>
      </c>
      <c r="S1277" t="n">
        <v>1</v>
      </c>
      <c r="T1277" t="n">
        <v>1</v>
      </c>
      <c r="U1277" t="n">
        <v>0</v>
      </c>
      <c r="V1277" s="2" t="inlineStr">
        <is>
          <t>Motaggsvamp</t>
        </is>
      </c>
      <c r="W1277">
        <f>HYPERLINK("https://klasma.github.io/Logging_2081/artfynd/A 63962-2025 artfynd.xlsx", "A 63962-2025")</f>
        <v/>
      </c>
      <c r="X1277">
        <f>HYPERLINK("https://klasma.github.io/Logging_2081/kartor/A 63962-2025 karta.png", "A 63962-2025")</f>
        <v/>
      </c>
      <c r="Y1277">
        <f>HYPERLINK("https://klasma.github.io/Logging_2081/kartor_geotiff/A 63962-2025 georefererad karta.tif", "A 63962-2025")</f>
        <v/>
      </c>
      <c r="AA1277">
        <f>HYPERLINK("https://klasma.github.io/Logging_2081/klagomål/A 63962-2025 FSC-klagomål.docx", "A 63962-2025")</f>
        <v/>
      </c>
      <c r="AB1277">
        <f>HYPERLINK("https://klasma.github.io/Logging_2081/klagomålsmail/A 63962-2025 FSC-klagomål mail.docx", "A 63962-2025")</f>
        <v/>
      </c>
      <c r="AC1277">
        <f>HYPERLINK("https://klasma.github.io/Logging_2081/tillsyn/A 63962-2025 tillsynsbegäran.docx", "A 63962-2025")</f>
        <v/>
      </c>
      <c r="AD1277">
        <f>HYPERLINK("https://klasma.github.io/Logging_2081/tillsynsmail/A 63962-2025 tillsynsbegäran mail.docx", "A 63962-2025")</f>
        <v/>
      </c>
    </row>
    <row r="1278" ht="15" customHeight="1">
      <c r="A1278" t="inlineStr">
        <is>
          <t>A 38309-2026</t>
        </is>
      </c>
      <c r="B1278" t="inlineStr">
        <is>
          <t>avverkningsanmälan</t>
        </is>
      </c>
      <c r="C1278" t="inlineStr">
        <is>
          <t>Föryngringsavverkning</t>
        </is>
      </c>
      <c r="D1278" s="1" t="n">
        <v>46282</v>
      </c>
      <c r="E1278" s="1" t="n">
        <v>46319</v>
      </c>
      <c r="F1278" t="inlineStr">
        <is>
          <t>DALARNAS LÄN</t>
        </is>
      </c>
      <c r="G1278" t="inlineStr">
        <is>
          <t>SMEDJEBACKEN</t>
        </is>
      </c>
      <c r="H1278" t="inlineStr">
        <is>
          <t>Övriga Aktiebolag</t>
        </is>
      </c>
      <c r="I1278" t="n">
        <v>1.6</v>
      </c>
      <c r="J1278" t="n">
        <v>0</v>
      </c>
      <c r="K1278" t="n">
        <v>0</v>
      </c>
      <c r="L1278" t="n">
        <v>1</v>
      </c>
      <c r="M1278" t="n">
        <v>0</v>
      </c>
      <c r="N1278" t="n">
        <v>0</v>
      </c>
      <c r="O1278" t="n">
        <v>0</v>
      </c>
      <c r="P1278" t="n">
        <v>0</v>
      </c>
      <c r="Q1278" t="n">
        <v>1</v>
      </c>
      <c r="R1278" t="n">
        <v>0</v>
      </c>
      <c r="S1278" t="n">
        <v>1</v>
      </c>
      <c r="T1278" t="n">
        <v>1</v>
      </c>
      <c r="U1278" t="n">
        <v>0</v>
      </c>
      <c r="V1278" s="2" t="inlineStr">
        <is>
          <t>Vedtrappmossa</t>
        </is>
      </c>
      <c r="W1278">
        <f>HYPERLINK("https://klasma.github.io/Logging_2061/artfynd/A 38309-2026 artfynd.xlsx", "A 38309-2026")</f>
        <v/>
      </c>
      <c r="X1278">
        <f>HYPERLINK("https://klasma.github.io/Logging_2061/kartor/A 38309-2026 karta.png", "A 38309-2026")</f>
        <v/>
      </c>
      <c r="Y1278">
        <f>HYPERLINK("https://klasma.github.io/Logging_2061/kartor_geotiff/A 38309-2026 georefererad karta.tif", "A 38309-2026")</f>
        <v/>
      </c>
      <c r="AA1278">
        <f>HYPERLINK("https://klasma.github.io/Logging_2061/klagomål/A 38309-2026 FSC-klagomål.docx", "A 38309-2026")</f>
        <v/>
      </c>
      <c r="AB1278">
        <f>HYPERLINK("https://klasma.github.io/Logging_2061/klagomålsmail/A 38309-2026 FSC-klagomål mail.docx", "A 38309-2026")</f>
        <v/>
      </c>
      <c r="AC1278">
        <f>HYPERLINK("https://klasma.github.io/Logging_2061/tillsyn/A 38309-2026 tillsynsbegäran.docx", "A 38309-2026")</f>
        <v/>
      </c>
      <c r="AD1278">
        <f>HYPERLINK("https://klasma.github.io/Logging_2061/tillsynsmail/A 38309-2026 tillsynsbegäran mail.docx", "A 38309-2026")</f>
        <v/>
      </c>
    </row>
    <row r="1279" ht="15" customHeight="1">
      <c r="A1279" t="inlineStr">
        <is>
          <t>A 32934-2024</t>
        </is>
      </c>
      <c r="B1279" t="inlineStr">
        <is>
          <t>avverkningsanmälan</t>
        </is>
      </c>
      <c r="C1279" t="inlineStr">
        <is>
          <t>Föryngringsavverkning</t>
        </is>
      </c>
      <c r="D1279" s="1" t="n">
        <v>45517</v>
      </c>
      <c r="E1279" s="1" t="n">
        <v>46319</v>
      </c>
      <c r="F1279" t="inlineStr">
        <is>
          <t>DALARNAS LÄN</t>
        </is>
      </c>
      <c r="G1279" t="inlineStr">
        <is>
          <t>SMEDJEBACKEN</t>
        </is>
      </c>
      <c r="H1279" t="inlineStr">
        <is>
          <t>Sveaskog</t>
        </is>
      </c>
      <c r="I1279" t="n">
        <v>4.8</v>
      </c>
      <c r="J1279" t="n">
        <v>1</v>
      </c>
      <c r="K1279" t="n">
        <v>0</v>
      </c>
      <c r="L1279" t="n">
        <v>1</v>
      </c>
      <c r="M1279" t="n">
        <v>0</v>
      </c>
      <c r="N1279" t="n">
        <v>0</v>
      </c>
      <c r="O1279" t="n">
        <v>0</v>
      </c>
      <c r="P1279" t="n">
        <v>0</v>
      </c>
      <c r="Q1279" t="n">
        <v>1</v>
      </c>
      <c r="R1279" t="n">
        <v>0</v>
      </c>
      <c r="S1279" t="n">
        <v>1</v>
      </c>
      <c r="T1279" t="n">
        <v>1</v>
      </c>
      <c r="U1279" t="n">
        <v>0</v>
      </c>
      <c r="V1279" s="2" t="inlineStr">
        <is>
          <t>Talltita</t>
        </is>
      </c>
      <c r="W1279">
        <f>HYPERLINK("https://klasma.github.io/Logging_2061/artfynd/A 32934-2024 artfynd.xlsx", "A 32934-2024")</f>
        <v/>
      </c>
      <c r="X1279">
        <f>HYPERLINK("https://klasma.github.io/Logging_2061/kartor/A 32934-2024 karta.png", "A 32934-2024")</f>
        <v/>
      </c>
      <c r="Y1279">
        <f>HYPERLINK("https://klasma.github.io/Logging_2061/kartor_geotiff/A 32934-2024 georefererad karta.tif", "A 32934-2024")</f>
        <v/>
      </c>
      <c r="AA1279">
        <f>HYPERLINK("https://klasma.github.io/Logging_2061/klagomål/A 32934-2024 FSC-klagomål.docx", "A 32934-2024")</f>
        <v/>
      </c>
      <c r="AB1279">
        <f>HYPERLINK("https://klasma.github.io/Logging_2061/klagomålsmail/A 32934-2024 FSC-klagomål mail.docx", "A 32934-2024")</f>
        <v/>
      </c>
      <c r="AC1279">
        <f>HYPERLINK("https://klasma.github.io/Logging_2061/tillsyn/A 32934-2024 tillsynsbegäran.docx", "A 32934-2024")</f>
        <v/>
      </c>
      <c r="AD1279">
        <f>HYPERLINK("https://klasma.github.io/Logging_2061/tillsynsmail/A 32934-2024 tillsynsbegäran mail.docx", "A 32934-2024")</f>
        <v/>
      </c>
      <c r="AE1279">
        <f>HYPERLINK("https://klasma.github.io/Logging_2061/fåglar/A 32934-2024 prioriterade fågelarter.docx", "A 32934-2024")</f>
        <v/>
      </c>
    </row>
    <row r="1280" ht="15" customHeight="1">
      <c r="A1280" t="inlineStr">
        <is>
          <t>A 29882-2024</t>
        </is>
      </c>
      <c r="B1280" t="inlineStr">
        <is>
          <t>avverkningsanmälan</t>
        </is>
      </c>
      <c r="C1280" t="inlineStr">
        <is>
          <t>Föryngringsavverkning</t>
        </is>
      </c>
      <c r="D1280" s="1" t="n">
        <v>45486</v>
      </c>
      <c r="E1280" s="1" t="n">
        <v>46319</v>
      </c>
      <c r="F1280" t="inlineStr">
        <is>
          <t>DALARNAS LÄN</t>
        </is>
      </c>
      <c r="G1280" t="inlineStr">
        <is>
          <t>LUDVIKA</t>
        </is>
      </c>
      <c r="I1280" t="n">
        <v>1.3</v>
      </c>
      <c r="J1280" t="n">
        <v>1</v>
      </c>
      <c r="K1280" t="n">
        <v>0</v>
      </c>
      <c r="L1280" t="n">
        <v>0</v>
      </c>
      <c r="M1280" t="n">
        <v>0</v>
      </c>
      <c r="N1280" t="n">
        <v>0</v>
      </c>
      <c r="O1280" t="n">
        <v>0</v>
      </c>
      <c r="P1280" t="n">
        <v>0</v>
      </c>
      <c r="Q1280" t="n">
        <v>0</v>
      </c>
      <c r="R1280" t="n">
        <v>0</v>
      </c>
      <c r="S1280" t="n">
        <v>1</v>
      </c>
      <c r="T1280" t="n">
        <v>1</v>
      </c>
      <c r="U1280" t="n">
        <v>1</v>
      </c>
      <c r="V1280" s="2" t="inlineStr">
        <is>
          <t>Spillkråka</t>
        </is>
      </c>
      <c r="W1280">
        <f>HYPERLINK("https://klasma.github.io/Logging_2085/artfynd/A 29882-2024 artfynd.xlsx", "A 29882-2024")</f>
        <v/>
      </c>
      <c r="X1280">
        <f>HYPERLINK("https://klasma.github.io/Logging_2085/kartor/A 29882-2024 karta.png", "A 29882-2024")</f>
        <v/>
      </c>
      <c r="Y1280">
        <f>HYPERLINK("https://klasma.github.io/Logging_2085/kartor_geotiff/A 29882-2024 georefererad karta.tif", "A 29882-2024")</f>
        <v/>
      </c>
      <c r="AA1280">
        <f>HYPERLINK("https://klasma.github.io/Logging_2085/klagomål/A 29882-2024 FSC-klagomål.docx", "A 29882-2024")</f>
        <v/>
      </c>
      <c r="AB1280">
        <f>HYPERLINK("https://klasma.github.io/Logging_2085/klagomålsmail/A 29882-2024 FSC-klagomål mail.docx", "A 29882-2024")</f>
        <v/>
      </c>
      <c r="AC1280">
        <f>HYPERLINK("https://klasma.github.io/Logging_2085/tillsyn/A 29882-2024 tillsynsbegäran.docx", "A 29882-2024")</f>
        <v/>
      </c>
      <c r="AD1280">
        <f>HYPERLINK("https://klasma.github.io/Logging_2085/tillsynsmail/A 29882-2024 tillsynsbegäran mail.docx", "A 29882-2024")</f>
        <v/>
      </c>
      <c r="AE1280">
        <f>HYPERLINK("https://klasma.github.io/Logging_2085/fåglar/A 29882-2024 prioriterade fågelarter.docx", "A 29882-2024")</f>
        <v/>
      </c>
    </row>
    <row r="1281" ht="15" customHeight="1">
      <c r="A1281" t="inlineStr">
        <is>
          <t>A 384-2026</t>
        </is>
      </c>
      <c r="B1281" t="inlineStr">
        <is>
          <t>avverkningsanmälan</t>
        </is>
      </c>
      <c r="C1281" t="inlineStr">
        <is>
          <t>Föryngringsavverkning</t>
        </is>
      </c>
      <c r="D1281" s="1" t="n">
        <v>46027</v>
      </c>
      <c r="E1281" s="1" t="n">
        <v>46319</v>
      </c>
      <c r="F1281" t="inlineStr">
        <is>
          <t>DALARNAS LÄN</t>
        </is>
      </c>
      <c r="G1281" t="inlineStr">
        <is>
          <t>ORSA</t>
        </is>
      </c>
      <c r="I1281" t="n">
        <v>1</v>
      </c>
      <c r="J1281" t="n">
        <v>1</v>
      </c>
      <c r="K1281" t="n">
        <v>0</v>
      </c>
      <c r="L1281" t="n">
        <v>1</v>
      </c>
      <c r="M1281" t="n">
        <v>0</v>
      </c>
      <c r="N1281" t="n">
        <v>0</v>
      </c>
      <c r="O1281" t="n">
        <v>0</v>
      </c>
      <c r="P1281" t="n">
        <v>0</v>
      </c>
      <c r="Q1281" t="n">
        <v>1</v>
      </c>
      <c r="R1281" t="n">
        <v>0</v>
      </c>
      <c r="S1281" t="n">
        <v>1</v>
      </c>
      <c r="T1281" t="n">
        <v>1</v>
      </c>
      <c r="U1281" t="n">
        <v>1</v>
      </c>
      <c r="V1281" s="2" t="inlineStr">
        <is>
          <t>Rosenfink</t>
        </is>
      </c>
      <c r="W1281">
        <f>HYPERLINK("https://klasma.github.io/Logging_2034/artfynd/A 384-2026 artfynd.xlsx", "A 384-2026")</f>
        <v/>
      </c>
      <c r="X1281">
        <f>HYPERLINK("https://klasma.github.io/Logging_2034/kartor/A 384-2026 karta.png", "A 384-2026")</f>
        <v/>
      </c>
      <c r="Y1281">
        <f>HYPERLINK("https://klasma.github.io/Logging_2034/kartor_geotiff/A 384-2026 georefererad karta.tif", "A 384-2026")</f>
        <v/>
      </c>
      <c r="AA1281">
        <f>HYPERLINK("https://klasma.github.io/Logging_2034/klagomål/A 384-2026 FSC-klagomål.docx", "A 384-2026")</f>
        <v/>
      </c>
      <c r="AB1281">
        <f>HYPERLINK("https://klasma.github.io/Logging_2034/klagomålsmail/A 384-2026 FSC-klagomål mail.docx", "A 384-2026")</f>
        <v/>
      </c>
      <c r="AC1281">
        <f>HYPERLINK("https://klasma.github.io/Logging_2034/tillsyn/A 384-2026 tillsynsbegäran.docx", "A 384-2026")</f>
        <v/>
      </c>
      <c r="AD1281">
        <f>HYPERLINK("https://klasma.github.io/Logging_2034/tillsynsmail/A 384-2026 tillsynsbegäran mail.docx", "A 384-2026")</f>
        <v/>
      </c>
      <c r="AE1281">
        <f>HYPERLINK("https://klasma.github.io/Logging_2034/fåglar/A 384-2026 prioriterade fågelarter.docx", "A 384-2026")</f>
        <v/>
      </c>
    </row>
    <row r="1282" ht="15" customHeight="1">
      <c r="A1282" t="inlineStr">
        <is>
          <t>A 60042-2023</t>
        </is>
      </c>
      <c r="B1282" t="inlineStr">
        <is>
          <t>avverkningsanmälan</t>
        </is>
      </c>
      <c r="C1282" t="inlineStr">
        <is>
          <t>Föryngringsavverkning</t>
        </is>
      </c>
      <c r="D1282" s="1" t="n">
        <v>45256</v>
      </c>
      <c r="E1282" s="1" t="n">
        <v>46319</v>
      </c>
      <c r="F1282" t="inlineStr">
        <is>
          <t>DALARNAS LÄN</t>
        </is>
      </c>
      <c r="G1282" t="inlineStr">
        <is>
          <t>LEKSAND</t>
        </is>
      </c>
      <c r="I1282" t="n">
        <v>2</v>
      </c>
      <c r="J1282" t="n">
        <v>1</v>
      </c>
      <c r="K1282" t="n">
        <v>0</v>
      </c>
      <c r="L1282" t="n">
        <v>0</v>
      </c>
      <c r="M1282" t="n">
        <v>1</v>
      </c>
      <c r="N1282" t="n">
        <v>0</v>
      </c>
      <c r="O1282" t="n">
        <v>0</v>
      </c>
      <c r="P1282" t="n">
        <v>0</v>
      </c>
      <c r="Q1282" t="n">
        <v>1</v>
      </c>
      <c r="R1282" t="n">
        <v>1</v>
      </c>
      <c r="S1282" t="n">
        <v>1</v>
      </c>
      <c r="T1282" t="n">
        <v>1</v>
      </c>
      <c r="U1282" t="n">
        <v>0</v>
      </c>
      <c r="V1282" s="2" t="inlineStr">
        <is>
          <t>Brun gräsfjäril</t>
        </is>
      </c>
      <c r="W1282">
        <f>HYPERLINK("https://klasma.github.io/Logging_2029/artfynd/A 60042-2023 artfynd.xlsx", "A 60042-2023")</f>
        <v/>
      </c>
      <c r="X1282">
        <f>HYPERLINK("https://klasma.github.io/Logging_2029/kartor/A 60042-2023 karta.png", "A 60042-2023")</f>
        <v/>
      </c>
      <c r="Y1282">
        <f>HYPERLINK("https://klasma.github.io/Logging_2029/kartor_geotiff/A 60042-2023 georefererad karta.tif", "A 60042-2023")</f>
        <v/>
      </c>
      <c r="AA1282">
        <f>HYPERLINK("https://klasma.github.io/Logging_2029/klagomål/A 60042-2023 FSC-klagomål.docx", "A 60042-2023")</f>
        <v/>
      </c>
      <c r="AB1282">
        <f>HYPERLINK("https://klasma.github.io/Logging_2029/klagomålsmail/A 60042-2023 FSC-klagomål mail.docx", "A 60042-2023")</f>
        <v/>
      </c>
      <c r="AC1282">
        <f>HYPERLINK("https://klasma.github.io/Logging_2029/tillsyn/A 60042-2023 tillsynsbegäran.docx", "A 60042-2023")</f>
        <v/>
      </c>
      <c r="AD1282">
        <f>HYPERLINK("https://klasma.github.io/Logging_2029/tillsynsmail/A 60042-2023 tillsynsbegäran mail.docx", "A 60042-2023")</f>
        <v/>
      </c>
    </row>
    <row r="1283" ht="15" customHeight="1">
      <c r="A1283" t="inlineStr">
        <is>
          <t>A 665-2026</t>
        </is>
      </c>
      <c r="B1283" t="inlineStr">
        <is>
          <t>avverkningsanmälan</t>
        </is>
      </c>
      <c r="C1283" t="inlineStr">
        <is>
          <t>Föryngringsavverkning</t>
        </is>
      </c>
      <c r="D1283" s="1" t="n">
        <v>46029</v>
      </c>
      <c r="E1283" s="1" t="n">
        <v>46319</v>
      </c>
      <c r="F1283" t="inlineStr">
        <is>
          <t>DALARNAS LÄN</t>
        </is>
      </c>
      <c r="G1283" t="inlineStr">
        <is>
          <t>MORA</t>
        </is>
      </c>
      <c r="H1283" t="inlineStr">
        <is>
          <t>Kommuner</t>
        </is>
      </c>
      <c r="I1283" t="n">
        <v>20.9</v>
      </c>
      <c r="J1283" t="n">
        <v>1</v>
      </c>
      <c r="K1283" t="n">
        <v>0</v>
      </c>
      <c r="L1283" t="n">
        <v>0</v>
      </c>
      <c r="M1283" t="n">
        <v>0</v>
      </c>
      <c r="N1283" t="n">
        <v>0</v>
      </c>
      <c r="O1283" t="n">
        <v>0</v>
      </c>
      <c r="P1283" t="n">
        <v>0</v>
      </c>
      <c r="Q1283" t="n">
        <v>0</v>
      </c>
      <c r="R1283" t="n">
        <v>0</v>
      </c>
      <c r="S1283" t="n">
        <v>1</v>
      </c>
      <c r="T1283" t="n">
        <v>1</v>
      </c>
      <c r="U1283" t="n">
        <v>0</v>
      </c>
      <c r="V1283" s="2" t="inlineStr">
        <is>
          <t>Fläcknycklar</t>
        </is>
      </c>
      <c r="W1283">
        <f>HYPERLINK("https://klasma.github.io/Logging_2062/artfynd/A 665-2026 artfynd.xlsx", "A 665-2026")</f>
        <v/>
      </c>
      <c r="X1283">
        <f>HYPERLINK("https://klasma.github.io/Logging_2062/kartor/A 665-2026 karta.png", "A 665-2026")</f>
        <v/>
      </c>
      <c r="Y1283">
        <f>HYPERLINK("https://klasma.github.io/Logging_2062/kartor_geotiff/A 665-2026 georefererad karta.tif", "A 665-2026")</f>
        <v/>
      </c>
      <c r="AA1283">
        <f>HYPERLINK("https://klasma.github.io/Logging_2062/klagomål/A 665-2026 FSC-klagomål.docx", "A 665-2026")</f>
        <v/>
      </c>
      <c r="AB1283">
        <f>HYPERLINK("https://klasma.github.io/Logging_2062/klagomålsmail/A 665-2026 FSC-klagomål mail.docx", "A 665-2026")</f>
        <v/>
      </c>
      <c r="AC1283">
        <f>HYPERLINK("https://klasma.github.io/Logging_2062/tillsyn/A 665-2026 tillsynsbegäran.docx", "A 665-2026")</f>
        <v/>
      </c>
      <c r="AD1283">
        <f>HYPERLINK("https://klasma.github.io/Logging_2062/tillsynsmail/A 665-2026 tillsynsbegäran mail.docx", "A 665-2026")</f>
        <v/>
      </c>
    </row>
    <row r="1284" ht="15" customHeight="1">
      <c r="A1284" t="inlineStr">
        <is>
          <t>A 755-2026</t>
        </is>
      </c>
      <c r="B1284" t="inlineStr">
        <is>
          <t>avverkningsanmälan</t>
        </is>
      </c>
      <c r="C1284" t="inlineStr">
        <is>
          <t>Föryngringsavverkning</t>
        </is>
      </c>
      <c r="D1284" s="1" t="n">
        <v>46029</v>
      </c>
      <c r="E1284" s="1" t="n">
        <v>46319</v>
      </c>
      <c r="F1284" t="inlineStr">
        <is>
          <t>DALARNAS LÄN</t>
        </is>
      </c>
      <c r="G1284" t="inlineStr">
        <is>
          <t>BORLÄNGE</t>
        </is>
      </c>
      <c r="I1284" t="n">
        <v>6.7</v>
      </c>
      <c r="J1284" t="n">
        <v>1</v>
      </c>
      <c r="K1284" t="n">
        <v>0</v>
      </c>
      <c r="L1284" t="n">
        <v>0</v>
      </c>
      <c r="M1284" t="n">
        <v>1</v>
      </c>
      <c r="N1284" t="n">
        <v>0</v>
      </c>
      <c r="O1284" t="n">
        <v>0</v>
      </c>
      <c r="P1284" t="n">
        <v>0</v>
      </c>
      <c r="Q1284" t="n">
        <v>1</v>
      </c>
      <c r="R1284" t="n">
        <v>1</v>
      </c>
      <c r="S1284" t="n">
        <v>1</v>
      </c>
      <c r="T1284" t="n">
        <v>1</v>
      </c>
      <c r="U1284" t="n">
        <v>0</v>
      </c>
      <c r="V1284" s="2" t="inlineStr">
        <is>
          <t>Knärot</t>
        </is>
      </c>
      <c r="W1284">
        <f>HYPERLINK("https://klasma.github.io/Logging_2081/artfynd/A 755-2026 artfynd.xlsx", "A 755-2026")</f>
        <v/>
      </c>
      <c r="X1284">
        <f>HYPERLINK("https://klasma.github.io/Logging_2081/kartor/A 755-2026 karta.png", "A 755-2026")</f>
        <v/>
      </c>
      <c r="Y1284">
        <f>HYPERLINK("https://klasma.github.io/Logging_2081/kartor_geotiff/A 755-2026 georefererad karta.tif", "A 755-2026")</f>
        <v/>
      </c>
      <c r="Z1284">
        <f>HYPERLINK("https://klasma.github.io/Logging_2081/knärot/A 755-2026 karta knärot.png", "A 755-2026")</f>
        <v/>
      </c>
      <c r="AA1284">
        <f>HYPERLINK("https://klasma.github.io/Logging_2081/klagomål/A 755-2026 FSC-klagomål.docx", "A 755-2026")</f>
        <v/>
      </c>
      <c r="AB1284">
        <f>HYPERLINK("https://klasma.github.io/Logging_2081/klagomålsmail/A 755-2026 FSC-klagomål mail.docx", "A 755-2026")</f>
        <v/>
      </c>
      <c r="AC1284">
        <f>HYPERLINK("https://klasma.github.io/Logging_2081/tillsyn/A 755-2026 tillsynsbegäran.docx", "A 755-2026")</f>
        <v/>
      </c>
      <c r="AD1284">
        <f>HYPERLINK("https://klasma.github.io/Logging_2081/tillsynsmail/A 755-2026 tillsynsbegäran mail.docx", "A 755-2026")</f>
        <v/>
      </c>
    </row>
    <row r="1285" ht="15" customHeight="1">
      <c r="A1285" t="inlineStr">
        <is>
          <t>A 32516-2026</t>
        </is>
      </c>
      <c r="B1285" t="inlineStr">
        <is>
          <t>avverkningsanmälan</t>
        </is>
      </c>
      <c r="C1285" t="inlineStr">
        <is>
          <t>Föryngringsavverkning</t>
        </is>
      </c>
      <c r="D1285" s="1" t="n">
        <v>46239</v>
      </c>
      <c r="E1285" s="1" t="n">
        <v>46319</v>
      </c>
      <c r="F1285" t="inlineStr">
        <is>
          <t>DALARNAS LÄN</t>
        </is>
      </c>
      <c r="G1285" t="inlineStr">
        <is>
          <t>AVESTA</t>
        </is>
      </c>
      <c r="H1285" t="inlineStr">
        <is>
          <t>Sveaskog</t>
        </is>
      </c>
      <c r="I1285" t="n">
        <v>8.4</v>
      </c>
      <c r="J1285" t="n">
        <v>1</v>
      </c>
      <c r="K1285" t="n">
        <v>0</v>
      </c>
      <c r="L1285" t="n">
        <v>1</v>
      </c>
      <c r="M1285" t="n">
        <v>0</v>
      </c>
      <c r="N1285" t="n">
        <v>0</v>
      </c>
      <c r="O1285" t="n">
        <v>0</v>
      </c>
      <c r="P1285" t="n">
        <v>0</v>
      </c>
      <c r="Q1285" t="n">
        <v>1</v>
      </c>
      <c r="R1285" t="n">
        <v>0</v>
      </c>
      <c r="S1285" t="n">
        <v>1</v>
      </c>
      <c r="T1285" t="n">
        <v>3</v>
      </c>
      <c r="U1285" t="n">
        <v>0</v>
      </c>
      <c r="V1285" s="2" t="inlineStr">
        <is>
          <t>Nordfladdermus</t>
        </is>
      </c>
      <c r="W1285">
        <f>HYPERLINK("https://klasma.github.io/Logging_2084/artfynd/A 32516-2026 artfynd.xlsx", "A 32516-2026")</f>
        <v/>
      </c>
      <c r="X1285">
        <f>HYPERLINK("https://klasma.github.io/Logging_2084/kartor/A 32516-2026 karta.png", "A 32516-2026")</f>
        <v/>
      </c>
      <c r="Y1285">
        <f>HYPERLINK("https://klasma.github.io/Logging_2084/kartor_geotiff/A 32516-2026 georefererad karta.tif", "A 32516-2026")</f>
        <v/>
      </c>
      <c r="AA1285">
        <f>HYPERLINK("https://klasma.github.io/Logging_2084/klagomål/A 32516-2026 FSC-klagomål.docx", "A 32516-2026")</f>
        <v/>
      </c>
      <c r="AB1285">
        <f>HYPERLINK("https://klasma.github.io/Logging_2084/klagomålsmail/A 32516-2026 FSC-klagomål mail.docx", "A 32516-2026")</f>
        <v/>
      </c>
      <c r="AC1285">
        <f>HYPERLINK("https://klasma.github.io/Logging_2084/tillsyn/A 32516-2026 tillsynsbegäran.docx", "A 32516-2026")</f>
        <v/>
      </c>
      <c r="AD1285">
        <f>HYPERLINK("https://klasma.github.io/Logging_2084/tillsynsmail/A 32516-2026 tillsynsbegäran mail.docx", "A 32516-2026")</f>
        <v/>
      </c>
    </row>
    <row r="1286" ht="15" customHeight="1">
      <c r="A1286" t="inlineStr">
        <is>
          <t>A 38306-2026</t>
        </is>
      </c>
      <c r="B1286" t="inlineStr">
        <is>
          <t>avverkningsanmälan</t>
        </is>
      </c>
      <c r="C1286" t="inlineStr">
        <is>
          <t>Avverkning för att bevara och utveckla /försöksver</t>
        </is>
      </c>
      <c r="D1286" s="1" t="n">
        <v>46282</v>
      </c>
      <c r="E1286" s="1" t="n">
        <v>46319</v>
      </c>
      <c r="F1286" t="inlineStr">
        <is>
          <t>DALARNAS LÄN</t>
        </is>
      </c>
      <c r="G1286" t="inlineStr">
        <is>
          <t>SMEDJEBACKEN</t>
        </is>
      </c>
      <c r="H1286" t="inlineStr">
        <is>
          <t>Sveaskog</t>
        </is>
      </c>
      <c r="I1286" t="n">
        <v>1.3</v>
      </c>
      <c r="J1286" t="n">
        <v>0</v>
      </c>
      <c r="K1286" t="n">
        <v>0</v>
      </c>
      <c r="L1286" t="n">
        <v>0</v>
      </c>
      <c r="M1286" t="n">
        <v>1</v>
      </c>
      <c r="N1286" t="n">
        <v>0</v>
      </c>
      <c r="O1286" t="n">
        <v>0</v>
      </c>
      <c r="P1286" t="n">
        <v>0</v>
      </c>
      <c r="Q1286" t="n">
        <v>1</v>
      </c>
      <c r="R1286" t="n">
        <v>1</v>
      </c>
      <c r="S1286" t="n">
        <v>1</v>
      </c>
      <c r="T1286" t="n">
        <v>1</v>
      </c>
      <c r="U1286" t="n">
        <v>0</v>
      </c>
      <c r="V1286" s="2" t="inlineStr">
        <is>
          <t>Lakritsmusseron</t>
        </is>
      </c>
      <c r="W1286">
        <f>HYPERLINK("https://klasma.github.io/Logging_2061/artfynd/A 38306-2026 artfynd.xlsx", "A 38306-2026")</f>
        <v/>
      </c>
      <c r="X1286">
        <f>HYPERLINK("https://klasma.github.io/Logging_2061/kartor/A 38306-2026 karta.png", "A 38306-2026")</f>
        <v/>
      </c>
      <c r="Y1286">
        <f>HYPERLINK("https://klasma.github.io/Logging_2061/kartor_geotiff/A 38306-2026 georefererad karta.tif", "A 38306-2026")</f>
        <v/>
      </c>
      <c r="AA1286">
        <f>HYPERLINK("https://klasma.github.io/Logging_2061/klagomål/A 38306-2026 FSC-klagomål.docx", "A 38306-2026")</f>
        <v/>
      </c>
      <c r="AB1286">
        <f>HYPERLINK("https://klasma.github.io/Logging_2061/klagomålsmail/A 38306-2026 FSC-klagomål mail.docx", "A 38306-2026")</f>
        <v/>
      </c>
      <c r="AC1286">
        <f>HYPERLINK("https://klasma.github.io/Logging_2061/tillsyn/A 38306-2026 tillsynsbegäran.docx", "A 38306-2026")</f>
        <v/>
      </c>
      <c r="AD1286">
        <f>HYPERLINK("https://klasma.github.io/Logging_2061/tillsynsmail/A 38306-2026 tillsynsbegäran mail.docx", "A 38306-2026")</f>
        <v/>
      </c>
    </row>
    <row r="1287" ht="15" customHeight="1">
      <c r="A1287" t="inlineStr">
        <is>
          <t>A 777-2026</t>
        </is>
      </c>
      <c r="B1287" t="inlineStr">
        <is>
          <t>avverkningsanmälan</t>
        </is>
      </c>
      <c r="C1287" t="inlineStr">
        <is>
          <t>Föryngringsavverkning</t>
        </is>
      </c>
      <c r="D1287" s="1" t="n">
        <v>46029</v>
      </c>
      <c r="E1287" s="1" t="n">
        <v>46319</v>
      </c>
      <c r="F1287" t="inlineStr">
        <is>
          <t>DALARNAS LÄN</t>
        </is>
      </c>
      <c r="G1287" t="inlineStr">
        <is>
          <t>MALUNG-SÄLEN</t>
        </is>
      </c>
      <c r="H1287" t="inlineStr">
        <is>
          <t>Bergvik skog väst AB</t>
        </is>
      </c>
      <c r="I1287" t="n">
        <v>27</v>
      </c>
      <c r="J1287" t="n">
        <v>1</v>
      </c>
      <c r="K1287" t="n">
        <v>0</v>
      </c>
      <c r="L1287" t="n">
        <v>1</v>
      </c>
      <c r="M1287" t="n">
        <v>0</v>
      </c>
      <c r="N1287" t="n">
        <v>0</v>
      </c>
      <c r="O1287" t="n">
        <v>0</v>
      </c>
      <c r="P1287" t="n">
        <v>0</v>
      </c>
      <c r="Q1287" t="n">
        <v>1</v>
      </c>
      <c r="R1287" t="n">
        <v>0</v>
      </c>
      <c r="S1287" t="n">
        <v>1</v>
      </c>
      <c r="T1287" t="n">
        <v>1</v>
      </c>
      <c r="U1287" t="n">
        <v>0</v>
      </c>
      <c r="V1287" s="2" t="inlineStr">
        <is>
          <t>Kungsörn</t>
        </is>
      </c>
      <c r="W1287">
        <f>HYPERLINK("https://klasma.github.io/Logging_2023/artfynd/A 777-2026 artfynd.xlsx", "A 777-2026")</f>
        <v/>
      </c>
      <c r="X1287">
        <f>HYPERLINK("https://klasma.github.io/Logging_2023/kartor/A 777-2026 karta.png", "A 777-2026")</f>
        <v/>
      </c>
      <c r="Y1287">
        <f>HYPERLINK("https://klasma.github.io/Logging_2023/kartor_geotiff/A 777-2026 georefererad karta.tif", "A 777-2026")</f>
        <v/>
      </c>
      <c r="AA1287">
        <f>HYPERLINK("https://klasma.github.io/Logging_2023/klagomål/A 777-2026 FSC-klagomål.docx", "A 777-2026")</f>
        <v/>
      </c>
      <c r="AB1287">
        <f>HYPERLINK("https://klasma.github.io/Logging_2023/klagomålsmail/A 777-2026 FSC-klagomål mail.docx", "A 777-2026")</f>
        <v/>
      </c>
      <c r="AC1287">
        <f>HYPERLINK("https://klasma.github.io/Logging_2023/tillsyn/A 777-2026 tillsynsbegäran.docx", "A 777-2026")</f>
        <v/>
      </c>
      <c r="AD1287">
        <f>HYPERLINK("https://klasma.github.io/Logging_2023/tillsynsmail/A 777-2026 tillsynsbegäran mail.docx", "A 777-2026")</f>
        <v/>
      </c>
      <c r="AE1287">
        <f>HYPERLINK("https://klasma.github.io/Logging_2023/fåglar/A 777-2026 prioriterade fågelarter.docx", "A 777-2026")</f>
        <v/>
      </c>
    </row>
    <row r="1288" ht="15" customHeight="1">
      <c r="A1288" t="inlineStr">
        <is>
          <t>A 23102-2025</t>
        </is>
      </c>
      <c r="B1288" t="inlineStr">
        <is>
          <t>avverkningsanmälan</t>
        </is>
      </c>
      <c r="C1288" t="inlineStr">
        <is>
          <t>Föryngringsavverkning</t>
        </is>
      </c>
      <c r="D1288" s="1" t="n">
        <v>45791</v>
      </c>
      <c r="E1288" s="1" t="n">
        <v>46319</v>
      </c>
      <c r="F1288" t="inlineStr">
        <is>
          <t>DALARNAS LÄN</t>
        </is>
      </c>
      <c r="G1288" t="inlineStr">
        <is>
          <t>LUDVIKA</t>
        </is>
      </c>
      <c r="H1288" t="inlineStr">
        <is>
          <t>Bergvik skog väst AB</t>
        </is>
      </c>
      <c r="I1288" t="n">
        <v>0.8</v>
      </c>
      <c r="J1288" t="n">
        <v>1</v>
      </c>
      <c r="K1288" t="n">
        <v>0</v>
      </c>
      <c r="L1288" t="n">
        <v>0</v>
      </c>
      <c r="M1288" t="n">
        <v>0</v>
      </c>
      <c r="N1288" t="n">
        <v>0</v>
      </c>
      <c r="O1288" t="n">
        <v>0</v>
      </c>
      <c r="P1288" t="n">
        <v>0</v>
      </c>
      <c r="Q1288" t="n">
        <v>0</v>
      </c>
      <c r="R1288" t="n">
        <v>0</v>
      </c>
      <c r="S1288" t="n">
        <v>1</v>
      </c>
      <c r="T1288" t="n">
        <v>1</v>
      </c>
      <c r="U1288" t="n">
        <v>0</v>
      </c>
      <c r="V1288" s="2" t="inlineStr">
        <is>
          <t>Vanlig groda</t>
        </is>
      </c>
      <c r="W1288">
        <f>HYPERLINK("https://klasma.github.io/Logging_2085/artfynd/A 23102-2025 artfynd.xlsx", "A 23102-2025")</f>
        <v/>
      </c>
      <c r="X1288">
        <f>HYPERLINK("https://klasma.github.io/Logging_2085/kartor/A 23102-2025 karta.png", "A 23102-2025")</f>
        <v/>
      </c>
      <c r="Y1288">
        <f>HYPERLINK("https://klasma.github.io/Logging_2085/kartor_geotiff/A 23102-2025 georefererad karta.tif", "A 23102-2025")</f>
        <v/>
      </c>
      <c r="AA1288">
        <f>HYPERLINK("https://klasma.github.io/Logging_2085/klagomål/A 23102-2025 FSC-klagomål.docx", "A 23102-2025")</f>
        <v/>
      </c>
      <c r="AB1288">
        <f>HYPERLINK("https://klasma.github.io/Logging_2085/klagomålsmail/A 23102-2025 FSC-klagomål mail.docx", "A 23102-2025")</f>
        <v/>
      </c>
      <c r="AC1288">
        <f>HYPERLINK("https://klasma.github.io/Logging_2085/tillsyn/A 23102-2025 tillsynsbegäran.docx", "A 23102-2025")</f>
        <v/>
      </c>
      <c r="AD1288">
        <f>HYPERLINK("https://klasma.github.io/Logging_2085/tillsynsmail/A 23102-2025 tillsynsbegäran mail.docx", "A 23102-2025")</f>
        <v/>
      </c>
    </row>
    <row r="1289" ht="15" customHeight="1">
      <c r="A1289" t="inlineStr">
        <is>
          <t>A 1342-2026</t>
        </is>
      </c>
      <c r="B1289" t="inlineStr">
        <is>
          <t>avverkningsanmälan</t>
        </is>
      </c>
      <c r="C1289" t="inlineStr">
        <is>
          <t>Föryngringsavverkning</t>
        </is>
      </c>
      <c r="D1289" s="1" t="n">
        <v>46031</v>
      </c>
      <c r="E1289" s="1" t="n">
        <v>46319</v>
      </c>
      <c r="F1289" t="inlineStr">
        <is>
          <t>DALARNAS LÄN</t>
        </is>
      </c>
      <c r="G1289" t="inlineStr">
        <is>
          <t>FALUN</t>
        </is>
      </c>
      <c r="I1289" t="n">
        <v>14.9</v>
      </c>
      <c r="J1289" t="n">
        <v>0</v>
      </c>
      <c r="K1289" t="n">
        <v>0</v>
      </c>
      <c r="L1289" t="n">
        <v>0</v>
      </c>
      <c r="M1289" t="n">
        <v>1</v>
      </c>
      <c r="N1289" t="n">
        <v>0</v>
      </c>
      <c r="O1289" t="n">
        <v>0</v>
      </c>
      <c r="P1289" t="n">
        <v>0</v>
      </c>
      <c r="Q1289" t="n">
        <v>1</v>
      </c>
      <c r="R1289" t="n">
        <v>1</v>
      </c>
      <c r="S1289" t="n">
        <v>1</v>
      </c>
      <c r="T1289" t="n">
        <v>1</v>
      </c>
      <c r="U1289" t="n">
        <v>0</v>
      </c>
      <c r="V1289" s="2" t="inlineStr">
        <is>
          <t>Igelkott</t>
        </is>
      </c>
      <c r="W1289">
        <f>HYPERLINK("https://klasma.github.io/Logging_2080/artfynd/A 1342-2026 artfynd.xlsx", "A 1342-2026")</f>
        <v/>
      </c>
      <c r="X1289">
        <f>HYPERLINK("https://klasma.github.io/Logging_2080/kartor/A 1342-2026 karta.png", "A 1342-2026")</f>
        <v/>
      </c>
      <c r="Y1289">
        <f>HYPERLINK("https://klasma.github.io/Logging_2080/kartor_geotiff/A 1342-2026 georefererad karta.tif", "A 1342-2026")</f>
        <v/>
      </c>
      <c r="AA1289">
        <f>HYPERLINK("https://klasma.github.io/Logging_2080/klagomål/A 1342-2026 FSC-klagomål.docx", "A 1342-2026")</f>
        <v/>
      </c>
      <c r="AB1289">
        <f>HYPERLINK("https://klasma.github.io/Logging_2080/klagomålsmail/A 1342-2026 FSC-klagomål mail.docx", "A 1342-2026")</f>
        <v/>
      </c>
      <c r="AC1289">
        <f>HYPERLINK("https://klasma.github.io/Logging_2080/tillsyn/A 1342-2026 tillsynsbegäran.docx", "A 1342-2026")</f>
        <v/>
      </c>
      <c r="AD1289">
        <f>HYPERLINK("https://klasma.github.io/Logging_2080/tillsynsmail/A 1342-2026 tillsynsbegäran mail.docx", "A 1342-2026")</f>
        <v/>
      </c>
    </row>
    <row r="1290" ht="15" customHeight="1">
      <c r="A1290" t="inlineStr">
        <is>
          <t>A 1317-2026</t>
        </is>
      </c>
      <c r="B1290" t="inlineStr">
        <is>
          <t>avverkningsanmälan</t>
        </is>
      </c>
      <c r="C1290" t="inlineStr">
        <is>
          <t>Föryngringsavverkning</t>
        </is>
      </c>
      <c r="D1290" s="1" t="n">
        <v>46031</v>
      </c>
      <c r="E1290" s="1" t="n">
        <v>46319</v>
      </c>
      <c r="F1290" t="inlineStr">
        <is>
          <t>DALARNAS LÄN</t>
        </is>
      </c>
      <c r="G1290" t="inlineStr">
        <is>
          <t>FALUN</t>
        </is>
      </c>
      <c r="I1290" t="n">
        <v>27.3</v>
      </c>
      <c r="J1290" t="n">
        <v>1</v>
      </c>
      <c r="K1290" t="n">
        <v>0</v>
      </c>
      <c r="L1290" t="n">
        <v>0</v>
      </c>
      <c r="M1290" t="n">
        <v>0</v>
      </c>
      <c r="N1290" t="n">
        <v>0</v>
      </c>
      <c r="O1290" t="n">
        <v>0</v>
      </c>
      <c r="P1290" t="n">
        <v>0</v>
      </c>
      <c r="Q1290" t="n">
        <v>0</v>
      </c>
      <c r="R1290" t="n">
        <v>0</v>
      </c>
      <c r="S1290" t="n">
        <v>1</v>
      </c>
      <c r="T1290" t="n">
        <v>1</v>
      </c>
      <c r="U1290" t="n">
        <v>0</v>
      </c>
      <c r="V1290" s="2" t="inlineStr">
        <is>
          <t>Gul groddlummer</t>
        </is>
      </c>
      <c r="W1290">
        <f>HYPERLINK("https://klasma.github.io/Logging_2080/artfynd/A 1317-2026 artfynd.xlsx", "A 1317-2026")</f>
        <v/>
      </c>
      <c r="X1290">
        <f>HYPERLINK("https://klasma.github.io/Logging_2080/kartor/A 1317-2026 karta.png", "A 1317-2026")</f>
        <v/>
      </c>
      <c r="Y1290">
        <f>HYPERLINK("https://klasma.github.io/Logging_2080/kartor_geotiff/A 1317-2026 georefererad karta.tif", "A 1317-2026")</f>
        <v/>
      </c>
      <c r="AA1290">
        <f>HYPERLINK("https://klasma.github.io/Logging_2080/klagomål/A 1317-2026 FSC-klagomål.docx", "A 1317-2026")</f>
        <v/>
      </c>
      <c r="AB1290">
        <f>HYPERLINK("https://klasma.github.io/Logging_2080/klagomålsmail/A 1317-2026 FSC-klagomål mail.docx", "A 1317-2026")</f>
        <v/>
      </c>
      <c r="AC1290">
        <f>HYPERLINK("https://klasma.github.io/Logging_2080/tillsyn/A 1317-2026 tillsynsbegäran.docx", "A 1317-2026")</f>
        <v/>
      </c>
      <c r="AD1290">
        <f>HYPERLINK("https://klasma.github.io/Logging_2080/tillsynsmail/A 1317-2026 tillsynsbegäran mail.docx", "A 1317-2026")</f>
        <v/>
      </c>
    </row>
    <row r="1291" ht="15" customHeight="1">
      <c r="A1291" t="inlineStr">
        <is>
          <t>A 1432-2026</t>
        </is>
      </c>
      <c r="B1291" t="inlineStr">
        <is>
          <t>avverkningsanmälan</t>
        </is>
      </c>
      <c r="C1291" t="inlineStr">
        <is>
          <t>Föryngringsavverkning</t>
        </is>
      </c>
      <c r="D1291" s="1" t="n">
        <v>46032</v>
      </c>
      <c r="E1291" s="1" t="n">
        <v>46319</v>
      </c>
      <c r="F1291" t="inlineStr">
        <is>
          <t>DALARNAS LÄN</t>
        </is>
      </c>
      <c r="G1291" t="inlineStr">
        <is>
          <t>GAGNEF</t>
        </is>
      </c>
      <c r="I1291" t="n">
        <v>1.1</v>
      </c>
      <c r="J1291" t="n">
        <v>0</v>
      </c>
      <c r="K1291" t="n">
        <v>0</v>
      </c>
      <c r="L1291" t="n">
        <v>1</v>
      </c>
      <c r="M1291" t="n">
        <v>0</v>
      </c>
      <c r="N1291" t="n">
        <v>0</v>
      </c>
      <c r="O1291" t="n">
        <v>0</v>
      </c>
      <c r="P1291" t="n">
        <v>0</v>
      </c>
      <c r="Q1291" t="n">
        <v>1</v>
      </c>
      <c r="R1291" t="n">
        <v>0</v>
      </c>
      <c r="S1291" t="n">
        <v>1</v>
      </c>
      <c r="T1291" t="n">
        <v>1</v>
      </c>
      <c r="U1291" t="n">
        <v>0</v>
      </c>
      <c r="V1291" s="2" t="inlineStr">
        <is>
          <t>Rosenticka</t>
        </is>
      </c>
      <c r="W1291">
        <f>HYPERLINK("https://klasma.github.io/Logging_2026/artfynd/A 1432-2026 artfynd.xlsx", "A 1432-2026")</f>
        <v/>
      </c>
      <c r="X1291">
        <f>HYPERLINK("https://klasma.github.io/Logging_2026/kartor/A 1432-2026 karta.png", "A 1432-2026")</f>
        <v/>
      </c>
      <c r="Y1291">
        <f>HYPERLINK("https://klasma.github.io/Logging_2026/kartor_geotiff/A 1432-2026 georefererad karta.tif", "A 1432-2026")</f>
        <v/>
      </c>
      <c r="AA1291">
        <f>HYPERLINK("https://klasma.github.io/Logging_2026/klagomål/A 1432-2026 FSC-klagomål.docx", "A 1432-2026")</f>
        <v/>
      </c>
      <c r="AB1291">
        <f>HYPERLINK("https://klasma.github.io/Logging_2026/klagomålsmail/A 1432-2026 FSC-klagomål mail.docx", "A 1432-2026")</f>
        <v/>
      </c>
      <c r="AC1291">
        <f>HYPERLINK("https://klasma.github.io/Logging_2026/tillsyn/A 1432-2026 tillsynsbegäran.docx", "A 1432-2026")</f>
        <v/>
      </c>
      <c r="AD1291">
        <f>HYPERLINK("https://klasma.github.io/Logging_2026/tillsynsmail/A 1432-2026 tillsynsbegäran mail.docx", "A 1432-2026")</f>
        <v/>
      </c>
    </row>
    <row r="1292" ht="15" customHeight="1">
      <c r="A1292" t="inlineStr">
        <is>
          <t>A 32700-2026</t>
        </is>
      </c>
      <c r="B1292" t="inlineStr">
        <is>
          <t>avverkningsanmälan</t>
        </is>
      </c>
      <c r="C1292" t="inlineStr">
        <is>
          <t>Avverkning för att bevara och utveckla /försöksver</t>
        </is>
      </c>
      <c r="D1292" s="1" t="n">
        <v>46240</v>
      </c>
      <c r="E1292" s="1" t="n">
        <v>46319</v>
      </c>
      <c r="F1292" t="inlineStr">
        <is>
          <t>DALARNAS LÄN</t>
        </is>
      </c>
      <c r="G1292" t="inlineStr">
        <is>
          <t>GAGNEF</t>
        </is>
      </c>
      <c r="I1292" t="n">
        <v>2.4</v>
      </c>
      <c r="J1292" t="n">
        <v>1</v>
      </c>
      <c r="K1292" t="n">
        <v>0</v>
      </c>
      <c r="L1292" t="n">
        <v>1</v>
      </c>
      <c r="M1292" t="n">
        <v>0</v>
      </c>
      <c r="N1292" t="n">
        <v>0</v>
      </c>
      <c r="O1292" t="n">
        <v>0</v>
      </c>
      <c r="P1292" t="n">
        <v>0</v>
      </c>
      <c r="Q1292" t="n">
        <v>1</v>
      </c>
      <c r="R1292" t="n">
        <v>0</v>
      </c>
      <c r="S1292" t="n">
        <v>1</v>
      </c>
      <c r="T1292" t="n">
        <v>1</v>
      </c>
      <c r="U1292" t="n">
        <v>0</v>
      </c>
      <c r="V1292" s="2" t="inlineStr">
        <is>
          <t>Tretåig hackspett</t>
        </is>
      </c>
      <c r="W1292">
        <f>HYPERLINK("https://klasma.github.io/Logging_2026/artfynd/A 32700-2026 artfynd.xlsx", "A 32700-2026")</f>
        <v/>
      </c>
      <c r="X1292">
        <f>HYPERLINK("https://klasma.github.io/Logging_2026/kartor/A 32700-2026 karta.png", "A 32700-2026")</f>
        <v/>
      </c>
      <c r="Y1292">
        <f>HYPERLINK("https://klasma.github.io/Logging_2026/kartor_geotiff/A 32700-2026 georefererad karta.tif", "A 32700-2026")</f>
        <v/>
      </c>
      <c r="AA1292">
        <f>HYPERLINK("https://klasma.github.io/Logging_2026/klagomål/A 32700-2026 FSC-klagomål.docx", "A 32700-2026")</f>
        <v/>
      </c>
      <c r="AB1292">
        <f>HYPERLINK("https://klasma.github.io/Logging_2026/klagomålsmail/A 32700-2026 FSC-klagomål mail.docx", "A 32700-2026")</f>
        <v/>
      </c>
      <c r="AC1292">
        <f>HYPERLINK("https://klasma.github.io/Logging_2026/tillsyn/A 32700-2026 tillsynsbegäran.docx", "A 32700-2026")</f>
        <v/>
      </c>
      <c r="AD1292">
        <f>HYPERLINK("https://klasma.github.io/Logging_2026/tillsynsmail/A 32700-2026 tillsynsbegäran mail.docx", "A 32700-2026")</f>
        <v/>
      </c>
      <c r="AE1292">
        <f>HYPERLINK("https://klasma.github.io/Logging_2026/fåglar/A 32700-2026 prioriterade fågelarter.docx", "A 32700-2026")</f>
        <v/>
      </c>
    </row>
    <row r="1293" ht="15" customHeight="1">
      <c r="A1293" t="inlineStr">
        <is>
          <t>A 23855-2025</t>
        </is>
      </c>
      <c r="B1293" t="inlineStr">
        <is>
          <t>avverkningsanmälan</t>
        </is>
      </c>
      <c r="C1293" t="inlineStr">
        <is>
          <t>Föryngringsavverkning</t>
        </is>
      </c>
      <c r="D1293" s="1" t="n">
        <v>45793</v>
      </c>
      <c r="E1293" s="1" t="n">
        <v>46319</v>
      </c>
      <c r="F1293" t="inlineStr">
        <is>
          <t>DALARNAS LÄN</t>
        </is>
      </c>
      <c r="G1293" t="inlineStr">
        <is>
          <t>LEKSAND</t>
        </is>
      </c>
      <c r="I1293" t="n">
        <v>0.6</v>
      </c>
      <c r="J1293" t="n">
        <v>1</v>
      </c>
      <c r="K1293" t="n">
        <v>0</v>
      </c>
      <c r="L1293" t="n">
        <v>0</v>
      </c>
      <c r="M1293" t="n">
        <v>0</v>
      </c>
      <c r="N1293" t="n">
        <v>0</v>
      </c>
      <c r="O1293" t="n">
        <v>0</v>
      </c>
      <c r="P1293" t="n">
        <v>0</v>
      </c>
      <c r="Q1293" t="n">
        <v>0</v>
      </c>
      <c r="R1293" t="n">
        <v>0</v>
      </c>
      <c r="S1293" t="n">
        <v>1</v>
      </c>
      <c r="T1293" t="n">
        <v>1</v>
      </c>
      <c r="U1293" t="n">
        <v>1</v>
      </c>
      <c r="V1293" s="2" t="inlineStr">
        <is>
          <t>Blåsippa</t>
        </is>
      </c>
      <c r="W1293">
        <f>HYPERLINK("https://klasma.github.io/Logging_2029/artfynd/A 23855-2025 artfynd.xlsx", "A 23855-2025")</f>
        <v/>
      </c>
      <c r="X1293">
        <f>HYPERLINK("https://klasma.github.io/Logging_2029/kartor/A 23855-2025 karta.png", "A 23855-2025")</f>
        <v/>
      </c>
      <c r="Y1293">
        <f>HYPERLINK("https://klasma.github.io/Logging_2029/kartor_geotiff/A 23855-2025 georefererad karta.tif", "A 23855-2025")</f>
        <v/>
      </c>
      <c r="AA1293">
        <f>HYPERLINK("https://klasma.github.io/Logging_2029/klagomål/A 23855-2025 FSC-klagomål.docx", "A 23855-2025")</f>
        <v/>
      </c>
      <c r="AB1293">
        <f>HYPERLINK("https://klasma.github.io/Logging_2029/klagomålsmail/A 23855-2025 FSC-klagomål mail.docx", "A 23855-2025")</f>
        <v/>
      </c>
      <c r="AC1293">
        <f>HYPERLINK("https://klasma.github.io/Logging_2029/tillsyn/A 23855-2025 tillsynsbegäran.docx", "A 23855-2025")</f>
        <v/>
      </c>
      <c r="AD1293">
        <f>HYPERLINK("https://klasma.github.io/Logging_2029/tillsynsmail/A 23855-2025 tillsynsbegäran mail.docx", "A 23855-2025")</f>
        <v/>
      </c>
    </row>
    <row r="1294" ht="15" customHeight="1">
      <c r="A1294" t="inlineStr">
        <is>
          <t>A 34305-2024</t>
        </is>
      </c>
      <c r="B1294" t="inlineStr">
        <is>
          <t>avverkningsanmälan</t>
        </is>
      </c>
      <c r="C1294" t="inlineStr">
        <is>
          <t>Föryngringsavverkning</t>
        </is>
      </c>
      <c r="D1294" s="1" t="n">
        <v>45524</v>
      </c>
      <c r="E1294" s="1" t="n">
        <v>46319</v>
      </c>
      <c r="F1294" t="inlineStr">
        <is>
          <t>DALARNAS LÄN</t>
        </is>
      </c>
      <c r="G1294" t="inlineStr">
        <is>
          <t>RÄTTVIK</t>
        </is>
      </c>
      <c r="I1294" t="n">
        <v>18.1</v>
      </c>
      <c r="J1294" t="n">
        <v>0</v>
      </c>
      <c r="K1294" t="n">
        <v>1</v>
      </c>
      <c r="L1294" t="n">
        <v>0</v>
      </c>
      <c r="M1294" t="n">
        <v>0</v>
      </c>
      <c r="N1294" t="n">
        <v>0</v>
      </c>
      <c r="O1294" t="n">
        <v>0</v>
      </c>
      <c r="P1294" t="n">
        <v>0</v>
      </c>
      <c r="Q1294" t="n">
        <v>0</v>
      </c>
      <c r="R1294" t="n">
        <v>0</v>
      </c>
      <c r="S1294" t="n">
        <v>1</v>
      </c>
      <c r="T1294" t="n">
        <v>2</v>
      </c>
      <c r="U1294" t="n">
        <v>0</v>
      </c>
      <c r="V1294" s="2" t="inlineStr">
        <is>
          <t>Mindre märgborre</t>
        </is>
      </c>
      <c r="W1294">
        <f>HYPERLINK("https://klasma.github.io/Logging_2031/artfynd/A 34305-2024 artfynd.xlsx", "A 34305-2024")</f>
        <v/>
      </c>
      <c r="X1294">
        <f>HYPERLINK("https://klasma.github.io/Logging_2031/kartor/A 34305-2024 karta.png", "A 34305-2024")</f>
        <v/>
      </c>
      <c r="Y1294">
        <f>HYPERLINK("https://klasma.github.io/Logging_2031/kartor_geotiff/A 34305-2024 georefererad karta.tif", "A 34305-2024")</f>
        <v/>
      </c>
      <c r="AA1294">
        <f>HYPERLINK("https://klasma.github.io/Logging_2031/klagomål/A 34305-2024 FSC-klagomål.docx", "A 34305-2024")</f>
        <v/>
      </c>
      <c r="AB1294">
        <f>HYPERLINK("https://klasma.github.io/Logging_2031/klagomålsmail/A 34305-2024 FSC-klagomål mail.docx", "A 34305-2024")</f>
        <v/>
      </c>
      <c r="AC1294">
        <f>HYPERLINK("https://klasma.github.io/Logging_2031/tillsyn/A 34305-2024 tillsynsbegäran.docx", "A 34305-2024")</f>
        <v/>
      </c>
      <c r="AD1294">
        <f>HYPERLINK("https://klasma.github.io/Logging_2031/tillsynsmail/A 34305-2024 tillsynsbegäran mail.docx", "A 34305-2024")</f>
        <v/>
      </c>
    </row>
    <row r="1295" ht="15" customHeight="1">
      <c r="A1295" t="inlineStr">
        <is>
          <t>A 53454-2025</t>
        </is>
      </c>
      <c r="B1295" t="inlineStr">
        <is>
          <t>avverkningsanmälan</t>
        </is>
      </c>
      <c r="C1295" t="inlineStr">
        <is>
          <t>Föryngringsavverkning</t>
        </is>
      </c>
      <c r="D1295" s="1" t="n">
        <v>45959</v>
      </c>
      <c r="E1295" s="1" t="n">
        <v>46319</v>
      </c>
      <c r="F1295" t="inlineStr">
        <is>
          <t>DALARNAS LÄN</t>
        </is>
      </c>
      <c r="G1295" t="inlineStr">
        <is>
          <t>FALUN</t>
        </is>
      </c>
      <c r="H1295" t="inlineStr">
        <is>
          <t>Bergvik skog väst AB</t>
        </is>
      </c>
      <c r="I1295" t="n">
        <v>10.7</v>
      </c>
      <c r="J1295" t="n">
        <v>0</v>
      </c>
      <c r="K1295" t="n">
        <v>0</v>
      </c>
      <c r="L1295" t="n">
        <v>1</v>
      </c>
      <c r="M1295" t="n">
        <v>0</v>
      </c>
      <c r="N1295" t="n">
        <v>0</v>
      </c>
      <c r="O1295" t="n">
        <v>0</v>
      </c>
      <c r="P1295" t="n">
        <v>0</v>
      </c>
      <c r="Q1295" t="n">
        <v>1</v>
      </c>
      <c r="R1295" t="n">
        <v>0</v>
      </c>
      <c r="S1295" t="n">
        <v>1</v>
      </c>
      <c r="T1295" t="n">
        <v>1</v>
      </c>
      <c r="U1295" t="n">
        <v>0</v>
      </c>
      <c r="V1295" s="2" t="inlineStr">
        <is>
          <t>Lunglav</t>
        </is>
      </c>
      <c r="W1295">
        <f>HYPERLINK("https://klasma.github.io/Logging_2080/artfynd/A 53454-2025 artfynd.xlsx", "A 53454-2025")</f>
        <v/>
      </c>
      <c r="X1295">
        <f>HYPERLINK("https://klasma.github.io/Logging_2080/kartor/A 53454-2025 karta.png", "A 53454-2025")</f>
        <v/>
      </c>
      <c r="Y1295">
        <f>HYPERLINK("https://klasma.github.io/Logging_2080/kartor_geotiff/A 53454-2025 georefererad karta.tif", "A 53454-2025")</f>
        <v/>
      </c>
      <c r="AA1295">
        <f>HYPERLINK("https://klasma.github.io/Logging_2080/klagomål/A 53454-2025 FSC-klagomål.docx", "A 53454-2025")</f>
        <v/>
      </c>
      <c r="AB1295">
        <f>HYPERLINK("https://klasma.github.io/Logging_2080/klagomålsmail/A 53454-2025 FSC-klagomål mail.docx", "A 53454-2025")</f>
        <v/>
      </c>
      <c r="AC1295">
        <f>HYPERLINK("https://klasma.github.io/Logging_2080/tillsyn/A 53454-2025 tillsynsbegäran.docx", "A 53454-2025")</f>
        <v/>
      </c>
      <c r="AD1295">
        <f>HYPERLINK("https://klasma.github.io/Logging_2080/tillsynsmail/A 53454-2025 tillsynsbegäran mail.docx", "A 53454-2025")</f>
        <v/>
      </c>
    </row>
    <row r="1296" ht="15" customHeight="1">
      <c r="A1296" t="inlineStr">
        <is>
          <t>A 3454-2026</t>
        </is>
      </c>
      <c r="B1296" t="inlineStr">
        <is>
          <t>avverkningsanmälan</t>
        </is>
      </c>
      <c r="C1296" t="inlineStr">
        <is>
          <t>Föryngringsavverkning</t>
        </is>
      </c>
      <c r="D1296" s="1" t="n">
        <v>46042</v>
      </c>
      <c r="E1296" s="1" t="n">
        <v>46319</v>
      </c>
      <c r="F1296" t="inlineStr">
        <is>
          <t>DALARNAS LÄN</t>
        </is>
      </c>
      <c r="G1296" t="inlineStr">
        <is>
          <t>FALUN</t>
        </is>
      </c>
      <c r="I1296" t="n">
        <v>1.4</v>
      </c>
      <c r="J1296" t="n">
        <v>1</v>
      </c>
      <c r="K1296" t="n">
        <v>0</v>
      </c>
      <c r="L1296" t="n">
        <v>0</v>
      </c>
      <c r="M1296" t="n">
        <v>0</v>
      </c>
      <c r="N1296" t="n">
        <v>0</v>
      </c>
      <c r="O1296" t="n">
        <v>0</v>
      </c>
      <c r="P1296" t="n">
        <v>0</v>
      </c>
      <c r="Q1296" t="n">
        <v>0</v>
      </c>
      <c r="R1296" t="n">
        <v>0</v>
      </c>
      <c r="S1296" t="n">
        <v>1</v>
      </c>
      <c r="T1296" t="n">
        <v>1</v>
      </c>
      <c r="U1296" t="n">
        <v>1</v>
      </c>
      <c r="V1296" s="2" t="inlineStr">
        <is>
          <t>Brudsporre</t>
        </is>
      </c>
      <c r="W1296">
        <f>HYPERLINK("https://klasma.github.io/Logging_2080/artfynd/A 3454-2026 artfynd.xlsx", "A 3454-2026")</f>
        <v/>
      </c>
      <c r="X1296">
        <f>HYPERLINK("https://klasma.github.io/Logging_2080/kartor/A 3454-2026 karta.png", "A 3454-2026")</f>
        <v/>
      </c>
      <c r="Y1296">
        <f>HYPERLINK("https://klasma.github.io/Logging_2080/kartor_geotiff/A 3454-2026 georefererad karta.tif", "A 3454-2026")</f>
        <v/>
      </c>
      <c r="AA1296">
        <f>HYPERLINK("https://klasma.github.io/Logging_2080/klagomål/A 3454-2026 FSC-klagomål.docx", "A 3454-2026")</f>
        <v/>
      </c>
      <c r="AB1296">
        <f>HYPERLINK("https://klasma.github.io/Logging_2080/klagomålsmail/A 3454-2026 FSC-klagomål mail.docx", "A 3454-2026")</f>
        <v/>
      </c>
      <c r="AC1296">
        <f>HYPERLINK("https://klasma.github.io/Logging_2080/tillsyn/A 3454-2026 tillsynsbegäran.docx", "A 3454-2026")</f>
        <v/>
      </c>
      <c r="AD1296">
        <f>HYPERLINK("https://klasma.github.io/Logging_2080/tillsynsmail/A 3454-2026 tillsynsbegäran mail.docx", "A 3454-2026")</f>
        <v/>
      </c>
    </row>
    <row r="1297" ht="15" customHeight="1">
      <c r="A1297" t="inlineStr">
        <is>
          <t>A 59947-2025</t>
        </is>
      </c>
      <c r="B1297" t="inlineStr">
        <is>
          <t>avverkningsanmälan</t>
        </is>
      </c>
      <c r="C1297" t="inlineStr">
        <is>
          <t>Föryngringsavverkning</t>
        </is>
      </c>
      <c r="D1297" s="1" t="n">
        <v>45993</v>
      </c>
      <c r="E1297" s="1" t="n">
        <v>46319</v>
      </c>
      <c r="F1297" t="inlineStr">
        <is>
          <t>DALARNAS LÄN</t>
        </is>
      </c>
      <c r="G1297" t="inlineStr">
        <is>
          <t>LUDVIKA</t>
        </is>
      </c>
      <c r="H1297" t="inlineStr">
        <is>
          <t>Bergvik skog väst AB</t>
        </is>
      </c>
      <c r="I1297" t="n">
        <v>0.5</v>
      </c>
      <c r="J1297" t="n">
        <v>1</v>
      </c>
      <c r="K1297" t="n">
        <v>0</v>
      </c>
      <c r="L1297" t="n">
        <v>0</v>
      </c>
      <c r="M1297" t="n">
        <v>0</v>
      </c>
      <c r="N1297" t="n">
        <v>0</v>
      </c>
      <c r="O1297" t="n">
        <v>0</v>
      </c>
      <c r="P1297" t="n">
        <v>0</v>
      </c>
      <c r="Q1297" t="n">
        <v>0</v>
      </c>
      <c r="R1297" t="n">
        <v>0</v>
      </c>
      <c r="S1297" t="n">
        <v>1</v>
      </c>
      <c r="T1297" t="n">
        <v>1</v>
      </c>
      <c r="U1297" t="n">
        <v>1</v>
      </c>
      <c r="V1297" s="2" t="inlineStr">
        <is>
          <t>Tjäder</t>
        </is>
      </c>
      <c r="W1297">
        <f>HYPERLINK("https://klasma.github.io/Logging_2085/artfynd/A 59947-2025 artfynd.xlsx", "A 59947-2025")</f>
        <v/>
      </c>
      <c r="X1297">
        <f>HYPERLINK("https://klasma.github.io/Logging_2085/kartor/A 59947-2025 karta.png", "A 59947-2025")</f>
        <v/>
      </c>
      <c r="Y1297">
        <f>HYPERLINK("https://klasma.github.io/Logging_2085/kartor_geotiff/A 59947-2025 georefererad karta.tif", "A 59947-2025")</f>
        <v/>
      </c>
      <c r="AA1297">
        <f>HYPERLINK("https://klasma.github.io/Logging_2085/klagomål/A 59947-2025 FSC-klagomål.docx", "A 59947-2025")</f>
        <v/>
      </c>
      <c r="AB1297">
        <f>HYPERLINK("https://klasma.github.io/Logging_2085/klagomålsmail/A 59947-2025 FSC-klagomål mail.docx", "A 59947-2025")</f>
        <v/>
      </c>
      <c r="AC1297">
        <f>HYPERLINK("https://klasma.github.io/Logging_2085/tillsyn/A 59947-2025 tillsynsbegäran.docx", "A 59947-2025")</f>
        <v/>
      </c>
      <c r="AD1297">
        <f>HYPERLINK("https://klasma.github.io/Logging_2085/tillsynsmail/A 59947-2025 tillsynsbegäran mail.docx", "A 59947-2025")</f>
        <v/>
      </c>
      <c r="AE1297">
        <f>HYPERLINK("https://klasma.github.io/Logging_2085/fåglar/A 59947-2025 prioriterade fågelarter.docx", "A 59947-2025")</f>
        <v/>
      </c>
    </row>
    <row r="1298" ht="15" customHeight="1">
      <c r="A1298" t="inlineStr">
        <is>
          <t>A 39222-2026</t>
        </is>
      </c>
      <c r="B1298" t="inlineStr">
        <is>
          <t>avverkningsanmälan</t>
        </is>
      </c>
      <c r="C1298" t="inlineStr">
        <is>
          <t>Föryngringsavverkning</t>
        </is>
      </c>
      <c r="D1298" s="1" t="n">
        <v>46287</v>
      </c>
      <c r="E1298" s="1" t="n">
        <v>46319</v>
      </c>
      <c r="F1298" t="inlineStr">
        <is>
          <t>DALARNAS LÄN</t>
        </is>
      </c>
      <c r="G1298" t="inlineStr">
        <is>
          <t>LEKSAND</t>
        </is>
      </c>
      <c r="H1298" t="inlineStr">
        <is>
          <t>Bergvik skog väst AB</t>
        </is>
      </c>
      <c r="I1298" t="n">
        <v>1.6</v>
      </c>
      <c r="J1298" t="n">
        <v>0</v>
      </c>
      <c r="K1298" t="n">
        <v>0</v>
      </c>
      <c r="L1298" t="n">
        <v>0</v>
      </c>
      <c r="M1298" t="n">
        <v>0</v>
      </c>
      <c r="N1298" t="n">
        <v>1</v>
      </c>
      <c r="O1298" t="n">
        <v>0</v>
      </c>
      <c r="P1298" t="n">
        <v>0</v>
      </c>
      <c r="Q1298" t="n">
        <v>1</v>
      </c>
      <c r="R1298" t="n">
        <v>1</v>
      </c>
      <c r="S1298" t="n">
        <v>1</v>
      </c>
      <c r="T1298" t="n">
        <v>1</v>
      </c>
      <c r="U1298" t="n">
        <v>0</v>
      </c>
      <c r="V1298" s="2" t="inlineStr">
        <is>
          <t>Flodpärlmussla</t>
        </is>
      </c>
      <c r="W1298">
        <f>HYPERLINK("https://klasma.github.io/Logging_2029/artfynd/A 39222-2026 artfynd.xlsx", "A 39222-2026")</f>
        <v/>
      </c>
      <c r="X1298">
        <f>HYPERLINK("https://klasma.github.io/Logging_2029/kartor/A 39222-2026 karta.png", "A 39222-2026")</f>
        <v/>
      </c>
      <c r="Y1298">
        <f>HYPERLINK("https://klasma.github.io/Logging_2029/kartor_geotiff/A 39222-2026 georefererad karta.tif", "A 39222-2026")</f>
        <v/>
      </c>
      <c r="AA1298">
        <f>HYPERLINK("https://klasma.github.io/Logging_2029/klagomål/A 39222-2026 FSC-klagomål.docx", "A 39222-2026")</f>
        <v/>
      </c>
      <c r="AB1298">
        <f>HYPERLINK("https://klasma.github.io/Logging_2029/klagomålsmail/A 39222-2026 FSC-klagomål mail.docx", "A 39222-2026")</f>
        <v/>
      </c>
      <c r="AC1298">
        <f>HYPERLINK("https://klasma.github.io/Logging_2029/tillsyn/A 39222-2026 tillsynsbegäran.docx", "A 39222-2026")</f>
        <v/>
      </c>
      <c r="AD1298">
        <f>HYPERLINK("https://klasma.github.io/Logging_2029/tillsynsmail/A 39222-2026 tillsynsbegäran mail.docx", "A 39222-2026")</f>
        <v/>
      </c>
    </row>
    <row r="1299" ht="15" customHeight="1">
      <c r="A1299" t="inlineStr">
        <is>
          <t>A 3472-2026</t>
        </is>
      </c>
      <c r="B1299" t="inlineStr">
        <is>
          <t>avverkningsanmälan</t>
        </is>
      </c>
      <c r="C1299" t="inlineStr">
        <is>
          <t>Föryngringsavverkning</t>
        </is>
      </c>
      <c r="D1299" s="1" t="n">
        <v>46042</v>
      </c>
      <c r="E1299" s="1" t="n">
        <v>46319</v>
      </c>
      <c r="F1299" t="inlineStr">
        <is>
          <t>DALARNAS LÄN</t>
        </is>
      </c>
      <c r="G1299" t="inlineStr">
        <is>
          <t>RÄTTVIK</t>
        </is>
      </c>
      <c r="I1299" t="n">
        <v>7.4</v>
      </c>
      <c r="J1299" t="n">
        <v>0</v>
      </c>
      <c r="K1299" t="n">
        <v>0</v>
      </c>
      <c r="L1299" t="n">
        <v>1</v>
      </c>
      <c r="M1299" t="n">
        <v>0</v>
      </c>
      <c r="N1299" t="n">
        <v>0</v>
      </c>
      <c r="O1299" t="n">
        <v>0</v>
      </c>
      <c r="P1299" t="n">
        <v>0</v>
      </c>
      <c r="Q1299" t="n">
        <v>1</v>
      </c>
      <c r="R1299" t="n">
        <v>0</v>
      </c>
      <c r="S1299" t="n">
        <v>1</v>
      </c>
      <c r="T1299" t="n">
        <v>1</v>
      </c>
      <c r="U1299" t="n">
        <v>0</v>
      </c>
      <c r="V1299" s="2" t="inlineStr">
        <is>
          <t>Ullticka</t>
        </is>
      </c>
      <c r="W1299">
        <f>HYPERLINK("https://klasma.github.io/Logging_2031/artfynd/A 3472-2026 artfynd.xlsx", "A 3472-2026")</f>
        <v/>
      </c>
      <c r="X1299">
        <f>HYPERLINK("https://klasma.github.io/Logging_2031/kartor/A 3472-2026 karta.png", "A 3472-2026")</f>
        <v/>
      </c>
      <c r="Y1299">
        <f>HYPERLINK("https://klasma.github.io/Logging_2031/kartor_geotiff/A 3472-2026 georefererad karta.tif", "A 3472-2026")</f>
        <v/>
      </c>
      <c r="AA1299">
        <f>HYPERLINK("https://klasma.github.io/Logging_2031/klagomål/A 3472-2026 FSC-klagomål.docx", "A 3472-2026")</f>
        <v/>
      </c>
      <c r="AB1299">
        <f>HYPERLINK("https://klasma.github.io/Logging_2031/klagomålsmail/A 3472-2026 FSC-klagomål mail.docx", "A 3472-2026")</f>
        <v/>
      </c>
      <c r="AC1299">
        <f>HYPERLINK("https://klasma.github.io/Logging_2031/tillsyn/A 3472-2026 tillsynsbegäran.docx", "A 3472-2026")</f>
        <v/>
      </c>
      <c r="AD1299">
        <f>HYPERLINK("https://klasma.github.io/Logging_2031/tillsynsmail/A 3472-2026 tillsynsbegäran mail.docx", "A 3472-2026")</f>
        <v/>
      </c>
    </row>
    <row r="1300" ht="15" customHeight="1">
      <c r="A1300" t="inlineStr">
        <is>
          <t>A 3144-2026</t>
        </is>
      </c>
      <c r="B1300" t="inlineStr">
        <is>
          <t>avverkningsanmälan</t>
        </is>
      </c>
      <c r="C1300" t="inlineStr">
        <is>
          <t>Föryngringsavverkning</t>
        </is>
      </c>
      <c r="D1300" s="1" t="n">
        <v>46041</v>
      </c>
      <c r="E1300" s="1" t="n">
        <v>46319</v>
      </c>
      <c r="F1300" t="inlineStr">
        <is>
          <t>DALARNAS LÄN</t>
        </is>
      </c>
      <c r="G1300" t="inlineStr">
        <is>
          <t>LEKSAND</t>
        </is>
      </c>
      <c r="I1300" t="n">
        <v>4.8</v>
      </c>
      <c r="J1300" t="n">
        <v>0</v>
      </c>
      <c r="K1300" t="n">
        <v>0</v>
      </c>
      <c r="L1300" t="n">
        <v>1</v>
      </c>
      <c r="M1300" t="n">
        <v>0</v>
      </c>
      <c r="N1300" t="n">
        <v>0</v>
      </c>
      <c r="O1300" t="n">
        <v>0</v>
      </c>
      <c r="P1300" t="n">
        <v>0</v>
      </c>
      <c r="Q1300" t="n">
        <v>1</v>
      </c>
      <c r="R1300" t="n">
        <v>0</v>
      </c>
      <c r="S1300" t="n">
        <v>1</v>
      </c>
      <c r="T1300" t="n">
        <v>1</v>
      </c>
      <c r="U1300" t="n">
        <v>0</v>
      </c>
      <c r="V1300" s="2" t="inlineStr">
        <is>
          <t>Slåtterfibbla</t>
        </is>
      </c>
      <c r="W1300">
        <f>HYPERLINK("https://klasma.github.io/Logging_2029/artfynd/A 3144-2026 artfynd.xlsx", "A 3144-2026")</f>
        <v/>
      </c>
      <c r="X1300">
        <f>HYPERLINK("https://klasma.github.io/Logging_2029/kartor/A 3144-2026 karta.png", "A 3144-2026")</f>
        <v/>
      </c>
      <c r="Y1300">
        <f>HYPERLINK("https://klasma.github.io/Logging_2029/kartor_geotiff/A 3144-2026 georefererad karta.tif", "A 3144-2026")</f>
        <v/>
      </c>
      <c r="AA1300">
        <f>HYPERLINK("https://klasma.github.io/Logging_2029/klagomål/A 3144-2026 FSC-klagomål.docx", "A 3144-2026")</f>
        <v/>
      </c>
      <c r="AB1300">
        <f>HYPERLINK("https://klasma.github.io/Logging_2029/klagomålsmail/A 3144-2026 FSC-klagomål mail.docx", "A 3144-2026")</f>
        <v/>
      </c>
      <c r="AC1300">
        <f>HYPERLINK("https://klasma.github.io/Logging_2029/tillsyn/A 3144-2026 tillsynsbegäran.docx", "A 3144-2026")</f>
        <v/>
      </c>
      <c r="AD1300">
        <f>HYPERLINK("https://klasma.github.io/Logging_2029/tillsynsmail/A 3144-2026 tillsynsbegäran mail.docx", "A 3144-2026")</f>
        <v/>
      </c>
    </row>
    <row r="1301" ht="15" customHeight="1">
      <c r="A1301" t="inlineStr">
        <is>
          <t>A 32927-2026</t>
        </is>
      </c>
      <c r="B1301" t="inlineStr">
        <is>
          <t>avverkningsanmälan</t>
        </is>
      </c>
      <c r="C1301" t="inlineStr">
        <is>
          <t>Föryngringsavverkning</t>
        </is>
      </c>
      <c r="D1301" s="1" t="n">
        <v>46244</v>
      </c>
      <c r="E1301" s="1" t="n">
        <v>46319</v>
      </c>
      <c r="F1301" t="inlineStr">
        <is>
          <t>DALARNAS LÄN</t>
        </is>
      </c>
      <c r="G1301" t="inlineStr">
        <is>
          <t>AVESTA</t>
        </is>
      </c>
      <c r="H1301" t="inlineStr">
        <is>
          <t>Sveaskog</t>
        </is>
      </c>
      <c r="I1301" t="n">
        <v>2</v>
      </c>
      <c r="J1301" t="n">
        <v>1</v>
      </c>
      <c r="K1301" t="n">
        <v>0</v>
      </c>
      <c r="L1301" t="n">
        <v>0</v>
      </c>
      <c r="M1301" t="n">
        <v>0</v>
      </c>
      <c r="N1301" t="n">
        <v>0</v>
      </c>
      <c r="O1301" t="n">
        <v>0</v>
      </c>
      <c r="P1301" t="n">
        <v>0</v>
      </c>
      <c r="Q1301" t="n">
        <v>0</v>
      </c>
      <c r="R1301" t="n">
        <v>0</v>
      </c>
      <c r="S1301" t="n">
        <v>1</v>
      </c>
      <c r="T1301" t="n">
        <v>1</v>
      </c>
      <c r="U1301" t="n">
        <v>0</v>
      </c>
      <c r="V1301" s="2" t="inlineStr">
        <is>
          <t>Mattlummer</t>
        </is>
      </c>
      <c r="W1301">
        <f>HYPERLINK("https://klasma.github.io/Logging_2084/artfynd/A 32927-2026 artfynd.xlsx", "A 32927-2026")</f>
        <v/>
      </c>
      <c r="X1301">
        <f>HYPERLINK("https://klasma.github.io/Logging_2084/kartor/A 32927-2026 karta.png", "A 32927-2026")</f>
        <v/>
      </c>
      <c r="Y1301">
        <f>HYPERLINK("https://klasma.github.io/Logging_2084/kartor_geotiff/A 32927-2026 georefererad karta.tif", "A 32927-2026")</f>
        <v/>
      </c>
      <c r="AA1301">
        <f>HYPERLINK("https://klasma.github.io/Logging_2084/klagomål/A 32927-2026 FSC-klagomål.docx", "A 32927-2026")</f>
        <v/>
      </c>
      <c r="AB1301">
        <f>HYPERLINK("https://klasma.github.io/Logging_2084/klagomålsmail/A 32927-2026 FSC-klagomål mail.docx", "A 32927-2026")</f>
        <v/>
      </c>
      <c r="AC1301">
        <f>HYPERLINK("https://klasma.github.io/Logging_2084/tillsyn/A 32927-2026 tillsynsbegäran.docx", "A 32927-2026")</f>
        <v/>
      </c>
      <c r="AD1301">
        <f>HYPERLINK("https://klasma.github.io/Logging_2084/tillsynsmail/A 32927-2026 tillsynsbegäran mail.docx", "A 32927-2026")</f>
        <v/>
      </c>
    </row>
    <row r="1302" ht="15" customHeight="1">
      <c r="A1302" t="inlineStr">
        <is>
          <t>A 33046-2026</t>
        </is>
      </c>
      <c r="B1302" t="inlineStr">
        <is>
          <t>avverkningsanmälan</t>
        </is>
      </c>
      <c r="C1302" t="inlineStr">
        <is>
          <t>Föryngringsavverkning</t>
        </is>
      </c>
      <c r="D1302" s="1" t="n">
        <v>46245</v>
      </c>
      <c r="E1302" s="1" t="n">
        <v>46319</v>
      </c>
      <c r="F1302" t="inlineStr">
        <is>
          <t>DALARNAS LÄN</t>
        </is>
      </c>
      <c r="G1302" t="inlineStr">
        <is>
          <t>HEDEMORA</t>
        </is>
      </c>
      <c r="H1302" t="inlineStr">
        <is>
          <t>Sveaskog</t>
        </is>
      </c>
      <c r="I1302" t="n">
        <v>7.8</v>
      </c>
      <c r="J1302" t="n">
        <v>1</v>
      </c>
      <c r="K1302" t="n">
        <v>1</v>
      </c>
      <c r="L1302" t="n">
        <v>0</v>
      </c>
      <c r="M1302" t="n">
        <v>0</v>
      </c>
      <c r="N1302" t="n">
        <v>0</v>
      </c>
      <c r="O1302" t="n">
        <v>0</v>
      </c>
      <c r="P1302" t="n">
        <v>0</v>
      </c>
      <c r="Q1302" t="n">
        <v>0</v>
      </c>
      <c r="R1302" t="n">
        <v>0</v>
      </c>
      <c r="S1302" t="n">
        <v>1</v>
      </c>
      <c r="T1302" t="n">
        <v>1</v>
      </c>
      <c r="U1302" t="n">
        <v>1</v>
      </c>
      <c r="V1302" s="2" t="inlineStr">
        <is>
          <t>Plattlummer</t>
        </is>
      </c>
      <c r="W1302">
        <f>HYPERLINK("https://klasma.github.io/Logging_2083/artfynd/A 33046-2026 artfynd.xlsx", "A 33046-2026")</f>
        <v/>
      </c>
      <c r="X1302">
        <f>HYPERLINK("https://klasma.github.io/Logging_2083/kartor/A 33046-2026 karta.png", "A 33046-2026")</f>
        <v/>
      </c>
      <c r="Y1302">
        <f>HYPERLINK("https://klasma.github.io/Logging_2083/kartor_geotiff/A 33046-2026 georefererad karta.tif", "A 33046-2026")</f>
        <v/>
      </c>
      <c r="AA1302">
        <f>HYPERLINK("https://klasma.github.io/Logging_2083/klagomål/A 33046-2026 FSC-klagomål.docx", "A 33046-2026")</f>
        <v/>
      </c>
      <c r="AB1302">
        <f>HYPERLINK("https://klasma.github.io/Logging_2083/klagomålsmail/A 33046-2026 FSC-klagomål mail.docx", "A 33046-2026")</f>
        <v/>
      </c>
      <c r="AC1302">
        <f>HYPERLINK("https://klasma.github.io/Logging_2083/tillsyn/A 33046-2026 tillsynsbegäran.docx", "A 33046-2026")</f>
        <v/>
      </c>
      <c r="AD1302">
        <f>HYPERLINK("https://klasma.github.io/Logging_2083/tillsynsmail/A 33046-2026 tillsynsbegäran mail.docx", "A 33046-2026")</f>
        <v/>
      </c>
    </row>
    <row r="1303" ht="15" customHeight="1">
      <c r="A1303" t="inlineStr">
        <is>
          <t>A 1843-2026</t>
        </is>
      </c>
      <c r="B1303" t="inlineStr">
        <is>
          <t>avverkningsanmälan</t>
        </is>
      </c>
      <c r="C1303" t="inlineStr">
        <is>
          <t>Föryngringsavverkning</t>
        </is>
      </c>
      <c r="D1303" s="1" t="n">
        <v>46035</v>
      </c>
      <c r="E1303" s="1" t="n">
        <v>46319</v>
      </c>
      <c r="F1303" t="inlineStr">
        <is>
          <t>DALARNAS LÄN</t>
        </is>
      </c>
      <c r="G1303" t="inlineStr">
        <is>
          <t>BORLÄNGE</t>
        </is>
      </c>
      <c r="H1303" t="inlineStr">
        <is>
          <t>Kommuner</t>
        </is>
      </c>
      <c r="I1303" t="n">
        <v>4</v>
      </c>
      <c r="J1303" t="n">
        <v>0</v>
      </c>
      <c r="K1303" t="n">
        <v>1</v>
      </c>
      <c r="L1303" t="n">
        <v>0</v>
      </c>
      <c r="M1303" t="n">
        <v>0</v>
      </c>
      <c r="N1303" t="n">
        <v>0</v>
      </c>
      <c r="O1303" t="n">
        <v>0</v>
      </c>
      <c r="P1303" t="n">
        <v>0</v>
      </c>
      <c r="Q1303" t="n">
        <v>0</v>
      </c>
      <c r="R1303" t="n">
        <v>0</v>
      </c>
      <c r="S1303" t="n">
        <v>1</v>
      </c>
      <c r="T1303" t="n">
        <v>1</v>
      </c>
      <c r="U1303" t="n">
        <v>0</v>
      </c>
      <c r="V1303" s="2" t="inlineStr">
        <is>
          <t>Gullgröppa</t>
        </is>
      </c>
      <c r="W1303">
        <f>HYPERLINK("https://klasma.github.io/Logging_2081/artfynd/A 1843-2026 artfynd.xlsx", "A 1843-2026")</f>
        <v/>
      </c>
      <c r="X1303">
        <f>HYPERLINK("https://klasma.github.io/Logging_2081/kartor/A 1843-2026 karta.png", "A 1843-2026")</f>
        <v/>
      </c>
      <c r="Y1303">
        <f>HYPERLINK("https://klasma.github.io/Logging_2081/kartor_geotiff/A 1843-2026 georefererad karta.tif", "A 1843-2026")</f>
        <v/>
      </c>
      <c r="AA1303">
        <f>HYPERLINK("https://klasma.github.io/Logging_2081/klagomål/A 1843-2026 FSC-klagomål.docx", "A 1843-2026")</f>
        <v/>
      </c>
      <c r="AB1303">
        <f>HYPERLINK("https://klasma.github.io/Logging_2081/klagomålsmail/A 1843-2026 FSC-klagomål mail.docx", "A 1843-2026")</f>
        <v/>
      </c>
      <c r="AC1303">
        <f>HYPERLINK("https://klasma.github.io/Logging_2081/tillsyn/A 1843-2026 tillsynsbegäran.docx", "A 1843-2026")</f>
        <v/>
      </c>
      <c r="AD1303">
        <f>HYPERLINK("https://klasma.github.io/Logging_2081/tillsynsmail/A 1843-2026 tillsynsbegäran mail.docx", "A 1843-2026")</f>
        <v/>
      </c>
    </row>
    <row r="1304" ht="15" customHeight="1">
      <c r="A1304" t="inlineStr">
        <is>
          <t>A 3918-2026</t>
        </is>
      </c>
      <c r="B1304" t="inlineStr">
        <is>
          <t>avverkningsanmälan</t>
        </is>
      </c>
      <c r="C1304" t="inlineStr">
        <is>
          <t>Föryngringsavverkning</t>
        </is>
      </c>
      <c r="D1304" s="1" t="n">
        <v>46043</v>
      </c>
      <c r="E1304" s="1" t="n">
        <v>46319</v>
      </c>
      <c r="F1304" t="inlineStr">
        <is>
          <t>DALARNAS LÄN</t>
        </is>
      </c>
      <c r="G1304" t="inlineStr">
        <is>
          <t>VANSBRO</t>
        </is>
      </c>
      <c r="I1304" t="n">
        <v>6.2</v>
      </c>
      <c r="J1304" t="n">
        <v>1</v>
      </c>
      <c r="K1304" t="n">
        <v>0</v>
      </c>
      <c r="L1304" t="n">
        <v>1</v>
      </c>
      <c r="M1304" t="n">
        <v>0</v>
      </c>
      <c r="N1304" t="n">
        <v>0</v>
      </c>
      <c r="O1304" t="n">
        <v>0</v>
      </c>
      <c r="P1304" t="n">
        <v>0</v>
      </c>
      <c r="Q1304" t="n">
        <v>1</v>
      </c>
      <c r="R1304" t="n">
        <v>0</v>
      </c>
      <c r="S1304" t="n">
        <v>1</v>
      </c>
      <c r="T1304" t="n">
        <v>1</v>
      </c>
      <c r="U1304" t="n">
        <v>0</v>
      </c>
      <c r="V1304" s="2" t="inlineStr">
        <is>
          <t>Duvhök</t>
        </is>
      </c>
      <c r="W1304">
        <f>HYPERLINK("https://klasma.github.io/Logging_2021/artfynd/A 3918-2026 artfynd.xlsx", "A 3918-2026")</f>
        <v/>
      </c>
      <c r="X1304">
        <f>HYPERLINK("https://klasma.github.io/Logging_2021/kartor/A 3918-2026 karta.png", "A 3918-2026")</f>
        <v/>
      </c>
      <c r="Y1304">
        <f>HYPERLINK("https://klasma.github.io/Logging_2021/kartor_geotiff/A 3918-2026 georefererad karta.tif", "A 3918-2026")</f>
        <v/>
      </c>
      <c r="AA1304">
        <f>HYPERLINK("https://klasma.github.io/Logging_2021/klagomål/A 3918-2026 FSC-klagomål.docx", "A 3918-2026")</f>
        <v/>
      </c>
      <c r="AB1304">
        <f>HYPERLINK("https://klasma.github.io/Logging_2021/klagomålsmail/A 3918-2026 FSC-klagomål mail.docx", "A 3918-2026")</f>
        <v/>
      </c>
      <c r="AC1304">
        <f>HYPERLINK("https://klasma.github.io/Logging_2021/tillsyn/A 3918-2026 tillsynsbegäran.docx", "A 3918-2026")</f>
        <v/>
      </c>
      <c r="AD1304">
        <f>HYPERLINK("https://klasma.github.io/Logging_2021/tillsynsmail/A 3918-2026 tillsynsbegäran mail.docx", "A 3918-2026")</f>
        <v/>
      </c>
      <c r="AE1304">
        <f>HYPERLINK("https://klasma.github.io/Logging_2021/fåglar/A 3918-2026 prioriterade fågelarter.docx", "A 3918-2026")</f>
        <v/>
      </c>
    </row>
    <row r="1305" ht="15" customHeight="1">
      <c r="A1305" t="inlineStr">
        <is>
          <t>A 16626-2026</t>
        </is>
      </c>
      <c r="B1305" t="inlineStr">
        <is>
          <t>avverkningsanmälan</t>
        </is>
      </c>
      <c r="C1305" t="inlineStr">
        <is>
          <t>Föryngringsavverkning</t>
        </is>
      </c>
      <c r="D1305" s="1" t="n">
        <v>46112</v>
      </c>
      <c r="E1305" s="1" t="n">
        <v>46319</v>
      </c>
      <c r="F1305" t="inlineStr">
        <is>
          <t>DALARNAS LÄN</t>
        </is>
      </c>
      <c r="G1305" t="inlineStr">
        <is>
          <t>RÄTTVIK</t>
        </is>
      </c>
      <c r="H1305" t="inlineStr">
        <is>
          <t>Bergvik skog väst AB</t>
        </is>
      </c>
      <c r="I1305" t="n">
        <v>12.1</v>
      </c>
      <c r="J1305" t="n">
        <v>1</v>
      </c>
      <c r="K1305" t="n">
        <v>0</v>
      </c>
      <c r="L1305" t="n">
        <v>0</v>
      </c>
      <c r="M1305" t="n">
        <v>0</v>
      </c>
      <c r="N1305" t="n">
        <v>0</v>
      </c>
      <c r="O1305" t="n">
        <v>0</v>
      </c>
      <c r="P1305" t="n">
        <v>0</v>
      </c>
      <c r="Q1305" t="n">
        <v>0</v>
      </c>
      <c r="R1305" t="n">
        <v>0</v>
      </c>
      <c r="S1305" t="n">
        <v>1</v>
      </c>
      <c r="T1305" t="n">
        <v>1</v>
      </c>
      <c r="U1305" t="n">
        <v>0</v>
      </c>
      <c r="V1305" s="2" t="inlineStr">
        <is>
          <t>Utter</t>
        </is>
      </c>
      <c r="W1305">
        <f>HYPERLINK("https://klasma.github.io/Logging_2031/artfynd/A 16626-2026 artfynd.xlsx", "A 16626-2026")</f>
        <v/>
      </c>
      <c r="X1305">
        <f>HYPERLINK("https://klasma.github.io/Logging_2031/kartor/A 16626-2026 karta.png", "A 16626-2026")</f>
        <v/>
      </c>
      <c r="Y1305">
        <f>HYPERLINK("https://klasma.github.io/Logging_2031/kartor_geotiff/A 16626-2026 georefererad karta.tif", "A 16626-2026")</f>
        <v/>
      </c>
      <c r="AA1305">
        <f>HYPERLINK("https://klasma.github.io/Logging_2031/klagomål/A 16626-2026 FSC-klagomål.docx", "A 16626-2026")</f>
        <v/>
      </c>
      <c r="AB1305">
        <f>HYPERLINK("https://klasma.github.io/Logging_2031/klagomålsmail/A 16626-2026 FSC-klagomål mail.docx", "A 16626-2026")</f>
        <v/>
      </c>
      <c r="AC1305">
        <f>HYPERLINK("https://klasma.github.io/Logging_2031/tillsyn/A 16626-2026 tillsynsbegäran.docx", "A 16626-2026")</f>
        <v/>
      </c>
      <c r="AD1305">
        <f>HYPERLINK("https://klasma.github.io/Logging_2031/tillsynsmail/A 16626-2026 tillsynsbegäran mail.docx", "A 16626-2026")</f>
        <v/>
      </c>
    </row>
    <row r="1306" ht="15" customHeight="1">
      <c r="A1306" t="inlineStr">
        <is>
          <t>A 39106-2026</t>
        </is>
      </c>
      <c r="B1306" t="inlineStr">
        <is>
          <t>avverkningsanmälan</t>
        </is>
      </c>
      <c r="C1306" t="inlineStr">
        <is>
          <t>Föryngringsavverkning</t>
        </is>
      </c>
      <c r="D1306" s="1" t="n">
        <v>46287</v>
      </c>
      <c r="E1306" s="1" t="n">
        <v>46319</v>
      </c>
      <c r="F1306" t="inlineStr">
        <is>
          <t>DALARNAS LÄN</t>
        </is>
      </c>
      <c r="G1306" t="inlineStr">
        <is>
          <t>RÄTTVIK</t>
        </is>
      </c>
      <c r="H1306" t="inlineStr">
        <is>
          <t>Sveaskog</t>
        </is>
      </c>
      <c r="I1306" t="n">
        <v>2.2</v>
      </c>
      <c r="J1306" t="n">
        <v>1</v>
      </c>
      <c r="K1306" t="n">
        <v>0</v>
      </c>
      <c r="L1306" t="n">
        <v>0</v>
      </c>
      <c r="M1306" t="n">
        <v>0</v>
      </c>
      <c r="N1306" t="n">
        <v>0</v>
      </c>
      <c r="O1306" t="n">
        <v>0</v>
      </c>
      <c r="P1306" t="n">
        <v>0</v>
      </c>
      <c r="Q1306" t="n">
        <v>0</v>
      </c>
      <c r="R1306" t="n">
        <v>0</v>
      </c>
      <c r="S1306" t="n">
        <v>1</v>
      </c>
      <c r="T1306" t="n">
        <v>2</v>
      </c>
      <c r="U1306" t="n">
        <v>0</v>
      </c>
      <c r="V1306" s="2" t="inlineStr">
        <is>
          <t>Revlummer</t>
        </is>
      </c>
      <c r="W1306">
        <f>HYPERLINK("https://klasma.github.io/Logging_2031/artfynd/A 39106-2026 artfynd.xlsx", "A 39106-2026")</f>
        <v/>
      </c>
      <c r="X1306">
        <f>HYPERLINK("https://klasma.github.io/Logging_2031/kartor/A 39106-2026 karta.png", "A 39106-2026")</f>
        <v/>
      </c>
      <c r="Y1306">
        <f>HYPERLINK("https://klasma.github.io/Logging_2031/kartor_geotiff/A 39106-2026 georefererad karta.tif", "A 39106-2026")</f>
        <v/>
      </c>
      <c r="AA1306">
        <f>HYPERLINK("https://klasma.github.io/Logging_2031/klagomål/A 39106-2026 FSC-klagomål.docx", "A 39106-2026")</f>
        <v/>
      </c>
      <c r="AB1306">
        <f>HYPERLINK("https://klasma.github.io/Logging_2031/klagomålsmail/A 39106-2026 FSC-klagomål mail.docx", "A 39106-2026")</f>
        <v/>
      </c>
      <c r="AC1306">
        <f>HYPERLINK("https://klasma.github.io/Logging_2031/tillsyn/A 39106-2026 tillsynsbegäran.docx", "A 39106-2026")</f>
        <v/>
      </c>
      <c r="AD1306">
        <f>HYPERLINK("https://klasma.github.io/Logging_2031/tillsynsmail/A 39106-2026 tillsynsbegäran mail.docx", "A 39106-2026")</f>
        <v/>
      </c>
    </row>
    <row r="1307" ht="15" customHeight="1">
      <c r="A1307" t="inlineStr">
        <is>
          <t>A 32839-2026</t>
        </is>
      </c>
      <c r="B1307" t="inlineStr">
        <is>
          <t>avverkningsanmälan</t>
        </is>
      </c>
      <c r="C1307" t="inlineStr">
        <is>
          <t>Föryngringsavverkning</t>
        </is>
      </c>
      <c r="D1307" s="1" t="n">
        <v>46244</v>
      </c>
      <c r="E1307" s="1" t="n">
        <v>46319</v>
      </c>
      <c r="F1307" t="inlineStr">
        <is>
          <t>DALARNAS LÄN</t>
        </is>
      </c>
      <c r="G1307" t="inlineStr">
        <is>
          <t>LEKSAND</t>
        </is>
      </c>
      <c r="I1307" t="n">
        <v>5</v>
      </c>
      <c r="J1307" t="n">
        <v>0</v>
      </c>
      <c r="K1307" t="n">
        <v>1</v>
      </c>
      <c r="L1307" t="n">
        <v>0</v>
      </c>
      <c r="M1307" t="n">
        <v>0</v>
      </c>
      <c r="N1307" t="n">
        <v>0</v>
      </c>
      <c r="O1307" t="n">
        <v>0</v>
      </c>
      <c r="P1307" t="n">
        <v>0</v>
      </c>
      <c r="Q1307" t="n">
        <v>0</v>
      </c>
      <c r="R1307" t="n">
        <v>0</v>
      </c>
      <c r="S1307" t="n">
        <v>1</v>
      </c>
      <c r="T1307" t="n">
        <v>1</v>
      </c>
      <c r="U1307" t="n">
        <v>0</v>
      </c>
      <c r="V1307" s="2" t="inlineStr">
        <is>
          <t>Läderskål</t>
        </is>
      </c>
      <c r="W1307">
        <f>HYPERLINK("https://klasma.github.io/Logging_2029/artfynd/A 32839-2026 artfynd.xlsx", "A 32839-2026")</f>
        <v/>
      </c>
      <c r="X1307">
        <f>HYPERLINK("https://klasma.github.io/Logging_2029/kartor/A 32839-2026 karta.png", "A 32839-2026")</f>
        <v/>
      </c>
      <c r="Y1307">
        <f>HYPERLINK("https://klasma.github.io/Logging_2029/kartor_geotiff/A 32839-2026 georefererad karta.tif", "A 32839-2026")</f>
        <v/>
      </c>
      <c r="AA1307">
        <f>HYPERLINK("https://klasma.github.io/Logging_2029/klagomål/A 32839-2026 FSC-klagomål.docx", "A 32839-2026")</f>
        <v/>
      </c>
      <c r="AB1307">
        <f>HYPERLINK("https://klasma.github.io/Logging_2029/klagomålsmail/A 32839-2026 FSC-klagomål mail.docx", "A 32839-2026")</f>
        <v/>
      </c>
      <c r="AC1307">
        <f>HYPERLINK("https://klasma.github.io/Logging_2029/tillsyn/A 32839-2026 tillsynsbegäran.docx", "A 32839-2026")</f>
        <v/>
      </c>
      <c r="AD1307">
        <f>HYPERLINK("https://klasma.github.io/Logging_2029/tillsynsmail/A 32839-2026 tillsynsbegäran mail.docx", "A 32839-2026")</f>
        <v/>
      </c>
    </row>
    <row r="1308" ht="15" customHeight="1">
      <c r="A1308" t="inlineStr">
        <is>
          <t>A 1591-2026</t>
        </is>
      </c>
      <c r="B1308" t="inlineStr">
        <is>
          <t>avverkningsanmälan</t>
        </is>
      </c>
      <c r="C1308" t="inlineStr">
        <is>
          <t>Föryngringsavverkning</t>
        </is>
      </c>
      <c r="D1308" s="1" t="n">
        <v>46031</v>
      </c>
      <c r="E1308" s="1" t="n">
        <v>46319</v>
      </c>
      <c r="F1308" t="inlineStr">
        <is>
          <t>DALARNAS LÄN</t>
        </is>
      </c>
      <c r="G1308" t="inlineStr">
        <is>
          <t>BORLÄNGE</t>
        </is>
      </c>
      <c r="I1308" t="n">
        <v>15.6</v>
      </c>
      <c r="J1308" t="n">
        <v>0</v>
      </c>
      <c r="K1308" t="n">
        <v>0</v>
      </c>
      <c r="L1308" t="n">
        <v>1</v>
      </c>
      <c r="M1308" t="n">
        <v>0</v>
      </c>
      <c r="N1308" t="n">
        <v>0</v>
      </c>
      <c r="O1308" t="n">
        <v>0</v>
      </c>
      <c r="P1308" t="n">
        <v>0</v>
      </c>
      <c r="Q1308" t="n">
        <v>1</v>
      </c>
      <c r="R1308" t="n">
        <v>0</v>
      </c>
      <c r="S1308" t="n">
        <v>1</v>
      </c>
      <c r="T1308" t="n">
        <v>1</v>
      </c>
      <c r="U1308" t="n">
        <v>0</v>
      </c>
      <c r="V1308" s="2" t="inlineStr">
        <is>
          <t>Rosenticka</t>
        </is>
      </c>
      <c r="W1308">
        <f>HYPERLINK("https://klasma.github.io/Logging_2081/artfynd/A 1591-2026 artfynd.xlsx", "A 1591-2026")</f>
        <v/>
      </c>
      <c r="X1308">
        <f>HYPERLINK("https://klasma.github.io/Logging_2081/kartor/A 1591-2026 karta.png", "A 1591-2026")</f>
        <v/>
      </c>
      <c r="Y1308">
        <f>HYPERLINK("https://klasma.github.io/Logging_2081/kartor_geotiff/A 1591-2026 georefererad karta.tif", "A 1591-2026")</f>
        <v/>
      </c>
      <c r="AA1308">
        <f>HYPERLINK("https://klasma.github.io/Logging_2081/klagomål/A 1591-2026 FSC-klagomål.docx", "A 1591-2026")</f>
        <v/>
      </c>
      <c r="AB1308">
        <f>HYPERLINK("https://klasma.github.io/Logging_2081/klagomålsmail/A 1591-2026 FSC-klagomål mail.docx", "A 1591-2026")</f>
        <v/>
      </c>
      <c r="AC1308">
        <f>HYPERLINK("https://klasma.github.io/Logging_2081/tillsyn/A 1591-2026 tillsynsbegäran.docx", "A 1591-2026")</f>
        <v/>
      </c>
      <c r="AD1308">
        <f>HYPERLINK("https://klasma.github.io/Logging_2081/tillsynsmail/A 1591-2026 tillsynsbegäran mail.docx", "A 1591-2026")</f>
        <v/>
      </c>
    </row>
    <row r="1309" ht="15" customHeight="1">
      <c r="A1309" t="inlineStr">
        <is>
          <t>A 4921-2026</t>
        </is>
      </c>
      <c r="B1309" t="inlineStr">
        <is>
          <t>avverkningsanmälan</t>
        </is>
      </c>
      <c r="C1309" t="inlineStr">
        <is>
          <t>Föryngringsavverkning</t>
        </is>
      </c>
      <c r="D1309" s="1" t="n">
        <v>46045</v>
      </c>
      <c r="E1309" s="1" t="n">
        <v>46319</v>
      </c>
      <c r="F1309" t="inlineStr">
        <is>
          <t>DALARNAS LÄN</t>
        </is>
      </c>
      <c r="G1309" t="inlineStr">
        <is>
          <t>FALUN</t>
        </is>
      </c>
      <c r="I1309" t="n">
        <v>8.4</v>
      </c>
      <c r="J1309" t="n">
        <v>0</v>
      </c>
      <c r="K1309" t="n">
        <v>0</v>
      </c>
      <c r="L1309" t="n">
        <v>0</v>
      </c>
      <c r="M1309" t="n">
        <v>1</v>
      </c>
      <c r="N1309" t="n">
        <v>0</v>
      </c>
      <c r="O1309" t="n">
        <v>0</v>
      </c>
      <c r="P1309" t="n">
        <v>0</v>
      </c>
      <c r="Q1309" t="n">
        <v>1</v>
      </c>
      <c r="R1309" t="n">
        <v>1</v>
      </c>
      <c r="S1309" t="n">
        <v>1</v>
      </c>
      <c r="T1309" t="n">
        <v>1</v>
      </c>
      <c r="U1309" t="n">
        <v>0</v>
      </c>
      <c r="V1309" s="2" t="inlineStr">
        <is>
          <t>Garnlav</t>
        </is>
      </c>
      <c r="W1309">
        <f>HYPERLINK("https://klasma.github.io/Logging_2080/artfynd/A 4921-2026 artfynd.xlsx", "A 4921-2026")</f>
        <v/>
      </c>
      <c r="X1309">
        <f>HYPERLINK("https://klasma.github.io/Logging_2080/kartor/A 4921-2026 karta.png", "A 4921-2026")</f>
        <v/>
      </c>
      <c r="Y1309">
        <f>HYPERLINK("https://klasma.github.io/Logging_2080/kartor_geotiff/A 4921-2026 georefererad karta.tif", "A 4921-2026")</f>
        <v/>
      </c>
      <c r="AA1309">
        <f>HYPERLINK("https://klasma.github.io/Logging_2080/klagomål/A 4921-2026 FSC-klagomål.docx", "A 4921-2026")</f>
        <v/>
      </c>
      <c r="AB1309">
        <f>HYPERLINK("https://klasma.github.io/Logging_2080/klagomålsmail/A 4921-2026 FSC-klagomål mail.docx", "A 4921-2026")</f>
        <v/>
      </c>
      <c r="AC1309">
        <f>HYPERLINK("https://klasma.github.io/Logging_2080/tillsyn/A 4921-2026 tillsynsbegäran.docx", "A 4921-2026")</f>
        <v/>
      </c>
      <c r="AD1309">
        <f>HYPERLINK("https://klasma.github.io/Logging_2080/tillsynsmail/A 4921-2026 tillsynsbegäran mail.docx", "A 4921-2026")</f>
        <v/>
      </c>
    </row>
    <row r="1310" ht="15" customHeight="1">
      <c r="A1310" t="inlineStr">
        <is>
          <t>A 4537-2026</t>
        </is>
      </c>
      <c r="B1310" t="inlineStr">
        <is>
          <t>avverkningsanmälan</t>
        </is>
      </c>
      <c r="C1310" t="inlineStr">
        <is>
          <t>Föryngringsavverkning</t>
        </is>
      </c>
      <c r="D1310" s="1" t="n">
        <v>46046</v>
      </c>
      <c r="E1310" s="1" t="n">
        <v>46319</v>
      </c>
      <c r="F1310" t="inlineStr">
        <is>
          <t>DALARNAS LÄN</t>
        </is>
      </c>
      <c r="G1310" t="inlineStr">
        <is>
          <t>FALUN</t>
        </is>
      </c>
      <c r="I1310" t="n">
        <v>4.8</v>
      </c>
      <c r="J1310" t="n">
        <v>1</v>
      </c>
      <c r="K1310" t="n">
        <v>0</v>
      </c>
      <c r="L1310" t="n">
        <v>0</v>
      </c>
      <c r="M1310" t="n">
        <v>1</v>
      </c>
      <c r="N1310" t="n">
        <v>0</v>
      </c>
      <c r="O1310" t="n">
        <v>0</v>
      </c>
      <c r="P1310" t="n">
        <v>0</v>
      </c>
      <c r="Q1310" t="n">
        <v>1</v>
      </c>
      <c r="R1310" t="n">
        <v>1</v>
      </c>
      <c r="S1310" t="n">
        <v>1</v>
      </c>
      <c r="T1310" t="n">
        <v>2</v>
      </c>
      <c r="U1310" t="n">
        <v>0</v>
      </c>
      <c r="V1310" s="2" t="inlineStr">
        <is>
          <t>Knärot</t>
        </is>
      </c>
      <c r="W1310">
        <f>HYPERLINK("https://klasma.github.io/Logging_2080/artfynd/A 4537-2026 artfynd.xlsx", "A 4537-2026")</f>
        <v/>
      </c>
      <c r="X1310">
        <f>HYPERLINK("https://klasma.github.io/Logging_2080/kartor/A 4537-2026 karta.png", "A 4537-2026")</f>
        <v/>
      </c>
      <c r="Y1310">
        <f>HYPERLINK("https://klasma.github.io/Logging_2080/kartor_geotiff/A 4537-2026 georefererad karta.tif", "A 4537-2026")</f>
        <v/>
      </c>
      <c r="Z1310">
        <f>HYPERLINK("https://klasma.github.io/Logging_2080/knärot/A 4537-2026 karta knärot.png", "A 4537-2026")</f>
        <v/>
      </c>
      <c r="AA1310">
        <f>HYPERLINK("https://klasma.github.io/Logging_2080/klagomål/A 4537-2026 FSC-klagomål.docx", "A 4537-2026")</f>
        <v/>
      </c>
      <c r="AB1310">
        <f>HYPERLINK("https://klasma.github.io/Logging_2080/klagomålsmail/A 4537-2026 FSC-klagomål mail.docx", "A 4537-2026")</f>
        <v/>
      </c>
      <c r="AC1310">
        <f>HYPERLINK("https://klasma.github.io/Logging_2080/tillsyn/A 4537-2026 tillsynsbegäran.docx", "A 4537-2026")</f>
        <v/>
      </c>
      <c r="AD1310">
        <f>HYPERLINK("https://klasma.github.io/Logging_2080/tillsynsmail/A 4537-2026 tillsynsbegäran mail.docx", "A 4537-2026")</f>
        <v/>
      </c>
    </row>
    <row r="1311" ht="15" customHeight="1">
      <c r="A1311" t="inlineStr">
        <is>
          <t>A 3552-2026</t>
        </is>
      </c>
      <c r="B1311" t="inlineStr">
        <is>
          <t>avverkningsanmälan</t>
        </is>
      </c>
      <c r="C1311" t="inlineStr">
        <is>
          <t>Föryngringsavverkning</t>
        </is>
      </c>
      <c r="D1311" s="1" t="n">
        <v>46042</v>
      </c>
      <c r="E1311" s="1" t="n">
        <v>46319</v>
      </c>
      <c r="F1311" t="inlineStr">
        <is>
          <t>DALARNAS LÄN</t>
        </is>
      </c>
      <c r="G1311" t="inlineStr">
        <is>
          <t>FALUN</t>
        </is>
      </c>
      <c r="I1311" t="n">
        <v>3.8</v>
      </c>
      <c r="J1311" t="n">
        <v>1</v>
      </c>
      <c r="K1311" t="n">
        <v>0</v>
      </c>
      <c r="L1311" t="n">
        <v>0</v>
      </c>
      <c r="M1311" t="n">
        <v>0</v>
      </c>
      <c r="N1311" t="n">
        <v>0</v>
      </c>
      <c r="O1311" t="n">
        <v>0</v>
      </c>
      <c r="P1311" t="n">
        <v>0</v>
      </c>
      <c r="Q1311" t="n">
        <v>0</v>
      </c>
      <c r="R1311" t="n">
        <v>0</v>
      </c>
      <c r="S1311" t="n">
        <v>1</v>
      </c>
      <c r="T1311" t="n">
        <v>1</v>
      </c>
      <c r="U1311" t="n">
        <v>0</v>
      </c>
      <c r="V1311" s="2" t="inlineStr">
        <is>
          <t>Tjäder</t>
        </is>
      </c>
      <c r="W1311">
        <f>HYPERLINK("https://klasma.github.io/Logging_2080/artfynd/A 3552-2026 artfynd.xlsx", "A 3552-2026")</f>
        <v/>
      </c>
      <c r="X1311">
        <f>HYPERLINK("https://klasma.github.io/Logging_2080/kartor/A 3552-2026 karta.png", "A 3552-2026")</f>
        <v/>
      </c>
      <c r="Y1311">
        <f>HYPERLINK("https://klasma.github.io/Logging_2080/kartor_geotiff/A 3552-2026 georefererad karta.tif", "A 3552-2026")</f>
        <v/>
      </c>
      <c r="AA1311">
        <f>HYPERLINK("https://klasma.github.io/Logging_2080/klagomål/A 3552-2026 FSC-klagomål.docx", "A 3552-2026")</f>
        <v/>
      </c>
      <c r="AB1311">
        <f>HYPERLINK("https://klasma.github.io/Logging_2080/klagomålsmail/A 3552-2026 FSC-klagomål mail.docx", "A 3552-2026")</f>
        <v/>
      </c>
      <c r="AC1311">
        <f>HYPERLINK("https://klasma.github.io/Logging_2080/tillsyn/A 3552-2026 tillsynsbegäran.docx", "A 3552-2026")</f>
        <v/>
      </c>
      <c r="AD1311">
        <f>HYPERLINK("https://klasma.github.io/Logging_2080/tillsynsmail/A 3552-2026 tillsynsbegäran mail.docx", "A 3552-2026")</f>
        <v/>
      </c>
      <c r="AE1311">
        <f>HYPERLINK("https://klasma.github.io/Logging_2080/fåglar/A 3552-2026 prioriterade fågelarter.docx", "A 3552-2026")</f>
        <v/>
      </c>
    </row>
    <row r="1312" ht="15" customHeight="1">
      <c r="A1312" t="inlineStr">
        <is>
          <t>A 39223-2026</t>
        </is>
      </c>
      <c r="B1312" t="inlineStr">
        <is>
          <t>avverkningsanmälan</t>
        </is>
      </c>
      <c r="C1312" t="inlineStr">
        <is>
          <t>Föryngringsavverkning</t>
        </is>
      </c>
      <c r="D1312" s="1" t="n">
        <v>46287</v>
      </c>
      <c r="E1312" s="1" t="n">
        <v>46319</v>
      </c>
      <c r="F1312" t="inlineStr">
        <is>
          <t>DALARNAS LÄN</t>
        </is>
      </c>
      <c r="G1312" t="inlineStr">
        <is>
          <t>MALUNG-SÄLEN</t>
        </is>
      </c>
      <c r="H1312" t="inlineStr">
        <is>
          <t>Kommuner</t>
        </is>
      </c>
      <c r="I1312" t="n">
        <v>1.5</v>
      </c>
      <c r="J1312" t="n">
        <v>0</v>
      </c>
      <c r="K1312" t="n">
        <v>0</v>
      </c>
      <c r="L1312" t="n">
        <v>1</v>
      </c>
      <c r="M1312" t="n">
        <v>0</v>
      </c>
      <c r="N1312" t="n">
        <v>0</v>
      </c>
      <c r="O1312" t="n">
        <v>0</v>
      </c>
      <c r="P1312" t="n">
        <v>0</v>
      </c>
      <c r="Q1312" t="n">
        <v>1</v>
      </c>
      <c r="R1312" t="n">
        <v>0</v>
      </c>
      <c r="S1312" t="n">
        <v>1</v>
      </c>
      <c r="T1312" t="n">
        <v>1</v>
      </c>
      <c r="U1312" t="n">
        <v>0</v>
      </c>
      <c r="V1312" s="2" t="inlineStr">
        <is>
          <t>Skuggblåslav</t>
        </is>
      </c>
      <c r="W1312">
        <f>HYPERLINK("https://klasma.github.io/Logging_2023/artfynd/A 39223-2026 artfynd.xlsx", "A 39223-2026")</f>
        <v/>
      </c>
      <c r="X1312">
        <f>HYPERLINK("https://klasma.github.io/Logging_2023/kartor/A 39223-2026 karta.png", "A 39223-2026")</f>
        <v/>
      </c>
      <c r="Y1312">
        <f>HYPERLINK("https://klasma.github.io/Logging_2023/kartor_geotiff/A 39223-2026 georefererad karta.tif", "A 39223-2026")</f>
        <v/>
      </c>
      <c r="AA1312">
        <f>HYPERLINK("https://klasma.github.io/Logging_2023/klagomål/A 39223-2026 FSC-klagomål.docx", "A 39223-2026")</f>
        <v/>
      </c>
      <c r="AB1312">
        <f>HYPERLINK("https://klasma.github.io/Logging_2023/klagomålsmail/A 39223-2026 FSC-klagomål mail.docx", "A 39223-2026")</f>
        <v/>
      </c>
      <c r="AC1312">
        <f>HYPERLINK("https://klasma.github.io/Logging_2023/tillsyn/A 39223-2026 tillsynsbegäran.docx", "A 39223-2026")</f>
        <v/>
      </c>
      <c r="AD1312">
        <f>HYPERLINK("https://klasma.github.io/Logging_2023/tillsynsmail/A 39223-2026 tillsynsbegäran mail.docx", "A 39223-2026")</f>
        <v/>
      </c>
    </row>
    <row r="1313" ht="15" customHeight="1">
      <c r="A1313" t="inlineStr">
        <is>
          <t>A 24761-2025</t>
        </is>
      </c>
      <c r="B1313" t="inlineStr">
        <is>
          <t>avverkningsanmälan</t>
        </is>
      </c>
      <c r="C1313" t="inlineStr">
        <is>
          <t>Föryngringsavverkning</t>
        </is>
      </c>
      <c r="D1313" s="1" t="n">
        <v>45799</v>
      </c>
      <c r="E1313" s="1" t="n">
        <v>46319</v>
      </c>
      <c r="F1313" t="inlineStr">
        <is>
          <t>DALARNAS LÄN</t>
        </is>
      </c>
      <c r="G1313" t="inlineStr">
        <is>
          <t>BORLÄNGE</t>
        </is>
      </c>
      <c r="I1313" t="n">
        <v>3</v>
      </c>
      <c r="J1313" t="n">
        <v>0</v>
      </c>
      <c r="K1313" t="n">
        <v>1</v>
      </c>
      <c r="L1313" t="n">
        <v>0</v>
      </c>
      <c r="M1313" t="n">
        <v>0</v>
      </c>
      <c r="N1313" t="n">
        <v>0</v>
      </c>
      <c r="O1313" t="n">
        <v>0</v>
      </c>
      <c r="P1313" t="n">
        <v>0</v>
      </c>
      <c r="Q1313" t="n">
        <v>0</v>
      </c>
      <c r="R1313" t="n">
        <v>0</v>
      </c>
      <c r="S1313" t="n">
        <v>1</v>
      </c>
      <c r="T1313" t="n">
        <v>1</v>
      </c>
      <c r="U1313" t="n">
        <v>0</v>
      </c>
      <c r="V1313" s="2" t="inlineStr">
        <is>
          <t>Bronshjon</t>
        </is>
      </c>
      <c r="W1313">
        <f>HYPERLINK("https://klasma.github.io/Logging_2081/artfynd/A 24761-2025 artfynd.xlsx", "A 24761-2025")</f>
        <v/>
      </c>
      <c r="X1313">
        <f>HYPERLINK("https://klasma.github.io/Logging_2081/kartor/A 24761-2025 karta.png", "A 24761-2025")</f>
        <v/>
      </c>
      <c r="Y1313">
        <f>HYPERLINK("https://klasma.github.io/Logging_2081/kartor_geotiff/A 24761-2025 georefererad karta.tif", "A 24761-2025")</f>
        <v/>
      </c>
      <c r="AA1313">
        <f>HYPERLINK("https://klasma.github.io/Logging_2081/klagomål/A 24761-2025 FSC-klagomål.docx", "A 24761-2025")</f>
        <v/>
      </c>
      <c r="AB1313">
        <f>HYPERLINK("https://klasma.github.io/Logging_2081/klagomålsmail/A 24761-2025 FSC-klagomål mail.docx", "A 24761-2025")</f>
        <v/>
      </c>
      <c r="AC1313">
        <f>HYPERLINK("https://klasma.github.io/Logging_2081/tillsyn/A 24761-2025 tillsynsbegäran.docx", "A 24761-2025")</f>
        <v/>
      </c>
      <c r="AD1313">
        <f>HYPERLINK("https://klasma.github.io/Logging_2081/tillsynsmail/A 24761-2025 tillsynsbegäran mail.docx", "A 24761-2025")</f>
        <v/>
      </c>
    </row>
    <row r="1314" ht="15" customHeight="1">
      <c r="A1314" t="inlineStr">
        <is>
          <t>A 5304-2023</t>
        </is>
      </c>
      <c r="B1314" t="inlineStr">
        <is>
          <t>avverkningsanmälan</t>
        </is>
      </c>
      <c r="C1314" t="inlineStr">
        <is>
          <t>Föryngringsavverkning</t>
        </is>
      </c>
      <c r="D1314" s="1" t="n">
        <v>44959</v>
      </c>
      <c r="E1314" s="1" t="n">
        <v>46319</v>
      </c>
      <c r="F1314" t="inlineStr">
        <is>
          <t>DALARNAS LÄN</t>
        </is>
      </c>
      <c r="G1314" t="inlineStr">
        <is>
          <t>MORA</t>
        </is>
      </c>
      <c r="H1314" t="inlineStr">
        <is>
          <t>Bergvik skog väst AB</t>
        </is>
      </c>
      <c r="I1314" t="n">
        <v>7.3</v>
      </c>
      <c r="J1314" t="n">
        <v>0</v>
      </c>
      <c r="K1314" t="n">
        <v>0</v>
      </c>
      <c r="L1314" t="n">
        <v>1</v>
      </c>
      <c r="M1314" t="n">
        <v>0</v>
      </c>
      <c r="N1314" t="n">
        <v>0</v>
      </c>
      <c r="O1314" t="n">
        <v>0</v>
      </c>
      <c r="P1314" t="n">
        <v>0</v>
      </c>
      <c r="Q1314" t="n">
        <v>1</v>
      </c>
      <c r="R1314" t="n">
        <v>0</v>
      </c>
      <c r="S1314" t="n">
        <v>1</v>
      </c>
      <c r="T1314" t="n">
        <v>1</v>
      </c>
      <c r="U1314" t="n">
        <v>0</v>
      </c>
      <c r="V1314" s="2" t="inlineStr">
        <is>
          <t>Backruta</t>
        </is>
      </c>
      <c r="W1314">
        <f>HYPERLINK("https://klasma.github.io/Logging_2062/artfynd/A 5304-2023 artfynd.xlsx", "A 5304-2023")</f>
        <v/>
      </c>
      <c r="X1314">
        <f>HYPERLINK("https://klasma.github.io/Logging_2062/kartor/A 5304-2023 karta.png", "A 5304-2023")</f>
        <v/>
      </c>
      <c r="Y1314">
        <f>HYPERLINK("https://klasma.github.io/Logging_2062/kartor_geotiff/A 5304-2023 georefererad karta.tif", "A 5304-2023")</f>
        <v/>
      </c>
      <c r="AA1314">
        <f>HYPERLINK("https://klasma.github.io/Logging_2062/klagomål/A 5304-2023 FSC-klagomål.docx", "A 5304-2023")</f>
        <v/>
      </c>
      <c r="AB1314">
        <f>HYPERLINK("https://klasma.github.io/Logging_2062/klagomålsmail/A 5304-2023 FSC-klagomål mail.docx", "A 5304-2023")</f>
        <v/>
      </c>
      <c r="AC1314">
        <f>HYPERLINK("https://klasma.github.io/Logging_2062/tillsyn/A 5304-2023 tillsynsbegäran.docx", "A 5304-2023")</f>
        <v/>
      </c>
      <c r="AD1314">
        <f>HYPERLINK("https://klasma.github.io/Logging_2062/tillsynsmail/A 5304-2023 tillsynsbegäran mail.docx", "A 5304-2023")</f>
        <v/>
      </c>
    </row>
    <row r="1315" ht="15" customHeight="1">
      <c r="A1315" t="inlineStr">
        <is>
          <t>A 5659-2026</t>
        </is>
      </c>
      <c r="B1315" t="inlineStr">
        <is>
          <t>avverkningsanmälan</t>
        </is>
      </c>
      <c r="C1315" t="inlineStr">
        <is>
          <t>Föryngringsavverkning</t>
        </is>
      </c>
      <c r="D1315" s="1" t="n">
        <v>46051</v>
      </c>
      <c r="E1315" s="1" t="n">
        <v>46319</v>
      </c>
      <c r="F1315" t="inlineStr">
        <is>
          <t>DALARNAS LÄN</t>
        </is>
      </c>
      <c r="G1315" t="inlineStr">
        <is>
          <t>VANSBRO</t>
        </is>
      </c>
      <c r="I1315" t="n">
        <v>5</v>
      </c>
      <c r="J1315" t="n">
        <v>0</v>
      </c>
      <c r="K1315" t="n">
        <v>1</v>
      </c>
      <c r="L1315" t="n">
        <v>0</v>
      </c>
      <c r="M1315" t="n">
        <v>0</v>
      </c>
      <c r="N1315" t="n">
        <v>0</v>
      </c>
      <c r="O1315" t="n">
        <v>0</v>
      </c>
      <c r="P1315" t="n">
        <v>0</v>
      </c>
      <c r="Q1315" t="n">
        <v>0</v>
      </c>
      <c r="R1315" t="n">
        <v>0</v>
      </c>
      <c r="S1315" t="n">
        <v>1</v>
      </c>
      <c r="T1315" t="n">
        <v>1</v>
      </c>
      <c r="U1315" t="n">
        <v>0</v>
      </c>
      <c r="V1315" s="2" t="inlineStr">
        <is>
          <t>Vanlig rörsvepemossa</t>
        </is>
      </c>
      <c r="W1315">
        <f>HYPERLINK("https://klasma.github.io/Logging_2021/artfynd/A 5659-2026 artfynd.xlsx", "A 5659-2026")</f>
        <v/>
      </c>
      <c r="X1315">
        <f>HYPERLINK("https://klasma.github.io/Logging_2021/kartor/A 5659-2026 karta.png", "A 5659-2026")</f>
        <v/>
      </c>
      <c r="Y1315">
        <f>HYPERLINK("https://klasma.github.io/Logging_2021/kartor_geotiff/A 5659-2026 georefererad karta.tif", "A 5659-2026")</f>
        <v/>
      </c>
      <c r="Z1315">
        <f>HYPERLINK("https://klasma.github.io/Logging_2021/knärot/A 5659-2026 karta knärot.png", "A 5659-2026")</f>
        <v/>
      </c>
      <c r="AA1315">
        <f>HYPERLINK("https://klasma.github.io/Logging_2021/klagomål/A 5659-2026 FSC-klagomål.docx", "A 5659-2026")</f>
        <v/>
      </c>
      <c r="AB1315">
        <f>HYPERLINK("https://klasma.github.io/Logging_2021/klagomålsmail/A 5659-2026 FSC-klagomål mail.docx", "A 5659-2026")</f>
        <v/>
      </c>
      <c r="AC1315">
        <f>HYPERLINK("https://klasma.github.io/Logging_2021/tillsyn/A 5659-2026 tillsynsbegäran.docx", "A 5659-2026")</f>
        <v/>
      </c>
      <c r="AD1315">
        <f>HYPERLINK("https://klasma.github.io/Logging_2021/tillsynsmail/A 5659-2026 tillsynsbegäran mail.docx", "A 5659-2026")</f>
        <v/>
      </c>
    </row>
    <row r="1316" ht="15" customHeight="1">
      <c r="A1316" t="inlineStr">
        <is>
          <t>A 25882-2025</t>
        </is>
      </c>
      <c r="B1316" t="inlineStr">
        <is>
          <t>avverkningsanmälan</t>
        </is>
      </c>
      <c r="C1316" t="inlineStr">
        <is>
          <t>Föryngringsavverkning</t>
        </is>
      </c>
      <c r="D1316" s="1" t="n">
        <v>45804</v>
      </c>
      <c r="E1316" s="1" t="n">
        <v>46319</v>
      </c>
      <c r="F1316" t="inlineStr">
        <is>
          <t>DALARNAS LÄN</t>
        </is>
      </c>
      <c r="G1316" t="inlineStr">
        <is>
          <t>AVESTA</t>
        </is>
      </c>
      <c r="I1316" t="n">
        <v>0.6</v>
      </c>
      <c r="J1316" t="n">
        <v>1</v>
      </c>
      <c r="K1316" t="n">
        <v>0</v>
      </c>
      <c r="L1316" t="n">
        <v>0</v>
      </c>
      <c r="M1316" t="n">
        <v>0</v>
      </c>
      <c r="N1316" t="n">
        <v>0</v>
      </c>
      <c r="O1316" t="n">
        <v>0</v>
      </c>
      <c r="P1316" t="n">
        <v>0</v>
      </c>
      <c r="Q1316" t="n">
        <v>0</v>
      </c>
      <c r="R1316" t="n">
        <v>0</v>
      </c>
      <c r="S1316" t="n">
        <v>1</v>
      </c>
      <c r="T1316" t="n">
        <v>1</v>
      </c>
      <c r="U1316" t="n">
        <v>0</v>
      </c>
      <c r="V1316" s="2" t="inlineStr">
        <is>
          <t>Fiskgjuse</t>
        </is>
      </c>
      <c r="W1316">
        <f>HYPERLINK("https://klasma.github.io/Logging_2084/artfynd/A 25882-2025 artfynd.xlsx", "A 25882-2025")</f>
        <v/>
      </c>
      <c r="X1316">
        <f>HYPERLINK("https://klasma.github.io/Logging_2084/kartor/A 25882-2025 karta.png", "A 25882-2025")</f>
        <v/>
      </c>
      <c r="Y1316">
        <f>HYPERLINK("https://klasma.github.io/Logging_2084/kartor_geotiff/A 25882-2025 georefererad karta.tif", "A 25882-2025")</f>
        <v/>
      </c>
      <c r="AA1316">
        <f>HYPERLINK("https://klasma.github.io/Logging_2084/klagomål/A 25882-2025 FSC-klagomål.docx", "A 25882-2025")</f>
        <v/>
      </c>
      <c r="AB1316">
        <f>HYPERLINK("https://klasma.github.io/Logging_2084/klagomålsmail/A 25882-2025 FSC-klagomål mail.docx", "A 25882-2025")</f>
        <v/>
      </c>
      <c r="AC1316">
        <f>HYPERLINK("https://klasma.github.io/Logging_2084/tillsyn/A 25882-2025 tillsynsbegäran.docx", "A 25882-2025")</f>
        <v/>
      </c>
      <c r="AD1316">
        <f>HYPERLINK("https://klasma.github.io/Logging_2084/tillsynsmail/A 25882-2025 tillsynsbegäran mail.docx", "A 25882-2025")</f>
        <v/>
      </c>
      <c r="AE1316">
        <f>HYPERLINK("https://klasma.github.io/Logging_2084/fåglar/A 25882-2025 prioriterade fågelarter.docx", "A 25882-2025")</f>
        <v/>
      </c>
    </row>
    <row r="1317" ht="15" customHeight="1">
      <c r="A1317" t="inlineStr">
        <is>
          <t>A 39823-2026</t>
        </is>
      </c>
      <c r="B1317" t="inlineStr">
        <is>
          <t>avverkningsanmälan</t>
        </is>
      </c>
      <c r="C1317" t="inlineStr">
        <is>
          <t>Föryngringsavverkning</t>
        </is>
      </c>
      <c r="D1317" s="1" t="n">
        <v>46290</v>
      </c>
      <c r="E1317" s="1" t="n">
        <v>46319</v>
      </c>
      <c r="F1317" t="inlineStr">
        <is>
          <t>DALARNAS LÄN</t>
        </is>
      </c>
      <c r="G1317" t="inlineStr">
        <is>
          <t>MALUNG-SÄLEN</t>
        </is>
      </c>
      <c r="I1317" t="n">
        <v>2.7</v>
      </c>
      <c r="J1317" t="n">
        <v>1</v>
      </c>
      <c r="K1317" t="n">
        <v>0</v>
      </c>
      <c r="L1317" t="n">
        <v>0</v>
      </c>
      <c r="M1317" t="n">
        <v>0</v>
      </c>
      <c r="N1317" t="n">
        <v>1</v>
      </c>
      <c r="O1317" t="n">
        <v>0</v>
      </c>
      <c r="P1317" t="n">
        <v>0</v>
      </c>
      <c r="Q1317" t="n">
        <v>1</v>
      </c>
      <c r="R1317" t="n">
        <v>1</v>
      </c>
      <c r="S1317" t="n">
        <v>1</v>
      </c>
      <c r="T1317" t="n">
        <v>1</v>
      </c>
      <c r="U1317" t="n">
        <v>0</v>
      </c>
      <c r="V1317" s="2" t="inlineStr">
        <is>
          <t>Mosippa</t>
        </is>
      </c>
      <c r="W1317">
        <f>HYPERLINK("https://klasma.github.io/Logging_2023/artfynd/A 39823-2026 artfynd.xlsx", "A 39823-2026")</f>
        <v/>
      </c>
      <c r="X1317">
        <f>HYPERLINK("https://klasma.github.io/Logging_2023/kartor/A 39823-2026 karta.png", "A 39823-2026")</f>
        <v/>
      </c>
      <c r="Y1317">
        <f>HYPERLINK("https://klasma.github.io/Logging_2023/kartor_geotiff/A 39823-2026 georefererad karta.tif", "A 39823-2026")</f>
        <v/>
      </c>
      <c r="AA1317">
        <f>HYPERLINK("https://klasma.github.io/Logging_2023/klagomål/A 39823-2026 FSC-klagomål.docx", "A 39823-2026")</f>
        <v/>
      </c>
      <c r="AB1317">
        <f>HYPERLINK("https://klasma.github.io/Logging_2023/klagomålsmail/A 39823-2026 FSC-klagomål mail.docx", "A 39823-2026")</f>
        <v/>
      </c>
      <c r="AC1317">
        <f>HYPERLINK("https://klasma.github.io/Logging_2023/tillsyn/A 39823-2026 tillsynsbegäran.docx", "A 39823-2026")</f>
        <v/>
      </c>
      <c r="AD1317">
        <f>HYPERLINK("https://klasma.github.io/Logging_2023/tillsynsmail/A 39823-2026 tillsynsbegäran mail.docx", "A 39823-2026")</f>
        <v/>
      </c>
    </row>
    <row r="1318" ht="15" customHeight="1">
      <c r="A1318" t="inlineStr">
        <is>
          <t>A 33320-2026</t>
        </is>
      </c>
      <c r="B1318" t="inlineStr">
        <is>
          <t>avverkningsanmälan</t>
        </is>
      </c>
      <c r="C1318" t="inlineStr">
        <is>
          <t>Avverkning för att bevara och utveckla /försöksver</t>
        </is>
      </c>
      <c r="D1318" s="1" t="n">
        <v>46246</v>
      </c>
      <c r="E1318" s="1" t="n">
        <v>46319</v>
      </c>
      <c r="F1318" t="inlineStr">
        <is>
          <t>DALARNAS LÄN</t>
        </is>
      </c>
      <c r="G1318" t="inlineStr">
        <is>
          <t>ÄLVDALEN</t>
        </is>
      </c>
      <c r="I1318" t="n">
        <v>0.5</v>
      </c>
      <c r="J1318" t="n">
        <v>0</v>
      </c>
      <c r="K1318" t="n">
        <v>1</v>
      </c>
      <c r="L1318" t="n">
        <v>0</v>
      </c>
      <c r="M1318" t="n">
        <v>0</v>
      </c>
      <c r="N1318" t="n">
        <v>0</v>
      </c>
      <c r="O1318" t="n">
        <v>0</v>
      </c>
      <c r="P1318" t="n">
        <v>0</v>
      </c>
      <c r="Q1318" t="n">
        <v>0</v>
      </c>
      <c r="R1318" t="n">
        <v>0</v>
      </c>
      <c r="S1318" t="n">
        <v>1</v>
      </c>
      <c r="T1318" t="n">
        <v>1</v>
      </c>
      <c r="U1318" t="n">
        <v>1</v>
      </c>
      <c r="V1318" s="2" t="inlineStr">
        <is>
          <t>Stuplav</t>
        </is>
      </c>
      <c r="W1318">
        <f>HYPERLINK("https://klasma.github.io/Logging_2039/artfynd/A 33320-2026 artfynd.xlsx", "A 33320-2026")</f>
        <v/>
      </c>
      <c r="X1318">
        <f>HYPERLINK("https://klasma.github.io/Logging_2039/kartor/A 33320-2026 karta.png", "A 33320-2026")</f>
        <v/>
      </c>
      <c r="Y1318">
        <f>HYPERLINK("https://klasma.github.io/Logging_2039/kartor_geotiff/A 33320-2026 georefererad karta.tif", "A 33320-2026")</f>
        <v/>
      </c>
      <c r="AA1318">
        <f>HYPERLINK("https://klasma.github.io/Logging_2039/klagomål/A 33320-2026 FSC-klagomål.docx", "A 33320-2026")</f>
        <v/>
      </c>
      <c r="AB1318">
        <f>HYPERLINK("https://klasma.github.io/Logging_2039/klagomålsmail/A 33320-2026 FSC-klagomål mail.docx", "A 33320-2026")</f>
        <v/>
      </c>
      <c r="AC1318">
        <f>HYPERLINK("https://klasma.github.io/Logging_2039/tillsyn/A 33320-2026 tillsynsbegäran.docx", "A 33320-2026")</f>
        <v/>
      </c>
      <c r="AD1318">
        <f>HYPERLINK("https://klasma.github.io/Logging_2039/tillsynsmail/A 33320-2026 tillsynsbegäran mail.docx", "A 33320-2026")</f>
        <v/>
      </c>
    </row>
    <row r="1319" ht="15" customHeight="1">
      <c r="A1319" t="inlineStr">
        <is>
          <t>A 33399-2026</t>
        </is>
      </c>
      <c r="B1319" t="inlineStr">
        <is>
          <t>avverkningsanmälan</t>
        </is>
      </c>
      <c r="C1319" t="inlineStr">
        <is>
          <t>Föryngringsavverkning</t>
        </is>
      </c>
      <c r="D1319" s="1" t="n">
        <v>46247</v>
      </c>
      <c r="E1319" s="1" t="n">
        <v>46319</v>
      </c>
      <c r="F1319" t="inlineStr">
        <is>
          <t>DALARNAS LÄN</t>
        </is>
      </c>
      <c r="G1319" t="inlineStr">
        <is>
          <t>LUDVIKA</t>
        </is>
      </c>
      <c r="H1319" t="inlineStr">
        <is>
          <t>Bergvik skog väst AB</t>
        </is>
      </c>
      <c r="I1319" t="n">
        <v>0.8</v>
      </c>
      <c r="J1319" t="n">
        <v>1</v>
      </c>
      <c r="K1319" t="n">
        <v>0</v>
      </c>
      <c r="L1319" t="n">
        <v>0</v>
      </c>
      <c r="M1319" t="n">
        <v>0</v>
      </c>
      <c r="N1319" t="n">
        <v>0</v>
      </c>
      <c r="O1319" t="n">
        <v>0</v>
      </c>
      <c r="P1319" t="n">
        <v>0</v>
      </c>
      <c r="Q1319" t="n">
        <v>0</v>
      </c>
      <c r="R1319" t="n">
        <v>0</v>
      </c>
      <c r="S1319" t="n">
        <v>1</v>
      </c>
      <c r="T1319" t="n">
        <v>1</v>
      </c>
      <c r="U1319" t="n">
        <v>0</v>
      </c>
      <c r="V1319" s="2" t="inlineStr">
        <is>
          <t>Järpe</t>
        </is>
      </c>
      <c r="W1319">
        <f>HYPERLINK("https://klasma.github.io/Logging_2085/artfynd/A 33399-2026 artfynd.xlsx", "A 33399-2026")</f>
        <v/>
      </c>
      <c r="X1319">
        <f>HYPERLINK("https://klasma.github.io/Logging_2085/kartor/A 33399-2026 karta.png", "A 33399-2026")</f>
        <v/>
      </c>
      <c r="Y1319">
        <f>HYPERLINK("https://klasma.github.io/Logging_2085/kartor_geotiff/A 33399-2026 georefererad karta.tif", "A 33399-2026")</f>
        <v/>
      </c>
      <c r="AA1319">
        <f>HYPERLINK("https://klasma.github.io/Logging_2085/klagomål/A 33399-2026 FSC-klagomål.docx", "A 33399-2026")</f>
        <v/>
      </c>
      <c r="AB1319">
        <f>HYPERLINK("https://klasma.github.io/Logging_2085/klagomålsmail/A 33399-2026 FSC-klagomål mail.docx", "A 33399-2026")</f>
        <v/>
      </c>
      <c r="AC1319">
        <f>HYPERLINK("https://klasma.github.io/Logging_2085/tillsyn/A 33399-2026 tillsynsbegäran.docx", "A 33399-2026")</f>
        <v/>
      </c>
      <c r="AD1319">
        <f>HYPERLINK("https://klasma.github.io/Logging_2085/tillsynsmail/A 33399-2026 tillsynsbegäran mail.docx", "A 33399-2026")</f>
        <v/>
      </c>
      <c r="AE1319">
        <f>HYPERLINK("https://klasma.github.io/Logging_2085/fåglar/A 33399-2026 prioriterade fågelarter.docx", "A 33399-2026")</f>
        <v/>
      </c>
    </row>
    <row r="1320" ht="15" customHeight="1">
      <c r="A1320" t="inlineStr">
        <is>
          <t>A 6968-2026</t>
        </is>
      </c>
      <c r="B1320" t="inlineStr">
        <is>
          <t>avverkningsanmälan</t>
        </is>
      </c>
      <c r="C1320" t="inlineStr">
        <is>
          <t>Föryngringsavverkning</t>
        </is>
      </c>
      <c r="D1320" s="1" t="n">
        <v>46056</v>
      </c>
      <c r="E1320" s="1" t="n">
        <v>46319</v>
      </c>
      <c r="F1320" t="inlineStr">
        <is>
          <t>DALARNAS LÄN</t>
        </is>
      </c>
      <c r="G1320" t="inlineStr">
        <is>
          <t>FALUN</t>
        </is>
      </c>
      <c r="H1320" t="inlineStr">
        <is>
          <t>Allmännings- och besparingsskogar</t>
        </is>
      </c>
      <c r="I1320" t="n">
        <v>14</v>
      </c>
      <c r="J1320" t="n">
        <v>0</v>
      </c>
      <c r="K1320" t="n">
        <v>0</v>
      </c>
      <c r="L1320" t="n">
        <v>0</v>
      </c>
      <c r="M1320" t="n">
        <v>1</v>
      </c>
      <c r="N1320" t="n">
        <v>0</v>
      </c>
      <c r="O1320" t="n">
        <v>0</v>
      </c>
      <c r="P1320" t="n">
        <v>0</v>
      </c>
      <c r="Q1320" t="n">
        <v>1</v>
      </c>
      <c r="R1320" t="n">
        <v>1</v>
      </c>
      <c r="S1320" t="n">
        <v>1</v>
      </c>
      <c r="T1320" t="n">
        <v>1</v>
      </c>
      <c r="U1320" t="n">
        <v>0</v>
      </c>
      <c r="V1320" s="2" t="inlineStr">
        <is>
          <t>Garnlav</t>
        </is>
      </c>
      <c r="W1320">
        <f>HYPERLINK("https://klasma.github.io/Logging_2080/artfynd/A 6968-2026 artfynd.xlsx", "A 6968-2026")</f>
        <v/>
      </c>
      <c r="X1320">
        <f>HYPERLINK("https://klasma.github.io/Logging_2080/kartor/A 6968-2026 karta.png", "A 6968-2026")</f>
        <v/>
      </c>
      <c r="Y1320">
        <f>HYPERLINK("https://klasma.github.io/Logging_2080/kartor_geotiff/A 6968-2026 georefererad karta.tif", "A 6968-2026")</f>
        <v/>
      </c>
      <c r="AA1320">
        <f>HYPERLINK("https://klasma.github.io/Logging_2080/klagomål/A 6968-2026 FSC-klagomål.docx", "A 6968-2026")</f>
        <v/>
      </c>
      <c r="AB1320">
        <f>HYPERLINK("https://klasma.github.io/Logging_2080/klagomålsmail/A 6968-2026 FSC-klagomål mail.docx", "A 6968-2026")</f>
        <v/>
      </c>
      <c r="AC1320">
        <f>HYPERLINK("https://klasma.github.io/Logging_2080/tillsyn/A 6968-2026 tillsynsbegäran.docx", "A 6968-2026")</f>
        <v/>
      </c>
      <c r="AD1320">
        <f>HYPERLINK("https://klasma.github.io/Logging_2080/tillsynsmail/A 6968-2026 tillsynsbegäran mail.docx", "A 6968-2026")</f>
        <v/>
      </c>
    </row>
    <row r="1321" ht="15" customHeight="1">
      <c r="A1321" t="inlineStr">
        <is>
          <t>A 6962-2026</t>
        </is>
      </c>
      <c r="B1321" t="inlineStr">
        <is>
          <t>avverkningsanmälan</t>
        </is>
      </c>
      <c r="C1321" t="inlineStr">
        <is>
          <t>Föryngringsavverkning</t>
        </is>
      </c>
      <c r="D1321" s="1" t="n">
        <v>46056</v>
      </c>
      <c r="E1321" s="1" t="n">
        <v>46319</v>
      </c>
      <c r="F1321" t="inlineStr">
        <is>
          <t>DALARNAS LÄN</t>
        </is>
      </c>
      <c r="G1321" t="inlineStr">
        <is>
          <t>FALUN</t>
        </is>
      </c>
      <c r="H1321" t="inlineStr">
        <is>
          <t>Allmännings- och besparingsskogar</t>
        </is>
      </c>
      <c r="I1321" t="n">
        <v>20</v>
      </c>
      <c r="J1321" t="n">
        <v>0</v>
      </c>
      <c r="K1321" t="n">
        <v>0</v>
      </c>
      <c r="L1321" t="n">
        <v>0</v>
      </c>
      <c r="M1321" t="n">
        <v>1</v>
      </c>
      <c r="N1321" t="n">
        <v>0</v>
      </c>
      <c r="O1321" t="n">
        <v>0</v>
      </c>
      <c r="P1321" t="n">
        <v>0</v>
      </c>
      <c r="Q1321" t="n">
        <v>1</v>
      </c>
      <c r="R1321" t="n">
        <v>1</v>
      </c>
      <c r="S1321" t="n">
        <v>1</v>
      </c>
      <c r="T1321" t="n">
        <v>1</v>
      </c>
      <c r="U1321" t="n">
        <v>0</v>
      </c>
      <c r="V1321" s="2" t="inlineStr">
        <is>
          <t>Garnlav</t>
        </is>
      </c>
      <c r="W1321">
        <f>HYPERLINK("https://klasma.github.io/Logging_2080/artfynd/A 6962-2026 artfynd.xlsx", "A 6962-2026")</f>
        <v/>
      </c>
      <c r="X1321">
        <f>HYPERLINK("https://klasma.github.io/Logging_2080/kartor/A 6962-2026 karta.png", "A 6962-2026")</f>
        <v/>
      </c>
      <c r="Y1321">
        <f>HYPERLINK("https://klasma.github.io/Logging_2080/kartor_geotiff/A 6962-2026 georefererad karta.tif", "A 6962-2026")</f>
        <v/>
      </c>
      <c r="AA1321">
        <f>HYPERLINK("https://klasma.github.io/Logging_2080/klagomål/A 6962-2026 FSC-klagomål.docx", "A 6962-2026")</f>
        <v/>
      </c>
      <c r="AB1321">
        <f>HYPERLINK("https://klasma.github.io/Logging_2080/klagomålsmail/A 6962-2026 FSC-klagomål mail.docx", "A 6962-2026")</f>
        <v/>
      </c>
      <c r="AC1321">
        <f>HYPERLINK("https://klasma.github.io/Logging_2080/tillsyn/A 6962-2026 tillsynsbegäran.docx", "A 6962-2026")</f>
        <v/>
      </c>
      <c r="AD1321">
        <f>HYPERLINK("https://klasma.github.io/Logging_2080/tillsynsmail/A 6962-2026 tillsynsbegäran mail.docx", "A 6962-2026")</f>
        <v/>
      </c>
    </row>
    <row r="1322" ht="15" customHeight="1">
      <c r="A1322" t="inlineStr">
        <is>
          <t>A 55062-2022</t>
        </is>
      </c>
      <c r="B1322" t="inlineStr">
        <is>
          <t>avverkningsanmälan</t>
        </is>
      </c>
      <c r="C1322" t="inlineStr">
        <is>
          <t>Avverkning för annat ändamål</t>
        </is>
      </c>
      <c r="D1322" s="1" t="n">
        <v>44881</v>
      </c>
      <c r="E1322" s="1" t="n">
        <v>46319</v>
      </c>
      <c r="F1322" t="inlineStr">
        <is>
          <t>DALARNAS LÄN</t>
        </is>
      </c>
      <c r="G1322" t="inlineStr">
        <is>
          <t>ÄLVDALEN</t>
        </is>
      </c>
      <c r="H1322" t="inlineStr">
        <is>
          <t>Övriga statliga verk och myndigheter</t>
        </is>
      </c>
      <c r="I1322" t="n">
        <v>28.1</v>
      </c>
      <c r="J1322" t="n">
        <v>1</v>
      </c>
      <c r="K1322" t="n">
        <v>0</v>
      </c>
      <c r="L1322" t="n">
        <v>0</v>
      </c>
      <c r="M1322" t="n">
        <v>0</v>
      </c>
      <c r="N1322" t="n">
        <v>0</v>
      </c>
      <c r="O1322" t="n">
        <v>0</v>
      </c>
      <c r="P1322" t="n">
        <v>0</v>
      </c>
      <c r="Q1322" t="n">
        <v>0</v>
      </c>
      <c r="R1322" t="n">
        <v>0</v>
      </c>
      <c r="S1322" t="n">
        <v>1</v>
      </c>
      <c r="T1322" t="n">
        <v>1</v>
      </c>
      <c r="U1322" t="n">
        <v>0</v>
      </c>
      <c r="V1322" s="2" t="inlineStr">
        <is>
          <t>Utter</t>
        </is>
      </c>
      <c r="W1322">
        <f>HYPERLINK("https://klasma.github.io/Logging_2039/artfynd/A 55062-2022 artfynd.xlsx", "A 55062-2022")</f>
        <v/>
      </c>
      <c r="X1322">
        <f>HYPERLINK("https://klasma.github.io/Logging_2039/kartor/A 55062-2022 karta.png", "A 55062-2022")</f>
        <v/>
      </c>
      <c r="Y1322">
        <f>HYPERLINK("https://klasma.github.io/Logging_2039/kartor_geotiff/A 55062-2022 georefererad karta.tif", "A 55062-2022")</f>
        <v/>
      </c>
      <c r="AA1322">
        <f>HYPERLINK("https://klasma.github.io/Logging_2039/klagomål/A 55062-2022 FSC-klagomål.docx", "A 55062-2022")</f>
        <v/>
      </c>
      <c r="AB1322">
        <f>HYPERLINK("https://klasma.github.io/Logging_2039/klagomålsmail/A 55062-2022 FSC-klagomål mail.docx", "A 55062-2022")</f>
        <v/>
      </c>
      <c r="AC1322">
        <f>HYPERLINK("https://klasma.github.io/Logging_2039/tillsyn/A 55062-2022 tillsynsbegäran.docx", "A 55062-2022")</f>
        <v/>
      </c>
      <c r="AD1322">
        <f>HYPERLINK("https://klasma.github.io/Logging_2039/tillsynsmail/A 55062-2022 tillsynsbegäran mail.docx", "A 55062-2022")</f>
        <v/>
      </c>
    </row>
    <row r="1323" ht="15" customHeight="1">
      <c r="A1323" t="inlineStr">
        <is>
          <t>A 7273-2026</t>
        </is>
      </c>
      <c r="B1323" t="inlineStr">
        <is>
          <t>avverkningsanmälan</t>
        </is>
      </c>
      <c r="C1323" t="inlineStr">
        <is>
          <t>Föryngringsavverkning</t>
        </is>
      </c>
      <c r="D1323" s="1" t="n">
        <v>46058</v>
      </c>
      <c r="E1323" s="1" t="n">
        <v>46319</v>
      </c>
      <c r="F1323" t="inlineStr">
        <is>
          <t>DALARNAS LÄN</t>
        </is>
      </c>
      <c r="G1323" t="inlineStr">
        <is>
          <t>ÄLVDALEN</t>
        </is>
      </c>
      <c r="I1323" t="n">
        <v>0.9</v>
      </c>
      <c r="J1323" t="n">
        <v>1</v>
      </c>
      <c r="K1323" t="n">
        <v>0</v>
      </c>
      <c r="L1323" t="n">
        <v>0</v>
      </c>
      <c r="M1323" t="n">
        <v>0</v>
      </c>
      <c r="N1323" t="n">
        <v>0</v>
      </c>
      <c r="O1323" t="n">
        <v>0</v>
      </c>
      <c r="P1323" t="n">
        <v>0</v>
      </c>
      <c r="Q1323" t="n">
        <v>0</v>
      </c>
      <c r="R1323" t="n">
        <v>0</v>
      </c>
      <c r="S1323" t="n">
        <v>1</v>
      </c>
      <c r="T1323" t="n">
        <v>1</v>
      </c>
      <c r="U1323" t="n">
        <v>1</v>
      </c>
      <c r="V1323" s="2" t="inlineStr">
        <is>
          <t>Spillkråka</t>
        </is>
      </c>
      <c r="W1323">
        <f>HYPERLINK("https://klasma.github.io/Logging_2039/artfynd/A 7273-2026 artfynd.xlsx", "A 7273-2026")</f>
        <v/>
      </c>
      <c r="X1323">
        <f>HYPERLINK("https://klasma.github.io/Logging_2039/kartor/A 7273-2026 karta.png", "A 7273-2026")</f>
        <v/>
      </c>
      <c r="Y1323">
        <f>HYPERLINK("https://klasma.github.io/Logging_2039/kartor_geotiff/A 7273-2026 georefererad karta.tif", "A 7273-2026")</f>
        <v/>
      </c>
      <c r="AA1323">
        <f>HYPERLINK("https://klasma.github.io/Logging_2039/klagomål/A 7273-2026 FSC-klagomål.docx", "A 7273-2026")</f>
        <v/>
      </c>
      <c r="AB1323">
        <f>HYPERLINK("https://klasma.github.io/Logging_2039/klagomålsmail/A 7273-2026 FSC-klagomål mail.docx", "A 7273-2026")</f>
        <v/>
      </c>
      <c r="AC1323">
        <f>HYPERLINK("https://klasma.github.io/Logging_2039/tillsyn/A 7273-2026 tillsynsbegäran.docx", "A 7273-2026")</f>
        <v/>
      </c>
      <c r="AD1323">
        <f>HYPERLINK("https://klasma.github.io/Logging_2039/tillsynsmail/A 7273-2026 tillsynsbegäran mail.docx", "A 7273-2026")</f>
        <v/>
      </c>
      <c r="AE1323">
        <f>HYPERLINK("https://klasma.github.io/Logging_2039/fåglar/A 7273-2026 prioriterade fågelarter.docx", "A 7273-2026")</f>
        <v/>
      </c>
    </row>
    <row r="1324" ht="15" customHeight="1">
      <c r="A1324" t="inlineStr">
        <is>
          <t>A 431-2026</t>
        </is>
      </c>
      <c r="B1324" t="inlineStr">
        <is>
          <t>avverkningsanmälan</t>
        </is>
      </c>
      <c r="C1324" t="inlineStr">
        <is>
          <t>Föryngringsavverkning</t>
        </is>
      </c>
      <c r="D1324" s="1" t="n">
        <v>46029</v>
      </c>
      <c r="E1324" s="1" t="n">
        <v>46319</v>
      </c>
      <c r="F1324" t="inlineStr">
        <is>
          <t>DALARNAS LÄN</t>
        </is>
      </c>
      <c r="G1324" t="inlineStr">
        <is>
          <t>BORLÄNGE</t>
        </is>
      </c>
      <c r="H1324" t="inlineStr">
        <is>
          <t>Bergvik skog väst AB</t>
        </is>
      </c>
      <c r="I1324" t="n">
        <v>2.8</v>
      </c>
      <c r="J1324" t="n">
        <v>0</v>
      </c>
      <c r="K1324" t="n">
        <v>1</v>
      </c>
      <c r="L1324" t="n">
        <v>0</v>
      </c>
      <c r="M1324" t="n">
        <v>0</v>
      </c>
      <c r="N1324" t="n">
        <v>0</v>
      </c>
      <c r="O1324" t="n">
        <v>0</v>
      </c>
      <c r="P1324" t="n">
        <v>0</v>
      </c>
      <c r="Q1324" t="n">
        <v>0</v>
      </c>
      <c r="R1324" t="n">
        <v>0</v>
      </c>
      <c r="S1324" t="n">
        <v>1</v>
      </c>
      <c r="T1324" t="n">
        <v>1</v>
      </c>
      <c r="U1324" t="n">
        <v>0</v>
      </c>
      <c r="V1324" s="2" t="inlineStr">
        <is>
          <t>Mindre märgborre</t>
        </is>
      </c>
      <c r="W1324">
        <f>HYPERLINK("https://klasma.github.io/Logging_2081/artfynd/A 431-2026 artfynd.xlsx", "A 431-2026")</f>
        <v/>
      </c>
      <c r="X1324">
        <f>HYPERLINK("https://klasma.github.io/Logging_2081/kartor/A 431-2026 karta.png", "A 431-2026")</f>
        <v/>
      </c>
      <c r="Y1324">
        <f>HYPERLINK("https://klasma.github.io/Logging_2081/kartor_geotiff/A 431-2026 georefererad karta.tif", "A 431-2026")</f>
        <v/>
      </c>
      <c r="AA1324">
        <f>HYPERLINK("https://klasma.github.io/Logging_2081/klagomål/A 431-2026 FSC-klagomål.docx", "A 431-2026")</f>
        <v/>
      </c>
      <c r="AB1324">
        <f>HYPERLINK("https://klasma.github.io/Logging_2081/klagomålsmail/A 431-2026 FSC-klagomål mail.docx", "A 431-2026")</f>
        <v/>
      </c>
      <c r="AC1324">
        <f>HYPERLINK("https://klasma.github.io/Logging_2081/tillsyn/A 431-2026 tillsynsbegäran.docx", "A 431-2026")</f>
        <v/>
      </c>
      <c r="AD1324">
        <f>HYPERLINK("https://klasma.github.io/Logging_2081/tillsynsmail/A 431-2026 tillsynsbegäran mail.docx", "A 431-2026")</f>
        <v/>
      </c>
    </row>
    <row r="1325" ht="15" customHeight="1">
      <c r="A1325" t="inlineStr">
        <is>
          <t>A 26776-2025</t>
        </is>
      </c>
      <c r="B1325" t="inlineStr">
        <is>
          <t>avverkningsanmälan</t>
        </is>
      </c>
      <c r="C1325" t="inlineStr">
        <is>
          <t>Föryngringsavverkning</t>
        </is>
      </c>
      <c r="D1325" s="1" t="n">
        <v>45810</v>
      </c>
      <c r="E1325" s="1" t="n">
        <v>46319</v>
      </c>
      <c r="F1325" t="inlineStr">
        <is>
          <t>DALARNAS LÄN</t>
        </is>
      </c>
      <c r="G1325" t="inlineStr">
        <is>
          <t>FALUN</t>
        </is>
      </c>
      <c r="H1325" t="inlineStr">
        <is>
          <t>Bergvik skog väst AB</t>
        </is>
      </c>
      <c r="I1325" t="n">
        <v>10</v>
      </c>
      <c r="J1325" t="n">
        <v>0</v>
      </c>
      <c r="K1325" t="n">
        <v>1</v>
      </c>
      <c r="L1325" t="n">
        <v>0</v>
      </c>
      <c r="M1325" t="n">
        <v>0</v>
      </c>
      <c r="N1325" t="n">
        <v>0</v>
      </c>
      <c r="O1325" t="n">
        <v>0</v>
      </c>
      <c r="P1325" t="n">
        <v>0</v>
      </c>
      <c r="Q1325" t="n">
        <v>0</v>
      </c>
      <c r="R1325" t="n">
        <v>0</v>
      </c>
      <c r="S1325" t="n">
        <v>1</v>
      </c>
      <c r="T1325" t="n">
        <v>1</v>
      </c>
      <c r="U1325" t="n">
        <v>0</v>
      </c>
      <c r="V1325" s="2" t="inlineStr">
        <is>
          <t>Skör kvastmossa</t>
        </is>
      </c>
      <c r="W1325">
        <f>HYPERLINK("https://klasma.github.io/Logging_2080/artfynd/A 26776-2025 artfynd.xlsx", "A 26776-2025")</f>
        <v/>
      </c>
      <c r="X1325">
        <f>HYPERLINK("https://klasma.github.io/Logging_2080/kartor/A 26776-2025 karta.png", "A 26776-2025")</f>
        <v/>
      </c>
      <c r="Y1325">
        <f>HYPERLINK("https://klasma.github.io/Logging_2080/kartor_geotiff/A 26776-2025 georefererad karta.tif", "A 26776-2025")</f>
        <v/>
      </c>
      <c r="AA1325">
        <f>HYPERLINK("https://klasma.github.io/Logging_2080/klagomål/A 26776-2025 FSC-klagomål.docx", "A 26776-2025")</f>
        <v/>
      </c>
      <c r="AB1325">
        <f>HYPERLINK("https://klasma.github.io/Logging_2080/klagomålsmail/A 26776-2025 FSC-klagomål mail.docx", "A 26776-2025")</f>
        <v/>
      </c>
      <c r="AC1325">
        <f>HYPERLINK("https://klasma.github.io/Logging_2080/tillsyn/A 26776-2025 tillsynsbegäran.docx", "A 26776-2025")</f>
        <v/>
      </c>
      <c r="AD1325">
        <f>HYPERLINK("https://klasma.github.io/Logging_2080/tillsynsmail/A 26776-2025 tillsynsbegäran mail.docx", "A 26776-2025")</f>
        <v/>
      </c>
    </row>
    <row r="1326" ht="15" customHeight="1">
      <c r="A1326" t="inlineStr">
        <is>
          <t>A 6951-2026</t>
        </is>
      </c>
      <c r="B1326" t="inlineStr">
        <is>
          <t>avverkningsanmälan</t>
        </is>
      </c>
      <c r="C1326" t="inlineStr">
        <is>
          <t>Föryngringsavverkning</t>
        </is>
      </c>
      <c r="D1326" s="1" t="n">
        <v>46057</v>
      </c>
      <c r="E1326" s="1" t="n">
        <v>46319</v>
      </c>
      <c r="F1326" t="inlineStr">
        <is>
          <t>DALARNAS LÄN</t>
        </is>
      </c>
      <c r="G1326" t="inlineStr">
        <is>
          <t>FALUN</t>
        </is>
      </c>
      <c r="I1326" t="n">
        <v>0.6</v>
      </c>
      <c r="J1326" t="n">
        <v>0</v>
      </c>
      <c r="K1326" t="n">
        <v>0</v>
      </c>
      <c r="L1326" t="n">
        <v>0</v>
      </c>
      <c r="M1326" t="n">
        <v>1</v>
      </c>
      <c r="N1326" t="n">
        <v>0</v>
      </c>
      <c r="O1326" t="n">
        <v>0</v>
      </c>
      <c r="P1326" t="n">
        <v>0</v>
      </c>
      <c r="Q1326" t="n">
        <v>1</v>
      </c>
      <c r="R1326" t="n">
        <v>1</v>
      </c>
      <c r="S1326" t="n">
        <v>1</v>
      </c>
      <c r="T1326" t="n">
        <v>1</v>
      </c>
      <c r="U1326" t="n">
        <v>0</v>
      </c>
      <c r="V1326" s="2" t="inlineStr">
        <is>
          <t>Garnlav</t>
        </is>
      </c>
      <c r="W1326">
        <f>HYPERLINK("https://klasma.github.io/Logging_2080/artfynd/A 6951-2026 artfynd.xlsx", "A 6951-2026")</f>
        <v/>
      </c>
      <c r="X1326">
        <f>HYPERLINK("https://klasma.github.io/Logging_2080/kartor/A 6951-2026 karta.png", "A 6951-2026")</f>
        <v/>
      </c>
      <c r="Y1326">
        <f>HYPERLINK("https://klasma.github.io/Logging_2080/kartor_geotiff/A 6951-2026 georefererad karta.tif", "A 6951-2026")</f>
        <v/>
      </c>
      <c r="AA1326">
        <f>HYPERLINK("https://klasma.github.io/Logging_2080/klagomål/A 6951-2026 FSC-klagomål.docx", "A 6951-2026")</f>
        <v/>
      </c>
      <c r="AB1326">
        <f>HYPERLINK("https://klasma.github.io/Logging_2080/klagomålsmail/A 6951-2026 FSC-klagomål mail.docx", "A 6951-2026")</f>
        <v/>
      </c>
      <c r="AC1326">
        <f>HYPERLINK("https://klasma.github.io/Logging_2080/tillsyn/A 6951-2026 tillsynsbegäran.docx", "A 6951-2026")</f>
        <v/>
      </c>
      <c r="AD1326">
        <f>HYPERLINK("https://klasma.github.io/Logging_2080/tillsynsmail/A 6951-2026 tillsynsbegäran mail.docx", "A 6951-2026")</f>
        <v/>
      </c>
    </row>
    <row r="1327" ht="15" customHeight="1">
      <c r="A1327" t="inlineStr">
        <is>
          <t>A 7719-2026</t>
        </is>
      </c>
      <c r="B1327" t="inlineStr">
        <is>
          <t>avverkningsanmälan</t>
        </is>
      </c>
      <c r="C1327" t="inlineStr">
        <is>
          <t>Föryngringsavverkning</t>
        </is>
      </c>
      <c r="D1327" s="1" t="n">
        <v>46062</v>
      </c>
      <c r="E1327" s="1" t="n">
        <v>46319</v>
      </c>
      <c r="F1327" t="inlineStr">
        <is>
          <t>DALARNAS LÄN</t>
        </is>
      </c>
      <c r="G1327" t="inlineStr">
        <is>
          <t>HEDEMORA</t>
        </is>
      </c>
      <c r="I1327" t="n">
        <v>1.1</v>
      </c>
      <c r="J1327" t="n">
        <v>0</v>
      </c>
      <c r="K1327" t="n">
        <v>1</v>
      </c>
      <c r="L1327" t="n">
        <v>0</v>
      </c>
      <c r="M1327" t="n">
        <v>0</v>
      </c>
      <c r="N1327" t="n">
        <v>0</v>
      </c>
      <c r="O1327" t="n">
        <v>0</v>
      </c>
      <c r="P1327" t="n">
        <v>0</v>
      </c>
      <c r="Q1327" t="n">
        <v>0</v>
      </c>
      <c r="R1327" t="n">
        <v>0</v>
      </c>
      <c r="S1327" t="n">
        <v>1</v>
      </c>
      <c r="T1327" t="n">
        <v>1</v>
      </c>
      <c r="U1327" t="n">
        <v>0</v>
      </c>
      <c r="V1327" s="2" t="inlineStr">
        <is>
          <t>Bronshjon</t>
        </is>
      </c>
      <c r="W1327">
        <f>HYPERLINK("https://klasma.github.io/Logging_2083/artfynd/A 7719-2026 artfynd.xlsx", "A 7719-2026")</f>
        <v/>
      </c>
      <c r="X1327">
        <f>HYPERLINK("https://klasma.github.io/Logging_2083/kartor/A 7719-2026 karta.png", "A 7719-2026")</f>
        <v/>
      </c>
      <c r="Y1327">
        <f>HYPERLINK("https://klasma.github.io/Logging_2083/kartor_geotiff/A 7719-2026 georefererad karta.tif", "A 7719-2026")</f>
        <v/>
      </c>
      <c r="Z1327">
        <f>HYPERLINK("https://klasma.github.io/Logging_2083/knärot/A 7719-2026 karta knärot.png", "A 7719-2026")</f>
        <v/>
      </c>
      <c r="AA1327">
        <f>HYPERLINK("https://klasma.github.io/Logging_2083/klagomål/A 7719-2026 FSC-klagomål.docx", "A 7719-2026")</f>
        <v/>
      </c>
      <c r="AB1327">
        <f>HYPERLINK("https://klasma.github.io/Logging_2083/klagomålsmail/A 7719-2026 FSC-klagomål mail.docx", "A 7719-2026")</f>
        <v/>
      </c>
      <c r="AC1327">
        <f>HYPERLINK("https://klasma.github.io/Logging_2083/tillsyn/A 7719-2026 tillsynsbegäran.docx", "A 7719-2026")</f>
        <v/>
      </c>
      <c r="AD1327">
        <f>HYPERLINK("https://klasma.github.io/Logging_2083/tillsynsmail/A 7719-2026 tillsynsbegäran mail.docx", "A 7719-2026")</f>
        <v/>
      </c>
    </row>
    <row r="1328" ht="15" customHeight="1">
      <c r="A1328" t="inlineStr">
        <is>
          <t>A 33676-2026</t>
        </is>
      </c>
      <c r="B1328" t="inlineStr">
        <is>
          <t>avverkningsanmälan</t>
        </is>
      </c>
      <c r="C1328" t="inlineStr">
        <is>
          <t>Föryngringsavverkning</t>
        </is>
      </c>
      <c r="D1328" s="1" t="n">
        <v>46248</v>
      </c>
      <c r="E1328" s="1" t="n">
        <v>46319</v>
      </c>
      <c r="F1328" t="inlineStr">
        <is>
          <t>DALARNAS LÄN</t>
        </is>
      </c>
      <c r="G1328" t="inlineStr">
        <is>
          <t>FALUN</t>
        </is>
      </c>
      <c r="I1328" t="n">
        <v>2</v>
      </c>
      <c r="J1328" t="n">
        <v>1</v>
      </c>
      <c r="K1328" t="n">
        <v>0</v>
      </c>
      <c r="L1328" t="n">
        <v>1</v>
      </c>
      <c r="M1328" t="n">
        <v>0</v>
      </c>
      <c r="N1328" t="n">
        <v>0</v>
      </c>
      <c r="O1328" t="n">
        <v>0</v>
      </c>
      <c r="P1328" t="n">
        <v>0</v>
      </c>
      <c r="Q1328" t="n">
        <v>1</v>
      </c>
      <c r="R1328" t="n">
        <v>0</v>
      </c>
      <c r="S1328" t="n">
        <v>1</v>
      </c>
      <c r="T1328" t="n">
        <v>1</v>
      </c>
      <c r="U1328" t="n">
        <v>0</v>
      </c>
      <c r="V1328" s="2" t="inlineStr">
        <is>
          <t>Tretåig hackspett</t>
        </is>
      </c>
      <c r="W1328">
        <f>HYPERLINK("https://klasma.github.io/Logging_2080/artfynd/A 33676-2026 artfynd.xlsx", "A 33676-2026")</f>
        <v/>
      </c>
      <c r="X1328">
        <f>HYPERLINK("https://klasma.github.io/Logging_2080/kartor/A 33676-2026 karta.png", "A 33676-2026")</f>
        <v/>
      </c>
      <c r="Y1328">
        <f>HYPERLINK("https://klasma.github.io/Logging_2080/kartor_geotiff/A 33676-2026 georefererad karta.tif", "A 33676-2026")</f>
        <v/>
      </c>
      <c r="AA1328">
        <f>HYPERLINK("https://klasma.github.io/Logging_2080/klagomål/A 33676-2026 FSC-klagomål.docx", "A 33676-2026")</f>
        <v/>
      </c>
      <c r="AB1328">
        <f>HYPERLINK("https://klasma.github.io/Logging_2080/klagomålsmail/A 33676-2026 FSC-klagomål mail.docx", "A 33676-2026")</f>
        <v/>
      </c>
      <c r="AC1328">
        <f>HYPERLINK("https://klasma.github.io/Logging_2080/tillsyn/A 33676-2026 tillsynsbegäran.docx", "A 33676-2026")</f>
        <v/>
      </c>
      <c r="AD1328">
        <f>HYPERLINK("https://klasma.github.io/Logging_2080/tillsynsmail/A 33676-2026 tillsynsbegäran mail.docx", "A 33676-2026")</f>
        <v/>
      </c>
      <c r="AE1328">
        <f>HYPERLINK("https://klasma.github.io/Logging_2080/fåglar/A 33676-2026 prioriterade fågelarter.docx", "A 33676-2026")</f>
        <v/>
      </c>
    </row>
    <row r="1329" ht="15" customHeight="1">
      <c r="A1329" t="inlineStr">
        <is>
          <t>A 27052-2025</t>
        </is>
      </c>
      <c r="B1329" t="inlineStr">
        <is>
          <t>avverkningsanmälan</t>
        </is>
      </c>
      <c r="C1329" t="inlineStr">
        <is>
          <t>Föryngringsavverkning</t>
        </is>
      </c>
      <c r="D1329" s="1" t="n">
        <v>45811</v>
      </c>
      <c r="E1329" s="1" t="n">
        <v>46319</v>
      </c>
      <c r="F1329" t="inlineStr">
        <is>
          <t>DALARNAS LÄN</t>
        </is>
      </c>
      <c r="G1329" t="inlineStr">
        <is>
          <t>VANSBRO</t>
        </is>
      </c>
      <c r="H1329" t="inlineStr">
        <is>
          <t>Bergvik skog väst AB</t>
        </is>
      </c>
      <c r="I1329" t="n">
        <v>1.9</v>
      </c>
      <c r="J1329" t="n">
        <v>1</v>
      </c>
      <c r="K1329" t="n">
        <v>0</v>
      </c>
      <c r="L1329" t="n">
        <v>0</v>
      </c>
      <c r="M1329" t="n">
        <v>0</v>
      </c>
      <c r="N1329" t="n">
        <v>0</v>
      </c>
      <c r="O1329" t="n">
        <v>0</v>
      </c>
      <c r="P1329" t="n">
        <v>0</v>
      </c>
      <c r="Q1329" t="n">
        <v>0</v>
      </c>
      <c r="R1329" t="n">
        <v>0</v>
      </c>
      <c r="S1329" t="n">
        <v>1</v>
      </c>
      <c r="T1329" t="n">
        <v>1</v>
      </c>
      <c r="U1329" t="n">
        <v>1</v>
      </c>
      <c r="V1329" s="2" t="inlineStr">
        <is>
          <t>Tjäder</t>
        </is>
      </c>
      <c r="W1329">
        <f>HYPERLINK("https://klasma.github.io/Logging_2021/artfynd/A 27052-2025 artfynd.xlsx", "A 27052-2025")</f>
        <v/>
      </c>
      <c r="X1329">
        <f>HYPERLINK("https://klasma.github.io/Logging_2021/kartor/A 27052-2025 karta.png", "A 27052-2025")</f>
        <v/>
      </c>
      <c r="Y1329">
        <f>HYPERLINK("https://klasma.github.io/Logging_2021/kartor_geotiff/A 27052-2025 georefererad karta.tif", "A 27052-2025")</f>
        <v/>
      </c>
      <c r="AA1329">
        <f>HYPERLINK("https://klasma.github.io/Logging_2021/klagomål/A 27052-2025 FSC-klagomål.docx", "A 27052-2025")</f>
        <v/>
      </c>
      <c r="AB1329">
        <f>HYPERLINK("https://klasma.github.io/Logging_2021/klagomålsmail/A 27052-2025 FSC-klagomål mail.docx", "A 27052-2025")</f>
        <v/>
      </c>
      <c r="AC1329">
        <f>HYPERLINK("https://klasma.github.io/Logging_2021/tillsyn/A 27052-2025 tillsynsbegäran.docx", "A 27052-2025")</f>
        <v/>
      </c>
      <c r="AD1329">
        <f>HYPERLINK("https://klasma.github.io/Logging_2021/tillsynsmail/A 27052-2025 tillsynsbegäran mail.docx", "A 27052-2025")</f>
        <v/>
      </c>
      <c r="AE1329">
        <f>HYPERLINK("https://klasma.github.io/Logging_2021/fåglar/A 27052-2025 prioriterade fågelarter.docx", "A 27052-2025")</f>
        <v/>
      </c>
    </row>
    <row r="1330" ht="15" customHeight="1">
      <c r="A1330" t="inlineStr">
        <is>
          <t>A 21514-2024</t>
        </is>
      </c>
      <c r="B1330" t="inlineStr">
        <is>
          <t>avverkningsanmälan</t>
        </is>
      </c>
      <c r="C1330" t="inlineStr">
        <is>
          <t>Föryngringsavverkning</t>
        </is>
      </c>
      <c r="D1330" s="1" t="n">
        <v>45441</v>
      </c>
      <c r="E1330" s="1" t="n">
        <v>46319</v>
      </c>
      <c r="F1330" t="inlineStr">
        <is>
          <t>DALARNAS LÄN</t>
        </is>
      </c>
      <c r="G1330" t="inlineStr">
        <is>
          <t>HEDEMORA</t>
        </is>
      </c>
      <c r="I1330" t="n">
        <v>1.5</v>
      </c>
      <c r="J1330" t="n">
        <v>0</v>
      </c>
      <c r="K1330" t="n">
        <v>0</v>
      </c>
      <c r="L1330" t="n">
        <v>0</v>
      </c>
      <c r="M1330" t="n">
        <v>1</v>
      </c>
      <c r="N1330" t="n">
        <v>0</v>
      </c>
      <c r="O1330" t="n">
        <v>0</v>
      </c>
      <c r="P1330" t="n">
        <v>0</v>
      </c>
      <c r="Q1330" t="n">
        <v>1</v>
      </c>
      <c r="R1330" t="n">
        <v>1</v>
      </c>
      <c r="S1330" t="n">
        <v>1</v>
      </c>
      <c r="T1330" t="n">
        <v>1</v>
      </c>
      <c r="U1330" t="n">
        <v>1</v>
      </c>
      <c r="V1330" s="2" t="inlineStr">
        <is>
          <t>Igelkott</t>
        </is>
      </c>
      <c r="W1330">
        <f>HYPERLINK("https://klasma.github.io/Logging_2083/artfynd/A 21514-2024 artfynd.xlsx", "A 21514-2024")</f>
        <v/>
      </c>
      <c r="X1330">
        <f>HYPERLINK("https://klasma.github.io/Logging_2083/kartor/A 21514-2024 karta.png", "A 21514-2024")</f>
        <v/>
      </c>
      <c r="Y1330">
        <f>HYPERLINK("https://klasma.github.io/Logging_2083/kartor_geotiff/A 21514-2024 georefererad karta.tif", "A 21514-2024")</f>
        <v/>
      </c>
      <c r="AA1330">
        <f>HYPERLINK("https://klasma.github.io/Logging_2083/klagomål/A 21514-2024 FSC-klagomål.docx", "A 21514-2024")</f>
        <v/>
      </c>
      <c r="AB1330">
        <f>HYPERLINK("https://klasma.github.io/Logging_2083/klagomålsmail/A 21514-2024 FSC-klagomål mail.docx", "A 21514-2024")</f>
        <v/>
      </c>
      <c r="AC1330">
        <f>HYPERLINK("https://klasma.github.io/Logging_2083/tillsyn/A 21514-2024 tillsynsbegäran.docx", "A 21514-2024")</f>
        <v/>
      </c>
      <c r="AD1330">
        <f>HYPERLINK("https://klasma.github.io/Logging_2083/tillsynsmail/A 21514-2024 tillsynsbegäran mail.docx", "A 21514-2024")</f>
        <v/>
      </c>
    </row>
    <row r="1331" ht="15" customHeight="1">
      <c r="A1331" t="inlineStr">
        <is>
          <t>A 67320-2021</t>
        </is>
      </c>
      <c r="B1331" t="inlineStr">
        <is>
          <t>avverkningsanmälan</t>
        </is>
      </c>
      <c r="C1331" t="inlineStr">
        <is>
          <t>Föryngringsavverkning</t>
        </is>
      </c>
      <c r="D1331" s="1" t="n">
        <v>44523</v>
      </c>
      <c r="E1331" s="1" t="n">
        <v>46319</v>
      </c>
      <c r="F1331" t="inlineStr">
        <is>
          <t>DALARNAS LÄN</t>
        </is>
      </c>
      <c r="G1331" t="inlineStr">
        <is>
          <t>MALUNG-SÄLEN</t>
        </is>
      </c>
      <c r="I1331" t="n">
        <v>0.7</v>
      </c>
      <c r="J1331" t="n">
        <v>1</v>
      </c>
      <c r="K1331" t="n">
        <v>0</v>
      </c>
      <c r="L1331" t="n">
        <v>0</v>
      </c>
      <c r="M1331" t="n">
        <v>0</v>
      </c>
      <c r="N1331" t="n">
        <v>0</v>
      </c>
      <c r="O1331" t="n">
        <v>0</v>
      </c>
      <c r="P1331" t="n">
        <v>0</v>
      </c>
      <c r="Q1331" t="n">
        <v>0</v>
      </c>
      <c r="R1331" t="n">
        <v>0</v>
      </c>
      <c r="S1331" t="n">
        <v>1</v>
      </c>
      <c r="T1331" t="n">
        <v>1</v>
      </c>
      <c r="U1331" t="n">
        <v>1</v>
      </c>
      <c r="V1331" s="2" t="inlineStr">
        <is>
          <t>Orre</t>
        </is>
      </c>
      <c r="W1331">
        <f>HYPERLINK("https://klasma.github.io/Logging_2023/artfynd/A 67320-2021 artfynd.xlsx", "A 67320-2021")</f>
        <v/>
      </c>
      <c r="X1331">
        <f>HYPERLINK("https://klasma.github.io/Logging_2023/kartor/A 67320-2021 karta.png", "A 67320-2021")</f>
        <v/>
      </c>
      <c r="Y1331">
        <f>HYPERLINK("https://klasma.github.io/Logging_2023/kartor_geotiff/A 67320-2021 georefererad karta.tif", "A 67320-2021")</f>
        <v/>
      </c>
      <c r="AA1331">
        <f>HYPERLINK("https://klasma.github.io/Logging_2023/klagomål/A 67320-2021 FSC-klagomål.docx", "A 67320-2021")</f>
        <v/>
      </c>
      <c r="AB1331">
        <f>HYPERLINK("https://klasma.github.io/Logging_2023/klagomålsmail/A 67320-2021 FSC-klagomål mail.docx", "A 67320-2021")</f>
        <v/>
      </c>
      <c r="AC1331">
        <f>HYPERLINK("https://klasma.github.io/Logging_2023/tillsyn/A 67320-2021 tillsynsbegäran.docx", "A 67320-2021")</f>
        <v/>
      </c>
      <c r="AD1331">
        <f>HYPERLINK("https://klasma.github.io/Logging_2023/tillsynsmail/A 67320-2021 tillsynsbegäran mail.docx", "A 67320-2021")</f>
        <v/>
      </c>
      <c r="AE1331">
        <f>HYPERLINK("https://klasma.github.io/Logging_2023/fåglar/A 67320-2021 prioriterade fågelarter.docx", "A 67320-2021")</f>
        <v/>
      </c>
    </row>
    <row r="1332" ht="15" customHeight="1">
      <c r="A1332" t="inlineStr">
        <is>
          <t>A 13986-2023</t>
        </is>
      </c>
      <c r="B1332" t="inlineStr">
        <is>
          <t>avverkningsanmälan</t>
        </is>
      </c>
      <c r="C1332" t="inlineStr">
        <is>
          <t>Föryngringsavverkning</t>
        </is>
      </c>
      <c r="D1332" s="1" t="n">
        <v>45008</v>
      </c>
      <c r="E1332" s="1" t="n">
        <v>46319</v>
      </c>
      <c r="F1332" t="inlineStr">
        <is>
          <t>DALARNAS LÄN</t>
        </is>
      </c>
      <c r="G1332" t="inlineStr">
        <is>
          <t>HEDEMORA</t>
        </is>
      </c>
      <c r="I1332" t="n">
        <v>0.8</v>
      </c>
      <c r="J1332" t="n">
        <v>1</v>
      </c>
      <c r="K1332" t="n">
        <v>0</v>
      </c>
      <c r="L1332" t="n">
        <v>0</v>
      </c>
      <c r="M1332" t="n">
        <v>1</v>
      </c>
      <c r="N1332" t="n">
        <v>0</v>
      </c>
      <c r="O1332" t="n">
        <v>0</v>
      </c>
      <c r="P1332" t="n">
        <v>0</v>
      </c>
      <c r="Q1332" t="n">
        <v>1</v>
      </c>
      <c r="R1332" t="n">
        <v>1</v>
      </c>
      <c r="S1332" t="n">
        <v>1</v>
      </c>
      <c r="T1332" t="n">
        <v>1</v>
      </c>
      <c r="U1332" t="n">
        <v>1</v>
      </c>
      <c r="V1332" s="2" t="inlineStr">
        <is>
          <t>Knärot</t>
        </is>
      </c>
      <c r="W1332">
        <f>HYPERLINK("https://klasma.github.io/Logging_2083/artfynd/A 13986-2023 artfynd.xlsx", "A 13986-2023")</f>
        <v/>
      </c>
      <c r="X1332">
        <f>HYPERLINK("https://klasma.github.io/Logging_2083/kartor/A 13986-2023 karta.png", "A 13986-2023")</f>
        <v/>
      </c>
      <c r="Y1332">
        <f>HYPERLINK("https://klasma.github.io/Logging_2083/kartor_geotiff/A 13986-2023 georefererad karta.tif", "A 13986-2023")</f>
        <v/>
      </c>
      <c r="Z1332">
        <f>HYPERLINK("https://klasma.github.io/Logging_2083/knärot/A 13986-2023 karta knärot.png", "A 13986-2023")</f>
        <v/>
      </c>
      <c r="AA1332">
        <f>HYPERLINK("https://klasma.github.io/Logging_2083/klagomål/A 13986-2023 FSC-klagomål.docx", "A 13986-2023")</f>
        <v/>
      </c>
      <c r="AB1332">
        <f>HYPERLINK("https://klasma.github.io/Logging_2083/klagomålsmail/A 13986-2023 FSC-klagomål mail.docx", "A 13986-2023")</f>
        <v/>
      </c>
      <c r="AC1332">
        <f>HYPERLINK("https://klasma.github.io/Logging_2083/tillsyn/A 13986-2023 tillsynsbegäran.docx", "A 13986-2023")</f>
        <v/>
      </c>
      <c r="AD1332">
        <f>HYPERLINK("https://klasma.github.io/Logging_2083/tillsynsmail/A 13986-2023 tillsynsbegäran mail.docx", "A 13986-2023")</f>
        <v/>
      </c>
    </row>
    <row r="1333" ht="15" customHeight="1">
      <c r="A1333" t="inlineStr">
        <is>
          <t>A 31145-2024</t>
        </is>
      </c>
      <c r="B1333" t="inlineStr">
        <is>
          <t>avverkningsanmälan</t>
        </is>
      </c>
      <c r="C1333" t="inlineStr">
        <is>
          <t>Föryngringsavverkning</t>
        </is>
      </c>
      <c r="D1333" s="1" t="n">
        <v>45502</v>
      </c>
      <c r="E1333" s="1" t="n">
        <v>46319</v>
      </c>
      <c r="F1333" t="inlineStr">
        <is>
          <t>DALARNAS LÄN</t>
        </is>
      </c>
      <c r="G1333" t="inlineStr">
        <is>
          <t>ÄLVDALEN</t>
        </is>
      </c>
      <c r="I1333" t="n">
        <v>1.2</v>
      </c>
      <c r="J1333" t="n">
        <v>1</v>
      </c>
      <c r="K1333" t="n">
        <v>0</v>
      </c>
      <c r="L1333" t="n">
        <v>1</v>
      </c>
      <c r="M1333" t="n">
        <v>0</v>
      </c>
      <c r="N1333" t="n">
        <v>0</v>
      </c>
      <c r="O1333" t="n">
        <v>0</v>
      </c>
      <c r="P1333" t="n">
        <v>0</v>
      </c>
      <c r="Q1333" t="n">
        <v>1</v>
      </c>
      <c r="R1333" t="n">
        <v>0</v>
      </c>
      <c r="S1333" t="n">
        <v>1</v>
      </c>
      <c r="T1333" t="n">
        <v>1</v>
      </c>
      <c r="U1333" t="n">
        <v>1</v>
      </c>
      <c r="V1333" s="2" t="inlineStr">
        <is>
          <t>Tretåig hackspett</t>
        </is>
      </c>
      <c r="W1333">
        <f>HYPERLINK("https://klasma.github.io/Logging_2039/artfynd/A 31145-2024 artfynd.xlsx", "A 31145-2024")</f>
        <v/>
      </c>
      <c r="X1333">
        <f>HYPERLINK("https://klasma.github.io/Logging_2039/kartor/A 31145-2024 karta.png", "A 31145-2024")</f>
        <v/>
      </c>
      <c r="Y1333">
        <f>HYPERLINK("https://klasma.github.io/Logging_2039/kartor_geotiff/A 31145-2024 georefererad karta.tif", "A 31145-2024")</f>
        <v/>
      </c>
      <c r="AA1333">
        <f>HYPERLINK("https://klasma.github.io/Logging_2039/klagomål/A 31145-2024 FSC-klagomål.docx", "A 31145-2024")</f>
        <v/>
      </c>
      <c r="AB1333">
        <f>HYPERLINK("https://klasma.github.io/Logging_2039/klagomålsmail/A 31145-2024 FSC-klagomål mail.docx", "A 31145-2024")</f>
        <v/>
      </c>
      <c r="AC1333">
        <f>HYPERLINK("https://klasma.github.io/Logging_2039/tillsyn/A 31145-2024 tillsynsbegäran.docx", "A 31145-2024")</f>
        <v/>
      </c>
      <c r="AD1333">
        <f>HYPERLINK("https://klasma.github.io/Logging_2039/tillsynsmail/A 31145-2024 tillsynsbegäran mail.docx", "A 31145-2024")</f>
        <v/>
      </c>
      <c r="AE1333">
        <f>HYPERLINK("https://klasma.github.io/Logging_2039/fåglar/A 31145-2024 prioriterade fågelarter.docx", "A 31145-2024")</f>
        <v/>
      </c>
    </row>
    <row r="1334" ht="15" customHeight="1">
      <c r="A1334" t="inlineStr">
        <is>
          <t>A 27113-2024</t>
        </is>
      </c>
      <c r="B1334" t="inlineStr">
        <is>
          <t>avverkningsanmälan</t>
        </is>
      </c>
      <c r="C1334" t="inlineStr">
        <is>
          <t>Föryngringsavverkning</t>
        </is>
      </c>
      <c r="D1334" s="1" t="n">
        <v>45471</v>
      </c>
      <c r="E1334" s="1" t="n">
        <v>46319</v>
      </c>
      <c r="F1334" t="inlineStr">
        <is>
          <t>DALARNAS LÄN</t>
        </is>
      </c>
      <c r="G1334" t="inlineStr">
        <is>
          <t>MORA</t>
        </is>
      </c>
      <c r="I1334" t="n">
        <v>10.3</v>
      </c>
      <c r="J1334" t="n">
        <v>0</v>
      </c>
      <c r="K1334" t="n">
        <v>1</v>
      </c>
      <c r="L1334" t="n">
        <v>0</v>
      </c>
      <c r="M1334" t="n">
        <v>0</v>
      </c>
      <c r="N1334" t="n">
        <v>0</v>
      </c>
      <c r="O1334" t="n">
        <v>0</v>
      </c>
      <c r="P1334" t="n">
        <v>0</v>
      </c>
      <c r="Q1334" t="n">
        <v>0</v>
      </c>
      <c r="R1334" t="n">
        <v>0</v>
      </c>
      <c r="S1334" t="n">
        <v>1</v>
      </c>
      <c r="T1334" t="n">
        <v>1</v>
      </c>
      <c r="U1334" t="n">
        <v>0</v>
      </c>
      <c r="V1334" s="2" t="inlineStr">
        <is>
          <t>Stor aspticka</t>
        </is>
      </c>
      <c r="W1334">
        <f>HYPERLINK("https://klasma.github.io/Logging_2062/artfynd/A 27113-2024 artfynd.xlsx", "A 27113-2024")</f>
        <v/>
      </c>
      <c r="X1334">
        <f>HYPERLINK("https://klasma.github.io/Logging_2062/kartor/A 27113-2024 karta.png", "A 27113-2024")</f>
        <v/>
      </c>
      <c r="Y1334">
        <f>HYPERLINK("https://klasma.github.io/Logging_2062/kartor_geotiff/A 27113-2024 georefererad karta.tif", "A 27113-2024")</f>
        <v/>
      </c>
      <c r="AA1334">
        <f>HYPERLINK("https://klasma.github.io/Logging_2062/klagomål/A 27113-2024 FSC-klagomål.docx", "A 27113-2024")</f>
        <v/>
      </c>
      <c r="AB1334">
        <f>HYPERLINK("https://klasma.github.io/Logging_2062/klagomålsmail/A 27113-2024 FSC-klagomål mail.docx", "A 27113-2024")</f>
        <v/>
      </c>
      <c r="AC1334">
        <f>HYPERLINK("https://klasma.github.io/Logging_2062/tillsyn/A 27113-2024 tillsynsbegäran.docx", "A 27113-2024")</f>
        <v/>
      </c>
      <c r="AD1334">
        <f>HYPERLINK("https://klasma.github.io/Logging_2062/tillsynsmail/A 27113-2024 tillsynsbegäran mail.docx", "A 27113-2024")</f>
        <v/>
      </c>
    </row>
    <row r="1335" ht="15" customHeight="1">
      <c r="A1335" t="inlineStr">
        <is>
          <t>A 40159-2026</t>
        </is>
      </c>
      <c r="B1335" t="inlineStr">
        <is>
          <t>avverkningsanmälan</t>
        </is>
      </c>
      <c r="C1335" t="inlineStr">
        <is>
          <t>Föryngringsavverkning</t>
        </is>
      </c>
      <c r="D1335" s="1" t="n">
        <v>46293</v>
      </c>
      <c r="E1335" s="1" t="n">
        <v>46319</v>
      </c>
      <c r="F1335" t="inlineStr">
        <is>
          <t>DALARNAS LÄN</t>
        </is>
      </c>
      <c r="G1335" t="inlineStr">
        <is>
          <t>ORSA</t>
        </is>
      </c>
      <c r="H1335" t="inlineStr">
        <is>
          <t>Allmännings- och besparingsskogar</t>
        </is>
      </c>
      <c r="I1335" t="n">
        <v>9.699999999999999</v>
      </c>
      <c r="J1335" t="n">
        <v>1</v>
      </c>
      <c r="K1335" t="n">
        <v>0</v>
      </c>
      <c r="L1335" t="n">
        <v>1</v>
      </c>
      <c r="M1335" t="n">
        <v>0</v>
      </c>
      <c r="N1335" t="n">
        <v>0</v>
      </c>
      <c r="O1335" t="n">
        <v>0</v>
      </c>
      <c r="P1335" t="n">
        <v>0</v>
      </c>
      <c r="Q1335" t="n">
        <v>1</v>
      </c>
      <c r="R1335" t="n">
        <v>0</v>
      </c>
      <c r="S1335" t="n">
        <v>1</v>
      </c>
      <c r="T1335" t="n">
        <v>1</v>
      </c>
      <c r="U1335" t="n">
        <v>0</v>
      </c>
      <c r="V1335" s="2" t="inlineStr">
        <is>
          <t>Sparvuggla</t>
        </is>
      </c>
      <c r="W1335">
        <f>HYPERLINK("https://klasma.github.io/Logging_2034/artfynd/A 40159-2026 artfynd.xlsx", "A 40159-2026")</f>
        <v/>
      </c>
      <c r="X1335">
        <f>HYPERLINK("https://klasma.github.io/Logging_2034/kartor/A 40159-2026 karta.png", "A 40159-2026")</f>
        <v/>
      </c>
      <c r="Y1335">
        <f>HYPERLINK("https://klasma.github.io/Logging_2034/kartor_geotiff/A 40159-2026 georefererad karta.tif", "A 40159-2026")</f>
        <v/>
      </c>
      <c r="AA1335">
        <f>HYPERLINK("https://klasma.github.io/Logging_2034/klagomål/A 40159-2026 FSC-klagomål.docx", "A 40159-2026")</f>
        <v/>
      </c>
      <c r="AB1335">
        <f>HYPERLINK("https://klasma.github.io/Logging_2034/klagomålsmail/A 40159-2026 FSC-klagomål mail.docx", "A 40159-2026")</f>
        <v/>
      </c>
      <c r="AC1335">
        <f>HYPERLINK("https://klasma.github.io/Logging_2034/tillsyn/A 40159-2026 tillsynsbegäran.docx", "A 40159-2026")</f>
        <v/>
      </c>
      <c r="AD1335">
        <f>HYPERLINK("https://klasma.github.io/Logging_2034/tillsynsmail/A 40159-2026 tillsynsbegäran mail.docx", "A 40159-2026")</f>
        <v/>
      </c>
      <c r="AE1335">
        <f>HYPERLINK("https://klasma.github.io/Logging_2034/fåglar/A 40159-2026 prioriterade fågelarter.docx", "A 40159-2026")</f>
        <v/>
      </c>
    </row>
    <row r="1336" ht="15" customHeight="1">
      <c r="A1336" t="inlineStr">
        <is>
          <t>A 4238-2026</t>
        </is>
      </c>
      <c r="B1336" t="inlineStr">
        <is>
          <t>avverkningsanmälan</t>
        </is>
      </c>
      <c r="C1336" t="inlineStr">
        <is>
          <t>Föryngringsavverkning</t>
        </is>
      </c>
      <c r="D1336" s="1" t="n">
        <v>46044</v>
      </c>
      <c r="E1336" s="1" t="n">
        <v>46319</v>
      </c>
      <c r="F1336" t="inlineStr">
        <is>
          <t>DALARNAS LÄN</t>
        </is>
      </c>
      <c r="G1336" t="inlineStr">
        <is>
          <t>GAGNEF</t>
        </is>
      </c>
      <c r="I1336" t="n">
        <v>1.5</v>
      </c>
      <c r="J1336" t="n">
        <v>1</v>
      </c>
      <c r="K1336" t="n">
        <v>0</v>
      </c>
      <c r="L1336" t="n">
        <v>1</v>
      </c>
      <c r="M1336" t="n">
        <v>0</v>
      </c>
      <c r="N1336" t="n">
        <v>0</v>
      </c>
      <c r="O1336" t="n">
        <v>0</v>
      </c>
      <c r="P1336" t="n">
        <v>0</v>
      </c>
      <c r="Q1336" t="n">
        <v>1</v>
      </c>
      <c r="R1336" t="n">
        <v>0</v>
      </c>
      <c r="S1336" t="n">
        <v>1</v>
      </c>
      <c r="T1336" t="n">
        <v>1</v>
      </c>
      <c r="U1336" t="n">
        <v>1</v>
      </c>
      <c r="V1336" s="2" t="inlineStr">
        <is>
          <t>Tretåig hackspett</t>
        </is>
      </c>
      <c r="W1336">
        <f>HYPERLINK("https://klasma.github.io/Logging_2026/artfynd/A 4238-2026 artfynd.xlsx", "A 4238-2026")</f>
        <v/>
      </c>
      <c r="X1336">
        <f>HYPERLINK("https://klasma.github.io/Logging_2026/kartor/A 4238-2026 karta.png", "A 4238-2026")</f>
        <v/>
      </c>
      <c r="Y1336">
        <f>HYPERLINK("https://klasma.github.io/Logging_2026/kartor_geotiff/A 4238-2026 georefererad karta.tif", "A 4238-2026")</f>
        <v/>
      </c>
      <c r="AA1336">
        <f>HYPERLINK("https://klasma.github.io/Logging_2026/klagomål/A 4238-2026 FSC-klagomål.docx", "A 4238-2026")</f>
        <v/>
      </c>
      <c r="AB1336">
        <f>HYPERLINK("https://klasma.github.io/Logging_2026/klagomålsmail/A 4238-2026 FSC-klagomål mail.docx", "A 4238-2026")</f>
        <v/>
      </c>
      <c r="AC1336">
        <f>HYPERLINK("https://klasma.github.io/Logging_2026/tillsyn/A 4238-2026 tillsynsbegäran.docx", "A 4238-2026")</f>
        <v/>
      </c>
      <c r="AD1336">
        <f>HYPERLINK("https://klasma.github.io/Logging_2026/tillsynsmail/A 4238-2026 tillsynsbegäran mail.docx", "A 4238-2026")</f>
        <v/>
      </c>
      <c r="AE1336">
        <f>HYPERLINK("https://klasma.github.io/Logging_2026/fåglar/A 4238-2026 prioriterade fågelarter.docx", "A 4238-2026")</f>
        <v/>
      </c>
    </row>
    <row r="1337" ht="15" customHeight="1">
      <c r="A1337" t="inlineStr">
        <is>
          <t>A 1993-2026</t>
        </is>
      </c>
      <c r="B1337" t="inlineStr">
        <is>
          <t>avverkningsanmälan</t>
        </is>
      </c>
      <c r="C1337" t="inlineStr">
        <is>
          <t>Föryngringsavverkning</t>
        </is>
      </c>
      <c r="D1337" s="1" t="n">
        <v>46035</v>
      </c>
      <c r="E1337" s="1" t="n">
        <v>46319</v>
      </c>
      <c r="F1337" t="inlineStr">
        <is>
          <t>DALARNAS LÄN</t>
        </is>
      </c>
      <c r="G1337" t="inlineStr">
        <is>
          <t>AVESTA</t>
        </is>
      </c>
      <c r="I1337" t="n">
        <v>4</v>
      </c>
      <c r="J1337" t="n">
        <v>1</v>
      </c>
      <c r="K1337" t="n">
        <v>0</v>
      </c>
      <c r="L1337" t="n">
        <v>0</v>
      </c>
      <c r="M1337" t="n">
        <v>0</v>
      </c>
      <c r="N1337" t="n">
        <v>0</v>
      </c>
      <c r="O1337" t="n">
        <v>0</v>
      </c>
      <c r="P1337" t="n">
        <v>0</v>
      </c>
      <c r="Q1337" t="n">
        <v>0</v>
      </c>
      <c r="R1337" t="n">
        <v>0</v>
      </c>
      <c r="S1337" t="n">
        <v>1</v>
      </c>
      <c r="T1337" t="n">
        <v>1</v>
      </c>
      <c r="U1337" t="n">
        <v>0</v>
      </c>
      <c r="V1337" s="2" t="inlineStr">
        <is>
          <t>Fläcknycklar</t>
        </is>
      </c>
      <c r="W1337">
        <f>HYPERLINK("https://klasma.github.io/Logging_2084/artfynd/A 1993-2026 artfynd.xlsx", "A 1993-2026")</f>
        <v/>
      </c>
      <c r="X1337">
        <f>HYPERLINK("https://klasma.github.io/Logging_2084/kartor/A 1993-2026 karta.png", "A 1993-2026")</f>
        <v/>
      </c>
      <c r="Y1337">
        <f>HYPERLINK("https://klasma.github.io/Logging_2084/kartor_geotiff/A 1993-2026 georefererad karta.tif", "A 1993-2026")</f>
        <v/>
      </c>
      <c r="AA1337">
        <f>HYPERLINK("https://klasma.github.io/Logging_2084/klagomål/A 1993-2026 FSC-klagomål.docx", "A 1993-2026")</f>
        <v/>
      </c>
      <c r="AB1337">
        <f>HYPERLINK("https://klasma.github.io/Logging_2084/klagomålsmail/A 1993-2026 FSC-klagomål mail.docx", "A 1993-2026")</f>
        <v/>
      </c>
      <c r="AC1337">
        <f>HYPERLINK("https://klasma.github.io/Logging_2084/tillsyn/A 1993-2026 tillsynsbegäran.docx", "A 1993-2026")</f>
        <v/>
      </c>
      <c r="AD1337">
        <f>HYPERLINK("https://klasma.github.io/Logging_2084/tillsynsmail/A 1993-2026 tillsynsbegäran mail.docx", "A 1993-2026")</f>
        <v/>
      </c>
    </row>
    <row r="1338" ht="15" customHeight="1">
      <c r="A1338" t="inlineStr">
        <is>
          <t>A 28181-2025</t>
        </is>
      </c>
      <c r="B1338" t="inlineStr">
        <is>
          <t>avverkningsanmälan</t>
        </is>
      </c>
      <c r="C1338" t="inlineStr">
        <is>
          <t>Föryngringsavverkning</t>
        </is>
      </c>
      <c r="D1338" s="1" t="n">
        <v>45818</v>
      </c>
      <c r="E1338" s="1" t="n">
        <v>46319</v>
      </c>
      <c r="F1338" t="inlineStr">
        <is>
          <t>DALARNAS LÄN</t>
        </is>
      </c>
      <c r="G1338" t="inlineStr">
        <is>
          <t>HEDEMORA</t>
        </is>
      </c>
      <c r="H1338" t="inlineStr">
        <is>
          <t>Sveaskog</t>
        </is>
      </c>
      <c r="I1338" t="n">
        <v>2.4</v>
      </c>
      <c r="J1338" t="n">
        <v>1</v>
      </c>
      <c r="K1338" t="n">
        <v>1</v>
      </c>
      <c r="L1338" t="n">
        <v>0</v>
      </c>
      <c r="M1338" t="n">
        <v>0</v>
      </c>
      <c r="N1338" t="n">
        <v>0</v>
      </c>
      <c r="O1338" t="n">
        <v>0</v>
      </c>
      <c r="P1338" t="n">
        <v>0</v>
      </c>
      <c r="Q1338" t="n">
        <v>0</v>
      </c>
      <c r="R1338" t="n">
        <v>0</v>
      </c>
      <c r="S1338" t="n">
        <v>1</v>
      </c>
      <c r="T1338" t="n">
        <v>1</v>
      </c>
      <c r="U1338" t="n">
        <v>1</v>
      </c>
      <c r="V1338" s="2" t="inlineStr">
        <is>
          <t>Plattlummer</t>
        </is>
      </c>
      <c r="W1338">
        <f>HYPERLINK("https://klasma.github.io/Logging_2083/artfynd/A 28181-2025 artfynd.xlsx", "A 28181-2025")</f>
        <v/>
      </c>
      <c r="X1338">
        <f>HYPERLINK("https://klasma.github.io/Logging_2083/kartor/A 28181-2025 karta.png", "A 28181-2025")</f>
        <v/>
      </c>
      <c r="Y1338">
        <f>HYPERLINK("https://klasma.github.io/Logging_2083/kartor_geotiff/A 28181-2025 georefererad karta.tif", "A 28181-2025")</f>
        <v/>
      </c>
      <c r="AA1338">
        <f>HYPERLINK("https://klasma.github.io/Logging_2083/klagomål/A 28181-2025 FSC-klagomål.docx", "A 28181-2025")</f>
        <v/>
      </c>
      <c r="AB1338">
        <f>HYPERLINK("https://klasma.github.io/Logging_2083/klagomålsmail/A 28181-2025 FSC-klagomål mail.docx", "A 28181-2025")</f>
        <v/>
      </c>
      <c r="AC1338">
        <f>HYPERLINK("https://klasma.github.io/Logging_2083/tillsyn/A 28181-2025 tillsynsbegäran.docx", "A 28181-2025")</f>
        <v/>
      </c>
      <c r="AD1338">
        <f>HYPERLINK("https://klasma.github.io/Logging_2083/tillsynsmail/A 28181-2025 tillsynsbegäran mail.docx", "A 28181-2025")</f>
        <v/>
      </c>
    </row>
    <row r="1339" ht="15" customHeight="1">
      <c r="A1339" t="inlineStr">
        <is>
          <t>A 8969-2026</t>
        </is>
      </c>
      <c r="B1339" t="inlineStr">
        <is>
          <t>avverkningsanmälan</t>
        </is>
      </c>
      <c r="C1339" t="inlineStr">
        <is>
          <t>Föryngringsavverkning</t>
        </is>
      </c>
      <c r="D1339" s="1" t="n">
        <v>46069</v>
      </c>
      <c r="E1339" s="1" t="n">
        <v>46319</v>
      </c>
      <c r="F1339" t="inlineStr">
        <is>
          <t>DALARNAS LÄN</t>
        </is>
      </c>
      <c r="G1339" t="inlineStr">
        <is>
          <t>LEKSAND</t>
        </is>
      </c>
      <c r="I1339" t="n">
        <v>1.9</v>
      </c>
      <c r="J1339" t="n">
        <v>0</v>
      </c>
      <c r="K1339" t="n">
        <v>0</v>
      </c>
      <c r="L1339" t="n">
        <v>1</v>
      </c>
      <c r="M1339" t="n">
        <v>0</v>
      </c>
      <c r="N1339" t="n">
        <v>0</v>
      </c>
      <c r="O1339" t="n">
        <v>0</v>
      </c>
      <c r="P1339" t="n">
        <v>0</v>
      </c>
      <c r="Q1339" t="n">
        <v>1</v>
      </c>
      <c r="R1339" t="n">
        <v>0</v>
      </c>
      <c r="S1339" t="n">
        <v>1</v>
      </c>
      <c r="T1339" t="n">
        <v>1</v>
      </c>
      <c r="U1339" t="n">
        <v>0</v>
      </c>
      <c r="V1339" s="2" t="inlineStr">
        <is>
          <t>Gullklöver</t>
        </is>
      </c>
      <c r="W1339">
        <f>HYPERLINK("https://klasma.github.io/Logging_2029/artfynd/A 8969-2026 artfynd.xlsx", "A 8969-2026")</f>
        <v/>
      </c>
      <c r="X1339">
        <f>HYPERLINK("https://klasma.github.io/Logging_2029/kartor/A 8969-2026 karta.png", "A 8969-2026")</f>
        <v/>
      </c>
      <c r="Y1339">
        <f>HYPERLINK("https://klasma.github.io/Logging_2029/kartor_geotiff/A 8969-2026 georefererad karta.tif", "A 8969-2026")</f>
        <v/>
      </c>
      <c r="AA1339">
        <f>HYPERLINK("https://klasma.github.io/Logging_2029/klagomål/A 8969-2026 FSC-klagomål.docx", "A 8969-2026")</f>
        <v/>
      </c>
      <c r="AB1339">
        <f>HYPERLINK("https://klasma.github.io/Logging_2029/klagomålsmail/A 8969-2026 FSC-klagomål mail.docx", "A 8969-2026")</f>
        <v/>
      </c>
      <c r="AC1339">
        <f>HYPERLINK("https://klasma.github.io/Logging_2029/tillsyn/A 8969-2026 tillsynsbegäran.docx", "A 8969-2026")</f>
        <v/>
      </c>
      <c r="AD1339">
        <f>HYPERLINK("https://klasma.github.io/Logging_2029/tillsynsmail/A 8969-2026 tillsynsbegäran mail.docx", "A 8969-2026")</f>
        <v/>
      </c>
    </row>
    <row r="1340" ht="15" customHeight="1">
      <c r="A1340" t="inlineStr">
        <is>
          <t>A 27929-2025</t>
        </is>
      </c>
      <c r="B1340" t="inlineStr">
        <is>
          <t>avverkningsanmälan</t>
        </is>
      </c>
      <c r="C1340" t="inlineStr">
        <is>
          <t>Föryngringsavverkning</t>
        </is>
      </c>
      <c r="D1340" s="1" t="n">
        <v>45817</v>
      </c>
      <c r="E1340" s="1" t="n">
        <v>46319</v>
      </c>
      <c r="F1340" t="inlineStr">
        <is>
          <t>DALARNAS LÄN</t>
        </is>
      </c>
      <c r="G1340" t="inlineStr">
        <is>
          <t>ÄLVDALEN</t>
        </is>
      </c>
      <c r="H1340" t="inlineStr">
        <is>
          <t>Sveaskog</t>
        </is>
      </c>
      <c r="I1340" t="n">
        <v>2.7</v>
      </c>
      <c r="J1340" t="n">
        <v>0</v>
      </c>
      <c r="K1340" t="n">
        <v>0</v>
      </c>
      <c r="L1340" t="n">
        <v>1</v>
      </c>
      <c r="M1340" t="n">
        <v>0</v>
      </c>
      <c r="N1340" t="n">
        <v>0</v>
      </c>
      <c r="O1340" t="n">
        <v>0</v>
      </c>
      <c r="P1340" t="n">
        <v>0</v>
      </c>
      <c r="Q1340" t="n">
        <v>1</v>
      </c>
      <c r="R1340" t="n">
        <v>0</v>
      </c>
      <c r="S1340" t="n">
        <v>1</v>
      </c>
      <c r="T1340" t="n">
        <v>2</v>
      </c>
      <c r="U1340" t="n">
        <v>0</v>
      </c>
      <c r="V1340" s="2" t="inlineStr">
        <is>
          <t>Dropptaggsvamp</t>
        </is>
      </c>
      <c r="W1340">
        <f>HYPERLINK("https://klasma.github.io/Logging_2039/artfynd/A 27929-2025 artfynd.xlsx", "A 27929-2025")</f>
        <v/>
      </c>
      <c r="X1340">
        <f>HYPERLINK("https://klasma.github.io/Logging_2039/kartor/A 27929-2025 karta.png", "A 27929-2025")</f>
        <v/>
      </c>
      <c r="Y1340">
        <f>HYPERLINK("https://klasma.github.io/Logging_2039/kartor_geotiff/A 27929-2025 georefererad karta.tif", "A 27929-2025")</f>
        <v/>
      </c>
      <c r="AA1340">
        <f>HYPERLINK("https://klasma.github.io/Logging_2039/klagomål/A 27929-2025 FSC-klagomål.docx", "A 27929-2025")</f>
        <v/>
      </c>
      <c r="AB1340">
        <f>HYPERLINK("https://klasma.github.io/Logging_2039/klagomålsmail/A 27929-2025 FSC-klagomål mail.docx", "A 27929-2025")</f>
        <v/>
      </c>
      <c r="AC1340">
        <f>HYPERLINK("https://klasma.github.io/Logging_2039/tillsyn/A 27929-2025 tillsynsbegäran.docx", "A 27929-2025")</f>
        <v/>
      </c>
      <c r="AD1340">
        <f>HYPERLINK("https://klasma.github.io/Logging_2039/tillsynsmail/A 27929-2025 tillsynsbegäran mail.docx", "A 27929-2025")</f>
        <v/>
      </c>
    </row>
    <row r="1341" ht="15" customHeight="1">
      <c r="A1341" t="inlineStr">
        <is>
          <t>A 2943-2026</t>
        </is>
      </c>
      <c r="B1341" t="inlineStr">
        <is>
          <t>avverkningsanmälan</t>
        </is>
      </c>
      <c r="C1341" t="inlineStr">
        <is>
          <t>Föryngringsavverkning</t>
        </is>
      </c>
      <c r="D1341" s="1" t="n">
        <v>46038</v>
      </c>
      <c r="E1341" s="1" t="n">
        <v>46319</v>
      </c>
      <c r="F1341" t="inlineStr">
        <is>
          <t>DALARNAS LÄN</t>
        </is>
      </c>
      <c r="G1341" t="inlineStr">
        <is>
          <t>GAGNEF</t>
        </is>
      </c>
      <c r="I1341" t="n">
        <v>7.2</v>
      </c>
      <c r="J1341" t="n">
        <v>0</v>
      </c>
      <c r="K1341" t="n">
        <v>0</v>
      </c>
      <c r="L1341" t="n">
        <v>1</v>
      </c>
      <c r="M1341" t="n">
        <v>0</v>
      </c>
      <c r="N1341" t="n">
        <v>0</v>
      </c>
      <c r="O1341" t="n">
        <v>0</v>
      </c>
      <c r="P1341" t="n">
        <v>0</v>
      </c>
      <c r="Q1341" t="n">
        <v>1</v>
      </c>
      <c r="R1341" t="n">
        <v>0</v>
      </c>
      <c r="S1341" t="n">
        <v>1</v>
      </c>
      <c r="T1341" t="n">
        <v>1</v>
      </c>
      <c r="U1341" t="n">
        <v>0</v>
      </c>
      <c r="V1341" s="2" t="inlineStr">
        <is>
          <t>Tallticka</t>
        </is>
      </c>
      <c r="W1341">
        <f>HYPERLINK("https://klasma.github.io/Logging_2026/artfynd/A 2943-2026 artfynd.xlsx", "A 2943-2026")</f>
        <v/>
      </c>
      <c r="X1341">
        <f>HYPERLINK("https://klasma.github.io/Logging_2026/kartor/A 2943-2026 karta.png", "A 2943-2026")</f>
        <v/>
      </c>
      <c r="Y1341">
        <f>HYPERLINK("https://klasma.github.io/Logging_2026/kartor_geotiff/A 2943-2026 georefererad karta.tif", "A 2943-2026")</f>
        <v/>
      </c>
      <c r="AA1341">
        <f>HYPERLINK("https://klasma.github.io/Logging_2026/klagomål/A 2943-2026 FSC-klagomål.docx", "A 2943-2026")</f>
        <v/>
      </c>
      <c r="AB1341">
        <f>HYPERLINK("https://klasma.github.io/Logging_2026/klagomålsmail/A 2943-2026 FSC-klagomål mail.docx", "A 2943-2026")</f>
        <v/>
      </c>
      <c r="AC1341">
        <f>HYPERLINK("https://klasma.github.io/Logging_2026/tillsyn/A 2943-2026 tillsynsbegäran.docx", "A 2943-2026")</f>
        <v/>
      </c>
      <c r="AD1341">
        <f>HYPERLINK("https://klasma.github.io/Logging_2026/tillsynsmail/A 2943-2026 tillsynsbegäran mail.docx", "A 2943-2026")</f>
        <v/>
      </c>
    </row>
    <row r="1342" ht="15" customHeight="1">
      <c r="A1342" t="inlineStr">
        <is>
          <t>A 28183-2025</t>
        </is>
      </c>
      <c r="B1342" t="inlineStr">
        <is>
          <t>avverkningsanmälan</t>
        </is>
      </c>
      <c r="C1342" t="inlineStr">
        <is>
          <t>Föryngringsavverkning</t>
        </is>
      </c>
      <c r="D1342" s="1" t="n">
        <v>45818</v>
      </c>
      <c r="E1342" s="1" t="n">
        <v>46319</v>
      </c>
      <c r="F1342" t="inlineStr">
        <is>
          <t>DALARNAS LÄN</t>
        </is>
      </c>
      <c r="G1342" t="inlineStr">
        <is>
          <t>HEDEMORA</t>
        </is>
      </c>
      <c r="H1342" t="inlineStr">
        <is>
          <t>Sveaskog</t>
        </is>
      </c>
      <c r="I1342" t="n">
        <v>2.7</v>
      </c>
      <c r="J1342" t="n">
        <v>1</v>
      </c>
      <c r="K1342" t="n">
        <v>0</v>
      </c>
      <c r="L1342" t="n">
        <v>1</v>
      </c>
      <c r="M1342" t="n">
        <v>0</v>
      </c>
      <c r="N1342" t="n">
        <v>0</v>
      </c>
      <c r="O1342" t="n">
        <v>0</v>
      </c>
      <c r="P1342" t="n">
        <v>0</v>
      </c>
      <c r="Q1342" t="n">
        <v>1</v>
      </c>
      <c r="R1342" t="n">
        <v>0</v>
      </c>
      <c r="S1342" t="n">
        <v>1</v>
      </c>
      <c r="T1342" t="n">
        <v>1</v>
      </c>
      <c r="U1342" t="n">
        <v>0</v>
      </c>
      <c r="V1342" s="2" t="inlineStr">
        <is>
          <t>Brunlångöra</t>
        </is>
      </c>
      <c r="W1342">
        <f>HYPERLINK("https://klasma.github.io/Logging_2083/artfynd/A 28183-2025 artfynd.xlsx", "A 28183-2025")</f>
        <v/>
      </c>
      <c r="X1342">
        <f>HYPERLINK("https://klasma.github.io/Logging_2083/kartor/A 28183-2025 karta.png", "A 28183-2025")</f>
        <v/>
      </c>
      <c r="Y1342">
        <f>HYPERLINK("https://klasma.github.io/Logging_2083/kartor_geotiff/A 28183-2025 georefererad karta.tif", "A 28183-2025")</f>
        <v/>
      </c>
      <c r="AA1342">
        <f>HYPERLINK("https://klasma.github.io/Logging_2083/klagomål/A 28183-2025 FSC-klagomål.docx", "A 28183-2025")</f>
        <v/>
      </c>
      <c r="AB1342">
        <f>HYPERLINK("https://klasma.github.io/Logging_2083/klagomålsmail/A 28183-2025 FSC-klagomål mail.docx", "A 28183-2025")</f>
        <v/>
      </c>
      <c r="AC1342">
        <f>HYPERLINK("https://klasma.github.io/Logging_2083/tillsyn/A 28183-2025 tillsynsbegäran.docx", "A 28183-2025")</f>
        <v/>
      </c>
      <c r="AD1342">
        <f>HYPERLINK("https://klasma.github.io/Logging_2083/tillsynsmail/A 28183-2025 tillsynsbegäran mail.docx", "A 28183-2025")</f>
        <v/>
      </c>
    </row>
    <row r="1343" ht="15" customHeight="1">
      <c r="A1343" t="inlineStr">
        <is>
          <t>A 28679-2025</t>
        </is>
      </c>
      <c r="B1343" t="inlineStr">
        <is>
          <t>avverkningsanmälan</t>
        </is>
      </c>
      <c r="C1343" t="inlineStr">
        <is>
          <t>Föryngringsavverkning</t>
        </is>
      </c>
      <c r="D1343" s="1" t="n">
        <v>45819</v>
      </c>
      <c r="E1343" s="1" t="n">
        <v>46319</v>
      </c>
      <c r="F1343" t="inlineStr">
        <is>
          <t>DALARNAS LÄN</t>
        </is>
      </c>
      <c r="G1343" t="inlineStr">
        <is>
          <t>FALUN</t>
        </is>
      </c>
      <c r="H1343" t="inlineStr">
        <is>
          <t>Allmännings- och besparingsskogar</t>
        </is>
      </c>
      <c r="I1343" t="n">
        <v>11.3</v>
      </c>
      <c r="J1343" t="n">
        <v>0</v>
      </c>
      <c r="K1343" t="n">
        <v>0</v>
      </c>
      <c r="L1343" t="n">
        <v>0</v>
      </c>
      <c r="M1343" t="n">
        <v>1</v>
      </c>
      <c r="N1343" t="n">
        <v>0</v>
      </c>
      <c r="O1343" t="n">
        <v>0</v>
      </c>
      <c r="P1343" t="n">
        <v>0</v>
      </c>
      <c r="Q1343" t="n">
        <v>1</v>
      </c>
      <c r="R1343" t="n">
        <v>1</v>
      </c>
      <c r="S1343" t="n">
        <v>1</v>
      </c>
      <c r="T1343" t="n">
        <v>1</v>
      </c>
      <c r="U1343" t="n">
        <v>0</v>
      </c>
      <c r="V1343" s="2" t="inlineStr">
        <is>
          <t>Garnlav</t>
        </is>
      </c>
      <c r="W1343">
        <f>HYPERLINK("https://klasma.github.io/Logging_2080/artfynd/A 28679-2025 artfynd.xlsx", "A 28679-2025")</f>
        <v/>
      </c>
      <c r="X1343">
        <f>HYPERLINK("https://klasma.github.io/Logging_2080/kartor/A 28679-2025 karta.png", "A 28679-2025")</f>
        <v/>
      </c>
      <c r="Y1343">
        <f>HYPERLINK("https://klasma.github.io/Logging_2080/kartor_geotiff/A 28679-2025 georefererad karta.tif", "A 28679-2025")</f>
        <v/>
      </c>
      <c r="AA1343">
        <f>HYPERLINK("https://klasma.github.io/Logging_2080/klagomål/A 28679-2025 FSC-klagomål.docx", "A 28679-2025")</f>
        <v/>
      </c>
      <c r="AB1343">
        <f>HYPERLINK("https://klasma.github.io/Logging_2080/klagomålsmail/A 28679-2025 FSC-klagomål mail.docx", "A 28679-2025")</f>
        <v/>
      </c>
      <c r="AC1343">
        <f>HYPERLINK("https://klasma.github.io/Logging_2080/tillsyn/A 28679-2025 tillsynsbegäran.docx", "A 28679-2025")</f>
        <v/>
      </c>
      <c r="AD1343">
        <f>HYPERLINK("https://klasma.github.io/Logging_2080/tillsynsmail/A 28679-2025 tillsynsbegäran mail.docx", "A 28679-2025")</f>
        <v/>
      </c>
    </row>
    <row r="1344" ht="15" customHeight="1">
      <c r="A1344" t="inlineStr">
        <is>
          <t>A 33560-2026</t>
        </is>
      </c>
      <c r="B1344" t="inlineStr">
        <is>
          <t>avverkningsanmälan</t>
        </is>
      </c>
      <c r="C1344" t="inlineStr">
        <is>
          <t>Föryngringsavverkning</t>
        </is>
      </c>
      <c r="D1344" s="1" t="n">
        <v>46248</v>
      </c>
      <c r="E1344" s="1" t="n">
        <v>46319</v>
      </c>
      <c r="F1344" t="inlineStr">
        <is>
          <t>DALARNAS LÄN</t>
        </is>
      </c>
      <c r="G1344" t="inlineStr">
        <is>
          <t>ÄLVDALEN</t>
        </is>
      </c>
      <c r="H1344" t="inlineStr">
        <is>
          <t>Bergvik skog väst AB</t>
        </is>
      </c>
      <c r="I1344" t="n">
        <v>7.1</v>
      </c>
      <c r="J1344" t="n">
        <v>0</v>
      </c>
      <c r="K1344" t="n">
        <v>0</v>
      </c>
      <c r="L1344" t="n">
        <v>0</v>
      </c>
      <c r="M1344" t="n">
        <v>1</v>
      </c>
      <c r="N1344" t="n">
        <v>0</v>
      </c>
      <c r="O1344" t="n">
        <v>0</v>
      </c>
      <c r="P1344" t="n">
        <v>0</v>
      </c>
      <c r="Q1344" t="n">
        <v>1</v>
      </c>
      <c r="R1344" t="n">
        <v>1</v>
      </c>
      <c r="S1344" t="n">
        <v>1</v>
      </c>
      <c r="T1344" t="n">
        <v>1</v>
      </c>
      <c r="U1344" t="n">
        <v>0</v>
      </c>
      <c r="V1344" s="2" t="inlineStr">
        <is>
          <t>Garnlav</t>
        </is>
      </c>
      <c r="W1344">
        <f>HYPERLINK("https://klasma.github.io/Logging_2039/artfynd/A 33560-2026 artfynd.xlsx", "A 33560-2026")</f>
        <v/>
      </c>
      <c r="X1344">
        <f>HYPERLINK("https://klasma.github.io/Logging_2039/kartor/A 33560-2026 karta.png", "A 33560-2026")</f>
        <v/>
      </c>
      <c r="Y1344">
        <f>HYPERLINK("https://klasma.github.io/Logging_2039/kartor_geotiff/A 33560-2026 georefererad karta.tif", "A 33560-2026")</f>
        <v/>
      </c>
      <c r="AA1344">
        <f>HYPERLINK("https://klasma.github.io/Logging_2039/klagomål/A 33560-2026 FSC-klagomål.docx", "A 33560-2026")</f>
        <v/>
      </c>
      <c r="AB1344">
        <f>HYPERLINK("https://klasma.github.io/Logging_2039/klagomålsmail/A 33560-2026 FSC-klagomål mail.docx", "A 33560-2026")</f>
        <v/>
      </c>
      <c r="AC1344">
        <f>HYPERLINK("https://klasma.github.io/Logging_2039/tillsyn/A 33560-2026 tillsynsbegäran.docx", "A 33560-2026")</f>
        <v/>
      </c>
      <c r="AD1344">
        <f>HYPERLINK("https://klasma.github.io/Logging_2039/tillsynsmail/A 33560-2026 tillsynsbegäran mail.docx", "A 33560-2026")</f>
        <v/>
      </c>
    </row>
    <row r="1345" ht="15" customHeight="1">
      <c r="A1345" t="inlineStr">
        <is>
          <t>A 7928-2023</t>
        </is>
      </c>
      <c r="B1345" t="inlineStr">
        <is>
          <t>avverkningsanmälan</t>
        </is>
      </c>
      <c r="C1345" t="inlineStr">
        <is>
          <t>Föryngringsavverkning</t>
        </is>
      </c>
      <c r="D1345" s="1" t="n">
        <v>44973</v>
      </c>
      <c r="E1345" s="1" t="n">
        <v>46319</v>
      </c>
      <c r="F1345" t="inlineStr">
        <is>
          <t>DALARNAS LÄN</t>
        </is>
      </c>
      <c r="G1345" t="inlineStr">
        <is>
          <t>LEKSAND</t>
        </is>
      </c>
      <c r="I1345" t="n">
        <v>1.9</v>
      </c>
      <c r="J1345" t="n">
        <v>0</v>
      </c>
      <c r="K1345" t="n">
        <v>0</v>
      </c>
      <c r="L1345" t="n">
        <v>1</v>
      </c>
      <c r="M1345" t="n">
        <v>0</v>
      </c>
      <c r="N1345" t="n">
        <v>0</v>
      </c>
      <c r="O1345" t="n">
        <v>0</v>
      </c>
      <c r="P1345" t="n">
        <v>0</v>
      </c>
      <c r="Q1345" t="n">
        <v>1</v>
      </c>
      <c r="R1345" t="n">
        <v>0</v>
      </c>
      <c r="S1345" t="n">
        <v>1</v>
      </c>
      <c r="T1345" t="n">
        <v>1</v>
      </c>
      <c r="U1345" t="n">
        <v>0</v>
      </c>
      <c r="V1345" s="2" t="inlineStr">
        <is>
          <t>Grantaggsvamp</t>
        </is>
      </c>
      <c r="W1345">
        <f>HYPERLINK("https://klasma.github.io/Logging_2029/artfynd/A 7928-2023 artfynd.xlsx", "A 7928-2023")</f>
        <v/>
      </c>
      <c r="X1345">
        <f>HYPERLINK("https://klasma.github.io/Logging_2029/kartor/A 7928-2023 karta.png", "A 7928-2023")</f>
        <v/>
      </c>
      <c r="Y1345">
        <f>HYPERLINK("https://klasma.github.io/Logging_2029/kartor_geotiff/A 7928-2023 georefererad karta.tif", "A 7928-2023")</f>
        <v/>
      </c>
      <c r="AA1345">
        <f>HYPERLINK("https://klasma.github.io/Logging_2029/klagomål/A 7928-2023 FSC-klagomål.docx", "A 7928-2023")</f>
        <v/>
      </c>
      <c r="AB1345">
        <f>HYPERLINK("https://klasma.github.io/Logging_2029/klagomålsmail/A 7928-2023 FSC-klagomål mail.docx", "A 7928-2023")</f>
        <v/>
      </c>
      <c r="AC1345">
        <f>HYPERLINK("https://klasma.github.io/Logging_2029/tillsyn/A 7928-2023 tillsynsbegäran.docx", "A 7928-2023")</f>
        <v/>
      </c>
      <c r="AD1345">
        <f>HYPERLINK("https://klasma.github.io/Logging_2029/tillsynsmail/A 7928-2023 tillsynsbegäran mail.docx", "A 7928-2023")</f>
        <v/>
      </c>
    </row>
    <row r="1346" ht="15" customHeight="1">
      <c r="A1346" t="inlineStr">
        <is>
          <t>A 40692-2026</t>
        </is>
      </c>
      <c r="B1346" t="inlineStr">
        <is>
          <t>avverkningsanmälan</t>
        </is>
      </c>
      <c r="C1346" t="inlineStr">
        <is>
          <t>Föryngringsavverkning</t>
        </is>
      </c>
      <c r="D1346" s="1" t="n">
        <v>46296</v>
      </c>
      <c r="E1346" s="1" t="n">
        <v>46319</v>
      </c>
      <c r="F1346" t="inlineStr">
        <is>
          <t>DALARNAS LÄN</t>
        </is>
      </c>
      <c r="G1346" t="inlineStr">
        <is>
          <t>HEDEMORA</t>
        </is>
      </c>
      <c r="H1346" t="inlineStr">
        <is>
          <t>Sveaskog</t>
        </is>
      </c>
      <c r="I1346" t="n">
        <v>1</v>
      </c>
      <c r="J1346" t="n">
        <v>1</v>
      </c>
      <c r="K1346" t="n">
        <v>1</v>
      </c>
      <c r="L1346" t="n">
        <v>0</v>
      </c>
      <c r="M1346" t="n">
        <v>0</v>
      </c>
      <c r="N1346" t="n">
        <v>0</v>
      </c>
      <c r="O1346" t="n">
        <v>0</v>
      </c>
      <c r="P1346" t="n">
        <v>0</v>
      </c>
      <c r="Q1346" t="n">
        <v>0</v>
      </c>
      <c r="R1346" t="n">
        <v>0</v>
      </c>
      <c r="S1346" t="n">
        <v>1</v>
      </c>
      <c r="T1346" t="n">
        <v>1</v>
      </c>
      <c r="U1346" t="n">
        <v>1</v>
      </c>
      <c r="V1346" s="2" t="inlineStr">
        <is>
          <t>Plattlummer</t>
        </is>
      </c>
      <c r="W1346">
        <f>HYPERLINK("https://klasma.github.io/Logging_2083/artfynd/A 40692-2026 artfynd.xlsx", "A 40692-2026")</f>
        <v/>
      </c>
      <c r="X1346">
        <f>HYPERLINK("https://klasma.github.io/Logging_2083/kartor/A 40692-2026 karta.png", "A 40692-2026")</f>
        <v/>
      </c>
      <c r="Y1346">
        <f>HYPERLINK("https://klasma.github.io/Logging_2083/kartor_geotiff/A 40692-2026 georefererad karta.tif", "A 40692-2026")</f>
        <v/>
      </c>
      <c r="AA1346">
        <f>HYPERLINK("https://klasma.github.io/Logging_2083/klagomål/A 40692-2026 FSC-klagomål.docx", "A 40692-2026")</f>
        <v/>
      </c>
      <c r="AB1346">
        <f>HYPERLINK("https://klasma.github.io/Logging_2083/klagomålsmail/A 40692-2026 FSC-klagomål mail.docx", "A 40692-2026")</f>
        <v/>
      </c>
      <c r="AC1346">
        <f>HYPERLINK("https://klasma.github.io/Logging_2083/tillsyn/A 40692-2026 tillsynsbegäran.docx", "A 40692-2026")</f>
        <v/>
      </c>
      <c r="AD1346">
        <f>HYPERLINK("https://klasma.github.io/Logging_2083/tillsynsmail/A 40692-2026 tillsynsbegäran mail.docx", "A 40692-2026")</f>
        <v/>
      </c>
    </row>
    <row r="1347" ht="15" customHeight="1">
      <c r="A1347" t="inlineStr">
        <is>
          <t>A 56786-2024</t>
        </is>
      </c>
      <c r="B1347" t="inlineStr">
        <is>
          <t>avverkningsanmälan</t>
        </is>
      </c>
      <c r="C1347" t="inlineStr">
        <is>
          <t>Föryngringsavverkning</t>
        </is>
      </c>
      <c r="D1347" s="1" t="n">
        <v>45628</v>
      </c>
      <c r="E1347" s="1" t="n">
        <v>46319</v>
      </c>
      <c r="F1347" t="inlineStr">
        <is>
          <t>DALARNAS LÄN</t>
        </is>
      </c>
      <c r="G1347" t="inlineStr">
        <is>
          <t>AVESTA</t>
        </is>
      </c>
      <c r="I1347" t="n">
        <v>4.7</v>
      </c>
      <c r="J1347" t="n">
        <v>1</v>
      </c>
      <c r="K1347" t="n">
        <v>0</v>
      </c>
      <c r="L1347" t="n">
        <v>0</v>
      </c>
      <c r="M1347" t="n">
        <v>1</v>
      </c>
      <c r="N1347" t="n">
        <v>0</v>
      </c>
      <c r="O1347" t="n">
        <v>0</v>
      </c>
      <c r="P1347" t="n">
        <v>0</v>
      </c>
      <c r="Q1347" t="n">
        <v>1</v>
      </c>
      <c r="R1347" t="n">
        <v>1</v>
      </c>
      <c r="S1347" t="n">
        <v>1</v>
      </c>
      <c r="T1347" t="n">
        <v>2</v>
      </c>
      <c r="U1347" t="n">
        <v>0</v>
      </c>
      <c r="V1347" s="2" t="inlineStr">
        <is>
          <t>Knärot</t>
        </is>
      </c>
      <c r="W1347">
        <f>HYPERLINK("https://klasma.github.io/Logging_2084/artfynd/A 56786-2024 artfynd.xlsx", "A 56786-2024")</f>
        <v/>
      </c>
      <c r="X1347">
        <f>HYPERLINK("https://klasma.github.io/Logging_2084/kartor/A 56786-2024 karta.png", "A 56786-2024")</f>
        <v/>
      </c>
      <c r="Y1347">
        <f>HYPERLINK("https://klasma.github.io/Logging_2084/kartor_geotiff/A 56786-2024 georefererad karta.tif", "A 56786-2024")</f>
        <v/>
      </c>
      <c r="Z1347">
        <f>HYPERLINK("https://klasma.github.io/Logging_2084/knärot/A 56786-2024 karta knärot.png", "A 56786-2024")</f>
        <v/>
      </c>
      <c r="AA1347">
        <f>HYPERLINK("https://klasma.github.io/Logging_2084/klagomål/A 56786-2024 FSC-klagomål.docx", "A 56786-2024")</f>
        <v/>
      </c>
      <c r="AB1347">
        <f>HYPERLINK("https://klasma.github.io/Logging_2084/klagomålsmail/A 56786-2024 FSC-klagomål mail.docx", "A 56786-2024")</f>
        <v/>
      </c>
      <c r="AC1347">
        <f>HYPERLINK("https://klasma.github.io/Logging_2084/tillsyn/A 56786-2024 tillsynsbegäran.docx", "A 56786-2024")</f>
        <v/>
      </c>
      <c r="AD1347">
        <f>HYPERLINK("https://klasma.github.io/Logging_2084/tillsynsmail/A 56786-2024 tillsynsbegäran mail.docx", "A 56786-2024")</f>
        <v/>
      </c>
    </row>
    <row r="1348" ht="15" customHeight="1">
      <c r="A1348" t="inlineStr">
        <is>
          <t>A 60446-2025</t>
        </is>
      </c>
      <c r="B1348" t="inlineStr">
        <is>
          <t>avverkningsanmälan</t>
        </is>
      </c>
      <c r="C1348" t="inlineStr">
        <is>
          <t>Avverkning för att bevara och utveckla /försöksver</t>
        </is>
      </c>
      <c r="D1348" s="1" t="n">
        <v>45995</v>
      </c>
      <c r="E1348" s="1" t="n">
        <v>46319</v>
      </c>
      <c r="F1348" t="inlineStr">
        <is>
          <t>DALARNAS LÄN</t>
        </is>
      </c>
      <c r="G1348" t="inlineStr">
        <is>
          <t>AVESTA</t>
        </is>
      </c>
      <c r="H1348" t="inlineStr">
        <is>
          <t>Sveaskog</t>
        </is>
      </c>
      <c r="I1348" t="n">
        <v>1.9</v>
      </c>
      <c r="J1348" t="n">
        <v>0</v>
      </c>
      <c r="K1348" t="n">
        <v>0</v>
      </c>
      <c r="L1348" t="n">
        <v>1</v>
      </c>
      <c r="M1348" t="n">
        <v>0</v>
      </c>
      <c r="N1348" t="n">
        <v>0</v>
      </c>
      <c r="O1348" t="n">
        <v>0</v>
      </c>
      <c r="P1348" t="n">
        <v>0</v>
      </c>
      <c r="Q1348" t="n">
        <v>1</v>
      </c>
      <c r="R1348" t="n">
        <v>0</v>
      </c>
      <c r="S1348" t="n">
        <v>1</v>
      </c>
      <c r="T1348" t="n">
        <v>1</v>
      </c>
      <c r="U1348" t="n">
        <v>0</v>
      </c>
      <c r="V1348" s="2" t="inlineStr">
        <is>
          <t>Ullticka</t>
        </is>
      </c>
      <c r="W1348">
        <f>HYPERLINK("https://klasma.github.io/Logging_2084/artfynd/A 60446-2025 artfynd.xlsx", "A 60446-2025")</f>
        <v/>
      </c>
      <c r="X1348">
        <f>HYPERLINK("https://klasma.github.io/Logging_2084/kartor/A 60446-2025 karta.png", "A 60446-2025")</f>
        <v/>
      </c>
      <c r="Y1348">
        <f>HYPERLINK("https://klasma.github.io/Logging_2084/kartor_geotiff/A 60446-2025 georefererad karta.tif", "A 60446-2025")</f>
        <v/>
      </c>
      <c r="AA1348">
        <f>HYPERLINK("https://klasma.github.io/Logging_2084/klagomål/A 60446-2025 FSC-klagomål.docx", "A 60446-2025")</f>
        <v/>
      </c>
      <c r="AB1348">
        <f>HYPERLINK("https://klasma.github.io/Logging_2084/klagomålsmail/A 60446-2025 FSC-klagomål mail.docx", "A 60446-2025")</f>
        <v/>
      </c>
      <c r="AC1348">
        <f>HYPERLINK("https://klasma.github.io/Logging_2084/tillsyn/A 60446-2025 tillsynsbegäran.docx", "A 60446-2025")</f>
        <v/>
      </c>
      <c r="AD1348">
        <f>HYPERLINK("https://klasma.github.io/Logging_2084/tillsynsmail/A 60446-2025 tillsynsbegäran mail.docx", "A 60446-2025")</f>
        <v/>
      </c>
    </row>
    <row r="1349" ht="15" customHeight="1">
      <c r="A1349" t="inlineStr">
        <is>
          <t>A 40845-2026</t>
        </is>
      </c>
      <c r="B1349" t="inlineStr">
        <is>
          <t>avverkningsanmälan</t>
        </is>
      </c>
      <c r="C1349" t="inlineStr">
        <is>
          <t>Föryngringsavverkning</t>
        </is>
      </c>
      <c r="D1349" s="1" t="n">
        <v>46296</v>
      </c>
      <c r="E1349" s="1" t="n">
        <v>46319</v>
      </c>
      <c r="F1349" t="inlineStr">
        <is>
          <t>DALARNAS LÄN</t>
        </is>
      </c>
      <c r="G1349" t="inlineStr">
        <is>
          <t>RÄTTVIK</t>
        </is>
      </c>
      <c r="H1349" t="inlineStr">
        <is>
          <t>Sveaskog</t>
        </is>
      </c>
      <c r="I1349" t="n">
        <v>17.8</v>
      </c>
      <c r="J1349" t="n">
        <v>0</v>
      </c>
      <c r="K1349" t="n">
        <v>0</v>
      </c>
      <c r="L1349" t="n">
        <v>1</v>
      </c>
      <c r="M1349" t="n">
        <v>0</v>
      </c>
      <c r="N1349" t="n">
        <v>0</v>
      </c>
      <c r="O1349" t="n">
        <v>0</v>
      </c>
      <c r="P1349" t="n">
        <v>0</v>
      </c>
      <c r="Q1349" t="n">
        <v>1</v>
      </c>
      <c r="R1349" t="n">
        <v>0</v>
      </c>
      <c r="S1349" t="n">
        <v>1</v>
      </c>
      <c r="T1349" t="n">
        <v>1</v>
      </c>
      <c r="U1349" t="n">
        <v>1</v>
      </c>
      <c r="V1349" s="2" t="inlineStr">
        <is>
          <t>Kolflarnlav</t>
        </is>
      </c>
      <c r="W1349">
        <f>HYPERLINK("https://klasma.github.io/Logging_2031/artfynd/A 40845-2026 artfynd.xlsx", "A 40845-2026")</f>
        <v/>
      </c>
      <c r="X1349">
        <f>HYPERLINK("https://klasma.github.io/Logging_2031/kartor/A 40845-2026 karta.png", "A 40845-2026")</f>
        <v/>
      </c>
      <c r="Y1349">
        <f>HYPERLINK("https://klasma.github.io/Logging_2031/kartor_geotiff/A 40845-2026 georefererad karta.tif", "A 40845-2026")</f>
        <v/>
      </c>
      <c r="AA1349">
        <f>HYPERLINK("https://klasma.github.io/Logging_2031/klagomål/A 40845-2026 FSC-klagomål.docx", "A 40845-2026")</f>
        <v/>
      </c>
      <c r="AB1349">
        <f>HYPERLINK("https://klasma.github.io/Logging_2031/klagomålsmail/A 40845-2026 FSC-klagomål mail.docx", "A 40845-2026")</f>
        <v/>
      </c>
      <c r="AC1349">
        <f>HYPERLINK("https://klasma.github.io/Logging_2031/tillsyn/A 40845-2026 tillsynsbegäran.docx", "A 40845-2026")</f>
        <v/>
      </c>
      <c r="AD1349">
        <f>HYPERLINK("https://klasma.github.io/Logging_2031/tillsynsmail/A 40845-2026 tillsynsbegäran mail.docx", "A 40845-2026")</f>
        <v/>
      </c>
    </row>
    <row r="1350" ht="15" customHeight="1">
      <c r="A1350" t="inlineStr">
        <is>
          <t>A 11038-2026</t>
        </is>
      </c>
      <c r="B1350" t="inlineStr">
        <is>
          <t>avverkningsanmälan</t>
        </is>
      </c>
      <c r="C1350" t="inlineStr">
        <is>
          <t>Föryngringsavverkning</t>
        </is>
      </c>
      <c r="D1350" s="1" t="n">
        <v>46079</v>
      </c>
      <c r="E1350" s="1" t="n">
        <v>46319</v>
      </c>
      <c r="F1350" t="inlineStr">
        <is>
          <t>DALARNAS LÄN</t>
        </is>
      </c>
      <c r="G1350" t="inlineStr">
        <is>
          <t>FALUN</t>
        </is>
      </c>
      <c r="I1350" t="n">
        <v>2</v>
      </c>
      <c r="J1350" t="n">
        <v>1</v>
      </c>
      <c r="K1350" t="n">
        <v>0</v>
      </c>
      <c r="L1350" t="n">
        <v>0</v>
      </c>
      <c r="M1350" t="n">
        <v>0</v>
      </c>
      <c r="N1350" t="n">
        <v>0</v>
      </c>
      <c r="O1350" t="n">
        <v>0</v>
      </c>
      <c r="P1350" t="n">
        <v>0</v>
      </c>
      <c r="Q1350" t="n">
        <v>0</v>
      </c>
      <c r="R1350" t="n">
        <v>0</v>
      </c>
      <c r="S1350" t="n">
        <v>1</v>
      </c>
      <c r="T1350" t="n">
        <v>1</v>
      </c>
      <c r="U1350" t="n">
        <v>0</v>
      </c>
      <c r="V1350" s="2" t="inlineStr">
        <is>
          <t>Utter</t>
        </is>
      </c>
      <c r="W1350">
        <f>HYPERLINK("https://klasma.github.io/Logging_2080/artfynd/A 11038-2026 artfynd.xlsx", "A 11038-2026")</f>
        <v/>
      </c>
      <c r="X1350">
        <f>HYPERLINK("https://klasma.github.io/Logging_2080/kartor/A 11038-2026 karta.png", "A 11038-2026")</f>
        <v/>
      </c>
      <c r="Y1350">
        <f>HYPERLINK("https://klasma.github.io/Logging_2080/kartor_geotiff/A 11038-2026 georefererad karta.tif", "A 11038-2026")</f>
        <v/>
      </c>
      <c r="AA1350">
        <f>HYPERLINK("https://klasma.github.io/Logging_2080/klagomål/A 11038-2026 FSC-klagomål.docx", "A 11038-2026")</f>
        <v/>
      </c>
      <c r="AB1350">
        <f>HYPERLINK("https://klasma.github.io/Logging_2080/klagomålsmail/A 11038-2026 FSC-klagomål mail.docx", "A 11038-2026")</f>
        <v/>
      </c>
      <c r="AC1350">
        <f>HYPERLINK("https://klasma.github.io/Logging_2080/tillsyn/A 11038-2026 tillsynsbegäran.docx", "A 11038-2026")</f>
        <v/>
      </c>
      <c r="AD1350">
        <f>HYPERLINK("https://klasma.github.io/Logging_2080/tillsynsmail/A 11038-2026 tillsynsbegäran mail.docx", "A 11038-2026")</f>
        <v/>
      </c>
    </row>
    <row r="1351" ht="15" customHeight="1">
      <c r="A1351" t="inlineStr">
        <is>
          <t>A 30087-2025</t>
        </is>
      </c>
      <c r="B1351" t="inlineStr">
        <is>
          <t>avverkningsanmälan</t>
        </is>
      </c>
      <c r="C1351" t="inlineStr">
        <is>
          <t>Föryngringsavverkning</t>
        </is>
      </c>
      <c r="D1351" s="1" t="n">
        <v>45826</v>
      </c>
      <c r="E1351" s="1" t="n">
        <v>46319</v>
      </c>
      <c r="F1351" t="inlineStr">
        <is>
          <t>DALARNAS LÄN</t>
        </is>
      </c>
      <c r="G1351" t="inlineStr">
        <is>
          <t>MORA</t>
        </is>
      </c>
      <c r="I1351" t="n">
        <v>1.6</v>
      </c>
      <c r="J1351" t="n">
        <v>1</v>
      </c>
      <c r="K1351" t="n">
        <v>0</v>
      </c>
      <c r="L1351" t="n">
        <v>0</v>
      </c>
      <c r="M1351" t="n">
        <v>0</v>
      </c>
      <c r="N1351" t="n">
        <v>0</v>
      </c>
      <c r="O1351" t="n">
        <v>0</v>
      </c>
      <c r="P1351" t="n">
        <v>0</v>
      </c>
      <c r="Q1351" t="n">
        <v>0</v>
      </c>
      <c r="R1351" t="n">
        <v>0</v>
      </c>
      <c r="S1351" t="n">
        <v>1</v>
      </c>
      <c r="T1351" t="n">
        <v>1</v>
      </c>
      <c r="U1351" t="n">
        <v>1</v>
      </c>
      <c r="V1351" s="2" t="inlineStr">
        <is>
          <t>Slaguggla</t>
        </is>
      </c>
      <c r="W1351">
        <f>HYPERLINK("https://klasma.github.io/Logging_2062/artfynd/A 30087-2025 artfynd.xlsx", "A 30087-2025")</f>
        <v/>
      </c>
      <c r="X1351">
        <f>HYPERLINK("https://klasma.github.io/Logging_2062/kartor/A 30087-2025 karta.png", "A 30087-2025")</f>
        <v/>
      </c>
      <c r="Y1351">
        <f>HYPERLINK("https://klasma.github.io/Logging_2062/kartor_geotiff/A 30087-2025 georefererad karta.tif", "A 30087-2025")</f>
        <v/>
      </c>
      <c r="AA1351">
        <f>HYPERLINK("https://klasma.github.io/Logging_2062/klagomål/A 30087-2025 FSC-klagomål.docx", "A 30087-2025")</f>
        <v/>
      </c>
      <c r="AB1351">
        <f>HYPERLINK("https://klasma.github.io/Logging_2062/klagomålsmail/A 30087-2025 FSC-klagomål mail.docx", "A 30087-2025")</f>
        <v/>
      </c>
      <c r="AC1351">
        <f>HYPERLINK("https://klasma.github.io/Logging_2062/tillsyn/A 30087-2025 tillsynsbegäran.docx", "A 30087-2025")</f>
        <v/>
      </c>
      <c r="AD1351">
        <f>HYPERLINK("https://klasma.github.io/Logging_2062/tillsynsmail/A 30087-2025 tillsynsbegäran mail.docx", "A 30087-2025")</f>
        <v/>
      </c>
      <c r="AE1351">
        <f>HYPERLINK("https://klasma.github.io/Logging_2062/fåglar/A 30087-2025 prioriterade fågelarter.docx", "A 30087-2025")</f>
        <v/>
      </c>
    </row>
    <row r="1352" ht="15" customHeight="1">
      <c r="A1352" t="inlineStr">
        <is>
          <t>A 41172-2026</t>
        </is>
      </c>
      <c r="B1352" t="inlineStr">
        <is>
          <t>avverkningsanmälan</t>
        </is>
      </c>
      <c r="C1352" t="inlineStr">
        <is>
          <t>Föryngringsavverkning</t>
        </is>
      </c>
      <c r="D1352" s="1" t="n">
        <v>46300</v>
      </c>
      <c r="E1352" s="1" t="n">
        <v>46319</v>
      </c>
      <c r="F1352" t="inlineStr">
        <is>
          <t>DALARNAS LÄN</t>
        </is>
      </c>
      <c r="G1352" t="inlineStr">
        <is>
          <t>HEDEMORA</t>
        </is>
      </c>
      <c r="I1352" t="n">
        <v>6.6</v>
      </c>
      <c r="J1352" t="n">
        <v>0</v>
      </c>
      <c r="K1352" t="n">
        <v>0</v>
      </c>
      <c r="L1352" t="n">
        <v>0</v>
      </c>
      <c r="M1352" t="n">
        <v>0</v>
      </c>
      <c r="N1352" t="n">
        <v>0</v>
      </c>
      <c r="O1352" t="n">
        <v>0</v>
      </c>
      <c r="P1352" t="n">
        <v>0</v>
      </c>
      <c r="Q1352" t="n">
        <v>0</v>
      </c>
      <c r="R1352" t="n">
        <v>0</v>
      </c>
      <c r="S1352" t="n">
        <v>1</v>
      </c>
      <c r="T1352" t="n">
        <v>1</v>
      </c>
      <c r="U1352" t="n">
        <v>1</v>
      </c>
      <c r="V1352" s="2" t="inlineStr">
        <is>
          <t>Kransmossa</t>
        </is>
      </c>
      <c r="W1352">
        <f>HYPERLINK("https://klasma.github.io/Logging_2083/artfynd/A 41172-2026 artfynd.xlsx", "A 41172-2026")</f>
        <v/>
      </c>
      <c r="X1352">
        <f>HYPERLINK("https://klasma.github.io/Logging_2083/kartor/A 41172-2026 karta.png", "A 41172-2026")</f>
        <v/>
      </c>
      <c r="Y1352">
        <f>HYPERLINK("https://klasma.github.io/Logging_2083/kartor_geotiff/A 41172-2026 georefererad karta.tif", "A 41172-2026")</f>
        <v/>
      </c>
      <c r="AA1352">
        <f>HYPERLINK("https://klasma.github.io/Logging_2083/klagomål/A 41172-2026 FSC-klagomål.docx", "A 41172-2026")</f>
        <v/>
      </c>
      <c r="AB1352">
        <f>HYPERLINK("https://klasma.github.io/Logging_2083/klagomålsmail/A 41172-2026 FSC-klagomål mail.docx", "A 41172-2026")</f>
        <v/>
      </c>
      <c r="AC1352">
        <f>HYPERLINK("https://klasma.github.io/Logging_2083/tillsyn/A 41172-2026 tillsynsbegäran.docx", "A 41172-2026")</f>
        <v/>
      </c>
      <c r="AD1352">
        <f>HYPERLINK("https://klasma.github.io/Logging_2083/tillsynsmail/A 41172-2026 tillsynsbegäran mail.docx", "A 41172-2026")</f>
        <v/>
      </c>
    </row>
    <row r="1353" ht="15" customHeight="1">
      <c r="A1353" t="inlineStr">
        <is>
          <t>A 12257-2026</t>
        </is>
      </c>
      <c r="B1353" t="inlineStr">
        <is>
          <t>avverkningsanmälan</t>
        </is>
      </c>
      <c r="C1353" t="inlineStr">
        <is>
          <t>Föryngringsavverkning</t>
        </is>
      </c>
      <c r="D1353" s="1" t="n">
        <v>46087</v>
      </c>
      <c r="E1353" s="1" t="n">
        <v>46319</v>
      </c>
      <c r="F1353" t="inlineStr">
        <is>
          <t>DALARNAS LÄN</t>
        </is>
      </c>
      <c r="G1353" t="inlineStr">
        <is>
          <t>FALUN</t>
        </is>
      </c>
      <c r="I1353" t="n">
        <v>1.6</v>
      </c>
      <c r="J1353" t="n">
        <v>1</v>
      </c>
      <c r="K1353" t="n">
        <v>0</v>
      </c>
      <c r="L1353" t="n">
        <v>1</v>
      </c>
      <c r="M1353" t="n">
        <v>0</v>
      </c>
      <c r="N1353" t="n">
        <v>0</v>
      </c>
      <c r="O1353" t="n">
        <v>0</v>
      </c>
      <c r="P1353" t="n">
        <v>0</v>
      </c>
      <c r="Q1353" t="n">
        <v>1</v>
      </c>
      <c r="R1353" t="n">
        <v>0</v>
      </c>
      <c r="S1353" t="n">
        <v>1</v>
      </c>
      <c r="T1353" t="n">
        <v>1</v>
      </c>
      <c r="U1353" t="n">
        <v>0</v>
      </c>
      <c r="V1353" s="2" t="inlineStr">
        <is>
          <t>Sparvuggla</t>
        </is>
      </c>
      <c r="W1353">
        <f>HYPERLINK("https://klasma.github.io/Logging_2080/artfynd/A 12257-2026 artfynd.xlsx", "A 12257-2026")</f>
        <v/>
      </c>
      <c r="X1353">
        <f>HYPERLINK("https://klasma.github.io/Logging_2080/kartor/A 12257-2026 karta.png", "A 12257-2026")</f>
        <v/>
      </c>
      <c r="Y1353">
        <f>HYPERLINK("https://klasma.github.io/Logging_2080/kartor_geotiff/A 12257-2026 georefererad karta.tif", "A 12257-2026")</f>
        <v/>
      </c>
      <c r="AA1353">
        <f>HYPERLINK("https://klasma.github.io/Logging_2080/klagomål/A 12257-2026 FSC-klagomål.docx", "A 12257-2026")</f>
        <v/>
      </c>
      <c r="AB1353">
        <f>HYPERLINK("https://klasma.github.io/Logging_2080/klagomålsmail/A 12257-2026 FSC-klagomål mail.docx", "A 12257-2026")</f>
        <v/>
      </c>
      <c r="AC1353">
        <f>HYPERLINK("https://klasma.github.io/Logging_2080/tillsyn/A 12257-2026 tillsynsbegäran.docx", "A 12257-2026")</f>
        <v/>
      </c>
      <c r="AD1353">
        <f>HYPERLINK("https://klasma.github.io/Logging_2080/tillsynsmail/A 12257-2026 tillsynsbegäran mail.docx", "A 12257-2026")</f>
        <v/>
      </c>
      <c r="AE1353">
        <f>HYPERLINK("https://klasma.github.io/Logging_2080/fåglar/A 12257-2026 prioriterade fågelarter.docx", "A 12257-2026")</f>
        <v/>
      </c>
    </row>
    <row r="1354" ht="15" customHeight="1">
      <c r="A1354" t="inlineStr">
        <is>
          <t>A 12391-2026</t>
        </is>
      </c>
      <c r="B1354" t="inlineStr">
        <is>
          <t>avverkningsanmälan</t>
        </is>
      </c>
      <c r="C1354" t="inlineStr">
        <is>
          <t>Föryngringsavverkning</t>
        </is>
      </c>
      <c r="D1354" s="1" t="n">
        <v>46090</v>
      </c>
      <c r="E1354" s="1" t="n">
        <v>46319</v>
      </c>
      <c r="F1354" t="inlineStr">
        <is>
          <t>DALARNAS LÄN</t>
        </is>
      </c>
      <c r="G1354" t="inlineStr">
        <is>
          <t>RÄTTVIK</t>
        </is>
      </c>
      <c r="H1354" t="inlineStr">
        <is>
          <t>Sveaskog</t>
        </is>
      </c>
      <c r="I1354" t="n">
        <v>1.8</v>
      </c>
      <c r="J1354" t="n">
        <v>0</v>
      </c>
      <c r="K1354" t="n">
        <v>0</v>
      </c>
      <c r="L1354" t="n">
        <v>1</v>
      </c>
      <c r="M1354" t="n">
        <v>0</v>
      </c>
      <c r="N1354" t="n">
        <v>0</v>
      </c>
      <c r="O1354" t="n">
        <v>0</v>
      </c>
      <c r="P1354" t="n">
        <v>0</v>
      </c>
      <c r="Q1354" t="n">
        <v>1</v>
      </c>
      <c r="R1354" t="n">
        <v>0</v>
      </c>
      <c r="S1354" t="n">
        <v>1</v>
      </c>
      <c r="T1354" t="n">
        <v>1</v>
      </c>
      <c r="U1354" t="n">
        <v>0</v>
      </c>
      <c r="V1354" s="2" t="inlineStr">
        <is>
          <t>Vedflamlav</t>
        </is>
      </c>
      <c r="W1354">
        <f>HYPERLINK("https://klasma.github.io/Logging_2031/artfynd/A 12391-2026 artfynd.xlsx", "A 12391-2026")</f>
        <v/>
      </c>
      <c r="X1354">
        <f>HYPERLINK("https://klasma.github.io/Logging_2031/kartor/A 12391-2026 karta.png", "A 12391-2026")</f>
        <v/>
      </c>
      <c r="Y1354">
        <f>HYPERLINK("https://klasma.github.io/Logging_2031/kartor_geotiff/A 12391-2026 georefererad karta.tif", "A 12391-2026")</f>
        <v/>
      </c>
      <c r="AA1354">
        <f>HYPERLINK("https://klasma.github.io/Logging_2031/klagomål/A 12391-2026 FSC-klagomål.docx", "A 12391-2026")</f>
        <v/>
      </c>
      <c r="AB1354">
        <f>HYPERLINK("https://klasma.github.io/Logging_2031/klagomålsmail/A 12391-2026 FSC-klagomål mail.docx", "A 12391-2026")</f>
        <v/>
      </c>
      <c r="AC1354">
        <f>HYPERLINK("https://klasma.github.io/Logging_2031/tillsyn/A 12391-2026 tillsynsbegäran.docx", "A 12391-2026")</f>
        <v/>
      </c>
      <c r="AD1354">
        <f>HYPERLINK("https://klasma.github.io/Logging_2031/tillsynsmail/A 12391-2026 tillsynsbegäran mail.docx", "A 12391-2026")</f>
        <v/>
      </c>
    </row>
    <row r="1355" ht="15" customHeight="1">
      <c r="A1355" t="inlineStr">
        <is>
          <t>A 11533-2026</t>
        </is>
      </c>
      <c r="B1355" t="inlineStr">
        <is>
          <t>avverkningsanmälan</t>
        </is>
      </c>
      <c r="C1355" t="inlineStr">
        <is>
          <t>Föryngringsavverkning</t>
        </is>
      </c>
      <c r="D1355" s="1" t="n">
        <v>46083</v>
      </c>
      <c r="E1355" s="1" t="n">
        <v>46319</v>
      </c>
      <c r="F1355" t="inlineStr">
        <is>
          <t>DALARNAS LÄN</t>
        </is>
      </c>
      <c r="G1355" t="inlineStr">
        <is>
          <t>SÄTER</t>
        </is>
      </c>
      <c r="H1355" t="inlineStr">
        <is>
          <t>Kommuner</t>
        </is>
      </c>
      <c r="I1355" t="n">
        <v>6</v>
      </c>
      <c r="J1355" t="n">
        <v>1</v>
      </c>
      <c r="K1355" t="n">
        <v>0</v>
      </c>
      <c r="L1355" t="n">
        <v>0</v>
      </c>
      <c r="M1355" t="n">
        <v>0</v>
      </c>
      <c r="N1355" t="n">
        <v>0</v>
      </c>
      <c r="O1355" t="n">
        <v>0</v>
      </c>
      <c r="P1355" t="n">
        <v>0</v>
      </c>
      <c r="Q1355" t="n">
        <v>0</v>
      </c>
      <c r="R1355" t="n">
        <v>0</v>
      </c>
      <c r="S1355" t="n">
        <v>1</v>
      </c>
      <c r="T1355" t="n">
        <v>2</v>
      </c>
      <c r="U1355" t="n">
        <v>2</v>
      </c>
      <c r="V1355" s="2" t="inlineStr">
        <is>
          <t>Fläcknycklar</t>
        </is>
      </c>
      <c r="W1355">
        <f>HYPERLINK("https://klasma.github.io/Logging_2082/artfynd/A 11533-2026 artfynd.xlsx", "A 11533-2026")</f>
        <v/>
      </c>
      <c r="X1355">
        <f>HYPERLINK("https://klasma.github.io/Logging_2082/kartor/A 11533-2026 karta.png", "A 11533-2026")</f>
        <v/>
      </c>
      <c r="Y1355">
        <f>HYPERLINK("https://klasma.github.io/Logging_2082/kartor_geotiff/A 11533-2026 georefererad karta.tif", "A 11533-2026")</f>
        <v/>
      </c>
      <c r="AA1355">
        <f>HYPERLINK("https://klasma.github.io/Logging_2082/klagomål/A 11533-2026 FSC-klagomål.docx", "A 11533-2026")</f>
        <v/>
      </c>
      <c r="AB1355">
        <f>HYPERLINK("https://klasma.github.io/Logging_2082/klagomålsmail/A 11533-2026 FSC-klagomål mail.docx", "A 11533-2026")</f>
        <v/>
      </c>
      <c r="AC1355">
        <f>HYPERLINK("https://klasma.github.io/Logging_2082/tillsyn/A 11533-2026 tillsynsbegäran.docx", "A 11533-2026")</f>
        <v/>
      </c>
      <c r="AD1355">
        <f>HYPERLINK("https://klasma.github.io/Logging_2082/tillsynsmail/A 11533-2026 tillsynsbegäran mail.docx", "A 11533-2026")</f>
        <v/>
      </c>
    </row>
    <row r="1356" ht="15" customHeight="1">
      <c r="A1356" t="inlineStr">
        <is>
          <t>A 13205-2026</t>
        </is>
      </c>
      <c r="B1356" t="inlineStr">
        <is>
          <t>avverkningsanmälan</t>
        </is>
      </c>
      <c r="C1356" t="inlineStr">
        <is>
          <t>Föryngringsavverkning</t>
        </is>
      </c>
      <c r="D1356" s="1" t="n">
        <v>46093</v>
      </c>
      <c r="E1356" s="1" t="n">
        <v>46319</v>
      </c>
      <c r="F1356" t="inlineStr">
        <is>
          <t>DALARNAS LÄN</t>
        </is>
      </c>
      <c r="G1356" t="inlineStr">
        <is>
          <t>FALUN</t>
        </is>
      </c>
      <c r="I1356" t="n">
        <v>4.6</v>
      </c>
      <c r="J1356" t="n">
        <v>0</v>
      </c>
      <c r="K1356" t="n">
        <v>1</v>
      </c>
      <c r="L1356" t="n">
        <v>0</v>
      </c>
      <c r="M1356" t="n">
        <v>0</v>
      </c>
      <c r="N1356" t="n">
        <v>0</v>
      </c>
      <c r="O1356" t="n">
        <v>0</v>
      </c>
      <c r="P1356" t="n">
        <v>0</v>
      </c>
      <c r="Q1356" t="n">
        <v>0</v>
      </c>
      <c r="R1356" t="n">
        <v>0</v>
      </c>
      <c r="S1356" t="n">
        <v>1</v>
      </c>
      <c r="T1356" t="n">
        <v>1</v>
      </c>
      <c r="U1356" t="n">
        <v>0</v>
      </c>
      <c r="V1356" s="2" t="inlineStr">
        <is>
          <t>Sotriska</t>
        </is>
      </c>
      <c r="W1356">
        <f>HYPERLINK("https://klasma.github.io/Logging_2080/artfynd/A 13205-2026 artfynd.xlsx", "A 13205-2026")</f>
        <v/>
      </c>
      <c r="X1356">
        <f>HYPERLINK("https://klasma.github.io/Logging_2080/kartor/A 13205-2026 karta.png", "A 13205-2026")</f>
        <v/>
      </c>
      <c r="Y1356">
        <f>HYPERLINK("https://klasma.github.io/Logging_2080/kartor_geotiff/A 13205-2026 georefererad karta.tif", "A 13205-2026")</f>
        <v/>
      </c>
      <c r="AA1356">
        <f>HYPERLINK("https://klasma.github.io/Logging_2080/klagomål/A 13205-2026 FSC-klagomål.docx", "A 13205-2026")</f>
        <v/>
      </c>
      <c r="AB1356">
        <f>HYPERLINK("https://klasma.github.io/Logging_2080/klagomålsmail/A 13205-2026 FSC-klagomål mail.docx", "A 13205-2026")</f>
        <v/>
      </c>
      <c r="AC1356">
        <f>HYPERLINK("https://klasma.github.io/Logging_2080/tillsyn/A 13205-2026 tillsynsbegäran.docx", "A 13205-2026")</f>
        <v/>
      </c>
      <c r="AD1356">
        <f>HYPERLINK("https://klasma.github.io/Logging_2080/tillsynsmail/A 13205-2026 tillsynsbegäran mail.docx", "A 13205-2026")</f>
        <v/>
      </c>
    </row>
    <row r="1357" ht="15" customHeight="1">
      <c r="A1357" t="inlineStr">
        <is>
          <t>A 12923-2026</t>
        </is>
      </c>
      <c r="B1357" t="inlineStr">
        <is>
          <t>avverkningsanmälan</t>
        </is>
      </c>
      <c r="C1357" t="inlineStr">
        <is>
          <t>Föryngringsavverkning</t>
        </is>
      </c>
      <c r="D1357" s="1" t="n">
        <v>46092</v>
      </c>
      <c r="E1357" s="1" t="n">
        <v>46319</v>
      </c>
      <c r="F1357" t="inlineStr">
        <is>
          <t>DALARNAS LÄN</t>
        </is>
      </c>
      <c r="G1357" t="inlineStr">
        <is>
          <t>BORLÄNGE</t>
        </is>
      </c>
      <c r="I1357" t="n">
        <v>3.5</v>
      </c>
      <c r="J1357" t="n">
        <v>1</v>
      </c>
      <c r="K1357" t="n">
        <v>0</v>
      </c>
      <c r="L1357" t="n">
        <v>0</v>
      </c>
      <c r="M1357" t="n">
        <v>0</v>
      </c>
      <c r="N1357" t="n">
        <v>0</v>
      </c>
      <c r="O1357" t="n">
        <v>0</v>
      </c>
      <c r="P1357" t="n">
        <v>0</v>
      </c>
      <c r="Q1357" t="n">
        <v>0</v>
      </c>
      <c r="R1357" t="n">
        <v>0</v>
      </c>
      <c r="S1357" t="n">
        <v>1</v>
      </c>
      <c r="T1357" t="n">
        <v>2</v>
      </c>
      <c r="U1357" t="n">
        <v>0</v>
      </c>
      <c r="V1357" s="2" t="inlineStr">
        <is>
          <t>Vanlig groda</t>
        </is>
      </c>
      <c r="W1357">
        <f>HYPERLINK("https://klasma.github.io/Logging_2081/artfynd/A 12923-2026 artfynd.xlsx", "A 12923-2026")</f>
        <v/>
      </c>
      <c r="X1357">
        <f>HYPERLINK("https://klasma.github.io/Logging_2081/kartor/A 12923-2026 karta.png", "A 12923-2026")</f>
        <v/>
      </c>
      <c r="Y1357">
        <f>HYPERLINK("https://klasma.github.io/Logging_2081/kartor_geotiff/A 12923-2026 georefererad karta.tif", "A 12923-2026")</f>
        <v/>
      </c>
      <c r="AA1357">
        <f>HYPERLINK("https://klasma.github.io/Logging_2081/klagomål/A 12923-2026 FSC-klagomål.docx", "A 12923-2026")</f>
        <v/>
      </c>
      <c r="AB1357">
        <f>HYPERLINK("https://klasma.github.io/Logging_2081/klagomålsmail/A 12923-2026 FSC-klagomål mail.docx", "A 12923-2026")</f>
        <v/>
      </c>
      <c r="AC1357">
        <f>HYPERLINK("https://klasma.github.io/Logging_2081/tillsyn/A 12923-2026 tillsynsbegäran.docx", "A 12923-2026")</f>
        <v/>
      </c>
      <c r="AD1357">
        <f>HYPERLINK("https://klasma.github.io/Logging_2081/tillsynsmail/A 12923-2026 tillsynsbegäran mail.docx", "A 12923-2026")</f>
        <v/>
      </c>
    </row>
    <row r="1358" ht="15" customHeight="1">
      <c r="A1358" t="inlineStr">
        <is>
          <t>A 12950-2026</t>
        </is>
      </c>
      <c r="B1358" t="inlineStr">
        <is>
          <t>avverkningsanmälan</t>
        </is>
      </c>
      <c r="C1358" t="inlineStr">
        <is>
          <t>Föryngringsavverkning</t>
        </is>
      </c>
      <c r="D1358" s="1" t="n">
        <v>46092</v>
      </c>
      <c r="E1358" s="1" t="n">
        <v>46319</v>
      </c>
      <c r="F1358" t="inlineStr">
        <is>
          <t>DALARNAS LÄN</t>
        </is>
      </c>
      <c r="G1358" t="inlineStr">
        <is>
          <t>FALUN</t>
        </is>
      </c>
      <c r="I1358" t="n">
        <v>2</v>
      </c>
      <c r="J1358" t="n">
        <v>0</v>
      </c>
      <c r="K1358" t="n">
        <v>0</v>
      </c>
      <c r="L1358" t="n">
        <v>1</v>
      </c>
      <c r="M1358" t="n">
        <v>0</v>
      </c>
      <c r="N1358" t="n">
        <v>0</v>
      </c>
      <c r="O1358" t="n">
        <v>0</v>
      </c>
      <c r="P1358" t="n">
        <v>0</v>
      </c>
      <c r="Q1358" t="n">
        <v>1</v>
      </c>
      <c r="R1358" t="n">
        <v>0</v>
      </c>
      <c r="S1358" t="n">
        <v>1</v>
      </c>
      <c r="T1358" t="n">
        <v>1</v>
      </c>
      <c r="U1358" t="n">
        <v>1</v>
      </c>
      <c r="V1358" s="2" t="inlineStr">
        <is>
          <t>Skogshare</t>
        </is>
      </c>
      <c r="W1358">
        <f>HYPERLINK("https://klasma.github.io/Logging_2080/artfynd/A 12950-2026 artfynd.xlsx", "A 12950-2026")</f>
        <v/>
      </c>
      <c r="X1358">
        <f>HYPERLINK("https://klasma.github.io/Logging_2080/kartor/A 12950-2026 karta.png", "A 12950-2026")</f>
        <v/>
      </c>
      <c r="Y1358">
        <f>HYPERLINK("https://klasma.github.io/Logging_2080/kartor_geotiff/A 12950-2026 georefererad karta.tif", "A 12950-2026")</f>
        <v/>
      </c>
      <c r="AA1358">
        <f>HYPERLINK("https://klasma.github.io/Logging_2080/klagomål/A 12950-2026 FSC-klagomål.docx", "A 12950-2026")</f>
        <v/>
      </c>
      <c r="AB1358">
        <f>HYPERLINK("https://klasma.github.io/Logging_2080/klagomålsmail/A 12950-2026 FSC-klagomål mail.docx", "A 12950-2026")</f>
        <v/>
      </c>
      <c r="AC1358">
        <f>HYPERLINK("https://klasma.github.io/Logging_2080/tillsyn/A 12950-2026 tillsynsbegäran.docx", "A 12950-2026")</f>
        <v/>
      </c>
      <c r="AD1358">
        <f>HYPERLINK("https://klasma.github.io/Logging_2080/tillsynsmail/A 12950-2026 tillsynsbegäran mail.docx", "A 12950-2026")</f>
        <v/>
      </c>
    </row>
    <row r="1359" ht="15" customHeight="1">
      <c r="A1359" t="inlineStr">
        <is>
          <t>A 64121-2025</t>
        </is>
      </c>
      <c r="B1359" t="inlineStr">
        <is>
          <t>avverkningsanmälan</t>
        </is>
      </c>
      <c r="C1359" t="inlineStr">
        <is>
          <t>Föryngringsavverkning</t>
        </is>
      </c>
      <c r="D1359" s="1" t="n">
        <v>46021</v>
      </c>
      <c r="E1359" s="1" t="n">
        <v>46319</v>
      </c>
      <c r="F1359" t="inlineStr">
        <is>
          <t>DALARNAS LÄN</t>
        </is>
      </c>
      <c r="G1359" t="inlineStr">
        <is>
          <t>BORLÄNGE</t>
        </is>
      </c>
      <c r="I1359" t="n">
        <v>4.1</v>
      </c>
      <c r="J1359" t="n">
        <v>0</v>
      </c>
      <c r="K1359" t="n">
        <v>0</v>
      </c>
      <c r="L1359" t="n">
        <v>0</v>
      </c>
      <c r="M1359" t="n">
        <v>1</v>
      </c>
      <c r="N1359" t="n">
        <v>0</v>
      </c>
      <c r="O1359" t="n">
        <v>0</v>
      </c>
      <c r="P1359" t="n">
        <v>0</v>
      </c>
      <c r="Q1359" t="n">
        <v>1</v>
      </c>
      <c r="R1359" t="n">
        <v>1</v>
      </c>
      <c r="S1359" t="n">
        <v>1</v>
      </c>
      <c r="T1359" t="n">
        <v>1</v>
      </c>
      <c r="U1359" t="n">
        <v>0</v>
      </c>
      <c r="V1359" s="2" t="inlineStr">
        <is>
          <t>Garnlav</t>
        </is>
      </c>
      <c r="W1359">
        <f>HYPERLINK("https://klasma.github.io/Logging_2081/artfynd/A 64121-2025 artfynd.xlsx", "A 64121-2025")</f>
        <v/>
      </c>
      <c r="X1359">
        <f>HYPERLINK("https://klasma.github.io/Logging_2081/kartor/A 64121-2025 karta.png", "A 64121-2025")</f>
        <v/>
      </c>
      <c r="Y1359">
        <f>HYPERLINK("https://klasma.github.io/Logging_2081/kartor_geotiff/A 64121-2025 georefererad karta.tif", "A 64121-2025")</f>
        <v/>
      </c>
      <c r="AA1359">
        <f>HYPERLINK("https://klasma.github.io/Logging_2081/klagomål/A 64121-2025 FSC-klagomål.docx", "A 64121-2025")</f>
        <v/>
      </c>
      <c r="AB1359">
        <f>HYPERLINK("https://klasma.github.io/Logging_2081/klagomålsmail/A 64121-2025 FSC-klagomål mail.docx", "A 64121-2025")</f>
        <v/>
      </c>
      <c r="AC1359">
        <f>HYPERLINK("https://klasma.github.io/Logging_2081/tillsyn/A 64121-2025 tillsynsbegäran.docx", "A 64121-2025")</f>
        <v/>
      </c>
      <c r="AD1359">
        <f>HYPERLINK("https://klasma.github.io/Logging_2081/tillsynsmail/A 64121-2025 tillsynsbegäran mail.docx", "A 64121-2025")</f>
        <v/>
      </c>
    </row>
    <row r="1360" ht="15" customHeight="1">
      <c r="A1360" t="inlineStr">
        <is>
          <t>A 32917-2025</t>
        </is>
      </c>
      <c r="B1360" t="inlineStr">
        <is>
          <t>avverkningsanmälan</t>
        </is>
      </c>
      <c r="C1360" t="inlineStr">
        <is>
          <t>Föryngringsavverkning</t>
        </is>
      </c>
      <c r="D1360" s="1" t="n">
        <v>45839</v>
      </c>
      <c r="E1360" s="1" t="n">
        <v>46319</v>
      </c>
      <c r="F1360" t="inlineStr">
        <is>
          <t>DALARNAS LÄN</t>
        </is>
      </c>
      <c r="G1360" t="inlineStr">
        <is>
          <t>VANSBRO</t>
        </is>
      </c>
      <c r="I1360" t="n">
        <v>6.6</v>
      </c>
      <c r="J1360" t="n">
        <v>0</v>
      </c>
      <c r="K1360" t="n">
        <v>0</v>
      </c>
      <c r="L1360" t="n">
        <v>0</v>
      </c>
      <c r="M1360" t="n">
        <v>1</v>
      </c>
      <c r="N1360" t="n">
        <v>0</v>
      </c>
      <c r="O1360" t="n">
        <v>0</v>
      </c>
      <c r="P1360" t="n">
        <v>0</v>
      </c>
      <c r="Q1360" t="n">
        <v>1</v>
      </c>
      <c r="R1360" t="n">
        <v>1</v>
      </c>
      <c r="S1360" t="n">
        <v>1</v>
      </c>
      <c r="T1360" t="n">
        <v>2</v>
      </c>
      <c r="U1360" t="n">
        <v>2</v>
      </c>
      <c r="V1360" s="2" t="inlineStr">
        <is>
          <t>Garnlav</t>
        </is>
      </c>
      <c r="W1360">
        <f>HYPERLINK("https://klasma.github.io/Logging_2021/artfynd/A 32917-2025 artfynd.xlsx", "A 32917-2025")</f>
        <v/>
      </c>
      <c r="X1360">
        <f>HYPERLINK("https://klasma.github.io/Logging_2021/kartor/A 32917-2025 karta.png", "A 32917-2025")</f>
        <v/>
      </c>
      <c r="Y1360">
        <f>HYPERLINK("https://klasma.github.io/Logging_2021/kartor_geotiff/A 32917-2025 georefererad karta.tif", "A 32917-2025")</f>
        <v/>
      </c>
      <c r="AA1360">
        <f>HYPERLINK("https://klasma.github.io/Logging_2021/klagomål/A 32917-2025 FSC-klagomål.docx", "A 32917-2025")</f>
        <v/>
      </c>
      <c r="AB1360">
        <f>HYPERLINK("https://klasma.github.io/Logging_2021/klagomålsmail/A 32917-2025 FSC-klagomål mail.docx", "A 32917-2025")</f>
        <v/>
      </c>
      <c r="AC1360">
        <f>HYPERLINK("https://klasma.github.io/Logging_2021/tillsyn/A 32917-2025 tillsynsbegäran.docx", "A 32917-2025")</f>
        <v/>
      </c>
      <c r="AD1360">
        <f>HYPERLINK("https://klasma.github.io/Logging_2021/tillsynsmail/A 32917-2025 tillsynsbegäran mail.docx", "A 32917-2025")</f>
        <v/>
      </c>
    </row>
    <row r="1361" ht="15" customHeight="1">
      <c r="A1361" t="inlineStr">
        <is>
          <t>A 38384-2024</t>
        </is>
      </c>
      <c r="B1361" t="inlineStr">
        <is>
          <t>avverkningsanmälan</t>
        </is>
      </c>
      <c r="C1361" t="inlineStr">
        <is>
          <t>Föryngringsavverkning</t>
        </is>
      </c>
      <c r="D1361" s="1" t="n">
        <v>45546</v>
      </c>
      <c r="E1361" s="1" t="n">
        <v>46319</v>
      </c>
      <c r="F1361" t="inlineStr">
        <is>
          <t>DALARNAS LÄN</t>
        </is>
      </c>
      <c r="G1361" t="inlineStr">
        <is>
          <t>RÄTTVIK</t>
        </is>
      </c>
      <c r="I1361" t="n">
        <v>2.6</v>
      </c>
      <c r="J1361" t="n">
        <v>1</v>
      </c>
      <c r="K1361" t="n">
        <v>0</v>
      </c>
      <c r="L1361" t="n">
        <v>0</v>
      </c>
      <c r="M1361" t="n">
        <v>1</v>
      </c>
      <c r="N1361" t="n">
        <v>0</v>
      </c>
      <c r="O1361" t="n">
        <v>0</v>
      </c>
      <c r="P1361" t="n">
        <v>0</v>
      </c>
      <c r="Q1361" t="n">
        <v>1</v>
      </c>
      <c r="R1361" t="n">
        <v>1</v>
      </c>
      <c r="S1361" t="n">
        <v>1</v>
      </c>
      <c r="T1361" t="n">
        <v>1</v>
      </c>
      <c r="U1361" t="n">
        <v>0</v>
      </c>
      <c r="V1361" s="2" t="inlineStr">
        <is>
          <t>Väddnätfjäril</t>
        </is>
      </c>
      <c r="W1361">
        <f>HYPERLINK("https://klasma.github.io/Logging_2031/artfynd/A 38384-2024 artfynd.xlsx", "A 38384-2024")</f>
        <v/>
      </c>
      <c r="X1361">
        <f>HYPERLINK("https://klasma.github.io/Logging_2031/kartor/A 38384-2024 karta.png", "A 38384-2024")</f>
        <v/>
      </c>
      <c r="Y1361">
        <f>HYPERLINK("https://klasma.github.io/Logging_2031/kartor_geotiff/A 38384-2024 georefererad karta.tif", "A 38384-2024")</f>
        <v/>
      </c>
      <c r="AA1361">
        <f>HYPERLINK("https://klasma.github.io/Logging_2031/klagomål/A 38384-2024 FSC-klagomål.docx", "A 38384-2024")</f>
        <v/>
      </c>
      <c r="AB1361">
        <f>HYPERLINK("https://klasma.github.io/Logging_2031/klagomålsmail/A 38384-2024 FSC-klagomål mail.docx", "A 38384-2024")</f>
        <v/>
      </c>
      <c r="AC1361">
        <f>HYPERLINK("https://klasma.github.io/Logging_2031/tillsyn/A 38384-2024 tillsynsbegäran.docx", "A 38384-2024")</f>
        <v/>
      </c>
      <c r="AD1361">
        <f>HYPERLINK("https://klasma.github.io/Logging_2031/tillsynsmail/A 38384-2024 tillsynsbegäran mail.docx", "A 38384-2024")</f>
        <v/>
      </c>
    </row>
    <row r="1362" ht="15" customHeight="1">
      <c r="A1362" t="inlineStr">
        <is>
          <t>A 33102-2025</t>
        </is>
      </c>
      <c r="B1362" t="inlineStr">
        <is>
          <t>avverkningsanmälan</t>
        </is>
      </c>
      <c r="C1362" t="inlineStr">
        <is>
          <t>Föryngringsavverkning</t>
        </is>
      </c>
      <c r="D1362" s="1" t="n">
        <v>45840</v>
      </c>
      <c r="E1362" s="1" t="n">
        <v>46319</v>
      </c>
      <c r="F1362" t="inlineStr">
        <is>
          <t>DALARNAS LÄN</t>
        </is>
      </c>
      <c r="G1362" t="inlineStr">
        <is>
          <t>GAGNEF</t>
        </is>
      </c>
      <c r="I1362" t="n">
        <v>2.1</v>
      </c>
      <c r="J1362" t="n">
        <v>0</v>
      </c>
      <c r="K1362" t="n">
        <v>1</v>
      </c>
      <c r="L1362" t="n">
        <v>0</v>
      </c>
      <c r="M1362" t="n">
        <v>0</v>
      </c>
      <c r="N1362" t="n">
        <v>0</v>
      </c>
      <c r="O1362" t="n">
        <v>0</v>
      </c>
      <c r="P1362" t="n">
        <v>0</v>
      </c>
      <c r="Q1362" t="n">
        <v>0</v>
      </c>
      <c r="R1362" t="n">
        <v>0</v>
      </c>
      <c r="S1362" t="n">
        <v>1</v>
      </c>
      <c r="T1362" t="n">
        <v>1</v>
      </c>
      <c r="U1362" t="n">
        <v>0</v>
      </c>
      <c r="V1362" s="2" t="inlineStr">
        <is>
          <t>Bollvitmossa</t>
        </is>
      </c>
      <c r="W1362">
        <f>HYPERLINK("https://klasma.github.io/Logging_2026/artfynd/A 33102-2025 artfynd.xlsx", "A 33102-2025")</f>
        <v/>
      </c>
      <c r="X1362">
        <f>HYPERLINK("https://klasma.github.io/Logging_2026/kartor/A 33102-2025 karta.png", "A 33102-2025")</f>
        <v/>
      </c>
      <c r="Y1362">
        <f>HYPERLINK("https://klasma.github.io/Logging_2026/kartor_geotiff/A 33102-2025 georefererad karta.tif", "A 33102-2025")</f>
        <v/>
      </c>
      <c r="AA1362">
        <f>HYPERLINK("https://klasma.github.io/Logging_2026/klagomål/A 33102-2025 FSC-klagomål.docx", "A 33102-2025")</f>
        <v/>
      </c>
      <c r="AB1362">
        <f>HYPERLINK("https://klasma.github.io/Logging_2026/klagomålsmail/A 33102-2025 FSC-klagomål mail.docx", "A 33102-2025")</f>
        <v/>
      </c>
      <c r="AC1362">
        <f>HYPERLINK("https://klasma.github.io/Logging_2026/tillsyn/A 33102-2025 tillsynsbegäran.docx", "A 33102-2025")</f>
        <v/>
      </c>
      <c r="AD1362">
        <f>HYPERLINK("https://klasma.github.io/Logging_2026/tillsynsmail/A 33102-2025 tillsynsbegäran mail.docx", "A 33102-2025")</f>
        <v/>
      </c>
    </row>
    <row r="1363" ht="15" customHeight="1">
      <c r="A1363" t="inlineStr">
        <is>
          <t>A 5582-2024</t>
        </is>
      </c>
      <c r="B1363" t="inlineStr">
        <is>
          <t>avverkningsanmälan</t>
        </is>
      </c>
      <c r="C1363" t="inlineStr">
        <is>
          <t>Föryngringsavverkning</t>
        </is>
      </c>
      <c r="D1363" s="1" t="n">
        <v>45334</v>
      </c>
      <c r="E1363" s="1" t="n">
        <v>46319</v>
      </c>
      <c r="F1363" t="inlineStr">
        <is>
          <t>DALARNAS LÄN</t>
        </is>
      </c>
      <c r="G1363" t="inlineStr">
        <is>
          <t>LEKSAND</t>
        </is>
      </c>
      <c r="I1363" t="n">
        <v>0.5</v>
      </c>
      <c r="J1363" t="n">
        <v>0</v>
      </c>
      <c r="K1363" t="n">
        <v>0</v>
      </c>
      <c r="L1363" t="n">
        <v>1</v>
      </c>
      <c r="M1363" t="n">
        <v>0</v>
      </c>
      <c r="N1363" t="n">
        <v>0</v>
      </c>
      <c r="O1363" t="n">
        <v>0</v>
      </c>
      <c r="P1363" t="n">
        <v>0</v>
      </c>
      <c r="Q1363" t="n">
        <v>1</v>
      </c>
      <c r="R1363" t="n">
        <v>0</v>
      </c>
      <c r="S1363" t="n">
        <v>1</v>
      </c>
      <c r="T1363" t="n">
        <v>1</v>
      </c>
      <c r="U1363" t="n">
        <v>0</v>
      </c>
      <c r="V1363" s="2" t="inlineStr">
        <is>
          <t>Scharlakansvaxing</t>
        </is>
      </c>
      <c r="W1363">
        <f>HYPERLINK("https://klasma.github.io/Logging_2029/artfynd/A 5582-2024 artfynd.xlsx", "A 5582-2024")</f>
        <v/>
      </c>
      <c r="X1363">
        <f>HYPERLINK("https://klasma.github.io/Logging_2029/kartor/A 5582-2024 karta.png", "A 5582-2024")</f>
        <v/>
      </c>
      <c r="Y1363">
        <f>HYPERLINK("https://klasma.github.io/Logging_2029/kartor_geotiff/A 5582-2024 georefererad karta.tif", "A 5582-2024")</f>
        <v/>
      </c>
      <c r="AA1363">
        <f>HYPERLINK("https://klasma.github.io/Logging_2029/klagomål/A 5582-2024 FSC-klagomål.docx", "A 5582-2024")</f>
        <v/>
      </c>
      <c r="AB1363">
        <f>HYPERLINK("https://klasma.github.io/Logging_2029/klagomålsmail/A 5582-2024 FSC-klagomål mail.docx", "A 5582-2024")</f>
        <v/>
      </c>
      <c r="AC1363">
        <f>HYPERLINK("https://klasma.github.io/Logging_2029/tillsyn/A 5582-2024 tillsynsbegäran.docx", "A 5582-2024")</f>
        <v/>
      </c>
      <c r="AD1363">
        <f>HYPERLINK("https://klasma.github.io/Logging_2029/tillsynsmail/A 5582-2024 tillsynsbegäran mail.docx", "A 5582-2024")</f>
        <v/>
      </c>
    </row>
    <row r="1364" ht="15" customHeight="1">
      <c r="A1364" t="inlineStr">
        <is>
          <t>A 23547-2025</t>
        </is>
      </c>
      <c r="B1364" t="inlineStr">
        <is>
          <t>avverkningsanmälan</t>
        </is>
      </c>
      <c r="C1364" t="inlineStr">
        <is>
          <t>Föryngringsavverkning</t>
        </is>
      </c>
      <c r="D1364" s="1" t="n">
        <v>45792</v>
      </c>
      <c r="E1364" s="1" t="n">
        <v>46319</v>
      </c>
      <c r="F1364" t="inlineStr">
        <is>
          <t>DALARNAS LÄN</t>
        </is>
      </c>
      <c r="G1364" t="inlineStr">
        <is>
          <t>SMEDJEBACKEN</t>
        </is>
      </c>
      <c r="I1364" t="n">
        <v>3.8</v>
      </c>
      <c r="J1364" t="n">
        <v>0</v>
      </c>
      <c r="K1364" t="n">
        <v>1</v>
      </c>
      <c r="L1364" t="n">
        <v>0</v>
      </c>
      <c r="M1364" t="n">
        <v>0</v>
      </c>
      <c r="N1364" t="n">
        <v>0</v>
      </c>
      <c r="O1364" t="n">
        <v>0</v>
      </c>
      <c r="P1364" t="n">
        <v>0</v>
      </c>
      <c r="Q1364" t="n">
        <v>0</v>
      </c>
      <c r="R1364" t="n">
        <v>0</v>
      </c>
      <c r="S1364" t="n">
        <v>1</v>
      </c>
      <c r="T1364" t="n">
        <v>1</v>
      </c>
      <c r="U1364" t="n">
        <v>0</v>
      </c>
      <c r="V1364" s="2" t="inlineStr">
        <is>
          <t>Tibast</t>
        </is>
      </c>
      <c r="W1364">
        <f>HYPERLINK("https://klasma.github.io/Logging_2061/artfynd/A 23547-2025 artfynd.xlsx", "A 23547-2025")</f>
        <v/>
      </c>
      <c r="X1364">
        <f>HYPERLINK("https://klasma.github.io/Logging_2061/kartor/A 23547-2025 karta.png", "A 23547-2025")</f>
        <v/>
      </c>
      <c r="Y1364">
        <f>HYPERLINK("https://klasma.github.io/Logging_2061/kartor_geotiff/A 23547-2025 georefererad karta.tif", "A 23547-2025")</f>
        <v/>
      </c>
      <c r="AA1364">
        <f>HYPERLINK("https://klasma.github.io/Logging_2061/klagomål/A 23547-2025 FSC-klagomål.docx", "A 23547-2025")</f>
        <v/>
      </c>
      <c r="AB1364">
        <f>HYPERLINK("https://klasma.github.io/Logging_2061/klagomålsmail/A 23547-2025 FSC-klagomål mail.docx", "A 23547-2025")</f>
        <v/>
      </c>
      <c r="AC1364">
        <f>HYPERLINK("https://klasma.github.io/Logging_2061/tillsyn/A 23547-2025 tillsynsbegäran.docx", "A 23547-2025")</f>
        <v/>
      </c>
      <c r="AD1364">
        <f>HYPERLINK("https://klasma.github.io/Logging_2061/tillsynsmail/A 23547-2025 tillsynsbegäran mail.docx", "A 23547-2025")</f>
        <v/>
      </c>
    </row>
    <row r="1365" ht="15" customHeight="1">
      <c r="A1365" t="inlineStr">
        <is>
          <t>A 33392-2025</t>
        </is>
      </c>
      <c r="B1365" t="inlineStr">
        <is>
          <t>avverkningsanmälan</t>
        </is>
      </c>
      <c r="C1365" t="inlineStr">
        <is>
          <t>Avverkning för annat ändamål</t>
        </is>
      </c>
      <c r="D1365" s="1" t="n">
        <v>45841</v>
      </c>
      <c r="E1365" s="1" t="n">
        <v>46319</v>
      </c>
      <c r="F1365" t="inlineStr">
        <is>
          <t>DALARNAS LÄN</t>
        </is>
      </c>
      <c r="G1365" t="inlineStr">
        <is>
          <t>RÄTTVIK</t>
        </is>
      </c>
      <c r="H1365" t="inlineStr">
        <is>
          <t>Sveaskog</t>
        </is>
      </c>
      <c r="I1365" t="n">
        <v>1.5</v>
      </c>
      <c r="J1365" t="n">
        <v>0</v>
      </c>
      <c r="K1365" t="n">
        <v>0</v>
      </c>
      <c r="L1365" t="n">
        <v>1</v>
      </c>
      <c r="M1365" t="n">
        <v>0</v>
      </c>
      <c r="N1365" t="n">
        <v>0</v>
      </c>
      <c r="O1365" t="n">
        <v>0</v>
      </c>
      <c r="P1365" t="n">
        <v>0</v>
      </c>
      <c r="Q1365" t="n">
        <v>1</v>
      </c>
      <c r="R1365" t="n">
        <v>0</v>
      </c>
      <c r="S1365" t="n">
        <v>1</v>
      </c>
      <c r="T1365" t="n">
        <v>1</v>
      </c>
      <c r="U1365" t="n">
        <v>0</v>
      </c>
      <c r="V1365" s="2" t="inlineStr">
        <is>
          <t>Brunklöver</t>
        </is>
      </c>
      <c r="W1365">
        <f>HYPERLINK("https://klasma.github.io/Logging_2031/artfynd/A 33392-2025 artfynd.xlsx", "A 33392-2025")</f>
        <v/>
      </c>
      <c r="X1365">
        <f>HYPERLINK("https://klasma.github.io/Logging_2031/kartor/A 33392-2025 karta.png", "A 33392-2025")</f>
        <v/>
      </c>
      <c r="Y1365">
        <f>HYPERLINK("https://klasma.github.io/Logging_2031/kartor_geotiff/A 33392-2025 georefererad karta.tif", "A 33392-2025")</f>
        <v/>
      </c>
      <c r="AA1365">
        <f>HYPERLINK("https://klasma.github.io/Logging_2031/klagomål/A 33392-2025 FSC-klagomål.docx", "A 33392-2025")</f>
        <v/>
      </c>
      <c r="AB1365">
        <f>HYPERLINK("https://klasma.github.io/Logging_2031/klagomålsmail/A 33392-2025 FSC-klagomål mail.docx", "A 33392-2025")</f>
        <v/>
      </c>
      <c r="AC1365">
        <f>HYPERLINK("https://klasma.github.io/Logging_2031/tillsyn/A 33392-2025 tillsynsbegäran.docx", "A 33392-2025")</f>
        <v/>
      </c>
      <c r="AD1365">
        <f>HYPERLINK("https://klasma.github.io/Logging_2031/tillsynsmail/A 33392-2025 tillsynsbegäran mail.docx", "A 33392-2025")</f>
        <v/>
      </c>
    </row>
    <row r="1366" ht="15" customHeight="1">
      <c r="A1366" t="inlineStr">
        <is>
          <t>A 33951-2025</t>
        </is>
      </c>
      <c r="B1366" t="inlineStr">
        <is>
          <t>avverkningsanmälan</t>
        </is>
      </c>
      <c r="C1366" t="inlineStr">
        <is>
          <t>Föryngringsavverkning</t>
        </is>
      </c>
      <c r="D1366" s="1" t="n">
        <v>45842</v>
      </c>
      <c r="E1366" s="1" t="n">
        <v>46319</v>
      </c>
      <c r="F1366" t="inlineStr">
        <is>
          <t>DALARNAS LÄN</t>
        </is>
      </c>
      <c r="G1366" t="inlineStr">
        <is>
          <t>ORSA</t>
        </is>
      </c>
      <c r="I1366" t="n">
        <v>1.2</v>
      </c>
      <c r="J1366" t="n">
        <v>1</v>
      </c>
      <c r="K1366" t="n">
        <v>0</v>
      </c>
      <c r="L1366" t="n">
        <v>1</v>
      </c>
      <c r="M1366" t="n">
        <v>0</v>
      </c>
      <c r="N1366" t="n">
        <v>0</v>
      </c>
      <c r="O1366" t="n">
        <v>0</v>
      </c>
      <c r="P1366" t="n">
        <v>0</v>
      </c>
      <c r="Q1366" t="n">
        <v>1</v>
      </c>
      <c r="R1366" t="n">
        <v>0</v>
      </c>
      <c r="S1366" t="n">
        <v>1</v>
      </c>
      <c r="T1366" t="n">
        <v>1</v>
      </c>
      <c r="U1366" t="n">
        <v>1</v>
      </c>
      <c r="V1366" s="2" t="inlineStr">
        <is>
          <t>Tretåig hackspett</t>
        </is>
      </c>
      <c r="W1366">
        <f>HYPERLINK("https://klasma.github.io/Logging_2034/artfynd/A 33951-2025 artfynd.xlsx", "A 33951-2025")</f>
        <v/>
      </c>
      <c r="X1366">
        <f>HYPERLINK("https://klasma.github.io/Logging_2034/kartor/A 33951-2025 karta.png", "A 33951-2025")</f>
        <v/>
      </c>
      <c r="Y1366">
        <f>HYPERLINK("https://klasma.github.io/Logging_2034/kartor_geotiff/A 33951-2025 georefererad karta.tif", "A 33951-2025")</f>
        <v/>
      </c>
      <c r="AA1366">
        <f>HYPERLINK("https://klasma.github.io/Logging_2034/klagomål/A 33951-2025 FSC-klagomål.docx", "A 33951-2025")</f>
        <v/>
      </c>
      <c r="AB1366">
        <f>HYPERLINK("https://klasma.github.io/Logging_2034/klagomålsmail/A 33951-2025 FSC-klagomål mail.docx", "A 33951-2025")</f>
        <v/>
      </c>
      <c r="AC1366">
        <f>HYPERLINK("https://klasma.github.io/Logging_2034/tillsyn/A 33951-2025 tillsynsbegäran.docx", "A 33951-2025")</f>
        <v/>
      </c>
      <c r="AD1366">
        <f>HYPERLINK("https://klasma.github.io/Logging_2034/tillsynsmail/A 33951-2025 tillsynsbegäran mail.docx", "A 33951-2025")</f>
        <v/>
      </c>
      <c r="AE1366">
        <f>HYPERLINK("https://klasma.github.io/Logging_2034/fåglar/A 33951-2025 prioriterade fågelarter.docx", "A 33951-2025")</f>
        <v/>
      </c>
    </row>
    <row r="1367" ht="15" customHeight="1">
      <c r="A1367" t="inlineStr">
        <is>
          <t>A 41173-2026</t>
        </is>
      </c>
      <c r="B1367" t="inlineStr">
        <is>
          <t>avverkningsanmälan</t>
        </is>
      </c>
      <c r="C1367" t="inlineStr">
        <is>
          <t>Föryngringsavverkning</t>
        </is>
      </c>
      <c r="D1367" s="1" t="n">
        <v>46300</v>
      </c>
      <c r="E1367" s="1" t="n">
        <v>46319</v>
      </c>
      <c r="F1367" t="inlineStr">
        <is>
          <t>DALARNAS LÄN</t>
        </is>
      </c>
      <c r="G1367" t="inlineStr">
        <is>
          <t>HEDEMORA</t>
        </is>
      </c>
      <c r="I1367" t="n">
        <v>5.5</v>
      </c>
      <c r="J1367" t="n">
        <v>1</v>
      </c>
      <c r="K1367" t="n">
        <v>0</v>
      </c>
      <c r="L1367" t="n">
        <v>0</v>
      </c>
      <c r="M1367" t="n">
        <v>1</v>
      </c>
      <c r="N1367" t="n">
        <v>0</v>
      </c>
      <c r="O1367" t="n">
        <v>0</v>
      </c>
      <c r="P1367" t="n">
        <v>0</v>
      </c>
      <c r="Q1367" t="n">
        <v>1</v>
      </c>
      <c r="R1367" t="n">
        <v>1</v>
      </c>
      <c r="S1367" t="n">
        <v>1</v>
      </c>
      <c r="T1367" t="n">
        <v>1</v>
      </c>
      <c r="U1367" t="n">
        <v>1</v>
      </c>
      <c r="V1367" s="2" t="inlineStr">
        <is>
          <t>Knärot</t>
        </is>
      </c>
      <c r="W1367">
        <f>HYPERLINK("https://klasma.github.io/Logging_2083/artfynd/A 41173-2026 artfynd.xlsx", "A 41173-2026")</f>
        <v/>
      </c>
      <c r="X1367">
        <f>HYPERLINK("https://klasma.github.io/Logging_2083/kartor/A 41173-2026 karta.png", "A 41173-2026")</f>
        <v/>
      </c>
      <c r="Y1367">
        <f>HYPERLINK("https://klasma.github.io/Logging_2083/kartor_geotiff/A 41173-2026 georefererad karta.tif", "A 41173-2026")</f>
        <v/>
      </c>
      <c r="Z1367">
        <f>HYPERLINK("https://klasma.github.io/Logging_2083/knärot/A 41173-2026 karta knärot.png", "A 41173-2026")</f>
        <v/>
      </c>
      <c r="AA1367">
        <f>HYPERLINK("https://klasma.github.io/Logging_2083/klagomål/A 41173-2026 FSC-klagomål.docx", "A 41173-2026")</f>
        <v/>
      </c>
      <c r="AB1367">
        <f>HYPERLINK("https://klasma.github.io/Logging_2083/klagomålsmail/A 41173-2026 FSC-klagomål mail.docx", "A 41173-2026")</f>
        <v/>
      </c>
      <c r="AC1367">
        <f>HYPERLINK("https://klasma.github.io/Logging_2083/tillsyn/A 41173-2026 tillsynsbegäran.docx", "A 41173-2026")</f>
        <v/>
      </c>
      <c r="AD1367">
        <f>HYPERLINK("https://klasma.github.io/Logging_2083/tillsynsmail/A 41173-2026 tillsynsbegäran mail.docx", "A 41173-2026")</f>
        <v/>
      </c>
    </row>
    <row r="1368" ht="15" customHeight="1">
      <c r="A1368" t="inlineStr">
        <is>
          <t>A 41721-2026</t>
        </is>
      </c>
      <c r="B1368" t="inlineStr">
        <is>
          <t>avverkningsanmälan</t>
        </is>
      </c>
      <c r="C1368" t="inlineStr">
        <is>
          <t>Föryngringsavverkning</t>
        </is>
      </c>
      <c r="D1368" s="1" t="n">
        <v>46302</v>
      </c>
      <c r="E1368" s="1" t="n">
        <v>46319</v>
      </c>
      <c r="F1368" t="inlineStr">
        <is>
          <t>DALARNAS LÄN</t>
        </is>
      </c>
      <c r="G1368" t="inlineStr">
        <is>
          <t>SMEDJEBACKEN</t>
        </is>
      </c>
      <c r="H1368" t="inlineStr">
        <is>
          <t>Bergvik skog väst AB</t>
        </is>
      </c>
      <c r="I1368" t="n">
        <v>5.5</v>
      </c>
      <c r="J1368" t="n">
        <v>1</v>
      </c>
      <c r="K1368" t="n">
        <v>0</v>
      </c>
      <c r="L1368" t="n">
        <v>0</v>
      </c>
      <c r="M1368" t="n">
        <v>0</v>
      </c>
      <c r="N1368" t="n">
        <v>0</v>
      </c>
      <c r="O1368" t="n">
        <v>0</v>
      </c>
      <c r="P1368" t="n">
        <v>0</v>
      </c>
      <c r="Q1368" t="n">
        <v>0</v>
      </c>
      <c r="R1368" t="n">
        <v>0</v>
      </c>
      <c r="S1368" t="n">
        <v>1</v>
      </c>
      <c r="T1368" t="n">
        <v>1</v>
      </c>
      <c r="U1368" t="n">
        <v>0</v>
      </c>
      <c r="V1368" s="2" t="inlineStr">
        <is>
          <t>Tjäder</t>
        </is>
      </c>
      <c r="W1368">
        <f>HYPERLINK("https://klasma.github.io/Logging_2061/artfynd/A 41721-2026 artfynd.xlsx", "A 41721-2026")</f>
        <v/>
      </c>
      <c r="X1368">
        <f>HYPERLINK("https://klasma.github.io/Logging_2061/kartor/A 41721-2026 karta.png", "A 41721-2026")</f>
        <v/>
      </c>
      <c r="Y1368">
        <f>HYPERLINK("https://klasma.github.io/Logging_2061/kartor_geotiff/A 41721-2026 georefererad karta.tif", "A 41721-2026")</f>
        <v/>
      </c>
      <c r="AA1368">
        <f>HYPERLINK("https://klasma.github.io/Logging_2061/klagomål/A 41721-2026 FSC-klagomål.docx", "A 41721-2026")</f>
        <v/>
      </c>
      <c r="AB1368">
        <f>HYPERLINK("https://klasma.github.io/Logging_2061/klagomålsmail/A 41721-2026 FSC-klagomål mail.docx", "A 41721-2026")</f>
        <v/>
      </c>
      <c r="AC1368">
        <f>HYPERLINK("https://klasma.github.io/Logging_2061/tillsyn/A 41721-2026 tillsynsbegäran.docx", "A 41721-2026")</f>
        <v/>
      </c>
      <c r="AD1368">
        <f>HYPERLINK("https://klasma.github.io/Logging_2061/tillsynsmail/A 41721-2026 tillsynsbegäran mail.docx", "A 41721-2026")</f>
        <v/>
      </c>
      <c r="AE1368">
        <f>HYPERLINK("https://klasma.github.io/Logging_2061/fåglar/A 41721-2026 prioriterade fågelarter.docx", "A 41721-2026")</f>
        <v/>
      </c>
    </row>
    <row r="1369" ht="15" customHeight="1">
      <c r="A1369" t="inlineStr">
        <is>
          <t>A 56460-2022</t>
        </is>
      </c>
      <c r="B1369" t="inlineStr">
        <is>
          <t>avverkningsanmälan</t>
        </is>
      </c>
      <c r="C1369" t="inlineStr">
        <is>
          <t>Föryngringsavverkning</t>
        </is>
      </c>
      <c r="D1369" s="1" t="n">
        <v>44893</v>
      </c>
      <c r="E1369" s="1" t="n">
        <v>46319</v>
      </c>
      <c r="F1369" t="inlineStr">
        <is>
          <t>DALARNAS LÄN</t>
        </is>
      </c>
      <c r="G1369" t="inlineStr">
        <is>
          <t>MORA</t>
        </is>
      </c>
      <c r="I1369" t="n">
        <v>2.2</v>
      </c>
      <c r="J1369" t="n">
        <v>0</v>
      </c>
      <c r="K1369" t="n">
        <v>0</v>
      </c>
      <c r="L1369" t="n">
        <v>1</v>
      </c>
      <c r="M1369" t="n">
        <v>0</v>
      </c>
      <c r="N1369" t="n">
        <v>0</v>
      </c>
      <c r="O1369" t="n">
        <v>0</v>
      </c>
      <c r="P1369" t="n">
        <v>0</v>
      </c>
      <c r="Q1369" t="n">
        <v>1</v>
      </c>
      <c r="R1369" t="n">
        <v>0</v>
      </c>
      <c r="S1369" t="n">
        <v>1</v>
      </c>
      <c r="T1369" t="n">
        <v>1</v>
      </c>
      <c r="U1369" t="n">
        <v>1</v>
      </c>
      <c r="V1369" s="2" t="inlineStr">
        <is>
          <t>Slåtterfibbla</t>
        </is>
      </c>
      <c r="W1369">
        <f>HYPERLINK("https://klasma.github.io/Logging_2062/artfynd/A 56460-2022 artfynd.xlsx", "A 56460-2022")</f>
        <v/>
      </c>
      <c r="X1369">
        <f>HYPERLINK("https://klasma.github.io/Logging_2062/kartor/A 56460-2022 karta.png", "A 56460-2022")</f>
        <v/>
      </c>
      <c r="Y1369">
        <f>HYPERLINK("https://klasma.github.io/Logging_2062/kartor_geotiff/A 56460-2022 georefererad karta.tif", "A 56460-2022")</f>
        <v/>
      </c>
      <c r="AA1369">
        <f>HYPERLINK("https://klasma.github.io/Logging_2062/klagomål/A 56460-2022 FSC-klagomål.docx", "A 56460-2022")</f>
        <v/>
      </c>
      <c r="AB1369">
        <f>HYPERLINK("https://klasma.github.io/Logging_2062/klagomålsmail/A 56460-2022 FSC-klagomål mail.docx", "A 56460-2022")</f>
        <v/>
      </c>
      <c r="AC1369">
        <f>HYPERLINK("https://klasma.github.io/Logging_2062/tillsyn/A 56460-2022 tillsynsbegäran.docx", "A 56460-2022")</f>
        <v/>
      </c>
      <c r="AD1369">
        <f>HYPERLINK("https://klasma.github.io/Logging_2062/tillsynsmail/A 56460-2022 tillsynsbegäran mail.docx", "A 56460-2022")</f>
        <v/>
      </c>
    </row>
    <row r="1370" ht="15" customHeight="1">
      <c r="A1370" t="inlineStr">
        <is>
          <t>A 41488-2026</t>
        </is>
      </c>
      <c r="B1370" t="inlineStr">
        <is>
          <t>avverkningsanmälan</t>
        </is>
      </c>
      <c r="C1370" t="inlineStr">
        <is>
          <t>Föryngringsavverkning</t>
        </is>
      </c>
      <c r="D1370" s="1" t="n">
        <v>46301</v>
      </c>
      <c r="E1370" s="1" t="n">
        <v>46319</v>
      </c>
      <c r="F1370" t="inlineStr">
        <is>
          <t>DALARNAS LÄN</t>
        </is>
      </c>
      <c r="G1370" t="inlineStr">
        <is>
          <t>MORA</t>
        </is>
      </c>
      <c r="H1370" t="inlineStr">
        <is>
          <t>Bergvik skog öst AB</t>
        </is>
      </c>
      <c r="I1370" t="n">
        <v>0.7</v>
      </c>
      <c r="J1370" t="n">
        <v>0</v>
      </c>
      <c r="K1370" t="n">
        <v>0</v>
      </c>
      <c r="L1370" t="n">
        <v>1</v>
      </c>
      <c r="M1370" t="n">
        <v>0</v>
      </c>
      <c r="N1370" t="n">
        <v>0</v>
      </c>
      <c r="O1370" t="n">
        <v>0</v>
      </c>
      <c r="P1370" t="n">
        <v>0</v>
      </c>
      <c r="Q1370" t="n">
        <v>1</v>
      </c>
      <c r="R1370" t="n">
        <v>0</v>
      </c>
      <c r="S1370" t="n">
        <v>1</v>
      </c>
      <c r="T1370" t="n">
        <v>1</v>
      </c>
      <c r="U1370" t="n">
        <v>0</v>
      </c>
      <c r="V1370" s="2" t="inlineStr">
        <is>
          <t>Dropptaggsvamp</t>
        </is>
      </c>
      <c r="W1370">
        <f>HYPERLINK("https://klasma.github.io/Logging_2062/artfynd/A 41488-2026 artfynd.xlsx", "A 41488-2026")</f>
        <v/>
      </c>
      <c r="X1370">
        <f>HYPERLINK("https://klasma.github.io/Logging_2062/kartor/A 41488-2026 karta.png", "A 41488-2026")</f>
        <v/>
      </c>
      <c r="Y1370">
        <f>HYPERLINK("https://klasma.github.io/Logging_2062/kartor_geotiff/A 41488-2026 georefererad karta.tif", "A 41488-2026")</f>
        <v/>
      </c>
      <c r="AA1370">
        <f>HYPERLINK("https://klasma.github.io/Logging_2062/klagomål/A 41488-2026 FSC-klagomål.docx", "A 41488-2026")</f>
        <v/>
      </c>
      <c r="AB1370">
        <f>HYPERLINK("https://klasma.github.io/Logging_2062/klagomålsmail/A 41488-2026 FSC-klagomål mail.docx", "A 41488-2026")</f>
        <v/>
      </c>
      <c r="AC1370">
        <f>HYPERLINK("https://klasma.github.io/Logging_2062/tillsyn/A 41488-2026 tillsynsbegäran.docx", "A 41488-2026")</f>
        <v/>
      </c>
      <c r="AD1370">
        <f>HYPERLINK("https://klasma.github.io/Logging_2062/tillsynsmail/A 41488-2026 tillsynsbegäran mail.docx", "A 41488-2026")</f>
        <v/>
      </c>
    </row>
    <row r="1371" ht="15" customHeight="1">
      <c r="A1371" t="inlineStr">
        <is>
          <t>A 15178-2026</t>
        </is>
      </c>
      <c r="B1371" t="inlineStr">
        <is>
          <t>avverkningsanmälan</t>
        </is>
      </c>
      <c r="C1371" t="inlineStr">
        <is>
          <t>Föryngringsavverkning</t>
        </is>
      </c>
      <c r="D1371" s="1" t="n">
        <v>46105</v>
      </c>
      <c r="E1371" s="1" t="n">
        <v>46319</v>
      </c>
      <c r="F1371" t="inlineStr">
        <is>
          <t>DALARNAS LÄN</t>
        </is>
      </c>
      <c r="G1371" t="inlineStr">
        <is>
          <t>FALUN</t>
        </is>
      </c>
      <c r="H1371" t="inlineStr">
        <is>
          <t>Bergvik skog väst AB</t>
        </is>
      </c>
      <c r="I1371" t="n">
        <v>17.1</v>
      </c>
      <c r="J1371" t="n">
        <v>0</v>
      </c>
      <c r="K1371" t="n">
        <v>0</v>
      </c>
      <c r="L1371" t="n">
        <v>1</v>
      </c>
      <c r="M1371" t="n">
        <v>0</v>
      </c>
      <c r="N1371" t="n">
        <v>0</v>
      </c>
      <c r="O1371" t="n">
        <v>0</v>
      </c>
      <c r="P1371" t="n">
        <v>0</v>
      </c>
      <c r="Q1371" t="n">
        <v>1</v>
      </c>
      <c r="R1371" t="n">
        <v>0</v>
      </c>
      <c r="S1371" t="n">
        <v>1</v>
      </c>
      <c r="T1371" t="n">
        <v>1</v>
      </c>
      <c r="U1371" t="n">
        <v>0</v>
      </c>
      <c r="V1371" s="2" t="inlineStr">
        <is>
          <t>Stjärntagging</t>
        </is>
      </c>
      <c r="W1371">
        <f>HYPERLINK("https://klasma.github.io/Logging_2080/artfynd/A 15178-2026 artfynd.xlsx", "A 15178-2026")</f>
        <v/>
      </c>
      <c r="X1371">
        <f>HYPERLINK("https://klasma.github.io/Logging_2080/kartor/A 15178-2026 karta.png", "A 15178-2026")</f>
        <v/>
      </c>
      <c r="Y1371">
        <f>HYPERLINK("https://klasma.github.io/Logging_2080/kartor_geotiff/A 15178-2026 georefererad karta.tif", "A 15178-2026")</f>
        <v/>
      </c>
      <c r="AA1371">
        <f>HYPERLINK("https://klasma.github.io/Logging_2080/klagomål/A 15178-2026 FSC-klagomål.docx", "A 15178-2026")</f>
        <v/>
      </c>
      <c r="AB1371">
        <f>HYPERLINK("https://klasma.github.io/Logging_2080/klagomålsmail/A 15178-2026 FSC-klagomål mail.docx", "A 15178-2026")</f>
        <v/>
      </c>
      <c r="AC1371">
        <f>HYPERLINK("https://klasma.github.io/Logging_2080/tillsyn/A 15178-2026 tillsynsbegäran.docx", "A 15178-2026")</f>
        <v/>
      </c>
      <c r="AD1371">
        <f>HYPERLINK("https://klasma.github.io/Logging_2080/tillsynsmail/A 15178-2026 tillsynsbegäran mail.docx", "A 15178-2026")</f>
        <v/>
      </c>
    </row>
    <row r="1372" ht="15" customHeight="1">
      <c r="A1372" t="inlineStr">
        <is>
          <t>A 34938-2025</t>
        </is>
      </c>
      <c r="B1372" t="inlineStr">
        <is>
          <t>avverkningsanmälan</t>
        </is>
      </c>
      <c r="C1372" t="inlineStr">
        <is>
          <t>Föryngringsavverkning</t>
        </is>
      </c>
      <c r="D1372" s="1" t="n">
        <v>45849</v>
      </c>
      <c r="E1372" s="1" t="n">
        <v>46319</v>
      </c>
      <c r="F1372" t="inlineStr">
        <is>
          <t>DALARNAS LÄN</t>
        </is>
      </c>
      <c r="G1372" t="inlineStr">
        <is>
          <t>SÄTER</t>
        </is>
      </c>
      <c r="I1372" t="n">
        <v>2.3</v>
      </c>
      <c r="J1372" t="n">
        <v>0</v>
      </c>
      <c r="K1372" t="n">
        <v>0</v>
      </c>
      <c r="L1372" t="n">
        <v>1</v>
      </c>
      <c r="M1372" t="n">
        <v>0</v>
      </c>
      <c r="N1372" t="n">
        <v>0</v>
      </c>
      <c r="O1372" t="n">
        <v>0</v>
      </c>
      <c r="P1372" t="n">
        <v>0</v>
      </c>
      <c r="Q1372" t="n">
        <v>1</v>
      </c>
      <c r="R1372" t="n">
        <v>0</v>
      </c>
      <c r="S1372" t="n">
        <v>1</v>
      </c>
      <c r="T1372" t="n">
        <v>1</v>
      </c>
      <c r="U1372" t="n">
        <v>0</v>
      </c>
      <c r="V1372" s="2" t="inlineStr">
        <is>
          <t>Ullticka</t>
        </is>
      </c>
      <c r="W1372">
        <f>HYPERLINK("https://klasma.github.io/Logging_2082/artfynd/A 34938-2025 artfynd.xlsx", "A 34938-2025")</f>
        <v/>
      </c>
      <c r="X1372">
        <f>HYPERLINK("https://klasma.github.io/Logging_2082/kartor/A 34938-2025 karta.png", "A 34938-2025")</f>
        <v/>
      </c>
      <c r="Y1372">
        <f>HYPERLINK("https://klasma.github.io/Logging_2082/kartor_geotiff/A 34938-2025 georefererad karta.tif", "A 34938-2025")</f>
        <v/>
      </c>
      <c r="AA1372">
        <f>HYPERLINK("https://klasma.github.io/Logging_2082/klagomål/A 34938-2025 FSC-klagomål.docx", "A 34938-2025")</f>
        <v/>
      </c>
      <c r="AB1372">
        <f>HYPERLINK("https://klasma.github.io/Logging_2082/klagomålsmail/A 34938-2025 FSC-klagomål mail.docx", "A 34938-2025")</f>
        <v/>
      </c>
      <c r="AC1372">
        <f>HYPERLINK("https://klasma.github.io/Logging_2082/tillsyn/A 34938-2025 tillsynsbegäran.docx", "A 34938-2025")</f>
        <v/>
      </c>
      <c r="AD1372">
        <f>HYPERLINK("https://klasma.github.io/Logging_2082/tillsynsmail/A 34938-2025 tillsynsbegäran mail.docx", "A 34938-2025")</f>
        <v/>
      </c>
    </row>
    <row r="1373" ht="15" customHeight="1">
      <c r="A1373" t="inlineStr">
        <is>
          <t>A 35000-2026</t>
        </is>
      </c>
      <c r="B1373" t="inlineStr">
        <is>
          <t>avverkningsanmälan</t>
        </is>
      </c>
      <c r="C1373" t="inlineStr">
        <is>
          <t>Föryngringsavverkning</t>
        </is>
      </c>
      <c r="D1373" s="1" t="n">
        <v>46259</v>
      </c>
      <c r="E1373" s="1" t="n">
        <v>46319</v>
      </c>
      <c r="F1373" t="inlineStr">
        <is>
          <t>DALARNAS LÄN</t>
        </is>
      </c>
      <c r="G1373" t="inlineStr">
        <is>
          <t>FALUN</t>
        </is>
      </c>
      <c r="H1373" t="inlineStr">
        <is>
          <t>Sveaskog</t>
        </is>
      </c>
      <c r="I1373" t="n">
        <v>18.4</v>
      </c>
      <c r="J1373" t="n">
        <v>1</v>
      </c>
      <c r="K1373" t="n">
        <v>0</v>
      </c>
      <c r="L1373" t="n">
        <v>0</v>
      </c>
      <c r="M1373" t="n">
        <v>0</v>
      </c>
      <c r="N1373" t="n">
        <v>0</v>
      </c>
      <c r="O1373" t="n">
        <v>0</v>
      </c>
      <c r="P1373" t="n">
        <v>0</v>
      </c>
      <c r="Q1373" t="n">
        <v>0</v>
      </c>
      <c r="R1373" t="n">
        <v>0</v>
      </c>
      <c r="S1373" t="n">
        <v>1</v>
      </c>
      <c r="T1373" t="n">
        <v>1</v>
      </c>
      <c r="U1373" t="n">
        <v>0</v>
      </c>
      <c r="V1373" s="2" t="inlineStr">
        <is>
          <t>Mattlummer</t>
        </is>
      </c>
      <c r="W1373">
        <f>HYPERLINK("https://klasma.github.io/Logging_2080/artfynd/A 35000-2026 artfynd.xlsx", "A 35000-2026")</f>
        <v/>
      </c>
      <c r="X1373">
        <f>HYPERLINK("https://klasma.github.io/Logging_2080/kartor/A 35000-2026 karta.png", "A 35000-2026")</f>
        <v/>
      </c>
      <c r="Y1373">
        <f>HYPERLINK("https://klasma.github.io/Logging_2080/kartor_geotiff/A 35000-2026 georefererad karta.tif", "A 35000-2026")</f>
        <v/>
      </c>
      <c r="AA1373">
        <f>HYPERLINK("https://klasma.github.io/Logging_2080/klagomål/A 35000-2026 FSC-klagomål.docx", "A 35000-2026")</f>
        <v/>
      </c>
      <c r="AB1373">
        <f>HYPERLINK("https://klasma.github.io/Logging_2080/klagomålsmail/A 35000-2026 FSC-klagomål mail.docx", "A 35000-2026")</f>
        <v/>
      </c>
      <c r="AC1373">
        <f>HYPERLINK("https://klasma.github.io/Logging_2080/tillsyn/A 35000-2026 tillsynsbegäran.docx", "A 35000-2026")</f>
        <v/>
      </c>
      <c r="AD1373">
        <f>HYPERLINK("https://klasma.github.io/Logging_2080/tillsynsmail/A 35000-2026 tillsynsbegäran mail.docx", "A 35000-2026")</f>
        <v/>
      </c>
    </row>
    <row r="1374" ht="15" customHeight="1">
      <c r="A1374" t="inlineStr">
        <is>
          <t>A 35221-2025</t>
        </is>
      </c>
      <c r="B1374" t="inlineStr">
        <is>
          <t>avverkningsanmälan</t>
        </is>
      </c>
      <c r="C1374" t="inlineStr">
        <is>
          <t>Föryngringsavverkning</t>
        </is>
      </c>
      <c r="D1374" s="1" t="n">
        <v>45853</v>
      </c>
      <c r="E1374" s="1" t="n">
        <v>46319</v>
      </c>
      <c r="F1374" t="inlineStr">
        <is>
          <t>DALARNAS LÄN</t>
        </is>
      </c>
      <c r="G1374" t="inlineStr">
        <is>
          <t>SÄTER</t>
        </is>
      </c>
      <c r="I1374" t="n">
        <v>9.5</v>
      </c>
      <c r="J1374" t="n">
        <v>0</v>
      </c>
      <c r="K1374" t="n">
        <v>0</v>
      </c>
      <c r="L1374" t="n">
        <v>1</v>
      </c>
      <c r="M1374" t="n">
        <v>0</v>
      </c>
      <c r="N1374" t="n">
        <v>0</v>
      </c>
      <c r="O1374" t="n">
        <v>0</v>
      </c>
      <c r="P1374" t="n">
        <v>0</v>
      </c>
      <c r="Q1374" t="n">
        <v>1</v>
      </c>
      <c r="R1374" t="n">
        <v>0</v>
      </c>
      <c r="S1374" t="n">
        <v>1</v>
      </c>
      <c r="T1374" t="n">
        <v>1</v>
      </c>
      <c r="U1374" t="n">
        <v>0</v>
      </c>
      <c r="V1374" s="2" t="inlineStr">
        <is>
          <t>Vedskivlav</t>
        </is>
      </c>
      <c r="W1374">
        <f>HYPERLINK("https://klasma.github.io/Logging_2082/artfynd/A 35221-2025 artfynd.xlsx", "A 35221-2025")</f>
        <v/>
      </c>
      <c r="X1374">
        <f>HYPERLINK("https://klasma.github.io/Logging_2082/kartor/A 35221-2025 karta.png", "A 35221-2025")</f>
        <v/>
      </c>
      <c r="Y1374">
        <f>HYPERLINK("https://klasma.github.io/Logging_2082/kartor_geotiff/A 35221-2025 georefererad karta.tif", "A 35221-2025")</f>
        <v/>
      </c>
      <c r="AA1374">
        <f>HYPERLINK("https://klasma.github.io/Logging_2082/klagomål/A 35221-2025 FSC-klagomål.docx", "A 35221-2025")</f>
        <v/>
      </c>
      <c r="AB1374">
        <f>HYPERLINK("https://klasma.github.io/Logging_2082/klagomålsmail/A 35221-2025 FSC-klagomål mail.docx", "A 35221-2025")</f>
        <v/>
      </c>
      <c r="AC1374">
        <f>HYPERLINK("https://klasma.github.io/Logging_2082/tillsyn/A 35221-2025 tillsynsbegäran.docx", "A 35221-2025")</f>
        <v/>
      </c>
      <c r="AD1374">
        <f>HYPERLINK("https://klasma.github.io/Logging_2082/tillsynsmail/A 35221-2025 tillsynsbegäran mail.docx", "A 35221-2025")</f>
        <v/>
      </c>
    </row>
    <row r="1375" ht="15" customHeight="1">
      <c r="A1375" t="inlineStr">
        <is>
          <t>A 35352-2025</t>
        </is>
      </c>
      <c r="B1375" t="inlineStr">
        <is>
          <t>avverkningsanmälan</t>
        </is>
      </c>
      <c r="C1375" t="inlineStr">
        <is>
          <t>Avverkning för annat ändamål</t>
        </is>
      </c>
      <c r="D1375" s="1" t="n">
        <v>45853</v>
      </c>
      <c r="E1375" s="1" t="n">
        <v>46319</v>
      </c>
      <c r="F1375" t="inlineStr">
        <is>
          <t>DALARNAS LÄN</t>
        </is>
      </c>
      <c r="G1375" t="inlineStr">
        <is>
          <t>ÄLVDALEN</t>
        </is>
      </c>
      <c r="H1375" t="inlineStr">
        <is>
          <t>Sveaskog</t>
        </is>
      </c>
      <c r="I1375" t="n">
        <v>0.7</v>
      </c>
      <c r="J1375" t="n">
        <v>0</v>
      </c>
      <c r="K1375" t="n">
        <v>0</v>
      </c>
      <c r="L1375" t="n">
        <v>0</v>
      </c>
      <c r="M1375" t="n">
        <v>1</v>
      </c>
      <c r="N1375" t="n">
        <v>0</v>
      </c>
      <c r="O1375" t="n">
        <v>0</v>
      </c>
      <c r="P1375" t="n">
        <v>0</v>
      </c>
      <c r="Q1375" t="n">
        <v>1</v>
      </c>
      <c r="R1375" t="n">
        <v>1</v>
      </c>
      <c r="S1375" t="n">
        <v>1</v>
      </c>
      <c r="T1375" t="n">
        <v>1</v>
      </c>
      <c r="U1375" t="n">
        <v>0</v>
      </c>
      <c r="V1375" s="2" t="inlineStr">
        <is>
          <t>Gräddporing</t>
        </is>
      </c>
      <c r="W1375">
        <f>HYPERLINK("https://klasma.github.io/Logging_2039/artfynd/A 35352-2025 artfynd.xlsx", "A 35352-2025")</f>
        <v/>
      </c>
      <c r="X1375">
        <f>HYPERLINK("https://klasma.github.io/Logging_2039/kartor/A 35352-2025 karta.png", "A 35352-2025")</f>
        <v/>
      </c>
      <c r="Y1375">
        <f>HYPERLINK("https://klasma.github.io/Logging_2039/kartor_geotiff/A 35352-2025 georefererad karta.tif", "A 35352-2025")</f>
        <v/>
      </c>
      <c r="AA1375">
        <f>HYPERLINK("https://klasma.github.io/Logging_2039/klagomål/A 35352-2025 FSC-klagomål.docx", "A 35352-2025")</f>
        <v/>
      </c>
      <c r="AB1375">
        <f>HYPERLINK("https://klasma.github.io/Logging_2039/klagomålsmail/A 35352-2025 FSC-klagomål mail.docx", "A 35352-2025")</f>
        <v/>
      </c>
      <c r="AC1375">
        <f>HYPERLINK("https://klasma.github.io/Logging_2039/tillsyn/A 35352-2025 tillsynsbegäran.docx", "A 35352-2025")</f>
        <v/>
      </c>
      <c r="AD1375">
        <f>HYPERLINK("https://klasma.github.io/Logging_2039/tillsynsmail/A 35352-2025 tillsynsbegäran mail.docx", "A 35352-2025")</f>
        <v/>
      </c>
    </row>
    <row r="1376" ht="15" customHeight="1">
      <c r="A1376" t="inlineStr">
        <is>
          <t>A 29733-2025</t>
        </is>
      </c>
      <c r="B1376" t="inlineStr">
        <is>
          <t>avverkningsanmälan</t>
        </is>
      </c>
      <c r="C1376" t="inlineStr">
        <is>
          <t>Föryngringsavverkning</t>
        </is>
      </c>
      <c r="D1376" s="1" t="n">
        <v>45825</v>
      </c>
      <c r="E1376" s="1" t="n">
        <v>46319</v>
      </c>
      <c r="F1376" t="inlineStr">
        <is>
          <t>DALARNAS LÄN</t>
        </is>
      </c>
      <c r="G1376" t="inlineStr">
        <is>
          <t>LUDVIKA</t>
        </is>
      </c>
      <c r="H1376" t="inlineStr">
        <is>
          <t>Bergvik skog väst AB</t>
        </is>
      </c>
      <c r="I1376" t="n">
        <v>10.4</v>
      </c>
      <c r="J1376" t="n">
        <v>0</v>
      </c>
      <c r="K1376" t="n">
        <v>1</v>
      </c>
      <c r="L1376" t="n">
        <v>0</v>
      </c>
      <c r="M1376" t="n">
        <v>0</v>
      </c>
      <c r="N1376" t="n">
        <v>0</v>
      </c>
      <c r="O1376" t="n">
        <v>0</v>
      </c>
      <c r="P1376" t="n">
        <v>0</v>
      </c>
      <c r="Q1376" t="n">
        <v>0</v>
      </c>
      <c r="R1376" t="n">
        <v>0</v>
      </c>
      <c r="S1376" t="n">
        <v>1</v>
      </c>
      <c r="T1376" t="n">
        <v>1</v>
      </c>
      <c r="U1376" t="n">
        <v>0</v>
      </c>
      <c r="V1376" s="2" t="inlineStr">
        <is>
          <t>Stuplav</t>
        </is>
      </c>
      <c r="W1376">
        <f>HYPERLINK("https://klasma.github.io/Logging_2085/artfynd/A 29733-2025 artfynd.xlsx", "A 29733-2025")</f>
        <v/>
      </c>
      <c r="X1376">
        <f>HYPERLINK("https://klasma.github.io/Logging_2085/kartor/A 29733-2025 karta.png", "A 29733-2025")</f>
        <v/>
      </c>
      <c r="Y1376">
        <f>HYPERLINK("https://klasma.github.io/Logging_2085/kartor_geotiff/A 29733-2025 georefererad karta.tif", "A 29733-2025")</f>
        <v/>
      </c>
      <c r="AA1376">
        <f>HYPERLINK("https://klasma.github.io/Logging_2085/klagomål/A 29733-2025 FSC-klagomål.docx", "A 29733-2025")</f>
        <v/>
      </c>
      <c r="AB1376">
        <f>HYPERLINK("https://klasma.github.io/Logging_2085/klagomålsmail/A 29733-2025 FSC-klagomål mail.docx", "A 29733-2025")</f>
        <v/>
      </c>
      <c r="AC1376">
        <f>HYPERLINK("https://klasma.github.io/Logging_2085/tillsyn/A 29733-2025 tillsynsbegäran.docx", "A 29733-2025")</f>
        <v/>
      </c>
      <c r="AD1376">
        <f>HYPERLINK("https://klasma.github.io/Logging_2085/tillsynsmail/A 29733-2025 tillsynsbegäran mail.docx", "A 29733-2025")</f>
        <v/>
      </c>
    </row>
    <row r="1377" ht="15" customHeight="1">
      <c r="A1377" t="inlineStr">
        <is>
          <t>A 15987-2026</t>
        </is>
      </c>
      <c r="B1377" t="inlineStr">
        <is>
          <t>avverkningsanmälan</t>
        </is>
      </c>
      <c r="C1377" t="inlineStr">
        <is>
          <t>Föryngringsavverkning</t>
        </is>
      </c>
      <c r="D1377" s="1" t="n">
        <v>46108</v>
      </c>
      <c r="E1377" s="1" t="n">
        <v>46319</v>
      </c>
      <c r="F1377" t="inlineStr">
        <is>
          <t>DALARNAS LÄN</t>
        </is>
      </c>
      <c r="G1377" t="inlineStr">
        <is>
          <t>AVESTA</t>
        </is>
      </c>
      <c r="I1377" t="n">
        <v>1.9</v>
      </c>
      <c r="J1377" t="n">
        <v>1</v>
      </c>
      <c r="K1377" t="n">
        <v>0</v>
      </c>
      <c r="L1377" t="n">
        <v>0</v>
      </c>
      <c r="M1377" t="n">
        <v>0</v>
      </c>
      <c r="N1377" t="n">
        <v>0</v>
      </c>
      <c r="O1377" t="n">
        <v>0</v>
      </c>
      <c r="P1377" t="n">
        <v>0</v>
      </c>
      <c r="Q1377" t="n">
        <v>0</v>
      </c>
      <c r="R1377" t="n">
        <v>0</v>
      </c>
      <c r="S1377" t="n">
        <v>1</v>
      </c>
      <c r="T1377" t="n">
        <v>1</v>
      </c>
      <c r="U1377" t="n">
        <v>0</v>
      </c>
      <c r="V1377" s="2" t="inlineStr">
        <is>
          <t>Lopplummer (aggregat)</t>
        </is>
      </c>
      <c r="W1377">
        <f>HYPERLINK("https://klasma.github.io/Logging_2084/artfynd/A 15987-2026 artfynd.xlsx", "A 15987-2026")</f>
        <v/>
      </c>
      <c r="X1377">
        <f>HYPERLINK("https://klasma.github.io/Logging_2084/kartor/A 15987-2026 karta.png", "A 15987-2026")</f>
        <v/>
      </c>
      <c r="Y1377">
        <f>HYPERLINK("https://klasma.github.io/Logging_2084/kartor_geotiff/A 15987-2026 georefererad karta.tif", "A 15987-2026")</f>
        <v/>
      </c>
      <c r="AA1377">
        <f>HYPERLINK("https://klasma.github.io/Logging_2084/klagomål/A 15987-2026 FSC-klagomål.docx", "A 15987-2026")</f>
        <v/>
      </c>
      <c r="AB1377">
        <f>HYPERLINK("https://klasma.github.io/Logging_2084/klagomålsmail/A 15987-2026 FSC-klagomål mail.docx", "A 15987-2026")</f>
        <v/>
      </c>
      <c r="AC1377">
        <f>HYPERLINK("https://klasma.github.io/Logging_2084/tillsyn/A 15987-2026 tillsynsbegäran.docx", "A 15987-2026")</f>
        <v/>
      </c>
      <c r="AD1377">
        <f>HYPERLINK("https://klasma.github.io/Logging_2084/tillsynsmail/A 15987-2026 tillsynsbegäran mail.docx", "A 15987-2026")</f>
        <v/>
      </c>
    </row>
    <row r="1378" ht="15" customHeight="1">
      <c r="A1378" t="inlineStr">
        <is>
          <t>A 15058-2025</t>
        </is>
      </c>
      <c r="B1378" t="inlineStr">
        <is>
          <t>avverkningsanmälan</t>
        </is>
      </c>
      <c r="C1378" t="inlineStr">
        <is>
          <t>Föryngringsavverkning</t>
        </is>
      </c>
      <c r="D1378" s="1" t="n">
        <v>45743</v>
      </c>
      <c r="E1378" s="1" t="n">
        <v>46319</v>
      </c>
      <c r="F1378" t="inlineStr">
        <is>
          <t>DALARNAS LÄN</t>
        </is>
      </c>
      <c r="G1378" t="inlineStr">
        <is>
          <t>HEDEMORA</t>
        </is>
      </c>
      <c r="H1378" t="inlineStr">
        <is>
          <t>Sveaskog</t>
        </is>
      </c>
      <c r="I1378" t="n">
        <v>4.2</v>
      </c>
      <c r="J1378" t="n">
        <v>0</v>
      </c>
      <c r="K1378" t="n">
        <v>0</v>
      </c>
      <c r="L1378" t="n">
        <v>1</v>
      </c>
      <c r="M1378" t="n">
        <v>0</v>
      </c>
      <c r="N1378" t="n">
        <v>0</v>
      </c>
      <c r="O1378" t="n">
        <v>0</v>
      </c>
      <c r="P1378" t="n">
        <v>0</v>
      </c>
      <c r="Q1378" t="n">
        <v>1</v>
      </c>
      <c r="R1378" t="n">
        <v>0</v>
      </c>
      <c r="S1378" t="n">
        <v>1</v>
      </c>
      <c r="T1378" t="n">
        <v>4</v>
      </c>
      <c r="U1378" t="n">
        <v>1</v>
      </c>
      <c r="V1378" s="2" t="inlineStr">
        <is>
          <t>Dropptaggsvamp</t>
        </is>
      </c>
      <c r="W1378">
        <f>HYPERLINK("https://klasma.github.io/Logging_2083/artfynd/A 15058-2025 artfynd.xlsx", "A 15058-2025")</f>
        <v/>
      </c>
      <c r="X1378">
        <f>HYPERLINK("https://klasma.github.io/Logging_2083/kartor/A 15058-2025 karta.png", "A 15058-2025")</f>
        <v/>
      </c>
      <c r="Y1378">
        <f>HYPERLINK("https://klasma.github.io/Logging_2083/kartor_geotiff/A 15058-2025 georefererad karta.tif", "A 15058-2025")</f>
        <v/>
      </c>
      <c r="AA1378">
        <f>HYPERLINK("https://klasma.github.io/Logging_2083/klagomål/A 15058-2025 FSC-klagomål.docx", "A 15058-2025")</f>
        <v/>
      </c>
      <c r="AB1378">
        <f>HYPERLINK("https://klasma.github.io/Logging_2083/klagomålsmail/A 15058-2025 FSC-klagomål mail.docx", "A 15058-2025")</f>
        <v/>
      </c>
      <c r="AC1378">
        <f>HYPERLINK("https://klasma.github.io/Logging_2083/tillsyn/A 15058-2025 tillsynsbegäran.docx", "A 15058-2025")</f>
        <v/>
      </c>
      <c r="AD1378">
        <f>HYPERLINK("https://klasma.github.io/Logging_2083/tillsynsmail/A 15058-2025 tillsynsbegäran mail.docx", "A 15058-2025")</f>
        <v/>
      </c>
    </row>
    <row r="1379" ht="15" customHeight="1">
      <c r="A1379" t="inlineStr">
        <is>
          <t>A 34804-2026</t>
        </is>
      </c>
      <c r="B1379" t="inlineStr">
        <is>
          <t>avverkningsanmälan</t>
        </is>
      </c>
      <c r="C1379" t="inlineStr">
        <is>
          <t>Föryngringsavverkning</t>
        </is>
      </c>
      <c r="D1379" s="1" t="n">
        <v>46258</v>
      </c>
      <c r="E1379" s="1" t="n">
        <v>46319</v>
      </c>
      <c r="F1379" t="inlineStr">
        <is>
          <t>DALARNAS LÄN</t>
        </is>
      </c>
      <c r="G1379" t="inlineStr">
        <is>
          <t>GAGNEF</t>
        </is>
      </c>
      <c r="I1379" t="n">
        <v>1.3</v>
      </c>
      <c r="J1379" t="n">
        <v>1</v>
      </c>
      <c r="K1379" t="n">
        <v>0</v>
      </c>
      <c r="L1379" t="n">
        <v>0</v>
      </c>
      <c r="M1379" t="n">
        <v>0</v>
      </c>
      <c r="N1379" t="n">
        <v>0</v>
      </c>
      <c r="O1379" t="n">
        <v>0</v>
      </c>
      <c r="P1379" t="n">
        <v>0</v>
      </c>
      <c r="Q1379" t="n">
        <v>0</v>
      </c>
      <c r="R1379" t="n">
        <v>0</v>
      </c>
      <c r="S1379" t="n">
        <v>1</v>
      </c>
      <c r="T1379" t="n">
        <v>1</v>
      </c>
      <c r="U1379" t="n">
        <v>0</v>
      </c>
      <c r="V1379" s="2" t="inlineStr">
        <is>
          <t>Mindre vattensalamander</t>
        </is>
      </c>
      <c r="W1379">
        <f>HYPERLINK("https://klasma.github.io/Logging_2026/artfynd/A 34804-2026 artfynd.xlsx", "A 34804-2026")</f>
        <v/>
      </c>
      <c r="X1379">
        <f>HYPERLINK("https://klasma.github.io/Logging_2026/kartor/A 34804-2026 karta.png", "A 34804-2026")</f>
        <v/>
      </c>
      <c r="Y1379">
        <f>HYPERLINK("https://klasma.github.io/Logging_2026/kartor_geotiff/A 34804-2026 georefererad karta.tif", "A 34804-2026")</f>
        <v/>
      </c>
      <c r="AA1379">
        <f>HYPERLINK("https://klasma.github.io/Logging_2026/klagomål/A 34804-2026 FSC-klagomål.docx", "A 34804-2026")</f>
        <v/>
      </c>
      <c r="AB1379">
        <f>HYPERLINK("https://klasma.github.io/Logging_2026/klagomålsmail/A 34804-2026 FSC-klagomål mail.docx", "A 34804-2026")</f>
        <v/>
      </c>
      <c r="AC1379">
        <f>HYPERLINK("https://klasma.github.io/Logging_2026/tillsyn/A 34804-2026 tillsynsbegäran.docx", "A 34804-2026")</f>
        <v/>
      </c>
      <c r="AD1379">
        <f>HYPERLINK("https://klasma.github.io/Logging_2026/tillsynsmail/A 34804-2026 tillsynsbegäran mail.docx", "A 34804-2026")</f>
        <v/>
      </c>
    </row>
    <row r="1380" ht="15" customHeight="1">
      <c r="A1380" t="inlineStr">
        <is>
          <t>A 15054-2025</t>
        </is>
      </c>
      <c r="B1380" t="inlineStr">
        <is>
          <t>avverkningsanmälan</t>
        </is>
      </c>
      <c r="C1380" t="inlineStr">
        <is>
          <t>Föryngringsavverkning</t>
        </is>
      </c>
      <c r="D1380" s="1" t="n">
        <v>45743</v>
      </c>
      <c r="E1380" s="1" t="n">
        <v>46319</v>
      </c>
      <c r="F1380" t="inlineStr">
        <is>
          <t>DALARNAS LÄN</t>
        </is>
      </c>
      <c r="G1380" t="inlineStr">
        <is>
          <t>HEDEMORA</t>
        </is>
      </c>
      <c r="H1380" t="inlineStr">
        <is>
          <t>Sveaskog</t>
        </is>
      </c>
      <c r="I1380" t="n">
        <v>5.2</v>
      </c>
      <c r="J1380" t="n">
        <v>0</v>
      </c>
      <c r="K1380" t="n">
        <v>0</v>
      </c>
      <c r="L1380" t="n">
        <v>1</v>
      </c>
      <c r="M1380" t="n">
        <v>0</v>
      </c>
      <c r="N1380" t="n">
        <v>0</v>
      </c>
      <c r="O1380" t="n">
        <v>0</v>
      </c>
      <c r="P1380" t="n">
        <v>0</v>
      </c>
      <c r="Q1380" t="n">
        <v>1</v>
      </c>
      <c r="R1380" t="n">
        <v>0</v>
      </c>
      <c r="S1380" t="n">
        <v>1</v>
      </c>
      <c r="T1380" t="n">
        <v>1</v>
      </c>
      <c r="U1380" t="n">
        <v>0</v>
      </c>
      <c r="V1380" s="2" t="inlineStr">
        <is>
          <t>Dropptaggsvamp</t>
        </is>
      </c>
      <c r="W1380">
        <f>HYPERLINK("https://klasma.github.io/Logging_2083/artfynd/A 15054-2025 artfynd.xlsx", "A 15054-2025")</f>
        <v/>
      </c>
      <c r="X1380">
        <f>HYPERLINK("https://klasma.github.io/Logging_2083/kartor/A 15054-2025 karta.png", "A 15054-2025")</f>
        <v/>
      </c>
      <c r="Y1380">
        <f>HYPERLINK("https://klasma.github.io/Logging_2083/kartor_geotiff/A 15054-2025 georefererad karta.tif", "A 15054-2025")</f>
        <v/>
      </c>
      <c r="AA1380">
        <f>HYPERLINK("https://klasma.github.io/Logging_2083/klagomål/A 15054-2025 FSC-klagomål.docx", "A 15054-2025")</f>
        <v/>
      </c>
      <c r="AB1380">
        <f>HYPERLINK("https://klasma.github.io/Logging_2083/klagomålsmail/A 15054-2025 FSC-klagomål mail.docx", "A 15054-2025")</f>
        <v/>
      </c>
      <c r="AC1380">
        <f>HYPERLINK("https://klasma.github.io/Logging_2083/tillsyn/A 15054-2025 tillsynsbegäran.docx", "A 15054-2025")</f>
        <v/>
      </c>
      <c r="AD1380">
        <f>HYPERLINK("https://klasma.github.io/Logging_2083/tillsynsmail/A 15054-2025 tillsynsbegäran mail.docx", "A 15054-2025")</f>
        <v/>
      </c>
    </row>
    <row r="1381" ht="15" customHeight="1">
      <c r="A1381" t="inlineStr">
        <is>
          <t>A 17913-2025</t>
        </is>
      </c>
      <c r="B1381" t="inlineStr">
        <is>
          <t>avverkningsanmälan</t>
        </is>
      </c>
      <c r="C1381" t="inlineStr">
        <is>
          <t>Föryngringsavverkning</t>
        </is>
      </c>
      <c r="D1381" s="1" t="n">
        <v>45758</v>
      </c>
      <c r="E1381" s="1" t="n">
        <v>46319</v>
      </c>
      <c r="F1381" t="inlineStr">
        <is>
          <t>DALARNAS LÄN</t>
        </is>
      </c>
      <c r="G1381" t="inlineStr">
        <is>
          <t>AVESTA</t>
        </is>
      </c>
      <c r="I1381" t="n">
        <v>10.2</v>
      </c>
      <c r="J1381" t="n">
        <v>1</v>
      </c>
      <c r="K1381" t="n">
        <v>0</v>
      </c>
      <c r="L1381" t="n">
        <v>0</v>
      </c>
      <c r="M1381" t="n">
        <v>1</v>
      </c>
      <c r="N1381" t="n">
        <v>0</v>
      </c>
      <c r="O1381" t="n">
        <v>0</v>
      </c>
      <c r="P1381" t="n">
        <v>0</v>
      </c>
      <c r="Q1381" t="n">
        <v>1</v>
      </c>
      <c r="R1381" t="n">
        <v>1</v>
      </c>
      <c r="S1381" t="n">
        <v>1</v>
      </c>
      <c r="T1381" t="n">
        <v>7</v>
      </c>
      <c r="U1381" t="n">
        <v>7</v>
      </c>
      <c r="V1381" s="2" t="inlineStr">
        <is>
          <t>Knärot</t>
        </is>
      </c>
      <c r="W1381">
        <f>HYPERLINK("https://klasma.github.io/Logging_2084/artfynd/A 17913-2025 artfynd.xlsx", "A 17913-2025")</f>
        <v/>
      </c>
      <c r="X1381">
        <f>HYPERLINK("https://klasma.github.io/Logging_2084/kartor/A 17913-2025 karta.png", "A 17913-2025")</f>
        <v/>
      </c>
      <c r="Y1381">
        <f>HYPERLINK("https://klasma.github.io/Logging_2084/kartor_geotiff/A 17913-2025 georefererad karta.tif", "A 17913-2025")</f>
        <v/>
      </c>
      <c r="Z1381">
        <f>HYPERLINK("https://klasma.github.io/Logging_2084/knärot/A 17913-2025 karta knärot.png", "A 17913-2025")</f>
        <v/>
      </c>
      <c r="AA1381">
        <f>HYPERLINK("https://klasma.github.io/Logging_2084/klagomål/A 17913-2025 FSC-klagomål.docx", "A 17913-2025")</f>
        <v/>
      </c>
      <c r="AB1381">
        <f>HYPERLINK("https://klasma.github.io/Logging_2084/klagomålsmail/A 17913-2025 FSC-klagomål mail.docx", "A 17913-2025")</f>
        <v/>
      </c>
      <c r="AC1381">
        <f>HYPERLINK("https://klasma.github.io/Logging_2084/tillsyn/A 17913-2025 tillsynsbegäran.docx", "A 17913-2025")</f>
        <v/>
      </c>
      <c r="AD1381">
        <f>HYPERLINK("https://klasma.github.io/Logging_2084/tillsynsmail/A 17913-2025 tillsynsbegäran mail.docx", "A 17913-2025")</f>
        <v/>
      </c>
    </row>
    <row r="1382" ht="15" customHeight="1">
      <c r="A1382" t="inlineStr">
        <is>
          <t>A 36007-2025</t>
        </is>
      </c>
      <c r="B1382" t="inlineStr">
        <is>
          <t>avverkningsanmälan</t>
        </is>
      </c>
      <c r="C1382" t="inlineStr">
        <is>
          <t>Föryngringsavverkning</t>
        </is>
      </c>
      <c r="D1382" s="1" t="n">
        <v>45863</v>
      </c>
      <c r="E1382" s="1" t="n">
        <v>46319</v>
      </c>
      <c r="F1382" t="inlineStr">
        <is>
          <t>DALARNAS LÄN</t>
        </is>
      </c>
      <c r="G1382" t="inlineStr">
        <is>
          <t>AVESTA</t>
        </is>
      </c>
      <c r="H1382" t="inlineStr">
        <is>
          <t>Sveaskog</t>
        </is>
      </c>
      <c r="I1382" t="n">
        <v>15</v>
      </c>
      <c r="J1382" t="n">
        <v>1</v>
      </c>
      <c r="K1382" t="n">
        <v>0</v>
      </c>
      <c r="L1382" t="n">
        <v>0</v>
      </c>
      <c r="M1382" t="n">
        <v>0</v>
      </c>
      <c r="N1382" t="n">
        <v>0</v>
      </c>
      <c r="O1382" t="n">
        <v>0</v>
      </c>
      <c r="P1382" t="n">
        <v>0</v>
      </c>
      <c r="Q1382" t="n">
        <v>0</v>
      </c>
      <c r="R1382" t="n">
        <v>0</v>
      </c>
      <c r="S1382" t="n">
        <v>1</v>
      </c>
      <c r="T1382" t="n">
        <v>1</v>
      </c>
      <c r="U1382" t="n">
        <v>1</v>
      </c>
      <c r="V1382" s="2" t="inlineStr">
        <is>
          <t>Fläcknycklar</t>
        </is>
      </c>
      <c r="W1382">
        <f>HYPERLINK("https://klasma.github.io/Logging_2084/artfynd/A 36007-2025 artfynd.xlsx", "A 36007-2025")</f>
        <v/>
      </c>
      <c r="X1382">
        <f>HYPERLINK("https://klasma.github.io/Logging_2084/kartor/A 36007-2025 karta.png", "A 36007-2025")</f>
        <v/>
      </c>
      <c r="Y1382">
        <f>HYPERLINK("https://klasma.github.io/Logging_2084/kartor_geotiff/A 36007-2025 georefererad karta.tif", "A 36007-2025")</f>
        <v/>
      </c>
      <c r="AA1382">
        <f>HYPERLINK("https://klasma.github.io/Logging_2084/klagomål/A 36007-2025 FSC-klagomål.docx", "A 36007-2025")</f>
        <v/>
      </c>
      <c r="AB1382">
        <f>HYPERLINK("https://klasma.github.io/Logging_2084/klagomålsmail/A 36007-2025 FSC-klagomål mail.docx", "A 36007-2025")</f>
        <v/>
      </c>
      <c r="AC1382">
        <f>HYPERLINK("https://klasma.github.io/Logging_2084/tillsyn/A 36007-2025 tillsynsbegäran.docx", "A 36007-2025")</f>
        <v/>
      </c>
      <c r="AD1382">
        <f>HYPERLINK("https://klasma.github.io/Logging_2084/tillsynsmail/A 36007-2025 tillsynsbegäran mail.docx", "A 36007-2025")</f>
        <v/>
      </c>
    </row>
    <row r="1383" ht="15" customHeight="1">
      <c r="A1383" t="inlineStr">
        <is>
          <t>A 36002-2025</t>
        </is>
      </c>
      <c r="B1383" t="inlineStr">
        <is>
          <t>avverkningsanmälan</t>
        </is>
      </c>
      <c r="C1383" t="inlineStr">
        <is>
          <t>Föryngringsavverkning</t>
        </is>
      </c>
      <c r="D1383" s="1" t="n">
        <v>45863</v>
      </c>
      <c r="E1383" s="1" t="n">
        <v>46319</v>
      </c>
      <c r="F1383" t="inlineStr">
        <is>
          <t>DALARNAS LÄN</t>
        </is>
      </c>
      <c r="G1383" t="inlineStr">
        <is>
          <t>AVESTA</t>
        </is>
      </c>
      <c r="H1383" t="inlineStr">
        <is>
          <t>Sveaskog</t>
        </is>
      </c>
      <c r="I1383" t="n">
        <v>14</v>
      </c>
      <c r="J1383" t="n">
        <v>1</v>
      </c>
      <c r="K1383" t="n">
        <v>0</v>
      </c>
      <c r="L1383" t="n">
        <v>0</v>
      </c>
      <c r="M1383" t="n">
        <v>0</v>
      </c>
      <c r="N1383" t="n">
        <v>0</v>
      </c>
      <c r="O1383" t="n">
        <v>0</v>
      </c>
      <c r="P1383" t="n">
        <v>0</v>
      </c>
      <c r="Q1383" t="n">
        <v>0</v>
      </c>
      <c r="R1383" t="n">
        <v>0</v>
      </c>
      <c r="S1383" t="n">
        <v>1</v>
      </c>
      <c r="T1383" t="n">
        <v>2</v>
      </c>
      <c r="U1383" t="n">
        <v>2</v>
      </c>
      <c r="V1383" s="2" t="inlineStr">
        <is>
          <t>Fläcknycklar</t>
        </is>
      </c>
      <c r="W1383">
        <f>HYPERLINK("https://klasma.github.io/Logging_2084/artfynd/A 36002-2025 artfynd.xlsx", "A 36002-2025")</f>
        <v/>
      </c>
      <c r="X1383">
        <f>HYPERLINK("https://klasma.github.io/Logging_2084/kartor/A 36002-2025 karta.png", "A 36002-2025")</f>
        <v/>
      </c>
      <c r="Y1383">
        <f>HYPERLINK("https://klasma.github.io/Logging_2084/kartor_geotiff/A 36002-2025 georefererad karta.tif", "A 36002-2025")</f>
        <v/>
      </c>
      <c r="AA1383">
        <f>HYPERLINK("https://klasma.github.io/Logging_2084/klagomål/A 36002-2025 FSC-klagomål.docx", "A 36002-2025")</f>
        <v/>
      </c>
      <c r="AB1383">
        <f>HYPERLINK("https://klasma.github.io/Logging_2084/klagomålsmail/A 36002-2025 FSC-klagomål mail.docx", "A 36002-2025")</f>
        <v/>
      </c>
      <c r="AC1383">
        <f>HYPERLINK("https://klasma.github.io/Logging_2084/tillsyn/A 36002-2025 tillsynsbegäran.docx", "A 36002-2025")</f>
        <v/>
      </c>
      <c r="AD1383">
        <f>HYPERLINK("https://klasma.github.io/Logging_2084/tillsynsmail/A 36002-2025 tillsynsbegäran mail.docx", "A 36002-2025")</f>
        <v/>
      </c>
    </row>
    <row r="1384" ht="15" customHeight="1">
      <c r="A1384" t="inlineStr">
        <is>
          <t>A 19094-2025</t>
        </is>
      </c>
      <c r="B1384" t="inlineStr">
        <is>
          <t>avverkningsanmälan</t>
        </is>
      </c>
      <c r="C1384" t="inlineStr">
        <is>
          <t>Föryngringsavverkning</t>
        </is>
      </c>
      <c r="D1384" s="1" t="n">
        <v>45767</v>
      </c>
      <c r="E1384" s="1" t="n">
        <v>46319</v>
      </c>
      <c r="F1384" t="inlineStr">
        <is>
          <t>DALARNAS LÄN</t>
        </is>
      </c>
      <c r="G1384" t="inlineStr">
        <is>
          <t>HEDEMORA</t>
        </is>
      </c>
      <c r="H1384" t="inlineStr">
        <is>
          <t>Sveaskog</t>
        </is>
      </c>
      <c r="I1384" t="n">
        <v>16.9</v>
      </c>
      <c r="J1384" t="n">
        <v>1</v>
      </c>
      <c r="K1384" t="n">
        <v>1</v>
      </c>
      <c r="L1384" t="n">
        <v>0</v>
      </c>
      <c r="M1384" t="n">
        <v>0</v>
      </c>
      <c r="N1384" t="n">
        <v>0</v>
      </c>
      <c r="O1384" t="n">
        <v>0</v>
      </c>
      <c r="P1384" t="n">
        <v>0</v>
      </c>
      <c r="Q1384" t="n">
        <v>0</v>
      </c>
      <c r="R1384" t="n">
        <v>0</v>
      </c>
      <c r="S1384" t="n">
        <v>1</v>
      </c>
      <c r="T1384" t="n">
        <v>3</v>
      </c>
      <c r="U1384" t="n">
        <v>3</v>
      </c>
      <c r="V1384" s="2" t="inlineStr">
        <is>
          <t>Plattlummer</t>
        </is>
      </c>
      <c r="W1384">
        <f>HYPERLINK("https://klasma.github.io/Logging_2083/artfynd/A 19094-2025 artfynd.xlsx", "A 19094-2025")</f>
        <v/>
      </c>
      <c r="X1384">
        <f>HYPERLINK("https://klasma.github.io/Logging_2083/kartor/A 19094-2025 karta.png", "A 19094-2025")</f>
        <v/>
      </c>
      <c r="Y1384">
        <f>HYPERLINK("https://klasma.github.io/Logging_2083/kartor_geotiff/A 19094-2025 georefererad karta.tif", "A 19094-2025")</f>
        <v/>
      </c>
      <c r="AA1384">
        <f>HYPERLINK("https://klasma.github.io/Logging_2083/klagomål/A 19094-2025 FSC-klagomål.docx", "A 19094-2025")</f>
        <v/>
      </c>
      <c r="AB1384">
        <f>HYPERLINK("https://klasma.github.io/Logging_2083/klagomålsmail/A 19094-2025 FSC-klagomål mail.docx", "A 19094-2025")</f>
        <v/>
      </c>
      <c r="AC1384">
        <f>HYPERLINK("https://klasma.github.io/Logging_2083/tillsyn/A 19094-2025 tillsynsbegäran.docx", "A 19094-2025")</f>
        <v/>
      </c>
      <c r="AD1384">
        <f>HYPERLINK("https://klasma.github.io/Logging_2083/tillsynsmail/A 19094-2025 tillsynsbegäran mail.docx", "A 19094-2025")</f>
        <v/>
      </c>
    </row>
    <row r="1385" ht="15" customHeight="1">
      <c r="A1385" t="inlineStr">
        <is>
          <t>A 19578-2025</t>
        </is>
      </c>
      <c r="B1385" t="inlineStr">
        <is>
          <t>avverkningsanmälan</t>
        </is>
      </c>
      <c r="C1385" t="inlineStr">
        <is>
          <t>Föryngringsavverkning</t>
        </is>
      </c>
      <c r="D1385" s="1" t="n">
        <v>45770</v>
      </c>
      <c r="E1385" s="1" t="n">
        <v>46319</v>
      </c>
      <c r="F1385" t="inlineStr">
        <is>
          <t>DALARNAS LÄN</t>
        </is>
      </c>
      <c r="G1385" t="inlineStr">
        <is>
          <t>ÄLVDALEN</t>
        </is>
      </c>
      <c r="H1385" t="inlineStr">
        <is>
          <t>Sveaskog</t>
        </is>
      </c>
      <c r="I1385" t="n">
        <v>15.2</v>
      </c>
      <c r="J1385" t="n">
        <v>0</v>
      </c>
      <c r="K1385" t="n">
        <v>0</v>
      </c>
      <c r="L1385" t="n">
        <v>1</v>
      </c>
      <c r="M1385" t="n">
        <v>0</v>
      </c>
      <c r="N1385" t="n">
        <v>0</v>
      </c>
      <c r="O1385" t="n">
        <v>0</v>
      </c>
      <c r="P1385" t="n">
        <v>0</v>
      </c>
      <c r="Q1385" t="n">
        <v>1</v>
      </c>
      <c r="R1385" t="n">
        <v>0</v>
      </c>
      <c r="S1385" t="n">
        <v>1</v>
      </c>
      <c r="T1385" t="n">
        <v>1</v>
      </c>
      <c r="U1385" t="n">
        <v>0</v>
      </c>
      <c r="V1385" s="2" t="inlineStr">
        <is>
          <t>Orange taggsvamp</t>
        </is>
      </c>
      <c r="W1385">
        <f>HYPERLINK("https://klasma.github.io/Logging_2039/artfynd/A 19578-2025 artfynd.xlsx", "A 19578-2025")</f>
        <v/>
      </c>
      <c r="X1385">
        <f>HYPERLINK("https://klasma.github.io/Logging_2039/kartor/A 19578-2025 karta.png", "A 19578-2025")</f>
        <v/>
      </c>
      <c r="Y1385">
        <f>HYPERLINK("https://klasma.github.io/Logging_2039/kartor_geotiff/A 19578-2025 georefererad karta.tif", "A 19578-2025")</f>
        <v/>
      </c>
      <c r="AA1385">
        <f>HYPERLINK("https://klasma.github.io/Logging_2039/klagomål/A 19578-2025 FSC-klagomål.docx", "A 19578-2025")</f>
        <v/>
      </c>
      <c r="AB1385">
        <f>HYPERLINK("https://klasma.github.io/Logging_2039/klagomålsmail/A 19578-2025 FSC-klagomål mail.docx", "A 19578-2025")</f>
        <v/>
      </c>
      <c r="AC1385">
        <f>HYPERLINK("https://klasma.github.io/Logging_2039/tillsyn/A 19578-2025 tillsynsbegäran.docx", "A 19578-2025")</f>
        <v/>
      </c>
      <c r="AD1385">
        <f>HYPERLINK("https://klasma.github.io/Logging_2039/tillsynsmail/A 19578-2025 tillsynsbegäran mail.docx", "A 19578-2025")</f>
        <v/>
      </c>
    </row>
    <row r="1386" ht="15" customHeight="1">
      <c r="A1386" t="inlineStr">
        <is>
          <t>A 55298-2023</t>
        </is>
      </c>
      <c r="B1386" t="inlineStr">
        <is>
          <t>avverkningsanmälan</t>
        </is>
      </c>
      <c r="C1386" t="inlineStr">
        <is>
          <t>Avverkning för annat ändamål</t>
        </is>
      </c>
      <c r="D1386" s="1" t="n">
        <v>45237</v>
      </c>
      <c r="E1386" s="1" t="n">
        <v>46319</v>
      </c>
      <c r="F1386" t="inlineStr">
        <is>
          <t>DALARNAS LÄN</t>
        </is>
      </c>
      <c r="G1386" t="inlineStr">
        <is>
          <t>BORLÄNGE</t>
        </is>
      </c>
      <c r="I1386" t="n">
        <v>1.3</v>
      </c>
      <c r="J1386" t="n">
        <v>1</v>
      </c>
      <c r="K1386" t="n">
        <v>0</v>
      </c>
      <c r="L1386" t="n">
        <v>1</v>
      </c>
      <c r="M1386" t="n">
        <v>0</v>
      </c>
      <c r="N1386" t="n">
        <v>0</v>
      </c>
      <c r="O1386" t="n">
        <v>0</v>
      </c>
      <c r="P1386" t="n">
        <v>0</v>
      </c>
      <c r="Q1386" t="n">
        <v>1</v>
      </c>
      <c r="R1386" t="n">
        <v>0</v>
      </c>
      <c r="S1386" t="n">
        <v>1</v>
      </c>
      <c r="T1386" t="n">
        <v>2</v>
      </c>
      <c r="U1386" t="n">
        <v>1</v>
      </c>
      <c r="V1386" s="2" t="inlineStr">
        <is>
          <t>Höstlåsbräken</t>
        </is>
      </c>
      <c r="W1386">
        <f>HYPERLINK("https://klasma.github.io/Logging_2081/artfynd/A 55298-2023 artfynd.xlsx", "A 55298-2023")</f>
        <v/>
      </c>
      <c r="X1386">
        <f>HYPERLINK("https://klasma.github.io/Logging_2081/kartor/A 55298-2023 karta.png", "A 55298-2023")</f>
        <v/>
      </c>
      <c r="Y1386">
        <f>HYPERLINK("https://klasma.github.io/Logging_2081/kartor_geotiff/A 55298-2023 georefererad karta.tif", "A 55298-2023")</f>
        <v/>
      </c>
      <c r="AA1386">
        <f>HYPERLINK("https://klasma.github.io/Logging_2081/klagomål/A 55298-2023 FSC-klagomål.docx", "A 55298-2023")</f>
        <v/>
      </c>
      <c r="AB1386">
        <f>HYPERLINK("https://klasma.github.io/Logging_2081/klagomålsmail/A 55298-2023 FSC-klagomål mail.docx", "A 55298-2023")</f>
        <v/>
      </c>
      <c r="AC1386">
        <f>HYPERLINK("https://klasma.github.io/Logging_2081/tillsyn/A 55298-2023 tillsynsbegäran.docx", "A 55298-2023")</f>
        <v/>
      </c>
      <c r="AD1386">
        <f>HYPERLINK("https://klasma.github.io/Logging_2081/tillsynsmail/A 55298-2023 tillsynsbegäran mail.docx", "A 55298-2023")</f>
        <v/>
      </c>
    </row>
    <row r="1387" ht="15" customHeight="1">
      <c r="A1387" t="inlineStr">
        <is>
          <t>A 36199-2025</t>
        </is>
      </c>
      <c r="B1387" t="inlineStr">
        <is>
          <t>avverkningsanmälan</t>
        </is>
      </c>
      <c r="C1387" t="inlineStr">
        <is>
          <t>Föryngringsavverkning</t>
        </is>
      </c>
      <c r="D1387" s="1" t="n">
        <v>45867</v>
      </c>
      <c r="E1387" s="1" t="n">
        <v>46319</v>
      </c>
      <c r="F1387" t="inlineStr">
        <is>
          <t>DALARNAS LÄN</t>
        </is>
      </c>
      <c r="G1387" t="inlineStr">
        <is>
          <t>FALUN</t>
        </is>
      </c>
      <c r="H1387" t="inlineStr">
        <is>
          <t>Bergvik skog väst AB</t>
        </is>
      </c>
      <c r="I1387" t="n">
        <v>3.7</v>
      </c>
      <c r="J1387" t="n">
        <v>0</v>
      </c>
      <c r="K1387" t="n">
        <v>0</v>
      </c>
      <c r="L1387" t="n">
        <v>1</v>
      </c>
      <c r="M1387" t="n">
        <v>0</v>
      </c>
      <c r="N1387" t="n">
        <v>0</v>
      </c>
      <c r="O1387" t="n">
        <v>0</v>
      </c>
      <c r="P1387" t="n">
        <v>0</v>
      </c>
      <c r="Q1387" t="n">
        <v>1</v>
      </c>
      <c r="R1387" t="n">
        <v>0</v>
      </c>
      <c r="S1387" t="n">
        <v>1</v>
      </c>
      <c r="T1387" t="n">
        <v>1</v>
      </c>
      <c r="U1387" t="n">
        <v>1</v>
      </c>
      <c r="V1387" s="2" t="inlineStr">
        <is>
          <t>Rynkskinn</t>
        </is>
      </c>
      <c r="W1387">
        <f>HYPERLINK("https://klasma.github.io/Logging_2080/artfynd/A 36199-2025 artfynd.xlsx", "A 36199-2025")</f>
        <v/>
      </c>
      <c r="X1387">
        <f>HYPERLINK("https://klasma.github.io/Logging_2080/kartor/A 36199-2025 karta.png", "A 36199-2025")</f>
        <v/>
      </c>
      <c r="Y1387">
        <f>HYPERLINK("https://klasma.github.io/Logging_2080/kartor_geotiff/A 36199-2025 georefererad karta.tif", "A 36199-2025")</f>
        <v/>
      </c>
      <c r="AA1387">
        <f>HYPERLINK("https://klasma.github.io/Logging_2080/klagomål/A 36199-2025 FSC-klagomål.docx", "A 36199-2025")</f>
        <v/>
      </c>
      <c r="AB1387">
        <f>HYPERLINK("https://klasma.github.io/Logging_2080/klagomålsmail/A 36199-2025 FSC-klagomål mail.docx", "A 36199-2025")</f>
        <v/>
      </c>
      <c r="AC1387">
        <f>HYPERLINK("https://klasma.github.io/Logging_2080/tillsyn/A 36199-2025 tillsynsbegäran.docx", "A 36199-2025")</f>
        <v/>
      </c>
      <c r="AD1387">
        <f>HYPERLINK("https://klasma.github.io/Logging_2080/tillsynsmail/A 36199-2025 tillsynsbegäran mail.docx", "A 36199-2025")</f>
        <v/>
      </c>
    </row>
    <row r="1388" ht="15" customHeight="1">
      <c r="A1388" t="inlineStr">
        <is>
          <t>A 17252-2026</t>
        </is>
      </c>
      <c r="B1388" t="inlineStr">
        <is>
          <t>avverkningsanmälan</t>
        </is>
      </c>
      <c r="C1388" t="inlineStr">
        <is>
          <t>Föryngringsavverkning</t>
        </is>
      </c>
      <c r="D1388" s="1" t="n">
        <v>46119</v>
      </c>
      <c r="E1388" s="1" t="n">
        <v>46319</v>
      </c>
      <c r="F1388" t="inlineStr">
        <is>
          <t>DALARNAS LÄN</t>
        </is>
      </c>
      <c r="G1388" t="inlineStr">
        <is>
          <t>FALUN</t>
        </is>
      </c>
      <c r="I1388" t="n">
        <v>88.90000000000001</v>
      </c>
      <c r="J1388" t="n">
        <v>0</v>
      </c>
      <c r="K1388" t="n">
        <v>0</v>
      </c>
      <c r="L1388" t="n">
        <v>1</v>
      </c>
      <c r="M1388" t="n">
        <v>0</v>
      </c>
      <c r="N1388" t="n">
        <v>0</v>
      </c>
      <c r="O1388" t="n">
        <v>0</v>
      </c>
      <c r="P1388" t="n">
        <v>0</v>
      </c>
      <c r="Q1388" t="n">
        <v>1</v>
      </c>
      <c r="R1388" t="n">
        <v>0</v>
      </c>
      <c r="S1388" t="n">
        <v>1</v>
      </c>
      <c r="T1388" t="n">
        <v>1</v>
      </c>
      <c r="U1388" t="n">
        <v>0</v>
      </c>
      <c r="V1388" s="2" t="inlineStr">
        <is>
          <t>Kolflarnlav</t>
        </is>
      </c>
      <c r="W1388">
        <f>HYPERLINK("https://klasma.github.io/Logging_2080/artfynd/A 17252-2026 artfynd.xlsx", "A 17252-2026")</f>
        <v/>
      </c>
      <c r="X1388">
        <f>HYPERLINK("https://klasma.github.io/Logging_2080/kartor/A 17252-2026 karta.png", "A 17252-2026")</f>
        <v/>
      </c>
      <c r="Y1388">
        <f>HYPERLINK("https://klasma.github.io/Logging_2080/kartor_geotiff/A 17252-2026 georefererad karta.tif", "A 17252-2026")</f>
        <v/>
      </c>
      <c r="AA1388">
        <f>HYPERLINK("https://klasma.github.io/Logging_2080/klagomål/A 17252-2026 FSC-klagomål.docx", "A 17252-2026")</f>
        <v/>
      </c>
      <c r="AB1388">
        <f>HYPERLINK("https://klasma.github.io/Logging_2080/klagomålsmail/A 17252-2026 FSC-klagomål mail.docx", "A 17252-2026")</f>
        <v/>
      </c>
      <c r="AC1388">
        <f>HYPERLINK("https://klasma.github.io/Logging_2080/tillsyn/A 17252-2026 tillsynsbegäran.docx", "A 17252-2026")</f>
        <v/>
      </c>
      <c r="AD1388">
        <f>HYPERLINK("https://klasma.github.io/Logging_2080/tillsynsmail/A 17252-2026 tillsynsbegäran mail.docx", "A 17252-2026")</f>
        <v/>
      </c>
    </row>
    <row r="1389" ht="15" customHeight="1">
      <c r="A1389" t="inlineStr">
        <is>
          <t>A 41788-2026</t>
        </is>
      </c>
      <c r="B1389" t="inlineStr">
        <is>
          <t>avverkningsanmälan</t>
        </is>
      </c>
      <c r="C1389" t="inlineStr">
        <is>
          <t>Föryngringsavverkning</t>
        </is>
      </c>
      <c r="D1389" s="1" t="n">
        <v>46303</v>
      </c>
      <c r="E1389" s="1" t="n">
        <v>46319</v>
      </c>
      <c r="F1389" t="inlineStr">
        <is>
          <t>DALARNAS LÄN</t>
        </is>
      </c>
      <c r="G1389" t="inlineStr">
        <is>
          <t>SMEDJEBACKEN</t>
        </is>
      </c>
      <c r="H1389" t="inlineStr">
        <is>
          <t>Sveaskog</t>
        </is>
      </c>
      <c r="I1389" t="n">
        <v>7.1</v>
      </c>
      <c r="J1389" t="n">
        <v>0</v>
      </c>
      <c r="K1389" t="n">
        <v>0</v>
      </c>
      <c r="L1389" t="n">
        <v>1</v>
      </c>
      <c r="M1389" t="n">
        <v>0</v>
      </c>
      <c r="N1389" t="n">
        <v>0</v>
      </c>
      <c r="O1389" t="n">
        <v>0</v>
      </c>
      <c r="P1389" t="n">
        <v>0</v>
      </c>
      <c r="Q1389" t="n">
        <v>1</v>
      </c>
      <c r="R1389" t="n">
        <v>0</v>
      </c>
      <c r="S1389" t="n">
        <v>1</v>
      </c>
      <c r="T1389" t="n">
        <v>1</v>
      </c>
      <c r="U1389" t="n">
        <v>1</v>
      </c>
      <c r="V1389" s="2" t="inlineStr">
        <is>
          <t>Motaggsvamp</t>
        </is>
      </c>
      <c r="W1389">
        <f>HYPERLINK("https://klasma.github.io/Logging_2061/artfynd/A 41788-2026 artfynd.xlsx", "A 41788-2026")</f>
        <v/>
      </c>
      <c r="X1389">
        <f>HYPERLINK("https://klasma.github.io/Logging_2061/kartor/A 41788-2026 karta.png", "A 41788-2026")</f>
        <v/>
      </c>
      <c r="Y1389">
        <f>HYPERLINK("https://klasma.github.io/Logging_2061/kartor_geotiff/A 41788-2026 georefererad karta.tif", "A 41788-2026")</f>
        <v/>
      </c>
      <c r="AA1389">
        <f>HYPERLINK("https://klasma.github.io/Logging_2061/klagomål/A 41788-2026 FSC-klagomål.docx", "A 41788-2026")</f>
        <v/>
      </c>
      <c r="AB1389">
        <f>HYPERLINK("https://klasma.github.io/Logging_2061/klagomålsmail/A 41788-2026 FSC-klagomål mail.docx", "A 41788-2026")</f>
        <v/>
      </c>
      <c r="AC1389">
        <f>HYPERLINK("https://klasma.github.io/Logging_2061/tillsyn/A 41788-2026 tillsynsbegäran.docx", "A 41788-2026")</f>
        <v/>
      </c>
      <c r="AD1389">
        <f>HYPERLINK("https://klasma.github.io/Logging_2061/tillsynsmail/A 41788-2026 tillsynsbegäran mail.docx", "A 41788-2026")</f>
        <v/>
      </c>
    </row>
    <row r="1390" ht="15" customHeight="1">
      <c r="A1390" t="inlineStr">
        <is>
          <t>A 17461-2026</t>
        </is>
      </c>
      <c r="B1390" t="inlineStr">
        <is>
          <t>avverkningsanmälan</t>
        </is>
      </c>
      <c r="C1390" t="inlineStr">
        <is>
          <t>Föryngringsavverkning</t>
        </is>
      </c>
      <c r="D1390" s="1" t="n">
        <v>46120</v>
      </c>
      <c r="E1390" s="1" t="n">
        <v>46319</v>
      </c>
      <c r="F1390" t="inlineStr">
        <is>
          <t>DALARNAS LÄN</t>
        </is>
      </c>
      <c r="G1390" t="inlineStr">
        <is>
          <t>LEKSAND</t>
        </is>
      </c>
      <c r="I1390" t="n">
        <v>1.3</v>
      </c>
      <c r="J1390" t="n">
        <v>1</v>
      </c>
      <c r="K1390" t="n">
        <v>0</v>
      </c>
      <c r="L1390" t="n">
        <v>0</v>
      </c>
      <c r="M1390" t="n">
        <v>1</v>
      </c>
      <c r="N1390" t="n">
        <v>0</v>
      </c>
      <c r="O1390" t="n">
        <v>0</v>
      </c>
      <c r="P1390" t="n">
        <v>0</v>
      </c>
      <c r="Q1390" t="n">
        <v>1</v>
      </c>
      <c r="R1390" t="n">
        <v>1</v>
      </c>
      <c r="S1390" t="n">
        <v>1</v>
      </c>
      <c r="T1390" t="n">
        <v>1</v>
      </c>
      <c r="U1390" t="n">
        <v>0</v>
      </c>
      <c r="V1390" s="2" t="inlineStr">
        <is>
          <t>Brun gräsfjäril</t>
        </is>
      </c>
      <c r="W1390">
        <f>HYPERLINK("https://klasma.github.io/Logging_2029/artfynd/A 17461-2026 artfynd.xlsx", "A 17461-2026")</f>
        <v/>
      </c>
      <c r="X1390">
        <f>HYPERLINK("https://klasma.github.io/Logging_2029/kartor/A 17461-2026 karta.png", "A 17461-2026")</f>
        <v/>
      </c>
      <c r="Y1390">
        <f>HYPERLINK("https://klasma.github.io/Logging_2029/kartor_geotiff/A 17461-2026 georefererad karta.tif", "A 17461-2026")</f>
        <v/>
      </c>
      <c r="AA1390">
        <f>HYPERLINK("https://klasma.github.io/Logging_2029/klagomål/A 17461-2026 FSC-klagomål.docx", "A 17461-2026")</f>
        <v/>
      </c>
      <c r="AB1390">
        <f>HYPERLINK("https://klasma.github.io/Logging_2029/klagomålsmail/A 17461-2026 FSC-klagomål mail.docx", "A 17461-2026")</f>
        <v/>
      </c>
      <c r="AC1390">
        <f>HYPERLINK("https://klasma.github.io/Logging_2029/tillsyn/A 17461-2026 tillsynsbegäran.docx", "A 17461-2026")</f>
        <v/>
      </c>
      <c r="AD1390">
        <f>HYPERLINK("https://klasma.github.io/Logging_2029/tillsynsmail/A 17461-2026 tillsynsbegäran mail.docx", "A 17461-2026")</f>
        <v/>
      </c>
    </row>
    <row r="1391" ht="15" customHeight="1">
      <c r="A1391" t="inlineStr">
        <is>
          <t>A 164-2023</t>
        </is>
      </c>
      <c r="B1391" t="inlineStr">
        <is>
          <t>avverkningsanmälan</t>
        </is>
      </c>
      <c r="C1391" t="inlineStr">
        <is>
          <t>Avverkning för annat ändamål</t>
        </is>
      </c>
      <c r="D1391" s="1" t="n">
        <v>44918</v>
      </c>
      <c r="E1391" s="1" t="n">
        <v>46319</v>
      </c>
      <c r="F1391" t="inlineStr">
        <is>
          <t>DALARNAS LÄN</t>
        </is>
      </c>
      <c r="G1391" t="inlineStr">
        <is>
          <t>LEKSAND</t>
        </is>
      </c>
      <c r="I1391" t="n">
        <v>0.7</v>
      </c>
      <c r="J1391" t="n">
        <v>0</v>
      </c>
      <c r="K1391" t="n">
        <v>0</v>
      </c>
      <c r="L1391" t="n">
        <v>1</v>
      </c>
      <c r="M1391" t="n">
        <v>0</v>
      </c>
      <c r="N1391" t="n">
        <v>0</v>
      </c>
      <c r="O1391" t="n">
        <v>0</v>
      </c>
      <c r="P1391" t="n">
        <v>0</v>
      </c>
      <c r="Q1391" t="n">
        <v>1</v>
      </c>
      <c r="R1391" t="n">
        <v>0</v>
      </c>
      <c r="S1391" t="n">
        <v>1</v>
      </c>
      <c r="T1391" t="n">
        <v>1</v>
      </c>
      <c r="U1391" t="n">
        <v>1</v>
      </c>
      <c r="V1391" s="2" t="inlineStr">
        <is>
          <t>Skogshare</t>
        </is>
      </c>
      <c r="W1391">
        <f>HYPERLINK("https://klasma.github.io/Logging_2029/artfynd/A 164-2023 artfynd.xlsx", "A 164-2023")</f>
        <v/>
      </c>
      <c r="X1391">
        <f>HYPERLINK("https://klasma.github.io/Logging_2029/kartor/A 164-2023 karta.png", "A 164-2023")</f>
        <v/>
      </c>
      <c r="Y1391">
        <f>HYPERLINK("https://klasma.github.io/Logging_2029/kartor_geotiff/A 164-2023 georefererad karta.tif", "A 164-2023")</f>
        <v/>
      </c>
      <c r="AA1391">
        <f>HYPERLINK("https://klasma.github.io/Logging_2029/klagomål/A 164-2023 FSC-klagomål.docx", "A 164-2023")</f>
        <v/>
      </c>
      <c r="AB1391">
        <f>HYPERLINK("https://klasma.github.io/Logging_2029/klagomålsmail/A 164-2023 FSC-klagomål mail.docx", "A 164-2023")</f>
        <v/>
      </c>
      <c r="AC1391">
        <f>HYPERLINK("https://klasma.github.io/Logging_2029/tillsyn/A 164-2023 tillsynsbegäran.docx", "A 164-2023")</f>
        <v/>
      </c>
      <c r="AD1391">
        <f>HYPERLINK("https://klasma.github.io/Logging_2029/tillsynsmail/A 164-2023 tillsynsbegäran mail.docx", "A 164-2023")</f>
        <v/>
      </c>
    </row>
    <row r="1392" ht="15" customHeight="1">
      <c r="A1392" t="inlineStr">
        <is>
          <t>A 17730-2026</t>
        </is>
      </c>
      <c r="B1392" t="inlineStr">
        <is>
          <t>avverkningsanmälan</t>
        </is>
      </c>
      <c r="C1392" t="inlineStr">
        <is>
          <t>Föryngringsavverkning</t>
        </is>
      </c>
      <c r="D1392" s="1" t="n">
        <v>46121</v>
      </c>
      <c r="E1392" s="1" t="n">
        <v>46319</v>
      </c>
      <c r="F1392" t="inlineStr">
        <is>
          <t>DALARNAS LÄN</t>
        </is>
      </c>
      <c r="G1392" t="inlineStr">
        <is>
          <t>GAGNEF</t>
        </is>
      </c>
      <c r="I1392" t="n">
        <v>1</v>
      </c>
      <c r="J1392" t="n">
        <v>1</v>
      </c>
      <c r="K1392" t="n">
        <v>0</v>
      </c>
      <c r="L1392" t="n">
        <v>0</v>
      </c>
      <c r="M1392" t="n">
        <v>0</v>
      </c>
      <c r="N1392" t="n">
        <v>0</v>
      </c>
      <c r="O1392" t="n">
        <v>0</v>
      </c>
      <c r="P1392" t="n">
        <v>0</v>
      </c>
      <c r="Q1392" t="n">
        <v>0</v>
      </c>
      <c r="R1392" t="n">
        <v>0</v>
      </c>
      <c r="S1392" t="n">
        <v>1</v>
      </c>
      <c r="T1392" t="n">
        <v>1</v>
      </c>
      <c r="U1392" t="n">
        <v>0</v>
      </c>
      <c r="V1392" s="2" t="inlineStr">
        <is>
          <t>Revlummer</t>
        </is>
      </c>
      <c r="W1392">
        <f>HYPERLINK("https://klasma.github.io/Logging_2026/artfynd/A 17730-2026 artfynd.xlsx", "A 17730-2026")</f>
        <v/>
      </c>
      <c r="X1392">
        <f>HYPERLINK("https://klasma.github.io/Logging_2026/kartor/A 17730-2026 karta.png", "A 17730-2026")</f>
        <v/>
      </c>
      <c r="Y1392">
        <f>HYPERLINK("https://klasma.github.io/Logging_2026/kartor_geotiff/A 17730-2026 georefererad karta.tif", "A 17730-2026")</f>
        <v/>
      </c>
      <c r="AA1392">
        <f>HYPERLINK("https://klasma.github.io/Logging_2026/klagomål/A 17730-2026 FSC-klagomål.docx", "A 17730-2026")</f>
        <v/>
      </c>
      <c r="AB1392">
        <f>HYPERLINK("https://klasma.github.io/Logging_2026/klagomålsmail/A 17730-2026 FSC-klagomål mail.docx", "A 17730-2026")</f>
        <v/>
      </c>
      <c r="AC1392">
        <f>HYPERLINK("https://klasma.github.io/Logging_2026/tillsyn/A 17730-2026 tillsynsbegäran.docx", "A 17730-2026")</f>
        <v/>
      </c>
      <c r="AD1392">
        <f>HYPERLINK("https://klasma.github.io/Logging_2026/tillsynsmail/A 17730-2026 tillsynsbegäran mail.docx", "A 17730-2026")</f>
        <v/>
      </c>
    </row>
    <row r="1393" ht="15" customHeight="1">
      <c r="A1393" t="inlineStr">
        <is>
          <t>A 41953-2026</t>
        </is>
      </c>
      <c r="B1393" t="inlineStr">
        <is>
          <t>avverkningsanmälan</t>
        </is>
      </c>
      <c r="C1393" t="inlineStr">
        <is>
          <t>Avverkning för att bevara och utveckla /försöksver</t>
        </is>
      </c>
      <c r="D1393" s="1" t="n">
        <v>46303</v>
      </c>
      <c r="E1393" s="1" t="n">
        <v>46319</v>
      </c>
      <c r="F1393" t="inlineStr">
        <is>
          <t>DALARNAS LÄN</t>
        </is>
      </c>
      <c r="G1393" t="inlineStr">
        <is>
          <t>FALUN</t>
        </is>
      </c>
      <c r="I1393" t="n">
        <v>1.8</v>
      </c>
      <c r="J1393" t="n">
        <v>0</v>
      </c>
      <c r="K1393" t="n">
        <v>1</v>
      </c>
      <c r="L1393" t="n">
        <v>0</v>
      </c>
      <c r="M1393" t="n">
        <v>0</v>
      </c>
      <c r="N1393" t="n">
        <v>0</v>
      </c>
      <c r="O1393" t="n">
        <v>0</v>
      </c>
      <c r="P1393" t="n">
        <v>0</v>
      </c>
      <c r="Q1393" t="n">
        <v>0</v>
      </c>
      <c r="R1393" t="n">
        <v>0</v>
      </c>
      <c r="S1393" t="n">
        <v>1</v>
      </c>
      <c r="T1393" t="n">
        <v>1</v>
      </c>
      <c r="U1393" t="n">
        <v>0</v>
      </c>
      <c r="V1393" s="2" t="inlineStr">
        <is>
          <t>Svart trolldruva</t>
        </is>
      </c>
      <c r="W1393">
        <f>HYPERLINK("https://klasma.github.io/Logging_2080/artfynd/A 41953-2026 artfynd.xlsx", "A 41953-2026")</f>
        <v/>
      </c>
      <c r="X1393">
        <f>HYPERLINK("https://klasma.github.io/Logging_2080/kartor/A 41953-2026 karta.png", "A 41953-2026")</f>
        <v/>
      </c>
      <c r="Y1393">
        <f>HYPERLINK("https://klasma.github.io/Logging_2080/kartor_geotiff/A 41953-2026 georefererad karta.tif", "A 41953-2026")</f>
        <v/>
      </c>
      <c r="AA1393">
        <f>HYPERLINK("https://klasma.github.io/Logging_2080/klagomål/A 41953-2026 FSC-klagomål.docx", "A 41953-2026")</f>
        <v/>
      </c>
      <c r="AB1393">
        <f>HYPERLINK("https://klasma.github.io/Logging_2080/klagomålsmail/A 41953-2026 FSC-klagomål mail.docx", "A 41953-2026")</f>
        <v/>
      </c>
      <c r="AC1393">
        <f>HYPERLINK("https://klasma.github.io/Logging_2080/tillsyn/A 41953-2026 tillsynsbegäran.docx", "A 41953-2026")</f>
        <v/>
      </c>
      <c r="AD1393">
        <f>HYPERLINK("https://klasma.github.io/Logging_2080/tillsynsmail/A 41953-2026 tillsynsbegäran mail.docx", "A 41953-2026")</f>
        <v/>
      </c>
    </row>
    <row r="1394" ht="15" customHeight="1">
      <c r="A1394" t="inlineStr">
        <is>
          <t>A 35389-2022</t>
        </is>
      </c>
      <c r="B1394" t="inlineStr">
        <is>
          <t>avverkningsanmälan</t>
        </is>
      </c>
      <c r="C1394" t="inlineStr">
        <is>
          <t>Avverkning för annat ändamål</t>
        </is>
      </c>
      <c r="D1394" s="1" t="n">
        <v>44798</v>
      </c>
      <c r="E1394" s="1" t="n">
        <v>46319</v>
      </c>
      <c r="F1394" t="inlineStr">
        <is>
          <t>DALARNAS LÄN</t>
        </is>
      </c>
      <c r="G1394" t="inlineStr">
        <is>
          <t>BORLÄNGE</t>
        </is>
      </c>
      <c r="I1394" t="n">
        <v>0.5</v>
      </c>
      <c r="J1394" t="n">
        <v>0</v>
      </c>
      <c r="K1394" t="n">
        <v>0</v>
      </c>
      <c r="L1394" t="n">
        <v>0</v>
      </c>
      <c r="M1394" t="n">
        <v>1</v>
      </c>
      <c r="N1394" t="n">
        <v>0</v>
      </c>
      <c r="O1394" t="n">
        <v>0</v>
      </c>
      <c r="P1394" t="n">
        <v>0</v>
      </c>
      <c r="Q1394" t="n">
        <v>1</v>
      </c>
      <c r="R1394" t="n">
        <v>1</v>
      </c>
      <c r="S1394" t="n">
        <v>1</v>
      </c>
      <c r="T1394" t="n">
        <v>2</v>
      </c>
      <c r="U1394" t="n">
        <v>0</v>
      </c>
      <c r="V1394" s="2" t="inlineStr">
        <is>
          <t>Garnlav</t>
        </is>
      </c>
      <c r="W1394">
        <f>HYPERLINK("https://klasma.github.io/Logging_2081/artfynd/A 35389-2022 artfynd.xlsx", "A 35389-2022")</f>
        <v/>
      </c>
      <c r="X1394">
        <f>HYPERLINK("https://klasma.github.io/Logging_2081/kartor/A 35389-2022 karta.png", "A 35389-2022")</f>
        <v/>
      </c>
      <c r="Y1394">
        <f>HYPERLINK("https://klasma.github.io/Logging_2081/kartor_geotiff/A 35389-2022 georefererad karta.tif", "A 35389-2022")</f>
        <v/>
      </c>
      <c r="AA1394">
        <f>HYPERLINK("https://klasma.github.io/Logging_2081/klagomål/A 35389-2022 FSC-klagomål.docx", "A 35389-2022")</f>
        <v/>
      </c>
      <c r="AB1394">
        <f>HYPERLINK("https://klasma.github.io/Logging_2081/klagomålsmail/A 35389-2022 FSC-klagomål mail.docx", "A 35389-2022")</f>
        <v/>
      </c>
      <c r="AC1394">
        <f>HYPERLINK("https://klasma.github.io/Logging_2081/tillsyn/A 35389-2022 tillsynsbegäran.docx", "A 35389-2022")</f>
        <v/>
      </c>
      <c r="AD1394">
        <f>HYPERLINK("https://klasma.github.io/Logging_2081/tillsynsmail/A 35389-2022 tillsynsbegäran mail.docx", "A 35389-2022")</f>
        <v/>
      </c>
    </row>
    <row r="1395" ht="15" customHeight="1">
      <c r="A1395" t="inlineStr">
        <is>
          <t>A 74401-2021</t>
        </is>
      </c>
      <c r="B1395" t="inlineStr">
        <is>
          <t>avverkningsanmälan</t>
        </is>
      </c>
      <c r="C1395" t="inlineStr">
        <is>
          <t>Föryngringsavverkning</t>
        </is>
      </c>
      <c r="D1395" s="1" t="n">
        <v>44560</v>
      </c>
      <c r="E1395" s="1" t="n">
        <v>46319</v>
      </c>
      <c r="F1395" t="inlineStr">
        <is>
          <t>DALARNAS LÄN</t>
        </is>
      </c>
      <c r="G1395" t="inlineStr">
        <is>
          <t>LUDVIKA</t>
        </is>
      </c>
      <c r="H1395" t="inlineStr">
        <is>
          <t>Kommuner</t>
        </is>
      </c>
      <c r="I1395" t="n">
        <v>0.6</v>
      </c>
      <c r="J1395" t="n">
        <v>0</v>
      </c>
      <c r="K1395" t="n">
        <v>1</v>
      </c>
      <c r="L1395" t="n">
        <v>0</v>
      </c>
      <c r="M1395" t="n">
        <v>0</v>
      </c>
      <c r="N1395" t="n">
        <v>0</v>
      </c>
      <c r="O1395" t="n">
        <v>0</v>
      </c>
      <c r="P1395" t="n">
        <v>0</v>
      </c>
      <c r="Q1395" t="n">
        <v>0</v>
      </c>
      <c r="R1395" t="n">
        <v>0</v>
      </c>
      <c r="S1395" t="n">
        <v>1</v>
      </c>
      <c r="T1395" t="n">
        <v>1</v>
      </c>
      <c r="U1395" t="n">
        <v>0</v>
      </c>
      <c r="V1395" s="2" t="inlineStr">
        <is>
          <t>Gullgröppa</t>
        </is>
      </c>
      <c r="W1395">
        <f>HYPERLINK("https://klasma.github.io/Logging_2085/artfynd/A 74401-2021 artfynd.xlsx", "A 74401-2021")</f>
        <v/>
      </c>
      <c r="X1395">
        <f>HYPERLINK("https://klasma.github.io/Logging_2085/kartor/A 74401-2021 karta.png", "A 74401-2021")</f>
        <v/>
      </c>
      <c r="Y1395">
        <f>HYPERLINK("https://klasma.github.io/Logging_2085/kartor_geotiff/A 74401-2021 georefererad karta.tif", "A 74401-2021")</f>
        <v/>
      </c>
      <c r="AA1395">
        <f>HYPERLINK("https://klasma.github.io/Logging_2085/klagomål/A 74401-2021 FSC-klagomål.docx", "A 74401-2021")</f>
        <v/>
      </c>
      <c r="AB1395">
        <f>HYPERLINK("https://klasma.github.io/Logging_2085/klagomålsmail/A 74401-2021 FSC-klagomål mail.docx", "A 74401-2021")</f>
        <v/>
      </c>
      <c r="AC1395">
        <f>HYPERLINK("https://klasma.github.io/Logging_2085/tillsyn/A 74401-2021 tillsynsbegäran.docx", "A 74401-2021")</f>
        <v/>
      </c>
      <c r="AD1395">
        <f>HYPERLINK("https://klasma.github.io/Logging_2085/tillsynsmail/A 74401-2021 tillsynsbegäran mail.docx", "A 74401-2021")</f>
        <v/>
      </c>
    </row>
    <row r="1396" ht="15" customHeight="1">
      <c r="A1396" t="inlineStr">
        <is>
          <t>A 35218-2026</t>
        </is>
      </c>
      <c r="B1396" t="inlineStr">
        <is>
          <t>avverkningsanmälan</t>
        </is>
      </c>
      <c r="C1396" t="inlineStr">
        <is>
          <t>Föryngringsavverkning</t>
        </is>
      </c>
      <c r="D1396" s="1" t="n">
        <v>46260</v>
      </c>
      <c r="E1396" s="1" t="n">
        <v>46319</v>
      </c>
      <c r="F1396" t="inlineStr">
        <is>
          <t>DALARNAS LÄN</t>
        </is>
      </c>
      <c r="G1396" t="inlineStr">
        <is>
          <t>FALUN</t>
        </is>
      </c>
      <c r="H1396" t="inlineStr">
        <is>
          <t>Sveaskog</t>
        </is>
      </c>
      <c r="I1396" t="n">
        <v>4.5</v>
      </c>
      <c r="J1396" t="n">
        <v>1</v>
      </c>
      <c r="K1396" t="n">
        <v>0</v>
      </c>
      <c r="L1396" t="n">
        <v>0</v>
      </c>
      <c r="M1396" t="n">
        <v>0</v>
      </c>
      <c r="N1396" t="n">
        <v>0</v>
      </c>
      <c r="O1396" t="n">
        <v>0</v>
      </c>
      <c r="P1396" t="n">
        <v>0</v>
      </c>
      <c r="Q1396" t="n">
        <v>0</v>
      </c>
      <c r="R1396" t="n">
        <v>0</v>
      </c>
      <c r="S1396" t="n">
        <v>1</v>
      </c>
      <c r="T1396" t="n">
        <v>1</v>
      </c>
      <c r="U1396" t="n">
        <v>1</v>
      </c>
      <c r="V1396" s="2" t="inlineStr">
        <is>
          <t>Fläcknycklar</t>
        </is>
      </c>
      <c r="W1396">
        <f>HYPERLINK("https://klasma.github.io/Logging_2080/artfynd/A 35218-2026 artfynd.xlsx", "A 35218-2026")</f>
        <v/>
      </c>
      <c r="X1396">
        <f>HYPERLINK("https://klasma.github.io/Logging_2080/kartor/A 35218-2026 karta.png", "A 35218-2026")</f>
        <v/>
      </c>
      <c r="Y1396">
        <f>HYPERLINK("https://klasma.github.io/Logging_2080/kartor_geotiff/A 35218-2026 georefererad karta.tif", "A 35218-2026")</f>
        <v/>
      </c>
      <c r="AA1396">
        <f>HYPERLINK("https://klasma.github.io/Logging_2080/klagomål/A 35218-2026 FSC-klagomål.docx", "A 35218-2026")</f>
        <v/>
      </c>
      <c r="AB1396">
        <f>HYPERLINK("https://klasma.github.io/Logging_2080/klagomålsmail/A 35218-2026 FSC-klagomål mail.docx", "A 35218-2026")</f>
        <v/>
      </c>
      <c r="AC1396">
        <f>HYPERLINK("https://klasma.github.io/Logging_2080/tillsyn/A 35218-2026 tillsynsbegäran.docx", "A 35218-2026")</f>
        <v/>
      </c>
      <c r="AD1396">
        <f>HYPERLINK("https://klasma.github.io/Logging_2080/tillsynsmail/A 35218-2026 tillsynsbegäran mail.docx", "A 35218-2026")</f>
        <v/>
      </c>
    </row>
    <row r="1397" ht="15" customHeight="1">
      <c r="A1397" t="inlineStr">
        <is>
          <t>A 43990-2024</t>
        </is>
      </c>
      <c r="B1397" t="inlineStr">
        <is>
          <t>avverkningsanmälan</t>
        </is>
      </c>
      <c r="C1397" t="inlineStr">
        <is>
          <t>Avverkning för annat ändamål</t>
        </is>
      </c>
      <c r="D1397" s="1" t="n">
        <v>45572</v>
      </c>
      <c r="E1397" s="1" t="n">
        <v>46319</v>
      </c>
      <c r="F1397" t="inlineStr">
        <is>
          <t>DALARNAS LÄN</t>
        </is>
      </c>
      <c r="G1397" t="inlineStr">
        <is>
          <t>ÄLVDALEN</t>
        </is>
      </c>
      <c r="H1397" t="inlineStr">
        <is>
          <t>Kommuner</t>
        </is>
      </c>
      <c r="I1397" t="n">
        <v>0</v>
      </c>
      <c r="J1397" t="n">
        <v>1</v>
      </c>
      <c r="K1397" t="n">
        <v>0</v>
      </c>
      <c r="L1397" t="n">
        <v>1</v>
      </c>
      <c r="M1397" t="n">
        <v>0</v>
      </c>
      <c r="N1397" t="n">
        <v>0</v>
      </c>
      <c r="O1397" t="n">
        <v>0</v>
      </c>
      <c r="P1397" t="n">
        <v>0</v>
      </c>
      <c r="Q1397" t="n">
        <v>1</v>
      </c>
      <c r="R1397" t="n">
        <v>0</v>
      </c>
      <c r="S1397" t="n">
        <v>1</v>
      </c>
      <c r="T1397" t="n">
        <v>1</v>
      </c>
      <c r="U1397" t="n">
        <v>0</v>
      </c>
      <c r="V1397" s="2" t="inlineStr">
        <is>
          <t>Björktrast</t>
        </is>
      </c>
      <c r="W1397">
        <f>HYPERLINK("https://klasma.github.io/Logging_2039/artfynd/A 43990-2024 artfynd.xlsx", "A 43990-2024")</f>
        <v/>
      </c>
      <c r="X1397">
        <f>HYPERLINK("https://klasma.github.io/Logging_2039/kartor/A 43990-2024 karta.png", "A 43990-2024")</f>
        <v/>
      </c>
      <c r="Y1397">
        <f>HYPERLINK("https://klasma.github.io/Logging_2039/kartor_geotiff/A 43990-2024 georefererad karta.tif", "A 43990-2024")</f>
        <v/>
      </c>
      <c r="AA1397">
        <f>HYPERLINK("https://klasma.github.io/Logging_2039/klagomål/A 43990-2024 FSC-klagomål.docx", "A 43990-2024")</f>
        <v/>
      </c>
      <c r="AB1397">
        <f>HYPERLINK("https://klasma.github.io/Logging_2039/klagomålsmail/A 43990-2024 FSC-klagomål mail.docx", "A 43990-2024")</f>
        <v/>
      </c>
      <c r="AC1397">
        <f>HYPERLINK("https://klasma.github.io/Logging_2039/tillsyn/A 43990-2024 tillsynsbegäran.docx", "A 43990-2024")</f>
        <v/>
      </c>
      <c r="AD1397">
        <f>HYPERLINK("https://klasma.github.io/Logging_2039/tillsynsmail/A 43990-2024 tillsynsbegäran mail.docx", "A 43990-2024")</f>
        <v/>
      </c>
      <c r="AE1397">
        <f>HYPERLINK("https://klasma.github.io/Logging_2039/fåglar/A 43990-2024 prioriterade fågelarter.docx", "A 43990-2024")</f>
        <v/>
      </c>
    </row>
    <row r="1398" ht="15" customHeight="1">
      <c r="A1398" t="inlineStr">
        <is>
          <t>A 35278-2026</t>
        </is>
      </c>
      <c r="B1398" t="inlineStr">
        <is>
          <t>avverkningsanmälan</t>
        </is>
      </c>
      <c r="C1398" t="inlineStr">
        <is>
          <t>Föryngringsavverkning</t>
        </is>
      </c>
      <c r="D1398" s="1" t="n">
        <v>46261</v>
      </c>
      <c r="E1398" s="1" t="n">
        <v>46319</v>
      </c>
      <c r="F1398" t="inlineStr">
        <is>
          <t>DALARNAS LÄN</t>
        </is>
      </c>
      <c r="G1398" t="inlineStr">
        <is>
          <t>ÄLVDALEN</t>
        </is>
      </c>
      <c r="I1398" t="n">
        <v>56.8</v>
      </c>
      <c r="J1398" t="n">
        <v>0</v>
      </c>
      <c r="K1398" t="n">
        <v>0</v>
      </c>
      <c r="L1398" t="n">
        <v>1</v>
      </c>
      <c r="M1398" t="n">
        <v>0</v>
      </c>
      <c r="N1398" t="n">
        <v>0</v>
      </c>
      <c r="O1398" t="n">
        <v>0</v>
      </c>
      <c r="P1398" t="n">
        <v>0</v>
      </c>
      <c r="Q1398" t="n">
        <v>1</v>
      </c>
      <c r="R1398" t="n">
        <v>0</v>
      </c>
      <c r="S1398" t="n">
        <v>1</v>
      </c>
      <c r="T1398" t="n">
        <v>1</v>
      </c>
      <c r="U1398" t="n">
        <v>0</v>
      </c>
      <c r="V1398" s="2" t="inlineStr">
        <is>
          <t>Gammelgransskål</t>
        </is>
      </c>
      <c r="W1398">
        <f>HYPERLINK("https://klasma.github.io/Logging_2039/artfynd/A 35278-2026 artfynd.xlsx", "A 35278-2026")</f>
        <v/>
      </c>
      <c r="X1398">
        <f>HYPERLINK("https://klasma.github.io/Logging_2039/kartor/A 35278-2026 karta.png", "A 35278-2026")</f>
        <v/>
      </c>
      <c r="Y1398">
        <f>HYPERLINK("https://klasma.github.io/Logging_2039/kartor_geotiff/A 35278-2026 georefererad karta.tif", "A 35278-2026")</f>
        <v/>
      </c>
      <c r="AA1398">
        <f>HYPERLINK("https://klasma.github.io/Logging_2039/klagomål/A 35278-2026 FSC-klagomål.docx", "A 35278-2026")</f>
        <v/>
      </c>
      <c r="AB1398">
        <f>HYPERLINK("https://klasma.github.io/Logging_2039/klagomålsmail/A 35278-2026 FSC-klagomål mail.docx", "A 35278-2026")</f>
        <v/>
      </c>
      <c r="AC1398">
        <f>HYPERLINK("https://klasma.github.io/Logging_2039/tillsyn/A 35278-2026 tillsynsbegäran.docx", "A 35278-2026")</f>
        <v/>
      </c>
      <c r="AD1398">
        <f>HYPERLINK("https://klasma.github.io/Logging_2039/tillsynsmail/A 35278-2026 tillsynsbegäran mail.docx", "A 35278-2026")</f>
        <v/>
      </c>
    </row>
    <row r="1399" ht="15" customHeight="1">
      <c r="A1399" t="inlineStr">
        <is>
          <t>A 18584-2026</t>
        </is>
      </c>
      <c r="B1399" t="inlineStr">
        <is>
          <t>avverkningsanmälan</t>
        </is>
      </c>
      <c r="C1399" t="inlineStr">
        <is>
          <t>Föryngringsavverkning</t>
        </is>
      </c>
      <c r="D1399" s="1" t="n">
        <v>46127</v>
      </c>
      <c r="E1399" s="1" t="n">
        <v>46319</v>
      </c>
      <c r="F1399" t="inlineStr">
        <is>
          <t>DALARNAS LÄN</t>
        </is>
      </c>
      <c r="G1399" t="inlineStr">
        <is>
          <t>ÄLVDALEN</t>
        </is>
      </c>
      <c r="H1399" t="inlineStr">
        <is>
          <t>Sveaskog</t>
        </is>
      </c>
      <c r="I1399" t="n">
        <v>1.9</v>
      </c>
      <c r="J1399" t="n">
        <v>0</v>
      </c>
      <c r="K1399" t="n">
        <v>0</v>
      </c>
      <c r="L1399" t="n">
        <v>1</v>
      </c>
      <c r="M1399" t="n">
        <v>0</v>
      </c>
      <c r="N1399" t="n">
        <v>0</v>
      </c>
      <c r="O1399" t="n">
        <v>0</v>
      </c>
      <c r="P1399" t="n">
        <v>0</v>
      </c>
      <c r="Q1399" t="n">
        <v>1</v>
      </c>
      <c r="R1399" t="n">
        <v>0</v>
      </c>
      <c r="S1399" t="n">
        <v>1</v>
      </c>
      <c r="T1399" t="n">
        <v>1</v>
      </c>
      <c r="U1399" t="n">
        <v>1</v>
      </c>
      <c r="V1399" s="2" t="inlineStr">
        <is>
          <t>Dropptaggsvamp</t>
        </is>
      </c>
      <c r="W1399">
        <f>HYPERLINK("https://klasma.github.io/Logging_2039/artfynd/A 18584-2026 artfynd.xlsx", "A 18584-2026")</f>
        <v/>
      </c>
      <c r="X1399">
        <f>HYPERLINK("https://klasma.github.io/Logging_2039/kartor/A 18584-2026 karta.png", "A 18584-2026")</f>
        <v/>
      </c>
      <c r="Y1399">
        <f>HYPERLINK("https://klasma.github.io/Logging_2039/kartor_geotiff/A 18584-2026 georefererad karta.tif", "A 18584-2026")</f>
        <v/>
      </c>
      <c r="AA1399">
        <f>HYPERLINK("https://klasma.github.io/Logging_2039/klagomål/A 18584-2026 FSC-klagomål.docx", "A 18584-2026")</f>
        <v/>
      </c>
      <c r="AB1399">
        <f>HYPERLINK("https://klasma.github.io/Logging_2039/klagomålsmail/A 18584-2026 FSC-klagomål mail.docx", "A 18584-2026")</f>
        <v/>
      </c>
      <c r="AC1399">
        <f>HYPERLINK("https://klasma.github.io/Logging_2039/tillsyn/A 18584-2026 tillsynsbegäran.docx", "A 18584-2026")</f>
        <v/>
      </c>
      <c r="AD1399">
        <f>HYPERLINK("https://klasma.github.io/Logging_2039/tillsynsmail/A 18584-2026 tillsynsbegäran mail.docx", "A 18584-2026")</f>
        <v/>
      </c>
    </row>
    <row r="1400" ht="15" customHeight="1">
      <c r="A1400" t="inlineStr">
        <is>
          <t>A 18527-2026</t>
        </is>
      </c>
      <c r="B1400" t="inlineStr">
        <is>
          <t>avverkningsanmälan</t>
        </is>
      </c>
      <c r="C1400" t="inlineStr">
        <is>
          <t>Föryngringsavverkning</t>
        </is>
      </c>
      <c r="D1400" s="1" t="n">
        <v>46127</v>
      </c>
      <c r="E1400" s="1" t="n">
        <v>46319</v>
      </c>
      <c r="F1400" t="inlineStr">
        <is>
          <t>DALARNAS LÄN</t>
        </is>
      </c>
      <c r="G1400" t="inlineStr">
        <is>
          <t>RÄTTVIK</t>
        </is>
      </c>
      <c r="I1400" t="n">
        <v>3.2</v>
      </c>
      <c r="J1400" t="n">
        <v>1</v>
      </c>
      <c r="K1400" t="n">
        <v>0</v>
      </c>
      <c r="L1400" t="n">
        <v>0</v>
      </c>
      <c r="M1400" t="n">
        <v>1</v>
      </c>
      <c r="N1400" t="n">
        <v>0</v>
      </c>
      <c r="O1400" t="n">
        <v>0</v>
      </c>
      <c r="P1400" t="n">
        <v>0</v>
      </c>
      <c r="Q1400" t="n">
        <v>1</v>
      </c>
      <c r="R1400" t="n">
        <v>1</v>
      </c>
      <c r="S1400" t="n">
        <v>1</v>
      </c>
      <c r="T1400" t="n">
        <v>4</v>
      </c>
      <c r="U1400" t="n">
        <v>0</v>
      </c>
      <c r="V1400" s="2" t="inlineStr">
        <is>
          <t>Väddnätfjäril</t>
        </is>
      </c>
      <c r="W1400">
        <f>HYPERLINK("https://klasma.github.io/Logging_2031/artfynd/A 18527-2026 artfynd.xlsx", "A 18527-2026")</f>
        <v/>
      </c>
      <c r="X1400">
        <f>HYPERLINK("https://klasma.github.io/Logging_2031/kartor/A 18527-2026 karta.png", "A 18527-2026")</f>
        <v/>
      </c>
      <c r="Y1400">
        <f>HYPERLINK("https://klasma.github.io/Logging_2031/kartor_geotiff/A 18527-2026 georefererad karta.tif", "A 18527-2026")</f>
        <v/>
      </c>
      <c r="AA1400">
        <f>HYPERLINK("https://klasma.github.io/Logging_2031/klagomål/A 18527-2026 FSC-klagomål.docx", "A 18527-2026")</f>
        <v/>
      </c>
      <c r="AB1400">
        <f>HYPERLINK("https://klasma.github.io/Logging_2031/klagomålsmail/A 18527-2026 FSC-klagomål mail.docx", "A 18527-2026")</f>
        <v/>
      </c>
      <c r="AC1400">
        <f>HYPERLINK("https://klasma.github.io/Logging_2031/tillsyn/A 18527-2026 tillsynsbegäran.docx", "A 18527-2026")</f>
        <v/>
      </c>
      <c r="AD1400">
        <f>HYPERLINK("https://klasma.github.io/Logging_2031/tillsynsmail/A 18527-2026 tillsynsbegäran mail.docx", "A 18527-2026")</f>
        <v/>
      </c>
    </row>
    <row r="1401" ht="15" customHeight="1">
      <c r="A1401" t="inlineStr">
        <is>
          <t>A 61661-2024</t>
        </is>
      </c>
      <c r="B1401" t="inlineStr">
        <is>
          <t>avverkningsanmälan</t>
        </is>
      </c>
      <c r="C1401" t="inlineStr">
        <is>
          <t>Föryngringsavverkning</t>
        </is>
      </c>
      <c r="D1401" s="1" t="n">
        <v>45646</v>
      </c>
      <c r="E1401" s="1" t="n">
        <v>46319</v>
      </c>
      <c r="F1401" t="inlineStr">
        <is>
          <t>DALARNAS LÄN</t>
        </is>
      </c>
      <c r="G1401" t="inlineStr">
        <is>
          <t>FALUN</t>
        </is>
      </c>
      <c r="I1401" t="n">
        <v>9.300000000000001</v>
      </c>
      <c r="J1401" t="n">
        <v>0</v>
      </c>
      <c r="K1401" t="n">
        <v>0</v>
      </c>
      <c r="L1401" t="n">
        <v>1</v>
      </c>
      <c r="M1401" t="n">
        <v>0</v>
      </c>
      <c r="N1401" t="n">
        <v>0</v>
      </c>
      <c r="O1401" t="n">
        <v>0</v>
      </c>
      <c r="P1401" t="n">
        <v>0</v>
      </c>
      <c r="Q1401" t="n">
        <v>1</v>
      </c>
      <c r="R1401" t="n">
        <v>0</v>
      </c>
      <c r="S1401" t="n">
        <v>1</v>
      </c>
      <c r="T1401" t="n">
        <v>1</v>
      </c>
      <c r="U1401" t="n">
        <v>0</v>
      </c>
      <c r="V1401" s="2" t="inlineStr">
        <is>
          <t>Dropptaggsvamp</t>
        </is>
      </c>
      <c r="W1401">
        <f>HYPERLINK("https://klasma.github.io/Logging_2080/artfynd/A 61661-2024 artfynd.xlsx", "A 61661-2024")</f>
        <v/>
      </c>
      <c r="X1401">
        <f>HYPERLINK("https://klasma.github.io/Logging_2080/kartor/A 61661-2024 karta.png", "A 61661-2024")</f>
        <v/>
      </c>
      <c r="Y1401">
        <f>HYPERLINK("https://klasma.github.io/Logging_2080/kartor_geotiff/A 61661-2024 georefererad karta.tif", "A 61661-2024")</f>
        <v/>
      </c>
      <c r="AA1401">
        <f>HYPERLINK("https://klasma.github.io/Logging_2080/klagomål/A 61661-2024 FSC-klagomål.docx", "A 61661-2024")</f>
        <v/>
      </c>
      <c r="AB1401">
        <f>HYPERLINK("https://klasma.github.io/Logging_2080/klagomålsmail/A 61661-2024 FSC-klagomål mail.docx", "A 61661-2024")</f>
        <v/>
      </c>
      <c r="AC1401">
        <f>HYPERLINK("https://klasma.github.io/Logging_2080/tillsyn/A 61661-2024 tillsynsbegäran.docx", "A 61661-2024")</f>
        <v/>
      </c>
      <c r="AD1401">
        <f>HYPERLINK("https://klasma.github.io/Logging_2080/tillsynsmail/A 61661-2024 tillsynsbegäran mail.docx", "A 61661-2024")</f>
        <v/>
      </c>
    </row>
    <row r="1402" ht="15" customHeight="1">
      <c r="A1402" t="inlineStr">
        <is>
          <t>A 62046-2022</t>
        </is>
      </c>
      <c r="B1402" t="inlineStr">
        <is>
          <t>avverkningsanmälan</t>
        </is>
      </c>
      <c r="C1402" t="inlineStr">
        <is>
          <t>Föryngringsavverkning</t>
        </is>
      </c>
      <c r="D1402" s="1" t="n">
        <v>44918</v>
      </c>
      <c r="E1402" s="1" t="n">
        <v>46319</v>
      </c>
      <c r="F1402" t="inlineStr">
        <is>
          <t>DALARNAS LÄN</t>
        </is>
      </c>
      <c r="G1402" t="inlineStr">
        <is>
          <t>HEDEMORA</t>
        </is>
      </c>
      <c r="I1402" t="n">
        <v>1.2</v>
      </c>
      <c r="J1402" t="n">
        <v>0</v>
      </c>
      <c r="K1402" t="n">
        <v>0</v>
      </c>
      <c r="L1402" t="n">
        <v>1</v>
      </c>
      <c r="M1402" t="n">
        <v>0</v>
      </c>
      <c r="N1402" t="n">
        <v>0</v>
      </c>
      <c r="O1402" t="n">
        <v>0</v>
      </c>
      <c r="P1402" t="n">
        <v>0</v>
      </c>
      <c r="Q1402" t="n">
        <v>1</v>
      </c>
      <c r="R1402" t="n">
        <v>0</v>
      </c>
      <c r="S1402" t="n">
        <v>1</v>
      </c>
      <c r="T1402" t="n">
        <v>2</v>
      </c>
      <c r="U1402" t="n">
        <v>2</v>
      </c>
      <c r="V1402" s="2" t="inlineStr">
        <is>
          <t>Vårärt</t>
        </is>
      </c>
      <c r="W1402">
        <f>HYPERLINK("https://klasma.github.io/Logging_2083/artfynd/A 62046-2022 artfynd.xlsx", "A 62046-2022")</f>
        <v/>
      </c>
      <c r="X1402">
        <f>HYPERLINK("https://klasma.github.io/Logging_2083/kartor/A 62046-2022 karta.png", "A 62046-2022")</f>
        <v/>
      </c>
      <c r="Y1402">
        <f>HYPERLINK("https://klasma.github.io/Logging_2083/kartor_geotiff/A 62046-2022 georefererad karta.tif", "A 62046-2022")</f>
        <v/>
      </c>
      <c r="AA1402">
        <f>HYPERLINK("https://klasma.github.io/Logging_2083/klagomål/A 62046-2022 FSC-klagomål.docx", "A 62046-2022")</f>
        <v/>
      </c>
      <c r="AB1402">
        <f>HYPERLINK("https://klasma.github.io/Logging_2083/klagomålsmail/A 62046-2022 FSC-klagomål mail.docx", "A 62046-2022")</f>
        <v/>
      </c>
      <c r="AC1402">
        <f>HYPERLINK("https://klasma.github.io/Logging_2083/tillsyn/A 62046-2022 tillsynsbegäran.docx", "A 62046-2022")</f>
        <v/>
      </c>
      <c r="AD1402">
        <f>HYPERLINK("https://klasma.github.io/Logging_2083/tillsynsmail/A 62046-2022 tillsynsbegäran mail.docx", "A 62046-2022")</f>
        <v/>
      </c>
    </row>
    <row r="1403" ht="15" customHeight="1">
      <c r="A1403" t="inlineStr">
        <is>
          <t>A 18707-2026</t>
        </is>
      </c>
      <c r="B1403" t="inlineStr">
        <is>
          <t>avverkningsanmälan</t>
        </is>
      </c>
      <c r="C1403" t="inlineStr">
        <is>
          <t>Föryngringsavverkning</t>
        </is>
      </c>
      <c r="D1403" s="1" t="n">
        <v>46128</v>
      </c>
      <c r="E1403" s="1" t="n">
        <v>46319</v>
      </c>
      <c r="F1403" t="inlineStr">
        <is>
          <t>DALARNAS LÄN</t>
        </is>
      </c>
      <c r="G1403" t="inlineStr">
        <is>
          <t>FALUN</t>
        </is>
      </c>
      <c r="H1403" t="inlineStr">
        <is>
          <t>Bergvik skog väst AB</t>
        </is>
      </c>
      <c r="I1403" t="n">
        <v>13.1</v>
      </c>
      <c r="J1403" t="n">
        <v>0</v>
      </c>
      <c r="K1403" t="n">
        <v>0</v>
      </c>
      <c r="L1403" t="n">
        <v>1</v>
      </c>
      <c r="M1403" t="n">
        <v>0</v>
      </c>
      <c r="N1403" t="n">
        <v>0</v>
      </c>
      <c r="O1403" t="n">
        <v>0</v>
      </c>
      <c r="P1403" t="n">
        <v>0</v>
      </c>
      <c r="Q1403" t="n">
        <v>1</v>
      </c>
      <c r="R1403" t="n">
        <v>0</v>
      </c>
      <c r="S1403" t="n">
        <v>1</v>
      </c>
      <c r="T1403" t="n">
        <v>1</v>
      </c>
      <c r="U1403" t="n">
        <v>0</v>
      </c>
      <c r="V1403" s="2" t="inlineStr">
        <is>
          <t>Blanksvart spiklav</t>
        </is>
      </c>
      <c r="W1403">
        <f>HYPERLINK("https://klasma.github.io/Logging_2080/artfynd/A 18707-2026 artfynd.xlsx", "A 18707-2026")</f>
        <v/>
      </c>
      <c r="X1403">
        <f>HYPERLINK("https://klasma.github.io/Logging_2080/kartor/A 18707-2026 karta.png", "A 18707-2026")</f>
        <v/>
      </c>
      <c r="Y1403">
        <f>HYPERLINK("https://klasma.github.io/Logging_2080/kartor_geotiff/A 18707-2026 georefererad karta.tif", "A 18707-2026")</f>
        <v/>
      </c>
      <c r="AA1403">
        <f>HYPERLINK("https://klasma.github.io/Logging_2080/klagomål/A 18707-2026 FSC-klagomål.docx", "A 18707-2026")</f>
        <v/>
      </c>
      <c r="AB1403">
        <f>HYPERLINK("https://klasma.github.io/Logging_2080/klagomålsmail/A 18707-2026 FSC-klagomål mail.docx", "A 18707-2026")</f>
        <v/>
      </c>
      <c r="AC1403">
        <f>HYPERLINK("https://klasma.github.io/Logging_2080/tillsyn/A 18707-2026 tillsynsbegäran.docx", "A 18707-2026")</f>
        <v/>
      </c>
      <c r="AD1403">
        <f>HYPERLINK("https://klasma.github.io/Logging_2080/tillsynsmail/A 18707-2026 tillsynsbegäran mail.docx", "A 18707-2026")</f>
        <v/>
      </c>
    </row>
    <row r="1404" ht="15" customHeight="1">
      <c r="A1404" t="inlineStr">
        <is>
          <t>A 18800-2026</t>
        </is>
      </c>
      <c r="B1404" t="inlineStr">
        <is>
          <t>avverkningsanmälan</t>
        </is>
      </c>
      <c r="C1404" t="inlineStr">
        <is>
          <t>Föryngringsavverkning</t>
        </is>
      </c>
      <c r="D1404" s="1" t="n">
        <v>46128</v>
      </c>
      <c r="E1404" s="1" t="n">
        <v>46319</v>
      </c>
      <c r="F1404" t="inlineStr">
        <is>
          <t>DALARNAS LÄN</t>
        </is>
      </c>
      <c r="G1404" t="inlineStr">
        <is>
          <t>BORLÄNGE</t>
        </is>
      </c>
      <c r="I1404" t="n">
        <v>2.7</v>
      </c>
      <c r="J1404" t="n">
        <v>1</v>
      </c>
      <c r="K1404" t="n">
        <v>0</v>
      </c>
      <c r="L1404" t="n">
        <v>0</v>
      </c>
      <c r="M1404" t="n">
        <v>0</v>
      </c>
      <c r="N1404" t="n">
        <v>0</v>
      </c>
      <c r="O1404" t="n">
        <v>0</v>
      </c>
      <c r="P1404" t="n">
        <v>0</v>
      </c>
      <c r="Q1404" t="n">
        <v>0</v>
      </c>
      <c r="R1404" t="n">
        <v>0</v>
      </c>
      <c r="S1404" t="n">
        <v>1</v>
      </c>
      <c r="T1404" t="n">
        <v>1</v>
      </c>
      <c r="U1404" t="n">
        <v>0</v>
      </c>
      <c r="V1404" s="2" t="inlineStr">
        <is>
          <t>Ärtsångare</t>
        </is>
      </c>
      <c r="W1404">
        <f>HYPERLINK("https://klasma.github.io/Logging_2081/artfynd/A 18800-2026 artfynd.xlsx", "A 18800-2026")</f>
        <v/>
      </c>
      <c r="X1404">
        <f>HYPERLINK("https://klasma.github.io/Logging_2081/kartor/A 18800-2026 karta.png", "A 18800-2026")</f>
        <v/>
      </c>
      <c r="Y1404">
        <f>HYPERLINK("https://klasma.github.io/Logging_2081/kartor_geotiff/A 18800-2026 georefererad karta.tif", "A 18800-2026")</f>
        <v/>
      </c>
      <c r="AA1404">
        <f>HYPERLINK("https://klasma.github.io/Logging_2081/klagomål/A 18800-2026 FSC-klagomål.docx", "A 18800-2026")</f>
        <v/>
      </c>
      <c r="AB1404">
        <f>HYPERLINK("https://klasma.github.io/Logging_2081/klagomålsmail/A 18800-2026 FSC-klagomål mail.docx", "A 18800-2026")</f>
        <v/>
      </c>
      <c r="AC1404">
        <f>HYPERLINK("https://klasma.github.io/Logging_2081/tillsyn/A 18800-2026 tillsynsbegäran.docx", "A 18800-2026")</f>
        <v/>
      </c>
      <c r="AD1404">
        <f>HYPERLINK("https://klasma.github.io/Logging_2081/tillsynsmail/A 18800-2026 tillsynsbegäran mail.docx", "A 18800-2026")</f>
        <v/>
      </c>
    </row>
    <row r="1405" ht="15" customHeight="1">
      <c r="A1405" t="inlineStr">
        <is>
          <t>A 22069-2023</t>
        </is>
      </c>
      <c r="B1405" t="inlineStr">
        <is>
          <t>avverkningsanmälan</t>
        </is>
      </c>
      <c r="C1405" t="inlineStr">
        <is>
          <t>Föryngringsavverkning</t>
        </is>
      </c>
      <c r="D1405" s="1" t="n">
        <v>45069</v>
      </c>
      <c r="E1405" s="1" t="n">
        <v>46319</v>
      </c>
      <c r="F1405" t="inlineStr">
        <is>
          <t>DALARNAS LÄN</t>
        </is>
      </c>
      <c r="G1405" t="inlineStr">
        <is>
          <t>FALUN</t>
        </is>
      </c>
      <c r="I1405" t="n">
        <v>3</v>
      </c>
      <c r="J1405" t="n">
        <v>1</v>
      </c>
      <c r="K1405" t="n">
        <v>0</v>
      </c>
      <c r="L1405" t="n">
        <v>0</v>
      </c>
      <c r="M1405" t="n">
        <v>1</v>
      </c>
      <c r="N1405" t="n">
        <v>0</v>
      </c>
      <c r="O1405" t="n">
        <v>0</v>
      </c>
      <c r="P1405" t="n">
        <v>0</v>
      </c>
      <c r="Q1405" t="n">
        <v>1</v>
      </c>
      <c r="R1405" t="n">
        <v>1</v>
      </c>
      <c r="S1405" t="n">
        <v>1</v>
      </c>
      <c r="T1405" t="n">
        <v>3</v>
      </c>
      <c r="U1405" t="n">
        <v>0</v>
      </c>
      <c r="V1405" s="2" t="inlineStr">
        <is>
          <t>Brun gräsfjäril</t>
        </is>
      </c>
      <c r="W1405">
        <f>HYPERLINK("https://klasma.github.io/Logging_2080/artfynd/A 22069-2023 artfynd.xlsx", "A 22069-2023")</f>
        <v/>
      </c>
      <c r="X1405">
        <f>HYPERLINK("https://klasma.github.io/Logging_2080/kartor/A 22069-2023 karta.png", "A 22069-2023")</f>
        <v/>
      </c>
      <c r="Y1405">
        <f>HYPERLINK("https://klasma.github.io/Logging_2080/kartor_geotiff/A 22069-2023 georefererad karta.tif", "A 22069-2023")</f>
        <v/>
      </c>
      <c r="AA1405">
        <f>HYPERLINK("https://klasma.github.io/Logging_2080/klagomål/A 22069-2023 FSC-klagomål.docx", "A 22069-2023")</f>
        <v/>
      </c>
      <c r="AB1405">
        <f>HYPERLINK("https://klasma.github.io/Logging_2080/klagomålsmail/A 22069-2023 FSC-klagomål mail.docx", "A 22069-2023")</f>
        <v/>
      </c>
      <c r="AC1405">
        <f>HYPERLINK("https://klasma.github.io/Logging_2080/tillsyn/A 22069-2023 tillsynsbegäran.docx", "A 22069-2023")</f>
        <v/>
      </c>
      <c r="AD1405">
        <f>HYPERLINK("https://klasma.github.io/Logging_2080/tillsynsmail/A 22069-2023 tillsynsbegäran mail.docx", "A 22069-2023")</f>
        <v/>
      </c>
    </row>
    <row r="1406" ht="15" customHeight="1">
      <c r="A1406" t="inlineStr">
        <is>
          <t>A 18878-2026</t>
        </is>
      </c>
      <c r="B1406" t="inlineStr">
        <is>
          <t>avverkningsanmälan</t>
        </is>
      </c>
      <c r="C1406" t="inlineStr">
        <is>
          <t>Föryngringsavverkning</t>
        </is>
      </c>
      <c r="D1406" s="1" t="n">
        <v>46129</v>
      </c>
      <c r="E1406" s="1" t="n">
        <v>46319</v>
      </c>
      <c r="F1406" t="inlineStr">
        <is>
          <t>DALARNAS LÄN</t>
        </is>
      </c>
      <c r="G1406" t="inlineStr">
        <is>
          <t>SMEDJEBACKEN</t>
        </is>
      </c>
      <c r="H1406" t="inlineStr">
        <is>
          <t>Sveaskog</t>
        </is>
      </c>
      <c r="I1406" t="n">
        <v>8.6</v>
      </c>
      <c r="J1406" t="n">
        <v>0</v>
      </c>
      <c r="K1406" t="n">
        <v>0</v>
      </c>
      <c r="L1406" t="n">
        <v>1</v>
      </c>
      <c r="M1406" t="n">
        <v>0</v>
      </c>
      <c r="N1406" t="n">
        <v>0</v>
      </c>
      <c r="O1406" t="n">
        <v>0</v>
      </c>
      <c r="P1406" t="n">
        <v>0</v>
      </c>
      <c r="Q1406" t="n">
        <v>1</v>
      </c>
      <c r="R1406" t="n">
        <v>0</v>
      </c>
      <c r="S1406" t="n">
        <v>1</v>
      </c>
      <c r="T1406" t="n">
        <v>1</v>
      </c>
      <c r="U1406" t="n">
        <v>0</v>
      </c>
      <c r="V1406" s="2" t="inlineStr">
        <is>
          <t>Motaggsvamp</t>
        </is>
      </c>
      <c r="W1406">
        <f>HYPERLINK("https://klasma.github.io/Logging_2061/artfynd/A 18878-2026 artfynd.xlsx", "A 18878-2026")</f>
        <v/>
      </c>
      <c r="X1406">
        <f>HYPERLINK("https://klasma.github.io/Logging_2061/kartor/A 18878-2026 karta.png", "A 18878-2026")</f>
        <v/>
      </c>
      <c r="Y1406">
        <f>HYPERLINK("https://klasma.github.io/Logging_2061/kartor_geotiff/A 18878-2026 georefererad karta.tif", "A 18878-2026")</f>
        <v/>
      </c>
      <c r="AA1406">
        <f>HYPERLINK("https://klasma.github.io/Logging_2061/klagomål/A 18878-2026 FSC-klagomål.docx", "A 18878-2026")</f>
        <v/>
      </c>
      <c r="AB1406">
        <f>HYPERLINK("https://klasma.github.io/Logging_2061/klagomålsmail/A 18878-2026 FSC-klagomål mail.docx", "A 18878-2026")</f>
        <v/>
      </c>
      <c r="AC1406">
        <f>HYPERLINK("https://klasma.github.io/Logging_2061/tillsyn/A 18878-2026 tillsynsbegäran.docx", "A 18878-2026")</f>
        <v/>
      </c>
      <c r="AD1406">
        <f>HYPERLINK("https://klasma.github.io/Logging_2061/tillsynsmail/A 18878-2026 tillsynsbegäran mail.docx", "A 18878-2026")</f>
        <v/>
      </c>
    </row>
    <row r="1407" ht="15" customHeight="1">
      <c r="A1407" t="inlineStr">
        <is>
          <t>A 8556-2023</t>
        </is>
      </c>
      <c r="B1407" t="inlineStr">
        <is>
          <t>avverkningsanmälan</t>
        </is>
      </c>
      <c r="C1407" t="inlineStr">
        <is>
          <t>Föryngringsavverkning</t>
        </is>
      </c>
      <c r="D1407" s="1" t="n">
        <v>44977</v>
      </c>
      <c r="E1407" s="1" t="n">
        <v>46319</v>
      </c>
      <c r="F1407" t="inlineStr">
        <is>
          <t>DALARNAS LÄN</t>
        </is>
      </c>
      <c r="G1407" t="inlineStr">
        <is>
          <t>BORLÄNGE</t>
        </is>
      </c>
      <c r="I1407" t="n">
        <v>0.8</v>
      </c>
      <c r="J1407" t="n">
        <v>1</v>
      </c>
      <c r="K1407" t="n">
        <v>0</v>
      </c>
      <c r="L1407" t="n">
        <v>0</v>
      </c>
      <c r="M1407" t="n">
        <v>0</v>
      </c>
      <c r="N1407" t="n">
        <v>0</v>
      </c>
      <c r="O1407" t="n">
        <v>0</v>
      </c>
      <c r="P1407" t="n">
        <v>0</v>
      </c>
      <c r="Q1407" t="n">
        <v>0</v>
      </c>
      <c r="R1407" t="n">
        <v>0</v>
      </c>
      <c r="S1407" t="n">
        <v>1</v>
      </c>
      <c r="T1407" t="n">
        <v>1</v>
      </c>
      <c r="U1407" t="n">
        <v>1</v>
      </c>
      <c r="V1407" s="2" t="inlineStr">
        <is>
          <t>Blåsippa</t>
        </is>
      </c>
      <c r="W1407">
        <f>HYPERLINK("https://klasma.github.io/Logging_2081/artfynd/A 8556-2023 artfynd.xlsx", "A 8556-2023")</f>
        <v/>
      </c>
      <c r="X1407">
        <f>HYPERLINK("https://klasma.github.io/Logging_2081/kartor/A 8556-2023 karta.png", "A 8556-2023")</f>
        <v/>
      </c>
      <c r="Y1407">
        <f>HYPERLINK("https://klasma.github.io/Logging_2081/kartor_geotiff/A 8556-2023 georefererad karta.tif", "A 8556-2023")</f>
        <v/>
      </c>
      <c r="AA1407">
        <f>HYPERLINK("https://klasma.github.io/Logging_2081/klagomål/A 8556-2023 FSC-klagomål.docx", "A 8556-2023")</f>
        <v/>
      </c>
      <c r="AB1407">
        <f>HYPERLINK("https://klasma.github.io/Logging_2081/klagomålsmail/A 8556-2023 FSC-klagomål mail.docx", "A 8556-2023")</f>
        <v/>
      </c>
      <c r="AC1407">
        <f>HYPERLINK("https://klasma.github.io/Logging_2081/tillsyn/A 8556-2023 tillsynsbegäran.docx", "A 8556-2023")</f>
        <v/>
      </c>
      <c r="AD1407">
        <f>HYPERLINK("https://klasma.github.io/Logging_2081/tillsynsmail/A 8556-2023 tillsynsbegäran mail.docx", "A 8556-2023")</f>
        <v/>
      </c>
    </row>
    <row r="1408" ht="15" customHeight="1">
      <c r="A1408" t="inlineStr">
        <is>
          <t>A 63542-2023</t>
        </is>
      </c>
      <c r="B1408" t="inlineStr">
        <is>
          <t>avverkningsanmälan</t>
        </is>
      </c>
      <c r="C1408" t="inlineStr">
        <is>
          <t>Föryngringsavverkning</t>
        </is>
      </c>
      <c r="D1408" s="1" t="n">
        <v>45275</v>
      </c>
      <c r="E1408" s="1" t="n">
        <v>46319</v>
      </c>
      <c r="F1408" t="inlineStr">
        <is>
          <t>DALARNAS LÄN</t>
        </is>
      </c>
      <c r="G1408" t="inlineStr">
        <is>
          <t>HEDEMORA</t>
        </is>
      </c>
      <c r="I1408" t="n">
        <v>2.1</v>
      </c>
      <c r="J1408" t="n">
        <v>1</v>
      </c>
      <c r="K1408" t="n">
        <v>0</v>
      </c>
      <c r="L1408" t="n">
        <v>0</v>
      </c>
      <c r="M1408" t="n">
        <v>0</v>
      </c>
      <c r="N1408" t="n">
        <v>0</v>
      </c>
      <c r="O1408" t="n">
        <v>0</v>
      </c>
      <c r="P1408" t="n">
        <v>0</v>
      </c>
      <c r="Q1408" t="n">
        <v>0</v>
      </c>
      <c r="R1408" t="n">
        <v>0</v>
      </c>
      <c r="S1408" t="n">
        <v>1</v>
      </c>
      <c r="T1408" t="n">
        <v>1</v>
      </c>
      <c r="U1408" t="n">
        <v>1</v>
      </c>
      <c r="V1408" s="2" t="inlineStr">
        <is>
          <t>Spillkråka</t>
        </is>
      </c>
      <c r="W1408">
        <f>HYPERLINK("https://klasma.github.io/Logging_2083/artfynd/A 63542-2023 artfynd.xlsx", "A 63542-2023")</f>
        <v/>
      </c>
      <c r="X1408">
        <f>HYPERLINK("https://klasma.github.io/Logging_2083/kartor/A 63542-2023 karta.png", "A 63542-2023")</f>
        <v/>
      </c>
      <c r="Y1408">
        <f>HYPERLINK("https://klasma.github.io/Logging_2083/kartor_geotiff/A 63542-2023 georefererad karta.tif", "A 63542-2023")</f>
        <v/>
      </c>
      <c r="AA1408">
        <f>HYPERLINK("https://klasma.github.io/Logging_2083/klagomål/A 63542-2023 FSC-klagomål.docx", "A 63542-2023")</f>
        <v/>
      </c>
      <c r="AB1408">
        <f>HYPERLINK("https://klasma.github.io/Logging_2083/klagomålsmail/A 63542-2023 FSC-klagomål mail.docx", "A 63542-2023")</f>
        <v/>
      </c>
      <c r="AC1408">
        <f>HYPERLINK("https://klasma.github.io/Logging_2083/tillsyn/A 63542-2023 tillsynsbegäran.docx", "A 63542-2023")</f>
        <v/>
      </c>
      <c r="AD1408">
        <f>HYPERLINK("https://klasma.github.io/Logging_2083/tillsynsmail/A 63542-2023 tillsynsbegäran mail.docx", "A 63542-2023")</f>
        <v/>
      </c>
      <c r="AE1408">
        <f>HYPERLINK("https://klasma.github.io/Logging_2083/fåglar/A 63542-2023 prioriterade fågelarter.docx", "A 63542-2023")</f>
        <v/>
      </c>
    </row>
    <row r="1409" ht="15" customHeight="1">
      <c r="A1409" t="inlineStr">
        <is>
          <t>A 35824-2026</t>
        </is>
      </c>
      <c r="B1409" t="inlineStr">
        <is>
          <t>avverkningsanmälan</t>
        </is>
      </c>
      <c r="C1409" t="inlineStr">
        <is>
          <t>Föryngringsavverkning</t>
        </is>
      </c>
      <c r="D1409" s="1" t="n">
        <v>46265</v>
      </c>
      <c r="E1409" s="1" t="n">
        <v>46319</v>
      </c>
      <c r="F1409" t="inlineStr">
        <is>
          <t>DALARNAS LÄN</t>
        </is>
      </c>
      <c r="G1409" t="inlineStr">
        <is>
          <t>RÄTTVIK</t>
        </is>
      </c>
      <c r="H1409" t="inlineStr">
        <is>
          <t>Sveaskog</t>
        </is>
      </c>
      <c r="I1409" t="n">
        <v>8.800000000000001</v>
      </c>
      <c r="J1409" t="n">
        <v>0</v>
      </c>
      <c r="K1409" t="n">
        <v>0</v>
      </c>
      <c r="L1409" t="n">
        <v>1</v>
      </c>
      <c r="M1409" t="n">
        <v>0</v>
      </c>
      <c r="N1409" t="n">
        <v>0</v>
      </c>
      <c r="O1409" t="n">
        <v>0</v>
      </c>
      <c r="P1409" t="n">
        <v>0</v>
      </c>
      <c r="Q1409" t="n">
        <v>1</v>
      </c>
      <c r="R1409" t="n">
        <v>0</v>
      </c>
      <c r="S1409" t="n">
        <v>1</v>
      </c>
      <c r="T1409" t="n">
        <v>1</v>
      </c>
      <c r="U1409" t="n">
        <v>1</v>
      </c>
      <c r="V1409" s="2" t="inlineStr">
        <is>
          <t>Kolflarnlav</t>
        </is>
      </c>
      <c r="W1409">
        <f>HYPERLINK("https://klasma.github.io/Logging_2031/artfynd/A 35824-2026 artfynd.xlsx", "A 35824-2026")</f>
        <v/>
      </c>
      <c r="X1409">
        <f>HYPERLINK("https://klasma.github.io/Logging_2031/kartor/A 35824-2026 karta.png", "A 35824-2026")</f>
        <v/>
      </c>
      <c r="Y1409">
        <f>HYPERLINK("https://klasma.github.io/Logging_2031/kartor_geotiff/A 35824-2026 georefererad karta.tif", "A 35824-2026")</f>
        <v/>
      </c>
      <c r="AA1409">
        <f>HYPERLINK("https://klasma.github.io/Logging_2031/klagomål/A 35824-2026 FSC-klagomål.docx", "A 35824-2026")</f>
        <v/>
      </c>
      <c r="AB1409">
        <f>HYPERLINK("https://klasma.github.io/Logging_2031/klagomålsmail/A 35824-2026 FSC-klagomål mail.docx", "A 35824-2026")</f>
        <v/>
      </c>
      <c r="AC1409">
        <f>HYPERLINK("https://klasma.github.io/Logging_2031/tillsyn/A 35824-2026 tillsynsbegäran.docx", "A 35824-2026")</f>
        <v/>
      </c>
      <c r="AD1409">
        <f>HYPERLINK("https://klasma.github.io/Logging_2031/tillsynsmail/A 35824-2026 tillsynsbegäran mail.docx", "A 35824-2026")</f>
        <v/>
      </c>
    </row>
    <row r="1410" ht="15" customHeight="1">
      <c r="A1410" t="inlineStr">
        <is>
          <t>A 36928-2024</t>
        </is>
      </c>
      <c r="B1410" t="inlineStr">
        <is>
          <t>avverkningsanmälan</t>
        </is>
      </c>
      <c r="C1410" t="inlineStr">
        <is>
          <t>Föryngringsavverkning</t>
        </is>
      </c>
      <c r="D1410" s="1" t="n">
        <v>45538</v>
      </c>
      <c r="E1410" s="1" t="n">
        <v>46319</v>
      </c>
      <c r="F1410" t="inlineStr">
        <is>
          <t>DALARNAS LÄN</t>
        </is>
      </c>
      <c r="G1410" t="inlineStr">
        <is>
          <t>MALUNG-SÄLEN</t>
        </is>
      </c>
      <c r="I1410" t="n">
        <v>14.7</v>
      </c>
      <c r="J1410" t="n">
        <v>0</v>
      </c>
      <c r="K1410" t="n">
        <v>0</v>
      </c>
      <c r="L1410" t="n">
        <v>0</v>
      </c>
      <c r="M1410" t="n">
        <v>1</v>
      </c>
      <c r="N1410" t="n">
        <v>0</v>
      </c>
      <c r="O1410" t="n">
        <v>0</v>
      </c>
      <c r="P1410" t="n">
        <v>0</v>
      </c>
      <c r="Q1410" t="n">
        <v>1</v>
      </c>
      <c r="R1410" t="n">
        <v>1</v>
      </c>
      <c r="S1410" t="n">
        <v>1</v>
      </c>
      <c r="T1410" t="n">
        <v>2</v>
      </c>
      <c r="U1410" t="n">
        <v>0</v>
      </c>
      <c r="V1410" s="2" t="inlineStr">
        <is>
          <t>Garnlav</t>
        </is>
      </c>
      <c r="W1410">
        <f>HYPERLINK("https://klasma.github.io/Logging_2023/artfynd/A 36928-2024 artfynd.xlsx", "A 36928-2024")</f>
        <v/>
      </c>
      <c r="X1410">
        <f>HYPERLINK("https://klasma.github.io/Logging_2023/kartor/A 36928-2024 karta.png", "A 36928-2024")</f>
        <v/>
      </c>
      <c r="Y1410">
        <f>HYPERLINK("https://klasma.github.io/Logging_2023/kartor_geotiff/A 36928-2024 georefererad karta.tif", "A 36928-2024")</f>
        <v/>
      </c>
      <c r="AA1410">
        <f>HYPERLINK("https://klasma.github.io/Logging_2023/klagomål/A 36928-2024 FSC-klagomål.docx", "A 36928-2024")</f>
        <v/>
      </c>
      <c r="AB1410">
        <f>HYPERLINK("https://klasma.github.io/Logging_2023/klagomålsmail/A 36928-2024 FSC-klagomål mail.docx", "A 36928-2024")</f>
        <v/>
      </c>
      <c r="AC1410">
        <f>HYPERLINK("https://klasma.github.io/Logging_2023/tillsyn/A 36928-2024 tillsynsbegäran.docx", "A 36928-2024")</f>
        <v/>
      </c>
      <c r="AD1410">
        <f>HYPERLINK("https://klasma.github.io/Logging_2023/tillsynsmail/A 36928-2024 tillsynsbegäran mail.docx", "A 36928-2024")</f>
        <v/>
      </c>
    </row>
    <row r="1411" ht="15" customHeight="1">
      <c r="A1411" t="inlineStr">
        <is>
          <t>A 35652-2026</t>
        </is>
      </c>
      <c r="B1411" t="inlineStr">
        <is>
          <t>avverkningsanmälan</t>
        </is>
      </c>
      <c r="C1411" t="inlineStr">
        <is>
          <t>Föryngringsavverkning</t>
        </is>
      </c>
      <c r="D1411" s="1" t="n">
        <v>46265</v>
      </c>
      <c r="E1411" s="1" t="n">
        <v>46319</v>
      </c>
      <c r="F1411" t="inlineStr">
        <is>
          <t>DALARNAS LÄN</t>
        </is>
      </c>
      <c r="G1411" t="inlineStr">
        <is>
          <t>LUDVIKA</t>
        </is>
      </c>
      <c r="H1411" t="inlineStr">
        <is>
          <t>Bergvik skog väst AB</t>
        </is>
      </c>
      <c r="I1411" t="n">
        <v>2</v>
      </c>
      <c r="J1411" t="n">
        <v>0</v>
      </c>
      <c r="K1411" t="n">
        <v>0</v>
      </c>
      <c r="L1411" t="n">
        <v>0</v>
      </c>
      <c r="M1411" t="n">
        <v>1</v>
      </c>
      <c r="N1411" t="n">
        <v>0</v>
      </c>
      <c r="O1411" t="n">
        <v>0</v>
      </c>
      <c r="P1411" t="n">
        <v>0</v>
      </c>
      <c r="Q1411" t="n">
        <v>1</v>
      </c>
      <c r="R1411" t="n">
        <v>1</v>
      </c>
      <c r="S1411" t="n">
        <v>1</v>
      </c>
      <c r="T1411" t="n">
        <v>1</v>
      </c>
      <c r="U1411" t="n">
        <v>1</v>
      </c>
      <c r="V1411" s="2" t="inlineStr">
        <is>
          <t>Garnlav</t>
        </is>
      </c>
      <c r="W1411">
        <f>HYPERLINK("https://klasma.github.io/Logging_2085/artfynd/A 35652-2026 artfynd.xlsx", "A 35652-2026")</f>
        <v/>
      </c>
      <c r="X1411">
        <f>HYPERLINK("https://klasma.github.io/Logging_2085/kartor/A 35652-2026 karta.png", "A 35652-2026")</f>
        <v/>
      </c>
      <c r="Y1411">
        <f>HYPERLINK("https://klasma.github.io/Logging_2085/kartor_geotiff/A 35652-2026 georefererad karta.tif", "A 35652-2026")</f>
        <v/>
      </c>
      <c r="AA1411">
        <f>HYPERLINK("https://klasma.github.io/Logging_2085/klagomål/A 35652-2026 FSC-klagomål.docx", "A 35652-2026")</f>
        <v/>
      </c>
      <c r="AB1411">
        <f>HYPERLINK("https://klasma.github.io/Logging_2085/klagomålsmail/A 35652-2026 FSC-klagomål mail.docx", "A 35652-2026")</f>
        <v/>
      </c>
      <c r="AC1411">
        <f>HYPERLINK("https://klasma.github.io/Logging_2085/tillsyn/A 35652-2026 tillsynsbegäran.docx", "A 35652-2026")</f>
        <v/>
      </c>
      <c r="AD1411">
        <f>HYPERLINK("https://klasma.github.io/Logging_2085/tillsynsmail/A 35652-2026 tillsynsbegäran mail.docx", "A 35652-2026")</f>
        <v/>
      </c>
    </row>
    <row r="1412" ht="15" customHeight="1">
      <c r="A1412" t="inlineStr">
        <is>
          <t>A 49660-2024</t>
        </is>
      </c>
      <c r="B1412" t="inlineStr">
        <is>
          <t>avverkningsanmälan</t>
        </is>
      </c>
      <c r="C1412" t="inlineStr">
        <is>
          <t>Avverkning för att bevara och utveckla /försöksver</t>
        </is>
      </c>
      <c r="D1412" s="1" t="n">
        <v>45596</v>
      </c>
      <c r="E1412" s="1" t="n">
        <v>46319</v>
      </c>
      <c r="F1412" t="inlineStr">
        <is>
          <t>DALARNAS LÄN</t>
        </is>
      </c>
      <c r="G1412" t="inlineStr">
        <is>
          <t>LUDVIKA</t>
        </is>
      </c>
      <c r="H1412" t="inlineStr">
        <is>
          <t>Bergvik skog väst AB</t>
        </is>
      </c>
      <c r="I1412" t="n">
        <v>0.9</v>
      </c>
      <c r="J1412" t="n">
        <v>0</v>
      </c>
      <c r="K1412" t="n">
        <v>1</v>
      </c>
      <c r="L1412" t="n">
        <v>0</v>
      </c>
      <c r="M1412" t="n">
        <v>0</v>
      </c>
      <c r="N1412" t="n">
        <v>0</v>
      </c>
      <c r="O1412" t="n">
        <v>0</v>
      </c>
      <c r="P1412" t="n">
        <v>0</v>
      </c>
      <c r="Q1412" t="n">
        <v>0</v>
      </c>
      <c r="R1412" t="n">
        <v>0</v>
      </c>
      <c r="S1412" t="n">
        <v>1</v>
      </c>
      <c r="T1412" t="n">
        <v>1</v>
      </c>
      <c r="U1412" t="n">
        <v>0</v>
      </c>
      <c r="V1412" s="2" t="inlineStr">
        <is>
          <t>Mörk husmossa</t>
        </is>
      </c>
      <c r="W1412">
        <f>HYPERLINK("https://klasma.github.io/Logging_2085/artfynd/A 49660-2024 artfynd.xlsx", "A 49660-2024")</f>
        <v/>
      </c>
      <c r="X1412">
        <f>HYPERLINK("https://klasma.github.io/Logging_2085/kartor/A 49660-2024 karta.png", "A 49660-2024")</f>
        <v/>
      </c>
      <c r="Y1412">
        <f>HYPERLINK("https://klasma.github.io/Logging_2085/kartor_geotiff/A 49660-2024 georefererad karta.tif", "A 49660-2024")</f>
        <v/>
      </c>
      <c r="AA1412">
        <f>HYPERLINK("https://klasma.github.io/Logging_2085/klagomål/A 49660-2024 FSC-klagomål.docx", "A 49660-2024")</f>
        <v/>
      </c>
      <c r="AB1412">
        <f>HYPERLINK("https://klasma.github.io/Logging_2085/klagomålsmail/A 49660-2024 FSC-klagomål mail.docx", "A 49660-2024")</f>
        <v/>
      </c>
      <c r="AC1412">
        <f>HYPERLINK("https://klasma.github.io/Logging_2085/tillsyn/A 49660-2024 tillsynsbegäran.docx", "A 49660-2024")</f>
        <v/>
      </c>
      <c r="AD1412">
        <f>HYPERLINK("https://klasma.github.io/Logging_2085/tillsynsmail/A 49660-2024 tillsynsbegäran mail.docx", "A 49660-2024")</f>
        <v/>
      </c>
    </row>
    <row r="1413" ht="15" customHeight="1">
      <c r="A1413" t="inlineStr">
        <is>
          <t>A 60246-2022</t>
        </is>
      </c>
      <c r="B1413" t="inlineStr">
        <is>
          <t>avverkningsanmälan</t>
        </is>
      </c>
      <c r="C1413" t="inlineStr">
        <is>
          <t>Föryngringsavverkning</t>
        </is>
      </c>
      <c r="D1413" s="1" t="n">
        <v>44910</v>
      </c>
      <c r="E1413" s="1" t="n">
        <v>46319</v>
      </c>
      <c r="F1413" t="inlineStr">
        <is>
          <t>DALARNAS LÄN</t>
        </is>
      </c>
      <c r="G1413" t="inlineStr">
        <is>
          <t>MALUNG-SÄLEN</t>
        </is>
      </c>
      <c r="I1413" t="n">
        <v>2</v>
      </c>
      <c r="J1413" t="n">
        <v>1</v>
      </c>
      <c r="K1413" t="n">
        <v>0</v>
      </c>
      <c r="L1413" t="n">
        <v>0</v>
      </c>
      <c r="M1413" t="n">
        <v>0</v>
      </c>
      <c r="N1413" t="n">
        <v>1</v>
      </c>
      <c r="O1413" t="n">
        <v>0</v>
      </c>
      <c r="P1413" t="n">
        <v>0</v>
      </c>
      <c r="Q1413" t="n">
        <v>1</v>
      </c>
      <c r="R1413" t="n">
        <v>1</v>
      </c>
      <c r="S1413" t="n">
        <v>1</v>
      </c>
      <c r="T1413" t="n">
        <v>1</v>
      </c>
      <c r="U1413" t="n">
        <v>0</v>
      </c>
      <c r="V1413" s="2" t="inlineStr">
        <is>
          <t>Mosippa</t>
        </is>
      </c>
      <c r="W1413">
        <f>HYPERLINK("https://klasma.github.io/Logging_2023/artfynd/A 60246-2022 artfynd.xlsx", "A 60246-2022")</f>
        <v/>
      </c>
      <c r="X1413">
        <f>HYPERLINK("https://klasma.github.io/Logging_2023/kartor/A 60246-2022 karta.png", "A 60246-2022")</f>
        <v/>
      </c>
      <c r="Y1413">
        <f>HYPERLINK("https://klasma.github.io/Logging_2023/kartor_geotiff/A 60246-2022 georefererad karta.tif", "A 60246-2022")</f>
        <v/>
      </c>
      <c r="AA1413">
        <f>HYPERLINK("https://klasma.github.io/Logging_2023/klagomål/A 60246-2022 FSC-klagomål.docx", "A 60246-2022")</f>
        <v/>
      </c>
      <c r="AB1413">
        <f>HYPERLINK("https://klasma.github.io/Logging_2023/klagomålsmail/A 60246-2022 FSC-klagomål mail.docx", "A 60246-2022")</f>
        <v/>
      </c>
      <c r="AC1413">
        <f>HYPERLINK("https://klasma.github.io/Logging_2023/tillsyn/A 60246-2022 tillsynsbegäran.docx", "A 60246-2022")</f>
        <v/>
      </c>
      <c r="AD1413">
        <f>HYPERLINK("https://klasma.github.io/Logging_2023/tillsynsmail/A 60246-2022 tillsynsbegäran mail.docx", "A 60246-2022")</f>
        <v/>
      </c>
    </row>
    <row r="1414" ht="15" customHeight="1">
      <c r="A1414" t="inlineStr">
        <is>
          <t>A 20076-2026</t>
        </is>
      </c>
      <c r="B1414" t="inlineStr">
        <is>
          <t>avverkningsanmälan</t>
        </is>
      </c>
      <c r="C1414" t="inlineStr">
        <is>
          <t>Föryngringsavverkning</t>
        </is>
      </c>
      <c r="D1414" s="1" t="n">
        <v>46136</v>
      </c>
      <c r="E1414" s="1" t="n">
        <v>46319</v>
      </c>
      <c r="F1414" t="inlineStr">
        <is>
          <t>DALARNAS LÄN</t>
        </is>
      </c>
      <c r="G1414" t="inlineStr">
        <is>
          <t>VANSBRO</t>
        </is>
      </c>
      <c r="H1414" t="inlineStr">
        <is>
          <t>Bergvik skog öst AB</t>
        </is>
      </c>
      <c r="I1414" t="n">
        <v>13.2</v>
      </c>
      <c r="J1414" t="n">
        <v>0</v>
      </c>
      <c r="K1414" t="n">
        <v>1</v>
      </c>
      <c r="L1414" t="n">
        <v>0</v>
      </c>
      <c r="M1414" t="n">
        <v>0</v>
      </c>
      <c r="N1414" t="n">
        <v>0</v>
      </c>
      <c r="O1414" t="n">
        <v>0</v>
      </c>
      <c r="P1414" t="n">
        <v>0</v>
      </c>
      <c r="Q1414" t="n">
        <v>0</v>
      </c>
      <c r="R1414" t="n">
        <v>0</v>
      </c>
      <c r="S1414" t="n">
        <v>1</v>
      </c>
      <c r="T1414" t="n">
        <v>1</v>
      </c>
      <c r="U1414" t="n">
        <v>0</v>
      </c>
      <c r="V1414" s="2" t="inlineStr">
        <is>
          <t>Kransrams</t>
        </is>
      </c>
      <c r="W1414">
        <f>HYPERLINK("https://klasma.github.io/Logging_2021/artfynd/A 20076-2026 artfynd.xlsx", "A 20076-2026")</f>
        <v/>
      </c>
      <c r="X1414">
        <f>HYPERLINK("https://klasma.github.io/Logging_2021/kartor/A 20076-2026 karta.png", "A 20076-2026")</f>
        <v/>
      </c>
      <c r="Y1414">
        <f>HYPERLINK("https://klasma.github.io/Logging_2021/kartor_geotiff/A 20076-2026 georefererad karta.tif", "A 20076-2026")</f>
        <v/>
      </c>
      <c r="AA1414">
        <f>HYPERLINK("https://klasma.github.io/Logging_2021/klagomål/A 20076-2026 FSC-klagomål.docx", "A 20076-2026")</f>
        <v/>
      </c>
      <c r="AB1414">
        <f>HYPERLINK("https://klasma.github.io/Logging_2021/klagomålsmail/A 20076-2026 FSC-klagomål mail.docx", "A 20076-2026")</f>
        <v/>
      </c>
      <c r="AC1414">
        <f>HYPERLINK("https://klasma.github.io/Logging_2021/tillsyn/A 20076-2026 tillsynsbegäran.docx", "A 20076-2026")</f>
        <v/>
      </c>
      <c r="AD1414">
        <f>HYPERLINK("https://klasma.github.io/Logging_2021/tillsynsmail/A 20076-2026 tillsynsbegäran mail.docx", "A 20076-2026")</f>
        <v/>
      </c>
    </row>
    <row r="1415" ht="15" customHeight="1">
      <c r="A1415" t="inlineStr">
        <is>
          <t>A 64510-2021</t>
        </is>
      </c>
      <c r="B1415" t="inlineStr">
        <is>
          <t>avverkningsanmälan</t>
        </is>
      </c>
      <c r="C1415" t="inlineStr">
        <is>
          <t>Avverkning för att bevara och utveckla /försöksver</t>
        </is>
      </c>
      <c r="D1415" s="1" t="n">
        <v>44511</v>
      </c>
      <c r="E1415" s="1" t="n">
        <v>46319</v>
      </c>
      <c r="F1415" t="inlineStr">
        <is>
          <t>DALARNAS LÄN</t>
        </is>
      </c>
      <c r="G1415" t="inlineStr">
        <is>
          <t>GAGNEF</t>
        </is>
      </c>
      <c r="I1415" t="n">
        <v>2.7</v>
      </c>
      <c r="J1415" t="n">
        <v>0</v>
      </c>
      <c r="K1415" t="n">
        <v>0</v>
      </c>
      <c r="L1415" t="n">
        <v>1</v>
      </c>
      <c r="M1415" t="n">
        <v>0</v>
      </c>
      <c r="N1415" t="n">
        <v>0</v>
      </c>
      <c r="O1415" t="n">
        <v>0</v>
      </c>
      <c r="P1415" t="n">
        <v>0</v>
      </c>
      <c r="Q1415" t="n">
        <v>1</v>
      </c>
      <c r="R1415" t="n">
        <v>0</v>
      </c>
      <c r="S1415" t="n">
        <v>1</v>
      </c>
      <c r="T1415" t="n">
        <v>1</v>
      </c>
      <c r="U1415" t="n">
        <v>0</v>
      </c>
      <c r="V1415" s="2" t="inlineStr">
        <is>
          <t>Grönhjon</t>
        </is>
      </c>
      <c r="W1415">
        <f>HYPERLINK("https://klasma.github.io/Logging_2026/artfynd/A 64510-2021 artfynd.xlsx", "A 64510-2021")</f>
        <v/>
      </c>
      <c r="X1415">
        <f>HYPERLINK("https://klasma.github.io/Logging_2026/kartor/A 64510-2021 karta.png", "A 64510-2021")</f>
        <v/>
      </c>
      <c r="Y1415">
        <f>HYPERLINK("https://klasma.github.io/Logging_2026/kartor_geotiff/A 64510-2021 georefererad karta.tif", "A 64510-2021")</f>
        <v/>
      </c>
      <c r="AA1415">
        <f>HYPERLINK("https://klasma.github.io/Logging_2026/klagomål/A 64510-2021 FSC-klagomål.docx", "A 64510-2021")</f>
        <v/>
      </c>
      <c r="AB1415">
        <f>HYPERLINK("https://klasma.github.io/Logging_2026/klagomålsmail/A 64510-2021 FSC-klagomål mail.docx", "A 64510-2021")</f>
        <v/>
      </c>
      <c r="AC1415">
        <f>HYPERLINK("https://klasma.github.io/Logging_2026/tillsyn/A 64510-2021 tillsynsbegäran.docx", "A 64510-2021")</f>
        <v/>
      </c>
      <c r="AD1415">
        <f>HYPERLINK("https://klasma.github.io/Logging_2026/tillsynsmail/A 64510-2021 tillsynsbegäran mail.docx", "A 64510-2021")</f>
        <v/>
      </c>
    </row>
    <row r="1416" ht="15" customHeight="1">
      <c r="A1416" t="inlineStr">
        <is>
          <t>A 35533-2026</t>
        </is>
      </c>
      <c r="B1416" t="inlineStr">
        <is>
          <t>avverkningsanmälan</t>
        </is>
      </c>
      <c r="C1416" t="inlineStr">
        <is>
          <t>Föryngringsavverkning</t>
        </is>
      </c>
      <c r="D1416" s="1" t="n">
        <v>46262</v>
      </c>
      <c r="E1416" s="1" t="n">
        <v>46319</v>
      </c>
      <c r="F1416" t="inlineStr">
        <is>
          <t>DALARNAS LÄN</t>
        </is>
      </c>
      <c r="G1416" t="inlineStr">
        <is>
          <t>VANSBRO</t>
        </is>
      </c>
      <c r="I1416" t="n">
        <v>1.3</v>
      </c>
      <c r="J1416" t="n">
        <v>0</v>
      </c>
      <c r="K1416" t="n">
        <v>0</v>
      </c>
      <c r="L1416" t="n">
        <v>1</v>
      </c>
      <c r="M1416" t="n">
        <v>0</v>
      </c>
      <c r="N1416" t="n">
        <v>0</v>
      </c>
      <c r="O1416" t="n">
        <v>0</v>
      </c>
      <c r="P1416" t="n">
        <v>0</v>
      </c>
      <c r="Q1416" t="n">
        <v>1</v>
      </c>
      <c r="R1416" t="n">
        <v>0</v>
      </c>
      <c r="S1416" t="n">
        <v>1</v>
      </c>
      <c r="T1416" t="n">
        <v>1</v>
      </c>
      <c r="U1416" t="n">
        <v>0</v>
      </c>
      <c r="V1416" s="2" t="inlineStr">
        <is>
          <t>Ullticka</t>
        </is>
      </c>
      <c r="W1416">
        <f>HYPERLINK("https://klasma.github.io/Logging_2021/artfynd/A 35533-2026 artfynd.xlsx", "A 35533-2026")</f>
        <v/>
      </c>
      <c r="X1416">
        <f>HYPERLINK("https://klasma.github.io/Logging_2021/kartor/A 35533-2026 karta.png", "A 35533-2026")</f>
        <v/>
      </c>
      <c r="Y1416">
        <f>HYPERLINK("https://klasma.github.io/Logging_2021/kartor_geotiff/A 35533-2026 georefererad karta.tif", "A 35533-2026")</f>
        <v/>
      </c>
      <c r="Z1416">
        <f>HYPERLINK("https://klasma.github.io/Logging_2021/knärot/A 35533-2026 karta knärot.png", "A 35533-2026")</f>
        <v/>
      </c>
      <c r="AA1416">
        <f>HYPERLINK("https://klasma.github.io/Logging_2021/klagomål/A 35533-2026 FSC-klagomål.docx", "A 35533-2026")</f>
        <v/>
      </c>
      <c r="AB1416">
        <f>HYPERLINK("https://klasma.github.io/Logging_2021/klagomålsmail/A 35533-2026 FSC-klagomål mail.docx", "A 35533-2026")</f>
        <v/>
      </c>
      <c r="AC1416">
        <f>HYPERLINK("https://klasma.github.io/Logging_2021/tillsyn/A 35533-2026 tillsynsbegäran.docx", "A 35533-2026")</f>
        <v/>
      </c>
      <c r="AD1416">
        <f>HYPERLINK("https://klasma.github.io/Logging_2021/tillsynsmail/A 35533-2026 tillsynsbegäran mail.docx", "A 35533-2026")</f>
        <v/>
      </c>
    </row>
    <row r="1417" ht="15" customHeight="1">
      <c r="A1417" t="inlineStr">
        <is>
          <t>A 19775-2026</t>
        </is>
      </c>
      <c r="B1417" t="inlineStr">
        <is>
          <t>avverkningsanmälan</t>
        </is>
      </c>
      <c r="C1417" t="inlineStr">
        <is>
          <t>Föryngringsavverkning</t>
        </is>
      </c>
      <c r="D1417" s="1" t="n">
        <v>46135</v>
      </c>
      <c r="E1417" s="1" t="n">
        <v>46319</v>
      </c>
      <c r="F1417" t="inlineStr">
        <is>
          <t>DALARNAS LÄN</t>
        </is>
      </c>
      <c r="G1417" t="inlineStr">
        <is>
          <t>RÄTTVIK</t>
        </is>
      </c>
      <c r="I1417" t="n">
        <v>1</v>
      </c>
      <c r="J1417" t="n">
        <v>0</v>
      </c>
      <c r="K1417" t="n">
        <v>0</v>
      </c>
      <c r="L1417" t="n">
        <v>1</v>
      </c>
      <c r="M1417" t="n">
        <v>0</v>
      </c>
      <c r="N1417" t="n">
        <v>0</v>
      </c>
      <c r="O1417" t="n">
        <v>0</v>
      </c>
      <c r="P1417" t="n">
        <v>0</v>
      </c>
      <c r="Q1417" t="n">
        <v>1</v>
      </c>
      <c r="R1417" t="n">
        <v>0</v>
      </c>
      <c r="S1417" t="n">
        <v>1</v>
      </c>
      <c r="T1417" t="n">
        <v>1</v>
      </c>
      <c r="U1417" t="n">
        <v>0</v>
      </c>
      <c r="V1417" s="2" t="inlineStr">
        <is>
          <t>Orange taggsvamp</t>
        </is>
      </c>
      <c r="W1417">
        <f>HYPERLINK("https://klasma.github.io/Logging_2031/artfynd/A 19775-2026 artfynd.xlsx", "A 19775-2026")</f>
        <v/>
      </c>
      <c r="X1417">
        <f>HYPERLINK("https://klasma.github.io/Logging_2031/kartor/A 19775-2026 karta.png", "A 19775-2026")</f>
        <v/>
      </c>
      <c r="Y1417">
        <f>HYPERLINK("https://klasma.github.io/Logging_2031/kartor_geotiff/A 19775-2026 georefererad karta.tif", "A 19775-2026")</f>
        <v/>
      </c>
      <c r="AA1417">
        <f>HYPERLINK("https://klasma.github.io/Logging_2031/klagomål/A 19775-2026 FSC-klagomål.docx", "A 19775-2026")</f>
        <v/>
      </c>
      <c r="AB1417">
        <f>HYPERLINK("https://klasma.github.io/Logging_2031/klagomålsmail/A 19775-2026 FSC-klagomål mail.docx", "A 19775-2026")</f>
        <v/>
      </c>
      <c r="AC1417">
        <f>HYPERLINK("https://klasma.github.io/Logging_2031/tillsyn/A 19775-2026 tillsynsbegäran.docx", "A 19775-2026")</f>
        <v/>
      </c>
      <c r="AD1417">
        <f>HYPERLINK("https://klasma.github.io/Logging_2031/tillsynsmail/A 19775-2026 tillsynsbegäran mail.docx", "A 19775-2026")</f>
        <v/>
      </c>
    </row>
    <row r="1418" ht="15" customHeight="1">
      <c r="A1418" t="inlineStr">
        <is>
          <t>A 35970-2026</t>
        </is>
      </c>
      <c r="B1418" t="inlineStr">
        <is>
          <t>avverkningsanmälan</t>
        </is>
      </c>
      <c r="C1418" t="inlineStr">
        <is>
          <t>Föryngringsavverkning</t>
        </is>
      </c>
      <c r="D1418" s="1" t="n">
        <v>46266</v>
      </c>
      <c r="E1418" s="1" t="n">
        <v>46319</v>
      </c>
      <c r="F1418" t="inlineStr">
        <is>
          <t>DALARNAS LÄN</t>
        </is>
      </c>
      <c r="G1418" t="inlineStr">
        <is>
          <t>MALUNG-SÄLEN</t>
        </is>
      </c>
      <c r="I1418" t="n">
        <v>8.4</v>
      </c>
      <c r="J1418" t="n">
        <v>0</v>
      </c>
      <c r="K1418" t="n">
        <v>0</v>
      </c>
      <c r="L1418" t="n">
        <v>0</v>
      </c>
      <c r="M1418" t="n">
        <v>0</v>
      </c>
      <c r="N1418" t="n">
        <v>0</v>
      </c>
      <c r="O1418" t="n">
        <v>0</v>
      </c>
      <c r="P1418" t="n">
        <v>0</v>
      </c>
      <c r="Q1418" t="n">
        <v>0</v>
      </c>
      <c r="R1418" t="n">
        <v>0</v>
      </c>
      <c r="S1418" t="n">
        <v>1</v>
      </c>
      <c r="T1418" t="n">
        <v>1</v>
      </c>
      <c r="U1418" t="n">
        <v>0</v>
      </c>
      <c r="V1418" s="2" t="inlineStr">
        <is>
          <t>Blåbär</t>
        </is>
      </c>
      <c r="W1418">
        <f>HYPERLINK("https://klasma.github.io/Logging_2023/artfynd/A 35970-2026 artfynd.xlsx", "A 35970-2026")</f>
        <v/>
      </c>
      <c r="X1418">
        <f>HYPERLINK("https://klasma.github.io/Logging_2023/kartor/A 35970-2026 karta.png", "A 35970-2026")</f>
        <v/>
      </c>
      <c r="Y1418">
        <f>HYPERLINK("https://klasma.github.io/Logging_2023/kartor_geotiff/A 35970-2026 georefererad karta.tif", "A 35970-2026")</f>
        <v/>
      </c>
      <c r="AA1418">
        <f>HYPERLINK("https://klasma.github.io/Logging_2023/klagomål/A 35970-2026 FSC-klagomål.docx", "A 35970-2026")</f>
        <v/>
      </c>
      <c r="AB1418">
        <f>HYPERLINK("https://klasma.github.io/Logging_2023/klagomålsmail/A 35970-2026 FSC-klagomål mail.docx", "A 35970-2026")</f>
        <v/>
      </c>
      <c r="AC1418">
        <f>HYPERLINK("https://klasma.github.io/Logging_2023/tillsyn/A 35970-2026 tillsynsbegäran.docx", "A 35970-2026")</f>
        <v/>
      </c>
      <c r="AD1418">
        <f>HYPERLINK("https://klasma.github.io/Logging_2023/tillsynsmail/A 35970-2026 tillsynsbegäran mail.docx", "A 35970-2026")</f>
        <v/>
      </c>
    </row>
    <row r="1419" ht="15" customHeight="1">
      <c r="A1419" t="inlineStr">
        <is>
          <t>A 35964-2026</t>
        </is>
      </c>
      <c r="B1419" t="inlineStr">
        <is>
          <t>avverkningsanmälan</t>
        </is>
      </c>
      <c r="C1419" t="inlineStr">
        <is>
          <t>Föryngringsavverkning</t>
        </is>
      </c>
      <c r="D1419" s="1" t="n">
        <v>46266</v>
      </c>
      <c r="E1419" s="1" t="n">
        <v>46319</v>
      </c>
      <c r="F1419" t="inlineStr">
        <is>
          <t>DALARNAS LÄN</t>
        </is>
      </c>
      <c r="G1419" t="inlineStr">
        <is>
          <t>HEDEMORA</t>
        </is>
      </c>
      <c r="H1419" t="inlineStr">
        <is>
          <t>Sveaskog</t>
        </is>
      </c>
      <c r="I1419" t="n">
        <v>1.6</v>
      </c>
      <c r="J1419" t="n">
        <v>0</v>
      </c>
      <c r="K1419" t="n">
        <v>0</v>
      </c>
      <c r="L1419" t="n">
        <v>0</v>
      </c>
      <c r="M1419" t="n">
        <v>0</v>
      </c>
      <c r="N1419" t="n">
        <v>0</v>
      </c>
      <c r="O1419" t="n">
        <v>0</v>
      </c>
      <c r="P1419" t="n">
        <v>0</v>
      </c>
      <c r="Q1419" t="n">
        <v>0</v>
      </c>
      <c r="R1419" t="n">
        <v>0</v>
      </c>
      <c r="S1419" t="n">
        <v>1</v>
      </c>
      <c r="T1419" t="n">
        <v>1</v>
      </c>
      <c r="U1419" t="n">
        <v>1</v>
      </c>
      <c r="V1419" s="2" t="inlineStr">
        <is>
          <t>Kransmossa</t>
        </is>
      </c>
      <c r="W1419">
        <f>HYPERLINK("https://klasma.github.io/Logging_2083/artfynd/A 35964-2026 artfynd.xlsx", "A 35964-2026")</f>
        <v/>
      </c>
      <c r="X1419">
        <f>HYPERLINK("https://klasma.github.io/Logging_2083/kartor/A 35964-2026 karta.png", "A 35964-2026")</f>
        <v/>
      </c>
      <c r="Y1419">
        <f>HYPERLINK("https://klasma.github.io/Logging_2083/kartor_geotiff/A 35964-2026 georefererad karta.tif", "A 35964-2026")</f>
        <v/>
      </c>
      <c r="AA1419">
        <f>HYPERLINK("https://klasma.github.io/Logging_2083/klagomål/A 35964-2026 FSC-klagomål.docx", "A 35964-2026")</f>
        <v/>
      </c>
      <c r="AB1419">
        <f>HYPERLINK("https://klasma.github.io/Logging_2083/klagomålsmail/A 35964-2026 FSC-klagomål mail.docx", "A 35964-2026")</f>
        <v/>
      </c>
      <c r="AC1419">
        <f>HYPERLINK("https://klasma.github.io/Logging_2083/tillsyn/A 35964-2026 tillsynsbegäran.docx", "A 35964-2026")</f>
        <v/>
      </c>
      <c r="AD1419">
        <f>HYPERLINK("https://klasma.github.io/Logging_2083/tillsynsmail/A 35964-2026 tillsynsbegäran mail.docx", "A 35964-2026")</f>
        <v/>
      </c>
    </row>
    <row r="1420" ht="15" customHeight="1">
      <c r="A1420" t="inlineStr">
        <is>
          <t>A 34368-2024</t>
        </is>
      </c>
      <c r="B1420" t="inlineStr">
        <is>
          <t>avverkningsanmälan</t>
        </is>
      </c>
      <c r="C1420" t="inlineStr">
        <is>
          <t>Föryngringsavverkning</t>
        </is>
      </c>
      <c r="D1420" s="1" t="n">
        <v>45525</v>
      </c>
      <c r="E1420" s="1" t="n">
        <v>46319</v>
      </c>
      <c r="F1420" t="inlineStr">
        <is>
          <t>DALARNAS LÄN</t>
        </is>
      </c>
      <c r="G1420" t="inlineStr">
        <is>
          <t>RÄTTVIK</t>
        </is>
      </c>
      <c r="H1420" t="inlineStr">
        <is>
          <t>Bergvik skog väst AB</t>
        </is>
      </c>
      <c r="I1420" t="n">
        <v>4</v>
      </c>
      <c r="J1420" t="n">
        <v>1</v>
      </c>
      <c r="K1420" t="n">
        <v>0</v>
      </c>
      <c r="L1420" t="n">
        <v>0</v>
      </c>
      <c r="M1420" t="n">
        <v>1</v>
      </c>
      <c r="N1420" t="n">
        <v>0</v>
      </c>
      <c r="O1420" t="n">
        <v>0</v>
      </c>
      <c r="P1420" t="n">
        <v>0</v>
      </c>
      <c r="Q1420" t="n">
        <v>1</v>
      </c>
      <c r="R1420" t="n">
        <v>1</v>
      </c>
      <c r="S1420" t="n">
        <v>1</v>
      </c>
      <c r="T1420" t="n">
        <v>1</v>
      </c>
      <c r="U1420" t="n">
        <v>0</v>
      </c>
      <c r="V1420" s="2" t="inlineStr">
        <is>
          <t>Väddnätfjäril</t>
        </is>
      </c>
      <c r="W1420">
        <f>HYPERLINK("https://klasma.github.io/Logging_2031/artfynd/A 34368-2024 artfynd.xlsx", "A 34368-2024")</f>
        <v/>
      </c>
      <c r="X1420">
        <f>HYPERLINK("https://klasma.github.io/Logging_2031/kartor/A 34368-2024 karta.png", "A 34368-2024")</f>
        <v/>
      </c>
      <c r="Y1420">
        <f>HYPERLINK("https://klasma.github.io/Logging_2031/kartor_geotiff/A 34368-2024 georefererad karta.tif", "A 34368-2024")</f>
        <v/>
      </c>
      <c r="AA1420">
        <f>HYPERLINK("https://klasma.github.io/Logging_2031/klagomål/A 34368-2024 FSC-klagomål.docx", "A 34368-2024")</f>
        <v/>
      </c>
      <c r="AB1420">
        <f>HYPERLINK("https://klasma.github.io/Logging_2031/klagomålsmail/A 34368-2024 FSC-klagomål mail.docx", "A 34368-2024")</f>
        <v/>
      </c>
      <c r="AC1420">
        <f>HYPERLINK("https://klasma.github.io/Logging_2031/tillsyn/A 34368-2024 tillsynsbegäran.docx", "A 34368-2024")</f>
        <v/>
      </c>
      <c r="AD1420">
        <f>HYPERLINK("https://klasma.github.io/Logging_2031/tillsynsmail/A 34368-2024 tillsynsbegäran mail.docx", "A 34368-2024")</f>
        <v/>
      </c>
    </row>
    <row r="1421" ht="15" customHeight="1">
      <c r="A1421" t="inlineStr">
        <is>
          <t>A 42712-2026</t>
        </is>
      </c>
      <c r="B1421" t="inlineStr">
        <is>
          <t>avverkningsanmälan</t>
        </is>
      </c>
      <c r="C1421" t="inlineStr">
        <is>
          <t>Föryngringsavverkning</t>
        </is>
      </c>
      <c r="D1421" s="1" t="n">
        <v>46309</v>
      </c>
      <c r="E1421" s="1" t="n">
        <v>46319</v>
      </c>
      <c r="F1421" t="inlineStr">
        <is>
          <t>DALARNAS LÄN</t>
        </is>
      </c>
      <c r="G1421" t="inlineStr">
        <is>
          <t>ORSA</t>
        </is>
      </c>
      <c r="H1421" t="inlineStr">
        <is>
          <t>Kyrkan</t>
        </is>
      </c>
      <c r="I1421" t="n">
        <v>23.2</v>
      </c>
      <c r="J1421" t="n">
        <v>0</v>
      </c>
      <c r="K1421" t="n">
        <v>0</v>
      </c>
      <c r="L1421" t="n">
        <v>1</v>
      </c>
      <c r="M1421" t="n">
        <v>0</v>
      </c>
      <c r="N1421" t="n">
        <v>0</v>
      </c>
      <c r="O1421" t="n">
        <v>0</v>
      </c>
      <c r="P1421" t="n">
        <v>0</v>
      </c>
      <c r="Q1421" t="n">
        <v>1</v>
      </c>
      <c r="R1421" t="n">
        <v>0</v>
      </c>
      <c r="S1421" t="n">
        <v>1</v>
      </c>
      <c r="T1421" t="n">
        <v>1</v>
      </c>
      <c r="U1421" t="n">
        <v>0</v>
      </c>
      <c r="V1421" s="2" t="inlineStr">
        <is>
          <t>Violettgrå tagellav</t>
        </is>
      </c>
      <c r="W1421">
        <f>HYPERLINK("https://klasma.github.io/Logging_2034/artfynd/A 42712-2026 artfynd.xlsx", "A 42712-2026")</f>
        <v/>
      </c>
      <c r="X1421">
        <f>HYPERLINK("https://klasma.github.io/Logging_2034/kartor/A 42712-2026 karta.png", "A 42712-2026")</f>
        <v/>
      </c>
      <c r="Y1421">
        <f>HYPERLINK("https://klasma.github.io/Logging_2034/kartor_geotiff/A 42712-2026 georefererad karta.tif", "A 42712-2026")</f>
        <v/>
      </c>
      <c r="AA1421">
        <f>HYPERLINK("https://klasma.github.io/Logging_2034/klagomål/A 42712-2026 FSC-klagomål.docx", "A 42712-2026")</f>
        <v/>
      </c>
      <c r="AB1421">
        <f>HYPERLINK("https://klasma.github.io/Logging_2034/klagomålsmail/A 42712-2026 FSC-klagomål mail.docx", "A 42712-2026")</f>
        <v/>
      </c>
      <c r="AC1421">
        <f>HYPERLINK("https://klasma.github.io/Logging_2034/tillsyn/A 42712-2026 tillsynsbegäran.docx", "A 42712-2026")</f>
        <v/>
      </c>
      <c r="AD1421">
        <f>HYPERLINK("https://klasma.github.io/Logging_2034/tillsynsmail/A 42712-2026 tillsynsbegäran mail.docx", "A 42712-2026")</f>
        <v/>
      </c>
    </row>
    <row r="1422" ht="15" customHeight="1">
      <c r="A1422" t="inlineStr">
        <is>
          <t>A 35930-2026</t>
        </is>
      </c>
      <c r="B1422" t="inlineStr">
        <is>
          <t>avverkningsanmälan</t>
        </is>
      </c>
      <c r="C1422" t="inlineStr">
        <is>
          <t>Föryngringsavverkning</t>
        </is>
      </c>
      <c r="D1422" s="1" t="n">
        <v>46266</v>
      </c>
      <c r="E1422" s="1" t="n">
        <v>46319</v>
      </c>
      <c r="F1422" t="inlineStr">
        <is>
          <t>DALARNAS LÄN</t>
        </is>
      </c>
      <c r="G1422" t="inlineStr">
        <is>
          <t>ÄLVDALEN</t>
        </is>
      </c>
      <c r="H1422" t="inlineStr">
        <is>
          <t>Allmännings- och besparingsskogar</t>
        </is>
      </c>
      <c r="I1422" t="n">
        <v>40.3</v>
      </c>
      <c r="J1422" t="n">
        <v>1</v>
      </c>
      <c r="K1422" t="n">
        <v>0</v>
      </c>
      <c r="L1422" t="n">
        <v>0</v>
      </c>
      <c r="M1422" t="n">
        <v>0</v>
      </c>
      <c r="N1422" t="n">
        <v>0</v>
      </c>
      <c r="O1422" t="n">
        <v>0</v>
      </c>
      <c r="P1422" t="n">
        <v>0</v>
      </c>
      <c r="Q1422" t="n">
        <v>0</v>
      </c>
      <c r="R1422" t="n">
        <v>0</v>
      </c>
      <c r="S1422" t="n">
        <v>1</v>
      </c>
      <c r="T1422" t="n">
        <v>2</v>
      </c>
      <c r="U1422" t="n">
        <v>0</v>
      </c>
      <c r="V1422" s="2" t="inlineStr">
        <is>
          <t>Orre</t>
        </is>
      </c>
      <c r="W1422">
        <f>HYPERLINK("https://klasma.github.io/Logging_2039/artfynd/A 35930-2026 artfynd.xlsx", "A 35930-2026")</f>
        <v/>
      </c>
      <c r="X1422">
        <f>HYPERLINK("https://klasma.github.io/Logging_2039/kartor/A 35930-2026 karta.png", "A 35930-2026")</f>
        <v/>
      </c>
      <c r="Y1422">
        <f>HYPERLINK("https://klasma.github.io/Logging_2039/kartor_geotiff/A 35930-2026 georefererad karta.tif", "A 35930-2026")</f>
        <v/>
      </c>
      <c r="AA1422">
        <f>HYPERLINK("https://klasma.github.io/Logging_2039/klagomål/A 35930-2026 FSC-klagomål.docx", "A 35930-2026")</f>
        <v/>
      </c>
      <c r="AB1422">
        <f>HYPERLINK("https://klasma.github.io/Logging_2039/klagomålsmail/A 35930-2026 FSC-klagomål mail.docx", "A 35930-2026")</f>
        <v/>
      </c>
      <c r="AC1422">
        <f>HYPERLINK("https://klasma.github.io/Logging_2039/tillsyn/A 35930-2026 tillsynsbegäran.docx", "A 35930-2026")</f>
        <v/>
      </c>
      <c r="AD1422">
        <f>HYPERLINK("https://klasma.github.io/Logging_2039/tillsynsmail/A 35930-2026 tillsynsbegäran mail.docx", "A 35930-2026")</f>
        <v/>
      </c>
      <c r="AE1422">
        <f>HYPERLINK("https://klasma.github.io/Logging_2039/fåglar/A 35930-2026 prioriterade fågelarter.docx", "A 35930-2026")</f>
        <v/>
      </c>
    </row>
    <row r="1423" ht="15" customHeight="1">
      <c r="A1423" t="inlineStr">
        <is>
          <t>A 15978-2026</t>
        </is>
      </c>
      <c r="B1423" t="inlineStr">
        <is>
          <t>avverkningsanmälan</t>
        </is>
      </c>
      <c r="C1423" t="inlineStr">
        <is>
          <t>Föryngringsavverkning</t>
        </is>
      </c>
      <c r="D1423" s="1" t="n">
        <v>46108</v>
      </c>
      <c r="E1423" s="1" t="n">
        <v>46319</v>
      </c>
      <c r="F1423" t="inlineStr">
        <is>
          <t>DALARNAS LÄN</t>
        </is>
      </c>
      <c r="G1423" t="inlineStr">
        <is>
          <t>BORLÄNGE</t>
        </is>
      </c>
      <c r="I1423" t="n">
        <v>10.6</v>
      </c>
      <c r="J1423" t="n">
        <v>0</v>
      </c>
      <c r="K1423" t="n">
        <v>1</v>
      </c>
      <c r="L1423" t="n">
        <v>0</v>
      </c>
      <c r="M1423" t="n">
        <v>0</v>
      </c>
      <c r="N1423" t="n">
        <v>0</v>
      </c>
      <c r="O1423" t="n">
        <v>0</v>
      </c>
      <c r="P1423" t="n">
        <v>0</v>
      </c>
      <c r="Q1423" t="n">
        <v>0</v>
      </c>
      <c r="R1423" t="n">
        <v>0</v>
      </c>
      <c r="S1423" t="n">
        <v>1</v>
      </c>
      <c r="T1423" t="n">
        <v>1</v>
      </c>
      <c r="U1423" t="n">
        <v>0</v>
      </c>
      <c r="V1423" s="2" t="inlineStr">
        <is>
          <t>Rödgul trumpetsvamp</t>
        </is>
      </c>
      <c r="W1423">
        <f>HYPERLINK("https://klasma.github.io/Logging_2081/artfynd/A 15978-2026 artfynd.xlsx", "A 15978-2026")</f>
        <v/>
      </c>
      <c r="X1423">
        <f>HYPERLINK("https://klasma.github.io/Logging_2081/kartor/A 15978-2026 karta.png", "A 15978-2026")</f>
        <v/>
      </c>
      <c r="Y1423">
        <f>HYPERLINK("https://klasma.github.io/Logging_2081/kartor_geotiff/A 15978-2026 georefererad karta.tif", "A 15978-2026")</f>
        <v/>
      </c>
      <c r="AA1423">
        <f>HYPERLINK("https://klasma.github.io/Logging_2081/klagomål/A 15978-2026 FSC-klagomål.docx", "A 15978-2026")</f>
        <v/>
      </c>
      <c r="AB1423">
        <f>HYPERLINK("https://klasma.github.io/Logging_2081/klagomålsmail/A 15978-2026 FSC-klagomål mail.docx", "A 15978-2026")</f>
        <v/>
      </c>
      <c r="AC1423">
        <f>HYPERLINK("https://klasma.github.io/Logging_2081/tillsyn/A 15978-2026 tillsynsbegäran.docx", "A 15978-2026")</f>
        <v/>
      </c>
      <c r="AD1423">
        <f>HYPERLINK("https://klasma.github.io/Logging_2081/tillsynsmail/A 15978-2026 tillsynsbegäran mail.docx", "A 15978-2026")</f>
        <v/>
      </c>
    </row>
    <row r="1424" ht="15" customHeight="1">
      <c r="A1424" t="inlineStr">
        <is>
          <t>A 36478-2026</t>
        </is>
      </c>
      <c r="B1424" t="inlineStr">
        <is>
          <t>avverkningsanmälan</t>
        </is>
      </c>
      <c r="C1424" t="inlineStr">
        <is>
          <t>Föryngringsavverkning</t>
        </is>
      </c>
      <c r="D1424" s="1" t="n">
        <v>46269</v>
      </c>
      <c r="E1424" s="1" t="n">
        <v>46319</v>
      </c>
      <c r="F1424" t="inlineStr">
        <is>
          <t>DALARNAS LÄN</t>
        </is>
      </c>
      <c r="G1424" t="inlineStr">
        <is>
          <t>LUDVIKA</t>
        </is>
      </c>
      <c r="H1424" t="inlineStr">
        <is>
          <t>Bergvik skog väst AB</t>
        </is>
      </c>
      <c r="I1424" t="n">
        <v>7.5</v>
      </c>
      <c r="J1424" t="n">
        <v>0</v>
      </c>
      <c r="K1424" t="n">
        <v>0</v>
      </c>
      <c r="L1424" t="n">
        <v>0</v>
      </c>
      <c r="M1424" t="n">
        <v>0</v>
      </c>
      <c r="N1424" t="n">
        <v>1</v>
      </c>
      <c r="O1424" t="n">
        <v>0</v>
      </c>
      <c r="P1424" t="n">
        <v>0</v>
      </c>
      <c r="Q1424" t="n">
        <v>1</v>
      </c>
      <c r="R1424" t="n">
        <v>1</v>
      </c>
      <c r="S1424" t="n">
        <v>1</v>
      </c>
      <c r="T1424" t="n">
        <v>1</v>
      </c>
      <c r="U1424" t="n">
        <v>0</v>
      </c>
      <c r="V1424" s="2" t="inlineStr">
        <is>
          <t>Skogsalm</t>
        </is>
      </c>
      <c r="W1424">
        <f>HYPERLINK("https://klasma.github.io/Logging_2085/artfynd/A 36478-2026 artfynd.xlsx", "A 36478-2026")</f>
        <v/>
      </c>
      <c r="X1424">
        <f>HYPERLINK("https://klasma.github.io/Logging_2085/kartor/A 36478-2026 karta.png", "A 36478-2026")</f>
        <v/>
      </c>
      <c r="Y1424">
        <f>HYPERLINK("https://klasma.github.io/Logging_2085/kartor_geotiff/A 36478-2026 georefererad karta.tif", "A 36478-2026")</f>
        <v/>
      </c>
      <c r="AA1424">
        <f>HYPERLINK("https://klasma.github.io/Logging_2085/klagomål/A 36478-2026 FSC-klagomål.docx", "A 36478-2026")</f>
        <v/>
      </c>
      <c r="AB1424">
        <f>HYPERLINK("https://klasma.github.io/Logging_2085/klagomålsmail/A 36478-2026 FSC-klagomål mail.docx", "A 36478-2026")</f>
        <v/>
      </c>
      <c r="AC1424">
        <f>HYPERLINK("https://klasma.github.io/Logging_2085/tillsyn/A 36478-2026 tillsynsbegäran.docx", "A 36478-2026")</f>
        <v/>
      </c>
      <c r="AD1424">
        <f>HYPERLINK("https://klasma.github.io/Logging_2085/tillsynsmail/A 36478-2026 tillsynsbegäran mail.docx", "A 36478-2026")</f>
        <v/>
      </c>
    </row>
    <row r="1425" ht="15" customHeight="1">
      <c r="A1425" t="inlineStr">
        <is>
          <t>A 352-2026</t>
        </is>
      </c>
      <c r="B1425" t="inlineStr">
        <is>
          <t>avverkningsanmälan</t>
        </is>
      </c>
      <c r="C1425" t="inlineStr">
        <is>
          <t>Föryngringsavverkning</t>
        </is>
      </c>
      <c r="D1425" s="1" t="n">
        <v>46027</v>
      </c>
      <c r="E1425" s="1" t="n">
        <v>46319</v>
      </c>
      <c r="F1425" t="inlineStr">
        <is>
          <t>DALARNAS LÄN</t>
        </is>
      </c>
      <c r="G1425" t="inlineStr">
        <is>
          <t>RÄTTVIK</t>
        </is>
      </c>
      <c r="I1425" t="n">
        <v>3.7</v>
      </c>
      <c r="J1425" t="n">
        <v>1</v>
      </c>
      <c r="K1425" t="n">
        <v>0</v>
      </c>
      <c r="L1425" t="n">
        <v>0</v>
      </c>
      <c r="M1425" t="n">
        <v>1</v>
      </c>
      <c r="N1425" t="n">
        <v>0</v>
      </c>
      <c r="O1425" t="n">
        <v>0</v>
      </c>
      <c r="P1425" t="n">
        <v>0</v>
      </c>
      <c r="Q1425" t="n">
        <v>1</v>
      </c>
      <c r="R1425" t="n">
        <v>1</v>
      </c>
      <c r="S1425" t="n">
        <v>1</v>
      </c>
      <c r="T1425" t="n">
        <v>3</v>
      </c>
      <c r="U1425" t="n">
        <v>0</v>
      </c>
      <c r="V1425" s="2" t="inlineStr">
        <is>
          <t>Väddnätfjäril</t>
        </is>
      </c>
      <c r="W1425">
        <f>HYPERLINK("https://klasma.github.io/Logging_2031/artfynd/A 352-2026 artfynd.xlsx", "A 352-2026")</f>
        <v/>
      </c>
      <c r="X1425">
        <f>HYPERLINK("https://klasma.github.io/Logging_2031/kartor/A 352-2026 karta.png", "A 352-2026")</f>
        <v/>
      </c>
      <c r="Y1425">
        <f>HYPERLINK("https://klasma.github.io/Logging_2031/kartor_geotiff/A 352-2026 georefererad karta.tif", "A 352-2026")</f>
        <v/>
      </c>
      <c r="AA1425">
        <f>HYPERLINK("https://klasma.github.io/Logging_2031/klagomål/A 352-2026 FSC-klagomål.docx", "A 352-2026")</f>
        <v/>
      </c>
      <c r="AB1425">
        <f>HYPERLINK("https://klasma.github.io/Logging_2031/klagomålsmail/A 352-2026 FSC-klagomål mail.docx", "A 352-2026")</f>
        <v/>
      </c>
      <c r="AC1425">
        <f>HYPERLINK("https://klasma.github.io/Logging_2031/tillsyn/A 352-2026 tillsynsbegäran.docx", "A 352-2026")</f>
        <v/>
      </c>
      <c r="AD1425">
        <f>HYPERLINK("https://klasma.github.io/Logging_2031/tillsynsmail/A 352-2026 tillsynsbegäran mail.docx", "A 352-2026")</f>
        <v/>
      </c>
    </row>
    <row r="1426" ht="15" customHeight="1">
      <c r="A1426" t="inlineStr">
        <is>
          <t>A 60113-2022</t>
        </is>
      </c>
      <c r="B1426" t="inlineStr">
        <is>
          <t>avverkningsanmälan</t>
        </is>
      </c>
      <c r="C1426" t="inlineStr">
        <is>
          <t>Föryngringsavverkning</t>
        </is>
      </c>
      <c r="D1426" s="1" t="n">
        <v>44909</v>
      </c>
      <c r="E1426" s="1" t="n">
        <v>46319</v>
      </c>
      <c r="F1426" t="inlineStr">
        <is>
          <t>DALARNAS LÄN</t>
        </is>
      </c>
      <c r="G1426" t="inlineStr">
        <is>
          <t>LEKSAND</t>
        </is>
      </c>
      <c r="I1426" t="n">
        <v>3.7</v>
      </c>
      <c r="J1426" t="n">
        <v>1</v>
      </c>
      <c r="K1426" t="n">
        <v>0</v>
      </c>
      <c r="L1426" t="n">
        <v>0</v>
      </c>
      <c r="M1426" t="n">
        <v>0</v>
      </c>
      <c r="N1426" t="n">
        <v>0</v>
      </c>
      <c r="O1426" t="n">
        <v>0</v>
      </c>
      <c r="P1426" t="n">
        <v>0</v>
      </c>
      <c r="Q1426" t="n">
        <v>0</v>
      </c>
      <c r="R1426" t="n">
        <v>0</v>
      </c>
      <c r="S1426" t="n">
        <v>1</v>
      </c>
      <c r="T1426" t="n">
        <v>1</v>
      </c>
      <c r="U1426" t="n">
        <v>0</v>
      </c>
      <c r="V1426" s="2" t="inlineStr">
        <is>
          <t>Slaguggla</t>
        </is>
      </c>
      <c r="W1426">
        <f>HYPERLINK("https://klasma.github.io/Logging_2029/artfynd/A 60113-2022 artfynd.xlsx", "A 60113-2022")</f>
        <v/>
      </c>
      <c r="X1426">
        <f>HYPERLINK("https://klasma.github.io/Logging_2029/kartor/A 60113-2022 karta.png", "A 60113-2022")</f>
        <v/>
      </c>
      <c r="Y1426">
        <f>HYPERLINK("https://klasma.github.io/Logging_2029/kartor_geotiff/A 60113-2022 georefererad karta.tif", "A 60113-2022")</f>
        <v/>
      </c>
      <c r="AA1426">
        <f>HYPERLINK("https://klasma.github.io/Logging_2029/klagomål/A 60113-2022 FSC-klagomål.docx", "A 60113-2022")</f>
        <v/>
      </c>
      <c r="AB1426">
        <f>HYPERLINK("https://klasma.github.io/Logging_2029/klagomålsmail/A 60113-2022 FSC-klagomål mail.docx", "A 60113-2022")</f>
        <v/>
      </c>
      <c r="AC1426">
        <f>HYPERLINK("https://klasma.github.io/Logging_2029/tillsyn/A 60113-2022 tillsynsbegäran.docx", "A 60113-2022")</f>
        <v/>
      </c>
      <c r="AD1426">
        <f>HYPERLINK("https://klasma.github.io/Logging_2029/tillsynsmail/A 60113-2022 tillsynsbegäran mail.docx", "A 60113-2022")</f>
        <v/>
      </c>
      <c r="AE1426">
        <f>HYPERLINK("https://klasma.github.io/Logging_2029/fåglar/A 60113-2022 prioriterade fågelarter.docx", "A 60113-2022")</f>
        <v/>
      </c>
    </row>
    <row r="1427" ht="15" customHeight="1">
      <c r="A1427" t="inlineStr">
        <is>
          <t>A 43248-2026</t>
        </is>
      </c>
      <c r="B1427" t="inlineStr">
        <is>
          <t>avverkningsanmälan</t>
        </is>
      </c>
      <c r="C1427" t="inlineStr">
        <is>
          <t>Föryngringsavverkning</t>
        </is>
      </c>
      <c r="D1427" s="1" t="n">
        <v>46314</v>
      </c>
      <c r="E1427" s="1" t="n">
        <v>46319</v>
      </c>
      <c r="F1427" t="inlineStr">
        <is>
          <t>DALARNAS LÄN</t>
        </is>
      </c>
      <c r="G1427" t="inlineStr">
        <is>
          <t>LUDVIKA</t>
        </is>
      </c>
      <c r="H1427" t="inlineStr">
        <is>
          <t>Bergvik skog väst AB</t>
        </is>
      </c>
      <c r="I1427" t="n">
        <v>3</v>
      </c>
      <c r="J1427" t="n">
        <v>0</v>
      </c>
      <c r="K1427" t="n">
        <v>0</v>
      </c>
      <c r="L1427" t="n">
        <v>1</v>
      </c>
      <c r="M1427" t="n">
        <v>0</v>
      </c>
      <c r="N1427" t="n">
        <v>0</v>
      </c>
      <c r="O1427" t="n">
        <v>0</v>
      </c>
      <c r="P1427" t="n">
        <v>0</v>
      </c>
      <c r="Q1427" t="n">
        <v>1</v>
      </c>
      <c r="R1427" t="n">
        <v>0</v>
      </c>
      <c r="S1427" t="n">
        <v>1</v>
      </c>
      <c r="T1427" t="n">
        <v>1</v>
      </c>
      <c r="U1427" t="n">
        <v>0</v>
      </c>
      <c r="V1427" s="2" t="inlineStr">
        <is>
          <t>Brunpudrad nållav</t>
        </is>
      </c>
      <c r="W1427">
        <f>HYPERLINK("https://klasma.github.io/Logging_2085/artfynd/A 43248-2026 artfynd.xlsx", "A 43248-2026")</f>
        <v/>
      </c>
      <c r="X1427">
        <f>HYPERLINK("https://klasma.github.io/Logging_2085/kartor/A 43248-2026 karta.png", "A 43248-2026")</f>
        <v/>
      </c>
      <c r="Y1427">
        <f>HYPERLINK("https://klasma.github.io/Logging_2085/kartor_geotiff/A 43248-2026 georefererad karta.tif", "A 43248-2026")</f>
        <v/>
      </c>
      <c r="AA1427">
        <f>HYPERLINK("https://klasma.github.io/Logging_2085/klagomål/A 43248-2026 FSC-klagomål.docx", "A 43248-2026")</f>
        <v/>
      </c>
      <c r="AB1427">
        <f>HYPERLINK("https://klasma.github.io/Logging_2085/klagomålsmail/A 43248-2026 FSC-klagomål mail.docx", "A 43248-2026")</f>
        <v/>
      </c>
      <c r="AC1427">
        <f>HYPERLINK("https://klasma.github.io/Logging_2085/tillsyn/A 43248-2026 tillsynsbegäran.docx", "A 43248-2026")</f>
        <v/>
      </c>
      <c r="AD1427">
        <f>HYPERLINK("https://klasma.github.io/Logging_2085/tillsynsmail/A 43248-2026 tillsynsbegäran mail.docx", "A 43248-2026")</f>
        <v/>
      </c>
    </row>
    <row r="1428" ht="15" customHeight="1">
      <c r="A1428" t="inlineStr">
        <is>
          <t>A 43142-2026</t>
        </is>
      </c>
      <c r="B1428" t="inlineStr">
        <is>
          <t>avverkningsanmälan</t>
        </is>
      </c>
      <c r="C1428" t="inlineStr">
        <is>
          <t>Föryngringsavverkning</t>
        </is>
      </c>
      <c r="D1428" s="1" t="n">
        <v>46311</v>
      </c>
      <c r="E1428" s="1" t="n">
        <v>46319</v>
      </c>
      <c r="F1428" t="inlineStr">
        <is>
          <t>DALARNAS LÄN</t>
        </is>
      </c>
      <c r="G1428" t="inlineStr">
        <is>
          <t>RÄTTVIK</t>
        </is>
      </c>
      <c r="H1428" t="inlineStr">
        <is>
          <t>Sveaskog</t>
        </is>
      </c>
      <c r="I1428" t="n">
        <v>6.2</v>
      </c>
      <c r="J1428" t="n">
        <v>1</v>
      </c>
      <c r="K1428" t="n">
        <v>0</v>
      </c>
      <c r="L1428" t="n">
        <v>0</v>
      </c>
      <c r="M1428" t="n">
        <v>1</v>
      </c>
      <c r="N1428" t="n">
        <v>0</v>
      </c>
      <c r="O1428" t="n">
        <v>0</v>
      </c>
      <c r="P1428" t="n">
        <v>0</v>
      </c>
      <c r="Q1428" t="n">
        <v>1</v>
      </c>
      <c r="R1428" t="n">
        <v>1</v>
      </c>
      <c r="S1428" t="n">
        <v>1</v>
      </c>
      <c r="T1428" t="n">
        <v>1</v>
      </c>
      <c r="U1428" t="n">
        <v>0</v>
      </c>
      <c r="V1428" s="2" t="inlineStr">
        <is>
          <t>Knärot</t>
        </is>
      </c>
      <c r="W1428">
        <f>HYPERLINK("https://klasma.github.io/Logging_2031/artfynd/A 43142-2026 artfynd.xlsx", "A 43142-2026")</f>
        <v/>
      </c>
      <c r="X1428">
        <f>HYPERLINK("https://klasma.github.io/Logging_2031/kartor/A 43142-2026 karta.png", "A 43142-2026")</f>
        <v/>
      </c>
      <c r="Y1428">
        <f>HYPERLINK("https://klasma.github.io/Logging_2031/kartor_geotiff/A 43142-2026 georefererad karta.tif", "A 43142-2026")</f>
        <v/>
      </c>
      <c r="Z1428">
        <f>HYPERLINK("https://klasma.github.io/Logging_2031/knärot/A 43142-2026 karta knärot.png", "A 43142-2026")</f>
        <v/>
      </c>
      <c r="AA1428">
        <f>HYPERLINK("https://klasma.github.io/Logging_2031/klagomål/A 43142-2026 FSC-klagomål.docx", "A 43142-2026")</f>
        <v/>
      </c>
      <c r="AB1428">
        <f>HYPERLINK("https://klasma.github.io/Logging_2031/klagomålsmail/A 43142-2026 FSC-klagomål mail.docx", "A 43142-2026")</f>
        <v/>
      </c>
      <c r="AC1428">
        <f>HYPERLINK("https://klasma.github.io/Logging_2031/tillsyn/A 43142-2026 tillsynsbegäran.docx", "A 43142-2026")</f>
        <v/>
      </c>
      <c r="AD1428">
        <f>HYPERLINK("https://klasma.github.io/Logging_2031/tillsynsmail/A 43142-2026 tillsynsbegäran mail.docx", "A 43142-2026")</f>
        <v/>
      </c>
    </row>
    <row r="1429" ht="15" customHeight="1">
      <c r="A1429" t="inlineStr">
        <is>
          <t>A 15389-2024</t>
        </is>
      </c>
      <c r="B1429" t="inlineStr">
        <is>
          <t>avverkningsanmälan</t>
        </is>
      </c>
      <c r="C1429" t="inlineStr">
        <is>
          <t>Föryngringsavverkning</t>
        </is>
      </c>
      <c r="D1429" s="1" t="n">
        <v>45401</v>
      </c>
      <c r="E1429" s="1" t="n">
        <v>46319</v>
      </c>
      <c r="F1429" t="inlineStr">
        <is>
          <t>DALARNAS LÄN</t>
        </is>
      </c>
      <c r="G1429" t="inlineStr">
        <is>
          <t>SMEDJEBACKEN</t>
        </is>
      </c>
      <c r="H1429" t="inlineStr">
        <is>
          <t>Sveaskog</t>
        </is>
      </c>
      <c r="I1429" t="n">
        <v>2.8</v>
      </c>
      <c r="J1429" t="n">
        <v>0</v>
      </c>
      <c r="K1429" t="n">
        <v>1</v>
      </c>
      <c r="L1429" t="n">
        <v>0</v>
      </c>
      <c r="M1429" t="n">
        <v>0</v>
      </c>
      <c r="N1429" t="n">
        <v>0</v>
      </c>
      <c r="O1429" t="n">
        <v>0</v>
      </c>
      <c r="P1429" t="n">
        <v>0</v>
      </c>
      <c r="Q1429" t="n">
        <v>0</v>
      </c>
      <c r="R1429" t="n">
        <v>0</v>
      </c>
      <c r="S1429" t="n">
        <v>1</v>
      </c>
      <c r="T1429" t="n">
        <v>2</v>
      </c>
      <c r="U1429" t="n">
        <v>2</v>
      </c>
      <c r="V1429" s="2" t="inlineStr">
        <is>
          <t>Svavelriska</t>
        </is>
      </c>
      <c r="W1429">
        <f>HYPERLINK("https://klasma.github.io/Logging_2061/artfynd/A 15389-2024 artfynd.xlsx", "A 15389-2024")</f>
        <v/>
      </c>
      <c r="X1429">
        <f>HYPERLINK("https://klasma.github.io/Logging_2061/kartor/A 15389-2024 karta.png", "A 15389-2024")</f>
        <v/>
      </c>
      <c r="Y1429">
        <f>HYPERLINK("https://klasma.github.io/Logging_2061/kartor_geotiff/A 15389-2024 georefererad karta.tif", "A 15389-2024")</f>
        <v/>
      </c>
      <c r="AA1429">
        <f>HYPERLINK("https://klasma.github.io/Logging_2061/klagomål/A 15389-2024 FSC-klagomål.docx", "A 15389-2024")</f>
        <v/>
      </c>
      <c r="AB1429">
        <f>HYPERLINK("https://klasma.github.io/Logging_2061/klagomålsmail/A 15389-2024 FSC-klagomål mail.docx", "A 15389-2024")</f>
        <v/>
      </c>
      <c r="AC1429">
        <f>HYPERLINK("https://klasma.github.io/Logging_2061/tillsyn/A 15389-2024 tillsynsbegäran.docx", "A 15389-2024")</f>
        <v/>
      </c>
      <c r="AD1429">
        <f>HYPERLINK("https://klasma.github.io/Logging_2061/tillsynsmail/A 15389-2024 tillsynsbegäran mail.docx", "A 15389-2024")</f>
        <v/>
      </c>
    </row>
    <row r="1430" ht="15" customHeight="1">
      <c r="A1430" t="inlineStr">
        <is>
          <t>A 29359-2025</t>
        </is>
      </c>
      <c r="B1430" t="inlineStr">
        <is>
          <t>avverkningsanmälan</t>
        </is>
      </c>
      <c r="C1430" t="inlineStr">
        <is>
          <t>Föryngringsavverkning</t>
        </is>
      </c>
      <c r="D1430" s="1" t="n">
        <v>45824</v>
      </c>
      <c r="E1430" s="1" t="n">
        <v>46319</v>
      </c>
      <c r="F1430" t="inlineStr">
        <is>
          <t>DALARNAS LÄN</t>
        </is>
      </c>
      <c r="G1430" t="inlineStr">
        <is>
          <t>MALUNG-SÄLEN</t>
        </is>
      </c>
      <c r="I1430" t="n">
        <v>1.5</v>
      </c>
      <c r="J1430" t="n">
        <v>0</v>
      </c>
      <c r="K1430" t="n">
        <v>0</v>
      </c>
      <c r="L1430" t="n">
        <v>0</v>
      </c>
      <c r="M1430" t="n">
        <v>1</v>
      </c>
      <c r="N1430" t="n">
        <v>0</v>
      </c>
      <c r="O1430" t="n">
        <v>0</v>
      </c>
      <c r="P1430" t="n">
        <v>0</v>
      </c>
      <c r="Q1430" t="n">
        <v>1</v>
      </c>
      <c r="R1430" t="n">
        <v>1</v>
      </c>
      <c r="S1430" t="n">
        <v>1</v>
      </c>
      <c r="T1430" t="n">
        <v>2</v>
      </c>
      <c r="U1430" t="n">
        <v>2</v>
      </c>
      <c r="V1430" s="2" t="inlineStr">
        <is>
          <t>Garnlav</t>
        </is>
      </c>
      <c r="W1430">
        <f>HYPERLINK("https://klasma.github.io/Logging_2023/artfynd/A 29359-2025 artfynd.xlsx", "A 29359-2025")</f>
        <v/>
      </c>
      <c r="X1430">
        <f>HYPERLINK("https://klasma.github.io/Logging_2023/kartor/A 29359-2025 karta.png", "A 29359-2025")</f>
        <v/>
      </c>
      <c r="Y1430">
        <f>HYPERLINK("https://klasma.github.io/Logging_2023/kartor_geotiff/A 29359-2025 georefererad karta.tif", "A 29359-2025")</f>
        <v/>
      </c>
      <c r="AA1430">
        <f>HYPERLINK("https://klasma.github.io/Logging_2023/klagomål/A 29359-2025 FSC-klagomål.docx", "A 29359-2025")</f>
        <v/>
      </c>
      <c r="AB1430">
        <f>HYPERLINK("https://klasma.github.io/Logging_2023/klagomålsmail/A 29359-2025 FSC-klagomål mail.docx", "A 29359-2025")</f>
        <v/>
      </c>
      <c r="AC1430">
        <f>HYPERLINK("https://klasma.github.io/Logging_2023/tillsyn/A 29359-2025 tillsynsbegäran.docx", "A 29359-2025")</f>
        <v/>
      </c>
      <c r="AD1430">
        <f>HYPERLINK("https://klasma.github.io/Logging_2023/tillsynsmail/A 29359-2025 tillsynsbegäran mail.docx", "A 29359-2025")</f>
        <v/>
      </c>
    </row>
    <row r="1431" ht="15" customHeight="1">
      <c r="A1431" t="inlineStr">
        <is>
          <t>A 20610-2026</t>
        </is>
      </c>
      <c r="B1431" t="inlineStr">
        <is>
          <t>avverkningsanmälan</t>
        </is>
      </c>
      <c r="C1431" t="inlineStr">
        <is>
          <t>Föryngringsavverkning</t>
        </is>
      </c>
      <c r="D1431" s="1" t="n">
        <v>46140</v>
      </c>
      <c r="E1431" s="1" t="n">
        <v>46319</v>
      </c>
      <c r="F1431" t="inlineStr">
        <is>
          <t>DALARNAS LÄN</t>
        </is>
      </c>
      <c r="G1431" t="inlineStr">
        <is>
          <t>SMEDJEBACKEN</t>
        </is>
      </c>
      <c r="I1431" t="n">
        <v>5</v>
      </c>
      <c r="J1431" t="n">
        <v>1</v>
      </c>
      <c r="K1431" t="n">
        <v>0</v>
      </c>
      <c r="L1431" t="n">
        <v>0</v>
      </c>
      <c r="M1431" t="n">
        <v>0</v>
      </c>
      <c r="N1431" t="n">
        <v>0</v>
      </c>
      <c r="O1431" t="n">
        <v>0</v>
      </c>
      <c r="P1431" t="n">
        <v>0</v>
      </c>
      <c r="Q1431" t="n">
        <v>0</v>
      </c>
      <c r="R1431" t="n">
        <v>0</v>
      </c>
      <c r="S1431" t="n">
        <v>1</v>
      </c>
      <c r="T1431" t="n">
        <v>1</v>
      </c>
      <c r="U1431" t="n">
        <v>1</v>
      </c>
      <c r="V1431" s="2" t="inlineStr">
        <is>
          <t>Fläcknycklar</t>
        </is>
      </c>
      <c r="W1431">
        <f>HYPERLINK("https://klasma.github.io/Logging_2061/artfynd/A 20610-2026 artfynd.xlsx", "A 20610-2026")</f>
        <v/>
      </c>
      <c r="X1431">
        <f>HYPERLINK("https://klasma.github.io/Logging_2061/kartor/A 20610-2026 karta.png", "A 20610-2026")</f>
        <v/>
      </c>
      <c r="Y1431">
        <f>HYPERLINK("https://klasma.github.io/Logging_2061/kartor_geotiff/A 20610-2026 georefererad karta.tif", "A 20610-2026")</f>
        <v/>
      </c>
      <c r="AA1431">
        <f>HYPERLINK("https://klasma.github.io/Logging_2061/klagomål/A 20610-2026 FSC-klagomål.docx", "A 20610-2026")</f>
        <v/>
      </c>
      <c r="AB1431">
        <f>HYPERLINK("https://klasma.github.io/Logging_2061/klagomålsmail/A 20610-2026 FSC-klagomål mail.docx", "A 20610-2026")</f>
        <v/>
      </c>
      <c r="AC1431">
        <f>HYPERLINK("https://klasma.github.io/Logging_2061/tillsyn/A 20610-2026 tillsynsbegäran.docx", "A 20610-2026")</f>
        <v/>
      </c>
      <c r="AD1431">
        <f>HYPERLINK("https://klasma.github.io/Logging_2061/tillsynsmail/A 20610-2026 tillsynsbegäran mail.docx", "A 20610-2026")</f>
        <v/>
      </c>
    </row>
    <row r="1432" ht="15" customHeight="1">
      <c r="A1432" t="inlineStr">
        <is>
          <t>A 13830-2026</t>
        </is>
      </c>
      <c r="B1432" t="inlineStr">
        <is>
          <t>avverkningsanmälan</t>
        </is>
      </c>
      <c r="C1432" t="inlineStr">
        <is>
          <t>Föryngringsavverkning</t>
        </is>
      </c>
      <c r="D1432" s="1" t="n">
        <v>46098</v>
      </c>
      <c r="E1432" s="1" t="n">
        <v>46319</v>
      </c>
      <c r="F1432" t="inlineStr">
        <is>
          <t>DALARNAS LÄN</t>
        </is>
      </c>
      <c r="G1432" t="inlineStr">
        <is>
          <t>FALUN</t>
        </is>
      </c>
      <c r="H1432" t="inlineStr">
        <is>
          <t>Bergvik skog väst AB</t>
        </is>
      </c>
      <c r="I1432" t="n">
        <v>40.2</v>
      </c>
      <c r="J1432" t="n">
        <v>1</v>
      </c>
      <c r="K1432" t="n">
        <v>0</v>
      </c>
      <c r="L1432" t="n">
        <v>1</v>
      </c>
      <c r="M1432" t="n">
        <v>0</v>
      </c>
      <c r="N1432" t="n">
        <v>0</v>
      </c>
      <c r="O1432" t="n">
        <v>0</v>
      </c>
      <c r="P1432" t="n">
        <v>0</v>
      </c>
      <c r="Q1432" t="n">
        <v>1</v>
      </c>
      <c r="R1432" t="n">
        <v>0</v>
      </c>
      <c r="S1432" t="n">
        <v>1</v>
      </c>
      <c r="T1432" t="n">
        <v>1</v>
      </c>
      <c r="U1432" t="n">
        <v>0</v>
      </c>
      <c r="V1432" s="2" t="inlineStr">
        <is>
          <t>Talltita</t>
        </is>
      </c>
      <c r="W1432">
        <f>HYPERLINK("https://klasma.github.io/Logging_2080/artfynd/A 13830-2026 artfynd.xlsx", "A 13830-2026")</f>
        <v/>
      </c>
      <c r="X1432">
        <f>HYPERLINK("https://klasma.github.io/Logging_2080/kartor/A 13830-2026 karta.png", "A 13830-2026")</f>
        <v/>
      </c>
      <c r="Y1432">
        <f>HYPERLINK("https://klasma.github.io/Logging_2080/kartor_geotiff/A 13830-2026 georefererad karta.tif", "A 13830-2026")</f>
        <v/>
      </c>
      <c r="AA1432">
        <f>HYPERLINK("https://klasma.github.io/Logging_2080/klagomål/A 13830-2026 FSC-klagomål.docx", "A 13830-2026")</f>
        <v/>
      </c>
      <c r="AB1432">
        <f>HYPERLINK("https://klasma.github.io/Logging_2080/klagomålsmail/A 13830-2026 FSC-klagomål mail.docx", "A 13830-2026")</f>
        <v/>
      </c>
      <c r="AC1432">
        <f>HYPERLINK("https://klasma.github.io/Logging_2080/tillsyn/A 13830-2026 tillsynsbegäran.docx", "A 13830-2026")</f>
        <v/>
      </c>
      <c r="AD1432">
        <f>HYPERLINK("https://klasma.github.io/Logging_2080/tillsynsmail/A 13830-2026 tillsynsbegäran mail.docx", "A 13830-2026")</f>
        <v/>
      </c>
      <c r="AE1432">
        <f>HYPERLINK("https://klasma.github.io/Logging_2080/fåglar/A 13830-2026 prioriterade fågelarter.docx", "A 13830-2026")</f>
        <v/>
      </c>
    </row>
    <row r="1433" ht="15" customHeight="1">
      <c r="A1433" t="inlineStr">
        <is>
          <t>A 43170-2026</t>
        </is>
      </c>
      <c r="B1433" t="inlineStr">
        <is>
          <t>avverkningsanmälan</t>
        </is>
      </c>
      <c r="C1433" t="inlineStr">
        <is>
          <t>Föryngringsavverkning</t>
        </is>
      </c>
      <c r="D1433" s="1" t="n">
        <v>46311</v>
      </c>
      <c r="E1433" s="1" t="n">
        <v>46319</v>
      </c>
      <c r="F1433" t="inlineStr">
        <is>
          <t>DALARNAS LÄN</t>
        </is>
      </c>
      <c r="G1433" t="inlineStr">
        <is>
          <t>MORA</t>
        </is>
      </c>
      <c r="I1433" t="n">
        <v>1.7</v>
      </c>
      <c r="J1433" t="n">
        <v>0</v>
      </c>
      <c r="K1433" t="n">
        <v>0</v>
      </c>
      <c r="L1433" t="n">
        <v>0</v>
      </c>
      <c r="M1433" t="n">
        <v>0</v>
      </c>
      <c r="N1433" t="n">
        <v>0</v>
      </c>
      <c r="O1433" t="n">
        <v>0</v>
      </c>
      <c r="P1433" t="n">
        <v>0</v>
      </c>
      <c r="Q1433" t="n">
        <v>0</v>
      </c>
      <c r="R1433" t="n">
        <v>0</v>
      </c>
      <c r="S1433" t="n">
        <v>1</v>
      </c>
      <c r="T1433" t="n">
        <v>1</v>
      </c>
      <c r="U1433" t="n">
        <v>0</v>
      </c>
      <c r="V1433" s="2" t="inlineStr">
        <is>
          <t>Liljekonvalj</t>
        </is>
      </c>
      <c r="W1433">
        <f>HYPERLINK("https://klasma.github.io/Logging_2062/artfynd/A 43170-2026 artfynd.xlsx", "A 43170-2026")</f>
        <v/>
      </c>
      <c r="X1433">
        <f>HYPERLINK("https://klasma.github.io/Logging_2062/kartor/A 43170-2026 karta.png", "A 43170-2026")</f>
        <v/>
      </c>
      <c r="Y1433">
        <f>HYPERLINK("https://klasma.github.io/Logging_2062/kartor_geotiff/A 43170-2026 georefererad karta.tif", "A 43170-2026")</f>
        <v/>
      </c>
      <c r="AA1433">
        <f>HYPERLINK("https://klasma.github.io/Logging_2062/klagomål/A 43170-2026 FSC-klagomål.docx", "A 43170-2026")</f>
        <v/>
      </c>
      <c r="AB1433">
        <f>HYPERLINK("https://klasma.github.io/Logging_2062/klagomålsmail/A 43170-2026 FSC-klagomål mail.docx", "A 43170-2026")</f>
        <v/>
      </c>
      <c r="AC1433">
        <f>HYPERLINK("https://klasma.github.io/Logging_2062/tillsyn/A 43170-2026 tillsynsbegäran.docx", "A 43170-2026")</f>
        <v/>
      </c>
      <c r="AD1433">
        <f>HYPERLINK("https://klasma.github.io/Logging_2062/tillsynsmail/A 43170-2026 tillsynsbegäran mail.docx", "A 43170-2026")</f>
        <v/>
      </c>
    </row>
    <row r="1434" ht="15" customHeight="1">
      <c r="A1434" t="inlineStr">
        <is>
          <t>A 54134-2024</t>
        </is>
      </c>
      <c r="B1434" t="inlineStr">
        <is>
          <t>avverkningsanmälan</t>
        </is>
      </c>
      <c r="C1434" t="inlineStr">
        <is>
          <t>Föryngringsavverkning</t>
        </is>
      </c>
      <c r="D1434" s="1" t="n">
        <v>45616</v>
      </c>
      <c r="E1434" s="1" t="n">
        <v>46319</v>
      </c>
      <c r="F1434" t="inlineStr">
        <is>
          <t>DALARNAS LÄN</t>
        </is>
      </c>
      <c r="G1434" t="inlineStr">
        <is>
          <t>FALUN</t>
        </is>
      </c>
      <c r="I1434" t="n">
        <v>1.9</v>
      </c>
      <c r="J1434" t="n">
        <v>0</v>
      </c>
      <c r="K1434" t="n">
        <v>0</v>
      </c>
      <c r="L1434" t="n">
        <v>1</v>
      </c>
      <c r="M1434" t="n">
        <v>0</v>
      </c>
      <c r="N1434" t="n">
        <v>0</v>
      </c>
      <c r="O1434" t="n">
        <v>0</v>
      </c>
      <c r="P1434" t="n">
        <v>0</v>
      </c>
      <c r="Q1434" t="n">
        <v>1</v>
      </c>
      <c r="R1434" t="n">
        <v>0</v>
      </c>
      <c r="S1434" t="n">
        <v>1</v>
      </c>
      <c r="T1434" t="n">
        <v>1</v>
      </c>
      <c r="U1434" t="n">
        <v>0</v>
      </c>
      <c r="V1434" s="2" t="inlineStr">
        <is>
          <t>Ullticka</t>
        </is>
      </c>
      <c r="W1434">
        <f>HYPERLINK("https://klasma.github.io/Logging_2080/artfynd/A 54134-2024 artfynd.xlsx", "A 54134-2024")</f>
        <v/>
      </c>
      <c r="X1434">
        <f>HYPERLINK("https://klasma.github.io/Logging_2080/kartor/A 54134-2024 karta.png", "A 54134-2024")</f>
        <v/>
      </c>
      <c r="Y1434">
        <f>HYPERLINK("https://klasma.github.io/Logging_2080/kartor_geotiff/A 54134-2024 georefererad karta.tif", "A 54134-2024")</f>
        <v/>
      </c>
      <c r="AA1434">
        <f>HYPERLINK("https://klasma.github.io/Logging_2080/klagomål/A 54134-2024 FSC-klagomål.docx", "A 54134-2024")</f>
        <v/>
      </c>
      <c r="AB1434">
        <f>HYPERLINK("https://klasma.github.io/Logging_2080/klagomålsmail/A 54134-2024 FSC-klagomål mail.docx", "A 54134-2024")</f>
        <v/>
      </c>
      <c r="AC1434">
        <f>HYPERLINK("https://klasma.github.io/Logging_2080/tillsyn/A 54134-2024 tillsynsbegäran.docx", "A 54134-2024")</f>
        <v/>
      </c>
      <c r="AD1434">
        <f>HYPERLINK("https://klasma.github.io/Logging_2080/tillsynsmail/A 54134-2024 tillsynsbegäran mail.docx", "A 54134-2024")</f>
        <v/>
      </c>
    </row>
    <row r="1435" ht="15" customHeight="1">
      <c r="A1435" t="inlineStr">
        <is>
          <t>A 34313-2025</t>
        </is>
      </c>
      <c r="B1435" t="inlineStr">
        <is>
          <t>avverkningsanmälan</t>
        </is>
      </c>
      <c r="C1435" t="inlineStr">
        <is>
          <t>Föryngringsavverkning</t>
        </is>
      </c>
      <c r="D1435" s="1" t="n">
        <v>45846</v>
      </c>
      <c r="E1435" s="1" t="n">
        <v>46319</v>
      </c>
      <c r="F1435" t="inlineStr">
        <is>
          <t>DALARNAS LÄN</t>
        </is>
      </c>
      <c r="G1435" t="inlineStr">
        <is>
          <t>GAGNEF</t>
        </is>
      </c>
      <c r="I1435" t="n">
        <v>3.1</v>
      </c>
      <c r="J1435" t="n">
        <v>0</v>
      </c>
      <c r="K1435" t="n">
        <v>0</v>
      </c>
      <c r="L1435" t="n">
        <v>0</v>
      </c>
      <c r="M1435" t="n">
        <v>1</v>
      </c>
      <c r="N1435" t="n">
        <v>0</v>
      </c>
      <c r="O1435" t="n">
        <v>0</v>
      </c>
      <c r="P1435" t="n">
        <v>0</v>
      </c>
      <c r="Q1435" t="n">
        <v>1</v>
      </c>
      <c r="R1435" t="n">
        <v>1</v>
      </c>
      <c r="S1435" t="n">
        <v>1</v>
      </c>
      <c r="T1435" t="n">
        <v>1</v>
      </c>
      <c r="U1435" t="n">
        <v>0</v>
      </c>
      <c r="V1435" s="2" t="inlineStr">
        <is>
          <t>Garnlav</t>
        </is>
      </c>
      <c r="W1435">
        <f>HYPERLINK("https://klasma.github.io/Logging_2026/artfynd/A 34313-2025 artfynd.xlsx", "A 34313-2025")</f>
        <v/>
      </c>
      <c r="X1435">
        <f>HYPERLINK("https://klasma.github.io/Logging_2026/kartor/A 34313-2025 karta.png", "A 34313-2025")</f>
        <v/>
      </c>
      <c r="Y1435">
        <f>HYPERLINK("https://klasma.github.io/Logging_2026/kartor_geotiff/A 34313-2025 georefererad karta.tif", "A 34313-2025")</f>
        <v/>
      </c>
      <c r="AA1435">
        <f>HYPERLINK("https://klasma.github.io/Logging_2026/klagomål/A 34313-2025 FSC-klagomål.docx", "A 34313-2025")</f>
        <v/>
      </c>
      <c r="AB1435">
        <f>HYPERLINK("https://klasma.github.io/Logging_2026/klagomålsmail/A 34313-2025 FSC-klagomål mail.docx", "A 34313-2025")</f>
        <v/>
      </c>
      <c r="AC1435">
        <f>HYPERLINK("https://klasma.github.io/Logging_2026/tillsyn/A 34313-2025 tillsynsbegäran.docx", "A 34313-2025")</f>
        <v/>
      </c>
      <c r="AD1435">
        <f>HYPERLINK("https://klasma.github.io/Logging_2026/tillsynsmail/A 34313-2025 tillsynsbegäran mail.docx", "A 34313-2025")</f>
        <v/>
      </c>
    </row>
    <row r="1436" ht="15" customHeight="1">
      <c r="A1436" t="inlineStr">
        <is>
          <t>A 5232-2022</t>
        </is>
      </c>
      <c r="B1436" t="inlineStr">
        <is>
          <t>avverkningsanmälan</t>
        </is>
      </c>
      <c r="C1436" t="inlineStr">
        <is>
          <t>Föryngringsavverkning</t>
        </is>
      </c>
      <c r="D1436" s="1" t="n">
        <v>44594</v>
      </c>
      <c r="E1436" s="1" t="n">
        <v>46319</v>
      </c>
      <c r="F1436" t="inlineStr">
        <is>
          <t>DALARNAS LÄN</t>
        </is>
      </c>
      <c r="G1436" t="inlineStr">
        <is>
          <t>SÄTER</t>
        </is>
      </c>
      <c r="I1436" t="n">
        <v>2.5</v>
      </c>
      <c r="J1436" t="n">
        <v>1</v>
      </c>
      <c r="K1436" t="n">
        <v>1</v>
      </c>
      <c r="L1436" t="n">
        <v>0</v>
      </c>
      <c r="M1436" t="n">
        <v>0</v>
      </c>
      <c r="N1436" t="n">
        <v>0</v>
      </c>
      <c r="O1436" t="n">
        <v>0</v>
      </c>
      <c r="P1436" t="n">
        <v>0</v>
      </c>
      <c r="Q1436" t="n">
        <v>0</v>
      </c>
      <c r="R1436" t="n">
        <v>0</v>
      </c>
      <c r="S1436" t="n">
        <v>1</v>
      </c>
      <c r="T1436" t="n">
        <v>1</v>
      </c>
      <c r="U1436" t="n">
        <v>0</v>
      </c>
      <c r="V1436" s="2" t="inlineStr">
        <is>
          <t>Tvåblad</t>
        </is>
      </c>
      <c r="W1436">
        <f>HYPERLINK("https://klasma.github.io/Logging_2082/artfynd/A 5232-2022 artfynd.xlsx", "A 5232-2022")</f>
        <v/>
      </c>
      <c r="X1436">
        <f>HYPERLINK("https://klasma.github.io/Logging_2082/kartor/A 5232-2022 karta.png", "A 5232-2022")</f>
        <v/>
      </c>
      <c r="Y1436">
        <f>HYPERLINK("https://klasma.github.io/Logging_2082/kartor_geotiff/A 5232-2022 georefererad karta.tif", "A 5232-2022")</f>
        <v/>
      </c>
      <c r="AA1436">
        <f>HYPERLINK("https://klasma.github.io/Logging_2082/klagomål/A 5232-2022 FSC-klagomål.docx", "A 5232-2022")</f>
        <v/>
      </c>
      <c r="AB1436">
        <f>HYPERLINK("https://klasma.github.io/Logging_2082/klagomålsmail/A 5232-2022 FSC-klagomål mail.docx", "A 5232-2022")</f>
        <v/>
      </c>
      <c r="AC1436">
        <f>HYPERLINK("https://klasma.github.io/Logging_2082/tillsyn/A 5232-2022 tillsynsbegäran.docx", "A 5232-2022")</f>
        <v/>
      </c>
      <c r="AD1436">
        <f>HYPERLINK("https://klasma.github.io/Logging_2082/tillsynsmail/A 5232-2022 tillsynsbegäran mail.docx", "A 5232-2022")</f>
        <v/>
      </c>
    </row>
    <row r="1437" ht="15" customHeight="1">
      <c r="A1437" t="inlineStr">
        <is>
          <t>A 164-2024</t>
        </is>
      </c>
      <c r="B1437" t="inlineStr">
        <is>
          <t>avverkningsanmälan</t>
        </is>
      </c>
      <c r="C1437" t="inlineStr">
        <is>
          <t>Avverkning för annat ändamål</t>
        </is>
      </c>
      <c r="D1437" s="1" t="n">
        <v>45294</v>
      </c>
      <c r="E1437" s="1" t="n">
        <v>46319</v>
      </c>
      <c r="F1437" t="inlineStr">
        <is>
          <t>DALARNAS LÄN</t>
        </is>
      </c>
      <c r="G1437" t="inlineStr">
        <is>
          <t>LEKSAND</t>
        </is>
      </c>
      <c r="I1437" t="n">
        <v>3.7</v>
      </c>
      <c r="J1437" t="n">
        <v>1</v>
      </c>
      <c r="K1437" t="n">
        <v>0</v>
      </c>
      <c r="L1437" t="n">
        <v>0</v>
      </c>
      <c r="M1437" t="n">
        <v>0</v>
      </c>
      <c r="N1437" t="n">
        <v>0</v>
      </c>
      <c r="O1437" t="n">
        <v>0</v>
      </c>
      <c r="P1437" t="n">
        <v>0</v>
      </c>
      <c r="Q1437" t="n">
        <v>0</v>
      </c>
      <c r="R1437" t="n">
        <v>0</v>
      </c>
      <c r="S1437" t="n">
        <v>1</v>
      </c>
      <c r="T1437" t="n">
        <v>1</v>
      </c>
      <c r="U1437" t="n">
        <v>0</v>
      </c>
      <c r="V1437" s="2" t="inlineStr">
        <is>
          <t>Järpe</t>
        </is>
      </c>
      <c r="W1437">
        <f>HYPERLINK("https://klasma.github.io/Logging_2029/artfynd/A 164-2024 artfynd.xlsx", "A 164-2024")</f>
        <v/>
      </c>
      <c r="X1437">
        <f>HYPERLINK("https://klasma.github.io/Logging_2029/kartor/A 164-2024 karta.png", "A 164-2024")</f>
        <v/>
      </c>
      <c r="Y1437">
        <f>HYPERLINK("https://klasma.github.io/Logging_2029/kartor_geotiff/A 164-2024 georefererad karta.tif", "A 164-2024")</f>
        <v/>
      </c>
      <c r="AA1437">
        <f>HYPERLINK("https://klasma.github.io/Logging_2029/klagomål/A 164-2024 FSC-klagomål.docx", "A 164-2024")</f>
        <v/>
      </c>
      <c r="AB1437">
        <f>HYPERLINK("https://klasma.github.io/Logging_2029/klagomålsmail/A 164-2024 FSC-klagomål mail.docx", "A 164-2024")</f>
        <v/>
      </c>
      <c r="AC1437">
        <f>HYPERLINK("https://klasma.github.io/Logging_2029/tillsyn/A 164-2024 tillsynsbegäran.docx", "A 164-2024")</f>
        <v/>
      </c>
      <c r="AD1437">
        <f>HYPERLINK("https://klasma.github.io/Logging_2029/tillsynsmail/A 164-2024 tillsynsbegäran mail.docx", "A 164-2024")</f>
        <v/>
      </c>
      <c r="AE1437">
        <f>HYPERLINK("https://klasma.github.io/Logging_2029/fåglar/A 164-2024 prioriterade fågelarter.docx", "A 164-2024")</f>
        <v/>
      </c>
    </row>
    <row r="1438" ht="15" customHeight="1">
      <c r="A1438" t="inlineStr">
        <is>
          <t>A 52675-2025</t>
        </is>
      </c>
      <c r="B1438" t="inlineStr">
        <is>
          <t>avverkningsanmälan</t>
        </is>
      </c>
      <c r="C1438" t="inlineStr">
        <is>
          <t>Föryngringsavverkning</t>
        </is>
      </c>
      <c r="D1438" s="1" t="n">
        <v>45956</v>
      </c>
      <c r="E1438" s="1" t="n">
        <v>46319</v>
      </c>
      <c r="F1438" t="inlineStr">
        <is>
          <t>DALARNAS LÄN</t>
        </is>
      </c>
      <c r="G1438" t="inlineStr">
        <is>
          <t>VANSBRO</t>
        </is>
      </c>
      <c r="H1438" t="inlineStr">
        <is>
          <t>Bergvik skog väst AB</t>
        </is>
      </c>
      <c r="I1438" t="n">
        <v>4.5</v>
      </c>
      <c r="J1438" t="n">
        <v>0</v>
      </c>
      <c r="K1438" t="n">
        <v>0</v>
      </c>
      <c r="L1438" t="n">
        <v>1</v>
      </c>
      <c r="M1438" t="n">
        <v>0</v>
      </c>
      <c r="N1438" t="n">
        <v>0</v>
      </c>
      <c r="O1438" t="n">
        <v>0</v>
      </c>
      <c r="P1438" t="n">
        <v>0</v>
      </c>
      <c r="Q1438" t="n">
        <v>1</v>
      </c>
      <c r="R1438" t="n">
        <v>0</v>
      </c>
      <c r="S1438" t="n">
        <v>1</v>
      </c>
      <c r="T1438" t="n">
        <v>2</v>
      </c>
      <c r="U1438" t="n">
        <v>0</v>
      </c>
      <c r="V1438" s="2" t="inlineStr">
        <is>
          <t>Motaggsvamp</t>
        </is>
      </c>
      <c r="W1438">
        <f>HYPERLINK("https://klasma.github.io/Logging_2021/artfynd/A 52675-2025 artfynd.xlsx", "A 52675-2025")</f>
        <v/>
      </c>
      <c r="X1438">
        <f>HYPERLINK("https://klasma.github.io/Logging_2021/kartor/A 52675-2025 karta.png", "A 52675-2025")</f>
        <v/>
      </c>
      <c r="Y1438">
        <f>HYPERLINK("https://klasma.github.io/Logging_2021/kartor_geotiff/A 52675-2025 georefererad karta.tif", "A 52675-2025")</f>
        <v/>
      </c>
      <c r="AA1438">
        <f>HYPERLINK("https://klasma.github.io/Logging_2021/klagomål/A 52675-2025 FSC-klagomål.docx", "A 52675-2025")</f>
        <v/>
      </c>
      <c r="AB1438">
        <f>HYPERLINK("https://klasma.github.io/Logging_2021/klagomålsmail/A 52675-2025 FSC-klagomål mail.docx", "A 52675-2025")</f>
        <v/>
      </c>
      <c r="AC1438">
        <f>HYPERLINK("https://klasma.github.io/Logging_2021/tillsyn/A 52675-2025 tillsynsbegäran.docx", "A 52675-2025")</f>
        <v/>
      </c>
      <c r="AD1438">
        <f>HYPERLINK("https://klasma.github.io/Logging_2021/tillsynsmail/A 52675-2025 tillsynsbegäran mail.docx", "A 52675-2025")</f>
        <v/>
      </c>
    </row>
    <row r="1439" ht="15" customHeight="1">
      <c r="A1439" t="inlineStr">
        <is>
          <t>A 40683-2026</t>
        </is>
      </c>
      <c r="B1439" t="inlineStr">
        <is>
          <t>avverkningsanmälan</t>
        </is>
      </c>
      <c r="C1439" t="inlineStr">
        <is>
          <t>Föryngringsavverkning</t>
        </is>
      </c>
      <c r="D1439" s="1" t="n">
        <v>46296</v>
      </c>
      <c r="E1439" s="1" t="n">
        <v>46319</v>
      </c>
      <c r="F1439" t="inlineStr">
        <is>
          <t>DALARNAS LÄN</t>
        </is>
      </c>
      <c r="G1439" t="inlineStr">
        <is>
          <t>ORSA</t>
        </is>
      </c>
      <c r="H1439" t="inlineStr">
        <is>
          <t>Bergvik skog öst AB</t>
        </is>
      </c>
      <c r="I1439" t="n">
        <v>6.4</v>
      </c>
      <c r="J1439" t="n">
        <v>0</v>
      </c>
      <c r="K1439" t="n">
        <v>1</v>
      </c>
      <c r="L1439" t="n">
        <v>0</v>
      </c>
      <c r="M1439" t="n">
        <v>0</v>
      </c>
      <c r="N1439" t="n">
        <v>0</v>
      </c>
      <c r="O1439" t="n">
        <v>0</v>
      </c>
      <c r="P1439" t="n">
        <v>0</v>
      </c>
      <c r="Q1439" t="n">
        <v>0</v>
      </c>
      <c r="R1439" t="n">
        <v>0</v>
      </c>
      <c r="S1439" t="n">
        <v>1</v>
      </c>
      <c r="T1439" t="n">
        <v>1</v>
      </c>
      <c r="U1439" t="n">
        <v>0</v>
      </c>
      <c r="V1439" s="2" t="inlineStr">
        <is>
          <t>Svart trolldruva</t>
        </is>
      </c>
      <c r="W1439">
        <f>HYPERLINK("https://klasma.github.io/Logging_2034/artfynd/A 40683-2026 artfynd.xlsx", "A 40683-2026")</f>
        <v/>
      </c>
      <c r="X1439">
        <f>HYPERLINK("https://klasma.github.io/Logging_2034/kartor/A 40683-2026 karta.png", "A 40683-2026")</f>
        <v/>
      </c>
      <c r="Y1439">
        <f>HYPERLINK("https://klasma.github.io/Logging_2034/kartor_geotiff/A 40683-2026 georefererad karta.tif", "A 40683-2026")</f>
        <v/>
      </c>
      <c r="AA1439">
        <f>HYPERLINK("https://klasma.github.io/Logging_2034/klagomål/A 40683-2026 FSC-klagomål.docx", "A 40683-2026")</f>
        <v/>
      </c>
      <c r="AB1439">
        <f>HYPERLINK("https://klasma.github.io/Logging_2034/klagomålsmail/A 40683-2026 FSC-klagomål mail.docx", "A 40683-2026")</f>
        <v/>
      </c>
      <c r="AC1439">
        <f>HYPERLINK("https://klasma.github.io/Logging_2034/tillsyn/A 40683-2026 tillsynsbegäran.docx", "A 40683-2026")</f>
        <v/>
      </c>
      <c r="AD1439">
        <f>HYPERLINK("https://klasma.github.io/Logging_2034/tillsynsmail/A 40683-2026 tillsynsbegäran mail.docx", "A 40683-2026")</f>
        <v/>
      </c>
    </row>
    <row r="1440" ht="15" customHeight="1">
      <c r="A1440" t="inlineStr">
        <is>
          <t>A 55550-2022</t>
        </is>
      </c>
      <c r="B1440" t="inlineStr">
        <is>
          <t>avverkningsanmälan</t>
        </is>
      </c>
      <c r="C1440" t="inlineStr">
        <is>
          <t>Föryngringsavverkning</t>
        </is>
      </c>
      <c r="D1440" s="1" t="n">
        <v>44888</v>
      </c>
      <c r="E1440" s="1" t="n">
        <v>46319</v>
      </c>
      <c r="F1440" t="inlineStr">
        <is>
          <t>DALARNAS LÄN</t>
        </is>
      </c>
      <c r="G1440" t="inlineStr">
        <is>
          <t>LUDVIKA</t>
        </is>
      </c>
      <c r="H1440" t="inlineStr">
        <is>
          <t>Bergvik skog väst AB</t>
        </is>
      </c>
      <c r="I1440" t="n">
        <v>1.1</v>
      </c>
      <c r="J1440" t="n">
        <v>0</v>
      </c>
      <c r="K1440" t="n">
        <v>1</v>
      </c>
      <c r="L1440" t="n">
        <v>0</v>
      </c>
      <c r="M1440" t="n">
        <v>0</v>
      </c>
      <c r="N1440" t="n">
        <v>0</v>
      </c>
      <c r="O1440" t="n">
        <v>0</v>
      </c>
      <c r="P1440" t="n">
        <v>0</v>
      </c>
      <c r="Q1440" t="n">
        <v>0</v>
      </c>
      <c r="R1440" t="n">
        <v>0</v>
      </c>
      <c r="S1440" t="n">
        <v>1</v>
      </c>
      <c r="T1440" t="n">
        <v>1</v>
      </c>
      <c r="U1440" t="n">
        <v>0</v>
      </c>
      <c r="V1440" s="2" t="inlineStr">
        <is>
          <t>Ögonpyrola</t>
        </is>
      </c>
      <c r="W1440">
        <f>HYPERLINK("https://klasma.github.io/Logging_2085/artfynd/A 55550-2022 artfynd.xlsx", "A 55550-2022")</f>
        <v/>
      </c>
      <c r="X1440">
        <f>HYPERLINK("https://klasma.github.io/Logging_2085/kartor/A 55550-2022 karta.png", "A 55550-2022")</f>
        <v/>
      </c>
      <c r="Y1440">
        <f>HYPERLINK("https://klasma.github.io/Logging_2085/kartor_geotiff/A 55550-2022 georefererad karta.tif", "A 55550-2022")</f>
        <v/>
      </c>
      <c r="AA1440">
        <f>HYPERLINK("https://klasma.github.io/Logging_2085/klagomål/A 55550-2022 FSC-klagomål.docx", "A 55550-2022")</f>
        <v/>
      </c>
      <c r="AB1440">
        <f>HYPERLINK("https://klasma.github.io/Logging_2085/klagomålsmail/A 55550-2022 FSC-klagomål mail.docx", "A 55550-2022")</f>
        <v/>
      </c>
      <c r="AC1440">
        <f>HYPERLINK("https://klasma.github.io/Logging_2085/tillsyn/A 55550-2022 tillsynsbegäran.docx", "A 55550-2022")</f>
        <v/>
      </c>
      <c r="AD1440">
        <f>HYPERLINK("https://klasma.github.io/Logging_2085/tillsynsmail/A 55550-2022 tillsynsbegäran mail.docx", "A 55550-2022")</f>
        <v/>
      </c>
    </row>
    <row r="1441" ht="15" customHeight="1">
      <c r="A1441" t="inlineStr">
        <is>
          <t>A 36969-2026</t>
        </is>
      </c>
      <c r="B1441" t="inlineStr">
        <is>
          <t>avverkningsanmälan</t>
        </is>
      </c>
      <c r="C1441" t="inlineStr">
        <is>
          <t>Avverkning för att bevara och utveckla /försöksver</t>
        </is>
      </c>
      <c r="D1441" s="1" t="n">
        <v>46273</v>
      </c>
      <c r="E1441" s="1" t="n">
        <v>46319</v>
      </c>
      <c r="F1441" t="inlineStr">
        <is>
          <t>DALARNAS LÄN</t>
        </is>
      </c>
      <c r="G1441" t="inlineStr">
        <is>
          <t>SÄTER</t>
        </is>
      </c>
      <c r="H1441" t="inlineStr">
        <is>
          <t>Bergvik skog väst AB</t>
        </is>
      </c>
      <c r="I1441" t="n">
        <v>1.5</v>
      </c>
      <c r="J1441" t="n">
        <v>0</v>
      </c>
      <c r="K1441" t="n">
        <v>1</v>
      </c>
      <c r="L1441" t="n">
        <v>0</v>
      </c>
      <c r="M1441" t="n">
        <v>0</v>
      </c>
      <c r="N1441" t="n">
        <v>0</v>
      </c>
      <c r="O1441" t="n">
        <v>0</v>
      </c>
      <c r="P1441" t="n">
        <v>0</v>
      </c>
      <c r="Q1441" t="n">
        <v>0</v>
      </c>
      <c r="R1441" t="n">
        <v>0</v>
      </c>
      <c r="S1441" t="n">
        <v>1</v>
      </c>
      <c r="T1441" t="n">
        <v>1</v>
      </c>
      <c r="U1441" t="n">
        <v>1</v>
      </c>
      <c r="V1441" s="2" t="inlineStr">
        <is>
          <t>Bronshjon</t>
        </is>
      </c>
      <c r="W1441">
        <f>HYPERLINK("https://klasma.github.io/Logging_2082/artfynd/A 36969-2026 artfynd.xlsx", "A 36969-2026")</f>
        <v/>
      </c>
      <c r="X1441">
        <f>HYPERLINK("https://klasma.github.io/Logging_2082/kartor/A 36969-2026 karta.png", "A 36969-2026")</f>
        <v/>
      </c>
      <c r="Y1441">
        <f>HYPERLINK("https://klasma.github.io/Logging_2082/kartor_geotiff/A 36969-2026 georefererad karta.tif", "A 36969-2026")</f>
        <v/>
      </c>
      <c r="AA1441">
        <f>HYPERLINK("https://klasma.github.io/Logging_2082/klagomål/A 36969-2026 FSC-klagomål.docx", "A 36969-2026")</f>
        <v/>
      </c>
      <c r="AB1441">
        <f>HYPERLINK("https://klasma.github.io/Logging_2082/klagomålsmail/A 36969-2026 FSC-klagomål mail.docx", "A 36969-2026")</f>
        <v/>
      </c>
      <c r="AC1441">
        <f>HYPERLINK("https://klasma.github.io/Logging_2082/tillsyn/A 36969-2026 tillsynsbegäran.docx", "A 36969-2026")</f>
        <v/>
      </c>
      <c r="AD1441">
        <f>HYPERLINK("https://klasma.github.io/Logging_2082/tillsynsmail/A 36969-2026 tillsynsbegäran mail.docx", "A 36969-2026")</f>
        <v/>
      </c>
    </row>
    <row r="1442" ht="15" customHeight="1">
      <c r="A1442" t="inlineStr">
        <is>
          <t>A 32199-2024</t>
        </is>
      </c>
      <c r="B1442" t="inlineStr">
        <is>
          <t>avverkningsanmälan</t>
        </is>
      </c>
      <c r="C1442" t="inlineStr">
        <is>
          <t>Föryngringsavverkning</t>
        </is>
      </c>
      <c r="D1442" s="1" t="n">
        <v>45511</v>
      </c>
      <c r="E1442" s="1" t="n">
        <v>46319</v>
      </c>
      <c r="F1442" t="inlineStr">
        <is>
          <t>DALARNAS LÄN</t>
        </is>
      </c>
      <c r="G1442" t="inlineStr">
        <is>
          <t>ÄLVDALEN</t>
        </is>
      </c>
      <c r="H1442" t="inlineStr">
        <is>
          <t>Sveaskog</t>
        </is>
      </c>
      <c r="I1442" t="n">
        <v>4.6</v>
      </c>
      <c r="J1442" t="n">
        <v>1</v>
      </c>
      <c r="K1442" t="n">
        <v>0</v>
      </c>
      <c r="L1442" t="n">
        <v>1</v>
      </c>
      <c r="M1442" t="n">
        <v>0</v>
      </c>
      <c r="N1442" t="n">
        <v>0</v>
      </c>
      <c r="O1442" t="n">
        <v>0</v>
      </c>
      <c r="P1442" t="n">
        <v>0</v>
      </c>
      <c r="Q1442" t="n">
        <v>1</v>
      </c>
      <c r="R1442" t="n">
        <v>0</v>
      </c>
      <c r="S1442" t="n">
        <v>1</v>
      </c>
      <c r="T1442" t="n">
        <v>1</v>
      </c>
      <c r="U1442" t="n">
        <v>0</v>
      </c>
      <c r="V1442" s="2" t="inlineStr">
        <is>
          <t>Varglav</t>
        </is>
      </c>
      <c r="W1442">
        <f>HYPERLINK("https://klasma.github.io/Logging_2039/artfynd/A 32199-2024 artfynd.xlsx", "A 32199-2024")</f>
        <v/>
      </c>
      <c r="X1442">
        <f>HYPERLINK("https://klasma.github.io/Logging_2039/kartor/A 32199-2024 karta.png", "A 32199-2024")</f>
        <v/>
      </c>
      <c r="Y1442">
        <f>HYPERLINK("https://klasma.github.io/Logging_2039/kartor_geotiff/A 32199-2024 georefererad karta.tif", "A 32199-2024")</f>
        <v/>
      </c>
      <c r="AA1442">
        <f>HYPERLINK("https://klasma.github.io/Logging_2039/klagomål/A 32199-2024 FSC-klagomål.docx", "A 32199-2024")</f>
        <v/>
      </c>
      <c r="AB1442">
        <f>HYPERLINK("https://klasma.github.io/Logging_2039/klagomålsmail/A 32199-2024 FSC-klagomål mail.docx", "A 32199-2024")</f>
        <v/>
      </c>
      <c r="AC1442">
        <f>HYPERLINK("https://klasma.github.io/Logging_2039/tillsyn/A 32199-2024 tillsynsbegäran.docx", "A 32199-2024")</f>
        <v/>
      </c>
      <c r="AD1442">
        <f>HYPERLINK("https://klasma.github.io/Logging_2039/tillsynsmail/A 32199-2024 tillsynsbegäran mail.docx", "A 32199-2024")</f>
        <v/>
      </c>
    </row>
    <row r="1443" ht="15" customHeight="1">
      <c r="A1443" t="inlineStr">
        <is>
          <t>A 58233-2025</t>
        </is>
      </c>
      <c r="B1443" t="inlineStr">
        <is>
          <t>avverkningsanmälan</t>
        </is>
      </c>
      <c r="C1443" t="inlineStr">
        <is>
          <t>Föryngringsavverkning</t>
        </is>
      </c>
      <c r="D1443" s="1" t="n">
        <v>45985</v>
      </c>
      <c r="E1443" s="1" t="n">
        <v>46319</v>
      </c>
      <c r="F1443" t="inlineStr">
        <is>
          <t>DALARNAS LÄN</t>
        </is>
      </c>
      <c r="G1443" t="inlineStr">
        <is>
          <t>RÄTTVIK</t>
        </is>
      </c>
      <c r="I1443" t="n">
        <v>1.7</v>
      </c>
      <c r="J1443" t="n">
        <v>0</v>
      </c>
      <c r="K1443" t="n">
        <v>0</v>
      </c>
      <c r="L1443" t="n">
        <v>1</v>
      </c>
      <c r="M1443" t="n">
        <v>0</v>
      </c>
      <c r="N1443" t="n">
        <v>0</v>
      </c>
      <c r="O1443" t="n">
        <v>0</v>
      </c>
      <c r="P1443" t="n">
        <v>0</v>
      </c>
      <c r="Q1443" t="n">
        <v>1</v>
      </c>
      <c r="R1443" t="n">
        <v>0</v>
      </c>
      <c r="S1443" t="n">
        <v>1</v>
      </c>
      <c r="T1443" t="n">
        <v>1</v>
      </c>
      <c r="U1443" t="n">
        <v>0</v>
      </c>
      <c r="V1443" s="2" t="inlineStr">
        <is>
          <t>Rynkskinn</t>
        </is>
      </c>
      <c r="W1443">
        <f>HYPERLINK("https://klasma.github.io/Logging_2031/artfynd/A 58233-2025 artfynd.xlsx", "A 58233-2025")</f>
        <v/>
      </c>
      <c r="X1443">
        <f>HYPERLINK("https://klasma.github.io/Logging_2031/kartor/A 58233-2025 karta.png", "A 58233-2025")</f>
        <v/>
      </c>
      <c r="Y1443">
        <f>HYPERLINK("https://klasma.github.io/Logging_2031/kartor_geotiff/A 58233-2025 georefererad karta.tif", "A 58233-2025")</f>
        <v/>
      </c>
      <c r="AA1443">
        <f>HYPERLINK("https://klasma.github.io/Logging_2031/klagomål/A 58233-2025 FSC-klagomål.docx", "A 58233-2025")</f>
        <v/>
      </c>
      <c r="AB1443">
        <f>HYPERLINK("https://klasma.github.io/Logging_2031/klagomålsmail/A 58233-2025 FSC-klagomål mail.docx", "A 58233-2025")</f>
        <v/>
      </c>
      <c r="AC1443">
        <f>HYPERLINK("https://klasma.github.io/Logging_2031/tillsyn/A 58233-2025 tillsynsbegäran.docx", "A 58233-2025")</f>
        <v/>
      </c>
      <c r="AD1443">
        <f>HYPERLINK("https://klasma.github.io/Logging_2031/tillsynsmail/A 58233-2025 tillsynsbegäran mail.docx", "A 58233-2025")</f>
        <v/>
      </c>
    </row>
    <row r="1444" ht="15" customHeight="1">
      <c r="A1444" t="inlineStr">
        <is>
          <t>A 37275-2026</t>
        </is>
      </c>
      <c r="B1444" t="inlineStr">
        <is>
          <t>avverkningsanmälan</t>
        </is>
      </c>
      <c r="C1444" t="inlineStr">
        <is>
          <t>Föryngringsavverkning</t>
        </is>
      </c>
      <c r="D1444" s="1" t="n">
        <v>46274</v>
      </c>
      <c r="E1444" s="1" t="n">
        <v>46319</v>
      </c>
      <c r="F1444" t="inlineStr">
        <is>
          <t>DALARNAS LÄN</t>
        </is>
      </c>
      <c r="G1444" t="inlineStr">
        <is>
          <t>RÄTTVIK</t>
        </is>
      </c>
      <c r="H1444" t="inlineStr">
        <is>
          <t>Sveaskog</t>
        </is>
      </c>
      <c r="I1444" t="n">
        <v>6.8</v>
      </c>
      <c r="J1444" t="n">
        <v>1</v>
      </c>
      <c r="K1444" t="n">
        <v>1</v>
      </c>
      <c r="L1444" t="n">
        <v>0</v>
      </c>
      <c r="M1444" t="n">
        <v>0</v>
      </c>
      <c r="N1444" t="n">
        <v>0</v>
      </c>
      <c r="O1444" t="n">
        <v>0</v>
      </c>
      <c r="P1444" t="n">
        <v>0</v>
      </c>
      <c r="Q1444" t="n">
        <v>0</v>
      </c>
      <c r="R1444" t="n">
        <v>0</v>
      </c>
      <c r="S1444" t="n">
        <v>1</v>
      </c>
      <c r="T1444" t="n">
        <v>1</v>
      </c>
      <c r="U1444" t="n">
        <v>1</v>
      </c>
      <c r="V1444" s="2" t="inlineStr">
        <is>
          <t>Plattlummer</t>
        </is>
      </c>
      <c r="W1444">
        <f>HYPERLINK("https://klasma.github.io/Logging_2031/artfynd/A 37275-2026 artfynd.xlsx", "A 37275-2026")</f>
        <v/>
      </c>
      <c r="X1444">
        <f>HYPERLINK("https://klasma.github.io/Logging_2031/kartor/A 37275-2026 karta.png", "A 37275-2026")</f>
        <v/>
      </c>
      <c r="Y1444">
        <f>HYPERLINK("https://klasma.github.io/Logging_2031/kartor_geotiff/A 37275-2026 georefererad karta.tif", "A 37275-2026")</f>
        <v/>
      </c>
      <c r="AA1444">
        <f>HYPERLINK("https://klasma.github.io/Logging_2031/klagomål/A 37275-2026 FSC-klagomål.docx", "A 37275-2026")</f>
        <v/>
      </c>
      <c r="AB1444">
        <f>HYPERLINK("https://klasma.github.io/Logging_2031/klagomålsmail/A 37275-2026 FSC-klagomål mail.docx", "A 37275-2026")</f>
        <v/>
      </c>
      <c r="AC1444">
        <f>HYPERLINK("https://klasma.github.io/Logging_2031/tillsyn/A 37275-2026 tillsynsbegäran.docx", "A 37275-2026")</f>
        <v/>
      </c>
      <c r="AD1444">
        <f>HYPERLINK("https://klasma.github.io/Logging_2031/tillsynsmail/A 37275-2026 tillsynsbegäran mail.docx", "A 37275-2026")</f>
        <v/>
      </c>
    </row>
    <row r="1445" ht="15" customHeight="1">
      <c r="A1445" t="inlineStr">
        <is>
          <t>A 43666-2026</t>
        </is>
      </c>
      <c r="B1445" t="inlineStr">
        <is>
          <t>avverkningsanmälan</t>
        </is>
      </c>
      <c r="C1445" t="inlineStr">
        <is>
          <t>Föryngringsavverkning</t>
        </is>
      </c>
      <c r="D1445" s="1" t="n">
        <v>46316</v>
      </c>
      <c r="E1445" s="1" t="n">
        <v>46319</v>
      </c>
      <c r="F1445" t="inlineStr">
        <is>
          <t>DALARNAS LÄN</t>
        </is>
      </c>
      <c r="G1445" t="inlineStr">
        <is>
          <t>RÄTTVIK</t>
        </is>
      </c>
      <c r="I1445" t="n">
        <v>8.1</v>
      </c>
      <c r="J1445" t="n">
        <v>1</v>
      </c>
      <c r="K1445" t="n">
        <v>1</v>
      </c>
      <c r="L1445" t="n">
        <v>0</v>
      </c>
      <c r="M1445" t="n">
        <v>0</v>
      </c>
      <c r="N1445" t="n">
        <v>0</v>
      </c>
      <c r="O1445" t="n">
        <v>0</v>
      </c>
      <c r="P1445" t="n">
        <v>0</v>
      </c>
      <c r="Q1445" t="n">
        <v>0</v>
      </c>
      <c r="R1445" t="n">
        <v>0</v>
      </c>
      <c r="S1445" t="n">
        <v>1</v>
      </c>
      <c r="T1445" t="n">
        <v>1</v>
      </c>
      <c r="U1445" t="n">
        <v>0</v>
      </c>
      <c r="V1445" s="2" t="inlineStr">
        <is>
          <t>Korallrot</t>
        </is>
      </c>
      <c r="W1445">
        <f>HYPERLINK("https://klasma.github.io/Logging_2031/artfynd/A 43666-2026 artfynd.xlsx", "A 43666-2026")</f>
        <v/>
      </c>
      <c r="X1445">
        <f>HYPERLINK("https://klasma.github.io/Logging_2031/kartor/A 43666-2026 karta.png", "A 43666-2026")</f>
        <v/>
      </c>
      <c r="Y1445">
        <f>HYPERLINK("https://klasma.github.io/Logging_2031/kartor_geotiff/A 43666-2026 georefererad karta.tif", "A 43666-2026")</f>
        <v/>
      </c>
      <c r="AA1445">
        <f>HYPERLINK("https://klasma.github.io/Logging_2031/klagomål/A 43666-2026 FSC-klagomål.docx", "A 43666-2026")</f>
        <v/>
      </c>
      <c r="AB1445">
        <f>HYPERLINK("https://klasma.github.io/Logging_2031/klagomålsmail/A 43666-2026 FSC-klagomål mail.docx", "A 43666-2026")</f>
        <v/>
      </c>
      <c r="AC1445">
        <f>HYPERLINK("https://klasma.github.io/Logging_2031/tillsyn/A 43666-2026 tillsynsbegäran.docx", "A 43666-2026")</f>
        <v/>
      </c>
      <c r="AD1445">
        <f>HYPERLINK("https://klasma.github.io/Logging_2031/tillsynsmail/A 43666-2026 tillsynsbegäran mail.docx", "A 43666-2026")</f>
        <v/>
      </c>
    </row>
    <row r="1446" ht="15" customHeight="1">
      <c r="A1446" t="inlineStr">
        <is>
          <t>A 2112-2026</t>
        </is>
      </c>
      <c r="B1446" t="inlineStr">
        <is>
          <t>avverkningsanmälan</t>
        </is>
      </c>
      <c r="C1446" t="inlineStr">
        <is>
          <t>Föryngringsavverkning</t>
        </is>
      </c>
      <c r="D1446" s="1" t="n">
        <v>46036</v>
      </c>
      <c r="E1446" s="1" t="n">
        <v>46319</v>
      </c>
      <c r="F1446" t="inlineStr">
        <is>
          <t>DALARNAS LÄN</t>
        </is>
      </c>
      <c r="G1446" t="inlineStr">
        <is>
          <t>RÄTTVIK</t>
        </is>
      </c>
      <c r="I1446" t="n">
        <v>8.6</v>
      </c>
      <c r="J1446" t="n">
        <v>0</v>
      </c>
      <c r="K1446" t="n">
        <v>1</v>
      </c>
      <c r="L1446" t="n">
        <v>0</v>
      </c>
      <c r="M1446" t="n">
        <v>0</v>
      </c>
      <c r="N1446" t="n">
        <v>0</v>
      </c>
      <c r="O1446" t="n">
        <v>0</v>
      </c>
      <c r="P1446" t="n">
        <v>0</v>
      </c>
      <c r="Q1446" t="n">
        <v>0</v>
      </c>
      <c r="R1446" t="n">
        <v>0</v>
      </c>
      <c r="S1446" t="n">
        <v>1</v>
      </c>
      <c r="T1446" t="n">
        <v>1</v>
      </c>
      <c r="U1446" t="n">
        <v>0</v>
      </c>
      <c r="V1446" s="2" t="inlineStr">
        <is>
          <t>Axag</t>
        </is>
      </c>
      <c r="W1446">
        <f>HYPERLINK("https://klasma.github.io/Logging_2031/artfynd/A 2112-2026 artfynd.xlsx", "A 2112-2026")</f>
        <v/>
      </c>
      <c r="X1446">
        <f>HYPERLINK("https://klasma.github.io/Logging_2031/kartor/A 2112-2026 karta.png", "A 2112-2026")</f>
        <v/>
      </c>
      <c r="Y1446">
        <f>HYPERLINK("https://klasma.github.io/Logging_2031/kartor_geotiff/A 2112-2026 georefererad karta.tif", "A 2112-2026")</f>
        <v/>
      </c>
      <c r="AA1446">
        <f>HYPERLINK("https://klasma.github.io/Logging_2031/klagomål/A 2112-2026 FSC-klagomål.docx", "A 2112-2026")</f>
        <v/>
      </c>
      <c r="AB1446">
        <f>HYPERLINK("https://klasma.github.io/Logging_2031/klagomålsmail/A 2112-2026 FSC-klagomål mail.docx", "A 2112-2026")</f>
        <v/>
      </c>
      <c r="AC1446">
        <f>HYPERLINK("https://klasma.github.io/Logging_2031/tillsyn/A 2112-2026 tillsynsbegäran.docx", "A 2112-2026")</f>
        <v/>
      </c>
      <c r="AD1446">
        <f>HYPERLINK("https://klasma.github.io/Logging_2031/tillsynsmail/A 2112-2026 tillsynsbegäran mail.docx", "A 2112-2026")</f>
        <v/>
      </c>
    </row>
    <row r="1447" ht="15" customHeight="1">
      <c r="A1447" t="inlineStr">
        <is>
          <t>A 37560-2026</t>
        </is>
      </c>
      <c r="B1447" t="inlineStr">
        <is>
          <t>avverkningsanmälan</t>
        </is>
      </c>
      <c r="C1447" t="inlineStr">
        <is>
          <t>Föryngringsavverkning</t>
        </is>
      </c>
      <c r="D1447" s="1" t="n">
        <v>46276</v>
      </c>
      <c r="E1447" s="1" t="n">
        <v>46319</v>
      </c>
      <c r="F1447" t="inlineStr">
        <is>
          <t>DALARNAS LÄN</t>
        </is>
      </c>
      <c r="G1447" t="inlineStr">
        <is>
          <t>LUDVIKA</t>
        </is>
      </c>
      <c r="H1447" t="inlineStr">
        <is>
          <t>Naturvårdsverket</t>
        </is>
      </c>
      <c r="I1447" t="n">
        <v>0.9</v>
      </c>
      <c r="J1447" t="n">
        <v>0</v>
      </c>
      <c r="K1447" t="n">
        <v>0</v>
      </c>
      <c r="L1447" t="n">
        <v>1</v>
      </c>
      <c r="M1447" t="n">
        <v>0</v>
      </c>
      <c r="N1447" t="n">
        <v>0</v>
      </c>
      <c r="O1447" t="n">
        <v>0</v>
      </c>
      <c r="P1447" t="n">
        <v>0</v>
      </c>
      <c r="Q1447" t="n">
        <v>1</v>
      </c>
      <c r="R1447" t="n">
        <v>0</v>
      </c>
      <c r="S1447" t="n">
        <v>1</v>
      </c>
      <c r="T1447" t="n">
        <v>1</v>
      </c>
      <c r="U1447" t="n">
        <v>0</v>
      </c>
      <c r="V1447" s="2" t="inlineStr">
        <is>
          <t>Motaggsvamp</t>
        </is>
      </c>
      <c r="W1447">
        <f>HYPERLINK("https://klasma.github.io/Logging_2085/artfynd/A 37560-2026 artfynd.xlsx", "A 37560-2026")</f>
        <v/>
      </c>
      <c r="X1447">
        <f>HYPERLINK("https://klasma.github.io/Logging_2085/kartor/A 37560-2026 karta.png", "A 37560-2026")</f>
        <v/>
      </c>
      <c r="Y1447">
        <f>HYPERLINK("https://klasma.github.io/Logging_2085/kartor_geotiff/A 37560-2026 georefererad karta.tif", "A 37560-2026")</f>
        <v/>
      </c>
      <c r="AA1447">
        <f>HYPERLINK("https://klasma.github.io/Logging_2085/klagomål/A 37560-2026 FSC-klagomål.docx", "A 37560-2026")</f>
        <v/>
      </c>
      <c r="AB1447">
        <f>HYPERLINK("https://klasma.github.io/Logging_2085/klagomålsmail/A 37560-2026 FSC-klagomål mail.docx", "A 37560-2026")</f>
        <v/>
      </c>
      <c r="AC1447">
        <f>HYPERLINK("https://klasma.github.io/Logging_2085/tillsyn/A 37560-2026 tillsynsbegäran.docx", "A 37560-2026")</f>
        <v/>
      </c>
      <c r="AD1447">
        <f>HYPERLINK("https://klasma.github.io/Logging_2085/tillsynsmail/A 37560-2026 tillsynsbegäran mail.docx", "A 37560-2026")</f>
        <v/>
      </c>
    </row>
    <row r="1448" ht="15" customHeight="1">
      <c r="A1448" t="inlineStr">
        <is>
          <t>A 60787-2024</t>
        </is>
      </c>
      <c r="B1448" t="inlineStr">
        <is>
          <t>avverkningsanmälan</t>
        </is>
      </c>
      <c r="C1448" t="inlineStr">
        <is>
          <t>Föryngringsavverkning</t>
        </is>
      </c>
      <c r="D1448" s="1" t="n">
        <v>45644</v>
      </c>
      <c r="E1448" s="1" t="n">
        <v>46319</v>
      </c>
      <c r="F1448" t="inlineStr">
        <is>
          <t>DALARNAS LÄN</t>
        </is>
      </c>
      <c r="G1448" t="inlineStr">
        <is>
          <t>LUDVIKA</t>
        </is>
      </c>
      <c r="I1448" t="n">
        <v>1.9</v>
      </c>
      <c r="J1448" t="n">
        <v>1</v>
      </c>
      <c r="K1448" t="n">
        <v>0</v>
      </c>
      <c r="L1448" t="n">
        <v>0</v>
      </c>
      <c r="M1448" t="n">
        <v>0</v>
      </c>
      <c r="N1448" t="n">
        <v>0</v>
      </c>
      <c r="O1448" t="n">
        <v>0</v>
      </c>
      <c r="P1448" t="n">
        <v>0</v>
      </c>
      <c r="Q1448" t="n">
        <v>0</v>
      </c>
      <c r="R1448" t="n">
        <v>0</v>
      </c>
      <c r="S1448" t="n">
        <v>1</v>
      </c>
      <c r="T1448" t="n">
        <v>1</v>
      </c>
      <c r="U1448" t="n">
        <v>1</v>
      </c>
      <c r="V1448" s="2" t="inlineStr">
        <is>
          <t>Järpe</t>
        </is>
      </c>
      <c r="W1448">
        <f>HYPERLINK("https://klasma.github.io/Logging_2085/artfynd/A 60787-2024 artfynd.xlsx", "A 60787-2024")</f>
        <v/>
      </c>
      <c r="X1448">
        <f>HYPERLINK("https://klasma.github.io/Logging_2085/kartor/A 60787-2024 karta.png", "A 60787-2024")</f>
        <v/>
      </c>
      <c r="Y1448">
        <f>HYPERLINK("https://klasma.github.io/Logging_2085/kartor_geotiff/A 60787-2024 georefererad karta.tif", "A 60787-2024")</f>
        <v/>
      </c>
      <c r="AA1448">
        <f>HYPERLINK("https://klasma.github.io/Logging_2085/klagomål/A 60787-2024 FSC-klagomål.docx", "A 60787-2024")</f>
        <v/>
      </c>
      <c r="AB1448">
        <f>HYPERLINK("https://klasma.github.io/Logging_2085/klagomålsmail/A 60787-2024 FSC-klagomål mail.docx", "A 60787-2024")</f>
        <v/>
      </c>
      <c r="AC1448">
        <f>HYPERLINK("https://klasma.github.io/Logging_2085/tillsyn/A 60787-2024 tillsynsbegäran.docx", "A 60787-2024")</f>
        <v/>
      </c>
      <c r="AD1448">
        <f>HYPERLINK("https://klasma.github.io/Logging_2085/tillsynsmail/A 60787-2024 tillsynsbegäran mail.docx", "A 60787-2024")</f>
        <v/>
      </c>
      <c r="AE1448">
        <f>HYPERLINK("https://klasma.github.io/Logging_2085/fåglar/A 60787-2024 prioriterade fågelarter.docx", "A 60787-2024")</f>
        <v/>
      </c>
    </row>
    <row r="1449" ht="15" customHeight="1">
      <c r="A1449" t="inlineStr">
        <is>
          <t>A 5764-2026</t>
        </is>
      </c>
      <c r="B1449" t="inlineStr">
        <is>
          <t>avverkningsanmälan</t>
        </is>
      </c>
      <c r="C1449" t="inlineStr">
        <is>
          <t>Föryngringsavverkning</t>
        </is>
      </c>
      <c r="D1449" s="1" t="n">
        <v>46051</v>
      </c>
      <c r="E1449" s="1" t="n">
        <v>46319</v>
      </c>
      <c r="F1449" t="inlineStr">
        <is>
          <t>DALARNAS LÄN</t>
        </is>
      </c>
      <c r="G1449" t="inlineStr">
        <is>
          <t>FALUN</t>
        </is>
      </c>
      <c r="I1449" t="n">
        <v>2.6</v>
      </c>
      <c r="J1449" t="n">
        <v>1</v>
      </c>
      <c r="K1449" t="n">
        <v>0</v>
      </c>
      <c r="L1449" t="n">
        <v>0</v>
      </c>
      <c r="M1449" t="n">
        <v>0</v>
      </c>
      <c r="N1449" t="n">
        <v>0</v>
      </c>
      <c r="O1449" t="n">
        <v>0</v>
      </c>
      <c r="P1449" t="n">
        <v>0</v>
      </c>
      <c r="Q1449" t="n">
        <v>0</v>
      </c>
      <c r="R1449" t="n">
        <v>0</v>
      </c>
      <c r="S1449" t="n">
        <v>1</v>
      </c>
      <c r="T1449" t="n">
        <v>1</v>
      </c>
      <c r="U1449" t="n">
        <v>0</v>
      </c>
      <c r="V1449" s="2" t="inlineStr">
        <is>
          <t>Nattviol</t>
        </is>
      </c>
      <c r="W1449">
        <f>HYPERLINK("https://klasma.github.io/Logging_2080/artfynd/A 5764-2026 artfynd.xlsx", "A 5764-2026")</f>
        <v/>
      </c>
      <c r="X1449">
        <f>HYPERLINK("https://klasma.github.io/Logging_2080/kartor/A 5764-2026 karta.png", "A 5764-2026")</f>
        <v/>
      </c>
      <c r="Y1449">
        <f>HYPERLINK("https://klasma.github.io/Logging_2080/kartor_geotiff/A 5764-2026 georefererad karta.tif", "A 5764-2026")</f>
        <v/>
      </c>
      <c r="AA1449">
        <f>HYPERLINK("https://klasma.github.io/Logging_2080/klagomål/A 5764-2026 FSC-klagomål.docx", "A 5764-2026")</f>
        <v/>
      </c>
      <c r="AB1449">
        <f>HYPERLINK("https://klasma.github.io/Logging_2080/klagomålsmail/A 5764-2026 FSC-klagomål mail.docx", "A 5764-2026")</f>
        <v/>
      </c>
      <c r="AC1449">
        <f>HYPERLINK("https://klasma.github.io/Logging_2080/tillsyn/A 5764-2026 tillsynsbegäran.docx", "A 5764-2026")</f>
        <v/>
      </c>
      <c r="AD1449">
        <f>HYPERLINK("https://klasma.github.io/Logging_2080/tillsynsmail/A 5764-2026 tillsynsbegäran mail.docx", "A 5764-2026")</f>
        <v/>
      </c>
    </row>
    <row r="1450" ht="15" customHeight="1">
      <c r="A1450" t="inlineStr">
        <is>
          <t>A 37634-2026</t>
        </is>
      </c>
      <c r="B1450" t="inlineStr">
        <is>
          <t>avverkningsanmälan</t>
        </is>
      </c>
      <c r="C1450" t="inlineStr">
        <is>
          <t>Föryngringsavverkning</t>
        </is>
      </c>
      <c r="D1450" s="1" t="n">
        <v>46276</v>
      </c>
      <c r="E1450" s="1" t="n">
        <v>46319</v>
      </c>
      <c r="F1450" t="inlineStr">
        <is>
          <t>DALARNAS LÄN</t>
        </is>
      </c>
      <c r="G1450" t="inlineStr">
        <is>
          <t>RÄTTVIK</t>
        </is>
      </c>
      <c r="H1450" t="inlineStr">
        <is>
          <t>Sveaskog</t>
        </is>
      </c>
      <c r="I1450" t="n">
        <v>5.8</v>
      </c>
      <c r="J1450" t="n">
        <v>1</v>
      </c>
      <c r="K1450" t="n">
        <v>0</v>
      </c>
      <c r="L1450" t="n">
        <v>0</v>
      </c>
      <c r="M1450" t="n">
        <v>1</v>
      </c>
      <c r="N1450" t="n">
        <v>0</v>
      </c>
      <c r="O1450" t="n">
        <v>0</v>
      </c>
      <c r="P1450" t="n">
        <v>0</v>
      </c>
      <c r="Q1450" t="n">
        <v>1</v>
      </c>
      <c r="R1450" t="n">
        <v>1</v>
      </c>
      <c r="S1450" t="n">
        <v>1</v>
      </c>
      <c r="T1450" t="n">
        <v>11</v>
      </c>
      <c r="U1450" t="n">
        <v>0</v>
      </c>
      <c r="V1450" s="2" t="inlineStr">
        <is>
          <t>Brun gräsfjäril</t>
        </is>
      </c>
      <c r="W1450">
        <f>HYPERLINK("https://klasma.github.io/Logging_2031/artfynd/A 37634-2026 artfynd.xlsx", "A 37634-2026")</f>
        <v/>
      </c>
      <c r="X1450">
        <f>HYPERLINK("https://klasma.github.io/Logging_2031/kartor/A 37634-2026 karta.png", "A 37634-2026")</f>
        <v/>
      </c>
      <c r="Y1450">
        <f>HYPERLINK("https://klasma.github.io/Logging_2031/kartor_geotiff/A 37634-2026 georefererad karta.tif", "A 37634-2026")</f>
        <v/>
      </c>
      <c r="AA1450">
        <f>HYPERLINK("https://klasma.github.io/Logging_2031/klagomål/A 37634-2026 FSC-klagomål.docx", "A 37634-2026")</f>
        <v/>
      </c>
      <c r="AB1450">
        <f>HYPERLINK("https://klasma.github.io/Logging_2031/klagomålsmail/A 37634-2026 FSC-klagomål mail.docx", "A 37634-2026")</f>
        <v/>
      </c>
      <c r="AC1450">
        <f>HYPERLINK("https://klasma.github.io/Logging_2031/tillsyn/A 37634-2026 tillsynsbegäran.docx", "A 37634-2026")</f>
        <v/>
      </c>
      <c r="AD1450">
        <f>HYPERLINK("https://klasma.github.io/Logging_2031/tillsynsmail/A 37634-2026 tillsynsbegäran mail.docx", "A 37634-2026")</f>
        <v/>
      </c>
    </row>
    <row r="1451" ht="15" customHeight="1">
      <c r="A1451" t="inlineStr">
        <is>
          <t>A 37633-2026</t>
        </is>
      </c>
      <c r="B1451" t="inlineStr">
        <is>
          <t>avverkningsanmälan</t>
        </is>
      </c>
      <c r="C1451" t="inlineStr">
        <is>
          <t>Föryngringsavverkning</t>
        </is>
      </c>
      <c r="D1451" s="1" t="n">
        <v>46276</v>
      </c>
      <c r="E1451" s="1" t="n">
        <v>46319</v>
      </c>
      <c r="F1451" t="inlineStr">
        <is>
          <t>DALARNAS LÄN</t>
        </is>
      </c>
      <c r="G1451" t="inlineStr">
        <is>
          <t>RÄTTVIK</t>
        </is>
      </c>
      <c r="H1451" t="inlineStr">
        <is>
          <t>Sveaskog</t>
        </is>
      </c>
      <c r="I1451" t="n">
        <v>3.6</v>
      </c>
      <c r="J1451" t="n">
        <v>0</v>
      </c>
      <c r="K1451" t="n">
        <v>0</v>
      </c>
      <c r="L1451" t="n">
        <v>1</v>
      </c>
      <c r="M1451" t="n">
        <v>0</v>
      </c>
      <c r="N1451" t="n">
        <v>0</v>
      </c>
      <c r="O1451" t="n">
        <v>0</v>
      </c>
      <c r="P1451" t="n">
        <v>0</v>
      </c>
      <c r="Q1451" t="n">
        <v>1</v>
      </c>
      <c r="R1451" t="n">
        <v>0</v>
      </c>
      <c r="S1451" t="n">
        <v>1</v>
      </c>
      <c r="T1451" t="n">
        <v>1</v>
      </c>
      <c r="U1451" t="n">
        <v>1</v>
      </c>
      <c r="V1451" s="2" t="inlineStr">
        <is>
          <t>Kolflarnlav</t>
        </is>
      </c>
      <c r="W1451">
        <f>HYPERLINK("https://klasma.github.io/Logging_2031/artfynd/A 37633-2026 artfynd.xlsx", "A 37633-2026")</f>
        <v/>
      </c>
      <c r="X1451">
        <f>HYPERLINK("https://klasma.github.io/Logging_2031/kartor/A 37633-2026 karta.png", "A 37633-2026")</f>
        <v/>
      </c>
      <c r="Y1451">
        <f>HYPERLINK("https://klasma.github.io/Logging_2031/kartor_geotiff/A 37633-2026 georefererad karta.tif", "A 37633-2026")</f>
        <v/>
      </c>
      <c r="AA1451">
        <f>HYPERLINK("https://klasma.github.io/Logging_2031/klagomål/A 37633-2026 FSC-klagomål.docx", "A 37633-2026")</f>
        <v/>
      </c>
      <c r="AB1451">
        <f>HYPERLINK("https://klasma.github.io/Logging_2031/klagomålsmail/A 37633-2026 FSC-klagomål mail.docx", "A 37633-2026")</f>
        <v/>
      </c>
      <c r="AC1451">
        <f>HYPERLINK("https://klasma.github.io/Logging_2031/tillsyn/A 37633-2026 tillsynsbegäran.docx", "A 37633-2026")</f>
        <v/>
      </c>
      <c r="AD1451">
        <f>HYPERLINK("https://klasma.github.io/Logging_2031/tillsynsmail/A 37633-2026 tillsynsbegäran mail.docx", "A 37633-2026")</f>
        <v/>
      </c>
    </row>
    <row r="1452" ht="15" customHeight="1">
      <c r="A1452" t="inlineStr">
        <is>
          <t>A 37236-2026</t>
        </is>
      </c>
      <c r="B1452" t="inlineStr">
        <is>
          <t>avverkningsanmälan</t>
        </is>
      </c>
      <c r="C1452" t="inlineStr">
        <is>
          <t>Föryngringsavverkning</t>
        </is>
      </c>
      <c r="D1452" s="1" t="n">
        <v>46274</v>
      </c>
      <c r="E1452" s="1" t="n">
        <v>46319</v>
      </c>
      <c r="F1452" t="inlineStr">
        <is>
          <t>DALARNAS LÄN</t>
        </is>
      </c>
      <c r="G1452" t="inlineStr">
        <is>
          <t>MALUNG-SÄLEN</t>
        </is>
      </c>
      <c r="H1452" t="inlineStr">
        <is>
          <t>Bergvik skog öst AB</t>
        </is>
      </c>
      <c r="I1452" t="n">
        <v>7.1</v>
      </c>
      <c r="J1452" t="n">
        <v>1</v>
      </c>
      <c r="K1452" t="n">
        <v>0</v>
      </c>
      <c r="L1452" t="n">
        <v>0</v>
      </c>
      <c r="M1452" t="n">
        <v>0</v>
      </c>
      <c r="N1452" t="n">
        <v>1</v>
      </c>
      <c r="O1452" t="n">
        <v>0</v>
      </c>
      <c r="P1452" t="n">
        <v>0</v>
      </c>
      <c r="Q1452" t="n">
        <v>1</v>
      </c>
      <c r="R1452" t="n">
        <v>1</v>
      </c>
      <c r="S1452" t="n">
        <v>1</v>
      </c>
      <c r="T1452" t="n">
        <v>1</v>
      </c>
      <c r="U1452" t="n">
        <v>0</v>
      </c>
      <c r="V1452" s="2" t="inlineStr">
        <is>
          <t>Mosippa</t>
        </is>
      </c>
      <c r="W1452">
        <f>HYPERLINK("https://klasma.github.io/Logging_2023/artfynd/A 37236-2026 artfynd.xlsx", "A 37236-2026")</f>
        <v/>
      </c>
      <c r="X1452">
        <f>HYPERLINK("https://klasma.github.io/Logging_2023/kartor/A 37236-2026 karta.png", "A 37236-2026")</f>
        <v/>
      </c>
      <c r="Y1452">
        <f>HYPERLINK("https://klasma.github.io/Logging_2023/kartor_geotiff/A 37236-2026 georefererad karta.tif", "A 37236-2026")</f>
        <v/>
      </c>
      <c r="AA1452">
        <f>HYPERLINK("https://klasma.github.io/Logging_2023/klagomål/A 37236-2026 FSC-klagomål.docx", "A 37236-2026")</f>
        <v/>
      </c>
      <c r="AB1452">
        <f>HYPERLINK("https://klasma.github.io/Logging_2023/klagomålsmail/A 37236-2026 FSC-klagomål mail.docx", "A 37236-2026")</f>
        <v/>
      </c>
      <c r="AC1452">
        <f>HYPERLINK("https://klasma.github.io/Logging_2023/tillsyn/A 37236-2026 tillsynsbegäran.docx", "A 37236-2026")</f>
        <v/>
      </c>
      <c r="AD1452">
        <f>HYPERLINK("https://klasma.github.io/Logging_2023/tillsynsmail/A 37236-2026 tillsynsbegäran mail.docx", "A 37236-2026")</f>
        <v/>
      </c>
    </row>
    <row r="1453" ht="15" customHeight="1">
      <c r="A1453" t="inlineStr">
        <is>
          <t>A 37635-2026</t>
        </is>
      </c>
      <c r="B1453" t="inlineStr">
        <is>
          <t>avverkningsanmälan</t>
        </is>
      </c>
      <c r="C1453" t="inlineStr">
        <is>
          <t>Föryngringsavverkning</t>
        </is>
      </c>
      <c r="D1453" s="1" t="n">
        <v>46276</v>
      </c>
      <c r="E1453" s="1" t="n">
        <v>46319</v>
      </c>
      <c r="F1453" t="inlineStr">
        <is>
          <t>DALARNAS LÄN</t>
        </is>
      </c>
      <c r="G1453" t="inlineStr">
        <is>
          <t>RÄTTVIK</t>
        </is>
      </c>
      <c r="H1453" t="inlineStr">
        <is>
          <t>Sveaskog</t>
        </is>
      </c>
      <c r="I1453" t="n">
        <v>13.9</v>
      </c>
      <c r="J1453" t="n">
        <v>1</v>
      </c>
      <c r="K1453" t="n">
        <v>0</v>
      </c>
      <c r="L1453" t="n">
        <v>0</v>
      </c>
      <c r="M1453" t="n">
        <v>1</v>
      </c>
      <c r="N1453" t="n">
        <v>0</v>
      </c>
      <c r="O1453" t="n">
        <v>0</v>
      </c>
      <c r="P1453" t="n">
        <v>0</v>
      </c>
      <c r="Q1453" t="n">
        <v>1</v>
      </c>
      <c r="R1453" t="n">
        <v>1</v>
      </c>
      <c r="S1453" t="n">
        <v>1</v>
      </c>
      <c r="T1453" t="n">
        <v>24</v>
      </c>
      <c r="U1453" t="n">
        <v>0</v>
      </c>
      <c r="V1453" s="2" t="inlineStr">
        <is>
          <t>Brun gräsfjäril</t>
        </is>
      </c>
      <c r="W1453">
        <f>HYPERLINK("https://klasma.github.io/Logging_2031/artfynd/A 37635-2026 artfynd.xlsx", "A 37635-2026")</f>
        <v/>
      </c>
      <c r="X1453">
        <f>HYPERLINK("https://klasma.github.io/Logging_2031/kartor/A 37635-2026 karta.png", "A 37635-2026")</f>
        <v/>
      </c>
      <c r="Y1453">
        <f>HYPERLINK("https://klasma.github.io/Logging_2031/kartor_geotiff/A 37635-2026 georefererad karta.tif", "A 37635-2026")</f>
        <v/>
      </c>
      <c r="AA1453">
        <f>HYPERLINK("https://klasma.github.io/Logging_2031/klagomål/A 37635-2026 FSC-klagomål.docx", "A 37635-2026")</f>
        <v/>
      </c>
      <c r="AB1453">
        <f>HYPERLINK("https://klasma.github.io/Logging_2031/klagomålsmail/A 37635-2026 FSC-klagomål mail.docx", "A 37635-2026")</f>
        <v/>
      </c>
      <c r="AC1453">
        <f>HYPERLINK("https://klasma.github.io/Logging_2031/tillsyn/A 37635-2026 tillsynsbegäran.docx", "A 37635-2026")</f>
        <v/>
      </c>
      <c r="AD1453">
        <f>HYPERLINK("https://klasma.github.io/Logging_2031/tillsynsmail/A 37635-2026 tillsynsbegäran mail.docx", "A 37635-2026")</f>
        <v/>
      </c>
    </row>
    <row r="1454" ht="15" customHeight="1">
      <c r="A1454" t="inlineStr">
        <is>
          <t>A 20701-2026</t>
        </is>
      </c>
      <c r="B1454" t="inlineStr">
        <is>
          <t>avverkningsanmälan</t>
        </is>
      </c>
      <c r="C1454" t="inlineStr">
        <is>
          <t>Föryngringsavverkning</t>
        </is>
      </c>
      <c r="D1454" s="1" t="n">
        <v>46141</v>
      </c>
      <c r="E1454" s="1" t="n">
        <v>46319</v>
      </c>
      <c r="F1454" t="inlineStr">
        <is>
          <t>DALARNAS LÄN</t>
        </is>
      </c>
      <c r="G1454" t="inlineStr">
        <is>
          <t>FALUN</t>
        </is>
      </c>
      <c r="I1454" t="n">
        <v>1.9</v>
      </c>
      <c r="J1454" t="n">
        <v>1</v>
      </c>
      <c r="K1454" t="n">
        <v>0</v>
      </c>
      <c r="L1454" t="n">
        <v>0</v>
      </c>
      <c r="M1454" t="n">
        <v>0</v>
      </c>
      <c r="N1454" t="n">
        <v>0</v>
      </c>
      <c r="O1454" t="n">
        <v>0</v>
      </c>
      <c r="P1454" t="n">
        <v>0</v>
      </c>
      <c r="Q1454" t="n">
        <v>0</v>
      </c>
      <c r="R1454" t="n">
        <v>0</v>
      </c>
      <c r="S1454" t="n">
        <v>1</v>
      </c>
      <c r="T1454" t="n">
        <v>1</v>
      </c>
      <c r="U1454" t="n">
        <v>0</v>
      </c>
      <c r="V1454" s="2" t="inlineStr">
        <is>
          <t>Grönsiska</t>
        </is>
      </c>
      <c r="W1454">
        <f>HYPERLINK("https://klasma.github.io/Logging_2080/artfynd/A 20701-2026 artfynd.xlsx", "A 20701-2026")</f>
        <v/>
      </c>
      <c r="X1454">
        <f>HYPERLINK("https://klasma.github.io/Logging_2080/kartor/A 20701-2026 karta.png", "A 20701-2026")</f>
        <v/>
      </c>
      <c r="Y1454">
        <f>HYPERLINK("https://klasma.github.io/Logging_2080/kartor_geotiff/A 20701-2026 georefererad karta.tif", "A 20701-2026")</f>
        <v/>
      </c>
      <c r="AA1454">
        <f>HYPERLINK("https://klasma.github.io/Logging_2080/klagomål/A 20701-2026 FSC-klagomål.docx", "A 20701-2026")</f>
        <v/>
      </c>
      <c r="AB1454">
        <f>HYPERLINK("https://klasma.github.io/Logging_2080/klagomålsmail/A 20701-2026 FSC-klagomål mail.docx", "A 20701-2026")</f>
        <v/>
      </c>
      <c r="AC1454">
        <f>HYPERLINK("https://klasma.github.io/Logging_2080/tillsyn/A 20701-2026 tillsynsbegäran.docx", "A 20701-2026")</f>
        <v/>
      </c>
      <c r="AD1454">
        <f>HYPERLINK("https://klasma.github.io/Logging_2080/tillsynsmail/A 20701-2026 tillsynsbegäran mail.docx", "A 20701-2026")</f>
        <v/>
      </c>
    </row>
    <row r="1455" ht="15" customHeight="1">
      <c r="A1455" t="inlineStr">
        <is>
          <t>A 21120-2026</t>
        </is>
      </c>
      <c r="B1455" t="inlineStr">
        <is>
          <t>avverkningsanmälan</t>
        </is>
      </c>
      <c r="C1455" t="inlineStr">
        <is>
          <t>Föryngringsavverkning</t>
        </is>
      </c>
      <c r="D1455" s="1" t="n">
        <v>46146</v>
      </c>
      <c r="E1455" s="1" t="n">
        <v>46319</v>
      </c>
      <c r="F1455" t="inlineStr">
        <is>
          <t>DALARNAS LÄN</t>
        </is>
      </c>
      <c r="G1455" t="inlineStr">
        <is>
          <t>SÄTER</t>
        </is>
      </c>
      <c r="I1455" t="n">
        <v>4.8</v>
      </c>
      <c r="J1455" t="n">
        <v>1</v>
      </c>
      <c r="K1455" t="n">
        <v>0</v>
      </c>
      <c r="L1455" t="n">
        <v>0</v>
      </c>
      <c r="M1455" t="n">
        <v>1</v>
      </c>
      <c r="N1455" t="n">
        <v>0</v>
      </c>
      <c r="O1455" t="n">
        <v>0</v>
      </c>
      <c r="P1455" t="n">
        <v>0</v>
      </c>
      <c r="Q1455" t="n">
        <v>1</v>
      </c>
      <c r="R1455" t="n">
        <v>1</v>
      </c>
      <c r="S1455" t="n">
        <v>1</v>
      </c>
      <c r="T1455" t="n">
        <v>1</v>
      </c>
      <c r="U1455" t="n">
        <v>0</v>
      </c>
      <c r="V1455" s="2" t="inlineStr">
        <is>
          <t>Knärot</t>
        </is>
      </c>
      <c r="W1455">
        <f>HYPERLINK("https://klasma.github.io/Logging_2082/artfynd/A 21120-2026 artfynd.xlsx", "A 21120-2026")</f>
        <v/>
      </c>
      <c r="X1455">
        <f>HYPERLINK("https://klasma.github.io/Logging_2082/kartor/A 21120-2026 karta.png", "A 21120-2026")</f>
        <v/>
      </c>
      <c r="Y1455">
        <f>HYPERLINK("https://klasma.github.io/Logging_2082/kartor_geotiff/A 21120-2026 georefererad karta.tif", "A 21120-2026")</f>
        <v/>
      </c>
      <c r="Z1455">
        <f>HYPERLINK("https://klasma.github.io/Logging_2082/knärot/A 21120-2026 karta knärot.png", "A 21120-2026")</f>
        <v/>
      </c>
      <c r="AA1455">
        <f>HYPERLINK("https://klasma.github.io/Logging_2082/klagomål/A 21120-2026 FSC-klagomål.docx", "A 21120-2026")</f>
        <v/>
      </c>
      <c r="AB1455">
        <f>HYPERLINK("https://klasma.github.io/Logging_2082/klagomålsmail/A 21120-2026 FSC-klagomål mail.docx", "A 21120-2026")</f>
        <v/>
      </c>
      <c r="AC1455">
        <f>HYPERLINK("https://klasma.github.io/Logging_2082/tillsyn/A 21120-2026 tillsynsbegäran.docx", "A 21120-2026")</f>
        <v/>
      </c>
      <c r="AD1455">
        <f>HYPERLINK("https://klasma.github.io/Logging_2082/tillsynsmail/A 21120-2026 tillsynsbegäran mail.docx", "A 21120-2026")</f>
        <v/>
      </c>
    </row>
    <row r="1456" ht="15" customHeight="1">
      <c r="A1456" t="inlineStr">
        <is>
          <t>A 11812-2026</t>
        </is>
      </c>
      <c r="B1456" t="inlineStr">
        <is>
          <t>avverkningsanmälan</t>
        </is>
      </c>
      <c r="C1456" t="inlineStr">
        <is>
          <t>Föryngringsavverkning</t>
        </is>
      </c>
      <c r="D1456" s="1" t="n">
        <v>46085</v>
      </c>
      <c r="E1456" s="1" t="n">
        <v>46319</v>
      </c>
      <c r="F1456" t="inlineStr">
        <is>
          <t>DALARNAS LÄN</t>
        </is>
      </c>
      <c r="G1456" t="inlineStr">
        <is>
          <t>ORSA</t>
        </is>
      </c>
      <c r="H1456" t="inlineStr">
        <is>
          <t>Kyrkan</t>
        </is>
      </c>
      <c r="I1456" t="n">
        <v>2</v>
      </c>
      <c r="J1456" t="n">
        <v>1</v>
      </c>
      <c r="K1456" t="n">
        <v>0</v>
      </c>
      <c r="L1456" t="n">
        <v>0</v>
      </c>
      <c r="M1456" t="n">
        <v>0</v>
      </c>
      <c r="N1456" t="n">
        <v>0</v>
      </c>
      <c r="O1456" t="n">
        <v>0</v>
      </c>
      <c r="P1456" t="n">
        <v>0</v>
      </c>
      <c r="Q1456" t="n">
        <v>0</v>
      </c>
      <c r="R1456" t="n">
        <v>0</v>
      </c>
      <c r="S1456" t="n">
        <v>1</v>
      </c>
      <c r="T1456" t="n">
        <v>4</v>
      </c>
      <c r="U1456" t="n">
        <v>0</v>
      </c>
      <c r="V1456" s="2" t="inlineStr">
        <is>
          <t>Tjäder</t>
        </is>
      </c>
      <c r="W1456">
        <f>HYPERLINK("https://klasma.github.io/Logging_2034/artfynd/A 11812-2026 artfynd.xlsx", "A 11812-2026")</f>
        <v/>
      </c>
      <c r="X1456">
        <f>HYPERLINK("https://klasma.github.io/Logging_2034/kartor/A 11812-2026 karta.png", "A 11812-2026")</f>
        <v/>
      </c>
      <c r="Y1456">
        <f>HYPERLINK("https://klasma.github.io/Logging_2034/kartor_geotiff/A 11812-2026 georefererad karta.tif", "A 11812-2026")</f>
        <v/>
      </c>
      <c r="AA1456">
        <f>HYPERLINK("https://klasma.github.io/Logging_2034/klagomål/A 11812-2026 FSC-klagomål.docx", "A 11812-2026")</f>
        <v/>
      </c>
      <c r="AB1456">
        <f>HYPERLINK("https://klasma.github.io/Logging_2034/klagomålsmail/A 11812-2026 FSC-klagomål mail.docx", "A 11812-2026")</f>
        <v/>
      </c>
      <c r="AC1456">
        <f>HYPERLINK("https://klasma.github.io/Logging_2034/tillsyn/A 11812-2026 tillsynsbegäran.docx", "A 11812-2026")</f>
        <v/>
      </c>
      <c r="AD1456">
        <f>HYPERLINK("https://klasma.github.io/Logging_2034/tillsynsmail/A 11812-2026 tillsynsbegäran mail.docx", "A 11812-2026")</f>
        <v/>
      </c>
      <c r="AE1456">
        <f>HYPERLINK("https://klasma.github.io/Logging_2034/fåglar/A 11812-2026 prioriterade fågelarter.docx", "A 11812-2026")</f>
        <v/>
      </c>
    </row>
    <row r="1457" ht="15" customHeight="1">
      <c r="A1457" t="inlineStr">
        <is>
          <t>A 15274-2026</t>
        </is>
      </c>
      <c r="B1457" t="inlineStr">
        <is>
          <t>avverkningsanmälan</t>
        </is>
      </c>
      <c r="C1457" t="inlineStr">
        <is>
          <t>Föryngringsavverkning</t>
        </is>
      </c>
      <c r="D1457" s="1" t="n">
        <v>46105</v>
      </c>
      <c r="E1457" s="1" t="n">
        <v>46319</v>
      </c>
      <c r="F1457" t="inlineStr">
        <is>
          <t>DALARNAS LÄN</t>
        </is>
      </c>
      <c r="G1457" t="inlineStr">
        <is>
          <t>HEDEMORA</t>
        </is>
      </c>
      <c r="H1457" t="inlineStr">
        <is>
          <t>Övriga Aktiebolag</t>
        </is>
      </c>
      <c r="I1457" t="n">
        <v>1.9</v>
      </c>
      <c r="J1457" t="n">
        <v>0</v>
      </c>
      <c r="K1457" t="n">
        <v>0</v>
      </c>
      <c r="L1457" t="n">
        <v>1</v>
      </c>
      <c r="M1457" t="n">
        <v>0</v>
      </c>
      <c r="N1457" t="n">
        <v>0</v>
      </c>
      <c r="O1457" t="n">
        <v>0</v>
      </c>
      <c r="P1457" t="n">
        <v>0</v>
      </c>
      <c r="Q1457" t="n">
        <v>1</v>
      </c>
      <c r="R1457" t="n">
        <v>0</v>
      </c>
      <c r="S1457" t="n">
        <v>1</v>
      </c>
      <c r="T1457" t="n">
        <v>1</v>
      </c>
      <c r="U1457" t="n">
        <v>1</v>
      </c>
      <c r="V1457" s="2" t="inlineStr">
        <is>
          <t>Ullticka</t>
        </is>
      </c>
      <c r="W1457">
        <f>HYPERLINK("https://klasma.github.io/Logging_2083/artfynd/A 15274-2026 artfynd.xlsx", "A 15274-2026")</f>
        <v/>
      </c>
      <c r="X1457">
        <f>HYPERLINK("https://klasma.github.io/Logging_2083/kartor/A 15274-2026 karta.png", "A 15274-2026")</f>
        <v/>
      </c>
      <c r="Y1457">
        <f>HYPERLINK("https://klasma.github.io/Logging_2083/kartor_geotiff/A 15274-2026 georefererad karta.tif", "A 15274-2026")</f>
        <v/>
      </c>
      <c r="AA1457">
        <f>HYPERLINK("https://klasma.github.io/Logging_2083/klagomål/A 15274-2026 FSC-klagomål.docx", "A 15274-2026")</f>
        <v/>
      </c>
      <c r="AB1457">
        <f>HYPERLINK("https://klasma.github.io/Logging_2083/klagomålsmail/A 15274-2026 FSC-klagomål mail.docx", "A 15274-2026")</f>
        <v/>
      </c>
      <c r="AC1457">
        <f>HYPERLINK("https://klasma.github.io/Logging_2083/tillsyn/A 15274-2026 tillsynsbegäran.docx", "A 15274-2026")</f>
        <v/>
      </c>
      <c r="AD1457">
        <f>HYPERLINK("https://klasma.github.io/Logging_2083/tillsynsmail/A 15274-2026 tillsynsbegäran mail.docx", "A 15274-2026")</f>
        <v/>
      </c>
    </row>
    <row r="1458" ht="15" customHeight="1">
      <c r="A1458" t="inlineStr">
        <is>
          <t>A 21111-2026</t>
        </is>
      </c>
      <c r="B1458" t="inlineStr">
        <is>
          <t>avverkningsanmälan</t>
        </is>
      </c>
      <c r="C1458" t="inlineStr">
        <is>
          <t>Föryngringsavverkning</t>
        </is>
      </c>
      <c r="D1458" s="1" t="n">
        <v>46146</v>
      </c>
      <c r="E1458" s="1" t="n">
        <v>46319</v>
      </c>
      <c r="F1458" t="inlineStr">
        <is>
          <t>DALARNAS LÄN</t>
        </is>
      </c>
      <c r="G1458" t="inlineStr">
        <is>
          <t>SÄTER</t>
        </is>
      </c>
      <c r="I1458" t="n">
        <v>4.6</v>
      </c>
      <c r="J1458" t="n">
        <v>0</v>
      </c>
      <c r="K1458" t="n">
        <v>0</v>
      </c>
      <c r="L1458" t="n">
        <v>1</v>
      </c>
      <c r="M1458" t="n">
        <v>0</v>
      </c>
      <c r="N1458" t="n">
        <v>0</v>
      </c>
      <c r="O1458" t="n">
        <v>0</v>
      </c>
      <c r="P1458" t="n">
        <v>0</v>
      </c>
      <c r="Q1458" t="n">
        <v>1</v>
      </c>
      <c r="R1458" t="n">
        <v>0</v>
      </c>
      <c r="S1458" t="n">
        <v>1</v>
      </c>
      <c r="T1458" t="n">
        <v>2</v>
      </c>
      <c r="U1458" t="n">
        <v>0</v>
      </c>
      <c r="V1458" s="2" t="inlineStr">
        <is>
          <t>Fjällig taggsvamp s.str.</t>
        </is>
      </c>
      <c r="W1458">
        <f>HYPERLINK("https://klasma.github.io/Logging_2082/artfynd/A 21111-2026 artfynd.xlsx", "A 21111-2026")</f>
        <v/>
      </c>
      <c r="X1458">
        <f>HYPERLINK("https://klasma.github.io/Logging_2082/kartor/A 21111-2026 karta.png", "A 21111-2026")</f>
        <v/>
      </c>
      <c r="Y1458">
        <f>HYPERLINK("https://klasma.github.io/Logging_2082/kartor_geotiff/A 21111-2026 georefererad karta.tif", "A 21111-2026")</f>
        <v/>
      </c>
      <c r="AA1458">
        <f>HYPERLINK("https://klasma.github.io/Logging_2082/klagomål/A 21111-2026 FSC-klagomål.docx", "A 21111-2026")</f>
        <v/>
      </c>
      <c r="AB1458">
        <f>HYPERLINK("https://klasma.github.io/Logging_2082/klagomålsmail/A 21111-2026 FSC-klagomål mail.docx", "A 21111-2026")</f>
        <v/>
      </c>
      <c r="AC1458">
        <f>HYPERLINK("https://klasma.github.io/Logging_2082/tillsyn/A 21111-2026 tillsynsbegäran.docx", "A 21111-2026")</f>
        <v/>
      </c>
      <c r="AD1458">
        <f>HYPERLINK("https://klasma.github.io/Logging_2082/tillsynsmail/A 21111-2026 tillsynsbegäran mail.docx", "A 21111-2026")</f>
        <v/>
      </c>
    </row>
    <row r="1459" ht="15" customHeight="1">
      <c r="A1459" t="inlineStr">
        <is>
          <t>A 30870-2024</t>
        </is>
      </c>
      <c r="B1459" t="inlineStr">
        <is>
          <t>avverkningsanmälan</t>
        </is>
      </c>
      <c r="C1459" t="inlineStr">
        <is>
          <t>Föryngringsavverkning</t>
        </is>
      </c>
      <c r="D1459" s="1" t="n">
        <v>45497</v>
      </c>
      <c r="E1459" s="1" t="n">
        <v>46319</v>
      </c>
      <c r="F1459" t="inlineStr">
        <is>
          <t>DALARNAS LÄN</t>
        </is>
      </c>
      <c r="G1459" t="inlineStr">
        <is>
          <t>BORLÄNGE</t>
        </is>
      </c>
      <c r="I1459" t="n">
        <v>1.8</v>
      </c>
      <c r="J1459" t="n">
        <v>1</v>
      </c>
      <c r="K1459" t="n">
        <v>0</v>
      </c>
      <c r="L1459" t="n">
        <v>0</v>
      </c>
      <c r="M1459" t="n">
        <v>1</v>
      </c>
      <c r="N1459" t="n">
        <v>0</v>
      </c>
      <c r="O1459" t="n">
        <v>0</v>
      </c>
      <c r="P1459" t="n">
        <v>0</v>
      </c>
      <c r="Q1459" t="n">
        <v>1</v>
      </c>
      <c r="R1459" t="n">
        <v>1</v>
      </c>
      <c r="S1459" t="n">
        <v>1</v>
      </c>
      <c r="T1459" t="n">
        <v>3</v>
      </c>
      <c r="U1459" t="n">
        <v>0</v>
      </c>
      <c r="V1459" s="2" t="inlineStr">
        <is>
          <t>Knärot</t>
        </is>
      </c>
      <c r="W1459">
        <f>HYPERLINK("https://klasma.github.io/Logging_2081/artfynd/A 30870-2024 artfynd.xlsx", "A 30870-2024")</f>
        <v/>
      </c>
      <c r="X1459">
        <f>HYPERLINK("https://klasma.github.io/Logging_2081/kartor/A 30870-2024 karta.png", "A 30870-2024")</f>
        <v/>
      </c>
      <c r="Y1459">
        <f>HYPERLINK("https://klasma.github.io/Logging_2081/kartor_geotiff/A 30870-2024 georefererad karta.tif", "A 30870-2024")</f>
        <v/>
      </c>
      <c r="Z1459">
        <f>HYPERLINK("https://klasma.github.io/Logging_2081/knärot/A 30870-2024 karta knärot.png", "A 30870-2024")</f>
        <v/>
      </c>
      <c r="AA1459">
        <f>HYPERLINK("https://klasma.github.io/Logging_2081/klagomål/A 30870-2024 FSC-klagomål.docx", "A 30870-2024")</f>
        <v/>
      </c>
      <c r="AB1459">
        <f>HYPERLINK("https://klasma.github.io/Logging_2081/klagomålsmail/A 30870-2024 FSC-klagomål mail.docx", "A 30870-2024")</f>
        <v/>
      </c>
      <c r="AC1459">
        <f>HYPERLINK("https://klasma.github.io/Logging_2081/tillsyn/A 30870-2024 tillsynsbegäran.docx", "A 30870-2024")</f>
        <v/>
      </c>
      <c r="AD1459">
        <f>HYPERLINK("https://klasma.github.io/Logging_2081/tillsynsmail/A 30870-2024 tillsynsbegäran mail.docx", "A 30870-2024")</f>
        <v/>
      </c>
    </row>
    <row r="1460" ht="15" customHeight="1">
      <c r="A1460" t="inlineStr">
        <is>
          <t>A 45577-2024</t>
        </is>
      </c>
      <c r="B1460" t="inlineStr">
        <is>
          <t>avverkningsanmälan</t>
        </is>
      </c>
      <c r="C1460" t="inlineStr">
        <is>
          <t>Föryngringsavverkning</t>
        </is>
      </c>
      <c r="D1460" s="1" t="n">
        <v>45579</v>
      </c>
      <c r="E1460" s="1" t="n">
        <v>46319</v>
      </c>
      <c r="F1460" t="inlineStr">
        <is>
          <t>DALARNAS LÄN</t>
        </is>
      </c>
      <c r="G1460" t="inlineStr">
        <is>
          <t>SMEDJEBACKEN</t>
        </is>
      </c>
      <c r="H1460" t="inlineStr">
        <is>
          <t>Sveaskog</t>
        </is>
      </c>
      <c r="I1460" t="n">
        <v>18.6</v>
      </c>
      <c r="J1460" t="n">
        <v>1</v>
      </c>
      <c r="K1460" t="n">
        <v>0</v>
      </c>
      <c r="L1460" t="n">
        <v>0</v>
      </c>
      <c r="M1460" t="n">
        <v>0</v>
      </c>
      <c r="N1460" t="n">
        <v>0</v>
      </c>
      <c r="O1460" t="n">
        <v>0</v>
      </c>
      <c r="P1460" t="n">
        <v>0</v>
      </c>
      <c r="Q1460" t="n">
        <v>0</v>
      </c>
      <c r="R1460" t="n">
        <v>0</v>
      </c>
      <c r="S1460" t="n">
        <v>1</v>
      </c>
      <c r="T1460" t="n">
        <v>1</v>
      </c>
      <c r="U1460" t="n">
        <v>1</v>
      </c>
      <c r="V1460" s="2" t="inlineStr">
        <is>
          <t>Tjäder</t>
        </is>
      </c>
      <c r="W1460">
        <f>HYPERLINK("https://klasma.github.io/Logging_2061/artfynd/A 45577-2024 artfynd.xlsx", "A 45577-2024")</f>
        <v/>
      </c>
      <c r="X1460">
        <f>HYPERLINK("https://klasma.github.io/Logging_2061/kartor/A 45577-2024 karta.png", "A 45577-2024")</f>
        <v/>
      </c>
      <c r="Y1460">
        <f>HYPERLINK("https://klasma.github.io/Logging_2061/kartor_geotiff/A 45577-2024 georefererad karta.tif", "A 45577-2024")</f>
        <v/>
      </c>
      <c r="AA1460">
        <f>HYPERLINK("https://klasma.github.io/Logging_2061/klagomål/A 45577-2024 FSC-klagomål.docx", "A 45577-2024")</f>
        <v/>
      </c>
      <c r="AB1460">
        <f>HYPERLINK("https://klasma.github.io/Logging_2061/klagomålsmail/A 45577-2024 FSC-klagomål mail.docx", "A 45577-2024")</f>
        <v/>
      </c>
      <c r="AC1460">
        <f>HYPERLINK("https://klasma.github.io/Logging_2061/tillsyn/A 45577-2024 tillsynsbegäran.docx", "A 45577-2024")</f>
        <v/>
      </c>
      <c r="AD1460">
        <f>HYPERLINK("https://klasma.github.io/Logging_2061/tillsynsmail/A 45577-2024 tillsynsbegäran mail.docx", "A 45577-2024")</f>
        <v/>
      </c>
      <c r="AE1460">
        <f>HYPERLINK("https://klasma.github.io/Logging_2061/fåglar/A 45577-2024 prioriterade fågelarter.docx", "A 45577-2024")</f>
        <v/>
      </c>
    </row>
    <row r="1461" ht="15" customHeight="1">
      <c r="A1461" t="inlineStr">
        <is>
          <t>A 21477-2026</t>
        </is>
      </c>
      <c r="B1461" t="inlineStr">
        <is>
          <t>avverkningsanmälan</t>
        </is>
      </c>
      <c r="C1461" t="inlineStr">
        <is>
          <t>Föryngringsavverkning</t>
        </is>
      </c>
      <c r="D1461" s="1" t="n">
        <v>46148</v>
      </c>
      <c r="E1461" s="1" t="n">
        <v>46319</v>
      </c>
      <c r="F1461" t="inlineStr">
        <is>
          <t>DALARNAS LÄN</t>
        </is>
      </c>
      <c r="G1461" t="inlineStr">
        <is>
          <t>ORSA</t>
        </is>
      </c>
      <c r="I1461" t="n">
        <v>17.1</v>
      </c>
      <c r="J1461" t="n">
        <v>0</v>
      </c>
      <c r="K1461" t="n">
        <v>0</v>
      </c>
      <c r="L1461" t="n">
        <v>0</v>
      </c>
      <c r="M1461" t="n">
        <v>1</v>
      </c>
      <c r="N1461" t="n">
        <v>0</v>
      </c>
      <c r="O1461" t="n">
        <v>0</v>
      </c>
      <c r="P1461" t="n">
        <v>0</v>
      </c>
      <c r="Q1461" t="n">
        <v>1</v>
      </c>
      <c r="R1461" t="n">
        <v>1</v>
      </c>
      <c r="S1461" t="n">
        <v>1</v>
      </c>
      <c r="T1461" t="n">
        <v>6</v>
      </c>
      <c r="U1461" t="n">
        <v>0</v>
      </c>
      <c r="V1461" s="2" t="inlineStr">
        <is>
          <t>Garnlav</t>
        </is>
      </c>
      <c r="W1461">
        <f>HYPERLINK("https://klasma.github.io/Logging_2034/artfynd/A 21477-2026 artfynd.xlsx", "A 21477-2026")</f>
        <v/>
      </c>
      <c r="X1461">
        <f>HYPERLINK("https://klasma.github.io/Logging_2034/kartor/A 21477-2026 karta.png", "A 21477-2026")</f>
        <v/>
      </c>
      <c r="Y1461">
        <f>HYPERLINK("https://klasma.github.io/Logging_2034/kartor_geotiff/A 21477-2026 georefererad karta.tif", "A 21477-2026")</f>
        <v/>
      </c>
      <c r="AA1461">
        <f>HYPERLINK("https://klasma.github.io/Logging_2034/klagomål/A 21477-2026 FSC-klagomål.docx", "A 21477-2026")</f>
        <v/>
      </c>
      <c r="AB1461">
        <f>HYPERLINK("https://klasma.github.io/Logging_2034/klagomålsmail/A 21477-2026 FSC-klagomål mail.docx", "A 21477-2026")</f>
        <v/>
      </c>
      <c r="AC1461">
        <f>HYPERLINK("https://klasma.github.io/Logging_2034/tillsyn/A 21477-2026 tillsynsbegäran.docx", "A 21477-2026")</f>
        <v/>
      </c>
      <c r="AD1461">
        <f>HYPERLINK("https://klasma.github.io/Logging_2034/tillsynsmail/A 21477-2026 tillsynsbegäran mail.docx", "A 21477-2026")</f>
        <v/>
      </c>
    </row>
    <row r="1462" ht="15" customHeight="1">
      <c r="A1462" t="inlineStr">
        <is>
          <t>A 29157-2022</t>
        </is>
      </c>
      <c r="B1462" t="inlineStr">
        <is>
          <t>avverkningsanmälan</t>
        </is>
      </c>
      <c r="C1462" t="inlineStr">
        <is>
          <t>Avverkning för att bevara och utveckla /försöksver</t>
        </is>
      </c>
      <c r="D1462" s="1" t="n">
        <v>44750</v>
      </c>
      <c r="E1462" s="1" t="n">
        <v>46319</v>
      </c>
      <c r="F1462" t="inlineStr">
        <is>
          <t>DALARNAS LÄN</t>
        </is>
      </c>
      <c r="G1462" t="inlineStr">
        <is>
          <t>LEKSAND</t>
        </is>
      </c>
      <c r="H1462" t="inlineStr">
        <is>
          <t>Bergvik skog väst AB</t>
        </is>
      </c>
      <c r="I1462" t="n">
        <v>2.7</v>
      </c>
      <c r="J1462" t="n">
        <v>1</v>
      </c>
      <c r="K1462" t="n">
        <v>0</v>
      </c>
      <c r="L1462" t="n">
        <v>1</v>
      </c>
      <c r="M1462" t="n">
        <v>0</v>
      </c>
      <c r="N1462" t="n">
        <v>0</v>
      </c>
      <c r="O1462" t="n">
        <v>0</v>
      </c>
      <c r="P1462" t="n">
        <v>0</v>
      </c>
      <c r="Q1462" t="n">
        <v>1</v>
      </c>
      <c r="R1462" t="n">
        <v>0</v>
      </c>
      <c r="S1462" t="n">
        <v>1</v>
      </c>
      <c r="T1462" t="n">
        <v>1</v>
      </c>
      <c r="U1462" t="n">
        <v>1</v>
      </c>
      <c r="V1462" s="2" t="inlineStr">
        <is>
          <t>Tretåig hackspett</t>
        </is>
      </c>
      <c r="W1462">
        <f>HYPERLINK("https://klasma.github.io/Logging_2029/artfynd/A 29157-2022 artfynd.xlsx", "A 29157-2022")</f>
        <v/>
      </c>
      <c r="X1462">
        <f>HYPERLINK("https://klasma.github.io/Logging_2029/kartor/A 29157-2022 karta.png", "A 29157-2022")</f>
        <v/>
      </c>
      <c r="Y1462">
        <f>HYPERLINK("https://klasma.github.io/Logging_2029/kartor_geotiff/A 29157-2022 georefererad karta.tif", "A 29157-2022")</f>
        <v/>
      </c>
      <c r="AA1462">
        <f>HYPERLINK("https://klasma.github.io/Logging_2029/klagomål/A 29157-2022 FSC-klagomål.docx", "A 29157-2022")</f>
        <v/>
      </c>
      <c r="AB1462">
        <f>HYPERLINK("https://klasma.github.io/Logging_2029/klagomålsmail/A 29157-2022 FSC-klagomål mail.docx", "A 29157-2022")</f>
        <v/>
      </c>
      <c r="AC1462">
        <f>HYPERLINK("https://klasma.github.io/Logging_2029/tillsyn/A 29157-2022 tillsynsbegäran.docx", "A 29157-2022")</f>
        <v/>
      </c>
      <c r="AD1462">
        <f>HYPERLINK("https://klasma.github.io/Logging_2029/tillsynsmail/A 29157-2022 tillsynsbegäran mail.docx", "A 29157-2022")</f>
        <v/>
      </c>
      <c r="AE1462">
        <f>HYPERLINK("https://klasma.github.io/Logging_2029/fåglar/A 29157-2022 prioriterade fågelarter.docx", "A 29157-2022")</f>
        <v/>
      </c>
    </row>
    <row r="1463" ht="15" customHeight="1">
      <c r="A1463" t="inlineStr">
        <is>
          <t>A 18687-2024</t>
        </is>
      </c>
      <c r="B1463" t="inlineStr">
        <is>
          <t>avverkningsanmälan</t>
        </is>
      </c>
      <c r="C1463" t="inlineStr">
        <is>
          <t>Föryngringsavverkning</t>
        </is>
      </c>
      <c r="D1463" s="1" t="n">
        <v>45426</v>
      </c>
      <c r="E1463" s="1" t="n">
        <v>46319</v>
      </c>
      <c r="F1463" t="inlineStr">
        <is>
          <t>DALARNAS LÄN</t>
        </is>
      </c>
      <c r="G1463" t="inlineStr">
        <is>
          <t>RÄTTVIK</t>
        </is>
      </c>
      <c r="I1463" t="n">
        <v>2</v>
      </c>
      <c r="J1463" t="n">
        <v>0</v>
      </c>
      <c r="K1463" t="n">
        <v>0</v>
      </c>
      <c r="L1463" t="n">
        <v>1</v>
      </c>
      <c r="M1463" t="n">
        <v>0</v>
      </c>
      <c r="N1463" t="n">
        <v>0</v>
      </c>
      <c r="O1463" t="n">
        <v>0</v>
      </c>
      <c r="P1463" t="n">
        <v>0</v>
      </c>
      <c r="Q1463" t="n">
        <v>1</v>
      </c>
      <c r="R1463" t="n">
        <v>0</v>
      </c>
      <c r="S1463" t="n">
        <v>1</v>
      </c>
      <c r="T1463" t="n">
        <v>1</v>
      </c>
      <c r="U1463" t="n">
        <v>1</v>
      </c>
      <c r="V1463" s="2" t="inlineStr">
        <is>
          <t>Vitgrynig nållav</t>
        </is>
      </c>
      <c r="W1463">
        <f>HYPERLINK("https://klasma.github.io/Logging_2031/artfynd/A 18687-2024 artfynd.xlsx", "A 18687-2024")</f>
        <v/>
      </c>
      <c r="X1463">
        <f>HYPERLINK("https://klasma.github.io/Logging_2031/kartor/A 18687-2024 karta.png", "A 18687-2024")</f>
        <v/>
      </c>
      <c r="Y1463">
        <f>HYPERLINK("https://klasma.github.io/Logging_2031/kartor_geotiff/A 18687-2024 georefererad karta.tif", "A 18687-2024")</f>
        <v/>
      </c>
      <c r="AA1463">
        <f>HYPERLINK("https://klasma.github.io/Logging_2031/klagomål/A 18687-2024 FSC-klagomål.docx", "A 18687-2024")</f>
        <v/>
      </c>
      <c r="AB1463">
        <f>HYPERLINK("https://klasma.github.io/Logging_2031/klagomålsmail/A 18687-2024 FSC-klagomål mail.docx", "A 18687-2024")</f>
        <v/>
      </c>
      <c r="AC1463">
        <f>HYPERLINK("https://klasma.github.io/Logging_2031/tillsyn/A 18687-2024 tillsynsbegäran.docx", "A 18687-2024")</f>
        <v/>
      </c>
      <c r="AD1463">
        <f>HYPERLINK("https://klasma.github.io/Logging_2031/tillsynsmail/A 18687-2024 tillsynsbegäran mail.docx", "A 18687-2024")</f>
        <v/>
      </c>
    </row>
    <row r="1464" ht="15" customHeight="1">
      <c r="A1464" t="inlineStr">
        <is>
          <t>A 3651-2024</t>
        </is>
      </c>
      <c r="B1464" t="inlineStr">
        <is>
          <t>avverkningsanmälan</t>
        </is>
      </c>
      <c r="C1464" t="inlineStr">
        <is>
          <t>Föryngringsavverkning</t>
        </is>
      </c>
      <c r="D1464" s="1" t="n">
        <v>45321</v>
      </c>
      <c r="E1464" s="1" t="n">
        <v>46319</v>
      </c>
      <c r="F1464" t="inlineStr">
        <is>
          <t>DALARNAS LÄN</t>
        </is>
      </c>
      <c r="G1464" t="inlineStr">
        <is>
          <t>RÄTTVIK</t>
        </is>
      </c>
      <c r="I1464" t="n">
        <v>1</v>
      </c>
      <c r="J1464" t="n">
        <v>1</v>
      </c>
      <c r="K1464" t="n">
        <v>1</v>
      </c>
      <c r="L1464" t="n">
        <v>0</v>
      </c>
      <c r="M1464" t="n">
        <v>0</v>
      </c>
      <c r="N1464" t="n">
        <v>0</v>
      </c>
      <c r="O1464" t="n">
        <v>0</v>
      </c>
      <c r="P1464" t="n">
        <v>0</v>
      </c>
      <c r="Q1464" t="n">
        <v>0</v>
      </c>
      <c r="R1464" t="n">
        <v>0</v>
      </c>
      <c r="S1464" t="n">
        <v>1</v>
      </c>
      <c r="T1464" t="n">
        <v>1</v>
      </c>
      <c r="U1464" t="n">
        <v>1</v>
      </c>
      <c r="V1464" s="2" t="inlineStr">
        <is>
          <t>Tvåblad</t>
        </is>
      </c>
      <c r="W1464">
        <f>HYPERLINK("https://klasma.github.io/Logging_2031/artfynd/A 3651-2024 artfynd.xlsx", "A 3651-2024")</f>
        <v/>
      </c>
      <c r="X1464">
        <f>HYPERLINK("https://klasma.github.io/Logging_2031/kartor/A 3651-2024 karta.png", "A 3651-2024")</f>
        <v/>
      </c>
      <c r="Y1464">
        <f>HYPERLINK("https://klasma.github.io/Logging_2031/kartor_geotiff/A 3651-2024 georefererad karta.tif", "A 3651-2024")</f>
        <v/>
      </c>
      <c r="AA1464">
        <f>HYPERLINK("https://klasma.github.io/Logging_2031/klagomål/A 3651-2024 FSC-klagomål.docx", "A 3651-2024")</f>
        <v/>
      </c>
      <c r="AB1464">
        <f>HYPERLINK("https://klasma.github.io/Logging_2031/klagomålsmail/A 3651-2024 FSC-klagomål mail.docx", "A 3651-2024")</f>
        <v/>
      </c>
      <c r="AC1464">
        <f>HYPERLINK("https://klasma.github.io/Logging_2031/tillsyn/A 3651-2024 tillsynsbegäran.docx", "A 3651-2024")</f>
        <v/>
      </c>
      <c r="AD1464">
        <f>HYPERLINK("https://klasma.github.io/Logging_2031/tillsynsmail/A 3651-2024 tillsynsbegäran mail.docx", "A 3651-2024")</f>
        <v/>
      </c>
    </row>
    <row r="1465" ht="15" customHeight="1">
      <c r="A1465" t="inlineStr">
        <is>
          <t>A 26850-2023</t>
        </is>
      </c>
      <c r="B1465" t="inlineStr">
        <is>
          <t>avverkningsanmälan</t>
        </is>
      </c>
      <c r="C1465" t="inlineStr">
        <is>
          <t>Föryngringsavverkning</t>
        </is>
      </c>
      <c r="D1465" s="1" t="n">
        <v>45093</v>
      </c>
      <c r="E1465" s="1" t="n">
        <v>46319</v>
      </c>
      <c r="F1465" t="inlineStr">
        <is>
          <t>DALARNAS LÄN</t>
        </is>
      </c>
      <c r="G1465" t="inlineStr">
        <is>
          <t>LUDVIKA</t>
        </is>
      </c>
      <c r="H1465" t="inlineStr">
        <is>
          <t>Naturvårdsverket</t>
        </is>
      </c>
      <c r="I1465" t="n">
        <v>2.7</v>
      </c>
      <c r="J1465" t="n">
        <v>0</v>
      </c>
      <c r="K1465" t="n">
        <v>0</v>
      </c>
      <c r="L1465" t="n">
        <v>1</v>
      </c>
      <c r="M1465" t="n">
        <v>0</v>
      </c>
      <c r="N1465" t="n">
        <v>0</v>
      </c>
      <c r="O1465" t="n">
        <v>0</v>
      </c>
      <c r="P1465" t="n">
        <v>0</v>
      </c>
      <c r="Q1465" t="n">
        <v>1</v>
      </c>
      <c r="R1465" t="n">
        <v>0</v>
      </c>
      <c r="S1465" t="n">
        <v>1</v>
      </c>
      <c r="T1465" t="n">
        <v>1</v>
      </c>
      <c r="U1465" t="n">
        <v>0</v>
      </c>
      <c r="V1465" s="2" t="inlineStr">
        <is>
          <t>Motaggsvamp</t>
        </is>
      </c>
      <c r="W1465">
        <f>HYPERLINK("https://klasma.github.io/Logging_2085/artfynd/A 26850-2023 artfynd.xlsx", "A 26850-2023")</f>
        <v/>
      </c>
      <c r="X1465">
        <f>HYPERLINK("https://klasma.github.io/Logging_2085/kartor/A 26850-2023 karta.png", "A 26850-2023")</f>
        <v/>
      </c>
      <c r="Y1465">
        <f>HYPERLINK("https://klasma.github.io/Logging_2085/kartor_geotiff/A 26850-2023 georefererad karta.tif", "A 26850-2023")</f>
        <v/>
      </c>
      <c r="AA1465">
        <f>HYPERLINK("https://klasma.github.io/Logging_2085/klagomål/A 26850-2023 FSC-klagomål.docx", "A 26850-2023")</f>
        <v/>
      </c>
      <c r="AB1465">
        <f>HYPERLINK("https://klasma.github.io/Logging_2085/klagomålsmail/A 26850-2023 FSC-klagomål mail.docx", "A 26850-2023")</f>
        <v/>
      </c>
      <c r="AC1465">
        <f>HYPERLINK("https://klasma.github.io/Logging_2085/tillsyn/A 26850-2023 tillsynsbegäran.docx", "A 26850-2023")</f>
        <v/>
      </c>
      <c r="AD1465">
        <f>HYPERLINK("https://klasma.github.io/Logging_2085/tillsynsmail/A 26850-2023 tillsynsbegäran mail.docx", "A 26850-2023")</f>
        <v/>
      </c>
    </row>
    <row r="1466" ht="15" customHeight="1">
      <c r="A1466" t="inlineStr">
        <is>
          <t>A 57669-2022</t>
        </is>
      </c>
      <c r="B1466" t="inlineStr">
        <is>
          <t>avverkningsanmälan</t>
        </is>
      </c>
      <c r="C1466" t="inlineStr">
        <is>
          <t>Föryngringsavverkning</t>
        </is>
      </c>
      <c r="D1466" s="1" t="n">
        <v>44897</v>
      </c>
      <c r="E1466" s="1" t="n">
        <v>46319</v>
      </c>
      <c r="F1466" t="inlineStr">
        <is>
          <t>DALARNAS LÄN</t>
        </is>
      </c>
      <c r="G1466" t="inlineStr">
        <is>
          <t>MORA</t>
        </is>
      </c>
      <c r="I1466" t="n">
        <v>4.1</v>
      </c>
      <c r="J1466" t="n">
        <v>0</v>
      </c>
      <c r="K1466" t="n">
        <v>0</v>
      </c>
      <c r="L1466" t="n">
        <v>0</v>
      </c>
      <c r="M1466" t="n">
        <v>1</v>
      </c>
      <c r="N1466" t="n">
        <v>0</v>
      </c>
      <c r="O1466" t="n">
        <v>0</v>
      </c>
      <c r="P1466" t="n">
        <v>0</v>
      </c>
      <c r="Q1466" t="n">
        <v>1</v>
      </c>
      <c r="R1466" t="n">
        <v>1</v>
      </c>
      <c r="S1466" t="n">
        <v>1</v>
      </c>
      <c r="T1466" t="n">
        <v>1</v>
      </c>
      <c r="U1466" t="n">
        <v>1</v>
      </c>
      <c r="V1466" s="2" t="inlineStr">
        <is>
          <t>Igelkott</t>
        </is>
      </c>
      <c r="W1466">
        <f>HYPERLINK("https://klasma.github.io/Logging_2062/artfynd/A 57669-2022 artfynd.xlsx", "A 57669-2022")</f>
        <v/>
      </c>
      <c r="X1466">
        <f>HYPERLINK("https://klasma.github.io/Logging_2062/kartor/A 57669-2022 karta.png", "A 57669-2022")</f>
        <v/>
      </c>
      <c r="Y1466">
        <f>HYPERLINK("https://klasma.github.io/Logging_2062/kartor_geotiff/A 57669-2022 georefererad karta.tif", "A 57669-2022")</f>
        <v/>
      </c>
      <c r="AA1466">
        <f>HYPERLINK("https://klasma.github.io/Logging_2062/klagomål/A 57669-2022 FSC-klagomål.docx", "A 57669-2022")</f>
        <v/>
      </c>
      <c r="AB1466">
        <f>HYPERLINK("https://klasma.github.io/Logging_2062/klagomålsmail/A 57669-2022 FSC-klagomål mail.docx", "A 57669-2022")</f>
        <v/>
      </c>
      <c r="AC1466">
        <f>HYPERLINK("https://klasma.github.io/Logging_2062/tillsyn/A 57669-2022 tillsynsbegäran.docx", "A 57669-2022")</f>
        <v/>
      </c>
      <c r="AD1466">
        <f>HYPERLINK("https://klasma.github.io/Logging_2062/tillsynsmail/A 57669-2022 tillsynsbegäran mail.docx", "A 57669-2022")</f>
        <v/>
      </c>
    </row>
    <row r="1467" ht="15" customHeight="1">
      <c r="A1467" t="inlineStr">
        <is>
          <t>A 22137-2026</t>
        </is>
      </c>
      <c r="B1467" t="inlineStr">
        <is>
          <t>avverkningsanmälan</t>
        </is>
      </c>
      <c r="C1467" t="inlineStr">
        <is>
          <t>Föryngringsavverkning</t>
        </is>
      </c>
      <c r="D1467" s="1" t="n">
        <v>46153</v>
      </c>
      <c r="E1467" s="1" t="n">
        <v>46319</v>
      </c>
      <c r="F1467" t="inlineStr">
        <is>
          <t>DALARNAS LÄN</t>
        </is>
      </c>
      <c r="G1467" t="inlineStr">
        <is>
          <t>GAGNEF</t>
        </is>
      </c>
      <c r="I1467" t="n">
        <v>1.1</v>
      </c>
      <c r="J1467" t="n">
        <v>0</v>
      </c>
      <c r="K1467" t="n">
        <v>0</v>
      </c>
      <c r="L1467" t="n">
        <v>0</v>
      </c>
      <c r="M1467" t="n">
        <v>1</v>
      </c>
      <c r="N1467" t="n">
        <v>0</v>
      </c>
      <c r="O1467" t="n">
        <v>0</v>
      </c>
      <c r="P1467" t="n">
        <v>0</v>
      </c>
      <c r="Q1467" t="n">
        <v>1</v>
      </c>
      <c r="R1467" t="n">
        <v>1</v>
      </c>
      <c r="S1467" t="n">
        <v>1</v>
      </c>
      <c r="T1467" t="n">
        <v>2</v>
      </c>
      <c r="U1467" t="n">
        <v>0</v>
      </c>
      <c r="V1467" s="2" t="inlineStr">
        <is>
          <t>Garnlav</t>
        </is>
      </c>
      <c r="W1467">
        <f>HYPERLINK("https://klasma.github.io/Logging_2026/artfynd/A 22137-2026 artfynd.xlsx", "A 22137-2026")</f>
        <v/>
      </c>
      <c r="X1467">
        <f>HYPERLINK("https://klasma.github.io/Logging_2026/kartor/A 22137-2026 karta.png", "A 22137-2026")</f>
        <v/>
      </c>
      <c r="Y1467">
        <f>HYPERLINK("https://klasma.github.io/Logging_2026/kartor_geotiff/A 22137-2026 georefererad karta.tif", "A 22137-2026")</f>
        <v/>
      </c>
      <c r="AA1467">
        <f>HYPERLINK("https://klasma.github.io/Logging_2026/klagomål/A 22137-2026 FSC-klagomål.docx", "A 22137-2026")</f>
        <v/>
      </c>
      <c r="AB1467">
        <f>HYPERLINK("https://klasma.github.io/Logging_2026/klagomålsmail/A 22137-2026 FSC-klagomål mail.docx", "A 22137-2026")</f>
        <v/>
      </c>
      <c r="AC1467">
        <f>HYPERLINK("https://klasma.github.io/Logging_2026/tillsyn/A 22137-2026 tillsynsbegäran.docx", "A 22137-2026")</f>
        <v/>
      </c>
      <c r="AD1467">
        <f>HYPERLINK("https://klasma.github.io/Logging_2026/tillsynsmail/A 22137-2026 tillsynsbegäran mail.docx", "A 22137-2026")</f>
        <v/>
      </c>
    </row>
    <row r="1468" ht="15" customHeight="1">
      <c r="A1468" t="inlineStr">
        <is>
          <t>A 53031-2023</t>
        </is>
      </c>
      <c r="B1468" t="inlineStr">
        <is>
          <t>avverkningsanmälan</t>
        </is>
      </c>
      <c r="C1468" t="inlineStr">
        <is>
          <t>Föryngringsavverkning</t>
        </is>
      </c>
      <c r="D1468" s="1" t="n">
        <v>45226</v>
      </c>
      <c r="E1468" s="1" t="n">
        <v>46319</v>
      </c>
      <c r="F1468" t="inlineStr">
        <is>
          <t>DALARNAS LÄN</t>
        </is>
      </c>
      <c r="G1468" t="inlineStr">
        <is>
          <t>HEDEMORA</t>
        </is>
      </c>
      <c r="H1468" t="inlineStr">
        <is>
          <t>Sveaskog</t>
        </is>
      </c>
      <c r="I1468" t="n">
        <v>6.9</v>
      </c>
      <c r="J1468" t="n">
        <v>1</v>
      </c>
      <c r="K1468" t="n">
        <v>0</v>
      </c>
      <c r="L1468" t="n">
        <v>1</v>
      </c>
      <c r="M1468" t="n">
        <v>0</v>
      </c>
      <c r="N1468" t="n">
        <v>0</v>
      </c>
      <c r="O1468" t="n">
        <v>0</v>
      </c>
      <c r="P1468" t="n">
        <v>0</v>
      </c>
      <c r="Q1468" t="n">
        <v>1</v>
      </c>
      <c r="R1468" t="n">
        <v>0</v>
      </c>
      <c r="S1468" t="n">
        <v>1</v>
      </c>
      <c r="T1468" t="n">
        <v>1</v>
      </c>
      <c r="U1468" t="n">
        <v>1</v>
      </c>
      <c r="V1468" s="2" t="inlineStr">
        <is>
          <t>Talltita</t>
        </is>
      </c>
      <c r="W1468">
        <f>HYPERLINK("https://klasma.github.io/Logging_2083/artfynd/A 53031-2023 artfynd.xlsx", "A 53031-2023")</f>
        <v/>
      </c>
      <c r="X1468">
        <f>HYPERLINK("https://klasma.github.io/Logging_2083/kartor/A 53031-2023 karta.png", "A 53031-2023")</f>
        <v/>
      </c>
      <c r="Y1468">
        <f>HYPERLINK("https://klasma.github.io/Logging_2083/kartor_geotiff/A 53031-2023 georefererad karta.tif", "A 53031-2023")</f>
        <v/>
      </c>
      <c r="AA1468">
        <f>HYPERLINK("https://klasma.github.io/Logging_2083/klagomål/A 53031-2023 FSC-klagomål.docx", "A 53031-2023")</f>
        <v/>
      </c>
      <c r="AB1468">
        <f>HYPERLINK("https://klasma.github.io/Logging_2083/klagomålsmail/A 53031-2023 FSC-klagomål mail.docx", "A 53031-2023")</f>
        <v/>
      </c>
      <c r="AC1468">
        <f>HYPERLINK("https://klasma.github.io/Logging_2083/tillsyn/A 53031-2023 tillsynsbegäran.docx", "A 53031-2023")</f>
        <v/>
      </c>
      <c r="AD1468">
        <f>HYPERLINK("https://klasma.github.io/Logging_2083/tillsynsmail/A 53031-2023 tillsynsbegäran mail.docx", "A 53031-2023")</f>
        <v/>
      </c>
      <c r="AE1468">
        <f>HYPERLINK("https://klasma.github.io/Logging_2083/fåglar/A 53031-2023 prioriterade fågelarter.docx", "A 53031-2023")</f>
        <v/>
      </c>
    </row>
    <row r="1469" ht="15" customHeight="1">
      <c r="A1469" t="inlineStr">
        <is>
          <t>A 22345-2026</t>
        </is>
      </c>
      <c r="B1469" t="inlineStr">
        <is>
          <t>avverkningsanmälan</t>
        </is>
      </c>
      <c r="C1469" t="inlineStr">
        <is>
          <t>Föryngringsavverkning</t>
        </is>
      </c>
      <c r="D1469" s="1" t="n">
        <v>46154</v>
      </c>
      <c r="E1469" s="1" t="n">
        <v>46319</v>
      </c>
      <c r="F1469" t="inlineStr">
        <is>
          <t>DALARNAS LÄN</t>
        </is>
      </c>
      <c r="G1469" t="inlineStr">
        <is>
          <t>FALUN</t>
        </is>
      </c>
      <c r="I1469" t="n">
        <v>1.7</v>
      </c>
      <c r="J1469" t="n">
        <v>1</v>
      </c>
      <c r="K1469" t="n">
        <v>0</v>
      </c>
      <c r="L1469" t="n">
        <v>0</v>
      </c>
      <c r="M1469" t="n">
        <v>0</v>
      </c>
      <c r="N1469" t="n">
        <v>0</v>
      </c>
      <c r="O1469" t="n">
        <v>0</v>
      </c>
      <c r="P1469" t="n">
        <v>0</v>
      </c>
      <c r="Q1469" t="n">
        <v>0</v>
      </c>
      <c r="R1469" t="n">
        <v>0</v>
      </c>
      <c r="S1469" t="n">
        <v>1</v>
      </c>
      <c r="T1469" t="n">
        <v>1</v>
      </c>
      <c r="U1469" t="n">
        <v>0</v>
      </c>
      <c r="V1469" s="2" t="inlineStr">
        <is>
          <t>Blåsippa</t>
        </is>
      </c>
      <c r="W1469">
        <f>HYPERLINK("https://klasma.github.io/Logging_2080/artfynd/A 22345-2026 artfynd.xlsx", "A 22345-2026")</f>
        <v/>
      </c>
      <c r="X1469">
        <f>HYPERLINK("https://klasma.github.io/Logging_2080/kartor/A 22345-2026 karta.png", "A 22345-2026")</f>
        <v/>
      </c>
      <c r="Y1469">
        <f>HYPERLINK("https://klasma.github.io/Logging_2080/kartor_geotiff/A 22345-2026 georefererad karta.tif", "A 22345-2026")</f>
        <v/>
      </c>
      <c r="AA1469">
        <f>HYPERLINK("https://klasma.github.io/Logging_2080/klagomål/A 22345-2026 FSC-klagomål.docx", "A 22345-2026")</f>
        <v/>
      </c>
      <c r="AB1469">
        <f>HYPERLINK("https://klasma.github.io/Logging_2080/klagomålsmail/A 22345-2026 FSC-klagomål mail.docx", "A 22345-2026")</f>
        <v/>
      </c>
      <c r="AC1469">
        <f>HYPERLINK("https://klasma.github.io/Logging_2080/tillsyn/A 22345-2026 tillsynsbegäran.docx", "A 22345-2026")</f>
        <v/>
      </c>
      <c r="AD1469">
        <f>HYPERLINK("https://klasma.github.io/Logging_2080/tillsynsmail/A 22345-2026 tillsynsbegäran mail.docx", "A 22345-2026")</f>
        <v/>
      </c>
    </row>
    <row r="1470" ht="15" customHeight="1">
      <c r="A1470" t="inlineStr">
        <is>
          <t>A 21703-2023</t>
        </is>
      </c>
      <c r="B1470" t="inlineStr">
        <is>
          <t>avverkningsanmälan</t>
        </is>
      </c>
      <c r="C1470" t="inlineStr">
        <is>
          <t>Föryngringsavverkning</t>
        </is>
      </c>
      <c r="D1470" s="1" t="n">
        <v>45064</v>
      </c>
      <c r="E1470" s="1" t="n">
        <v>46319</v>
      </c>
      <c r="F1470" t="inlineStr">
        <is>
          <t>DALARNAS LÄN</t>
        </is>
      </c>
      <c r="G1470" t="inlineStr">
        <is>
          <t>SMEDJEBACKEN</t>
        </is>
      </c>
      <c r="H1470" t="inlineStr">
        <is>
          <t>Övriga Aktiebolag</t>
        </is>
      </c>
      <c r="I1470" t="n">
        <v>4.1</v>
      </c>
      <c r="J1470" t="n">
        <v>0</v>
      </c>
      <c r="K1470" t="n">
        <v>0</v>
      </c>
      <c r="L1470" t="n">
        <v>1</v>
      </c>
      <c r="M1470" t="n">
        <v>0</v>
      </c>
      <c r="N1470" t="n">
        <v>0</v>
      </c>
      <c r="O1470" t="n">
        <v>0</v>
      </c>
      <c r="P1470" t="n">
        <v>0</v>
      </c>
      <c r="Q1470" t="n">
        <v>1</v>
      </c>
      <c r="R1470" t="n">
        <v>0</v>
      </c>
      <c r="S1470" t="n">
        <v>1</v>
      </c>
      <c r="T1470" t="n">
        <v>1</v>
      </c>
      <c r="U1470" t="n">
        <v>1</v>
      </c>
      <c r="V1470" s="2" t="inlineStr">
        <is>
          <t>Älg</t>
        </is>
      </c>
      <c r="W1470">
        <f>HYPERLINK("https://klasma.github.io/Logging_2061/artfynd/A 21703-2023 artfynd.xlsx", "A 21703-2023")</f>
        <v/>
      </c>
      <c r="X1470">
        <f>HYPERLINK("https://klasma.github.io/Logging_2061/kartor/A 21703-2023 karta.png", "A 21703-2023")</f>
        <v/>
      </c>
      <c r="Y1470">
        <f>HYPERLINK("https://klasma.github.io/Logging_2061/kartor_geotiff/A 21703-2023 georefererad karta.tif", "A 21703-2023")</f>
        <v/>
      </c>
      <c r="AA1470">
        <f>HYPERLINK("https://klasma.github.io/Logging_2061/klagomål/A 21703-2023 FSC-klagomål.docx", "A 21703-2023")</f>
        <v/>
      </c>
      <c r="AB1470">
        <f>HYPERLINK("https://klasma.github.io/Logging_2061/klagomålsmail/A 21703-2023 FSC-klagomål mail.docx", "A 21703-2023")</f>
        <v/>
      </c>
      <c r="AC1470">
        <f>HYPERLINK("https://klasma.github.io/Logging_2061/tillsyn/A 21703-2023 tillsynsbegäran.docx", "A 21703-2023")</f>
        <v/>
      </c>
      <c r="AD1470">
        <f>HYPERLINK("https://klasma.github.io/Logging_2061/tillsynsmail/A 21703-2023 tillsynsbegäran mail.docx", "A 21703-2023")</f>
        <v/>
      </c>
    </row>
    <row r="1471" ht="15" customHeight="1">
      <c r="A1471" t="inlineStr">
        <is>
          <t>A 32383-2022</t>
        </is>
      </c>
      <c r="B1471" t="inlineStr">
        <is>
          <t>avverkningsanmälan</t>
        </is>
      </c>
      <c r="C1471" t="inlineStr">
        <is>
          <t>Föryngringsavverkning</t>
        </is>
      </c>
      <c r="D1471" s="1" t="n">
        <v>44781</v>
      </c>
      <c r="E1471" s="1" t="n">
        <v>46319</v>
      </c>
      <c r="F1471" t="inlineStr">
        <is>
          <t>DALARNAS LÄN</t>
        </is>
      </c>
      <c r="G1471" t="inlineStr">
        <is>
          <t>SÄTER</t>
        </is>
      </c>
      <c r="H1471" t="inlineStr">
        <is>
          <t>Bergvik skog väst AB</t>
        </is>
      </c>
      <c r="I1471" t="n">
        <v>4.1</v>
      </c>
      <c r="J1471" t="n">
        <v>1</v>
      </c>
      <c r="K1471" t="n">
        <v>0</v>
      </c>
      <c r="L1471" t="n">
        <v>0</v>
      </c>
      <c r="M1471" t="n">
        <v>1</v>
      </c>
      <c r="N1471" t="n">
        <v>0</v>
      </c>
      <c r="O1471" t="n">
        <v>0</v>
      </c>
      <c r="P1471" t="n">
        <v>0</v>
      </c>
      <c r="Q1471" t="n">
        <v>1</v>
      </c>
      <c r="R1471" t="n">
        <v>1</v>
      </c>
      <c r="S1471" t="n">
        <v>1</v>
      </c>
      <c r="T1471" t="n">
        <v>1</v>
      </c>
      <c r="U1471" t="n">
        <v>1</v>
      </c>
      <c r="V1471" s="2" t="inlineStr">
        <is>
          <t>Knärot</t>
        </is>
      </c>
      <c r="W1471">
        <f>HYPERLINK("https://klasma.github.io/Logging_2082/artfynd/A 32383-2022 artfynd.xlsx", "A 32383-2022")</f>
        <v/>
      </c>
      <c r="X1471">
        <f>HYPERLINK("https://klasma.github.io/Logging_2082/kartor/A 32383-2022 karta.png", "A 32383-2022")</f>
        <v/>
      </c>
      <c r="Y1471">
        <f>HYPERLINK("https://klasma.github.io/Logging_2082/kartor_geotiff/A 32383-2022 georefererad karta.tif", "A 32383-2022")</f>
        <v/>
      </c>
      <c r="Z1471">
        <f>HYPERLINK("https://klasma.github.io/Logging_2082/knärot/A 32383-2022 karta knärot.png", "A 32383-2022")</f>
        <v/>
      </c>
      <c r="AA1471">
        <f>HYPERLINK("https://klasma.github.io/Logging_2082/klagomål/A 32383-2022 FSC-klagomål.docx", "A 32383-2022")</f>
        <v/>
      </c>
      <c r="AB1471">
        <f>HYPERLINK("https://klasma.github.io/Logging_2082/klagomålsmail/A 32383-2022 FSC-klagomål mail.docx", "A 32383-2022")</f>
        <v/>
      </c>
      <c r="AC1471">
        <f>HYPERLINK("https://klasma.github.io/Logging_2082/tillsyn/A 32383-2022 tillsynsbegäran.docx", "A 32383-2022")</f>
        <v/>
      </c>
      <c r="AD1471">
        <f>HYPERLINK("https://klasma.github.io/Logging_2082/tillsynsmail/A 32383-2022 tillsynsbegäran mail.docx", "A 32383-2022")</f>
        <v/>
      </c>
    </row>
    <row r="1472" ht="15" customHeight="1">
      <c r="A1472" t="inlineStr">
        <is>
          <t>A 22518-2026</t>
        </is>
      </c>
      <c r="B1472" t="inlineStr">
        <is>
          <t>avverkningsanmälan</t>
        </is>
      </c>
      <c r="C1472" t="inlineStr">
        <is>
          <t>Föryngringsavverkning</t>
        </is>
      </c>
      <c r="D1472" s="1" t="n">
        <v>46155</v>
      </c>
      <c r="E1472" s="1" t="n">
        <v>46319</v>
      </c>
      <c r="F1472" t="inlineStr">
        <is>
          <t>DALARNAS LÄN</t>
        </is>
      </c>
      <c r="G1472" t="inlineStr">
        <is>
          <t>RÄTTVIK</t>
        </is>
      </c>
      <c r="H1472" t="inlineStr">
        <is>
          <t>Bergvik skog väst AB</t>
        </is>
      </c>
      <c r="I1472" t="n">
        <v>1.4</v>
      </c>
      <c r="J1472" t="n">
        <v>1</v>
      </c>
      <c r="K1472" t="n">
        <v>0</v>
      </c>
      <c r="L1472" t="n">
        <v>0</v>
      </c>
      <c r="M1472" t="n">
        <v>0</v>
      </c>
      <c r="N1472" t="n">
        <v>0</v>
      </c>
      <c r="O1472" t="n">
        <v>0</v>
      </c>
      <c r="P1472" t="n">
        <v>0</v>
      </c>
      <c r="Q1472" t="n">
        <v>0</v>
      </c>
      <c r="R1472" t="n">
        <v>0</v>
      </c>
      <c r="S1472" t="n">
        <v>1</v>
      </c>
      <c r="T1472" t="n">
        <v>1</v>
      </c>
      <c r="U1472" t="n">
        <v>0</v>
      </c>
      <c r="V1472" s="2" t="inlineStr">
        <is>
          <t>Orre</t>
        </is>
      </c>
      <c r="W1472">
        <f>HYPERLINK("https://klasma.github.io/Logging_2031/artfynd/A 22518-2026 artfynd.xlsx", "A 22518-2026")</f>
        <v/>
      </c>
      <c r="X1472">
        <f>HYPERLINK("https://klasma.github.io/Logging_2031/kartor/A 22518-2026 karta.png", "A 22518-2026")</f>
        <v/>
      </c>
      <c r="Y1472">
        <f>HYPERLINK("https://klasma.github.io/Logging_2031/kartor_geotiff/A 22518-2026 georefererad karta.tif", "A 22518-2026")</f>
        <v/>
      </c>
      <c r="AA1472">
        <f>HYPERLINK("https://klasma.github.io/Logging_2031/klagomål/A 22518-2026 FSC-klagomål.docx", "A 22518-2026")</f>
        <v/>
      </c>
      <c r="AB1472">
        <f>HYPERLINK("https://klasma.github.io/Logging_2031/klagomålsmail/A 22518-2026 FSC-klagomål mail.docx", "A 22518-2026")</f>
        <v/>
      </c>
      <c r="AC1472">
        <f>HYPERLINK("https://klasma.github.io/Logging_2031/tillsyn/A 22518-2026 tillsynsbegäran.docx", "A 22518-2026")</f>
        <v/>
      </c>
      <c r="AD1472">
        <f>HYPERLINK("https://klasma.github.io/Logging_2031/tillsynsmail/A 22518-2026 tillsynsbegäran mail.docx", "A 22518-2026")</f>
        <v/>
      </c>
      <c r="AE1472">
        <f>HYPERLINK("https://klasma.github.io/Logging_2031/fåglar/A 22518-2026 prioriterade fågelarter.docx", "A 22518-2026")</f>
        <v/>
      </c>
    </row>
    <row r="1473" ht="15" customHeight="1">
      <c r="A1473" t="inlineStr">
        <is>
          <t>A 400-2023</t>
        </is>
      </c>
      <c r="B1473" t="inlineStr">
        <is>
          <t>avverkningsanmälan</t>
        </is>
      </c>
      <c r="C1473" t="inlineStr">
        <is>
          <t>Föryngringsavverkning</t>
        </is>
      </c>
      <c r="D1473" s="1" t="n">
        <v>44929</v>
      </c>
      <c r="E1473" s="1" t="n">
        <v>46319</v>
      </c>
      <c r="F1473" t="inlineStr">
        <is>
          <t>DALARNAS LÄN</t>
        </is>
      </c>
      <c r="G1473" t="inlineStr">
        <is>
          <t>LUDVIKA</t>
        </is>
      </c>
      <c r="I1473" t="n">
        <v>3.6</v>
      </c>
      <c r="J1473" t="n">
        <v>1</v>
      </c>
      <c r="K1473" t="n">
        <v>0</v>
      </c>
      <c r="L1473" t="n">
        <v>1</v>
      </c>
      <c r="M1473" t="n">
        <v>0</v>
      </c>
      <c r="N1473" t="n">
        <v>0</v>
      </c>
      <c r="O1473" t="n">
        <v>0</v>
      </c>
      <c r="P1473" t="n">
        <v>0</v>
      </c>
      <c r="Q1473" t="n">
        <v>1</v>
      </c>
      <c r="R1473" t="n">
        <v>0</v>
      </c>
      <c r="S1473" t="n">
        <v>1</v>
      </c>
      <c r="T1473" t="n">
        <v>1</v>
      </c>
      <c r="U1473" t="n">
        <v>1</v>
      </c>
      <c r="V1473" s="2" t="inlineStr">
        <is>
          <t>Nordfladdermus</t>
        </is>
      </c>
      <c r="W1473">
        <f>HYPERLINK("https://klasma.github.io/Logging_2085/artfynd/A 400-2023 artfynd.xlsx", "A 400-2023")</f>
        <v/>
      </c>
      <c r="X1473">
        <f>HYPERLINK("https://klasma.github.io/Logging_2085/kartor/A 400-2023 karta.png", "A 400-2023")</f>
        <v/>
      </c>
      <c r="Y1473">
        <f>HYPERLINK("https://klasma.github.io/Logging_2085/kartor_geotiff/A 400-2023 georefererad karta.tif", "A 400-2023")</f>
        <v/>
      </c>
      <c r="AA1473">
        <f>HYPERLINK("https://klasma.github.io/Logging_2085/klagomål/A 400-2023 FSC-klagomål.docx", "A 400-2023")</f>
        <v/>
      </c>
      <c r="AB1473">
        <f>HYPERLINK("https://klasma.github.io/Logging_2085/klagomålsmail/A 400-2023 FSC-klagomål mail.docx", "A 400-2023")</f>
        <v/>
      </c>
      <c r="AC1473">
        <f>HYPERLINK("https://klasma.github.io/Logging_2085/tillsyn/A 400-2023 tillsynsbegäran.docx", "A 400-2023")</f>
        <v/>
      </c>
      <c r="AD1473">
        <f>HYPERLINK("https://klasma.github.io/Logging_2085/tillsynsmail/A 400-2023 tillsynsbegäran mail.docx", "A 400-2023")</f>
        <v/>
      </c>
    </row>
    <row r="1474" ht="15" customHeight="1">
      <c r="A1474" t="inlineStr">
        <is>
          <t>A 31478-2023</t>
        </is>
      </c>
      <c r="B1474" t="inlineStr">
        <is>
          <t>avverkningsanmälan</t>
        </is>
      </c>
      <c r="C1474" t="inlineStr">
        <is>
          <t>Föryngringsavverkning</t>
        </is>
      </c>
      <c r="D1474" s="1" t="n">
        <v>45114</v>
      </c>
      <c r="E1474" s="1" t="n">
        <v>46319</v>
      </c>
      <c r="F1474" t="inlineStr">
        <is>
          <t>DALARNAS LÄN</t>
        </is>
      </c>
      <c r="G1474" t="inlineStr">
        <is>
          <t>LUDVIKA</t>
        </is>
      </c>
      <c r="I1474" t="n">
        <v>6.2</v>
      </c>
      <c r="J1474" t="n">
        <v>0</v>
      </c>
      <c r="K1474" t="n">
        <v>0</v>
      </c>
      <c r="L1474" t="n">
        <v>0</v>
      </c>
      <c r="M1474" t="n">
        <v>1</v>
      </c>
      <c r="N1474" t="n">
        <v>0</v>
      </c>
      <c r="O1474" t="n">
        <v>0</v>
      </c>
      <c r="P1474" t="n">
        <v>0</v>
      </c>
      <c r="Q1474" t="n">
        <v>1</v>
      </c>
      <c r="R1474" t="n">
        <v>1</v>
      </c>
      <c r="S1474" t="n">
        <v>1</v>
      </c>
      <c r="T1474" t="n">
        <v>1</v>
      </c>
      <c r="U1474" t="n">
        <v>0</v>
      </c>
      <c r="V1474" s="2" t="inlineStr">
        <is>
          <t>Garnlav</t>
        </is>
      </c>
      <c r="W1474">
        <f>HYPERLINK("https://klasma.github.io/Logging_2085/artfynd/A 31478-2023 artfynd.xlsx", "A 31478-2023")</f>
        <v/>
      </c>
      <c r="X1474">
        <f>HYPERLINK("https://klasma.github.io/Logging_2085/kartor/A 31478-2023 karta.png", "A 31478-2023")</f>
        <v/>
      </c>
      <c r="Y1474">
        <f>HYPERLINK("https://klasma.github.io/Logging_2085/kartor_geotiff/A 31478-2023 georefererad karta.tif", "A 31478-2023")</f>
        <v/>
      </c>
      <c r="AA1474">
        <f>HYPERLINK("https://klasma.github.io/Logging_2085/klagomål/A 31478-2023 FSC-klagomål.docx", "A 31478-2023")</f>
        <v/>
      </c>
      <c r="AB1474">
        <f>HYPERLINK("https://klasma.github.io/Logging_2085/klagomålsmail/A 31478-2023 FSC-klagomål mail.docx", "A 31478-2023")</f>
        <v/>
      </c>
      <c r="AC1474">
        <f>HYPERLINK("https://klasma.github.io/Logging_2085/tillsyn/A 31478-2023 tillsynsbegäran.docx", "A 31478-2023")</f>
        <v/>
      </c>
      <c r="AD1474">
        <f>HYPERLINK("https://klasma.github.io/Logging_2085/tillsynsmail/A 31478-2023 tillsynsbegäran mail.docx", "A 31478-2023")</f>
        <v/>
      </c>
    </row>
    <row r="1475" ht="15" customHeight="1">
      <c r="A1475" t="inlineStr">
        <is>
          <t>A 42523-2024</t>
        </is>
      </c>
      <c r="B1475" t="inlineStr">
        <is>
          <t>avverkningsanmälan</t>
        </is>
      </c>
      <c r="C1475" t="inlineStr">
        <is>
          <t>Avverkning för annat ändamål</t>
        </is>
      </c>
      <c r="D1475" s="1" t="n">
        <v>45565</v>
      </c>
      <c r="E1475" s="1" t="n">
        <v>46319</v>
      </c>
      <c r="F1475" t="inlineStr">
        <is>
          <t>DALARNAS LÄN</t>
        </is>
      </c>
      <c r="G1475" t="inlineStr">
        <is>
          <t>SMEDJEBACKEN</t>
        </is>
      </c>
      <c r="I1475" t="n">
        <v>3.5</v>
      </c>
      <c r="J1475" t="n">
        <v>0</v>
      </c>
      <c r="K1475" t="n">
        <v>0</v>
      </c>
      <c r="L1475" t="n">
        <v>1</v>
      </c>
      <c r="M1475" t="n">
        <v>0</v>
      </c>
      <c r="N1475" t="n">
        <v>0</v>
      </c>
      <c r="O1475" t="n">
        <v>0</v>
      </c>
      <c r="P1475" t="n">
        <v>0</v>
      </c>
      <c r="Q1475" t="n">
        <v>1</v>
      </c>
      <c r="R1475" t="n">
        <v>0</v>
      </c>
      <c r="S1475" t="n">
        <v>1</v>
      </c>
      <c r="T1475" t="n">
        <v>1</v>
      </c>
      <c r="U1475" t="n">
        <v>1</v>
      </c>
      <c r="V1475" s="2" t="inlineStr">
        <is>
          <t>Vedskivlav</t>
        </is>
      </c>
      <c r="W1475">
        <f>HYPERLINK("https://klasma.github.io/Logging_2061/artfynd/A 42523-2024 artfynd.xlsx", "A 42523-2024")</f>
        <v/>
      </c>
      <c r="X1475">
        <f>HYPERLINK("https://klasma.github.io/Logging_2061/kartor/A 42523-2024 karta.png", "A 42523-2024")</f>
        <v/>
      </c>
      <c r="Y1475">
        <f>HYPERLINK("https://klasma.github.io/Logging_2061/kartor_geotiff/A 42523-2024 georefererad karta.tif", "A 42523-2024")</f>
        <v/>
      </c>
      <c r="AA1475">
        <f>HYPERLINK("https://klasma.github.io/Logging_2061/klagomål/A 42523-2024 FSC-klagomål.docx", "A 42523-2024")</f>
        <v/>
      </c>
      <c r="AB1475">
        <f>HYPERLINK("https://klasma.github.io/Logging_2061/klagomålsmail/A 42523-2024 FSC-klagomål mail.docx", "A 42523-2024")</f>
        <v/>
      </c>
      <c r="AC1475">
        <f>HYPERLINK("https://klasma.github.io/Logging_2061/tillsyn/A 42523-2024 tillsynsbegäran.docx", "A 42523-2024")</f>
        <v/>
      </c>
      <c r="AD1475">
        <f>HYPERLINK("https://klasma.github.io/Logging_2061/tillsynsmail/A 42523-2024 tillsynsbegäran mail.docx", "A 42523-2024")</f>
        <v/>
      </c>
    </row>
    <row r="1476" ht="15" customHeight="1">
      <c r="A1476" t="inlineStr">
        <is>
          <t>A 56138-2024</t>
        </is>
      </c>
      <c r="B1476" t="inlineStr">
        <is>
          <t>avverkningsanmälan</t>
        </is>
      </c>
      <c r="C1476" t="inlineStr">
        <is>
          <t>Föryngringsavverkning</t>
        </is>
      </c>
      <c r="D1476" s="1" t="n">
        <v>45624</v>
      </c>
      <c r="E1476" s="1" t="n">
        <v>46319</v>
      </c>
      <c r="F1476" t="inlineStr">
        <is>
          <t>DALARNAS LÄN</t>
        </is>
      </c>
      <c r="G1476" t="inlineStr">
        <is>
          <t>FALUN</t>
        </is>
      </c>
      <c r="I1476" t="n">
        <v>0.8</v>
      </c>
      <c r="J1476" t="n">
        <v>0</v>
      </c>
      <c r="K1476" t="n">
        <v>0</v>
      </c>
      <c r="L1476" t="n">
        <v>0</v>
      </c>
      <c r="M1476" t="n">
        <v>1</v>
      </c>
      <c r="N1476" t="n">
        <v>0</v>
      </c>
      <c r="O1476" t="n">
        <v>0</v>
      </c>
      <c r="P1476" t="n">
        <v>0</v>
      </c>
      <c r="Q1476" t="n">
        <v>1</v>
      </c>
      <c r="R1476" t="n">
        <v>1</v>
      </c>
      <c r="S1476" t="n">
        <v>1</v>
      </c>
      <c r="T1476" t="n">
        <v>2</v>
      </c>
      <c r="U1476" t="n">
        <v>0</v>
      </c>
      <c r="V1476" s="2" t="inlineStr">
        <is>
          <t>Citronporing</t>
        </is>
      </c>
      <c r="W1476">
        <f>HYPERLINK("https://klasma.github.io/Logging_2080/artfynd/A 56138-2024 artfynd.xlsx", "A 56138-2024")</f>
        <v/>
      </c>
      <c r="X1476">
        <f>HYPERLINK("https://klasma.github.io/Logging_2080/kartor/A 56138-2024 karta.png", "A 56138-2024")</f>
        <v/>
      </c>
      <c r="Y1476">
        <f>HYPERLINK("https://klasma.github.io/Logging_2080/kartor_geotiff/A 56138-2024 georefererad karta.tif", "A 56138-2024")</f>
        <v/>
      </c>
      <c r="AA1476">
        <f>HYPERLINK("https://klasma.github.io/Logging_2080/klagomål/A 56138-2024 FSC-klagomål.docx", "A 56138-2024")</f>
        <v/>
      </c>
      <c r="AB1476">
        <f>HYPERLINK("https://klasma.github.io/Logging_2080/klagomålsmail/A 56138-2024 FSC-klagomål mail.docx", "A 56138-2024")</f>
        <v/>
      </c>
      <c r="AC1476">
        <f>HYPERLINK("https://klasma.github.io/Logging_2080/tillsyn/A 56138-2024 tillsynsbegäran.docx", "A 56138-2024")</f>
        <v/>
      </c>
      <c r="AD1476">
        <f>HYPERLINK("https://klasma.github.io/Logging_2080/tillsynsmail/A 56138-2024 tillsynsbegäran mail.docx", "A 56138-2024")</f>
        <v/>
      </c>
    </row>
    <row r="1477" ht="15" customHeight="1">
      <c r="A1477" t="inlineStr">
        <is>
          <t>A 35379-2022</t>
        </is>
      </c>
      <c r="B1477" t="inlineStr">
        <is>
          <t>avverkningsanmälan</t>
        </is>
      </c>
      <c r="C1477" t="inlineStr">
        <is>
          <t>Föryngringsavverkning</t>
        </is>
      </c>
      <c r="D1477" s="1" t="n">
        <v>44798</v>
      </c>
      <c r="E1477" s="1" t="n">
        <v>46319</v>
      </c>
      <c r="F1477" t="inlineStr">
        <is>
          <t>DALARNAS LÄN</t>
        </is>
      </c>
      <c r="G1477" t="inlineStr">
        <is>
          <t>FALUN</t>
        </is>
      </c>
      <c r="I1477" t="n">
        <v>3.7</v>
      </c>
      <c r="J1477" t="n">
        <v>0</v>
      </c>
      <c r="K1477" t="n">
        <v>0</v>
      </c>
      <c r="L1477" t="n">
        <v>0</v>
      </c>
      <c r="M1477" t="n">
        <v>1</v>
      </c>
      <c r="N1477" t="n">
        <v>0</v>
      </c>
      <c r="O1477" t="n">
        <v>0</v>
      </c>
      <c r="P1477" t="n">
        <v>0</v>
      </c>
      <c r="Q1477" t="n">
        <v>1</v>
      </c>
      <c r="R1477" t="n">
        <v>1</v>
      </c>
      <c r="S1477" t="n">
        <v>1</v>
      </c>
      <c r="T1477" t="n">
        <v>1</v>
      </c>
      <c r="U1477" t="n">
        <v>1</v>
      </c>
      <c r="V1477" s="2" t="inlineStr">
        <is>
          <t>Garnlav</t>
        </is>
      </c>
      <c r="W1477">
        <f>HYPERLINK("https://klasma.github.io/Logging_2080/artfynd/A 35379-2022 artfynd.xlsx", "A 35379-2022")</f>
        <v/>
      </c>
      <c r="X1477">
        <f>HYPERLINK("https://klasma.github.io/Logging_2080/kartor/A 35379-2022 karta.png", "A 35379-2022")</f>
        <v/>
      </c>
      <c r="Y1477">
        <f>HYPERLINK("https://klasma.github.io/Logging_2080/kartor_geotiff/A 35379-2022 georefererad karta.tif", "A 35379-2022")</f>
        <v/>
      </c>
      <c r="AA1477">
        <f>HYPERLINK("https://klasma.github.io/Logging_2080/klagomål/A 35379-2022 FSC-klagomål.docx", "A 35379-2022")</f>
        <v/>
      </c>
      <c r="AB1477">
        <f>HYPERLINK("https://klasma.github.io/Logging_2080/klagomålsmail/A 35379-2022 FSC-klagomål mail.docx", "A 35379-2022")</f>
        <v/>
      </c>
      <c r="AC1477">
        <f>HYPERLINK("https://klasma.github.io/Logging_2080/tillsyn/A 35379-2022 tillsynsbegäran.docx", "A 35379-2022")</f>
        <v/>
      </c>
      <c r="AD1477">
        <f>HYPERLINK("https://klasma.github.io/Logging_2080/tillsynsmail/A 35379-2022 tillsynsbegäran mail.docx", "A 35379-2022")</f>
        <v/>
      </c>
    </row>
    <row r="1478" ht="15" customHeight="1">
      <c r="A1478" t="inlineStr">
        <is>
          <t>A 6579-2023</t>
        </is>
      </c>
      <c r="B1478" t="inlineStr">
        <is>
          <t>avverkningsanmälan</t>
        </is>
      </c>
      <c r="C1478" t="inlineStr">
        <is>
          <t>Avverkning för annat ändamål</t>
        </is>
      </c>
      <c r="D1478" s="1" t="n">
        <v>44960</v>
      </c>
      <c r="E1478" s="1" t="n">
        <v>46319</v>
      </c>
      <c r="F1478" t="inlineStr">
        <is>
          <t>DALARNAS LÄN</t>
        </is>
      </c>
      <c r="G1478" t="inlineStr">
        <is>
          <t>LUDVIKA</t>
        </is>
      </c>
      <c r="I1478" t="n">
        <v>3.4</v>
      </c>
      <c r="J1478" t="n">
        <v>0</v>
      </c>
      <c r="K1478" t="n">
        <v>1</v>
      </c>
      <c r="L1478" t="n">
        <v>0</v>
      </c>
      <c r="M1478" t="n">
        <v>0</v>
      </c>
      <c r="N1478" t="n">
        <v>0</v>
      </c>
      <c r="O1478" t="n">
        <v>0</v>
      </c>
      <c r="P1478" t="n">
        <v>0</v>
      </c>
      <c r="Q1478" t="n">
        <v>0</v>
      </c>
      <c r="R1478" t="n">
        <v>0</v>
      </c>
      <c r="S1478" t="n">
        <v>1</v>
      </c>
      <c r="T1478" t="n">
        <v>1</v>
      </c>
      <c r="U1478" t="n">
        <v>0</v>
      </c>
      <c r="V1478" s="2" t="inlineStr">
        <is>
          <t>Blomkålssvamp</t>
        </is>
      </c>
      <c r="W1478">
        <f>HYPERLINK("https://klasma.github.io/Logging_2085/artfynd/A 6579-2023 artfynd.xlsx", "A 6579-2023")</f>
        <v/>
      </c>
      <c r="X1478">
        <f>HYPERLINK("https://klasma.github.io/Logging_2085/kartor/A 6579-2023 karta.png", "A 6579-2023")</f>
        <v/>
      </c>
      <c r="Y1478">
        <f>HYPERLINK("https://klasma.github.io/Logging_2085/kartor_geotiff/A 6579-2023 georefererad karta.tif", "A 6579-2023")</f>
        <v/>
      </c>
      <c r="AA1478">
        <f>HYPERLINK("https://klasma.github.io/Logging_2085/klagomål/A 6579-2023 FSC-klagomål.docx", "A 6579-2023")</f>
        <v/>
      </c>
      <c r="AB1478">
        <f>HYPERLINK("https://klasma.github.io/Logging_2085/klagomålsmail/A 6579-2023 FSC-klagomål mail.docx", "A 6579-2023")</f>
        <v/>
      </c>
      <c r="AC1478">
        <f>HYPERLINK("https://klasma.github.io/Logging_2085/tillsyn/A 6579-2023 tillsynsbegäran.docx", "A 6579-2023")</f>
        <v/>
      </c>
      <c r="AD1478">
        <f>HYPERLINK("https://klasma.github.io/Logging_2085/tillsynsmail/A 6579-2023 tillsynsbegäran mail.docx", "A 6579-2023")</f>
        <v/>
      </c>
    </row>
    <row r="1479" ht="15" customHeight="1">
      <c r="A1479" t="inlineStr">
        <is>
          <t>A 24959-2024</t>
        </is>
      </c>
      <c r="B1479" t="inlineStr">
        <is>
          <t>avverkningsanmälan</t>
        </is>
      </c>
      <c r="C1479" t="inlineStr">
        <is>
          <t>Föryngringsavverkning</t>
        </is>
      </c>
      <c r="D1479" s="1" t="n">
        <v>45461</v>
      </c>
      <c r="E1479" s="1" t="n">
        <v>46319</v>
      </c>
      <c r="F1479" t="inlineStr">
        <is>
          <t>DALARNAS LÄN</t>
        </is>
      </c>
      <c r="G1479" t="inlineStr">
        <is>
          <t>MALUNG-SÄLEN</t>
        </is>
      </c>
      <c r="I1479" t="n">
        <v>0.8</v>
      </c>
      <c r="J1479" t="n">
        <v>1</v>
      </c>
      <c r="K1479" t="n">
        <v>0</v>
      </c>
      <c r="L1479" t="n">
        <v>0</v>
      </c>
      <c r="M1479" t="n">
        <v>0</v>
      </c>
      <c r="N1479" t="n">
        <v>0</v>
      </c>
      <c r="O1479" t="n">
        <v>0</v>
      </c>
      <c r="P1479" t="n">
        <v>0</v>
      </c>
      <c r="Q1479" t="n">
        <v>0</v>
      </c>
      <c r="R1479" t="n">
        <v>0</v>
      </c>
      <c r="S1479" t="n">
        <v>1</v>
      </c>
      <c r="T1479" t="n">
        <v>1</v>
      </c>
      <c r="U1479" t="n">
        <v>1</v>
      </c>
      <c r="V1479" s="2" t="inlineStr">
        <is>
          <t>Spillkråka</t>
        </is>
      </c>
      <c r="W1479">
        <f>HYPERLINK("https://klasma.github.io/Logging_2023/artfynd/A 24959-2024 artfynd.xlsx", "A 24959-2024")</f>
        <v/>
      </c>
      <c r="X1479">
        <f>HYPERLINK("https://klasma.github.io/Logging_2023/kartor/A 24959-2024 karta.png", "A 24959-2024")</f>
        <v/>
      </c>
      <c r="Y1479">
        <f>HYPERLINK("https://klasma.github.io/Logging_2023/kartor_geotiff/A 24959-2024 georefererad karta.tif", "A 24959-2024")</f>
        <v/>
      </c>
      <c r="AA1479">
        <f>HYPERLINK("https://klasma.github.io/Logging_2023/klagomål/A 24959-2024 FSC-klagomål.docx", "A 24959-2024")</f>
        <v/>
      </c>
      <c r="AB1479">
        <f>HYPERLINK("https://klasma.github.io/Logging_2023/klagomålsmail/A 24959-2024 FSC-klagomål mail.docx", "A 24959-2024")</f>
        <v/>
      </c>
      <c r="AC1479">
        <f>HYPERLINK("https://klasma.github.io/Logging_2023/tillsyn/A 24959-2024 tillsynsbegäran.docx", "A 24959-2024")</f>
        <v/>
      </c>
      <c r="AD1479">
        <f>HYPERLINK("https://klasma.github.io/Logging_2023/tillsynsmail/A 24959-2024 tillsynsbegäran mail.docx", "A 24959-2024")</f>
        <v/>
      </c>
      <c r="AE1479">
        <f>HYPERLINK("https://klasma.github.io/Logging_2023/fåglar/A 24959-2024 prioriterade fågelarter.docx", "A 24959-2024")</f>
        <v/>
      </c>
    </row>
    <row r="1480" ht="15" customHeight="1">
      <c r="A1480" t="inlineStr">
        <is>
          <t>A 12927-2023</t>
        </is>
      </c>
      <c r="B1480" t="inlineStr">
        <is>
          <t>avverkningsanmälan</t>
        </is>
      </c>
      <c r="C1480" t="inlineStr">
        <is>
          <t>Avverkning för annat ändamål</t>
        </is>
      </c>
      <c r="D1480" s="1" t="n">
        <v>45001</v>
      </c>
      <c r="E1480" s="1" t="n">
        <v>46319</v>
      </c>
      <c r="F1480" t="inlineStr">
        <is>
          <t>DALARNAS LÄN</t>
        </is>
      </c>
      <c r="G1480" t="inlineStr">
        <is>
          <t>FALUN</t>
        </is>
      </c>
      <c r="I1480" t="n">
        <v>0.3</v>
      </c>
      <c r="J1480" t="n">
        <v>1</v>
      </c>
      <c r="K1480" t="n">
        <v>0</v>
      </c>
      <c r="L1480" t="n">
        <v>0</v>
      </c>
      <c r="M1480" t="n">
        <v>1</v>
      </c>
      <c r="N1480" t="n">
        <v>0</v>
      </c>
      <c r="O1480" t="n">
        <v>0</v>
      </c>
      <c r="P1480" t="n">
        <v>0</v>
      </c>
      <c r="Q1480" t="n">
        <v>1</v>
      </c>
      <c r="R1480" t="n">
        <v>1</v>
      </c>
      <c r="S1480" t="n">
        <v>1</v>
      </c>
      <c r="T1480" t="n">
        <v>2</v>
      </c>
      <c r="U1480" t="n">
        <v>2</v>
      </c>
      <c r="V1480" s="2" t="inlineStr">
        <is>
          <t>Knärot</t>
        </is>
      </c>
      <c r="W1480">
        <f>HYPERLINK("https://klasma.github.io/Logging_2080/artfynd/A 12927-2023 artfynd.xlsx", "A 12927-2023")</f>
        <v/>
      </c>
      <c r="X1480">
        <f>HYPERLINK("https://klasma.github.io/Logging_2080/kartor/A 12927-2023 karta.png", "A 12927-2023")</f>
        <v/>
      </c>
      <c r="Y1480">
        <f>HYPERLINK("https://klasma.github.io/Logging_2080/kartor_geotiff/A 12927-2023 georefererad karta.tif", "A 12927-2023")</f>
        <v/>
      </c>
      <c r="Z1480">
        <f>HYPERLINK("https://klasma.github.io/Logging_2080/knärot/A 12927-2023 karta knärot.png", "A 12927-2023")</f>
        <v/>
      </c>
      <c r="AA1480">
        <f>HYPERLINK("https://klasma.github.io/Logging_2080/klagomål/A 12927-2023 FSC-klagomål.docx", "A 12927-2023")</f>
        <v/>
      </c>
      <c r="AB1480">
        <f>HYPERLINK("https://klasma.github.io/Logging_2080/klagomålsmail/A 12927-2023 FSC-klagomål mail.docx", "A 12927-2023")</f>
        <v/>
      </c>
      <c r="AC1480">
        <f>HYPERLINK("https://klasma.github.io/Logging_2080/tillsyn/A 12927-2023 tillsynsbegäran.docx", "A 12927-2023")</f>
        <v/>
      </c>
      <c r="AD1480">
        <f>HYPERLINK("https://klasma.github.io/Logging_2080/tillsynsmail/A 12927-2023 tillsynsbegäran mail.docx", "A 12927-2023")</f>
        <v/>
      </c>
    </row>
    <row r="1481" ht="15" customHeight="1">
      <c r="A1481" t="inlineStr">
        <is>
          <t>A 22784-2024</t>
        </is>
      </c>
      <c r="B1481" t="inlineStr">
        <is>
          <t>avverkningsanmälan</t>
        </is>
      </c>
      <c r="C1481" t="inlineStr">
        <is>
          <t>Föryngringsavverkning</t>
        </is>
      </c>
      <c r="D1481" s="1" t="n">
        <v>45448</v>
      </c>
      <c r="E1481" s="1" t="n">
        <v>46319</v>
      </c>
      <c r="F1481" t="inlineStr">
        <is>
          <t>DALARNAS LÄN</t>
        </is>
      </c>
      <c r="G1481" t="inlineStr">
        <is>
          <t>FALUN</t>
        </is>
      </c>
      <c r="I1481" t="n">
        <v>1.8</v>
      </c>
      <c r="J1481" t="n">
        <v>1</v>
      </c>
      <c r="K1481" t="n">
        <v>0</v>
      </c>
      <c r="L1481" t="n">
        <v>0</v>
      </c>
      <c r="M1481" t="n">
        <v>0</v>
      </c>
      <c r="N1481" t="n">
        <v>0</v>
      </c>
      <c r="O1481" t="n">
        <v>0</v>
      </c>
      <c r="P1481" t="n">
        <v>0</v>
      </c>
      <c r="Q1481" t="n">
        <v>0</v>
      </c>
      <c r="R1481" t="n">
        <v>0</v>
      </c>
      <c r="S1481" t="n">
        <v>1</v>
      </c>
      <c r="T1481" t="n">
        <v>1</v>
      </c>
      <c r="U1481" t="n">
        <v>0</v>
      </c>
      <c r="V1481" s="2" t="inlineStr">
        <is>
          <t>Tjäder</t>
        </is>
      </c>
      <c r="W1481">
        <f>HYPERLINK("https://klasma.github.io/Logging_2080/artfynd/A 22784-2024 artfynd.xlsx", "A 22784-2024")</f>
        <v/>
      </c>
      <c r="X1481">
        <f>HYPERLINK("https://klasma.github.io/Logging_2080/kartor/A 22784-2024 karta.png", "A 22784-2024")</f>
        <v/>
      </c>
      <c r="Y1481">
        <f>HYPERLINK("https://klasma.github.io/Logging_2080/kartor_geotiff/A 22784-2024 georefererad karta.tif", "A 22784-2024")</f>
        <v/>
      </c>
      <c r="AA1481">
        <f>HYPERLINK("https://klasma.github.io/Logging_2080/klagomål/A 22784-2024 FSC-klagomål.docx", "A 22784-2024")</f>
        <v/>
      </c>
      <c r="AB1481">
        <f>HYPERLINK("https://klasma.github.io/Logging_2080/klagomålsmail/A 22784-2024 FSC-klagomål mail.docx", "A 22784-2024")</f>
        <v/>
      </c>
      <c r="AC1481">
        <f>HYPERLINK("https://klasma.github.io/Logging_2080/tillsyn/A 22784-2024 tillsynsbegäran.docx", "A 22784-2024")</f>
        <v/>
      </c>
      <c r="AD1481">
        <f>HYPERLINK("https://klasma.github.io/Logging_2080/tillsynsmail/A 22784-2024 tillsynsbegäran mail.docx", "A 22784-2024")</f>
        <v/>
      </c>
      <c r="AE1481">
        <f>HYPERLINK("https://klasma.github.io/Logging_2080/fåglar/A 22784-2024 prioriterade fågelarter.docx", "A 22784-2024")</f>
        <v/>
      </c>
    </row>
    <row r="1482" ht="15" customHeight="1">
      <c r="A1482" t="inlineStr">
        <is>
          <t>A 52941-2024</t>
        </is>
      </c>
      <c r="B1482" t="inlineStr">
        <is>
          <t>avverkningsanmälan</t>
        </is>
      </c>
      <c r="C1482" t="inlineStr">
        <is>
          <t>Föryngringsavverkning</t>
        </is>
      </c>
      <c r="D1482" s="1" t="n">
        <v>45610</v>
      </c>
      <c r="E1482" s="1" t="n">
        <v>46319</v>
      </c>
      <c r="F1482" t="inlineStr">
        <is>
          <t>DALARNAS LÄN</t>
        </is>
      </c>
      <c r="G1482" t="inlineStr">
        <is>
          <t>HEDEMORA</t>
        </is>
      </c>
      <c r="H1482" t="inlineStr">
        <is>
          <t>Sveaskog</t>
        </is>
      </c>
      <c r="I1482" t="n">
        <v>18.3</v>
      </c>
      <c r="J1482" t="n">
        <v>1</v>
      </c>
      <c r="K1482" t="n">
        <v>0</v>
      </c>
      <c r="L1482" t="n">
        <v>0</v>
      </c>
      <c r="M1482" t="n">
        <v>1</v>
      </c>
      <c r="N1482" t="n">
        <v>0</v>
      </c>
      <c r="O1482" t="n">
        <v>0</v>
      </c>
      <c r="P1482" t="n">
        <v>0</v>
      </c>
      <c r="Q1482" t="n">
        <v>1</v>
      </c>
      <c r="R1482" t="n">
        <v>1</v>
      </c>
      <c r="S1482" t="n">
        <v>1</v>
      </c>
      <c r="T1482" t="n">
        <v>1</v>
      </c>
      <c r="U1482" t="n">
        <v>0</v>
      </c>
      <c r="V1482" s="2" t="inlineStr">
        <is>
          <t>Knärot</t>
        </is>
      </c>
      <c r="W1482">
        <f>HYPERLINK("https://klasma.github.io/Logging_2083/artfynd/A 52941-2024 artfynd.xlsx", "A 52941-2024")</f>
        <v/>
      </c>
      <c r="X1482">
        <f>HYPERLINK("https://klasma.github.io/Logging_2083/kartor/A 52941-2024 karta.png", "A 52941-2024")</f>
        <v/>
      </c>
      <c r="Y1482">
        <f>HYPERLINK("https://klasma.github.io/Logging_2083/kartor_geotiff/A 52941-2024 georefererad karta.tif", "A 52941-2024")</f>
        <v/>
      </c>
      <c r="Z1482">
        <f>HYPERLINK("https://klasma.github.io/Logging_2083/knärot/A 52941-2024 karta knärot.png", "A 52941-2024")</f>
        <v/>
      </c>
      <c r="AA1482">
        <f>HYPERLINK("https://klasma.github.io/Logging_2083/klagomål/A 52941-2024 FSC-klagomål.docx", "A 52941-2024")</f>
        <v/>
      </c>
      <c r="AB1482">
        <f>HYPERLINK("https://klasma.github.io/Logging_2083/klagomålsmail/A 52941-2024 FSC-klagomål mail.docx", "A 52941-2024")</f>
        <v/>
      </c>
      <c r="AC1482">
        <f>HYPERLINK("https://klasma.github.io/Logging_2083/tillsyn/A 52941-2024 tillsynsbegäran.docx", "A 52941-2024")</f>
        <v/>
      </c>
      <c r="AD1482">
        <f>HYPERLINK("https://klasma.github.io/Logging_2083/tillsynsmail/A 52941-2024 tillsynsbegäran mail.docx", "A 52941-2024")</f>
        <v/>
      </c>
    </row>
    <row r="1483" ht="15" customHeight="1">
      <c r="A1483" t="inlineStr">
        <is>
          <t>A 5690-2025</t>
        </is>
      </c>
      <c r="B1483" t="inlineStr">
        <is>
          <t>avverkningsanmälan</t>
        </is>
      </c>
      <c r="C1483" t="inlineStr">
        <is>
          <t>Avverkning för annat ändamål</t>
        </is>
      </c>
      <c r="D1483" s="1" t="n">
        <v>45694</v>
      </c>
      <c r="E1483" s="1" t="n">
        <v>46319</v>
      </c>
      <c r="F1483" t="inlineStr">
        <is>
          <t>DALARNAS LÄN</t>
        </is>
      </c>
      <c r="G1483" t="inlineStr">
        <is>
          <t>RÄTTVIK</t>
        </is>
      </c>
      <c r="H1483" t="inlineStr">
        <is>
          <t>Bergvik skog väst AB</t>
        </is>
      </c>
      <c r="I1483" t="n">
        <v>1.7</v>
      </c>
      <c r="J1483" t="n">
        <v>1</v>
      </c>
      <c r="K1483" t="n">
        <v>0</v>
      </c>
      <c r="L1483" t="n">
        <v>0</v>
      </c>
      <c r="M1483" t="n">
        <v>0</v>
      </c>
      <c r="N1483" t="n">
        <v>0</v>
      </c>
      <c r="O1483" t="n">
        <v>0</v>
      </c>
      <c r="P1483" t="n">
        <v>0</v>
      </c>
      <c r="Q1483" t="n">
        <v>0</v>
      </c>
      <c r="R1483" t="n">
        <v>0</v>
      </c>
      <c r="S1483" t="n">
        <v>1</v>
      </c>
      <c r="T1483" t="n">
        <v>1</v>
      </c>
      <c r="U1483" t="n">
        <v>0</v>
      </c>
      <c r="V1483" s="2" t="inlineStr">
        <is>
          <t>Tjäder</t>
        </is>
      </c>
      <c r="W1483">
        <f>HYPERLINK("https://klasma.github.io/Logging_2031/artfynd/A 5690-2025 artfynd.xlsx", "A 5690-2025")</f>
        <v/>
      </c>
      <c r="X1483">
        <f>HYPERLINK("https://klasma.github.io/Logging_2031/kartor/A 5690-2025 karta.png", "A 5690-2025")</f>
        <v/>
      </c>
      <c r="Y1483">
        <f>HYPERLINK("https://klasma.github.io/Logging_2031/kartor_geotiff/A 5690-2025 georefererad karta.tif", "A 5690-2025")</f>
        <v/>
      </c>
      <c r="AA1483">
        <f>HYPERLINK("https://klasma.github.io/Logging_2031/klagomål/A 5690-2025 FSC-klagomål.docx", "A 5690-2025")</f>
        <v/>
      </c>
      <c r="AB1483">
        <f>HYPERLINK("https://klasma.github.io/Logging_2031/klagomålsmail/A 5690-2025 FSC-klagomål mail.docx", "A 5690-2025")</f>
        <v/>
      </c>
      <c r="AC1483">
        <f>HYPERLINK("https://klasma.github.io/Logging_2031/tillsyn/A 5690-2025 tillsynsbegäran.docx", "A 5690-2025")</f>
        <v/>
      </c>
      <c r="AD1483">
        <f>HYPERLINK("https://klasma.github.io/Logging_2031/tillsynsmail/A 5690-2025 tillsynsbegäran mail.docx", "A 5690-2025")</f>
        <v/>
      </c>
      <c r="AE1483">
        <f>HYPERLINK("https://klasma.github.io/Logging_2031/fåglar/A 5690-2025 prioriterade fågelarter.docx", "A 5690-2025")</f>
        <v/>
      </c>
    </row>
    <row r="1484" ht="15" customHeight="1">
      <c r="A1484" t="inlineStr">
        <is>
          <t>A 44578-2023</t>
        </is>
      </c>
      <c r="B1484" t="inlineStr">
        <is>
          <t>avverkningsanmälan</t>
        </is>
      </c>
      <c r="C1484" t="inlineStr">
        <is>
          <t>Föryngringsavverkning</t>
        </is>
      </c>
      <c r="D1484" s="1" t="n">
        <v>45189</v>
      </c>
      <c r="E1484" s="1" t="n">
        <v>46319</v>
      </c>
      <c r="F1484" t="inlineStr">
        <is>
          <t>DALARNAS LÄN</t>
        </is>
      </c>
      <c r="G1484" t="inlineStr">
        <is>
          <t>LUDVIKA</t>
        </is>
      </c>
      <c r="H1484" t="inlineStr">
        <is>
          <t>Övriga Aktiebolag</t>
        </is>
      </c>
      <c r="I1484" t="n">
        <v>12</v>
      </c>
      <c r="J1484" t="n">
        <v>0</v>
      </c>
      <c r="K1484" t="n">
        <v>0</v>
      </c>
      <c r="L1484" t="n">
        <v>1</v>
      </c>
      <c r="M1484" t="n">
        <v>0</v>
      </c>
      <c r="N1484" t="n">
        <v>0</v>
      </c>
      <c r="O1484" t="n">
        <v>0</v>
      </c>
      <c r="P1484" t="n">
        <v>0</v>
      </c>
      <c r="Q1484" t="n">
        <v>1</v>
      </c>
      <c r="R1484" t="n">
        <v>0</v>
      </c>
      <c r="S1484" t="n">
        <v>1</v>
      </c>
      <c r="T1484" t="n">
        <v>1</v>
      </c>
      <c r="U1484" t="n">
        <v>0</v>
      </c>
      <c r="V1484" s="2" t="inlineStr">
        <is>
          <t>Dofttaggsvamp</t>
        </is>
      </c>
      <c r="W1484">
        <f>HYPERLINK("https://klasma.github.io/Logging_2085/artfynd/A 44578-2023 artfynd.xlsx", "A 44578-2023")</f>
        <v/>
      </c>
      <c r="X1484">
        <f>HYPERLINK("https://klasma.github.io/Logging_2085/kartor/A 44578-2023 karta.png", "A 44578-2023")</f>
        <v/>
      </c>
      <c r="Y1484">
        <f>HYPERLINK("https://klasma.github.io/Logging_2085/kartor_geotiff/A 44578-2023 georefererad karta.tif", "A 44578-2023")</f>
        <v/>
      </c>
      <c r="AA1484">
        <f>HYPERLINK("https://klasma.github.io/Logging_2085/klagomål/A 44578-2023 FSC-klagomål.docx", "A 44578-2023")</f>
        <v/>
      </c>
      <c r="AB1484">
        <f>HYPERLINK("https://klasma.github.io/Logging_2085/klagomålsmail/A 44578-2023 FSC-klagomål mail.docx", "A 44578-2023")</f>
        <v/>
      </c>
      <c r="AC1484">
        <f>HYPERLINK("https://klasma.github.io/Logging_2085/tillsyn/A 44578-2023 tillsynsbegäran.docx", "A 44578-2023")</f>
        <v/>
      </c>
      <c r="AD1484">
        <f>HYPERLINK("https://klasma.github.io/Logging_2085/tillsynsmail/A 44578-2023 tillsynsbegäran mail.docx", "A 44578-2023")</f>
        <v/>
      </c>
    </row>
    <row r="1485" ht="15" customHeight="1">
      <c r="A1485" t="inlineStr">
        <is>
          <t>A 21813-2023</t>
        </is>
      </c>
      <c r="B1485" t="inlineStr">
        <is>
          <t>avverkningsanmälan</t>
        </is>
      </c>
      <c r="C1485" t="inlineStr">
        <is>
          <t>Föryngringsavverkning</t>
        </is>
      </c>
      <c r="D1485" s="1" t="n">
        <v>45068</v>
      </c>
      <c r="E1485" s="1" t="n">
        <v>46319</v>
      </c>
      <c r="F1485" t="inlineStr">
        <is>
          <t>DALARNAS LÄN</t>
        </is>
      </c>
      <c r="G1485" t="inlineStr">
        <is>
          <t>FALUN</t>
        </is>
      </c>
      <c r="I1485" t="n">
        <v>0.5</v>
      </c>
      <c r="J1485" t="n">
        <v>1</v>
      </c>
      <c r="K1485" t="n">
        <v>0</v>
      </c>
      <c r="L1485" t="n">
        <v>0</v>
      </c>
      <c r="M1485" t="n">
        <v>1</v>
      </c>
      <c r="N1485" t="n">
        <v>0</v>
      </c>
      <c r="O1485" t="n">
        <v>0</v>
      </c>
      <c r="P1485" t="n">
        <v>0</v>
      </c>
      <c r="Q1485" t="n">
        <v>1</v>
      </c>
      <c r="R1485" t="n">
        <v>1</v>
      </c>
      <c r="S1485" t="n">
        <v>1</v>
      </c>
      <c r="T1485" t="n">
        <v>1</v>
      </c>
      <c r="U1485" t="n">
        <v>0</v>
      </c>
      <c r="V1485" s="2" t="inlineStr">
        <is>
          <t>Brun gräsfjäril</t>
        </is>
      </c>
      <c r="W1485">
        <f>HYPERLINK("https://klasma.github.io/Logging_2080/artfynd/A 21813-2023 artfynd.xlsx", "A 21813-2023")</f>
        <v/>
      </c>
      <c r="X1485">
        <f>HYPERLINK("https://klasma.github.io/Logging_2080/kartor/A 21813-2023 karta.png", "A 21813-2023")</f>
        <v/>
      </c>
      <c r="Y1485">
        <f>HYPERLINK("https://klasma.github.io/Logging_2080/kartor_geotiff/A 21813-2023 georefererad karta.tif", "A 21813-2023")</f>
        <v/>
      </c>
      <c r="AA1485">
        <f>HYPERLINK("https://klasma.github.io/Logging_2080/klagomål/A 21813-2023 FSC-klagomål.docx", "A 21813-2023")</f>
        <v/>
      </c>
      <c r="AB1485">
        <f>HYPERLINK("https://klasma.github.io/Logging_2080/klagomålsmail/A 21813-2023 FSC-klagomål mail.docx", "A 21813-2023")</f>
        <v/>
      </c>
      <c r="AC1485">
        <f>HYPERLINK("https://klasma.github.io/Logging_2080/tillsyn/A 21813-2023 tillsynsbegäran.docx", "A 21813-2023")</f>
        <v/>
      </c>
      <c r="AD1485">
        <f>HYPERLINK("https://klasma.github.io/Logging_2080/tillsynsmail/A 21813-2023 tillsynsbegäran mail.docx", "A 21813-2023")</f>
        <v/>
      </c>
    </row>
    <row r="1486" ht="15" customHeight="1">
      <c r="A1486" t="inlineStr">
        <is>
          <t>A 36593-2023</t>
        </is>
      </c>
      <c r="B1486" t="inlineStr">
        <is>
          <t>avverkningsanmälan</t>
        </is>
      </c>
      <c r="C1486" t="inlineStr">
        <is>
          <t>Föryngringsavverkning</t>
        </is>
      </c>
      <c r="D1486" s="1" t="n">
        <v>45153</v>
      </c>
      <c r="E1486" s="1" t="n">
        <v>46319</v>
      </c>
      <c r="F1486" t="inlineStr">
        <is>
          <t>DALARNAS LÄN</t>
        </is>
      </c>
      <c r="G1486" t="inlineStr">
        <is>
          <t>ÄLVDALEN</t>
        </is>
      </c>
      <c r="I1486" t="n">
        <v>0.9</v>
      </c>
      <c r="J1486" t="n">
        <v>0</v>
      </c>
      <c r="K1486" t="n">
        <v>0</v>
      </c>
      <c r="L1486" t="n">
        <v>0</v>
      </c>
      <c r="M1486" t="n">
        <v>1</v>
      </c>
      <c r="N1486" t="n">
        <v>0</v>
      </c>
      <c r="O1486" t="n">
        <v>0</v>
      </c>
      <c r="P1486" t="n">
        <v>0</v>
      </c>
      <c r="Q1486" t="n">
        <v>1</v>
      </c>
      <c r="R1486" t="n">
        <v>1</v>
      </c>
      <c r="S1486" t="n">
        <v>1</v>
      </c>
      <c r="T1486" t="n">
        <v>1</v>
      </c>
      <c r="U1486" t="n">
        <v>1</v>
      </c>
      <c r="V1486" s="2" t="inlineStr">
        <is>
          <t>Garnlav</t>
        </is>
      </c>
      <c r="W1486">
        <f>HYPERLINK("https://klasma.github.io/Logging_2039/artfynd/A 36593-2023 artfynd.xlsx", "A 36593-2023")</f>
        <v/>
      </c>
      <c r="X1486">
        <f>HYPERLINK("https://klasma.github.io/Logging_2039/kartor/A 36593-2023 karta.png", "A 36593-2023")</f>
        <v/>
      </c>
      <c r="Y1486">
        <f>HYPERLINK("https://klasma.github.io/Logging_2039/kartor_geotiff/A 36593-2023 georefererad karta.tif", "A 36593-2023")</f>
        <v/>
      </c>
      <c r="Z1486">
        <f>HYPERLINK("https://klasma.github.io/Logging_2039/knärot/A 36593-2023 karta knärot.png", "A 36593-2023")</f>
        <v/>
      </c>
      <c r="AA1486">
        <f>HYPERLINK("https://klasma.github.io/Logging_2039/klagomål/A 36593-2023 FSC-klagomål.docx", "A 36593-2023")</f>
        <v/>
      </c>
      <c r="AB1486">
        <f>HYPERLINK("https://klasma.github.io/Logging_2039/klagomålsmail/A 36593-2023 FSC-klagomål mail.docx", "A 36593-2023")</f>
        <v/>
      </c>
      <c r="AC1486">
        <f>HYPERLINK("https://klasma.github.io/Logging_2039/tillsyn/A 36593-2023 tillsynsbegäran.docx", "A 36593-2023")</f>
        <v/>
      </c>
      <c r="AD1486">
        <f>HYPERLINK("https://klasma.github.io/Logging_2039/tillsynsmail/A 36593-2023 tillsynsbegäran mail.docx", "A 36593-2023")</f>
        <v/>
      </c>
    </row>
    <row r="1487" ht="15" customHeight="1">
      <c r="A1487" t="inlineStr">
        <is>
          <t>A 4974-2025</t>
        </is>
      </c>
      <c r="B1487" t="inlineStr">
        <is>
          <t>avverkningsanmälan</t>
        </is>
      </c>
      <c r="C1487" t="inlineStr">
        <is>
          <t>Föryngringsavverkning</t>
        </is>
      </c>
      <c r="D1487" s="1" t="n">
        <v>45690</v>
      </c>
      <c r="E1487" s="1" t="n">
        <v>46319</v>
      </c>
      <c r="F1487" t="inlineStr">
        <is>
          <t>DALARNAS LÄN</t>
        </is>
      </c>
      <c r="G1487" t="inlineStr">
        <is>
          <t>LEKSAND</t>
        </is>
      </c>
      <c r="I1487" t="n">
        <v>0.9</v>
      </c>
      <c r="J1487" t="n">
        <v>1</v>
      </c>
      <c r="K1487" t="n">
        <v>0</v>
      </c>
      <c r="L1487" t="n">
        <v>0</v>
      </c>
      <c r="M1487" t="n">
        <v>0</v>
      </c>
      <c r="N1487" t="n">
        <v>0</v>
      </c>
      <c r="O1487" t="n">
        <v>0</v>
      </c>
      <c r="P1487" t="n">
        <v>0</v>
      </c>
      <c r="Q1487" t="n">
        <v>0</v>
      </c>
      <c r="R1487" t="n">
        <v>0</v>
      </c>
      <c r="S1487" t="n">
        <v>1</v>
      </c>
      <c r="T1487" t="n">
        <v>1</v>
      </c>
      <c r="U1487" t="n">
        <v>1</v>
      </c>
      <c r="V1487" s="2" t="inlineStr">
        <is>
          <t>Spillkråka</t>
        </is>
      </c>
      <c r="W1487">
        <f>HYPERLINK("https://klasma.github.io/Logging_2029/artfynd/A 4974-2025 artfynd.xlsx", "A 4974-2025")</f>
        <v/>
      </c>
      <c r="X1487">
        <f>HYPERLINK("https://klasma.github.io/Logging_2029/kartor/A 4974-2025 karta.png", "A 4974-2025")</f>
        <v/>
      </c>
      <c r="Y1487">
        <f>HYPERLINK("https://klasma.github.io/Logging_2029/kartor_geotiff/A 4974-2025 georefererad karta.tif", "A 4974-2025")</f>
        <v/>
      </c>
      <c r="AA1487">
        <f>HYPERLINK("https://klasma.github.io/Logging_2029/klagomål/A 4974-2025 FSC-klagomål.docx", "A 4974-2025")</f>
        <v/>
      </c>
      <c r="AB1487">
        <f>HYPERLINK("https://klasma.github.io/Logging_2029/klagomålsmail/A 4974-2025 FSC-klagomål mail.docx", "A 4974-2025")</f>
        <v/>
      </c>
      <c r="AC1487">
        <f>HYPERLINK("https://klasma.github.io/Logging_2029/tillsyn/A 4974-2025 tillsynsbegäran.docx", "A 4974-2025")</f>
        <v/>
      </c>
      <c r="AD1487">
        <f>HYPERLINK("https://klasma.github.io/Logging_2029/tillsynsmail/A 4974-2025 tillsynsbegäran mail.docx", "A 4974-2025")</f>
        <v/>
      </c>
      <c r="AE1487">
        <f>HYPERLINK("https://klasma.github.io/Logging_2029/fåglar/A 4974-2025 prioriterade fågelarter.docx", "A 4974-2025")</f>
        <v/>
      </c>
    </row>
    <row r="1488" ht="15" customHeight="1">
      <c r="A1488" t="inlineStr">
        <is>
          <t>A 40853-2022</t>
        </is>
      </c>
      <c r="B1488" t="inlineStr">
        <is>
          <t>avverkningsanmälan</t>
        </is>
      </c>
      <c r="C1488" t="inlineStr">
        <is>
          <t>Föryngringsavverkning</t>
        </is>
      </c>
      <c r="D1488" s="1" t="n">
        <v>44825</v>
      </c>
      <c r="E1488" s="1" t="n">
        <v>46319</v>
      </c>
      <c r="F1488" t="inlineStr">
        <is>
          <t>DALARNAS LÄN</t>
        </is>
      </c>
      <c r="G1488" t="inlineStr">
        <is>
          <t>FALUN</t>
        </is>
      </c>
      <c r="I1488" t="n">
        <v>7.2</v>
      </c>
      <c r="J1488" t="n">
        <v>1</v>
      </c>
      <c r="K1488" t="n">
        <v>0</v>
      </c>
      <c r="L1488" t="n">
        <v>1</v>
      </c>
      <c r="M1488" t="n">
        <v>0</v>
      </c>
      <c r="N1488" t="n">
        <v>0</v>
      </c>
      <c r="O1488" t="n">
        <v>0</v>
      </c>
      <c r="P1488" t="n">
        <v>0</v>
      </c>
      <c r="Q1488" t="n">
        <v>1</v>
      </c>
      <c r="R1488" t="n">
        <v>0</v>
      </c>
      <c r="S1488" t="n">
        <v>1</v>
      </c>
      <c r="T1488" t="n">
        <v>1</v>
      </c>
      <c r="U1488" t="n">
        <v>1</v>
      </c>
      <c r="V1488" s="2" t="inlineStr">
        <is>
          <t>Sparvuggla</t>
        </is>
      </c>
      <c r="W1488">
        <f>HYPERLINK("https://klasma.github.io/Logging_2080/artfynd/A 40853-2022 artfynd.xlsx", "A 40853-2022")</f>
        <v/>
      </c>
      <c r="X1488">
        <f>HYPERLINK("https://klasma.github.io/Logging_2080/kartor/A 40853-2022 karta.png", "A 40853-2022")</f>
        <v/>
      </c>
      <c r="Y1488">
        <f>HYPERLINK("https://klasma.github.io/Logging_2080/kartor_geotiff/A 40853-2022 georefererad karta.tif", "A 40853-2022")</f>
        <v/>
      </c>
      <c r="AA1488">
        <f>HYPERLINK("https://klasma.github.io/Logging_2080/klagomål/A 40853-2022 FSC-klagomål.docx", "A 40853-2022")</f>
        <v/>
      </c>
      <c r="AB1488">
        <f>HYPERLINK("https://klasma.github.io/Logging_2080/klagomålsmail/A 40853-2022 FSC-klagomål mail.docx", "A 40853-2022")</f>
        <v/>
      </c>
      <c r="AC1488">
        <f>HYPERLINK("https://klasma.github.io/Logging_2080/tillsyn/A 40853-2022 tillsynsbegäran.docx", "A 40853-2022")</f>
        <v/>
      </c>
      <c r="AD1488">
        <f>HYPERLINK("https://klasma.github.io/Logging_2080/tillsynsmail/A 40853-2022 tillsynsbegäran mail.docx", "A 40853-2022")</f>
        <v/>
      </c>
      <c r="AE1488">
        <f>HYPERLINK("https://klasma.github.io/Logging_2080/fåglar/A 40853-2022 prioriterade fågelarter.docx", "A 40853-2022")</f>
        <v/>
      </c>
    </row>
    <row r="1489" ht="15" customHeight="1">
      <c r="A1489" t="inlineStr">
        <is>
          <t>A 26287-2023</t>
        </is>
      </c>
      <c r="B1489" t="inlineStr">
        <is>
          <t>avverkningsanmälan</t>
        </is>
      </c>
      <c r="C1489" t="inlineStr">
        <is>
          <t>Föryngringsavverkning</t>
        </is>
      </c>
      <c r="D1489" s="1" t="n">
        <v>45091</v>
      </c>
      <c r="E1489" s="1" t="n">
        <v>46319</v>
      </c>
      <c r="F1489" t="inlineStr">
        <is>
          <t>DALARNAS LÄN</t>
        </is>
      </c>
      <c r="G1489" t="inlineStr">
        <is>
          <t>LEKSAND</t>
        </is>
      </c>
      <c r="I1489" t="n">
        <v>2.4</v>
      </c>
      <c r="J1489" t="n">
        <v>0</v>
      </c>
      <c r="K1489" t="n">
        <v>1</v>
      </c>
      <c r="L1489" t="n">
        <v>0</v>
      </c>
      <c r="M1489" t="n">
        <v>0</v>
      </c>
      <c r="N1489" t="n">
        <v>0</v>
      </c>
      <c r="O1489" t="n">
        <v>0</v>
      </c>
      <c r="P1489" t="n">
        <v>0</v>
      </c>
      <c r="Q1489" t="n">
        <v>0</v>
      </c>
      <c r="R1489" t="n">
        <v>0</v>
      </c>
      <c r="S1489" t="n">
        <v>1</v>
      </c>
      <c r="T1489" t="n">
        <v>1</v>
      </c>
      <c r="U1489" t="n">
        <v>0</v>
      </c>
      <c r="V1489" s="2" t="inlineStr">
        <is>
          <t>Mindre märgborre</t>
        </is>
      </c>
      <c r="W1489">
        <f>HYPERLINK("https://klasma.github.io/Logging_2029/artfynd/A 26287-2023 artfynd.xlsx", "A 26287-2023")</f>
        <v/>
      </c>
      <c r="X1489">
        <f>HYPERLINK("https://klasma.github.io/Logging_2029/kartor/A 26287-2023 karta.png", "A 26287-2023")</f>
        <v/>
      </c>
      <c r="Y1489">
        <f>HYPERLINK("https://klasma.github.io/Logging_2029/kartor_geotiff/A 26287-2023 georefererad karta.tif", "A 26287-2023")</f>
        <v/>
      </c>
      <c r="AA1489">
        <f>HYPERLINK("https://klasma.github.io/Logging_2029/klagomål/A 26287-2023 FSC-klagomål.docx", "A 26287-2023")</f>
        <v/>
      </c>
      <c r="AB1489">
        <f>HYPERLINK("https://klasma.github.io/Logging_2029/klagomålsmail/A 26287-2023 FSC-klagomål mail.docx", "A 26287-2023")</f>
        <v/>
      </c>
      <c r="AC1489">
        <f>HYPERLINK("https://klasma.github.io/Logging_2029/tillsyn/A 26287-2023 tillsynsbegäran.docx", "A 26287-2023")</f>
        <v/>
      </c>
      <c r="AD1489">
        <f>HYPERLINK("https://klasma.github.io/Logging_2029/tillsynsmail/A 26287-2023 tillsynsbegäran mail.docx", "A 26287-2023")</f>
        <v/>
      </c>
    </row>
    <row r="1490" ht="15" customHeight="1">
      <c r="A1490" t="inlineStr">
        <is>
          <t>A 52249-2022</t>
        </is>
      </c>
      <c r="B1490" t="inlineStr">
        <is>
          <t>avverkningsanmälan</t>
        </is>
      </c>
      <c r="C1490" t="inlineStr">
        <is>
          <t>Avverkning för annat ändamål</t>
        </is>
      </c>
      <c r="D1490" s="1" t="n">
        <v>44873</v>
      </c>
      <c r="E1490" s="1" t="n">
        <v>46319</v>
      </c>
      <c r="F1490" t="inlineStr">
        <is>
          <t>DALARNAS LÄN</t>
        </is>
      </c>
      <c r="G1490" t="inlineStr">
        <is>
          <t>ÄLVDALEN</t>
        </is>
      </c>
      <c r="H1490" t="inlineStr">
        <is>
          <t>Sveaskog</t>
        </is>
      </c>
      <c r="I1490" t="n">
        <v>0.4</v>
      </c>
      <c r="J1490" t="n">
        <v>0</v>
      </c>
      <c r="K1490" t="n">
        <v>0</v>
      </c>
      <c r="L1490" t="n">
        <v>1</v>
      </c>
      <c r="M1490" t="n">
        <v>0</v>
      </c>
      <c r="N1490" t="n">
        <v>0</v>
      </c>
      <c r="O1490" t="n">
        <v>0</v>
      </c>
      <c r="P1490" t="n">
        <v>0</v>
      </c>
      <c r="Q1490" t="n">
        <v>1</v>
      </c>
      <c r="R1490" t="n">
        <v>0</v>
      </c>
      <c r="S1490" t="n">
        <v>1</v>
      </c>
      <c r="T1490" t="n">
        <v>1</v>
      </c>
      <c r="U1490" t="n">
        <v>0</v>
      </c>
      <c r="V1490" s="2" t="inlineStr">
        <is>
          <t>Älg</t>
        </is>
      </c>
      <c r="W1490">
        <f>HYPERLINK("https://klasma.github.io/Logging_2039/artfynd/A 52249-2022 artfynd.xlsx", "A 52249-2022")</f>
        <v/>
      </c>
      <c r="X1490">
        <f>HYPERLINK("https://klasma.github.io/Logging_2039/kartor/A 52249-2022 karta.png", "A 52249-2022")</f>
        <v/>
      </c>
      <c r="Y1490">
        <f>HYPERLINK("https://klasma.github.io/Logging_2039/kartor_geotiff/A 52249-2022 georefererad karta.tif", "A 52249-2022")</f>
        <v/>
      </c>
      <c r="AA1490">
        <f>HYPERLINK("https://klasma.github.io/Logging_2039/klagomål/A 52249-2022 FSC-klagomål.docx", "A 52249-2022")</f>
        <v/>
      </c>
      <c r="AB1490">
        <f>HYPERLINK("https://klasma.github.io/Logging_2039/klagomålsmail/A 52249-2022 FSC-klagomål mail.docx", "A 52249-2022")</f>
        <v/>
      </c>
      <c r="AC1490">
        <f>HYPERLINK("https://klasma.github.io/Logging_2039/tillsyn/A 52249-2022 tillsynsbegäran.docx", "A 52249-2022")</f>
        <v/>
      </c>
      <c r="AD1490">
        <f>HYPERLINK("https://klasma.github.io/Logging_2039/tillsynsmail/A 52249-2022 tillsynsbegäran mail.docx", "A 52249-2022")</f>
        <v/>
      </c>
    </row>
    <row r="1491" ht="15" customHeight="1">
      <c r="A1491" t="inlineStr">
        <is>
          <t>A 11285-2025</t>
        </is>
      </c>
      <c r="B1491" t="inlineStr">
        <is>
          <t>avverkningsanmälan</t>
        </is>
      </c>
      <c r="C1491" t="inlineStr">
        <is>
          <t>Föryngringsavverkning</t>
        </is>
      </c>
      <c r="D1491" s="1" t="n">
        <v>45726</v>
      </c>
      <c r="E1491" s="1" t="n">
        <v>46319</v>
      </c>
      <c r="F1491" t="inlineStr">
        <is>
          <t>DALARNAS LÄN</t>
        </is>
      </c>
      <c r="G1491" t="inlineStr">
        <is>
          <t>GAGNEF</t>
        </is>
      </c>
      <c r="I1491" t="n">
        <v>12.2</v>
      </c>
      <c r="J1491" t="n">
        <v>1</v>
      </c>
      <c r="K1491" t="n">
        <v>0</v>
      </c>
      <c r="L1491" t="n">
        <v>0</v>
      </c>
      <c r="M1491" t="n">
        <v>0</v>
      </c>
      <c r="N1491" t="n">
        <v>0</v>
      </c>
      <c r="O1491" t="n">
        <v>0</v>
      </c>
      <c r="P1491" t="n">
        <v>0</v>
      </c>
      <c r="Q1491" t="n">
        <v>0</v>
      </c>
      <c r="R1491" t="n">
        <v>0</v>
      </c>
      <c r="S1491" t="n">
        <v>1</v>
      </c>
      <c r="T1491" t="n">
        <v>1</v>
      </c>
      <c r="U1491" t="n">
        <v>1</v>
      </c>
      <c r="V1491" s="2" t="inlineStr">
        <is>
          <t>Fläcknycklar</t>
        </is>
      </c>
      <c r="W1491">
        <f>HYPERLINK("https://klasma.github.io/Logging_2026/artfynd/A 11285-2025 artfynd.xlsx", "A 11285-2025")</f>
        <v/>
      </c>
      <c r="X1491">
        <f>HYPERLINK("https://klasma.github.io/Logging_2026/kartor/A 11285-2025 karta.png", "A 11285-2025")</f>
        <v/>
      </c>
      <c r="Y1491">
        <f>HYPERLINK("https://klasma.github.io/Logging_2026/kartor_geotiff/A 11285-2025 georefererad karta.tif", "A 11285-2025")</f>
        <v/>
      </c>
      <c r="AA1491">
        <f>HYPERLINK("https://klasma.github.io/Logging_2026/klagomål/A 11285-2025 FSC-klagomål.docx", "A 11285-2025")</f>
        <v/>
      </c>
      <c r="AB1491">
        <f>HYPERLINK("https://klasma.github.io/Logging_2026/klagomålsmail/A 11285-2025 FSC-klagomål mail.docx", "A 11285-2025")</f>
        <v/>
      </c>
      <c r="AC1491">
        <f>HYPERLINK("https://klasma.github.io/Logging_2026/tillsyn/A 11285-2025 tillsynsbegäran.docx", "A 11285-2025")</f>
        <v/>
      </c>
      <c r="AD1491">
        <f>HYPERLINK("https://klasma.github.io/Logging_2026/tillsynsmail/A 11285-2025 tillsynsbegäran mail.docx", "A 11285-2025")</f>
        <v/>
      </c>
    </row>
    <row r="1492" ht="15" customHeight="1">
      <c r="A1492" t="inlineStr">
        <is>
          <t>A 64451-2021</t>
        </is>
      </c>
      <c r="B1492" t="inlineStr">
        <is>
          <t>avverkningsanmälan</t>
        </is>
      </c>
      <c r="C1492" t="inlineStr">
        <is>
          <t>Föryngringsavverkning</t>
        </is>
      </c>
      <c r="D1492" s="1" t="n">
        <v>44511</v>
      </c>
      <c r="E1492" s="1" t="n">
        <v>46319</v>
      </c>
      <c r="F1492" t="inlineStr">
        <is>
          <t>DALARNAS LÄN</t>
        </is>
      </c>
      <c r="G1492" t="inlineStr">
        <is>
          <t>RÄTTVIK</t>
        </is>
      </c>
      <c r="I1492" t="n">
        <v>1.3</v>
      </c>
      <c r="J1492" t="n">
        <v>0</v>
      </c>
      <c r="K1492" t="n">
        <v>0</v>
      </c>
      <c r="L1492" t="n">
        <v>1</v>
      </c>
      <c r="M1492" t="n">
        <v>0</v>
      </c>
      <c r="N1492" t="n">
        <v>0</v>
      </c>
      <c r="O1492" t="n">
        <v>0</v>
      </c>
      <c r="P1492" t="n">
        <v>0</v>
      </c>
      <c r="Q1492" t="n">
        <v>1</v>
      </c>
      <c r="R1492" t="n">
        <v>0</v>
      </c>
      <c r="S1492" t="n">
        <v>1</v>
      </c>
      <c r="T1492" t="n">
        <v>1</v>
      </c>
      <c r="U1492" t="n">
        <v>0</v>
      </c>
      <c r="V1492" s="2" t="inlineStr">
        <is>
          <t>Kandelabersvamp</t>
        </is>
      </c>
      <c r="W1492">
        <f>HYPERLINK("https://klasma.github.io/Logging_2031/artfynd/A 64451-2021 artfynd.xlsx", "A 64451-2021")</f>
        <v/>
      </c>
      <c r="X1492">
        <f>HYPERLINK("https://klasma.github.io/Logging_2031/kartor/A 64451-2021 karta.png", "A 64451-2021")</f>
        <v/>
      </c>
      <c r="Y1492">
        <f>HYPERLINK("https://klasma.github.io/Logging_2031/kartor_geotiff/A 64451-2021 georefererad karta.tif", "A 64451-2021")</f>
        <v/>
      </c>
      <c r="AA1492">
        <f>HYPERLINK("https://klasma.github.io/Logging_2031/klagomål/A 64451-2021 FSC-klagomål.docx", "A 64451-2021")</f>
        <v/>
      </c>
      <c r="AB1492">
        <f>HYPERLINK("https://klasma.github.io/Logging_2031/klagomålsmail/A 64451-2021 FSC-klagomål mail.docx", "A 64451-2021")</f>
        <v/>
      </c>
      <c r="AC1492">
        <f>HYPERLINK("https://klasma.github.io/Logging_2031/tillsyn/A 64451-2021 tillsynsbegäran.docx", "A 64451-2021")</f>
        <v/>
      </c>
      <c r="AD1492">
        <f>HYPERLINK("https://klasma.github.io/Logging_2031/tillsynsmail/A 64451-2021 tillsynsbegäran mail.docx", "A 64451-2021")</f>
        <v/>
      </c>
    </row>
    <row r="1493" ht="15" customHeight="1">
      <c r="A1493" t="inlineStr">
        <is>
          <t>A 7605-2025</t>
        </is>
      </c>
      <c r="B1493" t="inlineStr">
        <is>
          <t>avverkningsanmälan</t>
        </is>
      </c>
      <c r="C1493" t="inlineStr">
        <is>
          <t>Föryngringsavverkning</t>
        </is>
      </c>
      <c r="D1493" s="1" t="n">
        <v>45705</v>
      </c>
      <c r="E1493" s="1" t="n">
        <v>46319</v>
      </c>
      <c r="F1493" t="inlineStr">
        <is>
          <t>DALARNAS LÄN</t>
        </is>
      </c>
      <c r="G1493" t="inlineStr">
        <is>
          <t>MALUNG-SÄLEN</t>
        </is>
      </c>
      <c r="I1493" t="n">
        <v>1.1</v>
      </c>
      <c r="J1493" t="n">
        <v>0</v>
      </c>
      <c r="K1493" t="n">
        <v>0</v>
      </c>
      <c r="L1493" t="n">
        <v>0</v>
      </c>
      <c r="M1493" t="n">
        <v>1</v>
      </c>
      <c r="N1493" t="n">
        <v>0</v>
      </c>
      <c r="O1493" t="n">
        <v>0</v>
      </c>
      <c r="P1493" t="n">
        <v>0</v>
      </c>
      <c r="Q1493" t="n">
        <v>1</v>
      </c>
      <c r="R1493" t="n">
        <v>1</v>
      </c>
      <c r="S1493" t="n">
        <v>1</v>
      </c>
      <c r="T1493" t="n">
        <v>1</v>
      </c>
      <c r="U1493" t="n">
        <v>1</v>
      </c>
      <c r="V1493" s="2" t="inlineStr">
        <is>
          <t>Garnlav</t>
        </is>
      </c>
      <c r="W1493">
        <f>HYPERLINK("https://klasma.github.io/Logging_2023/artfynd/A 7605-2025 artfynd.xlsx", "A 7605-2025")</f>
        <v/>
      </c>
      <c r="X1493">
        <f>HYPERLINK("https://klasma.github.io/Logging_2023/kartor/A 7605-2025 karta.png", "A 7605-2025")</f>
        <v/>
      </c>
      <c r="Y1493">
        <f>HYPERLINK("https://klasma.github.io/Logging_2023/kartor_geotiff/A 7605-2025 georefererad karta.tif", "A 7605-2025")</f>
        <v/>
      </c>
      <c r="AA1493">
        <f>HYPERLINK("https://klasma.github.io/Logging_2023/klagomål/A 7605-2025 FSC-klagomål.docx", "A 7605-2025")</f>
        <v/>
      </c>
      <c r="AB1493">
        <f>HYPERLINK("https://klasma.github.io/Logging_2023/klagomålsmail/A 7605-2025 FSC-klagomål mail.docx", "A 7605-2025")</f>
        <v/>
      </c>
      <c r="AC1493">
        <f>HYPERLINK("https://klasma.github.io/Logging_2023/tillsyn/A 7605-2025 tillsynsbegäran.docx", "A 7605-2025")</f>
        <v/>
      </c>
      <c r="AD1493">
        <f>HYPERLINK("https://klasma.github.io/Logging_2023/tillsynsmail/A 7605-2025 tillsynsbegäran mail.docx", "A 7605-2025")</f>
        <v/>
      </c>
    </row>
    <row r="1494" ht="15" customHeight="1">
      <c r="A1494" t="inlineStr">
        <is>
          <t>A 4785-2025</t>
        </is>
      </c>
      <c r="B1494" t="inlineStr">
        <is>
          <t>avverkningsanmälan</t>
        </is>
      </c>
      <c r="C1494" t="inlineStr">
        <is>
          <t>Avverkning för annat ändamål</t>
        </is>
      </c>
      <c r="D1494" s="1" t="n">
        <v>45688</v>
      </c>
      <c r="E1494" s="1" t="n">
        <v>46319</v>
      </c>
      <c r="F1494" t="inlineStr">
        <is>
          <t>DALARNAS LÄN</t>
        </is>
      </c>
      <c r="G1494" t="inlineStr">
        <is>
          <t>BORLÄNGE</t>
        </is>
      </c>
      <c r="I1494" t="n">
        <v>0.4</v>
      </c>
      <c r="J1494" t="n">
        <v>0</v>
      </c>
      <c r="K1494" t="n">
        <v>0</v>
      </c>
      <c r="L1494" t="n">
        <v>1</v>
      </c>
      <c r="M1494" t="n">
        <v>0</v>
      </c>
      <c r="N1494" t="n">
        <v>0</v>
      </c>
      <c r="O1494" t="n">
        <v>0</v>
      </c>
      <c r="P1494" t="n">
        <v>0</v>
      </c>
      <c r="Q1494" t="n">
        <v>1</v>
      </c>
      <c r="R1494" t="n">
        <v>0</v>
      </c>
      <c r="S1494" t="n">
        <v>1</v>
      </c>
      <c r="T1494" t="n">
        <v>1</v>
      </c>
      <c r="U1494" t="n">
        <v>0</v>
      </c>
      <c r="V1494" s="2" t="inlineStr">
        <is>
          <t>Tallticka</t>
        </is>
      </c>
      <c r="W1494">
        <f>HYPERLINK("https://klasma.github.io/Logging_2081/artfynd/A 4785-2025 artfynd.xlsx", "A 4785-2025")</f>
        <v/>
      </c>
      <c r="X1494">
        <f>HYPERLINK("https://klasma.github.io/Logging_2081/kartor/A 4785-2025 karta.png", "A 4785-2025")</f>
        <v/>
      </c>
      <c r="Y1494">
        <f>HYPERLINK("https://klasma.github.io/Logging_2081/kartor_geotiff/A 4785-2025 georefererad karta.tif", "A 4785-2025")</f>
        <v/>
      </c>
      <c r="AA1494">
        <f>HYPERLINK("https://klasma.github.io/Logging_2081/klagomål/A 4785-2025 FSC-klagomål.docx", "A 4785-2025")</f>
        <v/>
      </c>
      <c r="AB1494">
        <f>HYPERLINK("https://klasma.github.io/Logging_2081/klagomålsmail/A 4785-2025 FSC-klagomål mail.docx", "A 4785-2025")</f>
        <v/>
      </c>
      <c r="AC1494">
        <f>HYPERLINK("https://klasma.github.io/Logging_2081/tillsyn/A 4785-2025 tillsynsbegäran.docx", "A 4785-2025")</f>
        <v/>
      </c>
      <c r="AD1494">
        <f>HYPERLINK("https://klasma.github.io/Logging_2081/tillsynsmail/A 4785-2025 tillsynsbegäran mail.docx", "A 4785-2025")</f>
        <v/>
      </c>
    </row>
    <row r="1495" ht="15" customHeight="1">
      <c r="A1495" t="inlineStr">
        <is>
          <t>A 9682-2025</t>
        </is>
      </c>
      <c r="B1495" t="inlineStr">
        <is>
          <t>avverkningsanmälan</t>
        </is>
      </c>
      <c r="C1495" t="inlineStr">
        <is>
          <t>Föryngringsavverkning</t>
        </is>
      </c>
      <c r="D1495" s="1" t="n">
        <v>45716</v>
      </c>
      <c r="E1495" s="1" t="n">
        <v>46319</v>
      </c>
      <c r="F1495" t="inlineStr">
        <is>
          <t>DALARNAS LÄN</t>
        </is>
      </c>
      <c r="G1495" t="inlineStr">
        <is>
          <t>SÄTER</t>
        </is>
      </c>
      <c r="I1495" t="n">
        <v>6</v>
      </c>
      <c r="J1495" t="n">
        <v>0</v>
      </c>
      <c r="K1495" t="n">
        <v>1</v>
      </c>
      <c r="L1495" t="n">
        <v>0</v>
      </c>
      <c r="M1495" t="n">
        <v>0</v>
      </c>
      <c r="N1495" t="n">
        <v>0</v>
      </c>
      <c r="O1495" t="n">
        <v>0</v>
      </c>
      <c r="P1495" t="n">
        <v>0</v>
      </c>
      <c r="Q1495" t="n">
        <v>0</v>
      </c>
      <c r="R1495" t="n">
        <v>0</v>
      </c>
      <c r="S1495" t="n">
        <v>1</v>
      </c>
      <c r="T1495" t="n">
        <v>1</v>
      </c>
      <c r="U1495" t="n">
        <v>0</v>
      </c>
      <c r="V1495" s="2" t="inlineStr">
        <is>
          <t>Ögonpyrola</t>
        </is>
      </c>
      <c r="W1495">
        <f>HYPERLINK("https://klasma.github.io/Logging_2082/artfynd/A 9682-2025 artfynd.xlsx", "A 9682-2025")</f>
        <v/>
      </c>
      <c r="X1495">
        <f>HYPERLINK("https://klasma.github.io/Logging_2082/kartor/A 9682-2025 karta.png", "A 9682-2025")</f>
        <v/>
      </c>
      <c r="Y1495">
        <f>HYPERLINK("https://klasma.github.io/Logging_2082/kartor_geotiff/A 9682-2025 georefererad karta.tif", "A 9682-2025")</f>
        <v/>
      </c>
      <c r="AA1495">
        <f>HYPERLINK("https://klasma.github.io/Logging_2082/klagomål/A 9682-2025 FSC-klagomål.docx", "A 9682-2025")</f>
        <v/>
      </c>
      <c r="AB1495">
        <f>HYPERLINK("https://klasma.github.io/Logging_2082/klagomålsmail/A 9682-2025 FSC-klagomål mail.docx", "A 9682-2025")</f>
        <v/>
      </c>
      <c r="AC1495">
        <f>HYPERLINK("https://klasma.github.io/Logging_2082/tillsyn/A 9682-2025 tillsynsbegäran.docx", "A 9682-2025")</f>
        <v/>
      </c>
      <c r="AD1495">
        <f>HYPERLINK("https://klasma.github.io/Logging_2082/tillsynsmail/A 9682-2025 tillsynsbegäran mail.docx", "A 9682-2025")</f>
        <v/>
      </c>
    </row>
    <row r="1496" ht="15" customHeight="1">
      <c r="A1496" t="inlineStr">
        <is>
          <t>A 37313-2024</t>
        </is>
      </c>
      <c r="B1496" t="inlineStr">
        <is>
          <t>avverkningsanmälan</t>
        </is>
      </c>
      <c r="C1496" t="inlineStr">
        <is>
          <t>Föryngringsavverkning</t>
        </is>
      </c>
      <c r="D1496" s="1" t="n">
        <v>45540</v>
      </c>
      <c r="E1496" s="1" t="n">
        <v>46319</v>
      </c>
      <c r="F1496" t="inlineStr">
        <is>
          <t>DALARNAS LÄN</t>
        </is>
      </c>
      <c r="G1496" t="inlineStr">
        <is>
          <t>SMEDJEBACKEN</t>
        </is>
      </c>
      <c r="H1496" t="inlineStr">
        <is>
          <t>Bergvik skog väst AB</t>
        </is>
      </c>
      <c r="I1496" t="n">
        <v>46.5</v>
      </c>
      <c r="J1496" t="n">
        <v>0</v>
      </c>
      <c r="K1496" t="n">
        <v>0</v>
      </c>
      <c r="L1496" t="n">
        <v>1</v>
      </c>
      <c r="M1496" t="n">
        <v>0</v>
      </c>
      <c r="N1496" t="n">
        <v>0</v>
      </c>
      <c r="O1496" t="n">
        <v>0</v>
      </c>
      <c r="P1496" t="n">
        <v>0</v>
      </c>
      <c r="Q1496" t="n">
        <v>1</v>
      </c>
      <c r="R1496" t="n">
        <v>0</v>
      </c>
      <c r="S1496" t="n">
        <v>1</v>
      </c>
      <c r="T1496" t="n">
        <v>1</v>
      </c>
      <c r="U1496" t="n">
        <v>0</v>
      </c>
      <c r="V1496" s="2" t="inlineStr">
        <is>
          <t>Fjällig taggsvamp s.str.</t>
        </is>
      </c>
      <c r="W1496">
        <f>HYPERLINK("https://klasma.github.io/Logging_2061/artfynd/A 37313-2024 artfynd.xlsx", "A 37313-2024")</f>
        <v/>
      </c>
      <c r="X1496">
        <f>HYPERLINK("https://klasma.github.io/Logging_2061/kartor/A 37313-2024 karta.png", "A 37313-2024")</f>
        <v/>
      </c>
      <c r="Y1496">
        <f>HYPERLINK("https://klasma.github.io/Logging_2061/kartor_geotiff/A 37313-2024 georefererad karta.tif", "A 37313-2024")</f>
        <v/>
      </c>
      <c r="AA1496">
        <f>HYPERLINK("https://klasma.github.io/Logging_2061/klagomål/A 37313-2024 FSC-klagomål.docx", "A 37313-2024")</f>
        <v/>
      </c>
      <c r="AB1496">
        <f>HYPERLINK("https://klasma.github.io/Logging_2061/klagomålsmail/A 37313-2024 FSC-klagomål mail.docx", "A 37313-2024")</f>
        <v/>
      </c>
      <c r="AC1496">
        <f>HYPERLINK("https://klasma.github.io/Logging_2061/tillsyn/A 37313-2024 tillsynsbegäran.docx", "A 37313-2024")</f>
        <v/>
      </c>
      <c r="AD1496">
        <f>HYPERLINK("https://klasma.github.io/Logging_2061/tillsynsmail/A 37313-2024 tillsynsbegäran mail.docx", "A 37313-2024")</f>
        <v/>
      </c>
    </row>
    <row r="1497" ht="15" customHeight="1">
      <c r="A1497" t="inlineStr">
        <is>
          <t>A 39406-2024</t>
        </is>
      </c>
      <c r="B1497" t="inlineStr">
        <is>
          <t>avverkningsanmälan</t>
        </is>
      </c>
      <c r="C1497" t="inlineStr">
        <is>
          <t>Föryngringsavverkning</t>
        </is>
      </c>
      <c r="D1497" s="1" t="n">
        <v>45551</v>
      </c>
      <c r="E1497" s="1" t="n">
        <v>46319</v>
      </c>
      <c r="F1497" t="inlineStr">
        <is>
          <t>DALARNAS LÄN</t>
        </is>
      </c>
      <c r="G1497" t="inlineStr">
        <is>
          <t>SÄTER</t>
        </is>
      </c>
      <c r="I1497" t="n">
        <v>1</v>
      </c>
      <c r="J1497" t="n">
        <v>0</v>
      </c>
      <c r="K1497" t="n">
        <v>1</v>
      </c>
      <c r="L1497" t="n">
        <v>0</v>
      </c>
      <c r="M1497" t="n">
        <v>0</v>
      </c>
      <c r="N1497" t="n">
        <v>0</v>
      </c>
      <c r="O1497" t="n">
        <v>0</v>
      </c>
      <c r="P1497" t="n">
        <v>0</v>
      </c>
      <c r="Q1497" t="n">
        <v>0</v>
      </c>
      <c r="R1497" t="n">
        <v>0</v>
      </c>
      <c r="S1497" t="n">
        <v>1</v>
      </c>
      <c r="T1497" t="n">
        <v>1</v>
      </c>
      <c r="U1497" t="n">
        <v>0</v>
      </c>
      <c r="V1497" s="2" t="inlineStr">
        <is>
          <t>Sotriska</t>
        </is>
      </c>
      <c r="W1497">
        <f>HYPERLINK("https://klasma.github.io/Logging_2082/artfynd/A 39406-2024 artfynd.xlsx", "A 39406-2024")</f>
        <v/>
      </c>
      <c r="X1497">
        <f>HYPERLINK("https://klasma.github.io/Logging_2082/kartor/A 39406-2024 karta.png", "A 39406-2024")</f>
        <v/>
      </c>
      <c r="Y1497">
        <f>HYPERLINK("https://klasma.github.io/Logging_2082/kartor_geotiff/A 39406-2024 georefererad karta.tif", "A 39406-2024")</f>
        <v/>
      </c>
      <c r="AA1497">
        <f>HYPERLINK("https://klasma.github.io/Logging_2082/klagomål/A 39406-2024 FSC-klagomål.docx", "A 39406-2024")</f>
        <v/>
      </c>
      <c r="AB1497">
        <f>HYPERLINK("https://klasma.github.io/Logging_2082/klagomålsmail/A 39406-2024 FSC-klagomål mail.docx", "A 39406-2024")</f>
        <v/>
      </c>
      <c r="AC1497">
        <f>HYPERLINK("https://klasma.github.io/Logging_2082/tillsyn/A 39406-2024 tillsynsbegäran.docx", "A 39406-2024")</f>
        <v/>
      </c>
      <c r="AD1497">
        <f>HYPERLINK("https://klasma.github.io/Logging_2082/tillsynsmail/A 39406-2024 tillsynsbegäran mail.docx", "A 39406-2024")</f>
        <v/>
      </c>
    </row>
    <row r="1498" ht="15" customHeight="1">
      <c r="A1498" t="inlineStr">
        <is>
          <t>A 57427-2022</t>
        </is>
      </c>
      <c r="B1498" t="inlineStr">
        <is>
          <t>avverkningsanmälan</t>
        </is>
      </c>
      <c r="C1498" t="inlineStr">
        <is>
          <t>Föryngringsavverkning</t>
        </is>
      </c>
      <c r="D1498" s="1" t="n">
        <v>44896</v>
      </c>
      <c r="E1498" s="1" t="n">
        <v>46319</v>
      </c>
      <c r="F1498" t="inlineStr">
        <is>
          <t>DALARNAS LÄN</t>
        </is>
      </c>
      <c r="G1498" t="inlineStr">
        <is>
          <t>SÄTER</t>
        </is>
      </c>
      <c r="I1498" t="n">
        <v>3.3</v>
      </c>
      <c r="J1498" t="n">
        <v>0</v>
      </c>
      <c r="K1498" t="n">
        <v>0</v>
      </c>
      <c r="L1498" t="n">
        <v>1</v>
      </c>
      <c r="M1498" t="n">
        <v>0</v>
      </c>
      <c r="N1498" t="n">
        <v>0</v>
      </c>
      <c r="O1498" t="n">
        <v>0</v>
      </c>
      <c r="P1498" t="n">
        <v>0</v>
      </c>
      <c r="Q1498" t="n">
        <v>1</v>
      </c>
      <c r="R1498" t="n">
        <v>0</v>
      </c>
      <c r="S1498" t="n">
        <v>1</v>
      </c>
      <c r="T1498" t="n">
        <v>1</v>
      </c>
      <c r="U1498" t="n">
        <v>0</v>
      </c>
      <c r="V1498" s="2" t="inlineStr">
        <is>
          <t>Dropptaggsvamp</t>
        </is>
      </c>
      <c r="W1498">
        <f>HYPERLINK("https://klasma.github.io/Logging_2082/artfynd/A 57427-2022 artfynd.xlsx", "A 57427-2022")</f>
        <v/>
      </c>
      <c r="X1498">
        <f>HYPERLINK("https://klasma.github.io/Logging_2082/kartor/A 57427-2022 karta.png", "A 57427-2022")</f>
        <v/>
      </c>
      <c r="Y1498">
        <f>HYPERLINK("https://klasma.github.io/Logging_2082/kartor_geotiff/A 57427-2022 georefererad karta.tif", "A 57427-2022")</f>
        <v/>
      </c>
      <c r="AA1498">
        <f>HYPERLINK("https://klasma.github.io/Logging_2082/klagomål/A 57427-2022 FSC-klagomål.docx", "A 57427-2022")</f>
        <v/>
      </c>
      <c r="AB1498">
        <f>HYPERLINK("https://klasma.github.io/Logging_2082/klagomålsmail/A 57427-2022 FSC-klagomål mail.docx", "A 57427-2022")</f>
        <v/>
      </c>
      <c r="AC1498">
        <f>HYPERLINK("https://klasma.github.io/Logging_2082/tillsyn/A 57427-2022 tillsynsbegäran.docx", "A 57427-2022")</f>
        <v/>
      </c>
      <c r="AD1498">
        <f>HYPERLINK("https://klasma.github.io/Logging_2082/tillsynsmail/A 57427-2022 tillsynsbegäran mail.docx", "A 57427-2022")</f>
        <v/>
      </c>
    </row>
    <row r="1499" ht="15" customHeight="1">
      <c r="A1499" t="inlineStr">
        <is>
          <t>A 17590-2025</t>
        </is>
      </c>
      <c r="B1499" t="inlineStr">
        <is>
          <t>avverkningsanmälan</t>
        </is>
      </c>
      <c r="C1499" t="inlineStr">
        <is>
          <t>Föryngringsavverkning</t>
        </is>
      </c>
      <c r="D1499" s="1" t="n">
        <v>45757</v>
      </c>
      <c r="E1499" s="1" t="n">
        <v>46319</v>
      </c>
      <c r="F1499" t="inlineStr">
        <is>
          <t>DALARNAS LÄN</t>
        </is>
      </c>
      <c r="G1499" t="inlineStr">
        <is>
          <t>HEDEMORA</t>
        </is>
      </c>
      <c r="I1499" t="n">
        <v>0.6</v>
      </c>
      <c r="J1499" t="n">
        <v>0</v>
      </c>
      <c r="K1499" t="n">
        <v>0</v>
      </c>
      <c r="L1499" t="n">
        <v>0</v>
      </c>
      <c r="M1499" t="n">
        <v>1</v>
      </c>
      <c r="N1499" t="n">
        <v>0</v>
      </c>
      <c r="O1499" t="n">
        <v>0</v>
      </c>
      <c r="P1499" t="n">
        <v>0</v>
      </c>
      <c r="Q1499" t="n">
        <v>1</v>
      </c>
      <c r="R1499" t="n">
        <v>1</v>
      </c>
      <c r="S1499" t="n">
        <v>1</v>
      </c>
      <c r="T1499" t="n">
        <v>1</v>
      </c>
      <c r="U1499" t="n">
        <v>1</v>
      </c>
      <c r="V1499" s="2" t="inlineStr">
        <is>
          <t>Garnlav</t>
        </is>
      </c>
      <c r="W1499">
        <f>HYPERLINK("https://klasma.github.io/Logging_2083/artfynd/A 17590-2025 artfynd.xlsx", "A 17590-2025")</f>
        <v/>
      </c>
      <c r="X1499">
        <f>HYPERLINK("https://klasma.github.io/Logging_2083/kartor/A 17590-2025 karta.png", "A 17590-2025")</f>
        <v/>
      </c>
      <c r="Y1499">
        <f>HYPERLINK("https://klasma.github.io/Logging_2083/kartor_geotiff/A 17590-2025 georefererad karta.tif", "A 17590-2025")</f>
        <v/>
      </c>
      <c r="AA1499">
        <f>HYPERLINK("https://klasma.github.io/Logging_2083/klagomål/A 17590-2025 FSC-klagomål.docx", "A 17590-2025")</f>
        <v/>
      </c>
      <c r="AB1499">
        <f>HYPERLINK("https://klasma.github.io/Logging_2083/klagomålsmail/A 17590-2025 FSC-klagomål mail.docx", "A 17590-2025")</f>
        <v/>
      </c>
      <c r="AC1499">
        <f>HYPERLINK("https://klasma.github.io/Logging_2083/tillsyn/A 17590-2025 tillsynsbegäran.docx", "A 17590-2025")</f>
        <v/>
      </c>
      <c r="AD1499">
        <f>HYPERLINK("https://klasma.github.io/Logging_2083/tillsynsmail/A 17590-2025 tillsynsbegäran mail.docx", "A 17590-2025")</f>
        <v/>
      </c>
    </row>
    <row r="1500" ht="15" customHeight="1">
      <c r="A1500" t="inlineStr">
        <is>
          <t>A 17987-2025</t>
        </is>
      </c>
      <c r="B1500" t="inlineStr">
        <is>
          <t>avverkningsanmälan</t>
        </is>
      </c>
      <c r="C1500" t="inlineStr">
        <is>
          <t>Föryngringsavverkning</t>
        </is>
      </c>
      <c r="D1500" s="1" t="n">
        <v>45761</v>
      </c>
      <c r="E1500" s="1" t="n">
        <v>46319</v>
      </c>
      <c r="F1500" t="inlineStr">
        <is>
          <t>DALARNAS LÄN</t>
        </is>
      </c>
      <c r="G1500" t="inlineStr">
        <is>
          <t>LUDVIKA</t>
        </is>
      </c>
      <c r="I1500" t="n">
        <v>0.5</v>
      </c>
      <c r="J1500" t="n">
        <v>1</v>
      </c>
      <c r="K1500" t="n">
        <v>0</v>
      </c>
      <c r="L1500" t="n">
        <v>1</v>
      </c>
      <c r="M1500" t="n">
        <v>0</v>
      </c>
      <c r="N1500" t="n">
        <v>0</v>
      </c>
      <c r="O1500" t="n">
        <v>0</v>
      </c>
      <c r="P1500" t="n">
        <v>0</v>
      </c>
      <c r="Q1500" t="n">
        <v>1</v>
      </c>
      <c r="R1500" t="n">
        <v>0</v>
      </c>
      <c r="S1500" t="n">
        <v>1</v>
      </c>
      <c r="T1500" t="n">
        <v>1</v>
      </c>
      <c r="U1500" t="n">
        <v>0</v>
      </c>
      <c r="V1500" s="2" t="inlineStr">
        <is>
          <t>Talltita</t>
        </is>
      </c>
      <c r="W1500">
        <f>HYPERLINK("https://klasma.github.io/Logging_2085/artfynd/A 17987-2025 artfynd.xlsx", "A 17987-2025")</f>
        <v/>
      </c>
      <c r="X1500">
        <f>HYPERLINK("https://klasma.github.io/Logging_2085/kartor/A 17987-2025 karta.png", "A 17987-2025")</f>
        <v/>
      </c>
      <c r="Y1500">
        <f>HYPERLINK("https://klasma.github.io/Logging_2085/kartor_geotiff/A 17987-2025 georefererad karta.tif", "A 17987-2025")</f>
        <v/>
      </c>
      <c r="AA1500">
        <f>HYPERLINK("https://klasma.github.io/Logging_2085/klagomål/A 17987-2025 FSC-klagomål.docx", "A 17987-2025")</f>
        <v/>
      </c>
      <c r="AB1500">
        <f>HYPERLINK("https://klasma.github.io/Logging_2085/klagomålsmail/A 17987-2025 FSC-klagomål mail.docx", "A 17987-2025")</f>
        <v/>
      </c>
      <c r="AC1500">
        <f>HYPERLINK("https://klasma.github.io/Logging_2085/tillsyn/A 17987-2025 tillsynsbegäran.docx", "A 17987-2025")</f>
        <v/>
      </c>
      <c r="AD1500">
        <f>HYPERLINK("https://klasma.github.io/Logging_2085/tillsynsmail/A 17987-2025 tillsynsbegäran mail.docx", "A 17987-2025")</f>
        <v/>
      </c>
      <c r="AE1500">
        <f>HYPERLINK("https://klasma.github.io/Logging_2085/fåglar/A 17987-2025 prioriterade fågelarter.docx", "A 17987-2025")</f>
        <v/>
      </c>
    </row>
    <row r="1501" ht="15" customHeight="1">
      <c r="A1501" t="inlineStr">
        <is>
          <t>A 64299-2023</t>
        </is>
      </c>
      <c r="B1501" t="inlineStr">
        <is>
          <t>avverkningsanmälan</t>
        </is>
      </c>
      <c r="C1501" t="inlineStr">
        <is>
          <t>Föryngringsavverkning</t>
        </is>
      </c>
      <c r="D1501" s="1" t="n">
        <v>45279</v>
      </c>
      <c r="E1501" s="1" t="n">
        <v>46319</v>
      </c>
      <c r="F1501" t="inlineStr">
        <is>
          <t>DALARNAS LÄN</t>
        </is>
      </c>
      <c r="G1501" t="inlineStr">
        <is>
          <t>RÄTTVIK</t>
        </is>
      </c>
      <c r="I1501" t="n">
        <v>4.7</v>
      </c>
      <c r="J1501" t="n">
        <v>1</v>
      </c>
      <c r="K1501" t="n">
        <v>0</v>
      </c>
      <c r="L1501" t="n">
        <v>0</v>
      </c>
      <c r="M1501" t="n">
        <v>0</v>
      </c>
      <c r="N1501" t="n">
        <v>0</v>
      </c>
      <c r="O1501" t="n">
        <v>0</v>
      </c>
      <c r="P1501" t="n">
        <v>0</v>
      </c>
      <c r="Q1501" t="n">
        <v>0</v>
      </c>
      <c r="R1501" t="n">
        <v>0</v>
      </c>
      <c r="S1501" t="n">
        <v>1</v>
      </c>
      <c r="T1501" t="n">
        <v>1</v>
      </c>
      <c r="U1501" t="n">
        <v>0</v>
      </c>
      <c r="V1501" s="2" t="inlineStr">
        <is>
          <t>Grönsiska</t>
        </is>
      </c>
      <c r="W1501">
        <f>HYPERLINK("https://klasma.github.io/Logging_2031/artfynd/A 64299-2023 artfynd.xlsx", "A 64299-2023")</f>
        <v/>
      </c>
      <c r="X1501">
        <f>HYPERLINK("https://klasma.github.io/Logging_2031/kartor/A 64299-2023 karta.png", "A 64299-2023")</f>
        <v/>
      </c>
      <c r="Y1501">
        <f>HYPERLINK("https://klasma.github.io/Logging_2031/kartor_geotiff/A 64299-2023 georefererad karta.tif", "A 64299-2023")</f>
        <v/>
      </c>
      <c r="AA1501">
        <f>HYPERLINK("https://klasma.github.io/Logging_2031/klagomål/A 64299-2023 FSC-klagomål.docx", "A 64299-2023")</f>
        <v/>
      </c>
      <c r="AB1501">
        <f>HYPERLINK("https://klasma.github.io/Logging_2031/klagomålsmail/A 64299-2023 FSC-klagomål mail.docx", "A 64299-2023")</f>
        <v/>
      </c>
      <c r="AC1501">
        <f>HYPERLINK("https://klasma.github.io/Logging_2031/tillsyn/A 64299-2023 tillsynsbegäran.docx", "A 64299-2023")</f>
        <v/>
      </c>
      <c r="AD1501">
        <f>HYPERLINK("https://klasma.github.io/Logging_2031/tillsynsmail/A 64299-2023 tillsynsbegäran mail.docx", "A 64299-2023")</f>
        <v/>
      </c>
    </row>
    <row r="1502" ht="15" customHeight="1">
      <c r="A1502" t="inlineStr">
        <is>
          <t>A 37219-2024</t>
        </is>
      </c>
      <c r="B1502" t="inlineStr">
        <is>
          <t>avverkningsanmälan</t>
        </is>
      </c>
      <c r="C1502" t="inlineStr">
        <is>
          <t>Föryngringsavverkning</t>
        </is>
      </c>
      <c r="D1502" s="1" t="n">
        <v>45539</v>
      </c>
      <c r="E1502" s="1" t="n">
        <v>46319</v>
      </c>
      <c r="F1502" t="inlineStr">
        <is>
          <t>DALARNAS LÄN</t>
        </is>
      </c>
      <c r="G1502" t="inlineStr">
        <is>
          <t>VANSBRO</t>
        </is>
      </c>
      <c r="I1502" t="n">
        <v>5.3</v>
      </c>
      <c r="J1502" t="n">
        <v>1</v>
      </c>
      <c r="K1502" t="n">
        <v>0</v>
      </c>
      <c r="L1502" t="n">
        <v>0</v>
      </c>
      <c r="M1502" t="n">
        <v>0</v>
      </c>
      <c r="N1502" t="n">
        <v>0</v>
      </c>
      <c r="O1502" t="n">
        <v>0</v>
      </c>
      <c r="P1502" t="n">
        <v>0</v>
      </c>
      <c r="Q1502" t="n">
        <v>0</v>
      </c>
      <c r="R1502" t="n">
        <v>0</v>
      </c>
      <c r="S1502" t="n">
        <v>1</v>
      </c>
      <c r="T1502" t="n">
        <v>4</v>
      </c>
      <c r="U1502" t="n">
        <v>4</v>
      </c>
      <c r="V1502" s="2" t="inlineStr">
        <is>
          <t>Tjäder</t>
        </is>
      </c>
      <c r="W1502">
        <f>HYPERLINK("https://klasma.github.io/Logging_2021/artfynd/A 37219-2024 artfynd.xlsx", "A 37219-2024")</f>
        <v/>
      </c>
      <c r="X1502">
        <f>HYPERLINK("https://klasma.github.io/Logging_2021/kartor/A 37219-2024 karta.png", "A 37219-2024")</f>
        <v/>
      </c>
      <c r="Y1502">
        <f>HYPERLINK("https://klasma.github.io/Logging_2021/kartor_geotiff/A 37219-2024 georefererad karta.tif", "A 37219-2024")</f>
        <v/>
      </c>
      <c r="AA1502">
        <f>HYPERLINK("https://klasma.github.io/Logging_2021/klagomål/A 37219-2024 FSC-klagomål.docx", "A 37219-2024")</f>
        <v/>
      </c>
      <c r="AB1502">
        <f>HYPERLINK("https://klasma.github.io/Logging_2021/klagomålsmail/A 37219-2024 FSC-klagomål mail.docx", "A 37219-2024")</f>
        <v/>
      </c>
      <c r="AC1502">
        <f>HYPERLINK("https://klasma.github.io/Logging_2021/tillsyn/A 37219-2024 tillsynsbegäran.docx", "A 37219-2024")</f>
        <v/>
      </c>
      <c r="AD1502">
        <f>HYPERLINK("https://klasma.github.io/Logging_2021/tillsynsmail/A 37219-2024 tillsynsbegäran mail.docx", "A 37219-2024")</f>
        <v/>
      </c>
      <c r="AE1502">
        <f>HYPERLINK("https://klasma.github.io/Logging_2021/fåglar/A 37219-2024 prioriterade fågelarter.docx", "A 37219-2024")</f>
        <v/>
      </c>
    </row>
    <row r="1503" ht="15" customHeight="1">
      <c r="A1503" t="inlineStr">
        <is>
          <t>A 21131-2023</t>
        </is>
      </c>
      <c r="B1503" t="inlineStr">
        <is>
          <t>avverkningsanmälan</t>
        </is>
      </c>
      <c r="C1503" t="inlineStr">
        <is>
          <t>Föryngringsavverkning</t>
        </is>
      </c>
      <c r="D1503" s="1" t="n">
        <v>45062</v>
      </c>
      <c r="E1503" s="1" t="n">
        <v>46319</v>
      </c>
      <c r="F1503" t="inlineStr">
        <is>
          <t>DALARNAS LÄN</t>
        </is>
      </c>
      <c r="G1503" t="inlineStr">
        <is>
          <t>BORLÄNGE</t>
        </is>
      </c>
      <c r="I1503" t="n">
        <v>4.4</v>
      </c>
      <c r="J1503" t="n">
        <v>0</v>
      </c>
      <c r="K1503" t="n">
        <v>0</v>
      </c>
      <c r="L1503" t="n">
        <v>0</v>
      </c>
      <c r="M1503" t="n">
        <v>1</v>
      </c>
      <c r="N1503" t="n">
        <v>0</v>
      </c>
      <c r="O1503" t="n">
        <v>0</v>
      </c>
      <c r="P1503" t="n">
        <v>0</v>
      </c>
      <c r="Q1503" t="n">
        <v>1</v>
      </c>
      <c r="R1503" t="n">
        <v>1</v>
      </c>
      <c r="S1503" t="n">
        <v>1</v>
      </c>
      <c r="T1503" t="n">
        <v>1</v>
      </c>
      <c r="U1503" t="n">
        <v>0</v>
      </c>
      <c r="V1503" s="2" t="inlineStr">
        <is>
          <t>Garnlav</t>
        </is>
      </c>
      <c r="W1503">
        <f>HYPERLINK("https://klasma.github.io/Logging_2081/artfynd/A 21131-2023 artfynd.xlsx", "A 21131-2023")</f>
        <v/>
      </c>
      <c r="X1503">
        <f>HYPERLINK("https://klasma.github.io/Logging_2081/kartor/A 21131-2023 karta.png", "A 21131-2023")</f>
        <v/>
      </c>
      <c r="Y1503">
        <f>HYPERLINK("https://klasma.github.io/Logging_2081/kartor_geotiff/A 21131-2023 georefererad karta.tif", "A 21131-2023")</f>
        <v/>
      </c>
      <c r="AA1503">
        <f>HYPERLINK("https://klasma.github.io/Logging_2081/klagomål/A 21131-2023 FSC-klagomål.docx", "A 21131-2023")</f>
        <v/>
      </c>
      <c r="AB1503">
        <f>HYPERLINK("https://klasma.github.io/Logging_2081/klagomålsmail/A 21131-2023 FSC-klagomål mail.docx", "A 21131-2023")</f>
        <v/>
      </c>
      <c r="AC1503">
        <f>HYPERLINK("https://klasma.github.io/Logging_2081/tillsyn/A 21131-2023 tillsynsbegäran.docx", "A 21131-2023")</f>
        <v/>
      </c>
      <c r="AD1503">
        <f>HYPERLINK("https://klasma.github.io/Logging_2081/tillsynsmail/A 21131-2023 tillsynsbegäran mail.docx", "A 21131-2023")</f>
        <v/>
      </c>
    </row>
    <row r="1504" ht="15" customHeight="1">
      <c r="A1504" t="inlineStr">
        <is>
          <t>A 25588-2023</t>
        </is>
      </c>
      <c r="B1504" t="inlineStr">
        <is>
          <t>avverkningsanmälan</t>
        </is>
      </c>
      <c r="C1504" t="inlineStr">
        <is>
          <t>Föryngringsavverkning</t>
        </is>
      </c>
      <c r="D1504" s="1" t="n">
        <v>45089</v>
      </c>
      <c r="E1504" s="1" t="n">
        <v>46319</v>
      </c>
      <c r="F1504" t="inlineStr">
        <is>
          <t>DALARNAS LÄN</t>
        </is>
      </c>
      <c r="G1504" t="inlineStr">
        <is>
          <t>LUDVIKA</t>
        </is>
      </c>
      <c r="I1504" t="n">
        <v>9.4</v>
      </c>
      <c r="J1504" t="n">
        <v>0</v>
      </c>
      <c r="K1504" t="n">
        <v>0</v>
      </c>
      <c r="L1504" t="n">
        <v>0</v>
      </c>
      <c r="M1504" t="n">
        <v>1</v>
      </c>
      <c r="N1504" t="n">
        <v>0</v>
      </c>
      <c r="O1504" t="n">
        <v>0</v>
      </c>
      <c r="P1504" t="n">
        <v>0</v>
      </c>
      <c r="Q1504" t="n">
        <v>1</v>
      </c>
      <c r="R1504" t="n">
        <v>1</v>
      </c>
      <c r="S1504" t="n">
        <v>1</v>
      </c>
      <c r="T1504" t="n">
        <v>2</v>
      </c>
      <c r="U1504" t="n">
        <v>0</v>
      </c>
      <c r="V1504" s="2" t="inlineStr">
        <is>
          <t>Garnlav</t>
        </is>
      </c>
      <c r="W1504">
        <f>HYPERLINK("https://klasma.github.io/Logging_2085/artfynd/A 25588-2023 artfynd.xlsx", "A 25588-2023")</f>
        <v/>
      </c>
      <c r="X1504">
        <f>HYPERLINK("https://klasma.github.io/Logging_2085/kartor/A 25588-2023 karta.png", "A 25588-2023")</f>
        <v/>
      </c>
      <c r="Y1504">
        <f>HYPERLINK("https://klasma.github.io/Logging_2085/kartor_geotiff/A 25588-2023 georefererad karta.tif", "A 25588-2023")</f>
        <v/>
      </c>
      <c r="AA1504">
        <f>HYPERLINK("https://klasma.github.io/Logging_2085/klagomål/A 25588-2023 FSC-klagomål.docx", "A 25588-2023")</f>
        <v/>
      </c>
      <c r="AB1504">
        <f>HYPERLINK("https://klasma.github.io/Logging_2085/klagomålsmail/A 25588-2023 FSC-klagomål mail.docx", "A 25588-2023")</f>
        <v/>
      </c>
      <c r="AC1504">
        <f>HYPERLINK("https://klasma.github.io/Logging_2085/tillsyn/A 25588-2023 tillsynsbegäran.docx", "A 25588-2023")</f>
        <v/>
      </c>
      <c r="AD1504">
        <f>HYPERLINK("https://klasma.github.io/Logging_2085/tillsynsmail/A 25588-2023 tillsynsbegäran mail.docx", "A 25588-2023")</f>
        <v/>
      </c>
    </row>
    <row r="1505" ht="15" customHeight="1">
      <c r="A1505" t="inlineStr">
        <is>
          <t>A 54156-2023</t>
        </is>
      </c>
      <c r="B1505" t="inlineStr">
        <is>
          <t>avverkningsanmälan</t>
        </is>
      </c>
      <c r="C1505" t="inlineStr">
        <is>
          <t>Föryngringsavverkning</t>
        </is>
      </c>
      <c r="D1505" s="1" t="n">
        <v>45225</v>
      </c>
      <c r="E1505" s="1" t="n">
        <v>46319</v>
      </c>
      <c r="F1505" t="inlineStr">
        <is>
          <t>DALARNAS LÄN</t>
        </is>
      </c>
      <c r="G1505" t="inlineStr">
        <is>
          <t>SMEDJEBACKEN</t>
        </is>
      </c>
      <c r="H1505" t="inlineStr">
        <is>
          <t>Bergvik skog väst AB</t>
        </is>
      </c>
      <c r="I1505" t="n">
        <v>26.3</v>
      </c>
      <c r="J1505" t="n">
        <v>1</v>
      </c>
      <c r="K1505" t="n">
        <v>0</v>
      </c>
      <c r="L1505" t="n">
        <v>0</v>
      </c>
      <c r="M1505" t="n">
        <v>0</v>
      </c>
      <c r="N1505" t="n">
        <v>0</v>
      </c>
      <c r="O1505" t="n">
        <v>0</v>
      </c>
      <c r="P1505" t="n">
        <v>0</v>
      </c>
      <c r="Q1505" t="n">
        <v>0</v>
      </c>
      <c r="R1505" t="n">
        <v>0</v>
      </c>
      <c r="S1505" t="n">
        <v>1</v>
      </c>
      <c r="T1505" t="n">
        <v>1</v>
      </c>
      <c r="U1505" t="n">
        <v>0</v>
      </c>
      <c r="V1505" s="2" t="inlineStr">
        <is>
          <t>Revlummer</t>
        </is>
      </c>
      <c r="W1505">
        <f>HYPERLINK("https://klasma.github.io/Logging_2061/artfynd/A 54156-2023 artfynd.xlsx", "A 54156-2023")</f>
        <v/>
      </c>
      <c r="X1505">
        <f>HYPERLINK("https://klasma.github.io/Logging_2061/kartor/A 54156-2023 karta.png", "A 54156-2023")</f>
        <v/>
      </c>
      <c r="Y1505">
        <f>HYPERLINK("https://klasma.github.io/Logging_2061/kartor_geotiff/A 54156-2023 georefererad karta.tif", "A 54156-2023")</f>
        <v/>
      </c>
      <c r="AA1505">
        <f>HYPERLINK("https://klasma.github.io/Logging_2061/klagomål/A 54156-2023 FSC-klagomål.docx", "A 54156-2023")</f>
        <v/>
      </c>
      <c r="AB1505">
        <f>HYPERLINK("https://klasma.github.io/Logging_2061/klagomålsmail/A 54156-2023 FSC-klagomål mail.docx", "A 54156-2023")</f>
        <v/>
      </c>
      <c r="AC1505">
        <f>HYPERLINK("https://klasma.github.io/Logging_2061/tillsyn/A 54156-2023 tillsynsbegäran.docx", "A 54156-2023")</f>
        <v/>
      </c>
      <c r="AD1505">
        <f>HYPERLINK("https://klasma.github.io/Logging_2061/tillsynsmail/A 54156-2023 tillsynsbegäran mail.docx", "A 54156-2023")</f>
        <v/>
      </c>
    </row>
    <row r="1506" ht="15" customHeight="1">
      <c r="A1506" t="inlineStr">
        <is>
          <t>A 12093-2023</t>
        </is>
      </c>
      <c r="B1506" t="inlineStr">
        <is>
          <t>avverkningsanmälan</t>
        </is>
      </c>
      <c r="C1506" t="inlineStr">
        <is>
          <t>Föryngringsavverkning</t>
        </is>
      </c>
      <c r="D1506" s="1" t="n">
        <v>44998</v>
      </c>
      <c r="E1506" s="1" t="n">
        <v>46319</v>
      </c>
      <c r="F1506" t="inlineStr">
        <is>
          <t>DALARNAS LÄN</t>
        </is>
      </c>
      <c r="G1506" t="inlineStr">
        <is>
          <t>LUDVIKA</t>
        </is>
      </c>
      <c r="I1506" t="n">
        <v>3.2</v>
      </c>
      <c r="J1506" t="n">
        <v>0</v>
      </c>
      <c r="K1506" t="n">
        <v>0</v>
      </c>
      <c r="L1506" t="n">
        <v>0</v>
      </c>
      <c r="M1506" t="n">
        <v>0</v>
      </c>
      <c r="N1506" t="n">
        <v>1</v>
      </c>
      <c r="O1506" t="n">
        <v>0</v>
      </c>
      <c r="P1506" t="n">
        <v>0</v>
      </c>
      <c r="Q1506" t="n">
        <v>1</v>
      </c>
      <c r="R1506" t="n">
        <v>1</v>
      </c>
      <c r="S1506" t="n">
        <v>1</v>
      </c>
      <c r="T1506" t="n">
        <v>1</v>
      </c>
      <c r="U1506" t="n">
        <v>0</v>
      </c>
      <c r="V1506" s="2" t="inlineStr">
        <is>
          <t>Bitter taggsvamp</t>
        </is>
      </c>
      <c r="W1506">
        <f>HYPERLINK("https://klasma.github.io/Logging_2085/artfynd/A 12093-2023 artfynd.xlsx", "A 12093-2023")</f>
        <v/>
      </c>
      <c r="X1506">
        <f>HYPERLINK("https://klasma.github.io/Logging_2085/kartor/A 12093-2023 karta.png", "A 12093-2023")</f>
        <v/>
      </c>
      <c r="Y1506">
        <f>HYPERLINK("https://klasma.github.io/Logging_2085/kartor_geotiff/A 12093-2023 georefererad karta.tif", "A 12093-2023")</f>
        <v/>
      </c>
      <c r="AA1506">
        <f>HYPERLINK("https://klasma.github.io/Logging_2085/klagomål/A 12093-2023 FSC-klagomål.docx", "A 12093-2023")</f>
        <v/>
      </c>
      <c r="AB1506">
        <f>HYPERLINK("https://klasma.github.io/Logging_2085/klagomålsmail/A 12093-2023 FSC-klagomål mail.docx", "A 12093-2023")</f>
        <v/>
      </c>
      <c r="AC1506">
        <f>HYPERLINK("https://klasma.github.io/Logging_2085/tillsyn/A 12093-2023 tillsynsbegäran.docx", "A 12093-2023")</f>
        <v/>
      </c>
      <c r="AD1506">
        <f>HYPERLINK("https://klasma.github.io/Logging_2085/tillsynsmail/A 12093-2023 tillsynsbegäran mail.docx", "A 12093-2023")</f>
        <v/>
      </c>
    </row>
    <row r="1507" ht="15" customHeight="1">
      <c r="A1507" t="inlineStr">
        <is>
          <t>A 33560-2023</t>
        </is>
      </c>
      <c r="B1507" t="inlineStr">
        <is>
          <t>avverkningsanmälan</t>
        </is>
      </c>
      <c r="C1507" t="inlineStr">
        <is>
          <t>Föryngringsavverkning</t>
        </is>
      </c>
      <c r="D1507" s="1" t="n">
        <v>45131</v>
      </c>
      <c r="E1507" s="1" t="n">
        <v>46319</v>
      </c>
      <c r="F1507" t="inlineStr">
        <is>
          <t>DALARNAS LÄN</t>
        </is>
      </c>
      <c r="G1507" t="inlineStr">
        <is>
          <t>LUDVIKA</t>
        </is>
      </c>
      <c r="I1507" t="n">
        <v>7</v>
      </c>
      <c r="J1507" t="n">
        <v>1</v>
      </c>
      <c r="K1507" t="n">
        <v>0</v>
      </c>
      <c r="L1507" t="n">
        <v>0</v>
      </c>
      <c r="M1507" t="n">
        <v>0</v>
      </c>
      <c r="N1507" t="n">
        <v>0</v>
      </c>
      <c r="O1507" t="n">
        <v>0</v>
      </c>
      <c r="P1507" t="n">
        <v>0</v>
      </c>
      <c r="Q1507" t="n">
        <v>0</v>
      </c>
      <c r="R1507" t="n">
        <v>0</v>
      </c>
      <c r="S1507" t="n">
        <v>1</v>
      </c>
      <c r="T1507" t="n">
        <v>1</v>
      </c>
      <c r="U1507" t="n">
        <v>0</v>
      </c>
      <c r="V1507" s="2" t="inlineStr">
        <is>
          <t>Mindre vattensalamander</t>
        </is>
      </c>
      <c r="W1507">
        <f>HYPERLINK("https://klasma.github.io/Logging_2085/artfynd/A 33560-2023 artfynd.xlsx", "A 33560-2023")</f>
        <v/>
      </c>
      <c r="X1507">
        <f>HYPERLINK("https://klasma.github.io/Logging_2085/kartor/A 33560-2023 karta.png", "A 33560-2023")</f>
        <v/>
      </c>
      <c r="Y1507">
        <f>HYPERLINK("https://klasma.github.io/Logging_2085/kartor_geotiff/A 33560-2023 georefererad karta.tif", "A 33560-2023")</f>
        <v/>
      </c>
      <c r="AA1507">
        <f>HYPERLINK("https://klasma.github.io/Logging_2085/klagomål/A 33560-2023 FSC-klagomål.docx", "A 33560-2023")</f>
        <v/>
      </c>
      <c r="AB1507">
        <f>HYPERLINK("https://klasma.github.io/Logging_2085/klagomålsmail/A 33560-2023 FSC-klagomål mail.docx", "A 33560-2023")</f>
        <v/>
      </c>
      <c r="AC1507">
        <f>HYPERLINK("https://klasma.github.io/Logging_2085/tillsyn/A 33560-2023 tillsynsbegäran.docx", "A 33560-2023")</f>
        <v/>
      </c>
      <c r="AD1507">
        <f>HYPERLINK("https://klasma.github.io/Logging_2085/tillsynsmail/A 33560-2023 tillsynsbegäran mail.docx", "A 33560-2023")</f>
        <v/>
      </c>
    </row>
    <row r="1508" ht="15" customHeight="1">
      <c r="A1508" t="inlineStr">
        <is>
          <t>A 3687-2024</t>
        </is>
      </c>
      <c r="B1508" t="inlineStr">
        <is>
          <t>avverkningsanmälan</t>
        </is>
      </c>
      <c r="C1508" t="inlineStr">
        <is>
          <t>Föryngringsavverkning</t>
        </is>
      </c>
      <c r="D1508" s="1" t="n">
        <v>45321</v>
      </c>
      <c r="E1508" s="1" t="n">
        <v>46319</v>
      </c>
      <c r="F1508" t="inlineStr">
        <is>
          <t>DALARNAS LÄN</t>
        </is>
      </c>
      <c r="G1508" t="inlineStr">
        <is>
          <t>LUDVIKA</t>
        </is>
      </c>
      <c r="I1508" t="n">
        <v>5</v>
      </c>
      <c r="J1508" t="n">
        <v>1</v>
      </c>
      <c r="K1508" t="n">
        <v>0</v>
      </c>
      <c r="L1508" t="n">
        <v>1</v>
      </c>
      <c r="M1508" t="n">
        <v>0</v>
      </c>
      <c r="N1508" t="n">
        <v>0</v>
      </c>
      <c r="O1508" t="n">
        <v>0</v>
      </c>
      <c r="P1508" t="n">
        <v>0</v>
      </c>
      <c r="Q1508" t="n">
        <v>1</v>
      </c>
      <c r="R1508" t="n">
        <v>0</v>
      </c>
      <c r="S1508" t="n">
        <v>1</v>
      </c>
      <c r="T1508" t="n">
        <v>1</v>
      </c>
      <c r="U1508" t="n">
        <v>1</v>
      </c>
      <c r="V1508" s="2" t="inlineStr">
        <is>
          <t>Nordfladdermus</t>
        </is>
      </c>
      <c r="W1508">
        <f>HYPERLINK("https://klasma.github.io/Logging_2085/artfynd/A 3687-2024 artfynd.xlsx", "A 3687-2024")</f>
        <v/>
      </c>
      <c r="X1508">
        <f>HYPERLINK("https://klasma.github.io/Logging_2085/kartor/A 3687-2024 karta.png", "A 3687-2024")</f>
        <v/>
      </c>
      <c r="Y1508">
        <f>HYPERLINK("https://klasma.github.io/Logging_2085/kartor_geotiff/A 3687-2024 georefererad karta.tif", "A 3687-2024")</f>
        <v/>
      </c>
      <c r="AA1508">
        <f>HYPERLINK("https://klasma.github.io/Logging_2085/klagomål/A 3687-2024 FSC-klagomål.docx", "A 3687-2024")</f>
        <v/>
      </c>
      <c r="AB1508">
        <f>HYPERLINK("https://klasma.github.io/Logging_2085/klagomålsmail/A 3687-2024 FSC-klagomål mail.docx", "A 3687-2024")</f>
        <v/>
      </c>
      <c r="AC1508">
        <f>HYPERLINK("https://klasma.github.io/Logging_2085/tillsyn/A 3687-2024 tillsynsbegäran.docx", "A 3687-2024")</f>
        <v/>
      </c>
      <c r="AD1508">
        <f>HYPERLINK("https://klasma.github.io/Logging_2085/tillsynsmail/A 3687-2024 tillsynsbegäran mail.docx", "A 3687-2024")</f>
        <v/>
      </c>
    </row>
    <row r="1509" ht="15" customHeight="1">
      <c r="A1509" t="inlineStr">
        <is>
          <t>A 61396-2021</t>
        </is>
      </c>
      <c r="B1509" t="inlineStr">
        <is>
          <t>avverkningsanmälan</t>
        </is>
      </c>
      <c r="C1509" t="inlineStr">
        <is>
          <t>Föryngringsavverkning</t>
        </is>
      </c>
      <c r="D1509" s="1" t="n">
        <v>44500</v>
      </c>
      <c r="E1509" s="1" t="n">
        <v>46319</v>
      </c>
      <c r="F1509" t="inlineStr">
        <is>
          <t>DALARNAS LÄN</t>
        </is>
      </c>
      <c r="G1509" t="inlineStr">
        <is>
          <t>BORLÄNGE</t>
        </is>
      </c>
      <c r="I1509" t="n">
        <v>2.7</v>
      </c>
      <c r="J1509" t="n">
        <v>1</v>
      </c>
      <c r="K1509" t="n">
        <v>0</v>
      </c>
      <c r="L1509" t="n">
        <v>1</v>
      </c>
      <c r="M1509" t="n">
        <v>0</v>
      </c>
      <c r="N1509" t="n">
        <v>0</v>
      </c>
      <c r="O1509" t="n">
        <v>0</v>
      </c>
      <c r="P1509" t="n">
        <v>0</v>
      </c>
      <c r="Q1509" t="n">
        <v>1</v>
      </c>
      <c r="R1509" t="n">
        <v>0</v>
      </c>
      <c r="S1509" t="n">
        <v>1</v>
      </c>
      <c r="T1509" t="n">
        <v>2</v>
      </c>
      <c r="U1509" t="n">
        <v>2</v>
      </c>
      <c r="V1509" s="2" t="inlineStr">
        <is>
          <t>Bivråk</t>
        </is>
      </c>
      <c r="W1509">
        <f>HYPERLINK("https://klasma.github.io/Logging_2081/artfynd/A 61396-2021 artfynd.xlsx", "A 61396-2021")</f>
        <v/>
      </c>
      <c r="X1509">
        <f>HYPERLINK("https://klasma.github.io/Logging_2081/kartor/A 61396-2021 karta.png", "A 61396-2021")</f>
        <v/>
      </c>
      <c r="Y1509">
        <f>HYPERLINK("https://klasma.github.io/Logging_2081/kartor_geotiff/A 61396-2021 georefererad karta.tif", "A 61396-2021")</f>
        <v/>
      </c>
      <c r="AA1509">
        <f>HYPERLINK("https://klasma.github.io/Logging_2081/klagomål/A 61396-2021 FSC-klagomål.docx", "A 61396-2021")</f>
        <v/>
      </c>
      <c r="AB1509">
        <f>HYPERLINK("https://klasma.github.io/Logging_2081/klagomålsmail/A 61396-2021 FSC-klagomål mail.docx", "A 61396-2021")</f>
        <v/>
      </c>
      <c r="AC1509">
        <f>HYPERLINK("https://klasma.github.io/Logging_2081/tillsyn/A 61396-2021 tillsynsbegäran.docx", "A 61396-2021")</f>
        <v/>
      </c>
      <c r="AD1509">
        <f>HYPERLINK("https://klasma.github.io/Logging_2081/tillsynsmail/A 61396-2021 tillsynsbegäran mail.docx", "A 61396-2021")</f>
        <v/>
      </c>
      <c r="AE1509">
        <f>HYPERLINK("https://klasma.github.io/Logging_2081/fåglar/A 61396-2021 prioriterade fågelarter.docx", "A 61396-2021")</f>
        <v/>
      </c>
    </row>
    <row r="1510" ht="15" customHeight="1">
      <c r="A1510" t="inlineStr">
        <is>
          <t>A 11218-2023</t>
        </is>
      </c>
      <c r="B1510" t="inlineStr">
        <is>
          <t>avverkningsanmälan</t>
        </is>
      </c>
      <c r="C1510" t="inlineStr">
        <is>
          <t>Föryngringsavverkning</t>
        </is>
      </c>
      <c r="D1510" s="1" t="n">
        <v>44992</v>
      </c>
      <c r="E1510" s="1" t="n">
        <v>46319</v>
      </c>
      <c r="F1510" t="inlineStr">
        <is>
          <t>DALARNAS LÄN</t>
        </is>
      </c>
      <c r="G1510" t="inlineStr">
        <is>
          <t>LEKSAND</t>
        </is>
      </c>
      <c r="I1510" t="n">
        <v>2.6</v>
      </c>
      <c r="J1510" t="n">
        <v>1</v>
      </c>
      <c r="K1510" t="n">
        <v>0</v>
      </c>
      <c r="L1510" t="n">
        <v>0</v>
      </c>
      <c r="M1510" t="n">
        <v>1</v>
      </c>
      <c r="N1510" t="n">
        <v>0</v>
      </c>
      <c r="O1510" t="n">
        <v>0</v>
      </c>
      <c r="P1510" t="n">
        <v>0</v>
      </c>
      <c r="Q1510" t="n">
        <v>1</v>
      </c>
      <c r="R1510" t="n">
        <v>1</v>
      </c>
      <c r="S1510" t="n">
        <v>1</v>
      </c>
      <c r="T1510" t="n">
        <v>1</v>
      </c>
      <c r="U1510" t="n">
        <v>1</v>
      </c>
      <c r="V1510" s="2" t="inlineStr">
        <is>
          <t>Knärot</t>
        </is>
      </c>
      <c r="W1510">
        <f>HYPERLINK("https://klasma.github.io/Logging_2029/artfynd/A 11218-2023 artfynd.xlsx", "A 11218-2023")</f>
        <v/>
      </c>
      <c r="X1510">
        <f>HYPERLINK("https://klasma.github.io/Logging_2029/kartor/A 11218-2023 karta.png", "A 11218-2023")</f>
        <v/>
      </c>
      <c r="Y1510">
        <f>HYPERLINK("https://klasma.github.io/Logging_2029/kartor_geotiff/A 11218-2023 georefererad karta.tif", "A 11218-2023")</f>
        <v/>
      </c>
      <c r="Z1510">
        <f>HYPERLINK("https://klasma.github.io/Logging_2029/knärot/A 11218-2023 karta knärot.png", "A 11218-2023")</f>
        <v/>
      </c>
      <c r="AA1510">
        <f>HYPERLINK("https://klasma.github.io/Logging_2029/klagomål/A 11218-2023 FSC-klagomål.docx", "A 11218-2023")</f>
        <v/>
      </c>
      <c r="AB1510">
        <f>HYPERLINK("https://klasma.github.io/Logging_2029/klagomålsmail/A 11218-2023 FSC-klagomål mail.docx", "A 11218-2023")</f>
        <v/>
      </c>
      <c r="AC1510">
        <f>HYPERLINK("https://klasma.github.io/Logging_2029/tillsyn/A 11218-2023 tillsynsbegäran.docx", "A 11218-2023")</f>
        <v/>
      </c>
      <c r="AD1510">
        <f>HYPERLINK("https://klasma.github.io/Logging_2029/tillsynsmail/A 11218-2023 tillsynsbegäran mail.docx", "A 11218-2023")</f>
        <v/>
      </c>
    </row>
    <row r="1511" ht="15" customHeight="1">
      <c r="A1511" t="inlineStr">
        <is>
          <t>A 30003-2023</t>
        </is>
      </c>
      <c r="B1511" t="inlineStr">
        <is>
          <t>avverkningsanmälan</t>
        </is>
      </c>
      <c r="C1511" t="inlineStr">
        <is>
          <t>Föryngringsavverkning</t>
        </is>
      </c>
      <c r="D1511" s="1" t="n">
        <v>45109</v>
      </c>
      <c r="E1511" s="1" t="n">
        <v>46319</v>
      </c>
      <c r="F1511" t="inlineStr">
        <is>
          <t>DALARNAS LÄN</t>
        </is>
      </c>
      <c r="G1511" t="inlineStr">
        <is>
          <t>SMEDJEBACKEN</t>
        </is>
      </c>
      <c r="I1511" t="n">
        <v>1.6</v>
      </c>
      <c r="J1511" t="n">
        <v>1</v>
      </c>
      <c r="K1511" t="n">
        <v>0</v>
      </c>
      <c r="L1511" t="n">
        <v>0</v>
      </c>
      <c r="M1511" t="n">
        <v>0</v>
      </c>
      <c r="N1511" t="n">
        <v>0</v>
      </c>
      <c r="O1511" t="n">
        <v>0</v>
      </c>
      <c r="P1511" t="n">
        <v>0</v>
      </c>
      <c r="Q1511" t="n">
        <v>0</v>
      </c>
      <c r="R1511" t="n">
        <v>0</v>
      </c>
      <c r="S1511" t="n">
        <v>1</v>
      </c>
      <c r="T1511" t="n">
        <v>1</v>
      </c>
      <c r="U1511" t="n">
        <v>1</v>
      </c>
      <c r="V1511" s="2" t="inlineStr">
        <is>
          <t>Fläcknycklar</t>
        </is>
      </c>
      <c r="W1511">
        <f>HYPERLINK("https://klasma.github.io/Logging_2061/artfynd/A 30003-2023 artfynd.xlsx", "A 30003-2023")</f>
        <v/>
      </c>
      <c r="X1511">
        <f>HYPERLINK("https://klasma.github.io/Logging_2061/kartor/A 30003-2023 karta.png", "A 30003-2023")</f>
        <v/>
      </c>
      <c r="Y1511">
        <f>HYPERLINK("https://klasma.github.io/Logging_2061/kartor_geotiff/A 30003-2023 georefererad karta.tif", "A 30003-2023")</f>
        <v/>
      </c>
      <c r="AA1511">
        <f>HYPERLINK("https://klasma.github.io/Logging_2061/klagomål/A 30003-2023 FSC-klagomål.docx", "A 30003-2023")</f>
        <v/>
      </c>
      <c r="AB1511">
        <f>HYPERLINK("https://klasma.github.io/Logging_2061/klagomålsmail/A 30003-2023 FSC-klagomål mail.docx", "A 30003-2023")</f>
        <v/>
      </c>
      <c r="AC1511">
        <f>HYPERLINK("https://klasma.github.io/Logging_2061/tillsyn/A 30003-2023 tillsynsbegäran.docx", "A 30003-2023")</f>
        <v/>
      </c>
      <c r="AD1511">
        <f>HYPERLINK("https://klasma.github.io/Logging_2061/tillsynsmail/A 30003-2023 tillsynsbegäran mail.docx", "A 30003-2023")</f>
        <v/>
      </c>
    </row>
    <row r="1512" ht="15" customHeight="1">
      <c r="A1512" t="inlineStr">
        <is>
          <t>A 44992-2024</t>
        </is>
      </c>
      <c r="B1512" t="inlineStr">
        <is>
          <t>avverkningsanmälan</t>
        </is>
      </c>
      <c r="C1512" t="inlineStr">
        <is>
          <t>Föryngringsavverkning</t>
        </is>
      </c>
      <c r="D1512" s="1" t="n">
        <v>45575</v>
      </c>
      <c r="E1512" s="1" t="n">
        <v>46319</v>
      </c>
      <c r="F1512" t="inlineStr">
        <is>
          <t>DALARNAS LÄN</t>
        </is>
      </c>
      <c r="G1512" t="inlineStr">
        <is>
          <t>SÄTER</t>
        </is>
      </c>
      <c r="H1512" t="inlineStr">
        <is>
          <t>Bergvik skog väst AB</t>
        </is>
      </c>
      <c r="I1512" t="n">
        <v>9.9</v>
      </c>
      <c r="J1512" t="n">
        <v>1</v>
      </c>
      <c r="K1512" t="n">
        <v>0</v>
      </c>
      <c r="L1512" t="n">
        <v>0</v>
      </c>
      <c r="M1512" t="n">
        <v>0</v>
      </c>
      <c r="N1512" t="n">
        <v>0</v>
      </c>
      <c r="O1512" t="n">
        <v>0</v>
      </c>
      <c r="P1512" t="n">
        <v>0</v>
      </c>
      <c r="Q1512" t="n">
        <v>0</v>
      </c>
      <c r="R1512" t="n">
        <v>0</v>
      </c>
      <c r="S1512" t="n">
        <v>1</v>
      </c>
      <c r="T1512" t="n">
        <v>1</v>
      </c>
      <c r="U1512" t="n">
        <v>0</v>
      </c>
      <c r="V1512" s="2" t="inlineStr">
        <is>
          <t>Blåsippa</t>
        </is>
      </c>
      <c r="W1512">
        <f>HYPERLINK("https://klasma.github.io/Logging_2082/artfynd/A 44992-2024 artfynd.xlsx", "A 44992-2024")</f>
        <v/>
      </c>
      <c r="X1512">
        <f>HYPERLINK("https://klasma.github.io/Logging_2082/kartor/A 44992-2024 karta.png", "A 44992-2024")</f>
        <v/>
      </c>
      <c r="Y1512">
        <f>HYPERLINK("https://klasma.github.io/Logging_2082/kartor_geotiff/A 44992-2024 georefererad karta.tif", "A 44992-2024")</f>
        <v/>
      </c>
      <c r="AA1512">
        <f>HYPERLINK("https://klasma.github.io/Logging_2082/klagomål/A 44992-2024 FSC-klagomål.docx", "A 44992-2024")</f>
        <v/>
      </c>
      <c r="AB1512">
        <f>HYPERLINK("https://klasma.github.io/Logging_2082/klagomålsmail/A 44992-2024 FSC-klagomål mail.docx", "A 44992-2024")</f>
        <v/>
      </c>
      <c r="AC1512">
        <f>HYPERLINK("https://klasma.github.io/Logging_2082/tillsyn/A 44992-2024 tillsynsbegäran.docx", "A 44992-2024")</f>
        <v/>
      </c>
      <c r="AD1512">
        <f>HYPERLINK("https://klasma.github.io/Logging_2082/tillsynsmail/A 44992-2024 tillsynsbegäran mail.docx", "A 44992-2024")</f>
        <v/>
      </c>
    </row>
    <row r="1513" ht="15" customHeight="1">
      <c r="A1513" t="inlineStr">
        <is>
          <t>A 2612-2023</t>
        </is>
      </c>
      <c r="B1513" t="inlineStr">
        <is>
          <t>avverkningsanmälan</t>
        </is>
      </c>
      <c r="C1513" t="inlineStr">
        <is>
          <t>Föryngringsavverkning</t>
        </is>
      </c>
      <c r="D1513" s="1" t="n">
        <v>44944</v>
      </c>
      <c r="E1513" s="1" t="n">
        <v>46319</v>
      </c>
      <c r="F1513" t="inlineStr">
        <is>
          <t>DALARNAS LÄN</t>
        </is>
      </c>
      <c r="G1513" t="inlineStr">
        <is>
          <t>MALUNG-SÄLEN</t>
        </is>
      </c>
      <c r="I1513" t="n">
        <v>3.5</v>
      </c>
      <c r="J1513" t="n">
        <v>0</v>
      </c>
      <c r="K1513" t="n">
        <v>0</v>
      </c>
      <c r="L1513" t="n">
        <v>0</v>
      </c>
      <c r="M1513" t="n">
        <v>1</v>
      </c>
      <c r="N1513" t="n">
        <v>0</v>
      </c>
      <c r="O1513" t="n">
        <v>0</v>
      </c>
      <c r="P1513" t="n">
        <v>0</v>
      </c>
      <c r="Q1513" t="n">
        <v>1</v>
      </c>
      <c r="R1513" t="n">
        <v>1</v>
      </c>
      <c r="S1513" t="n">
        <v>1</v>
      </c>
      <c r="T1513" t="n">
        <v>3</v>
      </c>
      <c r="U1513" t="n">
        <v>0</v>
      </c>
      <c r="V1513" s="2" t="inlineStr">
        <is>
          <t>Garnlav</t>
        </is>
      </c>
      <c r="W1513">
        <f>HYPERLINK("https://klasma.github.io/Logging_2023/artfynd/A 2612-2023 artfynd.xlsx", "A 2612-2023")</f>
        <v/>
      </c>
      <c r="X1513">
        <f>HYPERLINK("https://klasma.github.io/Logging_2023/kartor/A 2612-2023 karta.png", "A 2612-2023")</f>
        <v/>
      </c>
      <c r="Y1513">
        <f>HYPERLINK("https://klasma.github.io/Logging_2023/kartor_geotiff/A 2612-2023 georefererad karta.tif", "A 2612-2023")</f>
        <v/>
      </c>
      <c r="AA1513">
        <f>HYPERLINK("https://klasma.github.io/Logging_2023/klagomål/A 2612-2023 FSC-klagomål.docx", "A 2612-2023")</f>
        <v/>
      </c>
      <c r="AB1513">
        <f>HYPERLINK("https://klasma.github.io/Logging_2023/klagomålsmail/A 2612-2023 FSC-klagomål mail.docx", "A 2612-2023")</f>
        <v/>
      </c>
      <c r="AC1513">
        <f>HYPERLINK("https://klasma.github.io/Logging_2023/tillsyn/A 2612-2023 tillsynsbegäran.docx", "A 2612-2023")</f>
        <v/>
      </c>
      <c r="AD1513">
        <f>HYPERLINK("https://klasma.github.io/Logging_2023/tillsynsmail/A 2612-2023 tillsynsbegäran mail.docx", "A 2612-2023")</f>
        <v/>
      </c>
    </row>
    <row r="1514" ht="15" customHeight="1">
      <c r="A1514" t="inlineStr">
        <is>
          <t>A 18107-2025</t>
        </is>
      </c>
      <c r="B1514" t="inlineStr">
        <is>
          <t>avverkningsanmälan</t>
        </is>
      </c>
      <c r="C1514" t="inlineStr">
        <is>
          <t>Föryngringsavverkning</t>
        </is>
      </c>
      <c r="D1514" s="1" t="n">
        <v>45761</v>
      </c>
      <c r="E1514" s="1" t="n">
        <v>46319</v>
      </c>
      <c r="F1514" t="inlineStr">
        <is>
          <t>DALARNAS LÄN</t>
        </is>
      </c>
      <c r="G1514" t="inlineStr">
        <is>
          <t>LEKSAND</t>
        </is>
      </c>
      <c r="I1514" t="n">
        <v>1.2</v>
      </c>
      <c r="J1514" t="n">
        <v>0</v>
      </c>
      <c r="K1514" t="n">
        <v>0</v>
      </c>
      <c r="L1514" t="n">
        <v>1</v>
      </c>
      <c r="M1514" t="n">
        <v>0</v>
      </c>
      <c r="N1514" t="n">
        <v>0</v>
      </c>
      <c r="O1514" t="n">
        <v>0</v>
      </c>
      <c r="P1514" t="n">
        <v>0</v>
      </c>
      <c r="Q1514" t="n">
        <v>1</v>
      </c>
      <c r="R1514" t="n">
        <v>0</v>
      </c>
      <c r="S1514" t="n">
        <v>1</v>
      </c>
      <c r="T1514" t="n">
        <v>1</v>
      </c>
      <c r="U1514" t="n">
        <v>0</v>
      </c>
      <c r="V1514" s="2" t="inlineStr">
        <is>
          <t>Gullpudra</t>
        </is>
      </c>
      <c r="W1514">
        <f>HYPERLINK("https://klasma.github.io/Logging_2029/artfynd/A 18107-2025 artfynd.xlsx", "A 18107-2025")</f>
        <v/>
      </c>
      <c r="X1514">
        <f>HYPERLINK("https://klasma.github.io/Logging_2029/kartor/A 18107-2025 karta.png", "A 18107-2025")</f>
        <v/>
      </c>
      <c r="Y1514">
        <f>HYPERLINK("https://klasma.github.io/Logging_2029/kartor_geotiff/A 18107-2025 georefererad karta.tif", "A 18107-2025")</f>
        <v/>
      </c>
      <c r="AA1514">
        <f>HYPERLINK("https://klasma.github.io/Logging_2029/klagomål/A 18107-2025 FSC-klagomål.docx", "A 18107-2025")</f>
        <v/>
      </c>
      <c r="AB1514">
        <f>HYPERLINK("https://klasma.github.io/Logging_2029/klagomålsmail/A 18107-2025 FSC-klagomål mail.docx", "A 18107-2025")</f>
        <v/>
      </c>
      <c r="AC1514">
        <f>HYPERLINK("https://klasma.github.io/Logging_2029/tillsyn/A 18107-2025 tillsynsbegäran.docx", "A 18107-2025")</f>
        <v/>
      </c>
      <c r="AD1514">
        <f>HYPERLINK("https://klasma.github.io/Logging_2029/tillsynsmail/A 18107-2025 tillsynsbegäran mail.docx", "A 18107-2025")</f>
        <v/>
      </c>
    </row>
    <row r="1515" ht="15" customHeight="1">
      <c r="A1515" t="inlineStr">
        <is>
          <t>A 48805-2024</t>
        </is>
      </c>
      <c r="B1515" t="inlineStr">
        <is>
          <t>avverkningsanmälan</t>
        </is>
      </c>
      <c r="C1515" t="inlineStr">
        <is>
          <t>Föryngringsavverkning</t>
        </is>
      </c>
      <c r="D1515" s="1" t="n">
        <v>45593</v>
      </c>
      <c r="E1515" s="1" t="n">
        <v>46319</v>
      </c>
      <c r="F1515" t="inlineStr">
        <is>
          <t>DALARNAS LÄN</t>
        </is>
      </c>
      <c r="G1515" t="inlineStr">
        <is>
          <t>GAGNEF</t>
        </is>
      </c>
      <c r="I1515" t="n">
        <v>0.4</v>
      </c>
      <c r="J1515" t="n">
        <v>1</v>
      </c>
      <c r="K1515" t="n">
        <v>0</v>
      </c>
      <c r="L1515" t="n">
        <v>1</v>
      </c>
      <c r="M1515" t="n">
        <v>0</v>
      </c>
      <c r="N1515" t="n">
        <v>0</v>
      </c>
      <c r="O1515" t="n">
        <v>0</v>
      </c>
      <c r="P1515" t="n">
        <v>0</v>
      </c>
      <c r="Q1515" t="n">
        <v>1</v>
      </c>
      <c r="R1515" t="n">
        <v>0</v>
      </c>
      <c r="S1515" t="n">
        <v>1</v>
      </c>
      <c r="T1515" t="n">
        <v>1</v>
      </c>
      <c r="U1515" t="n">
        <v>0</v>
      </c>
      <c r="V1515" s="2" t="inlineStr">
        <is>
          <t>Nordfladdermus</t>
        </is>
      </c>
      <c r="W1515">
        <f>HYPERLINK("https://klasma.github.io/Logging_2026/artfynd/A 48805-2024 artfynd.xlsx", "A 48805-2024")</f>
        <v/>
      </c>
      <c r="X1515">
        <f>HYPERLINK("https://klasma.github.io/Logging_2026/kartor/A 48805-2024 karta.png", "A 48805-2024")</f>
        <v/>
      </c>
      <c r="Y1515">
        <f>HYPERLINK("https://klasma.github.io/Logging_2026/kartor_geotiff/A 48805-2024 georefererad karta.tif", "A 48805-2024")</f>
        <v/>
      </c>
      <c r="AA1515">
        <f>HYPERLINK("https://klasma.github.io/Logging_2026/klagomål/A 48805-2024 FSC-klagomål.docx", "A 48805-2024")</f>
        <v/>
      </c>
      <c r="AB1515">
        <f>HYPERLINK("https://klasma.github.io/Logging_2026/klagomålsmail/A 48805-2024 FSC-klagomål mail.docx", "A 48805-2024")</f>
        <v/>
      </c>
      <c r="AC1515">
        <f>HYPERLINK("https://klasma.github.io/Logging_2026/tillsyn/A 48805-2024 tillsynsbegäran.docx", "A 48805-2024")</f>
        <v/>
      </c>
      <c r="AD1515">
        <f>HYPERLINK("https://klasma.github.io/Logging_2026/tillsynsmail/A 48805-2024 tillsynsbegäran mail.docx", "A 48805-2024")</f>
        <v/>
      </c>
    </row>
    <row r="1516" ht="15" customHeight="1">
      <c r="A1516" t="inlineStr">
        <is>
          <t>A 68415-2021</t>
        </is>
      </c>
      <c r="B1516" t="inlineStr">
        <is>
          <t>avverkningsanmälan</t>
        </is>
      </c>
      <c r="C1516" t="inlineStr">
        <is>
          <t>Föryngringsavverkning</t>
        </is>
      </c>
      <c r="D1516" s="1" t="n">
        <v>44529</v>
      </c>
      <c r="E1516" s="1" t="n">
        <v>46319</v>
      </c>
      <c r="F1516" t="inlineStr">
        <is>
          <t>DALARNAS LÄN</t>
        </is>
      </c>
      <c r="G1516" t="inlineStr">
        <is>
          <t>MORA</t>
        </is>
      </c>
      <c r="I1516" t="n">
        <v>1.2</v>
      </c>
      <c r="J1516" t="n">
        <v>1</v>
      </c>
      <c r="K1516" t="n">
        <v>0</v>
      </c>
      <c r="L1516" t="n">
        <v>1</v>
      </c>
      <c r="M1516" t="n">
        <v>0</v>
      </c>
      <c r="N1516" t="n">
        <v>0</v>
      </c>
      <c r="O1516" t="n">
        <v>0</v>
      </c>
      <c r="P1516" t="n">
        <v>0</v>
      </c>
      <c r="Q1516" t="n">
        <v>1</v>
      </c>
      <c r="R1516" t="n">
        <v>0</v>
      </c>
      <c r="S1516" t="n">
        <v>1</v>
      </c>
      <c r="T1516" t="n">
        <v>1</v>
      </c>
      <c r="U1516" t="n">
        <v>1</v>
      </c>
      <c r="V1516" s="2" t="inlineStr">
        <is>
          <t>Sparvuggla</t>
        </is>
      </c>
      <c r="W1516">
        <f>HYPERLINK("https://klasma.github.io/Logging_2062/artfynd/A 68415-2021 artfynd.xlsx", "A 68415-2021")</f>
        <v/>
      </c>
      <c r="X1516">
        <f>HYPERLINK("https://klasma.github.io/Logging_2062/kartor/A 68415-2021 karta.png", "A 68415-2021")</f>
        <v/>
      </c>
      <c r="Y1516">
        <f>HYPERLINK("https://klasma.github.io/Logging_2062/kartor_geotiff/A 68415-2021 georefererad karta.tif", "A 68415-2021")</f>
        <v/>
      </c>
      <c r="AA1516">
        <f>HYPERLINK("https://klasma.github.io/Logging_2062/klagomål/A 68415-2021 FSC-klagomål.docx", "A 68415-2021")</f>
        <v/>
      </c>
      <c r="AB1516">
        <f>HYPERLINK("https://klasma.github.io/Logging_2062/klagomålsmail/A 68415-2021 FSC-klagomål mail.docx", "A 68415-2021")</f>
        <v/>
      </c>
      <c r="AC1516">
        <f>HYPERLINK("https://klasma.github.io/Logging_2062/tillsyn/A 68415-2021 tillsynsbegäran.docx", "A 68415-2021")</f>
        <v/>
      </c>
      <c r="AD1516">
        <f>HYPERLINK("https://klasma.github.io/Logging_2062/tillsynsmail/A 68415-2021 tillsynsbegäran mail.docx", "A 68415-2021")</f>
        <v/>
      </c>
      <c r="AE1516">
        <f>HYPERLINK("https://klasma.github.io/Logging_2062/fåglar/A 68415-2021 prioriterade fågelarter.docx", "A 68415-2021")</f>
        <v/>
      </c>
    </row>
    <row r="1517" ht="15" customHeight="1">
      <c r="A1517" t="inlineStr">
        <is>
          <t>A 58609-2023</t>
        </is>
      </c>
      <c r="B1517" t="inlineStr">
        <is>
          <t>avverkningsanmälan</t>
        </is>
      </c>
      <c r="C1517" t="inlineStr">
        <is>
          <t>Föryngringsavverkning</t>
        </is>
      </c>
      <c r="D1517" s="1" t="n">
        <v>45251</v>
      </c>
      <c r="E1517" s="1" t="n">
        <v>46319</v>
      </c>
      <c r="F1517" t="inlineStr">
        <is>
          <t>DALARNAS LÄN</t>
        </is>
      </c>
      <c r="G1517" t="inlineStr">
        <is>
          <t>BORLÄNGE</t>
        </is>
      </c>
      <c r="I1517" t="n">
        <v>1.9</v>
      </c>
      <c r="J1517" t="n">
        <v>0</v>
      </c>
      <c r="K1517" t="n">
        <v>0</v>
      </c>
      <c r="L1517" t="n">
        <v>1</v>
      </c>
      <c r="M1517" t="n">
        <v>0</v>
      </c>
      <c r="N1517" t="n">
        <v>0</v>
      </c>
      <c r="O1517" t="n">
        <v>0</v>
      </c>
      <c r="P1517" t="n">
        <v>0</v>
      </c>
      <c r="Q1517" t="n">
        <v>1</v>
      </c>
      <c r="R1517" t="n">
        <v>0</v>
      </c>
      <c r="S1517" t="n">
        <v>1</v>
      </c>
      <c r="T1517" t="n">
        <v>1</v>
      </c>
      <c r="U1517" t="n">
        <v>0</v>
      </c>
      <c r="V1517" s="2" t="inlineStr">
        <is>
          <t>Ullticka</t>
        </is>
      </c>
      <c r="W1517">
        <f>HYPERLINK("https://klasma.github.io/Logging_2081/artfynd/A 58609-2023 artfynd.xlsx", "A 58609-2023")</f>
        <v/>
      </c>
      <c r="X1517">
        <f>HYPERLINK("https://klasma.github.io/Logging_2081/kartor/A 58609-2023 karta.png", "A 58609-2023")</f>
        <v/>
      </c>
      <c r="Y1517">
        <f>HYPERLINK("https://klasma.github.io/Logging_2081/kartor_geotiff/A 58609-2023 georefererad karta.tif", "A 58609-2023")</f>
        <v/>
      </c>
      <c r="AA1517">
        <f>HYPERLINK("https://klasma.github.io/Logging_2081/klagomål/A 58609-2023 FSC-klagomål.docx", "A 58609-2023")</f>
        <v/>
      </c>
      <c r="AB1517">
        <f>HYPERLINK("https://klasma.github.io/Logging_2081/klagomålsmail/A 58609-2023 FSC-klagomål mail.docx", "A 58609-2023")</f>
        <v/>
      </c>
      <c r="AC1517">
        <f>HYPERLINK("https://klasma.github.io/Logging_2081/tillsyn/A 58609-2023 tillsynsbegäran.docx", "A 58609-2023")</f>
        <v/>
      </c>
      <c r="AD1517">
        <f>HYPERLINK("https://klasma.github.io/Logging_2081/tillsynsmail/A 58609-2023 tillsynsbegäran mail.docx", "A 58609-2023")</f>
        <v/>
      </c>
    </row>
    <row r="1518" ht="15" customHeight="1">
      <c r="A1518" t="inlineStr">
        <is>
          <t>A 43508-2024</t>
        </is>
      </c>
      <c r="B1518" t="inlineStr">
        <is>
          <t>avverkningsanmälan</t>
        </is>
      </c>
      <c r="C1518" t="inlineStr">
        <is>
          <t>Föryngringsavverkning</t>
        </is>
      </c>
      <c r="D1518" s="1" t="n">
        <v>45569</v>
      </c>
      <c r="E1518" s="1" t="n">
        <v>46319</v>
      </c>
      <c r="F1518" t="inlineStr">
        <is>
          <t>DALARNAS LÄN</t>
        </is>
      </c>
      <c r="G1518" t="inlineStr">
        <is>
          <t>AVESTA</t>
        </is>
      </c>
      <c r="H1518" t="inlineStr">
        <is>
          <t>Sveaskog</t>
        </is>
      </c>
      <c r="I1518" t="n">
        <v>3.8</v>
      </c>
      <c r="J1518" t="n">
        <v>1</v>
      </c>
      <c r="K1518" t="n">
        <v>0</v>
      </c>
      <c r="L1518" t="n">
        <v>0</v>
      </c>
      <c r="M1518" t="n">
        <v>0</v>
      </c>
      <c r="N1518" t="n">
        <v>0</v>
      </c>
      <c r="O1518" t="n">
        <v>0</v>
      </c>
      <c r="P1518" t="n">
        <v>0</v>
      </c>
      <c r="Q1518" t="n">
        <v>0</v>
      </c>
      <c r="R1518" t="n">
        <v>0</v>
      </c>
      <c r="S1518" t="n">
        <v>1</v>
      </c>
      <c r="T1518" t="n">
        <v>1</v>
      </c>
      <c r="U1518" t="n">
        <v>0</v>
      </c>
      <c r="V1518" s="2" t="inlineStr">
        <is>
          <t>Kungsfågel</t>
        </is>
      </c>
      <c r="W1518">
        <f>HYPERLINK("https://klasma.github.io/Logging_2084/artfynd/A 43508-2024 artfynd.xlsx", "A 43508-2024")</f>
        <v/>
      </c>
      <c r="X1518">
        <f>HYPERLINK("https://klasma.github.io/Logging_2084/kartor/A 43508-2024 karta.png", "A 43508-2024")</f>
        <v/>
      </c>
      <c r="Y1518">
        <f>HYPERLINK("https://klasma.github.io/Logging_2084/kartor_geotiff/A 43508-2024 georefererad karta.tif", "A 43508-2024")</f>
        <v/>
      </c>
      <c r="AA1518">
        <f>HYPERLINK("https://klasma.github.io/Logging_2084/klagomål/A 43508-2024 FSC-klagomål.docx", "A 43508-2024")</f>
        <v/>
      </c>
      <c r="AB1518">
        <f>HYPERLINK("https://klasma.github.io/Logging_2084/klagomålsmail/A 43508-2024 FSC-klagomål mail.docx", "A 43508-2024")</f>
        <v/>
      </c>
      <c r="AC1518">
        <f>HYPERLINK("https://klasma.github.io/Logging_2084/tillsyn/A 43508-2024 tillsynsbegäran.docx", "A 43508-2024")</f>
        <v/>
      </c>
      <c r="AD1518">
        <f>HYPERLINK("https://klasma.github.io/Logging_2084/tillsynsmail/A 43508-2024 tillsynsbegäran mail.docx", "A 43508-2024")</f>
        <v/>
      </c>
    </row>
    <row r="1519" ht="15" customHeight="1">
      <c r="A1519" t="inlineStr">
        <is>
          <t>A 33318-2023</t>
        </is>
      </c>
      <c r="B1519" t="inlineStr">
        <is>
          <t>avverkningsanmälan</t>
        </is>
      </c>
      <c r="C1519" t="inlineStr">
        <is>
          <t>Föryngringsavverkning</t>
        </is>
      </c>
      <c r="D1519" s="1" t="n">
        <v>45127</v>
      </c>
      <c r="E1519" s="1" t="n">
        <v>46319</v>
      </c>
      <c r="F1519" t="inlineStr">
        <is>
          <t>DALARNAS LÄN</t>
        </is>
      </c>
      <c r="G1519" t="inlineStr">
        <is>
          <t>LEKSAND</t>
        </is>
      </c>
      <c r="I1519" t="n">
        <v>5.5</v>
      </c>
      <c r="J1519" t="n">
        <v>1</v>
      </c>
      <c r="K1519" t="n">
        <v>0</v>
      </c>
      <c r="L1519" t="n">
        <v>1</v>
      </c>
      <c r="M1519" t="n">
        <v>0</v>
      </c>
      <c r="N1519" t="n">
        <v>0</v>
      </c>
      <c r="O1519" t="n">
        <v>0</v>
      </c>
      <c r="P1519" t="n">
        <v>0</v>
      </c>
      <c r="Q1519" t="n">
        <v>1</v>
      </c>
      <c r="R1519" t="n">
        <v>0</v>
      </c>
      <c r="S1519" t="n">
        <v>1</v>
      </c>
      <c r="T1519" t="n">
        <v>1</v>
      </c>
      <c r="U1519" t="n">
        <v>1</v>
      </c>
      <c r="V1519" s="2" t="inlineStr">
        <is>
          <t>Sparvuggla</t>
        </is>
      </c>
      <c r="W1519">
        <f>HYPERLINK("https://klasma.github.io/Logging_2029/artfynd/A 33318-2023 artfynd.xlsx", "A 33318-2023")</f>
        <v/>
      </c>
      <c r="X1519">
        <f>HYPERLINK("https://klasma.github.io/Logging_2029/kartor/A 33318-2023 karta.png", "A 33318-2023")</f>
        <v/>
      </c>
      <c r="Y1519">
        <f>HYPERLINK("https://klasma.github.io/Logging_2029/kartor_geotiff/A 33318-2023 georefererad karta.tif", "A 33318-2023")</f>
        <v/>
      </c>
      <c r="AA1519">
        <f>HYPERLINK("https://klasma.github.io/Logging_2029/klagomål/A 33318-2023 FSC-klagomål.docx", "A 33318-2023")</f>
        <v/>
      </c>
      <c r="AB1519">
        <f>HYPERLINK("https://klasma.github.io/Logging_2029/klagomålsmail/A 33318-2023 FSC-klagomål mail.docx", "A 33318-2023")</f>
        <v/>
      </c>
      <c r="AC1519">
        <f>HYPERLINK("https://klasma.github.io/Logging_2029/tillsyn/A 33318-2023 tillsynsbegäran.docx", "A 33318-2023")</f>
        <v/>
      </c>
      <c r="AD1519">
        <f>HYPERLINK("https://klasma.github.io/Logging_2029/tillsynsmail/A 33318-2023 tillsynsbegäran mail.docx", "A 33318-2023")</f>
        <v/>
      </c>
      <c r="AE1519">
        <f>HYPERLINK("https://klasma.github.io/Logging_2029/fåglar/A 33318-2023 prioriterade fågelarter.docx", "A 33318-2023")</f>
        <v/>
      </c>
    </row>
    <row r="1520" ht="15" customHeight="1">
      <c r="A1520" t="inlineStr">
        <is>
          <t>A 7332-2022</t>
        </is>
      </c>
      <c r="B1520" t="inlineStr">
        <is>
          <t>avverkningsanmälan</t>
        </is>
      </c>
      <c r="C1520" t="inlineStr">
        <is>
          <t>Föryngringsavverkning</t>
        </is>
      </c>
      <c r="D1520" s="1" t="n">
        <v>44606</v>
      </c>
      <c r="E1520" s="1" t="n">
        <v>46319</v>
      </c>
      <c r="F1520" t="inlineStr">
        <is>
          <t>DALARNAS LÄN</t>
        </is>
      </c>
      <c r="G1520" t="inlineStr">
        <is>
          <t>BORLÄNGE</t>
        </is>
      </c>
      <c r="H1520" t="inlineStr">
        <is>
          <t>Bergvik skog väst AB</t>
        </is>
      </c>
      <c r="I1520" t="n">
        <v>1.4</v>
      </c>
      <c r="J1520" t="n">
        <v>1</v>
      </c>
      <c r="K1520" t="n">
        <v>0</v>
      </c>
      <c r="L1520" t="n">
        <v>0</v>
      </c>
      <c r="M1520" t="n">
        <v>0</v>
      </c>
      <c r="N1520" t="n">
        <v>0</v>
      </c>
      <c r="O1520" t="n">
        <v>0</v>
      </c>
      <c r="P1520" t="n">
        <v>0</v>
      </c>
      <c r="Q1520" t="n">
        <v>0</v>
      </c>
      <c r="R1520" t="n">
        <v>0</v>
      </c>
      <c r="S1520" t="n">
        <v>1</v>
      </c>
      <c r="T1520" t="n">
        <v>1</v>
      </c>
      <c r="U1520" t="n">
        <v>1</v>
      </c>
      <c r="V1520" s="2" t="inlineStr">
        <is>
          <t>Nattviol</t>
        </is>
      </c>
      <c r="W1520">
        <f>HYPERLINK("https://klasma.github.io/Logging_2081/artfynd/A 7332-2022 artfynd.xlsx", "A 7332-2022")</f>
        <v/>
      </c>
      <c r="X1520">
        <f>HYPERLINK("https://klasma.github.io/Logging_2081/kartor/A 7332-2022 karta.png", "A 7332-2022")</f>
        <v/>
      </c>
      <c r="Y1520">
        <f>HYPERLINK("https://klasma.github.io/Logging_2081/kartor_geotiff/A 7332-2022 georefererad karta.tif", "A 7332-2022")</f>
        <v/>
      </c>
      <c r="AA1520">
        <f>HYPERLINK("https://klasma.github.io/Logging_2081/klagomål/A 7332-2022 FSC-klagomål.docx", "A 7332-2022")</f>
        <v/>
      </c>
      <c r="AB1520">
        <f>HYPERLINK("https://klasma.github.io/Logging_2081/klagomålsmail/A 7332-2022 FSC-klagomål mail.docx", "A 7332-2022")</f>
        <v/>
      </c>
      <c r="AC1520">
        <f>HYPERLINK("https://klasma.github.io/Logging_2081/tillsyn/A 7332-2022 tillsynsbegäran.docx", "A 7332-2022")</f>
        <v/>
      </c>
      <c r="AD1520">
        <f>HYPERLINK("https://klasma.github.io/Logging_2081/tillsynsmail/A 7332-2022 tillsynsbegäran mail.docx", "A 7332-2022")</f>
        <v/>
      </c>
    </row>
    <row r="1521" ht="15" customHeight="1">
      <c r="A1521" t="inlineStr">
        <is>
          <t>A 3006-2025</t>
        </is>
      </c>
      <c r="B1521" t="inlineStr">
        <is>
          <t>avverkningsanmälan</t>
        </is>
      </c>
      <c r="C1521" t="inlineStr">
        <is>
          <t>Avverkning för att bevara och utveckla /försöksver</t>
        </is>
      </c>
      <c r="D1521" s="1" t="n">
        <v>45678</v>
      </c>
      <c r="E1521" s="1" t="n">
        <v>46319</v>
      </c>
      <c r="F1521" t="inlineStr">
        <is>
          <t>DALARNAS LÄN</t>
        </is>
      </c>
      <c r="G1521" t="inlineStr">
        <is>
          <t>BORLÄNGE</t>
        </is>
      </c>
      <c r="H1521" t="inlineStr">
        <is>
          <t>Kommuner</t>
        </is>
      </c>
      <c r="I1521" t="n">
        <v>5.8</v>
      </c>
      <c r="J1521" t="n">
        <v>1</v>
      </c>
      <c r="K1521" t="n">
        <v>0</v>
      </c>
      <c r="L1521" t="n">
        <v>0</v>
      </c>
      <c r="M1521" t="n">
        <v>0</v>
      </c>
      <c r="N1521" t="n">
        <v>0</v>
      </c>
      <c r="O1521" t="n">
        <v>0</v>
      </c>
      <c r="P1521" t="n">
        <v>0</v>
      </c>
      <c r="Q1521" t="n">
        <v>0</v>
      </c>
      <c r="R1521" t="n">
        <v>0</v>
      </c>
      <c r="S1521" t="n">
        <v>1</v>
      </c>
      <c r="T1521" t="n">
        <v>1</v>
      </c>
      <c r="U1521" t="n">
        <v>0</v>
      </c>
      <c r="V1521" s="2" t="inlineStr">
        <is>
          <t>Vanlig groda</t>
        </is>
      </c>
      <c r="W1521">
        <f>HYPERLINK("https://klasma.github.io/Logging_2081/artfynd/A 3006-2025 artfynd.xlsx", "A 3006-2025")</f>
        <v/>
      </c>
      <c r="X1521">
        <f>HYPERLINK("https://klasma.github.io/Logging_2081/kartor/A 3006-2025 karta.png", "A 3006-2025")</f>
        <v/>
      </c>
      <c r="Y1521">
        <f>HYPERLINK("https://klasma.github.io/Logging_2081/kartor_geotiff/A 3006-2025 georefererad karta.tif", "A 3006-2025")</f>
        <v/>
      </c>
      <c r="AA1521">
        <f>HYPERLINK("https://klasma.github.io/Logging_2081/klagomål/A 3006-2025 FSC-klagomål.docx", "A 3006-2025")</f>
        <v/>
      </c>
      <c r="AB1521">
        <f>HYPERLINK("https://klasma.github.io/Logging_2081/klagomålsmail/A 3006-2025 FSC-klagomål mail.docx", "A 3006-2025")</f>
        <v/>
      </c>
      <c r="AC1521">
        <f>HYPERLINK("https://klasma.github.io/Logging_2081/tillsyn/A 3006-2025 tillsynsbegäran.docx", "A 3006-2025")</f>
        <v/>
      </c>
      <c r="AD1521">
        <f>HYPERLINK("https://klasma.github.io/Logging_2081/tillsynsmail/A 3006-2025 tillsynsbegäran mail.docx", "A 3006-2025")</f>
        <v/>
      </c>
    </row>
    <row r="1522" ht="15" customHeight="1">
      <c r="A1522" t="inlineStr">
        <is>
          <t>A 57820-2024</t>
        </is>
      </c>
      <c r="B1522" t="inlineStr">
        <is>
          <t>avverkningsanmälan</t>
        </is>
      </c>
      <c r="C1522" t="inlineStr">
        <is>
          <t>Föryngringsavverkning</t>
        </is>
      </c>
      <c r="D1522" s="1" t="n">
        <v>45631</v>
      </c>
      <c r="E1522" s="1" t="n">
        <v>46319</v>
      </c>
      <c r="F1522" t="inlineStr">
        <is>
          <t>DALARNAS LÄN</t>
        </is>
      </c>
      <c r="G1522" t="inlineStr">
        <is>
          <t>MALUNG-SÄLEN</t>
        </is>
      </c>
      <c r="H1522" t="inlineStr">
        <is>
          <t>Bergvik skog väst AB</t>
        </is>
      </c>
      <c r="I1522" t="n">
        <v>0.7</v>
      </c>
      <c r="J1522" t="n">
        <v>1</v>
      </c>
      <c r="K1522" t="n">
        <v>1</v>
      </c>
      <c r="L1522" t="n">
        <v>0</v>
      </c>
      <c r="M1522" t="n">
        <v>0</v>
      </c>
      <c r="N1522" t="n">
        <v>0</v>
      </c>
      <c r="O1522" t="n">
        <v>0</v>
      </c>
      <c r="P1522" t="n">
        <v>0</v>
      </c>
      <c r="Q1522" t="n">
        <v>0</v>
      </c>
      <c r="R1522" t="n">
        <v>0</v>
      </c>
      <c r="S1522" t="n">
        <v>1</v>
      </c>
      <c r="T1522" t="n">
        <v>1</v>
      </c>
      <c r="U1522" t="n">
        <v>0</v>
      </c>
      <c r="V1522" s="2" t="inlineStr">
        <is>
          <t>Plattlummer</t>
        </is>
      </c>
      <c r="W1522">
        <f>HYPERLINK("https://klasma.github.io/Logging_2023/artfynd/A 57820-2024 artfynd.xlsx", "A 57820-2024")</f>
        <v/>
      </c>
      <c r="X1522">
        <f>HYPERLINK("https://klasma.github.io/Logging_2023/kartor/A 57820-2024 karta.png", "A 57820-2024")</f>
        <v/>
      </c>
      <c r="Y1522">
        <f>HYPERLINK("https://klasma.github.io/Logging_2023/kartor_geotiff/A 57820-2024 georefererad karta.tif", "A 57820-2024")</f>
        <v/>
      </c>
      <c r="AA1522">
        <f>HYPERLINK("https://klasma.github.io/Logging_2023/klagomål/A 57820-2024 FSC-klagomål.docx", "A 57820-2024")</f>
        <v/>
      </c>
      <c r="AB1522">
        <f>HYPERLINK("https://klasma.github.io/Logging_2023/klagomålsmail/A 57820-2024 FSC-klagomål mail.docx", "A 57820-2024")</f>
        <v/>
      </c>
      <c r="AC1522">
        <f>HYPERLINK("https://klasma.github.io/Logging_2023/tillsyn/A 57820-2024 tillsynsbegäran.docx", "A 57820-2024")</f>
        <v/>
      </c>
      <c r="AD1522">
        <f>HYPERLINK("https://klasma.github.io/Logging_2023/tillsynsmail/A 57820-2024 tillsynsbegäran mail.docx", "A 57820-2024")</f>
        <v/>
      </c>
    </row>
    <row r="1523" ht="15" customHeight="1">
      <c r="A1523" t="inlineStr">
        <is>
          <t>A 4257-2022</t>
        </is>
      </c>
      <c r="B1523" t="inlineStr">
        <is>
          <t>avverkningsanmälan</t>
        </is>
      </c>
      <c r="C1523" t="inlineStr">
        <is>
          <t>Föryngringsavverkning</t>
        </is>
      </c>
      <c r="D1523" s="1" t="n">
        <v>44588</v>
      </c>
      <c r="E1523" s="1" t="n">
        <v>46319</v>
      </c>
      <c r="F1523" t="inlineStr">
        <is>
          <t>DALARNAS LÄN</t>
        </is>
      </c>
      <c r="G1523" t="inlineStr">
        <is>
          <t>LEKSAND</t>
        </is>
      </c>
      <c r="I1523" t="n">
        <v>6.8</v>
      </c>
      <c r="J1523" t="n">
        <v>1</v>
      </c>
      <c r="K1523" t="n">
        <v>1</v>
      </c>
      <c r="L1523" t="n">
        <v>0</v>
      </c>
      <c r="M1523" t="n">
        <v>0</v>
      </c>
      <c r="N1523" t="n">
        <v>0</v>
      </c>
      <c r="O1523" t="n">
        <v>0</v>
      </c>
      <c r="P1523" t="n">
        <v>0</v>
      </c>
      <c r="Q1523" t="n">
        <v>0</v>
      </c>
      <c r="R1523" t="n">
        <v>0</v>
      </c>
      <c r="S1523" t="n">
        <v>1</v>
      </c>
      <c r="T1523" t="n">
        <v>1</v>
      </c>
      <c r="U1523" t="n">
        <v>1</v>
      </c>
      <c r="V1523" s="2" t="inlineStr">
        <is>
          <t>Skogsknipprot</t>
        </is>
      </c>
      <c r="W1523">
        <f>HYPERLINK("https://klasma.github.io/Logging_2029/artfynd/A 4257-2022 artfynd.xlsx", "A 4257-2022")</f>
        <v/>
      </c>
      <c r="X1523">
        <f>HYPERLINK("https://klasma.github.io/Logging_2029/kartor/A 4257-2022 karta.png", "A 4257-2022")</f>
        <v/>
      </c>
      <c r="Y1523">
        <f>HYPERLINK("https://klasma.github.io/Logging_2029/kartor_geotiff/A 4257-2022 georefererad karta.tif", "A 4257-2022")</f>
        <v/>
      </c>
      <c r="AA1523">
        <f>HYPERLINK("https://klasma.github.io/Logging_2029/klagomål/A 4257-2022 FSC-klagomål.docx", "A 4257-2022")</f>
        <v/>
      </c>
      <c r="AB1523">
        <f>HYPERLINK("https://klasma.github.io/Logging_2029/klagomålsmail/A 4257-2022 FSC-klagomål mail.docx", "A 4257-2022")</f>
        <v/>
      </c>
      <c r="AC1523">
        <f>HYPERLINK("https://klasma.github.io/Logging_2029/tillsyn/A 4257-2022 tillsynsbegäran.docx", "A 4257-2022")</f>
        <v/>
      </c>
      <c r="AD1523">
        <f>HYPERLINK("https://klasma.github.io/Logging_2029/tillsynsmail/A 4257-2022 tillsynsbegäran mail.docx", "A 4257-2022")</f>
        <v/>
      </c>
    </row>
    <row r="1524" ht="15" customHeight="1">
      <c r="A1524" t="inlineStr">
        <is>
          <t>A 37887-2023</t>
        </is>
      </c>
      <c r="B1524" t="inlineStr">
        <is>
          <t>avverkningsanmälan</t>
        </is>
      </c>
      <c r="C1524" t="inlineStr">
        <is>
          <t>Föryngringsavverkning</t>
        </is>
      </c>
      <c r="D1524" s="1" t="n">
        <v>45160</v>
      </c>
      <c r="E1524" s="1" t="n">
        <v>46319</v>
      </c>
      <c r="F1524" t="inlineStr">
        <is>
          <t>DALARNAS LÄN</t>
        </is>
      </c>
      <c r="G1524" t="inlineStr">
        <is>
          <t>ORSA</t>
        </is>
      </c>
      <c r="H1524" t="inlineStr">
        <is>
          <t>Allmännings- och besparingsskogar</t>
        </is>
      </c>
      <c r="I1524" t="n">
        <v>20.5</v>
      </c>
      <c r="J1524" t="n">
        <v>1</v>
      </c>
      <c r="K1524" t="n">
        <v>0</v>
      </c>
      <c r="L1524" t="n">
        <v>1</v>
      </c>
      <c r="M1524" t="n">
        <v>0</v>
      </c>
      <c r="N1524" t="n">
        <v>0</v>
      </c>
      <c r="O1524" t="n">
        <v>0</v>
      </c>
      <c r="P1524" t="n">
        <v>0</v>
      </c>
      <c r="Q1524" t="n">
        <v>1</v>
      </c>
      <c r="R1524" t="n">
        <v>0</v>
      </c>
      <c r="S1524" t="n">
        <v>1</v>
      </c>
      <c r="T1524" t="n">
        <v>1</v>
      </c>
      <c r="U1524" t="n">
        <v>0</v>
      </c>
      <c r="V1524" s="2" t="inlineStr">
        <is>
          <t>Varglav</t>
        </is>
      </c>
      <c r="W1524">
        <f>HYPERLINK("https://klasma.github.io/Logging_2034/artfynd/A 37887-2023 artfynd.xlsx", "A 37887-2023")</f>
        <v/>
      </c>
      <c r="X1524">
        <f>HYPERLINK("https://klasma.github.io/Logging_2034/kartor/A 37887-2023 karta.png", "A 37887-2023")</f>
        <v/>
      </c>
      <c r="Y1524">
        <f>HYPERLINK("https://klasma.github.io/Logging_2034/kartor_geotiff/A 37887-2023 georefererad karta.tif", "A 37887-2023")</f>
        <v/>
      </c>
      <c r="AA1524">
        <f>HYPERLINK("https://klasma.github.io/Logging_2034/klagomål/A 37887-2023 FSC-klagomål.docx", "A 37887-2023")</f>
        <v/>
      </c>
      <c r="AB1524">
        <f>HYPERLINK("https://klasma.github.io/Logging_2034/klagomålsmail/A 37887-2023 FSC-klagomål mail.docx", "A 37887-2023")</f>
        <v/>
      </c>
      <c r="AC1524">
        <f>HYPERLINK("https://klasma.github.io/Logging_2034/tillsyn/A 37887-2023 tillsynsbegäran.docx", "A 37887-2023")</f>
        <v/>
      </c>
      <c r="AD1524">
        <f>HYPERLINK("https://klasma.github.io/Logging_2034/tillsynsmail/A 37887-2023 tillsynsbegäran mail.docx", "A 37887-2023")</f>
        <v/>
      </c>
    </row>
    <row r="1525" ht="15" customHeight="1">
      <c r="A1525" t="inlineStr">
        <is>
          <t>A 55633-2024</t>
        </is>
      </c>
      <c r="B1525" t="inlineStr">
        <is>
          <t>avverkningsanmälan</t>
        </is>
      </c>
      <c r="C1525" t="inlineStr">
        <is>
          <t>Föryngringsavverkning</t>
        </is>
      </c>
      <c r="D1525" s="1" t="n">
        <v>45621</v>
      </c>
      <c r="E1525" s="1" t="n">
        <v>46319</v>
      </c>
      <c r="F1525" t="inlineStr">
        <is>
          <t>DALARNAS LÄN</t>
        </is>
      </c>
      <c r="G1525" t="inlineStr">
        <is>
          <t>LEKSAND</t>
        </is>
      </c>
      <c r="I1525" t="n">
        <v>7.8</v>
      </c>
      <c r="J1525" t="n">
        <v>0</v>
      </c>
      <c r="K1525" t="n">
        <v>0</v>
      </c>
      <c r="L1525" t="n">
        <v>1</v>
      </c>
      <c r="M1525" t="n">
        <v>0</v>
      </c>
      <c r="N1525" t="n">
        <v>0</v>
      </c>
      <c r="O1525" t="n">
        <v>0</v>
      </c>
      <c r="P1525" t="n">
        <v>0</v>
      </c>
      <c r="Q1525" t="n">
        <v>1</v>
      </c>
      <c r="R1525" t="n">
        <v>0</v>
      </c>
      <c r="S1525" t="n">
        <v>1</v>
      </c>
      <c r="T1525" t="n">
        <v>1</v>
      </c>
      <c r="U1525" t="n">
        <v>0</v>
      </c>
      <c r="V1525" s="2" t="inlineStr">
        <is>
          <t>Ullticka</t>
        </is>
      </c>
      <c r="W1525">
        <f>HYPERLINK("https://klasma.github.io/Logging_2029/artfynd/A 55633-2024 artfynd.xlsx", "A 55633-2024")</f>
        <v/>
      </c>
      <c r="X1525">
        <f>HYPERLINK("https://klasma.github.io/Logging_2029/kartor/A 55633-2024 karta.png", "A 55633-2024")</f>
        <v/>
      </c>
      <c r="Y1525">
        <f>HYPERLINK("https://klasma.github.io/Logging_2029/kartor_geotiff/A 55633-2024 georefererad karta.tif", "A 55633-2024")</f>
        <v/>
      </c>
      <c r="AA1525">
        <f>HYPERLINK("https://klasma.github.io/Logging_2029/klagomål/A 55633-2024 FSC-klagomål.docx", "A 55633-2024")</f>
        <v/>
      </c>
      <c r="AB1525">
        <f>HYPERLINK("https://klasma.github.io/Logging_2029/klagomålsmail/A 55633-2024 FSC-klagomål mail.docx", "A 55633-2024")</f>
        <v/>
      </c>
      <c r="AC1525">
        <f>HYPERLINK("https://klasma.github.io/Logging_2029/tillsyn/A 55633-2024 tillsynsbegäran.docx", "A 55633-2024")</f>
        <v/>
      </c>
      <c r="AD1525">
        <f>HYPERLINK("https://klasma.github.io/Logging_2029/tillsynsmail/A 55633-2024 tillsynsbegäran mail.docx", "A 55633-2024")</f>
        <v/>
      </c>
    </row>
    <row r="1526" ht="15" customHeight="1">
      <c r="A1526" t="inlineStr">
        <is>
          <t>A 45516-2023</t>
        </is>
      </c>
      <c r="B1526" t="inlineStr">
        <is>
          <t>avverkningsanmälan</t>
        </is>
      </c>
      <c r="C1526" t="inlineStr">
        <is>
          <t>Föryngringsavverkning</t>
        </is>
      </c>
      <c r="D1526" s="1" t="n">
        <v>45194</v>
      </c>
      <c r="E1526" s="1" t="n">
        <v>46319</v>
      </c>
      <c r="F1526" t="inlineStr">
        <is>
          <t>DALARNAS LÄN</t>
        </is>
      </c>
      <c r="G1526" t="inlineStr">
        <is>
          <t>RÄTTVIK</t>
        </is>
      </c>
      <c r="I1526" t="n">
        <v>20.3</v>
      </c>
      <c r="J1526" t="n">
        <v>0</v>
      </c>
      <c r="K1526" t="n">
        <v>0</v>
      </c>
      <c r="L1526" t="n">
        <v>1</v>
      </c>
      <c r="M1526" t="n">
        <v>0</v>
      </c>
      <c r="N1526" t="n">
        <v>0</v>
      </c>
      <c r="O1526" t="n">
        <v>0</v>
      </c>
      <c r="P1526" t="n">
        <v>0</v>
      </c>
      <c r="Q1526" t="n">
        <v>1</v>
      </c>
      <c r="R1526" t="n">
        <v>0</v>
      </c>
      <c r="S1526" t="n">
        <v>1</v>
      </c>
      <c r="T1526" t="n">
        <v>3</v>
      </c>
      <c r="U1526" t="n">
        <v>0</v>
      </c>
      <c r="V1526" s="2" t="inlineStr">
        <is>
          <t>Mörk kolflarnlav</t>
        </is>
      </c>
      <c r="W1526">
        <f>HYPERLINK("https://klasma.github.io/Logging_2031/artfynd/A 45516-2023 artfynd.xlsx", "A 45516-2023")</f>
        <v/>
      </c>
      <c r="X1526">
        <f>HYPERLINK("https://klasma.github.io/Logging_2031/kartor/A 45516-2023 karta.png", "A 45516-2023")</f>
        <v/>
      </c>
      <c r="Y1526">
        <f>HYPERLINK("https://klasma.github.io/Logging_2031/kartor_geotiff/A 45516-2023 georefererad karta.tif", "A 45516-2023")</f>
        <v/>
      </c>
      <c r="AA1526">
        <f>HYPERLINK("https://klasma.github.io/Logging_2031/klagomål/A 45516-2023 FSC-klagomål.docx", "A 45516-2023")</f>
        <v/>
      </c>
      <c r="AB1526">
        <f>HYPERLINK("https://klasma.github.io/Logging_2031/klagomålsmail/A 45516-2023 FSC-klagomål mail.docx", "A 45516-2023")</f>
        <v/>
      </c>
      <c r="AC1526">
        <f>HYPERLINK("https://klasma.github.io/Logging_2031/tillsyn/A 45516-2023 tillsynsbegäran.docx", "A 45516-2023")</f>
        <v/>
      </c>
      <c r="AD1526">
        <f>HYPERLINK("https://klasma.github.io/Logging_2031/tillsynsmail/A 45516-2023 tillsynsbegäran mail.docx", "A 45516-2023")</f>
        <v/>
      </c>
    </row>
    <row r="1527" ht="15" customHeight="1">
      <c r="A1527" t="inlineStr">
        <is>
          <t>A 59751-2024</t>
        </is>
      </c>
      <c r="B1527" t="inlineStr">
        <is>
          <t>avverkningsanmälan</t>
        </is>
      </c>
      <c r="C1527" t="inlineStr">
        <is>
          <t>Avverkning för annat ändamål</t>
        </is>
      </c>
      <c r="D1527" s="1" t="n">
        <v>45638</v>
      </c>
      <c r="E1527" s="1" t="n">
        <v>46319</v>
      </c>
      <c r="F1527" t="inlineStr">
        <is>
          <t>DALARNAS LÄN</t>
        </is>
      </c>
      <c r="G1527" t="inlineStr">
        <is>
          <t>LEKSAND</t>
        </is>
      </c>
      <c r="I1527" t="n">
        <v>5.2</v>
      </c>
      <c r="J1527" t="n">
        <v>1</v>
      </c>
      <c r="K1527" t="n">
        <v>0</v>
      </c>
      <c r="L1527" t="n">
        <v>0</v>
      </c>
      <c r="M1527" t="n">
        <v>0</v>
      </c>
      <c r="N1527" t="n">
        <v>0</v>
      </c>
      <c r="O1527" t="n">
        <v>0</v>
      </c>
      <c r="P1527" t="n">
        <v>0</v>
      </c>
      <c r="Q1527" t="n">
        <v>0</v>
      </c>
      <c r="R1527" t="n">
        <v>0</v>
      </c>
      <c r="S1527" t="n">
        <v>1</v>
      </c>
      <c r="T1527" t="n">
        <v>1</v>
      </c>
      <c r="U1527" t="n">
        <v>1</v>
      </c>
      <c r="V1527" s="2" t="inlineStr">
        <is>
          <t>Spillkråka</t>
        </is>
      </c>
      <c r="W1527">
        <f>HYPERLINK("https://klasma.github.io/Logging_2029/artfynd/A 59751-2024 artfynd.xlsx", "A 59751-2024")</f>
        <v/>
      </c>
      <c r="X1527">
        <f>HYPERLINK("https://klasma.github.io/Logging_2029/kartor/A 59751-2024 karta.png", "A 59751-2024")</f>
        <v/>
      </c>
      <c r="Y1527">
        <f>HYPERLINK("https://klasma.github.io/Logging_2029/kartor_geotiff/A 59751-2024 georefererad karta.tif", "A 59751-2024")</f>
        <v/>
      </c>
      <c r="AA1527">
        <f>HYPERLINK("https://klasma.github.io/Logging_2029/klagomål/A 59751-2024 FSC-klagomål.docx", "A 59751-2024")</f>
        <v/>
      </c>
      <c r="AB1527">
        <f>HYPERLINK("https://klasma.github.io/Logging_2029/klagomålsmail/A 59751-2024 FSC-klagomål mail.docx", "A 59751-2024")</f>
        <v/>
      </c>
      <c r="AC1527">
        <f>HYPERLINK("https://klasma.github.io/Logging_2029/tillsyn/A 59751-2024 tillsynsbegäran.docx", "A 59751-2024")</f>
        <v/>
      </c>
      <c r="AD1527">
        <f>HYPERLINK("https://klasma.github.io/Logging_2029/tillsynsmail/A 59751-2024 tillsynsbegäran mail.docx", "A 59751-2024")</f>
        <v/>
      </c>
      <c r="AE1527">
        <f>HYPERLINK("https://klasma.github.io/Logging_2029/fåglar/A 59751-2024 prioriterade fågelarter.docx", "A 59751-2024")</f>
        <v/>
      </c>
    </row>
    <row r="1528" ht="15" customHeight="1">
      <c r="A1528" t="inlineStr">
        <is>
          <t>A 53977-2023</t>
        </is>
      </c>
      <c r="B1528" t="inlineStr">
        <is>
          <t>avverkningsanmälan</t>
        </is>
      </c>
      <c r="C1528" t="inlineStr">
        <is>
          <t>Föryngringsavverkning</t>
        </is>
      </c>
      <c r="D1528" s="1" t="n">
        <v>45225</v>
      </c>
      <c r="E1528" s="1" t="n">
        <v>46319</v>
      </c>
      <c r="F1528" t="inlineStr">
        <is>
          <t>DALARNAS LÄN</t>
        </is>
      </c>
      <c r="G1528" t="inlineStr">
        <is>
          <t>SMEDJEBACKEN</t>
        </is>
      </c>
      <c r="H1528" t="inlineStr">
        <is>
          <t>Bergvik skog väst AB</t>
        </is>
      </c>
      <c r="I1528" t="n">
        <v>7.1</v>
      </c>
      <c r="J1528" t="n">
        <v>1</v>
      </c>
      <c r="K1528" t="n">
        <v>0</v>
      </c>
      <c r="L1528" t="n">
        <v>0</v>
      </c>
      <c r="M1528" t="n">
        <v>0</v>
      </c>
      <c r="N1528" t="n">
        <v>0</v>
      </c>
      <c r="O1528" t="n">
        <v>0</v>
      </c>
      <c r="P1528" t="n">
        <v>0</v>
      </c>
      <c r="Q1528" t="n">
        <v>0</v>
      </c>
      <c r="R1528" t="n">
        <v>0</v>
      </c>
      <c r="S1528" t="n">
        <v>1</v>
      </c>
      <c r="T1528" t="n">
        <v>2</v>
      </c>
      <c r="U1528" t="n">
        <v>2</v>
      </c>
      <c r="V1528" s="2" t="inlineStr">
        <is>
          <t>Nattskärra</t>
        </is>
      </c>
      <c r="W1528">
        <f>HYPERLINK("https://klasma.github.io/Logging_2061/artfynd/A 53977-2023 artfynd.xlsx", "A 53977-2023")</f>
        <v/>
      </c>
      <c r="X1528">
        <f>HYPERLINK("https://klasma.github.io/Logging_2061/kartor/A 53977-2023 karta.png", "A 53977-2023")</f>
        <v/>
      </c>
      <c r="Y1528">
        <f>HYPERLINK("https://klasma.github.io/Logging_2061/kartor_geotiff/A 53977-2023 georefererad karta.tif", "A 53977-2023")</f>
        <v/>
      </c>
      <c r="AA1528">
        <f>HYPERLINK("https://klasma.github.io/Logging_2061/klagomål/A 53977-2023 FSC-klagomål.docx", "A 53977-2023")</f>
        <v/>
      </c>
      <c r="AB1528">
        <f>HYPERLINK("https://klasma.github.io/Logging_2061/klagomålsmail/A 53977-2023 FSC-klagomål mail.docx", "A 53977-2023")</f>
        <v/>
      </c>
      <c r="AC1528">
        <f>HYPERLINK("https://klasma.github.io/Logging_2061/tillsyn/A 53977-2023 tillsynsbegäran.docx", "A 53977-2023")</f>
        <v/>
      </c>
      <c r="AD1528">
        <f>HYPERLINK("https://klasma.github.io/Logging_2061/tillsynsmail/A 53977-2023 tillsynsbegäran mail.docx", "A 53977-2023")</f>
        <v/>
      </c>
      <c r="AE1528">
        <f>HYPERLINK("https://klasma.github.io/Logging_2061/fåglar/A 53977-2023 prioriterade fågelarter.docx", "A 53977-2023")</f>
        <v/>
      </c>
    </row>
    <row r="1529" ht="15" customHeight="1">
      <c r="A1529" t="inlineStr">
        <is>
          <t>A 33694-2022</t>
        </is>
      </c>
      <c r="B1529" t="inlineStr">
        <is>
          <t>avverkningsanmälan</t>
        </is>
      </c>
      <c r="C1529" t="inlineStr">
        <is>
          <t>Föryngringsavverkning</t>
        </is>
      </c>
      <c r="D1529" s="1" t="n">
        <v>44789</v>
      </c>
      <c r="E1529" s="1" t="n">
        <v>46319</v>
      </c>
      <c r="F1529" t="inlineStr">
        <is>
          <t>DALARNAS LÄN</t>
        </is>
      </c>
      <c r="G1529" t="inlineStr">
        <is>
          <t>BORLÄNGE</t>
        </is>
      </c>
      <c r="I1529" t="n">
        <v>1.2</v>
      </c>
      <c r="J1529" t="n">
        <v>1</v>
      </c>
      <c r="K1529" t="n">
        <v>0</v>
      </c>
      <c r="L1529" t="n">
        <v>0</v>
      </c>
      <c r="M1529" t="n">
        <v>1</v>
      </c>
      <c r="N1529" t="n">
        <v>0</v>
      </c>
      <c r="O1529" t="n">
        <v>0</v>
      </c>
      <c r="P1529" t="n">
        <v>0</v>
      </c>
      <c r="Q1529" t="n">
        <v>1</v>
      </c>
      <c r="R1529" t="n">
        <v>1</v>
      </c>
      <c r="S1529" t="n">
        <v>1</v>
      </c>
      <c r="T1529" t="n">
        <v>3</v>
      </c>
      <c r="U1529" t="n">
        <v>3</v>
      </c>
      <c r="V1529" s="2" t="inlineStr">
        <is>
          <t>Knärot</t>
        </is>
      </c>
      <c r="W1529">
        <f>HYPERLINK("https://klasma.github.io/Logging_2081/artfynd/A 33694-2022 artfynd.xlsx", "A 33694-2022")</f>
        <v/>
      </c>
      <c r="X1529">
        <f>HYPERLINK("https://klasma.github.io/Logging_2081/kartor/A 33694-2022 karta.png", "A 33694-2022")</f>
        <v/>
      </c>
      <c r="Y1529">
        <f>HYPERLINK("https://klasma.github.io/Logging_2081/kartor_geotiff/A 33694-2022 georefererad karta.tif", "A 33694-2022")</f>
        <v/>
      </c>
      <c r="Z1529">
        <f>HYPERLINK("https://klasma.github.io/Logging_2081/knärot/A 33694-2022 karta knärot.png", "A 33694-2022")</f>
        <v/>
      </c>
      <c r="AA1529">
        <f>HYPERLINK("https://klasma.github.io/Logging_2081/klagomål/A 33694-2022 FSC-klagomål.docx", "A 33694-2022")</f>
        <v/>
      </c>
      <c r="AB1529">
        <f>HYPERLINK("https://klasma.github.io/Logging_2081/klagomålsmail/A 33694-2022 FSC-klagomål mail.docx", "A 33694-2022")</f>
        <v/>
      </c>
      <c r="AC1529">
        <f>HYPERLINK("https://klasma.github.io/Logging_2081/tillsyn/A 33694-2022 tillsynsbegäran.docx", "A 33694-2022")</f>
        <v/>
      </c>
      <c r="AD1529">
        <f>HYPERLINK("https://klasma.github.io/Logging_2081/tillsynsmail/A 33694-2022 tillsynsbegäran mail.docx", "A 33694-2022")</f>
        <v/>
      </c>
    </row>
    <row r="1530" ht="15" customHeight="1">
      <c r="A1530" t="inlineStr">
        <is>
          <t>A 1166-2025</t>
        </is>
      </c>
      <c r="B1530" t="inlineStr">
        <is>
          <t>avverkningsanmälan</t>
        </is>
      </c>
      <c r="C1530" t="inlineStr">
        <is>
          <t>Föryngringsavverkning</t>
        </is>
      </c>
      <c r="D1530" s="1" t="n">
        <v>45666</v>
      </c>
      <c r="E1530" s="1" t="n">
        <v>46319</v>
      </c>
      <c r="F1530" t="inlineStr">
        <is>
          <t>DALARNAS LÄN</t>
        </is>
      </c>
      <c r="G1530" t="inlineStr">
        <is>
          <t>BORLÄNGE</t>
        </is>
      </c>
      <c r="I1530" t="n">
        <v>1.1</v>
      </c>
      <c r="J1530" t="n">
        <v>1</v>
      </c>
      <c r="K1530" t="n">
        <v>0</v>
      </c>
      <c r="L1530" t="n">
        <v>0</v>
      </c>
      <c r="M1530" t="n">
        <v>0</v>
      </c>
      <c r="N1530" t="n">
        <v>0</v>
      </c>
      <c r="O1530" t="n">
        <v>0</v>
      </c>
      <c r="P1530" t="n">
        <v>0</v>
      </c>
      <c r="Q1530" t="n">
        <v>0</v>
      </c>
      <c r="R1530" t="n">
        <v>0</v>
      </c>
      <c r="S1530" t="n">
        <v>1</v>
      </c>
      <c r="T1530" t="n">
        <v>1</v>
      </c>
      <c r="U1530" t="n">
        <v>1</v>
      </c>
      <c r="V1530" s="2" t="inlineStr">
        <is>
          <t>Spillkråka</t>
        </is>
      </c>
      <c r="W1530">
        <f>HYPERLINK("https://klasma.github.io/Logging_2081/artfynd/A 1166-2025 artfynd.xlsx", "A 1166-2025")</f>
        <v/>
      </c>
      <c r="X1530">
        <f>HYPERLINK("https://klasma.github.io/Logging_2081/kartor/A 1166-2025 karta.png", "A 1166-2025")</f>
        <v/>
      </c>
      <c r="Y1530">
        <f>HYPERLINK("https://klasma.github.io/Logging_2081/kartor_geotiff/A 1166-2025 georefererad karta.tif", "A 1166-2025")</f>
        <v/>
      </c>
      <c r="AA1530">
        <f>HYPERLINK("https://klasma.github.io/Logging_2081/klagomål/A 1166-2025 FSC-klagomål.docx", "A 1166-2025")</f>
        <v/>
      </c>
      <c r="AB1530">
        <f>HYPERLINK("https://klasma.github.io/Logging_2081/klagomålsmail/A 1166-2025 FSC-klagomål mail.docx", "A 1166-2025")</f>
        <v/>
      </c>
      <c r="AC1530">
        <f>HYPERLINK("https://klasma.github.io/Logging_2081/tillsyn/A 1166-2025 tillsynsbegäran.docx", "A 1166-2025")</f>
        <v/>
      </c>
      <c r="AD1530">
        <f>HYPERLINK("https://klasma.github.io/Logging_2081/tillsynsmail/A 1166-2025 tillsynsbegäran mail.docx", "A 1166-2025")</f>
        <v/>
      </c>
      <c r="AE1530">
        <f>HYPERLINK("https://klasma.github.io/Logging_2081/fåglar/A 1166-2025 prioriterade fågelarter.docx", "A 1166-2025")</f>
        <v/>
      </c>
    </row>
    <row r="1531" ht="15" customHeight="1">
      <c r="A1531" t="inlineStr">
        <is>
          <t>A 19614-2024</t>
        </is>
      </c>
      <c r="B1531" t="inlineStr">
        <is>
          <t>avverkningsanmälan</t>
        </is>
      </c>
      <c r="C1531" t="inlineStr">
        <is>
          <t>Föryngringsavverkning</t>
        </is>
      </c>
      <c r="D1531" s="1" t="n">
        <v>45432</v>
      </c>
      <c r="E1531" s="1" t="n">
        <v>46319</v>
      </c>
      <c r="F1531" t="inlineStr">
        <is>
          <t>DALARNAS LÄN</t>
        </is>
      </c>
      <c r="G1531" t="inlineStr">
        <is>
          <t>ÄLVDALEN</t>
        </is>
      </c>
      <c r="H1531" t="inlineStr">
        <is>
          <t>Sveaskog</t>
        </is>
      </c>
      <c r="I1531" t="n">
        <v>2.9</v>
      </c>
      <c r="J1531" t="n">
        <v>0</v>
      </c>
      <c r="K1531" t="n">
        <v>0</v>
      </c>
      <c r="L1531" t="n">
        <v>1</v>
      </c>
      <c r="M1531" t="n">
        <v>0</v>
      </c>
      <c r="N1531" t="n">
        <v>0</v>
      </c>
      <c r="O1531" t="n">
        <v>0</v>
      </c>
      <c r="P1531" t="n">
        <v>0</v>
      </c>
      <c r="Q1531" t="n">
        <v>1</v>
      </c>
      <c r="R1531" t="n">
        <v>0</v>
      </c>
      <c r="S1531" t="n">
        <v>1</v>
      </c>
      <c r="T1531" t="n">
        <v>1</v>
      </c>
      <c r="U1531" t="n">
        <v>1</v>
      </c>
      <c r="V1531" s="2" t="inlineStr">
        <is>
          <t>Mörk kolflarnlav</t>
        </is>
      </c>
      <c r="W1531">
        <f>HYPERLINK("https://klasma.github.io/Logging_2039/artfynd/A 19614-2024 artfynd.xlsx", "A 19614-2024")</f>
        <v/>
      </c>
      <c r="X1531">
        <f>HYPERLINK("https://klasma.github.io/Logging_2039/kartor/A 19614-2024 karta.png", "A 19614-2024")</f>
        <v/>
      </c>
      <c r="Y1531">
        <f>HYPERLINK("https://klasma.github.io/Logging_2039/kartor_geotiff/A 19614-2024 georefererad karta.tif", "A 19614-2024")</f>
        <v/>
      </c>
      <c r="AA1531">
        <f>HYPERLINK("https://klasma.github.io/Logging_2039/klagomål/A 19614-2024 FSC-klagomål.docx", "A 19614-2024")</f>
        <v/>
      </c>
      <c r="AB1531">
        <f>HYPERLINK("https://klasma.github.io/Logging_2039/klagomålsmail/A 19614-2024 FSC-klagomål mail.docx", "A 19614-2024")</f>
        <v/>
      </c>
      <c r="AC1531">
        <f>HYPERLINK("https://klasma.github.io/Logging_2039/tillsyn/A 19614-2024 tillsynsbegäran.docx", "A 19614-2024")</f>
        <v/>
      </c>
      <c r="AD1531">
        <f>HYPERLINK("https://klasma.github.io/Logging_2039/tillsynsmail/A 19614-2024 tillsynsbegäran mail.docx", "A 19614-2024")</f>
        <v/>
      </c>
    </row>
    <row r="1532" ht="15" customHeight="1">
      <c r="A1532" t="inlineStr">
        <is>
          <t>A 9477-2024</t>
        </is>
      </c>
      <c r="B1532" t="inlineStr">
        <is>
          <t>avverkningsanmälan</t>
        </is>
      </c>
      <c r="C1532" t="inlineStr">
        <is>
          <t>Föryngringsavverkning</t>
        </is>
      </c>
      <c r="D1532" s="1" t="n">
        <v>45359</v>
      </c>
      <c r="E1532" s="1" t="n">
        <v>46319</v>
      </c>
      <c r="F1532" t="inlineStr">
        <is>
          <t>DALARNAS LÄN</t>
        </is>
      </c>
      <c r="G1532" t="inlineStr">
        <is>
          <t>RÄTTVIK</t>
        </is>
      </c>
      <c r="I1532" t="n">
        <v>5.8</v>
      </c>
      <c r="J1532" t="n">
        <v>1</v>
      </c>
      <c r="K1532" t="n">
        <v>0</v>
      </c>
      <c r="L1532" t="n">
        <v>0</v>
      </c>
      <c r="M1532" t="n">
        <v>0</v>
      </c>
      <c r="N1532" t="n">
        <v>0</v>
      </c>
      <c r="O1532" t="n">
        <v>0</v>
      </c>
      <c r="P1532" t="n">
        <v>0</v>
      </c>
      <c r="Q1532" t="n">
        <v>0</v>
      </c>
      <c r="R1532" t="n">
        <v>0</v>
      </c>
      <c r="S1532" t="n">
        <v>1</v>
      </c>
      <c r="T1532" t="n">
        <v>1</v>
      </c>
      <c r="U1532" t="n">
        <v>0</v>
      </c>
      <c r="V1532" s="2" t="inlineStr">
        <is>
          <t>Ljungpipare</t>
        </is>
      </c>
      <c r="W1532">
        <f>HYPERLINK("https://klasma.github.io/Logging_2031/artfynd/A 9477-2024 artfynd.xlsx", "A 9477-2024")</f>
        <v/>
      </c>
      <c r="X1532">
        <f>HYPERLINK("https://klasma.github.io/Logging_2031/kartor/A 9477-2024 karta.png", "A 9477-2024")</f>
        <v/>
      </c>
      <c r="Y1532">
        <f>HYPERLINK("https://klasma.github.io/Logging_2031/kartor_geotiff/A 9477-2024 georefererad karta.tif", "A 9477-2024")</f>
        <v/>
      </c>
      <c r="AA1532">
        <f>HYPERLINK("https://klasma.github.io/Logging_2031/klagomål/A 9477-2024 FSC-klagomål.docx", "A 9477-2024")</f>
        <v/>
      </c>
      <c r="AB1532">
        <f>HYPERLINK("https://klasma.github.io/Logging_2031/klagomålsmail/A 9477-2024 FSC-klagomål mail.docx", "A 9477-2024")</f>
        <v/>
      </c>
      <c r="AC1532">
        <f>HYPERLINK("https://klasma.github.io/Logging_2031/tillsyn/A 9477-2024 tillsynsbegäran.docx", "A 9477-2024")</f>
        <v/>
      </c>
      <c r="AD1532">
        <f>HYPERLINK("https://klasma.github.io/Logging_2031/tillsynsmail/A 9477-2024 tillsynsbegäran mail.docx", "A 9477-2024")</f>
        <v/>
      </c>
      <c r="AE1532">
        <f>HYPERLINK("https://klasma.github.io/Logging_2031/fåglar/A 9477-2024 prioriterade fågelarter.docx", "A 9477-2024")</f>
        <v/>
      </c>
    </row>
    <row r="1533" ht="15" customHeight="1">
      <c r="A1533" t="inlineStr">
        <is>
          <t>A 20019-2024</t>
        </is>
      </c>
      <c r="B1533" t="inlineStr">
        <is>
          <t>avverkningsanmälan</t>
        </is>
      </c>
      <c r="C1533" t="inlineStr">
        <is>
          <t>Föryngringsavverkning</t>
        </is>
      </c>
      <c r="D1533" s="1" t="n">
        <v>45433</v>
      </c>
      <c r="E1533" s="1" t="n">
        <v>46319</v>
      </c>
      <c r="F1533" t="inlineStr">
        <is>
          <t>DALARNAS LÄN</t>
        </is>
      </c>
      <c r="G1533" t="inlineStr">
        <is>
          <t>SMEDJEBACKEN</t>
        </is>
      </c>
      <c r="H1533" t="inlineStr">
        <is>
          <t>Övriga Aktiebolag</t>
        </is>
      </c>
      <c r="I1533" t="n">
        <v>3.3</v>
      </c>
      <c r="J1533" t="n">
        <v>0</v>
      </c>
      <c r="K1533" t="n">
        <v>0</v>
      </c>
      <c r="L1533" t="n">
        <v>0</v>
      </c>
      <c r="M1533" t="n">
        <v>1</v>
      </c>
      <c r="N1533" t="n">
        <v>0</v>
      </c>
      <c r="O1533" t="n">
        <v>0</v>
      </c>
      <c r="P1533" t="n">
        <v>0</v>
      </c>
      <c r="Q1533" t="n">
        <v>1</v>
      </c>
      <c r="R1533" t="n">
        <v>1</v>
      </c>
      <c r="S1533" t="n">
        <v>1</v>
      </c>
      <c r="T1533" t="n">
        <v>1</v>
      </c>
      <c r="U1533" t="n">
        <v>1</v>
      </c>
      <c r="V1533" s="2" t="inlineStr">
        <is>
          <t>Violettkantad guldvinge</t>
        </is>
      </c>
      <c r="W1533">
        <f>HYPERLINK("https://klasma.github.io/Logging_2061/artfynd/A 20019-2024 artfynd.xlsx", "A 20019-2024")</f>
        <v/>
      </c>
      <c r="X1533">
        <f>HYPERLINK("https://klasma.github.io/Logging_2061/kartor/A 20019-2024 karta.png", "A 20019-2024")</f>
        <v/>
      </c>
      <c r="Y1533">
        <f>HYPERLINK("https://klasma.github.io/Logging_2061/kartor_geotiff/A 20019-2024 georefererad karta.tif", "A 20019-2024")</f>
        <v/>
      </c>
      <c r="AA1533">
        <f>HYPERLINK("https://klasma.github.io/Logging_2061/klagomål/A 20019-2024 FSC-klagomål.docx", "A 20019-2024")</f>
        <v/>
      </c>
      <c r="AB1533">
        <f>HYPERLINK("https://klasma.github.io/Logging_2061/klagomålsmail/A 20019-2024 FSC-klagomål mail.docx", "A 20019-2024")</f>
        <v/>
      </c>
      <c r="AC1533">
        <f>HYPERLINK("https://klasma.github.io/Logging_2061/tillsyn/A 20019-2024 tillsynsbegäran.docx", "A 20019-2024")</f>
        <v/>
      </c>
      <c r="AD1533">
        <f>HYPERLINK("https://klasma.github.io/Logging_2061/tillsynsmail/A 20019-2024 tillsynsbegäran mail.docx", "A 20019-2024")</f>
        <v/>
      </c>
    </row>
    <row r="1534" ht="15" customHeight="1">
      <c r="A1534" t="inlineStr">
        <is>
          <t>A 34783-2024</t>
        </is>
      </c>
      <c r="B1534" t="inlineStr">
        <is>
          <t>avverkningsanmälan</t>
        </is>
      </c>
      <c r="C1534" t="inlineStr">
        <is>
          <t>Avverkning för annat ändamål</t>
        </is>
      </c>
      <c r="D1534" s="1" t="n">
        <v>45526</v>
      </c>
      <c r="E1534" s="1" t="n">
        <v>46319</v>
      </c>
      <c r="F1534" t="inlineStr">
        <is>
          <t>DALARNAS LÄN</t>
        </is>
      </c>
      <c r="G1534" t="inlineStr">
        <is>
          <t>BORLÄNGE</t>
        </is>
      </c>
      <c r="I1534" t="n">
        <v>1.1</v>
      </c>
      <c r="J1534" t="n">
        <v>1</v>
      </c>
      <c r="K1534" t="n">
        <v>0</v>
      </c>
      <c r="L1534" t="n">
        <v>0</v>
      </c>
      <c r="M1534" t="n">
        <v>0</v>
      </c>
      <c r="N1534" t="n">
        <v>0</v>
      </c>
      <c r="O1534" t="n">
        <v>0</v>
      </c>
      <c r="P1534" t="n">
        <v>0</v>
      </c>
      <c r="Q1534" t="n">
        <v>0</v>
      </c>
      <c r="R1534" t="n">
        <v>0</v>
      </c>
      <c r="S1534" t="n">
        <v>1</v>
      </c>
      <c r="T1534" t="n">
        <v>3</v>
      </c>
      <c r="U1534" t="n">
        <v>3</v>
      </c>
      <c r="V1534" s="2" t="inlineStr">
        <is>
          <t>Revlummer</t>
        </is>
      </c>
      <c r="W1534">
        <f>HYPERLINK("https://klasma.github.io/Logging_2081/artfynd/A 34783-2024 artfynd.xlsx", "A 34783-2024")</f>
        <v/>
      </c>
      <c r="X1534">
        <f>HYPERLINK("https://klasma.github.io/Logging_2081/kartor/A 34783-2024 karta.png", "A 34783-2024")</f>
        <v/>
      </c>
      <c r="Y1534">
        <f>HYPERLINK("https://klasma.github.io/Logging_2081/kartor_geotiff/A 34783-2024 georefererad karta.tif", "A 34783-2024")</f>
        <v/>
      </c>
      <c r="AA1534">
        <f>HYPERLINK("https://klasma.github.io/Logging_2081/klagomål/A 34783-2024 FSC-klagomål.docx", "A 34783-2024")</f>
        <v/>
      </c>
      <c r="AB1534">
        <f>HYPERLINK("https://klasma.github.io/Logging_2081/klagomålsmail/A 34783-2024 FSC-klagomål mail.docx", "A 34783-2024")</f>
        <v/>
      </c>
      <c r="AC1534">
        <f>HYPERLINK("https://klasma.github.io/Logging_2081/tillsyn/A 34783-2024 tillsynsbegäran.docx", "A 34783-2024")</f>
        <v/>
      </c>
      <c r="AD1534">
        <f>HYPERLINK("https://klasma.github.io/Logging_2081/tillsynsmail/A 34783-2024 tillsynsbegäran mail.docx", "A 34783-2024")</f>
        <v/>
      </c>
    </row>
    <row r="1535" ht="15" customHeight="1">
      <c r="A1535" t="inlineStr">
        <is>
          <t>A 21499-2022</t>
        </is>
      </c>
      <c r="B1535" t="inlineStr">
        <is>
          <t>avverkningsanmälan</t>
        </is>
      </c>
      <c r="C1535" t="inlineStr">
        <is>
          <t>Föryngringsavverkning</t>
        </is>
      </c>
      <c r="D1535" s="1" t="n">
        <v>44706</v>
      </c>
      <c r="E1535" s="1" t="n">
        <v>46319</v>
      </c>
      <c r="F1535" t="inlineStr">
        <is>
          <t>DALARNAS LÄN</t>
        </is>
      </c>
      <c r="G1535" t="inlineStr">
        <is>
          <t>LUDVIKA</t>
        </is>
      </c>
      <c r="I1535" t="n">
        <v>4.3</v>
      </c>
      <c r="J1535" t="n">
        <v>0</v>
      </c>
      <c r="K1535" t="n">
        <v>1</v>
      </c>
      <c r="L1535" t="n">
        <v>0</v>
      </c>
      <c r="M1535" t="n">
        <v>0</v>
      </c>
      <c r="N1535" t="n">
        <v>0</v>
      </c>
      <c r="O1535" t="n">
        <v>0</v>
      </c>
      <c r="P1535" t="n">
        <v>0</v>
      </c>
      <c r="Q1535" t="n">
        <v>0</v>
      </c>
      <c r="R1535" t="n">
        <v>0</v>
      </c>
      <c r="S1535" t="n">
        <v>1</v>
      </c>
      <c r="T1535" t="n">
        <v>1</v>
      </c>
      <c r="U1535" t="n">
        <v>0</v>
      </c>
      <c r="V1535" s="2" t="inlineStr">
        <is>
          <t>Strimspindling</t>
        </is>
      </c>
      <c r="W1535">
        <f>HYPERLINK("https://klasma.github.io/Logging_2085/artfynd/A 21499-2022 artfynd.xlsx", "A 21499-2022")</f>
        <v/>
      </c>
      <c r="X1535">
        <f>HYPERLINK("https://klasma.github.io/Logging_2085/kartor/A 21499-2022 karta.png", "A 21499-2022")</f>
        <v/>
      </c>
      <c r="Y1535">
        <f>HYPERLINK("https://klasma.github.io/Logging_2085/kartor_geotiff/A 21499-2022 georefererad karta.tif", "A 21499-2022")</f>
        <v/>
      </c>
      <c r="AA1535">
        <f>HYPERLINK("https://klasma.github.io/Logging_2085/klagomål/A 21499-2022 FSC-klagomål.docx", "A 21499-2022")</f>
        <v/>
      </c>
      <c r="AB1535">
        <f>HYPERLINK("https://klasma.github.io/Logging_2085/klagomålsmail/A 21499-2022 FSC-klagomål mail.docx", "A 21499-2022")</f>
        <v/>
      </c>
      <c r="AC1535">
        <f>HYPERLINK("https://klasma.github.io/Logging_2085/tillsyn/A 21499-2022 tillsynsbegäran.docx", "A 21499-2022")</f>
        <v/>
      </c>
      <c r="AD1535">
        <f>HYPERLINK("https://klasma.github.io/Logging_2085/tillsynsmail/A 21499-2022 tillsynsbegäran mail.docx", "A 21499-2022")</f>
        <v/>
      </c>
    </row>
    <row r="1536" ht="15" customHeight="1">
      <c r="A1536" t="inlineStr">
        <is>
          <t>A 10340-2022</t>
        </is>
      </c>
      <c r="B1536" t="inlineStr">
        <is>
          <t>avverkningsanmälan</t>
        </is>
      </c>
      <c r="C1536" t="inlineStr">
        <is>
          <t>Föryngringsavverkning</t>
        </is>
      </c>
      <c r="D1536" s="1" t="n">
        <v>44623</v>
      </c>
      <c r="E1536" s="1" t="n">
        <v>46319</v>
      </c>
      <c r="F1536" t="inlineStr">
        <is>
          <t>DALARNAS LÄN</t>
        </is>
      </c>
      <c r="G1536" t="inlineStr">
        <is>
          <t>SMEDJEBACKEN</t>
        </is>
      </c>
      <c r="I1536" t="n">
        <v>2.5</v>
      </c>
      <c r="J1536" t="n">
        <v>1</v>
      </c>
      <c r="K1536" t="n">
        <v>0</v>
      </c>
      <c r="L1536" t="n">
        <v>0</v>
      </c>
      <c r="M1536" t="n">
        <v>0</v>
      </c>
      <c r="N1536" t="n">
        <v>0</v>
      </c>
      <c r="O1536" t="n">
        <v>0</v>
      </c>
      <c r="P1536" t="n">
        <v>0</v>
      </c>
      <c r="Q1536" t="n">
        <v>0</v>
      </c>
      <c r="R1536" t="n">
        <v>0</v>
      </c>
      <c r="S1536" t="n">
        <v>1</v>
      </c>
      <c r="T1536" t="n">
        <v>2</v>
      </c>
      <c r="U1536" t="n">
        <v>2</v>
      </c>
      <c r="V1536" s="2" t="inlineStr">
        <is>
          <t>Smålom</t>
        </is>
      </c>
      <c r="W1536">
        <f>HYPERLINK("https://klasma.github.io/Logging_2061/artfynd/A 10340-2022 artfynd.xlsx", "A 10340-2022")</f>
        <v/>
      </c>
      <c r="X1536">
        <f>HYPERLINK("https://klasma.github.io/Logging_2061/kartor/A 10340-2022 karta.png", "A 10340-2022")</f>
        <v/>
      </c>
      <c r="Y1536">
        <f>HYPERLINK("https://klasma.github.io/Logging_2061/kartor_geotiff/A 10340-2022 georefererad karta.tif", "A 10340-2022")</f>
        <v/>
      </c>
      <c r="AA1536">
        <f>HYPERLINK("https://klasma.github.io/Logging_2061/klagomål/A 10340-2022 FSC-klagomål.docx", "A 10340-2022")</f>
        <v/>
      </c>
      <c r="AB1536">
        <f>HYPERLINK("https://klasma.github.io/Logging_2061/klagomålsmail/A 10340-2022 FSC-klagomål mail.docx", "A 10340-2022")</f>
        <v/>
      </c>
      <c r="AC1536">
        <f>HYPERLINK("https://klasma.github.io/Logging_2061/tillsyn/A 10340-2022 tillsynsbegäran.docx", "A 10340-2022")</f>
        <v/>
      </c>
      <c r="AD1536">
        <f>HYPERLINK("https://klasma.github.io/Logging_2061/tillsynsmail/A 10340-2022 tillsynsbegäran mail.docx", "A 10340-2022")</f>
        <v/>
      </c>
      <c r="AE1536">
        <f>HYPERLINK("https://klasma.github.io/Logging_2061/fåglar/A 10340-2022 prioriterade fågelarter.docx", "A 10340-2022")</f>
        <v/>
      </c>
    </row>
    <row r="1537" ht="15" customHeight="1">
      <c r="A1537" t="inlineStr">
        <is>
          <t>A 17645-2022</t>
        </is>
      </c>
      <c r="B1537" t="inlineStr">
        <is>
          <t>avverkningsanmälan</t>
        </is>
      </c>
      <c r="C1537" t="inlineStr">
        <is>
          <t>Föryngringsavverkning</t>
        </is>
      </c>
      <c r="D1537" s="1" t="n">
        <v>44680</v>
      </c>
      <c r="E1537" s="1" t="n">
        <v>46319</v>
      </c>
      <c r="F1537" t="inlineStr">
        <is>
          <t>DALARNAS LÄN</t>
        </is>
      </c>
      <c r="G1537" t="inlineStr">
        <is>
          <t>HEDEMORA</t>
        </is>
      </c>
      <c r="I1537" t="n">
        <v>1.3</v>
      </c>
      <c r="J1537" t="n">
        <v>0</v>
      </c>
      <c r="K1537" t="n">
        <v>0</v>
      </c>
      <c r="L1537" t="n">
        <v>0</v>
      </c>
      <c r="M1537" t="n">
        <v>0</v>
      </c>
      <c r="N1537" t="n">
        <v>1</v>
      </c>
      <c r="O1537" t="n">
        <v>0</v>
      </c>
      <c r="P1537" t="n">
        <v>0</v>
      </c>
      <c r="Q1537" t="n">
        <v>1</v>
      </c>
      <c r="R1537" t="n">
        <v>1</v>
      </c>
      <c r="S1537" t="n">
        <v>1</v>
      </c>
      <c r="T1537" t="n">
        <v>2</v>
      </c>
      <c r="U1537" t="n">
        <v>2</v>
      </c>
      <c r="V1537" s="2" t="inlineStr">
        <is>
          <t>Ask</t>
        </is>
      </c>
      <c r="W1537">
        <f>HYPERLINK("https://klasma.github.io/Logging_2083/artfynd/A 17645-2022 artfynd.xlsx", "A 17645-2022")</f>
        <v/>
      </c>
      <c r="X1537">
        <f>HYPERLINK("https://klasma.github.io/Logging_2083/kartor/A 17645-2022 karta.png", "A 17645-2022")</f>
        <v/>
      </c>
      <c r="Y1537">
        <f>HYPERLINK("https://klasma.github.io/Logging_2083/kartor_geotiff/A 17645-2022 georefererad karta.tif", "A 17645-2022")</f>
        <v/>
      </c>
      <c r="AA1537">
        <f>HYPERLINK("https://klasma.github.io/Logging_2083/klagomål/A 17645-2022 FSC-klagomål.docx", "A 17645-2022")</f>
        <v/>
      </c>
      <c r="AB1537">
        <f>HYPERLINK("https://klasma.github.io/Logging_2083/klagomålsmail/A 17645-2022 FSC-klagomål mail.docx", "A 17645-2022")</f>
        <v/>
      </c>
      <c r="AC1537">
        <f>HYPERLINK("https://klasma.github.io/Logging_2083/tillsyn/A 17645-2022 tillsynsbegäran.docx", "A 17645-2022")</f>
        <v/>
      </c>
      <c r="AD1537">
        <f>HYPERLINK("https://klasma.github.io/Logging_2083/tillsynsmail/A 17645-2022 tillsynsbegäran mail.docx", "A 17645-2022")</f>
        <v/>
      </c>
    </row>
    <row r="1538" ht="15" customHeight="1">
      <c r="A1538" t="inlineStr">
        <is>
          <t>A 57810-2023</t>
        </is>
      </c>
      <c r="B1538" t="inlineStr">
        <is>
          <t>avverkningsanmälan</t>
        </is>
      </c>
      <c r="C1538" t="inlineStr">
        <is>
          <t>Föryngringsavverkning</t>
        </is>
      </c>
      <c r="D1538" s="1" t="n">
        <v>45247</v>
      </c>
      <c r="E1538" s="1" t="n">
        <v>46319</v>
      </c>
      <c r="F1538" t="inlineStr">
        <is>
          <t>DALARNAS LÄN</t>
        </is>
      </c>
      <c r="G1538" t="inlineStr">
        <is>
          <t>VANSBRO</t>
        </is>
      </c>
      <c r="I1538" t="n">
        <v>0.6</v>
      </c>
      <c r="J1538" t="n">
        <v>1</v>
      </c>
      <c r="K1538" t="n">
        <v>0</v>
      </c>
      <c r="L1538" t="n">
        <v>1</v>
      </c>
      <c r="M1538" t="n">
        <v>0</v>
      </c>
      <c r="N1538" t="n">
        <v>0</v>
      </c>
      <c r="O1538" t="n">
        <v>0</v>
      </c>
      <c r="P1538" t="n">
        <v>0</v>
      </c>
      <c r="Q1538" t="n">
        <v>1</v>
      </c>
      <c r="R1538" t="n">
        <v>0</v>
      </c>
      <c r="S1538" t="n">
        <v>1</v>
      </c>
      <c r="T1538" t="n">
        <v>1</v>
      </c>
      <c r="U1538" t="n">
        <v>1</v>
      </c>
      <c r="V1538" s="2" t="inlineStr">
        <is>
          <t>Järnsparv</t>
        </is>
      </c>
      <c r="W1538">
        <f>HYPERLINK("https://klasma.github.io/Logging_2021/artfynd/A 57810-2023 artfynd.xlsx", "A 57810-2023")</f>
        <v/>
      </c>
      <c r="X1538">
        <f>HYPERLINK("https://klasma.github.io/Logging_2021/kartor/A 57810-2023 karta.png", "A 57810-2023")</f>
        <v/>
      </c>
      <c r="Y1538">
        <f>HYPERLINK("https://klasma.github.io/Logging_2021/kartor_geotiff/A 57810-2023 georefererad karta.tif", "A 57810-2023")</f>
        <v/>
      </c>
      <c r="AA1538">
        <f>HYPERLINK("https://klasma.github.io/Logging_2021/klagomål/A 57810-2023 FSC-klagomål.docx", "A 57810-2023")</f>
        <v/>
      </c>
      <c r="AB1538">
        <f>HYPERLINK("https://klasma.github.io/Logging_2021/klagomålsmail/A 57810-2023 FSC-klagomål mail.docx", "A 57810-2023")</f>
        <v/>
      </c>
      <c r="AC1538">
        <f>HYPERLINK("https://klasma.github.io/Logging_2021/tillsyn/A 57810-2023 tillsynsbegäran.docx", "A 57810-2023")</f>
        <v/>
      </c>
      <c r="AD1538">
        <f>HYPERLINK("https://klasma.github.io/Logging_2021/tillsynsmail/A 57810-2023 tillsynsbegäran mail.docx", "A 57810-2023")</f>
        <v/>
      </c>
      <c r="AE1538">
        <f>HYPERLINK("https://klasma.github.io/Logging_2021/fåglar/A 57810-2023 prioriterade fågelarter.docx", "A 57810-2023")</f>
        <v/>
      </c>
    </row>
    <row r="1539" ht="15" customHeight="1">
      <c r="A1539" t="inlineStr">
        <is>
          <t>A 52953-2023</t>
        </is>
      </c>
      <c r="B1539" t="inlineStr">
        <is>
          <t>avverkningsanmälan</t>
        </is>
      </c>
      <c r="C1539" t="inlineStr">
        <is>
          <t>Föryngringsavverkning</t>
        </is>
      </c>
      <c r="D1539" s="1" t="n">
        <v>45226</v>
      </c>
      <c r="E1539" s="1" t="n">
        <v>46319</v>
      </c>
      <c r="F1539" t="inlineStr">
        <is>
          <t>DALARNAS LÄN</t>
        </is>
      </c>
      <c r="G1539" t="inlineStr">
        <is>
          <t>SMEDJEBACKEN</t>
        </is>
      </c>
      <c r="H1539" t="inlineStr">
        <is>
          <t>Sveaskog</t>
        </is>
      </c>
      <c r="I1539" t="n">
        <v>0.9</v>
      </c>
      <c r="J1539" t="n">
        <v>0</v>
      </c>
      <c r="K1539" t="n">
        <v>0</v>
      </c>
      <c r="L1539" t="n">
        <v>1</v>
      </c>
      <c r="M1539" t="n">
        <v>0</v>
      </c>
      <c r="N1539" t="n">
        <v>0</v>
      </c>
      <c r="O1539" t="n">
        <v>0</v>
      </c>
      <c r="P1539" t="n">
        <v>0</v>
      </c>
      <c r="Q1539" t="n">
        <v>1</v>
      </c>
      <c r="R1539" t="n">
        <v>0</v>
      </c>
      <c r="S1539" t="n">
        <v>1</v>
      </c>
      <c r="T1539" t="n">
        <v>1</v>
      </c>
      <c r="U1539" t="n">
        <v>1</v>
      </c>
      <c r="V1539" s="2" t="inlineStr">
        <is>
          <t>Motaggsvamp</t>
        </is>
      </c>
      <c r="W1539">
        <f>HYPERLINK("https://klasma.github.io/Logging_2061/artfynd/A 52953-2023 artfynd.xlsx", "A 52953-2023")</f>
        <v/>
      </c>
      <c r="X1539">
        <f>HYPERLINK("https://klasma.github.io/Logging_2061/kartor/A 52953-2023 karta.png", "A 52953-2023")</f>
        <v/>
      </c>
      <c r="Y1539">
        <f>HYPERLINK("https://klasma.github.io/Logging_2061/kartor_geotiff/A 52953-2023 georefererad karta.tif", "A 52953-2023")</f>
        <v/>
      </c>
      <c r="AA1539">
        <f>HYPERLINK("https://klasma.github.io/Logging_2061/klagomål/A 52953-2023 FSC-klagomål.docx", "A 52953-2023")</f>
        <v/>
      </c>
      <c r="AB1539">
        <f>HYPERLINK("https://klasma.github.io/Logging_2061/klagomålsmail/A 52953-2023 FSC-klagomål mail.docx", "A 52953-2023")</f>
        <v/>
      </c>
      <c r="AC1539">
        <f>HYPERLINK("https://klasma.github.io/Logging_2061/tillsyn/A 52953-2023 tillsynsbegäran.docx", "A 52953-2023")</f>
        <v/>
      </c>
      <c r="AD1539">
        <f>HYPERLINK("https://klasma.github.io/Logging_2061/tillsynsmail/A 52953-2023 tillsynsbegäran mail.docx", "A 52953-2023")</f>
        <v/>
      </c>
    </row>
    <row r="1540" ht="15" customHeight="1">
      <c r="A1540" t="inlineStr">
        <is>
          <t>A 42649-2023</t>
        </is>
      </c>
      <c r="B1540" t="inlineStr">
        <is>
          <t>avverkningsanmälan</t>
        </is>
      </c>
      <c r="C1540" t="inlineStr">
        <is>
          <t>Föryngringsavverkning</t>
        </is>
      </c>
      <c r="D1540" s="1" t="n">
        <v>45181</v>
      </c>
      <c r="E1540" s="1" t="n">
        <v>46319</v>
      </c>
      <c r="F1540" t="inlineStr">
        <is>
          <t>DALARNAS LÄN</t>
        </is>
      </c>
      <c r="G1540" t="inlineStr">
        <is>
          <t>ÄLVDALEN</t>
        </is>
      </c>
      <c r="I1540" t="n">
        <v>5.3</v>
      </c>
      <c r="J1540" t="n">
        <v>0</v>
      </c>
      <c r="K1540" t="n">
        <v>0</v>
      </c>
      <c r="L1540" t="n">
        <v>1</v>
      </c>
      <c r="M1540" t="n">
        <v>0</v>
      </c>
      <c r="N1540" t="n">
        <v>0</v>
      </c>
      <c r="O1540" t="n">
        <v>0</v>
      </c>
      <c r="P1540" t="n">
        <v>0</v>
      </c>
      <c r="Q1540" t="n">
        <v>1</v>
      </c>
      <c r="R1540" t="n">
        <v>0</v>
      </c>
      <c r="S1540" t="n">
        <v>1</v>
      </c>
      <c r="T1540" t="n">
        <v>1</v>
      </c>
      <c r="U1540" t="n">
        <v>1</v>
      </c>
      <c r="V1540" s="2" t="inlineStr">
        <is>
          <t>Blå taggsvamp</t>
        </is>
      </c>
      <c r="W1540">
        <f>HYPERLINK("https://klasma.github.io/Logging_2039/artfynd/A 42649-2023 artfynd.xlsx", "A 42649-2023")</f>
        <v/>
      </c>
      <c r="X1540">
        <f>HYPERLINK("https://klasma.github.io/Logging_2039/kartor/A 42649-2023 karta.png", "A 42649-2023")</f>
        <v/>
      </c>
      <c r="Y1540">
        <f>HYPERLINK("https://klasma.github.io/Logging_2039/kartor_geotiff/A 42649-2023 georefererad karta.tif", "A 42649-2023")</f>
        <v/>
      </c>
      <c r="AA1540">
        <f>HYPERLINK("https://klasma.github.io/Logging_2039/klagomål/A 42649-2023 FSC-klagomål.docx", "A 42649-2023")</f>
        <v/>
      </c>
      <c r="AB1540">
        <f>HYPERLINK("https://klasma.github.io/Logging_2039/klagomålsmail/A 42649-2023 FSC-klagomål mail.docx", "A 42649-2023")</f>
        <v/>
      </c>
      <c r="AC1540">
        <f>HYPERLINK("https://klasma.github.io/Logging_2039/tillsyn/A 42649-2023 tillsynsbegäran.docx", "A 42649-2023")</f>
        <v/>
      </c>
      <c r="AD1540">
        <f>HYPERLINK("https://klasma.github.io/Logging_2039/tillsynsmail/A 42649-2023 tillsynsbegäran mail.docx", "A 42649-2023")</f>
        <v/>
      </c>
    </row>
    <row r="1541" ht="15" customHeight="1">
      <c r="A1541" t="inlineStr">
        <is>
          <t>A 41336-2022</t>
        </is>
      </c>
      <c r="B1541" t="inlineStr">
        <is>
          <t>avverkningsanmälan</t>
        </is>
      </c>
      <c r="C1541" t="inlineStr">
        <is>
          <t>Föryngringsavverkning</t>
        </is>
      </c>
      <c r="D1541" s="1" t="n">
        <v>44826</v>
      </c>
      <c r="E1541" s="1" t="n">
        <v>46319</v>
      </c>
      <c r="F1541" t="inlineStr">
        <is>
          <t>DALARNAS LÄN</t>
        </is>
      </c>
      <c r="G1541" t="inlineStr">
        <is>
          <t>SMEDJEBACKEN</t>
        </is>
      </c>
      <c r="I1541" t="n">
        <v>2.3</v>
      </c>
      <c r="J1541" t="n">
        <v>1</v>
      </c>
      <c r="K1541" t="n">
        <v>0</v>
      </c>
      <c r="L1541" t="n">
        <v>0</v>
      </c>
      <c r="M1541" t="n">
        <v>0</v>
      </c>
      <c r="N1541" t="n">
        <v>0</v>
      </c>
      <c r="O1541" t="n">
        <v>0</v>
      </c>
      <c r="P1541" t="n">
        <v>0</v>
      </c>
      <c r="Q1541" t="n">
        <v>0</v>
      </c>
      <c r="R1541" t="n">
        <v>0</v>
      </c>
      <c r="S1541" t="n">
        <v>1</v>
      </c>
      <c r="T1541" t="n">
        <v>1</v>
      </c>
      <c r="U1541" t="n">
        <v>0</v>
      </c>
      <c r="V1541" s="2" t="inlineStr">
        <is>
          <t>Spillkråka</t>
        </is>
      </c>
      <c r="W1541">
        <f>HYPERLINK("https://klasma.github.io/Logging_2061/artfynd/A 41336-2022 artfynd.xlsx", "A 41336-2022")</f>
        <v/>
      </c>
      <c r="X1541">
        <f>HYPERLINK("https://klasma.github.io/Logging_2061/kartor/A 41336-2022 karta.png", "A 41336-2022")</f>
        <v/>
      </c>
      <c r="Y1541">
        <f>HYPERLINK("https://klasma.github.io/Logging_2061/kartor_geotiff/A 41336-2022 georefererad karta.tif", "A 41336-2022")</f>
        <v/>
      </c>
      <c r="AA1541">
        <f>HYPERLINK("https://klasma.github.io/Logging_2061/klagomål/A 41336-2022 FSC-klagomål.docx", "A 41336-2022")</f>
        <v/>
      </c>
      <c r="AB1541">
        <f>HYPERLINK("https://klasma.github.io/Logging_2061/klagomålsmail/A 41336-2022 FSC-klagomål mail.docx", "A 41336-2022")</f>
        <v/>
      </c>
      <c r="AC1541">
        <f>HYPERLINK("https://klasma.github.io/Logging_2061/tillsyn/A 41336-2022 tillsynsbegäran.docx", "A 41336-2022")</f>
        <v/>
      </c>
      <c r="AD1541">
        <f>HYPERLINK("https://klasma.github.io/Logging_2061/tillsynsmail/A 41336-2022 tillsynsbegäran mail.docx", "A 41336-2022")</f>
        <v/>
      </c>
      <c r="AE1541">
        <f>HYPERLINK("https://klasma.github.io/Logging_2061/fåglar/A 41336-2022 prioriterade fågelarter.docx", "A 41336-2022")</f>
        <v/>
      </c>
    </row>
    <row r="1542" ht="15" customHeight="1">
      <c r="A1542" t="inlineStr">
        <is>
          <t>A 57829-2023</t>
        </is>
      </c>
      <c r="B1542" t="inlineStr">
        <is>
          <t>avverkningsanmälan</t>
        </is>
      </c>
      <c r="C1542" t="inlineStr">
        <is>
          <t>Föryngringsavverkning</t>
        </is>
      </c>
      <c r="D1542" s="1" t="n">
        <v>45247</v>
      </c>
      <c r="E1542" s="1" t="n">
        <v>46319</v>
      </c>
      <c r="F1542" t="inlineStr">
        <is>
          <t>DALARNAS LÄN</t>
        </is>
      </c>
      <c r="G1542" t="inlineStr">
        <is>
          <t>MALUNG-SÄLEN</t>
        </is>
      </c>
      <c r="H1542" t="inlineStr">
        <is>
          <t>Bergvik skog öst AB</t>
        </is>
      </c>
      <c r="I1542" t="n">
        <v>1.5</v>
      </c>
      <c r="J1542" t="n">
        <v>1</v>
      </c>
      <c r="K1542" t="n">
        <v>0</v>
      </c>
      <c r="L1542" t="n">
        <v>0</v>
      </c>
      <c r="M1542" t="n">
        <v>1</v>
      </c>
      <c r="N1542" t="n">
        <v>0</v>
      </c>
      <c r="O1542" t="n">
        <v>0</v>
      </c>
      <c r="P1542" t="n">
        <v>0</v>
      </c>
      <c r="Q1542" t="n">
        <v>1</v>
      </c>
      <c r="R1542" t="n">
        <v>1</v>
      </c>
      <c r="S1542" t="n">
        <v>1</v>
      </c>
      <c r="T1542" t="n">
        <v>1</v>
      </c>
      <c r="U1542" t="n">
        <v>1</v>
      </c>
      <c r="V1542" s="2" t="inlineStr">
        <is>
          <t>Knärot</t>
        </is>
      </c>
      <c r="W1542">
        <f>HYPERLINK("https://klasma.github.io/Logging_2023/artfynd/A 57829-2023 artfynd.xlsx", "A 57829-2023")</f>
        <v/>
      </c>
      <c r="X1542">
        <f>HYPERLINK("https://klasma.github.io/Logging_2023/kartor/A 57829-2023 karta.png", "A 57829-2023")</f>
        <v/>
      </c>
      <c r="Y1542">
        <f>HYPERLINK("https://klasma.github.io/Logging_2023/kartor_geotiff/A 57829-2023 georefererad karta.tif", "A 57829-2023")</f>
        <v/>
      </c>
      <c r="Z1542">
        <f>HYPERLINK("https://klasma.github.io/Logging_2023/knärot/A 57829-2023 karta knärot.png", "A 57829-2023")</f>
        <v/>
      </c>
      <c r="AA1542">
        <f>HYPERLINK("https://klasma.github.io/Logging_2023/klagomål/A 57829-2023 FSC-klagomål.docx", "A 57829-2023")</f>
        <v/>
      </c>
      <c r="AB1542">
        <f>HYPERLINK("https://klasma.github.io/Logging_2023/klagomålsmail/A 57829-2023 FSC-klagomål mail.docx", "A 57829-2023")</f>
        <v/>
      </c>
      <c r="AC1542">
        <f>HYPERLINK("https://klasma.github.io/Logging_2023/tillsyn/A 57829-2023 tillsynsbegäran.docx", "A 57829-2023")</f>
        <v/>
      </c>
      <c r="AD1542">
        <f>HYPERLINK("https://klasma.github.io/Logging_2023/tillsynsmail/A 57829-2023 tillsynsbegäran mail.docx", "A 57829-2023")</f>
        <v/>
      </c>
    </row>
    <row r="1543" ht="15" customHeight="1">
      <c r="A1543" t="inlineStr">
        <is>
          <t>A 43666-2023</t>
        </is>
      </c>
      <c r="B1543" t="inlineStr">
        <is>
          <t>avverkningsanmälan</t>
        </is>
      </c>
      <c r="C1543" t="inlineStr">
        <is>
          <t>Avverkning för annat ändamål</t>
        </is>
      </c>
      <c r="D1543" s="1" t="n">
        <v>45187</v>
      </c>
      <c r="E1543" s="1" t="n">
        <v>46319</v>
      </c>
      <c r="F1543" t="inlineStr">
        <is>
          <t>DALARNAS LÄN</t>
        </is>
      </c>
      <c r="G1543" t="inlineStr">
        <is>
          <t>MALUNG-SÄLEN</t>
        </is>
      </c>
      <c r="H1543" t="inlineStr">
        <is>
          <t>Allmännings- och besparingsskogar</t>
        </is>
      </c>
      <c r="I1543" t="n">
        <v>2.6</v>
      </c>
      <c r="J1543" t="n">
        <v>0</v>
      </c>
      <c r="K1543" t="n">
        <v>0</v>
      </c>
      <c r="L1543" t="n">
        <v>1</v>
      </c>
      <c r="M1543" t="n">
        <v>0</v>
      </c>
      <c r="N1543" t="n">
        <v>0</v>
      </c>
      <c r="O1543" t="n">
        <v>0</v>
      </c>
      <c r="P1543" t="n">
        <v>0</v>
      </c>
      <c r="Q1543" t="n">
        <v>1</v>
      </c>
      <c r="R1543" t="n">
        <v>0</v>
      </c>
      <c r="S1543" t="n">
        <v>1</v>
      </c>
      <c r="T1543" t="n">
        <v>1</v>
      </c>
      <c r="U1543" t="n">
        <v>0</v>
      </c>
      <c r="V1543" s="2" t="inlineStr">
        <is>
          <t>Nordtagging</t>
        </is>
      </c>
      <c r="W1543">
        <f>HYPERLINK("https://klasma.github.io/Logging_2023/artfynd/A 43666-2023 artfynd.xlsx", "A 43666-2023")</f>
        <v/>
      </c>
      <c r="X1543">
        <f>HYPERLINK("https://klasma.github.io/Logging_2023/kartor/A 43666-2023 karta.png", "A 43666-2023")</f>
        <v/>
      </c>
      <c r="Y1543">
        <f>HYPERLINK("https://klasma.github.io/Logging_2023/kartor_geotiff/A 43666-2023 georefererad karta.tif", "A 43666-2023")</f>
        <v/>
      </c>
      <c r="AA1543">
        <f>HYPERLINK("https://klasma.github.io/Logging_2023/klagomål/A 43666-2023 FSC-klagomål.docx", "A 43666-2023")</f>
        <v/>
      </c>
      <c r="AB1543">
        <f>HYPERLINK("https://klasma.github.io/Logging_2023/klagomålsmail/A 43666-2023 FSC-klagomål mail.docx", "A 43666-2023")</f>
        <v/>
      </c>
      <c r="AC1543">
        <f>HYPERLINK("https://klasma.github.io/Logging_2023/tillsyn/A 43666-2023 tillsynsbegäran.docx", "A 43666-2023")</f>
        <v/>
      </c>
      <c r="AD1543">
        <f>HYPERLINK("https://klasma.github.io/Logging_2023/tillsynsmail/A 43666-2023 tillsynsbegäran mail.docx", "A 43666-2023")</f>
        <v/>
      </c>
    </row>
    <row r="1544" ht="15" customHeight="1">
      <c r="A1544" t="inlineStr">
        <is>
          <t>A 32954-2024</t>
        </is>
      </c>
      <c r="B1544" t="inlineStr">
        <is>
          <t>avverkningsanmälan</t>
        </is>
      </c>
      <c r="C1544" t="inlineStr">
        <is>
          <t>Föryngringsavverkning</t>
        </is>
      </c>
      <c r="D1544" s="1" t="n">
        <v>45517</v>
      </c>
      <c r="E1544" s="1" t="n">
        <v>46319</v>
      </c>
      <c r="F1544" t="inlineStr">
        <is>
          <t>DALARNAS LÄN</t>
        </is>
      </c>
      <c r="G1544" t="inlineStr">
        <is>
          <t>SMEDJEBACKEN</t>
        </is>
      </c>
      <c r="H1544" t="inlineStr">
        <is>
          <t>Övriga Aktiebolag</t>
        </is>
      </c>
      <c r="I1544" t="n">
        <v>5.9</v>
      </c>
      <c r="J1544" t="n">
        <v>1</v>
      </c>
      <c r="K1544" t="n">
        <v>0</v>
      </c>
      <c r="L1544" t="n">
        <v>0</v>
      </c>
      <c r="M1544" t="n">
        <v>0</v>
      </c>
      <c r="N1544" t="n">
        <v>0</v>
      </c>
      <c r="O1544" t="n">
        <v>0</v>
      </c>
      <c r="P1544" t="n">
        <v>0</v>
      </c>
      <c r="Q1544" t="n">
        <v>0</v>
      </c>
      <c r="R1544" t="n">
        <v>0</v>
      </c>
      <c r="S1544" t="n">
        <v>1</v>
      </c>
      <c r="T1544" t="n">
        <v>2</v>
      </c>
      <c r="U1544" t="n">
        <v>0</v>
      </c>
      <c r="V1544" s="2" t="inlineStr">
        <is>
          <t>Fläcknycklar</t>
        </is>
      </c>
      <c r="W1544">
        <f>HYPERLINK("https://klasma.github.io/Logging_2061/artfynd/A 32954-2024 artfynd.xlsx", "A 32954-2024")</f>
        <v/>
      </c>
      <c r="X1544">
        <f>HYPERLINK("https://klasma.github.io/Logging_2061/kartor/A 32954-2024 karta.png", "A 32954-2024")</f>
        <v/>
      </c>
      <c r="Y1544">
        <f>HYPERLINK("https://klasma.github.io/Logging_2061/kartor_geotiff/A 32954-2024 georefererad karta.tif", "A 32954-2024")</f>
        <v/>
      </c>
      <c r="AA1544">
        <f>HYPERLINK("https://klasma.github.io/Logging_2061/klagomål/A 32954-2024 FSC-klagomål.docx", "A 32954-2024")</f>
        <v/>
      </c>
      <c r="AB1544">
        <f>HYPERLINK("https://klasma.github.io/Logging_2061/klagomålsmail/A 32954-2024 FSC-klagomål mail.docx", "A 32954-2024")</f>
        <v/>
      </c>
      <c r="AC1544">
        <f>HYPERLINK("https://klasma.github.io/Logging_2061/tillsyn/A 32954-2024 tillsynsbegäran.docx", "A 32954-2024")</f>
        <v/>
      </c>
      <c r="AD1544">
        <f>HYPERLINK("https://klasma.github.io/Logging_2061/tillsynsmail/A 32954-2024 tillsynsbegäran mail.docx", "A 32954-2024")</f>
        <v/>
      </c>
    </row>
    <row r="1545" ht="15" customHeight="1">
      <c r="A1545" t="inlineStr">
        <is>
          <t>A 44853-2023</t>
        </is>
      </c>
      <c r="B1545" t="inlineStr">
        <is>
          <t>avverkningsanmälan</t>
        </is>
      </c>
      <c r="C1545" t="inlineStr">
        <is>
          <t>Föryngringsavverkning</t>
        </is>
      </c>
      <c r="D1545" s="1" t="n">
        <v>45190</v>
      </c>
      <c r="E1545" s="1" t="n">
        <v>46319</v>
      </c>
      <c r="F1545" t="inlineStr">
        <is>
          <t>DALARNAS LÄN</t>
        </is>
      </c>
      <c r="G1545" t="inlineStr">
        <is>
          <t>AVESTA</t>
        </is>
      </c>
      <c r="I1545" t="n">
        <v>1.8</v>
      </c>
      <c r="J1545" t="n">
        <v>0</v>
      </c>
      <c r="K1545" t="n">
        <v>0</v>
      </c>
      <c r="L1545" t="n">
        <v>1</v>
      </c>
      <c r="M1545" t="n">
        <v>0</v>
      </c>
      <c r="N1545" t="n">
        <v>0</v>
      </c>
      <c r="O1545" t="n">
        <v>0</v>
      </c>
      <c r="P1545" t="n">
        <v>0</v>
      </c>
      <c r="Q1545" t="n">
        <v>1</v>
      </c>
      <c r="R1545" t="n">
        <v>0</v>
      </c>
      <c r="S1545" t="n">
        <v>1</v>
      </c>
      <c r="T1545" t="n">
        <v>1</v>
      </c>
      <c r="U1545" t="n">
        <v>0</v>
      </c>
      <c r="V1545" s="2" t="inlineStr">
        <is>
          <t>Knytlingsäckmal</t>
        </is>
      </c>
      <c r="W1545">
        <f>HYPERLINK("https://klasma.github.io/Logging_2084/artfynd/A 44853-2023 artfynd.xlsx", "A 44853-2023")</f>
        <v/>
      </c>
      <c r="X1545">
        <f>HYPERLINK("https://klasma.github.io/Logging_2084/kartor/A 44853-2023 karta.png", "A 44853-2023")</f>
        <v/>
      </c>
      <c r="Y1545">
        <f>HYPERLINK("https://klasma.github.io/Logging_2084/kartor_geotiff/A 44853-2023 georefererad karta.tif", "A 44853-2023")</f>
        <v/>
      </c>
      <c r="AA1545">
        <f>HYPERLINK("https://klasma.github.io/Logging_2084/klagomål/A 44853-2023 FSC-klagomål.docx", "A 44853-2023")</f>
        <v/>
      </c>
      <c r="AB1545">
        <f>HYPERLINK("https://klasma.github.io/Logging_2084/klagomålsmail/A 44853-2023 FSC-klagomål mail.docx", "A 44853-2023")</f>
        <v/>
      </c>
      <c r="AC1545">
        <f>HYPERLINK("https://klasma.github.io/Logging_2084/tillsyn/A 44853-2023 tillsynsbegäran.docx", "A 44853-2023")</f>
        <v/>
      </c>
      <c r="AD1545">
        <f>HYPERLINK("https://klasma.github.io/Logging_2084/tillsynsmail/A 44853-2023 tillsynsbegäran mail.docx", "A 44853-2023")</f>
        <v/>
      </c>
    </row>
    <row r="1546" ht="15" customHeight="1">
      <c r="A1546" t="inlineStr">
        <is>
          <t>A 24549-2022</t>
        </is>
      </c>
      <c r="B1546" t="inlineStr">
        <is>
          <t>avverkningsanmälan</t>
        </is>
      </c>
      <c r="C1546" t="inlineStr">
        <is>
          <t>Föryngringsavverkning</t>
        </is>
      </c>
      <c r="D1546" s="1" t="n">
        <v>44727</v>
      </c>
      <c r="E1546" s="1" t="n">
        <v>46319</v>
      </c>
      <c r="F1546" t="inlineStr">
        <is>
          <t>DALARNAS LÄN</t>
        </is>
      </c>
      <c r="G1546" t="inlineStr">
        <is>
          <t>SMEDJEBACKEN</t>
        </is>
      </c>
      <c r="H1546" t="inlineStr">
        <is>
          <t>Bergvik skog väst AB</t>
        </is>
      </c>
      <c r="I1546" t="n">
        <v>3.3</v>
      </c>
      <c r="J1546" t="n">
        <v>1</v>
      </c>
      <c r="K1546" t="n">
        <v>0</v>
      </c>
      <c r="L1546" t="n">
        <v>0</v>
      </c>
      <c r="M1546" t="n">
        <v>0</v>
      </c>
      <c r="N1546" t="n">
        <v>0</v>
      </c>
      <c r="O1546" t="n">
        <v>0</v>
      </c>
      <c r="P1546" t="n">
        <v>0</v>
      </c>
      <c r="Q1546" t="n">
        <v>0</v>
      </c>
      <c r="R1546" t="n">
        <v>0</v>
      </c>
      <c r="S1546" t="n">
        <v>1</v>
      </c>
      <c r="T1546" t="n">
        <v>1</v>
      </c>
      <c r="U1546" t="n">
        <v>1</v>
      </c>
      <c r="V1546" s="2" t="inlineStr">
        <is>
          <t>Blåsippa</t>
        </is>
      </c>
      <c r="W1546">
        <f>HYPERLINK("https://klasma.github.io/Logging_2061/artfynd/A 24549-2022 artfynd.xlsx", "A 24549-2022")</f>
        <v/>
      </c>
      <c r="X1546">
        <f>HYPERLINK("https://klasma.github.io/Logging_2061/kartor/A 24549-2022 karta.png", "A 24549-2022")</f>
        <v/>
      </c>
      <c r="Y1546">
        <f>HYPERLINK("https://klasma.github.io/Logging_2061/kartor_geotiff/A 24549-2022 georefererad karta.tif", "A 24549-2022")</f>
        <v/>
      </c>
      <c r="AA1546">
        <f>HYPERLINK("https://klasma.github.io/Logging_2061/klagomål/A 24549-2022 FSC-klagomål.docx", "A 24549-2022")</f>
        <v/>
      </c>
      <c r="AB1546">
        <f>HYPERLINK("https://klasma.github.io/Logging_2061/klagomålsmail/A 24549-2022 FSC-klagomål mail.docx", "A 24549-2022")</f>
        <v/>
      </c>
      <c r="AC1546">
        <f>HYPERLINK("https://klasma.github.io/Logging_2061/tillsyn/A 24549-2022 tillsynsbegäran.docx", "A 24549-2022")</f>
        <v/>
      </c>
      <c r="AD1546">
        <f>HYPERLINK("https://klasma.github.io/Logging_2061/tillsynsmail/A 24549-2022 tillsynsbegäran mail.docx", "A 24549-2022")</f>
        <v/>
      </c>
    </row>
    <row r="1547" ht="15" customHeight="1">
      <c r="A1547" t="inlineStr">
        <is>
          <t>A 44190-2023</t>
        </is>
      </c>
      <c r="B1547" t="inlineStr">
        <is>
          <t>avverkningsanmälan</t>
        </is>
      </c>
      <c r="C1547" t="inlineStr">
        <is>
          <t>Föryngringsavverkning</t>
        </is>
      </c>
      <c r="D1547" s="1" t="n">
        <v>45188</v>
      </c>
      <c r="E1547" s="1" t="n">
        <v>46319</v>
      </c>
      <c r="F1547" t="inlineStr">
        <is>
          <t>DALARNAS LÄN</t>
        </is>
      </c>
      <c r="G1547" t="inlineStr">
        <is>
          <t>MALUNG-SÄLEN</t>
        </is>
      </c>
      <c r="I1547" t="n">
        <v>4.4</v>
      </c>
      <c r="J1547" t="n">
        <v>1</v>
      </c>
      <c r="K1547" t="n">
        <v>1</v>
      </c>
      <c r="L1547" t="n">
        <v>0</v>
      </c>
      <c r="M1547" t="n">
        <v>0</v>
      </c>
      <c r="N1547" t="n">
        <v>0</v>
      </c>
      <c r="O1547" t="n">
        <v>0</v>
      </c>
      <c r="P1547" t="n">
        <v>0</v>
      </c>
      <c r="Q1547" t="n">
        <v>0</v>
      </c>
      <c r="R1547" t="n">
        <v>0</v>
      </c>
      <c r="S1547" t="n">
        <v>1</v>
      </c>
      <c r="T1547" t="n">
        <v>1</v>
      </c>
      <c r="U1547" t="n">
        <v>1</v>
      </c>
      <c r="V1547" s="2" t="inlineStr">
        <is>
          <t>Korallrot</t>
        </is>
      </c>
      <c r="W1547">
        <f>HYPERLINK("https://klasma.github.io/Logging_2023/artfynd/A 44190-2023 artfynd.xlsx", "A 44190-2023")</f>
        <v/>
      </c>
      <c r="X1547">
        <f>HYPERLINK("https://klasma.github.io/Logging_2023/kartor/A 44190-2023 karta.png", "A 44190-2023")</f>
        <v/>
      </c>
      <c r="Y1547">
        <f>HYPERLINK("https://klasma.github.io/Logging_2023/kartor_geotiff/A 44190-2023 georefererad karta.tif", "A 44190-2023")</f>
        <v/>
      </c>
      <c r="AA1547">
        <f>HYPERLINK("https://klasma.github.io/Logging_2023/klagomål/A 44190-2023 FSC-klagomål.docx", "A 44190-2023")</f>
        <v/>
      </c>
      <c r="AB1547">
        <f>HYPERLINK("https://klasma.github.io/Logging_2023/klagomålsmail/A 44190-2023 FSC-klagomål mail.docx", "A 44190-2023")</f>
        <v/>
      </c>
      <c r="AC1547">
        <f>HYPERLINK("https://klasma.github.io/Logging_2023/tillsyn/A 44190-2023 tillsynsbegäran.docx", "A 44190-2023")</f>
        <v/>
      </c>
      <c r="AD1547">
        <f>HYPERLINK("https://klasma.github.io/Logging_2023/tillsynsmail/A 44190-2023 tillsynsbegäran mail.docx", "A 44190-2023")</f>
        <v/>
      </c>
    </row>
    <row r="1548" ht="15" customHeight="1">
      <c r="A1548" t="inlineStr">
        <is>
          <t>A 11145-2025</t>
        </is>
      </c>
      <c r="B1548" t="inlineStr">
        <is>
          <t>avverkningsanmälan</t>
        </is>
      </c>
      <c r="C1548" t="inlineStr">
        <is>
          <t>Föryngringsavverkning</t>
        </is>
      </c>
      <c r="D1548" s="1" t="n">
        <v>45723</v>
      </c>
      <c r="E1548" s="1" t="n">
        <v>46319</v>
      </c>
      <c r="F1548" t="inlineStr">
        <is>
          <t>DALARNAS LÄN</t>
        </is>
      </c>
      <c r="G1548" t="inlineStr">
        <is>
          <t>SMEDJEBACKEN</t>
        </is>
      </c>
      <c r="H1548" t="inlineStr">
        <is>
          <t>Bergvik skog väst AB</t>
        </is>
      </c>
      <c r="I1548" t="n">
        <v>0.5</v>
      </c>
      <c r="J1548" t="n">
        <v>1</v>
      </c>
      <c r="K1548" t="n">
        <v>0</v>
      </c>
      <c r="L1548" t="n">
        <v>0</v>
      </c>
      <c r="M1548" t="n">
        <v>0</v>
      </c>
      <c r="N1548" t="n">
        <v>0</v>
      </c>
      <c r="O1548" t="n">
        <v>0</v>
      </c>
      <c r="P1548" t="n">
        <v>0</v>
      </c>
      <c r="Q1548" t="n">
        <v>0</v>
      </c>
      <c r="R1548" t="n">
        <v>0</v>
      </c>
      <c r="S1548" t="n">
        <v>1</v>
      </c>
      <c r="T1548" t="n">
        <v>1</v>
      </c>
      <c r="U1548" t="n">
        <v>0</v>
      </c>
      <c r="V1548" s="2" t="inlineStr">
        <is>
          <t>Kopparödla</t>
        </is>
      </c>
      <c r="W1548">
        <f>HYPERLINK("https://klasma.github.io/Logging_2061/artfynd/A 11145-2025 artfynd.xlsx", "A 11145-2025")</f>
        <v/>
      </c>
      <c r="X1548">
        <f>HYPERLINK("https://klasma.github.io/Logging_2061/kartor/A 11145-2025 karta.png", "A 11145-2025")</f>
        <v/>
      </c>
      <c r="Y1548">
        <f>HYPERLINK("https://klasma.github.io/Logging_2061/kartor_geotiff/A 11145-2025 georefererad karta.tif", "A 11145-2025")</f>
        <v/>
      </c>
      <c r="AA1548">
        <f>HYPERLINK("https://klasma.github.io/Logging_2061/klagomål/A 11145-2025 FSC-klagomål.docx", "A 11145-2025")</f>
        <v/>
      </c>
      <c r="AB1548">
        <f>HYPERLINK("https://klasma.github.io/Logging_2061/klagomålsmail/A 11145-2025 FSC-klagomål mail.docx", "A 11145-2025")</f>
        <v/>
      </c>
      <c r="AC1548">
        <f>HYPERLINK("https://klasma.github.io/Logging_2061/tillsyn/A 11145-2025 tillsynsbegäran.docx", "A 11145-2025")</f>
        <v/>
      </c>
      <c r="AD1548">
        <f>HYPERLINK("https://klasma.github.io/Logging_2061/tillsynsmail/A 11145-2025 tillsynsbegäran mail.docx", "A 11145-2025")</f>
        <v/>
      </c>
    </row>
    <row r="1549" ht="15" customHeight="1">
      <c r="A1549" t="inlineStr">
        <is>
          <t>A 55268-2023</t>
        </is>
      </c>
      <c r="B1549" t="inlineStr">
        <is>
          <t>avverkningsanmälan</t>
        </is>
      </c>
      <c r="C1549" t="inlineStr">
        <is>
          <t>Föryngringsavverkning</t>
        </is>
      </c>
      <c r="D1549" s="1" t="n">
        <v>45231</v>
      </c>
      <c r="E1549" s="1" t="n">
        <v>46319</v>
      </c>
      <c r="F1549" t="inlineStr">
        <is>
          <t>DALARNAS LÄN</t>
        </is>
      </c>
      <c r="G1549" t="inlineStr">
        <is>
          <t>RÄTTVIK</t>
        </is>
      </c>
      <c r="I1549" t="n">
        <v>1.4</v>
      </c>
      <c r="J1549" t="n">
        <v>1</v>
      </c>
      <c r="K1549" t="n">
        <v>0</v>
      </c>
      <c r="L1549" t="n">
        <v>0</v>
      </c>
      <c r="M1549" t="n">
        <v>0</v>
      </c>
      <c r="N1549" t="n">
        <v>0</v>
      </c>
      <c r="O1549" t="n">
        <v>0</v>
      </c>
      <c r="P1549" t="n">
        <v>0</v>
      </c>
      <c r="Q1549" t="n">
        <v>0</v>
      </c>
      <c r="R1549" t="n">
        <v>0</v>
      </c>
      <c r="S1549" t="n">
        <v>1</v>
      </c>
      <c r="T1549" t="n">
        <v>1</v>
      </c>
      <c r="U1549" t="n">
        <v>0</v>
      </c>
      <c r="V1549" s="2" t="inlineStr">
        <is>
          <t>Utter</t>
        </is>
      </c>
      <c r="W1549">
        <f>HYPERLINK("https://klasma.github.io/Logging_2031/artfynd/A 55268-2023 artfynd.xlsx", "A 55268-2023")</f>
        <v/>
      </c>
      <c r="X1549">
        <f>HYPERLINK("https://klasma.github.io/Logging_2031/kartor/A 55268-2023 karta.png", "A 55268-2023")</f>
        <v/>
      </c>
      <c r="Y1549">
        <f>HYPERLINK("https://klasma.github.io/Logging_2031/kartor_geotiff/A 55268-2023 georefererad karta.tif", "A 55268-2023")</f>
        <v/>
      </c>
      <c r="AA1549">
        <f>HYPERLINK("https://klasma.github.io/Logging_2031/klagomål/A 55268-2023 FSC-klagomål.docx", "A 55268-2023")</f>
        <v/>
      </c>
      <c r="AB1549">
        <f>HYPERLINK("https://klasma.github.io/Logging_2031/klagomålsmail/A 55268-2023 FSC-klagomål mail.docx", "A 55268-2023")</f>
        <v/>
      </c>
      <c r="AC1549">
        <f>HYPERLINK("https://klasma.github.io/Logging_2031/tillsyn/A 55268-2023 tillsynsbegäran.docx", "A 55268-2023")</f>
        <v/>
      </c>
      <c r="AD1549">
        <f>HYPERLINK("https://klasma.github.io/Logging_2031/tillsynsmail/A 55268-2023 tillsynsbegäran mail.docx", "A 55268-2023")</f>
        <v/>
      </c>
    </row>
    <row r="1550" ht="15" customHeight="1">
      <c r="A1550" t="inlineStr">
        <is>
          <t>A 593-2024</t>
        </is>
      </c>
      <c r="B1550" t="inlineStr">
        <is>
          <t>avverkningsanmälan</t>
        </is>
      </c>
      <c r="C1550" t="inlineStr">
        <is>
          <t>Föryngringsavverkning</t>
        </is>
      </c>
      <c r="D1550" s="1" t="n">
        <v>45299</v>
      </c>
      <c r="E1550" s="1" t="n">
        <v>46319</v>
      </c>
      <c r="F1550" t="inlineStr">
        <is>
          <t>DALARNAS LÄN</t>
        </is>
      </c>
      <c r="G1550" t="inlineStr">
        <is>
          <t>ORSA</t>
        </is>
      </c>
      <c r="I1550" t="n">
        <v>1.5</v>
      </c>
      <c r="J1550" t="n">
        <v>1</v>
      </c>
      <c r="K1550" t="n">
        <v>0</v>
      </c>
      <c r="L1550" t="n">
        <v>0</v>
      </c>
      <c r="M1550" t="n">
        <v>0</v>
      </c>
      <c r="N1550" t="n">
        <v>0</v>
      </c>
      <c r="O1550" t="n">
        <v>0</v>
      </c>
      <c r="P1550" t="n">
        <v>0</v>
      </c>
      <c r="Q1550" t="n">
        <v>0</v>
      </c>
      <c r="R1550" t="n">
        <v>0</v>
      </c>
      <c r="S1550" t="n">
        <v>1</v>
      </c>
      <c r="T1550" t="n">
        <v>1</v>
      </c>
      <c r="U1550" t="n">
        <v>1</v>
      </c>
      <c r="V1550" s="2" t="inlineStr">
        <is>
          <t>Järpe</t>
        </is>
      </c>
      <c r="W1550">
        <f>HYPERLINK("https://klasma.github.io/Logging_2034/artfynd/A 593-2024 artfynd.xlsx", "A 593-2024")</f>
        <v/>
      </c>
      <c r="X1550">
        <f>HYPERLINK("https://klasma.github.io/Logging_2034/kartor/A 593-2024 karta.png", "A 593-2024")</f>
        <v/>
      </c>
      <c r="Y1550">
        <f>HYPERLINK("https://klasma.github.io/Logging_2034/kartor_geotiff/A 593-2024 georefererad karta.tif", "A 593-2024")</f>
        <v/>
      </c>
      <c r="AA1550">
        <f>HYPERLINK("https://klasma.github.io/Logging_2034/klagomål/A 593-2024 FSC-klagomål.docx", "A 593-2024")</f>
        <v/>
      </c>
      <c r="AB1550">
        <f>HYPERLINK("https://klasma.github.io/Logging_2034/klagomålsmail/A 593-2024 FSC-klagomål mail.docx", "A 593-2024")</f>
        <v/>
      </c>
      <c r="AC1550">
        <f>HYPERLINK("https://klasma.github.io/Logging_2034/tillsyn/A 593-2024 tillsynsbegäran.docx", "A 593-2024")</f>
        <v/>
      </c>
      <c r="AD1550">
        <f>HYPERLINK("https://klasma.github.io/Logging_2034/tillsynsmail/A 593-2024 tillsynsbegäran mail.docx", "A 593-2024")</f>
        <v/>
      </c>
      <c r="AE1550">
        <f>HYPERLINK("https://klasma.github.io/Logging_2034/fåglar/A 593-2024 prioriterade fågelarter.docx", "A 593-2024")</f>
        <v/>
      </c>
    </row>
    <row r="1551" ht="15" customHeight="1">
      <c r="A1551" t="inlineStr">
        <is>
          <t>A 18189-2025</t>
        </is>
      </c>
      <c r="B1551" t="inlineStr">
        <is>
          <t>avverkningsanmälan</t>
        </is>
      </c>
      <c r="C1551" t="inlineStr">
        <is>
          <t>Föryngringsavverkning</t>
        </is>
      </c>
      <c r="D1551" s="1" t="n">
        <v>45761</v>
      </c>
      <c r="E1551" s="1" t="n">
        <v>46319</v>
      </c>
      <c r="F1551" t="inlineStr">
        <is>
          <t>DALARNAS LÄN</t>
        </is>
      </c>
      <c r="G1551" t="inlineStr">
        <is>
          <t>LUDVIKA</t>
        </is>
      </c>
      <c r="I1551" t="n">
        <v>0.9</v>
      </c>
      <c r="J1551" t="n">
        <v>1</v>
      </c>
      <c r="K1551" t="n">
        <v>0</v>
      </c>
      <c r="L1551" t="n">
        <v>0</v>
      </c>
      <c r="M1551" t="n">
        <v>0</v>
      </c>
      <c r="N1551" t="n">
        <v>0</v>
      </c>
      <c r="O1551" t="n">
        <v>0</v>
      </c>
      <c r="P1551" t="n">
        <v>0</v>
      </c>
      <c r="Q1551" t="n">
        <v>0</v>
      </c>
      <c r="R1551" t="n">
        <v>0</v>
      </c>
      <c r="S1551" t="n">
        <v>1</v>
      </c>
      <c r="T1551" t="n">
        <v>1</v>
      </c>
      <c r="U1551" t="n">
        <v>1</v>
      </c>
      <c r="V1551" s="2" t="inlineStr">
        <is>
          <t>Fläcknycklar</t>
        </is>
      </c>
      <c r="W1551">
        <f>HYPERLINK("https://klasma.github.io/Logging_2085/artfynd/A 18189-2025 artfynd.xlsx", "A 18189-2025")</f>
        <v/>
      </c>
      <c r="X1551">
        <f>HYPERLINK("https://klasma.github.io/Logging_2085/kartor/A 18189-2025 karta.png", "A 18189-2025")</f>
        <v/>
      </c>
      <c r="Y1551">
        <f>HYPERLINK("https://klasma.github.io/Logging_2085/kartor_geotiff/A 18189-2025 georefererad karta.tif", "A 18189-2025")</f>
        <v/>
      </c>
      <c r="AA1551">
        <f>HYPERLINK("https://klasma.github.io/Logging_2085/klagomål/A 18189-2025 FSC-klagomål.docx", "A 18189-2025")</f>
        <v/>
      </c>
      <c r="AB1551">
        <f>HYPERLINK("https://klasma.github.io/Logging_2085/klagomålsmail/A 18189-2025 FSC-klagomål mail.docx", "A 18189-2025")</f>
        <v/>
      </c>
      <c r="AC1551">
        <f>HYPERLINK("https://klasma.github.io/Logging_2085/tillsyn/A 18189-2025 tillsynsbegäran.docx", "A 18189-2025")</f>
        <v/>
      </c>
      <c r="AD1551">
        <f>HYPERLINK("https://klasma.github.io/Logging_2085/tillsynsmail/A 18189-2025 tillsynsbegäran mail.docx", "A 18189-2025")</f>
        <v/>
      </c>
    </row>
    <row r="1552" ht="15" customHeight="1">
      <c r="A1552" t="inlineStr">
        <is>
          <t>A 20946-2023</t>
        </is>
      </c>
      <c r="B1552" t="inlineStr">
        <is>
          <t>avverkningsanmälan</t>
        </is>
      </c>
      <c r="C1552" t="inlineStr">
        <is>
          <t>Föryngringsavverkning</t>
        </is>
      </c>
      <c r="D1552" s="1" t="n">
        <v>45061</v>
      </c>
      <c r="E1552" s="1" t="n">
        <v>46319</v>
      </c>
      <c r="F1552" t="inlineStr">
        <is>
          <t>DALARNAS LÄN</t>
        </is>
      </c>
      <c r="G1552" t="inlineStr">
        <is>
          <t>LEKSAND</t>
        </is>
      </c>
      <c r="I1552" t="n">
        <v>2.7</v>
      </c>
      <c r="J1552" t="n">
        <v>1</v>
      </c>
      <c r="K1552" t="n">
        <v>0</v>
      </c>
      <c r="L1552" t="n">
        <v>0</v>
      </c>
      <c r="M1552" t="n">
        <v>1</v>
      </c>
      <c r="N1552" t="n">
        <v>0</v>
      </c>
      <c r="O1552" t="n">
        <v>0</v>
      </c>
      <c r="P1552" t="n">
        <v>0</v>
      </c>
      <c r="Q1552" t="n">
        <v>1</v>
      </c>
      <c r="R1552" t="n">
        <v>1</v>
      </c>
      <c r="S1552" t="n">
        <v>1</v>
      </c>
      <c r="T1552" t="n">
        <v>1</v>
      </c>
      <c r="U1552" t="n">
        <v>0</v>
      </c>
      <c r="V1552" s="2" t="inlineStr">
        <is>
          <t>Väddnätfjäril</t>
        </is>
      </c>
      <c r="W1552">
        <f>HYPERLINK("https://klasma.github.io/Logging_2029/artfynd/A 20946-2023 artfynd.xlsx", "A 20946-2023")</f>
        <v/>
      </c>
      <c r="X1552">
        <f>HYPERLINK("https://klasma.github.io/Logging_2029/kartor/A 20946-2023 karta.png", "A 20946-2023")</f>
        <v/>
      </c>
      <c r="Y1552">
        <f>HYPERLINK("https://klasma.github.io/Logging_2029/kartor_geotiff/A 20946-2023 georefererad karta.tif", "A 20946-2023")</f>
        <v/>
      </c>
      <c r="AA1552">
        <f>HYPERLINK("https://klasma.github.io/Logging_2029/klagomål/A 20946-2023 FSC-klagomål.docx", "A 20946-2023")</f>
        <v/>
      </c>
      <c r="AB1552">
        <f>HYPERLINK("https://klasma.github.io/Logging_2029/klagomålsmail/A 20946-2023 FSC-klagomål mail.docx", "A 20946-2023")</f>
        <v/>
      </c>
      <c r="AC1552">
        <f>HYPERLINK("https://klasma.github.io/Logging_2029/tillsyn/A 20946-2023 tillsynsbegäran.docx", "A 20946-2023")</f>
        <v/>
      </c>
      <c r="AD1552">
        <f>HYPERLINK("https://klasma.github.io/Logging_2029/tillsynsmail/A 20946-2023 tillsynsbegäran mail.docx", "A 20946-2023")</f>
        <v/>
      </c>
    </row>
    <row r="1553" ht="15" customHeight="1">
      <c r="A1553" t="inlineStr">
        <is>
          <t>A 18572-2025</t>
        </is>
      </c>
      <c r="B1553" t="inlineStr">
        <is>
          <t>avverkningsanmälan</t>
        </is>
      </c>
      <c r="C1553" t="inlineStr">
        <is>
          <t>Avverkning för annat ändamål</t>
        </is>
      </c>
      <c r="D1553" s="1" t="n">
        <v>45763</v>
      </c>
      <c r="E1553" s="1" t="n">
        <v>46319</v>
      </c>
      <c r="F1553" t="inlineStr">
        <is>
          <t>DALARNAS LÄN</t>
        </is>
      </c>
      <c r="G1553" t="inlineStr">
        <is>
          <t>HEDEMORA</t>
        </is>
      </c>
      <c r="I1553" t="n">
        <v>0.9</v>
      </c>
      <c r="J1553" t="n">
        <v>0</v>
      </c>
      <c r="K1553" t="n">
        <v>0</v>
      </c>
      <c r="L1553" t="n">
        <v>1</v>
      </c>
      <c r="M1553" t="n">
        <v>0</v>
      </c>
      <c r="N1553" t="n">
        <v>0</v>
      </c>
      <c r="O1553" t="n">
        <v>0</v>
      </c>
      <c r="P1553" t="n">
        <v>0</v>
      </c>
      <c r="Q1553" t="n">
        <v>1</v>
      </c>
      <c r="R1553" t="n">
        <v>0</v>
      </c>
      <c r="S1553" t="n">
        <v>1</v>
      </c>
      <c r="T1553" t="n">
        <v>1</v>
      </c>
      <c r="U1553" t="n">
        <v>1</v>
      </c>
      <c r="V1553" s="2" t="inlineStr">
        <is>
          <t>Vedskivlav</t>
        </is>
      </c>
      <c r="W1553">
        <f>HYPERLINK("https://klasma.github.io/Logging_2083/artfynd/A 18572-2025 artfynd.xlsx", "A 18572-2025")</f>
        <v/>
      </c>
      <c r="X1553">
        <f>HYPERLINK("https://klasma.github.io/Logging_2083/kartor/A 18572-2025 karta.png", "A 18572-2025")</f>
        <v/>
      </c>
      <c r="Y1553">
        <f>HYPERLINK("https://klasma.github.io/Logging_2083/kartor_geotiff/A 18572-2025 georefererad karta.tif", "A 18572-2025")</f>
        <v/>
      </c>
      <c r="AA1553">
        <f>HYPERLINK("https://klasma.github.io/Logging_2083/klagomål/A 18572-2025 FSC-klagomål.docx", "A 18572-2025")</f>
        <v/>
      </c>
      <c r="AB1553">
        <f>HYPERLINK("https://klasma.github.io/Logging_2083/klagomålsmail/A 18572-2025 FSC-klagomål mail.docx", "A 18572-2025")</f>
        <v/>
      </c>
      <c r="AC1553">
        <f>HYPERLINK("https://klasma.github.io/Logging_2083/tillsyn/A 18572-2025 tillsynsbegäran.docx", "A 18572-2025")</f>
        <v/>
      </c>
      <c r="AD1553">
        <f>HYPERLINK("https://klasma.github.io/Logging_2083/tillsynsmail/A 18572-2025 tillsynsbegäran mail.docx", "A 18572-2025")</f>
        <v/>
      </c>
    </row>
    <row r="1554" ht="15" customHeight="1">
      <c r="A1554" t="inlineStr">
        <is>
          <t>A 57702-2023</t>
        </is>
      </c>
      <c r="B1554" t="inlineStr">
        <is>
          <t>avverkningsanmälan</t>
        </is>
      </c>
      <c r="C1554" t="inlineStr">
        <is>
          <t>Avverkning för att bevara och utveckla /försöksver</t>
        </is>
      </c>
      <c r="D1554" s="1" t="n">
        <v>45246</v>
      </c>
      <c r="E1554" s="1" t="n">
        <v>46319</v>
      </c>
      <c r="F1554" t="inlineStr">
        <is>
          <t>DALARNAS LÄN</t>
        </is>
      </c>
      <c r="G1554" t="inlineStr">
        <is>
          <t>MALUNG-SÄLEN</t>
        </is>
      </c>
      <c r="I1554" t="n">
        <v>1.5</v>
      </c>
      <c r="J1554" t="n">
        <v>0</v>
      </c>
      <c r="K1554" t="n">
        <v>1</v>
      </c>
      <c r="L1554" t="n">
        <v>0</v>
      </c>
      <c r="M1554" t="n">
        <v>0</v>
      </c>
      <c r="N1554" t="n">
        <v>0</v>
      </c>
      <c r="O1554" t="n">
        <v>0</v>
      </c>
      <c r="P1554" t="n">
        <v>0</v>
      </c>
      <c r="Q1554" t="n">
        <v>0</v>
      </c>
      <c r="R1554" t="n">
        <v>0</v>
      </c>
      <c r="S1554" t="n">
        <v>1</v>
      </c>
      <c r="T1554" t="n">
        <v>1</v>
      </c>
      <c r="U1554" t="n">
        <v>0</v>
      </c>
      <c r="V1554" s="2" t="inlineStr">
        <is>
          <t>Brun nållav</t>
        </is>
      </c>
      <c r="W1554">
        <f>HYPERLINK("https://klasma.github.io/Logging_2023/artfynd/A 57702-2023 artfynd.xlsx", "A 57702-2023")</f>
        <v/>
      </c>
      <c r="X1554">
        <f>HYPERLINK("https://klasma.github.io/Logging_2023/kartor/A 57702-2023 karta.png", "A 57702-2023")</f>
        <v/>
      </c>
      <c r="Y1554">
        <f>HYPERLINK("https://klasma.github.io/Logging_2023/kartor_geotiff/A 57702-2023 georefererad karta.tif", "A 57702-2023")</f>
        <v/>
      </c>
      <c r="AA1554">
        <f>HYPERLINK("https://klasma.github.io/Logging_2023/klagomål/A 57702-2023 FSC-klagomål.docx", "A 57702-2023")</f>
        <v/>
      </c>
      <c r="AB1554">
        <f>HYPERLINK("https://klasma.github.io/Logging_2023/klagomålsmail/A 57702-2023 FSC-klagomål mail.docx", "A 57702-2023")</f>
        <v/>
      </c>
      <c r="AC1554">
        <f>HYPERLINK("https://klasma.github.io/Logging_2023/tillsyn/A 57702-2023 tillsynsbegäran.docx", "A 57702-2023")</f>
        <v/>
      </c>
      <c r="AD1554">
        <f>HYPERLINK("https://klasma.github.io/Logging_2023/tillsynsmail/A 57702-2023 tillsynsbegäran mail.docx", "A 57702-2023")</f>
        <v/>
      </c>
    </row>
    <row r="1555" ht="15" customHeight="1">
      <c r="A1555" t="inlineStr">
        <is>
          <t>A 18067-2023</t>
        </is>
      </c>
      <c r="B1555" t="inlineStr">
        <is>
          <t>avverkningsanmälan</t>
        </is>
      </c>
      <c r="C1555" t="inlineStr">
        <is>
          <t>Föryngringsavverkning</t>
        </is>
      </c>
      <c r="D1555" s="1" t="n">
        <v>45040</v>
      </c>
      <c r="E1555" s="1" t="n">
        <v>46319</v>
      </c>
      <c r="F1555" t="inlineStr">
        <is>
          <t>DALARNAS LÄN</t>
        </is>
      </c>
      <c r="G1555" t="inlineStr">
        <is>
          <t>FALUN</t>
        </is>
      </c>
      <c r="I1555" t="n">
        <v>7.7</v>
      </c>
      <c r="J1555" t="n">
        <v>0</v>
      </c>
      <c r="K1555" t="n">
        <v>1</v>
      </c>
      <c r="L1555" t="n">
        <v>0</v>
      </c>
      <c r="M1555" t="n">
        <v>0</v>
      </c>
      <c r="N1555" t="n">
        <v>0</v>
      </c>
      <c r="O1555" t="n">
        <v>0</v>
      </c>
      <c r="P1555" t="n">
        <v>0</v>
      </c>
      <c r="Q1555" t="n">
        <v>0</v>
      </c>
      <c r="R1555" t="n">
        <v>0</v>
      </c>
      <c r="S1555" t="n">
        <v>1</v>
      </c>
      <c r="T1555" t="n">
        <v>1</v>
      </c>
      <c r="U1555" t="n">
        <v>1</v>
      </c>
      <c r="V1555" s="2" t="inlineStr">
        <is>
          <t>Ögonpyrola</t>
        </is>
      </c>
      <c r="W1555">
        <f>HYPERLINK("https://klasma.github.io/Logging_2080/artfynd/A 18067-2023 artfynd.xlsx", "A 18067-2023")</f>
        <v/>
      </c>
      <c r="X1555">
        <f>HYPERLINK("https://klasma.github.io/Logging_2080/kartor/A 18067-2023 karta.png", "A 18067-2023")</f>
        <v/>
      </c>
      <c r="Y1555">
        <f>HYPERLINK("https://klasma.github.io/Logging_2080/kartor_geotiff/A 18067-2023 georefererad karta.tif", "A 18067-2023")</f>
        <v/>
      </c>
      <c r="AA1555">
        <f>HYPERLINK("https://klasma.github.io/Logging_2080/klagomål/A 18067-2023 FSC-klagomål.docx", "A 18067-2023")</f>
        <v/>
      </c>
      <c r="AB1555">
        <f>HYPERLINK("https://klasma.github.io/Logging_2080/klagomålsmail/A 18067-2023 FSC-klagomål mail.docx", "A 18067-2023")</f>
        <v/>
      </c>
      <c r="AC1555">
        <f>HYPERLINK("https://klasma.github.io/Logging_2080/tillsyn/A 18067-2023 tillsynsbegäran.docx", "A 18067-2023")</f>
        <v/>
      </c>
      <c r="AD1555">
        <f>HYPERLINK("https://klasma.github.io/Logging_2080/tillsynsmail/A 18067-2023 tillsynsbegäran mail.docx", "A 18067-2023")</f>
        <v/>
      </c>
    </row>
    <row r="1556" ht="15" customHeight="1">
      <c r="A1556" t="inlineStr">
        <is>
          <t>A 43516-2023</t>
        </is>
      </c>
      <c r="B1556" t="inlineStr">
        <is>
          <t>avverkningsanmälan</t>
        </is>
      </c>
      <c r="C1556" t="inlineStr">
        <is>
          <t>Föryngringsavverkning</t>
        </is>
      </c>
      <c r="D1556" s="1" t="n">
        <v>45184</v>
      </c>
      <c r="E1556" s="1" t="n">
        <v>46319</v>
      </c>
      <c r="F1556" t="inlineStr">
        <is>
          <t>DALARNAS LÄN</t>
        </is>
      </c>
      <c r="G1556" t="inlineStr">
        <is>
          <t>BORLÄNGE</t>
        </is>
      </c>
      <c r="I1556" t="n">
        <v>1.8</v>
      </c>
      <c r="J1556" t="n">
        <v>1</v>
      </c>
      <c r="K1556" t="n">
        <v>0</v>
      </c>
      <c r="L1556" t="n">
        <v>1</v>
      </c>
      <c r="M1556" t="n">
        <v>0</v>
      </c>
      <c r="N1556" t="n">
        <v>0</v>
      </c>
      <c r="O1556" t="n">
        <v>0</v>
      </c>
      <c r="P1556" t="n">
        <v>0</v>
      </c>
      <c r="Q1556" t="n">
        <v>1</v>
      </c>
      <c r="R1556" t="n">
        <v>0</v>
      </c>
      <c r="S1556" t="n">
        <v>1</v>
      </c>
      <c r="T1556" t="n">
        <v>1</v>
      </c>
      <c r="U1556" t="n">
        <v>1</v>
      </c>
      <c r="V1556" s="2" t="inlineStr">
        <is>
          <t>Bivråk</t>
        </is>
      </c>
      <c r="W1556">
        <f>HYPERLINK("https://klasma.github.io/Logging_2081/artfynd/A 43516-2023 artfynd.xlsx", "A 43516-2023")</f>
        <v/>
      </c>
      <c r="X1556">
        <f>HYPERLINK("https://klasma.github.io/Logging_2081/kartor/A 43516-2023 karta.png", "A 43516-2023")</f>
        <v/>
      </c>
      <c r="Y1556">
        <f>HYPERLINK("https://klasma.github.io/Logging_2081/kartor_geotiff/A 43516-2023 georefererad karta.tif", "A 43516-2023")</f>
        <v/>
      </c>
      <c r="AA1556">
        <f>HYPERLINK("https://klasma.github.io/Logging_2081/klagomål/A 43516-2023 FSC-klagomål.docx", "A 43516-2023")</f>
        <v/>
      </c>
      <c r="AB1556">
        <f>HYPERLINK("https://klasma.github.io/Logging_2081/klagomålsmail/A 43516-2023 FSC-klagomål mail.docx", "A 43516-2023")</f>
        <v/>
      </c>
      <c r="AC1556">
        <f>HYPERLINK("https://klasma.github.io/Logging_2081/tillsyn/A 43516-2023 tillsynsbegäran.docx", "A 43516-2023")</f>
        <v/>
      </c>
      <c r="AD1556">
        <f>HYPERLINK("https://klasma.github.io/Logging_2081/tillsynsmail/A 43516-2023 tillsynsbegäran mail.docx", "A 43516-2023")</f>
        <v/>
      </c>
      <c r="AE1556">
        <f>HYPERLINK("https://klasma.github.io/Logging_2081/fåglar/A 43516-2023 prioriterade fågelarter.docx", "A 43516-2023")</f>
        <v/>
      </c>
    </row>
    <row r="1557" ht="15" customHeight="1">
      <c r="A1557" t="inlineStr">
        <is>
          <t>A 56571-2023</t>
        </is>
      </c>
      <c r="B1557" t="inlineStr">
        <is>
          <t>avverkningsanmälan</t>
        </is>
      </c>
      <c r="C1557" t="inlineStr">
        <is>
          <t>Föryngringsavverkning</t>
        </is>
      </c>
      <c r="D1557" s="1" t="n">
        <v>45243</v>
      </c>
      <c r="E1557" s="1" t="n">
        <v>46319</v>
      </c>
      <c r="F1557" t="inlineStr">
        <is>
          <t>DALARNAS LÄN</t>
        </is>
      </c>
      <c r="G1557" t="inlineStr">
        <is>
          <t>AVESTA</t>
        </is>
      </c>
      <c r="I1557" t="n">
        <v>6.1</v>
      </c>
      <c r="J1557" t="n">
        <v>0</v>
      </c>
      <c r="K1557" t="n">
        <v>0</v>
      </c>
      <c r="L1557" t="n">
        <v>0</v>
      </c>
      <c r="M1557" t="n">
        <v>1</v>
      </c>
      <c r="N1557" t="n">
        <v>0</v>
      </c>
      <c r="O1557" t="n">
        <v>0</v>
      </c>
      <c r="P1557" t="n">
        <v>0</v>
      </c>
      <c r="Q1557" t="n">
        <v>1</v>
      </c>
      <c r="R1557" t="n">
        <v>1</v>
      </c>
      <c r="S1557" t="n">
        <v>1</v>
      </c>
      <c r="T1557" t="n">
        <v>1</v>
      </c>
      <c r="U1557" t="n">
        <v>0</v>
      </c>
      <c r="V1557" s="2" t="inlineStr">
        <is>
          <t>Gråblå skinnlav</t>
        </is>
      </c>
      <c r="W1557">
        <f>HYPERLINK("https://klasma.github.io/Logging_2084/artfynd/A 56571-2023 artfynd.xlsx", "A 56571-2023")</f>
        <v/>
      </c>
      <c r="X1557">
        <f>HYPERLINK("https://klasma.github.io/Logging_2084/kartor/A 56571-2023 karta.png", "A 56571-2023")</f>
        <v/>
      </c>
      <c r="Y1557">
        <f>HYPERLINK("https://klasma.github.io/Logging_2084/kartor_geotiff/A 56571-2023 georefererad karta.tif", "A 56571-2023")</f>
        <v/>
      </c>
      <c r="AA1557">
        <f>HYPERLINK("https://klasma.github.io/Logging_2084/klagomål/A 56571-2023 FSC-klagomål.docx", "A 56571-2023")</f>
        <v/>
      </c>
      <c r="AB1557">
        <f>HYPERLINK("https://klasma.github.io/Logging_2084/klagomålsmail/A 56571-2023 FSC-klagomål mail.docx", "A 56571-2023")</f>
        <v/>
      </c>
      <c r="AC1557">
        <f>HYPERLINK("https://klasma.github.io/Logging_2084/tillsyn/A 56571-2023 tillsynsbegäran.docx", "A 56571-2023")</f>
        <v/>
      </c>
      <c r="AD1557">
        <f>HYPERLINK("https://klasma.github.io/Logging_2084/tillsynsmail/A 56571-2023 tillsynsbegäran mail.docx", "A 56571-2023")</f>
        <v/>
      </c>
    </row>
    <row r="1558" ht="15" customHeight="1">
      <c r="A1558" t="inlineStr">
        <is>
          <t>A 53924-2024</t>
        </is>
      </c>
      <c r="B1558" t="inlineStr">
        <is>
          <t>avverkningsanmälan</t>
        </is>
      </c>
      <c r="C1558" t="inlineStr">
        <is>
          <t>Föryngringsavverkning</t>
        </is>
      </c>
      <c r="D1558" s="1" t="n">
        <v>45615</v>
      </c>
      <c r="E1558" s="1" t="n">
        <v>46319</v>
      </c>
      <c r="F1558" t="inlineStr">
        <is>
          <t>DALARNAS LÄN</t>
        </is>
      </c>
      <c r="G1558" t="inlineStr">
        <is>
          <t>HEDEMORA</t>
        </is>
      </c>
      <c r="H1558" t="inlineStr">
        <is>
          <t>Sveaskog</t>
        </is>
      </c>
      <c r="I1558" t="n">
        <v>3.8</v>
      </c>
      <c r="J1558" t="n">
        <v>1</v>
      </c>
      <c r="K1558" t="n">
        <v>1</v>
      </c>
      <c r="L1558" t="n">
        <v>0</v>
      </c>
      <c r="M1558" t="n">
        <v>0</v>
      </c>
      <c r="N1558" t="n">
        <v>0</v>
      </c>
      <c r="O1558" t="n">
        <v>0</v>
      </c>
      <c r="P1558" t="n">
        <v>0</v>
      </c>
      <c r="Q1558" t="n">
        <v>0</v>
      </c>
      <c r="R1558" t="n">
        <v>0</v>
      </c>
      <c r="S1558" t="n">
        <v>1</v>
      </c>
      <c r="T1558" t="n">
        <v>1</v>
      </c>
      <c r="U1558" t="n">
        <v>1</v>
      </c>
      <c r="V1558" s="2" t="inlineStr">
        <is>
          <t>Plattlummer</t>
        </is>
      </c>
      <c r="W1558">
        <f>HYPERLINK("https://klasma.github.io/Logging_2083/artfynd/A 53924-2024 artfynd.xlsx", "A 53924-2024")</f>
        <v/>
      </c>
      <c r="X1558">
        <f>HYPERLINK("https://klasma.github.io/Logging_2083/kartor/A 53924-2024 karta.png", "A 53924-2024")</f>
        <v/>
      </c>
      <c r="Y1558">
        <f>HYPERLINK("https://klasma.github.io/Logging_2083/kartor_geotiff/A 53924-2024 georefererad karta.tif", "A 53924-2024")</f>
        <v/>
      </c>
      <c r="AA1558">
        <f>HYPERLINK("https://klasma.github.io/Logging_2083/klagomål/A 53924-2024 FSC-klagomål.docx", "A 53924-2024")</f>
        <v/>
      </c>
      <c r="AB1558">
        <f>HYPERLINK("https://klasma.github.io/Logging_2083/klagomålsmail/A 53924-2024 FSC-klagomål mail.docx", "A 53924-2024")</f>
        <v/>
      </c>
      <c r="AC1558">
        <f>HYPERLINK("https://klasma.github.io/Logging_2083/tillsyn/A 53924-2024 tillsynsbegäran.docx", "A 53924-2024")</f>
        <v/>
      </c>
      <c r="AD1558">
        <f>HYPERLINK("https://klasma.github.io/Logging_2083/tillsynsmail/A 53924-2024 tillsynsbegäran mail.docx", "A 53924-2024")</f>
        <v/>
      </c>
    </row>
    <row r="1559" ht="15" customHeight="1">
      <c r="A1559" t="inlineStr">
        <is>
          <t>A 1695-2022</t>
        </is>
      </c>
      <c r="B1559" t="inlineStr">
        <is>
          <t>avverkningsanmälan</t>
        </is>
      </c>
      <c r="C1559" t="inlineStr">
        <is>
          <t>Föryngringsavverkning</t>
        </is>
      </c>
      <c r="D1559" s="1" t="n">
        <v>44574</v>
      </c>
      <c r="E1559" s="1" t="n">
        <v>46319</v>
      </c>
      <c r="F1559" t="inlineStr">
        <is>
          <t>DALARNAS LÄN</t>
        </is>
      </c>
      <c r="G1559" t="inlineStr">
        <is>
          <t>AVESTA</t>
        </is>
      </c>
      <c r="I1559" t="n">
        <v>6.5</v>
      </c>
      <c r="J1559" t="n">
        <v>1</v>
      </c>
      <c r="K1559" t="n">
        <v>0</v>
      </c>
      <c r="L1559" t="n">
        <v>0</v>
      </c>
      <c r="M1559" t="n">
        <v>1</v>
      </c>
      <c r="N1559" t="n">
        <v>0</v>
      </c>
      <c r="O1559" t="n">
        <v>0</v>
      </c>
      <c r="P1559" t="n">
        <v>0</v>
      </c>
      <c r="Q1559" t="n">
        <v>1</v>
      </c>
      <c r="R1559" t="n">
        <v>1</v>
      </c>
      <c r="S1559" t="n">
        <v>1</v>
      </c>
      <c r="T1559" t="n">
        <v>27</v>
      </c>
      <c r="U1559" t="n">
        <v>27</v>
      </c>
      <c r="V1559" s="2" t="inlineStr">
        <is>
          <t>Knärot</t>
        </is>
      </c>
      <c r="W1559">
        <f>HYPERLINK("https://klasma.github.io/Logging_2084/artfynd/A 1695-2022 artfynd.xlsx", "A 1695-2022")</f>
        <v/>
      </c>
      <c r="X1559">
        <f>HYPERLINK("https://klasma.github.io/Logging_2084/kartor/A 1695-2022 karta.png", "A 1695-2022")</f>
        <v/>
      </c>
      <c r="Y1559">
        <f>HYPERLINK("https://klasma.github.io/Logging_2084/kartor_geotiff/A 1695-2022 georefererad karta.tif", "A 1695-2022")</f>
        <v/>
      </c>
      <c r="Z1559">
        <f>HYPERLINK("https://klasma.github.io/Logging_2084/knärot/A 1695-2022 karta knärot.png", "A 1695-2022")</f>
        <v/>
      </c>
      <c r="AA1559">
        <f>HYPERLINK("https://klasma.github.io/Logging_2084/klagomål/A 1695-2022 FSC-klagomål.docx", "A 1695-2022")</f>
        <v/>
      </c>
      <c r="AB1559">
        <f>HYPERLINK("https://klasma.github.io/Logging_2084/klagomålsmail/A 1695-2022 FSC-klagomål mail.docx", "A 1695-2022")</f>
        <v/>
      </c>
      <c r="AC1559">
        <f>HYPERLINK("https://klasma.github.io/Logging_2084/tillsyn/A 1695-2022 tillsynsbegäran.docx", "A 1695-2022")</f>
        <v/>
      </c>
      <c r="AD1559">
        <f>HYPERLINK("https://klasma.github.io/Logging_2084/tillsynsmail/A 1695-2022 tillsynsbegäran mail.docx", "A 1695-2022")</f>
        <v/>
      </c>
    </row>
    <row r="1560" ht="15" customHeight="1">
      <c r="A1560" t="inlineStr">
        <is>
          <t>A 19851-2023</t>
        </is>
      </c>
      <c r="B1560" t="inlineStr">
        <is>
          <t>avverkningsanmälan</t>
        </is>
      </c>
      <c r="C1560" t="inlineStr">
        <is>
          <t>Föryngringsavverkning</t>
        </is>
      </c>
      <c r="D1560" s="1" t="n">
        <v>45053</v>
      </c>
      <c r="E1560" s="1" t="n">
        <v>46319</v>
      </c>
      <c r="F1560" t="inlineStr">
        <is>
          <t>DALARNAS LÄN</t>
        </is>
      </c>
      <c r="G1560" t="inlineStr">
        <is>
          <t>MALUNG-SÄLEN</t>
        </is>
      </c>
      <c r="I1560" t="n">
        <v>12.6</v>
      </c>
      <c r="J1560" t="n">
        <v>1</v>
      </c>
      <c r="K1560" t="n">
        <v>0</v>
      </c>
      <c r="L1560" t="n">
        <v>0</v>
      </c>
      <c r="M1560" t="n">
        <v>0</v>
      </c>
      <c r="N1560" t="n">
        <v>0</v>
      </c>
      <c r="O1560" t="n">
        <v>0</v>
      </c>
      <c r="P1560" t="n">
        <v>0</v>
      </c>
      <c r="Q1560" t="n">
        <v>0</v>
      </c>
      <c r="R1560" t="n">
        <v>0</v>
      </c>
      <c r="S1560" t="n">
        <v>1</v>
      </c>
      <c r="T1560" t="n">
        <v>1</v>
      </c>
      <c r="U1560" t="n">
        <v>0</v>
      </c>
      <c r="V1560" s="2" t="inlineStr">
        <is>
          <t>Orre</t>
        </is>
      </c>
      <c r="W1560">
        <f>HYPERLINK("https://klasma.github.io/Logging_2023/artfynd/A 19851-2023 artfynd.xlsx", "A 19851-2023")</f>
        <v/>
      </c>
      <c r="X1560">
        <f>HYPERLINK("https://klasma.github.io/Logging_2023/kartor/A 19851-2023 karta.png", "A 19851-2023")</f>
        <v/>
      </c>
      <c r="Y1560">
        <f>HYPERLINK("https://klasma.github.io/Logging_2023/kartor_geotiff/A 19851-2023 georefererad karta.tif", "A 19851-2023")</f>
        <v/>
      </c>
      <c r="AA1560">
        <f>HYPERLINK("https://klasma.github.io/Logging_2023/klagomål/A 19851-2023 FSC-klagomål.docx", "A 19851-2023")</f>
        <v/>
      </c>
      <c r="AB1560">
        <f>HYPERLINK("https://klasma.github.io/Logging_2023/klagomålsmail/A 19851-2023 FSC-klagomål mail.docx", "A 19851-2023")</f>
        <v/>
      </c>
      <c r="AC1560">
        <f>HYPERLINK("https://klasma.github.io/Logging_2023/tillsyn/A 19851-2023 tillsynsbegäran.docx", "A 19851-2023")</f>
        <v/>
      </c>
      <c r="AD1560">
        <f>HYPERLINK("https://klasma.github.io/Logging_2023/tillsynsmail/A 19851-2023 tillsynsbegäran mail.docx", "A 19851-2023")</f>
        <v/>
      </c>
      <c r="AE1560">
        <f>HYPERLINK("https://klasma.github.io/Logging_2023/fåglar/A 19851-2023 prioriterade fågelarter.docx", "A 19851-2023")</f>
        <v/>
      </c>
    </row>
    <row r="1561" ht="15" customHeight="1">
      <c r="A1561" t="inlineStr">
        <is>
          <t>A 19046-2025</t>
        </is>
      </c>
      <c r="B1561" t="inlineStr">
        <is>
          <t>avverkningsanmälan</t>
        </is>
      </c>
      <c r="C1561" t="inlineStr">
        <is>
          <t>Föryngringsavverkning</t>
        </is>
      </c>
      <c r="D1561" s="1" t="n">
        <v>45764</v>
      </c>
      <c r="E1561" s="1" t="n">
        <v>46319</v>
      </c>
      <c r="F1561" t="inlineStr">
        <is>
          <t>DALARNAS LÄN</t>
        </is>
      </c>
      <c r="G1561" t="inlineStr">
        <is>
          <t>GAGNEF</t>
        </is>
      </c>
      <c r="I1561" t="n">
        <v>20.4</v>
      </c>
      <c r="J1561" t="n">
        <v>1</v>
      </c>
      <c r="K1561" t="n">
        <v>0</v>
      </c>
      <c r="L1561" t="n">
        <v>0</v>
      </c>
      <c r="M1561" t="n">
        <v>0</v>
      </c>
      <c r="N1561" t="n">
        <v>0</v>
      </c>
      <c r="O1561" t="n">
        <v>0</v>
      </c>
      <c r="P1561" t="n">
        <v>0</v>
      </c>
      <c r="Q1561" t="n">
        <v>0</v>
      </c>
      <c r="R1561" t="n">
        <v>0</v>
      </c>
      <c r="S1561" t="n">
        <v>1</v>
      </c>
      <c r="T1561" t="n">
        <v>1</v>
      </c>
      <c r="U1561" t="n">
        <v>0</v>
      </c>
      <c r="V1561" s="2" t="inlineStr">
        <is>
          <t>Mattlummer</t>
        </is>
      </c>
      <c r="W1561">
        <f>HYPERLINK("https://klasma.github.io/Logging_2026/artfynd/A 19046-2025 artfynd.xlsx", "A 19046-2025")</f>
        <v/>
      </c>
      <c r="X1561">
        <f>HYPERLINK("https://klasma.github.io/Logging_2026/kartor/A 19046-2025 karta.png", "A 19046-2025")</f>
        <v/>
      </c>
      <c r="Y1561">
        <f>HYPERLINK("https://klasma.github.io/Logging_2026/kartor_geotiff/A 19046-2025 georefererad karta.tif", "A 19046-2025")</f>
        <v/>
      </c>
      <c r="AA1561">
        <f>HYPERLINK("https://klasma.github.io/Logging_2026/klagomål/A 19046-2025 FSC-klagomål.docx", "A 19046-2025")</f>
        <v/>
      </c>
      <c r="AB1561">
        <f>HYPERLINK("https://klasma.github.io/Logging_2026/klagomålsmail/A 19046-2025 FSC-klagomål mail.docx", "A 19046-2025")</f>
        <v/>
      </c>
      <c r="AC1561">
        <f>HYPERLINK("https://klasma.github.io/Logging_2026/tillsyn/A 19046-2025 tillsynsbegäran.docx", "A 19046-2025")</f>
        <v/>
      </c>
      <c r="AD1561">
        <f>HYPERLINK("https://klasma.github.io/Logging_2026/tillsynsmail/A 19046-2025 tillsynsbegäran mail.docx", "A 19046-2025")</f>
        <v/>
      </c>
    </row>
    <row r="1562" ht="15" customHeight="1">
      <c r="A1562" t="inlineStr">
        <is>
          <t>A 30493-2024</t>
        </is>
      </c>
      <c r="B1562" t="inlineStr">
        <is>
          <t>avverkningsanmälan</t>
        </is>
      </c>
      <c r="C1562" t="inlineStr">
        <is>
          <t>Föryngringsavverkning</t>
        </is>
      </c>
      <c r="D1562" s="1" t="n">
        <v>45492</v>
      </c>
      <c r="E1562" s="1" t="n">
        <v>46319</v>
      </c>
      <c r="F1562" t="inlineStr">
        <is>
          <t>DALARNAS LÄN</t>
        </is>
      </c>
      <c r="G1562" t="inlineStr">
        <is>
          <t>ORSA</t>
        </is>
      </c>
      <c r="H1562" t="inlineStr">
        <is>
          <t>Övriga statliga verk och myndigheter</t>
        </is>
      </c>
      <c r="I1562" t="n">
        <v>2.2</v>
      </c>
      <c r="J1562" t="n">
        <v>0</v>
      </c>
      <c r="K1562" t="n">
        <v>0</v>
      </c>
      <c r="L1562" t="n">
        <v>0</v>
      </c>
      <c r="M1562" t="n">
        <v>1</v>
      </c>
      <c r="N1562" t="n">
        <v>0</v>
      </c>
      <c r="O1562" t="n">
        <v>0</v>
      </c>
      <c r="P1562" t="n">
        <v>0</v>
      </c>
      <c r="Q1562" t="n">
        <v>1</v>
      </c>
      <c r="R1562" t="n">
        <v>1</v>
      </c>
      <c r="S1562" t="n">
        <v>1</v>
      </c>
      <c r="T1562" t="n">
        <v>1</v>
      </c>
      <c r="U1562" t="n">
        <v>1</v>
      </c>
      <c r="V1562" s="2" t="inlineStr">
        <is>
          <t>Garnlav</t>
        </is>
      </c>
      <c r="W1562">
        <f>HYPERLINK("https://klasma.github.io/Logging_2034/artfynd/A 30493-2024 artfynd.xlsx", "A 30493-2024")</f>
        <v/>
      </c>
      <c r="X1562">
        <f>HYPERLINK("https://klasma.github.io/Logging_2034/kartor/A 30493-2024 karta.png", "A 30493-2024")</f>
        <v/>
      </c>
      <c r="Y1562">
        <f>HYPERLINK("https://klasma.github.io/Logging_2034/kartor_geotiff/A 30493-2024 georefererad karta.tif", "A 30493-2024")</f>
        <v/>
      </c>
      <c r="AA1562">
        <f>HYPERLINK("https://klasma.github.io/Logging_2034/klagomål/A 30493-2024 FSC-klagomål.docx", "A 30493-2024")</f>
        <v/>
      </c>
      <c r="AB1562">
        <f>HYPERLINK("https://klasma.github.io/Logging_2034/klagomålsmail/A 30493-2024 FSC-klagomål mail.docx", "A 30493-2024")</f>
        <v/>
      </c>
      <c r="AC1562">
        <f>HYPERLINK("https://klasma.github.io/Logging_2034/tillsyn/A 30493-2024 tillsynsbegäran.docx", "A 30493-2024")</f>
        <v/>
      </c>
      <c r="AD1562">
        <f>HYPERLINK("https://klasma.github.io/Logging_2034/tillsynsmail/A 30493-2024 tillsynsbegäran mail.docx", "A 30493-2024")</f>
        <v/>
      </c>
    </row>
    <row r="1563" ht="15" customHeight="1">
      <c r="A1563" t="inlineStr">
        <is>
          <t>A 27715-2023</t>
        </is>
      </c>
      <c r="B1563" t="inlineStr">
        <is>
          <t>avverkningsanmälan</t>
        </is>
      </c>
      <c r="C1563" t="inlineStr">
        <is>
          <t>Föryngringsavverkning</t>
        </is>
      </c>
      <c r="D1563" s="1" t="n">
        <v>45098</v>
      </c>
      <c r="E1563" s="1" t="n">
        <v>46319</v>
      </c>
      <c r="F1563" t="inlineStr">
        <is>
          <t>DALARNAS LÄN</t>
        </is>
      </c>
      <c r="G1563" t="inlineStr">
        <is>
          <t>SÄTER</t>
        </is>
      </c>
      <c r="I1563" t="n">
        <v>1.4</v>
      </c>
      <c r="J1563" t="n">
        <v>1</v>
      </c>
      <c r="K1563" t="n">
        <v>0</v>
      </c>
      <c r="L1563" t="n">
        <v>0</v>
      </c>
      <c r="M1563" t="n">
        <v>0</v>
      </c>
      <c r="N1563" t="n">
        <v>0</v>
      </c>
      <c r="O1563" t="n">
        <v>0</v>
      </c>
      <c r="P1563" t="n">
        <v>0</v>
      </c>
      <c r="Q1563" t="n">
        <v>0</v>
      </c>
      <c r="R1563" t="n">
        <v>0</v>
      </c>
      <c r="S1563" t="n">
        <v>1</v>
      </c>
      <c r="T1563" t="n">
        <v>1</v>
      </c>
      <c r="U1563" t="n">
        <v>0</v>
      </c>
      <c r="V1563" s="2" t="inlineStr">
        <is>
          <t>Mattlummer</t>
        </is>
      </c>
      <c r="W1563">
        <f>HYPERLINK("https://klasma.github.io/Logging_2082/artfynd/A 27715-2023 artfynd.xlsx", "A 27715-2023")</f>
        <v/>
      </c>
      <c r="X1563">
        <f>HYPERLINK("https://klasma.github.io/Logging_2082/kartor/A 27715-2023 karta.png", "A 27715-2023")</f>
        <v/>
      </c>
      <c r="Y1563">
        <f>HYPERLINK("https://klasma.github.io/Logging_2082/kartor_geotiff/A 27715-2023 georefererad karta.tif", "A 27715-2023")</f>
        <v/>
      </c>
      <c r="AA1563">
        <f>HYPERLINK("https://klasma.github.io/Logging_2082/klagomål/A 27715-2023 FSC-klagomål.docx", "A 27715-2023")</f>
        <v/>
      </c>
      <c r="AB1563">
        <f>HYPERLINK("https://klasma.github.io/Logging_2082/klagomålsmail/A 27715-2023 FSC-klagomål mail.docx", "A 27715-2023")</f>
        <v/>
      </c>
      <c r="AC1563">
        <f>HYPERLINK("https://klasma.github.io/Logging_2082/tillsyn/A 27715-2023 tillsynsbegäran.docx", "A 27715-2023")</f>
        <v/>
      </c>
      <c r="AD1563">
        <f>HYPERLINK("https://klasma.github.io/Logging_2082/tillsynsmail/A 27715-2023 tillsynsbegäran mail.docx", "A 27715-2023")</f>
        <v/>
      </c>
    </row>
    <row r="1564" ht="15" customHeight="1">
      <c r="A1564" t="inlineStr">
        <is>
          <t>A 54903-2024</t>
        </is>
      </c>
      <c r="B1564" t="inlineStr">
        <is>
          <t>avverkningsanmälan</t>
        </is>
      </c>
      <c r="C1564" t="inlineStr">
        <is>
          <t>Föryngringsavverkning</t>
        </is>
      </c>
      <c r="D1564" s="1" t="n">
        <v>45618</v>
      </c>
      <c r="E1564" s="1" t="n">
        <v>46319</v>
      </c>
      <c r="F1564" t="inlineStr">
        <is>
          <t>DALARNAS LÄN</t>
        </is>
      </c>
      <c r="G1564" t="inlineStr">
        <is>
          <t>MORA</t>
        </is>
      </c>
      <c r="I1564" t="n">
        <v>28.2</v>
      </c>
      <c r="J1564" t="n">
        <v>0</v>
      </c>
      <c r="K1564" t="n">
        <v>0</v>
      </c>
      <c r="L1564" t="n">
        <v>0</v>
      </c>
      <c r="M1564" t="n">
        <v>1</v>
      </c>
      <c r="N1564" t="n">
        <v>0</v>
      </c>
      <c r="O1564" t="n">
        <v>0</v>
      </c>
      <c r="P1564" t="n">
        <v>0</v>
      </c>
      <c r="Q1564" t="n">
        <v>1</v>
      </c>
      <c r="R1564" t="n">
        <v>1</v>
      </c>
      <c r="S1564" t="n">
        <v>1</v>
      </c>
      <c r="T1564" t="n">
        <v>1</v>
      </c>
      <c r="U1564" t="n">
        <v>0</v>
      </c>
      <c r="V1564" s="2" t="inlineStr">
        <is>
          <t>Igelkott</t>
        </is>
      </c>
      <c r="W1564">
        <f>HYPERLINK("https://klasma.github.io/Logging_2062/artfynd/A 54903-2024 artfynd.xlsx", "A 54903-2024")</f>
        <v/>
      </c>
      <c r="X1564">
        <f>HYPERLINK("https://klasma.github.io/Logging_2062/kartor/A 54903-2024 karta.png", "A 54903-2024")</f>
        <v/>
      </c>
      <c r="Y1564">
        <f>HYPERLINK("https://klasma.github.io/Logging_2062/kartor_geotiff/A 54903-2024 georefererad karta.tif", "A 54903-2024")</f>
        <v/>
      </c>
      <c r="AA1564">
        <f>HYPERLINK("https://klasma.github.io/Logging_2062/klagomål/A 54903-2024 FSC-klagomål.docx", "A 54903-2024")</f>
        <v/>
      </c>
      <c r="AB1564">
        <f>HYPERLINK("https://klasma.github.io/Logging_2062/klagomålsmail/A 54903-2024 FSC-klagomål mail.docx", "A 54903-2024")</f>
        <v/>
      </c>
      <c r="AC1564">
        <f>HYPERLINK("https://klasma.github.io/Logging_2062/tillsyn/A 54903-2024 tillsynsbegäran.docx", "A 54903-2024")</f>
        <v/>
      </c>
      <c r="AD1564">
        <f>HYPERLINK("https://klasma.github.io/Logging_2062/tillsynsmail/A 54903-2024 tillsynsbegäran mail.docx", "A 54903-2024")</f>
        <v/>
      </c>
    </row>
    <row r="1565" ht="15" customHeight="1">
      <c r="A1565" t="inlineStr">
        <is>
          <t>A 45344-2024</t>
        </is>
      </c>
      <c r="B1565" t="inlineStr">
        <is>
          <t>avverkningsanmälan</t>
        </is>
      </c>
      <c r="C1565" t="inlineStr">
        <is>
          <t>Föryngringsavverkning</t>
        </is>
      </c>
      <c r="D1565" s="1" t="n">
        <v>45576</v>
      </c>
      <c r="E1565" s="1" t="n">
        <v>46319</v>
      </c>
      <c r="F1565" t="inlineStr">
        <is>
          <t>DALARNAS LÄN</t>
        </is>
      </c>
      <c r="G1565" t="inlineStr">
        <is>
          <t>MORA</t>
        </is>
      </c>
      <c r="I1565" t="n">
        <v>0.9</v>
      </c>
      <c r="J1565" t="n">
        <v>0</v>
      </c>
      <c r="K1565" t="n">
        <v>0</v>
      </c>
      <c r="L1565" t="n">
        <v>0</v>
      </c>
      <c r="M1565" t="n">
        <v>1</v>
      </c>
      <c r="N1565" t="n">
        <v>0</v>
      </c>
      <c r="O1565" t="n">
        <v>0</v>
      </c>
      <c r="P1565" t="n">
        <v>0</v>
      </c>
      <c r="Q1565" t="n">
        <v>1</v>
      </c>
      <c r="R1565" t="n">
        <v>1</v>
      </c>
      <c r="S1565" t="n">
        <v>1</v>
      </c>
      <c r="T1565" t="n">
        <v>3</v>
      </c>
      <c r="U1565" t="n">
        <v>3</v>
      </c>
      <c r="V1565" s="2" t="inlineStr">
        <is>
          <t>Garnlav</t>
        </is>
      </c>
      <c r="W1565">
        <f>HYPERLINK("https://klasma.github.io/Logging_2062/artfynd/A 45344-2024 artfynd.xlsx", "A 45344-2024")</f>
        <v/>
      </c>
      <c r="X1565">
        <f>HYPERLINK("https://klasma.github.io/Logging_2062/kartor/A 45344-2024 karta.png", "A 45344-2024")</f>
        <v/>
      </c>
      <c r="Y1565">
        <f>HYPERLINK("https://klasma.github.io/Logging_2062/kartor_geotiff/A 45344-2024 georefererad karta.tif", "A 45344-2024")</f>
        <v/>
      </c>
      <c r="AA1565">
        <f>HYPERLINK("https://klasma.github.io/Logging_2062/klagomål/A 45344-2024 FSC-klagomål.docx", "A 45344-2024")</f>
        <v/>
      </c>
      <c r="AB1565">
        <f>HYPERLINK("https://klasma.github.io/Logging_2062/klagomålsmail/A 45344-2024 FSC-klagomål mail.docx", "A 45344-2024")</f>
        <v/>
      </c>
      <c r="AC1565">
        <f>HYPERLINK("https://klasma.github.io/Logging_2062/tillsyn/A 45344-2024 tillsynsbegäran.docx", "A 45344-2024")</f>
        <v/>
      </c>
      <c r="AD1565">
        <f>HYPERLINK("https://klasma.github.io/Logging_2062/tillsynsmail/A 45344-2024 tillsynsbegäran mail.docx", "A 45344-2024")</f>
        <v/>
      </c>
    </row>
    <row r="1566" ht="15" customHeight="1">
      <c r="A1566" t="inlineStr">
        <is>
          <t>S 2756-2020</t>
        </is>
      </c>
      <c r="B1566" t="inlineStr">
        <is>
          <t>samrådsanmälan</t>
        </is>
      </c>
      <c r="C1566" t="inlineStr">
        <is>
          <t>Åtgärd i nyckelbiotop</t>
        </is>
      </c>
      <c r="D1566" s="1" t="n">
        <v>44098</v>
      </c>
      <c r="E1566" s="1" t="n">
        <v>46319</v>
      </c>
      <c r="F1566" t="inlineStr">
        <is>
          <t>DALARNAS LÄN</t>
        </is>
      </c>
      <c r="G1566" t="inlineStr">
        <is>
          <t>RÄTTVIK</t>
        </is>
      </c>
      <c r="I1566" t="n">
        <v>0.8</v>
      </c>
      <c r="J1566" t="n">
        <v>0</v>
      </c>
      <c r="K1566" t="n">
        <v>0</v>
      </c>
      <c r="L1566" t="n">
        <v>1</v>
      </c>
      <c r="M1566" t="n">
        <v>0</v>
      </c>
      <c r="N1566" t="n">
        <v>0</v>
      </c>
      <c r="O1566" t="n">
        <v>0</v>
      </c>
      <c r="P1566" t="n">
        <v>0</v>
      </c>
      <c r="Q1566" t="n">
        <v>1</v>
      </c>
      <c r="R1566" t="n">
        <v>0</v>
      </c>
      <c r="S1566" t="n">
        <v>1</v>
      </c>
      <c r="T1566" t="n">
        <v>1</v>
      </c>
      <c r="U1566" t="n">
        <v>0</v>
      </c>
      <c r="V1566" s="2" t="inlineStr">
        <is>
          <t>Ullticka</t>
        </is>
      </c>
      <c r="W1566">
        <f>HYPERLINK("https://klasma.github.io/Logging_2031/artfynd/S 2756-2020 artfynd.xlsx", "S 2756-2020")</f>
        <v/>
      </c>
      <c r="X1566">
        <f>HYPERLINK("https://klasma.github.io/Logging_2031/kartor/S 2756-2020 karta.png", "S 2756-2020")</f>
        <v/>
      </c>
      <c r="Y1566">
        <f>HYPERLINK("https://klasma.github.io/Logging_2031/kartor_geotiff/S 2756-2020 georefererad karta.tif", "S 2756-2020")</f>
        <v/>
      </c>
      <c r="AA1566">
        <f>HYPERLINK("https://klasma.github.io/Logging_2031/klagomål/S 2756-2020 FSC-klagomål.docx", "S 2756-2020")</f>
        <v/>
      </c>
      <c r="AB1566">
        <f>HYPERLINK("https://klasma.github.io/Logging_2031/klagomålsmail/S 2756-2020 FSC-klagomål mail.docx", "S 2756-2020")</f>
        <v/>
      </c>
      <c r="AC1566">
        <f>HYPERLINK("https://klasma.github.io/Logging_2031/tillsyn/S 2756-2020 tillsynsbegäran.docx", "S 2756-2020")</f>
        <v/>
      </c>
      <c r="AD1566">
        <f>HYPERLINK("https://klasma.github.io/Logging_2031/tillsynsmail/S 2756-2020 tillsynsbegäran mail.docx", "S 2756-2020")</f>
        <v/>
      </c>
    </row>
    <row r="1567" ht="15" customHeight="1">
      <c r="A1567" t="inlineStr">
        <is>
          <t>S 1344-2022</t>
        </is>
      </c>
      <c r="B1567" t="inlineStr">
        <is>
          <t>samrådsanmälan</t>
        </is>
      </c>
      <c r="C1567" t="inlineStr">
        <is>
          <t>Annan skogsbruksåtgärd</t>
        </is>
      </c>
      <c r="D1567" s="1" t="n">
        <v>44629</v>
      </c>
      <c r="E1567" s="1" t="n">
        <v>46319</v>
      </c>
      <c r="F1567" t="inlineStr">
        <is>
          <t>DALARNAS LÄN</t>
        </is>
      </c>
      <c r="G1567" t="inlineStr">
        <is>
          <t>ÄLVDALEN</t>
        </is>
      </c>
      <c r="H1567" t="inlineStr">
        <is>
          <t>Kommuner</t>
        </is>
      </c>
      <c r="I1567" t="n">
        <v>13.4</v>
      </c>
      <c r="J1567" t="n">
        <v>1</v>
      </c>
      <c r="K1567" t="n">
        <v>0</v>
      </c>
      <c r="L1567" t="n">
        <v>0</v>
      </c>
      <c r="M1567" t="n">
        <v>0</v>
      </c>
      <c r="N1567" t="n">
        <v>0</v>
      </c>
      <c r="O1567" t="n">
        <v>0</v>
      </c>
      <c r="P1567" t="n">
        <v>0</v>
      </c>
      <c r="Q1567" t="n">
        <v>0</v>
      </c>
      <c r="R1567" t="n">
        <v>0</v>
      </c>
      <c r="S1567" t="n">
        <v>1</v>
      </c>
      <c r="T1567" t="n">
        <v>1</v>
      </c>
      <c r="U1567" t="n">
        <v>0</v>
      </c>
      <c r="V1567" s="2" t="inlineStr">
        <is>
          <t>Tjäder</t>
        </is>
      </c>
      <c r="W1567">
        <f>HYPERLINK("https://klasma.github.io/Logging_2039/artfynd/S 1344-2022 artfynd.xlsx", "S 1344-2022")</f>
        <v/>
      </c>
      <c r="X1567">
        <f>HYPERLINK("https://klasma.github.io/Logging_2039/kartor/S 1344-2022 karta.png", "S 1344-2022")</f>
        <v/>
      </c>
      <c r="Y1567">
        <f>HYPERLINK("https://klasma.github.io/Logging_2039/kartor_geotiff/S 1344-2022 georefererad karta.tif", "S 1344-2022")</f>
        <v/>
      </c>
      <c r="AA1567">
        <f>HYPERLINK("https://klasma.github.io/Logging_2039/klagomål/S 1344-2022 FSC-klagomål.docx", "S 1344-2022")</f>
        <v/>
      </c>
      <c r="AB1567">
        <f>HYPERLINK("https://klasma.github.io/Logging_2039/klagomålsmail/S 1344-2022 FSC-klagomål mail.docx", "S 1344-2022")</f>
        <v/>
      </c>
      <c r="AC1567">
        <f>HYPERLINK("https://klasma.github.io/Logging_2039/tillsyn/S 1344-2022 tillsynsbegäran.docx", "S 1344-2022")</f>
        <v/>
      </c>
      <c r="AD1567">
        <f>HYPERLINK("https://klasma.github.io/Logging_2039/tillsynsmail/S 1344-2022 tillsynsbegäran mail.docx", "S 1344-2022")</f>
        <v/>
      </c>
      <c r="AE1567">
        <f>HYPERLINK("https://klasma.github.io/Logging_2039/fåglar/S 1344-2022 prioriterade fågelarter.docx", "S 1344-2022")</f>
        <v/>
      </c>
    </row>
    <row r="1568" ht="15" customHeight="1">
      <c r="A1568" t="inlineStr">
        <is>
          <t>S 2476-2022</t>
        </is>
      </c>
      <c r="B1568" t="inlineStr">
        <is>
          <t>samrådsanmälan</t>
        </is>
      </c>
      <c r="C1568" t="inlineStr">
        <is>
          <t>Skogsgödsling</t>
        </is>
      </c>
      <c r="D1568" s="1" t="n">
        <v>44692</v>
      </c>
      <c r="E1568" s="1" t="n">
        <v>46319</v>
      </c>
      <c r="F1568" t="inlineStr">
        <is>
          <t>DALARNAS LÄN</t>
        </is>
      </c>
      <c r="G1568" t="inlineStr">
        <is>
          <t>ÄLVDALEN</t>
        </is>
      </c>
      <c r="H1568" t="inlineStr">
        <is>
          <t>Allmännings- och besparingsskogar</t>
        </is>
      </c>
      <c r="I1568" t="n">
        <v>83.59999999999999</v>
      </c>
      <c r="J1568" t="n">
        <v>0</v>
      </c>
      <c r="K1568" t="n">
        <v>0</v>
      </c>
      <c r="L1568" t="n">
        <v>0</v>
      </c>
      <c r="M1568" t="n">
        <v>0</v>
      </c>
      <c r="N1568" t="n">
        <v>1</v>
      </c>
      <c r="O1568" t="n">
        <v>0</v>
      </c>
      <c r="P1568" t="n">
        <v>0</v>
      </c>
      <c r="Q1568" t="n">
        <v>1</v>
      </c>
      <c r="R1568" t="n">
        <v>1</v>
      </c>
      <c r="S1568" t="n">
        <v>1</v>
      </c>
      <c r="T1568" t="n">
        <v>1</v>
      </c>
      <c r="U1568" t="n">
        <v>1</v>
      </c>
      <c r="V1568" s="2" t="inlineStr">
        <is>
          <t>Trådbrosklav</t>
        </is>
      </c>
      <c r="W1568">
        <f>HYPERLINK("https://klasma.github.io/Logging_2039/artfynd/S 2476-2022 artfynd.xlsx", "S 2476-2022")</f>
        <v/>
      </c>
      <c r="X1568">
        <f>HYPERLINK("https://klasma.github.io/Logging_2039/kartor/S 2476-2022 karta.png", "S 2476-2022")</f>
        <v/>
      </c>
      <c r="Y1568">
        <f>HYPERLINK("https://klasma.github.io/Logging_2039/kartor_geotiff/S 2476-2022 georefererad karta.tif", "S 2476-2022")</f>
        <v/>
      </c>
      <c r="AA1568">
        <f>HYPERLINK("https://klasma.github.io/Logging_2039/klagomål/S 2476-2022 FSC-klagomål.docx", "S 2476-2022")</f>
        <v/>
      </c>
      <c r="AB1568">
        <f>HYPERLINK("https://klasma.github.io/Logging_2039/klagomålsmail/S 2476-2022 FSC-klagomål mail.docx", "S 2476-2022")</f>
        <v/>
      </c>
      <c r="AC1568">
        <f>HYPERLINK("https://klasma.github.io/Logging_2039/tillsyn/S 2476-2022 tillsynsbegäran.docx", "S 2476-2022")</f>
        <v/>
      </c>
      <c r="AD1568">
        <f>HYPERLINK("https://klasma.github.io/Logging_2039/tillsynsmail/S 2476-2022 tillsynsbegäran mail.docx", "S 2476-2022")</f>
        <v/>
      </c>
    </row>
    <row r="1569" ht="15" customHeight="1">
      <c r="A1569" t="inlineStr">
        <is>
          <t>S 1501-2022</t>
        </is>
      </c>
      <c r="B1569" t="inlineStr">
        <is>
          <t>samrådsanmälan</t>
        </is>
      </c>
      <c r="C1569" t="inlineStr">
        <is>
          <t>Skogsgödsling</t>
        </is>
      </c>
      <c r="D1569" s="1" t="n">
        <v>44637</v>
      </c>
      <c r="E1569" s="1" t="n">
        <v>46319</v>
      </c>
      <c r="F1569" t="inlineStr">
        <is>
          <t>DALARNAS LÄN</t>
        </is>
      </c>
      <c r="G1569" t="inlineStr">
        <is>
          <t>MALUNG-SÄLEN</t>
        </is>
      </c>
      <c r="H1569" t="inlineStr">
        <is>
          <t>Bergvik skog öst AB</t>
        </is>
      </c>
      <c r="I1569" t="n">
        <v>301.1</v>
      </c>
      <c r="J1569" t="n">
        <v>0</v>
      </c>
      <c r="K1569" t="n">
        <v>1</v>
      </c>
      <c r="L1569" t="n">
        <v>0</v>
      </c>
      <c r="M1569" t="n">
        <v>0</v>
      </c>
      <c r="N1569" t="n">
        <v>0</v>
      </c>
      <c r="O1569" t="n">
        <v>0</v>
      </c>
      <c r="P1569" t="n">
        <v>0</v>
      </c>
      <c r="Q1569" t="n">
        <v>0</v>
      </c>
      <c r="R1569" t="n">
        <v>0</v>
      </c>
      <c r="S1569" t="n">
        <v>1</v>
      </c>
      <c r="T1569" t="n">
        <v>1</v>
      </c>
      <c r="U1569" t="n">
        <v>1</v>
      </c>
      <c r="V1569" s="2" t="inlineStr">
        <is>
          <t>Kransrams</t>
        </is>
      </c>
      <c r="W1569">
        <f>HYPERLINK("https://klasma.github.io/Logging_2023/artfynd/S 1501-2022 artfynd.xlsx", "S 1501-2022")</f>
        <v/>
      </c>
      <c r="X1569">
        <f>HYPERLINK("https://klasma.github.io/Logging_2023/kartor/S 1501-2022 karta.png", "S 1501-2022")</f>
        <v/>
      </c>
      <c r="Y1569">
        <f>HYPERLINK("https://klasma.github.io/Logging_2023/kartor_geotiff/S 1501-2022 georefererad karta.tif", "S 1501-2022")</f>
        <v/>
      </c>
      <c r="AA1569">
        <f>HYPERLINK("https://klasma.github.io/Logging_2023/klagomål/S 1501-2022 FSC-klagomål.docx", "S 1501-2022")</f>
        <v/>
      </c>
      <c r="AB1569">
        <f>HYPERLINK("https://klasma.github.io/Logging_2023/klagomålsmail/S 1501-2022 FSC-klagomål mail.docx", "S 1501-2022")</f>
        <v/>
      </c>
      <c r="AC1569">
        <f>HYPERLINK("https://klasma.github.io/Logging_2023/tillsyn/S 1501-2022 tillsynsbegäran.docx", "S 1501-2022")</f>
        <v/>
      </c>
      <c r="AD1569">
        <f>HYPERLINK("https://klasma.github.io/Logging_2023/tillsynsmail/S 1501-2022 tillsynsbegäran mail.docx", "S 1501-2022")</f>
        <v/>
      </c>
    </row>
    <row r="1570" ht="15" customHeight="1">
      <c r="A1570" t="inlineStr">
        <is>
          <t>S 705-2022</t>
        </is>
      </c>
      <c r="B1570" t="inlineStr">
        <is>
          <t>samrådsanmälan</t>
        </is>
      </c>
      <c r="C1570" t="inlineStr">
        <is>
          <t>Annan skogsbruksåtgärd</t>
        </is>
      </c>
      <c r="D1570" s="1" t="n">
        <v>44599</v>
      </c>
      <c r="E1570" s="1" t="n">
        <v>46319</v>
      </c>
      <c r="F1570" t="inlineStr">
        <is>
          <t>DALARNAS LÄN</t>
        </is>
      </c>
      <c r="G1570" t="inlineStr">
        <is>
          <t>BORLÄNGE</t>
        </is>
      </c>
      <c r="I1570" t="n">
        <v>3.1</v>
      </c>
      <c r="J1570" t="n">
        <v>1</v>
      </c>
      <c r="K1570" t="n">
        <v>0</v>
      </c>
      <c r="L1570" t="n">
        <v>0</v>
      </c>
      <c r="M1570" t="n">
        <v>0</v>
      </c>
      <c r="N1570" t="n">
        <v>0</v>
      </c>
      <c r="O1570" t="n">
        <v>0</v>
      </c>
      <c r="P1570" t="n">
        <v>0</v>
      </c>
      <c r="Q1570" t="n">
        <v>0</v>
      </c>
      <c r="R1570" t="n">
        <v>0</v>
      </c>
      <c r="S1570" t="n">
        <v>1</v>
      </c>
      <c r="T1570" t="n">
        <v>1</v>
      </c>
      <c r="U1570" t="n">
        <v>1</v>
      </c>
      <c r="V1570" s="2" t="inlineStr">
        <is>
          <t>Fläcknycklar</t>
        </is>
      </c>
      <c r="W1570">
        <f>HYPERLINK("https://klasma.github.io/Logging_2081/artfynd/S 705-2022 artfynd.xlsx", "S 705-2022")</f>
        <v/>
      </c>
      <c r="X1570">
        <f>HYPERLINK("https://klasma.github.io/Logging_2081/kartor/S 705-2022 karta.png", "S 705-2022")</f>
        <v/>
      </c>
      <c r="Y1570">
        <f>HYPERLINK("https://klasma.github.io/Logging_2081/kartor_geotiff/S 705-2022 georefererad karta.tif", "S 705-2022")</f>
        <v/>
      </c>
      <c r="AA1570">
        <f>HYPERLINK("https://klasma.github.io/Logging_2081/klagomål/S 705-2022 FSC-klagomål.docx", "S 705-2022")</f>
        <v/>
      </c>
      <c r="AB1570">
        <f>HYPERLINK("https://klasma.github.io/Logging_2081/klagomålsmail/S 705-2022 FSC-klagomål mail.docx", "S 705-2022")</f>
        <v/>
      </c>
      <c r="AC1570">
        <f>HYPERLINK("https://klasma.github.io/Logging_2081/tillsyn/S 705-2022 tillsynsbegäran.docx", "S 705-2022")</f>
        <v/>
      </c>
      <c r="AD1570">
        <f>HYPERLINK("https://klasma.github.io/Logging_2081/tillsynsmail/S 705-2022 tillsynsbegäran mail.docx", "S 705-2022")</f>
        <v/>
      </c>
    </row>
    <row r="1571" ht="15" customHeight="1">
      <c r="A1571" t="inlineStr">
        <is>
          <t>S 10370-2021</t>
        </is>
      </c>
      <c r="B1571" t="inlineStr">
        <is>
          <t>samrådsanmälan</t>
        </is>
      </c>
      <c r="C1571" t="inlineStr">
        <is>
          <t>Skogsgödsling</t>
        </is>
      </c>
      <c r="D1571" s="1" t="n">
        <v>44550</v>
      </c>
      <c r="E1571" s="1" t="n">
        <v>46319</v>
      </c>
      <c r="F1571" t="inlineStr">
        <is>
          <t>DALARNAS LÄN</t>
        </is>
      </c>
      <c r="G1571" t="inlineStr">
        <is>
          <t>HEDEMORA</t>
        </is>
      </c>
      <c r="H1571" t="inlineStr">
        <is>
          <t>Sveaskog</t>
        </is>
      </c>
      <c r="I1571" t="n">
        <v>15.7</v>
      </c>
      <c r="J1571" t="n">
        <v>1</v>
      </c>
      <c r="K1571" t="n">
        <v>0</v>
      </c>
      <c r="L1571" t="n">
        <v>0</v>
      </c>
      <c r="M1571" t="n">
        <v>0</v>
      </c>
      <c r="N1571" t="n">
        <v>0</v>
      </c>
      <c r="O1571" t="n">
        <v>0</v>
      </c>
      <c r="P1571" t="n">
        <v>0</v>
      </c>
      <c r="Q1571" t="n">
        <v>0</v>
      </c>
      <c r="R1571" t="n">
        <v>0</v>
      </c>
      <c r="S1571" t="n">
        <v>1</v>
      </c>
      <c r="T1571" t="n">
        <v>1</v>
      </c>
      <c r="U1571" t="n">
        <v>1</v>
      </c>
      <c r="V1571" s="2" t="inlineStr">
        <is>
          <t>Mattlummer</t>
        </is>
      </c>
      <c r="W1571">
        <f>HYPERLINK("https://klasma.github.io/Logging_2083/artfynd/S 10370-2021 artfynd.xlsx", "S 10370-2021")</f>
        <v/>
      </c>
      <c r="X1571">
        <f>HYPERLINK("https://klasma.github.io/Logging_2083/kartor/S 10370-2021 karta.png", "S 10370-2021")</f>
        <v/>
      </c>
      <c r="Y1571">
        <f>HYPERLINK("https://klasma.github.io/Logging_2083/kartor_geotiff/S 10370-2021 georefererad karta.tif", "S 10370-2021")</f>
        <v/>
      </c>
      <c r="AA1571">
        <f>HYPERLINK("https://klasma.github.io/Logging_2083/klagomål/S 10370-2021 FSC-klagomål.docx", "S 10370-2021")</f>
        <v/>
      </c>
      <c r="AB1571">
        <f>HYPERLINK("https://klasma.github.io/Logging_2083/klagomålsmail/S 10370-2021 FSC-klagomål mail.docx", "S 10370-2021")</f>
        <v/>
      </c>
      <c r="AC1571">
        <f>HYPERLINK("https://klasma.github.io/Logging_2083/tillsyn/S 10370-2021 tillsynsbegäran.docx", "S 10370-2021")</f>
        <v/>
      </c>
      <c r="AD1571">
        <f>HYPERLINK("https://klasma.github.io/Logging_2083/tillsynsmail/S 10370-2021 tillsynsbegäran mail.docx", "S 10370-2021")</f>
        <v/>
      </c>
    </row>
    <row r="1572" ht="15" customHeight="1">
      <c r="A1572" t="inlineStr">
        <is>
          <t>S 268-2022</t>
        </is>
      </c>
      <c r="B1572" t="inlineStr">
        <is>
          <t>samrådsanmälan</t>
        </is>
      </c>
      <c r="C1572" t="inlineStr">
        <is>
          <t>Annan skogsbruksåtgärd</t>
        </is>
      </c>
      <c r="D1572" s="1" t="n">
        <v>44575</v>
      </c>
      <c r="E1572" s="1" t="n">
        <v>46319</v>
      </c>
      <c r="F1572" t="inlineStr">
        <is>
          <t>DALARNAS LÄN</t>
        </is>
      </c>
      <c r="G1572" t="inlineStr">
        <is>
          <t>ÄLVDALEN</t>
        </is>
      </c>
      <c r="H1572" t="inlineStr">
        <is>
          <t>Kommuner</t>
        </is>
      </c>
      <c r="I1572" t="n">
        <v>13.4</v>
      </c>
      <c r="J1572" t="n">
        <v>1</v>
      </c>
      <c r="K1572" t="n">
        <v>0</v>
      </c>
      <c r="L1572" t="n">
        <v>0</v>
      </c>
      <c r="M1572" t="n">
        <v>0</v>
      </c>
      <c r="N1572" t="n">
        <v>0</v>
      </c>
      <c r="O1572" t="n">
        <v>0</v>
      </c>
      <c r="P1572" t="n">
        <v>0</v>
      </c>
      <c r="Q1572" t="n">
        <v>0</v>
      </c>
      <c r="R1572" t="n">
        <v>0</v>
      </c>
      <c r="S1572" t="n">
        <v>1</v>
      </c>
      <c r="T1572" t="n">
        <v>1</v>
      </c>
      <c r="U1572" t="n">
        <v>0</v>
      </c>
      <c r="V1572" s="2" t="inlineStr">
        <is>
          <t>Tjäder</t>
        </is>
      </c>
      <c r="W1572">
        <f>HYPERLINK("https://klasma.github.io/Logging_2039/artfynd/S 268-2022 artfynd.xlsx", "S 268-2022")</f>
        <v/>
      </c>
      <c r="X1572">
        <f>HYPERLINK("https://klasma.github.io/Logging_2039/kartor/S 268-2022 karta.png", "S 268-2022")</f>
        <v/>
      </c>
      <c r="Y1572">
        <f>HYPERLINK("https://klasma.github.io/Logging_2039/kartor_geotiff/S 268-2022 georefererad karta.tif", "S 268-2022")</f>
        <v/>
      </c>
      <c r="AA1572">
        <f>HYPERLINK("https://klasma.github.io/Logging_2039/klagomål/S 268-2022 FSC-klagomål.docx", "S 268-2022")</f>
        <v/>
      </c>
      <c r="AB1572">
        <f>HYPERLINK("https://klasma.github.io/Logging_2039/klagomålsmail/S 268-2022 FSC-klagomål mail.docx", "S 268-2022")</f>
        <v/>
      </c>
      <c r="AC1572">
        <f>HYPERLINK("https://klasma.github.io/Logging_2039/tillsyn/S 268-2022 tillsynsbegäran.docx", "S 268-2022")</f>
        <v/>
      </c>
      <c r="AD1572">
        <f>HYPERLINK("https://klasma.github.io/Logging_2039/tillsynsmail/S 268-2022 tillsynsbegäran mail.docx", "S 268-2022")</f>
        <v/>
      </c>
      <c r="AE1572">
        <f>HYPERLINK("https://klasma.github.io/Logging_2039/fåglar/S 268-2022 prioriterade fågelarter.docx", "S 268-2022")</f>
        <v/>
      </c>
    </row>
    <row r="1573" ht="15" customHeight="1">
      <c r="A1573" t="inlineStr">
        <is>
          <t>S 2438-2022</t>
        </is>
      </c>
      <c r="B1573" t="inlineStr">
        <is>
          <t>samrådsanmälan</t>
        </is>
      </c>
      <c r="C1573" t="inlineStr">
        <is>
          <t>Annan skogsbruksåtgärd</t>
        </is>
      </c>
      <c r="D1573" s="1" t="n">
        <v>44691</v>
      </c>
      <c r="E1573" s="1" t="n">
        <v>46319</v>
      </c>
      <c r="F1573" t="inlineStr">
        <is>
          <t>DALARNAS LÄN</t>
        </is>
      </c>
      <c r="G1573" t="inlineStr">
        <is>
          <t>GAGNEF</t>
        </is>
      </c>
      <c r="I1573" t="n">
        <v>2.3</v>
      </c>
      <c r="J1573" t="n">
        <v>1</v>
      </c>
      <c r="K1573" t="n">
        <v>0</v>
      </c>
      <c r="L1573" t="n">
        <v>1</v>
      </c>
      <c r="M1573" t="n">
        <v>0</v>
      </c>
      <c r="N1573" t="n">
        <v>0</v>
      </c>
      <c r="O1573" t="n">
        <v>0</v>
      </c>
      <c r="P1573" t="n">
        <v>0</v>
      </c>
      <c r="Q1573" t="n">
        <v>1</v>
      </c>
      <c r="R1573" t="n">
        <v>0</v>
      </c>
      <c r="S1573" t="n">
        <v>1</v>
      </c>
      <c r="T1573" t="n">
        <v>2</v>
      </c>
      <c r="U1573" t="n">
        <v>2</v>
      </c>
      <c r="V1573" s="2" t="inlineStr">
        <is>
          <t>Rödvingetrast</t>
        </is>
      </c>
      <c r="W1573">
        <f>HYPERLINK("https://klasma.github.io/Logging_2026/artfynd/S 2438-2022 artfynd.xlsx", "S 2438-2022")</f>
        <v/>
      </c>
      <c r="X1573">
        <f>HYPERLINK("https://klasma.github.io/Logging_2026/kartor/S 2438-2022 karta.png", "S 2438-2022")</f>
        <v/>
      </c>
      <c r="Y1573">
        <f>HYPERLINK("https://klasma.github.io/Logging_2026/kartor_geotiff/S 2438-2022 georefererad karta.tif", "S 2438-2022")</f>
        <v/>
      </c>
      <c r="AA1573">
        <f>HYPERLINK("https://klasma.github.io/Logging_2026/klagomål/S 2438-2022 FSC-klagomål.docx", "S 2438-2022")</f>
        <v/>
      </c>
      <c r="AB1573">
        <f>HYPERLINK("https://klasma.github.io/Logging_2026/klagomålsmail/S 2438-2022 FSC-klagomål mail.docx", "S 2438-2022")</f>
        <v/>
      </c>
      <c r="AC1573">
        <f>HYPERLINK("https://klasma.github.io/Logging_2026/tillsyn/S 2438-2022 tillsynsbegäran.docx", "S 2438-2022")</f>
        <v/>
      </c>
      <c r="AD1573">
        <f>HYPERLINK("https://klasma.github.io/Logging_2026/tillsynsmail/S 2438-2022 tillsynsbegäran mail.docx", "S 2438-2022")</f>
        <v/>
      </c>
      <c r="AE1573">
        <f>HYPERLINK("https://klasma.github.io/Logging_2026/fåglar/S 2438-2022 prioriterade fågelarter.docx", "S 2438-2022")</f>
        <v/>
      </c>
    </row>
    <row r="1574" ht="15" customHeight="1">
      <c r="A1574" t="inlineStr">
        <is>
          <t>S 408-2022</t>
        </is>
      </c>
      <c r="B1574" t="inlineStr">
        <is>
          <t>samrådsanmälan</t>
        </is>
      </c>
      <c r="C1574" t="inlineStr">
        <is>
          <t>Skogsgödsling</t>
        </is>
      </c>
      <c r="D1574" s="1" t="n">
        <v>44585</v>
      </c>
      <c r="E1574" s="1" t="n">
        <v>46319</v>
      </c>
      <c r="F1574" t="inlineStr">
        <is>
          <t>DALARNAS LÄN</t>
        </is>
      </c>
      <c r="G1574" t="inlineStr">
        <is>
          <t>SMEDJEBACKEN</t>
        </is>
      </c>
      <c r="H1574" t="inlineStr">
        <is>
          <t>Bergvik skog väst AB</t>
        </is>
      </c>
      <c r="I1574" t="n">
        <v>138.9</v>
      </c>
      <c r="J1574" t="n">
        <v>1</v>
      </c>
      <c r="K1574" t="n">
        <v>0</v>
      </c>
      <c r="L1574" t="n">
        <v>1</v>
      </c>
      <c r="M1574" t="n">
        <v>0</v>
      </c>
      <c r="N1574" t="n">
        <v>0</v>
      </c>
      <c r="O1574" t="n">
        <v>0</v>
      </c>
      <c r="P1574" t="n">
        <v>0</v>
      </c>
      <c r="Q1574" t="n">
        <v>1</v>
      </c>
      <c r="R1574" t="n">
        <v>0</v>
      </c>
      <c r="S1574" t="n">
        <v>1</v>
      </c>
      <c r="T1574" t="n">
        <v>1</v>
      </c>
      <c r="U1574" t="n">
        <v>1</v>
      </c>
      <c r="V1574" s="2" t="inlineStr">
        <is>
          <t>Kungsörn</t>
        </is>
      </c>
      <c r="W1574">
        <f>HYPERLINK("https://klasma.github.io/Logging_2061/artfynd/S 408-2022 artfynd.xlsx", "S 408-2022")</f>
        <v/>
      </c>
      <c r="X1574">
        <f>HYPERLINK("https://klasma.github.io/Logging_2061/kartor/S 408-2022 karta.png", "S 408-2022")</f>
        <v/>
      </c>
      <c r="Y1574">
        <f>HYPERLINK("https://klasma.github.io/Logging_2061/kartor_geotiff/S 408-2022 georefererad karta.tif", "S 408-2022")</f>
        <v/>
      </c>
      <c r="AA1574">
        <f>HYPERLINK("https://klasma.github.io/Logging_2061/klagomål/S 408-2022 FSC-klagomål.docx", "S 408-2022")</f>
        <v/>
      </c>
      <c r="AB1574">
        <f>HYPERLINK("https://klasma.github.io/Logging_2061/klagomålsmail/S 408-2022 FSC-klagomål mail.docx", "S 408-2022")</f>
        <v/>
      </c>
      <c r="AC1574">
        <f>HYPERLINK("https://klasma.github.io/Logging_2061/tillsyn/S 408-2022 tillsynsbegäran.docx", "S 408-2022")</f>
        <v/>
      </c>
      <c r="AD1574">
        <f>HYPERLINK("https://klasma.github.io/Logging_2061/tillsynsmail/S 408-2022 tillsynsbegäran mail.docx", "S 408-2022")</f>
        <v/>
      </c>
      <c r="AE1574">
        <f>HYPERLINK("https://klasma.github.io/Logging_2061/fåglar/S 408-2022 prioriterade fågelarter.docx", "S 408-2022")</f>
        <v/>
      </c>
    </row>
    <row r="1575" ht="15" customHeight="1">
      <c r="A1575" t="inlineStr">
        <is>
          <t>S 4834-2022</t>
        </is>
      </c>
      <c r="B1575" t="inlineStr">
        <is>
          <t>samrådsanmälan</t>
        </is>
      </c>
      <c r="C1575" t="inlineStr">
        <is>
          <t>Annan skogsbruksåtgärd</t>
        </is>
      </c>
      <c r="D1575" s="1" t="n">
        <v>44804</v>
      </c>
      <c r="E1575" s="1" t="n">
        <v>46319</v>
      </c>
      <c r="F1575" t="inlineStr">
        <is>
          <t>DALARNAS LÄN</t>
        </is>
      </c>
      <c r="G1575" t="inlineStr">
        <is>
          <t>SÄTER</t>
        </is>
      </c>
      <c r="I1575" t="n">
        <v>0.5</v>
      </c>
      <c r="J1575" t="n">
        <v>1</v>
      </c>
      <c r="K1575" t="n">
        <v>0</v>
      </c>
      <c r="L1575" t="n">
        <v>0</v>
      </c>
      <c r="M1575" t="n">
        <v>1</v>
      </c>
      <c r="N1575" t="n">
        <v>0</v>
      </c>
      <c r="O1575" t="n">
        <v>0</v>
      </c>
      <c r="P1575" t="n">
        <v>0</v>
      </c>
      <c r="Q1575" t="n">
        <v>1</v>
      </c>
      <c r="R1575" t="n">
        <v>1</v>
      </c>
      <c r="S1575" t="n">
        <v>1</v>
      </c>
      <c r="T1575" t="n">
        <v>3</v>
      </c>
      <c r="U1575" t="n">
        <v>0</v>
      </c>
      <c r="V1575" s="2" t="inlineStr">
        <is>
          <t>Knärot</t>
        </is>
      </c>
      <c r="W1575">
        <f>HYPERLINK("https://klasma.github.io/Logging_2082/artfynd/S 4834-2022 artfynd.xlsx", "S 4834-2022")</f>
        <v/>
      </c>
      <c r="X1575">
        <f>HYPERLINK("https://klasma.github.io/Logging_2082/kartor/S 4834-2022 karta.png", "S 4834-2022")</f>
        <v/>
      </c>
      <c r="Y1575">
        <f>HYPERLINK("https://klasma.github.io/Logging_2082/kartor_geotiff/S 4834-2022 georefererad karta.tif", "S 4834-2022")</f>
        <v/>
      </c>
      <c r="Z1575">
        <f>HYPERLINK("https://klasma.github.io/Logging_2082/knärot/S 4834-2022 karta knärot.png", "S 4834-2022")</f>
        <v/>
      </c>
      <c r="AA1575">
        <f>HYPERLINK("https://klasma.github.io/Logging_2082/klagomål/S 4834-2022 FSC-klagomål.docx", "S 4834-2022")</f>
        <v/>
      </c>
      <c r="AB1575">
        <f>HYPERLINK("https://klasma.github.io/Logging_2082/klagomålsmail/S 4834-2022 FSC-klagomål mail.docx", "S 4834-2022")</f>
        <v/>
      </c>
      <c r="AC1575">
        <f>HYPERLINK("https://klasma.github.io/Logging_2082/tillsyn/S 4834-2022 tillsynsbegäran.docx", "S 4834-2022")</f>
        <v/>
      </c>
      <c r="AD1575">
        <f>HYPERLINK("https://klasma.github.io/Logging_2082/tillsynsmail/S 4834-2022 tillsynsbegäran mail.docx", "S 4834-2022")</f>
        <v/>
      </c>
    </row>
    <row r="1576" ht="15" customHeight="1">
      <c r="A1576" t="inlineStr">
        <is>
          <t>S 2959-2023</t>
        </is>
      </c>
      <c r="B1576" t="inlineStr">
        <is>
          <t>samrådsanmälan</t>
        </is>
      </c>
      <c r="C1576" t="inlineStr">
        <is>
          <t>Askåterföring</t>
        </is>
      </c>
      <c r="D1576" s="1" t="n">
        <v>45173</v>
      </c>
      <c r="E1576" s="1" t="n">
        <v>46319</v>
      </c>
      <c r="F1576" t="inlineStr">
        <is>
          <t>DALARNAS LÄN</t>
        </is>
      </c>
      <c r="G1576" t="inlineStr">
        <is>
          <t>BORLÄNGE</t>
        </is>
      </c>
      <c r="I1576" t="n">
        <v>7.8</v>
      </c>
      <c r="J1576" t="n">
        <v>0</v>
      </c>
      <c r="K1576" t="n">
        <v>0</v>
      </c>
      <c r="L1576" t="n">
        <v>1</v>
      </c>
      <c r="M1576" t="n">
        <v>0</v>
      </c>
      <c r="N1576" t="n">
        <v>0</v>
      </c>
      <c r="O1576" t="n">
        <v>0</v>
      </c>
      <c r="P1576" t="n">
        <v>0</v>
      </c>
      <c r="Q1576" t="n">
        <v>1</v>
      </c>
      <c r="R1576" t="n">
        <v>0</v>
      </c>
      <c r="S1576" t="n">
        <v>1</v>
      </c>
      <c r="T1576" t="n">
        <v>1</v>
      </c>
      <c r="U1576" t="n">
        <v>1</v>
      </c>
      <c r="V1576" s="2" t="inlineStr">
        <is>
          <t>Ullticka</t>
        </is>
      </c>
      <c r="W1576">
        <f>HYPERLINK("https://klasma.github.io/Logging_2081/artfynd/S 2959-2023 artfynd.xlsx", "S 2959-2023")</f>
        <v/>
      </c>
      <c r="X1576">
        <f>HYPERLINK("https://klasma.github.io/Logging_2081/kartor/S 2959-2023 karta.png", "S 2959-2023")</f>
        <v/>
      </c>
      <c r="Y1576">
        <f>HYPERLINK("https://klasma.github.io/Logging_2081/kartor_geotiff/S 2959-2023 georefererad karta.tif", "S 2959-2023")</f>
        <v/>
      </c>
      <c r="AA1576">
        <f>HYPERLINK("https://klasma.github.io/Logging_2081/klagomål/S 2959-2023 FSC-klagomål.docx", "S 2959-2023")</f>
        <v/>
      </c>
      <c r="AB1576">
        <f>HYPERLINK("https://klasma.github.io/Logging_2081/klagomålsmail/S 2959-2023 FSC-klagomål mail.docx", "S 2959-2023")</f>
        <v/>
      </c>
      <c r="AC1576">
        <f>HYPERLINK("https://klasma.github.io/Logging_2081/tillsyn/S 2959-2023 tillsynsbegäran.docx", "S 2959-2023")</f>
        <v/>
      </c>
      <c r="AD1576">
        <f>HYPERLINK("https://klasma.github.io/Logging_2081/tillsynsmail/S 2959-2023 tillsynsbegäran mail.docx", "S 2959-2023")</f>
        <v/>
      </c>
    </row>
    <row r="1577" ht="15" customHeight="1">
      <c r="A1577" t="inlineStr">
        <is>
          <t>S 4367-2023</t>
        </is>
      </c>
      <c r="B1577" t="inlineStr">
        <is>
          <t>samrådsanmälan</t>
        </is>
      </c>
      <c r="C1577" t="inlineStr">
        <is>
          <t>Annan skogsbruksåtgärd</t>
        </is>
      </c>
      <c r="D1577" s="1" t="n">
        <v>45264</v>
      </c>
      <c r="E1577" s="1" t="n">
        <v>46319</v>
      </c>
      <c r="F1577" t="inlineStr">
        <is>
          <t>DALARNAS LÄN</t>
        </is>
      </c>
      <c r="G1577" t="inlineStr">
        <is>
          <t>MORA</t>
        </is>
      </c>
      <c r="H1577" t="inlineStr">
        <is>
          <t>Allmännings- och besparingsskogar</t>
        </is>
      </c>
      <c r="I1577" t="n">
        <v>0.8</v>
      </c>
      <c r="J1577" t="n">
        <v>1</v>
      </c>
      <c r="K1577" t="n">
        <v>0</v>
      </c>
      <c r="L1577" t="n">
        <v>0</v>
      </c>
      <c r="M1577" t="n">
        <v>0</v>
      </c>
      <c r="N1577" t="n">
        <v>0</v>
      </c>
      <c r="O1577" t="n">
        <v>0</v>
      </c>
      <c r="P1577" t="n">
        <v>0</v>
      </c>
      <c r="Q1577" t="n">
        <v>0</v>
      </c>
      <c r="R1577" t="n">
        <v>0</v>
      </c>
      <c r="S1577" t="n">
        <v>1</v>
      </c>
      <c r="T1577" t="n">
        <v>1</v>
      </c>
      <c r="U1577" t="n">
        <v>1</v>
      </c>
      <c r="V1577" s="2" t="inlineStr">
        <is>
          <t>Orre</t>
        </is>
      </c>
      <c r="W1577">
        <f>HYPERLINK("https://klasma.github.io/Logging_2062/artfynd/S 4367-2023 artfynd.xlsx", "S 4367-2023")</f>
        <v/>
      </c>
      <c r="X1577">
        <f>HYPERLINK("https://klasma.github.io/Logging_2062/kartor/S 4367-2023 karta.png", "S 4367-2023")</f>
        <v/>
      </c>
      <c r="Y1577">
        <f>HYPERLINK("https://klasma.github.io/Logging_2062/kartor_geotiff/S 4367-2023 georefererad karta.tif", "S 4367-2023")</f>
        <v/>
      </c>
      <c r="AA1577">
        <f>HYPERLINK("https://klasma.github.io/Logging_2062/klagomål/S 4367-2023 FSC-klagomål.docx", "S 4367-2023")</f>
        <v/>
      </c>
      <c r="AB1577">
        <f>HYPERLINK("https://klasma.github.io/Logging_2062/klagomålsmail/S 4367-2023 FSC-klagomål mail.docx", "S 4367-2023")</f>
        <v/>
      </c>
      <c r="AC1577">
        <f>HYPERLINK("https://klasma.github.io/Logging_2062/tillsyn/S 4367-2023 tillsynsbegäran.docx", "S 4367-2023")</f>
        <v/>
      </c>
      <c r="AD1577">
        <f>HYPERLINK("https://klasma.github.io/Logging_2062/tillsynsmail/S 4367-2023 tillsynsbegäran mail.docx", "S 4367-2023")</f>
        <v/>
      </c>
      <c r="AE1577">
        <f>HYPERLINK("https://klasma.github.io/Logging_2062/fåglar/S 4367-2023 prioriterade fågelarter.docx", "S 4367-2023")</f>
        <v/>
      </c>
    </row>
    <row r="1578" ht="15" customHeight="1">
      <c r="A1578" t="inlineStr">
        <is>
          <t>S 238-2024</t>
        </is>
      </c>
      <c r="B1578" t="inlineStr">
        <is>
          <t>samrådsanmälan</t>
        </is>
      </c>
      <c r="C1578" t="inlineStr">
        <is>
          <t>Skogsgödsling</t>
        </is>
      </c>
      <c r="D1578" s="1" t="n">
        <v>45319</v>
      </c>
      <c r="E1578" s="1" t="n">
        <v>46319</v>
      </c>
      <c r="F1578" t="inlineStr">
        <is>
          <t>DALARNAS LÄN</t>
        </is>
      </c>
      <c r="G1578" t="inlineStr">
        <is>
          <t>HEDEMORA</t>
        </is>
      </c>
      <c r="H1578" t="inlineStr">
        <is>
          <t>Sveaskog</t>
        </is>
      </c>
      <c r="I1578" t="n">
        <v>75.2</v>
      </c>
      <c r="J1578" t="n">
        <v>1</v>
      </c>
      <c r="K1578" t="n">
        <v>0</v>
      </c>
      <c r="L1578" t="n">
        <v>0</v>
      </c>
      <c r="M1578" t="n">
        <v>0</v>
      </c>
      <c r="N1578" t="n">
        <v>0</v>
      </c>
      <c r="O1578" t="n">
        <v>0</v>
      </c>
      <c r="P1578" t="n">
        <v>0</v>
      </c>
      <c r="Q1578" t="n">
        <v>0</v>
      </c>
      <c r="R1578" t="n">
        <v>0</v>
      </c>
      <c r="S1578" t="n">
        <v>1</v>
      </c>
      <c r="T1578" t="n">
        <v>4</v>
      </c>
      <c r="U1578" t="n">
        <v>4</v>
      </c>
      <c r="V1578" s="2" t="inlineStr">
        <is>
          <t>Tjäder</t>
        </is>
      </c>
      <c r="W1578">
        <f>HYPERLINK("https://klasma.github.io/Logging_2083/artfynd/S 238-2024 artfynd.xlsx", "S 238-2024")</f>
        <v/>
      </c>
      <c r="X1578">
        <f>HYPERLINK("https://klasma.github.io/Logging_2083/kartor/S 238-2024 karta.png", "S 238-2024")</f>
        <v/>
      </c>
      <c r="Y1578">
        <f>HYPERLINK("https://klasma.github.io/Logging_2083/kartor_geotiff/S 238-2024 georefererad karta.tif", "S 238-2024")</f>
        <v/>
      </c>
      <c r="Z1578">
        <f>HYPERLINK("https://klasma.github.io/Logging_2083/knärot/S 238-2024 karta knärot.png", "S 238-2024")</f>
        <v/>
      </c>
      <c r="AA1578">
        <f>HYPERLINK("https://klasma.github.io/Logging_2083/klagomål/S 238-2024 FSC-klagomål.docx", "S 238-2024")</f>
        <v/>
      </c>
      <c r="AB1578">
        <f>HYPERLINK("https://klasma.github.io/Logging_2083/klagomålsmail/S 238-2024 FSC-klagomål mail.docx", "S 238-2024")</f>
        <v/>
      </c>
      <c r="AC1578">
        <f>HYPERLINK("https://klasma.github.io/Logging_2083/tillsyn/S 238-2024 tillsynsbegäran.docx", "S 238-2024")</f>
        <v/>
      </c>
      <c r="AD1578">
        <f>HYPERLINK("https://klasma.github.io/Logging_2083/tillsynsmail/S 238-2024 tillsynsbegäran mail.docx", "S 238-2024")</f>
        <v/>
      </c>
      <c r="AE1578">
        <f>HYPERLINK("https://klasma.github.io/Logging_2083/fåglar/S 238-2024 prioriterade fågelarter.docx", "S 238-2024")</f>
        <v/>
      </c>
    </row>
    <row r="1579" ht="15" customHeight="1">
      <c r="A1579" t="inlineStr">
        <is>
          <t>S 5113-2024</t>
        </is>
      </c>
      <c r="B1579" t="inlineStr">
        <is>
          <t>samrådsanmälan</t>
        </is>
      </c>
      <c r="C1579" t="inlineStr">
        <is>
          <t>Skogsgödsling</t>
        </is>
      </c>
      <c r="D1579" s="1" t="n">
        <v>45642</v>
      </c>
      <c r="E1579" s="1" t="n">
        <v>46319</v>
      </c>
      <c r="F1579" t="inlineStr">
        <is>
          <t>DALARNAS LÄN</t>
        </is>
      </c>
      <c r="G1579" t="inlineStr">
        <is>
          <t>SMEDJEBACKEN</t>
        </is>
      </c>
      <c r="H1579" t="inlineStr">
        <is>
          <t>Sveaskog</t>
        </is>
      </c>
      <c r="I1579" t="n">
        <v>627.5</v>
      </c>
      <c r="J1579" t="n">
        <v>0</v>
      </c>
      <c r="K1579" t="n">
        <v>1</v>
      </c>
      <c r="L1579" t="n">
        <v>0</v>
      </c>
      <c r="M1579" t="n">
        <v>0</v>
      </c>
      <c r="N1579" t="n">
        <v>0</v>
      </c>
      <c r="O1579" t="n">
        <v>0</v>
      </c>
      <c r="P1579" t="n">
        <v>0</v>
      </c>
      <c r="Q1579" t="n">
        <v>0</v>
      </c>
      <c r="R1579" t="n">
        <v>0</v>
      </c>
      <c r="S1579" t="n">
        <v>1</v>
      </c>
      <c r="T1579" t="n">
        <v>1</v>
      </c>
      <c r="U1579" t="n">
        <v>0</v>
      </c>
      <c r="V1579" s="2" t="inlineStr">
        <is>
          <t>Brandticka</t>
        </is>
      </c>
      <c r="W1579">
        <f>HYPERLINK("https://klasma.github.io/Logging_2061/artfynd/S 5113-2024 artfynd.xlsx", "S 5113-2024")</f>
        <v/>
      </c>
      <c r="X1579">
        <f>HYPERLINK("https://klasma.github.io/Logging_2061/kartor/S 5113-2024 karta.png", "S 5113-2024")</f>
        <v/>
      </c>
      <c r="Y1579">
        <f>HYPERLINK("https://klasma.github.io/Logging_2061/kartor_geotiff/S 5113-2024 georefererad karta.tif", "S 5113-2024")</f>
        <v/>
      </c>
      <c r="AA1579">
        <f>HYPERLINK("https://klasma.github.io/Logging_2061/klagomål/S 5113-2024 FSC-klagomål.docx", "S 5113-2024")</f>
        <v/>
      </c>
      <c r="AB1579">
        <f>HYPERLINK("https://klasma.github.io/Logging_2061/klagomålsmail/S 5113-2024 FSC-klagomål mail.docx", "S 5113-2024")</f>
        <v/>
      </c>
      <c r="AC1579">
        <f>HYPERLINK("https://klasma.github.io/Logging_2061/tillsyn/S 5113-2024 tillsynsbegäran.docx", "S 5113-2024")</f>
        <v/>
      </c>
      <c r="AD1579">
        <f>HYPERLINK("https://klasma.github.io/Logging_2061/tillsynsmail/S 5113-2024 tillsynsbegäran mail.docx", "S 5113-2024")</f>
        <v/>
      </c>
    </row>
    <row r="1580" ht="15" customHeight="1">
      <c r="A1580" t="inlineStr">
        <is>
          <t>S 223-2024</t>
        </is>
      </c>
      <c r="B1580" t="inlineStr">
        <is>
          <t>samrådsanmälan</t>
        </is>
      </c>
      <c r="C1580" t="inlineStr">
        <is>
          <t>Skogsgödsling</t>
        </is>
      </c>
      <c r="D1580" s="1" t="n">
        <v>45316</v>
      </c>
      <c r="E1580" s="1" t="n">
        <v>46319</v>
      </c>
      <c r="F1580" t="inlineStr">
        <is>
          <t>DALARNAS LÄN</t>
        </is>
      </c>
      <c r="G1580" t="inlineStr">
        <is>
          <t>HEDEMORA</t>
        </is>
      </c>
      <c r="H1580" t="inlineStr">
        <is>
          <t>Sveaskog</t>
        </is>
      </c>
      <c r="I1580" t="n">
        <v>65.7</v>
      </c>
      <c r="J1580" t="n">
        <v>1</v>
      </c>
      <c r="K1580" t="n">
        <v>0</v>
      </c>
      <c r="L1580" t="n">
        <v>1</v>
      </c>
      <c r="M1580" t="n">
        <v>0</v>
      </c>
      <c r="N1580" t="n">
        <v>0</v>
      </c>
      <c r="O1580" t="n">
        <v>0</v>
      </c>
      <c r="P1580" t="n">
        <v>0</v>
      </c>
      <c r="Q1580" t="n">
        <v>1</v>
      </c>
      <c r="R1580" t="n">
        <v>0</v>
      </c>
      <c r="S1580" t="n">
        <v>1</v>
      </c>
      <c r="T1580" t="n">
        <v>1</v>
      </c>
      <c r="U1580" t="n">
        <v>0</v>
      </c>
      <c r="V1580" s="2" t="inlineStr">
        <is>
          <t>Talltita</t>
        </is>
      </c>
      <c r="W1580">
        <f>HYPERLINK("https://klasma.github.io/Logging_2083/artfynd/S 223-2024 artfynd.xlsx", "S 223-2024")</f>
        <v/>
      </c>
      <c r="X1580">
        <f>HYPERLINK("https://klasma.github.io/Logging_2083/kartor/S 223-2024 karta.png", "S 223-2024")</f>
        <v/>
      </c>
      <c r="Y1580">
        <f>HYPERLINK("https://klasma.github.io/Logging_2083/kartor_geotiff/S 223-2024 georefererad karta.tif", "S 223-2024")</f>
        <v/>
      </c>
      <c r="AA1580">
        <f>HYPERLINK("https://klasma.github.io/Logging_2083/klagomål/S 223-2024 FSC-klagomål.docx", "S 223-2024")</f>
        <v/>
      </c>
      <c r="AB1580">
        <f>HYPERLINK("https://klasma.github.io/Logging_2083/klagomålsmail/S 223-2024 FSC-klagomål mail.docx", "S 223-2024")</f>
        <v/>
      </c>
      <c r="AC1580">
        <f>HYPERLINK("https://klasma.github.io/Logging_2083/tillsyn/S 223-2024 tillsynsbegäran.docx", "S 223-2024")</f>
        <v/>
      </c>
      <c r="AD1580">
        <f>HYPERLINK("https://klasma.github.io/Logging_2083/tillsynsmail/S 223-2024 tillsynsbegäran mail.docx", "S 223-2024")</f>
        <v/>
      </c>
      <c r="AE1580">
        <f>HYPERLINK("https://klasma.github.io/Logging_2083/fåglar/S 223-2024 prioriterade fågelarter.docx", "S 223-2024")</f>
        <v/>
      </c>
    </row>
    <row r="1581" ht="15" customHeight="1">
      <c r="A1581" t="inlineStr">
        <is>
          <t>S 1387-2024</t>
        </is>
      </c>
      <c r="B1581" t="inlineStr">
        <is>
          <t>samrådsanmälan</t>
        </is>
      </c>
      <c r="C1581" t="inlineStr">
        <is>
          <t>Skogsgödsling</t>
        </is>
      </c>
      <c r="D1581" s="1" t="n">
        <v>45411</v>
      </c>
      <c r="E1581" s="1" t="n">
        <v>46319</v>
      </c>
      <c r="F1581" t="inlineStr">
        <is>
          <t>DALARNAS LÄN</t>
        </is>
      </c>
      <c r="G1581" t="inlineStr">
        <is>
          <t>MALUNG-SÄLEN</t>
        </is>
      </c>
      <c r="H1581" t="inlineStr">
        <is>
          <t>Allmännings- och besparingsskogar</t>
        </is>
      </c>
      <c r="I1581" t="n">
        <v>165.9</v>
      </c>
      <c r="J1581" t="n">
        <v>1</v>
      </c>
      <c r="K1581" t="n">
        <v>0</v>
      </c>
      <c r="L1581" t="n">
        <v>0</v>
      </c>
      <c r="M1581" t="n">
        <v>1</v>
      </c>
      <c r="N1581" t="n">
        <v>0</v>
      </c>
      <c r="O1581" t="n">
        <v>0</v>
      </c>
      <c r="P1581" t="n">
        <v>0</v>
      </c>
      <c r="Q1581" t="n">
        <v>1</v>
      </c>
      <c r="R1581" t="n">
        <v>1</v>
      </c>
      <c r="S1581" t="n">
        <v>1</v>
      </c>
      <c r="T1581" t="n">
        <v>1</v>
      </c>
      <c r="U1581" t="n">
        <v>0</v>
      </c>
      <c r="V1581" s="2" t="inlineStr">
        <is>
          <t>Knärot</t>
        </is>
      </c>
      <c r="W1581">
        <f>HYPERLINK("https://klasma.github.io/Logging_2023/artfynd/S 1387-2024 artfynd.xlsx", "S 1387-2024")</f>
        <v/>
      </c>
      <c r="X1581">
        <f>HYPERLINK("https://klasma.github.io/Logging_2023/kartor/S 1387-2024 karta.png", "S 1387-2024")</f>
        <v/>
      </c>
      <c r="Y1581">
        <f>HYPERLINK("https://klasma.github.io/Logging_2023/kartor_geotiff/S 1387-2024 georefererad karta.tif", "S 1387-2024")</f>
        <v/>
      </c>
      <c r="Z1581">
        <f>HYPERLINK("https://klasma.github.io/Logging_2023/knärot/S 1387-2024 karta knärot.png", "S 1387-2024")</f>
        <v/>
      </c>
      <c r="AA1581">
        <f>HYPERLINK("https://klasma.github.io/Logging_2023/klagomål/S 1387-2024 FSC-klagomål.docx", "S 1387-2024")</f>
        <v/>
      </c>
      <c r="AB1581">
        <f>HYPERLINK("https://klasma.github.io/Logging_2023/klagomålsmail/S 1387-2024 FSC-klagomål mail.docx", "S 1387-2024")</f>
        <v/>
      </c>
      <c r="AC1581">
        <f>HYPERLINK("https://klasma.github.io/Logging_2023/tillsyn/S 1387-2024 tillsynsbegäran.docx", "S 1387-2024")</f>
        <v/>
      </c>
      <c r="AD1581">
        <f>HYPERLINK("https://klasma.github.io/Logging_2023/tillsynsmail/S 1387-2024 tillsynsbegäran mail.docx", "S 1387-2024")</f>
        <v/>
      </c>
    </row>
    <row r="1582" ht="15" customHeight="1">
      <c r="A1582" t="inlineStr">
        <is>
          <t>S 686-2024</t>
        </is>
      </c>
      <c r="B1582" t="inlineStr">
        <is>
          <t>samrådsanmälan</t>
        </is>
      </c>
      <c r="C1582" t="inlineStr">
        <is>
          <t>Skogsgödsling</t>
        </is>
      </c>
      <c r="D1582" s="1" t="n">
        <v>45359</v>
      </c>
      <c r="E1582" s="1" t="n">
        <v>46319</v>
      </c>
      <c r="F1582" t="inlineStr">
        <is>
          <t>DALARNAS LÄN</t>
        </is>
      </c>
      <c r="G1582" t="inlineStr">
        <is>
          <t>ÄLVDALEN</t>
        </is>
      </c>
      <c r="H1582" t="inlineStr">
        <is>
          <t>Allmännings- och besparingsskogar</t>
        </is>
      </c>
      <c r="I1582" t="n">
        <v>27.5</v>
      </c>
      <c r="J1582" t="n">
        <v>0</v>
      </c>
      <c r="K1582" t="n">
        <v>0</v>
      </c>
      <c r="L1582" t="n">
        <v>0</v>
      </c>
      <c r="M1582" t="n">
        <v>0</v>
      </c>
      <c r="N1582" t="n">
        <v>1</v>
      </c>
      <c r="O1582" t="n">
        <v>0</v>
      </c>
      <c r="P1582" t="n">
        <v>0</v>
      </c>
      <c r="Q1582" t="n">
        <v>1</v>
      </c>
      <c r="R1582" t="n">
        <v>1</v>
      </c>
      <c r="S1582" t="n">
        <v>1</v>
      </c>
      <c r="T1582" t="n">
        <v>1</v>
      </c>
      <c r="U1582" t="n">
        <v>1</v>
      </c>
      <c r="V1582" s="2" t="inlineStr">
        <is>
          <t>Trådbrosklav</t>
        </is>
      </c>
      <c r="W1582">
        <f>HYPERLINK("https://klasma.github.io/Logging_2039/artfynd/S 686-2024 artfynd.xlsx", "S 686-2024")</f>
        <v/>
      </c>
      <c r="X1582">
        <f>HYPERLINK("https://klasma.github.io/Logging_2039/kartor/S 686-2024 karta.png", "S 686-2024")</f>
        <v/>
      </c>
      <c r="Y1582">
        <f>HYPERLINK("https://klasma.github.io/Logging_2039/kartor_geotiff/S 686-2024 georefererad karta.tif", "S 686-2024")</f>
        <v/>
      </c>
      <c r="AA1582">
        <f>HYPERLINK("https://klasma.github.io/Logging_2039/klagomål/S 686-2024 FSC-klagomål.docx", "S 686-2024")</f>
        <v/>
      </c>
      <c r="AB1582">
        <f>HYPERLINK("https://klasma.github.io/Logging_2039/klagomålsmail/S 686-2024 FSC-klagomål mail.docx", "S 686-2024")</f>
        <v/>
      </c>
      <c r="AC1582">
        <f>HYPERLINK("https://klasma.github.io/Logging_2039/tillsyn/S 686-2024 tillsynsbegäran.docx", "S 686-2024")</f>
        <v/>
      </c>
      <c r="AD1582">
        <f>HYPERLINK("https://klasma.github.io/Logging_2039/tillsynsmail/S 686-2024 tillsynsbegäran mail.docx", "S 686-2024")</f>
        <v/>
      </c>
    </row>
    <row r="1583" ht="15" customHeight="1">
      <c r="A1583" t="inlineStr">
        <is>
          <t>S 3066-2023</t>
        </is>
      </c>
      <c r="B1583" t="inlineStr">
        <is>
          <t>samrådsanmälan</t>
        </is>
      </c>
      <c r="C1583" t="inlineStr">
        <is>
          <t>Annan skogsbruksåtgärd</t>
        </is>
      </c>
      <c r="D1583" s="1" t="n">
        <v>45181</v>
      </c>
      <c r="E1583" s="1" t="n">
        <v>46319</v>
      </c>
      <c r="F1583" t="inlineStr">
        <is>
          <t>DALARNAS LÄN</t>
        </is>
      </c>
      <c r="G1583" t="inlineStr">
        <is>
          <t>LEKSAND</t>
        </is>
      </c>
      <c r="I1583" t="n">
        <v>3.2</v>
      </c>
      <c r="J1583" t="n">
        <v>0</v>
      </c>
      <c r="K1583" t="n">
        <v>1</v>
      </c>
      <c r="L1583" t="n">
        <v>0</v>
      </c>
      <c r="M1583" t="n">
        <v>0</v>
      </c>
      <c r="N1583" t="n">
        <v>0</v>
      </c>
      <c r="O1583" t="n">
        <v>0</v>
      </c>
      <c r="P1583" t="n">
        <v>0</v>
      </c>
      <c r="Q1583" t="n">
        <v>0</v>
      </c>
      <c r="R1583" t="n">
        <v>0</v>
      </c>
      <c r="S1583" t="n">
        <v>1</v>
      </c>
      <c r="T1583" t="n">
        <v>1</v>
      </c>
      <c r="U1583" t="n">
        <v>0</v>
      </c>
      <c r="V1583" s="2" t="inlineStr">
        <is>
          <t>Tibast</t>
        </is>
      </c>
      <c r="W1583">
        <f>HYPERLINK("https://klasma.github.io/Logging_2029/artfynd/S 3066-2023 artfynd.xlsx", "S 3066-2023")</f>
        <v/>
      </c>
      <c r="X1583">
        <f>HYPERLINK("https://klasma.github.io/Logging_2029/kartor/S 3066-2023 karta.png", "S 3066-2023")</f>
        <v/>
      </c>
      <c r="Y1583">
        <f>HYPERLINK("https://klasma.github.io/Logging_2029/kartor_geotiff/S 3066-2023 georefererad karta.tif", "S 3066-2023")</f>
        <v/>
      </c>
      <c r="AA1583">
        <f>HYPERLINK("https://klasma.github.io/Logging_2029/klagomål/S 3066-2023 FSC-klagomål.docx", "S 3066-2023")</f>
        <v/>
      </c>
      <c r="AB1583">
        <f>HYPERLINK("https://klasma.github.io/Logging_2029/klagomålsmail/S 3066-2023 FSC-klagomål mail.docx", "S 3066-2023")</f>
        <v/>
      </c>
      <c r="AC1583">
        <f>HYPERLINK("https://klasma.github.io/Logging_2029/tillsyn/S 3066-2023 tillsynsbegäran.docx", "S 3066-2023")</f>
        <v/>
      </c>
      <c r="AD1583">
        <f>HYPERLINK("https://klasma.github.io/Logging_2029/tillsynsmail/S 3066-2023 tillsynsbegäran mail.docx", "S 3066-2023")</f>
        <v/>
      </c>
    </row>
    <row r="1584" ht="15" customHeight="1">
      <c r="A1584" t="inlineStr">
        <is>
          <t>S 262-2025</t>
        </is>
      </c>
      <c r="B1584" t="inlineStr">
        <is>
          <t>samrådsanmälan</t>
        </is>
      </c>
      <c r="C1584" t="inlineStr">
        <is>
          <t>Skogsgödsling</t>
        </is>
      </c>
      <c r="D1584" s="1" t="n">
        <v>45684</v>
      </c>
      <c r="E1584" s="1" t="n">
        <v>46319</v>
      </c>
      <c r="F1584" t="inlineStr">
        <is>
          <t>DALARNAS LÄN</t>
        </is>
      </c>
      <c r="G1584" t="inlineStr">
        <is>
          <t>ÄLVDALEN</t>
        </is>
      </c>
      <c r="H1584" t="inlineStr">
        <is>
          <t>Bergvik skog väst AB</t>
        </is>
      </c>
      <c r="I1584" t="n">
        <v>42.5</v>
      </c>
      <c r="J1584" t="n">
        <v>1</v>
      </c>
      <c r="K1584" t="n">
        <v>0</v>
      </c>
      <c r="L1584" t="n">
        <v>0</v>
      </c>
      <c r="M1584" t="n">
        <v>0</v>
      </c>
      <c r="N1584" t="n">
        <v>0</v>
      </c>
      <c r="O1584" t="n">
        <v>0</v>
      </c>
      <c r="P1584" t="n">
        <v>0</v>
      </c>
      <c r="Q1584" t="n">
        <v>0</v>
      </c>
      <c r="R1584" t="n">
        <v>0</v>
      </c>
      <c r="S1584" t="n">
        <v>1</v>
      </c>
      <c r="T1584" t="n">
        <v>1</v>
      </c>
      <c r="U1584" t="n">
        <v>0</v>
      </c>
      <c r="V1584" s="2" t="inlineStr">
        <is>
          <t>Utter</t>
        </is>
      </c>
      <c r="W1584">
        <f>HYPERLINK("https://klasma.github.io/Logging_2039/artfynd/S 262-2025 artfynd.xlsx", "S 262-2025")</f>
        <v/>
      </c>
      <c r="X1584">
        <f>HYPERLINK("https://klasma.github.io/Logging_2039/kartor/S 262-2025 karta.png", "S 262-2025")</f>
        <v/>
      </c>
      <c r="Y1584">
        <f>HYPERLINK("https://klasma.github.io/Logging_2039/kartor_geotiff/S 262-2025 georefererad karta.tif", "S 262-2025")</f>
        <v/>
      </c>
      <c r="AA1584">
        <f>HYPERLINK("https://klasma.github.io/Logging_2039/klagomål/S 262-2025 FSC-klagomål.docx", "S 262-2025")</f>
        <v/>
      </c>
      <c r="AB1584">
        <f>HYPERLINK("https://klasma.github.io/Logging_2039/klagomålsmail/S 262-2025 FSC-klagomål mail.docx", "S 262-2025")</f>
        <v/>
      </c>
      <c r="AC1584">
        <f>HYPERLINK("https://klasma.github.io/Logging_2039/tillsyn/S 262-2025 tillsynsbegäran.docx", "S 262-2025")</f>
        <v/>
      </c>
      <c r="AD1584">
        <f>HYPERLINK("https://klasma.github.io/Logging_2039/tillsynsmail/S 262-2025 tillsynsbegäran mail.docx", "S 262-2025")</f>
        <v/>
      </c>
    </row>
    <row r="1585" ht="15" customHeight="1">
      <c r="A1585" t="inlineStr">
        <is>
          <t>S 917-2024</t>
        </is>
      </c>
      <c r="B1585" t="inlineStr">
        <is>
          <t>samrådsanmälan</t>
        </is>
      </c>
      <c r="C1585" t="inlineStr">
        <is>
          <t>Skogsgödsling</t>
        </is>
      </c>
      <c r="D1585" s="1" t="n">
        <v>45377</v>
      </c>
      <c r="E1585" s="1" t="n">
        <v>46319</v>
      </c>
      <c r="F1585" t="inlineStr">
        <is>
          <t>DALARNAS LÄN</t>
        </is>
      </c>
      <c r="G1585" t="inlineStr">
        <is>
          <t>MORA</t>
        </is>
      </c>
      <c r="H1585" t="inlineStr">
        <is>
          <t>Bergvik skog väst AB</t>
        </is>
      </c>
      <c r="I1585" t="n">
        <v>227.7</v>
      </c>
      <c r="J1585" t="n">
        <v>1</v>
      </c>
      <c r="K1585" t="n">
        <v>0</v>
      </c>
      <c r="L1585" t="n">
        <v>1</v>
      </c>
      <c r="M1585" t="n">
        <v>0</v>
      </c>
      <c r="N1585" t="n">
        <v>0</v>
      </c>
      <c r="O1585" t="n">
        <v>0</v>
      </c>
      <c r="P1585" t="n">
        <v>0</v>
      </c>
      <c r="Q1585" t="n">
        <v>1</v>
      </c>
      <c r="R1585" t="n">
        <v>0</v>
      </c>
      <c r="S1585" t="n">
        <v>1</v>
      </c>
      <c r="T1585" t="n">
        <v>1</v>
      </c>
      <c r="U1585" t="n">
        <v>1</v>
      </c>
      <c r="V1585" s="2" t="inlineStr">
        <is>
          <t>Lavskrika</t>
        </is>
      </c>
      <c r="W1585">
        <f>HYPERLINK("https://klasma.github.io/Logging_2062/artfynd/S 917-2024 artfynd.xlsx", "S 917-2024")</f>
        <v/>
      </c>
      <c r="X1585">
        <f>HYPERLINK("https://klasma.github.io/Logging_2062/kartor/S 917-2024 karta.png", "S 917-2024")</f>
        <v/>
      </c>
      <c r="Y1585">
        <f>HYPERLINK("https://klasma.github.io/Logging_2062/kartor_geotiff/S 917-2024 georefererad karta.tif", "S 917-2024")</f>
        <v/>
      </c>
      <c r="AA1585">
        <f>HYPERLINK("https://klasma.github.io/Logging_2062/klagomål/S 917-2024 FSC-klagomål.docx", "S 917-2024")</f>
        <v/>
      </c>
      <c r="AB1585">
        <f>HYPERLINK("https://klasma.github.io/Logging_2062/klagomålsmail/S 917-2024 FSC-klagomål mail.docx", "S 917-2024")</f>
        <v/>
      </c>
      <c r="AC1585">
        <f>HYPERLINK("https://klasma.github.io/Logging_2062/tillsyn/S 917-2024 tillsynsbegäran.docx", "S 917-2024")</f>
        <v/>
      </c>
      <c r="AD1585">
        <f>HYPERLINK("https://klasma.github.io/Logging_2062/tillsynsmail/S 917-2024 tillsynsbegäran mail.docx", "S 917-2024")</f>
        <v/>
      </c>
      <c r="AE1585">
        <f>HYPERLINK("https://klasma.github.io/Logging_2062/fåglar/S 917-2024 prioriterade fågelarter.docx", "S 917-2024")</f>
        <v/>
      </c>
    </row>
    <row r="1586" ht="15" customHeight="1">
      <c r="A1586" t="inlineStr">
        <is>
          <t>S 2622-2023</t>
        </is>
      </c>
      <c r="B1586" t="inlineStr">
        <is>
          <t>samrådsanmälan</t>
        </is>
      </c>
      <c r="C1586" t="inlineStr">
        <is>
          <t>Askåterföring</t>
        </is>
      </c>
      <c r="D1586" s="1" t="n">
        <v>45147</v>
      </c>
      <c r="E1586" s="1" t="n">
        <v>46319</v>
      </c>
      <c r="F1586" t="inlineStr">
        <is>
          <t>DALARNAS LÄN</t>
        </is>
      </c>
      <c r="G1586" t="inlineStr">
        <is>
          <t>SÄTER</t>
        </is>
      </c>
      <c r="H1586" t="inlineStr">
        <is>
          <t>Kommuner</t>
        </is>
      </c>
      <c r="I1586" t="n">
        <v>46.1</v>
      </c>
      <c r="J1586" t="n">
        <v>1</v>
      </c>
      <c r="K1586" t="n">
        <v>0</v>
      </c>
      <c r="L1586" t="n">
        <v>0</v>
      </c>
      <c r="M1586" t="n">
        <v>1</v>
      </c>
      <c r="N1586" t="n">
        <v>0</v>
      </c>
      <c r="O1586" t="n">
        <v>0</v>
      </c>
      <c r="P1586" t="n">
        <v>0</v>
      </c>
      <c r="Q1586" t="n">
        <v>1</v>
      </c>
      <c r="R1586" t="n">
        <v>1</v>
      </c>
      <c r="S1586" t="n">
        <v>1</v>
      </c>
      <c r="T1586" t="n">
        <v>2</v>
      </c>
      <c r="U1586" t="n">
        <v>0</v>
      </c>
      <c r="V1586" s="2" t="inlineStr">
        <is>
          <t>Knärot</t>
        </is>
      </c>
      <c r="W1586">
        <f>HYPERLINK("https://klasma.github.io/Logging_2082/artfynd/S 2622-2023 artfynd.xlsx", "S 2622-2023")</f>
        <v/>
      </c>
      <c r="X1586">
        <f>HYPERLINK("https://klasma.github.io/Logging_2082/kartor/S 2622-2023 karta.png", "S 2622-2023")</f>
        <v/>
      </c>
      <c r="Y1586">
        <f>HYPERLINK("https://klasma.github.io/Logging_2082/kartor_geotiff/S 2622-2023 georefererad karta.tif", "S 2622-2023")</f>
        <v/>
      </c>
      <c r="Z1586">
        <f>HYPERLINK("https://klasma.github.io/Logging_2082/knärot/S 2622-2023 karta knärot.png", "S 2622-2023")</f>
        <v/>
      </c>
      <c r="AA1586">
        <f>HYPERLINK("https://klasma.github.io/Logging_2082/klagomål/S 2622-2023 FSC-klagomål.docx", "S 2622-2023")</f>
        <v/>
      </c>
      <c r="AB1586">
        <f>HYPERLINK("https://klasma.github.io/Logging_2082/klagomålsmail/S 2622-2023 FSC-klagomål mail.docx", "S 2622-2023")</f>
        <v/>
      </c>
      <c r="AC1586">
        <f>HYPERLINK("https://klasma.github.io/Logging_2082/tillsyn/S 2622-2023 tillsynsbegäran.docx", "S 2622-2023")</f>
        <v/>
      </c>
      <c r="AD1586">
        <f>HYPERLINK("https://klasma.github.io/Logging_2082/tillsynsmail/S 2622-2023 tillsynsbegäran mail.docx", "S 2622-2023")</f>
        <v/>
      </c>
    </row>
    <row r="1587" ht="15" customHeight="1">
      <c r="A1587" t="inlineStr">
        <is>
          <t>S 4205-2023</t>
        </is>
      </c>
      <c r="B1587" t="inlineStr">
        <is>
          <t>samrådsanmälan</t>
        </is>
      </c>
      <c r="C1587" t="inlineStr">
        <is>
          <t>Annan skogsbruksåtgärd</t>
        </is>
      </c>
      <c r="D1587" s="1" t="n">
        <v>45251</v>
      </c>
      <c r="E1587" s="1" t="n">
        <v>46319</v>
      </c>
      <c r="F1587" t="inlineStr">
        <is>
          <t>DALARNAS LÄN</t>
        </is>
      </c>
      <c r="G1587" t="inlineStr">
        <is>
          <t>SMEDJEBACKEN</t>
        </is>
      </c>
      <c r="H1587" t="inlineStr">
        <is>
          <t>Bergvik skog väst AB</t>
        </is>
      </c>
      <c r="I1587" t="n">
        <v>1</v>
      </c>
      <c r="J1587" t="n">
        <v>0</v>
      </c>
      <c r="K1587" t="n">
        <v>0</v>
      </c>
      <c r="L1587" t="n">
        <v>1</v>
      </c>
      <c r="M1587" t="n">
        <v>0</v>
      </c>
      <c r="N1587" t="n">
        <v>0</v>
      </c>
      <c r="O1587" t="n">
        <v>0</v>
      </c>
      <c r="P1587" t="n">
        <v>0</v>
      </c>
      <c r="Q1587" t="n">
        <v>1</v>
      </c>
      <c r="R1587" t="n">
        <v>0</v>
      </c>
      <c r="S1587" t="n">
        <v>1</v>
      </c>
      <c r="T1587" t="n">
        <v>1</v>
      </c>
      <c r="U1587" t="n">
        <v>0</v>
      </c>
      <c r="V1587" s="2" t="inlineStr">
        <is>
          <t>Skogshare</t>
        </is>
      </c>
      <c r="W1587">
        <f>HYPERLINK("https://klasma.github.io/Logging_2061/artfynd/S 4205-2023 artfynd.xlsx", "S 4205-2023")</f>
        <v/>
      </c>
      <c r="X1587">
        <f>HYPERLINK("https://klasma.github.io/Logging_2061/kartor/S 4205-2023 karta.png", "S 4205-2023")</f>
        <v/>
      </c>
      <c r="Y1587">
        <f>HYPERLINK("https://klasma.github.io/Logging_2061/kartor_geotiff/S 4205-2023 georefererad karta.tif", "S 4205-2023")</f>
        <v/>
      </c>
      <c r="AA1587">
        <f>HYPERLINK("https://klasma.github.io/Logging_2061/klagomål/S 4205-2023 FSC-klagomål.docx", "S 4205-2023")</f>
        <v/>
      </c>
      <c r="AB1587">
        <f>HYPERLINK("https://klasma.github.io/Logging_2061/klagomålsmail/S 4205-2023 FSC-klagomål mail.docx", "S 4205-2023")</f>
        <v/>
      </c>
      <c r="AC1587">
        <f>HYPERLINK("https://klasma.github.io/Logging_2061/tillsyn/S 4205-2023 tillsynsbegäran.docx", "S 4205-2023")</f>
        <v/>
      </c>
      <c r="AD1587">
        <f>HYPERLINK("https://klasma.github.io/Logging_2061/tillsynsmail/S 4205-2023 tillsynsbegäran mail.docx", "S 4205-2023")</f>
        <v/>
      </c>
    </row>
    <row r="1588" ht="15" customHeight="1">
      <c r="A1588" t="inlineStr">
        <is>
          <t>S 2958-2023</t>
        </is>
      </c>
      <c r="B1588" t="inlineStr">
        <is>
          <t>samrådsanmälan</t>
        </is>
      </c>
      <c r="C1588" t="inlineStr">
        <is>
          <t>Askåterföring</t>
        </is>
      </c>
      <c r="D1588" s="1" t="n">
        <v>45173</v>
      </c>
      <c r="E1588" s="1" t="n">
        <v>46319</v>
      </c>
      <c r="F1588" t="inlineStr">
        <is>
          <t>DALARNAS LÄN</t>
        </is>
      </c>
      <c r="G1588" t="inlineStr">
        <is>
          <t>BORLÄNGE</t>
        </is>
      </c>
      <c r="I1588" t="n">
        <v>7.2</v>
      </c>
      <c r="J1588" t="n">
        <v>1</v>
      </c>
      <c r="K1588" t="n">
        <v>0</v>
      </c>
      <c r="L1588" t="n">
        <v>0</v>
      </c>
      <c r="M1588" t="n">
        <v>0</v>
      </c>
      <c r="N1588" t="n">
        <v>0</v>
      </c>
      <c r="O1588" t="n">
        <v>0</v>
      </c>
      <c r="P1588" t="n">
        <v>0</v>
      </c>
      <c r="Q1588" t="n">
        <v>0</v>
      </c>
      <c r="R1588" t="n">
        <v>0</v>
      </c>
      <c r="S1588" t="n">
        <v>1</v>
      </c>
      <c r="T1588" t="n">
        <v>1</v>
      </c>
      <c r="U1588" t="n">
        <v>0</v>
      </c>
      <c r="V1588" s="2" t="inlineStr">
        <is>
          <t>Tjäder</t>
        </is>
      </c>
      <c r="W1588">
        <f>HYPERLINK("https://klasma.github.io/Logging_2081/artfynd/S 2958-2023 artfynd.xlsx", "S 2958-2023")</f>
        <v/>
      </c>
      <c r="X1588">
        <f>HYPERLINK("https://klasma.github.io/Logging_2081/kartor/S 2958-2023 karta.png", "S 2958-2023")</f>
        <v/>
      </c>
      <c r="Y1588">
        <f>HYPERLINK("https://klasma.github.io/Logging_2081/kartor_geotiff/S 2958-2023 georefererad karta.tif", "S 2958-2023")</f>
        <v/>
      </c>
      <c r="AA1588">
        <f>HYPERLINK("https://klasma.github.io/Logging_2081/klagomål/S 2958-2023 FSC-klagomål.docx", "S 2958-2023")</f>
        <v/>
      </c>
      <c r="AB1588">
        <f>HYPERLINK("https://klasma.github.io/Logging_2081/klagomålsmail/S 2958-2023 FSC-klagomål mail.docx", "S 2958-2023")</f>
        <v/>
      </c>
      <c r="AC1588">
        <f>HYPERLINK("https://klasma.github.io/Logging_2081/tillsyn/S 2958-2023 tillsynsbegäran.docx", "S 2958-2023")</f>
        <v/>
      </c>
      <c r="AD1588">
        <f>HYPERLINK("https://klasma.github.io/Logging_2081/tillsynsmail/S 2958-2023 tillsynsbegäran mail.docx", "S 2958-2023")</f>
        <v/>
      </c>
      <c r="AE1588">
        <f>HYPERLINK("https://klasma.github.io/Logging_2081/fåglar/S 2958-2023 prioriterade fågelarter.docx", "S 2958-2023")</f>
        <v/>
      </c>
    </row>
    <row r="1589" ht="15" customHeight="1">
      <c r="A1589" t="inlineStr">
        <is>
          <t>S 400-2024</t>
        </is>
      </c>
      <c r="B1589" t="inlineStr">
        <is>
          <t>samrådsanmälan</t>
        </is>
      </c>
      <c r="C1589" t="inlineStr">
        <is>
          <t>Annan skogsbruksåtgärd</t>
        </is>
      </c>
      <c r="D1589" s="1" t="n">
        <v>45335</v>
      </c>
      <c r="E1589" s="1" t="n">
        <v>46319</v>
      </c>
      <c r="F1589" t="inlineStr">
        <is>
          <t>DALARNAS LÄN</t>
        </is>
      </c>
      <c r="G1589" t="inlineStr">
        <is>
          <t>BORLÄNGE</t>
        </is>
      </c>
      <c r="H1589" t="inlineStr">
        <is>
          <t>Bergvik skog väst AB</t>
        </is>
      </c>
      <c r="I1589" t="n">
        <v>1.9</v>
      </c>
      <c r="J1589" t="n">
        <v>1</v>
      </c>
      <c r="K1589" t="n">
        <v>0</v>
      </c>
      <c r="L1589" t="n">
        <v>0</v>
      </c>
      <c r="M1589" t="n">
        <v>1</v>
      </c>
      <c r="N1589" t="n">
        <v>0</v>
      </c>
      <c r="O1589" t="n">
        <v>0</v>
      </c>
      <c r="P1589" t="n">
        <v>0</v>
      </c>
      <c r="Q1589" t="n">
        <v>1</v>
      </c>
      <c r="R1589" t="n">
        <v>1</v>
      </c>
      <c r="S1589" t="n">
        <v>1</v>
      </c>
      <c r="T1589" t="n">
        <v>1</v>
      </c>
      <c r="U1589" t="n">
        <v>1</v>
      </c>
      <c r="V1589" s="2" t="inlineStr">
        <is>
          <t>Knärot</t>
        </is>
      </c>
      <c r="W1589">
        <f>HYPERLINK("https://klasma.github.io/Logging_2081/artfynd/S 400-2024 artfynd.xlsx", "S 400-2024")</f>
        <v/>
      </c>
      <c r="X1589">
        <f>HYPERLINK("https://klasma.github.io/Logging_2081/kartor/S 400-2024 karta.png", "S 400-2024")</f>
        <v/>
      </c>
      <c r="Y1589">
        <f>HYPERLINK("https://klasma.github.io/Logging_2081/kartor_geotiff/S 400-2024 georefererad karta.tif", "S 400-2024")</f>
        <v/>
      </c>
      <c r="Z1589">
        <f>HYPERLINK("https://klasma.github.io/Logging_2081/knärot/S 400-2024 karta knärot.png", "S 400-2024")</f>
        <v/>
      </c>
      <c r="AA1589">
        <f>HYPERLINK("https://klasma.github.io/Logging_2081/klagomål/S 400-2024 FSC-klagomål.docx", "S 400-2024")</f>
        <v/>
      </c>
      <c r="AB1589">
        <f>HYPERLINK("https://klasma.github.io/Logging_2081/klagomålsmail/S 400-2024 FSC-klagomål mail.docx", "S 400-2024")</f>
        <v/>
      </c>
      <c r="AC1589">
        <f>HYPERLINK("https://klasma.github.io/Logging_2081/tillsyn/S 400-2024 tillsynsbegäran.docx", "S 400-2024")</f>
        <v/>
      </c>
      <c r="AD1589">
        <f>HYPERLINK("https://klasma.github.io/Logging_2081/tillsynsmail/S 400-2024 tillsynsbegäran mail.docx", "S 400-2024")</f>
        <v/>
      </c>
    </row>
    <row r="1590" ht="15" customHeight="1">
      <c r="A1590" t="inlineStr">
        <is>
          <t>S 1023-2023</t>
        </is>
      </c>
      <c r="B1590" t="inlineStr">
        <is>
          <t>samrådsanmälan</t>
        </is>
      </c>
      <c r="C1590" t="inlineStr">
        <is>
          <t>Skogsgödsling</t>
        </is>
      </c>
      <c r="D1590" s="1" t="n">
        <v>45008</v>
      </c>
      <c r="E1590" s="1" t="n">
        <v>46319</v>
      </c>
      <c r="F1590" t="inlineStr">
        <is>
          <t>DALARNAS LÄN</t>
        </is>
      </c>
      <c r="G1590" t="inlineStr">
        <is>
          <t>FALUN</t>
        </is>
      </c>
      <c r="H1590" t="inlineStr">
        <is>
          <t>Bergvik skog väst AB</t>
        </is>
      </c>
      <c r="I1590" t="n">
        <v>282.5</v>
      </c>
      <c r="J1590" t="n">
        <v>0</v>
      </c>
      <c r="K1590" t="n">
        <v>0</v>
      </c>
      <c r="L1590" t="n">
        <v>1</v>
      </c>
      <c r="M1590" t="n">
        <v>0</v>
      </c>
      <c r="N1590" t="n">
        <v>0</v>
      </c>
      <c r="O1590" t="n">
        <v>0</v>
      </c>
      <c r="P1590" t="n">
        <v>0</v>
      </c>
      <c r="Q1590" t="n">
        <v>1</v>
      </c>
      <c r="R1590" t="n">
        <v>0</v>
      </c>
      <c r="S1590" t="n">
        <v>1</v>
      </c>
      <c r="T1590" t="n">
        <v>1</v>
      </c>
      <c r="U1590" t="n">
        <v>0</v>
      </c>
      <c r="V1590" s="2" t="inlineStr">
        <is>
          <t>Motaggsvamp</t>
        </is>
      </c>
      <c r="W1590">
        <f>HYPERLINK("https://klasma.github.io/Logging_2080/artfynd/S 1023-2023 artfynd.xlsx", "S 1023-2023")</f>
        <v/>
      </c>
      <c r="X1590">
        <f>HYPERLINK("https://klasma.github.io/Logging_2080/kartor/S 1023-2023 karta.png", "S 1023-2023")</f>
        <v/>
      </c>
      <c r="Y1590">
        <f>HYPERLINK("https://klasma.github.io/Logging_2080/kartor_geotiff/S 1023-2023 georefererad karta.tif", "S 1023-2023")</f>
        <v/>
      </c>
      <c r="AA1590">
        <f>HYPERLINK("https://klasma.github.io/Logging_2080/klagomål/S 1023-2023 FSC-klagomål.docx", "S 1023-2023")</f>
        <v/>
      </c>
      <c r="AB1590">
        <f>HYPERLINK("https://klasma.github.io/Logging_2080/klagomålsmail/S 1023-2023 FSC-klagomål mail.docx", "S 1023-2023")</f>
        <v/>
      </c>
      <c r="AC1590">
        <f>HYPERLINK("https://klasma.github.io/Logging_2080/tillsyn/S 1023-2023 tillsynsbegäran.docx", "S 1023-2023")</f>
        <v/>
      </c>
      <c r="AD1590">
        <f>HYPERLINK("https://klasma.github.io/Logging_2080/tillsynsmail/S 1023-2023 tillsynsbegäran mail.docx", "S 1023-2023")</f>
        <v/>
      </c>
    </row>
    <row r="1591" ht="15" customHeight="1">
      <c r="A1591" t="inlineStr">
        <is>
          <t>S 146-2023</t>
        </is>
      </c>
      <c r="B1591" t="inlineStr">
        <is>
          <t>samrådsanmälan</t>
        </is>
      </c>
      <c r="C1591" t="inlineStr">
        <is>
          <t>Annan skogsbruksåtgärd</t>
        </is>
      </c>
      <c r="D1591" s="1" t="n">
        <v>44942</v>
      </c>
      <c r="E1591" s="1" t="n">
        <v>46319</v>
      </c>
      <c r="F1591" t="inlineStr">
        <is>
          <t>DALARNAS LÄN</t>
        </is>
      </c>
      <c r="G1591" t="inlineStr">
        <is>
          <t>VANSBRO</t>
        </is>
      </c>
      <c r="H1591" t="inlineStr">
        <is>
          <t>Bergvik skog öst AB</t>
        </is>
      </c>
      <c r="I1591" t="n">
        <v>8.9</v>
      </c>
      <c r="J1591" t="n">
        <v>0</v>
      </c>
      <c r="K1591" t="n">
        <v>0</v>
      </c>
      <c r="L1591" t="n">
        <v>0</v>
      </c>
      <c r="M1591" t="n">
        <v>1</v>
      </c>
      <c r="N1591" t="n">
        <v>0</v>
      </c>
      <c r="O1591" t="n">
        <v>0</v>
      </c>
      <c r="P1591" t="n">
        <v>0</v>
      </c>
      <c r="Q1591" t="n">
        <v>1</v>
      </c>
      <c r="R1591" t="n">
        <v>1</v>
      </c>
      <c r="S1591" t="n">
        <v>1</v>
      </c>
      <c r="T1591" t="n">
        <v>2</v>
      </c>
      <c r="U1591" t="n">
        <v>0</v>
      </c>
      <c r="V1591" s="2" t="inlineStr">
        <is>
          <t>Garnlav</t>
        </is>
      </c>
      <c r="W1591">
        <f>HYPERLINK("https://klasma.github.io/Logging_2021/artfynd/S 146-2023 artfynd.xlsx", "S 146-2023")</f>
        <v/>
      </c>
      <c r="X1591">
        <f>HYPERLINK("https://klasma.github.io/Logging_2021/kartor/S 146-2023 karta.png", "S 146-2023")</f>
        <v/>
      </c>
      <c r="Y1591">
        <f>HYPERLINK("https://klasma.github.io/Logging_2021/kartor_geotiff/S 146-2023 georefererad karta.tif", "S 146-2023")</f>
        <v/>
      </c>
      <c r="AA1591">
        <f>HYPERLINK("https://klasma.github.io/Logging_2021/klagomål/S 146-2023 FSC-klagomål.docx", "S 146-2023")</f>
        <v/>
      </c>
      <c r="AB1591">
        <f>HYPERLINK("https://klasma.github.io/Logging_2021/klagomålsmail/S 146-2023 FSC-klagomål mail.docx", "S 146-2023")</f>
        <v/>
      </c>
      <c r="AC1591">
        <f>HYPERLINK("https://klasma.github.io/Logging_2021/tillsyn/S 146-2023 tillsynsbegäran.docx", "S 146-2023")</f>
        <v/>
      </c>
      <c r="AD1591">
        <f>HYPERLINK("https://klasma.github.io/Logging_2021/tillsynsmail/S 146-2023 tillsynsbegäran mail.docx", "S 146-2023")</f>
        <v/>
      </c>
    </row>
    <row r="1592" ht="15" customHeight="1">
      <c r="A1592" t="inlineStr">
        <is>
          <t>S 940-2024</t>
        </is>
      </c>
      <c r="B1592" t="inlineStr">
        <is>
          <t>samrådsanmälan</t>
        </is>
      </c>
      <c r="C1592" t="inlineStr">
        <is>
          <t>Skogsgödsling</t>
        </is>
      </c>
      <c r="D1592" s="1" t="n">
        <v>45377</v>
      </c>
      <c r="E1592" s="1" t="n">
        <v>46319</v>
      </c>
      <c r="F1592" t="inlineStr">
        <is>
          <t>DALARNAS LÄN</t>
        </is>
      </c>
      <c r="G1592" t="inlineStr">
        <is>
          <t>VANSBRO</t>
        </is>
      </c>
      <c r="H1592" t="inlineStr">
        <is>
          <t>Bergvik skog väst AB</t>
        </is>
      </c>
      <c r="I1592" t="n">
        <v>158.9</v>
      </c>
      <c r="J1592" t="n">
        <v>0</v>
      </c>
      <c r="K1592" t="n">
        <v>0</v>
      </c>
      <c r="L1592" t="n">
        <v>1</v>
      </c>
      <c r="M1592" t="n">
        <v>0</v>
      </c>
      <c r="N1592" t="n">
        <v>0</v>
      </c>
      <c r="O1592" t="n">
        <v>0</v>
      </c>
      <c r="P1592" t="n">
        <v>0</v>
      </c>
      <c r="Q1592" t="n">
        <v>1</v>
      </c>
      <c r="R1592" t="n">
        <v>0</v>
      </c>
      <c r="S1592" t="n">
        <v>1</v>
      </c>
      <c r="T1592" t="n">
        <v>1</v>
      </c>
      <c r="U1592" t="n">
        <v>0</v>
      </c>
      <c r="V1592" s="2" t="inlineStr">
        <is>
          <t>Lunglav</t>
        </is>
      </c>
      <c r="W1592">
        <f>HYPERLINK("https://klasma.github.io/Logging_2021/artfynd/S 940-2024 artfynd.xlsx", "S 940-2024")</f>
        <v/>
      </c>
      <c r="X1592">
        <f>HYPERLINK("https://klasma.github.io/Logging_2021/kartor/S 940-2024 karta.png", "S 940-2024")</f>
        <v/>
      </c>
      <c r="Y1592">
        <f>HYPERLINK("https://klasma.github.io/Logging_2021/kartor_geotiff/S 940-2024 georefererad karta.tif", "S 940-2024")</f>
        <v/>
      </c>
      <c r="AA1592">
        <f>HYPERLINK("https://klasma.github.io/Logging_2021/klagomål/S 940-2024 FSC-klagomål.docx", "S 940-2024")</f>
        <v/>
      </c>
      <c r="AB1592">
        <f>HYPERLINK("https://klasma.github.io/Logging_2021/klagomålsmail/S 940-2024 FSC-klagomål mail.docx", "S 940-2024")</f>
        <v/>
      </c>
      <c r="AC1592">
        <f>HYPERLINK("https://klasma.github.io/Logging_2021/tillsyn/S 940-2024 tillsynsbegäran.docx", "S 940-2024")</f>
        <v/>
      </c>
      <c r="AD1592">
        <f>HYPERLINK("https://klasma.github.io/Logging_2021/tillsynsmail/S 940-2024 tillsynsbegäran mail.docx", "S 940-2024")</f>
        <v/>
      </c>
    </row>
    <row r="1593" ht="15" customHeight="1">
      <c r="A1593" t="inlineStr">
        <is>
          <t>S 612-2025</t>
        </is>
      </c>
      <c r="B1593" t="inlineStr">
        <is>
          <t>samrådsanmälan</t>
        </is>
      </c>
      <c r="C1593" t="inlineStr">
        <is>
          <t>Skogsgödsling</t>
        </is>
      </c>
      <c r="D1593" s="1" t="n">
        <v>45713</v>
      </c>
      <c r="E1593" s="1" t="n">
        <v>46319</v>
      </c>
      <c r="F1593" t="inlineStr">
        <is>
          <t>DALARNAS LÄN</t>
        </is>
      </c>
      <c r="G1593" t="inlineStr">
        <is>
          <t>ÄLVDALEN</t>
        </is>
      </c>
      <c r="H1593" t="inlineStr">
        <is>
          <t>Allmännings- och besparingsskogar</t>
        </is>
      </c>
      <c r="I1593" t="n">
        <v>55.8</v>
      </c>
      <c r="J1593" t="n">
        <v>0</v>
      </c>
      <c r="K1593" t="n">
        <v>0</v>
      </c>
      <c r="L1593" t="n">
        <v>0</v>
      </c>
      <c r="M1593" t="n">
        <v>0</v>
      </c>
      <c r="N1593" t="n">
        <v>1</v>
      </c>
      <c r="O1593" t="n">
        <v>0</v>
      </c>
      <c r="P1593" t="n">
        <v>0</v>
      </c>
      <c r="Q1593" t="n">
        <v>1</v>
      </c>
      <c r="R1593" t="n">
        <v>1</v>
      </c>
      <c r="S1593" t="n">
        <v>1</v>
      </c>
      <c r="T1593" t="n">
        <v>1</v>
      </c>
      <c r="U1593" t="n">
        <v>1</v>
      </c>
      <c r="V1593" s="2" t="inlineStr">
        <is>
          <t>Trådbrosklav</t>
        </is>
      </c>
      <c r="W1593">
        <f>HYPERLINK("https://klasma.github.io/Logging_2039/artfynd/S 612-2025 artfynd.xlsx", "S 612-2025")</f>
        <v/>
      </c>
      <c r="X1593">
        <f>HYPERLINK("https://klasma.github.io/Logging_2039/kartor/S 612-2025 karta.png", "S 612-2025")</f>
        <v/>
      </c>
      <c r="Y1593">
        <f>HYPERLINK("https://klasma.github.io/Logging_2039/kartor_geotiff/S 612-2025 georefererad karta.tif", "S 612-2025")</f>
        <v/>
      </c>
      <c r="AA1593">
        <f>HYPERLINK("https://klasma.github.io/Logging_2039/klagomål/S 612-2025 FSC-klagomål.docx", "S 612-2025")</f>
        <v/>
      </c>
      <c r="AB1593">
        <f>HYPERLINK("https://klasma.github.io/Logging_2039/klagomålsmail/S 612-2025 FSC-klagomål mail.docx", "S 612-2025")</f>
        <v/>
      </c>
      <c r="AC1593">
        <f>HYPERLINK("https://klasma.github.io/Logging_2039/tillsyn/S 612-2025 tillsynsbegäran.docx", "S 612-2025")</f>
        <v/>
      </c>
      <c r="AD1593">
        <f>HYPERLINK("https://klasma.github.io/Logging_2039/tillsynsmail/S 612-2025 tillsynsbegäran mail.docx", "S 612-2025")</f>
        <v/>
      </c>
    </row>
    <row r="1594" ht="15" customHeight="1">
      <c r="A1594" t="inlineStr">
        <is>
          <t>S 1666-2025</t>
        </is>
      </c>
      <c r="B1594" t="inlineStr">
        <is>
          <t>samrådsanmälan</t>
        </is>
      </c>
      <c r="C1594" t="inlineStr">
        <is>
          <t>Skogsgödsling</t>
        </is>
      </c>
      <c r="D1594" s="1" t="n">
        <v>45803</v>
      </c>
      <c r="E1594" s="1" t="n">
        <v>46319</v>
      </c>
      <c r="F1594" t="inlineStr">
        <is>
          <t>DALARNAS LÄN</t>
        </is>
      </c>
      <c r="G1594" t="inlineStr">
        <is>
          <t>BORLÄNGE</t>
        </is>
      </c>
      <c r="I1594" t="n">
        <v>41.9</v>
      </c>
      <c r="J1594" t="n">
        <v>0</v>
      </c>
      <c r="K1594" t="n">
        <v>0</v>
      </c>
      <c r="L1594" t="n">
        <v>1</v>
      </c>
      <c r="M1594" t="n">
        <v>0</v>
      </c>
      <c r="N1594" t="n">
        <v>0</v>
      </c>
      <c r="O1594" t="n">
        <v>0</v>
      </c>
      <c r="P1594" t="n">
        <v>0</v>
      </c>
      <c r="Q1594" t="n">
        <v>1</v>
      </c>
      <c r="R1594" t="n">
        <v>0</v>
      </c>
      <c r="S1594" t="n">
        <v>1</v>
      </c>
      <c r="T1594" t="n">
        <v>1</v>
      </c>
      <c r="U1594" t="n">
        <v>1</v>
      </c>
      <c r="V1594" s="2" t="inlineStr">
        <is>
          <t>Motaggsvamp</t>
        </is>
      </c>
      <c r="W1594">
        <f>HYPERLINK("https://klasma.github.io/Logging_2081/artfynd/S 1666-2025 artfynd.xlsx", "S 1666-2025")</f>
        <v/>
      </c>
      <c r="X1594">
        <f>HYPERLINK("https://klasma.github.io/Logging_2081/kartor/S 1666-2025 karta.png", "S 1666-2025")</f>
        <v/>
      </c>
      <c r="Y1594">
        <f>HYPERLINK("https://klasma.github.io/Logging_2081/kartor_geotiff/S 1666-2025 georefererad karta.tif", "S 1666-2025")</f>
        <v/>
      </c>
      <c r="AA1594">
        <f>HYPERLINK("https://klasma.github.io/Logging_2081/klagomål/S 1666-2025 FSC-klagomål.docx", "S 1666-2025")</f>
        <v/>
      </c>
      <c r="AB1594">
        <f>HYPERLINK("https://klasma.github.io/Logging_2081/klagomålsmail/S 1666-2025 FSC-klagomål mail.docx", "S 1666-2025")</f>
        <v/>
      </c>
      <c r="AC1594">
        <f>HYPERLINK("https://klasma.github.io/Logging_2081/tillsyn/S 1666-2025 tillsynsbegäran.docx", "S 1666-2025")</f>
        <v/>
      </c>
      <c r="AD1594">
        <f>HYPERLINK("https://klasma.github.io/Logging_2081/tillsynsmail/S 1666-2025 tillsynsbegäran mail.docx", "S 1666-2025")</f>
        <v/>
      </c>
    </row>
    <row r="1595" ht="15" customHeight="1">
      <c r="A1595" t="inlineStr">
        <is>
          <t>S 2480-2025</t>
        </is>
      </c>
      <c r="B1595" t="inlineStr">
        <is>
          <t>samrådsanmälan</t>
        </is>
      </c>
      <c r="C1595" t="inlineStr">
        <is>
          <t>Annan skogsbruksåtgärd</t>
        </is>
      </c>
      <c r="D1595" s="1" t="n">
        <v>45903</v>
      </c>
      <c r="E1595" s="1" t="n">
        <v>46319</v>
      </c>
      <c r="F1595" t="inlineStr">
        <is>
          <t>DALARNAS LÄN</t>
        </is>
      </c>
      <c r="G1595" t="inlineStr">
        <is>
          <t>ÄLVDALEN</t>
        </is>
      </c>
      <c r="H1595" t="inlineStr">
        <is>
          <t>Sveaskog</t>
        </is>
      </c>
      <c r="I1595" t="n">
        <v>5.5</v>
      </c>
      <c r="J1595" t="n">
        <v>0</v>
      </c>
      <c r="K1595" t="n">
        <v>0</v>
      </c>
      <c r="L1595" t="n">
        <v>1</v>
      </c>
      <c r="M1595" t="n">
        <v>0</v>
      </c>
      <c r="N1595" t="n">
        <v>0</v>
      </c>
      <c r="O1595" t="n">
        <v>0</v>
      </c>
      <c r="P1595" t="n">
        <v>0</v>
      </c>
      <c r="Q1595" t="n">
        <v>1</v>
      </c>
      <c r="R1595" t="n">
        <v>0</v>
      </c>
      <c r="S1595" t="n">
        <v>1</v>
      </c>
      <c r="T1595" t="n">
        <v>1</v>
      </c>
      <c r="U1595" t="n">
        <v>0</v>
      </c>
      <c r="V1595" s="2" t="inlineStr">
        <is>
          <t>Dropptaggsvamp</t>
        </is>
      </c>
      <c r="W1595">
        <f>HYPERLINK("https://klasma.github.io/Logging_2039/artfynd/S 2480-2025 artfynd.xlsx", "S 2480-2025")</f>
        <v/>
      </c>
      <c r="X1595">
        <f>HYPERLINK("https://klasma.github.io/Logging_2039/kartor/S 2480-2025 karta.png", "S 2480-2025")</f>
        <v/>
      </c>
      <c r="Y1595">
        <f>HYPERLINK("https://klasma.github.io/Logging_2039/kartor_geotiff/S 2480-2025 georefererad karta.tif", "S 2480-2025")</f>
        <v/>
      </c>
      <c r="AA1595">
        <f>HYPERLINK("https://klasma.github.io/Logging_2039/klagomål/S 2480-2025 FSC-klagomål.docx", "S 2480-2025")</f>
        <v/>
      </c>
      <c r="AB1595">
        <f>HYPERLINK("https://klasma.github.io/Logging_2039/klagomålsmail/S 2480-2025 FSC-klagomål mail.docx", "S 2480-2025")</f>
        <v/>
      </c>
      <c r="AC1595">
        <f>HYPERLINK("https://klasma.github.io/Logging_2039/tillsyn/S 2480-2025 tillsynsbegäran.docx", "S 2480-2025")</f>
        <v/>
      </c>
      <c r="AD1595">
        <f>HYPERLINK("https://klasma.github.io/Logging_2039/tillsynsmail/S 2480-2025 tillsynsbegäran mail.docx", "S 2480-2025")</f>
        <v/>
      </c>
    </row>
    <row r="1596" ht="15" customHeight="1">
      <c r="A1596" t="inlineStr">
        <is>
          <t>S 2942-2025</t>
        </is>
      </c>
      <c r="B1596" t="inlineStr">
        <is>
          <t>samrådsanmälan</t>
        </is>
      </c>
      <c r="C1596" t="inlineStr">
        <is>
          <t>Annan skogsbruksåtgärd</t>
        </is>
      </c>
      <c r="D1596" s="1" t="n">
        <v>45952</v>
      </c>
      <c r="E1596" s="1" t="n">
        <v>46319</v>
      </c>
      <c r="F1596" t="inlineStr">
        <is>
          <t>DALARNAS LÄN</t>
        </is>
      </c>
      <c r="G1596" t="inlineStr">
        <is>
          <t>AVESTA</t>
        </is>
      </c>
      <c r="I1596" t="n">
        <v>12.3</v>
      </c>
      <c r="J1596" t="n">
        <v>1</v>
      </c>
      <c r="K1596" t="n">
        <v>0</v>
      </c>
      <c r="L1596" t="n">
        <v>0</v>
      </c>
      <c r="M1596" t="n">
        <v>0</v>
      </c>
      <c r="N1596" t="n">
        <v>0</v>
      </c>
      <c r="O1596" t="n">
        <v>0</v>
      </c>
      <c r="P1596" t="n">
        <v>0</v>
      </c>
      <c r="Q1596" t="n">
        <v>0</v>
      </c>
      <c r="R1596" t="n">
        <v>0</v>
      </c>
      <c r="S1596" t="n">
        <v>1</v>
      </c>
      <c r="T1596" t="n">
        <v>1</v>
      </c>
      <c r="U1596" t="n">
        <v>0</v>
      </c>
      <c r="V1596" s="2" t="inlineStr">
        <is>
          <t>Spillkråka</t>
        </is>
      </c>
      <c r="W1596">
        <f>HYPERLINK("https://klasma.github.io/Logging_2084/artfynd/S 2942-2025 artfynd.xlsx", "S 2942-2025")</f>
        <v/>
      </c>
      <c r="X1596">
        <f>HYPERLINK("https://klasma.github.io/Logging_2084/kartor/S 2942-2025 karta.png", "S 2942-2025")</f>
        <v/>
      </c>
      <c r="Y1596">
        <f>HYPERLINK("https://klasma.github.io/Logging_2084/kartor_geotiff/S 2942-2025 georefererad karta.tif", "S 2942-2025")</f>
        <v/>
      </c>
      <c r="AA1596">
        <f>HYPERLINK("https://klasma.github.io/Logging_2084/klagomål/S 2942-2025 FSC-klagomål.docx", "S 2942-2025")</f>
        <v/>
      </c>
      <c r="AB1596">
        <f>HYPERLINK("https://klasma.github.io/Logging_2084/klagomålsmail/S 2942-2025 FSC-klagomål mail.docx", "S 2942-2025")</f>
        <v/>
      </c>
      <c r="AC1596">
        <f>HYPERLINK("https://klasma.github.io/Logging_2084/tillsyn/S 2942-2025 tillsynsbegäran.docx", "S 2942-2025")</f>
        <v/>
      </c>
      <c r="AD1596">
        <f>HYPERLINK("https://klasma.github.io/Logging_2084/tillsynsmail/S 2942-2025 tillsynsbegäran mail.docx", "S 2942-2025")</f>
        <v/>
      </c>
      <c r="AE1596">
        <f>HYPERLINK("https://klasma.github.io/Logging_2084/fåglar/S 2942-2025 prioriterade fågelarter.docx", "S 2942-2025")</f>
        <v/>
      </c>
    </row>
    <row r="1597" ht="15" customHeight="1">
      <c r="A1597" t="inlineStr">
        <is>
          <t>S 3402-2025</t>
        </is>
      </c>
      <c r="B1597" t="inlineStr">
        <is>
          <t>samrådsanmälan</t>
        </is>
      </c>
      <c r="C1597" t="inlineStr">
        <is>
          <t>Annan skogsbruksåtgärd</t>
        </is>
      </c>
      <c r="D1597" s="1" t="n">
        <v>45995</v>
      </c>
      <c r="E1597" s="1" t="n">
        <v>46319</v>
      </c>
      <c r="F1597" t="inlineStr">
        <is>
          <t>DALARNAS LÄN</t>
        </is>
      </c>
      <c r="G1597" t="inlineStr">
        <is>
          <t>AVESTA</t>
        </is>
      </c>
      <c r="H1597" t="inlineStr">
        <is>
          <t>Sveaskog</t>
        </is>
      </c>
      <c r="I1597" t="n">
        <v>1.9</v>
      </c>
      <c r="J1597" t="n">
        <v>0</v>
      </c>
      <c r="K1597" t="n">
        <v>0</v>
      </c>
      <c r="L1597" t="n">
        <v>1</v>
      </c>
      <c r="M1597" t="n">
        <v>0</v>
      </c>
      <c r="N1597" t="n">
        <v>0</v>
      </c>
      <c r="O1597" t="n">
        <v>0</v>
      </c>
      <c r="P1597" t="n">
        <v>0</v>
      </c>
      <c r="Q1597" t="n">
        <v>1</v>
      </c>
      <c r="R1597" t="n">
        <v>0</v>
      </c>
      <c r="S1597" t="n">
        <v>1</v>
      </c>
      <c r="T1597" t="n">
        <v>1</v>
      </c>
      <c r="U1597" t="n">
        <v>0</v>
      </c>
      <c r="V1597" s="2" t="inlineStr">
        <is>
          <t>Ullticka</t>
        </is>
      </c>
      <c r="W1597">
        <f>HYPERLINK("https://klasma.github.io/Logging_2084/artfynd/S 3402-2025 artfynd.xlsx", "S 3402-2025")</f>
        <v/>
      </c>
      <c r="X1597">
        <f>HYPERLINK("https://klasma.github.io/Logging_2084/kartor/S 3402-2025 karta.png", "S 3402-2025")</f>
        <v/>
      </c>
      <c r="Y1597">
        <f>HYPERLINK("https://klasma.github.io/Logging_2084/kartor_geotiff/S 3402-2025 georefererad karta.tif", "S 3402-2025")</f>
        <v/>
      </c>
      <c r="AA1597">
        <f>HYPERLINK("https://klasma.github.io/Logging_2084/klagomål/S 3402-2025 FSC-klagomål.docx", "S 3402-2025")</f>
        <v/>
      </c>
      <c r="AB1597">
        <f>HYPERLINK("https://klasma.github.io/Logging_2084/klagomålsmail/S 3402-2025 FSC-klagomål mail.docx", "S 3402-2025")</f>
        <v/>
      </c>
      <c r="AC1597">
        <f>HYPERLINK("https://klasma.github.io/Logging_2084/tillsyn/S 3402-2025 tillsynsbegäran.docx", "S 3402-2025")</f>
        <v/>
      </c>
      <c r="AD1597">
        <f>HYPERLINK("https://klasma.github.io/Logging_2084/tillsynsmail/S 3402-2025 tillsynsbegäran mail.docx", "S 3402-2025")</f>
        <v/>
      </c>
    </row>
    <row r="1598" ht="15" customHeight="1">
      <c r="A1598" t="inlineStr">
        <is>
          <t>S 3446-2025</t>
        </is>
      </c>
      <c r="B1598" t="inlineStr">
        <is>
          <t>samrådsanmälan</t>
        </is>
      </c>
      <c r="C1598" t="inlineStr">
        <is>
          <t>Skogsgödsling</t>
        </is>
      </c>
      <c r="D1598" s="1" t="n">
        <v>45996</v>
      </c>
      <c r="E1598" s="1" t="n">
        <v>46319</v>
      </c>
      <c r="F1598" t="inlineStr">
        <is>
          <t>DALARNAS LÄN</t>
        </is>
      </c>
      <c r="G1598" t="inlineStr">
        <is>
          <t>LEKSAND</t>
        </is>
      </c>
      <c r="H1598" t="inlineStr">
        <is>
          <t>Bergvik skog väst AB</t>
        </is>
      </c>
      <c r="I1598" t="n">
        <v>15.7</v>
      </c>
      <c r="J1598" t="n">
        <v>1</v>
      </c>
      <c r="K1598" t="n">
        <v>1</v>
      </c>
      <c r="L1598" t="n">
        <v>0</v>
      </c>
      <c r="M1598" t="n">
        <v>0</v>
      </c>
      <c r="N1598" t="n">
        <v>0</v>
      </c>
      <c r="O1598" t="n">
        <v>0</v>
      </c>
      <c r="P1598" t="n">
        <v>0</v>
      </c>
      <c r="Q1598" t="n">
        <v>0</v>
      </c>
      <c r="R1598" t="n">
        <v>0</v>
      </c>
      <c r="S1598" t="n">
        <v>1</v>
      </c>
      <c r="T1598" t="n">
        <v>1</v>
      </c>
      <c r="U1598" t="n">
        <v>0</v>
      </c>
      <c r="V1598" s="2" t="inlineStr">
        <is>
          <t>Plattlummer</t>
        </is>
      </c>
      <c r="W1598">
        <f>HYPERLINK("https://klasma.github.io/Logging_2029/artfynd/S 3446-2025 artfynd.xlsx", "S 3446-2025")</f>
        <v/>
      </c>
      <c r="X1598">
        <f>HYPERLINK("https://klasma.github.io/Logging_2029/kartor/S 3446-2025 karta.png", "S 3446-2025")</f>
        <v/>
      </c>
      <c r="Y1598">
        <f>HYPERLINK("https://klasma.github.io/Logging_2029/kartor_geotiff/S 3446-2025 georefererad karta.tif", "S 3446-2025")</f>
        <v/>
      </c>
      <c r="AA1598">
        <f>HYPERLINK("https://klasma.github.io/Logging_2029/klagomål/S 3446-2025 FSC-klagomål.docx", "S 3446-2025")</f>
        <v/>
      </c>
      <c r="AB1598">
        <f>HYPERLINK("https://klasma.github.io/Logging_2029/klagomålsmail/S 3446-2025 FSC-klagomål mail.docx", "S 3446-2025")</f>
        <v/>
      </c>
      <c r="AC1598">
        <f>HYPERLINK("https://klasma.github.io/Logging_2029/tillsyn/S 3446-2025 tillsynsbegäran.docx", "S 3446-2025")</f>
        <v/>
      </c>
      <c r="AD1598">
        <f>HYPERLINK("https://klasma.github.io/Logging_2029/tillsynsmail/S 3446-2025 tillsynsbegäran mail.docx", "S 3446-2025")</f>
        <v/>
      </c>
    </row>
    <row r="1599" ht="15" customHeight="1">
      <c r="A1599" t="inlineStr">
        <is>
          <t>S 15-2026</t>
        </is>
      </c>
      <c r="B1599" t="inlineStr">
        <is>
          <t>samrådsanmälan</t>
        </is>
      </c>
      <c r="C1599" t="inlineStr">
        <is>
          <t>Annan skogsbruksåtgärd</t>
        </is>
      </c>
      <c r="D1599" s="1" t="n">
        <v>46029</v>
      </c>
      <c r="E1599" s="1" t="n">
        <v>46319</v>
      </c>
      <c r="F1599" t="inlineStr">
        <is>
          <t>DALARNAS LÄN</t>
        </is>
      </c>
      <c r="G1599" t="inlineStr">
        <is>
          <t>SMEDJEBACKEN</t>
        </is>
      </c>
      <c r="I1599" t="n">
        <v>0.4</v>
      </c>
      <c r="J1599" t="n">
        <v>0</v>
      </c>
      <c r="K1599" t="n">
        <v>0</v>
      </c>
      <c r="L1599" t="n">
        <v>1</v>
      </c>
      <c r="M1599" t="n">
        <v>0</v>
      </c>
      <c r="N1599" t="n">
        <v>0</v>
      </c>
      <c r="O1599" t="n">
        <v>0</v>
      </c>
      <c r="P1599" t="n">
        <v>0</v>
      </c>
      <c r="Q1599" t="n">
        <v>1</v>
      </c>
      <c r="R1599" t="n">
        <v>0</v>
      </c>
      <c r="S1599" t="n">
        <v>1</v>
      </c>
      <c r="T1599" t="n">
        <v>1</v>
      </c>
      <c r="U1599" t="n">
        <v>0</v>
      </c>
      <c r="V1599" s="2" t="inlineStr">
        <is>
          <t>Ullticka</t>
        </is>
      </c>
      <c r="W1599">
        <f>HYPERLINK("https://klasma.github.io/Logging_2061/artfynd/S 15-2026 artfynd.xlsx", "S 15-2026")</f>
        <v/>
      </c>
      <c r="X1599">
        <f>HYPERLINK("https://klasma.github.io/Logging_2061/kartor/S 15-2026 karta.png", "S 15-2026")</f>
        <v/>
      </c>
      <c r="Y1599">
        <f>HYPERLINK("https://klasma.github.io/Logging_2061/kartor_geotiff/S 15-2026 georefererad karta.tif", "S 15-2026")</f>
        <v/>
      </c>
      <c r="AA1599">
        <f>HYPERLINK("https://klasma.github.io/Logging_2061/klagomål/S 15-2026 FSC-klagomål.docx", "S 15-2026")</f>
        <v/>
      </c>
      <c r="AB1599">
        <f>HYPERLINK("https://klasma.github.io/Logging_2061/klagomålsmail/S 15-2026 FSC-klagomål mail.docx", "S 15-2026")</f>
        <v/>
      </c>
      <c r="AC1599">
        <f>HYPERLINK("https://klasma.github.io/Logging_2061/tillsyn/S 15-2026 tillsynsbegäran.docx", "S 15-2026")</f>
        <v/>
      </c>
      <c r="AD1599">
        <f>HYPERLINK("https://klasma.github.io/Logging_2061/tillsynsmail/S 15-2026 tillsynsbegäran mail.docx", "S 15-2026")</f>
        <v/>
      </c>
    </row>
    <row r="1600" ht="15" customHeight="1">
      <c r="A1600" t="inlineStr">
        <is>
          <t>S 281-2026</t>
        </is>
      </c>
      <c r="B1600" t="inlineStr">
        <is>
          <t>samrådsanmälan</t>
        </is>
      </c>
      <c r="C1600" t="inlineStr">
        <is>
          <t>Annan skogsbruksåtgärd</t>
        </is>
      </c>
      <c r="D1600" s="1" t="n">
        <v>46056</v>
      </c>
      <c r="E1600" s="1" t="n">
        <v>46319</v>
      </c>
      <c r="F1600" t="inlineStr">
        <is>
          <t>DALARNAS LÄN</t>
        </is>
      </c>
      <c r="G1600" t="inlineStr">
        <is>
          <t>AVESTA</t>
        </is>
      </c>
      <c r="H1600" t="inlineStr">
        <is>
          <t>Sveaskog</t>
        </is>
      </c>
      <c r="I1600" t="n">
        <v>24.4</v>
      </c>
      <c r="J1600" t="n">
        <v>1</v>
      </c>
      <c r="K1600" t="n">
        <v>0</v>
      </c>
      <c r="L1600" t="n">
        <v>1</v>
      </c>
      <c r="M1600" t="n">
        <v>0</v>
      </c>
      <c r="N1600" t="n">
        <v>0</v>
      </c>
      <c r="O1600" t="n">
        <v>0</v>
      </c>
      <c r="P1600" t="n">
        <v>0</v>
      </c>
      <c r="Q1600" t="n">
        <v>1</v>
      </c>
      <c r="R1600" t="n">
        <v>0</v>
      </c>
      <c r="S1600" t="n">
        <v>1</v>
      </c>
      <c r="T1600" t="n">
        <v>2</v>
      </c>
      <c r="U1600" t="n">
        <v>0</v>
      </c>
      <c r="V1600" s="2" t="inlineStr">
        <is>
          <t>Nordfladdermus</t>
        </is>
      </c>
      <c r="W1600">
        <f>HYPERLINK("https://klasma.github.io/Logging_2084/artfynd/S 281-2026 artfynd.xlsx", "S 281-2026")</f>
        <v/>
      </c>
      <c r="X1600">
        <f>HYPERLINK("https://klasma.github.io/Logging_2084/kartor/S 281-2026 karta.png", "S 281-2026")</f>
        <v/>
      </c>
      <c r="Y1600">
        <f>HYPERLINK("https://klasma.github.io/Logging_2084/kartor_geotiff/S 281-2026 georefererad karta.tif", "S 281-2026")</f>
        <v/>
      </c>
      <c r="AA1600">
        <f>HYPERLINK("https://klasma.github.io/Logging_2084/klagomål/S 281-2026 FSC-klagomål.docx", "S 281-2026")</f>
        <v/>
      </c>
      <c r="AB1600">
        <f>HYPERLINK("https://klasma.github.io/Logging_2084/klagomålsmail/S 281-2026 FSC-klagomål mail.docx", "S 281-2026")</f>
        <v/>
      </c>
      <c r="AC1600">
        <f>HYPERLINK("https://klasma.github.io/Logging_2084/tillsyn/S 281-2026 tillsynsbegäran.docx", "S 281-2026")</f>
        <v/>
      </c>
      <c r="AD1600">
        <f>HYPERLINK("https://klasma.github.io/Logging_2084/tillsynsmail/S 281-2026 tillsynsbegäran mail.docx", "S 281-2026")</f>
        <v/>
      </c>
    </row>
    <row r="1601" ht="15" customHeight="1">
      <c r="A1601" t="inlineStr">
        <is>
          <t>S 406-2026</t>
        </is>
      </c>
      <c r="B1601" t="inlineStr">
        <is>
          <t>samrådsanmälan</t>
        </is>
      </c>
      <c r="C1601" t="inlineStr">
        <is>
          <t>Skogsgödsling</t>
        </is>
      </c>
      <c r="D1601" s="1" t="n">
        <v>46069</v>
      </c>
      <c r="E1601" s="1" t="n">
        <v>46319</v>
      </c>
      <c r="F1601" t="inlineStr">
        <is>
          <t>DALARNAS LÄN</t>
        </is>
      </c>
      <c r="G1601" t="inlineStr">
        <is>
          <t>HEDEMORA</t>
        </is>
      </c>
      <c r="H1601" t="inlineStr">
        <is>
          <t>Sveaskog</t>
        </is>
      </c>
      <c r="I1601" t="n">
        <v>112.7</v>
      </c>
      <c r="J1601" t="n">
        <v>0</v>
      </c>
      <c r="K1601" t="n">
        <v>0</v>
      </c>
      <c r="L1601" t="n">
        <v>1</v>
      </c>
      <c r="M1601" t="n">
        <v>0</v>
      </c>
      <c r="N1601" t="n">
        <v>0</v>
      </c>
      <c r="O1601" t="n">
        <v>0</v>
      </c>
      <c r="P1601" t="n">
        <v>0</v>
      </c>
      <c r="Q1601" t="n">
        <v>1</v>
      </c>
      <c r="R1601" t="n">
        <v>0</v>
      </c>
      <c r="S1601" t="n">
        <v>1</v>
      </c>
      <c r="T1601" t="n">
        <v>1</v>
      </c>
      <c r="U1601" t="n">
        <v>0</v>
      </c>
      <c r="V1601" s="2" t="inlineStr">
        <is>
          <t>Svartvit taggsvamp</t>
        </is>
      </c>
      <c r="W1601">
        <f>HYPERLINK("https://klasma.github.io/Logging_2083/artfynd/S 406-2026 artfynd.xlsx", "S 406-2026")</f>
        <v/>
      </c>
      <c r="X1601">
        <f>HYPERLINK("https://klasma.github.io/Logging_2083/kartor/S 406-2026 karta.png", "S 406-2026")</f>
        <v/>
      </c>
      <c r="Y1601">
        <f>HYPERLINK("https://klasma.github.io/Logging_2083/kartor_geotiff/S 406-2026 georefererad karta.tif", "S 406-2026")</f>
        <v/>
      </c>
      <c r="AA1601">
        <f>HYPERLINK("https://klasma.github.io/Logging_2083/klagomål/S 406-2026 FSC-klagomål.docx", "S 406-2026")</f>
        <v/>
      </c>
      <c r="AB1601">
        <f>HYPERLINK("https://klasma.github.io/Logging_2083/klagomålsmail/S 406-2026 FSC-klagomål mail.docx", "S 406-2026")</f>
        <v/>
      </c>
      <c r="AC1601">
        <f>HYPERLINK("https://klasma.github.io/Logging_2083/tillsyn/S 406-2026 tillsynsbegäran.docx", "S 406-2026")</f>
        <v/>
      </c>
      <c r="AD1601">
        <f>HYPERLINK("https://klasma.github.io/Logging_2083/tillsynsmail/S 406-2026 tillsynsbegäran mail.docx", "S 406-2026")</f>
        <v/>
      </c>
    </row>
    <row r="1602" ht="15" customHeight="1">
      <c r="A1602" t="inlineStr">
        <is>
          <t>S 654-2026</t>
        </is>
      </c>
      <c r="B1602" t="inlineStr">
        <is>
          <t>samrådsanmälan</t>
        </is>
      </c>
      <c r="C1602" t="inlineStr">
        <is>
          <t>Skogsgödsling</t>
        </is>
      </c>
      <c r="D1602" s="1" t="n">
        <v>46089</v>
      </c>
      <c r="E1602" s="1" t="n">
        <v>46319</v>
      </c>
      <c r="F1602" t="inlineStr">
        <is>
          <t>DALARNAS LÄN</t>
        </is>
      </c>
      <c r="G1602" t="inlineStr">
        <is>
          <t>MORA</t>
        </is>
      </c>
      <c r="H1602" t="inlineStr">
        <is>
          <t>Bergvik skog öst AB</t>
        </is>
      </c>
      <c r="I1602" t="n">
        <v>9.5</v>
      </c>
      <c r="J1602" t="n">
        <v>1</v>
      </c>
      <c r="K1602" t="n">
        <v>0</v>
      </c>
      <c r="L1602" t="n">
        <v>1</v>
      </c>
      <c r="M1602" t="n">
        <v>0</v>
      </c>
      <c r="N1602" t="n">
        <v>0</v>
      </c>
      <c r="O1602" t="n">
        <v>0</v>
      </c>
      <c r="P1602" t="n">
        <v>0</v>
      </c>
      <c r="Q1602" t="n">
        <v>1</v>
      </c>
      <c r="R1602" t="n">
        <v>0</v>
      </c>
      <c r="S1602" t="n">
        <v>1</v>
      </c>
      <c r="T1602" t="n">
        <v>1</v>
      </c>
      <c r="U1602" t="n">
        <v>0</v>
      </c>
      <c r="V1602" s="2" t="inlineStr">
        <is>
          <t>Lavskrika</t>
        </is>
      </c>
      <c r="W1602">
        <f>HYPERLINK("https://klasma.github.io/Logging_2062/artfynd/S 654-2026 artfynd.xlsx", "S 654-2026")</f>
        <v/>
      </c>
      <c r="X1602">
        <f>HYPERLINK("https://klasma.github.io/Logging_2062/kartor/S 654-2026 karta.png", "S 654-2026")</f>
        <v/>
      </c>
      <c r="Y1602">
        <f>HYPERLINK("https://klasma.github.io/Logging_2062/kartor_geotiff/S 654-2026 georefererad karta.tif", "S 654-2026")</f>
        <v/>
      </c>
      <c r="AA1602">
        <f>HYPERLINK("https://klasma.github.io/Logging_2062/klagomål/S 654-2026 FSC-klagomål.docx", "S 654-2026")</f>
        <v/>
      </c>
      <c r="AB1602">
        <f>HYPERLINK("https://klasma.github.io/Logging_2062/klagomålsmail/S 654-2026 FSC-klagomål mail.docx", "S 654-2026")</f>
        <v/>
      </c>
      <c r="AC1602">
        <f>HYPERLINK("https://klasma.github.io/Logging_2062/tillsyn/S 654-2026 tillsynsbegäran.docx", "S 654-2026")</f>
        <v/>
      </c>
      <c r="AD1602">
        <f>HYPERLINK("https://klasma.github.io/Logging_2062/tillsynsmail/S 654-2026 tillsynsbegäran mail.docx", "S 654-2026")</f>
        <v/>
      </c>
      <c r="AE1602">
        <f>HYPERLINK("https://klasma.github.io/Logging_2062/fåglar/S 654-2026 prioriterade fågelarter.docx", "S 654-2026")</f>
        <v/>
      </c>
    </row>
    <row r="1603" ht="15" customHeight="1">
      <c r="A1603" t="inlineStr">
        <is>
          <t>S 809-2026</t>
        </is>
      </c>
      <c r="B1603" t="inlineStr">
        <is>
          <t>samrådsanmälan</t>
        </is>
      </c>
      <c r="C1603" t="inlineStr">
        <is>
          <t>Annan skogsbruksåtgärd</t>
        </is>
      </c>
      <c r="D1603" s="1" t="n">
        <v>46100</v>
      </c>
      <c r="E1603" s="1" t="n">
        <v>46319</v>
      </c>
      <c r="F1603" t="inlineStr">
        <is>
          <t>DALARNAS LÄN</t>
        </is>
      </c>
      <c r="G1603" t="inlineStr">
        <is>
          <t>FALUN</t>
        </is>
      </c>
      <c r="H1603" t="inlineStr">
        <is>
          <t>Allmännings- och besparingsskogar</t>
        </is>
      </c>
      <c r="I1603" t="n">
        <v>13.1</v>
      </c>
      <c r="J1603" t="n">
        <v>0</v>
      </c>
      <c r="K1603" t="n">
        <v>0</v>
      </c>
      <c r="L1603" t="n">
        <v>0</v>
      </c>
      <c r="M1603" t="n">
        <v>1</v>
      </c>
      <c r="N1603" t="n">
        <v>0</v>
      </c>
      <c r="O1603" t="n">
        <v>0</v>
      </c>
      <c r="P1603" t="n">
        <v>0</v>
      </c>
      <c r="Q1603" t="n">
        <v>1</v>
      </c>
      <c r="R1603" t="n">
        <v>1</v>
      </c>
      <c r="S1603" t="n">
        <v>1</v>
      </c>
      <c r="T1603" t="n">
        <v>5</v>
      </c>
      <c r="U1603" t="n">
        <v>0</v>
      </c>
      <c r="V1603" s="2" t="inlineStr">
        <is>
          <t>Garnlav</t>
        </is>
      </c>
      <c r="W1603">
        <f>HYPERLINK("https://klasma.github.io/Logging_2080/artfynd/S 809-2026 artfynd.xlsx", "S 809-2026")</f>
        <v/>
      </c>
      <c r="X1603">
        <f>HYPERLINK("https://klasma.github.io/Logging_2080/kartor/S 809-2026 karta.png", "S 809-2026")</f>
        <v/>
      </c>
      <c r="Y1603">
        <f>HYPERLINK("https://klasma.github.io/Logging_2080/kartor_geotiff/S 809-2026 georefererad karta.tif", "S 809-2026")</f>
        <v/>
      </c>
      <c r="AA1603">
        <f>HYPERLINK("https://klasma.github.io/Logging_2080/klagomål/S 809-2026 FSC-klagomål.docx", "S 809-2026")</f>
        <v/>
      </c>
      <c r="AB1603">
        <f>HYPERLINK("https://klasma.github.io/Logging_2080/klagomålsmail/S 809-2026 FSC-klagomål mail.docx", "S 809-2026")</f>
        <v/>
      </c>
      <c r="AC1603">
        <f>HYPERLINK("https://klasma.github.io/Logging_2080/tillsyn/S 809-2026 tillsynsbegäran.docx", "S 809-2026")</f>
        <v/>
      </c>
      <c r="AD1603">
        <f>HYPERLINK("https://klasma.github.io/Logging_2080/tillsynsmail/S 809-2026 tillsynsbegäran mail.docx", "S 809-2026")</f>
        <v/>
      </c>
    </row>
    <row r="1604" ht="15" customHeight="1">
      <c r="A1604" t="inlineStr">
        <is>
          <t>S 1579-2026</t>
        </is>
      </c>
      <c r="B1604" t="inlineStr">
        <is>
          <t>samrådsanmälan</t>
        </is>
      </c>
      <c r="C1604" t="inlineStr">
        <is>
          <t>Annan skogsbruksåtgärd</t>
        </is>
      </c>
      <c r="D1604" s="1" t="n">
        <v>46170</v>
      </c>
      <c r="E1604" s="1" t="n">
        <v>46319</v>
      </c>
      <c r="F1604" t="inlineStr">
        <is>
          <t>DALARNAS LÄN</t>
        </is>
      </c>
      <c r="G1604" t="inlineStr">
        <is>
          <t>BORLÄNGE</t>
        </is>
      </c>
      <c r="I1604" t="n">
        <v>2.9</v>
      </c>
      <c r="J1604" t="n">
        <v>1</v>
      </c>
      <c r="K1604" t="n">
        <v>0</v>
      </c>
      <c r="L1604" t="n">
        <v>0</v>
      </c>
      <c r="M1604" t="n">
        <v>0</v>
      </c>
      <c r="N1604" t="n">
        <v>0</v>
      </c>
      <c r="O1604" t="n">
        <v>0</v>
      </c>
      <c r="P1604" t="n">
        <v>0</v>
      </c>
      <c r="Q1604" t="n">
        <v>0</v>
      </c>
      <c r="R1604" t="n">
        <v>0</v>
      </c>
      <c r="S1604" t="n">
        <v>1</v>
      </c>
      <c r="T1604" t="n">
        <v>1</v>
      </c>
      <c r="U1604" t="n">
        <v>0</v>
      </c>
      <c r="V1604" s="2" t="inlineStr">
        <is>
          <t>Mattlummer</t>
        </is>
      </c>
      <c r="W1604">
        <f>HYPERLINK("https://klasma.github.io/Logging_2081/artfynd/S 1579-2026 artfynd.xlsx", "S 1579-2026")</f>
        <v/>
      </c>
      <c r="X1604">
        <f>HYPERLINK("https://klasma.github.io/Logging_2081/kartor/S 1579-2026 karta.png", "S 1579-2026")</f>
        <v/>
      </c>
      <c r="Y1604">
        <f>HYPERLINK("https://klasma.github.io/Logging_2081/kartor_geotiff/S 1579-2026 georefererad karta.tif", "S 1579-2026")</f>
        <v/>
      </c>
      <c r="AA1604">
        <f>HYPERLINK("https://klasma.github.io/Logging_2081/klagomål/S 1579-2026 FSC-klagomål.docx", "S 1579-2026")</f>
        <v/>
      </c>
      <c r="AB1604">
        <f>HYPERLINK("https://klasma.github.io/Logging_2081/klagomålsmail/S 1579-2026 FSC-klagomål mail.docx", "S 1579-2026")</f>
        <v/>
      </c>
      <c r="AC1604">
        <f>HYPERLINK("https://klasma.github.io/Logging_2081/tillsyn/S 1579-2026 tillsynsbegäran.docx", "S 1579-2026")</f>
        <v/>
      </c>
      <c r="AD1604">
        <f>HYPERLINK("https://klasma.github.io/Logging_2081/tillsynsmail/S 1579-2026 tillsynsbegäran mail.docx", "S 1579-2026")</f>
        <v/>
      </c>
    </row>
    <row r="1605" ht="15" customHeight="1">
      <c r="A1605" t="inlineStr">
        <is>
          <t>S 2034-2026</t>
        </is>
      </c>
      <c r="B1605" t="inlineStr">
        <is>
          <t>samrådsanmälan</t>
        </is>
      </c>
      <c r="C1605" t="inlineStr">
        <is>
          <t>Annan skogsbruksåtgärd</t>
        </is>
      </c>
      <c r="D1605" s="1" t="n">
        <v>46211</v>
      </c>
      <c r="E1605" s="1" t="n">
        <v>46319</v>
      </c>
      <c r="F1605" t="inlineStr">
        <is>
          <t>DALARNAS LÄN</t>
        </is>
      </c>
      <c r="G1605" t="inlineStr">
        <is>
          <t>SÄTER</t>
        </is>
      </c>
      <c r="I1605" t="n">
        <v>0.4</v>
      </c>
      <c r="J1605" t="n">
        <v>1</v>
      </c>
      <c r="K1605" t="n">
        <v>0</v>
      </c>
      <c r="L1605" t="n">
        <v>0</v>
      </c>
      <c r="M1605" t="n">
        <v>1</v>
      </c>
      <c r="N1605" t="n">
        <v>0</v>
      </c>
      <c r="O1605" t="n">
        <v>0</v>
      </c>
      <c r="P1605" t="n">
        <v>0</v>
      </c>
      <c r="Q1605" t="n">
        <v>1</v>
      </c>
      <c r="R1605" t="n">
        <v>1</v>
      </c>
      <c r="S1605" t="n">
        <v>1</v>
      </c>
      <c r="T1605" t="n">
        <v>1</v>
      </c>
      <c r="U1605" t="n">
        <v>0</v>
      </c>
      <c r="V1605" s="2" t="inlineStr">
        <is>
          <t>Knärot</t>
        </is>
      </c>
      <c r="W1605">
        <f>HYPERLINK("https://klasma.github.io/Logging_2082/artfynd/S 2034-2026 artfynd.xlsx", "S 2034-2026")</f>
        <v/>
      </c>
      <c r="X1605">
        <f>HYPERLINK("https://klasma.github.io/Logging_2082/kartor/S 2034-2026 karta.png", "S 2034-2026")</f>
        <v/>
      </c>
      <c r="Y1605">
        <f>HYPERLINK("https://klasma.github.io/Logging_2082/kartor_geotiff/S 2034-2026 georefererad karta.tif", "S 2034-2026")</f>
        <v/>
      </c>
      <c r="Z1605">
        <f>HYPERLINK("https://klasma.github.io/Logging_2082/knärot/S 2034-2026 karta knärot.png", "S 2034-2026")</f>
        <v/>
      </c>
      <c r="AA1605">
        <f>HYPERLINK("https://klasma.github.io/Logging_2082/klagomål/S 2034-2026 FSC-klagomål.docx", "S 2034-2026")</f>
        <v/>
      </c>
      <c r="AB1605">
        <f>HYPERLINK("https://klasma.github.io/Logging_2082/klagomålsmail/S 2034-2026 FSC-klagomål mail.docx", "S 2034-2026")</f>
        <v/>
      </c>
      <c r="AC1605">
        <f>HYPERLINK("https://klasma.github.io/Logging_2082/tillsyn/S 2034-2026 tillsynsbegäran.docx", "S 2034-2026")</f>
        <v/>
      </c>
      <c r="AD1605">
        <f>HYPERLINK("https://klasma.github.io/Logging_2082/tillsynsmail/S 2034-2026 tillsynsbegäran mail.docx", "S 2034-2026")</f>
        <v/>
      </c>
    </row>
    <row r="1606" ht="15" customHeight="1">
      <c r="A1606" t="inlineStr">
        <is>
          <t>S 2426-2026</t>
        </is>
      </c>
      <c r="B1606" t="inlineStr">
        <is>
          <t>samrådsanmälan</t>
        </is>
      </c>
      <c r="C1606" t="inlineStr">
        <is>
          <t>Annan skogsbruksåtgärd</t>
        </is>
      </c>
      <c r="D1606" s="1" t="n">
        <v>46282</v>
      </c>
      <c r="E1606" s="1" t="n">
        <v>46319</v>
      </c>
      <c r="F1606" t="inlineStr">
        <is>
          <t>DALARNAS LÄN</t>
        </is>
      </c>
      <c r="G1606" t="inlineStr">
        <is>
          <t>SMEDJEBACKEN</t>
        </is>
      </c>
      <c r="H1606" t="inlineStr">
        <is>
          <t>Sveaskog</t>
        </is>
      </c>
      <c r="I1606" t="n">
        <v>1.3</v>
      </c>
      <c r="J1606" t="n">
        <v>0</v>
      </c>
      <c r="K1606" t="n">
        <v>0</v>
      </c>
      <c r="L1606" t="n">
        <v>0</v>
      </c>
      <c r="M1606" t="n">
        <v>1</v>
      </c>
      <c r="N1606" t="n">
        <v>0</v>
      </c>
      <c r="O1606" t="n">
        <v>0</v>
      </c>
      <c r="P1606" t="n">
        <v>0</v>
      </c>
      <c r="Q1606" t="n">
        <v>1</v>
      </c>
      <c r="R1606" t="n">
        <v>1</v>
      </c>
      <c r="S1606" t="n">
        <v>1</v>
      </c>
      <c r="T1606" t="n">
        <v>1</v>
      </c>
      <c r="U1606" t="n">
        <v>0</v>
      </c>
      <c r="V1606" s="2" t="inlineStr">
        <is>
          <t>Lakritsmusseron</t>
        </is>
      </c>
      <c r="W1606">
        <f>HYPERLINK("https://klasma.github.io/Logging_2061/artfynd/S 2426-2026 artfynd.xlsx", "S 2426-2026")</f>
        <v/>
      </c>
      <c r="X1606">
        <f>HYPERLINK("https://klasma.github.io/Logging_2061/kartor/S 2426-2026 karta.png", "S 2426-2026")</f>
        <v/>
      </c>
      <c r="Y1606">
        <f>HYPERLINK("https://klasma.github.io/Logging_2061/kartor_geotiff/S 2426-2026 georefererad karta.tif", "S 2426-2026")</f>
        <v/>
      </c>
      <c r="AA1606">
        <f>HYPERLINK("https://klasma.github.io/Logging_2061/klagomål/S 2426-2026 FSC-klagomål.docx", "S 2426-2026")</f>
        <v/>
      </c>
      <c r="AB1606">
        <f>HYPERLINK("https://klasma.github.io/Logging_2061/klagomålsmail/S 2426-2026 FSC-klagomål mail.docx", "S 2426-2026")</f>
        <v/>
      </c>
      <c r="AC1606">
        <f>HYPERLINK("https://klasma.github.io/Logging_2061/tillsyn/S 2426-2026 tillsynsbegäran.docx", "S 2426-2026")</f>
        <v/>
      </c>
      <c r="AD1606">
        <f>HYPERLINK("https://klasma.github.io/Logging_2061/tillsynsmail/S 2426-2026 tillsynsbegäran mail.docx", "S 2426-2026")</f>
        <v/>
      </c>
    </row>
    <row r="1607" ht="15" customHeight="1">
      <c r="A1607" t="inlineStr">
        <is>
          <t>S 2267-2026</t>
        </is>
      </c>
      <c r="B1607" t="inlineStr">
        <is>
          <t>samrådsanmälan</t>
        </is>
      </c>
      <c r="C1607" t="inlineStr">
        <is>
          <t>Askåterföring</t>
        </is>
      </c>
      <c r="D1607" s="1" t="n">
        <v>46262</v>
      </c>
      <c r="E1607" s="1" t="n">
        <v>46319</v>
      </c>
      <c r="F1607" t="inlineStr">
        <is>
          <t>DALARNAS LÄN</t>
        </is>
      </c>
      <c r="G1607" t="inlineStr">
        <is>
          <t>FALUN</t>
        </is>
      </c>
      <c r="I1607" t="n">
        <v>47.6</v>
      </c>
      <c r="J1607" t="n">
        <v>1</v>
      </c>
      <c r="K1607" t="n">
        <v>0</v>
      </c>
      <c r="L1607" t="n">
        <v>0</v>
      </c>
      <c r="M1607" t="n">
        <v>0</v>
      </c>
      <c r="N1607" t="n">
        <v>0</v>
      </c>
      <c r="O1607" t="n">
        <v>0</v>
      </c>
      <c r="P1607" t="n">
        <v>0</v>
      </c>
      <c r="Q1607" t="n">
        <v>0</v>
      </c>
      <c r="R1607" t="n">
        <v>0</v>
      </c>
      <c r="S1607" t="n">
        <v>1</v>
      </c>
      <c r="T1607" t="n">
        <v>1</v>
      </c>
      <c r="U1607" t="n">
        <v>0</v>
      </c>
      <c r="V1607" s="2" t="inlineStr">
        <is>
          <t>Fläcknycklar</t>
        </is>
      </c>
      <c r="W1607">
        <f>HYPERLINK("https://klasma.github.io/Logging_2080/artfynd/S 2267-2026 artfynd.xlsx", "S 2267-2026")</f>
        <v/>
      </c>
      <c r="X1607">
        <f>HYPERLINK("https://klasma.github.io/Logging_2080/kartor/S 2267-2026 karta.png", "S 2267-2026")</f>
        <v/>
      </c>
      <c r="Y1607">
        <f>HYPERLINK("https://klasma.github.io/Logging_2080/kartor_geotiff/S 2267-2026 georefererad karta.tif", "S 2267-2026")</f>
        <v/>
      </c>
      <c r="AA1607">
        <f>HYPERLINK("https://klasma.github.io/Logging_2080/klagomål/S 2267-2026 FSC-klagomål.docx", "S 2267-2026")</f>
        <v/>
      </c>
      <c r="AB1607">
        <f>HYPERLINK("https://klasma.github.io/Logging_2080/klagomålsmail/S 2267-2026 FSC-klagomål mail.docx", "S 2267-2026")</f>
        <v/>
      </c>
      <c r="AC1607">
        <f>HYPERLINK("https://klasma.github.io/Logging_2080/tillsyn/S 2267-2026 tillsynsbegäran.docx", "S 2267-2026")</f>
        <v/>
      </c>
      <c r="AD1607">
        <f>HYPERLINK("https://klasma.github.io/Logging_2080/tillsynsmail/S 2267-2026 tillsynsbegäran mail.docx", "S 2267-2026")</f>
        <v/>
      </c>
    </row>
    <row r="1608" ht="15" customHeight="1">
      <c r="A1608" t="inlineStr">
        <is>
          <t>A 54259-2022</t>
        </is>
      </c>
      <c r="B1608" t="inlineStr">
        <is>
          <t>avverkningsanmälan</t>
        </is>
      </c>
      <c r="C1608" t="inlineStr">
        <is>
          <t>Föryngringsavverkning</t>
        </is>
      </c>
      <c r="D1608" s="1" t="n">
        <v>44882</v>
      </c>
      <c r="E1608" s="1" t="n">
        <v>46319</v>
      </c>
      <c r="F1608" t="inlineStr">
        <is>
          <t>DALARNAS LÄN</t>
        </is>
      </c>
      <c r="G1608" t="inlineStr">
        <is>
          <t>SMEDJEBACKEN</t>
        </is>
      </c>
      <c r="H1608" t="inlineStr">
        <is>
          <t>Kyrkan</t>
        </is>
      </c>
      <c r="I1608" t="n">
        <v>11.1</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54023-2022</t>
        </is>
      </c>
      <c r="B1609" t="inlineStr">
        <is>
          <t>avverkningsanmälan</t>
        </is>
      </c>
      <c r="C1609" t="inlineStr">
        <is>
          <t>Föryngringsavverkning</t>
        </is>
      </c>
      <c r="D1609" s="1" t="n">
        <v>44881</v>
      </c>
      <c r="E1609" s="1" t="n">
        <v>46319</v>
      </c>
      <c r="F1609" t="inlineStr">
        <is>
          <t>DALARNAS LÄN</t>
        </is>
      </c>
      <c r="G1609" t="inlineStr">
        <is>
          <t>VANSBRO</t>
        </is>
      </c>
      <c r="H1609" t="inlineStr">
        <is>
          <t>Bergvik skog öst AB</t>
        </is>
      </c>
      <c r="I1609" t="n">
        <v>9.1</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8675-2022</t>
        </is>
      </c>
      <c r="B1610" t="inlineStr">
        <is>
          <t>avverkningsanmälan</t>
        </is>
      </c>
      <c r="C1610" t="inlineStr">
        <is>
          <t>Föryngringsavverkning</t>
        </is>
      </c>
      <c r="D1610" s="1" t="n">
        <v>44613</v>
      </c>
      <c r="E1610" s="1" t="n">
        <v>46319</v>
      </c>
      <c r="F1610" t="inlineStr">
        <is>
          <t>DALARNAS LÄN</t>
        </is>
      </c>
      <c r="G1610" t="inlineStr">
        <is>
          <t>SMEDJEBACKEN</t>
        </is>
      </c>
      <c r="I1610" t="n">
        <v>5.3</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64739-2021</t>
        </is>
      </c>
      <c r="B1611" t="inlineStr">
        <is>
          <t>avverkningsanmälan</t>
        </is>
      </c>
      <c r="C1611" t="inlineStr">
        <is>
          <t>Avverkning för annat ändamål</t>
        </is>
      </c>
      <c r="D1611" s="1" t="n">
        <v>44512</v>
      </c>
      <c r="E1611" s="1" t="n">
        <v>46319</v>
      </c>
      <c r="F1611" t="inlineStr">
        <is>
          <t>DALARNAS LÄN</t>
        </is>
      </c>
      <c r="G1611" t="inlineStr">
        <is>
          <t>MALUNG-SÄLEN</t>
        </is>
      </c>
      <c r="H1611" t="inlineStr">
        <is>
          <t>Kommuner</t>
        </is>
      </c>
      <c r="I1611" t="n">
        <v>1.2</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64224-2021</t>
        </is>
      </c>
      <c r="B1612" t="inlineStr">
        <is>
          <t>avverkningsanmälan</t>
        </is>
      </c>
      <c r="C1612" t="inlineStr">
        <is>
          <t>Föryngringsavverkning</t>
        </is>
      </c>
      <c r="D1612" s="1" t="n">
        <v>44510</v>
      </c>
      <c r="E1612" s="1" t="n">
        <v>46319</v>
      </c>
      <c r="F1612" t="inlineStr">
        <is>
          <t>DALARNAS LÄN</t>
        </is>
      </c>
      <c r="G1612" t="inlineStr">
        <is>
          <t>FALUN</t>
        </is>
      </c>
      <c r="I1612" t="n">
        <v>1.5</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8026-2022</t>
        </is>
      </c>
      <c r="B1613" t="inlineStr">
        <is>
          <t>avverkningsanmälan</t>
        </is>
      </c>
      <c r="C1613" t="inlineStr">
        <is>
          <t>Föryngringsavverkning</t>
        </is>
      </c>
      <c r="D1613" s="1" t="n">
        <v>44609</v>
      </c>
      <c r="E1613" s="1" t="n">
        <v>46319</v>
      </c>
      <c r="F1613" t="inlineStr">
        <is>
          <t>DALARNAS LÄN</t>
        </is>
      </c>
      <c r="G1613" t="inlineStr">
        <is>
          <t>GAGNEF</t>
        </is>
      </c>
      <c r="I1613" t="n">
        <v>2.5</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2008-2022</t>
        </is>
      </c>
      <c r="B1614" t="inlineStr">
        <is>
          <t>avverkningsanmälan</t>
        </is>
      </c>
      <c r="C1614" t="inlineStr">
        <is>
          <t>Föryngringsavverkning</t>
        </is>
      </c>
      <c r="D1614" s="1" t="n">
        <v>44575</v>
      </c>
      <c r="E1614" s="1" t="n">
        <v>46319</v>
      </c>
      <c r="F1614" t="inlineStr">
        <is>
          <t>DALARNAS LÄN</t>
        </is>
      </c>
      <c r="G1614" t="inlineStr">
        <is>
          <t>BORLÄNGE</t>
        </is>
      </c>
      <c r="I1614" t="n">
        <v>1.2</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15603-2022</t>
        </is>
      </c>
      <c r="B1615" t="inlineStr">
        <is>
          <t>avverkningsanmälan</t>
        </is>
      </c>
      <c r="C1615" t="inlineStr">
        <is>
          <t>Föryngringsavverkning</t>
        </is>
      </c>
      <c r="D1615" s="1" t="n">
        <v>44662</v>
      </c>
      <c r="E1615" s="1" t="n">
        <v>46319</v>
      </c>
      <c r="F1615" t="inlineStr">
        <is>
          <t>DALARNAS LÄN</t>
        </is>
      </c>
      <c r="G1615" t="inlineStr">
        <is>
          <t>ÄLVDALEN</t>
        </is>
      </c>
      <c r="I1615" t="n">
        <v>2.6</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70456-2021</t>
        </is>
      </c>
      <c r="B1616" t="inlineStr">
        <is>
          <t>avverkningsanmälan</t>
        </is>
      </c>
      <c r="C1616" t="inlineStr">
        <is>
          <t>Föryngringsavverkning</t>
        </is>
      </c>
      <c r="D1616" s="1" t="n">
        <v>44536</v>
      </c>
      <c r="E1616" s="1" t="n">
        <v>46319</v>
      </c>
      <c r="F1616" t="inlineStr">
        <is>
          <t>DALARNAS LÄN</t>
        </is>
      </c>
      <c r="G1616" t="inlineStr">
        <is>
          <t>FALUN</t>
        </is>
      </c>
      <c r="I1616" t="n">
        <v>3.3</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11593-2022</t>
        </is>
      </c>
      <c r="B1617" t="inlineStr">
        <is>
          <t>avverkningsanmälan</t>
        </is>
      </c>
      <c r="C1617" t="inlineStr">
        <is>
          <t>Föryngringsavverkning</t>
        </is>
      </c>
      <c r="D1617" s="1" t="n">
        <v>44631</v>
      </c>
      <c r="E1617" s="1" t="n">
        <v>46319</v>
      </c>
      <c r="F1617" t="inlineStr">
        <is>
          <t>DALARNAS LÄN</t>
        </is>
      </c>
      <c r="G1617" t="inlineStr">
        <is>
          <t>FALUN</t>
        </is>
      </c>
      <c r="I1617" t="n">
        <v>2</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34396-2022</t>
        </is>
      </c>
      <c r="B1618" t="inlineStr">
        <is>
          <t>avverkningsanmälan</t>
        </is>
      </c>
      <c r="C1618" t="inlineStr">
        <is>
          <t>Föryngringsavverkning</t>
        </is>
      </c>
      <c r="D1618" s="1" t="n">
        <v>44792</v>
      </c>
      <c r="E1618" s="1" t="n">
        <v>46319</v>
      </c>
      <c r="F1618" t="inlineStr">
        <is>
          <t>DALARNAS LÄN</t>
        </is>
      </c>
      <c r="G1618" t="inlineStr">
        <is>
          <t>RÄTTVIK</t>
        </is>
      </c>
      <c r="H1618" t="inlineStr">
        <is>
          <t>Bergvik skog väst AB</t>
        </is>
      </c>
      <c r="I1618" t="n">
        <v>5.3</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67288-2021</t>
        </is>
      </c>
      <c r="B1619" t="inlineStr">
        <is>
          <t>avverkningsanmälan</t>
        </is>
      </c>
      <c r="C1619" t="inlineStr">
        <is>
          <t>Föryngringsavverkning</t>
        </is>
      </c>
      <c r="D1619" s="1" t="n">
        <v>44523</v>
      </c>
      <c r="E1619" s="1" t="n">
        <v>46319</v>
      </c>
      <c r="F1619" t="inlineStr">
        <is>
          <t>DALARNAS LÄN</t>
        </is>
      </c>
      <c r="G1619" t="inlineStr">
        <is>
          <t>HEDEMORA</t>
        </is>
      </c>
      <c r="H1619" t="inlineStr">
        <is>
          <t>Övriga Aktiebolag</t>
        </is>
      </c>
      <c r="I1619" t="n">
        <v>1.6</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32931-2022</t>
        </is>
      </c>
      <c r="B1620" t="inlineStr">
        <is>
          <t>avverkningsanmälan</t>
        </is>
      </c>
      <c r="C1620" t="inlineStr">
        <is>
          <t>Föryngringsavverkning</t>
        </is>
      </c>
      <c r="D1620" s="1" t="n">
        <v>44784</v>
      </c>
      <c r="E1620" s="1" t="n">
        <v>46319</v>
      </c>
      <c r="F1620" t="inlineStr">
        <is>
          <t>DALARNAS LÄN</t>
        </is>
      </c>
      <c r="G1620" t="inlineStr">
        <is>
          <t>ORSA</t>
        </is>
      </c>
      <c r="H1620" t="inlineStr">
        <is>
          <t>Bergvik skog öst AB</t>
        </is>
      </c>
      <c r="I1620" t="n">
        <v>0.5</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295-2022</t>
        </is>
      </c>
      <c r="B1621" t="inlineStr">
        <is>
          <t>avverkningsanmälan</t>
        </is>
      </c>
      <c r="C1621" t="inlineStr">
        <is>
          <t>Avverkning för annat ändamål</t>
        </is>
      </c>
      <c r="D1621" s="1" t="n">
        <v>44565</v>
      </c>
      <c r="E1621" s="1" t="n">
        <v>46319</v>
      </c>
      <c r="F1621" t="inlineStr">
        <is>
          <t>DALARNAS LÄN</t>
        </is>
      </c>
      <c r="G1621" t="inlineStr">
        <is>
          <t>HEDEMORA</t>
        </is>
      </c>
      <c r="I1621" t="n">
        <v>0.5</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33253-2022</t>
        </is>
      </c>
      <c r="B1622" t="inlineStr">
        <is>
          <t>avverkningsanmälan</t>
        </is>
      </c>
      <c r="C1622" t="inlineStr">
        <is>
          <t>Föryngringsavverkning</t>
        </is>
      </c>
      <c r="D1622" s="1" t="n">
        <v>44787</v>
      </c>
      <c r="E1622" s="1" t="n">
        <v>46319</v>
      </c>
      <c r="F1622" t="inlineStr">
        <is>
          <t>DALARNAS LÄN</t>
        </is>
      </c>
      <c r="G1622" t="inlineStr">
        <is>
          <t>SMEDJEBACKEN</t>
        </is>
      </c>
      <c r="I1622" t="n">
        <v>0.5</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41638-2022</t>
        </is>
      </c>
      <c r="B1623" t="inlineStr">
        <is>
          <t>avverkningsanmälan</t>
        </is>
      </c>
      <c r="C1623" t="inlineStr">
        <is>
          <t>Föryngringsavverkning</t>
        </is>
      </c>
      <c r="D1623" s="1" t="n">
        <v>44827</v>
      </c>
      <c r="E1623" s="1" t="n">
        <v>46319</v>
      </c>
      <c r="F1623" t="inlineStr">
        <is>
          <t>DALARNAS LÄN</t>
        </is>
      </c>
      <c r="G1623" t="inlineStr">
        <is>
          <t>BORLÄNGE</t>
        </is>
      </c>
      <c r="I1623" t="n">
        <v>0.9</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32748-2022</t>
        </is>
      </c>
      <c r="B1624" t="inlineStr">
        <is>
          <t>avverkningsanmälan</t>
        </is>
      </c>
      <c r="C1624" t="inlineStr">
        <is>
          <t>Föryngringsavverkning</t>
        </is>
      </c>
      <c r="D1624" s="1" t="n">
        <v>44783</v>
      </c>
      <c r="E1624" s="1" t="n">
        <v>46319</v>
      </c>
      <c r="F1624" t="inlineStr">
        <is>
          <t>DALARNAS LÄN</t>
        </is>
      </c>
      <c r="G1624" t="inlineStr">
        <is>
          <t>HEDEMORA</t>
        </is>
      </c>
      <c r="I1624" t="n">
        <v>1</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55123-2022</t>
        </is>
      </c>
      <c r="B1625" t="inlineStr">
        <is>
          <t>avverkningsanmälan</t>
        </is>
      </c>
      <c r="C1625" t="inlineStr">
        <is>
          <t>Föryngringsavverkning</t>
        </is>
      </c>
      <c r="D1625" s="1" t="n">
        <v>44886</v>
      </c>
      <c r="E1625" s="1" t="n">
        <v>46319</v>
      </c>
      <c r="F1625" t="inlineStr">
        <is>
          <t>DALARNAS LÄN</t>
        </is>
      </c>
      <c r="G1625" t="inlineStr">
        <is>
          <t>BORLÄNGE</t>
        </is>
      </c>
      <c r="I1625" t="n">
        <v>0.5</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10405-2022</t>
        </is>
      </c>
      <c r="B1626" t="inlineStr">
        <is>
          <t>avverkningsanmälan</t>
        </is>
      </c>
      <c r="C1626" t="inlineStr">
        <is>
          <t>Föryngringsavverkning</t>
        </is>
      </c>
      <c r="D1626" s="1" t="n">
        <v>44623</v>
      </c>
      <c r="E1626" s="1" t="n">
        <v>46319</v>
      </c>
      <c r="F1626" t="inlineStr">
        <is>
          <t>DALARNAS LÄN</t>
        </is>
      </c>
      <c r="G1626" t="inlineStr">
        <is>
          <t>ORSA</t>
        </is>
      </c>
      <c r="I1626" t="n">
        <v>1.4</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10421-2022</t>
        </is>
      </c>
      <c r="B1627" t="inlineStr">
        <is>
          <t>avverkningsanmälan</t>
        </is>
      </c>
      <c r="C1627" t="inlineStr">
        <is>
          <t>Föryngringsavverkning</t>
        </is>
      </c>
      <c r="D1627" s="1" t="n">
        <v>44623</v>
      </c>
      <c r="E1627" s="1" t="n">
        <v>46319</v>
      </c>
      <c r="F1627" t="inlineStr">
        <is>
          <t>DALARNAS LÄN</t>
        </is>
      </c>
      <c r="G1627" t="inlineStr">
        <is>
          <t>BORLÄNGE</t>
        </is>
      </c>
      <c r="I1627" t="n">
        <v>0.8</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29558-2022</t>
        </is>
      </c>
      <c r="B1628" t="inlineStr">
        <is>
          <t>avverkningsanmälan</t>
        </is>
      </c>
      <c r="C1628" t="inlineStr">
        <is>
          <t>Föryngringsavverkning</t>
        </is>
      </c>
      <c r="D1628" s="1" t="n">
        <v>44754</v>
      </c>
      <c r="E1628" s="1" t="n">
        <v>46319</v>
      </c>
      <c r="F1628" t="inlineStr">
        <is>
          <t>DALARNAS LÄN</t>
        </is>
      </c>
      <c r="G1628" t="inlineStr">
        <is>
          <t>ÄLVDALEN</t>
        </is>
      </c>
      <c r="I1628" t="n">
        <v>2.5</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32476-2022</t>
        </is>
      </c>
      <c r="B1629" t="inlineStr">
        <is>
          <t>avverkningsanmälan</t>
        </is>
      </c>
      <c r="C1629" t="inlineStr">
        <is>
          <t>Föryngringsavverkning</t>
        </is>
      </c>
      <c r="D1629" s="1" t="n">
        <v>44782</v>
      </c>
      <c r="E1629" s="1" t="n">
        <v>46319</v>
      </c>
      <c r="F1629" t="inlineStr">
        <is>
          <t>DALARNAS LÄN</t>
        </is>
      </c>
      <c r="G1629" t="inlineStr">
        <is>
          <t>LEKSAND</t>
        </is>
      </c>
      <c r="I1629" t="n">
        <v>5.6</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35592-2022</t>
        </is>
      </c>
      <c r="B1630" t="inlineStr">
        <is>
          <t>avverkningsanmälan</t>
        </is>
      </c>
      <c r="C1630" t="inlineStr">
        <is>
          <t>Föryngringsavverkning</t>
        </is>
      </c>
      <c r="D1630" s="1" t="n">
        <v>44799</v>
      </c>
      <c r="E1630" s="1" t="n">
        <v>46319</v>
      </c>
      <c r="F1630" t="inlineStr">
        <is>
          <t>DALARNAS LÄN</t>
        </is>
      </c>
      <c r="G1630" t="inlineStr">
        <is>
          <t>BORLÄNGE</t>
        </is>
      </c>
      <c r="H1630" t="inlineStr">
        <is>
          <t>Bergvik skog väst AB</t>
        </is>
      </c>
      <c r="I1630" t="n">
        <v>2.1</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73930-2021</t>
        </is>
      </c>
      <c r="B1631" t="inlineStr">
        <is>
          <t>avverkningsanmälan</t>
        </is>
      </c>
      <c r="C1631" t="inlineStr">
        <is>
          <t>Föryngringsavverkning</t>
        </is>
      </c>
      <c r="D1631" s="1" t="n">
        <v>44553</v>
      </c>
      <c r="E1631" s="1" t="n">
        <v>46319</v>
      </c>
      <c r="F1631" t="inlineStr">
        <is>
          <t>DALARNAS LÄN</t>
        </is>
      </c>
      <c r="G1631" t="inlineStr">
        <is>
          <t>MORA</t>
        </is>
      </c>
      <c r="I1631" t="n">
        <v>0.7</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37740-2022</t>
        </is>
      </c>
      <c r="B1632" t="inlineStr">
        <is>
          <t>avverkningsanmälan</t>
        </is>
      </c>
      <c r="C1632" t="inlineStr">
        <is>
          <t>Föryngringsavverkning</t>
        </is>
      </c>
      <c r="D1632" s="1" t="n">
        <v>44810</v>
      </c>
      <c r="E1632" s="1" t="n">
        <v>46319</v>
      </c>
      <c r="F1632" t="inlineStr">
        <is>
          <t>DALARNAS LÄN</t>
        </is>
      </c>
      <c r="G1632" t="inlineStr">
        <is>
          <t>ÄLVDALEN</t>
        </is>
      </c>
      <c r="H1632" t="inlineStr">
        <is>
          <t>Bergvik skog väst AB</t>
        </is>
      </c>
      <c r="I1632" t="n">
        <v>4</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63270-2021</t>
        </is>
      </c>
      <c r="B1633" t="inlineStr">
        <is>
          <t>avverkningsanmälan</t>
        </is>
      </c>
      <c r="C1633" t="inlineStr">
        <is>
          <t>Föryngringsavverkning</t>
        </is>
      </c>
      <c r="D1633" s="1" t="n">
        <v>44508</v>
      </c>
      <c r="E1633" s="1" t="n">
        <v>46319</v>
      </c>
      <c r="F1633" t="inlineStr">
        <is>
          <t>DALARNAS LÄN</t>
        </is>
      </c>
      <c r="G1633" t="inlineStr">
        <is>
          <t>MALUNG-SÄLEN</t>
        </is>
      </c>
      <c r="I1633" t="n">
        <v>4.8</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60205-2021</t>
        </is>
      </c>
      <c r="B1634" t="inlineStr">
        <is>
          <t>avverkningsanmälan</t>
        </is>
      </c>
      <c r="C1634" t="inlineStr">
        <is>
          <t>Föryngringsavverkning</t>
        </is>
      </c>
      <c r="D1634" s="1" t="n">
        <v>44495</v>
      </c>
      <c r="E1634" s="1" t="n">
        <v>46319</v>
      </c>
      <c r="F1634" t="inlineStr">
        <is>
          <t>DALARNAS LÄN</t>
        </is>
      </c>
      <c r="G1634" t="inlineStr">
        <is>
          <t>RÄTTVIK</t>
        </is>
      </c>
      <c r="H1634" t="inlineStr">
        <is>
          <t>Sveaskog</t>
        </is>
      </c>
      <c r="I1634" t="n">
        <v>2</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60206-2021</t>
        </is>
      </c>
      <c r="B1635" t="inlineStr">
        <is>
          <t>avverkningsanmälan</t>
        </is>
      </c>
      <c r="C1635" t="inlineStr">
        <is>
          <t>Föryngringsavverkning</t>
        </is>
      </c>
      <c r="D1635" s="1" t="n">
        <v>44495</v>
      </c>
      <c r="E1635" s="1" t="n">
        <v>46319</v>
      </c>
      <c r="F1635" t="inlineStr">
        <is>
          <t>DALARNAS LÄN</t>
        </is>
      </c>
      <c r="G1635" t="inlineStr">
        <is>
          <t>RÄTTVIK</t>
        </is>
      </c>
      <c r="H1635" t="inlineStr">
        <is>
          <t>Sveaskog</t>
        </is>
      </c>
      <c r="I1635" t="n">
        <v>2.1</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60207-2021</t>
        </is>
      </c>
      <c r="B1636" t="inlineStr">
        <is>
          <t>avverkningsanmälan</t>
        </is>
      </c>
      <c r="C1636" t="inlineStr">
        <is>
          <t>Föryngringsavverkning</t>
        </is>
      </c>
      <c r="D1636" s="1" t="n">
        <v>44495</v>
      </c>
      <c r="E1636" s="1" t="n">
        <v>46319</v>
      </c>
      <c r="F1636" t="inlineStr">
        <is>
          <t>DALARNAS LÄN</t>
        </is>
      </c>
      <c r="G1636" t="inlineStr">
        <is>
          <t>RÄTTVIK</t>
        </is>
      </c>
      <c r="H1636" t="inlineStr">
        <is>
          <t>Sveaskog</t>
        </is>
      </c>
      <c r="I1636" t="n">
        <v>4.5</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61083-2021</t>
        </is>
      </c>
      <c r="B1637" t="inlineStr">
        <is>
          <t>avverkningsanmälan</t>
        </is>
      </c>
      <c r="C1637" t="inlineStr">
        <is>
          <t>Föryngringsavverkning</t>
        </is>
      </c>
      <c r="D1637" s="1" t="n">
        <v>44497</v>
      </c>
      <c r="E1637" s="1" t="n">
        <v>46319</v>
      </c>
      <c r="F1637" t="inlineStr">
        <is>
          <t>DALARNAS LÄN</t>
        </is>
      </c>
      <c r="G1637" t="inlineStr">
        <is>
          <t>RÄTTVIK</t>
        </is>
      </c>
      <c r="I1637" t="n">
        <v>1.1</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70647-2021</t>
        </is>
      </c>
      <c r="B1638" t="inlineStr">
        <is>
          <t>avverkningsanmälan</t>
        </is>
      </c>
      <c r="C1638" t="inlineStr">
        <is>
          <t>Föryngringsavverkning</t>
        </is>
      </c>
      <c r="D1638" s="1" t="n">
        <v>44537</v>
      </c>
      <c r="E1638" s="1" t="n">
        <v>46319</v>
      </c>
      <c r="F1638" t="inlineStr">
        <is>
          <t>DALARNAS LÄN</t>
        </is>
      </c>
      <c r="G1638" t="inlineStr">
        <is>
          <t>MALUNG-SÄLEN</t>
        </is>
      </c>
      <c r="I1638" t="n">
        <v>8.1</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70472-2021</t>
        </is>
      </c>
      <c r="B1639" t="inlineStr">
        <is>
          <t>avverkningsanmälan</t>
        </is>
      </c>
      <c r="C1639" t="inlineStr">
        <is>
          <t>Föryngringsavverkning</t>
        </is>
      </c>
      <c r="D1639" s="1" t="n">
        <v>44536</v>
      </c>
      <c r="E1639" s="1" t="n">
        <v>46319</v>
      </c>
      <c r="F1639" t="inlineStr">
        <is>
          <t>DALARNAS LÄN</t>
        </is>
      </c>
      <c r="G1639" t="inlineStr">
        <is>
          <t>RÄTTVIK</t>
        </is>
      </c>
      <c r="I1639" t="n">
        <v>2.7</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3965-2022</t>
        </is>
      </c>
      <c r="B1640" t="inlineStr">
        <is>
          <t>avverkningsanmälan</t>
        </is>
      </c>
      <c r="C1640" t="inlineStr">
        <is>
          <t>Föryngringsavverkning</t>
        </is>
      </c>
      <c r="D1640" s="1" t="n">
        <v>44587</v>
      </c>
      <c r="E1640" s="1" t="n">
        <v>46319</v>
      </c>
      <c r="F1640" t="inlineStr">
        <is>
          <t>DALARNAS LÄN</t>
        </is>
      </c>
      <c r="G1640" t="inlineStr">
        <is>
          <t>FALUN</t>
        </is>
      </c>
      <c r="I1640" t="n">
        <v>0.5</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72813-2021</t>
        </is>
      </c>
      <c r="B1641" t="inlineStr">
        <is>
          <t>avverkningsanmälan</t>
        </is>
      </c>
      <c r="C1641" t="inlineStr">
        <is>
          <t>Föryngringsavverkning</t>
        </is>
      </c>
      <c r="D1641" s="1" t="n">
        <v>44546</v>
      </c>
      <c r="E1641" s="1" t="n">
        <v>46319</v>
      </c>
      <c r="F1641" t="inlineStr">
        <is>
          <t>DALARNAS LÄN</t>
        </is>
      </c>
      <c r="G1641" t="inlineStr">
        <is>
          <t>ÄLVDALEN</t>
        </is>
      </c>
      <c r="I1641" t="n">
        <v>4.2</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907-2022</t>
        </is>
      </c>
      <c r="B1642" t="inlineStr">
        <is>
          <t>avverkningsanmälan</t>
        </is>
      </c>
      <c r="C1642" t="inlineStr">
        <is>
          <t>Föryngringsavverkning</t>
        </is>
      </c>
      <c r="D1642" s="1" t="n">
        <v>44571</v>
      </c>
      <c r="E1642" s="1" t="n">
        <v>46319</v>
      </c>
      <c r="F1642" t="inlineStr">
        <is>
          <t>DALARNAS LÄN</t>
        </is>
      </c>
      <c r="G1642" t="inlineStr">
        <is>
          <t>SMEDJEBACKEN</t>
        </is>
      </c>
      <c r="I1642" t="n">
        <v>0.7</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72648-2021</t>
        </is>
      </c>
      <c r="B1643" t="inlineStr">
        <is>
          <t>avverkningsanmälan</t>
        </is>
      </c>
      <c r="C1643" t="inlineStr">
        <is>
          <t>Föryngringsavverkning</t>
        </is>
      </c>
      <c r="D1643" s="1" t="n">
        <v>44546</v>
      </c>
      <c r="E1643" s="1" t="n">
        <v>46319</v>
      </c>
      <c r="F1643" t="inlineStr">
        <is>
          <t>DALARNAS LÄN</t>
        </is>
      </c>
      <c r="G1643" t="inlineStr">
        <is>
          <t>MORA</t>
        </is>
      </c>
      <c r="I1643" t="n">
        <v>0.2</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64577-2021</t>
        </is>
      </c>
      <c r="B1644" t="inlineStr">
        <is>
          <t>avverkningsanmälan</t>
        </is>
      </c>
      <c r="C1644" t="inlineStr">
        <is>
          <t>Föryngringsavverkning</t>
        </is>
      </c>
      <c r="D1644" s="1" t="n">
        <v>44511</v>
      </c>
      <c r="E1644" s="1" t="n">
        <v>46319</v>
      </c>
      <c r="F1644" t="inlineStr">
        <is>
          <t>DALARNAS LÄN</t>
        </is>
      </c>
      <c r="G1644" t="inlineStr">
        <is>
          <t>MALUNG-SÄLEN</t>
        </is>
      </c>
      <c r="I1644" t="n">
        <v>0.9</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8376-2022</t>
        </is>
      </c>
      <c r="B1645" t="inlineStr">
        <is>
          <t>avverkningsanmälan</t>
        </is>
      </c>
      <c r="C1645" t="inlineStr">
        <is>
          <t>Avverkning för annat ändamål</t>
        </is>
      </c>
      <c r="D1645" s="1" t="n">
        <v>44610</v>
      </c>
      <c r="E1645" s="1" t="n">
        <v>46319</v>
      </c>
      <c r="F1645" t="inlineStr">
        <is>
          <t>DALARNAS LÄN</t>
        </is>
      </c>
      <c r="G1645" t="inlineStr">
        <is>
          <t>RÄTTVIK</t>
        </is>
      </c>
      <c r="H1645" t="inlineStr">
        <is>
          <t>Sveaskog</t>
        </is>
      </c>
      <c r="I1645" t="n">
        <v>0.1</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15936-2022</t>
        </is>
      </c>
      <c r="B1646" t="inlineStr">
        <is>
          <t>avverkningsanmälan</t>
        </is>
      </c>
      <c r="C1646" t="inlineStr">
        <is>
          <t>Föryngringsavverkning</t>
        </is>
      </c>
      <c r="D1646" s="1" t="n">
        <v>44664</v>
      </c>
      <c r="E1646" s="1" t="n">
        <v>46319</v>
      </c>
      <c r="F1646" t="inlineStr">
        <is>
          <t>DALARNAS LÄN</t>
        </is>
      </c>
      <c r="G1646" t="inlineStr">
        <is>
          <t>FALUN</t>
        </is>
      </c>
      <c r="H1646" t="inlineStr">
        <is>
          <t>Bergvik skog väst AB</t>
        </is>
      </c>
      <c r="I1646" t="n">
        <v>0.4</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54150-2022</t>
        </is>
      </c>
      <c r="B1647" t="inlineStr">
        <is>
          <t>avverkningsanmälan</t>
        </is>
      </c>
      <c r="C1647" t="inlineStr">
        <is>
          <t>Föryngringsavverkning</t>
        </is>
      </c>
      <c r="D1647" s="1" t="n">
        <v>44881</v>
      </c>
      <c r="E1647" s="1" t="n">
        <v>46319</v>
      </c>
      <c r="F1647" t="inlineStr">
        <is>
          <t>DALARNAS LÄN</t>
        </is>
      </c>
      <c r="G1647" t="inlineStr">
        <is>
          <t>GAGNEF</t>
        </is>
      </c>
      <c r="I1647" t="n">
        <v>1.2</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38651-2022</t>
        </is>
      </c>
      <c r="B1648" t="inlineStr">
        <is>
          <t>avverkningsanmälan</t>
        </is>
      </c>
      <c r="C1648" t="inlineStr">
        <is>
          <t>Föryngringsavverkning</t>
        </is>
      </c>
      <c r="D1648" s="1" t="n">
        <v>44813</v>
      </c>
      <c r="E1648" s="1" t="n">
        <v>46319</v>
      </c>
      <c r="F1648" t="inlineStr">
        <is>
          <t>DALARNAS LÄN</t>
        </is>
      </c>
      <c r="G1648" t="inlineStr">
        <is>
          <t>MORA</t>
        </is>
      </c>
      <c r="I1648" t="n">
        <v>4.4</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22310-2022</t>
        </is>
      </c>
      <c r="B1649" t="inlineStr">
        <is>
          <t>avverkningsanmälan</t>
        </is>
      </c>
      <c r="C1649" t="inlineStr">
        <is>
          <t>Föryngringsavverkning</t>
        </is>
      </c>
      <c r="D1649" s="1" t="n">
        <v>44712</v>
      </c>
      <c r="E1649" s="1" t="n">
        <v>46319</v>
      </c>
      <c r="F1649" t="inlineStr">
        <is>
          <t>DALARNAS LÄN</t>
        </is>
      </c>
      <c r="G1649" t="inlineStr">
        <is>
          <t>MALUNG-SÄLEN</t>
        </is>
      </c>
      <c r="H1649" t="inlineStr">
        <is>
          <t>Kyrkan</t>
        </is>
      </c>
      <c r="I1649" t="n">
        <v>1.1</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47007-2022</t>
        </is>
      </c>
      <c r="B1650" t="inlineStr">
        <is>
          <t>avverkningsanmälan</t>
        </is>
      </c>
      <c r="C1650" t="inlineStr">
        <is>
          <t>Föryngringsavverkning</t>
        </is>
      </c>
      <c r="D1650" s="1" t="n">
        <v>44852</v>
      </c>
      <c r="E1650" s="1" t="n">
        <v>46319</v>
      </c>
      <c r="F1650" t="inlineStr">
        <is>
          <t>DALARNAS LÄN</t>
        </is>
      </c>
      <c r="G1650" t="inlineStr">
        <is>
          <t>MALUNG-SÄLEN</t>
        </is>
      </c>
      <c r="H1650" t="inlineStr">
        <is>
          <t>Allmännings- och besparingsskogar</t>
        </is>
      </c>
      <c r="I1650" t="n">
        <v>0.5</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43300-2022</t>
        </is>
      </c>
      <c r="B1651" t="inlineStr">
        <is>
          <t>avverkningsanmälan</t>
        </is>
      </c>
      <c r="C1651" t="inlineStr">
        <is>
          <t>Föryngringsavverkning</t>
        </is>
      </c>
      <c r="D1651" s="1" t="n">
        <v>44834</v>
      </c>
      <c r="E1651" s="1" t="n">
        <v>46319</v>
      </c>
      <c r="F1651" t="inlineStr">
        <is>
          <t>DALARNAS LÄN</t>
        </is>
      </c>
      <c r="G1651" t="inlineStr">
        <is>
          <t>LEKSAND</t>
        </is>
      </c>
      <c r="I1651" t="n">
        <v>1.4</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14235-2022</t>
        </is>
      </c>
      <c r="B1652" t="inlineStr">
        <is>
          <t>avverkningsanmälan</t>
        </is>
      </c>
      <c r="C1652" t="inlineStr">
        <is>
          <t>Föryngringsavverkning</t>
        </is>
      </c>
      <c r="D1652" s="1" t="n">
        <v>44651</v>
      </c>
      <c r="E1652" s="1" t="n">
        <v>46319</v>
      </c>
      <c r="F1652" t="inlineStr">
        <is>
          <t>DALARNAS LÄN</t>
        </is>
      </c>
      <c r="G1652" t="inlineStr">
        <is>
          <t>ÄLVDALEN</t>
        </is>
      </c>
      <c r="I1652" t="n">
        <v>1.1</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31273-2022</t>
        </is>
      </c>
      <c r="B1653" t="inlineStr">
        <is>
          <t>avverkningsanmälan</t>
        </is>
      </c>
      <c r="C1653" t="inlineStr">
        <is>
          <t>Föryngringsavverkning</t>
        </is>
      </c>
      <c r="D1653" s="1" t="n">
        <v>44771</v>
      </c>
      <c r="E1653" s="1" t="n">
        <v>46319</v>
      </c>
      <c r="F1653" t="inlineStr">
        <is>
          <t>DALARNAS LÄN</t>
        </is>
      </c>
      <c r="G1653" t="inlineStr">
        <is>
          <t>LUDVIKA</t>
        </is>
      </c>
      <c r="I1653" t="n">
        <v>0.5</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65253-2021</t>
        </is>
      </c>
      <c r="B1654" t="inlineStr">
        <is>
          <t>avverkningsanmälan</t>
        </is>
      </c>
      <c r="C1654" t="inlineStr">
        <is>
          <t>Föryngringsavverkning</t>
        </is>
      </c>
      <c r="D1654" s="1" t="n">
        <v>44515</v>
      </c>
      <c r="E1654" s="1" t="n">
        <v>46319</v>
      </c>
      <c r="F1654" t="inlineStr">
        <is>
          <t>DALARNAS LÄN</t>
        </is>
      </c>
      <c r="G1654" t="inlineStr">
        <is>
          <t>MORA</t>
        </is>
      </c>
      <c r="I1654" t="n">
        <v>0.6</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10262-2022</t>
        </is>
      </c>
      <c r="B1655" t="inlineStr">
        <is>
          <t>avverkningsanmälan</t>
        </is>
      </c>
      <c r="C1655" t="inlineStr">
        <is>
          <t>Föryngringsavverkning</t>
        </is>
      </c>
      <c r="D1655" s="1" t="n">
        <v>44622</v>
      </c>
      <c r="E1655" s="1" t="n">
        <v>46319</v>
      </c>
      <c r="F1655" t="inlineStr">
        <is>
          <t>DALARNAS LÄN</t>
        </is>
      </c>
      <c r="G1655" t="inlineStr">
        <is>
          <t>ORSA</t>
        </is>
      </c>
      <c r="I1655" t="n">
        <v>0.6</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13536-2022</t>
        </is>
      </c>
      <c r="B1656" t="inlineStr">
        <is>
          <t>avverkningsanmälan</t>
        </is>
      </c>
      <c r="C1656" t="inlineStr">
        <is>
          <t>Avverkning för annat ändamål</t>
        </is>
      </c>
      <c r="D1656" s="1" t="n">
        <v>44648</v>
      </c>
      <c r="E1656" s="1" t="n">
        <v>46319</v>
      </c>
      <c r="F1656" t="inlineStr">
        <is>
          <t>DALARNAS LÄN</t>
        </is>
      </c>
      <c r="G1656" t="inlineStr">
        <is>
          <t>FALUN</t>
        </is>
      </c>
      <c r="I1656" t="n">
        <v>0.1</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13538-2022</t>
        </is>
      </c>
      <c r="B1657" t="inlineStr">
        <is>
          <t>avverkningsanmälan</t>
        </is>
      </c>
      <c r="C1657" t="inlineStr">
        <is>
          <t>Avverkning för annat ändamål</t>
        </is>
      </c>
      <c r="D1657" s="1" t="n">
        <v>44648</v>
      </c>
      <c r="E1657" s="1" t="n">
        <v>46319</v>
      </c>
      <c r="F1657" t="inlineStr">
        <is>
          <t>DALARNAS LÄN</t>
        </is>
      </c>
      <c r="G1657" t="inlineStr">
        <is>
          <t>FALUN</t>
        </is>
      </c>
      <c r="I1657" t="n">
        <v>0.3</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26305-2022</t>
        </is>
      </c>
      <c r="B1658" t="inlineStr">
        <is>
          <t>avverkningsanmälan</t>
        </is>
      </c>
      <c r="C1658" t="inlineStr">
        <is>
          <t>Föryngringsavverkning</t>
        </is>
      </c>
      <c r="D1658" s="1" t="n">
        <v>44735</v>
      </c>
      <c r="E1658" s="1" t="n">
        <v>46319</v>
      </c>
      <c r="F1658" t="inlineStr">
        <is>
          <t>DALARNAS LÄN</t>
        </is>
      </c>
      <c r="G1658" t="inlineStr">
        <is>
          <t>SMEDJEBACKEN</t>
        </is>
      </c>
      <c r="I1658" t="n">
        <v>0.4</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42668-2022</t>
        </is>
      </c>
      <c r="B1659" t="inlineStr">
        <is>
          <t>avverkningsanmälan</t>
        </is>
      </c>
      <c r="C1659" t="inlineStr">
        <is>
          <t>Föryngringsavverkning</t>
        </is>
      </c>
      <c r="D1659" s="1" t="n">
        <v>44832</v>
      </c>
      <c r="E1659" s="1" t="n">
        <v>46319</v>
      </c>
      <c r="F1659" t="inlineStr">
        <is>
          <t>DALARNAS LÄN</t>
        </is>
      </c>
      <c r="G1659" t="inlineStr">
        <is>
          <t>MORA</t>
        </is>
      </c>
      <c r="I1659" t="n">
        <v>0.7</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30632-2022</t>
        </is>
      </c>
      <c r="B1660" t="inlineStr">
        <is>
          <t>avverkningsanmälan</t>
        </is>
      </c>
      <c r="C1660" t="inlineStr">
        <is>
          <t>Föryngringsavverkning</t>
        </is>
      </c>
      <c r="D1660" s="1" t="n">
        <v>44763</v>
      </c>
      <c r="E1660" s="1" t="n">
        <v>46319</v>
      </c>
      <c r="F1660" t="inlineStr">
        <is>
          <t>DALARNAS LÄN</t>
        </is>
      </c>
      <c r="G1660" t="inlineStr">
        <is>
          <t>RÄTTVIK</t>
        </is>
      </c>
      <c r="I1660" t="n">
        <v>6.4</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27424-2022</t>
        </is>
      </c>
      <c r="B1661" t="inlineStr">
        <is>
          <t>avverkningsanmälan</t>
        </is>
      </c>
      <c r="C1661" t="inlineStr">
        <is>
          <t>Föryngringsavverkning</t>
        </is>
      </c>
      <c r="D1661" s="1" t="n">
        <v>44742</v>
      </c>
      <c r="E1661" s="1" t="n">
        <v>46319</v>
      </c>
      <c r="F1661" t="inlineStr">
        <is>
          <t>DALARNAS LÄN</t>
        </is>
      </c>
      <c r="G1661" t="inlineStr">
        <is>
          <t>BORLÄNGE</t>
        </is>
      </c>
      <c r="I1661" t="n">
        <v>0.1</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35801-2022</t>
        </is>
      </c>
      <c r="B1662" t="inlineStr">
        <is>
          <t>avverkningsanmälan</t>
        </is>
      </c>
      <c r="C1662" t="inlineStr">
        <is>
          <t>Föryngringsavverkning</t>
        </is>
      </c>
      <c r="D1662" s="1" t="n">
        <v>44802</v>
      </c>
      <c r="E1662" s="1" t="n">
        <v>46319</v>
      </c>
      <c r="F1662" t="inlineStr">
        <is>
          <t>DALARNAS LÄN</t>
        </is>
      </c>
      <c r="G1662" t="inlineStr">
        <is>
          <t>LEKSAND</t>
        </is>
      </c>
      <c r="H1662" t="inlineStr">
        <is>
          <t>Bergvik skog väst AB</t>
        </is>
      </c>
      <c r="I1662" t="n">
        <v>6.4</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25895-2022</t>
        </is>
      </c>
      <c r="B1663" t="inlineStr">
        <is>
          <t>avverkningsanmälan</t>
        </is>
      </c>
      <c r="C1663" t="inlineStr">
        <is>
          <t>Avverkning för annat ändamål</t>
        </is>
      </c>
      <c r="D1663" s="1" t="n">
        <v>44733</v>
      </c>
      <c r="E1663" s="1" t="n">
        <v>46319</v>
      </c>
      <c r="F1663" t="inlineStr">
        <is>
          <t>DALARNAS LÄN</t>
        </is>
      </c>
      <c r="G1663" t="inlineStr">
        <is>
          <t>BORLÄNGE</t>
        </is>
      </c>
      <c r="I1663" t="n">
        <v>0.4</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29716-2022</t>
        </is>
      </c>
      <c r="B1664" t="inlineStr">
        <is>
          <t>avverkningsanmälan</t>
        </is>
      </c>
      <c r="C1664" t="inlineStr">
        <is>
          <t>Föryngringsavverkning</t>
        </is>
      </c>
      <c r="D1664" s="1" t="n">
        <v>44755</v>
      </c>
      <c r="E1664" s="1" t="n">
        <v>46319</v>
      </c>
      <c r="F1664" t="inlineStr">
        <is>
          <t>DALARNAS LÄN</t>
        </is>
      </c>
      <c r="G1664" t="inlineStr">
        <is>
          <t>ÄLVDALEN</t>
        </is>
      </c>
      <c r="I1664" t="n">
        <v>0.5</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18600-2022</t>
        </is>
      </c>
      <c r="B1665" t="inlineStr">
        <is>
          <t>avverkningsanmälan</t>
        </is>
      </c>
      <c r="C1665" t="inlineStr">
        <is>
          <t>Föryngringsavverkning</t>
        </is>
      </c>
      <c r="D1665" s="1" t="n">
        <v>44687</v>
      </c>
      <c r="E1665" s="1" t="n">
        <v>46319</v>
      </c>
      <c r="F1665" t="inlineStr">
        <is>
          <t>DALARNAS LÄN</t>
        </is>
      </c>
      <c r="G1665" t="inlineStr">
        <is>
          <t>BORLÄNGE</t>
        </is>
      </c>
      <c r="I1665" t="n">
        <v>1</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12994-2022</t>
        </is>
      </c>
      <c r="B1666" t="inlineStr">
        <is>
          <t>avverkningsanmälan</t>
        </is>
      </c>
      <c r="C1666" t="inlineStr">
        <is>
          <t>Föryngringsavverkning</t>
        </is>
      </c>
      <c r="D1666" s="1" t="n">
        <v>44643</v>
      </c>
      <c r="E1666" s="1" t="n">
        <v>46319</v>
      </c>
      <c r="F1666" t="inlineStr">
        <is>
          <t>DALARNAS LÄN</t>
        </is>
      </c>
      <c r="G1666" t="inlineStr">
        <is>
          <t>AVESTA</t>
        </is>
      </c>
      <c r="I1666" t="n">
        <v>0.7</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23976-2022</t>
        </is>
      </c>
      <c r="B1667" t="inlineStr">
        <is>
          <t>avverkningsanmälan</t>
        </is>
      </c>
      <c r="C1667" t="inlineStr">
        <is>
          <t>Föryngringsavverkning</t>
        </is>
      </c>
      <c r="D1667" s="1" t="n">
        <v>44722</v>
      </c>
      <c r="E1667" s="1" t="n">
        <v>46319</v>
      </c>
      <c r="F1667" t="inlineStr">
        <is>
          <t>DALARNAS LÄN</t>
        </is>
      </c>
      <c r="G1667" t="inlineStr">
        <is>
          <t>AVESTA</t>
        </is>
      </c>
      <c r="H1667" t="inlineStr">
        <is>
          <t>Sveaskog</t>
        </is>
      </c>
      <c r="I1667" t="n">
        <v>0.5</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31623-2022</t>
        </is>
      </c>
      <c r="B1668" t="inlineStr">
        <is>
          <t>avverkningsanmälan</t>
        </is>
      </c>
      <c r="C1668" t="inlineStr">
        <is>
          <t>Föryngringsavverkning</t>
        </is>
      </c>
      <c r="D1668" s="1" t="n">
        <v>44775</v>
      </c>
      <c r="E1668" s="1" t="n">
        <v>46319</v>
      </c>
      <c r="F1668" t="inlineStr">
        <is>
          <t>DALARNAS LÄN</t>
        </is>
      </c>
      <c r="G1668" t="inlineStr">
        <is>
          <t>FALUN</t>
        </is>
      </c>
      <c r="I1668" t="n">
        <v>1.7</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43944-2022</t>
        </is>
      </c>
      <c r="B1669" t="inlineStr">
        <is>
          <t>avverkningsanmälan</t>
        </is>
      </c>
      <c r="C1669" t="inlineStr">
        <is>
          <t>Föryngringsavverkning</t>
        </is>
      </c>
      <c r="D1669" s="1" t="n">
        <v>44838</v>
      </c>
      <c r="E1669" s="1" t="n">
        <v>46319</v>
      </c>
      <c r="F1669" t="inlineStr">
        <is>
          <t>DALARNAS LÄN</t>
        </is>
      </c>
      <c r="G1669" t="inlineStr">
        <is>
          <t>MORA</t>
        </is>
      </c>
      <c r="H1669" t="inlineStr">
        <is>
          <t>Bergvik skog öst AB</t>
        </is>
      </c>
      <c r="I1669" t="n">
        <v>1.1</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27498-2022</t>
        </is>
      </c>
      <c r="B1670" t="inlineStr">
        <is>
          <t>avverkningsanmälan</t>
        </is>
      </c>
      <c r="C1670" t="inlineStr">
        <is>
          <t>Föryngringsavverkning</t>
        </is>
      </c>
      <c r="D1670" s="1" t="n">
        <v>44742</v>
      </c>
      <c r="E1670" s="1" t="n">
        <v>46319</v>
      </c>
      <c r="F1670" t="inlineStr">
        <is>
          <t>DALARNAS LÄN</t>
        </is>
      </c>
      <c r="G1670" t="inlineStr">
        <is>
          <t>ORSA</t>
        </is>
      </c>
      <c r="I1670" t="n">
        <v>5.7</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27501-2022</t>
        </is>
      </c>
      <c r="B1671" t="inlineStr">
        <is>
          <t>avverkningsanmälan</t>
        </is>
      </c>
      <c r="C1671" t="inlineStr">
        <is>
          <t>Föryngringsavverkning</t>
        </is>
      </c>
      <c r="D1671" s="1" t="n">
        <v>44742</v>
      </c>
      <c r="E1671" s="1" t="n">
        <v>46319</v>
      </c>
      <c r="F1671" t="inlineStr">
        <is>
          <t>DALARNAS LÄN</t>
        </is>
      </c>
      <c r="G1671" t="inlineStr">
        <is>
          <t>FALUN</t>
        </is>
      </c>
      <c r="H1671" t="inlineStr">
        <is>
          <t>Kyrkan</t>
        </is>
      </c>
      <c r="I1671" t="n">
        <v>1.5</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16375-2022</t>
        </is>
      </c>
      <c r="B1672" t="inlineStr">
        <is>
          <t>avverkningsanmälan</t>
        </is>
      </c>
      <c r="C1672" t="inlineStr">
        <is>
          <t>Föryngringsavverkning</t>
        </is>
      </c>
      <c r="D1672" s="1" t="n">
        <v>44671</v>
      </c>
      <c r="E1672" s="1" t="n">
        <v>46319</v>
      </c>
      <c r="F1672" t="inlineStr">
        <is>
          <t>DALARNAS LÄN</t>
        </is>
      </c>
      <c r="G1672" t="inlineStr">
        <is>
          <t>LEKSAND</t>
        </is>
      </c>
      <c r="I1672" t="n">
        <v>0.9</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30694-2022</t>
        </is>
      </c>
      <c r="B1673" t="inlineStr">
        <is>
          <t>avverkningsanmälan</t>
        </is>
      </c>
      <c r="C1673" t="inlineStr">
        <is>
          <t>Föryngringsavverkning</t>
        </is>
      </c>
      <c r="D1673" s="1" t="n">
        <v>44763</v>
      </c>
      <c r="E1673" s="1" t="n">
        <v>46319</v>
      </c>
      <c r="F1673" t="inlineStr">
        <is>
          <t>DALARNAS LÄN</t>
        </is>
      </c>
      <c r="G1673" t="inlineStr">
        <is>
          <t>RÄTTVIK</t>
        </is>
      </c>
      <c r="H1673" t="inlineStr">
        <is>
          <t>Sveaskog</t>
        </is>
      </c>
      <c r="I1673" t="n">
        <v>0.6</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37370-2022</t>
        </is>
      </c>
      <c r="B1674" t="inlineStr">
        <is>
          <t>avverkningsanmälan</t>
        </is>
      </c>
      <c r="C1674" t="inlineStr">
        <is>
          <t>Föryngringsavverkning</t>
        </is>
      </c>
      <c r="D1674" s="1" t="n">
        <v>44809</v>
      </c>
      <c r="E1674" s="1" t="n">
        <v>46319</v>
      </c>
      <c r="F1674" t="inlineStr">
        <is>
          <t>DALARNAS LÄN</t>
        </is>
      </c>
      <c r="G1674" t="inlineStr">
        <is>
          <t>SMEDJEBACKEN</t>
        </is>
      </c>
      <c r="H1674" t="inlineStr">
        <is>
          <t>Sveaskog</t>
        </is>
      </c>
      <c r="I1674" t="n">
        <v>2.5</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25872-2022</t>
        </is>
      </c>
      <c r="B1675" t="inlineStr">
        <is>
          <t>avverkningsanmälan</t>
        </is>
      </c>
      <c r="C1675" t="inlineStr">
        <is>
          <t>Föryngringsavverkning</t>
        </is>
      </c>
      <c r="D1675" s="1" t="n">
        <v>44733</v>
      </c>
      <c r="E1675" s="1" t="n">
        <v>46319</v>
      </c>
      <c r="F1675" t="inlineStr">
        <is>
          <t>DALARNAS LÄN</t>
        </is>
      </c>
      <c r="G1675" t="inlineStr">
        <is>
          <t>MALUNG-SÄLEN</t>
        </is>
      </c>
      <c r="I1675" t="n">
        <v>0.7</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38041-2022</t>
        </is>
      </c>
      <c r="B1676" t="inlineStr">
        <is>
          <t>avverkningsanmälan</t>
        </is>
      </c>
      <c r="C1676" t="inlineStr">
        <is>
          <t>Föryngringsavverkning</t>
        </is>
      </c>
      <c r="D1676" s="1" t="n">
        <v>44811</v>
      </c>
      <c r="E1676" s="1" t="n">
        <v>46319</v>
      </c>
      <c r="F1676" t="inlineStr">
        <is>
          <t>DALARNAS LÄN</t>
        </is>
      </c>
      <c r="G1676" t="inlineStr">
        <is>
          <t>MALUNG-SÄLEN</t>
        </is>
      </c>
      <c r="H1676" t="inlineStr">
        <is>
          <t>Bergvik skog öst AB</t>
        </is>
      </c>
      <c r="I1676" t="n">
        <v>0.8</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6574-2022</t>
        </is>
      </c>
      <c r="B1677" t="inlineStr">
        <is>
          <t>avverkningsanmälan</t>
        </is>
      </c>
      <c r="C1677" t="inlineStr">
        <is>
          <t>Föryngringsavverkning</t>
        </is>
      </c>
      <c r="D1677" s="1" t="n">
        <v>44601</v>
      </c>
      <c r="E1677" s="1" t="n">
        <v>46319</v>
      </c>
      <c r="F1677" t="inlineStr">
        <is>
          <t>DALARNAS LÄN</t>
        </is>
      </c>
      <c r="G1677" t="inlineStr">
        <is>
          <t>MORA</t>
        </is>
      </c>
      <c r="I1677" t="n">
        <v>0.6</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51842-2022</t>
        </is>
      </c>
      <c r="B1678" t="inlineStr">
        <is>
          <t>avverkningsanmälan</t>
        </is>
      </c>
      <c r="C1678" t="inlineStr">
        <is>
          <t>Föryngringsavverkning</t>
        </is>
      </c>
      <c r="D1678" s="1" t="n">
        <v>44872</v>
      </c>
      <c r="E1678" s="1" t="n">
        <v>46319</v>
      </c>
      <c r="F1678" t="inlineStr">
        <is>
          <t>DALARNAS LÄN</t>
        </is>
      </c>
      <c r="G1678" t="inlineStr">
        <is>
          <t>LEKSAND</t>
        </is>
      </c>
      <c r="H1678" t="inlineStr">
        <is>
          <t>Bergvik skog väst AB</t>
        </is>
      </c>
      <c r="I1678" t="n">
        <v>4</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29878-2022</t>
        </is>
      </c>
      <c r="B1679" t="inlineStr">
        <is>
          <t>avverkningsanmälan</t>
        </is>
      </c>
      <c r="C1679" t="inlineStr">
        <is>
          <t>Föryngringsavverkning</t>
        </is>
      </c>
      <c r="D1679" s="1" t="n">
        <v>44755</v>
      </c>
      <c r="E1679" s="1" t="n">
        <v>46319</v>
      </c>
      <c r="F1679" t="inlineStr">
        <is>
          <t>DALARNAS LÄN</t>
        </is>
      </c>
      <c r="G1679" t="inlineStr">
        <is>
          <t>FALUN</t>
        </is>
      </c>
      <c r="I1679" t="n">
        <v>1</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21273-2022</t>
        </is>
      </c>
      <c r="B1680" t="inlineStr">
        <is>
          <t>avverkningsanmälan</t>
        </is>
      </c>
      <c r="C1680" t="inlineStr">
        <is>
          <t>Föryngringsavverkning</t>
        </is>
      </c>
      <c r="D1680" s="1" t="n">
        <v>44705</v>
      </c>
      <c r="E1680" s="1" t="n">
        <v>46319</v>
      </c>
      <c r="F1680" t="inlineStr">
        <is>
          <t>DALARNAS LÄN</t>
        </is>
      </c>
      <c r="G1680" t="inlineStr">
        <is>
          <t>MORA</t>
        </is>
      </c>
      <c r="I1680" t="n">
        <v>1</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29998-2022</t>
        </is>
      </c>
      <c r="B1681" t="inlineStr">
        <is>
          <t>avverkningsanmälan</t>
        </is>
      </c>
      <c r="C1681" t="inlineStr">
        <is>
          <t>Föryngringsavverkning</t>
        </is>
      </c>
      <c r="D1681" s="1" t="n">
        <v>44756</v>
      </c>
      <c r="E1681" s="1" t="n">
        <v>46319</v>
      </c>
      <c r="F1681" t="inlineStr">
        <is>
          <t>DALARNAS LÄN</t>
        </is>
      </c>
      <c r="G1681" t="inlineStr">
        <is>
          <t>MALUNG-SÄLEN</t>
        </is>
      </c>
      <c r="I1681" t="n">
        <v>1.8</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29497-2022</t>
        </is>
      </c>
      <c r="B1682" t="inlineStr">
        <is>
          <t>avverkningsanmälan</t>
        </is>
      </c>
      <c r="C1682" t="inlineStr">
        <is>
          <t>Föryngringsavverkning</t>
        </is>
      </c>
      <c r="D1682" s="1" t="n">
        <v>44753</v>
      </c>
      <c r="E1682" s="1" t="n">
        <v>46319</v>
      </c>
      <c r="F1682" t="inlineStr">
        <is>
          <t>DALARNAS LÄN</t>
        </is>
      </c>
      <c r="G1682" t="inlineStr">
        <is>
          <t>VANSBRO</t>
        </is>
      </c>
      <c r="I1682" t="n">
        <v>3.2</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41436-2022</t>
        </is>
      </c>
      <c r="B1683" t="inlineStr">
        <is>
          <t>avverkningsanmälan</t>
        </is>
      </c>
      <c r="C1683" t="inlineStr">
        <is>
          <t>Föryngringsavverkning</t>
        </is>
      </c>
      <c r="D1683" s="1" t="n">
        <v>44826</v>
      </c>
      <c r="E1683" s="1" t="n">
        <v>46319</v>
      </c>
      <c r="F1683" t="inlineStr">
        <is>
          <t>DALARNAS LÄN</t>
        </is>
      </c>
      <c r="G1683" t="inlineStr">
        <is>
          <t>FALUN</t>
        </is>
      </c>
      <c r="I1683" t="n">
        <v>2</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66634-2021</t>
        </is>
      </c>
      <c r="B1684" t="inlineStr">
        <is>
          <t>avverkningsanmälan</t>
        </is>
      </c>
      <c r="C1684" t="inlineStr">
        <is>
          <t>Föryngringsavverkning</t>
        </is>
      </c>
      <c r="D1684" s="1" t="n">
        <v>44519</v>
      </c>
      <c r="E1684" s="1" t="n">
        <v>46319</v>
      </c>
      <c r="F1684" t="inlineStr">
        <is>
          <t>DALARNAS LÄN</t>
        </is>
      </c>
      <c r="G1684" t="inlineStr">
        <is>
          <t>ÄLVDALEN</t>
        </is>
      </c>
      <c r="H1684" t="inlineStr">
        <is>
          <t>Sveaskog</t>
        </is>
      </c>
      <c r="I1684" t="n">
        <v>1.5</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66705-2021</t>
        </is>
      </c>
      <c r="B1685" t="inlineStr">
        <is>
          <t>avverkningsanmälan</t>
        </is>
      </c>
      <c r="C1685" t="inlineStr">
        <is>
          <t>Föryngringsavverkning</t>
        </is>
      </c>
      <c r="D1685" s="1" t="n">
        <v>44519</v>
      </c>
      <c r="E1685" s="1" t="n">
        <v>46319</v>
      </c>
      <c r="F1685" t="inlineStr">
        <is>
          <t>DALARNAS LÄN</t>
        </is>
      </c>
      <c r="G1685" t="inlineStr">
        <is>
          <t>VANSBRO</t>
        </is>
      </c>
      <c r="I1685" t="n">
        <v>3.5</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42055-2022</t>
        </is>
      </c>
      <c r="B1686" t="inlineStr">
        <is>
          <t>avverkningsanmälan</t>
        </is>
      </c>
      <c r="C1686" t="inlineStr">
        <is>
          <t>Föryngringsavverkning</t>
        </is>
      </c>
      <c r="D1686" s="1" t="n">
        <v>44830</v>
      </c>
      <c r="E1686" s="1" t="n">
        <v>46319</v>
      </c>
      <c r="F1686" t="inlineStr">
        <is>
          <t>DALARNAS LÄN</t>
        </is>
      </c>
      <c r="G1686" t="inlineStr">
        <is>
          <t>VANSBRO</t>
        </is>
      </c>
      <c r="H1686" t="inlineStr">
        <is>
          <t>Bergvik skog väst AB</t>
        </is>
      </c>
      <c r="I1686" t="n">
        <v>7.3</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29087-2022</t>
        </is>
      </c>
      <c r="B1687" t="inlineStr">
        <is>
          <t>avverkningsanmälan</t>
        </is>
      </c>
      <c r="C1687" t="inlineStr">
        <is>
          <t>Föryngringsavverkning</t>
        </is>
      </c>
      <c r="D1687" s="1" t="n">
        <v>44749</v>
      </c>
      <c r="E1687" s="1" t="n">
        <v>46319</v>
      </c>
      <c r="F1687" t="inlineStr">
        <is>
          <t>DALARNAS LÄN</t>
        </is>
      </c>
      <c r="G1687" t="inlineStr">
        <is>
          <t>RÄTTVIK</t>
        </is>
      </c>
      <c r="I1687" t="n">
        <v>2.6</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45741-2022</t>
        </is>
      </c>
      <c r="B1688" t="inlineStr">
        <is>
          <t>avverkningsanmälan</t>
        </is>
      </c>
      <c r="C1688" t="inlineStr">
        <is>
          <t>Föryngringsavverkning</t>
        </is>
      </c>
      <c r="D1688" s="1" t="n">
        <v>44846</v>
      </c>
      <c r="E1688" s="1" t="n">
        <v>46319</v>
      </c>
      <c r="F1688" t="inlineStr">
        <is>
          <t>DALARNAS LÄN</t>
        </is>
      </c>
      <c r="G1688" t="inlineStr">
        <is>
          <t>HEDEMORA</t>
        </is>
      </c>
      <c r="H1688" t="inlineStr">
        <is>
          <t>Sveaskog</t>
        </is>
      </c>
      <c r="I1688" t="n">
        <v>2.8</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46259-2022</t>
        </is>
      </c>
      <c r="B1689" t="inlineStr">
        <is>
          <t>avverkningsanmälan</t>
        </is>
      </c>
      <c r="C1689" t="inlineStr">
        <is>
          <t>Föryngringsavverkning</t>
        </is>
      </c>
      <c r="D1689" s="1" t="n">
        <v>44847</v>
      </c>
      <c r="E1689" s="1" t="n">
        <v>46319</v>
      </c>
      <c r="F1689" t="inlineStr">
        <is>
          <t>DALARNAS LÄN</t>
        </is>
      </c>
      <c r="G1689" t="inlineStr">
        <is>
          <t>FALUN</t>
        </is>
      </c>
      <c r="I1689" t="n">
        <v>0.6</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49152-2022</t>
        </is>
      </c>
      <c r="B1690" t="inlineStr">
        <is>
          <t>avverkningsanmälan</t>
        </is>
      </c>
      <c r="C1690" t="inlineStr">
        <is>
          <t>Föryngringsavverkning</t>
        </is>
      </c>
      <c r="D1690" s="1" t="n">
        <v>44860</v>
      </c>
      <c r="E1690" s="1" t="n">
        <v>46319</v>
      </c>
      <c r="F1690" t="inlineStr">
        <is>
          <t>DALARNAS LÄN</t>
        </is>
      </c>
      <c r="G1690" t="inlineStr">
        <is>
          <t>FALUN</t>
        </is>
      </c>
      <c r="I1690" t="n">
        <v>1.6</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19019-2022</t>
        </is>
      </c>
      <c r="B1691" t="inlineStr">
        <is>
          <t>avverkningsanmälan</t>
        </is>
      </c>
      <c r="C1691" t="inlineStr">
        <is>
          <t>Föryngringsavverkning</t>
        </is>
      </c>
      <c r="D1691" s="1" t="n">
        <v>44691</v>
      </c>
      <c r="E1691" s="1" t="n">
        <v>46319</v>
      </c>
      <c r="F1691" t="inlineStr">
        <is>
          <t>DALARNAS LÄN</t>
        </is>
      </c>
      <c r="G1691" t="inlineStr">
        <is>
          <t>SMEDJEBACKEN</t>
        </is>
      </c>
      <c r="H1691" t="inlineStr">
        <is>
          <t>Övriga Aktiebolag</t>
        </is>
      </c>
      <c r="I1691" t="n">
        <v>2.7</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60697-2021</t>
        </is>
      </c>
      <c r="B1692" t="inlineStr">
        <is>
          <t>avverkningsanmälan</t>
        </is>
      </c>
      <c r="C1692" t="inlineStr">
        <is>
          <t>Föryngringsavverkning</t>
        </is>
      </c>
      <c r="D1692" s="1" t="n">
        <v>44496</v>
      </c>
      <c r="E1692" s="1" t="n">
        <v>46319</v>
      </c>
      <c r="F1692" t="inlineStr">
        <is>
          <t>DALARNAS LÄN</t>
        </is>
      </c>
      <c r="G1692" t="inlineStr">
        <is>
          <t>SMEDJEBACKEN</t>
        </is>
      </c>
      <c r="I1692" t="n">
        <v>0.6</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64503-2021</t>
        </is>
      </c>
      <c r="B1693" t="inlineStr">
        <is>
          <t>avverkningsanmälan</t>
        </is>
      </c>
      <c r="C1693" t="inlineStr">
        <is>
          <t>Avverkning för att bevara och utveckla /försöksver</t>
        </is>
      </c>
      <c r="D1693" s="1" t="n">
        <v>44511</v>
      </c>
      <c r="E1693" s="1" t="n">
        <v>46319</v>
      </c>
      <c r="F1693" t="inlineStr">
        <is>
          <t>DALARNAS LÄN</t>
        </is>
      </c>
      <c r="G1693" t="inlineStr">
        <is>
          <t>GAGNEF</t>
        </is>
      </c>
      <c r="I1693" t="n">
        <v>0.3</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12477-2022</t>
        </is>
      </c>
      <c r="B1694" t="inlineStr">
        <is>
          <t>avverkningsanmälan</t>
        </is>
      </c>
      <c r="C1694" t="inlineStr">
        <is>
          <t>Föryngringsavverkning</t>
        </is>
      </c>
      <c r="D1694" s="1" t="n">
        <v>44638</v>
      </c>
      <c r="E1694" s="1" t="n">
        <v>46319</v>
      </c>
      <c r="F1694" t="inlineStr">
        <is>
          <t>DALARNAS LÄN</t>
        </is>
      </c>
      <c r="G1694" t="inlineStr">
        <is>
          <t>RÄTTVIK</t>
        </is>
      </c>
      <c r="I1694" t="n">
        <v>0.5</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26879-2022</t>
        </is>
      </c>
      <c r="B1695" t="inlineStr">
        <is>
          <t>avverkningsanmälan</t>
        </is>
      </c>
      <c r="C1695" t="inlineStr">
        <is>
          <t>Föryngringsavverkning</t>
        </is>
      </c>
      <c r="D1695" s="1" t="n">
        <v>44740</v>
      </c>
      <c r="E1695" s="1" t="n">
        <v>46319</v>
      </c>
      <c r="F1695" t="inlineStr">
        <is>
          <t>DALARNAS LÄN</t>
        </is>
      </c>
      <c r="G1695" t="inlineStr">
        <is>
          <t>RÄTTVIK</t>
        </is>
      </c>
      <c r="I1695" t="n">
        <v>1.4</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33771-2022</t>
        </is>
      </c>
      <c r="B1696" t="inlineStr">
        <is>
          <t>avverkningsanmälan</t>
        </is>
      </c>
      <c r="C1696" t="inlineStr">
        <is>
          <t>Föryngringsavverkning</t>
        </is>
      </c>
      <c r="D1696" s="1" t="n">
        <v>44790</v>
      </c>
      <c r="E1696" s="1" t="n">
        <v>46319</v>
      </c>
      <c r="F1696" t="inlineStr">
        <is>
          <t>DALARNAS LÄN</t>
        </is>
      </c>
      <c r="G1696" t="inlineStr">
        <is>
          <t>RÄTTVIK</t>
        </is>
      </c>
      <c r="I1696" t="n">
        <v>0.5</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73691-2021</t>
        </is>
      </c>
      <c r="B1697" t="inlineStr">
        <is>
          <t>avverkningsanmälan</t>
        </is>
      </c>
      <c r="C1697" t="inlineStr">
        <is>
          <t>Föryngringsavverkning</t>
        </is>
      </c>
      <c r="D1697" s="1" t="n">
        <v>44552</v>
      </c>
      <c r="E1697" s="1" t="n">
        <v>46319</v>
      </c>
      <c r="F1697" t="inlineStr">
        <is>
          <t>DALARNAS LÄN</t>
        </is>
      </c>
      <c r="G1697" t="inlineStr">
        <is>
          <t>ÄLVDALEN</t>
        </is>
      </c>
      <c r="H1697" t="inlineStr">
        <is>
          <t>Bergvik skog väst AB</t>
        </is>
      </c>
      <c r="I1697" t="n">
        <v>0.9</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12049-2022</t>
        </is>
      </c>
      <c r="B1698" t="inlineStr">
        <is>
          <t>avverkningsanmälan</t>
        </is>
      </c>
      <c r="C1698" t="inlineStr">
        <is>
          <t>Avverkning för annat ändamål</t>
        </is>
      </c>
      <c r="D1698" s="1" t="n">
        <v>44636</v>
      </c>
      <c r="E1698" s="1" t="n">
        <v>46319</v>
      </c>
      <c r="F1698" t="inlineStr">
        <is>
          <t>DALARNAS LÄN</t>
        </is>
      </c>
      <c r="G1698" t="inlineStr">
        <is>
          <t>FALUN</t>
        </is>
      </c>
      <c r="I1698" t="n">
        <v>0.1</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16183-2022</t>
        </is>
      </c>
      <c r="B1699" t="inlineStr">
        <is>
          <t>avverkningsanmälan</t>
        </is>
      </c>
      <c r="C1699" t="inlineStr">
        <is>
          <t>Föryngringsavverkning</t>
        </is>
      </c>
      <c r="D1699" s="1" t="n">
        <v>44668</v>
      </c>
      <c r="E1699" s="1" t="n">
        <v>46319</v>
      </c>
      <c r="F1699" t="inlineStr">
        <is>
          <t>DALARNAS LÄN</t>
        </is>
      </c>
      <c r="G1699" t="inlineStr">
        <is>
          <t>GAGNEF</t>
        </is>
      </c>
      <c r="H1699" t="inlineStr">
        <is>
          <t>Bergvik skog väst AB</t>
        </is>
      </c>
      <c r="I1699" t="n">
        <v>0.6</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55308-2022</t>
        </is>
      </c>
      <c r="B1700" t="inlineStr">
        <is>
          <t>avverkningsanmälan</t>
        </is>
      </c>
      <c r="C1700" t="inlineStr">
        <is>
          <t>Föryngringsavverkning</t>
        </is>
      </c>
      <c r="D1700" s="1" t="n">
        <v>44887</v>
      </c>
      <c r="E1700" s="1" t="n">
        <v>46319</v>
      </c>
      <c r="F1700" t="inlineStr">
        <is>
          <t>DALARNAS LÄN</t>
        </is>
      </c>
      <c r="G1700" t="inlineStr">
        <is>
          <t>MALUNG-SÄLEN</t>
        </is>
      </c>
      <c r="H1700" t="inlineStr">
        <is>
          <t>Bergvik skog väst AB</t>
        </is>
      </c>
      <c r="I1700" t="n">
        <v>2.2</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12606-2022</t>
        </is>
      </c>
      <c r="B1701" t="inlineStr">
        <is>
          <t>avverkningsanmälan</t>
        </is>
      </c>
      <c r="C1701" t="inlineStr">
        <is>
          <t>Föryngringsavverkning</t>
        </is>
      </c>
      <c r="D1701" s="1" t="n">
        <v>44641</v>
      </c>
      <c r="E1701" s="1" t="n">
        <v>46319</v>
      </c>
      <c r="F1701" t="inlineStr">
        <is>
          <t>DALARNAS LÄN</t>
        </is>
      </c>
      <c r="G1701" t="inlineStr">
        <is>
          <t>SMEDJEBACKEN</t>
        </is>
      </c>
      <c r="I1701" t="n">
        <v>0.4</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35806-2022</t>
        </is>
      </c>
      <c r="B1702" t="inlineStr">
        <is>
          <t>avverkningsanmälan</t>
        </is>
      </c>
      <c r="C1702" t="inlineStr">
        <is>
          <t>Föryngringsavverkning</t>
        </is>
      </c>
      <c r="D1702" s="1" t="n">
        <v>44802</v>
      </c>
      <c r="E1702" s="1" t="n">
        <v>46319</v>
      </c>
      <c r="F1702" t="inlineStr">
        <is>
          <t>DALARNAS LÄN</t>
        </is>
      </c>
      <c r="G1702" t="inlineStr">
        <is>
          <t>HEDEMORA</t>
        </is>
      </c>
      <c r="I1702" t="n">
        <v>1.3</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45935-2022</t>
        </is>
      </c>
      <c r="B1703" t="inlineStr">
        <is>
          <t>avverkningsanmälan</t>
        </is>
      </c>
      <c r="C1703" t="inlineStr">
        <is>
          <t>Föryngringsavverkning</t>
        </is>
      </c>
      <c r="D1703" s="1" t="n">
        <v>44846</v>
      </c>
      <c r="E1703" s="1" t="n">
        <v>46319</v>
      </c>
      <c r="F1703" t="inlineStr">
        <is>
          <t>DALARNAS LÄN</t>
        </is>
      </c>
      <c r="G1703" t="inlineStr">
        <is>
          <t>SÄTER</t>
        </is>
      </c>
      <c r="I1703" t="n">
        <v>8.5</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19841-2022</t>
        </is>
      </c>
      <c r="B1704" t="inlineStr">
        <is>
          <t>avverkningsanmälan</t>
        </is>
      </c>
      <c r="C1704" t="inlineStr">
        <is>
          <t>Avverkning för annat ändamål</t>
        </is>
      </c>
      <c r="D1704" s="1" t="n">
        <v>44696</v>
      </c>
      <c r="E1704" s="1" t="n">
        <v>46319</v>
      </c>
      <c r="F1704" t="inlineStr">
        <is>
          <t>DALARNAS LÄN</t>
        </is>
      </c>
      <c r="G1704" t="inlineStr">
        <is>
          <t>MALUNG-SÄLEN</t>
        </is>
      </c>
      <c r="I1704" t="n">
        <v>0.7</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20177-2022</t>
        </is>
      </c>
      <c r="B1705" t="inlineStr">
        <is>
          <t>avverkningsanmälan</t>
        </is>
      </c>
      <c r="C1705" t="inlineStr">
        <is>
          <t>Föryngringsavverkning</t>
        </is>
      </c>
      <c r="D1705" s="1" t="n">
        <v>44698</v>
      </c>
      <c r="E1705" s="1" t="n">
        <v>46319</v>
      </c>
      <c r="F1705" t="inlineStr">
        <is>
          <t>DALARNAS LÄN</t>
        </is>
      </c>
      <c r="G1705" t="inlineStr">
        <is>
          <t>HEDEMORA</t>
        </is>
      </c>
      <c r="I1705" t="n">
        <v>3.9</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34567-2022</t>
        </is>
      </c>
      <c r="B1706" t="inlineStr">
        <is>
          <t>avverkningsanmälan</t>
        </is>
      </c>
      <c r="C1706" t="inlineStr">
        <is>
          <t>Föryngringsavverkning</t>
        </is>
      </c>
      <c r="D1706" s="1" t="n">
        <v>44795</v>
      </c>
      <c r="E1706" s="1" t="n">
        <v>46319</v>
      </c>
      <c r="F1706" t="inlineStr">
        <is>
          <t>DALARNAS LÄN</t>
        </is>
      </c>
      <c r="G1706" t="inlineStr">
        <is>
          <t>RÄTTVIK</t>
        </is>
      </c>
      <c r="I1706" t="n">
        <v>4.7</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34570-2022</t>
        </is>
      </c>
      <c r="B1707" t="inlineStr">
        <is>
          <t>avverkningsanmälan</t>
        </is>
      </c>
      <c r="C1707" t="inlineStr">
        <is>
          <t>Föryngringsavverkning</t>
        </is>
      </c>
      <c r="D1707" s="1" t="n">
        <v>44795</v>
      </c>
      <c r="E1707" s="1" t="n">
        <v>46319</v>
      </c>
      <c r="F1707" t="inlineStr">
        <is>
          <t>DALARNAS LÄN</t>
        </is>
      </c>
      <c r="G1707" t="inlineStr">
        <is>
          <t>RÄTTVIK</t>
        </is>
      </c>
      <c r="I1707" t="n">
        <v>2.4</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68457-2021</t>
        </is>
      </c>
      <c r="B1708" t="inlineStr">
        <is>
          <t>avverkningsanmälan</t>
        </is>
      </c>
      <c r="C1708" t="inlineStr">
        <is>
          <t>Föryngringsavverkning</t>
        </is>
      </c>
      <c r="D1708" s="1" t="n">
        <v>44529</v>
      </c>
      <c r="E1708" s="1" t="n">
        <v>46319</v>
      </c>
      <c r="F1708" t="inlineStr">
        <is>
          <t>DALARNAS LÄN</t>
        </is>
      </c>
      <c r="G1708" t="inlineStr">
        <is>
          <t>HEDEMORA</t>
        </is>
      </c>
      <c r="I1708" t="n">
        <v>1.9</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64718-2021</t>
        </is>
      </c>
      <c r="B1709" t="inlineStr">
        <is>
          <t>avverkningsanmälan</t>
        </is>
      </c>
      <c r="C1709" t="inlineStr">
        <is>
          <t>Föryngringsavverkning</t>
        </is>
      </c>
      <c r="D1709" s="1" t="n">
        <v>44512</v>
      </c>
      <c r="E1709" s="1" t="n">
        <v>46319</v>
      </c>
      <c r="F1709" t="inlineStr">
        <is>
          <t>DALARNAS LÄN</t>
        </is>
      </c>
      <c r="G1709" t="inlineStr">
        <is>
          <t>LEKSAND</t>
        </is>
      </c>
      <c r="I1709" t="n">
        <v>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66717-2021</t>
        </is>
      </c>
      <c r="B1710" t="inlineStr">
        <is>
          <t>avverkningsanmälan</t>
        </is>
      </c>
      <c r="C1710" t="inlineStr">
        <is>
          <t>Föryngringsavverkning</t>
        </is>
      </c>
      <c r="D1710" s="1" t="n">
        <v>44519</v>
      </c>
      <c r="E1710" s="1" t="n">
        <v>46319</v>
      </c>
      <c r="F1710" t="inlineStr">
        <is>
          <t>DALARNAS LÄN</t>
        </is>
      </c>
      <c r="G1710" t="inlineStr">
        <is>
          <t>VANSBRO</t>
        </is>
      </c>
      <c r="I1710" t="n">
        <v>1</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52303-2022</t>
        </is>
      </c>
      <c r="B1711" t="inlineStr">
        <is>
          <t>avverkningsanmälan</t>
        </is>
      </c>
      <c r="C1711" t="inlineStr">
        <is>
          <t>Föryngringsavverkning</t>
        </is>
      </c>
      <c r="D1711" s="1" t="n">
        <v>44869</v>
      </c>
      <c r="E1711" s="1" t="n">
        <v>46319</v>
      </c>
      <c r="F1711" t="inlineStr">
        <is>
          <t>DALARNAS LÄN</t>
        </is>
      </c>
      <c r="G1711" t="inlineStr">
        <is>
          <t>LUDVIKA</t>
        </is>
      </c>
      <c r="I1711" t="n">
        <v>1</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52381-2022</t>
        </is>
      </c>
      <c r="B1712" t="inlineStr">
        <is>
          <t>avverkningsanmälan</t>
        </is>
      </c>
      <c r="C1712" t="inlineStr">
        <is>
          <t>Föryngringsavverkning</t>
        </is>
      </c>
      <c r="D1712" s="1" t="n">
        <v>44874</v>
      </c>
      <c r="E1712" s="1" t="n">
        <v>46319</v>
      </c>
      <c r="F1712" t="inlineStr">
        <is>
          <t>DALARNAS LÄN</t>
        </is>
      </c>
      <c r="G1712" t="inlineStr">
        <is>
          <t>FALUN</t>
        </is>
      </c>
      <c r="I1712" t="n">
        <v>3.8</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49278-2022</t>
        </is>
      </c>
      <c r="B1713" t="inlineStr">
        <is>
          <t>avverkningsanmälan</t>
        </is>
      </c>
      <c r="C1713" t="inlineStr">
        <is>
          <t>Avverkning för annat ändamål</t>
        </is>
      </c>
      <c r="D1713" s="1" t="n">
        <v>44861</v>
      </c>
      <c r="E1713" s="1" t="n">
        <v>46319</v>
      </c>
      <c r="F1713" t="inlineStr">
        <is>
          <t>DALARNAS LÄN</t>
        </is>
      </c>
      <c r="G1713" t="inlineStr">
        <is>
          <t>SMEDJEBACKEN</t>
        </is>
      </c>
      <c r="H1713" t="inlineStr">
        <is>
          <t>Sveaskog</t>
        </is>
      </c>
      <c r="I1713" t="n">
        <v>0.4</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21752-2022</t>
        </is>
      </c>
      <c r="B1714" t="inlineStr">
        <is>
          <t>avverkningsanmälan</t>
        </is>
      </c>
      <c r="C1714" t="inlineStr">
        <is>
          <t>Föryngringsavverkning</t>
        </is>
      </c>
      <c r="D1714" s="1" t="n">
        <v>44708</v>
      </c>
      <c r="E1714" s="1" t="n">
        <v>46319</v>
      </c>
      <c r="F1714" t="inlineStr">
        <is>
          <t>DALARNAS LÄN</t>
        </is>
      </c>
      <c r="G1714" t="inlineStr">
        <is>
          <t>VANSBRO</t>
        </is>
      </c>
      <c r="I1714" t="n">
        <v>7.2</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9299-2022</t>
        </is>
      </c>
      <c r="B1715" t="inlineStr">
        <is>
          <t>avverkningsanmälan</t>
        </is>
      </c>
      <c r="C1715" t="inlineStr">
        <is>
          <t>Föryngringsavverkning</t>
        </is>
      </c>
      <c r="D1715" s="1" t="n">
        <v>44616</v>
      </c>
      <c r="E1715" s="1" t="n">
        <v>46319</v>
      </c>
      <c r="F1715" t="inlineStr">
        <is>
          <t>DALARNAS LÄN</t>
        </is>
      </c>
      <c r="G1715" t="inlineStr">
        <is>
          <t>MALUNG-SÄLEN</t>
        </is>
      </c>
      <c r="I1715" t="n">
        <v>4.7</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62152-2021</t>
        </is>
      </c>
      <c r="B1716" t="inlineStr">
        <is>
          <t>avverkningsanmälan</t>
        </is>
      </c>
      <c r="C1716" t="inlineStr">
        <is>
          <t>Föryngringsavverkning</t>
        </is>
      </c>
      <c r="D1716" s="1" t="n">
        <v>44502</v>
      </c>
      <c r="E1716" s="1" t="n">
        <v>46319</v>
      </c>
      <c r="F1716" t="inlineStr">
        <is>
          <t>DALARNAS LÄN</t>
        </is>
      </c>
      <c r="G1716" t="inlineStr">
        <is>
          <t>LUDVIKA</t>
        </is>
      </c>
      <c r="I1716" t="n">
        <v>6.1</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62253-2021</t>
        </is>
      </c>
      <c r="B1717" t="inlineStr">
        <is>
          <t>avverkningsanmälan</t>
        </is>
      </c>
      <c r="C1717" t="inlineStr">
        <is>
          <t>Föryngringsavverkning</t>
        </is>
      </c>
      <c r="D1717" s="1" t="n">
        <v>44503</v>
      </c>
      <c r="E1717" s="1" t="n">
        <v>46319</v>
      </c>
      <c r="F1717" t="inlineStr">
        <is>
          <t>DALARNAS LÄN</t>
        </is>
      </c>
      <c r="G1717" t="inlineStr">
        <is>
          <t>MALUNG-SÄLEN</t>
        </is>
      </c>
      <c r="I1717" t="n">
        <v>2.7</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65527-2021</t>
        </is>
      </c>
      <c r="B1718" t="inlineStr">
        <is>
          <t>avverkningsanmälan</t>
        </is>
      </c>
      <c r="C1718" t="inlineStr">
        <is>
          <t>Föryngringsavverkning</t>
        </is>
      </c>
      <c r="D1718" s="1" t="n">
        <v>44516</v>
      </c>
      <c r="E1718" s="1" t="n">
        <v>46319</v>
      </c>
      <c r="F1718" t="inlineStr">
        <is>
          <t>DALARNAS LÄN</t>
        </is>
      </c>
      <c r="G1718" t="inlineStr">
        <is>
          <t>MORA</t>
        </is>
      </c>
      <c r="I1718" t="n">
        <v>0.5</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41593-2022</t>
        </is>
      </c>
      <c r="B1719" t="inlineStr">
        <is>
          <t>avverkningsanmälan</t>
        </is>
      </c>
      <c r="C1719" t="inlineStr">
        <is>
          <t>Föryngringsavverkning</t>
        </is>
      </c>
      <c r="D1719" s="1" t="n">
        <v>44827</v>
      </c>
      <c r="E1719" s="1" t="n">
        <v>46319</v>
      </c>
      <c r="F1719" t="inlineStr">
        <is>
          <t>DALARNAS LÄN</t>
        </is>
      </c>
      <c r="G1719" t="inlineStr">
        <is>
          <t>FALUN</t>
        </is>
      </c>
      <c r="I1719" t="n">
        <v>0.8</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11138-2022</t>
        </is>
      </c>
      <c r="B1720" t="inlineStr">
        <is>
          <t>avverkningsanmälan</t>
        </is>
      </c>
      <c r="C1720" t="inlineStr">
        <is>
          <t>Föryngringsavverkning</t>
        </is>
      </c>
      <c r="D1720" s="1" t="n">
        <v>44629</v>
      </c>
      <c r="E1720" s="1" t="n">
        <v>46319</v>
      </c>
      <c r="F1720" t="inlineStr">
        <is>
          <t>DALARNAS LÄN</t>
        </is>
      </c>
      <c r="G1720" t="inlineStr">
        <is>
          <t>ORSA</t>
        </is>
      </c>
      <c r="I1720" t="n">
        <v>0.4</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4030-2022</t>
        </is>
      </c>
      <c r="B1721" t="inlineStr">
        <is>
          <t>avverkningsanmälan</t>
        </is>
      </c>
      <c r="C1721" t="inlineStr">
        <is>
          <t>Föryngringsavverkning</t>
        </is>
      </c>
      <c r="D1721" s="1" t="n">
        <v>44588</v>
      </c>
      <c r="E1721" s="1" t="n">
        <v>46319</v>
      </c>
      <c r="F1721" t="inlineStr">
        <is>
          <t>DALARNAS LÄN</t>
        </is>
      </c>
      <c r="G1721" t="inlineStr">
        <is>
          <t>HEDEMORA</t>
        </is>
      </c>
      <c r="H1721" t="inlineStr">
        <is>
          <t>Kyrkan</t>
        </is>
      </c>
      <c r="I1721" t="n">
        <v>2.1</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4070-2022</t>
        </is>
      </c>
      <c r="B1722" t="inlineStr">
        <is>
          <t>avverkningsanmälan</t>
        </is>
      </c>
      <c r="C1722" t="inlineStr">
        <is>
          <t>Föryngringsavverkning</t>
        </is>
      </c>
      <c r="D1722" s="1" t="n">
        <v>44588</v>
      </c>
      <c r="E1722" s="1" t="n">
        <v>46319</v>
      </c>
      <c r="F1722" t="inlineStr">
        <is>
          <t>DALARNAS LÄN</t>
        </is>
      </c>
      <c r="G1722" t="inlineStr">
        <is>
          <t>MALUNG-SÄLEN</t>
        </is>
      </c>
      <c r="I1722" t="n">
        <v>4.3</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62467-2021</t>
        </is>
      </c>
      <c r="B1723" t="inlineStr">
        <is>
          <t>avverkningsanmälan</t>
        </is>
      </c>
      <c r="C1723" t="inlineStr">
        <is>
          <t>Föryngringsavverkning</t>
        </is>
      </c>
      <c r="D1723" s="1" t="n">
        <v>44503</v>
      </c>
      <c r="E1723" s="1" t="n">
        <v>46319</v>
      </c>
      <c r="F1723" t="inlineStr">
        <is>
          <t>DALARNAS LÄN</t>
        </is>
      </c>
      <c r="G1723" t="inlineStr">
        <is>
          <t>LUDVIKA</t>
        </is>
      </c>
      <c r="H1723" t="inlineStr">
        <is>
          <t>Bergvik skog väst AB</t>
        </is>
      </c>
      <c r="I1723" t="n">
        <v>0.8</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22351-2022</t>
        </is>
      </c>
      <c r="B1724" t="inlineStr">
        <is>
          <t>avverkningsanmälan</t>
        </is>
      </c>
      <c r="C1724" t="inlineStr">
        <is>
          <t>Föryngringsavverkning</t>
        </is>
      </c>
      <c r="D1724" s="1" t="n">
        <v>44713</v>
      </c>
      <c r="E1724" s="1" t="n">
        <v>46319</v>
      </c>
      <c r="F1724" t="inlineStr">
        <is>
          <t>DALARNAS LÄN</t>
        </is>
      </c>
      <c r="G1724" t="inlineStr">
        <is>
          <t>SMEDJEBACKEN</t>
        </is>
      </c>
      <c r="I1724" t="n">
        <v>2.3</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34137-2022</t>
        </is>
      </c>
      <c r="B1725" t="inlineStr">
        <is>
          <t>avverkningsanmälan</t>
        </is>
      </c>
      <c r="C1725" t="inlineStr">
        <is>
          <t>Föryngringsavverkning</t>
        </is>
      </c>
      <c r="D1725" s="1" t="n">
        <v>44791</v>
      </c>
      <c r="E1725" s="1" t="n">
        <v>46319</v>
      </c>
      <c r="F1725" t="inlineStr">
        <is>
          <t>DALARNAS LÄN</t>
        </is>
      </c>
      <c r="G1725" t="inlineStr">
        <is>
          <t>RÄTTVIK</t>
        </is>
      </c>
      <c r="I1725" t="n">
        <v>1.4</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24204-2022</t>
        </is>
      </c>
      <c r="B1726" t="inlineStr">
        <is>
          <t>avverkningsanmälan</t>
        </is>
      </c>
      <c r="C1726" t="inlineStr">
        <is>
          <t>Föryngringsavverkning</t>
        </is>
      </c>
      <c r="D1726" s="1" t="n">
        <v>44725</v>
      </c>
      <c r="E1726" s="1" t="n">
        <v>46319</v>
      </c>
      <c r="F1726" t="inlineStr">
        <is>
          <t>DALARNAS LÄN</t>
        </is>
      </c>
      <c r="G1726" t="inlineStr">
        <is>
          <t>SÄTER</t>
        </is>
      </c>
      <c r="H1726" t="inlineStr">
        <is>
          <t>Bergvik skog väst AB</t>
        </is>
      </c>
      <c r="I1726" t="n">
        <v>0.6</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73167-2021</t>
        </is>
      </c>
      <c r="B1727" t="inlineStr">
        <is>
          <t>avverkningsanmälan</t>
        </is>
      </c>
      <c r="C1727" t="inlineStr">
        <is>
          <t>Föryngringsavverkning</t>
        </is>
      </c>
      <c r="D1727" s="1" t="n">
        <v>44550</v>
      </c>
      <c r="E1727" s="1" t="n">
        <v>46319</v>
      </c>
      <c r="F1727" t="inlineStr">
        <is>
          <t>DALARNAS LÄN</t>
        </is>
      </c>
      <c r="G1727" t="inlineStr">
        <is>
          <t>LUDVIKA</t>
        </is>
      </c>
      <c r="H1727" t="inlineStr">
        <is>
          <t>Bergvik skog väst AB</t>
        </is>
      </c>
      <c r="I1727" t="n">
        <v>1.1</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12331-2022</t>
        </is>
      </c>
      <c r="B1728" t="inlineStr">
        <is>
          <t>avverkningsanmälan</t>
        </is>
      </c>
      <c r="C1728" t="inlineStr">
        <is>
          <t>Föryngringsavverkning</t>
        </is>
      </c>
      <c r="D1728" s="1" t="n">
        <v>44637</v>
      </c>
      <c r="E1728" s="1" t="n">
        <v>46319</v>
      </c>
      <c r="F1728" t="inlineStr">
        <is>
          <t>DALARNAS LÄN</t>
        </is>
      </c>
      <c r="G1728" t="inlineStr">
        <is>
          <t>SMEDJEBACKEN</t>
        </is>
      </c>
      <c r="I1728" t="n">
        <v>1</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883-2022</t>
        </is>
      </c>
      <c r="B1729" t="inlineStr">
        <is>
          <t>avverkningsanmälan</t>
        </is>
      </c>
      <c r="C1729" t="inlineStr">
        <is>
          <t>Föryngringsavverkning</t>
        </is>
      </c>
      <c r="D1729" s="1" t="n">
        <v>44571</v>
      </c>
      <c r="E1729" s="1" t="n">
        <v>46319</v>
      </c>
      <c r="F1729" t="inlineStr">
        <is>
          <t>DALARNAS LÄN</t>
        </is>
      </c>
      <c r="G1729" t="inlineStr">
        <is>
          <t>FALUN</t>
        </is>
      </c>
      <c r="I1729" t="n">
        <v>0.5</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37375-2022</t>
        </is>
      </c>
      <c r="B1730" t="inlineStr">
        <is>
          <t>avverkningsanmälan</t>
        </is>
      </c>
      <c r="C1730" t="inlineStr">
        <is>
          <t>Föryngringsavverkning</t>
        </is>
      </c>
      <c r="D1730" s="1" t="n">
        <v>44809</v>
      </c>
      <c r="E1730" s="1" t="n">
        <v>46319</v>
      </c>
      <c r="F1730" t="inlineStr">
        <is>
          <t>DALARNAS LÄN</t>
        </is>
      </c>
      <c r="G1730" t="inlineStr">
        <is>
          <t>SMEDJEBACKEN</t>
        </is>
      </c>
      <c r="H1730" t="inlineStr">
        <is>
          <t>Sveaskog</t>
        </is>
      </c>
      <c r="I1730" t="n">
        <v>2.5</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37395-2022</t>
        </is>
      </c>
      <c r="B1731" t="inlineStr">
        <is>
          <t>avverkningsanmälan</t>
        </is>
      </c>
      <c r="C1731" t="inlineStr">
        <is>
          <t>Föryngringsavverkning</t>
        </is>
      </c>
      <c r="D1731" s="1" t="n">
        <v>44809</v>
      </c>
      <c r="E1731" s="1" t="n">
        <v>46319</v>
      </c>
      <c r="F1731" t="inlineStr">
        <is>
          <t>DALARNAS LÄN</t>
        </is>
      </c>
      <c r="G1731" t="inlineStr">
        <is>
          <t>MALUNG-SÄLEN</t>
        </is>
      </c>
      <c r="I1731" t="n">
        <v>0.6</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6712-2022</t>
        </is>
      </c>
      <c r="B1732" t="inlineStr">
        <is>
          <t>avverkningsanmälan</t>
        </is>
      </c>
      <c r="C1732" t="inlineStr">
        <is>
          <t>Föryngringsavverkning</t>
        </is>
      </c>
      <c r="D1732" s="1" t="n">
        <v>44602</v>
      </c>
      <c r="E1732" s="1" t="n">
        <v>46319</v>
      </c>
      <c r="F1732" t="inlineStr">
        <is>
          <t>DALARNAS LÄN</t>
        </is>
      </c>
      <c r="G1732" t="inlineStr">
        <is>
          <t>MALUNG-SÄLEN</t>
        </is>
      </c>
      <c r="I1732" t="n">
        <v>1.1</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17804-2022</t>
        </is>
      </c>
      <c r="B1733" t="inlineStr">
        <is>
          <t>avverkningsanmälan</t>
        </is>
      </c>
      <c r="C1733" t="inlineStr">
        <is>
          <t>Avverkning för annat ändamål</t>
        </is>
      </c>
      <c r="D1733" s="1" t="n">
        <v>44673</v>
      </c>
      <c r="E1733" s="1" t="n">
        <v>46319</v>
      </c>
      <c r="F1733" t="inlineStr">
        <is>
          <t>DALARNAS LÄN</t>
        </is>
      </c>
      <c r="G1733" t="inlineStr">
        <is>
          <t>VANSBRO</t>
        </is>
      </c>
      <c r="I1733" t="n">
        <v>0.6</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49883-2022</t>
        </is>
      </c>
      <c r="B1734" t="inlineStr">
        <is>
          <t>avverkningsanmälan</t>
        </is>
      </c>
      <c r="C1734" t="inlineStr">
        <is>
          <t>Föryngringsavverkning</t>
        </is>
      </c>
      <c r="D1734" s="1" t="n">
        <v>44864</v>
      </c>
      <c r="E1734" s="1" t="n">
        <v>46319</v>
      </c>
      <c r="F1734" t="inlineStr">
        <is>
          <t>DALARNAS LÄN</t>
        </is>
      </c>
      <c r="G1734" t="inlineStr">
        <is>
          <t>SÄTER</t>
        </is>
      </c>
      <c r="I1734" t="n">
        <v>1.2</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40973-2022</t>
        </is>
      </c>
      <c r="B1735" t="inlineStr">
        <is>
          <t>avverkningsanmälan</t>
        </is>
      </c>
      <c r="C1735" t="inlineStr">
        <is>
          <t>Föryngringsavverkning</t>
        </is>
      </c>
      <c r="D1735" s="1" t="n">
        <v>44824</v>
      </c>
      <c r="E1735" s="1" t="n">
        <v>46319</v>
      </c>
      <c r="F1735" t="inlineStr">
        <is>
          <t>DALARNAS LÄN</t>
        </is>
      </c>
      <c r="G1735" t="inlineStr">
        <is>
          <t>RÄTTVIK</t>
        </is>
      </c>
      <c r="I1735" t="n">
        <v>0.8</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16767-2022</t>
        </is>
      </c>
      <c r="B1736" t="inlineStr">
        <is>
          <t>avverkningsanmälan</t>
        </is>
      </c>
      <c r="C1736" t="inlineStr">
        <is>
          <t>Föryngringsavverkning</t>
        </is>
      </c>
      <c r="D1736" s="1" t="n">
        <v>44673</v>
      </c>
      <c r="E1736" s="1" t="n">
        <v>46319</v>
      </c>
      <c r="F1736" t="inlineStr">
        <is>
          <t>DALARNAS LÄN</t>
        </is>
      </c>
      <c r="G1736" t="inlineStr">
        <is>
          <t>BORLÄNGE</t>
        </is>
      </c>
      <c r="I1736" t="n">
        <v>0.5</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42591-2022</t>
        </is>
      </c>
      <c r="B1737" t="inlineStr">
        <is>
          <t>avverkningsanmälan</t>
        </is>
      </c>
      <c r="C1737" t="inlineStr">
        <is>
          <t>Föryngringsavverkning</t>
        </is>
      </c>
      <c r="D1737" s="1" t="n">
        <v>44831</v>
      </c>
      <c r="E1737" s="1" t="n">
        <v>46319</v>
      </c>
      <c r="F1737" t="inlineStr">
        <is>
          <t>DALARNAS LÄN</t>
        </is>
      </c>
      <c r="G1737" t="inlineStr">
        <is>
          <t>AVESTA</t>
        </is>
      </c>
      <c r="I1737" t="n">
        <v>1.4</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28344-2022</t>
        </is>
      </c>
      <c r="B1738" t="inlineStr">
        <is>
          <t>avverkningsanmälan</t>
        </is>
      </c>
      <c r="C1738" t="inlineStr">
        <is>
          <t>Föryngringsavverkning</t>
        </is>
      </c>
      <c r="D1738" s="1" t="n">
        <v>44747</v>
      </c>
      <c r="E1738" s="1" t="n">
        <v>46319</v>
      </c>
      <c r="F1738" t="inlineStr">
        <is>
          <t>DALARNAS LÄN</t>
        </is>
      </c>
      <c r="G1738" t="inlineStr">
        <is>
          <t>MORA</t>
        </is>
      </c>
      <c r="H1738" t="inlineStr">
        <is>
          <t>Kyrkan</t>
        </is>
      </c>
      <c r="I1738" t="n">
        <v>6.4</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13531-2022</t>
        </is>
      </c>
      <c r="B1739" t="inlineStr">
        <is>
          <t>avverkningsanmälan</t>
        </is>
      </c>
      <c r="C1739" t="inlineStr">
        <is>
          <t>Avverkning för annat ändamål</t>
        </is>
      </c>
      <c r="D1739" s="1" t="n">
        <v>44648</v>
      </c>
      <c r="E1739" s="1" t="n">
        <v>46319</v>
      </c>
      <c r="F1739" t="inlineStr">
        <is>
          <t>DALARNAS LÄN</t>
        </is>
      </c>
      <c r="G1739" t="inlineStr">
        <is>
          <t>FALUN</t>
        </is>
      </c>
      <c r="I1739" t="n">
        <v>0.2</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26690-2022</t>
        </is>
      </c>
      <c r="B1740" t="inlineStr">
        <is>
          <t>avverkningsanmälan</t>
        </is>
      </c>
      <c r="C1740" t="inlineStr">
        <is>
          <t>Föryngringsavverkning</t>
        </is>
      </c>
      <c r="D1740" s="1" t="n">
        <v>44739</v>
      </c>
      <c r="E1740" s="1" t="n">
        <v>46319</v>
      </c>
      <c r="F1740" t="inlineStr">
        <is>
          <t>DALARNAS LÄN</t>
        </is>
      </c>
      <c r="G1740" t="inlineStr">
        <is>
          <t>VANSBRO</t>
        </is>
      </c>
      <c r="H1740" t="inlineStr">
        <is>
          <t>Kyrkan</t>
        </is>
      </c>
      <c r="I1740" t="n">
        <v>2.1</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21631-2022</t>
        </is>
      </c>
      <c r="B1741" t="inlineStr">
        <is>
          <t>avverkningsanmälan</t>
        </is>
      </c>
      <c r="C1741" t="inlineStr">
        <is>
          <t>Föryngringsavverkning</t>
        </is>
      </c>
      <c r="D1741" s="1" t="n">
        <v>44706</v>
      </c>
      <c r="E1741" s="1" t="n">
        <v>46319</v>
      </c>
      <c r="F1741" t="inlineStr">
        <is>
          <t>DALARNAS LÄN</t>
        </is>
      </c>
      <c r="G1741" t="inlineStr">
        <is>
          <t>SMEDJEBACKEN</t>
        </is>
      </c>
      <c r="I1741" t="n">
        <v>2.5</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26298-2022</t>
        </is>
      </c>
      <c r="B1742" t="inlineStr">
        <is>
          <t>avverkningsanmälan</t>
        </is>
      </c>
      <c r="C1742" t="inlineStr">
        <is>
          <t>Föryngringsavverkning</t>
        </is>
      </c>
      <c r="D1742" s="1" t="n">
        <v>44735</v>
      </c>
      <c r="E1742" s="1" t="n">
        <v>46319</v>
      </c>
      <c r="F1742" t="inlineStr">
        <is>
          <t>DALARNAS LÄN</t>
        </is>
      </c>
      <c r="G1742" t="inlineStr">
        <is>
          <t>SMEDJEBACKEN</t>
        </is>
      </c>
      <c r="I1742" t="n">
        <v>0.4</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13569-2022</t>
        </is>
      </c>
      <c r="B1743" t="inlineStr">
        <is>
          <t>avverkningsanmälan</t>
        </is>
      </c>
      <c r="C1743" t="inlineStr">
        <is>
          <t>Avverkning för annat ändamål</t>
        </is>
      </c>
      <c r="D1743" s="1" t="n">
        <v>44648</v>
      </c>
      <c r="E1743" s="1" t="n">
        <v>46319</v>
      </c>
      <c r="F1743" t="inlineStr">
        <is>
          <t>DALARNAS LÄN</t>
        </is>
      </c>
      <c r="G1743" t="inlineStr">
        <is>
          <t>FALUN</t>
        </is>
      </c>
      <c r="I1743" t="n">
        <v>0.1</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27465-2022</t>
        </is>
      </c>
      <c r="B1744" t="inlineStr">
        <is>
          <t>avverkningsanmälan</t>
        </is>
      </c>
      <c r="C1744" t="inlineStr">
        <is>
          <t>Föryngringsavverkning</t>
        </is>
      </c>
      <c r="D1744" s="1" t="n">
        <v>44742</v>
      </c>
      <c r="E1744" s="1" t="n">
        <v>46319</v>
      </c>
      <c r="F1744" t="inlineStr">
        <is>
          <t>DALARNAS LÄN</t>
        </is>
      </c>
      <c r="G1744" t="inlineStr">
        <is>
          <t>VANSBRO</t>
        </is>
      </c>
      <c r="H1744" t="inlineStr">
        <is>
          <t>Bergvik skog öst AB</t>
        </is>
      </c>
      <c r="I1744" t="n">
        <v>0.7</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36517-2022</t>
        </is>
      </c>
      <c r="B1745" t="inlineStr">
        <is>
          <t>avverkningsanmälan</t>
        </is>
      </c>
      <c r="C1745" t="inlineStr">
        <is>
          <t>Föryngringsavverkning</t>
        </is>
      </c>
      <c r="D1745" s="1" t="n">
        <v>44804</v>
      </c>
      <c r="E1745" s="1" t="n">
        <v>46319</v>
      </c>
      <c r="F1745" t="inlineStr">
        <is>
          <t>DALARNAS LÄN</t>
        </is>
      </c>
      <c r="G1745" t="inlineStr">
        <is>
          <t>RÄTTVIK</t>
        </is>
      </c>
      <c r="I1745" t="n">
        <v>0.6</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53210-2022</t>
        </is>
      </c>
      <c r="B1746" t="inlineStr">
        <is>
          <t>avverkningsanmälan</t>
        </is>
      </c>
      <c r="C1746" t="inlineStr">
        <is>
          <t>Föryngringsavverkning</t>
        </is>
      </c>
      <c r="D1746" s="1" t="n">
        <v>44876</v>
      </c>
      <c r="E1746" s="1" t="n">
        <v>46319</v>
      </c>
      <c r="F1746" t="inlineStr">
        <is>
          <t>DALARNAS LÄN</t>
        </is>
      </c>
      <c r="G1746" t="inlineStr">
        <is>
          <t>SMEDJEBACKEN</t>
        </is>
      </c>
      <c r="H1746" t="inlineStr">
        <is>
          <t>Kyrkan</t>
        </is>
      </c>
      <c r="I1746" t="n">
        <v>1.2</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62976-2021</t>
        </is>
      </c>
      <c r="B1747" t="inlineStr">
        <is>
          <t>avverkningsanmälan</t>
        </is>
      </c>
      <c r="C1747" t="inlineStr">
        <is>
          <t>Föryngringsavverkning</t>
        </is>
      </c>
      <c r="D1747" s="1" t="n">
        <v>44505</v>
      </c>
      <c r="E1747" s="1" t="n">
        <v>46319</v>
      </c>
      <c r="F1747" t="inlineStr">
        <is>
          <t>DALARNAS LÄN</t>
        </is>
      </c>
      <c r="G1747" t="inlineStr">
        <is>
          <t>BORLÄNGE</t>
        </is>
      </c>
      <c r="I1747" t="n">
        <v>0.7</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72978-2021</t>
        </is>
      </c>
      <c r="B1748" t="inlineStr">
        <is>
          <t>avverkningsanmälan</t>
        </is>
      </c>
      <c r="C1748" t="inlineStr">
        <is>
          <t>Föryngringsavverkning</t>
        </is>
      </c>
      <c r="D1748" s="1" t="n">
        <v>44549</v>
      </c>
      <c r="E1748" s="1" t="n">
        <v>46319</v>
      </c>
      <c r="F1748" t="inlineStr">
        <is>
          <t>DALARNAS LÄN</t>
        </is>
      </c>
      <c r="G1748" t="inlineStr">
        <is>
          <t>GAGNEF</t>
        </is>
      </c>
      <c r="I1748" t="n">
        <v>0.5</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19047-2022</t>
        </is>
      </c>
      <c r="B1749" t="inlineStr">
        <is>
          <t>avverkningsanmälan</t>
        </is>
      </c>
      <c r="C1749" t="inlineStr">
        <is>
          <t>Föryngringsavverkning</t>
        </is>
      </c>
      <c r="D1749" s="1" t="n">
        <v>44691</v>
      </c>
      <c r="E1749" s="1" t="n">
        <v>46319</v>
      </c>
      <c r="F1749" t="inlineStr">
        <is>
          <t>DALARNAS LÄN</t>
        </is>
      </c>
      <c r="G1749" t="inlineStr">
        <is>
          <t>BORLÄNGE</t>
        </is>
      </c>
      <c r="H1749" t="inlineStr">
        <is>
          <t>Bergvik skog väst AB</t>
        </is>
      </c>
      <c r="I1749" t="n">
        <v>0.4</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52064-2022</t>
        </is>
      </c>
      <c r="B1750" t="inlineStr">
        <is>
          <t>avverkningsanmälan</t>
        </is>
      </c>
      <c r="C1750" t="inlineStr">
        <is>
          <t>Föryngringsavverkning</t>
        </is>
      </c>
      <c r="D1750" s="1" t="n">
        <v>44873</v>
      </c>
      <c r="E1750" s="1" t="n">
        <v>46319</v>
      </c>
      <c r="F1750" t="inlineStr">
        <is>
          <t>DALARNAS LÄN</t>
        </is>
      </c>
      <c r="G1750" t="inlineStr">
        <is>
          <t>ÄLVDALEN</t>
        </is>
      </c>
      <c r="I1750" t="n">
        <v>0.3</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42732-2022</t>
        </is>
      </c>
      <c r="B1751" t="inlineStr">
        <is>
          <t>avverkningsanmälan</t>
        </is>
      </c>
      <c r="C1751" t="inlineStr">
        <is>
          <t>Föryngringsavverkning</t>
        </is>
      </c>
      <c r="D1751" s="1" t="n">
        <v>44832</v>
      </c>
      <c r="E1751" s="1" t="n">
        <v>46319</v>
      </c>
      <c r="F1751" t="inlineStr">
        <is>
          <t>DALARNAS LÄN</t>
        </is>
      </c>
      <c r="G1751" t="inlineStr">
        <is>
          <t>BORLÄNGE</t>
        </is>
      </c>
      <c r="I1751" t="n">
        <v>0.6</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60391-2021</t>
        </is>
      </c>
      <c r="B1752" t="inlineStr">
        <is>
          <t>avverkningsanmälan</t>
        </is>
      </c>
      <c r="C1752" t="inlineStr">
        <is>
          <t>Föryngringsavverkning</t>
        </is>
      </c>
      <c r="D1752" s="1" t="n">
        <v>44496</v>
      </c>
      <c r="E1752" s="1" t="n">
        <v>46319</v>
      </c>
      <c r="F1752" t="inlineStr">
        <is>
          <t>DALARNAS LÄN</t>
        </is>
      </c>
      <c r="G1752" t="inlineStr">
        <is>
          <t>ORSA</t>
        </is>
      </c>
      <c r="I1752" t="n">
        <v>1.3</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46402-2022</t>
        </is>
      </c>
      <c r="B1753" t="inlineStr">
        <is>
          <t>avverkningsanmälan</t>
        </is>
      </c>
      <c r="C1753" t="inlineStr">
        <is>
          <t>Föryngringsavverkning</t>
        </is>
      </c>
      <c r="D1753" s="1" t="n">
        <v>44848</v>
      </c>
      <c r="E1753" s="1" t="n">
        <v>46319</v>
      </c>
      <c r="F1753" t="inlineStr">
        <is>
          <t>DALARNAS LÄN</t>
        </is>
      </c>
      <c r="G1753" t="inlineStr">
        <is>
          <t>MORA</t>
        </is>
      </c>
      <c r="I1753" t="n">
        <v>0.9</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39311-2022</t>
        </is>
      </c>
      <c r="B1754" t="inlineStr">
        <is>
          <t>avverkningsanmälan</t>
        </is>
      </c>
      <c r="C1754" t="inlineStr">
        <is>
          <t>Föryngringsavverkning</t>
        </is>
      </c>
      <c r="D1754" s="1" t="n">
        <v>44817</v>
      </c>
      <c r="E1754" s="1" t="n">
        <v>46319</v>
      </c>
      <c r="F1754" t="inlineStr">
        <is>
          <t>DALARNAS LÄN</t>
        </is>
      </c>
      <c r="G1754" t="inlineStr">
        <is>
          <t>ÄLVDALEN</t>
        </is>
      </c>
      <c r="H1754" t="inlineStr">
        <is>
          <t>Bergvik skog väst AB</t>
        </is>
      </c>
      <c r="I1754" t="n">
        <v>1.4</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45238-2022</t>
        </is>
      </c>
      <c r="B1755" t="inlineStr">
        <is>
          <t>avverkningsanmälan</t>
        </is>
      </c>
      <c r="C1755" t="inlineStr">
        <is>
          <t>Föryngringsavverkning</t>
        </is>
      </c>
      <c r="D1755" s="1" t="n">
        <v>44844</v>
      </c>
      <c r="E1755" s="1" t="n">
        <v>46319</v>
      </c>
      <c r="F1755" t="inlineStr">
        <is>
          <t>DALARNAS LÄN</t>
        </is>
      </c>
      <c r="G1755" t="inlineStr">
        <is>
          <t>MORA</t>
        </is>
      </c>
      <c r="H1755" t="inlineStr">
        <is>
          <t>Bergvik skog väst AB</t>
        </is>
      </c>
      <c r="I1755" t="n">
        <v>1.4</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60451-2021</t>
        </is>
      </c>
      <c r="B1756" t="inlineStr">
        <is>
          <t>avverkningsanmälan</t>
        </is>
      </c>
      <c r="C1756" t="inlineStr">
        <is>
          <t>Avverkning för att bevara och utveckla /försöksver</t>
        </is>
      </c>
      <c r="D1756" s="1" t="n">
        <v>44496</v>
      </c>
      <c r="E1756" s="1" t="n">
        <v>46319</v>
      </c>
      <c r="F1756" t="inlineStr">
        <is>
          <t>DALARNAS LÄN</t>
        </is>
      </c>
      <c r="G1756" t="inlineStr">
        <is>
          <t>SMEDJEBACKEN</t>
        </is>
      </c>
      <c r="H1756" t="inlineStr">
        <is>
          <t>Sveaskog</t>
        </is>
      </c>
      <c r="I1756" t="n">
        <v>1.7</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38329-2022</t>
        </is>
      </c>
      <c r="B1757" t="inlineStr">
        <is>
          <t>avverkningsanmälan</t>
        </is>
      </c>
      <c r="C1757" t="inlineStr">
        <is>
          <t>Föryngringsavverkning</t>
        </is>
      </c>
      <c r="D1757" s="1" t="n">
        <v>44812</v>
      </c>
      <c r="E1757" s="1" t="n">
        <v>46319</v>
      </c>
      <c r="F1757" t="inlineStr">
        <is>
          <t>DALARNAS LÄN</t>
        </is>
      </c>
      <c r="G1757" t="inlineStr">
        <is>
          <t>FALUN</t>
        </is>
      </c>
      <c r="H1757" t="inlineStr">
        <is>
          <t>Bergvik skog väst AB</t>
        </is>
      </c>
      <c r="I1757" t="n">
        <v>0.8</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33899-2022</t>
        </is>
      </c>
      <c r="B1758" t="inlineStr">
        <is>
          <t>avverkningsanmälan</t>
        </is>
      </c>
      <c r="C1758" t="inlineStr">
        <is>
          <t>Föryngringsavverkning</t>
        </is>
      </c>
      <c r="D1758" s="1" t="n">
        <v>44790</v>
      </c>
      <c r="E1758" s="1" t="n">
        <v>46319</v>
      </c>
      <c r="F1758" t="inlineStr">
        <is>
          <t>DALARNAS LÄN</t>
        </is>
      </c>
      <c r="G1758" t="inlineStr">
        <is>
          <t>VANSBRO</t>
        </is>
      </c>
      <c r="I1758" t="n">
        <v>5.5</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51498-2022</t>
        </is>
      </c>
      <c r="B1759" t="inlineStr">
        <is>
          <t>avverkningsanmälan</t>
        </is>
      </c>
      <c r="C1759" t="inlineStr">
        <is>
          <t>Föryngringsavverkning</t>
        </is>
      </c>
      <c r="D1759" s="1" t="n">
        <v>44869</v>
      </c>
      <c r="E1759" s="1" t="n">
        <v>46319</v>
      </c>
      <c r="F1759" t="inlineStr">
        <is>
          <t>DALARNAS LÄN</t>
        </is>
      </c>
      <c r="G1759" t="inlineStr">
        <is>
          <t>LEKSAND</t>
        </is>
      </c>
      <c r="H1759" t="inlineStr">
        <is>
          <t>Bergvik skog väst AB</t>
        </is>
      </c>
      <c r="I1759" t="n">
        <v>2.9</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62680-2021</t>
        </is>
      </c>
      <c r="B1760" t="inlineStr">
        <is>
          <t>avverkningsanmälan</t>
        </is>
      </c>
      <c r="C1760" t="inlineStr">
        <is>
          <t>Föryngringsavverkning</t>
        </is>
      </c>
      <c r="D1760" s="1" t="n">
        <v>44504</v>
      </c>
      <c r="E1760" s="1" t="n">
        <v>46319</v>
      </c>
      <c r="F1760" t="inlineStr">
        <is>
          <t>DALARNAS LÄN</t>
        </is>
      </c>
      <c r="G1760" t="inlineStr">
        <is>
          <t>ÄLVDALEN</t>
        </is>
      </c>
      <c r="H1760" t="inlineStr">
        <is>
          <t>Bergvik skog öst AB</t>
        </is>
      </c>
      <c r="I1760" t="n">
        <v>0.6</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53850-2022</t>
        </is>
      </c>
      <c r="B1761" t="inlineStr">
        <is>
          <t>avverkningsanmälan</t>
        </is>
      </c>
      <c r="C1761" t="inlineStr">
        <is>
          <t>Föryngringsavverkning</t>
        </is>
      </c>
      <c r="D1761" s="1" t="n">
        <v>44880</v>
      </c>
      <c r="E1761" s="1" t="n">
        <v>46319</v>
      </c>
      <c r="F1761" t="inlineStr">
        <is>
          <t>DALARNAS LÄN</t>
        </is>
      </c>
      <c r="G1761" t="inlineStr">
        <is>
          <t>VANSBRO</t>
        </is>
      </c>
      <c r="H1761" t="inlineStr">
        <is>
          <t>Bergvik skog öst AB</t>
        </is>
      </c>
      <c r="I1761" t="n">
        <v>1.4</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45785-2022</t>
        </is>
      </c>
      <c r="B1762" t="inlineStr">
        <is>
          <t>avverkningsanmälan</t>
        </is>
      </c>
      <c r="C1762" t="inlineStr">
        <is>
          <t>Föryngringsavverkning</t>
        </is>
      </c>
      <c r="D1762" s="1" t="n">
        <v>44846</v>
      </c>
      <c r="E1762" s="1" t="n">
        <v>46319</v>
      </c>
      <c r="F1762" t="inlineStr">
        <is>
          <t>DALARNAS LÄN</t>
        </is>
      </c>
      <c r="G1762" t="inlineStr">
        <is>
          <t>ÄLVDALEN</t>
        </is>
      </c>
      <c r="I1762" t="n">
        <v>0.5</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42744-2022</t>
        </is>
      </c>
      <c r="B1763" t="inlineStr">
        <is>
          <t>avverkningsanmälan</t>
        </is>
      </c>
      <c r="C1763" t="inlineStr">
        <is>
          <t>Föryngringsavverkning</t>
        </is>
      </c>
      <c r="D1763" s="1" t="n">
        <v>44832</v>
      </c>
      <c r="E1763" s="1" t="n">
        <v>46319</v>
      </c>
      <c r="F1763" t="inlineStr">
        <is>
          <t>DALARNAS LÄN</t>
        </is>
      </c>
      <c r="G1763" t="inlineStr">
        <is>
          <t>SMEDJEBACKEN</t>
        </is>
      </c>
      <c r="I1763" t="n">
        <v>6.8</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68515-2021</t>
        </is>
      </c>
      <c r="B1764" t="inlineStr">
        <is>
          <t>avverkningsanmälan</t>
        </is>
      </c>
      <c r="C1764" t="inlineStr">
        <is>
          <t>Föryngringsavverkning</t>
        </is>
      </c>
      <c r="D1764" s="1" t="n">
        <v>44529</v>
      </c>
      <c r="E1764" s="1" t="n">
        <v>46319</v>
      </c>
      <c r="F1764" t="inlineStr">
        <is>
          <t>DALARNAS LÄN</t>
        </is>
      </c>
      <c r="G1764" t="inlineStr">
        <is>
          <t>FALUN</t>
        </is>
      </c>
      <c r="I1764" t="n">
        <v>1.1</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42911-2022</t>
        </is>
      </c>
      <c r="B1765" t="inlineStr">
        <is>
          <t>avverkningsanmälan</t>
        </is>
      </c>
      <c r="C1765" t="inlineStr">
        <is>
          <t>Föryngringsavverkning</t>
        </is>
      </c>
      <c r="D1765" s="1" t="n">
        <v>44833</v>
      </c>
      <c r="E1765" s="1" t="n">
        <v>46319</v>
      </c>
      <c r="F1765" t="inlineStr">
        <is>
          <t>DALARNAS LÄN</t>
        </is>
      </c>
      <c r="G1765" t="inlineStr">
        <is>
          <t>RÄTTVIK</t>
        </is>
      </c>
      <c r="I1765" t="n">
        <v>0.8</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41216-2022</t>
        </is>
      </c>
      <c r="B1766" t="inlineStr">
        <is>
          <t>avverkningsanmälan</t>
        </is>
      </c>
      <c r="C1766" t="inlineStr">
        <is>
          <t>Föryngringsavverkning</t>
        </is>
      </c>
      <c r="D1766" s="1" t="n">
        <v>44826</v>
      </c>
      <c r="E1766" s="1" t="n">
        <v>46319</v>
      </c>
      <c r="F1766" t="inlineStr">
        <is>
          <t>DALARNAS LÄN</t>
        </is>
      </c>
      <c r="G1766" t="inlineStr">
        <is>
          <t>VANSBRO</t>
        </is>
      </c>
      <c r="I1766" t="n">
        <v>1.5</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791-2022</t>
        </is>
      </c>
      <c r="B1767" t="inlineStr">
        <is>
          <t>avverkningsanmälan</t>
        </is>
      </c>
      <c r="C1767" t="inlineStr">
        <is>
          <t>Föryngringsavverkning</t>
        </is>
      </c>
      <c r="D1767" s="1" t="n">
        <v>44570</v>
      </c>
      <c r="E1767" s="1" t="n">
        <v>46319</v>
      </c>
      <c r="F1767" t="inlineStr">
        <is>
          <t>DALARNAS LÄN</t>
        </is>
      </c>
      <c r="G1767" t="inlineStr">
        <is>
          <t>LEKSAND</t>
        </is>
      </c>
      <c r="I1767" t="n">
        <v>1.2</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558-2022</t>
        </is>
      </c>
      <c r="B1768" t="inlineStr">
        <is>
          <t>avverkningsanmälan</t>
        </is>
      </c>
      <c r="C1768" t="inlineStr">
        <is>
          <t>Föryngringsavverkning</t>
        </is>
      </c>
      <c r="D1768" s="1" t="n">
        <v>44566</v>
      </c>
      <c r="E1768" s="1" t="n">
        <v>46319</v>
      </c>
      <c r="F1768" t="inlineStr">
        <is>
          <t>DALARNAS LÄN</t>
        </is>
      </c>
      <c r="G1768" t="inlineStr">
        <is>
          <t>FALUN</t>
        </is>
      </c>
      <c r="I1768" t="n">
        <v>3.8</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16706-2022</t>
        </is>
      </c>
      <c r="B1769" t="inlineStr">
        <is>
          <t>avverkningsanmälan</t>
        </is>
      </c>
      <c r="C1769" t="inlineStr">
        <is>
          <t>Föryngringsavverkning</t>
        </is>
      </c>
      <c r="D1769" s="1" t="n">
        <v>44673</v>
      </c>
      <c r="E1769" s="1" t="n">
        <v>46319</v>
      </c>
      <c r="F1769" t="inlineStr">
        <is>
          <t>DALARNAS LÄN</t>
        </is>
      </c>
      <c r="G1769" t="inlineStr">
        <is>
          <t>MORA</t>
        </is>
      </c>
      <c r="I1769" t="n">
        <v>9.1</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16640-2022</t>
        </is>
      </c>
      <c r="B1770" t="inlineStr">
        <is>
          <t>avverkningsanmälan</t>
        </is>
      </c>
      <c r="C1770" t="inlineStr">
        <is>
          <t>Föryngringsavverkning</t>
        </is>
      </c>
      <c r="D1770" s="1" t="n">
        <v>44672</v>
      </c>
      <c r="E1770" s="1" t="n">
        <v>46319</v>
      </c>
      <c r="F1770" t="inlineStr">
        <is>
          <t>DALARNAS LÄN</t>
        </is>
      </c>
      <c r="G1770" t="inlineStr">
        <is>
          <t>VANSBRO</t>
        </is>
      </c>
      <c r="H1770" t="inlineStr">
        <is>
          <t>Kyrkan</t>
        </is>
      </c>
      <c r="I1770" t="n">
        <v>2</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11435-2022</t>
        </is>
      </c>
      <c r="B1771" t="inlineStr">
        <is>
          <t>avverkningsanmälan</t>
        </is>
      </c>
      <c r="C1771" t="inlineStr">
        <is>
          <t>Föryngringsavverkning</t>
        </is>
      </c>
      <c r="D1771" s="1" t="n">
        <v>44630</v>
      </c>
      <c r="E1771" s="1" t="n">
        <v>46319</v>
      </c>
      <c r="F1771" t="inlineStr">
        <is>
          <t>DALARNAS LÄN</t>
        </is>
      </c>
      <c r="G1771" t="inlineStr">
        <is>
          <t>BORLÄNGE</t>
        </is>
      </c>
      <c r="I1771" t="n">
        <v>3</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24651-2022</t>
        </is>
      </c>
      <c r="B1772" t="inlineStr">
        <is>
          <t>avverkningsanmälan</t>
        </is>
      </c>
      <c r="C1772" t="inlineStr">
        <is>
          <t>Föryngringsavverkning</t>
        </is>
      </c>
      <c r="D1772" s="1" t="n">
        <v>44727</v>
      </c>
      <c r="E1772" s="1" t="n">
        <v>46319</v>
      </c>
      <c r="F1772" t="inlineStr">
        <is>
          <t>DALARNAS LÄN</t>
        </is>
      </c>
      <c r="G1772" t="inlineStr">
        <is>
          <t>ORSA</t>
        </is>
      </c>
      <c r="H1772" t="inlineStr">
        <is>
          <t>Allmännings- och besparingsskogar</t>
        </is>
      </c>
      <c r="I1772" t="n">
        <v>0.6</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4314-2022</t>
        </is>
      </c>
      <c r="B1773" t="inlineStr">
        <is>
          <t>avverkningsanmälan</t>
        </is>
      </c>
      <c r="C1773" t="inlineStr">
        <is>
          <t>Föryngringsavverkning</t>
        </is>
      </c>
      <c r="D1773" s="1" t="n">
        <v>44588</v>
      </c>
      <c r="E1773" s="1" t="n">
        <v>46319</v>
      </c>
      <c r="F1773" t="inlineStr">
        <is>
          <t>DALARNAS LÄN</t>
        </is>
      </c>
      <c r="G1773" t="inlineStr">
        <is>
          <t>FALUN</t>
        </is>
      </c>
      <c r="I1773" t="n">
        <v>1.7</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26571-2022</t>
        </is>
      </c>
      <c r="B1774" t="inlineStr">
        <is>
          <t>avverkningsanmälan</t>
        </is>
      </c>
      <c r="C1774" t="inlineStr">
        <is>
          <t>Föryngringsavverkning</t>
        </is>
      </c>
      <c r="D1774" s="1" t="n">
        <v>44739</v>
      </c>
      <c r="E1774" s="1" t="n">
        <v>46319</v>
      </c>
      <c r="F1774" t="inlineStr">
        <is>
          <t>DALARNAS LÄN</t>
        </is>
      </c>
      <c r="G1774" t="inlineStr">
        <is>
          <t>VANSBRO</t>
        </is>
      </c>
      <c r="H1774" t="inlineStr">
        <is>
          <t>Kommuner</t>
        </is>
      </c>
      <c r="I1774" t="n">
        <v>1.1</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4249-2022</t>
        </is>
      </c>
      <c r="B1775" t="inlineStr">
        <is>
          <t>avverkningsanmälan</t>
        </is>
      </c>
      <c r="C1775" t="inlineStr">
        <is>
          <t>Föryngringsavverkning</t>
        </is>
      </c>
      <c r="D1775" s="1" t="n">
        <v>44588</v>
      </c>
      <c r="E1775" s="1" t="n">
        <v>46319</v>
      </c>
      <c r="F1775" t="inlineStr">
        <is>
          <t>DALARNAS LÄN</t>
        </is>
      </c>
      <c r="G1775" t="inlineStr">
        <is>
          <t>FALUN</t>
        </is>
      </c>
      <c r="I1775" t="n">
        <v>14.3</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70052-2021</t>
        </is>
      </c>
      <c r="B1776" t="inlineStr">
        <is>
          <t>avverkningsanmälan</t>
        </is>
      </c>
      <c r="C1776" t="inlineStr">
        <is>
          <t>Föryngringsavverkning</t>
        </is>
      </c>
      <c r="D1776" s="1" t="n">
        <v>44533</v>
      </c>
      <c r="E1776" s="1" t="n">
        <v>46319</v>
      </c>
      <c r="F1776" t="inlineStr">
        <is>
          <t>DALARNAS LÄN</t>
        </is>
      </c>
      <c r="G1776" t="inlineStr">
        <is>
          <t>MALUNG-SÄLEN</t>
        </is>
      </c>
      <c r="I1776" t="n">
        <v>1.6</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369-2022</t>
        </is>
      </c>
      <c r="B1777" t="inlineStr">
        <is>
          <t>avverkningsanmälan</t>
        </is>
      </c>
      <c r="C1777" t="inlineStr">
        <is>
          <t>Föryngringsavverkning</t>
        </is>
      </c>
      <c r="D1777" s="1" t="n">
        <v>44565</v>
      </c>
      <c r="E1777" s="1" t="n">
        <v>46319</v>
      </c>
      <c r="F1777" t="inlineStr">
        <is>
          <t>DALARNAS LÄN</t>
        </is>
      </c>
      <c r="G1777" t="inlineStr">
        <is>
          <t>RÄTTVIK</t>
        </is>
      </c>
      <c r="H1777" t="inlineStr">
        <is>
          <t>Sveaskog</t>
        </is>
      </c>
      <c r="I1777" t="n">
        <v>1.5</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33917-2022</t>
        </is>
      </c>
      <c r="B1778" t="inlineStr">
        <is>
          <t>avverkningsanmälan</t>
        </is>
      </c>
      <c r="C1778" t="inlineStr">
        <is>
          <t>Föryngringsavverkning</t>
        </is>
      </c>
      <c r="D1778" s="1" t="n">
        <v>44790</v>
      </c>
      <c r="E1778" s="1" t="n">
        <v>46319</v>
      </c>
      <c r="F1778" t="inlineStr">
        <is>
          <t>DALARNAS LÄN</t>
        </is>
      </c>
      <c r="G1778" t="inlineStr">
        <is>
          <t>VANSBRO</t>
        </is>
      </c>
      <c r="H1778" t="inlineStr">
        <is>
          <t>Bergvik skog öst AB</t>
        </is>
      </c>
      <c r="I1778" t="n">
        <v>0.7</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68430-2021</t>
        </is>
      </c>
      <c r="B1779" t="inlineStr">
        <is>
          <t>avverkningsanmälan</t>
        </is>
      </c>
      <c r="C1779" t="inlineStr">
        <is>
          <t>Föryngringsavverkning</t>
        </is>
      </c>
      <c r="D1779" s="1" t="n">
        <v>44529</v>
      </c>
      <c r="E1779" s="1" t="n">
        <v>46319</v>
      </c>
      <c r="F1779" t="inlineStr">
        <is>
          <t>DALARNAS LÄN</t>
        </is>
      </c>
      <c r="G1779" t="inlineStr">
        <is>
          <t>MALUNG-SÄLEN</t>
        </is>
      </c>
      <c r="I1779" t="n">
        <v>4.9</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28362-2022</t>
        </is>
      </c>
      <c r="B1780" t="inlineStr">
        <is>
          <t>avverkningsanmälan</t>
        </is>
      </c>
      <c r="C1780" t="inlineStr">
        <is>
          <t>Föryngringsavverkning</t>
        </is>
      </c>
      <c r="D1780" s="1" t="n">
        <v>44747</v>
      </c>
      <c r="E1780" s="1" t="n">
        <v>46319</v>
      </c>
      <c r="F1780" t="inlineStr">
        <is>
          <t>DALARNAS LÄN</t>
        </is>
      </c>
      <c r="G1780" t="inlineStr">
        <is>
          <t>BORLÄNGE</t>
        </is>
      </c>
      <c r="I1780" t="n">
        <v>1.5</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28403-2022</t>
        </is>
      </c>
      <c r="B1781" t="inlineStr">
        <is>
          <t>avverkningsanmälan</t>
        </is>
      </c>
      <c r="C1781" t="inlineStr">
        <is>
          <t>Föryngringsavverkning</t>
        </is>
      </c>
      <c r="D1781" s="1" t="n">
        <v>44747</v>
      </c>
      <c r="E1781" s="1" t="n">
        <v>46319</v>
      </c>
      <c r="F1781" t="inlineStr">
        <is>
          <t>DALARNAS LÄN</t>
        </is>
      </c>
      <c r="G1781" t="inlineStr">
        <is>
          <t>AVESTA</t>
        </is>
      </c>
      <c r="I1781" t="n">
        <v>9.4</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16320-2022</t>
        </is>
      </c>
      <c r="B1782" t="inlineStr">
        <is>
          <t>avverkningsanmälan</t>
        </is>
      </c>
      <c r="C1782" t="inlineStr">
        <is>
          <t>Föryngringsavverkning</t>
        </is>
      </c>
      <c r="D1782" s="1" t="n">
        <v>44670</v>
      </c>
      <c r="E1782" s="1" t="n">
        <v>46319</v>
      </c>
      <c r="F1782" t="inlineStr">
        <is>
          <t>DALARNAS LÄN</t>
        </is>
      </c>
      <c r="G1782" t="inlineStr">
        <is>
          <t>BORLÄNGE</t>
        </is>
      </c>
      <c r="I1782" t="n">
        <v>0.5</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16353-2022</t>
        </is>
      </c>
      <c r="B1783" t="inlineStr">
        <is>
          <t>avverkningsanmälan</t>
        </is>
      </c>
      <c r="C1783" t="inlineStr">
        <is>
          <t>Avverkning för annat ändamål</t>
        </is>
      </c>
      <c r="D1783" s="1" t="n">
        <v>44670</v>
      </c>
      <c r="E1783" s="1" t="n">
        <v>46319</v>
      </c>
      <c r="F1783" t="inlineStr">
        <is>
          <t>DALARNAS LÄN</t>
        </is>
      </c>
      <c r="G1783" t="inlineStr">
        <is>
          <t>LEKSAND</t>
        </is>
      </c>
      <c r="I1783" t="n">
        <v>1.7</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15818-2022</t>
        </is>
      </c>
      <c r="B1784" t="inlineStr">
        <is>
          <t>avverkningsanmälan</t>
        </is>
      </c>
      <c r="C1784" t="inlineStr">
        <is>
          <t>Föryngringsavverkning</t>
        </is>
      </c>
      <c r="D1784" s="1" t="n">
        <v>44664</v>
      </c>
      <c r="E1784" s="1" t="n">
        <v>46319</v>
      </c>
      <c r="F1784" t="inlineStr">
        <is>
          <t>DALARNAS LÄN</t>
        </is>
      </c>
      <c r="G1784" t="inlineStr">
        <is>
          <t>BORLÄNGE</t>
        </is>
      </c>
      <c r="I1784" t="n">
        <v>0.5</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70990-2021</t>
        </is>
      </c>
      <c r="B1785" t="inlineStr">
        <is>
          <t>avverkningsanmälan</t>
        </is>
      </c>
      <c r="C1785" t="inlineStr">
        <is>
          <t>Föryngringsavverkning</t>
        </is>
      </c>
      <c r="D1785" s="1" t="n">
        <v>44538</v>
      </c>
      <c r="E1785" s="1" t="n">
        <v>46319</v>
      </c>
      <c r="F1785" t="inlineStr">
        <is>
          <t>DALARNAS LÄN</t>
        </is>
      </c>
      <c r="G1785" t="inlineStr">
        <is>
          <t>ÄLVDALEN</t>
        </is>
      </c>
      <c r="H1785" t="inlineStr">
        <is>
          <t>Kyrkan</t>
        </is>
      </c>
      <c r="I1785" t="n">
        <v>3.5</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33269-2022</t>
        </is>
      </c>
      <c r="B1786" t="inlineStr">
        <is>
          <t>avverkningsanmälan</t>
        </is>
      </c>
      <c r="C1786" t="inlineStr">
        <is>
          <t>Föryngringsavverkning</t>
        </is>
      </c>
      <c r="D1786" s="1" t="n">
        <v>44788</v>
      </c>
      <c r="E1786" s="1" t="n">
        <v>46319</v>
      </c>
      <c r="F1786" t="inlineStr">
        <is>
          <t>DALARNAS LÄN</t>
        </is>
      </c>
      <c r="G1786" t="inlineStr">
        <is>
          <t>MORA</t>
        </is>
      </c>
      <c r="I1786" t="n">
        <v>3.1</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42135-2022</t>
        </is>
      </c>
      <c r="B1787" t="inlineStr">
        <is>
          <t>avverkningsanmälan</t>
        </is>
      </c>
      <c r="C1787" t="inlineStr">
        <is>
          <t>Föryngringsavverkning</t>
        </is>
      </c>
      <c r="D1787" s="1" t="n">
        <v>44830</v>
      </c>
      <c r="E1787" s="1" t="n">
        <v>46319</v>
      </c>
      <c r="F1787" t="inlineStr">
        <is>
          <t>DALARNAS LÄN</t>
        </is>
      </c>
      <c r="G1787" t="inlineStr">
        <is>
          <t>FALUN</t>
        </is>
      </c>
      <c r="I1787" t="n">
        <v>0.7</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25797-2022</t>
        </is>
      </c>
      <c r="B1788" t="inlineStr">
        <is>
          <t>avverkningsanmälan</t>
        </is>
      </c>
      <c r="C1788" t="inlineStr">
        <is>
          <t>Föryngringsavverkning</t>
        </is>
      </c>
      <c r="D1788" s="1" t="n">
        <v>44733</v>
      </c>
      <c r="E1788" s="1" t="n">
        <v>46319</v>
      </c>
      <c r="F1788" t="inlineStr">
        <is>
          <t>DALARNAS LÄN</t>
        </is>
      </c>
      <c r="G1788" t="inlineStr">
        <is>
          <t>RÄTTVIK</t>
        </is>
      </c>
      <c r="I1788" t="n">
        <v>1.3</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39506-2022</t>
        </is>
      </c>
      <c r="B1789" t="inlineStr">
        <is>
          <t>avverkningsanmälan</t>
        </is>
      </c>
      <c r="C1789" t="inlineStr">
        <is>
          <t>Föryngringsavverkning</t>
        </is>
      </c>
      <c r="D1789" s="1" t="n">
        <v>44817</v>
      </c>
      <c r="E1789" s="1" t="n">
        <v>46319</v>
      </c>
      <c r="F1789" t="inlineStr">
        <is>
          <t>DALARNAS LÄN</t>
        </is>
      </c>
      <c r="G1789" t="inlineStr">
        <is>
          <t>HEDEMORA</t>
        </is>
      </c>
      <c r="H1789" t="inlineStr">
        <is>
          <t>Bergvik skog väst AB</t>
        </is>
      </c>
      <c r="I1789" t="n">
        <v>1.4</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50893-2022</t>
        </is>
      </c>
      <c r="B1790" t="inlineStr">
        <is>
          <t>avverkningsanmälan</t>
        </is>
      </c>
      <c r="C1790" t="inlineStr">
        <is>
          <t>Föryngringsavverkning</t>
        </is>
      </c>
      <c r="D1790" s="1" t="n">
        <v>44867</v>
      </c>
      <c r="E1790" s="1" t="n">
        <v>46319</v>
      </c>
      <c r="F1790" t="inlineStr">
        <is>
          <t>DALARNAS LÄN</t>
        </is>
      </c>
      <c r="G1790" t="inlineStr">
        <is>
          <t>GAGNEF</t>
        </is>
      </c>
      <c r="I1790" t="n">
        <v>0.5</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50209-2022</t>
        </is>
      </c>
      <c r="B1791" t="inlineStr">
        <is>
          <t>avverkningsanmälan</t>
        </is>
      </c>
      <c r="C1791" t="inlineStr">
        <is>
          <t>Föryngringsavverkning</t>
        </is>
      </c>
      <c r="D1791" s="1" t="n">
        <v>44865</v>
      </c>
      <c r="E1791" s="1" t="n">
        <v>46319</v>
      </c>
      <c r="F1791" t="inlineStr">
        <is>
          <t>DALARNAS LÄN</t>
        </is>
      </c>
      <c r="G1791" t="inlineStr">
        <is>
          <t>ÄLVDALEN</t>
        </is>
      </c>
      <c r="H1791" t="inlineStr">
        <is>
          <t>Sveaskog</t>
        </is>
      </c>
      <c r="I1791" t="n">
        <v>3.7</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41337-2022</t>
        </is>
      </c>
      <c r="B1792" t="inlineStr">
        <is>
          <t>avverkningsanmälan</t>
        </is>
      </c>
      <c r="C1792" t="inlineStr">
        <is>
          <t>Föryngringsavverkning</t>
        </is>
      </c>
      <c r="D1792" s="1" t="n">
        <v>44826</v>
      </c>
      <c r="E1792" s="1" t="n">
        <v>46319</v>
      </c>
      <c r="F1792" t="inlineStr">
        <is>
          <t>DALARNAS LÄN</t>
        </is>
      </c>
      <c r="G1792" t="inlineStr">
        <is>
          <t>SMEDJEBACKEN</t>
        </is>
      </c>
      <c r="I1792" t="n">
        <v>1.5</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67125-2021</t>
        </is>
      </c>
      <c r="B1793" t="inlineStr">
        <is>
          <t>avverkningsanmälan</t>
        </is>
      </c>
      <c r="C1793" t="inlineStr">
        <is>
          <t>Föryngringsavverkning</t>
        </is>
      </c>
      <c r="D1793" s="1" t="n">
        <v>44523</v>
      </c>
      <c r="E1793" s="1" t="n">
        <v>46319</v>
      </c>
      <c r="F1793" t="inlineStr">
        <is>
          <t>DALARNAS LÄN</t>
        </is>
      </c>
      <c r="G1793" t="inlineStr">
        <is>
          <t>MORA</t>
        </is>
      </c>
      <c r="I1793" t="n">
        <v>2.9</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72987-2021</t>
        </is>
      </c>
      <c r="B1794" t="inlineStr">
        <is>
          <t>avverkningsanmälan</t>
        </is>
      </c>
      <c r="C1794" t="inlineStr">
        <is>
          <t>Föryngringsavverkning</t>
        </is>
      </c>
      <c r="D1794" s="1" t="n">
        <v>44549</v>
      </c>
      <c r="E1794" s="1" t="n">
        <v>46319</v>
      </c>
      <c r="F1794" t="inlineStr">
        <is>
          <t>DALARNAS LÄN</t>
        </is>
      </c>
      <c r="G1794" t="inlineStr">
        <is>
          <t>SÄTER</t>
        </is>
      </c>
      <c r="I1794" t="n">
        <v>1.2</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52660-2022</t>
        </is>
      </c>
      <c r="B1795" t="inlineStr">
        <is>
          <t>avverkningsanmälan</t>
        </is>
      </c>
      <c r="C1795" t="inlineStr">
        <is>
          <t>Föryngringsavverkning</t>
        </is>
      </c>
      <c r="D1795" s="1" t="n">
        <v>44874</v>
      </c>
      <c r="E1795" s="1" t="n">
        <v>46319</v>
      </c>
      <c r="F1795" t="inlineStr">
        <is>
          <t>DALARNAS LÄN</t>
        </is>
      </c>
      <c r="G1795" t="inlineStr">
        <is>
          <t>RÄTTVIK</t>
        </is>
      </c>
      <c r="I1795" t="n">
        <v>1.8</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8145-2022</t>
        </is>
      </c>
      <c r="B1796" t="inlineStr">
        <is>
          <t>avverkningsanmälan</t>
        </is>
      </c>
      <c r="C1796" t="inlineStr">
        <is>
          <t>Föryngringsavverkning</t>
        </is>
      </c>
      <c r="D1796" s="1" t="n">
        <v>44609</v>
      </c>
      <c r="E1796" s="1" t="n">
        <v>46319</v>
      </c>
      <c r="F1796" t="inlineStr">
        <is>
          <t>DALARNAS LÄN</t>
        </is>
      </c>
      <c r="G1796" t="inlineStr">
        <is>
          <t>MORA</t>
        </is>
      </c>
      <c r="I1796" t="n">
        <v>7.3</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15250-2022</t>
        </is>
      </c>
      <c r="B1797" t="inlineStr">
        <is>
          <t>avverkningsanmälan</t>
        </is>
      </c>
      <c r="C1797" t="inlineStr">
        <is>
          <t>Avverkning för annat ändamål</t>
        </is>
      </c>
      <c r="D1797" s="1" t="n">
        <v>44658</v>
      </c>
      <c r="E1797" s="1" t="n">
        <v>46319</v>
      </c>
      <c r="F1797" t="inlineStr">
        <is>
          <t>DALARNAS LÄN</t>
        </is>
      </c>
      <c r="G1797" t="inlineStr">
        <is>
          <t>FALUN</t>
        </is>
      </c>
      <c r="I1797" t="n">
        <v>1.4</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53293-2022</t>
        </is>
      </c>
      <c r="B1798" t="inlineStr">
        <is>
          <t>avverkningsanmälan</t>
        </is>
      </c>
      <c r="C1798" t="inlineStr">
        <is>
          <t>Avverkning för annat ändamål</t>
        </is>
      </c>
      <c r="D1798" s="1" t="n">
        <v>44877</v>
      </c>
      <c r="E1798" s="1" t="n">
        <v>46319</v>
      </c>
      <c r="F1798" t="inlineStr">
        <is>
          <t>DALARNAS LÄN</t>
        </is>
      </c>
      <c r="G1798" t="inlineStr">
        <is>
          <t>LEKSAND</t>
        </is>
      </c>
      <c r="I1798" t="n">
        <v>0.4</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61969-2021</t>
        </is>
      </c>
      <c r="B1799" t="inlineStr">
        <is>
          <t>avverkningsanmälan</t>
        </is>
      </c>
      <c r="C1799" t="inlineStr">
        <is>
          <t>Föryngringsavverkning</t>
        </is>
      </c>
      <c r="D1799" s="1" t="n">
        <v>44501</v>
      </c>
      <c r="E1799" s="1" t="n">
        <v>46319</v>
      </c>
      <c r="F1799" t="inlineStr">
        <is>
          <t>DALARNAS LÄN</t>
        </is>
      </c>
      <c r="G1799" t="inlineStr">
        <is>
          <t>MALUNG-SÄLEN</t>
        </is>
      </c>
      <c r="H1799" t="inlineStr">
        <is>
          <t>Allmännings- och besparingsskogar</t>
        </is>
      </c>
      <c r="I1799" t="n">
        <v>16.5</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1042-2022</t>
        </is>
      </c>
      <c r="B1800" t="inlineStr">
        <is>
          <t>avverkningsanmälan</t>
        </is>
      </c>
      <c r="C1800" t="inlineStr">
        <is>
          <t>Föryngringsavverkning</t>
        </is>
      </c>
      <c r="D1800" s="1" t="n">
        <v>44571</v>
      </c>
      <c r="E1800" s="1" t="n">
        <v>46319</v>
      </c>
      <c r="F1800" t="inlineStr">
        <is>
          <t>DALARNAS LÄN</t>
        </is>
      </c>
      <c r="G1800" t="inlineStr">
        <is>
          <t>RÄTTVIK</t>
        </is>
      </c>
      <c r="I1800" t="n">
        <v>1</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8474-2022</t>
        </is>
      </c>
      <c r="B1801" t="inlineStr">
        <is>
          <t>avverkningsanmälan</t>
        </is>
      </c>
      <c r="C1801" t="inlineStr">
        <is>
          <t>Föryngringsavverkning</t>
        </is>
      </c>
      <c r="D1801" s="1" t="n">
        <v>44613</v>
      </c>
      <c r="E1801" s="1" t="n">
        <v>46319</v>
      </c>
      <c r="F1801" t="inlineStr">
        <is>
          <t>DALARNAS LÄN</t>
        </is>
      </c>
      <c r="G1801" t="inlineStr">
        <is>
          <t>MALUNG-SÄLEN</t>
        </is>
      </c>
      <c r="I1801" t="n">
        <v>0.8</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64262-2021</t>
        </is>
      </c>
      <c r="B1802" t="inlineStr">
        <is>
          <t>avverkningsanmälan</t>
        </is>
      </c>
      <c r="C1802" t="inlineStr">
        <is>
          <t>Avverkning för annat ändamål</t>
        </is>
      </c>
      <c r="D1802" s="1" t="n">
        <v>44510</v>
      </c>
      <c r="E1802" s="1" t="n">
        <v>46319</v>
      </c>
      <c r="F1802" t="inlineStr">
        <is>
          <t>DALARNAS LÄN</t>
        </is>
      </c>
      <c r="G1802" t="inlineStr">
        <is>
          <t>BORLÄNGE</t>
        </is>
      </c>
      <c r="I1802" t="n">
        <v>0.6</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59764-2021</t>
        </is>
      </c>
      <c r="B1803" t="inlineStr">
        <is>
          <t>avverkningsanmälan</t>
        </is>
      </c>
      <c r="C1803" t="inlineStr">
        <is>
          <t>Föryngringsavverkning</t>
        </is>
      </c>
      <c r="D1803" s="1" t="n">
        <v>44494</v>
      </c>
      <c r="E1803" s="1" t="n">
        <v>46319</v>
      </c>
      <c r="F1803" t="inlineStr">
        <is>
          <t>DALARNAS LÄN</t>
        </is>
      </c>
      <c r="G1803" t="inlineStr">
        <is>
          <t>BORLÄNGE</t>
        </is>
      </c>
      <c r="I1803" t="n">
        <v>1</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59759-2021</t>
        </is>
      </c>
      <c r="B1804" t="inlineStr">
        <is>
          <t>avverkningsanmälan</t>
        </is>
      </c>
      <c r="C1804" t="inlineStr">
        <is>
          <t>Föryngringsavverkning</t>
        </is>
      </c>
      <c r="D1804" s="1" t="n">
        <v>44494</v>
      </c>
      <c r="E1804" s="1" t="n">
        <v>46319</v>
      </c>
      <c r="F1804" t="inlineStr">
        <is>
          <t>DALARNAS LÄN</t>
        </is>
      </c>
      <c r="G1804" t="inlineStr">
        <is>
          <t>BORLÄNGE</t>
        </is>
      </c>
      <c r="I1804" t="n">
        <v>0.8</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61277-2021</t>
        </is>
      </c>
      <c r="B1805" t="inlineStr">
        <is>
          <t>avverkningsanmälan</t>
        </is>
      </c>
      <c r="C1805" t="inlineStr">
        <is>
          <t>Föryngringsavverkning</t>
        </is>
      </c>
      <c r="D1805" s="1" t="n">
        <v>44498</v>
      </c>
      <c r="E1805" s="1" t="n">
        <v>46319</v>
      </c>
      <c r="F1805" t="inlineStr">
        <is>
          <t>DALARNAS LÄN</t>
        </is>
      </c>
      <c r="G1805" t="inlineStr">
        <is>
          <t>BORLÄNGE</t>
        </is>
      </c>
      <c r="I1805" t="n">
        <v>0.7</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65388-2021</t>
        </is>
      </c>
      <c r="B1806" t="inlineStr">
        <is>
          <t>avverkningsanmälan</t>
        </is>
      </c>
      <c r="C1806" t="inlineStr">
        <is>
          <t>Föryngringsavverkning</t>
        </is>
      </c>
      <c r="D1806" s="1" t="n">
        <v>44515</v>
      </c>
      <c r="E1806" s="1" t="n">
        <v>46319</v>
      </c>
      <c r="F1806" t="inlineStr">
        <is>
          <t>DALARNAS LÄN</t>
        </is>
      </c>
      <c r="G1806" t="inlineStr">
        <is>
          <t>SÄTER</t>
        </is>
      </c>
      <c r="I1806" t="n">
        <v>0.1</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71744-2021</t>
        </is>
      </c>
      <c r="B1807" t="inlineStr">
        <is>
          <t>avverkningsanmälan</t>
        </is>
      </c>
      <c r="C1807" t="inlineStr">
        <is>
          <t>Föryngringsavverkning</t>
        </is>
      </c>
      <c r="D1807" s="1" t="n">
        <v>44543</v>
      </c>
      <c r="E1807" s="1" t="n">
        <v>46319</v>
      </c>
      <c r="F1807" t="inlineStr">
        <is>
          <t>DALARNAS LÄN</t>
        </is>
      </c>
      <c r="G1807" t="inlineStr">
        <is>
          <t>ORSA</t>
        </is>
      </c>
      <c r="H1807" t="inlineStr">
        <is>
          <t>Kyrkan</t>
        </is>
      </c>
      <c r="I1807" t="n">
        <v>1.5</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64615-2021</t>
        </is>
      </c>
      <c r="B1808" t="inlineStr">
        <is>
          <t>avverkningsanmälan</t>
        </is>
      </c>
      <c r="C1808" t="inlineStr">
        <is>
          <t>Föryngringsavverkning</t>
        </is>
      </c>
      <c r="D1808" s="1" t="n">
        <v>44511</v>
      </c>
      <c r="E1808" s="1" t="n">
        <v>46319</v>
      </c>
      <c r="F1808" t="inlineStr">
        <is>
          <t>DALARNAS LÄN</t>
        </is>
      </c>
      <c r="G1808" t="inlineStr">
        <is>
          <t>SÄTER</t>
        </is>
      </c>
      <c r="I1808" t="n">
        <v>1.1</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66006-2021</t>
        </is>
      </c>
      <c r="B1809" t="inlineStr">
        <is>
          <t>avverkningsanmälan</t>
        </is>
      </c>
      <c r="C1809" t="inlineStr">
        <is>
          <t>Föryngringsavverkning</t>
        </is>
      </c>
      <c r="D1809" s="1" t="n">
        <v>44517</v>
      </c>
      <c r="E1809" s="1" t="n">
        <v>46319</v>
      </c>
      <c r="F1809" t="inlineStr">
        <is>
          <t>DALARNAS LÄN</t>
        </is>
      </c>
      <c r="G1809" t="inlineStr">
        <is>
          <t>FALUN</t>
        </is>
      </c>
      <c r="I1809" t="n">
        <v>0.9</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70780-2021</t>
        </is>
      </c>
      <c r="B1810" t="inlineStr">
        <is>
          <t>avverkningsanmälan</t>
        </is>
      </c>
      <c r="C1810" t="inlineStr">
        <is>
          <t>Föryngringsavverkning</t>
        </is>
      </c>
      <c r="D1810" s="1" t="n">
        <v>44537</v>
      </c>
      <c r="E1810" s="1" t="n">
        <v>46319</v>
      </c>
      <c r="F1810" t="inlineStr">
        <is>
          <t>DALARNAS LÄN</t>
        </is>
      </c>
      <c r="G1810" t="inlineStr">
        <is>
          <t>SMEDJEBACKEN</t>
        </is>
      </c>
      <c r="I1810" t="n">
        <v>3.2</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63691-2021</t>
        </is>
      </c>
      <c r="B1811" t="inlineStr">
        <is>
          <t>avverkningsanmälan</t>
        </is>
      </c>
      <c r="C1811" t="inlineStr">
        <is>
          <t>Föryngringsavverkning</t>
        </is>
      </c>
      <c r="D1811" s="1" t="n">
        <v>44509</v>
      </c>
      <c r="E1811" s="1" t="n">
        <v>46319</v>
      </c>
      <c r="F1811" t="inlineStr">
        <is>
          <t>DALARNAS LÄN</t>
        </is>
      </c>
      <c r="G1811" t="inlineStr">
        <is>
          <t>SMEDJEBACKEN</t>
        </is>
      </c>
      <c r="I1811" t="n">
        <v>1.8</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71311-2021</t>
        </is>
      </c>
      <c r="B1812" t="inlineStr">
        <is>
          <t>avverkningsanmälan</t>
        </is>
      </c>
      <c r="C1812" t="inlineStr">
        <is>
          <t>Föryngringsavverkning</t>
        </is>
      </c>
      <c r="D1812" s="1" t="n">
        <v>44539</v>
      </c>
      <c r="E1812" s="1" t="n">
        <v>46319</v>
      </c>
      <c r="F1812" t="inlineStr">
        <is>
          <t>DALARNAS LÄN</t>
        </is>
      </c>
      <c r="G1812" t="inlineStr">
        <is>
          <t>LEKSAND</t>
        </is>
      </c>
      <c r="I1812" t="n">
        <v>1.5</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19939-2022</t>
        </is>
      </c>
      <c r="B1813" t="inlineStr">
        <is>
          <t>avverkningsanmälan</t>
        </is>
      </c>
      <c r="C1813" t="inlineStr">
        <is>
          <t>Avverkning för annat ändamål</t>
        </is>
      </c>
      <c r="D1813" s="1" t="n">
        <v>44697</v>
      </c>
      <c r="E1813" s="1" t="n">
        <v>46319</v>
      </c>
      <c r="F1813" t="inlineStr">
        <is>
          <t>DALARNAS LÄN</t>
        </is>
      </c>
      <c r="G1813" t="inlineStr">
        <is>
          <t>ÄLVDALEN</t>
        </is>
      </c>
      <c r="I1813" t="n">
        <v>1</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73804-2021</t>
        </is>
      </c>
      <c r="B1814" t="inlineStr">
        <is>
          <t>avverkningsanmälan</t>
        </is>
      </c>
      <c r="C1814" t="inlineStr">
        <is>
          <t>Föryngringsavverkning</t>
        </is>
      </c>
      <c r="D1814" s="1" t="n">
        <v>44552</v>
      </c>
      <c r="E1814" s="1" t="n">
        <v>46319</v>
      </c>
      <c r="F1814" t="inlineStr">
        <is>
          <t>DALARNAS LÄN</t>
        </is>
      </c>
      <c r="G1814" t="inlineStr">
        <is>
          <t>FALUN</t>
        </is>
      </c>
      <c r="I1814" t="n">
        <v>0.9</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19216-2022</t>
        </is>
      </c>
      <c r="B1815" t="inlineStr">
        <is>
          <t>avverkningsanmälan</t>
        </is>
      </c>
      <c r="C1815" t="inlineStr">
        <is>
          <t>Föryngringsavverkning</t>
        </is>
      </c>
      <c r="D1815" s="1" t="n">
        <v>44692</v>
      </c>
      <c r="E1815" s="1" t="n">
        <v>46319</v>
      </c>
      <c r="F1815" t="inlineStr">
        <is>
          <t>DALARNAS LÄN</t>
        </is>
      </c>
      <c r="G1815" t="inlineStr">
        <is>
          <t>RÄTTVIK</t>
        </is>
      </c>
      <c r="I1815" t="n">
        <v>4.2</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14-2022</t>
        </is>
      </c>
      <c r="B1816" t="inlineStr">
        <is>
          <t>avverkningsanmälan</t>
        </is>
      </c>
      <c r="C1816" t="inlineStr">
        <is>
          <t>Föryngringsavverkning</t>
        </is>
      </c>
      <c r="D1816" s="1" t="n">
        <v>44563</v>
      </c>
      <c r="E1816" s="1" t="n">
        <v>46319</v>
      </c>
      <c r="F1816" t="inlineStr">
        <is>
          <t>DALARNAS LÄN</t>
        </is>
      </c>
      <c r="G1816" t="inlineStr">
        <is>
          <t>SMEDJEBACKEN</t>
        </is>
      </c>
      <c r="I1816" t="n">
        <v>1.5</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16-2022</t>
        </is>
      </c>
      <c r="B1817" t="inlineStr">
        <is>
          <t>avverkningsanmälan</t>
        </is>
      </c>
      <c r="C1817" t="inlineStr">
        <is>
          <t>Föryngringsavverkning</t>
        </is>
      </c>
      <c r="D1817" s="1" t="n">
        <v>44563</v>
      </c>
      <c r="E1817" s="1" t="n">
        <v>46319</v>
      </c>
      <c r="F1817" t="inlineStr">
        <is>
          <t>DALARNAS LÄN</t>
        </is>
      </c>
      <c r="G1817" t="inlineStr">
        <is>
          <t>SMEDJEBACKEN</t>
        </is>
      </c>
      <c r="I1817" t="n">
        <v>2.9</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160-2022</t>
        </is>
      </c>
      <c r="B1818" t="inlineStr">
        <is>
          <t>avverkningsanmälan</t>
        </is>
      </c>
      <c r="C1818" t="inlineStr">
        <is>
          <t>Avverkning för annat ändamål</t>
        </is>
      </c>
      <c r="D1818" s="1" t="n">
        <v>44564</v>
      </c>
      <c r="E1818" s="1" t="n">
        <v>46319</v>
      </c>
      <c r="F1818" t="inlineStr">
        <is>
          <t>DALARNAS LÄN</t>
        </is>
      </c>
      <c r="G1818" t="inlineStr">
        <is>
          <t>ORSA</t>
        </is>
      </c>
      <c r="H1818" t="inlineStr">
        <is>
          <t>Kommuner</t>
        </is>
      </c>
      <c r="I1818" t="n">
        <v>0.1</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34235-2022</t>
        </is>
      </c>
      <c r="B1819" t="inlineStr">
        <is>
          <t>avverkningsanmälan</t>
        </is>
      </c>
      <c r="C1819" t="inlineStr">
        <is>
          <t>Föryngringsavverkning</t>
        </is>
      </c>
      <c r="D1819" s="1" t="n">
        <v>44791</v>
      </c>
      <c r="E1819" s="1" t="n">
        <v>46319</v>
      </c>
      <c r="F1819" t="inlineStr">
        <is>
          <t>DALARNAS LÄN</t>
        </is>
      </c>
      <c r="G1819" t="inlineStr">
        <is>
          <t>SMEDJEBACKEN</t>
        </is>
      </c>
      <c r="H1819" t="inlineStr">
        <is>
          <t>Bergvik skog väst AB</t>
        </is>
      </c>
      <c r="I1819" t="n">
        <v>0.6</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71859-2021</t>
        </is>
      </c>
      <c r="B1820" t="inlineStr">
        <is>
          <t>avverkningsanmälan</t>
        </is>
      </c>
      <c r="C1820" t="inlineStr">
        <is>
          <t>Föryngringsavverkning</t>
        </is>
      </c>
      <c r="D1820" s="1" t="n">
        <v>44540</v>
      </c>
      <c r="E1820" s="1" t="n">
        <v>46319</v>
      </c>
      <c r="F1820" t="inlineStr">
        <is>
          <t>DALARNAS LÄN</t>
        </is>
      </c>
      <c r="G1820" t="inlineStr">
        <is>
          <t>MALUNG-SÄLEN</t>
        </is>
      </c>
      <c r="H1820" t="inlineStr">
        <is>
          <t>Allmännings- och besparingsskogar</t>
        </is>
      </c>
      <c r="I1820" t="n">
        <v>3.9</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13557-2022</t>
        </is>
      </c>
      <c r="B1821" t="inlineStr">
        <is>
          <t>avverkningsanmälan</t>
        </is>
      </c>
      <c r="C1821" t="inlineStr">
        <is>
          <t>Avverkning för annat ändamål</t>
        </is>
      </c>
      <c r="D1821" s="1" t="n">
        <v>44648</v>
      </c>
      <c r="E1821" s="1" t="n">
        <v>46319</v>
      </c>
      <c r="F1821" t="inlineStr">
        <is>
          <t>DALARNAS LÄN</t>
        </is>
      </c>
      <c r="G1821" t="inlineStr">
        <is>
          <t>FALUN</t>
        </is>
      </c>
      <c r="I1821" t="n">
        <v>0.2</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13561-2022</t>
        </is>
      </c>
      <c r="B1822" t="inlineStr">
        <is>
          <t>avverkningsanmälan</t>
        </is>
      </c>
      <c r="C1822" t="inlineStr">
        <is>
          <t>Avverkning för annat ändamål</t>
        </is>
      </c>
      <c r="D1822" s="1" t="n">
        <v>44648</v>
      </c>
      <c r="E1822" s="1" t="n">
        <v>46319</v>
      </c>
      <c r="F1822" t="inlineStr">
        <is>
          <t>DALARNAS LÄN</t>
        </is>
      </c>
      <c r="G1822" t="inlineStr">
        <is>
          <t>FALUN</t>
        </is>
      </c>
      <c r="I1822" t="n">
        <v>0.3</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13566-2022</t>
        </is>
      </c>
      <c r="B1823" t="inlineStr">
        <is>
          <t>avverkningsanmälan</t>
        </is>
      </c>
      <c r="C1823" t="inlineStr">
        <is>
          <t>Avverkning för annat ändamål</t>
        </is>
      </c>
      <c r="D1823" s="1" t="n">
        <v>44648</v>
      </c>
      <c r="E1823" s="1" t="n">
        <v>46319</v>
      </c>
      <c r="F1823" t="inlineStr">
        <is>
          <t>DALARNAS LÄN</t>
        </is>
      </c>
      <c r="G1823" t="inlineStr">
        <is>
          <t>FALUN</t>
        </is>
      </c>
      <c r="I1823" t="n">
        <v>0.1</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26172-2022</t>
        </is>
      </c>
      <c r="B1824" t="inlineStr">
        <is>
          <t>avverkningsanmälan</t>
        </is>
      </c>
      <c r="C1824" t="inlineStr">
        <is>
          <t>Föryngringsavverkning</t>
        </is>
      </c>
      <c r="D1824" s="1" t="n">
        <v>44735</v>
      </c>
      <c r="E1824" s="1" t="n">
        <v>46319</v>
      </c>
      <c r="F1824" t="inlineStr">
        <is>
          <t>DALARNAS LÄN</t>
        </is>
      </c>
      <c r="G1824" t="inlineStr">
        <is>
          <t>SÄTER</t>
        </is>
      </c>
      <c r="I1824" t="n">
        <v>1.6</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20804-2022</t>
        </is>
      </c>
      <c r="B1825" t="inlineStr">
        <is>
          <t>avverkningsanmälan</t>
        </is>
      </c>
      <c r="C1825" t="inlineStr">
        <is>
          <t>Föryngringsavverkning</t>
        </is>
      </c>
      <c r="D1825" s="1" t="n">
        <v>44701</v>
      </c>
      <c r="E1825" s="1" t="n">
        <v>46319</v>
      </c>
      <c r="F1825" t="inlineStr">
        <is>
          <t>DALARNAS LÄN</t>
        </is>
      </c>
      <c r="G1825" t="inlineStr">
        <is>
          <t>MALUNG-SÄLEN</t>
        </is>
      </c>
      <c r="I1825" t="n">
        <v>4.3</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25297-2022</t>
        </is>
      </c>
      <c r="B1826" t="inlineStr">
        <is>
          <t>avverkningsanmälan</t>
        </is>
      </c>
      <c r="C1826" t="inlineStr">
        <is>
          <t>Föryngringsavverkning</t>
        </is>
      </c>
      <c r="D1826" s="1" t="n">
        <v>44730</v>
      </c>
      <c r="E1826" s="1" t="n">
        <v>46319</v>
      </c>
      <c r="F1826" t="inlineStr">
        <is>
          <t>DALARNAS LÄN</t>
        </is>
      </c>
      <c r="G1826" t="inlineStr">
        <is>
          <t>LUDVIKA</t>
        </is>
      </c>
      <c r="H1826" t="inlineStr">
        <is>
          <t>Bergvik skog väst AB</t>
        </is>
      </c>
      <c r="I1826" t="n">
        <v>0.4</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2277-2022</t>
        </is>
      </c>
      <c r="B1827" t="inlineStr">
        <is>
          <t>avverkningsanmälan</t>
        </is>
      </c>
      <c r="C1827" t="inlineStr">
        <is>
          <t>Föryngringsavverkning</t>
        </is>
      </c>
      <c r="D1827" s="1" t="n">
        <v>44578</v>
      </c>
      <c r="E1827" s="1" t="n">
        <v>46319</v>
      </c>
      <c r="F1827" t="inlineStr">
        <is>
          <t>DALARNAS LÄN</t>
        </is>
      </c>
      <c r="G1827" t="inlineStr">
        <is>
          <t>MORA</t>
        </is>
      </c>
      <c r="I1827" t="n">
        <v>0.6</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22375-2022</t>
        </is>
      </c>
      <c r="B1828" t="inlineStr">
        <is>
          <t>avverkningsanmälan</t>
        </is>
      </c>
      <c r="C1828" t="inlineStr">
        <is>
          <t>Föryngringsavverkning</t>
        </is>
      </c>
      <c r="D1828" s="1" t="n">
        <v>44713</v>
      </c>
      <c r="E1828" s="1" t="n">
        <v>46319</v>
      </c>
      <c r="F1828" t="inlineStr">
        <is>
          <t>DALARNAS LÄN</t>
        </is>
      </c>
      <c r="G1828" t="inlineStr">
        <is>
          <t>GAGNEF</t>
        </is>
      </c>
      <c r="I1828" t="n">
        <v>2.2</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31383-2022</t>
        </is>
      </c>
      <c r="B1829" t="inlineStr">
        <is>
          <t>avverkningsanmälan</t>
        </is>
      </c>
      <c r="C1829" t="inlineStr">
        <is>
          <t>Föryngringsavverkning</t>
        </is>
      </c>
      <c r="D1829" s="1" t="n">
        <v>44774</v>
      </c>
      <c r="E1829" s="1" t="n">
        <v>46319</v>
      </c>
      <c r="F1829" t="inlineStr">
        <is>
          <t>DALARNAS LÄN</t>
        </is>
      </c>
      <c r="G1829" t="inlineStr">
        <is>
          <t>VANSBRO</t>
        </is>
      </c>
      <c r="I1829" t="n">
        <v>1.4</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31407-2022</t>
        </is>
      </c>
      <c r="B1830" t="inlineStr">
        <is>
          <t>avverkningsanmälan</t>
        </is>
      </c>
      <c r="C1830" t="inlineStr">
        <is>
          <t>Föryngringsavverkning</t>
        </is>
      </c>
      <c r="D1830" s="1" t="n">
        <v>44774</v>
      </c>
      <c r="E1830" s="1" t="n">
        <v>46319</v>
      </c>
      <c r="F1830" t="inlineStr">
        <is>
          <t>DALARNAS LÄN</t>
        </is>
      </c>
      <c r="G1830" t="inlineStr">
        <is>
          <t>RÄTTVIK</t>
        </is>
      </c>
      <c r="H1830" t="inlineStr">
        <is>
          <t>Sveaskog</t>
        </is>
      </c>
      <c r="I1830" t="n">
        <v>0.3</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68573-2021</t>
        </is>
      </c>
      <c r="B1831" t="inlineStr">
        <is>
          <t>avverkningsanmälan</t>
        </is>
      </c>
      <c r="C1831" t="inlineStr">
        <is>
          <t>Föryngringsavverkning</t>
        </is>
      </c>
      <c r="D1831" s="1" t="n">
        <v>44529</v>
      </c>
      <c r="E1831" s="1" t="n">
        <v>46319</v>
      </c>
      <c r="F1831" t="inlineStr">
        <is>
          <t>DALARNAS LÄN</t>
        </is>
      </c>
      <c r="G1831" t="inlineStr">
        <is>
          <t>LEKSAND</t>
        </is>
      </c>
      <c r="I1831" t="n">
        <v>1.6</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68590-2021</t>
        </is>
      </c>
      <c r="B1832" t="inlineStr">
        <is>
          <t>avverkningsanmälan</t>
        </is>
      </c>
      <c r="C1832" t="inlineStr">
        <is>
          <t>Föryngringsavverkning</t>
        </is>
      </c>
      <c r="D1832" s="1" t="n">
        <v>44529</v>
      </c>
      <c r="E1832" s="1" t="n">
        <v>46319</v>
      </c>
      <c r="F1832" t="inlineStr">
        <is>
          <t>DALARNAS LÄN</t>
        </is>
      </c>
      <c r="G1832" t="inlineStr">
        <is>
          <t>FALUN</t>
        </is>
      </c>
      <c r="I1832" t="n">
        <v>0.5</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60910-2021</t>
        </is>
      </c>
      <c r="B1833" t="inlineStr">
        <is>
          <t>avverkningsanmälan</t>
        </is>
      </c>
      <c r="C1833" t="inlineStr">
        <is>
          <t>Föryngringsavverkning</t>
        </is>
      </c>
      <c r="D1833" s="1" t="n">
        <v>44496</v>
      </c>
      <c r="E1833" s="1" t="n">
        <v>46319</v>
      </c>
      <c r="F1833" t="inlineStr">
        <is>
          <t>DALARNAS LÄN</t>
        </is>
      </c>
      <c r="G1833" t="inlineStr">
        <is>
          <t>SMEDJEBACKEN</t>
        </is>
      </c>
      <c r="I1833" t="n">
        <v>0.5</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65738-2021</t>
        </is>
      </c>
      <c r="B1834" t="inlineStr">
        <is>
          <t>avverkningsanmälan</t>
        </is>
      </c>
      <c r="C1834" t="inlineStr">
        <is>
          <t>Föryngringsavverkning</t>
        </is>
      </c>
      <c r="D1834" s="1" t="n">
        <v>44516</v>
      </c>
      <c r="E1834" s="1" t="n">
        <v>46319</v>
      </c>
      <c r="F1834" t="inlineStr">
        <is>
          <t>DALARNAS LÄN</t>
        </is>
      </c>
      <c r="G1834" t="inlineStr">
        <is>
          <t>AVESTA</t>
        </is>
      </c>
      <c r="I1834" t="n">
        <v>1.9</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31272-2022</t>
        </is>
      </c>
      <c r="B1835" t="inlineStr">
        <is>
          <t>avverkningsanmälan</t>
        </is>
      </c>
      <c r="C1835" t="inlineStr">
        <is>
          <t>Föryngringsavverkning</t>
        </is>
      </c>
      <c r="D1835" s="1" t="n">
        <v>44771</v>
      </c>
      <c r="E1835" s="1" t="n">
        <v>46319</v>
      </c>
      <c r="F1835" t="inlineStr">
        <is>
          <t>DALARNAS LÄN</t>
        </is>
      </c>
      <c r="G1835" t="inlineStr">
        <is>
          <t>LUDVIKA</t>
        </is>
      </c>
      <c r="I1835" t="n">
        <v>0.5</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23542-2022</t>
        </is>
      </c>
      <c r="B1836" t="inlineStr">
        <is>
          <t>avverkningsanmälan</t>
        </is>
      </c>
      <c r="C1836" t="inlineStr">
        <is>
          <t>Föryngringsavverkning</t>
        </is>
      </c>
      <c r="D1836" s="1" t="n">
        <v>44721</v>
      </c>
      <c r="E1836" s="1" t="n">
        <v>46319</v>
      </c>
      <c r="F1836" t="inlineStr">
        <is>
          <t>DALARNAS LÄN</t>
        </is>
      </c>
      <c r="G1836" t="inlineStr">
        <is>
          <t>MALUNG-SÄLEN</t>
        </is>
      </c>
      <c r="I1836" t="n">
        <v>0.5</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22813-2022</t>
        </is>
      </c>
      <c r="B1837" t="inlineStr">
        <is>
          <t>avverkningsanmälan</t>
        </is>
      </c>
      <c r="C1837" t="inlineStr">
        <is>
          <t>Föryngringsavverkning</t>
        </is>
      </c>
      <c r="D1837" s="1" t="n">
        <v>44715</v>
      </c>
      <c r="E1837" s="1" t="n">
        <v>46319</v>
      </c>
      <c r="F1837" t="inlineStr">
        <is>
          <t>DALARNAS LÄN</t>
        </is>
      </c>
      <c r="G1837" t="inlineStr">
        <is>
          <t>ORSA</t>
        </is>
      </c>
      <c r="I1837" t="n">
        <v>0.4</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25291-2022</t>
        </is>
      </c>
      <c r="B1838" t="inlineStr">
        <is>
          <t>avverkningsanmälan</t>
        </is>
      </c>
      <c r="C1838" t="inlineStr">
        <is>
          <t>Föryngringsavverkning</t>
        </is>
      </c>
      <c r="D1838" s="1" t="n">
        <v>44730</v>
      </c>
      <c r="E1838" s="1" t="n">
        <v>46319</v>
      </c>
      <c r="F1838" t="inlineStr">
        <is>
          <t>DALARNAS LÄN</t>
        </is>
      </c>
      <c r="G1838" t="inlineStr">
        <is>
          <t>LUDVIKA</t>
        </is>
      </c>
      <c r="H1838" t="inlineStr">
        <is>
          <t>Bergvik skog väst AB</t>
        </is>
      </c>
      <c r="I1838" t="n">
        <v>0.9</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43804-2022</t>
        </is>
      </c>
      <c r="B1839" t="inlineStr">
        <is>
          <t>avverkningsanmälan</t>
        </is>
      </c>
      <c r="C1839" t="inlineStr">
        <is>
          <t>Föryngringsavverkning</t>
        </is>
      </c>
      <c r="D1839" s="1" t="n">
        <v>44838</v>
      </c>
      <c r="E1839" s="1" t="n">
        <v>46319</v>
      </c>
      <c r="F1839" t="inlineStr">
        <is>
          <t>DALARNAS LÄN</t>
        </is>
      </c>
      <c r="G1839" t="inlineStr">
        <is>
          <t>RÄTTVIK</t>
        </is>
      </c>
      <c r="H1839" t="inlineStr">
        <is>
          <t>Sveaskog</t>
        </is>
      </c>
      <c r="I1839" t="n">
        <v>0.9</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14868-2022</t>
        </is>
      </c>
      <c r="B1840" t="inlineStr">
        <is>
          <t>avverkningsanmälan</t>
        </is>
      </c>
      <c r="C1840" t="inlineStr">
        <is>
          <t>Föryngringsavverkning</t>
        </is>
      </c>
      <c r="D1840" s="1" t="n">
        <v>44656</v>
      </c>
      <c r="E1840" s="1" t="n">
        <v>46319</v>
      </c>
      <c r="F1840" t="inlineStr">
        <is>
          <t>DALARNAS LÄN</t>
        </is>
      </c>
      <c r="G1840" t="inlineStr">
        <is>
          <t>SMEDJEBACKEN</t>
        </is>
      </c>
      <c r="H1840" t="inlineStr">
        <is>
          <t>Bergvik skog väst AB</t>
        </is>
      </c>
      <c r="I1840" t="n">
        <v>2.3</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36544-2022</t>
        </is>
      </c>
      <c r="B1841" t="inlineStr">
        <is>
          <t>avverkningsanmälan</t>
        </is>
      </c>
      <c r="C1841" t="inlineStr">
        <is>
          <t>Föryngringsavverkning</t>
        </is>
      </c>
      <c r="D1841" s="1" t="n">
        <v>44804</v>
      </c>
      <c r="E1841" s="1" t="n">
        <v>46319</v>
      </c>
      <c r="F1841" t="inlineStr">
        <is>
          <t>DALARNAS LÄN</t>
        </is>
      </c>
      <c r="G1841" t="inlineStr">
        <is>
          <t>BORLÄNGE</t>
        </is>
      </c>
      <c r="I1841" t="n">
        <v>0.6</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74092-2021</t>
        </is>
      </c>
      <c r="B1842" t="inlineStr">
        <is>
          <t>avverkningsanmälan</t>
        </is>
      </c>
      <c r="C1842" t="inlineStr">
        <is>
          <t>Föryngringsavverkning</t>
        </is>
      </c>
      <c r="D1842" s="1" t="n">
        <v>44557</v>
      </c>
      <c r="E1842" s="1" t="n">
        <v>46319</v>
      </c>
      <c r="F1842" t="inlineStr">
        <is>
          <t>DALARNAS LÄN</t>
        </is>
      </c>
      <c r="G1842" t="inlineStr">
        <is>
          <t>MALUNG-SÄLEN</t>
        </is>
      </c>
      <c r="I1842" t="n">
        <v>0.5</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72659-2021</t>
        </is>
      </c>
      <c r="B1843" t="inlineStr">
        <is>
          <t>avverkningsanmälan</t>
        </is>
      </c>
      <c r="C1843" t="inlineStr">
        <is>
          <t>Föryngringsavverkning</t>
        </is>
      </c>
      <c r="D1843" s="1" t="n">
        <v>44546</v>
      </c>
      <c r="E1843" s="1" t="n">
        <v>46319</v>
      </c>
      <c r="F1843" t="inlineStr">
        <is>
          <t>DALARNAS LÄN</t>
        </is>
      </c>
      <c r="G1843" t="inlineStr">
        <is>
          <t>MORA</t>
        </is>
      </c>
      <c r="I1843" t="n">
        <v>0.5</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24595-2022</t>
        </is>
      </c>
      <c r="B1844" t="inlineStr">
        <is>
          <t>avverkningsanmälan</t>
        </is>
      </c>
      <c r="C1844" t="inlineStr">
        <is>
          <t>Föryngringsavverkning</t>
        </is>
      </c>
      <c r="D1844" s="1" t="n">
        <v>44727</v>
      </c>
      <c r="E1844" s="1" t="n">
        <v>46319</v>
      </c>
      <c r="F1844" t="inlineStr">
        <is>
          <t>DALARNAS LÄN</t>
        </is>
      </c>
      <c r="G1844" t="inlineStr">
        <is>
          <t>RÄTTVIK</t>
        </is>
      </c>
      <c r="I1844" t="n">
        <v>0.8</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68966-2021</t>
        </is>
      </c>
      <c r="B1845" t="inlineStr">
        <is>
          <t>avverkningsanmälan</t>
        </is>
      </c>
      <c r="C1845" t="inlineStr">
        <is>
          <t>Föryngringsavverkning</t>
        </is>
      </c>
      <c r="D1845" s="1" t="n">
        <v>44530</v>
      </c>
      <c r="E1845" s="1" t="n">
        <v>46319</v>
      </c>
      <c r="F1845" t="inlineStr">
        <is>
          <t>DALARNAS LÄN</t>
        </is>
      </c>
      <c r="G1845" t="inlineStr">
        <is>
          <t>MORA</t>
        </is>
      </c>
      <c r="I1845" t="n">
        <v>0.7</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72828-2021</t>
        </is>
      </c>
      <c r="B1846" t="inlineStr">
        <is>
          <t>avverkningsanmälan</t>
        </is>
      </c>
      <c r="C1846" t="inlineStr">
        <is>
          <t>Föryngringsavverkning</t>
        </is>
      </c>
      <c r="D1846" s="1" t="n">
        <v>44547</v>
      </c>
      <c r="E1846" s="1" t="n">
        <v>46319</v>
      </c>
      <c r="F1846" t="inlineStr">
        <is>
          <t>DALARNAS LÄN</t>
        </is>
      </c>
      <c r="G1846" t="inlineStr">
        <is>
          <t>MALUNG-SÄLEN</t>
        </is>
      </c>
      <c r="I1846" t="n">
        <v>12.3</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27238-2022</t>
        </is>
      </c>
      <c r="B1847" t="inlineStr">
        <is>
          <t>avverkningsanmälan</t>
        </is>
      </c>
      <c r="C1847" t="inlineStr">
        <is>
          <t>Föryngringsavverkning</t>
        </is>
      </c>
      <c r="D1847" s="1" t="n">
        <v>44741</v>
      </c>
      <c r="E1847" s="1" t="n">
        <v>46319</v>
      </c>
      <c r="F1847" t="inlineStr">
        <is>
          <t>DALARNAS LÄN</t>
        </is>
      </c>
      <c r="G1847" t="inlineStr">
        <is>
          <t>HEDEMORA</t>
        </is>
      </c>
      <c r="I1847" t="n">
        <v>1.5</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42837-2022</t>
        </is>
      </c>
      <c r="B1848" t="inlineStr">
        <is>
          <t>avverkningsanmälan</t>
        </is>
      </c>
      <c r="C1848" t="inlineStr">
        <is>
          <t>Föryngringsavverkning</t>
        </is>
      </c>
      <c r="D1848" s="1" t="n">
        <v>44832</v>
      </c>
      <c r="E1848" s="1" t="n">
        <v>46319</v>
      </c>
      <c r="F1848" t="inlineStr">
        <is>
          <t>DALARNAS LÄN</t>
        </is>
      </c>
      <c r="G1848" t="inlineStr">
        <is>
          <t>AVESTA</t>
        </is>
      </c>
      <c r="I1848" t="n">
        <v>3.9</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45029-2022</t>
        </is>
      </c>
      <c r="B1849" t="inlineStr">
        <is>
          <t>avverkningsanmälan</t>
        </is>
      </c>
      <c r="C1849" t="inlineStr">
        <is>
          <t>Föryngringsavverkning</t>
        </is>
      </c>
      <c r="D1849" s="1" t="n">
        <v>44841</v>
      </c>
      <c r="E1849" s="1" t="n">
        <v>46319</v>
      </c>
      <c r="F1849" t="inlineStr">
        <is>
          <t>DALARNAS LÄN</t>
        </is>
      </c>
      <c r="G1849" t="inlineStr">
        <is>
          <t>GAGNEF</t>
        </is>
      </c>
      <c r="I1849" t="n">
        <v>0.8</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8890-2022</t>
        </is>
      </c>
      <c r="B1850" t="inlineStr">
        <is>
          <t>avverkningsanmälan</t>
        </is>
      </c>
      <c r="C1850" t="inlineStr">
        <is>
          <t>Avverkning för annat ändamål</t>
        </is>
      </c>
      <c r="D1850" s="1" t="n">
        <v>44614</v>
      </c>
      <c r="E1850" s="1" t="n">
        <v>46319</v>
      </c>
      <c r="F1850" t="inlineStr">
        <is>
          <t>DALARNAS LÄN</t>
        </is>
      </c>
      <c r="G1850" t="inlineStr">
        <is>
          <t>VANSBRO</t>
        </is>
      </c>
      <c r="I1850" t="n">
        <v>0.3</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45034-2022</t>
        </is>
      </c>
      <c r="B1851" t="inlineStr">
        <is>
          <t>avverkningsanmälan</t>
        </is>
      </c>
      <c r="C1851" t="inlineStr">
        <is>
          <t>Föryngringsavverkning</t>
        </is>
      </c>
      <c r="D1851" s="1" t="n">
        <v>44841</v>
      </c>
      <c r="E1851" s="1" t="n">
        <v>46319</v>
      </c>
      <c r="F1851" t="inlineStr">
        <is>
          <t>DALARNAS LÄN</t>
        </is>
      </c>
      <c r="G1851" t="inlineStr">
        <is>
          <t>GAGNEF</t>
        </is>
      </c>
      <c r="I1851" t="n">
        <v>2.2</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42861-2022</t>
        </is>
      </c>
      <c r="B1852" t="inlineStr">
        <is>
          <t>avverkningsanmälan</t>
        </is>
      </c>
      <c r="C1852" t="inlineStr">
        <is>
          <t>Föryngringsavverkning</t>
        </is>
      </c>
      <c r="D1852" s="1" t="n">
        <v>44832</v>
      </c>
      <c r="E1852" s="1" t="n">
        <v>46319</v>
      </c>
      <c r="F1852" t="inlineStr">
        <is>
          <t>DALARNAS LÄN</t>
        </is>
      </c>
      <c r="G1852" t="inlineStr">
        <is>
          <t>BORLÄNGE</t>
        </is>
      </c>
      <c r="I1852" t="n">
        <v>6.4</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63693-2021</t>
        </is>
      </c>
      <c r="B1853" t="inlineStr">
        <is>
          <t>avverkningsanmälan</t>
        </is>
      </c>
      <c r="C1853" t="inlineStr">
        <is>
          <t>Föryngringsavverkning</t>
        </is>
      </c>
      <c r="D1853" s="1" t="n">
        <v>44509</v>
      </c>
      <c r="E1853" s="1" t="n">
        <v>46319</v>
      </c>
      <c r="F1853" t="inlineStr">
        <is>
          <t>DALARNAS LÄN</t>
        </is>
      </c>
      <c r="G1853" t="inlineStr">
        <is>
          <t>SMEDJEBACKEN</t>
        </is>
      </c>
      <c r="I1853" t="n">
        <v>1.6</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2686-2022</t>
        </is>
      </c>
      <c r="B1854" t="inlineStr">
        <is>
          <t>avverkningsanmälan</t>
        </is>
      </c>
      <c r="C1854" t="inlineStr">
        <is>
          <t>Föryngringsavverkning</t>
        </is>
      </c>
      <c r="D1854" s="1" t="n">
        <v>44580</v>
      </c>
      <c r="E1854" s="1" t="n">
        <v>46319</v>
      </c>
      <c r="F1854" t="inlineStr">
        <is>
          <t>DALARNAS LÄN</t>
        </is>
      </c>
      <c r="G1854" t="inlineStr">
        <is>
          <t>FALUN</t>
        </is>
      </c>
      <c r="I1854" t="n">
        <v>2.3</v>
      </c>
      <c r="J1854" t="n">
        <v>0</v>
      </c>
      <c r="K1854" t="n">
        <v>0</v>
      </c>
      <c r="L1854" t="n">
        <v>0</v>
      </c>
      <c r="M1854" t="n">
        <v>0</v>
      </c>
      <c r="N1854" t="n">
        <v>0</v>
      </c>
      <c r="O1854" t="n">
        <v>0</v>
      </c>
      <c r="P1854" t="n">
        <v>0</v>
      </c>
      <c r="Q1854" t="n">
        <v>0</v>
      </c>
      <c r="R1854" t="n">
        <v>0</v>
      </c>
      <c r="S1854" t="n">
        <v>0</v>
      </c>
      <c r="T1854" t="n">
        <v>0</v>
      </c>
      <c r="U1854" t="n">
        <v>0</v>
      </c>
      <c r="V1854" s="2" t="inlineStr"/>
    </row>
    <row r="1855" ht="15" customHeight="1">
      <c r="A1855" t="inlineStr">
        <is>
          <t>A 37314-2022</t>
        </is>
      </c>
      <c r="B1855" t="inlineStr">
        <is>
          <t>avverkningsanmälan</t>
        </is>
      </c>
      <c r="C1855" t="inlineStr">
        <is>
          <t>Föryngringsavverkning</t>
        </is>
      </c>
      <c r="D1855" s="1" t="n">
        <v>44809</v>
      </c>
      <c r="E1855" s="1" t="n">
        <v>46319</v>
      </c>
      <c r="F1855" t="inlineStr">
        <is>
          <t>DALARNAS LÄN</t>
        </is>
      </c>
      <c r="G1855" t="inlineStr">
        <is>
          <t>FALUN</t>
        </is>
      </c>
      <c r="H1855" t="inlineStr">
        <is>
          <t>Bergvik skog väst AB</t>
        </is>
      </c>
      <c r="I1855" t="n">
        <v>0.4</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35706-2022</t>
        </is>
      </c>
      <c r="B1856" t="inlineStr">
        <is>
          <t>avverkningsanmälan</t>
        </is>
      </c>
      <c r="C1856" t="inlineStr">
        <is>
          <t>Föryngringsavverkning</t>
        </is>
      </c>
      <c r="D1856" s="1" t="n">
        <v>44799</v>
      </c>
      <c r="E1856" s="1" t="n">
        <v>46319</v>
      </c>
      <c r="F1856" t="inlineStr">
        <is>
          <t>DALARNAS LÄN</t>
        </is>
      </c>
      <c r="G1856" t="inlineStr">
        <is>
          <t>RÄTTVIK</t>
        </is>
      </c>
      <c r="H1856" t="inlineStr">
        <is>
          <t>Sveaskog</t>
        </is>
      </c>
      <c r="I1856" t="n">
        <v>1.9</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49707-2022</t>
        </is>
      </c>
      <c r="B1857" t="inlineStr">
        <is>
          <t>avverkningsanmälan</t>
        </is>
      </c>
      <c r="C1857" t="inlineStr">
        <is>
          <t>Föryngringsavverkning</t>
        </is>
      </c>
      <c r="D1857" s="1" t="n">
        <v>44862</v>
      </c>
      <c r="E1857" s="1" t="n">
        <v>46319</v>
      </c>
      <c r="F1857" t="inlineStr">
        <is>
          <t>DALARNAS LÄN</t>
        </is>
      </c>
      <c r="G1857" t="inlineStr">
        <is>
          <t>RÄTTVIK</t>
        </is>
      </c>
      <c r="H1857" t="inlineStr">
        <is>
          <t>Sveaskog</t>
        </is>
      </c>
      <c r="I1857" t="n">
        <v>1.3</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36029-2022</t>
        </is>
      </c>
      <c r="B1858" t="inlineStr">
        <is>
          <t>avverkningsanmälan</t>
        </is>
      </c>
      <c r="C1858" t="inlineStr">
        <is>
          <t>Föryngringsavverkning</t>
        </is>
      </c>
      <c r="D1858" s="1" t="n">
        <v>44802</v>
      </c>
      <c r="E1858" s="1" t="n">
        <v>46319</v>
      </c>
      <c r="F1858" t="inlineStr">
        <is>
          <t>DALARNAS LÄN</t>
        </is>
      </c>
      <c r="G1858" t="inlineStr">
        <is>
          <t>MALUNG-SÄLEN</t>
        </is>
      </c>
      <c r="I1858" t="n">
        <v>2.3</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12504-2022</t>
        </is>
      </c>
      <c r="B1859" t="inlineStr">
        <is>
          <t>avverkningsanmälan</t>
        </is>
      </c>
      <c r="C1859" t="inlineStr">
        <is>
          <t>Avverkning för annat ändamål</t>
        </is>
      </c>
      <c r="D1859" s="1" t="n">
        <v>44638</v>
      </c>
      <c r="E1859" s="1" t="n">
        <v>46319</v>
      </c>
      <c r="F1859" t="inlineStr">
        <is>
          <t>DALARNAS LÄN</t>
        </is>
      </c>
      <c r="G1859" t="inlineStr">
        <is>
          <t>RÄTTVIK</t>
        </is>
      </c>
      <c r="I1859" t="n">
        <v>0.6</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43275-2022</t>
        </is>
      </c>
      <c r="B1860" t="inlineStr">
        <is>
          <t>avverkningsanmälan</t>
        </is>
      </c>
      <c r="C1860" t="inlineStr">
        <is>
          <t>Föryngringsavverkning</t>
        </is>
      </c>
      <c r="D1860" s="1" t="n">
        <v>44824</v>
      </c>
      <c r="E1860" s="1" t="n">
        <v>46319</v>
      </c>
      <c r="F1860" t="inlineStr">
        <is>
          <t>DALARNAS LÄN</t>
        </is>
      </c>
      <c r="G1860" t="inlineStr">
        <is>
          <t>LEKSAND</t>
        </is>
      </c>
      <c r="I1860" t="n">
        <v>2.1</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43304-2022</t>
        </is>
      </c>
      <c r="B1861" t="inlineStr">
        <is>
          <t>avverkningsanmälan</t>
        </is>
      </c>
      <c r="C1861" t="inlineStr">
        <is>
          <t>Föryngringsavverkning</t>
        </is>
      </c>
      <c r="D1861" s="1" t="n">
        <v>44834</v>
      </c>
      <c r="E1861" s="1" t="n">
        <v>46319</v>
      </c>
      <c r="F1861" t="inlineStr">
        <is>
          <t>DALARNAS LÄN</t>
        </is>
      </c>
      <c r="G1861" t="inlineStr">
        <is>
          <t>LEKSAND</t>
        </is>
      </c>
      <c r="I1861" t="n">
        <v>0.9</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30583-2022</t>
        </is>
      </c>
      <c r="B1862" t="inlineStr">
        <is>
          <t>avverkningsanmälan</t>
        </is>
      </c>
      <c r="C1862" t="inlineStr">
        <is>
          <t>Föryngringsavverkning</t>
        </is>
      </c>
      <c r="D1862" s="1" t="n">
        <v>44762</v>
      </c>
      <c r="E1862" s="1" t="n">
        <v>46319</v>
      </c>
      <c r="F1862" t="inlineStr">
        <is>
          <t>DALARNAS LÄN</t>
        </is>
      </c>
      <c r="G1862" t="inlineStr">
        <is>
          <t>RÄTTVIK</t>
        </is>
      </c>
      <c r="I1862" t="n">
        <v>1.2</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9561-2022</t>
        </is>
      </c>
      <c r="B1863" t="inlineStr">
        <is>
          <t>avverkningsanmälan</t>
        </is>
      </c>
      <c r="C1863" t="inlineStr">
        <is>
          <t>Föryngringsavverkning</t>
        </is>
      </c>
      <c r="D1863" s="1" t="n">
        <v>44617</v>
      </c>
      <c r="E1863" s="1" t="n">
        <v>46319</v>
      </c>
      <c r="F1863" t="inlineStr">
        <is>
          <t>DALARNAS LÄN</t>
        </is>
      </c>
      <c r="G1863" t="inlineStr">
        <is>
          <t>ORSA</t>
        </is>
      </c>
      <c r="H1863" t="inlineStr">
        <is>
          <t>Kyrkan</t>
        </is>
      </c>
      <c r="I1863" t="n">
        <v>0.6</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64896-2021</t>
        </is>
      </c>
      <c r="B1864" t="inlineStr">
        <is>
          <t>avverkningsanmälan</t>
        </is>
      </c>
      <c r="C1864" t="inlineStr">
        <is>
          <t>Föryngringsavverkning</t>
        </is>
      </c>
      <c r="D1864" s="1" t="n">
        <v>44512</v>
      </c>
      <c r="E1864" s="1" t="n">
        <v>46319</v>
      </c>
      <c r="F1864" t="inlineStr">
        <is>
          <t>DALARNAS LÄN</t>
        </is>
      </c>
      <c r="G1864" t="inlineStr">
        <is>
          <t>MALUNG-SÄLEN</t>
        </is>
      </c>
      <c r="I1864" t="n">
        <v>13</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19480-2022</t>
        </is>
      </c>
      <c r="B1865" t="inlineStr">
        <is>
          <t>avverkningsanmälan</t>
        </is>
      </c>
      <c r="C1865" t="inlineStr">
        <is>
          <t>Föryngringsavverkning</t>
        </is>
      </c>
      <c r="D1865" s="1" t="n">
        <v>44693</v>
      </c>
      <c r="E1865" s="1" t="n">
        <v>46319</v>
      </c>
      <c r="F1865" t="inlineStr">
        <is>
          <t>DALARNAS LÄN</t>
        </is>
      </c>
      <c r="G1865" t="inlineStr">
        <is>
          <t>LEKSAND</t>
        </is>
      </c>
      <c r="I1865" t="n">
        <v>0.8</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56147-2022</t>
        </is>
      </c>
      <c r="B1866" t="inlineStr">
        <is>
          <t>avverkningsanmälan</t>
        </is>
      </c>
      <c r="C1866" t="inlineStr">
        <is>
          <t>Föryngringsavverkning</t>
        </is>
      </c>
      <c r="D1866" s="1" t="n">
        <v>44889</v>
      </c>
      <c r="E1866" s="1" t="n">
        <v>46319</v>
      </c>
      <c r="F1866" t="inlineStr">
        <is>
          <t>DALARNAS LÄN</t>
        </is>
      </c>
      <c r="G1866" t="inlineStr">
        <is>
          <t>FALUN</t>
        </is>
      </c>
      <c r="I1866" t="n">
        <v>1</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54939-2022</t>
        </is>
      </c>
      <c r="B1867" t="inlineStr">
        <is>
          <t>avverkningsanmälan</t>
        </is>
      </c>
      <c r="C1867" t="inlineStr">
        <is>
          <t>Föryngringsavverkning</t>
        </is>
      </c>
      <c r="D1867" s="1" t="n">
        <v>44886</v>
      </c>
      <c r="E1867" s="1" t="n">
        <v>46319</v>
      </c>
      <c r="F1867" t="inlineStr">
        <is>
          <t>DALARNAS LÄN</t>
        </is>
      </c>
      <c r="G1867" t="inlineStr">
        <is>
          <t>MALUNG-SÄLEN</t>
        </is>
      </c>
      <c r="I1867" t="n">
        <v>1.2</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67977-2021</t>
        </is>
      </c>
      <c r="B1868" t="inlineStr">
        <is>
          <t>avverkningsanmälan</t>
        </is>
      </c>
      <c r="C1868" t="inlineStr">
        <is>
          <t>Föryngringsavverkning</t>
        </is>
      </c>
      <c r="D1868" s="1" t="n">
        <v>44525</v>
      </c>
      <c r="E1868" s="1" t="n">
        <v>46319</v>
      </c>
      <c r="F1868" t="inlineStr">
        <is>
          <t>DALARNAS LÄN</t>
        </is>
      </c>
      <c r="G1868" t="inlineStr">
        <is>
          <t>SMEDJEBACKEN</t>
        </is>
      </c>
      <c r="I1868" t="n">
        <v>0.7</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23606-2022</t>
        </is>
      </c>
      <c r="B1869" t="inlineStr">
        <is>
          <t>avverkningsanmälan</t>
        </is>
      </c>
      <c r="C1869" t="inlineStr">
        <is>
          <t>Föryngringsavverkning</t>
        </is>
      </c>
      <c r="D1869" s="1" t="n">
        <v>44721</v>
      </c>
      <c r="E1869" s="1" t="n">
        <v>46319</v>
      </c>
      <c r="F1869" t="inlineStr">
        <is>
          <t>DALARNAS LÄN</t>
        </is>
      </c>
      <c r="G1869" t="inlineStr">
        <is>
          <t>MALUNG-SÄLEN</t>
        </is>
      </c>
      <c r="H1869" t="inlineStr">
        <is>
          <t>Bergvik skog väst AB</t>
        </is>
      </c>
      <c r="I1869" t="n">
        <v>2.4</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23626-2022</t>
        </is>
      </c>
      <c r="B1870" t="inlineStr">
        <is>
          <t>avverkningsanmälan</t>
        </is>
      </c>
      <c r="C1870" t="inlineStr">
        <is>
          <t>Föryngringsavverkning</t>
        </is>
      </c>
      <c r="D1870" s="1" t="n">
        <v>44721</v>
      </c>
      <c r="E1870" s="1" t="n">
        <v>46319</v>
      </c>
      <c r="F1870" t="inlineStr">
        <is>
          <t>DALARNAS LÄN</t>
        </is>
      </c>
      <c r="G1870" t="inlineStr">
        <is>
          <t>FALUN</t>
        </is>
      </c>
      <c r="H1870" t="inlineStr">
        <is>
          <t>Bergvik skog väst AB</t>
        </is>
      </c>
      <c r="I1870" t="n">
        <v>0.9</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62279-2021</t>
        </is>
      </c>
      <c r="B1871" t="inlineStr">
        <is>
          <t>avverkningsanmälan</t>
        </is>
      </c>
      <c r="C1871" t="inlineStr">
        <is>
          <t>Föryngringsavverkning</t>
        </is>
      </c>
      <c r="D1871" s="1" t="n">
        <v>44503</v>
      </c>
      <c r="E1871" s="1" t="n">
        <v>46319</v>
      </c>
      <c r="F1871" t="inlineStr">
        <is>
          <t>DALARNAS LÄN</t>
        </is>
      </c>
      <c r="G1871" t="inlineStr">
        <is>
          <t>LEKSAND</t>
        </is>
      </c>
      <c r="I1871" t="n">
        <v>1.8</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26667-2022</t>
        </is>
      </c>
      <c r="B1872" t="inlineStr">
        <is>
          <t>avverkningsanmälan</t>
        </is>
      </c>
      <c r="C1872" t="inlineStr">
        <is>
          <t>Föryngringsavverkning</t>
        </is>
      </c>
      <c r="D1872" s="1" t="n">
        <v>44739</v>
      </c>
      <c r="E1872" s="1" t="n">
        <v>46319</v>
      </c>
      <c r="F1872" t="inlineStr">
        <is>
          <t>DALARNAS LÄN</t>
        </is>
      </c>
      <c r="G1872" t="inlineStr">
        <is>
          <t>MALUNG-SÄLEN</t>
        </is>
      </c>
      <c r="I1872" t="n">
        <v>4.2</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26005-2022</t>
        </is>
      </c>
      <c r="B1873" t="inlineStr">
        <is>
          <t>avverkningsanmälan</t>
        </is>
      </c>
      <c r="C1873" t="inlineStr">
        <is>
          <t>Avverkning för att bevara och utveckla /försöksver</t>
        </is>
      </c>
      <c r="D1873" s="1" t="n">
        <v>44734</v>
      </c>
      <c r="E1873" s="1" t="n">
        <v>46319</v>
      </c>
      <c r="F1873" t="inlineStr">
        <is>
          <t>DALARNAS LÄN</t>
        </is>
      </c>
      <c r="G1873" t="inlineStr">
        <is>
          <t>SMEDJEBACKEN</t>
        </is>
      </c>
      <c r="H1873" t="inlineStr">
        <is>
          <t>Sveaskog</t>
        </is>
      </c>
      <c r="I1873" t="n">
        <v>0.8</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32028-2022</t>
        </is>
      </c>
      <c r="B1874" t="inlineStr">
        <is>
          <t>avverkningsanmälan</t>
        </is>
      </c>
      <c r="C1874" t="inlineStr">
        <is>
          <t>Avverkning för annat ändamål</t>
        </is>
      </c>
      <c r="D1874" s="1" t="n">
        <v>44778</v>
      </c>
      <c r="E1874" s="1" t="n">
        <v>46319</v>
      </c>
      <c r="F1874" t="inlineStr">
        <is>
          <t>DALARNAS LÄN</t>
        </is>
      </c>
      <c r="G1874" t="inlineStr">
        <is>
          <t>GAGNEF</t>
        </is>
      </c>
      <c r="I1874" t="n">
        <v>0.9</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70026-2021</t>
        </is>
      </c>
      <c r="B1875" t="inlineStr">
        <is>
          <t>avverkningsanmälan</t>
        </is>
      </c>
      <c r="C1875" t="inlineStr">
        <is>
          <t>Avverkning för annat ändamål</t>
        </is>
      </c>
      <c r="D1875" s="1" t="n">
        <v>44533</v>
      </c>
      <c r="E1875" s="1" t="n">
        <v>46319</v>
      </c>
      <c r="F1875" t="inlineStr">
        <is>
          <t>DALARNAS LÄN</t>
        </is>
      </c>
      <c r="G1875" t="inlineStr">
        <is>
          <t>LEKSAND</t>
        </is>
      </c>
      <c r="I1875" t="n">
        <v>0.9</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69798-2021</t>
        </is>
      </c>
      <c r="B1876" t="inlineStr">
        <is>
          <t>avverkningsanmälan</t>
        </is>
      </c>
      <c r="C1876" t="inlineStr">
        <is>
          <t>Föryngringsavverkning</t>
        </is>
      </c>
      <c r="D1876" s="1" t="n">
        <v>44532</v>
      </c>
      <c r="E1876" s="1" t="n">
        <v>46319</v>
      </c>
      <c r="F1876" t="inlineStr">
        <is>
          <t>DALARNAS LÄN</t>
        </is>
      </c>
      <c r="G1876" t="inlineStr">
        <is>
          <t>BORLÄNGE</t>
        </is>
      </c>
      <c r="I1876" t="n">
        <v>0.6</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73350-2021</t>
        </is>
      </c>
      <c r="B1877" t="inlineStr">
        <is>
          <t>avverkningsanmälan</t>
        </is>
      </c>
      <c r="C1877" t="inlineStr">
        <is>
          <t>Föryngringsavverkning</t>
        </is>
      </c>
      <c r="D1877" s="1" t="n">
        <v>44551</v>
      </c>
      <c r="E1877" s="1" t="n">
        <v>46319</v>
      </c>
      <c r="F1877" t="inlineStr">
        <is>
          <t>DALARNAS LÄN</t>
        </is>
      </c>
      <c r="G1877" t="inlineStr">
        <is>
          <t>RÄTTVIK</t>
        </is>
      </c>
      <c r="I1877" t="n">
        <v>3.7</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61563-2021</t>
        </is>
      </c>
      <c r="B1878" t="inlineStr">
        <is>
          <t>avverkningsanmälan</t>
        </is>
      </c>
      <c r="C1878" t="inlineStr">
        <is>
          <t>Föryngringsavverkning</t>
        </is>
      </c>
      <c r="D1878" s="1" t="n">
        <v>44501</v>
      </c>
      <c r="E1878" s="1" t="n">
        <v>46319</v>
      </c>
      <c r="F1878" t="inlineStr">
        <is>
          <t>DALARNAS LÄN</t>
        </is>
      </c>
      <c r="G1878" t="inlineStr">
        <is>
          <t>ÄLVDALEN</t>
        </is>
      </c>
      <c r="I1878" t="n">
        <v>0.6</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23329-2022</t>
        </is>
      </c>
      <c r="B1879" t="inlineStr">
        <is>
          <t>avverkningsanmälan</t>
        </is>
      </c>
      <c r="C1879" t="inlineStr">
        <is>
          <t>Föryngringsavverkning</t>
        </is>
      </c>
      <c r="D1879" s="1" t="n">
        <v>44720</v>
      </c>
      <c r="E1879" s="1" t="n">
        <v>46319</v>
      </c>
      <c r="F1879" t="inlineStr">
        <is>
          <t>DALARNAS LÄN</t>
        </is>
      </c>
      <c r="G1879" t="inlineStr">
        <is>
          <t>HEDEMORA</t>
        </is>
      </c>
      <c r="I1879" t="n">
        <v>1.4</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62305-2021</t>
        </is>
      </c>
      <c r="B1880" t="inlineStr">
        <is>
          <t>avverkningsanmälan</t>
        </is>
      </c>
      <c r="C1880" t="inlineStr">
        <is>
          <t>Föryngringsavverkning</t>
        </is>
      </c>
      <c r="D1880" s="1" t="n">
        <v>44502</v>
      </c>
      <c r="E1880" s="1" t="n">
        <v>46319</v>
      </c>
      <c r="F1880" t="inlineStr">
        <is>
          <t>DALARNAS LÄN</t>
        </is>
      </c>
      <c r="G1880" t="inlineStr">
        <is>
          <t>HEDEMORA</t>
        </is>
      </c>
      <c r="H1880" t="inlineStr">
        <is>
          <t>Bergvik skog väst AB</t>
        </is>
      </c>
      <c r="I1880" t="n">
        <v>0.6</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7759-2022</t>
        </is>
      </c>
      <c r="B1881" t="inlineStr">
        <is>
          <t>avverkningsanmälan</t>
        </is>
      </c>
      <c r="C1881" t="inlineStr">
        <is>
          <t>Föryngringsavverkning</t>
        </is>
      </c>
      <c r="D1881" s="1" t="n">
        <v>44608</v>
      </c>
      <c r="E1881" s="1" t="n">
        <v>46319</v>
      </c>
      <c r="F1881" t="inlineStr">
        <is>
          <t>DALARNAS LÄN</t>
        </is>
      </c>
      <c r="G1881" t="inlineStr">
        <is>
          <t>SMEDJEBACKEN</t>
        </is>
      </c>
      <c r="I1881" t="n">
        <v>0.6</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27846-2022</t>
        </is>
      </c>
      <c r="B1882" t="inlineStr">
        <is>
          <t>avverkningsanmälan</t>
        </is>
      </c>
      <c r="C1882" t="inlineStr">
        <is>
          <t>Föryngringsavverkning</t>
        </is>
      </c>
      <c r="D1882" s="1" t="n">
        <v>44743</v>
      </c>
      <c r="E1882" s="1" t="n">
        <v>46319</v>
      </c>
      <c r="F1882" t="inlineStr">
        <is>
          <t>DALARNAS LÄN</t>
        </is>
      </c>
      <c r="G1882" t="inlineStr">
        <is>
          <t>MALUNG-SÄLEN</t>
        </is>
      </c>
      <c r="H1882" t="inlineStr">
        <is>
          <t>Kommuner</t>
        </is>
      </c>
      <c r="I1882" t="n">
        <v>0.3</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27849-2022</t>
        </is>
      </c>
      <c r="B1883" t="inlineStr">
        <is>
          <t>avverkningsanmälan</t>
        </is>
      </c>
      <c r="C1883" t="inlineStr">
        <is>
          <t>Föryngringsavverkning</t>
        </is>
      </c>
      <c r="D1883" s="1" t="n">
        <v>44743</v>
      </c>
      <c r="E1883" s="1" t="n">
        <v>46319</v>
      </c>
      <c r="F1883" t="inlineStr">
        <is>
          <t>DALARNAS LÄN</t>
        </is>
      </c>
      <c r="G1883" t="inlineStr">
        <is>
          <t>MALUNG-SÄLEN</t>
        </is>
      </c>
      <c r="H1883" t="inlineStr">
        <is>
          <t>Kommuner</t>
        </is>
      </c>
      <c r="I1883" t="n">
        <v>0.4</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45623-2022</t>
        </is>
      </c>
      <c r="B1884" t="inlineStr">
        <is>
          <t>avverkningsanmälan</t>
        </is>
      </c>
      <c r="C1884" t="inlineStr">
        <is>
          <t>Föryngringsavverkning</t>
        </is>
      </c>
      <c r="D1884" s="1" t="n">
        <v>44845</v>
      </c>
      <c r="E1884" s="1" t="n">
        <v>46319</v>
      </c>
      <c r="F1884" t="inlineStr">
        <is>
          <t>DALARNAS LÄN</t>
        </is>
      </c>
      <c r="G1884" t="inlineStr">
        <is>
          <t>RÄTTVIK</t>
        </is>
      </c>
      <c r="H1884" t="inlineStr">
        <is>
          <t>Sveaskog</t>
        </is>
      </c>
      <c r="I1884" t="n">
        <v>3.9</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46672-2022</t>
        </is>
      </c>
      <c r="B1885" t="inlineStr">
        <is>
          <t>avverkningsanmälan</t>
        </is>
      </c>
      <c r="C1885" t="inlineStr">
        <is>
          <t>Föryngringsavverkning</t>
        </is>
      </c>
      <c r="D1885" s="1" t="n">
        <v>44851</v>
      </c>
      <c r="E1885" s="1" t="n">
        <v>46319</v>
      </c>
      <c r="F1885" t="inlineStr">
        <is>
          <t>DALARNAS LÄN</t>
        </is>
      </c>
      <c r="G1885" t="inlineStr">
        <is>
          <t>LEKSAND</t>
        </is>
      </c>
      <c r="I1885" t="n">
        <v>0.7</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46680-2022</t>
        </is>
      </c>
      <c r="B1886" t="inlineStr">
        <is>
          <t>avverkningsanmälan</t>
        </is>
      </c>
      <c r="C1886" t="inlineStr">
        <is>
          <t>Föryngringsavverkning</t>
        </is>
      </c>
      <c r="D1886" s="1" t="n">
        <v>44851</v>
      </c>
      <c r="E1886" s="1" t="n">
        <v>46319</v>
      </c>
      <c r="F1886" t="inlineStr">
        <is>
          <t>DALARNAS LÄN</t>
        </is>
      </c>
      <c r="G1886" t="inlineStr">
        <is>
          <t>LUDVIKA</t>
        </is>
      </c>
      <c r="I1886" t="n">
        <v>2.6</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33843-2022</t>
        </is>
      </c>
      <c r="B1887" t="inlineStr">
        <is>
          <t>avverkningsanmälan</t>
        </is>
      </c>
      <c r="C1887" t="inlineStr">
        <is>
          <t>Föryngringsavverkning</t>
        </is>
      </c>
      <c r="D1887" s="1" t="n">
        <v>44790</v>
      </c>
      <c r="E1887" s="1" t="n">
        <v>46319</v>
      </c>
      <c r="F1887" t="inlineStr">
        <is>
          <t>DALARNAS LÄN</t>
        </is>
      </c>
      <c r="G1887" t="inlineStr">
        <is>
          <t>SMEDJEBACKEN</t>
        </is>
      </c>
      <c r="H1887" t="inlineStr">
        <is>
          <t>Bergvik skog väst AB</t>
        </is>
      </c>
      <c r="I1887" t="n">
        <v>2.5</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39043-2022</t>
        </is>
      </c>
      <c r="B1888" t="inlineStr">
        <is>
          <t>avverkningsanmälan</t>
        </is>
      </c>
      <c r="C1888" t="inlineStr">
        <is>
          <t>Föryngringsavverkning</t>
        </is>
      </c>
      <c r="D1888" s="1" t="n">
        <v>44817</v>
      </c>
      <c r="E1888" s="1" t="n">
        <v>46319</v>
      </c>
      <c r="F1888" t="inlineStr">
        <is>
          <t>DALARNAS LÄN</t>
        </is>
      </c>
      <c r="G1888" t="inlineStr">
        <is>
          <t>VANSBRO</t>
        </is>
      </c>
      <c r="H1888" t="inlineStr">
        <is>
          <t>Övriga statliga verk och myndigheter</t>
        </is>
      </c>
      <c r="I1888" t="n">
        <v>0.6</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70115-2021</t>
        </is>
      </c>
      <c r="B1889" t="inlineStr">
        <is>
          <t>avverkningsanmälan</t>
        </is>
      </c>
      <c r="C1889" t="inlineStr">
        <is>
          <t>Föryngringsavverkning</t>
        </is>
      </c>
      <c r="D1889" s="1" t="n">
        <v>44533</v>
      </c>
      <c r="E1889" s="1" t="n">
        <v>46319</v>
      </c>
      <c r="F1889" t="inlineStr">
        <is>
          <t>DALARNAS LÄN</t>
        </is>
      </c>
      <c r="G1889" t="inlineStr">
        <is>
          <t>RÄTTVIK</t>
        </is>
      </c>
      <c r="I1889" t="n">
        <v>3.8</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1977-2022</t>
        </is>
      </c>
      <c r="B1890" t="inlineStr">
        <is>
          <t>avverkningsanmälan</t>
        </is>
      </c>
      <c r="C1890" t="inlineStr">
        <is>
          <t>Föryngringsavverkning</t>
        </is>
      </c>
      <c r="D1890" s="1" t="n">
        <v>44575</v>
      </c>
      <c r="E1890" s="1" t="n">
        <v>46319</v>
      </c>
      <c r="F1890" t="inlineStr">
        <is>
          <t>DALARNAS LÄN</t>
        </is>
      </c>
      <c r="G1890" t="inlineStr">
        <is>
          <t>AVESTA</t>
        </is>
      </c>
      <c r="I1890" t="n">
        <v>2.3</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44133-2022</t>
        </is>
      </c>
      <c r="B1891" t="inlineStr">
        <is>
          <t>avverkningsanmälan</t>
        </is>
      </c>
      <c r="C1891" t="inlineStr">
        <is>
          <t>Föryngringsavverkning</t>
        </is>
      </c>
      <c r="D1891" s="1" t="n">
        <v>44839</v>
      </c>
      <c r="E1891" s="1" t="n">
        <v>46319</v>
      </c>
      <c r="F1891" t="inlineStr">
        <is>
          <t>DALARNAS LÄN</t>
        </is>
      </c>
      <c r="G1891" t="inlineStr">
        <is>
          <t>AVESTA</t>
        </is>
      </c>
      <c r="I1891" t="n">
        <v>0.5</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32243-2022</t>
        </is>
      </c>
      <c r="B1892" t="inlineStr">
        <is>
          <t>avverkningsanmälan</t>
        </is>
      </c>
      <c r="C1892" t="inlineStr">
        <is>
          <t>Föryngringsavverkning</t>
        </is>
      </c>
      <c r="D1892" s="1" t="n">
        <v>44781</v>
      </c>
      <c r="E1892" s="1" t="n">
        <v>46319</v>
      </c>
      <c r="F1892" t="inlineStr">
        <is>
          <t>DALARNAS LÄN</t>
        </is>
      </c>
      <c r="G1892" t="inlineStr">
        <is>
          <t>BORLÄNGE</t>
        </is>
      </c>
      <c r="I1892" t="n">
        <v>0.5</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21279-2022</t>
        </is>
      </c>
      <c r="B1893" t="inlineStr">
        <is>
          <t>avverkningsanmälan</t>
        </is>
      </c>
      <c r="C1893" t="inlineStr">
        <is>
          <t>Föryngringsavverkning</t>
        </is>
      </c>
      <c r="D1893" s="1" t="n">
        <v>44705</v>
      </c>
      <c r="E1893" s="1" t="n">
        <v>46319</v>
      </c>
      <c r="F1893" t="inlineStr">
        <is>
          <t>DALARNAS LÄN</t>
        </is>
      </c>
      <c r="G1893" t="inlineStr">
        <is>
          <t>ÄLVDALEN</t>
        </is>
      </c>
      <c r="I1893" t="n">
        <v>4.6</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51713-2022</t>
        </is>
      </c>
      <c r="B1894" t="inlineStr">
        <is>
          <t>avverkningsanmälan</t>
        </is>
      </c>
      <c r="C1894" t="inlineStr">
        <is>
          <t>Föryngringsavverkning</t>
        </is>
      </c>
      <c r="D1894" s="1" t="n">
        <v>44872</v>
      </c>
      <c r="E1894" s="1" t="n">
        <v>46319</v>
      </c>
      <c r="F1894" t="inlineStr">
        <is>
          <t>DALARNAS LÄN</t>
        </is>
      </c>
      <c r="G1894" t="inlineStr">
        <is>
          <t>LUDVIKA</t>
        </is>
      </c>
      <c r="H1894" t="inlineStr">
        <is>
          <t>Bergvik skog väst AB</t>
        </is>
      </c>
      <c r="I1894" t="n">
        <v>1.6</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60414-2021</t>
        </is>
      </c>
      <c r="B1895" t="inlineStr">
        <is>
          <t>avverkningsanmälan</t>
        </is>
      </c>
      <c r="C1895" t="inlineStr">
        <is>
          <t>Avverkning för att bevara och utveckla /försöksver</t>
        </is>
      </c>
      <c r="D1895" s="1" t="n">
        <v>44496</v>
      </c>
      <c r="E1895" s="1" t="n">
        <v>46319</v>
      </c>
      <c r="F1895" t="inlineStr">
        <is>
          <t>DALARNAS LÄN</t>
        </is>
      </c>
      <c r="G1895" t="inlineStr">
        <is>
          <t>SMEDJEBACKEN</t>
        </is>
      </c>
      <c r="H1895" t="inlineStr">
        <is>
          <t>Sveaskog</t>
        </is>
      </c>
      <c r="I1895" t="n">
        <v>2.1</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34511-2022</t>
        </is>
      </c>
      <c r="B1896" t="inlineStr">
        <is>
          <t>avverkningsanmälan</t>
        </is>
      </c>
      <c r="C1896" t="inlineStr">
        <is>
          <t>Föryngringsavverkning</t>
        </is>
      </c>
      <c r="D1896" s="1" t="n">
        <v>44792</v>
      </c>
      <c r="E1896" s="1" t="n">
        <v>46319</v>
      </c>
      <c r="F1896" t="inlineStr">
        <is>
          <t>DALARNAS LÄN</t>
        </is>
      </c>
      <c r="G1896" t="inlineStr">
        <is>
          <t>FALUN</t>
        </is>
      </c>
      <c r="I1896" t="n">
        <v>2</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18757-2022</t>
        </is>
      </c>
      <c r="B1897" t="inlineStr">
        <is>
          <t>avverkningsanmälan</t>
        </is>
      </c>
      <c r="C1897" t="inlineStr">
        <is>
          <t>Föryngringsavverkning</t>
        </is>
      </c>
      <c r="D1897" s="1" t="n">
        <v>44688</v>
      </c>
      <c r="E1897" s="1" t="n">
        <v>46319</v>
      </c>
      <c r="F1897" t="inlineStr">
        <is>
          <t>DALARNAS LÄN</t>
        </is>
      </c>
      <c r="G1897" t="inlineStr">
        <is>
          <t>SÄTER</t>
        </is>
      </c>
      <c r="H1897" t="inlineStr">
        <is>
          <t>Bergvik skog väst AB</t>
        </is>
      </c>
      <c r="I1897" t="n">
        <v>0.7</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9304-2022</t>
        </is>
      </c>
      <c r="B1898" t="inlineStr">
        <is>
          <t>avverkningsanmälan</t>
        </is>
      </c>
      <c r="C1898" t="inlineStr">
        <is>
          <t>Föryngringsavverkning</t>
        </is>
      </c>
      <c r="D1898" s="1" t="n">
        <v>44616</v>
      </c>
      <c r="E1898" s="1" t="n">
        <v>46319</v>
      </c>
      <c r="F1898" t="inlineStr">
        <is>
          <t>DALARNAS LÄN</t>
        </is>
      </c>
      <c r="G1898" t="inlineStr">
        <is>
          <t>MALUNG-SÄLEN</t>
        </is>
      </c>
      <c r="I1898" t="n">
        <v>2.6</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25620-2022</t>
        </is>
      </c>
      <c r="B1899" t="inlineStr">
        <is>
          <t>avverkningsanmälan</t>
        </is>
      </c>
      <c r="C1899" t="inlineStr">
        <is>
          <t>Föryngringsavverkning</t>
        </is>
      </c>
      <c r="D1899" s="1" t="n">
        <v>44732</v>
      </c>
      <c r="E1899" s="1" t="n">
        <v>46319</v>
      </c>
      <c r="F1899" t="inlineStr">
        <is>
          <t>DALARNAS LÄN</t>
        </is>
      </c>
      <c r="G1899" t="inlineStr">
        <is>
          <t>GAGNEF</t>
        </is>
      </c>
      <c r="H1899" t="inlineStr">
        <is>
          <t>Kyrkan</t>
        </is>
      </c>
      <c r="I1899" t="n">
        <v>1.6</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25622-2022</t>
        </is>
      </c>
      <c r="B1900" t="inlineStr">
        <is>
          <t>avverkningsanmälan</t>
        </is>
      </c>
      <c r="C1900" t="inlineStr">
        <is>
          <t>Föryngringsavverkning</t>
        </is>
      </c>
      <c r="D1900" s="1" t="n">
        <v>44732</v>
      </c>
      <c r="E1900" s="1" t="n">
        <v>46319</v>
      </c>
      <c r="F1900" t="inlineStr">
        <is>
          <t>DALARNAS LÄN</t>
        </is>
      </c>
      <c r="G1900" t="inlineStr">
        <is>
          <t>GAGNEF</t>
        </is>
      </c>
      <c r="I1900" t="n">
        <v>0.8</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21169-2022</t>
        </is>
      </c>
      <c r="B1901" t="inlineStr">
        <is>
          <t>avverkningsanmälan</t>
        </is>
      </c>
      <c r="C1901" t="inlineStr">
        <is>
          <t>Föryngringsavverkning</t>
        </is>
      </c>
      <c r="D1901" s="1" t="n">
        <v>44704</v>
      </c>
      <c r="E1901" s="1" t="n">
        <v>46319</v>
      </c>
      <c r="F1901" t="inlineStr">
        <is>
          <t>DALARNAS LÄN</t>
        </is>
      </c>
      <c r="G1901" t="inlineStr">
        <is>
          <t>FALUN</t>
        </is>
      </c>
      <c r="H1901" t="inlineStr">
        <is>
          <t>Bergvik skog väst AB</t>
        </is>
      </c>
      <c r="I1901" t="n">
        <v>0.6</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23344-2022</t>
        </is>
      </c>
      <c r="B1902" t="inlineStr">
        <is>
          <t>avverkningsanmälan</t>
        </is>
      </c>
      <c r="C1902" t="inlineStr">
        <is>
          <t>Föryngringsavverkning</t>
        </is>
      </c>
      <c r="D1902" s="1" t="n">
        <v>44720</v>
      </c>
      <c r="E1902" s="1" t="n">
        <v>46319</v>
      </c>
      <c r="F1902" t="inlineStr">
        <is>
          <t>DALARNAS LÄN</t>
        </is>
      </c>
      <c r="G1902" t="inlineStr">
        <is>
          <t>ORSA</t>
        </is>
      </c>
      <c r="I1902" t="n">
        <v>0.2</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23345-2022</t>
        </is>
      </c>
      <c r="B1903" t="inlineStr">
        <is>
          <t>avverkningsanmälan</t>
        </is>
      </c>
      <c r="C1903" t="inlineStr">
        <is>
          <t>Föryngringsavverkning</t>
        </is>
      </c>
      <c r="D1903" s="1" t="n">
        <v>44720</v>
      </c>
      <c r="E1903" s="1" t="n">
        <v>46319</v>
      </c>
      <c r="F1903" t="inlineStr">
        <is>
          <t>DALARNAS LÄN</t>
        </is>
      </c>
      <c r="G1903" t="inlineStr">
        <is>
          <t>LUDVIKA</t>
        </is>
      </c>
      <c r="I1903" t="n">
        <v>0.5</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28403-2022</t>
        </is>
      </c>
      <c r="B1904" t="inlineStr">
        <is>
          <t>avverkningsanmälan</t>
        </is>
      </c>
      <c r="C1904" t="inlineStr">
        <is>
          <t>Föryngringsavverkning</t>
        </is>
      </c>
      <c r="D1904" s="1" t="n">
        <v>44747</v>
      </c>
      <c r="E1904" s="1" t="n">
        <v>46319</v>
      </c>
      <c r="F1904" t="inlineStr">
        <is>
          <t>DALARNAS LÄN</t>
        </is>
      </c>
      <c r="G1904" t="inlineStr">
        <is>
          <t>AVESTA</t>
        </is>
      </c>
      <c r="I1904" t="n">
        <v>6.3</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44142-2022</t>
        </is>
      </c>
      <c r="B1905" t="inlineStr">
        <is>
          <t>avverkningsanmälan</t>
        </is>
      </c>
      <c r="C1905" t="inlineStr">
        <is>
          <t>Föryngringsavverkning</t>
        </is>
      </c>
      <c r="D1905" s="1" t="n">
        <v>44839</v>
      </c>
      <c r="E1905" s="1" t="n">
        <v>46319</v>
      </c>
      <c r="F1905" t="inlineStr">
        <is>
          <t>DALARNAS LÄN</t>
        </is>
      </c>
      <c r="G1905" t="inlineStr">
        <is>
          <t>RÄTTVIK</t>
        </is>
      </c>
      <c r="H1905" t="inlineStr">
        <is>
          <t>Sveaskog</t>
        </is>
      </c>
      <c r="I1905" t="n">
        <v>2.4</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44148-2022</t>
        </is>
      </c>
      <c r="B1906" t="inlineStr">
        <is>
          <t>avverkningsanmälan</t>
        </is>
      </c>
      <c r="C1906" t="inlineStr">
        <is>
          <t>Föryngringsavverkning</t>
        </is>
      </c>
      <c r="D1906" s="1" t="n">
        <v>44839</v>
      </c>
      <c r="E1906" s="1" t="n">
        <v>46319</v>
      </c>
      <c r="F1906" t="inlineStr">
        <is>
          <t>DALARNAS LÄN</t>
        </is>
      </c>
      <c r="G1906" t="inlineStr">
        <is>
          <t>RÄTTVIK</t>
        </is>
      </c>
      <c r="H1906" t="inlineStr">
        <is>
          <t>Sveaskog</t>
        </is>
      </c>
      <c r="I1906" t="n">
        <v>1.8</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72010-2021</t>
        </is>
      </c>
      <c r="B1907" t="inlineStr">
        <is>
          <t>avverkningsanmälan</t>
        </is>
      </c>
      <c r="C1907" t="inlineStr">
        <is>
          <t>Föryngringsavverkning</t>
        </is>
      </c>
      <c r="D1907" s="1" t="n">
        <v>44544</v>
      </c>
      <c r="E1907" s="1" t="n">
        <v>46319</v>
      </c>
      <c r="F1907" t="inlineStr">
        <is>
          <t>DALARNAS LÄN</t>
        </is>
      </c>
      <c r="G1907" t="inlineStr">
        <is>
          <t>RÄTTVIK</t>
        </is>
      </c>
      <c r="I1907" t="n">
        <v>1.6</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34323-2022</t>
        </is>
      </c>
      <c r="B1908" t="inlineStr">
        <is>
          <t>avverkningsanmälan</t>
        </is>
      </c>
      <c r="C1908" t="inlineStr">
        <is>
          <t>Föryngringsavverkning</t>
        </is>
      </c>
      <c r="D1908" s="1" t="n">
        <v>44792</v>
      </c>
      <c r="E1908" s="1" t="n">
        <v>46319</v>
      </c>
      <c r="F1908" t="inlineStr">
        <is>
          <t>DALARNAS LÄN</t>
        </is>
      </c>
      <c r="G1908" t="inlineStr">
        <is>
          <t>BORLÄNGE</t>
        </is>
      </c>
      <c r="I1908" t="n">
        <v>0.6</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60912-2021</t>
        </is>
      </c>
      <c r="B1909" t="inlineStr">
        <is>
          <t>avverkningsanmälan</t>
        </is>
      </c>
      <c r="C1909" t="inlineStr">
        <is>
          <t>Föryngringsavverkning</t>
        </is>
      </c>
      <c r="D1909" s="1" t="n">
        <v>44496</v>
      </c>
      <c r="E1909" s="1" t="n">
        <v>46319</v>
      </c>
      <c r="F1909" t="inlineStr">
        <is>
          <t>DALARNAS LÄN</t>
        </is>
      </c>
      <c r="G1909" t="inlineStr">
        <is>
          <t>SMEDJEBACKEN</t>
        </is>
      </c>
      <c r="I1909" t="n">
        <v>3</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36663-2022</t>
        </is>
      </c>
      <c r="B1910" t="inlineStr">
        <is>
          <t>avverkningsanmälan</t>
        </is>
      </c>
      <c r="C1910" t="inlineStr">
        <is>
          <t>Föryngringsavverkning</t>
        </is>
      </c>
      <c r="D1910" s="1" t="n">
        <v>44804</v>
      </c>
      <c r="E1910" s="1" t="n">
        <v>46319</v>
      </c>
      <c r="F1910" t="inlineStr">
        <is>
          <t>DALARNAS LÄN</t>
        </is>
      </c>
      <c r="G1910" t="inlineStr">
        <is>
          <t>SMEDJEBACKEN</t>
        </is>
      </c>
      <c r="I1910" t="n">
        <v>0.9</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36759-2022</t>
        </is>
      </c>
      <c r="B1911" t="inlineStr">
        <is>
          <t>avverkningsanmälan</t>
        </is>
      </c>
      <c r="C1911" t="inlineStr">
        <is>
          <t>Föryngringsavverkning</t>
        </is>
      </c>
      <c r="D1911" s="1" t="n">
        <v>44805</v>
      </c>
      <c r="E1911" s="1" t="n">
        <v>46319</v>
      </c>
      <c r="F1911" t="inlineStr">
        <is>
          <t>DALARNAS LÄN</t>
        </is>
      </c>
      <c r="G1911" t="inlineStr">
        <is>
          <t>BORLÄNGE</t>
        </is>
      </c>
      <c r="I1911" t="n">
        <v>0.7</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73899-2021</t>
        </is>
      </c>
      <c r="B1912" t="inlineStr">
        <is>
          <t>avverkningsanmälan</t>
        </is>
      </c>
      <c r="C1912" t="inlineStr">
        <is>
          <t>Föryngringsavverkning</t>
        </is>
      </c>
      <c r="D1912" s="1" t="n">
        <v>44552</v>
      </c>
      <c r="E1912" s="1" t="n">
        <v>46319</v>
      </c>
      <c r="F1912" t="inlineStr">
        <is>
          <t>DALARNAS LÄN</t>
        </is>
      </c>
      <c r="G1912" t="inlineStr">
        <is>
          <t>RÄTTVIK</t>
        </is>
      </c>
      <c r="I1912" t="n">
        <v>2.7</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35123-2022</t>
        </is>
      </c>
      <c r="B1913" t="inlineStr">
        <is>
          <t>avverkningsanmälan</t>
        </is>
      </c>
      <c r="C1913" t="inlineStr">
        <is>
          <t>Föryngringsavverkning</t>
        </is>
      </c>
      <c r="D1913" s="1" t="n">
        <v>44797</v>
      </c>
      <c r="E1913" s="1" t="n">
        <v>46319</v>
      </c>
      <c r="F1913" t="inlineStr">
        <is>
          <t>DALARNAS LÄN</t>
        </is>
      </c>
      <c r="G1913" t="inlineStr">
        <is>
          <t>RÄTTVIK</t>
        </is>
      </c>
      <c r="I1913" t="n">
        <v>0.4</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33929-2022</t>
        </is>
      </c>
      <c r="B1914" t="inlineStr">
        <is>
          <t>avverkningsanmälan</t>
        </is>
      </c>
      <c r="C1914" t="inlineStr">
        <is>
          <t>Föryngringsavverkning</t>
        </is>
      </c>
      <c r="D1914" s="1" t="n">
        <v>44790</v>
      </c>
      <c r="E1914" s="1" t="n">
        <v>46319</v>
      </c>
      <c r="F1914" t="inlineStr">
        <is>
          <t>DALARNAS LÄN</t>
        </is>
      </c>
      <c r="G1914" t="inlineStr">
        <is>
          <t>VANSBRO</t>
        </is>
      </c>
      <c r="H1914" t="inlineStr">
        <is>
          <t>Bergvik skog öst AB</t>
        </is>
      </c>
      <c r="I1914" t="n">
        <v>1.1</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32013-2022</t>
        </is>
      </c>
      <c r="B1915" t="inlineStr">
        <is>
          <t>avverkningsanmälan</t>
        </is>
      </c>
      <c r="C1915" t="inlineStr">
        <is>
          <t>Föryngringsavverkning</t>
        </is>
      </c>
      <c r="D1915" s="1" t="n">
        <v>44778</v>
      </c>
      <c r="E1915" s="1" t="n">
        <v>46319</v>
      </c>
      <c r="F1915" t="inlineStr">
        <is>
          <t>DALARNAS LÄN</t>
        </is>
      </c>
      <c r="G1915" t="inlineStr">
        <is>
          <t>SMEDJEBACKEN</t>
        </is>
      </c>
      <c r="I1915" t="n">
        <v>1.7</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32945-2022</t>
        </is>
      </c>
      <c r="B1916" t="inlineStr">
        <is>
          <t>avverkningsanmälan</t>
        </is>
      </c>
      <c r="C1916" t="inlineStr">
        <is>
          <t>Föryngringsavverkning</t>
        </is>
      </c>
      <c r="D1916" s="1" t="n">
        <v>44784</v>
      </c>
      <c r="E1916" s="1" t="n">
        <v>46319</v>
      </c>
      <c r="F1916" t="inlineStr">
        <is>
          <t>DALARNAS LÄN</t>
        </is>
      </c>
      <c r="G1916" t="inlineStr">
        <is>
          <t>SMEDJEBACKEN</t>
        </is>
      </c>
      <c r="H1916" t="inlineStr">
        <is>
          <t>Sveaskog</t>
        </is>
      </c>
      <c r="I1916" t="n">
        <v>1.7</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74427-2021</t>
        </is>
      </c>
      <c r="B1917" t="inlineStr">
        <is>
          <t>avverkningsanmälan</t>
        </is>
      </c>
      <c r="C1917" t="inlineStr">
        <is>
          <t>Föryngringsavverkning</t>
        </is>
      </c>
      <c r="D1917" s="1" t="n">
        <v>44560</v>
      </c>
      <c r="E1917" s="1" t="n">
        <v>46319</v>
      </c>
      <c r="F1917" t="inlineStr">
        <is>
          <t>DALARNAS LÄN</t>
        </is>
      </c>
      <c r="G1917" t="inlineStr">
        <is>
          <t>LUDVIKA</t>
        </is>
      </c>
      <c r="H1917" t="inlineStr">
        <is>
          <t>Kommuner</t>
        </is>
      </c>
      <c r="I1917" t="n">
        <v>0.8</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50219-2022</t>
        </is>
      </c>
      <c r="B1918" t="inlineStr">
        <is>
          <t>avverkningsanmälan</t>
        </is>
      </c>
      <c r="C1918" t="inlineStr">
        <is>
          <t>Föryngringsavverkning</t>
        </is>
      </c>
      <c r="D1918" s="1" t="n">
        <v>44865</v>
      </c>
      <c r="E1918" s="1" t="n">
        <v>46319</v>
      </c>
      <c r="F1918" t="inlineStr">
        <is>
          <t>DALARNAS LÄN</t>
        </is>
      </c>
      <c r="G1918" t="inlineStr">
        <is>
          <t>LEKSAND</t>
        </is>
      </c>
      <c r="H1918" t="inlineStr">
        <is>
          <t>Bergvik skog väst AB</t>
        </is>
      </c>
      <c r="I1918" t="n">
        <v>0.8</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72518-2021</t>
        </is>
      </c>
      <c r="B1919" t="inlineStr">
        <is>
          <t>avverkningsanmälan</t>
        </is>
      </c>
      <c r="C1919" t="inlineStr">
        <is>
          <t>Föryngringsavverkning</t>
        </is>
      </c>
      <c r="D1919" s="1" t="n">
        <v>44546</v>
      </c>
      <c r="E1919" s="1" t="n">
        <v>46319</v>
      </c>
      <c r="F1919" t="inlineStr">
        <is>
          <t>DALARNAS LÄN</t>
        </is>
      </c>
      <c r="G1919" t="inlineStr">
        <is>
          <t>SÄTER</t>
        </is>
      </c>
      <c r="I1919" t="n">
        <v>3.4</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11410-2022</t>
        </is>
      </c>
      <c r="B1920" t="inlineStr">
        <is>
          <t>avverkningsanmälan</t>
        </is>
      </c>
      <c r="C1920" t="inlineStr">
        <is>
          <t>Avverkning för annat ändamål</t>
        </is>
      </c>
      <c r="D1920" s="1" t="n">
        <v>44630</v>
      </c>
      <c r="E1920" s="1" t="n">
        <v>46319</v>
      </c>
      <c r="F1920" t="inlineStr">
        <is>
          <t>DALARNAS LÄN</t>
        </is>
      </c>
      <c r="G1920" t="inlineStr">
        <is>
          <t>SMEDJEBACKEN</t>
        </is>
      </c>
      <c r="I1920" t="n">
        <v>0.2</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37887-2022</t>
        </is>
      </c>
      <c r="B1921" t="inlineStr">
        <is>
          <t>avverkningsanmälan</t>
        </is>
      </c>
      <c r="C1921" t="inlineStr">
        <is>
          <t>Avverkning för annat ändamål</t>
        </is>
      </c>
      <c r="D1921" s="1" t="n">
        <v>44811</v>
      </c>
      <c r="E1921" s="1" t="n">
        <v>46319</v>
      </c>
      <c r="F1921" t="inlineStr">
        <is>
          <t>DALARNAS LÄN</t>
        </is>
      </c>
      <c r="G1921" t="inlineStr">
        <is>
          <t>MALUNG-SÄLEN</t>
        </is>
      </c>
      <c r="I1921" t="n">
        <v>1</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74333-2021</t>
        </is>
      </c>
      <c r="B1922" t="inlineStr">
        <is>
          <t>avverkningsanmälan</t>
        </is>
      </c>
      <c r="C1922" t="inlineStr">
        <is>
          <t>Föryngringsavverkning</t>
        </is>
      </c>
      <c r="D1922" s="1" t="n">
        <v>44559</v>
      </c>
      <c r="E1922" s="1" t="n">
        <v>46319</v>
      </c>
      <c r="F1922" t="inlineStr">
        <is>
          <t>DALARNAS LÄN</t>
        </is>
      </c>
      <c r="G1922" t="inlineStr">
        <is>
          <t>RÄTTVIK</t>
        </is>
      </c>
      <c r="I1922" t="n">
        <v>2.1</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51864-2022</t>
        </is>
      </c>
      <c r="B1923" t="inlineStr">
        <is>
          <t>avverkningsanmälan</t>
        </is>
      </c>
      <c r="C1923" t="inlineStr">
        <is>
          <t>Föryngringsavverkning</t>
        </is>
      </c>
      <c r="D1923" s="1" t="n">
        <v>44872</v>
      </c>
      <c r="E1923" s="1" t="n">
        <v>46319</v>
      </c>
      <c r="F1923" t="inlineStr">
        <is>
          <t>DALARNAS LÄN</t>
        </is>
      </c>
      <c r="G1923" t="inlineStr">
        <is>
          <t>ORSA</t>
        </is>
      </c>
      <c r="I1923" t="n">
        <v>0.4</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15145-2022</t>
        </is>
      </c>
      <c r="B1924" t="inlineStr">
        <is>
          <t>avverkningsanmälan</t>
        </is>
      </c>
      <c r="C1924" t="inlineStr">
        <is>
          <t>Föryngringsavverkning</t>
        </is>
      </c>
      <c r="D1924" s="1" t="n">
        <v>44658</v>
      </c>
      <c r="E1924" s="1" t="n">
        <v>46319</v>
      </c>
      <c r="F1924" t="inlineStr">
        <is>
          <t>DALARNAS LÄN</t>
        </is>
      </c>
      <c r="G1924" t="inlineStr">
        <is>
          <t>LUDVIKA</t>
        </is>
      </c>
      <c r="I1924" t="n">
        <v>3.7</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36243-2022</t>
        </is>
      </c>
      <c r="B1925" t="inlineStr">
        <is>
          <t>avverkningsanmälan</t>
        </is>
      </c>
      <c r="C1925" t="inlineStr">
        <is>
          <t>Föryngringsavverkning</t>
        </is>
      </c>
      <c r="D1925" s="1" t="n">
        <v>44803</v>
      </c>
      <c r="E1925" s="1" t="n">
        <v>46319</v>
      </c>
      <c r="F1925" t="inlineStr">
        <is>
          <t>DALARNAS LÄN</t>
        </is>
      </c>
      <c r="G1925" t="inlineStr">
        <is>
          <t>SMEDJEBACKEN</t>
        </is>
      </c>
      <c r="I1925" t="n">
        <v>1.7</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41796-2022</t>
        </is>
      </c>
      <c r="B1926" t="inlineStr">
        <is>
          <t>avverkningsanmälan</t>
        </is>
      </c>
      <c r="C1926" t="inlineStr">
        <is>
          <t>Föryngringsavverkning</t>
        </is>
      </c>
      <c r="D1926" s="1" t="n">
        <v>44827</v>
      </c>
      <c r="E1926" s="1" t="n">
        <v>46319</v>
      </c>
      <c r="F1926" t="inlineStr">
        <is>
          <t>DALARNAS LÄN</t>
        </is>
      </c>
      <c r="G1926" t="inlineStr">
        <is>
          <t>LUDVIKA</t>
        </is>
      </c>
      <c r="H1926" t="inlineStr">
        <is>
          <t>Bergvik skog väst AB</t>
        </is>
      </c>
      <c r="I1926" t="n">
        <v>2.6</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22640-2022</t>
        </is>
      </c>
      <c r="B1927" t="inlineStr">
        <is>
          <t>avverkningsanmälan</t>
        </is>
      </c>
      <c r="C1927" t="inlineStr">
        <is>
          <t>Föryngringsavverkning</t>
        </is>
      </c>
      <c r="D1927" s="1" t="n">
        <v>44714</v>
      </c>
      <c r="E1927" s="1" t="n">
        <v>46319</v>
      </c>
      <c r="F1927" t="inlineStr">
        <is>
          <t>DALARNAS LÄN</t>
        </is>
      </c>
      <c r="G1927" t="inlineStr">
        <is>
          <t>SMEDJEBACKEN</t>
        </is>
      </c>
      <c r="I1927" t="n">
        <v>11.5</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34317-2022</t>
        </is>
      </c>
      <c r="B1928" t="inlineStr">
        <is>
          <t>avverkningsanmälan</t>
        </is>
      </c>
      <c r="C1928" t="inlineStr">
        <is>
          <t>Föryngringsavverkning</t>
        </is>
      </c>
      <c r="D1928" s="1" t="n">
        <v>44792</v>
      </c>
      <c r="E1928" s="1" t="n">
        <v>46319</v>
      </c>
      <c r="F1928" t="inlineStr">
        <is>
          <t>DALARNAS LÄN</t>
        </is>
      </c>
      <c r="G1928" t="inlineStr">
        <is>
          <t>LEKSAND</t>
        </is>
      </c>
      <c r="I1928" t="n">
        <v>0.8</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34320-2022</t>
        </is>
      </c>
      <c r="B1929" t="inlineStr">
        <is>
          <t>avverkningsanmälan</t>
        </is>
      </c>
      <c r="C1929" t="inlineStr">
        <is>
          <t>Föryngringsavverkning</t>
        </is>
      </c>
      <c r="D1929" s="1" t="n">
        <v>44792</v>
      </c>
      <c r="E1929" s="1" t="n">
        <v>46319</v>
      </c>
      <c r="F1929" t="inlineStr">
        <is>
          <t>DALARNAS LÄN</t>
        </is>
      </c>
      <c r="G1929" t="inlineStr">
        <is>
          <t>BORLÄNGE</t>
        </is>
      </c>
      <c r="I1929" t="n">
        <v>0.6</v>
      </c>
      <c r="J1929" t="n">
        <v>0</v>
      </c>
      <c r="K1929" t="n">
        <v>0</v>
      </c>
      <c r="L1929" t="n">
        <v>0</v>
      </c>
      <c r="M1929" t="n">
        <v>0</v>
      </c>
      <c r="N1929" t="n">
        <v>0</v>
      </c>
      <c r="O1929" t="n">
        <v>0</v>
      </c>
      <c r="P1929" t="n">
        <v>0</v>
      </c>
      <c r="Q1929" t="n">
        <v>0</v>
      </c>
      <c r="R1929" t="n">
        <v>0</v>
      </c>
      <c r="S1929" t="n">
        <v>0</v>
      </c>
      <c r="T1929" t="n">
        <v>0</v>
      </c>
      <c r="U1929" t="n">
        <v>0</v>
      </c>
      <c r="V1929" s="2" t="inlineStr"/>
    </row>
    <row r="1930" ht="15" customHeight="1">
      <c r="A1930" t="inlineStr">
        <is>
          <t>A 25602-2022</t>
        </is>
      </c>
      <c r="B1930" t="inlineStr">
        <is>
          <t>avverkningsanmälan</t>
        </is>
      </c>
      <c r="C1930" t="inlineStr">
        <is>
          <t>Föryngringsavverkning</t>
        </is>
      </c>
      <c r="D1930" s="1" t="n">
        <v>44732</v>
      </c>
      <c r="E1930" s="1" t="n">
        <v>46319</v>
      </c>
      <c r="F1930" t="inlineStr">
        <is>
          <t>DALARNAS LÄN</t>
        </is>
      </c>
      <c r="G1930" t="inlineStr">
        <is>
          <t>ÄLVDALEN</t>
        </is>
      </c>
      <c r="H1930" t="inlineStr">
        <is>
          <t>Bergvik skog väst AB</t>
        </is>
      </c>
      <c r="I1930" t="n">
        <v>2</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25624-2022</t>
        </is>
      </c>
      <c r="B1931" t="inlineStr">
        <is>
          <t>avverkningsanmälan</t>
        </is>
      </c>
      <c r="C1931" t="inlineStr">
        <is>
          <t>Föryngringsavverkning</t>
        </is>
      </c>
      <c r="D1931" s="1" t="n">
        <v>44732</v>
      </c>
      <c r="E1931" s="1" t="n">
        <v>46319</v>
      </c>
      <c r="F1931" t="inlineStr">
        <is>
          <t>DALARNAS LÄN</t>
        </is>
      </c>
      <c r="G1931" t="inlineStr">
        <is>
          <t>VANSBRO</t>
        </is>
      </c>
      <c r="H1931" t="inlineStr">
        <is>
          <t>Kyrkan</t>
        </is>
      </c>
      <c r="I1931" t="n">
        <v>1.3</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44300-2022</t>
        </is>
      </c>
      <c r="B1932" t="inlineStr">
        <is>
          <t>avverkningsanmälan</t>
        </is>
      </c>
      <c r="C1932" t="inlineStr">
        <is>
          <t>Föryngringsavverkning</t>
        </is>
      </c>
      <c r="D1932" s="1" t="n">
        <v>44839</v>
      </c>
      <c r="E1932" s="1" t="n">
        <v>46319</v>
      </c>
      <c r="F1932" t="inlineStr">
        <is>
          <t>DALARNAS LÄN</t>
        </is>
      </c>
      <c r="G1932" t="inlineStr">
        <is>
          <t>MALUNG-SÄLEN</t>
        </is>
      </c>
      <c r="I1932" t="n">
        <v>3.2</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44985-2022</t>
        </is>
      </c>
      <c r="B1933" t="inlineStr">
        <is>
          <t>avverkningsanmälan</t>
        </is>
      </c>
      <c r="C1933" t="inlineStr">
        <is>
          <t>Avverkning för annat ändamål</t>
        </is>
      </c>
      <c r="D1933" s="1" t="n">
        <v>44841</v>
      </c>
      <c r="E1933" s="1" t="n">
        <v>46319</v>
      </c>
      <c r="F1933" t="inlineStr">
        <is>
          <t>DALARNAS LÄN</t>
        </is>
      </c>
      <c r="G1933" t="inlineStr">
        <is>
          <t>RÄTTVIK</t>
        </is>
      </c>
      <c r="H1933" t="inlineStr">
        <is>
          <t>Bergvik skog väst AB</t>
        </is>
      </c>
      <c r="I1933" t="n">
        <v>1.2</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41709-2022</t>
        </is>
      </c>
      <c r="B1934" t="inlineStr">
        <is>
          <t>avverkningsanmälan</t>
        </is>
      </c>
      <c r="C1934" t="inlineStr">
        <is>
          <t>Föryngringsavverkning</t>
        </is>
      </c>
      <c r="D1934" s="1" t="n">
        <v>44827</v>
      </c>
      <c r="E1934" s="1" t="n">
        <v>46319</v>
      </c>
      <c r="F1934" t="inlineStr">
        <is>
          <t>DALARNAS LÄN</t>
        </is>
      </c>
      <c r="G1934" t="inlineStr">
        <is>
          <t>VANSBRO</t>
        </is>
      </c>
      <c r="H1934" t="inlineStr">
        <is>
          <t>Bergvik skog väst AB</t>
        </is>
      </c>
      <c r="I1934" t="n">
        <v>6.9</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69013-2021</t>
        </is>
      </c>
      <c r="B1935" t="inlineStr">
        <is>
          <t>avverkningsanmälan</t>
        </is>
      </c>
      <c r="C1935" t="inlineStr">
        <is>
          <t>Föryngringsavverkning</t>
        </is>
      </c>
      <c r="D1935" s="1" t="n">
        <v>44530</v>
      </c>
      <c r="E1935" s="1" t="n">
        <v>46319</v>
      </c>
      <c r="F1935" t="inlineStr">
        <is>
          <t>DALARNAS LÄN</t>
        </is>
      </c>
      <c r="G1935" t="inlineStr">
        <is>
          <t>FALUN</t>
        </is>
      </c>
      <c r="I1935" t="n">
        <v>0.6</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4551-2022</t>
        </is>
      </c>
      <c r="B1936" t="inlineStr">
        <is>
          <t>avverkningsanmälan</t>
        </is>
      </c>
      <c r="C1936" t="inlineStr">
        <is>
          <t>Föryngringsavverkning</t>
        </is>
      </c>
      <c r="D1936" s="1" t="n">
        <v>44590</v>
      </c>
      <c r="E1936" s="1" t="n">
        <v>46319</v>
      </c>
      <c r="F1936" t="inlineStr">
        <is>
          <t>DALARNAS LÄN</t>
        </is>
      </c>
      <c r="G1936" t="inlineStr">
        <is>
          <t>LUDVIKA</t>
        </is>
      </c>
      <c r="I1936" t="n">
        <v>1.1</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28895-2022</t>
        </is>
      </c>
      <c r="B1937" t="inlineStr">
        <is>
          <t>avverkningsanmälan</t>
        </is>
      </c>
      <c r="C1937" t="inlineStr">
        <is>
          <t>Föryngringsavverkning</t>
        </is>
      </c>
      <c r="D1937" s="1" t="n">
        <v>44749</v>
      </c>
      <c r="E1937" s="1" t="n">
        <v>46319</v>
      </c>
      <c r="F1937" t="inlineStr">
        <is>
          <t>DALARNAS LÄN</t>
        </is>
      </c>
      <c r="G1937" t="inlineStr">
        <is>
          <t>MALUNG-SÄLEN</t>
        </is>
      </c>
      <c r="H1937" t="inlineStr">
        <is>
          <t>Bergvik skog öst AB</t>
        </is>
      </c>
      <c r="I1937" t="n">
        <v>0.7</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28914-2022</t>
        </is>
      </c>
      <c r="B1938" t="inlineStr">
        <is>
          <t>avverkningsanmälan</t>
        </is>
      </c>
      <c r="C1938" t="inlineStr">
        <is>
          <t>Föryngringsavverkning</t>
        </is>
      </c>
      <c r="D1938" s="1" t="n">
        <v>44749</v>
      </c>
      <c r="E1938" s="1" t="n">
        <v>46319</v>
      </c>
      <c r="F1938" t="inlineStr">
        <is>
          <t>DALARNAS LÄN</t>
        </is>
      </c>
      <c r="G1938" t="inlineStr">
        <is>
          <t>MORA</t>
        </is>
      </c>
      <c r="H1938" t="inlineStr">
        <is>
          <t>Bergvik skog öst AB</t>
        </is>
      </c>
      <c r="I1938" t="n">
        <v>0.6</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18870-2022</t>
        </is>
      </c>
      <c r="B1939" t="inlineStr">
        <is>
          <t>avverkningsanmälan</t>
        </is>
      </c>
      <c r="C1939" t="inlineStr">
        <is>
          <t>Föryngringsavverkning</t>
        </is>
      </c>
      <c r="D1939" s="1" t="n">
        <v>44690</v>
      </c>
      <c r="E1939" s="1" t="n">
        <v>46319</v>
      </c>
      <c r="F1939" t="inlineStr">
        <is>
          <t>DALARNAS LÄN</t>
        </is>
      </c>
      <c r="G1939" t="inlineStr">
        <is>
          <t>LEKSAND</t>
        </is>
      </c>
      <c r="H1939" t="inlineStr">
        <is>
          <t>Övriga Aktiebolag</t>
        </is>
      </c>
      <c r="I1939" t="n">
        <v>3.1</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72154-2021</t>
        </is>
      </c>
      <c r="B1940" t="inlineStr">
        <is>
          <t>avverkningsanmälan</t>
        </is>
      </c>
      <c r="C1940" t="inlineStr">
        <is>
          <t>Föryngringsavverkning</t>
        </is>
      </c>
      <c r="D1940" s="1" t="n">
        <v>44544</v>
      </c>
      <c r="E1940" s="1" t="n">
        <v>46319</v>
      </c>
      <c r="F1940" t="inlineStr">
        <is>
          <t>DALARNAS LÄN</t>
        </is>
      </c>
      <c r="G1940" t="inlineStr">
        <is>
          <t>MALUNG-SÄLEN</t>
        </is>
      </c>
      <c r="I1940" t="n">
        <v>0.3</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28105-2022</t>
        </is>
      </c>
      <c r="B1941" t="inlineStr">
        <is>
          <t>avverkningsanmälan</t>
        </is>
      </c>
      <c r="C1941" t="inlineStr">
        <is>
          <t>Avverkning för annat ändamål</t>
        </is>
      </c>
      <c r="D1941" s="1" t="n">
        <v>44746</v>
      </c>
      <c r="E1941" s="1" t="n">
        <v>46319</v>
      </c>
      <c r="F1941" t="inlineStr">
        <is>
          <t>DALARNAS LÄN</t>
        </is>
      </c>
      <c r="G1941" t="inlineStr">
        <is>
          <t>HEDEMORA</t>
        </is>
      </c>
      <c r="I1941" t="n">
        <v>0.8</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18140-2022</t>
        </is>
      </c>
      <c r="B1942" t="inlineStr">
        <is>
          <t>avverkningsanmälan</t>
        </is>
      </c>
      <c r="C1942" t="inlineStr">
        <is>
          <t>Föryngringsavverkning</t>
        </is>
      </c>
      <c r="D1942" s="1" t="n">
        <v>44684</v>
      </c>
      <c r="E1942" s="1" t="n">
        <v>46319</v>
      </c>
      <c r="F1942" t="inlineStr">
        <is>
          <t>DALARNAS LÄN</t>
        </is>
      </c>
      <c r="G1942" t="inlineStr">
        <is>
          <t>LEKSAND</t>
        </is>
      </c>
      <c r="H1942" t="inlineStr">
        <is>
          <t>Övriga Aktiebolag</t>
        </is>
      </c>
      <c r="I1942" t="n">
        <v>0.7</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21466-2022</t>
        </is>
      </c>
      <c r="B1943" t="inlineStr">
        <is>
          <t>avverkningsanmälan</t>
        </is>
      </c>
      <c r="C1943" t="inlineStr">
        <is>
          <t>Föryngringsavverkning</t>
        </is>
      </c>
      <c r="D1943" s="1" t="n">
        <v>44706</v>
      </c>
      <c r="E1943" s="1" t="n">
        <v>46319</v>
      </c>
      <c r="F1943" t="inlineStr">
        <is>
          <t>DALARNAS LÄN</t>
        </is>
      </c>
      <c r="G1943" t="inlineStr">
        <is>
          <t>LUDVIKA</t>
        </is>
      </c>
      <c r="H1943" t="inlineStr">
        <is>
          <t>Bergvik skog väst AB</t>
        </is>
      </c>
      <c r="I1943" t="n">
        <v>1.9</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28657-2022</t>
        </is>
      </c>
      <c r="B1944" t="inlineStr">
        <is>
          <t>avverkningsanmälan</t>
        </is>
      </c>
      <c r="C1944" t="inlineStr">
        <is>
          <t>Föryngringsavverkning</t>
        </is>
      </c>
      <c r="D1944" s="1" t="n">
        <v>44748</v>
      </c>
      <c r="E1944" s="1" t="n">
        <v>46319</v>
      </c>
      <c r="F1944" t="inlineStr">
        <is>
          <t>DALARNAS LÄN</t>
        </is>
      </c>
      <c r="G1944" t="inlineStr">
        <is>
          <t>VANSBRO</t>
        </is>
      </c>
      <c r="I1944" t="n">
        <v>0.9</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17461-2022</t>
        </is>
      </c>
      <c r="B1945" t="inlineStr">
        <is>
          <t>avverkningsanmälan</t>
        </is>
      </c>
      <c r="C1945" t="inlineStr">
        <is>
          <t>Föryngringsavverkning</t>
        </is>
      </c>
      <c r="D1945" s="1" t="n">
        <v>44679</v>
      </c>
      <c r="E1945" s="1" t="n">
        <v>46319</v>
      </c>
      <c r="F1945" t="inlineStr">
        <is>
          <t>DALARNAS LÄN</t>
        </is>
      </c>
      <c r="G1945" t="inlineStr">
        <is>
          <t>RÄTTVIK</t>
        </is>
      </c>
      <c r="I1945" t="n">
        <v>0.7</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17462-2022</t>
        </is>
      </c>
      <c r="B1946" t="inlineStr">
        <is>
          <t>avverkningsanmälan</t>
        </is>
      </c>
      <c r="C1946" t="inlineStr">
        <is>
          <t>Föryngringsavverkning</t>
        </is>
      </c>
      <c r="D1946" s="1" t="n">
        <v>44679</v>
      </c>
      <c r="E1946" s="1" t="n">
        <v>46319</v>
      </c>
      <c r="F1946" t="inlineStr">
        <is>
          <t>DALARNAS LÄN</t>
        </is>
      </c>
      <c r="G1946" t="inlineStr">
        <is>
          <t>RÄTTVIK</t>
        </is>
      </c>
      <c r="I1946" t="n">
        <v>0.5</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2390-2022</t>
        </is>
      </c>
      <c r="B1947" t="inlineStr">
        <is>
          <t>avverkningsanmälan</t>
        </is>
      </c>
      <c r="C1947" t="inlineStr">
        <is>
          <t>Föryngringsavverkning</t>
        </is>
      </c>
      <c r="D1947" s="1" t="n">
        <v>44579</v>
      </c>
      <c r="E1947" s="1" t="n">
        <v>46319</v>
      </c>
      <c r="F1947" t="inlineStr">
        <is>
          <t>DALARNAS LÄN</t>
        </is>
      </c>
      <c r="G1947" t="inlineStr">
        <is>
          <t>RÄTTVIK</t>
        </is>
      </c>
      <c r="I1947" t="n">
        <v>2.4</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14535-2022</t>
        </is>
      </c>
      <c r="B1948" t="inlineStr">
        <is>
          <t>avverkningsanmälan</t>
        </is>
      </c>
      <c r="C1948" t="inlineStr">
        <is>
          <t>Föryngringsavverkning</t>
        </is>
      </c>
      <c r="D1948" s="1" t="n">
        <v>44655</v>
      </c>
      <c r="E1948" s="1" t="n">
        <v>46319</v>
      </c>
      <c r="F1948" t="inlineStr">
        <is>
          <t>DALARNAS LÄN</t>
        </is>
      </c>
      <c r="G1948" t="inlineStr">
        <is>
          <t>ORSA</t>
        </is>
      </c>
      <c r="I1948" t="n">
        <v>0.4</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33108-2022</t>
        </is>
      </c>
      <c r="B1949" t="inlineStr">
        <is>
          <t>avverkningsanmälan</t>
        </is>
      </c>
      <c r="C1949" t="inlineStr">
        <is>
          <t>Avverkning för annat ändamål</t>
        </is>
      </c>
      <c r="D1949" s="1" t="n">
        <v>44785</v>
      </c>
      <c r="E1949" s="1" t="n">
        <v>46319</v>
      </c>
      <c r="F1949" t="inlineStr">
        <is>
          <t>DALARNAS LÄN</t>
        </is>
      </c>
      <c r="G1949" t="inlineStr">
        <is>
          <t>LUDVIKA</t>
        </is>
      </c>
      <c r="H1949" t="inlineStr">
        <is>
          <t>Bergvik skog väst AB</t>
        </is>
      </c>
      <c r="I1949" t="n">
        <v>0.6</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9464-2022</t>
        </is>
      </c>
      <c r="B1950" t="inlineStr">
        <is>
          <t>avverkningsanmälan</t>
        </is>
      </c>
      <c r="C1950" t="inlineStr">
        <is>
          <t>Föryngringsavverkning</t>
        </is>
      </c>
      <c r="D1950" s="1" t="n">
        <v>44616</v>
      </c>
      <c r="E1950" s="1" t="n">
        <v>46319</v>
      </c>
      <c r="F1950" t="inlineStr">
        <is>
          <t>DALARNAS LÄN</t>
        </is>
      </c>
      <c r="G1950" t="inlineStr">
        <is>
          <t>LUDVIKA</t>
        </is>
      </c>
      <c r="I1950" t="n">
        <v>4.1</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25697-2022</t>
        </is>
      </c>
      <c r="B1951" t="inlineStr">
        <is>
          <t>avverkningsanmälan</t>
        </is>
      </c>
      <c r="C1951" t="inlineStr">
        <is>
          <t>Föryngringsavverkning</t>
        </is>
      </c>
      <c r="D1951" s="1" t="n">
        <v>44732</v>
      </c>
      <c r="E1951" s="1" t="n">
        <v>46319</v>
      </c>
      <c r="F1951" t="inlineStr">
        <is>
          <t>DALARNAS LÄN</t>
        </is>
      </c>
      <c r="G1951" t="inlineStr">
        <is>
          <t>RÄTTVIK</t>
        </is>
      </c>
      <c r="I1951" t="n">
        <v>8.9</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24253-2022</t>
        </is>
      </c>
      <c r="B1952" t="inlineStr">
        <is>
          <t>avverkningsanmälan</t>
        </is>
      </c>
      <c r="C1952" t="inlineStr">
        <is>
          <t>Föryngringsavverkning</t>
        </is>
      </c>
      <c r="D1952" s="1" t="n">
        <v>44725</v>
      </c>
      <c r="E1952" s="1" t="n">
        <v>46319</v>
      </c>
      <c r="F1952" t="inlineStr">
        <is>
          <t>DALARNAS LÄN</t>
        </is>
      </c>
      <c r="G1952" t="inlineStr">
        <is>
          <t>SÄTER</t>
        </is>
      </c>
      <c r="I1952" t="n">
        <v>0.8</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20221-2022</t>
        </is>
      </c>
      <c r="B1953" t="inlineStr">
        <is>
          <t>avverkningsanmälan</t>
        </is>
      </c>
      <c r="C1953" t="inlineStr">
        <is>
          <t>Föryngringsavverkning</t>
        </is>
      </c>
      <c r="D1953" s="1" t="n">
        <v>44698</v>
      </c>
      <c r="E1953" s="1" t="n">
        <v>46319</v>
      </c>
      <c r="F1953" t="inlineStr">
        <is>
          <t>DALARNAS LÄN</t>
        </is>
      </c>
      <c r="G1953" t="inlineStr">
        <is>
          <t>GAGNEF</t>
        </is>
      </c>
      <c r="I1953" t="n">
        <v>1.9</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48481-2022</t>
        </is>
      </c>
      <c r="B1954" t="inlineStr">
        <is>
          <t>avverkningsanmälan</t>
        </is>
      </c>
      <c r="C1954" t="inlineStr">
        <is>
          <t>Föryngringsavverkning</t>
        </is>
      </c>
      <c r="D1954" s="1" t="n">
        <v>44858</v>
      </c>
      <c r="E1954" s="1" t="n">
        <v>46319</v>
      </c>
      <c r="F1954" t="inlineStr">
        <is>
          <t>DALARNAS LÄN</t>
        </is>
      </c>
      <c r="G1954" t="inlineStr">
        <is>
          <t>MALUNG-SÄLEN</t>
        </is>
      </c>
      <c r="I1954" t="n">
        <v>0.9</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44035-2022</t>
        </is>
      </c>
      <c r="B1955" t="inlineStr">
        <is>
          <t>avverkningsanmälan</t>
        </is>
      </c>
      <c r="C1955" t="inlineStr">
        <is>
          <t>Föryngringsavverkning</t>
        </is>
      </c>
      <c r="D1955" s="1" t="n">
        <v>44838</v>
      </c>
      <c r="E1955" s="1" t="n">
        <v>46319</v>
      </c>
      <c r="F1955" t="inlineStr">
        <is>
          <t>DALARNAS LÄN</t>
        </is>
      </c>
      <c r="G1955" t="inlineStr">
        <is>
          <t>ORSA</t>
        </is>
      </c>
      <c r="I1955" t="n">
        <v>5.8</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60927-2021</t>
        </is>
      </c>
      <c r="B1956" t="inlineStr">
        <is>
          <t>avverkningsanmälan</t>
        </is>
      </c>
      <c r="C1956" t="inlineStr">
        <is>
          <t>Föryngringsavverkning</t>
        </is>
      </c>
      <c r="D1956" s="1" t="n">
        <v>44496</v>
      </c>
      <c r="E1956" s="1" t="n">
        <v>46319</v>
      </c>
      <c r="F1956" t="inlineStr">
        <is>
          <t>DALARNAS LÄN</t>
        </is>
      </c>
      <c r="G1956" t="inlineStr">
        <is>
          <t>SMEDJEBACKEN</t>
        </is>
      </c>
      <c r="I1956" t="n">
        <v>1.3</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69780-2021</t>
        </is>
      </c>
      <c r="B1957" t="inlineStr">
        <is>
          <t>avverkningsanmälan</t>
        </is>
      </c>
      <c r="C1957" t="inlineStr">
        <is>
          <t>Avverkning för annat ändamål</t>
        </is>
      </c>
      <c r="D1957" s="1" t="n">
        <v>44532</v>
      </c>
      <c r="E1957" s="1" t="n">
        <v>46319</v>
      </c>
      <c r="F1957" t="inlineStr">
        <is>
          <t>DALARNAS LÄN</t>
        </is>
      </c>
      <c r="G1957" t="inlineStr">
        <is>
          <t>FALUN</t>
        </is>
      </c>
      <c r="I1957" t="n">
        <v>0.2</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72155-2021</t>
        </is>
      </c>
      <c r="B1958" t="inlineStr">
        <is>
          <t>avverkningsanmälan</t>
        </is>
      </c>
      <c r="C1958" t="inlineStr">
        <is>
          <t>Föryngringsavverkning</t>
        </is>
      </c>
      <c r="D1958" s="1" t="n">
        <v>44543</v>
      </c>
      <c r="E1958" s="1" t="n">
        <v>46319</v>
      </c>
      <c r="F1958" t="inlineStr">
        <is>
          <t>DALARNAS LÄN</t>
        </is>
      </c>
      <c r="G1958" t="inlineStr">
        <is>
          <t>LEKSAND</t>
        </is>
      </c>
      <c r="I1958" t="n">
        <v>2.5</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20213-2022</t>
        </is>
      </c>
      <c r="B1959" t="inlineStr">
        <is>
          <t>avverkningsanmälan</t>
        </is>
      </c>
      <c r="C1959" t="inlineStr">
        <is>
          <t>Föryngringsavverkning</t>
        </is>
      </c>
      <c r="D1959" s="1" t="n">
        <v>44698</v>
      </c>
      <c r="E1959" s="1" t="n">
        <v>46319</v>
      </c>
      <c r="F1959" t="inlineStr">
        <is>
          <t>DALARNAS LÄN</t>
        </is>
      </c>
      <c r="G1959" t="inlineStr">
        <is>
          <t>GAGNEF</t>
        </is>
      </c>
      <c r="I1959" t="n">
        <v>0.6</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49275-2022</t>
        </is>
      </c>
      <c r="B1960" t="inlineStr">
        <is>
          <t>avverkningsanmälan</t>
        </is>
      </c>
      <c r="C1960" t="inlineStr">
        <is>
          <t>Avverkning för annat ändamål</t>
        </is>
      </c>
      <c r="D1960" s="1" t="n">
        <v>44861</v>
      </c>
      <c r="E1960" s="1" t="n">
        <v>46319</v>
      </c>
      <c r="F1960" t="inlineStr">
        <is>
          <t>DALARNAS LÄN</t>
        </is>
      </c>
      <c r="G1960" t="inlineStr">
        <is>
          <t>SMEDJEBACKEN</t>
        </is>
      </c>
      <c r="H1960" t="inlineStr">
        <is>
          <t>Sveaskog</t>
        </is>
      </c>
      <c r="I1960" t="n">
        <v>0.6</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37881-2022</t>
        </is>
      </c>
      <c r="B1961" t="inlineStr">
        <is>
          <t>avverkningsanmälan</t>
        </is>
      </c>
      <c r="C1961" t="inlineStr">
        <is>
          <t>Föryngringsavverkning</t>
        </is>
      </c>
      <c r="D1961" s="1" t="n">
        <v>44811</v>
      </c>
      <c r="E1961" s="1" t="n">
        <v>46319</v>
      </c>
      <c r="F1961" t="inlineStr">
        <is>
          <t>DALARNAS LÄN</t>
        </is>
      </c>
      <c r="G1961" t="inlineStr">
        <is>
          <t>SMEDJEBACKEN</t>
        </is>
      </c>
      <c r="I1961" t="n">
        <v>1</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62389-2021</t>
        </is>
      </c>
      <c r="B1962" t="inlineStr">
        <is>
          <t>avverkningsanmälan</t>
        </is>
      </c>
      <c r="C1962" t="inlineStr">
        <is>
          <t>Föryngringsavverkning</t>
        </is>
      </c>
      <c r="D1962" s="1" t="n">
        <v>44503</v>
      </c>
      <c r="E1962" s="1" t="n">
        <v>46319</v>
      </c>
      <c r="F1962" t="inlineStr">
        <is>
          <t>DALARNAS LÄN</t>
        </is>
      </c>
      <c r="G1962" t="inlineStr">
        <is>
          <t>SÄTER</t>
        </is>
      </c>
      <c r="H1962" t="inlineStr">
        <is>
          <t>Bergvik skog väst AB</t>
        </is>
      </c>
      <c r="I1962" t="n">
        <v>1.6</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61400-2021</t>
        </is>
      </c>
      <c r="B1963" t="inlineStr">
        <is>
          <t>avverkningsanmälan</t>
        </is>
      </c>
      <c r="C1963" t="inlineStr">
        <is>
          <t>Föryngringsavverkning</t>
        </is>
      </c>
      <c r="D1963" s="1" t="n">
        <v>44500</v>
      </c>
      <c r="E1963" s="1" t="n">
        <v>46319</v>
      </c>
      <c r="F1963" t="inlineStr">
        <is>
          <t>DALARNAS LÄN</t>
        </is>
      </c>
      <c r="G1963" t="inlineStr">
        <is>
          <t>SÄTER</t>
        </is>
      </c>
      <c r="I1963" t="n">
        <v>0.6</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72384-2021</t>
        </is>
      </c>
      <c r="B1964" t="inlineStr">
        <is>
          <t>avverkningsanmälan</t>
        </is>
      </c>
      <c r="C1964" t="inlineStr">
        <is>
          <t>Föryngringsavverkning</t>
        </is>
      </c>
      <c r="D1964" s="1" t="n">
        <v>44545</v>
      </c>
      <c r="E1964" s="1" t="n">
        <v>46319</v>
      </c>
      <c r="F1964" t="inlineStr">
        <is>
          <t>DALARNAS LÄN</t>
        </is>
      </c>
      <c r="G1964" t="inlineStr">
        <is>
          <t>SMEDJEBACKEN</t>
        </is>
      </c>
      <c r="I1964" t="n">
        <v>13</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53290-2022</t>
        </is>
      </c>
      <c r="B1965" t="inlineStr">
        <is>
          <t>avverkningsanmälan</t>
        </is>
      </c>
      <c r="C1965" t="inlineStr">
        <is>
          <t>Föryngringsavverkning</t>
        </is>
      </c>
      <c r="D1965" s="1" t="n">
        <v>44876</v>
      </c>
      <c r="E1965" s="1" t="n">
        <v>46319</v>
      </c>
      <c r="F1965" t="inlineStr">
        <is>
          <t>DALARNAS LÄN</t>
        </is>
      </c>
      <c r="G1965" t="inlineStr">
        <is>
          <t>SMEDJEBACKEN</t>
        </is>
      </c>
      <c r="I1965" t="n">
        <v>1.6</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61934-2021</t>
        </is>
      </c>
      <c r="B1966" t="inlineStr">
        <is>
          <t>avverkningsanmälan</t>
        </is>
      </c>
      <c r="C1966" t="inlineStr">
        <is>
          <t>Föryngringsavverkning</t>
        </is>
      </c>
      <c r="D1966" s="1" t="n">
        <v>44502</v>
      </c>
      <c r="E1966" s="1" t="n">
        <v>46319</v>
      </c>
      <c r="F1966" t="inlineStr">
        <is>
          <t>DALARNAS LÄN</t>
        </is>
      </c>
      <c r="G1966" t="inlineStr">
        <is>
          <t>SÄTER</t>
        </is>
      </c>
      <c r="H1966" t="inlineStr">
        <is>
          <t>Bergvik skog väst AB</t>
        </is>
      </c>
      <c r="I1966" t="n">
        <v>5.2</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61962-2021</t>
        </is>
      </c>
      <c r="B1967" t="inlineStr">
        <is>
          <t>avverkningsanmälan</t>
        </is>
      </c>
      <c r="C1967" t="inlineStr">
        <is>
          <t>Avverkning för annat ändamål</t>
        </is>
      </c>
      <c r="D1967" s="1" t="n">
        <v>44501</v>
      </c>
      <c r="E1967" s="1" t="n">
        <v>46319</v>
      </c>
      <c r="F1967" t="inlineStr">
        <is>
          <t>DALARNAS LÄN</t>
        </is>
      </c>
      <c r="G1967" t="inlineStr">
        <is>
          <t>MALUNG-SÄLEN</t>
        </is>
      </c>
      <c r="H1967" t="inlineStr">
        <is>
          <t>Allmännings- och besparingsskogar</t>
        </is>
      </c>
      <c r="I1967" t="n">
        <v>1.5</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4488-2022</t>
        </is>
      </c>
      <c r="B1968" t="inlineStr">
        <is>
          <t>avverkningsanmälan</t>
        </is>
      </c>
      <c r="C1968" t="inlineStr">
        <is>
          <t>Föryngringsavverkning</t>
        </is>
      </c>
      <c r="D1968" s="1" t="n">
        <v>44589</v>
      </c>
      <c r="E1968" s="1" t="n">
        <v>46319</v>
      </c>
      <c r="F1968" t="inlineStr">
        <is>
          <t>DALARNAS LÄN</t>
        </is>
      </c>
      <c r="G1968" t="inlineStr">
        <is>
          <t>MORA</t>
        </is>
      </c>
      <c r="I1968" t="n">
        <v>1.1</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70544-2021</t>
        </is>
      </c>
      <c r="B1969" t="inlineStr">
        <is>
          <t>avverkningsanmälan</t>
        </is>
      </c>
      <c r="C1969" t="inlineStr">
        <is>
          <t>Föryngringsavverkning</t>
        </is>
      </c>
      <c r="D1969" s="1" t="n">
        <v>44537</v>
      </c>
      <c r="E1969" s="1" t="n">
        <v>46319</v>
      </c>
      <c r="F1969" t="inlineStr">
        <is>
          <t>DALARNAS LÄN</t>
        </is>
      </c>
      <c r="G1969" t="inlineStr">
        <is>
          <t>RÄTTVIK</t>
        </is>
      </c>
      <c r="I1969" t="n">
        <v>1.2</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64768-2021</t>
        </is>
      </c>
      <c r="B1970" t="inlineStr">
        <is>
          <t>avverkningsanmälan</t>
        </is>
      </c>
      <c r="C1970" t="inlineStr">
        <is>
          <t>Föryngringsavverkning</t>
        </is>
      </c>
      <c r="D1970" s="1" t="n">
        <v>44512</v>
      </c>
      <c r="E1970" s="1" t="n">
        <v>46319</v>
      </c>
      <c r="F1970" t="inlineStr">
        <is>
          <t>DALARNAS LÄN</t>
        </is>
      </c>
      <c r="G1970" t="inlineStr">
        <is>
          <t>AVESTA</t>
        </is>
      </c>
      <c r="I1970" t="n">
        <v>0.9</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1700-2022</t>
        </is>
      </c>
      <c r="B1971" t="inlineStr">
        <is>
          <t>avverkningsanmälan</t>
        </is>
      </c>
      <c r="C1971" t="inlineStr">
        <is>
          <t>Föryngringsavverkning</t>
        </is>
      </c>
      <c r="D1971" s="1" t="n">
        <v>44574</v>
      </c>
      <c r="E1971" s="1" t="n">
        <v>46319</v>
      </c>
      <c r="F1971" t="inlineStr">
        <is>
          <t>DALARNAS LÄN</t>
        </is>
      </c>
      <c r="G1971" t="inlineStr">
        <is>
          <t>SMEDJEBACKEN</t>
        </is>
      </c>
      <c r="I1971" t="n">
        <v>1</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6466-2022</t>
        </is>
      </c>
      <c r="B1972" t="inlineStr">
        <is>
          <t>avverkningsanmälan</t>
        </is>
      </c>
      <c r="C1972" t="inlineStr">
        <is>
          <t>Föryngringsavverkning</t>
        </is>
      </c>
      <c r="D1972" s="1" t="n">
        <v>44601</v>
      </c>
      <c r="E1972" s="1" t="n">
        <v>46319</v>
      </c>
      <c r="F1972" t="inlineStr">
        <is>
          <t>DALARNAS LÄN</t>
        </is>
      </c>
      <c r="G1972" t="inlineStr">
        <is>
          <t>SÄTER</t>
        </is>
      </c>
      <c r="I1972" t="n">
        <v>0.5</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71702-2021</t>
        </is>
      </c>
      <c r="B1973" t="inlineStr">
        <is>
          <t>avverkningsanmälan</t>
        </is>
      </c>
      <c r="C1973" t="inlineStr">
        <is>
          <t>Föryngringsavverkning</t>
        </is>
      </c>
      <c r="D1973" s="1" t="n">
        <v>44543</v>
      </c>
      <c r="E1973" s="1" t="n">
        <v>46319</v>
      </c>
      <c r="F1973" t="inlineStr">
        <is>
          <t>DALARNAS LÄN</t>
        </is>
      </c>
      <c r="G1973" t="inlineStr">
        <is>
          <t>MORA</t>
        </is>
      </c>
      <c r="I1973" t="n">
        <v>0.5</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66012-2021</t>
        </is>
      </c>
      <c r="B1974" t="inlineStr">
        <is>
          <t>avverkningsanmälan</t>
        </is>
      </c>
      <c r="C1974" t="inlineStr">
        <is>
          <t>Föryngringsavverkning</t>
        </is>
      </c>
      <c r="D1974" s="1" t="n">
        <v>44517</v>
      </c>
      <c r="E1974" s="1" t="n">
        <v>46319</v>
      </c>
      <c r="F1974" t="inlineStr">
        <is>
          <t>DALARNAS LÄN</t>
        </is>
      </c>
      <c r="G1974" t="inlineStr">
        <is>
          <t>FALUN</t>
        </is>
      </c>
      <c r="I1974" t="n">
        <v>1.7</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71282-2021</t>
        </is>
      </c>
      <c r="B1975" t="inlineStr">
        <is>
          <t>avverkningsanmälan</t>
        </is>
      </c>
      <c r="C1975" t="inlineStr">
        <is>
          <t>Föryngringsavverkning</t>
        </is>
      </c>
      <c r="D1975" s="1" t="n">
        <v>44539</v>
      </c>
      <c r="E1975" s="1" t="n">
        <v>46319</v>
      </c>
      <c r="F1975" t="inlineStr">
        <is>
          <t>DALARNAS LÄN</t>
        </is>
      </c>
      <c r="G1975" t="inlineStr">
        <is>
          <t>ÄLVDALEN</t>
        </is>
      </c>
      <c r="I1975" t="n">
        <v>1.3</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70252-2021</t>
        </is>
      </c>
      <c r="B1976" t="inlineStr">
        <is>
          <t>avverkningsanmälan</t>
        </is>
      </c>
      <c r="C1976" t="inlineStr">
        <is>
          <t>Föryngringsavverkning</t>
        </is>
      </c>
      <c r="D1976" s="1" t="n">
        <v>44536</v>
      </c>
      <c r="E1976" s="1" t="n">
        <v>46319</v>
      </c>
      <c r="F1976" t="inlineStr">
        <is>
          <t>DALARNAS LÄN</t>
        </is>
      </c>
      <c r="G1976" t="inlineStr">
        <is>
          <t>ÄLVDALEN</t>
        </is>
      </c>
      <c r="H1976" t="inlineStr">
        <is>
          <t>Sveaskog</t>
        </is>
      </c>
      <c r="I1976" t="n">
        <v>0.6</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70730-2021</t>
        </is>
      </c>
      <c r="B1977" t="inlineStr">
        <is>
          <t>avverkningsanmälan</t>
        </is>
      </c>
      <c r="C1977" t="inlineStr">
        <is>
          <t>Föryngringsavverkning</t>
        </is>
      </c>
      <c r="D1977" s="1" t="n">
        <v>44537</v>
      </c>
      <c r="E1977" s="1" t="n">
        <v>46319</v>
      </c>
      <c r="F1977" t="inlineStr">
        <is>
          <t>DALARNAS LÄN</t>
        </is>
      </c>
      <c r="G1977" t="inlineStr">
        <is>
          <t>RÄTTVIK</t>
        </is>
      </c>
      <c r="I1977" t="n">
        <v>2.2</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34569-2022</t>
        </is>
      </c>
      <c r="B1978" t="inlineStr">
        <is>
          <t>avverkningsanmälan</t>
        </is>
      </c>
      <c r="C1978" t="inlineStr">
        <is>
          <t>Föryngringsavverkning</t>
        </is>
      </c>
      <c r="D1978" s="1" t="n">
        <v>44795</v>
      </c>
      <c r="E1978" s="1" t="n">
        <v>46319</v>
      </c>
      <c r="F1978" t="inlineStr">
        <is>
          <t>DALARNAS LÄN</t>
        </is>
      </c>
      <c r="G1978" t="inlineStr">
        <is>
          <t>RÄTTVIK</t>
        </is>
      </c>
      <c r="I1978" t="n">
        <v>1.1</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17627-2022</t>
        </is>
      </c>
      <c r="B1979" t="inlineStr">
        <is>
          <t>avverkningsanmälan</t>
        </is>
      </c>
      <c r="C1979" t="inlineStr">
        <is>
          <t>Avverkning för annat ändamål</t>
        </is>
      </c>
      <c r="D1979" s="1" t="n">
        <v>44680</v>
      </c>
      <c r="E1979" s="1" t="n">
        <v>46319</v>
      </c>
      <c r="F1979" t="inlineStr">
        <is>
          <t>DALARNAS LÄN</t>
        </is>
      </c>
      <c r="G1979" t="inlineStr">
        <is>
          <t>ÄLVDALEN</t>
        </is>
      </c>
      <c r="H1979" t="inlineStr">
        <is>
          <t>Sveaskog</t>
        </is>
      </c>
      <c r="I1979" t="n">
        <v>0.6</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33530-2022</t>
        </is>
      </c>
      <c r="B1980" t="inlineStr">
        <is>
          <t>avverkningsanmälan</t>
        </is>
      </c>
      <c r="C1980" t="inlineStr">
        <is>
          <t>Föryngringsavverkning</t>
        </is>
      </c>
      <c r="D1980" s="1" t="n">
        <v>44789</v>
      </c>
      <c r="E1980" s="1" t="n">
        <v>46319</v>
      </c>
      <c r="F1980" t="inlineStr">
        <is>
          <t>DALARNAS LÄN</t>
        </is>
      </c>
      <c r="G1980" t="inlineStr">
        <is>
          <t>RÄTTVIK</t>
        </is>
      </c>
      <c r="I1980" t="n">
        <v>3.9</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31871-2022</t>
        </is>
      </c>
      <c r="B1981" t="inlineStr">
        <is>
          <t>avverkningsanmälan</t>
        </is>
      </c>
      <c r="C1981" t="inlineStr">
        <is>
          <t>Föryngringsavverkning</t>
        </is>
      </c>
      <c r="D1981" s="1" t="n">
        <v>44777</v>
      </c>
      <c r="E1981" s="1" t="n">
        <v>46319</v>
      </c>
      <c r="F1981" t="inlineStr">
        <is>
          <t>DALARNAS LÄN</t>
        </is>
      </c>
      <c r="G1981" t="inlineStr">
        <is>
          <t>LEKSAND</t>
        </is>
      </c>
      <c r="I1981" t="n">
        <v>4.1</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70737-2021</t>
        </is>
      </c>
      <c r="B1982" t="inlineStr">
        <is>
          <t>avverkningsanmälan</t>
        </is>
      </c>
      <c r="C1982" t="inlineStr">
        <is>
          <t>Föryngringsavverkning</t>
        </is>
      </c>
      <c r="D1982" s="1" t="n">
        <v>44537</v>
      </c>
      <c r="E1982" s="1" t="n">
        <v>46319</v>
      </c>
      <c r="F1982" t="inlineStr">
        <is>
          <t>DALARNAS LÄN</t>
        </is>
      </c>
      <c r="G1982" t="inlineStr">
        <is>
          <t>RÄTTVIK</t>
        </is>
      </c>
      <c r="I1982" t="n">
        <v>1</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14140-2022</t>
        </is>
      </c>
      <c r="B1983" t="inlineStr">
        <is>
          <t>avverkningsanmälan</t>
        </is>
      </c>
      <c r="C1983" t="inlineStr">
        <is>
          <t>Avverkning för annat ändamål</t>
        </is>
      </c>
      <c r="D1983" s="1" t="n">
        <v>44651</v>
      </c>
      <c r="E1983" s="1" t="n">
        <v>46319</v>
      </c>
      <c r="F1983" t="inlineStr">
        <is>
          <t>DALARNAS LÄN</t>
        </is>
      </c>
      <c r="G1983" t="inlineStr">
        <is>
          <t>LEKSAND</t>
        </is>
      </c>
      <c r="I1983" t="n">
        <v>0.9</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7530-2022</t>
        </is>
      </c>
      <c r="B1984" t="inlineStr">
        <is>
          <t>avverkningsanmälan</t>
        </is>
      </c>
      <c r="C1984" t="inlineStr">
        <is>
          <t>Föryngringsavverkning</t>
        </is>
      </c>
      <c r="D1984" s="1" t="n">
        <v>44607</v>
      </c>
      <c r="E1984" s="1" t="n">
        <v>46319</v>
      </c>
      <c r="F1984" t="inlineStr">
        <is>
          <t>DALARNAS LÄN</t>
        </is>
      </c>
      <c r="G1984" t="inlineStr">
        <is>
          <t>ÄLVDALEN</t>
        </is>
      </c>
      <c r="I1984" t="n">
        <v>1.1</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17622-2022</t>
        </is>
      </c>
      <c r="B1985" t="inlineStr">
        <is>
          <t>avverkningsanmälan</t>
        </is>
      </c>
      <c r="C1985" t="inlineStr">
        <is>
          <t>Föryngringsavverkning</t>
        </is>
      </c>
      <c r="D1985" s="1" t="n">
        <v>44680</v>
      </c>
      <c r="E1985" s="1" t="n">
        <v>46319</v>
      </c>
      <c r="F1985" t="inlineStr">
        <is>
          <t>DALARNAS LÄN</t>
        </is>
      </c>
      <c r="G1985" t="inlineStr">
        <is>
          <t>MORA</t>
        </is>
      </c>
      <c r="I1985" t="n">
        <v>1.5</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6362-2022</t>
        </is>
      </c>
      <c r="B1986" t="inlineStr">
        <is>
          <t>avverkningsanmälan</t>
        </is>
      </c>
      <c r="C1986" t="inlineStr">
        <is>
          <t>Föryngringsavverkning</t>
        </is>
      </c>
      <c r="D1986" s="1" t="n">
        <v>44600</v>
      </c>
      <c r="E1986" s="1" t="n">
        <v>46319</v>
      </c>
      <c r="F1986" t="inlineStr">
        <is>
          <t>DALARNAS LÄN</t>
        </is>
      </c>
      <c r="G1986" t="inlineStr">
        <is>
          <t>MALUNG-SÄLEN</t>
        </is>
      </c>
      <c r="I1986" t="n">
        <v>2.5</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2181-2022</t>
        </is>
      </c>
      <c r="B1987" t="inlineStr">
        <is>
          <t>avverkningsanmälan</t>
        </is>
      </c>
      <c r="C1987" t="inlineStr">
        <is>
          <t>Föryngringsavverkning</t>
        </is>
      </c>
      <c r="D1987" s="1" t="n">
        <v>44578</v>
      </c>
      <c r="E1987" s="1" t="n">
        <v>46319</v>
      </c>
      <c r="F1987" t="inlineStr">
        <is>
          <t>DALARNAS LÄN</t>
        </is>
      </c>
      <c r="G1987" t="inlineStr">
        <is>
          <t>RÄTTVIK</t>
        </is>
      </c>
      <c r="I1987" t="n">
        <v>2.8</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54407-2022</t>
        </is>
      </c>
      <c r="B1988" t="inlineStr">
        <is>
          <t>avverkningsanmälan</t>
        </is>
      </c>
      <c r="C1988" t="inlineStr">
        <is>
          <t>Föryngringsavverkning</t>
        </is>
      </c>
      <c r="D1988" s="1" t="n">
        <v>44882</v>
      </c>
      <c r="E1988" s="1" t="n">
        <v>46319</v>
      </c>
      <c r="F1988" t="inlineStr">
        <is>
          <t>DALARNAS LÄN</t>
        </is>
      </c>
      <c r="G1988" t="inlineStr">
        <is>
          <t>ÄLVDALEN</t>
        </is>
      </c>
      <c r="H1988" t="inlineStr">
        <is>
          <t>Bergvik skog väst AB</t>
        </is>
      </c>
      <c r="I1988" t="n">
        <v>3.5</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55398-2022</t>
        </is>
      </c>
      <c r="B1989" t="inlineStr">
        <is>
          <t>avverkningsanmälan</t>
        </is>
      </c>
      <c r="C1989" t="inlineStr">
        <is>
          <t>Föryngringsavverkning</t>
        </is>
      </c>
      <c r="D1989" s="1" t="n">
        <v>44887</v>
      </c>
      <c r="E1989" s="1" t="n">
        <v>46319</v>
      </c>
      <c r="F1989" t="inlineStr">
        <is>
          <t>DALARNAS LÄN</t>
        </is>
      </c>
      <c r="G1989" t="inlineStr">
        <is>
          <t>GAGNEF</t>
        </is>
      </c>
      <c r="I1989" t="n">
        <v>0.2</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15929-2022</t>
        </is>
      </c>
      <c r="B1990" t="inlineStr">
        <is>
          <t>avverkningsanmälan</t>
        </is>
      </c>
      <c r="C1990" t="inlineStr">
        <is>
          <t>Föryngringsavverkning</t>
        </is>
      </c>
      <c r="D1990" s="1" t="n">
        <v>44664</v>
      </c>
      <c r="E1990" s="1" t="n">
        <v>46319</v>
      </c>
      <c r="F1990" t="inlineStr">
        <is>
          <t>DALARNAS LÄN</t>
        </is>
      </c>
      <c r="G1990" t="inlineStr">
        <is>
          <t>FALUN</t>
        </is>
      </c>
      <c r="H1990" t="inlineStr">
        <is>
          <t>Kyrkan</t>
        </is>
      </c>
      <c r="I1990" t="n">
        <v>2</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63267-2021</t>
        </is>
      </c>
      <c r="B1991" t="inlineStr">
        <is>
          <t>avverkningsanmälan</t>
        </is>
      </c>
      <c r="C1991" t="inlineStr">
        <is>
          <t>Avverkning för annat ändamål</t>
        </is>
      </c>
      <c r="D1991" s="1" t="n">
        <v>44508</v>
      </c>
      <c r="E1991" s="1" t="n">
        <v>46319</v>
      </c>
      <c r="F1991" t="inlineStr">
        <is>
          <t>DALARNAS LÄN</t>
        </is>
      </c>
      <c r="G1991" t="inlineStr">
        <is>
          <t>LUDVIKA</t>
        </is>
      </c>
      <c r="H1991" t="inlineStr">
        <is>
          <t>Bergvik skog väst AB</t>
        </is>
      </c>
      <c r="I1991" t="n">
        <v>0.2</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68230-2021</t>
        </is>
      </c>
      <c r="B1992" t="inlineStr">
        <is>
          <t>avverkningsanmälan</t>
        </is>
      </c>
      <c r="C1992" t="inlineStr">
        <is>
          <t>Föryngringsavverkning</t>
        </is>
      </c>
      <c r="D1992" s="1" t="n">
        <v>44526</v>
      </c>
      <c r="E1992" s="1" t="n">
        <v>46319</v>
      </c>
      <c r="F1992" t="inlineStr">
        <is>
          <t>DALARNAS LÄN</t>
        </is>
      </c>
      <c r="G1992" t="inlineStr">
        <is>
          <t>ORSA</t>
        </is>
      </c>
      <c r="H1992" t="inlineStr">
        <is>
          <t>Kyrkan</t>
        </is>
      </c>
      <c r="I1992" t="n">
        <v>2.2</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7081-2022</t>
        </is>
      </c>
      <c r="B1993" t="inlineStr">
        <is>
          <t>avverkningsanmälan</t>
        </is>
      </c>
      <c r="C1993" t="inlineStr">
        <is>
          <t>Föryngringsavverkning</t>
        </is>
      </c>
      <c r="D1993" s="1" t="n">
        <v>44603</v>
      </c>
      <c r="E1993" s="1" t="n">
        <v>46319</v>
      </c>
      <c r="F1993" t="inlineStr">
        <is>
          <t>DALARNAS LÄN</t>
        </is>
      </c>
      <c r="G1993" t="inlineStr">
        <is>
          <t>MALUNG-SÄLEN</t>
        </is>
      </c>
      <c r="I1993" t="n">
        <v>0.7</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27841-2022</t>
        </is>
      </c>
      <c r="B1994" t="inlineStr">
        <is>
          <t>avverkningsanmälan</t>
        </is>
      </c>
      <c r="C1994" t="inlineStr">
        <is>
          <t>Föryngringsavverkning</t>
        </is>
      </c>
      <c r="D1994" s="1" t="n">
        <v>44743</v>
      </c>
      <c r="E1994" s="1" t="n">
        <v>46319</v>
      </c>
      <c r="F1994" t="inlineStr">
        <is>
          <t>DALARNAS LÄN</t>
        </is>
      </c>
      <c r="G1994" t="inlineStr">
        <is>
          <t>MALUNG-SÄLEN</t>
        </is>
      </c>
      <c r="H1994" t="inlineStr">
        <is>
          <t>Kommuner</t>
        </is>
      </c>
      <c r="I1994" t="n">
        <v>0.5</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12066-2022</t>
        </is>
      </c>
      <c r="B1995" t="inlineStr">
        <is>
          <t>avverkningsanmälan</t>
        </is>
      </c>
      <c r="C1995" t="inlineStr">
        <is>
          <t>Föryngringsavverkning</t>
        </is>
      </c>
      <c r="D1995" s="1" t="n">
        <v>44636</v>
      </c>
      <c r="E1995" s="1" t="n">
        <v>46319</v>
      </c>
      <c r="F1995" t="inlineStr">
        <is>
          <t>DALARNAS LÄN</t>
        </is>
      </c>
      <c r="G1995" t="inlineStr">
        <is>
          <t>ÄLVDALEN</t>
        </is>
      </c>
      <c r="I1995" t="n">
        <v>4.4</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27423-2022</t>
        </is>
      </c>
      <c r="B1996" t="inlineStr">
        <is>
          <t>avverkningsanmälan</t>
        </is>
      </c>
      <c r="C1996" t="inlineStr">
        <is>
          <t>Föryngringsavverkning</t>
        </is>
      </c>
      <c r="D1996" s="1" t="n">
        <v>44742</v>
      </c>
      <c r="E1996" s="1" t="n">
        <v>46319</v>
      </c>
      <c r="F1996" t="inlineStr">
        <is>
          <t>DALARNAS LÄN</t>
        </is>
      </c>
      <c r="G1996" t="inlineStr">
        <is>
          <t>BORLÄNGE</t>
        </is>
      </c>
      <c r="I1996" t="n">
        <v>0.2</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31143-2022</t>
        </is>
      </c>
      <c r="B1997" t="inlineStr">
        <is>
          <t>avverkningsanmälan</t>
        </is>
      </c>
      <c r="C1997" t="inlineStr">
        <is>
          <t>Föryngringsavverkning</t>
        </is>
      </c>
      <c r="D1997" s="1" t="n">
        <v>44770</v>
      </c>
      <c r="E1997" s="1" t="n">
        <v>46319</v>
      </c>
      <c r="F1997" t="inlineStr">
        <is>
          <t>DALARNAS LÄN</t>
        </is>
      </c>
      <c r="G1997" t="inlineStr">
        <is>
          <t>SMEDJEBACKEN</t>
        </is>
      </c>
      <c r="I1997" t="n">
        <v>1.5</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48639-2022</t>
        </is>
      </c>
      <c r="B1998" t="inlineStr">
        <is>
          <t>avverkningsanmälan</t>
        </is>
      </c>
      <c r="C1998" t="inlineStr">
        <is>
          <t>Avverkning för annat ändamål</t>
        </is>
      </c>
      <c r="D1998" s="1" t="n">
        <v>44859</v>
      </c>
      <c r="E1998" s="1" t="n">
        <v>46319</v>
      </c>
      <c r="F1998" t="inlineStr">
        <is>
          <t>DALARNAS LÄN</t>
        </is>
      </c>
      <c r="G1998" t="inlineStr">
        <is>
          <t>HEDEMORA</t>
        </is>
      </c>
      <c r="H1998" t="inlineStr">
        <is>
          <t>Sveaskog</t>
        </is>
      </c>
      <c r="I1998" t="n">
        <v>0.2</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33256-2022</t>
        </is>
      </c>
      <c r="B1999" t="inlineStr">
        <is>
          <t>avverkningsanmälan</t>
        </is>
      </c>
      <c r="C1999" t="inlineStr">
        <is>
          <t>Föryngringsavverkning</t>
        </is>
      </c>
      <c r="D1999" s="1" t="n">
        <v>44787</v>
      </c>
      <c r="E1999" s="1" t="n">
        <v>46319</v>
      </c>
      <c r="F1999" t="inlineStr">
        <is>
          <t>DALARNAS LÄN</t>
        </is>
      </c>
      <c r="G1999" t="inlineStr">
        <is>
          <t>SMEDJEBACKEN</t>
        </is>
      </c>
      <c r="I1999" t="n">
        <v>6.6</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33257-2022</t>
        </is>
      </c>
      <c r="B2000" t="inlineStr">
        <is>
          <t>avverkningsanmälan</t>
        </is>
      </c>
      <c r="C2000" t="inlineStr">
        <is>
          <t>Föryngringsavverkning</t>
        </is>
      </c>
      <c r="D2000" s="1" t="n">
        <v>44787</v>
      </c>
      <c r="E2000" s="1" t="n">
        <v>46319</v>
      </c>
      <c r="F2000" t="inlineStr">
        <is>
          <t>DALARNAS LÄN</t>
        </is>
      </c>
      <c r="G2000" t="inlineStr">
        <is>
          <t>SMEDJEBACKEN</t>
        </is>
      </c>
      <c r="I2000" t="n">
        <v>4</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22905-2022</t>
        </is>
      </c>
      <c r="B2001" t="inlineStr">
        <is>
          <t>avverkningsanmälan</t>
        </is>
      </c>
      <c r="C2001" t="inlineStr">
        <is>
          <t>Föryngringsavverkning</t>
        </is>
      </c>
      <c r="D2001" s="1" t="n">
        <v>44715</v>
      </c>
      <c r="E2001" s="1" t="n">
        <v>46319</v>
      </c>
      <c r="F2001" t="inlineStr">
        <is>
          <t>DALARNAS LÄN</t>
        </is>
      </c>
      <c r="G2001" t="inlineStr">
        <is>
          <t>SÄTER</t>
        </is>
      </c>
      <c r="H2001" t="inlineStr">
        <is>
          <t>Bergvik skog väst AB</t>
        </is>
      </c>
      <c r="I2001" t="n">
        <v>0.5</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38957-2022</t>
        </is>
      </c>
      <c r="B2002" t="inlineStr">
        <is>
          <t>avverkningsanmälan</t>
        </is>
      </c>
      <c r="C2002" t="inlineStr">
        <is>
          <t>Föryngringsavverkning</t>
        </is>
      </c>
      <c r="D2002" s="1" t="n">
        <v>44816</v>
      </c>
      <c r="E2002" s="1" t="n">
        <v>46319</v>
      </c>
      <c r="F2002" t="inlineStr">
        <is>
          <t>DALARNAS LÄN</t>
        </is>
      </c>
      <c r="G2002" t="inlineStr">
        <is>
          <t>ÄLVDALEN</t>
        </is>
      </c>
      <c r="H2002" t="inlineStr">
        <is>
          <t>Sveaskog</t>
        </is>
      </c>
      <c r="I2002" t="n">
        <v>2.9</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22920-2022</t>
        </is>
      </c>
      <c r="B2003" t="inlineStr">
        <is>
          <t>avverkningsanmälan</t>
        </is>
      </c>
      <c r="C2003" t="inlineStr">
        <is>
          <t>Föryngringsavverkning</t>
        </is>
      </c>
      <c r="D2003" s="1" t="n">
        <v>44715</v>
      </c>
      <c r="E2003" s="1" t="n">
        <v>46319</v>
      </c>
      <c r="F2003" t="inlineStr">
        <is>
          <t>DALARNAS LÄN</t>
        </is>
      </c>
      <c r="G2003" t="inlineStr">
        <is>
          <t>LUDVIKA</t>
        </is>
      </c>
      <c r="H2003" t="inlineStr">
        <is>
          <t>Bergvik skog väst AB</t>
        </is>
      </c>
      <c r="I2003" t="n">
        <v>0.8</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28567-2022</t>
        </is>
      </c>
      <c r="B2004" t="inlineStr">
        <is>
          <t>avverkningsanmälan</t>
        </is>
      </c>
      <c r="C2004" t="inlineStr">
        <is>
          <t>Föryngringsavverkning</t>
        </is>
      </c>
      <c r="D2004" s="1" t="n">
        <v>44748</v>
      </c>
      <c r="E2004" s="1" t="n">
        <v>46319</v>
      </c>
      <c r="F2004" t="inlineStr">
        <is>
          <t>DALARNAS LÄN</t>
        </is>
      </c>
      <c r="G2004" t="inlineStr">
        <is>
          <t>RÄTTVIK</t>
        </is>
      </c>
      <c r="I2004" t="n">
        <v>3.6</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49581-2022</t>
        </is>
      </c>
      <c r="B2005" t="inlineStr">
        <is>
          <t>avverkningsanmälan</t>
        </is>
      </c>
      <c r="C2005" t="inlineStr">
        <is>
          <t>Föryngringsavverkning</t>
        </is>
      </c>
      <c r="D2005" s="1" t="n">
        <v>44862</v>
      </c>
      <c r="E2005" s="1" t="n">
        <v>46319</v>
      </c>
      <c r="F2005" t="inlineStr">
        <is>
          <t>DALARNAS LÄN</t>
        </is>
      </c>
      <c r="G2005" t="inlineStr">
        <is>
          <t>LEKSAND</t>
        </is>
      </c>
      <c r="I2005" t="n">
        <v>1.8</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48456-2022</t>
        </is>
      </c>
      <c r="B2006" t="inlineStr">
        <is>
          <t>avverkningsanmälan</t>
        </is>
      </c>
      <c r="C2006" t="inlineStr">
        <is>
          <t>Föryngringsavverkning</t>
        </is>
      </c>
      <c r="D2006" s="1" t="n">
        <v>44858</v>
      </c>
      <c r="E2006" s="1" t="n">
        <v>46319</v>
      </c>
      <c r="F2006" t="inlineStr">
        <is>
          <t>DALARNAS LÄN</t>
        </is>
      </c>
      <c r="G2006" t="inlineStr">
        <is>
          <t>MORA</t>
        </is>
      </c>
      <c r="I2006" t="n">
        <v>0.7</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34927-2022</t>
        </is>
      </c>
      <c r="B2007" t="inlineStr">
        <is>
          <t>avverkningsanmälan</t>
        </is>
      </c>
      <c r="C2007" t="inlineStr">
        <is>
          <t>Föryngringsavverkning</t>
        </is>
      </c>
      <c r="D2007" s="1" t="n">
        <v>44796</v>
      </c>
      <c r="E2007" s="1" t="n">
        <v>46319</v>
      </c>
      <c r="F2007" t="inlineStr">
        <is>
          <t>DALARNAS LÄN</t>
        </is>
      </c>
      <c r="G2007" t="inlineStr">
        <is>
          <t>MORA</t>
        </is>
      </c>
      <c r="I2007" t="n">
        <v>0.7</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35080-2022</t>
        </is>
      </c>
      <c r="B2008" t="inlineStr">
        <is>
          <t>avverkningsanmälan</t>
        </is>
      </c>
      <c r="C2008" t="inlineStr">
        <is>
          <t>Föryngringsavverkning</t>
        </is>
      </c>
      <c r="D2008" s="1" t="n">
        <v>44797</v>
      </c>
      <c r="E2008" s="1" t="n">
        <v>46319</v>
      </c>
      <c r="F2008" t="inlineStr">
        <is>
          <t>DALARNAS LÄN</t>
        </is>
      </c>
      <c r="G2008" t="inlineStr">
        <is>
          <t>LEKSAND</t>
        </is>
      </c>
      <c r="I2008" t="n">
        <v>1.2</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37771-2022</t>
        </is>
      </c>
      <c r="B2009" t="inlineStr">
        <is>
          <t>avverkningsanmälan</t>
        </is>
      </c>
      <c r="C2009" t="inlineStr">
        <is>
          <t>Föryngringsavverkning</t>
        </is>
      </c>
      <c r="D2009" s="1" t="n">
        <v>44810</v>
      </c>
      <c r="E2009" s="1" t="n">
        <v>46319</v>
      </c>
      <c r="F2009" t="inlineStr">
        <is>
          <t>DALARNAS LÄN</t>
        </is>
      </c>
      <c r="G2009" t="inlineStr">
        <is>
          <t>MORA</t>
        </is>
      </c>
      <c r="I2009" t="n">
        <v>0.9</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70098-2021</t>
        </is>
      </c>
      <c r="B2010" t="inlineStr">
        <is>
          <t>avverkningsanmälan</t>
        </is>
      </c>
      <c r="C2010" t="inlineStr">
        <is>
          <t>Föryngringsavverkning</t>
        </is>
      </c>
      <c r="D2010" s="1" t="n">
        <v>44533</v>
      </c>
      <c r="E2010" s="1" t="n">
        <v>46319</v>
      </c>
      <c r="F2010" t="inlineStr">
        <is>
          <t>DALARNAS LÄN</t>
        </is>
      </c>
      <c r="G2010" t="inlineStr">
        <is>
          <t>LEKSAND</t>
        </is>
      </c>
      <c r="I2010" t="n">
        <v>0.8</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69512-2021</t>
        </is>
      </c>
      <c r="B2011" t="inlineStr">
        <is>
          <t>avverkningsanmälan</t>
        </is>
      </c>
      <c r="C2011" t="inlineStr">
        <is>
          <t>Föryngringsavverkning</t>
        </is>
      </c>
      <c r="D2011" s="1" t="n">
        <v>44531</v>
      </c>
      <c r="E2011" s="1" t="n">
        <v>46319</v>
      </c>
      <c r="F2011" t="inlineStr">
        <is>
          <t>DALARNAS LÄN</t>
        </is>
      </c>
      <c r="G2011" t="inlineStr">
        <is>
          <t>SMEDJEBACKEN</t>
        </is>
      </c>
      <c r="I2011" t="n">
        <v>3.1</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13094-2022</t>
        </is>
      </c>
      <c r="B2012" t="inlineStr">
        <is>
          <t>avverkningsanmälan</t>
        </is>
      </c>
      <c r="C2012" t="inlineStr">
        <is>
          <t>Föryngringsavverkning</t>
        </is>
      </c>
      <c r="D2012" s="1" t="n">
        <v>44643</v>
      </c>
      <c r="E2012" s="1" t="n">
        <v>46319</v>
      </c>
      <c r="F2012" t="inlineStr">
        <is>
          <t>DALARNAS LÄN</t>
        </is>
      </c>
      <c r="G2012" t="inlineStr">
        <is>
          <t>VANSBRO</t>
        </is>
      </c>
      <c r="H2012" t="inlineStr">
        <is>
          <t>Kyrkan</t>
        </is>
      </c>
      <c r="I2012" t="n">
        <v>0.8</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13900-2022</t>
        </is>
      </c>
      <c r="B2013" t="inlineStr">
        <is>
          <t>avverkningsanmälan</t>
        </is>
      </c>
      <c r="C2013" t="inlineStr">
        <is>
          <t>Föryngringsavverkning</t>
        </is>
      </c>
      <c r="D2013" s="1" t="n">
        <v>44650</v>
      </c>
      <c r="E2013" s="1" t="n">
        <v>46319</v>
      </c>
      <c r="F2013" t="inlineStr">
        <is>
          <t>DALARNAS LÄN</t>
        </is>
      </c>
      <c r="G2013" t="inlineStr">
        <is>
          <t>SÄTER</t>
        </is>
      </c>
      <c r="I2013" t="n">
        <v>1.8</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67045-2021</t>
        </is>
      </c>
      <c r="B2014" t="inlineStr">
        <is>
          <t>avverkningsanmälan</t>
        </is>
      </c>
      <c r="C2014" t="inlineStr">
        <is>
          <t>Föryngringsavverkning</t>
        </is>
      </c>
      <c r="D2014" s="1" t="n">
        <v>44522</v>
      </c>
      <c r="E2014" s="1" t="n">
        <v>46319</v>
      </c>
      <c r="F2014" t="inlineStr">
        <is>
          <t>DALARNAS LÄN</t>
        </is>
      </c>
      <c r="G2014" t="inlineStr">
        <is>
          <t>MORA</t>
        </is>
      </c>
      <c r="I2014" t="n">
        <v>0.2</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8546-2022</t>
        </is>
      </c>
      <c r="B2015" t="inlineStr">
        <is>
          <t>avverkningsanmälan</t>
        </is>
      </c>
      <c r="C2015" t="inlineStr">
        <is>
          <t>Föryngringsavverkning</t>
        </is>
      </c>
      <c r="D2015" s="1" t="n">
        <v>44613</v>
      </c>
      <c r="E2015" s="1" t="n">
        <v>46319</v>
      </c>
      <c r="F2015" t="inlineStr">
        <is>
          <t>DALARNAS LÄN</t>
        </is>
      </c>
      <c r="G2015" t="inlineStr">
        <is>
          <t>MORA</t>
        </is>
      </c>
      <c r="I2015" t="n">
        <v>2.6</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14744-2022</t>
        </is>
      </c>
      <c r="B2016" t="inlineStr">
        <is>
          <t>avverkningsanmälan</t>
        </is>
      </c>
      <c r="C2016" t="inlineStr">
        <is>
          <t>Föryngringsavverkning</t>
        </is>
      </c>
      <c r="D2016" s="1" t="n">
        <v>44656</v>
      </c>
      <c r="E2016" s="1" t="n">
        <v>46319</v>
      </c>
      <c r="F2016" t="inlineStr">
        <is>
          <t>DALARNAS LÄN</t>
        </is>
      </c>
      <c r="G2016" t="inlineStr">
        <is>
          <t>MORA</t>
        </is>
      </c>
      <c r="I2016" t="n">
        <v>1.9</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60418-2021</t>
        </is>
      </c>
      <c r="B2017" t="inlineStr">
        <is>
          <t>avverkningsanmälan</t>
        </is>
      </c>
      <c r="C2017" t="inlineStr">
        <is>
          <t>Föryngringsavverkning</t>
        </is>
      </c>
      <c r="D2017" s="1" t="n">
        <v>44495</v>
      </c>
      <c r="E2017" s="1" t="n">
        <v>46319</v>
      </c>
      <c r="F2017" t="inlineStr">
        <is>
          <t>DALARNAS LÄN</t>
        </is>
      </c>
      <c r="G2017" t="inlineStr">
        <is>
          <t>HEDEMORA</t>
        </is>
      </c>
      <c r="I2017" t="n">
        <v>0.7</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23725-2022</t>
        </is>
      </c>
      <c r="B2018" t="inlineStr">
        <is>
          <t>avverkningsanmälan</t>
        </is>
      </c>
      <c r="C2018" t="inlineStr">
        <is>
          <t>Föryngringsavverkning</t>
        </is>
      </c>
      <c r="D2018" s="1" t="n">
        <v>44722</v>
      </c>
      <c r="E2018" s="1" t="n">
        <v>46319</v>
      </c>
      <c r="F2018" t="inlineStr">
        <is>
          <t>DALARNAS LÄN</t>
        </is>
      </c>
      <c r="G2018" t="inlineStr">
        <is>
          <t>ORSA</t>
        </is>
      </c>
      <c r="H2018" t="inlineStr">
        <is>
          <t>Bergvik skog öst AB</t>
        </is>
      </c>
      <c r="I2018" t="n">
        <v>0.9</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72846-2021</t>
        </is>
      </c>
      <c r="B2019" t="inlineStr">
        <is>
          <t>avverkningsanmälan</t>
        </is>
      </c>
      <c r="C2019" t="inlineStr">
        <is>
          <t>Avverkning för annat ändamål</t>
        </is>
      </c>
      <c r="D2019" s="1" t="n">
        <v>44547</v>
      </c>
      <c r="E2019" s="1" t="n">
        <v>46319</v>
      </c>
      <c r="F2019" t="inlineStr">
        <is>
          <t>DALARNAS LÄN</t>
        </is>
      </c>
      <c r="G2019" t="inlineStr">
        <is>
          <t>ÄLVDALEN</t>
        </is>
      </c>
      <c r="H2019" t="inlineStr">
        <is>
          <t>Bergvik skog öst AB</t>
        </is>
      </c>
      <c r="I2019" t="n">
        <v>1.5</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28427-2022</t>
        </is>
      </c>
      <c r="B2020" t="inlineStr">
        <is>
          <t>avverkningsanmälan</t>
        </is>
      </c>
      <c r="C2020" t="inlineStr">
        <is>
          <t>Föryngringsavverkning</t>
        </is>
      </c>
      <c r="D2020" s="1" t="n">
        <v>44748</v>
      </c>
      <c r="E2020" s="1" t="n">
        <v>46319</v>
      </c>
      <c r="F2020" t="inlineStr">
        <is>
          <t>DALARNAS LÄN</t>
        </is>
      </c>
      <c r="G2020" t="inlineStr">
        <is>
          <t>SÄTER</t>
        </is>
      </c>
      <c r="I2020" t="n">
        <v>0.6</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24393-2022</t>
        </is>
      </c>
      <c r="B2021" t="inlineStr">
        <is>
          <t>avverkningsanmälan</t>
        </is>
      </c>
      <c r="C2021" t="inlineStr">
        <is>
          <t>Föryngringsavverkning</t>
        </is>
      </c>
      <c r="D2021" s="1" t="n">
        <v>44726</v>
      </c>
      <c r="E2021" s="1" t="n">
        <v>46319</v>
      </c>
      <c r="F2021" t="inlineStr">
        <is>
          <t>DALARNAS LÄN</t>
        </is>
      </c>
      <c r="G2021" t="inlineStr">
        <is>
          <t>MORA</t>
        </is>
      </c>
      <c r="I2021" t="n">
        <v>2.1</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17529-2023</t>
        </is>
      </c>
      <c r="B2022" t="inlineStr">
        <is>
          <t>avverkningsanmälan</t>
        </is>
      </c>
      <c r="C2022" t="inlineStr">
        <is>
          <t>Föryngringsavverkning</t>
        </is>
      </c>
      <c r="D2022" s="1" t="n">
        <v>45036</v>
      </c>
      <c r="E2022" s="1" t="n">
        <v>46319</v>
      </c>
      <c r="F2022" t="inlineStr">
        <is>
          <t>DALARNAS LÄN</t>
        </is>
      </c>
      <c r="G2022" t="inlineStr">
        <is>
          <t>MORA</t>
        </is>
      </c>
      <c r="I2022" t="n">
        <v>6</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24223-2022</t>
        </is>
      </c>
      <c r="B2023" t="inlineStr">
        <is>
          <t>avverkningsanmälan</t>
        </is>
      </c>
      <c r="C2023" t="inlineStr">
        <is>
          <t>Föryngringsavverkning</t>
        </is>
      </c>
      <c r="D2023" s="1" t="n">
        <v>44725</v>
      </c>
      <c r="E2023" s="1" t="n">
        <v>46319</v>
      </c>
      <c r="F2023" t="inlineStr">
        <is>
          <t>DALARNAS LÄN</t>
        </is>
      </c>
      <c r="G2023" t="inlineStr">
        <is>
          <t>SÄTER</t>
        </is>
      </c>
      <c r="I2023" t="n">
        <v>2.6</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1976-2022</t>
        </is>
      </c>
      <c r="B2024" t="inlineStr">
        <is>
          <t>avverkningsanmälan</t>
        </is>
      </c>
      <c r="C2024" t="inlineStr">
        <is>
          <t>Föryngringsavverkning</t>
        </is>
      </c>
      <c r="D2024" s="1" t="n">
        <v>44575</v>
      </c>
      <c r="E2024" s="1" t="n">
        <v>46319</v>
      </c>
      <c r="F2024" t="inlineStr">
        <is>
          <t>DALARNAS LÄN</t>
        </is>
      </c>
      <c r="G2024" t="inlineStr">
        <is>
          <t>HEDEMORA</t>
        </is>
      </c>
      <c r="I2024" t="n">
        <v>3.2</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4000-2022</t>
        </is>
      </c>
      <c r="B2025" t="inlineStr">
        <is>
          <t>avverkningsanmälan</t>
        </is>
      </c>
      <c r="C2025" t="inlineStr">
        <is>
          <t>Föryngringsavverkning</t>
        </is>
      </c>
      <c r="D2025" s="1" t="n">
        <v>44587</v>
      </c>
      <c r="E2025" s="1" t="n">
        <v>46319</v>
      </c>
      <c r="F2025" t="inlineStr">
        <is>
          <t>DALARNAS LÄN</t>
        </is>
      </c>
      <c r="G2025" t="inlineStr">
        <is>
          <t>FALUN</t>
        </is>
      </c>
      <c r="I2025" t="n">
        <v>2.2</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2836-2022</t>
        </is>
      </c>
      <c r="B2026" t="inlineStr">
        <is>
          <t>avverkningsanmälan</t>
        </is>
      </c>
      <c r="C2026" t="inlineStr">
        <is>
          <t>Föryngringsavverkning</t>
        </is>
      </c>
      <c r="D2026" s="1" t="n">
        <v>44581</v>
      </c>
      <c r="E2026" s="1" t="n">
        <v>46319</v>
      </c>
      <c r="F2026" t="inlineStr">
        <is>
          <t>DALARNAS LÄN</t>
        </is>
      </c>
      <c r="G2026" t="inlineStr">
        <is>
          <t>SMEDJEBACKEN</t>
        </is>
      </c>
      <c r="I2026" t="n">
        <v>2</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26215-2022</t>
        </is>
      </c>
      <c r="B2027" t="inlineStr">
        <is>
          <t>avverkningsanmälan</t>
        </is>
      </c>
      <c r="C2027" t="inlineStr">
        <is>
          <t>Föryngringsavverkning</t>
        </is>
      </c>
      <c r="D2027" s="1" t="n">
        <v>44735</v>
      </c>
      <c r="E2027" s="1" t="n">
        <v>46319</v>
      </c>
      <c r="F2027" t="inlineStr">
        <is>
          <t>DALARNAS LÄN</t>
        </is>
      </c>
      <c r="G2027" t="inlineStr">
        <is>
          <t>ORSA</t>
        </is>
      </c>
      <c r="H2027" t="inlineStr">
        <is>
          <t>Bergvik skog öst AB</t>
        </is>
      </c>
      <c r="I2027" t="n">
        <v>0.6</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19296-2024</t>
        </is>
      </c>
      <c r="B2028" t="inlineStr">
        <is>
          <t>avverkningsanmälan</t>
        </is>
      </c>
      <c r="C2028" t="inlineStr">
        <is>
          <t>Föryngringsavverkning</t>
        </is>
      </c>
      <c r="D2028" s="1" t="n">
        <v>45428</v>
      </c>
      <c r="E2028" s="1" t="n">
        <v>46319</v>
      </c>
      <c r="F2028" t="inlineStr">
        <is>
          <t>DALARNAS LÄN</t>
        </is>
      </c>
      <c r="G2028" t="inlineStr">
        <is>
          <t>LEKSAND</t>
        </is>
      </c>
      <c r="I2028" t="n">
        <v>2.4</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34216-2022</t>
        </is>
      </c>
      <c r="B2029" t="inlineStr">
        <is>
          <t>avverkningsanmälan</t>
        </is>
      </c>
      <c r="C2029" t="inlineStr">
        <is>
          <t>Föryngringsavverkning</t>
        </is>
      </c>
      <c r="D2029" s="1" t="n">
        <v>44791</v>
      </c>
      <c r="E2029" s="1" t="n">
        <v>46319</v>
      </c>
      <c r="F2029" t="inlineStr">
        <is>
          <t>DALARNAS LÄN</t>
        </is>
      </c>
      <c r="G2029" t="inlineStr">
        <is>
          <t>SMEDJEBACKEN</t>
        </is>
      </c>
      <c r="H2029" t="inlineStr">
        <is>
          <t>Bergvik skog väst AB</t>
        </is>
      </c>
      <c r="I2029" t="n">
        <v>0.9</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39179-2025</t>
        </is>
      </c>
      <c r="B2030" t="inlineStr">
        <is>
          <t>avverkningsanmälan</t>
        </is>
      </c>
      <c r="C2030" t="inlineStr">
        <is>
          <t>Föryngringsavverkning</t>
        </is>
      </c>
      <c r="D2030" s="1" t="n">
        <v>45888</v>
      </c>
      <c r="E2030" s="1" t="n">
        <v>46319</v>
      </c>
      <c r="F2030" t="inlineStr">
        <is>
          <t>DALARNAS LÄN</t>
        </is>
      </c>
      <c r="G2030" t="inlineStr">
        <is>
          <t>VANSBRO</t>
        </is>
      </c>
      <c r="I2030" t="n">
        <v>0.8</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39177-2025</t>
        </is>
      </c>
      <c r="B2031" t="inlineStr">
        <is>
          <t>avverkningsanmälan</t>
        </is>
      </c>
      <c r="C2031" t="inlineStr">
        <is>
          <t>Föryngringsavverkning</t>
        </is>
      </c>
      <c r="D2031" s="1" t="n">
        <v>45888</v>
      </c>
      <c r="E2031" s="1" t="n">
        <v>46319</v>
      </c>
      <c r="F2031" t="inlineStr">
        <is>
          <t>DALARNAS LÄN</t>
        </is>
      </c>
      <c r="G2031" t="inlineStr">
        <is>
          <t>VANSBRO</t>
        </is>
      </c>
      <c r="I2031" t="n">
        <v>6.1</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38243-2022</t>
        </is>
      </c>
      <c r="B2032" t="inlineStr">
        <is>
          <t>avverkningsanmälan</t>
        </is>
      </c>
      <c r="C2032" t="inlineStr">
        <is>
          <t>Föryngringsavverkning</t>
        </is>
      </c>
      <c r="D2032" s="1" t="n">
        <v>44812</v>
      </c>
      <c r="E2032" s="1" t="n">
        <v>46319</v>
      </c>
      <c r="F2032" t="inlineStr">
        <is>
          <t>DALARNAS LÄN</t>
        </is>
      </c>
      <c r="G2032" t="inlineStr">
        <is>
          <t>SÄTER</t>
        </is>
      </c>
      <c r="I2032" t="n">
        <v>0.7</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38253-2022</t>
        </is>
      </c>
      <c r="B2033" t="inlineStr">
        <is>
          <t>avverkningsanmälan</t>
        </is>
      </c>
      <c r="C2033" t="inlineStr">
        <is>
          <t>Föryngringsavverkning</t>
        </is>
      </c>
      <c r="D2033" s="1" t="n">
        <v>44812</v>
      </c>
      <c r="E2033" s="1" t="n">
        <v>46319</v>
      </c>
      <c r="F2033" t="inlineStr">
        <is>
          <t>DALARNAS LÄN</t>
        </is>
      </c>
      <c r="G2033" t="inlineStr">
        <is>
          <t>VANSBRO</t>
        </is>
      </c>
      <c r="H2033" t="inlineStr">
        <is>
          <t>Bergvik skog väst AB</t>
        </is>
      </c>
      <c r="I2033" t="n">
        <v>0.6</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38768-2025</t>
        </is>
      </c>
      <c r="B2034" t="inlineStr">
        <is>
          <t>avverkningsanmälan</t>
        </is>
      </c>
      <c r="C2034" t="inlineStr">
        <is>
          <t>Föryngringsavverkning</t>
        </is>
      </c>
      <c r="D2034" s="1" t="n">
        <v>45887</v>
      </c>
      <c r="E2034" s="1" t="n">
        <v>46319</v>
      </c>
      <c r="F2034" t="inlineStr">
        <is>
          <t>DALARNAS LÄN</t>
        </is>
      </c>
      <c r="G2034" t="inlineStr">
        <is>
          <t>SMEDJEBACKEN</t>
        </is>
      </c>
      <c r="H2034" t="inlineStr">
        <is>
          <t>Sveaskog</t>
        </is>
      </c>
      <c r="I2034" t="n">
        <v>1.7</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37538-2024</t>
        </is>
      </c>
      <c r="B2035" t="inlineStr">
        <is>
          <t>avverkningsanmälan</t>
        </is>
      </c>
      <c r="C2035" t="inlineStr">
        <is>
          <t>Föryngringsavverkning</t>
        </is>
      </c>
      <c r="D2035" s="1" t="n">
        <v>45541</v>
      </c>
      <c r="E2035" s="1" t="n">
        <v>46319</v>
      </c>
      <c r="F2035" t="inlineStr">
        <is>
          <t>DALARNAS LÄN</t>
        </is>
      </c>
      <c r="G2035" t="inlineStr">
        <is>
          <t>LUDVIKA</t>
        </is>
      </c>
      <c r="H2035" t="inlineStr">
        <is>
          <t>Bergvik skog väst AB</t>
        </is>
      </c>
      <c r="I2035" t="n">
        <v>6</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4216-2023</t>
        </is>
      </c>
      <c r="B2036" t="inlineStr">
        <is>
          <t>avverkningsanmälan</t>
        </is>
      </c>
      <c r="C2036" t="inlineStr">
        <is>
          <t>Föryngringsavverkning</t>
        </is>
      </c>
      <c r="D2036" s="1" t="n">
        <v>44953</v>
      </c>
      <c r="E2036" s="1" t="n">
        <v>46319</v>
      </c>
      <c r="F2036" t="inlineStr">
        <is>
          <t>DALARNAS LÄN</t>
        </is>
      </c>
      <c r="G2036" t="inlineStr">
        <is>
          <t>SÄTER</t>
        </is>
      </c>
      <c r="I2036" t="n">
        <v>2</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39098-2025</t>
        </is>
      </c>
      <c r="B2037" t="inlineStr">
        <is>
          <t>avverkningsanmälan</t>
        </is>
      </c>
      <c r="C2037" t="inlineStr">
        <is>
          <t>Avverkning för annat ändamål</t>
        </is>
      </c>
      <c r="D2037" s="1" t="n">
        <v>45888</v>
      </c>
      <c r="E2037" s="1" t="n">
        <v>46319</v>
      </c>
      <c r="F2037" t="inlineStr">
        <is>
          <t>DALARNAS LÄN</t>
        </is>
      </c>
      <c r="G2037" t="inlineStr">
        <is>
          <t>RÄTTVIK</t>
        </is>
      </c>
      <c r="I2037" t="n">
        <v>0.9</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27644-2025</t>
        </is>
      </c>
      <c r="B2038" t="inlineStr">
        <is>
          <t>avverkningsanmälan</t>
        </is>
      </c>
      <c r="C2038" t="inlineStr">
        <is>
          <t>Föryngringsavverkning</t>
        </is>
      </c>
      <c r="D2038" s="1" t="n">
        <v>45813</v>
      </c>
      <c r="E2038" s="1" t="n">
        <v>46319</v>
      </c>
      <c r="F2038" t="inlineStr">
        <is>
          <t>DALARNAS LÄN</t>
        </is>
      </c>
      <c r="G2038" t="inlineStr">
        <is>
          <t>LUDVIKA</t>
        </is>
      </c>
      <c r="H2038" t="inlineStr">
        <is>
          <t>Bergvik skog väst AB</t>
        </is>
      </c>
      <c r="I2038" t="n">
        <v>5.1</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41569-2023</t>
        </is>
      </c>
      <c r="B2039" t="inlineStr">
        <is>
          <t>avverkningsanmälan</t>
        </is>
      </c>
      <c r="C2039" t="inlineStr">
        <is>
          <t>Föryngringsavverkning</t>
        </is>
      </c>
      <c r="D2039" s="1" t="n">
        <v>45175</v>
      </c>
      <c r="E2039" s="1" t="n">
        <v>46319</v>
      </c>
      <c r="F2039" t="inlineStr">
        <is>
          <t>DALARNAS LÄN</t>
        </is>
      </c>
      <c r="G2039" t="inlineStr">
        <is>
          <t>SMEDJEBACKEN</t>
        </is>
      </c>
      <c r="I2039" t="n">
        <v>2.5</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29574-2022</t>
        </is>
      </c>
      <c r="B2040" t="inlineStr">
        <is>
          <t>avverkningsanmälan</t>
        </is>
      </c>
      <c r="C2040" t="inlineStr">
        <is>
          <t>Föryngringsavverkning</t>
        </is>
      </c>
      <c r="D2040" s="1" t="n">
        <v>44754</v>
      </c>
      <c r="E2040" s="1" t="n">
        <v>46319</v>
      </c>
      <c r="F2040" t="inlineStr">
        <is>
          <t>DALARNAS LÄN</t>
        </is>
      </c>
      <c r="G2040" t="inlineStr">
        <is>
          <t>VANSBRO</t>
        </is>
      </c>
      <c r="H2040" t="inlineStr">
        <is>
          <t>Bergvik skog öst AB</t>
        </is>
      </c>
      <c r="I2040" t="n">
        <v>1.9</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29575-2022</t>
        </is>
      </c>
      <c r="B2041" t="inlineStr">
        <is>
          <t>avverkningsanmälan</t>
        </is>
      </c>
      <c r="C2041" t="inlineStr">
        <is>
          <t>Föryngringsavverkning</t>
        </is>
      </c>
      <c r="D2041" s="1" t="n">
        <v>44754</v>
      </c>
      <c r="E2041" s="1" t="n">
        <v>46319</v>
      </c>
      <c r="F2041" t="inlineStr">
        <is>
          <t>DALARNAS LÄN</t>
        </is>
      </c>
      <c r="G2041" t="inlineStr">
        <is>
          <t>VANSBRO</t>
        </is>
      </c>
      <c r="H2041" t="inlineStr">
        <is>
          <t>Bergvik skog öst AB</t>
        </is>
      </c>
      <c r="I2041" t="n">
        <v>2.4</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38773-2022</t>
        </is>
      </c>
      <c r="B2042" t="inlineStr">
        <is>
          <t>avverkningsanmälan</t>
        </is>
      </c>
      <c r="C2042" t="inlineStr">
        <is>
          <t>Föryngringsavverkning</t>
        </is>
      </c>
      <c r="D2042" s="1" t="n">
        <v>44816</v>
      </c>
      <c r="E2042" s="1" t="n">
        <v>46319</v>
      </c>
      <c r="F2042" t="inlineStr">
        <is>
          <t>DALARNAS LÄN</t>
        </is>
      </c>
      <c r="G2042" t="inlineStr">
        <is>
          <t>VANSBRO</t>
        </is>
      </c>
      <c r="I2042" t="n">
        <v>0.5</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52134-2022</t>
        </is>
      </c>
      <c r="B2043" t="inlineStr">
        <is>
          <t>avverkningsanmälan</t>
        </is>
      </c>
      <c r="C2043" t="inlineStr">
        <is>
          <t>Föryngringsavverkning</t>
        </is>
      </c>
      <c r="D2043" s="1" t="n">
        <v>44873</v>
      </c>
      <c r="E2043" s="1" t="n">
        <v>46319</v>
      </c>
      <c r="F2043" t="inlineStr">
        <is>
          <t>DALARNAS LÄN</t>
        </is>
      </c>
      <c r="G2043" t="inlineStr">
        <is>
          <t>FALUN</t>
        </is>
      </c>
      <c r="H2043" t="inlineStr">
        <is>
          <t>Bergvik skog väst AB</t>
        </is>
      </c>
      <c r="I2043" t="n">
        <v>0.8</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61000-2021</t>
        </is>
      </c>
      <c r="B2044" t="inlineStr">
        <is>
          <t>avverkningsanmälan</t>
        </is>
      </c>
      <c r="C2044" t="inlineStr">
        <is>
          <t>Föryngringsavverkning</t>
        </is>
      </c>
      <c r="D2044" s="1" t="n">
        <v>44497</v>
      </c>
      <c r="E2044" s="1" t="n">
        <v>46319</v>
      </c>
      <c r="F2044" t="inlineStr">
        <is>
          <t>DALARNAS LÄN</t>
        </is>
      </c>
      <c r="G2044" t="inlineStr">
        <is>
          <t>ORSA</t>
        </is>
      </c>
      <c r="I2044" t="n">
        <v>4.4</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61005-2021</t>
        </is>
      </c>
      <c r="B2045" t="inlineStr">
        <is>
          <t>avverkningsanmälan</t>
        </is>
      </c>
      <c r="C2045" t="inlineStr">
        <is>
          <t>Föryngringsavverkning</t>
        </is>
      </c>
      <c r="D2045" s="1" t="n">
        <v>44497</v>
      </c>
      <c r="E2045" s="1" t="n">
        <v>46319</v>
      </c>
      <c r="F2045" t="inlineStr">
        <is>
          <t>DALARNAS LÄN</t>
        </is>
      </c>
      <c r="G2045" t="inlineStr">
        <is>
          <t>ORSA</t>
        </is>
      </c>
      <c r="I2045" t="n">
        <v>1.4</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38844-2025</t>
        </is>
      </c>
      <c r="B2046" t="inlineStr">
        <is>
          <t>avverkningsanmälan</t>
        </is>
      </c>
      <c r="C2046" t="inlineStr">
        <is>
          <t>Föryngringsavverkning</t>
        </is>
      </c>
      <c r="D2046" s="1" t="n">
        <v>45887</v>
      </c>
      <c r="E2046" s="1" t="n">
        <v>46319</v>
      </c>
      <c r="F2046" t="inlineStr">
        <is>
          <t>DALARNAS LÄN</t>
        </is>
      </c>
      <c r="G2046" t="inlineStr">
        <is>
          <t>ORSA</t>
        </is>
      </c>
      <c r="I2046" t="n">
        <v>1.6</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38840-2025</t>
        </is>
      </c>
      <c r="B2047" t="inlineStr">
        <is>
          <t>avverkningsanmälan</t>
        </is>
      </c>
      <c r="C2047" t="inlineStr">
        <is>
          <t>Föryngringsavverkning</t>
        </is>
      </c>
      <c r="D2047" s="1" t="n">
        <v>45887</v>
      </c>
      <c r="E2047" s="1" t="n">
        <v>46319</v>
      </c>
      <c r="F2047" t="inlineStr">
        <is>
          <t>DALARNAS LÄN</t>
        </is>
      </c>
      <c r="G2047" t="inlineStr">
        <is>
          <t>ORSA</t>
        </is>
      </c>
      <c r="I2047" t="n">
        <v>1.5</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24974-2025</t>
        </is>
      </c>
      <c r="B2048" t="inlineStr">
        <is>
          <t>avverkningsanmälan</t>
        </is>
      </c>
      <c r="C2048" t="inlineStr">
        <is>
          <t>Föryngringsavverkning</t>
        </is>
      </c>
      <c r="D2048" s="1" t="n">
        <v>45799</v>
      </c>
      <c r="E2048" s="1" t="n">
        <v>46319</v>
      </c>
      <c r="F2048" t="inlineStr">
        <is>
          <t>DALARNAS LÄN</t>
        </is>
      </c>
      <c r="G2048" t="inlineStr">
        <is>
          <t>LUDVIKA</t>
        </is>
      </c>
      <c r="H2048" t="inlineStr">
        <is>
          <t>Bergvik skog väst AB</t>
        </is>
      </c>
      <c r="I2048" t="n">
        <v>2.2</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45225-2022</t>
        </is>
      </c>
      <c r="B2049" t="inlineStr">
        <is>
          <t>avverkningsanmälan</t>
        </is>
      </c>
      <c r="C2049" t="inlineStr">
        <is>
          <t>Föryngringsavverkning</t>
        </is>
      </c>
      <c r="D2049" s="1" t="n">
        <v>44840</v>
      </c>
      <c r="E2049" s="1" t="n">
        <v>46319</v>
      </c>
      <c r="F2049" t="inlineStr">
        <is>
          <t>DALARNAS LÄN</t>
        </is>
      </c>
      <c r="G2049" t="inlineStr">
        <is>
          <t>SÄTER</t>
        </is>
      </c>
      <c r="H2049" t="inlineStr">
        <is>
          <t>Bergvik skog väst AB</t>
        </is>
      </c>
      <c r="I2049" t="n">
        <v>10.2</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42612-2024</t>
        </is>
      </c>
      <c r="B2050" t="inlineStr">
        <is>
          <t>avverkningsanmälan</t>
        </is>
      </c>
      <c r="C2050" t="inlineStr">
        <is>
          <t>Föryngringsavverkning</t>
        </is>
      </c>
      <c r="D2050" s="1" t="n">
        <v>45565</v>
      </c>
      <c r="E2050" s="1" t="n">
        <v>46319</v>
      </c>
      <c r="F2050" t="inlineStr">
        <is>
          <t>DALARNAS LÄN</t>
        </is>
      </c>
      <c r="G2050" t="inlineStr">
        <is>
          <t>BORLÄNGE</t>
        </is>
      </c>
      <c r="I2050" t="n">
        <v>1.8</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18273-2025</t>
        </is>
      </c>
      <c r="B2051" t="inlineStr">
        <is>
          <t>avverkningsanmälan</t>
        </is>
      </c>
      <c r="C2051" t="inlineStr">
        <is>
          <t>Föryngringsavverkning</t>
        </is>
      </c>
      <c r="D2051" s="1" t="n">
        <v>45762</v>
      </c>
      <c r="E2051" s="1" t="n">
        <v>46319</v>
      </c>
      <c r="F2051" t="inlineStr">
        <is>
          <t>DALARNAS LÄN</t>
        </is>
      </c>
      <c r="G2051" t="inlineStr">
        <is>
          <t>MALUNG-SÄLEN</t>
        </is>
      </c>
      <c r="I2051" t="n">
        <v>2.3</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39173-2025</t>
        </is>
      </c>
      <c r="B2052" t="inlineStr">
        <is>
          <t>avverkningsanmälan</t>
        </is>
      </c>
      <c r="C2052" t="inlineStr">
        <is>
          <t>Föryngringsavverkning</t>
        </is>
      </c>
      <c r="D2052" s="1" t="n">
        <v>45888</v>
      </c>
      <c r="E2052" s="1" t="n">
        <v>46319</v>
      </c>
      <c r="F2052" t="inlineStr">
        <is>
          <t>DALARNAS LÄN</t>
        </is>
      </c>
      <c r="G2052" t="inlineStr">
        <is>
          <t>VANSBRO</t>
        </is>
      </c>
      <c r="I2052" t="n">
        <v>2.2</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36527-2024</t>
        </is>
      </c>
      <c r="B2053" t="inlineStr">
        <is>
          <t>avverkningsanmälan</t>
        </is>
      </c>
      <c r="C2053" t="inlineStr">
        <is>
          <t>Föryngringsavverkning</t>
        </is>
      </c>
      <c r="D2053" s="1" t="n">
        <v>45537</v>
      </c>
      <c r="E2053" s="1" t="n">
        <v>46319</v>
      </c>
      <c r="F2053" t="inlineStr">
        <is>
          <t>DALARNAS LÄN</t>
        </is>
      </c>
      <c r="G2053" t="inlineStr">
        <is>
          <t>LUDVIKA</t>
        </is>
      </c>
      <c r="H2053" t="inlineStr">
        <is>
          <t>Övriga Aktiebolag</t>
        </is>
      </c>
      <c r="I2053" t="n">
        <v>3.3</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7142-2023</t>
        </is>
      </c>
      <c r="B2054" t="inlineStr">
        <is>
          <t>avverkningsanmälan</t>
        </is>
      </c>
      <c r="C2054" t="inlineStr">
        <is>
          <t>Föryngringsavverkning</t>
        </is>
      </c>
      <c r="D2054" s="1" t="n">
        <v>44970</v>
      </c>
      <c r="E2054" s="1" t="n">
        <v>46319</v>
      </c>
      <c r="F2054" t="inlineStr">
        <is>
          <t>DALARNAS LÄN</t>
        </is>
      </c>
      <c r="G2054" t="inlineStr">
        <is>
          <t>VANSBRO</t>
        </is>
      </c>
      <c r="I2054" t="n">
        <v>1.3</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64315-2021</t>
        </is>
      </c>
      <c r="B2055" t="inlineStr">
        <is>
          <t>avverkningsanmälan</t>
        </is>
      </c>
      <c r="C2055" t="inlineStr">
        <is>
          <t>Föryngringsavverkning</t>
        </is>
      </c>
      <c r="D2055" s="1" t="n">
        <v>44511</v>
      </c>
      <c r="E2055" s="1" t="n">
        <v>46319</v>
      </c>
      <c r="F2055" t="inlineStr">
        <is>
          <t>DALARNAS LÄN</t>
        </is>
      </c>
      <c r="G2055" t="inlineStr">
        <is>
          <t>RÄTTVIK</t>
        </is>
      </c>
      <c r="I2055" t="n">
        <v>1.6</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2454-2022</t>
        </is>
      </c>
      <c r="B2056" t="inlineStr">
        <is>
          <t>avverkningsanmälan</t>
        </is>
      </c>
      <c r="C2056" t="inlineStr">
        <is>
          <t>Föryngringsavverkning</t>
        </is>
      </c>
      <c r="D2056" s="1" t="n">
        <v>44579</v>
      </c>
      <c r="E2056" s="1" t="n">
        <v>46319</v>
      </c>
      <c r="F2056" t="inlineStr">
        <is>
          <t>DALARNAS LÄN</t>
        </is>
      </c>
      <c r="G2056" t="inlineStr">
        <is>
          <t>BORLÄNGE</t>
        </is>
      </c>
      <c r="I2056" t="n">
        <v>4.1</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22652-2024</t>
        </is>
      </c>
      <c r="B2057" t="inlineStr">
        <is>
          <t>avverkningsanmälan</t>
        </is>
      </c>
      <c r="C2057" t="inlineStr">
        <is>
          <t>Föryngringsavverkning</t>
        </is>
      </c>
      <c r="D2057" s="1" t="n">
        <v>45447</v>
      </c>
      <c r="E2057" s="1" t="n">
        <v>46319</v>
      </c>
      <c r="F2057" t="inlineStr">
        <is>
          <t>DALARNAS LÄN</t>
        </is>
      </c>
      <c r="G2057" t="inlineStr">
        <is>
          <t>BORLÄNGE</t>
        </is>
      </c>
      <c r="I2057" t="n">
        <v>0.7</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60342-2021</t>
        </is>
      </c>
      <c r="B2058" t="inlineStr">
        <is>
          <t>avverkningsanmälan</t>
        </is>
      </c>
      <c r="C2058" t="inlineStr">
        <is>
          <t>Avverkning för att bevara och utveckla /försöksver</t>
        </is>
      </c>
      <c r="D2058" s="1" t="n">
        <v>44495</v>
      </c>
      <c r="E2058" s="1" t="n">
        <v>46319</v>
      </c>
      <c r="F2058" t="inlineStr">
        <is>
          <t>DALARNAS LÄN</t>
        </is>
      </c>
      <c r="G2058" t="inlineStr">
        <is>
          <t>BORLÄNGE</t>
        </is>
      </c>
      <c r="I2058" t="n">
        <v>1.6</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21322-2022</t>
        </is>
      </c>
      <c r="B2059" t="inlineStr">
        <is>
          <t>avverkningsanmälan</t>
        </is>
      </c>
      <c r="C2059" t="inlineStr">
        <is>
          <t>Föryngringsavverkning</t>
        </is>
      </c>
      <c r="D2059" s="1" t="n">
        <v>44705</v>
      </c>
      <c r="E2059" s="1" t="n">
        <v>46319</v>
      </c>
      <c r="F2059" t="inlineStr">
        <is>
          <t>DALARNAS LÄN</t>
        </is>
      </c>
      <c r="G2059" t="inlineStr">
        <is>
          <t>BORLÄNGE</t>
        </is>
      </c>
      <c r="I2059" t="n">
        <v>1.8</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38008-2022</t>
        </is>
      </c>
      <c r="B2060" t="inlineStr">
        <is>
          <t>avverkningsanmälan</t>
        </is>
      </c>
      <c r="C2060" t="inlineStr">
        <is>
          <t>Föryngringsavverkning</t>
        </is>
      </c>
      <c r="D2060" s="1" t="n">
        <v>44811</v>
      </c>
      <c r="E2060" s="1" t="n">
        <v>46319</v>
      </c>
      <c r="F2060" t="inlineStr">
        <is>
          <t>DALARNAS LÄN</t>
        </is>
      </c>
      <c r="G2060" t="inlineStr">
        <is>
          <t>MALUNG-SÄLEN</t>
        </is>
      </c>
      <c r="H2060" t="inlineStr">
        <is>
          <t>Bergvik skog väst AB</t>
        </is>
      </c>
      <c r="I2060" t="n">
        <v>5.5</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38050-2022</t>
        </is>
      </c>
      <c r="B2061" t="inlineStr">
        <is>
          <t>avverkningsanmälan</t>
        </is>
      </c>
      <c r="C2061" t="inlineStr">
        <is>
          <t>Föryngringsavverkning</t>
        </is>
      </c>
      <c r="D2061" s="1" t="n">
        <v>44811</v>
      </c>
      <c r="E2061" s="1" t="n">
        <v>46319</v>
      </c>
      <c r="F2061" t="inlineStr">
        <is>
          <t>DALARNAS LÄN</t>
        </is>
      </c>
      <c r="G2061" t="inlineStr">
        <is>
          <t>MALUNG-SÄLEN</t>
        </is>
      </c>
      <c r="H2061" t="inlineStr">
        <is>
          <t>Bergvik skog öst AB</t>
        </is>
      </c>
      <c r="I2061" t="n">
        <v>2.6</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42496-2022</t>
        </is>
      </c>
      <c r="B2062" t="inlineStr">
        <is>
          <t>avverkningsanmälan</t>
        </is>
      </c>
      <c r="C2062" t="inlineStr">
        <is>
          <t>Avverkning för att bevara och utveckla /försöksver</t>
        </is>
      </c>
      <c r="D2062" s="1" t="n">
        <v>44831</v>
      </c>
      <c r="E2062" s="1" t="n">
        <v>46319</v>
      </c>
      <c r="F2062" t="inlineStr">
        <is>
          <t>DALARNAS LÄN</t>
        </is>
      </c>
      <c r="G2062" t="inlineStr">
        <is>
          <t>SMEDJEBACKEN</t>
        </is>
      </c>
      <c r="H2062" t="inlineStr">
        <is>
          <t>Sveaskog</t>
        </is>
      </c>
      <c r="I2062" t="n">
        <v>4.3</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1069-2024</t>
        </is>
      </c>
      <c r="B2063" t="inlineStr">
        <is>
          <t>avverkningsanmälan</t>
        </is>
      </c>
      <c r="C2063" t="inlineStr">
        <is>
          <t>Föryngringsavverkning</t>
        </is>
      </c>
      <c r="D2063" s="1" t="n">
        <v>45302</v>
      </c>
      <c r="E2063" s="1" t="n">
        <v>46319</v>
      </c>
      <c r="F2063" t="inlineStr">
        <is>
          <t>DALARNAS LÄN</t>
        </is>
      </c>
      <c r="G2063" t="inlineStr">
        <is>
          <t>RÄTTVIK</t>
        </is>
      </c>
      <c r="I2063" t="n">
        <v>14.3</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56668-2024</t>
        </is>
      </c>
      <c r="B2064" t="inlineStr">
        <is>
          <t>avverkningsanmälan</t>
        </is>
      </c>
      <c r="C2064" t="inlineStr">
        <is>
          <t>Föryngringsavverkning</t>
        </is>
      </c>
      <c r="D2064" s="1" t="n">
        <v>45626</v>
      </c>
      <c r="E2064" s="1" t="n">
        <v>46319</v>
      </c>
      <c r="F2064" t="inlineStr">
        <is>
          <t>DALARNAS LÄN</t>
        </is>
      </c>
      <c r="G2064" t="inlineStr">
        <is>
          <t>HEDEMORA</t>
        </is>
      </c>
      <c r="H2064" t="inlineStr">
        <is>
          <t>Sveaskog</t>
        </is>
      </c>
      <c r="I2064" t="n">
        <v>17</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39761-2022</t>
        </is>
      </c>
      <c r="B2065" t="inlineStr">
        <is>
          <t>avverkningsanmälan</t>
        </is>
      </c>
      <c r="C2065" t="inlineStr">
        <is>
          <t>Föryngringsavverkning</t>
        </is>
      </c>
      <c r="D2065" s="1" t="n">
        <v>44819</v>
      </c>
      <c r="E2065" s="1" t="n">
        <v>46319</v>
      </c>
      <c r="F2065" t="inlineStr">
        <is>
          <t>DALARNAS LÄN</t>
        </is>
      </c>
      <c r="G2065" t="inlineStr">
        <is>
          <t>LUDVIKA</t>
        </is>
      </c>
      <c r="H2065" t="inlineStr">
        <is>
          <t>Naturvårdsverket</t>
        </is>
      </c>
      <c r="I2065" t="n">
        <v>1</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29740-2025</t>
        </is>
      </c>
      <c r="B2066" t="inlineStr">
        <is>
          <t>avverkningsanmälan</t>
        </is>
      </c>
      <c r="C2066" t="inlineStr">
        <is>
          <t>Föryngringsavverkning</t>
        </is>
      </c>
      <c r="D2066" s="1" t="n">
        <v>45825</v>
      </c>
      <c r="E2066" s="1" t="n">
        <v>46319</v>
      </c>
      <c r="F2066" t="inlineStr">
        <is>
          <t>DALARNAS LÄN</t>
        </is>
      </c>
      <c r="G2066" t="inlineStr">
        <is>
          <t>FALUN</t>
        </is>
      </c>
      <c r="I2066" t="n">
        <v>4.7</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35403-2022</t>
        </is>
      </c>
      <c r="B2067" t="inlineStr">
        <is>
          <t>avverkningsanmälan</t>
        </is>
      </c>
      <c r="C2067" t="inlineStr">
        <is>
          <t>Föryngringsavverkning</t>
        </is>
      </c>
      <c r="D2067" s="1" t="n">
        <v>44798</v>
      </c>
      <c r="E2067" s="1" t="n">
        <v>46319</v>
      </c>
      <c r="F2067" t="inlineStr">
        <is>
          <t>DALARNAS LÄN</t>
        </is>
      </c>
      <c r="G2067" t="inlineStr">
        <is>
          <t>RÄTTVIK</t>
        </is>
      </c>
      <c r="I2067" t="n">
        <v>4.2</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26527-2022</t>
        </is>
      </c>
      <c r="B2068" t="inlineStr">
        <is>
          <t>avverkningsanmälan</t>
        </is>
      </c>
      <c r="C2068" t="inlineStr">
        <is>
          <t>Föryngringsavverkning</t>
        </is>
      </c>
      <c r="D2068" s="1" t="n">
        <v>44739</v>
      </c>
      <c r="E2068" s="1" t="n">
        <v>46319</v>
      </c>
      <c r="F2068" t="inlineStr">
        <is>
          <t>DALARNAS LÄN</t>
        </is>
      </c>
      <c r="G2068" t="inlineStr">
        <is>
          <t>AVESTA</t>
        </is>
      </c>
      <c r="I2068" t="n">
        <v>0.9</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26439-2024</t>
        </is>
      </c>
      <c r="B2069" t="inlineStr">
        <is>
          <t>avverkningsanmälan</t>
        </is>
      </c>
      <c r="C2069" t="inlineStr">
        <is>
          <t>Föryngringsavverkning</t>
        </is>
      </c>
      <c r="D2069" s="1" t="n">
        <v>45469</v>
      </c>
      <c r="E2069" s="1" t="n">
        <v>46319</v>
      </c>
      <c r="F2069" t="inlineStr">
        <is>
          <t>DALARNAS LÄN</t>
        </is>
      </c>
      <c r="G2069" t="inlineStr">
        <is>
          <t>SMEDJEBACKEN</t>
        </is>
      </c>
      <c r="H2069" t="inlineStr">
        <is>
          <t>Bergvik skog väst AB</t>
        </is>
      </c>
      <c r="I2069" t="n">
        <v>3.5</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25534-2023</t>
        </is>
      </c>
      <c r="B2070" t="inlineStr">
        <is>
          <t>avverkningsanmälan</t>
        </is>
      </c>
      <c r="C2070" t="inlineStr">
        <is>
          <t>Föryngringsavverkning</t>
        </is>
      </c>
      <c r="D2070" s="1" t="n">
        <v>45089</v>
      </c>
      <c r="E2070" s="1" t="n">
        <v>46319</v>
      </c>
      <c r="F2070" t="inlineStr">
        <is>
          <t>DALARNAS LÄN</t>
        </is>
      </c>
      <c r="G2070" t="inlineStr">
        <is>
          <t>MALUNG-SÄLEN</t>
        </is>
      </c>
      <c r="I2070" t="n">
        <v>2.6</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17807-2022</t>
        </is>
      </c>
      <c r="B2071" t="inlineStr">
        <is>
          <t>avverkningsanmälan</t>
        </is>
      </c>
      <c r="C2071" t="inlineStr">
        <is>
          <t>Föryngringsavverkning</t>
        </is>
      </c>
      <c r="D2071" s="1" t="n">
        <v>44673</v>
      </c>
      <c r="E2071" s="1" t="n">
        <v>46319</v>
      </c>
      <c r="F2071" t="inlineStr">
        <is>
          <t>DALARNAS LÄN</t>
        </is>
      </c>
      <c r="G2071" t="inlineStr">
        <is>
          <t>VANSBRO</t>
        </is>
      </c>
      <c r="I2071" t="n">
        <v>0.9</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7526-2025</t>
        </is>
      </c>
      <c r="B2072" t="inlineStr">
        <is>
          <t>avverkningsanmälan</t>
        </is>
      </c>
      <c r="C2072" t="inlineStr">
        <is>
          <t>Föryngringsavverkning</t>
        </is>
      </c>
      <c r="D2072" s="1" t="n">
        <v>45705</v>
      </c>
      <c r="E2072" s="1" t="n">
        <v>46319</v>
      </c>
      <c r="F2072" t="inlineStr">
        <is>
          <t>DALARNAS LÄN</t>
        </is>
      </c>
      <c r="G2072" t="inlineStr">
        <is>
          <t>LUDVIKA</t>
        </is>
      </c>
      <c r="I2072" t="n">
        <v>0.3</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38611-2022</t>
        </is>
      </c>
      <c r="B2073" t="inlineStr">
        <is>
          <t>avverkningsanmälan</t>
        </is>
      </c>
      <c r="C2073" t="inlineStr">
        <is>
          <t>Föryngringsavverkning</t>
        </is>
      </c>
      <c r="D2073" s="1" t="n">
        <v>44813</v>
      </c>
      <c r="E2073" s="1" t="n">
        <v>46319</v>
      </c>
      <c r="F2073" t="inlineStr">
        <is>
          <t>DALARNAS LÄN</t>
        </is>
      </c>
      <c r="G2073" t="inlineStr">
        <is>
          <t>ORSA</t>
        </is>
      </c>
      <c r="I2073" t="n">
        <v>3.6</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19559-2023</t>
        </is>
      </c>
      <c r="B2074" t="inlineStr">
        <is>
          <t>avverkningsanmälan</t>
        </is>
      </c>
      <c r="C2074" t="inlineStr">
        <is>
          <t>Avverkning för annat ändamål</t>
        </is>
      </c>
      <c r="D2074" s="1" t="n">
        <v>45050</v>
      </c>
      <c r="E2074" s="1" t="n">
        <v>46319</v>
      </c>
      <c r="F2074" t="inlineStr">
        <is>
          <t>DALARNAS LÄN</t>
        </is>
      </c>
      <c r="G2074" t="inlineStr">
        <is>
          <t>LEKSAND</t>
        </is>
      </c>
      <c r="I2074" t="n">
        <v>0.1</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14023-2023</t>
        </is>
      </c>
      <c r="B2075" t="inlineStr">
        <is>
          <t>avverkningsanmälan</t>
        </is>
      </c>
      <c r="C2075" t="inlineStr">
        <is>
          <t>Föryngringsavverkning</t>
        </is>
      </c>
      <c r="D2075" s="1" t="n">
        <v>45007</v>
      </c>
      <c r="E2075" s="1" t="n">
        <v>46319</v>
      </c>
      <c r="F2075" t="inlineStr">
        <is>
          <t>DALARNAS LÄN</t>
        </is>
      </c>
      <c r="G2075" t="inlineStr">
        <is>
          <t>AVESTA</t>
        </is>
      </c>
      <c r="I2075" t="n">
        <v>1</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57467-2023</t>
        </is>
      </c>
      <c r="B2076" t="inlineStr">
        <is>
          <t>avverkningsanmälan</t>
        </is>
      </c>
      <c r="C2076" t="inlineStr">
        <is>
          <t>Föryngringsavverkning</t>
        </is>
      </c>
      <c r="D2076" s="1" t="n">
        <v>45246</v>
      </c>
      <c r="E2076" s="1" t="n">
        <v>46319</v>
      </c>
      <c r="F2076" t="inlineStr">
        <is>
          <t>DALARNAS LÄN</t>
        </is>
      </c>
      <c r="G2076" t="inlineStr">
        <is>
          <t>ÄLVDALEN</t>
        </is>
      </c>
      <c r="I2076" t="n">
        <v>0.2</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8046-2024</t>
        </is>
      </c>
      <c r="B2077" t="inlineStr">
        <is>
          <t>avverkningsanmälan</t>
        </is>
      </c>
      <c r="C2077" t="inlineStr">
        <is>
          <t>Föryngringsavverkning</t>
        </is>
      </c>
      <c r="D2077" s="1" t="n">
        <v>45351</v>
      </c>
      <c r="E2077" s="1" t="n">
        <v>46319</v>
      </c>
      <c r="F2077" t="inlineStr">
        <is>
          <t>DALARNAS LÄN</t>
        </is>
      </c>
      <c r="G2077" t="inlineStr">
        <is>
          <t>LEKSAND</t>
        </is>
      </c>
      <c r="I2077" t="n">
        <v>2.9</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38721-2025</t>
        </is>
      </c>
      <c r="B2078" t="inlineStr">
        <is>
          <t>avverkningsanmälan</t>
        </is>
      </c>
      <c r="C2078" t="inlineStr">
        <is>
          <t>Föryngringsavverkning</t>
        </is>
      </c>
      <c r="D2078" s="1" t="n">
        <v>45886</v>
      </c>
      <c r="E2078" s="1" t="n">
        <v>46319</v>
      </c>
      <c r="F2078" t="inlineStr">
        <is>
          <t>DALARNAS LÄN</t>
        </is>
      </c>
      <c r="G2078" t="inlineStr">
        <is>
          <t>LEKSAND</t>
        </is>
      </c>
      <c r="I2078" t="n">
        <v>1.3</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38748-2025</t>
        </is>
      </c>
      <c r="B2079" t="inlineStr">
        <is>
          <t>avverkningsanmälan</t>
        </is>
      </c>
      <c r="C2079" t="inlineStr">
        <is>
          <t>Föryngringsavverkning</t>
        </is>
      </c>
      <c r="D2079" s="1" t="n">
        <v>45887</v>
      </c>
      <c r="E2079" s="1" t="n">
        <v>46319</v>
      </c>
      <c r="F2079" t="inlineStr">
        <is>
          <t>DALARNAS LÄN</t>
        </is>
      </c>
      <c r="G2079" t="inlineStr">
        <is>
          <t>FALUN</t>
        </is>
      </c>
      <c r="H2079" t="inlineStr">
        <is>
          <t>Bergvik skog väst AB</t>
        </is>
      </c>
      <c r="I2079" t="n">
        <v>4.8</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43829-2023</t>
        </is>
      </c>
      <c r="B2080" t="inlineStr">
        <is>
          <t>avverkningsanmälan</t>
        </is>
      </c>
      <c r="C2080" t="inlineStr">
        <is>
          <t>Föryngringsavverkning</t>
        </is>
      </c>
      <c r="D2080" s="1" t="n">
        <v>45187</v>
      </c>
      <c r="E2080" s="1" t="n">
        <v>46319</v>
      </c>
      <c r="F2080" t="inlineStr">
        <is>
          <t>DALARNAS LÄN</t>
        </is>
      </c>
      <c r="G2080" t="inlineStr">
        <is>
          <t>MALUNG-SÄLEN</t>
        </is>
      </c>
      <c r="I2080" t="n">
        <v>1.4</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26622-2023</t>
        </is>
      </c>
      <c r="B2081" t="inlineStr">
        <is>
          <t>avverkningsanmälan</t>
        </is>
      </c>
      <c r="C2081" t="inlineStr">
        <is>
          <t>Avverkning för att bevara och utveckla /försöksver</t>
        </is>
      </c>
      <c r="D2081" s="1" t="n">
        <v>45092</v>
      </c>
      <c r="E2081" s="1" t="n">
        <v>46319</v>
      </c>
      <c r="F2081" t="inlineStr">
        <is>
          <t>DALARNAS LÄN</t>
        </is>
      </c>
      <c r="G2081" t="inlineStr">
        <is>
          <t>GAGNEF</t>
        </is>
      </c>
      <c r="H2081" t="inlineStr">
        <is>
          <t>Bergvik skog väst AB</t>
        </is>
      </c>
      <c r="I2081" t="n">
        <v>10.5</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2948-2025</t>
        </is>
      </c>
      <c r="B2082" t="inlineStr">
        <is>
          <t>avverkningsanmälan</t>
        </is>
      </c>
      <c r="C2082" t="inlineStr">
        <is>
          <t>Föryngringsavverkning</t>
        </is>
      </c>
      <c r="D2082" s="1" t="n">
        <v>45678</v>
      </c>
      <c r="E2082" s="1" t="n">
        <v>46319</v>
      </c>
      <c r="F2082" t="inlineStr">
        <is>
          <t>DALARNAS LÄN</t>
        </is>
      </c>
      <c r="G2082" t="inlineStr">
        <is>
          <t>ORSA</t>
        </is>
      </c>
      <c r="I2082" t="n">
        <v>2</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51704-2024</t>
        </is>
      </c>
      <c r="B2083" t="inlineStr">
        <is>
          <t>avverkningsanmälan</t>
        </is>
      </c>
      <c r="C2083" t="inlineStr">
        <is>
          <t>Föryngringsavverkning</t>
        </is>
      </c>
      <c r="D2083" s="1" t="n">
        <v>45607</v>
      </c>
      <c r="E2083" s="1" t="n">
        <v>46319</v>
      </c>
      <c r="F2083" t="inlineStr">
        <is>
          <t>DALARNAS LÄN</t>
        </is>
      </c>
      <c r="G2083" t="inlineStr">
        <is>
          <t>LUDVIKA</t>
        </is>
      </c>
      <c r="H2083" t="inlineStr">
        <is>
          <t>Bergvik skog väst AB</t>
        </is>
      </c>
      <c r="I2083" t="n">
        <v>2.2</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50029-2023</t>
        </is>
      </c>
      <c r="B2084" t="inlineStr">
        <is>
          <t>avverkningsanmälan</t>
        </is>
      </c>
      <c r="C2084" t="inlineStr">
        <is>
          <t>Föryngringsavverkning</t>
        </is>
      </c>
      <c r="D2084" s="1" t="n">
        <v>45215</v>
      </c>
      <c r="E2084" s="1" t="n">
        <v>46319</v>
      </c>
      <c r="F2084" t="inlineStr">
        <is>
          <t>DALARNAS LÄN</t>
        </is>
      </c>
      <c r="G2084" t="inlineStr">
        <is>
          <t>MALUNG-SÄLEN</t>
        </is>
      </c>
      <c r="H2084" t="inlineStr">
        <is>
          <t>Bergvik skog öst AB</t>
        </is>
      </c>
      <c r="I2084" t="n">
        <v>1.7</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36306-2024</t>
        </is>
      </c>
      <c r="B2085" t="inlineStr">
        <is>
          <t>avverkningsanmälan</t>
        </is>
      </c>
      <c r="C2085" t="inlineStr">
        <is>
          <t>Föryngringsavverkning</t>
        </is>
      </c>
      <c r="D2085" s="1" t="n">
        <v>45534</v>
      </c>
      <c r="E2085" s="1" t="n">
        <v>46319</v>
      </c>
      <c r="F2085" t="inlineStr">
        <is>
          <t>DALARNAS LÄN</t>
        </is>
      </c>
      <c r="G2085" t="inlineStr">
        <is>
          <t>HEDEMORA</t>
        </is>
      </c>
      <c r="H2085" t="inlineStr">
        <is>
          <t>Sveaskog</t>
        </is>
      </c>
      <c r="I2085" t="n">
        <v>0.9</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51160-2023</t>
        </is>
      </c>
      <c r="B2086" t="inlineStr">
        <is>
          <t>avverkningsanmälan</t>
        </is>
      </c>
      <c r="C2086" t="inlineStr">
        <is>
          <t>Föryngringsavverkning</t>
        </is>
      </c>
      <c r="D2086" s="1" t="n">
        <v>45219</v>
      </c>
      <c r="E2086" s="1" t="n">
        <v>46319</v>
      </c>
      <c r="F2086" t="inlineStr">
        <is>
          <t>DALARNAS LÄN</t>
        </is>
      </c>
      <c r="G2086" t="inlineStr">
        <is>
          <t>LUDVIKA</t>
        </is>
      </c>
      <c r="H2086" t="inlineStr">
        <is>
          <t>Bergvik skog väst AB</t>
        </is>
      </c>
      <c r="I2086" t="n">
        <v>0.9</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51164-2023</t>
        </is>
      </c>
      <c r="B2087" t="inlineStr">
        <is>
          <t>avverkningsanmälan</t>
        </is>
      </c>
      <c r="C2087" t="inlineStr">
        <is>
          <t>Föryngringsavverkning</t>
        </is>
      </c>
      <c r="D2087" s="1" t="n">
        <v>45219</v>
      </c>
      <c r="E2087" s="1" t="n">
        <v>46319</v>
      </c>
      <c r="F2087" t="inlineStr">
        <is>
          <t>DALARNAS LÄN</t>
        </is>
      </c>
      <c r="G2087" t="inlineStr">
        <is>
          <t>SMEDJEBACKEN</t>
        </is>
      </c>
      <c r="I2087" t="n">
        <v>1.5</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16901-2024</t>
        </is>
      </c>
      <c r="B2088" t="inlineStr">
        <is>
          <t>avverkningsanmälan</t>
        </is>
      </c>
      <c r="C2088" t="inlineStr">
        <is>
          <t>Föryngringsavverkning</t>
        </is>
      </c>
      <c r="D2088" s="1" t="n">
        <v>45411</v>
      </c>
      <c r="E2088" s="1" t="n">
        <v>46319</v>
      </c>
      <c r="F2088" t="inlineStr">
        <is>
          <t>DALARNAS LÄN</t>
        </is>
      </c>
      <c r="G2088" t="inlineStr">
        <is>
          <t>SÄTER</t>
        </is>
      </c>
      <c r="I2088" t="n">
        <v>1.1</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27070-2022</t>
        </is>
      </c>
      <c r="B2089" t="inlineStr">
        <is>
          <t>avverkningsanmälan</t>
        </is>
      </c>
      <c r="C2089" t="inlineStr">
        <is>
          <t>Föryngringsavverkning</t>
        </is>
      </c>
      <c r="D2089" s="1" t="n">
        <v>44741</v>
      </c>
      <c r="E2089" s="1" t="n">
        <v>46319</v>
      </c>
      <c r="F2089" t="inlineStr">
        <is>
          <t>DALARNAS LÄN</t>
        </is>
      </c>
      <c r="G2089" t="inlineStr">
        <is>
          <t>SMEDJEBACKEN</t>
        </is>
      </c>
      <c r="H2089" t="inlineStr">
        <is>
          <t>Sveaskog</t>
        </is>
      </c>
      <c r="I2089" t="n">
        <v>3</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1697-2025</t>
        </is>
      </c>
      <c r="B2090" t="inlineStr">
        <is>
          <t>avverkningsanmälan</t>
        </is>
      </c>
      <c r="C2090" t="inlineStr">
        <is>
          <t>Föryngringsavverkning</t>
        </is>
      </c>
      <c r="D2090" s="1" t="n">
        <v>45670</v>
      </c>
      <c r="E2090" s="1" t="n">
        <v>46319</v>
      </c>
      <c r="F2090" t="inlineStr">
        <is>
          <t>DALARNAS LÄN</t>
        </is>
      </c>
      <c r="G2090" t="inlineStr">
        <is>
          <t>FALUN</t>
        </is>
      </c>
      <c r="I2090" t="n">
        <v>13.5</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31552-2022</t>
        </is>
      </c>
      <c r="B2091" t="inlineStr">
        <is>
          <t>avverkningsanmälan</t>
        </is>
      </c>
      <c r="C2091" t="inlineStr">
        <is>
          <t>Föryngringsavverkning</t>
        </is>
      </c>
      <c r="D2091" s="1" t="n">
        <v>44775</v>
      </c>
      <c r="E2091" s="1" t="n">
        <v>46319</v>
      </c>
      <c r="F2091" t="inlineStr">
        <is>
          <t>DALARNAS LÄN</t>
        </is>
      </c>
      <c r="G2091" t="inlineStr">
        <is>
          <t>RÄTTVIK</t>
        </is>
      </c>
      <c r="I2091" t="n">
        <v>1.1</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31555-2022</t>
        </is>
      </c>
      <c r="B2092" t="inlineStr">
        <is>
          <t>avverkningsanmälan</t>
        </is>
      </c>
      <c r="C2092" t="inlineStr">
        <is>
          <t>Föryngringsavverkning</t>
        </is>
      </c>
      <c r="D2092" s="1" t="n">
        <v>44775</v>
      </c>
      <c r="E2092" s="1" t="n">
        <v>46319</v>
      </c>
      <c r="F2092" t="inlineStr">
        <is>
          <t>DALARNAS LÄN</t>
        </is>
      </c>
      <c r="G2092" t="inlineStr">
        <is>
          <t>RÄTTVIK</t>
        </is>
      </c>
      <c r="I2092" t="n">
        <v>1.2</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46577-2023</t>
        </is>
      </c>
      <c r="B2093" t="inlineStr">
        <is>
          <t>avverkningsanmälan</t>
        </is>
      </c>
      <c r="C2093" t="inlineStr">
        <is>
          <t>Föryngringsavverkning</t>
        </is>
      </c>
      <c r="D2093" s="1" t="n">
        <v>45198</v>
      </c>
      <c r="E2093" s="1" t="n">
        <v>46319</v>
      </c>
      <c r="F2093" t="inlineStr">
        <is>
          <t>DALARNAS LÄN</t>
        </is>
      </c>
      <c r="G2093" t="inlineStr">
        <is>
          <t>SÄTER</t>
        </is>
      </c>
      <c r="I2093" t="n">
        <v>2.1</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54159-2022</t>
        </is>
      </c>
      <c r="B2094" t="inlineStr">
        <is>
          <t>avverkningsanmälan</t>
        </is>
      </c>
      <c r="C2094" t="inlineStr">
        <is>
          <t>Föryngringsavverkning</t>
        </is>
      </c>
      <c r="D2094" s="1" t="n">
        <v>44881</v>
      </c>
      <c r="E2094" s="1" t="n">
        <v>46319</v>
      </c>
      <c r="F2094" t="inlineStr">
        <is>
          <t>DALARNAS LÄN</t>
        </is>
      </c>
      <c r="G2094" t="inlineStr">
        <is>
          <t>VANSBRO</t>
        </is>
      </c>
      <c r="I2094" t="n">
        <v>1.8</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38754-2025</t>
        </is>
      </c>
      <c r="B2095" t="inlineStr">
        <is>
          <t>avverkningsanmälan</t>
        </is>
      </c>
      <c r="C2095" t="inlineStr">
        <is>
          <t>Föryngringsavverkning</t>
        </is>
      </c>
      <c r="D2095" s="1" t="n">
        <v>45887</v>
      </c>
      <c r="E2095" s="1" t="n">
        <v>46319</v>
      </c>
      <c r="F2095" t="inlineStr">
        <is>
          <t>DALARNAS LÄN</t>
        </is>
      </c>
      <c r="G2095" t="inlineStr">
        <is>
          <t>ÄLVDALEN</t>
        </is>
      </c>
      <c r="H2095" t="inlineStr">
        <is>
          <t>Bergvik skog väst AB</t>
        </is>
      </c>
      <c r="I2095" t="n">
        <v>7.1</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39824-2022</t>
        </is>
      </c>
      <c r="B2096" t="inlineStr">
        <is>
          <t>avverkningsanmälan</t>
        </is>
      </c>
      <c r="C2096" t="inlineStr">
        <is>
          <t>Föryngringsavverkning</t>
        </is>
      </c>
      <c r="D2096" s="1" t="n">
        <v>44819</v>
      </c>
      <c r="E2096" s="1" t="n">
        <v>46319</v>
      </c>
      <c r="F2096" t="inlineStr">
        <is>
          <t>DALARNAS LÄN</t>
        </is>
      </c>
      <c r="G2096" t="inlineStr">
        <is>
          <t>FALUN</t>
        </is>
      </c>
      <c r="I2096" t="n">
        <v>3.4</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27480-2022</t>
        </is>
      </c>
      <c r="B2097" t="inlineStr">
        <is>
          <t>avverkningsanmälan</t>
        </is>
      </c>
      <c r="C2097" t="inlineStr">
        <is>
          <t>Föryngringsavverkning</t>
        </is>
      </c>
      <c r="D2097" s="1" t="n">
        <v>44742</v>
      </c>
      <c r="E2097" s="1" t="n">
        <v>46319</v>
      </c>
      <c r="F2097" t="inlineStr">
        <is>
          <t>DALARNAS LÄN</t>
        </is>
      </c>
      <c r="G2097" t="inlineStr">
        <is>
          <t>ÄLVDALEN</t>
        </is>
      </c>
      <c r="H2097" t="inlineStr">
        <is>
          <t>Bergvik skog väst AB</t>
        </is>
      </c>
      <c r="I2097" t="n">
        <v>4.1</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12345-2022</t>
        </is>
      </c>
      <c r="B2098" t="inlineStr">
        <is>
          <t>avverkningsanmälan</t>
        </is>
      </c>
      <c r="C2098" t="inlineStr">
        <is>
          <t>Föryngringsavverkning</t>
        </is>
      </c>
      <c r="D2098" s="1" t="n">
        <v>44637</v>
      </c>
      <c r="E2098" s="1" t="n">
        <v>46319</v>
      </c>
      <c r="F2098" t="inlineStr">
        <is>
          <t>DALARNAS LÄN</t>
        </is>
      </c>
      <c r="G2098" t="inlineStr">
        <is>
          <t>MALUNG-SÄLEN</t>
        </is>
      </c>
      <c r="H2098" t="inlineStr">
        <is>
          <t>Allmännings- och besparingsskogar</t>
        </is>
      </c>
      <c r="I2098" t="n">
        <v>17.5</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14951-2025</t>
        </is>
      </c>
      <c r="B2099" t="inlineStr">
        <is>
          <t>avverkningsanmälan</t>
        </is>
      </c>
      <c r="C2099" t="inlineStr">
        <is>
          <t>Föryngringsavverkning</t>
        </is>
      </c>
      <c r="D2099" s="1" t="n">
        <v>45743</v>
      </c>
      <c r="E2099" s="1" t="n">
        <v>46319</v>
      </c>
      <c r="F2099" t="inlineStr">
        <is>
          <t>DALARNAS LÄN</t>
        </is>
      </c>
      <c r="G2099" t="inlineStr">
        <is>
          <t>HEDEMORA</t>
        </is>
      </c>
      <c r="I2099" t="n">
        <v>1.6</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5841-2024</t>
        </is>
      </c>
      <c r="B2100" t="inlineStr">
        <is>
          <t>avverkningsanmälan</t>
        </is>
      </c>
      <c r="C2100" t="inlineStr">
        <is>
          <t>Föryngringsavverkning</t>
        </is>
      </c>
      <c r="D2100" s="1" t="n">
        <v>45335</v>
      </c>
      <c r="E2100" s="1" t="n">
        <v>46319</v>
      </c>
      <c r="F2100" t="inlineStr">
        <is>
          <t>DALARNAS LÄN</t>
        </is>
      </c>
      <c r="G2100" t="inlineStr">
        <is>
          <t>LUDVIKA</t>
        </is>
      </c>
      <c r="I2100" t="n">
        <v>1.6</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21216-2023</t>
        </is>
      </c>
      <c r="B2101" t="inlineStr">
        <is>
          <t>avverkningsanmälan</t>
        </is>
      </c>
      <c r="C2101" t="inlineStr">
        <is>
          <t>Föryngringsavverkning</t>
        </is>
      </c>
      <c r="D2101" s="1" t="n">
        <v>45062</v>
      </c>
      <c r="E2101" s="1" t="n">
        <v>46319</v>
      </c>
      <c r="F2101" t="inlineStr">
        <is>
          <t>DALARNAS LÄN</t>
        </is>
      </c>
      <c r="G2101" t="inlineStr">
        <is>
          <t>ORSA</t>
        </is>
      </c>
      <c r="H2101" t="inlineStr">
        <is>
          <t>Bergvik skog öst AB</t>
        </is>
      </c>
      <c r="I2101" t="n">
        <v>3.8</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3637-2024</t>
        </is>
      </c>
      <c r="B2102" t="inlineStr">
        <is>
          <t>avverkningsanmälan</t>
        </is>
      </c>
      <c r="C2102" t="inlineStr">
        <is>
          <t>Föryngringsavverkning</t>
        </is>
      </c>
      <c r="D2102" s="1" t="n">
        <v>45321</v>
      </c>
      <c r="E2102" s="1" t="n">
        <v>46319</v>
      </c>
      <c r="F2102" t="inlineStr">
        <is>
          <t>DALARNAS LÄN</t>
        </is>
      </c>
      <c r="G2102" t="inlineStr">
        <is>
          <t>SÄTER</t>
        </is>
      </c>
      <c r="I2102" t="n">
        <v>0.9</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3640-2024</t>
        </is>
      </c>
      <c r="B2103" t="inlineStr">
        <is>
          <t>avverkningsanmälan</t>
        </is>
      </c>
      <c r="C2103" t="inlineStr">
        <is>
          <t>Föryngringsavverkning</t>
        </is>
      </c>
      <c r="D2103" s="1" t="n">
        <v>45321</v>
      </c>
      <c r="E2103" s="1" t="n">
        <v>46319</v>
      </c>
      <c r="F2103" t="inlineStr">
        <is>
          <t>DALARNAS LÄN</t>
        </is>
      </c>
      <c r="G2103" t="inlineStr">
        <is>
          <t>RÄTTVIK</t>
        </is>
      </c>
      <c r="I2103" t="n">
        <v>0.2</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39564-2025</t>
        </is>
      </c>
      <c r="B2104" t="inlineStr">
        <is>
          <t>avverkningsanmälan</t>
        </is>
      </c>
      <c r="C2104" t="inlineStr">
        <is>
          <t>Föryngringsavverkning</t>
        </is>
      </c>
      <c r="D2104" s="1" t="n">
        <v>45890</v>
      </c>
      <c r="E2104" s="1" t="n">
        <v>46319</v>
      </c>
      <c r="F2104" t="inlineStr">
        <is>
          <t>DALARNAS LÄN</t>
        </is>
      </c>
      <c r="G2104" t="inlineStr">
        <is>
          <t>MALUNG-SÄLEN</t>
        </is>
      </c>
      <c r="H2104" t="inlineStr">
        <is>
          <t>Naturvårdsverket</t>
        </is>
      </c>
      <c r="I2104" t="n">
        <v>1.1</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39574-2025</t>
        </is>
      </c>
      <c r="B2105" t="inlineStr">
        <is>
          <t>avverkningsanmälan</t>
        </is>
      </c>
      <c r="C2105" t="inlineStr">
        <is>
          <t>Föryngringsavverkning</t>
        </is>
      </c>
      <c r="D2105" s="1" t="n">
        <v>45890</v>
      </c>
      <c r="E2105" s="1" t="n">
        <v>46319</v>
      </c>
      <c r="F2105" t="inlineStr">
        <is>
          <t>DALARNAS LÄN</t>
        </is>
      </c>
      <c r="G2105" t="inlineStr">
        <is>
          <t>MALUNG-SÄLEN</t>
        </is>
      </c>
      <c r="H2105" t="inlineStr">
        <is>
          <t>Bergvik skog väst AB</t>
        </is>
      </c>
      <c r="I2105" t="n">
        <v>1.3</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28128-2022</t>
        </is>
      </c>
      <c r="B2106" t="inlineStr">
        <is>
          <t>avverkningsanmälan</t>
        </is>
      </c>
      <c r="C2106" t="inlineStr">
        <is>
          <t>Föryngringsavverkning</t>
        </is>
      </c>
      <c r="D2106" s="1" t="n">
        <v>44746</v>
      </c>
      <c r="E2106" s="1" t="n">
        <v>46319</v>
      </c>
      <c r="F2106" t="inlineStr">
        <is>
          <t>DALARNAS LÄN</t>
        </is>
      </c>
      <c r="G2106" t="inlineStr">
        <is>
          <t>LEKSAND</t>
        </is>
      </c>
      <c r="I2106" t="n">
        <v>3.5</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39639-2025</t>
        </is>
      </c>
      <c r="B2107" t="inlineStr">
        <is>
          <t>avverkningsanmälan</t>
        </is>
      </c>
      <c r="C2107" t="inlineStr">
        <is>
          <t>Föryngringsavverkning</t>
        </is>
      </c>
      <c r="D2107" s="1" t="n">
        <v>45890</v>
      </c>
      <c r="E2107" s="1" t="n">
        <v>46319</v>
      </c>
      <c r="F2107" t="inlineStr">
        <is>
          <t>DALARNAS LÄN</t>
        </is>
      </c>
      <c r="G2107" t="inlineStr">
        <is>
          <t>FALUN</t>
        </is>
      </c>
      <c r="H2107" t="inlineStr">
        <is>
          <t>Bergvik skog väst AB</t>
        </is>
      </c>
      <c r="I2107" t="n">
        <v>5.6</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39520-2025</t>
        </is>
      </c>
      <c r="B2108" t="inlineStr">
        <is>
          <t>avverkningsanmälan</t>
        </is>
      </c>
      <c r="C2108" t="inlineStr">
        <is>
          <t>Föryngringsavverkning</t>
        </is>
      </c>
      <c r="D2108" s="1" t="n">
        <v>45890</v>
      </c>
      <c r="E2108" s="1" t="n">
        <v>46319</v>
      </c>
      <c r="F2108" t="inlineStr">
        <is>
          <t>DALARNAS LÄN</t>
        </is>
      </c>
      <c r="G2108" t="inlineStr">
        <is>
          <t>BORLÄNGE</t>
        </is>
      </c>
      <c r="H2108" t="inlineStr">
        <is>
          <t>Bergvik skog väst AB</t>
        </is>
      </c>
      <c r="I2108" t="n">
        <v>2.1</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38375-2025</t>
        </is>
      </c>
      <c r="B2109" t="inlineStr">
        <is>
          <t>avverkningsanmälan</t>
        </is>
      </c>
      <c r="C2109" t="inlineStr">
        <is>
          <t>Föryngringsavverkning</t>
        </is>
      </c>
      <c r="D2109" s="1" t="n">
        <v>45883</v>
      </c>
      <c r="E2109" s="1" t="n">
        <v>46319</v>
      </c>
      <c r="F2109" t="inlineStr">
        <is>
          <t>DALARNAS LÄN</t>
        </is>
      </c>
      <c r="G2109" t="inlineStr">
        <is>
          <t>BORLÄNGE</t>
        </is>
      </c>
      <c r="I2109" t="n">
        <v>1</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62130-2023</t>
        </is>
      </c>
      <c r="B2110" t="inlineStr">
        <is>
          <t>avverkningsanmälan</t>
        </is>
      </c>
      <c r="C2110" t="inlineStr">
        <is>
          <t>Föryngringsavverkning</t>
        </is>
      </c>
      <c r="D2110" s="1" t="n">
        <v>45267</v>
      </c>
      <c r="E2110" s="1" t="n">
        <v>46319</v>
      </c>
      <c r="F2110" t="inlineStr">
        <is>
          <t>DALARNAS LÄN</t>
        </is>
      </c>
      <c r="G2110" t="inlineStr">
        <is>
          <t>AVESTA</t>
        </is>
      </c>
      <c r="I2110" t="n">
        <v>1.7</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62207-2023</t>
        </is>
      </c>
      <c r="B2111" t="inlineStr">
        <is>
          <t>avverkningsanmälan</t>
        </is>
      </c>
      <c r="C2111" t="inlineStr">
        <is>
          <t>Föryngringsavverkning</t>
        </is>
      </c>
      <c r="D2111" s="1" t="n">
        <v>45267</v>
      </c>
      <c r="E2111" s="1" t="n">
        <v>46319</v>
      </c>
      <c r="F2111" t="inlineStr">
        <is>
          <t>DALARNAS LÄN</t>
        </is>
      </c>
      <c r="G2111" t="inlineStr">
        <is>
          <t>RÄTTVIK</t>
        </is>
      </c>
      <c r="I2111" t="n">
        <v>2</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4923-2024</t>
        </is>
      </c>
      <c r="B2112" t="inlineStr">
        <is>
          <t>avverkningsanmälan</t>
        </is>
      </c>
      <c r="C2112" t="inlineStr">
        <is>
          <t>Föryngringsavverkning</t>
        </is>
      </c>
      <c r="D2112" s="1" t="n">
        <v>45329</v>
      </c>
      <c r="E2112" s="1" t="n">
        <v>46319</v>
      </c>
      <c r="F2112" t="inlineStr">
        <is>
          <t>DALARNAS LÄN</t>
        </is>
      </c>
      <c r="G2112" t="inlineStr">
        <is>
          <t>FALUN</t>
        </is>
      </c>
      <c r="I2112" t="n">
        <v>0.5</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38001-2023</t>
        </is>
      </c>
      <c r="B2113" t="inlineStr">
        <is>
          <t>avverkningsanmälan</t>
        </is>
      </c>
      <c r="C2113" t="inlineStr">
        <is>
          <t>Föryngringsavverkning</t>
        </is>
      </c>
      <c r="D2113" s="1" t="n">
        <v>45160</v>
      </c>
      <c r="E2113" s="1" t="n">
        <v>46319</v>
      </c>
      <c r="F2113" t="inlineStr">
        <is>
          <t>DALARNAS LÄN</t>
        </is>
      </c>
      <c r="G2113" t="inlineStr">
        <is>
          <t>LEKSAND</t>
        </is>
      </c>
      <c r="I2113" t="n">
        <v>3.6</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6171-2025</t>
        </is>
      </c>
      <c r="B2114" t="inlineStr">
        <is>
          <t>avverkningsanmälan</t>
        </is>
      </c>
      <c r="C2114" t="inlineStr">
        <is>
          <t>Föryngringsavverkning</t>
        </is>
      </c>
      <c r="D2114" s="1" t="n">
        <v>45698</v>
      </c>
      <c r="E2114" s="1" t="n">
        <v>46319</v>
      </c>
      <c r="F2114" t="inlineStr">
        <is>
          <t>DALARNAS LÄN</t>
        </is>
      </c>
      <c r="G2114" t="inlineStr">
        <is>
          <t>ORSA</t>
        </is>
      </c>
      <c r="I2114" t="n">
        <v>11.1</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64925-2021</t>
        </is>
      </c>
      <c r="B2115" t="inlineStr">
        <is>
          <t>avverkningsanmälan</t>
        </is>
      </c>
      <c r="C2115" t="inlineStr">
        <is>
          <t>Avverkning för att bevara och utveckla /försöksver</t>
        </is>
      </c>
      <c r="D2115" s="1" t="n">
        <v>44512</v>
      </c>
      <c r="E2115" s="1" t="n">
        <v>46319</v>
      </c>
      <c r="F2115" t="inlineStr">
        <is>
          <t>DALARNAS LÄN</t>
        </is>
      </c>
      <c r="G2115" t="inlineStr">
        <is>
          <t>GAGNEF</t>
        </is>
      </c>
      <c r="I2115" t="n">
        <v>1.3</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39393-2025</t>
        </is>
      </c>
      <c r="B2116" t="inlineStr">
        <is>
          <t>avverkningsanmälan</t>
        </is>
      </c>
      <c r="C2116" t="inlineStr">
        <is>
          <t>Föryngringsavverkning</t>
        </is>
      </c>
      <c r="D2116" s="1" t="n">
        <v>45889</v>
      </c>
      <c r="E2116" s="1" t="n">
        <v>46319</v>
      </c>
      <c r="F2116" t="inlineStr">
        <is>
          <t>DALARNAS LÄN</t>
        </is>
      </c>
      <c r="G2116" t="inlineStr">
        <is>
          <t>HEDEMORA</t>
        </is>
      </c>
      <c r="H2116" t="inlineStr">
        <is>
          <t>Sveaskog</t>
        </is>
      </c>
      <c r="I2116" t="n">
        <v>0.9</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19992-2023</t>
        </is>
      </c>
      <c r="B2117" t="inlineStr">
        <is>
          <t>avverkningsanmälan</t>
        </is>
      </c>
      <c r="C2117" t="inlineStr">
        <is>
          <t>Föryngringsavverkning</t>
        </is>
      </c>
      <c r="D2117" s="1" t="n">
        <v>45054</v>
      </c>
      <c r="E2117" s="1" t="n">
        <v>46319</v>
      </c>
      <c r="F2117" t="inlineStr">
        <is>
          <t>DALARNAS LÄN</t>
        </is>
      </c>
      <c r="G2117" t="inlineStr">
        <is>
          <t>ÄLVDALEN</t>
        </is>
      </c>
      <c r="I2117" t="n">
        <v>3.9</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30862-2024</t>
        </is>
      </c>
      <c r="B2118" t="inlineStr">
        <is>
          <t>avverkningsanmälan</t>
        </is>
      </c>
      <c r="C2118" t="inlineStr">
        <is>
          <t>Föryngringsavverkning</t>
        </is>
      </c>
      <c r="D2118" s="1" t="n">
        <v>45497</v>
      </c>
      <c r="E2118" s="1" t="n">
        <v>46319</v>
      </c>
      <c r="F2118" t="inlineStr">
        <is>
          <t>DALARNAS LÄN</t>
        </is>
      </c>
      <c r="G2118" t="inlineStr">
        <is>
          <t>AVESTA</t>
        </is>
      </c>
      <c r="H2118" t="inlineStr">
        <is>
          <t>Sveaskog</t>
        </is>
      </c>
      <c r="I2118" t="n">
        <v>0.9</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32428-2024</t>
        </is>
      </c>
      <c r="B2119" t="inlineStr">
        <is>
          <t>avverkningsanmälan</t>
        </is>
      </c>
      <c r="C2119" t="inlineStr">
        <is>
          <t>Föryngringsavverkning</t>
        </is>
      </c>
      <c r="D2119" s="1" t="n">
        <v>45512</v>
      </c>
      <c r="E2119" s="1" t="n">
        <v>46319</v>
      </c>
      <c r="F2119" t="inlineStr">
        <is>
          <t>DALARNAS LÄN</t>
        </is>
      </c>
      <c r="G2119" t="inlineStr">
        <is>
          <t>BORLÄNGE</t>
        </is>
      </c>
      <c r="H2119" t="inlineStr">
        <is>
          <t>Bergvik skog väst AB</t>
        </is>
      </c>
      <c r="I2119" t="n">
        <v>2.4</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39516-2025</t>
        </is>
      </c>
      <c r="B2120" t="inlineStr">
        <is>
          <t>avverkningsanmälan</t>
        </is>
      </c>
      <c r="C2120" t="inlineStr">
        <is>
          <t>Föryngringsavverkning</t>
        </is>
      </c>
      <c r="D2120" s="1" t="n">
        <v>45890</v>
      </c>
      <c r="E2120" s="1" t="n">
        <v>46319</v>
      </c>
      <c r="F2120" t="inlineStr">
        <is>
          <t>DALARNAS LÄN</t>
        </is>
      </c>
      <c r="G2120" t="inlineStr">
        <is>
          <t>LEKSAND</t>
        </is>
      </c>
      <c r="I2120" t="n">
        <v>3.6</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22816-2023</t>
        </is>
      </c>
      <c r="B2121" t="inlineStr">
        <is>
          <t>avverkningsanmälan</t>
        </is>
      </c>
      <c r="C2121" t="inlineStr">
        <is>
          <t>Föryngringsavverkning</t>
        </is>
      </c>
      <c r="D2121" s="1" t="n">
        <v>45072</v>
      </c>
      <c r="E2121" s="1" t="n">
        <v>46319</v>
      </c>
      <c r="F2121" t="inlineStr">
        <is>
          <t>DALARNAS LÄN</t>
        </is>
      </c>
      <c r="G2121" t="inlineStr">
        <is>
          <t>AVESTA</t>
        </is>
      </c>
      <c r="I2121" t="n">
        <v>4.2</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22847-2023</t>
        </is>
      </c>
      <c r="B2122" t="inlineStr">
        <is>
          <t>avverkningsanmälan</t>
        </is>
      </c>
      <c r="C2122" t="inlineStr">
        <is>
          <t>Föryngringsavverkning</t>
        </is>
      </c>
      <c r="D2122" s="1" t="n">
        <v>45072</v>
      </c>
      <c r="E2122" s="1" t="n">
        <v>46319</v>
      </c>
      <c r="F2122" t="inlineStr">
        <is>
          <t>DALARNAS LÄN</t>
        </is>
      </c>
      <c r="G2122" t="inlineStr">
        <is>
          <t>ÄLVDALEN</t>
        </is>
      </c>
      <c r="H2122" t="inlineStr">
        <is>
          <t>Bergvik skog väst AB</t>
        </is>
      </c>
      <c r="I2122" t="n">
        <v>8.1</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39390-2025</t>
        </is>
      </c>
      <c r="B2123" t="inlineStr">
        <is>
          <t>avverkningsanmälan</t>
        </is>
      </c>
      <c r="C2123" t="inlineStr">
        <is>
          <t>Föryngringsavverkning</t>
        </is>
      </c>
      <c r="D2123" s="1" t="n">
        <v>45889</v>
      </c>
      <c r="E2123" s="1" t="n">
        <v>46319</v>
      </c>
      <c r="F2123" t="inlineStr">
        <is>
          <t>DALARNAS LÄN</t>
        </is>
      </c>
      <c r="G2123" t="inlineStr">
        <is>
          <t>HEDEMORA</t>
        </is>
      </c>
      <c r="H2123" t="inlineStr">
        <is>
          <t>Sveaskog</t>
        </is>
      </c>
      <c r="I2123" t="n">
        <v>1.2</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39693-2025</t>
        </is>
      </c>
      <c r="B2124" t="inlineStr">
        <is>
          <t>avverkningsanmälan</t>
        </is>
      </c>
      <c r="C2124" t="inlineStr">
        <is>
          <t>Föryngringsavverkning</t>
        </is>
      </c>
      <c r="D2124" s="1" t="n">
        <v>45890</v>
      </c>
      <c r="E2124" s="1" t="n">
        <v>46319</v>
      </c>
      <c r="F2124" t="inlineStr">
        <is>
          <t>DALARNAS LÄN</t>
        </is>
      </c>
      <c r="G2124" t="inlineStr">
        <is>
          <t>LEKSAND</t>
        </is>
      </c>
      <c r="I2124" t="n">
        <v>3.1</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39802-2025</t>
        </is>
      </c>
      <c r="B2125" t="inlineStr">
        <is>
          <t>avverkningsanmälan</t>
        </is>
      </c>
      <c r="C2125" t="inlineStr">
        <is>
          <t>Avverkning för att bevara och utveckla /försöksver</t>
        </is>
      </c>
      <c r="D2125" s="1" t="n">
        <v>45891</v>
      </c>
      <c r="E2125" s="1" t="n">
        <v>46319</v>
      </c>
      <c r="F2125" t="inlineStr">
        <is>
          <t>DALARNAS LÄN</t>
        </is>
      </c>
      <c r="G2125" t="inlineStr">
        <is>
          <t>SMEDJEBACKEN</t>
        </is>
      </c>
      <c r="H2125" t="inlineStr">
        <is>
          <t>Sveaskog</t>
        </is>
      </c>
      <c r="I2125" t="n">
        <v>1.2</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39806-2025</t>
        </is>
      </c>
      <c r="B2126" t="inlineStr">
        <is>
          <t>avverkningsanmälan</t>
        </is>
      </c>
      <c r="C2126" t="inlineStr">
        <is>
          <t>Föryngringsavverkning</t>
        </is>
      </c>
      <c r="D2126" s="1" t="n">
        <v>45891</v>
      </c>
      <c r="E2126" s="1" t="n">
        <v>46319</v>
      </c>
      <c r="F2126" t="inlineStr">
        <is>
          <t>DALARNAS LÄN</t>
        </is>
      </c>
      <c r="G2126" t="inlineStr">
        <is>
          <t>SMEDJEBACKEN</t>
        </is>
      </c>
      <c r="H2126" t="inlineStr">
        <is>
          <t>Sveaskog</t>
        </is>
      </c>
      <c r="I2126" t="n">
        <v>1.3</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52989-2024</t>
        </is>
      </c>
      <c r="B2127" t="inlineStr">
        <is>
          <t>avverkningsanmälan</t>
        </is>
      </c>
      <c r="C2127" t="inlineStr">
        <is>
          <t>Föryngringsavverkning</t>
        </is>
      </c>
      <c r="D2127" s="1" t="n">
        <v>45611</v>
      </c>
      <c r="E2127" s="1" t="n">
        <v>46319</v>
      </c>
      <c r="F2127" t="inlineStr">
        <is>
          <t>DALARNAS LÄN</t>
        </is>
      </c>
      <c r="G2127" t="inlineStr">
        <is>
          <t>FALUN</t>
        </is>
      </c>
      <c r="H2127" t="inlineStr">
        <is>
          <t>Bergvik skog väst AB</t>
        </is>
      </c>
      <c r="I2127" t="n">
        <v>1.2</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40147-2025</t>
        </is>
      </c>
      <c r="B2128" t="inlineStr">
        <is>
          <t>avverkningsanmälan</t>
        </is>
      </c>
      <c r="C2128" t="inlineStr">
        <is>
          <t>Föryngringsavverkning</t>
        </is>
      </c>
      <c r="D2128" s="1" t="n">
        <v>45894</v>
      </c>
      <c r="E2128" s="1" t="n">
        <v>46319</v>
      </c>
      <c r="F2128" t="inlineStr">
        <is>
          <t>DALARNAS LÄN</t>
        </is>
      </c>
      <c r="G2128" t="inlineStr">
        <is>
          <t>MORA</t>
        </is>
      </c>
      <c r="I2128" t="n">
        <v>1.4</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6699-2025</t>
        </is>
      </c>
      <c r="B2129" t="inlineStr">
        <is>
          <t>avverkningsanmälan</t>
        </is>
      </c>
      <c r="C2129" t="inlineStr">
        <is>
          <t>Föryngringsavverkning</t>
        </is>
      </c>
      <c r="D2129" s="1" t="n">
        <v>45700</v>
      </c>
      <c r="E2129" s="1" t="n">
        <v>46319</v>
      </c>
      <c r="F2129" t="inlineStr">
        <is>
          <t>DALARNAS LÄN</t>
        </is>
      </c>
      <c r="G2129" t="inlineStr">
        <is>
          <t>RÄTTVIK</t>
        </is>
      </c>
      <c r="I2129" t="n">
        <v>1.9</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39800-2025</t>
        </is>
      </c>
      <c r="B2130" t="inlineStr">
        <is>
          <t>avverkningsanmälan</t>
        </is>
      </c>
      <c r="C2130" t="inlineStr">
        <is>
          <t>Föryngringsavverkning</t>
        </is>
      </c>
      <c r="D2130" s="1" t="n">
        <v>45891</v>
      </c>
      <c r="E2130" s="1" t="n">
        <v>46319</v>
      </c>
      <c r="F2130" t="inlineStr">
        <is>
          <t>DALARNAS LÄN</t>
        </is>
      </c>
      <c r="G2130" t="inlineStr">
        <is>
          <t>SMEDJEBACKEN</t>
        </is>
      </c>
      <c r="H2130" t="inlineStr">
        <is>
          <t>Sveaskog</t>
        </is>
      </c>
      <c r="I2130" t="n">
        <v>1.1</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39805-2025</t>
        </is>
      </c>
      <c r="B2131" t="inlineStr">
        <is>
          <t>avverkningsanmälan</t>
        </is>
      </c>
      <c r="C2131" t="inlineStr">
        <is>
          <t>Föryngringsavverkning</t>
        </is>
      </c>
      <c r="D2131" s="1" t="n">
        <v>45891</v>
      </c>
      <c r="E2131" s="1" t="n">
        <v>46319</v>
      </c>
      <c r="F2131" t="inlineStr">
        <is>
          <t>DALARNAS LÄN</t>
        </is>
      </c>
      <c r="G2131" t="inlineStr">
        <is>
          <t>SMEDJEBACKEN</t>
        </is>
      </c>
      <c r="H2131" t="inlineStr">
        <is>
          <t>Sveaskog</t>
        </is>
      </c>
      <c r="I2131" t="n">
        <v>2.2</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39942-2025</t>
        </is>
      </c>
      <c r="B2132" t="inlineStr">
        <is>
          <t>avverkningsanmälan</t>
        </is>
      </c>
      <c r="C2132" t="inlineStr">
        <is>
          <t>Föryngringsavverkning</t>
        </is>
      </c>
      <c r="D2132" s="1" t="n">
        <v>45891</v>
      </c>
      <c r="E2132" s="1" t="n">
        <v>46319</v>
      </c>
      <c r="F2132" t="inlineStr">
        <is>
          <t>DALARNAS LÄN</t>
        </is>
      </c>
      <c r="G2132" t="inlineStr">
        <is>
          <t>MALUNG-SÄLEN</t>
        </is>
      </c>
      <c r="H2132" t="inlineStr">
        <is>
          <t>Kommuner</t>
        </is>
      </c>
      <c r="I2132" t="n">
        <v>3.2</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39824-2025</t>
        </is>
      </c>
      <c r="B2133" t="inlineStr">
        <is>
          <t>avverkningsanmälan</t>
        </is>
      </c>
      <c r="C2133" t="inlineStr">
        <is>
          <t>Föryngringsavverkning</t>
        </is>
      </c>
      <c r="D2133" s="1" t="n">
        <v>45891</v>
      </c>
      <c r="E2133" s="1" t="n">
        <v>46319</v>
      </c>
      <c r="F2133" t="inlineStr">
        <is>
          <t>DALARNAS LÄN</t>
        </is>
      </c>
      <c r="G2133" t="inlineStr">
        <is>
          <t>MORA</t>
        </is>
      </c>
      <c r="I2133" t="n">
        <v>2</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40216-2025</t>
        </is>
      </c>
      <c r="B2134" t="inlineStr">
        <is>
          <t>avverkningsanmälan</t>
        </is>
      </c>
      <c r="C2134" t="inlineStr">
        <is>
          <t>Föryngringsavverkning</t>
        </is>
      </c>
      <c r="D2134" s="1" t="n">
        <v>45894</v>
      </c>
      <c r="E2134" s="1" t="n">
        <v>46319</v>
      </c>
      <c r="F2134" t="inlineStr">
        <is>
          <t>DALARNAS LÄN</t>
        </is>
      </c>
      <c r="G2134" t="inlineStr">
        <is>
          <t>RÄTTVIK</t>
        </is>
      </c>
      <c r="H2134" t="inlineStr">
        <is>
          <t>Sveaskog</t>
        </is>
      </c>
      <c r="I2134" t="n">
        <v>4.9</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40070-2025</t>
        </is>
      </c>
      <c r="B2135" t="inlineStr">
        <is>
          <t>avverkningsanmälan</t>
        </is>
      </c>
      <c r="C2135" t="inlineStr">
        <is>
          <t>Föryngringsavverkning</t>
        </is>
      </c>
      <c r="D2135" s="1" t="n">
        <v>45894</v>
      </c>
      <c r="E2135" s="1" t="n">
        <v>46319</v>
      </c>
      <c r="F2135" t="inlineStr">
        <is>
          <t>DALARNAS LÄN</t>
        </is>
      </c>
      <c r="G2135" t="inlineStr">
        <is>
          <t>ORSA</t>
        </is>
      </c>
      <c r="H2135" t="inlineStr">
        <is>
          <t>Allmännings- och besparingsskogar</t>
        </is>
      </c>
      <c r="I2135" t="n">
        <v>22</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22756-2024</t>
        </is>
      </c>
      <c r="B2136" t="inlineStr">
        <is>
          <t>avverkningsanmälan</t>
        </is>
      </c>
      <c r="C2136" t="inlineStr">
        <is>
          <t>Föryngringsavverkning</t>
        </is>
      </c>
      <c r="D2136" s="1" t="n">
        <v>45448</v>
      </c>
      <c r="E2136" s="1" t="n">
        <v>46319</v>
      </c>
      <c r="F2136" t="inlineStr">
        <is>
          <t>DALARNAS LÄN</t>
        </is>
      </c>
      <c r="G2136" t="inlineStr">
        <is>
          <t>VANSBRO</t>
        </is>
      </c>
      <c r="I2136" t="n">
        <v>1</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39941-2025</t>
        </is>
      </c>
      <c r="B2137" t="inlineStr">
        <is>
          <t>avverkningsanmälan</t>
        </is>
      </c>
      <c r="C2137" t="inlineStr">
        <is>
          <t>Föryngringsavverkning</t>
        </is>
      </c>
      <c r="D2137" s="1" t="n">
        <v>45891</v>
      </c>
      <c r="E2137" s="1" t="n">
        <v>46319</v>
      </c>
      <c r="F2137" t="inlineStr">
        <is>
          <t>DALARNAS LÄN</t>
        </is>
      </c>
      <c r="G2137" t="inlineStr">
        <is>
          <t>MALUNG-SÄLEN</t>
        </is>
      </c>
      <c r="H2137" t="inlineStr">
        <is>
          <t>Kommuner</t>
        </is>
      </c>
      <c r="I2137" t="n">
        <v>2.6</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19688-2025</t>
        </is>
      </c>
      <c r="B2138" t="inlineStr">
        <is>
          <t>avverkningsanmälan</t>
        </is>
      </c>
      <c r="C2138" t="inlineStr">
        <is>
          <t>Föryngringsavverkning</t>
        </is>
      </c>
      <c r="D2138" s="1" t="n">
        <v>45770</v>
      </c>
      <c r="E2138" s="1" t="n">
        <v>46319</v>
      </c>
      <c r="F2138" t="inlineStr">
        <is>
          <t>DALARNAS LÄN</t>
        </is>
      </c>
      <c r="G2138" t="inlineStr">
        <is>
          <t>HEDEMORA</t>
        </is>
      </c>
      <c r="I2138" t="n">
        <v>1.9</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38689-2025</t>
        </is>
      </c>
      <c r="B2139" t="inlineStr">
        <is>
          <t>avverkningsanmälan</t>
        </is>
      </c>
      <c r="C2139" t="inlineStr">
        <is>
          <t>Föryngringsavverkning</t>
        </is>
      </c>
      <c r="D2139" s="1" t="n">
        <v>45884</v>
      </c>
      <c r="E2139" s="1" t="n">
        <v>46319</v>
      </c>
      <c r="F2139" t="inlineStr">
        <is>
          <t>DALARNAS LÄN</t>
        </is>
      </c>
      <c r="G2139" t="inlineStr">
        <is>
          <t>AVESTA</t>
        </is>
      </c>
      <c r="I2139" t="n">
        <v>1.9</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39740-2025</t>
        </is>
      </c>
      <c r="B2140" t="inlineStr">
        <is>
          <t>avverkningsanmälan</t>
        </is>
      </c>
      <c r="C2140" t="inlineStr">
        <is>
          <t>Föryngringsavverkning</t>
        </is>
      </c>
      <c r="D2140" s="1" t="n">
        <v>45891</v>
      </c>
      <c r="E2140" s="1" t="n">
        <v>46319</v>
      </c>
      <c r="F2140" t="inlineStr">
        <is>
          <t>DALARNAS LÄN</t>
        </is>
      </c>
      <c r="G2140" t="inlineStr">
        <is>
          <t>BORLÄNGE</t>
        </is>
      </c>
      <c r="I2140" t="n">
        <v>2.2</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37125-2024</t>
        </is>
      </c>
      <c r="B2141" t="inlineStr">
        <is>
          <t>avverkningsanmälan</t>
        </is>
      </c>
      <c r="C2141" t="inlineStr">
        <is>
          <t>Föryngringsavverkning</t>
        </is>
      </c>
      <c r="D2141" s="1" t="n">
        <v>45539</v>
      </c>
      <c r="E2141" s="1" t="n">
        <v>46319</v>
      </c>
      <c r="F2141" t="inlineStr">
        <is>
          <t>DALARNAS LÄN</t>
        </is>
      </c>
      <c r="G2141" t="inlineStr">
        <is>
          <t>RÄTTVIK</t>
        </is>
      </c>
      <c r="I2141" t="n">
        <v>0.9</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39972-2025</t>
        </is>
      </c>
      <c r="B2142" t="inlineStr">
        <is>
          <t>avverkningsanmälan</t>
        </is>
      </c>
      <c r="C2142" t="inlineStr">
        <is>
          <t>Föryngringsavverkning</t>
        </is>
      </c>
      <c r="D2142" s="1" t="n">
        <v>45892</v>
      </c>
      <c r="E2142" s="1" t="n">
        <v>46319</v>
      </c>
      <c r="F2142" t="inlineStr">
        <is>
          <t>DALARNAS LÄN</t>
        </is>
      </c>
      <c r="G2142" t="inlineStr">
        <is>
          <t>MALUNG-SÄLEN</t>
        </is>
      </c>
      <c r="I2142" t="n">
        <v>9.199999999999999</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24467-2025</t>
        </is>
      </c>
      <c r="B2143" t="inlineStr">
        <is>
          <t>avverkningsanmälan</t>
        </is>
      </c>
      <c r="C2143" t="inlineStr">
        <is>
          <t>Föryngringsavverkning</t>
        </is>
      </c>
      <c r="D2143" s="1" t="n">
        <v>45798</v>
      </c>
      <c r="E2143" s="1" t="n">
        <v>46319</v>
      </c>
      <c r="F2143" t="inlineStr">
        <is>
          <t>DALARNAS LÄN</t>
        </is>
      </c>
      <c r="G2143" t="inlineStr">
        <is>
          <t>FALUN</t>
        </is>
      </c>
      <c r="I2143" t="n">
        <v>1.7</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15999-2024</t>
        </is>
      </c>
      <c r="B2144" t="inlineStr">
        <is>
          <t>avverkningsanmälan</t>
        </is>
      </c>
      <c r="C2144" t="inlineStr">
        <is>
          <t>Föryngringsavverkning</t>
        </is>
      </c>
      <c r="D2144" s="1" t="n">
        <v>45405</v>
      </c>
      <c r="E2144" s="1" t="n">
        <v>46319</v>
      </c>
      <c r="F2144" t="inlineStr">
        <is>
          <t>DALARNAS LÄN</t>
        </is>
      </c>
      <c r="G2144" t="inlineStr">
        <is>
          <t>FALUN</t>
        </is>
      </c>
      <c r="I2144" t="n">
        <v>1.6</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41090-2022</t>
        </is>
      </c>
      <c r="B2145" t="inlineStr">
        <is>
          <t>avverkningsanmälan</t>
        </is>
      </c>
      <c r="C2145" t="inlineStr">
        <is>
          <t>Föryngringsavverkning</t>
        </is>
      </c>
      <c r="D2145" s="1" t="n">
        <v>44825</v>
      </c>
      <c r="E2145" s="1" t="n">
        <v>46319</v>
      </c>
      <c r="F2145" t="inlineStr">
        <is>
          <t>DALARNAS LÄN</t>
        </is>
      </c>
      <c r="G2145" t="inlineStr">
        <is>
          <t>LUDVIKA</t>
        </is>
      </c>
      <c r="H2145" t="inlineStr">
        <is>
          <t>Bergvik skog väst AB</t>
        </is>
      </c>
      <c r="I2145" t="n">
        <v>2.5</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46074-2023</t>
        </is>
      </c>
      <c r="B2146" t="inlineStr">
        <is>
          <t>avverkningsanmälan</t>
        </is>
      </c>
      <c r="C2146" t="inlineStr">
        <is>
          <t>Föryngringsavverkning</t>
        </is>
      </c>
      <c r="D2146" s="1" t="n">
        <v>45196</v>
      </c>
      <c r="E2146" s="1" t="n">
        <v>46319</v>
      </c>
      <c r="F2146" t="inlineStr">
        <is>
          <t>DALARNAS LÄN</t>
        </is>
      </c>
      <c r="G2146" t="inlineStr">
        <is>
          <t>LUDVIKA</t>
        </is>
      </c>
      <c r="H2146" t="inlineStr">
        <is>
          <t>Bergvik skog väst AB</t>
        </is>
      </c>
      <c r="I2146" t="n">
        <v>0.6</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10367-2023</t>
        </is>
      </c>
      <c r="B2147" t="inlineStr">
        <is>
          <t>avverkningsanmälan</t>
        </is>
      </c>
      <c r="C2147" t="inlineStr">
        <is>
          <t>Föryngringsavverkning</t>
        </is>
      </c>
      <c r="D2147" s="1" t="n">
        <v>44987</v>
      </c>
      <c r="E2147" s="1" t="n">
        <v>46319</v>
      </c>
      <c r="F2147" t="inlineStr">
        <is>
          <t>DALARNAS LÄN</t>
        </is>
      </c>
      <c r="G2147" t="inlineStr">
        <is>
          <t>LEKSAND</t>
        </is>
      </c>
      <c r="I2147" t="n">
        <v>0.7</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10374-2023</t>
        </is>
      </c>
      <c r="B2148" t="inlineStr">
        <is>
          <t>avverkningsanmälan</t>
        </is>
      </c>
      <c r="C2148" t="inlineStr">
        <is>
          <t>Föryngringsavverkning</t>
        </is>
      </c>
      <c r="D2148" s="1" t="n">
        <v>44987</v>
      </c>
      <c r="E2148" s="1" t="n">
        <v>46319</v>
      </c>
      <c r="F2148" t="inlineStr">
        <is>
          <t>DALARNAS LÄN</t>
        </is>
      </c>
      <c r="G2148" t="inlineStr">
        <is>
          <t>ORSA</t>
        </is>
      </c>
      <c r="I2148" t="n">
        <v>1.8</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39939-2025</t>
        </is>
      </c>
      <c r="B2149" t="inlineStr">
        <is>
          <t>avverkningsanmälan</t>
        </is>
      </c>
      <c r="C2149" t="inlineStr">
        <is>
          <t>Föryngringsavverkning</t>
        </is>
      </c>
      <c r="D2149" s="1" t="n">
        <v>45891</v>
      </c>
      <c r="E2149" s="1" t="n">
        <v>46319</v>
      </c>
      <c r="F2149" t="inlineStr">
        <is>
          <t>DALARNAS LÄN</t>
        </is>
      </c>
      <c r="G2149" t="inlineStr">
        <is>
          <t>MALUNG-SÄLEN</t>
        </is>
      </c>
      <c r="H2149" t="inlineStr">
        <is>
          <t>Kommuner</t>
        </is>
      </c>
      <c r="I2149" t="n">
        <v>2.5</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39940-2025</t>
        </is>
      </c>
      <c r="B2150" t="inlineStr">
        <is>
          <t>avverkningsanmälan</t>
        </is>
      </c>
      <c r="C2150" t="inlineStr">
        <is>
          <t>Föryngringsavverkning</t>
        </is>
      </c>
      <c r="D2150" s="1" t="n">
        <v>45891</v>
      </c>
      <c r="E2150" s="1" t="n">
        <v>46319</v>
      </c>
      <c r="F2150" t="inlineStr">
        <is>
          <t>DALARNAS LÄN</t>
        </is>
      </c>
      <c r="G2150" t="inlineStr">
        <is>
          <t>MALUNG-SÄLEN</t>
        </is>
      </c>
      <c r="H2150" t="inlineStr">
        <is>
          <t>Kommuner</t>
        </is>
      </c>
      <c r="I2150" t="n">
        <v>0.7</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40091-2025</t>
        </is>
      </c>
      <c r="B2151" t="inlineStr">
        <is>
          <t>avverkningsanmälan</t>
        </is>
      </c>
      <c r="C2151" t="inlineStr">
        <is>
          <t>Föryngringsavverkning</t>
        </is>
      </c>
      <c r="D2151" s="1" t="n">
        <v>45894</v>
      </c>
      <c r="E2151" s="1" t="n">
        <v>46319</v>
      </c>
      <c r="F2151" t="inlineStr">
        <is>
          <t>DALARNAS LÄN</t>
        </is>
      </c>
      <c r="G2151" t="inlineStr">
        <is>
          <t>ORSA</t>
        </is>
      </c>
      <c r="H2151" t="inlineStr">
        <is>
          <t>Allmännings- och besparingsskogar</t>
        </is>
      </c>
      <c r="I2151" t="n">
        <v>20.4</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47366-2023</t>
        </is>
      </c>
      <c r="B2152" t="inlineStr">
        <is>
          <t>avverkningsanmälan</t>
        </is>
      </c>
      <c r="C2152" t="inlineStr">
        <is>
          <t>Föryngringsavverkning</t>
        </is>
      </c>
      <c r="D2152" s="1" t="n">
        <v>45202</v>
      </c>
      <c r="E2152" s="1" t="n">
        <v>46319</v>
      </c>
      <c r="F2152" t="inlineStr">
        <is>
          <t>DALARNAS LÄN</t>
        </is>
      </c>
      <c r="G2152" t="inlineStr">
        <is>
          <t>LUDVIKA</t>
        </is>
      </c>
      <c r="H2152" t="inlineStr">
        <is>
          <t>Bergvik skog väst AB</t>
        </is>
      </c>
      <c r="I2152" t="n">
        <v>0.5</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19689-2025</t>
        </is>
      </c>
      <c r="B2153" t="inlineStr">
        <is>
          <t>avverkningsanmälan</t>
        </is>
      </c>
      <c r="C2153" t="inlineStr">
        <is>
          <t>Föryngringsavverkning</t>
        </is>
      </c>
      <c r="D2153" s="1" t="n">
        <v>45770</v>
      </c>
      <c r="E2153" s="1" t="n">
        <v>46319</v>
      </c>
      <c r="F2153" t="inlineStr">
        <is>
          <t>DALARNAS LÄN</t>
        </is>
      </c>
      <c r="G2153" t="inlineStr">
        <is>
          <t>HEDEMORA</t>
        </is>
      </c>
      <c r="I2153" t="n">
        <v>1.1</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39804-2025</t>
        </is>
      </c>
      <c r="B2154" t="inlineStr">
        <is>
          <t>avverkningsanmälan</t>
        </is>
      </c>
      <c r="C2154" t="inlineStr">
        <is>
          <t>Föryngringsavverkning</t>
        </is>
      </c>
      <c r="D2154" s="1" t="n">
        <v>45891</v>
      </c>
      <c r="E2154" s="1" t="n">
        <v>46319</v>
      </c>
      <c r="F2154" t="inlineStr">
        <is>
          <t>DALARNAS LÄN</t>
        </is>
      </c>
      <c r="G2154" t="inlineStr">
        <is>
          <t>SMEDJEBACKEN</t>
        </is>
      </c>
      <c r="H2154" t="inlineStr">
        <is>
          <t>Sveaskog</t>
        </is>
      </c>
      <c r="I2154" t="n">
        <v>8.800000000000001</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10457-2022</t>
        </is>
      </c>
      <c r="B2155" t="inlineStr">
        <is>
          <t>avverkningsanmälan</t>
        </is>
      </c>
      <c r="C2155" t="inlineStr">
        <is>
          <t>Föryngringsavverkning</t>
        </is>
      </c>
      <c r="D2155" s="1" t="n">
        <v>44623</v>
      </c>
      <c r="E2155" s="1" t="n">
        <v>46319</v>
      </c>
      <c r="F2155" t="inlineStr">
        <is>
          <t>DALARNAS LÄN</t>
        </is>
      </c>
      <c r="G2155" t="inlineStr">
        <is>
          <t>MALUNG-SÄLEN</t>
        </is>
      </c>
      <c r="H2155" t="inlineStr">
        <is>
          <t>Kommuner</t>
        </is>
      </c>
      <c r="I2155" t="n">
        <v>0.5</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39754-2025</t>
        </is>
      </c>
      <c r="B2156" t="inlineStr">
        <is>
          <t>avverkningsanmälan</t>
        </is>
      </c>
      <c r="C2156" t="inlineStr">
        <is>
          <t>Föryngringsavverkning</t>
        </is>
      </c>
      <c r="D2156" s="1" t="n">
        <v>45891</v>
      </c>
      <c r="E2156" s="1" t="n">
        <v>46319</v>
      </c>
      <c r="F2156" t="inlineStr">
        <is>
          <t>DALARNAS LÄN</t>
        </is>
      </c>
      <c r="G2156" t="inlineStr">
        <is>
          <t>LUDVIKA</t>
        </is>
      </c>
      <c r="H2156" t="inlineStr">
        <is>
          <t>Bergvik skog väst AB</t>
        </is>
      </c>
      <c r="I2156" t="n">
        <v>0.4</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25737-2025</t>
        </is>
      </c>
      <c r="B2157" t="inlineStr">
        <is>
          <t>avverkningsanmälan</t>
        </is>
      </c>
      <c r="C2157" t="inlineStr">
        <is>
          <t>Föryngringsavverkning</t>
        </is>
      </c>
      <c r="D2157" s="1" t="n">
        <v>45800</v>
      </c>
      <c r="E2157" s="1" t="n">
        <v>46319</v>
      </c>
      <c r="F2157" t="inlineStr">
        <is>
          <t>DALARNAS LÄN</t>
        </is>
      </c>
      <c r="G2157" t="inlineStr">
        <is>
          <t>MORA</t>
        </is>
      </c>
      <c r="I2157" t="n">
        <v>9.6</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39344-2024</t>
        </is>
      </c>
      <c r="B2158" t="inlineStr">
        <is>
          <t>avverkningsanmälan</t>
        </is>
      </c>
      <c r="C2158" t="inlineStr">
        <is>
          <t>Föryngringsavverkning</t>
        </is>
      </c>
      <c r="D2158" s="1" t="n">
        <v>45551</v>
      </c>
      <c r="E2158" s="1" t="n">
        <v>46319</v>
      </c>
      <c r="F2158" t="inlineStr">
        <is>
          <t>DALARNAS LÄN</t>
        </is>
      </c>
      <c r="G2158" t="inlineStr">
        <is>
          <t>MORA</t>
        </is>
      </c>
      <c r="I2158" t="n">
        <v>0.6</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37870-2022</t>
        </is>
      </c>
      <c r="B2159" t="inlineStr">
        <is>
          <t>avverkningsanmälan</t>
        </is>
      </c>
      <c r="C2159" t="inlineStr">
        <is>
          <t>Föryngringsavverkning</t>
        </is>
      </c>
      <c r="D2159" s="1" t="n">
        <v>44811</v>
      </c>
      <c r="E2159" s="1" t="n">
        <v>46319</v>
      </c>
      <c r="F2159" t="inlineStr">
        <is>
          <t>DALARNAS LÄN</t>
        </is>
      </c>
      <c r="G2159" t="inlineStr">
        <is>
          <t>GAGNEF</t>
        </is>
      </c>
      <c r="I2159" t="n">
        <v>2.1</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4841-2024</t>
        </is>
      </c>
      <c r="B2160" t="inlineStr">
        <is>
          <t>avverkningsanmälan</t>
        </is>
      </c>
      <c r="C2160" t="inlineStr">
        <is>
          <t>Föryngringsavverkning</t>
        </is>
      </c>
      <c r="D2160" s="1" t="n">
        <v>45329</v>
      </c>
      <c r="E2160" s="1" t="n">
        <v>46319</v>
      </c>
      <c r="F2160" t="inlineStr">
        <is>
          <t>DALARNAS LÄN</t>
        </is>
      </c>
      <c r="G2160" t="inlineStr">
        <is>
          <t>RÄTTVIK</t>
        </is>
      </c>
      <c r="I2160" t="n">
        <v>2.3</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5527-2024</t>
        </is>
      </c>
      <c r="B2161" t="inlineStr">
        <is>
          <t>avverkningsanmälan</t>
        </is>
      </c>
      <c r="C2161" t="inlineStr">
        <is>
          <t>Föryngringsavverkning</t>
        </is>
      </c>
      <c r="D2161" s="1" t="n">
        <v>45334</v>
      </c>
      <c r="E2161" s="1" t="n">
        <v>46319</v>
      </c>
      <c r="F2161" t="inlineStr">
        <is>
          <t>DALARNAS LÄN</t>
        </is>
      </c>
      <c r="G2161" t="inlineStr">
        <is>
          <t>MORA</t>
        </is>
      </c>
      <c r="I2161" t="n">
        <v>1</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30256-2023</t>
        </is>
      </c>
      <c r="B2162" t="inlineStr">
        <is>
          <t>avverkningsanmälan</t>
        </is>
      </c>
      <c r="C2162" t="inlineStr">
        <is>
          <t>Föryngringsavverkning</t>
        </is>
      </c>
      <c r="D2162" s="1" t="n">
        <v>45110</v>
      </c>
      <c r="E2162" s="1" t="n">
        <v>46319</v>
      </c>
      <c r="F2162" t="inlineStr">
        <is>
          <t>DALARNAS LÄN</t>
        </is>
      </c>
      <c r="G2162" t="inlineStr">
        <is>
          <t>SÄTER</t>
        </is>
      </c>
      <c r="I2162" t="n">
        <v>1.7</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39734-2025</t>
        </is>
      </c>
      <c r="B2163" t="inlineStr">
        <is>
          <t>avverkningsanmälan</t>
        </is>
      </c>
      <c r="C2163" t="inlineStr">
        <is>
          <t>Föryngringsavverkning</t>
        </is>
      </c>
      <c r="D2163" s="1" t="n">
        <v>45891</v>
      </c>
      <c r="E2163" s="1" t="n">
        <v>46319</v>
      </c>
      <c r="F2163" t="inlineStr">
        <is>
          <t>DALARNAS LÄN</t>
        </is>
      </c>
      <c r="G2163" t="inlineStr">
        <is>
          <t>BORLÄNGE</t>
        </is>
      </c>
      <c r="H2163" t="inlineStr">
        <is>
          <t>Bergvik skog väst AB</t>
        </is>
      </c>
      <c r="I2163" t="n">
        <v>2.1</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1966-2024</t>
        </is>
      </c>
      <c r="B2164" t="inlineStr">
        <is>
          <t>avverkningsanmälan</t>
        </is>
      </c>
      <c r="C2164" t="inlineStr">
        <is>
          <t>Föryngringsavverkning</t>
        </is>
      </c>
      <c r="D2164" s="1" t="n">
        <v>45308</v>
      </c>
      <c r="E2164" s="1" t="n">
        <v>46319</v>
      </c>
      <c r="F2164" t="inlineStr">
        <is>
          <t>DALARNAS LÄN</t>
        </is>
      </c>
      <c r="G2164" t="inlineStr">
        <is>
          <t>BORLÄNGE</t>
        </is>
      </c>
      <c r="I2164" t="n">
        <v>0.4</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39787-2025</t>
        </is>
      </c>
      <c r="B2165" t="inlineStr">
        <is>
          <t>avverkningsanmälan</t>
        </is>
      </c>
      <c r="C2165" t="inlineStr">
        <is>
          <t>Föryngringsavverkning</t>
        </is>
      </c>
      <c r="D2165" s="1" t="n">
        <v>45891</v>
      </c>
      <c r="E2165" s="1" t="n">
        <v>46319</v>
      </c>
      <c r="F2165" t="inlineStr">
        <is>
          <t>DALARNAS LÄN</t>
        </is>
      </c>
      <c r="G2165" t="inlineStr">
        <is>
          <t>MORA</t>
        </is>
      </c>
      <c r="I2165" t="n">
        <v>1.6</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40155-2025</t>
        </is>
      </c>
      <c r="B2166" t="inlineStr">
        <is>
          <t>avverkningsanmälan</t>
        </is>
      </c>
      <c r="C2166" t="inlineStr">
        <is>
          <t>Föryngringsavverkning</t>
        </is>
      </c>
      <c r="D2166" s="1" t="n">
        <v>45894</v>
      </c>
      <c r="E2166" s="1" t="n">
        <v>46319</v>
      </c>
      <c r="F2166" t="inlineStr">
        <is>
          <t>DALARNAS LÄN</t>
        </is>
      </c>
      <c r="G2166" t="inlineStr">
        <is>
          <t>MALUNG-SÄLEN</t>
        </is>
      </c>
      <c r="H2166" t="inlineStr">
        <is>
          <t>Bergvik skog väst AB</t>
        </is>
      </c>
      <c r="I2166" t="n">
        <v>1</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5583-2024</t>
        </is>
      </c>
      <c r="B2167" t="inlineStr">
        <is>
          <t>avverkningsanmälan</t>
        </is>
      </c>
      <c r="C2167" t="inlineStr">
        <is>
          <t>Föryngringsavverkning</t>
        </is>
      </c>
      <c r="D2167" s="1" t="n">
        <v>45334</v>
      </c>
      <c r="E2167" s="1" t="n">
        <v>46319</v>
      </c>
      <c r="F2167" t="inlineStr">
        <is>
          <t>DALARNAS LÄN</t>
        </is>
      </c>
      <c r="G2167" t="inlineStr">
        <is>
          <t>LEKSAND</t>
        </is>
      </c>
      <c r="H2167" t="inlineStr">
        <is>
          <t>Kyrkan</t>
        </is>
      </c>
      <c r="I2167" t="n">
        <v>0.4</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40142-2025</t>
        </is>
      </c>
      <c r="B2168" t="inlineStr">
        <is>
          <t>avverkningsanmälan</t>
        </is>
      </c>
      <c r="C2168" t="inlineStr">
        <is>
          <t>Föryngringsavverkning</t>
        </is>
      </c>
      <c r="D2168" s="1" t="n">
        <v>45894</v>
      </c>
      <c r="E2168" s="1" t="n">
        <v>46319</v>
      </c>
      <c r="F2168" t="inlineStr">
        <is>
          <t>DALARNAS LÄN</t>
        </is>
      </c>
      <c r="G2168" t="inlineStr">
        <is>
          <t>MORA</t>
        </is>
      </c>
      <c r="I2168" t="n">
        <v>0.4</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38569-2023</t>
        </is>
      </c>
      <c r="B2169" t="inlineStr">
        <is>
          <t>avverkningsanmälan</t>
        </is>
      </c>
      <c r="C2169" t="inlineStr">
        <is>
          <t>Föryngringsavverkning</t>
        </is>
      </c>
      <c r="D2169" s="1" t="n">
        <v>45162</v>
      </c>
      <c r="E2169" s="1" t="n">
        <v>46319</v>
      </c>
      <c r="F2169" t="inlineStr">
        <is>
          <t>DALARNAS LÄN</t>
        </is>
      </c>
      <c r="G2169" t="inlineStr">
        <is>
          <t>MALUNG-SÄLEN</t>
        </is>
      </c>
      <c r="H2169" t="inlineStr">
        <is>
          <t>Bergvik skog öst AB</t>
        </is>
      </c>
      <c r="I2169" t="n">
        <v>3.1</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55691-2022</t>
        </is>
      </c>
      <c r="B2170" t="inlineStr">
        <is>
          <t>avverkningsanmälan</t>
        </is>
      </c>
      <c r="C2170" t="inlineStr">
        <is>
          <t>Föryngringsavverkning</t>
        </is>
      </c>
      <c r="D2170" s="1" t="n">
        <v>44888</v>
      </c>
      <c r="E2170" s="1" t="n">
        <v>46319</v>
      </c>
      <c r="F2170" t="inlineStr">
        <is>
          <t>DALARNAS LÄN</t>
        </is>
      </c>
      <c r="G2170" t="inlineStr">
        <is>
          <t>ORSA</t>
        </is>
      </c>
      <c r="I2170" t="n">
        <v>0.4</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40593-2025</t>
        </is>
      </c>
      <c r="B2171" t="inlineStr">
        <is>
          <t>avverkningsanmälan</t>
        </is>
      </c>
      <c r="C2171" t="inlineStr">
        <is>
          <t>Föryngringsavverkning</t>
        </is>
      </c>
      <c r="D2171" s="1" t="n">
        <v>45896</v>
      </c>
      <c r="E2171" s="1" t="n">
        <v>46319</v>
      </c>
      <c r="F2171" t="inlineStr">
        <is>
          <t>DALARNAS LÄN</t>
        </is>
      </c>
      <c r="G2171" t="inlineStr">
        <is>
          <t>FALUN</t>
        </is>
      </c>
      <c r="I2171" t="n">
        <v>1.5</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40456-2025</t>
        </is>
      </c>
      <c r="B2172" t="inlineStr">
        <is>
          <t>avverkningsanmälan</t>
        </is>
      </c>
      <c r="C2172" t="inlineStr">
        <is>
          <t>Föryngringsavverkning</t>
        </is>
      </c>
      <c r="D2172" s="1" t="n">
        <v>45895</v>
      </c>
      <c r="E2172" s="1" t="n">
        <v>46319</v>
      </c>
      <c r="F2172" t="inlineStr">
        <is>
          <t>DALARNAS LÄN</t>
        </is>
      </c>
      <c r="G2172" t="inlineStr">
        <is>
          <t>HEDEMORA</t>
        </is>
      </c>
      <c r="H2172" t="inlineStr">
        <is>
          <t>Bergvik skog väst AB</t>
        </is>
      </c>
      <c r="I2172" t="n">
        <v>3.3</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41523-2023</t>
        </is>
      </c>
      <c r="B2173" t="inlineStr">
        <is>
          <t>avverkningsanmälan</t>
        </is>
      </c>
      <c r="C2173" t="inlineStr">
        <is>
          <t>Föryngringsavverkning</t>
        </is>
      </c>
      <c r="D2173" s="1" t="n">
        <v>45172</v>
      </c>
      <c r="E2173" s="1" t="n">
        <v>46319</v>
      </c>
      <c r="F2173" t="inlineStr">
        <is>
          <t>DALARNAS LÄN</t>
        </is>
      </c>
      <c r="G2173" t="inlineStr">
        <is>
          <t>HEDEMORA</t>
        </is>
      </c>
      <c r="H2173" t="inlineStr">
        <is>
          <t>Bergvik skog väst AB</t>
        </is>
      </c>
      <c r="I2173" t="n">
        <v>3.7</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48288-2023</t>
        </is>
      </c>
      <c r="B2174" t="inlineStr">
        <is>
          <t>avverkningsanmälan</t>
        </is>
      </c>
      <c r="C2174" t="inlineStr">
        <is>
          <t>Föryngringsavverkning</t>
        </is>
      </c>
      <c r="D2174" s="1" t="n">
        <v>45205</v>
      </c>
      <c r="E2174" s="1" t="n">
        <v>46319</v>
      </c>
      <c r="F2174" t="inlineStr">
        <is>
          <t>DALARNAS LÄN</t>
        </is>
      </c>
      <c r="G2174" t="inlineStr">
        <is>
          <t>LUDVIKA</t>
        </is>
      </c>
      <c r="H2174" t="inlineStr">
        <is>
          <t>Bergvik skog väst AB</t>
        </is>
      </c>
      <c r="I2174" t="n">
        <v>1.2</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40582-2025</t>
        </is>
      </c>
      <c r="B2175" t="inlineStr">
        <is>
          <t>avverkningsanmälan</t>
        </is>
      </c>
      <c r="C2175" t="inlineStr">
        <is>
          <t>Föryngringsavverkning</t>
        </is>
      </c>
      <c r="D2175" s="1" t="n">
        <v>45896</v>
      </c>
      <c r="E2175" s="1" t="n">
        <v>46319</v>
      </c>
      <c r="F2175" t="inlineStr">
        <is>
          <t>DALARNAS LÄN</t>
        </is>
      </c>
      <c r="G2175" t="inlineStr">
        <is>
          <t>FALUN</t>
        </is>
      </c>
      <c r="I2175" t="n">
        <v>1.7</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40381-2025</t>
        </is>
      </c>
      <c r="B2176" t="inlineStr">
        <is>
          <t>avverkningsanmälan</t>
        </is>
      </c>
      <c r="C2176" t="inlineStr">
        <is>
          <t>Föryngringsavverkning</t>
        </is>
      </c>
      <c r="D2176" s="1" t="n">
        <v>45895</v>
      </c>
      <c r="E2176" s="1" t="n">
        <v>46319</v>
      </c>
      <c r="F2176" t="inlineStr">
        <is>
          <t>DALARNAS LÄN</t>
        </is>
      </c>
      <c r="G2176" t="inlineStr">
        <is>
          <t>RÄTTVIK</t>
        </is>
      </c>
      <c r="I2176" t="n">
        <v>0.9</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49642-2024</t>
        </is>
      </c>
      <c r="B2177" t="inlineStr">
        <is>
          <t>avverkningsanmälan</t>
        </is>
      </c>
      <c r="C2177" t="inlineStr">
        <is>
          <t>Föryngringsavverkning</t>
        </is>
      </c>
      <c r="D2177" s="1" t="n">
        <v>45596</v>
      </c>
      <c r="E2177" s="1" t="n">
        <v>46319</v>
      </c>
      <c r="F2177" t="inlineStr">
        <is>
          <t>DALARNAS LÄN</t>
        </is>
      </c>
      <c r="G2177" t="inlineStr">
        <is>
          <t>FALUN</t>
        </is>
      </c>
      <c r="H2177" t="inlineStr">
        <is>
          <t>Bergvik skog väst AB</t>
        </is>
      </c>
      <c r="I2177" t="n">
        <v>1</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49663-2024</t>
        </is>
      </c>
      <c r="B2178" t="inlineStr">
        <is>
          <t>avverkningsanmälan</t>
        </is>
      </c>
      <c r="C2178" t="inlineStr">
        <is>
          <t>Föryngringsavverkning</t>
        </is>
      </c>
      <c r="D2178" s="1" t="n">
        <v>45596</v>
      </c>
      <c r="E2178" s="1" t="n">
        <v>46319</v>
      </c>
      <c r="F2178" t="inlineStr">
        <is>
          <t>DALARNAS LÄN</t>
        </is>
      </c>
      <c r="G2178" t="inlineStr">
        <is>
          <t>FALUN</t>
        </is>
      </c>
      <c r="H2178" t="inlineStr">
        <is>
          <t>Bergvik skog väst AB</t>
        </is>
      </c>
      <c r="I2178" t="n">
        <v>6</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42426-2023</t>
        </is>
      </c>
      <c r="B2179" t="inlineStr">
        <is>
          <t>avverkningsanmälan</t>
        </is>
      </c>
      <c r="C2179" t="inlineStr">
        <is>
          <t>Föryngringsavverkning</t>
        </is>
      </c>
      <c r="D2179" s="1" t="n">
        <v>45175</v>
      </c>
      <c r="E2179" s="1" t="n">
        <v>46319</v>
      </c>
      <c r="F2179" t="inlineStr">
        <is>
          <t>DALARNAS LÄN</t>
        </is>
      </c>
      <c r="G2179" t="inlineStr">
        <is>
          <t>ÄLVDALEN</t>
        </is>
      </c>
      <c r="I2179" t="n">
        <v>3.6</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42292-2023</t>
        </is>
      </c>
      <c r="B2180" t="inlineStr">
        <is>
          <t>avverkningsanmälan</t>
        </is>
      </c>
      <c r="C2180" t="inlineStr">
        <is>
          <t>Föryngringsavverkning</t>
        </is>
      </c>
      <c r="D2180" s="1" t="n">
        <v>45180</v>
      </c>
      <c r="E2180" s="1" t="n">
        <v>46319</v>
      </c>
      <c r="F2180" t="inlineStr">
        <is>
          <t>DALARNAS LÄN</t>
        </is>
      </c>
      <c r="G2180" t="inlineStr">
        <is>
          <t>FALUN</t>
        </is>
      </c>
      <c r="I2180" t="n">
        <v>2.7</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40399-2025</t>
        </is>
      </c>
      <c r="B2181" t="inlineStr">
        <is>
          <t>avverkningsanmälan</t>
        </is>
      </c>
      <c r="C2181" t="inlineStr">
        <is>
          <t>Föryngringsavverkning</t>
        </is>
      </c>
      <c r="D2181" s="1" t="n">
        <v>45895</v>
      </c>
      <c r="E2181" s="1" t="n">
        <v>46319</v>
      </c>
      <c r="F2181" t="inlineStr">
        <is>
          <t>DALARNAS LÄN</t>
        </is>
      </c>
      <c r="G2181" t="inlineStr">
        <is>
          <t>RÄTTVIK</t>
        </is>
      </c>
      <c r="I2181" t="n">
        <v>0.6</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3179-2023</t>
        </is>
      </c>
      <c r="B2182" t="inlineStr">
        <is>
          <t>avverkningsanmälan</t>
        </is>
      </c>
      <c r="C2182" t="inlineStr">
        <is>
          <t>Föryngringsavverkning</t>
        </is>
      </c>
      <c r="D2182" s="1" t="n">
        <v>44946</v>
      </c>
      <c r="E2182" s="1" t="n">
        <v>46319</v>
      </c>
      <c r="F2182" t="inlineStr">
        <is>
          <t>DALARNAS LÄN</t>
        </is>
      </c>
      <c r="G2182" t="inlineStr">
        <is>
          <t>MALUNG-SÄLEN</t>
        </is>
      </c>
      <c r="I2182" t="n">
        <v>0.7</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40493-2025</t>
        </is>
      </c>
      <c r="B2183" t="inlineStr">
        <is>
          <t>avverkningsanmälan</t>
        </is>
      </c>
      <c r="C2183" t="inlineStr">
        <is>
          <t>Föryngringsavverkning</t>
        </is>
      </c>
      <c r="D2183" s="1" t="n">
        <v>45896</v>
      </c>
      <c r="E2183" s="1" t="n">
        <v>46319</v>
      </c>
      <c r="F2183" t="inlineStr">
        <is>
          <t>DALARNAS LÄN</t>
        </is>
      </c>
      <c r="G2183" t="inlineStr">
        <is>
          <t>RÄTTVIK</t>
        </is>
      </c>
      <c r="I2183" t="n">
        <v>4</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40459-2025</t>
        </is>
      </c>
      <c r="B2184" t="inlineStr">
        <is>
          <t>avverkningsanmälan</t>
        </is>
      </c>
      <c r="C2184" t="inlineStr">
        <is>
          <t>Föryngringsavverkning</t>
        </is>
      </c>
      <c r="D2184" s="1" t="n">
        <v>45895</v>
      </c>
      <c r="E2184" s="1" t="n">
        <v>46319</v>
      </c>
      <c r="F2184" t="inlineStr">
        <is>
          <t>DALARNAS LÄN</t>
        </is>
      </c>
      <c r="G2184" t="inlineStr">
        <is>
          <t>FALUN</t>
        </is>
      </c>
      <c r="I2184" t="n">
        <v>1.2</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40246-2025</t>
        </is>
      </c>
      <c r="B2185" t="inlineStr">
        <is>
          <t>avverkningsanmälan</t>
        </is>
      </c>
      <c r="C2185" t="inlineStr">
        <is>
          <t>Föryngringsavverkning</t>
        </is>
      </c>
      <c r="D2185" s="1" t="n">
        <v>45895</v>
      </c>
      <c r="E2185" s="1" t="n">
        <v>46319</v>
      </c>
      <c r="F2185" t="inlineStr">
        <is>
          <t>DALARNAS LÄN</t>
        </is>
      </c>
      <c r="G2185" t="inlineStr">
        <is>
          <t>LUDVIKA</t>
        </is>
      </c>
      <c r="I2185" t="n">
        <v>1</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40255-2025</t>
        </is>
      </c>
      <c r="B2186" t="inlineStr">
        <is>
          <t>avverkningsanmälan</t>
        </is>
      </c>
      <c r="C2186" t="inlineStr">
        <is>
          <t>Föryngringsavverkning</t>
        </is>
      </c>
      <c r="D2186" s="1" t="n">
        <v>45895</v>
      </c>
      <c r="E2186" s="1" t="n">
        <v>46319</v>
      </c>
      <c r="F2186" t="inlineStr">
        <is>
          <t>DALARNAS LÄN</t>
        </is>
      </c>
      <c r="G2186" t="inlineStr">
        <is>
          <t>MALUNG-SÄLEN</t>
        </is>
      </c>
      <c r="I2186" t="n">
        <v>2.1</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38671-2025</t>
        </is>
      </c>
      <c r="B2187" t="inlineStr">
        <is>
          <t>avverkningsanmälan</t>
        </is>
      </c>
      <c r="C2187" t="inlineStr">
        <is>
          <t>Föryngringsavverkning</t>
        </is>
      </c>
      <c r="D2187" s="1" t="n">
        <v>45884</v>
      </c>
      <c r="E2187" s="1" t="n">
        <v>46319</v>
      </c>
      <c r="F2187" t="inlineStr">
        <is>
          <t>DALARNAS LÄN</t>
        </is>
      </c>
      <c r="G2187" t="inlineStr">
        <is>
          <t>RÄTTVIK</t>
        </is>
      </c>
      <c r="H2187" t="inlineStr">
        <is>
          <t>Sveaskog</t>
        </is>
      </c>
      <c r="I2187" t="n">
        <v>3.4</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40577-2025</t>
        </is>
      </c>
      <c r="B2188" t="inlineStr">
        <is>
          <t>avverkningsanmälan</t>
        </is>
      </c>
      <c r="C2188" t="inlineStr">
        <is>
          <t>Föryngringsavverkning</t>
        </is>
      </c>
      <c r="D2188" s="1" t="n">
        <v>45896</v>
      </c>
      <c r="E2188" s="1" t="n">
        <v>46319</v>
      </c>
      <c r="F2188" t="inlineStr">
        <is>
          <t>DALARNAS LÄN</t>
        </is>
      </c>
      <c r="G2188" t="inlineStr">
        <is>
          <t>ORSA</t>
        </is>
      </c>
      <c r="H2188" t="inlineStr">
        <is>
          <t>Allmännings- och besparingsskogar</t>
        </is>
      </c>
      <c r="I2188" t="n">
        <v>13.8</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625-2023</t>
        </is>
      </c>
      <c r="B2189" t="inlineStr">
        <is>
          <t>avverkningsanmälan</t>
        </is>
      </c>
      <c r="C2189" t="inlineStr">
        <is>
          <t>Föryngringsavverkning</t>
        </is>
      </c>
      <c r="D2189" s="1" t="n">
        <v>44930</v>
      </c>
      <c r="E2189" s="1" t="n">
        <v>46319</v>
      </c>
      <c r="F2189" t="inlineStr">
        <is>
          <t>DALARNAS LÄN</t>
        </is>
      </c>
      <c r="G2189" t="inlineStr">
        <is>
          <t>VANSBRO</t>
        </is>
      </c>
      <c r="I2189" t="n">
        <v>1.1</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651-2023</t>
        </is>
      </c>
      <c r="B2190" t="inlineStr">
        <is>
          <t>avverkningsanmälan</t>
        </is>
      </c>
      <c r="C2190" t="inlineStr">
        <is>
          <t>Föryngringsavverkning</t>
        </is>
      </c>
      <c r="D2190" s="1" t="n">
        <v>44930</v>
      </c>
      <c r="E2190" s="1" t="n">
        <v>46319</v>
      </c>
      <c r="F2190" t="inlineStr">
        <is>
          <t>DALARNAS LÄN</t>
        </is>
      </c>
      <c r="G2190" t="inlineStr">
        <is>
          <t>RÄTTVIK</t>
        </is>
      </c>
      <c r="I2190" t="n">
        <v>3.9</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43916-2024</t>
        </is>
      </c>
      <c r="B2191" t="inlineStr">
        <is>
          <t>avverkningsanmälan</t>
        </is>
      </c>
      <c r="C2191" t="inlineStr">
        <is>
          <t>Föryngringsavverkning</t>
        </is>
      </c>
      <c r="D2191" s="1" t="n">
        <v>45572</v>
      </c>
      <c r="E2191" s="1" t="n">
        <v>46319</v>
      </c>
      <c r="F2191" t="inlineStr">
        <is>
          <t>DALARNAS LÄN</t>
        </is>
      </c>
      <c r="G2191" t="inlineStr">
        <is>
          <t>GAGNEF</t>
        </is>
      </c>
      <c r="I2191" t="n">
        <v>0.9</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40660-2025</t>
        </is>
      </c>
      <c r="B2192" t="inlineStr">
        <is>
          <t>avverkningsanmälan</t>
        </is>
      </c>
      <c r="C2192" t="inlineStr">
        <is>
          <t>Föryngringsavverkning</t>
        </is>
      </c>
      <c r="D2192" s="1" t="n">
        <v>45896</v>
      </c>
      <c r="E2192" s="1" t="n">
        <v>46319</v>
      </c>
      <c r="F2192" t="inlineStr">
        <is>
          <t>DALARNAS LÄN</t>
        </is>
      </c>
      <c r="G2192" t="inlineStr">
        <is>
          <t>MORA</t>
        </is>
      </c>
      <c r="H2192" t="inlineStr">
        <is>
          <t>Bergvik skog väst AB</t>
        </is>
      </c>
      <c r="I2192" t="n">
        <v>5.4</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40644-2022</t>
        </is>
      </c>
      <c r="B2193" t="inlineStr">
        <is>
          <t>avverkningsanmälan</t>
        </is>
      </c>
      <c r="C2193" t="inlineStr">
        <is>
          <t>Föryngringsavverkning</t>
        </is>
      </c>
      <c r="D2193" s="1" t="n">
        <v>44824</v>
      </c>
      <c r="E2193" s="1" t="n">
        <v>46319</v>
      </c>
      <c r="F2193" t="inlineStr">
        <is>
          <t>DALARNAS LÄN</t>
        </is>
      </c>
      <c r="G2193" t="inlineStr">
        <is>
          <t>SMEDJEBACKEN</t>
        </is>
      </c>
      <c r="H2193" t="inlineStr">
        <is>
          <t>Sveaskog</t>
        </is>
      </c>
      <c r="I2193" t="n">
        <v>18.7</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38264-2025</t>
        </is>
      </c>
      <c r="B2194" t="inlineStr">
        <is>
          <t>avverkningsanmälan</t>
        </is>
      </c>
      <c r="C2194" t="inlineStr">
        <is>
          <t>Föryngringsavverkning</t>
        </is>
      </c>
      <c r="D2194" s="1" t="n">
        <v>45883</v>
      </c>
      <c r="E2194" s="1" t="n">
        <v>46319</v>
      </c>
      <c r="F2194" t="inlineStr">
        <is>
          <t>DALARNAS LÄN</t>
        </is>
      </c>
      <c r="G2194" t="inlineStr">
        <is>
          <t>SÄTER</t>
        </is>
      </c>
      <c r="I2194" t="n">
        <v>10.8</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25345-2025</t>
        </is>
      </c>
      <c r="B2195" t="inlineStr">
        <is>
          <t>avverkningsanmälan</t>
        </is>
      </c>
      <c r="C2195" t="inlineStr">
        <is>
          <t>Föryngringsavverkning</t>
        </is>
      </c>
      <c r="D2195" s="1" t="n">
        <v>45799</v>
      </c>
      <c r="E2195" s="1" t="n">
        <v>46319</v>
      </c>
      <c r="F2195" t="inlineStr">
        <is>
          <t>DALARNAS LÄN</t>
        </is>
      </c>
      <c r="G2195" t="inlineStr">
        <is>
          <t>MORA</t>
        </is>
      </c>
      <c r="I2195" t="n">
        <v>3.1</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3806-2022</t>
        </is>
      </c>
      <c r="B2196" t="inlineStr">
        <is>
          <t>avverkningsanmälan</t>
        </is>
      </c>
      <c r="C2196" t="inlineStr">
        <is>
          <t>Föryngringsavverkning</t>
        </is>
      </c>
      <c r="D2196" s="1" t="n">
        <v>44587</v>
      </c>
      <c r="E2196" s="1" t="n">
        <v>46319</v>
      </c>
      <c r="F2196" t="inlineStr">
        <is>
          <t>DALARNAS LÄN</t>
        </is>
      </c>
      <c r="G2196" t="inlineStr">
        <is>
          <t>AVESTA</t>
        </is>
      </c>
      <c r="I2196" t="n">
        <v>3</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1946-2024</t>
        </is>
      </c>
      <c r="B2197" t="inlineStr">
        <is>
          <t>avverkningsanmälan</t>
        </is>
      </c>
      <c r="C2197" t="inlineStr">
        <is>
          <t>Avverkning för annat ändamål</t>
        </is>
      </c>
      <c r="D2197" s="1" t="n">
        <v>45308</v>
      </c>
      <c r="E2197" s="1" t="n">
        <v>46319</v>
      </c>
      <c r="F2197" t="inlineStr">
        <is>
          <t>DALARNAS LÄN</t>
        </is>
      </c>
      <c r="G2197" t="inlineStr">
        <is>
          <t>LEKSAND</t>
        </is>
      </c>
      <c r="I2197" t="n">
        <v>2.3</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12761-2025</t>
        </is>
      </c>
      <c r="B2198" t="inlineStr">
        <is>
          <t>avverkningsanmälan</t>
        </is>
      </c>
      <c r="C2198" t="inlineStr">
        <is>
          <t>Föryngringsavverkning</t>
        </is>
      </c>
      <c r="D2198" s="1" t="n">
        <v>45733</v>
      </c>
      <c r="E2198" s="1" t="n">
        <v>46319</v>
      </c>
      <c r="F2198" t="inlineStr">
        <is>
          <t>DALARNAS LÄN</t>
        </is>
      </c>
      <c r="G2198" t="inlineStr">
        <is>
          <t>RÄTTVIK</t>
        </is>
      </c>
      <c r="I2198" t="n">
        <v>1</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22555-2023</t>
        </is>
      </c>
      <c r="B2199" t="inlineStr">
        <is>
          <t>avverkningsanmälan</t>
        </is>
      </c>
      <c r="C2199" t="inlineStr">
        <is>
          <t>Föryngringsavverkning</t>
        </is>
      </c>
      <c r="D2199" s="1" t="n">
        <v>45071</v>
      </c>
      <c r="E2199" s="1" t="n">
        <v>46319</v>
      </c>
      <c r="F2199" t="inlineStr">
        <is>
          <t>DALARNAS LÄN</t>
        </is>
      </c>
      <c r="G2199" t="inlineStr">
        <is>
          <t>LUDVIKA</t>
        </is>
      </c>
      <c r="H2199" t="inlineStr">
        <is>
          <t>Bergvik skog väst AB</t>
        </is>
      </c>
      <c r="I2199" t="n">
        <v>6</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25853-2024</t>
        </is>
      </c>
      <c r="B2200" t="inlineStr">
        <is>
          <t>avverkningsanmälan</t>
        </is>
      </c>
      <c r="C2200" t="inlineStr">
        <is>
          <t>Avverkning för annat ändamål</t>
        </is>
      </c>
      <c r="D2200" s="1" t="n">
        <v>45467</v>
      </c>
      <c r="E2200" s="1" t="n">
        <v>46319</v>
      </c>
      <c r="F2200" t="inlineStr">
        <is>
          <t>DALARNAS LÄN</t>
        </is>
      </c>
      <c r="G2200" t="inlineStr">
        <is>
          <t>GAGNEF</t>
        </is>
      </c>
      <c r="H2200" t="inlineStr">
        <is>
          <t>Bergvik skog väst AB</t>
        </is>
      </c>
      <c r="I2200" t="n">
        <v>0.3</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51862-2023</t>
        </is>
      </c>
      <c r="B2201" t="inlineStr">
        <is>
          <t>avverkningsanmälan</t>
        </is>
      </c>
      <c r="C2201" t="inlineStr">
        <is>
          <t>Föryngringsavverkning</t>
        </is>
      </c>
      <c r="D2201" s="1" t="n">
        <v>45223</v>
      </c>
      <c r="E2201" s="1" t="n">
        <v>46319</v>
      </c>
      <c r="F2201" t="inlineStr">
        <is>
          <t>DALARNAS LÄN</t>
        </is>
      </c>
      <c r="G2201" t="inlineStr">
        <is>
          <t>BORLÄNGE</t>
        </is>
      </c>
      <c r="H2201" t="inlineStr">
        <is>
          <t>Övriga statliga verk och myndigheter</t>
        </is>
      </c>
      <c r="I2201" t="n">
        <v>1</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40805-2025</t>
        </is>
      </c>
      <c r="B2202" t="inlineStr">
        <is>
          <t>avverkningsanmälan</t>
        </is>
      </c>
      <c r="C2202" t="inlineStr">
        <is>
          <t>Föryngringsavverkning</t>
        </is>
      </c>
      <c r="D2202" s="1" t="n">
        <v>45897</v>
      </c>
      <c r="E2202" s="1" t="n">
        <v>46319</v>
      </c>
      <c r="F2202" t="inlineStr">
        <is>
          <t>DALARNAS LÄN</t>
        </is>
      </c>
      <c r="G2202" t="inlineStr">
        <is>
          <t>MORA</t>
        </is>
      </c>
      <c r="I2202" t="n">
        <v>1.6</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61338-2023</t>
        </is>
      </c>
      <c r="B2203" t="inlineStr">
        <is>
          <t>avverkningsanmälan</t>
        </is>
      </c>
      <c r="C2203" t="inlineStr">
        <is>
          <t>Föryngringsavverkning</t>
        </is>
      </c>
      <c r="D2203" s="1" t="n">
        <v>45264</v>
      </c>
      <c r="E2203" s="1" t="n">
        <v>46319</v>
      </c>
      <c r="F2203" t="inlineStr">
        <is>
          <t>DALARNAS LÄN</t>
        </is>
      </c>
      <c r="G2203" t="inlineStr">
        <is>
          <t>RÄTTVIK</t>
        </is>
      </c>
      <c r="I2203" t="n">
        <v>1.1</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24165-2022</t>
        </is>
      </c>
      <c r="B2204" t="inlineStr">
        <is>
          <t>avverkningsanmälan</t>
        </is>
      </c>
      <c r="C2204" t="inlineStr">
        <is>
          <t>Föryngringsavverkning</t>
        </is>
      </c>
      <c r="D2204" s="1" t="n">
        <v>44725</v>
      </c>
      <c r="E2204" s="1" t="n">
        <v>46319</v>
      </c>
      <c r="F2204" t="inlineStr">
        <is>
          <t>DALARNAS LÄN</t>
        </is>
      </c>
      <c r="G2204" t="inlineStr">
        <is>
          <t>MALUNG-SÄLEN</t>
        </is>
      </c>
      <c r="H2204" t="inlineStr">
        <is>
          <t>Kommuner</t>
        </is>
      </c>
      <c r="I2204" t="n">
        <v>21</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20545-2025</t>
        </is>
      </c>
      <c r="B2205" t="inlineStr">
        <is>
          <t>avverkningsanmälan</t>
        </is>
      </c>
      <c r="C2205" t="inlineStr">
        <is>
          <t>Föryngringsavverkning</t>
        </is>
      </c>
      <c r="D2205" s="1" t="n">
        <v>45775</v>
      </c>
      <c r="E2205" s="1" t="n">
        <v>46319</v>
      </c>
      <c r="F2205" t="inlineStr">
        <is>
          <t>DALARNAS LÄN</t>
        </is>
      </c>
      <c r="G2205" t="inlineStr">
        <is>
          <t>MALUNG-SÄLEN</t>
        </is>
      </c>
      <c r="I2205" t="n">
        <v>1.9</v>
      </c>
      <c r="J2205" t="n">
        <v>0</v>
      </c>
      <c r="K2205" t="n">
        <v>0</v>
      </c>
      <c r="L2205" t="n">
        <v>0</v>
      </c>
      <c r="M2205" t="n">
        <v>0</v>
      </c>
      <c r="N2205" t="n">
        <v>0</v>
      </c>
      <c r="O2205" t="n">
        <v>0</v>
      </c>
      <c r="P2205" t="n">
        <v>0</v>
      </c>
      <c r="Q2205" t="n">
        <v>0</v>
      </c>
      <c r="R2205" t="n">
        <v>0</v>
      </c>
      <c r="S2205" t="n">
        <v>0</v>
      </c>
      <c r="T2205" t="n">
        <v>0</v>
      </c>
      <c r="U2205" t="n">
        <v>0</v>
      </c>
      <c r="V2205" s="2" t="inlineStr"/>
    </row>
    <row r="2206" ht="15" customHeight="1">
      <c r="A2206" t="inlineStr">
        <is>
          <t>A 51328-2024</t>
        </is>
      </c>
      <c r="B2206" t="inlineStr">
        <is>
          <t>avverkningsanmälan</t>
        </is>
      </c>
      <c r="C2206" t="inlineStr">
        <is>
          <t>Avverkning för annat ändamål</t>
        </is>
      </c>
      <c r="D2206" s="1" t="n">
        <v>45604</v>
      </c>
      <c r="E2206" s="1" t="n">
        <v>46319</v>
      </c>
      <c r="F2206" t="inlineStr">
        <is>
          <t>DALARNAS LÄN</t>
        </is>
      </c>
      <c r="G2206" t="inlineStr">
        <is>
          <t>SÄTER</t>
        </is>
      </c>
      <c r="I2206" t="n">
        <v>0.4</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51339-2024</t>
        </is>
      </c>
      <c r="B2207" t="inlineStr">
        <is>
          <t>avverkningsanmälan</t>
        </is>
      </c>
      <c r="C2207" t="inlineStr">
        <is>
          <t>Avverkning för annat ändamål</t>
        </is>
      </c>
      <c r="D2207" s="1" t="n">
        <v>45604</v>
      </c>
      <c r="E2207" s="1" t="n">
        <v>46319</v>
      </c>
      <c r="F2207" t="inlineStr">
        <is>
          <t>DALARNAS LÄN</t>
        </is>
      </c>
      <c r="G2207" t="inlineStr">
        <is>
          <t>SÄTER</t>
        </is>
      </c>
      <c r="I2207" t="n">
        <v>0.1</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40775-2025</t>
        </is>
      </c>
      <c r="B2208" t="inlineStr">
        <is>
          <t>avverkningsanmälan</t>
        </is>
      </c>
      <c r="C2208" t="inlineStr">
        <is>
          <t>Föryngringsavverkning</t>
        </is>
      </c>
      <c r="D2208" s="1" t="n">
        <v>45897</v>
      </c>
      <c r="E2208" s="1" t="n">
        <v>46319</v>
      </c>
      <c r="F2208" t="inlineStr">
        <is>
          <t>DALARNAS LÄN</t>
        </is>
      </c>
      <c r="G2208" t="inlineStr">
        <is>
          <t>FALUN</t>
        </is>
      </c>
      <c r="H2208" t="inlineStr">
        <is>
          <t>Bergvik skog väst AB</t>
        </is>
      </c>
      <c r="I2208" t="n">
        <v>28.2</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41400-2022</t>
        </is>
      </c>
      <c r="B2209" t="inlineStr">
        <is>
          <t>avverkningsanmälan</t>
        </is>
      </c>
      <c r="C2209" t="inlineStr">
        <is>
          <t>Föryngringsavverkning</t>
        </is>
      </c>
      <c r="D2209" s="1" t="n">
        <v>44826</v>
      </c>
      <c r="E2209" s="1" t="n">
        <v>46319</v>
      </c>
      <c r="F2209" t="inlineStr">
        <is>
          <t>DALARNAS LÄN</t>
        </is>
      </c>
      <c r="G2209" t="inlineStr">
        <is>
          <t>LUDVIKA</t>
        </is>
      </c>
      <c r="H2209" t="inlineStr">
        <is>
          <t>Bergvik skog väst AB</t>
        </is>
      </c>
      <c r="I2209" t="n">
        <v>3.5</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41175-2025</t>
        </is>
      </c>
      <c r="B2210" t="inlineStr">
        <is>
          <t>avverkningsanmälan</t>
        </is>
      </c>
      <c r="C2210" t="inlineStr">
        <is>
          <t>Föryngringsavverkning</t>
        </is>
      </c>
      <c r="D2210" s="1" t="n">
        <v>45898</v>
      </c>
      <c r="E2210" s="1" t="n">
        <v>46319</v>
      </c>
      <c r="F2210" t="inlineStr">
        <is>
          <t>DALARNAS LÄN</t>
        </is>
      </c>
      <c r="G2210" t="inlineStr">
        <is>
          <t>MORA</t>
        </is>
      </c>
      <c r="I2210" t="n">
        <v>4.5</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3166-2024</t>
        </is>
      </c>
      <c r="B2211" t="inlineStr">
        <is>
          <t>avverkningsanmälan</t>
        </is>
      </c>
      <c r="C2211" t="inlineStr">
        <is>
          <t>Föryngringsavverkning</t>
        </is>
      </c>
      <c r="D2211" s="1" t="n">
        <v>45316</v>
      </c>
      <c r="E2211" s="1" t="n">
        <v>46319</v>
      </c>
      <c r="F2211" t="inlineStr">
        <is>
          <t>DALARNAS LÄN</t>
        </is>
      </c>
      <c r="G2211" t="inlineStr">
        <is>
          <t>ORSA</t>
        </is>
      </c>
      <c r="I2211" t="n">
        <v>0.7</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2469-2025</t>
        </is>
      </c>
      <c r="B2212" t="inlineStr">
        <is>
          <t>avverkningsanmälan</t>
        </is>
      </c>
      <c r="C2212" t="inlineStr">
        <is>
          <t>Föryngringsavverkning</t>
        </is>
      </c>
      <c r="D2212" s="1" t="n">
        <v>45674</v>
      </c>
      <c r="E2212" s="1" t="n">
        <v>46319</v>
      </c>
      <c r="F2212" t="inlineStr">
        <is>
          <t>DALARNAS LÄN</t>
        </is>
      </c>
      <c r="G2212" t="inlineStr">
        <is>
          <t>MALUNG-SÄLEN</t>
        </is>
      </c>
      <c r="I2212" t="n">
        <v>0.6</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41109-2025</t>
        </is>
      </c>
      <c r="B2213" t="inlineStr">
        <is>
          <t>avverkningsanmälan</t>
        </is>
      </c>
      <c r="C2213" t="inlineStr">
        <is>
          <t>Föryngringsavverkning</t>
        </is>
      </c>
      <c r="D2213" s="1" t="n">
        <v>45898</v>
      </c>
      <c r="E2213" s="1" t="n">
        <v>46319</v>
      </c>
      <c r="F2213" t="inlineStr">
        <is>
          <t>DALARNAS LÄN</t>
        </is>
      </c>
      <c r="G2213" t="inlineStr">
        <is>
          <t>LUDVIKA</t>
        </is>
      </c>
      <c r="H2213" t="inlineStr">
        <is>
          <t>Bergvik skog väst AB</t>
        </is>
      </c>
      <c r="I2213" t="n">
        <v>3.4</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40750-2025</t>
        </is>
      </c>
      <c r="B2214" t="inlineStr">
        <is>
          <t>avverkningsanmälan</t>
        </is>
      </c>
      <c r="C2214" t="inlineStr">
        <is>
          <t>Föryngringsavverkning</t>
        </is>
      </c>
      <c r="D2214" s="1" t="n">
        <v>45897</v>
      </c>
      <c r="E2214" s="1" t="n">
        <v>46319</v>
      </c>
      <c r="F2214" t="inlineStr">
        <is>
          <t>DALARNAS LÄN</t>
        </is>
      </c>
      <c r="G2214" t="inlineStr">
        <is>
          <t>AVESTA</t>
        </is>
      </c>
      <c r="I2214" t="n">
        <v>1.7</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29710-2022</t>
        </is>
      </c>
      <c r="B2215" t="inlineStr">
        <is>
          <t>avverkningsanmälan</t>
        </is>
      </c>
      <c r="C2215" t="inlineStr">
        <is>
          <t>Föryngringsavverkning</t>
        </is>
      </c>
      <c r="D2215" s="1" t="n">
        <v>44755</v>
      </c>
      <c r="E2215" s="1" t="n">
        <v>46319</v>
      </c>
      <c r="F2215" t="inlineStr">
        <is>
          <t>DALARNAS LÄN</t>
        </is>
      </c>
      <c r="G2215" t="inlineStr">
        <is>
          <t>ÄLVDALEN</t>
        </is>
      </c>
      <c r="H2215" t="inlineStr">
        <is>
          <t>Sveaskog</t>
        </is>
      </c>
      <c r="I2215" t="n">
        <v>9.1</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59763-2023</t>
        </is>
      </c>
      <c r="B2216" t="inlineStr">
        <is>
          <t>avverkningsanmälan</t>
        </is>
      </c>
      <c r="C2216" t="inlineStr">
        <is>
          <t>Föryngringsavverkning</t>
        </is>
      </c>
      <c r="D2216" s="1" t="n">
        <v>45257</v>
      </c>
      <c r="E2216" s="1" t="n">
        <v>46319</v>
      </c>
      <c r="F2216" t="inlineStr">
        <is>
          <t>DALARNAS LÄN</t>
        </is>
      </c>
      <c r="G2216" t="inlineStr">
        <is>
          <t>LEKSAND</t>
        </is>
      </c>
      <c r="I2216" t="n">
        <v>1.6</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19917-2023</t>
        </is>
      </c>
      <c r="B2217" t="inlineStr">
        <is>
          <t>avverkningsanmälan</t>
        </is>
      </c>
      <c r="C2217" t="inlineStr">
        <is>
          <t>Föryngringsavverkning</t>
        </is>
      </c>
      <c r="D2217" s="1" t="n">
        <v>45054</v>
      </c>
      <c r="E2217" s="1" t="n">
        <v>46319</v>
      </c>
      <c r="F2217" t="inlineStr">
        <is>
          <t>DALARNAS LÄN</t>
        </is>
      </c>
      <c r="G2217" t="inlineStr">
        <is>
          <t>FALUN</t>
        </is>
      </c>
      <c r="I2217" t="n">
        <v>0.4</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38376-2025</t>
        </is>
      </c>
      <c r="B2218" t="inlineStr">
        <is>
          <t>avverkningsanmälan</t>
        </is>
      </c>
      <c r="C2218" t="inlineStr">
        <is>
          <t>Avverkning för annat ändamål</t>
        </is>
      </c>
      <c r="D2218" s="1" t="n">
        <v>45883</v>
      </c>
      <c r="E2218" s="1" t="n">
        <v>46319</v>
      </c>
      <c r="F2218" t="inlineStr">
        <is>
          <t>DALARNAS LÄN</t>
        </is>
      </c>
      <c r="G2218" t="inlineStr">
        <is>
          <t>MALUNG-SÄLEN</t>
        </is>
      </c>
      <c r="I2218" t="n">
        <v>0.9</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43193-2024</t>
        </is>
      </c>
      <c r="B2219" t="inlineStr">
        <is>
          <t>avverkningsanmälan</t>
        </is>
      </c>
      <c r="C2219" t="inlineStr">
        <is>
          <t>Avverkning för annat ändamål</t>
        </is>
      </c>
      <c r="D2219" s="1" t="n">
        <v>45567</v>
      </c>
      <c r="E2219" s="1" t="n">
        <v>46319</v>
      </c>
      <c r="F2219" t="inlineStr">
        <is>
          <t>DALARNAS LÄN</t>
        </is>
      </c>
      <c r="G2219" t="inlineStr">
        <is>
          <t>FALUN</t>
        </is>
      </c>
      <c r="I2219" t="n">
        <v>0.4</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38477-2025</t>
        </is>
      </c>
      <c r="B2220" t="inlineStr">
        <is>
          <t>avverkningsanmälan</t>
        </is>
      </c>
      <c r="C2220" t="inlineStr">
        <is>
          <t>Föryngringsavverkning</t>
        </is>
      </c>
      <c r="D2220" s="1" t="n">
        <v>45884</v>
      </c>
      <c r="E2220" s="1" t="n">
        <v>46319</v>
      </c>
      <c r="F2220" t="inlineStr">
        <is>
          <t>DALARNAS LÄN</t>
        </is>
      </c>
      <c r="G2220" t="inlineStr">
        <is>
          <t>SMEDJEBACKEN</t>
        </is>
      </c>
      <c r="I2220" t="n">
        <v>0.7</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40761-2025</t>
        </is>
      </c>
      <c r="B2221" t="inlineStr">
        <is>
          <t>avverkningsanmälan</t>
        </is>
      </c>
      <c r="C2221" t="inlineStr">
        <is>
          <t>Föryngringsavverkning</t>
        </is>
      </c>
      <c r="D2221" s="1" t="n">
        <v>45897</v>
      </c>
      <c r="E2221" s="1" t="n">
        <v>46319</v>
      </c>
      <c r="F2221" t="inlineStr">
        <is>
          <t>DALARNAS LÄN</t>
        </is>
      </c>
      <c r="G2221" t="inlineStr">
        <is>
          <t>AVESTA</t>
        </is>
      </c>
      <c r="I2221" t="n">
        <v>0.7</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30939-2023</t>
        </is>
      </c>
      <c r="B2222" t="inlineStr">
        <is>
          <t>avverkningsanmälan</t>
        </is>
      </c>
      <c r="C2222" t="inlineStr">
        <is>
          <t>Föryngringsavverkning</t>
        </is>
      </c>
      <c r="D2222" s="1" t="n">
        <v>45113</v>
      </c>
      <c r="E2222" s="1" t="n">
        <v>46319</v>
      </c>
      <c r="F2222" t="inlineStr">
        <is>
          <t>DALARNAS LÄN</t>
        </is>
      </c>
      <c r="G2222" t="inlineStr">
        <is>
          <t>HEDEMORA</t>
        </is>
      </c>
      <c r="H2222" t="inlineStr">
        <is>
          <t>Sveaskog</t>
        </is>
      </c>
      <c r="I2222" t="n">
        <v>1.7</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60642-2021</t>
        </is>
      </c>
      <c r="B2223" t="inlineStr">
        <is>
          <t>avverkningsanmälan</t>
        </is>
      </c>
      <c r="C2223" t="inlineStr">
        <is>
          <t>Föryngringsavverkning</t>
        </is>
      </c>
      <c r="D2223" s="1" t="n">
        <v>44496</v>
      </c>
      <c r="E2223" s="1" t="n">
        <v>46319</v>
      </c>
      <c r="F2223" t="inlineStr">
        <is>
          <t>DALARNAS LÄN</t>
        </is>
      </c>
      <c r="G2223" t="inlineStr">
        <is>
          <t>ÄLVDALEN</t>
        </is>
      </c>
      <c r="H2223" t="inlineStr">
        <is>
          <t>Allmännings- och besparingsskogar</t>
        </is>
      </c>
      <c r="I2223" t="n">
        <v>0.9</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34845-2024</t>
        </is>
      </c>
      <c r="B2224" t="inlineStr">
        <is>
          <t>avverkningsanmälan</t>
        </is>
      </c>
      <c r="C2224" t="inlineStr">
        <is>
          <t>Avverkning för annat ändamål</t>
        </is>
      </c>
      <c r="D2224" s="1" t="n">
        <v>45526</v>
      </c>
      <c r="E2224" s="1" t="n">
        <v>46319</v>
      </c>
      <c r="F2224" t="inlineStr">
        <is>
          <t>DALARNAS LÄN</t>
        </is>
      </c>
      <c r="G2224" t="inlineStr">
        <is>
          <t>LUDVIKA</t>
        </is>
      </c>
      <c r="I2224" t="n">
        <v>0.5</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41235-2025</t>
        </is>
      </c>
      <c r="B2225" t="inlineStr">
        <is>
          <t>avverkningsanmälan</t>
        </is>
      </c>
      <c r="C2225" t="inlineStr">
        <is>
          <t>Föryngringsavverkning</t>
        </is>
      </c>
      <c r="D2225" s="1" t="n">
        <v>45898</v>
      </c>
      <c r="E2225" s="1" t="n">
        <v>46319</v>
      </c>
      <c r="F2225" t="inlineStr">
        <is>
          <t>DALARNAS LÄN</t>
        </is>
      </c>
      <c r="G2225" t="inlineStr">
        <is>
          <t>MALUNG-SÄLEN</t>
        </is>
      </c>
      <c r="H2225" t="inlineStr">
        <is>
          <t>Bergvik skog öst AB</t>
        </is>
      </c>
      <c r="I2225" t="n">
        <v>13.3</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40884-2025</t>
        </is>
      </c>
      <c r="B2226" t="inlineStr">
        <is>
          <t>avverkningsanmälan</t>
        </is>
      </c>
      <c r="C2226" t="inlineStr">
        <is>
          <t>Föryngringsavverkning</t>
        </is>
      </c>
      <c r="D2226" s="1" t="n">
        <v>45897</v>
      </c>
      <c r="E2226" s="1" t="n">
        <v>46319</v>
      </c>
      <c r="F2226" t="inlineStr">
        <is>
          <t>DALARNAS LÄN</t>
        </is>
      </c>
      <c r="G2226" t="inlineStr">
        <is>
          <t>VANSBRO</t>
        </is>
      </c>
      <c r="H2226" t="inlineStr">
        <is>
          <t>Bergvik skog öst AB</t>
        </is>
      </c>
      <c r="I2226" t="n">
        <v>2.6</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2879-2022</t>
        </is>
      </c>
      <c r="B2227" t="inlineStr">
        <is>
          <t>avverkningsanmälan</t>
        </is>
      </c>
      <c r="C2227" t="inlineStr">
        <is>
          <t>Föryngringsavverkning</t>
        </is>
      </c>
      <c r="D2227" s="1" t="n">
        <v>44581</v>
      </c>
      <c r="E2227" s="1" t="n">
        <v>46319</v>
      </c>
      <c r="F2227" t="inlineStr">
        <is>
          <t>DALARNAS LÄN</t>
        </is>
      </c>
      <c r="G2227" t="inlineStr">
        <is>
          <t>MORA</t>
        </is>
      </c>
      <c r="I2227" t="n">
        <v>2.3</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16409-2022</t>
        </is>
      </c>
      <c r="B2228" t="inlineStr">
        <is>
          <t>avverkningsanmälan</t>
        </is>
      </c>
      <c r="C2228" t="inlineStr">
        <is>
          <t>Föryngringsavverkning</t>
        </is>
      </c>
      <c r="D2228" s="1" t="n">
        <v>44671</v>
      </c>
      <c r="E2228" s="1" t="n">
        <v>46319</v>
      </c>
      <c r="F2228" t="inlineStr">
        <is>
          <t>DALARNAS LÄN</t>
        </is>
      </c>
      <c r="G2228" t="inlineStr">
        <is>
          <t>GAGNEF</t>
        </is>
      </c>
      <c r="I2228" t="n">
        <v>0.5</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42455-2022</t>
        </is>
      </c>
      <c r="B2229" t="inlineStr">
        <is>
          <t>avverkningsanmälan</t>
        </is>
      </c>
      <c r="C2229" t="inlineStr">
        <is>
          <t>Föryngringsavverkning</t>
        </is>
      </c>
      <c r="D2229" s="1" t="n">
        <v>44831</v>
      </c>
      <c r="E2229" s="1" t="n">
        <v>46319</v>
      </c>
      <c r="F2229" t="inlineStr">
        <is>
          <t>DALARNAS LÄN</t>
        </is>
      </c>
      <c r="G2229" t="inlineStr">
        <is>
          <t>FALUN</t>
        </is>
      </c>
      <c r="I2229" t="n">
        <v>0.6</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41158-2022</t>
        </is>
      </c>
      <c r="B2230" t="inlineStr">
        <is>
          <t>avverkningsanmälan</t>
        </is>
      </c>
      <c r="C2230" t="inlineStr">
        <is>
          <t>Föryngringsavverkning</t>
        </is>
      </c>
      <c r="D2230" s="1" t="n">
        <v>44825</v>
      </c>
      <c r="E2230" s="1" t="n">
        <v>46319</v>
      </c>
      <c r="F2230" t="inlineStr">
        <is>
          <t>DALARNAS LÄN</t>
        </is>
      </c>
      <c r="G2230" t="inlineStr">
        <is>
          <t>LUDVIKA</t>
        </is>
      </c>
      <c r="I2230" t="n">
        <v>2.1</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48715-2022</t>
        </is>
      </c>
      <c r="B2231" t="inlineStr">
        <is>
          <t>avverkningsanmälan</t>
        </is>
      </c>
      <c r="C2231" t="inlineStr">
        <is>
          <t>Föryngringsavverkning</t>
        </is>
      </c>
      <c r="D2231" s="1" t="n">
        <v>44859</v>
      </c>
      <c r="E2231" s="1" t="n">
        <v>46319</v>
      </c>
      <c r="F2231" t="inlineStr">
        <is>
          <t>DALARNAS LÄN</t>
        </is>
      </c>
      <c r="G2231" t="inlineStr">
        <is>
          <t>LUDVIKA</t>
        </is>
      </c>
      <c r="H2231" t="inlineStr">
        <is>
          <t>Naturvårdsverket</t>
        </is>
      </c>
      <c r="I2231" t="n">
        <v>1.2</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7417-2024</t>
        </is>
      </c>
      <c r="B2232" t="inlineStr">
        <is>
          <t>avverkningsanmälan</t>
        </is>
      </c>
      <c r="C2232" t="inlineStr">
        <is>
          <t>Föryngringsavverkning</t>
        </is>
      </c>
      <c r="D2232" s="1" t="n">
        <v>45345</v>
      </c>
      <c r="E2232" s="1" t="n">
        <v>46319</v>
      </c>
      <c r="F2232" t="inlineStr">
        <is>
          <t>DALARNAS LÄN</t>
        </is>
      </c>
      <c r="G2232" t="inlineStr">
        <is>
          <t>LEKSAND</t>
        </is>
      </c>
      <c r="I2232" t="n">
        <v>2.8</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40711-2025</t>
        </is>
      </c>
      <c r="B2233" t="inlineStr">
        <is>
          <t>avverkningsanmälan</t>
        </is>
      </c>
      <c r="C2233" t="inlineStr">
        <is>
          <t>Föryngringsavverkning</t>
        </is>
      </c>
      <c r="D2233" s="1" t="n">
        <v>45897</v>
      </c>
      <c r="E2233" s="1" t="n">
        <v>46319</v>
      </c>
      <c r="F2233" t="inlineStr">
        <is>
          <t>DALARNAS LÄN</t>
        </is>
      </c>
      <c r="G2233" t="inlineStr">
        <is>
          <t>AVESTA</t>
        </is>
      </c>
      <c r="I2233" t="n">
        <v>1</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40710-2025</t>
        </is>
      </c>
      <c r="B2234" t="inlineStr">
        <is>
          <t>avverkningsanmälan</t>
        </is>
      </c>
      <c r="C2234" t="inlineStr">
        <is>
          <t>Föryngringsavverkning</t>
        </is>
      </c>
      <c r="D2234" s="1" t="n">
        <v>45897</v>
      </c>
      <c r="E2234" s="1" t="n">
        <v>46319</v>
      </c>
      <c r="F2234" t="inlineStr">
        <is>
          <t>DALARNAS LÄN</t>
        </is>
      </c>
      <c r="G2234" t="inlineStr">
        <is>
          <t>AVESTA</t>
        </is>
      </c>
      <c r="I2234" t="n">
        <v>4.5</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14677-2024</t>
        </is>
      </c>
      <c r="B2235" t="inlineStr">
        <is>
          <t>avverkningsanmälan</t>
        </is>
      </c>
      <c r="C2235" t="inlineStr">
        <is>
          <t>Föryngringsavverkning</t>
        </is>
      </c>
      <c r="D2235" s="1" t="n">
        <v>45397</v>
      </c>
      <c r="E2235" s="1" t="n">
        <v>46319</v>
      </c>
      <c r="F2235" t="inlineStr">
        <is>
          <t>DALARNAS LÄN</t>
        </is>
      </c>
      <c r="G2235" t="inlineStr">
        <is>
          <t>SMEDJEBACKEN</t>
        </is>
      </c>
      <c r="I2235" t="n">
        <v>2.5</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41237-2025</t>
        </is>
      </c>
      <c r="B2236" t="inlineStr">
        <is>
          <t>avverkningsanmälan</t>
        </is>
      </c>
      <c r="C2236" t="inlineStr">
        <is>
          <t>Föryngringsavverkning</t>
        </is>
      </c>
      <c r="D2236" s="1" t="n">
        <v>45898</v>
      </c>
      <c r="E2236" s="1" t="n">
        <v>46319</v>
      </c>
      <c r="F2236" t="inlineStr">
        <is>
          <t>DALARNAS LÄN</t>
        </is>
      </c>
      <c r="G2236" t="inlineStr">
        <is>
          <t>LEKSAND</t>
        </is>
      </c>
      <c r="H2236" t="inlineStr">
        <is>
          <t>Bergvik skog väst AB</t>
        </is>
      </c>
      <c r="I2236" t="n">
        <v>1.4</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41248-2025</t>
        </is>
      </c>
      <c r="B2237" t="inlineStr">
        <is>
          <t>avverkningsanmälan</t>
        </is>
      </c>
      <c r="C2237" t="inlineStr">
        <is>
          <t>Föryngringsavverkning</t>
        </is>
      </c>
      <c r="D2237" s="1" t="n">
        <v>45898</v>
      </c>
      <c r="E2237" s="1" t="n">
        <v>46319</v>
      </c>
      <c r="F2237" t="inlineStr">
        <is>
          <t>DALARNAS LÄN</t>
        </is>
      </c>
      <c r="G2237" t="inlineStr">
        <is>
          <t>LEKSAND</t>
        </is>
      </c>
      <c r="H2237" t="inlineStr">
        <is>
          <t>Bergvik skog väst AB</t>
        </is>
      </c>
      <c r="I2237" t="n">
        <v>2.5</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23079-2024</t>
        </is>
      </c>
      <c r="B2238" t="inlineStr">
        <is>
          <t>avverkningsanmälan</t>
        </is>
      </c>
      <c r="C2238" t="inlineStr">
        <is>
          <t>Föryngringsavverkning</t>
        </is>
      </c>
      <c r="D2238" s="1" t="n">
        <v>45450</v>
      </c>
      <c r="E2238" s="1" t="n">
        <v>46319</v>
      </c>
      <c r="F2238" t="inlineStr">
        <is>
          <t>DALARNAS LÄN</t>
        </is>
      </c>
      <c r="G2238" t="inlineStr">
        <is>
          <t>MALUNG-SÄLEN</t>
        </is>
      </c>
      <c r="I2238" t="n">
        <v>1.1</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41250-2025</t>
        </is>
      </c>
      <c r="B2239" t="inlineStr">
        <is>
          <t>avverkningsanmälan</t>
        </is>
      </c>
      <c r="C2239" t="inlineStr">
        <is>
          <t>Föryngringsavverkning</t>
        </is>
      </c>
      <c r="D2239" s="1" t="n">
        <v>45898</v>
      </c>
      <c r="E2239" s="1" t="n">
        <v>46319</v>
      </c>
      <c r="F2239" t="inlineStr">
        <is>
          <t>DALARNAS LÄN</t>
        </is>
      </c>
      <c r="G2239" t="inlineStr">
        <is>
          <t>MALUNG-SÄLEN</t>
        </is>
      </c>
      <c r="I2239" t="n">
        <v>5</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41269-2025</t>
        </is>
      </c>
      <c r="B2240" t="inlineStr">
        <is>
          <t>avverkningsanmälan</t>
        </is>
      </c>
      <c r="C2240" t="inlineStr">
        <is>
          <t>Föryngringsavverkning</t>
        </is>
      </c>
      <c r="D2240" s="1" t="n">
        <v>45898</v>
      </c>
      <c r="E2240" s="1" t="n">
        <v>46319</v>
      </c>
      <c r="F2240" t="inlineStr">
        <is>
          <t>DALARNAS LÄN</t>
        </is>
      </c>
      <c r="G2240" t="inlineStr">
        <is>
          <t>LUDVIKA</t>
        </is>
      </c>
      <c r="H2240" t="inlineStr">
        <is>
          <t>Bergvik skog väst AB</t>
        </is>
      </c>
      <c r="I2240" t="n">
        <v>3.3</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41308-2025</t>
        </is>
      </c>
      <c r="B2241" t="inlineStr">
        <is>
          <t>avverkningsanmälan</t>
        </is>
      </c>
      <c r="C2241" t="inlineStr">
        <is>
          <t>Föryngringsavverkning</t>
        </is>
      </c>
      <c r="D2241" s="1" t="n">
        <v>45898</v>
      </c>
      <c r="E2241" s="1" t="n">
        <v>46319</v>
      </c>
      <c r="F2241" t="inlineStr">
        <is>
          <t>DALARNAS LÄN</t>
        </is>
      </c>
      <c r="G2241" t="inlineStr">
        <is>
          <t>LEKSAND</t>
        </is>
      </c>
      <c r="H2241" t="inlineStr">
        <is>
          <t>Bergvik skog väst AB</t>
        </is>
      </c>
      <c r="I2241" t="n">
        <v>6.7</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45245-2022</t>
        </is>
      </c>
      <c r="B2242" t="inlineStr">
        <is>
          <t>avverkningsanmälan</t>
        </is>
      </c>
      <c r="C2242" t="inlineStr">
        <is>
          <t>Föryngringsavverkning</t>
        </is>
      </c>
      <c r="D2242" s="1" t="n">
        <v>44844</v>
      </c>
      <c r="E2242" s="1" t="n">
        <v>46319</v>
      </c>
      <c r="F2242" t="inlineStr">
        <is>
          <t>DALARNAS LÄN</t>
        </is>
      </c>
      <c r="G2242" t="inlineStr">
        <is>
          <t>ÄLVDALEN</t>
        </is>
      </c>
      <c r="H2242" t="inlineStr">
        <is>
          <t>Bergvik skog väst AB</t>
        </is>
      </c>
      <c r="I2242" t="n">
        <v>3.1</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15557-2024</t>
        </is>
      </c>
      <c r="B2243" t="inlineStr">
        <is>
          <t>avverkningsanmälan</t>
        </is>
      </c>
      <c r="C2243" t="inlineStr">
        <is>
          <t>Föryngringsavverkning</t>
        </is>
      </c>
      <c r="D2243" s="1" t="n">
        <v>45401</v>
      </c>
      <c r="E2243" s="1" t="n">
        <v>46319</v>
      </c>
      <c r="F2243" t="inlineStr">
        <is>
          <t>DALARNAS LÄN</t>
        </is>
      </c>
      <c r="G2243" t="inlineStr">
        <is>
          <t>SMEDJEBACKEN</t>
        </is>
      </c>
      <c r="I2243" t="n">
        <v>2.4</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37675-2024</t>
        </is>
      </c>
      <c r="B2244" t="inlineStr">
        <is>
          <t>avverkningsanmälan</t>
        </is>
      </c>
      <c r="C2244" t="inlineStr">
        <is>
          <t>Föryngringsavverkning</t>
        </is>
      </c>
      <c r="D2244" s="1" t="n">
        <v>45541</v>
      </c>
      <c r="E2244" s="1" t="n">
        <v>46319</v>
      </c>
      <c r="F2244" t="inlineStr">
        <is>
          <t>DALARNAS LÄN</t>
        </is>
      </c>
      <c r="G2244" t="inlineStr">
        <is>
          <t>MALUNG-SÄLEN</t>
        </is>
      </c>
      <c r="H2244" t="inlineStr">
        <is>
          <t>Bergvik skog öst AB</t>
        </is>
      </c>
      <c r="I2244" t="n">
        <v>1.4</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41115-2025</t>
        </is>
      </c>
      <c r="B2245" t="inlineStr">
        <is>
          <t>avverkningsanmälan</t>
        </is>
      </c>
      <c r="C2245" t="inlineStr">
        <is>
          <t>Föryngringsavverkning</t>
        </is>
      </c>
      <c r="D2245" s="1" t="n">
        <v>45898</v>
      </c>
      <c r="E2245" s="1" t="n">
        <v>46319</v>
      </c>
      <c r="F2245" t="inlineStr">
        <is>
          <t>DALARNAS LÄN</t>
        </is>
      </c>
      <c r="G2245" t="inlineStr">
        <is>
          <t>ÄLVDALEN</t>
        </is>
      </c>
      <c r="I2245" t="n">
        <v>1.7</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28312-2022</t>
        </is>
      </c>
      <c r="B2246" t="inlineStr">
        <is>
          <t>avverkningsanmälan</t>
        </is>
      </c>
      <c r="C2246" t="inlineStr">
        <is>
          <t>Föryngringsavverkning</t>
        </is>
      </c>
      <c r="D2246" s="1" t="n">
        <v>44747</v>
      </c>
      <c r="E2246" s="1" t="n">
        <v>46319</v>
      </c>
      <c r="F2246" t="inlineStr">
        <is>
          <t>DALARNAS LÄN</t>
        </is>
      </c>
      <c r="G2246" t="inlineStr">
        <is>
          <t>BORLÄNGE</t>
        </is>
      </c>
      <c r="I2246" t="n">
        <v>2.4</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37301-2024</t>
        </is>
      </c>
      <c r="B2247" t="inlineStr">
        <is>
          <t>avverkningsanmälan</t>
        </is>
      </c>
      <c r="C2247" t="inlineStr">
        <is>
          <t>Föryngringsavverkning</t>
        </is>
      </c>
      <c r="D2247" s="1" t="n">
        <v>45540</v>
      </c>
      <c r="E2247" s="1" t="n">
        <v>46319</v>
      </c>
      <c r="F2247" t="inlineStr">
        <is>
          <t>DALARNAS LÄN</t>
        </is>
      </c>
      <c r="G2247" t="inlineStr">
        <is>
          <t>MALUNG-SÄLEN</t>
        </is>
      </c>
      <c r="H2247" t="inlineStr">
        <is>
          <t>Bergvik skog öst AB</t>
        </is>
      </c>
      <c r="I2247" t="n">
        <v>3.4</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40981-2025</t>
        </is>
      </c>
      <c r="B2248" t="inlineStr">
        <is>
          <t>avverkningsanmälan</t>
        </is>
      </c>
      <c r="C2248" t="inlineStr">
        <is>
          <t>Föryngringsavverkning</t>
        </is>
      </c>
      <c r="D2248" s="1" t="n">
        <v>45898</v>
      </c>
      <c r="E2248" s="1" t="n">
        <v>46319</v>
      </c>
      <c r="F2248" t="inlineStr">
        <is>
          <t>DALARNAS LÄN</t>
        </is>
      </c>
      <c r="G2248" t="inlineStr">
        <is>
          <t>RÄTTVIK</t>
        </is>
      </c>
      <c r="I2248" t="n">
        <v>0.4</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42079-2025</t>
        </is>
      </c>
      <c r="B2249" t="inlineStr">
        <is>
          <t>avverkningsanmälan</t>
        </is>
      </c>
      <c r="C2249" t="inlineStr">
        <is>
          <t>Föryngringsavverkning</t>
        </is>
      </c>
      <c r="D2249" s="1" t="n">
        <v>45902</v>
      </c>
      <c r="E2249" s="1" t="n">
        <v>46319</v>
      </c>
      <c r="F2249" t="inlineStr">
        <is>
          <t>DALARNAS LÄN</t>
        </is>
      </c>
      <c r="G2249" t="inlineStr">
        <is>
          <t>RÄTTVIK</t>
        </is>
      </c>
      <c r="I2249" t="n">
        <v>1</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17322-2024</t>
        </is>
      </c>
      <c r="B2250" t="inlineStr">
        <is>
          <t>avverkningsanmälan</t>
        </is>
      </c>
      <c r="C2250" t="inlineStr">
        <is>
          <t>Föryngringsavverkning</t>
        </is>
      </c>
      <c r="D2250" s="1" t="n">
        <v>45414</v>
      </c>
      <c r="E2250" s="1" t="n">
        <v>46319</v>
      </c>
      <c r="F2250" t="inlineStr">
        <is>
          <t>DALARNAS LÄN</t>
        </is>
      </c>
      <c r="G2250" t="inlineStr">
        <is>
          <t>GAGNEF</t>
        </is>
      </c>
      <c r="I2250" t="n">
        <v>2.1</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37970-2022</t>
        </is>
      </c>
      <c r="B2251" t="inlineStr">
        <is>
          <t>avverkningsanmälan</t>
        </is>
      </c>
      <c r="C2251" t="inlineStr">
        <is>
          <t>Föryngringsavverkning</t>
        </is>
      </c>
      <c r="D2251" s="1" t="n">
        <v>44811</v>
      </c>
      <c r="E2251" s="1" t="n">
        <v>46319</v>
      </c>
      <c r="F2251" t="inlineStr">
        <is>
          <t>DALARNAS LÄN</t>
        </is>
      </c>
      <c r="G2251" t="inlineStr">
        <is>
          <t>VANSBRO</t>
        </is>
      </c>
      <c r="H2251" t="inlineStr">
        <is>
          <t>Bergvik skog väst AB</t>
        </is>
      </c>
      <c r="I2251" t="n">
        <v>1.9</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25960-2022</t>
        </is>
      </c>
      <c r="B2252" t="inlineStr">
        <is>
          <t>avverkningsanmälan</t>
        </is>
      </c>
      <c r="C2252" t="inlineStr">
        <is>
          <t>Föryngringsavverkning</t>
        </is>
      </c>
      <c r="D2252" s="1" t="n">
        <v>44734</v>
      </c>
      <c r="E2252" s="1" t="n">
        <v>46319</v>
      </c>
      <c r="F2252" t="inlineStr">
        <is>
          <t>DALARNAS LÄN</t>
        </is>
      </c>
      <c r="G2252" t="inlineStr">
        <is>
          <t>AVESTA</t>
        </is>
      </c>
      <c r="I2252" t="n">
        <v>1.5</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30342-2023</t>
        </is>
      </c>
      <c r="B2253" t="inlineStr">
        <is>
          <t>avverkningsanmälan</t>
        </is>
      </c>
      <c r="C2253" t="inlineStr">
        <is>
          <t>Föryngringsavverkning</t>
        </is>
      </c>
      <c r="D2253" s="1" t="n">
        <v>45111</v>
      </c>
      <c r="E2253" s="1" t="n">
        <v>46319</v>
      </c>
      <c r="F2253" t="inlineStr">
        <is>
          <t>DALARNAS LÄN</t>
        </is>
      </c>
      <c r="G2253" t="inlineStr">
        <is>
          <t>VANSBRO</t>
        </is>
      </c>
      <c r="I2253" t="n">
        <v>1</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38551-2025</t>
        </is>
      </c>
      <c r="B2254" t="inlineStr">
        <is>
          <t>avverkningsanmälan</t>
        </is>
      </c>
      <c r="C2254" t="inlineStr">
        <is>
          <t>Föryngringsavverkning</t>
        </is>
      </c>
      <c r="D2254" s="1" t="n">
        <v>45884</v>
      </c>
      <c r="E2254" s="1" t="n">
        <v>46319</v>
      </c>
      <c r="F2254" t="inlineStr">
        <is>
          <t>DALARNAS LÄN</t>
        </is>
      </c>
      <c r="G2254" t="inlineStr">
        <is>
          <t>RÄTTVIK</t>
        </is>
      </c>
      <c r="I2254" t="n">
        <v>1.9</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26658-2022</t>
        </is>
      </c>
      <c r="B2255" t="inlineStr">
        <is>
          <t>avverkningsanmälan</t>
        </is>
      </c>
      <c r="C2255" t="inlineStr">
        <is>
          <t>Föryngringsavverkning</t>
        </is>
      </c>
      <c r="D2255" s="1" t="n">
        <v>44739</v>
      </c>
      <c r="E2255" s="1" t="n">
        <v>46319</v>
      </c>
      <c r="F2255" t="inlineStr">
        <is>
          <t>DALARNAS LÄN</t>
        </is>
      </c>
      <c r="G2255" t="inlineStr">
        <is>
          <t>VANSBRO</t>
        </is>
      </c>
      <c r="H2255" t="inlineStr">
        <is>
          <t>Bergvik skog väst AB</t>
        </is>
      </c>
      <c r="I2255" t="n">
        <v>4.1</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41371-2025</t>
        </is>
      </c>
      <c r="B2256" t="inlineStr">
        <is>
          <t>avverkningsanmälan</t>
        </is>
      </c>
      <c r="C2256" t="inlineStr">
        <is>
          <t>Föryngringsavverkning</t>
        </is>
      </c>
      <c r="D2256" s="1" t="n">
        <v>45900</v>
      </c>
      <c r="E2256" s="1" t="n">
        <v>46319</v>
      </c>
      <c r="F2256" t="inlineStr">
        <is>
          <t>DALARNAS LÄN</t>
        </is>
      </c>
      <c r="G2256" t="inlineStr">
        <is>
          <t>FALUN</t>
        </is>
      </c>
      <c r="I2256" t="n">
        <v>0.8</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41783-2025</t>
        </is>
      </c>
      <c r="B2257" t="inlineStr">
        <is>
          <t>avverkningsanmälan</t>
        </is>
      </c>
      <c r="C2257" t="inlineStr">
        <is>
          <t>Föryngringsavverkning</t>
        </is>
      </c>
      <c r="D2257" s="1" t="n">
        <v>45902</v>
      </c>
      <c r="E2257" s="1" t="n">
        <v>46319</v>
      </c>
      <c r="F2257" t="inlineStr">
        <is>
          <t>DALARNAS LÄN</t>
        </is>
      </c>
      <c r="G2257" t="inlineStr">
        <is>
          <t>MORA</t>
        </is>
      </c>
      <c r="I2257" t="n">
        <v>0.6</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60078-2022</t>
        </is>
      </c>
      <c r="B2258" t="inlineStr">
        <is>
          <t>avverkningsanmälan</t>
        </is>
      </c>
      <c r="C2258" t="inlineStr">
        <is>
          <t>Föryngringsavverkning</t>
        </is>
      </c>
      <c r="D2258" s="1" t="n">
        <v>44909</v>
      </c>
      <c r="E2258" s="1" t="n">
        <v>46319</v>
      </c>
      <c r="F2258" t="inlineStr">
        <is>
          <t>DALARNAS LÄN</t>
        </is>
      </c>
      <c r="G2258" t="inlineStr">
        <is>
          <t>HEDEMORA</t>
        </is>
      </c>
      <c r="I2258" t="n">
        <v>0.5</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33548-2022</t>
        </is>
      </c>
      <c r="B2259" t="inlineStr">
        <is>
          <t>avverkningsanmälan</t>
        </is>
      </c>
      <c r="C2259" t="inlineStr">
        <is>
          <t>Avverkning för annat ändamål</t>
        </is>
      </c>
      <c r="D2259" s="1" t="n">
        <v>44789</v>
      </c>
      <c r="E2259" s="1" t="n">
        <v>46319</v>
      </c>
      <c r="F2259" t="inlineStr">
        <is>
          <t>DALARNAS LÄN</t>
        </is>
      </c>
      <c r="G2259" t="inlineStr">
        <is>
          <t>FALUN</t>
        </is>
      </c>
      <c r="I2259" t="n">
        <v>4.7</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41723-2025</t>
        </is>
      </c>
      <c r="B2260" t="inlineStr">
        <is>
          <t>avverkningsanmälan</t>
        </is>
      </c>
      <c r="C2260" t="inlineStr">
        <is>
          <t>Föryngringsavverkning</t>
        </is>
      </c>
      <c r="D2260" s="1" t="n">
        <v>45902</v>
      </c>
      <c r="E2260" s="1" t="n">
        <v>46319</v>
      </c>
      <c r="F2260" t="inlineStr">
        <is>
          <t>DALARNAS LÄN</t>
        </is>
      </c>
      <c r="G2260" t="inlineStr">
        <is>
          <t>MALUNG-SÄLEN</t>
        </is>
      </c>
      <c r="H2260" t="inlineStr">
        <is>
          <t>Övriga statliga verk och myndigheter</t>
        </is>
      </c>
      <c r="I2260" t="n">
        <v>1.4</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17134-2024</t>
        </is>
      </c>
      <c r="B2261" t="inlineStr">
        <is>
          <t>avverkningsanmälan</t>
        </is>
      </c>
      <c r="C2261" t="inlineStr">
        <is>
          <t>Föryngringsavverkning</t>
        </is>
      </c>
      <c r="D2261" s="1" t="n">
        <v>45412</v>
      </c>
      <c r="E2261" s="1" t="n">
        <v>46319</v>
      </c>
      <c r="F2261" t="inlineStr">
        <is>
          <t>DALARNAS LÄN</t>
        </is>
      </c>
      <c r="G2261" t="inlineStr">
        <is>
          <t>SMEDJEBACKEN</t>
        </is>
      </c>
      <c r="I2261" t="n">
        <v>2</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41614-2025</t>
        </is>
      </c>
      <c r="B2262" t="inlineStr">
        <is>
          <t>avverkningsanmälan</t>
        </is>
      </c>
      <c r="C2262" t="inlineStr">
        <is>
          <t>Föryngringsavverkning</t>
        </is>
      </c>
      <c r="D2262" s="1" t="n">
        <v>45901</v>
      </c>
      <c r="E2262" s="1" t="n">
        <v>46319</v>
      </c>
      <c r="F2262" t="inlineStr">
        <is>
          <t>DALARNAS LÄN</t>
        </is>
      </c>
      <c r="G2262" t="inlineStr">
        <is>
          <t>MORA</t>
        </is>
      </c>
      <c r="H2262" t="inlineStr">
        <is>
          <t>Bergvik skog väst AB</t>
        </is>
      </c>
      <c r="I2262" t="n">
        <v>13.8</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34603-2022</t>
        </is>
      </c>
      <c r="B2263" t="inlineStr">
        <is>
          <t>avverkningsanmälan</t>
        </is>
      </c>
      <c r="C2263" t="inlineStr">
        <is>
          <t>Föryngringsavverkning</t>
        </is>
      </c>
      <c r="D2263" s="1" t="n">
        <v>44795</v>
      </c>
      <c r="E2263" s="1" t="n">
        <v>46319</v>
      </c>
      <c r="F2263" t="inlineStr">
        <is>
          <t>DALARNAS LÄN</t>
        </is>
      </c>
      <c r="G2263" t="inlineStr">
        <is>
          <t>MALUNG-SÄLEN</t>
        </is>
      </c>
      <c r="I2263" t="n">
        <v>5.4</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12290-2024</t>
        </is>
      </c>
      <c r="B2264" t="inlineStr">
        <is>
          <t>avverkningsanmälan</t>
        </is>
      </c>
      <c r="C2264" t="inlineStr">
        <is>
          <t>Föryngringsavverkning</t>
        </is>
      </c>
      <c r="D2264" s="1" t="n">
        <v>45378</v>
      </c>
      <c r="E2264" s="1" t="n">
        <v>46319</v>
      </c>
      <c r="F2264" t="inlineStr">
        <is>
          <t>DALARNAS LÄN</t>
        </is>
      </c>
      <c r="G2264" t="inlineStr">
        <is>
          <t>LEKSAND</t>
        </is>
      </c>
      <c r="I2264" t="n">
        <v>2.5</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41736-2025</t>
        </is>
      </c>
      <c r="B2265" t="inlineStr">
        <is>
          <t>avverkningsanmälan</t>
        </is>
      </c>
      <c r="C2265" t="inlineStr">
        <is>
          <t>Föryngringsavverkning</t>
        </is>
      </c>
      <c r="D2265" s="1" t="n">
        <v>45902</v>
      </c>
      <c r="E2265" s="1" t="n">
        <v>46319</v>
      </c>
      <c r="F2265" t="inlineStr">
        <is>
          <t>DALARNAS LÄN</t>
        </is>
      </c>
      <c r="G2265" t="inlineStr">
        <is>
          <t>MALUNG-SÄLEN</t>
        </is>
      </c>
      <c r="I2265" t="n">
        <v>2.5</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47971-2023</t>
        </is>
      </c>
      <c r="B2266" t="inlineStr">
        <is>
          <t>avverkningsanmälan</t>
        </is>
      </c>
      <c r="C2266" t="inlineStr">
        <is>
          <t>Föryngringsavverkning</t>
        </is>
      </c>
      <c r="D2266" s="1" t="n">
        <v>45204</v>
      </c>
      <c r="E2266" s="1" t="n">
        <v>46319</v>
      </c>
      <c r="F2266" t="inlineStr">
        <is>
          <t>DALARNAS LÄN</t>
        </is>
      </c>
      <c r="G2266" t="inlineStr">
        <is>
          <t>MALUNG-SÄLEN</t>
        </is>
      </c>
      <c r="H2266" t="inlineStr">
        <is>
          <t>Bergvik skog öst AB</t>
        </is>
      </c>
      <c r="I2266" t="n">
        <v>0.9</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14473-2025</t>
        </is>
      </c>
      <c r="B2267" t="inlineStr">
        <is>
          <t>avverkningsanmälan</t>
        </is>
      </c>
      <c r="C2267" t="inlineStr">
        <is>
          <t>Föryngringsavverkning</t>
        </is>
      </c>
      <c r="D2267" s="1" t="n">
        <v>45741</v>
      </c>
      <c r="E2267" s="1" t="n">
        <v>46319</v>
      </c>
      <c r="F2267" t="inlineStr">
        <is>
          <t>DALARNAS LÄN</t>
        </is>
      </c>
      <c r="G2267" t="inlineStr">
        <is>
          <t>FALUN</t>
        </is>
      </c>
      <c r="I2267" t="n">
        <v>2.5</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41666-2025</t>
        </is>
      </c>
      <c r="B2268" t="inlineStr">
        <is>
          <t>avverkningsanmälan</t>
        </is>
      </c>
      <c r="C2268" t="inlineStr">
        <is>
          <t>Föryngringsavverkning</t>
        </is>
      </c>
      <c r="D2268" s="1" t="n">
        <v>45902</v>
      </c>
      <c r="E2268" s="1" t="n">
        <v>46319</v>
      </c>
      <c r="F2268" t="inlineStr">
        <is>
          <t>DALARNAS LÄN</t>
        </is>
      </c>
      <c r="G2268" t="inlineStr">
        <is>
          <t>ORSA</t>
        </is>
      </c>
      <c r="I2268" t="n">
        <v>1.4</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18529-2024</t>
        </is>
      </c>
      <c r="B2269" t="inlineStr">
        <is>
          <t>avverkningsanmälan</t>
        </is>
      </c>
      <c r="C2269" t="inlineStr">
        <is>
          <t>Föryngringsavverkning</t>
        </is>
      </c>
      <c r="D2269" s="1" t="n">
        <v>45425</v>
      </c>
      <c r="E2269" s="1" t="n">
        <v>46319</v>
      </c>
      <c r="F2269" t="inlineStr">
        <is>
          <t>DALARNAS LÄN</t>
        </is>
      </c>
      <c r="G2269" t="inlineStr">
        <is>
          <t>BORLÄNGE</t>
        </is>
      </c>
      <c r="I2269" t="n">
        <v>0.5</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6464-2024</t>
        </is>
      </c>
      <c r="B2270" t="inlineStr">
        <is>
          <t>avverkningsanmälan</t>
        </is>
      </c>
      <c r="C2270" t="inlineStr">
        <is>
          <t>Föryngringsavverkning</t>
        </is>
      </c>
      <c r="D2270" s="1" t="n">
        <v>45338</v>
      </c>
      <c r="E2270" s="1" t="n">
        <v>46319</v>
      </c>
      <c r="F2270" t="inlineStr">
        <is>
          <t>DALARNAS LÄN</t>
        </is>
      </c>
      <c r="G2270" t="inlineStr">
        <is>
          <t>SMEDJEBACKEN</t>
        </is>
      </c>
      <c r="I2270" t="n">
        <v>2.9</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41487-2025</t>
        </is>
      </c>
      <c r="B2271" t="inlineStr">
        <is>
          <t>avverkningsanmälan</t>
        </is>
      </c>
      <c r="C2271" t="inlineStr">
        <is>
          <t>Föryngringsavverkning</t>
        </is>
      </c>
      <c r="D2271" s="1" t="n">
        <v>45901</v>
      </c>
      <c r="E2271" s="1" t="n">
        <v>46319</v>
      </c>
      <c r="F2271" t="inlineStr">
        <is>
          <t>DALARNAS LÄN</t>
        </is>
      </c>
      <c r="G2271" t="inlineStr">
        <is>
          <t>LEKSAND</t>
        </is>
      </c>
      <c r="H2271" t="inlineStr">
        <is>
          <t>Bergvik skog väst AB</t>
        </is>
      </c>
      <c r="I2271" t="n">
        <v>7.3</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17533-2023</t>
        </is>
      </c>
      <c r="B2272" t="inlineStr">
        <is>
          <t>avverkningsanmälan</t>
        </is>
      </c>
      <c r="C2272" t="inlineStr">
        <is>
          <t>Föryngringsavverkning</t>
        </is>
      </c>
      <c r="D2272" s="1" t="n">
        <v>45036</v>
      </c>
      <c r="E2272" s="1" t="n">
        <v>46319</v>
      </c>
      <c r="F2272" t="inlineStr">
        <is>
          <t>DALARNAS LÄN</t>
        </is>
      </c>
      <c r="G2272" t="inlineStr">
        <is>
          <t>LEKSAND</t>
        </is>
      </c>
      <c r="I2272" t="n">
        <v>3</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5309-2023</t>
        </is>
      </c>
      <c r="B2273" t="inlineStr">
        <is>
          <t>avverkningsanmälan</t>
        </is>
      </c>
      <c r="C2273" t="inlineStr">
        <is>
          <t>Avverkning för annat ändamål</t>
        </is>
      </c>
      <c r="D2273" s="1" t="n">
        <v>44956</v>
      </c>
      <c r="E2273" s="1" t="n">
        <v>46319</v>
      </c>
      <c r="F2273" t="inlineStr">
        <is>
          <t>DALARNAS LÄN</t>
        </is>
      </c>
      <c r="G2273" t="inlineStr">
        <is>
          <t>MORA</t>
        </is>
      </c>
      <c r="I2273" t="n">
        <v>1.1</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41815-2025</t>
        </is>
      </c>
      <c r="B2274" t="inlineStr">
        <is>
          <t>avverkningsanmälan</t>
        </is>
      </c>
      <c r="C2274" t="inlineStr">
        <is>
          <t>Föryngringsavverkning</t>
        </is>
      </c>
      <c r="D2274" s="1" t="n">
        <v>45902</v>
      </c>
      <c r="E2274" s="1" t="n">
        <v>46319</v>
      </c>
      <c r="F2274" t="inlineStr">
        <is>
          <t>DALARNAS LÄN</t>
        </is>
      </c>
      <c r="G2274" t="inlineStr">
        <is>
          <t>MALUNG-SÄLEN</t>
        </is>
      </c>
      <c r="H2274" t="inlineStr">
        <is>
          <t>Bergvik skog öst AB</t>
        </is>
      </c>
      <c r="I2274" t="n">
        <v>1.3</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10150-2025</t>
        </is>
      </c>
      <c r="B2275" t="inlineStr">
        <is>
          <t>avverkningsanmälan</t>
        </is>
      </c>
      <c r="C2275" t="inlineStr">
        <is>
          <t>Föryngringsavverkning</t>
        </is>
      </c>
      <c r="D2275" s="1" t="n">
        <v>45719</v>
      </c>
      <c r="E2275" s="1" t="n">
        <v>46319</v>
      </c>
      <c r="F2275" t="inlineStr">
        <is>
          <t>DALARNAS LÄN</t>
        </is>
      </c>
      <c r="G2275" t="inlineStr">
        <is>
          <t>SÄTER</t>
        </is>
      </c>
      <c r="H2275" t="inlineStr">
        <is>
          <t>Bergvik skog väst AB</t>
        </is>
      </c>
      <c r="I2275" t="n">
        <v>0.7</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10156-2025</t>
        </is>
      </c>
      <c r="B2276" t="inlineStr">
        <is>
          <t>avverkningsanmälan</t>
        </is>
      </c>
      <c r="C2276" t="inlineStr">
        <is>
          <t>Föryngringsavverkning</t>
        </is>
      </c>
      <c r="D2276" s="1" t="n">
        <v>45719</v>
      </c>
      <c r="E2276" s="1" t="n">
        <v>46319</v>
      </c>
      <c r="F2276" t="inlineStr">
        <is>
          <t>DALARNAS LÄN</t>
        </is>
      </c>
      <c r="G2276" t="inlineStr">
        <is>
          <t>BORLÄNGE</t>
        </is>
      </c>
      <c r="I2276" t="n">
        <v>4.4</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13636-2023</t>
        </is>
      </c>
      <c r="B2277" t="inlineStr">
        <is>
          <t>avverkningsanmälan</t>
        </is>
      </c>
      <c r="C2277" t="inlineStr">
        <is>
          <t>Föryngringsavverkning</t>
        </is>
      </c>
      <c r="D2277" s="1" t="n">
        <v>45006</v>
      </c>
      <c r="E2277" s="1" t="n">
        <v>46319</v>
      </c>
      <c r="F2277" t="inlineStr">
        <is>
          <t>DALARNAS LÄN</t>
        </is>
      </c>
      <c r="G2277" t="inlineStr">
        <is>
          <t>FALUN</t>
        </is>
      </c>
      <c r="I2277" t="n">
        <v>4.2</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8703-2023</t>
        </is>
      </c>
      <c r="B2278" t="inlineStr">
        <is>
          <t>avverkningsanmälan</t>
        </is>
      </c>
      <c r="C2278" t="inlineStr">
        <is>
          <t>Avverkning för annat ändamål</t>
        </is>
      </c>
      <c r="D2278" s="1" t="n">
        <v>44978</v>
      </c>
      <c r="E2278" s="1" t="n">
        <v>46319</v>
      </c>
      <c r="F2278" t="inlineStr">
        <is>
          <t>DALARNAS LÄN</t>
        </is>
      </c>
      <c r="G2278" t="inlineStr">
        <is>
          <t>LUDVIKA</t>
        </is>
      </c>
      <c r="I2278" t="n">
        <v>0.5</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54148-2023</t>
        </is>
      </c>
      <c r="B2279" t="inlineStr">
        <is>
          <t>avverkningsanmälan</t>
        </is>
      </c>
      <c r="C2279" t="inlineStr">
        <is>
          <t>Föryngringsavverkning</t>
        </is>
      </c>
      <c r="D2279" s="1" t="n">
        <v>45232</v>
      </c>
      <c r="E2279" s="1" t="n">
        <v>46319</v>
      </c>
      <c r="F2279" t="inlineStr">
        <is>
          <t>DALARNAS LÄN</t>
        </is>
      </c>
      <c r="G2279" t="inlineStr">
        <is>
          <t>BORLÄNGE</t>
        </is>
      </c>
      <c r="I2279" t="n">
        <v>0.6</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41717-2025</t>
        </is>
      </c>
      <c r="B2280" t="inlineStr">
        <is>
          <t>avverkningsanmälan</t>
        </is>
      </c>
      <c r="C2280" t="inlineStr">
        <is>
          <t>Föryngringsavverkning</t>
        </is>
      </c>
      <c r="D2280" s="1" t="n">
        <v>45902</v>
      </c>
      <c r="E2280" s="1" t="n">
        <v>46319</v>
      </c>
      <c r="F2280" t="inlineStr">
        <is>
          <t>DALARNAS LÄN</t>
        </is>
      </c>
      <c r="G2280" t="inlineStr">
        <is>
          <t>MALUNG-SÄLEN</t>
        </is>
      </c>
      <c r="I2280" t="n">
        <v>4.3</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41406-2025</t>
        </is>
      </c>
      <c r="B2281" t="inlineStr">
        <is>
          <t>avverkningsanmälan</t>
        </is>
      </c>
      <c r="C2281" t="inlineStr">
        <is>
          <t>Föryngringsavverkning</t>
        </is>
      </c>
      <c r="D2281" s="1" t="n">
        <v>45901</v>
      </c>
      <c r="E2281" s="1" t="n">
        <v>46319</v>
      </c>
      <c r="F2281" t="inlineStr">
        <is>
          <t>DALARNAS LÄN</t>
        </is>
      </c>
      <c r="G2281" t="inlineStr">
        <is>
          <t>MALUNG-SÄLEN</t>
        </is>
      </c>
      <c r="I2281" t="n">
        <v>2.2</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50900-2022</t>
        </is>
      </c>
      <c r="B2282" t="inlineStr">
        <is>
          <t>avverkningsanmälan</t>
        </is>
      </c>
      <c r="C2282" t="inlineStr">
        <is>
          <t>Föryngringsavverkning</t>
        </is>
      </c>
      <c r="D2282" s="1" t="n">
        <v>44865</v>
      </c>
      <c r="E2282" s="1" t="n">
        <v>46319</v>
      </c>
      <c r="F2282" t="inlineStr">
        <is>
          <t>DALARNAS LÄN</t>
        </is>
      </c>
      <c r="G2282" t="inlineStr">
        <is>
          <t>AVESTA</t>
        </is>
      </c>
      <c r="I2282" t="n">
        <v>14.8</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50761-2022</t>
        </is>
      </c>
      <c r="B2283" t="inlineStr">
        <is>
          <t>avverkningsanmälan</t>
        </is>
      </c>
      <c r="C2283" t="inlineStr">
        <is>
          <t>Avverkning för annat ändamål</t>
        </is>
      </c>
      <c r="D2283" s="1" t="n">
        <v>44862</v>
      </c>
      <c r="E2283" s="1" t="n">
        <v>46319</v>
      </c>
      <c r="F2283" t="inlineStr">
        <is>
          <t>DALARNAS LÄN</t>
        </is>
      </c>
      <c r="G2283" t="inlineStr">
        <is>
          <t>MALUNG-SÄLEN</t>
        </is>
      </c>
      <c r="I2283" t="n">
        <v>0.4</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49906-2024</t>
        </is>
      </c>
      <c r="B2284" t="inlineStr">
        <is>
          <t>avverkningsanmälan</t>
        </is>
      </c>
      <c r="C2284" t="inlineStr">
        <is>
          <t>Föryngringsavverkning</t>
        </is>
      </c>
      <c r="D2284" s="1" t="n">
        <v>45597</v>
      </c>
      <c r="E2284" s="1" t="n">
        <v>46319</v>
      </c>
      <c r="F2284" t="inlineStr">
        <is>
          <t>DALARNAS LÄN</t>
        </is>
      </c>
      <c r="G2284" t="inlineStr">
        <is>
          <t>ÄLVDALEN</t>
        </is>
      </c>
      <c r="I2284" t="n">
        <v>4.2</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41731-2025</t>
        </is>
      </c>
      <c r="B2285" t="inlineStr">
        <is>
          <t>avverkningsanmälan</t>
        </is>
      </c>
      <c r="C2285" t="inlineStr">
        <is>
          <t>Föryngringsavverkning</t>
        </is>
      </c>
      <c r="D2285" s="1" t="n">
        <v>45902</v>
      </c>
      <c r="E2285" s="1" t="n">
        <v>46319</v>
      </c>
      <c r="F2285" t="inlineStr">
        <is>
          <t>DALARNAS LÄN</t>
        </is>
      </c>
      <c r="G2285" t="inlineStr">
        <is>
          <t>LUDVIKA</t>
        </is>
      </c>
      <c r="H2285" t="inlineStr">
        <is>
          <t>Bergvik skog väst AB</t>
        </is>
      </c>
      <c r="I2285" t="n">
        <v>4.6</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35439-2024</t>
        </is>
      </c>
      <c r="B2286" t="inlineStr">
        <is>
          <t>avverkningsanmälan</t>
        </is>
      </c>
      <c r="C2286" t="inlineStr">
        <is>
          <t>Föryngringsavverkning</t>
        </is>
      </c>
      <c r="D2286" s="1" t="n">
        <v>45531</v>
      </c>
      <c r="E2286" s="1" t="n">
        <v>46319</v>
      </c>
      <c r="F2286" t="inlineStr">
        <is>
          <t>DALARNAS LÄN</t>
        </is>
      </c>
      <c r="G2286" t="inlineStr">
        <is>
          <t>MALUNG-SÄLEN</t>
        </is>
      </c>
      <c r="H2286" t="inlineStr">
        <is>
          <t>Bergvik skog väst AB</t>
        </is>
      </c>
      <c r="I2286" t="n">
        <v>8.9</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51914-2024</t>
        </is>
      </c>
      <c r="B2287" t="inlineStr">
        <is>
          <t>avverkningsanmälan</t>
        </is>
      </c>
      <c r="C2287" t="inlineStr">
        <is>
          <t>Föryngringsavverkning</t>
        </is>
      </c>
      <c r="D2287" s="1" t="n">
        <v>45607</v>
      </c>
      <c r="E2287" s="1" t="n">
        <v>46319</v>
      </c>
      <c r="F2287" t="inlineStr">
        <is>
          <t>DALARNAS LÄN</t>
        </is>
      </c>
      <c r="G2287" t="inlineStr">
        <is>
          <t>FALUN</t>
        </is>
      </c>
      <c r="H2287" t="inlineStr">
        <is>
          <t>Bergvik skog väst AB</t>
        </is>
      </c>
      <c r="I2287" t="n">
        <v>1</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41919-2025</t>
        </is>
      </c>
      <c r="B2288" t="inlineStr">
        <is>
          <t>avverkningsanmälan</t>
        </is>
      </c>
      <c r="C2288" t="inlineStr">
        <is>
          <t>Föryngringsavverkning</t>
        </is>
      </c>
      <c r="D2288" s="1" t="n">
        <v>45903</v>
      </c>
      <c r="E2288" s="1" t="n">
        <v>46319</v>
      </c>
      <c r="F2288" t="inlineStr">
        <is>
          <t>DALARNAS LÄN</t>
        </is>
      </c>
      <c r="G2288" t="inlineStr">
        <is>
          <t>ORSA</t>
        </is>
      </c>
      <c r="I2288" t="n">
        <v>0.5</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49509-2024</t>
        </is>
      </c>
      <c r="B2289" t="inlineStr">
        <is>
          <t>avverkningsanmälan</t>
        </is>
      </c>
      <c r="C2289" t="inlineStr">
        <is>
          <t>Föryngringsavverkning</t>
        </is>
      </c>
      <c r="D2289" s="1" t="n">
        <v>45596</v>
      </c>
      <c r="E2289" s="1" t="n">
        <v>46319</v>
      </c>
      <c r="F2289" t="inlineStr">
        <is>
          <t>DALARNAS LÄN</t>
        </is>
      </c>
      <c r="G2289" t="inlineStr">
        <is>
          <t>VANSBRO</t>
        </is>
      </c>
      <c r="I2289" t="n">
        <v>0.5</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49535-2024</t>
        </is>
      </c>
      <c r="B2290" t="inlineStr">
        <is>
          <t>avverkningsanmälan</t>
        </is>
      </c>
      <c r="C2290" t="inlineStr">
        <is>
          <t>Föryngringsavverkning</t>
        </is>
      </c>
      <c r="D2290" s="1" t="n">
        <v>45596</v>
      </c>
      <c r="E2290" s="1" t="n">
        <v>46319</v>
      </c>
      <c r="F2290" t="inlineStr">
        <is>
          <t>DALARNAS LÄN</t>
        </is>
      </c>
      <c r="G2290" t="inlineStr">
        <is>
          <t>SMEDJEBACKEN</t>
        </is>
      </c>
      <c r="I2290" t="n">
        <v>5.1</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42209-2025</t>
        </is>
      </c>
      <c r="B2291" t="inlineStr">
        <is>
          <t>avverkningsanmälan</t>
        </is>
      </c>
      <c r="C2291" t="inlineStr">
        <is>
          <t>Föryngringsavverkning</t>
        </is>
      </c>
      <c r="D2291" s="1" t="n">
        <v>45904</v>
      </c>
      <c r="E2291" s="1" t="n">
        <v>46319</v>
      </c>
      <c r="F2291" t="inlineStr">
        <is>
          <t>DALARNAS LÄN</t>
        </is>
      </c>
      <c r="G2291" t="inlineStr">
        <is>
          <t>VANSBRO</t>
        </is>
      </c>
      <c r="I2291" t="n">
        <v>0.5</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13567-2024</t>
        </is>
      </c>
      <c r="B2292" t="inlineStr">
        <is>
          <t>avverkningsanmälan</t>
        </is>
      </c>
      <c r="C2292" t="inlineStr">
        <is>
          <t>Avverkning för annat ändamål</t>
        </is>
      </c>
      <c r="D2292" s="1" t="n">
        <v>45389</v>
      </c>
      <c r="E2292" s="1" t="n">
        <v>46319</v>
      </c>
      <c r="F2292" t="inlineStr">
        <is>
          <t>DALARNAS LÄN</t>
        </is>
      </c>
      <c r="G2292" t="inlineStr">
        <is>
          <t>FALUN</t>
        </is>
      </c>
      <c r="I2292" t="n">
        <v>0.5</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10386-2022</t>
        </is>
      </c>
      <c r="B2293" t="inlineStr">
        <is>
          <t>avverkningsanmälan</t>
        </is>
      </c>
      <c r="C2293" t="inlineStr">
        <is>
          <t>Föryngringsavverkning</t>
        </is>
      </c>
      <c r="D2293" s="1" t="n">
        <v>44623</v>
      </c>
      <c r="E2293" s="1" t="n">
        <v>46319</v>
      </c>
      <c r="F2293" t="inlineStr">
        <is>
          <t>DALARNAS LÄN</t>
        </is>
      </c>
      <c r="G2293" t="inlineStr">
        <is>
          <t>MALUNG-SÄLEN</t>
        </is>
      </c>
      <c r="I2293" t="n">
        <v>3.5</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15193-2022</t>
        </is>
      </c>
      <c r="B2294" t="inlineStr">
        <is>
          <t>avverkningsanmälan</t>
        </is>
      </c>
      <c r="C2294" t="inlineStr">
        <is>
          <t>Föryngringsavverkning</t>
        </is>
      </c>
      <c r="D2294" s="1" t="n">
        <v>44658</v>
      </c>
      <c r="E2294" s="1" t="n">
        <v>46319</v>
      </c>
      <c r="F2294" t="inlineStr">
        <is>
          <t>DALARNAS LÄN</t>
        </is>
      </c>
      <c r="G2294" t="inlineStr">
        <is>
          <t>FALUN</t>
        </is>
      </c>
      <c r="I2294" t="n">
        <v>1.8</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11436-2024</t>
        </is>
      </c>
      <c r="B2295" t="inlineStr">
        <is>
          <t>avverkningsanmälan</t>
        </is>
      </c>
      <c r="C2295" t="inlineStr">
        <is>
          <t>Avverkning för att bevara och utveckla /försöksver</t>
        </is>
      </c>
      <c r="D2295" s="1" t="n">
        <v>45372</v>
      </c>
      <c r="E2295" s="1" t="n">
        <v>46319</v>
      </c>
      <c r="F2295" t="inlineStr">
        <is>
          <t>DALARNAS LÄN</t>
        </is>
      </c>
      <c r="G2295" t="inlineStr">
        <is>
          <t>LUDVIKA</t>
        </is>
      </c>
      <c r="I2295" t="n">
        <v>0.5</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55942-2023</t>
        </is>
      </c>
      <c r="B2296" t="inlineStr">
        <is>
          <t>avverkningsanmälan</t>
        </is>
      </c>
      <c r="C2296" t="inlineStr">
        <is>
          <t>Föryngringsavverkning</t>
        </is>
      </c>
      <c r="D2296" s="1" t="n">
        <v>45240</v>
      </c>
      <c r="E2296" s="1" t="n">
        <v>46319</v>
      </c>
      <c r="F2296" t="inlineStr">
        <is>
          <t>DALARNAS LÄN</t>
        </is>
      </c>
      <c r="G2296" t="inlineStr">
        <is>
          <t>VANSBRO</t>
        </is>
      </c>
      <c r="I2296" t="n">
        <v>4.4</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25591-2022</t>
        </is>
      </c>
      <c r="B2297" t="inlineStr">
        <is>
          <t>avverkningsanmälan</t>
        </is>
      </c>
      <c r="C2297" t="inlineStr">
        <is>
          <t>Föryngringsavverkning</t>
        </is>
      </c>
      <c r="D2297" s="1" t="n">
        <v>44732</v>
      </c>
      <c r="E2297" s="1" t="n">
        <v>46319</v>
      </c>
      <c r="F2297" t="inlineStr">
        <is>
          <t>DALARNAS LÄN</t>
        </is>
      </c>
      <c r="G2297" t="inlineStr">
        <is>
          <t>ORSA</t>
        </is>
      </c>
      <c r="I2297" t="n">
        <v>6</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42047-2025</t>
        </is>
      </c>
      <c r="B2298" t="inlineStr">
        <is>
          <t>avverkningsanmälan</t>
        </is>
      </c>
      <c r="C2298" t="inlineStr">
        <is>
          <t>Föryngringsavverkning</t>
        </is>
      </c>
      <c r="D2298" s="1" t="n">
        <v>45903</v>
      </c>
      <c r="E2298" s="1" t="n">
        <v>46319</v>
      </c>
      <c r="F2298" t="inlineStr">
        <is>
          <t>DALARNAS LÄN</t>
        </is>
      </c>
      <c r="G2298" t="inlineStr">
        <is>
          <t>SMEDJEBACKEN</t>
        </is>
      </c>
      <c r="I2298" t="n">
        <v>2.3</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41974-2025</t>
        </is>
      </c>
      <c r="B2299" t="inlineStr">
        <is>
          <t>avverkningsanmälan</t>
        </is>
      </c>
      <c r="C2299" t="inlineStr">
        <is>
          <t>Föryngringsavverkning</t>
        </is>
      </c>
      <c r="D2299" s="1" t="n">
        <v>45903</v>
      </c>
      <c r="E2299" s="1" t="n">
        <v>46319</v>
      </c>
      <c r="F2299" t="inlineStr">
        <is>
          <t>DALARNAS LÄN</t>
        </is>
      </c>
      <c r="G2299" t="inlineStr">
        <is>
          <t>FALUN</t>
        </is>
      </c>
      <c r="H2299" t="inlineStr">
        <is>
          <t>Bergvik skog väst AB</t>
        </is>
      </c>
      <c r="I2299" t="n">
        <v>6.2</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56129-2023</t>
        </is>
      </c>
      <c r="B2300" t="inlineStr">
        <is>
          <t>avverkningsanmälan</t>
        </is>
      </c>
      <c r="C2300" t="inlineStr">
        <is>
          <t>Föryngringsavverkning</t>
        </is>
      </c>
      <c r="D2300" s="1" t="n">
        <v>45240</v>
      </c>
      <c r="E2300" s="1" t="n">
        <v>46319</v>
      </c>
      <c r="F2300" t="inlineStr">
        <is>
          <t>DALARNAS LÄN</t>
        </is>
      </c>
      <c r="G2300" t="inlineStr">
        <is>
          <t>VANSBRO</t>
        </is>
      </c>
      <c r="I2300" t="n">
        <v>2.7</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42139-2025</t>
        </is>
      </c>
      <c r="B2301" t="inlineStr">
        <is>
          <t>avverkningsanmälan</t>
        </is>
      </c>
      <c r="C2301" t="inlineStr">
        <is>
          <t>Föryngringsavverkning</t>
        </is>
      </c>
      <c r="D2301" s="1" t="n">
        <v>45904</v>
      </c>
      <c r="E2301" s="1" t="n">
        <v>46319</v>
      </c>
      <c r="F2301" t="inlineStr">
        <is>
          <t>DALARNAS LÄN</t>
        </is>
      </c>
      <c r="G2301" t="inlineStr">
        <is>
          <t>MALUNG-SÄLEN</t>
        </is>
      </c>
      <c r="I2301" t="n">
        <v>1.6</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41879-2025</t>
        </is>
      </c>
      <c r="B2302" t="inlineStr">
        <is>
          <t>avverkningsanmälan</t>
        </is>
      </c>
      <c r="C2302" t="inlineStr">
        <is>
          <t>Föryngringsavverkning</t>
        </is>
      </c>
      <c r="D2302" s="1" t="n">
        <v>45903</v>
      </c>
      <c r="E2302" s="1" t="n">
        <v>46319</v>
      </c>
      <c r="F2302" t="inlineStr">
        <is>
          <t>DALARNAS LÄN</t>
        </is>
      </c>
      <c r="G2302" t="inlineStr">
        <is>
          <t>RÄTTVIK</t>
        </is>
      </c>
      <c r="I2302" t="n">
        <v>1.2</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42226-2025</t>
        </is>
      </c>
      <c r="B2303" t="inlineStr">
        <is>
          <t>avverkningsanmälan</t>
        </is>
      </c>
      <c r="C2303" t="inlineStr">
        <is>
          <t>Föryngringsavverkning</t>
        </is>
      </c>
      <c r="D2303" s="1" t="n">
        <v>45904</v>
      </c>
      <c r="E2303" s="1" t="n">
        <v>46319</v>
      </c>
      <c r="F2303" t="inlineStr">
        <is>
          <t>DALARNAS LÄN</t>
        </is>
      </c>
      <c r="G2303" t="inlineStr">
        <is>
          <t>ORSA</t>
        </is>
      </c>
      <c r="H2303" t="inlineStr">
        <is>
          <t>Allmännings- och besparingsskogar</t>
        </is>
      </c>
      <c r="I2303" t="n">
        <v>18</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8784-2024</t>
        </is>
      </c>
      <c r="B2304" t="inlineStr">
        <is>
          <t>avverkningsanmälan</t>
        </is>
      </c>
      <c r="C2304" t="inlineStr">
        <is>
          <t>Föryngringsavverkning</t>
        </is>
      </c>
      <c r="D2304" s="1" t="n">
        <v>45356</v>
      </c>
      <c r="E2304" s="1" t="n">
        <v>46319</v>
      </c>
      <c r="F2304" t="inlineStr">
        <is>
          <t>DALARNAS LÄN</t>
        </is>
      </c>
      <c r="G2304" t="inlineStr">
        <is>
          <t>ÄLVDALEN</t>
        </is>
      </c>
      <c r="I2304" t="n">
        <v>1.6</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41855-2025</t>
        </is>
      </c>
      <c r="B2305" t="inlineStr">
        <is>
          <t>avverkningsanmälan</t>
        </is>
      </c>
      <c r="C2305" t="inlineStr">
        <is>
          <t>Föryngringsavverkning</t>
        </is>
      </c>
      <c r="D2305" s="1" t="n">
        <v>45902</v>
      </c>
      <c r="E2305" s="1" t="n">
        <v>46319</v>
      </c>
      <c r="F2305" t="inlineStr">
        <is>
          <t>DALARNAS LÄN</t>
        </is>
      </c>
      <c r="G2305" t="inlineStr">
        <is>
          <t>MORA</t>
        </is>
      </c>
      <c r="I2305" t="n">
        <v>0.5</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42072-2025</t>
        </is>
      </c>
      <c r="B2306" t="inlineStr">
        <is>
          <t>avverkningsanmälan</t>
        </is>
      </c>
      <c r="C2306" t="inlineStr">
        <is>
          <t>Föryngringsavverkning</t>
        </is>
      </c>
      <c r="D2306" s="1" t="n">
        <v>45903</v>
      </c>
      <c r="E2306" s="1" t="n">
        <v>46319</v>
      </c>
      <c r="F2306" t="inlineStr">
        <is>
          <t>DALARNAS LÄN</t>
        </is>
      </c>
      <c r="G2306" t="inlineStr">
        <is>
          <t>AVESTA</t>
        </is>
      </c>
      <c r="I2306" t="n">
        <v>1.8</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42284-2025</t>
        </is>
      </c>
      <c r="B2307" t="inlineStr">
        <is>
          <t>avverkningsanmälan</t>
        </is>
      </c>
      <c r="C2307" t="inlineStr">
        <is>
          <t>Avverkning för annat ändamål</t>
        </is>
      </c>
      <c r="D2307" s="1" t="n">
        <v>45903</v>
      </c>
      <c r="E2307" s="1" t="n">
        <v>46319</v>
      </c>
      <c r="F2307" t="inlineStr">
        <is>
          <t>DALARNAS LÄN</t>
        </is>
      </c>
      <c r="G2307" t="inlineStr">
        <is>
          <t>LEKSAND</t>
        </is>
      </c>
      <c r="I2307" t="n">
        <v>1.2</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38307-2025</t>
        </is>
      </c>
      <c r="B2308" t="inlineStr">
        <is>
          <t>avverkningsanmälan</t>
        </is>
      </c>
      <c r="C2308" t="inlineStr">
        <is>
          <t>Föryngringsavverkning</t>
        </is>
      </c>
      <c r="D2308" s="1" t="n">
        <v>45883</v>
      </c>
      <c r="E2308" s="1" t="n">
        <v>46319</v>
      </c>
      <c r="F2308" t="inlineStr">
        <is>
          <t>DALARNAS LÄN</t>
        </is>
      </c>
      <c r="G2308" t="inlineStr">
        <is>
          <t>RÄTTVIK</t>
        </is>
      </c>
      <c r="I2308" t="n">
        <v>1.5</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42298-2025</t>
        </is>
      </c>
      <c r="B2309" t="inlineStr">
        <is>
          <t>avverkningsanmälan</t>
        </is>
      </c>
      <c r="C2309" t="inlineStr">
        <is>
          <t>Föryngringsavverkning</t>
        </is>
      </c>
      <c r="D2309" s="1" t="n">
        <v>45904</v>
      </c>
      <c r="E2309" s="1" t="n">
        <v>46319</v>
      </c>
      <c r="F2309" t="inlineStr">
        <is>
          <t>DALARNAS LÄN</t>
        </is>
      </c>
      <c r="G2309" t="inlineStr">
        <is>
          <t>GAGNEF</t>
        </is>
      </c>
      <c r="H2309" t="inlineStr">
        <is>
          <t>Bergvik skog väst AB</t>
        </is>
      </c>
      <c r="I2309" t="n">
        <v>1.3</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42112-2025</t>
        </is>
      </c>
      <c r="B2310" t="inlineStr">
        <is>
          <t>avverkningsanmälan</t>
        </is>
      </c>
      <c r="C2310" t="inlineStr">
        <is>
          <t>Föryngringsavverkning</t>
        </is>
      </c>
      <c r="D2310" s="1" t="n">
        <v>45904</v>
      </c>
      <c r="E2310" s="1" t="n">
        <v>46319</v>
      </c>
      <c r="F2310" t="inlineStr">
        <is>
          <t>DALARNAS LÄN</t>
        </is>
      </c>
      <c r="G2310" t="inlineStr">
        <is>
          <t>MORA</t>
        </is>
      </c>
      <c r="I2310" t="n">
        <v>1.1</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38498-2025</t>
        </is>
      </c>
      <c r="B2311" t="inlineStr">
        <is>
          <t>avverkningsanmälan</t>
        </is>
      </c>
      <c r="C2311" t="inlineStr">
        <is>
          <t>Föryngringsavverkning</t>
        </is>
      </c>
      <c r="D2311" s="1" t="n">
        <v>45884</v>
      </c>
      <c r="E2311" s="1" t="n">
        <v>46319</v>
      </c>
      <c r="F2311" t="inlineStr">
        <is>
          <t>DALARNAS LÄN</t>
        </is>
      </c>
      <c r="G2311" t="inlineStr">
        <is>
          <t>LEKSAND</t>
        </is>
      </c>
      <c r="I2311" t="n">
        <v>2.1</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42138-2025</t>
        </is>
      </c>
      <c r="B2312" t="inlineStr">
        <is>
          <t>avverkningsanmälan</t>
        </is>
      </c>
      <c r="C2312" t="inlineStr">
        <is>
          <t>Föryngringsavverkning</t>
        </is>
      </c>
      <c r="D2312" s="1" t="n">
        <v>45904</v>
      </c>
      <c r="E2312" s="1" t="n">
        <v>46319</v>
      </c>
      <c r="F2312" t="inlineStr">
        <is>
          <t>DALARNAS LÄN</t>
        </is>
      </c>
      <c r="G2312" t="inlineStr">
        <is>
          <t>MALUNG-SÄLEN</t>
        </is>
      </c>
      <c r="I2312" t="n">
        <v>1.9</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41866-2025</t>
        </is>
      </c>
      <c r="B2313" t="inlineStr">
        <is>
          <t>avverkningsanmälan</t>
        </is>
      </c>
      <c r="C2313" t="inlineStr">
        <is>
          <t>Föryngringsavverkning</t>
        </is>
      </c>
      <c r="D2313" s="1" t="n">
        <v>45903</v>
      </c>
      <c r="E2313" s="1" t="n">
        <v>46319</v>
      </c>
      <c r="F2313" t="inlineStr">
        <is>
          <t>DALARNAS LÄN</t>
        </is>
      </c>
      <c r="G2313" t="inlineStr">
        <is>
          <t>LUDVIKA</t>
        </is>
      </c>
      <c r="H2313" t="inlineStr">
        <is>
          <t>Bergvik skog väst AB</t>
        </is>
      </c>
      <c r="I2313" t="n">
        <v>2.9</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41916-2025</t>
        </is>
      </c>
      <c r="B2314" t="inlineStr">
        <is>
          <t>avverkningsanmälan</t>
        </is>
      </c>
      <c r="C2314" t="inlineStr">
        <is>
          <t>Föryngringsavverkning</t>
        </is>
      </c>
      <c r="D2314" s="1" t="n">
        <v>45903</v>
      </c>
      <c r="E2314" s="1" t="n">
        <v>46319</v>
      </c>
      <c r="F2314" t="inlineStr">
        <is>
          <t>DALARNAS LÄN</t>
        </is>
      </c>
      <c r="G2314" t="inlineStr">
        <is>
          <t>LUDVIKA</t>
        </is>
      </c>
      <c r="H2314" t="inlineStr">
        <is>
          <t>Bergvik skog väst AB</t>
        </is>
      </c>
      <c r="I2314" t="n">
        <v>5.6</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48005-2022</t>
        </is>
      </c>
      <c r="B2315" t="inlineStr">
        <is>
          <t>avverkningsanmälan</t>
        </is>
      </c>
      <c r="C2315" t="inlineStr">
        <is>
          <t>Föryngringsavverkning</t>
        </is>
      </c>
      <c r="D2315" s="1" t="n">
        <v>44855</v>
      </c>
      <c r="E2315" s="1" t="n">
        <v>46319</v>
      </c>
      <c r="F2315" t="inlineStr">
        <is>
          <t>DALARNAS LÄN</t>
        </is>
      </c>
      <c r="G2315" t="inlineStr">
        <is>
          <t>VANSBRO</t>
        </is>
      </c>
      <c r="I2315" t="n">
        <v>4.1</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42005-2025</t>
        </is>
      </c>
      <c r="B2316" t="inlineStr">
        <is>
          <t>avverkningsanmälan</t>
        </is>
      </c>
      <c r="C2316" t="inlineStr">
        <is>
          <t>Föryngringsavverkning</t>
        </is>
      </c>
      <c r="D2316" s="1" t="n">
        <v>45903</v>
      </c>
      <c r="E2316" s="1" t="n">
        <v>46319</v>
      </c>
      <c r="F2316" t="inlineStr">
        <is>
          <t>DALARNAS LÄN</t>
        </is>
      </c>
      <c r="G2316" t="inlineStr">
        <is>
          <t>LUDVIKA</t>
        </is>
      </c>
      <c r="H2316" t="inlineStr">
        <is>
          <t>Bergvik skog väst AB</t>
        </is>
      </c>
      <c r="I2316" t="n">
        <v>1.9</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49139-2022</t>
        </is>
      </c>
      <c r="B2317" t="inlineStr">
        <is>
          <t>avverkningsanmälan</t>
        </is>
      </c>
      <c r="C2317" t="inlineStr">
        <is>
          <t>Föryngringsavverkning</t>
        </is>
      </c>
      <c r="D2317" s="1" t="n">
        <v>44860</v>
      </c>
      <c r="E2317" s="1" t="n">
        <v>46319</v>
      </c>
      <c r="F2317" t="inlineStr">
        <is>
          <t>DALARNAS LÄN</t>
        </is>
      </c>
      <c r="G2317" t="inlineStr">
        <is>
          <t>SMEDJEBACKEN</t>
        </is>
      </c>
      <c r="I2317" t="n">
        <v>3.7</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38670-2025</t>
        </is>
      </c>
      <c r="B2318" t="inlineStr">
        <is>
          <t>avverkningsanmälan</t>
        </is>
      </c>
      <c r="C2318" t="inlineStr">
        <is>
          <t>Avverkning för annat ändamål</t>
        </is>
      </c>
      <c r="D2318" s="1" t="n">
        <v>45884</v>
      </c>
      <c r="E2318" s="1" t="n">
        <v>46319</v>
      </c>
      <c r="F2318" t="inlineStr">
        <is>
          <t>DALARNAS LÄN</t>
        </is>
      </c>
      <c r="G2318" t="inlineStr">
        <is>
          <t>VANSBRO</t>
        </is>
      </c>
      <c r="H2318" t="inlineStr">
        <is>
          <t>Bergvik skog väst AB</t>
        </is>
      </c>
      <c r="I2318" t="n">
        <v>1.4</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34882-2022</t>
        </is>
      </c>
      <c r="B2319" t="inlineStr">
        <is>
          <t>avverkningsanmälan</t>
        </is>
      </c>
      <c r="C2319" t="inlineStr">
        <is>
          <t>Föryngringsavverkning</t>
        </is>
      </c>
      <c r="D2319" s="1" t="n">
        <v>44796</v>
      </c>
      <c r="E2319" s="1" t="n">
        <v>46319</v>
      </c>
      <c r="F2319" t="inlineStr">
        <is>
          <t>DALARNAS LÄN</t>
        </is>
      </c>
      <c r="G2319" t="inlineStr">
        <is>
          <t>VANSBRO</t>
        </is>
      </c>
      <c r="I2319" t="n">
        <v>3.6</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42303-2025</t>
        </is>
      </c>
      <c r="B2320" t="inlineStr">
        <is>
          <t>avverkningsanmälan</t>
        </is>
      </c>
      <c r="C2320" t="inlineStr">
        <is>
          <t>Föryngringsavverkning</t>
        </is>
      </c>
      <c r="D2320" s="1" t="n">
        <v>45904</v>
      </c>
      <c r="E2320" s="1" t="n">
        <v>46319</v>
      </c>
      <c r="F2320" t="inlineStr">
        <is>
          <t>DALARNAS LÄN</t>
        </is>
      </c>
      <c r="G2320" t="inlineStr">
        <is>
          <t>GAGNEF</t>
        </is>
      </c>
      <c r="H2320" t="inlineStr">
        <is>
          <t>Bergvik skog väst AB</t>
        </is>
      </c>
      <c r="I2320" t="n">
        <v>0.6</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6010-2025</t>
        </is>
      </c>
      <c r="B2321" t="inlineStr">
        <is>
          <t>avverkningsanmälan</t>
        </is>
      </c>
      <c r="C2321" t="inlineStr">
        <is>
          <t>Föryngringsavverkning</t>
        </is>
      </c>
      <c r="D2321" s="1" t="n">
        <v>45695</v>
      </c>
      <c r="E2321" s="1" t="n">
        <v>46319</v>
      </c>
      <c r="F2321" t="inlineStr">
        <is>
          <t>DALARNAS LÄN</t>
        </is>
      </c>
      <c r="G2321" t="inlineStr">
        <is>
          <t>FALUN</t>
        </is>
      </c>
      <c r="I2321" t="n">
        <v>1</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38521-2024</t>
        </is>
      </c>
      <c r="B2322" t="inlineStr">
        <is>
          <t>avverkningsanmälan</t>
        </is>
      </c>
      <c r="C2322" t="inlineStr">
        <is>
          <t>Föryngringsavverkning</t>
        </is>
      </c>
      <c r="D2322" s="1" t="n">
        <v>45546</v>
      </c>
      <c r="E2322" s="1" t="n">
        <v>46319</v>
      </c>
      <c r="F2322" t="inlineStr">
        <is>
          <t>DALARNAS LÄN</t>
        </is>
      </c>
      <c r="G2322" t="inlineStr">
        <is>
          <t>SÄTER</t>
        </is>
      </c>
      <c r="I2322" t="n">
        <v>3.8</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16967-2025</t>
        </is>
      </c>
      <c r="B2323" t="inlineStr">
        <is>
          <t>avverkningsanmälan</t>
        </is>
      </c>
      <c r="C2323" t="inlineStr">
        <is>
          <t>Föryngringsavverkning</t>
        </is>
      </c>
      <c r="D2323" s="1" t="n">
        <v>45755</v>
      </c>
      <c r="E2323" s="1" t="n">
        <v>46319</v>
      </c>
      <c r="F2323" t="inlineStr">
        <is>
          <t>DALARNAS LÄN</t>
        </is>
      </c>
      <c r="G2323" t="inlineStr">
        <is>
          <t>MORA</t>
        </is>
      </c>
      <c r="H2323" t="inlineStr">
        <is>
          <t>Bergvik skog öst AB</t>
        </is>
      </c>
      <c r="I2323" t="n">
        <v>2.9</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49035-2024</t>
        </is>
      </c>
      <c r="B2324" t="inlineStr">
        <is>
          <t>avverkningsanmälan</t>
        </is>
      </c>
      <c r="C2324" t="inlineStr">
        <is>
          <t>Avverkning för att bevara och utveckla /försöksver</t>
        </is>
      </c>
      <c r="D2324" s="1" t="n">
        <v>45594</v>
      </c>
      <c r="E2324" s="1" t="n">
        <v>46319</v>
      </c>
      <c r="F2324" t="inlineStr">
        <is>
          <t>DALARNAS LÄN</t>
        </is>
      </c>
      <c r="G2324" t="inlineStr">
        <is>
          <t>LUDVIKA</t>
        </is>
      </c>
      <c r="H2324" t="inlineStr">
        <is>
          <t>Naturvårdsverket</t>
        </is>
      </c>
      <c r="I2324" t="n">
        <v>2</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48985-2023</t>
        </is>
      </c>
      <c r="B2325" t="inlineStr">
        <is>
          <t>avverkningsanmälan</t>
        </is>
      </c>
      <c r="C2325" t="inlineStr">
        <is>
          <t>Föryngringsavverkning</t>
        </is>
      </c>
      <c r="D2325" s="1" t="n">
        <v>45209</v>
      </c>
      <c r="E2325" s="1" t="n">
        <v>46319</v>
      </c>
      <c r="F2325" t="inlineStr">
        <is>
          <t>DALARNAS LÄN</t>
        </is>
      </c>
      <c r="G2325" t="inlineStr">
        <is>
          <t>ORSA</t>
        </is>
      </c>
      <c r="H2325" t="inlineStr">
        <is>
          <t>Allmännings- och besparingsskogar</t>
        </is>
      </c>
      <c r="I2325" t="n">
        <v>2.1</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49043-2024</t>
        </is>
      </c>
      <c r="B2326" t="inlineStr">
        <is>
          <t>avverkningsanmälan</t>
        </is>
      </c>
      <c r="C2326" t="inlineStr">
        <is>
          <t>Föryngringsavverkning</t>
        </is>
      </c>
      <c r="D2326" s="1" t="n">
        <v>45594</v>
      </c>
      <c r="E2326" s="1" t="n">
        <v>46319</v>
      </c>
      <c r="F2326" t="inlineStr">
        <is>
          <t>DALARNAS LÄN</t>
        </is>
      </c>
      <c r="G2326" t="inlineStr">
        <is>
          <t>LUDVIKA</t>
        </is>
      </c>
      <c r="H2326" t="inlineStr">
        <is>
          <t>Naturvårdsverket</t>
        </is>
      </c>
      <c r="I2326" t="n">
        <v>2.3</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49063-2023</t>
        </is>
      </c>
      <c r="B2327" t="inlineStr">
        <is>
          <t>avverkningsanmälan</t>
        </is>
      </c>
      <c r="C2327" t="inlineStr">
        <is>
          <t>Föryngringsavverkning</t>
        </is>
      </c>
      <c r="D2327" s="1" t="n">
        <v>45210</v>
      </c>
      <c r="E2327" s="1" t="n">
        <v>46319</v>
      </c>
      <c r="F2327" t="inlineStr">
        <is>
          <t>DALARNAS LÄN</t>
        </is>
      </c>
      <c r="G2327" t="inlineStr">
        <is>
          <t>ÄLVDALEN</t>
        </is>
      </c>
      <c r="I2327" t="n">
        <v>4.1</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37166-2025</t>
        </is>
      </c>
      <c r="B2328" t="inlineStr">
        <is>
          <t>avverkningsanmälan</t>
        </is>
      </c>
      <c r="C2328" t="inlineStr">
        <is>
          <t>Föryngringsavverkning</t>
        </is>
      </c>
      <c r="D2328" s="1" t="n">
        <v>45875</v>
      </c>
      <c r="E2328" s="1" t="n">
        <v>46319</v>
      </c>
      <c r="F2328" t="inlineStr">
        <is>
          <t>DALARNAS LÄN</t>
        </is>
      </c>
      <c r="G2328" t="inlineStr">
        <is>
          <t>MALUNG-SÄLEN</t>
        </is>
      </c>
      <c r="I2328" t="n">
        <v>3.4</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51474-2024</t>
        </is>
      </c>
      <c r="B2329" t="inlineStr">
        <is>
          <t>avverkningsanmälan</t>
        </is>
      </c>
      <c r="C2329" t="inlineStr">
        <is>
          <t>Föryngringsavverkning</t>
        </is>
      </c>
      <c r="D2329" s="1" t="n">
        <v>45604</v>
      </c>
      <c r="E2329" s="1" t="n">
        <v>46319</v>
      </c>
      <c r="F2329" t="inlineStr">
        <is>
          <t>DALARNAS LÄN</t>
        </is>
      </c>
      <c r="G2329" t="inlineStr">
        <is>
          <t>SÄTER</t>
        </is>
      </c>
      <c r="I2329" t="n">
        <v>0.8</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42674-2025</t>
        </is>
      </c>
      <c r="B2330" t="inlineStr">
        <is>
          <t>avverkningsanmälan</t>
        </is>
      </c>
      <c r="C2330" t="inlineStr">
        <is>
          <t>Föryngringsavverkning</t>
        </is>
      </c>
      <c r="D2330" s="1" t="n">
        <v>45905</v>
      </c>
      <c r="E2330" s="1" t="n">
        <v>46319</v>
      </c>
      <c r="F2330" t="inlineStr">
        <is>
          <t>DALARNAS LÄN</t>
        </is>
      </c>
      <c r="G2330" t="inlineStr">
        <is>
          <t>SÄTER</t>
        </is>
      </c>
      <c r="H2330" t="inlineStr">
        <is>
          <t>Bergvik skog väst AB</t>
        </is>
      </c>
      <c r="I2330" t="n">
        <v>5.2</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42461-2025</t>
        </is>
      </c>
      <c r="B2331" t="inlineStr">
        <is>
          <t>avverkningsanmälan</t>
        </is>
      </c>
      <c r="C2331" t="inlineStr">
        <is>
          <t>Föryngringsavverkning</t>
        </is>
      </c>
      <c r="D2331" s="1" t="n">
        <v>45905</v>
      </c>
      <c r="E2331" s="1" t="n">
        <v>46319</v>
      </c>
      <c r="F2331" t="inlineStr">
        <is>
          <t>DALARNAS LÄN</t>
        </is>
      </c>
      <c r="G2331" t="inlineStr">
        <is>
          <t>RÄTTVIK</t>
        </is>
      </c>
      <c r="H2331" t="inlineStr">
        <is>
          <t>Sveaskog</t>
        </is>
      </c>
      <c r="I2331" t="n">
        <v>1.8</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18708-2023</t>
        </is>
      </c>
      <c r="B2332" t="inlineStr">
        <is>
          <t>avverkningsanmälan</t>
        </is>
      </c>
      <c r="C2332" t="inlineStr">
        <is>
          <t>Föryngringsavverkning</t>
        </is>
      </c>
      <c r="D2332" s="1" t="n">
        <v>45043</v>
      </c>
      <c r="E2332" s="1" t="n">
        <v>46319</v>
      </c>
      <c r="F2332" t="inlineStr">
        <is>
          <t>DALARNAS LÄN</t>
        </is>
      </c>
      <c r="G2332" t="inlineStr">
        <is>
          <t>LUDVIKA</t>
        </is>
      </c>
      <c r="H2332" t="inlineStr">
        <is>
          <t>Bergvik skog väst AB</t>
        </is>
      </c>
      <c r="I2332" t="n">
        <v>1.1</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42840-2025</t>
        </is>
      </c>
      <c r="B2333" t="inlineStr">
        <is>
          <t>avverkningsanmälan</t>
        </is>
      </c>
      <c r="C2333" t="inlineStr">
        <is>
          <t>Föryngringsavverkning</t>
        </is>
      </c>
      <c r="D2333" s="1" t="n">
        <v>45908</v>
      </c>
      <c r="E2333" s="1" t="n">
        <v>46319</v>
      </c>
      <c r="F2333" t="inlineStr">
        <is>
          <t>DALARNAS LÄN</t>
        </is>
      </c>
      <c r="G2333" t="inlineStr">
        <is>
          <t>MALUNG-SÄLEN</t>
        </is>
      </c>
      <c r="H2333" t="inlineStr">
        <is>
          <t>Bergvik skog öst AB</t>
        </is>
      </c>
      <c r="I2333" t="n">
        <v>14.2</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60165-2023</t>
        </is>
      </c>
      <c r="B2334" t="inlineStr">
        <is>
          <t>avverkningsanmälan</t>
        </is>
      </c>
      <c r="C2334" t="inlineStr">
        <is>
          <t>Föryngringsavverkning</t>
        </is>
      </c>
      <c r="D2334" s="1" t="n">
        <v>45258</v>
      </c>
      <c r="E2334" s="1" t="n">
        <v>46319</v>
      </c>
      <c r="F2334" t="inlineStr">
        <is>
          <t>DALARNAS LÄN</t>
        </is>
      </c>
      <c r="G2334" t="inlineStr">
        <is>
          <t>RÄTTVIK</t>
        </is>
      </c>
      <c r="I2334" t="n">
        <v>1</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23875-2025</t>
        </is>
      </c>
      <c r="B2335" t="inlineStr">
        <is>
          <t>avverkningsanmälan</t>
        </is>
      </c>
      <c r="C2335" t="inlineStr">
        <is>
          <t>Föryngringsavverkning</t>
        </is>
      </c>
      <c r="D2335" s="1" t="n">
        <v>45793</v>
      </c>
      <c r="E2335" s="1" t="n">
        <v>46319</v>
      </c>
      <c r="F2335" t="inlineStr">
        <is>
          <t>DALARNAS LÄN</t>
        </is>
      </c>
      <c r="G2335" t="inlineStr">
        <is>
          <t>ORSA</t>
        </is>
      </c>
      <c r="I2335" t="n">
        <v>0.8</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42447-2025</t>
        </is>
      </c>
      <c r="B2336" t="inlineStr">
        <is>
          <t>avverkningsanmälan</t>
        </is>
      </c>
      <c r="C2336" t="inlineStr">
        <is>
          <t>Föryngringsavverkning</t>
        </is>
      </c>
      <c r="D2336" s="1" t="n">
        <v>45905</v>
      </c>
      <c r="E2336" s="1" t="n">
        <v>46319</v>
      </c>
      <c r="F2336" t="inlineStr">
        <is>
          <t>DALARNAS LÄN</t>
        </is>
      </c>
      <c r="G2336" t="inlineStr">
        <is>
          <t>RÄTTVIK</t>
        </is>
      </c>
      <c r="H2336" t="inlineStr">
        <is>
          <t>Sveaskog</t>
        </is>
      </c>
      <c r="I2336" t="n">
        <v>4.6</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42691-2025</t>
        </is>
      </c>
      <c r="B2337" t="inlineStr">
        <is>
          <t>avverkningsanmälan</t>
        </is>
      </c>
      <c r="C2337" t="inlineStr">
        <is>
          <t>Föryngringsavverkning</t>
        </is>
      </c>
      <c r="D2337" s="1" t="n">
        <v>45905</v>
      </c>
      <c r="E2337" s="1" t="n">
        <v>46319</v>
      </c>
      <c r="F2337" t="inlineStr">
        <is>
          <t>DALARNAS LÄN</t>
        </is>
      </c>
      <c r="G2337" t="inlineStr">
        <is>
          <t>SÄTER</t>
        </is>
      </c>
      <c r="H2337" t="inlineStr">
        <is>
          <t>Bergvik skog väst AB</t>
        </is>
      </c>
      <c r="I2337" t="n">
        <v>1.8</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54199-2023</t>
        </is>
      </c>
      <c r="B2338" t="inlineStr">
        <is>
          <t>avverkningsanmälan</t>
        </is>
      </c>
      <c r="C2338" t="inlineStr">
        <is>
          <t>Föryngringsavverkning</t>
        </is>
      </c>
      <c r="D2338" s="1" t="n">
        <v>45225</v>
      </c>
      <c r="E2338" s="1" t="n">
        <v>46319</v>
      </c>
      <c r="F2338" t="inlineStr">
        <is>
          <t>DALARNAS LÄN</t>
        </is>
      </c>
      <c r="G2338" t="inlineStr">
        <is>
          <t>RÄTTVIK</t>
        </is>
      </c>
      <c r="I2338" t="n">
        <v>1.5</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16883-2024</t>
        </is>
      </c>
      <c r="B2339" t="inlineStr">
        <is>
          <t>avverkningsanmälan</t>
        </is>
      </c>
      <c r="C2339" t="inlineStr">
        <is>
          <t>Föryngringsavverkning</t>
        </is>
      </c>
      <c r="D2339" s="1" t="n">
        <v>45411</v>
      </c>
      <c r="E2339" s="1" t="n">
        <v>46319</v>
      </c>
      <c r="F2339" t="inlineStr">
        <is>
          <t>DALARNAS LÄN</t>
        </is>
      </c>
      <c r="G2339" t="inlineStr">
        <is>
          <t>BORLÄNGE</t>
        </is>
      </c>
      <c r="I2339" t="n">
        <v>0.4</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60051-2022</t>
        </is>
      </c>
      <c r="B2340" t="inlineStr">
        <is>
          <t>avverkningsanmälan</t>
        </is>
      </c>
      <c r="C2340" t="inlineStr">
        <is>
          <t>Föryngringsavverkning</t>
        </is>
      </c>
      <c r="D2340" s="1" t="n">
        <v>44909</v>
      </c>
      <c r="E2340" s="1" t="n">
        <v>46319</v>
      </c>
      <c r="F2340" t="inlineStr">
        <is>
          <t>DALARNAS LÄN</t>
        </is>
      </c>
      <c r="G2340" t="inlineStr">
        <is>
          <t>MORA</t>
        </is>
      </c>
      <c r="I2340" t="n">
        <v>0.9</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53568-2023</t>
        </is>
      </c>
      <c r="B2341" t="inlineStr">
        <is>
          <t>avverkningsanmälan</t>
        </is>
      </c>
      <c r="C2341" t="inlineStr">
        <is>
          <t>Föryngringsavverkning</t>
        </is>
      </c>
      <c r="D2341" s="1" t="n">
        <v>45230</v>
      </c>
      <c r="E2341" s="1" t="n">
        <v>46319</v>
      </c>
      <c r="F2341" t="inlineStr">
        <is>
          <t>DALARNAS LÄN</t>
        </is>
      </c>
      <c r="G2341" t="inlineStr">
        <is>
          <t>HEDEMORA</t>
        </is>
      </c>
      <c r="I2341" t="n">
        <v>1.2</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61814-2023</t>
        </is>
      </c>
      <c r="B2342" t="inlineStr">
        <is>
          <t>avverkningsanmälan</t>
        </is>
      </c>
      <c r="C2342" t="inlineStr">
        <is>
          <t>Föryngringsavverkning</t>
        </is>
      </c>
      <c r="D2342" s="1" t="n">
        <v>45266</v>
      </c>
      <c r="E2342" s="1" t="n">
        <v>46319</v>
      </c>
      <c r="F2342" t="inlineStr">
        <is>
          <t>DALARNAS LÄN</t>
        </is>
      </c>
      <c r="G2342" t="inlineStr">
        <is>
          <t>RÄTTVIK</t>
        </is>
      </c>
      <c r="I2342" t="n">
        <v>2.1</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42735-2025</t>
        </is>
      </c>
      <c r="B2343" t="inlineStr">
        <is>
          <t>avverkningsanmälan</t>
        </is>
      </c>
      <c r="C2343" t="inlineStr">
        <is>
          <t>Avverkning för annat ändamål</t>
        </is>
      </c>
      <c r="D2343" s="1" t="n">
        <v>45908</v>
      </c>
      <c r="E2343" s="1" t="n">
        <v>46319</v>
      </c>
      <c r="F2343" t="inlineStr">
        <is>
          <t>DALARNAS LÄN</t>
        </is>
      </c>
      <c r="G2343" t="inlineStr">
        <is>
          <t>RÄTTVIK</t>
        </is>
      </c>
      <c r="I2343" t="n">
        <v>0.6</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53304-2023</t>
        </is>
      </c>
      <c r="B2344" t="inlineStr">
        <is>
          <t>avverkningsanmälan</t>
        </is>
      </c>
      <c r="C2344" t="inlineStr">
        <is>
          <t>Föryngringsavverkning</t>
        </is>
      </c>
      <c r="D2344" s="1" t="n">
        <v>45229</v>
      </c>
      <c r="E2344" s="1" t="n">
        <v>46319</v>
      </c>
      <c r="F2344" t="inlineStr">
        <is>
          <t>DALARNAS LÄN</t>
        </is>
      </c>
      <c r="G2344" t="inlineStr">
        <is>
          <t>RÄTTVIK</t>
        </is>
      </c>
      <c r="I2344" t="n">
        <v>1.1</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53471-2023</t>
        </is>
      </c>
      <c r="B2345" t="inlineStr">
        <is>
          <t>avverkningsanmälan</t>
        </is>
      </c>
      <c r="C2345" t="inlineStr">
        <is>
          <t>Föryngringsavverkning</t>
        </is>
      </c>
      <c r="D2345" s="1" t="n">
        <v>45230</v>
      </c>
      <c r="E2345" s="1" t="n">
        <v>46319</v>
      </c>
      <c r="F2345" t="inlineStr">
        <is>
          <t>DALARNAS LÄN</t>
        </is>
      </c>
      <c r="G2345" t="inlineStr">
        <is>
          <t>RÄTTVIK</t>
        </is>
      </c>
      <c r="I2345" t="n">
        <v>1.1</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22927-2026</t>
        </is>
      </c>
      <c r="B2346" t="inlineStr">
        <is>
          <t>avverkningsanmälan</t>
        </is>
      </c>
      <c r="C2346" t="inlineStr">
        <is>
          <t>Föryngringsavverkning</t>
        </is>
      </c>
      <c r="D2346" s="1" t="n">
        <v>46160</v>
      </c>
      <c r="E2346" s="1" t="n">
        <v>46319</v>
      </c>
      <c r="F2346" t="inlineStr">
        <is>
          <t>DALARNAS LÄN</t>
        </is>
      </c>
      <c r="G2346" t="inlineStr">
        <is>
          <t>FALUN</t>
        </is>
      </c>
      <c r="H2346" t="inlineStr">
        <is>
          <t>Bergvik skog väst AB</t>
        </is>
      </c>
      <c r="I2346" t="n">
        <v>0.8</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42645-2025</t>
        </is>
      </c>
      <c r="B2347" t="inlineStr">
        <is>
          <t>avverkningsanmälan</t>
        </is>
      </c>
      <c r="C2347" t="inlineStr">
        <is>
          <t>Avverkning för att bevara och utveckla /försöksver</t>
        </is>
      </c>
      <c r="D2347" s="1" t="n">
        <v>45906</v>
      </c>
      <c r="E2347" s="1" t="n">
        <v>46319</v>
      </c>
      <c r="F2347" t="inlineStr">
        <is>
          <t>DALARNAS LÄN</t>
        </is>
      </c>
      <c r="G2347" t="inlineStr">
        <is>
          <t>HEDEMORA</t>
        </is>
      </c>
      <c r="H2347" t="inlineStr">
        <is>
          <t>Sveaskog</t>
        </is>
      </c>
      <c r="I2347" t="n">
        <v>1.2</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42663-2025</t>
        </is>
      </c>
      <c r="B2348" t="inlineStr">
        <is>
          <t>avverkningsanmälan</t>
        </is>
      </c>
      <c r="C2348" t="inlineStr">
        <is>
          <t>Föryngringsavverkning</t>
        </is>
      </c>
      <c r="D2348" s="1" t="n">
        <v>45907</v>
      </c>
      <c r="E2348" s="1" t="n">
        <v>46319</v>
      </c>
      <c r="F2348" t="inlineStr">
        <is>
          <t>DALARNAS LÄN</t>
        </is>
      </c>
      <c r="G2348" t="inlineStr">
        <is>
          <t>SMEDJEBACKEN</t>
        </is>
      </c>
      <c r="I2348" t="n">
        <v>1.6</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29057-2024</t>
        </is>
      </c>
      <c r="B2349" t="inlineStr">
        <is>
          <t>avverkningsanmälan</t>
        </is>
      </c>
      <c r="C2349" t="inlineStr">
        <is>
          <t>Föryngringsavverkning</t>
        </is>
      </c>
      <c r="D2349" s="1" t="n">
        <v>45481</v>
      </c>
      <c r="E2349" s="1" t="n">
        <v>46319</v>
      </c>
      <c r="F2349" t="inlineStr">
        <is>
          <t>DALARNAS LÄN</t>
        </is>
      </c>
      <c r="G2349" t="inlineStr">
        <is>
          <t>MALUNG-SÄLEN</t>
        </is>
      </c>
      <c r="H2349" t="inlineStr">
        <is>
          <t>Bergvik skog öst AB</t>
        </is>
      </c>
      <c r="I2349" t="n">
        <v>2.4</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22857-2026</t>
        </is>
      </c>
      <c r="B2350" t="inlineStr">
        <is>
          <t>avverkningsanmälan</t>
        </is>
      </c>
      <c r="C2350" t="inlineStr">
        <is>
          <t>Föryngringsavverkning</t>
        </is>
      </c>
      <c r="D2350" s="1" t="n">
        <v>46160</v>
      </c>
      <c r="E2350" s="1" t="n">
        <v>46319</v>
      </c>
      <c r="F2350" t="inlineStr">
        <is>
          <t>DALARNAS LÄN</t>
        </is>
      </c>
      <c r="G2350" t="inlineStr">
        <is>
          <t>FALUN</t>
        </is>
      </c>
      <c r="H2350" t="inlineStr">
        <is>
          <t>Bergvik skog väst AB</t>
        </is>
      </c>
      <c r="I2350" t="n">
        <v>0.8</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22967-2026</t>
        </is>
      </c>
      <c r="B2351" t="inlineStr">
        <is>
          <t>avverkningsanmälan</t>
        </is>
      </c>
      <c r="C2351" t="inlineStr">
        <is>
          <t>Föryngringsavverkning</t>
        </is>
      </c>
      <c r="D2351" s="1" t="n">
        <v>46160</v>
      </c>
      <c r="E2351" s="1" t="n">
        <v>46319</v>
      </c>
      <c r="F2351" t="inlineStr">
        <is>
          <t>DALARNAS LÄN</t>
        </is>
      </c>
      <c r="G2351" t="inlineStr">
        <is>
          <t>FALUN</t>
        </is>
      </c>
      <c r="H2351" t="inlineStr">
        <is>
          <t>Bergvik skog väst AB</t>
        </is>
      </c>
      <c r="I2351" t="n">
        <v>1.8</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36338-2025</t>
        </is>
      </c>
      <c r="B2352" t="inlineStr">
        <is>
          <t>avverkningsanmälan</t>
        </is>
      </c>
      <c r="C2352" t="inlineStr">
        <is>
          <t>Avverkning för att bevara och utveckla /försöksver</t>
        </is>
      </c>
      <c r="D2352" s="1" t="n">
        <v>45868</v>
      </c>
      <c r="E2352" s="1" t="n">
        <v>46319</v>
      </c>
      <c r="F2352" t="inlineStr">
        <is>
          <t>DALARNAS LÄN</t>
        </is>
      </c>
      <c r="G2352" t="inlineStr">
        <is>
          <t>LUDVIKA</t>
        </is>
      </c>
      <c r="I2352" t="n">
        <v>0.2</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52871-2023</t>
        </is>
      </c>
      <c r="B2353" t="inlineStr">
        <is>
          <t>avverkningsanmälan</t>
        </is>
      </c>
      <c r="C2353" t="inlineStr">
        <is>
          <t>Föryngringsavverkning</t>
        </is>
      </c>
      <c r="D2353" s="1" t="n">
        <v>45226</v>
      </c>
      <c r="E2353" s="1" t="n">
        <v>46319</v>
      </c>
      <c r="F2353" t="inlineStr">
        <is>
          <t>DALARNAS LÄN</t>
        </is>
      </c>
      <c r="G2353" t="inlineStr">
        <is>
          <t>MALUNG-SÄLEN</t>
        </is>
      </c>
      <c r="I2353" t="n">
        <v>1</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39135-2022</t>
        </is>
      </c>
      <c r="B2354" t="inlineStr">
        <is>
          <t>avverkningsanmälan</t>
        </is>
      </c>
      <c r="C2354" t="inlineStr">
        <is>
          <t>Föryngringsavverkning</t>
        </is>
      </c>
      <c r="D2354" s="1" t="n">
        <v>44817</v>
      </c>
      <c r="E2354" s="1" t="n">
        <v>46319</v>
      </c>
      <c r="F2354" t="inlineStr">
        <is>
          <t>DALARNAS LÄN</t>
        </is>
      </c>
      <c r="G2354" t="inlineStr">
        <is>
          <t>FALUN</t>
        </is>
      </c>
      <c r="I2354" t="n">
        <v>3.4</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6758-2024</t>
        </is>
      </c>
      <c r="B2355" t="inlineStr">
        <is>
          <t>avverkningsanmälan</t>
        </is>
      </c>
      <c r="C2355" t="inlineStr">
        <is>
          <t>Föryngringsavverkning</t>
        </is>
      </c>
      <c r="D2355" s="1" t="n">
        <v>45342</v>
      </c>
      <c r="E2355" s="1" t="n">
        <v>46319</v>
      </c>
      <c r="F2355" t="inlineStr">
        <is>
          <t>DALARNAS LÄN</t>
        </is>
      </c>
      <c r="G2355" t="inlineStr">
        <is>
          <t>LEKSAND</t>
        </is>
      </c>
      <c r="H2355" t="inlineStr">
        <is>
          <t>Bergvik skog väst AB</t>
        </is>
      </c>
      <c r="I2355" t="n">
        <v>6.2</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42996-2025</t>
        </is>
      </c>
      <c r="B2356" t="inlineStr">
        <is>
          <t>avverkningsanmälan</t>
        </is>
      </c>
      <c r="C2356" t="inlineStr">
        <is>
          <t>Föryngringsavverkning</t>
        </is>
      </c>
      <c r="D2356" s="1" t="n">
        <v>45909</v>
      </c>
      <c r="E2356" s="1" t="n">
        <v>46319</v>
      </c>
      <c r="F2356" t="inlineStr">
        <is>
          <t>DALARNAS LÄN</t>
        </is>
      </c>
      <c r="G2356" t="inlineStr">
        <is>
          <t>LUDVIKA</t>
        </is>
      </c>
      <c r="I2356" t="n">
        <v>0.5</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22909-2026</t>
        </is>
      </c>
      <c r="B2357" t="inlineStr">
        <is>
          <t>avverkningsanmälan</t>
        </is>
      </c>
      <c r="C2357" t="inlineStr">
        <is>
          <t>Föryngringsavverkning</t>
        </is>
      </c>
      <c r="D2357" s="1" t="n">
        <v>46160</v>
      </c>
      <c r="E2357" s="1" t="n">
        <v>46319</v>
      </c>
      <c r="F2357" t="inlineStr">
        <is>
          <t>DALARNAS LÄN</t>
        </is>
      </c>
      <c r="G2357" t="inlineStr">
        <is>
          <t>MORA</t>
        </is>
      </c>
      <c r="I2357" t="n">
        <v>3.5</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22856-2026</t>
        </is>
      </c>
      <c r="B2358" t="inlineStr">
        <is>
          <t>avverkningsanmälan</t>
        </is>
      </c>
      <c r="C2358" t="inlineStr">
        <is>
          <t>Föryngringsavverkning</t>
        </is>
      </c>
      <c r="D2358" s="1" t="n">
        <v>46160</v>
      </c>
      <c r="E2358" s="1" t="n">
        <v>46319</v>
      </c>
      <c r="F2358" t="inlineStr">
        <is>
          <t>DALARNAS LÄN</t>
        </is>
      </c>
      <c r="G2358" t="inlineStr">
        <is>
          <t>MALUNG-SÄLEN</t>
        </is>
      </c>
      <c r="H2358" t="inlineStr">
        <is>
          <t>Bergvik skog öst AB</t>
        </is>
      </c>
      <c r="I2358" t="n">
        <v>8.800000000000001</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43377-2022</t>
        </is>
      </c>
      <c r="B2359" t="inlineStr">
        <is>
          <t>avverkningsanmälan</t>
        </is>
      </c>
      <c r="C2359" t="inlineStr">
        <is>
          <t>Föryngringsavverkning</t>
        </is>
      </c>
      <c r="D2359" s="1" t="n">
        <v>44834</v>
      </c>
      <c r="E2359" s="1" t="n">
        <v>46319</v>
      </c>
      <c r="F2359" t="inlineStr">
        <is>
          <t>DALARNAS LÄN</t>
        </is>
      </c>
      <c r="G2359" t="inlineStr">
        <is>
          <t>FALUN</t>
        </is>
      </c>
      <c r="I2359" t="n">
        <v>1</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19359-2025</t>
        </is>
      </c>
      <c r="B2360" t="inlineStr">
        <is>
          <t>avverkningsanmälan</t>
        </is>
      </c>
      <c r="C2360" t="inlineStr">
        <is>
          <t>Avverkning för att bevara och utveckla /försöksver</t>
        </is>
      </c>
      <c r="D2360" s="1" t="n">
        <v>45769</v>
      </c>
      <c r="E2360" s="1" t="n">
        <v>46319</v>
      </c>
      <c r="F2360" t="inlineStr">
        <is>
          <t>DALARNAS LÄN</t>
        </is>
      </c>
      <c r="G2360" t="inlineStr">
        <is>
          <t>AVESTA</t>
        </is>
      </c>
      <c r="I2360" t="n">
        <v>1.8</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43282-2025</t>
        </is>
      </c>
      <c r="B2361" t="inlineStr">
        <is>
          <t>avverkningsanmälan</t>
        </is>
      </c>
      <c r="C2361" t="inlineStr">
        <is>
          <t>Föryngringsavverkning</t>
        </is>
      </c>
      <c r="D2361" s="1" t="n">
        <v>45910</v>
      </c>
      <c r="E2361" s="1" t="n">
        <v>46319</v>
      </c>
      <c r="F2361" t="inlineStr">
        <is>
          <t>DALARNAS LÄN</t>
        </is>
      </c>
      <c r="G2361" t="inlineStr">
        <is>
          <t>RÄTTVIK</t>
        </is>
      </c>
      <c r="I2361" t="n">
        <v>2.8</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43092-2025</t>
        </is>
      </c>
      <c r="B2362" t="inlineStr">
        <is>
          <t>avverkningsanmälan</t>
        </is>
      </c>
      <c r="C2362" t="inlineStr">
        <is>
          <t>Föryngringsavverkning</t>
        </is>
      </c>
      <c r="D2362" s="1" t="n">
        <v>45909</v>
      </c>
      <c r="E2362" s="1" t="n">
        <v>46319</v>
      </c>
      <c r="F2362" t="inlineStr">
        <is>
          <t>DALARNAS LÄN</t>
        </is>
      </c>
      <c r="G2362" t="inlineStr">
        <is>
          <t>FALUN</t>
        </is>
      </c>
      <c r="H2362" t="inlineStr">
        <is>
          <t>Bergvik skog väst AB</t>
        </is>
      </c>
      <c r="I2362" t="n">
        <v>24.3</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48390-2024</t>
        </is>
      </c>
      <c r="B2363" t="inlineStr">
        <is>
          <t>avverkningsanmälan</t>
        </is>
      </c>
      <c r="C2363" t="inlineStr">
        <is>
          <t>Föryngringsavverkning</t>
        </is>
      </c>
      <c r="D2363" s="1" t="n">
        <v>45590</v>
      </c>
      <c r="E2363" s="1" t="n">
        <v>46319</v>
      </c>
      <c r="F2363" t="inlineStr">
        <is>
          <t>DALARNAS LÄN</t>
        </is>
      </c>
      <c r="G2363" t="inlineStr">
        <is>
          <t>MORA</t>
        </is>
      </c>
      <c r="I2363" t="n">
        <v>5</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23059-2026</t>
        </is>
      </c>
      <c r="B2364" t="inlineStr">
        <is>
          <t>avverkningsanmälan</t>
        </is>
      </c>
      <c r="C2364" t="inlineStr">
        <is>
          <t>Föryngringsavverkning</t>
        </is>
      </c>
      <c r="D2364" s="1" t="n">
        <v>46161</v>
      </c>
      <c r="E2364" s="1" t="n">
        <v>46319</v>
      </c>
      <c r="F2364" t="inlineStr">
        <is>
          <t>DALARNAS LÄN</t>
        </is>
      </c>
      <c r="G2364" t="inlineStr">
        <is>
          <t>VANSBRO</t>
        </is>
      </c>
      <c r="H2364" t="inlineStr">
        <is>
          <t>Bergvik skog öst AB</t>
        </is>
      </c>
      <c r="I2364" t="n">
        <v>1.9</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49286-2023</t>
        </is>
      </c>
      <c r="B2365" t="inlineStr">
        <is>
          <t>avverkningsanmälan</t>
        </is>
      </c>
      <c r="C2365" t="inlineStr">
        <is>
          <t>Föryngringsavverkning</t>
        </is>
      </c>
      <c r="D2365" s="1" t="n">
        <v>45210</v>
      </c>
      <c r="E2365" s="1" t="n">
        <v>46319</v>
      </c>
      <c r="F2365" t="inlineStr">
        <is>
          <t>DALARNAS LÄN</t>
        </is>
      </c>
      <c r="G2365" t="inlineStr">
        <is>
          <t>AVESTA</t>
        </is>
      </c>
      <c r="I2365" t="n">
        <v>2.1</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43248-2025</t>
        </is>
      </c>
      <c r="B2366" t="inlineStr">
        <is>
          <t>avverkningsanmälan</t>
        </is>
      </c>
      <c r="C2366" t="inlineStr">
        <is>
          <t>Föryngringsavverkning</t>
        </is>
      </c>
      <c r="D2366" s="1" t="n">
        <v>45910</v>
      </c>
      <c r="E2366" s="1" t="n">
        <v>46319</v>
      </c>
      <c r="F2366" t="inlineStr">
        <is>
          <t>DALARNAS LÄN</t>
        </is>
      </c>
      <c r="G2366" t="inlineStr">
        <is>
          <t>MALUNG-SÄLEN</t>
        </is>
      </c>
      <c r="H2366" t="inlineStr">
        <is>
          <t>Allmännings- och besparingsskogar</t>
        </is>
      </c>
      <c r="I2366" t="n">
        <v>2</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43257-2025</t>
        </is>
      </c>
      <c r="B2367" t="inlineStr">
        <is>
          <t>avverkningsanmälan</t>
        </is>
      </c>
      <c r="C2367" t="inlineStr">
        <is>
          <t>Föryngringsavverkning</t>
        </is>
      </c>
      <c r="D2367" s="1" t="n">
        <v>45910</v>
      </c>
      <c r="E2367" s="1" t="n">
        <v>46319</v>
      </c>
      <c r="F2367" t="inlineStr">
        <is>
          <t>DALARNAS LÄN</t>
        </is>
      </c>
      <c r="G2367" t="inlineStr">
        <is>
          <t>FALUN</t>
        </is>
      </c>
      <c r="H2367" t="inlineStr">
        <is>
          <t>Bergvik skog väst AB</t>
        </is>
      </c>
      <c r="I2367" t="n">
        <v>5.6</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23082-2026</t>
        </is>
      </c>
      <c r="B2368" t="inlineStr">
        <is>
          <t>avverkningsanmälan</t>
        </is>
      </c>
      <c r="C2368" t="inlineStr">
        <is>
          <t>Föryngringsavverkning</t>
        </is>
      </c>
      <c r="D2368" s="1" t="n">
        <v>46161</v>
      </c>
      <c r="E2368" s="1" t="n">
        <v>46319</v>
      </c>
      <c r="F2368" t="inlineStr">
        <is>
          <t>DALARNAS LÄN</t>
        </is>
      </c>
      <c r="G2368" t="inlineStr">
        <is>
          <t>LUDVIKA</t>
        </is>
      </c>
      <c r="H2368" t="inlineStr">
        <is>
          <t>Bergvik skog väst AB</t>
        </is>
      </c>
      <c r="I2368" t="n">
        <v>2.1</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23271-2026</t>
        </is>
      </c>
      <c r="B2369" t="inlineStr">
        <is>
          <t>avverkningsanmälan</t>
        </is>
      </c>
      <c r="C2369" t="inlineStr">
        <is>
          <t>Föryngringsavverkning</t>
        </is>
      </c>
      <c r="D2369" s="1" t="n">
        <v>46162</v>
      </c>
      <c r="E2369" s="1" t="n">
        <v>46319</v>
      </c>
      <c r="F2369" t="inlineStr">
        <is>
          <t>DALARNAS LÄN</t>
        </is>
      </c>
      <c r="G2369" t="inlineStr">
        <is>
          <t>FALUN</t>
        </is>
      </c>
      <c r="I2369" t="n">
        <v>0.7</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23275-2026</t>
        </is>
      </c>
      <c r="B2370" t="inlineStr">
        <is>
          <t>avverkningsanmälan</t>
        </is>
      </c>
      <c r="C2370" t="inlineStr">
        <is>
          <t>Föryngringsavverkning</t>
        </is>
      </c>
      <c r="D2370" s="1" t="n">
        <v>46162</v>
      </c>
      <c r="E2370" s="1" t="n">
        <v>46319</v>
      </c>
      <c r="F2370" t="inlineStr">
        <is>
          <t>DALARNAS LÄN</t>
        </is>
      </c>
      <c r="G2370" t="inlineStr">
        <is>
          <t>RÄTTVIK</t>
        </is>
      </c>
      <c r="I2370" t="n">
        <v>6.3</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49921-2023</t>
        </is>
      </c>
      <c r="B2371" t="inlineStr">
        <is>
          <t>avverkningsanmälan</t>
        </is>
      </c>
      <c r="C2371" t="inlineStr">
        <is>
          <t>Föryngringsavverkning</t>
        </is>
      </c>
      <c r="D2371" s="1" t="n">
        <v>45214</v>
      </c>
      <c r="E2371" s="1" t="n">
        <v>46319</v>
      </c>
      <c r="F2371" t="inlineStr">
        <is>
          <t>DALARNAS LÄN</t>
        </is>
      </c>
      <c r="G2371" t="inlineStr">
        <is>
          <t>VANSBRO</t>
        </is>
      </c>
      <c r="I2371" t="n">
        <v>1.9</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43256-2025</t>
        </is>
      </c>
      <c r="B2372" t="inlineStr">
        <is>
          <t>avverkningsanmälan</t>
        </is>
      </c>
      <c r="C2372" t="inlineStr">
        <is>
          <t>Föryngringsavverkning</t>
        </is>
      </c>
      <c r="D2372" s="1" t="n">
        <v>45910</v>
      </c>
      <c r="E2372" s="1" t="n">
        <v>46319</v>
      </c>
      <c r="F2372" t="inlineStr">
        <is>
          <t>DALARNAS LÄN</t>
        </is>
      </c>
      <c r="G2372" t="inlineStr">
        <is>
          <t>MALUNG-SÄLEN</t>
        </is>
      </c>
      <c r="H2372" t="inlineStr">
        <is>
          <t>Allmännings- och besparingsskogar</t>
        </is>
      </c>
      <c r="I2372" t="n">
        <v>17.6</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23372-2026</t>
        </is>
      </c>
      <c r="B2373" t="inlineStr">
        <is>
          <t>avverkningsanmälan</t>
        </is>
      </c>
      <c r="C2373" t="inlineStr">
        <is>
          <t>Föryngringsavverkning</t>
        </is>
      </c>
      <c r="D2373" s="1" t="n">
        <v>46162</v>
      </c>
      <c r="E2373" s="1" t="n">
        <v>46319</v>
      </c>
      <c r="F2373" t="inlineStr">
        <is>
          <t>DALARNAS LÄN</t>
        </is>
      </c>
      <c r="G2373" t="inlineStr">
        <is>
          <t>SMEDJEBACKEN</t>
        </is>
      </c>
      <c r="H2373" t="inlineStr">
        <is>
          <t>Sveaskog</t>
        </is>
      </c>
      <c r="I2373" t="n">
        <v>1.9</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23122-2026</t>
        </is>
      </c>
      <c r="B2374" t="inlineStr">
        <is>
          <t>avverkningsanmälan</t>
        </is>
      </c>
      <c r="C2374" t="inlineStr">
        <is>
          <t>Föryngringsavverkning</t>
        </is>
      </c>
      <c r="D2374" s="1" t="n">
        <v>46161</v>
      </c>
      <c r="E2374" s="1" t="n">
        <v>46319</v>
      </c>
      <c r="F2374" t="inlineStr">
        <is>
          <t>DALARNAS LÄN</t>
        </is>
      </c>
      <c r="G2374" t="inlineStr">
        <is>
          <t>MORA</t>
        </is>
      </c>
      <c r="H2374" t="inlineStr">
        <is>
          <t>Bergvik skog öst AB</t>
        </is>
      </c>
      <c r="I2374" t="n">
        <v>1.3</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10523-2023</t>
        </is>
      </c>
      <c r="B2375" t="inlineStr">
        <is>
          <t>avverkningsanmälan</t>
        </is>
      </c>
      <c r="C2375" t="inlineStr">
        <is>
          <t>Föryngringsavverkning</t>
        </is>
      </c>
      <c r="D2375" s="1" t="n">
        <v>44987</v>
      </c>
      <c r="E2375" s="1" t="n">
        <v>46319</v>
      </c>
      <c r="F2375" t="inlineStr">
        <is>
          <t>DALARNAS LÄN</t>
        </is>
      </c>
      <c r="G2375" t="inlineStr">
        <is>
          <t>FALUN</t>
        </is>
      </c>
      <c r="I2375" t="n">
        <v>1.6</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17472-2023</t>
        </is>
      </c>
      <c r="B2376" t="inlineStr">
        <is>
          <t>avverkningsanmälan</t>
        </is>
      </c>
      <c r="C2376" t="inlineStr">
        <is>
          <t>Föryngringsavverkning</t>
        </is>
      </c>
      <c r="D2376" s="1" t="n">
        <v>45034</v>
      </c>
      <c r="E2376" s="1" t="n">
        <v>46319</v>
      </c>
      <c r="F2376" t="inlineStr">
        <is>
          <t>DALARNAS LÄN</t>
        </is>
      </c>
      <c r="G2376" t="inlineStr">
        <is>
          <t>SMEDJEBACKEN</t>
        </is>
      </c>
      <c r="I2376" t="n">
        <v>1.1</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18233-2023</t>
        </is>
      </c>
      <c r="B2377" t="inlineStr">
        <is>
          <t>avverkningsanmälan</t>
        </is>
      </c>
      <c r="C2377" t="inlineStr">
        <is>
          <t>Föryngringsavverkning</t>
        </is>
      </c>
      <c r="D2377" s="1" t="n">
        <v>45041</v>
      </c>
      <c r="E2377" s="1" t="n">
        <v>46319</v>
      </c>
      <c r="F2377" t="inlineStr">
        <is>
          <t>DALARNAS LÄN</t>
        </is>
      </c>
      <c r="G2377" t="inlineStr">
        <is>
          <t>MALUNG-SÄLEN</t>
        </is>
      </c>
      <c r="H2377" t="inlineStr">
        <is>
          <t>Bergvik skog öst AB</t>
        </is>
      </c>
      <c r="I2377" t="n">
        <v>1.3</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43145-2025</t>
        </is>
      </c>
      <c r="B2378" t="inlineStr">
        <is>
          <t>avverkningsanmälan</t>
        </is>
      </c>
      <c r="C2378" t="inlineStr">
        <is>
          <t>Föryngringsavverkning</t>
        </is>
      </c>
      <c r="D2378" s="1" t="n">
        <v>45910</v>
      </c>
      <c r="E2378" s="1" t="n">
        <v>46319</v>
      </c>
      <c r="F2378" t="inlineStr">
        <is>
          <t>DALARNAS LÄN</t>
        </is>
      </c>
      <c r="G2378" t="inlineStr">
        <is>
          <t>LUDVIKA</t>
        </is>
      </c>
      <c r="H2378" t="inlineStr">
        <is>
          <t>Bergvik skog väst AB</t>
        </is>
      </c>
      <c r="I2378" t="n">
        <v>2.2</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43202-2025</t>
        </is>
      </c>
      <c r="B2379" t="inlineStr">
        <is>
          <t>avverkningsanmälan</t>
        </is>
      </c>
      <c r="C2379" t="inlineStr">
        <is>
          <t>Avverkning för annat ändamål</t>
        </is>
      </c>
      <c r="D2379" s="1" t="n">
        <v>45910</v>
      </c>
      <c r="E2379" s="1" t="n">
        <v>46319</v>
      </c>
      <c r="F2379" t="inlineStr">
        <is>
          <t>DALARNAS LÄN</t>
        </is>
      </c>
      <c r="G2379" t="inlineStr">
        <is>
          <t>FALUN</t>
        </is>
      </c>
      <c r="I2379" t="n">
        <v>0.4</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28282-2024</t>
        </is>
      </c>
      <c r="B2380" t="inlineStr">
        <is>
          <t>avverkningsanmälan</t>
        </is>
      </c>
      <c r="C2380" t="inlineStr">
        <is>
          <t>Föryngringsavverkning</t>
        </is>
      </c>
      <c r="D2380" s="1" t="n">
        <v>45477</v>
      </c>
      <c r="E2380" s="1" t="n">
        <v>46319</v>
      </c>
      <c r="F2380" t="inlineStr">
        <is>
          <t>DALARNAS LÄN</t>
        </is>
      </c>
      <c r="G2380" t="inlineStr">
        <is>
          <t>MALUNG-SÄLEN</t>
        </is>
      </c>
      <c r="I2380" t="n">
        <v>0.7</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53717-2023</t>
        </is>
      </c>
      <c r="B2381" t="inlineStr">
        <is>
          <t>avverkningsanmälan</t>
        </is>
      </c>
      <c r="C2381" t="inlineStr">
        <is>
          <t>Föryngringsavverkning</t>
        </is>
      </c>
      <c r="D2381" s="1" t="n">
        <v>45230</v>
      </c>
      <c r="E2381" s="1" t="n">
        <v>46319</v>
      </c>
      <c r="F2381" t="inlineStr">
        <is>
          <t>DALARNAS LÄN</t>
        </is>
      </c>
      <c r="G2381" t="inlineStr">
        <is>
          <t>LEKSAND</t>
        </is>
      </c>
      <c r="I2381" t="n">
        <v>2.4</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43139-2025</t>
        </is>
      </c>
      <c r="B2382" t="inlineStr">
        <is>
          <t>avverkningsanmälan</t>
        </is>
      </c>
      <c r="C2382" t="inlineStr">
        <is>
          <t>Föryngringsavverkning</t>
        </is>
      </c>
      <c r="D2382" s="1" t="n">
        <v>45909</v>
      </c>
      <c r="E2382" s="1" t="n">
        <v>46319</v>
      </c>
      <c r="F2382" t="inlineStr">
        <is>
          <t>DALARNAS LÄN</t>
        </is>
      </c>
      <c r="G2382" t="inlineStr">
        <is>
          <t>VANSBRO</t>
        </is>
      </c>
      <c r="I2382" t="n">
        <v>0.6</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43172-2025</t>
        </is>
      </c>
      <c r="B2383" t="inlineStr">
        <is>
          <t>avverkningsanmälan</t>
        </is>
      </c>
      <c r="C2383" t="inlineStr">
        <is>
          <t>Avverkning för annat ändamål</t>
        </is>
      </c>
      <c r="D2383" s="1" t="n">
        <v>45910</v>
      </c>
      <c r="E2383" s="1" t="n">
        <v>46319</v>
      </c>
      <c r="F2383" t="inlineStr">
        <is>
          <t>DALARNAS LÄN</t>
        </is>
      </c>
      <c r="G2383" t="inlineStr">
        <is>
          <t>AVESTA</t>
        </is>
      </c>
      <c r="I2383" t="n">
        <v>0.6</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12265-2026</t>
        </is>
      </c>
      <c r="B2384" t="inlineStr">
        <is>
          <t>avverkningsanmälan</t>
        </is>
      </c>
      <c r="C2384" t="inlineStr">
        <is>
          <t>Föryngringsavverkning</t>
        </is>
      </c>
      <c r="D2384" s="1" t="n">
        <v>46087</v>
      </c>
      <c r="E2384" s="1" t="n">
        <v>46319</v>
      </c>
      <c r="F2384" t="inlineStr">
        <is>
          <t>DALARNAS LÄN</t>
        </is>
      </c>
      <c r="G2384" t="inlineStr">
        <is>
          <t>SÄTER</t>
        </is>
      </c>
      <c r="H2384" t="inlineStr">
        <is>
          <t>Kommuner</t>
        </is>
      </c>
      <c r="I2384" t="n">
        <v>2</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23282-2026</t>
        </is>
      </c>
      <c r="B2385" t="inlineStr">
        <is>
          <t>avverkningsanmälan</t>
        </is>
      </c>
      <c r="C2385" t="inlineStr">
        <is>
          <t>Föryngringsavverkning</t>
        </is>
      </c>
      <c r="D2385" s="1" t="n">
        <v>46162</v>
      </c>
      <c r="E2385" s="1" t="n">
        <v>46319</v>
      </c>
      <c r="F2385" t="inlineStr">
        <is>
          <t>DALARNAS LÄN</t>
        </is>
      </c>
      <c r="G2385" t="inlineStr">
        <is>
          <t>FALUN</t>
        </is>
      </c>
      <c r="I2385" t="n">
        <v>2.1</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23374-2026</t>
        </is>
      </c>
      <c r="B2386" t="inlineStr">
        <is>
          <t>avverkningsanmälan</t>
        </is>
      </c>
      <c r="C2386" t="inlineStr">
        <is>
          <t>Avverkning för att bevara och utveckla /försöksver</t>
        </is>
      </c>
      <c r="D2386" s="1" t="n">
        <v>46162</v>
      </c>
      <c r="E2386" s="1" t="n">
        <v>46319</v>
      </c>
      <c r="F2386" t="inlineStr">
        <is>
          <t>DALARNAS LÄN</t>
        </is>
      </c>
      <c r="G2386" t="inlineStr">
        <is>
          <t>SMEDJEBACKEN</t>
        </is>
      </c>
      <c r="H2386" t="inlineStr">
        <is>
          <t>Sveaskog</t>
        </is>
      </c>
      <c r="I2386" t="n">
        <v>1.4</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29378-2023</t>
        </is>
      </c>
      <c r="B2387" t="inlineStr">
        <is>
          <t>avverkningsanmälan</t>
        </is>
      </c>
      <c r="C2387" t="inlineStr">
        <is>
          <t>Föryngringsavverkning</t>
        </is>
      </c>
      <c r="D2387" s="1" t="n">
        <v>45106</v>
      </c>
      <c r="E2387" s="1" t="n">
        <v>46319</v>
      </c>
      <c r="F2387" t="inlineStr">
        <is>
          <t>DALARNAS LÄN</t>
        </is>
      </c>
      <c r="G2387" t="inlineStr">
        <is>
          <t>MALUNG-SÄLEN</t>
        </is>
      </c>
      <c r="I2387" t="n">
        <v>1.5</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55671-2024</t>
        </is>
      </c>
      <c r="B2388" t="inlineStr">
        <is>
          <t>avverkningsanmälan</t>
        </is>
      </c>
      <c r="C2388" t="inlineStr">
        <is>
          <t>Föryngringsavverkning</t>
        </is>
      </c>
      <c r="D2388" s="1" t="n">
        <v>45622</v>
      </c>
      <c r="E2388" s="1" t="n">
        <v>46319</v>
      </c>
      <c r="F2388" t="inlineStr">
        <is>
          <t>DALARNAS LÄN</t>
        </is>
      </c>
      <c r="G2388" t="inlineStr">
        <is>
          <t>MORA</t>
        </is>
      </c>
      <c r="I2388" t="n">
        <v>1.2</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43345-2025</t>
        </is>
      </c>
      <c r="B2389" t="inlineStr">
        <is>
          <t>avverkningsanmälan</t>
        </is>
      </c>
      <c r="C2389" t="inlineStr">
        <is>
          <t>Föryngringsavverkning</t>
        </is>
      </c>
      <c r="D2389" s="1" t="n">
        <v>45910</v>
      </c>
      <c r="E2389" s="1" t="n">
        <v>46319</v>
      </c>
      <c r="F2389" t="inlineStr">
        <is>
          <t>DALARNAS LÄN</t>
        </is>
      </c>
      <c r="G2389" t="inlineStr">
        <is>
          <t>LUDVIKA</t>
        </is>
      </c>
      <c r="I2389" t="n">
        <v>4.6</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43474-2025</t>
        </is>
      </c>
      <c r="B2390" t="inlineStr">
        <is>
          <t>avverkningsanmälan</t>
        </is>
      </c>
      <c r="C2390" t="inlineStr">
        <is>
          <t>Föryngringsavverkning</t>
        </is>
      </c>
      <c r="D2390" s="1" t="n">
        <v>45911</v>
      </c>
      <c r="E2390" s="1" t="n">
        <v>46319</v>
      </c>
      <c r="F2390" t="inlineStr">
        <is>
          <t>DALARNAS LÄN</t>
        </is>
      </c>
      <c r="G2390" t="inlineStr">
        <is>
          <t>MORA</t>
        </is>
      </c>
      <c r="I2390" t="n">
        <v>1.8</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43479-2025</t>
        </is>
      </c>
      <c r="B2391" t="inlineStr">
        <is>
          <t>avverkningsanmälan</t>
        </is>
      </c>
      <c r="C2391" t="inlineStr">
        <is>
          <t>Föryngringsavverkning</t>
        </is>
      </c>
      <c r="D2391" s="1" t="n">
        <v>45911</v>
      </c>
      <c r="E2391" s="1" t="n">
        <v>46319</v>
      </c>
      <c r="F2391" t="inlineStr">
        <is>
          <t>DALARNAS LÄN</t>
        </is>
      </c>
      <c r="G2391" t="inlineStr">
        <is>
          <t>LUDVIKA</t>
        </is>
      </c>
      <c r="H2391" t="inlineStr">
        <is>
          <t>Bergvik skog väst AB</t>
        </is>
      </c>
      <c r="I2391" t="n">
        <v>3.3</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43545-2025</t>
        </is>
      </c>
      <c r="B2392" t="inlineStr">
        <is>
          <t>avverkningsanmälan</t>
        </is>
      </c>
      <c r="C2392" t="inlineStr">
        <is>
          <t>Föryngringsavverkning</t>
        </is>
      </c>
      <c r="D2392" s="1" t="n">
        <v>45911</v>
      </c>
      <c r="E2392" s="1" t="n">
        <v>46319</v>
      </c>
      <c r="F2392" t="inlineStr">
        <is>
          <t>DALARNAS LÄN</t>
        </is>
      </c>
      <c r="G2392" t="inlineStr">
        <is>
          <t>FALUN</t>
        </is>
      </c>
      <c r="H2392" t="inlineStr">
        <is>
          <t>Bergvik skog väst AB</t>
        </is>
      </c>
      <c r="I2392" t="n">
        <v>1.8</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23227-2026</t>
        </is>
      </c>
      <c r="B2393" t="inlineStr">
        <is>
          <t>avverkningsanmälan</t>
        </is>
      </c>
      <c r="C2393" t="inlineStr">
        <is>
          <t>Föryngringsavverkning</t>
        </is>
      </c>
      <c r="D2393" s="1" t="n">
        <v>46162</v>
      </c>
      <c r="E2393" s="1" t="n">
        <v>46319</v>
      </c>
      <c r="F2393" t="inlineStr">
        <is>
          <t>DALARNAS LÄN</t>
        </is>
      </c>
      <c r="G2393" t="inlineStr">
        <is>
          <t>FALUN</t>
        </is>
      </c>
      <c r="H2393" t="inlineStr">
        <is>
          <t>Bergvik skog väst AB</t>
        </is>
      </c>
      <c r="I2393" t="n">
        <v>1</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23210-2026</t>
        </is>
      </c>
      <c r="B2394" t="inlineStr">
        <is>
          <t>avverkningsanmälan</t>
        </is>
      </c>
      <c r="C2394" t="inlineStr">
        <is>
          <t>Föryngringsavverkning</t>
        </is>
      </c>
      <c r="D2394" s="1" t="n">
        <v>46162</v>
      </c>
      <c r="E2394" s="1" t="n">
        <v>46319</v>
      </c>
      <c r="F2394" t="inlineStr">
        <is>
          <t>DALARNAS LÄN</t>
        </is>
      </c>
      <c r="G2394" t="inlineStr">
        <is>
          <t>FALUN</t>
        </is>
      </c>
      <c r="I2394" t="n">
        <v>0.8</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43830-2025</t>
        </is>
      </c>
      <c r="B2395" t="inlineStr">
        <is>
          <t>avverkningsanmälan</t>
        </is>
      </c>
      <c r="C2395" t="inlineStr">
        <is>
          <t>Föryngringsavverkning</t>
        </is>
      </c>
      <c r="D2395" s="1" t="n">
        <v>45912</v>
      </c>
      <c r="E2395" s="1" t="n">
        <v>46319</v>
      </c>
      <c r="F2395" t="inlineStr">
        <is>
          <t>DALARNAS LÄN</t>
        </is>
      </c>
      <c r="G2395" t="inlineStr">
        <is>
          <t>LEKSAND</t>
        </is>
      </c>
      <c r="H2395" t="inlineStr">
        <is>
          <t>Bergvik skog väst AB</t>
        </is>
      </c>
      <c r="I2395" t="n">
        <v>3.1</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55268-2024</t>
        </is>
      </c>
      <c r="B2396" t="inlineStr">
        <is>
          <t>avverkningsanmälan</t>
        </is>
      </c>
      <c r="C2396" t="inlineStr">
        <is>
          <t>Föryngringsavverkning</t>
        </is>
      </c>
      <c r="D2396" s="1" t="n">
        <v>45621</v>
      </c>
      <c r="E2396" s="1" t="n">
        <v>46319</v>
      </c>
      <c r="F2396" t="inlineStr">
        <is>
          <t>DALARNAS LÄN</t>
        </is>
      </c>
      <c r="G2396" t="inlineStr">
        <is>
          <t>LEKSAND</t>
        </is>
      </c>
      <c r="I2396" t="n">
        <v>4.2</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43630-2025</t>
        </is>
      </c>
      <c r="B2397" t="inlineStr">
        <is>
          <t>avverkningsanmälan</t>
        </is>
      </c>
      <c r="C2397" t="inlineStr">
        <is>
          <t>Föryngringsavverkning</t>
        </is>
      </c>
      <c r="D2397" s="1" t="n">
        <v>45911</v>
      </c>
      <c r="E2397" s="1" t="n">
        <v>46319</v>
      </c>
      <c r="F2397" t="inlineStr">
        <is>
          <t>DALARNAS LÄN</t>
        </is>
      </c>
      <c r="G2397" t="inlineStr">
        <is>
          <t>LEKSAND</t>
        </is>
      </c>
      <c r="I2397" t="n">
        <v>4.7</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43470-2024</t>
        </is>
      </c>
      <c r="B2398" t="inlineStr">
        <is>
          <t>avverkningsanmälan</t>
        </is>
      </c>
      <c r="C2398" t="inlineStr">
        <is>
          <t>Föryngringsavverkning</t>
        </is>
      </c>
      <c r="D2398" s="1" t="n">
        <v>45568</v>
      </c>
      <c r="E2398" s="1" t="n">
        <v>46319</v>
      </c>
      <c r="F2398" t="inlineStr">
        <is>
          <t>DALARNAS LÄN</t>
        </is>
      </c>
      <c r="G2398" t="inlineStr">
        <is>
          <t>LEKSAND</t>
        </is>
      </c>
      <c r="I2398" t="n">
        <v>3.1</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29449-2023</t>
        </is>
      </c>
      <c r="B2399" t="inlineStr">
        <is>
          <t>avverkningsanmälan</t>
        </is>
      </c>
      <c r="C2399" t="inlineStr">
        <is>
          <t>Föryngringsavverkning</t>
        </is>
      </c>
      <c r="D2399" s="1" t="n">
        <v>45106</v>
      </c>
      <c r="E2399" s="1" t="n">
        <v>46319</v>
      </c>
      <c r="F2399" t="inlineStr">
        <is>
          <t>DALARNAS LÄN</t>
        </is>
      </c>
      <c r="G2399" t="inlineStr">
        <is>
          <t>SMEDJEBACKEN</t>
        </is>
      </c>
      <c r="H2399" t="inlineStr">
        <is>
          <t>Sveaskog</t>
        </is>
      </c>
      <c r="I2399" t="n">
        <v>1.1</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43693-2025</t>
        </is>
      </c>
      <c r="B2400" t="inlineStr">
        <is>
          <t>avverkningsanmälan</t>
        </is>
      </c>
      <c r="C2400" t="inlineStr">
        <is>
          <t>Föryngringsavverkning</t>
        </is>
      </c>
      <c r="D2400" s="1" t="n">
        <v>45912</v>
      </c>
      <c r="E2400" s="1" t="n">
        <v>46319</v>
      </c>
      <c r="F2400" t="inlineStr">
        <is>
          <t>DALARNAS LÄN</t>
        </is>
      </c>
      <c r="G2400" t="inlineStr">
        <is>
          <t>MALUNG-SÄLEN</t>
        </is>
      </c>
      <c r="H2400" t="inlineStr">
        <is>
          <t>Bergvik skog öst AB</t>
        </is>
      </c>
      <c r="I2400" t="n">
        <v>5.6</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43508-2025</t>
        </is>
      </c>
      <c r="B2401" t="inlineStr">
        <is>
          <t>avverkningsanmälan</t>
        </is>
      </c>
      <c r="C2401" t="inlineStr">
        <is>
          <t>Föryngringsavverkning</t>
        </is>
      </c>
      <c r="D2401" s="1" t="n">
        <v>45911</v>
      </c>
      <c r="E2401" s="1" t="n">
        <v>46319</v>
      </c>
      <c r="F2401" t="inlineStr">
        <is>
          <t>DALARNAS LÄN</t>
        </is>
      </c>
      <c r="G2401" t="inlineStr">
        <is>
          <t>FALUN</t>
        </is>
      </c>
      <c r="H2401" t="inlineStr">
        <is>
          <t>Bergvik skog väst AB</t>
        </is>
      </c>
      <c r="I2401" t="n">
        <v>8.300000000000001</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43514-2025</t>
        </is>
      </c>
      <c r="B2402" t="inlineStr">
        <is>
          <t>avverkningsanmälan</t>
        </is>
      </c>
      <c r="C2402" t="inlineStr">
        <is>
          <t>Föryngringsavverkning</t>
        </is>
      </c>
      <c r="D2402" s="1" t="n">
        <v>45911</v>
      </c>
      <c r="E2402" s="1" t="n">
        <v>46319</v>
      </c>
      <c r="F2402" t="inlineStr">
        <is>
          <t>DALARNAS LÄN</t>
        </is>
      </c>
      <c r="G2402" t="inlineStr">
        <is>
          <t>ÄLVDALEN</t>
        </is>
      </c>
      <c r="H2402" t="inlineStr">
        <is>
          <t>Allmännings- och besparingsskogar</t>
        </is>
      </c>
      <c r="I2402" t="n">
        <v>1.3</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43576-2025</t>
        </is>
      </c>
      <c r="B2403" t="inlineStr">
        <is>
          <t>avverkningsanmälan</t>
        </is>
      </c>
      <c r="C2403" t="inlineStr">
        <is>
          <t>Föryngringsavverkning</t>
        </is>
      </c>
      <c r="D2403" s="1" t="n">
        <v>45911</v>
      </c>
      <c r="E2403" s="1" t="n">
        <v>46319</v>
      </c>
      <c r="F2403" t="inlineStr">
        <is>
          <t>DALARNAS LÄN</t>
        </is>
      </c>
      <c r="G2403" t="inlineStr">
        <is>
          <t>FALUN</t>
        </is>
      </c>
      <c r="H2403" t="inlineStr">
        <is>
          <t>Bergvik skog väst AB</t>
        </is>
      </c>
      <c r="I2403" t="n">
        <v>0.9</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43585-2025</t>
        </is>
      </c>
      <c r="B2404" t="inlineStr">
        <is>
          <t>avverkningsanmälan</t>
        </is>
      </c>
      <c r="C2404" t="inlineStr">
        <is>
          <t>Föryngringsavverkning</t>
        </is>
      </c>
      <c r="D2404" s="1" t="n">
        <v>45911</v>
      </c>
      <c r="E2404" s="1" t="n">
        <v>46319</v>
      </c>
      <c r="F2404" t="inlineStr">
        <is>
          <t>DALARNAS LÄN</t>
        </is>
      </c>
      <c r="G2404" t="inlineStr">
        <is>
          <t>ÄLVDALEN</t>
        </is>
      </c>
      <c r="I2404" t="n">
        <v>2.8</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64581-2021</t>
        </is>
      </c>
      <c r="B2405" t="inlineStr">
        <is>
          <t>avverkningsanmälan</t>
        </is>
      </c>
      <c r="C2405" t="inlineStr">
        <is>
          <t>Föryngringsavverkning</t>
        </is>
      </c>
      <c r="D2405" s="1" t="n">
        <v>44511</v>
      </c>
      <c r="E2405" s="1" t="n">
        <v>46319</v>
      </c>
      <c r="F2405" t="inlineStr">
        <is>
          <t>DALARNAS LÄN</t>
        </is>
      </c>
      <c r="G2405" t="inlineStr">
        <is>
          <t>MALUNG-SÄLEN</t>
        </is>
      </c>
      <c r="I2405" t="n">
        <v>0.4</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43629-2025</t>
        </is>
      </c>
      <c r="B2406" t="inlineStr">
        <is>
          <t>avverkningsanmälan</t>
        </is>
      </c>
      <c r="C2406" t="inlineStr">
        <is>
          <t>Föryngringsavverkning</t>
        </is>
      </c>
      <c r="D2406" s="1" t="n">
        <v>45911</v>
      </c>
      <c r="E2406" s="1" t="n">
        <v>46319</v>
      </c>
      <c r="F2406" t="inlineStr">
        <is>
          <t>DALARNAS LÄN</t>
        </is>
      </c>
      <c r="G2406" t="inlineStr">
        <is>
          <t>LEKSAND</t>
        </is>
      </c>
      <c r="I2406" t="n">
        <v>2.1</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43473-2025</t>
        </is>
      </c>
      <c r="B2407" t="inlineStr">
        <is>
          <t>avverkningsanmälan</t>
        </is>
      </c>
      <c r="C2407" t="inlineStr">
        <is>
          <t>Föryngringsavverkning</t>
        </is>
      </c>
      <c r="D2407" s="1" t="n">
        <v>45911</v>
      </c>
      <c r="E2407" s="1" t="n">
        <v>46319</v>
      </c>
      <c r="F2407" t="inlineStr">
        <is>
          <t>DALARNAS LÄN</t>
        </is>
      </c>
      <c r="G2407" t="inlineStr">
        <is>
          <t>LUDVIKA</t>
        </is>
      </c>
      <c r="H2407" t="inlineStr">
        <is>
          <t>Bergvik skog väst AB</t>
        </is>
      </c>
      <c r="I2407" t="n">
        <v>1.4</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43589-2025</t>
        </is>
      </c>
      <c r="B2408" t="inlineStr">
        <is>
          <t>avverkningsanmälan</t>
        </is>
      </c>
      <c r="C2408" t="inlineStr">
        <is>
          <t>Föryngringsavverkning</t>
        </is>
      </c>
      <c r="D2408" s="1" t="n">
        <v>45911</v>
      </c>
      <c r="E2408" s="1" t="n">
        <v>46319</v>
      </c>
      <c r="F2408" t="inlineStr">
        <is>
          <t>DALARNAS LÄN</t>
        </is>
      </c>
      <c r="G2408" t="inlineStr">
        <is>
          <t>MALUNG-SÄLEN</t>
        </is>
      </c>
      <c r="I2408" t="n">
        <v>1.3</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23044-2026</t>
        </is>
      </c>
      <c r="B2409" t="inlineStr">
        <is>
          <t>avverkningsanmälan</t>
        </is>
      </c>
      <c r="C2409" t="inlineStr">
        <is>
          <t>Föryngringsavverkning</t>
        </is>
      </c>
      <c r="D2409" s="1" t="n">
        <v>46161</v>
      </c>
      <c r="E2409" s="1" t="n">
        <v>46319</v>
      </c>
      <c r="F2409" t="inlineStr">
        <is>
          <t>DALARNAS LÄN</t>
        </is>
      </c>
      <c r="G2409" t="inlineStr">
        <is>
          <t>FALUN</t>
        </is>
      </c>
      <c r="I2409" t="n">
        <v>0.9</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57205-2023</t>
        </is>
      </c>
      <c r="B2410" t="inlineStr">
        <is>
          <t>avverkningsanmälan</t>
        </is>
      </c>
      <c r="C2410" t="inlineStr">
        <is>
          <t>Föryngringsavverkning</t>
        </is>
      </c>
      <c r="D2410" s="1" t="n">
        <v>45245</v>
      </c>
      <c r="E2410" s="1" t="n">
        <v>46319</v>
      </c>
      <c r="F2410" t="inlineStr">
        <is>
          <t>DALARNAS LÄN</t>
        </is>
      </c>
      <c r="G2410" t="inlineStr">
        <is>
          <t>RÄTTVIK</t>
        </is>
      </c>
      <c r="I2410" t="n">
        <v>1.9</v>
      </c>
      <c r="J2410" t="n">
        <v>0</v>
      </c>
      <c r="K2410" t="n">
        <v>0</v>
      </c>
      <c r="L2410" t="n">
        <v>0</v>
      </c>
      <c r="M2410" t="n">
        <v>0</v>
      </c>
      <c r="N2410" t="n">
        <v>0</v>
      </c>
      <c r="O2410" t="n">
        <v>0</v>
      </c>
      <c r="P2410" t="n">
        <v>0</v>
      </c>
      <c r="Q2410" t="n">
        <v>0</v>
      </c>
      <c r="R2410" t="n">
        <v>0</v>
      </c>
      <c r="S2410" t="n">
        <v>0</v>
      </c>
      <c r="T2410" t="n">
        <v>0</v>
      </c>
      <c r="U2410" t="n">
        <v>0</v>
      </c>
      <c r="V2410" s="2" t="inlineStr"/>
    </row>
    <row r="2411" ht="15" customHeight="1">
      <c r="A2411" t="inlineStr">
        <is>
          <t>A 59050-2022</t>
        </is>
      </c>
      <c r="B2411" t="inlineStr">
        <is>
          <t>avverkningsanmälan</t>
        </is>
      </c>
      <c r="C2411" t="inlineStr">
        <is>
          <t>Avverkning för annat ändamål</t>
        </is>
      </c>
      <c r="D2411" s="1" t="n">
        <v>44903</v>
      </c>
      <c r="E2411" s="1" t="n">
        <v>46319</v>
      </c>
      <c r="F2411" t="inlineStr">
        <is>
          <t>DALARNAS LÄN</t>
        </is>
      </c>
      <c r="G2411" t="inlineStr">
        <is>
          <t>LUDVIKA</t>
        </is>
      </c>
      <c r="I2411" t="n">
        <v>2.8</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43781-2025</t>
        </is>
      </c>
      <c r="B2412" t="inlineStr">
        <is>
          <t>avverkningsanmälan</t>
        </is>
      </c>
      <c r="C2412" t="inlineStr">
        <is>
          <t>Föryngringsavverkning</t>
        </is>
      </c>
      <c r="D2412" s="1" t="n">
        <v>45912</v>
      </c>
      <c r="E2412" s="1" t="n">
        <v>46319</v>
      </c>
      <c r="F2412" t="inlineStr">
        <is>
          <t>DALARNAS LÄN</t>
        </is>
      </c>
      <c r="G2412" t="inlineStr">
        <is>
          <t>LEKSAND</t>
        </is>
      </c>
      <c r="I2412" t="n">
        <v>1.5</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43564-2025</t>
        </is>
      </c>
      <c r="B2413" t="inlineStr">
        <is>
          <t>avverkningsanmälan</t>
        </is>
      </c>
      <c r="C2413" t="inlineStr">
        <is>
          <t>Avverkning för annat ändamål</t>
        </is>
      </c>
      <c r="D2413" s="1" t="n">
        <v>45911</v>
      </c>
      <c r="E2413" s="1" t="n">
        <v>46319</v>
      </c>
      <c r="F2413" t="inlineStr">
        <is>
          <t>DALARNAS LÄN</t>
        </is>
      </c>
      <c r="G2413" t="inlineStr">
        <is>
          <t>GAGNEF</t>
        </is>
      </c>
      <c r="I2413" t="n">
        <v>1.1</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3951-2023</t>
        </is>
      </c>
      <c r="B2414" t="inlineStr">
        <is>
          <t>avverkningsanmälan</t>
        </is>
      </c>
      <c r="C2414" t="inlineStr">
        <is>
          <t>Föryngringsavverkning</t>
        </is>
      </c>
      <c r="D2414" s="1" t="n">
        <v>44952</v>
      </c>
      <c r="E2414" s="1" t="n">
        <v>46319</v>
      </c>
      <c r="F2414" t="inlineStr">
        <is>
          <t>DALARNAS LÄN</t>
        </is>
      </c>
      <c r="G2414" t="inlineStr">
        <is>
          <t>ORSA</t>
        </is>
      </c>
      <c r="I2414" t="n">
        <v>0.8</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43875-2025</t>
        </is>
      </c>
      <c r="B2415" t="inlineStr">
        <is>
          <t>avverkningsanmälan</t>
        </is>
      </c>
      <c r="C2415" t="inlineStr">
        <is>
          <t>Föryngringsavverkning</t>
        </is>
      </c>
      <c r="D2415" s="1" t="n">
        <v>45912</v>
      </c>
      <c r="E2415" s="1" t="n">
        <v>46319</v>
      </c>
      <c r="F2415" t="inlineStr">
        <is>
          <t>DALARNAS LÄN</t>
        </is>
      </c>
      <c r="G2415" t="inlineStr">
        <is>
          <t>LEKSAND</t>
        </is>
      </c>
      <c r="I2415" t="n">
        <v>1.7</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43449-2025</t>
        </is>
      </c>
      <c r="B2416" t="inlineStr">
        <is>
          <t>avverkningsanmälan</t>
        </is>
      </c>
      <c r="C2416" t="inlineStr">
        <is>
          <t>Föryngringsavverkning</t>
        </is>
      </c>
      <c r="D2416" s="1" t="n">
        <v>45911</v>
      </c>
      <c r="E2416" s="1" t="n">
        <v>46319</v>
      </c>
      <c r="F2416" t="inlineStr">
        <is>
          <t>DALARNAS LÄN</t>
        </is>
      </c>
      <c r="G2416" t="inlineStr">
        <is>
          <t>LUDVIKA</t>
        </is>
      </c>
      <c r="H2416" t="inlineStr">
        <is>
          <t>Bergvik skog väst AB</t>
        </is>
      </c>
      <c r="I2416" t="n">
        <v>6.2</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23058-2026</t>
        </is>
      </c>
      <c r="B2417" t="inlineStr">
        <is>
          <t>avverkningsanmälan</t>
        </is>
      </c>
      <c r="C2417" t="inlineStr">
        <is>
          <t>Föryngringsavverkning</t>
        </is>
      </c>
      <c r="D2417" s="1" t="n">
        <v>46161</v>
      </c>
      <c r="E2417" s="1" t="n">
        <v>46319</v>
      </c>
      <c r="F2417" t="inlineStr">
        <is>
          <t>DALARNAS LÄN</t>
        </is>
      </c>
      <c r="G2417" t="inlineStr">
        <is>
          <t>ORSA</t>
        </is>
      </c>
      <c r="I2417" t="n">
        <v>0.9</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43856-2025</t>
        </is>
      </c>
      <c r="B2418" t="inlineStr">
        <is>
          <t>avverkningsanmälan</t>
        </is>
      </c>
      <c r="C2418" t="inlineStr">
        <is>
          <t>Föryngringsavverkning</t>
        </is>
      </c>
      <c r="D2418" s="1" t="n">
        <v>45912</v>
      </c>
      <c r="E2418" s="1" t="n">
        <v>46319</v>
      </c>
      <c r="F2418" t="inlineStr">
        <is>
          <t>DALARNAS LÄN</t>
        </is>
      </c>
      <c r="G2418" t="inlineStr">
        <is>
          <t>FALUN</t>
        </is>
      </c>
      <c r="I2418" t="n">
        <v>2.1</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34925-2024</t>
        </is>
      </c>
      <c r="B2419" t="inlineStr">
        <is>
          <t>avverkningsanmälan</t>
        </is>
      </c>
      <c r="C2419" t="inlineStr">
        <is>
          <t>Föryngringsavverkning</t>
        </is>
      </c>
      <c r="D2419" s="1" t="n">
        <v>45527</v>
      </c>
      <c r="E2419" s="1" t="n">
        <v>46319</v>
      </c>
      <c r="F2419" t="inlineStr">
        <is>
          <t>DALARNAS LÄN</t>
        </is>
      </c>
      <c r="G2419" t="inlineStr">
        <is>
          <t>AVESTA</t>
        </is>
      </c>
      <c r="I2419" t="n">
        <v>1.1</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43348-2025</t>
        </is>
      </c>
      <c r="B2420" t="inlineStr">
        <is>
          <t>avverkningsanmälan</t>
        </is>
      </c>
      <c r="C2420" t="inlineStr">
        <is>
          <t>Föryngringsavverkning</t>
        </is>
      </c>
      <c r="D2420" s="1" t="n">
        <v>45910</v>
      </c>
      <c r="E2420" s="1" t="n">
        <v>46319</v>
      </c>
      <c r="F2420" t="inlineStr">
        <is>
          <t>DALARNAS LÄN</t>
        </is>
      </c>
      <c r="G2420" t="inlineStr">
        <is>
          <t>LUDVIKA</t>
        </is>
      </c>
      <c r="I2420" t="n">
        <v>4.3</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43361-2025</t>
        </is>
      </c>
      <c r="B2421" t="inlineStr">
        <is>
          <t>avverkningsanmälan</t>
        </is>
      </c>
      <c r="C2421" t="inlineStr">
        <is>
          <t>Föryngringsavverkning</t>
        </is>
      </c>
      <c r="D2421" s="1" t="n">
        <v>45911</v>
      </c>
      <c r="E2421" s="1" t="n">
        <v>46319</v>
      </c>
      <c r="F2421" t="inlineStr">
        <is>
          <t>DALARNAS LÄN</t>
        </is>
      </c>
      <c r="G2421" t="inlineStr">
        <is>
          <t>AVESTA</t>
        </is>
      </c>
      <c r="I2421" t="n">
        <v>2.3</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43811-2025</t>
        </is>
      </c>
      <c r="B2422" t="inlineStr">
        <is>
          <t>avverkningsanmälan</t>
        </is>
      </c>
      <c r="C2422" t="inlineStr">
        <is>
          <t>Föryngringsavverkning</t>
        </is>
      </c>
      <c r="D2422" s="1" t="n">
        <v>45912</v>
      </c>
      <c r="E2422" s="1" t="n">
        <v>46319</v>
      </c>
      <c r="F2422" t="inlineStr">
        <is>
          <t>DALARNAS LÄN</t>
        </is>
      </c>
      <c r="G2422" t="inlineStr">
        <is>
          <t>MORA</t>
        </is>
      </c>
      <c r="I2422" t="n">
        <v>1</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57185-2023</t>
        </is>
      </c>
      <c r="B2423" t="inlineStr">
        <is>
          <t>avverkningsanmälan</t>
        </is>
      </c>
      <c r="C2423" t="inlineStr">
        <is>
          <t>Föryngringsavverkning</t>
        </is>
      </c>
      <c r="D2423" s="1" t="n">
        <v>45245</v>
      </c>
      <c r="E2423" s="1" t="n">
        <v>46319</v>
      </c>
      <c r="F2423" t="inlineStr">
        <is>
          <t>DALARNAS LÄN</t>
        </is>
      </c>
      <c r="G2423" t="inlineStr">
        <is>
          <t>RÄTTVIK</t>
        </is>
      </c>
      <c r="I2423" t="n">
        <v>1.1</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28275-2023</t>
        </is>
      </c>
      <c r="B2424" t="inlineStr">
        <is>
          <t>avverkningsanmälan</t>
        </is>
      </c>
      <c r="C2424" t="inlineStr">
        <is>
          <t>Avverkning för annat ändamål</t>
        </is>
      </c>
      <c r="D2424" s="1" t="n">
        <v>45099</v>
      </c>
      <c r="E2424" s="1" t="n">
        <v>46319</v>
      </c>
      <c r="F2424" t="inlineStr">
        <is>
          <t>DALARNAS LÄN</t>
        </is>
      </c>
      <c r="G2424" t="inlineStr">
        <is>
          <t>FALUN</t>
        </is>
      </c>
      <c r="I2424" t="n">
        <v>0.5</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43851-2025</t>
        </is>
      </c>
      <c r="B2425" t="inlineStr">
        <is>
          <t>avverkningsanmälan</t>
        </is>
      </c>
      <c r="C2425" t="inlineStr">
        <is>
          <t>Föryngringsavverkning</t>
        </is>
      </c>
      <c r="D2425" s="1" t="n">
        <v>45912</v>
      </c>
      <c r="E2425" s="1" t="n">
        <v>46319</v>
      </c>
      <c r="F2425" t="inlineStr">
        <is>
          <t>DALARNAS LÄN</t>
        </is>
      </c>
      <c r="G2425" t="inlineStr">
        <is>
          <t>MALUNG-SÄLEN</t>
        </is>
      </c>
      <c r="I2425" t="n">
        <v>3</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23200-2025</t>
        </is>
      </c>
      <c r="B2426" t="inlineStr">
        <is>
          <t>avverkningsanmälan</t>
        </is>
      </c>
      <c r="C2426" t="inlineStr">
        <is>
          <t>Föryngringsavverkning</t>
        </is>
      </c>
      <c r="D2426" s="1" t="n">
        <v>45791</v>
      </c>
      <c r="E2426" s="1" t="n">
        <v>46319</v>
      </c>
      <c r="F2426" t="inlineStr">
        <is>
          <t>DALARNAS LÄN</t>
        </is>
      </c>
      <c r="G2426" t="inlineStr">
        <is>
          <t>AVESTA</t>
        </is>
      </c>
      <c r="I2426" t="n">
        <v>1.8</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43553-2025</t>
        </is>
      </c>
      <c r="B2427" t="inlineStr">
        <is>
          <t>avverkningsanmälan</t>
        </is>
      </c>
      <c r="C2427" t="inlineStr">
        <is>
          <t>Föryngringsavverkning</t>
        </is>
      </c>
      <c r="D2427" s="1" t="n">
        <v>45911</v>
      </c>
      <c r="E2427" s="1" t="n">
        <v>46319</v>
      </c>
      <c r="F2427" t="inlineStr">
        <is>
          <t>DALARNAS LÄN</t>
        </is>
      </c>
      <c r="G2427" t="inlineStr">
        <is>
          <t>SÄTER</t>
        </is>
      </c>
      <c r="H2427" t="inlineStr">
        <is>
          <t>Bergvik skog väst AB</t>
        </is>
      </c>
      <c r="I2427" t="n">
        <v>1.4</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5622-2023</t>
        </is>
      </c>
      <c r="B2428" t="inlineStr">
        <is>
          <t>avverkningsanmälan</t>
        </is>
      </c>
      <c r="C2428" t="inlineStr">
        <is>
          <t>Föryngringsavverkning</t>
        </is>
      </c>
      <c r="D2428" s="1" t="n">
        <v>44960</v>
      </c>
      <c r="E2428" s="1" t="n">
        <v>46319</v>
      </c>
      <c r="F2428" t="inlineStr">
        <is>
          <t>DALARNAS LÄN</t>
        </is>
      </c>
      <c r="G2428" t="inlineStr">
        <is>
          <t>RÄTTVIK</t>
        </is>
      </c>
      <c r="I2428" t="n">
        <v>3.1</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23156-2026</t>
        </is>
      </c>
      <c r="B2429" t="inlineStr">
        <is>
          <t>avverkningsanmälan</t>
        </is>
      </c>
      <c r="C2429" t="inlineStr">
        <is>
          <t>Föryngringsavverkning</t>
        </is>
      </c>
      <c r="D2429" s="1" t="n">
        <v>46161</v>
      </c>
      <c r="E2429" s="1" t="n">
        <v>46319</v>
      </c>
      <c r="F2429" t="inlineStr">
        <is>
          <t>DALARNAS LÄN</t>
        </is>
      </c>
      <c r="G2429" t="inlineStr">
        <is>
          <t>FALUN</t>
        </is>
      </c>
      <c r="H2429" t="inlineStr">
        <is>
          <t>Bergvik skog väst AB</t>
        </is>
      </c>
      <c r="I2429" t="n">
        <v>8.1</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23158-2026</t>
        </is>
      </c>
      <c r="B2430" t="inlineStr">
        <is>
          <t>avverkningsanmälan</t>
        </is>
      </c>
      <c r="C2430" t="inlineStr">
        <is>
          <t>Föryngringsavverkning</t>
        </is>
      </c>
      <c r="D2430" s="1" t="n">
        <v>46161</v>
      </c>
      <c r="E2430" s="1" t="n">
        <v>46319</v>
      </c>
      <c r="F2430" t="inlineStr">
        <is>
          <t>DALARNAS LÄN</t>
        </is>
      </c>
      <c r="G2430" t="inlineStr">
        <is>
          <t>FALUN</t>
        </is>
      </c>
      <c r="H2430" t="inlineStr">
        <is>
          <t>Bergvik skog väst AB</t>
        </is>
      </c>
      <c r="I2430" t="n">
        <v>1.2</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23159-2026</t>
        </is>
      </c>
      <c r="B2431" t="inlineStr">
        <is>
          <t>avverkningsanmälan</t>
        </is>
      </c>
      <c r="C2431" t="inlineStr">
        <is>
          <t>Föryngringsavverkning</t>
        </is>
      </c>
      <c r="D2431" s="1" t="n">
        <v>46161</v>
      </c>
      <c r="E2431" s="1" t="n">
        <v>46319</v>
      </c>
      <c r="F2431" t="inlineStr">
        <is>
          <t>DALARNAS LÄN</t>
        </is>
      </c>
      <c r="G2431" t="inlineStr">
        <is>
          <t>FALUN</t>
        </is>
      </c>
      <c r="H2431" t="inlineStr">
        <is>
          <t>Bergvik skog väst AB</t>
        </is>
      </c>
      <c r="I2431" t="n">
        <v>2.9</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55379-2022</t>
        </is>
      </c>
      <c r="B2432" t="inlineStr">
        <is>
          <t>avverkningsanmälan</t>
        </is>
      </c>
      <c r="C2432" t="inlineStr">
        <is>
          <t>Föryngringsavverkning</t>
        </is>
      </c>
      <c r="D2432" s="1" t="n">
        <v>44882</v>
      </c>
      <c r="E2432" s="1" t="n">
        <v>46319</v>
      </c>
      <c r="F2432" t="inlineStr">
        <is>
          <t>DALARNAS LÄN</t>
        </is>
      </c>
      <c r="G2432" t="inlineStr">
        <is>
          <t>RÄTTVIK</t>
        </is>
      </c>
      <c r="I2432" t="n">
        <v>1</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43628-2025</t>
        </is>
      </c>
      <c r="B2433" t="inlineStr">
        <is>
          <t>avverkningsanmälan</t>
        </is>
      </c>
      <c r="C2433" t="inlineStr">
        <is>
          <t>Föryngringsavverkning</t>
        </is>
      </c>
      <c r="D2433" s="1" t="n">
        <v>45911</v>
      </c>
      <c r="E2433" s="1" t="n">
        <v>46319</v>
      </c>
      <c r="F2433" t="inlineStr">
        <is>
          <t>DALARNAS LÄN</t>
        </is>
      </c>
      <c r="G2433" t="inlineStr">
        <is>
          <t>LEKSAND</t>
        </is>
      </c>
      <c r="I2433" t="n">
        <v>1.4</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6747-2026</t>
        </is>
      </c>
      <c r="B2434" t="inlineStr">
        <is>
          <t>avverkningsanmälan</t>
        </is>
      </c>
      <c r="C2434" t="inlineStr">
        <is>
          <t>Föryngringsavverkning</t>
        </is>
      </c>
      <c r="D2434" s="1" t="n">
        <v>46056</v>
      </c>
      <c r="E2434" s="1" t="n">
        <v>46319</v>
      </c>
      <c r="F2434" t="inlineStr">
        <is>
          <t>DALARNAS LÄN</t>
        </is>
      </c>
      <c r="G2434" t="inlineStr">
        <is>
          <t>FALUN</t>
        </is>
      </c>
      <c r="I2434" t="n">
        <v>1.3</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23267-2026</t>
        </is>
      </c>
      <c r="B2435" t="inlineStr">
        <is>
          <t>avverkningsanmälan</t>
        </is>
      </c>
      <c r="C2435" t="inlineStr">
        <is>
          <t>Föryngringsavverkning</t>
        </is>
      </c>
      <c r="D2435" s="1" t="n">
        <v>46162</v>
      </c>
      <c r="E2435" s="1" t="n">
        <v>46319</v>
      </c>
      <c r="F2435" t="inlineStr">
        <is>
          <t>DALARNAS LÄN</t>
        </is>
      </c>
      <c r="G2435" t="inlineStr">
        <is>
          <t>MORA</t>
        </is>
      </c>
      <c r="I2435" t="n">
        <v>0.5</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44324-2025</t>
        </is>
      </c>
      <c r="B2436" t="inlineStr">
        <is>
          <t>avverkningsanmälan</t>
        </is>
      </c>
      <c r="C2436" t="inlineStr">
        <is>
          <t>Föryngringsavverkning</t>
        </is>
      </c>
      <c r="D2436" s="1" t="n">
        <v>45916</v>
      </c>
      <c r="E2436" s="1" t="n">
        <v>46319</v>
      </c>
      <c r="F2436" t="inlineStr">
        <is>
          <t>DALARNAS LÄN</t>
        </is>
      </c>
      <c r="G2436" t="inlineStr">
        <is>
          <t>MALUNG-SÄLEN</t>
        </is>
      </c>
      <c r="I2436" t="n">
        <v>3.4</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8757-2024</t>
        </is>
      </c>
      <c r="B2437" t="inlineStr">
        <is>
          <t>avverkningsanmälan</t>
        </is>
      </c>
      <c r="C2437" t="inlineStr">
        <is>
          <t>Föryngringsavverkning</t>
        </is>
      </c>
      <c r="D2437" s="1" t="n">
        <v>45356</v>
      </c>
      <c r="E2437" s="1" t="n">
        <v>46319</v>
      </c>
      <c r="F2437" t="inlineStr">
        <is>
          <t>DALARNAS LÄN</t>
        </is>
      </c>
      <c r="G2437" t="inlineStr">
        <is>
          <t>FALUN</t>
        </is>
      </c>
      <c r="I2437" t="n">
        <v>23.3</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23139-2026</t>
        </is>
      </c>
      <c r="B2438" t="inlineStr">
        <is>
          <t>avverkningsanmälan</t>
        </is>
      </c>
      <c r="C2438" t="inlineStr">
        <is>
          <t>Föryngringsavverkning</t>
        </is>
      </c>
      <c r="D2438" s="1" t="n">
        <v>46161</v>
      </c>
      <c r="E2438" s="1" t="n">
        <v>46319</v>
      </c>
      <c r="F2438" t="inlineStr">
        <is>
          <t>DALARNAS LÄN</t>
        </is>
      </c>
      <c r="G2438" t="inlineStr">
        <is>
          <t>MORA</t>
        </is>
      </c>
      <c r="H2438" t="inlineStr">
        <is>
          <t>Bergvik skog öst AB</t>
        </is>
      </c>
      <c r="I2438" t="n">
        <v>1.3</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44204-2025</t>
        </is>
      </c>
      <c r="B2439" t="inlineStr">
        <is>
          <t>avverkningsanmälan</t>
        </is>
      </c>
      <c r="C2439" t="inlineStr">
        <is>
          <t>Föryngringsavverkning</t>
        </is>
      </c>
      <c r="D2439" s="1" t="n">
        <v>45915</v>
      </c>
      <c r="E2439" s="1" t="n">
        <v>46319</v>
      </c>
      <c r="F2439" t="inlineStr">
        <is>
          <t>DALARNAS LÄN</t>
        </is>
      </c>
      <c r="G2439" t="inlineStr">
        <is>
          <t>MALUNG-SÄLEN</t>
        </is>
      </c>
      <c r="I2439" t="n">
        <v>1.6</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4208-2023</t>
        </is>
      </c>
      <c r="B2440" t="inlineStr">
        <is>
          <t>avverkningsanmälan</t>
        </is>
      </c>
      <c r="C2440" t="inlineStr">
        <is>
          <t>Föryngringsavverkning</t>
        </is>
      </c>
      <c r="D2440" s="1" t="n">
        <v>44953</v>
      </c>
      <c r="E2440" s="1" t="n">
        <v>46319</v>
      </c>
      <c r="F2440" t="inlineStr">
        <is>
          <t>DALARNAS LÄN</t>
        </is>
      </c>
      <c r="G2440" t="inlineStr">
        <is>
          <t>MORA</t>
        </is>
      </c>
      <c r="I2440" t="n">
        <v>2.4</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4210-2023</t>
        </is>
      </c>
      <c r="B2441" t="inlineStr">
        <is>
          <t>avverkningsanmälan</t>
        </is>
      </c>
      <c r="C2441" t="inlineStr">
        <is>
          <t>Föryngringsavverkning</t>
        </is>
      </c>
      <c r="D2441" s="1" t="n">
        <v>44953</v>
      </c>
      <c r="E2441" s="1" t="n">
        <v>46319</v>
      </c>
      <c r="F2441" t="inlineStr">
        <is>
          <t>DALARNAS LÄN</t>
        </is>
      </c>
      <c r="G2441" t="inlineStr">
        <is>
          <t>MORA</t>
        </is>
      </c>
      <c r="I2441" t="n">
        <v>0.9</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5491-2023</t>
        </is>
      </c>
      <c r="B2442" t="inlineStr">
        <is>
          <t>avverkningsanmälan</t>
        </is>
      </c>
      <c r="C2442" t="inlineStr">
        <is>
          <t>Föryngringsavverkning</t>
        </is>
      </c>
      <c r="D2442" s="1" t="n">
        <v>44957</v>
      </c>
      <c r="E2442" s="1" t="n">
        <v>46319</v>
      </c>
      <c r="F2442" t="inlineStr">
        <is>
          <t>DALARNAS LÄN</t>
        </is>
      </c>
      <c r="G2442" t="inlineStr">
        <is>
          <t>MORA</t>
        </is>
      </c>
      <c r="I2442" t="n">
        <v>3.5</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5493-2023</t>
        </is>
      </c>
      <c r="B2443" t="inlineStr">
        <is>
          <t>avverkningsanmälan</t>
        </is>
      </c>
      <c r="C2443" t="inlineStr">
        <is>
          <t>Föryngringsavverkning</t>
        </is>
      </c>
      <c r="D2443" s="1" t="n">
        <v>44957</v>
      </c>
      <c r="E2443" s="1" t="n">
        <v>46319</v>
      </c>
      <c r="F2443" t="inlineStr">
        <is>
          <t>DALARNAS LÄN</t>
        </is>
      </c>
      <c r="G2443" t="inlineStr">
        <is>
          <t>MORA</t>
        </is>
      </c>
      <c r="H2443" t="inlineStr">
        <is>
          <t>Allmännings- och besparingsskogar</t>
        </is>
      </c>
      <c r="I2443" t="n">
        <v>14.9</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54914-2024</t>
        </is>
      </c>
      <c r="B2444" t="inlineStr">
        <is>
          <t>avverkningsanmälan</t>
        </is>
      </c>
      <c r="C2444" t="inlineStr">
        <is>
          <t>Föryngringsavverkning</t>
        </is>
      </c>
      <c r="D2444" s="1" t="n">
        <v>45618</v>
      </c>
      <c r="E2444" s="1" t="n">
        <v>46319</v>
      </c>
      <c r="F2444" t="inlineStr">
        <is>
          <t>DALARNAS LÄN</t>
        </is>
      </c>
      <c r="G2444" t="inlineStr">
        <is>
          <t>LEKSAND</t>
        </is>
      </c>
      <c r="I2444" t="n">
        <v>1.7</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45057-2025</t>
        </is>
      </c>
      <c r="B2445" t="inlineStr">
        <is>
          <t>avverkningsanmälan</t>
        </is>
      </c>
      <c r="C2445" t="inlineStr">
        <is>
          <t>Föryngringsavverkning</t>
        </is>
      </c>
      <c r="D2445" s="1" t="n">
        <v>45919</v>
      </c>
      <c r="E2445" s="1" t="n">
        <v>46319</v>
      </c>
      <c r="F2445" t="inlineStr">
        <is>
          <t>DALARNAS LÄN</t>
        </is>
      </c>
      <c r="G2445" t="inlineStr">
        <is>
          <t>GAGNEF</t>
        </is>
      </c>
      <c r="I2445" t="n">
        <v>1</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23660-2026</t>
        </is>
      </c>
      <c r="B2446" t="inlineStr">
        <is>
          <t>avverkningsanmälan</t>
        </is>
      </c>
      <c r="C2446" t="inlineStr">
        <is>
          <t>Föryngringsavverkning</t>
        </is>
      </c>
      <c r="D2446" s="1" t="n">
        <v>46164</v>
      </c>
      <c r="E2446" s="1" t="n">
        <v>46319</v>
      </c>
      <c r="F2446" t="inlineStr">
        <is>
          <t>DALARNAS LÄN</t>
        </is>
      </c>
      <c r="G2446" t="inlineStr">
        <is>
          <t>FALUN</t>
        </is>
      </c>
      <c r="I2446" t="n">
        <v>1</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23672-2026</t>
        </is>
      </c>
      <c r="B2447" t="inlineStr">
        <is>
          <t>avverkningsanmälan</t>
        </is>
      </c>
      <c r="C2447" t="inlineStr">
        <is>
          <t>Föryngringsavverkning</t>
        </is>
      </c>
      <c r="D2447" s="1" t="n">
        <v>46163</v>
      </c>
      <c r="E2447" s="1" t="n">
        <v>46319</v>
      </c>
      <c r="F2447" t="inlineStr">
        <is>
          <t>DALARNAS LÄN</t>
        </is>
      </c>
      <c r="G2447" t="inlineStr">
        <is>
          <t>SMEDJEBACKEN</t>
        </is>
      </c>
      <c r="I2447" t="n">
        <v>10.6</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44261-2025</t>
        </is>
      </c>
      <c r="B2448" t="inlineStr">
        <is>
          <t>avverkningsanmälan</t>
        </is>
      </c>
      <c r="C2448" t="inlineStr">
        <is>
          <t>Föryngringsavverkning</t>
        </is>
      </c>
      <c r="D2448" s="1" t="n">
        <v>45915</v>
      </c>
      <c r="E2448" s="1" t="n">
        <v>46319</v>
      </c>
      <c r="F2448" t="inlineStr">
        <is>
          <t>DALARNAS LÄN</t>
        </is>
      </c>
      <c r="G2448" t="inlineStr">
        <is>
          <t>LUDVIKA</t>
        </is>
      </c>
      <c r="I2448" t="n">
        <v>1.8</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23676-2026</t>
        </is>
      </c>
      <c r="B2449" t="inlineStr">
        <is>
          <t>avverkningsanmälan</t>
        </is>
      </c>
      <c r="C2449" t="inlineStr">
        <is>
          <t>Föryngringsavverkning</t>
        </is>
      </c>
      <c r="D2449" s="1" t="n">
        <v>46163</v>
      </c>
      <c r="E2449" s="1" t="n">
        <v>46319</v>
      </c>
      <c r="F2449" t="inlineStr">
        <is>
          <t>DALARNAS LÄN</t>
        </is>
      </c>
      <c r="G2449" t="inlineStr">
        <is>
          <t>SMEDJEBACKEN</t>
        </is>
      </c>
      <c r="I2449" t="n">
        <v>1.6</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23696-2026</t>
        </is>
      </c>
      <c r="B2450" t="inlineStr">
        <is>
          <t>avverkningsanmälan</t>
        </is>
      </c>
      <c r="C2450" t="inlineStr">
        <is>
          <t>Föryngringsavverkning</t>
        </is>
      </c>
      <c r="D2450" s="1" t="n">
        <v>46164</v>
      </c>
      <c r="E2450" s="1" t="n">
        <v>46319</v>
      </c>
      <c r="F2450" t="inlineStr">
        <is>
          <t>DALARNAS LÄN</t>
        </is>
      </c>
      <c r="G2450" t="inlineStr">
        <is>
          <t>FALUN</t>
        </is>
      </c>
      <c r="I2450" t="n">
        <v>1.1</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5386-2024</t>
        </is>
      </c>
      <c r="B2451" t="inlineStr">
        <is>
          <t>avverkningsanmälan</t>
        </is>
      </c>
      <c r="C2451" t="inlineStr">
        <is>
          <t>Avverkning för annat ändamål</t>
        </is>
      </c>
      <c r="D2451" s="1" t="n">
        <v>45331</v>
      </c>
      <c r="E2451" s="1" t="n">
        <v>46319</v>
      </c>
      <c r="F2451" t="inlineStr">
        <is>
          <t>DALARNAS LÄN</t>
        </is>
      </c>
      <c r="G2451" t="inlineStr">
        <is>
          <t>VANSBRO</t>
        </is>
      </c>
      <c r="I2451" t="n">
        <v>11.4</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7243-2023</t>
        </is>
      </c>
      <c r="B2452" t="inlineStr">
        <is>
          <t>avverkningsanmälan</t>
        </is>
      </c>
      <c r="C2452" t="inlineStr">
        <is>
          <t>Föryngringsavverkning</t>
        </is>
      </c>
      <c r="D2452" s="1" t="n">
        <v>44970</v>
      </c>
      <c r="E2452" s="1" t="n">
        <v>46319</v>
      </c>
      <c r="F2452" t="inlineStr">
        <is>
          <t>DALARNAS LÄN</t>
        </is>
      </c>
      <c r="G2452" t="inlineStr">
        <is>
          <t>LUDVIKA</t>
        </is>
      </c>
      <c r="H2452" t="inlineStr">
        <is>
          <t>Övriga Aktiebolag</t>
        </is>
      </c>
      <c r="I2452" t="n">
        <v>0.5</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23592-2026</t>
        </is>
      </c>
      <c r="B2453" t="inlineStr">
        <is>
          <t>avverkningsanmälan</t>
        </is>
      </c>
      <c r="C2453" t="inlineStr">
        <is>
          <t>Föryngringsavverkning</t>
        </is>
      </c>
      <c r="D2453" s="1" t="n">
        <v>46163</v>
      </c>
      <c r="E2453" s="1" t="n">
        <v>46319</v>
      </c>
      <c r="F2453" t="inlineStr">
        <is>
          <t>DALARNAS LÄN</t>
        </is>
      </c>
      <c r="G2453" t="inlineStr">
        <is>
          <t>FALUN</t>
        </is>
      </c>
      <c r="H2453" t="inlineStr">
        <is>
          <t>Bergvik skog väst AB</t>
        </is>
      </c>
      <c r="I2453" t="n">
        <v>1.6</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23593-2026</t>
        </is>
      </c>
      <c r="B2454" t="inlineStr">
        <is>
          <t>avverkningsanmälan</t>
        </is>
      </c>
      <c r="C2454" t="inlineStr">
        <is>
          <t>Föryngringsavverkning</t>
        </is>
      </c>
      <c r="D2454" s="1" t="n">
        <v>46163</v>
      </c>
      <c r="E2454" s="1" t="n">
        <v>46319</v>
      </c>
      <c r="F2454" t="inlineStr">
        <is>
          <t>DALARNAS LÄN</t>
        </is>
      </c>
      <c r="G2454" t="inlineStr">
        <is>
          <t>FALUN</t>
        </is>
      </c>
      <c r="H2454" t="inlineStr">
        <is>
          <t>Bergvik skog väst AB</t>
        </is>
      </c>
      <c r="I2454" t="n">
        <v>1.8</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44519-2025</t>
        </is>
      </c>
      <c r="B2455" t="inlineStr">
        <is>
          <t>avverkningsanmälan</t>
        </is>
      </c>
      <c r="C2455" t="inlineStr">
        <is>
          <t>Föryngringsavverkning</t>
        </is>
      </c>
      <c r="D2455" s="1" t="n">
        <v>45916</v>
      </c>
      <c r="E2455" s="1" t="n">
        <v>46319</v>
      </c>
      <c r="F2455" t="inlineStr">
        <is>
          <t>DALARNAS LÄN</t>
        </is>
      </c>
      <c r="G2455" t="inlineStr">
        <is>
          <t>LEKSAND</t>
        </is>
      </c>
      <c r="I2455" t="n">
        <v>3.6</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43917-2025</t>
        </is>
      </c>
      <c r="B2456" t="inlineStr">
        <is>
          <t>avverkningsanmälan</t>
        </is>
      </c>
      <c r="C2456" t="inlineStr">
        <is>
          <t>Föryngringsavverkning</t>
        </is>
      </c>
      <c r="D2456" s="1" t="n">
        <v>45914</v>
      </c>
      <c r="E2456" s="1" t="n">
        <v>46319</v>
      </c>
      <c r="F2456" t="inlineStr">
        <is>
          <t>DALARNAS LÄN</t>
        </is>
      </c>
      <c r="G2456" t="inlineStr">
        <is>
          <t>FALUN</t>
        </is>
      </c>
      <c r="I2456" t="n">
        <v>0.6</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43937-2025</t>
        </is>
      </c>
      <c r="B2457" t="inlineStr">
        <is>
          <t>avverkningsanmälan</t>
        </is>
      </c>
      <c r="C2457" t="inlineStr">
        <is>
          <t>Föryngringsavverkning</t>
        </is>
      </c>
      <c r="D2457" s="1" t="n">
        <v>45915</v>
      </c>
      <c r="E2457" s="1" t="n">
        <v>46319</v>
      </c>
      <c r="F2457" t="inlineStr">
        <is>
          <t>DALARNAS LÄN</t>
        </is>
      </c>
      <c r="G2457" t="inlineStr">
        <is>
          <t>RÄTTVIK</t>
        </is>
      </c>
      <c r="I2457" t="n">
        <v>0.7</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44119-2025</t>
        </is>
      </c>
      <c r="B2458" t="inlineStr">
        <is>
          <t>avverkningsanmälan</t>
        </is>
      </c>
      <c r="C2458" t="inlineStr">
        <is>
          <t>Föryngringsavverkning</t>
        </is>
      </c>
      <c r="D2458" s="1" t="n">
        <v>45915</v>
      </c>
      <c r="E2458" s="1" t="n">
        <v>46319</v>
      </c>
      <c r="F2458" t="inlineStr">
        <is>
          <t>DALARNAS LÄN</t>
        </is>
      </c>
      <c r="G2458" t="inlineStr">
        <is>
          <t>ORSA</t>
        </is>
      </c>
      <c r="H2458" t="inlineStr">
        <is>
          <t>Allmännings- och besparingsskogar</t>
        </is>
      </c>
      <c r="I2458" t="n">
        <v>1.5</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44121-2025</t>
        </is>
      </c>
      <c r="B2459" t="inlineStr">
        <is>
          <t>avverkningsanmälan</t>
        </is>
      </c>
      <c r="C2459" t="inlineStr">
        <is>
          <t>Föryngringsavverkning</t>
        </is>
      </c>
      <c r="D2459" s="1" t="n">
        <v>45915</v>
      </c>
      <c r="E2459" s="1" t="n">
        <v>46319</v>
      </c>
      <c r="F2459" t="inlineStr">
        <is>
          <t>DALARNAS LÄN</t>
        </is>
      </c>
      <c r="G2459" t="inlineStr">
        <is>
          <t>ORSA</t>
        </is>
      </c>
      <c r="H2459" t="inlineStr">
        <is>
          <t>Allmännings- och besparingsskogar</t>
        </is>
      </c>
      <c r="I2459" t="n">
        <v>2.5</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23435-2026</t>
        </is>
      </c>
      <c r="B2460" t="inlineStr">
        <is>
          <t>avverkningsanmälan</t>
        </is>
      </c>
      <c r="C2460" t="inlineStr">
        <is>
          <t>Föryngringsavverkning</t>
        </is>
      </c>
      <c r="D2460" s="1" t="n">
        <v>46163</v>
      </c>
      <c r="E2460" s="1" t="n">
        <v>46319</v>
      </c>
      <c r="F2460" t="inlineStr">
        <is>
          <t>DALARNAS LÄN</t>
        </is>
      </c>
      <c r="G2460" t="inlineStr">
        <is>
          <t>MORA</t>
        </is>
      </c>
      <c r="I2460" t="n">
        <v>2.9</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23219-2026</t>
        </is>
      </c>
      <c r="B2461" t="inlineStr">
        <is>
          <t>avverkningsanmälan</t>
        </is>
      </c>
      <c r="C2461" t="inlineStr">
        <is>
          <t>Föryngringsavverkning</t>
        </is>
      </c>
      <c r="D2461" s="1" t="n">
        <v>46162</v>
      </c>
      <c r="E2461" s="1" t="n">
        <v>46319</v>
      </c>
      <c r="F2461" t="inlineStr">
        <is>
          <t>DALARNAS LÄN</t>
        </is>
      </c>
      <c r="G2461" t="inlineStr">
        <is>
          <t>FALUN</t>
        </is>
      </c>
      <c r="I2461" t="n">
        <v>2.1</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23368-2026</t>
        </is>
      </c>
      <c r="B2462" t="inlineStr">
        <is>
          <t>avverkningsanmälan</t>
        </is>
      </c>
      <c r="C2462" t="inlineStr">
        <is>
          <t>Föryngringsavverkning</t>
        </is>
      </c>
      <c r="D2462" s="1" t="n">
        <v>46162</v>
      </c>
      <c r="E2462" s="1" t="n">
        <v>46319</v>
      </c>
      <c r="F2462" t="inlineStr">
        <is>
          <t>DALARNAS LÄN</t>
        </is>
      </c>
      <c r="G2462" t="inlineStr">
        <is>
          <t>LEKSAND</t>
        </is>
      </c>
      <c r="I2462" t="n">
        <v>0.6</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6566-2022</t>
        </is>
      </c>
      <c r="B2463" t="inlineStr">
        <is>
          <t>avverkningsanmälan</t>
        </is>
      </c>
      <c r="C2463" t="inlineStr">
        <is>
          <t>Föryngringsavverkning</t>
        </is>
      </c>
      <c r="D2463" s="1" t="n">
        <v>44601</v>
      </c>
      <c r="E2463" s="1" t="n">
        <v>46319</v>
      </c>
      <c r="F2463" t="inlineStr">
        <is>
          <t>DALARNAS LÄN</t>
        </is>
      </c>
      <c r="G2463" t="inlineStr">
        <is>
          <t>GAGNEF</t>
        </is>
      </c>
      <c r="I2463" t="n">
        <v>0.7</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44268-2025</t>
        </is>
      </c>
      <c r="B2464" t="inlineStr">
        <is>
          <t>avverkningsanmälan</t>
        </is>
      </c>
      <c r="C2464" t="inlineStr">
        <is>
          <t>Föryngringsavverkning</t>
        </is>
      </c>
      <c r="D2464" s="1" t="n">
        <v>45916</v>
      </c>
      <c r="E2464" s="1" t="n">
        <v>46319</v>
      </c>
      <c r="F2464" t="inlineStr">
        <is>
          <t>DALARNAS LÄN</t>
        </is>
      </c>
      <c r="G2464" t="inlineStr">
        <is>
          <t>MALUNG-SÄLEN</t>
        </is>
      </c>
      <c r="I2464" t="n">
        <v>2.7</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44320-2025</t>
        </is>
      </c>
      <c r="B2465" t="inlineStr">
        <is>
          <t>avverkningsanmälan</t>
        </is>
      </c>
      <c r="C2465" t="inlineStr">
        <is>
          <t>Föryngringsavverkning</t>
        </is>
      </c>
      <c r="D2465" s="1" t="n">
        <v>45916</v>
      </c>
      <c r="E2465" s="1" t="n">
        <v>46319</v>
      </c>
      <c r="F2465" t="inlineStr">
        <is>
          <t>DALARNAS LÄN</t>
        </is>
      </c>
      <c r="G2465" t="inlineStr">
        <is>
          <t>MALUNG-SÄLEN</t>
        </is>
      </c>
      <c r="I2465" t="n">
        <v>1.2</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23582-2026</t>
        </is>
      </c>
      <c r="B2466" t="inlineStr">
        <is>
          <t>avverkningsanmälan</t>
        </is>
      </c>
      <c r="C2466" t="inlineStr">
        <is>
          <t>Föryngringsavverkning</t>
        </is>
      </c>
      <c r="D2466" s="1" t="n">
        <v>46163</v>
      </c>
      <c r="E2466" s="1" t="n">
        <v>46319</v>
      </c>
      <c r="F2466" t="inlineStr">
        <is>
          <t>DALARNAS LÄN</t>
        </is>
      </c>
      <c r="G2466" t="inlineStr">
        <is>
          <t>ORSA</t>
        </is>
      </c>
      <c r="H2466" t="inlineStr">
        <is>
          <t>Bergvik skog öst AB</t>
        </is>
      </c>
      <c r="I2466" t="n">
        <v>0.8</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51920-2024</t>
        </is>
      </c>
      <c r="B2467" t="inlineStr">
        <is>
          <t>avverkningsanmälan</t>
        </is>
      </c>
      <c r="C2467" t="inlineStr">
        <is>
          <t>Föryngringsavverkning</t>
        </is>
      </c>
      <c r="D2467" s="1" t="n">
        <v>45607</v>
      </c>
      <c r="E2467" s="1" t="n">
        <v>46319</v>
      </c>
      <c r="F2467" t="inlineStr">
        <is>
          <t>DALARNAS LÄN</t>
        </is>
      </c>
      <c r="G2467" t="inlineStr">
        <is>
          <t>FALUN</t>
        </is>
      </c>
      <c r="H2467" t="inlineStr">
        <is>
          <t>Bergvik skog väst AB</t>
        </is>
      </c>
      <c r="I2467" t="n">
        <v>1.9</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28324-2024</t>
        </is>
      </c>
      <c r="B2468" t="inlineStr">
        <is>
          <t>avverkningsanmälan</t>
        </is>
      </c>
      <c r="C2468" t="inlineStr">
        <is>
          <t>Föryngringsavverkning</t>
        </is>
      </c>
      <c r="D2468" s="1" t="n">
        <v>45477</v>
      </c>
      <c r="E2468" s="1" t="n">
        <v>46319</v>
      </c>
      <c r="F2468" t="inlineStr">
        <is>
          <t>DALARNAS LÄN</t>
        </is>
      </c>
      <c r="G2468" t="inlineStr">
        <is>
          <t>BORLÄNGE</t>
        </is>
      </c>
      <c r="I2468" t="n">
        <v>1.2</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23475-2026</t>
        </is>
      </c>
      <c r="B2469" t="inlineStr">
        <is>
          <t>avverkningsanmälan</t>
        </is>
      </c>
      <c r="C2469" t="inlineStr">
        <is>
          <t>Föryngringsavverkning</t>
        </is>
      </c>
      <c r="D2469" s="1" t="n">
        <v>46163</v>
      </c>
      <c r="E2469" s="1" t="n">
        <v>46319</v>
      </c>
      <c r="F2469" t="inlineStr">
        <is>
          <t>DALARNAS LÄN</t>
        </is>
      </c>
      <c r="G2469" t="inlineStr">
        <is>
          <t>FALUN</t>
        </is>
      </c>
      <c r="I2469" t="n">
        <v>3.7</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44237-2025</t>
        </is>
      </c>
      <c r="B2470" t="inlineStr">
        <is>
          <t>avverkningsanmälan</t>
        </is>
      </c>
      <c r="C2470" t="inlineStr">
        <is>
          <t>Föryngringsavverkning</t>
        </is>
      </c>
      <c r="D2470" s="1" t="n">
        <v>45915</v>
      </c>
      <c r="E2470" s="1" t="n">
        <v>46319</v>
      </c>
      <c r="F2470" t="inlineStr">
        <is>
          <t>DALARNAS LÄN</t>
        </is>
      </c>
      <c r="G2470" t="inlineStr">
        <is>
          <t>LEKSAND</t>
        </is>
      </c>
      <c r="I2470" t="n">
        <v>1.2</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44244-2025</t>
        </is>
      </c>
      <c r="B2471" t="inlineStr">
        <is>
          <t>avverkningsanmälan</t>
        </is>
      </c>
      <c r="C2471" t="inlineStr">
        <is>
          <t>Avverkning för annat ändamål</t>
        </is>
      </c>
      <c r="D2471" s="1" t="n">
        <v>45915</v>
      </c>
      <c r="E2471" s="1" t="n">
        <v>46319</v>
      </c>
      <c r="F2471" t="inlineStr">
        <is>
          <t>DALARNAS LÄN</t>
        </is>
      </c>
      <c r="G2471" t="inlineStr">
        <is>
          <t>BORLÄNGE</t>
        </is>
      </c>
      <c r="I2471" t="n">
        <v>2.6</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23604-2026</t>
        </is>
      </c>
      <c r="B2472" t="inlineStr">
        <is>
          <t>avverkningsanmälan</t>
        </is>
      </c>
      <c r="C2472" t="inlineStr">
        <is>
          <t>Föryngringsavverkning</t>
        </is>
      </c>
      <c r="D2472" s="1" t="n">
        <v>46163</v>
      </c>
      <c r="E2472" s="1" t="n">
        <v>46319</v>
      </c>
      <c r="F2472" t="inlineStr">
        <is>
          <t>DALARNAS LÄN</t>
        </is>
      </c>
      <c r="G2472" t="inlineStr">
        <is>
          <t>FALUN</t>
        </is>
      </c>
      <c r="H2472" t="inlineStr">
        <is>
          <t>Bergvik skog väst AB</t>
        </is>
      </c>
      <c r="I2472" t="n">
        <v>0.8</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23650-2026</t>
        </is>
      </c>
      <c r="B2473" t="inlineStr">
        <is>
          <t>avverkningsanmälan</t>
        </is>
      </c>
      <c r="C2473" t="inlineStr">
        <is>
          <t>Föryngringsavverkning</t>
        </is>
      </c>
      <c r="D2473" s="1" t="n">
        <v>46164</v>
      </c>
      <c r="E2473" s="1" t="n">
        <v>46319</v>
      </c>
      <c r="F2473" t="inlineStr">
        <is>
          <t>DALARNAS LÄN</t>
        </is>
      </c>
      <c r="G2473" t="inlineStr">
        <is>
          <t>FALUN</t>
        </is>
      </c>
      <c r="I2473" t="n">
        <v>1</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23679-2026</t>
        </is>
      </c>
      <c r="B2474" t="inlineStr">
        <is>
          <t>avverkningsanmälan</t>
        </is>
      </c>
      <c r="C2474" t="inlineStr">
        <is>
          <t>Föryngringsavverkning</t>
        </is>
      </c>
      <c r="D2474" s="1" t="n">
        <v>46164</v>
      </c>
      <c r="E2474" s="1" t="n">
        <v>46319</v>
      </c>
      <c r="F2474" t="inlineStr">
        <is>
          <t>DALARNAS LÄN</t>
        </is>
      </c>
      <c r="G2474" t="inlineStr">
        <is>
          <t>SÄTER</t>
        </is>
      </c>
      <c r="I2474" t="n">
        <v>10.1</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43935-2025</t>
        </is>
      </c>
      <c r="B2475" t="inlineStr">
        <is>
          <t>avverkningsanmälan</t>
        </is>
      </c>
      <c r="C2475" t="inlineStr">
        <is>
          <t>Föryngringsavverkning</t>
        </is>
      </c>
      <c r="D2475" s="1" t="n">
        <v>45915</v>
      </c>
      <c r="E2475" s="1" t="n">
        <v>46319</v>
      </c>
      <c r="F2475" t="inlineStr">
        <is>
          <t>DALARNAS LÄN</t>
        </is>
      </c>
      <c r="G2475" t="inlineStr">
        <is>
          <t>RÄTTVIK</t>
        </is>
      </c>
      <c r="I2475" t="n">
        <v>0.6</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43941-2025</t>
        </is>
      </c>
      <c r="B2476" t="inlineStr">
        <is>
          <t>avverkningsanmälan</t>
        </is>
      </c>
      <c r="C2476" t="inlineStr">
        <is>
          <t>Föryngringsavverkning</t>
        </is>
      </c>
      <c r="D2476" s="1" t="n">
        <v>45915</v>
      </c>
      <c r="E2476" s="1" t="n">
        <v>46319</v>
      </c>
      <c r="F2476" t="inlineStr">
        <is>
          <t>DALARNAS LÄN</t>
        </is>
      </c>
      <c r="G2476" t="inlineStr">
        <is>
          <t>RÄTTVIK</t>
        </is>
      </c>
      <c r="I2476" t="n">
        <v>1.4</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44384-2025</t>
        </is>
      </c>
      <c r="B2477" t="inlineStr">
        <is>
          <t>avverkningsanmälan</t>
        </is>
      </c>
      <c r="C2477" t="inlineStr">
        <is>
          <t>Föryngringsavverkning</t>
        </is>
      </c>
      <c r="D2477" s="1" t="n">
        <v>45916</v>
      </c>
      <c r="E2477" s="1" t="n">
        <v>46319</v>
      </c>
      <c r="F2477" t="inlineStr">
        <is>
          <t>DALARNAS LÄN</t>
        </is>
      </c>
      <c r="G2477" t="inlineStr">
        <is>
          <t>MORA</t>
        </is>
      </c>
      <c r="H2477" t="inlineStr">
        <is>
          <t>Kyrkan</t>
        </is>
      </c>
      <c r="I2477" t="n">
        <v>5.1</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23680-2026</t>
        </is>
      </c>
      <c r="B2478" t="inlineStr">
        <is>
          <t>avverkningsanmälan</t>
        </is>
      </c>
      <c r="C2478" t="inlineStr">
        <is>
          <t>Föryngringsavverkning</t>
        </is>
      </c>
      <c r="D2478" s="1" t="n">
        <v>46164</v>
      </c>
      <c r="E2478" s="1" t="n">
        <v>46319</v>
      </c>
      <c r="F2478" t="inlineStr">
        <is>
          <t>DALARNAS LÄN</t>
        </is>
      </c>
      <c r="G2478" t="inlineStr">
        <is>
          <t>FALUN</t>
        </is>
      </c>
      <c r="I2478" t="n">
        <v>1.1</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23694-2026</t>
        </is>
      </c>
      <c r="B2479" t="inlineStr">
        <is>
          <t>avverkningsanmälan</t>
        </is>
      </c>
      <c r="C2479" t="inlineStr">
        <is>
          <t>Föryngringsavverkning</t>
        </is>
      </c>
      <c r="D2479" s="1" t="n">
        <v>46164</v>
      </c>
      <c r="E2479" s="1" t="n">
        <v>46319</v>
      </c>
      <c r="F2479" t="inlineStr">
        <is>
          <t>DALARNAS LÄN</t>
        </is>
      </c>
      <c r="G2479" t="inlineStr">
        <is>
          <t>FALUN</t>
        </is>
      </c>
      <c r="I2479" t="n">
        <v>1.5</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43967-2025</t>
        </is>
      </c>
      <c r="B2480" t="inlineStr">
        <is>
          <t>avverkningsanmälan</t>
        </is>
      </c>
      <c r="C2480" t="inlineStr">
        <is>
          <t>Föryngringsavverkning</t>
        </is>
      </c>
      <c r="D2480" s="1" t="n">
        <v>45915</v>
      </c>
      <c r="E2480" s="1" t="n">
        <v>46319</v>
      </c>
      <c r="F2480" t="inlineStr">
        <is>
          <t>DALARNAS LÄN</t>
        </is>
      </c>
      <c r="G2480" t="inlineStr">
        <is>
          <t>ORSA</t>
        </is>
      </c>
      <c r="H2480" t="inlineStr">
        <is>
          <t>Allmännings- och besparingsskogar</t>
        </is>
      </c>
      <c r="I2480" t="n">
        <v>8.4</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20350-2026</t>
        </is>
      </c>
      <c r="B2481" t="inlineStr">
        <is>
          <t>avverkningsanmälan</t>
        </is>
      </c>
      <c r="C2481" t="inlineStr">
        <is>
          <t>Föryngringsavverkning</t>
        </is>
      </c>
      <c r="D2481" s="1" t="n">
        <v>46139</v>
      </c>
      <c r="E2481" s="1" t="n">
        <v>46319</v>
      </c>
      <c r="F2481" t="inlineStr">
        <is>
          <t>DALARNAS LÄN</t>
        </is>
      </c>
      <c r="G2481" t="inlineStr">
        <is>
          <t>FALUN</t>
        </is>
      </c>
      <c r="H2481" t="inlineStr">
        <is>
          <t>Bergvik skog väst AB</t>
        </is>
      </c>
      <c r="I2481" t="n">
        <v>58.4</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43945-2025</t>
        </is>
      </c>
      <c r="B2482" t="inlineStr">
        <is>
          <t>avverkningsanmälan</t>
        </is>
      </c>
      <c r="C2482" t="inlineStr">
        <is>
          <t>Föryngringsavverkning</t>
        </is>
      </c>
      <c r="D2482" s="1" t="n">
        <v>45915</v>
      </c>
      <c r="E2482" s="1" t="n">
        <v>46319</v>
      </c>
      <c r="F2482" t="inlineStr">
        <is>
          <t>DALARNAS LÄN</t>
        </is>
      </c>
      <c r="G2482" t="inlineStr">
        <is>
          <t>RÄTTVIK</t>
        </is>
      </c>
      <c r="I2482" t="n">
        <v>2</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44117-2025</t>
        </is>
      </c>
      <c r="B2483" t="inlineStr">
        <is>
          <t>avverkningsanmälan</t>
        </is>
      </c>
      <c r="C2483" t="inlineStr">
        <is>
          <t>Föryngringsavverkning</t>
        </is>
      </c>
      <c r="D2483" s="1" t="n">
        <v>45915</v>
      </c>
      <c r="E2483" s="1" t="n">
        <v>46319</v>
      </c>
      <c r="F2483" t="inlineStr">
        <is>
          <t>DALARNAS LÄN</t>
        </is>
      </c>
      <c r="G2483" t="inlineStr">
        <is>
          <t>ORSA</t>
        </is>
      </c>
      <c r="H2483" t="inlineStr">
        <is>
          <t>Allmännings- och besparingsskogar</t>
        </is>
      </c>
      <c r="I2483" t="n">
        <v>2.7</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23211-2026</t>
        </is>
      </c>
      <c r="B2484" t="inlineStr">
        <is>
          <t>avverkningsanmälan</t>
        </is>
      </c>
      <c r="C2484" t="inlineStr">
        <is>
          <t>Föryngringsavverkning</t>
        </is>
      </c>
      <c r="D2484" s="1" t="n">
        <v>46162</v>
      </c>
      <c r="E2484" s="1" t="n">
        <v>46319</v>
      </c>
      <c r="F2484" t="inlineStr">
        <is>
          <t>DALARNAS LÄN</t>
        </is>
      </c>
      <c r="G2484" t="inlineStr">
        <is>
          <t>FALUN</t>
        </is>
      </c>
      <c r="I2484" t="n">
        <v>1.5</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27089-2024</t>
        </is>
      </c>
      <c r="B2485" t="inlineStr">
        <is>
          <t>avverkningsanmälan</t>
        </is>
      </c>
      <c r="C2485" t="inlineStr">
        <is>
          <t>Föryngringsavverkning</t>
        </is>
      </c>
      <c r="D2485" s="1" t="n">
        <v>45471</v>
      </c>
      <c r="E2485" s="1" t="n">
        <v>46319</v>
      </c>
      <c r="F2485" t="inlineStr">
        <is>
          <t>DALARNAS LÄN</t>
        </is>
      </c>
      <c r="G2485" t="inlineStr">
        <is>
          <t>VANSBRO</t>
        </is>
      </c>
      <c r="I2485" t="n">
        <v>1.9</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23690-2026</t>
        </is>
      </c>
      <c r="B2486" t="inlineStr">
        <is>
          <t>avverkningsanmälan</t>
        </is>
      </c>
      <c r="C2486" t="inlineStr">
        <is>
          <t>Föryngringsavverkning</t>
        </is>
      </c>
      <c r="D2486" s="1" t="n">
        <v>46164</v>
      </c>
      <c r="E2486" s="1" t="n">
        <v>46319</v>
      </c>
      <c r="F2486" t="inlineStr">
        <is>
          <t>DALARNAS LÄN</t>
        </is>
      </c>
      <c r="G2486" t="inlineStr">
        <is>
          <t>MORA</t>
        </is>
      </c>
      <c r="H2486" t="inlineStr">
        <is>
          <t>Bergvik skog öst AB</t>
        </is>
      </c>
      <c r="I2486" t="n">
        <v>2</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12957-2022</t>
        </is>
      </c>
      <c r="B2487" t="inlineStr">
        <is>
          <t>avverkningsanmälan</t>
        </is>
      </c>
      <c r="C2487" t="inlineStr">
        <is>
          <t>Föryngringsavverkning</t>
        </is>
      </c>
      <c r="D2487" s="1" t="n">
        <v>44643</v>
      </c>
      <c r="E2487" s="1" t="n">
        <v>46319</v>
      </c>
      <c r="F2487" t="inlineStr">
        <is>
          <t>DALARNAS LÄN</t>
        </is>
      </c>
      <c r="G2487" t="inlineStr">
        <is>
          <t>SÄTER</t>
        </is>
      </c>
      <c r="I2487" t="n">
        <v>8.1</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23752-2026</t>
        </is>
      </c>
      <c r="B2488" t="inlineStr">
        <is>
          <t>avverkningsanmälan</t>
        </is>
      </c>
      <c r="C2488" t="inlineStr">
        <is>
          <t>Föryngringsavverkning</t>
        </is>
      </c>
      <c r="D2488" s="1" t="n">
        <v>46164</v>
      </c>
      <c r="E2488" s="1" t="n">
        <v>46319</v>
      </c>
      <c r="F2488" t="inlineStr">
        <is>
          <t>DALARNAS LÄN</t>
        </is>
      </c>
      <c r="G2488" t="inlineStr">
        <is>
          <t>VANSBRO</t>
        </is>
      </c>
      <c r="H2488" t="inlineStr">
        <is>
          <t>Bergvik skog öst AB</t>
        </is>
      </c>
      <c r="I2488" t="n">
        <v>2.9</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43965-2025</t>
        </is>
      </c>
      <c r="B2489" t="inlineStr">
        <is>
          <t>avverkningsanmälan</t>
        </is>
      </c>
      <c r="C2489" t="inlineStr">
        <is>
          <t>Föryngringsavverkning</t>
        </is>
      </c>
      <c r="D2489" s="1" t="n">
        <v>45915</v>
      </c>
      <c r="E2489" s="1" t="n">
        <v>46319</v>
      </c>
      <c r="F2489" t="inlineStr">
        <is>
          <t>DALARNAS LÄN</t>
        </is>
      </c>
      <c r="G2489" t="inlineStr">
        <is>
          <t>ORSA</t>
        </is>
      </c>
      <c r="H2489" t="inlineStr">
        <is>
          <t>Allmännings- och besparingsskogar</t>
        </is>
      </c>
      <c r="I2489" t="n">
        <v>11.5</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23639-2026</t>
        </is>
      </c>
      <c r="B2490" t="inlineStr">
        <is>
          <t>avverkningsanmälan</t>
        </is>
      </c>
      <c r="C2490" t="inlineStr">
        <is>
          <t>Föryngringsavverkning</t>
        </is>
      </c>
      <c r="D2490" s="1" t="n">
        <v>46164</v>
      </c>
      <c r="E2490" s="1" t="n">
        <v>46319</v>
      </c>
      <c r="F2490" t="inlineStr">
        <is>
          <t>DALARNAS LÄN</t>
        </is>
      </c>
      <c r="G2490" t="inlineStr">
        <is>
          <t>HEDEMORA</t>
        </is>
      </c>
      <c r="H2490" t="inlineStr">
        <is>
          <t>Sveaskog</t>
        </is>
      </c>
      <c r="I2490" t="n">
        <v>1.7</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18042-2023</t>
        </is>
      </c>
      <c r="B2491" t="inlineStr">
        <is>
          <t>avverkningsanmälan</t>
        </is>
      </c>
      <c r="C2491" t="inlineStr">
        <is>
          <t>Föryngringsavverkning</t>
        </is>
      </c>
      <c r="D2491" s="1" t="n">
        <v>45040</v>
      </c>
      <c r="E2491" s="1" t="n">
        <v>46319</v>
      </c>
      <c r="F2491" t="inlineStr">
        <is>
          <t>DALARNAS LÄN</t>
        </is>
      </c>
      <c r="G2491" t="inlineStr">
        <is>
          <t>AVESTA</t>
        </is>
      </c>
      <c r="I2491" t="n">
        <v>2.5</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44264-2025</t>
        </is>
      </c>
      <c r="B2492" t="inlineStr">
        <is>
          <t>avverkningsanmälan</t>
        </is>
      </c>
      <c r="C2492" t="inlineStr">
        <is>
          <t>Föryngringsavverkning</t>
        </is>
      </c>
      <c r="D2492" s="1" t="n">
        <v>45916</v>
      </c>
      <c r="E2492" s="1" t="n">
        <v>46319</v>
      </c>
      <c r="F2492" t="inlineStr">
        <is>
          <t>DALARNAS LÄN</t>
        </is>
      </c>
      <c r="G2492" t="inlineStr">
        <is>
          <t>RÄTTVIK</t>
        </is>
      </c>
      <c r="I2492" t="n">
        <v>0.6</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31857-2023</t>
        </is>
      </c>
      <c r="B2493" t="inlineStr">
        <is>
          <t>avverkningsanmälan</t>
        </is>
      </c>
      <c r="C2493" t="inlineStr">
        <is>
          <t>Föryngringsavverkning</t>
        </is>
      </c>
      <c r="D2493" s="1" t="n">
        <v>45106</v>
      </c>
      <c r="E2493" s="1" t="n">
        <v>46319</v>
      </c>
      <c r="F2493" t="inlineStr">
        <is>
          <t>DALARNAS LÄN</t>
        </is>
      </c>
      <c r="G2493" t="inlineStr">
        <is>
          <t>ÄLVDALEN</t>
        </is>
      </c>
      <c r="I2493" t="n">
        <v>1</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23709-2026</t>
        </is>
      </c>
      <c r="B2494" t="inlineStr">
        <is>
          <t>avverkningsanmälan</t>
        </is>
      </c>
      <c r="C2494" t="inlineStr">
        <is>
          <t>Föryngringsavverkning</t>
        </is>
      </c>
      <c r="D2494" s="1" t="n">
        <v>46164</v>
      </c>
      <c r="E2494" s="1" t="n">
        <v>46319</v>
      </c>
      <c r="F2494" t="inlineStr">
        <is>
          <t>DALARNAS LÄN</t>
        </is>
      </c>
      <c r="G2494" t="inlineStr">
        <is>
          <t>ORSA</t>
        </is>
      </c>
      <c r="H2494" t="inlineStr">
        <is>
          <t>Bergvik skog öst AB</t>
        </is>
      </c>
      <c r="I2494" t="n">
        <v>0.5</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23712-2026</t>
        </is>
      </c>
      <c r="B2495" t="inlineStr">
        <is>
          <t>avverkningsanmälan</t>
        </is>
      </c>
      <c r="C2495" t="inlineStr">
        <is>
          <t>Föryngringsavverkning</t>
        </is>
      </c>
      <c r="D2495" s="1" t="n">
        <v>46164</v>
      </c>
      <c r="E2495" s="1" t="n">
        <v>46319</v>
      </c>
      <c r="F2495" t="inlineStr">
        <is>
          <t>DALARNAS LÄN</t>
        </is>
      </c>
      <c r="G2495" t="inlineStr">
        <is>
          <t>ORSA</t>
        </is>
      </c>
      <c r="H2495" t="inlineStr">
        <is>
          <t>Bergvik skog öst AB</t>
        </is>
      </c>
      <c r="I2495" t="n">
        <v>1.4</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167-2023</t>
        </is>
      </c>
      <c r="B2496" t="inlineStr">
        <is>
          <t>avverkningsanmälan</t>
        </is>
      </c>
      <c r="C2496" t="inlineStr">
        <is>
          <t>Avverkning för annat ändamål</t>
        </is>
      </c>
      <c r="D2496" s="1" t="n">
        <v>44918</v>
      </c>
      <c r="E2496" s="1" t="n">
        <v>46319</v>
      </c>
      <c r="F2496" t="inlineStr">
        <is>
          <t>DALARNAS LÄN</t>
        </is>
      </c>
      <c r="G2496" t="inlineStr">
        <is>
          <t>LEKSAND</t>
        </is>
      </c>
      <c r="I2496" t="n">
        <v>0.5</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56942-2024</t>
        </is>
      </c>
      <c r="B2497" t="inlineStr">
        <is>
          <t>avverkningsanmälan</t>
        </is>
      </c>
      <c r="C2497" t="inlineStr">
        <is>
          <t>Föryngringsavverkning</t>
        </is>
      </c>
      <c r="D2497" s="1" t="n">
        <v>45628</v>
      </c>
      <c r="E2497" s="1" t="n">
        <v>46319</v>
      </c>
      <c r="F2497" t="inlineStr">
        <is>
          <t>DALARNAS LÄN</t>
        </is>
      </c>
      <c r="G2497" t="inlineStr">
        <is>
          <t>ORSA</t>
        </is>
      </c>
      <c r="H2497" t="inlineStr">
        <is>
          <t>Bergvik skog öst AB</t>
        </is>
      </c>
      <c r="I2497" t="n">
        <v>0.7</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23194-2026</t>
        </is>
      </c>
      <c r="B2498" t="inlineStr">
        <is>
          <t>avverkningsanmälan</t>
        </is>
      </c>
      <c r="C2498" t="inlineStr">
        <is>
          <t>Föryngringsavverkning</t>
        </is>
      </c>
      <c r="D2498" s="1" t="n">
        <v>46161</v>
      </c>
      <c r="E2498" s="1" t="n">
        <v>46319</v>
      </c>
      <c r="F2498" t="inlineStr">
        <is>
          <t>DALARNAS LÄN</t>
        </is>
      </c>
      <c r="G2498" t="inlineStr">
        <is>
          <t>HEDEMORA</t>
        </is>
      </c>
      <c r="I2498" t="n">
        <v>3</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37501-2022</t>
        </is>
      </c>
      <c r="B2499" t="inlineStr">
        <is>
          <t>avverkningsanmälan</t>
        </is>
      </c>
      <c r="C2499" t="inlineStr">
        <is>
          <t>Föryngringsavverkning</t>
        </is>
      </c>
      <c r="D2499" s="1" t="n">
        <v>44809</v>
      </c>
      <c r="E2499" s="1" t="n">
        <v>46319</v>
      </c>
      <c r="F2499" t="inlineStr">
        <is>
          <t>DALARNAS LÄN</t>
        </is>
      </c>
      <c r="G2499" t="inlineStr">
        <is>
          <t>SMEDJEBACKEN</t>
        </is>
      </c>
      <c r="I2499" t="n">
        <v>1.7</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44863-2025</t>
        </is>
      </c>
      <c r="B2500" t="inlineStr">
        <is>
          <t>avverkningsanmälan</t>
        </is>
      </c>
      <c r="C2500" t="inlineStr">
        <is>
          <t>Föryngringsavverkning</t>
        </is>
      </c>
      <c r="D2500" s="1" t="n">
        <v>45918</v>
      </c>
      <c r="E2500" s="1" t="n">
        <v>46319</v>
      </c>
      <c r="F2500" t="inlineStr">
        <is>
          <t>DALARNAS LÄN</t>
        </is>
      </c>
      <c r="G2500" t="inlineStr">
        <is>
          <t>FALUN</t>
        </is>
      </c>
      <c r="H2500" t="inlineStr">
        <is>
          <t>Bergvik skog väst AB</t>
        </is>
      </c>
      <c r="I2500" t="n">
        <v>23.6</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4197-2024</t>
        </is>
      </c>
      <c r="B2501" t="inlineStr">
        <is>
          <t>avverkningsanmälan</t>
        </is>
      </c>
      <c r="C2501" t="inlineStr">
        <is>
          <t>Avverkning för annat ändamål</t>
        </is>
      </c>
      <c r="D2501" s="1" t="n">
        <v>45324</v>
      </c>
      <c r="E2501" s="1" t="n">
        <v>46319</v>
      </c>
      <c r="F2501" t="inlineStr">
        <is>
          <t>DALARNAS LÄN</t>
        </is>
      </c>
      <c r="G2501" t="inlineStr">
        <is>
          <t>RÄTTVIK</t>
        </is>
      </c>
      <c r="I2501" t="n">
        <v>1.6</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46217-2023</t>
        </is>
      </c>
      <c r="B2502" t="inlineStr">
        <is>
          <t>avverkningsanmälan</t>
        </is>
      </c>
      <c r="C2502" t="inlineStr">
        <is>
          <t>Föryngringsavverkning</t>
        </is>
      </c>
      <c r="D2502" s="1" t="n">
        <v>45190</v>
      </c>
      <c r="E2502" s="1" t="n">
        <v>46319</v>
      </c>
      <c r="F2502" t="inlineStr">
        <is>
          <t>DALARNAS LÄN</t>
        </is>
      </c>
      <c r="G2502" t="inlineStr">
        <is>
          <t>HEDEMORA</t>
        </is>
      </c>
      <c r="H2502" t="inlineStr">
        <is>
          <t>Bergvik skog väst AB</t>
        </is>
      </c>
      <c r="I2502" t="n">
        <v>8.800000000000001</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45356-2024</t>
        </is>
      </c>
      <c r="B2503" t="inlineStr">
        <is>
          <t>avverkningsanmälan</t>
        </is>
      </c>
      <c r="C2503" t="inlineStr">
        <is>
          <t>Föryngringsavverkning</t>
        </is>
      </c>
      <c r="D2503" s="1" t="n">
        <v>45576</v>
      </c>
      <c r="E2503" s="1" t="n">
        <v>46319</v>
      </c>
      <c r="F2503" t="inlineStr">
        <is>
          <t>DALARNAS LÄN</t>
        </is>
      </c>
      <c r="G2503" t="inlineStr">
        <is>
          <t>VANSBRO</t>
        </is>
      </c>
      <c r="I2503" t="n">
        <v>4</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23780-2026</t>
        </is>
      </c>
      <c r="B2504" t="inlineStr">
        <is>
          <t>avverkningsanmälan</t>
        </is>
      </c>
      <c r="C2504" t="inlineStr">
        <is>
          <t>Föryngringsavverkning</t>
        </is>
      </c>
      <c r="D2504" s="1" t="n">
        <v>46164</v>
      </c>
      <c r="E2504" s="1" t="n">
        <v>46319</v>
      </c>
      <c r="F2504" t="inlineStr">
        <is>
          <t>DALARNAS LÄN</t>
        </is>
      </c>
      <c r="G2504" t="inlineStr">
        <is>
          <t>VANSBRO</t>
        </is>
      </c>
      <c r="H2504" t="inlineStr">
        <is>
          <t>Bergvik skog öst AB</t>
        </is>
      </c>
      <c r="I2504" t="n">
        <v>0.9</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44621-2025</t>
        </is>
      </c>
      <c r="B2505" t="inlineStr">
        <is>
          <t>avverkningsanmälan</t>
        </is>
      </c>
      <c r="C2505" t="inlineStr">
        <is>
          <t>Föryngringsavverkning</t>
        </is>
      </c>
      <c r="D2505" s="1" t="n">
        <v>45917</v>
      </c>
      <c r="E2505" s="1" t="n">
        <v>46319</v>
      </c>
      <c r="F2505" t="inlineStr">
        <is>
          <t>DALARNAS LÄN</t>
        </is>
      </c>
      <c r="G2505" t="inlineStr">
        <is>
          <t>MORA</t>
        </is>
      </c>
      <c r="I2505" t="n">
        <v>0.8</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23677-2026</t>
        </is>
      </c>
      <c r="B2506" t="inlineStr">
        <is>
          <t>avverkningsanmälan</t>
        </is>
      </c>
      <c r="C2506" t="inlineStr">
        <is>
          <t>Föryngringsavverkning</t>
        </is>
      </c>
      <c r="D2506" s="1" t="n">
        <v>46163</v>
      </c>
      <c r="E2506" s="1" t="n">
        <v>46319</v>
      </c>
      <c r="F2506" t="inlineStr">
        <is>
          <t>DALARNAS LÄN</t>
        </is>
      </c>
      <c r="G2506" t="inlineStr">
        <is>
          <t>SMEDJEBACKEN</t>
        </is>
      </c>
      <c r="I2506" t="n">
        <v>2.7</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23706-2026</t>
        </is>
      </c>
      <c r="B2507" t="inlineStr">
        <is>
          <t>avverkningsanmälan</t>
        </is>
      </c>
      <c r="C2507" t="inlineStr">
        <is>
          <t>Föryngringsavverkning</t>
        </is>
      </c>
      <c r="D2507" s="1" t="n">
        <v>46164</v>
      </c>
      <c r="E2507" s="1" t="n">
        <v>46319</v>
      </c>
      <c r="F2507" t="inlineStr">
        <is>
          <t>DALARNAS LÄN</t>
        </is>
      </c>
      <c r="G2507" t="inlineStr">
        <is>
          <t>FALUN</t>
        </is>
      </c>
      <c r="I2507" t="n">
        <v>1.6</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10012-2024</t>
        </is>
      </c>
      <c r="B2508" t="inlineStr">
        <is>
          <t>avverkningsanmälan</t>
        </is>
      </c>
      <c r="C2508" t="inlineStr">
        <is>
          <t>Föryngringsavverkning</t>
        </is>
      </c>
      <c r="D2508" s="1" t="n">
        <v>45363</v>
      </c>
      <c r="E2508" s="1" t="n">
        <v>46319</v>
      </c>
      <c r="F2508" t="inlineStr">
        <is>
          <t>DALARNAS LÄN</t>
        </is>
      </c>
      <c r="G2508" t="inlineStr">
        <is>
          <t>VANSBRO</t>
        </is>
      </c>
      <c r="I2508" t="n">
        <v>6</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44690-2025</t>
        </is>
      </c>
      <c r="B2509" t="inlineStr">
        <is>
          <t>avverkningsanmälan</t>
        </is>
      </c>
      <c r="C2509" t="inlineStr">
        <is>
          <t>Föryngringsavverkning</t>
        </is>
      </c>
      <c r="D2509" s="1" t="n">
        <v>45917</v>
      </c>
      <c r="E2509" s="1" t="n">
        <v>46319</v>
      </c>
      <c r="F2509" t="inlineStr">
        <is>
          <t>DALARNAS LÄN</t>
        </is>
      </c>
      <c r="G2509" t="inlineStr">
        <is>
          <t>LUDVIKA</t>
        </is>
      </c>
      <c r="I2509" t="n">
        <v>1.6</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23597-2026</t>
        </is>
      </c>
      <c r="B2510" t="inlineStr">
        <is>
          <t>avverkningsanmälan</t>
        </is>
      </c>
      <c r="C2510" t="inlineStr">
        <is>
          <t>Föryngringsavverkning</t>
        </is>
      </c>
      <c r="D2510" s="1" t="n">
        <v>46163</v>
      </c>
      <c r="E2510" s="1" t="n">
        <v>46319</v>
      </c>
      <c r="F2510" t="inlineStr">
        <is>
          <t>DALARNAS LÄN</t>
        </is>
      </c>
      <c r="G2510" t="inlineStr">
        <is>
          <t>FALUN</t>
        </is>
      </c>
      <c r="H2510" t="inlineStr">
        <is>
          <t>Bergvik skog väst AB</t>
        </is>
      </c>
      <c r="I2510" t="n">
        <v>9.199999999999999</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23611-2026</t>
        </is>
      </c>
      <c r="B2511" t="inlineStr">
        <is>
          <t>avverkningsanmälan</t>
        </is>
      </c>
      <c r="C2511" t="inlineStr">
        <is>
          <t>Föryngringsavverkning</t>
        </is>
      </c>
      <c r="D2511" s="1" t="n">
        <v>46163</v>
      </c>
      <c r="E2511" s="1" t="n">
        <v>46319</v>
      </c>
      <c r="F2511" t="inlineStr">
        <is>
          <t>DALARNAS LÄN</t>
        </is>
      </c>
      <c r="G2511" t="inlineStr">
        <is>
          <t>FALUN</t>
        </is>
      </c>
      <c r="H2511" t="inlineStr">
        <is>
          <t>Bergvik skog väst AB</t>
        </is>
      </c>
      <c r="I2511" t="n">
        <v>2.5</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23437-2026</t>
        </is>
      </c>
      <c r="B2512" t="inlineStr">
        <is>
          <t>avverkningsanmälan</t>
        </is>
      </c>
      <c r="C2512" t="inlineStr">
        <is>
          <t>Föryngringsavverkning</t>
        </is>
      </c>
      <c r="D2512" s="1" t="n">
        <v>46163</v>
      </c>
      <c r="E2512" s="1" t="n">
        <v>46319</v>
      </c>
      <c r="F2512" t="inlineStr">
        <is>
          <t>DALARNAS LÄN</t>
        </is>
      </c>
      <c r="G2512" t="inlineStr">
        <is>
          <t>MORA</t>
        </is>
      </c>
      <c r="I2512" t="n">
        <v>15.5</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23466-2026</t>
        </is>
      </c>
      <c r="B2513" t="inlineStr">
        <is>
          <t>avverkningsanmälan</t>
        </is>
      </c>
      <c r="C2513" t="inlineStr">
        <is>
          <t>Föryngringsavverkning</t>
        </is>
      </c>
      <c r="D2513" s="1" t="n">
        <v>46163</v>
      </c>
      <c r="E2513" s="1" t="n">
        <v>46319</v>
      </c>
      <c r="F2513" t="inlineStr">
        <is>
          <t>DALARNAS LÄN</t>
        </is>
      </c>
      <c r="G2513" t="inlineStr">
        <is>
          <t>HEDEMORA</t>
        </is>
      </c>
      <c r="I2513" t="n">
        <v>0.6</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9170-2025</t>
        </is>
      </c>
      <c r="B2514" t="inlineStr">
        <is>
          <t>avverkningsanmälan</t>
        </is>
      </c>
      <c r="C2514" t="inlineStr">
        <is>
          <t>Avverkning för annat ändamål</t>
        </is>
      </c>
      <c r="D2514" s="1" t="n">
        <v>45713</v>
      </c>
      <c r="E2514" s="1" t="n">
        <v>46319</v>
      </c>
      <c r="F2514" t="inlineStr">
        <is>
          <t>DALARNAS LÄN</t>
        </is>
      </c>
      <c r="G2514" t="inlineStr">
        <is>
          <t>MALUNG-SÄLEN</t>
        </is>
      </c>
      <c r="I2514" t="n">
        <v>1.2</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23511-2026</t>
        </is>
      </c>
      <c r="B2515" t="inlineStr">
        <is>
          <t>avverkningsanmälan</t>
        </is>
      </c>
      <c r="C2515" t="inlineStr">
        <is>
          <t>Föryngringsavverkning</t>
        </is>
      </c>
      <c r="D2515" s="1" t="n">
        <v>46163</v>
      </c>
      <c r="E2515" s="1" t="n">
        <v>46319</v>
      </c>
      <c r="F2515" t="inlineStr">
        <is>
          <t>DALARNAS LÄN</t>
        </is>
      </c>
      <c r="G2515" t="inlineStr">
        <is>
          <t>FALUN</t>
        </is>
      </c>
      <c r="H2515" t="inlineStr">
        <is>
          <t>Bergvik skog väst AB</t>
        </is>
      </c>
      <c r="I2515" t="n">
        <v>16.9</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23735-2026</t>
        </is>
      </c>
      <c r="B2516" t="inlineStr">
        <is>
          <t>avverkningsanmälan</t>
        </is>
      </c>
      <c r="C2516" t="inlineStr">
        <is>
          <t>Föryngringsavverkning</t>
        </is>
      </c>
      <c r="D2516" s="1" t="n">
        <v>46163</v>
      </c>
      <c r="E2516" s="1" t="n">
        <v>46319</v>
      </c>
      <c r="F2516" t="inlineStr">
        <is>
          <t>DALARNAS LÄN</t>
        </is>
      </c>
      <c r="G2516" t="inlineStr">
        <is>
          <t>SÄTER</t>
        </is>
      </c>
      <c r="H2516" t="inlineStr">
        <is>
          <t>Bergvik skog väst AB</t>
        </is>
      </c>
      <c r="I2516" t="n">
        <v>1</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23736-2026</t>
        </is>
      </c>
      <c r="B2517" t="inlineStr">
        <is>
          <t>avverkningsanmälan</t>
        </is>
      </c>
      <c r="C2517" t="inlineStr">
        <is>
          <t>Föryngringsavverkning</t>
        </is>
      </c>
      <c r="D2517" s="1" t="n">
        <v>46163</v>
      </c>
      <c r="E2517" s="1" t="n">
        <v>46319</v>
      </c>
      <c r="F2517" t="inlineStr">
        <is>
          <t>DALARNAS LÄN</t>
        </is>
      </c>
      <c r="G2517" t="inlineStr">
        <is>
          <t>SÄTER</t>
        </is>
      </c>
      <c r="H2517" t="inlineStr">
        <is>
          <t>Bergvik skog väst AB</t>
        </is>
      </c>
      <c r="I2517" t="n">
        <v>2.2</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23736-2026</t>
        </is>
      </c>
      <c r="B2518" t="inlineStr">
        <is>
          <t>avverkningsanmälan</t>
        </is>
      </c>
      <c r="C2518" t="inlineStr">
        <is>
          <t>Föryngringsavverkning</t>
        </is>
      </c>
      <c r="D2518" s="1" t="n">
        <v>46163</v>
      </c>
      <c r="E2518" s="1" t="n">
        <v>46319</v>
      </c>
      <c r="F2518" t="inlineStr">
        <is>
          <t>DALARNAS LÄN</t>
        </is>
      </c>
      <c r="G2518" t="inlineStr">
        <is>
          <t>SÄTER</t>
        </is>
      </c>
      <c r="H2518" t="inlineStr">
        <is>
          <t>Bergvik skog väst AB</t>
        </is>
      </c>
      <c r="I2518" t="n">
        <v>0.5</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23746-2026</t>
        </is>
      </c>
      <c r="B2519" t="inlineStr">
        <is>
          <t>avverkningsanmälan</t>
        </is>
      </c>
      <c r="C2519" t="inlineStr">
        <is>
          <t>Föryngringsavverkning</t>
        </is>
      </c>
      <c r="D2519" s="1" t="n">
        <v>46164</v>
      </c>
      <c r="E2519" s="1" t="n">
        <v>46319</v>
      </c>
      <c r="F2519" t="inlineStr">
        <is>
          <t>DALARNAS LÄN</t>
        </is>
      </c>
      <c r="G2519" t="inlineStr">
        <is>
          <t>ORSA</t>
        </is>
      </c>
      <c r="H2519" t="inlineStr">
        <is>
          <t>Bergvik skog öst AB</t>
        </is>
      </c>
      <c r="I2519" t="n">
        <v>4.3</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62336-2022</t>
        </is>
      </c>
      <c r="B2520" t="inlineStr">
        <is>
          <t>avverkningsanmälan</t>
        </is>
      </c>
      <c r="C2520" t="inlineStr">
        <is>
          <t>Föryngringsavverkning</t>
        </is>
      </c>
      <c r="D2520" s="1" t="n">
        <v>44923</v>
      </c>
      <c r="E2520" s="1" t="n">
        <v>46319</v>
      </c>
      <c r="F2520" t="inlineStr">
        <is>
          <t>DALARNAS LÄN</t>
        </is>
      </c>
      <c r="G2520" t="inlineStr">
        <is>
          <t>MALUNG-SÄLEN</t>
        </is>
      </c>
      <c r="I2520" t="n">
        <v>10.6</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23583-2026</t>
        </is>
      </c>
      <c r="B2521" t="inlineStr">
        <is>
          <t>avverkningsanmälan</t>
        </is>
      </c>
      <c r="C2521" t="inlineStr">
        <is>
          <t>Föryngringsavverkning</t>
        </is>
      </c>
      <c r="D2521" s="1" t="n">
        <v>46163</v>
      </c>
      <c r="E2521" s="1" t="n">
        <v>46319</v>
      </c>
      <c r="F2521" t="inlineStr">
        <is>
          <t>DALARNAS LÄN</t>
        </is>
      </c>
      <c r="G2521" t="inlineStr">
        <is>
          <t>ORSA</t>
        </is>
      </c>
      <c r="H2521" t="inlineStr">
        <is>
          <t>Bergvik skog öst AB</t>
        </is>
      </c>
      <c r="I2521" t="n">
        <v>0.6</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23521-2026</t>
        </is>
      </c>
      <c r="B2522" t="inlineStr">
        <is>
          <t>avverkningsanmälan</t>
        </is>
      </c>
      <c r="C2522" t="inlineStr">
        <is>
          <t>Föryngringsavverkning</t>
        </is>
      </c>
      <c r="D2522" s="1" t="n">
        <v>46163</v>
      </c>
      <c r="E2522" s="1" t="n">
        <v>46319</v>
      </c>
      <c r="F2522" t="inlineStr">
        <is>
          <t>DALARNAS LÄN</t>
        </is>
      </c>
      <c r="G2522" t="inlineStr">
        <is>
          <t>FALUN</t>
        </is>
      </c>
      <c r="H2522" t="inlineStr">
        <is>
          <t>Bergvik skog väst AB</t>
        </is>
      </c>
      <c r="I2522" t="n">
        <v>2.2</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23547-2026</t>
        </is>
      </c>
      <c r="B2523" t="inlineStr">
        <is>
          <t>avverkningsanmälan</t>
        </is>
      </c>
      <c r="C2523" t="inlineStr">
        <is>
          <t>Föryngringsavverkning</t>
        </is>
      </c>
      <c r="D2523" s="1" t="n">
        <v>46163</v>
      </c>
      <c r="E2523" s="1" t="n">
        <v>46319</v>
      </c>
      <c r="F2523" t="inlineStr">
        <is>
          <t>DALARNAS LÄN</t>
        </is>
      </c>
      <c r="G2523" t="inlineStr">
        <is>
          <t>SÄTER</t>
        </is>
      </c>
      <c r="I2523" t="n">
        <v>1.6</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44672-2025</t>
        </is>
      </c>
      <c r="B2524" t="inlineStr">
        <is>
          <t>avverkningsanmälan</t>
        </is>
      </c>
      <c r="C2524" t="inlineStr">
        <is>
          <t>Föryngringsavverkning</t>
        </is>
      </c>
      <c r="D2524" s="1" t="n">
        <v>45917</v>
      </c>
      <c r="E2524" s="1" t="n">
        <v>46319</v>
      </c>
      <c r="F2524" t="inlineStr">
        <is>
          <t>DALARNAS LÄN</t>
        </is>
      </c>
      <c r="G2524" t="inlineStr">
        <is>
          <t>LEKSAND</t>
        </is>
      </c>
      <c r="I2524" t="n">
        <v>0.5</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20573-2022</t>
        </is>
      </c>
      <c r="B2525" t="inlineStr">
        <is>
          <t>avverkningsanmälan</t>
        </is>
      </c>
      <c r="C2525" t="inlineStr">
        <is>
          <t>Föryngringsavverkning</t>
        </is>
      </c>
      <c r="D2525" s="1" t="n">
        <v>44700</v>
      </c>
      <c r="E2525" s="1" t="n">
        <v>46319</v>
      </c>
      <c r="F2525" t="inlineStr">
        <is>
          <t>DALARNAS LÄN</t>
        </is>
      </c>
      <c r="G2525" t="inlineStr">
        <is>
          <t>RÄTTVIK</t>
        </is>
      </c>
      <c r="I2525" t="n">
        <v>2.2</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57647-2025</t>
        </is>
      </c>
      <c r="B2526" t="inlineStr">
        <is>
          <t>avverkningsanmälan</t>
        </is>
      </c>
      <c r="C2526" t="inlineStr">
        <is>
          <t>Föryngringsavverkning</t>
        </is>
      </c>
      <c r="D2526" s="1" t="n">
        <v>45981</v>
      </c>
      <c r="E2526" s="1" t="n">
        <v>46319</v>
      </c>
      <c r="F2526" t="inlineStr">
        <is>
          <t>DALARNAS LÄN</t>
        </is>
      </c>
      <c r="G2526" t="inlineStr">
        <is>
          <t>MORA</t>
        </is>
      </c>
      <c r="I2526" t="n">
        <v>3.9</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24169-2026</t>
        </is>
      </c>
      <c r="B2527" t="inlineStr">
        <is>
          <t>avverkningsanmälan</t>
        </is>
      </c>
      <c r="C2527" t="inlineStr">
        <is>
          <t>Föryngringsavverkning</t>
        </is>
      </c>
      <c r="D2527" s="1" t="n">
        <v>46168</v>
      </c>
      <c r="E2527" s="1" t="n">
        <v>46319</v>
      </c>
      <c r="F2527" t="inlineStr">
        <is>
          <t>DALARNAS LÄN</t>
        </is>
      </c>
      <c r="G2527" t="inlineStr">
        <is>
          <t>FALUN</t>
        </is>
      </c>
      <c r="I2527" t="n">
        <v>1.5</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45101-2025</t>
        </is>
      </c>
      <c r="B2528" t="inlineStr">
        <is>
          <t>avverkningsanmälan</t>
        </is>
      </c>
      <c r="C2528" t="inlineStr">
        <is>
          <t>Föryngringsavverkning</t>
        </is>
      </c>
      <c r="D2528" s="1" t="n">
        <v>45919</v>
      </c>
      <c r="E2528" s="1" t="n">
        <v>46319</v>
      </c>
      <c r="F2528" t="inlineStr">
        <is>
          <t>DALARNAS LÄN</t>
        </is>
      </c>
      <c r="G2528" t="inlineStr">
        <is>
          <t>LEKSAND</t>
        </is>
      </c>
      <c r="I2528" t="n">
        <v>0.7</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18064-2022</t>
        </is>
      </c>
      <c r="B2529" t="inlineStr">
        <is>
          <t>avverkningsanmälan</t>
        </is>
      </c>
      <c r="C2529" t="inlineStr">
        <is>
          <t>Föryngringsavverkning</t>
        </is>
      </c>
      <c r="D2529" s="1" t="n">
        <v>44684</v>
      </c>
      <c r="E2529" s="1" t="n">
        <v>46319</v>
      </c>
      <c r="F2529" t="inlineStr">
        <is>
          <t>DALARNAS LÄN</t>
        </is>
      </c>
      <c r="G2529" t="inlineStr">
        <is>
          <t>RÄTTVIK</t>
        </is>
      </c>
      <c r="I2529" t="n">
        <v>4.2</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49645-2024</t>
        </is>
      </c>
      <c r="B2530" t="inlineStr">
        <is>
          <t>avverkningsanmälan</t>
        </is>
      </c>
      <c r="C2530" t="inlineStr">
        <is>
          <t>Föryngringsavverkning</t>
        </is>
      </c>
      <c r="D2530" s="1" t="n">
        <v>45596</v>
      </c>
      <c r="E2530" s="1" t="n">
        <v>46319</v>
      </c>
      <c r="F2530" t="inlineStr">
        <is>
          <t>DALARNAS LÄN</t>
        </is>
      </c>
      <c r="G2530" t="inlineStr">
        <is>
          <t>FALUN</t>
        </is>
      </c>
      <c r="H2530" t="inlineStr">
        <is>
          <t>Bergvik skog väst AB</t>
        </is>
      </c>
      <c r="I2530" t="n">
        <v>1.5</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45497-2025</t>
        </is>
      </c>
      <c r="B2531" t="inlineStr">
        <is>
          <t>avverkningsanmälan</t>
        </is>
      </c>
      <c r="C2531" t="inlineStr">
        <is>
          <t>Föryngringsavverkning</t>
        </is>
      </c>
      <c r="D2531" s="1" t="n">
        <v>45922</v>
      </c>
      <c r="E2531" s="1" t="n">
        <v>46319</v>
      </c>
      <c r="F2531" t="inlineStr">
        <is>
          <t>DALARNAS LÄN</t>
        </is>
      </c>
      <c r="G2531" t="inlineStr">
        <is>
          <t>GAGNEF</t>
        </is>
      </c>
      <c r="I2531" t="n">
        <v>0.9</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61607-2024</t>
        </is>
      </c>
      <c r="B2532" t="inlineStr">
        <is>
          <t>avverkningsanmälan</t>
        </is>
      </c>
      <c r="C2532" t="inlineStr">
        <is>
          <t>Föryngringsavverkning</t>
        </is>
      </c>
      <c r="D2532" s="1" t="n">
        <v>45646</v>
      </c>
      <c r="E2532" s="1" t="n">
        <v>46319</v>
      </c>
      <c r="F2532" t="inlineStr">
        <is>
          <t>DALARNAS LÄN</t>
        </is>
      </c>
      <c r="G2532" t="inlineStr">
        <is>
          <t>RÄTTVIK</t>
        </is>
      </c>
      <c r="I2532" t="n">
        <v>2.1</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45156-2025</t>
        </is>
      </c>
      <c r="B2533" t="inlineStr">
        <is>
          <t>avverkningsanmälan</t>
        </is>
      </c>
      <c r="C2533" t="inlineStr">
        <is>
          <t>Föryngringsavverkning</t>
        </is>
      </c>
      <c r="D2533" s="1" t="n">
        <v>45919</v>
      </c>
      <c r="E2533" s="1" t="n">
        <v>46319</v>
      </c>
      <c r="F2533" t="inlineStr">
        <is>
          <t>DALARNAS LÄN</t>
        </is>
      </c>
      <c r="G2533" t="inlineStr">
        <is>
          <t>ÄLVDALEN</t>
        </is>
      </c>
      <c r="H2533" t="inlineStr">
        <is>
          <t>Allmännings- och besparingsskogar</t>
        </is>
      </c>
      <c r="I2533" t="n">
        <v>3.8</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45175-2025</t>
        </is>
      </c>
      <c r="B2534" t="inlineStr">
        <is>
          <t>avverkningsanmälan</t>
        </is>
      </c>
      <c r="C2534" t="inlineStr">
        <is>
          <t>Föryngringsavverkning</t>
        </is>
      </c>
      <c r="D2534" s="1" t="n">
        <v>45919</v>
      </c>
      <c r="E2534" s="1" t="n">
        <v>46319</v>
      </c>
      <c r="F2534" t="inlineStr">
        <is>
          <t>DALARNAS LÄN</t>
        </is>
      </c>
      <c r="G2534" t="inlineStr">
        <is>
          <t>SMEDJEBACKEN</t>
        </is>
      </c>
      <c r="I2534" t="n">
        <v>0.5</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45180-2025</t>
        </is>
      </c>
      <c r="B2535" t="inlineStr">
        <is>
          <t>avverkningsanmälan</t>
        </is>
      </c>
      <c r="C2535" t="inlineStr">
        <is>
          <t>Föryngringsavverkning</t>
        </is>
      </c>
      <c r="D2535" s="1" t="n">
        <v>45919</v>
      </c>
      <c r="E2535" s="1" t="n">
        <v>46319</v>
      </c>
      <c r="F2535" t="inlineStr">
        <is>
          <t>DALARNAS LÄN</t>
        </is>
      </c>
      <c r="G2535" t="inlineStr">
        <is>
          <t>AVESTA</t>
        </is>
      </c>
      <c r="H2535" t="inlineStr">
        <is>
          <t>Sveaskog</t>
        </is>
      </c>
      <c r="I2535" t="n">
        <v>3.1</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5870-2023</t>
        </is>
      </c>
      <c r="B2536" t="inlineStr">
        <is>
          <t>avverkningsanmälan</t>
        </is>
      </c>
      <c r="C2536" t="inlineStr">
        <is>
          <t>Föryngringsavverkning</t>
        </is>
      </c>
      <c r="D2536" s="1" t="n">
        <v>44963</v>
      </c>
      <c r="E2536" s="1" t="n">
        <v>46319</v>
      </c>
      <c r="F2536" t="inlineStr">
        <is>
          <t>DALARNAS LÄN</t>
        </is>
      </c>
      <c r="G2536" t="inlineStr">
        <is>
          <t>MALUNG-SÄLEN</t>
        </is>
      </c>
      <c r="I2536" t="n">
        <v>1.8</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45207-2025</t>
        </is>
      </c>
      <c r="B2537" t="inlineStr">
        <is>
          <t>avverkningsanmälan</t>
        </is>
      </c>
      <c r="C2537" t="inlineStr">
        <is>
          <t>Föryngringsavverkning</t>
        </is>
      </c>
      <c r="D2537" s="1" t="n">
        <v>45919</v>
      </c>
      <c r="E2537" s="1" t="n">
        <v>46319</v>
      </c>
      <c r="F2537" t="inlineStr">
        <is>
          <t>DALARNAS LÄN</t>
        </is>
      </c>
      <c r="G2537" t="inlineStr">
        <is>
          <t>MALUNG-SÄLEN</t>
        </is>
      </c>
      <c r="I2537" t="n">
        <v>0.7</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45608-2025</t>
        </is>
      </c>
      <c r="B2538" t="inlineStr">
        <is>
          <t>avverkningsanmälan</t>
        </is>
      </c>
      <c r="C2538" t="inlineStr">
        <is>
          <t>Föryngringsavverkning</t>
        </is>
      </c>
      <c r="D2538" s="1" t="n">
        <v>45922</v>
      </c>
      <c r="E2538" s="1" t="n">
        <v>46319</v>
      </c>
      <c r="F2538" t="inlineStr">
        <is>
          <t>DALARNAS LÄN</t>
        </is>
      </c>
      <c r="G2538" t="inlineStr">
        <is>
          <t>SMEDJEBACKEN</t>
        </is>
      </c>
      <c r="I2538" t="n">
        <v>2.4</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16929-2023</t>
        </is>
      </c>
      <c r="B2539" t="inlineStr">
        <is>
          <t>avverkningsanmälan</t>
        </is>
      </c>
      <c r="C2539" t="inlineStr">
        <is>
          <t>Föryngringsavverkning</t>
        </is>
      </c>
      <c r="D2539" s="1" t="n">
        <v>45033</v>
      </c>
      <c r="E2539" s="1" t="n">
        <v>46319</v>
      </c>
      <c r="F2539" t="inlineStr">
        <is>
          <t>DALARNAS LÄN</t>
        </is>
      </c>
      <c r="G2539" t="inlineStr">
        <is>
          <t>FALUN</t>
        </is>
      </c>
      <c r="I2539" t="n">
        <v>0.3</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27921-2023</t>
        </is>
      </c>
      <c r="B2540" t="inlineStr">
        <is>
          <t>avverkningsanmälan</t>
        </is>
      </c>
      <c r="C2540" t="inlineStr">
        <is>
          <t>Föryngringsavverkning</t>
        </is>
      </c>
      <c r="D2540" s="1" t="n">
        <v>45098</v>
      </c>
      <c r="E2540" s="1" t="n">
        <v>46319</v>
      </c>
      <c r="F2540" t="inlineStr">
        <is>
          <t>DALARNAS LÄN</t>
        </is>
      </c>
      <c r="G2540" t="inlineStr">
        <is>
          <t>RÄTTVIK</t>
        </is>
      </c>
      <c r="I2540" t="n">
        <v>0.5</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9938-2023</t>
        </is>
      </c>
      <c r="B2541" t="inlineStr">
        <is>
          <t>avverkningsanmälan</t>
        </is>
      </c>
      <c r="C2541" t="inlineStr">
        <is>
          <t>Föryngringsavverkning</t>
        </is>
      </c>
      <c r="D2541" s="1" t="n">
        <v>44985</v>
      </c>
      <c r="E2541" s="1" t="n">
        <v>46319</v>
      </c>
      <c r="F2541" t="inlineStr">
        <is>
          <t>DALARNAS LÄN</t>
        </is>
      </c>
      <c r="G2541" t="inlineStr">
        <is>
          <t>LEKSAND</t>
        </is>
      </c>
      <c r="I2541" t="n">
        <v>3.1</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13032-2023</t>
        </is>
      </c>
      <c r="B2542" t="inlineStr">
        <is>
          <t>avverkningsanmälan</t>
        </is>
      </c>
      <c r="C2542" t="inlineStr">
        <is>
          <t>Föryngringsavverkning</t>
        </is>
      </c>
      <c r="D2542" s="1" t="n">
        <v>45002</v>
      </c>
      <c r="E2542" s="1" t="n">
        <v>46319</v>
      </c>
      <c r="F2542" t="inlineStr">
        <is>
          <t>DALARNAS LÄN</t>
        </is>
      </c>
      <c r="G2542" t="inlineStr">
        <is>
          <t>RÄTTVIK</t>
        </is>
      </c>
      <c r="I2542" t="n">
        <v>1</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23923-2026</t>
        </is>
      </c>
      <c r="B2543" t="inlineStr">
        <is>
          <t>avverkningsanmälan</t>
        </is>
      </c>
      <c r="C2543" t="inlineStr">
        <is>
          <t>Föryngringsavverkning</t>
        </is>
      </c>
      <c r="D2543" s="1" t="n">
        <v>46167</v>
      </c>
      <c r="E2543" s="1" t="n">
        <v>46319</v>
      </c>
      <c r="F2543" t="inlineStr">
        <is>
          <t>DALARNAS LÄN</t>
        </is>
      </c>
      <c r="G2543" t="inlineStr">
        <is>
          <t>BORLÄNGE</t>
        </is>
      </c>
      <c r="I2543" t="n">
        <v>1.2</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23985-2026</t>
        </is>
      </c>
      <c r="B2544" t="inlineStr">
        <is>
          <t>avverkningsanmälan</t>
        </is>
      </c>
      <c r="C2544" t="inlineStr">
        <is>
          <t>Föryngringsavverkning</t>
        </is>
      </c>
      <c r="D2544" s="1" t="n">
        <v>46167</v>
      </c>
      <c r="E2544" s="1" t="n">
        <v>46319</v>
      </c>
      <c r="F2544" t="inlineStr">
        <is>
          <t>DALARNAS LÄN</t>
        </is>
      </c>
      <c r="G2544" t="inlineStr">
        <is>
          <t>ORSA</t>
        </is>
      </c>
      <c r="H2544" t="inlineStr">
        <is>
          <t>Bergvik skog öst AB</t>
        </is>
      </c>
      <c r="I2544" t="n">
        <v>1.8</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45191-2025</t>
        </is>
      </c>
      <c r="B2545" t="inlineStr">
        <is>
          <t>avverkningsanmälan</t>
        </is>
      </c>
      <c r="C2545" t="inlineStr">
        <is>
          <t>Föryngringsavverkning</t>
        </is>
      </c>
      <c r="D2545" s="1" t="n">
        <v>45919</v>
      </c>
      <c r="E2545" s="1" t="n">
        <v>46319</v>
      </c>
      <c r="F2545" t="inlineStr">
        <is>
          <t>DALARNAS LÄN</t>
        </is>
      </c>
      <c r="G2545" t="inlineStr">
        <is>
          <t>MORA</t>
        </is>
      </c>
      <c r="I2545" t="n">
        <v>2.2</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45233-2025</t>
        </is>
      </c>
      <c r="B2546" t="inlineStr">
        <is>
          <t>avverkningsanmälan</t>
        </is>
      </c>
      <c r="C2546" t="inlineStr">
        <is>
          <t>Föryngringsavverkning</t>
        </is>
      </c>
      <c r="D2546" s="1" t="n">
        <v>45919</v>
      </c>
      <c r="E2546" s="1" t="n">
        <v>46319</v>
      </c>
      <c r="F2546" t="inlineStr">
        <is>
          <t>DALARNAS LÄN</t>
        </is>
      </c>
      <c r="G2546" t="inlineStr">
        <is>
          <t>MALUNG-SÄLEN</t>
        </is>
      </c>
      <c r="I2546" t="n">
        <v>1.4</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45300-2025</t>
        </is>
      </c>
      <c r="B2547" t="inlineStr">
        <is>
          <t>avverkningsanmälan</t>
        </is>
      </c>
      <c r="C2547" t="inlineStr">
        <is>
          <t>Föryngringsavverkning</t>
        </is>
      </c>
      <c r="D2547" s="1" t="n">
        <v>45921</v>
      </c>
      <c r="E2547" s="1" t="n">
        <v>46319</v>
      </c>
      <c r="F2547" t="inlineStr">
        <is>
          <t>DALARNAS LÄN</t>
        </is>
      </c>
      <c r="G2547" t="inlineStr">
        <is>
          <t>LEKSAND</t>
        </is>
      </c>
      <c r="I2547" t="n">
        <v>2.3</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5766-2025</t>
        </is>
      </c>
      <c r="B2548" t="inlineStr">
        <is>
          <t>avverkningsanmälan</t>
        </is>
      </c>
      <c r="C2548" t="inlineStr">
        <is>
          <t>Föryngringsavverkning</t>
        </is>
      </c>
      <c r="D2548" s="1" t="n">
        <v>45694</v>
      </c>
      <c r="E2548" s="1" t="n">
        <v>46319</v>
      </c>
      <c r="F2548" t="inlineStr">
        <is>
          <t>DALARNAS LÄN</t>
        </is>
      </c>
      <c r="G2548" t="inlineStr">
        <is>
          <t>HEDEMORA</t>
        </is>
      </c>
      <c r="I2548" t="n">
        <v>4.9</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59101-2024</t>
        </is>
      </c>
      <c r="B2549" t="inlineStr">
        <is>
          <t>avverkningsanmälan</t>
        </is>
      </c>
      <c r="C2549" t="inlineStr">
        <is>
          <t>Föryngringsavverkning</t>
        </is>
      </c>
      <c r="D2549" s="1" t="n">
        <v>45637</v>
      </c>
      <c r="E2549" s="1" t="n">
        <v>46319</v>
      </c>
      <c r="F2549" t="inlineStr">
        <is>
          <t>DALARNAS LÄN</t>
        </is>
      </c>
      <c r="G2549" t="inlineStr">
        <is>
          <t>MORA</t>
        </is>
      </c>
      <c r="H2549" t="inlineStr">
        <is>
          <t>Allmännings- och besparingsskogar</t>
        </is>
      </c>
      <c r="I2549" t="n">
        <v>1.2</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59103-2024</t>
        </is>
      </c>
      <c r="B2550" t="inlineStr">
        <is>
          <t>avverkningsanmälan</t>
        </is>
      </c>
      <c r="C2550" t="inlineStr">
        <is>
          <t>Föryngringsavverkning</t>
        </is>
      </c>
      <c r="D2550" s="1" t="n">
        <v>45637</v>
      </c>
      <c r="E2550" s="1" t="n">
        <v>46319</v>
      </c>
      <c r="F2550" t="inlineStr">
        <is>
          <t>DALARNAS LÄN</t>
        </is>
      </c>
      <c r="G2550" t="inlineStr">
        <is>
          <t>LEKSAND</t>
        </is>
      </c>
      <c r="I2550" t="n">
        <v>1.5</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3107-2025</t>
        </is>
      </c>
      <c r="B2551" t="inlineStr">
        <is>
          <t>avverkningsanmälan</t>
        </is>
      </c>
      <c r="C2551" t="inlineStr">
        <is>
          <t>Föryngringsavverkning</t>
        </is>
      </c>
      <c r="D2551" s="1" t="n">
        <v>45678</v>
      </c>
      <c r="E2551" s="1" t="n">
        <v>46319</v>
      </c>
      <c r="F2551" t="inlineStr">
        <is>
          <t>DALARNAS LÄN</t>
        </is>
      </c>
      <c r="G2551" t="inlineStr">
        <is>
          <t>ORSA</t>
        </is>
      </c>
      <c r="I2551" t="n">
        <v>2.1</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45503-2025</t>
        </is>
      </c>
      <c r="B2552" t="inlineStr">
        <is>
          <t>avverkningsanmälan</t>
        </is>
      </c>
      <c r="C2552" t="inlineStr">
        <is>
          <t>Föryngringsavverkning</t>
        </is>
      </c>
      <c r="D2552" s="1" t="n">
        <v>45922</v>
      </c>
      <c r="E2552" s="1" t="n">
        <v>46319</v>
      </c>
      <c r="F2552" t="inlineStr">
        <is>
          <t>DALARNAS LÄN</t>
        </is>
      </c>
      <c r="G2552" t="inlineStr">
        <is>
          <t>AVESTA</t>
        </is>
      </c>
      <c r="I2552" t="n">
        <v>2.4</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13543-2026</t>
        </is>
      </c>
      <c r="B2553" t="inlineStr">
        <is>
          <t>avverkningsanmälan</t>
        </is>
      </c>
      <c r="C2553" t="inlineStr">
        <is>
          <t>Föryngringsavverkning</t>
        </is>
      </c>
      <c r="D2553" s="1" t="n">
        <v>46094</v>
      </c>
      <c r="E2553" s="1" t="n">
        <v>46319</v>
      </c>
      <c r="F2553" t="inlineStr">
        <is>
          <t>DALARNAS LÄN</t>
        </is>
      </c>
      <c r="G2553" t="inlineStr">
        <is>
          <t>MORA</t>
        </is>
      </c>
      <c r="I2553" t="n">
        <v>1.3</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24016-2026</t>
        </is>
      </c>
      <c r="B2554" t="inlineStr">
        <is>
          <t>avverkningsanmälan</t>
        </is>
      </c>
      <c r="C2554" t="inlineStr">
        <is>
          <t>Föryngringsavverkning</t>
        </is>
      </c>
      <c r="D2554" s="1" t="n">
        <v>46167</v>
      </c>
      <c r="E2554" s="1" t="n">
        <v>46319</v>
      </c>
      <c r="F2554" t="inlineStr">
        <is>
          <t>DALARNAS LÄN</t>
        </is>
      </c>
      <c r="G2554" t="inlineStr">
        <is>
          <t>FALUN</t>
        </is>
      </c>
      <c r="I2554" t="n">
        <v>9.9</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45205-2025</t>
        </is>
      </c>
      <c r="B2555" t="inlineStr">
        <is>
          <t>avverkningsanmälan</t>
        </is>
      </c>
      <c r="C2555" t="inlineStr">
        <is>
          <t>Föryngringsavverkning</t>
        </is>
      </c>
      <c r="D2555" s="1" t="n">
        <v>45919</v>
      </c>
      <c r="E2555" s="1" t="n">
        <v>46319</v>
      </c>
      <c r="F2555" t="inlineStr">
        <is>
          <t>DALARNAS LÄN</t>
        </is>
      </c>
      <c r="G2555" t="inlineStr">
        <is>
          <t>MALUNG-SÄLEN</t>
        </is>
      </c>
      <c r="I2555" t="n">
        <v>1.8</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24004-2026</t>
        </is>
      </c>
      <c r="B2556" t="inlineStr">
        <is>
          <t>avverkningsanmälan</t>
        </is>
      </c>
      <c r="C2556" t="inlineStr">
        <is>
          <t>Föryngringsavverkning</t>
        </is>
      </c>
      <c r="D2556" s="1" t="n">
        <v>46167</v>
      </c>
      <c r="E2556" s="1" t="n">
        <v>46319</v>
      </c>
      <c r="F2556" t="inlineStr">
        <is>
          <t>DALARNAS LÄN</t>
        </is>
      </c>
      <c r="G2556" t="inlineStr">
        <is>
          <t>FALUN</t>
        </is>
      </c>
      <c r="H2556" t="inlineStr">
        <is>
          <t>Bergvik skog väst AB</t>
        </is>
      </c>
      <c r="I2556" t="n">
        <v>9.5</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24038-2026</t>
        </is>
      </c>
      <c r="B2557" t="inlineStr">
        <is>
          <t>avverkningsanmälan</t>
        </is>
      </c>
      <c r="C2557" t="inlineStr">
        <is>
          <t>Föryngringsavverkning</t>
        </is>
      </c>
      <c r="D2557" s="1" t="n">
        <v>46167</v>
      </c>
      <c r="E2557" s="1" t="n">
        <v>46319</v>
      </c>
      <c r="F2557" t="inlineStr">
        <is>
          <t>DALARNAS LÄN</t>
        </is>
      </c>
      <c r="G2557" t="inlineStr">
        <is>
          <t>GAGNEF</t>
        </is>
      </c>
      <c r="I2557" t="n">
        <v>2.2</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24043-2026</t>
        </is>
      </c>
      <c r="B2558" t="inlineStr">
        <is>
          <t>avverkningsanmälan</t>
        </is>
      </c>
      <c r="C2558" t="inlineStr">
        <is>
          <t>Föryngringsavverkning</t>
        </is>
      </c>
      <c r="D2558" s="1" t="n">
        <v>46168</v>
      </c>
      <c r="E2558" s="1" t="n">
        <v>46319</v>
      </c>
      <c r="F2558" t="inlineStr">
        <is>
          <t>DALARNAS LÄN</t>
        </is>
      </c>
      <c r="G2558" t="inlineStr">
        <is>
          <t>MORA</t>
        </is>
      </c>
      <c r="H2558" t="inlineStr">
        <is>
          <t>Bergvik skog öst AB</t>
        </is>
      </c>
      <c r="I2558" t="n">
        <v>0.3</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24107-2026</t>
        </is>
      </c>
      <c r="B2559" t="inlineStr">
        <is>
          <t>avverkningsanmälan</t>
        </is>
      </c>
      <c r="C2559" t="inlineStr">
        <is>
          <t>Föryngringsavverkning</t>
        </is>
      </c>
      <c r="D2559" s="1" t="n">
        <v>46168</v>
      </c>
      <c r="E2559" s="1" t="n">
        <v>46319</v>
      </c>
      <c r="F2559" t="inlineStr">
        <is>
          <t>DALARNAS LÄN</t>
        </is>
      </c>
      <c r="G2559" t="inlineStr">
        <is>
          <t>FALUN</t>
        </is>
      </c>
      <c r="I2559" t="n">
        <v>1.1</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20167-2026</t>
        </is>
      </c>
      <c r="B2560" t="inlineStr">
        <is>
          <t>avverkningsanmälan</t>
        </is>
      </c>
      <c r="C2560" t="inlineStr">
        <is>
          <t>Föryngringsavverkning</t>
        </is>
      </c>
      <c r="D2560" s="1" t="n">
        <v>46139</v>
      </c>
      <c r="E2560" s="1" t="n">
        <v>46319</v>
      </c>
      <c r="F2560" t="inlineStr">
        <is>
          <t>DALARNAS LÄN</t>
        </is>
      </c>
      <c r="G2560" t="inlineStr">
        <is>
          <t>RÄTTVIK</t>
        </is>
      </c>
      <c r="I2560" t="n">
        <v>0.7</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43195-2025</t>
        </is>
      </c>
      <c r="B2561" t="inlineStr">
        <is>
          <t>avverkningsanmälan</t>
        </is>
      </c>
      <c r="C2561" t="inlineStr">
        <is>
          <t>Föryngringsavverkning</t>
        </is>
      </c>
      <c r="D2561" s="1" t="n">
        <v>45910</v>
      </c>
      <c r="E2561" s="1" t="n">
        <v>46319</v>
      </c>
      <c r="F2561" t="inlineStr">
        <is>
          <t>DALARNAS LÄN</t>
        </is>
      </c>
      <c r="G2561" t="inlineStr">
        <is>
          <t>LEKSAND</t>
        </is>
      </c>
      <c r="I2561" t="n">
        <v>2.5</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14616-2024</t>
        </is>
      </c>
      <c r="B2562" t="inlineStr">
        <is>
          <t>avverkningsanmälan</t>
        </is>
      </c>
      <c r="C2562" t="inlineStr">
        <is>
          <t>Föryngringsavverkning</t>
        </is>
      </c>
      <c r="D2562" s="1" t="n">
        <v>45397</v>
      </c>
      <c r="E2562" s="1" t="n">
        <v>46319</v>
      </c>
      <c r="F2562" t="inlineStr">
        <is>
          <t>DALARNAS LÄN</t>
        </is>
      </c>
      <c r="G2562" t="inlineStr">
        <is>
          <t>LEKSAND</t>
        </is>
      </c>
      <c r="I2562" t="n">
        <v>0.5</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45584-2025</t>
        </is>
      </c>
      <c r="B2563" t="inlineStr">
        <is>
          <t>avverkningsanmälan</t>
        </is>
      </c>
      <c r="C2563" t="inlineStr">
        <is>
          <t>Avverkning för att bevara och utveckla /försöksver</t>
        </is>
      </c>
      <c r="D2563" s="1" t="n">
        <v>45922</v>
      </c>
      <c r="E2563" s="1" t="n">
        <v>46319</v>
      </c>
      <c r="F2563" t="inlineStr">
        <is>
          <t>DALARNAS LÄN</t>
        </is>
      </c>
      <c r="G2563" t="inlineStr">
        <is>
          <t>FALUN</t>
        </is>
      </c>
      <c r="H2563" t="inlineStr">
        <is>
          <t>Bergvik skog väst AB</t>
        </is>
      </c>
      <c r="I2563" t="n">
        <v>1.2</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45295-2025</t>
        </is>
      </c>
      <c r="B2564" t="inlineStr">
        <is>
          <t>avverkningsanmälan</t>
        </is>
      </c>
      <c r="C2564" t="inlineStr">
        <is>
          <t>Föryngringsavverkning</t>
        </is>
      </c>
      <c r="D2564" s="1" t="n">
        <v>45920</v>
      </c>
      <c r="E2564" s="1" t="n">
        <v>46319</v>
      </c>
      <c r="F2564" t="inlineStr">
        <is>
          <t>DALARNAS LÄN</t>
        </is>
      </c>
      <c r="G2564" t="inlineStr">
        <is>
          <t>RÄTTVIK</t>
        </is>
      </c>
      <c r="I2564" t="n">
        <v>12.4</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53540-2022</t>
        </is>
      </c>
      <c r="B2565" t="inlineStr">
        <is>
          <t>avverkningsanmälan</t>
        </is>
      </c>
      <c r="C2565" t="inlineStr">
        <is>
          <t>Föryngringsavverkning</t>
        </is>
      </c>
      <c r="D2565" s="1" t="n">
        <v>44879</v>
      </c>
      <c r="E2565" s="1" t="n">
        <v>46319</v>
      </c>
      <c r="F2565" t="inlineStr">
        <is>
          <t>DALARNAS LÄN</t>
        </is>
      </c>
      <c r="G2565" t="inlineStr">
        <is>
          <t>FALUN</t>
        </is>
      </c>
      <c r="I2565" t="n">
        <v>1</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58508-2022</t>
        </is>
      </c>
      <c r="B2566" t="inlineStr">
        <is>
          <t>avverkningsanmälan</t>
        </is>
      </c>
      <c r="C2566" t="inlineStr">
        <is>
          <t>Föryngringsavverkning</t>
        </is>
      </c>
      <c r="D2566" s="1" t="n">
        <v>44902</v>
      </c>
      <c r="E2566" s="1" t="n">
        <v>46319</v>
      </c>
      <c r="F2566" t="inlineStr">
        <is>
          <t>DALARNAS LÄN</t>
        </is>
      </c>
      <c r="G2566" t="inlineStr">
        <is>
          <t>FALUN</t>
        </is>
      </c>
      <c r="I2566" t="n">
        <v>0.7</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21905-2022</t>
        </is>
      </c>
      <c r="B2567" t="inlineStr">
        <is>
          <t>avverkningsanmälan</t>
        </is>
      </c>
      <c r="C2567" t="inlineStr">
        <is>
          <t>Föryngringsavverkning</t>
        </is>
      </c>
      <c r="D2567" s="1" t="n">
        <v>44711</v>
      </c>
      <c r="E2567" s="1" t="n">
        <v>46319</v>
      </c>
      <c r="F2567" t="inlineStr">
        <is>
          <t>DALARNAS LÄN</t>
        </is>
      </c>
      <c r="G2567" t="inlineStr">
        <is>
          <t>ORSA</t>
        </is>
      </c>
      <c r="H2567" t="inlineStr">
        <is>
          <t>Allmännings- och besparingsskogar</t>
        </is>
      </c>
      <c r="I2567" t="n">
        <v>3.1</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15188-2026</t>
        </is>
      </c>
      <c r="B2568" t="inlineStr">
        <is>
          <t>avverkningsanmälan</t>
        </is>
      </c>
      <c r="C2568" t="inlineStr">
        <is>
          <t>Föryngringsavverkning</t>
        </is>
      </c>
      <c r="D2568" s="1" t="n">
        <v>46105</v>
      </c>
      <c r="E2568" s="1" t="n">
        <v>46319</v>
      </c>
      <c r="F2568" t="inlineStr">
        <is>
          <t>DALARNAS LÄN</t>
        </is>
      </c>
      <c r="G2568" t="inlineStr">
        <is>
          <t>RÄTTVIK</t>
        </is>
      </c>
      <c r="H2568" t="inlineStr">
        <is>
          <t>Bergvik skog väst AB</t>
        </is>
      </c>
      <c r="I2568" t="n">
        <v>9.300000000000001</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45318-2025</t>
        </is>
      </c>
      <c r="B2569" t="inlineStr">
        <is>
          <t>avverkningsanmälan</t>
        </is>
      </c>
      <c r="C2569" t="inlineStr">
        <is>
          <t>Föryngringsavverkning</t>
        </is>
      </c>
      <c r="D2569" s="1" t="n">
        <v>45921</v>
      </c>
      <c r="E2569" s="1" t="n">
        <v>46319</v>
      </c>
      <c r="F2569" t="inlineStr">
        <is>
          <t>DALARNAS LÄN</t>
        </is>
      </c>
      <c r="G2569" t="inlineStr">
        <is>
          <t>LEKSAND</t>
        </is>
      </c>
      <c r="I2569" t="n">
        <v>0.6</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70099-2021</t>
        </is>
      </c>
      <c r="B2570" t="inlineStr">
        <is>
          <t>avverkningsanmälan</t>
        </is>
      </c>
      <c r="C2570" t="inlineStr">
        <is>
          <t>Föryngringsavverkning</t>
        </is>
      </c>
      <c r="D2570" s="1" t="n">
        <v>44533</v>
      </c>
      <c r="E2570" s="1" t="n">
        <v>46319</v>
      </c>
      <c r="F2570" t="inlineStr">
        <is>
          <t>DALARNAS LÄN</t>
        </is>
      </c>
      <c r="G2570" t="inlineStr">
        <is>
          <t>LEKSAND</t>
        </is>
      </c>
      <c r="I2570" t="n">
        <v>2.8</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41370-2025</t>
        </is>
      </c>
      <c r="B2571" t="inlineStr">
        <is>
          <t>avverkningsanmälan</t>
        </is>
      </c>
      <c r="C2571" t="inlineStr">
        <is>
          <t>Föryngringsavverkning</t>
        </is>
      </c>
      <c r="D2571" s="1" t="n">
        <v>45900</v>
      </c>
      <c r="E2571" s="1" t="n">
        <v>46319</v>
      </c>
      <c r="F2571" t="inlineStr">
        <is>
          <t>DALARNAS LÄN</t>
        </is>
      </c>
      <c r="G2571" t="inlineStr">
        <is>
          <t>FALUN</t>
        </is>
      </c>
      <c r="I2571" t="n">
        <v>1</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5975-2026</t>
        </is>
      </c>
      <c r="B2572" t="inlineStr">
        <is>
          <t>avverkningsanmälan</t>
        </is>
      </c>
      <c r="C2572" t="inlineStr">
        <is>
          <t>Föryngringsavverkning</t>
        </is>
      </c>
      <c r="D2572" s="1" t="n">
        <v>46052</v>
      </c>
      <c r="E2572" s="1" t="n">
        <v>46319</v>
      </c>
      <c r="F2572" t="inlineStr">
        <is>
          <t>DALARNAS LÄN</t>
        </is>
      </c>
      <c r="G2572" t="inlineStr">
        <is>
          <t>RÄTTVIK</t>
        </is>
      </c>
      <c r="I2572" t="n">
        <v>16.1</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45049-2025</t>
        </is>
      </c>
      <c r="B2573" t="inlineStr">
        <is>
          <t>avverkningsanmälan</t>
        </is>
      </c>
      <c r="C2573" t="inlineStr">
        <is>
          <t>Föryngringsavverkning</t>
        </is>
      </c>
      <c r="D2573" s="1" t="n">
        <v>45919</v>
      </c>
      <c r="E2573" s="1" t="n">
        <v>46319</v>
      </c>
      <c r="F2573" t="inlineStr">
        <is>
          <t>DALARNAS LÄN</t>
        </is>
      </c>
      <c r="G2573" t="inlineStr">
        <is>
          <t>RÄTTVIK</t>
        </is>
      </c>
      <c r="I2573" t="n">
        <v>2.3</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45803-2025</t>
        </is>
      </c>
      <c r="B2574" t="inlineStr">
        <is>
          <t>avverkningsanmälan</t>
        </is>
      </c>
      <c r="C2574" t="inlineStr">
        <is>
          <t>Föryngringsavverkning</t>
        </is>
      </c>
      <c r="D2574" s="1" t="n">
        <v>45923</v>
      </c>
      <c r="E2574" s="1" t="n">
        <v>46319</v>
      </c>
      <c r="F2574" t="inlineStr">
        <is>
          <t>DALARNAS LÄN</t>
        </is>
      </c>
      <c r="G2574" t="inlineStr">
        <is>
          <t>ORSA</t>
        </is>
      </c>
      <c r="H2574" t="inlineStr">
        <is>
          <t>Allmännings- och besparingsskogar</t>
        </is>
      </c>
      <c r="I2574" t="n">
        <v>3.4</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42436-2024</t>
        </is>
      </c>
      <c r="B2575" t="inlineStr">
        <is>
          <t>avverkningsanmälan</t>
        </is>
      </c>
      <c r="C2575" t="inlineStr">
        <is>
          <t>Avverkning för annat ändamål</t>
        </is>
      </c>
      <c r="D2575" s="1" t="n">
        <v>45565</v>
      </c>
      <c r="E2575" s="1" t="n">
        <v>46319</v>
      </c>
      <c r="F2575" t="inlineStr">
        <is>
          <t>DALARNAS LÄN</t>
        </is>
      </c>
      <c r="G2575" t="inlineStr">
        <is>
          <t>FALUN</t>
        </is>
      </c>
      <c r="H2575" t="inlineStr">
        <is>
          <t>Bergvik skog väst AB</t>
        </is>
      </c>
      <c r="I2575" t="n">
        <v>1.7</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43874-2024</t>
        </is>
      </c>
      <c r="B2576" t="inlineStr">
        <is>
          <t>avverkningsanmälan</t>
        </is>
      </c>
      <c r="C2576" t="inlineStr">
        <is>
          <t>Avverkning för att bevara och utveckla /försöksver</t>
        </is>
      </c>
      <c r="D2576" s="1" t="n">
        <v>45572</v>
      </c>
      <c r="E2576" s="1" t="n">
        <v>46319</v>
      </c>
      <c r="F2576" t="inlineStr">
        <is>
          <t>DALARNAS LÄN</t>
        </is>
      </c>
      <c r="G2576" t="inlineStr">
        <is>
          <t>MORA</t>
        </is>
      </c>
      <c r="I2576" t="n">
        <v>3.6</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45826-2025</t>
        </is>
      </c>
      <c r="B2577" t="inlineStr">
        <is>
          <t>avverkningsanmälan</t>
        </is>
      </c>
      <c r="C2577" t="inlineStr">
        <is>
          <t>Föryngringsavverkning</t>
        </is>
      </c>
      <c r="D2577" s="1" t="n">
        <v>45923</v>
      </c>
      <c r="E2577" s="1" t="n">
        <v>46319</v>
      </c>
      <c r="F2577" t="inlineStr">
        <is>
          <t>DALARNAS LÄN</t>
        </is>
      </c>
      <c r="G2577" t="inlineStr">
        <is>
          <t>RÄTTVIK</t>
        </is>
      </c>
      <c r="I2577" t="n">
        <v>0.9</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23946-2026</t>
        </is>
      </c>
      <c r="B2578" t="inlineStr">
        <is>
          <t>avverkningsanmälan</t>
        </is>
      </c>
      <c r="C2578" t="inlineStr">
        <is>
          <t>Föryngringsavverkning</t>
        </is>
      </c>
      <c r="D2578" s="1" t="n">
        <v>46167</v>
      </c>
      <c r="E2578" s="1" t="n">
        <v>46319</v>
      </c>
      <c r="F2578" t="inlineStr">
        <is>
          <t>DALARNAS LÄN</t>
        </is>
      </c>
      <c r="G2578" t="inlineStr">
        <is>
          <t>RÄTTVIK</t>
        </is>
      </c>
      <c r="I2578" t="n">
        <v>1.6</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24186-2026</t>
        </is>
      </c>
      <c r="B2579" t="inlineStr">
        <is>
          <t>avverkningsanmälan</t>
        </is>
      </c>
      <c r="C2579" t="inlineStr">
        <is>
          <t>Föryngringsavverkning</t>
        </is>
      </c>
      <c r="D2579" s="1" t="n">
        <v>46168</v>
      </c>
      <c r="E2579" s="1" t="n">
        <v>46319</v>
      </c>
      <c r="F2579" t="inlineStr">
        <is>
          <t>DALARNAS LÄN</t>
        </is>
      </c>
      <c r="G2579" t="inlineStr">
        <is>
          <t>FALUN</t>
        </is>
      </c>
      <c r="I2579" t="n">
        <v>1.8</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28013-2022</t>
        </is>
      </c>
      <c r="B2580" t="inlineStr">
        <is>
          <t>avverkningsanmälan</t>
        </is>
      </c>
      <c r="C2580" t="inlineStr">
        <is>
          <t>Föryngringsavverkning</t>
        </is>
      </c>
      <c r="D2580" s="1" t="n">
        <v>44746</v>
      </c>
      <c r="E2580" s="1" t="n">
        <v>46319</v>
      </c>
      <c r="F2580" t="inlineStr">
        <is>
          <t>DALARNAS LÄN</t>
        </is>
      </c>
      <c r="G2580" t="inlineStr">
        <is>
          <t>RÄTTVIK</t>
        </is>
      </c>
      <c r="I2580" t="n">
        <v>3.6</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43762-2025</t>
        </is>
      </c>
      <c r="B2581" t="inlineStr">
        <is>
          <t>avverkningsanmälan</t>
        </is>
      </c>
      <c r="C2581" t="inlineStr">
        <is>
          <t>Föryngringsavverkning</t>
        </is>
      </c>
      <c r="D2581" s="1" t="n">
        <v>45912</v>
      </c>
      <c r="E2581" s="1" t="n">
        <v>46319</v>
      </c>
      <c r="F2581" t="inlineStr">
        <is>
          <t>DALARNAS LÄN</t>
        </is>
      </c>
      <c r="G2581" t="inlineStr">
        <is>
          <t>LUDVIKA</t>
        </is>
      </c>
      <c r="H2581" t="inlineStr">
        <is>
          <t>Bergvik skog väst AB</t>
        </is>
      </c>
      <c r="I2581" t="n">
        <v>3.9</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45681-2025</t>
        </is>
      </c>
      <c r="B2582" t="inlineStr">
        <is>
          <t>avverkningsanmälan</t>
        </is>
      </c>
      <c r="C2582" t="inlineStr">
        <is>
          <t>Föryngringsavverkning</t>
        </is>
      </c>
      <c r="D2582" s="1" t="n">
        <v>45923</v>
      </c>
      <c r="E2582" s="1" t="n">
        <v>46319</v>
      </c>
      <c r="F2582" t="inlineStr">
        <is>
          <t>DALARNAS LÄN</t>
        </is>
      </c>
      <c r="G2582" t="inlineStr">
        <is>
          <t>RÄTTVIK</t>
        </is>
      </c>
      <c r="I2582" t="n">
        <v>1.8</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46040-2025</t>
        </is>
      </c>
      <c r="B2583" t="inlineStr">
        <is>
          <t>avverkningsanmälan</t>
        </is>
      </c>
      <c r="C2583" t="inlineStr">
        <is>
          <t>Föryngringsavverkning</t>
        </is>
      </c>
      <c r="D2583" s="1" t="n">
        <v>45924</v>
      </c>
      <c r="E2583" s="1" t="n">
        <v>46319</v>
      </c>
      <c r="F2583" t="inlineStr">
        <is>
          <t>DALARNAS LÄN</t>
        </is>
      </c>
      <c r="G2583" t="inlineStr">
        <is>
          <t>LUDVIKA</t>
        </is>
      </c>
      <c r="H2583" t="inlineStr">
        <is>
          <t>Bergvik skog väst AB</t>
        </is>
      </c>
      <c r="I2583" t="n">
        <v>3.8</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24376-2026</t>
        </is>
      </c>
      <c r="B2584" t="inlineStr">
        <is>
          <t>avverkningsanmälan</t>
        </is>
      </c>
      <c r="C2584" t="inlineStr">
        <is>
          <t>Föryngringsavverkning</t>
        </is>
      </c>
      <c r="D2584" s="1" t="n">
        <v>46167</v>
      </c>
      <c r="E2584" s="1" t="n">
        <v>46319</v>
      </c>
      <c r="F2584" t="inlineStr">
        <is>
          <t>DALARNAS LÄN</t>
        </is>
      </c>
      <c r="G2584" t="inlineStr">
        <is>
          <t>SÄTER</t>
        </is>
      </c>
      <c r="I2584" t="n">
        <v>7</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15661-2023</t>
        </is>
      </c>
      <c r="B2585" t="inlineStr">
        <is>
          <t>avverkningsanmälan</t>
        </is>
      </c>
      <c r="C2585" t="inlineStr">
        <is>
          <t>Föryngringsavverkning</t>
        </is>
      </c>
      <c r="D2585" s="1" t="n">
        <v>45019</v>
      </c>
      <c r="E2585" s="1" t="n">
        <v>46319</v>
      </c>
      <c r="F2585" t="inlineStr">
        <is>
          <t>DALARNAS LÄN</t>
        </is>
      </c>
      <c r="G2585" t="inlineStr">
        <is>
          <t>RÄTTVIK</t>
        </is>
      </c>
      <c r="I2585" t="n">
        <v>1.1</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15668-2023</t>
        </is>
      </c>
      <c r="B2586" t="inlineStr">
        <is>
          <t>avverkningsanmälan</t>
        </is>
      </c>
      <c r="C2586" t="inlineStr">
        <is>
          <t>Föryngringsavverkning</t>
        </is>
      </c>
      <c r="D2586" s="1" t="n">
        <v>45019</v>
      </c>
      <c r="E2586" s="1" t="n">
        <v>46319</v>
      </c>
      <c r="F2586" t="inlineStr">
        <is>
          <t>DALARNAS LÄN</t>
        </is>
      </c>
      <c r="G2586" t="inlineStr">
        <is>
          <t>RÄTTVIK</t>
        </is>
      </c>
      <c r="I2586" t="n">
        <v>2.4</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46024-2025</t>
        </is>
      </c>
      <c r="B2587" t="inlineStr">
        <is>
          <t>avverkningsanmälan</t>
        </is>
      </c>
      <c r="C2587" t="inlineStr">
        <is>
          <t>Föryngringsavverkning</t>
        </is>
      </c>
      <c r="D2587" s="1" t="n">
        <v>45924</v>
      </c>
      <c r="E2587" s="1" t="n">
        <v>46319</v>
      </c>
      <c r="F2587" t="inlineStr">
        <is>
          <t>DALARNAS LÄN</t>
        </is>
      </c>
      <c r="G2587" t="inlineStr">
        <is>
          <t>LUDVIKA</t>
        </is>
      </c>
      <c r="H2587" t="inlineStr">
        <is>
          <t>Bergvik skog väst AB</t>
        </is>
      </c>
      <c r="I2587" t="n">
        <v>1.8</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24206-2026</t>
        </is>
      </c>
      <c r="B2588" t="inlineStr">
        <is>
          <t>avverkningsanmälan</t>
        </is>
      </c>
      <c r="C2588" t="inlineStr">
        <is>
          <t>Föryngringsavverkning</t>
        </is>
      </c>
      <c r="D2588" s="1" t="n">
        <v>46168</v>
      </c>
      <c r="E2588" s="1" t="n">
        <v>46319</v>
      </c>
      <c r="F2588" t="inlineStr">
        <is>
          <t>DALARNAS LÄN</t>
        </is>
      </c>
      <c r="G2588" t="inlineStr">
        <is>
          <t>SMEDJEBACKEN</t>
        </is>
      </c>
      <c r="H2588" t="inlineStr">
        <is>
          <t>Övriga Aktiebolag</t>
        </is>
      </c>
      <c r="I2588" t="n">
        <v>1.1</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24208-2026</t>
        </is>
      </c>
      <c r="B2589" t="inlineStr">
        <is>
          <t>avverkningsanmälan</t>
        </is>
      </c>
      <c r="C2589" t="inlineStr">
        <is>
          <t>Föryngringsavverkning</t>
        </is>
      </c>
      <c r="D2589" s="1" t="n">
        <v>46168</v>
      </c>
      <c r="E2589" s="1" t="n">
        <v>46319</v>
      </c>
      <c r="F2589" t="inlineStr">
        <is>
          <t>DALARNAS LÄN</t>
        </is>
      </c>
      <c r="G2589" t="inlineStr">
        <is>
          <t>SMEDJEBACKEN</t>
        </is>
      </c>
      <c r="H2589" t="inlineStr">
        <is>
          <t>Övriga Aktiebolag</t>
        </is>
      </c>
      <c r="I2589" t="n">
        <v>0.9</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15173-2025</t>
        </is>
      </c>
      <c r="B2590" t="inlineStr">
        <is>
          <t>avverkningsanmälan</t>
        </is>
      </c>
      <c r="C2590" t="inlineStr">
        <is>
          <t>Avverkning för annat ändamål</t>
        </is>
      </c>
      <c r="D2590" s="1" t="n">
        <v>45744</v>
      </c>
      <c r="E2590" s="1" t="n">
        <v>46319</v>
      </c>
      <c r="F2590" t="inlineStr">
        <is>
          <t>DALARNAS LÄN</t>
        </is>
      </c>
      <c r="G2590" t="inlineStr">
        <is>
          <t>LEKSAND</t>
        </is>
      </c>
      <c r="I2590" t="n">
        <v>0.3</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46091-2025</t>
        </is>
      </c>
      <c r="B2591" t="inlineStr">
        <is>
          <t>avverkningsanmälan</t>
        </is>
      </c>
      <c r="C2591" t="inlineStr">
        <is>
          <t>Föryngringsavverkning</t>
        </is>
      </c>
      <c r="D2591" s="1" t="n">
        <v>45924</v>
      </c>
      <c r="E2591" s="1" t="n">
        <v>46319</v>
      </c>
      <c r="F2591" t="inlineStr">
        <is>
          <t>DALARNAS LÄN</t>
        </is>
      </c>
      <c r="G2591" t="inlineStr">
        <is>
          <t>MORA</t>
        </is>
      </c>
      <c r="I2591" t="n">
        <v>1.2</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24174-2026</t>
        </is>
      </c>
      <c r="B2592" t="inlineStr">
        <is>
          <t>avverkningsanmälan</t>
        </is>
      </c>
      <c r="C2592" t="inlineStr">
        <is>
          <t>Föryngringsavverkning</t>
        </is>
      </c>
      <c r="D2592" s="1" t="n">
        <v>46168</v>
      </c>
      <c r="E2592" s="1" t="n">
        <v>46319</v>
      </c>
      <c r="F2592" t="inlineStr">
        <is>
          <t>DALARNAS LÄN</t>
        </is>
      </c>
      <c r="G2592" t="inlineStr">
        <is>
          <t>GAGNEF</t>
        </is>
      </c>
      <c r="I2592" t="n">
        <v>0.8</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23097-2025</t>
        </is>
      </c>
      <c r="B2593" t="inlineStr">
        <is>
          <t>avverkningsanmälan</t>
        </is>
      </c>
      <c r="C2593" t="inlineStr">
        <is>
          <t>Föryngringsavverkning</t>
        </is>
      </c>
      <c r="D2593" s="1" t="n">
        <v>45791</v>
      </c>
      <c r="E2593" s="1" t="n">
        <v>46319</v>
      </c>
      <c r="F2593" t="inlineStr">
        <is>
          <t>DALARNAS LÄN</t>
        </is>
      </c>
      <c r="G2593" t="inlineStr">
        <is>
          <t>LUDVIKA</t>
        </is>
      </c>
      <c r="H2593" t="inlineStr">
        <is>
          <t>Bergvik skog väst AB</t>
        </is>
      </c>
      <c r="I2593" t="n">
        <v>1.8</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30611-2023</t>
        </is>
      </c>
      <c r="B2594" t="inlineStr">
        <is>
          <t>avverkningsanmälan</t>
        </is>
      </c>
      <c r="C2594" t="inlineStr">
        <is>
          <t>Föryngringsavverkning</t>
        </is>
      </c>
      <c r="D2594" s="1" t="n">
        <v>45112</v>
      </c>
      <c r="E2594" s="1" t="n">
        <v>46319</v>
      </c>
      <c r="F2594" t="inlineStr">
        <is>
          <t>DALARNAS LÄN</t>
        </is>
      </c>
      <c r="G2594" t="inlineStr">
        <is>
          <t>LEKSAND</t>
        </is>
      </c>
      <c r="I2594" t="n">
        <v>3.1</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2381-2024</t>
        </is>
      </c>
      <c r="B2595" t="inlineStr">
        <is>
          <t>avverkningsanmälan</t>
        </is>
      </c>
      <c r="C2595" t="inlineStr">
        <is>
          <t>Föryngringsavverkning</t>
        </is>
      </c>
      <c r="D2595" s="1" t="n">
        <v>45310</v>
      </c>
      <c r="E2595" s="1" t="n">
        <v>46319</v>
      </c>
      <c r="F2595" t="inlineStr">
        <is>
          <t>DALARNAS LÄN</t>
        </is>
      </c>
      <c r="G2595" t="inlineStr">
        <is>
          <t>ÄLVDALEN</t>
        </is>
      </c>
      <c r="I2595" t="n">
        <v>1.1</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46176-2025</t>
        </is>
      </c>
      <c r="B2596" t="inlineStr">
        <is>
          <t>avverkningsanmälan</t>
        </is>
      </c>
      <c r="C2596" t="inlineStr">
        <is>
          <t>Föryngringsavverkning</t>
        </is>
      </c>
      <c r="D2596" s="1" t="n">
        <v>45924</v>
      </c>
      <c r="E2596" s="1" t="n">
        <v>46319</v>
      </c>
      <c r="F2596" t="inlineStr">
        <is>
          <t>DALARNAS LÄN</t>
        </is>
      </c>
      <c r="G2596" t="inlineStr">
        <is>
          <t>LEKSAND</t>
        </is>
      </c>
      <c r="I2596" t="n">
        <v>2.4</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31254-2023</t>
        </is>
      </c>
      <c r="B2597" t="inlineStr">
        <is>
          <t>avverkningsanmälan</t>
        </is>
      </c>
      <c r="C2597" t="inlineStr">
        <is>
          <t>Föryngringsavverkning</t>
        </is>
      </c>
      <c r="D2597" s="1" t="n">
        <v>45114</v>
      </c>
      <c r="E2597" s="1" t="n">
        <v>46319</v>
      </c>
      <c r="F2597" t="inlineStr">
        <is>
          <t>DALARNAS LÄN</t>
        </is>
      </c>
      <c r="G2597" t="inlineStr">
        <is>
          <t>LEKSAND</t>
        </is>
      </c>
      <c r="I2597" t="n">
        <v>1.4</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62306-2023</t>
        </is>
      </c>
      <c r="B2598" t="inlineStr">
        <is>
          <t>avverkningsanmälan</t>
        </is>
      </c>
      <c r="C2598" t="inlineStr">
        <is>
          <t>Föryngringsavverkning</t>
        </is>
      </c>
      <c r="D2598" s="1" t="n">
        <v>45266</v>
      </c>
      <c r="E2598" s="1" t="n">
        <v>46319</v>
      </c>
      <c r="F2598" t="inlineStr">
        <is>
          <t>DALARNAS LÄN</t>
        </is>
      </c>
      <c r="G2598" t="inlineStr">
        <is>
          <t>LEKSAND</t>
        </is>
      </c>
      <c r="I2598" t="n">
        <v>1.1</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24192-2026</t>
        </is>
      </c>
      <c r="B2599" t="inlineStr">
        <is>
          <t>avverkningsanmälan</t>
        </is>
      </c>
      <c r="C2599" t="inlineStr">
        <is>
          <t>Föryngringsavverkning</t>
        </is>
      </c>
      <c r="D2599" s="1" t="n">
        <v>46168</v>
      </c>
      <c r="E2599" s="1" t="n">
        <v>46319</v>
      </c>
      <c r="F2599" t="inlineStr">
        <is>
          <t>DALARNAS LÄN</t>
        </is>
      </c>
      <c r="G2599" t="inlineStr">
        <is>
          <t>FALUN</t>
        </is>
      </c>
      <c r="H2599" t="inlineStr">
        <is>
          <t>Bergvik skog väst AB</t>
        </is>
      </c>
      <c r="I2599" t="n">
        <v>2.9</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24203-2026</t>
        </is>
      </c>
      <c r="B2600" t="inlineStr">
        <is>
          <t>avverkningsanmälan</t>
        </is>
      </c>
      <c r="C2600" t="inlineStr">
        <is>
          <t>Föryngringsavverkning</t>
        </is>
      </c>
      <c r="D2600" s="1" t="n">
        <v>46168</v>
      </c>
      <c r="E2600" s="1" t="n">
        <v>46319</v>
      </c>
      <c r="F2600" t="inlineStr">
        <is>
          <t>DALARNAS LÄN</t>
        </is>
      </c>
      <c r="G2600" t="inlineStr">
        <is>
          <t>ÄLVDALEN</t>
        </is>
      </c>
      <c r="H2600" t="inlineStr">
        <is>
          <t>Bergvik skog väst AB</t>
        </is>
      </c>
      <c r="I2600" t="n">
        <v>22.4</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41737-2025</t>
        </is>
      </c>
      <c r="B2601" t="inlineStr">
        <is>
          <t>avverkningsanmälan</t>
        </is>
      </c>
      <c r="C2601" t="inlineStr">
        <is>
          <t>Föryngringsavverkning</t>
        </is>
      </c>
      <c r="D2601" s="1" t="n">
        <v>45902</v>
      </c>
      <c r="E2601" s="1" t="n">
        <v>46319</v>
      </c>
      <c r="F2601" t="inlineStr">
        <is>
          <t>DALARNAS LÄN</t>
        </is>
      </c>
      <c r="G2601" t="inlineStr">
        <is>
          <t>LUDVIKA</t>
        </is>
      </c>
      <c r="H2601" t="inlineStr">
        <is>
          <t>Bergvik skog väst AB</t>
        </is>
      </c>
      <c r="I2601" t="n">
        <v>1.9</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45806-2025</t>
        </is>
      </c>
      <c r="B2602" t="inlineStr">
        <is>
          <t>avverkningsanmälan</t>
        </is>
      </c>
      <c r="C2602" t="inlineStr">
        <is>
          <t>Föryngringsavverkning</t>
        </is>
      </c>
      <c r="D2602" s="1" t="n">
        <v>45923</v>
      </c>
      <c r="E2602" s="1" t="n">
        <v>46319</v>
      </c>
      <c r="F2602" t="inlineStr">
        <is>
          <t>DALARNAS LÄN</t>
        </is>
      </c>
      <c r="G2602" t="inlineStr">
        <is>
          <t>RÄTTVIK</t>
        </is>
      </c>
      <c r="I2602" t="n">
        <v>0.6</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2333-2026</t>
        </is>
      </c>
      <c r="B2603" t="inlineStr">
        <is>
          <t>avverkningsanmälan</t>
        </is>
      </c>
      <c r="C2603" t="inlineStr">
        <is>
          <t>Föryngringsavverkning</t>
        </is>
      </c>
      <c r="D2603" s="1" t="n">
        <v>46036</v>
      </c>
      <c r="E2603" s="1" t="n">
        <v>46319</v>
      </c>
      <c r="F2603" t="inlineStr">
        <is>
          <t>DALARNAS LÄN</t>
        </is>
      </c>
      <c r="G2603" t="inlineStr">
        <is>
          <t>FALUN</t>
        </is>
      </c>
      <c r="I2603" t="n">
        <v>2.9</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23837-2026</t>
        </is>
      </c>
      <c r="B2604" t="inlineStr">
        <is>
          <t>avverkningsanmälan</t>
        </is>
      </c>
      <c r="C2604" t="inlineStr">
        <is>
          <t>Föryngringsavverkning</t>
        </is>
      </c>
      <c r="D2604" s="1" t="n">
        <v>46167</v>
      </c>
      <c r="E2604" s="1" t="n">
        <v>46319</v>
      </c>
      <c r="F2604" t="inlineStr">
        <is>
          <t>DALARNAS LÄN</t>
        </is>
      </c>
      <c r="G2604" t="inlineStr">
        <is>
          <t>LEKSAND</t>
        </is>
      </c>
      <c r="I2604" t="n">
        <v>2.4</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13827-2023</t>
        </is>
      </c>
      <c r="B2605" t="inlineStr">
        <is>
          <t>avverkningsanmälan</t>
        </is>
      </c>
      <c r="C2605" t="inlineStr">
        <is>
          <t>Föryngringsavverkning</t>
        </is>
      </c>
      <c r="D2605" s="1" t="n">
        <v>45007</v>
      </c>
      <c r="E2605" s="1" t="n">
        <v>46319</v>
      </c>
      <c r="F2605" t="inlineStr">
        <is>
          <t>DALARNAS LÄN</t>
        </is>
      </c>
      <c r="G2605" t="inlineStr">
        <is>
          <t>MALUNG-SÄLEN</t>
        </is>
      </c>
      <c r="I2605" t="n">
        <v>1.2</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55680-2022</t>
        </is>
      </c>
      <c r="B2606" t="inlineStr">
        <is>
          <t>avverkningsanmälan</t>
        </is>
      </c>
      <c r="C2606" t="inlineStr">
        <is>
          <t>Föryngringsavverkning</t>
        </is>
      </c>
      <c r="D2606" s="1" t="n">
        <v>44883</v>
      </c>
      <c r="E2606" s="1" t="n">
        <v>46319</v>
      </c>
      <c r="F2606" t="inlineStr">
        <is>
          <t>DALARNAS LÄN</t>
        </is>
      </c>
      <c r="G2606" t="inlineStr">
        <is>
          <t>SMEDJEBACKEN</t>
        </is>
      </c>
      <c r="I2606" t="n">
        <v>1.2</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24226-2026</t>
        </is>
      </c>
      <c r="B2607" t="inlineStr">
        <is>
          <t>avverkningsanmälan</t>
        </is>
      </c>
      <c r="C2607" t="inlineStr">
        <is>
          <t>Föryngringsavverkning</t>
        </is>
      </c>
      <c r="D2607" s="1" t="n">
        <v>46168</v>
      </c>
      <c r="E2607" s="1" t="n">
        <v>46319</v>
      </c>
      <c r="F2607" t="inlineStr">
        <is>
          <t>DALARNAS LÄN</t>
        </is>
      </c>
      <c r="G2607" t="inlineStr">
        <is>
          <t>FALUN</t>
        </is>
      </c>
      <c r="H2607" t="inlineStr">
        <is>
          <t>Bergvik skog väst AB</t>
        </is>
      </c>
      <c r="I2607" t="n">
        <v>14.6</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24229-2026</t>
        </is>
      </c>
      <c r="B2608" t="inlineStr">
        <is>
          <t>avverkningsanmälan</t>
        </is>
      </c>
      <c r="C2608" t="inlineStr">
        <is>
          <t>Föryngringsavverkning</t>
        </is>
      </c>
      <c r="D2608" s="1" t="n">
        <v>46168</v>
      </c>
      <c r="E2608" s="1" t="n">
        <v>46319</v>
      </c>
      <c r="F2608" t="inlineStr">
        <is>
          <t>DALARNAS LÄN</t>
        </is>
      </c>
      <c r="G2608" t="inlineStr">
        <is>
          <t>SMEDJEBACKEN</t>
        </is>
      </c>
      <c r="H2608" t="inlineStr">
        <is>
          <t>Sveaskog</t>
        </is>
      </c>
      <c r="I2608" t="n">
        <v>6.5</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45726-2025</t>
        </is>
      </c>
      <c r="B2609" t="inlineStr">
        <is>
          <t>avverkningsanmälan</t>
        </is>
      </c>
      <c r="C2609" t="inlineStr">
        <is>
          <t>Föryngringsavverkning</t>
        </is>
      </c>
      <c r="D2609" s="1" t="n">
        <v>45923</v>
      </c>
      <c r="E2609" s="1" t="n">
        <v>46319</v>
      </c>
      <c r="F2609" t="inlineStr">
        <is>
          <t>DALARNAS LÄN</t>
        </is>
      </c>
      <c r="G2609" t="inlineStr">
        <is>
          <t>RÄTTVIK</t>
        </is>
      </c>
      <c r="I2609" t="n">
        <v>3.7</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44848-2023</t>
        </is>
      </c>
      <c r="B2610" t="inlineStr">
        <is>
          <t>avverkningsanmälan</t>
        </is>
      </c>
      <c r="C2610" t="inlineStr">
        <is>
          <t>Föryngringsavverkning</t>
        </is>
      </c>
      <c r="D2610" s="1" t="n">
        <v>45190</v>
      </c>
      <c r="E2610" s="1" t="n">
        <v>46319</v>
      </c>
      <c r="F2610" t="inlineStr">
        <is>
          <t>DALARNAS LÄN</t>
        </is>
      </c>
      <c r="G2610" t="inlineStr">
        <is>
          <t>AVESTA</t>
        </is>
      </c>
      <c r="I2610" t="n">
        <v>1.2</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36952-2022</t>
        </is>
      </c>
      <c r="B2611" t="inlineStr">
        <is>
          <t>avverkningsanmälan</t>
        </is>
      </c>
      <c r="C2611" t="inlineStr">
        <is>
          <t>Föryngringsavverkning</t>
        </is>
      </c>
      <c r="D2611" s="1" t="n">
        <v>44806</v>
      </c>
      <c r="E2611" s="1" t="n">
        <v>46319</v>
      </c>
      <c r="F2611" t="inlineStr">
        <is>
          <t>DALARNAS LÄN</t>
        </is>
      </c>
      <c r="G2611" t="inlineStr">
        <is>
          <t>RÄTTVIK</t>
        </is>
      </c>
      <c r="I2611" t="n">
        <v>4.2</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23842-2026</t>
        </is>
      </c>
      <c r="B2612" t="inlineStr">
        <is>
          <t>avverkningsanmälan</t>
        </is>
      </c>
      <c r="C2612" t="inlineStr">
        <is>
          <t>Föryngringsavverkning</t>
        </is>
      </c>
      <c r="D2612" s="1" t="n">
        <v>46167</v>
      </c>
      <c r="E2612" s="1" t="n">
        <v>46319</v>
      </c>
      <c r="F2612" t="inlineStr">
        <is>
          <t>DALARNAS LÄN</t>
        </is>
      </c>
      <c r="G2612" t="inlineStr">
        <is>
          <t>FALUN</t>
        </is>
      </c>
      <c r="H2612" t="inlineStr">
        <is>
          <t>Bergvik skog väst AB</t>
        </is>
      </c>
      <c r="I2612" t="n">
        <v>1.5</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18679-2022</t>
        </is>
      </c>
      <c r="B2613" t="inlineStr">
        <is>
          <t>avverkningsanmälan</t>
        </is>
      </c>
      <c r="C2613" t="inlineStr">
        <is>
          <t>Föryngringsavverkning</t>
        </is>
      </c>
      <c r="D2613" s="1" t="n">
        <v>44687</v>
      </c>
      <c r="E2613" s="1" t="n">
        <v>46319</v>
      </c>
      <c r="F2613" t="inlineStr">
        <is>
          <t>DALARNAS LÄN</t>
        </is>
      </c>
      <c r="G2613" t="inlineStr">
        <is>
          <t>AVESTA</t>
        </is>
      </c>
      <c r="I2613" t="n">
        <v>2.9</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57430-2022</t>
        </is>
      </c>
      <c r="B2614" t="inlineStr">
        <is>
          <t>avverkningsanmälan</t>
        </is>
      </c>
      <c r="C2614" t="inlineStr">
        <is>
          <t>Föryngringsavverkning</t>
        </is>
      </c>
      <c r="D2614" s="1" t="n">
        <v>44896</v>
      </c>
      <c r="E2614" s="1" t="n">
        <v>46319</v>
      </c>
      <c r="F2614" t="inlineStr">
        <is>
          <t>DALARNAS LÄN</t>
        </is>
      </c>
      <c r="G2614" t="inlineStr">
        <is>
          <t>SÄTER</t>
        </is>
      </c>
      <c r="I2614" t="n">
        <v>1.5</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45940-2025</t>
        </is>
      </c>
      <c r="B2615" t="inlineStr">
        <is>
          <t>avverkningsanmälan</t>
        </is>
      </c>
      <c r="C2615" t="inlineStr">
        <is>
          <t>Föryngringsavverkning</t>
        </is>
      </c>
      <c r="D2615" s="1" t="n">
        <v>45924</v>
      </c>
      <c r="E2615" s="1" t="n">
        <v>46319</v>
      </c>
      <c r="F2615" t="inlineStr">
        <is>
          <t>DALARNAS LÄN</t>
        </is>
      </c>
      <c r="G2615" t="inlineStr">
        <is>
          <t>LUDVIKA</t>
        </is>
      </c>
      <c r="H2615" t="inlineStr">
        <is>
          <t>Bergvik skog väst AB</t>
        </is>
      </c>
      <c r="I2615" t="n">
        <v>4.5</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31884-2023</t>
        </is>
      </c>
      <c r="B2616" t="inlineStr">
        <is>
          <t>avverkningsanmälan</t>
        </is>
      </c>
      <c r="C2616" t="inlineStr">
        <is>
          <t>Föryngringsavverkning</t>
        </is>
      </c>
      <c r="D2616" s="1" t="n">
        <v>45118</v>
      </c>
      <c r="E2616" s="1" t="n">
        <v>46319</v>
      </c>
      <c r="F2616" t="inlineStr">
        <is>
          <t>DALARNAS LÄN</t>
        </is>
      </c>
      <c r="G2616" t="inlineStr">
        <is>
          <t>FALUN</t>
        </is>
      </c>
      <c r="I2616" t="n">
        <v>3.5</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11164-2023</t>
        </is>
      </c>
      <c r="B2617" t="inlineStr">
        <is>
          <t>avverkningsanmälan</t>
        </is>
      </c>
      <c r="C2617" t="inlineStr">
        <is>
          <t>Föryngringsavverkning</t>
        </is>
      </c>
      <c r="D2617" s="1" t="n">
        <v>44992</v>
      </c>
      <c r="E2617" s="1" t="n">
        <v>46319</v>
      </c>
      <c r="F2617" t="inlineStr">
        <is>
          <t>DALARNAS LÄN</t>
        </is>
      </c>
      <c r="G2617" t="inlineStr">
        <is>
          <t>SÄTER</t>
        </is>
      </c>
      <c r="I2617" t="n">
        <v>7.6</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50742-2023</t>
        </is>
      </c>
      <c r="B2618" t="inlineStr">
        <is>
          <t>avverkningsanmälan</t>
        </is>
      </c>
      <c r="C2618" t="inlineStr">
        <is>
          <t>Föryngringsavverkning</t>
        </is>
      </c>
      <c r="D2618" s="1" t="n">
        <v>45217</v>
      </c>
      <c r="E2618" s="1" t="n">
        <v>46319</v>
      </c>
      <c r="F2618" t="inlineStr">
        <is>
          <t>DALARNAS LÄN</t>
        </is>
      </c>
      <c r="G2618" t="inlineStr">
        <is>
          <t>ORSA</t>
        </is>
      </c>
      <c r="I2618" t="n">
        <v>0.8</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57903-2022</t>
        </is>
      </c>
      <c r="B2619" t="inlineStr">
        <is>
          <t>avverkningsanmälan</t>
        </is>
      </c>
      <c r="C2619" t="inlineStr">
        <is>
          <t>Föryngringsavverkning</t>
        </is>
      </c>
      <c r="D2619" s="1" t="n">
        <v>44900</v>
      </c>
      <c r="E2619" s="1" t="n">
        <v>46319</v>
      </c>
      <c r="F2619" t="inlineStr">
        <is>
          <t>DALARNAS LÄN</t>
        </is>
      </c>
      <c r="G2619" t="inlineStr">
        <is>
          <t>MORA</t>
        </is>
      </c>
      <c r="I2619" t="n">
        <v>4.3</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17145-2024</t>
        </is>
      </c>
      <c r="B2620" t="inlineStr">
        <is>
          <t>avverkningsanmälan</t>
        </is>
      </c>
      <c r="C2620" t="inlineStr">
        <is>
          <t>Föryngringsavverkning</t>
        </is>
      </c>
      <c r="D2620" s="1" t="n">
        <v>45412</v>
      </c>
      <c r="E2620" s="1" t="n">
        <v>46319</v>
      </c>
      <c r="F2620" t="inlineStr">
        <is>
          <t>DALARNAS LÄN</t>
        </is>
      </c>
      <c r="G2620" t="inlineStr">
        <is>
          <t>MORA</t>
        </is>
      </c>
      <c r="I2620" t="n">
        <v>1.4</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46317-2025</t>
        </is>
      </c>
      <c r="B2621" t="inlineStr">
        <is>
          <t>avverkningsanmälan</t>
        </is>
      </c>
      <c r="C2621" t="inlineStr">
        <is>
          <t>Föryngringsavverkning</t>
        </is>
      </c>
      <c r="D2621" s="1" t="n">
        <v>45925</v>
      </c>
      <c r="E2621" s="1" t="n">
        <v>46319</v>
      </c>
      <c r="F2621" t="inlineStr">
        <is>
          <t>DALARNAS LÄN</t>
        </is>
      </c>
      <c r="G2621" t="inlineStr">
        <is>
          <t>LUDVIKA</t>
        </is>
      </c>
      <c r="I2621" t="n">
        <v>1</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46707-2023</t>
        </is>
      </c>
      <c r="B2622" t="inlineStr">
        <is>
          <t>avverkningsanmälan</t>
        </is>
      </c>
      <c r="C2622" t="inlineStr">
        <is>
          <t>Föryngringsavverkning</t>
        </is>
      </c>
      <c r="D2622" s="1" t="n">
        <v>45194</v>
      </c>
      <c r="E2622" s="1" t="n">
        <v>46319</v>
      </c>
      <c r="F2622" t="inlineStr">
        <is>
          <t>DALARNAS LÄN</t>
        </is>
      </c>
      <c r="G2622" t="inlineStr">
        <is>
          <t>RÄTTVIK</t>
        </is>
      </c>
      <c r="H2622" t="inlineStr">
        <is>
          <t>Allmännings- och besparingsskogar</t>
        </is>
      </c>
      <c r="I2622" t="n">
        <v>3.9</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23998-2026</t>
        </is>
      </c>
      <c r="B2623" t="inlineStr">
        <is>
          <t>avverkningsanmälan</t>
        </is>
      </c>
      <c r="C2623" t="inlineStr">
        <is>
          <t>Föryngringsavverkning</t>
        </is>
      </c>
      <c r="D2623" s="1" t="n">
        <v>46167</v>
      </c>
      <c r="E2623" s="1" t="n">
        <v>46319</v>
      </c>
      <c r="F2623" t="inlineStr">
        <is>
          <t>DALARNAS LÄN</t>
        </is>
      </c>
      <c r="G2623" t="inlineStr">
        <is>
          <t>HEDEMORA</t>
        </is>
      </c>
      <c r="H2623" t="inlineStr">
        <is>
          <t>Sveaskog</t>
        </is>
      </c>
      <c r="I2623" t="n">
        <v>3.7</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24020-2026</t>
        </is>
      </c>
      <c r="B2624" t="inlineStr">
        <is>
          <t>avverkningsanmälan</t>
        </is>
      </c>
      <c r="C2624" t="inlineStr">
        <is>
          <t>Föryngringsavverkning</t>
        </is>
      </c>
      <c r="D2624" s="1" t="n">
        <v>46167</v>
      </c>
      <c r="E2624" s="1" t="n">
        <v>46319</v>
      </c>
      <c r="F2624" t="inlineStr">
        <is>
          <t>DALARNAS LÄN</t>
        </is>
      </c>
      <c r="G2624" t="inlineStr">
        <is>
          <t>FALUN</t>
        </is>
      </c>
      <c r="I2624" t="n">
        <v>3</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27163-2023</t>
        </is>
      </c>
      <c r="B2625" t="inlineStr">
        <is>
          <t>avverkningsanmälan</t>
        </is>
      </c>
      <c r="C2625" t="inlineStr">
        <is>
          <t>Föryngringsavverkning</t>
        </is>
      </c>
      <c r="D2625" s="1" t="n">
        <v>45096</v>
      </c>
      <c r="E2625" s="1" t="n">
        <v>46319</v>
      </c>
      <c r="F2625" t="inlineStr">
        <is>
          <t>DALARNAS LÄN</t>
        </is>
      </c>
      <c r="G2625" t="inlineStr">
        <is>
          <t>ORSA</t>
        </is>
      </c>
      <c r="H2625" t="inlineStr">
        <is>
          <t>Bergvik skog öst AB</t>
        </is>
      </c>
      <c r="I2625" t="n">
        <v>0.5</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38170-2023</t>
        </is>
      </c>
      <c r="B2626" t="inlineStr">
        <is>
          <t>avverkningsanmälan</t>
        </is>
      </c>
      <c r="C2626" t="inlineStr">
        <is>
          <t>Föryngringsavverkning</t>
        </is>
      </c>
      <c r="D2626" s="1" t="n">
        <v>45161</v>
      </c>
      <c r="E2626" s="1" t="n">
        <v>46319</v>
      </c>
      <c r="F2626" t="inlineStr">
        <is>
          <t>DALARNAS LÄN</t>
        </is>
      </c>
      <c r="G2626" t="inlineStr">
        <is>
          <t>LUDVIKA</t>
        </is>
      </c>
      <c r="H2626" t="inlineStr">
        <is>
          <t>Bergvik skog väst AB</t>
        </is>
      </c>
      <c r="I2626" t="n">
        <v>1.3</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24169-2022</t>
        </is>
      </c>
      <c r="B2627" t="inlineStr">
        <is>
          <t>avverkningsanmälan</t>
        </is>
      </c>
      <c r="C2627" t="inlineStr">
        <is>
          <t>Föryngringsavverkning</t>
        </is>
      </c>
      <c r="D2627" s="1" t="n">
        <v>44725</v>
      </c>
      <c r="E2627" s="1" t="n">
        <v>46319</v>
      </c>
      <c r="F2627" t="inlineStr">
        <is>
          <t>DALARNAS LÄN</t>
        </is>
      </c>
      <c r="G2627" t="inlineStr">
        <is>
          <t>MORA</t>
        </is>
      </c>
      <c r="H2627" t="inlineStr">
        <is>
          <t>Bergvik skog väst AB</t>
        </is>
      </c>
      <c r="I2627" t="n">
        <v>1.4</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46598-2025</t>
        </is>
      </c>
      <c r="B2628" t="inlineStr">
        <is>
          <t>avverkningsanmälan</t>
        </is>
      </c>
      <c r="C2628" t="inlineStr">
        <is>
          <t>Föryngringsavverkning</t>
        </is>
      </c>
      <c r="D2628" s="1" t="n">
        <v>45926</v>
      </c>
      <c r="E2628" s="1" t="n">
        <v>46319</v>
      </c>
      <c r="F2628" t="inlineStr">
        <is>
          <t>DALARNAS LÄN</t>
        </is>
      </c>
      <c r="G2628" t="inlineStr">
        <is>
          <t>LUDVIKA</t>
        </is>
      </c>
      <c r="H2628" t="inlineStr">
        <is>
          <t>Bergvik skog väst AB</t>
        </is>
      </c>
      <c r="I2628" t="n">
        <v>0.4</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24095-2026</t>
        </is>
      </c>
      <c r="B2629" t="inlineStr">
        <is>
          <t>avverkningsanmälan</t>
        </is>
      </c>
      <c r="C2629" t="inlineStr">
        <is>
          <t>Föryngringsavverkning</t>
        </is>
      </c>
      <c r="D2629" s="1" t="n">
        <v>46168</v>
      </c>
      <c r="E2629" s="1" t="n">
        <v>46319</v>
      </c>
      <c r="F2629" t="inlineStr">
        <is>
          <t>DALARNAS LÄN</t>
        </is>
      </c>
      <c r="G2629" t="inlineStr">
        <is>
          <t>FALUN</t>
        </is>
      </c>
      <c r="I2629" t="n">
        <v>2.1</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46582-2025</t>
        </is>
      </c>
      <c r="B2630" t="inlineStr">
        <is>
          <t>avverkningsanmälan</t>
        </is>
      </c>
      <c r="C2630" t="inlineStr">
        <is>
          <t>Föryngringsavverkning</t>
        </is>
      </c>
      <c r="D2630" s="1" t="n">
        <v>45926</v>
      </c>
      <c r="E2630" s="1" t="n">
        <v>46319</v>
      </c>
      <c r="F2630" t="inlineStr">
        <is>
          <t>DALARNAS LÄN</t>
        </is>
      </c>
      <c r="G2630" t="inlineStr">
        <is>
          <t>ÄLVDALEN</t>
        </is>
      </c>
      <c r="H2630" t="inlineStr">
        <is>
          <t>Allmännings- och besparingsskogar</t>
        </is>
      </c>
      <c r="I2630" t="n">
        <v>20.7</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24121-2026</t>
        </is>
      </c>
      <c r="B2631" t="inlineStr">
        <is>
          <t>avverkningsanmälan</t>
        </is>
      </c>
      <c r="C2631" t="inlineStr">
        <is>
          <t>Föryngringsavverkning</t>
        </is>
      </c>
      <c r="D2631" s="1" t="n">
        <v>46168</v>
      </c>
      <c r="E2631" s="1" t="n">
        <v>46319</v>
      </c>
      <c r="F2631" t="inlineStr">
        <is>
          <t>DALARNAS LÄN</t>
        </is>
      </c>
      <c r="G2631" t="inlineStr">
        <is>
          <t>LEKSAND</t>
        </is>
      </c>
      <c r="I2631" t="n">
        <v>12</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42128-2024</t>
        </is>
      </c>
      <c r="B2632" t="inlineStr">
        <is>
          <t>avverkningsanmälan</t>
        </is>
      </c>
      <c r="C2632" t="inlineStr">
        <is>
          <t>Föryngringsavverkning</t>
        </is>
      </c>
      <c r="D2632" s="1" t="n">
        <v>45562</v>
      </c>
      <c r="E2632" s="1" t="n">
        <v>46319</v>
      </c>
      <c r="F2632" t="inlineStr">
        <is>
          <t>DALARNAS LÄN</t>
        </is>
      </c>
      <c r="G2632" t="inlineStr">
        <is>
          <t>LUDVIKA</t>
        </is>
      </c>
      <c r="I2632" t="n">
        <v>3.1</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46367-2025</t>
        </is>
      </c>
      <c r="B2633" t="inlineStr">
        <is>
          <t>avverkningsanmälan</t>
        </is>
      </c>
      <c r="C2633" t="inlineStr">
        <is>
          <t>Föryngringsavverkning</t>
        </is>
      </c>
      <c r="D2633" s="1" t="n">
        <v>45925</v>
      </c>
      <c r="E2633" s="1" t="n">
        <v>46319</v>
      </c>
      <c r="F2633" t="inlineStr">
        <is>
          <t>DALARNAS LÄN</t>
        </is>
      </c>
      <c r="G2633" t="inlineStr">
        <is>
          <t>SMEDJEBACKEN</t>
        </is>
      </c>
      <c r="I2633" t="n">
        <v>1.2</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10482-2026</t>
        </is>
      </c>
      <c r="B2634" t="inlineStr">
        <is>
          <t>avverkningsanmälan</t>
        </is>
      </c>
      <c r="C2634" t="inlineStr">
        <is>
          <t>Föryngringsavverkning</t>
        </is>
      </c>
      <c r="D2634" s="1" t="n">
        <v>46077</v>
      </c>
      <c r="E2634" s="1" t="n">
        <v>46319</v>
      </c>
      <c r="F2634" t="inlineStr">
        <is>
          <t>DALARNAS LÄN</t>
        </is>
      </c>
      <c r="G2634" t="inlineStr">
        <is>
          <t>FALUN</t>
        </is>
      </c>
      <c r="H2634" t="inlineStr">
        <is>
          <t>Kyrkan</t>
        </is>
      </c>
      <c r="I2634" t="n">
        <v>5.1</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46470-2025</t>
        </is>
      </c>
      <c r="B2635" t="inlineStr">
        <is>
          <t>avverkningsanmälan</t>
        </is>
      </c>
      <c r="C2635" t="inlineStr">
        <is>
          <t>Föryngringsavverkning</t>
        </is>
      </c>
      <c r="D2635" s="1" t="n">
        <v>45925</v>
      </c>
      <c r="E2635" s="1" t="n">
        <v>46319</v>
      </c>
      <c r="F2635" t="inlineStr">
        <is>
          <t>DALARNAS LÄN</t>
        </is>
      </c>
      <c r="G2635" t="inlineStr">
        <is>
          <t>MALUNG-SÄLEN</t>
        </is>
      </c>
      <c r="I2635" t="n">
        <v>0.8</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28921-2023</t>
        </is>
      </c>
      <c r="B2636" t="inlineStr">
        <is>
          <t>avverkningsanmälan</t>
        </is>
      </c>
      <c r="C2636" t="inlineStr">
        <is>
          <t>Föryngringsavverkning</t>
        </is>
      </c>
      <c r="D2636" s="1" t="n">
        <v>45104</v>
      </c>
      <c r="E2636" s="1" t="n">
        <v>46319</v>
      </c>
      <c r="F2636" t="inlineStr">
        <is>
          <t>DALARNAS LÄN</t>
        </is>
      </c>
      <c r="G2636" t="inlineStr">
        <is>
          <t>LEKSAND</t>
        </is>
      </c>
      <c r="I2636" t="n">
        <v>4.4</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24126-2026</t>
        </is>
      </c>
      <c r="B2637" t="inlineStr">
        <is>
          <t>avverkningsanmälan</t>
        </is>
      </c>
      <c r="C2637" t="inlineStr">
        <is>
          <t>Föryngringsavverkning</t>
        </is>
      </c>
      <c r="D2637" s="1" t="n">
        <v>46168</v>
      </c>
      <c r="E2637" s="1" t="n">
        <v>46319</v>
      </c>
      <c r="F2637" t="inlineStr">
        <is>
          <t>DALARNAS LÄN</t>
        </is>
      </c>
      <c r="G2637" t="inlineStr">
        <is>
          <t>LEKSAND</t>
        </is>
      </c>
      <c r="I2637" t="n">
        <v>2.1</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24130-2026</t>
        </is>
      </c>
      <c r="B2638" t="inlineStr">
        <is>
          <t>avverkningsanmälan</t>
        </is>
      </c>
      <c r="C2638" t="inlineStr">
        <is>
          <t>Föryngringsavverkning</t>
        </is>
      </c>
      <c r="D2638" s="1" t="n">
        <v>46168</v>
      </c>
      <c r="E2638" s="1" t="n">
        <v>46319</v>
      </c>
      <c r="F2638" t="inlineStr">
        <is>
          <t>DALARNAS LÄN</t>
        </is>
      </c>
      <c r="G2638" t="inlineStr">
        <is>
          <t>FALUN</t>
        </is>
      </c>
      <c r="I2638" t="n">
        <v>3.8</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24046-2026</t>
        </is>
      </c>
      <c r="B2639" t="inlineStr">
        <is>
          <t>avverkningsanmälan</t>
        </is>
      </c>
      <c r="C2639" t="inlineStr">
        <is>
          <t>Föryngringsavverkning</t>
        </is>
      </c>
      <c r="D2639" s="1" t="n">
        <v>46168</v>
      </c>
      <c r="E2639" s="1" t="n">
        <v>46319</v>
      </c>
      <c r="F2639" t="inlineStr">
        <is>
          <t>DALARNAS LÄN</t>
        </is>
      </c>
      <c r="G2639" t="inlineStr">
        <is>
          <t>FALUN</t>
        </is>
      </c>
      <c r="H2639" t="inlineStr">
        <is>
          <t>Bergvik skog väst AB</t>
        </is>
      </c>
      <c r="I2639" t="n">
        <v>2.7</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24048-2026</t>
        </is>
      </c>
      <c r="B2640" t="inlineStr">
        <is>
          <t>avverkningsanmälan</t>
        </is>
      </c>
      <c r="C2640" t="inlineStr">
        <is>
          <t>Föryngringsavverkning</t>
        </is>
      </c>
      <c r="D2640" s="1" t="n">
        <v>46168</v>
      </c>
      <c r="E2640" s="1" t="n">
        <v>46319</v>
      </c>
      <c r="F2640" t="inlineStr">
        <is>
          <t>DALARNAS LÄN</t>
        </is>
      </c>
      <c r="G2640" t="inlineStr">
        <is>
          <t>MORA</t>
        </is>
      </c>
      <c r="H2640" t="inlineStr">
        <is>
          <t>Bergvik skog öst AB</t>
        </is>
      </c>
      <c r="I2640" t="n">
        <v>1.1</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46248-2025</t>
        </is>
      </c>
      <c r="B2641" t="inlineStr">
        <is>
          <t>avverkningsanmälan</t>
        </is>
      </c>
      <c r="C2641" t="inlineStr">
        <is>
          <t>Föryngringsavverkning</t>
        </is>
      </c>
      <c r="D2641" s="1" t="n">
        <v>45925</v>
      </c>
      <c r="E2641" s="1" t="n">
        <v>46319</v>
      </c>
      <c r="F2641" t="inlineStr">
        <is>
          <t>DALARNAS LÄN</t>
        </is>
      </c>
      <c r="G2641" t="inlineStr">
        <is>
          <t>RÄTTVIK</t>
        </is>
      </c>
      <c r="I2641" t="n">
        <v>0.6</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46638-2025</t>
        </is>
      </c>
      <c r="B2642" t="inlineStr">
        <is>
          <t>avverkningsanmälan</t>
        </is>
      </c>
      <c r="C2642" t="inlineStr">
        <is>
          <t>Föryngringsavverkning</t>
        </is>
      </c>
      <c r="D2642" s="1" t="n">
        <v>45926</v>
      </c>
      <c r="E2642" s="1" t="n">
        <v>46319</v>
      </c>
      <c r="F2642" t="inlineStr">
        <is>
          <t>DALARNAS LÄN</t>
        </is>
      </c>
      <c r="G2642" t="inlineStr">
        <is>
          <t>MALUNG-SÄLEN</t>
        </is>
      </c>
      <c r="I2642" t="n">
        <v>8.9</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65186-2021</t>
        </is>
      </c>
      <c r="B2643" t="inlineStr">
        <is>
          <t>avverkningsanmälan</t>
        </is>
      </c>
      <c r="C2643" t="inlineStr">
        <is>
          <t>Föryngringsavverkning</t>
        </is>
      </c>
      <c r="D2643" s="1" t="n">
        <v>44515</v>
      </c>
      <c r="E2643" s="1" t="n">
        <v>46319</v>
      </c>
      <c r="F2643" t="inlineStr">
        <is>
          <t>DALARNAS LÄN</t>
        </is>
      </c>
      <c r="G2643" t="inlineStr">
        <is>
          <t>MORA</t>
        </is>
      </c>
      <c r="I2643" t="n">
        <v>1.4</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46517-2025</t>
        </is>
      </c>
      <c r="B2644" t="inlineStr">
        <is>
          <t>avverkningsanmälan</t>
        </is>
      </c>
      <c r="C2644" t="inlineStr">
        <is>
          <t>Föryngringsavverkning</t>
        </is>
      </c>
      <c r="D2644" s="1" t="n">
        <v>45926</v>
      </c>
      <c r="E2644" s="1" t="n">
        <v>46319</v>
      </c>
      <c r="F2644" t="inlineStr">
        <is>
          <t>DALARNAS LÄN</t>
        </is>
      </c>
      <c r="G2644" t="inlineStr">
        <is>
          <t>LUDVIKA</t>
        </is>
      </c>
      <c r="H2644" t="inlineStr">
        <is>
          <t>Bergvik skog väst AB</t>
        </is>
      </c>
      <c r="I2644" t="n">
        <v>2.4</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5384-2025</t>
        </is>
      </c>
      <c r="B2645" t="inlineStr">
        <is>
          <t>avverkningsanmälan</t>
        </is>
      </c>
      <c r="C2645" t="inlineStr">
        <is>
          <t>Föryngringsavverkning</t>
        </is>
      </c>
      <c r="D2645" s="1" t="n">
        <v>45692</v>
      </c>
      <c r="E2645" s="1" t="n">
        <v>46319</v>
      </c>
      <c r="F2645" t="inlineStr">
        <is>
          <t>DALARNAS LÄN</t>
        </is>
      </c>
      <c r="G2645" t="inlineStr">
        <is>
          <t>BORLÄNGE</t>
        </is>
      </c>
      <c r="I2645" t="n">
        <v>4.2</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46405-2025</t>
        </is>
      </c>
      <c r="B2646" t="inlineStr">
        <is>
          <t>avverkningsanmälan</t>
        </is>
      </c>
      <c r="C2646" t="inlineStr">
        <is>
          <t>Föryngringsavverkning</t>
        </is>
      </c>
      <c r="D2646" s="1" t="n">
        <v>45925</v>
      </c>
      <c r="E2646" s="1" t="n">
        <v>46319</v>
      </c>
      <c r="F2646" t="inlineStr">
        <is>
          <t>DALARNAS LÄN</t>
        </is>
      </c>
      <c r="G2646" t="inlineStr">
        <is>
          <t>LEKSAND</t>
        </is>
      </c>
      <c r="I2646" t="n">
        <v>5.7</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48493-2024</t>
        </is>
      </c>
      <c r="B2647" t="inlineStr">
        <is>
          <t>avverkningsanmälan</t>
        </is>
      </c>
      <c r="C2647" t="inlineStr">
        <is>
          <t>Föryngringsavverkning</t>
        </is>
      </c>
      <c r="D2647" s="1" t="n">
        <v>45592</v>
      </c>
      <c r="E2647" s="1" t="n">
        <v>46319</v>
      </c>
      <c r="F2647" t="inlineStr">
        <is>
          <t>DALARNAS LÄN</t>
        </is>
      </c>
      <c r="G2647" t="inlineStr">
        <is>
          <t>MALUNG-SÄLEN</t>
        </is>
      </c>
      <c r="I2647" t="n">
        <v>5.8</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24021-2026</t>
        </is>
      </c>
      <c r="B2648" t="inlineStr">
        <is>
          <t>avverkningsanmälan</t>
        </is>
      </c>
      <c r="C2648" t="inlineStr">
        <is>
          <t>Föryngringsavverkning</t>
        </is>
      </c>
      <c r="D2648" s="1" t="n">
        <v>46167</v>
      </c>
      <c r="E2648" s="1" t="n">
        <v>46319</v>
      </c>
      <c r="F2648" t="inlineStr">
        <is>
          <t>DALARNAS LÄN</t>
        </is>
      </c>
      <c r="G2648" t="inlineStr">
        <is>
          <t>LUDVIKA</t>
        </is>
      </c>
      <c r="H2648" t="inlineStr">
        <is>
          <t>Bergvik skog väst AB</t>
        </is>
      </c>
      <c r="I2648" t="n">
        <v>1.2</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46494-2025</t>
        </is>
      </c>
      <c r="B2649" t="inlineStr">
        <is>
          <t>avverkningsanmälan</t>
        </is>
      </c>
      <c r="C2649" t="inlineStr">
        <is>
          <t>Föryngringsavverkning</t>
        </is>
      </c>
      <c r="D2649" s="1" t="n">
        <v>45925</v>
      </c>
      <c r="E2649" s="1" t="n">
        <v>46319</v>
      </c>
      <c r="F2649" t="inlineStr">
        <is>
          <t>DALARNAS LÄN</t>
        </is>
      </c>
      <c r="G2649" t="inlineStr">
        <is>
          <t>SÄTER</t>
        </is>
      </c>
      <c r="H2649" t="inlineStr">
        <is>
          <t>Bergvik skog väst AB</t>
        </is>
      </c>
      <c r="I2649" t="n">
        <v>15.2</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46389-2025</t>
        </is>
      </c>
      <c r="B2650" t="inlineStr">
        <is>
          <t>avverkningsanmälan</t>
        </is>
      </c>
      <c r="C2650" t="inlineStr">
        <is>
          <t>Föryngringsavverkning</t>
        </is>
      </c>
      <c r="D2650" s="1" t="n">
        <v>45925</v>
      </c>
      <c r="E2650" s="1" t="n">
        <v>46319</v>
      </c>
      <c r="F2650" t="inlineStr">
        <is>
          <t>DALARNAS LÄN</t>
        </is>
      </c>
      <c r="G2650" t="inlineStr">
        <is>
          <t>RÄTTVIK</t>
        </is>
      </c>
      <c r="H2650" t="inlineStr">
        <is>
          <t>Sveaskog</t>
        </is>
      </c>
      <c r="I2650" t="n">
        <v>3.2</v>
      </c>
      <c r="J2650" t="n">
        <v>0</v>
      </c>
      <c r="K2650" t="n">
        <v>0</v>
      </c>
      <c r="L2650" t="n">
        <v>0</v>
      </c>
      <c r="M2650" t="n">
        <v>0</v>
      </c>
      <c r="N2650" t="n">
        <v>0</v>
      </c>
      <c r="O2650" t="n">
        <v>0</v>
      </c>
      <c r="P2650" t="n">
        <v>0</v>
      </c>
      <c r="Q2650" t="n">
        <v>0</v>
      </c>
      <c r="R2650" t="n">
        <v>0</v>
      </c>
      <c r="S2650" t="n">
        <v>0</v>
      </c>
      <c r="T2650" t="n">
        <v>0</v>
      </c>
      <c r="U2650" t="n">
        <v>0</v>
      </c>
      <c r="V2650" s="2" t="inlineStr"/>
      <c r="Z2650">
        <f>HYPERLINK("https://klasma.github.io/Logging_2031/knärot/A 46389-2025 karta knärot.png", "A 46389-2025")</f>
        <v/>
      </c>
      <c r="AA2650">
        <f>HYPERLINK("https://klasma.github.io/Logging_2031/klagomål/A 46389-2025 FSC-klagomål.docx", "A 46389-2025")</f>
        <v/>
      </c>
      <c r="AB2650">
        <f>HYPERLINK("https://klasma.github.io/Logging_2031/klagomålsmail/A 46389-2025 FSC-klagomål mail.docx", "A 46389-2025")</f>
        <v/>
      </c>
      <c r="AC2650">
        <f>HYPERLINK("https://klasma.github.io/Logging_2031/tillsyn/A 46389-2025 tillsynsbegäran.docx", "A 46389-2025")</f>
        <v/>
      </c>
      <c r="AD2650">
        <f>HYPERLINK("https://klasma.github.io/Logging_2031/tillsynsmail/A 46389-2025 tillsynsbegäran mail.docx", "A 46389-2025")</f>
        <v/>
      </c>
    </row>
    <row r="2651" ht="15" customHeight="1">
      <c r="A2651" t="inlineStr">
        <is>
          <t>A 56346-2022</t>
        </is>
      </c>
      <c r="B2651" t="inlineStr">
        <is>
          <t>avverkningsanmälan</t>
        </is>
      </c>
      <c r="C2651" t="inlineStr">
        <is>
          <t>Föryngringsavverkning</t>
        </is>
      </c>
      <c r="D2651" s="1" t="n">
        <v>44890</v>
      </c>
      <c r="E2651" s="1" t="n">
        <v>46319</v>
      </c>
      <c r="F2651" t="inlineStr">
        <is>
          <t>DALARNAS LÄN</t>
        </is>
      </c>
      <c r="G2651" t="inlineStr">
        <is>
          <t>LUDVIKA</t>
        </is>
      </c>
      <c r="H2651" t="inlineStr">
        <is>
          <t>Bergvik skog väst AB</t>
        </is>
      </c>
      <c r="I2651" t="n">
        <v>1.2</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46394-2025</t>
        </is>
      </c>
      <c r="B2652" t="inlineStr">
        <is>
          <t>avverkningsanmälan</t>
        </is>
      </c>
      <c r="C2652" t="inlineStr">
        <is>
          <t>Föryngringsavverkning</t>
        </is>
      </c>
      <c r="D2652" s="1" t="n">
        <v>45925</v>
      </c>
      <c r="E2652" s="1" t="n">
        <v>46319</v>
      </c>
      <c r="F2652" t="inlineStr">
        <is>
          <t>DALARNAS LÄN</t>
        </is>
      </c>
      <c r="G2652" t="inlineStr">
        <is>
          <t>RÄTTVIK</t>
        </is>
      </c>
      <c r="H2652" t="inlineStr">
        <is>
          <t>Sveaskog</t>
        </is>
      </c>
      <c r="I2652" t="n">
        <v>1.7</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46483-2025</t>
        </is>
      </c>
      <c r="B2653" t="inlineStr">
        <is>
          <t>avverkningsanmälan</t>
        </is>
      </c>
      <c r="C2653" t="inlineStr">
        <is>
          <t>Föryngringsavverkning</t>
        </is>
      </c>
      <c r="D2653" s="1" t="n">
        <v>45925</v>
      </c>
      <c r="E2653" s="1" t="n">
        <v>46319</v>
      </c>
      <c r="F2653" t="inlineStr">
        <is>
          <t>DALARNAS LÄN</t>
        </is>
      </c>
      <c r="G2653" t="inlineStr">
        <is>
          <t>LEKSAND</t>
        </is>
      </c>
      <c r="I2653" t="n">
        <v>3.6</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46495-2025</t>
        </is>
      </c>
      <c r="B2654" t="inlineStr">
        <is>
          <t>avverkningsanmälan</t>
        </is>
      </c>
      <c r="C2654" t="inlineStr">
        <is>
          <t>Föryngringsavverkning</t>
        </is>
      </c>
      <c r="D2654" s="1" t="n">
        <v>45925</v>
      </c>
      <c r="E2654" s="1" t="n">
        <v>46319</v>
      </c>
      <c r="F2654" t="inlineStr">
        <is>
          <t>DALARNAS LÄN</t>
        </is>
      </c>
      <c r="G2654" t="inlineStr">
        <is>
          <t>SÄTER</t>
        </is>
      </c>
      <c r="H2654" t="inlineStr">
        <is>
          <t>Bergvik skog väst AB</t>
        </is>
      </c>
      <c r="I2654" t="n">
        <v>41.4</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12781-2026</t>
        </is>
      </c>
      <c r="B2655" t="inlineStr">
        <is>
          <t>avverkningsanmälan</t>
        </is>
      </c>
      <c r="C2655" t="inlineStr">
        <is>
          <t>Föryngringsavverkning</t>
        </is>
      </c>
      <c r="D2655" s="1" t="n">
        <v>46091</v>
      </c>
      <c r="E2655" s="1" t="n">
        <v>46319</v>
      </c>
      <c r="F2655" t="inlineStr">
        <is>
          <t>DALARNAS LÄN</t>
        </is>
      </c>
      <c r="G2655" t="inlineStr">
        <is>
          <t>FALUN</t>
        </is>
      </c>
      <c r="I2655" t="n">
        <v>0.9</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24023-2026</t>
        </is>
      </c>
      <c r="B2656" t="inlineStr">
        <is>
          <t>avverkningsanmälan</t>
        </is>
      </c>
      <c r="C2656" t="inlineStr">
        <is>
          <t>Föryngringsavverkning</t>
        </is>
      </c>
      <c r="D2656" s="1" t="n">
        <v>46167</v>
      </c>
      <c r="E2656" s="1" t="n">
        <v>46319</v>
      </c>
      <c r="F2656" t="inlineStr">
        <is>
          <t>DALARNAS LÄN</t>
        </is>
      </c>
      <c r="G2656" t="inlineStr">
        <is>
          <t>FALUN</t>
        </is>
      </c>
      <c r="H2656" t="inlineStr">
        <is>
          <t>Bergvik skog väst AB</t>
        </is>
      </c>
      <c r="I2656" t="n">
        <v>10.6</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24025-2026</t>
        </is>
      </c>
      <c r="B2657" t="inlineStr">
        <is>
          <t>avverkningsanmälan</t>
        </is>
      </c>
      <c r="C2657" t="inlineStr">
        <is>
          <t>Föryngringsavverkning</t>
        </is>
      </c>
      <c r="D2657" s="1" t="n">
        <v>46167</v>
      </c>
      <c r="E2657" s="1" t="n">
        <v>46319</v>
      </c>
      <c r="F2657" t="inlineStr">
        <is>
          <t>DALARNAS LÄN</t>
        </is>
      </c>
      <c r="G2657" t="inlineStr">
        <is>
          <t>FALUN</t>
        </is>
      </c>
      <c r="H2657" t="inlineStr">
        <is>
          <t>Bergvik skog väst AB</t>
        </is>
      </c>
      <c r="I2657" t="n">
        <v>4.5</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46283-2025</t>
        </is>
      </c>
      <c r="B2658" t="inlineStr">
        <is>
          <t>avverkningsanmälan</t>
        </is>
      </c>
      <c r="C2658" t="inlineStr">
        <is>
          <t>Föryngringsavverkning</t>
        </is>
      </c>
      <c r="D2658" s="1" t="n">
        <v>45925</v>
      </c>
      <c r="E2658" s="1" t="n">
        <v>46319</v>
      </c>
      <c r="F2658" t="inlineStr">
        <is>
          <t>DALARNAS LÄN</t>
        </is>
      </c>
      <c r="G2658" t="inlineStr">
        <is>
          <t>MORA</t>
        </is>
      </c>
      <c r="I2658" t="n">
        <v>0.5</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1015-2026</t>
        </is>
      </c>
      <c r="B2659" t="inlineStr">
        <is>
          <t>avverkningsanmälan</t>
        </is>
      </c>
      <c r="C2659" t="inlineStr">
        <is>
          <t>Föryngringsavverkning</t>
        </is>
      </c>
      <c r="D2659" s="1" t="n">
        <v>46030</v>
      </c>
      <c r="E2659" s="1" t="n">
        <v>46319</v>
      </c>
      <c r="F2659" t="inlineStr">
        <is>
          <t>DALARNAS LÄN</t>
        </is>
      </c>
      <c r="G2659" t="inlineStr">
        <is>
          <t>FALUN</t>
        </is>
      </c>
      <c r="I2659" t="n">
        <v>3.6</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14168-2025</t>
        </is>
      </c>
      <c r="B2660" t="inlineStr">
        <is>
          <t>avverkningsanmälan</t>
        </is>
      </c>
      <c r="C2660" t="inlineStr">
        <is>
          <t>Föryngringsavverkning</t>
        </is>
      </c>
      <c r="D2660" s="1" t="n">
        <v>45740</v>
      </c>
      <c r="E2660" s="1" t="n">
        <v>46319</v>
      </c>
      <c r="F2660" t="inlineStr">
        <is>
          <t>DALARNAS LÄN</t>
        </is>
      </c>
      <c r="G2660" t="inlineStr">
        <is>
          <t>SÄTER</t>
        </is>
      </c>
      <c r="I2660" t="n">
        <v>0.5</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23981-2026</t>
        </is>
      </c>
      <c r="B2661" t="inlineStr">
        <is>
          <t>avverkningsanmälan</t>
        </is>
      </c>
      <c r="C2661" t="inlineStr">
        <is>
          <t>Föryngringsavverkning</t>
        </is>
      </c>
      <c r="D2661" s="1" t="n">
        <v>46167</v>
      </c>
      <c r="E2661" s="1" t="n">
        <v>46319</v>
      </c>
      <c r="F2661" t="inlineStr">
        <is>
          <t>DALARNAS LÄN</t>
        </is>
      </c>
      <c r="G2661" t="inlineStr">
        <is>
          <t>ORSA</t>
        </is>
      </c>
      <c r="H2661" t="inlineStr">
        <is>
          <t>Bergvik skog öst AB</t>
        </is>
      </c>
      <c r="I2661" t="n">
        <v>4.6</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24268-2026</t>
        </is>
      </c>
      <c r="B2662" t="inlineStr">
        <is>
          <t>avverkningsanmälan</t>
        </is>
      </c>
      <c r="C2662" t="inlineStr">
        <is>
          <t>Föryngringsavverkning</t>
        </is>
      </c>
      <c r="D2662" s="1" t="n">
        <v>46169</v>
      </c>
      <c r="E2662" s="1" t="n">
        <v>46319</v>
      </c>
      <c r="F2662" t="inlineStr">
        <is>
          <t>DALARNAS LÄN</t>
        </is>
      </c>
      <c r="G2662" t="inlineStr">
        <is>
          <t>FALUN</t>
        </is>
      </c>
      <c r="H2662" t="inlineStr">
        <is>
          <t>Bergvik skog väst AB</t>
        </is>
      </c>
      <c r="I2662" t="n">
        <v>1.6</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11724-2026</t>
        </is>
      </c>
      <c r="B2663" t="inlineStr">
        <is>
          <t>avverkningsanmälan</t>
        </is>
      </c>
      <c r="C2663" t="inlineStr">
        <is>
          <t>Föryngringsavverkning</t>
        </is>
      </c>
      <c r="D2663" s="1" t="n">
        <v>46084</v>
      </c>
      <c r="E2663" s="1" t="n">
        <v>46319</v>
      </c>
      <c r="F2663" t="inlineStr">
        <is>
          <t>DALARNAS LÄN</t>
        </is>
      </c>
      <c r="G2663" t="inlineStr">
        <is>
          <t>FALUN</t>
        </is>
      </c>
      <c r="I2663" t="n">
        <v>4.2</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31380-2025</t>
        </is>
      </c>
      <c r="B2664" t="inlineStr">
        <is>
          <t>avverkningsanmälan</t>
        </is>
      </c>
      <c r="C2664" t="inlineStr">
        <is>
          <t>Föryngringsavverkning</t>
        </is>
      </c>
      <c r="D2664" s="1" t="n">
        <v>45833</v>
      </c>
      <c r="E2664" s="1" t="n">
        <v>46319</v>
      </c>
      <c r="F2664" t="inlineStr">
        <is>
          <t>DALARNAS LÄN</t>
        </is>
      </c>
      <c r="G2664" t="inlineStr">
        <is>
          <t>LUDVIKA</t>
        </is>
      </c>
      <c r="I2664" t="n">
        <v>2.6</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46603-2025</t>
        </is>
      </c>
      <c r="B2665" t="inlineStr">
        <is>
          <t>avverkningsanmälan</t>
        </is>
      </c>
      <c r="C2665" t="inlineStr">
        <is>
          <t>Föryngringsavverkning</t>
        </is>
      </c>
      <c r="D2665" s="1" t="n">
        <v>45926</v>
      </c>
      <c r="E2665" s="1" t="n">
        <v>46319</v>
      </c>
      <c r="F2665" t="inlineStr">
        <is>
          <t>DALARNAS LÄN</t>
        </is>
      </c>
      <c r="G2665" t="inlineStr">
        <is>
          <t>LUDVIKA</t>
        </is>
      </c>
      <c r="H2665" t="inlineStr">
        <is>
          <t>Bergvik skog väst AB</t>
        </is>
      </c>
      <c r="I2665" t="n">
        <v>1</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25691-2022</t>
        </is>
      </c>
      <c r="B2666" t="inlineStr">
        <is>
          <t>avverkningsanmälan</t>
        </is>
      </c>
      <c r="C2666" t="inlineStr">
        <is>
          <t>Föryngringsavverkning</t>
        </is>
      </c>
      <c r="D2666" s="1" t="n">
        <v>44733</v>
      </c>
      <c r="E2666" s="1" t="n">
        <v>46319</v>
      </c>
      <c r="F2666" t="inlineStr">
        <is>
          <t>DALARNAS LÄN</t>
        </is>
      </c>
      <c r="G2666" t="inlineStr">
        <is>
          <t>HEDEMORA</t>
        </is>
      </c>
      <c r="I2666" t="n">
        <v>0.7</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49986-2024</t>
        </is>
      </c>
      <c r="B2667" t="inlineStr">
        <is>
          <t>avverkningsanmälan</t>
        </is>
      </c>
      <c r="C2667" t="inlineStr">
        <is>
          <t>Föryngringsavverkning</t>
        </is>
      </c>
      <c r="D2667" s="1" t="n">
        <v>45597</v>
      </c>
      <c r="E2667" s="1" t="n">
        <v>46319</v>
      </c>
      <c r="F2667" t="inlineStr">
        <is>
          <t>DALARNAS LÄN</t>
        </is>
      </c>
      <c r="G2667" t="inlineStr">
        <is>
          <t>FALUN</t>
        </is>
      </c>
      <c r="I2667" t="n">
        <v>1.8</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50001-2024</t>
        </is>
      </c>
      <c r="B2668" t="inlineStr">
        <is>
          <t>avverkningsanmälan</t>
        </is>
      </c>
      <c r="C2668" t="inlineStr">
        <is>
          <t>Föryngringsavverkning</t>
        </is>
      </c>
      <c r="D2668" s="1" t="n">
        <v>45598</v>
      </c>
      <c r="E2668" s="1" t="n">
        <v>46319</v>
      </c>
      <c r="F2668" t="inlineStr">
        <is>
          <t>DALARNAS LÄN</t>
        </is>
      </c>
      <c r="G2668" t="inlineStr">
        <is>
          <t>AVESTA</t>
        </is>
      </c>
      <c r="H2668" t="inlineStr">
        <is>
          <t>Sveaskog</t>
        </is>
      </c>
      <c r="I2668" t="n">
        <v>4.5</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24339-2026</t>
        </is>
      </c>
      <c r="B2669" t="inlineStr">
        <is>
          <t>avverkningsanmälan</t>
        </is>
      </c>
      <c r="C2669" t="inlineStr">
        <is>
          <t>Föryngringsavverkning</t>
        </is>
      </c>
      <c r="D2669" s="1" t="n">
        <v>46169</v>
      </c>
      <c r="E2669" s="1" t="n">
        <v>46319</v>
      </c>
      <c r="F2669" t="inlineStr">
        <is>
          <t>DALARNAS LÄN</t>
        </is>
      </c>
      <c r="G2669" t="inlineStr">
        <is>
          <t>HEDEMORA</t>
        </is>
      </c>
      <c r="H2669" t="inlineStr">
        <is>
          <t>Sveaskog</t>
        </is>
      </c>
      <c r="I2669" t="n">
        <v>5.8</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24364-2026</t>
        </is>
      </c>
      <c r="B2670" t="inlineStr">
        <is>
          <t>avverkningsanmälan</t>
        </is>
      </c>
      <c r="C2670" t="inlineStr">
        <is>
          <t>Föryngringsavverkning</t>
        </is>
      </c>
      <c r="D2670" s="1" t="n">
        <v>46169</v>
      </c>
      <c r="E2670" s="1" t="n">
        <v>46319</v>
      </c>
      <c r="F2670" t="inlineStr">
        <is>
          <t>DALARNAS LÄN</t>
        </is>
      </c>
      <c r="G2670" t="inlineStr">
        <is>
          <t>FALUN</t>
        </is>
      </c>
      <c r="H2670" t="inlineStr">
        <is>
          <t>Bergvik skog väst AB</t>
        </is>
      </c>
      <c r="I2670" t="n">
        <v>51.1</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4020-2026</t>
        </is>
      </c>
      <c r="B2671" t="inlineStr">
        <is>
          <t>avverkningsanmälan</t>
        </is>
      </c>
      <c r="C2671" t="inlineStr">
        <is>
          <t>Föryngringsavverkning</t>
        </is>
      </c>
      <c r="D2671" s="1" t="n">
        <v>46044</v>
      </c>
      <c r="E2671" s="1" t="n">
        <v>46319</v>
      </c>
      <c r="F2671" t="inlineStr">
        <is>
          <t>DALARNAS LÄN</t>
        </is>
      </c>
      <c r="G2671" t="inlineStr">
        <is>
          <t>FALUN</t>
        </is>
      </c>
      <c r="H2671" t="inlineStr">
        <is>
          <t>Kyrkan</t>
        </is>
      </c>
      <c r="I2671" t="n">
        <v>21.5</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46557-2025</t>
        </is>
      </c>
      <c r="B2672" t="inlineStr">
        <is>
          <t>avverkningsanmälan</t>
        </is>
      </c>
      <c r="C2672" t="inlineStr">
        <is>
          <t>Föryngringsavverkning</t>
        </is>
      </c>
      <c r="D2672" s="1" t="n">
        <v>45926</v>
      </c>
      <c r="E2672" s="1" t="n">
        <v>46319</v>
      </c>
      <c r="F2672" t="inlineStr">
        <is>
          <t>DALARNAS LÄN</t>
        </is>
      </c>
      <c r="G2672" t="inlineStr">
        <is>
          <t>MALUNG-SÄLEN</t>
        </is>
      </c>
      <c r="H2672" t="inlineStr">
        <is>
          <t>Övriga statliga verk och myndigheter</t>
        </is>
      </c>
      <c r="I2672" t="n">
        <v>3.6</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24392-2026</t>
        </is>
      </c>
      <c r="B2673" t="inlineStr">
        <is>
          <t>avverkningsanmälan</t>
        </is>
      </c>
      <c r="C2673" t="inlineStr">
        <is>
          <t>Föryngringsavverkning</t>
        </is>
      </c>
      <c r="D2673" s="1" t="n">
        <v>46169</v>
      </c>
      <c r="E2673" s="1" t="n">
        <v>46319</v>
      </c>
      <c r="F2673" t="inlineStr">
        <is>
          <t>DALARNAS LÄN</t>
        </is>
      </c>
      <c r="G2673" t="inlineStr">
        <is>
          <t>AVESTA</t>
        </is>
      </c>
      <c r="I2673" t="n">
        <v>1.9</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6489-2026</t>
        </is>
      </c>
      <c r="B2674" t="inlineStr">
        <is>
          <t>avverkningsanmälan</t>
        </is>
      </c>
      <c r="C2674" t="inlineStr">
        <is>
          <t>Föryngringsavverkning</t>
        </is>
      </c>
      <c r="D2674" s="1" t="n">
        <v>46056</v>
      </c>
      <c r="E2674" s="1" t="n">
        <v>46319</v>
      </c>
      <c r="F2674" t="inlineStr">
        <is>
          <t>DALARNAS LÄN</t>
        </is>
      </c>
      <c r="G2674" t="inlineStr">
        <is>
          <t>RÄTTVIK</t>
        </is>
      </c>
      <c r="I2674" t="n">
        <v>9.6</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50184-2022</t>
        </is>
      </c>
      <c r="B2675" t="inlineStr">
        <is>
          <t>avverkningsanmälan</t>
        </is>
      </c>
      <c r="C2675" t="inlineStr">
        <is>
          <t>Föryngringsavverkning</t>
        </is>
      </c>
      <c r="D2675" s="1" t="n">
        <v>44865</v>
      </c>
      <c r="E2675" s="1" t="n">
        <v>46319</v>
      </c>
      <c r="F2675" t="inlineStr">
        <is>
          <t>DALARNAS LÄN</t>
        </is>
      </c>
      <c r="G2675" t="inlineStr">
        <is>
          <t>FALUN</t>
        </is>
      </c>
      <c r="I2675" t="n">
        <v>1.3</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14753-2025</t>
        </is>
      </c>
      <c r="B2676" t="inlineStr">
        <is>
          <t>avverkningsanmälan</t>
        </is>
      </c>
      <c r="C2676" t="inlineStr">
        <is>
          <t>Föryngringsavverkning</t>
        </is>
      </c>
      <c r="D2676" s="1" t="n">
        <v>45742</v>
      </c>
      <c r="E2676" s="1" t="n">
        <v>46319</v>
      </c>
      <c r="F2676" t="inlineStr">
        <is>
          <t>DALARNAS LÄN</t>
        </is>
      </c>
      <c r="G2676" t="inlineStr">
        <is>
          <t>BORLÄNGE</t>
        </is>
      </c>
      <c r="I2676" t="n">
        <v>0.5</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51780-2023</t>
        </is>
      </c>
      <c r="B2677" t="inlineStr">
        <is>
          <t>avverkningsanmälan</t>
        </is>
      </c>
      <c r="C2677" t="inlineStr">
        <is>
          <t>Föryngringsavverkning</t>
        </is>
      </c>
      <c r="D2677" s="1" t="n">
        <v>45222</v>
      </c>
      <c r="E2677" s="1" t="n">
        <v>46319</v>
      </c>
      <c r="F2677" t="inlineStr">
        <is>
          <t>DALARNAS LÄN</t>
        </is>
      </c>
      <c r="G2677" t="inlineStr">
        <is>
          <t>MORA</t>
        </is>
      </c>
      <c r="I2677" t="n">
        <v>9.9</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11442-2022</t>
        </is>
      </c>
      <c r="B2678" t="inlineStr">
        <is>
          <t>avverkningsanmälan</t>
        </is>
      </c>
      <c r="C2678" t="inlineStr">
        <is>
          <t>Föryngringsavverkning</t>
        </is>
      </c>
      <c r="D2678" s="1" t="n">
        <v>44630</v>
      </c>
      <c r="E2678" s="1" t="n">
        <v>46319</v>
      </c>
      <c r="F2678" t="inlineStr">
        <is>
          <t>DALARNAS LÄN</t>
        </is>
      </c>
      <c r="G2678" t="inlineStr">
        <is>
          <t>MORA</t>
        </is>
      </c>
      <c r="I2678" t="n">
        <v>0.5</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6183-2024</t>
        </is>
      </c>
      <c r="B2679" t="inlineStr">
        <is>
          <t>avverkningsanmälan</t>
        </is>
      </c>
      <c r="C2679" t="inlineStr">
        <is>
          <t>Föryngringsavverkning</t>
        </is>
      </c>
      <c r="D2679" s="1" t="n">
        <v>45337</v>
      </c>
      <c r="E2679" s="1" t="n">
        <v>46319</v>
      </c>
      <c r="F2679" t="inlineStr">
        <is>
          <t>DALARNAS LÄN</t>
        </is>
      </c>
      <c r="G2679" t="inlineStr">
        <is>
          <t>MORA</t>
        </is>
      </c>
      <c r="I2679" t="n">
        <v>7.9</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46364-2025</t>
        </is>
      </c>
      <c r="B2680" t="inlineStr">
        <is>
          <t>avverkningsanmälan</t>
        </is>
      </c>
      <c r="C2680" t="inlineStr">
        <is>
          <t>Föryngringsavverkning</t>
        </is>
      </c>
      <c r="D2680" s="1" t="n">
        <v>45925</v>
      </c>
      <c r="E2680" s="1" t="n">
        <v>46319</v>
      </c>
      <c r="F2680" t="inlineStr">
        <is>
          <t>DALARNAS LÄN</t>
        </is>
      </c>
      <c r="G2680" t="inlineStr">
        <is>
          <t>FALUN</t>
        </is>
      </c>
      <c r="I2680" t="n">
        <v>2.5</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34190-2023</t>
        </is>
      </c>
      <c r="B2681" t="inlineStr">
        <is>
          <t>avverkningsanmälan</t>
        </is>
      </c>
      <c r="C2681" t="inlineStr">
        <is>
          <t>Föryngringsavverkning</t>
        </is>
      </c>
      <c r="D2681" s="1" t="n">
        <v>45138</v>
      </c>
      <c r="E2681" s="1" t="n">
        <v>46319</v>
      </c>
      <c r="F2681" t="inlineStr">
        <is>
          <t>DALARNAS LÄN</t>
        </is>
      </c>
      <c r="G2681" t="inlineStr">
        <is>
          <t>AVESTA</t>
        </is>
      </c>
      <c r="I2681" t="n">
        <v>5.2</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17854-2024</t>
        </is>
      </c>
      <c r="B2682" t="inlineStr">
        <is>
          <t>avverkningsanmälan</t>
        </is>
      </c>
      <c r="C2682" t="inlineStr">
        <is>
          <t>Föryngringsavverkning</t>
        </is>
      </c>
      <c r="D2682" s="1" t="n">
        <v>45419</v>
      </c>
      <c r="E2682" s="1" t="n">
        <v>46319</v>
      </c>
      <c r="F2682" t="inlineStr">
        <is>
          <t>DALARNAS LÄN</t>
        </is>
      </c>
      <c r="G2682" t="inlineStr">
        <is>
          <t>GAGNEF</t>
        </is>
      </c>
      <c r="I2682" t="n">
        <v>0.7</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47018-2025</t>
        </is>
      </c>
      <c r="B2683" t="inlineStr">
        <is>
          <t>avverkningsanmälan</t>
        </is>
      </c>
      <c r="C2683" t="inlineStr">
        <is>
          <t>Föryngringsavverkning</t>
        </is>
      </c>
      <c r="D2683" s="1" t="n">
        <v>45929</v>
      </c>
      <c r="E2683" s="1" t="n">
        <v>46319</v>
      </c>
      <c r="F2683" t="inlineStr">
        <is>
          <t>DALARNAS LÄN</t>
        </is>
      </c>
      <c r="G2683" t="inlineStr">
        <is>
          <t>ÄLVDALEN</t>
        </is>
      </c>
      <c r="H2683" t="inlineStr">
        <is>
          <t>Allmännings- och besparingsskogar</t>
        </is>
      </c>
      <c r="I2683" t="n">
        <v>3.4</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31818-2025</t>
        </is>
      </c>
      <c r="B2684" t="inlineStr">
        <is>
          <t>avverkningsanmälan</t>
        </is>
      </c>
      <c r="C2684" t="inlineStr">
        <is>
          <t>Föryngringsavverkning</t>
        </is>
      </c>
      <c r="D2684" s="1" t="n">
        <v>45834</v>
      </c>
      <c r="E2684" s="1" t="n">
        <v>46319</v>
      </c>
      <c r="F2684" t="inlineStr">
        <is>
          <t>DALARNAS LÄN</t>
        </is>
      </c>
      <c r="G2684" t="inlineStr">
        <is>
          <t>LUDVIKA</t>
        </is>
      </c>
      <c r="I2684" t="n">
        <v>2.5</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24358-2026</t>
        </is>
      </c>
      <c r="B2685" t="inlineStr">
        <is>
          <t>avverkningsanmälan</t>
        </is>
      </c>
      <c r="C2685" t="inlineStr">
        <is>
          <t>Föryngringsavverkning</t>
        </is>
      </c>
      <c r="D2685" s="1" t="n">
        <v>46169</v>
      </c>
      <c r="E2685" s="1" t="n">
        <v>46319</v>
      </c>
      <c r="F2685" t="inlineStr">
        <is>
          <t>DALARNAS LÄN</t>
        </is>
      </c>
      <c r="G2685" t="inlineStr">
        <is>
          <t>FALUN</t>
        </is>
      </c>
      <c r="H2685" t="inlineStr">
        <is>
          <t>Bergvik skog väst AB</t>
        </is>
      </c>
      <c r="I2685" t="n">
        <v>2</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24316-2026</t>
        </is>
      </c>
      <c r="B2686" t="inlineStr">
        <is>
          <t>avverkningsanmälan</t>
        </is>
      </c>
      <c r="C2686" t="inlineStr">
        <is>
          <t>Föryngringsavverkning</t>
        </is>
      </c>
      <c r="D2686" s="1" t="n">
        <v>46169</v>
      </c>
      <c r="E2686" s="1" t="n">
        <v>46319</v>
      </c>
      <c r="F2686" t="inlineStr">
        <is>
          <t>DALARNAS LÄN</t>
        </is>
      </c>
      <c r="G2686" t="inlineStr">
        <is>
          <t>FALUN</t>
        </is>
      </c>
      <c r="H2686" t="inlineStr">
        <is>
          <t>Bergvik skog väst AB</t>
        </is>
      </c>
      <c r="I2686" t="n">
        <v>4.5</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4397-2026</t>
        </is>
      </c>
      <c r="B2687" t="inlineStr">
        <is>
          <t>avverkningsanmälan</t>
        </is>
      </c>
      <c r="C2687" t="inlineStr">
        <is>
          <t>Föryngringsavverkning</t>
        </is>
      </c>
      <c r="D2687" s="1" t="n">
        <v>46045</v>
      </c>
      <c r="E2687" s="1" t="n">
        <v>46319</v>
      </c>
      <c r="F2687" t="inlineStr">
        <is>
          <t>DALARNAS LÄN</t>
        </is>
      </c>
      <c r="G2687" t="inlineStr">
        <is>
          <t>GAGNEF</t>
        </is>
      </c>
      <c r="I2687" t="n">
        <v>7.2</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47280-2025</t>
        </is>
      </c>
      <c r="B2688" t="inlineStr">
        <is>
          <t>avverkningsanmälan</t>
        </is>
      </c>
      <c r="C2688" t="inlineStr">
        <is>
          <t>Föryngringsavverkning</t>
        </is>
      </c>
      <c r="D2688" s="1" t="n">
        <v>45930</v>
      </c>
      <c r="E2688" s="1" t="n">
        <v>46319</v>
      </c>
      <c r="F2688" t="inlineStr">
        <is>
          <t>DALARNAS LÄN</t>
        </is>
      </c>
      <c r="G2688" t="inlineStr">
        <is>
          <t>SÄTER</t>
        </is>
      </c>
      <c r="H2688" t="inlineStr">
        <is>
          <t>Bergvik skog väst AB</t>
        </is>
      </c>
      <c r="I2688" t="n">
        <v>4.5</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24389-2026</t>
        </is>
      </c>
      <c r="B2689" t="inlineStr">
        <is>
          <t>avverkningsanmälan</t>
        </is>
      </c>
      <c r="C2689" t="inlineStr">
        <is>
          <t>Föryngringsavverkning</t>
        </is>
      </c>
      <c r="D2689" s="1" t="n">
        <v>46169</v>
      </c>
      <c r="E2689" s="1" t="n">
        <v>46319</v>
      </c>
      <c r="F2689" t="inlineStr">
        <is>
          <t>DALARNAS LÄN</t>
        </is>
      </c>
      <c r="G2689" t="inlineStr">
        <is>
          <t>AVESTA</t>
        </is>
      </c>
      <c r="I2689" t="n">
        <v>3.7</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47286-2025</t>
        </is>
      </c>
      <c r="B2690" t="inlineStr">
        <is>
          <t>avverkningsanmälan</t>
        </is>
      </c>
      <c r="C2690" t="inlineStr">
        <is>
          <t>Föryngringsavverkning</t>
        </is>
      </c>
      <c r="D2690" s="1" t="n">
        <v>45930</v>
      </c>
      <c r="E2690" s="1" t="n">
        <v>46319</v>
      </c>
      <c r="F2690" t="inlineStr">
        <is>
          <t>DALARNAS LÄN</t>
        </is>
      </c>
      <c r="G2690" t="inlineStr">
        <is>
          <t>RÄTTVIK</t>
        </is>
      </c>
      <c r="I2690" t="n">
        <v>1.5</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24395-2026</t>
        </is>
      </c>
      <c r="B2691" t="inlineStr">
        <is>
          <t>avverkningsanmälan</t>
        </is>
      </c>
      <c r="C2691" t="inlineStr">
        <is>
          <t>Föryngringsavverkning</t>
        </is>
      </c>
      <c r="D2691" s="1" t="n">
        <v>46169</v>
      </c>
      <c r="E2691" s="1" t="n">
        <v>46319</v>
      </c>
      <c r="F2691" t="inlineStr">
        <is>
          <t>DALARNAS LÄN</t>
        </is>
      </c>
      <c r="G2691" t="inlineStr">
        <is>
          <t>AVESTA</t>
        </is>
      </c>
      <c r="I2691" t="n">
        <v>2.1</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47403-2025</t>
        </is>
      </c>
      <c r="B2692" t="inlineStr">
        <is>
          <t>avverkningsanmälan</t>
        </is>
      </c>
      <c r="C2692" t="inlineStr">
        <is>
          <t>Föryngringsavverkning</t>
        </is>
      </c>
      <c r="D2692" s="1" t="n">
        <v>45930</v>
      </c>
      <c r="E2692" s="1" t="n">
        <v>46319</v>
      </c>
      <c r="F2692" t="inlineStr">
        <is>
          <t>DALARNAS LÄN</t>
        </is>
      </c>
      <c r="G2692" t="inlineStr">
        <is>
          <t>FALUN</t>
        </is>
      </c>
      <c r="H2692" t="inlineStr">
        <is>
          <t>Bergvik skog väst AB</t>
        </is>
      </c>
      <c r="I2692" t="n">
        <v>1</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4955-2025</t>
        </is>
      </c>
      <c r="B2693" t="inlineStr">
        <is>
          <t>avverkningsanmälan</t>
        </is>
      </c>
      <c r="C2693" t="inlineStr">
        <is>
          <t>Föryngringsavverkning</t>
        </is>
      </c>
      <c r="D2693" s="1" t="n">
        <v>45689</v>
      </c>
      <c r="E2693" s="1" t="n">
        <v>46319</v>
      </c>
      <c r="F2693" t="inlineStr">
        <is>
          <t>DALARNAS LÄN</t>
        </is>
      </c>
      <c r="G2693" t="inlineStr">
        <is>
          <t>VANSBRO</t>
        </is>
      </c>
      <c r="I2693" t="n">
        <v>3.7</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45562-2023</t>
        </is>
      </c>
      <c r="B2694" t="inlineStr">
        <is>
          <t>avverkningsanmälan</t>
        </is>
      </c>
      <c r="C2694" t="inlineStr">
        <is>
          <t>Föryngringsavverkning</t>
        </is>
      </c>
      <c r="D2694" s="1" t="n">
        <v>45194</v>
      </c>
      <c r="E2694" s="1" t="n">
        <v>46319</v>
      </c>
      <c r="F2694" t="inlineStr">
        <is>
          <t>DALARNAS LÄN</t>
        </is>
      </c>
      <c r="G2694" t="inlineStr">
        <is>
          <t>MORA</t>
        </is>
      </c>
      <c r="I2694" t="n">
        <v>0.7</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46882-2025</t>
        </is>
      </c>
      <c r="B2695" t="inlineStr">
        <is>
          <t>avverkningsanmälan</t>
        </is>
      </c>
      <c r="C2695" t="inlineStr">
        <is>
          <t>Föryngringsavverkning</t>
        </is>
      </c>
      <c r="D2695" s="1" t="n">
        <v>45929</v>
      </c>
      <c r="E2695" s="1" t="n">
        <v>46319</v>
      </c>
      <c r="F2695" t="inlineStr">
        <is>
          <t>DALARNAS LÄN</t>
        </is>
      </c>
      <c r="G2695" t="inlineStr">
        <is>
          <t>ÄLVDALEN</t>
        </is>
      </c>
      <c r="H2695" t="inlineStr">
        <is>
          <t>Allmännings- och besparingsskogar</t>
        </is>
      </c>
      <c r="I2695" t="n">
        <v>4.9</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12966-2022</t>
        </is>
      </c>
      <c r="B2696" t="inlineStr">
        <is>
          <t>avverkningsanmälan</t>
        </is>
      </c>
      <c r="C2696" t="inlineStr">
        <is>
          <t>Föryngringsavverkning</t>
        </is>
      </c>
      <c r="D2696" s="1" t="n">
        <v>44643</v>
      </c>
      <c r="E2696" s="1" t="n">
        <v>46319</v>
      </c>
      <c r="F2696" t="inlineStr">
        <is>
          <t>DALARNAS LÄN</t>
        </is>
      </c>
      <c r="G2696" t="inlineStr">
        <is>
          <t>MALUNG-SÄLEN</t>
        </is>
      </c>
      <c r="H2696" t="inlineStr">
        <is>
          <t>Kommuner</t>
        </is>
      </c>
      <c r="I2696" t="n">
        <v>1.1</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24340-2026</t>
        </is>
      </c>
      <c r="B2697" t="inlineStr">
        <is>
          <t>avverkningsanmälan</t>
        </is>
      </c>
      <c r="C2697" t="inlineStr">
        <is>
          <t>Föryngringsavverkning</t>
        </is>
      </c>
      <c r="D2697" s="1" t="n">
        <v>46169</v>
      </c>
      <c r="E2697" s="1" t="n">
        <v>46319</v>
      </c>
      <c r="F2697" t="inlineStr">
        <is>
          <t>DALARNAS LÄN</t>
        </is>
      </c>
      <c r="G2697" t="inlineStr">
        <is>
          <t>HEDEMORA</t>
        </is>
      </c>
      <c r="H2697" t="inlineStr">
        <is>
          <t>Sveaskog</t>
        </is>
      </c>
      <c r="I2697" t="n">
        <v>8.5</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47055-2025</t>
        </is>
      </c>
      <c r="B2698" t="inlineStr">
        <is>
          <t>avverkningsanmälan</t>
        </is>
      </c>
      <c r="C2698" t="inlineStr">
        <is>
          <t>Föryngringsavverkning</t>
        </is>
      </c>
      <c r="D2698" s="1" t="n">
        <v>45929</v>
      </c>
      <c r="E2698" s="1" t="n">
        <v>46319</v>
      </c>
      <c r="F2698" t="inlineStr">
        <is>
          <t>DALARNAS LÄN</t>
        </is>
      </c>
      <c r="G2698" t="inlineStr">
        <is>
          <t>MORA</t>
        </is>
      </c>
      <c r="I2698" t="n">
        <v>28.1</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2979-2026</t>
        </is>
      </c>
      <c r="B2699" t="inlineStr">
        <is>
          <t>avverkningsanmälan</t>
        </is>
      </c>
      <c r="C2699" t="inlineStr">
        <is>
          <t>Föryngringsavverkning</t>
        </is>
      </c>
      <c r="D2699" s="1" t="n">
        <v>46038</v>
      </c>
      <c r="E2699" s="1" t="n">
        <v>46319</v>
      </c>
      <c r="F2699" t="inlineStr">
        <is>
          <t>DALARNAS LÄN</t>
        </is>
      </c>
      <c r="G2699" t="inlineStr">
        <is>
          <t>LUDVIKA</t>
        </is>
      </c>
      <c r="I2699" t="n">
        <v>1.4</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5225-2026</t>
        </is>
      </c>
      <c r="B2700" t="inlineStr">
        <is>
          <t>avverkningsanmälan</t>
        </is>
      </c>
      <c r="C2700" t="inlineStr">
        <is>
          <t>Föryngringsavverkning</t>
        </is>
      </c>
      <c r="D2700" s="1" t="n">
        <v>46049</v>
      </c>
      <c r="E2700" s="1" t="n">
        <v>46319</v>
      </c>
      <c r="F2700" t="inlineStr">
        <is>
          <t>DALARNAS LÄN</t>
        </is>
      </c>
      <c r="G2700" t="inlineStr">
        <is>
          <t>FALUN</t>
        </is>
      </c>
      <c r="I2700" t="n">
        <v>1.5</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15089-2026</t>
        </is>
      </c>
      <c r="B2701" t="inlineStr">
        <is>
          <t>avverkningsanmälan</t>
        </is>
      </c>
      <c r="C2701" t="inlineStr">
        <is>
          <t>Föryngringsavverkning</t>
        </is>
      </c>
      <c r="D2701" s="1" t="n">
        <v>46105</v>
      </c>
      <c r="E2701" s="1" t="n">
        <v>46319</v>
      </c>
      <c r="F2701" t="inlineStr">
        <is>
          <t>DALARNAS LÄN</t>
        </is>
      </c>
      <c r="G2701" t="inlineStr">
        <is>
          <t>RÄTTVIK</t>
        </is>
      </c>
      <c r="H2701" t="inlineStr">
        <is>
          <t>Allmännings- och besparingsskogar</t>
        </is>
      </c>
      <c r="I2701" t="n">
        <v>7</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46978-2025</t>
        </is>
      </c>
      <c r="B2702" t="inlineStr">
        <is>
          <t>avverkningsanmälan</t>
        </is>
      </c>
      <c r="C2702" t="inlineStr">
        <is>
          <t>Föryngringsavverkning</t>
        </is>
      </c>
      <c r="D2702" s="1" t="n">
        <v>45929</v>
      </c>
      <c r="E2702" s="1" t="n">
        <v>46319</v>
      </c>
      <c r="F2702" t="inlineStr">
        <is>
          <t>DALARNAS LÄN</t>
        </is>
      </c>
      <c r="G2702" t="inlineStr">
        <is>
          <t>LEKSAND</t>
        </is>
      </c>
      <c r="I2702" t="n">
        <v>2</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48644-2023</t>
        </is>
      </c>
      <c r="B2703" t="inlineStr">
        <is>
          <t>avverkningsanmälan</t>
        </is>
      </c>
      <c r="C2703" t="inlineStr">
        <is>
          <t>Föryngringsavverkning</t>
        </is>
      </c>
      <c r="D2703" s="1" t="n">
        <v>45208</v>
      </c>
      <c r="E2703" s="1" t="n">
        <v>46319</v>
      </c>
      <c r="F2703" t="inlineStr">
        <is>
          <t>DALARNAS LÄN</t>
        </is>
      </c>
      <c r="G2703" t="inlineStr">
        <is>
          <t>LEKSAND</t>
        </is>
      </c>
      <c r="H2703" t="inlineStr">
        <is>
          <t>Bergvik skog väst AB</t>
        </is>
      </c>
      <c r="I2703" t="n">
        <v>1.3</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24507-2026</t>
        </is>
      </c>
      <c r="B2704" t="inlineStr">
        <is>
          <t>avverkningsanmälan</t>
        </is>
      </c>
      <c r="C2704" t="inlineStr">
        <is>
          <t>Föryngringsavverkning</t>
        </is>
      </c>
      <c r="D2704" s="1" t="n">
        <v>46170</v>
      </c>
      <c r="E2704" s="1" t="n">
        <v>46319</v>
      </c>
      <c r="F2704" t="inlineStr">
        <is>
          <t>DALARNAS LÄN</t>
        </is>
      </c>
      <c r="G2704" t="inlineStr">
        <is>
          <t>FALUN</t>
        </is>
      </c>
      <c r="I2704" t="n">
        <v>1.3</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24525-2026</t>
        </is>
      </c>
      <c r="B2705" t="inlineStr">
        <is>
          <t>avverkningsanmälan</t>
        </is>
      </c>
      <c r="C2705" t="inlineStr">
        <is>
          <t>Föryngringsavverkning</t>
        </is>
      </c>
      <c r="D2705" s="1" t="n">
        <v>46170</v>
      </c>
      <c r="E2705" s="1" t="n">
        <v>46319</v>
      </c>
      <c r="F2705" t="inlineStr">
        <is>
          <t>DALARNAS LÄN</t>
        </is>
      </c>
      <c r="G2705" t="inlineStr">
        <is>
          <t>MORA</t>
        </is>
      </c>
      <c r="I2705" t="n">
        <v>0.8</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10784-2024</t>
        </is>
      </c>
      <c r="B2706" t="inlineStr">
        <is>
          <t>avverkningsanmälan</t>
        </is>
      </c>
      <c r="C2706" t="inlineStr">
        <is>
          <t>Föryngringsavverkning</t>
        </is>
      </c>
      <c r="D2706" s="1" t="n">
        <v>45369</v>
      </c>
      <c r="E2706" s="1" t="n">
        <v>46319</v>
      </c>
      <c r="F2706" t="inlineStr">
        <is>
          <t>DALARNAS LÄN</t>
        </is>
      </c>
      <c r="G2706" t="inlineStr">
        <is>
          <t>AVESTA</t>
        </is>
      </c>
      <c r="I2706" t="n">
        <v>2.2</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24768-2026</t>
        </is>
      </c>
      <c r="B2707" t="inlineStr">
        <is>
          <t>avverkningsanmälan</t>
        </is>
      </c>
      <c r="C2707" t="inlineStr">
        <is>
          <t>Föryngringsavverkning</t>
        </is>
      </c>
      <c r="D2707" s="1" t="n">
        <v>46171</v>
      </c>
      <c r="E2707" s="1" t="n">
        <v>46319</v>
      </c>
      <c r="F2707" t="inlineStr">
        <is>
          <t>DALARNAS LÄN</t>
        </is>
      </c>
      <c r="G2707" t="inlineStr">
        <is>
          <t>LUDVIKA</t>
        </is>
      </c>
      <c r="H2707" t="inlineStr">
        <is>
          <t>Naturvårdsverket</t>
        </is>
      </c>
      <c r="I2707" t="n">
        <v>4.8</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24571-2026</t>
        </is>
      </c>
      <c r="B2708" t="inlineStr">
        <is>
          <t>avverkningsanmälan</t>
        </is>
      </c>
      <c r="C2708" t="inlineStr">
        <is>
          <t>Föryngringsavverkning</t>
        </is>
      </c>
      <c r="D2708" s="1" t="n">
        <v>46170</v>
      </c>
      <c r="E2708" s="1" t="n">
        <v>46319</v>
      </c>
      <c r="F2708" t="inlineStr">
        <is>
          <t>DALARNAS LÄN</t>
        </is>
      </c>
      <c r="G2708" t="inlineStr">
        <is>
          <t>MORA</t>
        </is>
      </c>
      <c r="H2708" t="inlineStr">
        <is>
          <t>Bergvik skog öst AB</t>
        </is>
      </c>
      <c r="I2708" t="n">
        <v>1</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5931-2024</t>
        </is>
      </c>
      <c r="B2709" t="inlineStr">
        <is>
          <t>avverkningsanmälan</t>
        </is>
      </c>
      <c r="C2709" t="inlineStr">
        <is>
          <t>Avverkning för annat ändamål</t>
        </is>
      </c>
      <c r="D2709" s="1" t="n">
        <v>45335</v>
      </c>
      <c r="E2709" s="1" t="n">
        <v>46319</v>
      </c>
      <c r="F2709" t="inlineStr">
        <is>
          <t>DALARNAS LÄN</t>
        </is>
      </c>
      <c r="G2709" t="inlineStr">
        <is>
          <t>MALUNG-SÄLEN</t>
        </is>
      </c>
      <c r="I2709" t="n">
        <v>6.6</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47414-2025</t>
        </is>
      </c>
      <c r="B2710" t="inlineStr">
        <is>
          <t>avverkningsanmälan</t>
        </is>
      </c>
      <c r="C2710" t="inlineStr">
        <is>
          <t>Föryngringsavverkning</t>
        </is>
      </c>
      <c r="D2710" s="1" t="n">
        <v>45930</v>
      </c>
      <c r="E2710" s="1" t="n">
        <v>46319</v>
      </c>
      <c r="F2710" t="inlineStr">
        <is>
          <t>DALARNAS LÄN</t>
        </is>
      </c>
      <c r="G2710" t="inlineStr">
        <is>
          <t>MORA</t>
        </is>
      </c>
      <c r="I2710" t="n">
        <v>6.1</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5156-2024</t>
        </is>
      </c>
      <c r="B2711" t="inlineStr">
        <is>
          <t>avverkningsanmälan</t>
        </is>
      </c>
      <c r="C2711" t="inlineStr">
        <is>
          <t>Föryngringsavverkning</t>
        </is>
      </c>
      <c r="D2711" s="1" t="n">
        <v>45330</v>
      </c>
      <c r="E2711" s="1" t="n">
        <v>46319</v>
      </c>
      <c r="F2711" t="inlineStr">
        <is>
          <t>DALARNAS LÄN</t>
        </is>
      </c>
      <c r="G2711" t="inlineStr">
        <is>
          <t>RÄTTVIK</t>
        </is>
      </c>
      <c r="I2711" t="n">
        <v>0.4</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46891-2025</t>
        </is>
      </c>
      <c r="B2712" t="inlineStr">
        <is>
          <t>avverkningsanmälan</t>
        </is>
      </c>
      <c r="C2712" t="inlineStr">
        <is>
          <t>Föryngringsavverkning</t>
        </is>
      </c>
      <c r="D2712" s="1" t="n">
        <v>45929</v>
      </c>
      <c r="E2712" s="1" t="n">
        <v>46319</v>
      </c>
      <c r="F2712" t="inlineStr">
        <is>
          <t>DALARNAS LÄN</t>
        </is>
      </c>
      <c r="G2712" t="inlineStr">
        <is>
          <t>SÄTER</t>
        </is>
      </c>
      <c r="I2712" t="n">
        <v>2.8</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24664-2026</t>
        </is>
      </c>
      <c r="B2713" t="inlineStr">
        <is>
          <t>avverkningsanmälan</t>
        </is>
      </c>
      <c r="C2713" t="inlineStr">
        <is>
          <t>Föryngringsavverkning</t>
        </is>
      </c>
      <c r="D2713" s="1" t="n">
        <v>46171</v>
      </c>
      <c r="E2713" s="1" t="n">
        <v>46319</v>
      </c>
      <c r="F2713" t="inlineStr">
        <is>
          <t>DALARNAS LÄN</t>
        </is>
      </c>
      <c r="G2713" t="inlineStr">
        <is>
          <t>BORLÄNGE</t>
        </is>
      </c>
      <c r="H2713" t="inlineStr">
        <is>
          <t>Bergvik skog väst AB</t>
        </is>
      </c>
      <c r="I2713" t="n">
        <v>1.9</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27506-2023</t>
        </is>
      </c>
      <c r="B2714" t="inlineStr">
        <is>
          <t>avverkningsanmälan</t>
        </is>
      </c>
      <c r="C2714" t="inlineStr">
        <is>
          <t>Föryngringsavverkning</t>
        </is>
      </c>
      <c r="D2714" s="1" t="n">
        <v>45097</v>
      </c>
      <c r="E2714" s="1" t="n">
        <v>46319</v>
      </c>
      <c r="F2714" t="inlineStr">
        <is>
          <t>DALARNAS LÄN</t>
        </is>
      </c>
      <c r="G2714" t="inlineStr">
        <is>
          <t>FALUN</t>
        </is>
      </c>
      <c r="I2714" t="n">
        <v>2.7</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25065-2026</t>
        </is>
      </c>
      <c r="B2715" t="inlineStr">
        <is>
          <t>avverkningsanmälan</t>
        </is>
      </c>
      <c r="C2715" t="inlineStr">
        <is>
          <t>Föryngringsavverkning</t>
        </is>
      </c>
      <c r="D2715" s="1" t="n">
        <v>46171</v>
      </c>
      <c r="E2715" s="1" t="n">
        <v>46319</v>
      </c>
      <c r="F2715" t="inlineStr">
        <is>
          <t>DALARNAS LÄN</t>
        </is>
      </c>
      <c r="G2715" t="inlineStr">
        <is>
          <t>SMEDJEBACKEN</t>
        </is>
      </c>
      <c r="H2715" t="inlineStr">
        <is>
          <t>Bergvik skog väst AB</t>
        </is>
      </c>
      <c r="I2715" t="n">
        <v>0.5</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47361-2025</t>
        </is>
      </c>
      <c r="B2716" t="inlineStr">
        <is>
          <t>avverkningsanmälan</t>
        </is>
      </c>
      <c r="C2716" t="inlineStr">
        <is>
          <t>Föryngringsavverkning</t>
        </is>
      </c>
      <c r="D2716" s="1" t="n">
        <v>45930</v>
      </c>
      <c r="E2716" s="1" t="n">
        <v>46319</v>
      </c>
      <c r="F2716" t="inlineStr">
        <is>
          <t>DALARNAS LÄN</t>
        </is>
      </c>
      <c r="G2716" t="inlineStr">
        <is>
          <t>RÄTTVIK</t>
        </is>
      </c>
      <c r="I2716" t="n">
        <v>0.8</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47407-2025</t>
        </is>
      </c>
      <c r="B2717" t="inlineStr">
        <is>
          <t>avverkningsanmälan</t>
        </is>
      </c>
      <c r="C2717" t="inlineStr">
        <is>
          <t>Föryngringsavverkning</t>
        </is>
      </c>
      <c r="D2717" s="1" t="n">
        <v>45930</v>
      </c>
      <c r="E2717" s="1" t="n">
        <v>46319</v>
      </c>
      <c r="F2717" t="inlineStr">
        <is>
          <t>DALARNAS LÄN</t>
        </is>
      </c>
      <c r="G2717" t="inlineStr">
        <is>
          <t>FALUN</t>
        </is>
      </c>
      <c r="H2717" t="inlineStr">
        <is>
          <t>Bergvik skog väst AB</t>
        </is>
      </c>
      <c r="I2717" t="n">
        <v>2.8</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47284-2025</t>
        </is>
      </c>
      <c r="B2718" t="inlineStr">
        <is>
          <t>avverkningsanmälan</t>
        </is>
      </c>
      <c r="C2718" t="inlineStr">
        <is>
          <t>Föryngringsavverkning</t>
        </is>
      </c>
      <c r="D2718" s="1" t="n">
        <v>45930</v>
      </c>
      <c r="E2718" s="1" t="n">
        <v>46319</v>
      </c>
      <c r="F2718" t="inlineStr">
        <is>
          <t>DALARNAS LÄN</t>
        </is>
      </c>
      <c r="G2718" t="inlineStr">
        <is>
          <t>MALUNG-SÄLEN</t>
        </is>
      </c>
      <c r="H2718" t="inlineStr">
        <is>
          <t>Bergvik skog väst AB</t>
        </is>
      </c>
      <c r="I2718" t="n">
        <v>8.4</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24589-2026</t>
        </is>
      </c>
      <c r="B2719" t="inlineStr">
        <is>
          <t>avverkningsanmälan</t>
        </is>
      </c>
      <c r="C2719" t="inlineStr">
        <is>
          <t>Föryngringsavverkning</t>
        </is>
      </c>
      <c r="D2719" s="1" t="n">
        <v>46170</v>
      </c>
      <c r="E2719" s="1" t="n">
        <v>46319</v>
      </c>
      <c r="F2719" t="inlineStr">
        <is>
          <t>DALARNAS LÄN</t>
        </is>
      </c>
      <c r="G2719" t="inlineStr">
        <is>
          <t>FALUN</t>
        </is>
      </c>
      <c r="I2719" t="n">
        <v>1.4</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25038-2023</t>
        </is>
      </c>
      <c r="B2720" t="inlineStr">
        <is>
          <t>avverkningsanmälan</t>
        </is>
      </c>
      <c r="C2720" t="inlineStr">
        <is>
          <t>Föryngringsavverkning</t>
        </is>
      </c>
      <c r="D2720" s="1" t="n">
        <v>45085</v>
      </c>
      <c r="E2720" s="1" t="n">
        <v>46319</v>
      </c>
      <c r="F2720" t="inlineStr">
        <is>
          <t>DALARNAS LÄN</t>
        </is>
      </c>
      <c r="G2720" t="inlineStr">
        <is>
          <t>LEKSAND</t>
        </is>
      </c>
      <c r="I2720" t="n">
        <v>0.7</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47294-2025</t>
        </is>
      </c>
      <c r="B2721" t="inlineStr">
        <is>
          <t>avverkningsanmälan</t>
        </is>
      </c>
      <c r="C2721" t="inlineStr">
        <is>
          <t>Föryngringsavverkning</t>
        </is>
      </c>
      <c r="D2721" s="1" t="n">
        <v>45930</v>
      </c>
      <c r="E2721" s="1" t="n">
        <v>46319</v>
      </c>
      <c r="F2721" t="inlineStr">
        <is>
          <t>DALARNAS LÄN</t>
        </is>
      </c>
      <c r="G2721" t="inlineStr">
        <is>
          <t>RÄTTVIK</t>
        </is>
      </c>
      <c r="I2721" t="n">
        <v>6.1</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47026-2025</t>
        </is>
      </c>
      <c r="B2722" t="inlineStr">
        <is>
          <t>avverkningsanmälan</t>
        </is>
      </c>
      <c r="C2722" t="inlineStr">
        <is>
          <t>Föryngringsavverkning</t>
        </is>
      </c>
      <c r="D2722" s="1" t="n">
        <v>45929</v>
      </c>
      <c r="E2722" s="1" t="n">
        <v>46319</v>
      </c>
      <c r="F2722" t="inlineStr">
        <is>
          <t>DALARNAS LÄN</t>
        </is>
      </c>
      <c r="G2722" t="inlineStr">
        <is>
          <t>AVESTA</t>
        </is>
      </c>
      <c r="I2722" t="n">
        <v>1.9</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47072-2025</t>
        </is>
      </c>
      <c r="B2723" t="inlineStr">
        <is>
          <t>avverkningsanmälan</t>
        </is>
      </c>
      <c r="C2723" t="inlineStr">
        <is>
          <t>Föryngringsavverkning</t>
        </is>
      </c>
      <c r="D2723" s="1" t="n">
        <v>45929</v>
      </c>
      <c r="E2723" s="1" t="n">
        <v>46319</v>
      </c>
      <c r="F2723" t="inlineStr">
        <is>
          <t>DALARNAS LÄN</t>
        </is>
      </c>
      <c r="G2723" t="inlineStr">
        <is>
          <t>MORA</t>
        </is>
      </c>
      <c r="I2723" t="n">
        <v>3.4</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23217-2026</t>
        </is>
      </c>
      <c r="B2724" t="inlineStr">
        <is>
          <t>avverkningsanmälan</t>
        </is>
      </c>
      <c r="C2724" t="inlineStr">
        <is>
          <t>Föryngringsavverkning</t>
        </is>
      </c>
      <c r="D2724" s="1" t="n">
        <v>46162</v>
      </c>
      <c r="E2724" s="1" t="n">
        <v>46319</v>
      </c>
      <c r="F2724" t="inlineStr">
        <is>
          <t>DALARNAS LÄN</t>
        </is>
      </c>
      <c r="G2724" t="inlineStr">
        <is>
          <t>FALUN</t>
        </is>
      </c>
      <c r="I2724" t="n">
        <v>1.5</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53119-2022</t>
        </is>
      </c>
      <c r="B2725" t="inlineStr">
        <is>
          <t>avverkningsanmälan</t>
        </is>
      </c>
      <c r="C2725" t="inlineStr">
        <is>
          <t>Föryngringsavverkning</t>
        </is>
      </c>
      <c r="D2725" s="1" t="n">
        <v>44876</v>
      </c>
      <c r="E2725" s="1" t="n">
        <v>46319</v>
      </c>
      <c r="F2725" t="inlineStr">
        <is>
          <t>DALARNAS LÄN</t>
        </is>
      </c>
      <c r="G2725" t="inlineStr">
        <is>
          <t>AVESTA</t>
        </is>
      </c>
      <c r="H2725" t="inlineStr">
        <is>
          <t>Kyrkan</t>
        </is>
      </c>
      <c r="I2725" t="n">
        <v>0.7</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47001-2025</t>
        </is>
      </c>
      <c r="B2726" t="inlineStr">
        <is>
          <t>avverkningsanmälan</t>
        </is>
      </c>
      <c r="C2726" t="inlineStr">
        <is>
          <t>Föryngringsavverkning</t>
        </is>
      </c>
      <c r="D2726" s="1" t="n">
        <v>45929</v>
      </c>
      <c r="E2726" s="1" t="n">
        <v>46319</v>
      </c>
      <c r="F2726" t="inlineStr">
        <is>
          <t>DALARNAS LÄN</t>
        </is>
      </c>
      <c r="G2726" t="inlineStr">
        <is>
          <t>BORLÄNGE</t>
        </is>
      </c>
      <c r="I2726" t="n">
        <v>0.9</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47006-2025</t>
        </is>
      </c>
      <c r="B2727" t="inlineStr">
        <is>
          <t>avverkningsanmälan</t>
        </is>
      </c>
      <c r="C2727" t="inlineStr">
        <is>
          <t>Föryngringsavverkning</t>
        </is>
      </c>
      <c r="D2727" s="1" t="n">
        <v>45929</v>
      </c>
      <c r="E2727" s="1" t="n">
        <v>46319</v>
      </c>
      <c r="F2727" t="inlineStr">
        <is>
          <t>DALARNAS LÄN</t>
        </is>
      </c>
      <c r="G2727" t="inlineStr">
        <is>
          <t>BORLÄNGE</t>
        </is>
      </c>
      <c r="I2727" t="n">
        <v>1.2</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52776-2022</t>
        </is>
      </c>
      <c r="B2728" t="inlineStr">
        <is>
          <t>avverkningsanmälan</t>
        </is>
      </c>
      <c r="C2728" t="inlineStr">
        <is>
          <t>Föryngringsavverkning</t>
        </is>
      </c>
      <c r="D2728" s="1" t="n">
        <v>44875</v>
      </c>
      <c r="E2728" s="1" t="n">
        <v>46319</v>
      </c>
      <c r="F2728" t="inlineStr">
        <is>
          <t>DALARNAS LÄN</t>
        </is>
      </c>
      <c r="G2728" t="inlineStr">
        <is>
          <t>ORSA</t>
        </is>
      </c>
      <c r="H2728" t="inlineStr">
        <is>
          <t>Allmännings- och besparingsskogar</t>
        </is>
      </c>
      <c r="I2728" t="n">
        <v>4.4</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24722-2026</t>
        </is>
      </c>
      <c r="B2729" t="inlineStr">
        <is>
          <t>avverkningsanmälan</t>
        </is>
      </c>
      <c r="C2729" t="inlineStr">
        <is>
          <t>Föryngringsavverkning</t>
        </is>
      </c>
      <c r="D2729" s="1" t="n">
        <v>46171</v>
      </c>
      <c r="E2729" s="1" t="n">
        <v>46319</v>
      </c>
      <c r="F2729" t="inlineStr">
        <is>
          <t>DALARNAS LÄN</t>
        </is>
      </c>
      <c r="G2729" t="inlineStr">
        <is>
          <t>ORSA</t>
        </is>
      </c>
      <c r="H2729" t="inlineStr">
        <is>
          <t>Allmännings- och besparingsskogar</t>
        </is>
      </c>
      <c r="I2729" t="n">
        <v>3.6</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46188-2022</t>
        </is>
      </c>
      <c r="B2730" t="inlineStr">
        <is>
          <t>avverkningsanmälan</t>
        </is>
      </c>
      <c r="C2730" t="inlineStr">
        <is>
          <t>Föryngringsavverkning</t>
        </is>
      </c>
      <c r="D2730" s="1" t="n">
        <v>44847</v>
      </c>
      <c r="E2730" s="1" t="n">
        <v>46319</v>
      </c>
      <c r="F2730" t="inlineStr">
        <is>
          <t>DALARNAS LÄN</t>
        </is>
      </c>
      <c r="G2730" t="inlineStr">
        <is>
          <t>MORA</t>
        </is>
      </c>
      <c r="I2730" t="n">
        <v>1.8</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47685-2025</t>
        </is>
      </c>
      <c r="B2731" t="inlineStr">
        <is>
          <t>avverkningsanmälan</t>
        </is>
      </c>
      <c r="C2731" t="inlineStr">
        <is>
          <t>Föryngringsavverkning</t>
        </is>
      </c>
      <c r="D2731" s="1" t="n">
        <v>45931</v>
      </c>
      <c r="E2731" s="1" t="n">
        <v>46319</v>
      </c>
      <c r="F2731" t="inlineStr">
        <is>
          <t>DALARNAS LÄN</t>
        </is>
      </c>
      <c r="G2731" t="inlineStr">
        <is>
          <t>GAGNEF</t>
        </is>
      </c>
      <c r="I2731" t="n">
        <v>0.7</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47833-2025</t>
        </is>
      </c>
      <c r="B2732" t="inlineStr">
        <is>
          <t>avverkningsanmälan</t>
        </is>
      </c>
      <c r="C2732" t="inlineStr">
        <is>
          <t>Föryngringsavverkning</t>
        </is>
      </c>
      <c r="D2732" s="1" t="n">
        <v>45932</v>
      </c>
      <c r="E2732" s="1" t="n">
        <v>46319</v>
      </c>
      <c r="F2732" t="inlineStr">
        <is>
          <t>DALARNAS LÄN</t>
        </is>
      </c>
      <c r="G2732" t="inlineStr">
        <is>
          <t>VANSBRO</t>
        </is>
      </c>
      <c r="I2732" t="n">
        <v>2.2</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8940-2023</t>
        </is>
      </c>
      <c r="B2733" t="inlineStr">
        <is>
          <t>avverkningsanmälan</t>
        </is>
      </c>
      <c r="C2733" t="inlineStr">
        <is>
          <t>Föryngringsavverkning</t>
        </is>
      </c>
      <c r="D2733" s="1" t="n">
        <v>44974</v>
      </c>
      <c r="E2733" s="1" t="n">
        <v>46319</v>
      </c>
      <c r="F2733" t="inlineStr">
        <is>
          <t>DALARNAS LÄN</t>
        </is>
      </c>
      <c r="G2733" t="inlineStr">
        <is>
          <t>LEKSAND</t>
        </is>
      </c>
      <c r="I2733" t="n">
        <v>1.5</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47692-2025</t>
        </is>
      </c>
      <c r="B2734" t="inlineStr">
        <is>
          <t>avverkningsanmälan</t>
        </is>
      </c>
      <c r="C2734" t="inlineStr">
        <is>
          <t>Föryngringsavverkning</t>
        </is>
      </c>
      <c r="D2734" s="1" t="n">
        <v>45931</v>
      </c>
      <c r="E2734" s="1" t="n">
        <v>46319</v>
      </c>
      <c r="F2734" t="inlineStr">
        <is>
          <t>DALARNAS LÄN</t>
        </is>
      </c>
      <c r="G2734" t="inlineStr">
        <is>
          <t>ÄLVDALEN</t>
        </is>
      </c>
      <c r="I2734" t="n">
        <v>0.4</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25074-2026</t>
        </is>
      </c>
      <c r="B2735" t="inlineStr">
        <is>
          <t>avverkningsanmälan</t>
        </is>
      </c>
      <c r="C2735" t="inlineStr">
        <is>
          <t>Föryngringsavverkning</t>
        </is>
      </c>
      <c r="D2735" s="1" t="n">
        <v>46171</v>
      </c>
      <c r="E2735" s="1" t="n">
        <v>46319</v>
      </c>
      <c r="F2735" t="inlineStr">
        <is>
          <t>DALARNAS LÄN</t>
        </is>
      </c>
      <c r="G2735" t="inlineStr">
        <is>
          <t>SMEDJEBACKEN</t>
        </is>
      </c>
      <c r="I2735" t="n">
        <v>12.2</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9296-2023</t>
        </is>
      </c>
      <c r="B2736" t="inlineStr">
        <is>
          <t>avverkningsanmälan</t>
        </is>
      </c>
      <c r="C2736" t="inlineStr">
        <is>
          <t>Föryngringsavverkning</t>
        </is>
      </c>
      <c r="D2736" s="1" t="n">
        <v>44980</v>
      </c>
      <c r="E2736" s="1" t="n">
        <v>46319</v>
      </c>
      <c r="F2736" t="inlineStr">
        <is>
          <t>DALARNAS LÄN</t>
        </is>
      </c>
      <c r="G2736" t="inlineStr">
        <is>
          <t>VANSBRO</t>
        </is>
      </c>
      <c r="H2736" t="inlineStr">
        <is>
          <t>Bergvik skog väst AB</t>
        </is>
      </c>
      <c r="I2736" t="n">
        <v>0.5</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47897-2025</t>
        </is>
      </c>
      <c r="B2737" t="inlineStr">
        <is>
          <t>avverkningsanmälan</t>
        </is>
      </c>
      <c r="C2737" t="inlineStr">
        <is>
          <t>Föryngringsavverkning</t>
        </is>
      </c>
      <c r="D2737" s="1" t="n">
        <v>45932</v>
      </c>
      <c r="E2737" s="1" t="n">
        <v>46319</v>
      </c>
      <c r="F2737" t="inlineStr">
        <is>
          <t>DALARNAS LÄN</t>
        </is>
      </c>
      <c r="G2737" t="inlineStr">
        <is>
          <t>VANSBRO</t>
        </is>
      </c>
      <c r="I2737" t="n">
        <v>1.3</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47805-2025</t>
        </is>
      </c>
      <c r="B2738" t="inlineStr">
        <is>
          <t>avverkningsanmälan</t>
        </is>
      </c>
      <c r="C2738" t="inlineStr">
        <is>
          <t>Föryngringsavverkning</t>
        </is>
      </c>
      <c r="D2738" s="1" t="n">
        <v>45931</v>
      </c>
      <c r="E2738" s="1" t="n">
        <v>46319</v>
      </c>
      <c r="F2738" t="inlineStr">
        <is>
          <t>DALARNAS LÄN</t>
        </is>
      </c>
      <c r="G2738" t="inlineStr">
        <is>
          <t>SMEDJEBACKEN</t>
        </is>
      </c>
      <c r="I2738" t="n">
        <v>4.9</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35551-2023</t>
        </is>
      </c>
      <c r="B2739" t="inlineStr">
        <is>
          <t>avverkningsanmälan</t>
        </is>
      </c>
      <c r="C2739" t="inlineStr">
        <is>
          <t>Föryngringsavverkning</t>
        </is>
      </c>
      <c r="D2739" s="1" t="n">
        <v>45147</v>
      </c>
      <c r="E2739" s="1" t="n">
        <v>46319</v>
      </c>
      <c r="F2739" t="inlineStr">
        <is>
          <t>DALARNAS LÄN</t>
        </is>
      </c>
      <c r="G2739" t="inlineStr">
        <is>
          <t>MORA</t>
        </is>
      </c>
      <c r="I2739" t="n">
        <v>1.1</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47560-2025</t>
        </is>
      </c>
      <c r="B2740" t="inlineStr">
        <is>
          <t>avverkningsanmälan</t>
        </is>
      </c>
      <c r="C2740" t="inlineStr">
        <is>
          <t>Föryngringsavverkning</t>
        </is>
      </c>
      <c r="D2740" s="1" t="n">
        <v>45931</v>
      </c>
      <c r="E2740" s="1" t="n">
        <v>46319</v>
      </c>
      <c r="F2740" t="inlineStr">
        <is>
          <t>DALARNAS LÄN</t>
        </is>
      </c>
      <c r="G2740" t="inlineStr">
        <is>
          <t>GAGNEF</t>
        </is>
      </c>
      <c r="I2740" t="n">
        <v>0.5</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8827-2023</t>
        </is>
      </c>
      <c r="B2741" t="inlineStr">
        <is>
          <t>avverkningsanmälan</t>
        </is>
      </c>
      <c r="C2741" t="inlineStr">
        <is>
          <t>Föryngringsavverkning</t>
        </is>
      </c>
      <c r="D2741" s="1" t="n">
        <v>44978</v>
      </c>
      <c r="E2741" s="1" t="n">
        <v>46319</v>
      </c>
      <c r="F2741" t="inlineStr">
        <is>
          <t>DALARNAS LÄN</t>
        </is>
      </c>
      <c r="G2741" t="inlineStr">
        <is>
          <t>MALUNG-SÄLEN</t>
        </is>
      </c>
      <c r="I2741" t="n">
        <v>4.9</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20337-2024</t>
        </is>
      </c>
      <c r="B2742" t="inlineStr">
        <is>
          <t>avverkningsanmälan</t>
        </is>
      </c>
      <c r="C2742" t="inlineStr">
        <is>
          <t>Föryngringsavverkning</t>
        </is>
      </c>
      <c r="D2742" s="1" t="n">
        <v>45435</v>
      </c>
      <c r="E2742" s="1" t="n">
        <v>46319</v>
      </c>
      <c r="F2742" t="inlineStr">
        <is>
          <t>DALARNAS LÄN</t>
        </is>
      </c>
      <c r="G2742" t="inlineStr">
        <is>
          <t>SÄTER</t>
        </is>
      </c>
      <c r="I2742" t="n">
        <v>1.3</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47742-2025</t>
        </is>
      </c>
      <c r="B2743" t="inlineStr">
        <is>
          <t>avverkningsanmälan</t>
        </is>
      </c>
      <c r="C2743" t="inlineStr">
        <is>
          <t>Föryngringsavverkning</t>
        </is>
      </c>
      <c r="D2743" s="1" t="n">
        <v>45931</v>
      </c>
      <c r="E2743" s="1" t="n">
        <v>46319</v>
      </c>
      <c r="F2743" t="inlineStr">
        <is>
          <t>DALARNAS LÄN</t>
        </is>
      </c>
      <c r="G2743" t="inlineStr">
        <is>
          <t>MALUNG-SÄLEN</t>
        </is>
      </c>
      <c r="I2743" t="n">
        <v>0.6</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24776-2026</t>
        </is>
      </c>
      <c r="B2744" t="inlineStr">
        <is>
          <t>avverkningsanmälan</t>
        </is>
      </c>
      <c r="C2744" t="inlineStr">
        <is>
          <t>Föryngringsavverkning</t>
        </is>
      </c>
      <c r="D2744" s="1" t="n">
        <v>46171</v>
      </c>
      <c r="E2744" s="1" t="n">
        <v>46319</v>
      </c>
      <c r="F2744" t="inlineStr">
        <is>
          <t>DALARNAS LÄN</t>
        </is>
      </c>
      <c r="G2744" t="inlineStr">
        <is>
          <t>LUDVIKA</t>
        </is>
      </c>
      <c r="H2744" t="inlineStr">
        <is>
          <t>Naturvårdsverket</t>
        </is>
      </c>
      <c r="I2744" t="n">
        <v>3.2</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24779-2026</t>
        </is>
      </c>
      <c r="B2745" t="inlineStr">
        <is>
          <t>avverkningsanmälan</t>
        </is>
      </c>
      <c r="C2745" t="inlineStr">
        <is>
          <t>Föryngringsavverkning</t>
        </is>
      </c>
      <c r="D2745" s="1" t="n">
        <v>46171</v>
      </c>
      <c r="E2745" s="1" t="n">
        <v>46319</v>
      </c>
      <c r="F2745" t="inlineStr">
        <is>
          <t>DALARNAS LÄN</t>
        </is>
      </c>
      <c r="G2745" t="inlineStr">
        <is>
          <t>FALUN</t>
        </is>
      </c>
      <c r="H2745" t="inlineStr">
        <is>
          <t>Bergvik skog väst AB</t>
        </is>
      </c>
      <c r="I2745" t="n">
        <v>1.2</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24902-2026</t>
        </is>
      </c>
      <c r="B2746" t="inlineStr">
        <is>
          <t>avverkningsanmälan</t>
        </is>
      </c>
      <c r="C2746" t="inlineStr">
        <is>
          <t>Föryngringsavverkning</t>
        </is>
      </c>
      <c r="D2746" s="1" t="n">
        <v>46174</v>
      </c>
      <c r="E2746" s="1" t="n">
        <v>46319</v>
      </c>
      <c r="F2746" t="inlineStr">
        <is>
          <t>DALARNAS LÄN</t>
        </is>
      </c>
      <c r="G2746" t="inlineStr">
        <is>
          <t>SMEDJEBACKEN</t>
        </is>
      </c>
      <c r="H2746" t="inlineStr">
        <is>
          <t>Sveaskog</t>
        </is>
      </c>
      <c r="I2746" t="n">
        <v>7.5</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9459-2023</t>
        </is>
      </c>
      <c r="B2747" t="inlineStr">
        <is>
          <t>avverkningsanmälan</t>
        </is>
      </c>
      <c r="C2747" t="inlineStr">
        <is>
          <t>Avverkning för annat ändamål</t>
        </is>
      </c>
      <c r="D2747" s="1" t="n">
        <v>44977</v>
      </c>
      <c r="E2747" s="1" t="n">
        <v>46319</v>
      </c>
      <c r="F2747" t="inlineStr">
        <is>
          <t>DALARNAS LÄN</t>
        </is>
      </c>
      <c r="G2747" t="inlineStr">
        <is>
          <t>LEKSAND</t>
        </is>
      </c>
      <c r="I2747" t="n">
        <v>1.1</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51529-2024</t>
        </is>
      </c>
      <c r="B2748" t="inlineStr">
        <is>
          <t>avverkningsanmälan</t>
        </is>
      </c>
      <c r="C2748" t="inlineStr">
        <is>
          <t>Föryngringsavverkning</t>
        </is>
      </c>
      <c r="D2748" s="1" t="n">
        <v>45603</v>
      </c>
      <c r="E2748" s="1" t="n">
        <v>46319</v>
      </c>
      <c r="F2748" t="inlineStr">
        <is>
          <t>DALARNAS LÄN</t>
        </is>
      </c>
      <c r="G2748" t="inlineStr">
        <is>
          <t>RÄTTVIK</t>
        </is>
      </c>
      <c r="I2748" t="n">
        <v>2.9</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24906-2026</t>
        </is>
      </c>
      <c r="B2749" t="inlineStr">
        <is>
          <t>avverkningsanmälan</t>
        </is>
      </c>
      <c r="C2749" t="inlineStr">
        <is>
          <t>Föryngringsavverkning</t>
        </is>
      </c>
      <c r="D2749" s="1" t="n">
        <v>46174</v>
      </c>
      <c r="E2749" s="1" t="n">
        <v>46319</v>
      </c>
      <c r="F2749" t="inlineStr">
        <is>
          <t>DALARNAS LÄN</t>
        </is>
      </c>
      <c r="G2749" t="inlineStr">
        <is>
          <t>SMEDJEBACKEN</t>
        </is>
      </c>
      <c r="H2749" t="inlineStr">
        <is>
          <t>Sveaskog</t>
        </is>
      </c>
      <c r="I2749" t="n">
        <v>6.8</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47953-2025</t>
        </is>
      </c>
      <c r="B2750" t="inlineStr">
        <is>
          <t>avverkningsanmälan</t>
        </is>
      </c>
      <c r="C2750" t="inlineStr">
        <is>
          <t>Föryngringsavverkning</t>
        </is>
      </c>
      <c r="D2750" s="1" t="n">
        <v>45932</v>
      </c>
      <c r="E2750" s="1" t="n">
        <v>46319</v>
      </c>
      <c r="F2750" t="inlineStr">
        <is>
          <t>DALARNAS LÄN</t>
        </is>
      </c>
      <c r="G2750" t="inlineStr">
        <is>
          <t>ORSA</t>
        </is>
      </c>
      <c r="I2750" t="n">
        <v>1.3</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47976-2025</t>
        </is>
      </c>
      <c r="B2751" t="inlineStr">
        <is>
          <t>avverkningsanmälan</t>
        </is>
      </c>
      <c r="C2751" t="inlineStr">
        <is>
          <t>Föryngringsavverkning</t>
        </is>
      </c>
      <c r="D2751" s="1" t="n">
        <v>45932</v>
      </c>
      <c r="E2751" s="1" t="n">
        <v>46319</v>
      </c>
      <c r="F2751" t="inlineStr">
        <is>
          <t>DALARNAS LÄN</t>
        </is>
      </c>
      <c r="G2751" t="inlineStr">
        <is>
          <t>LEKSAND</t>
        </is>
      </c>
      <c r="H2751" t="inlineStr">
        <is>
          <t>Bergvik skog väst AB</t>
        </is>
      </c>
      <c r="I2751" t="n">
        <v>0.3</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47977-2025</t>
        </is>
      </c>
      <c r="B2752" t="inlineStr">
        <is>
          <t>avverkningsanmälan</t>
        </is>
      </c>
      <c r="C2752" t="inlineStr">
        <is>
          <t>Föryngringsavverkning</t>
        </is>
      </c>
      <c r="D2752" s="1" t="n">
        <v>45932</v>
      </c>
      <c r="E2752" s="1" t="n">
        <v>46319</v>
      </c>
      <c r="F2752" t="inlineStr">
        <is>
          <t>DALARNAS LÄN</t>
        </is>
      </c>
      <c r="G2752" t="inlineStr">
        <is>
          <t>LEKSAND</t>
        </is>
      </c>
      <c r="H2752" t="inlineStr">
        <is>
          <t>Bergvik skog väst AB</t>
        </is>
      </c>
      <c r="I2752" t="n">
        <v>0.2</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24766-2026</t>
        </is>
      </c>
      <c r="B2753" t="inlineStr">
        <is>
          <t>avverkningsanmälan</t>
        </is>
      </c>
      <c r="C2753" t="inlineStr">
        <is>
          <t>Föryngringsavverkning</t>
        </is>
      </c>
      <c r="D2753" s="1" t="n">
        <v>46171</v>
      </c>
      <c r="E2753" s="1" t="n">
        <v>46319</v>
      </c>
      <c r="F2753" t="inlineStr">
        <is>
          <t>DALARNAS LÄN</t>
        </is>
      </c>
      <c r="G2753" t="inlineStr">
        <is>
          <t>FALUN</t>
        </is>
      </c>
      <c r="H2753" t="inlineStr">
        <is>
          <t>Bergvik skog väst AB</t>
        </is>
      </c>
      <c r="I2753" t="n">
        <v>1.5</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7743-2026</t>
        </is>
      </c>
      <c r="B2754" t="inlineStr">
        <is>
          <t>avverkningsanmälan</t>
        </is>
      </c>
      <c r="C2754" t="inlineStr">
        <is>
          <t>Föryngringsavverkning</t>
        </is>
      </c>
      <c r="D2754" s="1" t="n">
        <v>46062</v>
      </c>
      <c r="E2754" s="1" t="n">
        <v>46319</v>
      </c>
      <c r="F2754" t="inlineStr">
        <is>
          <t>DALARNAS LÄN</t>
        </is>
      </c>
      <c r="G2754" t="inlineStr">
        <is>
          <t>HEDEMORA</t>
        </is>
      </c>
      <c r="I2754" t="n">
        <v>1.8</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54875-2023</t>
        </is>
      </c>
      <c r="B2755" t="inlineStr">
        <is>
          <t>avverkningsanmälan</t>
        </is>
      </c>
      <c r="C2755" t="inlineStr">
        <is>
          <t>Föryngringsavverkning</t>
        </is>
      </c>
      <c r="D2755" s="1" t="n">
        <v>45236</v>
      </c>
      <c r="E2755" s="1" t="n">
        <v>46319</v>
      </c>
      <c r="F2755" t="inlineStr">
        <is>
          <t>DALARNAS LÄN</t>
        </is>
      </c>
      <c r="G2755" t="inlineStr">
        <is>
          <t>GAGNEF</t>
        </is>
      </c>
      <c r="I2755" t="n">
        <v>6.7</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24720-2026</t>
        </is>
      </c>
      <c r="B2756" t="inlineStr">
        <is>
          <t>avverkningsanmälan</t>
        </is>
      </c>
      <c r="C2756" t="inlineStr">
        <is>
          <t>Föryngringsavverkning</t>
        </is>
      </c>
      <c r="D2756" s="1" t="n">
        <v>46171</v>
      </c>
      <c r="E2756" s="1" t="n">
        <v>46319</v>
      </c>
      <c r="F2756" t="inlineStr">
        <is>
          <t>DALARNAS LÄN</t>
        </is>
      </c>
      <c r="G2756" t="inlineStr">
        <is>
          <t>LEKSAND</t>
        </is>
      </c>
      <c r="H2756" t="inlineStr">
        <is>
          <t>Övriga Aktiebolag</t>
        </is>
      </c>
      <c r="I2756" t="n">
        <v>1.1</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24789-2026</t>
        </is>
      </c>
      <c r="B2757" t="inlineStr">
        <is>
          <t>avverkningsanmälan</t>
        </is>
      </c>
      <c r="C2757" t="inlineStr">
        <is>
          <t>Föryngringsavverkning</t>
        </is>
      </c>
      <c r="D2757" s="1" t="n">
        <v>46171</v>
      </c>
      <c r="E2757" s="1" t="n">
        <v>46319</v>
      </c>
      <c r="F2757" t="inlineStr">
        <is>
          <t>DALARNAS LÄN</t>
        </is>
      </c>
      <c r="G2757" t="inlineStr">
        <is>
          <t>FALUN</t>
        </is>
      </c>
      <c r="H2757" t="inlineStr">
        <is>
          <t>Bergvik skog väst AB</t>
        </is>
      </c>
      <c r="I2757" t="n">
        <v>0.7</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24797-2026</t>
        </is>
      </c>
      <c r="B2758" t="inlineStr">
        <is>
          <t>avverkningsanmälan</t>
        </is>
      </c>
      <c r="C2758" t="inlineStr">
        <is>
          <t>Föryngringsavverkning</t>
        </is>
      </c>
      <c r="D2758" s="1" t="n">
        <v>46171</v>
      </c>
      <c r="E2758" s="1" t="n">
        <v>46319</v>
      </c>
      <c r="F2758" t="inlineStr">
        <is>
          <t>DALARNAS LÄN</t>
        </is>
      </c>
      <c r="G2758" t="inlineStr">
        <is>
          <t>FALUN</t>
        </is>
      </c>
      <c r="I2758" t="n">
        <v>4.8</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60448-2022</t>
        </is>
      </c>
      <c r="B2759" t="inlineStr">
        <is>
          <t>avverkningsanmälan</t>
        </is>
      </c>
      <c r="C2759" t="inlineStr">
        <is>
          <t>Föryngringsavverkning</t>
        </is>
      </c>
      <c r="D2759" s="1" t="n">
        <v>44911</v>
      </c>
      <c r="E2759" s="1" t="n">
        <v>46319</v>
      </c>
      <c r="F2759" t="inlineStr">
        <is>
          <t>DALARNAS LÄN</t>
        </is>
      </c>
      <c r="G2759" t="inlineStr">
        <is>
          <t>MALUNG-SÄLEN</t>
        </is>
      </c>
      <c r="I2759" t="n">
        <v>1.1</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1070-2025</t>
        </is>
      </c>
      <c r="B2760" t="inlineStr">
        <is>
          <t>avverkningsanmälan</t>
        </is>
      </c>
      <c r="C2760" t="inlineStr">
        <is>
          <t>Föryngringsavverkning</t>
        </is>
      </c>
      <c r="D2760" s="1" t="n">
        <v>45666</v>
      </c>
      <c r="E2760" s="1" t="n">
        <v>46319</v>
      </c>
      <c r="F2760" t="inlineStr">
        <is>
          <t>DALARNAS LÄN</t>
        </is>
      </c>
      <c r="G2760" t="inlineStr">
        <is>
          <t>RÄTTVIK</t>
        </is>
      </c>
      <c r="I2760" t="n">
        <v>2.7</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47945-2025</t>
        </is>
      </c>
      <c r="B2761" t="inlineStr">
        <is>
          <t>avverkningsanmälan</t>
        </is>
      </c>
      <c r="C2761" t="inlineStr">
        <is>
          <t>Föryngringsavverkning</t>
        </is>
      </c>
      <c r="D2761" s="1" t="n">
        <v>45932</v>
      </c>
      <c r="E2761" s="1" t="n">
        <v>46319</v>
      </c>
      <c r="F2761" t="inlineStr">
        <is>
          <t>DALARNAS LÄN</t>
        </is>
      </c>
      <c r="G2761" t="inlineStr">
        <is>
          <t>FALUN</t>
        </is>
      </c>
      <c r="I2761" t="n">
        <v>1.9</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31688-2024</t>
        </is>
      </c>
      <c r="B2762" t="inlineStr">
        <is>
          <t>avverkningsanmälan</t>
        </is>
      </c>
      <c r="C2762" t="inlineStr">
        <is>
          <t>Föryngringsavverkning</t>
        </is>
      </c>
      <c r="D2762" s="1" t="n">
        <v>45507</v>
      </c>
      <c r="E2762" s="1" t="n">
        <v>46319</v>
      </c>
      <c r="F2762" t="inlineStr">
        <is>
          <t>DALARNAS LÄN</t>
        </is>
      </c>
      <c r="G2762" t="inlineStr">
        <is>
          <t>ORSA</t>
        </is>
      </c>
      <c r="I2762" t="n">
        <v>0.7</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21418-2023</t>
        </is>
      </c>
      <c r="B2763" t="inlineStr">
        <is>
          <t>avverkningsanmälan</t>
        </is>
      </c>
      <c r="C2763" t="inlineStr">
        <is>
          <t>Föryngringsavverkning</t>
        </is>
      </c>
      <c r="D2763" s="1" t="n">
        <v>45063</v>
      </c>
      <c r="E2763" s="1" t="n">
        <v>46319</v>
      </c>
      <c r="F2763" t="inlineStr">
        <is>
          <t>DALARNAS LÄN</t>
        </is>
      </c>
      <c r="G2763" t="inlineStr">
        <is>
          <t>VANSBRO</t>
        </is>
      </c>
      <c r="H2763" t="inlineStr">
        <is>
          <t>Bergvik skog öst AB</t>
        </is>
      </c>
      <c r="I2763" t="n">
        <v>2.6</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46409-2025</t>
        </is>
      </c>
      <c r="B2764" t="inlineStr">
        <is>
          <t>avverkningsanmälan</t>
        </is>
      </c>
      <c r="C2764" t="inlineStr">
        <is>
          <t>Föryngringsavverkning</t>
        </is>
      </c>
      <c r="D2764" s="1" t="n">
        <v>45925</v>
      </c>
      <c r="E2764" s="1" t="n">
        <v>46319</v>
      </c>
      <c r="F2764" t="inlineStr">
        <is>
          <t>DALARNAS LÄN</t>
        </is>
      </c>
      <c r="G2764" t="inlineStr">
        <is>
          <t>ÄLVDALEN</t>
        </is>
      </c>
      <c r="I2764" t="n">
        <v>2.6</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3185-2026</t>
        </is>
      </c>
      <c r="B2765" t="inlineStr">
        <is>
          <t>avverkningsanmälan</t>
        </is>
      </c>
      <c r="C2765" t="inlineStr">
        <is>
          <t>Föryngringsavverkning</t>
        </is>
      </c>
      <c r="D2765" s="1" t="n">
        <v>46041</v>
      </c>
      <c r="E2765" s="1" t="n">
        <v>46319</v>
      </c>
      <c r="F2765" t="inlineStr">
        <is>
          <t>DALARNAS LÄN</t>
        </is>
      </c>
      <c r="G2765" t="inlineStr">
        <is>
          <t>FALUN</t>
        </is>
      </c>
      <c r="I2765" t="n">
        <v>1</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24572-2026</t>
        </is>
      </c>
      <c r="B2766" t="inlineStr">
        <is>
          <t>avverkningsanmälan</t>
        </is>
      </c>
      <c r="C2766" t="inlineStr">
        <is>
          <t>Föryngringsavverkning</t>
        </is>
      </c>
      <c r="D2766" s="1" t="n">
        <v>46170</v>
      </c>
      <c r="E2766" s="1" t="n">
        <v>46319</v>
      </c>
      <c r="F2766" t="inlineStr">
        <is>
          <t>DALARNAS LÄN</t>
        </is>
      </c>
      <c r="G2766" t="inlineStr">
        <is>
          <t>LEKSAND</t>
        </is>
      </c>
      <c r="I2766" t="n">
        <v>3</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24653-2026</t>
        </is>
      </c>
      <c r="B2767" t="inlineStr">
        <is>
          <t>avverkningsanmälan</t>
        </is>
      </c>
      <c r="C2767" t="inlineStr">
        <is>
          <t>Föryngringsavverkning</t>
        </is>
      </c>
      <c r="D2767" s="1" t="n">
        <v>46171</v>
      </c>
      <c r="E2767" s="1" t="n">
        <v>46319</v>
      </c>
      <c r="F2767" t="inlineStr">
        <is>
          <t>DALARNAS LÄN</t>
        </is>
      </c>
      <c r="G2767" t="inlineStr">
        <is>
          <t>FALUN</t>
        </is>
      </c>
      <c r="H2767" t="inlineStr">
        <is>
          <t>Bergvik skog väst AB</t>
        </is>
      </c>
      <c r="I2767" t="n">
        <v>4.9</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47765-2025</t>
        </is>
      </c>
      <c r="B2768" t="inlineStr">
        <is>
          <t>avverkningsanmälan</t>
        </is>
      </c>
      <c r="C2768" t="inlineStr">
        <is>
          <t>Föryngringsavverkning</t>
        </is>
      </c>
      <c r="D2768" s="1" t="n">
        <v>45931</v>
      </c>
      <c r="E2768" s="1" t="n">
        <v>46319</v>
      </c>
      <c r="F2768" t="inlineStr">
        <is>
          <t>DALARNAS LÄN</t>
        </is>
      </c>
      <c r="G2768" t="inlineStr">
        <is>
          <t>MORA</t>
        </is>
      </c>
      <c r="I2768" t="n">
        <v>1.7</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23300-2024</t>
        </is>
      </c>
      <c r="B2769" t="inlineStr">
        <is>
          <t>avverkningsanmälan</t>
        </is>
      </c>
      <c r="C2769" t="inlineStr">
        <is>
          <t>Föryngringsavverkning</t>
        </is>
      </c>
      <c r="D2769" s="1" t="n">
        <v>45453</v>
      </c>
      <c r="E2769" s="1" t="n">
        <v>46319</v>
      </c>
      <c r="F2769" t="inlineStr">
        <is>
          <t>DALARNAS LÄN</t>
        </is>
      </c>
      <c r="G2769" t="inlineStr">
        <is>
          <t>MORA</t>
        </is>
      </c>
      <c r="I2769" t="n">
        <v>0.5</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24662-2026</t>
        </is>
      </c>
      <c r="B2770" t="inlineStr">
        <is>
          <t>avverkningsanmälan</t>
        </is>
      </c>
      <c r="C2770" t="inlineStr">
        <is>
          <t>Föryngringsavverkning</t>
        </is>
      </c>
      <c r="D2770" s="1" t="n">
        <v>46171</v>
      </c>
      <c r="E2770" s="1" t="n">
        <v>46319</v>
      </c>
      <c r="F2770" t="inlineStr">
        <is>
          <t>DALARNAS LÄN</t>
        </is>
      </c>
      <c r="G2770" t="inlineStr">
        <is>
          <t>FALUN</t>
        </is>
      </c>
      <c r="I2770" t="n">
        <v>2.7</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24671-2026</t>
        </is>
      </c>
      <c r="B2771" t="inlineStr">
        <is>
          <t>avverkningsanmälan</t>
        </is>
      </c>
      <c r="C2771" t="inlineStr">
        <is>
          <t>Föryngringsavverkning</t>
        </is>
      </c>
      <c r="D2771" s="1" t="n">
        <v>46171</v>
      </c>
      <c r="E2771" s="1" t="n">
        <v>46319</v>
      </c>
      <c r="F2771" t="inlineStr">
        <is>
          <t>DALARNAS LÄN</t>
        </is>
      </c>
      <c r="G2771" t="inlineStr">
        <is>
          <t>FALUN</t>
        </is>
      </c>
      <c r="H2771" t="inlineStr">
        <is>
          <t>Bergvik skog väst AB</t>
        </is>
      </c>
      <c r="I2771" t="n">
        <v>4.3</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24872-2026</t>
        </is>
      </c>
      <c r="B2772" t="inlineStr">
        <is>
          <t>avverkningsanmälan</t>
        </is>
      </c>
      <c r="C2772" t="inlineStr">
        <is>
          <t>Föryngringsavverkning</t>
        </is>
      </c>
      <c r="D2772" s="1" t="n">
        <v>46174</v>
      </c>
      <c r="E2772" s="1" t="n">
        <v>46319</v>
      </c>
      <c r="F2772" t="inlineStr">
        <is>
          <t>DALARNAS LÄN</t>
        </is>
      </c>
      <c r="G2772" t="inlineStr">
        <is>
          <t>SMEDJEBACKEN</t>
        </is>
      </c>
      <c r="H2772" t="inlineStr">
        <is>
          <t>Sveaskog</t>
        </is>
      </c>
      <c r="I2772" t="n">
        <v>7.4</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47707-2025</t>
        </is>
      </c>
      <c r="B2773" t="inlineStr">
        <is>
          <t>avverkningsanmälan</t>
        </is>
      </c>
      <c r="C2773" t="inlineStr">
        <is>
          <t>Föryngringsavverkning</t>
        </is>
      </c>
      <c r="D2773" s="1" t="n">
        <v>45931</v>
      </c>
      <c r="E2773" s="1" t="n">
        <v>46319</v>
      </c>
      <c r="F2773" t="inlineStr">
        <is>
          <t>DALARNAS LÄN</t>
        </is>
      </c>
      <c r="G2773" t="inlineStr">
        <is>
          <t>ÄLVDALEN</t>
        </is>
      </c>
      <c r="I2773" t="n">
        <v>1</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47755-2025</t>
        </is>
      </c>
      <c r="B2774" t="inlineStr">
        <is>
          <t>avverkningsanmälan</t>
        </is>
      </c>
      <c r="C2774" t="inlineStr">
        <is>
          <t>Föryngringsavverkning</t>
        </is>
      </c>
      <c r="D2774" s="1" t="n">
        <v>45931</v>
      </c>
      <c r="E2774" s="1" t="n">
        <v>46319</v>
      </c>
      <c r="F2774" t="inlineStr">
        <is>
          <t>DALARNAS LÄN</t>
        </is>
      </c>
      <c r="G2774" t="inlineStr">
        <is>
          <t>MALUNG-SÄLEN</t>
        </is>
      </c>
      <c r="I2774" t="n">
        <v>2.6</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24908-2026</t>
        </is>
      </c>
      <c r="B2775" t="inlineStr">
        <is>
          <t>avverkningsanmälan</t>
        </is>
      </c>
      <c r="C2775" t="inlineStr">
        <is>
          <t>Föryngringsavverkning</t>
        </is>
      </c>
      <c r="D2775" s="1" t="n">
        <v>46174</v>
      </c>
      <c r="E2775" s="1" t="n">
        <v>46319</v>
      </c>
      <c r="F2775" t="inlineStr">
        <is>
          <t>DALARNAS LÄN</t>
        </is>
      </c>
      <c r="G2775" t="inlineStr">
        <is>
          <t>SMEDJEBACKEN</t>
        </is>
      </c>
      <c r="H2775" t="inlineStr">
        <is>
          <t>Sveaskog</t>
        </is>
      </c>
      <c r="I2775" t="n">
        <v>5.3</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24675-2026</t>
        </is>
      </c>
      <c r="B2776" t="inlineStr">
        <is>
          <t>avverkningsanmälan</t>
        </is>
      </c>
      <c r="C2776" t="inlineStr">
        <is>
          <t>Föryngringsavverkning</t>
        </is>
      </c>
      <c r="D2776" s="1" t="n">
        <v>46171</v>
      </c>
      <c r="E2776" s="1" t="n">
        <v>46319</v>
      </c>
      <c r="F2776" t="inlineStr">
        <is>
          <t>DALARNAS LÄN</t>
        </is>
      </c>
      <c r="G2776" t="inlineStr">
        <is>
          <t>FALUN</t>
        </is>
      </c>
      <c r="H2776" t="inlineStr">
        <is>
          <t>Bergvik skog väst AB</t>
        </is>
      </c>
      <c r="I2776" t="n">
        <v>1.5</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54000-2023</t>
        </is>
      </c>
      <c r="B2777" t="inlineStr">
        <is>
          <t>avverkningsanmälan</t>
        </is>
      </c>
      <c r="C2777" t="inlineStr">
        <is>
          <t>Föryngringsavverkning</t>
        </is>
      </c>
      <c r="D2777" s="1" t="n">
        <v>45231</v>
      </c>
      <c r="E2777" s="1" t="n">
        <v>46319</v>
      </c>
      <c r="F2777" t="inlineStr">
        <is>
          <t>DALARNAS LÄN</t>
        </is>
      </c>
      <c r="G2777" t="inlineStr">
        <is>
          <t>MALUNG-SÄLEN</t>
        </is>
      </c>
      <c r="I2777" t="n">
        <v>1.1</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48721-2023</t>
        </is>
      </c>
      <c r="B2778" t="inlineStr">
        <is>
          <t>avverkningsanmälan</t>
        </is>
      </c>
      <c r="C2778" t="inlineStr">
        <is>
          <t>Föryngringsavverkning</t>
        </is>
      </c>
      <c r="D2778" s="1" t="n">
        <v>45203</v>
      </c>
      <c r="E2778" s="1" t="n">
        <v>46319</v>
      </c>
      <c r="F2778" t="inlineStr">
        <is>
          <t>DALARNAS LÄN</t>
        </is>
      </c>
      <c r="G2778" t="inlineStr">
        <is>
          <t>LEKSAND</t>
        </is>
      </c>
      <c r="I2778" t="n">
        <v>2.9</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47677-2025</t>
        </is>
      </c>
      <c r="B2779" t="inlineStr">
        <is>
          <t>avverkningsanmälan</t>
        </is>
      </c>
      <c r="C2779" t="inlineStr">
        <is>
          <t>Föryngringsavverkning</t>
        </is>
      </c>
      <c r="D2779" s="1" t="n">
        <v>45931</v>
      </c>
      <c r="E2779" s="1" t="n">
        <v>46319</v>
      </c>
      <c r="F2779" t="inlineStr">
        <is>
          <t>DALARNAS LÄN</t>
        </is>
      </c>
      <c r="G2779" t="inlineStr">
        <is>
          <t>MALUNG-SÄLEN</t>
        </is>
      </c>
      <c r="H2779" t="inlineStr">
        <is>
          <t>Bergvik skog öst AB</t>
        </is>
      </c>
      <c r="I2779" t="n">
        <v>3.7</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11237-2024</t>
        </is>
      </c>
      <c r="B2780" t="inlineStr">
        <is>
          <t>avverkningsanmälan</t>
        </is>
      </c>
      <c r="C2780" t="inlineStr">
        <is>
          <t>Föryngringsavverkning</t>
        </is>
      </c>
      <c r="D2780" s="1" t="n">
        <v>45371</v>
      </c>
      <c r="E2780" s="1" t="n">
        <v>46319</v>
      </c>
      <c r="F2780" t="inlineStr">
        <is>
          <t>DALARNAS LÄN</t>
        </is>
      </c>
      <c r="G2780" t="inlineStr">
        <is>
          <t>LUDVIKA</t>
        </is>
      </c>
      <c r="I2780" t="n">
        <v>20.8</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24526-2026</t>
        </is>
      </c>
      <c r="B2781" t="inlineStr">
        <is>
          <t>avverkningsanmälan</t>
        </is>
      </c>
      <c r="C2781" t="inlineStr">
        <is>
          <t>Föryngringsavverkning</t>
        </is>
      </c>
      <c r="D2781" s="1" t="n">
        <v>46170</v>
      </c>
      <c r="E2781" s="1" t="n">
        <v>46319</v>
      </c>
      <c r="F2781" t="inlineStr">
        <is>
          <t>DALARNAS LÄN</t>
        </is>
      </c>
      <c r="G2781" t="inlineStr">
        <is>
          <t>MORA</t>
        </is>
      </c>
      <c r="I2781" t="n">
        <v>0.9</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47838-2025</t>
        </is>
      </c>
      <c r="B2782" t="inlineStr">
        <is>
          <t>avverkningsanmälan</t>
        </is>
      </c>
      <c r="C2782" t="inlineStr">
        <is>
          <t>Föryngringsavverkning</t>
        </is>
      </c>
      <c r="D2782" s="1" t="n">
        <v>45931</v>
      </c>
      <c r="E2782" s="1" t="n">
        <v>46319</v>
      </c>
      <c r="F2782" t="inlineStr">
        <is>
          <t>DALARNAS LÄN</t>
        </is>
      </c>
      <c r="G2782" t="inlineStr">
        <is>
          <t>FALUN</t>
        </is>
      </c>
      <c r="I2782" t="n">
        <v>5.3</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9716-2024</t>
        </is>
      </c>
      <c r="B2783" t="inlineStr">
        <is>
          <t>avverkningsanmälan</t>
        </is>
      </c>
      <c r="C2783" t="inlineStr">
        <is>
          <t>Föryngringsavverkning</t>
        </is>
      </c>
      <c r="D2783" s="1" t="n">
        <v>45362</v>
      </c>
      <c r="E2783" s="1" t="n">
        <v>46319</v>
      </c>
      <c r="F2783" t="inlineStr">
        <is>
          <t>DALARNAS LÄN</t>
        </is>
      </c>
      <c r="G2783" t="inlineStr">
        <is>
          <t>FALUN</t>
        </is>
      </c>
      <c r="I2783" t="n">
        <v>1.3</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24676-2026</t>
        </is>
      </c>
      <c r="B2784" t="inlineStr">
        <is>
          <t>avverkningsanmälan</t>
        </is>
      </c>
      <c r="C2784" t="inlineStr">
        <is>
          <t>Föryngringsavverkning</t>
        </is>
      </c>
      <c r="D2784" s="1" t="n">
        <v>46171</v>
      </c>
      <c r="E2784" s="1" t="n">
        <v>46319</v>
      </c>
      <c r="F2784" t="inlineStr">
        <is>
          <t>DALARNAS LÄN</t>
        </is>
      </c>
      <c r="G2784" t="inlineStr">
        <is>
          <t>BORLÄNGE</t>
        </is>
      </c>
      <c r="H2784" t="inlineStr">
        <is>
          <t>Bergvik skog väst AB</t>
        </is>
      </c>
      <c r="I2784" t="n">
        <v>3.1</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492-2023</t>
        </is>
      </c>
      <c r="B2785" t="inlineStr">
        <is>
          <t>avverkningsanmälan</t>
        </is>
      </c>
      <c r="C2785" t="inlineStr">
        <is>
          <t>Föryngringsavverkning</t>
        </is>
      </c>
      <c r="D2785" s="1" t="n">
        <v>44930</v>
      </c>
      <c r="E2785" s="1" t="n">
        <v>46319</v>
      </c>
      <c r="F2785" t="inlineStr">
        <is>
          <t>DALARNAS LÄN</t>
        </is>
      </c>
      <c r="G2785" t="inlineStr">
        <is>
          <t>RÄTTVIK</t>
        </is>
      </c>
      <c r="I2785" t="n">
        <v>7.1</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493-2023</t>
        </is>
      </c>
      <c r="B2786" t="inlineStr">
        <is>
          <t>avverkningsanmälan</t>
        </is>
      </c>
      <c r="C2786" t="inlineStr">
        <is>
          <t>Föryngringsavverkning</t>
        </is>
      </c>
      <c r="D2786" s="1" t="n">
        <v>44930</v>
      </c>
      <c r="E2786" s="1" t="n">
        <v>46319</v>
      </c>
      <c r="F2786" t="inlineStr">
        <is>
          <t>DALARNAS LÄN</t>
        </is>
      </c>
      <c r="G2786" t="inlineStr">
        <is>
          <t>RÄTTVIK</t>
        </is>
      </c>
      <c r="I2786" t="n">
        <v>0.7</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60814-2022</t>
        </is>
      </c>
      <c r="B2787" t="inlineStr">
        <is>
          <t>avverkningsanmälan</t>
        </is>
      </c>
      <c r="C2787" t="inlineStr">
        <is>
          <t>Föryngringsavverkning</t>
        </is>
      </c>
      <c r="D2787" s="1" t="n">
        <v>44914</v>
      </c>
      <c r="E2787" s="1" t="n">
        <v>46319</v>
      </c>
      <c r="F2787" t="inlineStr">
        <is>
          <t>DALARNAS LÄN</t>
        </is>
      </c>
      <c r="G2787" t="inlineStr">
        <is>
          <t>SMEDJEBACKEN</t>
        </is>
      </c>
      <c r="I2787" t="n">
        <v>0.6</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43662-2022</t>
        </is>
      </c>
      <c r="B2788" t="inlineStr">
        <is>
          <t>avverkningsanmälan</t>
        </is>
      </c>
      <c r="C2788" t="inlineStr">
        <is>
          <t>Föryngringsavverkning</t>
        </is>
      </c>
      <c r="D2788" s="1" t="n">
        <v>44837</v>
      </c>
      <c r="E2788" s="1" t="n">
        <v>46319</v>
      </c>
      <c r="F2788" t="inlineStr">
        <is>
          <t>DALARNAS LÄN</t>
        </is>
      </c>
      <c r="G2788" t="inlineStr">
        <is>
          <t>BORLÄNGE</t>
        </is>
      </c>
      <c r="I2788" t="n">
        <v>0.6</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43671-2022</t>
        </is>
      </c>
      <c r="B2789" t="inlineStr">
        <is>
          <t>avverkningsanmälan</t>
        </is>
      </c>
      <c r="C2789" t="inlineStr">
        <is>
          <t>Föryngringsavverkning</t>
        </is>
      </c>
      <c r="D2789" s="1" t="n">
        <v>44834</v>
      </c>
      <c r="E2789" s="1" t="n">
        <v>46319</v>
      </c>
      <c r="F2789" t="inlineStr">
        <is>
          <t>DALARNAS LÄN</t>
        </is>
      </c>
      <c r="G2789" t="inlineStr">
        <is>
          <t>RÄTTVIK</t>
        </is>
      </c>
      <c r="I2789" t="n">
        <v>1.5</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48548-2025</t>
        </is>
      </c>
      <c r="B2790" t="inlineStr">
        <is>
          <t>avverkningsanmälan</t>
        </is>
      </c>
      <c r="C2790" t="inlineStr">
        <is>
          <t>Föryngringsavverkning</t>
        </is>
      </c>
      <c r="D2790" s="1" t="n">
        <v>45936</v>
      </c>
      <c r="E2790" s="1" t="n">
        <v>46319</v>
      </c>
      <c r="F2790" t="inlineStr">
        <is>
          <t>DALARNAS LÄN</t>
        </is>
      </c>
      <c r="G2790" t="inlineStr">
        <is>
          <t>AVESTA</t>
        </is>
      </c>
      <c r="I2790" t="n">
        <v>0.5</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56672-2023</t>
        </is>
      </c>
      <c r="B2791" t="inlineStr">
        <is>
          <t>avverkningsanmälan</t>
        </is>
      </c>
      <c r="C2791" t="inlineStr">
        <is>
          <t>Föryngringsavverkning</t>
        </is>
      </c>
      <c r="D2791" s="1" t="n">
        <v>45243</v>
      </c>
      <c r="E2791" s="1" t="n">
        <v>46319</v>
      </c>
      <c r="F2791" t="inlineStr">
        <is>
          <t>DALARNAS LÄN</t>
        </is>
      </c>
      <c r="G2791" t="inlineStr">
        <is>
          <t>LUDVIKA</t>
        </is>
      </c>
      <c r="I2791" t="n">
        <v>2.9</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61970-2023</t>
        </is>
      </c>
      <c r="B2792" t="inlineStr">
        <is>
          <t>avverkningsanmälan</t>
        </is>
      </c>
      <c r="C2792" t="inlineStr">
        <is>
          <t>Föryngringsavverkning</t>
        </is>
      </c>
      <c r="D2792" s="1" t="n">
        <v>45266</v>
      </c>
      <c r="E2792" s="1" t="n">
        <v>46319</v>
      </c>
      <c r="F2792" t="inlineStr">
        <is>
          <t>DALARNAS LÄN</t>
        </is>
      </c>
      <c r="G2792" t="inlineStr">
        <is>
          <t>RÄTTVIK</t>
        </is>
      </c>
      <c r="I2792" t="n">
        <v>1</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55589-2022</t>
        </is>
      </c>
      <c r="B2793" t="inlineStr">
        <is>
          <t>avverkningsanmälan</t>
        </is>
      </c>
      <c r="C2793" t="inlineStr">
        <is>
          <t>Föryngringsavverkning</t>
        </is>
      </c>
      <c r="D2793" s="1" t="n">
        <v>44888</v>
      </c>
      <c r="E2793" s="1" t="n">
        <v>46319</v>
      </c>
      <c r="F2793" t="inlineStr">
        <is>
          <t>DALARNAS LÄN</t>
        </is>
      </c>
      <c r="G2793" t="inlineStr">
        <is>
          <t>ÄLVDALEN</t>
        </is>
      </c>
      <c r="I2793" t="n">
        <v>1.5</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55570-2023</t>
        </is>
      </c>
      <c r="B2794" t="inlineStr">
        <is>
          <t>avverkningsanmälan</t>
        </is>
      </c>
      <c r="C2794" t="inlineStr">
        <is>
          <t>Föryngringsavverkning</t>
        </is>
      </c>
      <c r="D2794" s="1" t="n">
        <v>45238</v>
      </c>
      <c r="E2794" s="1" t="n">
        <v>46319</v>
      </c>
      <c r="F2794" t="inlineStr">
        <is>
          <t>DALARNAS LÄN</t>
        </is>
      </c>
      <c r="G2794" t="inlineStr">
        <is>
          <t>VANSBRO</t>
        </is>
      </c>
      <c r="H2794" t="inlineStr">
        <is>
          <t>Övriga statliga verk och myndigheter</t>
        </is>
      </c>
      <c r="I2794" t="n">
        <v>0.9</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757-2023</t>
        </is>
      </c>
      <c r="B2795" t="inlineStr">
        <is>
          <t>avverkningsanmälan</t>
        </is>
      </c>
      <c r="C2795" t="inlineStr">
        <is>
          <t>Föryngringsavverkning</t>
        </is>
      </c>
      <c r="D2795" s="1" t="n">
        <v>44931</v>
      </c>
      <c r="E2795" s="1" t="n">
        <v>46319</v>
      </c>
      <c r="F2795" t="inlineStr">
        <is>
          <t>DALARNAS LÄN</t>
        </is>
      </c>
      <c r="G2795" t="inlineStr">
        <is>
          <t>VANSBRO</t>
        </is>
      </c>
      <c r="I2795" t="n">
        <v>2</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24841-2026</t>
        </is>
      </c>
      <c r="B2796" t="inlineStr">
        <is>
          <t>avverkningsanmälan</t>
        </is>
      </c>
      <c r="C2796" t="inlineStr">
        <is>
          <t>Föryngringsavverkning</t>
        </is>
      </c>
      <c r="D2796" s="1" t="n">
        <v>46174</v>
      </c>
      <c r="E2796" s="1" t="n">
        <v>46319</v>
      </c>
      <c r="F2796" t="inlineStr">
        <is>
          <t>DALARNAS LÄN</t>
        </is>
      </c>
      <c r="G2796" t="inlineStr">
        <is>
          <t>LEKSAND</t>
        </is>
      </c>
      <c r="I2796" t="n">
        <v>1.6</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24856-2026</t>
        </is>
      </c>
      <c r="B2797" t="inlineStr">
        <is>
          <t>avverkningsanmälan</t>
        </is>
      </c>
      <c r="C2797" t="inlineStr">
        <is>
          <t>Föryngringsavverkning</t>
        </is>
      </c>
      <c r="D2797" s="1" t="n">
        <v>46174</v>
      </c>
      <c r="E2797" s="1" t="n">
        <v>46319</v>
      </c>
      <c r="F2797" t="inlineStr">
        <is>
          <t>DALARNAS LÄN</t>
        </is>
      </c>
      <c r="G2797" t="inlineStr">
        <is>
          <t>GAGNEF</t>
        </is>
      </c>
      <c r="I2797" t="n">
        <v>0.6</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26998-2024</t>
        </is>
      </c>
      <c r="B2798" t="inlineStr">
        <is>
          <t>avverkningsanmälan</t>
        </is>
      </c>
      <c r="C2798" t="inlineStr">
        <is>
          <t>Föryngringsavverkning</t>
        </is>
      </c>
      <c r="D2798" s="1" t="n">
        <v>45471</v>
      </c>
      <c r="E2798" s="1" t="n">
        <v>46319</v>
      </c>
      <c r="F2798" t="inlineStr">
        <is>
          <t>DALARNAS LÄN</t>
        </is>
      </c>
      <c r="G2798" t="inlineStr">
        <is>
          <t>SMEDJEBACKEN</t>
        </is>
      </c>
      <c r="I2798" t="n">
        <v>9</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7146-2024</t>
        </is>
      </c>
      <c r="B2799" t="inlineStr">
        <is>
          <t>avverkningsanmälan</t>
        </is>
      </c>
      <c r="C2799" t="inlineStr">
        <is>
          <t>Föryngringsavverkning</t>
        </is>
      </c>
      <c r="D2799" s="1" t="n">
        <v>45344</v>
      </c>
      <c r="E2799" s="1" t="n">
        <v>46319</v>
      </c>
      <c r="F2799" t="inlineStr">
        <is>
          <t>DALARNAS LÄN</t>
        </is>
      </c>
      <c r="G2799" t="inlineStr">
        <is>
          <t>RÄTTVIK</t>
        </is>
      </c>
      <c r="I2799" t="n">
        <v>0.4</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47716-2025</t>
        </is>
      </c>
      <c r="B2800" t="inlineStr">
        <is>
          <t>avverkningsanmälan</t>
        </is>
      </c>
      <c r="C2800" t="inlineStr">
        <is>
          <t>Föryngringsavverkning</t>
        </is>
      </c>
      <c r="D2800" s="1" t="n">
        <v>45931</v>
      </c>
      <c r="E2800" s="1" t="n">
        <v>46319</v>
      </c>
      <c r="F2800" t="inlineStr">
        <is>
          <t>DALARNAS LÄN</t>
        </is>
      </c>
      <c r="G2800" t="inlineStr">
        <is>
          <t>MORA</t>
        </is>
      </c>
      <c r="I2800" t="n">
        <v>8.9</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25322-2026</t>
        </is>
      </c>
      <c r="B2801" t="inlineStr">
        <is>
          <t>avverkningsanmälan</t>
        </is>
      </c>
      <c r="C2801" t="inlineStr">
        <is>
          <t>Föryngringsavverkning</t>
        </is>
      </c>
      <c r="D2801" s="1" t="n">
        <v>46176</v>
      </c>
      <c r="E2801" s="1" t="n">
        <v>46319</v>
      </c>
      <c r="F2801" t="inlineStr">
        <is>
          <t>DALARNAS LÄN</t>
        </is>
      </c>
      <c r="G2801" t="inlineStr">
        <is>
          <t>SMEDJEBACKEN</t>
        </is>
      </c>
      <c r="H2801" t="inlineStr">
        <is>
          <t>Sveaskog</t>
        </is>
      </c>
      <c r="I2801" t="n">
        <v>2.4</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48280-2025</t>
        </is>
      </c>
      <c r="B2802" t="inlineStr">
        <is>
          <t>avverkningsanmälan</t>
        </is>
      </c>
      <c r="C2802" t="inlineStr">
        <is>
          <t>Föryngringsavverkning</t>
        </is>
      </c>
      <c r="D2802" s="1" t="n">
        <v>45933</v>
      </c>
      <c r="E2802" s="1" t="n">
        <v>46319</v>
      </c>
      <c r="F2802" t="inlineStr">
        <is>
          <t>DALARNAS LÄN</t>
        </is>
      </c>
      <c r="G2802" t="inlineStr">
        <is>
          <t>RÄTTVIK</t>
        </is>
      </c>
      <c r="I2802" t="n">
        <v>1.3</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64688-2023</t>
        </is>
      </c>
      <c r="B2803" t="inlineStr">
        <is>
          <t>avverkningsanmälan</t>
        </is>
      </c>
      <c r="C2803" t="inlineStr">
        <is>
          <t>Föryngringsavverkning</t>
        </is>
      </c>
      <c r="D2803" s="1" t="n">
        <v>45281</v>
      </c>
      <c r="E2803" s="1" t="n">
        <v>46319</v>
      </c>
      <c r="F2803" t="inlineStr">
        <is>
          <t>DALARNAS LÄN</t>
        </is>
      </c>
      <c r="G2803" t="inlineStr">
        <is>
          <t>BORLÄNGE</t>
        </is>
      </c>
      <c r="H2803" t="inlineStr">
        <is>
          <t>Kyrkan</t>
        </is>
      </c>
      <c r="I2803" t="n">
        <v>1.9</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48478-2025</t>
        </is>
      </c>
      <c r="B2804" t="inlineStr">
        <is>
          <t>avverkningsanmälan</t>
        </is>
      </c>
      <c r="C2804" t="inlineStr">
        <is>
          <t>Föryngringsavverkning</t>
        </is>
      </c>
      <c r="D2804" s="1" t="n">
        <v>45936</v>
      </c>
      <c r="E2804" s="1" t="n">
        <v>46319</v>
      </c>
      <c r="F2804" t="inlineStr">
        <is>
          <t>DALARNAS LÄN</t>
        </is>
      </c>
      <c r="G2804" t="inlineStr">
        <is>
          <t>SMEDJEBACKEN</t>
        </is>
      </c>
      <c r="H2804" t="inlineStr">
        <is>
          <t>Sveaskog</t>
        </is>
      </c>
      <c r="I2804" t="n">
        <v>4.4</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48480-2025</t>
        </is>
      </c>
      <c r="B2805" t="inlineStr">
        <is>
          <t>avverkningsanmälan</t>
        </is>
      </c>
      <c r="C2805" t="inlineStr">
        <is>
          <t>Föryngringsavverkning</t>
        </is>
      </c>
      <c r="D2805" s="1" t="n">
        <v>45936</v>
      </c>
      <c r="E2805" s="1" t="n">
        <v>46319</v>
      </c>
      <c r="F2805" t="inlineStr">
        <is>
          <t>DALARNAS LÄN</t>
        </is>
      </c>
      <c r="G2805" t="inlineStr">
        <is>
          <t>SMEDJEBACKEN</t>
        </is>
      </c>
      <c r="H2805" t="inlineStr">
        <is>
          <t>Sveaskog</t>
        </is>
      </c>
      <c r="I2805" t="n">
        <v>4.7</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36841-2024</t>
        </is>
      </c>
      <c r="B2806" t="inlineStr">
        <is>
          <t>avverkningsanmälan</t>
        </is>
      </c>
      <c r="C2806" t="inlineStr">
        <is>
          <t>Föryngringsavverkning</t>
        </is>
      </c>
      <c r="D2806" s="1" t="n">
        <v>45538</v>
      </c>
      <c r="E2806" s="1" t="n">
        <v>46319</v>
      </c>
      <c r="F2806" t="inlineStr">
        <is>
          <t>DALARNAS LÄN</t>
        </is>
      </c>
      <c r="G2806" t="inlineStr">
        <is>
          <t>MALUNG-SÄLEN</t>
        </is>
      </c>
      <c r="I2806" t="n">
        <v>0.7</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48238-2025</t>
        </is>
      </c>
      <c r="B2807" t="inlineStr">
        <is>
          <t>avverkningsanmälan</t>
        </is>
      </c>
      <c r="C2807" t="inlineStr">
        <is>
          <t>Föryngringsavverkning</t>
        </is>
      </c>
      <c r="D2807" s="1" t="n">
        <v>45933</v>
      </c>
      <c r="E2807" s="1" t="n">
        <v>46319</v>
      </c>
      <c r="F2807" t="inlineStr">
        <is>
          <t>DALARNAS LÄN</t>
        </is>
      </c>
      <c r="G2807" t="inlineStr">
        <is>
          <t>HEDEMORA</t>
        </is>
      </c>
      <c r="I2807" t="n">
        <v>1.3</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48421-2025</t>
        </is>
      </c>
      <c r="B2808" t="inlineStr">
        <is>
          <t>avverkningsanmälan</t>
        </is>
      </c>
      <c r="C2808" t="inlineStr">
        <is>
          <t>Föryngringsavverkning</t>
        </is>
      </c>
      <c r="D2808" s="1" t="n">
        <v>45934</v>
      </c>
      <c r="E2808" s="1" t="n">
        <v>46319</v>
      </c>
      <c r="F2808" t="inlineStr">
        <is>
          <t>DALARNAS LÄN</t>
        </is>
      </c>
      <c r="G2808" t="inlineStr">
        <is>
          <t>LEKSAND</t>
        </is>
      </c>
      <c r="I2808" t="n">
        <v>2.2</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48296-2025</t>
        </is>
      </c>
      <c r="B2809" t="inlineStr">
        <is>
          <t>avverkningsanmälan</t>
        </is>
      </c>
      <c r="C2809" t="inlineStr">
        <is>
          <t>Föryngringsavverkning</t>
        </is>
      </c>
      <c r="D2809" s="1" t="n">
        <v>45933</v>
      </c>
      <c r="E2809" s="1" t="n">
        <v>46319</v>
      </c>
      <c r="F2809" t="inlineStr">
        <is>
          <t>DALARNAS LÄN</t>
        </is>
      </c>
      <c r="G2809" t="inlineStr">
        <is>
          <t>MALUNG-SÄLEN</t>
        </is>
      </c>
      <c r="H2809" t="inlineStr">
        <is>
          <t>Bergvik skog väst AB</t>
        </is>
      </c>
      <c r="I2809" t="n">
        <v>9.4</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24994-2026</t>
        </is>
      </c>
      <c r="B2810" t="inlineStr">
        <is>
          <t>avverkningsanmälan</t>
        </is>
      </c>
      <c r="C2810" t="inlineStr">
        <is>
          <t>Föryngringsavverkning</t>
        </is>
      </c>
      <c r="D2810" s="1" t="n">
        <v>46174</v>
      </c>
      <c r="E2810" s="1" t="n">
        <v>46319</v>
      </c>
      <c r="F2810" t="inlineStr">
        <is>
          <t>DALARNAS LÄN</t>
        </is>
      </c>
      <c r="G2810" t="inlineStr">
        <is>
          <t>ORSA</t>
        </is>
      </c>
      <c r="I2810" t="n">
        <v>2.8</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57094-2023</t>
        </is>
      </c>
      <c r="B2811" t="inlineStr">
        <is>
          <t>avverkningsanmälan</t>
        </is>
      </c>
      <c r="C2811" t="inlineStr">
        <is>
          <t>Föryngringsavverkning</t>
        </is>
      </c>
      <c r="D2811" s="1" t="n">
        <v>45245</v>
      </c>
      <c r="E2811" s="1" t="n">
        <v>46319</v>
      </c>
      <c r="F2811" t="inlineStr">
        <is>
          <t>DALARNAS LÄN</t>
        </is>
      </c>
      <c r="G2811" t="inlineStr">
        <is>
          <t>RÄTTVIK</t>
        </is>
      </c>
      <c r="H2811" t="inlineStr">
        <is>
          <t>Kyrkan</t>
        </is>
      </c>
      <c r="I2811" t="n">
        <v>2.7</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29819-2024</t>
        </is>
      </c>
      <c r="B2812" t="inlineStr">
        <is>
          <t>avverkningsanmälan</t>
        </is>
      </c>
      <c r="C2812" t="inlineStr">
        <is>
          <t>Föryngringsavverkning</t>
        </is>
      </c>
      <c r="D2812" s="1" t="n">
        <v>45485</v>
      </c>
      <c r="E2812" s="1" t="n">
        <v>46319</v>
      </c>
      <c r="F2812" t="inlineStr">
        <is>
          <t>DALARNAS LÄN</t>
        </is>
      </c>
      <c r="G2812" t="inlineStr">
        <is>
          <t>ÄLVDALEN</t>
        </is>
      </c>
      <c r="I2812" t="n">
        <v>1.4</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33463-2023</t>
        </is>
      </c>
      <c r="B2813" t="inlineStr">
        <is>
          <t>avverkningsanmälan</t>
        </is>
      </c>
      <c r="C2813" t="inlineStr">
        <is>
          <t>Avverkning för annat ändamål</t>
        </is>
      </c>
      <c r="D2813" s="1" t="n">
        <v>45131</v>
      </c>
      <c r="E2813" s="1" t="n">
        <v>46319</v>
      </c>
      <c r="F2813" t="inlineStr">
        <is>
          <t>DALARNAS LÄN</t>
        </is>
      </c>
      <c r="G2813" t="inlineStr">
        <is>
          <t>LEKSAND</t>
        </is>
      </c>
      <c r="I2813" t="n">
        <v>0.7</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25045-2026</t>
        </is>
      </c>
      <c r="B2814" t="inlineStr">
        <is>
          <t>avverkningsanmälan</t>
        </is>
      </c>
      <c r="C2814" t="inlineStr">
        <is>
          <t>Föryngringsavverkning</t>
        </is>
      </c>
      <c r="D2814" s="1" t="n">
        <v>46174</v>
      </c>
      <c r="E2814" s="1" t="n">
        <v>46319</v>
      </c>
      <c r="F2814" t="inlineStr">
        <is>
          <t>DALARNAS LÄN</t>
        </is>
      </c>
      <c r="G2814" t="inlineStr">
        <is>
          <t>VANSBRO</t>
        </is>
      </c>
      <c r="H2814" t="inlineStr">
        <is>
          <t>Bergvik skog öst AB</t>
        </is>
      </c>
      <c r="I2814" t="n">
        <v>1.7</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33534-2023</t>
        </is>
      </c>
      <c r="B2815" t="inlineStr">
        <is>
          <t>avverkningsanmälan</t>
        </is>
      </c>
      <c r="C2815" t="inlineStr">
        <is>
          <t>Föryngringsavverkning</t>
        </is>
      </c>
      <c r="D2815" s="1" t="n">
        <v>45131</v>
      </c>
      <c r="E2815" s="1" t="n">
        <v>46319</v>
      </c>
      <c r="F2815" t="inlineStr">
        <is>
          <t>DALARNAS LÄN</t>
        </is>
      </c>
      <c r="G2815" t="inlineStr">
        <is>
          <t>FALUN</t>
        </is>
      </c>
      <c r="I2815" t="n">
        <v>1</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33539-2023</t>
        </is>
      </c>
      <c r="B2816" t="inlineStr">
        <is>
          <t>avverkningsanmälan</t>
        </is>
      </c>
      <c r="C2816" t="inlineStr">
        <is>
          <t>Föryngringsavverkning</t>
        </is>
      </c>
      <c r="D2816" s="1" t="n">
        <v>45131</v>
      </c>
      <c r="E2816" s="1" t="n">
        <v>46319</v>
      </c>
      <c r="F2816" t="inlineStr">
        <is>
          <t>DALARNAS LÄN</t>
        </is>
      </c>
      <c r="G2816" t="inlineStr">
        <is>
          <t>FALUN</t>
        </is>
      </c>
      <c r="I2816" t="n">
        <v>1</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33543-2023</t>
        </is>
      </c>
      <c r="B2817" t="inlineStr">
        <is>
          <t>avverkningsanmälan</t>
        </is>
      </c>
      <c r="C2817" t="inlineStr">
        <is>
          <t>Föryngringsavverkning</t>
        </is>
      </c>
      <c r="D2817" s="1" t="n">
        <v>45131</v>
      </c>
      <c r="E2817" s="1" t="n">
        <v>46319</v>
      </c>
      <c r="F2817" t="inlineStr">
        <is>
          <t>DALARNAS LÄN</t>
        </is>
      </c>
      <c r="G2817" t="inlineStr">
        <is>
          <t>FALUN</t>
        </is>
      </c>
      <c r="I2817" t="n">
        <v>1.8</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52107-2022</t>
        </is>
      </c>
      <c r="B2818" t="inlineStr">
        <is>
          <t>avverkningsanmälan</t>
        </is>
      </c>
      <c r="C2818" t="inlineStr">
        <is>
          <t>Föryngringsavverkning</t>
        </is>
      </c>
      <c r="D2818" s="1" t="n">
        <v>44873</v>
      </c>
      <c r="E2818" s="1" t="n">
        <v>46319</v>
      </c>
      <c r="F2818" t="inlineStr">
        <is>
          <t>DALARNAS LÄN</t>
        </is>
      </c>
      <c r="G2818" t="inlineStr">
        <is>
          <t>ÄLVDALEN</t>
        </is>
      </c>
      <c r="I2818" t="n">
        <v>1.8</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24858-2026</t>
        </is>
      </c>
      <c r="B2819" t="inlineStr">
        <is>
          <t>avverkningsanmälan</t>
        </is>
      </c>
      <c r="C2819" t="inlineStr">
        <is>
          <t>Föryngringsavverkning</t>
        </is>
      </c>
      <c r="D2819" s="1" t="n">
        <v>46174</v>
      </c>
      <c r="E2819" s="1" t="n">
        <v>46319</v>
      </c>
      <c r="F2819" t="inlineStr">
        <is>
          <t>DALARNAS LÄN</t>
        </is>
      </c>
      <c r="G2819" t="inlineStr">
        <is>
          <t>ORSA</t>
        </is>
      </c>
      <c r="I2819" t="n">
        <v>0.8</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48481-2025</t>
        </is>
      </c>
      <c r="B2820" t="inlineStr">
        <is>
          <t>avverkningsanmälan</t>
        </is>
      </c>
      <c r="C2820" t="inlineStr">
        <is>
          <t>Föryngringsavverkning</t>
        </is>
      </c>
      <c r="D2820" s="1" t="n">
        <v>45936</v>
      </c>
      <c r="E2820" s="1" t="n">
        <v>46319</v>
      </c>
      <c r="F2820" t="inlineStr">
        <is>
          <t>DALARNAS LÄN</t>
        </is>
      </c>
      <c r="G2820" t="inlineStr">
        <is>
          <t>SMEDJEBACKEN</t>
        </is>
      </c>
      <c r="H2820" t="inlineStr">
        <is>
          <t>Sveaskog</t>
        </is>
      </c>
      <c r="I2820" t="n">
        <v>2.6</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48476-2025</t>
        </is>
      </c>
      <c r="B2821" t="inlineStr">
        <is>
          <t>avverkningsanmälan</t>
        </is>
      </c>
      <c r="C2821" t="inlineStr">
        <is>
          <t>Föryngringsavverkning</t>
        </is>
      </c>
      <c r="D2821" s="1" t="n">
        <v>45936</v>
      </c>
      <c r="E2821" s="1" t="n">
        <v>46319</v>
      </c>
      <c r="F2821" t="inlineStr">
        <is>
          <t>DALARNAS LÄN</t>
        </is>
      </c>
      <c r="G2821" t="inlineStr">
        <is>
          <t>SMEDJEBACKEN</t>
        </is>
      </c>
      <c r="H2821" t="inlineStr">
        <is>
          <t>Sveaskog</t>
        </is>
      </c>
      <c r="I2821" t="n">
        <v>1</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24971-2026</t>
        </is>
      </c>
      <c r="B2822" t="inlineStr">
        <is>
          <t>avverkningsanmälan</t>
        </is>
      </c>
      <c r="C2822" t="inlineStr">
        <is>
          <t>Föryngringsavverkning</t>
        </is>
      </c>
      <c r="D2822" s="1" t="n">
        <v>46174</v>
      </c>
      <c r="E2822" s="1" t="n">
        <v>46319</v>
      </c>
      <c r="F2822" t="inlineStr">
        <is>
          <t>DALARNAS LÄN</t>
        </is>
      </c>
      <c r="G2822" t="inlineStr">
        <is>
          <t>ÄLVDALEN</t>
        </is>
      </c>
      <c r="I2822" t="n">
        <v>0.6</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24978-2026</t>
        </is>
      </c>
      <c r="B2823" t="inlineStr">
        <is>
          <t>avverkningsanmälan</t>
        </is>
      </c>
      <c r="C2823" t="inlineStr">
        <is>
          <t>Föryngringsavverkning</t>
        </is>
      </c>
      <c r="D2823" s="1" t="n">
        <v>46174</v>
      </c>
      <c r="E2823" s="1" t="n">
        <v>46319</v>
      </c>
      <c r="F2823" t="inlineStr">
        <is>
          <t>DALARNAS LÄN</t>
        </is>
      </c>
      <c r="G2823" t="inlineStr">
        <is>
          <t>FALUN</t>
        </is>
      </c>
      <c r="H2823" t="inlineStr">
        <is>
          <t>Bergvik skog väst AB</t>
        </is>
      </c>
      <c r="I2823" t="n">
        <v>2</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48507-2025</t>
        </is>
      </c>
      <c r="B2824" t="inlineStr">
        <is>
          <t>avverkningsanmälan</t>
        </is>
      </c>
      <c r="C2824" t="inlineStr">
        <is>
          <t>Föryngringsavverkning</t>
        </is>
      </c>
      <c r="D2824" s="1" t="n">
        <v>45936</v>
      </c>
      <c r="E2824" s="1" t="n">
        <v>46319</v>
      </c>
      <c r="F2824" t="inlineStr">
        <is>
          <t>DALARNAS LÄN</t>
        </is>
      </c>
      <c r="G2824" t="inlineStr">
        <is>
          <t>SÄTER</t>
        </is>
      </c>
      <c r="I2824" t="n">
        <v>3</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48617-2025</t>
        </is>
      </c>
      <c r="B2825" t="inlineStr">
        <is>
          <t>avverkningsanmälan</t>
        </is>
      </c>
      <c r="C2825" t="inlineStr">
        <is>
          <t>Föryngringsavverkning</t>
        </is>
      </c>
      <c r="D2825" s="1" t="n">
        <v>45935</v>
      </c>
      <c r="E2825" s="1" t="n">
        <v>46319</v>
      </c>
      <c r="F2825" t="inlineStr">
        <is>
          <t>DALARNAS LÄN</t>
        </is>
      </c>
      <c r="G2825" t="inlineStr">
        <is>
          <t>SMEDJEBACKEN</t>
        </is>
      </c>
      <c r="H2825" t="inlineStr">
        <is>
          <t>Bergvik skog väst AB</t>
        </is>
      </c>
      <c r="I2825" t="n">
        <v>18.6</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57927-2024</t>
        </is>
      </c>
      <c r="B2826" t="inlineStr">
        <is>
          <t>avverkningsanmälan</t>
        </is>
      </c>
      <c r="C2826" t="inlineStr">
        <is>
          <t>Föryngringsavverkning</t>
        </is>
      </c>
      <c r="D2826" s="1" t="n">
        <v>45630</v>
      </c>
      <c r="E2826" s="1" t="n">
        <v>46319</v>
      </c>
      <c r="F2826" t="inlineStr">
        <is>
          <t>DALARNAS LÄN</t>
        </is>
      </c>
      <c r="G2826" t="inlineStr">
        <is>
          <t>LEKSAND</t>
        </is>
      </c>
      <c r="I2826" t="n">
        <v>0.2</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57930-2024</t>
        </is>
      </c>
      <c r="B2827" t="inlineStr">
        <is>
          <t>avverkningsanmälan</t>
        </is>
      </c>
      <c r="C2827" t="inlineStr">
        <is>
          <t>Föryngringsavverkning</t>
        </is>
      </c>
      <c r="D2827" s="1" t="n">
        <v>45630</v>
      </c>
      <c r="E2827" s="1" t="n">
        <v>46319</v>
      </c>
      <c r="F2827" t="inlineStr">
        <is>
          <t>DALARNAS LÄN</t>
        </is>
      </c>
      <c r="G2827" t="inlineStr">
        <is>
          <t>LEKSAND</t>
        </is>
      </c>
      <c r="I2827" t="n">
        <v>0.6</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48356-2025</t>
        </is>
      </c>
      <c r="B2828" t="inlineStr">
        <is>
          <t>avverkningsanmälan</t>
        </is>
      </c>
      <c r="C2828" t="inlineStr">
        <is>
          <t>Avverkning för annat ändamål</t>
        </is>
      </c>
      <c r="D2828" s="1" t="n">
        <v>45933</v>
      </c>
      <c r="E2828" s="1" t="n">
        <v>46319</v>
      </c>
      <c r="F2828" t="inlineStr">
        <is>
          <t>DALARNAS LÄN</t>
        </is>
      </c>
      <c r="G2828" t="inlineStr">
        <is>
          <t>MALUNG-SÄLEN</t>
        </is>
      </c>
      <c r="I2828" t="n">
        <v>2.8</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48927-2025</t>
        </is>
      </c>
      <c r="B2829" t="inlineStr">
        <is>
          <t>avverkningsanmälan</t>
        </is>
      </c>
      <c r="C2829" t="inlineStr">
        <is>
          <t>Föryngringsavverkning</t>
        </is>
      </c>
      <c r="D2829" s="1" t="n">
        <v>45931</v>
      </c>
      <c r="E2829" s="1" t="n">
        <v>46319</v>
      </c>
      <c r="F2829" t="inlineStr">
        <is>
          <t>DALARNAS LÄN</t>
        </is>
      </c>
      <c r="G2829" t="inlineStr">
        <is>
          <t>MORA</t>
        </is>
      </c>
      <c r="I2829" t="n">
        <v>2.1</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48624-2025</t>
        </is>
      </c>
      <c r="B2830" t="inlineStr">
        <is>
          <t>avverkningsanmälan</t>
        </is>
      </c>
      <c r="C2830" t="inlineStr">
        <is>
          <t>Föryngringsavverkning</t>
        </is>
      </c>
      <c r="D2830" s="1" t="n">
        <v>45936</v>
      </c>
      <c r="E2830" s="1" t="n">
        <v>46319</v>
      </c>
      <c r="F2830" t="inlineStr">
        <is>
          <t>DALARNAS LÄN</t>
        </is>
      </c>
      <c r="G2830" t="inlineStr">
        <is>
          <t>MALUNG-SÄLEN</t>
        </is>
      </c>
      <c r="H2830" t="inlineStr">
        <is>
          <t>Bergvik skog väst AB</t>
        </is>
      </c>
      <c r="I2830" t="n">
        <v>2.9</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8755-2023</t>
        </is>
      </c>
      <c r="B2831" t="inlineStr">
        <is>
          <t>avverkningsanmälan</t>
        </is>
      </c>
      <c r="C2831" t="inlineStr">
        <is>
          <t>Föryngringsavverkning</t>
        </is>
      </c>
      <c r="D2831" s="1" t="n">
        <v>44978</v>
      </c>
      <c r="E2831" s="1" t="n">
        <v>46319</v>
      </c>
      <c r="F2831" t="inlineStr">
        <is>
          <t>DALARNAS LÄN</t>
        </is>
      </c>
      <c r="G2831" t="inlineStr">
        <is>
          <t>LEKSAND</t>
        </is>
      </c>
      <c r="I2831" t="n">
        <v>2.3</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59089-2023</t>
        </is>
      </c>
      <c r="B2832" t="inlineStr">
        <is>
          <t>avverkningsanmälan</t>
        </is>
      </c>
      <c r="C2832" t="inlineStr">
        <is>
          <t>Föryngringsavverkning</t>
        </is>
      </c>
      <c r="D2832" s="1" t="n">
        <v>45252</v>
      </c>
      <c r="E2832" s="1" t="n">
        <v>46319</v>
      </c>
      <c r="F2832" t="inlineStr">
        <is>
          <t>DALARNAS LÄN</t>
        </is>
      </c>
      <c r="G2832" t="inlineStr">
        <is>
          <t>MALUNG-SÄLEN</t>
        </is>
      </c>
      <c r="I2832" t="n">
        <v>6.2</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53584-2023</t>
        </is>
      </c>
      <c r="B2833" t="inlineStr">
        <is>
          <t>avverkningsanmälan</t>
        </is>
      </c>
      <c r="C2833" t="inlineStr">
        <is>
          <t>Föryngringsavverkning</t>
        </is>
      </c>
      <c r="D2833" s="1" t="n">
        <v>45230</v>
      </c>
      <c r="E2833" s="1" t="n">
        <v>46319</v>
      </c>
      <c r="F2833" t="inlineStr">
        <is>
          <t>DALARNAS LÄN</t>
        </is>
      </c>
      <c r="G2833" t="inlineStr">
        <is>
          <t>HEDEMORA</t>
        </is>
      </c>
      <c r="I2833" t="n">
        <v>6.6</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49807-2024</t>
        </is>
      </c>
      <c r="B2834" t="inlineStr">
        <is>
          <t>avverkningsanmälan</t>
        </is>
      </c>
      <c r="C2834" t="inlineStr">
        <is>
          <t>Föryngringsavverkning</t>
        </is>
      </c>
      <c r="D2834" s="1" t="n">
        <v>45597</v>
      </c>
      <c r="E2834" s="1" t="n">
        <v>46319</v>
      </c>
      <c r="F2834" t="inlineStr">
        <is>
          <t>DALARNAS LÄN</t>
        </is>
      </c>
      <c r="G2834" t="inlineStr">
        <is>
          <t>MALUNG-SÄLEN</t>
        </is>
      </c>
      <c r="I2834" t="n">
        <v>5.3</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53498-2024</t>
        </is>
      </c>
      <c r="B2835" t="inlineStr">
        <is>
          <t>avverkningsanmälan</t>
        </is>
      </c>
      <c r="C2835" t="inlineStr">
        <is>
          <t>Föryngringsavverkning</t>
        </is>
      </c>
      <c r="D2835" s="1" t="n">
        <v>45614</v>
      </c>
      <c r="E2835" s="1" t="n">
        <v>46319</v>
      </c>
      <c r="F2835" t="inlineStr">
        <is>
          <t>DALARNAS LÄN</t>
        </is>
      </c>
      <c r="G2835" t="inlineStr">
        <is>
          <t>VANSBRO</t>
        </is>
      </c>
      <c r="I2835" t="n">
        <v>0.7</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11632-2024</t>
        </is>
      </c>
      <c r="B2836" t="inlineStr">
        <is>
          <t>avverkningsanmälan</t>
        </is>
      </c>
      <c r="C2836" t="inlineStr">
        <is>
          <t>Föryngringsavverkning</t>
        </is>
      </c>
      <c r="D2836" s="1" t="n">
        <v>45373</v>
      </c>
      <c r="E2836" s="1" t="n">
        <v>46319</v>
      </c>
      <c r="F2836" t="inlineStr">
        <is>
          <t>DALARNAS LÄN</t>
        </is>
      </c>
      <c r="G2836" t="inlineStr">
        <is>
          <t>LUDVIKA</t>
        </is>
      </c>
      <c r="I2836" t="n">
        <v>5.1</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48135-2025</t>
        </is>
      </c>
      <c r="B2837" t="inlineStr">
        <is>
          <t>avverkningsanmälan</t>
        </is>
      </c>
      <c r="C2837" t="inlineStr">
        <is>
          <t>Föryngringsavverkning</t>
        </is>
      </c>
      <c r="D2837" s="1" t="n">
        <v>45933</v>
      </c>
      <c r="E2837" s="1" t="n">
        <v>46319</v>
      </c>
      <c r="F2837" t="inlineStr">
        <is>
          <t>DALARNAS LÄN</t>
        </is>
      </c>
      <c r="G2837" t="inlineStr">
        <is>
          <t>ÄLVDALEN</t>
        </is>
      </c>
      <c r="I2837" t="n">
        <v>2.4</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51354-2022</t>
        </is>
      </c>
      <c r="B2838" t="inlineStr">
        <is>
          <t>avverkningsanmälan</t>
        </is>
      </c>
      <c r="C2838" t="inlineStr">
        <is>
          <t>Föryngringsavverkning</t>
        </is>
      </c>
      <c r="D2838" s="1" t="n">
        <v>44866</v>
      </c>
      <c r="E2838" s="1" t="n">
        <v>46319</v>
      </c>
      <c r="F2838" t="inlineStr">
        <is>
          <t>DALARNAS LÄN</t>
        </is>
      </c>
      <c r="G2838" t="inlineStr">
        <is>
          <t>RÄTTVIK</t>
        </is>
      </c>
      <c r="I2838" t="n">
        <v>6.6</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9835-2024</t>
        </is>
      </c>
      <c r="B2839" t="inlineStr">
        <is>
          <t>avverkningsanmälan</t>
        </is>
      </c>
      <c r="C2839" t="inlineStr">
        <is>
          <t>Föryngringsavverkning</t>
        </is>
      </c>
      <c r="D2839" s="1" t="n">
        <v>45363</v>
      </c>
      <c r="E2839" s="1" t="n">
        <v>46319</v>
      </c>
      <c r="F2839" t="inlineStr">
        <is>
          <t>DALARNAS LÄN</t>
        </is>
      </c>
      <c r="G2839" t="inlineStr">
        <is>
          <t>FALUN</t>
        </is>
      </c>
      <c r="I2839" t="n">
        <v>0.7</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48102-2025</t>
        </is>
      </c>
      <c r="B2840" t="inlineStr">
        <is>
          <t>avverkningsanmälan</t>
        </is>
      </c>
      <c r="C2840" t="inlineStr">
        <is>
          <t>Föryngringsavverkning</t>
        </is>
      </c>
      <c r="D2840" s="1" t="n">
        <v>45933</v>
      </c>
      <c r="E2840" s="1" t="n">
        <v>46319</v>
      </c>
      <c r="F2840" t="inlineStr">
        <is>
          <t>DALARNAS LÄN</t>
        </is>
      </c>
      <c r="G2840" t="inlineStr">
        <is>
          <t>VANSBRO</t>
        </is>
      </c>
      <c r="I2840" t="n">
        <v>1.5</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41961-2022</t>
        </is>
      </c>
      <c r="B2841" t="inlineStr">
        <is>
          <t>avverkningsanmälan</t>
        </is>
      </c>
      <c r="C2841" t="inlineStr">
        <is>
          <t>Föryngringsavverkning</t>
        </is>
      </c>
      <c r="D2841" s="1" t="n">
        <v>44830</v>
      </c>
      <c r="E2841" s="1" t="n">
        <v>46319</v>
      </c>
      <c r="F2841" t="inlineStr">
        <is>
          <t>DALARNAS LÄN</t>
        </is>
      </c>
      <c r="G2841" t="inlineStr">
        <is>
          <t>FALUN</t>
        </is>
      </c>
      <c r="I2841" t="n">
        <v>3.1</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48653-2025</t>
        </is>
      </c>
      <c r="B2842" t="inlineStr">
        <is>
          <t>avverkningsanmälan</t>
        </is>
      </c>
      <c r="C2842" t="inlineStr">
        <is>
          <t>Föryngringsavverkning</t>
        </is>
      </c>
      <c r="D2842" s="1" t="n">
        <v>45936</v>
      </c>
      <c r="E2842" s="1" t="n">
        <v>46319</v>
      </c>
      <c r="F2842" t="inlineStr">
        <is>
          <t>DALARNAS LÄN</t>
        </is>
      </c>
      <c r="G2842" t="inlineStr">
        <is>
          <t>MALUNG-SÄLEN</t>
        </is>
      </c>
      <c r="I2842" t="n">
        <v>0.5</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48673-2025</t>
        </is>
      </c>
      <c r="B2843" t="inlineStr">
        <is>
          <t>avverkningsanmälan</t>
        </is>
      </c>
      <c r="C2843" t="inlineStr">
        <is>
          <t>Föryngringsavverkning</t>
        </is>
      </c>
      <c r="D2843" s="1" t="n">
        <v>45936</v>
      </c>
      <c r="E2843" s="1" t="n">
        <v>46319</v>
      </c>
      <c r="F2843" t="inlineStr">
        <is>
          <t>DALARNAS LÄN</t>
        </is>
      </c>
      <c r="G2843" t="inlineStr">
        <is>
          <t>MALUNG-SÄLEN</t>
        </is>
      </c>
      <c r="I2843" t="n">
        <v>0.4</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48230-2024</t>
        </is>
      </c>
      <c r="B2844" t="inlineStr">
        <is>
          <t>avverkningsanmälan</t>
        </is>
      </c>
      <c r="C2844" t="inlineStr">
        <is>
          <t>Föryngringsavverkning</t>
        </is>
      </c>
      <c r="D2844" s="1" t="n">
        <v>45590</v>
      </c>
      <c r="E2844" s="1" t="n">
        <v>46319</v>
      </c>
      <c r="F2844" t="inlineStr">
        <is>
          <t>DALARNAS LÄN</t>
        </is>
      </c>
      <c r="G2844" t="inlineStr">
        <is>
          <t>RÄTTVIK</t>
        </is>
      </c>
      <c r="H2844" t="inlineStr">
        <is>
          <t>Bergvik skog väst AB</t>
        </is>
      </c>
      <c r="I2844" t="n">
        <v>0.4</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48930-2025</t>
        </is>
      </c>
      <c r="B2845" t="inlineStr">
        <is>
          <t>avverkningsanmälan</t>
        </is>
      </c>
      <c r="C2845" t="inlineStr">
        <is>
          <t>Föryngringsavverkning</t>
        </is>
      </c>
      <c r="D2845" s="1" t="n">
        <v>45937</v>
      </c>
      <c r="E2845" s="1" t="n">
        <v>46319</v>
      </c>
      <c r="F2845" t="inlineStr">
        <is>
          <t>DALARNAS LÄN</t>
        </is>
      </c>
      <c r="G2845" t="inlineStr">
        <is>
          <t>RÄTTVIK</t>
        </is>
      </c>
      <c r="I2845" t="n">
        <v>1.3</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59547-2023</t>
        </is>
      </c>
      <c r="B2846" t="inlineStr">
        <is>
          <t>avverkningsanmälan</t>
        </is>
      </c>
      <c r="C2846" t="inlineStr">
        <is>
          <t>Föryngringsavverkning</t>
        </is>
      </c>
      <c r="D2846" s="1" t="n">
        <v>45254</v>
      </c>
      <c r="E2846" s="1" t="n">
        <v>46319</v>
      </c>
      <c r="F2846" t="inlineStr">
        <is>
          <t>DALARNAS LÄN</t>
        </is>
      </c>
      <c r="G2846" t="inlineStr">
        <is>
          <t>ÄLVDALEN</t>
        </is>
      </c>
      <c r="I2846" t="n">
        <v>2.5</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49404-2025</t>
        </is>
      </c>
      <c r="B2847" t="inlineStr">
        <is>
          <t>avverkningsanmälan</t>
        </is>
      </c>
      <c r="C2847" t="inlineStr">
        <is>
          <t>Föryngringsavverkning</t>
        </is>
      </c>
      <c r="D2847" s="1" t="n">
        <v>45938</v>
      </c>
      <c r="E2847" s="1" t="n">
        <v>46319</v>
      </c>
      <c r="F2847" t="inlineStr">
        <is>
          <t>DALARNAS LÄN</t>
        </is>
      </c>
      <c r="G2847" t="inlineStr">
        <is>
          <t>MORA</t>
        </is>
      </c>
      <c r="H2847" t="inlineStr">
        <is>
          <t>Bergvik skog väst AB</t>
        </is>
      </c>
      <c r="I2847" t="n">
        <v>0.9</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19411-2024</t>
        </is>
      </c>
      <c r="B2848" t="inlineStr">
        <is>
          <t>avverkningsanmälan</t>
        </is>
      </c>
      <c r="C2848" t="inlineStr">
        <is>
          <t>Avverkning för att bevara och utveckla /försöksver</t>
        </is>
      </c>
      <c r="D2848" s="1" t="n">
        <v>45429</v>
      </c>
      <c r="E2848" s="1" t="n">
        <v>46319</v>
      </c>
      <c r="F2848" t="inlineStr">
        <is>
          <t>DALARNAS LÄN</t>
        </is>
      </c>
      <c r="G2848" t="inlineStr">
        <is>
          <t>SMEDJEBACKEN</t>
        </is>
      </c>
      <c r="H2848" t="inlineStr">
        <is>
          <t>Sveaskog</t>
        </is>
      </c>
      <c r="I2848" t="n">
        <v>0.8</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20513-2023</t>
        </is>
      </c>
      <c r="B2849" t="inlineStr">
        <is>
          <t>avverkningsanmälan</t>
        </is>
      </c>
      <c r="C2849" t="inlineStr">
        <is>
          <t>Föryngringsavverkning</t>
        </is>
      </c>
      <c r="D2849" s="1" t="n">
        <v>45057</v>
      </c>
      <c r="E2849" s="1" t="n">
        <v>46319</v>
      </c>
      <c r="F2849" t="inlineStr">
        <is>
          <t>DALARNAS LÄN</t>
        </is>
      </c>
      <c r="G2849" t="inlineStr">
        <is>
          <t>GAGNEF</t>
        </is>
      </c>
      <c r="I2849" t="n">
        <v>0.7</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48837-2025</t>
        </is>
      </c>
      <c r="B2850" t="inlineStr">
        <is>
          <t>avverkningsanmälan</t>
        </is>
      </c>
      <c r="C2850" t="inlineStr">
        <is>
          <t>Föryngringsavverkning</t>
        </is>
      </c>
      <c r="D2850" s="1" t="n">
        <v>45937</v>
      </c>
      <c r="E2850" s="1" t="n">
        <v>46319</v>
      </c>
      <c r="F2850" t="inlineStr">
        <is>
          <t>DALARNAS LÄN</t>
        </is>
      </c>
      <c r="G2850" t="inlineStr">
        <is>
          <t>MALUNG-SÄLEN</t>
        </is>
      </c>
      <c r="H2850" t="inlineStr">
        <is>
          <t>Bergvik skog väst AB</t>
        </is>
      </c>
      <c r="I2850" t="n">
        <v>1.2</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48883-2025</t>
        </is>
      </c>
      <c r="B2851" t="inlineStr">
        <is>
          <t>avverkningsanmälan</t>
        </is>
      </c>
      <c r="C2851" t="inlineStr">
        <is>
          <t>Föryngringsavverkning</t>
        </is>
      </c>
      <c r="D2851" s="1" t="n">
        <v>45937</v>
      </c>
      <c r="E2851" s="1" t="n">
        <v>46319</v>
      </c>
      <c r="F2851" t="inlineStr">
        <is>
          <t>DALARNAS LÄN</t>
        </is>
      </c>
      <c r="G2851" t="inlineStr">
        <is>
          <t>RÄTTVIK</t>
        </is>
      </c>
      <c r="I2851" t="n">
        <v>3.4</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1723-2023</t>
        </is>
      </c>
      <c r="B2852" t="inlineStr">
        <is>
          <t>avverkningsanmälan</t>
        </is>
      </c>
      <c r="C2852" t="inlineStr">
        <is>
          <t>Föryngringsavverkning</t>
        </is>
      </c>
      <c r="D2852" s="1" t="n">
        <v>44938</v>
      </c>
      <c r="E2852" s="1" t="n">
        <v>46319</v>
      </c>
      <c r="F2852" t="inlineStr">
        <is>
          <t>DALARNAS LÄN</t>
        </is>
      </c>
      <c r="G2852" t="inlineStr">
        <is>
          <t>MALUNG-SÄLEN</t>
        </is>
      </c>
      <c r="I2852" t="n">
        <v>0.9</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61993-2021</t>
        </is>
      </c>
      <c r="B2853" t="inlineStr">
        <is>
          <t>avverkningsanmälan</t>
        </is>
      </c>
      <c r="C2853" t="inlineStr">
        <is>
          <t>Föryngringsavverkning</t>
        </is>
      </c>
      <c r="D2853" s="1" t="n">
        <v>44501</v>
      </c>
      <c r="E2853" s="1" t="n">
        <v>46319</v>
      </c>
      <c r="F2853" t="inlineStr">
        <is>
          <t>DALARNAS LÄN</t>
        </is>
      </c>
      <c r="G2853" t="inlineStr">
        <is>
          <t>MALUNG-SÄLEN</t>
        </is>
      </c>
      <c r="H2853" t="inlineStr">
        <is>
          <t>Allmännings- och besparingsskogar</t>
        </is>
      </c>
      <c r="I2853" t="n">
        <v>21</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68735-2021</t>
        </is>
      </c>
      <c r="B2854" t="inlineStr">
        <is>
          <t>avverkningsanmälan</t>
        </is>
      </c>
      <c r="C2854" t="inlineStr">
        <is>
          <t>Föryngringsavverkning</t>
        </is>
      </c>
      <c r="D2854" s="1" t="n">
        <v>44529</v>
      </c>
      <c r="E2854" s="1" t="n">
        <v>46319</v>
      </c>
      <c r="F2854" t="inlineStr">
        <is>
          <t>DALARNAS LÄN</t>
        </is>
      </c>
      <c r="G2854" t="inlineStr">
        <is>
          <t>BORLÄNGE</t>
        </is>
      </c>
      <c r="I2854" t="n">
        <v>3</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48908-2025</t>
        </is>
      </c>
      <c r="B2855" t="inlineStr">
        <is>
          <t>avverkningsanmälan</t>
        </is>
      </c>
      <c r="C2855" t="inlineStr">
        <is>
          <t>Föryngringsavverkning</t>
        </is>
      </c>
      <c r="D2855" s="1" t="n">
        <v>45937</v>
      </c>
      <c r="E2855" s="1" t="n">
        <v>46319</v>
      </c>
      <c r="F2855" t="inlineStr">
        <is>
          <t>DALARNAS LÄN</t>
        </is>
      </c>
      <c r="G2855" t="inlineStr">
        <is>
          <t>MALUNG-SÄLEN</t>
        </is>
      </c>
      <c r="H2855" t="inlineStr">
        <is>
          <t>Bergvik skog väst AB</t>
        </is>
      </c>
      <c r="I2855" t="n">
        <v>5.4</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48922-2025</t>
        </is>
      </c>
      <c r="B2856" t="inlineStr">
        <is>
          <t>avverkningsanmälan</t>
        </is>
      </c>
      <c r="C2856" t="inlineStr">
        <is>
          <t>Föryngringsavverkning</t>
        </is>
      </c>
      <c r="D2856" s="1" t="n">
        <v>45937</v>
      </c>
      <c r="E2856" s="1" t="n">
        <v>46319</v>
      </c>
      <c r="F2856" t="inlineStr">
        <is>
          <t>DALARNAS LÄN</t>
        </is>
      </c>
      <c r="G2856" t="inlineStr">
        <is>
          <t>LEKSAND</t>
        </is>
      </c>
      <c r="I2856" t="n">
        <v>1.3</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48929-2025</t>
        </is>
      </c>
      <c r="B2857" t="inlineStr">
        <is>
          <t>avverkningsanmälan</t>
        </is>
      </c>
      <c r="C2857" t="inlineStr">
        <is>
          <t>Föryngringsavverkning</t>
        </is>
      </c>
      <c r="D2857" s="1" t="n">
        <v>45937</v>
      </c>
      <c r="E2857" s="1" t="n">
        <v>46319</v>
      </c>
      <c r="F2857" t="inlineStr">
        <is>
          <t>DALARNAS LÄN</t>
        </is>
      </c>
      <c r="G2857" t="inlineStr">
        <is>
          <t>MORA</t>
        </is>
      </c>
      <c r="I2857" t="n">
        <v>0.5</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48840-2025</t>
        </is>
      </c>
      <c r="B2858" t="inlineStr">
        <is>
          <t>avverkningsanmälan</t>
        </is>
      </c>
      <c r="C2858" t="inlineStr">
        <is>
          <t>Avverkning för annat ändamål</t>
        </is>
      </c>
      <c r="D2858" s="1" t="n">
        <v>45937</v>
      </c>
      <c r="E2858" s="1" t="n">
        <v>46319</v>
      </c>
      <c r="F2858" t="inlineStr">
        <is>
          <t>DALARNAS LÄN</t>
        </is>
      </c>
      <c r="G2858" t="inlineStr">
        <is>
          <t>VANSBRO</t>
        </is>
      </c>
      <c r="I2858" t="n">
        <v>0.4</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7588-2023</t>
        </is>
      </c>
      <c r="B2859" t="inlineStr">
        <is>
          <t>avverkningsanmälan</t>
        </is>
      </c>
      <c r="C2859" t="inlineStr">
        <is>
          <t>Föryngringsavverkning</t>
        </is>
      </c>
      <c r="D2859" s="1" t="n">
        <v>44972</v>
      </c>
      <c r="E2859" s="1" t="n">
        <v>46319</v>
      </c>
      <c r="F2859" t="inlineStr">
        <is>
          <t>DALARNAS LÄN</t>
        </is>
      </c>
      <c r="G2859" t="inlineStr">
        <is>
          <t>BORLÄNGE</t>
        </is>
      </c>
      <c r="I2859" t="n">
        <v>1.3</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49076-2025</t>
        </is>
      </c>
      <c r="B2860" t="inlineStr">
        <is>
          <t>avverkningsanmälan</t>
        </is>
      </c>
      <c r="C2860" t="inlineStr">
        <is>
          <t>Föryngringsavverkning</t>
        </is>
      </c>
      <c r="D2860" s="1" t="n">
        <v>45937</v>
      </c>
      <c r="E2860" s="1" t="n">
        <v>46319</v>
      </c>
      <c r="F2860" t="inlineStr">
        <is>
          <t>DALARNAS LÄN</t>
        </is>
      </c>
      <c r="G2860" t="inlineStr">
        <is>
          <t>LEKSAND</t>
        </is>
      </c>
      <c r="I2860" t="n">
        <v>1</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10967-2023</t>
        </is>
      </c>
      <c r="B2861" t="inlineStr">
        <is>
          <t>avverkningsanmälan</t>
        </is>
      </c>
      <c r="C2861" t="inlineStr">
        <is>
          <t>Föryngringsavverkning</t>
        </is>
      </c>
      <c r="D2861" s="1" t="n">
        <v>44991</v>
      </c>
      <c r="E2861" s="1" t="n">
        <v>46319</v>
      </c>
      <c r="F2861" t="inlineStr">
        <is>
          <t>DALARNAS LÄN</t>
        </is>
      </c>
      <c r="G2861" t="inlineStr">
        <is>
          <t>LEKSAND</t>
        </is>
      </c>
      <c r="I2861" t="n">
        <v>0.5</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10974-2023</t>
        </is>
      </c>
      <c r="B2862" t="inlineStr">
        <is>
          <t>avverkningsanmälan</t>
        </is>
      </c>
      <c r="C2862" t="inlineStr">
        <is>
          <t>Föryngringsavverkning</t>
        </is>
      </c>
      <c r="D2862" s="1" t="n">
        <v>44991</v>
      </c>
      <c r="E2862" s="1" t="n">
        <v>46319</v>
      </c>
      <c r="F2862" t="inlineStr">
        <is>
          <t>DALARNAS LÄN</t>
        </is>
      </c>
      <c r="G2862" t="inlineStr">
        <is>
          <t>LEKSAND</t>
        </is>
      </c>
      <c r="I2862" t="n">
        <v>0.3</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48834-2025</t>
        </is>
      </c>
      <c r="B2863" t="inlineStr">
        <is>
          <t>avverkningsanmälan</t>
        </is>
      </c>
      <c r="C2863" t="inlineStr">
        <is>
          <t>Föryngringsavverkning</t>
        </is>
      </c>
      <c r="D2863" s="1" t="n">
        <v>45937</v>
      </c>
      <c r="E2863" s="1" t="n">
        <v>46319</v>
      </c>
      <c r="F2863" t="inlineStr">
        <is>
          <t>DALARNAS LÄN</t>
        </is>
      </c>
      <c r="G2863" t="inlineStr">
        <is>
          <t>MALUNG-SÄLEN</t>
        </is>
      </c>
      <c r="H2863" t="inlineStr">
        <is>
          <t>Bergvik skog väst AB</t>
        </is>
      </c>
      <c r="I2863" t="n">
        <v>2.5</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55022-2024</t>
        </is>
      </c>
      <c r="B2864" t="inlineStr">
        <is>
          <t>avverkningsanmälan</t>
        </is>
      </c>
      <c r="C2864" t="inlineStr">
        <is>
          <t>Föryngringsavverkning</t>
        </is>
      </c>
      <c r="D2864" s="1" t="n">
        <v>45618</v>
      </c>
      <c r="E2864" s="1" t="n">
        <v>46319</v>
      </c>
      <c r="F2864" t="inlineStr">
        <is>
          <t>DALARNAS LÄN</t>
        </is>
      </c>
      <c r="G2864" t="inlineStr">
        <is>
          <t>RÄTTVIK</t>
        </is>
      </c>
      <c r="I2864" t="n">
        <v>1.2</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17516-2024</t>
        </is>
      </c>
      <c r="B2865" t="inlineStr">
        <is>
          <t>avverkningsanmälan</t>
        </is>
      </c>
      <c r="C2865" t="inlineStr">
        <is>
          <t>Föryngringsavverkning</t>
        </is>
      </c>
      <c r="D2865" s="1" t="n">
        <v>45415</v>
      </c>
      <c r="E2865" s="1" t="n">
        <v>46319</v>
      </c>
      <c r="F2865" t="inlineStr">
        <is>
          <t>DALARNAS LÄN</t>
        </is>
      </c>
      <c r="G2865" t="inlineStr">
        <is>
          <t>MORA</t>
        </is>
      </c>
      <c r="I2865" t="n">
        <v>1.4</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49226-2025</t>
        </is>
      </c>
      <c r="B2866" t="inlineStr">
        <is>
          <t>avverkningsanmälan</t>
        </is>
      </c>
      <c r="C2866" t="inlineStr">
        <is>
          <t>Föryngringsavverkning</t>
        </is>
      </c>
      <c r="D2866" s="1" t="n">
        <v>45938</v>
      </c>
      <c r="E2866" s="1" t="n">
        <v>46319</v>
      </c>
      <c r="F2866" t="inlineStr">
        <is>
          <t>DALARNAS LÄN</t>
        </is>
      </c>
      <c r="G2866" t="inlineStr">
        <is>
          <t>GAGNEF</t>
        </is>
      </c>
      <c r="I2866" t="n">
        <v>1.4</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48944-2025</t>
        </is>
      </c>
      <c r="B2867" t="inlineStr">
        <is>
          <t>avverkningsanmälan</t>
        </is>
      </c>
      <c r="C2867" t="inlineStr">
        <is>
          <t>Föryngringsavverkning</t>
        </is>
      </c>
      <c r="D2867" s="1" t="n">
        <v>45937</v>
      </c>
      <c r="E2867" s="1" t="n">
        <v>46319</v>
      </c>
      <c r="F2867" t="inlineStr">
        <is>
          <t>DALARNAS LÄN</t>
        </is>
      </c>
      <c r="G2867" t="inlineStr">
        <is>
          <t>MALUNG-SÄLEN</t>
        </is>
      </c>
      <c r="H2867" t="inlineStr">
        <is>
          <t>Bergvik skog väst AB</t>
        </is>
      </c>
      <c r="I2867" t="n">
        <v>9.9</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57969-2024</t>
        </is>
      </c>
      <c r="B2868" t="inlineStr">
        <is>
          <t>avverkningsanmälan</t>
        </is>
      </c>
      <c r="C2868" t="inlineStr">
        <is>
          <t>Föryngringsavverkning</t>
        </is>
      </c>
      <c r="D2868" s="1" t="n">
        <v>45631</v>
      </c>
      <c r="E2868" s="1" t="n">
        <v>46319</v>
      </c>
      <c r="F2868" t="inlineStr">
        <is>
          <t>DALARNAS LÄN</t>
        </is>
      </c>
      <c r="G2868" t="inlineStr">
        <is>
          <t>LUDVIKA</t>
        </is>
      </c>
      <c r="H2868" t="inlineStr">
        <is>
          <t>Bergvik skog väst AB</t>
        </is>
      </c>
      <c r="I2868" t="n">
        <v>2.2</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571-2024</t>
        </is>
      </c>
      <c r="B2869" t="inlineStr">
        <is>
          <t>avverkningsanmälan</t>
        </is>
      </c>
      <c r="C2869" t="inlineStr">
        <is>
          <t>Föryngringsavverkning</t>
        </is>
      </c>
      <c r="D2869" s="1" t="n">
        <v>45299</v>
      </c>
      <c r="E2869" s="1" t="n">
        <v>46319</v>
      </c>
      <c r="F2869" t="inlineStr">
        <is>
          <t>DALARNAS LÄN</t>
        </is>
      </c>
      <c r="G2869" t="inlineStr">
        <is>
          <t>MORA</t>
        </is>
      </c>
      <c r="I2869" t="n">
        <v>3.3</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48957-2025</t>
        </is>
      </c>
      <c r="B2870" t="inlineStr">
        <is>
          <t>avverkningsanmälan</t>
        </is>
      </c>
      <c r="C2870" t="inlineStr">
        <is>
          <t>Föryngringsavverkning</t>
        </is>
      </c>
      <c r="D2870" s="1" t="n">
        <v>45937</v>
      </c>
      <c r="E2870" s="1" t="n">
        <v>46319</v>
      </c>
      <c r="F2870" t="inlineStr">
        <is>
          <t>DALARNAS LÄN</t>
        </is>
      </c>
      <c r="G2870" t="inlineStr">
        <is>
          <t>GAGNEF</t>
        </is>
      </c>
      <c r="I2870" t="n">
        <v>18</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41668-2023</t>
        </is>
      </c>
      <c r="B2871" t="inlineStr">
        <is>
          <t>avverkningsanmälan</t>
        </is>
      </c>
      <c r="C2871" t="inlineStr">
        <is>
          <t>Föryngringsavverkning</t>
        </is>
      </c>
      <c r="D2871" s="1" t="n">
        <v>45176</v>
      </c>
      <c r="E2871" s="1" t="n">
        <v>46319</v>
      </c>
      <c r="F2871" t="inlineStr">
        <is>
          <t>DALARNAS LÄN</t>
        </is>
      </c>
      <c r="G2871" t="inlineStr">
        <is>
          <t>LUDVIKA</t>
        </is>
      </c>
      <c r="I2871" t="n">
        <v>1.4</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7232-2025</t>
        </is>
      </c>
      <c r="B2872" t="inlineStr">
        <is>
          <t>avverkningsanmälan</t>
        </is>
      </c>
      <c r="C2872" t="inlineStr">
        <is>
          <t>Avverkning för annat ändamål</t>
        </is>
      </c>
      <c r="D2872" s="1" t="n">
        <v>45702</v>
      </c>
      <c r="E2872" s="1" t="n">
        <v>46319</v>
      </c>
      <c r="F2872" t="inlineStr">
        <is>
          <t>DALARNAS LÄN</t>
        </is>
      </c>
      <c r="G2872" t="inlineStr">
        <is>
          <t>ÄLVDALEN</t>
        </is>
      </c>
      <c r="H2872" t="inlineStr">
        <is>
          <t>Allmännings- och besparingsskogar</t>
        </is>
      </c>
      <c r="I2872" t="n">
        <v>1.4</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56393-2024</t>
        </is>
      </c>
      <c r="B2873" t="inlineStr">
        <is>
          <t>avverkningsanmälan</t>
        </is>
      </c>
      <c r="C2873" t="inlineStr">
        <is>
          <t>Föryngringsavverkning</t>
        </is>
      </c>
      <c r="D2873" s="1" t="n">
        <v>45625</v>
      </c>
      <c r="E2873" s="1" t="n">
        <v>46319</v>
      </c>
      <c r="F2873" t="inlineStr">
        <is>
          <t>DALARNAS LÄN</t>
        </is>
      </c>
      <c r="G2873" t="inlineStr">
        <is>
          <t>SMEDJEBACKEN</t>
        </is>
      </c>
      <c r="H2873" t="inlineStr">
        <is>
          <t>Sveaskog</t>
        </is>
      </c>
      <c r="I2873" t="n">
        <v>1.1</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49401-2025</t>
        </is>
      </c>
      <c r="B2874" t="inlineStr">
        <is>
          <t>avverkningsanmälan</t>
        </is>
      </c>
      <c r="C2874" t="inlineStr">
        <is>
          <t>Föryngringsavverkning</t>
        </is>
      </c>
      <c r="D2874" s="1" t="n">
        <v>45938</v>
      </c>
      <c r="E2874" s="1" t="n">
        <v>46319</v>
      </c>
      <c r="F2874" t="inlineStr">
        <is>
          <t>DALARNAS LÄN</t>
        </is>
      </c>
      <c r="G2874" t="inlineStr">
        <is>
          <t>MORA</t>
        </is>
      </c>
      <c r="H2874" t="inlineStr">
        <is>
          <t>Bergvik skog väst AB</t>
        </is>
      </c>
      <c r="I2874" t="n">
        <v>0.6</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51857-2022</t>
        </is>
      </c>
      <c r="B2875" t="inlineStr">
        <is>
          <t>avverkningsanmälan</t>
        </is>
      </c>
      <c r="C2875" t="inlineStr">
        <is>
          <t>Föryngringsavverkning</t>
        </is>
      </c>
      <c r="D2875" s="1" t="n">
        <v>44867</v>
      </c>
      <c r="E2875" s="1" t="n">
        <v>46319</v>
      </c>
      <c r="F2875" t="inlineStr">
        <is>
          <t>DALARNAS LÄN</t>
        </is>
      </c>
      <c r="G2875" t="inlineStr">
        <is>
          <t>LEKSAND</t>
        </is>
      </c>
      <c r="I2875" t="n">
        <v>1.2</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2443-2024</t>
        </is>
      </c>
      <c r="B2876" t="inlineStr">
        <is>
          <t>avverkningsanmälan</t>
        </is>
      </c>
      <c r="C2876" t="inlineStr">
        <is>
          <t>Föryngringsavverkning</t>
        </is>
      </c>
      <c r="D2876" s="1" t="n">
        <v>45311</v>
      </c>
      <c r="E2876" s="1" t="n">
        <v>46319</v>
      </c>
      <c r="F2876" t="inlineStr">
        <is>
          <t>DALARNAS LÄN</t>
        </is>
      </c>
      <c r="G2876" t="inlineStr">
        <is>
          <t>GAGNEF</t>
        </is>
      </c>
      <c r="I2876" t="n">
        <v>1.4</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15133-2024</t>
        </is>
      </c>
      <c r="B2877" t="inlineStr">
        <is>
          <t>avverkningsanmälan</t>
        </is>
      </c>
      <c r="C2877" t="inlineStr">
        <is>
          <t>Föryngringsavverkning</t>
        </is>
      </c>
      <c r="D2877" s="1" t="n">
        <v>45399</v>
      </c>
      <c r="E2877" s="1" t="n">
        <v>46319</v>
      </c>
      <c r="F2877" t="inlineStr">
        <is>
          <t>DALARNAS LÄN</t>
        </is>
      </c>
      <c r="G2877" t="inlineStr">
        <is>
          <t>RÄTTVIK</t>
        </is>
      </c>
      <c r="I2877" t="n">
        <v>4.5</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49229-2025</t>
        </is>
      </c>
      <c r="B2878" t="inlineStr">
        <is>
          <t>avverkningsanmälan</t>
        </is>
      </c>
      <c r="C2878" t="inlineStr">
        <is>
          <t>Föryngringsavverkning</t>
        </is>
      </c>
      <c r="D2878" s="1" t="n">
        <v>45938</v>
      </c>
      <c r="E2878" s="1" t="n">
        <v>46319</v>
      </c>
      <c r="F2878" t="inlineStr">
        <is>
          <t>DALARNAS LÄN</t>
        </is>
      </c>
      <c r="G2878" t="inlineStr">
        <is>
          <t>GAGNEF</t>
        </is>
      </c>
      <c r="I2878" t="n">
        <v>1.1</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49099-2025</t>
        </is>
      </c>
      <c r="B2879" t="inlineStr">
        <is>
          <t>avverkningsanmälan</t>
        </is>
      </c>
      <c r="C2879" t="inlineStr">
        <is>
          <t>Föryngringsavverkning</t>
        </is>
      </c>
      <c r="D2879" s="1" t="n">
        <v>45937</v>
      </c>
      <c r="E2879" s="1" t="n">
        <v>46319</v>
      </c>
      <c r="F2879" t="inlineStr">
        <is>
          <t>DALARNAS LÄN</t>
        </is>
      </c>
      <c r="G2879" t="inlineStr">
        <is>
          <t>AVESTA</t>
        </is>
      </c>
      <c r="I2879" t="n">
        <v>1</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16392-2024</t>
        </is>
      </c>
      <c r="B2880" t="inlineStr">
        <is>
          <t>avverkningsanmälan</t>
        </is>
      </c>
      <c r="C2880" t="inlineStr">
        <is>
          <t>Föryngringsavverkning</t>
        </is>
      </c>
      <c r="D2880" s="1" t="n">
        <v>45407</v>
      </c>
      <c r="E2880" s="1" t="n">
        <v>46319</v>
      </c>
      <c r="F2880" t="inlineStr">
        <is>
          <t>DALARNAS LÄN</t>
        </is>
      </c>
      <c r="G2880" t="inlineStr">
        <is>
          <t>ORSA</t>
        </is>
      </c>
      <c r="I2880" t="n">
        <v>3.4</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48980-2025</t>
        </is>
      </c>
      <c r="B2881" t="inlineStr">
        <is>
          <t>avverkningsanmälan</t>
        </is>
      </c>
      <c r="C2881" t="inlineStr">
        <is>
          <t>Föryngringsavverkning</t>
        </is>
      </c>
      <c r="D2881" s="1" t="n">
        <v>45937</v>
      </c>
      <c r="E2881" s="1" t="n">
        <v>46319</v>
      </c>
      <c r="F2881" t="inlineStr">
        <is>
          <t>DALARNAS LÄN</t>
        </is>
      </c>
      <c r="G2881" t="inlineStr">
        <is>
          <t>RÄTTVIK</t>
        </is>
      </c>
      <c r="H2881" t="inlineStr">
        <is>
          <t>Bergvik skog väst AB</t>
        </is>
      </c>
      <c r="I2881" t="n">
        <v>12.5</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54440-2022</t>
        </is>
      </c>
      <c r="B2882" t="inlineStr">
        <is>
          <t>avverkningsanmälan</t>
        </is>
      </c>
      <c r="C2882" t="inlineStr">
        <is>
          <t>Föryngringsavverkning</t>
        </is>
      </c>
      <c r="D2882" s="1" t="n">
        <v>44882</v>
      </c>
      <c r="E2882" s="1" t="n">
        <v>46319</v>
      </c>
      <c r="F2882" t="inlineStr">
        <is>
          <t>DALARNAS LÄN</t>
        </is>
      </c>
      <c r="G2882" t="inlineStr">
        <is>
          <t>SÄTER</t>
        </is>
      </c>
      <c r="H2882" t="inlineStr">
        <is>
          <t>Bergvik skog väst AB</t>
        </is>
      </c>
      <c r="I2882" t="n">
        <v>0.9</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48862-2025</t>
        </is>
      </c>
      <c r="B2883" t="inlineStr">
        <is>
          <t>avverkningsanmälan</t>
        </is>
      </c>
      <c r="C2883" t="inlineStr">
        <is>
          <t>Föryngringsavverkning</t>
        </is>
      </c>
      <c r="D2883" s="1" t="n">
        <v>45937</v>
      </c>
      <c r="E2883" s="1" t="n">
        <v>46319</v>
      </c>
      <c r="F2883" t="inlineStr">
        <is>
          <t>DALARNAS LÄN</t>
        </is>
      </c>
      <c r="G2883" t="inlineStr">
        <is>
          <t>SÄTER</t>
        </is>
      </c>
      <c r="I2883" t="n">
        <v>5.8</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48781-2025</t>
        </is>
      </c>
      <c r="B2884" t="inlineStr">
        <is>
          <t>avverkningsanmälan</t>
        </is>
      </c>
      <c r="C2884" t="inlineStr">
        <is>
          <t>Föryngringsavverkning</t>
        </is>
      </c>
      <c r="D2884" s="1" t="n">
        <v>45937</v>
      </c>
      <c r="E2884" s="1" t="n">
        <v>46319</v>
      </c>
      <c r="F2884" t="inlineStr">
        <is>
          <t>DALARNAS LÄN</t>
        </is>
      </c>
      <c r="G2884" t="inlineStr">
        <is>
          <t>MALUNG-SÄLEN</t>
        </is>
      </c>
      <c r="I2884" t="n">
        <v>14.9</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24985-2026</t>
        </is>
      </c>
      <c r="B2885" t="inlineStr">
        <is>
          <t>avverkningsanmälan</t>
        </is>
      </c>
      <c r="C2885" t="inlineStr">
        <is>
          <t>Föryngringsavverkning</t>
        </is>
      </c>
      <c r="D2885" s="1" t="n">
        <v>46174</v>
      </c>
      <c r="E2885" s="1" t="n">
        <v>46319</v>
      </c>
      <c r="F2885" t="inlineStr">
        <is>
          <t>DALARNAS LÄN</t>
        </is>
      </c>
      <c r="G2885" t="inlineStr">
        <is>
          <t>MALUNG-SÄLEN</t>
        </is>
      </c>
      <c r="I2885" t="n">
        <v>0.9</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48866-2025</t>
        </is>
      </c>
      <c r="B2886" t="inlineStr">
        <is>
          <t>avverkningsanmälan</t>
        </is>
      </c>
      <c r="C2886" t="inlineStr">
        <is>
          <t>Föryngringsavverkning</t>
        </is>
      </c>
      <c r="D2886" s="1" t="n">
        <v>45937</v>
      </c>
      <c r="E2886" s="1" t="n">
        <v>46319</v>
      </c>
      <c r="F2886" t="inlineStr">
        <is>
          <t>DALARNAS LÄN</t>
        </is>
      </c>
      <c r="G2886" t="inlineStr">
        <is>
          <t>FALUN</t>
        </is>
      </c>
      <c r="I2886" t="n">
        <v>4.9</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5925-2026</t>
        </is>
      </c>
      <c r="B2887" t="inlineStr">
        <is>
          <t>avverkningsanmälan</t>
        </is>
      </c>
      <c r="C2887" t="inlineStr">
        <is>
          <t>Föryngringsavverkning</t>
        </is>
      </c>
      <c r="D2887" s="1" t="n">
        <v>46052</v>
      </c>
      <c r="E2887" s="1" t="n">
        <v>46319</v>
      </c>
      <c r="F2887" t="inlineStr">
        <is>
          <t>DALARNAS LÄN</t>
        </is>
      </c>
      <c r="G2887" t="inlineStr">
        <is>
          <t>ÄLVDALEN</t>
        </is>
      </c>
      <c r="I2887" t="n">
        <v>1.7</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49095-2025</t>
        </is>
      </c>
      <c r="B2888" t="inlineStr">
        <is>
          <t>avverkningsanmälan</t>
        </is>
      </c>
      <c r="C2888" t="inlineStr">
        <is>
          <t>Föryngringsavverkning</t>
        </is>
      </c>
      <c r="D2888" s="1" t="n">
        <v>45937</v>
      </c>
      <c r="E2888" s="1" t="n">
        <v>46319</v>
      </c>
      <c r="F2888" t="inlineStr">
        <is>
          <t>DALARNAS LÄN</t>
        </is>
      </c>
      <c r="G2888" t="inlineStr">
        <is>
          <t>AVESTA</t>
        </is>
      </c>
      <c r="I2888" t="n">
        <v>1.1</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886-2026</t>
        </is>
      </c>
      <c r="B2889" t="inlineStr">
        <is>
          <t>avverkningsanmälan</t>
        </is>
      </c>
      <c r="C2889" t="inlineStr">
        <is>
          <t>Föryngringsavverkning</t>
        </is>
      </c>
      <c r="D2889" s="1" t="n">
        <v>46030</v>
      </c>
      <c r="E2889" s="1" t="n">
        <v>46319</v>
      </c>
      <c r="F2889" t="inlineStr">
        <is>
          <t>DALARNAS LÄN</t>
        </is>
      </c>
      <c r="G2889" t="inlineStr">
        <is>
          <t>HEDEMORA</t>
        </is>
      </c>
      <c r="I2889" t="n">
        <v>0.8</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49134-2025</t>
        </is>
      </c>
      <c r="B2890" t="inlineStr">
        <is>
          <t>avverkningsanmälan</t>
        </is>
      </c>
      <c r="C2890" t="inlineStr">
        <is>
          <t>Föryngringsavverkning</t>
        </is>
      </c>
      <c r="D2890" s="1" t="n">
        <v>45937</v>
      </c>
      <c r="E2890" s="1" t="n">
        <v>46319</v>
      </c>
      <c r="F2890" t="inlineStr">
        <is>
          <t>DALARNAS LÄN</t>
        </is>
      </c>
      <c r="G2890" t="inlineStr">
        <is>
          <t>FALUN</t>
        </is>
      </c>
      <c r="I2890" t="n">
        <v>2.3</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49150-2025</t>
        </is>
      </c>
      <c r="B2891" t="inlineStr">
        <is>
          <t>avverkningsanmälan</t>
        </is>
      </c>
      <c r="C2891" t="inlineStr">
        <is>
          <t>Föryngringsavverkning</t>
        </is>
      </c>
      <c r="D2891" s="1" t="n">
        <v>45938</v>
      </c>
      <c r="E2891" s="1" t="n">
        <v>46319</v>
      </c>
      <c r="F2891" t="inlineStr">
        <is>
          <t>DALARNAS LÄN</t>
        </is>
      </c>
      <c r="G2891" t="inlineStr">
        <is>
          <t>FALUN</t>
        </is>
      </c>
      <c r="I2891" t="n">
        <v>1</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25193-2026</t>
        </is>
      </c>
      <c r="B2892" t="inlineStr">
        <is>
          <t>avverkningsanmälan</t>
        </is>
      </c>
      <c r="C2892" t="inlineStr">
        <is>
          <t>Föryngringsavverkning</t>
        </is>
      </c>
      <c r="D2892" s="1" t="n">
        <v>46175</v>
      </c>
      <c r="E2892" s="1" t="n">
        <v>46319</v>
      </c>
      <c r="F2892" t="inlineStr">
        <is>
          <t>DALARNAS LÄN</t>
        </is>
      </c>
      <c r="G2892" t="inlineStr">
        <is>
          <t>LUDVIKA</t>
        </is>
      </c>
      <c r="I2892" t="n">
        <v>2.8</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48926-2025</t>
        </is>
      </c>
      <c r="B2893" t="inlineStr">
        <is>
          <t>avverkningsanmälan</t>
        </is>
      </c>
      <c r="C2893" t="inlineStr">
        <is>
          <t>Föryngringsavverkning</t>
        </is>
      </c>
      <c r="D2893" s="1" t="n">
        <v>45937</v>
      </c>
      <c r="E2893" s="1" t="n">
        <v>46319</v>
      </c>
      <c r="F2893" t="inlineStr">
        <is>
          <t>DALARNAS LÄN</t>
        </is>
      </c>
      <c r="G2893" t="inlineStr">
        <is>
          <t>MORA</t>
        </is>
      </c>
      <c r="I2893" t="n">
        <v>0.6</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25217-2026</t>
        </is>
      </c>
      <c r="B2894" t="inlineStr">
        <is>
          <t>avverkningsanmälan</t>
        </is>
      </c>
      <c r="C2894" t="inlineStr">
        <is>
          <t>Föryngringsavverkning</t>
        </is>
      </c>
      <c r="D2894" s="1" t="n">
        <v>46175</v>
      </c>
      <c r="E2894" s="1" t="n">
        <v>46319</v>
      </c>
      <c r="F2894" t="inlineStr">
        <is>
          <t>DALARNAS LÄN</t>
        </is>
      </c>
      <c r="G2894" t="inlineStr">
        <is>
          <t>FALUN</t>
        </is>
      </c>
      <c r="I2894" t="n">
        <v>5</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25032-2026</t>
        </is>
      </c>
      <c r="B2895" t="inlineStr">
        <is>
          <t>avverkningsanmälan</t>
        </is>
      </c>
      <c r="C2895" t="inlineStr">
        <is>
          <t>Föryngringsavverkning</t>
        </is>
      </c>
      <c r="D2895" s="1" t="n">
        <v>46174</v>
      </c>
      <c r="E2895" s="1" t="n">
        <v>46319</v>
      </c>
      <c r="F2895" t="inlineStr">
        <is>
          <t>DALARNAS LÄN</t>
        </is>
      </c>
      <c r="G2895" t="inlineStr">
        <is>
          <t>FALUN</t>
        </is>
      </c>
      <c r="H2895" t="inlineStr">
        <is>
          <t>Bergvik skog väst AB</t>
        </is>
      </c>
      <c r="I2895" t="n">
        <v>4.7</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25087-2026</t>
        </is>
      </c>
      <c r="B2896" t="inlineStr">
        <is>
          <t>avverkningsanmälan</t>
        </is>
      </c>
      <c r="C2896" t="inlineStr">
        <is>
          <t>Föryngringsavverkning</t>
        </is>
      </c>
      <c r="D2896" s="1" t="n">
        <v>46175</v>
      </c>
      <c r="E2896" s="1" t="n">
        <v>46319</v>
      </c>
      <c r="F2896" t="inlineStr">
        <is>
          <t>DALARNAS LÄN</t>
        </is>
      </c>
      <c r="G2896" t="inlineStr">
        <is>
          <t>RÄTTVIK</t>
        </is>
      </c>
      <c r="I2896" t="n">
        <v>1.3</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25088-2026</t>
        </is>
      </c>
      <c r="B2897" t="inlineStr">
        <is>
          <t>avverkningsanmälan</t>
        </is>
      </c>
      <c r="C2897" t="inlineStr">
        <is>
          <t>Föryngringsavverkning</t>
        </is>
      </c>
      <c r="D2897" s="1" t="n">
        <v>46175</v>
      </c>
      <c r="E2897" s="1" t="n">
        <v>46319</v>
      </c>
      <c r="F2897" t="inlineStr">
        <is>
          <t>DALARNAS LÄN</t>
        </is>
      </c>
      <c r="G2897" t="inlineStr">
        <is>
          <t>RÄTTVIK</t>
        </is>
      </c>
      <c r="I2897" t="n">
        <v>1.1</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49677-2025</t>
        </is>
      </c>
      <c r="B2898" t="inlineStr">
        <is>
          <t>avverkningsanmälan</t>
        </is>
      </c>
      <c r="C2898" t="inlineStr">
        <is>
          <t>Föryngringsavverkning</t>
        </is>
      </c>
      <c r="D2898" s="1" t="n">
        <v>45939</v>
      </c>
      <c r="E2898" s="1" t="n">
        <v>46319</v>
      </c>
      <c r="F2898" t="inlineStr">
        <is>
          <t>DALARNAS LÄN</t>
        </is>
      </c>
      <c r="G2898" t="inlineStr">
        <is>
          <t>VANSBRO</t>
        </is>
      </c>
      <c r="I2898" t="n">
        <v>0.9</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49877-2025</t>
        </is>
      </c>
      <c r="B2899" t="inlineStr">
        <is>
          <t>avverkningsanmälan</t>
        </is>
      </c>
      <c r="C2899" t="inlineStr">
        <is>
          <t>Föryngringsavverkning</t>
        </is>
      </c>
      <c r="D2899" s="1" t="n">
        <v>45940</v>
      </c>
      <c r="E2899" s="1" t="n">
        <v>46319</v>
      </c>
      <c r="F2899" t="inlineStr">
        <is>
          <t>DALARNAS LÄN</t>
        </is>
      </c>
      <c r="G2899" t="inlineStr">
        <is>
          <t>FALUN</t>
        </is>
      </c>
      <c r="I2899" t="n">
        <v>1.2</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54965-2022</t>
        </is>
      </c>
      <c r="B2900" t="inlineStr">
        <is>
          <t>avverkningsanmälan</t>
        </is>
      </c>
      <c r="C2900" t="inlineStr">
        <is>
          <t>Föryngringsavverkning</t>
        </is>
      </c>
      <c r="D2900" s="1" t="n">
        <v>44886</v>
      </c>
      <c r="E2900" s="1" t="n">
        <v>46319</v>
      </c>
      <c r="F2900" t="inlineStr">
        <is>
          <t>DALARNAS LÄN</t>
        </is>
      </c>
      <c r="G2900" t="inlineStr">
        <is>
          <t>SMEDJEBACKEN</t>
        </is>
      </c>
      <c r="H2900" t="inlineStr">
        <is>
          <t>Sveaskog</t>
        </is>
      </c>
      <c r="I2900" t="n">
        <v>1.3</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50056-2022</t>
        </is>
      </c>
      <c r="B2901" t="inlineStr">
        <is>
          <t>avverkningsanmälan</t>
        </is>
      </c>
      <c r="C2901" t="inlineStr">
        <is>
          <t>Föryngringsavverkning</t>
        </is>
      </c>
      <c r="D2901" s="1" t="n">
        <v>44865</v>
      </c>
      <c r="E2901" s="1" t="n">
        <v>46319</v>
      </c>
      <c r="F2901" t="inlineStr">
        <is>
          <t>DALARNAS LÄN</t>
        </is>
      </c>
      <c r="G2901" t="inlineStr">
        <is>
          <t>MORA</t>
        </is>
      </c>
      <c r="I2901" t="n">
        <v>1.2</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49599-2025</t>
        </is>
      </c>
      <c r="B2902" t="inlineStr">
        <is>
          <t>avverkningsanmälan</t>
        </is>
      </c>
      <c r="C2902" t="inlineStr">
        <is>
          <t>Föryngringsavverkning</t>
        </is>
      </c>
      <c r="D2902" s="1" t="n">
        <v>45939</v>
      </c>
      <c r="E2902" s="1" t="n">
        <v>46319</v>
      </c>
      <c r="F2902" t="inlineStr">
        <is>
          <t>DALARNAS LÄN</t>
        </is>
      </c>
      <c r="G2902" t="inlineStr">
        <is>
          <t>SÄTER</t>
        </is>
      </c>
      <c r="I2902" t="n">
        <v>0.6</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24955-2026</t>
        </is>
      </c>
      <c r="B2903" t="inlineStr">
        <is>
          <t>avverkningsanmälan</t>
        </is>
      </c>
      <c r="C2903" t="inlineStr">
        <is>
          <t>Föryngringsavverkning</t>
        </is>
      </c>
      <c r="D2903" s="1" t="n">
        <v>46174</v>
      </c>
      <c r="E2903" s="1" t="n">
        <v>46319</v>
      </c>
      <c r="F2903" t="inlineStr">
        <is>
          <t>DALARNAS LÄN</t>
        </is>
      </c>
      <c r="G2903" t="inlineStr">
        <is>
          <t>HEDEMORA</t>
        </is>
      </c>
      <c r="H2903" t="inlineStr">
        <is>
          <t>Sveaskog</t>
        </is>
      </c>
      <c r="I2903" t="n">
        <v>2.7</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49891-2025</t>
        </is>
      </c>
      <c r="B2904" t="inlineStr">
        <is>
          <t>avverkningsanmälan</t>
        </is>
      </c>
      <c r="C2904" t="inlineStr">
        <is>
          <t>Föryngringsavverkning</t>
        </is>
      </c>
      <c r="D2904" s="1" t="n">
        <v>45940</v>
      </c>
      <c r="E2904" s="1" t="n">
        <v>46319</v>
      </c>
      <c r="F2904" t="inlineStr">
        <is>
          <t>DALARNAS LÄN</t>
        </is>
      </c>
      <c r="G2904" t="inlineStr">
        <is>
          <t>FALUN</t>
        </is>
      </c>
      <c r="I2904" t="n">
        <v>1.1</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25053-2026</t>
        </is>
      </c>
      <c r="B2905" t="inlineStr">
        <is>
          <t>avverkningsanmälan</t>
        </is>
      </c>
      <c r="C2905" t="inlineStr">
        <is>
          <t>Föryngringsavverkning</t>
        </is>
      </c>
      <c r="D2905" s="1" t="n">
        <v>46174</v>
      </c>
      <c r="E2905" s="1" t="n">
        <v>46319</v>
      </c>
      <c r="F2905" t="inlineStr">
        <is>
          <t>DALARNAS LÄN</t>
        </is>
      </c>
      <c r="G2905" t="inlineStr">
        <is>
          <t>ÄLVDALEN</t>
        </is>
      </c>
      <c r="I2905" t="n">
        <v>0.9</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25056-2026</t>
        </is>
      </c>
      <c r="B2906" t="inlineStr">
        <is>
          <t>avverkningsanmälan</t>
        </is>
      </c>
      <c r="C2906" t="inlineStr">
        <is>
          <t>Föryngringsavverkning</t>
        </is>
      </c>
      <c r="D2906" s="1" t="n">
        <v>46174</v>
      </c>
      <c r="E2906" s="1" t="n">
        <v>46319</v>
      </c>
      <c r="F2906" t="inlineStr">
        <is>
          <t>DALARNAS LÄN</t>
        </is>
      </c>
      <c r="G2906" t="inlineStr">
        <is>
          <t>ÄLVDALEN</t>
        </is>
      </c>
      <c r="I2906" t="n">
        <v>1</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20411-2023</t>
        </is>
      </c>
      <c r="B2907" t="inlineStr">
        <is>
          <t>avverkningsanmälan</t>
        </is>
      </c>
      <c r="C2907" t="inlineStr">
        <is>
          <t>Föryngringsavverkning</t>
        </is>
      </c>
      <c r="D2907" s="1" t="n">
        <v>45056</v>
      </c>
      <c r="E2907" s="1" t="n">
        <v>46319</v>
      </c>
      <c r="F2907" t="inlineStr">
        <is>
          <t>DALARNAS LÄN</t>
        </is>
      </c>
      <c r="G2907" t="inlineStr">
        <is>
          <t>LUDVIKA</t>
        </is>
      </c>
      <c r="H2907" t="inlineStr">
        <is>
          <t>Bergvik skog väst AB</t>
        </is>
      </c>
      <c r="I2907" t="n">
        <v>1.9</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24959-2026</t>
        </is>
      </c>
      <c r="B2908" t="inlineStr">
        <is>
          <t>avverkningsanmälan</t>
        </is>
      </c>
      <c r="C2908" t="inlineStr">
        <is>
          <t>Föryngringsavverkning</t>
        </is>
      </c>
      <c r="D2908" s="1" t="n">
        <v>46174</v>
      </c>
      <c r="E2908" s="1" t="n">
        <v>46319</v>
      </c>
      <c r="F2908" t="inlineStr">
        <is>
          <t>DALARNAS LÄN</t>
        </is>
      </c>
      <c r="G2908" t="inlineStr">
        <is>
          <t>HEDEMORA</t>
        </is>
      </c>
      <c r="H2908" t="inlineStr">
        <is>
          <t>Sveaskog</t>
        </is>
      </c>
      <c r="I2908" t="n">
        <v>6.7</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49679-2025</t>
        </is>
      </c>
      <c r="B2909" t="inlineStr">
        <is>
          <t>avverkningsanmälan</t>
        </is>
      </c>
      <c r="C2909" t="inlineStr">
        <is>
          <t>Föryngringsavverkning</t>
        </is>
      </c>
      <c r="D2909" s="1" t="n">
        <v>45939</v>
      </c>
      <c r="E2909" s="1" t="n">
        <v>46319</v>
      </c>
      <c r="F2909" t="inlineStr">
        <is>
          <t>DALARNAS LÄN</t>
        </is>
      </c>
      <c r="G2909" t="inlineStr">
        <is>
          <t>VANSBRO</t>
        </is>
      </c>
      <c r="I2909" t="n">
        <v>1.2</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49467-2025</t>
        </is>
      </c>
      <c r="B2910" t="inlineStr">
        <is>
          <t>avverkningsanmälan</t>
        </is>
      </c>
      <c r="C2910" t="inlineStr">
        <is>
          <t>Föryngringsavverkning</t>
        </is>
      </c>
      <c r="D2910" s="1" t="n">
        <v>45939</v>
      </c>
      <c r="E2910" s="1" t="n">
        <v>46319</v>
      </c>
      <c r="F2910" t="inlineStr">
        <is>
          <t>DALARNAS LÄN</t>
        </is>
      </c>
      <c r="G2910" t="inlineStr">
        <is>
          <t>RÄTTVIK</t>
        </is>
      </c>
      <c r="I2910" t="n">
        <v>2.2</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25858-2026</t>
        </is>
      </c>
      <c r="B2911" t="inlineStr">
        <is>
          <t>avverkningsanmälan</t>
        </is>
      </c>
      <c r="C2911" t="inlineStr">
        <is>
          <t>Föryngringsavverkning</t>
        </is>
      </c>
      <c r="D2911" s="1" t="n">
        <v>46176</v>
      </c>
      <c r="E2911" s="1" t="n">
        <v>46319</v>
      </c>
      <c r="F2911" t="inlineStr">
        <is>
          <t>DALARNAS LÄN</t>
        </is>
      </c>
      <c r="G2911" t="inlineStr">
        <is>
          <t>SMEDJEBACKEN</t>
        </is>
      </c>
      <c r="H2911" t="inlineStr">
        <is>
          <t>Övriga Aktiebolag</t>
        </is>
      </c>
      <c r="I2911" t="n">
        <v>6.9</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49655-2025</t>
        </is>
      </c>
      <c r="B2912" t="inlineStr">
        <is>
          <t>avverkningsanmälan</t>
        </is>
      </c>
      <c r="C2912" t="inlineStr">
        <is>
          <t>Föryngringsavverkning</t>
        </is>
      </c>
      <c r="D2912" s="1" t="n">
        <v>45939</v>
      </c>
      <c r="E2912" s="1" t="n">
        <v>46319</v>
      </c>
      <c r="F2912" t="inlineStr">
        <is>
          <t>DALARNAS LÄN</t>
        </is>
      </c>
      <c r="G2912" t="inlineStr">
        <is>
          <t>MALUNG-SÄLEN</t>
        </is>
      </c>
      <c r="H2912" t="inlineStr">
        <is>
          <t>Bergvik skog öst AB</t>
        </is>
      </c>
      <c r="I2912" t="n">
        <v>1.4</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49723-2025</t>
        </is>
      </c>
      <c r="B2913" t="inlineStr">
        <is>
          <t>avverkningsanmälan</t>
        </is>
      </c>
      <c r="C2913" t="inlineStr">
        <is>
          <t>Föryngringsavverkning</t>
        </is>
      </c>
      <c r="D2913" s="1" t="n">
        <v>45939</v>
      </c>
      <c r="E2913" s="1" t="n">
        <v>46319</v>
      </c>
      <c r="F2913" t="inlineStr">
        <is>
          <t>DALARNAS LÄN</t>
        </is>
      </c>
      <c r="G2913" t="inlineStr">
        <is>
          <t>RÄTTVIK</t>
        </is>
      </c>
      <c r="I2913" t="n">
        <v>0.6</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18294-2023</t>
        </is>
      </c>
      <c r="B2914" t="inlineStr">
        <is>
          <t>avverkningsanmälan</t>
        </is>
      </c>
      <c r="C2914" t="inlineStr">
        <is>
          <t>Föryngringsavverkning</t>
        </is>
      </c>
      <c r="D2914" s="1" t="n">
        <v>45041</v>
      </c>
      <c r="E2914" s="1" t="n">
        <v>46319</v>
      </c>
      <c r="F2914" t="inlineStr">
        <is>
          <t>DALARNAS LÄN</t>
        </is>
      </c>
      <c r="G2914" t="inlineStr">
        <is>
          <t>SMEDJEBACKEN</t>
        </is>
      </c>
      <c r="I2914" t="n">
        <v>0.7</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49954-2025</t>
        </is>
      </c>
      <c r="B2915" t="inlineStr">
        <is>
          <t>avverkningsanmälan</t>
        </is>
      </c>
      <c r="C2915" t="inlineStr">
        <is>
          <t>Föryngringsavverkning</t>
        </is>
      </c>
      <c r="D2915" s="1" t="n">
        <v>45940</v>
      </c>
      <c r="E2915" s="1" t="n">
        <v>46319</v>
      </c>
      <c r="F2915" t="inlineStr">
        <is>
          <t>DALARNAS LÄN</t>
        </is>
      </c>
      <c r="G2915" t="inlineStr">
        <is>
          <t>RÄTTVIK</t>
        </is>
      </c>
      <c r="I2915" t="n">
        <v>1.4</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49479-2025</t>
        </is>
      </c>
      <c r="B2916" t="inlineStr">
        <is>
          <t>avverkningsanmälan</t>
        </is>
      </c>
      <c r="C2916" t="inlineStr">
        <is>
          <t>Föryngringsavverkning</t>
        </is>
      </c>
      <c r="D2916" s="1" t="n">
        <v>45939</v>
      </c>
      <c r="E2916" s="1" t="n">
        <v>46319</v>
      </c>
      <c r="F2916" t="inlineStr">
        <is>
          <t>DALARNAS LÄN</t>
        </is>
      </c>
      <c r="G2916" t="inlineStr">
        <is>
          <t>RÄTTVIK</t>
        </is>
      </c>
      <c r="I2916" t="n">
        <v>4.1</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49874-2025</t>
        </is>
      </c>
      <c r="B2917" t="inlineStr">
        <is>
          <t>avverkningsanmälan</t>
        </is>
      </c>
      <c r="C2917" t="inlineStr">
        <is>
          <t>Föryngringsavverkning</t>
        </is>
      </c>
      <c r="D2917" s="1" t="n">
        <v>45940</v>
      </c>
      <c r="E2917" s="1" t="n">
        <v>46319</v>
      </c>
      <c r="F2917" t="inlineStr">
        <is>
          <t>DALARNAS LÄN</t>
        </is>
      </c>
      <c r="G2917" t="inlineStr">
        <is>
          <t>LUDVIKA</t>
        </is>
      </c>
      <c r="H2917" t="inlineStr">
        <is>
          <t>Bergvik skog väst AB</t>
        </is>
      </c>
      <c r="I2917" t="n">
        <v>1.1</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49879-2025</t>
        </is>
      </c>
      <c r="B2918" t="inlineStr">
        <is>
          <t>avverkningsanmälan</t>
        </is>
      </c>
      <c r="C2918" t="inlineStr">
        <is>
          <t>Föryngringsavverkning</t>
        </is>
      </c>
      <c r="D2918" s="1" t="n">
        <v>45940</v>
      </c>
      <c r="E2918" s="1" t="n">
        <v>46319</v>
      </c>
      <c r="F2918" t="inlineStr">
        <is>
          <t>DALARNAS LÄN</t>
        </is>
      </c>
      <c r="G2918" t="inlineStr">
        <is>
          <t>LUDVIKA</t>
        </is>
      </c>
      <c r="H2918" t="inlineStr">
        <is>
          <t>Bergvik skog väst AB</t>
        </is>
      </c>
      <c r="I2918" t="n">
        <v>2.3</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49893-2025</t>
        </is>
      </c>
      <c r="B2919" t="inlineStr">
        <is>
          <t>avverkningsanmälan</t>
        </is>
      </c>
      <c r="C2919" t="inlineStr">
        <is>
          <t>Föryngringsavverkning</t>
        </is>
      </c>
      <c r="D2919" s="1" t="n">
        <v>45940</v>
      </c>
      <c r="E2919" s="1" t="n">
        <v>46319</v>
      </c>
      <c r="F2919" t="inlineStr">
        <is>
          <t>DALARNAS LÄN</t>
        </is>
      </c>
      <c r="G2919" t="inlineStr">
        <is>
          <t>LUDVIKA</t>
        </is>
      </c>
      <c r="H2919" t="inlineStr">
        <is>
          <t>Bergvik skog väst AB</t>
        </is>
      </c>
      <c r="I2919" t="n">
        <v>4</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25195-2026</t>
        </is>
      </c>
      <c r="B2920" t="inlineStr">
        <is>
          <t>avverkningsanmälan</t>
        </is>
      </c>
      <c r="C2920" t="inlineStr">
        <is>
          <t>Föryngringsavverkning</t>
        </is>
      </c>
      <c r="D2920" s="1" t="n">
        <v>46175</v>
      </c>
      <c r="E2920" s="1" t="n">
        <v>46319</v>
      </c>
      <c r="F2920" t="inlineStr">
        <is>
          <t>DALARNAS LÄN</t>
        </is>
      </c>
      <c r="G2920" t="inlineStr">
        <is>
          <t>AVESTA</t>
        </is>
      </c>
      <c r="I2920" t="n">
        <v>19.2</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49956-2025</t>
        </is>
      </c>
      <c r="B2921" t="inlineStr">
        <is>
          <t>avverkningsanmälan</t>
        </is>
      </c>
      <c r="C2921" t="inlineStr">
        <is>
          <t>Föryngringsavverkning</t>
        </is>
      </c>
      <c r="D2921" s="1" t="n">
        <v>45940</v>
      </c>
      <c r="E2921" s="1" t="n">
        <v>46319</v>
      </c>
      <c r="F2921" t="inlineStr">
        <is>
          <t>DALARNAS LÄN</t>
        </is>
      </c>
      <c r="G2921" t="inlineStr">
        <is>
          <t>RÄTTVIK</t>
        </is>
      </c>
      <c r="I2921" t="n">
        <v>2</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49205-2025</t>
        </is>
      </c>
      <c r="B2922" t="inlineStr">
        <is>
          <t>avverkningsanmälan</t>
        </is>
      </c>
      <c r="C2922" t="inlineStr">
        <is>
          <t>Föryngringsavverkning</t>
        </is>
      </c>
      <c r="D2922" s="1" t="n">
        <v>45938</v>
      </c>
      <c r="E2922" s="1" t="n">
        <v>46319</v>
      </c>
      <c r="F2922" t="inlineStr">
        <is>
          <t>DALARNAS LÄN</t>
        </is>
      </c>
      <c r="G2922" t="inlineStr">
        <is>
          <t>SMEDJEBACKEN</t>
        </is>
      </c>
      <c r="I2922" t="n">
        <v>1.9</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49673-2025</t>
        </is>
      </c>
      <c r="B2923" t="inlineStr">
        <is>
          <t>avverkningsanmälan</t>
        </is>
      </c>
      <c r="C2923" t="inlineStr">
        <is>
          <t>Föryngringsavverkning</t>
        </is>
      </c>
      <c r="D2923" s="1" t="n">
        <v>45939</v>
      </c>
      <c r="E2923" s="1" t="n">
        <v>46319</v>
      </c>
      <c r="F2923" t="inlineStr">
        <is>
          <t>DALARNAS LÄN</t>
        </is>
      </c>
      <c r="G2923" t="inlineStr">
        <is>
          <t>VANSBRO</t>
        </is>
      </c>
      <c r="I2923" t="n">
        <v>2.8</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37328-2023</t>
        </is>
      </c>
      <c r="B2924" t="inlineStr">
        <is>
          <t>avverkningsanmälan</t>
        </is>
      </c>
      <c r="C2924" t="inlineStr">
        <is>
          <t>Föryngringsavverkning</t>
        </is>
      </c>
      <c r="D2924" s="1" t="n">
        <v>45155</v>
      </c>
      <c r="E2924" s="1" t="n">
        <v>46319</v>
      </c>
      <c r="F2924" t="inlineStr">
        <is>
          <t>DALARNAS LÄN</t>
        </is>
      </c>
      <c r="G2924" t="inlineStr">
        <is>
          <t>RÄTTVIK</t>
        </is>
      </c>
      <c r="I2924" t="n">
        <v>10.4</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24866-2026</t>
        </is>
      </c>
      <c r="B2925" t="inlineStr">
        <is>
          <t>avverkningsanmälan</t>
        </is>
      </c>
      <c r="C2925" t="inlineStr">
        <is>
          <t>Föryngringsavverkning</t>
        </is>
      </c>
      <c r="D2925" s="1" t="n">
        <v>46174</v>
      </c>
      <c r="E2925" s="1" t="n">
        <v>46319</v>
      </c>
      <c r="F2925" t="inlineStr">
        <is>
          <t>DALARNAS LÄN</t>
        </is>
      </c>
      <c r="G2925" t="inlineStr">
        <is>
          <t>GAGNEF</t>
        </is>
      </c>
      <c r="I2925" t="n">
        <v>3.2</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49462-2025</t>
        </is>
      </c>
      <c r="B2926" t="inlineStr">
        <is>
          <t>avverkningsanmälan</t>
        </is>
      </c>
      <c r="C2926" t="inlineStr">
        <is>
          <t>Föryngringsavverkning</t>
        </is>
      </c>
      <c r="D2926" s="1" t="n">
        <v>45939</v>
      </c>
      <c r="E2926" s="1" t="n">
        <v>46319</v>
      </c>
      <c r="F2926" t="inlineStr">
        <is>
          <t>DALARNAS LÄN</t>
        </is>
      </c>
      <c r="G2926" t="inlineStr">
        <is>
          <t>BORLÄNGE</t>
        </is>
      </c>
      <c r="I2926" t="n">
        <v>1.8</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39400-2023</t>
        </is>
      </c>
      <c r="B2927" t="inlineStr">
        <is>
          <t>avverkningsanmälan</t>
        </is>
      </c>
      <c r="C2927" t="inlineStr">
        <is>
          <t>Föryngringsavverkning</t>
        </is>
      </c>
      <c r="D2927" s="1" t="n">
        <v>45166</v>
      </c>
      <c r="E2927" s="1" t="n">
        <v>46319</v>
      </c>
      <c r="F2927" t="inlineStr">
        <is>
          <t>DALARNAS LÄN</t>
        </is>
      </c>
      <c r="G2927" t="inlineStr">
        <is>
          <t>LUDVIKA</t>
        </is>
      </c>
      <c r="H2927" t="inlineStr">
        <is>
          <t>Bergvik skog väst AB</t>
        </is>
      </c>
      <c r="I2927" t="n">
        <v>1.1</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11015-2022</t>
        </is>
      </c>
      <c r="B2928" t="inlineStr">
        <is>
          <t>avverkningsanmälan</t>
        </is>
      </c>
      <c r="C2928" t="inlineStr">
        <is>
          <t>Föryngringsavverkning</t>
        </is>
      </c>
      <c r="D2928" s="1" t="n">
        <v>44628</v>
      </c>
      <c r="E2928" s="1" t="n">
        <v>46319</v>
      </c>
      <c r="F2928" t="inlineStr">
        <is>
          <t>DALARNAS LÄN</t>
        </is>
      </c>
      <c r="G2928" t="inlineStr">
        <is>
          <t>LEKSAND</t>
        </is>
      </c>
      <c r="I2928" t="n">
        <v>1.4</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24935-2026</t>
        </is>
      </c>
      <c r="B2929" t="inlineStr">
        <is>
          <t>avverkningsanmälan</t>
        </is>
      </c>
      <c r="C2929" t="inlineStr">
        <is>
          <t>Föryngringsavverkning</t>
        </is>
      </c>
      <c r="D2929" s="1" t="n">
        <v>46174</v>
      </c>
      <c r="E2929" s="1" t="n">
        <v>46319</v>
      </c>
      <c r="F2929" t="inlineStr">
        <is>
          <t>DALARNAS LÄN</t>
        </is>
      </c>
      <c r="G2929" t="inlineStr">
        <is>
          <t>FALUN</t>
        </is>
      </c>
      <c r="I2929" t="n">
        <v>1.6</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24946-2026</t>
        </is>
      </c>
      <c r="B2930" t="inlineStr">
        <is>
          <t>avverkningsanmälan</t>
        </is>
      </c>
      <c r="C2930" t="inlineStr">
        <is>
          <t>Föryngringsavverkning</t>
        </is>
      </c>
      <c r="D2930" s="1" t="n">
        <v>46174</v>
      </c>
      <c r="E2930" s="1" t="n">
        <v>46319</v>
      </c>
      <c r="F2930" t="inlineStr">
        <is>
          <t>DALARNAS LÄN</t>
        </is>
      </c>
      <c r="G2930" t="inlineStr">
        <is>
          <t>SMEDJEBACKEN</t>
        </is>
      </c>
      <c r="H2930" t="inlineStr">
        <is>
          <t>Sveaskog</t>
        </is>
      </c>
      <c r="I2930" t="n">
        <v>3.7</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37759-2024</t>
        </is>
      </c>
      <c r="B2931" t="inlineStr">
        <is>
          <t>avverkningsanmälan</t>
        </is>
      </c>
      <c r="C2931" t="inlineStr">
        <is>
          <t>Föryngringsavverkning</t>
        </is>
      </c>
      <c r="D2931" s="1" t="n">
        <v>45541</v>
      </c>
      <c r="E2931" s="1" t="n">
        <v>46319</v>
      </c>
      <c r="F2931" t="inlineStr">
        <is>
          <t>DALARNAS LÄN</t>
        </is>
      </c>
      <c r="G2931" t="inlineStr">
        <is>
          <t>HEDEMORA</t>
        </is>
      </c>
      <c r="H2931" t="inlineStr">
        <is>
          <t>Sveaskog</t>
        </is>
      </c>
      <c r="I2931" t="n">
        <v>3.6</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24895-2026</t>
        </is>
      </c>
      <c r="B2932" t="inlineStr">
        <is>
          <t>avverkningsanmälan</t>
        </is>
      </c>
      <c r="C2932" t="inlineStr">
        <is>
          <t>Föryngringsavverkning</t>
        </is>
      </c>
      <c r="D2932" s="1" t="n">
        <v>46174</v>
      </c>
      <c r="E2932" s="1" t="n">
        <v>46319</v>
      </c>
      <c r="F2932" t="inlineStr">
        <is>
          <t>DALARNAS LÄN</t>
        </is>
      </c>
      <c r="G2932" t="inlineStr">
        <is>
          <t>ORSA</t>
        </is>
      </c>
      <c r="H2932" t="inlineStr">
        <is>
          <t>Allmännings- och besparingsskogar</t>
        </is>
      </c>
      <c r="I2932" t="n">
        <v>14.7</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24899-2026</t>
        </is>
      </c>
      <c r="B2933" t="inlineStr">
        <is>
          <t>avverkningsanmälan</t>
        </is>
      </c>
      <c r="C2933" t="inlineStr">
        <is>
          <t>Föryngringsavverkning</t>
        </is>
      </c>
      <c r="D2933" s="1" t="n">
        <v>46174</v>
      </c>
      <c r="E2933" s="1" t="n">
        <v>46319</v>
      </c>
      <c r="F2933" t="inlineStr">
        <is>
          <t>DALARNAS LÄN</t>
        </is>
      </c>
      <c r="G2933" t="inlineStr">
        <is>
          <t>MORA</t>
        </is>
      </c>
      <c r="I2933" t="n">
        <v>0.7</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49505-2025</t>
        </is>
      </c>
      <c r="B2934" t="inlineStr">
        <is>
          <t>avverkningsanmälan</t>
        </is>
      </c>
      <c r="C2934" t="inlineStr">
        <is>
          <t>Avverkning för annat ändamål</t>
        </is>
      </c>
      <c r="D2934" s="1" t="n">
        <v>45939</v>
      </c>
      <c r="E2934" s="1" t="n">
        <v>46319</v>
      </c>
      <c r="F2934" t="inlineStr">
        <is>
          <t>DALARNAS LÄN</t>
        </is>
      </c>
      <c r="G2934" t="inlineStr">
        <is>
          <t>LEKSAND</t>
        </is>
      </c>
      <c r="H2934" t="inlineStr">
        <is>
          <t>Bergvik skog väst AB</t>
        </is>
      </c>
      <c r="I2934" t="n">
        <v>1.4</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49617-2025</t>
        </is>
      </c>
      <c r="B2935" t="inlineStr">
        <is>
          <t>avverkningsanmälan</t>
        </is>
      </c>
      <c r="C2935" t="inlineStr">
        <is>
          <t>Föryngringsavverkning</t>
        </is>
      </c>
      <c r="D2935" s="1" t="n">
        <v>45939</v>
      </c>
      <c r="E2935" s="1" t="n">
        <v>46319</v>
      </c>
      <c r="F2935" t="inlineStr">
        <is>
          <t>DALARNAS LÄN</t>
        </is>
      </c>
      <c r="G2935" t="inlineStr">
        <is>
          <t>VANSBRO</t>
        </is>
      </c>
      <c r="H2935" t="inlineStr">
        <is>
          <t>Bergvik skog öst AB</t>
        </is>
      </c>
      <c r="I2935" t="n">
        <v>1.6</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24934-2026</t>
        </is>
      </c>
      <c r="B2936" t="inlineStr">
        <is>
          <t>avverkningsanmälan</t>
        </is>
      </c>
      <c r="C2936" t="inlineStr">
        <is>
          <t>Föryngringsavverkning</t>
        </is>
      </c>
      <c r="D2936" s="1" t="n">
        <v>46174</v>
      </c>
      <c r="E2936" s="1" t="n">
        <v>46319</v>
      </c>
      <c r="F2936" t="inlineStr">
        <is>
          <t>DALARNAS LÄN</t>
        </is>
      </c>
      <c r="G2936" t="inlineStr">
        <is>
          <t>FALUN</t>
        </is>
      </c>
      <c r="I2936" t="n">
        <v>1.4</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49905-2025</t>
        </is>
      </c>
      <c r="B2937" t="inlineStr">
        <is>
          <t>avverkningsanmälan</t>
        </is>
      </c>
      <c r="C2937" t="inlineStr">
        <is>
          <t>Föryngringsavverkning</t>
        </is>
      </c>
      <c r="D2937" s="1" t="n">
        <v>45940</v>
      </c>
      <c r="E2937" s="1" t="n">
        <v>46319</v>
      </c>
      <c r="F2937" t="inlineStr">
        <is>
          <t>DALARNAS LÄN</t>
        </is>
      </c>
      <c r="G2937" t="inlineStr">
        <is>
          <t>FALUN</t>
        </is>
      </c>
      <c r="I2937" t="n">
        <v>1.1</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24694-2023</t>
        </is>
      </c>
      <c r="B2938" t="inlineStr">
        <is>
          <t>avverkningsanmälan</t>
        </is>
      </c>
      <c r="C2938" t="inlineStr">
        <is>
          <t>Föryngringsavverkning</t>
        </is>
      </c>
      <c r="D2938" s="1" t="n">
        <v>45084</v>
      </c>
      <c r="E2938" s="1" t="n">
        <v>46319</v>
      </c>
      <c r="F2938" t="inlineStr">
        <is>
          <t>DALARNAS LÄN</t>
        </is>
      </c>
      <c r="G2938" t="inlineStr">
        <is>
          <t>FALUN</t>
        </is>
      </c>
      <c r="I2938" t="n">
        <v>2.7</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24988-2026</t>
        </is>
      </c>
      <c r="B2939" t="inlineStr">
        <is>
          <t>avverkningsanmälan</t>
        </is>
      </c>
      <c r="C2939" t="inlineStr">
        <is>
          <t>Föryngringsavverkning</t>
        </is>
      </c>
      <c r="D2939" s="1" t="n">
        <v>46174</v>
      </c>
      <c r="E2939" s="1" t="n">
        <v>46319</v>
      </c>
      <c r="F2939" t="inlineStr">
        <is>
          <t>DALARNAS LÄN</t>
        </is>
      </c>
      <c r="G2939" t="inlineStr">
        <is>
          <t>ÄLVDALEN</t>
        </is>
      </c>
      <c r="I2939" t="n">
        <v>0.8</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18312-2024</t>
        </is>
      </c>
      <c r="B2940" t="inlineStr">
        <is>
          <t>avverkningsanmälan</t>
        </is>
      </c>
      <c r="C2940" t="inlineStr">
        <is>
          <t>Föryngringsavverkning</t>
        </is>
      </c>
      <c r="D2940" s="1" t="n">
        <v>45422</v>
      </c>
      <c r="E2940" s="1" t="n">
        <v>46319</v>
      </c>
      <c r="F2940" t="inlineStr">
        <is>
          <t>DALARNAS LÄN</t>
        </is>
      </c>
      <c r="G2940" t="inlineStr">
        <is>
          <t>ORSA</t>
        </is>
      </c>
      <c r="I2940" t="n">
        <v>1.4</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60483-2023</t>
        </is>
      </c>
      <c r="B2941" t="inlineStr">
        <is>
          <t>avverkningsanmälan</t>
        </is>
      </c>
      <c r="C2941" t="inlineStr">
        <is>
          <t>Föryngringsavverkning</t>
        </is>
      </c>
      <c r="D2941" s="1" t="n">
        <v>45259</v>
      </c>
      <c r="E2941" s="1" t="n">
        <v>46319</v>
      </c>
      <c r="F2941" t="inlineStr">
        <is>
          <t>DALARNAS LÄN</t>
        </is>
      </c>
      <c r="G2941" t="inlineStr">
        <is>
          <t>RÄTTVIK</t>
        </is>
      </c>
      <c r="I2941" t="n">
        <v>5.1</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59958-2024</t>
        </is>
      </c>
      <c r="B2942" t="inlineStr">
        <is>
          <t>avverkningsanmälan</t>
        </is>
      </c>
      <c r="C2942" t="inlineStr">
        <is>
          <t>Föryngringsavverkning</t>
        </is>
      </c>
      <c r="D2942" s="1" t="n">
        <v>45642</v>
      </c>
      <c r="E2942" s="1" t="n">
        <v>46319</v>
      </c>
      <c r="F2942" t="inlineStr">
        <is>
          <t>DALARNAS LÄN</t>
        </is>
      </c>
      <c r="G2942" t="inlineStr">
        <is>
          <t>RÄTTVIK</t>
        </is>
      </c>
      <c r="I2942" t="n">
        <v>1.3</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44015-2023</t>
        </is>
      </c>
      <c r="B2943" t="inlineStr">
        <is>
          <t>avverkningsanmälan</t>
        </is>
      </c>
      <c r="C2943" t="inlineStr">
        <is>
          <t>Föryngringsavverkning</t>
        </is>
      </c>
      <c r="D2943" s="1" t="n">
        <v>45182</v>
      </c>
      <c r="E2943" s="1" t="n">
        <v>46319</v>
      </c>
      <c r="F2943" t="inlineStr">
        <is>
          <t>DALARNAS LÄN</t>
        </is>
      </c>
      <c r="G2943" t="inlineStr">
        <is>
          <t>RÄTTVIK</t>
        </is>
      </c>
      <c r="I2943" t="n">
        <v>0.8</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7752-2024</t>
        </is>
      </c>
      <c r="B2944" t="inlineStr">
        <is>
          <t>avverkningsanmälan</t>
        </is>
      </c>
      <c r="C2944" t="inlineStr">
        <is>
          <t>Avverkning för annat ändamål</t>
        </is>
      </c>
      <c r="D2944" s="1" t="n">
        <v>45349</v>
      </c>
      <c r="E2944" s="1" t="n">
        <v>46319</v>
      </c>
      <c r="F2944" t="inlineStr">
        <is>
          <t>DALARNAS LÄN</t>
        </is>
      </c>
      <c r="G2944" t="inlineStr">
        <is>
          <t>RÄTTVIK</t>
        </is>
      </c>
      <c r="I2944" t="n">
        <v>0.8</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50332-2025</t>
        </is>
      </c>
      <c r="B2945" t="inlineStr">
        <is>
          <t>avverkningsanmälan</t>
        </is>
      </c>
      <c r="C2945" t="inlineStr">
        <is>
          <t>Föryngringsavverkning</t>
        </is>
      </c>
      <c r="D2945" s="1" t="n">
        <v>45944</v>
      </c>
      <c r="E2945" s="1" t="n">
        <v>46319</v>
      </c>
      <c r="F2945" t="inlineStr">
        <is>
          <t>DALARNAS LÄN</t>
        </is>
      </c>
      <c r="G2945" t="inlineStr">
        <is>
          <t>LEKSAND</t>
        </is>
      </c>
      <c r="I2945" t="n">
        <v>2.4</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1182-2025</t>
        </is>
      </c>
      <c r="B2946" t="inlineStr">
        <is>
          <t>avverkningsanmälan</t>
        </is>
      </c>
      <c r="C2946" t="inlineStr">
        <is>
          <t>Föryngringsavverkning</t>
        </is>
      </c>
      <c r="D2946" s="1" t="n">
        <v>45667</v>
      </c>
      <c r="E2946" s="1" t="n">
        <v>46319</v>
      </c>
      <c r="F2946" t="inlineStr">
        <is>
          <t>DALARNAS LÄN</t>
        </is>
      </c>
      <c r="G2946" t="inlineStr">
        <is>
          <t>LEKSAND</t>
        </is>
      </c>
      <c r="I2946" t="n">
        <v>1.3</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47281-2025</t>
        </is>
      </c>
      <c r="B2947" t="inlineStr">
        <is>
          <t>avverkningsanmälan</t>
        </is>
      </c>
      <c r="C2947" t="inlineStr">
        <is>
          <t>Föryngringsavverkning</t>
        </is>
      </c>
      <c r="D2947" s="1" t="n">
        <v>45930</v>
      </c>
      <c r="E2947" s="1" t="n">
        <v>46319</v>
      </c>
      <c r="F2947" t="inlineStr">
        <is>
          <t>DALARNAS LÄN</t>
        </is>
      </c>
      <c r="G2947" t="inlineStr">
        <is>
          <t>MALUNG-SÄLEN</t>
        </is>
      </c>
      <c r="I2947" t="n">
        <v>1.5</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50107-2025</t>
        </is>
      </c>
      <c r="B2948" t="inlineStr">
        <is>
          <t>avverkningsanmälan</t>
        </is>
      </c>
      <c r="C2948" t="inlineStr">
        <is>
          <t>Föryngringsavverkning</t>
        </is>
      </c>
      <c r="D2948" s="1" t="n">
        <v>45943</v>
      </c>
      <c r="E2948" s="1" t="n">
        <v>46319</v>
      </c>
      <c r="F2948" t="inlineStr">
        <is>
          <t>DALARNAS LÄN</t>
        </is>
      </c>
      <c r="G2948" t="inlineStr">
        <is>
          <t>RÄTTVIK</t>
        </is>
      </c>
      <c r="H2948" t="inlineStr">
        <is>
          <t>Sveaskog</t>
        </is>
      </c>
      <c r="I2948" t="n">
        <v>0.5</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1306-2026</t>
        </is>
      </c>
      <c r="B2949" t="inlineStr">
        <is>
          <t>avverkningsanmälan</t>
        </is>
      </c>
      <c r="C2949" t="inlineStr">
        <is>
          <t>Föryngringsavverkning</t>
        </is>
      </c>
      <c r="D2949" s="1" t="n">
        <v>46031</v>
      </c>
      <c r="E2949" s="1" t="n">
        <v>46319</v>
      </c>
      <c r="F2949" t="inlineStr">
        <is>
          <t>DALARNAS LÄN</t>
        </is>
      </c>
      <c r="G2949" t="inlineStr">
        <is>
          <t>FALUN</t>
        </is>
      </c>
      <c r="I2949" t="n">
        <v>1.9</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1519-2024</t>
        </is>
      </c>
      <c r="B2950" t="inlineStr">
        <is>
          <t>avverkningsanmälan</t>
        </is>
      </c>
      <c r="C2950" t="inlineStr">
        <is>
          <t>Föryngringsavverkning</t>
        </is>
      </c>
      <c r="D2950" s="1" t="n">
        <v>45306</v>
      </c>
      <c r="E2950" s="1" t="n">
        <v>46319</v>
      </c>
      <c r="F2950" t="inlineStr">
        <is>
          <t>DALARNAS LÄN</t>
        </is>
      </c>
      <c r="G2950" t="inlineStr">
        <is>
          <t>LEKSAND</t>
        </is>
      </c>
      <c r="I2950" t="n">
        <v>3.3</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50136-2025</t>
        </is>
      </c>
      <c r="B2951" t="inlineStr">
        <is>
          <t>avverkningsanmälan</t>
        </is>
      </c>
      <c r="C2951" t="inlineStr">
        <is>
          <t>Föryngringsavverkning</t>
        </is>
      </c>
      <c r="D2951" s="1" t="n">
        <v>45943</v>
      </c>
      <c r="E2951" s="1" t="n">
        <v>46319</v>
      </c>
      <c r="F2951" t="inlineStr">
        <is>
          <t>DALARNAS LÄN</t>
        </is>
      </c>
      <c r="G2951" t="inlineStr">
        <is>
          <t>RÄTTVIK</t>
        </is>
      </c>
      <c r="H2951" t="inlineStr">
        <is>
          <t>Bergvik skog väst AB</t>
        </is>
      </c>
      <c r="I2951" t="n">
        <v>5.9</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13898-2024</t>
        </is>
      </c>
      <c r="B2952" t="inlineStr">
        <is>
          <t>avverkningsanmälan</t>
        </is>
      </c>
      <c r="C2952" t="inlineStr">
        <is>
          <t>Föryngringsavverkning</t>
        </is>
      </c>
      <c r="D2952" s="1" t="n">
        <v>45391</v>
      </c>
      <c r="E2952" s="1" t="n">
        <v>46319</v>
      </c>
      <c r="F2952" t="inlineStr">
        <is>
          <t>DALARNAS LÄN</t>
        </is>
      </c>
      <c r="G2952" t="inlineStr">
        <is>
          <t>MALUNG-SÄLEN</t>
        </is>
      </c>
      <c r="I2952" t="n">
        <v>1.1</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50238-2025</t>
        </is>
      </c>
      <c r="B2953" t="inlineStr">
        <is>
          <t>avverkningsanmälan</t>
        </is>
      </c>
      <c r="C2953" t="inlineStr">
        <is>
          <t>Föryngringsavverkning</t>
        </is>
      </c>
      <c r="D2953" s="1" t="n">
        <v>45943</v>
      </c>
      <c r="E2953" s="1" t="n">
        <v>46319</v>
      </c>
      <c r="F2953" t="inlineStr">
        <is>
          <t>DALARNAS LÄN</t>
        </is>
      </c>
      <c r="G2953" t="inlineStr">
        <is>
          <t>AVESTA</t>
        </is>
      </c>
      <c r="I2953" t="n">
        <v>0.7</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15972-2025</t>
        </is>
      </c>
      <c r="B2954" t="inlineStr">
        <is>
          <t>avverkningsanmälan</t>
        </is>
      </c>
      <c r="C2954" t="inlineStr">
        <is>
          <t>Föryngringsavverkning</t>
        </is>
      </c>
      <c r="D2954" s="1" t="n">
        <v>45749</v>
      </c>
      <c r="E2954" s="1" t="n">
        <v>46319</v>
      </c>
      <c r="F2954" t="inlineStr">
        <is>
          <t>DALARNAS LÄN</t>
        </is>
      </c>
      <c r="G2954" t="inlineStr">
        <is>
          <t>VANSBRO</t>
        </is>
      </c>
      <c r="I2954" t="n">
        <v>1.6</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16005-2025</t>
        </is>
      </c>
      <c r="B2955" t="inlineStr">
        <is>
          <t>avverkningsanmälan</t>
        </is>
      </c>
      <c r="C2955" t="inlineStr">
        <is>
          <t>Avverkning för annat ändamål</t>
        </is>
      </c>
      <c r="D2955" s="1" t="n">
        <v>45749</v>
      </c>
      <c r="E2955" s="1" t="n">
        <v>46319</v>
      </c>
      <c r="F2955" t="inlineStr">
        <is>
          <t>DALARNAS LÄN</t>
        </is>
      </c>
      <c r="G2955" t="inlineStr">
        <is>
          <t>LEKSAND</t>
        </is>
      </c>
      <c r="I2955" t="n">
        <v>2.1</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23408-2024</t>
        </is>
      </c>
      <c r="B2956" t="inlineStr">
        <is>
          <t>avverkningsanmälan</t>
        </is>
      </c>
      <c r="C2956" t="inlineStr">
        <is>
          <t>Föryngringsavverkning</t>
        </is>
      </c>
      <c r="D2956" s="1" t="n">
        <v>45453</v>
      </c>
      <c r="E2956" s="1" t="n">
        <v>46319</v>
      </c>
      <c r="F2956" t="inlineStr">
        <is>
          <t>DALARNAS LÄN</t>
        </is>
      </c>
      <c r="G2956" t="inlineStr">
        <is>
          <t>RÄTTVIK</t>
        </is>
      </c>
      <c r="H2956" t="inlineStr">
        <is>
          <t>Allmännings- och besparingsskogar</t>
        </is>
      </c>
      <c r="I2956" t="n">
        <v>0.6</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21534-2024</t>
        </is>
      </c>
      <c r="B2957" t="inlineStr">
        <is>
          <t>avverkningsanmälan</t>
        </is>
      </c>
      <c r="C2957" t="inlineStr">
        <is>
          <t>Föryngringsavverkning</t>
        </is>
      </c>
      <c r="D2957" s="1" t="n">
        <v>45441</v>
      </c>
      <c r="E2957" s="1" t="n">
        <v>46319</v>
      </c>
      <c r="F2957" t="inlineStr">
        <is>
          <t>DALARNAS LÄN</t>
        </is>
      </c>
      <c r="G2957" t="inlineStr">
        <is>
          <t>AVESTA</t>
        </is>
      </c>
      <c r="I2957" t="n">
        <v>2.8</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37659-2023</t>
        </is>
      </c>
      <c r="B2958" t="inlineStr">
        <is>
          <t>avverkningsanmälan</t>
        </is>
      </c>
      <c r="C2958" t="inlineStr">
        <is>
          <t>Avverkning för annat ändamål</t>
        </is>
      </c>
      <c r="D2958" s="1" t="n">
        <v>45159</v>
      </c>
      <c r="E2958" s="1" t="n">
        <v>46319</v>
      </c>
      <c r="F2958" t="inlineStr">
        <is>
          <t>DALARNAS LÄN</t>
        </is>
      </c>
      <c r="G2958" t="inlineStr">
        <is>
          <t>RÄTTVIK</t>
        </is>
      </c>
      <c r="H2958" t="inlineStr">
        <is>
          <t>Sveaskog</t>
        </is>
      </c>
      <c r="I2958" t="n">
        <v>1</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41850-2025</t>
        </is>
      </c>
      <c r="B2959" t="inlineStr">
        <is>
          <t>avverkningsanmälan</t>
        </is>
      </c>
      <c r="C2959" t="inlineStr">
        <is>
          <t>Föryngringsavverkning</t>
        </is>
      </c>
      <c r="D2959" s="1" t="n">
        <v>45902</v>
      </c>
      <c r="E2959" s="1" t="n">
        <v>46319</v>
      </c>
      <c r="F2959" t="inlineStr">
        <is>
          <t>DALARNAS LÄN</t>
        </is>
      </c>
      <c r="G2959" t="inlineStr">
        <is>
          <t>AVESTA</t>
        </is>
      </c>
      <c r="I2959" t="n">
        <v>1.1</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43589-2022</t>
        </is>
      </c>
      <c r="B2960" t="inlineStr">
        <is>
          <t>avverkningsanmälan</t>
        </is>
      </c>
      <c r="C2960" t="inlineStr">
        <is>
          <t>Föryngringsavverkning</t>
        </is>
      </c>
      <c r="D2960" s="1" t="n">
        <v>44837</v>
      </c>
      <c r="E2960" s="1" t="n">
        <v>46319</v>
      </c>
      <c r="F2960" t="inlineStr">
        <is>
          <t>DALARNAS LÄN</t>
        </is>
      </c>
      <c r="G2960" t="inlineStr">
        <is>
          <t>VANSBRO</t>
        </is>
      </c>
      <c r="H2960" t="inlineStr">
        <is>
          <t>Bergvik skog väst AB</t>
        </is>
      </c>
      <c r="I2960" t="n">
        <v>0.9</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19820-2024</t>
        </is>
      </c>
      <c r="B2961" t="inlineStr">
        <is>
          <t>avverkningsanmälan</t>
        </is>
      </c>
      <c r="C2961" t="inlineStr">
        <is>
          <t>Avverkning för annat ändamål</t>
        </is>
      </c>
      <c r="D2961" s="1" t="n">
        <v>45433</v>
      </c>
      <c r="E2961" s="1" t="n">
        <v>46319</v>
      </c>
      <c r="F2961" t="inlineStr">
        <is>
          <t>DALARNAS LÄN</t>
        </is>
      </c>
      <c r="G2961" t="inlineStr">
        <is>
          <t>LEKSAND</t>
        </is>
      </c>
      <c r="I2961" t="n">
        <v>0.7</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19823-2024</t>
        </is>
      </c>
      <c r="B2962" t="inlineStr">
        <is>
          <t>avverkningsanmälan</t>
        </is>
      </c>
      <c r="C2962" t="inlineStr">
        <is>
          <t>Avverkning för annat ändamål</t>
        </is>
      </c>
      <c r="D2962" s="1" t="n">
        <v>45433</v>
      </c>
      <c r="E2962" s="1" t="n">
        <v>46319</v>
      </c>
      <c r="F2962" t="inlineStr">
        <is>
          <t>DALARNAS LÄN</t>
        </is>
      </c>
      <c r="G2962" t="inlineStr">
        <is>
          <t>LEKSAND</t>
        </is>
      </c>
      <c r="I2962" t="n">
        <v>0.3</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12783-2024</t>
        </is>
      </c>
      <c r="B2963" t="inlineStr">
        <is>
          <t>avverkningsanmälan</t>
        </is>
      </c>
      <c r="C2963" t="inlineStr">
        <is>
          <t>Föryngringsavverkning</t>
        </is>
      </c>
      <c r="D2963" s="1" t="n">
        <v>45384</v>
      </c>
      <c r="E2963" s="1" t="n">
        <v>46319</v>
      </c>
      <c r="F2963" t="inlineStr">
        <is>
          <t>DALARNAS LÄN</t>
        </is>
      </c>
      <c r="G2963" t="inlineStr">
        <is>
          <t>BORLÄNGE</t>
        </is>
      </c>
      <c r="H2963" t="inlineStr">
        <is>
          <t>Övriga statliga verk och myndigheter</t>
        </is>
      </c>
      <c r="I2963" t="n">
        <v>0.8</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50140-2025</t>
        </is>
      </c>
      <c r="B2964" t="inlineStr">
        <is>
          <t>avverkningsanmälan</t>
        </is>
      </c>
      <c r="C2964" t="inlineStr">
        <is>
          <t>Föryngringsavverkning</t>
        </is>
      </c>
      <c r="D2964" s="1" t="n">
        <v>45943</v>
      </c>
      <c r="E2964" s="1" t="n">
        <v>46319</v>
      </c>
      <c r="F2964" t="inlineStr">
        <is>
          <t>DALARNAS LÄN</t>
        </is>
      </c>
      <c r="G2964" t="inlineStr">
        <is>
          <t>RÄTTVIK</t>
        </is>
      </c>
      <c r="H2964" t="inlineStr">
        <is>
          <t>Bergvik skog väst AB</t>
        </is>
      </c>
      <c r="I2964" t="n">
        <v>7.7</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25550-2026</t>
        </is>
      </c>
      <c r="B2965" t="inlineStr">
        <is>
          <t>avverkningsanmälan</t>
        </is>
      </c>
      <c r="C2965" t="inlineStr">
        <is>
          <t>Föryngringsavverkning</t>
        </is>
      </c>
      <c r="D2965" s="1" t="n">
        <v>46177</v>
      </c>
      <c r="E2965" s="1" t="n">
        <v>46319</v>
      </c>
      <c r="F2965" t="inlineStr">
        <is>
          <t>DALARNAS LÄN</t>
        </is>
      </c>
      <c r="G2965" t="inlineStr">
        <is>
          <t>FALUN</t>
        </is>
      </c>
      <c r="I2965" t="n">
        <v>3</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49961-2025</t>
        </is>
      </c>
      <c r="B2966" t="inlineStr">
        <is>
          <t>avverkningsanmälan</t>
        </is>
      </c>
      <c r="C2966" t="inlineStr">
        <is>
          <t>Föryngringsavverkning</t>
        </is>
      </c>
      <c r="D2966" s="1" t="n">
        <v>45941</v>
      </c>
      <c r="E2966" s="1" t="n">
        <v>46319</v>
      </c>
      <c r="F2966" t="inlineStr">
        <is>
          <t>DALARNAS LÄN</t>
        </is>
      </c>
      <c r="G2966" t="inlineStr">
        <is>
          <t>GAGNEF</t>
        </is>
      </c>
      <c r="I2966" t="n">
        <v>2.1</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49962-2025</t>
        </is>
      </c>
      <c r="B2967" t="inlineStr">
        <is>
          <t>avverkningsanmälan</t>
        </is>
      </c>
      <c r="C2967" t="inlineStr">
        <is>
          <t>Föryngringsavverkning</t>
        </is>
      </c>
      <c r="D2967" s="1" t="n">
        <v>45941</v>
      </c>
      <c r="E2967" s="1" t="n">
        <v>46319</v>
      </c>
      <c r="F2967" t="inlineStr">
        <is>
          <t>DALARNAS LÄN</t>
        </is>
      </c>
      <c r="G2967" t="inlineStr">
        <is>
          <t>GAGNEF</t>
        </is>
      </c>
      <c r="I2967" t="n">
        <v>2.8</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56553-2023</t>
        </is>
      </c>
      <c r="B2968" t="inlineStr">
        <is>
          <t>avverkningsanmälan</t>
        </is>
      </c>
      <c r="C2968" t="inlineStr">
        <is>
          <t>Föryngringsavverkning</t>
        </is>
      </c>
      <c r="D2968" s="1" t="n">
        <v>45243</v>
      </c>
      <c r="E2968" s="1" t="n">
        <v>46319</v>
      </c>
      <c r="F2968" t="inlineStr">
        <is>
          <t>DALARNAS LÄN</t>
        </is>
      </c>
      <c r="G2968" t="inlineStr">
        <is>
          <t>RÄTTVIK</t>
        </is>
      </c>
      <c r="I2968" t="n">
        <v>3.8</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2380-2025</t>
        </is>
      </c>
      <c r="B2969" t="inlineStr">
        <is>
          <t>avverkningsanmälan</t>
        </is>
      </c>
      <c r="C2969" t="inlineStr">
        <is>
          <t>Föryngringsavverkning</t>
        </is>
      </c>
      <c r="D2969" s="1" t="n">
        <v>45673</v>
      </c>
      <c r="E2969" s="1" t="n">
        <v>46319</v>
      </c>
      <c r="F2969" t="inlineStr">
        <is>
          <t>DALARNAS LÄN</t>
        </is>
      </c>
      <c r="G2969" t="inlineStr">
        <is>
          <t>FALUN</t>
        </is>
      </c>
      <c r="I2969" t="n">
        <v>8.4</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48111-2024</t>
        </is>
      </c>
      <c r="B2970" t="inlineStr">
        <is>
          <t>avverkningsanmälan</t>
        </is>
      </c>
      <c r="C2970" t="inlineStr">
        <is>
          <t>Avverkning för annat ändamål</t>
        </is>
      </c>
      <c r="D2970" s="1" t="n">
        <v>45589</v>
      </c>
      <c r="E2970" s="1" t="n">
        <v>46319</v>
      </c>
      <c r="F2970" t="inlineStr">
        <is>
          <t>DALARNAS LÄN</t>
        </is>
      </c>
      <c r="G2970" t="inlineStr">
        <is>
          <t>VANSBRO</t>
        </is>
      </c>
      <c r="I2970" t="n">
        <v>0.2</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22811-2023</t>
        </is>
      </c>
      <c r="B2971" t="inlineStr">
        <is>
          <t>avverkningsanmälan</t>
        </is>
      </c>
      <c r="C2971" t="inlineStr">
        <is>
          <t>Föryngringsavverkning</t>
        </is>
      </c>
      <c r="D2971" s="1" t="n">
        <v>45072</v>
      </c>
      <c r="E2971" s="1" t="n">
        <v>46319</v>
      </c>
      <c r="F2971" t="inlineStr">
        <is>
          <t>DALARNAS LÄN</t>
        </is>
      </c>
      <c r="G2971" t="inlineStr">
        <is>
          <t>MALUNG-SÄLEN</t>
        </is>
      </c>
      <c r="H2971" t="inlineStr">
        <is>
          <t>Bergvik skog öst AB</t>
        </is>
      </c>
      <c r="I2971" t="n">
        <v>5.8</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25563-2026</t>
        </is>
      </c>
      <c r="B2972" t="inlineStr">
        <is>
          <t>avverkningsanmälan</t>
        </is>
      </c>
      <c r="C2972" t="inlineStr">
        <is>
          <t>Föryngringsavverkning</t>
        </is>
      </c>
      <c r="D2972" s="1" t="n">
        <v>46177</v>
      </c>
      <c r="E2972" s="1" t="n">
        <v>46319</v>
      </c>
      <c r="F2972" t="inlineStr">
        <is>
          <t>DALARNAS LÄN</t>
        </is>
      </c>
      <c r="G2972" t="inlineStr">
        <is>
          <t>FALUN</t>
        </is>
      </c>
      <c r="I2972" t="n">
        <v>1.5</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24111-2026</t>
        </is>
      </c>
      <c r="B2973" t="inlineStr">
        <is>
          <t>avverkningsanmälan</t>
        </is>
      </c>
      <c r="C2973" t="inlineStr">
        <is>
          <t>Föryngringsavverkning</t>
        </is>
      </c>
      <c r="D2973" s="1" t="n">
        <v>46168</v>
      </c>
      <c r="E2973" s="1" t="n">
        <v>46319</v>
      </c>
      <c r="F2973" t="inlineStr">
        <is>
          <t>DALARNAS LÄN</t>
        </is>
      </c>
      <c r="G2973" t="inlineStr">
        <is>
          <t>GAGNEF</t>
        </is>
      </c>
      <c r="H2973" t="inlineStr">
        <is>
          <t>Bergvik skog väst AB</t>
        </is>
      </c>
      <c r="I2973" t="n">
        <v>6.4</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24670-2026</t>
        </is>
      </c>
      <c r="B2974" t="inlineStr">
        <is>
          <t>avverkningsanmälan</t>
        </is>
      </c>
      <c r="C2974" t="inlineStr">
        <is>
          <t>Föryngringsavverkning</t>
        </is>
      </c>
      <c r="D2974" s="1" t="n">
        <v>46171</v>
      </c>
      <c r="E2974" s="1" t="n">
        <v>46319</v>
      </c>
      <c r="F2974" t="inlineStr">
        <is>
          <t>DALARNAS LÄN</t>
        </is>
      </c>
      <c r="G2974" t="inlineStr">
        <is>
          <t>LUDVIKA</t>
        </is>
      </c>
      <c r="H2974" t="inlineStr">
        <is>
          <t>Bergvik skog väst AB</t>
        </is>
      </c>
      <c r="I2974" t="n">
        <v>1.6</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25294-2026</t>
        </is>
      </c>
      <c r="B2975" t="inlineStr">
        <is>
          <t>avverkningsanmälan</t>
        </is>
      </c>
      <c r="C2975" t="inlineStr">
        <is>
          <t>Föryngringsavverkning</t>
        </is>
      </c>
      <c r="D2975" s="1" t="n">
        <v>46176</v>
      </c>
      <c r="E2975" s="1" t="n">
        <v>46319</v>
      </c>
      <c r="F2975" t="inlineStr">
        <is>
          <t>DALARNAS LÄN</t>
        </is>
      </c>
      <c r="G2975" t="inlineStr">
        <is>
          <t>SMEDJEBACKEN</t>
        </is>
      </c>
      <c r="H2975" t="inlineStr">
        <is>
          <t>Sveaskog</t>
        </is>
      </c>
      <c r="I2975" t="n">
        <v>5.9</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35917-2023</t>
        </is>
      </c>
      <c r="B2976" t="inlineStr">
        <is>
          <t>avverkningsanmälan</t>
        </is>
      </c>
      <c r="C2976" t="inlineStr">
        <is>
          <t>Föryngringsavverkning</t>
        </is>
      </c>
      <c r="D2976" s="1" t="n">
        <v>45148</v>
      </c>
      <c r="E2976" s="1" t="n">
        <v>46319</v>
      </c>
      <c r="F2976" t="inlineStr">
        <is>
          <t>DALARNAS LÄN</t>
        </is>
      </c>
      <c r="G2976" t="inlineStr">
        <is>
          <t>FALUN</t>
        </is>
      </c>
      <c r="H2976" t="inlineStr">
        <is>
          <t>Bergvik skog väst AB</t>
        </is>
      </c>
      <c r="I2976" t="n">
        <v>3.2</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25517-2026</t>
        </is>
      </c>
      <c r="B2977" t="inlineStr">
        <is>
          <t>avverkningsanmälan</t>
        </is>
      </c>
      <c r="C2977" t="inlineStr">
        <is>
          <t>Föryngringsavverkning</t>
        </is>
      </c>
      <c r="D2977" s="1" t="n">
        <v>46177</v>
      </c>
      <c r="E2977" s="1" t="n">
        <v>46319</v>
      </c>
      <c r="F2977" t="inlineStr">
        <is>
          <t>DALARNAS LÄN</t>
        </is>
      </c>
      <c r="G2977" t="inlineStr">
        <is>
          <t>FALUN</t>
        </is>
      </c>
      <c r="H2977" t="inlineStr">
        <is>
          <t>Bergvik skog väst AB</t>
        </is>
      </c>
      <c r="I2977" t="n">
        <v>6.4</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1138-2026</t>
        </is>
      </c>
      <c r="B2978" t="inlineStr">
        <is>
          <t>avverkningsanmälan</t>
        </is>
      </c>
      <c r="C2978" t="inlineStr">
        <is>
          <t>Föryngringsavverkning</t>
        </is>
      </c>
      <c r="D2978" s="1" t="n">
        <v>46030</v>
      </c>
      <c r="E2978" s="1" t="n">
        <v>46319</v>
      </c>
      <c r="F2978" t="inlineStr">
        <is>
          <t>DALARNAS LÄN</t>
        </is>
      </c>
      <c r="G2978" t="inlineStr">
        <is>
          <t>ÄLVDALEN</t>
        </is>
      </c>
      <c r="I2978" t="n">
        <v>2.6</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25419-2026</t>
        </is>
      </c>
      <c r="B2979" t="inlineStr">
        <is>
          <t>avverkningsanmälan</t>
        </is>
      </c>
      <c r="C2979" t="inlineStr">
        <is>
          <t>Föryngringsavverkning</t>
        </is>
      </c>
      <c r="D2979" s="1" t="n">
        <v>46177</v>
      </c>
      <c r="E2979" s="1" t="n">
        <v>46319</v>
      </c>
      <c r="F2979" t="inlineStr">
        <is>
          <t>DALARNAS LÄN</t>
        </is>
      </c>
      <c r="G2979" t="inlineStr">
        <is>
          <t>HEDEMORA</t>
        </is>
      </c>
      <c r="H2979" t="inlineStr">
        <is>
          <t>Sveaskog</t>
        </is>
      </c>
      <c r="I2979" t="n">
        <v>3.2</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25587-2026</t>
        </is>
      </c>
      <c r="B2980" t="inlineStr">
        <is>
          <t>avverkningsanmälan</t>
        </is>
      </c>
      <c r="C2980" t="inlineStr">
        <is>
          <t>Föryngringsavverkning</t>
        </is>
      </c>
      <c r="D2980" s="1" t="n">
        <v>46177</v>
      </c>
      <c r="E2980" s="1" t="n">
        <v>46319</v>
      </c>
      <c r="F2980" t="inlineStr">
        <is>
          <t>DALARNAS LÄN</t>
        </is>
      </c>
      <c r="G2980" t="inlineStr">
        <is>
          <t>MALUNG-SÄLEN</t>
        </is>
      </c>
      <c r="H2980" t="inlineStr">
        <is>
          <t>Bergvik skog väst AB</t>
        </is>
      </c>
      <c r="I2980" t="n">
        <v>4</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25542-2026</t>
        </is>
      </c>
      <c r="B2981" t="inlineStr">
        <is>
          <t>avverkningsanmälan</t>
        </is>
      </c>
      <c r="C2981" t="inlineStr">
        <is>
          <t>Föryngringsavverkning</t>
        </is>
      </c>
      <c r="D2981" s="1" t="n">
        <v>46177</v>
      </c>
      <c r="E2981" s="1" t="n">
        <v>46319</v>
      </c>
      <c r="F2981" t="inlineStr">
        <is>
          <t>DALARNAS LÄN</t>
        </is>
      </c>
      <c r="G2981" t="inlineStr">
        <is>
          <t>FALUN</t>
        </is>
      </c>
      <c r="H2981" t="inlineStr">
        <is>
          <t>Bergvik skog väst AB</t>
        </is>
      </c>
      <c r="I2981" t="n">
        <v>1.5</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25291-2026</t>
        </is>
      </c>
      <c r="B2982" t="inlineStr">
        <is>
          <t>avverkningsanmälan</t>
        </is>
      </c>
      <c r="C2982" t="inlineStr">
        <is>
          <t>Föryngringsavverkning</t>
        </is>
      </c>
      <c r="D2982" s="1" t="n">
        <v>46176</v>
      </c>
      <c r="E2982" s="1" t="n">
        <v>46319</v>
      </c>
      <c r="F2982" t="inlineStr">
        <is>
          <t>DALARNAS LÄN</t>
        </is>
      </c>
      <c r="G2982" t="inlineStr">
        <is>
          <t>SMEDJEBACKEN</t>
        </is>
      </c>
      <c r="H2982" t="inlineStr">
        <is>
          <t>Sveaskog</t>
        </is>
      </c>
      <c r="I2982" t="n">
        <v>18.4</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44499-2022</t>
        </is>
      </c>
      <c r="B2983" t="inlineStr">
        <is>
          <t>avverkningsanmälan</t>
        </is>
      </c>
      <c r="C2983" t="inlineStr">
        <is>
          <t>Föryngringsavverkning</t>
        </is>
      </c>
      <c r="D2983" s="1" t="n">
        <v>44840</v>
      </c>
      <c r="E2983" s="1" t="n">
        <v>46319</v>
      </c>
      <c r="F2983" t="inlineStr">
        <is>
          <t>DALARNAS LÄN</t>
        </is>
      </c>
      <c r="G2983" t="inlineStr">
        <is>
          <t>RÄTTVIK</t>
        </is>
      </c>
      <c r="I2983" t="n">
        <v>2</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3722-2024</t>
        </is>
      </c>
      <c r="B2984" t="inlineStr">
        <is>
          <t>avverkningsanmälan</t>
        </is>
      </c>
      <c r="C2984" t="inlineStr">
        <is>
          <t>Föryngringsavverkning</t>
        </is>
      </c>
      <c r="D2984" s="1" t="n">
        <v>45321</v>
      </c>
      <c r="E2984" s="1" t="n">
        <v>46319</v>
      </c>
      <c r="F2984" t="inlineStr">
        <is>
          <t>DALARNAS LÄN</t>
        </is>
      </c>
      <c r="G2984" t="inlineStr">
        <is>
          <t>RÄTTVIK</t>
        </is>
      </c>
      <c r="I2984" t="n">
        <v>0.4</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50300-2025</t>
        </is>
      </c>
      <c r="B2985" t="inlineStr">
        <is>
          <t>avverkningsanmälan</t>
        </is>
      </c>
      <c r="C2985" t="inlineStr">
        <is>
          <t>Föryngringsavverkning</t>
        </is>
      </c>
      <c r="D2985" s="1" t="n">
        <v>45944</v>
      </c>
      <c r="E2985" s="1" t="n">
        <v>46319</v>
      </c>
      <c r="F2985" t="inlineStr">
        <is>
          <t>DALARNAS LÄN</t>
        </is>
      </c>
      <c r="G2985" t="inlineStr">
        <is>
          <t>FALUN</t>
        </is>
      </c>
      <c r="H2985" t="inlineStr">
        <is>
          <t>Bergvik skog väst AB</t>
        </is>
      </c>
      <c r="I2985" t="n">
        <v>13.2</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50197-2025</t>
        </is>
      </c>
      <c r="B2986" t="inlineStr">
        <is>
          <t>avverkningsanmälan</t>
        </is>
      </c>
      <c r="C2986" t="inlineStr">
        <is>
          <t>Föryngringsavverkning</t>
        </is>
      </c>
      <c r="D2986" s="1" t="n">
        <v>45943</v>
      </c>
      <c r="E2986" s="1" t="n">
        <v>46319</v>
      </c>
      <c r="F2986" t="inlineStr">
        <is>
          <t>DALARNAS LÄN</t>
        </is>
      </c>
      <c r="G2986" t="inlineStr">
        <is>
          <t>RÄTTVIK</t>
        </is>
      </c>
      <c r="I2986" t="n">
        <v>0.6</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25576-2026</t>
        </is>
      </c>
      <c r="B2987" t="inlineStr">
        <is>
          <t>avverkningsanmälan</t>
        </is>
      </c>
      <c r="C2987" t="inlineStr">
        <is>
          <t>Föryngringsavverkning</t>
        </is>
      </c>
      <c r="D2987" s="1" t="n">
        <v>46177</v>
      </c>
      <c r="E2987" s="1" t="n">
        <v>46319</v>
      </c>
      <c r="F2987" t="inlineStr">
        <is>
          <t>DALARNAS LÄN</t>
        </is>
      </c>
      <c r="G2987" t="inlineStr">
        <is>
          <t>ORSA</t>
        </is>
      </c>
      <c r="H2987" t="inlineStr">
        <is>
          <t>Bergvik skog öst AB</t>
        </is>
      </c>
      <c r="I2987" t="n">
        <v>2.1</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18022-2024</t>
        </is>
      </c>
      <c r="B2988" t="inlineStr">
        <is>
          <t>avverkningsanmälan</t>
        </is>
      </c>
      <c r="C2988" t="inlineStr">
        <is>
          <t>Avverkning för annat ändamål</t>
        </is>
      </c>
      <c r="D2988" s="1" t="n">
        <v>45420</v>
      </c>
      <c r="E2988" s="1" t="n">
        <v>46319</v>
      </c>
      <c r="F2988" t="inlineStr">
        <is>
          <t>DALARNAS LÄN</t>
        </is>
      </c>
      <c r="G2988" t="inlineStr">
        <is>
          <t>SMEDJEBACKEN</t>
        </is>
      </c>
      <c r="H2988" t="inlineStr">
        <is>
          <t>Sveaskog</t>
        </is>
      </c>
      <c r="I2988" t="n">
        <v>0.3</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51405-2022</t>
        </is>
      </c>
      <c r="B2989" t="inlineStr">
        <is>
          <t>avverkningsanmälan</t>
        </is>
      </c>
      <c r="C2989" t="inlineStr">
        <is>
          <t>Föryngringsavverkning</t>
        </is>
      </c>
      <c r="D2989" s="1" t="n">
        <v>44869</v>
      </c>
      <c r="E2989" s="1" t="n">
        <v>46319</v>
      </c>
      <c r="F2989" t="inlineStr">
        <is>
          <t>DALARNAS LÄN</t>
        </is>
      </c>
      <c r="G2989" t="inlineStr">
        <is>
          <t>SÄTER</t>
        </is>
      </c>
      <c r="I2989" t="n">
        <v>1.5</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71817-2021</t>
        </is>
      </c>
      <c r="B2990" t="inlineStr">
        <is>
          <t>avverkningsanmälan</t>
        </is>
      </c>
      <c r="C2990" t="inlineStr">
        <is>
          <t>Föryngringsavverkning</t>
        </is>
      </c>
      <c r="D2990" s="1" t="n">
        <v>44543</v>
      </c>
      <c r="E2990" s="1" t="n">
        <v>46319</v>
      </c>
      <c r="F2990" t="inlineStr">
        <is>
          <t>DALARNAS LÄN</t>
        </is>
      </c>
      <c r="G2990" t="inlineStr">
        <is>
          <t>LEKSAND</t>
        </is>
      </c>
      <c r="H2990" t="inlineStr">
        <is>
          <t>Bergvik skog väst AB</t>
        </is>
      </c>
      <c r="I2990" t="n">
        <v>3</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33673-2023</t>
        </is>
      </c>
      <c r="B2991" t="inlineStr">
        <is>
          <t>avverkningsanmälan</t>
        </is>
      </c>
      <c r="C2991" t="inlineStr">
        <is>
          <t>Föryngringsavverkning</t>
        </is>
      </c>
      <c r="D2991" s="1" t="n">
        <v>45132</v>
      </c>
      <c r="E2991" s="1" t="n">
        <v>46319</v>
      </c>
      <c r="F2991" t="inlineStr">
        <is>
          <t>DALARNAS LÄN</t>
        </is>
      </c>
      <c r="G2991" t="inlineStr">
        <is>
          <t>ORSA</t>
        </is>
      </c>
      <c r="I2991" t="n">
        <v>0.9</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25290-2026</t>
        </is>
      </c>
      <c r="B2992" t="inlineStr">
        <is>
          <t>avverkningsanmälan</t>
        </is>
      </c>
      <c r="C2992" t="inlineStr">
        <is>
          <t>Föryngringsavverkning</t>
        </is>
      </c>
      <c r="D2992" s="1" t="n">
        <v>46176</v>
      </c>
      <c r="E2992" s="1" t="n">
        <v>46319</v>
      </c>
      <c r="F2992" t="inlineStr">
        <is>
          <t>DALARNAS LÄN</t>
        </is>
      </c>
      <c r="G2992" t="inlineStr">
        <is>
          <t>SMEDJEBACKEN</t>
        </is>
      </c>
      <c r="H2992" t="inlineStr">
        <is>
          <t>Sveaskog</t>
        </is>
      </c>
      <c r="I2992" t="n">
        <v>0.9</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25305-2026</t>
        </is>
      </c>
      <c r="B2993" t="inlineStr">
        <is>
          <t>avverkningsanmälan</t>
        </is>
      </c>
      <c r="C2993" t="inlineStr">
        <is>
          <t>Föryngringsavverkning</t>
        </is>
      </c>
      <c r="D2993" s="1" t="n">
        <v>46176</v>
      </c>
      <c r="E2993" s="1" t="n">
        <v>46319</v>
      </c>
      <c r="F2993" t="inlineStr">
        <is>
          <t>DALARNAS LÄN</t>
        </is>
      </c>
      <c r="G2993" t="inlineStr">
        <is>
          <t>BORLÄNGE</t>
        </is>
      </c>
      <c r="I2993" t="n">
        <v>2</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25601-2026</t>
        </is>
      </c>
      <c r="B2994" t="inlineStr">
        <is>
          <t>avverkningsanmälan</t>
        </is>
      </c>
      <c r="C2994" t="inlineStr">
        <is>
          <t>Föryngringsavverkning</t>
        </is>
      </c>
      <c r="D2994" s="1" t="n">
        <v>46177</v>
      </c>
      <c r="E2994" s="1" t="n">
        <v>46319</v>
      </c>
      <c r="F2994" t="inlineStr">
        <is>
          <t>DALARNAS LÄN</t>
        </is>
      </c>
      <c r="G2994" t="inlineStr">
        <is>
          <t>FALUN</t>
        </is>
      </c>
      <c r="H2994" t="inlineStr">
        <is>
          <t>Bergvik skog väst AB</t>
        </is>
      </c>
      <c r="I2994" t="n">
        <v>11.8</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25606-2026</t>
        </is>
      </c>
      <c r="B2995" t="inlineStr">
        <is>
          <t>avverkningsanmälan</t>
        </is>
      </c>
      <c r="C2995" t="inlineStr">
        <is>
          <t>Föryngringsavverkning</t>
        </is>
      </c>
      <c r="D2995" s="1" t="n">
        <v>46177</v>
      </c>
      <c r="E2995" s="1" t="n">
        <v>46319</v>
      </c>
      <c r="F2995" t="inlineStr">
        <is>
          <t>DALARNAS LÄN</t>
        </is>
      </c>
      <c r="G2995" t="inlineStr">
        <is>
          <t>ÄLVDALEN</t>
        </is>
      </c>
      <c r="I2995" t="n">
        <v>2.7</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25344-2026</t>
        </is>
      </c>
      <c r="B2996" t="inlineStr">
        <is>
          <t>avverkningsanmälan</t>
        </is>
      </c>
      <c r="C2996" t="inlineStr">
        <is>
          <t>Föryngringsavverkning</t>
        </is>
      </c>
      <c r="D2996" s="1" t="n">
        <v>46176</v>
      </c>
      <c r="E2996" s="1" t="n">
        <v>46319</v>
      </c>
      <c r="F2996" t="inlineStr">
        <is>
          <t>DALARNAS LÄN</t>
        </is>
      </c>
      <c r="G2996" t="inlineStr">
        <is>
          <t>FALUN</t>
        </is>
      </c>
      <c r="I2996" t="n">
        <v>2.2</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50754-2025</t>
        </is>
      </c>
      <c r="B2997" t="inlineStr">
        <is>
          <t>avverkningsanmälan</t>
        </is>
      </c>
      <c r="C2997" t="inlineStr">
        <is>
          <t>Föryngringsavverkning</t>
        </is>
      </c>
      <c r="D2997" s="1" t="n">
        <v>45946</v>
      </c>
      <c r="E2997" s="1" t="n">
        <v>46319</v>
      </c>
      <c r="F2997" t="inlineStr">
        <is>
          <t>DALARNAS LÄN</t>
        </is>
      </c>
      <c r="G2997" t="inlineStr">
        <is>
          <t>GAGNEF</t>
        </is>
      </c>
      <c r="I2997" t="n">
        <v>0.7</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51138-2022</t>
        </is>
      </c>
      <c r="B2998" t="inlineStr">
        <is>
          <t>avverkningsanmälan</t>
        </is>
      </c>
      <c r="C2998" t="inlineStr">
        <is>
          <t>Föryngringsavverkning</t>
        </is>
      </c>
      <c r="D2998" s="1" t="n">
        <v>44868</v>
      </c>
      <c r="E2998" s="1" t="n">
        <v>46319</v>
      </c>
      <c r="F2998" t="inlineStr">
        <is>
          <t>DALARNAS LÄN</t>
        </is>
      </c>
      <c r="G2998" t="inlineStr">
        <is>
          <t>GAGNEF</t>
        </is>
      </c>
      <c r="I2998" t="n">
        <v>0.6</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24687-2026</t>
        </is>
      </c>
      <c r="B2999" t="inlineStr">
        <is>
          <t>avverkningsanmälan</t>
        </is>
      </c>
      <c r="C2999" t="inlineStr">
        <is>
          <t>Föryngringsavverkning</t>
        </is>
      </c>
      <c r="D2999" s="1" t="n">
        <v>46171</v>
      </c>
      <c r="E2999" s="1" t="n">
        <v>46319</v>
      </c>
      <c r="F2999" t="inlineStr">
        <is>
          <t>DALARNAS LÄN</t>
        </is>
      </c>
      <c r="G2999" t="inlineStr">
        <is>
          <t>LUDVIKA</t>
        </is>
      </c>
      <c r="H2999" t="inlineStr">
        <is>
          <t>Bergvik skog väst AB</t>
        </is>
      </c>
      <c r="I2999" t="n">
        <v>13.2</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47344-2025</t>
        </is>
      </c>
      <c r="B3000" t="inlineStr">
        <is>
          <t>avverkningsanmälan</t>
        </is>
      </c>
      <c r="C3000" t="inlineStr">
        <is>
          <t>Föryngringsavverkning</t>
        </is>
      </c>
      <c r="D3000" s="1" t="n">
        <v>45930</v>
      </c>
      <c r="E3000" s="1" t="n">
        <v>46319</v>
      </c>
      <c r="F3000" t="inlineStr">
        <is>
          <t>DALARNAS LÄN</t>
        </is>
      </c>
      <c r="G3000" t="inlineStr">
        <is>
          <t>RÄTTVIK</t>
        </is>
      </c>
      <c r="I3000" t="n">
        <v>5.1</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43879-2022</t>
        </is>
      </c>
      <c r="B3001" t="inlineStr">
        <is>
          <t>avverkningsanmälan</t>
        </is>
      </c>
      <c r="C3001" t="inlineStr">
        <is>
          <t>Föryngringsavverkning</t>
        </is>
      </c>
      <c r="D3001" s="1" t="n">
        <v>44838</v>
      </c>
      <c r="E3001" s="1" t="n">
        <v>46319</v>
      </c>
      <c r="F3001" t="inlineStr">
        <is>
          <t>DALARNAS LÄN</t>
        </is>
      </c>
      <c r="G3001" t="inlineStr">
        <is>
          <t>MORA</t>
        </is>
      </c>
      <c r="I3001" t="n">
        <v>3.4</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61288-2021</t>
        </is>
      </c>
      <c r="B3002" t="inlineStr">
        <is>
          <t>avverkningsanmälan</t>
        </is>
      </c>
      <c r="C3002" t="inlineStr">
        <is>
          <t>Föryngringsavverkning</t>
        </is>
      </c>
      <c r="D3002" s="1" t="n">
        <v>44498</v>
      </c>
      <c r="E3002" s="1" t="n">
        <v>46319</v>
      </c>
      <c r="F3002" t="inlineStr">
        <is>
          <t>DALARNAS LÄN</t>
        </is>
      </c>
      <c r="G3002" t="inlineStr">
        <is>
          <t>BORLÄNGE</t>
        </is>
      </c>
      <c r="I3002" t="n">
        <v>11.7</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25783-2023</t>
        </is>
      </c>
      <c r="B3003" t="inlineStr">
        <is>
          <t>avverkningsanmälan</t>
        </is>
      </c>
      <c r="C3003" t="inlineStr">
        <is>
          <t>Föryngringsavverkning</t>
        </is>
      </c>
      <c r="D3003" s="1" t="n">
        <v>45090</v>
      </c>
      <c r="E3003" s="1" t="n">
        <v>46319</v>
      </c>
      <c r="F3003" t="inlineStr">
        <is>
          <t>DALARNAS LÄN</t>
        </is>
      </c>
      <c r="G3003" t="inlineStr">
        <is>
          <t>RÄTTVIK</t>
        </is>
      </c>
      <c r="I3003" t="n">
        <v>1.6</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50622-2025</t>
        </is>
      </c>
      <c r="B3004" t="inlineStr">
        <is>
          <t>avverkningsanmälan</t>
        </is>
      </c>
      <c r="C3004" t="inlineStr">
        <is>
          <t>Föryngringsavverkning</t>
        </is>
      </c>
      <c r="D3004" s="1" t="n">
        <v>45945</v>
      </c>
      <c r="E3004" s="1" t="n">
        <v>46319</v>
      </c>
      <c r="F3004" t="inlineStr">
        <is>
          <t>DALARNAS LÄN</t>
        </is>
      </c>
      <c r="G3004" t="inlineStr">
        <is>
          <t>VANSBRO</t>
        </is>
      </c>
      <c r="H3004" t="inlineStr">
        <is>
          <t>Bergvik skog väst AB</t>
        </is>
      </c>
      <c r="I3004" t="n">
        <v>2</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50630-2025</t>
        </is>
      </c>
      <c r="B3005" t="inlineStr">
        <is>
          <t>avverkningsanmälan</t>
        </is>
      </c>
      <c r="C3005" t="inlineStr">
        <is>
          <t>Föryngringsavverkning</t>
        </is>
      </c>
      <c r="D3005" s="1" t="n">
        <v>45945</v>
      </c>
      <c r="E3005" s="1" t="n">
        <v>46319</v>
      </c>
      <c r="F3005" t="inlineStr">
        <is>
          <t>DALARNAS LÄN</t>
        </is>
      </c>
      <c r="G3005" t="inlineStr">
        <is>
          <t>FALUN</t>
        </is>
      </c>
      <c r="I3005" t="n">
        <v>0.6</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50649-2025</t>
        </is>
      </c>
      <c r="B3006" t="inlineStr">
        <is>
          <t>avverkningsanmälan</t>
        </is>
      </c>
      <c r="C3006" t="inlineStr">
        <is>
          <t>Föryngringsavverkning</t>
        </is>
      </c>
      <c r="D3006" s="1" t="n">
        <v>45945</v>
      </c>
      <c r="E3006" s="1" t="n">
        <v>46319</v>
      </c>
      <c r="F3006" t="inlineStr">
        <is>
          <t>DALARNAS LÄN</t>
        </is>
      </c>
      <c r="G3006" t="inlineStr">
        <is>
          <t>SÄTER</t>
        </is>
      </c>
      <c r="H3006" t="inlineStr">
        <is>
          <t>Bergvik skog väst AB</t>
        </is>
      </c>
      <c r="I3006" t="n">
        <v>1</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50680-2025</t>
        </is>
      </c>
      <c r="B3007" t="inlineStr">
        <is>
          <t>avverkningsanmälan</t>
        </is>
      </c>
      <c r="C3007" t="inlineStr">
        <is>
          <t>Föryngringsavverkning</t>
        </is>
      </c>
      <c r="D3007" s="1" t="n">
        <v>45945</v>
      </c>
      <c r="E3007" s="1" t="n">
        <v>46319</v>
      </c>
      <c r="F3007" t="inlineStr">
        <is>
          <t>DALARNAS LÄN</t>
        </is>
      </c>
      <c r="G3007" t="inlineStr">
        <is>
          <t>SMEDJEBACKEN</t>
        </is>
      </c>
      <c r="H3007" t="inlineStr">
        <is>
          <t>Bergvik skog väst AB</t>
        </is>
      </c>
      <c r="I3007" t="n">
        <v>24.5</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24609-2026</t>
        </is>
      </c>
      <c r="B3008" t="inlineStr">
        <is>
          <t>avverkningsanmälan</t>
        </is>
      </c>
      <c r="C3008" t="inlineStr">
        <is>
          <t>Föryngringsavverkning</t>
        </is>
      </c>
      <c r="D3008" s="1" t="n">
        <v>46171</v>
      </c>
      <c r="E3008" s="1" t="n">
        <v>46319</v>
      </c>
      <c r="F3008" t="inlineStr">
        <is>
          <t>DALARNAS LÄN</t>
        </is>
      </c>
      <c r="G3008" t="inlineStr">
        <is>
          <t>LUDVIKA</t>
        </is>
      </c>
      <c r="H3008" t="inlineStr">
        <is>
          <t>Bergvik skog väst AB</t>
        </is>
      </c>
      <c r="I3008" t="n">
        <v>1.3</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24678-2026</t>
        </is>
      </c>
      <c r="B3009" t="inlineStr">
        <is>
          <t>avverkningsanmälan</t>
        </is>
      </c>
      <c r="C3009" t="inlineStr">
        <is>
          <t>Föryngringsavverkning</t>
        </is>
      </c>
      <c r="D3009" s="1" t="n">
        <v>46171</v>
      </c>
      <c r="E3009" s="1" t="n">
        <v>46319</v>
      </c>
      <c r="F3009" t="inlineStr">
        <is>
          <t>DALARNAS LÄN</t>
        </is>
      </c>
      <c r="G3009" t="inlineStr">
        <is>
          <t>LUDVIKA</t>
        </is>
      </c>
      <c r="H3009" t="inlineStr">
        <is>
          <t>Bergvik skog väst AB</t>
        </is>
      </c>
      <c r="I3009" t="n">
        <v>3</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23515-2026</t>
        </is>
      </c>
      <c r="B3010" t="inlineStr">
        <is>
          <t>avverkningsanmälan</t>
        </is>
      </c>
      <c r="C3010" t="inlineStr">
        <is>
          <t>Föryngringsavverkning</t>
        </is>
      </c>
      <c r="D3010" s="1" t="n">
        <v>46163</v>
      </c>
      <c r="E3010" s="1" t="n">
        <v>46319</v>
      </c>
      <c r="F3010" t="inlineStr">
        <is>
          <t>DALARNAS LÄN</t>
        </is>
      </c>
      <c r="G3010" t="inlineStr">
        <is>
          <t>LUDVIKA</t>
        </is>
      </c>
      <c r="H3010" t="inlineStr">
        <is>
          <t>Bergvik skog väst AB</t>
        </is>
      </c>
      <c r="I3010" t="n">
        <v>1.6</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24673-2026</t>
        </is>
      </c>
      <c r="B3011" t="inlineStr">
        <is>
          <t>avverkningsanmälan</t>
        </is>
      </c>
      <c r="C3011" t="inlineStr">
        <is>
          <t>Föryngringsavverkning</t>
        </is>
      </c>
      <c r="D3011" s="1" t="n">
        <v>46171</v>
      </c>
      <c r="E3011" s="1" t="n">
        <v>46319</v>
      </c>
      <c r="F3011" t="inlineStr">
        <is>
          <t>DALARNAS LÄN</t>
        </is>
      </c>
      <c r="G3011" t="inlineStr">
        <is>
          <t>LUDVIKA</t>
        </is>
      </c>
      <c r="H3011" t="inlineStr">
        <is>
          <t>Bergvik skog väst AB</t>
        </is>
      </c>
      <c r="I3011" t="n">
        <v>1.5</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25358-2026</t>
        </is>
      </c>
      <c r="B3012" t="inlineStr">
        <is>
          <t>avverkningsanmälan</t>
        </is>
      </c>
      <c r="C3012" t="inlineStr">
        <is>
          <t>Föryngringsavverkning</t>
        </is>
      </c>
      <c r="D3012" s="1" t="n">
        <v>46176</v>
      </c>
      <c r="E3012" s="1" t="n">
        <v>46319</v>
      </c>
      <c r="F3012" t="inlineStr">
        <is>
          <t>DALARNAS LÄN</t>
        </is>
      </c>
      <c r="G3012" t="inlineStr">
        <is>
          <t>FALUN</t>
        </is>
      </c>
      <c r="H3012" t="inlineStr">
        <is>
          <t>Bergvik skog väst AB</t>
        </is>
      </c>
      <c r="I3012" t="n">
        <v>0.5</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23489-2024</t>
        </is>
      </c>
      <c r="B3013" t="inlineStr">
        <is>
          <t>avverkningsanmälan</t>
        </is>
      </c>
      <c r="C3013" t="inlineStr">
        <is>
          <t>Föryngringsavverkning</t>
        </is>
      </c>
      <c r="D3013" s="1" t="n">
        <v>45453</v>
      </c>
      <c r="E3013" s="1" t="n">
        <v>46319</v>
      </c>
      <c r="F3013" t="inlineStr">
        <is>
          <t>DALARNAS LÄN</t>
        </is>
      </c>
      <c r="G3013" t="inlineStr">
        <is>
          <t>GAGNEF</t>
        </is>
      </c>
      <c r="I3013" t="n">
        <v>0.6</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48522-2023</t>
        </is>
      </c>
      <c r="B3014" t="inlineStr">
        <is>
          <t>avverkningsanmälan</t>
        </is>
      </c>
      <c r="C3014" t="inlineStr">
        <is>
          <t>Föryngringsavverkning</t>
        </is>
      </c>
      <c r="D3014" s="1" t="n">
        <v>45208</v>
      </c>
      <c r="E3014" s="1" t="n">
        <v>46319</v>
      </c>
      <c r="F3014" t="inlineStr">
        <is>
          <t>DALARNAS LÄN</t>
        </is>
      </c>
      <c r="G3014" t="inlineStr">
        <is>
          <t>LUDVIKA</t>
        </is>
      </c>
      <c r="H3014" t="inlineStr">
        <is>
          <t>Bergvik skog väst AB</t>
        </is>
      </c>
      <c r="I3014" t="n">
        <v>1.7</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25421-2026</t>
        </is>
      </c>
      <c r="B3015" t="inlineStr">
        <is>
          <t>avverkningsanmälan</t>
        </is>
      </c>
      <c r="C3015" t="inlineStr">
        <is>
          <t>Föryngringsavverkning</t>
        </is>
      </c>
      <c r="D3015" s="1" t="n">
        <v>46177</v>
      </c>
      <c r="E3015" s="1" t="n">
        <v>46319</v>
      </c>
      <c r="F3015" t="inlineStr">
        <is>
          <t>DALARNAS LÄN</t>
        </is>
      </c>
      <c r="G3015" t="inlineStr">
        <is>
          <t>HEDEMORA</t>
        </is>
      </c>
      <c r="H3015" t="inlineStr">
        <is>
          <t>Sveaskog</t>
        </is>
      </c>
      <c r="I3015" t="n">
        <v>1.1</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25320-2026</t>
        </is>
      </c>
      <c r="B3016" t="inlineStr">
        <is>
          <t>avverkningsanmälan</t>
        </is>
      </c>
      <c r="C3016" t="inlineStr">
        <is>
          <t>Föryngringsavverkning</t>
        </is>
      </c>
      <c r="D3016" s="1" t="n">
        <v>46176</v>
      </c>
      <c r="E3016" s="1" t="n">
        <v>46319</v>
      </c>
      <c r="F3016" t="inlineStr">
        <is>
          <t>DALARNAS LÄN</t>
        </is>
      </c>
      <c r="G3016" t="inlineStr">
        <is>
          <t>LUDVIKA</t>
        </is>
      </c>
      <c r="H3016" t="inlineStr">
        <is>
          <t>Bergvik skog väst AB</t>
        </is>
      </c>
      <c r="I3016" t="n">
        <v>8.1</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23917-2026</t>
        </is>
      </c>
      <c r="B3017" t="inlineStr">
        <is>
          <t>avverkningsanmälan</t>
        </is>
      </c>
      <c r="C3017" t="inlineStr">
        <is>
          <t>Föryngringsavverkning</t>
        </is>
      </c>
      <c r="D3017" s="1" t="n">
        <v>46167</v>
      </c>
      <c r="E3017" s="1" t="n">
        <v>46319</v>
      </c>
      <c r="F3017" t="inlineStr">
        <is>
          <t>DALARNAS LÄN</t>
        </is>
      </c>
      <c r="G3017" t="inlineStr">
        <is>
          <t>LUDVIKA</t>
        </is>
      </c>
      <c r="H3017" t="inlineStr">
        <is>
          <t>Bergvik skog väst AB</t>
        </is>
      </c>
      <c r="I3017" t="n">
        <v>6</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24772-2024</t>
        </is>
      </c>
      <c r="B3018" t="inlineStr">
        <is>
          <t>avverkningsanmälan</t>
        </is>
      </c>
      <c r="C3018" t="inlineStr">
        <is>
          <t>Föryngringsavverkning</t>
        </is>
      </c>
      <c r="D3018" s="1" t="n">
        <v>45460</v>
      </c>
      <c r="E3018" s="1" t="n">
        <v>46319</v>
      </c>
      <c r="F3018" t="inlineStr">
        <is>
          <t>DALARNAS LÄN</t>
        </is>
      </c>
      <c r="G3018" t="inlineStr">
        <is>
          <t>MORA</t>
        </is>
      </c>
      <c r="I3018" t="n">
        <v>0.9</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50682-2025</t>
        </is>
      </c>
      <c r="B3019" t="inlineStr">
        <is>
          <t>avverkningsanmälan</t>
        </is>
      </c>
      <c r="C3019" t="inlineStr">
        <is>
          <t>Föryngringsavverkning</t>
        </is>
      </c>
      <c r="D3019" s="1" t="n">
        <v>45945</v>
      </c>
      <c r="E3019" s="1" t="n">
        <v>46319</v>
      </c>
      <c r="F3019" t="inlineStr">
        <is>
          <t>DALARNAS LÄN</t>
        </is>
      </c>
      <c r="G3019" t="inlineStr">
        <is>
          <t>SMEDJEBACKEN</t>
        </is>
      </c>
      <c r="H3019" t="inlineStr">
        <is>
          <t>Bergvik skog väst AB</t>
        </is>
      </c>
      <c r="I3019" t="n">
        <v>17.4</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4150-2023</t>
        </is>
      </c>
      <c r="B3020" t="inlineStr">
        <is>
          <t>avverkningsanmälan</t>
        </is>
      </c>
      <c r="C3020" t="inlineStr">
        <is>
          <t>Föryngringsavverkning</t>
        </is>
      </c>
      <c r="D3020" s="1" t="n">
        <v>44953</v>
      </c>
      <c r="E3020" s="1" t="n">
        <v>46319</v>
      </c>
      <c r="F3020" t="inlineStr">
        <is>
          <t>DALARNAS LÄN</t>
        </is>
      </c>
      <c r="G3020" t="inlineStr">
        <is>
          <t>RÄTTVIK</t>
        </is>
      </c>
      <c r="I3020" t="n">
        <v>1.3</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53408-2023</t>
        </is>
      </c>
      <c r="B3021" t="inlineStr">
        <is>
          <t>avverkningsanmälan</t>
        </is>
      </c>
      <c r="C3021" t="inlineStr">
        <is>
          <t>Föryngringsavverkning</t>
        </is>
      </c>
      <c r="D3021" s="1" t="n">
        <v>45229</v>
      </c>
      <c r="E3021" s="1" t="n">
        <v>46319</v>
      </c>
      <c r="F3021" t="inlineStr">
        <is>
          <t>DALARNAS LÄN</t>
        </is>
      </c>
      <c r="G3021" t="inlineStr">
        <is>
          <t>ÄLVDALEN</t>
        </is>
      </c>
      <c r="I3021" t="n">
        <v>2</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44315-2023</t>
        </is>
      </c>
      <c r="B3022" t="inlineStr">
        <is>
          <t>avverkningsanmälan</t>
        </is>
      </c>
      <c r="C3022" t="inlineStr">
        <is>
          <t>Föryngringsavverkning</t>
        </is>
      </c>
      <c r="D3022" s="1" t="n">
        <v>45188</v>
      </c>
      <c r="E3022" s="1" t="n">
        <v>46319</v>
      </c>
      <c r="F3022" t="inlineStr">
        <is>
          <t>DALARNAS LÄN</t>
        </is>
      </c>
      <c r="G3022" t="inlineStr">
        <is>
          <t>FALUN</t>
        </is>
      </c>
      <c r="I3022" t="n">
        <v>1.1</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3792-2024</t>
        </is>
      </c>
      <c r="B3023" t="inlineStr">
        <is>
          <t>avverkningsanmälan</t>
        </is>
      </c>
      <c r="C3023" t="inlineStr">
        <is>
          <t>Avverkning för annat ändamål</t>
        </is>
      </c>
      <c r="D3023" s="1" t="n">
        <v>45321</v>
      </c>
      <c r="E3023" s="1" t="n">
        <v>46319</v>
      </c>
      <c r="F3023" t="inlineStr">
        <is>
          <t>DALARNAS LÄN</t>
        </is>
      </c>
      <c r="G3023" t="inlineStr">
        <is>
          <t>MALUNG-SÄLEN</t>
        </is>
      </c>
      <c r="H3023" t="inlineStr">
        <is>
          <t>Bergvik skog öst AB</t>
        </is>
      </c>
      <c r="I3023" t="n">
        <v>2.3</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412-2024</t>
        </is>
      </c>
      <c r="B3024" t="inlineStr">
        <is>
          <t>avverkningsanmälan</t>
        </is>
      </c>
      <c r="C3024" t="inlineStr">
        <is>
          <t>Föryngringsavverkning</t>
        </is>
      </c>
      <c r="D3024" s="1" t="n">
        <v>45296</v>
      </c>
      <c r="E3024" s="1" t="n">
        <v>46319</v>
      </c>
      <c r="F3024" t="inlineStr">
        <is>
          <t>DALARNAS LÄN</t>
        </is>
      </c>
      <c r="G3024" t="inlineStr">
        <is>
          <t>LEKSAND</t>
        </is>
      </c>
      <c r="I3024" t="n">
        <v>1.9</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12-2024</t>
        </is>
      </c>
      <c r="B3025" t="inlineStr">
        <is>
          <t>avverkningsanmälan</t>
        </is>
      </c>
      <c r="C3025" t="inlineStr">
        <is>
          <t>Föryngringsavverkning</t>
        </is>
      </c>
      <c r="D3025" s="1" t="n">
        <v>45293</v>
      </c>
      <c r="E3025" s="1" t="n">
        <v>46319</v>
      </c>
      <c r="F3025" t="inlineStr">
        <is>
          <t>DALARNAS LÄN</t>
        </is>
      </c>
      <c r="G3025" t="inlineStr">
        <is>
          <t>MALUNG-SÄLEN</t>
        </is>
      </c>
      <c r="I3025" t="n">
        <v>2.4</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32-2024</t>
        </is>
      </c>
      <c r="B3026" t="inlineStr">
        <is>
          <t>avverkningsanmälan</t>
        </is>
      </c>
      <c r="C3026" t="inlineStr">
        <is>
          <t>Föryngringsavverkning</t>
        </is>
      </c>
      <c r="D3026" s="1" t="n">
        <v>45293</v>
      </c>
      <c r="E3026" s="1" t="n">
        <v>46319</v>
      </c>
      <c r="F3026" t="inlineStr">
        <is>
          <t>DALARNAS LÄN</t>
        </is>
      </c>
      <c r="G3026" t="inlineStr">
        <is>
          <t>LEKSAND</t>
        </is>
      </c>
      <c r="I3026" t="n">
        <v>0.6</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59673-2023</t>
        </is>
      </c>
      <c r="B3027" t="inlineStr">
        <is>
          <t>avverkningsanmälan</t>
        </is>
      </c>
      <c r="C3027" t="inlineStr">
        <is>
          <t>Föryngringsavverkning</t>
        </is>
      </c>
      <c r="D3027" s="1" t="n">
        <v>45255</v>
      </c>
      <c r="E3027" s="1" t="n">
        <v>46319</v>
      </c>
      <c r="F3027" t="inlineStr">
        <is>
          <t>DALARNAS LÄN</t>
        </is>
      </c>
      <c r="G3027" t="inlineStr">
        <is>
          <t>LEKSAND</t>
        </is>
      </c>
      <c r="I3027" t="n">
        <v>12.2</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41664-2022</t>
        </is>
      </c>
      <c r="B3028" t="inlineStr">
        <is>
          <t>avverkningsanmälan</t>
        </is>
      </c>
      <c r="C3028" t="inlineStr">
        <is>
          <t>Föryngringsavverkning</t>
        </is>
      </c>
      <c r="D3028" s="1" t="n">
        <v>44827</v>
      </c>
      <c r="E3028" s="1" t="n">
        <v>46319</v>
      </c>
      <c r="F3028" t="inlineStr">
        <is>
          <t>DALARNAS LÄN</t>
        </is>
      </c>
      <c r="G3028" t="inlineStr">
        <is>
          <t>FALUN</t>
        </is>
      </c>
      <c r="I3028" t="n">
        <v>3.1</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23103-2024</t>
        </is>
      </c>
      <c r="B3029" t="inlineStr">
        <is>
          <t>avverkningsanmälan</t>
        </is>
      </c>
      <c r="C3029" t="inlineStr">
        <is>
          <t>Föryngringsavverkning</t>
        </is>
      </c>
      <c r="D3029" s="1" t="n">
        <v>45450</v>
      </c>
      <c r="E3029" s="1" t="n">
        <v>46319</v>
      </c>
      <c r="F3029" t="inlineStr">
        <is>
          <t>DALARNAS LÄN</t>
        </is>
      </c>
      <c r="G3029" t="inlineStr">
        <is>
          <t>LUDVIKA</t>
        </is>
      </c>
      <c r="I3029" t="n">
        <v>0.6</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39497-2022</t>
        </is>
      </c>
      <c r="B3030" t="inlineStr">
        <is>
          <t>avverkningsanmälan</t>
        </is>
      </c>
      <c r="C3030" t="inlineStr">
        <is>
          <t>Föryngringsavverkning</t>
        </is>
      </c>
      <c r="D3030" s="1" t="n">
        <v>44817</v>
      </c>
      <c r="E3030" s="1" t="n">
        <v>46319</v>
      </c>
      <c r="F3030" t="inlineStr">
        <is>
          <t>DALARNAS LÄN</t>
        </is>
      </c>
      <c r="G3030" t="inlineStr">
        <is>
          <t>HEDEMORA</t>
        </is>
      </c>
      <c r="H3030" t="inlineStr">
        <is>
          <t>Bergvik skog väst AB</t>
        </is>
      </c>
      <c r="I3030" t="n">
        <v>2.3</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55881-2023</t>
        </is>
      </c>
      <c r="B3031" t="inlineStr">
        <is>
          <t>avverkningsanmälan</t>
        </is>
      </c>
      <c r="C3031" t="inlineStr">
        <is>
          <t>Föryngringsavverkning</t>
        </is>
      </c>
      <c r="D3031" s="1" t="n">
        <v>45239</v>
      </c>
      <c r="E3031" s="1" t="n">
        <v>46319</v>
      </c>
      <c r="F3031" t="inlineStr">
        <is>
          <t>DALARNAS LÄN</t>
        </is>
      </c>
      <c r="G3031" t="inlineStr">
        <is>
          <t>HEDEMORA</t>
        </is>
      </c>
      <c r="H3031" t="inlineStr">
        <is>
          <t>Sveaskog</t>
        </is>
      </c>
      <c r="I3031" t="n">
        <v>3.9</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59174-2023</t>
        </is>
      </c>
      <c r="B3032" t="inlineStr">
        <is>
          <t>avverkningsanmälan</t>
        </is>
      </c>
      <c r="C3032" t="inlineStr">
        <is>
          <t>Föryngringsavverkning</t>
        </is>
      </c>
      <c r="D3032" s="1" t="n">
        <v>45253</v>
      </c>
      <c r="E3032" s="1" t="n">
        <v>46319</v>
      </c>
      <c r="F3032" t="inlineStr">
        <is>
          <t>DALARNAS LÄN</t>
        </is>
      </c>
      <c r="G3032" t="inlineStr">
        <is>
          <t>MORA</t>
        </is>
      </c>
      <c r="I3032" t="n">
        <v>2.5</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22629-2024</t>
        </is>
      </c>
      <c r="B3033" t="inlineStr">
        <is>
          <t>avverkningsanmälan</t>
        </is>
      </c>
      <c r="C3033" t="inlineStr">
        <is>
          <t>Föryngringsavverkning</t>
        </is>
      </c>
      <c r="D3033" s="1" t="n">
        <v>45447</v>
      </c>
      <c r="E3033" s="1" t="n">
        <v>46319</v>
      </c>
      <c r="F3033" t="inlineStr">
        <is>
          <t>DALARNAS LÄN</t>
        </is>
      </c>
      <c r="G3033" t="inlineStr">
        <is>
          <t>AVESTA</t>
        </is>
      </c>
      <c r="I3033" t="n">
        <v>3.7</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22281-2024</t>
        </is>
      </c>
      <c r="B3034" t="inlineStr">
        <is>
          <t>avverkningsanmälan</t>
        </is>
      </c>
      <c r="C3034" t="inlineStr">
        <is>
          <t>Föryngringsavverkning</t>
        </is>
      </c>
      <c r="D3034" s="1" t="n">
        <v>45446</v>
      </c>
      <c r="E3034" s="1" t="n">
        <v>46319</v>
      </c>
      <c r="F3034" t="inlineStr">
        <is>
          <t>DALARNAS LÄN</t>
        </is>
      </c>
      <c r="G3034" t="inlineStr">
        <is>
          <t>LEKSAND</t>
        </is>
      </c>
      <c r="H3034" t="inlineStr">
        <is>
          <t>Bergvik skog väst AB</t>
        </is>
      </c>
      <c r="I3034" t="n">
        <v>1.8</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18075-2024</t>
        </is>
      </c>
      <c r="B3035" t="inlineStr">
        <is>
          <t>avverkningsanmälan</t>
        </is>
      </c>
      <c r="C3035" t="inlineStr">
        <is>
          <t>Föryngringsavverkning</t>
        </is>
      </c>
      <c r="D3035" s="1" t="n">
        <v>45420</v>
      </c>
      <c r="E3035" s="1" t="n">
        <v>46319</v>
      </c>
      <c r="F3035" t="inlineStr">
        <is>
          <t>DALARNAS LÄN</t>
        </is>
      </c>
      <c r="G3035" t="inlineStr">
        <is>
          <t>ÄLVDALEN</t>
        </is>
      </c>
      <c r="H3035" t="inlineStr">
        <is>
          <t>Bergvik skog väst AB</t>
        </is>
      </c>
      <c r="I3035" t="n">
        <v>8.6</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562-2024</t>
        </is>
      </c>
      <c r="B3036" t="inlineStr">
        <is>
          <t>avverkningsanmälan</t>
        </is>
      </c>
      <c r="C3036" t="inlineStr">
        <is>
          <t>Föryngringsavverkning</t>
        </is>
      </c>
      <c r="D3036" s="1" t="n">
        <v>45299</v>
      </c>
      <c r="E3036" s="1" t="n">
        <v>46319</v>
      </c>
      <c r="F3036" t="inlineStr">
        <is>
          <t>DALARNAS LÄN</t>
        </is>
      </c>
      <c r="G3036" t="inlineStr">
        <is>
          <t>RÄTTVIK</t>
        </is>
      </c>
      <c r="I3036" t="n">
        <v>1.9</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18133-2024</t>
        </is>
      </c>
      <c r="B3037" t="inlineStr">
        <is>
          <t>avverkningsanmälan</t>
        </is>
      </c>
      <c r="C3037" t="inlineStr">
        <is>
          <t>Föryngringsavverkning</t>
        </is>
      </c>
      <c r="D3037" s="1" t="n">
        <v>45420</v>
      </c>
      <c r="E3037" s="1" t="n">
        <v>46319</v>
      </c>
      <c r="F3037" t="inlineStr">
        <is>
          <t>DALARNAS LÄN</t>
        </is>
      </c>
      <c r="G3037" t="inlineStr">
        <is>
          <t>SMEDJEBACKEN</t>
        </is>
      </c>
      <c r="H3037" t="inlineStr">
        <is>
          <t>Sveaskog</t>
        </is>
      </c>
      <c r="I3037" t="n">
        <v>8.5</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52040-2023</t>
        </is>
      </c>
      <c r="B3038" t="inlineStr">
        <is>
          <t>avverkningsanmälan</t>
        </is>
      </c>
      <c r="C3038" t="inlineStr">
        <is>
          <t>Föryngringsavverkning</t>
        </is>
      </c>
      <c r="D3038" s="1" t="n">
        <v>45223</v>
      </c>
      <c r="E3038" s="1" t="n">
        <v>46319</v>
      </c>
      <c r="F3038" t="inlineStr">
        <is>
          <t>DALARNAS LÄN</t>
        </is>
      </c>
      <c r="G3038" t="inlineStr">
        <is>
          <t>FALUN</t>
        </is>
      </c>
      <c r="I3038" t="n">
        <v>0.6</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52044-2023</t>
        </is>
      </c>
      <c r="B3039" t="inlineStr">
        <is>
          <t>avverkningsanmälan</t>
        </is>
      </c>
      <c r="C3039" t="inlineStr">
        <is>
          <t>Föryngringsavverkning</t>
        </is>
      </c>
      <c r="D3039" s="1" t="n">
        <v>45223</v>
      </c>
      <c r="E3039" s="1" t="n">
        <v>46319</v>
      </c>
      <c r="F3039" t="inlineStr">
        <is>
          <t>DALARNAS LÄN</t>
        </is>
      </c>
      <c r="G3039" t="inlineStr">
        <is>
          <t>ORSA</t>
        </is>
      </c>
      <c r="I3039" t="n">
        <v>2.6</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27344-2024</t>
        </is>
      </c>
      <c r="B3040" t="inlineStr">
        <is>
          <t>avverkningsanmälan</t>
        </is>
      </c>
      <c r="C3040" t="inlineStr">
        <is>
          <t>Föryngringsavverkning</t>
        </is>
      </c>
      <c r="D3040" s="1" t="n">
        <v>45473</v>
      </c>
      <c r="E3040" s="1" t="n">
        <v>46319</v>
      </c>
      <c r="F3040" t="inlineStr">
        <is>
          <t>DALARNAS LÄN</t>
        </is>
      </c>
      <c r="G3040" t="inlineStr">
        <is>
          <t>AVESTA</t>
        </is>
      </c>
      <c r="I3040" t="n">
        <v>0.8</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39219-2024</t>
        </is>
      </c>
      <c r="B3041" t="inlineStr">
        <is>
          <t>avverkningsanmälan</t>
        </is>
      </c>
      <c r="C3041" t="inlineStr">
        <is>
          <t>Föryngringsavverkning</t>
        </is>
      </c>
      <c r="D3041" s="1" t="n">
        <v>45549</v>
      </c>
      <c r="E3041" s="1" t="n">
        <v>46319</v>
      </c>
      <c r="F3041" t="inlineStr">
        <is>
          <t>DALARNAS LÄN</t>
        </is>
      </c>
      <c r="G3041" t="inlineStr">
        <is>
          <t>AVESTA</t>
        </is>
      </c>
      <c r="H3041" t="inlineStr">
        <is>
          <t>Sveaskog</t>
        </is>
      </c>
      <c r="I3041" t="n">
        <v>4.9</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30113-2023</t>
        </is>
      </c>
      <c r="B3042" t="inlineStr">
        <is>
          <t>avverkningsanmälan</t>
        </is>
      </c>
      <c r="C3042" t="inlineStr">
        <is>
          <t>Föryngringsavverkning</t>
        </is>
      </c>
      <c r="D3042" s="1" t="n">
        <v>45110</v>
      </c>
      <c r="E3042" s="1" t="n">
        <v>46319</v>
      </c>
      <c r="F3042" t="inlineStr">
        <is>
          <t>DALARNAS LÄN</t>
        </is>
      </c>
      <c r="G3042" t="inlineStr">
        <is>
          <t>LUDVIKA</t>
        </is>
      </c>
      <c r="I3042" t="n">
        <v>3.3</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12218-2024</t>
        </is>
      </c>
      <c r="B3043" t="inlineStr">
        <is>
          <t>avverkningsanmälan</t>
        </is>
      </c>
      <c r="C3043" t="inlineStr">
        <is>
          <t>Föryngringsavverkning</t>
        </is>
      </c>
      <c r="D3043" s="1" t="n">
        <v>45378</v>
      </c>
      <c r="E3043" s="1" t="n">
        <v>46319</v>
      </c>
      <c r="F3043" t="inlineStr">
        <is>
          <t>DALARNAS LÄN</t>
        </is>
      </c>
      <c r="G3043" t="inlineStr">
        <is>
          <t>SMEDJEBACKEN</t>
        </is>
      </c>
      <c r="I3043" t="n">
        <v>3.3</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52081-2023</t>
        </is>
      </c>
      <c r="B3044" t="inlineStr">
        <is>
          <t>avverkningsanmälan</t>
        </is>
      </c>
      <c r="C3044" t="inlineStr">
        <is>
          <t>Föryngringsavverkning</t>
        </is>
      </c>
      <c r="D3044" s="1" t="n">
        <v>45223</v>
      </c>
      <c r="E3044" s="1" t="n">
        <v>46319</v>
      </c>
      <c r="F3044" t="inlineStr">
        <is>
          <t>DALARNAS LÄN</t>
        </is>
      </c>
      <c r="G3044" t="inlineStr">
        <is>
          <t>FALUN</t>
        </is>
      </c>
      <c r="I3044" t="n">
        <v>3.7</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34990-2024</t>
        </is>
      </c>
      <c r="B3045" t="inlineStr">
        <is>
          <t>avverkningsanmälan</t>
        </is>
      </c>
      <c r="C3045" t="inlineStr">
        <is>
          <t>Föryngringsavverkning</t>
        </is>
      </c>
      <c r="D3045" s="1" t="n">
        <v>45527</v>
      </c>
      <c r="E3045" s="1" t="n">
        <v>46319</v>
      </c>
      <c r="F3045" t="inlineStr">
        <is>
          <t>DALARNAS LÄN</t>
        </is>
      </c>
      <c r="G3045" t="inlineStr">
        <is>
          <t>SÄTER</t>
        </is>
      </c>
      <c r="I3045" t="n">
        <v>0.9</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50444-2025</t>
        </is>
      </c>
      <c r="B3046" t="inlineStr">
        <is>
          <t>avverkningsanmälan</t>
        </is>
      </c>
      <c r="C3046" t="inlineStr">
        <is>
          <t>Föryngringsavverkning</t>
        </is>
      </c>
      <c r="D3046" s="1" t="n">
        <v>45944</v>
      </c>
      <c r="E3046" s="1" t="n">
        <v>46319</v>
      </c>
      <c r="F3046" t="inlineStr">
        <is>
          <t>DALARNAS LÄN</t>
        </is>
      </c>
      <c r="G3046" t="inlineStr">
        <is>
          <t>LUDVIKA</t>
        </is>
      </c>
      <c r="I3046" t="n">
        <v>2.7</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34991-2024</t>
        </is>
      </c>
      <c r="B3047" t="inlineStr">
        <is>
          <t>avverkningsanmälan</t>
        </is>
      </c>
      <c r="C3047" t="inlineStr">
        <is>
          <t>Föryngringsavverkning</t>
        </is>
      </c>
      <c r="D3047" s="1" t="n">
        <v>45527</v>
      </c>
      <c r="E3047" s="1" t="n">
        <v>46319</v>
      </c>
      <c r="F3047" t="inlineStr">
        <is>
          <t>DALARNAS LÄN</t>
        </is>
      </c>
      <c r="G3047" t="inlineStr">
        <is>
          <t>SÄTER</t>
        </is>
      </c>
      <c r="I3047" t="n">
        <v>0.4</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39914-2024</t>
        </is>
      </c>
      <c r="B3048" t="inlineStr">
        <is>
          <t>avverkningsanmälan</t>
        </is>
      </c>
      <c r="C3048" t="inlineStr">
        <is>
          <t>Föryngringsavverkning</t>
        </is>
      </c>
      <c r="D3048" s="1" t="n">
        <v>45553</v>
      </c>
      <c r="E3048" s="1" t="n">
        <v>46319</v>
      </c>
      <c r="F3048" t="inlineStr">
        <is>
          <t>DALARNAS LÄN</t>
        </is>
      </c>
      <c r="G3048" t="inlineStr">
        <is>
          <t>FALUN</t>
        </is>
      </c>
      <c r="H3048" t="inlineStr">
        <is>
          <t>Bergvik skog väst AB</t>
        </is>
      </c>
      <c r="I3048" t="n">
        <v>4.1</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23500-2024</t>
        </is>
      </c>
      <c r="B3049" t="inlineStr">
        <is>
          <t>avverkningsanmälan</t>
        </is>
      </c>
      <c r="C3049" t="inlineStr">
        <is>
          <t>Föryngringsavverkning</t>
        </is>
      </c>
      <c r="D3049" s="1" t="n">
        <v>45453</v>
      </c>
      <c r="E3049" s="1" t="n">
        <v>46319</v>
      </c>
      <c r="F3049" t="inlineStr">
        <is>
          <t>DALARNAS LÄN</t>
        </is>
      </c>
      <c r="G3049" t="inlineStr">
        <is>
          <t>AVESTA</t>
        </is>
      </c>
      <c r="I3049" t="n">
        <v>1.8</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50704-2025</t>
        </is>
      </c>
      <c r="B3050" t="inlineStr">
        <is>
          <t>avverkningsanmälan</t>
        </is>
      </c>
      <c r="C3050" t="inlineStr">
        <is>
          <t>Föryngringsavverkning</t>
        </is>
      </c>
      <c r="D3050" s="1" t="n">
        <v>45946</v>
      </c>
      <c r="E3050" s="1" t="n">
        <v>46319</v>
      </c>
      <c r="F3050" t="inlineStr">
        <is>
          <t>DALARNAS LÄN</t>
        </is>
      </c>
      <c r="G3050" t="inlineStr">
        <is>
          <t>LEKSAND</t>
        </is>
      </c>
      <c r="I3050" t="n">
        <v>2.1</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25296-2026</t>
        </is>
      </c>
      <c r="B3051" t="inlineStr">
        <is>
          <t>avverkningsanmälan</t>
        </is>
      </c>
      <c r="C3051" t="inlineStr">
        <is>
          <t>Föryngringsavverkning</t>
        </is>
      </c>
      <c r="D3051" s="1" t="n">
        <v>46176</v>
      </c>
      <c r="E3051" s="1" t="n">
        <v>46319</v>
      </c>
      <c r="F3051" t="inlineStr">
        <is>
          <t>DALARNAS LÄN</t>
        </is>
      </c>
      <c r="G3051" t="inlineStr">
        <is>
          <t>SMEDJEBACKEN</t>
        </is>
      </c>
      <c r="H3051" t="inlineStr">
        <is>
          <t>Sveaskog</t>
        </is>
      </c>
      <c r="I3051" t="n">
        <v>8.199999999999999</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40755-2024</t>
        </is>
      </c>
      <c r="B3052" t="inlineStr">
        <is>
          <t>avverkningsanmälan</t>
        </is>
      </c>
      <c r="C3052" t="inlineStr">
        <is>
          <t>Föryngringsavverkning</t>
        </is>
      </c>
      <c r="D3052" s="1" t="n">
        <v>45558</v>
      </c>
      <c r="E3052" s="1" t="n">
        <v>46319</v>
      </c>
      <c r="F3052" t="inlineStr">
        <is>
          <t>DALARNAS LÄN</t>
        </is>
      </c>
      <c r="G3052" t="inlineStr">
        <is>
          <t>LEKSAND</t>
        </is>
      </c>
      <c r="I3052" t="n">
        <v>0.8</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23615-2024</t>
        </is>
      </c>
      <c r="B3053" t="inlineStr">
        <is>
          <t>avverkningsanmälan</t>
        </is>
      </c>
      <c r="C3053" t="inlineStr">
        <is>
          <t>Föryngringsavverkning</t>
        </is>
      </c>
      <c r="D3053" s="1" t="n">
        <v>45454</v>
      </c>
      <c r="E3053" s="1" t="n">
        <v>46319</v>
      </c>
      <c r="F3053" t="inlineStr">
        <is>
          <t>DALARNAS LÄN</t>
        </is>
      </c>
      <c r="G3053" t="inlineStr">
        <is>
          <t>LEKSAND</t>
        </is>
      </c>
      <c r="I3053" t="n">
        <v>1.7</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18202-2024</t>
        </is>
      </c>
      <c r="B3054" t="inlineStr">
        <is>
          <t>avverkningsanmälan</t>
        </is>
      </c>
      <c r="C3054" t="inlineStr">
        <is>
          <t>Föryngringsavverkning</t>
        </is>
      </c>
      <c r="D3054" s="1" t="n">
        <v>45420</v>
      </c>
      <c r="E3054" s="1" t="n">
        <v>46319</v>
      </c>
      <c r="F3054" t="inlineStr">
        <is>
          <t>DALARNAS LÄN</t>
        </is>
      </c>
      <c r="G3054" t="inlineStr">
        <is>
          <t>MORA</t>
        </is>
      </c>
      <c r="I3054" t="n">
        <v>2</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58397-2023</t>
        </is>
      </c>
      <c r="B3055" t="inlineStr">
        <is>
          <t>avverkningsanmälan</t>
        </is>
      </c>
      <c r="C3055" t="inlineStr">
        <is>
          <t>Avverkning för att bevara och utveckla /försöksver</t>
        </is>
      </c>
      <c r="D3055" s="1" t="n">
        <v>45250</v>
      </c>
      <c r="E3055" s="1" t="n">
        <v>46319</v>
      </c>
      <c r="F3055" t="inlineStr">
        <is>
          <t>DALARNAS LÄN</t>
        </is>
      </c>
      <c r="G3055" t="inlineStr">
        <is>
          <t>SMEDJEBACKEN</t>
        </is>
      </c>
      <c r="I3055" t="n">
        <v>2.8</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16690-2024</t>
        </is>
      </c>
      <c r="B3056" t="inlineStr">
        <is>
          <t>avverkningsanmälan</t>
        </is>
      </c>
      <c r="C3056" t="inlineStr">
        <is>
          <t>Föryngringsavverkning</t>
        </is>
      </c>
      <c r="D3056" s="1" t="n">
        <v>45408</v>
      </c>
      <c r="E3056" s="1" t="n">
        <v>46319</v>
      </c>
      <c r="F3056" t="inlineStr">
        <is>
          <t>DALARNAS LÄN</t>
        </is>
      </c>
      <c r="G3056" t="inlineStr">
        <is>
          <t>AVESTA</t>
        </is>
      </c>
      <c r="H3056" t="inlineStr">
        <is>
          <t>Bergvik skog väst AB</t>
        </is>
      </c>
      <c r="I3056" t="n">
        <v>5.5</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50440-2025</t>
        </is>
      </c>
      <c r="B3057" t="inlineStr">
        <is>
          <t>avverkningsanmälan</t>
        </is>
      </c>
      <c r="C3057" t="inlineStr">
        <is>
          <t>Föryngringsavverkning</t>
        </is>
      </c>
      <c r="D3057" s="1" t="n">
        <v>45944</v>
      </c>
      <c r="E3057" s="1" t="n">
        <v>46319</v>
      </c>
      <c r="F3057" t="inlineStr">
        <is>
          <t>DALARNAS LÄN</t>
        </is>
      </c>
      <c r="G3057" t="inlineStr">
        <is>
          <t>AVESTA</t>
        </is>
      </c>
      <c r="I3057" t="n">
        <v>2.1</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50779-2025</t>
        </is>
      </c>
      <c r="B3058" t="inlineStr">
        <is>
          <t>avverkningsanmälan</t>
        </is>
      </c>
      <c r="C3058" t="inlineStr">
        <is>
          <t>Föryngringsavverkning</t>
        </is>
      </c>
      <c r="D3058" s="1" t="n">
        <v>45946</v>
      </c>
      <c r="E3058" s="1" t="n">
        <v>46319</v>
      </c>
      <c r="F3058" t="inlineStr">
        <is>
          <t>DALARNAS LÄN</t>
        </is>
      </c>
      <c r="G3058" t="inlineStr">
        <is>
          <t>SMEDJEBACKEN</t>
        </is>
      </c>
      <c r="H3058" t="inlineStr">
        <is>
          <t>Sveaskog</t>
        </is>
      </c>
      <c r="I3058" t="n">
        <v>6.5</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56848-2022</t>
        </is>
      </c>
      <c r="B3059" t="inlineStr">
        <is>
          <t>avverkningsanmälan</t>
        </is>
      </c>
      <c r="C3059" t="inlineStr">
        <is>
          <t>Föryngringsavverkning</t>
        </is>
      </c>
      <c r="D3059" s="1" t="n">
        <v>44894</v>
      </c>
      <c r="E3059" s="1" t="n">
        <v>46319</v>
      </c>
      <c r="F3059" t="inlineStr">
        <is>
          <t>DALARNAS LÄN</t>
        </is>
      </c>
      <c r="G3059" t="inlineStr">
        <is>
          <t>MALUNG-SÄLEN</t>
        </is>
      </c>
      <c r="H3059" t="inlineStr">
        <is>
          <t>Bergvik skog öst AB</t>
        </is>
      </c>
      <c r="I3059" t="n">
        <v>0.9</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28467-2024</t>
        </is>
      </c>
      <c r="B3060" t="inlineStr">
        <is>
          <t>avverkningsanmälan</t>
        </is>
      </c>
      <c r="C3060" t="inlineStr">
        <is>
          <t>Föryngringsavverkning</t>
        </is>
      </c>
      <c r="D3060" s="1" t="n">
        <v>45477</v>
      </c>
      <c r="E3060" s="1" t="n">
        <v>46319</v>
      </c>
      <c r="F3060" t="inlineStr">
        <is>
          <t>DALARNAS LÄN</t>
        </is>
      </c>
      <c r="G3060" t="inlineStr">
        <is>
          <t>ÄLVDALEN</t>
        </is>
      </c>
      <c r="I3060" t="n">
        <v>4</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25307-2026</t>
        </is>
      </c>
      <c r="B3061" t="inlineStr">
        <is>
          <t>avverkningsanmälan</t>
        </is>
      </c>
      <c r="C3061" t="inlineStr">
        <is>
          <t>Föryngringsavverkning</t>
        </is>
      </c>
      <c r="D3061" s="1" t="n">
        <v>46176</v>
      </c>
      <c r="E3061" s="1" t="n">
        <v>46319</v>
      </c>
      <c r="F3061" t="inlineStr">
        <is>
          <t>DALARNAS LÄN</t>
        </is>
      </c>
      <c r="G3061" t="inlineStr">
        <is>
          <t>FALUN</t>
        </is>
      </c>
      <c r="H3061" t="inlineStr">
        <is>
          <t>Sveaskog</t>
        </is>
      </c>
      <c r="I3061" t="n">
        <v>4.1</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25308-2026</t>
        </is>
      </c>
      <c r="B3062" t="inlineStr">
        <is>
          <t>avverkningsanmälan</t>
        </is>
      </c>
      <c r="C3062" t="inlineStr">
        <is>
          <t>Föryngringsavverkning</t>
        </is>
      </c>
      <c r="D3062" s="1" t="n">
        <v>46176</v>
      </c>
      <c r="E3062" s="1" t="n">
        <v>46319</v>
      </c>
      <c r="F3062" t="inlineStr">
        <is>
          <t>DALARNAS LÄN</t>
        </is>
      </c>
      <c r="G3062" t="inlineStr">
        <is>
          <t>BORLÄNGE</t>
        </is>
      </c>
      <c r="I3062" t="n">
        <v>2</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2941-2024</t>
        </is>
      </c>
      <c r="B3063" t="inlineStr">
        <is>
          <t>avverkningsanmälan</t>
        </is>
      </c>
      <c r="C3063" t="inlineStr">
        <is>
          <t>Föryngringsavverkning</t>
        </is>
      </c>
      <c r="D3063" s="1" t="n">
        <v>45315</v>
      </c>
      <c r="E3063" s="1" t="n">
        <v>46319</v>
      </c>
      <c r="F3063" t="inlineStr">
        <is>
          <t>DALARNAS LÄN</t>
        </is>
      </c>
      <c r="G3063" t="inlineStr">
        <is>
          <t>VANSBRO</t>
        </is>
      </c>
      <c r="I3063" t="n">
        <v>0.8</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58336-2022</t>
        </is>
      </c>
      <c r="B3064" t="inlineStr">
        <is>
          <t>avverkningsanmälan</t>
        </is>
      </c>
      <c r="C3064" t="inlineStr">
        <is>
          <t>Föryngringsavverkning</t>
        </is>
      </c>
      <c r="D3064" s="1" t="n">
        <v>44901</v>
      </c>
      <c r="E3064" s="1" t="n">
        <v>46319</v>
      </c>
      <c r="F3064" t="inlineStr">
        <is>
          <t>DALARNAS LÄN</t>
        </is>
      </c>
      <c r="G3064" t="inlineStr">
        <is>
          <t>FALUN</t>
        </is>
      </c>
      <c r="I3064" t="n">
        <v>0.5</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24277-2026</t>
        </is>
      </c>
      <c r="B3065" t="inlineStr">
        <is>
          <t>avverkningsanmälan</t>
        </is>
      </c>
      <c r="C3065" t="inlineStr">
        <is>
          <t>Föryngringsavverkning</t>
        </is>
      </c>
      <c r="D3065" s="1" t="n">
        <v>46169</v>
      </c>
      <c r="E3065" s="1" t="n">
        <v>46319</v>
      </c>
      <c r="F3065" t="inlineStr">
        <is>
          <t>DALARNAS LÄN</t>
        </is>
      </c>
      <c r="G3065" t="inlineStr">
        <is>
          <t>VANSBRO</t>
        </is>
      </c>
      <c r="H3065" t="inlineStr">
        <is>
          <t>Bergvik skog väst AB</t>
        </is>
      </c>
      <c r="I3065" t="n">
        <v>1.4</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16832-2024</t>
        </is>
      </c>
      <c r="B3066" t="inlineStr">
        <is>
          <t>avverkningsanmälan</t>
        </is>
      </c>
      <c r="C3066" t="inlineStr">
        <is>
          <t>Föryngringsavverkning</t>
        </is>
      </c>
      <c r="D3066" s="1" t="n">
        <v>45411</v>
      </c>
      <c r="E3066" s="1" t="n">
        <v>46319</v>
      </c>
      <c r="F3066" t="inlineStr">
        <is>
          <t>DALARNAS LÄN</t>
        </is>
      </c>
      <c r="G3066" t="inlineStr">
        <is>
          <t>SÄTER</t>
        </is>
      </c>
      <c r="I3066" t="n">
        <v>0.9</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10899-2024</t>
        </is>
      </c>
      <c r="B3067" t="inlineStr">
        <is>
          <t>avverkningsanmälan</t>
        </is>
      </c>
      <c r="C3067" t="inlineStr">
        <is>
          <t>Föryngringsavverkning</t>
        </is>
      </c>
      <c r="D3067" s="1" t="n">
        <v>45370</v>
      </c>
      <c r="E3067" s="1" t="n">
        <v>46319</v>
      </c>
      <c r="F3067" t="inlineStr">
        <is>
          <t>DALARNAS LÄN</t>
        </is>
      </c>
      <c r="G3067" t="inlineStr">
        <is>
          <t>AVESTA</t>
        </is>
      </c>
      <c r="I3067" t="n">
        <v>0.5</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60-2023</t>
        </is>
      </c>
      <c r="B3068" t="inlineStr">
        <is>
          <t>avverkningsanmälan</t>
        </is>
      </c>
      <c r="C3068" t="inlineStr">
        <is>
          <t>Föryngringsavverkning</t>
        </is>
      </c>
      <c r="D3068" s="1" t="n">
        <v>44928</v>
      </c>
      <c r="E3068" s="1" t="n">
        <v>46319</v>
      </c>
      <c r="F3068" t="inlineStr">
        <is>
          <t>DALARNAS LÄN</t>
        </is>
      </c>
      <c r="G3068" t="inlineStr">
        <is>
          <t>RÄTTVIK</t>
        </is>
      </c>
      <c r="I3068" t="n">
        <v>1</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68-2023</t>
        </is>
      </c>
      <c r="B3069" t="inlineStr">
        <is>
          <t>avverkningsanmälan</t>
        </is>
      </c>
      <c r="C3069" t="inlineStr">
        <is>
          <t>Föryngringsavverkning</t>
        </is>
      </c>
      <c r="D3069" s="1" t="n">
        <v>44928</v>
      </c>
      <c r="E3069" s="1" t="n">
        <v>46319</v>
      </c>
      <c r="F3069" t="inlineStr">
        <is>
          <t>DALARNAS LÄN</t>
        </is>
      </c>
      <c r="G3069" t="inlineStr">
        <is>
          <t>MALUNG-SÄLEN</t>
        </is>
      </c>
      <c r="I3069" t="n">
        <v>5.3</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28473-2024</t>
        </is>
      </c>
      <c r="B3070" t="inlineStr">
        <is>
          <t>avverkningsanmälan</t>
        </is>
      </c>
      <c r="C3070" t="inlineStr">
        <is>
          <t>Föryngringsavverkning</t>
        </is>
      </c>
      <c r="D3070" s="1" t="n">
        <v>45477</v>
      </c>
      <c r="E3070" s="1" t="n">
        <v>46319</v>
      </c>
      <c r="F3070" t="inlineStr">
        <is>
          <t>DALARNAS LÄN</t>
        </is>
      </c>
      <c r="G3070" t="inlineStr">
        <is>
          <t>ÄLVDALEN</t>
        </is>
      </c>
      <c r="I3070" t="n">
        <v>5</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28479-2024</t>
        </is>
      </c>
      <c r="B3071" t="inlineStr">
        <is>
          <t>avverkningsanmälan</t>
        </is>
      </c>
      <c r="C3071" t="inlineStr">
        <is>
          <t>Föryngringsavverkning</t>
        </is>
      </c>
      <c r="D3071" s="1" t="n">
        <v>45477</v>
      </c>
      <c r="E3071" s="1" t="n">
        <v>46319</v>
      </c>
      <c r="F3071" t="inlineStr">
        <is>
          <t>DALARNAS LÄN</t>
        </is>
      </c>
      <c r="G3071" t="inlineStr">
        <is>
          <t>ÄLVDALEN</t>
        </is>
      </c>
      <c r="I3071" t="n">
        <v>4.1</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6304-2026</t>
        </is>
      </c>
      <c r="B3072" t="inlineStr">
        <is>
          <t>avverkningsanmälan</t>
        </is>
      </c>
      <c r="C3072" t="inlineStr">
        <is>
          <t>Föryngringsavverkning</t>
        </is>
      </c>
      <c r="D3072" s="1" t="n">
        <v>46055</v>
      </c>
      <c r="E3072" s="1" t="n">
        <v>46319</v>
      </c>
      <c r="F3072" t="inlineStr">
        <is>
          <t>DALARNAS LÄN</t>
        </is>
      </c>
      <c r="G3072" t="inlineStr">
        <is>
          <t>FALUN</t>
        </is>
      </c>
      <c r="I3072" t="n">
        <v>0.7</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18611-2026</t>
        </is>
      </c>
      <c r="B3073" t="inlineStr">
        <is>
          <t>avverkningsanmälan</t>
        </is>
      </c>
      <c r="C3073" t="inlineStr">
        <is>
          <t>Föryngringsavverkning</t>
        </is>
      </c>
      <c r="D3073" s="1" t="n">
        <v>46127</v>
      </c>
      <c r="E3073" s="1" t="n">
        <v>46319</v>
      </c>
      <c r="F3073" t="inlineStr">
        <is>
          <t>DALARNAS LÄN</t>
        </is>
      </c>
      <c r="G3073" t="inlineStr">
        <is>
          <t>LEKSAND</t>
        </is>
      </c>
      <c r="I3073" t="n">
        <v>2.1</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23442-2026</t>
        </is>
      </c>
      <c r="B3074" t="inlineStr">
        <is>
          <t>avverkningsanmälan</t>
        </is>
      </c>
      <c r="C3074" t="inlineStr">
        <is>
          <t>Föryngringsavverkning</t>
        </is>
      </c>
      <c r="D3074" s="1" t="n">
        <v>46163</v>
      </c>
      <c r="E3074" s="1" t="n">
        <v>46319</v>
      </c>
      <c r="F3074" t="inlineStr">
        <is>
          <t>DALARNAS LÄN</t>
        </is>
      </c>
      <c r="G3074" t="inlineStr">
        <is>
          <t>MORA</t>
        </is>
      </c>
      <c r="I3074" t="n">
        <v>1.9</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23810-2024</t>
        </is>
      </c>
      <c r="B3075" t="inlineStr">
        <is>
          <t>avverkningsanmälan</t>
        </is>
      </c>
      <c r="C3075" t="inlineStr">
        <is>
          <t>Föryngringsavverkning</t>
        </is>
      </c>
      <c r="D3075" s="1" t="n">
        <v>45455</v>
      </c>
      <c r="E3075" s="1" t="n">
        <v>46319</v>
      </c>
      <c r="F3075" t="inlineStr">
        <is>
          <t>DALARNAS LÄN</t>
        </is>
      </c>
      <c r="G3075" t="inlineStr">
        <is>
          <t>SÄTER</t>
        </is>
      </c>
      <c r="I3075" t="n">
        <v>1</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15121-2025</t>
        </is>
      </c>
      <c r="B3076" t="inlineStr">
        <is>
          <t>avverkningsanmälan</t>
        </is>
      </c>
      <c r="C3076" t="inlineStr">
        <is>
          <t>Föryngringsavverkning</t>
        </is>
      </c>
      <c r="D3076" s="1" t="n">
        <v>45744</v>
      </c>
      <c r="E3076" s="1" t="n">
        <v>46319</v>
      </c>
      <c r="F3076" t="inlineStr">
        <is>
          <t>DALARNAS LÄN</t>
        </is>
      </c>
      <c r="G3076" t="inlineStr">
        <is>
          <t>FALUN</t>
        </is>
      </c>
      <c r="I3076" t="n">
        <v>0.6</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17883-2025</t>
        </is>
      </c>
      <c r="B3077" t="inlineStr">
        <is>
          <t>avverkningsanmälan</t>
        </is>
      </c>
      <c r="C3077" t="inlineStr">
        <is>
          <t>Föryngringsavverkning</t>
        </is>
      </c>
      <c r="D3077" s="1" t="n">
        <v>45758</v>
      </c>
      <c r="E3077" s="1" t="n">
        <v>46319</v>
      </c>
      <c r="F3077" t="inlineStr">
        <is>
          <t>DALARNAS LÄN</t>
        </is>
      </c>
      <c r="G3077" t="inlineStr">
        <is>
          <t>FALUN</t>
        </is>
      </c>
      <c r="H3077" t="inlineStr">
        <is>
          <t>Bergvik skog väst AB</t>
        </is>
      </c>
      <c r="I3077" t="n">
        <v>2.9</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50533-2025</t>
        </is>
      </c>
      <c r="B3078" t="inlineStr">
        <is>
          <t>avverkningsanmälan</t>
        </is>
      </c>
      <c r="C3078" t="inlineStr">
        <is>
          <t>Föryngringsavverkning</t>
        </is>
      </c>
      <c r="D3078" s="1" t="n">
        <v>45945</v>
      </c>
      <c r="E3078" s="1" t="n">
        <v>46319</v>
      </c>
      <c r="F3078" t="inlineStr">
        <is>
          <t>DALARNAS LÄN</t>
        </is>
      </c>
      <c r="G3078" t="inlineStr">
        <is>
          <t>SÄTER</t>
        </is>
      </c>
      <c r="H3078" t="inlineStr">
        <is>
          <t>Bergvik skog väst AB</t>
        </is>
      </c>
      <c r="I3078" t="n">
        <v>8.6</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56772-2024</t>
        </is>
      </c>
      <c r="B3079" t="inlineStr">
        <is>
          <t>avverkningsanmälan</t>
        </is>
      </c>
      <c r="C3079" t="inlineStr">
        <is>
          <t>Föryngringsavverkning</t>
        </is>
      </c>
      <c r="D3079" s="1" t="n">
        <v>45628</v>
      </c>
      <c r="E3079" s="1" t="n">
        <v>46319</v>
      </c>
      <c r="F3079" t="inlineStr">
        <is>
          <t>DALARNAS LÄN</t>
        </is>
      </c>
      <c r="G3079" t="inlineStr">
        <is>
          <t>RÄTTVIK</t>
        </is>
      </c>
      <c r="I3079" t="n">
        <v>0.6</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47553-2025</t>
        </is>
      </c>
      <c r="B3080" t="inlineStr">
        <is>
          <t>avverkningsanmälan</t>
        </is>
      </c>
      <c r="C3080" t="inlineStr">
        <is>
          <t>Föryngringsavverkning</t>
        </is>
      </c>
      <c r="D3080" s="1" t="n">
        <v>45931</v>
      </c>
      <c r="E3080" s="1" t="n">
        <v>46319</v>
      </c>
      <c r="F3080" t="inlineStr">
        <is>
          <t>DALARNAS LÄN</t>
        </is>
      </c>
      <c r="G3080" t="inlineStr">
        <is>
          <t>MALUNG-SÄLEN</t>
        </is>
      </c>
      <c r="H3080" t="inlineStr">
        <is>
          <t>Bergvik skog väst AB</t>
        </is>
      </c>
      <c r="I3080" t="n">
        <v>15.4</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14239-2026</t>
        </is>
      </c>
      <c r="B3081" t="inlineStr">
        <is>
          <t>avverkningsanmälan</t>
        </is>
      </c>
      <c r="C3081" t="inlineStr">
        <is>
          <t>Föryngringsavverkning</t>
        </is>
      </c>
      <c r="D3081" s="1" t="n">
        <v>46099</v>
      </c>
      <c r="E3081" s="1" t="n">
        <v>46319</v>
      </c>
      <c r="F3081" t="inlineStr">
        <is>
          <t>DALARNAS LÄN</t>
        </is>
      </c>
      <c r="G3081" t="inlineStr">
        <is>
          <t>HEDEMORA</t>
        </is>
      </c>
      <c r="I3081" t="n">
        <v>4.4</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8579-2026</t>
        </is>
      </c>
      <c r="B3082" t="inlineStr">
        <is>
          <t>avverkningsanmälan</t>
        </is>
      </c>
      <c r="C3082" t="inlineStr">
        <is>
          <t>Föryngringsavverkning</t>
        </is>
      </c>
      <c r="D3082" s="1" t="n">
        <v>46065</v>
      </c>
      <c r="E3082" s="1" t="n">
        <v>46319</v>
      </c>
      <c r="F3082" t="inlineStr">
        <is>
          <t>DALARNAS LÄN</t>
        </is>
      </c>
      <c r="G3082" t="inlineStr">
        <is>
          <t>FALUN</t>
        </is>
      </c>
      <c r="I3082" t="n">
        <v>8</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8586-2026</t>
        </is>
      </c>
      <c r="B3083" t="inlineStr">
        <is>
          <t>avverkningsanmälan</t>
        </is>
      </c>
      <c r="C3083" t="inlineStr">
        <is>
          <t>Föryngringsavverkning</t>
        </is>
      </c>
      <c r="D3083" s="1" t="n">
        <v>46065</v>
      </c>
      <c r="E3083" s="1" t="n">
        <v>46319</v>
      </c>
      <c r="F3083" t="inlineStr">
        <is>
          <t>DALARNAS LÄN</t>
        </is>
      </c>
      <c r="G3083" t="inlineStr">
        <is>
          <t>FALUN</t>
        </is>
      </c>
      <c r="I3083" t="n">
        <v>2.9</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16224-2026</t>
        </is>
      </c>
      <c r="B3084" t="inlineStr">
        <is>
          <t>avverkningsanmälan</t>
        </is>
      </c>
      <c r="C3084" t="inlineStr">
        <is>
          <t>Föryngringsavverkning</t>
        </is>
      </c>
      <c r="D3084" s="1" t="n">
        <v>46111</v>
      </c>
      <c r="E3084" s="1" t="n">
        <v>46319</v>
      </c>
      <c r="F3084" t="inlineStr">
        <is>
          <t>DALARNAS LÄN</t>
        </is>
      </c>
      <c r="G3084" t="inlineStr">
        <is>
          <t>ORSA</t>
        </is>
      </c>
      <c r="H3084" t="inlineStr">
        <is>
          <t>Bergvik skog öst AB</t>
        </is>
      </c>
      <c r="I3084" t="n">
        <v>1.1</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10759-2026</t>
        </is>
      </c>
      <c r="B3085" t="inlineStr">
        <is>
          <t>avverkningsanmälan</t>
        </is>
      </c>
      <c r="C3085" t="inlineStr">
        <is>
          <t>Föryngringsavverkning</t>
        </is>
      </c>
      <c r="D3085" s="1" t="n">
        <v>46078</v>
      </c>
      <c r="E3085" s="1" t="n">
        <v>46319</v>
      </c>
      <c r="F3085" t="inlineStr">
        <is>
          <t>DALARNAS LÄN</t>
        </is>
      </c>
      <c r="G3085" t="inlineStr">
        <is>
          <t>RÄTTVIK</t>
        </is>
      </c>
      <c r="I3085" t="n">
        <v>3.7</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50668-2025</t>
        </is>
      </c>
      <c r="B3086" t="inlineStr">
        <is>
          <t>avverkningsanmälan</t>
        </is>
      </c>
      <c r="C3086" t="inlineStr">
        <is>
          <t>Föryngringsavverkning</t>
        </is>
      </c>
      <c r="D3086" s="1" t="n">
        <v>45945</v>
      </c>
      <c r="E3086" s="1" t="n">
        <v>46319</v>
      </c>
      <c r="F3086" t="inlineStr">
        <is>
          <t>DALARNAS LÄN</t>
        </is>
      </c>
      <c r="G3086" t="inlineStr">
        <is>
          <t>SMEDJEBACKEN</t>
        </is>
      </c>
      <c r="H3086" t="inlineStr">
        <is>
          <t>Bergvik skog väst AB</t>
        </is>
      </c>
      <c r="I3086" t="n">
        <v>14.5</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49159-2023</t>
        </is>
      </c>
      <c r="B3087" t="inlineStr">
        <is>
          <t>avverkningsanmälan</t>
        </is>
      </c>
      <c r="C3087" t="inlineStr">
        <is>
          <t>Föryngringsavverkning</t>
        </is>
      </c>
      <c r="D3087" s="1" t="n">
        <v>45210</v>
      </c>
      <c r="E3087" s="1" t="n">
        <v>46319</v>
      </c>
      <c r="F3087" t="inlineStr">
        <is>
          <t>DALARNAS LÄN</t>
        </is>
      </c>
      <c r="G3087" t="inlineStr">
        <is>
          <t>MORA</t>
        </is>
      </c>
      <c r="I3087" t="n">
        <v>1.6</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35063-2022</t>
        </is>
      </c>
      <c r="B3088" t="inlineStr">
        <is>
          <t>avverkningsanmälan</t>
        </is>
      </c>
      <c r="C3088" t="inlineStr">
        <is>
          <t>Föryngringsavverkning</t>
        </is>
      </c>
      <c r="D3088" s="1" t="n">
        <v>44797</v>
      </c>
      <c r="E3088" s="1" t="n">
        <v>46319</v>
      </c>
      <c r="F3088" t="inlineStr">
        <is>
          <t>DALARNAS LÄN</t>
        </is>
      </c>
      <c r="G3088" t="inlineStr">
        <is>
          <t>FALUN</t>
        </is>
      </c>
      <c r="I3088" t="n">
        <v>1.1</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25830-2026</t>
        </is>
      </c>
      <c r="B3089" t="inlineStr">
        <is>
          <t>avverkningsanmälan</t>
        </is>
      </c>
      <c r="C3089" t="inlineStr">
        <is>
          <t>Föryngringsavverkning</t>
        </is>
      </c>
      <c r="D3089" s="1" t="n">
        <v>46178</v>
      </c>
      <c r="E3089" s="1" t="n">
        <v>46319</v>
      </c>
      <c r="F3089" t="inlineStr">
        <is>
          <t>DALARNAS LÄN</t>
        </is>
      </c>
      <c r="G3089" t="inlineStr">
        <is>
          <t>HEDEMORA</t>
        </is>
      </c>
      <c r="H3089" t="inlineStr">
        <is>
          <t>Sveaskog</t>
        </is>
      </c>
      <c r="I3089" t="n">
        <v>0.8</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39519-2024</t>
        </is>
      </c>
      <c r="B3090" t="inlineStr">
        <is>
          <t>avverkningsanmälan</t>
        </is>
      </c>
      <c r="C3090" t="inlineStr">
        <is>
          <t>Föryngringsavverkning</t>
        </is>
      </c>
      <c r="D3090" s="1" t="n">
        <v>45551</v>
      </c>
      <c r="E3090" s="1" t="n">
        <v>46319</v>
      </c>
      <c r="F3090" t="inlineStr">
        <is>
          <t>DALARNAS LÄN</t>
        </is>
      </c>
      <c r="G3090" t="inlineStr">
        <is>
          <t>LUDVIKA</t>
        </is>
      </c>
      <c r="I3090" t="n">
        <v>0.5</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25799-2026</t>
        </is>
      </c>
      <c r="B3091" t="inlineStr">
        <is>
          <t>avverkningsanmälan</t>
        </is>
      </c>
      <c r="C3091" t="inlineStr">
        <is>
          <t>Föryngringsavverkning</t>
        </is>
      </c>
      <c r="D3091" s="1" t="n">
        <v>46178</v>
      </c>
      <c r="E3091" s="1" t="n">
        <v>46319</v>
      </c>
      <c r="F3091" t="inlineStr">
        <is>
          <t>DALARNAS LÄN</t>
        </is>
      </c>
      <c r="G3091" t="inlineStr">
        <is>
          <t>FALUN</t>
        </is>
      </c>
      <c r="I3091" t="n">
        <v>2</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47496-2022</t>
        </is>
      </c>
      <c r="B3092" t="inlineStr">
        <is>
          <t>avverkningsanmälan</t>
        </is>
      </c>
      <c r="C3092" t="inlineStr">
        <is>
          <t>Avverkning för annat ändamål</t>
        </is>
      </c>
      <c r="D3092" s="1" t="n">
        <v>44853</v>
      </c>
      <c r="E3092" s="1" t="n">
        <v>46319</v>
      </c>
      <c r="F3092" t="inlineStr">
        <is>
          <t>DALARNAS LÄN</t>
        </is>
      </c>
      <c r="G3092" t="inlineStr">
        <is>
          <t>LUDVIKA</t>
        </is>
      </c>
      <c r="H3092" t="inlineStr">
        <is>
          <t>Bergvik skog väst AB</t>
        </is>
      </c>
      <c r="I3092" t="n">
        <v>0.4</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36932-2023</t>
        </is>
      </c>
      <c r="B3093" t="inlineStr">
        <is>
          <t>avverkningsanmälan</t>
        </is>
      </c>
      <c r="C3093" t="inlineStr">
        <is>
          <t>Föryngringsavverkning</t>
        </is>
      </c>
      <c r="D3093" s="1" t="n">
        <v>45154</v>
      </c>
      <c r="E3093" s="1" t="n">
        <v>46319</v>
      </c>
      <c r="F3093" t="inlineStr">
        <is>
          <t>DALARNAS LÄN</t>
        </is>
      </c>
      <c r="G3093" t="inlineStr">
        <is>
          <t>LEKSAND</t>
        </is>
      </c>
      <c r="I3093" t="n">
        <v>1.3</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33768-2022</t>
        </is>
      </c>
      <c r="B3094" t="inlineStr">
        <is>
          <t>avverkningsanmälan</t>
        </is>
      </c>
      <c r="C3094" t="inlineStr">
        <is>
          <t>Föryngringsavverkning</t>
        </is>
      </c>
      <c r="D3094" s="1" t="n">
        <v>44790</v>
      </c>
      <c r="E3094" s="1" t="n">
        <v>46319</v>
      </c>
      <c r="F3094" t="inlineStr">
        <is>
          <t>DALARNAS LÄN</t>
        </is>
      </c>
      <c r="G3094" t="inlineStr">
        <is>
          <t>RÄTTVIK</t>
        </is>
      </c>
      <c r="I3094" t="n">
        <v>1.6</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29991-2023</t>
        </is>
      </c>
      <c r="B3095" t="inlineStr">
        <is>
          <t>avverkningsanmälan</t>
        </is>
      </c>
      <c r="C3095" t="inlineStr">
        <is>
          <t>Föryngringsavverkning</t>
        </is>
      </c>
      <c r="D3095" s="1" t="n">
        <v>45109</v>
      </c>
      <c r="E3095" s="1" t="n">
        <v>46319</v>
      </c>
      <c r="F3095" t="inlineStr">
        <is>
          <t>DALARNAS LÄN</t>
        </is>
      </c>
      <c r="G3095" t="inlineStr">
        <is>
          <t>SMEDJEBACKEN</t>
        </is>
      </c>
      <c r="I3095" t="n">
        <v>3.3</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49166-2025</t>
        </is>
      </c>
      <c r="B3096" t="inlineStr">
        <is>
          <t>avverkningsanmälan</t>
        </is>
      </c>
      <c r="C3096" t="inlineStr">
        <is>
          <t>Föryngringsavverkning</t>
        </is>
      </c>
      <c r="D3096" s="1" t="n">
        <v>45938</v>
      </c>
      <c r="E3096" s="1" t="n">
        <v>46319</v>
      </c>
      <c r="F3096" t="inlineStr">
        <is>
          <t>DALARNAS LÄN</t>
        </is>
      </c>
      <c r="G3096" t="inlineStr">
        <is>
          <t>LUDVIKA</t>
        </is>
      </c>
      <c r="H3096" t="inlineStr">
        <is>
          <t>Bergvik skog väst AB</t>
        </is>
      </c>
      <c r="I3096" t="n">
        <v>2.5</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1497-2026</t>
        </is>
      </c>
      <c r="B3097" t="inlineStr">
        <is>
          <t>avverkningsanmälan</t>
        </is>
      </c>
      <c r="C3097" t="inlineStr">
        <is>
          <t>Föryngringsavverkning</t>
        </is>
      </c>
      <c r="D3097" s="1" t="n">
        <v>46034</v>
      </c>
      <c r="E3097" s="1" t="n">
        <v>46319</v>
      </c>
      <c r="F3097" t="inlineStr">
        <is>
          <t>DALARNAS LÄN</t>
        </is>
      </c>
      <c r="G3097" t="inlineStr">
        <is>
          <t>AVESTA</t>
        </is>
      </c>
      <c r="I3097" t="n">
        <v>2.2</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23248-2023</t>
        </is>
      </c>
      <c r="B3098" t="inlineStr">
        <is>
          <t>avverkningsanmälan</t>
        </is>
      </c>
      <c r="C3098" t="inlineStr">
        <is>
          <t>Föryngringsavverkning</t>
        </is>
      </c>
      <c r="D3098" s="1" t="n">
        <v>45071</v>
      </c>
      <c r="E3098" s="1" t="n">
        <v>46319</v>
      </c>
      <c r="F3098" t="inlineStr">
        <is>
          <t>DALARNAS LÄN</t>
        </is>
      </c>
      <c r="G3098" t="inlineStr">
        <is>
          <t>RÄTTVIK</t>
        </is>
      </c>
      <c r="I3098" t="n">
        <v>1.7</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31679-2023</t>
        </is>
      </c>
      <c r="B3099" t="inlineStr">
        <is>
          <t>avverkningsanmälan</t>
        </is>
      </c>
      <c r="C3099" t="inlineStr">
        <is>
          <t>Föryngringsavverkning</t>
        </is>
      </c>
      <c r="D3099" s="1" t="n">
        <v>45117</v>
      </c>
      <c r="E3099" s="1" t="n">
        <v>46319</v>
      </c>
      <c r="F3099" t="inlineStr">
        <is>
          <t>DALARNAS LÄN</t>
        </is>
      </c>
      <c r="G3099" t="inlineStr">
        <is>
          <t>BORLÄNGE</t>
        </is>
      </c>
      <c r="I3099" t="n">
        <v>0.6</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33102-2023</t>
        </is>
      </c>
      <c r="B3100" t="inlineStr">
        <is>
          <t>avverkningsanmälan</t>
        </is>
      </c>
      <c r="C3100" t="inlineStr">
        <is>
          <t>Föryngringsavverkning</t>
        </is>
      </c>
      <c r="D3100" s="1" t="n">
        <v>45114</v>
      </c>
      <c r="E3100" s="1" t="n">
        <v>46319</v>
      </c>
      <c r="F3100" t="inlineStr">
        <is>
          <t>DALARNAS LÄN</t>
        </is>
      </c>
      <c r="G3100" t="inlineStr">
        <is>
          <t>ÄLVDALEN</t>
        </is>
      </c>
      <c r="I3100" t="n">
        <v>1.6</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31702-2023</t>
        </is>
      </c>
      <c r="B3101" t="inlineStr">
        <is>
          <t>avverkningsanmälan</t>
        </is>
      </c>
      <c r="C3101" t="inlineStr">
        <is>
          <t>Avverkning för annat ändamål</t>
        </is>
      </c>
      <c r="D3101" s="1" t="n">
        <v>45105</v>
      </c>
      <c r="E3101" s="1" t="n">
        <v>46319</v>
      </c>
      <c r="F3101" t="inlineStr">
        <is>
          <t>DALARNAS LÄN</t>
        </is>
      </c>
      <c r="G3101" t="inlineStr">
        <is>
          <t>LUDVIKA</t>
        </is>
      </c>
      <c r="I3101" t="n">
        <v>2.3</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32119-2023</t>
        </is>
      </c>
      <c r="B3102" t="inlineStr">
        <is>
          <t>avverkningsanmälan</t>
        </is>
      </c>
      <c r="C3102" t="inlineStr">
        <is>
          <t>Föryngringsavverkning</t>
        </is>
      </c>
      <c r="D3102" s="1" t="n">
        <v>45119</v>
      </c>
      <c r="E3102" s="1" t="n">
        <v>46319</v>
      </c>
      <c r="F3102" t="inlineStr">
        <is>
          <t>DALARNAS LÄN</t>
        </is>
      </c>
      <c r="G3102" t="inlineStr">
        <is>
          <t>LUDVIKA</t>
        </is>
      </c>
      <c r="H3102" t="inlineStr">
        <is>
          <t>Naturvårdsverket</t>
        </is>
      </c>
      <c r="I3102" t="n">
        <v>1</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25673-2026</t>
        </is>
      </c>
      <c r="B3103" t="inlineStr">
        <is>
          <t>avverkningsanmälan</t>
        </is>
      </c>
      <c r="C3103" t="inlineStr">
        <is>
          <t>Föryngringsavverkning</t>
        </is>
      </c>
      <c r="D3103" s="1" t="n">
        <v>46178</v>
      </c>
      <c r="E3103" s="1" t="n">
        <v>46319</v>
      </c>
      <c r="F3103" t="inlineStr">
        <is>
          <t>DALARNAS LÄN</t>
        </is>
      </c>
      <c r="G3103" t="inlineStr">
        <is>
          <t>FALUN</t>
        </is>
      </c>
      <c r="I3103" t="n">
        <v>1.7</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25723-2026</t>
        </is>
      </c>
      <c r="B3104" t="inlineStr">
        <is>
          <t>avverkningsanmälan</t>
        </is>
      </c>
      <c r="C3104" t="inlineStr">
        <is>
          <t>Föryngringsavverkning</t>
        </is>
      </c>
      <c r="D3104" s="1" t="n">
        <v>46178</v>
      </c>
      <c r="E3104" s="1" t="n">
        <v>46319</v>
      </c>
      <c r="F3104" t="inlineStr">
        <is>
          <t>DALARNAS LÄN</t>
        </is>
      </c>
      <c r="G3104" t="inlineStr">
        <is>
          <t>RÄTTVIK</t>
        </is>
      </c>
      <c r="H3104" t="inlineStr">
        <is>
          <t>Bergvik skog väst AB</t>
        </is>
      </c>
      <c r="I3104" t="n">
        <v>1.1</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61035-2021</t>
        </is>
      </c>
      <c r="B3105" t="inlineStr">
        <is>
          <t>avverkningsanmälan</t>
        </is>
      </c>
      <c r="C3105" t="inlineStr">
        <is>
          <t>Föryngringsavverkning</t>
        </is>
      </c>
      <c r="D3105" s="1" t="n">
        <v>44497</v>
      </c>
      <c r="E3105" s="1" t="n">
        <v>46319</v>
      </c>
      <c r="F3105" t="inlineStr">
        <is>
          <t>DALARNAS LÄN</t>
        </is>
      </c>
      <c r="G3105" t="inlineStr">
        <is>
          <t>FALUN</t>
        </is>
      </c>
      <c r="H3105" t="inlineStr">
        <is>
          <t>Kyrkan</t>
        </is>
      </c>
      <c r="I3105" t="n">
        <v>13.8</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50687-2025</t>
        </is>
      </c>
      <c r="B3106" t="inlineStr">
        <is>
          <t>avverkningsanmälan</t>
        </is>
      </c>
      <c r="C3106" t="inlineStr">
        <is>
          <t>Föryngringsavverkning</t>
        </is>
      </c>
      <c r="D3106" s="1" t="n">
        <v>45945</v>
      </c>
      <c r="E3106" s="1" t="n">
        <v>46319</v>
      </c>
      <c r="F3106" t="inlineStr">
        <is>
          <t>DALARNAS LÄN</t>
        </is>
      </c>
      <c r="G3106" t="inlineStr">
        <is>
          <t>VANSBRO</t>
        </is>
      </c>
      <c r="I3106" t="n">
        <v>5</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5738-2023</t>
        </is>
      </c>
      <c r="B3107" t="inlineStr">
        <is>
          <t>avverkningsanmälan</t>
        </is>
      </c>
      <c r="C3107" t="inlineStr">
        <is>
          <t>Avverkning för annat ändamål</t>
        </is>
      </c>
      <c r="D3107" s="1" t="n">
        <v>44962</v>
      </c>
      <c r="E3107" s="1" t="n">
        <v>46319</v>
      </c>
      <c r="F3107" t="inlineStr">
        <is>
          <t>DALARNAS LÄN</t>
        </is>
      </c>
      <c r="G3107" t="inlineStr">
        <is>
          <t>LEKSAND</t>
        </is>
      </c>
      <c r="I3107" t="n">
        <v>0.2</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5570-2024</t>
        </is>
      </c>
      <c r="B3108" t="inlineStr">
        <is>
          <t>avverkningsanmälan</t>
        </is>
      </c>
      <c r="C3108" t="inlineStr">
        <is>
          <t>Föryngringsavverkning</t>
        </is>
      </c>
      <c r="D3108" s="1" t="n">
        <v>45334</v>
      </c>
      <c r="E3108" s="1" t="n">
        <v>46319</v>
      </c>
      <c r="F3108" t="inlineStr">
        <is>
          <t>DALARNAS LÄN</t>
        </is>
      </c>
      <c r="G3108" t="inlineStr">
        <is>
          <t>LEKSAND</t>
        </is>
      </c>
      <c r="I3108" t="n">
        <v>0.3</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38277-2024</t>
        </is>
      </c>
      <c r="B3109" t="inlineStr">
        <is>
          <t>avverkningsanmälan</t>
        </is>
      </c>
      <c r="C3109" t="inlineStr">
        <is>
          <t>Föryngringsavverkning</t>
        </is>
      </c>
      <c r="D3109" s="1" t="n">
        <v>45545</v>
      </c>
      <c r="E3109" s="1" t="n">
        <v>46319</v>
      </c>
      <c r="F3109" t="inlineStr">
        <is>
          <t>DALARNAS LÄN</t>
        </is>
      </c>
      <c r="G3109" t="inlineStr">
        <is>
          <t>ÄLVDALEN</t>
        </is>
      </c>
      <c r="I3109" t="n">
        <v>8.199999999999999</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60922-2021</t>
        </is>
      </c>
      <c r="B3110" t="inlineStr">
        <is>
          <t>avverkningsanmälan</t>
        </is>
      </c>
      <c r="C3110" t="inlineStr">
        <is>
          <t>Föryngringsavverkning</t>
        </is>
      </c>
      <c r="D3110" s="1" t="n">
        <v>44496</v>
      </c>
      <c r="E3110" s="1" t="n">
        <v>46319</v>
      </c>
      <c r="F3110" t="inlineStr">
        <is>
          <t>DALARNAS LÄN</t>
        </is>
      </c>
      <c r="G3110" t="inlineStr">
        <is>
          <t>SMEDJEBACKEN</t>
        </is>
      </c>
      <c r="I3110" t="n">
        <v>3.6</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18444-2024</t>
        </is>
      </c>
      <c r="B3111" t="inlineStr">
        <is>
          <t>avverkningsanmälan</t>
        </is>
      </c>
      <c r="C3111" t="inlineStr">
        <is>
          <t>Föryngringsavverkning</t>
        </is>
      </c>
      <c r="D3111" s="1" t="n">
        <v>45425</v>
      </c>
      <c r="E3111" s="1" t="n">
        <v>46319</v>
      </c>
      <c r="F3111" t="inlineStr">
        <is>
          <t>DALARNAS LÄN</t>
        </is>
      </c>
      <c r="G3111" t="inlineStr">
        <is>
          <t>MORA</t>
        </is>
      </c>
      <c r="I3111" t="n">
        <v>5</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58772-2022</t>
        </is>
      </c>
      <c r="B3112" t="inlineStr">
        <is>
          <t>avverkningsanmälan</t>
        </is>
      </c>
      <c r="C3112" t="inlineStr">
        <is>
          <t>Föryngringsavverkning</t>
        </is>
      </c>
      <c r="D3112" s="1" t="n">
        <v>44903</v>
      </c>
      <c r="E3112" s="1" t="n">
        <v>46319</v>
      </c>
      <c r="F3112" t="inlineStr">
        <is>
          <t>DALARNAS LÄN</t>
        </is>
      </c>
      <c r="G3112" t="inlineStr">
        <is>
          <t>MALUNG-SÄLEN</t>
        </is>
      </c>
      <c r="I3112" t="n">
        <v>5.2</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59707-2022</t>
        </is>
      </c>
      <c r="B3113" t="inlineStr">
        <is>
          <t>avverkningsanmälan</t>
        </is>
      </c>
      <c r="C3113" t="inlineStr">
        <is>
          <t>Föryngringsavverkning</t>
        </is>
      </c>
      <c r="D3113" s="1" t="n">
        <v>44908</v>
      </c>
      <c r="E3113" s="1" t="n">
        <v>46319</v>
      </c>
      <c r="F3113" t="inlineStr">
        <is>
          <t>DALARNAS LÄN</t>
        </is>
      </c>
      <c r="G3113" t="inlineStr">
        <is>
          <t>SÄTER</t>
        </is>
      </c>
      <c r="I3113" t="n">
        <v>4.6</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43693-2022</t>
        </is>
      </c>
      <c r="B3114" t="inlineStr">
        <is>
          <t>avverkningsanmälan</t>
        </is>
      </c>
      <c r="C3114" t="inlineStr">
        <is>
          <t>Föryngringsavverkning</t>
        </is>
      </c>
      <c r="D3114" s="1" t="n">
        <v>44837</v>
      </c>
      <c r="E3114" s="1" t="n">
        <v>46319</v>
      </c>
      <c r="F3114" t="inlineStr">
        <is>
          <t>DALARNAS LÄN</t>
        </is>
      </c>
      <c r="G3114" t="inlineStr">
        <is>
          <t>LEKSAND</t>
        </is>
      </c>
      <c r="I3114" t="n">
        <v>2.7</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43735-2022</t>
        </is>
      </c>
      <c r="B3115" t="inlineStr">
        <is>
          <t>avverkningsanmälan</t>
        </is>
      </c>
      <c r="C3115" t="inlineStr">
        <is>
          <t>Föryngringsavverkning</t>
        </is>
      </c>
      <c r="D3115" s="1" t="n">
        <v>44837</v>
      </c>
      <c r="E3115" s="1" t="n">
        <v>46319</v>
      </c>
      <c r="F3115" t="inlineStr">
        <is>
          <t>DALARNAS LÄN</t>
        </is>
      </c>
      <c r="G3115" t="inlineStr">
        <is>
          <t>LEKSAND</t>
        </is>
      </c>
      <c r="I3115" t="n">
        <v>2.9</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23642-2024</t>
        </is>
      </c>
      <c r="B3116" t="inlineStr">
        <is>
          <t>avverkningsanmälan</t>
        </is>
      </c>
      <c r="C3116" t="inlineStr">
        <is>
          <t>Föryngringsavverkning</t>
        </is>
      </c>
      <c r="D3116" s="1" t="n">
        <v>45454</v>
      </c>
      <c r="E3116" s="1" t="n">
        <v>46319</v>
      </c>
      <c r="F3116" t="inlineStr">
        <is>
          <t>DALARNAS LÄN</t>
        </is>
      </c>
      <c r="G3116" t="inlineStr">
        <is>
          <t>FALUN</t>
        </is>
      </c>
      <c r="I3116" t="n">
        <v>1.3</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23663-2024</t>
        </is>
      </c>
      <c r="B3117" t="inlineStr">
        <is>
          <t>avverkningsanmälan</t>
        </is>
      </c>
      <c r="C3117" t="inlineStr">
        <is>
          <t>Föryngringsavverkning</t>
        </is>
      </c>
      <c r="D3117" s="1" t="n">
        <v>45454</v>
      </c>
      <c r="E3117" s="1" t="n">
        <v>46319</v>
      </c>
      <c r="F3117" t="inlineStr">
        <is>
          <t>DALARNAS LÄN</t>
        </is>
      </c>
      <c r="G3117" t="inlineStr">
        <is>
          <t>LEKSAND</t>
        </is>
      </c>
      <c r="I3117" t="n">
        <v>2.5</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48716-2022</t>
        </is>
      </c>
      <c r="B3118" t="inlineStr">
        <is>
          <t>avverkningsanmälan</t>
        </is>
      </c>
      <c r="C3118" t="inlineStr">
        <is>
          <t>Föryngringsavverkning</t>
        </is>
      </c>
      <c r="D3118" s="1" t="n">
        <v>44859</v>
      </c>
      <c r="E3118" s="1" t="n">
        <v>46319</v>
      </c>
      <c r="F3118" t="inlineStr">
        <is>
          <t>DALARNAS LÄN</t>
        </is>
      </c>
      <c r="G3118" t="inlineStr">
        <is>
          <t>SMEDJEBACKEN</t>
        </is>
      </c>
      <c r="H3118" t="inlineStr">
        <is>
          <t>Sveaskog</t>
        </is>
      </c>
      <c r="I3118" t="n">
        <v>2.5</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47146-2024</t>
        </is>
      </c>
      <c r="B3119" t="inlineStr">
        <is>
          <t>avverkningsanmälan</t>
        </is>
      </c>
      <c r="C3119" t="inlineStr">
        <is>
          <t>Avverkning för annat ändamål</t>
        </is>
      </c>
      <c r="D3119" s="1" t="n">
        <v>45586</v>
      </c>
      <c r="E3119" s="1" t="n">
        <v>46319</v>
      </c>
      <c r="F3119" t="inlineStr">
        <is>
          <t>DALARNAS LÄN</t>
        </is>
      </c>
      <c r="G3119" t="inlineStr">
        <is>
          <t>RÄTTVIK</t>
        </is>
      </c>
      <c r="H3119" t="inlineStr">
        <is>
          <t>Bergvik skog väst AB</t>
        </is>
      </c>
      <c r="I3119" t="n">
        <v>0.7</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12027-2023</t>
        </is>
      </c>
      <c r="B3120" t="inlineStr">
        <is>
          <t>avverkningsanmälan</t>
        </is>
      </c>
      <c r="C3120" t="inlineStr">
        <is>
          <t>Föryngringsavverkning</t>
        </is>
      </c>
      <c r="D3120" s="1" t="n">
        <v>44995</v>
      </c>
      <c r="E3120" s="1" t="n">
        <v>46319</v>
      </c>
      <c r="F3120" t="inlineStr">
        <is>
          <t>DALARNAS LÄN</t>
        </is>
      </c>
      <c r="G3120" t="inlineStr">
        <is>
          <t>SMEDJEBACKEN</t>
        </is>
      </c>
      <c r="I3120" t="n">
        <v>1</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35943-2024</t>
        </is>
      </c>
      <c r="B3121" t="inlineStr">
        <is>
          <t>avverkningsanmälan</t>
        </is>
      </c>
      <c r="C3121" t="inlineStr">
        <is>
          <t>Föryngringsavverkning</t>
        </is>
      </c>
      <c r="D3121" s="1" t="n">
        <v>45533</v>
      </c>
      <c r="E3121" s="1" t="n">
        <v>46319</v>
      </c>
      <c r="F3121" t="inlineStr">
        <is>
          <t>DALARNAS LÄN</t>
        </is>
      </c>
      <c r="G3121" t="inlineStr">
        <is>
          <t>VANSBRO</t>
        </is>
      </c>
      <c r="I3121" t="n">
        <v>1.4</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51392-2025</t>
        </is>
      </c>
      <c r="B3122" t="inlineStr">
        <is>
          <t>avverkningsanmälan</t>
        </is>
      </c>
      <c r="C3122" t="inlineStr">
        <is>
          <t>Föryngringsavverkning</t>
        </is>
      </c>
      <c r="D3122" s="1" t="n">
        <v>45950</v>
      </c>
      <c r="E3122" s="1" t="n">
        <v>46319</v>
      </c>
      <c r="F3122" t="inlineStr">
        <is>
          <t>DALARNAS LÄN</t>
        </is>
      </c>
      <c r="G3122" t="inlineStr">
        <is>
          <t>ÄLVDALEN</t>
        </is>
      </c>
      <c r="I3122" t="n">
        <v>0.8</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33180-2024</t>
        </is>
      </c>
      <c r="B3123" t="inlineStr">
        <is>
          <t>avverkningsanmälan</t>
        </is>
      </c>
      <c r="C3123" t="inlineStr">
        <is>
          <t>Föryngringsavverkning</t>
        </is>
      </c>
      <c r="D3123" s="1" t="n">
        <v>45518</v>
      </c>
      <c r="E3123" s="1" t="n">
        <v>46319</v>
      </c>
      <c r="F3123" t="inlineStr">
        <is>
          <t>DALARNAS LÄN</t>
        </is>
      </c>
      <c r="G3123" t="inlineStr">
        <is>
          <t>LEKSAND</t>
        </is>
      </c>
      <c r="I3123" t="n">
        <v>7.6</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9298-2023</t>
        </is>
      </c>
      <c r="B3124" t="inlineStr">
        <is>
          <t>avverkningsanmälan</t>
        </is>
      </c>
      <c r="C3124" t="inlineStr">
        <is>
          <t>Föryngringsavverkning</t>
        </is>
      </c>
      <c r="D3124" s="1" t="n">
        <v>44980</v>
      </c>
      <c r="E3124" s="1" t="n">
        <v>46319</v>
      </c>
      <c r="F3124" t="inlineStr">
        <is>
          <t>DALARNAS LÄN</t>
        </is>
      </c>
      <c r="G3124" t="inlineStr">
        <is>
          <t>VANSBRO</t>
        </is>
      </c>
      <c r="H3124" t="inlineStr">
        <is>
          <t>Bergvik skog väst AB</t>
        </is>
      </c>
      <c r="I3124" t="n">
        <v>0.6</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23439-2025</t>
        </is>
      </c>
      <c r="B3125" t="inlineStr">
        <is>
          <t>avverkningsanmälan</t>
        </is>
      </c>
      <c r="C3125" t="inlineStr">
        <is>
          <t>Föryngringsavverkning</t>
        </is>
      </c>
      <c r="D3125" s="1" t="n">
        <v>45792</v>
      </c>
      <c r="E3125" s="1" t="n">
        <v>46319</v>
      </c>
      <c r="F3125" t="inlineStr">
        <is>
          <t>DALARNAS LÄN</t>
        </is>
      </c>
      <c r="G3125" t="inlineStr">
        <is>
          <t>AVESTA</t>
        </is>
      </c>
      <c r="H3125" t="inlineStr">
        <is>
          <t>Sveaskog</t>
        </is>
      </c>
      <c r="I3125" t="n">
        <v>6</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36519-2024</t>
        </is>
      </c>
      <c r="B3126" t="inlineStr">
        <is>
          <t>avverkningsanmälan</t>
        </is>
      </c>
      <c r="C3126" t="inlineStr">
        <is>
          <t>Föryngringsavverkning</t>
        </is>
      </c>
      <c r="D3126" s="1" t="n">
        <v>45537</v>
      </c>
      <c r="E3126" s="1" t="n">
        <v>46319</v>
      </c>
      <c r="F3126" t="inlineStr">
        <is>
          <t>DALARNAS LÄN</t>
        </is>
      </c>
      <c r="G3126" t="inlineStr">
        <is>
          <t>RÄTTVIK</t>
        </is>
      </c>
      <c r="H3126" t="inlineStr">
        <is>
          <t>Sveaskog</t>
        </is>
      </c>
      <c r="I3126" t="n">
        <v>1.9</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12828-2023</t>
        </is>
      </c>
      <c r="B3127" t="inlineStr">
        <is>
          <t>avverkningsanmälan</t>
        </is>
      </c>
      <c r="C3127" t="inlineStr">
        <is>
          <t>Föryngringsavverkning</t>
        </is>
      </c>
      <c r="D3127" s="1" t="n">
        <v>45001</v>
      </c>
      <c r="E3127" s="1" t="n">
        <v>46319</v>
      </c>
      <c r="F3127" t="inlineStr">
        <is>
          <t>DALARNAS LÄN</t>
        </is>
      </c>
      <c r="G3127" t="inlineStr">
        <is>
          <t>MORA</t>
        </is>
      </c>
      <c r="H3127" t="inlineStr">
        <is>
          <t>Bergvik skog väst AB</t>
        </is>
      </c>
      <c r="I3127" t="n">
        <v>5.4</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21416-2026</t>
        </is>
      </c>
      <c r="B3128" t="inlineStr">
        <is>
          <t>avverkningsanmälan</t>
        </is>
      </c>
      <c r="C3128" t="inlineStr">
        <is>
          <t>Föryngringsavverkning</t>
        </is>
      </c>
      <c r="D3128" s="1" t="n">
        <v>46148</v>
      </c>
      <c r="E3128" s="1" t="n">
        <v>46319</v>
      </c>
      <c r="F3128" t="inlineStr">
        <is>
          <t>DALARNAS LÄN</t>
        </is>
      </c>
      <c r="G3128" t="inlineStr">
        <is>
          <t>FALUN</t>
        </is>
      </c>
      <c r="I3128" t="n">
        <v>1.5</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46927-2024</t>
        </is>
      </c>
      <c r="B3129" t="inlineStr">
        <is>
          <t>avverkningsanmälan</t>
        </is>
      </c>
      <c r="C3129" t="inlineStr">
        <is>
          <t>Föryngringsavverkning</t>
        </is>
      </c>
      <c r="D3129" s="1" t="n">
        <v>45584</v>
      </c>
      <c r="E3129" s="1" t="n">
        <v>46319</v>
      </c>
      <c r="F3129" t="inlineStr">
        <is>
          <t>DALARNAS LÄN</t>
        </is>
      </c>
      <c r="G3129" t="inlineStr">
        <is>
          <t>ÄLVDALEN</t>
        </is>
      </c>
      <c r="I3129" t="n">
        <v>1.5</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51071-2025</t>
        </is>
      </c>
      <c r="B3130" t="inlineStr">
        <is>
          <t>avverkningsanmälan</t>
        </is>
      </c>
      <c r="C3130" t="inlineStr">
        <is>
          <t>Avverkning för att bevara och utveckla /försöksver</t>
        </is>
      </c>
      <c r="D3130" s="1" t="n">
        <v>45947</v>
      </c>
      <c r="E3130" s="1" t="n">
        <v>46319</v>
      </c>
      <c r="F3130" t="inlineStr">
        <is>
          <t>DALARNAS LÄN</t>
        </is>
      </c>
      <c r="G3130" t="inlineStr">
        <is>
          <t>SMEDJEBACKEN</t>
        </is>
      </c>
      <c r="H3130" t="inlineStr">
        <is>
          <t>Sveaskog</t>
        </is>
      </c>
      <c r="I3130" t="n">
        <v>0.7</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25705-2026</t>
        </is>
      </c>
      <c r="B3131" t="inlineStr">
        <is>
          <t>avverkningsanmälan</t>
        </is>
      </c>
      <c r="C3131" t="inlineStr">
        <is>
          <t>Föryngringsavverkning</t>
        </is>
      </c>
      <c r="D3131" s="1" t="n">
        <v>46178</v>
      </c>
      <c r="E3131" s="1" t="n">
        <v>46319</v>
      </c>
      <c r="F3131" t="inlineStr">
        <is>
          <t>DALARNAS LÄN</t>
        </is>
      </c>
      <c r="G3131" t="inlineStr">
        <is>
          <t>FALUN</t>
        </is>
      </c>
      <c r="I3131" t="n">
        <v>1.1</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51053-2025</t>
        </is>
      </c>
      <c r="B3132" t="inlineStr">
        <is>
          <t>avverkningsanmälan</t>
        </is>
      </c>
      <c r="C3132" t="inlineStr">
        <is>
          <t>Föryngringsavverkning</t>
        </is>
      </c>
      <c r="D3132" s="1" t="n">
        <v>45947</v>
      </c>
      <c r="E3132" s="1" t="n">
        <v>46319</v>
      </c>
      <c r="F3132" t="inlineStr">
        <is>
          <t>DALARNAS LÄN</t>
        </is>
      </c>
      <c r="G3132" t="inlineStr">
        <is>
          <t>SMEDJEBACKEN</t>
        </is>
      </c>
      <c r="H3132" t="inlineStr">
        <is>
          <t>Sveaskog</t>
        </is>
      </c>
      <c r="I3132" t="n">
        <v>2</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51054-2025</t>
        </is>
      </c>
      <c r="B3133" t="inlineStr">
        <is>
          <t>avverkningsanmälan</t>
        </is>
      </c>
      <c r="C3133" t="inlineStr">
        <is>
          <t>Föryngringsavverkning</t>
        </is>
      </c>
      <c r="D3133" s="1" t="n">
        <v>45947</v>
      </c>
      <c r="E3133" s="1" t="n">
        <v>46319</v>
      </c>
      <c r="F3133" t="inlineStr">
        <is>
          <t>DALARNAS LÄN</t>
        </is>
      </c>
      <c r="G3133" t="inlineStr">
        <is>
          <t>SMEDJEBACKEN</t>
        </is>
      </c>
      <c r="H3133" t="inlineStr">
        <is>
          <t>Sveaskog</t>
        </is>
      </c>
      <c r="I3133" t="n">
        <v>1.2</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51381-2025</t>
        </is>
      </c>
      <c r="B3134" t="inlineStr">
        <is>
          <t>avverkningsanmälan</t>
        </is>
      </c>
      <c r="C3134" t="inlineStr">
        <is>
          <t>Föryngringsavverkning</t>
        </is>
      </c>
      <c r="D3134" s="1" t="n">
        <v>45950</v>
      </c>
      <c r="E3134" s="1" t="n">
        <v>46319</v>
      </c>
      <c r="F3134" t="inlineStr">
        <is>
          <t>DALARNAS LÄN</t>
        </is>
      </c>
      <c r="G3134" t="inlineStr">
        <is>
          <t>ÄLVDALEN</t>
        </is>
      </c>
      <c r="I3134" t="n">
        <v>1.3</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51443-2025</t>
        </is>
      </c>
      <c r="B3135" t="inlineStr">
        <is>
          <t>avverkningsanmälan</t>
        </is>
      </c>
      <c r="C3135" t="inlineStr">
        <is>
          <t>Föryngringsavverkning</t>
        </is>
      </c>
      <c r="D3135" s="1" t="n">
        <v>45950</v>
      </c>
      <c r="E3135" s="1" t="n">
        <v>46319</v>
      </c>
      <c r="F3135" t="inlineStr">
        <is>
          <t>DALARNAS LÄN</t>
        </is>
      </c>
      <c r="G3135" t="inlineStr">
        <is>
          <t>SMEDJEBACKEN</t>
        </is>
      </c>
      <c r="H3135" t="inlineStr">
        <is>
          <t>Bergvik skog väst AB</t>
        </is>
      </c>
      <c r="I3135" t="n">
        <v>5.2</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6975-2023</t>
        </is>
      </c>
      <c r="B3136" t="inlineStr">
        <is>
          <t>avverkningsanmälan</t>
        </is>
      </c>
      <c r="C3136" t="inlineStr">
        <is>
          <t>Föryngringsavverkning</t>
        </is>
      </c>
      <c r="D3136" s="1" t="n">
        <v>44967</v>
      </c>
      <c r="E3136" s="1" t="n">
        <v>46319</v>
      </c>
      <c r="F3136" t="inlineStr">
        <is>
          <t>DALARNAS LÄN</t>
        </is>
      </c>
      <c r="G3136" t="inlineStr">
        <is>
          <t>LUDVIKA</t>
        </is>
      </c>
      <c r="I3136" t="n">
        <v>2.1</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58848-2022</t>
        </is>
      </c>
      <c r="B3137" t="inlineStr">
        <is>
          <t>avverkningsanmälan</t>
        </is>
      </c>
      <c r="C3137" t="inlineStr">
        <is>
          <t>Avverkning för annat ändamål</t>
        </is>
      </c>
      <c r="D3137" s="1" t="n">
        <v>44896</v>
      </c>
      <c r="E3137" s="1" t="n">
        <v>46319</v>
      </c>
      <c r="F3137" t="inlineStr">
        <is>
          <t>DALARNAS LÄN</t>
        </is>
      </c>
      <c r="G3137" t="inlineStr">
        <is>
          <t>ÄLVDALEN</t>
        </is>
      </c>
      <c r="H3137" t="inlineStr">
        <is>
          <t>Övriga statliga verk och myndigheter</t>
        </is>
      </c>
      <c r="I3137" t="n">
        <v>18.1</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58853-2022</t>
        </is>
      </c>
      <c r="B3138" t="inlineStr">
        <is>
          <t>avverkningsanmälan</t>
        </is>
      </c>
      <c r="C3138" t="inlineStr">
        <is>
          <t>Föryngringsavverkning</t>
        </is>
      </c>
      <c r="D3138" s="1" t="n">
        <v>44903</v>
      </c>
      <c r="E3138" s="1" t="n">
        <v>46319</v>
      </c>
      <c r="F3138" t="inlineStr">
        <is>
          <t>DALARNAS LÄN</t>
        </is>
      </c>
      <c r="G3138" t="inlineStr">
        <is>
          <t>ORSA</t>
        </is>
      </c>
      <c r="H3138" t="inlineStr">
        <is>
          <t>Bergvik skog öst AB</t>
        </is>
      </c>
      <c r="I3138" t="n">
        <v>0.5</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33487-2023</t>
        </is>
      </c>
      <c r="B3139" t="inlineStr">
        <is>
          <t>avverkningsanmälan</t>
        </is>
      </c>
      <c r="C3139" t="inlineStr">
        <is>
          <t>Föryngringsavverkning</t>
        </is>
      </c>
      <c r="D3139" s="1" t="n">
        <v>45131</v>
      </c>
      <c r="E3139" s="1" t="n">
        <v>46319</v>
      </c>
      <c r="F3139" t="inlineStr">
        <is>
          <t>DALARNAS LÄN</t>
        </is>
      </c>
      <c r="G3139" t="inlineStr">
        <is>
          <t>SMEDJEBACKEN</t>
        </is>
      </c>
      <c r="I3139" t="n">
        <v>1.3</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25668-2026</t>
        </is>
      </c>
      <c r="B3140" t="inlineStr">
        <is>
          <t>avverkningsanmälan</t>
        </is>
      </c>
      <c r="C3140" t="inlineStr">
        <is>
          <t>Föryngringsavverkning</t>
        </is>
      </c>
      <c r="D3140" s="1" t="n">
        <v>46178</v>
      </c>
      <c r="E3140" s="1" t="n">
        <v>46319</v>
      </c>
      <c r="F3140" t="inlineStr">
        <is>
          <t>DALARNAS LÄN</t>
        </is>
      </c>
      <c r="G3140" t="inlineStr">
        <is>
          <t>FALUN</t>
        </is>
      </c>
      <c r="I3140" t="n">
        <v>0.6</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25669-2026</t>
        </is>
      </c>
      <c r="B3141" t="inlineStr">
        <is>
          <t>avverkningsanmälan</t>
        </is>
      </c>
      <c r="C3141" t="inlineStr">
        <is>
          <t>Föryngringsavverkning</t>
        </is>
      </c>
      <c r="D3141" s="1" t="n">
        <v>46178</v>
      </c>
      <c r="E3141" s="1" t="n">
        <v>46319</v>
      </c>
      <c r="F3141" t="inlineStr">
        <is>
          <t>DALARNAS LÄN</t>
        </is>
      </c>
      <c r="G3141" t="inlineStr">
        <is>
          <t>RÄTTVIK</t>
        </is>
      </c>
      <c r="I3141" t="n">
        <v>1.7</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60099-2024</t>
        </is>
      </c>
      <c r="B3142" t="inlineStr">
        <is>
          <t>avverkningsanmälan</t>
        </is>
      </c>
      <c r="C3142" t="inlineStr">
        <is>
          <t>Föryngringsavverkning</t>
        </is>
      </c>
      <c r="D3142" s="1" t="n">
        <v>45642</v>
      </c>
      <c r="E3142" s="1" t="n">
        <v>46319</v>
      </c>
      <c r="F3142" t="inlineStr">
        <is>
          <t>DALARNAS LÄN</t>
        </is>
      </c>
      <c r="G3142" t="inlineStr">
        <is>
          <t>MORA</t>
        </is>
      </c>
      <c r="I3142" t="n">
        <v>9.300000000000001</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53750-2024</t>
        </is>
      </c>
      <c r="B3143" t="inlineStr">
        <is>
          <t>avverkningsanmälan</t>
        </is>
      </c>
      <c r="C3143" t="inlineStr">
        <is>
          <t>Föryngringsavverkning</t>
        </is>
      </c>
      <c r="D3143" s="1" t="n">
        <v>45615</v>
      </c>
      <c r="E3143" s="1" t="n">
        <v>46319</v>
      </c>
      <c r="F3143" t="inlineStr">
        <is>
          <t>DALARNAS LÄN</t>
        </is>
      </c>
      <c r="G3143" t="inlineStr">
        <is>
          <t>MORA</t>
        </is>
      </c>
      <c r="I3143" t="n">
        <v>2.3</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53758-2024</t>
        </is>
      </c>
      <c r="B3144" t="inlineStr">
        <is>
          <t>avverkningsanmälan</t>
        </is>
      </c>
      <c r="C3144" t="inlineStr">
        <is>
          <t>Föryngringsavverkning</t>
        </is>
      </c>
      <c r="D3144" s="1" t="n">
        <v>45615</v>
      </c>
      <c r="E3144" s="1" t="n">
        <v>46319</v>
      </c>
      <c r="F3144" t="inlineStr">
        <is>
          <t>DALARNAS LÄN</t>
        </is>
      </c>
      <c r="G3144" t="inlineStr">
        <is>
          <t>ORSA</t>
        </is>
      </c>
      <c r="I3144" t="n">
        <v>0.5</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62264-2023</t>
        </is>
      </c>
      <c r="B3145" t="inlineStr">
        <is>
          <t>avverkningsanmälan</t>
        </is>
      </c>
      <c r="C3145" t="inlineStr">
        <is>
          <t>Föryngringsavverkning</t>
        </is>
      </c>
      <c r="D3145" s="1" t="n">
        <v>45267</v>
      </c>
      <c r="E3145" s="1" t="n">
        <v>46319</v>
      </c>
      <c r="F3145" t="inlineStr">
        <is>
          <t>DALARNAS LÄN</t>
        </is>
      </c>
      <c r="G3145" t="inlineStr">
        <is>
          <t>MALUNG-SÄLEN</t>
        </is>
      </c>
      <c r="I3145" t="n">
        <v>3</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51461-2025</t>
        </is>
      </c>
      <c r="B3146" t="inlineStr">
        <is>
          <t>avverkningsanmälan</t>
        </is>
      </c>
      <c r="C3146" t="inlineStr">
        <is>
          <t>Föryngringsavverkning</t>
        </is>
      </c>
      <c r="D3146" s="1" t="n">
        <v>45950</v>
      </c>
      <c r="E3146" s="1" t="n">
        <v>46319</v>
      </c>
      <c r="F3146" t="inlineStr">
        <is>
          <t>DALARNAS LÄN</t>
        </is>
      </c>
      <c r="G3146" t="inlineStr">
        <is>
          <t>ÄLVDALEN</t>
        </is>
      </c>
      <c r="H3146" t="inlineStr">
        <is>
          <t>Allmännings- och besparingsskogar</t>
        </is>
      </c>
      <c r="I3146" t="n">
        <v>5</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25810-2026</t>
        </is>
      </c>
      <c r="B3147" t="inlineStr">
        <is>
          <t>avverkningsanmälan</t>
        </is>
      </c>
      <c r="C3147" t="inlineStr">
        <is>
          <t>Föryngringsavverkning</t>
        </is>
      </c>
      <c r="D3147" s="1" t="n">
        <v>46178</v>
      </c>
      <c r="E3147" s="1" t="n">
        <v>46319</v>
      </c>
      <c r="F3147" t="inlineStr">
        <is>
          <t>DALARNAS LÄN</t>
        </is>
      </c>
      <c r="G3147" t="inlineStr">
        <is>
          <t>FALUN</t>
        </is>
      </c>
      <c r="I3147" t="n">
        <v>0.6</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51063-2025</t>
        </is>
      </c>
      <c r="B3148" t="inlineStr">
        <is>
          <t>avverkningsanmälan</t>
        </is>
      </c>
      <c r="C3148" t="inlineStr">
        <is>
          <t>Avverkning för att bevara och utveckla /försöksver</t>
        </is>
      </c>
      <c r="D3148" s="1" t="n">
        <v>45947</v>
      </c>
      <c r="E3148" s="1" t="n">
        <v>46319</v>
      </c>
      <c r="F3148" t="inlineStr">
        <is>
          <t>DALARNAS LÄN</t>
        </is>
      </c>
      <c r="G3148" t="inlineStr">
        <is>
          <t>SMEDJEBACKEN</t>
        </is>
      </c>
      <c r="H3148" t="inlineStr">
        <is>
          <t>Sveaskog</t>
        </is>
      </c>
      <c r="I3148" t="n">
        <v>1.8</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60715-2022</t>
        </is>
      </c>
      <c r="B3149" t="inlineStr">
        <is>
          <t>avverkningsanmälan</t>
        </is>
      </c>
      <c r="C3149" t="inlineStr">
        <is>
          <t>Föryngringsavverkning</t>
        </is>
      </c>
      <c r="D3149" s="1" t="n">
        <v>44912</v>
      </c>
      <c r="E3149" s="1" t="n">
        <v>46319</v>
      </c>
      <c r="F3149" t="inlineStr">
        <is>
          <t>DALARNAS LÄN</t>
        </is>
      </c>
      <c r="G3149" t="inlineStr">
        <is>
          <t>LEKSAND</t>
        </is>
      </c>
      <c r="I3149" t="n">
        <v>1</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51414-2025</t>
        </is>
      </c>
      <c r="B3150" t="inlineStr">
        <is>
          <t>avverkningsanmälan</t>
        </is>
      </c>
      <c r="C3150" t="inlineStr">
        <is>
          <t>Föryngringsavverkning</t>
        </is>
      </c>
      <c r="D3150" s="1" t="n">
        <v>45950</v>
      </c>
      <c r="E3150" s="1" t="n">
        <v>46319</v>
      </c>
      <c r="F3150" t="inlineStr">
        <is>
          <t>DALARNAS LÄN</t>
        </is>
      </c>
      <c r="G3150" t="inlineStr">
        <is>
          <t>VANSBRO</t>
        </is>
      </c>
      <c r="H3150" t="inlineStr">
        <is>
          <t>Bergvik skog väst AB</t>
        </is>
      </c>
      <c r="I3150" t="n">
        <v>5.9</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46672-2024</t>
        </is>
      </c>
      <c r="B3151" t="inlineStr">
        <is>
          <t>avverkningsanmälan</t>
        </is>
      </c>
      <c r="C3151" t="inlineStr">
        <is>
          <t>Föryngringsavverkning</t>
        </is>
      </c>
      <c r="D3151" s="1" t="n">
        <v>45583</v>
      </c>
      <c r="E3151" s="1" t="n">
        <v>46319</v>
      </c>
      <c r="F3151" t="inlineStr">
        <is>
          <t>DALARNAS LÄN</t>
        </is>
      </c>
      <c r="G3151" t="inlineStr">
        <is>
          <t>AVESTA</t>
        </is>
      </c>
      <c r="H3151" t="inlineStr">
        <is>
          <t>Sveaskog</t>
        </is>
      </c>
      <c r="I3151" t="n">
        <v>3</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51151-2025</t>
        </is>
      </c>
      <c r="B3152" t="inlineStr">
        <is>
          <t>avverkningsanmälan</t>
        </is>
      </c>
      <c r="C3152" t="inlineStr">
        <is>
          <t>Avverkning för att bevara och utveckla /försöksver</t>
        </is>
      </c>
      <c r="D3152" s="1" t="n">
        <v>45947</v>
      </c>
      <c r="E3152" s="1" t="n">
        <v>46319</v>
      </c>
      <c r="F3152" t="inlineStr">
        <is>
          <t>DALARNAS LÄN</t>
        </is>
      </c>
      <c r="G3152" t="inlineStr">
        <is>
          <t>SMEDJEBACKEN</t>
        </is>
      </c>
      <c r="H3152" t="inlineStr">
        <is>
          <t>Sveaskog</t>
        </is>
      </c>
      <c r="I3152" t="n">
        <v>0.9</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26021-2026</t>
        </is>
      </c>
      <c r="B3153" t="inlineStr">
        <is>
          <t>avverkningsanmälan</t>
        </is>
      </c>
      <c r="C3153" t="inlineStr">
        <is>
          <t>Föryngringsavverkning</t>
        </is>
      </c>
      <c r="D3153" s="1" t="n">
        <v>46181</v>
      </c>
      <c r="E3153" s="1" t="n">
        <v>46319</v>
      </c>
      <c r="F3153" t="inlineStr">
        <is>
          <t>DALARNAS LÄN</t>
        </is>
      </c>
      <c r="G3153" t="inlineStr">
        <is>
          <t>LEKSAND</t>
        </is>
      </c>
      <c r="H3153" t="inlineStr">
        <is>
          <t>Bergvik skog väst AB</t>
        </is>
      </c>
      <c r="I3153" t="n">
        <v>1.1</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17148-2026</t>
        </is>
      </c>
      <c r="B3154" t="inlineStr">
        <is>
          <t>avverkningsanmälan</t>
        </is>
      </c>
      <c r="C3154" t="inlineStr">
        <is>
          <t>Föryngringsavverkning</t>
        </is>
      </c>
      <c r="D3154" s="1" t="n">
        <v>46114</v>
      </c>
      <c r="E3154" s="1" t="n">
        <v>46319</v>
      </c>
      <c r="F3154" t="inlineStr">
        <is>
          <t>DALARNAS LÄN</t>
        </is>
      </c>
      <c r="G3154" t="inlineStr">
        <is>
          <t>HEDEMORA</t>
        </is>
      </c>
      <c r="H3154" t="inlineStr">
        <is>
          <t>Sveaskog</t>
        </is>
      </c>
      <c r="I3154" t="n">
        <v>3</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38004-2024</t>
        </is>
      </c>
      <c r="B3155" t="inlineStr">
        <is>
          <t>avverkningsanmälan</t>
        </is>
      </c>
      <c r="C3155" t="inlineStr">
        <is>
          <t>Avverkning för annat ändamål</t>
        </is>
      </c>
      <c r="D3155" s="1" t="n">
        <v>45544</v>
      </c>
      <c r="E3155" s="1" t="n">
        <v>46319</v>
      </c>
      <c r="F3155" t="inlineStr">
        <is>
          <t>DALARNAS LÄN</t>
        </is>
      </c>
      <c r="G3155" t="inlineStr">
        <is>
          <t>RÄTTVIK</t>
        </is>
      </c>
      <c r="I3155" t="n">
        <v>1.4</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51051-2025</t>
        </is>
      </c>
      <c r="B3156" t="inlineStr">
        <is>
          <t>avverkningsanmälan</t>
        </is>
      </c>
      <c r="C3156" t="inlineStr">
        <is>
          <t>Avverkning för att bevara och utveckla /försöksver</t>
        </is>
      </c>
      <c r="D3156" s="1" t="n">
        <v>45947</v>
      </c>
      <c r="E3156" s="1" t="n">
        <v>46319</v>
      </c>
      <c r="F3156" t="inlineStr">
        <is>
          <t>DALARNAS LÄN</t>
        </is>
      </c>
      <c r="G3156" t="inlineStr">
        <is>
          <t>SMEDJEBACKEN</t>
        </is>
      </c>
      <c r="H3156" t="inlineStr">
        <is>
          <t>Sveaskog</t>
        </is>
      </c>
      <c r="I3156" t="n">
        <v>1.1</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51334-2025</t>
        </is>
      </c>
      <c r="B3157" t="inlineStr">
        <is>
          <t>avverkningsanmälan</t>
        </is>
      </c>
      <c r="C3157" t="inlineStr">
        <is>
          <t>Föryngringsavverkning</t>
        </is>
      </c>
      <c r="D3157" s="1" t="n">
        <v>45950</v>
      </c>
      <c r="E3157" s="1" t="n">
        <v>46319</v>
      </c>
      <c r="F3157" t="inlineStr">
        <is>
          <t>DALARNAS LÄN</t>
        </is>
      </c>
      <c r="G3157" t="inlineStr">
        <is>
          <t>ORSA</t>
        </is>
      </c>
      <c r="I3157" t="n">
        <v>1.8</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15278-2026</t>
        </is>
      </c>
      <c r="B3158" t="inlineStr">
        <is>
          <t>avverkningsanmälan</t>
        </is>
      </c>
      <c r="C3158" t="inlineStr">
        <is>
          <t>Föryngringsavverkning</t>
        </is>
      </c>
      <c r="D3158" s="1" t="n">
        <v>46105</v>
      </c>
      <c r="E3158" s="1" t="n">
        <v>46319</v>
      </c>
      <c r="F3158" t="inlineStr">
        <is>
          <t>DALARNAS LÄN</t>
        </is>
      </c>
      <c r="G3158" t="inlineStr">
        <is>
          <t>FALUN</t>
        </is>
      </c>
      <c r="H3158" t="inlineStr">
        <is>
          <t>Bergvik skog väst AB</t>
        </is>
      </c>
      <c r="I3158" t="n">
        <v>34.4</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11092-2023</t>
        </is>
      </c>
      <c r="B3159" t="inlineStr">
        <is>
          <t>avverkningsanmälan</t>
        </is>
      </c>
      <c r="C3159" t="inlineStr">
        <is>
          <t>Föryngringsavverkning</t>
        </is>
      </c>
      <c r="D3159" s="1" t="n">
        <v>44992</v>
      </c>
      <c r="E3159" s="1" t="n">
        <v>46319</v>
      </c>
      <c r="F3159" t="inlineStr">
        <is>
          <t>DALARNAS LÄN</t>
        </is>
      </c>
      <c r="G3159" t="inlineStr">
        <is>
          <t>LEKSAND</t>
        </is>
      </c>
      <c r="I3159" t="n">
        <v>0.5</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15882-2023</t>
        </is>
      </c>
      <c r="B3160" t="inlineStr">
        <is>
          <t>avverkningsanmälan</t>
        </is>
      </c>
      <c r="C3160" t="inlineStr">
        <is>
          <t>Avverkning för annat ändamål</t>
        </is>
      </c>
      <c r="D3160" s="1" t="n">
        <v>45022</v>
      </c>
      <c r="E3160" s="1" t="n">
        <v>46319</v>
      </c>
      <c r="F3160" t="inlineStr">
        <is>
          <t>DALARNAS LÄN</t>
        </is>
      </c>
      <c r="G3160" t="inlineStr">
        <is>
          <t>LEKSAND</t>
        </is>
      </c>
      <c r="I3160" t="n">
        <v>0.1</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20873-2026</t>
        </is>
      </c>
      <c r="B3161" t="inlineStr">
        <is>
          <t>avverkningsanmälan</t>
        </is>
      </c>
      <c r="C3161" t="inlineStr">
        <is>
          <t>Föryngringsavverkning</t>
        </is>
      </c>
      <c r="D3161" s="1" t="n">
        <v>46142</v>
      </c>
      <c r="E3161" s="1" t="n">
        <v>46319</v>
      </c>
      <c r="F3161" t="inlineStr">
        <is>
          <t>DALARNAS LÄN</t>
        </is>
      </c>
      <c r="G3161" t="inlineStr">
        <is>
          <t>FALUN</t>
        </is>
      </c>
      <c r="I3161" t="n">
        <v>1.2</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21653-2026</t>
        </is>
      </c>
      <c r="B3162" t="inlineStr">
        <is>
          <t>avverkningsanmälan</t>
        </is>
      </c>
      <c r="C3162" t="inlineStr">
        <is>
          <t>Föryngringsavverkning</t>
        </is>
      </c>
      <c r="D3162" s="1" t="n">
        <v>46149</v>
      </c>
      <c r="E3162" s="1" t="n">
        <v>46319</v>
      </c>
      <c r="F3162" t="inlineStr">
        <is>
          <t>DALARNAS LÄN</t>
        </is>
      </c>
      <c r="G3162" t="inlineStr">
        <is>
          <t>FALUN</t>
        </is>
      </c>
      <c r="I3162" t="n">
        <v>2.2</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50040-2025</t>
        </is>
      </c>
      <c r="B3163" t="inlineStr">
        <is>
          <t>avverkningsanmälan</t>
        </is>
      </c>
      <c r="C3163" t="inlineStr">
        <is>
          <t>Föryngringsavverkning</t>
        </is>
      </c>
      <c r="D3163" s="1" t="n">
        <v>45943</v>
      </c>
      <c r="E3163" s="1" t="n">
        <v>46319</v>
      </c>
      <c r="F3163" t="inlineStr">
        <is>
          <t>DALARNAS LÄN</t>
        </is>
      </c>
      <c r="G3163" t="inlineStr">
        <is>
          <t>HEDEMORA</t>
        </is>
      </c>
      <c r="I3163" t="n">
        <v>0.6</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45097-2025</t>
        </is>
      </c>
      <c r="B3164" t="inlineStr">
        <is>
          <t>avverkningsanmälan</t>
        </is>
      </c>
      <c r="C3164" t="inlineStr">
        <is>
          <t>Föryngringsavverkning</t>
        </is>
      </c>
      <c r="D3164" s="1" t="n">
        <v>45919</v>
      </c>
      <c r="E3164" s="1" t="n">
        <v>46319</v>
      </c>
      <c r="F3164" t="inlineStr">
        <is>
          <t>DALARNAS LÄN</t>
        </is>
      </c>
      <c r="G3164" t="inlineStr">
        <is>
          <t>HEDEMORA</t>
        </is>
      </c>
      <c r="H3164" t="inlineStr">
        <is>
          <t>Sveaskog</t>
        </is>
      </c>
      <c r="I3164" t="n">
        <v>3.1</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51442-2025</t>
        </is>
      </c>
      <c r="B3165" t="inlineStr">
        <is>
          <t>avverkningsanmälan</t>
        </is>
      </c>
      <c r="C3165" t="inlineStr">
        <is>
          <t>Föryngringsavverkning</t>
        </is>
      </c>
      <c r="D3165" s="1" t="n">
        <v>45950</v>
      </c>
      <c r="E3165" s="1" t="n">
        <v>46319</v>
      </c>
      <c r="F3165" t="inlineStr">
        <is>
          <t>DALARNAS LÄN</t>
        </is>
      </c>
      <c r="G3165" t="inlineStr">
        <is>
          <t>ÄLVDALEN</t>
        </is>
      </c>
      <c r="H3165" t="inlineStr">
        <is>
          <t>Bergvik skog väst AB</t>
        </is>
      </c>
      <c r="I3165" t="n">
        <v>6.3</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25925-2026</t>
        </is>
      </c>
      <c r="B3166" t="inlineStr">
        <is>
          <t>avverkningsanmälan</t>
        </is>
      </c>
      <c r="C3166" t="inlineStr">
        <is>
          <t>Föryngringsavverkning</t>
        </is>
      </c>
      <c r="D3166" s="1" t="n">
        <v>46178</v>
      </c>
      <c r="E3166" s="1" t="n">
        <v>46319</v>
      </c>
      <c r="F3166" t="inlineStr">
        <is>
          <t>DALARNAS LÄN</t>
        </is>
      </c>
      <c r="G3166" t="inlineStr">
        <is>
          <t>HEDEMORA</t>
        </is>
      </c>
      <c r="H3166" t="inlineStr">
        <is>
          <t>Sveaskog</t>
        </is>
      </c>
      <c r="I3166" t="n">
        <v>8</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25958-2026</t>
        </is>
      </c>
      <c r="B3167" t="inlineStr">
        <is>
          <t>avverkningsanmälan</t>
        </is>
      </c>
      <c r="C3167" t="inlineStr">
        <is>
          <t>Föryngringsavverkning</t>
        </is>
      </c>
      <c r="D3167" s="1" t="n">
        <v>46181</v>
      </c>
      <c r="E3167" s="1" t="n">
        <v>46319</v>
      </c>
      <c r="F3167" t="inlineStr">
        <is>
          <t>DALARNAS LÄN</t>
        </is>
      </c>
      <c r="G3167" t="inlineStr">
        <is>
          <t>VANSBRO</t>
        </is>
      </c>
      <c r="H3167" t="inlineStr">
        <is>
          <t>Bergvik skog väst AB</t>
        </is>
      </c>
      <c r="I3167" t="n">
        <v>0.8</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2556-2023</t>
        </is>
      </c>
      <c r="B3168" t="inlineStr">
        <is>
          <t>avverkningsanmälan</t>
        </is>
      </c>
      <c r="C3168" t="inlineStr">
        <is>
          <t>Föryngringsavverkning</t>
        </is>
      </c>
      <c r="D3168" s="1" t="n">
        <v>44943</v>
      </c>
      <c r="E3168" s="1" t="n">
        <v>46319</v>
      </c>
      <c r="F3168" t="inlineStr">
        <is>
          <t>DALARNAS LÄN</t>
        </is>
      </c>
      <c r="G3168" t="inlineStr">
        <is>
          <t>FALUN</t>
        </is>
      </c>
      <c r="I3168" t="n">
        <v>0.9</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40125-2024</t>
        </is>
      </c>
      <c r="B3169" t="inlineStr">
        <is>
          <t>avverkningsanmälan</t>
        </is>
      </c>
      <c r="C3169" t="inlineStr">
        <is>
          <t>Avverkning för annat ändamål</t>
        </is>
      </c>
      <c r="D3169" s="1" t="n">
        <v>45554</v>
      </c>
      <c r="E3169" s="1" t="n">
        <v>46319</v>
      </c>
      <c r="F3169" t="inlineStr">
        <is>
          <t>DALARNAS LÄN</t>
        </is>
      </c>
      <c r="G3169" t="inlineStr">
        <is>
          <t>LUDVIKA</t>
        </is>
      </c>
      <c r="I3169" t="n">
        <v>1</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51474-2025</t>
        </is>
      </c>
      <c r="B3170" t="inlineStr">
        <is>
          <t>avverkningsanmälan</t>
        </is>
      </c>
      <c r="C3170" t="inlineStr">
        <is>
          <t>Föryngringsavverkning</t>
        </is>
      </c>
      <c r="D3170" s="1" t="n">
        <v>45950</v>
      </c>
      <c r="E3170" s="1" t="n">
        <v>46319</v>
      </c>
      <c r="F3170" t="inlineStr">
        <is>
          <t>DALARNAS LÄN</t>
        </is>
      </c>
      <c r="G3170" t="inlineStr">
        <is>
          <t>BORLÄNGE</t>
        </is>
      </c>
      <c r="I3170" t="n">
        <v>0.7</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25757-2026</t>
        </is>
      </c>
      <c r="B3171" t="inlineStr">
        <is>
          <t>avverkningsanmälan</t>
        </is>
      </c>
      <c r="C3171" t="inlineStr">
        <is>
          <t>Föryngringsavverkning</t>
        </is>
      </c>
      <c r="D3171" s="1" t="n">
        <v>46178</v>
      </c>
      <c r="E3171" s="1" t="n">
        <v>46319</v>
      </c>
      <c r="F3171" t="inlineStr">
        <is>
          <t>DALARNAS LÄN</t>
        </is>
      </c>
      <c r="G3171" t="inlineStr">
        <is>
          <t>FALUN</t>
        </is>
      </c>
      <c r="I3171" t="n">
        <v>2.7</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51138-2025</t>
        </is>
      </c>
      <c r="B3172" t="inlineStr">
        <is>
          <t>avverkningsanmälan</t>
        </is>
      </c>
      <c r="C3172" t="inlineStr">
        <is>
          <t>Föryngringsavverkning</t>
        </is>
      </c>
      <c r="D3172" s="1" t="n">
        <v>45947</v>
      </c>
      <c r="E3172" s="1" t="n">
        <v>46319</v>
      </c>
      <c r="F3172" t="inlineStr">
        <is>
          <t>DALARNAS LÄN</t>
        </is>
      </c>
      <c r="G3172" t="inlineStr">
        <is>
          <t>SMEDJEBACKEN</t>
        </is>
      </c>
      <c r="H3172" t="inlineStr">
        <is>
          <t>Sveaskog</t>
        </is>
      </c>
      <c r="I3172" t="n">
        <v>2.3</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51252-2025</t>
        </is>
      </c>
      <c r="B3173" t="inlineStr">
        <is>
          <t>avverkningsanmälan</t>
        </is>
      </c>
      <c r="C3173" t="inlineStr">
        <is>
          <t>Föryngringsavverkning</t>
        </is>
      </c>
      <c r="D3173" s="1" t="n">
        <v>45948</v>
      </c>
      <c r="E3173" s="1" t="n">
        <v>46319</v>
      </c>
      <c r="F3173" t="inlineStr">
        <is>
          <t>DALARNAS LÄN</t>
        </is>
      </c>
      <c r="G3173" t="inlineStr">
        <is>
          <t>AVESTA</t>
        </is>
      </c>
      <c r="I3173" t="n">
        <v>2.3</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51064-2025</t>
        </is>
      </c>
      <c r="B3174" t="inlineStr">
        <is>
          <t>avverkningsanmälan</t>
        </is>
      </c>
      <c r="C3174" t="inlineStr">
        <is>
          <t>Föryngringsavverkning</t>
        </is>
      </c>
      <c r="D3174" s="1" t="n">
        <v>45947</v>
      </c>
      <c r="E3174" s="1" t="n">
        <v>46319</v>
      </c>
      <c r="F3174" t="inlineStr">
        <is>
          <t>DALARNAS LÄN</t>
        </is>
      </c>
      <c r="G3174" t="inlineStr">
        <is>
          <t>ORSA</t>
        </is>
      </c>
      <c r="I3174" t="n">
        <v>2.1</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45290-2025</t>
        </is>
      </c>
      <c r="B3175" t="inlineStr">
        <is>
          <t>avverkningsanmälan</t>
        </is>
      </c>
      <c r="C3175" t="inlineStr">
        <is>
          <t>Föryngringsavverkning</t>
        </is>
      </c>
      <c r="D3175" s="1" t="n">
        <v>45920</v>
      </c>
      <c r="E3175" s="1" t="n">
        <v>46319</v>
      </c>
      <c r="F3175" t="inlineStr">
        <is>
          <t>DALARNAS LÄN</t>
        </is>
      </c>
      <c r="G3175" t="inlineStr">
        <is>
          <t>HEDEMORA</t>
        </is>
      </c>
      <c r="H3175" t="inlineStr">
        <is>
          <t>Sveaskog</t>
        </is>
      </c>
      <c r="I3175" t="n">
        <v>2.8</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50984-2025</t>
        </is>
      </c>
      <c r="B3176" t="inlineStr">
        <is>
          <t>avverkningsanmälan</t>
        </is>
      </c>
      <c r="C3176" t="inlineStr">
        <is>
          <t>Föryngringsavverkning</t>
        </is>
      </c>
      <c r="D3176" s="1" t="n">
        <v>45947</v>
      </c>
      <c r="E3176" s="1" t="n">
        <v>46319</v>
      </c>
      <c r="F3176" t="inlineStr">
        <is>
          <t>DALARNAS LÄN</t>
        </is>
      </c>
      <c r="G3176" t="inlineStr">
        <is>
          <t>MALUNG-SÄLEN</t>
        </is>
      </c>
      <c r="I3176" t="n">
        <v>0.8</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51253-2025</t>
        </is>
      </c>
      <c r="B3177" t="inlineStr">
        <is>
          <t>avverkningsanmälan</t>
        </is>
      </c>
      <c r="C3177" t="inlineStr">
        <is>
          <t>Föryngringsavverkning</t>
        </is>
      </c>
      <c r="D3177" s="1" t="n">
        <v>45948</v>
      </c>
      <c r="E3177" s="1" t="n">
        <v>46319</v>
      </c>
      <c r="F3177" t="inlineStr">
        <is>
          <t>DALARNAS LÄN</t>
        </is>
      </c>
      <c r="G3177" t="inlineStr">
        <is>
          <t>AVESTA</t>
        </is>
      </c>
      <c r="I3177" t="n">
        <v>0.4</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63377-2025</t>
        </is>
      </c>
      <c r="B3178" t="inlineStr">
        <is>
          <t>avverkningsanmälan</t>
        </is>
      </c>
      <c r="C3178" t="inlineStr">
        <is>
          <t>Föryngringsavverkning</t>
        </is>
      </c>
      <c r="D3178" s="1" t="n">
        <v>46010</v>
      </c>
      <c r="E3178" s="1" t="n">
        <v>46319</v>
      </c>
      <c r="F3178" t="inlineStr">
        <is>
          <t>DALARNAS LÄN</t>
        </is>
      </c>
      <c r="G3178" t="inlineStr">
        <is>
          <t>SÄTER</t>
        </is>
      </c>
      <c r="H3178" t="inlineStr">
        <is>
          <t>Övriga statliga verk och myndigheter</t>
        </is>
      </c>
      <c r="I3178" t="n">
        <v>0.8</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25893-2026</t>
        </is>
      </c>
      <c r="B3179" t="inlineStr">
        <is>
          <t>avverkningsanmälan</t>
        </is>
      </c>
      <c r="C3179" t="inlineStr">
        <is>
          <t>Föryngringsavverkning</t>
        </is>
      </c>
      <c r="D3179" s="1" t="n">
        <v>46178</v>
      </c>
      <c r="E3179" s="1" t="n">
        <v>46319</v>
      </c>
      <c r="F3179" t="inlineStr">
        <is>
          <t>DALARNAS LÄN</t>
        </is>
      </c>
      <c r="G3179" t="inlineStr">
        <is>
          <t>FALUN</t>
        </is>
      </c>
      <c r="I3179" t="n">
        <v>6.7</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34467-2024</t>
        </is>
      </c>
      <c r="B3180" t="inlineStr">
        <is>
          <t>avverkningsanmälan</t>
        </is>
      </c>
      <c r="C3180" t="inlineStr">
        <is>
          <t>Föryngringsavverkning</t>
        </is>
      </c>
      <c r="D3180" s="1" t="n">
        <v>45525</v>
      </c>
      <c r="E3180" s="1" t="n">
        <v>46319</v>
      </c>
      <c r="F3180" t="inlineStr">
        <is>
          <t>DALARNAS LÄN</t>
        </is>
      </c>
      <c r="G3180" t="inlineStr">
        <is>
          <t>GAGNEF</t>
        </is>
      </c>
      <c r="I3180" t="n">
        <v>0.8</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51306-2025</t>
        </is>
      </c>
      <c r="B3181" t="inlineStr">
        <is>
          <t>avverkningsanmälan</t>
        </is>
      </c>
      <c r="C3181" t="inlineStr">
        <is>
          <t>Föryngringsavverkning</t>
        </is>
      </c>
      <c r="D3181" s="1" t="n">
        <v>45950</v>
      </c>
      <c r="E3181" s="1" t="n">
        <v>46319</v>
      </c>
      <c r="F3181" t="inlineStr">
        <is>
          <t>DALARNAS LÄN</t>
        </is>
      </c>
      <c r="G3181" t="inlineStr">
        <is>
          <t>FALUN</t>
        </is>
      </c>
      <c r="I3181" t="n">
        <v>6.7</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49771-2025</t>
        </is>
      </c>
      <c r="B3182" t="inlineStr">
        <is>
          <t>avverkningsanmälan</t>
        </is>
      </c>
      <c r="C3182" t="inlineStr">
        <is>
          <t>Föryngringsavverkning</t>
        </is>
      </c>
      <c r="D3182" s="1" t="n">
        <v>45940</v>
      </c>
      <c r="E3182" s="1" t="n">
        <v>46319</v>
      </c>
      <c r="F3182" t="inlineStr">
        <is>
          <t>DALARNAS LÄN</t>
        </is>
      </c>
      <c r="G3182" t="inlineStr">
        <is>
          <t>HEDEMORA</t>
        </is>
      </c>
      <c r="H3182" t="inlineStr">
        <is>
          <t>Sveaskog</t>
        </is>
      </c>
      <c r="I3182" t="n">
        <v>1.9</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59200-2025</t>
        </is>
      </c>
      <c r="B3183" t="inlineStr">
        <is>
          <t>avverkningsanmälan</t>
        </is>
      </c>
      <c r="C3183" t="inlineStr">
        <is>
          <t>Avverkning för annat ändamål</t>
        </is>
      </c>
      <c r="D3183" s="1" t="n">
        <v>45988</v>
      </c>
      <c r="E3183" s="1" t="n">
        <v>46319</v>
      </c>
      <c r="F3183" t="inlineStr">
        <is>
          <t>DALARNAS LÄN</t>
        </is>
      </c>
      <c r="G3183" t="inlineStr">
        <is>
          <t>FALUN</t>
        </is>
      </c>
      <c r="I3183" t="n">
        <v>3.6</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8584-2026</t>
        </is>
      </c>
      <c r="B3184" t="inlineStr">
        <is>
          <t>avverkningsanmälan</t>
        </is>
      </c>
      <c r="C3184" t="inlineStr">
        <is>
          <t>Föryngringsavverkning</t>
        </is>
      </c>
      <c r="D3184" s="1" t="n">
        <v>46065</v>
      </c>
      <c r="E3184" s="1" t="n">
        <v>46319</v>
      </c>
      <c r="F3184" t="inlineStr">
        <is>
          <t>DALARNAS LÄN</t>
        </is>
      </c>
      <c r="G3184" t="inlineStr">
        <is>
          <t>FALUN</t>
        </is>
      </c>
      <c r="I3184" t="n">
        <v>2.2</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16285-2026</t>
        </is>
      </c>
      <c r="B3185" t="inlineStr">
        <is>
          <t>avverkningsanmälan</t>
        </is>
      </c>
      <c r="C3185" t="inlineStr">
        <is>
          <t>Föryngringsavverkning</t>
        </is>
      </c>
      <c r="D3185" s="1" t="n">
        <v>46111</v>
      </c>
      <c r="E3185" s="1" t="n">
        <v>46319</v>
      </c>
      <c r="F3185" t="inlineStr">
        <is>
          <t>DALARNAS LÄN</t>
        </is>
      </c>
      <c r="G3185" t="inlineStr">
        <is>
          <t>ORSA</t>
        </is>
      </c>
      <c r="H3185" t="inlineStr">
        <is>
          <t>Bergvik skog öst AB</t>
        </is>
      </c>
      <c r="I3185" t="n">
        <v>6.2</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21289-2026</t>
        </is>
      </c>
      <c r="B3186" t="inlineStr">
        <is>
          <t>avverkningsanmälan</t>
        </is>
      </c>
      <c r="C3186" t="inlineStr">
        <is>
          <t>Föryngringsavverkning</t>
        </is>
      </c>
      <c r="D3186" s="1" t="n">
        <v>46147</v>
      </c>
      <c r="E3186" s="1" t="n">
        <v>46319</v>
      </c>
      <c r="F3186" t="inlineStr">
        <is>
          <t>DALARNAS LÄN</t>
        </is>
      </c>
      <c r="G3186" t="inlineStr">
        <is>
          <t>FALUN</t>
        </is>
      </c>
      <c r="I3186" t="n">
        <v>2</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51173-2025</t>
        </is>
      </c>
      <c r="B3187" t="inlineStr">
        <is>
          <t>avverkningsanmälan</t>
        </is>
      </c>
      <c r="C3187" t="inlineStr">
        <is>
          <t>Avverkning för att bevara och utveckla /försöksver</t>
        </is>
      </c>
      <c r="D3187" s="1" t="n">
        <v>45947</v>
      </c>
      <c r="E3187" s="1" t="n">
        <v>46319</v>
      </c>
      <c r="F3187" t="inlineStr">
        <is>
          <t>DALARNAS LÄN</t>
        </is>
      </c>
      <c r="G3187" t="inlineStr">
        <is>
          <t>SMEDJEBACKEN</t>
        </is>
      </c>
      <c r="H3187" t="inlineStr">
        <is>
          <t>Sveaskog</t>
        </is>
      </c>
      <c r="I3187" t="n">
        <v>1.6</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17979-2026</t>
        </is>
      </c>
      <c r="B3188" t="inlineStr">
        <is>
          <t>avverkningsanmälan</t>
        </is>
      </c>
      <c r="C3188" t="inlineStr">
        <is>
          <t>Föryngringsavverkning</t>
        </is>
      </c>
      <c r="D3188" s="1" t="n">
        <v>46124</v>
      </c>
      <c r="E3188" s="1" t="n">
        <v>46319</v>
      </c>
      <c r="F3188" t="inlineStr">
        <is>
          <t>DALARNAS LÄN</t>
        </is>
      </c>
      <c r="G3188" t="inlineStr">
        <is>
          <t>AVESTA</t>
        </is>
      </c>
      <c r="H3188" t="inlineStr">
        <is>
          <t>Sveaskog</t>
        </is>
      </c>
      <c r="I3188" t="n">
        <v>5.5</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5529-2025</t>
        </is>
      </c>
      <c r="B3189" t="inlineStr">
        <is>
          <t>avverkningsanmälan</t>
        </is>
      </c>
      <c r="C3189" t="inlineStr">
        <is>
          <t>Föryngringsavverkning</t>
        </is>
      </c>
      <c r="D3189" s="1" t="n">
        <v>45693</v>
      </c>
      <c r="E3189" s="1" t="n">
        <v>46319</v>
      </c>
      <c r="F3189" t="inlineStr">
        <is>
          <t>DALARNAS LÄN</t>
        </is>
      </c>
      <c r="G3189" t="inlineStr">
        <is>
          <t>BORLÄNGE</t>
        </is>
      </c>
      <c r="I3189" t="n">
        <v>1.4</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51444-2025</t>
        </is>
      </c>
      <c r="B3190" t="inlineStr">
        <is>
          <t>avverkningsanmälan</t>
        </is>
      </c>
      <c r="C3190" t="inlineStr">
        <is>
          <t>Föryngringsavverkning</t>
        </is>
      </c>
      <c r="D3190" s="1" t="n">
        <v>45950</v>
      </c>
      <c r="E3190" s="1" t="n">
        <v>46319</v>
      </c>
      <c r="F3190" t="inlineStr">
        <is>
          <t>DALARNAS LÄN</t>
        </is>
      </c>
      <c r="G3190" t="inlineStr">
        <is>
          <t>SMEDJEBACKEN</t>
        </is>
      </c>
      <c r="H3190" t="inlineStr">
        <is>
          <t>Bergvik skog väst AB</t>
        </is>
      </c>
      <c r="I3190" t="n">
        <v>2.8</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1304-2024</t>
        </is>
      </c>
      <c r="B3191" t="inlineStr">
        <is>
          <t>avverkningsanmälan</t>
        </is>
      </c>
      <c r="C3191" t="inlineStr">
        <is>
          <t>Föryngringsavverkning</t>
        </is>
      </c>
      <c r="D3191" s="1" t="n">
        <v>45303</v>
      </c>
      <c r="E3191" s="1" t="n">
        <v>46319</v>
      </c>
      <c r="F3191" t="inlineStr">
        <is>
          <t>DALARNAS LÄN</t>
        </is>
      </c>
      <c r="G3191" t="inlineStr">
        <is>
          <t>ORSA</t>
        </is>
      </c>
      <c r="I3191" t="n">
        <v>3.8</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51448-2025</t>
        </is>
      </c>
      <c r="B3192" t="inlineStr">
        <is>
          <t>avverkningsanmälan</t>
        </is>
      </c>
      <c r="C3192" t="inlineStr">
        <is>
          <t>Föryngringsavverkning</t>
        </is>
      </c>
      <c r="D3192" s="1" t="n">
        <v>45950</v>
      </c>
      <c r="E3192" s="1" t="n">
        <v>46319</v>
      </c>
      <c r="F3192" t="inlineStr">
        <is>
          <t>DALARNAS LÄN</t>
        </is>
      </c>
      <c r="G3192" t="inlineStr">
        <is>
          <t>RÄTTVIK</t>
        </is>
      </c>
      <c r="H3192" t="inlineStr">
        <is>
          <t>Bergvik skog väst AB</t>
        </is>
      </c>
      <c r="I3192" t="n">
        <v>10.3</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51456-2025</t>
        </is>
      </c>
      <c r="B3193" t="inlineStr">
        <is>
          <t>avverkningsanmälan</t>
        </is>
      </c>
      <c r="C3193" t="inlineStr">
        <is>
          <t>Föryngringsavverkning</t>
        </is>
      </c>
      <c r="D3193" s="1" t="n">
        <v>45950</v>
      </c>
      <c r="E3193" s="1" t="n">
        <v>46319</v>
      </c>
      <c r="F3193" t="inlineStr">
        <is>
          <t>DALARNAS LÄN</t>
        </is>
      </c>
      <c r="G3193" t="inlineStr">
        <is>
          <t>SMEDJEBACKEN</t>
        </is>
      </c>
      <c r="H3193" t="inlineStr">
        <is>
          <t>Bergvik skog väst AB</t>
        </is>
      </c>
      <c r="I3193" t="n">
        <v>6.1</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26120-2026</t>
        </is>
      </c>
      <c r="B3194" t="inlineStr">
        <is>
          <t>avverkningsanmälan</t>
        </is>
      </c>
      <c r="C3194" t="inlineStr">
        <is>
          <t>Föryngringsavverkning</t>
        </is>
      </c>
      <c r="D3194" s="1" t="n">
        <v>46181</v>
      </c>
      <c r="E3194" s="1" t="n">
        <v>46319</v>
      </c>
      <c r="F3194" t="inlineStr">
        <is>
          <t>DALARNAS LÄN</t>
        </is>
      </c>
      <c r="G3194" t="inlineStr">
        <is>
          <t>FALUN</t>
        </is>
      </c>
      <c r="I3194" t="n">
        <v>1.5</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25755-2026</t>
        </is>
      </c>
      <c r="B3195" t="inlineStr">
        <is>
          <t>avverkningsanmälan</t>
        </is>
      </c>
      <c r="C3195" t="inlineStr">
        <is>
          <t>Föryngringsavverkning</t>
        </is>
      </c>
      <c r="D3195" s="1" t="n">
        <v>46178</v>
      </c>
      <c r="E3195" s="1" t="n">
        <v>46319</v>
      </c>
      <c r="F3195" t="inlineStr">
        <is>
          <t>DALARNAS LÄN</t>
        </is>
      </c>
      <c r="G3195" t="inlineStr">
        <is>
          <t>FALUN</t>
        </is>
      </c>
      <c r="I3195" t="n">
        <v>1.8</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8489-2025</t>
        </is>
      </c>
      <c r="B3196" t="inlineStr">
        <is>
          <t>avverkningsanmälan</t>
        </is>
      </c>
      <c r="C3196" t="inlineStr">
        <is>
          <t>Föryngringsavverkning</t>
        </is>
      </c>
      <c r="D3196" s="1" t="n">
        <v>45709</v>
      </c>
      <c r="E3196" s="1" t="n">
        <v>46319</v>
      </c>
      <c r="F3196" t="inlineStr">
        <is>
          <t>DALARNAS LÄN</t>
        </is>
      </c>
      <c r="G3196" t="inlineStr">
        <is>
          <t>BORLÄNGE</t>
        </is>
      </c>
      <c r="I3196" t="n">
        <v>0.7</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1449-2026</t>
        </is>
      </c>
      <c r="B3197" t="inlineStr">
        <is>
          <t>avverkningsanmälan</t>
        </is>
      </c>
      <c r="C3197" t="inlineStr">
        <is>
          <t>Föryngringsavverkning</t>
        </is>
      </c>
      <c r="D3197" s="1" t="n">
        <v>46033</v>
      </c>
      <c r="E3197" s="1" t="n">
        <v>46319</v>
      </c>
      <c r="F3197" t="inlineStr">
        <is>
          <t>DALARNAS LÄN</t>
        </is>
      </c>
      <c r="G3197" t="inlineStr">
        <is>
          <t>HEDEMORA</t>
        </is>
      </c>
      <c r="I3197" t="n">
        <v>13.5</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51555-2025</t>
        </is>
      </c>
      <c r="B3198" t="inlineStr">
        <is>
          <t>avverkningsanmälan</t>
        </is>
      </c>
      <c r="C3198" t="inlineStr">
        <is>
          <t>Föryngringsavverkning</t>
        </is>
      </c>
      <c r="D3198" s="1" t="n">
        <v>45950</v>
      </c>
      <c r="E3198" s="1" t="n">
        <v>46319</v>
      </c>
      <c r="F3198" t="inlineStr">
        <is>
          <t>DALARNAS LÄN</t>
        </is>
      </c>
      <c r="G3198" t="inlineStr">
        <is>
          <t>SMEDJEBACKEN</t>
        </is>
      </c>
      <c r="I3198" t="n">
        <v>1</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25739-2026</t>
        </is>
      </c>
      <c r="B3199" t="inlineStr">
        <is>
          <t>avverkningsanmälan</t>
        </is>
      </c>
      <c r="C3199" t="inlineStr">
        <is>
          <t>Föryngringsavverkning</t>
        </is>
      </c>
      <c r="D3199" s="1" t="n">
        <v>46178</v>
      </c>
      <c r="E3199" s="1" t="n">
        <v>46319</v>
      </c>
      <c r="F3199" t="inlineStr">
        <is>
          <t>DALARNAS LÄN</t>
        </is>
      </c>
      <c r="G3199" t="inlineStr">
        <is>
          <t>FALUN</t>
        </is>
      </c>
      <c r="I3199" t="n">
        <v>0.9</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19938-2026</t>
        </is>
      </c>
      <c r="B3200" t="inlineStr">
        <is>
          <t>avverkningsanmälan</t>
        </is>
      </c>
      <c r="C3200" t="inlineStr">
        <is>
          <t>Föryngringsavverkning</t>
        </is>
      </c>
      <c r="D3200" s="1" t="n">
        <v>46136</v>
      </c>
      <c r="E3200" s="1" t="n">
        <v>46319</v>
      </c>
      <c r="F3200" t="inlineStr">
        <is>
          <t>DALARNAS LÄN</t>
        </is>
      </c>
      <c r="G3200" t="inlineStr">
        <is>
          <t>HEDEMORA</t>
        </is>
      </c>
      <c r="H3200" t="inlineStr">
        <is>
          <t>Sveaskog</t>
        </is>
      </c>
      <c r="I3200" t="n">
        <v>1.7</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20717-2026</t>
        </is>
      </c>
      <c r="B3201" t="inlineStr">
        <is>
          <t>avverkningsanmälan</t>
        </is>
      </c>
      <c r="C3201" t="inlineStr">
        <is>
          <t>Avverkning för att bevara och utveckla /försöksver</t>
        </is>
      </c>
      <c r="D3201" s="1" t="n">
        <v>46141</v>
      </c>
      <c r="E3201" s="1" t="n">
        <v>46319</v>
      </c>
      <c r="F3201" t="inlineStr">
        <is>
          <t>DALARNAS LÄN</t>
        </is>
      </c>
      <c r="G3201" t="inlineStr">
        <is>
          <t>RÄTTVIK</t>
        </is>
      </c>
      <c r="H3201" t="inlineStr">
        <is>
          <t>Sveaskog</t>
        </is>
      </c>
      <c r="I3201" t="n">
        <v>2.5</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22526-2026</t>
        </is>
      </c>
      <c r="B3202" t="inlineStr">
        <is>
          <t>avverkningsanmälan</t>
        </is>
      </c>
      <c r="C3202" t="inlineStr">
        <is>
          <t>Föryngringsavverkning</t>
        </is>
      </c>
      <c r="D3202" s="1" t="n">
        <v>46155</v>
      </c>
      <c r="E3202" s="1" t="n">
        <v>46319</v>
      </c>
      <c r="F3202" t="inlineStr">
        <is>
          <t>DALARNAS LÄN</t>
        </is>
      </c>
      <c r="G3202" t="inlineStr">
        <is>
          <t>FALUN</t>
        </is>
      </c>
      <c r="I3202" t="n">
        <v>4.5</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6302-2026</t>
        </is>
      </c>
      <c r="B3203" t="inlineStr">
        <is>
          <t>avverkningsanmälan</t>
        </is>
      </c>
      <c r="C3203" t="inlineStr">
        <is>
          <t>Föryngringsavverkning</t>
        </is>
      </c>
      <c r="D3203" s="1" t="n">
        <v>46055</v>
      </c>
      <c r="E3203" s="1" t="n">
        <v>46319</v>
      </c>
      <c r="F3203" t="inlineStr">
        <is>
          <t>DALARNAS LÄN</t>
        </is>
      </c>
      <c r="G3203" t="inlineStr">
        <is>
          <t>FALUN</t>
        </is>
      </c>
      <c r="I3203" t="n">
        <v>0.5</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13902-2026</t>
        </is>
      </c>
      <c r="B3204" t="inlineStr">
        <is>
          <t>avverkningsanmälan</t>
        </is>
      </c>
      <c r="C3204" t="inlineStr">
        <is>
          <t>Föryngringsavverkning</t>
        </is>
      </c>
      <c r="D3204" s="1" t="n">
        <v>46098</v>
      </c>
      <c r="E3204" s="1" t="n">
        <v>46319</v>
      </c>
      <c r="F3204" t="inlineStr">
        <is>
          <t>DALARNAS LÄN</t>
        </is>
      </c>
      <c r="G3204" t="inlineStr">
        <is>
          <t>MORA</t>
        </is>
      </c>
      <c r="I3204" t="n">
        <v>5.3</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16302-2026</t>
        </is>
      </c>
      <c r="B3205" t="inlineStr">
        <is>
          <t>avverkningsanmälan</t>
        </is>
      </c>
      <c r="C3205" t="inlineStr">
        <is>
          <t>Föryngringsavverkning</t>
        </is>
      </c>
      <c r="D3205" s="1" t="n">
        <v>46111</v>
      </c>
      <c r="E3205" s="1" t="n">
        <v>46319</v>
      </c>
      <c r="F3205" t="inlineStr">
        <is>
          <t>DALARNAS LÄN</t>
        </is>
      </c>
      <c r="G3205" t="inlineStr">
        <is>
          <t>ORSA</t>
        </is>
      </c>
      <c r="H3205" t="inlineStr">
        <is>
          <t>Bergvik skog öst AB</t>
        </is>
      </c>
      <c r="I3205" t="n">
        <v>21</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51835-2025</t>
        </is>
      </c>
      <c r="B3206" t="inlineStr">
        <is>
          <t>avverkningsanmälan</t>
        </is>
      </c>
      <c r="C3206" t="inlineStr">
        <is>
          <t>Föryngringsavverkning</t>
        </is>
      </c>
      <c r="D3206" s="1" t="n">
        <v>45952</v>
      </c>
      <c r="E3206" s="1" t="n">
        <v>46319</v>
      </c>
      <c r="F3206" t="inlineStr">
        <is>
          <t>DALARNAS LÄN</t>
        </is>
      </c>
      <c r="G3206" t="inlineStr">
        <is>
          <t>MALUNG-SÄLEN</t>
        </is>
      </c>
      <c r="I3206" t="n">
        <v>7.4</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51663-2025</t>
        </is>
      </c>
      <c r="B3207" t="inlineStr">
        <is>
          <t>avverkningsanmälan</t>
        </is>
      </c>
      <c r="C3207" t="inlineStr">
        <is>
          <t>Föryngringsavverkning</t>
        </is>
      </c>
      <c r="D3207" s="1" t="n">
        <v>45951</v>
      </c>
      <c r="E3207" s="1" t="n">
        <v>46319</v>
      </c>
      <c r="F3207" t="inlineStr">
        <is>
          <t>DALARNAS LÄN</t>
        </is>
      </c>
      <c r="G3207" t="inlineStr">
        <is>
          <t>LEKSAND</t>
        </is>
      </c>
      <c r="H3207" t="inlineStr">
        <is>
          <t>Bergvik skog väst AB</t>
        </is>
      </c>
      <c r="I3207" t="n">
        <v>3.1</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10285-2026</t>
        </is>
      </c>
      <c r="B3208" t="inlineStr">
        <is>
          <t>avverkningsanmälan</t>
        </is>
      </c>
      <c r="C3208" t="inlineStr">
        <is>
          <t>Föryngringsavverkning</t>
        </is>
      </c>
      <c r="D3208" s="1" t="n">
        <v>46076</v>
      </c>
      <c r="E3208" s="1" t="n">
        <v>46319</v>
      </c>
      <c r="F3208" t="inlineStr">
        <is>
          <t>DALARNAS LÄN</t>
        </is>
      </c>
      <c r="G3208" t="inlineStr">
        <is>
          <t>SÄTER</t>
        </is>
      </c>
      <c r="I3208" t="n">
        <v>2.3</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8578-2026</t>
        </is>
      </c>
      <c r="B3209" t="inlineStr">
        <is>
          <t>avverkningsanmälan</t>
        </is>
      </c>
      <c r="C3209" t="inlineStr">
        <is>
          <t>Föryngringsavverkning</t>
        </is>
      </c>
      <c r="D3209" s="1" t="n">
        <v>46065</v>
      </c>
      <c r="E3209" s="1" t="n">
        <v>46319</v>
      </c>
      <c r="F3209" t="inlineStr">
        <is>
          <t>DALARNAS LÄN</t>
        </is>
      </c>
      <c r="G3209" t="inlineStr">
        <is>
          <t>FALUN</t>
        </is>
      </c>
      <c r="I3209" t="n">
        <v>6.4</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8585-2026</t>
        </is>
      </c>
      <c r="B3210" t="inlineStr">
        <is>
          <t>avverkningsanmälan</t>
        </is>
      </c>
      <c r="C3210" t="inlineStr">
        <is>
          <t>Föryngringsavverkning</t>
        </is>
      </c>
      <c r="D3210" s="1" t="n">
        <v>46065</v>
      </c>
      <c r="E3210" s="1" t="n">
        <v>46319</v>
      </c>
      <c r="F3210" t="inlineStr">
        <is>
          <t>DALARNAS LÄN</t>
        </is>
      </c>
      <c r="G3210" t="inlineStr">
        <is>
          <t>FALUN</t>
        </is>
      </c>
      <c r="I3210" t="n">
        <v>6.9</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17751-2026</t>
        </is>
      </c>
      <c r="B3211" t="inlineStr">
        <is>
          <t>avverkningsanmälan</t>
        </is>
      </c>
      <c r="C3211" t="inlineStr">
        <is>
          <t>Föryngringsavverkning</t>
        </is>
      </c>
      <c r="D3211" s="1" t="n">
        <v>46122</v>
      </c>
      <c r="E3211" s="1" t="n">
        <v>46319</v>
      </c>
      <c r="F3211" t="inlineStr">
        <is>
          <t>DALARNAS LÄN</t>
        </is>
      </c>
      <c r="G3211" t="inlineStr">
        <is>
          <t>FALUN</t>
        </is>
      </c>
      <c r="I3211" t="n">
        <v>7.5</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25689-2026</t>
        </is>
      </c>
      <c r="B3212" t="inlineStr">
        <is>
          <t>avverkningsanmälan</t>
        </is>
      </c>
      <c r="C3212" t="inlineStr">
        <is>
          <t>Föryngringsavverkning</t>
        </is>
      </c>
      <c r="D3212" s="1" t="n">
        <v>46178</v>
      </c>
      <c r="E3212" s="1" t="n">
        <v>46319</v>
      </c>
      <c r="F3212" t="inlineStr">
        <is>
          <t>DALARNAS LÄN</t>
        </is>
      </c>
      <c r="G3212" t="inlineStr">
        <is>
          <t>FALUN</t>
        </is>
      </c>
      <c r="I3212" t="n">
        <v>1.3</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746-2025</t>
        </is>
      </c>
      <c r="B3213" t="inlineStr">
        <is>
          <t>avverkningsanmälan</t>
        </is>
      </c>
      <c r="C3213" t="inlineStr">
        <is>
          <t>Föryngringsavverkning</t>
        </is>
      </c>
      <c r="D3213" s="1" t="n">
        <v>45665</v>
      </c>
      <c r="E3213" s="1" t="n">
        <v>46319</v>
      </c>
      <c r="F3213" t="inlineStr">
        <is>
          <t>DALARNAS LÄN</t>
        </is>
      </c>
      <c r="G3213" t="inlineStr">
        <is>
          <t>FALUN</t>
        </is>
      </c>
      <c r="I3213" t="n">
        <v>1</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889-2025</t>
        </is>
      </c>
      <c r="B3214" t="inlineStr">
        <is>
          <t>avverkningsanmälan</t>
        </is>
      </c>
      <c r="C3214" t="inlineStr">
        <is>
          <t>Föryngringsavverkning</t>
        </is>
      </c>
      <c r="D3214" s="1" t="n">
        <v>45665</v>
      </c>
      <c r="E3214" s="1" t="n">
        <v>46319</v>
      </c>
      <c r="F3214" t="inlineStr">
        <is>
          <t>DALARNAS LÄN</t>
        </is>
      </c>
      <c r="G3214" t="inlineStr">
        <is>
          <t>RÄTTVIK</t>
        </is>
      </c>
      <c r="I3214" t="n">
        <v>2.3</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51865-2025</t>
        </is>
      </c>
      <c r="B3215" t="inlineStr">
        <is>
          <t>avverkningsanmälan</t>
        </is>
      </c>
      <c r="C3215" t="inlineStr">
        <is>
          <t>Föryngringsavverkning</t>
        </is>
      </c>
      <c r="D3215" s="1" t="n">
        <v>45952</v>
      </c>
      <c r="E3215" s="1" t="n">
        <v>46319</v>
      </c>
      <c r="F3215" t="inlineStr">
        <is>
          <t>DALARNAS LÄN</t>
        </is>
      </c>
      <c r="G3215" t="inlineStr">
        <is>
          <t>LUDVIKA</t>
        </is>
      </c>
      <c r="I3215" t="n">
        <v>0.4</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20969-2026</t>
        </is>
      </c>
      <c r="B3216" t="inlineStr">
        <is>
          <t>avverkningsanmälan</t>
        </is>
      </c>
      <c r="C3216" t="inlineStr">
        <is>
          <t>Föryngringsavverkning</t>
        </is>
      </c>
      <c r="D3216" s="1" t="n">
        <v>46142</v>
      </c>
      <c r="E3216" s="1" t="n">
        <v>46319</v>
      </c>
      <c r="F3216" t="inlineStr">
        <is>
          <t>DALARNAS LÄN</t>
        </is>
      </c>
      <c r="G3216" t="inlineStr">
        <is>
          <t>LUDVIKA</t>
        </is>
      </c>
      <c r="H3216" t="inlineStr">
        <is>
          <t>Bergvik skog väst AB</t>
        </is>
      </c>
      <c r="I3216" t="n">
        <v>16.9</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52086-2025</t>
        </is>
      </c>
      <c r="B3217" t="inlineStr">
        <is>
          <t>avverkningsanmälan</t>
        </is>
      </c>
      <c r="C3217" t="inlineStr">
        <is>
          <t>Föryngringsavverkning</t>
        </is>
      </c>
      <c r="D3217" s="1" t="n">
        <v>45952</v>
      </c>
      <c r="E3217" s="1" t="n">
        <v>46319</v>
      </c>
      <c r="F3217" t="inlineStr">
        <is>
          <t>DALARNAS LÄN</t>
        </is>
      </c>
      <c r="G3217" t="inlineStr">
        <is>
          <t>BORLÄNGE</t>
        </is>
      </c>
      <c r="H3217" t="inlineStr">
        <is>
          <t>Bergvik skog väst AB</t>
        </is>
      </c>
      <c r="I3217" t="n">
        <v>1.1</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52110-2025</t>
        </is>
      </c>
      <c r="B3218" t="inlineStr">
        <is>
          <t>avverkningsanmälan</t>
        </is>
      </c>
      <c r="C3218" t="inlineStr">
        <is>
          <t>Föryngringsavverkning</t>
        </is>
      </c>
      <c r="D3218" s="1" t="n">
        <v>45952</v>
      </c>
      <c r="E3218" s="1" t="n">
        <v>46319</v>
      </c>
      <c r="F3218" t="inlineStr">
        <is>
          <t>DALARNAS LÄN</t>
        </is>
      </c>
      <c r="G3218" t="inlineStr">
        <is>
          <t>MORA</t>
        </is>
      </c>
      <c r="I3218" t="n">
        <v>2.2</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1215-2024</t>
        </is>
      </c>
      <c r="B3219" t="inlineStr">
        <is>
          <t>avverkningsanmälan</t>
        </is>
      </c>
      <c r="C3219" t="inlineStr">
        <is>
          <t>Föryngringsavverkning</t>
        </is>
      </c>
      <c r="D3219" s="1" t="n">
        <v>45302</v>
      </c>
      <c r="E3219" s="1" t="n">
        <v>46319</v>
      </c>
      <c r="F3219" t="inlineStr">
        <is>
          <t>DALARNAS LÄN</t>
        </is>
      </c>
      <c r="G3219" t="inlineStr">
        <is>
          <t>LEKSAND</t>
        </is>
      </c>
      <c r="I3219" t="n">
        <v>1.3</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1899-2026</t>
        </is>
      </c>
      <c r="B3220" t="inlineStr">
        <is>
          <t>avverkningsanmälan</t>
        </is>
      </c>
      <c r="C3220" t="inlineStr">
        <is>
          <t>Avverkning för annat ändamål</t>
        </is>
      </c>
      <c r="D3220" s="1" t="n">
        <v>46035</v>
      </c>
      <c r="E3220" s="1" t="n">
        <v>46319</v>
      </c>
      <c r="F3220" t="inlineStr">
        <is>
          <t>DALARNAS LÄN</t>
        </is>
      </c>
      <c r="G3220" t="inlineStr">
        <is>
          <t>LEKSAND</t>
        </is>
      </c>
      <c r="I3220" t="n">
        <v>3.6</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52033-2025</t>
        </is>
      </c>
      <c r="B3221" t="inlineStr">
        <is>
          <t>avverkningsanmälan</t>
        </is>
      </c>
      <c r="C3221" t="inlineStr">
        <is>
          <t>Föryngringsavverkning</t>
        </is>
      </c>
      <c r="D3221" s="1" t="n">
        <v>45952</v>
      </c>
      <c r="E3221" s="1" t="n">
        <v>46319</v>
      </c>
      <c r="F3221" t="inlineStr">
        <is>
          <t>DALARNAS LÄN</t>
        </is>
      </c>
      <c r="G3221" t="inlineStr">
        <is>
          <t>ÄLVDALEN</t>
        </is>
      </c>
      <c r="H3221" t="inlineStr">
        <is>
          <t>Allmännings- och besparingsskogar</t>
        </is>
      </c>
      <c r="I3221" t="n">
        <v>3.5</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51975-2025</t>
        </is>
      </c>
      <c r="B3222" t="inlineStr">
        <is>
          <t>avverkningsanmälan</t>
        </is>
      </c>
      <c r="C3222" t="inlineStr">
        <is>
          <t>Föryngringsavverkning</t>
        </is>
      </c>
      <c r="D3222" s="1" t="n">
        <v>45952</v>
      </c>
      <c r="E3222" s="1" t="n">
        <v>46319</v>
      </c>
      <c r="F3222" t="inlineStr">
        <is>
          <t>DALARNAS LÄN</t>
        </is>
      </c>
      <c r="G3222" t="inlineStr">
        <is>
          <t>ÄLVDALEN</t>
        </is>
      </c>
      <c r="H3222" t="inlineStr">
        <is>
          <t>Allmännings- och besparingsskogar</t>
        </is>
      </c>
      <c r="I3222" t="n">
        <v>3.5</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52000-2025</t>
        </is>
      </c>
      <c r="B3223" t="inlineStr">
        <is>
          <t>avverkningsanmälan</t>
        </is>
      </c>
      <c r="C3223" t="inlineStr">
        <is>
          <t>Föryngringsavverkning</t>
        </is>
      </c>
      <c r="D3223" s="1" t="n">
        <v>45952</v>
      </c>
      <c r="E3223" s="1" t="n">
        <v>46319</v>
      </c>
      <c r="F3223" t="inlineStr">
        <is>
          <t>DALARNAS LÄN</t>
        </is>
      </c>
      <c r="G3223" t="inlineStr">
        <is>
          <t>SMEDJEBACKEN</t>
        </is>
      </c>
      <c r="H3223" t="inlineStr">
        <is>
          <t>Sveaskog</t>
        </is>
      </c>
      <c r="I3223" t="n">
        <v>4.7</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52161-2025</t>
        </is>
      </c>
      <c r="B3224" t="inlineStr">
        <is>
          <t>avverkningsanmälan</t>
        </is>
      </c>
      <c r="C3224" t="inlineStr">
        <is>
          <t>Föryngringsavverkning</t>
        </is>
      </c>
      <c r="D3224" s="1" t="n">
        <v>45953</v>
      </c>
      <c r="E3224" s="1" t="n">
        <v>46319</v>
      </c>
      <c r="F3224" t="inlineStr">
        <is>
          <t>DALARNAS LÄN</t>
        </is>
      </c>
      <c r="G3224" t="inlineStr">
        <is>
          <t>SÄTER</t>
        </is>
      </c>
      <c r="I3224" t="n">
        <v>1.6</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25967-2026</t>
        </is>
      </c>
      <c r="B3225" t="inlineStr">
        <is>
          <t>avverkningsanmälan</t>
        </is>
      </c>
      <c r="C3225" t="inlineStr">
        <is>
          <t>Föryngringsavverkning</t>
        </is>
      </c>
      <c r="D3225" s="1" t="n">
        <v>46181</v>
      </c>
      <c r="E3225" s="1" t="n">
        <v>46319</v>
      </c>
      <c r="F3225" t="inlineStr">
        <is>
          <t>DALARNAS LÄN</t>
        </is>
      </c>
      <c r="G3225" t="inlineStr">
        <is>
          <t>FALUN</t>
        </is>
      </c>
      <c r="I3225" t="n">
        <v>3.1</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51728-2025</t>
        </is>
      </c>
      <c r="B3226" t="inlineStr">
        <is>
          <t>avverkningsanmälan</t>
        </is>
      </c>
      <c r="C3226" t="inlineStr">
        <is>
          <t>Föryngringsavverkning</t>
        </is>
      </c>
      <c r="D3226" s="1" t="n">
        <v>45951</v>
      </c>
      <c r="E3226" s="1" t="n">
        <v>46319</v>
      </c>
      <c r="F3226" t="inlineStr">
        <is>
          <t>DALARNAS LÄN</t>
        </is>
      </c>
      <c r="G3226" t="inlineStr">
        <is>
          <t>LEKSAND</t>
        </is>
      </c>
      <c r="H3226" t="inlineStr">
        <is>
          <t>Bergvik skog väst AB</t>
        </is>
      </c>
      <c r="I3226" t="n">
        <v>14.2</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17138-2024</t>
        </is>
      </c>
      <c r="B3227" t="inlineStr">
        <is>
          <t>avverkningsanmälan</t>
        </is>
      </c>
      <c r="C3227" t="inlineStr">
        <is>
          <t>Avverkning för annat ändamål</t>
        </is>
      </c>
      <c r="D3227" s="1" t="n">
        <v>45412</v>
      </c>
      <c r="E3227" s="1" t="n">
        <v>46319</v>
      </c>
      <c r="F3227" t="inlineStr">
        <is>
          <t>DALARNAS LÄN</t>
        </is>
      </c>
      <c r="G3227" t="inlineStr">
        <is>
          <t>RÄTTVIK</t>
        </is>
      </c>
      <c r="H3227" t="inlineStr">
        <is>
          <t>Sveaskog</t>
        </is>
      </c>
      <c r="I3227" t="n">
        <v>0.5</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51615-2025</t>
        </is>
      </c>
      <c r="B3228" t="inlineStr">
        <is>
          <t>avverkningsanmälan</t>
        </is>
      </c>
      <c r="C3228" t="inlineStr">
        <is>
          <t>Föryngringsavverkning</t>
        </is>
      </c>
      <c r="D3228" s="1" t="n">
        <v>45951</v>
      </c>
      <c r="E3228" s="1" t="n">
        <v>46319</v>
      </c>
      <c r="F3228" t="inlineStr">
        <is>
          <t>DALARNAS LÄN</t>
        </is>
      </c>
      <c r="G3228" t="inlineStr">
        <is>
          <t>HEDEMORA</t>
        </is>
      </c>
      <c r="I3228" t="n">
        <v>1.8</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52004-2025</t>
        </is>
      </c>
      <c r="B3229" t="inlineStr">
        <is>
          <t>avverkningsanmälan</t>
        </is>
      </c>
      <c r="C3229" t="inlineStr">
        <is>
          <t>Föryngringsavverkning</t>
        </is>
      </c>
      <c r="D3229" s="1" t="n">
        <v>45952</v>
      </c>
      <c r="E3229" s="1" t="n">
        <v>46319</v>
      </c>
      <c r="F3229" t="inlineStr">
        <is>
          <t>DALARNAS LÄN</t>
        </is>
      </c>
      <c r="G3229" t="inlineStr">
        <is>
          <t>SMEDJEBACKEN</t>
        </is>
      </c>
      <c r="H3229" t="inlineStr">
        <is>
          <t>Sveaskog</t>
        </is>
      </c>
      <c r="I3229" t="n">
        <v>1.9</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52072-2025</t>
        </is>
      </c>
      <c r="B3230" t="inlineStr">
        <is>
          <t>avverkningsanmälan</t>
        </is>
      </c>
      <c r="C3230" t="inlineStr">
        <is>
          <t>Föryngringsavverkning</t>
        </is>
      </c>
      <c r="D3230" s="1" t="n">
        <v>45952</v>
      </c>
      <c r="E3230" s="1" t="n">
        <v>46319</v>
      </c>
      <c r="F3230" t="inlineStr">
        <is>
          <t>DALARNAS LÄN</t>
        </is>
      </c>
      <c r="G3230" t="inlineStr">
        <is>
          <t>ÄLVDALEN</t>
        </is>
      </c>
      <c r="H3230" t="inlineStr">
        <is>
          <t>Allmännings- och besparingsskogar</t>
        </is>
      </c>
      <c r="I3230" t="n">
        <v>54.2</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18122-2025</t>
        </is>
      </c>
      <c r="B3231" t="inlineStr">
        <is>
          <t>avverkningsanmälan</t>
        </is>
      </c>
      <c r="C3231" t="inlineStr">
        <is>
          <t>Föryngringsavverkning</t>
        </is>
      </c>
      <c r="D3231" s="1" t="n">
        <v>45761</v>
      </c>
      <c r="E3231" s="1" t="n">
        <v>46319</v>
      </c>
      <c r="F3231" t="inlineStr">
        <is>
          <t>DALARNAS LÄN</t>
        </is>
      </c>
      <c r="G3231" t="inlineStr">
        <is>
          <t>MORA</t>
        </is>
      </c>
      <c r="H3231" t="inlineStr">
        <is>
          <t>Bergvik skog öst AB</t>
        </is>
      </c>
      <c r="I3231" t="n">
        <v>1.1</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18186-2025</t>
        </is>
      </c>
      <c r="B3232" t="inlineStr">
        <is>
          <t>avverkningsanmälan</t>
        </is>
      </c>
      <c r="C3232" t="inlineStr">
        <is>
          <t>Föryngringsavverkning</t>
        </is>
      </c>
      <c r="D3232" s="1" t="n">
        <v>45761</v>
      </c>
      <c r="E3232" s="1" t="n">
        <v>46319</v>
      </c>
      <c r="F3232" t="inlineStr">
        <is>
          <t>DALARNAS LÄN</t>
        </is>
      </c>
      <c r="G3232" t="inlineStr">
        <is>
          <t>MALUNG-SÄLEN</t>
        </is>
      </c>
      <c r="H3232" t="inlineStr">
        <is>
          <t>Bergvik skog öst AB</t>
        </is>
      </c>
      <c r="I3232" t="n">
        <v>7.9</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50187-2024</t>
        </is>
      </c>
      <c r="B3233" t="inlineStr">
        <is>
          <t>avverkningsanmälan</t>
        </is>
      </c>
      <c r="C3233" t="inlineStr">
        <is>
          <t>Föryngringsavverkning</t>
        </is>
      </c>
      <c r="D3233" s="1" t="n">
        <v>45599</v>
      </c>
      <c r="E3233" s="1" t="n">
        <v>46319</v>
      </c>
      <c r="F3233" t="inlineStr">
        <is>
          <t>DALARNAS LÄN</t>
        </is>
      </c>
      <c r="G3233" t="inlineStr">
        <is>
          <t>SÄTER</t>
        </is>
      </c>
      <c r="I3233" t="n">
        <v>1</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48623-2024</t>
        </is>
      </c>
      <c r="B3234" t="inlineStr">
        <is>
          <t>avverkningsanmälan</t>
        </is>
      </c>
      <c r="C3234" t="inlineStr">
        <is>
          <t>Föryngringsavverkning</t>
        </is>
      </c>
      <c r="D3234" s="1" t="n">
        <v>45593</v>
      </c>
      <c r="E3234" s="1" t="n">
        <v>46319</v>
      </c>
      <c r="F3234" t="inlineStr">
        <is>
          <t>DALARNAS LÄN</t>
        </is>
      </c>
      <c r="G3234" t="inlineStr">
        <is>
          <t>AVESTA</t>
        </is>
      </c>
      <c r="I3234" t="n">
        <v>0.7</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53464-2024</t>
        </is>
      </c>
      <c r="B3235" t="inlineStr">
        <is>
          <t>avverkningsanmälan</t>
        </is>
      </c>
      <c r="C3235" t="inlineStr">
        <is>
          <t>Avverkning för annat ändamål</t>
        </is>
      </c>
      <c r="D3235" s="1" t="n">
        <v>45611</v>
      </c>
      <c r="E3235" s="1" t="n">
        <v>46319</v>
      </c>
      <c r="F3235" t="inlineStr">
        <is>
          <t>DALARNAS LÄN</t>
        </is>
      </c>
      <c r="G3235" t="inlineStr">
        <is>
          <t>LEKSAND</t>
        </is>
      </c>
      <c r="I3235" t="n">
        <v>1.7</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19929-2026</t>
        </is>
      </c>
      <c r="B3236" t="inlineStr">
        <is>
          <t>avverkningsanmälan</t>
        </is>
      </c>
      <c r="C3236" t="inlineStr">
        <is>
          <t>Föryngringsavverkning</t>
        </is>
      </c>
      <c r="D3236" s="1" t="n">
        <v>46136</v>
      </c>
      <c r="E3236" s="1" t="n">
        <v>46319</v>
      </c>
      <c r="F3236" t="inlineStr">
        <is>
          <t>DALARNAS LÄN</t>
        </is>
      </c>
      <c r="G3236" t="inlineStr">
        <is>
          <t>HEDEMORA</t>
        </is>
      </c>
      <c r="H3236" t="inlineStr">
        <is>
          <t>Sveaskog</t>
        </is>
      </c>
      <c r="I3236" t="n">
        <v>1.6</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19942-2026</t>
        </is>
      </c>
      <c r="B3237" t="inlineStr">
        <is>
          <t>avverkningsanmälan</t>
        </is>
      </c>
      <c r="C3237" t="inlineStr">
        <is>
          <t>Föryngringsavverkning</t>
        </is>
      </c>
      <c r="D3237" s="1" t="n">
        <v>46136</v>
      </c>
      <c r="E3237" s="1" t="n">
        <v>46319</v>
      </c>
      <c r="F3237" t="inlineStr">
        <is>
          <t>DALARNAS LÄN</t>
        </is>
      </c>
      <c r="G3237" t="inlineStr">
        <is>
          <t>HEDEMORA</t>
        </is>
      </c>
      <c r="H3237" t="inlineStr">
        <is>
          <t>Sveaskog</t>
        </is>
      </c>
      <c r="I3237" t="n">
        <v>3.3</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51824-2025</t>
        </is>
      </c>
      <c r="B3238" t="inlineStr">
        <is>
          <t>avverkningsanmälan</t>
        </is>
      </c>
      <c r="C3238" t="inlineStr">
        <is>
          <t>Föryngringsavverkning</t>
        </is>
      </c>
      <c r="D3238" s="1" t="n">
        <v>45951</v>
      </c>
      <c r="E3238" s="1" t="n">
        <v>46319</v>
      </c>
      <c r="F3238" t="inlineStr">
        <is>
          <t>DALARNAS LÄN</t>
        </is>
      </c>
      <c r="G3238" t="inlineStr">
        <is>
          <t>SÄTER</t>
        </is>
      </c>
      <c r="H3238" t="inlineStr">
        <is>
          <t>Bergvik skog väst AB</t>
        </is>
      </c>
      <c r="I3238" t="n">
        <v>3.7</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25712-2026</t>
        </is>
      </c>
      <c r="B3239" t="inlineStr">
        <is>
          <t>avverkningsanmälan</t>
        </is>
      </c>
      <c r="C3239" t="inlineStr">
        <is>
          <t>Avverkning för annat ändamål</t>
        </is>
      </c>
      <c r="D3239" s="1" t="n">
        <v>46178</v>
      </c>
      <c r="E3239" s="1" t="n">
        <v>46319</v>
      </c>
      <c r="F3239" t="inlineStr">
        <is>
          <t>DALARNAS LÄN</t>
        </is>
      </c>
      <c r="G3239" t="inlineStr">
        <is>
          <t>ORSA</t>
        </is>
      </c>
      <c r="H3239" t="inlineStr">
        <is>
          <t>Allmännings- och besparingsskogar</t>
        </is>
      </c>
      <c r="I3239" t="n">
        <v>4</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25666-2026</t>
        </is>
      </c>
      <c r="B3240" t="inlineStr">
        <is>
          <t>avverkningsanmälan</t>
        </is>
      </c>
      <c r="C3240" t="inlineStr">
        <is>
          <t>Föryngringsavverkning</t>
        </is>
      </c>
      <c r="D3240" s="1" t="n">
        <v>46178</v>
      </c>
      <c r="E3240" s="1" t="n">
        <v>46319</v>
      </c>
      <c r="F3240" t="inlineStr">
        <is>
          <t>DALARNAS LÄN</t>
        </is>
      </c>
      <c r="G3240" t="inlineStr">
        <is>
          <t>RÄTTVIK</t>
        </is>
      </c>
      <c r="H3240" t="inlineStr">
        <is>
          <t>Övriga statliga verk och myndigheter</t>
        </is>
      </c>
      <c r="I3240" t="n">
        <v>1.4</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25667-2026</t>
        </is>
      </c>
      <c r="B3241" t="inlineStr">
        <is>
          <t>avverkningsanmälan</t>
        </is>
      </c>
      <c r="C3241" t="inlineStr">
        <is>
          <t>Föryngringsavverkning</t>
        </is>
      </c>
      <c r="D3241" s="1" t="n">
        <v>46178</v>
      </c>
      <c r="E3241" s="1" t="n">
        <v>46319</v>
      </c>
      <c r="F3241" t="inlineStr">
        <is>
          <t>DALARNAS LÄN</t>
        </is>
      </c>
      <c r="G3241" t="inlineStr">
        <is>
          <t>FALUN</t>
        </is>
      </c>
      <c r="I3241" t="n">
        <v>2</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51600-2025</t>
        </is>
      </c>
      <c r="B3242" t="inlineStr">
        <is>
          <t>avverkningsanmälan</t>
        </is>
      </c>
      <c r="C3242" t="inlineStr">
        <is>
          <t>Föryngringsavverkning</t>
        </is>
      </c>
      <c r="D3242" s="1" t="n">
        <v>45951</v>
      </c>
      <c r="E3242" s="1" t="n">
        <v>46319</v>
      </c>
      <c r="F3242" t="inlineStr">
        <is>
          <t>DALARNAS LÄN</t>
        </is>
      </c>
      <c r="G3242" t="inlineStr">
        <is>
          <t>MALUNG-SÄLEN</t>
        </is>
      </c>
      <c r="I3242" t="n">
        <v>1.3</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51671-2025</t>
        </is>
      </c>
      <c r="B3243" t="inlineStr">
        <is>
          <t>avverkningsanmälan</t>
        </is>
      </c>
      <c r="C3243" t="inlineStr">
        <is>
          <t>Föryngringsavverkning</t>
        </is>
      </c>
      <c r="D3243" s="1" t="n">
        <v>45951</v>
      </c>
      <c r="E3243" s="1" t="n">
        <v>46319</v>
      </c>
      <c r="F3243" t="inlineStr">
        <is>
          <t>DALARNAS LÄN</t>
        </is>
      </c>
      <c r="G3243" t="inlineStr">
        <is>
          <t>AVESTA</t>
        </is>
      </c>
      <c r="I3243" t="n">
        <v>3.9</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20705-2023</t>
        </is>
      </c>
      <c r="B3244" t="inlineStr">
        <is>
          <t>avverkningsanmälan</t>
        </is>
      </c>
      <c r="C3244" t="inlineStr">
        <is>
          <t>Föryngringsavverkning</t>
        </is>
      </c>
      <c r="D3244" s="1" t="n">
        <v>45058</v>
      </c>
      <c r="E3244" s="1" t="n">
        <v>46319</v>
      </c>
      <c r="F3244" t="inlineStr">
        <is>
          <t>DALARNAS LÄN</t>
        </is>
      </c>
      <c r="G3244" t="inlineStr">
        <is>
          <t>AVESTA</t>
        </is>
      </c>
      <c r="I3244" t="n">
        <v>17.6</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51855-2025</t>
        </is>
      </c>
      <c r="B3245" t="inlineStr">
        <is>
          <t>avverkningsanmälan</t>
        </is>
      </c>
      <c r="C3245" t="inlineStr">
        <is>
          <t>Föryngringsavverkning</t>
        </is>
      </c>
      <c r="D3245" s="1" t="n">
        <v>45952</v>
      </c>
      <c r="E3245" s="1" t="n">
        <v>46319</v>
      </c>
      <c r="F3245" t="inlineStr">
        <is>
          <t>DALARNAS LÄN</t>
        </is>
      </c>
      <c r="G3245" t="inlineStr">
        <is>
          <t>VANSBRO</t>
        </is>
      </c>
      <c r="H3245" t="inlineStr">
        <is>
          <t>Bergvik skog väst AB</t>
        </is>
      </c>
      <c r="I3245" t="n">
        <v>10.2</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56330-2022</t>
        </is>
      </c>
      <c r="B3246" t="inlineStr">
        <is>
          <t>avverkningsanmälan</t>
        </is>
      </c>
      <c r="C3246" t="inlineStr">
        <is>
          <t>Föryngringsavverkning</t>
        </is>
      </c>
      <c r="D3246" s="1" t="n">
        <v>44890</v>
      </c>
      <c r="E3246" s="1" t="n">
        <v>46319</v>
      </c>
      <c r="F3246" t="inlineStr">
        <is>
          <t>DALARNAS LÄN</t>
        </is>
      </c>
      <c r="G3246" t="inlineStr">
        <is>
          <t>LEKSAND</t>
        </is>
      </c>
      <c r="I3246" t="n">
        <v>4.9</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26655-2026</t>
        </is>
      </c>
      <c r="B3247" t="inlineStr">
        <is>
          <t>avverkningsanmälan</t>
        </is>
      </c>
      <c r="C3247" t="inlineStr">
        <is>
          <t>Föryngringsavverkning</t>
        </is>
      </c>
      <c r="D3247" s="1" t="n">
        <v>46184</v>
      </c>
      <c r="E3247" s="1" t="n">
        <v>46319</v>
      </c>
      <c r="F3247" t="inlineStr">
        <is>
          <t>DALARNAS LÄN</t>
        </is>
      </c>
      <c r="G3247" t="inlineStr">
        <is>
          <t>SMEDJEBACKEN</t>
        </is>
      </c>
      <c r="H3247" t="inlineStr">
        <is>
          <t>Sveaskog</t>
        </is>
      </c>
      <c r="I3247" t="n">
        <v>2.4</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46926-2024</t>
        </is>
      </c>
      <c r="B3248" t="inlineStr">
        <is>
          <t>avverkningsanmälan</t>
        </is>
      </c>
      <c r="C3248" t="inlineStr">
        <is>
          <t>Föryngringsavverkning</t>
        </is>
      </c>
      <c r="D3248" s="1" t="n">
        <v>45584</v>
      </c>
      <c r="E3248" s="1" t="n">
        <v>46319</v>
      </c>
      <c r="F3248" t="inlineStr">
        <is>
          <t>DALARNAS LÄN</t>
        </is>
      </c>
      <c r="G3248" t="inlineStr">
        <is>
          <t>ÄLVDALEN</t>
        </is>
      </c>
      <c r="I3248" t="n">
        <v>4.4</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26661-2026</t>
        </is>
      </c>
      <c r="B3249" t="inlineStr">
        <is>
          <t>avverkningsanmälan</t>
        </is>
      </c>
      <c r="C3249" t="inlineStr">
        <is>
          <t>Föryngringsavverkning</t>
        </is>
      </c>
      <c r="D3249" s="1" t="n">
        <v>46184</v>
      </c>
      <c r="E3249" s="1" t="n">
        <v>46319</v>
      </c>
      <c r="F3249" t="inlineStr">
        <is>
          <t>DALARNAS LÄN</t>
        </is>
      </c>
      <c r="G3249" t="inlineStr">
        <is>
          <t>SMEDJEBACKEN</t>
        </is>
      </c>
      <c r="H3249" t="inlineStr">
        <is>
          <t>Sveaskog</t>
        </is>
      </c>
      <c r="I3249" t="n">
        <v>6.7</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26187-2026</t>
        </is>
      </c>
      <c r="B3250" t="inlineStr">
        <is>
          <t>avverkningsanmälan</t>
        </is>
      </c>
      <c r="C3250" t="inlineStr">
        <is>
          <t>Föryngringsavverkning</t>
        </is>
      </c>
      <c r="D3250" s="1" t="n">
        <v>46182</v>
      </c>
      <c r="E3250" s="1" t="n">
        <v>46319</v>
      </c>
      <c r="F3250" t="inlineStr">
        <is>
          <t>DALARNAS LÄN</t>
        </is>
      </c>
      <c r="G3250" t="inlineStr">
        <is>
          <t>LEKSAND</t>
        </is>
      </c>
      <c r="I3250" t="n">
        <v>1</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13262-2022</t>
        </is>
      </c>
      <c r="B3251" t="inlineStr">
        <is>
          <t>avverkningsanmälan</t>
        </is>
      </c>
      <c r="C3251" t="inlineStr">
        <is>
          <t>Föryngringsavverkning</t>
        </is>
      </c>
      <c r="D3251" s="1" t="n">
        <v>44644</v>
      </c>
      <c r="E3251" s="1" t="n">
        <v>46319</v>
      </c>
      <c r="F3251" t="inlineStr">
        <is>
          <t>DALARNAS LÄN</t>
        </is>
      </c>
      <c r="G3251" t="inlineStr">
        <is>
          <t>MORA</t>
        </is>
      </c>
      <c r="I3251" t="n">
        <v>0.8</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33839-2024</t>
        </is>
      </c>
      <c r="B3252" t="inlineStr">
        <is>
          <t>avverkningsanmälan</t>
        </is>
      </c>
      <c r="C3252" t="inlineStr">
        <is>
          <t>Föryngringsavverkning</t>
        </is>
      </c>
      <c r="D3252" s="1" t="n">
        <v>45520</v>
      </c>
      <c r="E3252" s="1" t="n">
        <v>46319</v>
      </c>
      <c r="F3252" t="inlineStr">
        <is>
          <t>DALARNAS LÄN</t>
        </is>
      </c>
      <c r="G3252" t="inlineStr">
        <is>
          <t>LUDVIKA</t>
        </is>
      </c>
      <c r="I3252" t="n">
        <v>0.5</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13116-2026</t>
        </is>
      </c>
      <c r="B3253" t="inlineStr">
        <is>
          <t>avverkningsanmälan</t>
        </is>
      </c>
      <c r="C3253" t="inlineStr">
        <is>
          <t>Föryngringsavverkning</t>
        </is>
      </c>
      <c r="D3253" s="1" t="n">
        <v>46093</v>
      </c>
      <c r="E3253" s="1" t="n">
        <v>46319</v>
      </c>
      <c r="F3253" t="inlineStr">
        <is>
          <t>DALARNAS LÄN</t>
        </is>
      </c>
      <c r="G3253" t="inlineStr">
        <is>
          <t>FALUN</t>
        </is>
      </c>
      <c r="H3253" t="inlineStr">
        <is>
          <t>Allmännings- och besparingsskogar</t>
        </is>
      </c>
      <c r="I3253" t="n">
        <v>0.9</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51826-2025</t>
        </is>
      </c>
      <c r="B3254" t="inlineStr">
        <is>
          <t>avverkningsanmälan</t>
        </is>
      </c>
      <c r="C3254" t="inlineStr">
        <is>
          <t>Föryngringsavverkning</t>
        </is>
      </c>
      <c r="D3254" s="1" t="n">
        <v>45951</v>
      </c>
      <c r="E3254" s="1" t="n">
        <v>46319</v>
      </c>
      <c r="F3254" t="inlineStr">
        <is>
          <t>DALARNAS LÄN</t>
        </is>
      </c>
      <c r="G3254" t="inlineStr">
        <is>
          <t>SÄTER</t>
        </is>
      </c>
      <c r="H3254" t="inlineStr">
        <is>
          <t>Bergvik skog väst AB</t>
        </is>
      </c>
      <c r="I3254" t="n">
        <v>15.1</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51695-2025</t>
        </is>
      </c>
      <c r="B3255" t="inlineStr">
        <is>
          <t>avverkningsanmälan</t>
        </is>
      </c>
      <c r="C3255" t="inlineStr">
        <is>
          <t>Föryngringsavverkning</t>
        </is>
      </c>
      <c r="D3255" s="1" t="n">
        <v>45951</v>
      </c>
      <c r="E3255" s="1" t="n">
        <v>46319</v>
      </c>
      <c r="F3255" t="inlineStr">
        <is>
          <t>DALARNAS LÄN</t>
        </is>
      </c>
      <c r="G3255" t="inlineStr">
        <is>
          <t>HEDEMORA</t>
        </is>
      </c>
      <c r="I3255" t="n">
        <v>2.1</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7755-2024</t>
        </is>
      </c>
      <c r="B3256" t="inlineStr">
        <is>
          <t>avverkningsanmälan</t>
        </is>
      </c>
      <c r="C3256" t="inlineStr">
        <is>
          <t>Föryngringsavverkning</t>
        </is>
      </c>
      <c r="D3256" s="1" t="n">
        <v>45349</v>
      </c>
      <c r="E3256" s="1" t="n">
        <v>46319</v>
      </c>
      <c r="F3256" t="inlineStr">
        <is>
          <t>DALARNAS LÄN</t>
        </is>
      </c>
      <c r="G3256" t="inlineStr">
        <is>
          <t>FALUN</t>
        </is>
      </c>
      <c r="I3256" t="n">
        <v>0.3</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51845-2025</t>
        </is>
      </c>
      <c r="B3257" t="inlineStr">
        <is>
          <t>avverkningsanmälan</t>
        </is>
      </c>
      <c r="C3257" t="inlineStr">
        <is>
          <t>Föryngringsavverkning</t>
        </is>
      </c>
      <c r="D3257" s="1" t="n">
        <v>45952</v>
      </c>
      <c r="E3257" s="1" t="n">
        <v>46319</v>
      </c>
      <c r="F3257" t="inlineStr">
        <is>
          <t>DALARNAS LÄN</t>
        </is>
      </c>
      <c r="G3257" t="inlineStr">
        <is>
          <t>MALUNG-SÄLEN</t>
        </is>
      </c>
      <c r="I3257" t="n">
        <v>2.8</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51926-2025</t>
        </is>
      </c>
      <c r="B3258" t="inlineStr">
        <is>
          <t>avverkningsanmälan</t>
        </is>
      </c>
      <c r="C3258" t="inlineStr">
        <is>
          <t>Föryngringsavverkning</t>
        </is>
      </c>
      <c r="D3258" s="1" t="n">
        <v>45952</v>
      </c>
      <c r="E3258" s="1" t="n">
        <v>46319</v>
      </c>
      <c r="F3258" t="inlineStr">
        <is>
          <t>DALARNAS LÄN</t>
        </is>
      </c>
      <c r="G3258" t="inlineStr">
        <is>
          <t>LEKSAND</t>
        </is>
      </c>
      <c r="I3258" t="n">
        <v>2.3</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3194-2024</t>
        </is>
      </c>
      <c r="B3259" t="inlineStr">
        <is>
          <t>avverkningsanmälan</t>
        </is>
      </c>
      <c r="C3259" t="inlineStr">
        <is>
          <t>Föryngringsavverkning</t>
        </is>
      </c>
      <c r="D3259" s="1" t="n">
        <v>45316</v>
      </c>
      <c r="E3259" s="1" t="n">
        <v>46319</v>
      </c>
      <c r="F3259" t="inlineStr">
        <is>
          <t>DALARNAS LÄN</t>
        </is>
      </c>
      <c r="G3259" t="inlineStr">
        <is>
          <t>AVESTA</t>
        </is>
      </c>
      <c r="I3259" t="n">
        <v>1.9</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17282-2026</t>
        </is>
      </c>
      <c r="B3260" t="inlineStr">
        <is>
          <t>avverkningsanmälan</t>
        </is>
      </c>
      <c r="C3260" t="inlineStr">
        <is>
          <t>Föryngringsavverkning</t>
        </is>
      </c>
      <c r="D3260" s="1" t="n">
        <v>46119</v>
      </c>
      <c r="E3260" s="1" t="n">
        <v>46319</v>
      </c>
      <c r="F3260" t="inlineStr">
        <is>
          <t>DALARNAS LÄN</t>
        </is>
      </c>
      <c r="G3260" t="inlineStr">
        <is>
          <t>FALUN</t>
        </is>
      </c>
      <c r="I3260" t="n">
        <v>1.5</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16933-2026</t>
        </is>
      </c>
      <c r="B3261" t="inlineStr">
        <is>
          <t>avverkningsanmälan</t>
        </is>
      </c>
      <c r="C3261" t="inlineStr">
        <is>
          <t>Föryngringsavverkning</t>
        </is>
      </c>
      <c r="D3261" s="1" t="n">
        <v>46113</v>
      </c>
      <c r="E3261" s="1" t="n">
        <v>46319</v>
      </c>
      <c r="F3261" t="inlineStr">
        <is>
          <t>DALARNAS LÄN</t>
        </is>
      </c>
      <c r="G3261" t="inlineStr">
        <is>
          <t>FALUN</t>
        </is>
      </c>
      <c r="I3261" t="n">
        <v>3</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20515-2026</t>
        </is>
      </c>
      <c r="B3262" t="inlineStr">
        <is>
          <t>avverkningsanmälan</t>
        </is>
      </c>
      <c r="C3262" t="inlineStr">
        <is>
          <t>Föryngringsavverkning</t>
        </is>
      </c>
      <c r="D3262" s="1" t="n">
        <v>46140</v>
      </c>
      <c r="E3262" s="1" t="n">
        <v>46319</v>
      </c>
      <c r="F3262" t="inlineStr">
        <is>
          <t>DALARNAS LÄN</t>
        </is>
      </c>
      <c r="G3262" t="inlineStr">
        <is>
          <t>RÄTTVIK</t>
        </is>
      </c>
      <c r="I3262" t="n">
        <v>4.3</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51915-2025</t>
        </is>
      </c>
      <c r="B3263" t="inlineStr">
        <is>
          <t>avverkningsanmälan</t>
        </is>
      </c>
      <c r="C3263" t="inlineStr">
        <is>
          <t>Föryngringsavverkning</t>
        </is>
      </c>
      <c r="D3263" s="1" t="n">
        <v>45952</v>
      </c>
      <c r="E3263" s="1" t="n">
        <v>46319</v>
      </c>
      <c r="F3263" t="inlineStr">
        <is>
          <t>DALARNAS LÄN</t>
        </is>
      </c>
      <c r="G3263" t="inlineStr">
        <is>
          <t>ÄLVDALEN</t>
        </is>
      </c>
      <c r="H3263" t="inlineStr">
        <is>
          <t>Allmännings- och besparingsskogar</t>
        </is>
      </c>
      <c r="I3263" t="n">
        <v>66.7</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26300-2026</t>
        </is>
      </c>
      <c r="B3264" t="inlineStr">
        <is>
          <t>avverkningsanmälan</t>
        </is>
      </c>
      <c r="C3264" t="inlineStr">
        <is>
          <t>Föryngringsavverkning</t>
        </is>
      </c>
      <c r="D3264" s="1" t="n">
        <v>46182</v>
      </c>
      <c r="E3264" s="1" t="n">
        <v>46319</v>
      </c>
      <c r="F3264" t="inlineStr">
        <is>
          <t>DALARNAS LÄN</t>
        </is>
      </c>
      <c r="G3264" t="inlineStr">
        <is>
          <t>GAGNEF</t>
        </is>
      </c>
      <c r="I3264" t="n">
        <v>0.8</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26306-2026</t>
        </is>
      </c>
      <c r="B3265" t="inlineStr">
        <is>
          <t>avverkningsanmälan</t>
        </is>
      </c>
      <c r="C3265" t="inlineStr">
        <is>
          <t>Föryngringsavverkning</t>
        </is>
      </c>
      <c r="D3265" s="1" t="n">
        <v>46182</v>
      </c>
      <c r="E3265" s="1" t="n">
        <v>46319</v>
      </c>
      <c r="F3265" t="inlineStr">
        <is>
          <t>DALARNAS LÄN</t>
        </is>
      </c>
      <c r="G3265" t="inlineStr">
        <is>
          <t>MORA</t>
        </is>
      </c>
      <c r="I3265" t="n">
        <v>1.2</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52713-2025</t>
        </is>
      </c>
      <c r="B3266" t="inlineStr">
        <is>
          <t>avverkningsanmälan</t>
        </is>
      </c>
      <c r="C3266" t="inlineStr">
        <is>
          <t>Föryngringsavverkning</t>
        </is>
      </c>
      <c r="D3266" s="1" t="n">
        <v>45953</v>
      </c>
      <c r="E3266" s="1" t="n">
        <v>46319</v>
      </c>
      <c r="F3266" t="inlineStr">
        <is>
          <t>DALARNAS LÄN</t>
        </is>
      </c>
      <c r="G3266" t="inlineStr">
        <is>
          <t>SMEDJEBACKEN</t>
        </is>
      </c>
      <c r="H3266" t="inlineStr">
        <is>
          <t>Bergvik skog väst AB</t>
        </is>
      </c>
      <c r="I3266" t="n">
        <v>0.3</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52714-2025</t>
        </is>
      </c>
      <c r="B3267" t="inlineStr">
        <is>
          <t>avverkningsanmälan</t>
        </is>
      </c>
      <c r="C3267" t="inlineStr">
        <is>
          <t>Föryngringsavverkning</t>
        </is>
      </c>
      <c r="D3267" s="1" t="n">
        <v>45953</v>
      </c>
      <c r="E3267" s="1" t="n">
        <v>46319</v>
      </c>
      <c r="F3267" t="inlineStr">
        <is>
          <t>DALARNAS LÄN</t>
        </is>
      </c>
      <c r="G3267" t="inlineStr">
        <is>
          <t>HEDEMORA</t>
        </is>
      </c>
      <c r="H3267" t="inlineStr">
        <is>
          <t>Bergvik skog väst AB</t>
        </is>
      </c>
      <c r="I3267" t="n">
        <v>14.7</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44593-2023</t>
        </is>
      </c>
      <c r="B3268" t="inlineStr">
        <is>
          <t>avverkningsanmälan</t>
        </is>
      </c>
      <c r="C3268" t="inlineStr">
        <is>
          <t>Avverkning för annat ändamål</t>
        </is>
      </c>
      <c r="D3268" s="1" t="n">
        <v>45189</v>
      </c>
      <c r="E3268" s="1" t="n">
        <v>46319</v>
      </c>
      <c r="F3268" t="inlineStr">
        <is>
          <t>DALARNAS LÄN</t>
        </is>
      </c>
      <c r="G3268" t="inlineStr">
        <is>
          <t>FALUN</t>
        </is>
      </c>
      <c r="I3268" t="n">
        <v>0.2</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52552-2025</t>
        </is>
      </c>
      <c r="B3269" t="inlineStr">
        <is>
          <t>avverkningsanmälan</t>
        </is>
      </c>
      <c r="C3269" t="inlineStr">
        <is>
          <t>Avverkning för annat ändamål</t>
        </is>
      </c>
      <c r="D3269" s="1" t="n">
        <v>45954</v>
      </c>
      <c r="E3269" s="1" t="n">
        <v>46319</v>
      </c>
      <c r="F3269" t="inlineStr">
        <is>
          <t>DALARNAS LÄN</t>
        </is>
      </c>
      <c r="G3269" t="inlineStr">
        <is>
          <t>LUDVIKA</t>
        </is>
      </c>
      <c r="I3269" t="n">
        <v>0.7</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52484-2025</t>
        </is>
      </c>
      <c r="B3270" t="inlineStr">
        <is>
          <t>avverkningsanmälan</t>
        </is>
      </c>
      <c r="C3270" t="inlineStr">
        <is>
          <t>Föryngringsavverkning</t>
        </is>
      </c>
      <c r="D3270" s="1" t="n">
        <v>45954</v>
      </c>
      <c r="E3270" s="1" t="n">
        <v>46319</v>
      </c>
      <c r="F3270" t="inlineStr">
        <is>
          <t>DALARNAS LÄN</t>
        </is>
      </c>
      <c r="G3270" t="inlineStr">
        <is>
          <t>LUDVIKA</t>
        </is>
      </c>
      <c r="H3270" t="inlineStr">
        <is>
          <t>Bergvik skog väst AB</t>
        </is>
      </c>
      <c r="I3270" t="n">
        <v>3.1</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26341-2026</t>
        </is>
      </c>
      <c r="B3271" t="inlineStr">
        <is>
          <t>avverkningsanmälan</t>
        </is>
      </c>
      <c r="C3271" t="inlineStr">
        <is>
          <t>Föryngringsavverkning</t>
        </is>
      </c>
      <c r="D3271" s="1" t="n">
        <v>46182</v>
      </c>
      <c r="E3271" s="1" t="n">
        <v>46319</v>
      </c>
      <c r="F3271" t="inlineStr">
        <is>
          <t>DALARNAS LÄN</t>
        </is>
      </c>
      <c r="G3271" t="inlineStr">
        <is>
          <t>BORLÄNGE</t>
        </is>
      </c>
      <c r="I3271" t="n">
        <v>1.1</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26380-2026</t>
        </is>
      </c>
      <c r="B3272" t="inlineStr">
        <is>
          <t>avverkningsanmälan</t>
        </is>
      </c>
      <c r="C3272" t="inlineStr">
        <is>
          <t>Föryngringsavverkning</t>
        </is>
      </c>
      <c r="D3272" s="1" t="n">
        <v>46183</v>
      </c>
      <c r="E3272" s="1" t="n">
        <v>46319</v>
      </c>
      <c r="F3272" t="inlineStr">
        <is>
          <t>DALARNAS LÄN</t>
        </is>
      </c>
      <c r="G3272" t="inlineStr">
        <is>
          <t>FALUN</t>
        </is>
      </c>
      <c r="I3272" t="n">
        <v>1.6</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26382-2026</t>
        </is>
      </c>
      <c r="B3273" t="inlineStr">
        <is>
          <t>avverkningsanmälan</t>
        </is>
      </c>
      <c r="C3273" t="inlineStr">
        <is>
          <t>Föryngringsavverkning</t>
        </is>
      </c>
      <c r="D3273" s="1" t="n">
        <v>46183</v>
      </c>
      <c r="E3273" s="1" t="n">
        <v>46319</v>
      </c>
      <c r="F3273" t="inlineStr">
        <is>
          <t>DALARNAS LÄN</t>
        </is>
      </c>
      <c r="G3273" t="inlineStr">
        <is>
          <t>LUDVIKA</t>
        </is>
      </c>
      <c r="H3273" t="inlineStr">
        <is>
          <t>Bergvik skog väst AB</t>
        </is>
      </c>
      <c r="I3273" t="n">
        <v>2</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53544-2022</t>
        </is>
      </c>
      <c r="B3274" t="inlineStr">
        <is>
          <t>avverkningsanmälan</t>
        </is>
      </c>
      <c r="C3274" t="inlineStr">
        <is>
          <t>Föryngringsavverkning</t>
        </is>
      </c>
      <c r="D3274" s="1" t="n">
        <v>44879</v>
      </c>
      <c r="E3274" s="1" t="n">
        <v>46319</v>
      </c>
      <c r="F3274" t="inlineStr">
        <is>
          <t>DALARNAS LÄN</t>
        </is>
      </c>
      <c r="G3274" t="inlineStr">
        <is>
          <t>BORLÄNGE</t>
        </is>
      </c>
      <c r="H3274" t="inlineStr">
        <is>
          <t>Bergvik skog väst AB</t>
        </is>
      </c>
      <c r="I3274" t="n">
        <v>2</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52296-2025</t>
        </is>
      </c>
      <c r="B3275" t="inlineStr">
        <is>
          <t>avverkningsanmälan</t>
        </is>
      </c>
      <c r="C3275" t="inlineStr">
        <is>
          <t>Föryngringsavverkning</t>
        </is>
      </c>
      <c r="D3275" s="1" t="n">
        <v>45953</v>
      </c>
      <c r="E3275" s="1" t="n">
        <v>46319</v>
      </c>
      <c r="F3275" t="inlineStr">
        <is>
          <t>DALARNAS LÄN</t>
        </is>
      </c>
      <c r="G3275" t="inlineStr">
        <is>
          <t>RÄTTVIK</t>
        </is>
      </c>
      <c r="H3275" t="inlineStr">
        <is>
          <t>Bergvik skog väst AB</t>
        </is>
      </c>
      <c r="I3275" t="n">
        <v>2.3</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51943-2025</t>
        </is>
      </c>
      <c r="B3276" t="inlineStr">
        <is>
          <t>avverkningsanmälan</t>
        </is>
      </c>
      <c r="C3276" t="inlineStr">
        <is>
          <t>Föryngringsavverkning</t>
        </is>
      </c>
      <c r="D3276" s="1" t="n">
        <v>45952</v>
      </c>
      <c r="E3276" s="1" t="n">
        <v>46319</v>
      </c>
      <c r="F3276" t="inlineStr">
        <is>
          <t>DALARNAS LÄN</t>
        </is>
      </c>
      <c r="G3276" t="inlineStr">
        <is>
          <t>HEDEMORA</t>
        </is>
      </c>
      <c r="I3276" t="n">
        <v>4.5</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26395-2026</t>
        </is>
      </c>
      <c r="B3277" t="inlineStr">
        <is>
          <t>avverkningsanmälan</t>
        </is>
      </c>
      <c r="C3277" t="inlineStr">
        <is>
          <t>Föryngringsavverkning</t>
        </is>
      </c>
      <c r="D3277" s="1" t="n">
        <v>46183</v>
      </c>
      <c r="E3277" s="1" t="n">
        <v>46319</v>
      </c>
      <c r="F3277" t="inlineStr">
        <is>
          <t>DALARNAS LÄN</t>
        </is>
      </c>
      <c r="G3277" t="inlineStr">
        <is>
          <t>HEDEMORA</t>
        </is>
      </c>
      <c r="H3277" t="inlineStr">
        <is>
          <t>Bergvik skog väst AB</t>
        </is>
      </c>
      <c r="I3277" t="n">
        <v>1.3</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47379-2023</t>
        </is>
      </c>
      <c r="B3278" t="inlineStr">
        <is>
          <t>avverkningsanmälan</t>
        </is>
      </c>
      <c r="C3278" t="inlineStr">
        <is>
          <t>Föryngringsavverkning</t>
        </is>
      </c>
      <c r="D3278" s="1" t="n">
        <v>45202</v>
      </c>
      <c r="E3278" s="1" t="n">
        <v>46319</v>
      </c>
      <c r="F3278" t="inlineStr">
        <is>
          <t>DALARNAS LÄN</t>
        </is>
      </c>
      <c r="G3278" t="inlineStr">
        <is>
          <t>MALUNG-SÄLEN</t>
        </is>
      </c>
      <c r="I3278" t="n">
        <v>5.9</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14814-2026</t>
        </is>
      </c>
      <c r="B3279" t="inlineStr">
        <is>
          <t>avverkningsanmälan</t>
        </is>
      </c>
      <c r="C3279" t="inlineStr">
        <is>
          <t>Föryngringsavverkning</t>
        </is>
      </c>
      <c r="D3279" s="1" t="n">
        <v>46104</v>
      </c>
      <c r="E3279" s="1" t="n">
        <v>46319</v>
      </c>
      <c r="F3279" t="inlineStr">
        <is>
          <t>DALARNAS LÄN</t>
        </is>
      </c>
      <c r="G3279" t="inlineStr">
        <is>
          <t>ORSA</t>
        </is>
      </c>
      <c r="I3279" t="n">
        <v>14.2</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17890-2026</t>
        </is>
      </c>
      <c r="B3280" t="inlineStr">
        <is>
          <t>avverkningsanmälan</t>
        </is>
      </c>
      <c r="C3280" t="inlineStr">
        <is>
          <t>Föryngringsavverkning</t>
        </is>
      </c>
      <c r="D3280" s="1" t="n">
        <v>46122</v>
      </c>
      <c r="E3280" s="1" t="n">
        <v>46319</v>
      </c>
      <c r="F3280" t="inlineStr">
        <is>
          <t>DALARNAS LÄN</t>
        </is>
      </c>
      <c r="G3280" t="inlineStr">
        <is>
          <t>FALUN</t>
        </is>
      </c>
      <c r="I3280" t="n">
        <v>16.3</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52439-2024</t>
        </is>
      </c>
      <c r="B3281" t="inlineStr">
        <is>
          <t>avverkningsanmälan</t>
        </is>
      </c>
      <c r="C3281" t="inlineStr">
        <is>
          <t>Föryngringsavverkning</t>
        </is>
      </c>
      <c r="D3281" s="1" t="n">
        <v>45608</v>
      </c>
      <c r="E3281" s="1" t="n">
        <v>46319</v>
      </c>
      <c r="F3281" t="inlineStr">
        <is>
          <t>DALARNAS LÄN</t>
        </is>
      </c>
      <c r="G3281" t="inlineStr">
        <is>
          <t>GAGNEF</t>
        </is>
      </c>
      <c r="I3281" t="n">
        <v>3.1</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52504-2025</t>
        </is>
      </c>
      <c r="B3282" t="inlineStr">
        <is>
          <t>avverkningsanmälan</t>
        </is>
      </c>
      <c r="C3282" t="inlineStr">
        <is>
          <t>Föryngringsavverkning</t>
        </is>
      </c>
      <c r="D3282" s="1" t="n">
        <v>45954</v>
      </c>
      <c r="E3282" s="1" t="n">
        <v>46319</v>
      </c>
      <c r="F3282" t="inlineStr">
        <is>
          <t>DALARNAS LÄN</t>
        </is>
      </c>
      <c r="G3282" t="inlineStr">
        <is>
          <t>LUDVIKA</t>
        </is>
      </c>
      <c r="H3282" t="inlineStr">
        <is>
          <t>Bergvik skog väst AB</t>
        </is>
      </c>
      <c r="I3282" t="n">
        <v>9.300000000000001</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21288-2024</t>
        </is>
      </c>
      <c r="B3283" t="inlineStr">
        <is>
          <t>avverkningsanmälan</t>
        </is>
      </c>
      <c r="C3283" t="inlineStr">
        <is>
          <t>Avverkning för att bevara och utveckla /försöksver</t>
        </is>
      </c>
      <c r="D3283" s="1" t="n">
        <v>45440</v>
      </c>
      <c r="E3283" s="1" t="n">
        <v>46319</v>
      </c>
      <c r="F3283" t="inlineStr">
        <is>
          <t>DALARNAS LÄN</t>
        </is>
      </c>
      <c r="G3283" t="inlineStr">
        <is>
          <t>FALUN</t>
        </is>
      </c>
      <c r="I3283" t="n">
        <v>0.5</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16375-2026</t>
        </is>
      </c>
      <c r="B3284" t="inlineStr">
        <is>
          <t>avverkningsanmälan</t>
        </is>
      </c>
      <c r="C3284" t="inlineStr">
        <is>
          <t>Föryngringsavverkning</t>
        </is>
      </c>
      <c r="D3284" s="1" t="n">
        <v>46111</v>
      </c>
      <c r="E3284" s="1" t="n">
        <v>46319</v>
      </c>
      <c r="F3284" t="inlineStr">
        <is>
          <t>DALARNAS LÄN</t>
        </is>
      </c>
      <c r="G3284" t="inlineStr">
        <is>
          <t>FALUN</t>
        </is>
      </c>
      <c r="I3284" t="n">
        <v>3.4</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52158-2025</t>
        </is>
      </c>
      <c r="B3285" t="inlineStr">
        <is>
          <t>avverkningsanmälan</t>
        </is>
      </c>
      <c r="C3285" t="inlineStr">
        <is>
          <t>Föryngringsavverkning</t>
        </is>
      </c>
      <c r="D3285" s="1" t="n">
        <v>45953</v>
      </c>
      <c r="E3285" s="1" t="n">
        <v>46319</v>
      </c>
      <c r="F3285" t="inlineStr">
        <is>
          <t>DALARNAS LÄN</t>
        </is>
      </c>
      <c r="G3285" t="inlineStr">
        <is>
          <t>RÄTTVIK</t>
        </is>
      </c>
      <c r="I3285" t="n">
        <v>3.1</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52152-2025</t>
        </is>
      </c>
      <c r="B3286" t="inlineStr">
        <is>
          <t>avverkningsanmälan</t>
        </is>
      </c>
      <c r="C3286" t="inlineStr">
        <is>
          <t>Föryngringsavverkning</t>
        </is>
      </c>
      <c r="D3286" s="1" t="n">
        <v>45953</v>
      </c>
      <c r="E3286" s="1" t="n">
        <v>46319</v>
      </c>
      <c r="F3286" t="inlineStr">
        <is>
          <t>DALARNAS LÄN</t>
        </is>
      </c>
      <c r="G3286" t="inlineStr">
        <is>
          <t>ÄLVDALEN</t>
        </is>
      </c>
      <c r="H3286" t="inlineStr">
        <is>
          <t>Allmännings- och besparingsskogar</t>
        </is>
      </c>
      <c r="I3286" t="n">
        <v>22.3</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26367-2026</t>
        </is>
      </c>
      <c r="B3287" t="inlineStr">
        <is>
          <t>avverkningsanmälan</t>
        </is>
      </c>
      <c r="C3287" t="inlineStr">
        <is>
          <t>Föryngringsavverkning</t>
        </is>
      </c>
      <c r="D3287" s="1" t="n">
        <v>46182</v>
      </c>
      <c r="E3287" s="1" t="n">
        <v>46319</v>
      </c>
      <c r="F3287" t="inlineStr">
        <is>
          <t>DALARNAS LÄN</t>
        </is>
      </c>
      <c r="G3287" t="inlineStr">
        <is>
          <t>SMEDJEBACKEN</t>
        </is>
      </c>
      <c r="H3287" t="inlineStr">
        <is>
          <t>Övriga Aktiebolag</t>
        </is>
      </c>
      <c r="I3287" t="n">
        <v>2.9</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26391-2026</t>
        </is>
      </c>
      <c r="B3288" t="inlineStr">
        <is>
          <t>avverkningsanmälan</t>
        </is>
      </c>
      <c r="C3288" t="inlineStr">
        <is>
          <t>Föryngringsavverkning</t>
        </is>
      </c>
      <c r="D3288" s="1" t="n">
        <v>46183</v>
      </c>
      <c r="E3288" s="1" t="n">
        <v>46319</v>
      </c>
      <c r="F3288" t="inlineStr">
        <is>
          <t>DALARNAS LÄN</t>
        </is>
      </c>
      <c r="G3288" t="inlineStr">
        <is>
          <t>AVESTA</t>
        </is>
      </c>
      <c r="I3288" t="n">
        <v>2</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2694-2025</t>
        </is>
      </c>
      <c r="B3289" t="inlineStr">
        <is>
          <t>avverkningsanmälan</t>
        </is>
      </c>
      <c r="C3289" t="inlineStr">
        <is>
          <t>Föryngringsavverkning</t>
        </is>
      </c>
      <c r="D3289" s="1" t="n">
        <v>45677</v>
      </c>
      <c r="E3289" s="1" t="n">
        <v>46319</v>
      </c>
      <c r="F3289" t="inlineStr">
        <is>
          <t>DALARNAS LÄN</t>
        </is>
      </c>
      <c r="G3289" t="inlineStr">
        <is>
          <t>LEKSAND</t>
        </is>
      </c>
      <c r="I3289" t="n">
        <v>1</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52422-2025</t>
        </is>
      </c>
      <c r="B3290" t="inlineStr">
        <is>
          <t>avverkningsanmälan</t>
        </is>
      </c>
      <c r="C3290" t="inlineStr">
        <is>
          <t>Föryngringsavverkning</t>
        </is>
      </c>
      <c r="D3290" s="1" t="n">
        <v>45954</v>
      </c>
      <c r="E3290" s="1" t="n">
        <v>46319</v>
      </c>
      <c r="F3290" t="inlineStr">
        <is>
          <t>DALARNAS LÄN</t>
        </is>
      </c>
      <c r="G3290" t="inlineStr">
        <is>
          <t>SÄTER</t>
        </is>
      </c>
      <c r="I3290" t="n">
        <v>4.5</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52459-2025</t>
        </is>
      </c>
      <c r="B3291" t="inlineStr">
        <is>
          <t>avverkningsanmälan</t>
        </is>
      </c>
      <c r="C3291" t="inlineStr">
        <is>
          <t>Avverkning för annat ändamål</t>
        </is>
      </c>
      <c r="D3291" s="1" t="n">
        <v>45954</v>
      </c>
      <c r="E3291" s="1" t="n">
        <v>46319</v>
      </c>
      <c r="F3291" t="inlineStr">
        <is>
          <t>DALARNAS LÄN</t>
        </is>
      </c>
      <c r="G3291" t="inlineStr">
        <is>
          <t>LUDVIKA</t>
        </is>
      </c>
      <c r="H3291" t="inlineStr">
        <is>
          <t>Övriga Aktiebolag</t>
        </is>
      </c>
      <c r="I3291" t="n">
        <v>0.1</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23617-2026</t>
        </is>
      </c>
      <c r="B3292" t="inlineStr">
        <is>
          <t>avverkningsanmälan</t>
        </is>
      </c>
      <c r="C3292" t="inlineStr">
        <is>
          <t>Föryngringsavverkning</t>
        </is>
      </c>
      <c r="D3292" s="1" t="n">
        <v>46163</v>
      </c>
      <c r="E3292" s="1" t="n">
        <v>46319</v>
      </c>
      <c r="F3292" t="inlineStr">
        <is>
          <t>DALARNAS LÄN</t>
        </is>
      </c>
      <c r="G3292" t="inlineStr">
        <is>
          <t>LUDVIKA</t>
        </is>
      </c>
      <c r="I3292" t="n">
        <v>1</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56480-2022</t>
        </is>
      </c>
      <c r="B3293" t="inlineStr">
        <is>
          <t>avverkningsanmälan</t>
        </is>
      </c>
      <c r="C3293" t="inlineStr">
        <is>
          <t>Föryngringsavverkning</t>
        </is>
      </c>
      <c r="D3293" s="1" t="n">
        <v>44893</v>
      </c>
      <c r="E3293" s="1" t="n">
        <v>46319</v>
      </c>
      <c r="F3293" t="inlineStr">
        <is>
          <t>DALARNAS LÄN</t>
        </is>
      </c>
      <c r="G3293" t="inlineStr">
        <is>
          <t>SMEDJEBACKEN</t>
        </is>
      </c>
      <c r="H3293" t="inlineStr">
        <is>
          <t>Sveaskog</t>
        </is>
      </c>
      <c r="I3293" t="n">
        <v>0.6</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52491-2025</t>
        </is>
      </c>
      <c r="B3294" t="inlineStr">
        <is>
          <t>avverkningsanmälan</t>
        </is>
      </c>
      <c r="C3294" t="inlineStr">
        <is>
          <t>Föryngringsavverkning</t>
        </is>
      </c>
      <c r="D3294" s="1" t="n">
        <v>45954</v>
      </c>
      <c r="E3294" s="1" t="n">
        <v>46319</v>
      </c>
      <c r="F3294" t="inlineStr">
        <is>
          <t>DALARNAS LÄN</t>
        </is>
      </c>
      <c r="G3294" t="inlineStr">
        <is>
          <t>LUDVIKA</t>
        </is>
      </c>
      <c r="H3294" t="inlineStr">
        <is>
          <t>Bergvik skog väst AB</t>
        </is>
      </c>
      <c r="I3294" t="n">
        <v>0.6</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52900-2025</t>
        </is>
      </c>
      <c r="B3295" t="inlineStr">
        <is>
          <t>avverkningsanmälan</t>
        </is>
      </c>
      <c r="C3295" t="inlineStr">
        <is>
          <t>Föryngringsavverkning</t>
        </is>
      </c>
      <c r="D3295" s="1" t="n">
        <v>45954</v>
      </c>
      <c r="E3295" s="1" t="n">
        <v>46319</v>
      </c>
      <c r="F3295" t="inlineStr">
        <is>
          <t>DALARNAS LÄN</t>
        </is>
      </c>
      <c r="G3295" t="inlineStr">
        <is>
          <t>LUDVIKA</t>
        </is>
      </c>
      <c r="I3295" t="n">
        <v>8.300000000000001</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329-2023</t>
        </is>
      </c>
      <c r="B3296" t="inlineStr">
        <is>
          <t>avverkningsanmälan</t>
        </is>
      </c>
      <c r="C3296" t="inlineStr">
        <is>
          <t>Föryngringsavverkning</t>
        </is>
      </c>
      <c r="D3296" s="1" t="n">
        <v>44929</v>
      </c>
      <c r="E3296" s="1" t="n">
        <v>46319</v>
      </c>
      <c r="F3296" t="inlineStr">
        <is>
          <t>DALARNAS LÄN</t>
        </is>
      </c>
      <c r="G3296" t="inlineStr">
        <is>
          <t>RÄTTVIK</t>
        </is>
      </c>
      <c r="I3296" t="n">
        <v>4.8</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26346-2026</t>
        </is>
      </c>
      <c r="B3297" t="inlineStr">
        <is>
          <t>avverkningsanmälan</t>
        </is>
      </c>
      <c r="C3297" t="inlineStr">
        <is>
          <t>Föryngringsavverkning</t>
        </is>
      </c>
      <c r="D3297" s="1" t="n">
        <v>46182</v>
      </c>
      <c r="E3297" s="1" t="n">
        <v>46319</v>
      </c>
      <c r="F3297" t="inlineStr">
        <is>
          <t>DALARNAS LÄN</t>
        </is>
      </c>
      <c r="G3297" t="inlineStr">
        <is>
          <t>FALUN</t>
        </is>
      </c>
      <c r="H3297" t="inlineStr">
        <is>
          <t>Bergvik skog väst AB</t>
        </is>
      </c>
      <c r="I3297" t="n">
        <v>2.2</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26348-2026</t>
        </is>
      </c>
      <c r="B3298" t="inlineStr">
        <is>
          <t>avverkningsanmälan</t>
        </is>
      </c>
      <c r="C3298" t="inlineStr">
        <is>
          <t>Föryngringsavverkning</t>
        </is>
      </c>
      <c r="D3298" s="1" t="n">
        <v>46182</v>
      </c>
      <c r="E3298" s="1" t="n">
        <v>46319</v>
      </c>
      <c r="F3298" t="inlineStr">
        <is>
          <t>DALARNAS LÄN</t>
        </is>
      </c>
      <c r="G3298" t="inlineStr">
        <is>
          <t>LEKSAND</t>
        </is>
      </c>
      <c r="I3298" t="n">
        <v>1</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52530-2025</t>
        </is>
      </c>
      <c r="B3299" t="inlineStr">
        <is>
          <t>avverkningsanmälan</t>
        </is>
      </c>
      <c r="C3299" t="inlineStr">
        <is>
          <t>Föryngringsavverkning</t>
        </is>
      </c>
      <c r="D3299" s="1" t="n">
        <v>45954</v>
      </c>
      <c r="E3299" s="1" t="n">
        <v>46319</v>
      </c>
      <c r="F3299" t="inlineStr">
        <is>
          <t>DALARNAS LÄN</t>
        </is>
      </c>
      <c r="G3299" t="inlineStr">
        <is>
          <t>LUDVIKA</t>
        </is>
      </c>
      <c r="H3299" t="inlineStr">
        <is>
          <t>Bergvik skog väst AB</t>
        </is>
      </c>
      <c r="I3299" t="n">
        <v>1.7</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46871-2023</t>
        </is>
      </c>
      <c r="B3300" t="inlineStr">
        <is>
          <t>avverkningsanmälan</t>
        </is>
      </c>
      <c r="C3300" t="inlineStr">
        <is>
          <t>Föryngringsavverkning</t>
        </is>
      </c>
      <c r="D3300" s="1" t="n">
        <v>45200</v>
      </c>
      <c r="E3300" s="1" t="n">
        <v>46319</v>
      </c>
      <c r="F3300" t="inlineStr">
        <is>
          <t>DALARNAS LÄN</t>
        </is>
      </c>
      <c r="G3300" t="inlineStr">
        <is>
          <t>FALUN</t>
        </is>
      </c>
      <c r="I3300" t="n">
        <v>2.8</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52424-2025</t>
        </is>
      </c>
      <c r="B3301" t="inlineStr">
        <is>
          <t>avverkningsanmälan</t>
        </is>
      </c>
      <c r="C3301" t="inlineStr">
        <is>
          <t>Föryngringsavverkning</t>
        </is>
      </c>
      <c r="D3301" s="1" t="n">
        <v>45954</v>
      </c>
      <c r="E3301" s="1" t="n">
        <v>46319</v>
      </c>
      <c r="F3301" t="inlineStr">
        <is>
          <t>DALARNAS LÄN</t>
        </is>
      </c>
      <c r="G3301" t="inlineStr">
        <is>
          <t>RÄTTVIK</t>
        </is>
      </c>
      <c r="I3301" t="n">
        <v>5.1</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47036-2023</t>
        </is>
      </c>
      <c r="B3302" t="inlineStr">
        <is>
          <t>avverkningsanmälan</t>
        </is>
      </c>
      <c r="C3302" t="inlineStr">
        <is>
          <t>Föryngringsavverkning</t>
        </is>
      </c>
      <c r="D3302" s="1" t="n">
        <v>45196</v>
      </c>
      <c r="E3302" s="1" t="n">
        <v>46319</v>
      </c>
      <c r="F3302" t="inlineStr">
        <is>
          <t>DALARNAS LÄN</t>
        </is>
      </c>
      <c r="G3302" t="inlineStr">
        <is>
          <t>MORA</t>
        </is>
      </c>
      <c r="I3302" t="n">
        <v>2.7</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52427-2025</t>
        </is>
      </c>
      <c r="B3303" t="inlineStr">
        <is>
          <t>avverkningsanmälan</t>
        </is>
      </c>
      <c r="C3303" t="inlineStr">
        <is>
          <t>Avverkning för annat ändamål</t>
        </is>
      </c>
      <c r="D3303" s="1" t="n">
        <v>45954</v>
      </c>
      <c r="E3303" s="1" t="n">
        <v>46319</v>
      </c>
      <c r="F3303" t="inlineStr">
        <is>
          <t>DALARNAS LÄN</t>
        </is>
      </c>
      <c r="G3303" t="inlineStr">
        <is>
          <t>LUDVIKA</t>
        </is>
      </c>
      <c r="I3303" t="n">
        <v>1.6</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19783-2026</t>
        </is>
      </c>
      <c r="B3304" t="inlineStr">
        <is>
          <t>avverkningsanmälan</t>
        </is>
      </c>
      <c r="C3304" t="inlineStr">
        <is>
          <t>Föryngringsavverkning</t>
        </is>
      </c>
      <c r="D3304" s="1" t="n">
        <v>46135</v>
      </c>
      <c r="E3304" s="1" t="n">
        <v>46319</v>
      </c>
      <c r="F3304" t="inlineStr">
        <is>
          <t>DALARNAS LÄN</t>
        </is>
      </c>
      <c r="G3304" t="inlineStr">
        <is>
          <t>FALUN</t>
        </is>
      </c>
      <c r="I3304" t="n">
        <v>1.1</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47825-2023</t>
        </is>
      </c>
      <c r="B3305" t="inlineStr">
        <is>
          <t>avverkningsanmälan</t>
        </is>
      </c>
      <c r="C3305" t="inlineStr">
        <is>
          <t>Föryngringsavverkning</t>
        </is>
      </c>
      <c r="D3305" s="1" t="n">
        <v>45204</v>
      </c>
      <c r="E3305" s="1" t="n">
        <v>46319</v>
      </c>
      <c r="F3305" t="inlineStr">
        <is>
          <t>DALARNAS LÄN</t>
        </is>
      </c>
      <c r="G3305" t="inlineStr">
        <is>
          <t>RÄTTVIK</t>
        </is>
      </c>
      <c r="I3305" t="n">
        <v>0.7</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55392-2022</t>
        </is>
      </c>
      <c r="B3306" t="inlineStr">
        <is>
          <t>avverkningsanmälan</t>
        </is>
      </c>
      <c r="C3306" t="inlineStr">
        <is>
          <t>Föryngringsavverkning</t>
        </is>
      </c>
      <c r="D3306" s="1" t="n">
        <v>44887</v>
      </c>
      <c r="E3306" s="1" t="n">
        <v>46319</v>
      </c>
      <c r="F3306" t="inlineStr">
        <is>
          <t>DALARNAS LÄN</t>
        </is>
      </c>
      <c r="G3306" t="inlineStr">
        <is>
          <t>GAGNEF</t>
        </is>
      </c>
      <c r="I3306" t="n">
        <v>0.4</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1897-2023</t>
        </is>
      </c>
      <c r="B3307" t="inlineStr">
        <is>
          <t>avverkningsanmälan</t>
        </is>
      </c>
      <c r="C3307" t="inlineStr">
        <is>
          <t>Föryngringsavverkning</t>
        </is>
      </c>
      <c r="D3307" s="1" t="n">
        <v>44937</v>
      </c>
      <c r="E3307" s="1" t="n">
        <v>46319</v>
      </c>
      <c r="F3307" t="inlineStr">
        <is>
          <t>DALARNAS LÄN</t>
        </is>
      </c>
      <c r="G3307" t="inlineStr">
        <is>
          <t>MORA</t>
        </is>
      </c>
      <c r="I3307" t="n">
        <v>0.8</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16834-2024</t>
        </is>
      </c>
      <c r="B3308" t="inlineStr">
        <is>
          <t>avverkningsanmälan</t>
        </is>
      </c>
      <c r="C3308" t="inlineStr">
        <is>
          <t>Föryngringsavverkning</t>
        </is>
      </c>
      <c r="D3308" s="1" t="n">
        <v>45411</v>
      </c>
      <c r="E3308" s="1" t="n">
        <v>46319</v>
      </c>
      <c r="F3308" t="inlineStr">
        <is>
          <t>DALARNAS LÄN</t>
        </is>
      </c>
      <c r="G3308" t="inlineStr">
        <is>
          <t>SÄTER</t>
        </is>
      </c>
      <c r="I3308" t="n">
        <v>3.3</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26657-2026</t>
        </is>
      </c>
      <c r="B3309" t="inlineStr">
        <is>
          <t>avverkningsanmälan</t>
        </is>
      </c>
      <c r="C3309" t="inlineStr">
        <is>
          <t>Föryngringsavverkning</t>
        </is>
      </c>
      <c r="D3309" s="1" t="n">
        <v>46184</v>
      </c>
      <c r="E3309" s="1" t="n">
        <v>46319</v>
      </c>
      <c r="F3309" t="inlineStr">
        <is>
          <t>DALARNAS LÄN</t>
        </is>
      </c>
      <c r="G3309" t="inlineStr">
        <is>
          <t>SMEDJEBACKEN</t>
        </is>
      </c>
      <c r="H3309" t="inlineStr">
        <is>
          <t>Sveaskog</t>
        </is>
      </c>
      <c r="I3309" t="n">
        <v>3.8</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52464-2025</t>
        </is>
      </c>
      <c r="B3310" t="inlineStr">
        <is>
          <t>avverkningsanmälan</t>
        </is>
      </c>
      <c r="C3310" t="inlineStr">
        <is>
          <t>Föryngringsavverkning</t>
        </is>
      </c>
      <c r="D3310" s="1" t="n">
        <v>45954</v>
      </c>
      <c r="E3310" s="1" t="n">
        <v>46319</v>
      </c>
      <c r="F3310" t="inlineStr">
        <is>
          <t>DALARNAS LÄN</t>
        </is>
      </c>
      <c r="G3310" t="inlineStr">
        <is>
          <t>BORLÄNGE</t>
        </is>
      </c>
      <c r="I3310" t="n">
        <v>0.6</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21480-2026</t>
        </is>
      </c>
      <c r="B3311" t="inlineStr">
        <is>
          <t>avverkningsanmälan</t>
        </is>
      </c>
      <c r="C3311" t="inlineStr">
        <is>
          <t>Föryngringsavverkning</t>
        </is>
      </c>
      <c r="D3311" s="1" t="n">
        <v>46148</v>
      </c>
      <c r="E3311" s="1" t="n">
        <v>46319</v>
      </c>
      <c r="F3311" t="inlineStr">
        <is>
          <t>DALARNAS LÄN</t>
        </is>
      </c>
      <c r="G3311" t="inlineStr">
        <is>
          <t>MORA</t>
        </is>
      </c>
      <c r="I3311" t="n">
        <v>12.8</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21584-2026</t>
        </is>
      </c>
      <c r="B3312" t="inlineStr">
        <is>
          <t>avverkningsanmälan</t>
        </is>
      </c>
      <c r="C3312" t="inlineStr">
        <is>
          <t>Föryngringsavverkning</t>
        </is>
      </c>
      <c r="D3312" s="1" t="n">
        <v>46149</v>
      </c>
      <c r="E3312" s="1" t="n">
        <v>46319</v>
      </c>
      <c r="F3312" t="inlineStr">
        <is>
          <t>DALARNAS LÄN</t>
        </is>
      </c>
      <c r="G3312" t="inlineStr">
        <is>
          <t>FALUN</t>
        </is>
      </c>
      <c r="H3312" t="inlineStr">
        <is>
          <t>Bergvik skog väst AB</t>
        </is>
      </c>
      <c r="I3312" t="n">
        <v>8.699999999999999</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14089-2022</t>
        </is>
      </c>
      <c r="B3313" t="inlineStr">
        <is>
          <t>avverkningsanmälan</t>
        </is>
      </c>
      <c r="C3313" t="inlineStr">
        <is>
          <t>Avverkning för annat ändamål</t>
        </is>
      </c>
      <c r="D3313" s="1" t="n">
        <v>44651</v>
      </c>
      <c r="E3313" s="1" t="n">
        <v>46319</v>
      </c>
      <c r="F3313" t="inlineStr">
        <is>
          <t>DALARNAS LÄN</t>
        </is>
      </c>
      <c r="G3313" t="inlineStr">
        <is>
          <t>ÄLVDALEN</t>
        </is>
      </c>
      <c r="H3313" t="inlineStr">
        <is>
          <t>Kommuner</t>
        </is>
      </c>
      <c r="I3313" t="n">
        <v>2.1</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13009-2025</t>
        </is>
      </c>
      <c r="B3314" t="inlineStr">
        <is>
          <t>avverkningsanmälan</t>
        </is>
      </c>
      <c r="C3314" t="inlineStr">
        <is>
          <t>Föryngringsavverkning</t>
        </is>
      </c>
      <c r="D3314" s="1" t="n">
        <v>45734</v>
      </c>
      <c r="E3314" s="1" t="n">
        <v>46319</v>
      </c>
      <c r="F3314" t="inlineStr">
        <is>
          <t>DALARNAS LÄN</t>
        </is>
      </c>
      <c r="G3314" t="inlineStr">
        <is>
          <t>AVESTA</t>
        </is>
      </c>
      <c r="I3314" t="n">
        <v>1.2</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52136-2025</t>
        </is>
      </c>
      <c r="B3315" t="inlineStr">
        <is>
          <t>avverkningsanmälan</t>
        </is>
      </c>
      <c r="C3315" t="inlineStr">
        <is>
          <t>Föryngringsavverkning</t>
        </is>
      </c>
      <c r="D3315" s="1" t="n">
        <v>45952</v>
      </c>
      <c r="E3315" s="1" t="n">
        <v>46319</v>
      </c>
      <c r="F3315" t="inlineStr">
        <is>
          <t>DALARNAS LÄN</t>
        </is>
      </c>
      <c r="G3315" t="inlineStr">
        <is>
          <t>GAGNEF</t>
        </is>
      </c>
      <c r="I3315" t="n">
        <v>5.8</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29114-2024</t>
        </is>
      </c>
      <c r="B3316" t="inlineStr">
        <is>
          <t>avverkningsanmälan</t>
        </is>
      </c>
      <c r="C3316" t="inlineStr">
        <is>
          <t>Föryngringsavverkning</t>
        </is>
      </c>
      <c r="D3316" s="1" t="n">
        <v>45481</v>
      </c>
      <c r="E3316" s="1" t="n">
        <v>46319</v>
      </c>
      <c r="F3316" t="inlineStr">
        <is>
          <t>DALARNAS LÄN</t>
        </is>
      </c>
      <c r="G3316" t="inlineStr">
        <is>
          <t>LUDVIKA</t>
        </is>
      </c>
      <c r="I3316" t="n">
        <v>1</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20549-2025</t>
        </is>
      </c>
      <c r="B3317" t="inlineStr">
        <is>
          <t>avverkningsanmälan</t>
        </is>
      </c>
      <c r="C3317" t="inlineStr">
        <is>
          <t>Föryngringsavverkning</t>
        </is>
      </c>
      <c r="D3317" s="1" t="n">
        <v>45775</v>
      </c>
      <c r="E3317" s="1" t="n">
        <v>46319</v>
      </c>
      <c r="F3317" t="inlineStr">
        <is>
          <t>DALARNAS LÄN</t>
        </is>
      </c>
      <c r="G3317" t="inlineStr">
        <is>
          <t>MORA</t>
        </is>
      </c>
      <c r="I3317" t="n">
        <v>1.6</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56544-2023</t>
        </is>
      </c>
      <c r="B3318" t="inlineStr">
        <is>
          <t>avverkningsanmälan</t>
        </is>
      </c>
      <c r="C3318" t="inlineStr">
        <is>
          <t>Föryngringsavverkning</t>
        </is>
      </c>
      <c r="D3318" s="1" t="n">
        <v>45243</v>
      </c>
      <c r="E3318" s="1" t="n">
        <v>46319</v>
      </c>
      <c r="F3318" t="inlineStr">
        <is>
          <t>DALARNAS LÄN</t>
        </is>
      </c>
      <c r="G3318" t="inlineStr">
        <is>
          <t>RÄTTVIK</t>
        </is>
      </c>
      <c r="I3318" t="n">
        <v>0.6</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26546-2026</t>
        </is>
      </c>
      <c r="B3319" t="inlineStr">
        <is>
          <t>avverkningsanmälan</t>
        </is>
      </c>
      <c r="C3319" t="inlineStr">
        <is>
          <t>Föryngringsavverkning</t>
        </is>
      </c>
      <c r="D3319" s="1" t="n">
        <v>46183</v>
      </c>
      <c r="E3319" s="1" t="n">
        <v>46319</v>
      </c>
      <c r="F3319" t="inlineStr">
        <is>
          <t>DALARNAS LÄN</t>
        </is>
      </c>
      <c r="G3319" t="inlineStr">
        <is>
          <t>FALUN</t>
        </is>
      </c>
      <c r="H3319" t="inlineStr">
        <is>
          <t>Bergvik skog väst AB</t>
        </is>
      </c>
      <c r="I3319" t="n">
        <v>5.2</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34738-2023</t>
        </is>
      </c>
      <c r="B3320" t="inlineStr">
        <is>
          <t>avverkningsanmälan</t>
        </is>
      </c>
      <c r="C3320" t="inlineStr">
        <is>
          <t>Föryngringsavverkning</t>
        </is>
      </c>
      <c r="D3320" s="1" t="n">
        <v>45141</v>
      </c>
      <c r="E3320" s="1" t="n">
        <v>46319</v>
      </c>
      <c r="F3320" t="inlineStr">
        <is>
          <t>DALARNAS LÄN</t>
        </is>
      </c>
      <c r="G3320" t="inlineStr">
        <is>
          <t>VANSBRO</t>
        </is>
      </c>
      <c r="H3320" t="inlineStr">
        <is>
          <t>Bergvik skog väst AB</t>
        </is>
      </c>
      <c r="I3320" t="n">
        <v>3.5</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45214-2025</t>
        </is>
      </c>
      <c r="B3321" t="inlineStr">
        <is>
          <t>avverkningsanmälan</t>
        </is>
      </c>
      <c r="C3321" t="inlineStr">
        <is>
          <t>Föryngringsavverkning</t>
        </is>
      </c>
      <c r="D3321" s="1" t="n">
        <v>45919</v>
      </c>
      <c r="E3321" s="1" t="n">
        <v>46319</v>
      </c>
      <c r="F3321" t="inlineStr">
        <is>
          <t>DALARNAS LÄN</t>
        </is>
      </c>
      <c r="G3321" t="inlineStr">
        <is>
          <t>SMEDJEBACKEN</t>
        </is>
      </c>
      <c r="I3321" t="n">
        <v>0.5</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52969-2025</t>
        </is>
      </c>
      <c r="B3322" t="inlineStr">
        <is>
          <t>avverkningsanmälan</t>
        </is>
      </c>
      <c r="C3322" t="inlineStr">
        <is>
          <t>Föryngringsavverkning</t>
        </is>
      </c>
      <c r="D3322" s="1" t="n">
        <v>45957</v>
      </c>
      <c r="E3322" s="1" t="n">
        <v>46319</v>
      </c>
      <c r="F3322" t="inlineStr">
        <is>
          <t>DALARNAS LÄN</t>
        </is>
      </c>
      <c r="G3322" t="inlineStr">
        <is>
          <t>MALUNG-SÄLEN</t>
        </is>
      </c>
      <c r="H3322" t="inlineStr">
        <is>
          <t>Bergvik skog väst AB</t>
        </is>
      </c>
      <c r="I3322" t="n">
        <v>8.6</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52983-2025</t>
        </is>
      </c>
      <c r="B3323" t="inlineStr">
        <is>
          <t>avverkningsanmälan</t>
        </is>
      </c>
      <c r="C3323" t="inlineStr">
        <is>
          <t>Föryngringsavverkning</t>
        </is>
      </c>
      <c r="D3323" s="1" t="n">
        <v>45957</v>
      </c>
      <c r="E3323" s="1" t="n">
        <v>46319</v>
      </c>
      <c r="F3323" t="inlineStr">
        <is>
          <t>DALARNAS LÄN</t>
        </is>
      </c>
      <c r="G3323" t="inlineStr">
        <is>
          <t>MALUNG-SÄLEN</t>
        </is>
      </c>
      <c r="H3323" t="inlineStr">
        <is>
          <t>Bergvik skog väst AB</t>
        </is>
      </c>
      <c r="I3323" t="n">
        <v>8.5</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40382-2023</t>
        </is>
      </c>
      <c r="B3324" t="inlineStr">
        <is>
          <t>avverkningsanmälan</t>
        </is>
      </c>
      <c r="C3324" t="inlineStr">
        <is>
          <t>Föryngringsavverkning</t>
        </is>
      </c>
      <c r="D3324" s="1" t="n">
        <v>45169</v>
      </c>
      <c r="E3324" s="1" t="n">
        <v>46319</v>
      </c>
      <c r="F3324" t="inlineStr">
        <is>
          <t>DALARNAS LÄN</t>
        </is>
      </c>
      <c r="G3324" t="inlineStr">
        <is>
          <t>VANSBRO</t>
        </is>
      </c>
      <c r="I3324" t="n">
        <v>2.9</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26659-2026</t>
        </is>
      </c>
      <c r="B3325" t="inlineStr">
        <is>
          <t>avverkningsanmälan</t>
        </is>
      </c>
      <c r="C3325" t="inlineStr">
        <is>
          <t>Föryngringsavverkning</t>
        </is>
      </c>
      <c r="D3325" s="1" t="n">
        <v>46184</v>
      </c>
      <c r="E3325" s="1" t="n">
        <v>46319</v>
      </c>
      <c r="F3325" t="inlineStr">
        <is>
          <t>DALARNAS LÄN</t>
        </is>
      </c>
      <c r="G3325" t="inlineStr">
        <is>
          <t>SMEDJEBACKEN</t>
        </is>
      </c>
      <c r="H3325" t="inlineStr">
        <is>
          <t>Sveaskog</t>
        </is>
      </c>
      <c r="I3325" t="n">
        <v>4.2</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32277-2024</t>
        </is>
      </c>
      <c r="B3326" t="inlineStr">
        <is>
          <t>avverkningsanmälan</t>
        </is>
      </c>
      <c r="C3326" t="inlineStr">
        <is>
          <t>Föryngringsavverkning</t>
        </is>
      </c>
      <c r="D3326" s="1" t="n">
        <v>45512</v>
      </c>
      <c r="E3326" s="1" t="n">
        <v>46319</v>
      </c>
      <c r="F3326" t="inlineStr">
        <is>
          <t>DALARNAS LÄN</t>
        </is>
      </c>
      <c r="G3326" t="inlineStr">
        <is>
          <t>LUDVIKA</t>
        </is>
      </c>
      <c r="H3326" t="inlineStr">
        <is>
          <t>Bergvik skog väst AB</t>
        </is>
      </c>
      <c r="I3326" t="n">
        <v>0.7</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52671-2025</t>
        </is>
      </c>
      <c r="B3327" t="inlineStr">
        <is>
          <t>avverkningsanmälan</t>
        </is>
      </c>
      <c r="C3327" t="inlineStr">
        <is>
          <t>Föryngringsavverkning</t>
        </is>
      </c>
      <c r="D3327" s="1" t="n">
        <v>45955</v>
      </c>
      <c r="E3327" s="1" t="n">
        <v>46319</v>
      </c>
      <c r="F3327" t="inlineStr">
        <is>
          <t>DALARNAS LÄN</t>
        </is>
      </c>
      <c r="G3327" t="inlineStr">
        <is>
          <t>LEKSAND</t>
        </is>
      </c>
      <c r="I3327" t="n">
        <v>0.8</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52738-2025</t>
        </is>
      </c>
      <c r="B3328" t="inlineStr">
        <is>
          <t>avverkningsanmälan</t>
        </is>
      </c>
      <c r="C3328" t="inlineStr">
        <is>
          <t>Föryngringsavverkning</t>
        </is>
      </c>
      <c r="D3328" s="1" t="n">
        <v>45957</v>
      </c>
      <c r="E3328" s="1" t="n">
        <v>46319</v>
      </c>
      <c r="F3328" t="inlineStr">
        <is>
          <t>DALARNAS LÄN</t>
        </is>
      </c>
      <c r="G3328" t="inlineStr">
        <is>
          <t>GAGNEF</t>
        </is>
      </c>
      <c r="I3328" t="n">
        <v>2</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52752-2025</t>
        </is>
      </c>
      <c r="B3329" t="inlineStr">
        <is>
          <t>avverkningsanmälan</t>
        </is>
      </c>
      <c r="C3329" t="inlineStr">
        <is>
          <t>Föryngringsavverkning</t>
        </is>
      </c>
      <c r="D3329" s="1" t="n">
        <v>45957</v>
      </c>
      <c r="E3329" s="1" t="n">
        <v>46319</v>
      </c>
      <c r="F3329" t="inlineStr">
        <is>
          <t>DALARNAS LÄN</t>
        </is>
      </c>
      <c r="G3329" t="inlineStr">
        <is>
          <t>FALUN</t>
        </is>
      </c>
      <c r="I3329" t="n">
        <v>5</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26201-2026</t>
        </is>
      </c>
      <c r="B3330" t="inlineStr">
        <is>
          <t>avverkningsanmälan</t>
        </is>
      </c>
      <c r="C3330" t="inlineStr">
        <is>
          <t>Föryngringsavverkning</t>
        </is>
      </c>
      <c r="D3330" s="1" t="n">
        <v>46182</v>
      </c>
      <c r="E3330" s="1" t="n">
        <v>46319</v>
      </c>
      <c r="F3330" t="inlineStr">
        <is>
          <t>DALARNAS LÄN</t>
        </is>
      </c>
      <c r="G3330" t="inlineStr">
        <is>
          <t>ORSA</t>
        </is>
      </c>
      <c r="I3330" t="n">
        <v>3.4</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8524-2023</t>
        </is>
      </c>
      <c r="B3331" t="inlineStr">
        <is>
          <t>avverkningsanmälan</t>
        </is>
      </c>
      <c r="C3331" t="inlineStr">
        <is>
          <t>Föryngringsavverkning</t>
        </is>
      </c>
      <c r="D3331" s="1" t="n">
        <v>44972</v>
      </c>
      <c r="E3331" s="1" t="n">
        <v>46319</v>
      </c>
      <c r="F3331" t="inlineStr">
        <is>
          <t>DALARNAS LÄN</t>
        </is>
      </c>
      <c r="G3331" t="inlineStr">
        <is>
          <t>AVESTA</t>
        </is>
      </c>
      <c r="I3331" t="n">
        <v>1</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52470-2025</t>
        </is>
      </c>
      <c r="B3332" t="inlineStr">
        <is>
          <t>avverkningsanmälan</t>
        </is>
      </c>
      <c r="C3332" t="inlineStr">
        <is>
          <t>Föryngringsavverkning</t>
        </is>
      </c>
      <c r="D3332" s="1" t="n">
        <v>45954</v>
      </c>
      <c r="E3332" s="1" t="n">
        <v>46319</v>
      </c>
      <c r="F3332" t="inlineStr">
        <is>
          <t>DALARNAS LÄN</t>
        </is>
      </c>
      <c r="G3332" t="inlineStr">
        <is>
          <t>AVESTA</t>
        </is>
      </c>
      <c r="I3332" t="n">
        <v>1.5</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19193-2025</t>
        </is>
      </c>
      <c r="B3333" t="inlineStr">
        <is>
          <t>avverkningsanmälan</t>
        </is>
      </c>
      <c r="C3333" t="inlineStr">
        <is>
          <t>Föryngringsavverkning</t>
        </is>
      </c>
      <c r="D3333" s="1" t="n">
        <v>45769</v>
      </c>
      <c r="E3333" s="1" t="n">
        <v>46319</v>
      </c>
      <c r="F3333" t="inlineStr">
        <is>
          <t>DALARNAS LÄN</t>
        </is>
      </c>
      <c r="G3333" t="inlineStr">
        <is>
          <t>MORA</t>
        </is>
      </c>
      <c r="H3333" t="inlineStr">
        <is>
          <t>Bergvik skog öst AB</t>
        </is>
      </c>
      <c r="I3333" t="n">
        <v>1</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478-2024</t>
        </is>
      </c>
      <c r="B3334" t="inlineStr">
        <is>
          <t>avverkningsanmälan</t>
        </is>
      </c>
      <c r="C3334" t="inlineStr">
        <is>
          <t>Föryngringsavverkning</t>
        </is>
      </c>
      <c r="D3334" s="1" t="n">
        <v>45297</v>
      </c>
      <c r="E3334" s="1" t="n">
        <v>46319</v>
      </c>
      <c r="F3334" t="inlineStr">
        <is>
          <t>DALARNAS LÄN</t>
        </is>
      </c>
      <c r="G3334" t="inlineStr">
        <is>
          <t>LUDVIKA</t>
        </is>
      </c>
      <c r="I3334" t="n">
        <v>3.2</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17702-2026</t>
        </is>
      </c>
      <c r="B3335" t="inlineStr">
        <is>
          <t>avverkningsanmälan</t>
        </is>
      </c>
      <c r="C3335" t="inlineStr">
        <is>
          <t>Föryngringsavverkning</t>
        </is>
      </c>
      <c r="D3335" s="1" t="n">
        <v>46121</v>
      </c>
      <c r="E3335" s="1" t="n">
        <v>46319</v>
      </c>
      <c r="F3335" t="inlineStr">
        <is>
          <t>DALARNAS LÄN</t>
        </is>
      </c>
      <c r="G3335" t="inlineStr">
        <is>
          <t>RÄTTVIK</t>
        </is>
      </c>
      <c r="I3335" t="n">
        <v>2.2</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21116-2026</t>
        </is>
      </c>
      <c r="B3336" t="inlineStr">
        <is>
          <t>avverkningsanmälan</t>
        </is>
      </c>
      <c r="C3336" t="inlineStr">
        <is>
          <t>Föryngringsavverkning</t>
        </is>
      </c>
      <c r="D3336" s="1" t="n">
        <v>46146</v>
      </c>
      <c r="E3336" s="1" t="n">
        <v>46319</v>
      </c>
      <c r="F3336" t="inlineStr">
        <is>
          <t>DALARNAS LÄN</t>
        </is>
      </c>
      <c r="G3336" t="inlineStr">
        <is>
          <t>FALUN</t>
        </is>
      </c>
      <c r="I3336" t="n">
        <v>2.3</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40383-2023</t>
        </is>
      </c>
      <c r="B3337" t="inlineStr">
        <is>
          <t>avverkningsanmälan</t>
        </is>
      </c>
      <c r="C3337" t="inlineStr">
        <is>
          <t>Föryngringsavverkning</t>
        </is>
      </c>
      <c r="D3337" s="1" t="n">
        <v>45169</v>
      </c>
      <c r="E3337" s="1" t="n">
        <v>46319</v>
      </c>
      <c r="F3337" t="inlineStr">
        <is>
          <t>DALARNAS LÄN</t>
        </is>
      </c>
      <c r="G3337" t="inlineStr">
        <is>
          <t>VANSBRO</t>
        </is>
      </c>
      <c r="I3337" t="n">
        <v>3.6</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52907-2025</t>
        </is>
      </c>
      <c r="B3338" t="inlineStr">
        <is>
          <t>avverkningsanmälan</t>
        </is>
      </c>
      <c r="C3338" t="inlineStr">
        <is>
          <t>Avverkning för annat ändamål</t>
        </is>
      </c>
      <c r="D3338" s="1" t="n">
        <v>45957</v>
      </c>
      <c r="E3338" s="1" t="n">
        <v>46319</v>
      </c>
      <c r="F3338" t="inlineStr">
        <is>
          <t>DALARNAS LÄN</t>
        </is>
      </c>
      <c r="G3338" t="inlineStr">
        <is>
          <t>MALUNG-SÄLEN</t>
        </is>
      </c>
      <c r="H3338" t="inlineStr">
        <is>
          <t>Bergvik skog väst AB</t>
        </is>
      </c>
      <c r="I3338" t="n">
        <v>1.4</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26828-2026</t>
        </is>
      </c>
      <c r="B3339" t="inlineStr">
        <is>
          <t>avverkningsanmälan</t>
        </is>
      </c>
      <c r="C3339" t="inlineStr">
        <is>
          <t>Föryngringsavverkning</t>
        </is>
      </c>
      <c r="D3339" s="1" t="n">
        <v>46185</v>
      </c>
      <c r="E3339" s="1" t="n">
        <v>46319</v>
      </c>
      <c r="F3339" t="inlineStr">
        <is>
          <t>DALARNAS LÄN</t>
        </is>
      </c>
      <c r="G3339" t="inlineStr">
        <is>
          <t>FALUN</t>
        </is>
      </c>
      <c r="I3339" t="n">
        <v>0.8</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26832-2026</t>
        </is>
      </c>
      <c r="B3340" t="inlineStr">
        <is>
          <t>avverkningsanmälan</t>
        </is>
      </c>
      <c r="C3340" t="inlineStr">
        <is>
          <t>Föryngringsavverkning</t>
        </is>
      </c>
      <c r="D3340" s="1" t="n">
        <v>46185</v>
      </c>
      <c r="E3340" s="1" t="n">
        <v>46319</v>
      </c>
      <c r="F3340" t="inlineStr">
        <is>
          <t>DALARNAS LÄN</t>
        </is>
      </c>
      <c r="G3340" t="inlineStr">
        <is>
          <t>FALUN</t>
        </is>
      </c>
      <c r="I3340" t="n">
        <v>0.6</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63842-2023</t>
        </is>
      </c>
      <c r="B3341" t="inlineStr">
        <is>
          <t>avverkningsanmälan</t>
        </is>
      </c>
      <c r="C3341" t="inlineStr">
        <is>
          <t>Föryngringsavverkning</t>
        </is>
      </c>
      <c r="D3341" s="1" t="n">
        <v>45278</v>
      </c>
      <c r="E3341" s="1" t="n">
        <v>46319</v>
      </c>
      <c r="F3341" t="inlineStr">
        <is>
          <t>DALARNAS LÄN</t>
        </is>
      </c>
      <c r="G3341" t="inlineStr">
        <is>
          <t>FALUN</t>
        </is>
      </c>
      <c r="I3341" t="n">
        <v>1.2</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35941-2023</t>
        </is>
      </c>
      <c r="B3342" t="inlineStr">
        <is>
          <t>avverkningsanmälan</t>
        </is>
      </c>
      <c r="C3342" t="inlineStr">
        <is>
          <t>Avverkning för annat ändamål</t>
        </is>
      </c>
      <c r="D3342" s="1" t="n">
        <v>45148</v>
      </c>
      <c r="E3342" s="1" t="n">
        <v>46319</v>
      </c>
      <c r="F3342" t="inlineStr">
        <is>
          <t>DALARNAS LÄN</t>
        </is>
      </c>
      <c r="G3342" t="inlineStr">
        <is>
          <t>FALUN</t>
        </is>
      </c>
      <c r="I3342" t="n">
        <v>0.2</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326-2024</t>
        </is>
      </c>
      <c r="B3343" t="inlineStr">
        <is>
          <t>avverkningsanmälan</t>
        </is>
      </c>
      <c r="C3343" t="inlineStr">
        <is>
          <t>Föryngringsavverkning</t>
        </is>
      </c>
      <c r="D3343" s="1" t="n">
        <v>45295</v>
      </c>
      <c r="E3343" s="1" t="n">
        <v>46319</v>
      </c>
      <c r="F3343" t="inlineStr">
        <is>
          <t>DALARNAS LÄN</t>
        </is>
      </c>
      <c r="G3343" t="inlineStr">
        <is>
          <t>GAGNEF</t>
        </is>
      </c>
      <c r="I3343" t="n">
        <v>9.4</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26774-2026</t>
        </is>
      </c>
      <c r="B3344" t="inlineStr">
        <is>
          <t>avverkningsanmälan</t>
        </is>
      </c>
      <c r="C3344" t="inlineStr">
        <is>
          <t>Föryngringsavverkning</t>
        </is>
      </c>
      <c r="D3344" s="1" t="n">
        <v>46184</v>
      </c>
      <c r="E3344" s="1" t="n">
        <v>46319</v>
      </c>
      <c r="F3344" t="inlineStr">
        <is>
          <t>DALARNAS LÄN</t>
        </is>
      </c>
      <c r="G3344" t="inlineStr">
        <is>
          <t>MORA</t>
        </is>
      </c>
      <c r="H3344" t="inlineStr">
        <is>
          <t>Bergvik skog öst AB</t>
        </is>
      </c>
      <c r="I3344" t="n">
        <v>0.7</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53162-2025</t>
        </is>
      </c>
      <c r="B3345" t="inlineStr">
        <is>
          <t>avverkningsanmälan</t>
        </is>
      </c>
      <c r="C3345" t="inlineStr">
        <is>
          <t>Föryngringsavverkning</t>
        </is>
      </c>
      <c r="D3345" s="1" t="n">
        <v>45958</v>
      </c>
      <c r="E3345" s="1" t="n">
        <v>46319</v>
      </c>
      <c r="F3345" t="inlineStr">
        <is>
          <t>DALARNAS LÄN</t>
        </is>
      </c>
      <c r="G3345" t="inlineStr">
        <is>
          <t>BORLÄNGE</t>
        </is>
      </c>
      <c r="I3345" t="n">
        <v>0.8</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53285-2025</t>
        </is>
      </c>
      <c r="B3346" t="inlineStr">
        <is>
          <t>avverkningsanmälan</t>
        </is>
      </c>
      <c r="C3346" t="inlineStr">
        <is>
          <t>Föryngringsavverkning</t>
        </is>
      </c>
      <c r="D3346" s="1" t="n">
        <v>45958</v>
      </c>
      <c r="E3346" s="1" t="n">
        <v>46319</v>
      </c>
      <c r="F3346" t="inlineStr">
        <is>
          <t>DALARNAS LÄN</t>
        </is>
      </c>
      <c r="G3346" t="inlineStr">
        <is>
          <t>SMEDJEBACKEN</t>
        </is>
      </c>
      <c r="H3346" t="inlineStr">
        <is>
          <t>Bergvik skog väst AB</t>
        </is>
      </c>
      <c r="I3346" t="n">
        <v>4.6</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46825-2024</t>
        </is>
      </c>
      <c r="B3347" t="inlineStr">
        <is>
          <t>avverkningsanmälan</t>
        </is>
      </c>
      <c r="C3347" t="inlineStr">
        <is>
          <t>Föryngringsavverkning</t>
        </is>
      </c>
      <c r="D3347" s="1" t="n">
        <v>45583</v>
      </c>
      <c r="E3347" s="1" t="n">
        <v>46319</v>
      </c>
      <c r="F3347" t="inlineStr">
        <is>
          <t>DALARNAS LÄN</t>
        </is>
      </c>
      <c r="G3347" t="inlineStr">
        <is>
          <t>HEDEMORA</t>
        </is>
      </c>
      <c r="I3347" t="n">
        <v>1.1</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52724-2025</t>
        </is>
      </c>
      <c r="B3348" t="inlineStr">
        <is>
          <t>avverkningsanmälan</t>
        </is>
      </c>
      <c r="C3348" t="inlineStr">
        <is>
          <t>Föryngringsavverkning</t>
        </is>
      </c>
      <c r="D3348" s="1" t="n">
        <v>45957</v>
      </c>
      <c r="E3348" s="1" t="n">
        <v>46319</v>
      </c>
      <c r="F3348" t="inlineStr">
        <is>
          <t>DALARNAS LÄN</t>
        </is>
      </c>
      <c r="G3348" t="inlineStr">
        <is>
          <t>LUDVIKA</t>
        </is>
      </c>
      <c r="H3348" t="inlineStr">
        <is>
          <t>Bergvik skog väst AB</t>
        </is>
      </c>
      <c r="I3348" t="n">
        <v>3.1</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53226-2025</t>
        </is>
      </c>
      <c r="B3349" t="inlineStr">
        <is>
          <t>avverkningsanmälan</t>
        </is>
      </c>
      <c r="C3349" t="inlineStr">
        <is>
          <t>Föryngringsavverkning</t>
        </is>
      </c>
      <c r="D3349" s="1" t="n">
        <v>45957</v>
      </c>
      <c r="E3349" s="1" t="n">
        <v>46319</v>
      </c>
      <c r="F3349" t="inlineStr">
        <is>
          <t>DALARNAS LÄN</t>
        </is>
      </c>
      <c r="G3349" t="inlineStr">
        <is>
          <t>RÄTTVIK</t>
        </is>
      </c>
      <c r="I3349" t="n">
        <v>3.9</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53231-2025</t>
        </is>
      </c>
      <c r="B3350" t="inlineStr">
        <is>
          <t>avverkningsanmälan</t>
        </is>
      </c>
      <c r="C3350" t="inlineStr">
        <is>
          <t>Föryngringsavverkning</t>
        </is>
      </c>
      <c r="D3350" s="1" t="n">
        <v>45957</v>
      </c>
      <c r="E3350" s="1" t="n">
        <v>46319</v>
      </c>
      <c r="F3350" t="inlineStr">
        <is>
          <t>DALARNAS LÄN</t>
        </is>
      </c>
      <c r="G3350" t="inlineStr">
        <is>
          <t>RÄTTVIK</t>
        </is>
      </c>
      <c r="I3350" t="n">
        <v>1</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53064-2025</t>
        </is>
      </c>
      <c r="B3351" t="inlineStr">
        <is>
          <t>avverkningsanmälan</t>
        </is>
      </c>
      <c r="C3351" t="inlineStr">
        <is>
          <t>Föryngringsavverkning</t>
        </is>
      </c>
      <c r="D3351" s="1" t="n">
        <v>45958</v>
      </c>
      <c r="E3351" s="1" t="n">
        <v>46319</v>
      </c>
      <c r="F3351" t="inlineStr">
        <is>
          <t>DALARNAS LÄN</t>
        </is>
      </c>
      <c r="G3351" t="inlineStr">
        <is>
          <t>RÄTTVIK</t>
        </is>
      </c>
      <c r="I3351" t="n">
        <v>5.1</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56827-2024</t>
        </is>
      </c>
      <c r="B3352" t="inlineStr">
        <is>
          <t>avverkningsanmälan</t>
        </is>
      </c>
      <c r="C3352" t="inlineStr">
        <is>
          <t>Föryngringsavverkning</t>
        </is>
      </c>
      <c r="D3352" s="1" t="n">
        <v>45628</v>
      </c>
      <c r="E3352" s="1" t="n">
        <v>46319</v>
      </c>
      <c r="F3352" t="inlineStr">
        <is>
          <t>DALARNAS LÄN</t>
        </is>
      </c>
      <c r="G3352" t="inlineStr">
        <is>
          <t>SÄTER</t>
        </is>
      </c>
      <c r="I3352" t="n">
        <v>1.7</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52563-2025</t>
        </is>
      </c>
      <c r="B3353" t="inlineStr">
        <is>
          <t>avverkningsanmälan</t>
        </is>
      </c>
      <c r="C3353" t="inlineStr">
        <is>
          <t>Föryngringsavverkning</t>
        </is>
      </c>
      <c r="D3353" s="1" t="n">
        <v>45954</v>
      </c>
      <c r="E3353" s="1" t="n">
        <v>46319</v>
      </c>
      <c r="F3353" t="inlineStr">
        <is>
          <t>DALARNAS LÄN</t>
        </is>
      </c>
      <c r="G3353" t="inlineStr">
        <is>
          <t>BORLÄNGE</t>
        </is>
      </c>
      <c r="I3353" t="n">
        <v>4.2</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51015-2023</t>
        </is>
      </c>
      <c r="B3354" t="inlineStr">
        <is>
          <t>avverkningsanmälan</t>
        </is>
      </c>
      <c r="C3354" t="inlineStr">
        <is>
          <t>Föryngringsavverkning</t>
        </is>
      </c>
      <c r="D3354" s="1" t="n">
        <v>45218</v>
      </c>
      <c r="E3354" s="1" t="n">
        <v>46319</v>
      </c>
      <c r="F3354" t="inlineStr">
        <is>
          <t>DALARNAS LÄN</t>
        </is>
      </c>
      <c r="G3354" t="inlineStr">
        <is>
          <t>LUDVIKA</t>
        </is>
      </c>
      <c r="I3354" t="n">
        <v>5.9</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52673-2025</t>
        </is>
      </c>
      <c r="B3355" t="inlineStr">
        <is>
          <t>avverkningsanmälan</t>
        </is>
      </c>
      <c r="C3355" t="inlineStr">
        <is>
          <t>Föryngringsavverkning</t>
        </is>
      </c>
      <c r="D3355" s="1" t="n">
        <v>45956</v>
      </c>
      <c r="E3355" s="1" t="n">
        <v>46319</v>
      </c>
      <c r="F3355" t="inlineStr">
        <is>
          <t>DALARNAS LÄN</t>
        </is>
      </c>
      <c r="G3355" t="inlineStr">
        <is>
          <t>VANSBRO</t>
        </is>
      </c>
      <c r="H3355" t="inlineStr">
        <is>
          <t>Bergvik skog väst AB</t>
        </is>
      </c>
      <c r="I3355" t="n">
        <v>2.9</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55171-2025</t>
        </is>
      </c>
      <c r="B3356" t="inlineStr">
        <is>
          <t>avverkningsanmälan</t>
        </is>
      </c>
      <c r="C3356" t="inlineStr">
        <is>
          <t>Föryngringsavverkning</t>
        </is>
      </c>
      <c r="D3356" s="1" t="n">
        <v>45968</v>
      </c>
      <c r="E3356" s="1" t="n">
        <v>46319</v>
      </c>
      <c r="F3356" t="inlineStr">
        <is>
          <t>DALARNAS LÄN</t>
        </is>
      </c>
      <c r="G3356" t="inlineStr">
        <is>
          <t>RÄTTVIK</t>
        </is>
      </c>
      <c r="I3356" t="n">
        <v>1.9</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26965-2026</t>
        </is>
      </c>
      <c r="B3357" t="inlineStr">
        <is>
          <t>avverkningsanmälan</t>
        </is>
      </c>
      <c r="C3357" t="inlineStr">
        <is>
          <t>Föryngringsavverkning</t>
        </is>
      </c>
      <c r="D3357" s="1" t="n">
        <v>46185</v>
      </c>
      <c r="E3357" s="1" t="n">
        <v>46319</v>
      </c>
      <c r="F3357" t="inlineStr">
        <is>
          <t>DALARNAS LÄN</t>
        </is>
      </c>
      <c r="G3357" t="inlineStr">
        <is>
          <t>FALUN</t>
        </is>
      </c>
      <c r="I3357" t="n">
        <v>0.6</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63329-2023</t>
        </is>
      </c>
      <c r="B3358" t="inlineStr">
        <is>
          <t>avverkningsanmälan</t>
        </is>
      </c>
      <c r="C3358" t="inlineStr">
        <is>
          <t>Föryngringsavverkning</t>
        </is>
      </c>
      <c r="D3358" s="1" t="n">
        <v>45274</v>
      </c>
      <c r="E3358" s="1" t="n">
        <v>46319</v>
      </c>
      <c r="F3358" t="inlineStr">
        <is>
          <t>DALARNAS LÄN</t>
        </is>
      </c>
      <c r="G3358" t="inlineStr">
        <is>
          <t>ÄLVDALEN</t>
        </is>
      </c>
      <c r="I3358" t="n">
        <v>0.6</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52460-2025</t>
        </is>
      </c>
      <c r="B3359" t="inlineStr">
        <is>
          <t>avverkningsanmälan</t>
        </is>
      </c>
      <c r="C3359" t="inlineStr">
        <is>
          <t>Föryngringsavverkning</t>
        </is>
      </c>
      <c r="D3359" s="1" t="n">
        <v>45954</v>
      </c>
      <c r="E3359" s="1" t="n">
        <v>46319</v>
      </c>
      <c r="F3359" t="inlineStr">
        <is>
          <t>DALARNAS LÄN</t>
        </is>
      </c>
      <c r="G3359" t="inlineStr">
        <is>
          <t>FALUN</t>
        </is>
      </c>
      <c r="H3359" t="inlineStr">
        <is>
          <t>Bergvik skog väst AB</t>
        </is>
      </c>
      <c r="I3359" t="n">
        <v>6.1</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26827-2026</t>
        </is>
      </c>
      <c r="B3360" t="inlineStr">
        <is>
          <t>avverkningsanmälan</t>
        </is>
      </c>
      <c r="C3360" t="inlineStr">
        <is>
          <t>Föryngringsavverkning</t>
        </is>
      </c>
      <c r="D3360" s="1" t="n">
        <v>46185</v>
      </c>
      <c r="E3360" s="1" t="n">
        <v>46319</v>
      </c>
      <c r="F3360" t="inlineStr">
        <is>
          <t>DALARNAS LÄN</t>
        </is>
      </c>
      <c r="G3360" t="inlineStr">
        <is>
          <t>MORA</t>
        </is>
      </c>
      <c r="H3360" t="inlineStr">
        <is>
          <t>Bergvik skog öst AB</t>
        </is>
      </c>
      <c r="I3360" t="n">
        <v>2.9</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26923-2026</t>
        </is>
      </c>
      <c r="B3361" t="inlineStr">
        <is>
          <t>avverkningsanmälan</t>
        </is>
      </c>
      <c r="C3361" t="inlineStr">
        <is>
          <t>Föryngringsavverkning</t>
        </is>
      </c>
      <c r="D3361" s="1" t="n">
        <v>46185</v>
      </c>
      <c r="E3361" s="1" t="n">
        <v>46319</v>
      </c>
      <c r="F3361" t="inlineStr">
        <is>
          <t>DALARNAS LÄN</t>
        </is>
      </c>
      <c r="G3361" t="inlineStr">
        <is>
          <t>LEKSAND</t>
        </is>
      </c>
      <c r="H3361" t="inlineStr">
        <is>
          <t>Bergvik skog väst AB</t>
        </is>
      </c>
      <c r="I3361" t="n">
        <v>3.9</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52556-2025</t>
        </is>
      </c>
      <c r="B3362" t="inlineStr">
        <is>
          <t>avverkningsanmälan</t>
        </is>
      </c>
      <c r="C3362" t="inlineStr">
        <is>
          <t>Avverkning för annat ändamål</t>
        </is>
      </c>
      <c r="D3362" s="1" t="n">
        <v>45954</v>
      </c>
      <c r="E3362" s="1" t="n">
        <v>46319</v>
      </c>
      <c r="F3362" t="inlineStr">
        <is>
          <t>DALARNAS LÄN</t>
        </is>
      </c>
      <c r="G3362" t="inlineStr">
        <is>
          <t>LUDVIKA</t>
        </is>
      </c>
      <c r="I3362" t="n">
        <v>0.3</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30998-2023</t>
        </is>
      </c>
      <c r="B3363" t="inlineStr">
        <is>
          <t>avverkningsanmälan</t>
        </is>
      </c>
      <c r="C3363" t="inlineStr">
        <is>
          <t>Föryngringsavverkning</t>
        </is>
      </c>
      <c r="D3363" s="1" t="n">
        <v>45113</v>
      </c>
      <c r="E3363" s="1" t="n">
        <v>46319</v>
      </c>
      <c r="F3363" t="inlineStr">
        <is>
          <t>DALARNAS LÄN</t>
        </is>
      </c>
      <c r="G3363" t="inlineStr">
        <is>
          <t>LEKSAND</t>
        </is>
      </c>
      <c r="I3363" t="n">
        <v>0.5</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52702-2025</t>
        </is>
      </c>
      <c r="B3364" t="inlineStr">
        <is>
          <t>avverkningsanmälan</t>
        </is>
      </c>
      <c r="C3364" t="inlineStr">
        <is>
          <t>Föryngringsavverkning</t>
        </is>
      </c>
      <c r="D3364" s="1" t="n">
        <v>45956</v>
      </c>
      <c r="E3364" s="1" t="n">
        <v>46319</v>
      </c>
      <c r="F3364" t="inlineStr">
        <is>
          <t>DALARNAS LÄN</t>
        </is>
      </c>
      <c r="G3364" t="inlineStr">
        <is>
          <t>ORSA</t>
        </is>
      </c>
      <c r="I3364" t="n">
        <v>0.9</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26968-2026</t>
        </is>
      </c>
      <c r="B3365" t="inlineStr">
        <is>
          <t>avverkningsanmälan</t>
        </is>
      </c>
      <c r="C3365" t="inlineStr">
        <is>
          <t>Föryngringsavverkning</t>
        </is>
      </c>
      <c r="D3365" s="1" t="n">
        <v>46185</v>
      </c>
      <c r="E3365" s="1" t="n">
        <v>46319</v>
      </c>
      <c r="F3365" t="inlineStr">
        <is>
          <t>DALARNAS LÄN</t>
        </is>
      </c>
      <c r="G3365" t="inlineStr">
        <is>
          <t>FALUN</t>
        </is>
      </c>
      <c r="I3365" t="n">
        <v>0.8</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32361-2024</t>
        </is>
      </c>
      <c r="B3366" t="inlineStr">
        <is>
          <t>avverkningsanmälan</t>
        </is>
      </c>
      <c r="C3366" t="inlineStr">
        <is>
          <t>Avverkning för annat ändamål</t>
        </is>
      </c>
      <c r="D3366" s="1" t="n">
        <v>45512</v>
      </c>
      <c r="E3366" s="1" t="n">
        <v>46319</v>
      </c>
      <c r="F3366" t="inlineStr">
        <is>
          <t>DALARNAS LÄN</t>
        </is>
      </c>
      <c r="G3366" t="inlineStr">
        <is>
          <t>ÄLVDALEN</t>
        </is>
      </c>
      <c r="H3366" t="inlineStr">
        <is>
          <t>Sveaskog</t>
        </is>
      </c>
      <c r="I3366" t="n">
        <v>1.7</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53150-2025</t>
        </is>
      </c>
      <c r="B3367" t="inlineStr">
        <is>
          <t>avverkningsanmälan</t>
        </is>
      </c>
      <c r="C3367" t="inlineStr">
        <is>
          <t>Föryngringsavverkning</t>
        </is>
      </c>
      <c r="D3367" s="1" t="n">
        <v>45958</v>
      </c>
      <c r="E3367" s="1" t="n">
        <v>46319</v>
      </c>
      <c r="F3367" t="inlineStr">
        <is>
          <t>DALARNAS LÄN</t>
        </is>
      </c>
      <c r="G3367" t="inlineStr">
        <is>
          <t>MORA</t>
        </is>
      </c>
      <c r="H3367" t="inlineStr">
        <is>
          <t>Bergvik skog öst AB</t>
        </is>
      </c>
      <c r="I3367" t="n">
        <v>0.8</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52676-2025</t>
        </is>
      </c>
      <c r="B3368" t="inlineStr">
        <is>
          <t>avverkningsanmälan</t>
        </is>
      </c>
      <c r="C3368" t="inlineStr">
        <is>
          <t>Föryngringsavverkning</t>
        </is>
      </c>
      <c r="D3368" s="1" t="n">
        <v>45956</v>
      </c>
      <c r="E3368" s="1" t="n">
        <v>46319</v>
      </c>
      <c r="F3368" t="inlineStr">
        <is>
          <t>DALARNAS LÄN</t>
        </is>
      </c>
      <c r="G3368" t="inlineStr">
        <is>
          <t>VANSBRO</t>
        </is>
      </c>
      <c r="H3368" t="inlineStr">
        <is>
          <t>Bergvik skog väst AB</t>
        </is>
      </c>
      <c r="I3368" t="n">
        <v>0.9</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14688-2023</t>
        </is>
      </c>
      <c r="B3369" t="inlineStr">
        <is>
          <t>avverkningsanmälan</t>
        </is>
      </c>
      <c r="C3369" t="inlineStr">
        <is>
          <t>Föryngringsavverkning</t>
        </is>
      </c>
      <c r="D3369" s="1" t="n">
        <v>45014</v>
      </c>
      <c r="E3369" s="1" t="n">
        <v>46319</v>
      </c>
      <c r="F3369" t="inlineStr">
        <is>
          <t>DALARNAS LÄN</t>
        </is>
      </c>
      <c r="G3369" t="inlineStr">
        <is>
          <t>FALUN</t>
        </is>
      </c>
      <c r="I3369" t="n">
        <v>2</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52485-2025</t>
        </is>
      </c>
      <c r="B3370" t="inlineStr">
        <is>
          <t>avverkningsanmälan</t>
        </is>
      </c>
      <c r="C3370" t="inlineStr">
        <is>
          <t>Föryngringsavverkning</t>
        </is>
      </c>
      <c r="D3370" s="1" t="n">
        <v>45954</v>
      </c>
      <c r="E3370" s="1" t="n">
        <v>46319</v>
      </c>
      <c r="F3370" t="inlineStr">
        <is>
          <t>DALARNAS LÄN</t>
        </is>
      </c>
      <c r="G3370" t="inlineStr">
        <is>
          <t>ORSA</t>
        </is>
      </c>
      <c r="I3370" t="n">
        <v>1.7</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53166-2025</t>
        </is>
      </c>
      <c r="B3371" t="inlineStr">
        <is>
          <t>avverkningsanmälan</t>
        </is>
      </c>
      <c r="C3371" t="inlineStr">
        <is>
          <t>Föryngringsavverkning</t>
        </is>
      </c>
      <c r="D3371" s="1" t="n">
        <v>45958</v>
      </c>
      <c r="E3371" s="1" t="n">
        <v>46319</v>
      </c>
      <c r="F3371" t="inlineStr">
        <is>
          <t>DALARNAS LÄN</t>
        </is>
      </c>
      <c r="G3371" t="inlineStr">
        <is>
          <t>BORLÄNGE</t>
        </is>
      </c>
      <c r="I3371" t="n">
        <v>1.4</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53202-2025</t>
        </is>
      </c>
      <c r="B3372" t="inlineStr">
        <is>
          <t>avverkningsanmälan</t>
        </is>
      </c>
      <c r="C3372" t="inlineStr">
        <is>
          <t>Föryngringsavverkning</t>
        </is>
      </c>
      <c r="D3372" s="1" t="n">
        <v>45958</v>
      </c>
      <c r="E3372" s="1" t="n">
        <v>46319</v>
      </c>
      <c r="F3372" t="inlineStr">
        <is>
          <t>DALARNAS LÄN</t>
        </is>
      </c>
      <c r="G3372" t="inlineStr">
        <is>
          <t>FALUN</t>
        </is>
      </c>
      <c r="I3372" t="n">
        <v>0.5</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53041-2025</t>
        </is>
      </c>
      <c r="B3373" t="inlineStr">
        <is>
          <t>avverkningsanmälan</t>
        </is>
      </c>
      <c r="C3373" t="inlineStr">
        <is>
          <t>Föryngringsavverkning</t>
        </is>
      </c>
      <c r="D3373" s="1" t="n">
        <v>45958</v>
      </c>
      <c r="E3373" s="1" t="n">
        <v>46319</v>
      </c>
      <c r="F3373" t="inlineStr">
        <is>
          <t>DALARNAS LÄN</t>
        </is>
      </c>
      <c r="G3373" t="inlineStr">
        <is>
          <t>LEKSAND</t>
        </is>
      </c>
      <c r="I3373" t="n">
        <v>1.7</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53229-2025</t>
        </is>
      </c>
      <c r="B3374" t="inlineStr">
        <is>
          <t>avverkningsanmälan</t>
        </is>
      </c>
      <c r="C3374" t="inlineStr">
        <is>
          <t>Föryngringsavverkning</t>
        </is>
      </c>
      <c r="D3374" s="1" t="n">
        <v>45958</v>
      </c>
      <c r="E3374" s="1" t="n">
        <v>46319</v>
      </c>
      <c r="F3374" t="inlineStr">
        <is>
          <t>DALARNAS LÄN</t>
        </is>
      </c>
      <c r="G3374" t="inlineStr">
        <is>
          <t>RÄTTVIK</t>
        </is>
      </c>
      <c r="H3374" t="inlineStr">
        <is>
          <t>Bergvik skog väst AB</t>
        </is>
      </c>
      <c r="I3374" t="n">
        <v>0.7</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52967-2025</t>
        </is>
      </c>
      <c r="B3375" t="inlineStr">
        <is>
          <t>avverkningsanmälan</t>
        </is>
      </c>
      <c r="C3375" t="inlineStr">
        <is>
          <t>Föryngringsavverkning</t>
        </is>
      </c>
      <c r="D3375" s="1" t="n">
        <v>45957</v>
      </c>
      <c r="E3375" s="1" t="n">
        <v>46319</v>
      </c>
      <c r="F3375" t="inlineStr">
        <is>
          <t>DALARNAS LÄN</t>
        </is>
      </c>
      <c r="G3375" t="inlineStr">
        <is>
          <t>MALUNG-SÄLEN</t>
        </is>
      </c>
      <c r="H3375" t="inlineStr">
        <is>
          <t>Bergvik skog väst AB</t>
        </is>
      </c>
      <c r="I3375" t="n">
        <v>5.5</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7194-2025</t>
        </is>
      </c>
      <c r="B3376" t="inlineStr">
        <is>
          <t>avverkningsanmälan</t>
        </is>
      </c>
      <c r="C3376" t="inlineStr">
        <is>
          <t>Föryngringsavverkning</t>
        </is>
      </c>
      <c r="D3376" s="1" t="n">
        <v>45702</v>
      </c>
      <c r="E3376" s="1" t="n">
        <v>46319</v>
      </c>
      <c r="F3376" t="inlineStr">
        <is>
          <t>DALARNAS LÄN</t>
        </is>
      </c>
      <c r="G3376" t="inlineStr">
        <is>
          <t>BORLÄNGE</t>
        </is>
      </c>
      <c r="I3376" t="n">
        <v>3.5</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52977-2025</t>
        </is>
      </c>
      <c r="B3377" t="inlineStr">
        <is>
          <t>avverkningsanmälan</t>
        </is>
      </c>
      <c r="C3377" t="inlineStr">
        <is>
          <t>Föryngringsavverkning</t>
        </is>
      </c>
      <c r="D3377" s="1" t="n">
        <v>45957</v>
      </c>
      <c r="E3377" s="1" t="n">
        <v>46319</v>
      </c>
      <c r="F3377" t="inlineStr">
        <is>
          <t>DALARNAS LÄN</t>
        </is>
      </c>
      <c r="G3377" t="inlineStr">
        <is>
          <t>MALUNG-SÄLEN</t>
        </is>
      </c>
      <c r="H3377" t="inlineStr">
        <is>
          <t>Bergvik skog väst AB</t>
        </is>
      </c>
      <c r="I3377" t="n">
        <v>1.4</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52836-2025</t>
        </is>
      </c>
      <c r="B3378" t="inlineStr">
        <is>
          <t>avverkningsanmälan</t>
        </is>
      </c>
      <c r="C3378" t="inlineStr">
        <is>
          <t>Föryngringsavverkning</t>
        </is>
      </c>
      <c r="D3378" s="1" t="n">
        <v>45957</v>
      </c>
      <c r="E3378" s="1" t="n">
        <v>46319</v>
      </c>
      <c r="F3378" t="inlineStr">
        <is>
          <t>DALARNAS LÄN</t>
        </is>
      </c>
      <c r="G3378" t="inlineStr">
        <is>
          <t>FALUN</t>
        </is>
      </c>
      <c r="I3378" t="n">
        <v>1.4</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52942-2024</t>
        </is>
      </c>
      <c r="B3379" t="inlineStr">
        <is>
          <t>avverkningsanmälan</t>
        </is>
      </c>
      <c r="C3379" t="inlineStr">
        <is>
          <t>Föryngringsavverkning</t>
        </is>
      </c>
      <c r="D3379" s="1" t="n">
        <v>45610</v>
      </c>
      <c r="E3379" s="1" t="n">
        <v>46319</v>
      </c>
      <c r="F3379" t="inlineStr">
        <is>
          <t>DALARNAS LÄN</t>
        </is>
      </c>
      <c r="G3379" t="inlineStr">
        <is>
          <t>HEDEMORA</t>
        </is>
      </c>
      <c r="H3379" t="inlineStr">
        <is>
          <t>Sveaskog</t>
        </is>
      </c>
      <c r="I3379" t="n">
        <v>14.5</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52838-2025</t>
        </is>
      </c>
      <c r="B3380" t="inlineStr">
        <is>
          <t>avverkningsanmälan</t>
        </is>
      </c>
      <c r="C3380" t="inlineStr">
        <is>
          <t>Föryngringsavverkning</t>
        </is>
      </c>
      <c r="D3380" s="1" t="n">
        <v>45957</v>
      </c>
      <c r="E3380" s="1" t="n">
        <v>46319</v>
      </c>
      <c r="F3380" t="inlineStr">
        <is>
          <t>DALARNAS LÄN</t>
        </is>
      </c>
      <c r="G3380" t="inlineStr">
        <is>
          <t>LUDVIKA</t>
        </is>
      </c>
      <c r="H3380" t="inlineStr">
        <is>
          <t>Bergvik skog väst AB</t>
        </is>
      </c>
      <c r="I3380" t="n">
        <v>0.9</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52605-2025</t>
        </is>
      </c>
      <c r="B3381" t="inlineStr">
        <is>
          <t>avverkningsanmälan</t>
        </is>
      </c>
      <c r="C3381" t="inlineStr">
        <is>
          <t>Föryngringsavverkning</t>
        </is>
      </c>
      <c r="D3381" s="1" t="n">
        <v>45954</v>
      </c>
      <c r="E3381" s="1" t="n">
        <v>46319</v>
      </c>
      <c r="F3381" t="inlineStr">
        <is>
          <t>DALARNAS LÄN</t>
        </is>
      </c>
      <c r="G3381" t="inlineStr">
        <is>
          <t>FALUN</t>
        </is>
      </c>
      <c r="I3381" t="n">
        <v>1</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52968-2025</t>
        </is>
      </c>
      <c r="B3382" t="inlineStr">
        <is>
          <t>avverkningsanmälan</t>
        </is>
      </c>
      <c r="C3382" t="inlineStr">
        <is>
          <t>Föryngringsavverkning</t>
        </is>
      </c>
      <c r="D3382" s="1" t="n">
        <v>45957</v>
      </c>
      <c r="E3382" s="1" t="n">
        <v>46319</v>
      </c>
      <c r="F3382" t="inlineStr">
        <is>
          <t>DALARNAS LÄN</t>
        </is>
      </c>
      <c r="G3382" t="inlineStr">
        <is>
          <t>SMEDJEBACKEN</t>
        </is>
      </c>
      <c r="H3382" t="inlineStr">
        <is>
          <t>Sveaskog</t>
        </is>
      </c>
      <c r="I3382" t="n">
        <v>3.6</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52976-2025</t>
        </is>
      </c>
      <c r="B3383" t="inlineStr">
        <is>
          <t>avverkningsanmälan</t>
        </is>
      </c>
      <c r="C3383" t="inlineStr">
        <is>
          <t>Föryngringsavverkning</t>
        </is>
      </c>
      <c r="D3383" s="1" t="n">
        <v>45957</v>
      </c>
      <c r="E3383" s="1" t="n">
        <v>46319</v>
      </c>
      <c r="F3383" t="inlineStr">
        <is>
          <t>DALARNAS LÄN</t>
        </is>
      </c>
      <c r="G3383" t="inlineStr">
        <is>
          <t>MALUNG-SÄLEN</t>
        </is>
      </c>
      <c r="H3383" t="inlineStr">
        <is>
          <t>Bergvik skog väst AB</t>
        </is>
      </c>
      <c r="I3383" t="n">
        <v>1.3</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53151-2025</t>
        </is>
      </c>
      <c r="B3384" t="inlineStr">
        <is>
          <t>avverkningsanmälan</t>
        </is>
      </c>
      <c r="C3384" t="inlineStr">
        <is>
          <t>Föryngringsavverkning</t>
        </is>
      </c>
      <c r="D3384" s="1" t="n">
        <v>45958</v>
      </c>
      <c r="E3384" s="1" t="n">
        <v>46319</v>
      </c>
      <c r="F3384" t="inlineStr">
        <is>
          <t>DALARNAS LÄN</t>
        </is>
      </c>
      <c r="G3384" t="inlineStr">
        <is>
          <t>MORA</t>
        </is>
      </c>
      <c r="H3384" t="inlineStr">
        <is>
          <t>Bergvik skog öst AB</t>
        </is>
      </c>
      <c r="I3384" t="n">
        <v>0.8</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53315-2025</t>
        </is>
      </c>
      <c r="B3385" t="inlineStr">
        <is>
          <t>avverkningsanmälan</t>
        </is>
      </c>
      <c r="C3385" t="inlineStr">
        <is>
          <t>Föryngringsavverkning</t>
        </is>
      </c>
      <c r="D3385" s="1" t="n">
        <v>45959</v>
      </c>
      <c r="E3385" s="1" t="n">
        <v>46319</v>
      </c>
      <c r="F3385" t="inlineStr">
        <is>
          <t>DALARNAS LÄN</t>
        </is>
      </c>
      <c r="G3385" t="inlineStr">
        <is>
          <t>VANSBRO</t>
        </is>
      </c>
      <c r="H3385" t="inlineStr">
        <is>
          <t>Bergvik skog väst AB</t>
        </is>
      </c>
      <c r="I3385" t="n">
        <v>5.9</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32383-2024</t>
        </is>
      </c>
      <c r="B3386" t="inlineStr">
        <is>
          <t>avverkningsanmälan</t>
        </is>
      </c>
      <c r="C3386" t="inlineStr">
        <is>
          <t>Föryngringsavverkning</t>
        </is>
      </c>
      <c r="D3386" s="1" t="n">
        <v>45512</v>
      </c>
      <c r="E3386" s="1" t="n">
        <v>46319</v>
      </c>
      <c r="F3386" t="inlineStr">
        <is>
          <t>DALARNAS LÄN</t>
        </is>
      </c>
      <c r="G3386" t="inlineStr">
        <is>
          <t>VANSBRO</t>
        </is>
      </c>
      <c r="I3386" t="n">
        <v>0.4</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1758-2024</t>
        </is>
      </c>
      <c r="B3387" t="inlineStr">
        <is>
          <t>avverkningsanmälan</t>
        </is>
      </c>
      <c r="C3387" t="inlineStr">
        <is>
          <t>Föryngringsavverkning</t>
        </is>
      </c>
      <c r="D3387" s="1" t="n">
        <v>45307</v>
      </c>
      <c r="E3387" s="1" t="n">
        <v>46319</v>
      </c>
      <c r="F3387" t="inlineStr">
        <is>
          <t>DALARNAS LÄN</t>
        </is>
      </c>
      <c r="G3387" t="inlineStr">
        <is>
          <t>FALUN</t>
        </is>
      </c>
      <c r="I3387" t="n">
        <v>0.7</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53769-2025</t>
        </is>
      </c>
      <c r="B3388" t="inlineStr">
        <is>
          <t>avverkningsanmälan</t>
        </is>
      </c>
      <c r="C3388" t="inlineStr">
        <is>
          <t>Föryngringsavverkning</t>
        </is>
      </c>
      <c r="D3388" s="1" t="n">
        <v>45960</v>
      </c>
      <c r="E3388" s="1" t="n">
        <v>46319</v>
      </c>
      <c r="F3388" t="inlineStr">
        <is>
          <t>DALARNAS LÄN</t>
        </is>
      </c>
      <c r="G3388" t="inlineStr">
        <is>
          <t>SMEDJEBACKEN</t>
        </is>
      </c>
      <c r="I3388" t="n">
        <v>2</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26427-2022</t>
        </is>
      </c>
      <c r="B3389" t="inlineStr">
        <is>
          <t>avverkningsanmälan</t>
        </is>
      </c>
      <c r="C3389" t="inlineStr">
        <is>
          <t>Avverkning för annat ändamål</t>
        </is>
      </c>
      <c r="D3389" s="1" t="n">
        <v>44736</v>
      </c>
      <c r="E3389" s="1" t="n">
        <v>46319</v>
      </c>
      <c r="F3389" t="inlineStr">
        <is>
          <t>DALARNAS LÄN</t>
        </is>
      </c>
      <c r="G3389" t="inlineStr">
        <is>
          <t>RÄTTVIK</t>
        </is>
      </c>
      <c r="I3389" t="n">
        <v>1.2</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3903-2024</t>
        </is>
      </c>
      <c r="B3390" t="inlineStr">
        <is>
          <t>avverkningsanmälan</t>
        </is>
      </c>
      <c r="C3390" t="inlineStr">
        <is>
          <t>Föryngringsavverkning</t>
        </is>
      </c>
      <c r="D3390" s="1" t="n">
        <v>45322</v>
      </c>
      <c r="E3390" s="1" t="n">
        <v>46319</v>
      </c>
      <c r="F3390" t="inlineStr">
        <is>
          <t>DALARNAS LÄN</t>
        </is>
      </c>
      <c r="G3390" t="inlineStr">
        <is>
          <t>ÄLVDALEN</t>
        </is>
      </c>
      <c r="I3390" t="n">
        <v>0.7</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3914-2024</t>
        </is>
      </c>
      <c r="B3391" t="inlineStr">
        <is>
          <t>avverkningsanmälan</t>
        </is>
      </c>
      <c r="C3391" t="inlineStr">
        <is>
          <t>Föryngringsavverkning</t>
        </is>
      </c>
      <c r="D3391" s="1" t="n">
        <v>45322</v>
      </c>
      <c r="E3391" s="1" t="n">
        <v>46319</v>
      </c>
      <c r="F3391" t="inlineStr">
        <is>
          <t>DALARNAS LÄN</t>
        </is>
      </c>
      <c r="G3391" t="inlineStr">
        <is>
          <t>ÄLVDALEN</t>
        </is>
      </c>
      <c r="I3391" t="n">
        <v>0.3</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5229-2026</t>
        </is>
      </c>
      <c r="B3392" t="inlineStr">
        <is>
          <t>avverkningsanmälan</t>
        </is>
      </c>
      <c r="C3392" t="inlineStr">
        <is>
          <t>Föryngringsavverkning</t>
        </is>
      </c>
      <c r="D3392" s="1" t="n">
        <v>46049</v>
      </c>
      <c r="E3392" s="1" t="n">
        <v>46319</v>
      </c>
      <c r="F3392" t="inlineStr">
        <is>
          <t>DALARNAS LÄN</t>
        </is>
      </c>
      <c r="G3392" t="inlineStr">
        <is>
          <t>FALUN</t>
        </is>
      </c>
      <c r="I3392" t="n">
        <v>5.9</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26906-2026</t>
        </is>
      </c>
      <c r="B3393" t="inlineStr">
        <is>
          <t>avverkningsanmälan</t>
        </is>
      </c>
      <c r="C3393" t="inlineStr">
        <is>
          <t>Föryngringsavverkning</t>
        </is>
      </c>
      <c r="D3393" s="1" t="n">
        <v>46185</v>
      </c>
      <c r="E3393" s="1" t="n">
        <v>46319</v>
      </c>
      <c r="F3393" t="inlineStr">
        <is>
          <t>DALARNAS LÄN</t>
        </is>
      </c>
      <c r="G3393" t="inlineStr">
        <is>
          <t>HEDEMORA</t>
        </is>
      </c>
      <c r="H3393" t="inlineStr">
        <is>
          <t>Sveaskog</t>
        </is>
      </c>
      <c r="I3393" t="n">
        <v>3.5</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53673-2025</t>
        </is>
      </c>
      <c r="B3394" t="inlineStr">
        <is>
          <t>avverkningsanmälan</t>
        </is>
      </c>
      <c r="C3394" t="inlineStr">
        <is>
          <t>Föryngringsavverkning</t>
        </is>
      </c>
      <c r="D3394" s="1" t="n">
        <v>45960</v>
      </c>
      <c r="E3394" s="1" t="n">
        <v>46319</v>
      </c>
      <c r="F3394" t="inlineStr">
        <is>
          <t>DALARNAS LÄN</t>
        </is>
      </c>
      <c r="G3394" t="inlineStr">
        <is>
          <t>RÄTTVIK</t>
        </is>
      </c>
      <c r="H3394" t="inlineStr">
        <is>
          <t>Bergvik skog väst AB</t>
        </is>
      </c>
      <c r="I3394" t="n">
        <v>2.8</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26816-2026</t>
        </is>
      </c>
      <c r="B3395" t="inlineStr">
        <is>
          <t>avverkningsanmälan</t>
        </is>
      </c>
      <c r="C3395" t="inlineStr">
        <is>
          <t>Föryngringsavverkning</t>
        </is>
      </c>
      <c r="D3395" s="1" t="n">
        <v>46185</v>
      </c>
      <c r="E3395" s="1" t="n">
        <v>46319</v>
      </c>
      <c r="F3395" t="inlineStr">
        <is>
          <t>DALARNAS LÄN</t>
        </is>
      </c>
      <c r="G3395" t="inlineStr">
        <is>
          <t>AVESTA</t>
        </is>
      </c>
      <c r="I3395" t="n">
        <v>1.5</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53603-2025</t>
        </is>
      </c>
      <c r="B3396" t="inlineStr">
        <is>
          <t>avverkningsanmälan</t>
        </is>
      </c>
      <c r="C3396" t="inlineStr">
        <is>
          <t>Föryngringsavverkning</t>
        </is>
      </c>
      <c r="D3396" s="1" t="n">
        <v>45960</v>
      </c>
      <c r="E3396" s="1" t="n">
        <v>46319</v>
      </c>
      <c r="F3396" t="inlineStr">
        <is>
          <t>DALARNAS LÄN</t>
        </is>
      </c>
      <c r="G3396" t="inlineStr">
        <is>
          <t>MALUNG-SÄLEN</t>
        </is>
      </c>
      <c r="H3396" t="inlineStr">
        <is>
          <t>Bergvik skog väst AB</t>
        </is>
      </c>
      <c r="I3396" t="n">
        <v>2.6</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26777-2026</t>
        </is>
      </c>
      <c r="B3397" t="inlineStr">
        <is>
          <t>avverkningsanmälan</t>
        </is>
      </c>
      <c r="C3397" t="inlineStr">
        <is>
          <t>Föryngringsavverkning</t>
        </is>
      </c>
      <c r="D3397" s="1" t="n">
        <v>46184</v>
      </c>
      <c r="E3397" s="1" t="n">
        <v>46319</v>
      </c>
      <c r="F3397" t="inlineStr">
        <is>
          <t>DALARNAS LÄN</t>
        </is>
      </c>
      <c r="G3397" t="inlineStr">
        <is>
          <t>RÄTTVIK</t>
        </is>
      </c>
      <c r="I3397" t="n">
        <v>2.8</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53591-2025</t>
        </is>
      </c>
      <c r="B3398" t="inlineStr">
        <is>
          <t>avverkningsanmälan</t>
        </is>
      </c>
      <c r="C3398" t="inlineStr">
        <is>
          <t>Föryngringsavverkning</t>
        </is>
      </c>
      <c r="D3398" s="1" t="n">
        <v>45960</v>
      </c>
      <c r="E3398" s="1" t="n">
        <v>46319</v>
      </c>
      <c r="F3398" t="inlineStr">
        <is>
          <t>DALARNAS LÄN</t>
        </is>
      </c>
      <c r="G3398" t="inlineStr">
        <is>
          <t>MORA</t>
        </is>
      </c>
      <c r="I3398" t="n">
        <v>3.8</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892-2024</t>
        </is>
      </c>
      <c r="B3399" t="inlineStr">
        <is>
          <t>avverkningsanmälan</t>
        </is>
      </c>
      <c r="C3399" t="inlineStr">
        <is>
          <t>Föryngringsavverkning</t>
        </is>
      </c>
      <c r="D3399" s="1" t="n">
        <v>45301</v>
      </c>
      <c r="E3399" s="1" t="n">
        <v>46319</v>
      </c>
      <c r="F3399" t="inlineStr">
        <is>
          <t>DALARNAS LÄN</t>
        </is>
      </c>
      <c r="G3399" t="inlineStr">
        <is>
          <t>ORSA</t>
        </is>
      </c>
      <c r="I3399" t="n">
        <v>1.2</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53667-2025</t>
        </is>
      </c>
      <c r="B3400" t="inlineStr">
        <is>
          <t>avverkningsanmälan</t>
        </is>
      </c>
      <c r="C3400" t="inlineStr">
        <is>
          <t>Föryngringsavverkning</t>
        </is>
      </c>
      <c r="D3400" s="1" t="n">
        <v>45960</v>
      </c>
      <c r="E3400" s="1" t="n">
        <v>46319</v>
      </c>
      <c r="F3400" t="inlineStr">
        <is>
          <t>DALARNAS LÄN</t>
        </is>
      </c>
      <c r="G3400" t="inlineStr">
        <is>
          <t>RÄTTVIK</t>
        </is>
      </c>
      <c r="I3400" t="n">
        <v>1.9</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11680-2022</t>
        </is>
      </c>
      <c r="B3401" t="inlineStr">
        <is>
          <t>avverkningsanmälan</t>
        </is>
      </c>
      <c r="C3401" t="inlineStr">
        <is>
          <t>Föryngringsavverkning</t>
        </is>
      </c>
      <c r="D3401" s="1" t="n">
        <v>44634</v>
      </c>
      <c r="E3401" s="1" t="n">
        <v>46319</v>
      </c>
      <c r="F3401" t="inlineStr">
        <is>
          <t>DALARNAS LÄN</t>
        </is>
      </c>
      <c r="G3401" t="inlineStr">
        <is>
          <t>GAGNEF</t>
        </is>
      </c>
      <c r="I3401" t="n">
        <v>7.8</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53698-2025</t>
        </is>
      </c>
      <c r="B3402" t="inlineStr">
        <is>
          <t>avverkningsanmälan</t>
        </is>
      </c>
      <c r="C3402" t="inlineStr">
        <is>
          <t>Föryngringsavverkning</t>
        </is>
      </c>
      <c r="D3402" s="1" t="n">
        <v>45960</v>
      </c>
      <c r="E3402" s="1" t="n">
        <v>46319</v>
      </c>
      <c r="F3402" t="inlineStr">
        <is>
          <t>DALARNAS LÄN</t>
        </is>
      </c>
      <c r="G3402" t="inlineStr">
        <is>
          <t>RÄTTVIK</t>
        </is>
      </c>
      <c r="I3402" t="n">
        <v>0.4</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26689-2026</t>
        </is>
      </c>
      <c r="B3403" t="inlineStr">
        <is>
          <t>avverkningsanmälan</t>
        </is>
      </c>
      <c r="C3403" t="inlineStr">
        <is>
          <t>Föryngringsavverkning</t>
        </is>
      </c>
      <c r="D3403" s="1" t="n">
        <v>46184</v>
      </c>
      <c r="E3403" s="1" t="n">
        <v>46319</v>
      </c>
      <c r="F3403" t="inlineStr">
        <is>
          <t>DALARNAS LÄN</t>
        </is>
      </c>
      <c r="G3403" t="inlineStr">
        <is>
          <t>VANSBRO</t>
        </is>
      </c>
      <c r="H3403" t="inlineStr">
        <is>
          <t>Övriga statliga verk och myndigheter</t>
        </is>
      </c>
      <c r="I3403" t="n">
        <v>6.9</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906-2024</t>
        </is>
      </c>
      <c r="B3404" t="inlineStr">
        <is>
          <t>avverkningsanmälan</t>
        </is>
      </c>
      <c r="C3404" t="inlineStr">
        <is>
          <t>Föryngringsavverkning</t>
        </is>
      </c>
      <c r="D3404" s="1" t="n">
        <v>45301</v>
      </c>
      <c r="E3404" s="1" t="n">
        <v>46319</v>
      </c>
      <c r="F3404" t="inlineStr">
        <is>
          <t>DALARNAS LÄN</t>
        </is>
      </c>
      <c r="G3404" t="inlineStr">
        <is>
          <t>MALUNG-SÄLEN</t>
        </is>
      </c>
      <c r="I3404" t="n">
        <v>10.4</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26888-2026</t>
        </is>
      </c>
      <c r="B3405" t="inlineStr">
        <is>
          <t>avverkningsanmälan</t>
        </is>
      </c>
      <c r="C3405" t="inlineStr">
        <is>
          <t>Föryngringsavverkning</t>
        </is>
      </c>
      <c r="D3405" s="1" t="n">
        <v>46185</v>
      </c>
      <c r="E3405" s="1" t="n">
        <v>46319</v>
      </c>
      <c r="F3405" t="inlineStr">
        <is>
          <t>DALARNAS LÄN</t>
        </is>
      </c>
      <c r="G3405" t="inlineStr">
        <is>
          <t>LUDVIKA</t>
        </is>
      </c>
      <c r="H3405" t="inlineStr">
        <is>
          <t>Bergvik skog väst AB</t>
        </is>
      </c>
      <c r="I3405" t="n">
        <v>17.5</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45521-2024</t>
        </is>
      </c>
      <c r="B3406" t="inlineStr">
        <is>
          <t>avverkningsanmälan</t>
        </is>
      </c>
      <c r="C3406" t="inlineStr">
        <is>
          <t>Föryngringsavverkning</t>
        </is>
      </c>
      <c r="D3406" s="1" t="n">
        <v>45578</v>
      </c>
      <c r="E3406" s="1" t="n">
        <v>46319</v>
      </c>
      <c r="F3406" t="inlineStr">
        <is>
          <t>DALARNAS LÄN</t>
        </is>
      </c>
      <c r="G3406" t="inlineStr">
        <is>
          <t>GAGNEF</t>
        </is>
      </c>
      <c r="I3406" t="n">
        <v>1.7</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53632-2025</t>
        </is>
      </c>
      <c r="B3407" t="inlineStr">
        <is>
          <t>avverkningsanmälan</t>
        </is>
      </c>
      <c r="C3407" t="inlineStr">
        <is>
          <t>Föryngringsavverkning</t>
        </is>
      </c>
      <c r="D3407" s="1" t="n">
        <v>45960</v>
      </c>
      <c r="E3407" s="1" t="n">
        <v>46319</v>
      </c>
      <c r="F3407" t="inlineStr">
        <is>
          <t>DALARNAS LÄN</t>
        </is>
      </c>
      <c r="G3407" t="inlineStr">
        <is>
          <t>MORA</t>
        </is>
      </c>
      <c r="I3407" t="n">
        <v>3.1</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19814-2025</t>
        </is>
      </c>
      <c r="B3408" t="inlineStr">
        <is>
          <t>avverkningsanmälan</t>
        </is>
      </c>
      <c r="C3408" t="inlineStr">
        <is>
          <t>Föryngringsavverkning</t>
        </is>
      </c>
      <c r="D3408" s="1" t="n">
        <v>45771</v>
      </c>
      <c r="E3408" s="1" t="n">
        <v>46319</v>
      </c>
      <c r="F3408" t="inlineStr">
        <is>
          <t>DALARNAS LÄN</t>
        </is>
      </c>
      <c r="G3408" t="inlineStr">
        <is>
          <t>MORA</t>
        </is>
      </c>
      <c r="I3408" t="n">
        <v>2.1</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53559-2025</t>
        </is>
      </c>
      <c r="B3409" t="inlineStr">
        <is>
          <t>avverkningsanmälan</t>
        </is>
      </c>
      <c r="C3409" t="inlineStr">
        <is>
          <t>Avverkning för annat ändamål</t>
        </is>
      </c>
      <c r="D3409" s="1" t="n">
        <v>45960</v>
      </c>
      <c r="E3409" s="1" t="n">
        <v>46319</v>
      </c>
      <c r="F3409" t="inlineStr">
        <is>
          <t>DALARNAS LÄN</t>
        </is>
      </c>
      <c r="G3409" t="inlineStr">
        <is>
          <t>SÄTER</t>
        </is>
      </c>
      <c r="I3409" t="n">
        <v>0.5</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34277-2022</t>
        </is>
      </c>
      <c r="B3410" t="inlineStr">
        <is>
          <t>avverkningsanmälan</t>
        </is>
      </c>
      <c r="C3410" t="inlineStr">
        <is>
          <t>Föryngringsavverkning</t>
        </is>
      </c>
      <c r="D3410" s="1" t="n">
        <v>44791</v>
      </c>
      <c r="E3410" s="1" t="n">
        <v>46319</v>
      </c>
      <c r="F3410" t="inlineStr">
        <is>
          <t>DALARNAS LÄN</t>
        </is>
      </c>
      <c r="G3410" t="inlineStr">
        <is>
          <t>VANSBRO</t>
        </is>
      </c>
      <c r="I3410" t="n">
        <v>3.1</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18251-2026</t>
        </is>
      </c>
      <c r="B3411" t="inlineStr">
        <is>
          <t>avverkningsanmälan</t>
        </is>
      </c>
      <c r="C3411" t="inlineStr">
        <is>
          <t>Föryngringsavverkning</t>
        </is>
      </c>
      <c r="D3411" s="1" t="n">
        <v>46126</v>
      </c>
      <c r="E3411" s="1" t="n">
        <v>46319</v>
      </c>
      <c r="F3411" t="inlineStr">
        <is>
          <t>DALARNAS LÄN</t>
        </is>
      </c>
      <c r="G3411" t="inlineStr">
        <is>
          <t>FALUN</t>
        </is>
      </c>
      <c r="H3411" t="inlineStr">
        <is>
          <t>Bergvik skog väst AB</t>
        </is>
      </c>
      <c r="I3411" t="n">
        <v>21.8</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53565-2025</t>
        </is>
      </c>
      <c r="B3412" t="inlineStr">
        <is>
          <t>avverkningsanmälan</t>
        </is>
      </c>
      <c r="C3412" t="inlineStr">
        <is>
          <t>Föryngringsavverkning</t>
        </is>
      </c>
      <c r="D3412" s="1" t="n">
        <v>45960</v>
      </c>
      <c r="E3412" s="1" t="n">
        <v>46319</v>
      </c>
      <c r="F3412" t="inlineStr">
        <is>
          <t>DALARNAS LÄN</t>
        </is>
      </c>
      <c r="G3412" t="inlineStr">
        <is>
          <t>MORA</t>
        </is>
      </c>
      <c r="I3412" t="n">
        <v>5.1</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53572-2025</t>
        </is>
      </c>
      <c r="B3413" t="inlineStr">
        <is>
          <t>avverkningsanmälan</t>
        </is>
      </c>
      <c r="C3413" t="inlineStr">
        <is>
          <t>Föryngringsavverkning</t>
        </is>
      </c>
      <c r="D3413" s="1" t="n">
        <v>45960</v>
      </c>
      <c r="E3413" s="1" t="n">
        <v>46319</v>
      </c>
      <c r="F3413" t="inlineStr">
        <is>
          <t>DALARNAS LÄN</t>
        </is>
      </c>
      <c r="G3413" t="inlineStr">
        <is>
          <t>ORSA</t>
        </is>
      </c>
      <c r="H3413" t="inlineStr">
        <is>
          <t>Bergvik skog öst AB</t>
        </is>
      </c>
      <c r="I3413" t="n">
        <v>4.1</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19085-2025</t>
        </is>
      </c>
      <c r="B3414" t="inlineStr">
        <is>
          <t>avverkningsanmälan</t>
        </is>
      </c>
      <c r="C3414" t="inlineStr">
        <is>
          <t>Avverkning för att bevara och utveckla /försöksver</t>
        </is>
      </c>
      <c r="D3414" s="1" t="n">
        <v>45766</v>
      </c>
      <c r="E3414" s="1" t="n">
        <v>46319</v>
      </c>
      <c r="F3414" t="inlineStr">
        <is>
          <t>DALARNAS LÄN</t>
        </is>
      </c>
      <c r="G3414" t="inlineStr">
        <is>
          <t>SMEDJEBACKEN</t>
        </is>
      </c>
      <c r="I3414" t="n">
        <v>2.4</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26830-2026</t>
        </is>
      </c>
      <c r="B3415" t="inlineStr">
        <is>
          <t>avverkningsanmälan</t>
        </is>
      </c>
      <c r="C3415" t="inlineStr">
        <is>
          <t>Föryngringsavverkning</t>
        </is>
      </c>
      <c r="D3415" s="1" t="n">
        <v>46185</v>
      </c>
      <c r="E3415" s="1" t="n">
        <v>46319</v>
      </c>
      <c r="F3415" t="inlineStr">
        <is>
          <t>DALARNAS LÄN</t>
        </is>
      </c>
      <c r="G3415" t="inlineStr">
        <is>
          <t>FALUN</t>
        </is>
      </c>
      <c r="I3415" t="n">
        <v>0.4</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53602-2025</t>
        </is>
      </c>
      <c r="B3416" t="inlineStr">
        <is>
          <t>avverkningsanmälan</t>
        </is>
      </c>
      <c r="C3416" t="inlineStr">
        <is>
          <t>Föryngringsavverkning</t>
        </is>
      </c>
      <c r="D3416" s="1" t="n">
        <v>45960</v>
      </c>
      <c r="E3416" s="1" t="n">
        <v>46319</v>
      </c>
      <c r="F3416" t="inlineStr">
        <is>
          <t>DALARNAS LÄN</t>
        </is>
      </c>
      <c r="G3416" t="inlineStr">
        <is>
          <t>RÄTTVIK</t>
        </is>
      </c>
      <c r="I3416" t="n">
        <v>0.7</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53540-2025</t>
        </is>
      </c>
      <c r="B3417" t="inlineStr">
        <is>
          <t>avverkningsanmälan</t>
        </is>
      </c>
      <c r="C3417" t="inlineStr">
        <is>
          <t>Föryngringsavverkning</t>
        </is>
      </c>
      <c r="D3417" s="1" t="n">
        <v>45960</v>
      </c>
      <c r="E3417" s="1" t="n">
        <v>46319</v>
      </c>
      <c r="F3417" t="inlineStr">
        <is>
          <t>DALARNAS LÄN</t>
        </is>
      </c>
      <c r="G3417" t="inlineStr">
        <is>
          <t>SÄTER</t>
        </is>
      </c>
      <c r="I3417" t="n">
        <v>0.7</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26902-2026</t>
        </is>
      </c>
      <c r="B3418" t="inlineStr">
        <is>
          <t>avverkningsanmälan</t>
        </is>
      </c>
      <c r="C3418" t="inlineStr">
        <is>
          <t>Föryngringsavverkning</t>
        </is>
      </c>
      <c r="D3418" s="1" t="n">
        <v>46185</v>
      </c>
      <c r="E3418" s="1" t="n">
        <v>46319</v>
      </c>
      <c r="F3418" t="inlineStr">
        <is>
          <t>DALARNAS LÄN</t>
        </is>
      </c>
      <c r="G3418" t="inlineStr">
        <is>
          <t>LUDVIKA</t>
        </is>
      </c>
      <c r="H3418" t="inlineStr">
        <is>
          <t>Bergvik skog väst AB</t>
        </is>
      </c>
      <c r="I3418" t="n">
        <v>2.1</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44570-2024</t>
        </is>
      </c>
      <c r="B3419" t="inlineStr">
        <is>
          <t>avverkningsanmälan</t>
        </is>
      </c>
      <c r="C3419" t="inlineStr">
        <is>
          <t>Föryngringsavverkning</t>
        </is>
      </c>
      <c r="D3419" s="1" t="n">
        <v>45574</v>
      </c>
      <c r="E3419" s="1" t="n">
        <v>46319</v>
      </c>
      <c r="F3419" t="inlineStr">
        <is>
          <t>DALARNAS LÄN</t>
        </is>
      </c>
      <c r="G3419" t="inlineStr">
        <is>
          <t>MALUNG-SÄLEN</t>
        </is>
      </c>
      <c r="H3419" t="inlineStr">
        <is>
          <t>Bergvik skog öst AB</t>
        </is>
      </c>
      <c r="I3419" t="n">
        <v>0.8</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26969-2026</t>
        </is>
      </c>
      <c r="B3420" t="inlineStr">
        <is>
          <t>avverkningsanmälan</t>
        </is>
      </c>
      <c r="C3420" t="inlineStr">
        <is>
          <t>Föryngringsavverkning</t>
        </is>
      </c>
      <c r="D3420" s="1" t="n">
        <v>46185</v>
      </c>
      <c r="E3420" s="1" t="n">
        <v>46319</v>
      </c>
      <c r="F3420" t="inlineStr">
        <is>
          <t>DALARNAS LÄN</t>
        </is>
      </c>
      <c r="G3420" t="inlineStr">
        <is>
          <t>FALUN</t>
        </is>
      </c>
      <c r="I3420" t="n">
        <v>2.9</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46679-2024</t>
        </is>
      </c>
      <c r="B3421" t="inlineStr">
        <is>
          <t>avverkningsanmälan</t>
        </is>
      </c>
      <c r="C3421" t="inlineStr">
        <is>
          <t>Föryngringsavverkning</t>
        </is>
      </c>
      <c r="D3421" s="1" t="n">
        <v>45583</v>
      </c>
      <c r="E3421" s="1" t="n">
        <v>46319</v>
      </c>
      <c r="F3421" t="inlineStr">
        <is>
          <t>DALARNAS LÄN</t>
        </is>
      </c>
      <c r="G3421" t="inlineStr">
        <is>
          <t>AVESTA</t>
        </is>
      </c>
      <c r="H3421" t="inlineStr">
        <is>
          <t>Sveaskog</t>
        </is>
      </c>
      <c r="I3421" t="n">
        <v>1.3</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53556-2025</t>
        </is>
      </c>
      <c r="B3422" t="inlineStr">
        <is>
          <t>avverkningsanmälan</t>
        </is>
      </c>
      <c r="C3422" t="inlineStr">
        <is>
          <t>Föryngringsavverkning</t>
        </is>
      </c>
      <c r="D3422" s="1" t="n">
        <v>45960</v>
      </c>
      <c r="E3422" s="1" t="n">
        <v>46319</v>
      </c>
      <c r="F3422" t="inlineStr">
        <is>
          <t>DALARNAS LÄN</t>
        </is>
      </c>
      <c r="G3422" t="inlineStr">
        <is>
          <t>MORA</t>
        </is>
      </c>
      <c r="I3422" t="n">
        <v>3.3</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53612-2025</t>
        </is>
      </c>
      <c r="B3423" t="inlineStr">
        <is>
          <t>avverkningsanmälan</t>
        </is>
      </c>
      <c r="C3423" t="inlineStr">
        <is>
          <t>Föryngringsavverkning</t>
        </is>
      </c>
      <c r="D3423" s="1" t="n">
        <v>45960</v>
      </c>
      <c r="E3423" s="1" t="n">
        <v>46319</v>
      </c>
      <c r="F3423" t="inlineStr">
        <is>
          <t>DALARNAS LÄN</t>
        </is>
      </c>
      <c r="G3423" t="inlineStr">
        <is>
          <t>MALUNG-SÄLEN</t>
        </is>
      </c>
      <c r="H3423" t="inlineStr">
        <is>
          <t>Bergvik skog väst AB</t>
        </is>
      </c>
      <c r="I3423" t="n">
        <v>6.3</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6791-2025</t>
        </is>
      </c>
      <c r="B3424" t="inlineStr">
        <is>
          <t>avverkningsanmälan</t>
        </is>
      </c>
      <c r="C3424" t="inlineStr">
        <is>
          <t>Föryngringsavverkning</t>
        </is>
      </c>
      <c r="D3424" s="1" t="n">
        <v>45700</v>
      </c>
      <c r="E3424" s="1" t="n">
        <v>46319</v>
      </c>
      <c r="F3424" t="inlineStr">
        <is>
          <t>DALARNAS LÄN</t>
        </is>
      </c>
      <c r="G3424" t="inlineStr">
        <is>
          <t>ÄLVDALEN</t>
        </is>
      </c>
      <c r="I3424" t="n">
        <v>30.2</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604-2025</t>
        </is>
      </c>
      <c r="B3425" t="inlineStr">
        <is>
          <t>avverkningsanmälan</t>
        </is>
      </c>
      <c r="C3425" t="inlineStr">
        <is>
          <t>Föryngringsavverkning</t>
        </is>
      </c>
      <c r="D3425" s="1" t="n">
        <v>45664</v>
      </c>
      <c r="E3425" s="1" t="n">
        <v>46319</v>
      </c>
      <c r="F3425" t="inlineStr">
        <is>
          <t>DALARNAS LÄN</t>
        </is>
      </c>
      <c r="G3425" t="inlineStr">
        <is>
          <t>GAGNEF</t>
        </is>
      </c>
      <c r="I3425" t="n">
        <v>1.1</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13658-2024</t>
        </is>
      </c>
      <c r="B3426" t="inlineStr">
        <is>
          <t>avverkningsanmälan</t>
        </is>
      </c>
      <c r="C3426" t="inlineStr">
        <is>
          <t>Föryngringsavverkning</t>
        </is>
      </c>
      <c r="D3426" s="1" t="n">
        <v>45390</v>
      </c>
      <c r="E3426" s="1" t="n">
        <v>46319</v>
      </c>
      <c r="F3426" t="inlineStr">
        <is>
          <t>DALARNAS LÄN</t>
        </is>
      </c>
      <c r="G3426" t="inlineStr">
        <is>
          <t>BORLÄNGE</t>
        </is>
      </c>
      <c r="H3426" t="inlineStr">
        <is>
          <t>Kommuner</t>
        </is>
      </c>
      <c r="I3426" t="n">
        <v>3.1</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53344-2025</t>
        </is>
      </c>
      <c r="B3427" t="inlineStr">
        <is>
          <t>avverkningsanmälan</t>
        </is>
      </c>
      <c r="C3427" t="inlineStr">
        <is>
          <t>Föryngringsavverkning</t>
        </is>
      </c>
      <c r="D3427" s="1" t="n">
        <v>45959</v>
      </c>
      <c r="E3427" s="1" t="n">
        <v>46319</v>
      </c>
      <c r="F3427" t="inlineStr">
        <is>
          <t>DALARNAS LÄN</t>
        </is>
      </c>
      <c r="G3427" t="inlineStr">
        <is>
          <t>MALUNG-SÄLEN</t>
        </is>
      </c>
      <c r="I3427" t="n">
        <v>4.5</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16777-2024</t>
        </is>
      </c>
      <c r="B3428" t="inlineStr">
        <is>
          <t>avverkningsanmälan</t>
        </is>
      </c>
      <c r="C3428" t="inlineStr">
        <is>
          <t>Föryngringsavverkning</t>
        </is>
      </c>
      <c r="D3428" s="1" t="n">
        <v>45411</v>
      </c>
      <c r="E3428" s="1" t="n">
        <v>46319</v>
      </c>
      <c r="F3428" t="inlineStr">
        <is>
          <t>DALARNAS LÄN</t>
        </is>
      </c>
      <c r="G3428" t="inlineStr">
        <is>
          <t>ORSA</t>
        </is>
      </c>
      <c r="I3428" t="n">
        <v>0.9</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36262-2023</t>
        </is>
      </c>
      <c r="B3429" t="inlineStr">
        <is>
          <t>avverkningsanmälan</t>
        </is>
      </c>
      <c r="C3429" t="inlineStr">
        <is>
          <t>Föryngringsavverkning</t>
        </is>
      </c>
      <c r="D3429" s="1" t="n">
        <v>45151</v>
      </c>
      <c r="E3429" s="1" t="n">
        <v>46319</v>
      </c>
      <c r="F3429" t="inlineStr">
        <is>
          <t>DALARNAS LÄN</t>
        </is>
      </c>
      <c r="G3429" t="inlineStr">
        <is>
          <t>LEKSAND</t>
        </is>
      </c>
      <c r="I3429" t="n">
        <v>1.2</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53560-2025</t>
        </is>
      </c>
      <c r="B3430" t="inlineStr">
        <is>
          <t>avverkningsanmälan</t>
        </is>
      </c>
      <c r="C3430" t="inlineStr">
        <is>
          <t>Föryngringsavverkning</t>
        </is>
      </c>
      <c r="D3430" s="1" t="n">
        <v>45960</v>
      </c>
      <c r="E3430" s="1" t="n">
        <v>46319</v>
      </c>
      <c r="F3430" t="inlineStr">
        <is>
          <t>DALARNAS LÄN</t>
        </is>
      </c>
      <c r="G3430" t="inlineStr">
        <is>
          <t>MORA</t>
        </is>
      </c>
      <c r="I3430" t="n">
        <v>5.2</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53562-2025</t>
        </is>
      </c>
      <c r="B3431" t="inlineStr">
        <is>
          <t>avverkningsanmälan</t>
        </is>
      </c>
      <c r="C3431" t="inlineStr">
        <is>
          <t>Föryngringsavverkning</t>
        </is>
      </c>
      <c r="D3431" s="1" t="n">
        <v>45960</v>
      </c>
      <c r="E3431" s="1" t="n">
        <v>46319</v>
      </c>
      <c r="F3431" t="inlineStr">
        <is>
          <t>DALARNAS LÄN</t>
        </is>
      </c>
      <c r="G3431" t="inlineStr">
        <is>
          <t>MORA</t>
        </is>
      </c>
      <c r="I3431" t="n">
        <v>5.1</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3686-2024</t>
        </is>
      </c>
      <c r="B3432" t="inlineStr">
        <is>
          <t>avverkningsanmälan</t>
        </is>
      </c>
      <c r="C3432" t="inlineStr">
        <is>
          <t>Föryngringsavverkning</t>
        </is>
      </c>
      <c r="D3432" s="1" t="n">
        <v>45321</v>
      </c>
      <c r="E3432" s="1" t="n">
        <v>46319</v>
      </c>
      <c r="F3432" t="inlineStr">
        <is>
          <t>DALARNAS LÄN</t>
        </is>
      </c>
      <c r="G3432" t="inlineStr">
        <is>
          <t>RÄTTVIK</t>
        </is>
      </c>
      <c r="I3432" t="n">
        <v>0.2</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26615-2022</t>
        </is>
      </c>
      <c r="B3433" t="inlineStr">
        <is>
          <t>avverkningsanmälan</t>
        </is>
      </c>
      <c r="C3433" t="inlineStr">
        <is>
          <t>Avverkning för annat ändamål</t>
        </is>
      </c>
      <c r="D3433" s="1" t="n">
        <v>44739</v>
      </c>
      <c r="E3433" s="1" t="n">
        <v>46319</v>
      </c>
      <c r="F3433" t="inlineStr">
        <is>
          <t>DALARNAS LÄN</t>
        </is>
      </c>
      <c r="G3433" t="inlineStr">
        <is>
          <t>FALUN</t>
        </is>
      </c>
      <c r="I3433" t="n">
        <v>1.3</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48521-2024</t>
        </is>
      </c>
      <c r="B3434" t="inlineStr">
        <is>
          <t>avverkningsanmälan</t>
        </is>
      </c>
      <c r="C3434" t="inlineStr">
        <is>
          <t>Föryngringsavverkning</t>
        </is>
      </c>
      <c r="D3434" s="1" t="n">
        <v>45593</v>
      </c>
      <c r="E3434" s="1" t="n">
        <v>46319</v>
      </c>
      <c r="F3434" t="inlineStr">
        <is>
          <t>DALARNAS LÄN</t>
        </is>
      </c>
      <c r="G3434" t="inlineStr">
        <is>
          <t>ORSA</t>
        </is>
      </c>
      <c r="I3434" t="n">
        <v>1.6</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53711-2025</t>
        </is>
      </c>
      <c r="B3435" t="inlineStr">
        <is>
          <t>avverkningsanmälan</t>
        </is>
      </c>
      <c r="C3435" t="inlineStr">
        <is>
          <t>Föryngringsavverkning</t>
        </is>
      </c>
      <c r="D3435" s="1" t="n">
        <v>45960</v>
      </c>
      <c r="E3435" s="1" t="n">
        <v>46319</v>
      </c>
      <c r="F3435" t="inlineStr">
        <is>
          <t>DALARNAS LÄN</t>
        </is>
      </c>
      <c r="G3435" t="inlineStr">
        <is>
          <t>RÄTTVIK</t>
        </is>
      </c>
      <c r="I3435" t="n">
        <v>2.4</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1804-2024</t>
        </is>
      </c>
      <c r="B3436" t="inlineStr">
        <is>
          <t>avverkningsanmälan</t>
        </is>
      </c>
      <c r="C3436" t="inlineStr">
        <is>
          <t>Föryngringsavverkning</t>
        </is>
      </c>
      <c r="D3436" s="1" t="n">
        <v>45307</v>
      </c>
      <c r="E3436" s="1" t="n">
        <v>46319</v>
      </c>
      <c r="F3436" t="inlineStr">
        <is>
          <t>DALARNAS LÄN</t>
        </is>
      </c>
      <c r="G3436" t="inlineStr">
        <is>
          <t>ÄLVDALEN</t>
        </is>
      </c>
      <c r="I3436" t="n">
        <v>1.9</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57817-2023</t>
        </is>
      </c>
      <c r="B3437" t="inlineStr">
        <is>
          <t>avverkningsanmälan</t>
        </is>
      </c>
      <c r="C3437" t="inlineStr">
        <is>
          <t>Föryngringsavverkning</t>
        </is>
      </c>
      <c r="D3437" s="1" t="n">
        <v>45247</v>
      </c>
      <c r="E3437" s="1" t="n">
        <v>46319</v>
      </c>
      <c r="F3437" t="inlineStr">
        <is>
          <t>DALARNAS LÄN</t>
        </is>
      </c>
      <c r="G3437" t="inlineStr">
        <is>
          <t>ÄLVDALEN</t>
        </is>
      </c>
      <c r="I3437" t="n">
        <v>6.4</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26622-2026</t>
        </is>
      </c>
      <c r="B3438" t="inlineStr">
        <is>
          <t>avverkningsanmälan</t>
        </is>
      </c>
      <c r="C3438" t="inlineStr">
        <is>
          <t>Föryngringsavverkning</t>
        </is>
      </c>
      <c r="D3438" s="1" t="n">
        <v>46184</v>
      </c>
      <c r="E3438" s="1" t="n">
        <v>46319</v>
      </c>
      <c r="F3438" t="inlineStr">
        <is>
          <t>DALARNAS LÄN</t>
        </is>
      </c>
      <c r="G3438" t="inlineStr">
        <is>
          <t>RÄTTVIK</t>
        </is>
      </c>
      <c r="H3438" t="inlineStr">
        <is>
          <t>Sveaskog</t>
        </is>
      </c>
      <c r="I3438" t="n">
        <v>3.4</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53616-2025</t>
        </is>
      </c>
      <c r="B3439" t="inlineStr">
        <is>
          <t>avverkningsanmälan</t>
        </is>
      </c>
      <c r="C3439" t="inlineStr">
        <is>
          <t>Föryngringsavverkning</t>
        </is>
      </c>
      <c r="D3439" s="1" t="n">
        <v>45960</v>
      </c>
      <c r="E3439" s="1" t="n">
        <v>46319</v>
      </c>
      <c r="F3439" t="inlineStr">
        <is>
          <t>DALARNAS LÄN</t>
        </is>
      </c>
      <c r="G3439" t="inlineStr">
        <is>
          <t>MALUNG-SÄLEN</t>
        </is>
      </c>
      <c r="H3439" t="inlineStr">
        <is>
          <t>Bergvik skog väst AB</t>
        </is>
      </c>
      <c r="I3439" t="n">
        <v>6.5</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60649-2024</t>
        </is>
      </c>
      <c r="B3440" t="inlineStr">
        <is>
          <t>avverkningsanmälan</t>
        </is>
      </c>
      <c r="C3440" t="inlineStr">
        <is>
          <t>Föryngringsavverkning</t>
        </is>
      </c>
      <c r="D3440" s="1" t="n">
        <v>45644</v>
      </c>
      <c r="E3440" s="1" t="n">
        <v>46319</v>
      </c>
      <c r="F3440" t="inlineStr">
        <is>
          <t>DALARNAS LÄN</t>
        </is>
      </c>
      <c r="G3440" t="inlineStr">
        <is>
          <t>MALUNG-SÄLEN</t>
        </is>
      </c>
      <c r="I3440" t="n">
        <v>1.9</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60660-2024</t>
        </is>
      </c>
      <c r="B3441" t="inlineStr">
        <is>
          <t>avverkningsanmälan</t>
        </is>
      </c>
      <c r="C3441" t="inlineStr">
        <is>
          <t>Föryngringsavverkning</t>
        </is>
      </c>
      <c r="D3441" s="1" t="n">
        <v>45644</v>
      </c>
      <c r="E3441" s="1" t="n">
        <v>46319</v>
      </c>
      <c r="F3441" t="inlineStr">
        <is>
          <t>DALARNAS LÄN</t>
        </is>
      </c>
      <c r="G3441" t="inlineStr">
        <is>
          <t>LUDVIKA</t>
        </is>
      </c>
      <c r="I3441" t="n">
        <v>0.7</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21581-2026</t>
        </is>
      </c>
      <c r="B3442" t="inlineStr">
        <is>
          <t>avverkningsanmälan</t>
        </is>
      </c>
      <c r="C3442" t="inlineStr">
        <is>
          <t>Föryngringsavverkning</t>
        </is>
      </c>
      <c r="D3442" s="1" t="n">
        <v>46148</v>
      </c>
      <c r="E3442" s="1" t="n">
        <v>46319</v>
      </c>
      <c r="F3442" t="inlineStr">
        <is>
          <t>DALARNAS LÄN</t>
        </is>
      </c>
      <c r="G3442" t="inlineStr">
        <is>
          <t>HEDEMORA</t>
        </is>
      </c>
      <c r="H3442" t="inlineStr">
        <is>
          <t>Sveaskog</t>
        </is>
      </c>
      <c r="I3442" t="n">
        <v>1.6</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39828-2025</t>
        </is>
      </c>
      <c r="B3443" t="inlineStr">
        <is>
          <t>avverkningsanmälan</t>
        </is>
      </c>
      <c r="C3443" t="inlineStr">
        <is>
          <t>Föryngringsavverkning</t>
        </is>
      </c>
      <c r="D3443" s="1" t="n">
        <v>45891</v>
      </c>
      <c r="E3443" s="1" t="n">
        <v>46319</v>
      </c>
      <c r="F3443" t="inlineStr">
        <is>
          <t>DALARNAS LÄN</t>
        </is>
      </c>
      <c r="G3443" t="inlineStr">
        <is>
          <t>LUDVIKA</t>
        </is>
      </c>
      <c r="H3443" t="inlineStr">
        <is>
          <t>Bergvik skog väst AB</t>
        </is>
      </c>
      <c r="I3443" t="n">
        <v>0.8</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1530-2025</t>
        </is>
      </c>
      <c r="B3444" t="inlineStr">
        <is>
          <t>avverkningsanmälan</t>
        </is>
      </c>
      <c r="C3444" t="inlineStr">
        <is>
          <t>Föryngringsavverkning</t>
        </is>
      </c>
      <c r="D3444" s="1" t="n">
        <v>45670</v>
      </c>
      <c r="E3444" s="1" t="n">
        <v>46319</v>
      </c>
      <c r="F3444" t="inlineStr">
        <is>
          <t>DALARNAS LÄN</t>
        </is>
      </c>
      <c r="G3444" t="inlineStr">
        <is>
          <t>MALUNG-SÄLEN</t>
        </is>
      </c>
      <c r="I3444" t="n">
        <v>2.1</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54015-2025</t>
        </is>
      </c>
      <c r="B3445" t="inlineStr">
        <is>
          <t>avverkningsanmälan</t>
        </is>
      </c>
      <c r="C3445" t="inlineStr">
        <is>
          <t>Föryngringsavverkning</t>
        </is>
      </c>
      <c r="D3445" s="1" t="n">
        <v>45961</v>
      </c>
      <c r="E3445" s="1" t="n">
        <v>46319</v>
      </c>
      <c r="F3445" t="inlineStr">
        <is>
          <t>DALARNAS LÄN</t>
        </is>
      </c>
      <c r="G3445" t="inlineStr">
        <is>
          <t>LEKSAND</t>
        </is>
      </c>
      <c r="I3445" t="n">
        <v>1</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27344-2026</t>
        </is>
      </c>
      <c r="B3446" t="inlineStr">
        <is>
          <t>avverkningsanmälan</t>
        </is>
      </c>
      <c r="C3446" t="inlineStr">
        <is>
          <t>Föryngringsavverkning</t>
        </is>
      </c>
      <c r="D3446" s="1" t="n">
        <v>46188</v>
      </c>
      <c r="E3446" s="1" t="n">
        <v>46319</v>
      </c>
      <c r="F3446" t="inlineStr">
        <is>
          <t>DALARNAS LÄN</t>
        </is>
      </c>
      <c r="G3446" t="inlineStr">
        <is>
          <t>VANSBRO</t>
        </is>
      </c>
      <c r="H3446" t="inlineStr">
        <is>
          <t>Bergvik skog väst AB</t>
        </is>
      </c>
      <c r="I3446" t="n">
        <v>2.5</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53917-2025</t>
        </is>
      </c>
      <c r="B3447" t="inlineStr">
        <is>
          <t>avverkningsanmälan</t>
        </is>
      </c>
      <c r="C3447" t="inlineStr">
        <is>
          <t>Avverkning för annat ändamål</t>
        </is>
      </c>
      <c r="D3447" s="1" t="n">
        <v>45961</v>
      </c>
      <c r="E3447" s="1" t="n">
        <v>46319</v>
      </c>
      <c r="F3447" t="inlineStr">
        <is>
          <t>DALARNAS LÄN</t>
        </is>
      </c>
      <c r="G3447" t="inlineStr">
        <is>
          <t>GAGNEF</t>
        </is>
      </c>
      <c r="H3447" t="inlineStr">
        <is>
          <t>Kommuner</t>
        </is>
      </c>
      <c r="I3447" t="n">
        <v>1.8</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27168-2026</t>
        </is>
      </c>
      <c r="B3448" t="inlineStr">
        <is>
          <t>avverkningsanmälan</t>
        </is>
      </c>
      <c r="C3448" t="inlineStr">
        <is>
          <t>Föryngringsavverkning</t>
        </is>
      </c>
      <c r="D3448" s="1" t="n">
        <v>46188</v>
      </c>
      <c r="E3448" s="1" t="n">
        <v>46319</v>
      </c>
      <c r="F3448" t="inlineStr">
        <is>
          <t>DALARNAS LÄN</t>
        </is>
      </c>
      <c r="G3448" t="inlineStr">
        <is>
          <t>MORA</t>
        </is>
      </c>
      <c r="I3448" t="n">
        <v>0.9</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39772-2025</t>
        </is>
      </c>
      <c r="B3449" t="inlineStr">
        <is>
          <t>avverkningsanmälan</t>
        </is>
      </c>
      <c r="C3449" t="inlineStr">
        <is>
          <t>Föryngringsavverkning</t>
        </is>
      </c>
      <c r="D3449" s="1" t="n">
        <v>45891</v>
      </c>
      <c r="E3449" s="1" t="n">
        <v>46319</v>
      </c>
      <c r="F3449" t="inlineStr">
        <is>
          <t>DALARNAS LÄN</t>
        </is>
      </c>
      <c r="G3449" t="inlineStr">
        <is>
          <t>LUDVIKA</t>
        </is>
      </c>
      <c r="H3449" t="inlineStr">
        <is>
          <t>Bergvik skog väst AB</t>
        </is>
      </c>
      <c r="I3449" t="n">
        <v>14.1</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27467-2026</t>
        </is>
      </c>
      <c r="B3450" t="inlineStr">
        <is>
          <t>avverkningsanmälan</t>
        </is>
      </c>
      <c r="C3450" t="inlineStr">
        <is>
          <t>Föryngringsavverkning</t>
        </is>
      </c>
      <c r="D3450" s="1" t="n">
        <v>46189</v>
      </c>
      <c r="E3450" s="1" t="n">
        <v>46319</v>
      </c>
      <c r="F3450" t="inlineStr">
        <is>
          <t>DALARNAS LÄN</t>
        </is>
      </c>
      <c r="G3450" t="inlineStr">
        <is>
          <t>RÄTTVIK</t>
        </is>
      </c>
      <c r="H3450" t="inlineStr">
        <is>
          <t>Bergvik skog väst AB</t>
        </is>
      </c>
      <c r="I3450" t="n">
        <v>3.1</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36891-2024</t>
        </is>
      </c>
      <c r="B3451" t="inlineStr">
        <is>
          <t>avverkningsanmälan</t>
        </is>
      </c>
      <c r="C3451" t="inlineStr">
        <is>
          <t>Föryngringsavverkning</t>
        </is>
      </c>
      <c r="D3451" s="1" t="n">
        <v>45538</v>
      </c>
      <c r="E3451" s="1" t="n">
        <v>46319</v>
      </c>
      <c r="F3451" t="inlineStr">
        <is>
          <t>DALARNAS LÄN</t>
        </is>
      </c>
      <c r="G3451" t="inlineStr">
        <is>
          <t>GAGNEF</t>
        </is>
      </c>
      <c r="H3451" t="inlineStr">
        <is>
          <t>Bergvik skog väst AB</t>
        </is>
      </c>
      <c r="I3451" t="n">
        <v>1</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54220-2025</t>
        </is>
      </c>
      <c r="B3452" t="inlineStr">
        <is>
          <t>avverkningsanmälan</t>
        </is>
      </c>
      <c r="C3452" t="inlineStr">
        <is>
          <t>Föryngringsavverkning</t>
        </is>
      </c>
      <c r="D3452" s="1" t="n">
        <v>45964</v>
      </c>
      <c r="E3452" s="1" t="n">
        <v>46319</v>
      </c>
      <c r="F3452" t="inlineStr">
        <is>
          <t>DALARNAS LÄN</t>
        </is>
      </c>
      <c r="G3452" t="inlineStr">
        <is>
          <t>MALUNG-SÄLEN</t>
        </is>
      </c>
      <c r="I3452" t="n">
        <v>3.4</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37678-2024</t>
        </is>
      </c>
      <c r="B3453" t="inlineStr">
        <is>
          <t>avverkningsanmälan</t>
        </is>
      </c>
      <c r="C3453" t="inlineStr">
        <is>
          <t>Föryngringsavverkning</t>
        </is>
      </c>
      <c r="D3453" s="1" t="n">
        <v>45541</v>
      </c>
      <c r="E3453" s="1" t="n">
        <v>46319</v>
      </c>
      <c r="F3453" t="inlineStr">
        <is>
          <t>DALARNAS LÄN</t>
        </is>
      </c>
      <c r="G3453" t="inlineStr">
        <is>
          <t>MALUNG-SÄLEN</t>
        </is>
      </c>
      <c r="H3453" t="inlineStr">
        <is>
          <t>Bergvik skog öst AB</t>
        </is>
      </c>
      <c r="I3453" t="n">
        <v>6.7</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50721-2025</t>
        </is>
      </c>
      <c r="B3454" t="inlineStr">
        <is>
          <t>avverkningsanmälan</t>
        </is>
      </c>
      <c r="C3454" t="inlineStr">
        <is>
          <t>Föryngringsavverkning</t>
        </is>
      </c>
      <c r="D3454" s="1" t="n">
        <v>45946</v>
      </c>
      <c r="E3454" s="1" t="n">
        <v>46319</v>
      </c>
      <c r="F3454" t="inlineStr">
        <is>
          <t>DALARNAS LÄN</t>
        </is>
      </c>
      <c r="G3454" t="inlineStr">
        <is>
          <t>BORLÄNGE</t>
        </is>
      </c>
      <c r="I3454" t="n">
        <v>11.1</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24511-2024</t>
        </is>
      </c>
      <c r="B3455" t="inlineStr">
        <is>
          <t>avverkningsanmälan</t>
        </is>
      </c>
      <c r="C3455" t="inlineStr">
        <is>
          <t>Föryngringsavverkning</t>
        </is>
      </c>
      <c r="D3455" s="1" t="n">
        <v>45460</v>
      </c>
      <c r="E3455" s="1" t="n">
        <v>46319</v>
      </c>
      <c r="F3455" t="inlineStr">
        <is>
          <t>DALARNAS LÄN</t>
        </is>
      </c>
      <c r="G3455" t="inlineStr">
        <is>
          <t>MALUNG-SÄLEN</t>
        </is>
      </c>
      <c r="H3455" t="inlineStr">
        <is>
          <t>Bergvik skog öst AB</t>
        </is>
      </c>
      <c r="I3455" t="n">
        <v>5.7</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8100-2024</t>
        </is>
      </c>
      <c r="B3456" t="inlineStr">
        <is>
          <t>avverkningsanmälan</t>
        </is>
      </c>
      <c r="C3456" t="inlineStr">
        <is>
          <t>Föryngringsavverkning</t>
        </is>
      </c>
      <c r="D3456" s="1" t="n">
        <v>45351</v>
      </c>
      <c r="E3456" s="1" t="n">
        <v>46319</v>
      </c>
      <c r="F3456" t="inlineStr">
        <is>
          <t>DALARNAS LÄN</t>
        </is>
      </c>
      <c r="G3456" t="inlineStr">
        <is>
          <t>MORA</t>
        </is>
      </c>
      <c r="I3456" t="n">
        <v>3.2</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25894-2025</t>
        </is>
      </c>
      <c r="B3457" t="inlineStr">
        <is>
          <t>avverkningsanmälan</t>
        </is>
      </c>
      <c r="C3457" t="inlineStr">
        <is>
          <t>Föryngringsavverkning</t>
        </is>
      </c>
      <c r="D3457" s="1" t="n">
        <v>45804</v>
      </c>
      <c r="E3457" s="1" t="n">
        <v>46319</v>
      </c>
      <c r="F3457" t="inlineStr">
        <is>
          <t>DALARNAS LÄN</t>
        </is>
      </c>
      <c r="G3457" t="inlineStr">
        <is>
          <t>FALUN</t>
        </is>
      </c>
      <c r="H3457" t="inlineStr">
        <is>
          <t>Bergvik skog väst AB</t>
        </is>
      </c>
      <c r="I3457" t="n">
        <v>17.5</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27265-2026</t>
        </is>
      </c>
      <c r="B3458" t="inlineStr">
        <is>
          <t>avverkningsanmälan</t>
        </is>
      </c>
      <c r="C3458" t="inlineStr">
        <is>
          <t>Föryngringsavverkning</t>
        </is>
      </c>
      <c r="D3458" s="1" t="n">
        <v>46188</v>
      </c>
      <c r="E3458" s="1" t="n">
        <v>46319</v>
      </c>
      <c r="F3458" t="inlineStr">
        <is>
          <t>DALARNAS LÄN</t>
        </is>
      </c>
      <c r="G3458" t="inlineStr">
        <is>
          <t>FALUN</t>
        </is>
      </c>
      <c r="I3458" t="n">
        <v>2.5</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60086-2023</t>
        </is>
      </c>
      <c r="B3459" t="inlineStr">
        <is>
          <t>avverkningsanmälan</t>
        </is>
      </c>
      <c r="C3459" t="inlineStr">
        <is>
          <t>Föryngringsavverkning</t>
        </is>
      </c>
      <c r="D3459" s="1" t="n">
        <v>45258</v>
      </c>
      <c r="E3459" s="1" t="n">
        <v>46319</v>
      </c>
      <c r="F3459" t="inlineStr">
        <is>
          <t>DALARNAS LÄN</t>
        </is>
      </c>
      <c r="G3459" t="inlineStr">
        <is>
          <t>BORLÄNGE</t>
        </is>
      </c>
      <c r="I3459" t="n">
        <v>0.4</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38755-2025</t>
        </is>
      </c>
      <c r="B3460" t="inlineStr">
        <is>
          <t>avverkningsanmälan</t>
        </is>
      </c>
      <c r="C3460" t="inlineStr">
        <is>
          <t>Föryngringsavverkning</t>
        </is>
      </c>
      <c r="D3460" s="1" t="n">
        <v>45887</v>
      </c>
      <c r="E3460" s="1" t="n">
        <v>46319</v>
      </c>
      <c r="F3460" t="inlineStr">
        <is>
          <t>DALARNAS LÄN</t>
        </is>
      </c>
      <c r="G3460" t="inlineStr">
        <is>
          <t>SMEDJEBACKEN</t>
        </is>
      </c>
      <c r="H3460" t="inlineStr">
        <is>
          <t>Sveaskog</t>
        </is>
      </c>
      <c r="I3460" t="n">
        <v>2.7</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27313-2026</t>
        </is>
      </c>
      <c r="B3461" t="inlineStr">
        <is>
          <t>avverkningsanmälan</t>
        </is>
      </c>
      <c r="C3461" t="inlineStr">
        <is>
          <t>Föryngringsavverkning</t>
        </is>
      </c>
      <c r="D3461" s="1" t="n">
        <v>46188</v>
      </c>
      <c r="E3461" s="1" t="n">
        <v>46319</v>
      </c>
      <c r="F3461" t="inlineStr">
        <is>
          <t>DALARNAS LÄN</t>
        </is>
      </c>
      <c r="G3461" t="inlineStr">
        <is>
          <t>FALUN</t>
        </is>
      </c>
      <c r="I3461" t="n">
        <v>2.4</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54113-2025</t>
        </is>
      </c>
      <c r="B3462" t="inlineStr">
        <is>
          <t>avverkningsanmälan</t>
        </is>
      </c>
      <c r="C3462" t="inlineStr">
        <is>
          <t>Föryngringsavverkning</t>
        </is>
      </c>
      <c r="D3462" s="1" t="n">
        <v>45964</v>
      </c>
      <c r="E3462" s="1" t="n">
        <v>46319</v>
      </c>
      <c r="F3462" t="inlineStr">
        <is>
          <t>DALARNAS LÄN</t>
        </is>
      </c>
      <c r="G3462" t="inlineStr">
        <is>
          <t>MALUNG-SÄLEN</t>
        </is>
      </c>
      <c r="H3462" t="inlineStr">
        <is>
          <t>Bergvik skog öst AB</t>
        </is>
      </c>
      <c r="I3462" t="n">
        <v>1.4</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54120-2025</t>
        </is>
      </c>
      <c r="B3463" t="inlineStr">
        <is>
          <t>avverkningsanmälan</t>
        </is>
      </c>
      <c r="C3463" t="inlineStr">
        <is>
          <t>Föryngringsavverkning</t>
        </is>
      </c>
      <c r="D3463" s="1" t="n">
        <v>45964</v>
      </c>
      <c r="E3463" s="1" t="n">
        <v>46319</v>
      </c>
      <c r="F3463" t="inlineStr">
        <is>
          <t>DALARNAS LÄN</t>
        </is>
      </c>
      <c r="G3463" t="inlineStr">
        <is>
          <t>LEKSAND</t>
        </is>
      </c>
      <c r="I3463" t="n">
        <v>0.7</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27267-2026</t>
        </is>
      </c>
      <c r="B3464" t="inlineStr">
        <is>
          <t>avverkningsanmälan</t>
        </is>
      </c>
      <c r="C3464" t="inlineStr">
        <is>
          <t>Föryngringsavverkning</t>
        </is>
      </c>
      <c r="D3464" s="1" t="n">
        <v>46188</v>
      </c>
      <c r="E3464" s="1" t="n">
        <v>46319</v>
      </c>
      <c r="F3464" t="inlineStr">
        <is>
          <t>DALARNAS LÄN</t>
        </is>
      </c>
      <c r="G3464" t="inlineStr">
        <is>
          <t>FALUN</t>
        </is>
      </c>
      <c r="I3464" t="n">
        <v>4.8</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27335-2026</t>
        </is>
      </c>
      <c r="B3465" t="inlineStr">
        <is>
          <t>avverkningsanmälan</t>
        </is>
      </c>
      <c r="C3465" t="inlineStr">
        <is>
          <t>Föryngringsavverkning</t>
        </is>
      </c>
      <c r="D3465" s="1" t="n">
        <v>46188</v>
      </c>
      <c r="E3465" s="1" t="n">
        <v>46319</v>
      </c>
      <c r="F3465" t="inlineStr">
        <is>
          <t>DALARNAS LÄN</t>
        </is>
      </c>
      <c r="G3465" t="inlineStr">
        <is>
          <t>FALUN</t>
        </is>
      </c>
      <c r="H3465" t="inlineStr">
        <is>
          <t>Bergvik skog väst AB</t>
        </is>
      </c>
      <c r="I3465" t="n">
        <v>11.5</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380-2024</t>
        </is>
      </c>
      <c r="B3466" t="inlineStr">
        <is>
          <t>avverkningsanmälan</t>
        </is>
      </c>
      <c r="C3466" t="inlineStr">
        <is>
          <t>Föryngringsavverkning</t>
        </is>
      </c>
      <c r="D3466" s="1" t="n">
        <v>45296</v>
      </c>
      <c r="E3466" s="1" t="n">
        <v>46319</v>
      </c>
      <c r="F3466" t="inlineStr">
        <is>
          <t>DALARNAS LÄN</t>
        </is>
      </c>
      <c r="G3466" t="inlineStr">
        <is>
          <t>VANSBRO</t>
        </is>
      </c>
      <c r="I3466" t="n">
        <v>4</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54100-2025</t>
        </is>
      </c>
      <c r="B3467" t="inlineStr">
        <is>
          <t>avverkningsanmälan</t>
        </is>
      </c>
      <c r="C3467" t="inlineStr">
        <is>
          <t>Föryngringsavverkning</t>
        </is>
      </c>
      <c r="D3467" s="1" t="n">
        <v>45964</v>
      </c>
      <c r="E3467" s="1" t="n">
        <v>46319</v>
      </c>
      <c r="F3467" t="inlineStr">
        <is>
          <t>DALARNAS LÄN</t>
        </is>
      </c>
      <c r="G3467" t="inlineStr">
        <is>
          <t>VANSBRO</t>
        </is>
      </c>
      <c r="H3467" t="inlineStr">
        <is>
          <t>Bergvik skog öst AB</t>
        </is>
      </c>
      <c r="I3467" t="n">
        <v>1.2</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46721-2023</t>
        </is>
      </c>
      <c r="B3468" t="inlineStr">
        <is>
          <t>avverkningsanmälan</t>
        </is>
      </c>
      <c r="C3468" t="inlineStr">
        <is>
          <t>Föryngringsavverkning</t>
        </is>
      </c>
      <c r="D3468" s="1" t="n">
        <v>45198</v>
      </c>
      <c r="E3468" s="1" t="n">
        <v>46319</v>
      </c>
      <c r="F3468" t="inlineStr">
        <is>
          <t>DALARNAS LÄN</t>
        </is>
      </c>
      <c r="G3468" t="inlineStr">
        <is>
          <t>RÄTTVIK</t>
        </is>
      </c>
      <c r="I3468" t="n">
        <v>4</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54152-2025</t>
        </is>
      </c>
      <c r="B3469" t="inlineStr">
        <is>
          <t>avverkningsanmälan</t>
        </is>
      </c>
      <c r="C3469" t="inlineStr">
        <is>
          <t>Föryngringsavverkning</t>
        </is>
      </c>
      <c r="D3469" s="1" t="n">
        <v>45964</v>
      </c>
      <c r="E3469" s="1" t="n">
        <v>46319</v>
      </c>
      <c r="F3469" t="inlineStr">
        <is>
          <t>DALARNAS LÄN</t>
        </is>
      </c>
      <c r="G3469" t="inlineStr">
        <is>
          <t>MALUNG-SÄLEN</t>
        </is>
      </c>
      <c r="I3469" t="n">
        <v>2.9</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54035-2025</t>
        </is>
      </c>
      <c r="B3470" t="inlineStr">
        <is>
          <t>avverkningsanmälan</t>
        </is>
      </c>
      <c r="C3470" t="inlineStr">
        <is>
          <t>Föryngringsavverkning</t>
        </is>
      </c>
      <c r="D3470" s="1" t="n">
        <v>45963</v>
      </c>
      <c r="E3470" s="1" t="n">
        <v>46319</v>
      </c>
      <c r="F3470" t="inlineStr">
        <is>
          <t>DALARNAS LÄN</t>
        </is>
      </c>
      <c r="G3470" t="inlineStr">
        <is>
          <t>LUDVIKA</t>
        </is>
      </c>
      <c r="H3470" t="inlineStr">
        <is>
          <t>Bergvik skog väst AB</t>
        </is>
      </c>
      <c r="I3470" t="n">
        <v>2.5</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27477-2026</t>
        </is>
      </c>
      <c r="B3471" t="inlineStr">
        <is>
          <t>avverkningsanmälan</t>
        </is>
      </c>
      <c r="C3471" t="inlineStr">
        <is>
          <t>Föryngringsavverkning</t>
        </is>
      </c>
      <c r="D3471" s="1" t="n">
        <v>46189</v>
      </c>
      <c r="E3471" s="1" t="n">
        <v>46319</v>
      </c>
      <c r="F3471" t="inlineStr">
        <is>
          <t>DALARNAS LÄN</t>
        </is>
      </c>
      <c r="G3471" t="inlineStr">
        <is>
          <t>MALUNG-SÄLEN</t>
        </is>
      </c>
      <c r="H3471" t="inlineStr">
        <is>
          <t>Allmännings- och besparingsskogar</t>
        </is>
      </c>
      <c r="I3471" t="n">
        <v>0.6</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53878-2025</t>
        </is>
      </c>
      <c r="B3472" t="inlineStr">
        <is>
          <t>avverkningsanmälan</t>
        </is>
      </c>
      <c r="C3472" t="inlineStr">
        <is>
          <t>Föryngringsavverkning</t>
        </is>
      </c>
      <c r="D3472" s="1" t="n">
        <v>45961</v>
      </c>
      <c r="E3472" s="1" t="n">
        <v>46319</v>
      </c>
      <c r="F3472" t="inlineStr">
        <is>
          <t>DALARNAS LÄN</t>
        </is>
      </c>
      <c r="G3472" t="inlineStr">
        <is>
          <t>SÄTER</t>
        </is>
      </c>
      <c r="I3472" t="n">
        <v>3.3</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54114-2025</t>
        </is>
      </c>
      <c r="B3473" t="inlineStr">
        <is>
          <t>avverkningsanmälan</t>
        </is>
      </c>
      <c r="C3473" t="inlineStr">
        <is>
          <t>Föryngringsavverkning</t>
        </is>
      </c>
      <c r="D3473" s="1" t="n">
        <v>45964</v>
      </c>
      <c r="E3473" s="1" t="n">
        <v>46319</v>
      </c>
      <c r="F3473" t="inlineStr">
        <is>
          <t>DALARNAS LÄN</t>
        </is>
      </c>
      <c r="G3473" t="inlineStr">
        <is>
          <t>ÄLVDALEN</t>
        </is>
      </c>
      <c r="H3473" t="inlineStr">
        <is>
          <t>Bergvik skog väst AB</t>
        </is>
      </c>
      <c r="I3473" t="n">
        <v>3.8</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46029-2025</t>
        </is>
      </c>
      <c r="B3474" t="inlineStr">
        <is>
          <t>avverkningsanmälan</t>
        </is>
      </c>
      <c r="C3474" t="inlineStr">
        <is>
          <t>Föryngringsavverkning</t>
        </is>
      </c>
      <c r="D3474" s="1" t="n">
        <v>45924</v>
      </c>
      <c r="E3474" s="1" t="n">
        <v>46319</v>
      </c>
      <c r="F3474" t="inlineStr">
        <is>
          <t>DALARNAS LÄN</t>
        </is>
      </c>
      <c r="G3474" t="inlineStr">
        <is>
          <t>LUDVIKA</t>
        </is>
      </c>
      <c r="H3474" t="inlineStr">
        <is>
          <t>Bergvik skog väst AB</t>
        </is>
      </c>
      <c r="I3474" t="n">
        <v>1.3</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60095-2022</t>
        </is>
      </c>
      <c r="B3475" t="inlineStr">
        <is>
          <t>avverkningsanmälan</t>
        </is>
      </c>
      <c r="C3475" t="inlineStr">
        <is>
          <t>Avverkning för annat ändamål</t>
        </is>
      </c>
      <c r="D3475" s="1" t="n">
        <v>44909</v>
      </c>
      <c r="E3475" s="1" t="n">
        <v>46319</v>
      </c>
      <c r="F3475" t="inlineStr">
        <is>
          <t>DALARNAS LÄN</t>
        </is>
      </c>
      <c r="G3475" t="inlineStr">
        <is>
          <t>LEKSAND</t>
        </is>
      </c>
      <c r="I3475" t="n">
        <v>2.4</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53804-2025</t>
        </is>
      </c>
      <c r="B3476" t="inlineStr">
        <is>
          <t>avverkningsanmälan</t>
        </is>
      </c>
      <c r="C3476" t="inlineStr">
        <is>
          <t>Föryngringsavverkning</t>
        </is>
      </c>
      <c r="D3476" s="1" t="n">
        <v>45960</v>
      </c>
      <c r="E3476" s="1" t="n">
        <v>46319</v>
      </c>
      <c r="F3476" t="inlineStr">
        <is>
          <t>DALARNAS LÄN</t>
        </is>
      </c>
      <c r="G3476" t="inlineStr">
        <is>
          <t>LEKSAND</t>
        </is>
      </c>
      <c r="I3476" t="n">
        <v>1.3</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25809-2024</t>
        </is>
      </c>
      <c r="B3477" t="inlineStr">
        <is>
          <t>avverkningsanmälan</t>
        </is>
      </c>
      <c r="C3477" t="inlineStr">
        <is>
          <t>Föryngringsavverkning</t>
        </is>
      </c>
      <c r="D3477" s="1" t="n">
        <v>45467</v>
      </c>
      <c r="E3477" s="1" t="n">
        <v>46319</v>
      </c>
      <c r="F3477" t="inlineStr">
        <is>
          <t>DALARNAS LÄN</t>
        </is>
      </c>
      <c r="G3477" t="inlineStr">
        <is>
          <t>SMEDJEBACKEN</t>
        </is>
      </c>
      <c r="H3477" t="inlineStr">
        <is>
          <t>Sveaskog</t>
        </is>
      </c>
      <c r="I3477" t="n">
        <v>1.1</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38117-2023</t>
        </is>
      </c>
      <c r="B3478" t="inlineStr">
        <is>
          <t>avverkningsanmälan</t>
        </is>
      </c>
      <c r="C3478" t="inlineStr">
        <is>
          <t>Föryngringsavverkning</t>
        </is>
      </c>
      <c r="D3478" s="1" t="n">
        <v>45161</v>
      </c>
      <c r="E3478" s="1" t="n">
        <v>46319</v>
      </c>
      <c r="F3478" t="inlineStr">
        <is>
          <t>DALARNAS LÄN</t>
        </is>
      </c>
      <c r="G3478" t="inlineStr">
        <is>
          <t>LEKSAND</t>
        </is>
      </c>
      <c r="I3478" t="n">
        <v>1.5</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54040-2025</t>
        </is>
      </c>
      <c r="B3479" t="inlineStr">
        <is>
          <t>avverkningsanmälan</t>
        </is>
      </c>
      <c r="C3479" t="inlineStr">
        <is>
          <t>Föryngringsavverkning</t>
        </is>
      </c>
      <c r="D3479" s="1" t="n">
        <v>45963</v>
      </c>
      <c r="E3479" s="1" t="n">
        <v>46319</v>
      </c>
      <c r="F3479" t="inlineStr">
        <is>
          <t>DALARNAS LÄN</t>
        </is>
      </c>
      <c r="G3479" t="inlineStr">
        <is>
          <t>HEDEMORA</t>
        </is>
      </c>
      <c r="I3479" t="n">
        <v>0.5</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23804-2024</t>
        </is>
      </c>
      <c r="B3480" t="inlineStr">
        <is>
          <t>avverkningsanmälan</t>
        </is>
      </c>
      <c r="C3480" t="inlineStr">
        <is>
          <t>Föryngringsavverkning</t>
        </is>
      </c>
      <c r="D3480" s="1" t="n">
        <v>45455</v>
      </c>
      <c r="E3480" s="1" t="n">
        <v>46319</v>
      </c>
      <c r="F3480" t="inlineStr">
        <is>
          <t>DALARNAS LÄN</t>
        </is>
      </c>
      <c r="G3480" t="inlineStr">
        <is>
          <t>SÄTER</t>
        </is>
      </c>
      <c r="I3480" t="n">
        <v>1.5</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53989-2025</t>
        </is>
      </c>
      <c r="B3481" t="inlineStr">
        <is>
          <t>avverkningsanmälan</t>
        </is>
      </c>
      <c r="C3481" t="inlineStr">
        <is>
          <t>Föryngringsavverkning</t>
        </is>
      </c>
      <c r="D3481" s="1" t="n">
        <v>45961</v>
      </c>
      <c r="E3481" s="1" t="n">
        <v>46319</v>
      </c>
      <c r="F3481" t="inlineStr">
        <is>
          <t>DALARNAS LÄN</t>
        </is>
      </c>
      <c r="G3481" t="inlineStr">
        <is>
          <t>VANSBRO</t>
        </is>
      </c>
      <c r="I3481" t="n">
        <v>1.7</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11418-2023</t>
        </is>
      </c>
      <c r="B3482" t="inlineStr">
        <is>
          <t>avverkningsanmälan</t>
        </is>
      </c>
      <c r="C3482" t="inlineStr">
        <is>
          <t>Föryngringsavverkning</t>
        </is>
      </c>
      <c r="D3482" s="1" t="n">
        <v>44993</v>
      </c>
      <c r="E3482" s="1" t="n">
        <v>46319</v>
      </c>
      <c r="F3482" t="inlineStr">
        <is>
          <t>DALARNAS LÄN</t>
        </is>
      </c>
      <c r="G3482" t="inlineStr">
        <is>
          <t>LEKSAND</t>
        </is>
      </c>
      <c r="I3482" t="n">
        <v>2.7</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54107-2025</t>
        </is>
      </c>
      <c r="B3483" t="inlineStr">
        <is>
          <t>avverkningsanmälan</t>
        </is>
      </c>
      <c r="C3483" t="inlineStr">
        <is>
          <t>Föryngringsavverkning</t>
        </is>
      </c>
      <c r="D3483" s="1" t="n">
        <v>45964</v>
      </c>
      <c r="E3483" s="1" t="n">
        <v>46319</v>
      </c>
      <c r="F3483" t="inlineStr">
        <is>
          <t>DALARNAS LÄN</t>
        </is>
      </c>
      <c r="G3483" t="inlineStr">
        <is>
          <t>SMEDJEBACKEN</t>
        </is>
      </c>
      <c r="H3483" t="inlineStr">
        <is>
          <t>Sveaskog</t>
        </is>
      </c>
      <c r="I3483" t="n">
        <v>9.9</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53987-2025</t>
        </is>
      </c>
      <c r="B3484" t="inlineStr">
        <is>
          <t>avverkningsanmälan</t>
        </is>
      </c>
      <c r="C3484" t="inlineStr">
        <is>
          <t>Avverkning för annat ändamål</t>
        </is>
      </c>
      <c r="D3484" s="1" t="n">
        <v>45961</v>
      </c>
      <c r="E3484" s="1" t="n">
        <v>46319</v>
      </c>
      <c r="F3484" t="inlineStr">
        <is>
          <t>DALARNAS LÄN</t>
        </is>
      </c>
      <c r="G3484" t="inlineStr">
        <is>
          <t>RÄTTVIK</t>
        </is>
      </c>
      <c r="H3484" t="inlineStr">
        <is>
          <t>Sveaskog</t>
        </is>
      </c>
      <c r="I3484" t="n">
        <v>0.9</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53996-2025</t>
        </is>
      </c>
      <c r="B3485" t="inlineStr">
        <is>
          <t>avverkningsanmälan</t>
        </is>
      </c>
      <c r="C3485" t="inlineStr">
        <is>
          <t>Avverkning för att bevara och utveckla /försöksver</t>
        </is>
      </c>
      <c r="D3485" s="1" t="n">
        <v>45961</v>
      </c>
      <c r="E3485" s="1" t="n">
        <v>46319</v>
      </c>
      <c r="F3485" t="inlineStr">
        <is>
          <t>DALARNAS LÄN</t>
        </is>
      </c>
      <c r="G3485" t="inlineStr">
        <is>
          <t>FALUN</t>
        </is>
      </c>
      <c r="H3485" t="inlineStr">
        <is>
          <t>Bergvik skog väst AB</t>
        </is>
      </c>
      <c r="I3485" t="n">
        <v>4.8</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28613-2026</t>
        </is>
      </c>
      <c r="B3486" t="inlineStr">
        <is>
          <t>avverkningsanmälan</t>
        </is>
      </c>
      <c r="C3486" t="inlineStr">
        <is>
          <t>Föryngringsavverkning</t>
        </is>
      </c>
      <c r="D3486" s="1" t="n">
        <v>46190</v>
      </c>
      <c r="E3486" s="1" t="n">
        <v>46319</v>
      </c>
      <c r="F3486" t="inlineStr">
        <is>
          <t>DALARNAS LÄN</t>
        </is>
      </c>
      <c r="G3486" t="inlineStr">
        <is>
          <t>SÄTER</t>
        </is>
      </c>
      <c r="H3486" t="inlineStr">
        <is>
          <t>Bergvik skog väst AB</t>
        </is>
      </c>
      <c r="I3486" t="n">
        <v>7.5</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43756-2024</t>
        </is>
      </c>
      <c r="B3487" t="inlineStr">
        <is>
          <t>avverkningsanmälan</t>
        </is>
      </c>
      <c r="C3487" t="inlineStr">
        <is>
          <t>Föryngringsavverkning</t>
        </is>
      </c>
      <c r="D3487" s="1" t="n">
        <v>45569</v>
      </c>
      <c r="E3487" s="1" t="n">
        <v>46319</v>
      </c>
      <c r="F3487" t="inlineStr">
        <is>
          <t>DALARNAS LÄN</t>
        </is>
      </c>
      <c r="G3487" t="inlineStr">
        <is>
          <t>RÄTTVIK</t>
        </is>
      </c>
      <c r="I3487" t="n">
        <v>3.8</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54246-2025</t>
        </is>
      </c>
      <c r="B3488" t="inlineStr">
        <is>
          <t>avverkningsanmälan</t>
        </is>
      </c>
      <c r="C3488" t="inlineStr">
        <is>
          <t>Föryngringsavverkning</t>
        </is>
      </c>
      <c r="D3488" s="1" t="n">
        <v>45964</v>
      </c>
      <c r="E3488" s="1" t="n">
        <v>46319</v>
      </c>
      <c r="F3488" t="inlineStr">
        <is>
          <t>DALARNAS LÄN</t>
        </is>
      </c>
      <c r="G3488" t="inlineStr">
        <is>
          <t>SÄTER</t>
        </is>
      </c>
      <c r="H3488" t="inlineStr">
        <is>
          <t>Bergvik skog väst AB</t>
        </is>
      </c>
      <c r="I3488" t="n">
        <v>7.1</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38750-2025</t>
        </is>
      </c>
      <c r="B3489" t="inlineStr">
        <is>
          <t>avverkningsanmälan</t>
        </is>
      </c>
      <c r="C3489" t="inlineStr">
        <is>
          <t>Föryngringsavverkning</t>
        </is>
      </c>
      <c r="D3489" s="1" t="n">
        <v>45887</v>
      </c>
      <c r="E3489" s="1" t="n">
        <v>46319</v>
      </c>
      <c r="F3489" t="inlineStr">
        <is>
          <t>DALARNAS LÄN</t>
        </is>
      </c>
      <c r="G3489" t="inlineStr">
        <is>
          <t>SMEDJEBACKEN</t>
        </is>
      </c>
      <c r="H3489" t="inlineStr">
        <is>
          <t>Sveaskog</t>
        </is>
      </c>
      <c r="I3489" t="n">
        <v>4.8</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22273-2023</t>
        </is>
      </c>
      <c r="B3490" t="inlineStr">
        <is>
          <t>avverkningsanmälan</t>
        </is>
      </c>
      <c r="C3490" t="inlineStr">
        <is>
          <t>Föryngringsavverkning</t>
        </is>
      </c>
      <c r="D3490" s="1" t="n">
        <v>45070</v>
      </c>
      <c r="E3490" s="1" t="n">
        <v>46319</v>
      </c>
      <c r="F3490" t="inlineStr">
        <is>
          <t>DALARNAS LÄN</t>
        </is>
      </c>
      <c r="G3490" t="inlineStr">
        <is>
          <t>HEDEMORA</t>
        </is>
      </c>
      <c r="I3490" t="n">
        <v>1.3</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27629-2026</t>
        </is>
      </c>
      <c r="B3491" t="inlineStr">
        <is>
          <t>avverkningsanmälan</t>
        </is>
      </c>
      <c r="C3491" t="inlineStr">
        <is>
          <t>Föryngringsavverkning</t>
        </is>
      </c>
      <c r="D3491" s="1" t="n">
        <v>46190</v>
      </c>
      <c r="E3491" s="1" t="n">
        <v>46319</v>
      </c>
      <c r="F3491" t="inlineStr">
        <is>
          <t>DALARNAS LÄN</t>
        </is>
      </c>
      <c r="G3491" t="inlineStr">
        <is>
          <t>VANSBRO</t>
        </is>
      </c>
      <c r="I3491" t="n">
        <v>1</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27803-2026</t>
        </is>
      </c>
      <c r="B3492" t="inlineStr">
        <is>
          <t>avverkningsanmälan</t>
        </is>
      </c>
      <c r="C3492" t="inlineStr">
        <is>
          <t>Föryngringsavverkning</t>
        </is>
      </c>
      <c r="D3492" s="1" t="n">
        <v>46189</v>
      </c>
      <c r="E3492" s="1" t="n">
        <v>46319</v>
      </c>
      <c r="F3492" t="inlineStr">
        <is>
          <t>DALARNAS LÄN</t>
        </is>
      </c>
      <c r="G3492" t="inlineStr">
        <is>
          <t>ORSA</t>
        </is>
      </c>
      <c r="I3492" t="n">
        <v>1.1</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54134-2025</t>
        </is>
      </c>
      <c r="B3493" t="inlineStr">
        <is>
          <t>avverkningsanmälan</t>
        </is>
      </c>
      <c r="C3493" t="inlineStr">
        <is>
          <t>Föryngringsavverkning</t>
        </is>
      </c>
      <c r="D3493" s="1" t="n">
        <v>45964</v>
      </c>
      <c r="E3493" s="1" t="n">
        <v>46319</v>
      </c>
      <c r="F3493" t="inlineStr">
        <is>
          <t>DALARNAS LÄN</t>
        </is>
      </c>
      <c r="G3493" t="inlineStr">
        <is>
          <t>MALUNG-SÄLEN</t>
        </is>
      </c>
      <c r="H3493" t="inlineStr">
        <is>
          <t>Bergvik skog öst AB</t>
        </is>
      </c>
      <c r="I3493" t="n">
        <v>1.2</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27145-2026</t>
        </is>
      </c>
      <c r="B3494" t="inlineStr">
        <is>
          <t>avverkningsanmälan</t>
        </is>
      </c>
      <c r="C3494" t="inlineStr">
        <is>
          <t>Föryngringsavverkning</t>
        </is>
      </c>
      <c r="D3494" s="1" t="n">
        <v>46188</v>
      </c>
      <c r="E3494" s="1" t="n">
        <v>46319</v>
      </c>
      <c r="F3494" t="inlineStr">
        <is>
          <t>DALARNAS LÄN</t>
        </is>
      </c>
      <c r="G3494" t="inlineStr">
        <is>
          <t>FALUN</t>
        </is>
      </c>
      <c r="I3494" t="n">
        <v>1.9</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13090-2023</t>
        </is>
      </c>
      <c r="B3495" t="inlineStr">
        <is>
          <t>avverkningsanmälan</t>
        </is>
      </c>
      <c r="C3495" t="inlineStr">
        <is>
          <t>Föryngringsavverkning</t>
        </is>
      </c>
      <c r="D3495" s="1" t="n">
        <v>45002</v>
      </c>
      <c r="E3495" s="1" t="n">
        <v>46319</v>
      </c>
      <c r="F3495" t="inlineStr">
        <is>
          <t>DALARNAS LÄN</t>
        </is>
      </c>
      <c r="G3495" t="inlineStr">
        <is>
          <t>RÄTTVIK</t>
        </is>
      </c>
      <c r="I3495" t="n">
        <v>0.5</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54083-2025</t>
        </is>
      </c>
      <c r="B3496" t="inlineStr">
        <is>
          <t>avverkningsanmälan</t>
        </is>
      </c>
      <c r="C3496" t="inlineStr">
        <is>
          <t>Föryngringsavverkning</t>
        </is>
      </c>
      <c r="D3496" s="1" t="n">
        <v>45964</v>
      </c>
      <c r="E3496" s="1" t="n">
        <v>46319</v>
      </c>
      <c r="F3496" t="inlineStr">
        <is>
          <t>DALARNAS LÄN</t>
        </is>
      </c>
      <c r="G3496" t="inlineStr">
        <is>
          <t>SMEDJEBACKEN</t>
        </is>
      </c>
      <c r="H3496" t="inlineStr">
        <is>
          <t>Sveaskog</t>
        </is>
      </c>
      <c r="I3496" t="n">
        <v>7.1</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54084-2025</t>
        </is>
      </c>
      <c r="B3497" t="inlineStr">
        <is>
          <t>avverkningsanmälan</t>
        </is>
      </c>
      <c r="C3497" t="inlineStr">
        <is>
          <t>Föryngringsavverkning</t>
        </is>
      </c>
      <c r="D3497" s="1" t="n">
        <v>45964</v>
      </c>
      <c r="E3497" s="1" t="n">
        <v>46319</v>
      </c>
      <c r="F3497" t="inlineStr">
        <is>
          <t>DALARNAS LÄN</t>
        </is>
      </c>
      <c r="G3497" t="inlineStr">
        <is>
          <t>SMEDJEBACKEN</t>
        </is>
      </c>
      <c r="H3497" t="inlineStr">
        <is>
          <t>Sveaskog</t>
        </is>
      </c>
      <c r="I3497" t="n">
        <v>1.3</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53982-2025</t>
        </is>
      </c>
      <c r="B3498" t="inlineStr">
        <is>
          <t>avverkningsanmälan</t>
        </is>
      </c>
      <c r="C3498" t="inlineStr">
        <is>
          <t>Föryngringsavverkning</t>
        </is>
      </c>
      <c r="D3498" s="1" t="n">
        <v>45961</v>
      </c>
      <c r="E3498" s="1" t="n">
        <v>46319</v>
      </c>
      <c r="F3498" t="inlineStr">
        <is>
          <t>DALARNAS LÄN</t>
        </is>
      </c>
      <c r="G3498" t="inlineStr">
        <is>
          <t>MORA</t>
        </is>
      </c>
      <c r="I3498" t="n">
        <v>0.8</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52643-2024</t>
        </is>
      </c>
      <c r="B3499" t="inlineStr">
        <is>
          <t>avverkningsanmälan</t>
        </is>
      </c>
      <c r="C3499" t="inlineStr">
        <is>
          <t>Föryngringsavverkning</t>
        </is>
      </c>
      <c r="D3499" s="1" t="n">
        <v>45610</v>
      </c>
      <c r="E3499" s="1" t="n">
        <v>46319</v>
      </c>
      <c r="F3499" t="inlineStr">
        <is>
          <t>DALARNAS LÄN</t>
        </is>
      </c>
      <c r="G3499" t="inlineStr">
        <is>
          <t>ORSA</t>
        </is>
      </c>
      <c r="I3499" t="n">
        <v>1.5</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54125-2025</t>
        </is>
      </c>
      <c r="B3500" t="inlineStr">
        <is>
          <t>avverkningsanmälan</t>
        </is>
      </c>
      <c r="C3500" t="inlineStr">
        <is>
          <t>Föryngringsavverkning</t>
        </is>
      </c>
      <c r="D3500" s="1" t="n">
        <v>45964</v>
      </c>
      <c r="E3500" s="1" t="n">
        <v>46319</v>
      </c>
      <c r="F3500" t="inlineStr">
        <is>
          <t>DALARNAS LÄN</t>
        </is>
      </c>
      <c r="G3500" t="inlineStr">
        <is>
          <t>LEKSAND</t>
        </is>
      </c>
      <c r="I3500" t="n">
        <v>0.6</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27334-2026</t>
        </is>
      </c>
      <c r="B3501" t="inlineStr">
        <is>
          <t>avverkningsanmälan</t>
        </is>
      </c>
      <c r="C3501" t="inlineStr">
        <is>
          <t>Föryngringsavverkning</t>
        </is>
      </c>
      <c r="D3501" s="1" t="n">
        <v>46188</v>
      </c>
      <c r="E3501" s="1" t="n">
        <v>46319</v>
      </c>
      <c r="F3501" t="inlineStr">
        <is>
          <t>DALARNAS LÄN</t>
        </is>
      </c>
      <c r="G3501" t="inlineStr">
        <is>
          <t>VANSBRO</t>
        </is>
      </c>
      <c r="H3501" t="inlineStr">
        <is>
          <t>Bergvik skog väst AB</t>
        </is>
      </c>
      <c r="I3501" t="n">
        <v>1.4</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53836-2025</t>
        </is>
      </c>
      <c r="B3502" t="inlineStr">
        <is>
          <t>avverkningsanmälan</t>
        </is>
      </c>
      <c r="C3502" t="inlineStr">
        <is>
          <t>Föryngringsavverkning</t>
        </is>
      </c>
      <c r="D3502" s="1" t="n">
        <v>45961</v>
      </c>
      <c r="E3502" s="1" t="n">
        <v>46319</v>
      </c>
      <c r="F3502" t="inlineStr">
        <is>
          <t>DALARNAS LÄN</t>
        </is>
      </c>
      <c r="G3502" t="inlineStr">
        <is>
          <t>LEKSAND</t>
        </is>
      </c>
      <c r="I3502" t="n">
        <v>3.5</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27497-2026</t>
        </is>
      </c>
      <c r="B3503" t="inlineStr">
        <is>
          <t>avverkningsanmälan</t>
        </is>
      </c>
      <c r="C3503" t="inlineStr">
        <is>
          <t>Föryngringsavverkning</t>
        </is>
      </c>
      <c r="D3503" s="1" t="n">
        <v>46189</v>
      </c>
      <c r="E3503" s="1" t="n">
        <v>46319</v>
      </c>
      <c r="F3503" t="inlineStr">
        <is>
          <t>DALARNAS LÄN</t>
        </is>
      </c>
      <c r="G3503" t="inlineStr">
        <is>
          <t>MALUNG-SÄLEN</t>
        </is>
      </c>
      <c r="H3503" t="inlineStr">
        <is>
          <t>Allmännings- och besparingsskogar</t>
        </is>
      </c>
      <c r="I3503" t="n">
        <v>23.9</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27511-2026</t>
        </is>
      </c>
      <c r="B3504" t="inlineStr">
        <is>
          <t>avverkningsanmälan</t>
        </is>
      </c>
      <c r="C3504" t="inlineStr">
        <is>
          <t>Föryngringsavverkning</t>
        </is>
      </c>
      <c r="D3504" s="1" t="n">
        <v>46189</v>
      </c>
      <c r="E3504" s="1" t="n">
        <v>46319</v>
      </c>
      <c r="F3504" t="inlineStr">
        <is>
          <t>DALARNAS LÄN</t>
        </is>
      </c>
      <c r="G3504" t="inlineStr">
        <is>
          <t>ORSA</t>
        </is>
      </c>
      <c r="I3504" t="n">
        <v>0.9</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27531-2026</t>
        </is>
      </c>
      <c r="B3505" t="inlineStr">
        <is>
          <t>avverkningsanmälan</t>
        </is>
      </c>
      <c r="C3505" t="inlineStr">
        <is>
          <t>Föryngringsavverkning</t>
        </is>
      </c>
      <c r="D3505" s="1" t="n">
        <v>46189</v>
      </c>
      <c r="E3505" s="1" t="n">
        <v>46319</v>
      </c>
      <c r="F3505" t="inlineStr">
        <is>
          <t>DALARNAS LÄN</t>
        </is>
      </c>
      <c r="G3505" t="inlineStr">
        <is>
          <t>ORSA</t>
        </is>
      </c>
      <c r="H3505" t="inlineStr">
        <is>
          <t>Allmännings- och besparingsskogar</t>
        </is>
      </c>
      <c r="I3505" t="n">
        <v>5.8</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28884-2023</t>
        </is>
      </c>
      <c r="B3506" t="inlineStr">
        <is>
          <t>avverkningsanmälan</t>
        </is>
      </c>
      <c r="C3506" t="inlineStr">
        <is>
          <t>Föryngringsavverkning</t>
        </is>
      </c>
      <c r="D3506" s="1" t="n">
        <v>45104</v>
      </c>
      <c r="E3506" s="1" t="n">
        <v>46319</v>
      </c>
      <c r="F3506" t="inlineStr">
        <is>
          <t>DALARNAS LÄN</t>
        </is>
      </c>
      <c r="G3506" t="inlineStr">
        <is>
          <t>ÄLVDALEN</t>
        </is>
      </c>
      <c r="H3506" t="inlineStr">
        <is>
          <t>Allmännings- och besparingsskogar</t>
        </is>
      </c>
      <c r="I3506" t="n">
        <v>1.1</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73511-2021</t>
        </is>
      </c>
      <c r="B3507" t="inlineStr">
        <is>
          <t>avverkningsanmälan</t>
        </is>
      </c>
      <c r="C3507" t="inlineStr">
        <is>
          <t>Föryngringsavverkning</t>
        </is>
      </c>
      <c r="D3507" s="1" t="n">
        <v>44551</v>
      </c>
      <c r="E3507" s="1" t="n">
        <v>46319</v>
      </c>
      <c r="F3507" t="inlineStr">
        <is>
          <t>DALARNAS LÄN</t>
        </is>
      </c>
      <c r="G3507" t="inlineStr">
        <is>
          <t>RÄTTVIK</t>
        </is>
      </c>
      <c r="I3507" t="n">
        <v>1.1</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54176-2025</t>
        </is>
      </c>
      <c r="B3508" t="inlineStr">
        <is>
          <t>avverkningsanmälan</t>
        </is>
      </c>
      <c r="C3508" t="inlineStr">
        <is>
          <t>Föryngringsavverkning</t>
        </is>
      </c>
      <c r="D3508" s="1" t="n">
        <v>45964</v>
      </c>
      <c r="E3508" s="1" t="n">
        <v>46319</v>
      </c>
      <c r="F3508" t="inlineStr">
        <is>
          <t>DALARNAS LÄN</t>
        </is>
      </c>
      <c r="G3508" t="inlineStr">
        <is>
          <t>ORSA</t>
        </is>
      </c>
      <c r="I3508" t="n">
        <v>0.9</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53838-2025</t>
        </is>
      </c>
      <c r="B3509" t="inlineStr">
        <is>
          <t>avverkningsanmälan</t>
        </is>
      </c>
      <c r="C3509" t="inlineStr">
        <is>
          <t>Föryngringsavverkning</t>
        </is>
      </c>
      <c r="D3509" s="1" t="n">
        <v>45961</v>
      </c>
      <c r="E3509" s="1" t="n">
        <v>46319</v>
      </c>
      <c r="F3509" t="inlineStr">
        <is>
          <t>DALARNAS LÄN</t>
        </is>
      </c>
      <c r="G3509" t="inlineStr">
        <is>
          <t>LEKSAND</t>
        </is>
      </c>
      <c r="I3509" t="n">
        <v>1.3</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54676-2025</t>
        </is>
      </c>
      <c r="B3510" t="inlineStr">
        <is>
          <t>avverkningsanmälan</t>
        </is>
      </c>
      <c r="C3510" t="inlineStr">
        <is>
          <t>Föryngringsavverkning</t>
        </is>
      </c>
      <c r="D3510" s="1" t="n">
        <v>45966</v>
      </c>
      <c r="E3510" s="1" t="n">
        <v>46319</v>
      </c>
      <c r="F3510" t="inlineStr">
        <is>
          <t>DALARNAS LÄN</t>
        </is>
      </c>
      <c r="G3510" t="inlineStr">
        <is>
          <t>ORSA</t>
        </is>
      </c>
      <c r="H3510" t="inlineStr">
        <is>
          <t>Allmännings- och besparingsskogar</t>
        </is>
      </c>
      <c r="I3510" t="n">
        <v>4.6</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1465-2026</t>
        </is>
      </c>
      <c r="B3511" t="inlineStr">
        <is>
          <t>avverkningsanmälan</t>
        </is>
      </c>
      <c r="C3511" t="inlineStr">
        <is>
          <t>Föryngringsavverkning</t>
        </is>
      </c>
      <c r="D3511" s="1" t="n">
        <v>46033</v>
      </c>
      <c r="E3511" s="1" t="n">
        <v>46319</v>
      </c>
      <c r="F3511" t="inlineStr">
        <is>
          <t>DALARNAS LÄN</t>
        </is>
      </c>
      <c r="G3511" t="inlineStr">
        <is>
          <t>FALUN</t>
        </is>
      </c>
      <c r="I3511" t="n">
        <v>1</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9855-2024</t>
        </is>
      </c>
      <c r="B3512" t="inlineStr">
        <is>
          <t>avverkningsanmälan</t>
        </is>
      </c>
      <c r="C3512" t="inlineStr">
        <is>
          <t>Föryngringsavverkning</t>
        </is>
      </c>
      <c r="D3512" s="1" t="n">
        <v>45363</v>
      </c>
      <c r="E3512" s="1" t="n">
        <v>46319</v>
      </c>
      <c r="F3512" t="inlineStr">
        <is>
          <t>DALARNAS LÄN</t>
        </is>
      </c>
      <c r="G3512" t="inlineStr">
        <is>
          <t>MORA</t>
        </is>
      </c>
      <c r="I3512" t="n">
        <v>8.6</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54779-2025</t>
        </is>
      </c>
      <c r="B3513" t="inlineStr">
        <is>
          <t>avverkningsanmälan</t>
        </is>
      </c>
      <c r="C3513" t="inlineStr">
        <is>
          <t>Föryngringsavverkning</t>
        </is>
      </c>
      <c r="D3513" s="1" t="n">
        <v>45966</v>
      </c>
      <c r="E3513" s="1" t="n">
        <v>46319</v>
      </c>
      <c r="F3513" t="inlineStr">
        <is>
          <t>DALARNAS LÄN</t>
        </is>
      </c>
      <c r="G3513" t="inlineStr">
        <is>
          <t>LEKSAND</t>
        </is>
      </c>
      <c r="I3513" t="n">
        <v>1</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54815-2025</t>
        </is>
      </c>
      <c r="B3514" t="inlineStr">
        <is>
          <t>avverkningsanmälan</t>
        </is>
      </c>
      <c r="C3514" t="inlineStr">
        <is>
          <t>Föryngringsavverkning</t>
        </is>
      </c>
      <c r="D3514" s="1" t="n">
        <v>45966</v>
      </c>
      <c r="E3514" s="1" t="n">
        <v>46319</v>
      </c>
      <c r="F3514" t="inlineStr">
        <is>
          <t>DALARNAS LÄN</t>
        </is>
      </c>
      <c r="G3514" t="inlineStr">
        <is>
          <t>LEKSAND</t>
        </is>
      </c>
      <c r="I3514" t="n">
        <v>0.6</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23435-2025</t>
        </is>
      </c>
      <c r="B3515" t="inlineStr">
        <is>
          <t>avverkningsanmälan</t>
        </is>
      </c>
      <c r="C3515" t="inlineStr">
        <is>
          <t>Föryngringsavverkning</t>
        </is>
      </c>
      <c r="D3515" s="1" t="n">
        <v>45792</v>
      </c>
      <c r="E3515" s="1" t="n">
        <v>46319</v>
      </c>
      <c r="F3515" t="inlineStr">
        <is>
          <t>DALARNAS LÄN</t>
        </is>
      </c>
      <c r="G3515" t="inlineStr">
        <is>
          <t>HEDEMORA</t>
        </is>
      </c>
      <c r="H3515" t="inlineStr">
        <is>
          <t>Sveaskog</t>
        </is>
      </c>
      <c r="I3515" t="n">
        <v>2</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25115-2025</t>
        </is>
      </c>
      <c r="B3516" t="inlineStr">
        <is>
          <t>avverkningsanmälan</t>
        </is>
      </c>
      <c r="C3516" t="inlineStr">
        <is>
          <t>Föryngringsavverkning</t>
        </is>
      </c>
      <c r="D3516" s="1" t="n">
        <v>45800</v>
      </c>
      <c r="E3516" s="1" t="n">
        <v>46319</v>
      </c>
      <c r="F3516" t="inlineStr">
        <is>
          <t>DALARNAS LÄN</t>
        </is>
      </c>
      <c r="G3516" t="inlineStr">
        <is>
          <t>AVESTA</t>
        </is>
      </c>
      <c r="H3516" t="inlineStr">
        <is>
          <t>Sveaskog</t>
        </is>
      </c>
      <c r="I3516" t="n">
        <v>5.2</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9586-2023</t>
        </is>
      </c>
      <c r="B3517" t="inlineStr">
        <is>
          <t>avverkningsanmälan</t>
        </is>
      </c>
      <c r="C3517" t="inlineStr">
        <is>
          <t>Föryngringsavverkning</t>
        </is>
      </c>
      <c r="D3517" s="1" t="n">
        <v>44982</v>
      </c>
      <c r="E3517" s="1" t="n">
        <v>46319</v>
      </c>
      <c r="F3517" t="inlineStr">
        <is>
          <t>DALARNAS LÄN</t>
        </is>
      </c>
      <c r="G3517" t="inlineStr">
        <is>
          <t>SÄTER</t>
        </is>
      </c>
      <c r="I3517" t="n">
        <v>0.5</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54504-2025</t>
        </is>
      </c>
      <c r="B3518" t="inlineStr">
        <is>
          <t>avverkningsanmälan</t>
        </is>
      </c>
      <c r="C3518" t="inlineStr">
        <is>
          <t>Föryngringsavverkning</t>
        </is>
      </c>
      <c r="D3518" s="1" t="n">
        <v>45965</v>
      </c>
      <c r="E3518" s="1" t="n">
        <v>46319</v>
      </c>
      <c r="F3518" t="inlineStr">
        <is>
          <t>DALARNAS LÄN</t>
        </is>
      </c>
      <c r="G3518" t="inlineStr">
        <is>
          <t>MORA</t>
        </is>
      </c>
      <c r="I3518" t="n">
        <v>0.9</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2729-2025</t>
        </is>
      </c>
      <c r="B3519" t="inlineStr">
        <is>
          <t>avverkningsanmälan</t>
        </is>
      </c>
      <c r="C3519" t="inlineStr">
        <is>
          <t>Föryngringsavverkning</t>
        </is>
      </c>
      <c r="D3519" s="1" t="n">
        <v>45677</v>
      </c>
      <c r="E3519" s="1" t="n">
        <v>46319</v>
      </c>
      <c r="F3519" t="inlineStr">
        <is>
          <t>DALARNAS LÄN</t>
        </is>
      </c>
      <c r="G3519" t="inlineStr">
        <is>
          <t>MALUNG-SÄLEN</t>
        </is>
      </c>
      <c r="I3519" t="n">
        <v>0.7</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62368-2023</t>
        </is>
      </c>
      <c r="B3520" t="inlineStr">
        <is>
          <t>avverkningsanmälan</t>
        </is>
      </c>
      <c r="C3520" t="inlineStr">
        <is>
          <t>Föryngringsavverkning</t>
        </is>
      </c>
      <c r="D3520" s="1" t="n">
        <v>45268</v>
      </c>
      <c r="E3520" s="1" t="n">
        <v>46319</v>
      </c>
      <c r="F3520" t="inlineStr">
        <is>
          <t>DALARNAS LÄN</t>
        </is>
      </c>
      <c r="G3520" t="inlineStr">
        <is>
          <t>SÄTER</t>
        </is>
      </c>
      <c r="I3520" t="n">
        <v>0.9</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27195-2026</t>
        </is>
      </c>
      <c r="B3521" t="inlineStr">
        <is>
          <t>avverkningsanmälan</t>
        </is>
      </c>
      <c r="C3521" t="inlineStr">
        <is>
          <t>Föryngringsavverkning</t>
        </is>
      </c>
      <c r="D3521" s="1" t="n">
        <v>46188</v>
      </c>
      <c r="E3521" s="1" t="n">
        <v>46319</v>
      </c>
      <c r="F3521" t="inlineStr">
        <is>
          <t>DALARNAS LÄN</t>
        </is>
      </c>
      <c r="G3521" t="inlineStr">
        <is>
          <t>VANSBRO</t>
        </is>
      </c>
      <c r="H3521" t="inlineStr">
        <is>
          <t>Bergvik skog väst AB</t>
        </is>
      </c>
      <c r="I3521" t="n">
        <v>6.2</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42346-2025</t>
        </is>
      </c>
      <c r="B3522" t="inlineStr">
        <is>
          <t>avverkningsanmälan</t>
        </is>
      </c>
      <c r="C3522" t="inlineStr">
        <is>
          <t>Föryngringsavverkning</t>
        </is>
      </c>
      <c r="D3522" s="1" t="n">
        <v>45904</v>
      </c>
      <c r="E3522" s="1" t="n">
        <v>46319</v>
      </c>
      <c r="F3522" t="inlineStr">
        <is>
          <t>DALARNAS LÄN</t>
        </is>
      </c>
      <c r="G3522" t="inlineStr">
        <is>
          <t>LUDVIKA</t>
        </is>
      </c>
      <c r="I3522" t="n">
        <v>3</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54579-2025</t>
        </is>
      </c>
      <c r="B3523" t="inlineStr">
        <is>
          <t>avverkningsanmälan</t>
        </is>
      </c>
      <c r="C3523" t="inlineStr">
        <is>
          <t>Föryngringsavverkning</t>
        </is>
      </c>
      <c r="D3523" s="1" t="n">
        <v>45965</v>
      </c>
      <c r="E3523" s="1" t="n">
        <v>46319</v>
      </c>
      <c r="F3523" t="inlineStr">
        <is>
          <t>DALARNAS LÄN</t>
        </is>
      </c>
      <c r="G3523" t="inlineStr">
        <is>
          <t>VANSBRO</t>
        </is>
      </c>
      <c r="H3523" t="inlineStr">
        <is>
          <t>Bergvik skog väst AB</t>
        </is>
      </c>
      <c r="I3523" t="n">
        <v>2.3</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21869-2025</t>
        </is>
      </c>
      <c r="B3524" t="inlineStr">
        <is>
          <t>avverkningsanmälan</t>
        </is>
      </c>
      <c r="C3524" t="inlineStr">
        <is>
          <t>Föryngringsavverkning</t>
        </is>
      </c>
      <c r="D3524" s="1" t="n">
        <v>45784</v>
      </c>
      <c r="E3524" s="1" t="n">
        <v>46319</v>
      </c>
      <c r="F3524" t="inlineStr">
        <is>
          <t>DALARNAS LÄN</t>
        </is>
      </c>
      <c r="G3524" t="inlineStr">
        <is>
          <t>HEDEMORA</t>
        </is>
      </c>
      <c r="H3524" t="inlineStr">
        <is>
          <t>Sveaskog</t>
        </is>
      </c>
      <c r="I3524" t="n">
        <v>3.3</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22732-2024</t>
        </is>
      </c>
      <c r="B3525" t="inlineStr">
        <is>
          <t>avverkningsanmälan</t>
        </is>
      </c>
      <c r="C3525" t="inlineStr">
        <is>
          <t>Föryngringsavverkning</t>
        </is>
      </c>
      <c r="D3525" s="1" t="n">
        <v>45448</v>
      </c>
      <c r="E3525" s="1" t="n">
        <v>46319</v>
      </c>
      <c r="F3525" t="inlineStr">
        <is>
          <t>DALARNAS LÄN</t>
        </is>
      </c>
      <c r="G3525" t="inlineStr">
        <is>
          <t>MORA</t>
        </is>
      </c>
      <c r="I3525" t="n">
        <v>3.6</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32738-2022</t>
        </is>
      </c>
      <c r="B3526" t="inlineStr">
        <is>
          <t>avverkningsanmälan</t>
        </is>
      </c>
      <c r="C3526" t="inlineStr">
        <is>
          <t>Föryngringsavverkning</t>
        </is>
      </c>
      <c r="D3526" s="1" t="n">
        <v>44783</v>
      </c>
      <c r="E3526" s="1" t="n">
        <v>46319</v>
      </c>
      <c r="F3526" t="inlineStr">
        <is>
          <t>DALARNAS LÄN</t>
        </is>
      </c>
      <c r="G3526" t="inlineStr">
        <is>
          <t>HEDEMORA</t>
        </is>
      </c>
      <c r="I3526" t="n">
        <v>2.6</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13565-2024</t>
        </is>
      </c>
      <c r="B3527" t="inlineStr">
        <is>
          <t>avverkningsanmälan</t>
        </is>
      </c>
      <c r="C3527" t="inlineStr">
        <is>
          <t>Avverkning för annat ändamål</t>
        </is>
      </c>
      <c r="D3527" s="1" t="n">
        <v>45389</v>
      </c>
      <c r="E3527" s="1" t="n">
        <v>46319</v>
      </c>
      <c r="F3527" t="inlineStr">
        <is>
          <t>DALARNAS LÄN</t>
        </is>
      </c>
      <c r="G3527" t="inlineStr">
        <is>
          <t>FALUN</t>
        </is>
      </c>
      <c r="I3527" t="n">
        <v>0.4</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54342-2025</t>
        </is>
      </c>
      <c r="B3528" t="inlineStr">
        <is>
          <t>avverkningsanmälan</t>
        </is>
      </c>
      <c r="C3528" t="inlineStr">
        <is>
          <t>Föryngringsavverkning</t>
        </is>
      </c>
      <c r="D3528" s="1" t="n">
        <v>45965</v>
      </c>
      <c r="E3528" s="1" t="n">
        <v>46319</v>
      </c>
      <c r="F3528" t="inlineStr">
        <is>
          <t>DALARNAS LÄN</t>
        </is>
      </c>
      <c r="G3528" t="inlineStr">
        <is>
          <t>VANSBRO</t>
        </is>
      </c>
      <c r="H3528" t="inlineStr">
        <is>
          <t>Bergvik skog väst AB</t>
        </is>
      </c>
      <c r="I3528" t="n">
        <v>2.4</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53048-2024</t>
        </is>
      </c>
      <c r="B3529" t="inlineStr">
        <is>
          <t>avverkningsanmälan</t>
        </is>
      </c>
      <c r="C3529" t="inlineStr">
        <is>
          <t>Föryngringsavverkning</t>
        </is>
      </c>
      <c r="D3529" s="1" t="n">
        <v>45611</v>
      </c>
      <c r="E3529" s="1" t="n">
        <v>46319</v>
      </c>
      <c r="F3529" t="inlineStr">
        <is>
          <t>DALARNAS LÄN</t>
        </is>
      </c>
      <c r="G3529" t="inlineStr">
        <is>
          <t>LUDVIKA</t>
        </is>
      </c>
      <c r="H3529" t="inlineStr">
        <is>
          <t>Bergvik skog väst AB</t>
        </is>
      </c>
      <c r="I3529" t="n">
        <v>1</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54440-2025</t>
        </is>
      </c>
      <c r="B3530" t="inlineStr">
        <is>
          <t>avverkningsanmälan</t>
        </is>
      </c>
      <c r="C3530" t="inlineStr">
        <is>
          <t>Föryngringsavverkning</t>
        </is>
      </c>
      <c r="D3530" s="1" t="n">
        <v>45965</v>
      </c>
      <c r="E3530" s="1" t="n">
        <v>46319</v>
      </c>
      <c r="F3530" t="inlineStr">
        <is>
          <t>DALARNAS LÄN</t>
        </is>
      </c>
      <c r="G3530" t="inlineStr">
        <is>
          <t>LEKSAND</t>
        </is>
      </c>
      <c r="H3530" t="inlineStr">
        <is>
          <t>Bergvik skog väst AB</t>
        </is>
      </c>
      <c r="I3530" t="n">
        <v>2.1</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27163-2026</t>
        </is>
      </c>
      <c r="B3531" t="inlineStr">
        <is>
          <t>avverkningsanmälan</t>
        </is>
      </c>
      <c r="C3531" t="inlineStr">
        <is>
          <t>Föryngringsavverkning</t>
        </is>
      </c>
      <c r="D3531" s="1" t="n">
        <v>46188</v>
      </c>
      <c r="E3531" s="1" t="n">
        <v>46319</v>
      </c>
      <c r="F3531" t="inlineStr">
        <is>
          <t>DALARNAS LÄN</t>
        </is>
      </c>
      <c r="G3531" t="inlineStr">
        <is>
          <t>FALUN</t>
        </is>
      </c>
      <c r="I3531" t="n">
        <v>2.5</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27631-2026</t>
        </is>
      </c>
      <c r="B3532" t="inlineStr">
        <is>
          <t>avverkningsanmälan</t>
        </is>
      </c>
      <c r="C3532" t="inlineStr">
        <is>
          <t>Föryngringsavverkning</t>
        </is>
      </c>
      <c r="D3532" s="1" t="n">
        <v>46190</v>
      </c>
      <c r="E3532" s="1" t="n">
        <v>46319</v>
      </c>
      <c r="F3532" t="inlineStr">
        <is>
          <t>DALARNAS LÄN</t>
        </is>
      </c>
      <c r="G3532" t="inlineStr">
        <is>
          <t>VANSBRO</t>
        </is>
      </c>
      <c r="I3532" t="n">
        <v>0.3</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33287-2025</t>
        </is>
      </c>
      <c r="B3533" t="inlineStr">
        <is>
          <t>avverkningsanmälan</t>
        </is>
      </c>
      <c r="C3533" t="inlineStr">
        <is>
          <t>Föryngringsavverkning</t>
        </is>
      </c>
      <c r="D3533" s="1" t="n">
        <v>45840</v>
      </c>
      <c r="E3533" s="1" t="n">
        <v>46319</v>
      </c>
      <c r="F3533" t="inlineStr">
        <is>
          <t>DALARNAS LÄN</t>
        </is>
      </c>
      <c r="G3533" t="inlineStr">
        <is>
          <t>HEDEMORA</t>
        </is>
      </c>
      <c r="H3533" t="inlineStr">
        <is>
          <t>Sveaskog</t>
        </is>
      </c>
      <c r="I3533" t="n">
        <v>4.1</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54367-2025</t>
        </is>
      </c>
      <c r="B3534" t="inlineStr">
        <is>
          <t>avverkningsanmälan</t>
        </is>
      </c>
      <c r="C3534" t="inlineStr">
        <is>
          <t>Föryngringsavverkning</t>
        </is>
      </c>
      <c r="D3534" s="1" t="n">
        <v>45965</v>
      </c>
      <c r="E3534" s="1" t="n">
        <v>46319</v>
      </c>
      <c r="F3534" t="inlineStr">
        <is>
          <t>DALARNAS LÄN</t>
        </is>
      </c>
      <c r="G3534" t="inlineStr">
        <is>
          <t>MORA</t>
        </is>
      </c>
      <c r="I3534" t="n">
        <v>7</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54386-2025</t>
        </is>
      </c>
      <c r="B3535" t="inlineStr">
        <is>
          <t>avverkningsanmälan</t>
        </is>
      </c>
      <c r="C3535" t="inlineStr">
        <is>
          <t>Föryngringsavverkning</t>
        </is>
      </c>
      <c r="D3535" s="1" t="n">
        <v>45965</v>
      </c>
      <c r="E3535" s="1" t="n">
        <v>46319</v>
      </c>
      <c r="F3535" t="inlineStr">
        <is>
          <t>DALARNAS LÄN</t>
        </is>
      </c>
      <c r="G3535" t="inlineStr">
        <is>
          <t>RÄTTVIK</t>
        </is>
      </c>
      <c r="I3535" t="n">
        <v>1.6</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60692-2023</t>
        </is>
      </c>
      <c r="B3536" t="inlineStr">
        <is>
          <t>avverkningsanmälan</t>
        </is>
      </c>
      <c r="C3536" t="inlineStr">
        <is>
          <t>Föryngringsavverkning</t>
        </is>
      </c>
      <c r="D3536" s="1" t="n">
        <v>45260</v>
      </c>
      <c r="E3536" s="1" t="n">
        <v>46319</v>
      </c>
      <c r="F3536" t="inlineStr">
        <is>
          <t>DALARNAS LÄN</t>
        </is>
      </c>
      <c r="G3536" t="inlineStr">
        <is>
          <t>LEKSAND</t>
        </is>
      </c>
      <c r="I3536" t="n">
        <v>1.2</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27141-2026</t>
        </is>
      </c>
      <c r="B3537" t="inlineStr">
        <is>
          <t>avverkningsanmälan</t>
        </is>
      </c>
      <c r="C3537" t="inlineStr">
        <is>
          <t>Föryngringsavverkning</t>
        </is>
      </c>
      <c r="D3537" s="1" t="n">
        <v>46188</v>
      </c>
      <c r="E3537" s="1" t="n">
        <v>46319</v>
      </c>
      <c r="F3537" t="inlineStr">
        <is>
          <t>DALARNAS LÄN</t>
        </is>
      </c>
      <c r="G3537" t="inlineStr">
        <is>
          <t>ORSA</t>
        </is>
      </c>
      <c r="H3537" t="inlineStr">
        <is>
          <t>Bergvik skog öst AB</t>
        </is>
      </c>
      <c r="I3537" t="n">
        <v>9</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54295-2025</t>
        </is>
      </c>
      <c r="B3538" t="inlineStr">
        <is>
          <t>avverkningsanmälan</t>
        </is>
      </c>
      <c r="C3538" t="inlineStr">
        <is>
          <t>Föryngringsavverkning</t>
        </is>
      </c>
      <c r="D3538" s="1" t="n">
        <v>45964</v>
      </c>
      <c r="E3538" s="1" t="n">
        <v>46319</v>
      </c>
      <c r="F3538" t="inlineStr">
        <is>
          <t>DALARNAS LÄN</t>
        </is>
      </c>
      <c r="G3538" t="inlineStr">
        <is>
          <t>LEKSAND</t>
        </is>
      </c>
      <c r="I3538" t="n">
        <v>1.2</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27152-2026</t>
        </is>
      </c>
      <c r="B3539" t="inlineStr">
        <is>
          <t>avverkningsanmälan</t>
        </is>
      </c>
      <c r="C3539" t="inlineStr">
        <is>
          <t>Föryngringsavverkning</t>
        </is>
      </c>
      <c r="D3539" s="1" t="n">
        <v>46188</v>
      </c>
      <c r="E3539" s="1" t="n">
        <v>46319</v>
      </c>
      <c r="F3539" t="inlineStr">
        <is>
          <t>DALARNAS LÄN</t>
        </is>
      </c>
      <c r="G3539" t="inlineStr">
        <is>
          <t>FALUN</t>
        </is>
      </c>
      <c r="I3539" t="n">
        <v>1.7</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54673-2025</t>
        </is>
      </c>
      <c r="B3540" t="inlineStr">
        <is>
          <t>avverkningsanmälan</t>
        </is>
      </c>
      <c r="C3540" t="inlineStr">
        <is>
          <t>Föryngringsavverkning</t>
        </is>
      </c>
      <c r="D3540" s="1" t="n">
        <v>45966</v>
      </c>
      <c r="E3540" s="1" t="n">
        <v>46319</v>
      </c>
      <c r="F3540" t="inlineStr">
        <is>
          <t>DALARNAS LÄN</t>
        </is>
      </c>
      <c r="G3540" t="inlineStr">
        <is>
          <t>LUDVIKA</t>
        </is>
      </c>
      <c r="H3540" t="inlineStr">
        <is>
          <t>Bergvik skog väst AB</t>
        </is>
      </c>
      <c r="I3540" t="n">
        <v>5.8</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1-2026</t>
        </is>
      </c>
      <c r="B3541" t="inlineStr">
        <is>
          <t>avverkningsanmälan</t>
        </is>
      </c>
      <c r="C3541" t="inlineStr">
        <is>
          <t>Föryngringsavverkning</t>
        </is>
      </c>
      <c r="D3541" s="1" t="n">
        <v>46023</v>
      </c>
      <c r="E3541" s="1" t="n">
        <v>46319</v>
      </c>
      <c r="F3541" t="inlineStr">
        <is>
          <t>DALARNAS LÄN</t>
        </is>
      </c>
      <c r="G3541" t="inlineStr">
        <is>
          <t>FALUN</t>
        </is>
      </c>
      <c r="I3541" t="n">
        <v>0.8</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54736-2025</t>
        </is>
      </c>
      <c r="B3542" t="inlineStr">
        <is>
          <t>avverkningsanmälan</t>
        </is>
      </c>
      <c r="C3542" t="inlineStr">
        <is>
          <t>Föryngringsavverkning</t>
        </is>
      </c>
      <c r="D3542" s="1" t="n">
        <v>45966</v>
      </c>
      <c r="E3542" s="1" t="n">
        <v>46319</v>
      </c>
      <c r="F3542" t="inlineStr">
        <is>
          <t>DALARNAS LÄN</t>
        </is>
      </c>
      <c r="G3542" t="inlineStr">
        <is>
          <t>VANSBRO</t>
        </is>
      </c>
      <c r="I3542" t="n">
        <v>1.5</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39558-2023</t>
        </is>
      </c>
      <c r="B3543" t="inlineStr">
        <is>
          <t>avverkningsanmälan</t>
        </is>
      </c>
      <c r="C3543" t="inlineStr">
        <is>
          <t>Föryngringsavverkning</t>
        </is>
      </c>
      <c r="D3543" s="1" t="n">
        <v>45167</v>
      </c>
      <c r="E3543" s="1" t="n">
        <v>46319</v>
      </c>
      <c r="F3543" t="inlineStr">
        <is>
          <t>DALARNAS LÄN</t>
        </is>
      </c>
      <c r="G3543" t="inlineStr">
        <is>
          <t>LEKSAND</t>
        </is>
      </c>
      <c r="I3543" t="n">
        <v>39.9</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39574-2023</t>
        </is>
      </c>
      <c r="B3544" t="inlineStr">
        <is>
          <t>avverkningsanmälan</t>
        </is>
      </c>
      <c r="C3544" t="inlineStr">
        <is>
          <t>Föryngringsavverkning</t>
        </is>
      </c>
      <c r="D3544" s="1" t="n">
        <v>45167</v>
      </c>
      <c r="E3544" s="1" t="n">
        <v>46319</v>
      </c>
      <c r="F3544" t="inlineStr">
        <is>
          <t>DALARNAS LÄN</t>
        </is>
      </c>
      <c r="G3544" t="inlineStr">
        <is>
          <t>BORLÄNGE</t>
        </is>
      </c>
      <c r="I3544" t="n">
        <v>2.7</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59718-2023</t>
        </is>
      </c>
      <c r="B3545" t="inlineStr">
        <is>
          <t>avverkningsanmälan</t>
        </is>
      </c>
      <c r="C3545" t="inlineStr">
        <is>
          <t>Föryngringsavverkning</t>
        </is>
      </c>
      <c r="D3545" s="1" t="n">
        <v>45257</v>
      </c>
      <c r="E3545" s="1" t="n">
        <v>46319</v>
      </c>
      <c r="F3545" t="inlineStr">
        <is>
          <t>DALARNAS LÄN</t>
        </is>
      </c>
      <c r="G3545" t="inlineStr">
        <is>
          <t>LEKSAND</t>
        </is>
      </c>
      <c r="I3545" t="n">
        <v>2.2</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32838-2023</t>
        </is>
      </c>
      <c r="B3546" t="inlineStr">
        <is>
          <t>avverkningsanmälan</t>
        </is>
      </c>
      <c r="C3546" t="inlineStr">
        <is>
          <t>Föryngringsavverkning</t>
        </is>
      </c>
      <c r="D3546" s="1" t="n">
        <v>45124</v>
      </c>
      <c r="E3546" s="1" t="n">
        <v>46319</v>
      </c>
      <c r="F3546" t="inlineStr">
        <is>
          <t>DALARNAS LÄN</t>
        </is>
      </c>
      <c r="G3546" t="inlineStr">
        <is>
          <t>ÄLVDALEN</t>
        </is>
      </c>
      <c r="I3546" t="n">
        <v>3.7</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2007-2025</t>
        </is>
      </c>
      <c r="B3547" t="inlineStr">
        <is>
          <t>avverkningsanmälan</t>
        </is>
      </c>
      <c r="C3547" t="inlineStr">
        <is>
          <t>Föryngringsavverkning</t>
        </is>
      </c>
      <c r="D3547" s="1" t="n">
        <v>45672</v>
      </c>
      <c r="E3547" s="1" t="n">
        <v>46319</v>
      </c>
      <c r="F3547" t="inlineStr">
        <is>
          <t>DALARNAS LÄN</t>
        </is>
      </c>
      <c r="G3547" t="inlineStr">
        <is>
          <t>RÄTTVIK</t>
        </is>
      </c>
      <c r="I3547" t="n">
        <v>1.1</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27886-2026</t>
        </is>
      </c>
      <c r="B3548" t="inlineStr">
        <is>
          <t>avverkningsanmälan</t>
        </is>
      </c>
      <c r="C3548" t="inlineStr">
        <is>
          <t>Föryngringsavverkning</t>
        </is>
      </c>
      <c r="D3548" s="1" t="n">
        <v>46191</v>
      </c>
      <c r="E3548" s="1" t="n">
        <v>46319</v>
      </c>
      <c r="F3548" t="inlineStr">
        <is>
          <t>DALARNAS LÄN</t>
        </is>
      </c>
      <c r="G3548" t="inlineStr">
        <is>
          <t>MORA</t>
        </is>
      </c>
      <c r="I3548" t="n">
        <v>2.4</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43231-2024</t>
        </is>
      </c>
      <c r="B3549" t="inlineStr">
        <is>
          <t>avverkningsanmälan</t>
        </is>
      </c>
      <c r="C3549" t="inlineStr">
        <is>
          <t>Föryngringsavverkning</t>
        </is>
      </c>
      <c r="D3549" s="1" t="n">
        <v>45567</v>
      </c>
      <c r="E3549" s="1" t="n">
        <v>46319</v>
      </c>
      <c r="F3549" t="inlineStr">
        <is>
          <t>DALARNAS LÄN</t>
        </is>
      </c>
      <c r="G3549" t="inlineStr">
        <is>
          <t>LEKSAND</t>
        </is>
      </c>
      <c r="I3549" t="n">
        <v>1.9</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54752-2025</t>
        </is>
      </c>
      <c r="B3550" t="inlineStr">
        <is>
          <t>avverkningsanmälan</t>
        </is>
      </c>
      <c r="C3550" t="inlineStr">
        <is>
          <t>Föryngringsavverkning</t>
        </is>
      </c>
      <c r="D3550" s="1" t="n">
        <v>45966</v>
      </c>
      <c r="E3550" s="1" t="n">
        <v>46319</v>
      </c>
      <c r="F3550" t="inlineStr">
        <is>
          <t>DALARNAS LÄN</t>
        </is>
      </c>
      <c r="G3550" t="inlineStr">
        <is>
          <t>LEKSAND</t>
        </is>
      </c>
      <c r="I3550" t="n">
        <v>0.3</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54767-2025</t>
        </is>
      </c>
      <c r="B3551" t="inlineStr">
        <is>
          <t>avverkningsanmälan</t>
        </is>
      </c>
      <c r="C3551" t="inlineStr">
        <is>
          <t>Föryngringsavverkning</t>
        </is>
      </c>
      <c r="D3551" s="1" t="n">
        <v>45966</v>
      </c>
      <c r="E3551" s="1" t="n">
        <v>46319</v>
      </c>
      <c r="F3551" t="inlineStr">
        <is>
          <t>DALARNAS LÄN</t>
        </is>
      </c>
      <c r="G3551" t="inlineStr">
        <is>
          <t>LEKSAND</t>
        </is>
      </c>
      <c r="I3551" t="n">
        <v>2.4</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54785-2025</t>
        </is>
      </c>
      <c r="B3552" t="inlineStr">
        <is>
          <t>avverkningsanmälan</t>
        </is>
      </c>
      <c r="C3552" t="inlineStr">
        <is>
          <t>Föryngringsavverkning</t>
        </is>
      </c>
      <c r="D3552" s="1" t="n">
        <v>45966</v>
      </c>
      <c r="E3552" s="1" t="n">
        <v>46319</v>
      </c>
      <c r="F3552" t="inlineStr">
        <is>
          <t>DALARNAS LÄN</t>
        </is>
      </c>
      <c r="G3552" t="inlineStr">
        <is>
          <t>LEKSAND</t>
        </is>
      </c>
      <c r="I3552" t="n">
        <v>1.2</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27847-2026</t>
        </is>
      </c>
      <c r="B3553" t="inlineStr">
        <is>
          <t>avverkningsanmälan</t>
        </is>
      </c>
      <c r="C3553" t="inlineStr">
        <is>
          <t>Föryngringsavverkning</t>
        </is>
      </c>
      <c r="D3553" s="1" t="n">
        <v>46191</v>
      </c>
      <c r="E3553" s="1" t="n">
        <v>46319</v>
      </c>
      <c r="F3553" t="inlineStr">
        <is>
          <t>DALARNAS LÄN</t>
        </is>
      </c>
      <c r="G3553" t="inlineStr">
        <is>
          <t>FALUN</t>
        </is>
      </c>
      <c r="I3553" t="n">
        <v>1.7</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27871-2026</t>
        </is>
      </c>
      <c r="B3554" t="inlineStr">
        <is>
          <t>avverkningsanmälan</t>
        </is>
      </c>
      <c r="C3554" t="inlineStr">
        <is>
          <t>Föryngringsavverkning</t>
        </is>
      </c>
      <c r="D3554" s="1" t="n">
        <v>46191</v>
      </c>
      <c r="E3554" s="1" t="n">
        <v>46319</v>
      </c>
      <c r="F3554" t="inlineStr">
        <is>
          <t>DALARNAS LÄN</t>
        </is>
      </c>
      <c r="G3554" t="inlineStr">
        <is>
          <t>MORA</t>
        </is>
      </c>
      <c r="H3554" t="inlineStr">
        <is>
          <t>Bergvik skog väst AB</t>
        </is>
      </c>
      <c r="I3554" t="n">
        <v>4</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54805-2025</t>
        </is>
      </c>
      <c r="B3555" t="inlineStr">
        <is>
          <t>avverkningsanmälan</t>
        </is>
      </c>
      <c r="C3555" t="inlineStr">
        <is>
          <t>Föryngringsavverkning</t>
        </is>
      </c>
      <c r="D3555" s="1" t="n">
        <v>45966</v>
      </c>
      <c r="E3555" s="1" t="n">
        <v>46319</v>
      </c>
      <c r="F3555" t="inlineStr">
        <is>
          <t>DALARNAS LÄN</t>
        </is>
      </c>
      <c r="G3555" t="inlineStr">
        <is>
          <t>LEKSAND</t>
        </is>
      </c>
      <c r="I3555" t="n">
        <v>1.8</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27821-2026</t>
        </is>
      </c>
      <c r="B3556" t="inlineStr">
        <is>
          <t>avverkningsanmälan</t>
        </is>
      </c>
      <c r="C3556" t="inlineStr">
        <is>
          <t>Föryngringsavverkning</t>
        </is>
      </c>
      <c r="D3556" s="1" t="n">
        <v>46191</v>
      </c>
      <c r="E3556" s="1" t="n">
        <v>46319</v>
      </c>
      <c r="F3556" t="inlineStr">
        <is>
          <t>DALARNAS LÄN</t>
        </is>
      </c>
      <c r="G3556" t="inlineStr">
        <is>
          <t>FALUN</t>
        </is>
      </c>
      <c r="I3556" t="n">
        <v>1.7</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27822-2026</t>
        </is>
      </c>
      <c r="B3557" t="inlineStr">
        <is>
          <t>avverkningsanmälan</t>
        </is>
      </c>
      <c r="C3557" t="inlineStr">
        <is>
          <t>Föryngringsavverkning</t>
        </is>
      </c>
      <c r="D3557" s="1" t="n">
        <v>46191</v>
      </c>
      <c r="E3557" s="1" t="n">
        <v>46319</v>
      </c>
      <c r="F3557" t="inlineStr">
        <is>
          <t>DALARNAS LÄN</t>
        </is>
      </c>
      <c r="G3557" t="inlineStr">
        <is>
          <t>FALUN</t>
        </is>
      </c>
      <c r="I3557" t="n">
        <v>0.6</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54199-2022</t>
        </is>
      </c>
      <c r="B3558" t="inlineStr">
        <is>
          <t>avverkningsanmälan</t>
        </is>
      </c>
      <c r="C3558" t="inlineStr">
        <is>
          <t>Föryngringsavverkning</t>
        </is>
      </c>
      <c r="D3558" s="1" t="n">
        <v>44881</v>
      </c>
      <c r="E3558" s="1" t="n">
        <v>46319</v>
      </c>
      <c r="F3558" t="inlineStr">
        <is>
          <t>DALARNAS LÄN</t>
        </is>
      </c>
      <c r="G3558" t="inlineStr">
        <is>
          <t>MALUNG-SÄLEN</t>
        </is>
      </c>
      <c r="I3558" t="n">
        <v>2</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58713-2024</t>
        </is>
      </c>
      <c r="B3559" t="inlineStr">
        <is>
          <t>avverkningsanmälan</t>
        </is>
      </c>
      <c r="C3559" t="inlineStr">
        <is>
          <t>Avverkning för annat ändamål</t>
        </is>
      </c>
      <c r="D3559" s="1" t="n">
        <v>45635</v>
      </c>
      <c r="E3559" s="1" t="n">
        <v>46319</v>
      </c>
      <c r="F3559" t="inlineStr">
        <is>
          <t>DALARNAS LÄN</t>
        </is>
      </c>
      <c r="G3559" t="inlineStr">
        <is>
          <t>FALUN</t>
        </is>
      </c>
      <c r="H3559" t="inlineStr">
        <is>
          <t>Bergvik skog väst AB</t>
        </is>
      </c>
      <c r="I3559" t="n">
        <v>0.3</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54375-2025</t>
        </is>
      </c>
      <c r="B3560" t="inlineStr">
        <is>
          <t>avverkningsanmälan</t>
        </is>
      </c>
      <c r="C3560" t="inlineStr">
        <is>
          <t>Föryngringsavverkning</t>
        </is>
      </c>
      <c r="D3560" s="1" t="n">
        <v>45965</v>
      </c>
      <c r="E3560" s="1" t="n">
        <v>46319</v>
      </c>
      <c r="F3560" t="inlineStr">
        <is>
          <t>DALARNAS LÄN</t>
        </is>
      </c>
      <c r="G3560" t="inlineStr">
        <is>
          <t>LUDVIKA</t>
        </is>
      </c>
      <c r="H3560" t="inlineStr">
        <is>
          <t>Bergvik skog väst AB</t>
        </is>
      </c>
      <c r="I3560" t="n">
        <v>3</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27834-2026</t>
        </is>
      </c>
      <c r="B3561" t="inlineStr">
        <is>
          <t>avverkningsanmälan</t>
        </is>
      </c>
      <c r="C3561" t="inlineStr">
        <is>
          <t>Föryngringsavverkning</t>
        </is>
      </c>
      <c r="D3561" s="1" t="n">
        <v>46191</v>
      </c>
      <c r="E3561" s="1" t="n">
        <v>46319</v>
      </c>
      <c r="F3561" t="inlineStr">
        <is>
          <t>DALARNAS LÄN</t>
        </is>
      </c>
      <c r="G3561" t="inlineStr">
        <is>
          <t>FALUN</t>
        </is>
      </c>
      <c r="I3561" t="n">
        <v>1.1</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27850-2026</t>
        </is>
      </c>
      <c r="B3562" t="inlineStr">
        <is>
          <t>avverkningsanmälan</t>
        </is>
      </c>
      <c r="C3562" t="inlineStr">
        <is>
          <t>Föryngringsavverkning</t>
        </is>
      </c>
      <c r="D3562" s="1" t="n">
        <v>46191</v>
      </c>
      <c r="E3562" s="1" t="n">
        <v>46319</v>
      </c>
      <c r="F3562" t="inlineStr">
        <is>
          <t>DALARNAS LÄN</t>
        </is>
      </c>
      <c r="G3562" t="inlineStr">
        <is>
          <t>FALUN</t>
        </is>
      </c>
      <c r="I3562" t="n">
        <v>1.2</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27885-2026</t>
        </is>
      </c>
      <c r="B3563" t="inlineStr">
        <is>
          <t>avverkningsanmälan</t>
        </is>
      </c>
      <c r="C3563" t="inlineStr">
        <is>
          <t>Föryngringsavverkning</t>
        </is>
      </c>
      <c r="D3563" s="1" t="n">
        <v>46191</v>
      </c>
      <c r="E3563" s="1" t="n">
        <v>46319</v>
      </c>
      <c r="F3563" t="inlineStr">
        <is>
          <t>DALARNAS LÄN</t>
        </is>
      </c>
      <c r="G3563" t="inlineStr">
        <is>
          <t>MORA</t>
        </is>
      </c>
      <c r="H3563" t="inlineStr">
        <is>
          <t>Bergvik skog väst AB</t>
        </is>
      </c>
      <c r="I3563" t="n">
        <v>9.5</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27896-2026</t>
        </is>
      </c>
      <c r="B3564" t="inlineStr">
        <is>
          <t>avverkningsanmälan</t>
        </is>
      </c>
      <c r="C3564" t="inlineStr">
        <is>
          <t>Föryngringsavverkning</t>
        </is>
      </c>
      <c r="D3564" s="1" t="n">
        <v>46191</v>
      </c>
      <c r="E3564" s="1" t="n">
        <v>46319</v>
      </c>
      <c r="F3564" t="inlineStr">
        <is>
          <t>DALARNAS LÄN</t>
        </is>
      </c>
      <c r="G3564" t="inlineStr">
        <is>
          <t>FALUN</t>
        </is>
      </c>
      <c r="H3564" t="inlineStr">
        <is>
          <t>Bergvik skog väst AB</t>
        </is>
      </c>
      <c r="I3564" t="n">
        <v>6.9</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54293-2025</t>
        </is>
      </c>
      <c r="B3565" t="inlineStr">
        <is>
          <t>avverkningsanmälan</t>
        </is>
      </c>
      <c r="C3565" t="inlineStr">
        <is>
          <t>Föryngringsavverkning</t>
        </is>
      </c>
      <c r="D3565" s="1" t="n">
        <v>45964</v>
      </c>
      <c r="E3565" s="1" t="n">
        <v>46319</v>
      </c>
      <c r="F3565" t="inlineStr">
        <is>
          <t>DALARNAS LÄN</t>
        </is>
      </c>
      <c r="G3565" t="inlineStr">
        <is>
          <t>LEKSAND</t>
        </is>
      </c>
      <c r="I3565" t="n">
        <v>1.1</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54341-2025</t>
        </is>
      </c>
      <c r="B3566" t="inlineStr">
        <is>
          <t>avverkningsanmälan</t>
        </is>
      </c>
      <c r="C3566" t="inlineStr">
        <is>
          <t>Avverkning för annat ändamål</t>
        </is>
      </c>
      <c r="D3566" s="1" t="n">
        <v>45965</v>
      </c>
      <c r="E3566" s="1" t="n">
        <v>46319</v>
      </c>
      <c r="F3566" t="inlineStr">
        <is>
          <t>DALARNAS LÄN</t>
        </is>
      </c>
      <c r="G3566" t="inlineStr">
        <is>
          <t>LUDVIKA</t>
        </is>
      </c>
      <c r="I3566" t="n">
        <v>0.6</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54782-2025</t>
        </is>
      </c>
      <c r="B3567" t="inlineStr">
        <is>
          <t>avverkningsanmälan</t>
        </is>
      </c>
      <c r="C3567" t="inlineStr">
        <is>
          <t>Föryngringsavverkning</t>
        </is>
      </c>
      <c r="D3567" s="1" t="n">
        <v>45966</v>
      </c>
      <c r="E3567" s="1" t="n">
        <v>46319</v>
      </c>
      <c r="F3567" t="inlineStr">
        <is>
          <t>DALARNAS LÄN</t>
        </is>
      </c>
      <c r="G3567" t="inlineStr">
        <is>
          <t>ORSA</t>
        </is>
      </c>
      <c r="I3567" t="n">
        <v>3.8</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54335-2025</t>
        </is>
      </c>
      <c r="B3568" t="inlineStr">
        <is>
          <t>avverkningsanmälan</t>
        </is>
      </c>
      <c r="C3568" t="inlineStr">
        <is>
          <t>Föryngringsavverkning</t>
        </is>
      </c>
      <c r="D3568" s="1" t="n">
        <v>45965</v>
      </c>
      <c r="E3568" s="1" t="n">
        <v>46319</v>
      </c>
      <c r="F3568" t="inlineStr">
        <is>
          <t>DALARNAS LÄN</t>
        </is>
      </c>
      <c r="G3568" t="inlineStr">
        <is>
          <t>FALUN</t>
        </is>
      </c>
      <c r="I3568" t="n">
        <v>1.2</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54605-2025</t>
        </is>
      </c>
      <c r="B3569" t="inlineStr">
        <is>
          <t>avverkningsanmälan</t>
        </is>
      </c>
      <c r="C3569" t="inlineStr">
        <is>
          <t>Föryngringsavverkning</t>
        </is>
      </c>
      <c r="D3569" s="1" t="n">
        <v>45965</v>
      </c>
      <c r="E3569" s="1" t="n">
        <v>46319</v>
      </c>
      <c r="F3569" t="inlineStr">
        <is>
          <t>DALARNAS LÄN</t>
        </is>
      </c>
      <c r="G3569" t="inlineStr">
        <is>
          <t>MALUNG-SÄLEN</t>
        </is>
      </c>
      <c r="H3569" t="inlineStr">
        <is>
          <t>Bergvik skog väst AB</t>
        </is>
      </c>
      <c r="I3569" t="n">
        <v>0.5</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54648-2025</t>
        </is>
      </c>
      <c r="B3570" t="inlineStr">
        <is>
          <t>avverkningsanmälan</t>
        </is>
      </c>
      <c r="C3570" t="inlineStr">
        <is>
          <t>Föryngringsavverkning</t>
        </is>
      </c>
      <c r="D3570" s="1" t="n">
        <v>45966</v>
      </c>
      <c r="E3570" s="1" t="n">
        <v>46319</v>
      </c>
      <c r="F3570" t="inlineStr">
        <is>
          <t>DALARNAS LÄN</t>
        </is>
      </c>
      <c r="G3570" t="inlineStr">
        <is>
          <t>RÄTTVIK</t>
        </is>
      </c>
      <c r="I3570" t="n">
        <v>1.8</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27691-2026</t>
        </is>
      </c>
      <c r="B3571" t="inlineStr">
        <is>
          <t>avverkningsanmälan</t>
        </is>
      </c>
      <c r="C3571" t="inlineStr">
        <is>
          <t>Föryngringsavverkning</t>
        </is>
      </c>
      <c r="D3571" s="1" t="n">
        <v>46190</v>
      </c>
      <c r="E3571" s="1" t="n">
        <v>46319</v>
      </c>
      <c r="F3571" t="inlineStr">
        <is>
          <t>DALARNAS LÄN</t>
        </is>
      </c>
      <c r="G3571" t="inlineStr">
        <is>
          <t>LEKSAND</t>
        </is>
      </c>
      <c r="H3571" t="inlineStr">
        <is>
          <t>Bergvik skog väst AB</t>
        </is>
      </c>
      <c r="I3571" t="n">
        <v>1.2</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27741-2026</t>
        </is>
      </c>
      <c r="B3572" t="inlineStr">
        <is>
          <t>avverkningsanmälan</t>
        </is>
      </c>
      <c r="C3572" t="inlineStr">
        <is>
          <t>Föryngringsavverkning</t>
        </is>
      </c>
      <c r="D3572" s="1" t="n">
        <v>46191</v>
      </c>
      <c r="E3572" s="1" t="n">
        <v>46319</v>
      </c>
      <c r="F3572" t="inlineStr">
        <is>
          <t>DALARNAS LÄN</t>
        </is>
      </c>
      <c r="G3572" t="inlineStr">
        <is>
          <t>RÄTTVIK</t>
        </is>
      </c>
      <c r="I3572" t="n">
        <v>0.6</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27602-2026</t>
        </is>
      </c>
      <c r="B3573" t="inlineStr">
        <is>
          <t>avverkningsanmälan</t>
        </is>
      </c>
      <c r="C3573" t="inlineStr">
        <is>
          <t>Föryngringsavverkning</t>
        </is>
      </c>
      <c r="D3573" s="1" t="n">
        <v>46190</v>
      </c>
      <c r="E3573" s="1" t="n">
        <v>46319</v>
      </c>
      <c r="F3573" t="inlineStr">
        <is>
          <t>DALARNAS LÄN</t>
        </is>
      </c>
      <c r="G3573" t="inlineStr">
        <is>
          <t>ORSA</t>
        </is>
      </c>
      <c r="I3573" t="n">
        <v>1.1</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27641-2026</t>
        </is>
      </c>
      <c r="B3574" t="inlineStr">
        <is>
          <t>avverkningsanmälan</t>
        </is>
      </c>
      <c r="C3574" t="inlineStr">
        <is>
          <t>Föryngringsavverkning</t>
        </is>
      </c>
      <c r="D3574" s="1" t="n">
        <v>46190</v>
      </c>
      <c r="E3574" s="1" t="n">
        <v>46319</v>
      </c>
      <c r="F3574" t="inlineStr">
        <is>
          <t>DALARNAS LÄN</t>
        </is>
      </c>
      <c r="G3574" t="inlineStr">
        <is>
          <t>RÄTTVIK</t>
        </is>
      </c>
      <c r="H3574" t="inlineStr">
        <is>
          <t>Bergvik skog väst AB</t>
        </is>
      </c>
      <c r="I3574" t="n">
        <v>0.8</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27937-2026</t>
        </is>
      </c>
      <c r="B3575" t="inlineStr">
        <is>
          <t>avverkningsanmälan</t>
        </is>
      </c>
      <c r="C3575" t="inlineStr">
        <is>
          <t>Föryngringsavverkning</t>
        </is>
      </c>
      <c r="D3575" s="1" t="n">
        <v>46191</v>
      </c>
      <c r="E3575" s="1" t="n">
        <v>46319</v>
      </c>
      <c r="F3575" t="inlineStr">
        <is>
          <t>DALARNAS LÄN</t>
        </is>
      </c>
      <c r="G3575" t="inlineStr">
        <is>
          <t>VANSBRO</t>
        </is>
      </c>
      <c r="H3575" t="inlineStr">
        <is>
          <t>Bergvik skog öst AB</t>
        </is>
      </c>
      <c r="I3575" t="n">
        <v>3.6</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54603-2025</t>
        </is>
      </c>
      <c r="B3576" t="inlineStr">
        <is>
          <t>avverkningsanmälan</t>
        </is>
      </c>
      <c r="C3576" t="inlineStr">
        <is>
          <t>Föryngringsavverkning</t>
        </is>
      </c>
      <c r="D3576" s="1" t="n">
        <v>45965</v>
      </c>
      <c r="E3576" s="1" t="n">
        <v>46319</v>
      </c>
      <c r="F3576" t="inlineStr">
        <is>
          <t>DALARNAS LÄN</t>
        </is>
      </c>
      <c r="G3576" t="inlineStr">
        <is>
          <t>MALUNG-SÄLEN</t>
        </is>
      </c>
      <c r="H3576" t="inlineStr">
        <is>
          <t>Bergvik skog väst AB</t>
        </is>
      </c>
      <c r="I3576" t="n">
        <v>2.4</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54566-2025</t>
        </is>
      </c>
      <c r="B3577" t="inlineStr">
        <is>
          <t>avverkningsanmälan</t>
        </is>
      </c>
      <c r="C3577" t="inlineStr">
        <is>
          <t>Föryngringsavverkning</t>
        </is>
      </c>
      <c r="D3577" s="1" t="n">
        <v>45965</v>
      </c>
      <c r="E3577" s="1" t="n">
        <v>46319</v>
      </c>
      <c r="F3577" t="inlineStr">
        <is>
          <t>DALARNAS LÄN</t>
        </is>
      </c>
      <c r="G3577" t="inlineStr">
        <is>
          <t>FALUN</t>
        </is>
      </c>
      <c r="I3577" t="n">
        <v>1.2</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54591-2025</t>
        </is>
      </c>
      <c r="B3578" t="inlineStr">
        <is>
          <t>avverkningsanmälan</t>
        </is>
      </c>
      <c r="C3578" t="inlineStr">
        <is>
          <t>Föryngringsavverkning</t>
        </is>
      </c>
      <c r="D3578" s="1" t="n">
        <v>45965</v>
      </c>
      <c r="E3578" s="1" t="n">
        <v>46319</v>
      </c>
      <c r="F3578" t="inlineStr">
        <is>
          <t>DALARNAS LÄN</t>
        </is>
      </c>
      <c r="G3578" t="inlineStr">
        <is>
          <t>VANSBRO</t>
        </is>
      </c>
      <c r="H3578" t="inlineStr">
        <is>
          <t>Bergvik skog väst AB</t>
        </is>
      </c>
      <c r="I3578" t="n">
        <v>8.4</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58819-2023</t>
        </is>
      </c>
      <c r="B3579" t="inlineStr">
        <is>
          <t>avverkningsanmälan</t>
        </is>
      </c>
      <c r="C3579" t="inlineStr">
        <is>
          <t>Föryngringsavverkning</t>
        </is>
      </c>
      <c r="D3579" s="1" t="n">
        <v>45252</v>
      </c>
      <c r="E3579" s="1" t="n">
        <v>46319</v>
      </c>
      <c r="F3579" t="inlineStr">
        <is>
          <t>DALARNAS LÄN</t>
        </is>
      </c>
      <c r="G3579" t="inlineStr">
        <is>
          <t>FALUN</t>
        </is>
      </c>
      <c r="I3579" t="n">
        <v>1.1</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27699-2026</t>
        </is>
      </c>
      <c r="B3580" t="inlineStr">
        <is>
          <t>avverkningsanmälan</t>
        </is>
      </c>
      <c r="C3580" t="inlineStr">
        <is>
          <t>Föryngringsavverkning</t>
        </is>
      </c>
      <c r="D3580" s="1" t="n">
        <v>46190</v>
      </c>
      <c r="E3580" s="1" t="n">
        <v>46319</v>
      </c>
      <c r="F3580" t="inlineStr">
        <is>
          <t>DALARNAS LÄN</t>
        </is>
      </c>
      <c r="G3580" t="inlineStr">
        <is>
          <t>MORA</t>
        </is>
      </c>
      <c r="H3580" t="inlineStr">
        <is>
          <t>Bergvik skog öst AB</t>
        </is>
      </c>
      <c r="I3580" t="n">
        <v>1.8</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54494-2025</t>
        </is>
      </c>
      <c r="B3581" t="inlineStr">
        <is>
          <t>avverkningsanmälan</t>
        </is>
      </c>
      <c r="C3581" t="inlineStr">
        <is>
          <t>Föryngringsavverkning</t>
        </is>
      </c>
      <c r="D3581" s="1" t="n">
        <v>45965</v>
      </c>
      <c r="E3581" s="1" t="n">
        <v>46319</v>
      </c>
      <c r="F3581" t="inlineStr">
        <is>
          <t>DALARNAS LÄN</t>
        </is>
      </c>
      <c r="G3581" t="inlineStr">
        <is>
          <t>LEKSAND</t>
        </is>
      </c>
      <c r="I3581" t="n">
        <v>1.3</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27771-2026</t>
        </is>
      </c>
      <c r="B3582" t="inlineStr">
        <is>
          <t>avverkningsanmälan</t>
        </is>
      </c>
      <c r="C3582" t="inlineStr">
        <is>
          <t>Föryngringsavverkning</t>
        </is>
      </c>
      <c r="D3582" s="1" t="n">
        <v>46191</v>
      </c>
      <c r="E3582" s="1" t="n">
        <v>46319</v>
      </c>
      <c r="F3582" t="inlineStr">
        <is>
          <t>DALARNAS LÄN</t>
        </is>
      </c>
      <c r="G3582" t="inlineStr">
        <is>
          <t>SÄTER</t>
        </is>
      </c>
      <c r="I3582" t="n">
        <v>1.3</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27938-2026</t>
        </is>
      </c>
      <c r="B3583" t="inlineStr">
        <is>
          <t>avverkningsanmälan</t>
        </is>
      </c>
      <c r="C3583" t="inlineStr">
        <is>
          <t>Föryngringsavverkning</t>
        </is>
      </c>
      <c r="D3583" s="1" t="n">
        <v>46191</v>
      </c>
      <c r="E3583" s="1" t="n">
        <v>46319</v>
      </c>
      <c r="F3583" t="inlineStr">
        <is>
          <t>DALARNAS LÄN</t>
        </is>
      </c>
      <c r="G3583" t="inlineStr">
        <is>
          <t>MORA</t>
        </is>
      </c>
      <c r="H3583" t="inlineStr">
        <is>
          <t>Bergvik skog väst AB</t>
        </is>
      </c>
      <c r="I3583" t="n">
        <v>3.9</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14875-2025</t>
        </is>
      </c>
      <c r="B3584" t="inlineStr">
        <is>
          <t>avverkningsanmälan</t>
        </is>
      </c>
      <c r="C3584" t="inlineStr">
        <is>
          <t>Föryngringsavverkning</t>
        </is>
      </c>
      <c r="D3584" s="1" t="n">
        <v>45743</v>
      </c>
      <c r="E3584" s="1" t="n">
        <v>46319</v>
      </c>
      <c r="F3584" t="inlineStr">
        <is>
          <t>DALARNAS LÄN</t>
        </is>
      </c>
      <c r="G3584" t="inlineStr">
        <is>
          <t>SMEDJEBACKEN</t>
        </is>
      </c>
      <c r="I3584" t="n">
        <v>2.7</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29010-2022</t>
        </is>
      </c>
      <c r="B3585" t="inlineStr">
        <is>
          <t>avverkningsanmälan</t>
        </is>
      </c>
      <c r="C3585" t="inlineStr">
        <is>
          <t>Föryngringsavverkning</t>
        </is>
      </c>
      <c r="D3585" s="1" t="n">
        <v>44747</v>
      </c>
      <c r="E3585" s="1" t="n">
        <v>46319</v>
      </c>
      <c r="F3585" t="inlineStr">
        <is>
          <t>DALARNAS LÄN</t>
        </is>
      </c>
      <c r="G3585" t="inlineStr">
        <is>
          <t>RÄTTVIK</t>
        </is>
      </c>
      <c r="I3585" t="n">
        <v>2.3</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27800-2026</t>
        </is>
      </c>
      <c r="B3586" t="inlineStr">
        <is>
          <t>avverkningsanmälan</t>
        </is>
      </c>
      <c r="C3586" t="inlineStr">
        <is>
          <t>Föryngringsavverkning</t>
        </is>
      </c>
      <c r="D3586" s="1" t="n">
        <v>46191</v>
      </c>
      <c r="E3586" s="1" t="n">
        <v>46319</v>
      </c>
      <c r="F3586" t="inlineStr">
        <is>
          <t>DALARNAS LÄN</t>
        </is>
      </c>
      <c r="G3586" t="inlineStr">
        <is>
          <t>FALUN</t>
        </is>
      </c>
      <c r="I3586" t="n">
        <v>0.8</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27797-2026</t>
        </is>
      </c>
      <c r="B3587" t="inlineStr">
        <is>
          <t>avverkningsanmälan</t>
        </is>
      </c>
      <c r="C3587" t="inlineStr">
        <is>
          <t>Föryngringsavverkning</t>
        </is>
      </c>
      <c r="D3587" s="1" t="n">
        <v>46191</v>
      </c>
      <c r="E3587" s="1" t="n">
        <v>46319</v>
      </c>
      <c r="F3587" t="inlineStr">
        <is>
          <t>DALARNAS LÄN</t>
        </is>
      </c>
      <c r="G3587" t="inlineStr">
        <is>
          <t>RÄTTVIK</t>
        </is>
      </c>
      <c r="I3587" t="n">
        <v>2.1</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27644-2026</t>
        </is>
      </c>
      <c r="B3588" t="inlineStr">
        <is>
          <t>avverkningsanmälan</t>
        </is>
      </c>
      <c r="C3588" t="inlineStr">
        <is>
          <t>Föryngringsavverkning</t>
        </is>
      </c>
      <c r="D3588" s="1" t="n">
        <v>46190</v>
      </c>
      <c r="E3588" s="1" t="n">
        <v>46319</v>
      </c>
      <c r="F3588" t="inlineStr">
        <is>
          <t>DALARNAS LÄN</t>
        </is>
      </c>
      <c r="G3588" t="inlineStr">
        <is>
          <t>ORSA</t>
        </is>
      </c>
      <c r="I3588" t="n">
        <v>0.8</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27628-2026</t>
        </is>
      </c>
      <c r="B3589" t="inlineStr">
        <is>
          <t>avverkningsanmälan</t>
        </is>
      </c>
      <c r="C3589" t="inlineStr">
        <is>
          <t>Föryngringsavverkning</t>
        </is>
      </c>
      <c r="D3589" s="1" t="n">
        <v>46190</v>
      </c>
      <c r="E3589" s="1" t="n">
        <v>46319</v>
      </c>
      <c r="F3589" t="inlineStr">
        <is>
          <t>DALARNAS LÄN</t>
        </is>
      </c>
      <c r="G3589" t="inlineStr">
        <is>
          <t>FALUN</t>
        </is>
      </c>
      <c r="H3589" t="inlineStr">
        <is>
          <t>Bergvik skog väst AB</t>
        </is>
      </c>
      <c r="I3589" t="n">
        <v>0.7</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39487-2022</t>
        </is>
      </c>
      <c r="B3590" t="inlineStr">
        <is>
          <t>avverkningsanmälan</t>
        </is>
      </c>
      <c r="C3590" t="inlineStr">
        <is>
          <t>Föryngringsavverkning</t>
        </is>
      </c>
      <c r="D3590" s="1" t="n">
        <v>44817</v>
      </c>
      <c r="E3590" s="1" t="n">
        <v>46319</v>
      </c>
      <c r="F3590" t="inlineStr">
        <is>
          <t>DALARNAS LÄN</t>
        </is>
      </c>
      <c r="G3590" t="inlineStr">
        <is>
          <t>SÄTER</t>
        </is>
      </c>
      <c r="I3590" t="n">
        <v>2</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21301-2023</t>
        </is>
      </c>
      <c r="B3591" t="inlineStr">
        <is>
          <t>avverkningsanmälan</t>
        </is>
      </c>
      <c r="C3591" t="inlineStr">
        <is>
          <t>Föryngringsavverkning</t>
        </is>
      </c>
      <c r="D3591" s="1" t="n">
        <v>45062</v>
      </c>
      <c r="E3591" s="1" t="n">
        <v>46319</v>
      </c>
      <c r="F3591" t="inlineStr">
        <is>
          <t>DALARNAS LÄN</t>
        </is>
      </c>
      <c r="G3591" t="inlineStr">
        <is>
          <t>ORSA</t>
        </is>
      </c>
      <c r="I3591" t="n">
        <v>2.2</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54379-2025</t>
        </is>
      </c>
      <c r="B3592" t="inlineStr">
        <is>
          <t>avverkningsanmälan</t>
        </is>
      </c>
      <c r="C3592" t="inlineStr">
        <is>
          <t>Avverkning för annat ändamål</t>
        </is>
      </c>
      <c r="D3592" s="1" t="n">
        <v>45965</v>
      </c>
      <c r="E3592" s="1" t="n">
        <v>46319</v>
      </c>
      <c r="F3592" t="inlineStr">
        <is>
          <t>DALARNAS LÄN</t>
        </is>
      </c>
      <c r="G3592" t="inlineStr">
        <is>
          <t>MALUNG-SÄLEN</t>
        </is>
      </c>
      <c r="I3592" t="n">
        <v>23</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27792-2026</t>
        </is>
      </c>
      <c r="B3593" t="inlineStr">
        <is>
          <t>avverkningsanmälan</t>
        </is>
      </c>
      <c r="C3593" t="inlineStr">
        <is>
          <t>Föryngringsavverkning</t>
        </is>
      </c>
      <c r="D3593" s="1" t="n">
        <v>46191</v>
      </c>
      <c r="E3593" s="1" t="n">
        <v>46319</v>
      </c>
      <c r="F3593" t="inlineStr">
        <is>
          <t>DALARNAS LÄN</t>
        </is>
      </c>
      <c r="G3593" t="inlineStr">
        <is>
          <t>MORA</t>
        </is>
      </c>
      <c r="H3593" t="inlineStr">
        <is>
          <t>Bergvik skog väst AB</t>
        </is>
      </c>
      <c r="I3593" t="n">
        <v>5.4</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40426-2022</t>
        </is>
      </c>
      <c r="B3594" t="inlineStr">
        <is>
          <t>avverkningsanmälan</t>
        </is>
      </c>
      <c r="C3594" t="inlineStr">
        <is>
          <t>Föryngringsavverkning</t>
        </is>
      </c>
      <c r="D3594" s="1" t="n">
        <v>44823</v>
      </c>
      <c r="E3594" s="1" t="n">
        <v>46319</v>
      </c>
      <c r="F3594" t="inlineStr">
        <is>
          <t>DALARNAS LÄN</t>
        </is>
      </c>
      <c r="G3594" t="inlineStr">
        <is>
          <t>FALUN</t>
        </is>
      </c>
      <c r="I3594" t="n">
        <v>1.1</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505-2024</t>
        </is>
      </c>
      <c r="B3595" t="inlineStr">
        <is>
          <t>avverkningsanmälan</t>
        </is>
      </c>
      <c r="C3595" t="inlineStr">
        <is>
          <t>Föryngringsavverkning</t>
        </is>
      </c>
      <c r="D3595" s="1" t="n">
        <v>45299</v>
      </c>
      <c r="E3595" s="1" t="n">
        <v>46319</v>
      </c>
      <c r="F3595" t="inlineStr">
        <is>
          <t>DALARNAS LÄN</t>
        </is>
      </c>
      <c r="G3595" t="inlineStr">
        <is>
          <t>ÄLVDALEN</t>
        </is>
      </c>
      <c r="I3595" t="n">
        <v>1.4</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54388-2025</t>
        </is>
      </c>
      <c r="B3596" t="inlineStr">
        <is>
          <t>avverkningsanmälan</t>
        </is>
      </c>
      <c r="C3596" t="inlineStr">
        <is>
          <t>Föryngringsavverkning</t>
        </is>
      </c>
      <c r="D3596" s="1" t="n">
        <v>45965</v>
      </c>
      <c r="E3596" s="1" t="n">
        <v>46319</v>
      </c>
      <c r="F3596" t="inlineStr">
        <is>
          <t>DALARNAS LÄN</t>
        </is>
      </c>
      <c r="G3596" t="inlineStr">
        <is>
          <t>RÄTTVIK</t>
        </is>
      </c>
      <c r="I3596" t="n">
        <v>0.8</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54532-2025</t>
        </is>
      </c>
      <c r="B3597" t="inlineStr">
        <is>
          <t>avverkningsanmälan</t>
        </is>
      </c>
      <c r="C3597" t="inlineStr">
        <is>
          <t>Föryngringsavverkning</t>
        </is>
      </c>
      <c r="D3597" s="1" t="n">
        <v>45965</v>
      </c>
      <c r="E3597" s="1" t="n">
        <v>46319</v>
      </c>
      <c r="F3597" t="inlineStr">
        <is>
          <t>DALARNAS LÄN</t>
        </is>
      </c>
      <c r="G3597" t="inlineStr">
        <is>
          <t>MALUNG-SÄLEN</t>
        </is>
      </c>
      <c r="I3597" t="n">
        <v>0.8</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27117-2026</t>
        </is>
      </c>
      <c r="B3598" t="inlineStr">
        <is>
          <t>avverkningsanmälan</t>
        </is>
      </c>
      <c r="C3598" t="inlineStr">
        <is>
          <t>Föryngringsavverkning</t>
        </is>
      </c>
      <c r="D3598" s="1" t="n">
        <v>46188</v>
      </c>
      <c r="E3598" s="1" t="n">
        <v>46319</v>
      </c>
      <c r="F3598" t="inlineStr">
        <is>
          <t>DALARNAS LÄN</t>
        </is>
      </c>
      <c r="G3598" t="inlineStr">
        <is>
          <t>VANSBRO</t>
        </is>
      </c>
      <c r="H3598" t="inlineStr">
        <is>
          <t>Bergvik skog väst AB</t>
        </is>
      </c>
      <c r="I3598" t="n">
        <v>1.9</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52780-2023</t>
        </is>
      </c>
      <c r="B3599" t="inlineStr">
        <is>
          <t>avverkningsanmälan</t>
        </is>
      </c>
      <c r="C3599" t="inlineStr">
        <is>
          <t>Föryngringsavverkning</t>
        </is>
      </c>
      <c r="D3599" s="1" t="n">
        <v>45226</v>
      </c>
      <c r="E3599" s="1" t="n">
        <v>46319</v>
      </c>
      <c r="F3599" t="inlineStr">
        <is>
          <t>DALARNAS LÄN</t>
        </is>
      </c>
      <c r="G3599" t="inlineStr">
        <is>
          <t>SMEDJEBACKEN</t>
        </is>
      </c>
      <c r="H3599" t="inlineStr">
        <is>
          <t>Sveaskog</t>
        </is>
      </c>
      <c r="I3599" t="n">
        <v>1.2</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27609-2026</t>
        </is>
      </c>
      <c r="B3600" t="inlineStr">
        <is>
          <t>avverkningsanmälan</t>
        </is>
      </c>
      <c r="C3600" t="inlineStr">
        <is>
          <t>Föryngringsavverkning</t>
        </is>
      </c>
      <c r="D3600" s="1" t="n">
        <v>46190</v>
      </c>
      <c r="E3600" s="1" t="n">
        <v>46319</v>
      </c>
      <c r="F3600" t="inlineStr">
        <is>
          <t>DALARNAS LÄN</t>
        </is>
      </c>
      <c r="G3600" t="inlineStr">
        <is>
          <t>LUDVIKA</t>
        </is>
      </c>
      <c r="H3600" t="inlineStr">
        <is>
          <t>Bergvik skog väst AB</t>
        </is>
      </c>
      <c r="I3600" t="n">
        <v>3.4</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27611-2026</t>
        </is>
      </c>
      <c r="B3601" t="inlineStr">
        <is>
          <t>avverkningsanmälan</t>
        </is>
      </c>
      <c r="C3601" t="inlineStr">
        <is>
          <t>Föryngringsavverkning</t>
        </is>
      </c>
      <c r="D3601" s="1" t="n">
        <v>46190</v>
      </c>
      <c r="E3601" s="1" t="n">
        <v>46319</v>
      </c>
      <c r="F3601" t="inlineStr">
        <is>
          <t>DALARNAS LÄN</t>
        </is>
      </c>
      <c r="G3601" t="inlineStr">
        <is>
          <t>LUDVIKA</t>
        </is>
      </c>
      <c r="H3601" t="inlineStr">
        <is>
          <t>Bergvik skog väst AB</t>
        </is>
      </c>
      <c r="I3601" t="n">
        <v>2.7</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27613-2026</t>
        </is>
      </c>
      <c r="B3602" t="inlineStr">
        <is>
          <t>avverkningsanmälan</t>
        </is>
      </c>
      <c r="C3602" t="inlineStr">
        <is>
          <t>Föryngringsavverkning</t>
        </is>
      </c>
      <c r="D3602" s="1" t="n">
        <v>46190</v>
      </c>
      <c r="E3602" s="1" t="n">
        <v>46319</v>
      </c>
      <c r="F3602" t="inlineStr">
        <is>
          <t>DALARNAS LÄN</t>
        </is>
      </c>
      <c r="G3602" t="inlineStr">
        <is>
          <t>LUDVIKA</t>
        </is>
      </c>
      <c r="H3602" t="inlineStr">
        <is>
          <t>Bergvik skog väst AB</t>
        </is>
      </c>
      <c r="I3602" t="n">
        <v>1.7</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37408-2024</t>
        </is>
      </c>
      <c r="B3603" t="inlineStr">
        <is>
          <t>avverkningsanmälan</t>
        </is>
      </c>
      <c r="C3603" t="inlineStr">
        <is>
          <t>Föryngringsavverkning</t>
        </is>
      </c>
      <c r="D3603" s="1" t="n">
        <v>45540</v>
      </c>
      <c r="E3603" s="1" t="n">
        <v>46319</v>
      </c>
      <c r="F3603" t="inlineStr">
        <is>
          <t>DALARNAS LÄN</t>
        </is>
      </c>
      <c r="G3603" t="inlineStr">
        <is>
          <t>SMEDJEBACKEN</t>
        </is>
      </c>
      <c r="I3603" t="n">
        <v>7.6</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55061-2025</t>
        </is>
      </c>
      <c r="B3604" t="inlineStr">
        <is>
          <t>avverkningsanmälan</t>
        </is>
      </c>
      <c r="C3604" t="inlineStr">
        <is>
          <t>Föryngringsavverkning</t>
        </is>
      </c>
      <c r="D3604" s="1" t="n">
        <v>45967</v>
      </c>
      <c r="E3604" s="1" t="n">
        <v>46319</v>
      </c>
      <c r="F3604" t="inlineStr">
        <is>
          <t>DALARNAS LÄN</t>
        </is>
      </c>
      <c r="G3604" t="inlineStr">
        <is>
          <t>MALUNG-SÄLEN</t>
        </is>
      </c>
      <c r="I3604" t="n">
        <v>7.6</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27626-2026</t>
        </is>
      </c>
      <c r="B3605" t="inlineStr">
        <is>
          <t>avverkningsanmälan</t>
        </is>
      </c>
      <c r="C3605" t="inlineStr">
        <is>
          <t>Föryngringsavverkning</t>
        </is>
      </c>
      <c r="D3605" s="1" t="n">
        <v>46190</v>
      </c>
      <c r="E3605" s="1" t="n">
        <v>46319</v>
      </c>
      <c r="F3605" t="inlineStr">
        <is>
          <t>DALARNAS LÄN</t>
        </is>
      </c>
      <c r="G3605" t="inlineStr">
        <is>
          <t>FALUN</t>
        </is>
      </c>
      <c r="H3605" t="inlineStr">
        <is>
          <t>Bergvik skog väst AB</t>
        </is>
      </c>
      <c r="I3605" t="n">
        <v>6.4</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21174-2026</t>
        </is>
      </c>
      <c r="B3606" t="inlineStr">
        <is>
          <t>avverkningsanmälan</t>
        </is>
      </c>
      <c r="C3606" t="inlineStr">
        <is>
          <t>Föryngringsavverkning</t>
        </is>
      </c>
      <c r="D3606" s="1" t="n">
        <v>46146</v>
      </c>
      <c r="E3606" s="1" t="n">
        <v>46319</v>
      </c>
      <c r="F3606" t="inlineStr">
        <is>
          <t>DALARNAS LÄN</t>
        </is>
      </c>
      <c r="G3606" t="inlineStr">
        <is>
          <t>FALUN</t>
        </is>
      </c>
      <c r="I3606" t="n">
        <v>1.5</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26669-2026</t>
        </is>
      </c>
      <c r="B3607" t="inlineStr">
        <is>
          <t>avverkningsanmälan</t>
        </is>
      </c>
      <c r="C3607" t="inlineStr">
        <is>
          <t>Föryngringsavverkning</t>
        </is>
      </c>
      <c r="D3607" s="1" t="n">
        <v>46184</v>
      </c>
      <c r="E3607" s="1" t="n">
        <v>46319</v>
      </c>
      <c r="F3607" t="inlineStr">
        <is>
          <t>DALARNAS LÄN</t>
        </is>
      </c>
      <c r="G3607" t="inlineStr">
        <is>
          <t>VANSBRO</t>
        </is>
      </c>
      <c r="H3607" t="inlineStr">
        <is>
          <t>Bergvik skog väst AB</t>
        </is>
      </c>
      <c r="I3607" t="n">
        <v>6.5</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27875-2026</t>
        </is>
      </c>
      <c r="B3608" t="inlineStr">
        <is>
          <t>avverkningsanmälan</t>
        </is>
      </c>
      <c r="C3608" t="inlineStr">
        <is>
          <t>Föryngringsavverkning</t>
        </is>
      </c>
      <c r="D3608" s="1" t="n">
        <v>46191</v>
      </c>
      <c r="E3608" s="1" t="n">
        <v>46319</v>
      </c>
      <c r="F3608" t="inlineStr">
        <is>
          <t>DALARNAS LÄN</t>
        </is>
      </c>
      <c r="G3608" t="inlineStr">
        <is>
          <t>LEKSAND</t>
        </is>
      </c>
      <c r="H3608" t="inlineStr">
        <is>
          <t>Bergvik skog väst AB</t>
        </is>
      </c>
      <c r="I3608" t="n">
        <v>2.3</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43222-2023</t>
        </is>
      </c>
      <c r="B3609" t="inlineStr">
        <is>
          <t>avverkningsanmälan</t>
        </is>
      </c>
      <c r="C3609" t="inlineStr">
        <is>
          <t>Föryngringsavverkning</t>
        </is>
      </c>
      <c r="D3609" s="1" t="n">
        <v>45183</v>
      </c>
      <c r="E3609" s="1" t="n">
        <v>46319</v>
      </c>
      <c r="F3609" t="inlineStr">
        <is>
          <t>DALARNAS LÄN</t>
        </is>
      </c>
      <c r="G3609" t="inlineStr">
        <is>
          <t>FALUN</t>
        </is>
      </c>
      <c r="I3609" t="n">
        <v>1</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47767-2024</t>
        </is>
      </c>
      <c r="B3610" t="inlineStr">
        <is>
          <t>avverkningsanmälan</t>
        </is>
      </c>
      <c r="C3610" t="inlineStr">
        <is>
          <t>Föryngringsavverkning</t>
        </is>
      </c>
      <c r="D3610" s="1" t="n">
        <v>45588</v>
      </c>
      <c r="E3610" s="1" t="n">
        <v>46319</v>
      </c>
      <c r="F3610" t="inlineStr">
        <is>
          <t>DALARNAS LÄN</t>
        </is>
      </c>
      <c r="G3610" t="inlineStr">
        <is>
          <t>FALUN</t>
        </is>
      </c>
      <c r="H3610" t="inlineStr">
        <is>
          <t>Bergvik skog väst AB</t>
        </is>
      </c>
      <c r="I3610" t="n">
        <v>3.8</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27242-2026</t>
        </is>
      </c>
      <c r="B3611" t="inlineStr">
        <is>
          <t>avverkningsanmälan</t>
        </is>
      </c>
      <c r="C3611" t="inlineStr">
        <is>
          <t>Föryngringsavverkning</t>
        </is>
      </c>
      <c r="D3611" s="1" t="n">
        <v>46188</v>
      </c>
      <c r="E3611" s="1" t="n">
        <v>46319</v>
      </c>
      <c r="F3611" t="inlineStr">
        <is>
          <t>DALARNAS LÄN</t>
        </is>
      </c>
      <c r="G3611" t="inlineStr">
        <is>
          <t>VANSBRO</t>
        </is>
      </c>
      <c r="H3611" t="inlineStr">
        <is>
          <t>Bergvik skog väst AB</t>
        </is>
      </c>
      <c r="I3611" t="n">
        <v>10.5</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8447-2022</t>
        </is>
      </c>
      <c r="B3612" t="inlineStr">
        <is>
          <t>avverkningsanmälan</t>
        </is>
      </c>
      <c r="C3612" t="inlineStr">
        <is>
          <t>Avverkning för annat ändamål</t>
        </is>
      </c>
      <c r="D3612" s="1" t="n">
        <v>44612</v>
      </c>
      <c r="E3612" s="1" t="n">
        <v>46319</v>
      </c>
      <c r="F3612" t="inlineStr">
        <is>
          <t>DALARNAS LÄN</t>
        </is>
      </c>
      <c r="G3612" t="inlineStr">
        <is>
          <t>VANSBRO</t>
        </is>
      </c>
      <c r="I3612" t="n">
        <v>0.1</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55159-2025</t>
        </is>
      </c>
      <c r="B3613" t="inlineStr">
        <is>
          <t>avverkningsanmälan</t>
        </is>
      </c>
      <c r="C3613" t="inlineStr">
        <is>
          <t>Föryngringsavverkning</t>
        </is>
      </c>
      <c r="D3613" s="1" t="n">
        <v>45968</v>
      </c>
      <c r="E3613" s="1" t="n">
        <v>46319</v>
      </c>
      <c r="F3613" t="inlineStr">
        <is>
          <t>DALARNAS LÄN</t>
        </is>
      </c>
      <c r="G3613" t="inlineStr">
        <is>
          <t>HEDEMORA</t>
        </is>
      </c>
      <c r="I3613" t="n">
        <v>1.3</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55124-2025</t>
        </is>
      </c>
      <c r="B3614" t="inlineStr">
        <is>
          <t>avverkningsanmälan</t>
        </is>
      </c>
      <c r="C3614" t="inlineStr">
        <is>
          <t>Föryngringsavverkning</t>
        </is>
      </c>
      <c r="D3614" s="1" t="n">
        <v>45968</v>
      </c>
      <c r="E3614" s="1" t="n">
        <v>46319</v>
      </c>
      <c r="F3614" t="inlineStr">
        <is>
          <t>DALARNAS LÄN</t>
        </is>
      </c>
      <c r="G3614" t="inlineStr">
        <is>
          <t>MORA</t>
        </is>
      </c>
      <c r="I3614" t="n">
        <v>1.2</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48147-2025</t>
        </is>
      </c>
      <c r="B3615" t="inlineStr">
        <is>
          <t>avverkningsanmälan</t>
        </is>
      </c>
      <c r="C3615" t="inlineStr">
        <is>
          <t>Föryngringsavverkning</t>
        </is>
      </c>
      <c r="D3615" s="1" t="n">
        <v>45933</v>
      </c>
      <c r="E3615" s="1" t="n">
        <v>46319</v>
      </c>
      <c r="F3615" t="inlineStr">
        <is>
          <t>DALARNAS LÄN</t>
        </is>
      </c>
      <c r="G3615" t="inlineStr">
        <is>
          <t>HEDEMORA</t>
        </is>
      </c>
      <c r="I3615" t="n">
        <v>6.6</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21766-2024</t>
        </is>
      </c>
      <c r="B3616" t="inlineStr">
        <is>
          <t>avverkningsanmälan</t>
        </is>
      </c>
      <c r="C3616" t="inlineStr">
        <is>
          <t>Föryngringsavverkning</t>
        </is>
      </c>
      <c r="D3616" s="1" t="n">
        <v>45442</v>
      </c>
      <c r="E3616" s="1" t="n">
        <v>46319</v>
      </c>
      <c r="F3616" t="inlineStr">
        <is>
          <t>DALARNAS LÄN</t>
        </is>
      </c>
      <c r="G3616" t="inlineStr">
        <is>
          <t>SÄTER</t>
        </is>
      </c>
      <c r="I3616" t="n">
        <v>0.7</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50757-2024</t>
        </is>
      </c>
      <c r="B3617" t="inlineStr">
        <is>
          <t>avverkningsanmälan</t>
        </is>
      </c>
      <c r="C3617" t="inlineStr">
        <is>
          <t>Föryngringsavverkning</t>
        </is>
      </c>
      <c r="D3617" s="1" t="n">
        <v>45602</v>
      </c>
      <c r="E3617" s="1" t="n">
        <v>46319</v>
      </c>
      <c r="F3617" t="inlineStr">
        <is>
          <t>DALARNAS LÄN</t>
        </is>
      </c>
      <c r="G3617" t="inlineStr">
        <is>
          <t>FALUN</t>
        </is>
      </c>
      <c r="I3617" t="n">
        <v>0.6</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54928-2025</t>
        </is>
      </c>
      <c r="B3618" t="inlineStr">
        <is>
          <t>avverkningsanmälan</t>
        </is>
      </c>
      <c r="C3618" t="inlineStr">
        <is>
          <t>Föryngringsavverkning</t>
        </is>
      </c>
      <c r="D3618" s="1" t="n">
        <v>45967</v>
      </c>
      <c r="E3618" s="1" t="n">
        <v>46319</v>
      </c>
      <c r="F3618" t="inlineStr">
        <is>
          <t>DALARNAS LÄN</t>
        </is>
      </c>
      <c r="G3618" t="inlineStr">
        <is>
          <t>RÄTTVIK</t>
        </is>
      </c>
      <c r="I3618" t="n">
        <v>1</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27740-2026</t>
        </is>
      </c>
      <c r="B3619" t="inlineStr">
        <is>
          <t>avverkningsanmälan</t>
        </is>
      </c>
      <c r="C3619" t="inlineStr">
        <is>
          <t>Föryngringsavverkning</t>
        </is>
      </c>
      <c r="D3619" s="1" t="n">
        <v>46191</v>
      </c>
      <c r="E3619" s="1" t="n">
        <v>46319</v>
      </c>
      <c r="F3619" t="inlineStr">
        <is>
          <t>DALARNAS LÄN</t>
        </is>
      </c>
      <c r="G3619" t="inlineStr">
        <is>
          <t>RÄTTVIK</t>
        </is>
      </c>
      <c r="I3619" t="n">
        <v>0.7</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27939-2026</t>
        </is>
      </c>
      <c r="B3620" t="inlineStr">
        <is>
          <t>avverkningsanmälan</t>
        </is>
      </c>
      <c r="C3620" t="inlineStr">
        <is>
          <t>Föryngringsavverkning</t>
        </is>
      </c>
      <c r="D3620" s="1" t="n">
        <v>46191</v>
      </c>
      <c r="E3620" s="1" t="n">
        <v>46319</v>
      </c>
      <c r="F3620" t="inlineStr">
        <is>
          <t>DALARNAS LÄN</t>
        </is>
      </c>
      <c r="G3620" t="inlineStr">
        <is>
          <t>MORA</t>
        </is>
      </c>
      <c r="H3620" t="inlineStr">
        <is>
          <t>Bergvik skog väst AB</t>
        </is>
      </c>
      <c r="I3620" t="n">
        <v>1.8</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12965-2026</t>
        </is>
      </c>
      <c r="B3621" t="inlineStr">
        <is>
          <t>avverkningsanmälan</t>
        </is>
      </c>
      <c r="C3621" t="inlineStr">
        <is>
          <t>Föryngringsavverkning</t>
        </is>
      </c>
      <c r="D3621" s="1" t="n">
        <v>46092</v>
      </c>
      <c r="E3621" s="1" t="n">
        <v>46319</v>
      </c>
      <c r="F3621" t="inlineStr">
        <is>
          <t>DALARNAS LÄN</t>
        </is>
      </c>
      <c r="G3621" t="inlineStr">
        <is>
          <t>SÄTER</t>
        </is>
      </c>
      <c r="I3621" t="n">
        <v>2.1</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17403-2026</t>
        </is>
      </c>
      <c r="B3622" t="inlineStr">
        <is>
          <t>avverkningsanmälan</t>
        </is>
      </c>
      <c r="C3622" t="inlineStr">
        <is>
          <t>Föryngringsavverkning</t>
        </is>
      </c>
      <c r="D3622" s="1" t="n">
        <v>46120</v>
      </c>
      <c r="E3622" s="1" t="n">
        <v>46319</v>
      </c>
      <c r="F3622" t="inlineStr">
        <is>
          <t>DALARNAS LÄN</t>
        </is>
      </c>
      <c r="G3622" t="inlineStr">
        <is>
          <t>FALUN</t>
        </is>
      </c>
      <c r="I3622" t="n">
        <v>2.6</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26574-2026</t>
        </is>
      </c>
      <c r="B3623" t="inlineStr">
        <is>
          <t>avverkningsanmälan</t>
        </is>
      </c>
      <c r="C3623" t="inlineStr">
        <is>
          <t>Föryngringsavverkning</t>
        </is>
      </c>
      <c r="D3623" s="1" t="n">
        <v>46183</v>
      </c>
      <c r="E3623" s="1" t="n">
        <v>46319</v>
      </c>
      <c r="F3623" t="inlineStr">
        <is>
          <t>DALARNAS LÄN</t>
        </is>
      </c>
      <c r="G3623" t="inlineStr">
        <is>
          <t>LUDVIKA</t>
        </is>
      </c>
      <c r="H3623" t="inlineStr">
        <is>
          <t>Bergvik skog väst AB</t>
        </is>
      </c>
      <c r="I3623" t="n">
        <v>20.6</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50777-2024</t>
        </is>
      </c>
      <c r="B3624" t="inlineStr">
        <is>
          <t>avverkningsanmälan</t>
        </is>
      </c>
      <c r="C3624" t="inlineStr">
        <is>
          <t>Föryngringsavverkning</t>
        </is>
      </c>
      <c r="D3624" s="1" t="n">
        <v>45602</v>
      </c>
      <c r="E3624" s="1" t="n">
        <v>46319</v>
      </c>
      <c r="F3624" t="inlineStr">
        <is>
          <t>DALARNAS LÄN</t>
        </is>
      </c>
      <c r="G3624" t="inlineStr">
        <is>
          <t>LUDVIKA</t>
        </is>
      </c>
      <c r="I3624" t="n">
        <v>1.3</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46252-2022</t>
        </is>
      </c>
      <c r="B3625" t="inlineStr">
        <is>
          <t>avverkningsanmälan</t>
        </is>
      </c>
      <c r="C3625" t="inlineStr">
        <is>
          <t>Föryngringsavverkning</t>
        </is>
      </c>
      <c r="D3625" s="1" t="n">
        <v>44847</v>
      </c>
      <c r="E3625" s="1" t="n">
        <v>46319</v>
      </c>
      <c r="F3625" t="inlineStr">
        <is>
          <t>DALARNAS LÄN</t>
        </is>
      </c>
      <c r="G3625" t="inlineStr">
        <is>
          <t>FALUN</t>
        </is>
      </c>
      <c r="I3625" t="n">
        <v>1.7</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27696-2026</t>
        </is>
      </c>
      <c r="B3626" t="inlineStr">
        <is>
          <t>avverkningsanmälan</t>
        </is>
      </c>
      <c r="C3626" t="inlineStr">
        <is>
          <t>Föryngringsavverkning</t>
        </is>
      </c>
      <c r="D3626" s="1" t="n">
        <v>46190</v>
      </c>
      <c r="E3626" s="1" t="n">
        <v>46319</v>
      </c>
      <c r="F3626" t="inlineStr">
        <is>
          <t>DALARNAS LÄN</t>
        </is>
      </c>
      <c r="G3626" t="inlineStr">
        <is>
          <t>MORA</t>
        </is>
      </c>
      <c r="H3626" t="inlineStr">
        <is>
          <t>Bergvik skog öst AB</t>
        </is>
      </c>
      <c r="I3626" t="n">
        <v>3.7</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64516-2023</t>
        </is>
      </c>
      <c r="B3627" t="inlineStr">
        <is>
          <t>avverkningsanmälan</t>
        </is>
      </c>
      <c r="C3627" t="inlineStr">
        <is>
          <t>Avverkning för annat ändamål</t>
        </is>
      </c>
      <c r="D3627" s="1" t="n">
        <v>45280</v>
      </c>
      <c r="E3627" s="1" t="n">
        <v>46319</v>
      </c>
      <c r="F3627" t="inlineStr">
        <is>
          <t>DALARNAS LÄN</t>
        </is>
      </c>
      <c r="G3627" t="inlineStr">
        <is>
          <t>LEKSAND</t>
        </is>
      </c>
      <c r="I3627" t="n">
        <v>4.4</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59966-2023</t>
        </is>
      </c>
      <c r="B3628" t="inlineStr">
        <is>
          <t>avverkningsanmälan</t>
        </is>
      </c>
      <c r="C3628" t="inlineStr">
        <is>
          <t>Föryngringsavverkning</t>
        </is>
      </c>
      <c r="D3628" s="1" t="n">
        <v>45257</v>
      </c>
      <c r="E3628" s="1" t="n">
        <v>46319</v>
      </c>
      <c r="F3628" t="inlineStr">
        <is>
          <t>DALARNAS LÄN</t>
        </is>
      </c>
      <c r="G3628" t="inlineStr">
        <is>
          <t>MALUNG-SÄLEN</t>
        </is>
      </c>
      <c r="H3628" t="inlineStr">
        <is>
          <t>Övriga statliga verk och myndigheter</t>
        </is>
      </c>
      <c r="I3628" t="n">
        <v>3.2</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55211-2025</t>
        </is>
      </c>
      <c r="B3629" t="inlineStr">
        <is>
          <t>avverkningsanmälan</t>
        </is>
      </c>
      <c r="C3629" t="inlineStr">
        <is>
          <t>Föryngringsavverkning</t>
        </is>
      </c>
      <c r="D3629" s="1" t="n">
        <v>45968</v>
      </c>
      <c r="E3629" s="1" t="n">
        <v>46319</v>
      </c>
      <c r="F3629" t="inlineStr">
        <is>
          <t>DALARNAS LÄN</t>
        </is>
      </c>
      <c r="G3629" t="inlineStr">
        <is>
          <t>LUDVIKA</t>
        </is>
      </c>
      <c r="H3629" t="inlineStr">
        <is>
          <t>Bergvik skog väst AB</t>
        </is>
      </c>
      <c r="I3629" t="n">
        <v>11.5</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27556-2026</t>
        </is>
      </c>
      <c r="B3630" t="inlineStr">
        <is>
          <t>avverkningsanmälan</t>
        </is>
      </c>
      <c r="C3630" t="inlineStr">
        <is>
          <t>Föryngringsavverkning</t>
        </is>
      </c>
      <c r="D3630" s="1" t="n">
        <v>46190</v>
      </c>
      <c r="E3630" s="1" t="n">
        <v>46319</v>
      </c>
      <c r="F3630" t="inlineStr">
        <is>
          <t>DALARNAS LÄN</t>
        </is>
      </c>
      <c r="G3630" t="inlineStr">
        <is>
          <t>RÄTTVIK</t>
        </is>
      </c>
      <c r="I3630" t="n">
        <v>3.6</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27649-2026</t>
        </is>
      </c>
      <c r="B3631" t="inlineStr">
        <is>
          <t>avverkningsanmälan</t>
        </is>
      </c>
      <c r="C3631" t="inlineStr">
        <is>
          <t>Föryngringsavverkning</t>
        </is>
      </c>
      <c r="D3631" s="1" t="n">
        <v>46190</v>
      </c>
      <c r="E3631" s="1" t="n">
        <v>46319</v>
      </c>
      <c r="F3631" t="inlineStr">
        <is>
          <t>DALARNAS LÄN</t>
        </is>
      </c>
      <c r="G3631" t="inlineStr">
        <is>
          <t>FALUN</t>
        </is>
      </c>
      <c r="I3631" t="n">
        <v>0.5</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63316-2023</t>
        </is>
      </c>
      <c r="B3632" t="inlineStr">
        <is>
          <t>avverkningsanmälan</t>
        </is>
      </c>
      <c r="C3632" t="inlineStr">
        <is>
          <t>Föryngringsavverkning</t>
        </is>
      </c>
      <c r="D3632" s="1" t="n">
        <v>45273</v>
      </c>
      <c r="E3632" s="1" t="n">
        <v>46319</v>
      </c>
      <c r="F3632" t="inlineStr">
        <is>
          <t>DALARNAS LÄN</t>
        </is>
      </c>
      <c r="G3632" t="inlineStr">
        <is>
          <t>AVESTA</t>
        </is>
      </c>
      <c r="I3632" t="n">
        <v>4</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27859-2026</t>
        </is>
      </c>
      <c r="B3633" t="inlineStr">
        <is>
          <t>avverkningsanmälan</t>
        </is>
      </c>
      <c r="C3633" t="inlineStr">
        <is>
          <t>Föryngringsavverkning</t>
        </is>
      </c>
      <c r="D3633" s="1" t="n">
        <v>46191</v>
      </c>
      <c r="E3633" s="1" t="n">
        <v>46319</v>
      </c>
      <c r="F3633" t="inlineStr">
        <is>
          <t>DALARNAS LÄN</t>
        </is>
      </c>
      <c r="G3633" t="inlineStr">
        <is>
          <t>LEKSAND</t>
        </is>
      </c>
      <c r="I3633" t="n">
        <v>2.3</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27603-2026</t>
        </is>
      </c>
      <c r="B3634" t="inlineStr">
        <is>
          <t>avverkningsanmälan</t>
        </is>
      </c>
      <c r="C3634" t="inlineStr">
        <is>
          <t>Föryngringsavverkning</t>
        </is>
      </c>
      <c r="D3634" s="1" t="n">
        <v>46190</v>
      </c>
      <c r="E3634" s="1" t="n">
        <v>46319</v>
      </c>
      <c r="F3634" t="inlineStr">
        <is>
          <t>DALARNAS LÄN</t>
        </is>
      </c>
      <c r="G3634" t="inlineStr">
        <is>
          <t>ORSA</t>
        </is>
      </c>
      <c r="H3634" t="inlineStr">
        <is>
          <t>Allmännings- och besparingsskogar</t>
        </is>
      </c>
      <c r="I3634" t="n">
        <v>5.3</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43005-2022</t>
        </is>
      </c>
      <c r="B3635" t="inlineStr">
        <is>
          <t>avverkningsanmälan</t>
        </is>
      </c>
      <c r="C3635" t="inlineStr">
        <is>
          <t>Föryngringsavverkning</t>
        </is>
      </c>
      <c r="D3635" s="1" t="n">
        <v>44833</v>
      </c>
      <c r="E3635" s="1" t="n">
        <v>46319</v>
      </c>
      <c r="F3635" t="inlineStr">
        <is>
          <t>DALARNAS LÄN</t>
        </is>
      </c>
      <c r="G3635" t="inlineStr">
        <is>
          <t>FALUN</t>
        </is>
      </c>
      <c r="I3635" t="n">
        <v>3</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39389-2025</t>
        </is>
      </c>
      <c r="B3636" t="inlineStr">
        <is>
          <t>avverkningsanmälan</t>
        </is>
      </c>
      <c r="C3636" t="inlineStr">
        <is>
          <t>Föryngringsavverkning</t>
        </is>
      </c>
      <c r="D3636" s="1" t="n">
        <v>45889</v>
      </c>
      <c r="E3636" s="1" t="n">
        <v>46319</v>
      </c>
      <c r="F3636" t="inlineStr">
        <is>
          <t>DALARNAS LÄN</t>
        </is>
      </c>
      <c r="G3636" t="inlineStr">
        <is>
          <t>HEDEMORA</t>
        </is>
      </c>
      <c r="H3636" t="inlineStr">
        <is>
          <t>Sveaskog</t>
        </is>
      </c>
      <c r="I3636" t="n">
        <v>1.4</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27554-2026</t>
        </is>
      </c>
      <c r="B3637" t="inlineStr">
        <is>
          <t>avverkningsanmälan</t>
        </is>
      </c>
      <c r="C3637" t="inlineStr">
        <is>
          <t>Föryngringsavverkning</t>
        </is>
      </c>
      <c r="D3637" s="1" t="n">
        <v>46190</v>
      </c>
      <c r="E3637" s="1" t="n">
        <v>46319</v>
      </c>
      <c r="F3637" t="inlineStr">
        <is>
          <t>DALARNAS LÄN</t>
        </is>
      </c>
      <c r="G3637" t="inlineStr">
        <is>
          <t>LUDVIKA</t>
        </is>
      </c>
      <c r="H3637" t="inlineStr">
        <is>
          <t>Bergvik skog väst AB</t>
        </is>
      </c>
      <c r="I3637" t="n">
        <v>1.1</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54909-2025</t>
        </is>
      </c>
      <c r="B3638" t="inlineStr">
        <is>
          <t>avverkningsanmälan</t>
        </is>
      </c>
      <c r="C3638" t="inlineStr">
        <is>
          <t>Föryngringsavverkning</t>
        </is>
      </c>
      <c r="D3638" s="1" t="n">
        <v>45967</v>
      </c>
      <c r="E3638" s="1" t="n">
        <v>46319</v>
      </c>
      <c r="F3638" t="inlineStr">
        <is>
          <t>DALARNAS LÄN</t>
        </is>
      </c>
      <c r="G3638" t="inlineStr">
        <is>
          <t>MORA</t>
        </is>
      </c>
      <c r="I3638" t="n">
        <v>1.7</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55196-2025</t>
        </is>
      </c>
      <c r="B3639" t="inlineStr">
        <is>
          <t>avverkningsanmälan</t>
        </is>
      </c>
      <c r="C3639" t="inlineStr">
        <is>
          <t>Föryngringsavverkning</t>
        </is>
      </c>
      <c r="D3639" s="1" t="n">
        <v>45968</v>
      </c>
      <c r="E3639" s="1" t="n">
        <v>46319</v>
      </c>
      <c r="F3639" t="inlineStr">
        <is>
          <t>DALARNAS LÄN</t>
        </is>
      </c>
      <c r="G3639" t="inlineStr">
        <is>
          <t>RÄTTVIK</t>
        </is>
      </c>
      <c r="I3639" t="n">
        <v>1.5</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27795-2026</t>
        </is>
      </c>
      <c r="B3640" t="inlineStr">
        <is>
          <t>avverkningsanmälan</t>
        </is>
      </c>
      <c r="C3640" t="inlineStr">
        <is>
          <t>Föryngringsavverkning</t>
        </is>
      </c>
      <c r="D3640" s="1" t="n">
        <v>46191</v>
      </c>
      <c r="E3640" s="1" t="n">
        <v>46319</v>
      </c>
      <c r="F3640" t="inlineStr">
        <is>
          <t>DALARNAS LÄN</t>
        </is>
      </c>
      <c r="G3640" t="inlineStr">
        <is>
          <t>RÄTTVIK</t>
        </is>
      </c>
      <c r="I3640" t="n">
        <v>1.9</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27832-2026</t>
        </is>
      </c>
      <c r="B3641" t="inlineStr">
        <is>
          <t>avverkningsanmälan</t>
        </is>
      </c>
      <c r="C3641" t="inlineStr">
        <is>
          <t>Föryngringsavverkning</t>
        </is>
      </c>
      <c r="D3641" s="1" t="n">
        <v>46191</v>
      </c>
      <c r="E3641" s="1" t="n">
        <v>46319</v>
      </c>
      <c r="F3641" t="inlineStr">
        <is>
          <t>DALARNAS LÄN</t>
        </is>
      </c>
      <c r="G3641" t="inlineStr">
        <is>
          <t>FALUN</t>
        </is>
      </c>
      <c r="I3641" t="n">
        <v>1.6</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27848-2026</t>
        </is>
      </c>
      <c r="B3642" t="inlineStr">
        <is>
          <t>avverkningsanmälan</t>
        </is>
      </c>
      <c r="C3642" t="inlineStr">
        <is>
          <t>Föryngringsavverkning</t>
        </is>
      </c>
      <c r="D3642" s="1" t="n">
        <v>46191</v>
      </c>
      <c r="E3642" s="1" t="n">
        <v>46319</v>
      </c>
      <c r="F3642" t="inlineStr">
        <is>
          <t>DALARNAS LÄN</t>
        </is>
      </c>
      <c r="G3642" t="inlineStr">
        <is>
          <t>LEKSAND</t>
        </is>
      </c>
      <c r="I3642" t="n">
        <v>1.3</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54905-2025</t>
        </is>
      </c>
      <c r="B3643" t="inlineStr">
        <is>
          <t>avverkningsanmälan</t>
        </is>
      </c>
      <c r="C3643" t="inlineStr">
        <is>
          <t>Föryngringsavverkning</t>
        </is>
      </c>
      <c r="D3643" s="1" t="n">
        <v>45967</v>
      </c>
      <c r="E3643" s="1" t="n">
        <v>46319</v>
      </c>
      <c r="F3643" t="inlineStr">
        <is>
          <t>DALARNAS LÄN</t>
        </is>
      </c>
      <c r="G3643" t="inlineStr">
        <is>
          <t>MORA</t>
        </is>
      </c>
      <c r="I3643" t="n">
        <v>0.4</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55036-2025</t>
        </is>
      </c>
      <c r="B3644" t="inlineStr">
        <is>
          <t>avverkningsanmälan</t>
        </is>
      </c>
      <c r="C3644" t="inlineStr">
        <is>
          <t>Föryngringsavverkning</t>
        </is>
      </c>
      <c r="D3644" s="1" t="n">
        <v>45967</v>
      </c>
      <c r="E3644" s="1" t="n">
        <v>46319</v>
      </c>
      <c r="F3644" t="inlineStr">
        <is>
          <t>DALARNAS LÄN</t>
        </is>
      </c>
      <c r="G3644" t="inlineStr">
        <is>
          <t>MALUNG-SÄLEN</t>
        </is>
      </c>
      <c r="I3644" t="n">
        <v>2.7</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18623-2026</t>
        </is>
      </c>
      <c r="B3645" t="inlineStr">
        <is>
          <t>avverkningsanmälan</t>
        </is>
      </c>
      <c r="C3645" t="inlineStr">
        <is>
          <t>Föryngringsavverkning</t>
        </is>
      </c>
      <c r="D3645" s="1" t="n">
        <v>46127</v>
      </c>
      <c r="E3645" s="1" t="n">
        <v>46319</v>
      </c>
      <c r="F3645" t="inlineStr">
        <is>
          <t>DALARNAS LÄN</t>
        </is>
      </c>
      <c r="G3645" t="inlineStr">
        <is>
          <t>FALUN</t>
        </is>
      </c>
      <c r="I3645" t="n">
        <v>1.7</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55055-2025</t>
        </is>
      </c>
      <c r="B3646" t="inlineStr">
        <is>
          <t>avverkningsanmälan</t>
        </is>
      </c>
      <c r="C3646" t="inlineStr">
        <is>
          <t>Föryngringsavverkning</t>
        </is>
      </c>
      <c r="D3646" s="1" t="n">
        <v>45967</v>
      </c>
      <c r="E3646" s="1" t="n">
        <v>46319</v>
      </c>
      <c r="F3646" t="inlineStr">
        <is>
          <t>DALARNAS LÄN</t>
        </is>
      </c>
      <c r="G3646" t="inlineStr">
        <is>
          <t>RÄTTVIK</t>
        </is>
      </c>
      <c r="I3646" t="n">
        <v>0.8</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27853-2026</t>
        </is>
      </c>
      <c r="B3647" t="inlineStr">
        <is>
          <t>avverkningsanmälan</t>
        </is>
      </c>
      <c r="C3647" t="inlineStr">
        <is>
          <t>Föryngringsavverkning</t>
        </is>
      </c>
      <c r="D3647" s="1" t="n">
        <v>46191</v>
      </c>
      <c r="E3647" s="1" t="n">
        <v>46319</v>
      </c>
      <c r="F3647" t="inlineStr">
        <is>
          <t>DALARNAS LÄN</t>
        </is>
      </c>
      <c r="G3647" t="inlineStr">
        <is>
          <t>LUDVIKA</t>
        </is>
      </c>
      <c r="I3647" t="n">
        <v>5</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54862-2025</t>
        </is>
      </c>
      <c r="B3648" t="inlineStr">
        <is>
          <t>avverkningsanmälan</t>
        </is>
      </c>
      <c r="C3648" t="inlineStr">
        <is>
          <t>Föryngringsavverkning</t>
        </is>
      </c>
      <c r="D3648" s="1" t="n">
        <v>45966</v>
      </c>
      <c r="E3648" s="1" t="n">
        <v>46319</v>
      </c>
      <c r="F3648" t="inlineStr">
        <is>
          <t>DALARNAS LÄN</t>
        </is>
      </c>
      <c r="G3648" t="inlineStr">
        <is>
          <t>MORA</t>
        </is>
      </c>
      <c r="I3648" t="n">
        <v>1.2</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55140-2025</t>
        </is>
      </c>
      <c r="B3649" t="inlineStr">
        <is>
          <t>avverkningsanmälan</t>
        </is>
      </c>
      <c r="C3649" t="inlineStr">
        <is>
          <t>Föryngringsavverkning</t>
        </is>
      </c>
      <c r="D3649" s="1" t="n">
        <v>45968</v>
      </c>
      <c r="E3649" s="1" t="n">
        <v>46319</v>
      </c>
      <c r="F3649" t="inlineStr">
        <is>
          <t>DALARNAS LÄN</t>
        </is>
      </c>
      <c r="G3649" t="inlineStr">
        <is>
          <t>FALUN</t>
        </is>
      </c>
      <c r="I3649" t="n">
        <v>14.8</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55176-2025</t>
        </is>
      </c>
      <c r="B3650" t="inlineStr">
        <is>
          <t>avverkningsanmälan</t>
        </is>
      </c>
      <c r="C3650" t="inlineStr">
        <is>
          <t>Föryngringsavverkning</t>
        </is>
      </c>
      <c r="D3650" s="1" t="n">
        <v>45968</v>
      </c>
      <c r="E3650" s="1" t="n">
        <v>46319</v>
      </c>
      <c r="F3650" t="inlineStr">
        <is>
          <t>DALARNAS LÄN</t>
        </is>
      </c>
      <c r="G3650" t="inlineStr">
        <is>
          <t>ÄLVDALEN</t>
        </is>
      </c>
      <c r="H3650" t="inlineStr">
        <is>
          <t>Bergvik skog väst AB</t>
        </is>
      </c>
      <c r="I3650" t="n">
        <v>2.3</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55059-2025</t>
        </is>
      </c>
      <c r="B3651" t="inlineStr">
        <is>
          <t>avverkningsanmälan</t>
        </is>
      </c>
      <c r="C3651" t="inlineStr">
        <is>
          <t>Föryngringsavverkning</t>
        </is>
      </c>
      <c r="D3651" s="1" t="n">
        <v>45967</v>
      </c>
      <c r="E3651" s="1" t="n">
        <v>46319</v>
      </c>
      <c r="F3651" t="inlineStr">
        <is>
          <t>DALARNAS LÄN</t>
        </is>
      </c>
      <c r="G3651" t="inlineStr">
        <is>
          <t>RÄTTVIK</t>
        </is>
      </c>
      <c r="I3651" t="n">
        <v>1.9</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27998-2026</t>
        </is>
      </c>
      <c r="B3652" t="inlineStr">
        <is>
          <t>avverkningsanmälan</t>
        </is>
      </c>
      <c r="C3652" t="inlineStr">
        <is>
          <t>Föryngringsavverkning</t>
        </is>
      </c>
      <c r="D3652" s="1" t="n">
        <v>46195</v>
      </c>
      <c r="E3652" s="1" t="n">
        <v>46319</v>
      </c>
      <c r="F3652" t="inlineStr">
        <is>
          <t>DALARNAS LÄN</t>
        </is>
      </c>
      <c r="G3652" t="inlineStr">
        <is>
          <t>FALUN</t>
        </is>
      </c>
      <c r="H3652" t="inlineStr">
        <is>
          <t>Bergvik skog väst AB</t>
        </is>
      </c>
      <c r="I3652" t="n">
        <v>7.2</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55201-2025</t>
        </is>
      </c>
      <c r="B3653" t="inlineStr">
        <is>
          <t>avverkningsanmälan</t>
        </is>
      </c>
      <c r="C3653" t="inlineStr">
        <is>
          <t>Föryngringsavverkning</t>
        </is>
      </c>
      <c r="D3653" s="1" t="n">
        <v>45968</v>
      </c>
      <c r="E3653" s="1" t="n">
        <v>46319</v>
      </c>
      <c r="F3653" t="inlineStr">
        <is>
          <t>DALARNAS LÄN</t>
        </is>
      </c>
      <c r="G3653" t="inlineStr">
        <is>
          <t>FALUN</t>
        </is>
      </c>
      <c r="I3653" t="n">
        <v>2.5</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54052-2025</t>
        </is>
      </c>
      <c r="B3654" t="inlineStr">
        <is>
          <t>avverkningsanmälan</t>
        </is>
      </c>
      <c r="C3654" t="inlineStr">
        <is>
          <t>Föryngringsavverkning</t>
        </is>
      </c>
      <c r="D3654" s="1" t="n">
        <v>45963</v>
      </c>
      <c r="E3654" s="1" t="n">
        <v>46319</v>
      </c>
      <c r="F3654" t="inlineStr">
        <is>
          <t>DALARNAS LÄN</t>
        </is>
      </c>
      <c r="G3654" t="inlineStr">
        <is>
          <t>BORLÄNGE</t>
        </is>
      </c>
      <c r="I3654" t="n">
        <v>3.7</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52033-2023</t>
        </is>
      </c>
      <c r="B3655" t="inlineStr">
        <is>
          <t>avverkningsanmälan</t>
        </is>
      </c>
      <c r="C3655" t="inlineStr">
        <is>
          <t>Föryngringsavverkning</t>
        </is>
      </c>
      <c r="D3655" s="1" t="n">
        <v>45223</v>
      </c>
      <c r="E3655" s="1" t="n">
        <v>46319</v>
      </c>
      <c r="F3655" t="inlineStr">
        <is>
          <t>DALARNAS LÄN</t>
        </is>
      </c>
      <c r="G3655" t="inlineStr">
        <is>
          <t>ORSA</t>
        </is>
      </c>
      <c r="I3655" t="n">
        <v>11.5</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48954-2023</t>
        </is>
      </c>
      <c r="B3656" t="inlineStr">
        <is>
          <t>avverkningsanmälan</t>
        </is>
      </c>
      <c r="C3656" t="inlineStr">
        <is>
          <t>Föryngringsavverkning</t>
        </is>
      </c>
      <c r="D3656" s="1" t="n">
        <v>45209</v>
      </c>
      <c r="E3656" s="1" t="n">
        <v>46319</v>
      </c>
      <c r="F3656" t="inlineStr">
        <is>
          <t>DALARNAS LÄN</t>
        </is>
      </c>
      <c r="G3656" t="inlineStr">
        <is>
          <t>ÄLVDALEN</t>
        </is>
      </c>
      <c r="I3656" t="n">
        <v>7</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55047-2025</t>
        </is>
      </c>
      <c r="B3657" t="inlineStr">
        <is>
          <t>avverkningsanmälan</t>
        </is>
      </c>
      <c r="C3657" t="inlineStr">
        <is>
          <t>Föryngringsavverkning</t>
        </is>
      </c>
      <c r="D3657" s="1" t="n">
        <v>45967</v>
      </c>
      <c r="E3657" s="1" t="n">
        <v>46319</v>
      </c>
      <c r="F3657" t="inlineStr">
        <is>
          <t>DALARNAS LÄN</t>
        </is>
      </c>
      <c r="G3657" t="inlineStr">
        <is>
          <t>FALUN</t>
        </is>
      </c>
      <c r="I3657" t="n">
        <v>1.5</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2293-2026</t>
        </is>
      </c>
      <c r="B3658" t="inlineStr">
        <is>
          <t>avverkningsanmälan</t>
        </is>
      </c>
      <c r="C3658" t="inlineStr">
        <is>
          <t>Föryngringsavverkning</t>
        </is>
      </c>
      <c r="D3658" s="1" t="n">
        <v>46036</v>
      </c>
      <c r="E3658" s="1" t="n">
        <v>46319</v>
      </c>
      <c r="F3658" t="inlineStr">
        <is>
          <t>DALARNAS LÄN</t>
        </is>
      </c>
      <c r="G3658" t="inlineStr">
        <is>
          <t>FALUN</t>
        </is>
      </c>
      <c r="I3658" t="n">
        <v>1.9</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55105-2025</t>
        </is>
      </c>
      <c r="B3659" t="inlineStr">
        <is>
          <t>avverkningsanmälan</t>
        </is>
      </c>
      <c r="C3659" t="inlineStr">
        <is>
          <t>Föryngringsavverkning</t>
        </is>
      </c>
      <c r="D3659" s="1" t="n">
        <v>45968</v>
      </c>
      <c r="E3659" s="1" t="n">
        <v>46319</v>
      </c>
      <c r="F3659" t="inlineStr">
        <is>
          <t>DALARNAS LÄN</t>
        </is>
      </c>
      <c r="G3659" t="inlineStr">
        <is>
          <t>ORSA</t>
        </is>
      </c>
      <c r="H3659" t="inlineStr">
        <is>
          <t>Allmännings- och besparingsskogar</t>
        </is>
      </c>
      <c r="I3659" t="n">
        <v>31.5</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1466-2023</t>
        </is>
      </c>
      <c r="B3660" t="inlineStr">
        <is>
          <t>avverkningsanmälan</t>
        </is>
      </c>
      <c r="C3660" t="inlineStr">
        <is>
          <t>Föryngringsavverkning</t>
        </is>
      </c>
      <c r="D3660" s="1" t="n">
        <v>44937</v>
      </c>
      <c r="E3660" s="1" t="n">
        <v>46319</v>
      </c>
      <c r="F3660" t="inlineStr">
        <is>
          <t>DALARNAS LÄN</t>
        </is>
      </c>
      <c r="G3660" t="inlineStr">
        <is>
          <t>FALUN</t>
        </is>
      </c>
      <c r="I3660" t="n">
        <v>0.7</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973-2023</t>
        </is>
      </c>
      <c r="B3661" t="inlineStr">
        <is>
          <t>avverkningsanmälan</t>
        </is>
      </c>
      <c r="C3661" t="inlineStr">
        <is>
          <t>Föryngringsavverkning</t>
        </is>
      </c>
      <c r="D3661" s="1" t="n">
        <v>44935</v>
      </c>
      <c r="E3661" s="1" t="n">
        <v>46319</v>
      </c>
      <c r="F3661" t="inlineStr">
        <is>
          <t>DALARNAS LÄN</t>
        </is>
      </c>
      <c r="G3661" t="inlineStr">
        <is>
          <t>SÄTER</t>
        </is>
      </c>
      <c r="I3661" t="n">
        <v>3.7</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46393-2025</t>
        </is>
      </c>
      <c r="B3662" t="inlineStr">
        <is>
          <t>avverkningsanmälan</t>
        </is>
      </c>
      <c r="C3662" t="inlineStr">
        <is>
          <t>Föryngringsavverkning</t>
        </is>
      </c>
      <c r="D3662" s="1" t="n">
        <v>45925</v>
      </c>
      <c r="E3662" s="1" t="n">
        <v>46319</v>
      </c>
      <c r="F3662" t="inlineStr">
        <is>
          <t>DALARNAS LÄN</t>
        </is>
      </c>
      <c r="G3662" t="inlineStr">
        <is>
          <t>MALUNG-SÄLEN</t>
        </is>
      </c>
      <c r="I3662" t="n">
        <v>3</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28085-2026</t>
        </is>
      </c>
      <c r="B3663" t="inlineStr">
        <is>
          <t>avverkningsanmälan</t>
        </is>
      </c>
      <c r="C3663" t="inlineStr">
        <is>
          <t>Föryngringsavverkning</t>
        </is>
      </c>
      <c r="D3663" s="1" t="n">
        <v>46195</v>
      </c>
      <c r="E3663" s="1" t="n">
        <v>46319</v>
      </c>
      <c r="F3663" t="inlineStr">
        <is>
          <t>DALARNAS LÄN</t>
        </is>
      </c>
      <c r="G3663" t="inlineStr">
        <is>
          <t>FALUN</t>
        </is>
      </c>
      <c r="I3663" t="n">
        <v>1.4</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28087-2026</t>
        </is>
      </c>
      <c r="B3664" t="inlineStr">
        <is>
          <t>avverkningsanmälan</t>
        </is>
      </c>
      <c r="C3664" t="inlineStr">
        <is>
          <t>Föryngringsavverkning</t>
        </is>
      </c>
      <c r="D3664" s="1" t="n">
        <v>46195</v>
      </c>
      <c r="E3664" s="1" t="n">
        <v>46319</v>
      </c>
      <c r="F3664" t="inlineStr">
        <is>
          <t>DALARNAS LÄN</t>
        </is>
      </c>
      <c r="G3664" t="inlineStr">
        <is>
          <t>MORA</t>
        </is>
      </c>
      <c r="I3664" t="n">
        <v>2.3</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35365-2022</t>
        </is>
      </c>
      <c r="B3665" t="inlineStr">
        <is>
          <t>avverkningsanmälan</t>
        </is>
      </c>
      <c r="C3665" t="inlineStr">
        <is>
          <t>Föryngringsavverkning</t>
        </is>
      </c>
      <c r="D3665" s="1" t="n">
        <v>44798</v>
      </c>
      <c r="E3665" s="1" t="n">
        <v>46319</v>
      </c>
      <c r="F3665" t="inlineStr">
        <is>
          <t>DALARNAS LÄN</t>
        </is>
      </c>
      <c r="G3665" t="inlineStr">
        <is>
          <t>VANSBRO</t>
        </is>
      </c>
      <c r="H3665" t="inlineStr">
        <is>
          <t>Kommuner</t>
        </is>
      </c>
      <c r="I3665" t="n">
        <v>2.5</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28189-2026</t>
        </is>
      </c>
      <c r="B3666" t="inlineStr">
        <is>
          <t>avverkningsanmälan</t>
        </is>
      </c>
      <c r="C3666" t="inlineStr">
        <is>
          <t>Föryngringsavverkning</t>
        </is>
      </c>
      <c r="D3666" s="1" t="n">
        <v>46195</v>
      </c>
      <c r="E3666" s="1" t="n">
        <v>46319</v>
      </c>
      <c r="F3666" t="inlineStr">
        <is>
          <t>DALARNAS LÄN</t>
        </is>
      </c>
      <c r="G3666" t="inlineStr">
        <is>
          <t>FALUN</t>
        </is>
      </c>
      <c r="I3666" t="n">
        <v>7.3</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28236-2026</t>
        </is>
      </c>
      <c r="B3667" t="inlineStr">
        <is>
          <t>avverkningsanmälan</t>
        </is>
      </c>
      <c r="C3667" t="inlineStr">
        <is>
          <t>Föryngringsavverkning</t>
        </is>
      </c>
      <c r="D3667" s="1" t="n">
        <v>46196</v>
      </c>
      <c r="E3667" s="1" t="n">
        <v>46319</v>
      </c>
      <c r="F3667" t="inlineStr">
        <is>
          <t>DALARNAS LÄN</t>
        </is>
      </c>
      <c r="G3667" t="inlineStr">
        <is>
          <t>MORA</t>
        </is>
      </c>
      <c r="I3667" t="n">
        <v>1.9</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28817-2026</t>
        </is>
      </c>
      <c r="B3668" t="inlineStr">
        <is>
          <t>avverkningsanmälan</t>
        </is>
      </c>
      <c r="C3668" t="inlineStr">
        <is>
          <t>Föryngringsavverkning</t>
        </is>
      </c>
      <c r="D3668" s="1" t="n">
        <v>46195</v>
      </c>
      <c r="E3668" s="1" t="n">
        <v>46319</v>
      </c>
      <c r="F3668" t="inlineStr">
        <is>
          <t>DALARNAS LÄN</t>
        </is>
      </c>
      <c r="G3668" t="inlineStr">
        <is>
          <t>FALUN</t>
        </is>
      </c>
      <c r="H3668" t="inlineStr">
        <is>
          <t>Allmännings- och besparingsskogar</t>
        </is>
      </c>
      <c r="I3668" t="n">
        <v>14.2</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5397-2024</t>
        </is>
      </c>
      <c r="B3669" t="inlineStr">
        <is>
          <t>avverkningsanmälan</t>
        </is>
      </c>
      <c r="C3669" t="inlineStr">
        <is>
          <t>Föryngringsavverkning</t>
        </is>
      </c>
      <c r="D3669" s="1" t="n">
        <v>45331</v>
      </c>
      <c r="E3669" s="1" t="n">
        <v>46319</v>
      </c>
      <c r="F3669" t="inlineStr">
        <is>
          <t>DALARNAS LÄN</t>
        </is>
      </c>
      <c r="G3669" t="inlineStr">
        <is>
          <t>FALUN</t>
        </is>
      </c>
      <c r="I3669" t="n">
        <v>7.8</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19916-2026</t>
        </is>
      </c>
      <c r="B3670" t="inlineStr">
        <is>
          <t>avverkningsanmälan</t>
        </is>
      </c>
      <c r="C3670" t="inlineStr">
        <is>
          <t>Föryngringsavverkning</t>
        </is>
      </c>
      <c r="D3670" s="1" t="n">
        <v>46136</v>
      </c>
      <c r="E3670" s="1" t="n">
        <v>46319</v>
      </c>
      <c r="F3670" t="inlineStr">
        <is>
          <t>DALARNAS LÄN</t>
        </is>
      </c>
      <c r="G3670" t="inlineStr">
        <is>
          <t>FALUN</t>
        </is>
      </c>
      <c r="I3670" t="n">
        <v>0.8</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40177-2022</t>
        </is>
      </c>
      <c r="B3671" t="inlineStr">
        <is>
          <t>avverkningsanmälan</t>
        </is>
      </c>
      <c r="C3671" t="inlineStr">
        <is>
          <t>Avverkning för annat ändamål</t>
        </is>
      </c>
      <c r="D3671" s="1" t="n">
        <v>44818</v>
      </c>
      <c r="E3671" s="1" t="n">
        <v>46319</v>
      </c>
      <c r="F3671" t="inlineStr">
        <is>
          <t>DALARNAS LÄN</t>
        </is>
      </c>
      <c r="G3671" t="inlineStr">
        <is>
          <t>RÄTTVIK</t>
        </is>
      </c>
      <c r="I3671" t="n">
        <v>0.9</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27969-2026</t>
        </is>
      </c>
      <c r="B3672" t="inlineStr">
        <is>
          <t>avverkningsanmälan</t>
        </is>
      </c>
      <c r="C3672" t="inlineStr">
        <is>
          <t>Föryngringsavverkning</t>
        </is>
      </c>
      <c r="D3672" s="1" t="n">
        <v>46195</v>
      </c>
      <c r="E3672" s="1" t="n">
        <v>46319</v>
      </c>
      <c r="F3672" t="inlineStr">
        <is>
          <t>DALARNAS LÄN</t>
        </is>
      </c>
      <c r="G3672" t="inlineStr">
        <is>
          <t>FALUN</t>
        </is>
      </c>
      <c r="I3672" t="n">
        <v>2.4</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55436-2025</t>
        </is>
      </c>
      <c r="B3673" t="inlineStr">
        <is>
          <t>avverkningsanmälan</t>
        </is>
      </c>
      <c r="C3673" t="inlineStr">
        <is>
          <t>Föryngringsavverkning</t>
        </is>
      </c>
      <c r="D3673" s="1" t="n">
        <v>45971</v>
      </c>
      <c r="E3673" s="1" t="n">
        <v>46319</v>
      </c>
      <c r="F3673" t="inlineStr">
        <is>
          <t>DALARNAS LÄN</t>
        </is>
      </c>
      <c r="G3673" t="inlineStr">
        <is>
          <t>MALUNG-SÄLEN</t>
        </is>
      </c>
      <c r="H3673" t="inlineStr">
        <is>
          <t>Allmännings- och besparingsskogar</t>
        </is>
      </c>
      <c r="I3673" t="n">
        <v>31.3</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55712-2025</t>
        </is>
      </c>
      <c r="B3674" t="inlineStr">
        <is>
          <t>avverkningsanmälan</t>
        </is>
      </c>
      <c r="C3674" t="inlineStr">
        <is>
          <t>Föryngringsavverkning</t>
        </is>
      </c>
      <c r="D3674" s="1" t="n">
        <v>45971</v>
      </c>
      <c r="E3674" s="1" t="n">
        <v>46319</v>
      </c>
      <c r="F3674" t="inlineStr">
        <is>
          <t>DALARNAS LÄN</t>
        </is>
      </c>
      <c r="G3674" t="inlineStr">
        <is>
          <t>RÄTTVIK</t>
        </is>
      </c>
      <c r="I3674" t="n">
        <v>2</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58903-2023</t>
        </is>
      </c>
      <c r="B3675" t="inlineStr">
        <is>
          <t>avverkningsanmälan</t>
        </is>
      </c>
      <c r="C3675" t="inlineStr">
        <is>
          <t>Föryngringsavverkning</t>
        </is>
      </c>
      <c r="D3675" s="1" t="n">
        <v>45252</v>
      </c>
      <c r="E3675" s="1" t="n">
        <v>46319</v>
      </c>
      <c r="F3675" t="inlineStr">
        <is>
          <t>DALARNAS LÄN</t>
        </is>
      </c>
      <c r="G3675" t="inlineStr">
        <is>
          <t>BORLÄNGE</t>
        </is>
      </c>
      <c r="I3675" t="n">
        <v>0.7</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33611-2024</t>
        </is>
      </c>
      <c r="B3676" t="inlineStr">
        <is>
          <t>avverkningsanmälan</t>
        </is>
      </c>
      <c r="C3676" t="inlineStr">
        <is>
          <t>Föryngringsavverkning</t>
        </is>
      </c>
      <c r="D3676" s="1" t="n">
        <v>45520</v>
      </c>
      <c r="E3676" s="1" t="n">
        <v>46319</v>
      </c>
      <c r="F3676" t="inlineStr">
        <is>
          <t>DALARNAS LÄN</t>
        </is>
      </c>
      <c r="G3676" t="inlineStr">
        <is>
          <t>FALUN</t>
        </is>
      </c>
      <c r="I3676" t="n">
        <v>11.2</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688-2025</t>
        </is>
      </c>
      <c r="B3677" t="inlineStr">
        <is>
          <t>avverkningsanmälan</t>
        </is>
      </c>
      <c r="C3677" t="inlineStr">
        <is>
          <t>Föryngringsavverkning</t>
        </is>
      </c>
      <c r="D3677" s="1" t="n">
        <v>45665</v>
      </c>
      <c r="E3677" s="1" t="n">
        <v>46319</v>
      </c>
      <c r="F3677" t="inlineStr">
        <is>
          <t>DALARNAS LÄN</t>
        </is>
      </c>
      <c r="G3677" t="inlineStr">
        <is>
          <t>MALUNG-SÄLEN</t>
        </is>
      </c>
      <c r="I3677" t="n">
        <v>2.8</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28078-2026</t>
        </is>
      </c>
      <c r="B3678" t="inlineStr">
        <is>
          <t>avverkningsanmälan</t>
        </is>
      </c>
      <c r="C3678" t="inlineStr">
        <is>
          <t>Föryngringsavverkning</t>
        </is>
      </c>
      <c r="D3678" s="1" t="n">
        <v>46195</v>
      </c>
      <c r="E3678" s="1" t="n">
        <v>46319</v>
      </c>
      <c r="F3678" t="inlineStr">
        <is>
          <t>DALARNAS LÄN</t>
        </is>
      </c>
      <c r="G3678" t="inlineStr">
        <is>
          <t>RÄTTVIK</t>
        </is>
      </c>
      <c r="I3678" t="n">
        <v>3.6</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55405-2025</t>
        </is>
      </c>
      <c r="B3679" t="inlineStr">
        <is>
          <t>avverkningsanmälan</t>
        </is>
      </c>
      <c r="C3679" t="inlineStr">
        <is>
          <t>Föryngringsavverkning</t>
        </is>
      </c>
      <c r="D3679" s="1" t="n">
        <v>45971</v>
      </c>
      <c r="E3679" s="1" t="n">
        <v>46319</v>
      </c>
      <c r="F3679" t="inlineStr">
        <is>
          <t>DALARNAS LÄN</t>
        </is>
      </c>
      <c r="G3679" t="inlineStr">
        <is>
          <t>ORSA</t>
        </is>
      </c>
      <c r="H3679" t="inlineStr">
        <is>
          <t>Bergvik skog öst AB</t>
        </is>
      </c>
      <c r="I3679" t="n">
        <v>1.3</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55412-2025</t>
        </is>
      </c>
      <c r="B3680" t="inlineStr">
        <is>
          <t>avverkningsanmälan</t>
        </is>
      </c>
      <c r="C3680" t="inlineStr">
        <is>
          <t>Föryngringsavverkning</t>
        </is>
      </c>
      <c r="D3680" s="1" t="n">
        <v>45971</v>
      </c>
      <c r="E3680" s="1" t="n">
        <v>46319</v>
      </c>
      <c r="F3680" t="inlineStr">
        <is>
          <t>DALARNAS LÄN</t>
        </is>
      </c>
      <c r="G3680" t="inlineStr">
        <is>
          <t>RÄTTVIK</t>
        </is>
      </c>
      <c r="I3680" t="n">
        <v>0.9</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14845-2023</t>
        </is>
      </c>
      <c r="B3681" t="inlineStr">
        <is>
          <t>avverkningsanmälan</t>
        </is>
      </c>
      <c r="C3681" t="inlineStr">
        <is>
          <t>Föryngringsavverkning</t>
        </is>
      </c>
      <c r="D3681" s="1" t="n">
        <v>45014</v>
      </c>
      <c r="E3681" s="1" t="n">
        <v>46319</v>
      </c>
      <c r="F3681" t="inlineStr">
        <is>
          <t>DALARNAS LÄN</t>
        </is>
      </c>
      <c r="G3681" t="inlineStr">
        <is>
          <t>SMEDJEBACKEN</t>
        </is>
      </c>
      <c r="I3681" t="n">
        <v>3.8</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55583-2023</t>
        </is>
      </c>
      <c r="B3682" t="inlineStr">
        <is>
          <t>avverkningsanmälan</t>
        </is>
      </c>
      <c r="C3682" t="inlineStr">
        <is>
          <t>Avverkning för annat ändamål</t>
        </is>
      </c>
      <c r="D3682" s="1" t="n">
        <v>45238</v>
      </c>
      <c r="E3682" s="1" t="n">
        <v>46319</v>
      </c>
      <c r="F3682" t="inlineStr">
        <is>
          <t>DALARNAS LÄN</t>
        </is>
      </c>
      <c r="G3682" t="inlineStr">
        <is>
          <t>MALUNG-SÄLEN</t>
        </is>
      </c>
      <c r="I3682" t="n">
        <v>1.7</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55516-2025</t>
        </is>
      </c>
      <c r="B3683" t="inlineStr">
        <is>
          <t>avverkningsanmälan</t>
        </is>
      </c>
      <c r="C3683" t="inlineStr">
        <is>
          <t>Föryngringsavverkning</t>
        </is>
      </c>
      <c r="D3683" s="1" t="n">
        <v>45971</v>
      </c>
      <c r="E3683" s="1" t="n">
        <v>46319</v>
      </c>
      <c r="F3683" t="inlineStr">
        <is>
          <t>DALARNAS LÄN</t>
        </is>
      </c>
      <c r="G3683" t="inlineStr">
        <is>
          <t>FALUN</t>
        </is>
      </c>
      <c r="H3683" t="inlineStr">
        <is>
          <t>Bergvik skog väst AB</t>
        </is>
      </c>
      <c r="I3683" t="n">
        <v>1</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33288-2025</t>
        </is>
      </c>
      <c r="B3684" t="inlineStr">
        <is>
          <t>avverkningsanmälan</t>
        </is>
      </c>
      <c r="C3684" t="inlineStr">
        <is>
          <t>Föryngringsavverkning</t>
        </is>
      </c>
      <c r="D3684" s="1" t="n">
        <v>45840</v>
      </c>
      <c r="E3684" s="1" t="n">
        <v>46319</v>
      </c>
      <c r="F3684" t="inlineStr">
        <is>
          <t>DALARNAS LÄN</t>
        </is>
      </c>
      <c r="G3684" t="inlineStr">
        <is>
          <t>HEDEMORA</t>
        </is>
      </c>
      <c r="H3684" t="inlineStr">
        <is>
          <t>Sveaskog</t>
        </is>
      </c>
      <c r="I3684" t="n">
        <v>3.5</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53799-2023</t>
        </is>
      </c>
      <c r="B3685" t="inlineStr">
        <is>
          <t>avverkningsanmälan</t>
        </is>
      </c>
      <c r="C3685" t="inlineStr">
        <is>
          <t>Föryngringsavverkning</t>
        </is>
      </c>
      <c r="D3685" s="1" t="n">
        <v>45231</v>
      </c>
      <c r="E3685" s="1" t="n">
        <v>46319</v>
      </c>
      <c r="F3685" t="inlineStr">
        <is>
          <t>DALARNAS LÄN</t>
        </is>
      </c>
      <c r="G3685" t="inlineStr">
        <is>
          <t>LEKSAND</t>
        </is>
      </c>
      <c r="H3685" t="inlineStr">
        <is>
          <t>Bergvik skog väst AB</t>
        </is>
      </c>
      <c r="I3685" t="n">
        <v>0.9</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16419-2025</t>
        </is>
      </c>
      <c r="B3686" t="inlineStr">
        <is>
          <t>avverkningsanmälan</t>
        </is>
      </c>
      <c r="C3686" t="inlineStr">
        <is>
          <t>Föryngringsavverkning</t>
        </is>
      </c>
      <c r="D3686" s="1" t="n">
        <v>45751</v>
      </c>
      <c r="E3686" s="1" t="n">
        <v>46319</v>
      </c>
      <c r="F3686" t="inlineStr">
        <is>
          <t>DALARNAS LÄN</t>
        </is>
      </c>
      <c r="G3686" t="inlineStr">
        <is>
          <t>SMEDJEBACKEN</t>
        </is>
      </c>
      <c r="I3686" t="n">
        <v>1.3</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55646-2025</t>
        </is>
      </c>
      <c r="B3687" t="inlineStr">
        <is>
          <t>avverkningsanmälan</t>
        </is>
      </c>
      <c r="C3687" t="inlineStr">
        <is>
          <t>Föryngringsavverkning</t>
        </is>
      </c>
      <c r="D3687" s="1" t="n">
        <v>45972</v>
      </c>
      <c r="E3687" s="1" t="n">
        <v>46319</v>
      </c>
      <c r="F3687" t="inlineStr">
        <is>
          <t>DALARNAS LÄN</t>
        </is>
      </c>
      <c r="G3687" t="inlineStr">
        <is>
          <t>LUDVIKA</t>
        </is>
      </c>
      <c r="H3687" t="inlineStr">
        <is>
          <t>Bergvik skog väst AB</t>
        </is>
      </c>
      <c r="I3687" t="n">
        <v>2.7</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55708-2025</t>
        </is>
      </c>
      <c r="B3688" t="inlineStr">
        <is>
          <t>avverkningsanmälan</t>
        </is>
      </c>
      <c r="C3688" t="inlineStr">
        <is>
          <t>Föryngringsavverkning</t>
        </is>
      </c>
      <c r="D3688" s="1" t="n">
        <v>45971</v>
      </c>
      <c r="E3688" s="1" t="n">
        <v>46319</v>
      </c>
      <c r="F3688" t="inlineStr">
        <is>
          <t>DALARNAS LÄN</t>
        </is>
      </c>
      <c r="G3688" t="inlineStr">
        <is>
          <t>RÄTTVIK</t>
        </is>
      </c>
      <c r="I3688" t="n">
        <v>1</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64099-2023</t>
        </is>
      </c>
      <c r="B3689" t="inlineStr">
        <is>
          <t>avverkningsanmälan</t>
        </is>
      </c>
      <c r="C3689" t="inlineStr">
        <is>
          <t>Föryngringsavverkning</t>
        </is>
      </c>
      <c r="D3689" s="1" t="n">
        <v>45279</v>
      </c>
      <c r="E3689" s="1" t="n">
        <v>46319</v>
      </c>
      <c r="F3689" t="inlineStr">
        <is>
          <t>DALARNAS LÄN</t>
        </is>
      </c>
      <c r="G3689" t="inlineStr">
        <is>
          <t>MORA</t>
        </is>
      </c>
      <c r="I3689" t="n">
        <v>0.6</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27970-2026</t>
        </is>
      </c>
      <c r="B3690" t="inlineStr">
        <is>
          <t>avverkningsanmälan</t>
        </is>
      </c>
      <c r="C3690" t="inlineStr">
        <is>
          <t>Föryngringsavverkning</t>
        </is>
      </c>
      <c r="D3690" s="1" t="n">
        <v>46195</v>
      </c>
      <c r="E3690" s="1" t="n">
        <v>46319</v>
      </c>
      <c r="F3690" t="inlineStr">
        <is>
          <t>DALARNAS LÄN</t>
        </is>
      </c>
      <c r="G3690" t="inlineStr">
        <is>
          <t>FALUN</t>
        </is>
      </c>
      <c r="I3690" t="n">
        <v>1.7</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28117-2026</t>
        </is>
      </c>
      <c r="B3691" t="inlineStr">
        <is>
          <t>avverkningsanmälan</t>
        </is>
      </c>
      <c r="C3691" t="inlineStr">
        <is>
          <t>Föryngringsavverkning</t>
        </is>
      </c>
      <c r="D3691" s="1" t="n">
        <v>46195</v>
      </c>
      <c r="E3691" s="1" t="n">
        <v>46319</v>
      </c>
      <c r="F3691" t="inlineStr">
        <is>
          <t>DALARNAS LÄN</t>
        </is>
      </c>
      <c r="G3691" t="inlineStr">
        <is>
          <t>FALUN</t>
        </is>
      </c>
      <c r="I3691" t="n">
        <v>10.2</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55606-2025</t>
        </is>
      </c>
      <c r="B3692" t="inlineStr">
        <is>
          <t>avverkningsanmälan</t>
        </is>
      </c>
      <c r="C3692" t="inlineStr">
        <is>
          <t>Föryngringsavverkning</t>
        </is>
      </c>
      <c r="D3692" s="1" t="n">
        <v>45971</v>
      </c>
      <c r="E3692" s="1" t="n">
        <v>46319</v>
      </c>
      <c r="F3692" t="inlineStr">
        <is>
          <t>DALARNAS LÄN</t>
        </is>
      </c>
      <c r="G3692" t="inlineStr">
        <is>
          <t>HEDEMORA</t>
        </is>
      </c>
      <c r="I3692" t="n">
        <v>0.5</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55613-2025</t>
        </is>
      </c>
      <c r="B3693" t="inlineStr">
        <is>
          <t>avverkningsanmälan</t>
        </is>
      </c>
      <c r="C3693" t="inlineStr">
        <is>
          <t>Föryngringsavverkning</t>
        </is>
      </c>
      <c r="D3693" s="1" t="n">
        <v>45971</v>
      </c>
      <c r="E3693" s="1" t="n">
        <v>46319</v>
      </c>
      <c r="F3693" t="inlineStr">
        <is>
          <t>DALARNAS LÄN</t>
        </is>
      </c>
      <c r="G3693" t="inlineStr">
        <is>
          <t>MALUNG-SÄLEN</t>
        </is>
      </c>
      <c r="I3693" t="n">
        <v>1.2</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61316-2024</t>
        </is>
      </c>
      <c r="B3694" t="inlineStr">
        <is>
          <t>avverkningsanmälan</t>
        </is>
      </c>
      <c r="C3694" t="inlineStr">
        <is>
          <t>Föryngringsavverkning</t>
        </is>
      </c>
      <c r="D3694" s="1" t="n">
        <v>45646</v>
      </c>
      <c r="E3694" s="1" t="n">
        <v>46319</v>
      </c>
      <c r="F3694" t="inlineStr">
        <is>
          <t>DALARNAS LÄN</t>
        </is>
      </c>
      <c r="G3694" t="inlineStr">
        <is>
          <t>RÄTTVIK</t>
        </is>
      </c>
      <c r="I3694" t="n">
        <v>0.8</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40193-2024</t>
        </is>
      </c>
      <c r="B3695" t="inlineStr">
        <is>
          <t>avverkningsanmälan</t>
        </is>
      </c>
      <c r="C3695" t="inlineStr">
        <is>
          <t>Föryngringsavverkning</t>
        </is>
      </c>
      <c r="D3695" s="1" t="n">
        <v>45554</v>
      </c>
      <c r="E3695" s="1" t="n">
        <v>46319</v>
      </c>
      <c r="F3695" t="inlineStr">
        <is>
          <t>DALARNAS LÄN</t>
        </is>
      </c>
      <c r="G3695" t="inlineStr">
        <is>
          <t>LEKSAND</t>
        </is>
      </c>
      <c r="H3695" t="inlineStr">
        <is>
          <t>Övriga statliga verk och myndigheter</t>
        </is>
      </c>
      <c r="I3695" t="n">
        <v>1</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21244-2024</t>
        </is>
      </c>
      <c r="B3696" t="inlineStr">
        <is>
          <t>avverkningsanmälan</t>
        </is>
      </c>
      <c r="C3696" t="inlineStr">
        <is>
          <t>Föryngringsavverkning</t>
        </is>
      </c>
      <c r="D3696" s="1" t="n">
        <v>45440</v>
      </c>
      <c r="E3696" s="1" t="n">
        <v>46319</v>
      </c>
      <c r="F3696" t="inlineStr">
        <is>
          <t>DALARNAS LÄN</t>
        </is>
      </c>
      <c r="G3696" t="inlineStr">
        <is>
          <t>MORA</t>
        </is>
      </c>
      <c r="I3696" t="n">
        <v>8.800000000000001</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43670-2025</t>
        </is>
      </c>
      <c r="B3697" t="inlineStr">
        <is>
          <t>avverkningsanmälan</t>
        </is>
      </c>
      <c r="C3697" t="inlineStr">
        <is>
          <t>Föryngringsavverkning</t>
        </is>
      </c>
      <c r="D3697" s="1" t="n">
        <v>45912</v>
      </c>
      <c r="E3697" s="1" t="n">
        <v>46319</v>
      </c>
      <c r="F3697" t="inlineStr">
        <is>
          <t>DALARNAS LÄN</t>
        </is>
      </c>
      <c r="G3697" t="inlineStr">
        <is>
          <t>AVESTA</t>
        </is>
      </c>
      <c r="H3697" t="inlineStr">
        <is>
          <t>Sveaskog</t>
        </is>
      </c>
      <c r="I3697" t="n">
        <v>4</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28069-2026</t>
        </is>
      </c>
      <c r="B3698" t="inlineStr">
        <is>
          <t>avverkningsanmälan</t>
        </is>
      </c>
      <c r="C3698" t="inlineStr">
        <is>
          <t>Föryngringsavverkning</t>
        </is>
      </c>
      <c r="D3698" s="1" t="n">
        <v>46195</v>
      </c>
      <c r="E3698" s="1" t="n">
        <v>46319</v>
      </c>
      <c r="F3698" t="inlineStr">
        <is>
          <t>DALARNAS LÄN</t>
        </is>
      </c>
      <c r="G3698" t="inlineStr">
        <is>
          <t>VANSBRO</t>
        </is>
      </c>
      <c r="H3698" t="inlineStr">
        <is>
          <t>Bergvik skog väst AB</t>
        </is>
      </c>
      <c r="I3698" t="n">
        <v>10.7</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28092-2026</t>
        </is>
      </c>
      <c r="B3699" t="inlineStr">
        <is>
          <t>avverkningsanmälan</t>
        </is>
      </c>
      <c r="C3699" t="inlineStr">
        <is>
          <t>Föryngringsavverkning</t>
        </is>
      </c>
      <c r="D3699" s="1" t="n">
        <v>46195</v>
      </c>
      <c r="E3699" s="1" t="n">
        <v>46319</v>
      </c>
      <c r="F3699" t="inlineStr">
        <is>
          <t>DALARNAS LÄN</t>
        </is>
      </c>
      <c r="G3699" t="inlineStr">
        <is>
          <t>FALUN</t>
        </is>
      </c>
      <c r="I3699" t="n">
        <v>6.8</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28110-2026</t>
        </is>
      </c>
      <c r="B3700" t="inlineStr">
        <is>
          <t>avverkningsanmälan</t>
        </is>
      </c>
      <c r="C3700" t="inlineStr">
        <is>
          <t>Föryngringsavverkning</t>
        </is>
      </c>
      <c r="D3700" s="1" t="n">
        <v>46195</v>
      </c>
      <c r="E3700" s="1" t="n">
        <v>46319</v>
      </c>
      <c r="F3700" t="inlineStr">
        <is>
          <t>DALARNAS LÄN</t>
        </is>
      </c>
      <c r="G3700" t="inlineStr">
        <is>
          <t>RÄTTVIK</t>
        </is>
      </c>
      <c r="H3700" t="inlineStr">
        <is>
          <t>Sveaskog</t>
        </is>
      </c>
      <c r="I3700" t="n">
        <v>3.5</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28115-2026</t>
        </is>
      </c>
      <c r="B3701" t="inlineStr">
        <is>
          <t>avverkningsanmälan</t>
        </is>
      </c>
      <c r="C3701" t="inlineStr">
        <is>
          <t>Föryngringsavverkning</t>
        </is>
      </c>
      <c r="D3701" s="1" t="n">
        <v>46195</v>
      </c>
      <c r="E3701" s="1" t="n">
        <v>46319</v>
      </c>
      <c r="F3701" t="inlineStr">
        <is>
          <t>DALARNAS LÄN</t>
        </is>
      </c>
      <c r="G3701" t="inlineStr">
        <is>
          <t>RÄTTVIK</t>
        </is>
      </c>
      <c r="H3701" t="inlineStr">
        <is>
          <t>Sveaskog</t>
        </is>
      </c>
      <c r="I3701" t="n">
        <v>2</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28122-2026</t>
        </is>
      </c>
      <c r="B3702" t="inlineStr">
        <is>
          <t>avverkningsanmälan</t>
        </is>
      </c>
      <c r="C3702" t="inlineStr">
        <is>
          <t>Föryngringsavverkning</t>
        </is>
      </c>
      <c r="D3702" s="1" t="n">
        <v>46195</v>
      </c>
      <c r="E3702" s="1" t="n">
        <v>46319</v>
      </c>
      <c r="F3702" t="inlineStr">
        <is>
          <t>DALARNAS LÄN</t>
        </is>
      </c>
      <c r="G3702" t="inlineStr">
        <is>
          <t>RÄTTVIK</t>
        </is>
      </c>
      <c r="H3702" t="inlineStr">
        <is>
          <t>Sveaskog</t>
        </is>
      </c>
      <c r="I3702" t="n">
        <v>3.1</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17687-2025</t>
        </is>
      </c>
      <c r="B3703" t="inlineStr">
        <is>
          <t>avverkningsanmälan</t>
        </is>
      </c>
      <c r="C3703" t="inlineStr">
        <is>
          <t>Föryngringsavverkning</t>
        </is>
      </c>
      <c r="D3703" s="1" t="n">
        <v>45758</v>
      </c>
      <c r="E3703" s="1" t="n">
        <v>46319</v>
      </c>
      <c r="F3703" t="inlineStr">
        <is>
          <t>DALARNAS LÄN</t>
        </is>
      </c>
      <c r="G3703" t="inlineStr">
        <is>
          <t>SMEDJEBACKEN</t>
        </is>
      </c>
      <c r="I3703" t="n">
        <v>2.9</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55767-2025</t>
        </is>
      </c>
      <c r="B3704" t="inlineStr">
        <is>
          <t>avverkningsanmälan</t>
        </is>
      </c>
      <c r="C3704" t="inlineStr">
        <is>
          <t>Föryngringsavverkning</t>
        </is>
      </c>
      <c r="D3704" s="1" t="n">
        <v>45972</v>
      </c>
      <c r="E3704" s="1" t="n">
        <v>46319</v>
      </c>
      <c r="F3704" t="inlineStr">
        <is>
          <t>DALARNAS LÄN</t>
        </is>
      </c>
      <c r="G3704" t="inlineStr">
        <is>
          <t>VANSBRO</t>
        </is>
      </c>
      <c r="H3704" t="inlineStr">
        <is>
          <t>Bergvik skog väst AB</t>
        </is>
      </c>
      <c r="I3704" t="n">
        <v>2</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3797-2026</t>
        </is>
      </c>
      <c r="B3705" t="inlineStr">
        <is>
          <t>avverkningsanmälan</t>
        </is>
      </c>
      <c r="C3705" t="inlineStr">
        <is>
          <t>Föryngringsavverkning</t>
        </is>
      </c>
      <c r="D3705" s="1" t="n">
        <v>46043</v>
      </c>
      <c r="E3705" s="1" t="n">
        <v>46319</v>
      </c>
      <c r="F3705" t="inlineStr">
        <is>
          <t>DALARNAS LÄN</t>
        </is>
      </c>
      <c r="G3705" t="inlineStr">
        <is>
          <t>RÄTTVIK</t>
        </is>
      </c>
      <c r="I3705" t="n">
        <v>4.7</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55813-2025</t>
        </is>
      </c>
      <c r="B3706" t="inlineStr">
        <is>
          <t>avverkningsanmälan</t>
        </is>
      </c>
      <c r="C3706" t="inlineStr">
        <is>
          <t>Föryngringsavverkning</t>
        </is>
      </c>
      <c r="D3706" s="1" t="n">
        <v>45972</v>
      </c>
      <c r="E3706" s="1" t="n">
        <v>46319</v>
      </c>
      <c r="F3706" t="inlineStr">
        <is>
          <t>DALARNAS LÄN</t>
        </is>
      </c>
      <c r="G3706" t="inlineStr">
        <is>
          <t>MALUNG-SÄLEN</t>
        </is>
      </c>
      <c r="I3706" t="n">
        <v>1.1</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55814-2025</t>
        </is>
      </c>
      <c r="B3707" t="inlineStr">
        <is>
          <t>avverkningsanmälan</t>
        </is>
      </c>
      <c r="C3707" t="inlineStr">
        <is>
          <t>Föryngringsavverkning</t>
        </is>
      </c>
      <c r="D3707" s="1" t="n">
        <v>45972</v>
      </c>
      <c r="E3707" s="1" t="n">
        <v>46319</v>
      </c>
      <c r="F3707" t="inlineStr">
        <is>
          <t>DALARNAS LÄN</t>
        </is>
      </c>
      <c r="G3707" t="inlineStr">
        <is>
          <t>MALUNG-SÄLEN</t>
        </is>
      </c>
      <c r="I3707" t="n">
        <v>0.8</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55621-2025</t>
        </is>
      </c>
      <c r="B3708" t="inlineStr">
        <is>
          <t>avverkningsanmälan</t>
        </is>
      </c>
      <c r="C3708" t="inlineStr">
        <is>
          <t>Föryngringsavverkning</t>
        </is>
      </c>
      <c r="D3708" s="1" t="n">
        <v>45971</v>
      </c>
      <c r="E3708" s="1" t="n">
        <v>46319</v>
      </c>
      <c r="F3708" t="inlineStr">
        <is>
          <t>DALARNAS LÄN</t>
        </is>
      </c>
      <c r="G3708" t="inlineStr">
        <is>
          <t>SÄTER</t>
        </is>
      </c>
      <c r="H3708" t="inlineStr">
        <is>
          <t>Bergvik skog väst AB</t>
        </is>
      </c>
      <c r="I3708" t="n">
        <v>0.8</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28192-2026</t>
        </is>
      </c>
      <c r="B3709" t="inlineStr">
        <is>
          <t>avverkningsanmälan</t>
        </is>
      </c>
      <c r="C3709" t="inlineStr">
        <is>
          <t>Föryngringsavverkning</t>
        </is>
      </c>
      <c r="D3709" s="1" t="n">
        <v>46195</v>
      </c>
      <c r="E3709" s="1" t="n">
        <v>46319</v>
      </c>
      <c r="F3709" t="inlineStr">
        <is>
          <t>DALARNAS LÄN</t>
        </is>
      </c>
      <c r="G3709" t="inlineStr">
        <is>
          <t>GAGNEF</t>
        </is>
      </c>
      <c r="I3709" t="n">
        <v>3.4</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55740-2025</t>
        </is>
      </c>
      <c r="B3710" t="inlineStr">
        <is>
          <t>avverkningsanmälan</t>
        </is>
      </c>
      <c r="C3710" t="inlineStr">
        <is>
          <t>Föryngringsavverkning</t>
        </is>
      </c>
      <c r="D3710" s="1" t="n">
        <v>45972</v>
      </c>
      <c r="E3710" s="1" t="n">
        <v>46319</v>
      </c>
      <c r="F3710" t="inlineStr">
        <is>
          <t>DALARNAS LÄN</t>
        </is>
      </c>
      <c r="G3710" t="inlineStr">
        <is>
          <t>RÄTTVIK</t>
        </is>
      </c>
      <c r="H3710" t="inlineStr">
        <is>
          <t>Bergvik skog väst AB</t>
        </is>
      </c>
      <c r="I3710" t="n">
        <v>9.9</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55364-2025</t>
        </is>
      </c>
      <c r="B3711" t="inlineStr">
        <is>
          <t>avverkningsanmälan</t>
        </is>
      </c>
      <c r="C3711" t="inlineStr">
        <is>
          <t>Föryngringsavverkning</t>
        </is>
      </c>
      <c r="D3711" s="1" t="n">
        <v>45971</v>
      </c>
      <c r="E3711" s="1" t="n">
        <v>46319</v>
      </c>
      <c r="F3711" t="inlineStr">
        <is>
          <t>DALARNAS LÄN</t>
        </is>
      </c>
      <c r="G3711" t="inlineStr">
        <is>
          <t>SMEDJEBACKEN</t>
        </is>
      </c>
      <c r="H3711" t="inlineStr">
        <is>
          <t>Sveaskog</t>
        </is>
      </c>
      <c r="I3711" t="n">
        <v>7.9</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28561-2026</t>
        </is>
      </c>
      <c r="B3712" t="inlineStr">
        <is>
          <t>avverkningsanmälan</t>
        </is>
      </c>
      <c r="C3712" t="inlineStr">
        <is>
          <t>Föryngringsavverkning</t>
        </is>
      </c>
      <c r="D3712" s="1" t="n">
        <v>46197</v>
      </c>
      <c r="E3712" s="1" t="n">
        <v>46319</v>
      </c>
      <c r="F3712" t="inlineStr">
        <is>
          <t>DALARNAS LÄN</t>
        </is>
      </c>
      <c r="G3712" t="inlineStr">
        <is>
          <t>LEKSAND</t>
        </is>
      </c>
      <c r="I3712" t="n">
        <v>0.6</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55493-2025</t>
        </is>
      </c>
      <c r="B3713" t="inlineStr">
        <is>
          <t>avverkningsanmälan</t>
        </is>
      </c>
      <c r="C3713" t="inlineStr">
        <is>
          <t>Föryngringsavverkning</t>
        </is>
      </c>
      <c r="D3713" s="1" t="n">
        <v>45971</v>
      </c>
      <c r="E3713" s="1" t="n">
        <v>46319</v>
      </c>
      <c r="F3713" t="inlineStr">
        <is>
          <t>DALARNAS LÄN</t>
        </is>
      </c>
      <c r="G3713" t="inlineStr">
        <is>
          <t>LEKSAND</t>
        </is>
      </c>
      <c r="I3713" t="n">
        <v>0.9</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55554-2025</t>
        </is>
      </c>
      <c r="B3714" t="inlineStr">
        <is>
          <t>avverkningsanmälan</t>
        </is>
      </c>
      <c r="C3714" t="inlineStr">
        <is>
          <t>Föryngringsavverkning</t>
        </is>
      </c>
      <c r="D3714" s="1" t="n">
        <v>45971</v>
      </c>
      <c r="E3714" s="1" t="n">
        <v>46319</v>
      </c>
      <c r="F3714" t="inlineStr">
        <is>
          <t>DALARNAS LÄN</t>
        </is>
      </c>
      <c r="G3714" t="inlineStr">
        <is>
          <t>LUDVIKA</t>
        </is>
      </c>
      <c r="H3714" t="inlineStr">
        <is>
          <t>Bergvik skog väst AB</t>
        </is>
      </c>
      <c r="I3714" t="n">
        <v>8.699999999999999</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55559-2025</t>
        </is>
      </c>
      <c r="B3715" t="inlineStr">
        <is>
          <t>avverkningsanmälan</t>
        </is>
      </c>
      <c r="C3715" t="inlineStr">
        <is>
          <t>Föryngringsavverkning</t>
        </is>
      </c>
      <c r="D3715" s="1" t="n">
        <v>45971</v>
      </c>
      <c r="E3715" s="1" t="n">
        <v>46319</v>
      </c>
      <c r="F3715" t="inlineStr">
        <is>
          <t>DALARNAS LÄN</t>
        </is>
      </c>
      <c r="G3715" t="inlineStr">
        <is>
          <t>LUDVIKA</t>
        </is>
      </c>
      <c r="H3715" t="inlineStr">
        <is>
          <t>Bergvik skog väst AB</t>
        </is>
      </c>
      <c r="I3715" t="n">
        <v>9.4</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55704-2025</t>
        </is>
      </c>
      <c r="B3716" t="inlineStr">
        <is>
          <t>avverkningsanmälan</t>
        </is>
      </c>
      <c r="C3716" t="inlineStr">
        <is>
          <t>Föryngringsavverkning</t>
        </is>
      </c>
      <c r="D3716" s="1" t="n">
        <v>45971</v>
      </c>
      <c r="E3716" s="1" t="n">
        <v>46319</v>
      </c>
      <c r="F3716" t="inlineStr">
        <is>
          <t>DALARNAS LÄN</t>
        </is>
      </c>
      <c r="G3716" t="inlineStr">
        <is>
          <t>RÄTTVIK</t>
        </is>
      </c>
      <c r="I3716" t="n">
        <v>2.4</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32892-2022</t>
        </is>
      </c>
      <c r="B3717" t="inlineStr">
        <is>
          <t>avverkningsanmälan</t>
        </is>
      </c>
      <c r="C3717" t="inlineStr">
        <is>
          <t>Föryngringsavverkning</t>
        </is>
      </c>
      <c r="D3717" s="1" t="n">
        <v>44784</v>
      </c>
      <c r="E3717" s="1" t="n">
        <v>46319</v>
      </c>
      <c r="F3717" t="inlineStr">
        <is>
          <t>DALARNAS LÄN</t>
        </is>
      </c>
      <c r="G3717" t="inlineStr">
        <is>
          <t>SÄTER</t>
        </is>
      </c>
      <c r="I3717" t="n">
        <v>6.8</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32904-2022</t>
        </is>
      </c>
      <c r="B3718" t="inlineStr">
        <is>
          <t>avverkningsanmälan</t>
        </is>
      </c>
      <c r="C3718" t="inlineStr">
        <is>
          <t>Föryngringsavverkning</t>
        </is>
      </c>
      <c r="D3718" s="1" t="n">
        <v>44784</v>
      </c>
      <c r="E3718" s="1" t="n">
        <v>46319</v>
      </c>
      <c r="F3718" t="inlineStr">
        <is>
          <t>DALARNAS LÄN</t>
        </is>
      </c>
      <c r="G3718" t="inlineStr">
        <is>
          <t>SÄTER</t>
        </is>
      </c>
      <c r="H3718" t="inlineStr">
        <is>
          <t>Bergvik skog väst AB</t>
        </is>
      </c>
      <c r="I3718" t="n">
        <v>0.6</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41574-2024</t>
        </is>
      </c>
      <c r="B3719" t="inlineStr">
        <is>
          <t>avverkningsanmälan</t>
        </is>
      </c>
      <c r="C3719" t="inlineStr">
        <is>
          <t>Föryngringsavverkning</t>
        </is>
      </c>
      <c r="D3719" s="1" t="n">
        <v>45560</v>
      </c>
      <c r="E3719" s="1" t="n">
        <v>46319</v>
      </c>
      <c r="F3719" t="inlineStr">
        <is>
          <t>DALARNAS LÄN</t>
        </is>
      </c>
      <c r="G3719" t="inlineStr">
        <is>
          <t>MALUNG-SÄLEN</t>
        </is>
      </c>
      <c r="I3719" t="n">
        <v>3.6</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28507-2023</t>
        </is>
      </c>
      <c r="B3720" t="inlineStr">
        <is>
          <t>avverkningsanmälan</t>
        </is>
      </c>
      <c r="C3720" t="inlineStr">
        <is>
          <t>Föryngringsavverkning</t>
        </is>
      </c>
      <c r="D3720" s="1" t="n">
        <v>45103</v>
      </c>
      <c r="E3720" s="1" t="n">
        <v>46319</v>
      </c>
      <c r="F3720" t="inlineStr">
        <is>
          <t>DALARNAS LÄN</t>
        </is>
      </c>
      <c r="G3720" t="inlineStr">
        <is>
          <t>LUDVIKA</t>
        </is>
      </c>
      <c r="I3720" t="n">
        <v>2.4</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28466-2026</t>
        </is>
      </c>
      <c r="B3721" t="inlineStr">
        <is>
          <t>avverkningsanmälan</t>
        </is>
      </c>
      <c r="C3721" t="inlineStr">
        <is>
          <t>Föryngringsavverkning</t>
        </is>
      </c>
      <c r="D3721" s="1" t="n">
        <v>46197</v>
      </c>
      <c r="E3721" s="1" t="n">
        <v>46319</v>
      </c>
      <c r="F3721" t="inlineStr">
        <is>
          <t>DALARNAS LÄN</t>
        </is>
      </c>
      <c r="G3721" t="inlineStr">
        <is>
          <t>VANSBRO</t>
        </is>
      </c>
      <c r="H3721" t="inlineStr">
        <is>
          <t>Bergvik skog öst AB</t>
        </is>
      </c>
      <c r="I3721" t="n">
        <v>1.3</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55426-2025</t>
        </is>
      </c>
      <c r="B3722" t="inlineStr">
        <is>
          <t>avverkningsanmälan</t>
        </is>
      </c>
      <c r="C3722" t="inlineStr">
        <is>
          <t>Föryngringsavverkning</t>
        </is>
      </c>
      <c r="D3722" s="1" t="n">
        <v>45971</v>
      </c>
      <c r="E3722" s="1" t="n">
        <v>46319</v>
      </c>
      <c r="F3722" t="inlineStr">
        <is>
          <t>DALARNAS LÄN</t>
        </is>
      </c>
      <c r="G3722" t="inlineStr">
        <is>
          <t>LUDVIKA</t>
        </is>
      </c>
      <c r="H3722" t="inlineStr">
        <is>
          <t>Bergvik skog väst AB</t>
        </is>
      </c>
      <c r="I3722" t="n">
        <v>5.3</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45493-2023</t>
        </is>
      </c>
      <c r="B3723" t="inlineStr">
        <is>
          <t>avverkningsanmälan</t>
        </is>
      </c>
      <c r="C3723" t="inlineStr">
        <is>
          <t>Föryngringsavverkning</t>
        </is>
      </c>
      <c r="D3723" s="1" t="n">
        <v>45194</v>
      </c>
      <c r="E3723" s="1" t="n">
        <v>46319</v>
      </c>
      <c r="F3723" t="inlineStr">
        <is>
          <t>DALARNAS LÄN</t>
        </is>
      </c>
      <c r="G3723" t="inlineStr">
        <is>
          <t>RÄTTVIK</t>
        </is>
      </c>
      <c r="I3723" t="n">
        <v>0.6</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36466-2023</t>
        </is>
      </c>
      <c r="B3724" t="inlineStr">
        <is>
          <t>avverkningsanmälan</t>
        </is>
      </c>
      <c r="C3724" t="inlineStr">
        <is>
          <t>Avverkning för annat ändamål</t>
        </is>
      </c>
      <c r="D3724" s="1" t="n">
        <v>45152</v>
      </c>
      <c r="E3724" s="1" t="n">
        <v>46319</v>
      </c>
      <c r="F3724" t="inlineStr">
        <is>
          <t>DALARNAS LÄN</t>
        </is>
      </c>
      <c r="G3724" t="inlineStr">
        <is>
          <t>MALUNG-SÄLEN</t>
        </is>
      </c>
      <c r="H3724" t="inlineStr">
        <is>
          <t>Bergvik skog väst AB</t>
        </is>
      </c>
      <c r="I3724" t="n">
        <v>0.2</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55450-2025</t>
        </is>
      </c>
      <c r="B3725" t="inlineStr">
        <is>
          <t>avverkningsanmälan</t>
        </is>
      </c>
      <c r="C3725" t="inlineStr">
        <is>
          <t>Föryngringsavverkning</t>
        </is>
      </c>
      <c r="D3725" s="1" t="n">
        <v>45971</v>
      </c>
      <c r="E3725" s="1" t="n">
        <v>46319</v>
      </c>
      <c r="F3725" t="inlineStr">
        <is>
          <t>DALARNAS LÄN</t>
        </is>
      </c>
      <c r="G3725" t="inlineStr">
        <is>
          <t>LUDVIKA</t>
        </is>
      </c>
      <c r="H3725" t="inlineStr">
        <is>
          <t>Bergvik skog väst AB</t>
        </is>
      </c>
      <c r="I3725" t="n">
        <v>5.6</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13983-2023</t>
        </is>
      </c>
      <c r="B3726" t="inlineStr">
        <is>
          <t>avverkningsanmälan</t>
        </is>
      </c>
      <c r="C3726" t="inlineStr">
        <is>
          <t>Föryngringsavverkning</t>
        </is>
      </c>
      <c r="D3726" s="1" t="n">
        <v>45008</v>
      </c>
      <c r="E3726" s="1" t="n">
        <v>46319</v>
      </c>
      <c r="F3726" t="inlineStr">
        <is>
          <t>DALARNAS LÄN</t>
        </is>
      </c>
      <c r="G3726" t="inlineStr">
        <is>
          <t>AVESTA</t>
        </is>
      </c>
      <c r="I3726" t="n">
        <v>4.2</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14027-2023</t>
        </is>
      </c>
      <c r="B3727" t="inlineStr">
        <is>
          <t>avverkningsanmälan</t>
        </is>
      </c>
      <c r="C3727" t="inlineStr">
        <is>
          <t>Föryngringsavverkning</t>
        </is>
      </c>
      <c r="D3727" s="1" t="n">
        <v>45007</v>
      </c>
      <c r="E3727" s="1" t="n">
        <v>46319</v>
      </c>
      <c r="F3727" t="inlineStr">
        <is>
          <t>DALARNAS LÄN</t>
        </is>
      </c>
      <c r="G3727" t="inlineStr">
        <is>
          <t>AVESTA</t>
        </is>
      </c>
      <c r="I3727" t="n">
        <v>0.8</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55801-2025</t>
        </is>
      </c>
      <c r="B3728" t="inlineStr">
        <is>
          <t>avverkningsanmälan</t>
        </is>
      </c>
      <c r="C3728" t="inlineStr">
        <is>
          <t>Föryngringsavverkning</t>
        </is>
      </c>
      <c r="D3728" s="1" t="n">
        <v>45972</v>
      </c>
      <c r="E3728" s="1" t="n">
        <v>46319</v>
      </c>
      <c r="F3728" t="inlineStr">
        <is>
          <t>DALARNAS LÄN</t>
        </is>
      </c>
      <c r="G3728" t="inlineStr">
        <is>
          <t>GAGNEF</t>
        </is>
      </c>
      <c r="I3728" t="n">
        <v>2.9</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55369-2025</t>
        </is>
      </c>
      <c r="B3729" t="inlineStr">
        <is>
          <t>avverkningsanmälan</t>
        </is>
      </c>
      <c r="C3729" t="inlineStr">
        <is>
          <t>Föryngringsavverkning</t>
        </is>
      </c>
      <c r="D3729" s="1" t="n">
        <v>45971</v>
      </c>
      <c r="E3729" s="1" t="n">
        <v>46319</v>
      </c>
      <c r="F3729" t="inlineStr">
        <is>
          <t>DALARNAS LÄN</t>
        </is>
      </c>
      <c r="G3729" t="inlineStr">
        <is>
          <t>ORSA</t>
        </is>
      </c>
      <c r="H3729" t="inlineStr">
        <is>
          <t>Bergvik skog öst AB</t>
        </is>
      </c>
      <c r="I3729" t="n">
        <v>1.7</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28247-2026</t>
        </is>
      </c>
      <c r="B3730" t="inlineStr">
        <is>
          <t>avverkningsanmälan</t>
        </is>
      </c>
      <c r="C3730" t="inlineStr">
        <is>
          <t>Föryngringsavverkning</t>
        </is>
      </c>
      <c r="D3730" s="1" t="n">
        <v>46196</v>
      </c>
      <c r="E3730" s="1" t="n">
        <v>46319</v>
      </c>
      <c r="F3730" t="inlineStr">
        <is>
          <t>DALARNAS LÄN</t>
        </is>
      </c>
      <c r="G3730" t="inlineStr">
        <is>
          <t>LEKSAND</t>
        </is>
      </c>
      <c r="I3730" t="n">
        <v>1.9</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990-2026</t>
        </is>
      </c>
      <c r="B3731" t="inlineStr">
        <is>
          <t>avverkningsanmälan</t>
        </is>
      </c>
      <c r="C3731" t="inlineStr">
        <is>
          <t>Föryngringsavverkning</t>
        </is>
      </c>
      <c r="D3731" s="1" t="n">
        <v>46030</v>
      </c>
      <c r="E3731" s="1" t="n">
        <v>46319</v>
      </c>
      <c r="F3731" t="inlineStr">
        <is>
          <t>DALARNAS LÄN</t>
        </is>
      </c>
      <c r="G3731" t="inlineStr">
        <is>
          <t>LUDVIKA</t>
        </is>
      </c>
      <c r="I3731" t="n">
        <v>1.6</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28576-2026</t>
        </is>
      </c>
      <c r="B3732" t="inlineStr">
        <is>
          <t>avverkningsanmälan</t>
        </is>
      </c>
      <c r="C3732" t="inlineStr">
        <is>
          <t>Föryngringsavverkning</t>
        </is>
      </c>
      <c r="D3732" s="1" t="n">
        <v>46197</v>
      </c>
      <c r="E3732" s="1" t="n">
        <v>46319</v>
      </c>
      <c r="F3732" t="inlineStr">
        <is>
          <t>DALARNAS LÄN</t>
        </is>
      </c>
      <c r="G3732" t="inlineStr">
        <is>
          <t>RÄTTVIK</t>
        </is>
      </c>
      <c r="I3732" t="n">
        <v>9.4</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28579-2026</t>
        </is>
      </c>
      <c r="B3733" t="inlineStr">
        <is>
          <t>avverkningsanmälan</t>
        </is>
      </c>
      <c r="C3733" t="inlineStr">
        <is>
          <t>Föryngringsavverkning</t>
        </is>
      </c>
      <c r="D3733" s="1" t="n">
        <v>46197</v>
      </c>
      <c r="E3733" s="1" t="n">
        <v>46319</v>
      </c>
      <c r="F3733" t="inlineStr">
        <is>
          <t>DALARNAS LÄN</t>
        </is>
      </c>
      <c r="G3733" t="inlineStr">
        <is>
          <t>RÄTTVIK</t>
        </is>
      </c>
      <c r="I3733" t="n">
        <v>4.3</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56147-2025</t>
        </is>
      </c>
      <c r="B3734" t="inlineStr">
        <is>
          <t>avverkningsanmälan</t>
        </is>
      </c>
      <c r="C3734" t="inlineStr">
        <is>
          <t>Föryngringsavverkning</t>
        </is>
      </c>
      <c r="D3734" s="1" t="n">
        <v>45974</v>
      </c>
      <c r="E3734" s="1" t="n">
        <v>46319</v>
      </c>
      <c r="F3734" t="inlineStr">
        <is>
          <t>DALARNAS LÄN</t>
        </is>
      </c>
      <c r="G3734" t="inlineStr">
        <is>
          <t>MALUNG-SÄLEN</t>
        </is>
      </c>
      <c r="H3734" t="inlineStr">
        <is>
          <t>Bergvik skog väst AB</t>
        </is>
      </c>
      <c r="I3734" t="n">
        <v>0.4</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54212-2023</t>
        </is>
      </c>
      <c r="B3735" t="inlineStr">
        <is>
          <t>avverkningsanmälan</t>
        </is>
      </c>
      <c r="C3735" t="inlineStr">
        <is>
          <t>Föryngringsavverkning</t>
        </is>
      </c>
      <c r="D3735" s="1" t="n">
        <v>45225</v>
      </c>
      <c r="E3735" s="1" t="n">
        <v>46319</v>
      </c>
      <c r="F3735" t="inlineStr">
        <is>
          <t>DALARNAS LÄN</t>
        </is>
      </c>
      <c r="G3735" t="inlineStr">
        <is>
          <t>RÄTTVIK</t>
        </is>
      </c>
      <c r="I3735" t="n">
        <v>0.7</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20565-2026</t>
        </is>
      </c>
      <c r="B3736" t="inlineStr">
        <is>
          <t>avverkningsanmälan</t>
        </is>
      </c>
      <c r="C3736" t="inlineStr">
        <is>
          <t>Föryngringsavverkning</t>
        </is>
      </c>
      <c r="D3736" s="1" t="n">
        <v>46140</v>
      </c>
      <c r="E3736" s="1" t="n">
        <v>46319</v>
      </c>
      <c r="F3736" t="inlineStr">
        <is>
          <t>DALARNAS LÄN</t>
        </is>
      </c>
      <c r="G3736" t="inlineStr">
        <is>
          <t>RÄTTVIK</t>
        </is>
      </c>
      <c r="H3736" t="inlineStr">
        <is>
          <t>Bergvik skog väst AB</t>
        </is>
      </c>
      <c r="I3736" t="n">
        <v>2.9</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55882-2025</t>
        </is>
      </c>
      <c r="B3737" t="inlineStr">
        <is>
          <t>avverkningsanmälan</t>
        </is>
      </c>
      <c r="C3737" t="inlineStr">
        <is>
          <t>Föryngringsavverkning</t>
        </is>
      </c>
      <c r="D3737" s="1" t="n">
        <v>45973</v>
      </c>
      <c r="E3737" s="1" t="n">
        <v>46319</v>
      </c>
      <c r="F3737" t="inlineStr">
        <is>
          <t>DALARNAS LÄN</t>
        </is>
      </c>
      <c r="G3737" t="inlineStr">
        <is>
          <t>MALUNG-SÄLEN</t>
        </is>
      </c>
      <c r="H3737" t="inlineStr">
        <is>
          <t>Bergvik skog öst AB</t>
        </is>
      </c>
      <c r="I3737" t="n">
        <v>5.4</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22817-2026</t>
        </is>
      </c>
      <c r="B3738" t="inlineStr">
        <is>
          <t>avverkningsanmälan</t>
        </is>
      </c>
      <c r="C3738" t="inlineStr">
        <is>
          <t>Föryngringsavverkning</t>
        </is>
      </c>
      <c r="D3738" s="1" t="n">
        <v>46160</v>
      </c>
      <c r="E3738" s="1" t="n">
        <v>46319</v>
      </c>
      <c r="F3738" t="inlineStr">
        <is>
          <t>DALARNAS LÄN</t>
        </is>
      </c>
      <c r="G3738" t="inlineStr">
        <is>
          <t>LUDVIKA</t>
        </is>
      </c>
      <c r="H3738" t="inlineStr">
        <is>
          <t>Bergvik skog väst AB</t>
        </is>
      </c>
      <c r="I3738" t="n">
        <v>1.9</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29522-2026</t>
        </is>
      </c>
      <c r="B3739" t="inlineStr">
        <is>
          <t>avverkningsanmälan</t>
        </is>
      </c>
      <c r="C3739" t="inlineStr">
        <is>
          <t>Föryngringsavverkning</t>
        </is>
      </c>
      <c r="D3739" s="1" t="n">
        <v>46198</v>
      </c>
      <c r="E3739" s="1" t="n">
        <v>46319</v>
      </c>
      <c r="F3739" t="inlineStr">
        <is>
          <t>DALARNAS LÄN</t>
        </is>
      </c>
      <c r="G3739" t="inlineStr">
        <is>
          <t>HEDEMORA</t>
        </is>
      </c>
      <c r="H3739" t="inlineStr">
        <is>
          <t>Kyrkan</t>
        </is>
      </c>
      <c r="I3739" t="n">
        <v>8.9</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56249-2025</t>
        </is>
      </c>
      <c r="B3740" t="inlineStr">
        <is>
          <t>avverkningsanmälan</t>
        </is>
      </c>
      <c r="C3740" t="inlineStr">
        <is>
          <t>Föryngringsavverkning</t>
        </is>
      </c>
      <c r="D3740" s="1" t="n">
        <v>45974</v>
      </c>
      <c r="E3740" s="1" t="n">
        <v>46319</v>
      </c>
      <c r="F3740" t="inlineStr">
        <is>
          <t>DALARNAS LÄN</t>
        </is>
      </c>
      <c r="G3740" t="inlineStr">
        <is>
          <t>LUDVIKA</t>
        </is>
      </c>
      <c r="H3740" t="inlineStr">
        <is>
          <t>Bergvik skog väst AB</t>
        </is>
      </c>
      <c r="I3740" t="n">
        <v>5.9</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28550-2026</t>
        </is>
      </c>
      <c r="B3741" t="inlineStr">
        <is>
          <t>avverkningsanmälan</t>
        </is>
      </c>
      <c r="C3741" t="inlineStr">
        <is>
          <t>Föryngringsavverkning</t>
        </is>
      </c>
      <c r="D3741" s="1" t="n">
        <v>46197</v>
      </c>
      <c r="E3741" s="1" t="n">
        <v>46319</v>
      </c>
      <c r="F3741" t="inlineStr">
        <is>
          <t>DALARNAS LÄN</t>
        </is>
      </c>
      <c r="G3741" t="inlineStr">
        <is>
          <t>RÄTTVIK</t>
        </is>
      </c>
      <c r="I3741" t="n">
        <v>1.8</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29525-2026</t>
        </is>
      </c>
      <c r="B3742" t="inlineStr">
        <is>
          <t>avverkningsanmälan</t>
        </is>
      </c>
      <c r="C3742" t="inlineStr">
        <is>
          <t>Föryngringsavverkning</t>
        </is>
      </c>
      <c r="D3742" s="1" t="n">
        <v>46198</v>
      </c>
      <c r="E3742" s="1" t="n">
        <v>46319</v>
      </c>
      <c r="F3742" t="inlineStr">
        <is>
          <t>DALARNAS LÄN</t>
        </is>
      </c>
      <c r="G3742" t="inlineStr">
        <is>
          <t>AVESTA</t>
        </is>
      </c>
      <c r="I3742" t="n">
        <v>4</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56200-2025</t>
        </is>
      </c>
      <c r="B3743" t="inlineStr">
        <is>
          <t>avverkningsanmälan</t>
        </is>
      </c>
      <c r="C3743" t="inlineStr">
        <is>
          <t>Avverkning för annat ändamål</t>
        </is>
      </c>
      <c r="D3743" s="1" t="n">
        <v>45974</v>
      </c>
      <c r="E3743" s="1" t="n">
        <v>46319</v>
      </c>
      <c r="F3743" t="inlineStr">
        <is>
          <t>DALARNAS LÄN</t>
        </is>
      </c>
      <c r="G3743" t="inlineStr">
        <is>
          <t>BORLÄNGE</t>
        </is>
      </c>
      <c r="H3743" t="inlineStr">
        <is>
          <t>Bergvik skog väst AB</t>
        </is>
      </c>
      <c r="I3743" t="n">
        <v>0.5</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58812-2023</t>
        </is>
      </c>
      <c r="B3744" t="inlineStr">
        <is>
          <t>avverkningsanmälan</t>
        </is>
      </c>
      <c r="C3744" t="inlineStr">
        <is>
          <t>Föryngringsavverkning</t>
        </is>
      </c>
      <c r="D3744" s="1" t="n">
        <v>45252</v>
      </c>
      <c r="E3744" s="1" t="n">
        <v>46319</v>
      </c>
      <c r="F3744" t="inlineStr">
        <is>
          <t>DALARNAS LÄN</t>
        </is>
      </c>
      <c r="G3744" t="inlineStr">
        <is>
          <t>AVESTA</t>
        </is>
      </c>
      <c r="I3744" t="n">
        <v>1</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28343-2026</t>
        </is>
      </c>
      <c r="B3745" t="inlineStr">
        <is>
          <t>avverkningsanmälan</t>
        </is>
      </c>
      <c r="C3745" t="inlineStr">
        <is>
          <t>Föryngringsavverkning</t>
        </is>
      </c>
      <c r="D3745" s="1" t="n">
        <v>46196</v>
      </c>
      <c r="E3745" s="1" t="n">
        <v>46319</v>
      </c>
      <c r="F3745" t="inlineStr">
        <is>
          <t>DALARNAS LÄN</t>
        </is>
      </c>
      <c r="G3745" t="inlineStr">
        <is>
          <t>ORSA</t>
        </is>
      </c>
      <c r="H3745" t="inlineStr">
        <is>
          <t>Allmännings- och besparingsskogar</t>
        </is>
      </c>
      <c r="I3745" t="n">
        <v>10.4</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56178-2025</t>
        </is>
      </c>
      <c r="B3746" t="inlineStr">
        <is>
          <t>avverkningsanmälan</t>
        </is>
      </c>
      <c r="C3746" t="inlineStr">
        <is>
          <t>Föryngringsavverkning</t>
        </is>
      </c>
      <c r="D3746" s="1" t="n">
        <v>45974</v>
      </c>
      <c r="E3746" s="1" t="n">
        <v>46319</v>
      </c>
      <c r="F3746" t="inlineStr">
        <is>
          <t>DALARNAS LÄN</t>
        </is>
      </c>
      <c r="G3746" t="inlineStr">
        <is>
          <t>LUDVIKA</t>
        </is>
      </c>
      <c r="H3746" t="inlineStr">
        <is>
          <t>Bergvik skog väst AB</t>
        </is>
      </c>
      <c r="I3746" t="n">
        <v>1.7</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55784-2025</t>
        </is>
      </c>
      <c r="B3747" t="inlineStr">
        <is>
          <t>avverkningsanmälan</t>
        </is>
      </c>
      <c r="C3747" t="inlineStr">
        <is>
          <t>Föryngringsavverkning</t>
        </is>
      </c>
      <c r="D3747" s="1" t="n">
        <v>45972</v>
      </c>
      <c r="E3747" s="1" t="n">
        <v>46319</v>
      </c>
      <c r="F3747" t="inlineStr">
        <is>
          <t>DALARNAS LÄN</t>
        </is>
      </c>
      <c r="G3747" t="inlineStr">
        <is>
          <t>LEKSAND</t>
        </is>
      </c>
      <c r="I3747" t="n">
        <v>1.5</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48947-2023</t>
        </is>
      </c>
      <c r="B3748" t="inlineStr">
        <is>
          <t>avverkningsanmälan</t>
        </is>
      </c>
      <c r="C3748" t="inlineStr">
        <is>
          <t>Avverkning för annat ändamål</t>
        </is>
      </c>
      <c r="D3748" s="1" t="n">
        <v>45209</v>
      </c>
      <c r="E3748" s="1" t="n">
        <v>46319</v>
      </c>
      <c r="F3748" t="inlineStr">
        <is>
          <t>DALARNAS LÄN</t>
        </is>
      </c>
      <c r="G3748" t="inlineStr">
        <is>
          <t>RÄTTVIK</t>
        </is>
      </c>
      <c r="H3748" t="inlineStr">
        <is>
          <t>Sveaskog</t>
        </is>
      </c>
      <c r="I3748" t="n">
        <v>0.1</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55919-2025</t>
        </is>
      </c>
      <c r="B3749" t="inlineStr">
        <is>
          <t>avverkningsanmälan</t>
        </is>
      </c>
      <c r="C3749" t="inlineStr">
        <is>
          <t>Föryngringsavverkning</t>
        </is>
      </c>
      <c r="D3749" s="1" t="n">
        <v>45973</v>
      </c>
      <c r="E3749" s="1" t="n">
        <v>46319</v>
      </c>
      <c r="F3749" t="inlineStr">
        <is>
          <t>DALARNAS LÄN</t>
        </is>
      </c>
      <c r="G3749" t="inlineStr">
        <is>
          <t>ÄLVDALEN</t>
        </is>
      </c>
      <c r="H3749" t="inlineStr">
        <is>
          <t>Övriga statliga verk och myndigheter</t>
        </is>
      </c>
      <c r="I3749" t="n">
        <v>0.6</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21839-2022</t>
        </is>
      </c>
      <c r="B3750" t="inlineStr">
        <is>
          <t>avverkningsanmälan</t>
        </is>
      </c>
      <c r="C3750" t="inlineStr">
        <is>
          <t>Föryngringsavverkning</t>
        </is>
      </c>
      <c r="D3750" s="1" t="n">
        <v>44711</v>
      </c>
      <c r="E3750" s="1" t="n">
        <v>46319</v>
      </c>
      <c r="F3750" t="inlineStr">
        <is>
          <t>DALARNAS LÄN</t>
        </is>
      </c>
      <c r="G3750" t="inlineStr">
        <is>
          <t>LEKSAND</t>
        </is>
      </c>
      <c r="H3750" t="inlineStr">
        <is>
          <t>Bergvik skog väst AB</t>
        </is>
      </c>
      <c r="I3750" t="n">
        <v>3</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56002-2025</t>
        </is>
      </c>
      <c r="B3751" t="inlineStr">
        <is>
          <t>avverkningsanmälan</t>
        </is>
      </c>
      <c r="C3751" t="inlineStr">
        <is>
          <t>Föryngringsavverkning</t>
        </is>
      </c>
      <c r="D3751" s="1" t="n">
        <v>45973</v>
      </c>
      <c r="E3751" s="1" t="n">
        <v>46319</v>
      </c>
      <c r="F3751" t="inlineStr">
        <is>
          <t>DALARNAS LÄN</t>
        </is>
      </c>
      <c r="G3751" t="inlineStr">
        <is>
          <t>LUDVIKA</t>
        </is>
      </c>
      <c r="H3751" t="inlineStr">
        <is>
          <t>Bergvik skog väst AB</t>
        </is>
      </c>
      <c r="I3751" t="n">
        <v>4.9</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56219-2025</t>
        </is>
      </c>
      <c r="B3752" t="inlineStr">
        <is>
          <t>avverkningsanmälan</t>
        </is>
      </c>
      <c r="C3752" t="inlineStr">
        <is>
          <t>Föryngringsavverkning</t>
        </is>
      </c>
      <c r="D3752" s="1" t="n">
        <v>45974</v>
      </c>
      <c r="E3752" s="1" t="n">
        <v>46319</v>
      </c>
      <c r="F3752" t="inlineStr">
        <is>
          <t>DALARNAS LÄN</t>
        </is>
      </c>
      <c r="G3752" t="inlineStr">
        <is>
          <t>LUDVIKA</t>
        </is>
      </c>
      <c r="H3752" t="inlineStr">
        <is>
          <t>Bergvik skog väst AB</t>
        </is>
      </c>
      <c r="I3752" t="n">
        <v>4.9</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10886-2025</t>
        </is>
      </c>
      <c r="B3753" t="inlineStr">
        <is>
          <t>avverkningsanmälan</t>
        </is>
      </c>
      <c r="C3753" t="inlineStr">
        <is>
          <t>Föryngringsavverkning</t>
        </is>
      </c>
      <c r="D3753" s="1" t="n">
        <v>45722</v>
      </c>
      <c r="E3753" s="1" t="n">
        <v>46319</v>
      </c>
      <c r="F3753" t="inlineStr">
        <is>
          <t>DALARNAS LÄN</t>
        </is>
      </c>
      <c r="G3753" t="inlineStr">
        <is>
          <t>VANSBRO</t>
        </is>
      </c>
      <c r="I3753" t="n">
        <v>15.5</v>
      </c>
      <c r="J3753" t="n">
        <v>0</v>
      </c>
      <c r="K3753" t="n">
        <v>0</v>
      </c>
      <c r="L3753" t="n">
        <v>0</v>
      </c>
      <c r="M3753" t="n">
        <v>0</v>
      </c>
      <c r="N3753" t="n">
        <v>0</v>
      </c>
      <c r="O3753" t="n">
        <v>0</v>
      </c>
      <c r="P3753" t="n">
        <v>0</v>
      </c>
      <c r="Q3753" t="n">
        <v>0</v>
      </c>
      <c r="R3753" t="n">
        <v>0</v>
      </c>
      <c r="S3753" t="n">
        <v>0</v>
      </c>
      <c r="T3753" t="n">
        <v>0</v>
      </c>
      <c r="U3753" t="n">
        <v>0</v>
      </c>
      <c r="V3753" s="2" t="inlineStr"/>
    </row>
    <row r="3754" ht="15" customHeight="1">
      <c r="A3754" t="inlineStr">
        <is>
          <t>A 55944-2025</t>
        </is>
      </c>
      <c r="B3754" t="inlineStr">
        <is>
          <t>avverkningsanmälan</t>
        </is>
      </c>
      <c r="C3754" t="inlineStr">
        <is>
          <t>Föryngringsavverkning</t>
        </is>
      </c>
      <c r="D3754" s="1" t="n">
        <v>45973</v>
      </c>
      <c r="E3754" s="1" t="n">
        <v>46319</v>
      </c>
      <c r="F3754" t="inlineStr">
        <is>
          <t>DALARNAS LÄN</t>
        </is>
      </c>
      <c r="G3754" t="inlineStr">
        <is>
          <t>LUDVIKA</t>
        </is>
      </c>
      <c r="H3754" t="inlineStr">
        <is>
          <t>Bergvik skog väst AB</t>
        </is>
      </c>
      <c r="I3754" t="n">
        <v>4.8</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28397-2026</t>
        </is>
      </c>
      <c r="B3755" t="inlineStr">
        <is>
          <t>avverkningsanmälan</t>
        </is>
      </c>
      <c r="C3755" t="inlineStr">
        <is>
          <t>Föryngringsavverkning</t>
        </is>
      </c>
      <c r="D3755" s="1" t="n">
        <v>46197</v>
      </c>
      <c r="E3755" s="1" t="n">
        <v>46319</v>
      </c>
      <c r="F3755" t="inlineStr">
        <is>
          <t>DALARNAS LÄN</t>
        </is>
      </c>
      <c r="G3755" t="inlineStr">
        <is>
          <t>RÄTTVIK</t>
        </is>
      </c>
      <c r="I3755" t="n">
        <v>17</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10717-2024</t>
        </is>
      </c>
      <c r="B3756" t="inlineStr">
        <is>
          <t>avverkningsanmälan</t>
        </is>
      </c>
      <c r="C3756" t="inlineStr">
        <is>
          <t>Föryngringsavverkning</t>
        </is>
      </c>
      <c r="D3756" s="1" t="n">
        <v>45369</v>
      </c>
      <c r="E3756" s="1" t="n">
        <v>46319</v>
      </c>
      <c r="F3756" t="inlineStr">
        <is>
          <t>DALARNAS LÄN</t>
        </is>
      </c>
      <c r="G3756" t="inlineStr">
        <is>
          <t>GAGNEF</t>
        </is>
      </c>
      <c r="I3756" t="n">
        <v>0.7</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56161-2025</t>
        </is>
      </c>
      <c r="B3757" t="inlineStr">
        <is>
          <t>avverkningsanmälan</t>
        </is>
      </c>
      <c r="C3757" t="inlineStr">
        <is>
          <t>Föryngringsavverkning</t>
        </is>
      </c>
      <c r="D3757" s="1" t="n">
        <v>45974</v>
      </c>
      <c r="E3757" s="1" t="n">
        <v>46319</v>
      </c>
      <c r="F3757" t="inlineStr">
        <is>
          <t>DALARNAS LÄN</t>
        </is>
      </c>
      <c r="G3757" t="inlineStr">
        <is>
          <t>LEKSAND</t>
        </is>
      </c>
      <c r="I3757" t="n">
        <v>2</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28534-2026</t>
        </is>
      </c>
      <c r="B3758" t="inlineStr">
        <is>
          <t>avverkningsanmälan</t>
        </is>
      </c>
      <c r="C3758" t="inlineStr">
        <is>
          <t>Föryngringsavverkning</t>
        </is>
      </c>
      <c r="D3758" s="1" t="n">
        <v>46197</v>
      </c>
      <c r="E3758" s="1" t="n">
        <v>46319</v>
      </c>
      <c r="F3758" t="inlineStr">
        <is>
          <t>DALARNAS LÄN</t>
        </is>
      </c>
      <c r="G3758" t="inlineStr">
        <is>
          <t>LEKSAND</t>
        </is>
      </c>
      <c r="H3758" t="inlineStr">
        <is>
          <t>Bergvik skog väst AB</t>
        </is>
      </c>
      <c r="I3758" t="n">
        <v>1.6</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56295-2025</t>
        </is>
      </c>
      <c r="B3759" t="inlineStr">
        <is>
          <t>avverkningsanmälan</t>
        </is>
      </c>
      <c r="C3759" t="inlineStr">
        <is>
          <t>Föryngringsavverkning</t>
        </is>
      </c>
      <c r="D3759" s="1" t="n">
        <v>45974</v>
      </c>
      <c r="E3759" s="1" t="n">
        <v>46319</v>
      </c>
      <c r="F3759" t="inlineStr">
        <is>
          <t>DALARNAS LÄN</t>
        </is>
      </c>
      <c r="G3759" t="inlineStr">
        <is>
          <t>ORSA</t>
        </is>
      </c>
      <c r="I3759" t="n">
        <v>2.1</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28483-2026</t>
        </is>
      </c>
      <c r="B3760" t="inlineStr">
        <is>
          <t>avverkningsanmälan</t>
        </is>
      </c>
      <c r="C3760" t="inlineStr">
        <is>
          <t>Föryngringsavverkning</t>
        </is>
      </c>
      <c r="D3760" s="1" t="n">
        <v>46197</v>
      </c>
      <c r="E3760" s="1" t="n">
        <v>46319</v>
      </c>
      <c r="F3760" t="inlineStr">
        <is>
          <t>DALARNAS LÄN</t>
        </is>
      </c>
      <c r="G3760" t="inlineStr">
        <is>
          <t>MORA</t>
        </is>
      </c>
      <c r="H3760" t="inlineStr">
        <is>
          <t>Bergvik skog öst AB</t>
        </is>
      </c>
      <c r="I3760" t="n">
        <v>1.8</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22388-2024</t>
        </is>
      </c>
      <c r="B3761" t="inlineStr">
        <is>
          <t>avverkningsanmälan</t>
        </is>
      </c>
      <c r="C3761" t="inlineStr">
        <is>
          <t>Föryngringsavverkning</t>
        </is>
      </c>
      <c r="D3761" s="1" t="n">
        <v>45446</v>
      </c>
      <c r="E3761" s="1" t="n">
        <v>46319</v>
      </c>
      <c r="F3761" t="inlineStr">
        <is>
          <t>DALARNAS LÄN</t>
        </is>
      </c>
      <c r="G3761" t="inlineStr">
        <is>
          <t>LEKSAND</t>
        </is>
      </c>
      <c r="H3761" t="inlineStr">
        <is>
          <t>Bergvik skog väst AB</t>
        </is>
      </c>
      <c r="I3761" t="n">
        <v>5.3</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56063-2025</t>
        </is>
      </c>
      <c r="B3762" t="inlineStr">
        <is>
          <t>avverkningsanmälan</t>
        </is>
      </c>
      <c r="C3762" t="inlineStr">
        <is>
          <t>Föryngringsavverkning</t>
        </is>
      </c>
      <c r="D3762" s="1" t="n">
        <v>45973</v>
      </c>
      <c r="E3762" s="1" t="n">
        <v>46319</v>
      </c>
      <c r="F3762" t="inlineStr">
        <is>
          <t>DALARNAS LÄN</t>
        </is>
      </c>
      <c r="G3762" t="inlineStr">
        <is>
          <t>RÄTTVIK</t>
        </is>
      </c>
      <c r="I3762" t="n">
        <v>0.9</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8523-2023</t>
        </is>
      </c>
      <c r="B3763" t="inlineStr">
        <is>
          <t>avverkningsanmälan</t>
        </is>
      </c>
      <c r="C3763" t="inlineStr">
        <is>
          <t>Föryngringsavverkning</t>
        </is>
      </c>
      <c r="D3763" s="1" t="n">
        <v>44977</v>
      </c>
      <c r="E3763" s="1" t="n">
        <v>46319</v>
      </c>
      <c r="F3763" t="inlineStr">
        <is>
          <t>DALARNAS LÄN</t>
        </is>
      </c>
      <c r="G3763" t="inlineStr">
        <is>
          <t>AVESTA</t>
        </is>
      </c>
      <c r="I3763" t="n">
        <v>1.1</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56236-2025</t>
        </is>
      </c>
      <c r="B3764" t="inlineStr">
        <is>
          <t>avverkningsanmälan</t>
        </is>
      </c>
      <c r="C3764" t="inlineStr">
        <is>
          <t>Föryngringsavverkning</t>
        </is>
      </c>
      <c r="D3764" s="1" t="n">
        <v>45974</v>
      </c>
      <c r="E3764" s="1" t="n">
        <v>46319</v>
      </c>
      <c r="F3764" t="inlineStr">
        <is>
          <t>DALARNAS LÄN</t>
        </is>
      </c>
      <c r="G3764" t="inlineStr">
        <is>
          <t>RÄTTVIK</t>
        </is>
      </c>
      <c r="I3764" t="n">
        <v>2.5</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28252-2026</t>
        </is>
      </c>
      <c r="B3765" t="inlineStr">
        <is>
          <t>avverkningsanmälan</t>
        </is>
      </c>
      <c r="C3765" t="inlineStr">
        <is>
          <t>Föryngringsavverkning</t>
        </is>
      </c>
      <c r="D3765" s="1" t="n">
        <v>46196</v>
      </c>
      <c r="E3765" s="1" t="n">
        <v>46319</v>
      </c>
      <c r="F3765" t="inlineStr">
        <is>
          <t>DALARNAS LÄN</t>
        </is>
      </c>
      <c r="G3765" t="inlineStr">
        <is>
          <t>FALUN</t>
        </is>
      </c>
      <c r="I3765" t="n">
        <v>3.6</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55838-2025</t>
        </is>
      </c>
      <c r="B3766" t="inlineStr">
        <is>
          <t>avverkningsanmälan</t>
        </is>
      </c>
      <c r="C3766" t="inlineStr">
        <is>
          <t>Föryngringsavverkning</t>
        </is>
      </c>
      <c r="D3766" s="1" t="n">
        <v>45972</v>
      </c>
      <c r="E3766" s="1" t="n">
        <v>46319</v>
      </c>
      <c r="F3766" t="inlineStr">
        <is>
          <t>DALARNAS LÄN</t>
        </is>
      </c>
      <c r="G3766" t="inlineStr">
        <is>
          <t>GAGNEF</t>
        </is>
      </c>
      <c r="I3766" t="n">
        <v>0.9</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28306-2026</t>
        </is>
      </c>
      <c r="B3767" t="inlineStr">
        <is>
          <t>avverkningsanmälan</t>
        </is>
      </c>
      <c r="C3767" t="inlineStr">
        <is>
          <t>Föryngringsavverkning</t>
        </is>
      </c>
      <c r="D3767" s="1" t="n">
        <v>46196</v>
      </c>
      <c r="E3767" s="1" t="n">
        <v>46319</v>
      </c>
      <c r="F3767" t="inlineStr">
        <is>
          <t>DALARNAS LÄN</t>
        </is>
      </c>
      <c r="G3767" t="inlineStr">
        <is>
          <t>FALUN</t>
        </is>
      </c>
      <c r="I3767" t="n">
        <v>0.8</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55924-2025</t>
        </is>
      </c>
      <c r="B3768" t="inlineStr">
        <is>
          <t>avverkningsanmälan</t>
        </is>
      </c>
      <c r="C3768" t="inlineStr">
        <is>
          <t>Föryngringsavverkning</t>
        </is>
      </c>
      <c r="D3768" s="1" t="n">
        <v>45973</v>
      </c>
      <c r="E3768" s="1" t="n">
        <v>46319</v>
      </c>
      <c r="F3768" t="inlineStr">
        <is>
          <t>DALARNAS LÄN</t>
        </is>
      </c>
      <c r="G3768" t="inlineStr">
        <is>
          <t>ÄLVDALEN</t>
        </is>
      </c>
      <c r="H3768" t="inlineStr">
        <is>
          <t>Övriga statliga verk och myndigheter</t>
        </is>
      </c>
      <c r="I3768" t="n">
        <v>1.1</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25728-2026</t>
        </is>
      </c>
      <c r="B3769" t="inlineStr">
        <is>
          <t>avverkningsanmälan</t>
        </is>
      </c>
      <c r="C3769" t="inlineStr">
        <is>
          <t>Föryngringsavverkning</t>
        </is>
      </c>
      <c r="D3769" s="1" t="n">
        <v>46178</v>
      </c>
      <c r="E3769" s="1" t="n">
        <v>46319</v>
      </c>
      <c r="F3769" t="inlineStr">
        <is>
          <t>DALARNAS LÄN</t>
        </is>
      </c>
      <c r="G3769" t="inlineStr">
        <is>
          <t>SMEDJEBACKEN</t>
        </is>
      </c>
      <c r="I3769" t="n">
        <v>5.5</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56492-2025</t>
        </is>
      </c>
      <c r="B3770" t="inlineStr">
        <is>
          <t>avverkningsanmälan</t>
        </is>
      </c>
      <c r="C3770" t="inlineStr">
        <is>
          <t>Föryngringsavverkning</t>
        </is>
      </c>
      <c r="D3770" s="1" t="n">
        <v>45974</v>
      </c>
      <c r="E3770" s="1" t="n">
        <v>46319</v>
      </c>
      <c r="F3770" t="inlineStr">
        <is>
          <t>DALARNAS LÄN</t>
        </is>
      </c>
      <c r="G3770" t="inlineStr">
        <is>
          <t>RÄTTVIK</t>
        </is>
      </c>
      <c r="I3770" t="n">
        <v>2.6</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56377-2025</t>
        </is>
      </c>
      <c r="B3771" t="inlineStr">
        <is>
          <t>avverkningsanmälan</t>
        </is>
      </c>
      <c r="C3771" t="inlineStr">
        <is>
          <t>Föryngringsavverkning</t>
        </is>
      </c>
      <c r="D3771" s="1" t="n">
        <v>45974</v>
      </c>
      <c r="E3771" s="1" t="n">
        <v>46319</v>
      </c>
      <c r="F3771" t="inlineStr">
        <is>
          <t>DALARNAS LÄN</t>
        </is>
      </c>
      <c r="G3771" t="inlineStr">
        <is>
          <t>RÄTTVIK</t>
        </is>
      </c>
      <c r="I3771" t="n">
        <v>0.5</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21032-2026</t>
        </is>
      </c>
      <c r="B3772" t="inlineStr">
        <is>
          <t>avverkningsanmälan</t>
        </is>
      </c>
      <c r="C3772" t="inlineStr">
        <is>
          <t>Föryngringsavverkning</t>
        </is>
      </c>
      <c r="D3772" s="1" t="n">
        <v>46146</v>
      </c>
      <c r="E3772" s="1" t="n">
        <v>46319</v>
      </c>
      <c r="F3772" t="inlineStr">
        <is>
          <t>DALARNAS LÄN</t>
        </is>
      </c>
      <c r="G3772" t="inlineStr">
        <is>
          <t>LUDVIKA</t>
        </is>
      </c>
      <c r="H3772" t="inlineStr">
        <is>
          <t>Bergvik skog väst AB</t>
        </is>
      </c>
      <c r="I3772" t="n">
        <v>1.1</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21034-2026</t>
        </is>
      </c>
      <c r="B3773" t="inlineStr">
        <is>
          <t>avverkningsanmälan</t>
        </is>
      </c>
      <c r="C3773" t="inlineStr">
        <is>
          <t>Föryngringsavverkning</t>
        </is>
      </c>
      <c r="D3773" s="1" t="n">
        <v>46146</v>
      </c>
      <c r="E3773" s="1" t="n">
        <v>46319</v>
      </c>
      <c r="F3773" t="inlineStr">
        <is>
          <t>DALARNAS LÄN</t>
        </is>
      </c>
      <c r="G3773" t="inlineStr">
        <is>
          <t>LUDVIKA</t>
        </is>
      </c>
      <c r="H3773" t="inlineStr">
        <is>
          <t>Bergvik skog väst AB</t>
        </is>
      </c>
      <c r="I3773" t="n">
        <v>2.7</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22824-2026</t>
        </is>
      </c>
      <c r="B3774" t="inlineStr">
        <is>
          <t>avverkningsanmälan</t>
        </is>
      </c>
      <c r="C3774" t="inlineStr">
        <is>
          <t>Föryngringsavverkning</t>
        </is>
      </c>
      <c r="D3774" s="1" t="n">
        <v>46160</v>
      </c>
      <c r="E3774" s="1" t="n">
        <v>46319</v>
      </c>
      <c r="F3774" t="inlineStr">
        <is>
          <t>DALARNAS LÄN</t>
        </is>
      </c>
      <c r="G3774" t="inlineStr">
        <is>
          <t>LUDVIKA</t>
        </is>
      </c>
      <c r="H3774" t="inlineStr">
        <is>
          <t>Naturvårdsverket</t>
        </is>
      </c>
      <c r="I3774" t="n">
        <v>9.9</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56030-2025</t>
        </is>
      </c>
      <c r="B3775" t="inlineStr">
        <is>
          <t>avverkningsanmälan</t>
        </is>
      </c>
      <c r="C3775" t="inlineStr">
        <is>
          <t>Föryngringsavverkning</t>
        </is>
      </c>
      <c r="D3775" s="1" t="n">
        <v>45973</v>
      </c>
      <c r="E3775" s="1" t="n">
        <v>46319</v>
      </c>
      <c r="F3775" t="inlineStr">
        <is>
          <t>DALARNAS LÄN</t>
        </is>
      </c>
      <c r="G3775" t="inlineStr">
        <is>
          <t>LUDVIKA</t>
        </is>
      </c>
      <c r="H3775" t="inlineStr">
        <is>
          <t>Bergvik skog väst AB</t>
        </is>
      </c>
      <c r="I3775" t="n">
        <v>6.3</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28492-2026</t>
        </is>
      </c>
      <c r="B3776" t="inlineStr">
        <is>
          <t>avverkningsanmälan</t>
        </is>
      </c>
      <c r="C3776" t="inlineStr">
        <is>
          <t>Föryngringsavverkning</t>
        </is>
      </c>
      <c r="D3776" s="1" t="n">
        <v>46197</v>
      </c>
      <c r="E3776" s="1" t="n">
        <v>46319</v>
      </c>
      <c r="F3776" t="inlineStr">
        <is>
          <t>DALARNAS LÄN</t>
        </is>
      </c>
      <c r="G3776" t="inlineStr">
        <is>
          <t>LEKSAND</t>
        </is>
      </c>
      <c r="H3776" t="inlineStr">
        <is>
          <t>Bergvik skog väst AB</t>
        </is>
      </c>
      <c r="I3776" t="n">
        <v>11.3</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1088-2023</t>
        </is>
      </c>
      <c r="B3777" t="inlineStr">
        <is>
          <t>avverkningsanmälan</t>
        </is>
      </c>
      <c r="C3777" t="inlineStr">
        <is>
          <t>Föryngringsavverkning</t>
        </is>
      </c>
      <c r="D3777" s="1" t="n">
        <v>44935</v>
      </c>
      <c r="E3777" s="1" t="n">
        <v>46319</v>
      </c>
      <c r="F3777" t="inlineStr">
        <is>
          <t>DALARNAS LÄN</t>
        </is>
      </c>
      <c r="G3777" t="inlineStr">
        <is>
          <t>BORLÄNGE</t>
        </is>
      </c>
      <c r="I3777" t="n">
        <v>0.5</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40801-2024</t>
        </is>
      </c>
      <c r="B3778" t="inlineStr">
        <is>
          <t>avverkningsanmälan</t>
        </is>
      </c>
      <c r="C3778" t="inlineStr">
        <is>
          <t>Föryngringsavverkning</t>
        </is>
      </c>
      <c r="D3778" s="1" t="n">
        <v>45558</v>
      </c>
      <c r="E3778" s="1" t="n">
        <v>46319</v>
      </c>
      <c r="F3778" t="inlineStr">
        <is>
          <t>DALARNAS LÄN</t>
        </is>
      </c>
      <c r="G3778" t="inlineStr">
        <is>
          <t>HEDEMORA</t>
        </is>
      </c>
      <c r="I3778" t="n">
        <v>2.2</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29524-2026</t>
        </is>
      </c>
      <c r="B3779" t="inlineStr">
        <is>
          <t>avverkningsanmälan</t>
        </is>
      </c>
      <c r="C3779" t="inlineStr">
        <is>
          <t>Föryngringsavverkning</t>
        </is>
      </c>
      <c r="D3779" s="1" t="n">
        <v>46198</v>
      </c>
      <c r="E3779" s="1" t="n">
        <v>46319</v>
      </c>
      <c r="F3779" t="inlineStr">
        <is>
          <t>DALARNAS LÄN</t>
        </is>
      </c>
      <c r="G3779" t="inlineStr">
        <is>
          <t>AVESTA</t>
        </is>
      </c>
      <c r="I3779" t="n">
        <v>3.2</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55932-2025</t>
        </is>
      </c>
      <c r="B3780" t="inlineStr">
        <is>
          <t>avverkningsanmälan</t>
        </is>
      </c>
      <c r="C3780" t="inlineStr">
        <is>
          <t>Föryngringsavverkning</t>
        </is>
      </c>
      <c r="D3780" s="1" t="n">
        <v>45973</v>
      </c>
      <c r="E3780" s="1" t="n">
        <v>46319</v>
      </c>
      <c r="F3780" t="inlineStr">
        <is>
          <t>DALARNAS LÄN</t>
        </is>
      </c>
      <c r="G3780" t="inlineStr">
        <is>
          <t>LUDVIKA</t>
        </is>
      </c>
      <c r="H3780" t="inlineStr">
        <is>
          <t>Bergvik skog väst AB</t>
        </is>
      </c>
      <c r="I3780" t="n">
        <v>2.4</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26813-2023</t>
        </is>
      </c>
      <c r="B3781" t="inlineStr">
        <is>
          <t>avverkningsanmälan</t>
        </is>
      </c>
      <c r="C3781" t="inlineStr">
        <is>
          <t>Föryngringsavverkning</t>
        </is>
      </c>
      <c r="D3781" s="1" t="n">
        <v>45090</v>
      </c>
      <c r="E3781" s="1" t="n">
        <v>46319</v>
      </c>
      <c r="F3781" t="inlineStr">
        <is>
          <t>DALARNAS LÄN</t>
        </is>
      </c>
      <c r="G3781" t="inlineStr">
        <is>
          <t>MALUNG-SÄLEN</t>
        </is>
      </c>
      <c r="I3781" t="n">
        <v>0.9</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28227-2026</t>
        </is>
      </c>
      <c r="B3782" t="inlineStr">
        <is>
          <t>avverkningsanmälan</t>
        </is>
      </c>
      <c r="C3782" t="inlineStr">
        <is>
          <t>Avverkning för annat ändamål</t>
        </is>
      </c>
      <c r="D3782" s="1" t="n">
        <v>46196</v>
      </c>
      <c r="E3782" s="1" t="n">
        <v>46319</v>
      </c>
      <c r="F3782" t="inlineStr">
        <is>
          <t>DALARNAS LÄN</t>
        </is>
      </c>
      <c r="G3782" t="inlineStr">
        <is>
          <t>AVESTA</t>
        </is>
      </c>
      <c r="I3782" t="n">
        <v>2.8</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56316-2025</t>
        </is>
      </c>
      <c r="B3783" t="inlineStr">
        <is>
          <t>avverkningsanmälan</t>
        </is>
      </c>
      <c r="C3783" t="inlineStr">
        <is>
          <t>Föryngringsavverkning</t>
        </is>
      </c>
      <c r="D3783" s="1" t="n">
        <v>45974</v>
      </c>
      <c r="E3783" s="1" t="n">
        <v>46319</v>
      </c>
      <c r="F3783" t="inlineStr">
        <is>
          <t>DALARNAS LÄN</t>
        </is>
      </c>
      <c r="G3783" t="inlineStr">
        <is>
          <t>LUDVIKA</t>
        </is>
      </c>
      <c r="H3783" t="inlineStr">
        <is>
          <t>Bergvik skog väst AB</t>
        </is>
      </c>
      <c r="I3783" t="n">
        <v>2.1</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28313-2026</t>
        </is>
      </c>
      <c r="B3784" t="inlineStr">
        <is>
          <t>avverkningsanmälan</t>
        </is>
      </c>
      <c r="C3784" t="inlineStr">
        <is>
          <t>Föryngringsavverkning</t>
        </is>
      </c>
      <c r="D3784" s="1" t="n">
        <v>46196</v>
      </c>
      <c r="E3784" s="1" t="n">
        <v>46319</v>
      </c>
      <c r="F3784" t="inlineStr">
        <is>
          <t>DALARNAS LÄN</t>
        </is>
      </c>
      <c r="G3784" t="inlineStr">
        <is>
          <t>RÄTTVIK</t>
        </is>
      </c>
      <c r="I3784" t="n">
        <v>1</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28321-2026</t>
        </is>
      </c>
      <c r="B3785" t="inlineStr">
        <is>
          <t>avverkningsanmälan</t>
        </is>
      </c>
      <c r="C3785" t="inlineStr">
        <is>
          <t>Föryngringsavverkning</t>
        </is>
      </c>
      <c r="D3785" s="1" t="n">
        <v>46196</v>
      </c>
      <c r="E3785" s="1" t="n">
        <v>46319</v>
      </c>
      <c r="F3785" t="inlineStr">
        <is>
          <t>DALARNAS LÄN</t>
        </is>
      </c>
      <c r="G3785" t="inlineStr">
        <is>
          <t>RÄTTVIK</t>
        </is>
      </c>
      <c r="I3785" t="n">
        <v>3.1</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22780-2023</t>
        </is>
      </c>
      <c r="B3786" t="inlineStr">
        <is>
          <t>avverkningsanmälan</t>
        </is>
      </c>
      <c r="C3786" t="inlineStr">
        <is>
          <t>Föryngringsavverkning</t>
        </is>
      </c>
      <c r="D3786" s="1" t="n">
        <v>45072</v>
      </c>
      <c r="E3786" s="1" t="n">
        <v>46319</v>
      </c>
      <c r="F3786" t="inlineStr">
        <is>
          <t>DALARNAS LÄN</t>
        </is>
      </c>
      <c r="G3786" t="inlineStr">
        <is>
          <t>MALUNG-SÄLEN</t>
        </is>
      </c>
      <c r="H3786" t="inlineStr">
        <is>
          <t>Bergvik skog öst AB</t>
        </is>
      </c>
      <c r="I3786" t="n">
        <v>0.9</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22785-2023</t>
        </is>
      </c>
      <c r="B3787" t="inlineStr">
        <is>
          <t>avverkningsanmälan</t>
        </is>
      </c>
      <c r="C3787" t="inlineStr">
        <is>
          <t>Föryngringsavverkning</t>
        </is>
      </c>
      <c r="D3787" s="1" t="n">
        <v>45072</v>
      </c>
      <c r="E3787" s="1" t="n">
        <v>46319</v>
      </c>
      <c r="F3787" t="inlineStr">
        <is>
          <t>DALARNAS LÄN</t>
        </is>
      </c>
      <c r="G3787" t="inlineStr">
        <is>
          <t>MORA</t>
        </is>
      </c>
      <c r="I3787" t="n">
        <v>0.7</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56331-2025</t>
        </is>
      </c>
      <c r="B3788" t="inlineStr">
        <is>
          <t>avverkningsanmälan</t>
        </is>
      </c>
      <c r="C3788" t="inlineStr">
        <is>
          <t>Föryngringsavverkning</t>
        </is>
      </c>
      <c r="D3788" s="1" t="n">
        <v>45974</v>
      </c>
      <c r="E3788" s="1" t="n">
        <v>46319</v>
      </c>
      <c r="F3788" t="inlineStr">
        <is>
          <t>DALARNAS LÄN</t>
        </is>
      </c>
      <c r="G3788" t="inlineStr">
        <is>
          <t>LEKSAND</t>
        </is>
      </c>
      <c r="I3788" t="n">
        <v>1.1</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56081-2025</t>
        </is>
      </c>
      <c r="B3789" t="inlineStr">
        <is>
          <t>avverkningsanmälan</t>
        </is>
      </c>
      <c r="C3789" t="inlineStr">
        <is>
          <t>Föryngringsavverkning</t>
        </is>
      </c>
      <c r="D3789" s="1" t="n">
        <v>45973</v>
      </c>
      <c r="E3789" s="1" t="n">
        <v>46319</v>
      </c>
      <c r="F3789" t="inlineStr">
        <is>
          <t>DALARNAS LÄN</t>
        </is>
      </c>
      <c r="G3789" t="inlineStr">
        <is>
          <t>MALUNG-SÄLEN</t>
        </is>
      </c>
      <c r="H3789" t="inlineStr">
        <is>
          <t>Bergvik skog väst AB</t>
        </is>
      </c>
      <c r="I3789" t="n">
        <v>0.7</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55989-2025</t>
        </is>
      </c>
      <c r="B3790" t="inlineStr">
        <is>
          <t>avverkningsanmälan</t>
        </is>
      </c>
      <c r="C3790" t="inlineStr">
        <is>
          <t>Föryngringsavverkning</t>
        </is>
      </c>
      <c r="D3790" s="1" t="n">
        <v>45973</v>
      </c>
      <c r="E3790" s="1" t="n">
        <v>46319</v>
      </c>
      <c r="F3790" t="inlineStr">
        <is>
          <t>DALARNAS LÄN</t>
        </is>
      </c>
      <c r="G3790" t="inlineStr">
        <is>
          <t>FALUN</t>
        </is>
      </c>
      <c r="I3790" t="n">
        <v>6.8</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56070-2025</t>
        </is>
      </c>
      <c r="B3791" t="inlineStr">
        <is>
          <t>avverkningsanmälan</t>
        </is>
      </c>
      <c r="C3791" t="inlineStr">
        <is>
          <t>Föryngringsavverkning</t>
        </is>
      </c>
      <c r="D3791" s="1" t="n">
        <v>45973</v>
      </c>
      <c r="E3791" s="1" t="n">
        <v>46319</v>
      </c>
      <c r="F3791" t="inlineStr">
        <is>
          <t>DALARNAS LÄN</t>
        </is>
      </c>
      <c r="G3791" t="inlineStr">
        <is>
          <t>HEDEMORA</t>
        </is>
      </c>
      <c r="H3791" t="inlineStr">
        <is>
          <t>Bergvik skog väst AB</t>
        </is>
      </c>
      <c r="I3791" t="n">
        <v>5.4</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28342-2026</t>
        </is>
      </c>
      <c r="B3792" t="inlineStr">
        <is>
          <t>avverkningsanmälan</t>
        </is>
      </c>
      <c r="C3792" t="inlineStr">
        <is>
          <t>Föryngringsavverkning</t>
        </is>
      </c>
      <c r="D3792" s="1" t="n">
        <v>46196</v>
      </c>
      <c r="E3792" s="1" t="n">
        <v>46319</v>
      </c>
      <c r="F3792" t="inlineStr">
        <is>
          <t>DALARNAS LÄN</t>
        </is>
      </c>
      <c r="G3792" t="inlineStr">
        <is>
          <t>ORSA</t>
        </is>
      </c>
      <c r="H3792" t="inlineStr">
        <is>
          <t>Allmännings- och besparingsskogar</t>
        </is>
      </c>
      <c r="I3792" t="n">
        <v>1.3</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56146-2025</t>
        </is>
      </c>
      <c r="B3793" t="inlineStr">
        <is>
          <t>avverkningsanmälan</t>
        </is>
      </c>
      <c r="C3793" t="inlineStr">
        <is>
          <t>Föryngringsavverkning</t>
        </is>
      </c>
      <c r="D3793" s="1" t="n">
        <v>45974</v>
      </c>
      <c r="E3793" s="1" t="n">
        <v>46319</v>
      </c>
      <c r="F3793" t="inlineStr">
        <is>
          <t>DALARNAS LÄN</t>
        </is>
      </c>
      <c r="G3793" t="inlineStr">
        <is>
          <t>MALUNG-SÄLEN</t>
        </is>
      </c>
      <c r="H3793" t="inlineStr">
        <is>
          <t>Bergvik skog väst AB</t>
        </is>
      </c>
      <c r="I3793" t="n">
        <v>4.7</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28471-2026</t>
        </is>
      </c>
      <c r="B3794" t="inlineStr">
        <is>
          <t>avverkningsanmälan</t>
        </is>
      </c>
      <c r="C3794" t="inlineStr">
        <is>
          <t>Föryngringsavverkning</t>
        </is>
      </c>
      <c r="D3794" s="1" t="n">
        <v>46197</v>
      </c>
      <c r="E3794" s="1" t="n">
        <v>46319</v>
      </c>
      <c r="F3794" t="inlineStr">
        <is>
          <t>DALARNAS LÄN</t>
        </is>
      </c>
      <c r="G3794" t="inlineStr">
        <is>
          <t>MORA</t>
        </is>
      </c>
      <c r="H3794" t="inlineStr">
        <is>
          <t>Bergvik skog öst AB</t>
        </is>
      </c>
      <c r="I3794" t="n">
        <v>1.5</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28478-2026</t>
        </is>
      </c>
      <c r="B3795" t="inlineStr">
        <is>
          <t>avverkningsanmälan</t>
        </is>
      </c>
      <c r="C3795" t="inlineStr">
        <is>
          <t>Föryngringsavverkning</t>
        </is>
      </c>
      <c r="D3795" s="1" t="n">
        <v>46197</v>
      </c>
      <c r="E3795" s="1" t="n">
        <v>46319</v>
      </c>
      <c r="F3795" t="inlineStr">
        <is>
          <t>DALARNAS LÄN</t>
        </is>
      </c>
      <c r="G3795" t="inlineStr">
        <is>
          <t>MORA</t>
        </is>
      </c>
      <c r="H3795" t="inlineStr">
        <is>
          <t>Bergvik skog öst AB</t>
        </is>
      </c>
      <c r="I3795" t="n">
        <v>3.2</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3470-2025</t>
        </is>
      </c>
      <c r="B3796" t="inlineStr">
        <is>
          <t>avverkningsanmälan</t>
        </is>
      </c>
      <c r="C3796" t="inlineStr">
        <is>
          <t>Avverkning för att bevara och utveckla /försöksver</t>
        </is>
      </c>
      <c r="D3796" s="1" t="n">
        <v>45680</v>
      </c>
      <c r="E3796" s="1" t="n">
        <v>46319</v>
      </c>
      <c r="F3796" t="inlineStr">
        <is>
          <t>DALARNAS LÄN</t>
        </is>
      </c>
      <c r="G3796" t="inlineStr">
        <is>
          <t>LUDVIKA</t>
        </is>
      </c>
      <c r="I3796" t="n">
        <v>0.7</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41295-2023</t>
        </is>
      </c>
      <c r="B3797" t="inlineStr">
        <is>
          <t>avverkningsanmälan</t>
        </is>
      </c>
      <c r="C3797" t="inlineStr">
        <is>
          <t>Föryngringsavverkning</t>
        </is>
      </c>
      <c r="D3797" s="1" t="n">
        <v>45174</v>
      </c>
      <c r="E3797" s="1" t="n">
        <v>46319</v>
      </c>
      <c r="F3797" t="inlineStr">
        <is>
          <t>DALARNAS LÄN</t>
        </is>
      </c>
      <c r="G3797" t="inlineStr">
        <is>
          <t>RÄTTVIK</t>
        </is>
      </c>
      <c r="I3797" t="n">
        <v>0.5</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33520-2024</t>
        </is>
      </c>
      <c r="B3798" t="inlineStr">
        <is>
          <t>avverkningsanmälan</t>
        </is>
      </c>
      <c r="C3798" t="inlineStr">
        <is>
          <t>Föryngringsavverkning</t>
        </is>
      </c>
      <c r="D3798" s="1" t="n">
        <v>45519</v>
      </c>
      <c r="E3798" s="1" t="n">
        <v>46319</v>
      </c>
      <c r="F3798" t="inlineStr">
        <is>
          <t>DALARNAS LÄN</t>
        </is>
      </c>
      <c r="G3798" t="inlineStr">
        <is>
          <t>VANSBRO</t>
        </is>
      </c>
      <c r="I3798" t="n">
        <v>0.9</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56049-2025</t>
        </is>
      </c>
      <c r="B3799" t="inlineStr">
        <is>
          <t>avverkningsanmälan</t>
        </is>
      </c>
      <c r="C3799" t="inlineStr">
        <is>
          <t>Föryngringsavverkning</t>
        </is>
      </c>
      <c r="D3799" s="1" t="n">
        <v>45973</v>
      </c>
      <c r="E3799" s="1" t="n">
        <v>46319</v>
      </c>
      <c r="F3799" t="inlineStr">
        <is>
          <t>DALARNAS LÄN</t>
        </is>
      </c>
      <c r="G3799" t="inlineStr">
        <is>
          <t>RÄTTVIK</t>
        </is>
      </c>
      <c r="I3799" t="n">
        <v>0.9</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56069-2025</t>
        </is>
      </c>
      <c r="B3800" t="inlineStr">
        <is>
          <t>avverkningsanmälan</t>
        </is>
      </c>
      <c r="C3800" t="inlineStr">
        <is>
          <t>Föryngringsavverkning</t>
        </is>
      </c>
      <c r="D3800" s="1" t="n">
        <v>45973</v>
      </c>
      <c r="E3800" s="1" t="n">
        <v>46319</v>
      </c>
      <c r="F3800" t="inlineStr">
        <is>
          <t>DALARNAS LÄN</t>
        </is>
      </c>
      <c r="G3800" t="inlineStr">
        <is>
          <t>SMEDJEBACKEN</t>
        </is>
      </c>
      <c r="H3800" t="inlineStr">
        <is>
          <t>Bergvik skog väst AB</t>
        </is>
      </c>
      <c r="I3800" t="n">
        <v>8</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22806-2026</t>
        </is>
      </c>
      <c r="B3801" t="inlineStr">
        <is>
          <t>avverkningsanmälan</t>
        </is>
      </c>
      <c r="C3801" t="inlineStr">
        <is>
          <t>Föryngringsavverkning</t>
        </is>
      </c>
      <c r="D3801" s="1" t="n">
        <v>46160</v>
      </c>
      <c r="E3801" s="1" t="n">
        <v>46319</v>
      </c>
      <c r="F3801" t="inlineStr">
        <is>
          <t>DALARNAS LÄN</t>
        </is>
      </c>
      <c r="G3801" t="inlineStr">
        <is>
          <t>LUDVIKA</t>
        </is>
      </c>
      <c r="H3801" t="inlineStr">
        <is>
          <t>Bergvik skog väst AB</t>
        </is>
      </c>
      <c r="I3801" t="n">
        <v>0.7</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22821-2026</t>
        </is>
      </c>
      <c r="B3802" t="inlineStr">
        <is>
          <t>avverkningsanmälan</t>
        </is>
      </c>
      <c r="C3802" t="inlineStr">
        <is>
          <t>Föryngringsavverkning</t>
        </is>
      </c>
      <c r="D3802" s="1" t="n">
        <v>46160</v>
      </c>
      <c r="E3802" s="1" t="n">
        <v>46319</v>
      </c>
      <c r="F3802" t="inlineStr">
        <is>
          <t>DALARNAS LÄN</t>
        </is>
      </c>
      <c r="G3802" t="inlineStr">
        <is>
          <t>LUDVIKA</t>
        </is>
      </c>
      <c r="H3802" t="inlineStr">
        <is>
          <t>Naturvårdsverket</t>
        </is>
      </c>
      <c r="I3802" t="n">
        <v>1.2</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14021-2023</t>
        </is>
      </c>
      <c r="B3803" t="inlineStr">
        <is>
          <t>avverkningsanmälan</t>
        </is>
      </c>
      <c r="C3803" t="inlineStr">
        <is>
          <t>Föryngringsavverkning</t>
        </is>
      </c>
      <c r="D3803" s="1" t="n">
        <v>45007</v>
      </c>
      <c r="E3803" s="1" t="n">
        <v>46319</v>
      </c>
      <c r="F3803" t="inlineStr">
        <is>
          <t>DALARNAS LÄN</t>
        </is>
      </c>
      <c r="G3803" t="inlineStr">
        <is>
          <t>AVESTA</t>
        </is>
      </c>
      <c r="I3803" t="n">
        <v>3</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25722-2023</t>
        </is>
      </c>
      <c r="B3804" t="inlineStr">
        <is>
          <t>avverkningsanmälan</t>
        </is>
      </c>
      <c r="C3804" t="inlineStr">
        <is>
          <t>Föryngringsavverkning</t>
        </is>
      </c>
      <c r="D3804" s="1" t="n">
        <v>45090</v>
      </c>
      <c r="E3804" s="1" t="n">
        <v>46319</v>
      </c>
      <c r="F3804" t="inlineStr">
        <is>
          <t>DALARNAS LÄN</t>
        </is>
      </c>
      <c r="G3804" t="inlineStr">
        <is>
          <t>FALUN</t>
        </is>
      </c>
      <c r="I3804" t="n">
        <v>11</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56252-2025</t>
        </is>
      </c>
      <c r="B3805" t="inlineStr">
        <is>
          <t>avverkningsanmälan</t>
        </is>
      </c>
      <c r="C3805" t="inlineStr">
        <is>
          <t>Föryngringsavverkning</t>
        </is>
      </c>
      <c r="D3805" s="1" t="n">
        <v>45974</v>
      </c>
      <c r="E3805" s="1" t="n">
        <v>46319</v>
      </c>
      <c r="F3805" t="inlineStr">
        <is>
          <t>DALARNAS LÄN</t>
        </is>
      </c>
      <c r="G3805" t="inlineStr">
        <is>
          <t>ÄLVDALEN</t>
        </is>
      </c>
      <c r="I3805" t="n">
        <v>1.4</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56280-2025</t>
        </is>
      </c>
      <c r="B3806" t="inlineStr">
        <is>
          <t>avverkningsanmälan</t>
        </is>
      </c>
      <c r="C3806" t="inlineStr">
        <is>
          <t>Föryngringsavverkning</t>
        </is>
      </c>
      <c r="D3806" s="1" t="n">
        <v>45974</v>
      </c>
      <c r="E3806" s="1" t="n">
        <v>46319</v>
      </c>
      <c r="F3806" t="inlineStr">
        <is>
          <t>DALARNAS LÄN</t>
        </is>
      </c>
      <c r="G3806" t="inlineStr">
        <is>
          <t>VANSBRO</t>
        </is>
      </c>
      <c r="I3806" t="n">
        <v>1.4</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56297-2025</t>
        </is>
      </c>
      <c r="B3807" t="inlineStr">
        <is>
          <t>avverkningsanmälan</t>
        </is>
      </c>
      <c r="C3807" t="inlineStr">
        <is>
          <t>Föryngringsavverkning</t>
        </is>
      </c>
      <c r="D3807" s="1" t="n">
        <v>45974</v>
      </c>
      <c r="E3807" s="1" t="n">
        <v>46319</v>
      </c>
      <c r="F3807" t="inlineStr">
        <is>
          <t>DALARNAS LÄN</t>
        </is>
      </c>
      <c r="G3807" t="inlineStr">
        <is>
          <t>ORSA</t>
        </is>
      </c>
      <c r="I3807" t="n">
        <v>0.9</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56155-2025</t>
        </is>
      </c>
      <c r="B3808" t="inlineStr">
        <is>
          <t>avverkningsanmälan</t>
        </is>
      </c>
      <c r="C3808" t="inlineStr">
        <is>
          <t>Föryngringsavverkning</t>
        </is>
      </c>
      <c r="D3808" s="1" t="n">
        <v>45974</v>
      </c>
      <c r="E3808" s="1" t="n">
        <v>46319</v>
      </c>
      <c r="F3808" t="inlineStr">
        <is>
          <t>DALARNAS LÄN</t>
        </is>
      </c>
      <c r="G3808" t="inlineStr">
        <is>
          <t>LUDVIKA</t>
        </is>
      </c>
      <c r="H3808" t="inlineStr">
        <is>
          <t>Bergvik skog väst AB</t>
        </is>
      </c>
      <c r="I3808" t="n">
        <v>6.9</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28911-2026</t>
        </is>
      </c>
      <c r="B3809" t="inlineStr">
        <is>
          <t>avverkningsanmälan</t>
        </is>
      </c>
      <c r="C3809" t="inlineStr">
        <is>
          <t>Föryngringsavverkning</t>
        </is>
      </c>
      <c r="D3809" s="1" t="n">
        <v>46199</v>
      </c>
      <c r="E3809" s="1" t="n">
        <v>46319</v>
      </c>
      <c r="F3809" t="inlineStr">
        <is>
          <t>DALARNAS LÄN</t>
        </is>
      </c>
      <c r="G3809" t="inlineStr">
        <is>
          <t>FALUN</t>
        </is>
      </c>
      <c r="I3809" t="n">
        <v>2.9</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29068-2026</t>
        </is>
      </c>
      <c r="B3810" t="inlineStr">
        <is>
          <t>avverkningsanmälan</t>
        </is>
      </c>
      <c r="C3810" t="inlineStr">
        <is>
          <t>Föryngringsavverkning</t>
        </is>
      </c>
      <c r="D3810" s="1" t="n">
        <v>46199</v>
      </c>
      <c r="E3810" s="1" t="n">
        <v>46319</v>
      </c>
      <c r="F3810" t="inlineStr">
        <is>
          <t>DALARNAS LÄN</t>
        </is>
      </c>
      <c r="G3810" t="inlineStr">
        <is>
          <t>SMEDJEBACKEN</t>
        </is>
      </c>
      <c r="H3810" t="inlineStr">
        <is>
          <t>Sveaskog</t>
        </is>
      </c>
      <c r="I3810" t="n">
        <v>4.2</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65275-2021</t>
        </is>
      </c>
      <c r="B3811" t="inlineStr">
        <is>
          <t>avverkningsanmälan</t>
        </is>
      </c>
      <c r="C3811" t="inlineStr">
        <is>
          <t>Föryngringsavverkning</t>
        </is>
      </c>
      <c r="D3811" s="1" t="n">
        <v>44515</v>
      </c>
      <c r="E3811" s="1" t="n">
        <v>46319</v>
      </c>
      <c r="F3811" t="inlineStr">
        <is>
          <t>DALARNAS LÄN</t>
        </is>
      </c>
      <c r="G3811" t="inlineStr">
        <is>
          <t>MALUNG-SÄLEN</t>
        </is>
      </c>
      <c r="H3811" t="inlineStr">
        <is>
          <t>Allmännings- och besparingsskogar</t>
        </is>
      </c>
      <c r="I3811" t="n">
        <v>19</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29120-2026</t>
        </is>
      </c>
      <c r="B3812" t="inlineStr">
        <is>
          <t>avverkningsanmälan</t>
        </is>
      </c>
      <c r="C3812" t="inlineStr">
        <is>
          <t>Föryngringsavverkning</t>
        </is>
      </c>
      <c r="D3812" s="1" t="n">
        <v>46201</v>
      </c>
      <c r="E3812" s="1" t="n">
        <v>46319</v>
      </c>
      <c r="F3812" t="inlineStr">
        <is>
          <t>DALARNAS LÄN</t>
        </is>
      </c>
      <c r="G3812" t="inlineStr">
        <is>
          <t>MORA</t>
        </is>
      </c>
      <c r="I3812" t="n">
        <v>2.2</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56650-2025</t>
        </is>
      </c>
      <c r="B3813" t="inlineStr">
        <is>
          <t>avverkningsanmälan</t>
        </is>
      </c>
      <c r="C3813" t="inlineStr">
        <is>
          <t>Föryngringsavverkning</t>
        </is>
      </c>
      <c r="D3813" s="1" t="n">
        <v>45975</v>
      </c>
      <c r="E3813" s="1" t="n">
        <v>46319</v>
      </c>
      <c r="F3813" t="inlineStr">
        <is>
          <t>DALARNAS LÄN</t>
        </is>
      </c>
      <c r="G3813" t="inlineStr">
        <is>
          <t>LUDVIKA</t>
        </is>
      </c>
      <c r="H3813" t="inlineStr">
        <is>
          <t>Bergvik skog väst AB</t>
        </is>
      </c>
      <c r="I3813" t="n">
        <v>7.2</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28705-2026</t>
        </is>
      </c>
      <c r="B3814" t="inlineStr">
        <is>
          <t>avverkningsanmälan</t>
        </is>
      </c>
      <c r="C3814" t="inlineStr">
        <is>
          <t>Föryngringsavverkning</t>
        </is>
      </c>
      <c r="D3814" s="1" t="n">
        <v>46198</v>
      </c>
      <c r="E3814" s="1" t="n">
        <v>46319</v>
      </c>
      <c r="F3814" t="inlineStr">
        <is>
          <t>DALARNAS LÄN</t>
        </is>
      </c>
      <c r="G3814" t="inlineStr">
        <is>
          <t>RÄTTVIK</t>
        </is>
      </c>
      <c r="H3814" t="inlineStr">
        <is>
          <t>Bergvik skog väst AB</t>
        </is>
      </c>
      <c r="I3814" t="n">
        <v>7.1</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40635-2022</t>
        </is>
      </c>
      <c r="B3815" t="inlineStr">
        <is>
          <t>avverkningsanmälan</t>
        </is>
      </c>
      <c r="C3815" t="inlineStr">
        <is>
          <t>Avverkning för annat ändamål</t>
        </is>
      </c>
      <c r="D3815" s="1" t="n">
        <v>44824</v>
      </c>
      <c r="E3815" s="1" t="n">
        <v>46319</v>
      </c>
      <c r="F3815" t="inlineStr">
        <is>
          <t>DALARNAS LÄN</t>
        </is>
      </c>
      <c r="G3815" t="inlineStr">
        <is>
          <t>FALUN</t>
        </is>
      </c>
      <c r="I3815" t="n">
        <v>0.5</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37534-2022</t>
        </is>
      </c>
      <c r="B3816" t="inlineStr">
        <is>
          <t>avverkningsanmälan</t>
        </is>
      </c>
      <c r="C3816" t="inlineStr">
        <is>
          <t>Föryngringsavverkning</t>
        </is>
      </c>
      <c r="D3816" s="1" t="n">
        <v>44809</v>
      </c>
      <c r="E3816" s="1" t="n">
        <v>46319</v>
      </c>
      <c r="F3816" t="inlineStr">
        <is>
          <t>DALARNAS LÄN</t>
        </is>
      </c>
      <c r="G3816" t="inlineStr">
        <is>
          <t>AVESTA</t>
        </is>
      </c>
      <c r="I3816" t="n">
        <v>2.1</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36285-2024</t>
        </is>
      </c>
      <c r="B3817" t="inlineStr">
        <is>
          <t>avverkningsanmälan</t>
        </is>
      </c>
      <c r="C3817" t="inlineStr">
        <is>
          <t>Föryngringsavverkning</t>
        </is>
      </c>
      <c r="D3817" s="1" t="n">
        <v>45534</v>
      </c>
      <c r="E3817" s="1" t="n">
        <v>46319</v>
      </c>
      <c r="F3817" t="inlineStr">
        <is>
          <t>DALARNAS LÄN</t>
        </is>
      </c>
      <c r="G3817" t="inlineStr">
        <is>
          <t>ÄLVDALEN</t>
        </is>
      </c>
      <c r="I3817" t="n">
        <v>4.9</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29067-2026</t>
        </is>
      </c>
      <c r="B3818" t="inlineStr">
        <is>
          <t>avverkningsanmälan</t>
        </is>
      </c>
      <c r="C3818" t="inlineStr">
        <is>
          <t>Avverkning för att bevara och utveckla /försöksver</t>
        </is>
      </c>
      <c r="D3818" s="1" t="n">
        <v>46199</v>
      </c>
      <c r="E3818" s="1" t="n">
        <v>46319</v>
      </c>
      <c r="F3818" t="inlineStr">
        <is>
          <t>DALARNAS LÄN</t>
        </is>
      </c>
      <c r="G3818" t="inlineStr">
        <is>
          <t>SMEDJEBACKEN</t>
        </is>
      </c>
      <c r="H3818" t="inlineStr">
        <is>
          <t>Sveaskog</t>
        </is>
      </c>
      <c r="I3818" t="n">
        <v>2.3</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29069-2026</t>
        </is>
      </c>
      <c r="B3819" t="inlineStr">
        <is>
          <t>avverkningsanmälan</t>
        </is>
      </c>
      <c r="C3819" t="inlineStr">
        <is>
          <t>Föryngringsavverkning</t>
        </is>
      </c>
      <c r="D3819" s="1" t="n">
        <v>46199</v>
      </c>
      <c r="E3819" s="1" t="n">
        <v>46319</v>
      </c>
      <c r="F3819" t="inlineStr">
        <is>
          <t>DALARNAS LÄN</t>
        </is>
      </c>
      <c r="G3819" t="inlineStr">
        <is>
          <t>SMEDJEBACKEN</t>
        </is>
      </c>
      <c r="H3819" t="inlineStr">
        <is>
          <t>Sveaskog</t>
        </is>
      </c>
      <c r="I3819" t="n">
        <v>2.7</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56887-2025</t>
        </is>
      </c>
      <c r="B3820" t="inlineStr">
        <is>
          <t>avverkningsanmälan</t>
        </is>
      </c>
      <c r="C3820" t="inlineStr">
        <is>
          <t>Avverkning för annat ändamål</t>
        </is>
      </c>
      <c r="D3820" s="1" t="n">
        <v>45978</v>
      </c>
      <c r="E3820" s="1" t="n">
        <v>46319</v>
      </c>
      <c r="F3820" t="inlineStr">
        <is>
          <t>DALARNAS LÄN</t>
        </is>
      </c>
      <c r="G3820" t="inlineStr">
        <is>
          <t>FALUN</t>
        </is>
      </c>
      <c r="I3820" t="n">
        <v>0.2</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46672-2023</t>
        </is>
      </c>
      <c r="B3821" t="inlineStr">
        <is>
          <t>avverkningsanmälan</t>
        </is>
      </c>
      <c r="C3821" t="inlineStr">
        <is>
          <t>Föryngringsavverkning</t>
        </is>
      </c>
      <c r="D3821" s="1" t="n">
        <v>45194</v>
      </c>
      <c r="E3821" s="1" t="n">
        <v>46319</v>
      </c>
      <c r="F3821" t="inlineStr">
        <is>
          <t>DALARNAS LÄN</t>
        </is>
      </c>
      <c r="G3821" t="inlineStr">
        <is>
          <t>RÄTTVIK</t>
        </is>
      </c>
      <c r="I3821" t="n">
        <v>2.1</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55696-2023</t>
        </is>
      </c>
      <c r="B3822" t="inlineStr">
        <is>
          <t>avverkningsanmälan</t>
        </is>
      </c>
      <c r="C3822" t="inlineStr">
        <is>
          <t>Föryngringsavverkning</t>
        </is>
      </c>
      <c r="D3822" s="1" t="n">
        <v>45232</v>
      </c>
      <c r="E3822" s="1" t="n">
        <v>46319</v>
      </c>
      <c r="F3822" t="inlineStr">
        <is>
          <t>DALARNAS LÄN</t>
        </is>
      </c>
      <c r="G3822" t="inlineStr">
        <is>
          <t>RÄTTVIK</t>
        </is>
      </c>
      <c r="I3822" t="n">
        <v>1.2</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56906-2025</t>
        </is>
      </c>
      <c r="B3823" t="inlineStr">
        <is>
          <t>avverkningsanmälan</t>
        </is>
      </c>
      <c r="C3823" t="inlineStr">
        <is>
          <t>Avverkning för annat ändamål</t>
        </is>
      </c>
      <c r="D3823" s="1" t="n">
        <v>45978</v>
      </c>
      <c r="E3823" s="1" t="n">
        <v>46319</v>
      </c>
      <c r="F3823" t="inlineStr">
        <is>
          <t>DALARNAS LÄN</t>
        </is>
      </c>
      <c r="G3823" t="inlineStr">
        <is>
          <t>FALUN</t>
        </is>
      </c>
      <c r="I3823" t="n">
        <v>0.4</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56960-2025</t>
        </is>
      </c>
      <c r="B3824" t="inlineStr">
        <is>
          <t>avverkningsanmälan</t>
        </is>
      </c>
      <c r="C3824" t="inlineStr">
        <is>
          <t>Föryngringsavverkning</t>
        </is>
      </c>
      <c r="D3824" s="1" t="n">
        <v>45978</v>
      </c>
      <c r="E3824" s="1" t="n">
        <v>46319</v>
      </c>
      <c r="F3824" t="inlineStr">
        <is>
          <t>DALARNAS LÄN</t>
        </is>
      </c>
      <c r="G3824" t="inlineStr">
        <is>
          <t>LEKSAND</t>
        </is>
      </c>
      <c r="I3824" t="n">
        <v>3.1</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56962-2025</t>
        </is>
      </c>
      <c r="B3825" t="inlineStr">
        <is>
          <t>avverkningsanmälan</t>
        </is>
      </c>
      <c r="C3825" t="inlineStr">
        <is>
          <t>Föryngringsavverkning</t>
        </is>
      </c>
      <c r="D3825" s="1" t="n">
        <v>45978</v>
      </c>
      <c r="E3825" s="1" t="n">
        <v>46319</v>
      </c>
      <c r="F3825" t="inlineStr">
        <is>
          <t>DALARNAS LÄN</t>
        </is>
      </c>
      <c r="G3825" t="inlineStr">
        <is>
          <t>FALUN</t>
        </is>
      </c>
      <c r="I3825" t="n">
        <v>2.6</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28714-2026</t>
        </is>
      </c>
      <c r="B3826" t="inlineStr">
        <is>
          <t>avverkningsanmälan</t>
        </is>
      </c>
      <c r="C3826" t="inlineStr">
        <is>
          <t>Föryngringsavverkning</t>
        </is>
      </c>
      <c r="D3826" s="1" t="n">
        <v>46198</v>
      </c>
      <c r="E3826" s="1" t="n">
        <v>46319</v>
      </c>
      <c r="F3826" t="inlineStr">
        <is>
          <t>DALARNAS LÄN</t>
        </is>
      </c>
      <c r="G3826" t="inlineStr">
        <is>
          <t>LUDVIKA</t>
        </is>
      </c>
      <c r="H3826" t="inlineStr">
        <is>
          <t>Bergvik skog väst AB</t>
        </is>
      </c>
      <c r="I3826" t="n">
        <v>3.8</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28719-2026</t>
        </is>
      </c>
      <c r="B3827" t="inlineStr">
        <is>
          <t>avverkningsanmälan</t>
        </is>
      </c>
      <c r="C3827" t="inlineStr">
        <is>
          <t>Föryngringsavverkning</t>
        </is>
      </c>
      <c r="D3827" s="1" t="n">
        <v>46198</v>
      </c>
      <c r="E3827" s="1" t="n">
        <v>46319</v>
      </c>
      <c r="F3827" t="inlineStr">
        <is>
          <t>DALARNAS LÄN</t>
        </is>
      </c>
      <c r="G3827" t="inlineStr">
        <is>
          <t>RÄTTVIK</t>
        </is>
      </c>
      <c r="H3827" t="inlineStr">
        <is>
          <t>Bergvik skog väst AB</t>
        </is>
      </c>
      <c r="I3827" t="n">
        <v>5.4</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53754-2024</t>
        </is>
      </c>
      <c r="B3828" t="inlineStr">
        <is>
          <t>avverkningsanmälan</t>
        </is>
      </c>
      <c r="C3828" t="inlineStr">
        <is>
          <t>Föryngringsavverkning</t>
        </is>
      </c>
      <c r="D3828" s="1" t="n">
        <v>45615</v>
      </c>
      <c r="E3828" s="1" t="n">
        <v>46319</v>
      </c>
      <c r="F3828" t="inlineStr">
        <is>
          <t>DALARNAS LÄN</t>
        </is>
      </c>
      <c r="G3828" t="inlineStr">
        <is>
          <t>MORA</t>
        </is>
      </c>
      <c r="I3828" t="n">
        <v>4.8</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28807-2026</t>
        </is>
      </c>
      <c r="B3829" t="inlineStr">
        <is>
          <t>avverkningsanmälan</t>
        </is>
      </c>
      <c r="C3829" t="inlineStr">
        <is>
          <t>Föryngringsavverkning</t>
        </is>
      </c>
      <c r="D3829" s="1" t="n">
        <v>46198</v>
      </c>
      <c r="E3829" s="1" t="n">
        <v>46319</v>
      </c>
      <c r="F3829" t="inlineStr">
        <is>
          <t>DALARNAS LÄN</t>
        </is>
      </c>
      <c r="G3829" t="inlineStr">
        <is>
          <t>ORSA</t>
        </is>
      </c>
      <c r="H3829" t="inlineStr">
        <is>
          <t>Allmännings- och besparingsskogar</t>
        </is>
      </c>
      <c r="I3829" t="n">
        <v>13.9</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56471-2025</t>
        </is>
      </c>
      <c r="B3830" t="inlineStr">
        <is>
          <t>avverkningsanmälan</t>
        </is>
      </c>
      <c r="C3830" t="inlineStr">
        <is>
          <t>Föryngringsavverkning</t>
        </is>
      </c>
      <c r="D3830" s="1" t="n">
        <v>45975</v>
      </c>
      <c r="E3830" s="1" t="n">
        <v>46319</v>
      </c>
      <c r="F3830" t="inlineStr">
        <is>
          <t>DALARNAS LÄN</t>
        </is>
      </c>
      <c r="G3830" t="inlineStr">
        <is>
          <t>ORSA</t>
        </is>
      </c>
      <c r="I3830" t="n">
        <v>5.2</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21279-2023</t>
        </is>
      </c>
      <c r="B3831" t="inlineStr">
        <is>
          <t>avverkningsanmälan</t>
        </is>
      </c>
      <c r="C3831" t="inlineStr">
        <is>
          <t>Föryngringsavverkning</t>
        </is>
      </c>
      <c r="D3831" s="1" t="n">
        <v>45062</v>
      </c>
      <c r="E3831" s="1" t="n">
        <v>46319</v>
      </c>
      <c r="F3831" t="inlineStr">
        <is>
          <t>DALARNAS LÄN</t>
        </is>
      </c>
      <c r="G3831" t="inlineStr">
        <is>
          <t>MALUNG-SÄLEN</t>
        </is>
      </c>
      <c r="I3831" t="n">
        <v>1.1</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28712-2026</t>
        </is>
      </c>
      <c r="B3832" t="inlineStr">
        <is>
          <t>avverkningsanmälan</t>
        </is>
      </c>
      <c r="C3832" t="inlineStr">
        <is>
          <t>Föryngringsavverkning</t>
        </is>
      </c>
      <c r="D3832" s="1" t="n">
        <v>46198</v>
      </c>
      <c r="E3832" s="1" t="n">
        <v>46319</v>
      </c>
      <c r="F3832" t="inlineStr">
        <is>
          <t>DALARNAS LÄN</t>
        </is>
      </c>
      <c r="G3832" t="inlineStr">
        <is>
          <t>RÄTTVIK</t>
        </is>
      </c>
      <c r="H3832" t="inlineStr">
        <is>
          <t>Bergvik skog väst AB</t>
        </is>
      </c>
      <c r="I3832" t="n">
        <v>1.5</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56901-2025</t>
        </is>
      </c>
      <c r="B3833" t="inlineStr">
        <is>
          <t>avverkningsanmälan</t>
        </is>
      </c>
      <c r="C3833" t="inlineStr">
        <is>
          <t>Föryngringsavverkning</t>
        </is>
      </c>
      <c r="D3833" s="1" t="n">
        <v>45978</v>
      </c>
      <c r="E3833" s="1" t="n">
        <v>46319</v>
      </c>
      <c r="F3833" t="inlineStr">
        <is>
          <t>DALARNAS LÄN</t>
        </is>
      </c>
      <c r="G3833" t="inlineStr">
        <is>
          <t>MALUNG-SÄLEN</t>
        </is>
      </c>
      <c r="I3833" t="n">
        <v>2.1</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56459-2025</t>
        </is>
      </c>
      <c r="B3834" t="inlineStr">
        <is>
          <t>avverkningsanmälan</t>
        </is>
      </c>
      <c r="C3834" t="inlineStr">
        <is>
          <t>Föryngringsavverkning</t>
        </is>
      </c>
      <c r="D3834" s="1" t="n">
        <v>45975</v>
      </c>
      <c r="E3834" s="1" t="n">
        <v>46319</v>
      </c>
      <c r="F3834" t="inlineStr">
        <is>
          <t>DALARNAS LÄN</t>
        </is>
      </c>
      <c r="G3834" t="inlineStr">
        <is>
          <t>ORSA</t>
        </is>
      </c>
      <c r="I3834" t="n">
        <v>3.8</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19194-2023</t>
        </is>
      </c>
      <c r="B3835" t="inlineStr">
        <is>
          <t>avverkningsanmälan</t>
        </is>
      </c>
      <c r="C3835" t="inlineStr">
        <is>
          <t>Föryngringsavverkning</t>
        </is>
      </c>
      <c r="D3835" s="1" t="n">
        <v>45048</v>
      </c>
      <c r="E3835" s="1" t="n">
        <v>46319</v>
      </c>
      <c r="F3835" t="inlineStr">
        <is>
          <t>DALARNAS LÄN</t>
        </is>
      </c>
      <c r="G3835" t="inlineStr">
        <is>
          <t>FALUN</t>
        </is>
      </c>
      <c r="H3835" t="inlineStr">
        <is>
          <t>Bergvik skog väst AB</t>
        </is>
      </c>
      <c r="I3835" t="n">
        <v>1.8</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9138-2023</t>
        </is>
      </c>
      <c r="B3836" t="inlineStr">
        <is>
          <t>avverkningsanmälan</t>
        </is>
      </c>
      <c r="C3836" t="inlineStr">
        <is>
          <t>Föryngringsavverkning</t>
        </is>
      </c>
      <c r="D3836" s="1" t="n">
        <v>44974</v>
      </c>
      <c r="E3836" s="1" t="n">
        <v>46319</v>
      </c>
      <c r="F3836" t="inlineStr">
        <is>
          <t>DALARNAS LÄN</t>
        </is>
      </c>
      <c r="G3836" t="inlineStr">
        <is>
          <t>LEKSAND</t>
        </is>
      </c>
      <c r="I3836" t="n">
        <v>4.6</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50772-2024</t>
        </is>
      </c>
      <c r="B3837" t="inlineStr">
        <is>
          <t>avverkningsanmälan</t>
        </is>
      </c>
      <c r="C3837" t="inlineStr">
        <is>
          <t>Föryngringsavverkning</t>
        </is>
      </c>
      <c r="D3837" s="1" t="n">
        <v>45602</v>
      </c>
      <c r="E3837" s="1" t="n">
        <v>46319</v>
      </c>
      <c r="F3837" t="inlineStr">
        <is>
          <t>DALARNAS LÄN</t>
        </is>
      </c>
      <c r="G3837" t="inlineStr">
        <is>
          <t>FALUN</t>
        </is>
      </c>
      <c r="I3837" t="n">
        <v>1.6</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56623-2025</t>
        </is>
      </c>
      <c r="B3838" t="inlineStr">
        <is>
          <t>avverkningsanmälan</t>
        </is>
      </c>
      <c r="C3838" t="inlineStr">
        <is>
          <t>Föryngringsavverkning</t>
        </is>
      </c>
      <c r="D3838" s="1" t="n">
        <v>45975</v>
      </c>
      <c r="E3838" s="1" t="n">
        <v>46319</v>
      </c>
      <c r="F3838" t="inlineStr">
        <is>
          <t>DALARNAS LÄN</t>
        </is>
      </c>
      <c r="G3838" t="inlineStr">
        <is>
          <t>LEKSAND</t>
        </is>
      </c>
      <c r="H3838" t="inlineStr">
        <is>
          <t>Bergvik skog väst AB</t>
        </is>
      </c>
      <c r="I3838" t="n">
        <v>0.8</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56628-2025</t>
        </is>
      </c>
      <c r="B3839" t="inlineStr">
        <is>
          <t>avverkningsanmälan</t>
        </is>
      </c>
      <c r="C3839" t="inlineStr">
        <is>
          <t>Föryngringsavverkning</t>
        </is>
      </c>
      <c r="D3839" s="1" t="n">
        <v>45975</v>
      </c>
      <c r="E3839" s="1" t="n">
        <v>46319</v>
      </c>
      <c r="F3839" t="inlineStr">
        <is>
          <t>DALARNAS LÄN</t>
        </is>
      </c>
      <c r="G3839" t="inlineStr">
        <is>
          <t>RÄTTVIK</t>
        </is>
      </c>
      <c r="I3839" t="n">
        <v>0.6</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29035-2026</t>
        </is>
      </c>
      <c r="B3840" t="inlineStr">
        <is>
          <t>avverkningsanmälan</t>
        </is>
      </c>
      <c r="C3840" t="inlineStr">
        <is>
          <t>Föryngringsavverkning</t>
        </is>
      </c>
      <c r="D3840" s="1" t="n">
        <v>46199</v>
      </c>
      <c r="E3840" s="1" t="n">
        <v>46319</v>
      </c>
      <c r="F3840" t="inlineStr">
        <is>
          <t>DALARNAS LÄN</t>
        </is>
      </c>
      <c r="G3840" t="inlineStr">
        <is>
          <t>VANSBRO</t>
        </is>
      </c>
      <c r="I3840" t="n">
        <v>8</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34993-2024</t>
        </is>
      </c>
      <c r="B3841" t="inlineStr">
        <is>
          <t>avverkningsanmälan</t>
        </is>
      </c>
      <c r="C3841" t="inlineStr">
        <is>
          <t>Föryngringsavverkning</t>
        </is>
      </c>
      <c r="D3841" s="1" t="n">
        <v>45527</v>
      </c>
      <c r="E3841" s="1" t="n">
        <v>46319</v>
      </c>
      <c r="F3841" t="inlineStr">
        <is>
          <t>DALARNAS LÄN</t>
        </is>
      </c>
      <c r="G3841" t="inlineStr">
        <is>
          <t>SÄTER</t>
        </is>
      </c>
      <c r="I3841" t="n">
        <v>0.9</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29287-2026</t>
        </is>
      </c>
      <c r="B3842" t="inlineStr">
        <is>
          <t>avverkningsanmälan</t>
        </is>
      </c>
      <c r="C3842" t="inlineStr">
        <is>
          <t>Föryngringsavverkning</t>
        </is>
      </c>
      <c r="D3842" s="1" t="n">
        <v>46202</v>
      </c>
      <c r="E3842" s="1" t="n">
        <v>46319</v>
      </c>
      <c r="F3842" t="inlineStr">
        <is>
          <t>DALARNAS LÄN</t>
        </is>
      </c>
      <c r="G3842" t="inlineStr">
        <is>
          <t>SMEDJEBACKEN</t>
        </is>
      </c>
      <c r="H3842" t="inlineStr">
        <is>
          <t>Sveaskog</t>
        </is>
      </c>
      <c r="I3842" t="n">
        <v>1.2</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20784-2024</t>
        </is>
      </c>
      <c r="B3843" t="inlineStr">
        <is>
          <t>avverkningsanmälan</t>
        </is>
      </c>
      <c r="C3843" t="inlineStr">
        <is>
          <t>Föryngringsavverkning</t>
        </is>
      </c>
      <c r="D3843" s="1" t="n">
        <v>45437</v>
      </c>
      <c r="E3843" s="1" t="n">
        <v>46319</v>
      </c>
      <c r="F3843" t="inlineStr">
        <is>
          <t>DALARNAS LÄN</t>
        </is>
      </c>
      <c r="G3843" t="inlineStr">
        <is>
          <t>BORLÄNGE</t>
        </is>
      </c>
      <c r="I3843" t="n">
        <v>1.8</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34630-2023</t>
        </is>
      </c>
      <c r="B3844" t="inlineStr">
        <is>
          <t>avverkningsanmälan</t>
        </is>
      </c>
      <c r="C3844" t="inlineStr">
        <is>
          <t>Avverkning för att bevara och utveckla /försöksver</t>
        </is>
      </c>
      <c r="D3844" s="1" t="n">
        <v>45139</v>
      </c>
      <c r="E3844" s="1" t="n">
        <v>46319</v>
      </c>
      <c r="F3844" t="inlineStr">
        <is>
          <t>DALARNAS LÄN</t>
        </is>
      </c>
      <c r="G3844" t="inlineStr">
        <is>
          <t>RÄTTVIK</t>
        </is>
      </c>
      <c r="I3844" t="n">
        <v>1.3</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56679-2025</t>
        </is>
      </c>
      <c r="B3845" t="inlineStr">
        <is>
          <t>avverkningsanmälan</t>
        </is>
      </c>
      <c r="C3845" t="inlineStr">
        <is>
          <t>Föryngringsavverkning</t>
        </is>
      </c>
      <c r="D3845" s="1" t="n">
        <v>45975</v>
      </c>
      <c r="E3845" s="1" t="n">
        <v>46319</v>
      </c>
      <c r="F3845" t="inlineStr">
        <is>
          <t>DALARNAS LÄN</t>
        </is>
      </c>
      <c r="G3845" t="inlineStr">
        <is>
          <t>HEDEMORA</t>
        </is>
      </c>
      <c r="I3845" t="n">
        <v>0.8</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47869-2023</t>
        </is>
      </c>
      <c r="B3846" t="inlineStr">
        <is>
          <t>avverkningsanmälan</t>
        </is>
      </c>
      <c r="C3846" t="inlineStr">
        <is>
          <t>Föryngringsavverkning</t>
        </is>
      </c>
      <c r="D3846" s="1" t="n">
        <v>45204</v>
      </c>
      <c r="E3846" s="1" t="n">
        <v>46319</v>
      </c>
      <c r="F3846" t="inlineStr">
        <is>
          <t>DALARNAS LÄN</t>
        </is>
      </c>
      <c r="G3846" t="inlineStr">
        <is>
          <t>ÄLVDALEN</t>
        </is>
      </c>
      <c r="I3846" t="n">
        <v>11</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48990-2023</t>
        </is>
      </c>
      <c r="B3847" t="inlineStr">
        <is>
          <t>avverkningsanmälan</t>
        </is>
      </c>
      <c r="C3847" t="inlineStr">
        <is>
          <t>Föryngringsavverkning</t>
        </is>
      </c>
      <c r="D3847" s="1" t="n">
        <v>45209</v>
      </c>
      <c r="E3847" s="1" t="n">
        <v>46319</v>
      </c>
      <c r="F3847" t="inlineStr">
        <is>
          <t>DALARNAS LÄN</t>
        </is>
      </c>
      <c r="G3847" t="inlineStr">
        <is>
          <t>ORSA</t>
        </is>
      </c>
      <c r="H3847" t="inlineStr">
        <is>
          <t>Allmännings- och besparingsskogar</t>
        </is>
      </c>
      <c r="I3847" t="n">
        <v>0.9</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52939-2022</t>
        </is>
      </c>
      <c r="B3848" t="inlineStr">
        <is>
          <t>avverkningsanmälan</t>
        </is>
      </c>
      <c r="C3848" t="inlineStr">
        <is>
          <t>Föryngringsavverkning</t>
        </is>
      </c>
      <c r="D3848" s="1" t="n">
        <v>44875</v>
      </c>
      <c r="E3848" s="1" t="n">
        <v>46319</v>
      </c>
      <c r="F3848" t="inlineStr">
        <is>
          <t>DALARNAS LÄN</t>
        </is>
      </c>
      <c r="G3848" t="inlineStr">
        <is>
          <t>RÄTTVIK</t>
        </is>
      </c>
      <c r="I3848" t="n">
        <v>1.4</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61680-2024</t>
        </is>
      </c>
      <c r="B3849" t="inlineStr">
        <is>
          <t>avverkningsanmälan</t>
        </is>
      </c>
      <c r="C3849" t="inlineStr">
        <is>
          <t>Föryngringsavverkning</t>
        </is>
      </c>
      <c r="D3849" s="1" t="n">
        <v>45647</v>
      </c>
      <c r="E3849" s="1" t="n">
        <v>46319</v>
      </c>
      <c r="F3849" t="inlineStr">
        <is>
          <t>DALARNAS LÄN</t>
        </is>
      </c>
      <c r="G3849" t="inlineStr">
        <is>
          <t>LEKSAND</t>
        </is>
      </c>
      <c r="I3849" t="n">
        <v>3.6</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28884-2026</t>
        </is>
      </c>
      <c r="B3850" t="inlineStr">
        <is>
          <t>avverkningsanmälan</t>
        </is>
      </c>
      <c r="C3850" t="inlineStr">
        <is>
          <t>Föryngringsavverkning</t>
        </is>
      </c>
      <c r="D3850" s="1" t="n">
        <v>46199</v>
      </c>
      <c r="E3850" s="1" t="n">
        <v>46319</v>
      </c>
      <c r="F3850" t="inlineStr">
        <is>
          <t>DALARNAS LÄN</t>
        </is>
      </c>
      <c r="G3850" t="inlineStr">
        <is>
          <t>FALUN</t>
        </is>
      </c>
      <c r="H3850" t="inlineStr">
        <is>
          <t>Bergvik skog väst AB</t>
        </is>
      </c>
      <c r="I3850" t="n">
        <v>1.1</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54821-2024</t>
        </is>
      </c>
      <c r="B3851" t="inlineStr">
        <is>
          <t>avverkningsanmälan</t>
        </is>
      </c>
      <c r="C3851" t="inlineStr">
        <is>
          <t>Föryngringsavverkning</t>
        </is>
      </c>
      <c r="D3851" s="1" t="n">
        <v>45618</v>
      </c>
      <c r="E3851" s="1" t="n">
        <v>46319</v>
      </c>
      <c r="F3851" t="inlineStr">
        <is>
          <t>DALARNAS LÄN</t>
        </is>
      </c>
      <c r="G3851" t="inlineStr">
        <is>
          <t>RÄTTVIK</t>
        </is>
      </c>
      <c r="I3851" t="n">
        <v>1.3</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54911-2024</t>
        </is>
      </c>
      <c r="B3852" t="inlineStr">
        <is>
          <t>avverkningsanmälan</t>
        </is>
      </c>
      <c r="C3852" t="inlineStr">
        <is>
          <t>Föryngringsavverkning</t>
        </is>
      </c>
      <c r="D3852" s="1" t="n">
        <v>45618</v>
      </c>
      <c r="E3852" s="1" t="n">
        <v>46319</v>
      </c>
      <c r="F3852" t="inlineStr">
        <is>
          <t>DALARNAS LÄN</t>
        </is>
      </c>
      <c r="G3852" t="inlineStr">
        <is>
          <t>LEKSAND</t>
        </is>
      </c>
      <c r="I3852" t="n">
        <v>0.9</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56875-2025</t>
        </is>
      </c>
      <c r="B3853" t="inlineStr">
        <is>
          <t>avverkningsanmälan</t>
        </is>
      </c>
      <c r="C3853" t="inlineStr">
        <is>
          <t>Föryngringsavverkning</t>
        </is>
      </c>
      <c r="D3853" s="1" t="n">
        <v>45978</v>
      </c>
      <c r="E3853" s="1" t="n">
        <v>46319</v>
      </c>
      <c r="F3853" t="inlineStr">
        <is>
          <t>DALARNAS LÄN</t>
        </is>
      </c>
      <c r="G3853" t="inlineStr">
        <is>
          <t>BORLÄNGE</t>
        </is>
      </c>
      <c r="H3853" t="inlineStr">
        <is>
          <t>Bergvik skog väst AB</t>
        </is>
      </c>
      <c r="I3853" t="n">
        <v>1.1</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56891-2025</t>
        </is>
      </c>
      <c r="B3854" t="inlineStr">
        <is>
          <t>avverkningsanmälan</t>
        </is>
      </c>
      <c r="C3854" t="inlineStr">
        <is>
          <t>Föryngringsavverkning</t>
        </is>
      </c>
      <c r="D3854" s="1" t="n">
        <v>45978</v>
      </c>
      <c r="E3854" s="1" t="n">
        <v>46319</v>
      </c>
      <c r="F3854" t="inlineStr">
        <is>
          <t>DALARNAS LÄN</t>
        </is>
      </c>
      <c r="G3854" t="inlineStr">
        <is>
          <t>MALUNG-SÄLEN</t>
        </is>
      </c>
      <c r="I3854" t="n">
        <v>5.4</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56913-2025</t>
        </is>
      </c>
      <c r="B3855" t="inlineStr">
        <is>
          <t>avverkningsanmälan</t>
        </is>
      </c>
      <c r="C3855" t="inlineStr">
        <is>
          <t>Avverkning för annat ändamål</t>
        </is>
      </c>
      <c r="D3855" s="1" t="n">
        <v>45978</v>
      </c>
      <c r="E3855" s="1" t="n">
        <v>46319</v>
      </c>
      <c r="F3855" t="inlineStr">
        <is>
          <t>DALARNAS LÄN</t>
        </is>
      </c>
      <c r="G3855" t="inlineStr">
        <is>
          <t>FALUN</t>
        </is>
      </c>
      <c r="I3855" t="n">
        <v>0.4</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55708-2024</t>
        </is>
      </c>
      <c r="B3856" t="inlineStr">
        <is>
          <t>avverkningsanmälan</t>
        </is>
      </c>
      <c r="C3856" t="inlineStr">
        <is>
          <t>Föryngringsavverkning</t>
        </is>
      </c>
      <c r="D3856" s="1" t="n">
        <v>45622</v>
      </c>
      <c r="E3856" s="1" t="n">
        <v>46319</v>
      </c>
      <c r="F3856" t="inlineStr">
        <is>
          <t>DALARNAS LÄN</t>
        </is>
      </c>
      <c r="G3856" t="inlineStr">
        <is>
          <t>RÄTTVIK</t>
        </is>
      </c>
      <c r="I3856" t="n">
        <v>0.6</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63519-2021</t>
        </is>
      </c>
      <c r="B3857" t="inlineStr">
        <is>
          <t>avverkningsanmälan</t>
        </is>
      </c>
      <c r="C3857" t="inlineStr">
        <is>
          <t>Föryngringsavverkning</t>
        </is>
      </c>
      <c r="D3857" s="1" t="n">
        <v>44508</v>
      </c>
      <c r="E3857" s="1" t="n">
        <v>46319</v>
      </c>
      <c r="F3857" t="inlineStr">
        <is>
          <t>DALARNAS LÄN</t>
        </is>
      </c>
      <c r="G3857" t="inlineStr">
        <is>
          <t>AVESTA</t>
        </is>
      </c>
      <c r="I3857" t="n">
        <v>1.4</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62398-2021</t>
        </is>
      </c>
      <c r="B3858" t="inlineStr">
        <is>
          <t>avverkningsanmälan</t>
        </is>
      </c>
      <c r="C3858" t="inlineStr">
        <is>
          <t>Föryngringsavverkning</t>
        </is>
      </c>
      <c r="D3858" s="1" t="n">
        <v>44503</v>
      </c>
      <c r="E3858" s="1" t="n">
        <v>46319</v>
      </c>
      <c r="F3858" t="inlineStr">
        <is>
          <t>DALARNAS LÄN</t>
        </is>
      </c>
      <c r="G3858" t="inlineStr">
        <is>
          <t>VANSBRO</t>
        </is>
      </c>
      <c r="H3858" t="inlineStr">
        <is>
          <t>Bergvik skog öst AB</t>
        </is>
      </c>
      <c r="I3858" t="n">
        <v>22.1</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56473-2025</t>
        </is>
      </c>
      <c r="B3859" t="inlineStr">
        <is>
          <t>avverkningsanmälan</t>
        </is>
      </c>
      <c r="C3859" t="inlineStr">
        <is>
          <t>Föryngringsavverkning</t>
        </is>
      </c>
      <c r="D3859" s="1" t="n">
        <v>45975</v>
      </c>
      <c r="E3859" s="1" t="n">
        <v>46319</v>
      </c>
      <c r="F3859" t="inlineStr">
        <is>
          <t>DALARNAS LÄN</t>
        </is>
      </c>
      <c r="G3859" t="inlineStr">
        <is>
          <t>ORSA</t>
        </is>
      </c>
      <c r="I3859" t="n">
        <v>1.1</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11426-2022</t>
        </is>
      </c>
      <c r="B3860" t="inlineStr">
        <is>
          <t>avverkningsanmälan</t>
        </is>
      </c>
      <c r="C3860" t="inlineStr">
        <is>
          <t>Avverkning för annat ändamål</t>
        </is>
      </c>
      <c r="D3860" s="1" t="n">
        <v>44630</v>
      </c>
      <c r="E3860" s="1" t="n">
        <v>46319</v>
      </c>
      <c r="F3860" t="inlineStr">
        <is>
          <t>DALARNAS LÄN</t>
        </is>
      </c>
      <c r="G3860" t="inlineStr">
        <is>
          <t>SMEDJEBACKEN</t>
        </is>
      </c>
      <c r="I3860" t="n">
        <v>0.9</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56924-2025</t>
        </is>
      </c>
      <c r="B3861" t="inlineStr">
        <is>
          <t>avverkningsanmälan</t>
        </is>
      </c>
      <c r="C3861" t="inlineStr">
        <is>
          <t>Föryngringsavverkning</t>
        </is>
      </c>
      <c r="D3861" s="1" t="n">
        <v>45978</v>
      </c>
      <c r="E3861" s="1" t="n">
        <v>46319</v>
      </c>
      <c r="F3861" t="inlineStr">
        <is>
          <t>DALARNAS LÄN</t>
        </is>
      </c>
      <c r="G3861" t="inlineStr">
        <is>
          <t>FALUN</t>
        </is>
      </c>
      <c r="I3861" t="n">
        <v>3</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56931-2025</t>
        </is>
      </c>
      <c r="B3862" t="inlineStr">
        <is>
          <t>avverkningsanmälan</t>
        </is>
      </c>
      <c r="C3862" t="inlineStr">
        <is>
          <t>Föryngringsavverkning</t>
        </is>
      </c>
      <c r="D3862" s="1" t="n">
        <v>45978</v>
      </c>
      <c r="E3862" s="1" t="n">
        <v>46319</v>
      </c>
      <c r="F3862" t="inlineStr">
        <is>
          <t>DALARNAS LÄN</t>
        </is>
      </c>
      <c r="G3862" t="inlineStr">
        <is>
          <t>FALUN</t>
        </is>
      </c>
      <c r="I3862" t="n">
        <v>3</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56702-2025</t>
        </is>
      </c>
      <c r="B3863" t="inlineStr">
        <is>
          <t>avverkningsanmälan</t>
        </is>
      </c>
      <c r="C3863" t="inlineStr">
        <is>
          <t>Föryngringsavverkning</t>
        </is>
      </c>
      <c r="D3863" s="1" t="n">
        <v>45977</v>
      </c>
      <c r="E3863" s="1" t="n">
        <v>46319</v>
      </c>
      <c r="F3863" t="inlineStr">
        <is>
          <t>DALARNAS LÄN</t>
        </is>
      </c>
      <c r="G3863" t="inlineStr">
        <is>
          <t>MORA</t>
        </is>
      </c>
      <c r="I3863" t="n">
        <v>2.2</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28954-2026</t>
        </is>
      </c>
      <c r="B3864" t="inlineStr">
        <is>
          <t>avverkningsanmälan</t>
        </is>
      </c>
      <c r="C3864" t="inlineStr">
        <is>
          <t>Föryngringsavverkning</t>
        </is>
      </c>
      <c r="D3864" s="1" t="n">
        <v>46199</v>
      </c>
      <c r="E3864" s="1" t="n">
        <v>46319</v>
      </c>
      <c r="F3864" t="inlineStr">
        <is>
          <t>DALARNAS LÄN</t>
        </is>
      </c>
      <c r="G3864" t="inlineStr">
        <is>
          <t>ORSA</t>
        </is>
      </c>
      <c r="H3864" t="inlineStr">
        <is>
          <t>Bergvik skog öst AB</t>
        </is>
      </c>
      <c r="I3864" t="n">
        <v>11.9</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57101-2025</t>
        </is>
      </c>
      <c r="B3865" t="inlineStr">
        <is>
          <t>avverkningsanmälan</t>
        </is>
      </c>
      <c r="C3865" t="inlineStr">
        <is>
          <t>Föryngringsavverkning</t>
        </is>
      </c>
      <c r="D3865" s="1" t="n">
        <v>45979</v>
      </c>
      <c r="E3865" s="1" t="n">
        <v>46319</v>
      </c>
      <c r="F3865" t="inlineStr">
        <is>
          <t>DALARNAS LÄN</t>
        </is>
      </c>
      <c r="G3865" t="inlineStr">
        <is>
          <t>MORA</t>
        </is>
      </c>
      <c r="I3865" t="n">
        <v>7.5</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62533-2023</t>
        </is>
      </c>
      <c r="B3866" t="inlineStr">
        <is>
          <t>avverkningsanmälan</t>
        </is>
      </c>
      <c r="C3866" t="inlineStr">
        <is>
          <t>Föryngringsavverkning</t>
        </is>
      </c>
      <c r="D3866" s="1" t="n">
        <v>45268</v>
      </c>
      <c r="E3866" s="1" t="n">
        <v>46319</v>
      </c>
      <c r="F3866" t="inlineStr">
        <is>
          <t>DALARNAS LÄN</t>
        </is>
      </c>
      <c r="G3866" t="inlineStr">
        <is>
          <t>SÄTER</t>
        </is>
      </c>
      <c r="I3866" t="n">
        <v>1.1</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31430-2024</t>
        </is>
      </c>
      <c r="B3867" t="inlineStr">
        <is>
          <t>avverkningsanmälan</t>
        </is>
      </c>
      <c r="C3867" t="inlineStr">
        <is>
          <t>Föryngringsavverkning</t>
        </is>
      </c>
      <c r="D3867" s="1" t="n">
        <v>45505</v>
      </c>
      <c r="E3867" s="1" t="n">
        <v>46319</v>
      </c>
      <c r="F3867" t="inlineStr">
        <is>
          <t>DALARNAS LÄN</t>
        </is>
      </c>
      <c r="G3867" t="inlineStr">
        <is>
          <t>AVESTA</t>
        </is>
      </c>
      <c r="I3867" t="n">
        <v>3</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57416-2025</t>
        </is>
      </c>
      <c r="B3868" t="inlineStr">
        <is>
          <t>avverkningsanmälan</t>
        </is>
      </c>
      <c r="C3868" t="inlineStr">
        <is>
          <t>Föryngringsavverkning</t>
        </is>
      </c>
      <c r="D3868" s="1" t="n">
        <v>45980</v>
      </c>
      <c r="E3868" s="1" t="n">
        <v>46319</v>
      </c>
      <c r="F3868" t="inlineStr">
        <is>
          <t>DALARNAS LÄN</t>
        </is>
      </c>
      <c r="G3868" t="inlineStr">
        <is>
          <t>SMEDJEBACKEN</t>
        </is>
      </c>
      <c r="H3868" t="inlineStr">
        <is>
          <t>Sveaskog</t>
        </is>
      </c>
      <c r="I3868" t="n">
        <v>2.6</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23432-2024</t>
        </is>
      </c>
      <c r="B3869" t="inlineStr">
        <is>
          <t>avverkningsanmälan</t>
        </is>
      </c>
      <c r="C3869" t="inlineStr">
        <is>
          <t>Föryngringsavverkning</t>
        </is>
      </c>
      <c r="D3869" s="1" t="n">
        <v>45453</v>
      </c>
      <c r="E3869" s="1" t="n">
        <v>46319</v>
      </c>
      <c r="F3869" t="inlineStr">
        <is>
          <t>DALARNAS LÄN</t>
        </is>
      </c>
      <c r="G3869" t="inlineStr">
        <is>
          <t>VANSBRO</t>
        </is>
      </c>
      <c r="I3869" t="n">
        <v>0.8</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57135-2025</t>
        </is>
      </c>
      <c r="B3870" t="inlineStr">
        <is>
          <t>avverkningsanmälan</t>
        </is>
      </c>
      <c r="C3870" t="inlineStr">
        <is>
          <t>Föryngringsavverkning</t>
        </is>
      </c>
      <c r="D3870" s="1" t="n">
        <v>45979</v>
      </c>
      <c r="E3870" s="1" t="n">
        <v>46319</v>
      </c>
      <c r="F3870" t="inlineStr">
        <is>
          <t>DALARNAS LÄN</t>
        </is>
      </c>
      <c r="G3870" t="inlineStr">
        <is>
          <t>GAGNEF</t>
        </is>
      </c>
      <c r="I3870" t="n">
        <v>1.9</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57729-2022</t>
        </is>
      </c>
      <c r="B3871" t="inlineStr">
        <is>
          <t>avverkningsanmälan</t>
        </is>
      </c>
      <c r="C3871" t="inlineStr">
        <is>
          <t>Föryngringsavverkning</t>
        </is>
      </c>
      <c r="D3871" s="1" t="n">
        <v>44897</v>
      </c>
      <c r="E3871" s="1" t="n">
        <v>46319</v>
      </c>
      <c r="F3871" t="inlineStr">
        <is>
          <t>DALARNAS LÄN</t>
        </is>
      </c>
      <c r="G3871" t="inlineStr">
        <is>
          <t>GAGNEF</t>
        </is>
      </c>
      <c r="I3871" t="n">
        <v>0.9</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28620-2026</t>
        </is>
      </c>
      <c r="B3872" t="inlineStr">
        <is>
          <t>avverkningsanmälan</t>
        </is>
      </c>
      <c r="C3872" t="inlineStr">
        <is>
          <t>Föryngringsavverkning</t>
        </is>
      </c>
      <c r="D3872" s="1" t="n">
        <v>46198</v>
      </c>
      <c r="E3872" s="1" t="n">
        <v>46319</v>
      </c>
      <c r="F3872" t="inlineStr">
        <is>
          <t>DALARNAS LÄN</t>
        </is>
      </c>
      <c r="G3872" t="inlineStr">
        <is>
          <t>AVESTA</t>
        </is>
      </c>
      <c r="H3872" t="inlineStr">
        <is>
          <t>Sveaskog</t>
        </is>
      </c>
      <c r="I3872" t="n">
        <v>4.6</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28663-2026</t>
        </is>
      </c>
      <c r="B3873" t="inlineStr">
        <is>
          <t>avverkningsanmälan</t>
        </is>
      </c>
      <c r="C3873" t="inlineStr">
        <is>
          <t>Föryngringsavverkning</t>
        </is>
      </c>
      <c r="D3873" s="1" t="n">
        <v>46198</v>
      </c>
      <c r="E3873" s="1" t="n">
        <v>46319</v>
      </c>
      <c r="F3873" t="inlineStr">
        <is>
          <t>DALARNAS LÄN</t>
        </is>
      </c>
      <c r="G3873" t="inlineStr">
        <is>
          <t>FALUN</t>
        </is>
      </c>
      <c r="I3873" t="n">
        <v>7.5</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57544-2025</t>
        </is>
      </c>
      <c r="B3874" t="inlineStr">
        <is>
          <t>avverkningsanmälan</t>
        </is>
      </c>
      <c r="C3874" t="inlineStr">
        <is>
          <t>Föryngringsavverkning</t>
        </is>
      </c>
      <c r="D3874" s="1" t="n">
        <v>45980</v>
      </c>
      <c r="E3874" s="1" t="n">
        <v>46319</v>
      </c>
      <c r="F3874" t="inlineStr">
        <is>
          <t>DALARNAS LÄN</t>
        </is>
      </c>
      <c r="G3874" t="inlineStr">
        <is>
          <t>FALUN</t>
        </is>
      </c>
      <c r="I3874" t="n">
        <v>4.9</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752-2023</t>
        </is>
      </c>
      <c r="B3875" t="inlineStr">
        <is>
          <t>avverkningsanmälan</t>
        </is>
      </c>
      <c r="C3875" t="inlineStr">
        <is>
          <t>Föryngringsavverkning</t>
        </is>
      </c>
      <c r="D3875" s="1" t="n">
        <v>44931</v>
      </c>
      <c r="E3875" s="1" t="n">
        <v>46319</v>
      </c>
      <c r="F3875" t="inlineStr">
        <is>
          <t>DALARNAS LÄN</t>
        </is>
      </c>
      <c r="G3875" t="inlineStr">
        <is>
          <t>MALUNG-SÄLEN</t>
        </is>
      </c>
      <c r="I3875" t="n">
        <v>2.3</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32561-2024</t>
        </is>
      </c>
      <c r="B3876" t="inlineStr">
        <is>
          <t>avverkningsanmälan</t>
        </is>
      </c>
      <c r="C3876" t="inlineStr">
        <is>
          <t>Föryngringsavverkning</t>
        </is>
      </c>
      <c r="D3876" s="1" t="n">
        <v>45513</v>
      </c>
      <c r="E3876" s="1" t="n">
        <v>46319</v>
      </c>
      <c r="F3876" t="inlineStr">
        <is>
          <t>DALARNAS LÄN</t>
        </is>
      </c>
      <c r="G3876" t="inlineStr">
        <is>
          <t>RÄTTVIK</t>
        </is>
      </c>
      <c r="H3876" t="inlineStr">
        <is>
          <t>Sveaskog</t>
        </is>
      </c>
      <c r="I3876" t="n">
        <v>5.9</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22646-2024</t>
        </is>
      </c>
      <c r="B3877" t="inlineStr">
        <is>
          <t>avverkningsanmälan</t>
        </is>
      </c>
      <c r="C3877" t="inlineStr">
        <is>
          <t>Föryngringsavverkning</t>
        </is>
      </c>
      <c r="D3877" s="1" t="n">
        <v>45447</v>
      </c>
      <c r="E3877" s="1" t="n">
        <v>46319</v>
      </c>
      <c r="F3877" t="inlineStr">
        <is>
          <t>DALARNAS LÄN</t>
        </is>
      </c>
      <c r="G3877" t="inlineStr">
        <is>
          <t>FALUN</t>
        </is>
      </c>
      <c r="I3877" t="n">
        <v>1.8</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16611-2024</t>
        </is>
      </c>
      <c r="B3878" t="inlineStr">
        <is>
          <t>avverkningsanmälan</t>
        </is>
      </c>
      <c r="C3878" t="inlineStr">
        <is>
          <t>Föryngringsavverkning</t>
        </is>
      </c>
      <c r="D3878" s="1" t="n">
        <v>45408</v>
      </c>
      <c r="E3878" s="1" t="n">
        <v>46319</v>
      </c>
      <c r="F3878" t="inlineStr">
        <is>
          <t>DALARNAS LÄN</t>
        </is>
      </c>
      <c r="G3878" t="inlineStr">
        <is>
          <t>LEKSAND</t>
        </is>
      </c>
      <c r="I3878" t="n">
        <v>5.9</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29281-2026</t>
        </is>
      </c>
      <c r="B3879" t="inlineStr">
        <is>
          <t>avverkningsanmälan</t>
        </is>
      </c>
      <c r="C3879" t="inlineStr">
        <is>
          <t>Föryngringsavverkning</t>
        </is>
      </c>
      <c r="D3879" s="1" t="n">
        <v>46202</v>
      </c>
      <c r="E3879" s="1" t="n">
        <v>46319</v>
      </c>
      <c r="F3879" t="inlineStr">
        <is>
          <t>DALARNAS LÄN</t>
        </is>
      </c>
      <c r="G3879" t="inlineStr">
        <is>
          <t>MORA</t>
        </is>
      </c>
      <c r="I3879" t="n">
        <v>0.7</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29289-2026</t>
        </is>
      </c>
      <c r="B3880" t="inlineStr">
        <is>
          <t>avverkningsanmälan</t>
        </is>
      </c>
      <c r="C3880" t="inlineStr">
        <is>
          <t>Föryngringsavverkning</t>
        </is>
      </c>
      <c r="D3880" s="1" t="n">
        <v>46202</v>
      </c>
      <c r="E3880" s="1" t="n">
        <v>46319</v>
      </c>
      <c r="F3880" t="inlineStr">
        <is>
          <t>DALARNAS LÄN</t>
        </is>
      </c>
      <c r="G3880" t="inlineStr">
        <is>
          <t>SMEDJEBACKEN</t>
        </is>
      </c>
      <c r="H3880" t="inlineStr">
        <is>
          <t>Sveaskog</t>
        </is>
      </c>
      <c r="I3880" t="n">
        <v>0.9</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29439-2026</t>
        </is>
      </c>
      <c r="B3881" t="inlineStr">
        <is>
          <t>avverkningsanmälan</t>
        </is>
      </c>
      <c r="C3881" t="inlineStr">
        <is>
          <t>Föryngringsavverkning</t>
        </is>
      </c>
      <c r="D3881" s="1" t="n">
        <v>46203</v>
      </c>
      <c r="E3881" s="1" t="n">
        <v>46319</v>
      </c>
      <c r="F3881" t="inlineStr">
        <is>
          <t>DALARNAS LÄN</t>
        </is>
      </c>
      <c r="G3881" t="inlineStr">
        <is>
          <t>VANSBRO</t>
        </is>
      </c>
      <c r="H3881" t="inlineStr">
        <is>
          <t>Bergvik skog öst AB</t>
        </is>
      </c>
      <c r="I3881" t="n">
        <v>0.6</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57453-2025</t>
        </is>
      </c>
      <c r="B3882" t="inlineStr">
        <is>
          <t>avverkningsanmälan</t>
        </is>
      </c>
      <c r="C3882" t="inlineStr">
        <is>
          <t>Föryngringsavverkning</t>
        </is>
      </c>
      <c r="D3882" s="1" t="n">
        <v>45980</v>
      </c>
      <c r="E3882" s="1" t="n">
        <v>46319</v>
      </c>
      <c r="F3882" t="inlineStr">
        <is>
          <t>DALARNAS LÄN</t>
        </is>
      </c>
      <c r="G3882" t="inlineStr">
        <is>
          <t>MORA</t>
        </is>
      </c>
      <c r="H3882" t="inlineStr">
        <is>
          <t>Allmännings- och besparingsskogar</t>
        </is>
      </c>
      <c r="I3882" t="n">
        <v>2.9</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24693-2026</t>
        </is>
      </c>
      <c r="B3883" t="inlineStr">
        <is>
          <t>avverkningsanmälan</t>
        </is>
      </c>
      <c r="C3883" t="inlineStr">
        <is>
          <t>Föryngringsavverkning</t>
        </is>
      </c>
      <c r="D3883" s="1" t="n">
        <v>46171</v>
      </c>
      <c r="E3883" s="1" t="n">
        <v>46319</v>
      </c>
      <c r="F3883" t="inlineStr">
        <is>
          <t>DALARNAS LÄN</t>
        </is>
      </c>
      <c r="G3883" t="inlineStr">
        <is>
          <t>LUDVIKA</t>
        </is>
      </c>
      <c r="H3883" t="inlineStr">
        <is>
          <t>Naturvårdsverket</t>
        </is>
      </c>
      <c r="I3883" t="n">
        <v>10.4</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29218-2026</t>
        </is>
      </c>
      <c r="B3884" t="inlineStr">
        <is>
          <t>avverkningsanmälan</t>
        </is>
      </c>
      <c r="C3884" t="inlineStr">
        <is>
          <t>Föryngringsavverkning</t>
        </is>
      </c>
      <c r="D3884" s="1" t="n">
        <v>46202</v>
      </c>
      <c r="E3884" s="1" t="n">
        <v>46319</v>
      </c>
      <c r="F3884" t="inlineStr">
        <is>
          <t>DALARNAS LÄN</t>
        </is>
      </c>
      <c r="G3884" t="inlineStr">
        <is>
          <t>FALUN</t>
        </is>
      </c>
      <c r="I3884" t="n">
        <v>1.8</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57401-2025</t>
        </is>
      </c>
      <c r="B3885" t="inlineStr">
        <is>
          <t>avverkningsanmälan</t>
        </is>
      </c>
      <c r="C3885" t="inlineStr">
        <is>
          <t>Föryngringsavverkning</t>
        </is>
      </c>
      <c r="D3885" s="1" t="n">
        <v>45980</v>
      </c>
      <c r="E3885" s="1" t="n">
        <v>46319</v>
      </c>
      <c r="F3885" t="inlineStr">
        <is>
          <t>DALARNAS LÄN</t>
        </is>
      </c>
      <c r="G3885" t="inlineStr">
        <is>
          <t>MALUNG-SÄLEN</t>
        </is>
      </c>
      <c r="I3885" t="n">
        <v>0.5</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1723-2025</t>
        </is>
      </c>
      <c r="B3886" t="inlineStr">
        <is>
          <t>avverkningsanmälan</t>
        </is>
      </c>
      <c r="C3886" t="inlineStr">
        <is>
          <t>Föryngringsavverkning</t>
        </is>
      </c>
      <c r="D3886" s="1" t="n">
        <v>45671</v>
      </c>
      <c r="E3886" s="1" t="n">
        <v>46319</v>
      </c>
      <c r="F3886" t="inlineStr">
        <is>
          <t>DALARNAS LÄN</t>
        </is>
      </c>
      <c r="G3886" t="inlineStr">
        <is>
          <t>BORLÄNGE</t>
        </is>
      </c>
      <c r="I3886" t="n">
        <v>24.5</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34652-2024</t>
        </is>
      </c>
      <c r="B3887" t="inlineStr">
        <is>
          <t>avverkningsanmälan</t>
        </is>
      </c>
      <c r="C3887" t="inlineStr">
        <is>
          <t>Föryngringsavverkning</t>
        </is>
      </c>
      <c r="D3887" s="1" t="n">
        <v>45526</v>
      </c>
      <c r="E3887" s="1" t="n">
        <v>46319</v>
      </c>
      <c r="F3887" t="inlineStr">
        <is>
          <t>DALARNAS LÄN</t>
        </is>
      </c>
      <c r="G3887" t="inlineStr">
        <is>
          <t>SÄTER</t>
        </is>
      </c>
      <c r="I3887" t="n">
        <v>1</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57059-2025</t>
        </is>
      </c>
      <c r="B3888" t="inlineStr">
        <is>
          <t>avverkningsanmälan</t>
        </is>
      </c>
      <c r="C3888" t="inlineStr">
        <is>
          <t>Föryngringsavverkning</t>
        </is>
      </c>
      <c r="D3888" s="1" t="n">
        <v>45979</v>
      </c>
      <c r="E3888" s="1" t="n">
        <v>46319</v>
      </c>
      <c r="F3888" t="inlineStr">
        <is>
          <t>DALARNAS LÄN</t>
        </is>
      </c>
      <c r="G3888" t="inlineStr">
        <is>
          <t>FALUN</t>
        </is>
      </c>
      <c r="H3888" t="inlineStr">
        <is>
          <t>Bergvik skog väst AB</t>
        </is>
      </c>
      <c r="I3888" t="n">
        <v>1.2</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1046-2025</t>
        </is>
      </c>
      <c r="B3889" t="inlineStr">
        <is>
          <t>avverkningsanmälan</t>
        </is>
      </c>
      <c r="C3889" t="inlineStr">
        <is>
          <t>Föryngringsavverkning</t>
        </is>
      </c>
      <c r="D3889" s="1" t="n">
        <v>45666</v>
      </c>
      <c r="E3889" s="1" t="n">
        <v>46319</v>
      </c>
      <c r="F3889" t="inlineStr">
        <is>
          <t>DALARNAS LÄN</t>
        </is>
      </c>
      <c r="G3889" t="inlineStr">
        <is>
          <t>RÄTTVIK</t>
        </is>
      </c>
      <c r="I3889" t="n">
        <v>4.2</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1050-2025</t>
        </is>
      </c>
      <c r="B3890" t="inlineStr">
        <is>
          <t>avverkningsanmälan</t>
        </is>
      </c>
      <c r="C3890" t="inlineStr">
        <is>
          <t>Föryngringsavverkning</t>
        </is>
      </c>
      <c r="D3890" s="1" t="n">
        <v>45666</v>
      </c>
      <c r="E3890" s="1" t="n">
        <v>46319</v>
      </c>
      <c r="F3890" t="inlineStr">
        <is>
          <t>DALARNAS LÄN</t>
        </is>
      </c>
      <c r="G3890" t="inlineStr">
        <is>
          <t>VANSBRO</t>
        </is>
      </c>
      <c r="H3890" t="inlineStr">
        <is>
          <t>Övriga statliga verk och myndigheter</t>
        </is>
      </c>
      <c r="I3890" t="n">
        <v>4.4</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57305-2025</t>
        </is>
      </c>
      <c r="B3891" t="inlineStr">
        <is>
          <t>avverkningsanmälan</t>
        </is>
      </c>
      <c r="C3891" t="inlineStr">
        <is>
          <t>Föryngringsavverkning</t>
        </is>
      </c>
      <c r="D3891" s="1" t="n">
        <v>45979</v>
      </c>
      <c r="E3891" s="1" t="n">
        <v>46319</v>
      </c>
      <c r="F3891" t="inlineStr">
        <is>
          <t>DALARNAS LÄN</t>
        </is>
      </c>
      <c r="G3891" t="inlineStr">
        <is>
          <t>FALUN</t>
        </is>
      </c>
      <c r="I3891" t="n">
        <v>2.1</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45665-2024</t>
        </is>
      </c>
      <c r="B3892" t="inlineStr">
        <is>
          <t>avverkningsanmälan</t>
        </is>
      </c>
      <c r="C3892" t="inlineStr">
        <is>
          <t>Avverkning för annat ändamål</t>
        </is>
      </c>
      <c r="D3892" s="1" t="n">
        <v>45579</v>
      </c>
      <c r="E3892" s="1" t="n">
        <v>46319</v>
      </c>
      <c r="F3892" t="inlineStr">
        <is>
          <t>DALARNAS LÄN</t>
        </is>
      </c>
      <c r="G3892" t="inlineStr">
        <is>
          <t>FALUN</t>
        </is>
      </c>
      <c r="I3892" t="n">
        <v>0.3</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43432-2024</t>
        </is>
      </c>
      <c r="B3893" t="inlineStr">
        <is>
          <t>avverkningsanmälan</t>
        </is>
      </c>
      <c r="C3893" t="inlineStr">
        <is>
          <t>Föryngringsavverkning</t>
        </is>
      </c>
      <c r="D3893" s="1" t="n">
        <v>45568</v>
      </c>
      <c r="E3893" s="1" t="n">
        <v>46319</v>
      </c>
      <c r="F3893" t="inlineStr">
        <is>
          <t>DALARNAS LÄN</t>
        </is>
      </c>
      <c r="G3893" t="inlineStr">
        <is>
          <t>MORA</t>
        </is>
      </c>
      <c r="I3893" t="n">
        <v>0.4</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6496-2024</t>
        </is>
      </c>
      <c r="B3894" t="inlineStr">
        <is>
          <t>avverkningsanmälan</t>
        </is>
      </c>
      <c r="C3894" t="inlineStr">
        <is>
          <t>Föryngringsavverkning</t>
        </is>
      </c>
      <c r="D3894" s="1" t="n">
        <v>45339</v>
      </c>
      <c r="E3894" s="1" t="n">
        <v>46319</v>
      </c>
      <c r="F3894" t="inlineStr">
        <is>
          <t>DALARNAS LÄN</t>
        </is>
      </c>
      <c r="G3894" t="inlineStr">
        <is>
          <t>MALUNG-SÄLEN</t>
        </is>
      </c>
      <c r="I3894" t="n">
        <v>2.6</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29174-2026</t>
        </is>
      </c>
      <c r="B3895" t="inlineStr">
        <is>
          <t>avverkningsanmälan</t>
        </is>
      </c>
      <c r="C3895" t="inlineStr">
        <is>
          <t>Avverkning för att bevara och utveckla /försöksver</t>
        </is>
      </c>
      <c r="D3895" s="1" t="n">
        <v>46202</v>
      </c>
      <c r="E3895" s="1" t="n">
        <v>46319</v>
      </c>
      <c r="F3895" t="inlineStr">
        <is>
          <t>DALARNAS LÄN</t>
        </is>
      </c>
      <c r="G3895" t="inlineStr">
        <is>
          <t>VANSBRO</t>
        </is>
      </c>
      <c r="H3895" t="inlineStr">
        <is>
          <t>Bergvik skog öst AB</t>
        </is>
      </c>
      <c r="I3895" t="n">
        <v>4.8</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57097-2025</t>
        </is>
      </c>
      <c r="B3896" t="inlineStr">
        <is>
          <t>avverkningsanmälan</t>
        </is>
      </c>
      <c r="C3896" t="inlineStr">
        <is>
          <t>Föryngringsavverkning</t>
        </is>
      </c>
      <c r="D3896" s="1" t="n">
        <v>45979</v>
      </c>
      <c r="E3896" s="1" t="n">
        <v>46319</v>
      </c>
      <c r="F3896" t="inlineStr">
        <is>
          <t>DALARNAS LÄN</t>
        </is>
      </c>
      <c r="G3896" t="inlineStr">
        <is>
          <t>MORA</t>
        </is>
      </c>
      <c r="I3896" t="n">
        <v>7.5</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37923-2022</t>
        </is>
      </c>
      <c r="B3897" t="inlineStr">
        <is>
          <t>avverkningsanmälan</t>
        </is>
      </c>
      <c r="C3897" t="inlineStr">
        <is>
          <t>Föryngringsavverkning</t>
        </is>
      </c>
      <c r="D3897" s="1" t="n">
        <v>44811</v>
      </c>
      <c r="E3897" s="1" t="n">
        <v>46319</v>
      </c>
      <c r="F3897" t="inlineStr">
        <is>
          <t>DALARNAS LÄN</t>
        </is>
      </c>
      <c r="G3897" t="inlineStr">
        <is>
          <t>SÄTER</t>
        </is>
      </c>
      <c r="I3897" t="n">
        <v>0.9</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17908-2022</t>
        </is>
      </c>
      <c r="B3898" t="inlineStr">
        <is>
          <t>avverkningsanmälan</t>
        </is>
      </c>
      <c r="C3898" t="inlineStr">
        <is>
          <t>Föryngringsavverkning</t>
        </is>
      </c>
      <c r="D3898" s="1" t="n">
        <v>44683</v>
      </c>
      <c r="E3898" s="1" t="n">
        <v>46319</v>
      </c>
      <c r="F3898" t="inlineStr">
        <is>
          <t>DALARNAS LÄN</t>
        </is>
      </c>
      <c r="G3898" t="inlineStr">
        <is>
          <t>SMEDJEBACKEN</t>
        </is>
      </c>
      <c r="I3898" t="n">
        <v>2</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57442-2025</t>
        </is>
      </c>
      <c r="B3899" t="inlineStr">
        <is>
          <t>avverkningsanmälan</t>
        </is>
      </c>
      <c r="C3899" t="inlineStr">
        <is>
          <t>Föryngringsavverkning</t>
        </is>
      </c>
      <c r="D3899" s="1" t="n">
        <v>45980</v>
      </c>
      <c r="E3899" s="1" t="n">
        <v>46319</v>
      </c>
      <c r="F3899" t="inlineStr">
        <is>
          <t>DALARNAS LÄN</t>
        </is>
      </c>
      <c r="G3899" t="inlineStr">
        <is>
          <t>MALUNG-SÄLEN</t>
        </is>
      </c>
      <c r="I3899" t="n">
        <v>4.4</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15100-2026</t>
        </is>
      </c>
      <c r="B3900" t="inlineStr">
        <is>
          <t>avverkningsanmälan</t>
        </is>
      </c>
      <c r="C3900" t="inlineStr">
        <is>
          <t>Föryngringsavverkning</t>
        </is>
      </c>
      <c r="D3900" s="1" t="n">
        <v>46105</v>
      </c>
      <c r="E3900" s="1" t="n">
        <v>46319</v>
      </c>
      <c r="F3900" t="inlineStr">
        <is>
          <t>DALARNAS LÄN</t>
        </is>
      </c>
      <c r="G3900" t="inlineStr">
        <is>
          <t>FALUN</t>
        </is>
      </c>
      <c r="I3900" t="n">
        <v>1</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29266-2026</t>
        </is>
      </c>
      <c r="B3901" t="inlineStr">
        <is>
          <t>avverkningsanmälan</t>
        </is>
      </c>
      <c r="C3901" t="inlineStr">
        <is>
          <t>Föryngringsavverkning</t>
        </is>
      </c>
      <c r="D3901" s="1" t="n">
        <v>46202</v>
      </c>
      <c r="E3901" s="1" t="n">
        <v>46319</v>
      </c>
      <c r="F3901" t="inlineStr">
        <is>
          <t>DALARNAS LÄN</t>
        </is>
      </c>
      <c r="G3901" t="inlineStr">
        <is>
          <t>MALUNG-SÄLEN</t>
        </is>
      </c>
      <c r="H3901" t="inlineStr">
        <is>
          <t>Bergvik skog väst AB</t>
        </is>
      </c>
      <c r="I3901" t="n">
        <v>14.8</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29276-2026</t>
        </is>
      </c>
      <c r="B3902" t="inlineStr">
        <is>
          <t>avverkningsanmälan</t>
        </is>
      </c>
      <c r="C3902" t="inlineStr">
        <is>
          <t>Föryngringsavverkning</t>
        </is>
      </c>
      <c r="D3902" s="1" t="n">
        <v>46202</v>
      </c>
      <c r="E3902" s="1" t="n">
        <v>46319</v>
      </c>
      <c r="F3902" t="inlineStr">
        <is>
          <t>DALARNAS LÄN</t>
        </is>
      </c>
      <c r="G3902" t="inlineStr">
        <is>
          <t>MORA</t>
        </is>
      </c>
      <c r="I3902" t="n">
        <v>0.7</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16391-2024</t>
        </is>
      </c>
      <c r="B3903" t="inlineStr">
        <is>
          <t>avverkningsanmälan</t>
        </is>
      </c>
      <c r="C3903" t="inlineStr">
        <is>
          <t>Avverkning för annat ändamål</t>
        </is>
      </c>
      <c r="D3903" s="1" t="n">
        <v>45407</v>
      </c>
      <c r="E3903" s="1" t="n">
        <v>46319</v>
      </c>
      <c r="F3903" t="inlineStr">
        <is>
          <t>DALARNAS LÄN</t>
        </is>
      </c>
      <c r="G3903" t="inlineStr">
        <is>
          <t>MALUNG-SÄLEN</t>
        </is>
      </c>
      <c r="I3903" t="n">
        <v>0.6</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64561-2023</t>
        </is>
      </c>
      <c r="B3904" t="inlineStr">
        <is>
          <t>avverkningsanmälan</t>
        </is>
      </c>
      <c r="C3904" t="inlineStr">
        <is>
          <t>Föryngringsavverkning</t>
        </is>
      </c>
      <c r="D3904" s="1" t="n">
        <v>45281</v>
      </c>
      <c r="E3904" s="1" t="n">
        <v>46319</v>
      </c>
      <c r="F3904" t="inlineStr">
        <is>
          <t>DALARNAS LÄN</t>
        </is>
      </c>
      <c r="G3904" t="inlineStr">
        <is>
          <t>AVESTA</t>
        </is>
      </c>
      <c r="I3904" t="n">
        <v>2.9</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64565-2023</t>
        </is>
      </c>
      <c r="B3905" t="inlineStr">
        <is>
          <t>avverkningsanmälan</t>
        </is>
      </c>
      <c r="C3905" t="inlineStr">
        <is>
          <t>Föryngringsavverkning</t>
        </is>
      </c>
      <c r="D3905" s="1" t="n">
        <v>45281</v>
      </c>
      <c r="E3905" s="1" t="n">
        <v>46319</v>
      </c>
      <c r="F3905" t="inlineStr">
        <is>
          <t>DALARNAS LÄN</t>
        </is>
      </c>
      <c r="G3905" t="inlineStr">
        <is>
          <t>SÄTER</t>
        </is>
      </c>
      <c r="I3905" t="n">
        <v>1.2</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5518-2024</t>
        </is>
      </c>
      <c r="B3906" t="inlineStr">
        <is>
          <t>avverkningsanmälan</t>
        </is>
      </c>
      <c r="C3906" t="inlineStr">
        <is>
          <t>Föryngringsavverkning</t>
        </is>
      </c>
      <c r="D3906" s="1" t="n">
        <v>45334</v>
      </c>
      <c r="E3906" s="1" t="n">
        <v>46319</v>
      </c>
      <c r="F3906" t="inlineStr">
        <is>
          <t>DALARNAS LÄN</t>
        </is>
      </c>
      <c r="G3906" t="inlineStr">
        <is>
          <t>RÄTTVIK</t>
        </is>
      </c>
      <c r="I3906" t="n">
        <v>0.8</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65967-2021</t>
        </is>
      </c>
      <c r="B3907" t="inlineStr">
        <is>
          <t>avverkningsanmälan</t>
        </is>
      </c>
      <c r="C3907" t="inlineStr">
        <is>
          <t>Föryngringsavverkning</t>
        </is>
      </c>
      <c r="D3907" s="1" t="n">
        <v>44517</v>
      </c>
      <c r="E3907" s="1" t="n">
        <v>46319</v>
      </c>
      <c r="F3907" t="inlineStr">
        <is>
          <t>DALARNAS LÄN</t>
        </is>
      </c>
      <c r="G3907" t="inlineStr">
        <is>
          <t>RÄTTVIK</t>
        </is>
      </c>
      <c r="I3907" t="n">
        <v>4.7</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60847-2021</t>
        </is>
      </c>
      <c r="B3908" t="inlineStr">
        <is>
          <t>avverkningsanmälan</t>
        </is>
      </c>
      <c r="C3908" t="inlineStr">
        <is>
          <t>Föryngringsavverkning</t>
        </is>
      </c>
      <c r="D3908" s="1" t="n">
        <v>44497</v>
      </c>
      <c r="E3908" s="1" t="n">
        <v>46319</v>
      </c>
      <c r="F3908" t="inlineStr">
        <is>
          <t>DALARNAS LÄN</t>
        </is>
      </c>
      <c r="G3908" t="inlineStr">
        <is>
          <t>MORA</t>
        </is>
      </c>
      <c r="I3908" t="n">
        <v>1</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3690-2024</t>
        </is>
      </c>
      <c r="B3909" t="inlineStr">
        <is>
          <t>avverkningsanmälan</t>
        </is>
      </c>
      <c r="C3909" t="inlineStr">
        <is>
          <t>Föryngringsavverkning</t>
        </is>
      </c>
      <c r="D3909" s="1" t="n">
        <v>45321</v>
      </c>
      <c r="E3909" s="1" t="n">
        <v>46319</v>
      </c>
      <c r="F3909" t="inlineStr">
        <is>
          <t>DALARNAS LÄN</t>
        </is>
      </c>
      <c r="G3909" t="inlineStr">
        <is>
          <t>AVESTA</t>
        </is>
      </c>
      <c r="I3909" t="n">
        <v>4.9</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29538-2026</t>
        </is>
      </c>
      <c r="B3910" t="inlineStr">
        <is>
          <t>avverkningsanmälan</t>
        </is>
      </c>
      <c r="C3910" t="inlineStr">
        <is>
          <t>Föryngringsavverkning</t>
        </is>
      </c>
      <c r="D3910" s="1" t="n">
        <v>46203</v>
      </c>
      <c r="E3910" s="1" t="n">
        <v>46319</v>
      </c>
      <c r="F3910" t="inlineStr">
        <is>
          <t>DALARNAS LÄN</t>
        </is>
      </c>
      <c r="G3910" t="inlineStr">
        <is>
          <t>RÄTTVIK</t>
        </is>
      </c>
      <c r="I3910" t="n">
        <v>1.7</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55847-2022</t>
        </is>
      </c>
      <c r="B3911" t="inlineStr">
        <is>
          <t>avverkningsanmälan</t>
        </is>
      </c>
      <c r="C3911" t="inlineStr">
        <is>
          <t>Föryngringsavverkning</t>
        </is>
      </c>
      <c r="D3911" s="1" t="n">
        <v>44888</v>
      </c>
      <c r="E3911" s="1" t="n">
        <v>46319</v>
      </c>
      <c r="F3911" t="inlineStr">
        <is>
          <t>DALARNAS LÄN</t>
        </is>
      </c>
      <c r="G3911" t="inlineStr">
        <is>
          <t>MALUNG-SÄLEN</t>
        </is>
      </c>
      <c r="I3911" t="n">
        <v>8.300000000000001</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6492-2025</t>
        </is>
      </c>
      <c r="B3912" t="inlineStr">
        <is>
          <t>avverkningsanmälan</t>
        </is>
      </c>
      <c r="C3912" t="inlineStr">
        <is>
          <t>Föryngringsavverkning</t>
        </is>
      </c>
      <c r="D3912" s="1" t="n">
        <v>45699</v>
      </c>
      <c r="E3912" s="1" t="n">
        <v>46319</v>
      </c>
      <c r="F3912" t="inlineStr">
        <is>
          <t>DALARNAS LÄN</t>
        </is>
      </c>
      <c r="G3912" t="inlineStr">
        <is>
          <t>ORSA</t>
        </is>
      </c>
      <c r="I3912" t="n">
        <v>0.8</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57500-2025</t>
        </is>
      </c>
      <c r="B3913" t="inlineStr">
        <is>
          <t>avverkningsanmälan</t>
        </is>
      </c>
      <c r="C3913" t="inlineStr">
        <is>
          <t>Föryngringsavverkning</t>
        </is>
      </c>
      <c r="D3913" s="1" t="n">
        <v>45980</v>
      </c>
      <c r="E3913" s="1" t="n">
        <v>46319</v>
      </c>
      <c r="F3913" t="inlineStr">
        <is>
          <t>DALARNAS LÄN</t>
        </is>
      </c>
      <c r="G3913" t="inlineStr">
        <is>
          <t>FALUN</t>
        </is>
      </c>
      <c r="I3913" t="n">
        <v>2</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57408-2025</t>
        </is>
      </c>
      <c r="B3914" t="inlineStr">
        <is>
          <t>avverkningsanmälan</t>
        </is>
      </c>
      <c r="C3914" t="inlineStr">
        <is>
          <t>Föryngringsavverkning</t>
        </is>
      </c>
      <c r="D3914" s="1" t="n">
        <v>45980</v>
      </c>
      <c r="E3914" s="1" t="n">
        <v>46319</v>
      </c>
      <c r="F3914" t="inlineStr">
        <is>
          <t>DALARNAS LÄN</t>
        </is>
      </c>
      <c r="G3914" t="inlineStr">
        <is>
          <t>SMEDJEBACKEN</t>
        </is>
      </c>
      <c r="H3914" t="inlineStr">
        <is>
          <t>Sveaskog</t>
        </is>
      </c>
      <c r="I3914" t="n">
        <v>1</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57409-2025</t>
        </is>
      </c>
      <c r="B3915" t="inlineStr">
        <is>
          <t>avverkningsanmälan</t>
        </is>
      </c>
      <c r="C3915" t="inlineStr">
        <is>
          <t>Föryngringsavverkning</t>
        </is>
      </c>
      <c r="D3915" s="1" t="n">
        <v>45980</v>
      </c>
      <c r="E3915" s="1" t="n">
        <v>46319</v>
      </c>
      <c r="F3915" t="inlineStr">
        <is>
          <t>DALARNAS LÄN</t>
        </is>
      </c>
      <c r="G3915" t="inlineStr">
        <is>
          <t>SMEDJEBACKEN</t>
        </is>
      </c>
      <c r="H3915" t="inlineStr">
        <is>
          <t>Sveaskog</t>
        </is>
      </c>
      <c r="I3915" t="n">
        <v>3.2</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7493-2023</t>
        </is>
      </c>
      <c r="B3916" t="inlineStr">
        <is>
          <t>avverkningsanmälan</t>
        </is>
      </c>
      <c r="C3916" t="inlineStr">
        <is>
          <t>Föryngringsavverkning</t>
        </is>
      </c>
      <c r="D3916" s="1" t="n">
        <v>44971</v>
      </c>
      <c r="E3916" s="1" t="n">
        <v>46319</v>
      </c>
      <c r="F3916" t="inlineStr">
        <is>
          <t>DALARNAS LÄN</t>
        </is>
      </c>
      <c r="G3916" t="inlineStr">
        <is>
          <t>AVESTA</t>
        </is>
      </c>
      <c r="I3916" t="n">
        <v>1.2</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29198-2026</t>
        </is>
      </c>
      <c r="B3917" t="inlineStr">
        <is>
          <t>avverkningsanmälan</t>
        </is>
      </c>
      <c r="C3917" t="inlineStr">
        <is>
          <t>Föryngringsavverkning</t>
        </is>
      </c>
      <c r="D3917" s="1" t="n">
        <v>46202</v>
      </c>
      <c r="E3917" s="1" t="n">
        <v>46319</v>
      </c>
      <c r="F3917" t="inlineStr">
        <is>
          <t>DALARNAS LÄN</t>
        </is>
      </c>
      <c r="G3917" t="inlineStr">
        <is>
          <t>LEKSAND</t>
        </is>
      </c>
      <c r="I3917" t="n">
        <v>3.2</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8823-2023</t>
        </is>
      </c>
      <c r="B3918" t="inlineStr">
        <is>
          <t>avverkningsanmälan</t>
        </is>
      </c>
      <c r="C3918" t="inlineStr">
        <is>
          <t>Föryngringsavverkning</t>
        </is>
      </c>
      <c r="D3918" s="1" t="n">
        <v>44978</v>
      </c>
      <c r="E3918" s="1" t="n">
        <v>46319</v>
      </c>
      <c r="F3918" t="inlineStr">
        <is>
          <t>DALARNAS LÄN</t>
        </is>
      </c>
      <c r="G3918" t="inlineStr">
        <is>
          <t>FALUN</t>
        </is>
      </c>
      <c r="I3918" t="n">
        <v>0.5</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57383-2025</t>
        </is>
      </c>
      <c r="B3919" t="inlineStr">
        <is>
          <t>avverkningsanmälan</t>
        </is>
      </c>
      <c r="C3919" t="inlineStr">
        <is>
          <t>Föryngringsavverkning</t>
        </is>
      </c>
      <c r="D3919" s="1" t="n">
        <v>45980</v>
      </c>
      <c r="E3919" s="1" t="n">
        <v>46319</v>
      </c>
      <c r="F3919" t="inlineStr">
        <is>
          <t>DALARNAS LÄN</t>
        </is>
      </c>
      <c r="G3919" t="inlineStr">
        <is>
          <t>ORSA</t>
        </is>
      </c>
      <c r="H3919" t="inlineStr">
        <is>
          <t>Kyrkan</t>
        </is>
      </c>
      <c r="I3919" t="n">
        <v>3.5</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22611-2026</t>
        </is>
      </c>
      <c r="B3920" t="inlineStr">
        <is>
          <t>avverkningsanmälan</t>
        </is>
      </c>
      <c r="C3920" t="inlineStr">
        <is>
          <t>Föryngringsavverkning</t>
        </is>
      </c>
      <c r="D3920" s="1" t="n">
        <v>46155</v>
      </c>
      <c r="E3920" s="1" t="n">
        <v>46319</v>
      </c>
      <c r="F3920" t="inlineStr">
        <is>
          <t>DALARNAS LÄN</t>
        </is>
      </c>
      <c r="G3920" t="inlineStr">
        <is>
          <t>LUDVIKA</t>
        </is>
      </c>
      <c r="H3920" t="inlineStr">
        <is>
          <t>Bergvik skog väst AB</t>
        </is>
      </c>
      <c r="I3920" t="n">
        <v>10.1</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57131-2025</t>
        </is>
      </c>
      <c r="B3921" t="inlineStr">
        <is>
          <t>avverkningsanmälan</t>
        </is>
      </c>
      <c r="C3921" t="inlineStr">
        <is>
          <t>Föryngringsavverkning</t>
        </is>
      </c>
      <c r="D3921" s="1" t="n">
        <v>45979</v>
      </c>
      <c r="E3921" s="1" t="n">
        <v>46319</v>
      </c>
      <c r="F3921" t="inlineStr">
        <is>
          <t>DALARNAS LÄN</t>
        </is>
      </c>
      <c r="G3921" t="inlineStr">
        <is>
          <t>MALUNG-SÄLEN</t>
        </is>
      </c>
      <c r="H3921" t="inlineStr">
        <is>
          <t>Bergvik skog väst AB</t>
        </is>
      </c>
      <c r="I3921" t="n">
        <v>4.7</v>
      </c>
      <c r="J3921" t="n">
        <v>0</v>
      </c>
      <c r="K3921" t="n">
        <v>0</v>
      </c>
      <c r="L3921" t="n">
        <v>0</v>
      </c>
      <c r="M3921" t="n">
        <v>0</v>
      </c>
      <c r="N3921" t="n">
        <v>0</v>
      </c>
      <c r="O3921" t="n">
        <v>0</v>
      </c>
      <c r="P3921" t="n">
        <v>0</v>
      </c>
      <c r="Q3921" t="n">
        <v>0</v>
      </c>
      <c r="R3921" t="n">
        <v>0</v>
      </c>
      <c r="S3921" t="n">
        <v>0</v>
      </c>
      <c r="T3921" t="n">
        <v>0</v>
      </c>
      <c r="U3921" t="n">
        <v>0</v>
      </c>
      <c r="V3921" s="2" t="inlineStr"/>
    </row>
    <row r="3922" ht="15" customHeight="1">
      <c r="A3922" t="inlineStr">
        <is>
          <t>A 29210-2026</t>
        </is>
      </c>
      <c r="B3922" t="inlineStr">
        <is>
          <t>avverkningsanmälan</t>
        </is>
      </c>
      <c r="C3922" t="inlineStr">
        <is>
          <t>Föryngringsavverkning</t>
        </is>
      </c>
      <c r="D3922" s="1" t="n">
        <v>46202</v>
      </c>
      <c r="E3922" s="1" t="n">
        <v>46319</v>
      </c>
      <c r="F3922" t="inlineStr">
        <is>
          <t>DALARNAS LÄN</t>
        </is>
      </c>
      <c r="G3922" t="inlineStr">
        <is>
          <t>FALUN</t>
        </is>
      </c>
      <c r="H3922" t="inlineStr">
        <is>
          <t>Bergvik skog väst AB</t>
        </is>
      </c>
      <c r="I3922" t="n">
        <v>1.4</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29217-2026</t>
        </is>
      </c>
      <c r="B3923" t="inlineStr">
        <is>
          <t>avverkningsanmälan</t>
        </is>
      </c>
      <c r="C3923" t="inlineStr">
        <is>
          <t>Föryngringsavverkning</t>
        </is>
      </c>
      <c r="D3923" s="1" t="n">
        <v>46202</v>
      </c>
      <c r="E3923" s="1" t="n">
        <v>46319</v>
      </c>
      <c r="F3923" t="inlineStr">
        <is>
          <t>DALARNAS LÄN</t>
        </is>
      </c>
      <c r="G3923" t="inlineStr">
        <is>
          <t>FALUN</t>
        </is>
      </c>
      <c r="H3923" t="inlineStr">
        <is>
          <t>Bergvik skog väst AB</t>
        </is>
      </c>
      <c r="I3923" t="n">
        <v>0.9</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45544-2024</t>
        </is>
      </c>
      <c r="B3924" t="inlineStr">
        <is>
          <t>avverkningsanmälan</t>
        </is>
      </c>
      <c r="C3924" t="inlineStr">
        <is>
          <t>Föryngringsavverkning</t>
        </is>
      </c>
      <c r="D3924" s="1" t="n">
        <v>45579</v>
      </c>
      <c r="E3924" s="1" t="n">
        <v>46319</v>
      </c>
      <c r="F3924" t="inlineStr">
        <is>
          <t>DALARNAS LÄN</t>
        </is>
      </c>
      <c r="G3924" t="inlineStr">
        <is>
          <t>LUDVIKA</t>
        </is>
      </c>
      <c r="I3924" t="n">
        <v>1.5</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45547-2024</t>
        </is>
      </c>
      <c r="B3925" t="inlineStr">
        <is>
          <t>avverkningsanmälan</t>
        </is>
      </c>
      <c r="C3925" t="inlineStr">
        <is>
          <t>Föryngringsavverkning</t>
        </is>
      </c>
      <c r="D3925" s="1" t="n">
        <v>45579</v>
      </c>
      <c r="E3925" s="1" t="n">
        <v>46319</v>
      </c>
      <c r="F3925" t="inlineStr">
        <is>
          <t>DALARNAS LÄN</t>
        </is>
      </c>
      <c r="G3925" t="inlineStr">
        <is>
          <t>LUDVIKA</t>
        </is>
      </c>
      <c r="I3925" t="n">
        <v>2.5</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57510-2025</t>
        </is>
      </c>
      <c r="B3926" t="inlineStr">
        <is>
          <t>avverkningsanmälan</t>
        </is>
      </c>
      <c r="C3926" t="inlineStr">
        <is>
          <t>Föryngringsavverkning</t>
        </is>
      </c>
      <c r="D3926" s="1" t="n">
        <v>45980</v>
      </c>
      <c r="E3926" s="1" t="n">
        <v>46319</v>
      </c>
      <c r="F3926" t="inlineStr">
        <is>
          <t>DALARNAS LÄN</t>
        </is>
      </c>
      <c r="G3926" t="inlineStr">
        <is>
          <t>ÄLVDALEN</t>
        </is>
      </c>
      <c r="I3926" t="n">
        <v>2.1</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32768-2023</t>
        </is>
      </c>
      <c r="B3927" t="inlineStr">
        <is>
          <t>avverkningsanmälan</t>
        </is>
      </c>
      <c r="C3927" t="inlineStr">
        <is>
          <t>Föryngringsavverkning</t>
        </is>
      </c>
      <c r="D3927" s="1" t="n">
        <v>45123</v>
      </c>
      <c r="E3927" s="1" t="n">
        <v>46319</v>
      </c>
      <c r="F3927" t="inlineStr">
        <is>
          <t>DALARNAS LÄN</t>
        </is>
      </c>
      <c r="G3927" t="inlineStr">
        <is>
          <t>AVESTA</t>
        </is>
      </c>
      <c r="I3927" t="n">
        <v>3.3</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32771-2023</t>
        </is>
      </c>
      <c r="B3928" t="inlineStr">
        <is>
          <t>avverkningsanmälan</t>
        </is>
      </c>
      <c r="C3928" t="inlineStr">
        <is>
          <t>Avverkning för att bevara och utveckla /försöksver</t>
        </is>
      </c>
      <c r="D3928" s="1" t="n">
        <v>45123</v>
      </c>
      <c r="E3928" s="1" t="n">
        <v>46319</v>
      </c>
      <c r="F3928" t="inlineStr">
        <is>
          <t>DALARNAS LÄN</t>
        </is>
      </c>
      <c r="G3928" t="inlineStr">
        <is>
          <t>AVESTA</t>
        </is>
      </c>
      <c r="I3928" t="n">
        <v>4.3</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57976-2025</t>
        </is>
      </c>
      <c r="B3929" t="inlineStr">
        <is>
          <t>avverkningsanmälan</t>
        </is>
      </c>
      <c r="C3929" t="inlineStr">
        <is>
          <t>Föryngringsavverkning</t>
        </is>
      </c>
      <c r="D3929" s="1" t="n">
        <v>45982</v>
      </c>
      <c r="E3929" s="1" t="n">
        <v>46319</v>
      </c>
      <c r="F3929" t="inlineStr">
        <is>
          <t>DALARNAS LÄN</t>
        </is>
      </c>
      <c r="G3929" t="inlineStr">
        <is>
          <t>MORA</t>
        </is>
      </c>
      <c r="I3929" t="n">
        <v>7.4</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29466-2026</t>
        </is>
      </c>
      <c r="B3930" t="inlineStr">
        <is>
          <t>avverkningsanmälan</t>
        </is>
      </c>
      <c r="C3930" t="inlineStr">
        <is>
          <t>Föryngringsavverkning</t>
        </is>
      </c>
      <c r="D3930" s="1" t="n">
        <v>46203</v>
      </c>
      <c r="E3930" s="1" t="n">
        <v>46319</v>
      </c>
      <c r="F3930" t="inlineStr">
        <is>
          <t>DALARNAS LÄN</t>
        </is>
      </c>
      <c r="G3930" t="inlineStr">
        <is>
          <t>ORSA</t>
        </is>
      </c>
      <c r="H3930" t="inlineStr">
        <is>
          <t>Bergvik skog öst AB</t>
        </is>
      </c>
      <c r="I3930" t="n">
        <v>4.9</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1945-2023</t>
        </is>
      </c>
      <c r="B3931" t="inlineStr">
        <is>
          <t>avverkningsanmälan</t>
        </is>
      </c>
      <c r="C3931" t="inlineStr">
        <is>
          <t>Föryngringsavverkning</t>
        </is>
      </c>
      <c r="D3931" s="1" t="n">
        <v>44939</v>
      </c>
      <c r="E3931" s="1" t="n">
        <v>46319</v>
      </c>
      <c r="F3931" t="inlineStr">
        <is>
          <t>DALARNAS LÄN</t>
        </is>
      </c>
      <c r="G3931" t="inlineStr">
        <is>
          <t>RÄTTVIK</t>
        </is>
      </c>
      <c r="I3931" t="n">
        <v>1.4</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61507-2024</t>
        </is>
      </c>
      <c r="B3932" t="inlineStr">
        <is>
          <t>avverkningsanmälan</t>
        </is>
      </c>
      <c r="C3932" t="inlineStr">
        <is>
          <t>Föryngringsavverkning</t>
        </is>
      </c>
      <c r="D3932" s="1" t="n">
        <v>45646</v>
      </c>
      <c r="E3932" s="1" t="n">
        <v>46319</v>
      </c>
      <c r="F3932" t="inlineStr">
        <is>
          <t>DALARNAS LÄN</t>
        </is>
      </c>
      <c r="G3932" t="inlineStr">
        <is>
          <t>AVESTA</t>
        </is>
      </c>
      <c r="I3932" t="n">
        <v>1.3</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36614-2023</t>
        </is>
      </c>
      <c r="B3933" t="inlineStr">
        <is>
          <t>avverkningsanmälan</t>
        </is>
      </c>
      <c r="C3933" t="inlineStr">
        <is>
          <t>Föryngringsavverkning</t>
        </is>
      </c>
      <c r="D3933" s="1" t="n">
        <v>45153</v>
      </c>
      <c r="E3933" s="1" t="n">
        <v>46319</v>
      </c>
      <c r="F3933" t="inlineStr">
        <is>
          <t>DALARNAS LÄN</t>
        </is>
      </c>
      <c r="G3933" t="inlineStr">
        <is>
          <t>SMEDJEBACKEN</t>
        </is>
      </c>
      <c r="I3933" t="n">
        <v>8</v>
      </c>
      <c r="J3933" t="n">
        <v>0</v>
      </c>
      <c r="K3933" t="n">
        <v>0</v>
      </c>
      <c r="L3933" t="n">
        <v>0</v>
      </c>
      <c r="M3933" t="n">
        <v>0</v>
      </c>
      <c r="N3933" t="n">
        <v>0</v>
      </c>
      <c r="O3933" t="n">
        <v>0</v>
      </c>
      <c r="P3933" t="n">
        <v>0</v>
      </c>
      <c r="Q3933" t="n">
        <v>0</v>
      </c>
      <c r="R3933" t="n">
        <v>0</v>
      </c>
      <c r="S3933" t="n">
        <v>0</v>
      </c>
      <c r="T3933" t="n">
        <v>0</v>
      </c>
      <c r="U3933" t="n">
        <v>0</v>
      </c>
      <c r="V3933" s="2" t="inlineStr"/>
      <c r="Z3933">
        <f>HYPERLINK("https://klasma.github.io/Logging_2061/knärot/A 36614-2023 karta knärot.png", "A 36614-2023")</f>
        <v/>
      </c>
      <c r="AA3933">
        <f>HYPERLINK("https://klasma.github.io/Logging_2061/klagomål/A 36614-2023 FSC-klagomål.docx", "A 36614-2023")</f>
        <v/>
      </c>
      <c r="AB3933">
        <f>HYPERLINK("https://klasma.github.io/Logging_2061/klagomålsmail/A 36614-2023 FSC-klagomål mail.docx", "A 36614-2023")</f>
        <v/>
      </c>
      <c r="AC3933">
        <f>HYPERLINK("https://klasma.github.io/Logging_2061/tillsyn/A 36614-2023 tillsynsbegäran.docx", "A 36614-2023")</f>
        <v/>
      </c>
      <c r="AD3933">
        <f>HYPERLINK("https://klasma.github.io/Logging_2061/tillsynsmail/A 36614-2023 tillsynsbegäran mail.docx", "A 36614-2023")</f>
        <v/>
      </c>
    </row>
    <row r="3934" ht="15" customHeight="1">
      <c r="A3934" t="inlineStr">
        <is>
          <t>A 23645-2024</t>
        </is>
      </c>
      <c r="B3934" t="inlineStr">
        <is>
          <t>avverkningsanmälan</t>
        </is>
      </c>
      <c r="C3934" t="inlineStr">
        <is>
          <t>Föryngringsavverkning</t>
        </is>
      </c>
      <c r="D3934" s="1" t="n">
        <v>45454</v>
      </c>
      <c r="E3934" s="1" t="n">
        <v>46319</v>
      </c>
      <c r="F3934" t="inlineStr">
        <is>
          <t>DALARNAS LÄN</t>
        </is>
      </c>
      <c r="G3934" t="inlineStr">
        <is>
          <t>SMEDJEBACKEN</t>
        </is>
      </c>
      <c r="H3934" t="inlineStr">
        <is>
          <t>Bergvik skog väst AB</t>
        </is>
      </c>
      <c r="I3934" t="n">
        <v>8.6</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32841-2024</t>
        </is>
      </c>
      <c r="B3935" t="inlineStr">
        <is>
          <t>avverkningsanmälan</t>
        </is>
      </c>
      <c r="C3935" t="inlineStr">
        <is>
          <t>Föryngringsavverkning</t>
        </is>
      </c>
      <c r="D3935" s="1" t="n">
        <v>45516</v>
      </c>
      <c r="E3935" s="1" t="n">
        <v>46319</v>
      </c>
      <c r="F3935" t="inlineStr">
        <is>
          <t>DALARNAS LÄN</t>
        </is>
      </c>
      <c r="G3935" t="inlineStr">
        <is>
          <t>RÄTTVIK</t>
        </is>
      </c>
      <c r="I3935" t="n">
        <v>0.9</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13580-2025</t>
        </is>
      </c>
      <c r="B3936" t="inlineStr">
        <is>
          <t>avverkningsanmälan</t>
        </is>
      </c>
      <c r="C3936" t="inlineStr">
        <is>
          <t>Föryngringsavverkning</t>
        </is>
      </c>
      <c r="D3936" s="1" t="n">
        <v>45736</v>
      </c>
      <c r="E3936" s="1" t="n">
        <v>46319</v>
      </c>
      <c r="F3936" t="inlineStr">
        <is>
          <t>DALARNAS LÄN</t>
        </is>
      </c>
      <c r="G3936" t="inlineStr">
        <is>
          <t>ORSA</t>
        </is>
      </c>
      <c r="H3936" t="inlineStr">
        <is>
          <t>Bergvik skog öst AB</t>
        </is>
      </c>
      <c r="I3936" t="n">
        <v>0.8</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57820-2025</t>
        </is>
      </c>
      <c r="B3937" t="inlineStr">
        <is>
          <t>avverkningsanmälan</t>
        </is>
      </c>
      <c r="C3937" t="inlineStr">
        <is>
          <t>Föryngringsavverkning</t>
        </is>
      </c>
      <c r="D3937" s="1" t="n">
        <v>45981</v>
      </c>
      <c r="E3937" s="1" t="n">
        <v>46319</v>
      </c>
      <c r="F3937" t="inlineStr">
        <is>
          <t>DALARNAS LÄN</t>
        </is>
      </c>
      <c r="G3937" t="inlineStr">
        <is>
          <t>RÄTTVIK</t>
        </is>
      </c>
      <c r="I3937" t="n">
        <v>0.5</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51151-2023</t>
        </is>
      </c>
      <c r="B3938" t="inlineStr">
        <is>
          <t>avverkningsanmälan</t>
        </is>
      </c>
      <c r="C3938" t="inlineStr">
        <is>
          <t>Avverkning för att bevara och utveckla /försöksver</t>
        </is>
      </c>
      <c r="D3938" s="1" t="n">
        <v>45219</v>
      </c>
      <c r="E3938" s="1" t="n">
        <v>46319</v>
      </c>
      <c r="F3938" t="inlineStr">
        <is>
          <t>DALARNAS LÄN</t>
        </is>
      </c>
      <c r="G3938" t="inlineStr">
        <is>
          <t>GAGNEF</t>
        </is>
      </c>
      <c r="I3938" t="n">
        <v>3.1</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29460-2026</t>
        </is>
      </c>
      <c r="B3939" t="inlineStr">
        <is>
          <t>avverkningsanmälan</t>
        </is>
      </c>
      <c r="C3939" t="inlineStr">
        <is>
          <t>Föryngringsavverkning</t>
        </is>
      </c>
      <c r="D3939" s="1" t="n">
        <v>46203</v>
      </c>
      <c r="E3939" s="1" t="n">
        <v>46319</v>
      </c>
      <c r="F3939" t="inlineStr">
        <is>
          <t>DALARNAS LÄN</t>
        </is>
      </c>
      <c r="G3939" t="inlineStr">
        <is>
          <t>SMEDJEBACKEN</t>
        </is>
      </c>
      <c r="H3939" t="inlineStr">
        <is>
          <t>Sveaskog</t>
        </is>
      </c>
      <c r="I3939" t="n">
        <v>3.1</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29535-2026</t>
        </is>
      </c>
      <c r="B3940" t="inlineStr">
        <is>
          <t>avverkningsanmälan</t>
        </is>
      </c>
      <c r="C3940" t="inlineStr">
        <is>
          <t>Föryngringsavverkning</t>
        </is>
      </c>
      <c r="D3940" s="1" t="n">
        <v>46203</v>
      </c>
      <c r="E3940" s="1" t="n">
        <v>46319</v>
      </c>
      <c r="F3940" t="inlineStr">
        <is>
          <t>DALARNAS LÄN</t>
        </is>
      </c>
      <c r="G3940" t="inlineStr">
        <is>
          <t>RÄTTVIK</t>
        </is>
      </c>
      <c r="I3940" t="n">
        <v>4.2</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58114-2025</t>
        </is>
      </c>
      <c r="B3941" t="inlineStr">
        <is>
          <t>avverkningsanmälan</t>
        </is>
      </c>
      <c r="C3941" t="inlineStr">
        <is>
          <t>Föryngringsavverkning</t>
        </is>
      </c>
      <c r="D3941" s="1" t="n">
        <v>45982</v>
      </c>
      <c r="E3941" s="1" t="n">
        <v>46319</v>
      </c>
      <c r="F3941" t="inlineStr">
        <is>
          <t>DALARNAS LÄN</t>
        </is>
      </c>
      <c r="G3941" t="inlineStr">
        <is>
          <t>LEKSAND</t>
        </is>
      </c>
      <c r="I3941" t="n">
        <v>3</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57659-2025</t>
        </is>
      </c>
      <c r="B3942" t="inlineStr">
        <is>
          <t>avverkningsanmälan</t>
        </is>
      </c>
      <c r="C3942" t="inlineStr">
        <is>
          <t>Föryngringsavverkning</t>
        </is>
      </c>
      <c r="D3942" s="1" t="n">
        <v>45981</v>
      </c>
      <c r="E3942" s="1" t="n">
        <v>46319</v>
      </c>
      <c r="F3942" t="inlineStr">
        <is>
          <t>DALARNAS LÄN</t>
        </is>
      </c>
      <c r="G3942" t="inlineStr">
        <is>
          <t>MORA</t>
        </is>
      </c>
      <c r="I3942" t="n">
        <v>1.8</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29295-2026</t>
        </is>
      </c>
      <c r="B3943" t="inlineStr">
        <is>
          <t>avverkningsanmälan</t>
        </is>
      </c>
      <c r="C3943" t="inlineStr">
        <is>
          <t>Föryngringsavverkning</t>
        </is>
      </c>
      <c r="D3943" s="1" t="n">
        <v>46202</v>
      </c>
      <c r="E3943" s="1" t="n">
        <v>46319</v>
      </c>
      <c r="F3943" t="inlineStr">
        <is>
          <t>DALARNAS LÄN</t>
        </is>
      </c>
      <c r="G3943" t="inlineStr">
        <is>
          <t>FALUN</t>
        </is>
      </c>
      <c r="I3943" t="n">
        <v>2.1</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29534-2026</t>
        </is>
      </c>
      <c r="B3944" t="inlineStr">
        <is>
          <t>avverkningsanmälan</t>
        </is>
      </c>
      <c r="C3944" t="inlineStr">
        <is>
          <t>Föryngringsavverkning</t>
        </is>
      </c>
      <c r="D3944" s="1" t="n">
        <v>46203</v>
      </c>
      <c r="E3944" s="1" t="n">
        <v>46319</v>
      </c>
      <c r="F3944" t="inlineStr">
        <is>
          <t>DALARNAS LÄN</t>
        </is>
      </c>
      <c r="G3944" t="inlineStr">
        <is>
          <t>RÄTTVIK</t>
        </is>
      </c>
      <c r="I3944" t="n">
        <v>0.8</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60984-2023</t>
        </is>
      </c>
      <c r="B3945" t="inlineStr">
        <is>
          <t>avverkningsanmälan</t>
        </is>
      </c>
      <c r="C3945" t="inlineStr">
        <is>
          <t>Föryngringsavverkning</t>
        </is>
      </c>
      <c r="D3945" s="1" t="n">
        <v>45259</v>
      </c>
      <c r="E3945" s="1" t="n">
        <v>46319</v>
      </c>
      <c r="F3945" t="inlineStr">
        <is>
          <t>DALARNAS LÄN</t>
        </is>
      </c>
      <c r="G3945" t="inlineStr">
        <is>
          <t>RÄTTVIK</t>
        </is>
      </c>
      <c r="I3945" t="n">
        <v>2.4</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29288-2026</t>
        </is>
      </c>
      <c r="B3946" t="inlineStr">
        <is>
          <t>avverkningsanmälan</t>
        </is>
      </c>
      <c r="C3946" t="inlineStr">
        <is>
          <t>Föryngringsavverkning</t>
        </is>
      </c>
      <c r="D3946" s="1" t="n">
        <v>46202</v>
      </c>
      <c r="E3946" s="1" t="n">
        <v>46319</v>
      </c>
      <c r="F3946" t="inlineStr">
        <is>
          <t>DALARNAS LÄN</t>
        </is>
      </c>
      <c r="G3946" t="inlineStr">
        <is>
          <t>SMEDJEBACKEN</t>
        </is>
      </c>
      <c r="H3946" t="inlineStr">
        <is>
          <t>Sveaskog</t>
        </is>
      </c>
      <c r="I3946" t="n">
        <v>1</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29290-2026</t>
        </is>
      </c>
      <c r="B3947" t="inlineStr">
        <is>
          <t>avverkningsanmälan</t>
        </is>
      </c>
      <c r="C3947" t="inlineStr">
        <is>
          <t>Föryngringsavverkning</t>
        </is>
      </c>
      <c r="D3947" s="1" t="n">
        <v>46202</v>
      </c>
      <c r="E3947" s="1" t="n">
        <v>46319</v>
      </c>
      <c r="F3947" t="inlineStr">
        <is>
          <t>DALARNAS LÄN</t>
        </is>
      </c>
      <c r="G3947" t="inlineStr">
        <is>
          <t>SMEDJEBACKEN</t>
        </is>
      </c>
      <c r="H3947" t="inlineStr">
        <is>
          <t>Sveaskog</t>
        </is>
      </c>
      <c r="I3947" t="n">
        <v>5.3</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51574-2023</t>
        </is>
      </c>
      <c r="B3948" t="inlineStr">
        <is>
          <t>avverkningsanmälan</t>
        </is>
      </c>
      <c r="C3948" t="inlineStr">
        <is>
          <t>Föryngringsavverkning</t>
        </is>
      </c>
      <c r="D3948" s="1" t="n">
        <v>45222</v>
      </c>
      <c r="E3948" s="1" t="n">
        <v>46319</v>
      </c>
      <c r="F3948" t="inlineStr">
        <is>
          <t>DALARNAS LÄN</t>
        </is>
      </c>
      <c r="G3948" t="inlineStr">
        <is>
          <t>ORSA</t>
        </is>
      </c>
      <c r="I3948" t="n">
        <v>0.9</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29442-2026</t>
        </is>
      </c>
      <c r="B3949" t="inlineStr">
        <is>
          <t>avverkningsanmälan</t>
        </is>
      </c>
      <c r="C3949" t="inlineStr">
        <is>
          <t>Föryngringsavverkning</t>
        </is>
      </c>
      <c r="D3949" s="1" t="n">
        <v>46203</v>
      </c>
      <c r="E3949" s="1" t="n">
        <v>46319</v>
      </c>
      <c r="F3949" t="inlineStr">
        <is>
          <t>DALARNAS LÄN</t>
        </is>
      </c>
      <c r="G3949" t="inlineStr">
        <is>
          <t>VANSBRO</t>
        </is>
      </c>
      <c r="H3949" t="inlineStr">
        <is>
          <t>Bergvik skog öst AB</t>
        </is>
      </c>
      <c r="I3949" t="n">
        <v>0.9</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58181-2025</t>
        </is>
      </c>
      <c r="B3950" t="inlineStr">
        <is>
          <t>avverkningsanmälan</t>
        </is>
      </c>
      <c r="C3950" t="inlineStr">
        <is>
          <t>Föryngringsavverkning</t>
        </is>
      </c>
      <c r="D3950" s="1" t="n">
        <v>45982</v>
      </c>
      <c r="E3950" s="1" t="n">
        <v>46319</v>
      </c>
      <c r="F3950" t="inlineStr">
        <is>
          <t>DALARNAS LÄN</t>
        </is>
      </c>
      <c r="G3950" t="inlineStr">
        <is>
          <t>FALUN</t>
        </is>
      </c>
      <c r="I3950" t="n">
        <v>0.9</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58165-2025</t>
        </is>
      </c>
      <c r="B3951" t="inlineStr">
        <is>
          <t>avverkningsanmälan</t>
        </is>
      </c>
      <c r="C3951" t="inlineStr">
        <is>
          <t>Föryngringsavverkning</t>
        </is>
      </c>
      <c r="D3951" s="1" t="n">
        <v>45982</v>
      </c>
      <c r="E3951" s="1" t="n">
        <v>46319</v>
      </c>
      <c r="F3951" t="inlineStr">
        <is>
          <t>DALARNAS LÄN</t>
        </is>
      </c>
      <c r="G3951" t="inlineStr">
        <is>
          <t>AVESTA</t>
        </is>
      </c>
      <c r="I3951" t="n">
        <v>2.6</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23235-2026</t>
        </is>
      </c>
      <c r="B3952" t="inlineStr">
        <is>
          <t>avverkningsanmälan</t>
        </is>
      </c>
      <c r="C3952" t="inlineStr">
        <is>
          <t>Avverkning för annat ändamål</t>
        </is>
      </c>
      <c r="D3952" s="1" t="n">
        <v>46162</v>
      </c>
      <c r="E3952" s="1" t="n">
        <v>46319</v>
      </c>
      <c r="F3952" t="inlineStr">
        <is>
          <t>DALARNAS LÄN</t>
        </is>
      </c>
      <c r="G3952" t="inlineStr">
        <is>
          <t>ORSA</t>
        </is>
      </c>
      <c r="H3952" t="inlineStr">
        <is>
          <t>Allmännings- och besparingsskogar</t>
        </is>
      </c>
      <c r="I3952" t="n">
        <v>3.5</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27608-2026</t>
        </is>
      </c>
      <c r="B3953" t="inlineStr">
        <is>
          <t>avverkningsanmälan</t>
        </is>
      </c>
      <c r="C3953" t="inlineStr">
        <is>
          <t>Föryngringsavverkning</t>
        </is>
      </c>
      <c r="D3953" s="1" t="n">
        <v>46190</v>
      </c>
      <c r="E3953" s="1" t="n">
        <v>46319</v>
      </c>
      <c r="F3953" t="inlineStr">
        <is>
          <t>DALARNAS LÄN</t>
        </is>
      </c>
      <c r="G3953" t="inlineStr">
        <is>
          <t>LUDVIKA</t>
        </is>
      </c>
      <c r="H3953" t="inlineStr">
        <is>
          <t>Bergvik skog väst AB</t>
        </is>
      </c>
      <c r="I3953" t="n">
        <v>4.2</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60428-2023</t>
        </is>
      </c>
      <c r="B3954" t="inlineStr">
        <is>
          <t>avverkningsanmälan</t>
        </is>
      </c>
      <c r="C3954" t="inlineStr">
        <is>
          <t>Föryngringsavverkning</t>
        </is>
      </c>
      <c r="D3954" s="1" t="n">
        <v>45259</v>
      </c>
      <c r="E3954" s="1" t="n">
        <v>46319</v>
      </c>
      <c r="F3954" t="inlineStr">
        <is>
          <t>DALARNAS LÄN</t>
        </is>
      </c>
      <c r="G3954" t="inlineStr">
        <is>
          <t>MORA</t>
        </is>
      </c>
      <c r="I3954" t="n">
        <v>4.9</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16823-2025</t>
        </is>
      </c>
      <c r="B3955" t="inlineStr">
        <is>
          <t>avverkningsanmälan</t>
        </is>
      </c>
      <c r="C3955" t="inlineStr">
        <is>
          <t>Föryngringsavverkning</t>
        </is>
      </c>
      <c r="D3955" s="1" t="n">
        <v>45754</v>
      </c>
      <c r="E3955" s="1" t="n">
        <v>46319</v>
      </c>
      <c r="F3955" t="inlineStr">
        <is>
          <t>DALARNAS LÄN</t>
        </is>
      </c>
      <c r="G3955" t="inlineStr">
        <is>
          <t>VANSBRO</t>
        </is>
      </c>
      <c r="I3955" t="n">
        <v>9.9</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8697-2023</t>
        </is>
      </c>
      <c r="B3956" t="inlineStr">
        <is>
          <t>avverkningsanmälan</t>
        </is>
      </c>
      <c r="C3956" t="inlineStr">
        <is>
          <t>Föryngringsavverkning</t>
        </is>
      </c>
      <c r="D3956" s="1" t="n">
        <v>44978</v>
      </c>
      <c r="E3956" s="1" t="n">
        <v>46319</v>
      </c>
      <c r="F3956" t="inlineStr">
        <is>
          <t>DALARNAS LÄN</t>
        </is>
      </c>
      <c r="G3956" t="inlineStr">
        <is>
          <t>SÄTER</t>
        </is>
      </c>
      <c r="I3956" t="n">
        <v>2.5</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402-2024</t>
        </is>
      </c>
      <c r="B3957" t="inlineStr">
        <is>
          <t>avverkningsanmälan</t>
        </is>
      </c>
      <c r="C3957" t="inlineStr">
        <is>
          <t>Föryngringsavverkning</t>
        </is>
      </c>
      <c r="D3957" s="1" t="n">
        <v>45296</v>
      </c>
      <c r="E3957" s="1" t="n">
        <v>46319</v>
      </c>
      <c r="F3957" t="inlineStr">
        <is>
          <t>DALARNAS LÄN</t>
        </is>
      </c>
      <c r="G3957" t="inlineStr">
        <is>
          <t>LEKSAND</t>
        </is>
      </c>
      <c r="I3957" t="n">
        <v>1.5</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437-2024</t>
        </is>
      </c>
      <c r="B3958" t="inlineStr">
        <is>
          <t>avverkningsanmälan</t>
        </is>
      </c>
      <c r="C3958" t="inlineStr">
        <is>
          <t>Föryngringsavverkning</t>
        </is>
      </c>
      <c r="D3958" s="1" t="n">
        <v>45296</v>
      </c>
      <c r="E3958" s="1" t="n">
        <v>46319</v>
      </c>
      <c r="F3958" t="inlineStr">
        <is>
          <t>DALARNAS LÄN</t>
        </is>
      </c>
      <c r="G3958" t="inlineStr">
        <is>
          <t>MORA</t>
        </is>
      </c>
      <c r="I3958" t="n">
        <v>1.6</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51716-2024</t>
        </is>
      </c>
      <c r="B3959" t="inlineStr">
        <is>
          <t>avverkningsanmälan</t>
        </is>
      </c>
      <c r="C3959" t="inlineStr">
        <is>
          <t>Föryngringsavverkning</t>
        </is>
      </c>
      <c r="D3959" s="1" t="n">
        <v>45607</v>
      </c>
      <c r="E3959" s="1" t="n">
        <v>46319</v>
      </c>
      <c r="F3959" t="inlineStr">
        <is>
          <t>DALARNAS LÄN</t>
        </is>
      </c>
      <c r="G3959" t="inlineStr">
        <is>
          <t>BORLÄNGE</t>
        </is>
      </c>
      <c r="I3959" t="n">
        <v>3.4</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29791-2026</t>
        </is>
      </c>
      <c r="B3960" t="inlineStr">
        <is>
          <t>avverkningsanmälan</t>
        </is>
      </c>
      <c r="C3960" t="inlineStr">
        <is>
          <t>Föryngringsavverkning</t>
        </is>
      </c>
      <c r="D3960" s="1" t="n">
        <v>46205</v>
      </c>
      <c r="E3960" s="1" t="n">
        <v>46319</v>
      </c>
      <c r="F3960" t="inlineStr">
        <is>
          <t>DALARNAS LÄN</t>
        </is>
      </c>
      <c r="G3960" t="inlineStr">
        <is>
          <t>LUDVIKA</t>
        </is>
      </c>
      <c r="H3960" t="inlineStr">
        <is>
          <t>Naturvårdsverket</t>
        </is>
      </c>
      <c r="I3960" t="n">
        <v>8.300000000000001</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29815-2026</t>
        </is>
      </c>
      <c r="B3961" t="inlineStr">
        <is>
          <t>avverkningsanmälan</t>
        </is>
      </c>
      <c r="C3961" t="inlineStr">
        <is>
          <t>Föryngringsavverkning</t>
        </is>
      </c>
      <c r="D3961" s="1" t="n">
        <v>46205</v>
      </c>
      <c r="E3961" s="1" t="n">
        <v>46319</v>
      </c>
      <c r="F3961" t="inlineStr">
        <is>
          <t>DALARNAS LÄN</t>
        </is>
      </c>
      <c r="G3961" t="inlineStr">
        <is>
          <t>MORA</t>
        </is>
      </c>
      <c r="I3961" t="n">
        <v>7.4</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38817-2023</t>
        </is>
      </c>
      <c r="B3962" t="inlineStr">
        <is>
          <t>avverkningsanmälan</t>
        </is>
      </c>
      <c r="C3962" t="inlineStr">
        <is>
          <t>Föryngringsavverkning</t>
        </is>
      </c>
      <c r="D3962" s="1" t="n">
        <v>45163</v>
      </c>
      <c r="E3962" s="1" t="n">
        <v>46319</v>
      </c>
      <c r="F3962" t="inlineStr">
        <is>
          <t>DALARNAS LÄN</t>
        </is>
      </c>
      <c r="G3962" t="inlineStr">
        <is>
          <t>MALUNG-SÄLEN</t>
        </is>
      </c>
      <c r="H3962" t="inlineStr">
        <is>
          <t>Bergvik skog öst AB</t>
        </is>
      </c>
      <c r="I3962" t="n">
        <v>0.9</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57712-2025</t>
        </is>
      </c>
      <c r="B3963" t="inlineStr">
        <is>
          <t>avverkningsanmälan</t>
        </is>
      </c>
      <c r="C3963" t="inlineStr">
        <is>
          <t>Avverkning för att bevara och utveckla /försöksver</t>
        </is>
      </c>
      <c r="D3963" s="1" t="n">
        <v>45981</v>
      </c>
      <c r="E3963" s="1" t="n">
        <v>46319</v>
      </c>
      <c r="F3963" t="inlineStr">
        <is>
          <t>DALARNAS LÄN</t>
        </is>
      </c>
      <c r="G3963" t="inlineStr">
        <is>
          <t>MALUNG-SÄLEN</t>
        </is>
      </c>
      <c r="I3963" t="n">
        <v>1</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57870-2025</t>
        </is>
      </c>
      <c r="B3964" t="inlineStr">
        <is>
          <t>avverkningsanmälan</t>
        </is>
      </c>
      <c r="C3964" t="inlineStr">
        <is>
          <t>Föryngringsavverkning</t>
        </is>
      </c>
      <c r="D3964" s="1" t="n">
        <v>45981</v>
      </c>
      <c r="E3964" s="1" t="n">
        <v>46319</v>
      </c>
      <c r="F3964" t="inlineStr">
        <is>
          <t>DALARNAS LÄN</t>
        </is>
      </c>
      <c r="G3964" t="inlineStr">
        <is>
          <t>LUDVIKA</t>
        </is>
      </c>
      <c r="H3964" t="inlineStr">
        <is>
          <t>Bergvik skog väst AB</t>
        </is>
      </c>
      <c r="I3964" t="n">
        <v>0.7</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29671-2026</t>
        </is>
      </c>
      <c r="B3965" t="inlineStr">
        <is>
          <t>avverkningsanmälan</t>
        </is>
      </c>
      <c r="C3965" t="inlineStr">
        <is>
          <t>Föryngringsavverkning</t>
        </is>
      </c>
      <c r="D3965" s="1" t="n">
        <v>46204</v>
      </c>
      <c r="E3965" s="1" t="n">
        <v>46319</v>
      </c>
      <c r="F3965" t="inlineStr">
        <is>
          <t>DALARNAS LÄN</t>
        </is>
      </c>
      <c r="G3965" t="inlineStr">
        <is>
          <t>VANSBRO</t>
        </is>
      </c>
      <c r="I3965" t="n">
        <v>1</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14588-2025</t>
        </is>
      </c>
      <c r="B3966" t="inlineStr">
        <is>
          <t>avverkningsanmälan</t>
        </is>
      </c>
      <c r="C3966" t="inlineStr">
        <is>
          <t>Föryngringsavverkning</t>
        </is>
      </c>
      <c r="D3966" s="1" t="n">
        <v>45742</v>
      </c>
      <c r="E3966" s="1" t="n">
        <v>46319</v>
      </c>
      <c r="F3966" t="inlineStr">
        <is>
          <t>DALARNAS LÄN</t>
        </is>
      </c>
      <c r="G3966" t="inlineStr">
        <is>
          <t>RÄTTVIK</t>
        </is>
      </c>
      <c r="I3966" t="n">
        <v>0.5</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4057-2024</t>
        </is>
      </c>
      <c r="B3967" t="inlineStr">
        <is>
          <t>avverkningsanmälan</t>
        </is>
      </c>
      <c r="C3967" t="inlineStr">
        <is>
          <t>Avverkning för annat ändamål</t>
        </is>
      </c>
      <c r="D3967" s="1" t="n">
        <v>45323</v>
      </c>
      <c r="E3967" s="1" t="n">
        <v>46319</v>
      </c>
      <c r="F3967" t="inlineStr">
        <is>
          <t>DALARNAS LÄN</t>
        </is>
      </c>
      <c r="G3967" t="inlineStr">
        <is>
          <t>FALUN</t>
        </is>
      </c>
      <c r="I3967" t="n">
        <v>0.7</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57716-2025</t>
        </is>
      </c>
      <c r="B3968" t="inlineStr">
        <is>
          <t>avverkningsanmälan</t>
        </is>
      </c>
      <c r="C3968" t="inlineStr">
        <is>
          <t>Föryngringsavverkning</t>
        </is>
      </c>
      <c r="D3968" s="1" t="n">
        <v>45981</v>
      </c>
      <c r="E3968" s="1" t="n">
        <v>46319</v>
      </c>
      <c r="F3968" t="inlineStr">
        <is>
          <t>DALARNAS LÄN</t>
        </is>
      </c>
      <c r="G3968" t="inlineStr">
        <is>
          <t>VANSBRO</t>
        </is>
      </c>
      <c r="H3968" t="inlineStr">
        <is>
          <t>Bergvik skog väst AB</t>
        </is>
      </c>
      <c r="I3968" t="n">
        <v>5.1</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29630-2026</t>
        </is>
      </c>
      <c r="B3969" t="inlineStr">
        <is>
          <t>avverkningsanmälan</t>
        </is>
      </c>
      <c r="C3969" t="inlineStr">
        <is>
          <t>Föryngringsavverkning</t>
        </is>
      </c>
      <c r="D3969" s="1" t="n">
        <v>46204</v>
      </c>
      <c r="E3969" s="1" t="n">
        <v>46319</v>
      </c>
      <c r="F3969" t="inlineStr">
        <is>
          <t>DALARNAS LÄN</t>
        </is>
      </c>
      <c r="G3969" t="inlineStr">
        <is>
          <t>VANSBRO</t>
        </is>
      </c>
      <c r="I3969" t="n">
        <v>2.6</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53588-2023</t>
        </is>
      </c>
      <c r="B3970" t="inlineStr">
        <is>
          <t>avverkningsanmälan</t>
        </is>
      </c>
      <c r="C3970" t="inlineStr">
        <is>
          <t>Föryngringsavverkning</t>
        </is>
      </c>
      <c r="D3970" s="1" t="n">
        <v>45230</v>
      </c>
      <c r="E3970" s="1" t="n">
        <v>46319</v>
      </c>
      <c r="F3970" t="inlineStr">
        <is>
          <t>DALARNAS LÄN</t>
        </is>
      </c>
      <c r="G3970" t="inlineStr">
        <is>
          <t>HEDEMORA</t>
        </is>
      </c>
      <c r="I3970" t="n">
        <v>0.6</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57664-2025</t>
        </is>
      </c>
      <c r="B3971" t="inlineStr">
        <is>
          <t>avverkningsanmälan</t>
        </is>
      </c>
      <c r="C3971" t="inlineStr">
        <is>
          <t>Avverkning för annat ändamål</t>
        </is>
      </c>
      <c r="D3971" s="1" t="n">
        <v>45981</v>
      </c>
      <c r="E3971" s="1" t="n">
        <v>46319</v>
      </c>
      <c r="F3971" t="inlineStr">
        <is>
          <t>DALARNAS LÄN</t>
        </is>
      </c>
      <c r="G3971" t="inlineStr">
        <is>
          <t>BORLÄNGE</t>
        </is>
      </c>
      <c r="I3971" t="n">
        <v>0.2</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8793-2025</t>
        </is>
      </c>
      <c r="B3972" t="inlineStr">
        <is>
          <t>avverkningsanmälan</t>
        </is>
      </c>
      <c r="C3972" t="inlineStr">
        <is>
          <t>Föryngringsavverkning</t>
        </is>
      </c>
      <c r="D3972" s="1" t="n">
        <v>45712</v>
      </c>
      <c r="E3972" s="1" t="n">
        <v>46319</v>
      </c>
      <c r="F3972" t="inlineStr">
        <is>
          <t>DALARNAS LÄN</t>
        </is>
      </c>
      <c r="G3972" t="inlineStr">
        <is>
          <t>VANSBRO</t>
        </is>
      </c>
      <c r="I3972" t="n">
        <v>13.8</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57688-2025</t>
        </is>
      </c>
      <c r="B3973" t="inlineStr">
        <is>
          <t>avverkningsanmälan</t>
        </is>
      </c>
      <c r="C3973" t="inlineStr">
        <is>
          <t>Föryngringsavverkning</t>
        </is>
      </c>
      <c r="D3973" s="1" t="n">
        <v>45981</v>
      </c>
      <c r="E3973" s="1" t="n">
        <v>46319</v>
      </c>
      <c r="F3973" t="inlineStr">
        <is>
          <t>DALARNAS LÄN</t>
        </is>
      </c>
      <c r="G3973" t="inlineStr">
        <is>
          <t>LEKSAND</t>
        </is>
      </c>
      <c r="I3973" t="n">
        <v>1.3</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60298-2024</t>
        </is>
      </c>
      <c r="B3974" t="inlineStr">
        <is>
          <t>avverkningsanmälan</t>
        </is>
      </c>
      <c r="C3974" t="inlineStr">
        <is>
          <t>Föryngringsavverkning</t>
        </is>
      </c>
      <c r="D3974" s="1" t="n">
        <v>45643</v>
      </c>
      <c r="E3974" s="1" t="n">
        <v>46319</v>
      </c>
      <c r="F3974" t="inlineStr">
        <is>
          <t>DALARNAS LÄN</t>
        </is>
      </c>
      <c r="G3974" t="inlineStr">
        <is>
          <t>MALUNG-SÄLEN</t>
        </is>
      </c>
      <c r="I3974" t="n">
        <v>1.5</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36011-2023</t>
        </is>
      </c>
      <c r="B3975" t="inlineStr">
        <is>
          <t>avverkningsanmälan</t>
        </is>
      </c>
      <c r="C3975" t="inlineStr">
        <is>
          <t>Föryngringsavverkning</t>
        </is>
      </c>
      <c r="D3975" s="1" t="n">
        <v>45148</v>
      </c>
      <c r="E3975" s="1" t="n">
        <v>46319</v>
      </c>
      <c r="F3975" t="inlineStr">
        <is>
          <t>DALARNAS LÄN</t>
        </is>
      </c>
      <c r="G3975" t="inlineStr">
        <is>
          <t>GAGNEF</t>
        </is>
      </c>
      <c r="I3975" t="n">
        <v>0.6</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55599-2023</t>
        </is>
      </c>
      <c r="B3976" t="inlineStr">
        <is>
          <t>avverkningsanmälan</t>
        </is>
      </c>
      <c r="C3976" t="inlineStr">
        <is>
          <t>Föryngringsavverkning</t>
        </is>
      </c>
      <c r="D3976" s="1" t="n">
        <v>45238</v>
      </c>
      <c r="E3976" s="1" t="n">
        <v>46319</v>
      </c>
      <c r="F3976" t="inlineStr">
        <is>
          <t>DALARNAS LÄN</t>
        </is>
      </c>
      <c r="G3976" t="inlineStr">
        <is>
          <t>MALUNG-SÄLEN</t>
        </is>
      </c>
      <c r="I3976" t="n">
        <v>1.3</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29621-2026</t>
        </is>
      </c>
      <c r="B3977" t="inlineStr">
        <is>
          <t>avverkningsanmälan</t>
        </is>
      </c>
      <c r="C3977" t="inlineStr">
        <is>
          <t>Föryngringsavverkning</t>
        </is>
      </c>
      <c r="D3977" s="1" t="n">
        <v>46204</v>
      </c>
      <c r="E3977" s="1" t="n">
        <v>46319</v>
      </c>
      <c r="F3977" t="inlineStr">
        <is>
          <t>DALARNAS LÄN</t>
        </is>
      </c>
      <c r="G3977" t="inlineStr">
        <is>
          <t>VANSBRO</t>
        </is>
      </c>
      <c r="I3977" t="n">
        <v>1.4</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53839-2022</t>
        </is>
      </c>
      <c r="B3978" t="inlineStr">
        <is>
          <t>avverkningsanmälan</t>
        </is>
      </c>
      <c r="C3978" t="inlineStr">
        <is>
          <t>Föryngringsavverkning</t>
        </is>
      </c>
      <c r="D3978" s="1" t="n">
        <v>44880</v>
      </c>
      <c r="E3978" s="1" t="n">
        <v>46319</v>
      </c>
      <c r="F3978" t="inlineStr">
        <is>
          <t>DALARNAS LÄN</t>
        </is>
      </c>
      <c r="G3978" t="inlineStr">
        <is>
          <t>VANSBRO</t>
        </is>
      </c>
      <c r="H3978" t="inlineStr">
        <is>
          <t>Bergvik skog öst AB</t>
        </is>
      </c>
      <c r="I3978" t="n">
        <v>1.1</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463-2024</t>
        </is>
      </c>
      <c r="B3979" t="inlineStr">
        <is>
          <t>avverkningsanmälan</t>
        </is>
      </c>
      <c r="C3979" t="inlineStr">
        <is>
          <t>Föryngringsavverkning</t>
        </is>
      </c>
      <c r="D3979" s="1" t="n">
        <v>45297</v>
      </c>
      <c r="E3979" s="1" t="n">
        <v>46319</v>
      </c>
      <c r="F3979" t="inlineStr">
        <is>
          <t>DALARNAS LÄN</t>
        </is>
      </c>
      <c r="G3979" t="inlineStr">
        <is>
          <t>RÄTTVIK</t>
        </is>
      </c>
      <c r="H3979" t="inlineStr">
        <is>
          <t>Övriga statliga verk och myndigheter</t>
        </is>
      </c>
      <c r="I3979" t="n">
        <v>0.8</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29884-2026</t>
        </is>
      </c>
      <c r="B3980" t="inlineStr">
        <is>
          <t>avverkningsanmälan</t>
        </is>
      </c>
      <c r="C3980" t="inlineStr">
        <is>
          <t>Föryngringsavverkning</t>
        </is>
      </c>
      <c r="D3980" s="1" t="n">
        <v>46205</v>
      </c>
      <c r="E3980" s="1" t="n">
        <v>46319</v>
      </c>
      <c r="F3980" t="inlineStr">
        <is>
          <t>DALARNAS LÄN</t>
        </is>
      </c>
      <c r="G3980" t="inlineStr">
        <is>
          <t>FALUN</t>
        </is>
      </c>
      <c r="I3980" t="n">
        <v>2.9</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19597-2024</t>
        </is>
      </c>
      <c r="B3981" t="inlineStr">
        <is>
          <t>avverkningsanmälan</t>
        </is>
      </c>
      <c r="C3981" t="inlineStr">
        <is>
          <t>Föryngringsavverkning</t>
        </is>
      </c>
      <c r="D3981" s="1" t="n">
        <v>45430</v>
      </c>
      <c r="E3981" s="1" t="n">
        <v>46319</v>
      </c>
      <c r="F3981" t="inlineStr">
        <is>
          <t>DALARNAS LÄN</t>
        </is>
      </c>
      <c r="G3981" t="inlineStr">
        <is>
          <t>MALUNG-SÄLEN</t>
        </is>
      </c>
      <c r="I3981" t="n">
        <v>0.5</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58002-2025</t>
        </is>
      </c>
      <c r="B3982" t="inlineStr">
        <is>
          <t>avverkningsanmälan</t>
        </is>
      </c>
      <c r="C3982" t="inlineStr">
        <is>
          <t>Föryngringsavverkning</t>
        </is>
      </c>
      <c r="D3982" s="1" t="n">
        <v>45982</v>
      </c>
      <c r="E3982" s="1" t="n">
        <v>46319</v>
      </c>
      <c r="F3982" t="inlineStr">
        <is>
          <t>DALARNAS LÄN</t>
        </is>
      </c>
      <c r="G3982" t="inlineStr">
        <is>
          <t>BORLÄNGE</t>
        </is>
      </c>
      <c r="I3982" t="n">
        <v>3.3</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8381-2024</t>
        </is>
      </c>
      <c r="B3983" t="inlineStr">
        <is>
          <t>avverkningsanmälan</t>
        </is>
      </c>
      <c r="C3983" t="inlineStr">
        <is>
          <t>Föryngringsavverkning</t>
        </is>
      </c>
      <c r="D3983" s="1" t="n">
        <v>45352</v>
      </c>
      <c r="E3983" s="1" t="n">
        <v>46319</v>
      </c>
      <c r="F3983" t="inlineStr">
        <is>
          <t>DALARNAS LÄN</t>
        </is>
      </c>
      <c r="G3983" t="inlineStr">
        <is>
          <t>RÄTTVIK</t>
        </is>
      </c>
      <c r="I3983" t="n">
        <v>2.1</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58921-2025</t>
        </is>
      </c>
      <c r="B3984" t="inlineStr">
        <is>
          <t>avverkningsanmälan</t>
        </is>
      </c>
      <c r="C3984" t="inlineStr">
        <is>
          <t>Avverkning för annat ändamål</t>
        </is>
      </c>
      <c r="D3984" s="1" t="n">
        <v>45986</v>
      </c>
      <c r="E3984" s="1" t="n">
        <v>46319</v>
      </c>
      <c r="F3984" t="inlineStr">
        <is>
          <t>DALARNAS LÄN</t>
        </is>
      </c>
      <c r="G3984" t="inlineStr">
        <is>
          <t>LEKSAND</t>
        </is>
      </c>
      <c r="I3984" t="n">
        <v>0.8</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23137-2022</t>
        </is>
      </c>
      <c r="B3985" t="inlineStr">
        <is>
          <t>avverkningsanmälan</t>
        </is>
      </c>
      <c r="C3985" t="inlineStr">
        <is>
          <t>Föryngringsavverkning</t>
        </is>
      </c>
      <c r="D3985" s="1" t="n">
        <v>44719</v>
      </c>
      <c r="E3985" s="1" t="n">
        <v>46319</v>
      </c>
      <c r="F3985" t="inlineStr">
        <is>
          <t>DALARNAS LÄN</t>
        </is>
      </c>
      <c r="G3985" t="inlineStr">
        <is>
          <t>LEKSAND</t>
        </is>
      </c>
      <c r="I3985" t="n">
        <v>3</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42737-2023</t>
        </is>
      </c>
      <c r="B3986" t="inlineStr">
        <is>
          <t>avverkningsanmälan</t>
        </is>
      </c>
      <c r="C3986" t="inlineStr">
        <is>
          <t>Föryngringsavverkning</t>
        </is>
      </c>
      <c r="D3986" s="1" t="n">
        <v>45177</v>
      </c>
      <c r="E3986" s="1" t="n">
        <v>46319</v>
      </c>
      <c r="F3986" t="inlineStr">
        <is>
          <t>DALARNAS LÄN</t>
        </is>
      </c>
      <c r="G3986" t="inlineStr">
        <is>
          <t>MALUNG-SÄLEN</t>
        </is>
      </c>
      <c r="I3986" t="n">
        <v>1.3</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29914-2026</t>
        </is>
      </c>
      <c r="B3987" t="inlineStr">
        <is>
          <t>avverkningsanmälan</t>
        </is>
      </c>
      <c r="C3987" t="inlineStr">
        <is>
          <t>Föryngringsavverkning</t>
        </is>
      </c>
      <c r="D3987" s="1" t="n">
        <v>46205</v>
      </c>
      <c r="E3987" s="1" t="n">
        <v>46319</v>
      </c>
      <c r="F3987" t="inlineStr">
        <is>
          <t>DALARNAS LÄN</t>
        </is>
      </c>
      <c r="G3987" t="inlineStr">
        <is>
          <t>MALUNG-SÄLEN</t>
        </is>
      </c>
      <c r="I3987" t="n">
        <v>1.8</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47631-2023</t>
        </is>
      </c>
      <c r="B3988" t="inlineStr">
        <is>
          <t>avverkningsanmälan</t>
        </is>
      </c>
      <c r="C3988" t="inlineStr">
        <is>
          <t>Föryngringsavverkning</t>
        </is>
      </c>
      <c r="D3988" s="1" t="n">
        <v>45203</v>
      </c>
      <c r="E3988" s="1" t="n">
        <v>46319</v>
      </c>
      <c r="F3988" t="inlineStr">
        <is>
          <t>DALARNAS LÄN</t>
        </is>
      </c>
      <c r="G3988" t="inlineStr">
        <is>
          <t>FALUN</t>
        </is>
      </c>
      <c r="I3988" t="n">
        <v>2</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58550-2025</t>
        </is>
      </c>
      <c r="B3989" t="inlineStr">
        <is>
          <t>avverkningsanmälan</t>
        </is>
      </c>
      <c r="C3989" t="inlineStr">
        <is>
          <t>Föryngringsavverkning</t>
        </is>
      </c>
      <c r="D3989" s="1" t="n">
        <v>45986</v>
      </c>
      <c r="E3989" s="1" t="n">
        <v>46319</v>
      </c>
      <c r="F3989" t="inlineStr">
        <is>
          <t>DALARNAS LÄN</t>
        </is>
      </c>
      <c r="G3989" t="inlineStr">
        <is>
          <t>RÄTTVIK</t>
        </is>
      </c>
      <c r="H3989" t="inlineStr">
        <is>
          <t>Bergvik skog väst AB</t>
        </is>
      </c>
      <c r="I3989" t="n">
        <v>1.3</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29944-2026</t>
        </is>
      </c>
      <c r="B3990" t="inlineStr">
        <is>
          <t>avverkningsanmälan</t>
        </is>
      </c>
      <c r="C3990" t="inlineStr">
        <is>
          <t>Föryngringsavverkning</t>
        </is>
      </c>
      <c r="D3990" s="1" t="n">
        <v>46205</v>
      </c>
      <c r="E3990" s="1" t="n">
        <v>46319</v>
      </c>
      <c r="F3990" t="inlineStr">
        <is>
          <t>DALARNAS LÄN</t>
        </is>
      </c>
      <c r="G3990" t="inlineStr">
        <is>
          <t>ORSA</t>
        </is>
      </c>
      <c r="H3990" t="inlineStr">
        <is>
          <t>Bergvik skog öst AB</t>
        </is>
      </c>
      <c r="I3990" t="n">
        <v>7.2</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60940-2022</t>
        </is>
      </c>
      <c r="B3991" t="inlineStr">
        <is>
          <t>avverkningsanmälan</t>
        </is>
      </c>
      <c r="C3991" t="inlineStr">
        <is>
          <t>Föryngringsavverkning</t>
        </is>
      </c>
      <c r="D3991" s="1" t="n">
        <v>44914</v>
      </c>
      <c r="E3991" s="1" t="n">
        <v>46319</v>
      </c>
      <c r="F3991" t="inlineStr">
        <is>
          <t>DALARNAS LÄN</t>
        </is>
      </c>
      <c r="G3991" t="inlineStr">
        <is>
          <t>MALUNG-SÄLEN</t>
        </is>
      </c>
      <c r="I3991" t="n">
        <v>3.3</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58449-2025</t>
        </is>
      </c>
      <c r="B3992" t="inlineStr">
        <is>
          <t>avverkningsanmälan</t>
        </is>
      </c>
      <c r="C3992" t="inlineStr">
        <is>
          <t>Föryngringsavverkning</t>
        </is>
      </c>
      <c r="D3992" s="1" t="n">
        <v>45985</v>
      </c>
      <c r="E3992" s="1" t="n">
        <v>46319</v>
      </c>
      <c r="F3992" t="inlineStr">
        <is>
          <t>DALARNAS LÄN</t>
        </is>
      </c>
      <c r="G3992" t="inlineStr">
        <is>
          <t>LEKSAND</t>
        </is>
      </c>
      <c r="I3992" t="n">
        <v>0.8</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58273-2025</t>
        </is>
      </c>
      <c r="B3993" t="inlineStr">
        <is>
          <t>avverkningsanmälan</t>
        </is>
      </c>
      <c r="C3993" t="inlineStr">
        <is>
          <t>Föryngringsavverkning</t>
        </is>
      </c>
      <c r="D3993" s="1" t="n">
        <v>45985</v>
      </c>
      <c r="E3993" s="1" t="n">
        <v>46319</v>
      </c>
      <c r="F3993" t="inlineStr">
        <is>
          <t>DALARNAS LÄN</t>
        </is>
      </c>
      <c r="G3993" t="inlineStr">
        <is>
          <t>RÄTTVIK</t>
        </is>
      </c>
      <c r="I3993" t="n">
        <v>2.9</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58381-2025</t>
        </is>
      </c>
      <c r="B3994" t="inlineStr">
        <is>
          <t>avverkningsanmälan</t>
        </is>
      </c>
      <c r="C3994" t="inlineStr">
        <is>
          <t>Föryngringsavverkning</t>
        </is>
      </c>
      <c r="D3994" s="1" t="n">
        <v>45985</v>
      </c>
      <c r="E3994" s="1" t="n">
        <v>46319</v>
      </c>
      <c r="F3994" t="inlineStr">
        <is>
          <t>DALARNAS LÄN</t>
        </is>
      </c>
      <c r="G3994" t="inlineStr">
        <is>
          <t>RÄTTVIK</t>
        </is>
      </c>
      <c r="I3994" t="n">
        <v>1.7</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21322-2023</t>
        </is>
      </c>
      <c r="B3995" t="inlineStr">
        <is>
          <t>avverkningsanmälan</t>
        </is>
      </c>
      <c r="C3995" t="inlineStr">
        <is>
          <t>Föryngringsavverkning</t>
        </is>
      </c>
      <c r="D3995" s="1" t="n">
        <v>45058</v>
      </c>
      <c r="E3995" s="1" t="n">
        <v>46319</v>
      </c>
      <c r="F3995" t="inlineStr">
        <is>
          <t>DALARNAS LÄN</t>
        </is>
      </c>
      <c r="G3995" t="inlineStr">
        <is>
          <t>AVESTA</t>
        </is>
      </c>
      <c r="H3995" t="inlineStr">
        <is>
          <t>Bergvik skog väst AB</t>
        </is>
      </c>
      <c r="I3995" t="n">
        <v>2.5</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58647-2025</t>
        </is>
      </c>
      <c r="B3996" t="inlineStr">
        <is>
          <t>avverkningsanmälan</t>
        </is>
      </c>
      <c r="C3996" t="inlineStr">
        <is>
          <t>Föryngringsavverkning</t>
        </is>
      </c>
      <c r="D3996" s="1" t="n">
        <v>45986</v>
      </c>
      <c r="E3996" s="1" t="n">
        <v>46319</v>
      </c>
      <c r="F3996" t="inlineStr">
        <is>
          <t>DALARNAS LÄN</t>
        </is>
      </c>
      <c r="G3996" t="inlineStr">
        <is>
          <t>ORSA</t>
        </is>
      </c>
      <c r="I3996" t="n">
        <v>2.8</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58657-2025</t>
        </is>
      </c>
      <c r="B3997" t="inlineStr">
        <is>
          <t>avverkningsanmälan</t>
        </is>
      </c>
      <c r="C3997" t="inlineStr">
        <is>
          <t>Föryngringsavverkning</t>
        </is>
      </c>
      <c r="D3997" s="1" t="n">
        <v>45986</v>
      </c>
      <c r="E3997" s="1" t="n">
        <v>46319</v>
      </c>
      <c r="F3997" t="inlineStr">
        <is>
          <t>DALARNAS LÄN</t>
        </is>
      </c>
      <c r="G3997" t="inlineStr">
        <is>
          <t>ORSA</t>
        </is>
      </c>
      <c r="I3997" t="n">
        <v>1.6</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29687-2026</t>
        </is>
      </c>
      <c r="B3998" t="inlineStr">
        <is>
          <t>avverkningsanmälan</t>
        </is>
      </c>
      <c r="C3998" t="inlineStr">
        <is>
          <t>Föryngringsavverkning</t>
        </is>
      </c>
      <c r="D3998" s="1" t="n">
        <v>46204</v>
      </c>
      <c r="E3998" s="1" t="n">
        <v>46319</v>
      </c>
      <c r="F3998" t="inlineStr">
        <is>
          <t>DALARNAS LÄN</t>
        </is>
      </c>
      <c r="G3998" t="inlineStr">
        <is>
          <t>VANSBRO</t>
        </is>
      </c>
      <c r="H3998" t="inlineStr">
        <is>
          <t>Bergvik skog öst AB</t>
        </is>
      </c>
      <c r="I3998" t="n">
        <v>1.7</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29690-2026</t>
        </is>
      </c>
      <c r="B3999" t="inlineStr">
        <is>
          <t>avverkningsanmälan</t>
        </is>
      </c>
      <c r="C3999" t="inlineStr">
        <is>
          <t>Föryngringsavverkning</t>
        </is>
      </c>
      <c r="D3999" s="1" t="n">
        <v>46204</v>
      </c>
      <c r="E3999" s="1" t="n">
        <v>46319</v>
      </c>
      <c r="F3999" t="inlineStr">
        <is>
          <t>DALARNAS LÄN</t>
        </is>
      </c>
      <c r="G3999" t="inlineStr">
        <is>
          <t>MALUNG-SÄLEN</t>
        </is>
      </c>
      <c r="I3999" t="n">
        <v>1.3</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60036-2023</t>
        </is>
      </c>
      <c r="B4000" t="inlineStr">
        <is>
          <t>avverkningsanmälan</t>
        </is>
      </c>
      <c r="C4000" t="inlineStr">
        <is>
          <t>Föryngringsavverkning</t>
        </is>
      </c>
      <c r="D4000" s="1" t="n">
        <v>45258</v>
      </c>
      <c r="E4000" s="1" t="n">
        <v>46319</v>
      </c>
      <c r="F4000" t="inlineStr">
        <is>
          <t>DALARNAS LÄN</t>
        </is>
      </c>
      <c r="G4000" t="inlineStr">
        <is>
          <t>VANSBRO</t>
        </is>
      </c>
      <c r="I4000" t="n">
        <v>3.9</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58334-2025</t>
        </is>
      </c>
      <c r="B4001" t="inlineStr">
        <is>
          <t>avverkningsanmälan</t>
        </is>
      </c>
      <c r="C4001" t="inlineStr">
        <is>
          <t>Föryngringsavverkning</t>
        </is>
      </c>
      <c r="D4001" s="1" t="n">
        <v>45985</v>
      </c>
      <c r="E4001" s="1" t="n">
        <v>46319</v>
      </c>
      <c r="F4001" t="inlineStr">
        <is>
          <t>DALARNAS LÄN</t>
        </is>
      </c>
      <c r="G4001" t="inlineStr">
        <is>
          <t>RÄTTVIK</t>
        </is>
      </c>
      <c r="I4001" t="n">
        <v>2.1</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29711-2026</t>
        </is>
      </c>
      <c r="B4002" t="inlineStr">
        <is>
          <t>avverkningsanmälan</t>
        </is>
      </c>
      <c r="C4002" t="inlineStr">
        <is>
          <t>Föryngringsavverkning</t>
        </is>
      </c>
      <c r="D4002" s="1" t="n">
        <v>46204</v>
      </c>
      <c r="E4002" s="1" t="n">
        <v>46319</v>
      </c>
      <c r="F4002" t="inlineStr">
        <is>
          <t>DALARNAS LÄN</t>
        </is>
      </c>
      <c r="G4002" t="inlineStr">
        <is>
          <t>ORSA</t>
        </is>
      </c>
      <c r="I4002" t="n">
        <v>0.8</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58275-2025</t>
        </is>
      </c>
      <c r="B4003" t="inlineStr">
        <is>
          <t>avverkningsanmälan</t>
        </is>
      </c>
      <c r="C4003" t="inlineStr">
        <is>
          <t>Föryngringsavverkning</t>
        </is>
      </c>
      <c r="D4003" s="1" t="n">
        <v>45985</v>
      </c>
      <c r="E4003" s="1" t="n">
        <v>46319</v>
      </c>
      <c r="F4003" t="inlineStr">
        <is>
          <t>DALARNAS LÄN</t>
        </is>
      </c>
      <c r="G4003" t="inlineStr">
        <is>
          <t>RÄTTVIK</t>
        </is>
      </c>
      <c r="I4003" t="n">
        <v>1.2</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58325-2025</t>
        </is>
      </c>
      <c r="B4004" t="inlineStr">
        <is>
          <t>avverkningsanmälan</t>
        </is>
      </c>
      <c r="C4004" t="inlineStr">
        <is>
          <t>Föryngringsavverkning</t>
        </is>
      </c>
      <c r="D4004" s="1" t="n">
        <v>45985</v>
      </c>
      <c r="E4004" s="1" t="n">
        <v>46319</v>
      </c>
      <c r="F4004" t="inlineStr">
        <is>
          <t>DALARNAS LÄN</t>
        </is>
      </c>
      <c r="G4004" t="inlineStr">
        <is>
          <t>SÄTER</t>
        </is>
      </c>
      <c r="H4004" t="inlineStr">
        <is>
          <t>Bergvik skog väst AB</t>
        </is>
      </c>
      <c r="I4004" t="n">
        <v>2.6</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58519-2025</t>
        </is>
      </c>
      <c r="B4005" t="inlineStr">
        <is>
          <t>avverkningsanmälan</t>
        </is>
      </c>
      <c r="C4005" t="inlineStr">
        <is>
          <t>Föryngringsavverkning</t>
        </is>
      </c>
      <c r="D4005" s="1" t="n">
        <v>45985</v>
      </c>
      <c r="E4005" s="1" t="n">
        <v>46319</v>
      </c>
      <c r="F4005" t="inlineStr">
        <is>
          <t>DALARNAS LÄN</t>
        </is>
      </c>
      <c r="G4005" t="inlineStr">
        <is>
          <t>LEKSAND</t>
        </is>
      </c>
      <c r="I4005" t="n">
        <v>0.9</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58260-2025</t>
        </is>
      </c>
      <c r="B4006" t="inlineStr">
        <is>
          <t>avverkningsanmälan</t>
        </is>
      </c>
      <c r="C4006" t="inlineStr">
        <is>
          <t>Föryngringsavverkning</t>
        </is>
      </c>
      <c r="D4006" s="1" t="n">
        <v>45985</v>
      </c>
      <c r="E4006" s="1" t="n">
        <v>46319</v>
      </c>
      <c r="F4006" t="inlineStr">
        <is>
          <t>DALARNAS LÄN</t>
        </is>
      </c>
      <c r="G4006" t="inlineStr">
        <is>
          <t>RÄTTVIK</t>
        </is>
      </c>
      <c r="I4006" t="n">
        <v>1.1</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29869-2026</t>
        </is>
      </c>
      <c r="B4007" t="inlineStr">
        <is>
          <t>avverkningsanmälan</t>
        </is>
      </c>
      <c r="C4007" t="inlineStr">
        <is>
          <t>Föryngringsavverkning</t>
        </is>
      </c>
      <c r="D4007" s="1" t="n">
        <v>46205</v>
      </c>
      <c r="E4007" s="1" t="n">
        <v>46319</v>
      </c>
      <c r="F4007" t="inlineStr">
        <is>
          <t>DALARNAS LÄN</t>
        </is>
      </c>
      <c r="G4007" t="inlineStr">
        <is>
          <t>MORA</t>
        </is>
      </c>
      <c r="I4007" t="n">
        <v>5</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20861-2024</t>
        </is>
      </c>
      <c r="B4008" t="inlineStr">
        <is>
          <t>avverkningsanmälan</t>
        </is>
      </c>
      <c r="C4008" t="inlineStr">
        <is>
          <t>Föryngringsavverkning</t>
        </is>
      </c>
      <c r="D4008" s="1" t="n">
        <v>45439</v>
      </c>
      <c r="E4008" s="1" t="n">
        <v>46319</v>
      </c>
      <c r="F4008" t="inlineStr">
        <is>
          <t>DALARNAS LÄN</t>
        </is>
      </c>
      <c r="G4008" t="inlineStr">
        <is>
          <t>MALUNG-SÄLEN</t>
        </is>
      </c>
      <c r="H4008" t="inlineStr">
        <is>
          <t>Bergvik skog öst AB</t>
        </is>
      </c>
      <c r="I4008" t="n">
        <v>0.3</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29873-2026</t>
        </is>
      </c>
      <c r="B4009" t="inlineStr">
        <is>
          <t>avverkningsanmälan</t>
        </is>
      </c>
      <c r="C4009" t="inlineStr">
        <is>
          <t>Föryngringsavverkning</t>
        </is>
      </c>
      <c r="D4009" s="1" t="n">
        <v>46205</v>
      </c>
      <c r="E4009" s="1" t="n">
        <v>46319</v>
      </c>
      <c r="F4009" t="inlineStr">
        <is>
          <t>DALARNAS LÄN</t>
        </is>
      </c>
      <c r="G4009" t="inlineStr">
        <is>
          <t>RÄTTVIK</t>
        </is>
      </c>
      <c r="I4009" t="n">
        <v>2</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58516-2025</t>
        </is>
      </c>
      <c r="B4010" t="inlineStr">
        <is>
          <t>avverkningsanmälan</t>
        </is>
      </c>
      <c r="C4010" t="inlineStr">
        <is>
          <t>Föryngringsavverkning</t>
        </is>
      </c>
      <c r="D4010" s="1" t="n">
        <v>45985</v>
      </c>
      <c r="E4010" s="1" t="n">
        <v>46319</v>
      </c>
      <c r="F4010" t="inlineStr">
        <is>
          <t>DALARNAS LÄN</t>
        </is>
      </c>
      <c r="G4010" t="inlineStr">
        <is>
          <t>LEKSAND</t>
        </is>
      </c>
      <c r="I4010" t="n">
        <v>1.4</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42730-2024</t>
        </is>
      </c>
      <c r="B4011" t="inlineStr">
        <is>
          <t>avverkningsanmälan</t>
        </is>
      </c>
      <c r="C4011" t="inlineStr">
        <is>
          <t>Föryngringsavverkning</t>
        </is>
      </c>
      <c r="D4011" s="1" t="n">
        <v>45566</v>
      </c>
      <c r="E4011" s="1" t="n">
        <v>46319</v>
      </c>
      <c r="F4011" t="inlineStr">
        <is>
          <t>DALARNAS LÄN</t>
        </is>
      </c>
      <c r="G4011" t="inlineStr">
        <is>
          <t>MALUNG-SÄLEN</t>
        </is>
      </c>
      <c r="I4011" t="n">
        <v>0.5</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58683-2025</t>
        </is>
      </c>
      <c r="B4012" t="inlineStr">
        <is>
          <t>avverkningsanmälan</t>
        </is>
      </c>
      <c r="C4012" t="inlineStr">
        <is>
          <t>Föryngringsavverkning</t>
        </is>
      </c>
      <c r="D4012" s="1" t="n">
        <v>45986</v>
      </c>
      <c r="E4012" s="1" t="n">
        <v>46319</v>
      </c>
      <c r="F4012" t="inlineStr">
        <is>
          <t>DALARNAS LÄN</t>
        </is>
      </c>
      <c r="G4012" t="inlineStr">
        <is>
          <t>ORSA</t>
        </is>
      </c>
      <c r="I4012" t="n">
        <v>0.6</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58691-2025</t>
        </is>
      </c>
      <c r="B4013" t="inlineStr">
        <is>
          <t>avverkningsanmälan</t>
        </is>
      </c>
      <c r="C4013" t="inlineStr">
        <is>
          <t>Föryngringsavverkning</t>
        </is>
      </c>
      <c r="D4013" s="1" t="n">
        <v>45986</v>
      </c>
      <c r="E4013" s="1" t="n">
        <v>46319</v>
      </c>
      <c r="F4013" t="inlineStr">
        <is>
          <t>DALARNAS LÄN</t>
        </is>
      </c>
      <c r="G4013" t="inlineStr">
        <is>
          <t>ORSA</t>
        </is>
      </c>
      <c r="I4013" t="n">
        <v>1.4</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19590-2023</t>
        </is>
      </c>
      <c r="B4014" t="inlineStr">
        <is>
          <t>avverkningsanmälan</t>
        </is>
      </c>
      <c r="C4014" t="inlineStr">
        <is>
          <t>Föryngringsavverkning</t>
        </is>
      </c>
      <c r="D4014" s="1" t="n">
        <v>45049</v>
      </c>
      <c r="E4014" s="1" t="n">
        <v>46319</v>
      </c>
      <c r="F4014" t="inlineStr">
        <is>
          <t>DALARNAS LÄN</t>
        </is>
      </c>
      <c r="G4014" t="inlineStr">
        <is>
          <t>LEKSAND</t>
        </is>
      </c>
      <c r="I4014" t="n">
        <v>0.7</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58681-2025</t>
        </is>
      </c>
      <c r="B4015" t="inlineStr">
        <is>
          <t>avverkningsanmälan</t>
        </is>
      </c>
      <c r="C4015" t="inlineStr">
        <is>
          <t>Föryngringsavverkning</t>
        </is>
      </c>
      <c r="D4015" s="1" t="n">
        <v>45986</v>
      </c>
      <c r="E4015" s="1" t="n">
        <v>46319</v>
      </c>
      <c r="F4015" t="inlineStr">
        <is>
          <t>DALARNAS LÄN</t>
        </is>
      </c>
      <c r="G4015" t="inlineStr">
        <is>
          <t>ORSA</t>
        </is>
      </c>
      <c r="I4015" t="n">
        <v>1.3</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58626-2025</t>
        </is>
      </c>
      <c r="B4016" t="inlineStr">
        <is>
          <t>avverkningsanmälan</t>
        </is>
      </c>
      <c r="C4016" t="inlineStr">
        <is>
          <t>Föryngringsavverkning</t>
        </is>
      </c>
      <c r="D4016" s="1" t="n">
        <v>45986</v>
      </c>
      <c r="E4016" s="1" t="n">
        <v>46319</v>
      </c>
      <c r="F4016" t="inlineStr">
        <is>
          <t>DALARNAS LÄN</t>
        </is>
      </c>
      <c r="G4016" t="inlineStr">
        <is>
          <t>LEKSAND</t>
        </is>
      </c>
      <c r="I4016" t="n">
        <v>0.8</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49683-2024</t>
        </is>
      </c>
      <c r="B4017" t="inlineStr">
        <is>
          <t>avverkningsanmälan</t>
        </is>
      </c>
      <c r="C4017" t="inlineStr">
        <is>
          <t>Föryngringsavverkning</t>
        </is>
      </c>
      <c r="D4017" s="1" t="n">
        <v>45596</v>
      </c>
      <c r="E4017" s="1" t="n">
        <v>46319</v>
      </c>
      <c r="F4017" t="inlineStr">
        <is>
          <t>DALARNAS LÄN</t>
        </is>
      </c>
      <c r="G4017" t="inlineStr">
        <is>
          <t>FALUN</t>
        </is>
      </c>
      <c r="H4017" t="inlineStr">
        <is>
          <t>Bergvik skog väst AB</t>
        </is>
      </c>
      <c r="I4017" t="n">
        <v>4.4</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58317-2025</t>
        </is>
      </c>
      <c r="B4018" t="inlineStr">
        <is>
          <t>avverkningsanmälan</t>
        </is>
      </c>
      <c r="C4018" t="inlineStr">
        <is>
          <t>Föryngringsavverkning</t>
        </is>
      </c>
      <c r="D4018" s="1" t="n">
        <v>45985</v>
      </c>
      <c r="E4018" s="1" t="n">
        <v>46319</v>
      </c>
      <c r="F4018" t="inlineStr">
        <is>
          <t>DALARNAS LÄN</t>
        </is>
      </c>
      <c r="G4018" t="inlineStr">
        <is>
          <t>RÄTTVIK</t>
        </is>
      </c>
      <c r="I4018" t="n">
        <v>1.6</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30065-2026</t>
        </is>
      </c>
      <c r="B4019" t="inlineStr">
        <is>
          <t>avverkningsanmälan</t>
        </is>
      </c>
      <c r="C4019" t="inlineStr">
        <is>
          <t>Föryngringsavverkning</t>
        </is>
      </c>
      <c r="D4019" s="1" t="n">
        <v>46206</v>
      </c>
      <c r="E4019" s="1" t="n">
        <v>46319</v>
      </c>
      <c r="F4019" t="inlineStr">
        <is>
          <t>DALARNAS LÄN</t>
        </is>
      </c>
      <c r="G4019" t="inlineStr">
        <is>
          <t>ORSA</t>
        </is>
      </c>
      <c r="H4019" t="inlineStr">
        <is>
          <t>Bergvik skog öst AB</t>
        </is>
      </c>
      <c r="I4019" t="n">
        <v>2.6</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58361-2025</t>
        </is>
      </c>
      <c r="B4020" t="inlineStr">
        <is>
          <t>avverkningsanmälan</t>
        </is>
      </c>
      <c r="C4020" t="inlineStr">
        <is>
          <t>Föryngringsavverkning</t>
        </is>
      </c>
      <c r="D4020" s="1" t="n">
        <v>45985</v>
      </c>
      <c r="E4020" s="1" t="n">
        <v>46319</v>
      </c>
      <c r="F4020" t="inlineStr">
        <is>
          <t>DALARNAS LÄN</t>
        </is>
      </c>
      <c r="G4020" t="inlineStr">
        <is>
          <t>RÄTTVIK</t>
        </is>
      </c>
      <c r="I4020" t="n">
        <v>6.7</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58706-2025</t>
        </is>
      </c>
      <c r="B4021" t="inlineStr">
        <is>
          <t>avverkningsanmälan</t>
        </is>
      </c>
      <c r="C4021" t="inlineStr">
        <is>
          <t>Föryngringsavverkning</t>
        </is>
      </c>
      <c r="D4021" s="1" t="n">
        <v>45986</v>
      </c>
      <c r="E4021" s="1" t="n">
        <v>46319</v>
      </c>
      <c r="F4021" t="inlineStr">
        <is>
          <t>DALARNAS LÄN</t>
        </is>
      </c>
      <c r="G4021" t="inlineStr">
        <is>
          <t>BORLÄNGE</t>
        </is>
      </c>
      <c r="I4021" t="n">
        <v>0.9</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58714-2025</t>
        </is>
      </c>
      <c r="B4022" t="inlineStr">
        <is>
          <t>avverkningsanmälan</t>
        </is>
      </c>
      <c r="C4022" t="inlineStr">
        <is>
          <t>Föryngringsavverkning</t>
        </is>
      </c>
      <c r="D4022" s="1" t="n">
        <v>45986</v>
      </c>
      <c r="E4022" s="1" t="n">
        <v>46319</v>
      </c>
      <c r="F4022" t="inlineStr">
        <is>
          <t>DALARNAS LÄN</t>
        </is>
      </c>
      <c r="G4022" t="inlineStr">
        <is>
          <t>RÄTTVIK</t>
        </is>
      </c>
      <c r="I4022" t="n">
        <v>7.3</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23654-2023</t>
        </is>
      </c>
      <c r="B4023" t="inlineStr">
        <is>
          <t>avverkningsanmälan</t>
        </is>
      </c>
      <c r="C4023" t="inlineStr">
        <is>
          <t>Föryngringsavverkning</t>
        </is>
      </c>
      <c r="D4023" s="1" t="n">
        <v>45077</v>
      </c>
      <c r="E4023" s="1" t="n">
        <v>46319</v>
      </c>
      <c r="F4023" t="inlineStr">
        <is>
          <t>DALARNAS LÄN</t>
        </is>
      </c>
      <c r="G4023" t="inlineStr">
        <is>
          <t>GAGNEF</t>
        </is>
      </c>
      <c r="I4023" t="n">
        <v>3</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39807-2024</t>
        </is>
      </c>
      <c r="B4024" t="inlineStr">
        <is>
          <t>avverkningsanmälan</t>
        </is>
      </c>
      <c r="C4024" t="inlineStr">
        <is>
          <t>Föryngringsavverkning</t>
        </is>
      </c>
      <c r="D4024" s="1" t="n">
        <v>45553</v>
      </c>
      <c r="E4024" s="1" t="n">
        <v>46319</v>
      </c>
      <c r="F4024" t="inlineStr">
        <is>
          <t>DALARNAS LÄN</t>
        </is>
      </c>
      <c r="G4024" t="inlineStr">
        <is>
          <t>LEKSAND</t>
        </is>
      </c>
      <c r="H4024" t="inlineStr">
        <is>
          <t>Bergvik skog väst AB</t>
        </is>
      </c>
      <c r="I4024" t="n">
        <v>1.2</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58739-2025</t>
        </is>
      </c>
      <c r="B4025" t="inlineStr">
        <is>
          <t>avverkningsanmälan</t>
        </is>
      </c>
      <c r="C4025" t="inlineStr">
        <is>
          <t>Föryngringsavverkning</t>
        </is>
      </c>
      <c r="D4025" s="1" t="n">
        <v>45986</v>
      </c>
      <c r="E4025" s="1" t="n">
        <v>46319</v>
      </c>
      <c r="F4025" t="inlineStr">
        <is>
          <t>DALARNAS LÄN</t>
        </is>
      </c>
      <c r="G4025" t="inlineStr">
        <is>
          <t>ÄLVDALEN</t>
        </is>
      </c>
      <c r="H4025" t="inlineStr">
        <is>
          <t>Övriga statliga verk och myndigheter</t>
        </is>
      </c>
      <c r="I4025" t="n">
        <v>0.5</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60455-2022</t>
        </is>
      </c>
      <c r="B4026" t="inlineStr">
        <is>
          <t>avverkningsanmälan</t>
        </is>
      </c>
      <c r="C4026" t="inlineStr">
        <is>
          <t>Föryngringsavverkning</t>
        </is>
      </c>
      <c r="D4026" s="1" t="n">
        <v>44911</v>
      </c>
      <c r="E4026" s="1" t="n">
        <v>46319</v>
      </c>
      <c r="F4026" t="inlineStr">
        <is>
          <t>DALARNAS LÄN</t>
        </is>
      </c>
      <c r="G4026" t="inlineStr">
        <is>
          <t>RÄTTVIK</t>
        </is>
      </c>
      <c r="I4026" t="n">
        <v>4.7</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53703-2023</t>
        </is>
      </c>
      <c r="B4027" t="inlineStr">
        <is>
          <t>avverkningsanmälan</t>
        </is>
      </c>
      <c r="C4027" t="inlineStr">
        <is>
          <t>Föryngringsavverkning</t>
        </is>
      </c>
      <c r="D4027" s="1" t="n">
        <v>45224</v>
      </c>
      <c r="E4027" s="1" t="n">
        <v>46319</v>
      </c>
      <c r="F4027" t="inlineStr">
        <is>
          <t>DALARNAS LÄN</t>
        </is>
      </c>
      <c r="G4027" t="inlineStr">
        <is>
          <t>FALUN</t>
        </is>
      </c>
      <c r="I4027" t="n">
        <v>1.6</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30204-2024</t>
        </is>
      </c>
      <c r="B4028" t="inlineStr">
        <is>
          <t>avverkningsanmälan</t>
        </is>
      </c>
      <c r="C4028" t="inlineStr">
        <is>
          <t>Föryngringsavverkning</t>
        </is>
      </c>
      <c r="D4028" s="1" t="n">
        <v>45490</v>
      </c>
      <c r="E4028" s="1" t="n">
        <v>46319</v>
      </c>
      <c r="F4028" t="inlineStr">
        <is>
          <t>DALARNAS LÄN</t>
        </is>
      </c>
      <c r="G4028" t="inlineStr">
        <is>
          <t>LEKSAND</t>
        </is>
      </c>
      <c r="I4028" t="n">
        <v>0.7</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58376-2025</t>
        </is>
      </c>
      <c r="B4029" t="inlineStr">
        <is>
          <t>avverkningsanmälan</t>
        </is>
      </c>
      <c r="C4029" t="inlineStr">
        <is>
          <t>Föryngringsavverkning</t>
        </is>
      </c>
      <c r="D4029" s="1" t="n">
        <v>45985</v>
      </c>
      <c r="E4029" s="1" t="n">
        <v>46319</v>
      </c>
      <c r="F4029" t="inlineStr">
        <is>
          <t>DALARNAS LÄN</t>
        </is>
      </c>
      <c r="G4029" t="inlineStr">
        <is>
          <t>LEKSAND</t>
        </is>
      </c>
      <c r="I4029" t="n">
        <v>5.7</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41479-2025</t>
        </is>
      </c>
      <c r="B4030" t="inlineStr">
        <is>
          <t>avverkningsanmälan</t>
        </is>
      </c>
      <c r="C4030" t="inlineStr">
        <is>
          <t>Föryngringsavverkning</t>
        </is>
      </c>
      <c r="D4030" s="1" t="n">
        <v>45901</v>
      </c>
      <c r="E4030" s="1" t="n">
        <v>46319</v>
      </c>
      <c r="F4030" t="inlineStr">
        <is>
          <t>DALARNAS LÄN</t>
        </is>
      </c>
      <c r="G4030" t="inlineStr">
        <is>
          <t>SMEDJEBACKEN</t>
        </is>
      </c>
      <c r="I4030" t="n">
        <v>2.9</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3411-2025</t>
        </is>
      </c>
      <c r="B4031" t="inlineStr">
        <is>
          <t>avverkningsanmälan</t>
        </is>
      </c>
      <c r="C4031" t="inlineStr">
        <is>
          <t>Föryngringsavverkning</t>
        </is>
      </c>
      <c r="D4031" s="1" t="n">
        <v>45680</v>
      </c>
      <c r="E4031" s="1" t="n">
        <v>46319</v>
      </c>
      <c r="F4031" t="inlineStr">
        <is>
          <t>DALARNAS LÄN</t>
        </is>
      </c>
      <c r="G4031" t="inlineStr">
        <is>
          <t>GAGNEF</t>
        </is>
      </c>
      <c r="I4031" t="n">
        <v>5.3</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58564-2025</t>
        </is>
      </c>
      <c r="B4032" t="inlineStr">
        <is>
          <t>avverkningsanmälan</t>
        </is>
      </c>
      <c r="C4032" t="inlineStr">
        <is>
          <t>Föryngringsavverkning</t>
        </is>
      </c>
      <c r="D4032" s="1" t="n">
        <v>45986</v>
      </c>
      <c r="E4032" s="1" t="n">
        <v>46319</v>
      </c>
      <c r="F4032" t="inlineStr">
        <is>
          <t>DALARNAS LÄN</t>
        </is>
      </c>
      <c r="G4032" t="inlineStr">
        <is>
          <t>RÄTTVIK</t>
        </is>
      </c>
      <c r="I4032" t="n">
        <v>2.1</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20974-2026</t>
        </is>
      </c>
      <c r="B4033" t="inlineStr">
        <is>
          <t>avverkningsanmälan</t>
        </is>
      </c>
      <c r="C4033" t="inlineStr">
        <is>
          <t>Föryngringsavverkning</t>
        </is>
      </c>
      <c r="D4033" s="1" t="n">
        <v>46142</v>
      </c>
      <c r="E4033" s="1" t="n">
        <v>46319</v>
      </c>
      <c r="F4033" t="inlineStr">
        <is>
          <t>DALARNAS LÄN</t>
        </is>
      </c>
      <c r="G4033" t="inlineStr">
        <is>
          <t>LUDVIKA</t>
        </is>
      </c>
      <c r="H4033" t="inlineStr">
        <is>
          <t>Bergvik skog väst AB</t>
        </is>
      </c>
      <c r="I4033" t="n">
        <v>2</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28307-2022</t>
        </is>
      </c>
      <c r="B4034" t="inlineStr">
        <is>
          <t>avverkningsanmälan</t>
        </is>
      </c>
      <c r="C4034" t="inlineStr">
        <is>
          <t>Föryngringsavverkning</t>
        </is>
      </c>
      <c r="D4034" s="1" t="n">
        <v>44747</v>
      </c>
      <c r="E4034" s="1" t="n">
        <v>46319</v>
      </c>
      <c r="F4034" t="inlineStr">
        <is>
          <t>DALARNAS LÄN</t>
        </is>
      </c>
      <c r="G4034" t="inlineStr">
        <is>
          <t>GAGNEF</t>
        </is>
      </c>
      <c r="I4034" t="n">
        <v>2.7</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3655-2024</t>
        </is>
      </c>
      <c r="B4035" t="inlineStr">
        <is>
          <t>avverkningsanmälan</t>
        </is>
      </c>
      <c r="C4035" t="inlineStr">
        <is>
          <t>Föryngringsavverkning</t>
        </is>
      </c>
      <c r="D4035" s="1" t="n">
        <v>45321</v>
      </c>
      <c r="E4035" s="1" t="n">
        <v>46319</v>
      </c>
      <c r="F4035" t="inlineStr">
        <is>
          <t>DALARNAS LÄN</t>
        </is>
      </c>
      <c r="G4035" t="inlineStr">
        <is>
          <t>RÄTTVIK</t>
        </is>
      </c>
      <c r="I4035" t="n">
        <v>0.4</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20403-2025</t>
        </is>
      </c>
      <c r="B4036" t="inlineStr">
        <is>
          <t>avverkningsanmälan</t>
        </is>
      </c>
      <c r="C4036" t="inlineStr">
        <is>
          <t>Föryngringsavverkning</t>
        </is>
      </c>
      <c r="D4036" s="1" t="n">
        <v>45775</v>
      </c>
      <c r="E4036" s="1" t="n">
        <v>46319</v>
      </c>
      <c r="F4036" t="inlineStr">
        <is>
          <t>DALARNAS LÄN</t>
        </is>
      </c>
      <c r="G4036" t="inlineStr">
        <is>
          <t>RÄTTVIK</t>
        </is>
      </c>
      <c r="H4036" t="inlineStr">
        <is>
          <t>Övriga statliga verk och myndigheter</t>
        </is>
      </c>
      <c r="I4036" t="n">
        <v>0.9</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58280-2025</t>
        </is>
      </c>
      <c r="B4037" t="inlineStr">
        <is>
          <t>avverkningsanmälan</t>
        </is>
      </c>
      <c r="C4037" t="inlineStr">
        <is>
          <t>Föryngringsavverkning</t>
        </is>
      </c>
      <c r="D4037" s="1" t="n">
        <v>45985</v>
      </c>
      <c r="E4037" s="1" t="n">
        <v>46319</v>
      </c>
      <c r="F4037" t="inlineStr">
        <is>
          <t>DALARNAS LÄN</t>
        </is>
      </c>
      <c r="G4037" t="inlineStr">
        <is>
          <t>SMEDJEBACKEN</t>
        </is>
      </c>
      <c r="I4037" t="n">
        <v>2.1</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7188-2023</t>
        </is>
      </c>
      <c r="B4038" t="inlineStr">
        <is>
          <t>avverkningsanmälan</t>
        </is>
      </c>
      <c r="C4038" t="inlineStr">
        <is>
          <t>Föryngringsavverkning</t>
        </is>
      </c>
      <c r="D4038" s="1" t="n">
        <v>44965</v>
      </c>
      <c r="E4038" s="1" t="n">
        <v>46319</v>
      </c>
      <c r="F4038" t="inlineStr">
        <is>
          <t>DALARNAS LÄN</t>
        </is>
      </c>
      <c r="G4038" t="inlineStr">
        <is>
          <t>SÄTER</t>
        </is>
      </c>
      <c r="I4038" t="n">
        <v>1</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3277-2024</t>
        </is>
      </c>
      <c r="B4039" t="inlineStr">
        <is>
          <t>avverkningsanmälan</t>
        </is>
      </c>
      <c r="C4039" t="inlineStr">
        <is>
          <t>Avverkning för annat ändamål</t>
        </is>
      </c>
      <c r="D4039" s="1" t="n">
        <v>45317</v>
      </c>
      <c r="E4039" s="1" t="n">
        <v>46319</v>
      </c>
      <c r="F4039" t="inlineStr">
        <is>
          <t>DALARNAS LÄN</t>
        </is>
      </c>
      <c r="G4039" t="inlineStr">
        <is>
          <t>LUDVIKA</t>
        </is>
      </c>
      <c r="I4039" t="n">
        <v>0.3</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3278-2024</t>
        </is>
      </c>
      <c r="B4040" t="inlineStr">
        <is>
          <t>avverkningsanmälan</t>
        </is>
      </c>
      <c r="C4040" t="inlineStr">
        <is>
          <t>Föryngringsavverkning</t>
        </is>
      </c>
      <c r="D4040" s="1" t="n">
        <v>45317</v>
      </c>
      <c r="E4040" s="1" t="n">
        <v>46319</v>
      </c>
      <c r="F4040" t="inlineStr">
        <is>
          <t>DALARNAS LÄN</t>
        </is>
      </c>
      <c r="G4040" t="inlineStr">
        <is>
          <t>FALUN</t>
        </is>
      </c>
      <c r="I4040" t="n">
        <v>1.9</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56464-2022</t>
        </is>
      </c>
      <c r="B4041" t="inlineStr">
        <is>
          <t>avverkningsanmälan</t>
        </is>
      </c>
      <c r="C4041" t="inlineStr">
        <is>
          <t>Föryngringsavverkning</t>
        </is>
      </c>
      <c r="D4041" s="1" t="n">
        <v>44893</v>
      </c>
      <c r="E4041" s="1" t="n">
        <v>46319</v>
      </c>
      <c r="F4041" t="inlineStr">
        <is>
          <t>DALARNAS LÄN</t>
        </is>
      </c>
      <c r="G4041" t="inlineStr">
        <is>
          <t>AVESTA</t>
        </is>
      </c>
      <c r="I4041" t="n">
        <v>6.4</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5369-2025</t>
        </is>
      </c>
      <c r="B4042" t="inlineStr">
        <is>
          <t>avverkningsanmälan</t>
        </is>
      </c>
      <c r="C4042" t="inlineStr">
        <is>
          <t>Föryngringsavverkning</t>
        </is>
      </c>
      <c r="D4042" s="1" t="n">
        <v>45692</v>
      </c>
      <c r="E4042" s="1" t="n">
        <v>46319</v>
      </c>
      <c r="F4042" t="inlineStr">
        <is>
          <t>DALARNAS LÄN</t>
        </is>
      </c>
      <c r="G4042" t="inlineStr">
        <is>
          <t>MALUNG-SÄLEN</t>
        </is>
      </c>
      <c r="I4042" t="n">
        <v>2.3</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54609-2025</t>
        </is>
      </c>
      <c r="B4043" t="inlineStr">
        <is>
          <t>avverkningsanmälan</t>
        </is>
      </c>
      <c r="C4043" t="inlineStr">
        <is>
          <t>Föryngringsavverkning</t>
        </is>
      </c>
      <c r="D4043" s="1" t="n">
        <v>45966</v>
      </c>
      <c r="E4043" s="1" t="n">
        <v>46319</v>
      </c>
      <c r="F4043" t="inlineStr">
        <is>
          <t>DALARNAS LÄN</t>
        </is>
      </c>
      <c r="G4043" t="inlineStr">
        <is>
          <t>FALUN</t>
        </is>
      </c>
      <c r="I4043" t="n">
        <v>5.3</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30270-2026</t>
        </is>
      </c>
      <c r="B4044" t="inlineStr">
        <is>
          <t>avverkningsanmälan</t>
        </is>
      </c>
      <c r="C4044" t="inlineStr">
        <is>
          <t>Föryngringsavverkning</t>
        </is>
      </c>
      <c r="D4044" s="1" t="n">
        <v>46206</v>
      </c>
      <c r="E4044" s="1" t="n">
        <v>46319</v>
      </c>
      <c r="F4044" t="inlineStr">
        <is>
          <t>DALARNAS LÄN</t>
        </is>
      </c>
      <c r="G4044" t="inlineStr">
        <is>
          <t>SMEDJEBACKEN</t>
        </is>
      </c>
      <c r="H4044" t="inlineStr">
        <is>
          <t>Sveaskog</t>
        </is>
      </c>
      <c r="I4044" t="n">
        <v>2.7</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4700-2023</t>
        </is>
      </c>
      <c r="B4045" t="inlineStr">
        <is>
          <t>avverkningsanmälan</t>
        </is>
      </c>
      <c r="C4045" t="inlineStr">
        <is>
          <t>Föryngringsavverkning</t>
        </is>
      </c>
      <c r="D4045" s="1" t="n">
        <v>44957</v>
      </c>
      <c r="E4045" s="1" t="n">
        <v>46319</v>
      </c>
      <c r="F4045" t="inlineStr">
        <is>
          <t>DALARNAS LÄN</t>
        </is>
      </c>
      <c r="G4045" t="inlineStr">
        <is>
          <t>FALUN</t>
        </is>
      </c>
      <c r="I4045" t="n">
        <v>0.5</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37574-2025</t>
        </is>
      </c>
      <c r="B4046" t="inlineStr">
        <is>
          <t>avverkningsanmälan</t>
        </is>
      </c>
      <c r="C4046" t="inlineStr">
        <is>
          <t>Föryngringsavverkning</t>
        </is>
      </c>
      <c r="D4046" s="1" t="n">
        <v>45880</v>
      </c>
      <c r="E4046" s="1" t="n">
        <v>46319</v>
      </c>
      <c r="F4046" t="inlineStr">
        <is>
          <t>DALARNAS LÄN</t>
        </is>
      </c>
      <c r="G4046" t="inlineStr">
        <is>
          <t>HEDEMORA</t>
        </is>
      </c>
      <c r="H4046" t="inlineStr">
        <is>
          <t>Sveaskog</t>
        </is>
      </c>
      <c r="I4046" t="n">
        <v>5.7</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21443-2023</t>
        </is>
      </c>
      <c r="B4047" t="inlineStr">
        <is>
          <t>avverkningsanmälan</t>
        </is>
      </c>
      <c r="C4047" t="inlineStr">
        <is>
          <t>Föryngringsavverkning</t>
        </is>
      </c>
      <c r="D4047" s="1" t="n">
        <v>45063</v>
      </c>
      <c r="E4047" s="1" t="n">
        <v>46319</v>
      </c>
      <c r="F4047" t="inlineStr">
        <is>
          <t>DALARNAS LÄN</t>
        </is>
      </c>
      <c r="G4047" t="inlineStr">
        <is>
          <t>SMEDJEBACKEN</t>
        </is>
      </c>
      <c r="H4047" t="inlineStr">
        <is>
          <t>Bergvik skog väst AB</t>
        </is>
      </c>
      <c r="I4047" t="n">
        <v>0.5</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31850-2024</t>
        </is>
      </c>
      <c r="B4048" t="inlineStr">
        <is>
          <t>avverkningsanmälan</t>
        </is>
      </c>
      <c r="C4048" t="inlineStr">
        <is>
          <t>Avverkning för annat ändamål</t>
        </is>
      </c>
      <c r="D4048" s="1" t="n">
        <v>45509</v>
      </c>
      <c r="E4048" s="1" t="n">
        <v>46319</v>
      </c>
      <c r="F4048" t="inlineStr">
        <is>
          <t>DALARNAS LÄN</t>
        </is>
      </c>
      <c r="G4048" t="inlineStr">
        <is>
          <t>LEKSAND</t>
        </is>
      </c>
      <c r="I4048" t="n">
        <v>0.5</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59048-2025</t>
        </is>
      </c>
      <c r="B4049" t="inlineStr">
        <is>
          <t>avverkningsanmälan</t>
        </is>
      </c>
      <c r="C4049" t="inlineStr">
        <is>
          <t>Föryngringsavverkning</t>
        </is>
      </c>
      <c r="D4049" s="1" t="n">
        <v>45987</v>
      </c>
      <c r="E4049" s="1" t="n">
        <v>46319</v>
      </c>
      <c r="F4049" t="inlineStr">
        <is>
          <t>DALARNAS LÄN</t>
        </is>
      </c>
      <c r="G4049" t="inlineStr">
        <is>
          <t>MALUNG-SÄLEN</t>
        </is>
      </c>
      <c r="I4049" t="n">
        <v>9.300000000000001</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54546-2024</t>
        </is>
      </c>
      <c r="B4050" t="inlineStr">
        <is>
          <t>avverkningsanmälan</t>
        </is>
      </c>
      <c r="C4050" t="inlineStr">
        <is>
          <t>Föryngringsavverkning</t>
        </is>
      </c>
      <c r="D4050" s="1" t="n">
        <v>45617</v>
      </c>
      <c r="E4050" s="1" t="n">
        <v>46319</v>
      </c>
      <c r="F4050" t="inlineStr">
        <is>
          <t>DALARNAS LÄN</t>
        </is>
      </c>
      <c r="G4050" t="inlineStr">
        <is>
          <t>ORSA</t>
        </is>
      </c>
      <c r="I4050" t="n">
        <v>0.7</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33931-2024</t>
        </is>
      </c>
      <c r="B4051" t="inlineStr">
        <is>
          <t>avverkningsanmälan</t>
        </is>
      </c>
      <c r="C4051" t="inlineStr">
        <is>
          <t>Föryngringsavverkning</t>
        </is>
      </c>
      <c r="D4051" s="1" t="n">
        <v>45523</v>
      </c>
      <c r="E4051" s="1" t="n">
        <v>46319</v>
      </c>
      <c r="F4051" t="inlineStr">
        <is>
          <t>DALARNAS LÄN</t>
        </is>
      </c>
      <c r="G4051" t="inlineStr">
        <is>
          <t>FALUN</t>
        </is>
      </c>
      <c r="I4051" t="n">
        <v>0.5</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47086-2025</t>
        </is>
      </c>
      <c r="B4052" t="inlineStr">
        <is>
          <t>avverkningsanmälan</t>
        </is>
      </c>
      <c r="C4052" t="inlineStr">
        <is>
          <t>Föryngringsavverkning</t>
        </is>
      </c>
      <c r="D4052" s="1" t="n">
        <v>45929</v>
      </c>
      <c r="E4052" s="1" t="n">
        <v>46319</v>
      </c>
      <c r="F4052" t="inlineStr">
        <is>
          <t>DALARNAS LÄN</t>
        </is>
      </c>
      <c r="G4052" t="inlineStr">
        <is>
          <t>LUDVIKA</t>
        </is>
      </c>
      <c r="H4052" t="inlineStr">
        <is>
          <t>Bergvik skog väst AB</t>
        </is>
      </c>
      <c r="I4052" t="n">
        <v>1.6</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47976-2023</t>
        </is>
      </c>
      <c r="B4053" t="inlineStr">
        <is>
          <t>avverkningsanmälan</t>
        </is>
      </c>
      <c r="C4053" t="inlineStr">
        <is>
          <t>Föryngringsavverkning</t>
        </is>
      </c>
      <c r="D4053" s="1" t="n">
        <v>45204</v>
      </c>
      <c r="E4053" s="1" t="n">
        <v>46319</v>
      </c>
      <c r="F4053" t="inlineStr">
        <is>
          <t>DALARNAS LÄN</t>
        </is>
      </c>
      <c r="G4053" t="inlineStr">
        <is>
          <t>MALUNG-SÄLEN</t>
        </is>
      </c>
      <c r="H4053" t="inlineStr">
        <is>
          <t>Bergvik skog öst AB</t>
        </is>
      </c>
      <c r="I4053" t="n">
        <v>2</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47032-2025</t>
        </is>
      </c>
      <c r="B4054" t="inlineStr">
        <is>
          <t>avverkningsanmälan</t>
        </is>
      </c>
      <c r="C4054" t="inlineStr">
        <is>
          <t>Föryngringsavverkning</t>
        </is>
      </c>
      <c r="D4054" s="1" t="n">
        <v>45929</v>
      </c>
      <c r="E4054" s="1" t="n">
        <v>46319</v>
      </c>
      <c r="F4054" t="inlineStr">
        <is>
          <t>DALARNAS LÄN</t>
        </is>
      </c>
      <c r="G4054" t="inlineStr">
        <is>
          <t>LUDVIKA</t>
        </is>
      </c>
      <c r="H4054" t="inlineStr">
        <is>
          <t>Bergvik skog väst AB</t>
        </is>
      </c>
      <c r="I4054" t="n">
        <v>1.9</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30177-2026</t>
        </is>
      </c>
      <c r="B4055" t="inlineStr">
        <is>
          <t>avverkningsanmälan</t>
        </is>
      </c>
      <c r="C4055" t="inlineStr">
        <is>
          <t>Föryngringsavverkning</t>
        </is>
      </c>
      <c r="D4055" s="1" t="n">
        <v>46206</v>
      </c>
      <c r="E4055" s="1" t="n">
        <v>46319</v>
      </c>
      <c r="F4055" t="inlineStr">
        <is>
          <t>DALARNAS LÄN</t>
        </is>
      </c>
      <c r="G4055" t="inlineStr">
        <is>
          <t>ORSA</t>
        </is>
      </c>
      <c r="H4055" t="inlineStr">
        <is>
          <t>Bergvik skog öst AB</t>
        </is>
      </c>
      <c r="I4055" t="n">
        <v>18.5</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30269-2026</t>
        </is>
      </c>
      <c r="B4056" t="inlineStr">
        <is>
          <t>avverkningsanmälan</t>
        </is>
      </c>
      <c r="C4056" t="inlineStr">
        <is>
          <t>Föryngringsavverkning</t>
        </is>
      </c>
      <c r="D4056" s="1" t="n">
        <v>46206</v>
      </c>
      <c r="E4056" s="1" t="n">
        <v>46319</v>
      </c>
      <c r="F4056" t="inlineStr">
        <is>
          <t>DALARNAS LÄN</t>
        </is>
      </c>
      <c r="G4056" t="inlineStr">
        <is>
          <t>SMEDJEBACKEN</t>
        </is>
      </c>
      <c r="H4056" t="inlineStr">
        <is>
          <t>Sveaskog</t>
        </is>
      </c>
      <c r="I4056" t="n">
        <v>1</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58886-2025</t>
        </is>
      </c>
      <c r="B4057" t="inlineStr">
        <is>
          <t>avverkningsanmälan</t>
        </is>
      </c>
      <c r="C4057" t="inlineStr">
        <is>
          <t>Föryngringsavverkning</t>
        </is>
      </c>
      <c r="D4057" s="1" t="n">
        <v>45987</v>
      </c>
      <c r="E4057" s="1" t="n">
        <v>46319</v>
      </c>
      <c r="F4057" t="inlineStr">
        <is>
          <t>DALARNAS LÄN</t>
        </is>
      </c>
      <c r="G4057" t="inlineStr">
        <is>
          <t>ORSA</t>
        </is>
      </c>
      <c r="I4057" t="n">
        <v>2.7</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2086-2024</t>
        </is>
      </c>
      <c r="B4058" t="inlineStr">
        <is>
          <t>avverkningsanmälan</t>
        </is>
      </c>
      <c r="C4058" t="inlineStr">
        <is>
          <t>Avverkning för annat ändamål</t>
        </is>
      </c>
      <c r="D4058" s="1" t="n">
        <v>45309</v>
      </c>
      <c r="E4058" s="1" t="n">
        <v>46319</v>
      </c>
      <c r="F4058" t="inlineStr">
        <is>
          <t>DALARNAS LÄN</t>
        </is>
      </c>
      <c r="G4058" t="inlineStr">
        <is>
          <t>VANSBRO</t>
        </is>
      </c>
      <c r="I4058" t="n">
        <v>0.4</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59083-2025</t>
        </is>
      </c>
      <c r="B4059" t="inlineStr">
        <is>
          <t>avverkningsanmälan</t>
        </is>
      </c>
      <c r="C4059" t="inlineStr">
        <is>
          <t>Föryngringsavverkning</t>
        </is>
      </c>
      <c r="D4059" s="1" t="n">
        <v>45988</v>
      </c>
      <c r="E4059" s="1" t="n">
        <v>46319</v>
      </c>
      <c r="F4059" t="inlineStr">
        <is>
          <t>DALARNAS LÄN</t>
        </is>
      </c>
      <c r="G4059" t="inlineStr">
        <is>
          <t>LEKSAND</t>
        </is>
      </c>
      <c r="H4059" t="inlineStr">
        <is>
          <t>Bergvik skog väst AB</t>
        </is>
      </c>
      <c r="I4059" t="n">
        <v>2.7</v>
      </c>
      <c r="J4059" t="n">
        <v>0</v>
      </c>
      <c r="K4059" t="n">
        <v>0</v>
      </c>
      <c r="L4059" t="n">
        <v>0</v>
      </c>
      <c r="M4059" t="n">
        <v>0</v>
      </c>
      <c r="N4059" t="n">
        <v>0</v>
      </c>
      <c r="O4059" t="n">
        <v>0</v>
      </c>
      <c r="P4059" t="n">
        <v>0</v>
      </c>
      <c r="Q4059" t="n">
        <v>0</v>
      </c>
      <c r="R4059" t="n">
        <v>0</v>
      </c>
      <c r="S4059" t="n">
        <v>0</v>
      </c>
      <c r="T4059" t="n">
        <v>0</v>
      </c>
      <c r="U4059" t="n">
        <v>0</v>
      </c>
      <c r="V4059" s="2" t="inlineStr"/>
      <c r="Z4059">
        <f>HYPERLINK("https://klasma.github.io/Logging_2029/knärot/A 59083-2025 karta knärot.png", "A 59083-2025")</f>
        <v/>
      </c>
      <c r="AA4059">
        <f>HYPERLINK("https://klasma.github.io/Logging_2029/klagomål/A 59083-2025 FSC-klagomål.docx", "A 59083-2025")</f>
        <v/>
      </c>
      <c r="AB4059">
        <f>HYPERLINK("https://klasma.github.io/Logging_2029/klagomålsmail/A 59083-2025 FSC-klagomål mail.docx", "A 59083-2025")</f>
        <v/>
      </c>
      <c r="AC4059">
        <f>HYPERLINK("https://klasma.github.io/Logging_2029/tillsyn/A 59083-2025 tillsynsbegäran.docx", "A 59083-2025")</f>
        <v/>
      </c>
      <c r="AD4059">
        <f>HYPERLINK("https://klasma.github.io/Logging_2029/tillsynsmail/A 59083-2025 tillsynsbegäran mail.docx", "A 59083-2025")</f>
        <v/>
      </c>
    </row>
    <row r="4060" ht="15" customHeight="1">
      <c r="A4060" t="inlineStr">
        <is>
          <t>A 59124-2025</t>
        </is>
      </c>
      <c r="B4060" t="inlineStr">
        <is>
          <t>avverkningsanmälan</t>
        </is>
      </c>
      <c r="C4060" t="inlineStr">
        <is>
          <t>Föryngringsavverkning</t>
        </is>
      </c>
      <c r="D4060" s="1" t="n">
        <v>45988</v>
      </c>
      <c r="E4060" s="1" t="n">
        <v>46319</v>
      </c>
      <c r="F4060" t="inlineStr">
        <is>
          <t>DALARNAS LÄN</t>
        </is>
      </c>
      <c r="G4060" t="inlineStr">
        <is>
          <t>ORSA</t>
        </is>
      </c>
      <c r="I4060" t="n">
        <v>0.6</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58844-2025</t>
        </is>
      </c>
      <c r="B4061" t="inlineStr">
        <is>
          <t>avverkningsanmälan</t>
        </is>
      </c>
      <c r="C4061" t="inlineStr">
        <is>
          <t>Föryngringsavverkning</t>
        </is>
      </c>
      <c r="D4061" s="1" t="n">
        <v>45987</v>
      </c>
      <c r="E4061" s="1" t="n">
        <v>46319</v>
      </c>
      <c r="F4061" t="inlineStr">
        <is>
          <t>DALARNAS LÄN</t>
        </is>
      </c>
      <c r="G4061" t="inlineStr">
        <is>
          <t>RÄTTVIK</t>
        </is>
      </c>
      <c r="H4061" t="inlineStr">
        <is>
          <t>Bergvik skog väst AB</t>
        </is>
      </c>
      <c r="I4061" t="n">
        <v>9.6</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59060-2025</t>
        </is>
      </c>
      <c r="B4062" t="inlineStr">
        <is>
          <t>avverkningsanmälan</t>
        </is>
      </c>
      <c r="C4062" t="inlineStr">
        <is>
          <t>Föryngringsavverkning</t>
        </is>
      </c>
      <c r="D4062" s="1" t="n">
        <v>45988</v>
      </c>
      <c r="E4062" s="1" t="n">
        <v>46319</v>
      </c>
      <c r="F4062" t="inlineStr">
        <is>
          <t>DALARNAS LÄN</t>
        </is>
      </c>
      <c r="G4062" t="inlineStr">
        <is>
          <t>RÄTTVIK</t>
        </is>
      </c>
      <c r="H4062" t="inlineStr">
        <is>
          <t>Bergvik skog väst AB</t>
        </is>
      </c>
      <c r="I4062" t="n">
        <v>1.7</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23871-2026</t>
        </is>
      </c>
      <c r="B4063" t="inlineStr">
        <is>
          <t>avverkningsanmälan</t>
        </is>
      </c>
      <c r="C4063" t="inlineStr">
        <is>
          <t>Föryngringsavverkning</t>
        </is>
      </c>
      <c r="D4063" s="1" t="n">
        <v>46167</v>
      </c>
      <c r="E4063" s="1" t="n">
        <v>46319</v>
      </c>
      <c r="F4063" t="inlineStr">
        <is>
          <t>DALARNAS LÄN</t>
        </is>
      </c>
      <c r="G4063" t="inlineStr">
        <is>
          <t>LUDVIKA</t>
        </is>
      </c>
      <c r="H4063" t="inlineStr">
        <is>
          <t>Kommuner</t>
        </is>
      </c>
      <c r="I4063" t="n">
        <v>1.3</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11277-2025</t>
        </is>
      </c>
      <c r="B4064" t="inlineStr">
        <is>
          <t>avverkningsanmälan</t>
        </is>
      </c>
      <c r="C4064" t="inlineStr">
        <is>
          <t>Föryngringsavverkning</t>
        </is>
      </c>
      <c r="D4064" s="1" t="n">
        <v>45726</v>
      </c>
      <c r="E4064" s="1" t="n">
        <v>46319</v>
      </c>
      <c r="F4064" t="inlineStr">
        <is>
          <t>DALARNAS LÄN</t>
        </is>
      </c>
      <c r="G4064" t="inlineStr">
        <is>
          <t>LEKSAND</t>
        </is>
      </c>
      <c r="I4064" t="n">
        <v>2</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59307-2023</t>
        </is>
      </c>
      <c r="B4065" t="inlineStr">
        <is>
          <t>avverkningsanmälan</t>
        </is>
      </c>
      <c r="C4065" t="inlineStr">
        <is>
          <t>Föryngringsavverkning</t>
        </is>
      </c>
      <c r="D4065" s="1" t="n">
        <v>45253</v>
      </c>
      <c r="E4065" s="1" t="n">
        <v>46319</v>
      </c>
      <c r="F4065" t="inlineStr">
        <is>
          <t>DALARNAS LÄN</t>
        </is>
      </c>
      <c r="G4065" t="inlineStr">
        <is>
          <t>RÄTTVIK</t>
        </is>
      </c>
      <c r="I4065" t="n">
        <v>1.1</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47616-2024</t>
        </is>
      </c>
      <c r="B4066" t="inlineStr">
        <is>
          <t>avverkningsanmälan</t>
        </is>
      </c>
      <c r="C4066" t="inlineStr">
        <is>
          <t>Föryngringsavverkning</t>
        </is>
      </c>
      <c r="D4066" s="1" t="n">
        <v>45588</v>
      </c>
      <c r="E4066" s="1" t="n">
        <v>46319</v>
      </c>
      <c r="F4066" t="inlineStr">
        <is>
          <t>DALARNAS LÄN</t>
        </is>
      </c>
      <c r="G4066" t="inlineStr">
        <is>
          <t>RÄTTVIK</t>
        </is>
      </c>
      <c r="I4066" t="n">
        <v>1.4</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30347-2026</t>
        </is>
      </c>
      <c r="B4067" t="inlineStr">
        <is>
          <t>avverkningsanmälan</t>
        </is>
      </c>
      <c r="C4067" t="inlineStr">
        <is>
          <t>Föryngringsavverkning</t>
        </is>
      </c>
      <c r="D4067" s="1" t="n">
        <v>46209</v>
      </c>
      <c r="E4067" s="1" t="n">
        <v>46319</v>
      </c>
      <c r="F4067" t="inlineStr">
        <is>
          <t>DALARNAS LÄN</t>
        </is>
      </c>
      <c r="G4067" t="inlineStr">
        <is>
          <t>RÄTTVIK</t>
        </is>
      </c>
      <c r="I4067" t="n">
        <v>0.7</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58322-2023</t>
        </is>
      </c>
      <c r="B4068" t="inlineStr">
        <is>
          <t>avverkningsanmälan</t>
        </is>
      </c>
      <c r="C4068" t="inlineStr">
        <is>
          <t>Föryngringsavverkning</t>
        </is>
      </c>
      <c r="D4068" s="1" t="n">
        <v>45250</v>
      </c>
      <c r="E4068" s="1" t="n">
        <v>46319</v>
      </c>
      <c r="F4068" t="inlineStr">
        <is>
          <t>DALARNAS LÄN</t>
        </is>
      </c>
      <c r="G4068" t="inlineStr">
        <is>
          <t>FALUN</t>
        </is>
      </c>
      <c r="I4068" t="n">
        <v>0.4</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325-2023</t>
        </is>
      </c>
      <c r="B4069" t="inlineStr">
        <is>
          <t>avverkningsanmälan</t>
        </is>
      </c>
      <c r="C4069" t="inlineStr">
        <is>
          <t>Föryngringsavverkning</t>
        </is>
      </c>
      <c r="D4069" s="1" t="n">
        <v>44929</v>
      </c>
      <c r="E4069" s="1" t="n">
        <v>46319</v>
      </c>
      <c r="F4069" t="inlineStr">
        <is>
          <t>DALARNAS LÄN</t>
        </is>
      </c>
      <c r="G4069" t="inlineStr">
        <is>
          <t>LEKSAND</t>
        </is>
      </c>
      <c r="H4069" t="inlineStr">
        <is>
          <t>Övriga Aktiebolag</t>
        </is>
      </c>
      <c r="I4069" t="n">
        <v>7.1</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30091-2026</t>
        </is>
      </c>
      <c r="B4070" t="inlineStr">
        <is>
          <t>avverkningsanmälan</t>
        </is>
      </c>
      <c r="C4070" t="inlineStr">
        <is>
          <t>Föryngringsavverkning</t>
        </is>
      </c>
      <c r="D4070" s="1" t="n">
        <v>46206</v>
      </c>
      <c r="E4070" s="1" t="n">
        <v>46319</v>
      </c>
      <c r="F4070" t="inlineStr">
        <is>
          <t>DALARNAS LÄN</t>
        </is>
      </c>
      <c r="G4070" t="inlineStr">
        <is>
          <t>RÄTTVIK</t>
        </is>
      </c>
      <c r="I4070" t="n">
        <v>2.4</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30106-2026</t>
        </is>
      </c>
      <c r="B4071" t="inlineStr">
        <is>
          <t>avverkningsanmälan</t>
        </is>
      </c>
      <c r="C4071" t="inlineStr">
        <is>
          <t>Föryngringsavverkning</t>
        </is>
      </c>
      <c r="D4071" s="1" t="n">
        <v>46206</v>
      </c>
      <c r="E4071" s="1" t="n">
        <v>46319</v>
      </c>
      <c r="F4071" t="inlineStr">
        <is>
          <t>DALARNAS LÄN</t>
        </is>
      </c>
      <c r="G4071" t="inlineStr">
        <is>
          <t>LUDVIKA</t>
        </is>
      </c>
      <c r="H4071" t="inlineStr">
        <is>
          <t>Bergvik skog väst AB</t>
        </is>
      </c>
      <c r="I4071" t="n">
        <v>1.5</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12497-2024</t>
        </is>
      </c>
      <c r="B4072" t="inlineStr">
        <is>
          <t>avverkningsanmälan</t>
        </is>
      </c>
      <c r="C4072" t="inlineStr">
        <is>
          <t>Avverkning för annat ändamål</t>
        </is>
      </c>
      <c r="D4072" s="1" t="n">
        <v>45379</v>
      </c>
      <c r="E4072" s="1" t="n">
        <v>46319</v>
      </c>
      <c r="F4072" t="inlineStr">
        <is>
          <t>DALARNAS LÄN</t>
        </is>
      </c>
      <c r="G4072" t="inlineStr">
        <is>
          <t>LUDVIKA</t>
        </is>
      </c>
      <c r="H4072" t="inlineStr">
        <is>
          <t>Naturvårdsverket</t>
        </is>
      </c>
      <c r="I4072" t="n">
        <v>0.4</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59171-2025</t>
        </is>
      </c>
      <c r="B4073" t="inlineStr">
        <is>
          <t>avverkningsanmälan</t>
        </is>
      </c>
      <c r="C4073" t="inlineStr">
        <is>
          <t>Föryngringsavverkning</t>
        </is>
      </c>
      <c r="D4073" s="1" t="n">
        <v>45988</v>
      </c>
      <c r="E4073" s="1" t="n">
        <v>46319</v>
      </c>
      <c r="F4073" t="inlineStr">
        <is>
          <t>DALARNAS LÄN</t>
        </is>
      </c>
      <c r="G4073" t="inlineStr">
        <is>
          <t>LUDVIKA</t>
        </is>
      </c>
      <c r="H4073" t="inlineStr">
        <is>
          <t>Bergvik skog väst AB</t>
        </is>
      </c>
      <c r="I4073" t="n">
        <v>3</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59190-2025</t>
        </is>
      </c>
      <c r="B4074" t="inlineStr">
        <is>
          <t>avverkningsanmälan</t>
        </is>
      </c>
      <c r="C4074" t="inlineStr">
        <is>
          <t>Föryngringsavverkning</t>
        </is>
      </c>
      <c r="D4074" s="1" t="n">
        <v>45988</v>
      </c>
      <c r="E4074" s="1" t="n">
        <v>46319</v>
      </c>
      <c r="F4074" t="inlineStr">
        <is>
          <t>DALARNAS LÄN</t>
        </is>
      </c>
      <c r="G4074" t="inlineStr">
        <is>
          <t>FALUN</t>
        </is>
      </c>
      <c r="I4074" t="n">
        <v>1.3</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30537-2024</t>
        </is>
      </c>
      <c r="B4075" t="inlineStr">
        <is>
          <t>avverkningsanmälan</t>
        </is>
      </c>
      <c r="C4075" t="inlineStr">
        <is>
          <t>Föryngringsavverkning</t>
        </is>
      </c>
      <c r="D4075" s="1" t="n">
        <v>45492</v>
      </c>
      <c r="E4075" s="1" t="n">
        <v>46319</v>
      </c>
      <c r="F4075" t="inlineStr">
        <is>
          <t>DALARNAS LÄN</t>
        </is>
      </c>
      <c r="G4075" t="inlineStr">
        <is>
          <t>FALUN</t>
        </is>
      </c>
      <c r="I4075" t="n">
        <v>1.5</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30463-2026</t>
        </is>
      </c>
      <c r="B4076" t="inlineStr">
        <is>
          <t>avverkningsanmälan</t>
        </is>
      </c>
      <c r="C4076" t="inlineStr">
        <is>
          <t>Föryngringsavverkning</t>
        </is>
      </c>
      <c r="D4076" s="1" t="n">
        <v>46209</v>
      </c>
      <c r="E4076" s="1" t="n">
        <v>46319</v>
      </c>
      <c r="F4076" t="inlineStr">
        <is>
          <t>DALARNAS LÄN</t>
        </is>
      </c>
      <c r="G4076" t="inlineStr">
        <is>
          <t>FALUN</t>
        </is>
      </c>
      <c r="I4076" t="n">
        <v>1.8</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30138-2026</t>
        </is>
      </c>
      <c r="B4077" t="inlineStr">
        <is>
          <t>avverkningsanmälan</t>
        </is>
      </c>
      <c r="C4077" t="inlineStr">
        <is>
          <t>Avverkning för annat ändamål</t>
        </is>
      </c>
      <c r="D4077" s="1" t="n">
        <v>46206</v>
      </c>
      <c r="E4077" s="1" t="n">
        <v>46319</v>
      </c>
      <c r="F4077" t="inlineStr">
        <is>
          <t>DALARNAS LÄN</t>
        </is>
      </c>
      <c r="G4077" t="inlineStr">
        <is>
          <t>ORSA</t>
        </is>
      </c>
      <c r="H4077" t="inlineStr">
        <is>
          <t>Allmännings- och besparingsskogar</t>
        </is>
      </c>
      <c r="I4077" t="n">
        <v>6.2</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59223-2025</t>
        </is>
      </c>
      <c r="B4078" t="inlineStr">
        <is>
          <t>avverkningsanmälan</t>
        </is>
      </c>
      <c r="C4078" t="inlineStr">
        <is>
          <t>Föryngringsavverkning</t>
        </is>
      </c>
      <c r="D4078" s="1" t="n">
        <v>45988</v>
      </c>
      <c r="E4078" s="1" t="n">
        <v>46319</v>
      </c>
      <c r="F4078" t="inlineStr">
        <is>
          <t>DALARNAS LÄN</t>
        </is>
      </c>
      <c r="G4078" t="inlineStr">
        <is>
          <t>FALUN</t>
        </is>
      </c>
      <c r="I4078" t="n">
        <v>8.800000000000001</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42225-2022</t>
        </is>
      </c>
      <c r="B4079" t="inlineStr">
        <is>
          <t>avverkningsanmälan</t>
        </is>
      </c>
      <c r="C4079" t="inlineStr">
        <is>
          <t>Föryngringsavverkning</t>
        </is>
      </c>
      <c r="D4079" s="1" t="n">
        <v>44830</v>
      </c>
      <c r="E4079" s="1" t="n">
        <v>46319</v>
      </c>
      <c r="F4079" t="inlineStr">
        <is>
          <t>DALARNAS LÄN</t>
        </is>
      </c>
      <c r="G4079" t="inlineStr">
        <is>
          <t>SÄTER</t>
        </is>
      </c>
      <c r="I4079" t="n">
        <v>1</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30301-2026</t>
        </is>
      </c>
      <c r="B4080" t="inlineStr">
        <is>
          <t>avverkningsanmälan</t>
        </is>
      </c>
      <c r="C4080" t="inlineStr">
        <is>
          <t>Föryngringsavverkning</t>
        </is>
      </c>
      <c r="D4080" s="1" t="n">
        <v>46206</v>
      </c>
      <c r="E4080" s="1" t="n">
        <v>46319</v>
      </c>
      <c r="F4080" t="inlineStr">
        <is>
          <t>DALARNAS LÄN</t>
        </is>
      </c>
      <c r="G4080" t="inlineStr">
        <is>
          <t>RÄTTVIK</t>
        </is>
      </c>
      <c r="H4080" t="inlineStr">
        <is>
          <t>Sveaskog</t>
        </is>
      </c>
      <c r="I4080" t="n">
        <v>13.5</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8810-2026</t>
        </is>
      </c>
      <c r="B4081" t="inlineStr">
        <is>
          <t>avverkningsanmälan</t>
        </is>
      </c>
      <c r="C4081" t="inlineStr">
        <is>
          <t>Föryngringsavverkning</t>
        </is>
      </c>
      <c r="D4081" s="1" t="n">
        <v>46066</v>
      </c>
      <c r="E4081" s="1" t="n">
        <v>46319</v>
      </c>
      <c r="F4081" t="inlineStr">
        <is>
          <t>DALARNAS LÄN</t>
        </is>
      </c>
      <c r="G4081" t="inlineStr">
        <is>
          <t>SÄTER</t>
        </is>
      </c>
      <c r="I4081" t="n">
        <v>2.5</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30271-2026</t>
        </is>
      </c>
      <c r="B4082" t="inlineStr">
        <is>
          <t>avverkningsanmälan</t>
        </is>
      </c>
      <c r="C4082" t="inlineStr">
        <is>
          <t>Föryngringsavverkning</t>
        </is>
      </c>
      <c r="D4082" s="1" t="n">
        <v>46206</v>
      </c>
      <c r="E4082" s="1" t="n">
        <v>46319</v>
      </c>
      <c r="F4082" t="inlineStr">
        <is>
          <t>DALARNAS LÄN</t>
        </is>
      </c>
      <c r="G4082" t="inlineStr">
        <is>
          <t>SMEDJEBACKEN</t>
        </is>
      </c>
      <c r="H4082" t="inlineStr">
        <is>
          <t>Sveaskog</t>
        </is>
      </c>
      <c r="I4082" t="n">
        <v>6.2</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58874-2025</t>
        </is>
      </c>
      <c r="B4083" t="inlineStr">
        <is>
          <t>avverkningsanmälan</t>
        </is>
      </c>
      <c r="C4083" t="inlineStr">
        <is>
          <t>Föryngringsavverkning</t>
        </is>
      </c>
      <c r="D4083" s="1" t="n">
        <v>45987</v>
      </c>
      <c r="E4083" s="1" t="n">
        <v>46319</v>
      </c>
      <c r="F4083" t="inlineStr">
        <is>
          <t>DALARNAS LÄN</t>
        </is>
      </c>
      <c r="G4083" t="inlineStr">
        <is>
          <t>VANSBRO</t>
        </is>
      </c>
      <c r="H4083" t="inlineStr">
        <is>
          <t>Bergvik skog väst AB</t>
        </is>
      </c>
      <c r="I4083" t="n">
        <v>6.9</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59176-2025</t>
        </is>
      </c>
      <c r="B4084" t="inlineStr">
        <is>
          <t>avverkningsanmälan</t>
        </is>
      </c>
      <c r="C4084" t="inlineStr">
        <is>
          <t>Föryngringsavverkning</t>
        </is>
      </c>
      <c r="D4084" s="1" t="n">
        <v>45988</v>
      </c>
      <c r="E4084" s="1" t="n">
        <v>46319</v>
      </c>
      <c r="F4084" t="inlineStr">
        <is>
          <t>DALARNAS LÄN</t>
        </is>
      </c>
      <c r="G4084" t="inlineStr">
        <is>
          <t>LUDVIKA</t>
        </is>
      </c>
      <c r="H4084" t="inlineStr">
        <is>
          <t>Bergvik skog väst AB</t>
        </is>
      </c>
      <c r="I4084" t="n">
        <v>10</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23684-2025</t>
        </is>
      </c>
      <c r="B4085" t="inlineStr">
        <is>
          <t>avverkningsanmälan</t>
        </is>
      </c>
      <c r="C4085" t="inlineStr">
        <is>
          <t>Föryngringsavverkning</t>
        </is>
      </c>
      <c r="D4085" s="1" t="n">
        <v>45793</v>
      </c>
      <c r="E4085" s="1" t="n">
        <v>46319</v>
      </c>
      <c r="F4085" t="inlineStr">
        <is>
          <t>DALARNAS LÄN</t>
        </is>
      </c>
      <c r="G4085" t="inlineStr">
        <is>
          <t>SMEDJEBACKEN</t>
        </is>
      </c>
      <c r="I4085" t="n">
        <v>2.2</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59256-2025</t>
        </is>
      </c>
      <c r="B4086" t="inlineStr">
        <is>
          <t>avverkningsanmälan</t>
        </is>
      </c>
      <c r="C4086" t="inlineStr">
        <is>
          <t>Föryngringsavverkning</t>
        </is>
      </c>
      <c r="D4086" s="1" t="n">
        <v>45988</v>
      </c>
      <c r="E4086" s="1" t="n">
        <v>46319</v>
      </c>
      <c r="F4086" t="inlineStr">
        <is>
          <t>DALARNAS LÄN</t>
        </is>
      </c>
      <c r="G4086" t="inlineStr">
        <is>
          <t>ÄLVDALEN</t>
        </is>
      </c>
      <c r="I4086" t="n">
        <v>1.2</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30070-2026</t>
        </is>
      </c>
      <c r="B4087" t="inlineStr">
        <is>
          <t>avverkningsanmälan</t>
        </is>
      </c>
      <c r="C4087" t="inlineStr">
        <is>
          <t>Föryngringsavverkning</t>
        </is>
      </c>
      <c r="D4087" s="1" t="n">
        <v>46206</v>
      </c>
      <c r="E4087" s="1" t="n">
        <v>46319</v>
      </c>
      <c r="F4087" t="inlineStr">
        <is>
          <t>DALARNAS LÄN</t>
        </is>
      </c>
      <c r="G4087" t="inlineStr">
        <is>
          <t>ORSA</t>
        </is>
      </c>
      <c r="H4087" t="inlineStr">
        <is>
          <t>Bergvik skog öst AB</t>
        </is>
      </c>
      <c r="I4087" t="n">
        <v>11</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56149-2022</t>
        </is>
      </c>
      <c r="B4088" t="inlineStr">
        <is>
          <t>avverkningsanmälan</t>
        </is>
      </c>
      <c r="C4088" t="inlineStr">
        <is>
          <t>Föryngringsavverkning</t>
        </is>
      </c>
      <c r="D4088" s="1" t="n">
        <v>44889</v>
      </c>
      <c r="E4088" s="1" t="n">
        <v>46319</v>
      </c>
      <c r="F4088" t="inlineStr">
        <is>
          <t>DALARNAS LÄN</t>
        </is>
      </c>
      <c r="G4088" t="inlineStr">
        <is>
          <t>FALUN</t>
        </is>
      </c>
      <c r="I4088" t="n">
        <v>2.2</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16840-2024</t>
        </is>
      </c>
      <c r="B4089" t="inlineStr">
        <is>
          <t>avverkningsanmälan</t>
        </is>
      </c>
      <c r="C4089" t="inlineStr">
        <is>
          <t>Föryngringsavverkning</t>
        </is>
      </c>
      <c r="D4089" s="1" t="n">
        <v>45411</v>
      </c>
      <c r="E4089" s="1" t="n">
        <v>46319</v>
      </c>
      <c r="F4089" t="inlineStr">
        <is>
          <t>DALARNAS LÄN</t>
        </is>
      </c>
      <c r="G4089" t="inlineStr">
        <is>
          <t>SÄTER</t>
        </is>
      </c>
      <c r="I4089" t="n">
        <v>4.6</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30457-2026</t>
        </is>
      </c>
      <c r="B4090" t="inlineStr">
        <is>
          <t>avverkningsanmälan</t>
        </is>
      </c>
      <c r="C4090" t="inlineStr">
        <is>
          <t>Föryngringsavverkning</t>
        </is>
      </c>
      <c r="D4090" s="1" t="n">
        <v>46209</v>
      </c>
      <c r="E4090" s="1" t="n">
        <v>46319</v>
      </c>
      <c r="F4090" t="inlineStr">
        <is>
          <t>DALARNAS LÄN</t>
        </is>
      </c>
      <c r="G4090" t="inlineStr">
        <is>
          <t>BORLÄNGE</t>
        </is>
      </c>
      <c r="I4090" t="n">
        <v>0.8</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30335-2026</t>
        </is>
      </c>
      <c r="B4091" t="inlineStr">
        <is>
          <t>avverkningsanmälan</t>
        </is>
      </c>
      <c r="C4091" t="inlineStr">
        <is>
          <t>Föryngringsavverkning</t>
        </is>
      </c>
      <c r="D4091" s="1" t="n">
        <v>46208</v>
      </c>
      <c r="E4091" s="1" t="n">
        <v>46319</v>
      </c>
      <c r="F4091" t="inlineStr">
        <is>
          <t>DALARNAS LÄN</t>
        </is>
      </c>
      <c r="G4091" t="inlineStr">
        <is>
          <t>RÄTTVIK</t>
        </is>
      </c>
      <c r="I4091" t="n">
        <v>0.7</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32862-2023</t>
        </is>
      </c>
      <c r="B4092" t="inlineStr">
        <is>
          <t>avverkningsanmälan</t>
        </is>
      </c>
      <c r="C4092" t="inlineStr">
        <is>
          <t>Föryngringsavverkning</t>
        </is>
      </c>
      <c r="D4092" s="1" t="n">
        <v>45112</v>
      </c>
      <c r="E4092" s="1" t="n">
        <v>46319</v>
      </c>
      <c r="F4092" t="inlineStr">
        <is>
          <t>DALARNAS LÄN</t>
        </is>
      </c>
      <c r="G4092" t="inlineStr">
        <is>
          <t>RÄTTVIK</t>
        </is>
      </c>
      <c r="I4092" t="n">
        <v>4.8</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62214-2023</t>
        </is>
      </c>
      <c r="B4093" t="inlineStr">
        <is>
          <t>avverkningsanmälan</t>
        </is>
      </c>
      <c r="C4093" t="inlineStr">
        <is>
          <t>Föryngringsavverkning</t>
        </is>
      </c>
      <c r="D4093" s="1" t="n">
        <v>45267</v>
      </c>
      <c r="E4093" s="1" t="n">
        <v>46319</v>
      </c>
      <c r="F4093" t="inlineStr">
        <is>
          <t>DALARNAS LÄN</t>
        </is>
      </c>
      <c r="G4093" t="inlineStr">
        <is>
          <t>BORLÄNGE</t>
        </is>
      </c>
      <c r="I4093" t="n">
        <v>1</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30149-2026</t>
        </is>
      </c>
      <c r="B4094" t="inlineStr">
        <is>
          <t>avverkningsanmälan</t>
        </is>
      </c>
      <c r="C4094" t="inlineStr">
        <is>
          <t>Föryngringsavverkning</t>
        </is>
      </c>
      <c r="D4094" s="1" t="n">
        <v>46206</v>
      </c>
      <c r="E4094" s="1" t="n">
        <v>46319</v>
      </c>
      <c r="F4094" t="inlineStr">
        <is>
          <t>DALARNAS LÄN</t>
        </is>
      </c>
      <c r="G4094" t="inlineStr">
        <is>
          <t>SMEDJEBACKEN</t>
        </is>
      </c>
      <c r="H4094" t="inlineStr">
        <is>
          <t>Sveaskog</t>
        </is>
      </c>
      <c r="I4094" t="n">
        <v>1.6</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59043-2025</t>
        </is>
      </c>
      <c r="B4095" t="inlineStr">
        <is>
          <t>avverkningsanmälan</t>
        </is>
      </c>
      <c r="C4095" t="inlineStr">
        <is>
          <t>Föryngringsavverkning</t>
        </is>
      </c>
      <c r="D4095" s="1" t="n">
        <v>45987</v>
      </c>
      <c r="E4095" s="1" t="n">
        <v>46319</v>
      </c>
      <c r="F4095" t="inlineStr">
        <is>
          <t>DALARNAS LÄN</t>
        </is>
      </c>
      <c r="G4095" t="inlineStr">
        <is>
          <t>MALUNG-SÄLEN</t>
        </is>
      </c>
      <c r="I4095" t="n">
        <v>3.8</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58834-2025</t>
        </is>
      </c>
      <c r="B4096" t="inlineStr">
        <is>
          <t>avverkningsanmälan</t>
        </is>
      </c>
      <c r="C4096" t="inlineStr">
        <is>
          <t>Föryngringsavverkning</t>
        </is>
      </c>
      <c r="D4096" s="1" t="n">
        <v>45987</v>
      </c>
      <c r="E4096" s="1" t="n">
        <v>46319</v>
      </c>
      <c r="F4096" t="inlineStr">
        <is>
          <t>DALARNAS LÄN</t>
        </is>
      </c>
      <c r="G4096" t="inlineStr">
        <is>
          <t>ORSA</t>
        </is>
      </c>
      <c r="I4096" t="n">
        <v>3.6</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30822-2024</t>
        </is>
      </c>
      <c r="B4097" t="inlineStr">
        <is>
          <t>avverkningsanmälan</t>
        </is>
      </c>
      <c r="C4097" t="inlineStr">
        <is>
          <t>Föryngringsavverkning</t>
        </is>
      </c>
      <c r="D4097" s="1" t="n">
        <v>45497</v>
      </c>
      <c r="E4097" s="1" t="n">
        <v>46319</v>
      </c>
      <c r="F4097" t="inlineStr">
        <is>
          <t>DALARNAS LÄN</t>
        </is>
      </c>
      <c r="G4097" t="inlineStr">
        <is>
          <t>MORA</t>
        </is>
      </c>
      <c r="I4097" t="n">
        <v>1.8</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58904-2025</t>
        </is>
      </c>
      <c r="B4098" t="inlineStr">
        <is>
          <t>avverkningsanmälan</t>
        </is>
      </c>
      <c r="C4098" t="inlineStr">
        <is>
          <t>Föryngringsavverkning</t>
        </is>
      </c>
      <c r="D4098" s="1" t="n">
        <v>45987</v>
      </c>
      <c r="E4098" s="1" t="n">
        <v>46319</v>
      </c>
      <c r="F4098" t="inlineStr">
        <is>
          <t>DALARNAS LÄN</t>
        </is>
      </c>
      <c r="G4098" t="inlineStr">
        <is>
          <t>ORSA</t>
        </is>
      </c>
      <c r="I4098" t="n">
        <v>5.5</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58914-2025</t>
        </is>
      </c>
      <c r="B4099" t="inlineStr">
        <is>
          <t>avverkningsanmälan</t>
        </is>
      </c>
      <c r="C4099" t="inlineStr">
        <is>
          <t>Föryngringsavverkning</t>
        </is>
      </c>
      <c r="D4099" s="1" t="n">
        <v>45987</v>
      </c>
      <c r="E4099" s="1" t="n">
        <v>46319</v>
      </c>
      <c r="F4099" t="inlineStr">
        <is>
          <t>DALARNAS LÄN</t>
        </is>
      </c>
      <c r="G4099" t="inlineStr">
        <is>
          <t>FALUN</t>
        </is>
      </c>
      <c r="I4099" t="n">
        <v>3.2</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94-2026</t>
        </is>
      </c>
      <c r="B4100" t="inlineStr">
        <is>
          <t>avverkningsanmälan</t>
        </is>
      </c>
      <c r="C4100" t="inlineStr">
        <is>
          <t>Föryngringsavverkning</t>
        </is>
      </c>
      <c r="D4100" s="1" t="n">
        <v>46024</v>
      </c>
      <c r="E4100" s="1" t="n">
        <v>46319</v>
      </c>
      <c r="F4100" t="inlineStr">
        <is>
          <t>DALARNAS LÄN</t>
        </is>
      </c>
      <c r="G4100" t="inlineStr">
        <is>
          <t>LEKSAND</t>
        </is>
      </c>
      <c r="I4100" t="n">
        <v>2.6</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53706-2025</t>
        </is>
      </c>
      <c r="B4101" t="inlineStr">
        <is>
          <t>avverkningsanmälan</t>
        </is>
      </c>
      <c r="C4101" t="inlineStr">
        <is>
          <t>Föryngringsavverkning</t>
        </is>
      </c>
      <c r="D4101" s="1" t="n">
        <v>45960</v>
      </c>
      <c r="E4101" s="1" t="n">
        <v>46319</v>
      </c>
      <c r="F4101" t="inlineStr">
        <is>
          <t>DALARNAS LÄN</t>
        </is>
      </c>
      <c r="G4101" t="inlineStr">
        <is>
          <t>SÄTER</t>
        </is>
      </c>
      <c r="I4101" t="n">
        <v>1.2</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59149-2025</t>
        </is>
      </c>
      <c r="B4102" t="inlineStr">
        <is>
          <t>avverkningsanmälan</t>
        </is>
      </c>
      <c r="C4102" t="inlineStr">
        <is>
          <t>Föryngringsavverkning</t>
        </is>
      </c>
      <c r="D4102" s="1" t="n">
        <v>45988</v>
      </c>
      <c r="E4102" s="1" t="n">
        <v>46319</v>
      </c>
      <c r="F4102" t="inlineStr">
        <is>
          <t>DALARNAS LÄN</t>
        </is>
      </c>
      <c r="G4102" t="inlineStr">
        <is>
          <t>ORSA</t>
        </is>
      </c>
      <c r="I4102" t="n">
        <v>0.8</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55832-2024</t>
        </is>
      </c>
      <c r="B4103" t="inlineStr">
        <is>
          <t>avverkningsanmälan</t>
        </is>
      </c>
      <c r="C4103" t="inlineStr">
        <is>
          <t>Föryngringsavverkning</t>
        </is>
      </c>
      <c r="D4103" s="1" t="n">
        <v>45623</v>
      </c>
      <c r="E4103" s="1" t="n">
        <v>46319</v>
      </c>
      <c r="F4103" t="inlineStr">
        <is>
          <t>DALARNAS LÄN</t>
        </is>
      </c>
      <c r="G4103" t="inlineStr">
        <is>
          <t>HEDEMORA</t>
        </is>
      </c>
      <c r="I4103" t="n">
        <v>3</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30122-2026</t>
        </is>
      </c>
      <c r="B4104" t="inlineStr">
        <is>
          <t>avverkningsanmälan</t>
        </is>
      </c>
      <c r="C4104" t="inlineStr">
        <is>
          <t>Föryngringsavverkning</t>
        </is>
      </c>
      <c r="D4104" s="1" t="n">
        <v>46206</v>
      </c>
      <c r="E4104" s="1" t="n">
        <v>46319</v>
      </c>
      <c r="F4104" t="inlineStr">
        <is>
          <t>DALARNAS LÄN</t>
        </is>
      </c>
      <c r="G4104" t="inlineStr">
        <is>
          <t>RÄTTVIK</t>
        </is>
      </c>
      <c r="I4104" t="n">
        <v>2.6</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30264-2026</t>
        </is>
      </c>
      <c r="B4105" t="inlineStr">
        <is>
          <t>avverkningsanmälan</t>
        </is>
      </c>
      <c r="C4105" t="inlineStr">
        <is>
          <t>Föryngringsavverkning</t>
        </is>
      </c>
      <c r="D4105" s="1" t="n">
        <v>46206</v>
      </c>
      <c r="E4105" s="1" t="n">
        <v>46319</v>
      </c>
      <c r="F4105" t="inlineStr">
        <is>
          <t>DALARNAS LÄN</t>
        </is>
      </c>
      <c r="G4105" t="inlineStr">
        <is>
          <t>ORSA</t>
        </is>
      </c>
      <c r="H4105" t="inlineStr">
        <is>
          <t>Bergvik skog öst AB</t>
        </is>
      </c>
      <c r="I4105" t="n">
        <v>1</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37573-2025</t>
        </is>
      </c>
      <c r="B4106" t="inlineStr">
        <is>
          <t>avverkningsanmälan</t>
        </is>
      </c>
      <c r="C4106" t="inlineStr">
        <is>
          <t>Föryngringsavverkning</t>
        </is>
      </c>
      <c r="D4106" s="1" t="n">
        <v>45880</v>
      </c>
      <c r="E4106" s="1" t="n">
        <v>46319</v>
      </c>
      <c r="F4106" t="inlineStr">
        <is>
          <t>DALARNAS LÄN</t>
        </is>
      </c>
      <c r="G4106" t="inlineStr">
        <is>
          <t>HEDEMORA</t>
        </is>
      </c>
      <c r="H4106" t="inlineStr">
        <is>
          <t>Sveaskog</t>
        </is>
      </c>
      <c r="I4106" t="n">
        <v>7</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59138-2023</t>
        </is>
      </c>
      <c r="B4107" t="inlineStr">
        <is>
          <t>avverkningsanmälan</t>
        </is>
      </c>
      <c r="C4107" t="inlineStr">
        <is>
          <t>Föryngringsavverkning</t>
        </is>
      </c>
      <c r="D4107" s="1" t="n">
        <v>45253</v>
      </c>
      <c r="E4107" s="1" t="n">
        <v>46319</v>
      </c>
      <c r="F4107" t="inlineStr">
        <is>
          <t>DALARNAS LÄN</t>
        </is>
      </c>
      <c r="G4107" t="inlineStr">
        <is>
          <t>ÄLVDALEN</t>
        </is>
      </c>
      <c r="I4107" t="n">
        <v>0.4</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59094-2025</t>
        </is>
      </c>
      <c r="B4108" t="inlineStr">
        <is>
          <t>avverkningsanmälan</t>
        </is>
      </c>
      <c r="C4108" t="inlineStr">
        <is>
          <t>Föryngringsavverkning</t>
        </is>
      </c>
      <c r="D4108" s="1" t="n">
        <v>45988</v>
      </c>
      <c r="E4108" s="1" t="n">
        <v>46319</v>
      </c>
      <c r="F4108" t="inlineStr">
        <is>
          <t>DALARNAS LÄN</t>
        </is>
      </c>
      <c r="G4108" t="inlineStr">
        <is>
          <t>MORA</t>
        </is>
      </c>
      <c r="I4108" t="n">
        <v>10</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17569-2023</t>
        </is>
      </c>
      <c r="B4109" t="inlineStr">
        <is>
          <t>avverkningsanmälan</t>
        </is>
      </c>
      <c r="C4109" t="inlineStr">
        <is>
          <t>Avverkning för annat ändamål</t>
        </is>
      </c>
      <c r="D4109" s="1" t="n">
        <v>45036</v>
      </c>
      <c r="E4109" s="1" t="n">
        <v>46319</v>
      </c>
      <c r="F4109" t="inlineStr">
        <is>
          <t>DALARNAS LÄN</t>
        </is>
      </c>
      <c r="G4109" t="inlineStr">
        <is>
          <t>BORLÄNGE</t>
        </is>
      </c>
      <c r="I4109" t="n">
        <v>1.6</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37591-2024</t>
        </is>
      </c>
      <c r="B4110" t="inlineStr">
        <is>
          <t>avverkningsanmälan</t>
        </is>
      </c>
      <c r="C4110" t="inlineStr">
        <is>
          <t>Föryngringsavverkning</t>
        </is>
      </c>
      <c r="D4110" s="1" t="n">
        <v>45541</v>
      </c>
      <c r="E4110" s="1" t="n">
        <v>46319</v>
      </c>
      <c r="F4110" t="inlineStr">
        <is>
          <t>DALARNAS LÄN</t>
        </is>
      </c>
      <c r="G4110" t="inlineStr">
        <is>
          <t>RÄTTVIK</t>
        </is>
      </c>
      <c r="I4110" t="n">
        <v>0.5</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56289-2024</t>
        </is>
      </c>
      <c r="B4111" t="inlineStr">
        <is>
          <t>avverkningsanmälan</t>
        </is>
      </c>
      <c r="C4111" t="inlineStr">
        <is>
          <t>Föryngringsavverkning</t>
        </is>
      </c>
      <c r="D4111" s="1" t="n">
        <v>45624</v>
      </c>
      <c r="E4111" s="1" t="n">
        <v>46319</v>
      </c>
      <c r="F4111" t="inlineStr">
        <is>
          <t>DALARNAS LÄN</t>
        </is>
      </c>
      <c r="G4111" t="inlineStr">
        <is>
          <t>MALUNG-SÄLEN</t>
        </is>
      </c>
      <c r="I4111" t="n">
        <v>0.5</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56297-2024</t>
        </is>
      </c>
      <c r="B4112" t="inlineStr">
        <is>
          <t>avverkningsanmälan</t>
        </is>
      </c>
      <c r="C4112" t="inlineStr">
        <is>
          <t>Föryngringsavverkning</t>
        </is>
      </c>
      <c r="D4112" s="1" t="n">
        <v>45624</v>
      </c>
      <c r="E4112" s="1" t="n">
        <v>46319</v>
      </c>
      <c r="F4112" t="inlineStr">
        <is>
          <t>DALARNAS LÄN</t>
        </is>
      </c>
      <c r="G4112" t="inlineStr">
        <is>
          <t>MALUNG-SÄLEN</t>
        </is>
      </c>
      <c r="I4112" t="n">
        <v>4.5</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56383-2024</t>
        </is>
      </c>
      <c r="B4113" t="inlineStr">
        <is>
          <t>avverkningsanmälan</t>
        </is>
      </c>
      <c r="C4113" t="inlineStr">
        <is>
          <t>Föryngringsavverkning</t>
        </is>
      </c>
      <c r="D4113" s="1" t="n">
        <v>45625</v>
      </c>
      <c r="E4113" s="1" t="n">
        <v>46319</v>
      </c>
      <c r="F4113" t="inlineStr">
        <is>
          <t>DALARNAS LÄN</t>
        </is>
      </c>
      <c r="G4113" t="inlineStr">
        <is>
          <t>RÄTTVIK</t>
        </is>
      </c>
      <c r="I4113" t="n">
        <v>2.3</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49565-2022</t>
        </is>
      </c>
      <c r="B4114" t="inlineStr">
        <is>
          <t>avverkningsanmälan</t>
        </is>
      </c>
      <c r="C4114" t="inlineStr">
        <is>
          <t>Avverkning för annat ändamål</t>
        </is>
      </c>
      <c r="D4114" s="1" t="n">
        <v>44862</v>
      </c>
      <c r="E4114" s="1" t="n">
        <v>46319</v>
      </c>
      <c r="F4114" t="inlineStr">
        <is>
          <t>DALARNAS LÄN</t>
        </is>
      </c>
      <c r="G4114" t="inlineStr">
        <is>
          <t>VANSBRO</t>
        </is>
      </c>
      <c r="H4114" t="inlineStr">
        <is>
          <t>Bergvik skog väst AB</t>
        </is>
      </c>
      <c r="I4114" t="n">
        <v>3.2</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59234-2025</t>
        </is>
      </c>
      <c r="B4115" t="inlineStr">
        <is>
          <t>avverkningsanmälan</t>
        </is>
      </c>
      <c r="C4115" t="inlineStr">
        <is>
          <t>Föryngringsavverkning</t>
        </is>
      </c>
      <c r="D4115" s="1" t="n">
        <v>45988</v>
      </c>
      <c r="E4115" s="1" t="n">
        <v>46319</v>
      </c>
      <c r="F4115" t="inlineStr">
        <is>
          <t>DALARNAS LÄN</t>
        </is>
      </c>
      <c r="G4115" t="inlineStr">
        <is>
          <t>ÄLVDALEN</t>
        </is>
      </c>
      <c r="I4115" t="n">
        <v>1.5</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42985-2025</t>
        </is>
      </c>
      <c r="B4116" t="inlineStr">
        <is>
          <t>avverkningsanmälan</t>
        </is>
      </c>
      <c r="C4116" t="inlineStr">
        <is>
          <t>Föryngringsavverkning</t>
        </is>
      </c>
      <c r="D4116" s="1" t="n">
        <v>45909</v>
      </c>
      <c r="E4116" s="1" t="n">
        <v>46319</v>
      </c>
      <c r="F4116" t="inlineStr">
        <is>
          <t>DALARNAS LÄN</t>
        </is>
      </c>
      <c r="G4116" t="inlineStr">
        <is>
          <t>LUDVIKA</t>
        </is>
      </c>
      <c r="I4116" t="n">
        <v>1.7</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59106-2025</t>
        </is>
      </c>
      <c r="B4117" t="inlineStr">
        <is>
          <t>avverkningsanmälan</t>
        </is>
      </c>
      <c r="C4117" t="inlineStr">
        <is>
          <t>Föryngringsavverkning</t>
        </is>
      </c>
      <c r="D4117" s="1" t="n">
        <v>45988</v>
      </c>
      <c r="E4117" s="1" t="n">
        <v>46319</v>
      </c>
      <c r="F4117" t="inlineStr">
        <is>
          <t>DALARNAS LÄN</t>
        </is>
      </c>
      <c r="G4117" t="inlineStr">
        <is>
          <t>LEKSAND</t>
        </is>
      </c>
      <c r="I4117" t="n">
        <v>1</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30113-2026</t>
        </is>
      </c>
      <c r="B4118" t="inlineStr">
        <is>
          <t>avverkningsanmälan</t>
        </is>
      </c>
      <c r="C4118" t="inlineStr">
        <is>
          <t>Föryngringsavverkning</t>
        </is>
      </c>
      <c r="D4118" s="1" t="n">
        <v>46206</v>
      </c>
      <c r="E4118" s="1" t="n">
        <v>46319</v>
      </c>
      <c r="F4118" t="inlineStr">
        <is>
          <t>DALARNAS LÄN</t>
        </is>
      </c>
      <c r="G4118" t="inlineStr">
        <is>
          <t>LUDVIKA</t>
        </is>
      </c>
      <c r="H4118" t="inlineStr">
        <is>
          <t>Bergvik skog väst AB</t>
        </is>
      </c>
      <c r="I4118" t="n">
        <v>1.5</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28630-2023</t>
        </is>
      </c>
      <c r="B4119" t="inlineStr">
        <is>
          <t>avverkningsanmälan</t>
        </is>
      </c>
      <c r="C4119" t="inlineStr">
        <is>
          <t>Föryngringsavverkning</t>
        </is>
      </c>
      <c r="D4119" s="1" t="n">
        <v>45103</v>
      </c>
      <c r="E4119" s="1" t="n">
        <v>46319</v>
      </c>
      <c r="F4119" t="inlineStr">
        <is>
          <t>DALARNAS LÄN</t>
        </is>
      </c>
      <c r="G4119" t="inlineStr">
        <is>
          <t>LEKSAND</t>
        </is>
      </c>
      <c r="H4119" t="inlineStr">
        <is>
          <t>Bergvik skog väst AB</t>
        </is>
      </c>
      <c r="I4119" t="n">
        <v>0.3</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59229-2025</t>
        </is>
      </c>
      <c r="B4120" t="inlineStr">
        <is>
          <t>avverkningsanmälan</t>
        </is>
      </c>
      <c r="C4120" t="inlineStr">
        <is>
          <t>Föryngringsavverkning</t>
        </is>
      </c>
      <c r="D4120" s="1" t="n">
        <v>45988</v>
      </c>
      <c r="E4120" s="1" t="n">
        <v>46319</v>
      </c>
      <c r="F4120" t="inlineStr">
        <is>
          <t>DALARNAS LÄN</t>
        </is>
      </c>
      <c r="G4120" t="inlineStr">
        <is>
          <t>FALUN</t>
        </is>
      </c>
      <c r="I4120" t="n">
        <v>3.8</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30448-2026</t>
        </is>
      </c>
      <c r="B4121" t="inlineStr">
        <is>
          <t>avverkningsanmälan</t>
        </is>
      </c>
      <c r="C4121" t="inlineStr">
        <is>
          <t>Föryngringsavverkning</t>
        </is>
      </c>
      <c r="D4121" s="1" t="n">
        <v>46209</v>
      </c>
      <c r="E4121" s="1" t="n">
        <v>46319</v>
      </c>
      <c r="F4121" t="inlineStr">
        <is>
          <t>DALARNAS LÄN</t>
        </is>
      </c>
      <c r="G4121" t="inlineStr">
        <is>
          <t>FALUN</t>
        </is>
      </c>
      <c r="I4121" t="n">
        <v>2.7</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59250-2025</t>
        </is>
      </c>
      <c r="B4122" t="inlineStr">
        <is>
          <t>avverkningsanmälan</t>
        </is>
      </c>
      <c r="C4122" t="inlineStr">
        <is>
          <t>Föryngringsavverkning</t>
        </is>
      </c>
      <c r="D4122" s="1" t="n">
        <v>45988</v>
      </c>
      <c r="E4122" s="1" t="n">
        <v>46319</v>
      </c>
      <c r="F4122" t="inlineStr">
        <is>
          <t>DALARNAS LÄN</t>
        </is>
      </c>
      <c r="G4122" t="inlineStr">
        <is>
          <t>ÄLVDALEN</t>
        </is>
      </c>
      <c r="I4122" t="n">
        <v>1.8</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30509-2026</t>
        </is>
      </c>
      <c r="B4123" t="inlineStr">
        <is>
          <t>avverkningsanmälan</t>
        </is>
      </c>
      <c r="C4123" t="inlineStr">
        <is>
          <t>Föryngringsavverkning</t>
        </is>
      </c>
      <c r="D4123" s="1" t="n">
        <v>46210</v>
      </c>
      <c r="E4123" s="1" t="n">
        <v>46319</v>
      </c>
      <c r="F4123" t="inlineStr">
        <is>
          <t>DALARNAS LÄN</t>
        </is>
      </c>
      <c r="G4123" t="inlineStr">
        <is>
          <t>VANSBRO</t>
        </is>
      </c>
      <c r="H4123" t="inlineStr">
        <is>
          <t>Övriga statliga verk och myndigheter</t>
        </is>
      </c>
      <c r="I4123" t="n">
        <v>1.9</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47824-2023</t>
        </is>
      </c>
      <c r="B4124" t="inlineStr">
        <is>
          <t>avverkningsanmälan</t>
        </is>
      </c>
      <c r="C4124" t="inlineStr">
        <is>
          <t>Föryngringsavverkning</t>
        </is>
      </c>
      <c r="D4124" s="1" t="n">
        <v>45204</v>
      </c>
      <c r="E4124" s="1" t="n">
        <v>46319</v>
      </c>
      <c r="F4124" t="inlineStr">
        <is>
          <t>DALARNAS LÄN</t>
        </is>
      </c>
      <c r="G4124" t="inlineStr">
        <is>
          <t>VANSBRO</t>
        </is>
      </c>
      <c r="I4124" t="n">
        <v>2.1</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30568-2026</t>
        </is>
      </c>
      <c r="B4125" t="inlineStr">
        <is>
          <t>avverkningsanmälan</t>
        </is>
      </c>
      <c r="C4125" t="inlineStr">
        <is>
          <t>Föryngringsavverkning</t>
        </is>
      </c>
      <c r="D4125" s="1" t="n">
        <v>46210</v>
      </c>
      <c r="E4125" s="1" t="n">
        <v>46319</v>
      </c>
      <c r="F4125" t="inlineStr">
        <is>
          <t>DALARNAS LÄN</t>
        </is>
      </c>
      <c r="G4125" t="inlineStr">
        <is>
          <t>VANSBRO</t>
        </is>
      </c>
      <c r="H4125" t="inlineStr">
        <is>
          <t>Bergvik skog öst AB</t>
        </is>
      </c>
      <c r="I4125" t="n">
        <v>1.1</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7759-2025</t>
        </is>
      </c>
      <c r="B4126" t="inlineStr">
        <is>
          <t>avverkningsanmälan</t>
        </is>
      </c>
      <c r="C4126" t="inlineStr">
        <is>
          <t>Föryngringsavverkning</t>
        </is>
      </c>
      <c r="D4126" s="1" t="n">
        <v>45706</v>
      </c>
      <c r="E4126" s="1" t="n">
        <v>46319</v>
      </c>
      <c r="F4126" t="inlineStr">
        <is>
          <t>DALARNAS LÄN</t>
        </is>
      </c>
      <c r="G4126" t="inlineStr">
        <is>
          <t>LEKSAND</t>
        </is>
      </c>
      <c r="I4126" t="n">
        <v>3.3</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59483-2025</t>
        </is>
      </c>
      <c r="B4127" t="inlineStr">
        <is>
          <t>avverkningsanmälan</t>
        </is>
      </c>
      <c r="C4127" t="inlineStr">
        <is>
          <t>Föryngringsavverkning</t>
        </is>
      </c>
      <c r="D4127" s="1" t="n">
        <v>45989</v>
      </c>
      <c r="E4127" s="1" t="n">
        <v>46319</v>
      </c>
      <c r="F4127" t="inlineStr">
        <is>
          <t>DALARNAS LÄN</t>
        </is>
      </c>
      <c r="G4127" t="inlineStr">
        <is>
          <t>FALUN</t>
        </is>
      </c>
      <c r="I4127" t="n">
        <v>1.3</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59500-2025</t>
        </is>
      </c>
      <c r="B4128" t="inlineStr">
        <is>
          <t>avverkningsanmälan</t>
        </is>
      </c>
      <c r="C4128" t="inlineStr">
        <is>
          <t>Föryngringsavverkning</t>
        </is>
      </c>
      <c r="D4128" s="1" t="n">
        <v>45989</v>
      </c>
      <c r="E4128" s="1" t="n">
        <v>46319</v>
      </c>
      <c r="F4128" t="inlineStr">
        <is>
          <t>DALARNAS LÄN</t>
        </is>
      </c>
      <c r="G4128" t="inlineStr">
        <is>
          <t>RÄTTVIK</t>
        </is>
      </c>
      <c r="I4128" t="n">
        <v>0.9</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59571-2025</t>
        </is>
      </c>
      <c r="B4129" t="inlineStr">
        <is>
          <t>avverkningsanmälan</t>
        </is>
      </c>
      <c r="C4129" t="inlineStr">
        <is>
          <t>Föryngringsavverkning</t>
        </is>
      </c>
      <c r="D4129" s="1" t="n">
        <v>45992</v>
      </c>
      <c r="E4129" s="1" t="n">
        <v>46319</v>
      </c>
      <c r="F4129" t="inlineStr">
        <is>
          <t>DALARNAS LÄN</t>
        </is>
      </c>
      <c r="G4129" t="inlineStr">
        <is>
          <t>FALUN</t>
        </is>
      </c>
      <c r="I4129" t="n">
        <v>0.9</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113-2024</t>
        </is>
      </c>
      <c r="B4130" t="inlineStr">
        <is>
          <t>avverkningsanmälan</t>
        </is>
      </c>
      <c r="C4130" t="inlineStr">
        <is>
          <t>Föryngringsavverkning</t>
        </is>
      </c>
      <c r="D4130" s="1" t="n">
        <v>45294</v>
      </c>
      <c r="E4130" s="1" t="n">
        <v>46319</v>
      </c>
      <c r="F4130" t="inlineStr">
        <is>
          <t>DALARNAS LÄN</t>
        </is>
      </c>
      <c r="G4130" t="inlineStr">
        <is>
          <t>MALUNG-SÄLEN</t>
        </is>
      </c>
      <c r="I4130" t="n">
        <v>0.6</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10406-2024</t>
        </is>
      </c>
      <c r="B4131" t="inlineStr">
        <is>
          <t>avverkningsanmälan</t>
        </is>
      </c>
      <c r="C4131" t="inlineStr">
        <is>
          <t>Föryngringsavverkning</t>
        </is>
      </c>
      <c r="D4131" s="1" t="n">
        <v>45365</v>
      </c>
      <c r="E4131" s="1" t="n">
        <v>46319</v>
      </c>
      <c r="F4131" t="inlineStr">
        <is>
          <t>DALARNAS LÄN</t>
        </is>
      </c>
      <c r="G4131" t="inlineStr">
        <is>
          <t>SÄTER</t>
        </is>
      </c>
      <c r="I4131" t="n">
        <v>0.7</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30651-2026</t>
        </is>
      </c>
      <c r="B4132" t="inlineStr">
        <is>
          <t>avverkningsanmälan</t>
        </is>
      </c>
      <c r="C4132" t="inlineStr">
        <is>
          <t>Föryngringsavverkning</t>
        </is>
      </c>
      <c r="D4132" s="1" t="n">
        <v>46211</v>
      </c>
      <c r="E4132" s="1" t="n">
        <v>46319</v>
      </c>
      <c r="F4132" t="inlineStr">
        <is>
          <t>DALARNAS LÄN</t>
        </is>
      </c>
      <c r="G4132" t="inlineStr">
        <is>
          <t>LEKSAND</t>
        </is>
      </c>
      <c r="I4132" t="n">
        <v>4.2</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32600-2023</t>
        </is>
      </c>
      <c r="B4133" t="inlineStr">
        <is>
          <t>avverkningsanmälan</t>
        </is>
      </c>
      <c r="C4133" t="inlineStr">
        <is>
          <t>Avverkning för annat ändamål</t>
        </is>
      </c>
      <c r="D4133" s="1" t="n">
        <v>45121</v>
      </c>
      <c r="E4133" s="1" t="n">
        <v>46319</v>
      </c>
      <c r="F4133" t="inlineStr">
        <is>
          <t>DALARNAS LÄN</t>
        </is>
      </c>
      <c r="G4133" t="inlineStr">
        <is>
          <t>SMEDJEBACKEN</t>
        </is>
      </c>
      <c r="H4133" t="inlineStr">
        <is>
          <t>Bergvik skog väst AB</t>
        </is>
      </c>
      <c r="I4133" t="n">
        <v>1.9</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30677-2026</t>
        </is>
      </c>
      <c r="B4134" t="inlineStr">
        <is>
          <t>avverkningsanmälan</t>
        </is>
      </c>
      <c r="C4134" t="inlineStr">
        <is>
          <t>Föryngringsavverkning</t>
        </is>
      </c>
      <c r="D4134" s="1" t="n">
        <v>46211</v>
      </c>
      <c r="E4134" s="1" t="n">
        <v>46319</v>
      </c>
      <c r="F4134" t="inlineStr">
        <is>
          <t>DALARNAS LÄN</t>
        </is>
      </c>
      <c r="G4134" t="inlineStr">
        <is>
          <t>ORSA</t>
        </is>
      </c>
      <c r="H4134" t="inlineStr">
        <is>
          <t>Bergvik skog öst AB</t>
        </is>
      </c>
      <c r="I4134" t="n">
        <v>0.9</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57645-2022</t>
        </is>
      </c>
      <c r="B4135" t="inlineStr">
        <is>
          <t>avverkningsanmälan</t>
        </is>
      </c>
      <c r="C4135" t="inlineStr">
        <is>
          <t>Föryngringsavverkning</t>
        </is>
      </c>
      <c r="D4135" s="1" t="n">
        <v>44897</v>
      </c>
      <c r="E4135" s="1" t="n">
        <v>46319</v>
      </c>
      <c r="F4135" t="inlineStr">
        <is>
          <t>DALARNAS LÄN</t>
        </is>
      </c>
      <c r="G4135" t="inlineStr">
        <is>
          <t>MALUNG-SÄLEN</t>
        </is>
      </c>
      <c r="I4135" t="n">
        <v>4.8</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72635-2021</t>
        </is>
      </c>
      <c r="B4136" t="inlineStr">
        <is>
          <t>avverkningsanmälan</t>
        </is>
      </c>
      <c r="C4136" t="inlineStr">
        <is>
          <t>Föryngringsavverkning</t>
        </is>
      </c>
      <c r="D4136" s="1" t="n">
        <v>44546</v>
      </c>
      <c r="E4136" s="1" t="n">
        <v>46319</v>
      </c>
      <c r="F4136" t="inlineStr">
        <is>
          <t>DALARNAS LÄN</t>
        </is>
      </c>
      <c r="G4136" t="inlineStr">
        <is>
          <t>VANSBRO</t>
        </is>
      </c>
      <c r="H4136" t="inlineStr">
        <is>
          <t>Bergvik skog väst AB</t>
        </is>
      </c>
      <c r="I4136" t="n">
        <v>2</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72643-2021</t>
        </is>
      </c>
      <c r="B4137" t="inlineStr">
        <is>
          <t>avverkningsanmälan</t>
        </is>
      </c>
      <c r="C4137" t="inlineStr">
        <is>
          <t>Föryngringsavverkning</t>
        </is>
      </c>
      <c r="D4137" s="1" t="n">
        <v>44546</v>
      </c>
      <c r="E4137" s="1" t="n">
        <v>46319</v>
      </c>
      <c r="F4137" t="inlineStr">
        <is>
          <t>DALARNAS LÄN</t>
        </is>
      </c>
      <c r="G4137" t="inlineStr">
        <is>
          <t>MALUNG-SÄLEN</t>
        </is>
      </c>
      <c r="I4137" t="n">
        <v>5.6</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59435-2025</t>
        </is>
      </c>
      <c r="B4138" t="inlineStr">
        <is>
          <t>avverkningsanmälan</t>
        </is>
      </c>
      <c r="C4138" t="inlineStr">
        <is>
          <t>Föryngringsavverkning</t>
        </is>
      </c>
      <c r="D4138" s="1" t="n">
        <v>45989</v>
      </c>
      <c r="E4138" s="1" t="n">
        <v>46319</v>
      </c>
      <c r="F4138" t="inlineStr">
        <is>
          <t>DALARNAS LÄN</t>
        </is>
      </c>
      <c r="G4138" t="inlineStr">
        <is>
          <t>LUDVIKA</t>
        </is>
      </c>
      <c r="I4138" t="n">
        <v>1.1</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59585-2025</t>
        </is>
      </c>
      <c r="B4139" t="inlineStr">
        <is>
          <t>avverkningsanmälan</t>
        </is>
      </c>
      <c r="C4139" t="inlineStr">
        <is>
          <t>Föryngringsavverkning</t>
        </is>
      </c>
      <c r="D4139" s="1" t="n">
        <v>45992</v>
      </c>
      <c r="E4139" s="1" t="n">
        <v>46319</v>
      </c>
      <c r="F4139" t="inlineStr">
        <is>
          <t>DALARNAS LÄN</t>
        </is>
      </c>
      <c r="G4139" t="inlineStr">
        <is>
          <t>MALUNG-SÄLEN</t>
        </is>
      </c>
      <c r="I4139" t="n">
        <v>5</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58177-2024</t>
        </is>
      </c>
      <c r="B4140" t="inlineStr">
        <is>
          <t>avverkningsanmälan</t>
        </is>
      </c>
      <c r="C4140" t="inlineStr">
        <is>
          <t>Föryngringsavverkning</t>
        </is>
      </c>
      <c r="D4140" s="1" t="n">
        <v>45632</v>
      </c>
      <c r="E4140" s="1" t="n">
        <v>46319</v>
      </c>
      <c r="F4140" t="inlineStr">
        <is>
          <t>DALARNAS LÄN</t>
        </is>
      </c>
      <c r="G4140" t="inlineStr">
        <is>
          <t>MORA</t>
        </is>
      </c>
      <c r="I4140" t="n">
        <v>0.8</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30660-2026</t>
        </is>
      </c>
      <c r="B4141" t="inlineStr">
        <is>
          <t>avverkningsanmälan</t>
        </is>
      </c>
      <c r="C4141" t="inlineStr">
        <is>
          <t>Föryngringsavverkning</t>
        </is>
      </c>
      <c r="D4141" s="1" t="n">
        <v>46211</v>
      </c>
      <c r="E4141" s="1" t="n">
        <v>46319</v>
      </c>
      <c r="F4141" t="inlineStr">
        <is>
          <t>DALARNAS LÄN</t>
        </is>
      </c>
      <c r="G4141" t="inlineStr">
        <is>
          <t>MALUNG-SÄLEN</t>
        </is>
      </c>
      <c r="H4141" t="inlineStr">
        <is>
          <t>Bergvik skog öst AB</t>
        </is>
      </c>
      <c r="I4141" t="n">
        <v>2.7</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59854-2025</t>
        </is>
      </c>
      <c r="B4142" t="inlineStr">
        <is>
          <t>avverkningsanmälan</t>
        </is>
      </c>
      <c r="C4142" t="inlineStr">
        <is>
          <t>Föryngringsavverkning</t>
        </is>
      </c>
      <c r="D4142" s="1" t="n">
        <v>45992</v>
      </c>
      <c r="E4142" s="1" t="n">
        <v>46319</v>
      </c>
      <c r="F4142" t="inlineStr">
        <is>
          <t>DALARNAS LÄN</t>
        </is>
      </c>
      <c r="G4142" t="inlineStr">
        <is>
          <t>SÄTER</t>
        </is>
      </c>
      <c r="I4142" t="n">
        <v>3</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17172-2025</t>
        </is>
      </c>
      <c r="B4143" t="inlineStr">
        <is>
          <t>avverkningsanmälan</t>
        </is>
      </c>
      <c r="C4143" t="inlineStr">
        <is>
          <t>Föryngringsavverkning</t>
        </is>
      </c>
      <c r="D4143" s="1" t="n">
        <v>45756</v>
      </c>
      <c r="E4143" s="1" t="n">
        <v>46319</v>
      </c>
      <c r="F4143" t="inlineStr">
        <is>
          <t>DALARNAS LÄN</t>
        </is>
      </c>
      <c r="G4143" t="inlineStr">
        <is>
          <t>MORA</t>
        </is>
      </c>
      <c r="H4143" t="inlineStr">
        <is>
          <t>Bergvik skog öst AB</t>
        </is>
      </c>
      <c r="I4143" t="n">
        <v>0.5</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28062-2026</t>
        </is>
      </c>
      <c r="B4144" t="inlineStr">
        <is>
          <t>avverkningsanmälan</t>
        </is>
      </c>
      <c r="C4144" t="inlineStr">
        <is>
          <t>Avverkning för annat ändamål</t>
        </is>
      </c>
      <c r="D4144" s="1" t="n">
        <v>46195</v>
      </c>
      <c r="E4144" s="1" t="n">
        <v>46319</v>
      </c>
      <c r="F4144" t="inlineStr">
        <is>
          <t>DALARNAS LÄN</t>
        </is>
      </c>
      <c r="G4144" t="inlineStr">
        <is>
          <t>LUDVIKA</t>
        </is>
      </c>
      <c r="H4144" t="inlineStr">
        <is>
          <t>Bergvik skog väst AB</t>
        </is>
      </c>
      <c r="I4144" t="n">
        <v>3.5</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59444-2025</t>
        </is>
      </c>
      <c r="B4145" t="inlineStr">
        <is>
          <t>avverkningsanmälan</t>
        </is>
      </c>
      <c r="C4145" t="inlineStr">
        <is>
          <t>Föryngringsavverkning</t>
        </is>
      </c>
      <c r="D4145" s="1" t="n">
        <v>45989</v>
      </c>
      <c r="E4145" s="1" t="n">
        <v>46319</v>
      </c>
      <c r="F4145" t="inlineStr">
        <is>
          <t>DALARNAS LÄN</t>
        </is>
      </c>
      <c r="G4145" t="inlineStr">
        <is>
          <t>LUDVIKA</t>
        </is>
      </c>
      <c r="I4145" t="n">
        <v>1</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59504-2025</t>
        </is>
      </c>
      <c r="B4146" t="inlineStr">
        <is>
          <t>avverkningsanmälan</t>
        </is>
      </c>
      <c r="C4146" t="inlineStr">
        <is>
          <t>Föryngringsavverkning</t>
        </is>
      </c>
      <c r="D4146" s="1" t="n">
        <v>45989</v>
      </c>
      <c r="E4146" s="1" t="n">
        <v>46319</v>
      </c>
      <c r="F4146" t="inlineStr">
        <is>
          <t>DALARNAS LÄN</t>
        </is>
      </c>
      <c r="G4146" t="inlineStr">
        <is>
          <t>RÄTTVIK</t>
        </is>
      </c>
      <c r="I4146" t="n">
        <v>5</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59530-2025</t>
        </is>
      </c>
      <c r="B4147" t="inlineStr">
        <is>
          <t>avverkningsanmälan</t>
        </is>
      </c>
      <c r="C4147" t="inlineStr">
        <is>
          <t>Föryngringsavverkning</t>
        </is>
      </c>
      <c r="D4147" s="1" t="n">
        <v>45989</v>
      </c>
      <c r="E4147" s="1" t="n">
        <v>46319</v>
      </c>
      <c r="F4147" t="inlineStr">
        <is>
          <t>DALARNAS LÄN</t>
        </is>
      </c>
      <c r="G4147" t="inlineStr">
        <is>
          <t>LUDVIKA</t>
        </is>
      </c>
      <c r="H4147" t="inlineStr">
        <is>
          <t>Bergvik skog väst AB</t>
        </is>
      </c>
      <c r="I4147" t="n">
        <v>7.8</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42824-2023</t>
        </is>
      </c>
      <c r="B4148" t="inlineStr">
        <is>
          <t>avverkningsanmälan</t>
        </is>
      </c>
      <c r="C4148" t="inlineStr">
        <is>
          <t>Föryngringsavverkning</t>
        </is>
      </c>
      <c r="D4148" s="1" t="n">
        <v>45182</v>
      </c>
      <c r="E4148" s="1" t="n">
        <v>46319</v>
      </c>
      <c r="F4148" t="inlineStr">
        <is>
          <t>DALARNAS LÄN</t>
        </is>
      </c>
      <c r="G4148" t="inlineStr">
        <is>
          <t>VANSBRO</t>
        </is>
      </c>
      <c r="I4148" t="n">
        <v>5.5</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59772-2025</t>
        </is>
      </c>
      <c r="B4149" t="inlineStr">
        <is>
          <t>avverkningsanmälan</t>
        </is>
      </c>
      <c r="C4149" t="inlineStr">
        <is>
          <t>Föryngringsavverkning</t>
        </is>
      </c>
      <c r="D4149" s="1" t="n">
        <v>45992</v>
      </c>
      <c r="E4149" s="1" t="n">
        <v>46319</v>
      </c>
      <c r="F4149" t="inlineStr">
        <is>
          <t>DALARNAS LÄN</t>
        </is>
      </c>
      <c r="G4149" t="inlineStr">
        <is>
          <t>MALUNG-SÄLEN</t>
        </is>
      </c>
      <c r="I4149" t="n">
        <v>0.9</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23283-2024</t>
        </is>
      </c>
      <c r="B4150" t="inlineStr">
        <is>
          <t>avverkningsanmälan</t>
        </is>
      </c>
      <c r="C4150" t="inlineStr">
        <is>
          <t>Föryngringsavverkning</t>
        </is>
      </c>
      <c r="D4150" s="1" t="n">
        <v>45453</v>
      </c>
      <c r="E4150" s="1" t="n">
        <v>46319</v>
      </c>
      <c r="F4150" t="inlineStr">
        <is>
          <t>DALARNAS LÄN</t>
        </is>
      </c>
      <c r="G4150" t="inlineStr">
        <is>
          <t>LEKSAND</t>
        </is>
      </c>
      <c r="I4150" t="n">
        <v>0.9</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56807-2023</t>
        </is>
      </c>
      <c r="B4151" t="inlineStr">
        <is>
          <t>avverkningsanmälan</t>
        </is>
      </c>
      <c r="C4151" t="inlineStr">
        <is>
          <t>Föryngringsavverkning</t>
        </is>
      </c>
      <c r="D4151" s="1" t="n">
        <v>45244</v>
      </c>
      <c r="E4151" s="1" t="n">
        <v>46319</v>
      </c>
      <c r="F4151" t="inlineStr">
        <is>
          <t>DALARNAS LÄN</t>
        </is>
      </c>
      <c r="G4151" t="inlineStr">
        <is>
          <t>GAGNEF</t>
        </is>
      </c>
      <c r="I4151" t="n">
        <v>10.9</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53932-2024</t>
        </is>
      </c>
      <c r="B4152" t="inlineStr">
        <is>
          <t>avverkningsanmälan</t>
        </is>
      </c>
      <c r="C4152" t="inlineStr">
        <is>
          <t>Föryngringsavverkning</t>
        </is>
      </c>
      <c r="D4152" s="1" t="n">
        <v>45615</v>
      </c>
      <c r="E4152" s="1" t="n">
        <v>46319</v>
      </c>
      <c r="F4152" t="inlineStr">
        <is>
          <t>DALARNAS LÄN</t>
        </is>
      </c>
      <c r="G4152" t="inlineStr">
        <is>
          <t>RÄTTVIK</t>
        </is>
      </c>
      <c r="I4152" t="n">
        <v>12.7</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30699-2026</t>
        </is>
      </c>
      <c r="B4153" t="inlineStr">
        <is>
          <t>avverkningsanmälan</t>
        </is>
      </c>
      <c r="C4153" t="inlineStr">
        <is>
          <t>Föryngringsavverkning</t>
        </is>
      </c>
      <c r="D4153" s="1" t="n">
        <v>46211</v>
      </c>
      <c r="E4153" s="1" t="n">
        <v>46319</v>
      </c>
      <c r="F4153" t="inlineStr">
        <is>
          <t>DALARNAS LÄN</t>
        </is>
      </c>
      <c r="G4153" t="inlineStr">
        <is>
          <t>MORA</t>
        </is>
      </c>
      <c r="I4153" t="n">
        <v>13.2</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30706-2026</t>
        </is>
      </c>
      <c r="B4154" t="inlineStr">
        <is>
          <t>avverkningsanmälan</t>
        </is>
      </c>
      <c r="C4154" t="inlineStr">
        <is>
          <t>Föryngringsavverkning</t>
        </is>
      </c>
      <c r="D4154" s="1" t="n">
        <v>46211</v>
      </c>
      <c r="E4154" s="1" t="n">
        <v>46319</v>
      </c>
      <c r="F4154" t="inlineStr">
        <is>
          <t>DALARNAS LÄN</t>
        </is>
      </c>
      <c r="G4154" t="inlineStr">
        <is>
          <t>SÄTER</t>
        </is>
      </c>
      <c r="I4154" t="n">
        <v>2.4</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57470-2023</t>
        </is>
      </c>
      <c r="B4155" t="inlineStr">
        <is>
          <t>avverkningsanmälan</t>
        </is>
      </c>
      <c r="C4155" t="inlineStr">
        <is>
          <t>Föryngringsavverkning</t>
        </is>
      </c>
      <c r="D4155" s="1" t="n">
        <v>45246</v>
      </c>
      <c r="E4155" s="1" t="n">
        <v>46319</v>
      </c>
      <c r="F4155" t="inlineStr">
        <is>
          <t>DALARNAS LÄN</t>
        </is>
      </c>
      <c r="G4155" t="inlineStr">
        <is>
          <t>ÄLVDALEN</t>
        </is>
      </c>
      <c r="I4155" t="n">
        <v>0.4</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59832-2025</t>
        </is>
      </c>
      <c r="B4156" t="inlineStr">
        <is>
          <t>avverkningsanmälan</t>
        </is>
      </c>
      <c r="C4156" t="inlineStr">
        <is>
          <t>Föryngringsavverkning</t>
        </is>
      </c>
      <c r="D4156" s="1" t="n">
        <v>45992</v>
      </c>
      <c r="E4156" s="1" t="n">
        <v>46319</v>
      </c>
      <c r="F4156" t="inlineStr">
        <is>
          <t>DALARNAS LÄN</t>
        </is>
      </c>
      <c r="G4156" t="inlineStr">
        <is>
          <t>FALUN</t>
        </is>
      </c>
      <c r="I4156" t="n">
        <v>2.5</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15993-2025</t>
        </is>
      </c>
      <c r="B4157" t="inlineStr">
        <is>
          <t>avverkningsanmälan</t>
        </is>
      </c>
      <c r="C4157" t="inlineStr">
        <is>
          <t>Föryngringsavverkning</t>
        </is>
      </c>
      <c r="D4157" s="1" t="n">
        <v>45749</v>
      </c>
      <c r="E4157" s="1" t="n">
        <v>46319</v>
      </c>
      <c r="F4157" t="inlineStr">
        <is>
          <t>DALARNAS LÄN</t>
        </is>
      </c>
      <c r="G4157" t="inlineStr">
        <is>
          <t>MORA</t>
        </is>
      </c>
      <c r="I4157" t="n">
        <v>1.1</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57217-2023</t>
        </is>
      </c>
      <c r="B4158" t="inlineStr">
        <is>
          <t>avverkningsanmälan</t>
        </is>
      </c>
      <c r="C4158" t="inlineStr">
        <is>
          <t>Föryngringsavverkning</t>
        </is>
      </c>
      <c r="D4158" s="1" t="n">
        <v>45239</v>
      </c>
      <c r="E4158" s="1" t="n">
        <v>46319</v>
      </c>
      <c r="F4158" t="inlineStr">
        <is>
          <t>DALARNAS LÄN</t>
        </is>
      </c>
      <c r="G4158" t="inlineStr">
        <is>
          <t>SMEDJEBACKEN</t>
        </is>
      </c>
      <c r="H4158" t="inlineStr">
        <is>
          <t>Bergvik skog väst AB</t>
        </is>
      </c>
      <c r="I4158" t="n">
        <v>4.2</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30662-2026</t>
        </is>
      </c>
      <c r="B4159" t="inlineStr">
        <is>
          <t>avverkningsanmälan</t>
        </is>
      </c>
      <c r="C4159" t="inlineStr">
        <is>
          <t>Föryngringsavverkning</t>
        </is>
      </c>
      <c r="D4159" s="1" t="n">
        <v>46211</v>
      </c>
      <c r="E4159" s="1" t="n">
        <v>46319</v>
      </c>
      <c r="F4159" t="inlineStr">
        <is>
          <t>DALARNAS LÄN</t>
        </is>
      </c>
      <c r="G4159" t="inlineStr">
        <is>
          <t>MALUNG-SÄLEN</t>
        </is>
      </c>
      <c r="H4159" t="inlineStr">
        <is>
          <t>Bergvik skog öst AB</t>
        </is>
      </c>
      <c r="I4159" t="n">
        <v>1.3</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59372-2025</t>
        </is>
      </c>
      <c r="B4160" t="inlineStr">
        <is>
          <t>avverkningsanmälan</t>
        </is>
      </c>
      <c r="C4160" t="inlineStr">
        <is>
          <t>Föryngringsavverkning</t>
        </is>
      </c>
      <c r="D4160" s="1" t="n">
        <v>45989</v>
      </c>
      <c r="E4160" s="1" t="n">
        <v>46319</v>
      </c>
      <c r="F4160" t="inlineStr">
        <is>
          <t>DALARNAS LÄN</t>
        </is>
      </c>
      <c r="G4160" t="inlineStr">
        <is>
          <t>MALUNG-SÄLEN</t>
        </is>
      </c>
      <c r="H4160" t="inlineStr">
        <is>
          <t>Bergvik skog väst AB</t>
        </is>
      </c>
      <c r="I4160" t="n">
        <v>2.2</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59439-2025</t>
        </is>
      </c>
      <c r="B4161" t="inlineStr">
        <is>
          <t>avverkningsanmälan</t>
        </is>
      </c>
      <c r="C4161" t="inlineStr">
        <is>
          <t>Föryngringsavverkning</t>
        </is>
      </c>
      <c r="D4161" s="1" t="n">
        <v>45989</v>
      </c>
      <c r="E4161" s="1" t="n">
        <v>46319</v>
      </c>
      <c r="F4161" t="inlineStr">
        <is>
          <t>DALARNAS LÄN</t>
        </is>
      </c>
      <c r="G4161" t="inlineStr">
        <is>
          <t>LUDVIKA</t>
        </is>
      </c>
      <c r="I4161" t="n">
        <v>2.6</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17078-2023</t>
        </is>
      </c>
      <c r="B4162" t="inlineStr">
        <is>
          <t>avverkningsanmälan</t>
        </is>
      </c>
      <c r="C4162" t="inlineStr">
        <is>
          <t>Föryngringsavverkning</t>
        </is>
      </c>
      <c r="D4162" s="1" t="n">
        <v>45034</v>
      </c>
      <c r="E4162" s="1" t="n">
        <v>46319</v>
      </c>
      <c r="F4162" t="inlineStr">
        <is>
          <t>DALARNAS LÄN</t>
        </is>
      </c>
      <c r="G4162" t="inlineStr">
        <is>
          <t>LEKSAND</t>
        </is>
      </c>
      <c r="I4162" t="n">
        <v>0.5</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59590-2025</t>
        </is>
      </c>
      <c r="B4163" t="inlineStr">
        <is>
          <t>avverkningsanmälan</t>
        </is>
      </c>
      <c r="C4163" t="inlineStr">
        <is>
          <t>Föryngringsavverkning</t>
        </is>
      </c>
      <c r="D4163" s="1" t="n">
        <v>45992</v>
      </c>
      <c r="E4163" s="1" t="n">
        <v>46319</v>
      </c>
      <c r="F4163" t="inlineStr">
        <is>
          <t>DALARNAS LÄN</t>
        </is>
      </c>
      <c r="G4163" t="inlineStr">
        <is>
          <t>ÄLVDALEN</t>
        </is>
      </c>
      <c r="H4163" t="inlineStr">
        <is>
          <t>Sveaskog</t>
        </is>
      </c>
      <c r="I4163" t="n">
        <v>4.2</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52945-2024</t>
        </is>
      </c>
      <c r="B4164" t="inlineStr">
        <is>
          <t>avverkningsanmälan</t>
        </is>
      </c>
      <c r="C4164" t="inlineStr">
        <is>
          <t>Föryngringsavverkning</t>
        </is>
      </c>
      <c r="D4164" s="1" t="n">
        <v>45610</v>
      </c>
      <c r="E4164" s="1" t="n">
        <v>46319</v>
      </c>
      <c r="F4164" t="inlineStr">
        <is>
          <t>DALARNAS LÄN</t>
        </is>
      </c>
      <c r="G4164" t="inlineStr">
        <is>
          <t>HEDEMORA</t>
        </is>
      </c>
      <c r="H4164" t="inlineStr">
        <is>
          <t>Sveaskog</t>
        </is>
      </c>
      <c r="I4164" t="n">
        <v>5</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6476-2025</t>
        </is>
      </c>
      <c r="B4165" t="inlineStr">
        <is>
          <t>avverkningsanmälan</t>
        </is>
      </c>
      <c r="C4165" t="inlineStr">
        <is>
          <t>Föryngringsavverkning</t>
        </is>
      </c>
      <c r="D4165" s="1" t="n">
        <v>45699</v>
      </c>
      <c r="E4165" s="1" t="n">
        <v>46319</v>
      </c>
      <c r="F4165" t="inlineStr">
        <is>
          <t>DALARNAS LÄN</t>
        </is>
      </c>
      <c r="G4165" t="inlineStr">
        <is>
          <t>ORSA</t>
        </is>
      </c>
      <c r="I4165" t="n">
        <v>1.2</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6479-2025</t>
        </is>
      </c>
      <c r="B4166" t="inlineStr">
        <is>
          <t>avverkningsanmälan</t>
        </is>
      </c>
      <c r="C4166" t="inlineStr">
        <is>
          <t>Föryngringsavverkning</t>
        </is>
      </c>
      <c r="D4166" s="1" t="n">
        <v>45699</v>
      </c>
      <c r="E4166" s="1" t="n">
        <v>46319</v>
      </c>
      <c r="F4166" t="inlineStr">
        <is>
          <t>DALARNAS LÄN</t>
        </is>
      </c>
      <c r="G4166" t="inlineStr">
        <is>
          <t>ORSA</t>
        </is>
      </c>
      <c r="I4166" t="n">
        <v>3.2</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9295-2024</t>
        </is>
      </c>
      <c r="B4167" t="inlineStr">
        <is>
          <t>avverkningsanmälan</t>
        </is>
      </c>
      <c r="C4167" t="inlineStr">
        <is>
          <t>Avverkning för annat ändamål</t>
        </is>
      </c>
      <c r="D4167" s="1" t="n">
        <v>45358</v>
      </c>
      <c r="E4167" s="1" t="n">
        <v>46319</v>
      </c>
      <c r="F4167" t="inlineStr">
        <is>
          <t>DALARNAS LÄN</t>
        </is>
      </c>
      <c r="G4167" t="inlineStr">
        <is>
          <t>BORLÄNGE</t>
        </is>
      </c>
      <c r="H4167" t="inlineStr">
        <is>
          <t>Kommuner</t>
        </is>
      </c>
      <c r="I4167" t="n">
        <v>2.1</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5738-2025</t>
        </is>
      </c>
      <c r="B4168" t="inlineStr">
        <is>
          <t>avverkningsanmälan</t>
        </is>
      </c>
      <c r="C4168" t="inlineStr">
        <is>
          <t>Föryngringsavverkning</t>
        </is>
      </c>
      <c r="D4168" s="1" t="n">
        <v>45694</v>
      </c>
      <c r="E4168" s="1" t="n">
        <v>46319</v>
      </c>
      <c r="F4168" t="inlineStr">
        <is>
          <t>DALARNAS LÄN</t>
        </is>
      </c>
      <c r="G4168" t="inlineStr">
        <is>
          <t>FALUN</t>
        </is>
      </c>
      <c r="I4168" t="n">
        <v>1.2</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59805-2025</t>
        </is>
      </c>
      <c r="B4169" t="inlineStr">
        <is>
          <t>avverkningsanmälan</t>
        </is>
      </c>
      <c r="C4169" t="inlineStr">
        <is>
          <t>Föryngringsavverkning</t>
        </is>
      </c>
      <c r="D4169" s="1" t="n">
        <v>45992</v>
      </c>
      <c r="E4169" s="1" t="n">
        <v>46319</v>
      </c>
      <c r="F4169" t="inlineStr">
        <is>
          <t>DALARNAS LÄN</t>
        </is>
      </c>
      <c r="G4169" t="inlineStr">
        <is>
          <t>MORA</t>
        </is>
      </c>
      <c r="I4169" t="n">
        <v>4.2</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59748-2025</t>
        </is>
      </c>
      <c r="B4170" t="inlineStr">
        <is>
          <t>avverkningsanmälan</t>
        </is>
      </c>
      <c r="C4170" t="inlineStr">
        <is>
          <t>Föryngringsavverkning</t>
        </is>
      </c>
      <c r="D4170" s="1" t="n">
        <v>45992</v>
      </c>
      <c r="E4170" s="1" t="n">
        <v>46319</v>
      </c>
      <c r="F4170" t="inlineStr">
        <is>
          <t>DALARNAS LÄN</t>
        </is>
      </c>
      <c r="G4170" t="inlineStr">
        <is>
          <t>FALUN</t>
        </is>
      </c>
      <c r="I4170" t="n">
        <v>7.4</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59768-2025</t>
        </is>
      </c>
      <c r="B4171" t="inlineStr">
        <is>
          <t>avverkningsanmälan</t>
        </is>
      </c>
      <c r="C4171" t="inlineStr">
        <is>
          <t>Föryngringsavverkning</t>
        </is>
      </c>
      <c r="D4171" s="1" t="n">
        <v>45992</v>
      </c>
      <c r="E4171" s="1" t="n">
        <v>46319</v>
      </c>
      <c r="F4171" t="inlineStr">
        <is>
          <t>DALARNAS LÄN</t>
        </is>
      </c>
      <c r="G4171" t="inlineStr">
        <is>
          <t>MORA</t>
        </is>
      </c>
      <c r="I4171" t="n">
        <v>4</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56986-2023</t>
        </is>
      </c>
      <c r="B4172" t="inlineStr">
        <is>
          <t>avverkningsanmälan</t>
        </is>
      </c>
      <c r="C4172" t="inlineStr">
        <is>
          <t>Föryngringsavverkning</t>
        </is>
      </c>
      <c r="D4172" s="1" t="n">
        <v>45244</v>
      </c>
      <c r="E4172" s="1" t="n">
        <v>46319</v>
      </c>
      <c r="F4172" t="inlineStr">
        <is>
          <t>DALARNAS LÄN</t>
        </is>
      </c>
      <c r="G4172" t="inlineStr">
        <is>
          <t>VANSBRO</t>
        </is>
      </c>
      <c r="I4172" t="n">
        <v>2.7</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27786-2026</t>
        </is>
      </c>
      <c r="B4173" t="inlineStr">
        <is>
          <t>avverkningsanmälan</t>
        </is>
      </c>
      <c r="C4173" t="inlineStr">
        <is>
          <t>Föryngringsavverkning</t>
        </is>
      </c>
      <c r="D4173" s="1" t="n">
        <v>46191</v>
      </c>
      <c r="E4173" s="1" t="n">
        <v>46319</v>
      </c>
      <c r="F4173" t="inlineStr">
        <is>
          <t>DALARNAS LÄN</t>
        </is>
      </c>
      <c r="G4173" t="inlineStr">
        <is>
          <t>SMEDJEBACKEN</t>
        </is>
      </c>
      <c r="I4173" t="n">
        <v>2.6</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20588-2025</t>
        </is>
      </c>
      <c r="B4174" t="inlineStr">
        <is>
          <t>avverkningsanmälan</t>
        </is>
      </c>
      <c r="C4174" t="inlineStr">
        <is>
          <t>Föryngringsavverkning</t>
        </is>
      </c>
      <c r="D4174" s="1" t="n">
        <v>45775</v>
      </c>
      <c r="E4174" s="1" t="n">
        <v>46319</v>
      </c>
      <c r="F4174" t="inlineStr">
        <is>
          <t>DALARNAS LÄN</t>
        </is>
      </c>
      <c r="G4174" t="inlineStr">
        <is>
          <t>ORSA</t>
        </is>
      </c>
      <c r="I4174" t="n">
        <v>1.7</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30667-2026</t>
        </is>
      </c>
      <c r="B4175" t="inlineStr">
        <is>
          <t>avverkningsanmälan</t>
        </is>
      </c>
      <c r="C4175" t="inlineStr">
        <is>
          <t>Föryngringsavverkning</t>
        </is>
      </c>
      <c r="D4175" s="1" t="n">
        <v>46211</v>
      </c>
      <c r="E4175" s="1" t="n">
        <v>46319</v>
      </c>
      <c r="F4175" t="inlineStr">
        <is>
          <t>DALARNAS LÄN</t>
        </is>
      </c>
      <c r="G4175" t="inlineStr">
        <is>
          <t>LEKSAND</t>
        </is>
      </c>
      <c r="I4175" t="n">
        <v>2</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30688-2026</t>
        </is>
      </c>
      <c r="B4176" t="inlineStr">
        <is>
          <t>avverkningsanmälan</t>
        </is>
      </c>
      <c r="C4176" t="inlineStr">
        <is>
          <t>Föryngringsavverkning</t>
        </is>
      </c>
      <c r="D4176" s="1" t="n">
        <v>46211</v>
      </c>
      <c r="E4176" s="1" t="n">
        <v>46319</v>
      </c>
      <c r="F4176" t="inlineStr">
        <is>
          <t>DALARNAS LÄN</t>
        </is>
      </c>
      <c r="G4176" t="inlineStr">
        <is>
          <t>ORSA</t>
        </is>
      </c>
      <c r="H4176" t="inlineStr">
        <is>
          <t>Bergvik skog öst AB</t>
        </is>
      </c>
      <c r="I4176" t="n">
        <v>0.3</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49805-2023</t>
        </is>
      </c>
      <c r="B4177" t="inlineStr">
        <is>
          <t>avverkningsanmälan</t>
        </is>
      </c>
      <c r="C4177" t="inlineStr">
        <is>
          <t>Föryngringsavverkning</t>
        </is>
      </c>
      <c r="D4177" s="1" t="n">
        <v>45212</v>
      </c>
      <c r="E4177" s="1" t="n">
        <v>46319</v>
      </c>
      <c r="F4177" t="inlineStr">
        <is>
          <t>DALARNAS LÄN</t>
        </is>
      </c>
      <c r="G4177" t="inlineStr">
        <is>
          <t>LUDVIKA</t>
        </is>
      </c>
      <c r="I4177" t="n">
        <v>1.9</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14832-2025</t>
        </is>
      </c>
      <c r="B4178" t="inlineStr">
        <is>
          <t>avverkningsanmälan</t>
        </is>
      </c>
      <c r="C4178" t="inlineStr">
        <is>
          <t>Föryngringsavverkning</t>
        </is>
      </c>
      <c r="D4178" s="1" t="n">
        <v>45743</v>
      </c>
      <c r="E4178" s="1" t="n">
        <v>46319</v>
      </c>
      <c r="F4178" t="inlineStr">
        <is>
          <t>DALARNAS LÄN</t>
        </is>
      </c>
      <c r="G4178" t="inlineStr">
        <is>
          <t>MORA</t>
        </is>
      </c>
      <c r="I4178" t="n">
        <v>9.1</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1978-2025</t>
        </is>
      </c>
      <c r="B4179" t="inlineStr">
        <is>
          <t>avverkningsanmälan</t>
        </is>
      </c>
      <c r="C4179" t="inlineStr">
        <is>
          <t>Föryngringsavverkning</t>
        </is>
      </c>
      <c r="D4179" s="1" t="n">
        <v>45672</v>
      </c>
      <c r="E4179" s="1" t="n">
        <v>46319</v>
      </c>
      <c r="F4179" t="inlineStr">
        <is>
          <t>DALARNAS LÄN</t>
        </is>
      </c>
      <c r="G4179" t="inlineStr">
        <is>
          <t>MALUNG-SÄLEN</t>
        </is>
      </c>
      <c r="I4179" t="n">
        <v>1.3</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30803-2026</t>
        </is>
      </c>
      <c r="B4180" t="inlineStr">
        <is>
          <t>avverkningsanmälan</t>
        </is>
      </c>
      <c r="C4180" t="inlineStr">
        <is>
          <t>Föryngringsavverkning</t>
        </is>
      </c>
      <c r="D4180" s="1" t="n">
        <v>46212</v>
      </c>
      <c r="E4180" s="1" t="n">
        <v>46319</v>
      </c>
      <c r="F4180" t="inlineStr">
        <is>
          <t>DALARNAS LÄN</t>
        </is>
      </c>
      <c r="G4180" t="inlineStr">
        <is>
          <t>SMEDJEBACKEN</t>
        </is>
      </c>
      <c r="H4180" t="inlineStr">
        <is>
          <t>Övriga Aktiebolag</t>
        </is>
      </c>
      <c r="I4180" t="n">
        <v>7.9</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29938-2026</t>
        </is>
      </c>
      <c r="B4181" t="inlineStr">
        <is>
          <t>avverkningsanmälan</t>
        </is>
      </c>
      <c r="C4181" t="inlineStr">
        <is>
          <t>Föryngringsavverkning</t>
        </is>
      </c>
      <c r="D4181" s="1" t="n">
        <v>46205</v>
      </c>
      <c r="E4181" s="1" t="n">
        <v>46319</v>
      </c>
      <c r="F4181" t="inlineStr">
        <is>
          <t>DALARNAS LÄN</t>
        </is>
      </c>
      <c r="G4181" t="inlineStr">
        <is>
          <t>RÄTTVIK</t>
        </is>
      </c>
      <c r="I4181" t="n">
        <v>1.1</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35008-2024</t>
        </is>
      </c>
      <c r="B4182" t="inlineStr">
        <is>
          <t>avverkningsanmälan</t>
        </is>
      </c>
      <c r="C4182" t="inlineStr">
        <is>
          <t>Föryngringsavverkning</t>
        </is>
      </c>
      <c r="D4182" s="1" t="n">
        <v>45527</v>
      </c>
      <c r="E4182" s="1" t="n">
        <v>46319</v>
      </c>
      <c r="F4182" t="inlineStr">
        <is>
          <t>DALARNAS LÄN</t>
        </is>
      </c>
      <c r="G4182" t="inlineStr">
        <is>
          <t>SMEDJEBACKEN</t>
        </is>
      </c>
      <c r="H4182" t="inlineStr">
        <is>
          <t>Bergvik skog väst AB</t>
        </is>
      </c>
      <c r="I4182" t="n">
        <v>0.5</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51333-2024</t>
        </is>
      </c>
      <c r="B4183" t="inlineStr">
        <is>
          <t>avverkningsanmälan</t>
        </is>
      </c>
      <c r="C4183" t="inlineStr">
        <is>
          <t>Avverkning för annat ändamål</t>
        </is>
      </c>
      <c r="D4183" s="1" t="n">
        <v>45604</v>
      </c>
      <c r="E4183" s="1" t="n">
        <v>46319</v>
      </c>
      <c r="F4183" t="inlineStr">
        <is>
          <t>DALARNAS LÄN</t>
        </is>
      </c>
      <c r="G4183" t="inlineStr">
        <is>
          <t>SÄTER</t>
        </is>
      </c>
      <c r="I4183" t="n">
        <v>0.3</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29499-2024</t>
        </is>
      </c>
      <c r="B4184" t="inlineStr">
        <is>
          <t>avverkningsanmälan</t>
        </is>
      </c>
      <c r="C4184" t="inlineStr">
        <is>
          <t>Föryngringsavverkning</t>
        </is>
      </c>
      <c r="D4184" s="1" t="n">
        <v>45484</v>
      </c>
      <c r="E4184" s="1" t="n">
        <v>46319</v>
      </c>
      <c r="F4184" t="inlineStr">
        <is>
          <t>DALARNAS LÄN</t>
        </is>
      </c>
      <c r="G4184" t="inlineStr">
        <is>
          <t>ORSA</t>
        </is>
      </c>
      <c r="I4184" t="n">
        <v>1.7</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45574-2023</t>
        </is>
      </c>
      <c r="B4185" t="inlineStr">
        <is>
          <t>avverkningsanmälan</t>
        </is>
      </c>
      <c r="C4185" t="inlineStr">
        <is>
          <t>Föryngringsavverkning</t>
        </is>
      </c>
      <c r="D4185" s="1" t="n">
        <v>45194</v>
      </c>
      <c r="E4185" s="1" t="n">
        <v>46319</v>
      </c>
      <c r="F4185" t="inlineStr">
        <is>
          <t>DALARNAS LÄN</t>
        </is>
      </c>
      <c r="G4185" t="inlineStr">
        <is>
          <t>MORA</t>
        </is>
      </c>
      <c r="I4185" t="n">
        <v>6.3</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31281-2026</t>
        </is>
      </c>
      <c r="B4186" t="inlineStr">
        <is>
          <t>avverkningsanmälan</t>
        </is>
      </c>
      <c r="C4186" t="inlineStr">
        <is>
          <t>Föryngringsavverkning</t>
        </is>
      </c>
      <c r="D4186" s="1" t="n">
        <v>46211</v>
      </c>
      <c r="E4186" s="1" t="n">
        <v>46319</v>
      </c>
      <c r="F4186" t="inlineStr">
        <is>
          <t>DALARNAS LÄN</t>
        </is>
      </c>
      <c r="G4186" t="inlineStr">
        <is>
          <t>ÄLVDALEN</t>
        </is>
      </c>
      <c r="I4186" t="n">
        <v>2.7</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59721-2025</t>
        </is>
      </c>
      <c r="B4187" t="inlineStr">
        <is>
          <t>avverkningsanmälan</t>
        </is>
      </c>
      <c r="C4187" t="inlineStr">
        <is>
          <t>Föryngringsavverkning</t>
        </is>
      </c>
      <c r="D4187" s="1" t="n">
        <v>45992</v>
      </c>
      <c r="E4187" s="1" t="n">
        <v>46319</v>
      </c>
      <c r="F4187" t="inlineStr">
        <is>
          <t>DALARNAS LÄN</t>
        </is>
      </c>
      <c r="G4187" t="inlineStr">
        <is>
          <t>RÄTTVIK</t>
        </is>
      </c>
      <c r="I4187" t="n">
        <v>1.1</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59378-2025</t>
        </is>
      </c>
      <c r="B4188" t="inlineStr">
        <is>
          <t>avverkningsanmälan</t>
        </is>
      </c>
      <c r="C4188" t="inlineStr">
        <is>
          <t>Föryngringsavverkning</t>
        </is>
      </c>
      <c r="D4188" s="1" t="n">
        <v>45989</v>
      </c>
      <c r="E4188" s="1" t="n">
        <v>46319</v>
      </c>
      <c r="F4188" t="inlineStr">
        <is>
          <t>DALARNAS LÄN</t>
        </is>
      </c>
      <c r="G4188" t="inlineStr">
        <is>
          <t>MALUNG-SÄLEN</t>
        </is>
      </c>
      <c r="H4188" t="inlineStr">
        <is>
          <t>Bergvik skog väst AB</t>
        </is>
      </c>
      <c r="I4188" t="n">
        <v>1.8</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55135-2025</t>
        </is>
      </c>
      <c r="B4189" t="inlineStr">
        <is>
          <t>avverkningsanmälan</t>
        </is>
      </c>
      <c r="C4189" t="inlineStr">
        <is>
          <t>Föryngringsavverkning</t>
        </is>
      </c>
      <c r="D4189" s="1" t="n">
        <v>45968</v>
      </c>
      <c r="E4189" s="1" t="n">
        <v>46319</v>
      </c>
      <c r="F4189" t="inlineStr">
        <is>
          <t>DALARNAS LÄN</t>
        </is>
      </c>
      <c r="G4189" t="inlineStr">
        <is>
          <t>MORA</t>
        </is>
      </c>
      <c r="I4189" t="n">
        <v>5.1</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30683-2026</t>
        </is>
      </c>
      <c r="B4190" t="inlineStr">
        <is>
          <t>avverkningsanmälan</t>
        </is>
      </c>
      <c r="C4190" t="inlineStr">
        <is>
          <t>Föryngringsavverkning</t>
        </is>
      </c>
      <c r="D4190" s="1" t="n">
        <v>46211</v>
      </c>
      <c r="E4190" s="1" t="n">
        <v>46319</v>
      </c>
      <c r="F4190" t="inlineStr">
        <is>
          <t>DALARNAS LÄN</t>
        </is>
      </c>
      <c r="G4190" t="inlineStr">
        <is>
          <t>RÄTTVIK</t>
        </is>
      </c>
      <c r="I4190" t="n">
        <v>2.9</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59588-2025</t>
        </is>
      </c>
      <c r="B4191" t="inlineStr">
        <is>
          <t>avverkningsanmälan</t>
        </is>
      </c>
      <c r="C4191" t="inlineStr">
        <is>
          <t>Föryngringsavverkning</t>
        </is>
      </c>
      <c r="D4191" s="1" t="n">
        <v>45992</v>
      </c>
      <c r="E4191" s="1" t="n">
        <v>46319</v>
      </c>
      <c r="F4191" t="inlineStr">
        <is>
          <t>DALARNAS LÄN</t>
        </is>
      </c>
      <c r="G4191" t="inlineStr">
        <is>
          <t>ÄLVDALEN</t>
        </is>
      </c>
      <c r="H4191" t="inlineStr">
        <is>
          <t>Sveaskog</t>
        </is>
      </c>
      <c r="I4191" t="n">
        <v>2.1</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59591-2025</t>
        </is>
      </c>
      <c r="B4192" t="inlineStr">
        <is>
          <t>avverkningsanmälan</t>
        </is>
      </c>
      <c r="C4192" t="inlineStr">
        <is>
          <t>Föryngringsavverkning</t>
        </is>
      </c>
      <c r="D4192" s="1" t="n">
        <v>45992</v>
      </c>
      <c r="E4192" s="1" t="n">
        <v>46319</v>
      </c>
      <c r="F4192" t="inlineStr">
        <is>
          <t>DALARNAS LÄN</t>
        </is>
      </c>
      <c r="G4192" t="inlineStr">
        <is>
          <t>ÄLVDALEN</t>
        </is>
      </c>
      <c r="H4192" t="inlineStr">
        <is>
          <t>Sveaskog</t>
        </is>
      </c>
      <c r="I4192" t="n">
        <v>1.6</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41643-2023</t>
        </is>
      </c>
      <c r="B4193" t="inlineStr">
        <is>
          <t>avverkningsanmälan</t>
        </is>
      </c>
      <c r="C4193" t="inlineStr">
        <is>
          <t>Föryngringsavverkning</t>
        </is>
      </c>
      <c r="D4193" s="1" t="n">
        <v>45175</v>
      </c>
      <c r="E4193" s="1" t="n">
        <v>46319</v>
      </c>
      <c r="F4193" t="inlineStr">
        <is>
          <t>DALARNAS LÄN</t>
        </is>
      </c>
      <c r="G4193" t="inlineStr">
        <is>
          <t>SÄTER</t>
        </is>
      </c>
      <c r="I4193" t="n">
        <v>1.1</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5689-2025</t>
        </is>
      </c>
      <c r="B4194" t="inlineStr">
        <is>
          <t>avverkningsanmälan</t>
        </is>
      </c>
      <c r="C4194" t="inlineStr">
        <is>
          <t>Föryngringsavverkning</t>
        </is>
      </c>
      <c r="D4194" s="1" t="n">
        <v>45694</v>
      </c>
      <c r="E4194" s="1" t="n">
        <v>46319</v>
      </c>
      <c r="F4194" t="inlineStr">
        <is>
          <t>DALARNAS LÄN</t>
        </is>
      </c>
      <c r="G4194" t="inlineStr">
        <is>
          <t>AVESTA</t>
        </is>
      </c>
      <c r="I4194" t="n">
        <v>3</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30960-2026</t>
        </is>
      </c>
      <c r="B4195" t="inlineStr">
        <is>
          <t>avverkningsanmälan</t>
        </is>
      </c>
      <c r="C4195" t="inlineStr">
        <is>
          <t>Föryngringsavverkning</t>
        </is>
      </c>
      <c r="D4195" s="1" t="n">
        <v>46213</v>
      </c>
      <c r="E4195" s="1" t="n">
        <v>46319</v>
      </c>
      <c r="F4195" t="inlineStr">
        <is>
          <t>DALARNAS LÄN</t>
        </is>
      </c>
      <c r="G4195" t="inlineStr">
        <is>
          <t>ORSA</t>
        </is>
      </c>
      <c r="H4195" t="inlineStr">
        <is>
          <t>Bergvik skog öst AB</t>
        </is>
      </c>
      <c r="I4195" t="n">
        <v>2.8</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59669-2025</t>
        </is>
      </c>
      <c r="B4196" t="inlineStr">
        <is>
          <t>avverkningsanmälan</t>
        </is>
      </c>
      <c r="C4196" t="inlineStr">
        <is>
          <t>Föryngringsavverkning</t>
        </is>
      </c>
      <c r="D4196" s="1" t="n">
        <v>45992</v>
      </c>
      <c r="E4196" s="1" t="n">
        <v>46319</v>
      </c>
      <c r="F4196" t="inlineStr">
        <is>
          <t>DALARNAS LÄN</t>
        </is>
      </c>
      <c r="G4196" t="inlineStr">
        <is>
          <t>MORA</t>
        </is>
      </c>
      <c r="I4196" t="n">
        <v>0.6</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47790-2024</t>
        </is>
      </c>
      <c r="B4197" t="inlineStr">
        <is>
          <t>avverkningsanmälan</t>
        </is>
      </c>
      <c r="C4197" t="inlineStr">
        <is>
          <t>Föryngringsavverkning</t>
        </is>
      </c>
      <c r="D4197" s="1" t="n">
        <v>45588</v>
      </c>
      <c r="E4197" s="1" t="n">
        <v>46319</v>
      </c>
      <c r="F4197" t="inlineStr">
        <is>
          <t>DALARNAS LÄN</t>
        </is>
      </c>
      <c r="G4197" t="inlineStr">
        <is>
          <t>VANSBRO</t>
        </is>
      </c>
      <c r="H4197" t="inlineStr">
        <is>
          <t>Övriga statliga verk och myndigheter</t>
        </is>
      </c>
      <c r="I4197" t="n">
        <v>0.6</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59580-2025</t>
        </is>
      </c>
      <c r="B4198" t="inlineStr">
        <is>
          <t>avverkningsanmälan</t>
        </is>
      </c>
      <c r="C4198" t="inlineStr">
        <is>
          <t>Föryngringsavverkning</t>
        </is>
      </c>
      <c r="D4198" s="1" t="n">
        <v>45992</v>
      </c>
      <c r="E4198" s="1" t="n">
        <v>46319</v>
      </c>
      <c r="F4198" t="inlineStr">
        <is>
          <t>DALARNAS LÄN</t>
        </is>
      </c>
      <c r="G4198" t="inlineStr">
        <is>
          <t>GAGNEF</t>
        </is>
      </c>
      <c r="I4198" t="n">
        <v>4.5</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22237-2024</t>
        </is>
      </c>
      <c r="B4199" t="inlineStr">
        <is>
          <t>avverkningsanmälan</t>
        </is>
      </c>
      <c r="C4199" t="inlineStr">
        <is>
          <t>Föryngringsavverkning</t>
        </is>
      </c>
      <c r="D4199" s="1" t="n">
        <v>45446</v>
      </c>
      <c r="E4199" s="1" t="n">
        <v>46319</v>
      </c>
      <c r="F4199" t="inlineStr">
        <is>
          <t>DALARNAS LÄN</t>
        </is>
      </c>
      <c r="G4199" t="inlineStr">
        <is>
          <t>MALUNG-SÄLEN</t>
        </is>
      </c>
      <c r="H4199" t="inlineStr">
        <is>
          <t>Bergvik skog öst AB</t>
        </is>
      </c>
      <c r="I4199" t="n">
        <v>1.6</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30957-2026</t>
        </is>
      </c>
      <c r="B4200" t="inlineStr">
        <is>
          <t>avverkningsanmälan</t>
        </is>
      </c>
      <c r="C4200" t="inlineStr">
        <is>
          <t>Föryngringsavverkning</t>
        </is>
      </c>
      <c r="D4200" s="1" t="n">
        <v>46213</v>
      </c>
      <c r="E4200" s="1" t="n">
        <v>46319</v>
      </c>
      <c r="F4200" t="inlineStr">
        <is>
          <t>DALARNAS LÄN</t>
        </is>
      </c>
      <c r="G4200" t="inlineStr">
        <is>
          <t>ORSA</t>
        </is>
      </c>
      <c r="H4200" t="inlineStr">
        <is>
          <t>Bergvik skog öst AB</t>
        </is>
      </c>
      <c r="I4200" t="n">
        <v>3.6</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41934-2025</t>
        </is>
      </c>
      <c r="B4201" t="inlineStr">
        <is>
          <t>avverkningsanmälan</t>
        </is>
      </c>
      <c r="C4201" t="inlineStr">
        <is>
          <t>Föryngringsavverkning</t>
        </is>
      </c>
      <c r="D4201" s="1" t="n">
        <v>45903</v>
      </c>
      <c r="E4201" s="1" t="n">
        <v>46319</v>
      </c>
      <c r="F4201" t="inlineStr">
        <is>
          <t>DALARNAS LÄN</t>
        </is>
      </c>
      <c r="G4201" t="inlineStr">
        <is>
          <t>LEKSAND</t>
        </is>
      </c>
      <c r="H4201" t="inlineStr">
        <is>
          <t>Bergvik skog väst AB</t>
        </is>
      </c>
      <c r="I4201" t="n">
        <v>3</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60162-2025</t>
        </is>
      </c>
      <c r="B4202" t="inlineStr">
        <is>
          <t>avverkningsanmälan</t>
        </is>
      </c>
      <c r="C4202" t="inlineStr">
        <is>
          <t>Föryngringsavverkning</t>
        </is>
      </c>
      <c r="D4202" s="1" t="n">
        <v>45994</v>
      </c>
      <c r="E4202" s="1" t="n">
        <v>46319</v>
      </c>
      <c r="F4202" t="inlineStr">
        <is>
          <t>DALARNAS LÄN</t>
        </is>
      </c>
      <c r="G4202" t="inlineStr">
        <is>
          <t>ORSA</t>
        </is>
      </c>
      <c r="I4202" t="n">
        <v>1</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60292-2025</t>
        </is>
      </c>
      <c r="B4203" t="inlineStr">
        <is>
          <t>avverkningsanmälan</t>
        </is>
      </c>
      <c r="C4203" t="inlineStr">
        <is>
          <t>Föryngringsavverkning</t>
        </is>
      </c>
      <c r="D4203" s="1" t="n">
        <v>45994</v>
      </c>
      <c r="E4203" s="1" t="n">
        <v>46319</v>
      </c>
      <c r="F4203" t="inlineStr">
        <is>
          <t>DALARNAS LÄN</t>
        </is>
      </c>
      <c r="G4203" t="inlineStr">
        <is>
          <t>ÄLVDALEN</t>
        </is>
      </c>
      <c r="H4203" t="inlineStr">
        <is>
          <t>Allmännings- och besparingsskogar</t>
        </is>
      </c>
      <c r="I4203" t="n">
        <v>11.8</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60302-2025</t>
        </is>
      </c>
      <c r="B4204" t="inlineStr">
        <is>
          <t>avverkningsanmälan</t>
        </is>
      </c>
      <c r="C4204" t="inlineStr">
        <is>
          <t>Föryngringsavverkning</t>
        </is>
      </c>
      <c r="D4204" s="1" t="n">
        <v>45994</v>
      </c>
      <c r="E4204" s="1" t="n">
        <v>46319</v>
      </c>
      <c r="F4204" t="inlineStr">
        <is>
          <t>DALARNAS LÄN</t>
        </is>
      </c>
      <c r="G4204" t="inlineStr">
        <is>
          <t>RÄTTVIK</t>
        </is>
      </c>
      <c r="H4204" t="inlineStr">
        <is>
          <t>Övriga statliga verk och myndigheter</t>
        </is>
      </c>
      <c r="I4204" t="n">
        <v>0.8</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29223-2026</t>
        </is>
      </c>
      <c r="B4205" t="inlineStr">
        <is>
          <t>avverkningsanmälan</t>
        </is>
      </c>
      <c r="C4205" t="inlineStr">
        <is>
          <t>Föryngringsavverkning</t>
        </is>
      </c>
      <c r="D4205" s="1" t="n">
        <v>46202</v>
      </c>
      <c r="E4205" s="1" t="n">
        <v>46319</v>
      </c>
      <c r="F4205" t="inlineStr">
        <is>
          <t>DALARNAS LÄN</t>
        </is>
      </c>
      <c r="G4205" t="inlineStr">
        <is>
          <t>LEKSAND</t>
        </is>
      </c>
      <c r="H4205" t="inlineStr">
        <is>
          <t>Bergvik skog väst AB</t>
        </is>
      </c>
      <c r="I4205" t="n">
        <v>4.1</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60182-2025</t>
        </is>
      </c>
      <c r="B4206" t="inlineStr">
        <is>
          <t>avverkningsanmälan</t>
        </is>
      </c>
      <c r="C4206" t="inlineStr">
        <is>
          <t>Föryngringsavverkning</t>
        </is>
      </c>
      <c r="D4206" s="1" t="n">
        <v>45994</v>
      </c>
      <c r="E4206" s="1" t="n">
        <v>46319</v>
      </c>
      <c r="F4206" t="inlineStr">
        <is>
          <t>DALARNAS LÄN</t>
        </is>
      </c>
      <c r="G4206" t="inlineStr">
        <is>
          <t>AVESTA</t>
        </is>
      </c>
      <c r="I4206" t="n">
        <v>4.4</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59952-2025</t>
        </is>
      </c>
      <c r="B4207" t="inlineStr">
        <is>
          <t>avverkningsanmälan</t>
        </is>
      </c>
      <c r="C4207" t="inlineStr">
        <is>
          <t>Avverkning för annat ändamål</t>
        </is>
      </c>
      <c r="D4207" s="1" t="n">
        <v>45993</v>
      </c>
      <c r="E4207" s="1" t="n">
        <v>46319</v>
      </c>
      <c r="F4207" t="inlineStr">
        <is>
          <t>DALARNAS LÄN</t>
        </is>
      </c>
      <c r="G4207" t="inlineStr">
        <is>
          <t>MALUNG-SÄLEN</t>
        </is>
      </c>
      <c r="H4207" t="inlineStr">
        <is>
          <t>Allmännings- och besparingsskogar</t>
        </is>
      </c>
      <c r="I4207" t="n">
        <v>4.6</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59974-2025</t>
        </is>
      </c>
      <c r="B4208" t="inlineStr">
        <is>
          <t>avverkningsanmälan</t>
        </is>
      </c>
      <c r="C4208" t="inlineStr">
        <is>
          <t>Föryngringsavverkning</t>
        </is>
      </c>
      <c r="D4208" s="1" t="n">
        <v>45993</v>
      </c>
      <c r="E4208" s="1" t="n">
        <v>46319</v>
      </c>
      <c r="F4208" t="inlineStr">
        <is>
          <t>DALARNAS LÄN</t>
        </is>
      </c>
      <c r="G4208" t="inlineStr">
        <is>
          <t>SÄTER</t>
        </is>
      </c>
      <c r="I4208" t="n">
        <v>1</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60067-2025</t>
        </is>
      </c>
      <c r="B4209" t="inlineStr">
        <is>
          <t>avverkningsanmälan</t>
        </is>
      </c>
      <c r="C4209" t="inlineStr">
        <is>
          <t>Föryngringsavverkning</t>
        </is>
      </c>
      <c r="D4209" s="1" t="n">
        <v>45993</v>
      </c>
      <c r="E4209" s="1" t="n">
        <v>46319</v>
      </c>
      <c r="F4209" t="inlineStr">
        <is>
          <t>DALARNAS LÄN</t>
        </is>
      </c>
      <c r="G4209" t="inlineStr">
        <is>
          <t>LEKSAND</t>
        </is>
      </c>
      <c r="I4209" t="n">
        <v>3.3</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60078-2025</t>
        </is>
      </c>
      <c r="B4210" t="inlineStr">
        <is>
          <t>avverkningsanmälan</t>
        </is>
      </c>
      <c r="C4210" t="inlineStr">
        <is>
          <t>Föryngringsavverkning</t>
        </is>
      </c>
      <c r="D4210" s="1" t="n">
        <v>45993</v>
      </c>
      <c r="E4210" s="1" t="n">
        <v>46319</v>
      </c>
      <c r="F4210" t="inlineStr">
        <is>
          <t>DALARNAS LÄN</t>
        </is>
      </c>
      <c r="G4210" t="inlineStr">
        <is>
          <t>MALUNG-SÄLEN</t>
        </is>
      </c>
      <c r="I4210" t="n">
        <v>1.2</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25150-2023</t>
        </is>
      </c>
      <c r="B4211" t="inlineStr">
        <is>
          <t>avverkningsanmälan</t>
        </is>
      </c>
      <c r="C4211" t="inlineStr">
        <is>
          <t>Föryngringsavverkning</t>
        </is>
      </c>
      <c r="D4211" s="1" t="n">
        <v>45086</v>
      </c>
      <c r="E4211" s="1" t="n">
        <v>46319</v>
      </c>
      <c r="F4211" t="inlineStr">
        <is>
          <t>DALARNAS LÄN</t>
        </is>
      </c>
      <c r="G4211" t="inlineStr">
        <is>
          <t>HEDEMORA</t>
        </is>
      </c>
      <c r="H4211" t="inlineStr">
        <is>
          <t>Sveaskog</t>
        </is>
      </c>
      <c r="I4211" t="n">
        <v>1.6</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60145-2025</t>
        </is>
      </c>
      <c r="B4212" t="inlineStr">
        <is>
          <t>avverkningsanmälan</t>
        </is>
      </c>
      <c r="C4212" t="inlineStr">
        <is>
          <t>Föryngringsavverkning</t>
        </is>
      </c>
      <c r="D4212" s="1" t="n">
        <v>45994</v>
      </c>
      <c r="E4212" s="1" t="n">
        <v>46319</v>
      </c>
      <c r="F4212" t="inlineStr">
        <is>
          <t>DALARNAS LÄN</t>
        </is>
      </c>
      <c r="G4212" t="inlineStr">
        <is>
          <t>VANSBRO</t>
        </is>
      </c>
      <c r="I4212" t="n">
        <v>9.1</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32688-2024</t>
        </is>
      </c>
      <c r="B4213" t="inlineStr">
        <is>
          <t>avverkningsanmälan</t>
        </is>
      </c>
      <c r="C4213" t="inlineStr">
        <is>
          <t>Föryngringsavverkning</t>
        </is>
      </c>
      <c r="D4213" s="1" t="n">
        <v>45515</v>
      </c>
      <c r="E4213" s="1" t="n">
        <v>46319</v>
      </c>
      <c r="F4213" t="inlineStr">
        <is>
          <t>DALARNAS LÄN</t>
        </is>
      </c>
      <c r="G4213" t="inlineStr">
        <is>
          <t>LEKSAND</t>
        </is>
      </c>
      <c r="I4213" t="n">
        <v>1.3</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25125-2024</t>
        </is>
      </c>
      <c r="B4214" t="inlineStr">
        <is>
          <t>avverkningsanmälan</t>
        </is>
      </c>
      <c r="C4214" t="inlineStr">
        <is>
          <t>Föryngringsavverkning</t>
        </is>
      </c>
      <c r="D4214" s="1" t="n">
        <v>45462</v>
      </c>
      <c r="E4214" s="1" t="n">
        <v>46319</v>
      </c>
      <c r="F4214" t="inlineStr">
        <is>
          <t>DALARNAS LÄN</t>
        </is>
      </c>
      <c r="G4214" t="inlineStr">
        <is>
          <t>SMEDJEBACKEN</t>
        </is>
      </c>
      <c r="I4214" t="n">
        <v>4.4</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60085-2025</t>
        </is>
      </c>
      <c r="B4215" t="inlineStr">
        <is>
          <t>avverkningsanmälan</t>
        </is>
      </c>
      <c r="C4215" t="inlineStr">
        <is>
          <t>Föryngringsavverkning</t>
        </is>
      </c>
      <c r="D4215" s="1" t="n">
        <v>45993</v>
      </c>
      <c r="E4215" s="1" t="n">
        <v>46319</v>
      </c>
      <c r="F4215" t="inlineStr">
        <is>
          <t>DALARNAS LÄN</t>
        </is>
      </c>
      <c r="G4215" t="inlineStr">
        <is>
          <t>FALUN</t>
        </is>
      </c>
      <c r="I4215" t="n">
        <v>1.9</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30998-2026</t>
        </is>
      </c>
      <c r="B4216" t="inlineStr">
        <is>
          <t>avverkningsanmälan</t>
        </is>
      </c>
      <c r="C4216" t="inlineStr">
        <is>
          <t>Föryngringsavverkning</t>
        </is>
      </c>
      <c r="D4216" s="1" t="n">
        <v>46213</v>
      </c>
      <c r="E4216" s="1" t="n">
        <v>46319</v>
      </c>
      <c r="F4216" t="inlineStr">
        <is>
          <t>DALARNAS LÄN</t>
        </is>
      </c>
      <c r="G4216" t="inlineStr">
        <is>
          <t>ORSA</t>
        </is>
      </c>
      <c r="H4216" t="inlineStr">
        <is>
          <t>Allmännings- och besparingsskogar</t>
        </is>
      </c>
      <c r="I4216" t="n">
        <v>2.1</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40409-2022</t>
        </is>
      </c>
      <c r="B4217" t="inlineStr">
        <is>
          <t>avverkningsanmälan</t>
        </is>
      </c>
      <c r="C4217" t="inlineStr">
        <is>
          <t>Föryngringsavverkning</t>
        </is>
      </c>
      <c r="D4217" s="1" t="n">
        <v>44823</v>
      </c>
      <c r="E4217" s="1" t="n">
        <v>46319</v>
      </c>
      <c r="F4217" t="inlineStr">
        <is>
          <t>DALARNAS LÄN</t>
        </is>
      </c>
      <c r="G4217" t="inlineStr">
        <is>
          <t>GAGNEF</t>
        </is>
      </c>
      <c r="I4217" t="n">
        <v>3</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39770-2022</t>
        </is>
      </c>
      <c r="B4218" t="inlineStr">
        <is>
          <t>avverkningsanmälan</t>
        </is>
      </c>
      <c r="C4218" t="inlineStr">
        <is>
          <t>Föryngringsavverkning</t>
        </is>
      </c>
      <c r="D4218" s="1" t="n">
        <v>44819</v>
      </c>
      <c r="E4218" s="1" t="n">
        <v>46319</v>
      </c>
      <c r="F4218" t="inlineStr">
        <is>
          <t>DALARNAS LÄN</t>
        </is>
      </c>
      <c r="G4218" t="inlineStr">
        <is>
          <t>RÄTTVIK</t>
        </is>
      </c>
      <c r="I4218" t="n">
        <v>3.5</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60086-2025</t>
        </is>
      </c>
      <c r="B4219" t="inlineStr">
        <is>
          <t>avverkningsanmälan</t>
        </is>
      </c>
      <c r="C4219" t="inlineStr">
        <is>
          <t>Föryngringsavverkning</t>
        </is>
      </c>
      <c r="D4219" s="1" t="n">
        <v>45993</v>
      </c>
      <c r="E4219" s="1" t="n">
        <v>46319</v>
      </c>
      <c r="F4219" t="inlineStr">
        <is>
          <t>DALARNAS LÄN</t>
        </is>
      </c>
      <c r="G4219" t="inlineStr">
        <is>
          <t>FALUN</t>
        </is>
      </c>
      <c r="I4219" t="n">
        <v>4.5</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60562-2025</t>
        </is>
      </c>
      <c r="B4220" t="inlineStr">
        <is>
          <t>avverkningsanmälan</t>
        </is>
      </c>
      <c r="C4220" t="inlineStr">
        <is>
          <t>Föryngringsavverkning</t>
        </is>
      </c>
      <c r="D4220" s="1" t="n">
        <v>45994</v>
      </c>
      <c r="E4220" s="1" t="n">
        <v>46319</v>
      </c>
      <c r="F4220" t="inlineStr">
        <is>
          <t>DALARNAS LÄN</t>
        </is>
      </c>
      <c r="G4220" t="inlineStr">
        <is>
          <t>FALUN</t>
        </is>
      </c>
      <c r="I4220" t="n">
        <v>1</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53874-2023</t>
        </is>
      </c>
      <c r="B4221" t="inlineStr">
        <is>
          <t>avverkningsanmälan</t>
        </is>
      </c>
      <c r="C4221" t="inlineStr">
        <is>
          <t>Föryngringsavverkning</t>
        </is>
      </c>
      <c r="D4221" s="1" t="n">
        <v>45231</v>
      </c>
      <c r="E4221" s="1" t="n">
        <v>46319</v>
      </c>
      <c r="F4221" t="inlineStr">
        <is>
          <t>DALARNAS LÄN</t>
        </is>
      </c>
      <c r="G4221" t="inlineStr">
        <is>
          <t>RÄTTVIK</t>
        </is>
      </c>
      <c r="I4221" t="n">
        <v>1.2</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53876-2023</t>
        </is>
      </c>
      <c r="B4222" t="inlineStr">
        <is>
          <t>avverkningsanmälan</t>
        </is>
      </c>
      <c r="C4222" t="inlineStr">
        <is>
          <t>Föryngringsavverkning</t>
        </is>
      </c>
      <c r="D4222" s="1" t="n">
        <v>45231</v>
      </c>
      <c r="E4222" s="1" t="n">
        <v>46319</v>
      </c>
      <c r="F4222" t="inlineStr">
        <is>
          <t>DALARNAS LÄN</t>
        </is>
      </c>
      <c r="G4222" t="inlineStr">
        <is>
          <t>RÄTTVIK</t>
        </is>
      </c>
      <c r="I4222" t="n">
        <v>6.7</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30878-2026</t>
        </is>
      </c>
      <c r="B4223" t="inlineStr">
        <is>
          <t>avverkningsanmälan</t>
        </is>
      </c>
      <c r="C4223" t="inlineStr">
        <is>
          <t>Föryngringsavverkning</t>
        </is>
      </c>
      <c r="D4223" s="1" t="n">
        <v>46212</v>
      </c>
      <c r="E4223" s="1" t="n">
        <v>46319</v>
      </c>
      <c r="F4223" t="inlineStr">
        <is>
          <t>DALARNAS LÄN</t>
        </is>
      </c>
      <c r="G4223" t="inlineStr">
        <is>
          <t>HEDEMORA</t>
        </is>
      </c>
      <c r="H4223" t="inlineStr">
        <is>
          <t>Sveaskog</t>
        </is>
      </c>
      <c r="I4223" t="n">
        <v>1</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30769-2026</t>
        </is>
      </c>
      <c r="B4224" t="inlineStr">
        <is>
          <t>avverkningsanmälan</t>
        </is>
      </c>
      <c r="C4224" t="inlineStr">
        <is>
          <t>Föryngringsavverkning</t>
        </is>
      </c>
      <c r="D4224" s="1" t="n">
        <v>46212</v>
      </c>
      <c r="E4224" s="1" t="n">
        <v>46319</v>
      </c>
      <c r="F4224" t="inlineStr">
        <is>
          <t>DALARNAS LÄN</t>
        </is>
      </c>
      <c r="G4224" t="inlineStr">
        <is>
          <t>RÄTTVIK</t>
        </is>
      </c>
      <c r="H4224" t="inlineStr">
        <is>
          <t>Sveaskog</t>
        </is>
      </c>
      <c r="I4224" t="n">
        <v>1.9</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30796-2026</t>
        </is>
      </c>
      <c r="B4225" t="inlineStr">
        <is>
          <t>avverkningsanmälan</t>
        </is>
      </c>
      <c r="C4225" t="inlineStr">
        <is>
          <t>Föryngringsavverkning</t>
        </is>
      </c>
      <c r="D4225" s="1" t="n">
        <v>46212</v>
      </c>
      <c r="E4225" s="1" t="n">
        <v>46319</v>
      </c>
      <c r="F4225" t="inlineStr">
        <is>
          <t>DALARNAS LÄN</t>
        </is>
      </c>
      <c r="G4225" t="inlineStr">
        <is>
          <t>VANSBRO</t>
        </is>
      </c>
      <c r="I4225" t="n">
        <v>4.2</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34334-2023</t>
        </is>
      </c>
      <c r="B4226" t="inlineStr">
        <is>
          <t>avverkningsanmälan</t>
        </is>
      </c>
      <c r="C4226" t="inlineStr">
        <is>
          <t>Föryngringsavverkning</t>
        </is>
      </c>
      <c r="D4226" s="1" t="n">
        <v>45139</v>
      </c>
      <c r="E4226" s="1" t="n">
        <v>46319</v>
      </c>
      <c r="F4226" t="inlineStr">
        <is>
          <t>DALARNAS LÄN</t>
        </is>
      </c>
      <c r="G4226" t="inlineStr">
        <is>
          <t>BORLÄNGE</t>
        </is>
      </c>
      <c r="I4226" t="n">
        <v>2</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4121-2024</t>
        </is>
      </c>
      <c r="B4227" t="inlineStr">
        <is>
          <t>avverkningsanmälan</t>
        </is>
      </c>
      <c r="C4227" t="inlineStr">
        <is>
          <t>Avverkning för annat ändamål</t>
        </is>
      </c>
      <c r="D4227" s="1" t="n">
        <v>45323</v>
      </c>
      <c r="E4227" s="1" t="n">
        <v>46319</v>
      </c>
      <c r="F4227" t="inlineStr">
        <is>
          <t>DALARNAS LÄN</t>
        </is>
      </c>
      <c r="G4227" t="inlineStr">
        <is>
          <t>LEKSAND</t>
        </is>
      </c>
      <c r="I4227" t="n">
        <v>1.3</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5847-2025</t>
        </is>
      </c>
      <c r="B4228" t="inlineStr">
        <is>
          <t>avverkningsanmälan</t>
        </is>
      </c>
      <c r="C4228" t="inlineStr">
        <is>
          <t>Föryngringsavverkning</t>
        </is>
      </c>
      <c r="D4228" s="1" t="n">
        <v>45695</v>
      </c>
      <c r="E4228" s="1" t="n">
        <v>46319</v>
      </c>
      <c r="F4228" t="inlineStr">
        <is>
          <t>DALARNAS LÄN</t>
        </is>
      </c>
      <c r="G4228" t="inlineStr">
        <is>
          <t>LEKSAND</t>
        </is>
      </c>
      <c r="I4228" t="n">
        <v>2.6</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60288-2025</t>
        </is>
      </c>
      <c r="B4229" t="inlineStr">
        <is>
          <t>avverkningsanmälan</t>
        </is>
      </c>
      <c r="C4229" t="inlineStr">
        <is>
          <t>Föryngringsavverkning</t>
        </is>
      </c>
      <c r="D4229" s="1" t="n">
        <v>45994</v>
      </c>
      <c r="E4229" s="1" t="n">
        <v>46319</v>
      </c>
      <c r="F4229" t="inlineStr">
        <is>
          <t>DALARNAS LÄN</t>
        </is>
      </c>
      <c r="G4229" t="inlineStr">
        <is>
          <t>RÄTTVIK</t>
        </is>
      </c>
      <c r="I4229" t="n">
        <v>3.2</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5873-2025</t>
        </is>
      </c>
      <c r="B4230" t="inlineStr">
        <is>
          <t>avverkningsanmälan</t>
        </is>
      </c>
      <c r="C4230" t="inlineStr">
        <is>
          <t>Föryngringsavverkning</t>
        </is>
      </c>
      <c r="D4230" s="1" t="n">
        <v>45695</v>
      </c>
      <c r="E4230" s="1" t="n">
        <v>46319</v>
      </c>
      <c r="F4230" t="inlineStr">
        <is>
          <t>DALARNAS LÄN</t>
        </is>
      </c>
      <c r="G4230" t="inlineStr">
        <is>
          <t>LEKSAND</t>
        </is>
      </c>
      <c r="I4230" t="n">
        <v>1.4</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28872-2026</t>
        </is>
      </c>
      <c r="B4231" t="inlineStr">
        <is>
          <t>avverkningsanmälan</t>
        </is>
      </c>
      <c r="C4231" t="inlineStr">
        <is>
          <t>Föryngringsavverkning</t>
        </is>
      </c>
      <c r="D4231" s="1" t="n">
        <v>46199</v>
      </c>
      <c r="E4231" s="1" t="n">
        <v>46319</v>
      </c>
      <c r="F4231" t="inlineStr">
        <is>
          <t>DALARNAS LÄN</t>
        </is>
      </c>
      <c r="G4231" t="inlineStr">
        <is>
          <t>VANSBRO</t>
        </is>
      </c>
      <c r="H4231" t="inlineStr">
        <is>
          <t>Bergvik skog väst AB</t>
        </is>
      </c>
      <c r="I4231" t="n">
        <v>0.8</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5921-2025</t>
        </is>
      </c>
      <c r="B4232" t="inlineStr">
        <is>
          <t>avverkningsanmälan</t>
        </is>
      </c>
      <c r="C4232" t="inlineStr">
        <is>
          <t>Avverkning för annat ändamål</t>
        </is>
      </c>
      <c r="D4232" s="1" t="n">
        <v>45695</v>
      </c>
      <c r="E4232" s="1" t="n">
        <v>46319</v>
      </c>
      <c r="F4232" t="inlineStr">
        <is>
          <t>DALARNAS LÄN</t>
        </is>
      </c>
      <c r="G4232" t="inlineStr">
        <is>
          <t>ORSA</t>
        </is>
      </c>
      <c r="I4232" t="n">
        <v>1.4</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5922-2025</t>
        </is>
      </c>
      <c r="B4233" t="inlineStr">
        <is>
          <t>avverkningsanmälan</t>
        </is>
      </c>
      <c r="C4233" t="inlineStr">
        <is>
          <t>Föryngringsavverkning</t>
        </is>
      </c>
      <c r="D4233" s="1" t="n">
        <v>45695</v>
      </c>
      <c r="E4233" s="1" t="n">
        <v>46319</v>
      </c>
      <c r="F4233" t="inlineStr">
        <is>
          <t>DALARNAS LÄN</t>
        </is>
      </c>
      <c r="G4233" t="inlineStr">
        <is>
          <t>MORA</t>
        </is>
      </c>
      <c r="I4233" t="n">
        <v>1.2</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14459-2025</t>
        </is>
      </c>
      <c r="B4234" t="inlineStr">
        <is>
          <t>avverkningsanmälan</t>
        </is>
      </c>
      <c r="C4234" t="inlineStr">
        <is>
          <t>Föryngringsavverkning</t>
        </is>
      </c>
      <c r="D4234" s="1" t="n">
        <v>45741</v>
      </c>
      <c r="E4234" s="1" t="n">
        <v>46319</v>
      </c>
      <c r="F4234" t="inlineStr">
        <is>
          <t>DALARNAS LÄN</t>
        </is>
      </c>
      <c r="G4234" t="inlineStr">
        <is>
          <t>FALUN</t>
        </is>
      </c>
      <c r="I4234" t="n">
        <v>2.5</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43324-2023</t>
        </is>
      </c>
      <c r="B4235" t="inlineStr">
        <is>
          <t>avverkningsanmälan</t>
        </is>
      </c>
      <c r="C4235" t="inlineStr">
        <is>
          <t>Föryngringsavverkning</t>
        </is>
      </c>
      <c r="D4235" s="1" t="n">
        <v>45183</v>
      </c>
      <c r="E4235" s="1" t="n">
        <v>46319</v>
      </c>
      <c r="F4235" t="inlineStr">
        <is>
          <t>DALARNAS LÄN</t>
        </is>
      </c>
      <c r="G4235" t="inlineStr">
        <is>
          <t>BORLÄNGE</t>
        </is>
      </c>
      <c r="I4235" t="n">
        <v>3.8</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18481-2024</t>
        </is>
      </c>
      <c r="B4236" t="inlineStr">
        <is>
          <t>avverkningsanmälan</t>
        </is>
      </c>
      <c r="C4236" t="inlineStr">
        <is>
          <t>Föryngringsavverkning</t>
        </is>
      </c>
      <c r="D4236" s="1" t="n">
        <v>45425</v>
      </c>
      <c r="E4236" s="1" t="n">
        <v>46319</v>
      </c>
      <c r="F4236" t="inlineStr">
        <is>
          <t>DALARNAS LÄN</t>
        </is>
      </c>
      <c r="G4236" t="inlineStr">
        <is>
          <t>LEKSAND</t>
        </is>
      </c>
      <c r="I4236" t="n">
        <v>0.9</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18484-2024</t>
        </is>
      </c>
      <c r="B4237" t="inlineStr">
        <is>
          <t>avverkningsanmälan</t>
        </is>
      </c>
      <c r="C4237" t="inlineStr">
        <is>
          <t>Föryngringsavverkning</t>
        </is>
      </c>
      <c r="D4237" s="1" t="n">
        <v>45425</v>
      </c>
      <c r="E4237" s="1" t="n">
        <v>46319</v>
      </c>
      <c r="F4237" t="inlineStr">
        <is>
          <t>DALARNAS LÄN</t>
        </is>
      </c>
      <c r="G4237" t="inlineStr">
        <is>
          <t>LEKSAND</t>
        </is>
      </c>
      <c r="I4237" t="n">
        <v>2</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19910-2024</t>
        </is>
      </c>
      <c r="B4238" t="inlineStr">
        <is>
          <t>avverkningsanmälan</t>
        </is>
      </c>
      <c r="C4238" t="inlineStr">
        <is>
          <t>Föryngringsavverkning</t>
        </is>
      </c>
      <c r="D4238" s="1" t="n">
        <v>45433</v>
      </c>
      <c r="E4238" s="1" t="n">
        <v>46319</v>
      </c>
      <c r="F4238" t="inlineStr">
        <is>
          <t>DALARNAS LÄN</t>
        </is>
      </c>
      <c r="G4238" t="inlineStr">
        <is>
          <t>MORA</t>
        </is>
      </c>
      <c r="I4238" t="n">
        <v>0.9</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4834-2024</t>
        </is>
      </c>
      <c r="B4239" t="inlineStr">
        <is>
          <t>avverkningsanmälan</t>
        </is>
      </c>
      <c r="C4239" t="inlineStr">
        <is>
          <t>Avverkning för annat ändamål</t>
        </is>
      </c>
      <c r="D4239" s="1" t="n">
        <v>45329</v>
      </c>
      <c r="E4239" s="1" t="n">
        <v>46319</v>
      </c>
      <c r="F4239" t="inlineStr">
        <is>
          <t>DALARNAS LÄN</t>
        </is>
      </c>
      <c r="G4239" t="inlineStr">
        <is>
          <t>FALUN</t>
        </is>
      </c>
      <c r="I4239" t="n">
        <v>1</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53193-2024</t>
        </is>
      </c>
      <c r="B4240" t="inlineStr">
        <is>
          <t>avverkningsanmälan</t>
        </is>
      </c>
      <c r="C4240" t="inlineStr">
        <is>
          <t>Föryngringsavverkning</t>
        </is>
      </c>
      <c r="D4240" s="1" t="n">
        <v>45610</v>
      </c>
      <c r="E4240" s="1" t="n">
        <v>46319</v>
      </c>
      <c r="F4240" t="inlineStr">
        <is>
          <t>DALARNAS LÄN</t>
        </is>
      </c>
      <c r="G4240" t="inlineStr">
        <is>
          <t>LEKSAND</t>
        </is>
      </c>
      <c r="I4240" t="n">
        <v>1.4</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55920-2024</t>
        </is>
      </c>
      <c r="B4241" t="inlineStr">
        <is>
          <t>avverkningsanmälan</t>
        </is>
      </c>
      <c r="C4241" t="inlineStr">
        <is>
          <t>Föryngringsavverkning</t>
        </is>
      </c>
      <c r="D4241" s="1" t="n">
        <v>45623</v>
      </c>
      <c r="E4241" s="1" t="n">
        <v>46319</v>
      </c>
      <c r="F4241" t="inlineStr">
        <is>
          <t>DALARNAS LÄN</t>
        </is>
      </c>
      <c r="G4241" t="inlineStr">
        <is>
          <t>RÄTTVIK</t>
        </is>
      </c>
      <c r="I4241" t="n">
        <v>0.5</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59916-2025</t>
        </is>
      </c>
      <c r="B4242" t="inlineStr">
        <is>
          <t>avverkningsanmälan</t>
        </is>
      </c>
      <c r="C4242" t="inlineStr">
        <is>
          <t>Avverkning för annat ändamål</t>
        </is>
      </c>
      <c r="D4242" s="1" t="n">
        <v>45993</v>
      </c>
      <c r="E4242" s="1" t="n">
        <v>46319</v>
      </c>
      <c r="F4242" t="inlineStr">
        <is>
          <t>DALARNAS LÄN</t>
        </is>
      </c>
      <c r="G4242" t="inlineStr">
        <is>
          <t>MALUNG-SÄLEN</t>
        </is>
      </c>
      <c r="H4242" t="inlineStr">
        <is>
          <t>Allmännings- och besparingsskogar</t>
        </is>
      </c>
      <c r="I4242" t="n">
        <v>3.3</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11080-2023</t>
        </is>
      </c>
      <c r="B4243" t="inlineStr">
        <is>
          <t>avverkningsanmälan</t>
        </is>
      </c>
      <c r="C4243" t="inlineStr">
        <is>
          <t>Föryngringsavverkning</t>
        </is>
      </c>
      <c r="D4243" s="1" t="n">
        <v>44992</v>
      </c>
      <c r="E4243" s="1" t="n">
        <v>46319</v>
      </c>
      <c r="F4243" t="inlineStr">
        <is>
          <t>DALARNAS LÄN</t>
        </is>
      </c>
      <c r="G4243" t="inlineStr">
        <is>
          <t>LEKSAND</t>
        </is>
      </c>
      <c r="I4243" t="n">
        <v>6.9</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36961-2024</t>
        </is>
      </c>
      <c r="B4244" t="inlineStr">
        <is>
          <t>avverkningsanmälan</t>
        </is>
      </c>
      <c r="C4244" t="inlineStr">
        <is>
          <t>Föryngringsavverkning</t>
        </is>
      </c>
      <c r="D4244" s="1" t="n">
        <v>45538</v>
      </c>
      <c r="E4244" s="1" t="n">
        <v>46319</v>
      </c>
      <c r="F4244" t="inlineStr">
        <is>
          <t>DALARNAS LÄN</t>
        </is>
      </c>
      <c r="G4244" t="inlineStr">
        <is>
          <t>AVESTA</t>
        </is>
      </c>
      <c r="I4244" t="n">
        <v>1</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12512-2026</t>
        </is>
      </c>
      <c r="B4245" t="inlineStr">
        <is>
          <t>avverkningsanmälan</t>
        </is>
      </c>
      <c r="C4245" t="inlineStr">
        <is>
          <t>Föryngringsavverkning</t>
        </is>
      </c>
      <c r="D4245" s="1" t="n">
        <v>46090</v>
      </c>
      <c r="E4245" s="1" t="n">
        <v>46319</v>
      </c>
      <c r="F4245" t="inlineStr">
        <is>
          <t>DALARNAS LÄN</t>
        </is>
      </c>
      <c r="G4245" t="inlineStr">
        <is>
          <t>FALUN</t>
        </is>
      </c>
      <c r="H4245" t="inlineStr">
        <is>
          <t>Bergvik skog väst AB</t>
        </is>
      </c>
      <c r="I4245" t="n">
        <v>2.8</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60572-2025</t>
        </is>
      </c>
      <c r="B4246" t="inlineStr">
        <is>
          <t>avverkningsanmälan</t>
        </is>
      </c>
      <c r="C4246" t="inlineStr">
        <is>
          <t>Föryngringsavverkning</t>
        </is>
      </c>
      <c r="D4246" s="1" t="n">
        <v>45995</v>
      </c>
      <c r="E4246" s="1" t="n">
        <v>46319</v>
      </c>
      <c r="F4246" t="inlineStr">
        <is>
          <t>DALARNAS LÄN</t>
        </is>
      </c>
      <c r="G4246" t="inlineStr">
        <is>
          <t>GAGNEF</t>
        </is>
      </c>
      <c r="I4246" t="n">
        <v>2.3</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30771-2026</t>
        </is>
      </c>
      <c r="B4247" t="inlineStr">
        <is>
          <t>avverkningsanmälan</t>
        </is>
      </c>
      <c r="C4247" t="inlineStr">
        <is>
          <t>Föryngringsavverkning</t>
        </is>
      </c>
      <c r="D4247" s="1" t="n">
        <v>46212</v>
      </c>
      <c r="E4247" s="1" t="n">
        <v>46319</v>
      </c>
      <c r="F4247" t="inlineStr">
        <is>
          <t>DALARNAS LÄN</t>
        </is>
      </c>
      <c r="G4247" t="inlineStr">
        <is>
          <t>RÄTTVIK</t>
        </is>
      </c>
      <c r="H4247" t="inlineStr">
        <is>
          <t>Sveaskog</t>
        </is>
      </c>
      <c r="I4247" t="n">
        <v>5.1</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30784-2026</t>
        </is>
      </c>
      <c r="B4248" t="inlineStr">
        <is>
          <t>avverkningsanmälan</t>
        </is>
      </c>
      <c r="C4248" t="inlineStr">
        <is>
          <t>Föryngringsavverkning</t>
        </is>
      </c>
      <c r="D4248" s="1" t="n">
        <v>46212</v>
      </c>
      <c r="E4248" s="1" t="n">
        <v>46319</v>
      </c>
      <c r="F4248" t="inlineStr">
        <is>
          <t>DALARNAS LÄN</t>
        </is>
      </c>
      <c r="G4248" t="inlineStr">
        <is>
          <t>VANSBRO</t>
        </is>
      </c>
      <c r="I4248" t="n">
        <v>2.2</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60684-2024</t>
        </is>
      </c>
      <c r="B4249" t="inlineStr">
        <is>
          <t>avverkningsanmälan</t>
        </is>
      </c>
      <c r="C4249" t="inlineStr">
        <is>
          <t>Föryngringsavverkning</t>
        </is>
      </c>
      <c r="D4249" s="1" t="n">
        <v>45644</v>
      </c>
      <c r="E4249" s="1" t="n">
        <v>46319</v>
      </c>
      <c r="F4249" t="inlineStr">
        <is>
          <t>DALARNAS LÄN</t>
        </is>
      </c>
      <c r="G4249" t="inlineStr">
        <is>
          <t>SMEDJEBACKEN</t>
        </is>
      </c>
      <c r="I4249" t="n">
        <v>3.3</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17168-2026</t>
        </is>
      </c>
      <c r="B4250" t="inlineStr">
        <is>
          <t>avverkningsanmälan</t>
        </is>
      </c>
      <c r="C4250" t="inlineStr">
        <is>
          <t>Föryngringsavverkning</t>
        </is>
      </c>
      <c r="D4250" s="1" t="n">
        <v>46115</v>
      </c>
      <c r="E4250" s="1" t="n">
        <v>46319</v>
      </c>
      <c r="F4250" t="inlineStr">
        <is>
          <t>DALARNAS LÄN</t>
        </is>
      </c>
      <c r="G4250" t="inlineStr">
        <is>
          <t>BORLÄNGE</t>
        </is>
      </c>
      <c r="I4250" t="n">
        <v>1.7</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27615-2023</t>
        </is>
      </c>
      <c r="B4251" t="inlineStr">
        <is>
          <t>avverkningsanmälan</t>
        </is>
      </c>
      <c r="C4251" t="inlineStr">
        <is>
          <t>Föryngringsavverkning</t>
        </is>
      </c>
      <c r="D4251" s="1" t="n">
        <v>45097</v>
      </c>
      <c r="E4251" s="1" t="n">
        <v>46319</v>
      </c>
      <c r="F4251" t="inlineStr">
        <is>
          <t>DALARNAS LÄN</t>
        </is>
      </c>
      <c r="G4251" t="inlineStr">
        <is>
          <t>ÄLVDALEN</t>
        </is>
      </c>
      <c r="H4251" t="inlineStr">
        <is>
          <t>Bergvik skog väst AB</t>
        </is>
      </c>
      <c r="I4251" t="n">
        <v>3.7</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28838-2026</t>
        </is>
      </c>
      <c r="B4252" t="inlineStr">
        <is>
          <t>avverkningsanmälan</t>
        </is>
      </c>
      <c r="C4252" t="inlineStr">
        <is>
          <t>Föryngringsavverkning</t>
        </is>
      </c>
      <c r="D4252" s="1" t="n">
        <v>46198</v>
      </c>
      <c r="E4252" s="1" t="n">
        <v>46319</v>
      </c>
      <c r="F4252" t="inlineStr">
        <is>
          <t>DALARNAS LÄN</t>
        </is>
      </c>
      <c r="G4252" t="inlineStr">
        <is>
          <t>LUDVIKA</t>
        </is>
      </c>
      <c r="H4252" t="inlineStr">
        <is>
          <t>Bergvik skog väst AB</t>
        </is>
      </c>
      <c r="I4252" t="n">
        <v>1.4</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31095-2026</t>
        </is>
      </c>
      <c r="B4253" t="inlineStr">
        <is>
          <t>avverkningsanmälan</t>
        </is>
      </c>
      <c r="C4253" t="inlineStr">
        <is>
          <t>Föryngringsavverkning</t>
        </is>
      </c>
      <c r="D4253" s="1" t="n">
        <v>46216</v>
      </c>
      <c r="E4253" s="1" t="n">
        <v>46319</v>
      </c>
      <c r="F4253" t="inlineStr">
        <is>
          <t>DALARNAS LÄN</t>
        </is>
      </c>
      <c r="G4253" t="inlineStr">
        <is>
          <t>FALUN</t>
        </is>
      </c>
      <c r="I4253" t="n">
        <v>1.9</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28792-2026</t>
        </is>
      </c>
      <c r="B4254" t="inlineStr">
        <is>
          <t>avverkningsanmälan</t>
        </is>
      </c>
      <c r="C4254" t="inlineStr">
        <is>
          <t>Föryngringsavverkning</t>
        </is>
      </c>
      <c r="D4254" s="1" t="n">
        <v>46198</v>
      </c>
      <c r="E4254" s="1" t="n">
        <v>46319</v>
      </c>
      <c r="F4254" t="inlineStr">
        <is>
          <t>DALARNAS LÄN</t>
        </is>
      </c>
      <c r="G4254" t="inlineStr">
        <is>
          <t>LUDVIKA</t>
        </is>
      </c>
      <c r="H4254" t="inlineStr">
        <is>
          <t>Bergvik skog väst AB</t>
        </is>
      </c>
      <c r="I4254" t="n">
        <v>1.4</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28132-2026</t>
        </is>
      </c>
      <c r="B4255" t="inlineStr">
        <is>
          <t>avverkningsanmälan</t>
        </is>
      </c>
      <c r="C4255" t="inlineStr">
        <is>
          <t>Föryngringsavverkning</t>
        </is>
      </c>
      <c r="D4255" s="1" t="n">
        <v>46195</v>
      </c>
      <c r="E4255" s="1" t="n">
        <v>46319</v>
      </c>
      <c r="F4255" t="inlineStr">
        <is>
          <t>DALARNAS LÄN</t>
        </is>
      </c>
      <c r="G4255" t="inlineStr">
        <is>
          <t>LUDVIKA</t>
        </is>
      </c>
      <c r="H4255" t="inlineStr">
        <is>
          <t>Bergvik skog väst AB</t>
        </is>
      </c>
      <c r="I4255" t="n">
        <v>3.9</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22276-2026</t>
        </is>
      </c>
      <c r="B4256" t="inlineStr">
        <is>
          <t>avverkningsanmälan</t>
        </is>
      </c>
      <c r="C4256" t="inlineStr">
        <is>
          <t>Föryngringsavverkning</t>
        </is>
      </c>
      <c r="D4256" s="1" t="n">
        <v>46154</v>
      </c>
      <c r="E4256" s="1" t="n">
        <v>46319</v>
      </c>
      <c r="F4256" t="inlineStr">
        <is>
          <t>DALARNAS LÄN</t>
        </is>
      </c>
      <c r="G4256" t="inlineStr">
        <is>
          <t>LUDVIKA</t>
        </is>
      </c>
      <c r="H4256" t="inlineStr">
        <is>
          <t>Bergvik skog väst AB</t>
        </is>
      </c>
      <c r="I4256" t="n">
        <v>3</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60358-2025</t>
        </is>
      </c>
      <c r="B4257" t="inlineStr">
        <is>
          <t>avverkningsanmälan</t>
        </is>
      </c>
      <c r="C4257" t="inlineStr">
        <is>
          <t>Föryngringsavverkning</t>
        </is>
      </c>
      <c r="D4257" s="1" t="n">
        <v>45995</v>
      </c>
      <c r="E4257" s="1" t="n">
        <v>46319</v>
      </c>
      <c r="F4257" t="inlineStr">
        <is>
          <t>DALARNAS LÄN</t>
        </is>
      </c>
      <c r="G4257" t="inlineStr">
        <is>
          <t>LEKSAND</t>
        </is>
      </c>
      <c r="I4257" t="n">
        <v>2.9</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28801-2026</t>
        </is>
      </c>
      <c r="B4258" t="inlineStr">
        <is>
          <t>avverkningsanmälan</t>
        </is>
      </c>
      <c r="C4258" t="inlineStr">
        <is>
          <t>Föryngringsavverkning</t>
        </is>
      </c>
      <c r="D4258" s="1" t="n">
        <v>46198</v>
      </c>
      <c r="E4258" s="1" t="n">
        <v>46319</v>
      </c>
      <c r="F4258" t="inlineStr">
        <is>
          <t>DALARNAS LÄN</t>
        </is>
      </c>
      <c r="G4258" t="inlineStr">
        <is>
          <t>LUDVIKA</t>
        </is>
      </c>
      <c r="H4258" t="inlineStr">
        <is>
          <t>Bergvik skog väst AB</t>
        </is>
      </c>
      <c r="I4258" t="n">
        <v>1</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1601-2022</t>
        </is>
      </c>
      <c r="B4259" t="inlineStr">
        <is>
          <t>avverkningsanmälan</t>
        </is>
      </c>
      <c r="C4259" t="inlineStr">
        <is>
          <t>Föryngringsavverkning</t>
        </is>
      </c>
      <c r="D4259" s="1" t="n">
        <v>44573</v>
      </c>
      <c r="E4259" s="1" t="n">
        <v>46319</v>
      </c>
      <c r="F4259" t="inlineStr">
        <is>
          <t>DALARNAS LÄN</t>
        </is>
      </c>
      <c r="G4259" t="inlineStr">
        <is>
          <t>RÄTTVIK</t>
        </is>
      </c>
      <c r="I4259" t="n">
        <v>1.1</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22367-2024</t>
        </is>
      </c>
      <c r="B4260" t="inlineStr">
        <is>
          <t>avverkningsanmälan</t>
        </is>
      </c>
      <c r="C4260" t="inlineStr">
        <is>
          <t>Föryngringsavverkning</t>
        </is>
      </c>
      <c r="D4260" s="1" t="n">
        <v>45446</v>
      </c>
      <c r="E4260" s="1" t="n">
        <v>46319</v>
      </c>
      <c r="F4260" t="inlineStr">
        <is>
          <t>DALARNAS LÄN</t>
        </is>
      </c>
      <c r="G4260" t="inlineStr">
        <is>
          <t>SMEDJEBACKEN</t>
        </is>
      </c>
      <c r="I4260" t="n">
        <v>5</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22941-2023</t>
        </is>
      </c>
      <c r="B4261" t="inlineStr">
        <is>
          <t>avverkningsanmälan</t>
        </is>
      </c>
      <c r="C4261" t="inlineStr">
        <is>
          <t>Föryngringsavverkning</t>
        </is>
      </c>
      <c r="D4261" s="1" t="n">
        <v>45072</v>
      </c>
      <c r="E4261" s="1" t="n">
        <v>46319</v>
      </c>
      <c r="F4261" t="inlineStr">
        <is>
          <t>DALARNAS LÄN</t>
        </is>
      </c>
      <c r="G4261" t="inlineStr">
        <is>
          <t>FALUN</t>
        </is>
      </c>
      <c r="I4261" t="n">
        <v>0.8</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35940-2025</t>
        </is>
      </c>
      <c r="B4262" t="inlineStr">
        <is>
          <t>avverkningsanmälan</t>
        </is>
      </c>
      <c r="C4262" t="inlineStr">
        <is>
          <t>Föryngringsavverkning</t>
        </is>
      </c>
      <c r="D4262" s="1" t="n">
        <v>45862</v>
      </c>
      <c r="E4262" s="1" t="n">
        <v>46319</v>
      </c>
      <c r="F4262" t="inlineStr">
        <is>
          <t>DALARNAS LÄN</t>
        </is>
      </c>
      <c r="G4262" t="inlineStr">
        <is>
          <t>ORSA</t>
        </is>
      </c>
      <c r="I4262" t="n">
        <v>5.1</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4407-2023</t>
        </is>
      </c>
      <c r="B4263" t="inlineStr">
        <is>
          <t>avverkningsanmälan</t>
        </is>
      </c>
      <c r="C4263" t="inlineStr">
        <is>
          <t>Föryngringsavverkning</t>
        </is>
      </c>
      <c r="D4263" s="1" t="n">
        <v>44956</v>
      </c>
      <c r="E4263" s="1" t="n">
        <v>46319</v>
      </c>
      <c r="F4263" t="inlineStr">
        <is>
          <t>DALARNAS LÄN</t>
        </is>
      </c>
      <c r="G4263" t="inlineStr">
        <is>
          <t>SÄTER</t>
        </is>
      </c>
      <c r="I4263" t="n">
        <v>1.5</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60454-2025</t>
        </is>
      </c>
      <c r="B4264" t="inlineStr">
        <is>
          <t>avverkningsanmälan</t>
        </is>
      </c>
      <c r="C4264" t="inlineStr">
        <is>
          <t>Föryngringsavverkning</t>
        </is>
      </c>
      <c r="D4264" s="1" t="n">
        <v>45995</v>
      </c>
      <c r="E4264" s="1" t="n">
        <v>46319</v>
      </c>
      <c r="F4264" t="inlineStr">
        <is>
          <t>DALARNAS LÄN</t>
        </is>
      </c>
      <c r="G4264" t="inlineStr">
        <is>
          <t>LUDVIKA</t>
        </is>
      </c>
      <c r="I4264" t="n">
        <v>7.2</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26957-2023</t>
        </is>
      </c>
      <c r="B4265" t="inlineStr">
        <is>
          <t>avverkningsanmälan</t>
        </is>
      </c>
      <c r="C4265" t="inlineStr">
        <is>
          <t>Föryngringsavverkning</t>
        </is>
      </c>
      <c r="D4265" s="1" t="n">
        <v>45093</v>
      </c>
      <c r="E4265" s="1" t="n">
        <v>46319</v>
      </c>
      <c r="F4265" t="inlineStr">
        <is>
          <t>DALARNAS LÄN</t>
        </is>
      </c>
      <c r="G4265" t="inlineStr">
        <is>
          <t>LEKSAND</t>
        </is>
      </c>
      <c r="I4265" t="n">
        <v>1.1</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60452-2025</t>
        </is>
      </c>
      <c r="B4266" t="inlineStr">
        <is>
          <t>avverkningsanmälan</t>
        </is>
      </c>
      <c r="C4266" t="inlineStr">
        <is>
          <t>Föryngringsavverkning</t>
        </is>
      </c>
      <c r="D4266" s="1" t="n">
        <v>45995</v>
      </c>
      <c r="E4266" s="1" t="n">
        <v>46319</v>
      </c>
      <c r="F4266" t="inlineStr">
        <is>
          <t>DALARNAS LÄN</t>
        </is>
      </c>
      <c r="G4266" t="inlineStr">
        <is>
          <t>LUDVIKA</t>
        </is>
      </c>
      <c r="H4266" t="inlineStr">
        <is>
          <t>Bergvik skog väst AB</t>
        </is>
      </c>
      <c r="I4266" t="n">
        <v>1.7</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60455-2025</t>
        </is>
      </c>
      <c r="B4267" t="inlineStr">
        <is>
          <t>avverkningsanmälan</t>
        </is>
      </c>
      <c r="C4267" t="inlineStr">
        <is>
          <t>Föryngringsavverkning</t>
        </is>
      </c>
      <c r="D4267" s="1" t="n">
        <v>45995</v>
      </c>
      <c r="E4267" s="1" t="n">
        <v>46319</v>
      </c>
      <c r="F4267" t="inlineStr">
        <is>
          <t>DALARNAS LÄN</t>
        </is>
      </c>
      <c r="G4267" t="inlineStr">
        <is>
          <t>LUDVIKA</t>
        </is>
      </c>
      <c r="H4267" t="inlineStr">
        <is>
          <t>Bergvik skog väst AB</t>
        </is>
      </c>
      <c r="I4267" t="n">
        <v>0.5</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53922-2024</t>
        </is>
      </c>
      <c r="B4268" t="inlineStr">
        <is>
          <t>avverkningsanmälan</t>
        </is>
      </c>
      <c r="C4268" t="inlineStr">
        <is>
          <t>Föryngringsavverkning</t>
        </is>
      </c>
      <c r="D4268" s="1" t="n">
        <v>45615</v>
      </c>
      <c r="E4268" s="1" t="n">
        <v>46319</v>
      </c>
      <c r="F4268" t="inlineStr">
        <is>
          <t>DALARNAS LÄN</t>
        </is>
      </c>
      <c r="G4268" t="inlineStr">
        <is>
          <t>HEDEMORA</t>
        </is>
      </c>
      <c r="H4268" t="inlineStr">
        <is>
          <t>Sveaskog</t>
        </is>
      </c>
      <c r="I4268" t="n">
        <v>2.6</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27989-2026</t>
        </is>
      </c>
      <c r="B4269" t="inlineStr">
        <is>
          <t>avverkningsanmälan</t>
        </is>
      </c>
      <c r="C4269" t="inlineStr">
        <is>
          <t>Föryngringsavverkning</t>
        </is>
      </c>
      <c r="D4269" s="1" t="n">
        <v>46195</v>
      </c>
      <c r="E4269" s="1" t="n">
        <v>46319</v>
      </c>
      <c r="F4269" t="inlineStr">
        <is>
          <t>DALARNAS LÄN</t>
        </is>
      </c>
      <c r="G4269" t="inlineStr">
        <is>
          <t>LUDVIKA</t>
        </is>
      </c>
      <c r="H4269" t="inlineStr">
        <is>
          <t>Bergvik skog väst AB</t>
        </is>
      </c>
      <c r="I4269" t="n">
        <v>0.5</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28054-2026</t>
        </is>
      </c>
      <c r="B4270" t="inlineStr">
        <is>
          <t>avverkningsanmälan</t>
        </is>
      </c>
      <c r="C4270" t="inlineStr">
        <is>
          <t>Föryngringsavverkning</t>
        </is>
      </c>
      <c r="D4270" s="1" t="n">
        <v>46195</v>
      </c>
      <c r="E4270" s="1" t="n">
        <v>46319</v>
      </c>
      <c r="F4270" t="inlineStr">
        <is>
          <t>DALARNAS LÄN</t>
        </is>
      </c>
      <c r="G4270" t="inlineStr">
        <is>
          <t>LUDVIKA</t>
        </is>
      </c>
      <c r="H4270" t="inlineStr">
        <is>
          <t>Bergvik skog väst AB</t>
        </is>
      </c>
      <c r="I4270" t="n">
        <v>2.4</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28061-2026</t>
        </is>
      </c>
      <c r="B4271" t="inlineStr">
        <is>
          <t>avverkningsanmälan</t>
        </is>
      </c>
      <c r="C4271" t="inlineStr">
        <is>
          <t>Föryngringsavverkning</t>
        </is>
      </c>
      <c r="D4271" s="1" t="n">
        <v>46195</v>
      </c>
      <c r="E4271" s="1" t="n">
        <v>46319</v>
      </c>
      <c r="F4271" t="inlineStr">
        <is>
          <t>DALARNAS LÄN</t>
        </is>
      </c>
      <c r="G4271" t="inlineStr">
        <is>
          <t>LUDVIKA</t>
        </is>
      </c>
      <c r="H4271" t="inlineStr">
        <is>
          <t>Bergvik skog väst AB</t>
        </is>
      </c>
      <c r="I4271" t="n">
        <v>0.4</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15643-2025</t>
        </is>
      </c>
      <c r="B4272" t="inlineStr">
        <is>
          <t>avverkningsanmälan</t>
        </is>
      </c>
      <c r="C4272" t="inlineStr">
        <is>
          <t>Föryngringsavverkning</t>
        </is>
      </c>
      <c r="D4272" s="1" t="n">
        <v>45748</v>
      </c>
      <c r="E4272" s="1" t="n">
        <v>46319</v>
      </c>
      <c r="F4272" t="inlineStr">
        <is>
          <t>DALARNAS LÄN</t>
        </is>
      </c>
      <c r="G4272" t="inlineStr">
        <is>
          <t>MORA</t>
        </is>
      </c>
      <c r="I4272" t="n">
        <v>7.6</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498-2025</t>
        </is>
      </c>
      <c r="B4273" t="inlineStr">
        <is>
          <t>avverkningsanmälan</t>
        </is>
      </c>
      <c r="C4273" t="inlineStr">
        <is>
          <t>Föryngringsavverkning</t>
        </is>
      </c>
      <c r="D4273" s="1" t="n">
        <v>45664</v>
      </c>
      <c r="E4273" s="1" t="n">
        <v>46319</v>
      </c>
      <c r="F4273" t="inlineStr">
        <is>
          <t>DALARNAS LÄN</t>
        </is>
      </c>
      <c r="G4273" t="inlineStr">
        <is>
          <t>SÄTER</t>
        </is>
      </c>
      <c r="I4273" t="n">
        <v>4.5</v>
      </c>
      <c r="J4273" t="n">
        <v>0</v>
      </c>
      <c r="K4273" t="n">
        <v>0</v>
      </c>
      <c r="L4273" t="n">
        <v>0</v>
      </c>
      <c r="M4273" t="n">
        <v>0</v>
      </c>
      <c r="N4273" t="n">
        <v>0</v>
      </c>
      <c r="O4273" t="n">
        <v>0</v>
      </c>
      <c r="P4273" t="n">
        <v>0</v>
      </c>
      <c r="Q4273" t="n">
        <v>0</v>
      </c>
      <c r="R4273" t="n">
        <v>0</v>
      </c>
      <c r="S4273" t="n">
        <v>0</v>
      </c>
      <c r="T4273" t="n">
        <v>0</v>
      </c>
      <c r="U4273" t="n">
        <v>0</v>
      </c>
      <c r="V4273" s="2" t="inlineStr"/>
      <c r="Z4273">
        <f>HYPERLINK("https://klasma.github.io/Logging_2082/knärot/A 498-2025 karta knärot.png", "A 498-2025")</f>
        <v/>
      </c>
      <c r="AA4273">
        <f>HYPERLINK("https://klasma.github.io/Logging_2082/klagomål/A 498-2025 FSC-klagomål.docx", "A 498-2025")</f>
        <v/>
      </c>
      <c r="AB4273">
        <f>HYPERLINK("https://klasma.github.io/Logging_2082/klagomålsmail/A 498-2025 FSC-klagomål mail.docx", "A 498-2025")</f>
        <v/>
      </c>
      <c r="AC4273">
        <f>HYPERLINK("https://klasma.github.io/Logging_2082/tillsyn/A 498-2025 tillsynsbegäran.docx", "A 498-2025")</f>
        <v/>
      </c>
      <c r="AD4273">
        <f>HYPERLINK("https://klasma.github.io/Logging_2082/tillsynsmail/A 498-2025 tillsynsbegäran mail.docx", "A 498-2025")</f>
        <v/>
      </c>
    </row>
    <row r="4274" ht="15" customHeight="1">
      <c r="A4274" t="inlineStr">
        <is>
          <t>A 50392-2024</t>
        </is>
      </c>
      <c r="B4274" t="inlineStr">
        <is>
          <t>avverkningsanmälan</t>
        </is>
      </c>
      <c r="C4274" t="inlineStr">
        <is>
          <t>Föryngringsavverkning</t>
        </is>
      </c>
      <c r="D4274" s="1" t="n">
        <v>45601</v>
      </c>
      <c r="E4274" s="1" t="n">
        <v>46319</v>
      </c>
      <c r="F4274" t="inlineStr">
        <is>
          <t>DALARNAS LÄN</t>
        </is>
      </c>
      <c r="G4274" t="inlineStr">
        <is>
          <t>ORSA</t>
        </is>
      </c>
      <c r="I4274" t="n">
        <v>0.5</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56721-2024</t>
        </is>
      </c>
      <c r="B4275" t="inlineStr">
        <is>
          <t>avverkningsanmälan</t>
        </is>
      </c>
      <c r="C4275" t="inlineStr">
        <is>
          <t>Föryngringsavverkning</t>
        </is>
      </c>
      <c r="D4275" s="1" t="n">
        <v>45628</v>
      </c>
      <c r="E4275" s="1" t="n">
        <v>46319</v>
      </c>
      <c r="F4275" t="inlineStr">
        <is>
          <t>DALARNAS LÄN</t>
        </is>
      </c>
      <c r="G4275" t="inlineStr">
        <is>
          <t>AVESTA</t>
        </is>
      </c>
      <c r="I4275" t="n">
        <v>0.9</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19619-2024</t>
        </is>
      </c>
      <c r="B4276" t="inlineStr">
        <is>
          <t>avverkningsanmälan</t>
        </is>
      </c>
      <c r="C4276" t="inlineStr">
        <is>
          <t>Föryngringsavverkning</t>
        </is>
      </c>
      <c r="D4276" s="1" t="n">
        <v>45432</v>
      </c>
      <c r="E4276" s="1" t="n">
        <v>46319</v>
      </c>
      <c r="F4276" t="inlineStr">
        <is>
          <t>DALARNAS LÄN</t>
        </is>
      </c>
      <c r="G4276" t="inlineStr">
        <is>
          <t>RÄTTVIK</t>
        </is>
      </c>
      <c r="I4276" t="n">
        <v>1.6</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60528-2025</t>
        </is>
      </c>
      <c r="B4277" t="inlineStr">
        <is>
          <t>avverkningsanmälan</t>
        </is>
      </c>
      <c r="C4277" t="inlineStr">
        <is>
          <t>Föryngringsavverkning</t>
        </is>
      </c>
      <c r="D4277" s="1" t="n">
        <v>45995</v>
      </c>
      <c r="E4277" s="1" t="n">
        <v>46319</v>
      </c>
      <c r="F4277" t="inlineStr">
        <is>
          <t>DALARNAS LÄN</t>
        </is>
      </c>
      <c r="G4277" t="inlineStr">
        <is>
          <t>SMEDJEBACKEN</t>
        </is>
      </c>
      <c r="H4277" t="inlineStr">
        <is>
          <t>Bergvik skog väst AB</t>
        </is>
      </c>
      <c r="I4277" t="n">
        <v>5.1</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19659-2024</t>
        </is>
      </c>
      <c r="B4278" t="inlineStr">
        <is>
          <t>avverkningsanmälan</t>
        </is>
      </c>
      <c r="C4278" t="inlineStr">
        <is>
          <t>Föryngringsavverkning</t>
        </is>
      </c>
      <c r="D4278" s="1" t="n">
        <v>45432</v>
      </c>
      <c r="E4278" s="1" t="n">
        <v>46319</v>
      </c>
      <c r="F4278" t="inlineStr">
        <is>
          <t>DALARNAS LÄN</t>
        </is>
      </c>
      <c r="G4278" t="inlineStr">
        <is>
          <t>MALUNG-SÄLEN</t>
        </is>
      </c>
      <c r="I4278" t="n">
        <v>0.5</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59718-2024</t>
        </is>
      </c>
      <c r="B4279" t="inlineStr">
        <is>
          <t>avverkningsanmälan</t>
        </is>
      </c>
      <c r="C4279" t="inlineStr">
        <is>
          <t>Föryngringsavverkning</t>
        </is>
      </c>
      <c r="D4279" s="1" t="n">
        <v>45639</v>
      </c>
      <c r="E4279" s="1" t="n">
        <v>46319</v>
      </c>
      <c r="F4279" t="inlineStr">
        <is>
          <t>DALARNAS LÄN</t>
        </is>
      </c>
      <c r="G4279" t="inlineStr">
        <is>
          <t>RÄTTVIK</t>
        </is>
      </c>
      <c r="I4279" t="n">
        <v>0.5</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61384-2024</t>
        </is>
      </c>
      <c r="B4280" t="inlineStr">
        <is>
          <t>avverkningsanmälan</t>
        </is>
      </c>
      <c r="C4280" t="inlineStr">
        <is>
          <t>Föryngringsavverkning</t>
        </is>
      </c>
      <c r="D4280" s="1" t="n">
        <v>45646</v>
      </c>
      <c r="E4280" s="1" t="n">
        <v>46319</v>
      </c>
      <c r="F4280" t="inlineStr">
        <is>
          <t>DALARNAS LÄN</t>
        </is>
      </c>
      <c r="G4280" t="inlineStr">
        <is>
          <t>LUDVIKA</t>
        </is>
      </c>
      <c r="I4280" t="n">
        <v>0.7</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72575-2021</t>
        </is>
      </c>
      <c r="B4281" t="inlineStr">
        <is>
          <t>avverkningsanmälan</t>
        </is>
      </c>
      <c r="C4281" t="inlineStr">
        <is>
          <t>Föryngringsavverkning</t>
        </is>
      </c>
      <c r="D4281" s="1" t="n">
        <v>44546</v>
      </c>
      <c r="E4281" s="1" t="n">
        <v>46319</v>
      </c>
      <c r="F4281" t="inlineStr">
        <is>
          <t>DALARNAS LÄN</t>
        </is>
      </c>
      <c r="G4281" t="inlineStr">
        <is>
          <t>LEKSAND</t>
        </is>
      </c>
      <c r="I4281" t="n">
        <v>0.7</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72581-2021</t>
        </is>
      </c>
      <c r="B4282" t="inlineStr">
        <is>
          <t>avverkningsanmälan</t>
        </is>
      </c>
      <c r="C4282" t="inlineStr">
        <is>
          <t>Föryngringsavverkning</t>
        </is>
      </c>
      <c r="D4282" s="1" t="n">
        <v>44546</v>
      </c>
      <c r="E4282" s="1" t="n">
        <v>46319</v>
      </c>
      <c r="F4282" t="inlineStr">
        <is>
          <t>DALARNAS LÄN</t>
        </is>
      </c>
      <c r="G4282" t="inlineStr">
        <is>
          <t>LEKSAND</t>
        </is>
      </c>
      <c r="I4282" t="n">
        <v>0.6</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44474-2022</t>
        </is>
      </c>
      <c r="B4283" t="inlineStr">
        <is>
          <t>avverkningsanmälan</t>
        </is>
      </c>
      <c r="C4283" t="inlineStr">
        <is>
          <t>Föryngringsavverkning</t>
        </is>
      </c>
      <c r="D4283" s="1" t="n">
        <v>44840</v>
      </c>
      <c r="E4283" s="1" t="n">
        <v>46319</v>
      </c>
      <c r="F4283" t="inlineStr">
        <is>
          <t>DALARNAS LÄN</t>
        </is>
      </c>
      <c r="G4283" t="inlineStr">
        <is>
          <t>AVESTA</t>
        </is>
      </c>
      <c r="I4283" t="n">
        <v>0.8</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48582-2024</t>
        </is>
      </c>
      <c r="B4284" t="inlineStr">
        <is>
          <t>avverkningsanmälan</t>
        </is>
      </c>
      <c r="C4284" t="inlineStr">
        <is>
          <t>Föryngringsavverkning</t>
        </is>
      </c>
      <c r="D4284" s="1" t="n">
        <v>45593</v>
      </c>
      <c r="E4284" s="1" t="n">
        <v>46319</v>
      </c>
      <c r="F4284" t="inlineStr">
        <is>
          <t>DALARNAS LÄN</t>
        </is>
      </c>
      <c r="G4284" t="inlineStr">
        <is>
          <t>RÄTTVIK</t>
        </is>
      </c>
      <c r="I4284" t="n">
        <v>1.9</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60676-2025</t>
        </is>
      </c>
      <c r="B4285" t="inlineStr">
        <is>
          <t>avverkningsanmälan</t>
        </is>
      </c>
      <c r="C4285" t="inlineStr">
        <is>
          <t>Föryngringsavverkning</t>
        </is>
      </c>
      <c r="D4285" s="1" t="n">
        <v>45996</v>
      </c>
      <c r="E4285" s="1" t="n">
        <v>46319</v>
      </c>
      <c r="F4285" t="inlineStr">
        <is>
          <t>DALARNAS LÄN</t>
        </is>
      </c>
      <c r="G4285" t="inlineStr">
        <is>
          <t>FALUN</t>
        </is>
      </c>
      <c r="I4285" t="n">
        <v>5.9</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60672-2025</t>
        </is>
      </c>
      <c r="B4286" t="inlineStr">
        <is>
          <t>avverkningsanmälan</t>
        </is>
      </c>
      <c r="C4286" t="inlineStr">
        <is>
          <t>Föryngringsavverkning</t>
        </is>
      </c>
      <c r="D4286" s="1" t="n">
        <v>45996</v>
      </c>
      <c r="E4286" s="1" t="n">
        <v>46319</v>
      </c>
      <c r="F4286" t="inlineStr">
        <is>
          <t>DALARNAS LÄN</t>
        </is>
      </c>
      <c r="G4286" t="inlineStr">
        <is>
          <t>ÄLVDALEN</t>
        </is>
      </c>
      <c r="I4286" t="n">
        <v>3.1</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3280-2024</t>
        </is>
      </c>
      <c r="B4287" t="inlineStr">
        <is>
          <t>avverkningsanmälan</t>
        </is>
      </c>
      <c r="C4287" t="inlineStr">
        <is>
          <t>Avverkning för annat ändamål</t>
        </is>
      </c>
      <c r="D4287" s="1" t="n">
        <v>45317</v>
      </c>
      <c r="E4287" s="1" t="n">
        <v>46319</v>
      </c>
      <c r="F4287" t="inlineStr">
        <is>
          <t>DALARNAS LÄN</t>
        </is>
      </c>
      <c r="G4287" t="inlineStr">
        <is>
          <t>LUDVIKA</t>
        </is>
      </c>
      <c r="I4287" t="n">
        <v>0.4</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11506-2026</t>
        </is>
      </c>
      <c r="B4288" t="inlineStr">
        <is>
          <t>avverkningsanmälan</t>
        </is>
      </c>
      <c r="C4288" t="inlineStr">
        <is>
          <t>Föryngringsavverkning</t>
        </is>
      </c>
      <c r="D4288" s="1" t="n">
        <v>46083</v>
      </c>
      <c r="E4288" s="1" t="n">
        <v>46319</v>
      </c>
      <c r="F4288" t="inlineStr">
        <is>
          <t>DALARNAS LÄN</t>
        </is>
      </c>
      <c r="G4288" t="inlineStr">
        <is>
          <t>ÄLVDALEN</t>
        </is>
      </c>
      <c r="I4288" t="n">
        <v>5.7</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10807-2025</t>
        </is>
      </c>
      <c r="B4289" t="inlineStr">
        <is>
          <t>avverkningsanmälan</t>
        </is>
      </c>
      <c r="C4289" t="inlineStr">
        <is>
          <t>Föryngringsavverkning</t>
        </is>
      </c>
      <c r="D4289" s="1" t="n">
        <v>45722</v>
      </c>
      <c r="E4289" s="1" t="n">
        <v>46319</v>
      </c>
      <c r="F4289" t="inlineStr">
        <is>
          <t>DALARNAS LÄN</t>
        </is>
      </c>
      <c r="G4289" t="inlineStr">
        <is>
          <t>RÄTTVIK</t>
        </is>
      </c>
      <c r="I4289" t="n">
        <v>0.5</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28162-2026</t>
        </is>
      </c>
      <c r="B4290" t="inlineStr">
        <is>
          <t>avverkningsanmälan</t>
        </is>
      </c>
      <c r="C4290" t="inlineStr">
        <is>
          <t>Föryngringsavverkning</t>
        </is>
      </c>
      <c r="D4290" s="1" t="n">
        <v>46195</v>
      </c>
      <c r="E4290" s="1" t="n">
        <v>46319</v>
      </c>
      <c r="F4290" t="inlineStr">
        <is>
          <t>DALARNAS LÄN</t>
        </is>
      </c>
      <c r="G4290" t="inlineStr">
        <is>
          <t>LUDVIKA</t>
        </is>
      </c>
      <c r="H4290" t="inlineStr">
        <is>
          <t>Bergvik skog väst AB</t>
        </is>
      </c>
      <c r="I4290" t="n">
        <v>1.3</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20973-2026</t>
        </is>
      </c>
      <c r="B4291" t="inlineStr">
        <is>
          <t>avverkningsanmälan</t>
        </is>
      </c>
      <c r="C4291" t="inlineStr">
        <is>
          <t>Föryngringsavverkning</t>
        </is>
      </c>
      <c r="D4291" s="1" t="n">
        <v>46142</v>
      </c>
      <c r="E4291" s="1" t="n">
        <v>46319</v>
      </c>
      <c r="F4291" t="inlineStr">
        <is>
          <t>DALARNAS LÄN</t>
        </is>
      </c>
      <c r="G4291" t="inlineStr">
        <is>
          <t>LUDVIKA</t>
        </is>
      </c>
      <c r="H4291" t="inlineStr">
        <is>
          <t>Bergvik skog väst AB</t>
        </is>
      </c>
      <c r="I4291" t="n">
        <v>3</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28067-2026</t>
        </is>
      </c>
      <c r="B4292" t="inlineStr">
        <is>
          <t>avverkningsanmälan</t>
        </is>
      </c>
      <c r="C4292" t="inlineStr">
        <is>
          <t>Föryngringsavverkning</t>
        </is>
      </c>
      <c r="D4292" s="1" t="n">
        <v>46195</v>
      </c>
      <c r="E4292" s="1" t="n">
        <v>46319</v>
      </c>
      <c r="F4292" t="inlineStr">
        <is>
          <t>DALARNAS LÄN</t>
        </is>
      </c>
      <c r="G4292" t="inlineStr">
        <is>
          <t>LUDVIKA</t>
        </is>
      </c>
      <c r="H4292" t="inlineStr">
        <is>
          <t>Bergvik skog väst AB</t>
        </is>
      </c>
      <c r="I4292" t="n">
        <v>0.7</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28116-2026</t>
        </is>
      </c>
      <c r="B4293" t="inlineStr">
        <is>
          <t>avverkningsanmälan</t>
        </is>
      </c>
      <c r="C4293" t="inlineStr">
        <is>
          <t>Föryngringsavverkning</t>
        </is>
      </c>
      <c r="D4293" s="1" t="n">
        <v>46195</v>
      </c>
      <c r="E4293" s="1" t="n">
        <v>46319</v>
      </c>
      <c r="F4293" t="inlineStr">
        <is>
          <t>DALARNAS LÄN</t>
        </is>
      </c>
      <c r="G4293" t="inlineStr">
        <is>
          <t>LUDVIKA</t>
        </is>
      </c>
      <c r="H4293" t="inlineStr">
        <is>
          <t>Bergvik skog väst AB</t>
        </is>
      </c>
      <c r="I4293" t="n">
        <v>3.1</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28158-2026</t>
        </is>
      </c>
      <c r="B4294" t="inlineStr">
        <is>
          <t>avverkningsanmälan</t>
        </is>
      </c>
      <c r="C4294" t="inlineStr">
        <is>
          <t>Föryngringsavverkning</t>
        </is>
      </c>
      <c r="D4294" s="1" t="n">
        <v>46195</v>
      </c>
      <c r="E4294" s="1" t="n">
        <v>46319</v>
      </c>
      <c r="F4294" t="inlineStr">
        <is>
          <t>DALARNAS LÄN</t>
        </is>
      </c>
      <c r="G4294" t="inlineStr">
        <is>
          <t>LUDVIKA</t>
        </is>
      </c>
      <c r="H4294" t="inlineStr">
        <is>
          <t>Bergvik skog väst AB</t>
        </is>
      </c>
      <c r="I4294" t="n">
        <v>0.8</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31084-2026</t>
        </is>
      </c>
      <c r="B4295" t="inlineStr">
        <is>
          <t>avverkningsanmälan</t>
        </is>
      </c>
      <c r="C4295" t="inlineStr">
        <is>
          <t>Föryngringsavverkning</t>
        </is>
      </c>
      <c r="D4295" s="1" t="n">
        <v>46216</v>
      </c>
      <c r="E4295" s="1" t="n">
        <v>46319</v>
      </c>
      <c r="F4295" t="inlineStr">
        <is>
          <t>DALARNAS LÄN</t>
        </is>
      </c>
      <c r="G4295" t="inlineStr">
        <is>
          <t>LEKSAND</t>
        </is>
      </c>
      <c r="H4295" t="inlineStr">
        <is>
          <t>Bergvik skog väst AB</t>
        </is>
      </c>
      <c r="I4295" t="n">
        <v>2.1</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61213-2025</t>
        </is>
      </c>
      <c r="B4296" t="inlineStr">
        <is>
          <t>avverkningsanmälan</t>
        </is>
      </c>
      <c r="C4296" t="inlineStr">
        <is>
          <t>Föryngringsavverkning</t>
        </is>
      </c>
      <c r="D4296" s="1" t="n">
        <v>46000</v>
      </c>
      <c r="E4296" s="1" t="n">
        <v>46319</v>
      </c>
      <c r="F4296" t="inlineStr">
        <is>
          <t>DALARNAS LÄN</t>
        </is>
      </c>
      <c r="G4296" t="inlineStr">
        <is>
          <t>RÄTTVIK</t>
        </is>
      </c>
      <c r="I4296" t="n">
        <v>1.4</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4173-2025</t>
        </is>
      </c>
      <c r="B4297" t="inlineStr">
        <is>
          <t>avverkningsanmälan</t>
        </is>
      </c>
      <c r="C4297" t="inlineStr">
        <is>
          <t>Föryngringsavverkning</t>
        </is>
      </c>
      <c r="D4297" s="1" t="n">
        <v>45685</v>
      </c>
      <c r="E4297" s="1" t="n">
        <v>46319</v>
      </c>
      <c r="F4297" t="inlineStr">
        <is>
          <t>DALARNAS LÄN</t>
        </is>
      </c>
      <c r="G4297" t="inlineStr">
        <is>
          <t>LUDVIKA</t>
        </is>
      </c>
      <c r="I4297" t="n">
        <v>0.9</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28045-2026</t>
        </is>
      </c>
      <c r="B4298" t="inlineStr">
        <is>
          <t>avverkningsanmälan</t>
        </is>
      </c>
      <c r="C4298" t="inlineStr">
        <is>
          <t>Föryngringsavverkning</t>
        </is>
      </c>
      <c r="D4298" s="1" t="n">
        <v>46195</v>
      </c>
      <c r="E4298" s="1" t="n">
        <v>46319</v>
      </c>
      <c r="F4298" t="inlineStr">
        <is>
          <t>DALARNAS LÄN</t>
        </is>
      </c>
      <c r="G4298" t="inlineStr">
        <is>
          <t>LUDVIKA</t>
        </is>
      </c>
      <c r="H4298" t="inlineStr">
        <is>
          <t>Bergvik skog väst AB</t>
        </is>
      </c>
      <c r="I4298" t="n">
        <v>2.8</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53168-2024</t>
        </is>
      </c>
      <c r="B4299" t="inlineStr">
        <is>
          <t>avverkningsanmälan</t>
        </is>
      </c>
      <c r="C4299" t="inlineStr">
        <is>
          <t>Föryngringsavverkning</t>
        </is>
      </c>
      <c r="D4299" s="1" t="n">
        <v>45611</v>
      </c>
      <c r="E4299" s="1" t="n">
        <v>46319</v>
      </c>
      <c r="F4299" t="inlineStr">
        <is>
          <t>DALARNAS LÄN</t>
        </is>
      </c>
      <c r="G4299" t="inlineStr">
        <is>
          <t>ÄLVDALEN</t>
        </is>
      </c>
      <c r="I4299" t="n">
        <v>3.4</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61013-2025</t>
        </is>
      </c>
      <c r="B4300" t="inlineStr">
        <is>
          <t>avverkningsanmälan</t>
        </is>
      </c>
      <c r="C4300" t="inlineStr">
        <is>
          <t>Föryngringsavverkning</t>
        </is>
      </c>
      <c r="D4300" s="1" t="n">
        <v>45999</v>
      </c>
      <c r="E4300" s="1" t="n">
        <v>46319</v>
      </c>
      <c r="F4300" t="inlineStr">
        <is>
          <t>DALARNAS LÄN</t>
        </is>
      </c>
      <c r="G4300" t="inlineStr">
        <is>
          <t>AVESTA</t>
        </is>
      </c>
      <c r="I4300" t="n">
        <v>0.5</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28073-2026</t>
        </is>
      </c>
      <c r="B4301" t="inlineStr">
        <is>
          <t>avverkningsanmälan</t>
        </is>
      </c>
      <c r="C4301" t="inlineStr">
        <is>
          <t>Föryngringsavverkning</t>
        </is>
      </c>
      <c r="D4301" s="1" t="n">
        <v>46195</v>
      </c>
      <c r="E4301" s="1" t="n">
        <v>46319</v>
      </c>
      <c r="F4301" t="inlineStr">
        <is>
          <t>DALARNAS LÄN</t>
        </is>
      </c>
      <c r="G4301" t="inlineStr">
        <is>
          <t>LUDVIKA</t>
        </is>
      </c>
      <c r="H4301" t="inlineStr">
        <is>
          <t>Bergvik skog väst AB</t>
        </is>
      </c>
      <c r="I4301" t="n">
        <v>3.1</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31227-2026</t>
        </is>
      </c>
      <c r="B4302" t="inlineStr">
        <is>
          <t>avverkningsanmälan</t>
        </is>
      </c>
      <c r="C4302" t="inlineStr">
        <is>
          <t>Föryngringsavverkning</t>
        </is>
      </c>
      <c r="D4302" s="1" t="n">
        <v>46217</v>
      </c>
      <c r="E4302" s="1" t="n">
        <v>46319</v>
      </c>
      <c r="F4302" t="inlineStr">
        <is>
          <t>DALARNAS LÄN</t>
        </is>
      </c>
      <c r="G4302" t="inlineStr">
        <is>
          <t>LUDVIKA</t>
        </is>
      </c>
      <c r="H4302" t="inlineStr">
        <is>
          <t>Bergvik skog väst AB</t>
        </is>
      </c>
      <c r="I4302" t="n">
        <v>2</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60957-2025</t>
        </is>
      </c>
      <c r="B4303" t="inlineStr">
        <is>
          <t>avverkningsanmälan</t>
        </is>
      </c>
      <c r="C4303" t="inlineStr">
        <is>
          <t>Föryngringsavverkning</t>
        </is>
      </c>
      <c r="D4303" s="1" t="n">
        <v>45999</v>
      </c>
      <c r="E4303" s="1" t="n">
        <v>46319</v>
      </c>
      <c r="F4303" t="inlineStr">
        <is>
          <t>DALARNAS LÄN</t>
        </is>
      </c>
      <c r="G4303" t="inlineStr">
        <is>
          <t>MORA</t>
        </is>
      </c>
      <c r="I4303" t="n">
        <v>1.6</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21996-2026</t>
        </is>
      </c>
      <c r="B4304" t="inlineStr">
        <is>
          <t>avverkningsanmälan</t>
        </is>
      </c>
      <c r="C4304" t="inlineStr">
        <is>
          <t>Föryngringsavverkning</t>
        </is>
      </c>
      <c r="D4304" s="1" t="n">
        <v>46153</v>
      </c>
      <c r="E4304" s="1" t="n">
        <v>46319</v>
      </c>
      <c r="F4304" t="inlineStr">
        <is>
          <t>DALARNAS LÄN</t>
        </is>
      </c>
      <c r="G4304" t="inlineStr">
        <is>
          <t>SMEDJEBACKEN</t>
        </is>
      </c>
      <c r="I4304" t="n">
        <v>5</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61277-2023</t>
        </is>
      </c>
      <c r="B4305" t="inlineStr">
        <is>
          <t>avverkningsanmälan</t>
        </is>
      </c>
      <c r="C4305" t="inlineStr">
        <is>
          <t>Föryngringsavverkning</t>
        </is>
      </c>
      <c r="D4305" s="1" t="n">
        <v>45264</v>
      </c>
      <c r="E4305" s="1" t="n">
        <v>46319</v>
      </c>
      <c r="F4305" t="inlineStr">
        <is>
          <t>DALARNAS LÄN</t>
        </is>
      </c>
      <c r="G4305" t="inlineStr">
        <is>
          <t>ORSA</t>
        </is>
      </c>
      <c r="I4305" t="n">
        <v>0.7</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61117-2025</t>
        </is>
      </c>
      <c r="B4306" t="inlineStr">
        <is>
          <t>avverkningsanmälan</t>
        </is>
      </c>
      <c r="C4306" t="inlineStr">
        <is>
          <t>Föryngringsavverkning</t>
        </is>
      </c>
      <c r="D4306" s="1" t="n">
        <v>46000</v>
      </c>
      <c r="E4306" s="1" t="n">
        <v>46319</v>
      </c>
      <c r="F4306" t="inlineStr">
        <is>
          <t>DALARNAS LÄN</t>
        </is>
      </c>
      <c r="G4306" t="inlineStr">
        <is>
          <t>RÄTTVIK</t>
        </is>
      </c>
      <c r="I4306" t="n">
        <v>0.6</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61119-2025</t>
        </is>
      </c>
      <c r="B4307" t="inlineStr">
        <is>
          <t>avverkningsanmälan</t>
        </is>
      </c>
      <c r="C4307" t="inlineStr">
        <is>
          <t>Föryngringsavverkning</t>
        </is>
      </c>
      <c r="D4307" s="1" t="n">
        <v>46000</v>
      </c>
      <c r="E4307" s="1" t="n">
        <v>46319</v>
      </c>
      <c r="F4307" t="inlineStr">
        <is>
          <t>DALARNAS LÄN</t>
        </is>
      </c>
      <c r="G4307" t="inlineStr">
        <is>
          <t>AVESTA</t>
        </is>
      </c>
      <c r="I4307" t="n">
        <v>2.1</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31299-2026</t>
        </is>
      </c>
      <c r="B4308" t="inlineStr">
        <is>
          <t>avverkningsanmälan</t>
        </is>
      </c>
      <c r="C4308" t="inlineStr">
        <is>
          <t>Föryngringsavverkning</t>
        </is>
      </c>
      <c r="D4308" s="1" t="n">
        <v>46218</v>
      </c>
      <c r="E4308" s="1" t="n">
        <v>46319</v>
      </c>
      <c r="F4308" t="inlineStr">
        <is>
          <t>DALARNAS LÄN</t>
        </is>
      </c>
      <c r="G4308" t="inlineStr">
        <is>
          <t>LUDVIKA</t>
        </is>
      </c>
      <c r="H4308" t="inlineStr">
        <is>
          <t>Bergvik skog väst AB</t>
        </is>
      </c>
      <c r="I4308" t="n">
        <v>15.8</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61344-2023</t>
        </is>
      </c>
      <c r="B4309" t="inlineStr">
        <is>
          <t>avverkningsanmälan</t>
        </is>
      </c>
      <c r="C4309" t="inlineStr">
        <is>
          <t>Föryngringsavverkning</t>
        </is>
      </c>
      <c r="D4309" s="1" t="n">
        <v>45264</v>
      </c>
      <c r="E4309" s="1" t="n">
        <v>46319</v>
      </c>
      <c r="F4309" t="inlineStr">
        <is>
          <t>DALARNAS LÄN</t>
        </is>
      </c>
      <c r="G4309" t="inlineStr">
        <is>
          <t>SÄTER</t>
        </is>
      </c>
      <c r="I4309" t="n">
        <v>0.8</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31170-2023</t>
        </is>
      </c>
      <c r="B4310" t="inlineStr">
        <is>
          <t>avverkningsanmälan</t>
        </is>
      </c>
      <c r="C4310" t="inlineStr">
        <is>
          <t>Föryngringsavverkning</t>
        </is>
      </c>
      <c r="D4310" s="1" t="n">
        <v>45113</v>
      </c>
      <c r="E4310" s="1" t="n">
        <v>46319</v>
      </c>
      <c r="F4310" t="inlineStr">
        <is>
          <t>DALARNAS LÄN</t>
        </is>
      </c>
      <c r="G4310" t="inlineStr">
        <is>
          <t>ORSA</t>
        </is>
      </c>
      <c r="I4310" t="n">
        <v>2.1</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31172-2023</t>
        </is>
      </c>
      <c r="B4311" t="inlineStr">
        <is>
          <t>avverkningsanmälan</t>
        </is>
      </c>
      <c r="C4311" t="inlineStr">
        <is>
          <t>Föryngringsavverkning</t>
        </is>
      </c>
      <c r="D4311" s="1" t="n">
        <v>45113</v>
      </c>
      <c r="E4311" s="1" t="n">
        <v>46319</v>
      </c>
      <c r="F4311" t="inlineStr">
        <is>
          <t>DALARNAS LÄN</t>
        </is>
      </c>
      <c r="G4311" t="inlineStr">
        <is>
          <t>ORSA</t>
        </is>
      </c>
      <c r="I4311" t="n">
        <v>2.9</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2043-2025</t>
        </is>
      </c>
      <c r="B4312" t="inlineStr">
        <is>
          <t>avverkningsanmälan</t>
        </is>
      </c>
      <c r="C4312" t="inlineStr">
        <is>
          <t>Föryngringsavverkning</t>
        </is>
      </c>
      <c r="D4312" s="1" t="n">
        <v>45671</v>
      </c>
      <c r="E4312" s="1" t="n">
        <v>46319</v>
      </c>
      <c r="F4312" t="inlineStr">
        <is>
          <t>DALARNAS LÄN</t>
        </is>
      </c>
      <c r="G4312" t="inlineStr">
        <is>
          <t>RÄTTVIK</t>
        </is>
      </c>
      <c r="I4312" t="n">
        <v>0.9</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60944-2025</t>
        </is>
      </c>
      <c r="B4313" t="inlineStr">
        <is>
          <t>avverkningsanmälan</t>
        </is>
      </c>
      <c r="C4313" t="inlineStr">
        <is>
          <t>Föryngringsavverkning</t>
        </is>
      </c>
      <c r="D4313" s="1" t="n">
        <v>45999</v>
      </c>
      <c r="E4313" s="1" t="n">
        <v>46319</v>
      </c>
      <c r="F4313" t="inlineStr">
        <is>
          <t>DALARNAS LÄN</t>
        </is>
      </c>
      <c r="G4313" t="inlineStr">
        <is>
          <t>MALUNG-SÄLEN</t>
        </is>
      </c>
      <c r="I4313" t="n">
        <v>0.7</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61378-2023</t>
        </is>
      </c>
      <c r="B4314" t="inlineStr">
        <is>
          <t>avverkningsanmälan</t>
        </is>
      </c>
      <c r="C4314" t="inlineStr">
        <is>
          <t>Föryngringsavverkning</t>
        </is>
      </c>
      <c r="D4314" s="1" t="n">
        <v>45264</v>
      </c>
      <c r="E4314" s="1" t="n">
        <v>46319</v>
      </c>
      <c r="F4314" t="inlineStr">
        <is>
          <t>DALARNAS LÄN</t>
        </is>
      </c>
      <c r="G4314" t="inlineStr">
        <is>
          <t>SMEDJEBACKEN</t>
        </is>
      </c>
      <c r="I4314" t="n">
        <v>0.7</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47134-2024</t>
        </is>
      </c>
      <c r="B4315" t="inlineStr">
        <is>
          <t>avverkningsanmälan</t>
        </is>
      </c>
      <c r="C4315" t="inlineStr">
        <is>
          <t>Föryngringsavverkning</t>
        </is>
      </c>
      <c r="D4315" s="1" t="n">
        <v>45586</v>
      </c>
      <c r="E4315" s="1" t="n">
        <v>46319</v>
      </c>
      <c r="F4315" t="inlineStr">
        <is>
          <t>DALARNAS LÄN</t>
        </is>
      </c>
      <c r="G4315" t="inlineStr">
        <is>
          <t>ORSA</t>
        </is>
      </c>
      <c r="I4315" t="n">
        <v>0.3</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51551-2025</t>
        </is>
      </c>
      <c r="B4316" t="inlineStr">
        <is>
          <t>avverkningsanmälan</t>
        </is>
      </c>
      <c r="C4316" t="inlineStr">
        <is>
          <t>Avverkning för att bevara och utveckla /försöksver</t>
        </is>
      </c>
      <c r="D4316" s="1" t="n">
        <v>45950</v>
      </c>
      <c r="E4316" s="1" t="n">
        <v>46319</v>
      </c>
      <c r="F4316" t="inlineStr">
        <is>
          <t>DALARNAS LÄN</t>
        </is>
      </c>
      <c r="G4316" t="inlineStr">
        <is>
          <t>ORSA</t>
        </is>
      </c>
      <c r="I4316" t="n">
        <v>0.9</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61059-2025</t>
        </is>
      </c>
      <c r="B4317" t="inlineStr">
        <is>
          <t>avverkningsanmälan</t>
        </is>
      </c>
      <c r="C4317" t="inlineStr">
        <is>
          <t>Föryngringsavverkning</t>
        </is>
      </c>
      <c r="D4317" s="1" t="n">
        <v>46000</v>
      </c>
      <c r="E4317" s="1" t="n">
        <v>46319</v>
      </c>
      <c r="F4317" t="inlineStr">
        <is>
          <t>DALARNAS LÄN</t>
        </is>
      </c>
      <c r="G4317" t="inlineStr">
        <is>
          <t>FALUN</t>
        </is>
      </c>
      <c r="I4317" t="n">
        <v>8.199999999999999</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60823-2025</t>
        </is>
      </c>
      <c r="B4318" t="inlineStr">
        <is>
          <t>avverkningsanmälan</t>
        </is>
      </c>
      <c r="C4318" t="inlineStr">
        <is>
          <t>Föryngringsavverkning</t>
        </is>
      </c>
      <c r="D4318" s="1" t="n">
        <v>45999</v>
      </c>
      <c r="E4318" s="1" t="n">
        <v>46319</v>
      </c>
      <c r="F4318" t="inlineStr">
        <is>
          <t>DALARNAS LÄN</t>
        </is>
      </c>
      <c r="G4318" t="inlineStr">
        <is>
          <t>RÄTTVIK</t>
        </is>
      </c>
      <c r="I4318" t="n">
        <v>0.9</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19371-2024</t>
        </is>
      </c>
      <c r="B4319" t="inlineStr">
        <is>
          <t>avverkningsanmälan</t>
        </is>
      </c>
      <c r="C4319" t="inlineStr">
        <is>
          <t>Föryngringsavverkning</t>
        </is>
      </c>
      <c r="D4319" s="1" t="n">
        <v>45429</v>
      </c>
      <c r="E4319" s="1" t="n">
        <v>46319</v>
      </c>
      <c r="F4319" t="inlineStr">
        <is>
          <t>DALARNAS LÄN</t>
        </is>
      </c>
      <c r="G4319" t="inlineStr">
        <is>
          <t>LEKSAND</t>
        </is>
      </c>
      <c r="I4319" t="n">
        <v>0.6</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58793-2023</t>
        </is>
      </c>
      <c r="B4320" t="inlineStr">
        <is>
          <t>avverkningsanmälan</t>
        </is>
      </c>
      <c r="C4320" t="inlineStr">
        <is>
          <t>Föryngringsavverkning</t>
        </is>
      </c>
      <c r="D4320" s="1" t="n">
        <v>45252</v>
      </c>
      <c r="E4320" s="1" t="n">
        <v>46319</v>
      </c>
      <c r="F4320" t="inlineStr">
        <is>
          <t>DALARNAS LÄN</t>
        </is>
      </c>
      <c r="G4320" t="inlineStr">
        <is>
          <t>ORSA</t>
        </is>
      </c>
      <c r="I4320" t="n">
        <v>2.2</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31348-2026</t>
        </is>
      </c>
      <c r="B4321" t="inlineStr">
        <is>
          <t>avverkningsanmälan</t>
        </is>
      </c>
      <c r="C4321" t="inlineStr">
        <is>
          <t>Föryngringsavverkning</t>
        </is>
      </c>
      <c r="D4321" s="1" t="n">
        <v>46219</v>
      </c>
      <c r="E4321" s="1" t="n">
        <v>46319</v>
      </c>
      <c r="F4321" t="inlineStr">
        <is>
          <t>DALARNAS LÄN</t>
        </is>
      </c>
      <c r="G4321" t="inlineStr">
        <is>
          <t>FALUN</t>
        </is>
      </c>
      <c r="I4321" t="n">
        <v>4.7</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31350-2026</t>
        </is>
      </c>
      <c r="B4322" t="inlineStr">
        <is>
          <t>avverkningsanmälan</t>
        </is>
      </c>
      <c r="C4322" t="inlineStr">
        <is>
          <t>Föryngringsavverkning</t>
        </is>
      </c>
      <c r="D4322" s="1" t="n">
        <v>46219</v>
      </c>
      <c r="E4322" s="1" t="n">
        <v>46319</v>
      </c>
      <c r="F4322" t="inlineStr">
        <is>
          <t>DALARNAS LÄN</t>
        </is>
      </c>
      <c r="G4322" t="inlineStr">
        <is>
          <t>LUDVIKA</t>
        </is>
      </c>
      <c r="H4322" t="inlineStr">
        <is>
          <t>Bergvik skog väst AB</t>
        </is>
      </c>
      <c r="I4322" t="n">
        <v>2.6</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32571-2024</t>
        </is>
      </c>
      <c r="B4323" t="inlineStr">
        <is>
          <t>avverkningsanmälan</t>
        </is>
      </c>
      <c r="C4323" t="inlineStr">
        <is>
          <t>Avverkning för annat ändamål</t>
        </is>
      </c>
      <c r="D4323" s="1" t="n">
        <v>45513</v>
      </c>
      <c r="E4323" s="1" t="n">
        <v>46319</v>
      </c>
      <c r="F4323" t="inlineStr">
        <is>
          <t>DALARNAS LÄN</t>
        </is>
      </c>
      <c r="G4323" t="inlineStr">
        <is>
          <t>FALUN</t>
        </is>
      </c>
      <c r="I4323" t="n">
        <v>0.4</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60683-2025</t>
        </is>
      </c>
      <c r="B4324" t="inlineStr">
        <is>
          <t>avverkningsanmälan</t>
        </is>
      </c>
      <c r="C4324" t="inlineStr">
        <is>
          <t>Avverkning för annat ändamål</t>
        </is>
      </c>
      <c r="D4324" s="1" t="n">
        <v>45996</v>
      </c>
      <c r="E4324" s="1" t="n">
        <v>46319</v>
      </c>
      <c r="F4324" t="inlineStr">
        <is>
          <t>DALARNAS LÄN</t>
        </is>
      </c>
      <c r="G4324" t="inlineStr">
        <is>
          <t>FALUN</t>
        </is>
      </c>
      <c r="I4324" t="n">
        <v>2.6</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60837-2025</t>
        </is>
      </c>
      <c r="B4325" t="inlineStr">
        <is>
          <t>avverkningsanmälan</t>
        </is>
      </c>
      <c r="C4325" t="inlineStr">
        <is>
          <t>Föryngringsavverkning</t>
        </is>
      </c>
      <c r="D4325" s="1" t="n">
        <v>45999</v>
      </c>
      <c r="E4325" s="1" t="n">
        <v>46319</v>
      </c>
      <c r="F4325" t="inlineStr">
        <is>
          <t>DALARNAS LÄN</t>
        </is>
      </c>
      <c r="G4325" t="inlineStr">
        <is>
          <t>ORSA</t>
        </is>
      </c>
      <c r="I4325" t="n">
        <v>0.8</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54730-2022</t>
        </is>
      </c>
      <c r="B4326" t="inlineStr">
        <is>
          <t>avverkningsanmälan</t>
        </is>
      </c>
      <c r="C4326" t="inlineStr">
        <is>
          <t>Föryngringsavverkning</t>
        </is>
      </c>
      <c r="D4326" s="1" t="n">
        <v>44883</v>
      </c>
      <c r="E4326" s="1" t="n">
        <v>46319</v>
      </c>
      <c r="F4326" t="inlineStr">
        <is>
          <t>DALARNAS LÄN</t>
        </is>
      </c>
      <c r="G4326" t="inlineStr">
        <is>
          <t>LUDVIKA</t>
        </is>
      </c>
      <c r="H4326" t="inlineStr">
        <is>
          <t>Bergvik skog väst AB</t>
        </is>
      </c>
      <c r="I4326" t="n">
        <v>2.4</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55701-2023</t>
        </is>
      </c>
      <c r="B4327" t="inlineStr">
        <is>
          <t>avverkningsanmälan</t>
        </is>
      </c>
      <c r="C4327" t="inlineStr">
        <is>
          <t>Föryngringsavverkning</t>
        </is>
      </c>
      <c r="D4327" s="1" t="n">
        <v>45239</v>
      </c>
      <c r="E4327" s="1" t="n">
        <v>46319</v>
      </c>
      <c r="F4327" t="inlineStr">
        <is>
          <t>DALARNAS LÄN</t>
        </is>
      </c>
      <c r="G4327" t="inlineStr">
        <is>
          <t>ORSA</t>
        </is>
      </c>
      <c r="I4327" t="n">
        <v>1.7</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61064-2025</t>
        </is>
      </c>
      <c r="B4328" t="inlineStr">
        <is>
          <t>avverkningsanmälan</t>
        </is>
      </c>
      <c r="C4328" t="inlineStr">
        <is>
          <t>Föryngringsavverkning</t>
        </is>
      </c>
      <c r="D4328" s="1" t="n">
        <v>46000</v>
      </c>
      <c r="E4328" s="1" t="n">
        <v>46319</v>
      </c>
      <c r="F4328" t="inlineStr">
        <is>
          <t>DALARNAS LÄN</t>
        </is>
      </c>
      <c r="G4328" t="inlineStr">
        <is>
          <t>FALUN</t>
        </is>
      </c>
      <c r="I4328" t="n">
        <v>2.4</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55691-2023</t>
        </is>
      </c>
      <c r="B4329" t="inlineStr">
        <is>
          <t>avverkningsanmälan</t>
        </is>
      </c>
      <c r="C4329" t="inlineStr">
        <is>
          <t>Föryngringsavverkning</t>
        </is>
      </c>
      <c r="D4329" s="1" t="n">
        <v>45239</v>
      </c>
      <c r="E4329" s="1" t="n">
        <v>46319</v>
      </c>
      <c r="F4329" t="inlineStr">
        <is>
          <t>DALARNAS LÄN</t>
        </is>
      </c>
      <c r="G4329" t="inlineStr">
        <is>
          <t>MORA</t>
        </is>
      </c>
      <c r="I4329" t="n">
        <v>2.2</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31171-2023</t>
        </is>
      </c>
      <c r="B4330" t="inlineStr">
        <is>
          <t>avverkningsanmälan</t>
        </is>
      </c>
      <c r="C4330" t="inlineStr">
        <is>
          <t>Föryngringsavverkning</t>
        </is>
      </c>
      <c r="D4330" s="1" t="n">
        <v>45113</v>
      </c>
      <c r="E4330" s="1" t="n">
        <v>46319</v>
      </c>
      <c r="F4330" t="inlineStr">
        <is>
          <t>DALARNAS LÄN</t>
        </is>
      </c>
      <c r="G4330" t="inlineStr">
        <is>
          <t>ORSA</t>
        </is>
      </c>
      <c r="I4330" t="n">
        <v>1.4</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63958-2023</t>
        </is>
      </c>
      <c r="B4331" t="inlineStr">
        <is>
          <t>avverkningsanmälan</t>
        </is>
      </c>
      <c r="C4331" t="inlineStr">
        <is>
          <t>Föryngringsavverkning</t>
        </is>
      </c>
      <c r="D4331" s="1" t="n">
        <v>45278</v>
      </c>
      <c r="E4331" s="1" t="n">
        <v>46319</v>
      </c>
      <c r="F4331" t="inlineStr">
        <is>
          <t>DALARNAS LÄN</t>
        </is>
      </c>
      <c r="G4331" t="inlineStr">
        <is>
          <t>MORA</t>
        </is>
      </c>
      <c r="I4331" t="n">
        <v>1.9</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7827-2024</t>
        </is>
      </c>
      <c r="B4332" t="inlineStr">
        <is>
          <t>avverkningsanmälan</t>
        </is>
      </c>
      <c r="C4332" t="inlineStr">
        <is>
          <t>Föryngringsavverkning</t>
        </is>
      </c>
      <c r="D4332" s="1" t="n">
        <v>45349</v>
      </c>
      <c r="E4332" s="1" t="n">
        <v>46319</v>
      </c>
      <c r="F4332" t="inlineStr">
        <is>
          <t>DALARNAS LÄN</t>
        </is>
      </c>
      <c r="G4332" t="inlineStr">
        <is>
          <t>LEKSAND</t>
        </is>
      </c>
      <c r="I4332" t="n">
        <v>2.2</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54312-2023</t>
        </is>
      </c>
      <c r="B4333" t="inlineStr">
        <is>
          <t>avverkningsanmälan</t>
        </is>
      </c>
      <c r="C4333" t="inlineStr">
        <is>
          <t>Föryngringsavverkning</t>
        </is>
      </c>
      <c r="D4333" s="1" t="n">
        <v>45232</v>
      </c>
      <c r="E4333" s="1" t="n">
        <v>46319</v>
      </c>
      <c r="F4333" t="inlineStr">
        <is>
          <t>DALARNAS LÄN</t>
        </is>
      </c>
      <c r="G4333" t="inlineStr">
        <is>
          <t>SÄTER</t>
        </is>
      </c>
      <c r="I4333" t="n">
        <v>2.7</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49936-2023</t>
        </is>
      </c>
      <c r="B4334" t="inlineStr">
        <is>
          <t>avverkningsanmälan</t>
        </is>
      </c>
      <c r="C4334" t="inlineStr">
        <is>
          <t>Föryngringsavverkning</t>
        </is>
      </c>
      <c r="D4334" s="1" t="n">
        <v>45215</v>
      </c>
      <c r="E4334" s="1" t="n">
        <v>46319</v>
      </c>
      <c r="F4334" t="inlineStr">
        <is>
          <t>DALARNAS LÄN</t>
        </is>
      </c>
      <c r="G4334" t="inlineStr">
        <is>
          <t>BORLÄNGE</t>
        </is>
      </c>
      <c r="I4334" t="n">
        <v>2.8</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50039-2023</t>
        </is>
      </c>
      <c r="B4335" t="inlineStr">
        <is>
          <t>avverkningsanmälan</t>
        </is>
      </c>
      <c r="C4335" t="inlineStr">
        <is>
          <t>Föryngringsavverkning</t>
        </is>
      </c>
      <c r="D4335" s="1" t="n">
        <v>45215</v>
      </c>
      <c r="E4335" s="1" t="n">
        <v>46319</v>
      </c>
      <c r="F4335" t="inlineStr">
        <is>
          <t>DALARNAS LÄN</t>
        </is>
      </c>
      <c r="G4335" t="inlineStr">
        <is>
          <t>MALUNG-SÄLEN</t>
        </is>
      </c>
      <c r="I4335" t="n">
        <v>1.1</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48522-2024</t>
        </is>
      </c>
      <c r="B4336" t="inlineStr">
        <is>
          <t>avverkningsanmälan</t>
        </is>
      </c>
      <c r="C4336" t="inlineStr">
        <is>
          <t>Föryngringsavverkning</t>
        </is>
      </c>
      <c r="D4336" s="1" t="n">
        <v>45593</v>
      </c>
      <c r="E4336" s="1" t="n">
        <v>46319</v>
      </c>
      <c r="F4336" t="inlineStr">
        <is>
          <t>DALARNAS LÄN</t>
        </is>
      </c>
      <c r="G4336" t="inlineStr">
        <is>
          <t>MORA</t>
        </is>
      </c>
      <c r="I4336" t="n">
        <v>1.2</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2563-2025</t>
        </is>
      </c>
      <c r="B4337" t="inlineStr">
        <is>
          <t>avverkningsanmälan</t>
        </is>
      </c>
      <c r="C4337" t="inlineStr">
        <is>
          <t>Föryngringsavverkning</t>
        </is>
      </c>
      <c r="D4337" s="1" t="n">
        <v>45674</v>
      </c>
      <c r="E4337" s="1" t="n">
        <v>46319</v>
      </c>
      <c r="F4337" t="inlineStr">
        <is>
          <t>DALARNAS LÄN</t>
        </is>
      </c>
      <c r="G4337" t="inlineStr">
        <is>
          <t>ORSA</t>
        </is>
      </c>
      <c r="I4337" t="n">
        <v>0.7</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11784-2024</t>
        </is>
      </c>
      <c r="B4338" t="inlineStr">
        <is>
          <t>avverkningsanmälan</t>
        </is>
      </c>
      <c r="C4338" t="inlineStr">
        <is>
          <t>Föryngringsavverkning</t>
        </is>
      </c>
      <c r="D4338" s="1" t="n">
        <v>45374</v>
      </c>
      <c r="E4338" s="1" t="n">
        <v>46319</v>
      </c>
      <c r="F4338" t="inlineStr">
        <is>
          <t>DALARNAS LÄN</t>
        </is>
      </c>
      <c r="G4338" t="inlineStr">
        <is>
          <t>ORSA</t>
        </is>
      </c>
      <c r="I4338" t="n">
        <v>1.7</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48819-2024</t>
        </is>
      </c>
      <c r="B4339" t="inlineStr">
        <is>
          <t>avverkningsanmälan</t>
        </is>
      </c>
      <c r="C4339" t="inlineStr">
        <is>
          <t>Föryngringsavverkning</t>
        </is>
      </c>
      <c r="D4339" s="1" t="n">
        <v>45593</v>
      </c>
      <c r="E4339" s="1" t="n">
        <v>46319</v>
      </c>
      <c r="F4339" t="inlineStr">
        <is>
          <t>DALARNAS LÄN</t>
        </is>
      </c>
      <c r="G4339" t="inlineStr">
        <is>
          <t>ORSA</t>
        </is>
      </c>
      <c r="I4339" t="n">
        <v>5</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48525-2024</t>
        </is>
      </c>
      <c r="B4340" t="inlineStr">
        <is>
          <t>avverkningsanmälan</t>
        </is>
      </c>
      <c r="C4340" t="inlineStr">
        <is>
          <t>Föryngringsavverkning</t>
        </is>
      </c>
      <c r="D4340" s="1" t="n">
        <v>45593</v>
      </c>
      <c r="E4340" s="1" t="n">
        <v>46319</v>
      </c>
      <c r="F4340" t="inlineStr">
        <is>
          <t>DALARNAS LÄN</t>
        </is>
      </c>
      <c r="G4340" t="inlineStr">
        <is>
          <t>ORSA</t>
        </is>
      </c>
      <c r="I4340" t="n">
        <v>1.3</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25494-2024</t>
        </is>
      </c>
      <c r="B4341" t="inlineStr">
        <is>
          <t>avverkningsanmälan</t>
        </is>
      </c>
      <c r="C4341" t="inlineStr">
        <is>
          <t>Föryngringsavverkning</t>
        </is>
      </c>
      <c r="D4341" s="1" t="n">
        <v>45463</v>
      </c>
      <c r="E4341" s="1" t="n">
        <v>46319</v>
      </c>
      <c r="F4341" t="inlineStr">
        <is>
          <t>DALARNAS LÄN</t>
        </is>
      </c>
      <c r="G4341" t="inlineStr">
        <is>
          <t>MORA</t>
        </is>
      </c>
      <c r="I4341" t="n">
        <v>4.9</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13237-2024</t>
        </is>
      </c>
      <c r="B4342" t="inlineStr">
        <is>
          <t>avverkningsanmälan</t>
        </is>
      </c>
      <c r="C4342" t="inlineStr">
        <is>
          <t>Föryngringsavverkning</t>
        </is>
      </c>
      <c r="D4342" s="1" t="n">
        <v>45386</v>
      </c>
      <c r="E4342" s="1" t="n">
        <v>46319</v>
      </c>
      <c r="F4342" t="inlineStr">
        <is>
          <t>DALARNAS LÄN</t>
        </is>
      </c>
      <c r="G4342" t="inlineStr">
        <is>
          <t>FALUN</t>
        </is>
      </c>
      <c r="I4342" t="n">
        <v>1</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22911-2023</t>
        </is>
      </c>
      <c r="B4343" t="inlineStr">
        <is>
          <t>avverkningsanmälan</t>
        </is>
      </c>
      <c r="C4343" t="inlineStr">
        <is>
          <t>Avverkning för annat ändamål</t>
        </is>
      </c>
      <c r="D4343" s="1" t="n">
        <v>45072</v>
      </c>
      <c r="E4343" s="1" t="n">
        <v>46319</v>
      </c>
      <c r="F4343" t="inlineStr">
        <is>
          <t>DALARNAS LÄN</t>
        </is>
      </c>
      <c r="G4343" t="inlineStr">
        <is>
          <t>ORSA</t>
        </is>
      </c>
      <c r="I4343" t="n">
        <v>1.3</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47579-2023</t>
        </is>
      </c>
      <c r="B4344" t="inlineStr">
        <is>
          <t>avverkningsanmälan</t>
        </is>
      </c>
      <c r="C4344" t="inlineStr">
        <is>
          <t>Föryngringsavverkning</t>
        </is>
      </c>
      <c r="D4344" s="1" t="n">
        <v>45203</v>
      </c>
      <c r="E4344" s="1" t="n">
        <v>46319</v>
      </c>
      <c r="F4344" t="inlineStr">
        <is>
          <t>DALARNAS LÄN</t>
        </is>
      </c>
      <c r="G4344" t="inlineStr">
        <is>
          <t>ORSA</t>
        </is>
      </c>
      <c r="I4344" t="n">
        <v>2.9</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48447-2023</t>
        </is>
      </c>
      <c r="B4345" t="inlineStr">
        <is>
          <t>avverkningsanmälan</t>
        </is>
      </c>
      <c r="C4345" t="inlineStr">
        <is>
          <t>Föryngringsavverkning</t>
        </is>
      </c>
      <c r="D4345" s="1" t="n">
        <v>45206</v>
      </c>
      <c r="E4345" s="1" t="n">
        <v>46319</v>
      </c>
      <c r="F4345" t="inlineStr">
        <is>
          <t>DALARNAS LÄN</t>
        </is>
      </c>
      <c r="G4345" t="inlineStr">
        <is>
          <t>ORSA</t>
        </is>
      </c>
      <c r="I4345" t="n">
        <v>0.6</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14949-2025</t>
        </is>
      </c>
      <c r="B4346" t="inlineStr">
        <is>
          <t>avverkningsanmälan</t>
        </is>
      </c>
      <c r="C4346" t="inlineStr">
        <is>
          <t>Föryngringsavverkning</t>
        </is>
      </c>
      <c r="D4346" s="1" t="n">
        <v>45743</v>
      </c>
      <c r="E4346" s="1" t="n">
        <v>46319</v>
      </c>
      <c r="F4346" t="inlineStr">
        <is>
          <t>DALARNAS LÄN</t>
        </is>
      </c>
      <c r="G4346" t="inlineStr">
        <is>
          <t>HEDEMORA</t>
        </is>
      </c>
      <c r="I4346" t="n">
        <v>2.5</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35477-2023</t>
        </is>
      </c>
      <c r="B4347" t="inlineStr">
        <is>
          <t>avverkningsanmälan</t>
        </is>
      </c>
      <c r="C4347" t="inlineStr">
        <is>
          <t>Föryngringsavverkning</t>
        </is>
      </c>
      <c r="D4347" s="1" t="n">
        <v>45146</v>
      </c>
      <c r="E4347" s="1" t="n">
        <v>46319</v>
      </c>
      <c r="F4347" t="inlineStr">
        <is>
          <t>DALARNAS LÄN</t>
        </is>
      </c>
      <c r="G4347" t="inlineStr">
        <is>
          <t>ORSA</t>
        </is>
      </c>
      <c r="I4347" t="n">
        <v>7.7</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24384-2024</t>
        </is>
      </c>
      <c r="B4348" t="inlineStr">
        <is>
          <t>avverkningsanmälan</t>
        </is>
      </c>
      <c r="C4348" t="inlineStr">
        <is>
          <t>Föryngringsavverkning</t>
        </is>
      </c>
      <c r="D4348" s="1" t="n">
        <v>45457</v>
      </c>
      <c r="E4348" s="1" t="n">
        <v>46319</v>
      </c>
      <c r="F4348" t="inlineStr">
        <is>
          <t>DALARNAS LÄN</t>
        </is>
      </c>
      <c r="G4348" t="inlineStr">
        <is>
          <t>VANSBRO</t>
        </is>
      </c>
      <c r="I4348" t="n">
        <v>6.5</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29780-2024</t>
        </is>
      </c>
      <c r="B4349" t="inlineStr">
        <is>
          <t>avverkningsanmälan</t>
        </is>
      </c>
      <c r="C4349" t="inlineStr">
        <is>
          <t>Föryngringsavverkning</t>
        </is>
      </c>
      <c r="D4349" s="1" t="n">
        <v>45485</v>
      </c>
      <c r="E4349" s="1" t="n">
        <v>46319</v>
      </c>
      <c r="F4349" t="inlineStr">
        <is>
          <t>DALARNAS LÄN</t>
        </is>
      </c>
      <c r="G4349" t="inlineStr">
        <is>
          <t>LUDVIKA</t>
        </is>
      </c>
      <c r="H4349" t="inlineStr">
        <is>
          <t>Bergvik skog väst AB</t>
        </is>
      </c>
      <c r="I4349" t="n">
        <v>1.2</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31271-2026</t>
        </is>
      </c>
      <c r="B4350" t="inlineStr">
        <is>
          <t>avverkningsanmälan</t>
        </is>
      </c>
      <c r="C4350" t="inlineStr">
        <is>
          <t>Föryngringsavverkning</t>
        </is>
      </c>
      <c r="D4350" s="1" t="n">
        <v>46218</v>
      </c>
      <c r="E4350" s="1" t="n">
        <v>46319</v>
      </c>
      <c r="F4350" t="inlineStr">
        <is>
          <t>DALARNAS LÄN</t>
        </is>
      </c>
      <c r="G4350" t="inlineStr">
        <is>
          <t>FALUN</t>
        </is>
      </c>
      <c r="H4350" t="inlineStr">
        <is>
          <t>Bergvik skog väst AB</t>
        </is>
      </c>
      <c r="I4350" t="n">
        <v>2.3</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31265-2026</t>
        </is>
      </c>
      <c r="B4351" t="inlineStr">
        <is>
          <t>avverkningsanmälan</t>
        </is>
      </c>
      <c r="C4351" t="inlineStr">
        <is>
          <t>Föryngringsavverkning</t>
        </is>
      </c>
      <c r="D4351" s="1" t="n">
        <v>46218</v>
      </c>
      <c r="E4351" s="1" t="n">
        <v>46319</v>
      </c>
      <c r="F4351" t="inlineStr">
        <is>
          <t>DALARNAS LÄN</t>
        </is>
      </c>
      <c r="G4351" t="inlineStr">
        <is>
          <t>FALUN</t>
        </is>
      </c>
      <c r="H4351" t="inlineStr">
        <is>
          <t>Bergvik skog väst AB</t>
        </is>
      </c>
      <c r="I4351" t="n">
        <v>1.8</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49405-2024</t>
        </is>
      </c>
      <c r="B4352" t="inlineStr">
        <is>
          <t>avverkningsanmälan</t>
        </is>
      </c>
      <c r="C4352" t="inlineStr">
        <is>
          <t>Föryngringsavverkning</t>
        </is>
      </c>
      <c r="D4352" s="1" t="n">
        <v>45595</v>
      </c>
      <c r="E4352" s="1" t="n">
        <v>46319</v>
      </c>
      <c r="F4352" t="inlineStr">
        <is>
          <t>DALARNAS LÄN</t>
        </is>
      </c>
      <c r="G4352" t="inlineStr">
        <is>
          <t>LEKSAND</t>
        </is>
      </c>
      <c r="I4352" t="n">
        <v>0.7</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61057-2025</t>
        </is>
      </c>
      <c r="B4353" t="inlineStr">
        <is>
          <t>avverkningsanmälan</t>
        </is>
      </c>
      <c r="C4353" t="inlineStr">
        <is>
          <t>Föryngringsavverkning</t>
        </is>
      </c>
      <c r="D4353" s="1" t="n">
        <v>46000</v>
      </c>
      <c r="E4353" s="1" t="n">
        <v>46319</v>
      </c>
      <c r="F4353" t="inlineStr">
        <is>
          <t>DALARNAS LÄN</t>
        </is>
      </c>
      <c r="G4353" t="inlineStr">
        <is>
          <t>RÄTTVIK</t>
        </is>
      </c>
      <c r="I4353" t="n">
        <v>1.3</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14881-2025</t>
        </is>
      </c>
      <c r="B4354" t="inlineStr">
        <is>
          <t>avverkningsanmälan</t>
        </is>
      </c>
      <c r="C4354" t="inlineStr">
        <is>
          <t>Föryngringsavverkning</t>
        </is>
      </c>
      <c r="D4354" s="1" t="n">
        <v>45743</v>
      </c>
      <c r="E4354" s="1" t="n">
        <v>46319</v>
      </c>
      <c r="F4354" t="inlineStr">
        <is>
          <t>DALARNAS LÄN</t>
        </is>
      </c>
      <c r="G4354" t="inlineStr">
        <is>
          <t>LUDVIKA</t>
        </is>
      </c>
      <c r="I4354" t="n">
        <v>0.5</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61228-2025</t>
        </is>
      </c>
      <c r="B4355" t="inlineStr">
        <is>
          <t>avverkningsanmälan</t>
        </is>
      </c>
      <c r="C4355" t="inlineStr">
        <is>
          <t>Föryngringsavverkning</t>
        </is>
      </c>
      <c r="D4355" s="1" t="n">
        <v>46000</v>
      </c>
      <c r="E4355" s="1" t="n">
        <v>46319</v>
      </c>
      <c r="F4355" t="inlineStr">
        <is>
          <t>DALARNAS LÄN</t>
        </is>
      </c>
      <c r="G4355" t="inlineStr">
        <is>
          <t>SÄTER</t>
        </is>
      </c>
      <c r="I4355" t="n">
        <v>3.3</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60828-2025</t>
        </is>
      </c>
      <c r="B4356" t="inlineStr">
        <is>
          <t>avverkningsanmälan</t>
        </is>
      </c>
      <c r="C4356" t="inlineStr">
        <is>
          <t>Föryngringsavverkning</t>
        </is>
      </c>
      <c r="D4356" s="1" t="n">
        <v>45999</v>
      </c>
      <c r="E4356" s="1" t="n">
        <v>46319</v>
      </c>
      <c r="F4356" t="inlineStr">
        <is>
          <t>DALARNAS LÄN</t>
        </is>
      </c>
      <c r="G4356" t="inlineStr">
        <is>
          <t>RÄTTVIK</t>
        </is>
      </c>
      <c r="I4356" t="n">
        <v>0.9</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60844-2025</t>
        </is>
      </c>
      <c r="B4357" t="inlineStr">
        <is>
          <t>avverkningsanmälan</t>
        </is>
      </c>
      <c r="C4357" t="inlineStr">
        <is>
          <t>Föryngringsavverkning</t>
        </is>
      </c>
      <c r="D4357" s="1" t="n">
        <v>45999</v>
      </c>
      <c r="E4357" s="1" t="n">
        <v>46319</v>
      </c>
      <c r="F4357" t="inlineStr">
        <is>
          <t>DALARNAS LÄN</t>
        </is>
      </c>
      <c r="G4357" t="inlineStr">
        <is>
          <t>ORSA</t>
        </is>
      </c>
      <c r="I4357" t="n">
        <v>1</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60945-2025</t>
        </is>
      </c>
      <c r="B4358" t="inlineStr">
        <is>
          <t>avverkningsanmälan</t>
        </is>
      </c>
      <c r="C4358" t="inlineStr">
        <is>
          <t>Föryngringsavverkning</t>
        </is>
      </c>
      <c r="D4358" s="1" t="n">
        <v>45999</v>
      </c>
      <c r="E4358" s="1" t="n">
        <v>46319</v>
      </c>
      <c r="F4358" t="inlineStr">
        <is>
          <t>DALARNAS LÄN</t>
        </is>
      </c>
      <c r="G4358" t="inlineStr">
        <is>
          <t>ORSA</t>
        </is>
      </c>
      <c r="I4358" t="n">
        <v>0.8</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15945-2026</t>
        </is>
      </c>
      <c r="B4359" t="inlineStr">
        <is>
          <t>avverkningsanmälan</t>
        </is>
      </c>
      <c r="C4359" t="inlineStr">
        <is>
          <t>Föryngringsavverkning</t>
        </is>
      </c>
      <c r="D4359" s="1" t="n">
        <v>46107</v>
      </c>
      <c r="E4359" s="1" t="n">
        <v>46319</v>
      </c>
      <c r="F4359" t="inlineStr">
        <is>
          <t>DALARNAS LÄN</t>
        </is>
      </c>
      <c r="G4359" t="inlineStr">
        <is>
          <t>GAGNEF</t>
        </is>
      </c>
      <c r="I4359" t="n">
        <v>1.5</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31804-2024</t>
        </is>
      </c>
      <c r="B4360" t="inlineStr">
        <is>
          <t>avverkningsanmälan</t>
        </is>
      </c>
      <c r="C4360" t="inlineStr">
        <is>
          <t>Föryngringsavverkning</t>
        </is>
      </c>
      <c r="D4360" s="1" t="n">
        <v>45509</v>
      </c>
      <c r="E4360" s="1" t="n">
        <v>46319</v>
      </c>
      <c r="F4360" t="inlineStr">
        <is>
          <t>DALARNAS LÄN</t>
        </is>
      </c>
      <c r="G4360" t="inlineStr">
        <is>
          <t>GAGNEF</t>
        </is>
      </c>
      <c r="I4360" t="n">
        <v>0.5</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20652-2025</t>
        </is>
      </c>
      <c r="B4361" t="inlineStr">
        <is>
          <t>avverkningsanmälan</t>
        </is>
      </c>
      <c r="C4361" t="inlineStr">
        <is>
          <t>Föryngringsavverkning</t>
        </is>
      </c>
      <c r="D4361" s="1" t="n">
        <v>45776</v>
      </c>
      <c r="E4361" s="1" t="n">
        <v>46319</v>
      </c>
      <c r="F4361" t="inlineStr">
        <is>
          <t>DALARNAS LÄN</t>
        </is>
      </c>
      <c r="G4361" t="inlineStr">
        <is>
          <t>RÄTTVIK</t>
        </is>
      </c>
      <c r="I4361" t="n">
        <v>0.5</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31634-2025</t>
        </is>
      </c>
      <c r="B4362" t="inlineStr">
        <is>
          <t>avverkningsanmälan</t>
        </is>
      </c>
      <c r="C4362" t="inlineStr">
        <is>
          <t>Föryngringsavverkning</t>
        </is>
      </c>
      <c r="D4362" s="1" t="n">
        <v>45834</v>
      </c>
      <c r="E4362" s="1" t="n">
        <v>46319</v>
      </c>
      <c r="F4362" t="inlineStr">
        <is>
          <t>DALARNAS LÄN</t>
        </is>
      </c>
      <c r="G4362" t="inlineStr">
        <is>
          <t>ORSA</t>
        </is>
      </c>
      <c r="I4362" t="n">
        <v>2</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31490-2026</t>
        </is>
      </c>
      <c r="B4363" t="inlineStr">
        <is>
          <t>avverkningsanmälan</t>
        </is>
      </c>
      <c r="C4363" t="inlineStr">
        <is>
          <t>Föryngringsavverkning</t>
        </is>
      </c>
      <c r="D4363" s="1" t="n">
        <v>46223</v>
      </c>
      <c r="E4363" s="1" t="n">
        <v>46319</v>
      </c>
      <c r="F4363" t="inlineStr">
        <is>
          <t>DALARNAS LÄN</t>
        </is>
      </c>
      <c r="G4363" t="inlineStr">
        <is>
          <t>SMEDJEBACKEN</t>
        </is>
      </c>
      <c r="I4363" t="n">
        <v>1.7</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55843-2023</t>
        </is>
      </c>
      <c r="B4364" t="inlineStr">
        <is>
          <t>avverkningsanmälan</t>
        </is>
      </c>
      <c r="C4364" t="inlineStr">
        <is>
          <t>Föryngringsavverkning</t>
        </is>
      </c>
      <c r="D4364" s="1" t="n">
        <v>45239</v>
      </c>
      <c r="E4364" s="1" t="n">
        <v>46319</v>
      </c>
      <c r="F4364" t="inlineStr">
        <is>
          <t>DALARNAS LÄN</t>
        </is>
      </c>
      <c r="G4364" t="inlineStr">
        <is>
          <t>ORSA</t>
        </is>
      </c>
      <c r="I4364" t="n">
        <v>2.4</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48342-2023</t>
        </is>
      </c>
      <c r="B4365" t="inlineStr">
        <is>
          <t>avverkningsanmälan</t>
        </is>
      </c>
      <c r="C4365" t="inlineStr">
        <is>
          <t>Föryngringsavverkning</t>
        </is>
      </c>
      <c r="D4365" s="1" t="n">
        <v>45205</v>
      </c>
      <c r="E4365" s="1" t="n">
        <v>46319</v>
      </c>
      <c r="F4365" t="inlineStr">
        <is>
          <t>DALARNAS LÄN</t>
        </is>
      </c>
      <c r="G4365" t="inlineStr">
        <is>
          <t>MORA</t>
        </is>
      </c>
      <c r="I4365" t="n">
        <v>1</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48518-2024</t>
        </is>
      </c>
      <c r="B4366" t="inlineStr">
        <is>
          <t>avverkningsanmälan</t>
        </is>
      </c>
      <c r="C4366" t="inlineStr">
        <is>
          <t>Föryngringsavverkning</t>
        </is>
      </c>
      <c r="D4366" s="1" t="n">
        <v>45593</v>
      </c>
      <c r="E4366" s="1" t="n">
        <v>46319</v>
      </c>
      <c r="F4366" t="inlineStr">
        <is>
          <t>DALARNAS LÄN</t>
        </is>
      </c>
      <c r="G4366" t="inlineStr">
        <is>
          <t>ORSA</t>
        </is>
      </c>
      <c r="I4366" t="n">
        <v>1.9</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29025-2023</t>
        </is>
      </c>
      <c r="B4367" t="inlineStr">
        <is>
          <t>avverkningsanmälan</t>
        </is>
      </c>
      <c r="C4367" t="inlineStr">
        <is>
          <t>Föryngringsavverkning</t>
        </is>
      </c>
      <c r="D4367" s="1" t="n">
        <v>45104</v>
      </c>
      <c r="E4367" s="1" t="n">
        <v>46319</v>
      </c>
      <c r="F4367" t="inlineStr">
        <is>
          <t>DALARNAS LÄN</t>
        </is>
      </c>
      <c r="G4367" t="inlineStr">
        <is>
          <t>ORSA</t>
        </is>
      </c>
      <c r="I4367" t="n">
        <v>6.6</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25033-2026</t>
        </is>
      </c>
      <c r="B4368" t="inlineStr">
        <is>
          <t>avverkningsanmälan</t>
        </is>
      </c>
      <c r="C4368" t="inlineStr">
        <is>
          <t>Föryngringsavverkning</t>
        </is>
      </c>
      <c r="D4368" s="1" t="n">
        <v>46174</v>
      </c>
      <c r="E4368" s="1" t="n">
        <v>46319</v>
      </c>
      <c r="F4368" t="inlineStr">
        <is>
          <t>DALARNAS LÄN</t>
        </is>
      </c>
      <c r="G4368" t="inlineStr">
        <is>
          <t>SÄTER</t>
        </is>
      </c>
      <c r="H4368" t="inlineStr">
        <is>
          <t>Bergvik skog väst AB</t>
        </is>
      </c>
      <c r="I4368" t="n">
        <v>3.5</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61441-2025</t>
        </is>
      </c>
      <c r="B4369" t="inlineStr">
        <is>
          <t>avverkningsanmälan</t>
        </is>
      </c>
      <c r="C4369" t="inlineStr">
        <is>
          <t>Föryngringsavverkning</t>
        </is>
      </c>
      <c r="D4369" s="1" t="n">
        <v>46001</v>
      </c>
      <c r="E4369" s="1" t="n">
        <v>46319</v>
      </c>
      <c r="F4369" t="inlineStr">
        <is>
          <t>DALARNAS LÄN</t>
        </is>
      </c>
      <c r="G4369" t="inlineStr">
        <is>
          <t>MALUNG-SÄLEN</t>
        </is>
      </c>
      <c r="I4369" t="n">
        <v>4.9</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61455-2025</t>
        </is>
      </c>
      <c r="B4370" t="inlineStr">
        <is>
          <t>avverkningsanmälan</t>
        </is>
      </c>
      <c r="C4370" t="inlineStr">
        <is>
          <t>Föryngringsavverkning</t>
        </is>
      </c>
      <c r="D4370" s="1" t="n">
        <v>46001</v>
      </c>
      <c r="E4370" s="1" t="n">
        <v>46319</v>
      </c>
      <c r="F4370" t="inlineStr">
        <is>
          <t>DALARNAS LÄN</t>
        </is>
      </c>
      <c r="G4370" t="inlineStr">
        <is>
          <t>MORA</t>
        </is>
      </c>
      <c r="I4370" t="n">
        <v>3.4</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61598-2025</t>
        </is>
      </c>
      <c r="B4371" t="inlineStr">
        <is>
          <t>avverkningsanmälan</t>
        </is>
      </c>
      <c r="C4371" t="inlineStr">
        <is>
          <t>Föryngringsavverkning</t>
        </is>
      </c>
      <c r="D4371" s="1" t="n">
        <v>46002</v>
      </c>
      <c r="E4371" s="1" t="n">
        <v>46319</v>
      </c>
      <c r="F4371" t="inlineStr">
        <is>
          <t>DALARNAS LÄN</t>
        </is>
      </c>
      <c r="G4371" t="inlineStr">
        <is>
          <t>VANSBRO</t>
        </is>
      </c>
      <c r="I4371" t="n">
        <v>4.7</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5651-2025</t>
        </is>
      </c>
      <c r="B4372" t="inlineStr">
        <is>
          <t>avverkningsanmälan</t>
        </is>
      </c>
      <c r="C4372" t="inlineStr">
        <is>
          <t>Föryngringsavverkning</t>
        </is>
      </c>
      <c r="D4372" s="1" t="n">
        <v>45693</v>
      </c>
      <c r="E4372" s="1" t="n">
        <v>46319</v>
      </c>
      <c r="F4372" t="inlineStr">
        <is>
          <t>DALARNAS LÄN</t>
        </is>
      </c>
      <c r="G4372" t="inlineStr">
        <is>
          <t>RÄTTVIK</t>
        </is>
      </c>
      <c r="H4372" t="inlineStr">
        <is>
          <t>Bergvik skog väst AB</t>
        </is>
      </c>
      <c r="I4372" t="n">
        <v>5.2</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61477-2025</t>
        </is>
      </c>
      <c r="B4373" t="inlineStr">
        <is>
          <t>avverkningsanmälan</t>
        </is>
      </c>
      <c r="C4373" t="inlineStr">
        <is>
          <t>Föryngringsavverkning</t>
        </is>
      </c>
      <c r="D4373" s="1" t="n">
        <v>46001</v>
      </c>
      <c r="E4373" s="1" t="n">
        <v>46319</v>
      </c>
      <c r="F4373" t="inlineStr">
        <is>
          <t>DALARNAS LÄN</t>
        </is>
      </c>
      <c r="G4373" t="inlineStr">
        <is>
          <t>ÄLVDALEN</t>
        </is>
      </c>
      <c r="I4373" t="n">
        <v>1.1</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22608-2026</t>
        </is>
      </c>
      <c r="B4374" t="inlineStr">
        <is>
          <t>avverkningsanmälan</t>
        </is>
      </c>
      <c r="C4374" t="inlineStr">
        <is>
          <t>Föryngringsavverkning</t>
        </is>
      </c>
      <c r="D4374" s="1" t="n">
        <v>46155</v>
      </c>
      <c r="E4374" s="1" t="n">
        <v>46319</v>
      </c>
      <c r="F4374" t="inlineStr">
        <is>
          <t>DALARNAS LÄN</t>
        </is>
      </c>
      <c r="G4374" t="inlineStr">
        <is>
          <t>FALUN</t>
        </is>
      </c>
      <c r="I4374" t="n">
        <v>1.9</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20684-2025</t>
        </is>
      </c>
      <c r="B4375" t="inlineStr">
        <is>
          <t>avverkningsanmälan</t>
        </is>
      </c>
      <c r="C4375" t="inlineStr">
        <is>
          <t>Föryngringsavverkning</t>
        </is>
      </c>
      <c r="D4375" s="1" t="n">
        <v>45776</v>
      </c>
      <c r="E4375" s="1" t="n">
        <v>46319</v>
      </c>
      <c r="F4375" t="inlineStr">
        <is>
          <t>DALARNAS LÄN</t>
        </is>
      </c>
      <c r="G4375" t="inlineStr">
        <is>
          <t>FALUN</t>
        </is>
      </c>
      <c r="I4375" t="n">
        <v>0.4</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45167-2022</t>
        </is>
      </c>
      <c r="B4376" t="inlineStr">
        <is>
          <t>avverkningsanmälan</t>
        </is>
      </c>
      <c r="C4376" t="inlineStr">
        <is>
          <t>Föryngringsavverkning</t>
        </is>
      </c>
      <c r="D4376" s="1" t="n">
        <v>44844</v>
      </c>
      <c r="E4376" s="1" t="n">
        <v>46319</v>
      </c>
      <c r="F4376" t="inlineStr">
        <is>
          <t>DALARNAS LÄN</t>
        </is>
      </c>
      <c r="G4376" t="inlineStr">
        <is>
          <t>ÄLVDALEN</t>
        </is>
      </c>
      <c r="I4376" t="n">
        <v>1.2</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61491-2025</t>
        </is>
      </c>
      <c r="B4377" t="inlineStr">
        <is>
          <t>avverkningsanmälan</t>
        </is>
      </c>
      <c r="C4377" t="inlineStr">
        <is>
          <t>Föryngringsavverkning</t>
        </is>
      </c>
      <c r="D4377" s="1" t="n">
        <v>46001</v>
      </c>
      <c r="E4377" s="1" t="n">
        <v>46319</v>
      </c>
      <c r="F4377" t="inlineStr">
        <is>
          <t>DALARNAS LÄN</t>
        </is>
      </c>
      <c r="G4377" t="inlineStr">
        <is>
          <t>LEKSAND</t>
        </is>
      </c>
      <c r="I4377" t="n">
        <v>1.8</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31627-2026</t>
        </is>
      </c>
      <c r="B4378" t="inlineStr">
        <is>
          <t>avverkningsanmälan</t>
        </is>
      </c>
      <c r="C4378" t="inlineStr">
        <is>
          <t>Föryngringsavverkning</t>
        </is>
      </c>
      <c r="D4378" s="1" t="n">
        <v>46224</v>
      </c>
      <c r="E4378" s="1" t="n">
        <v>46319</v>
      </c>
      <c r="F4378" t="inlineStr">
        <is>
          <t>DALARNAS LÄN</t>
        </is>
      </c>
      <c r="G4378" t="inlineStr">
        <is>
          <t>RÄTTVIK</t>
        </is>
      </c>
      <c r="I4378" t="n">
        <v>2.4</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21966-2024</t>
        </is>
      </c>
      <c r="B4379" t="inlineStr">
        <is>
          <t>avverkningsanmälan</t>
        </is>
      </c>
      <c r="C4379" t="inlineStr">
        <is>
          <t>Föryngringsavverkning</t>
        </is>
      </c>
      <c r="D4379" s="1" t="n">
        <v>45443</v>
      </c>
      <c r="E4379" s="1" t="n">
        <v>46319</v>
      </c>
      <c r="F4379" t="inlineStr">
        <is>
          <t>DALARNAS LÄN</t>
        </is>
      </c>
      <c r="G4379" t="inlineStr">
        <is>
          <t>VANSBRO</t>
        </is>
      </c>
      <c r="H4379" t="inlineStr">
        <is>
          <t>Bergvik skog väst AB</t>
        </is>
      </c>
      <c r="I4379" t="n">
        <v>1</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31403-2026</t>
        </is>
      </c>
      <c r="B4380" t="inlineStr">
        <is>
          <t>avverkningsanmälan</t>
        </is>
      </c>
      <c r="C4380" t="inlineStr">
        <is>
          <t>Föryngringsavverkning</t>
        </is>
      </c>
      <c r="D4380" s="1" t="n">
        <v>46220</v>
      </c>
      <c r="E4380" s="1" t="n">
        <v>46319</v>
      </c>
      <c r="F4380" t="inlineStr">
        <is>
          <t>DALARNAS LÄN</t>
        </is>
      </c>
      <c r="G4380" t="inlineStr">
        <is>
          <t>RÄTTVIK</t>
        </is>
      </c>
      <c r="I4380" t="n">
        <v>0.7</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61684-2025</t>
        </is>
      </c>
      <c r="B4381" t="inlineStr">
        <is>
          <t>avverkningsanmälan</t>
        </is>
      </c>
      <c r="C4381" t="inlineStr">
        <is>
          <t>Föryngringsavverkning</t>
        </is>
      </c>
      <c r="D4381" s="1" t="n">
        <v>46002</v>
      </c>
      <c r="E4381" s="1" t="n">
        <v>46319</v>
      </c>
      <c r="F4381" t="inlineStr">
        <is>
          <t>DALARNAS LÄN</t>
        </is>
      </c>
      <c r="G4381" t="inlineStr">
        <is>
          <t>LEKSAND</t>
        </is>
      </c>
      <c r="I4381" t="n">
        <v>2.4</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61698-2025</t>
        </is>
      </c>
      <c r="B4382" t="inlineStr">
        <is>
          <t>avverkningsanmälan</t>
        </is>
      </c>
      <c r="C4382" t="inlineStr">
        <is>
          <t>Föryngringsavverkning</t>
        </is>
      </c>
      <c r="D4382" s="1" t="n">
        <v>46002</v>
      </c>
      <c r="E4382" s="1" t="n">
        <v>46319</v>
      </c>
      <c r="F4382" t="inlineStr">
        <is>
          <t>DALARNAS LÄN</t>
        </is>
      </c>
      <c r="G4382" t="inlineStr">
        <is>
          <t>MALUNG-SÄLEN</t>
        </is>
      </c>
      <c r="I4382" t="n">
        <v>2.6</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61412-2025</t>
        </is>
      </c>
      <c r="B4383" t="inlineStr">
        <is>
          <t>avverkningsanmälan</t>
        </is>
      </c>
      <c r="C4383" t="inlineStr">
        <is>
          <t>Föryngringsavverkning</t>
        </is>
      </c>
      <c r="D4383" s="1" t="n">
        <v>46001</v>
      </c>
      <c r="E4383" s="1" t="n">
        <v>46319</v>
      </c>
      <c r="F4383" t="inlineStr">
        <is>
          <t>DALARNAS LÄN</t>
        </is>
      </c>
      <c r="G4383" t="inlineStr">
        <is>
          <t>MORA</t>
        </is>
      </c>
      <c r="I4383" t="n">
        <v>2.9</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20771-2025</t>
        </is>
      </c>
      <c r="B4384" t="inlineStr">
        <is>
          <t>avverkningsanmälan</t>
        </is>
      </c>
      <c r="C4384" t="inlineStr">
        <is>
          <t>Föryngringsavverkning</t>
        </is>
      </c>
      <c r="D4384" s="1" t="n">
        <v>45776</v>
      </c>
      <c r="E4384" s="1" t="n">
        <v>46319</v>
      </c>
      <c r="F4384" t="inlineStr">
        <is>
          <t>DALARNAS LÄN</t>
        </is>
      </c>
      <c r="G4384" t="inlineStr">
        <is>
          <t>GAGNEF</t>
        </is>
      </c>
      <c r="I4384" t="n">
        <v>10.5</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22343-2026</t>
        </is>
      </c>
      <c r="B4385" t="inlineStr">
        <is>
          <t>avverkningsanmälan</t>
        </is>
      </c>
      <c r="C4385" t="inlineStr">
        <is>
          <t>Föryngringsavverkning</t>
        </is>
      </c>
      <c r="D4385" s="1" t="n">
        <v>46154</v>
      </c>
      <c r="E4385" s="1" t="n">
        <v>46319</v>
      </c>
      <c r="F4385" t="inlineStr">
        <is>
          <t>DALARNAS LÄN</t>
        </is>
      </c>
      <c r="G4385" t="inlineStr">
        <is>
          <t>FALUN</t>
        </is>
      </c>
      <c r="I4385" t="n">
        <v>1.3</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31513-2026</t>
        </is>
      </c>
      <c r="B4386" t="inlineStr">
        <is>
          <t>avverkningsanmälan</t>
        </is>
      </c>
      <c r="C4386" t="inlineStr">
        <is>
          <t>Föryngringsavverkning</t>
        </is>
      </c>
      <c r="D4386" s="1" t="n">
        <v>46223</v>
      </c>
      <c r="E4386" s="1" t="n">
        <v>46319</v>
      </c>
      <c r="F4386" t="inlineStr">
        <is>
          <t>DALARNAS LÄN</t>
        </is>
      </c>
      <c r="G4386" t="inlineStr">
        <is>
          <t>FALUN</t>
        </is>
      </c>
      <c r="H4386" t="inlineStr">
        <is>
          <t>Bergvik skog väst AB</t>
        </is>
      </c>
      <c r="I4386" t="n">
        <v>0.7</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31603-2026</t>
        </is>
      </c>
      <c r="B4387" t="inlineStr">
        <is>
          <t>avverkningsanmälan</t>
        </is>
      </c>
      <c r="C4387" t="inlineStr">
        <is>
          <t>Föryngringsavverkning</t>
        </is>
      </c>
      <c r="D4387" s="1" t="n">
        <v>46223</v>
      </c>
      <c r="E4387" s="1" t="n">
        <v>46319</v>
      </c>
      <c r="F4387" t="inlineStr">
        <is>
          <t>DALARNAS LÄN</t>
        </is>
      </c>
      <c r="G4387" t="inlineStr">
        <is>
          <t>AVESTA</t>
        </is>
      </c>
      <c r="H4387" t="inlineStr">
        <is>
          <t>Bergvik skog väst AB</t>
        </is>
      </c>
      <c r="I4387" t="n">
        <v>21</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36462-2024</t>
        </is>
      </c>
      <c r="B4388" t="inlineStr">
        <is>
          <t>avverkningsanmälan</t>
        </is>
      </c>
      <c r="C4388" t="inlineStr">
        <is>
          <t>Föryngringsavverkning</t>
        </is>
      </c>
      <c r="D4388" s="1" t="n">
        <v>45537</v>
      </c>
      <c r="E4388" s="1" t="n">
        <v>46319</v>
      </c>
      <c r="F4388" t="inlineStr">
        <is>
          <t>DALARNAS LÄN</t>
        </is>
      </c>
      <c r="G4388" t="inlineStr">
        <is>
          <t>ÄLVDALEN</t>
        </is>
      </c>
      <c r="I4388" t="n">
        <v>5</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31437-2026</t>
        </is>
      </c>
      <c r="B4389" t="inlineStr">
        <is>
          <t>avverkningsanmälan</t>
        </is>
      </c>
      <c r="C4389" t="inlineStr">
        <is>
          <t>Föryngringsavverkning</t>
        </is>
      </c>
      <c r="D4389" s="1" t="n">
        <v>46220</v>
      </c>
      <c r="E4389" s="1" t="n">
        <v>46319</v>
      </c>
      <c r="F4389" t="inlineStr">
        <is>
          <t>DALARNAS LÄN</t>
        </is>
      </c>
      <c r="G4389" t="inlineStr">
        <is>
          <t>MORA</t>
        </is>
      </c>
      <c r="I4389" t="n">
        <v>1.3</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61466-2025</t>
        </is>
      </c>
      <c r="B4390" t="inlineStr">
        <is>
          <t>avverkningsanmälan</t>
        </is>
      </c>
      <c r="C4390" t="inlineStr">
        <is>
          <t>Föryngringsavverkning</t>
        </is>
      </c>
      <c r="D4390" s="1" t="n">
        <v>46001</v>
      </c>
      <c r="E4390" s="1" t="n">
        <v>46319</v>
      </c>
      <c r="F4390" t="inlineStr">
        <is>
          <t>DALARNAS LÄN</t>
        </is>
      </c>
      <c r="G4390" t="inlineStr">
        <is>
          <t>MALUNG-SÄLEN</t>
        </is>
      </c>
      <c r="H4390" t="inlineStr">
        <is>
          <t>Bergvik skog väst AB</t>
        </is>
      </c>
      <c r="I4390" t="n">
        <v>2</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20683-2025</t>
        </is>
      </c>
      <c r="B4391" t="inlineStr">
        <is>
          <t>avverkningsanmälan</t>
        </is>
      </c>
      <c r="C4391" t="inlineStr">
        <is>
          <t>Föryngringsavverkning</t>
        </is>
      </c>
      <c r="D4391" s="1" t="n">
        <v>45776</v>
      </c>
      <c r="E4391" s="1" t="n">
        <v>46319</v>
      </c>
      <c r="F4391" t="inlineStr">
        <is>
          <t>DALARNAS LÄN</t>
        </is>
      </c>
      <c r="G4391" t="inlineStr">
        <is>
          <t>LEKSAND</t>
        </is>
      </c>
      <c r="H4391" t="inlineStr">
        <is>
          <t>Bergvik skog väst AB</t>
        </is>
      </c>
      <c r="I4391" t="n">
        <v>4.1</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22018-2026</t>
        </is>
      </c>
      <c r="B4392" t="inlineStr">
        <is>
          <t>avverkningsanmälan</t>
        </is>
      </c>
      <c r="C4392" t="inlineStr">
        <is>
          <t>Föryngringsavverkning</t>
        </is>
      </c>
      <c r="D4392" s="1" t="n">
        <v>46153</v>
      </c>
      <c r="E4392" s="1" t="n">
        <v>46319</v>
      </c>
      <c r="F4392" t="inlineStr">
        <is>
          <t>DALARNAS LÄN</t>
        </is>
      </c>
      <c r="G4392" t="inlineStr">
        <is>
          <t>RÄTTVIK</t>
        </is>
      </c>
      <c r="H4392" t="inlineStr">
        <is>
          <t>Sveaskog</t>
        </is>
      </c>
      <c r="I4392" t="n">
        <v>1.5</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20616-2025</t>
        </is>
      </c>
      <c r="B4393" t="inlineStr">
        <is>
          <t>avverkningsanmälan</t>
        </is>
      </c>
      <c r="C4393" t="inlineStr">
        <is>
          <t>Föryngringsavverkning</t>
        </is>
      </c>
      <c r="D4393" s="1" t="n">
        <v>45776</v>
      </c>
      <c r="E4393" s="1" t="n">
        <v>46319</v>
      </c>
      <c r="F4393" t="inlineStr">
        <is>
          <t>DALARNAS LÄN</t>
        </is>
      </c>
      <c r="G4393" t="inlineStr">
        <is>
          <t>RÄTTVIK</t>
        </is>
      </c>
      <c r="I4393" t="n">
        <v>1.1</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20680-2025</t>
        </is>
      </c>
      <c r="B4394" t="inlineStr">
        <is>
          <t>avverkningsanmälan</t>
        </is>
      </c>
      <c r="C4394" t="inlineStr">
        <is>
          <t>Föryngringsavverkning</t>
        </is>
      </c>
      <c r="D4394" s="1" t="n">
        <v>45776</v>
      </c>
      <c r="E4394" s="1" t="n">
        <v>46319</v>
      </c>
      <c r="F4394" t="inlineStr">
        <is>
          <t>DALARNAS LÄN</t>
        </is>
      </c>
      <c r="G4394" t="inlineStr">
        <is>
          <t>FALUN</t>
        </is>
      </c>
      <c r="I4394" t="n">
        <v>0.8</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31485-2026</t>
        </is>
      </c>
      <c r="B4395" t="inlineStr">
        <is>
          <t>avverkningsanmälan</t>
        </is>
      </c>
      <c r="C4395" t="inlineStr">
        <is>
          <t>Föryngringsavverkning</t>
        </is>
      </c>
      <c r="D4395" s="1" t="n">
        <v>46223</v>
      </c>
      <c r="E4395" s="1" t="n">
        <v>46319</v>
      </c>
      <c r="F4395" t="inlineStr">
        <is>
          <t>DALARNAS LÄN</t>
        </is>
      </c>
      <c r="G4395" t="inlineStr">
        <is>
          <t>SMEDJEBACKEN</t>
        </is>
      </c>
      <c r="I4395" t="n">
        <v>10.5</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31496-2026</t>
        </is>
      </c>
      <c r="B4396" t="inlineStr">
        <is>
          <t>avverkningsanmälan</t>
        </is>
      </c>
      <c r="C4396" t="inlineStr">
        <is>
          <t>Föryngringsavverkning</t>
        </is>
      </c>
      <c r="D4396" s="1" t="n">
        <v>46223</v>
      </c>
      <c r="E4396" s="1" t="n">
        <v>46319</v>
      </c>
      <c r="F4396" t="inlineStr">
        <is>
          <t>DALARNAS LÄN</t>
        </is>
      </c>
      <c r="G4396" t="inlineStr">
        <is>
          <t>FALUN</t>
        </is>
      </c>
      <c r="H4396" t="inlineStr">
        <is>
          <t>Bergvik skog väst AB</t>
        </is>
      </c>
      <c r="I4396" t="n">
        <v>1</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61502-2025</t>
        </is>
      </c>
      <c r="B4397" t="inlineStr">
        <is>
          <t>avverkningsanmälan</t>
        </is>
      </c>
      <c r="C4397" t="inlineStr">
        <is>
          <t>Föryngringsavverkning</t>
        </is>
      </c>
      <c r="D4397" s="1" t="n">
        <v>46001</v>
      </c>
      <c r="E4397" s="1" t="n">
        <v>46319</v>
      </c>
      <c r="F4397" t="inlineStr">
        <is>
          <t>DALARNAS LÄN</t>
        </is>
      </c>
      <c r="G4397" t="inlineStr">
        <is>
          <t>LUDVIKA</t>
        </is>
      </c>
      <c r="H4397" t="inlineStr">
        <is>
          <t>Bergvik skog väst AB</t>
        </is>
      </c>
      <c r="I4397" t="n">
        <v>4.9</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23774-2026</t>
        </is>
      </c>
      <c r="B4398" t="inlineStr">
        <is>
          <t>avverkningsanmälan</t>
        </is>
      </c>
      <c r="C4398" t="inlineStr">
        <is>
          <t>Föryngringsavverkning</t>
        </is>
      </c>
      <c r="D4398" s="1" t="n">
        <v>46164</v>
      </c>
      <c r="E4398" s="1" t="n">
        <v>46319</v>
      </c>
      <c r="F4398" t="inlineStr">
        <is>
          <t>DALARNAS LÄN</t>
        </is>
      </c>
      <c r="G4398" t="inlineStr">
        <is>
          <t>RÄTTVIK</t>
        </is>
      </c>
      <c r="H4398" t="inlineStr">
        <is>
          <t>Bergvik skog väst AB</t>
        </is>
      </c>
      <c r="I4398" t="n">
        <v>1.1</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61505-2025</t>
        </is>
      </c>
      <c r="B4399" t="inlineStr">
        <is>
          <t>avverkningsanmälan</t>
        </is>
      </c>
      <c r="C4399" t="inlineStr">
        <is>
          <t>Föryngringsavverkning</t>
        </is>
      </c>
      <c r="D4399" s="1" t="n">
        <v>46001</v>
      </c>
      <c r="E4399" s="1" t="n">
        <v>46319</v>
      </c>
      <c r="F4399" t="inlineStr">
        <is>
          <t>DALARNAS LÄN</t>
        </is>
      </c>
      <c r="G4399" t="inlineStr">
        <is>
          <t>LUDVIKA</t>
        </is>
      </c>
      <c r="H4399" t="inlineStr">
        <is>
          <t>Bergvik skog väst AB</t>
        </is>
      </c>
      <c r="I4399" t="n">
        <v>3</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31492-2026</t>
        </is>
      </c>
      <c r="B4400" t="inlineStr">
        <is>
          <t>avverkningsanmälan</t>
        </is>
      </c>
      <c r="C4400" t="inlineStr">
        <is>
          <t>Föryngringsavverkning</t>
        </is>
      </c>
      <c r="D4400" s="1" t="n">
        <v>46223</v>
      </c>
      <c r="E4400" s="1" t="n">
        <v>46319</v>
      </c>
      <c r="F4400" t="inlineStr">
        <is>
          <t>DALARNAS LÄN</t>
        </is>
      </c>
      <c r="G4400" t="inlineStr">
        <is>
          <t>SMEDJEBACKEN</t>
        </is>
      </c>
      <c r="I4400" t="n">
        <v>2.4</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20901-2025</t>
        </is>
      </c>
      <c r="B4401" t="inlineStr">
        <is>
          <t>avverkningsanmälan</t>
        </is>
      </c>
      <c r="C4401" t="inlineStr">
        <is>
          <t>Föryngringsavverkning</t>
        </is>
      </c>
      <c r="D4401" s="1" t="n">
        <v>45777</v>
      </c>
      <c r="E4401" s="1" t="n">
        <v>46319</v>
      </c>
      <c r="F4401" t="inlineStr">
        <is>
          <t>DALARNAS LÄN</t>
        </is>
      </c>
      <c r="G4401" t="inlineStr">
        <is>
          <t>SMEDJEBACKEN</t>
        </is>
      </c>
      <c r="H4401" t="inlineStr">
        <is>
          <t>Sveaskog</t>
        </is>
      </c>
      <c r="I4401" t="n">
        <v>0.6</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20903-2025</t>
        </is>
      </c>
      <c r="B4402" t="inlineStr">
        <is>
          <t>avverkningsanmälan</t>
        </is>
      </c>
      <c r="C4402" t="inlineStr">
        <is>
          <t>Föryngringsavverkning</t>
        </is>
      </c>
      <c r="D4402" s="1" t="n">
        <v>45777</v>
      </c>
      <c r="E4402" s="1" t="n">
        <v>46319</v>
      </c>
      <c r="F4402" t="inlineStr">
        <is>
          <t>DALARNAS LÄN</t>
        </is>
      </c>
      <c r="G4402" t="inlineStr">
        <is>
          <t>SMEDJEBACKEN</t>
        </is>
      </c>
      <c r="H4402" t="inlineStr">
        <is>
          <t>Sveaskog</t>
        </is>
      </c>
      <c r="I4402" t="n">
        <v>2.2</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61620-2025</t>
        </is>
      </c>
      <c r="B4403" t="inlineStr">
        <is>
          <t>avverkningsanmälan</t>
        </is>
      </c>
      <c r="C4403" t="inlineStr">
        <is>
          <t>Föryngringsavverkning</t>
        </is>
      </c>
      <c r="D4403" s="1" t="n">
        <v>46002</v>
      </c>
      <c r="E4403" s="1" t="n">
        <v>46319</v>
      </c>
      <c r="F4403" t="inlineStr">
        <is>
          <t>DALARNAS LÄN</t>
        </is>
      </c>
      <c r="G4403" t="inlineStr">
        <is>
          <t>MORA</t>
        </is>
      </c>
      <c r="I4403" t="n">
        <v>3</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20942-2025</t>
        </is>
      </c>
      <c r="B4404" t="inlineStr">
        <is>
          <t>avverkningsanmälan</t>
        </is>
      </c>
      <c r="C4404" t="inlineStr">
        <is>
          <t>Avverkning för annat ändamål</t>
        </is>
      </c>
      <c r="D4404" s="1" t="n">
        <v>45777</v>
      </c>
      <c r="E4404" s="1" t="n">
        <v>46319</v>
      </c>
      <c r="F4404" t="inlineStr">
        <is>
          <t>DALARNAS LÄN</t>
        </is>
      </c>
      <c r="G4404" t="inlineStr">
        <is>
          <t>AVESTA</t>
        </is>
      </c>
      <c r="H4404" t="inlineStr">
        <is>
          <t>Sveaskog</t>
        </is>
      </c>
      <c r="I4404" t="n">
        <v>0.4</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31383-2026</t>
        </is>
      </c>
      <c r="B4405" t="inlineStr">
        <is>
          <t>avverkningsanmälan</t>
        </is>
      </c>
      <c r="C4405" t="inlineStr">
        <is>
          <t>Föryngringsavverkning</t>
        </is>
      </c>
      <c r="D4405" s="1" t="n">
        <v>46220</v>
      </c>
      <c r="E4405" s="1" t="n">
        <v>46319</v>
      </c>
      <c r="F4405" t="inlineStr">
        <is>
          <t>DALARNAS LÄN</t>
        </is>
      </c>
      <c r="G4405" t="inlineStr">
        <is>
          <t>FALUN</t>
        </is>
      </c>
      <c r="H4405" t="inlineStr">
        <is>
          <t>Bergvik skog väst AB</t>
        </is>
      </c>
      <c r="I4405" t="n">
        <v>1.5</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61751-2025</t>
        </is>
      </c>
      <c r="B4406" t="inlineStr">
        <is>
          <t>avverkningsanmälan</t>
        </is>
      </c>
      <c r="C4406" t="inlineStr">
        <is>
          <t>Föryngringsavverkning</t>
        </is>
      </c>
      <c r="D4406" s="1" t="n">
        <v>46002</v>
      </c>
      <c r="E4406" s="1" t="n">
        <v>46319</v>
      </c>
      <c r="F4406" t="inlineStr">
        <is>
          <t>DALARNAS LÄN</t>
        </is>
      </c>
      <c r="G4406" t="inlineStr">
        <is>
          <t>BORLÄNGE</t>
        </is>
      </c>
      <c r="I4406" t="n">
        <v>1.1</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61692-2025</t>
        </is>
      </c>
      <c r="B4407" t="inlineStr">
        <is>
          <t>avverkningsanmälan</t>
        </is>
      </c>
      <c r="C4407" t="inlineStr">
        <is>
          <t>Föryngringsavverkning</t>
        </is>
      </c>
      <c r="D4407" s="1" t="n">
        <v>46002</v>
      </c>
      <c r="E4407" s="1" t="n">
        <v>46319</v>
      </c>
      <c r="F4407" t="inlineStr">
        <is>
          <t>DALARNAS LÄN</t>
        </is>
      </c>
      <c r="G4407" t="inlineStr">
        <is>
          <t>MALUNG-SÄLEN</t>
        </is>
      </c>
      <c r="I4407" t="n">
        <v>0.9</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16115-2026</t>
        </is>
      </c>
      <c r="B4408" t="inlineStr">
        <is>
          <t>avverkningsanmälan</t>
        </is>
      </c>
      <c r="C4408" t="inlineStr">
        <is>
          <t>Föryngringsavverkning</t>
        </is>
      </c>
      <c r="D4408" s="1" t="n">
        <v>46108</v>
      </c>
      <c r="E4408" s="1" t="n">
        <v>46319</v>
      </c>
      <c r="F4408" t="inlineStr">
        <is>
          <t>DALARNAS LÄN</t>
        </is>
      </c>
      <c r="G4408" t="inlineStr">
        <is>
          <t>RÄTTVIK</t>
        </is>
      </c>
      <c r="H4408" t="inlineStr">
        <is>
          <t>Bergvik skog väst AB</t>
        </is>
      </c>
      <c r="I4408" t="n">
        <v>3.2</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28660-2024</t>
        </is>
      </c>
      <c r="B4409" t="inlineStr">
        <is>
          <t>avverkningsanmälan</t>
        </is>
      </c>
      <c r="C4409" t="inlineStr">
        <is>
          <t>Föryngringsavverkning</t>
        </is>
      </c>
      <c r="D4409" s="1" t="n">
        <v>45478</v>
      </c>
      <c r="E4409" s="1" t="n">
        <v>46319</v>
      </c>
      <c r="F4409" t="inlineStr">
        <is>
          <t>DALARNAS LÄN</t>
        </is>
      </c>
      <c r="G4409" t="inlineStr">
        <is>
          <t>RÄTTVIK</t>
        </is>
      </c>
      <c r="I4409" t="n">
        <v>0.7</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31647-2026</t>
        </is>
      </c>
      <c r="B4410" t="inlineStr">
        <is>
          <t>avverkningsanmälan</t>
        </is>
      </c>
      <c r="C4410" t="inlineStr">
        <is>
          <t>Föryngringsavverkning</t>
        </is>
      </c>
      <c r="D4410" s="1" t="n">
        <v>46225</v>
      </c>
      <c r="E4410" s="1" t="n">
        <v>46319</v>
      </c>
      <c r="F4410" t="inlineStr">
        <is>
          <t>DALARNAS LÄN</t>
        </is>
      </c>
      <c r="G4410" t="inlineStr">
        <is>
          <t>HEDEMORA</t>
        </is>
      </c>
      <c r="H4410" t="inlineStr">
        <is>
          <t>Bergvik skog väst AB</t>
        </is>
      </c>
      <c r="I4410" t="n">
        <v>37.7</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20954-2025</t>
        </is>
      </c>
      <c r="B4411" t="inlineStr">
        <is>
          <t>avverkningsanmälan</t>
        </is>
      </c>
      <c r="C4411" t="inlineStr">
        <is>
          <t>Föryngringsavverkning</t>
        </is>
      </c>
      <c r="D4411" s="1" t="n">
        <v>45777</v>
      </c>
      <c r="E4411" s="1" t="n">
        <v>46319</v>
      </c>
      <c r="F4411" t="inlineStr">
        <is>
          <t>DALARNAS LÄN</t>
        </is>
      </c>
      <c r="G4411" t="inlineStr">
        <is>
          <t>FALUN</t>
        </is>
      </c>
      <c r="I4411" t="n">
        <v>2.1</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41006-2025</t>
        </is>
      </c>
      <c r="B4412" t="inlineStr">
        <is>
          <t>avverkningsanmälan</t>
        </is>
      </c>
      <c r="C4412" t="inlineStr">
        <is>
          <t>Föryngringsavverkning</t>
        </is>
      </c>
      <c r="D4412" s="1" t="n">
        <v>45898</v>
      </c>
      <c r="E4412" s="1" t="n">
        <v>46319</v>
      </c>
      <c r="F4412" t="inlineStr">
        <is>
          <t>DALARNAS LÄN</t>
        </is>
      </c>
      <c r="G4412" t="inlineStr">
        <is>
          <t>FALUN</t>
        </is>
      </c>
      <c r="H4412" t="inlineStr">
        <is>
          <t>Bergvik skog väst AB</t>
        </is>
      </c>
      <c r="I4412" t="n">
        <v>3.4</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31646-2026</t>
        </is>
      </c>
      <c r="B4413" t="inlineStr">
        <is>
          <t>avverkningsanmälan</t>
        </is>
      </c>
      <c r="C4413" t="inlineStr">
        <is>
          <t>Föryngringsavverkning</t>
        </is>
      </c>
      <c r="D4413" s="1" t="n">
        <v>46225</v>
      </c>
      <c r="E4413" s="1" t="n">
        <v>46319</v>
      </c>
      <c r="F4413" t="inlineStr">
        <is>
          <t>DALARNAS LÄN</t>
        </is>
      </c>
      <c r="G4413" t="inlineStr">
        <is>
          <t>LUDVIKA</t>
        </is>
      </c>
      <c r="H4413" t="inlineStr">
        <is>
          <t>Bergvik skog väst AB</t>
        </is>
      </c>
      <c r="I4413" t="n">
        <v>4.2</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28572-2025</t>
        </is>
      </c>
      <c r="B4414" t="inlineStr">
        <is>
          <t>avverkningsanmälan</t>
        </is>
      </c>
      <c r="C4414" t="inlineStr">
        <is>
          <t>Föryngringsavverkning</t>
        </is>
      </c>
      <c r="D4414" s="1" t="n">
        <v>45819</v>
      </c>
      <c r="E4414" s="1" t="n">
        <v>46319</v>
      </c>
      <c r="F4414" t="inlineStr">
        <is>
          <t>DALARNAS LÄN</t>
        </is>
      </c>
      <c r="G4414" t="inlineStr">
        <is>
          <t>BORLÄNGE</t>
        </is>
      </c>
      <c r="H4414" t="inlineStr">
        <is>
          <t>Kommuner</t>
        </is>
      </c>
      <c r="I4414" t="n">
        <v>1.4</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1588-2026</t>
        </is>
      </c>
      <c r="B4415" t="inlineStr">
        <is>
          <t>avverkningsanmälan</t>
        </is>
      </c>
      <c r="C4415" t="inlineStr">
        <is>
          <t>Föryngringsavverkning</t>
        </is>
      </c>
      <c r="D4415" s="1" t="n">
        <v>46034</v>
      </c>
      <c r="E4415" s="1" t="n">
        <v>46319</v>
      </c>
      <c r="F4415" t="inlineStr">
        <is>
          <t>DALARNAS LÄN</t>
        </is>
      </c>
      <c r="G4415" t="inlineStr">
        <is>
          <t>VANSBRO</t>
        </is>
      </c>
      <c r="H4415" t="inlineStr">
        <is>
          <t>Bergvik skog väst AB</t>
        </is>
      </c>
      <c r="I4415" t="n">
        <v>1.4</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61606-2025</t>
        </is>
      </c>
      <c r="B4416" t="inlineStr">
        <is>
          <t>avverkningsanmälan</t>
        </is>
      </c>
      <c r="C4416" t="inlineStr">
        <is>
          <t>Föryngringsavverkning</t>
        </is>
      </c>
      <c r="D4416" s="1" t="n">
        <v>46002</v>
      </c>
      <c r="E4416" s="1" t="n">
        <v>46319</v>
      </c>
      <c r="F4416" t="inlineStr">
        <is>
          <t>DALARNAS LÄN</t>
        </is>
      </c>
      <c r="G4416" t="inlineStr">
        <is>
          <t>MORA</t>
        </is>
      </c>
      <c r="I4416" t="n">
        <v>6.1</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61624-2025</t>
        </is>
      </c>
      <c r="B4417" t="inlineStr">
        <is>
          <t>avverkningsanmälan</t>
        </is>
      </c>
      <c r="C4417" t="inlineStr">
        <is>
          <t>Föryngringsavverkning</t>
        </is>
      </c>
      <c r="D4417" s="1" t="n">
        <v>46002</v>
      </c>
      <c r="E4417" s="1" t="n">
        <v>46319</v>
      </c>
      <c r="F4417" t="inlineStr">
        <is>
          <t>DALARNAS LÄN</t>
        </is>
      </c>
      <c r="G4417" t="inlineStr">
        <is>
          <t>MORA</t>
        </is>
      </c>
      <c r="I4417" t="n">
        <v>0.6</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31601-2026</t>
        </is>
      </c>
      <c r="B4418" t="inlineStr">
        <is>
          <t>avverkningsanmälan</t>
        </is>
      </c>
      <c r="C4418" t="inlineStr">
        <is>
          <t>Föryngringsavverkning</t>
        </is>
      </c>
      <c r="D4418" s="1" t="n">
        <v>46224</v>
      </c>
      <c r="E4418" s="1" t="n">
        <v>46319</v>
      </c>
      <c r="F4418" t="inlineStr">
        <is>
          <t>DALARNAS LÄN</t>
        </is>
      </c>
      <c r="G4418" t="inlineStr">
        <is>
          <t>ORSA</t>
        </is>
      </c>
      <c r="H4418" t="inlineStr">
        <is>
          <t>Bergvik skog öst AB</t>
        </is>
      </c>
      <c r="I4418" t="n">
        <v>2</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31511-2026</t>
        </is>
      </c>
      <c r="B4419" t="inlineStr">
        <is>
          <t>avverkningsanmälan</t>
        </is>
      </c>
      <c r="C4419" t="inlineStr">
        <is>
          <t>Föryngringsavverkning</t>
        </is>
      </c>
      <c r="D4419" s="1" t="n">
        <v>46223</v>
      </c>
      <c r="E4419" s="1" t="n">
        <v>46319</v>
      </c>
      <c r="F4419" t="inlineStr">
        <is>
          <t>DALARNAS LÄN</t>
        </is>
      </c>
      <c r="G4419" t="inlineStr">
        <is>
          <t>RÄTTVIK</t>
        </is>
      </c>
      <c r="I4419" t="n">
        <v>1.8</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21376-2025</t>
        </is>
      </c>
      <c r="B4420" t="inlineStr">
        <is>
          <t>avverkningsanmälan</t>
        </is>
      </c>
      <c r="C4420" t="inlineStr">
        <is>
          <t>Föryngringsavverkning</t>
        </is>
      </c>
      <c r="D4420" s="1" t="n">
        <v>45782</v>
      </c>
      <c r="E4420" s="1" t="n">
        <v>46319</v>
      </c>
      <c r="F4420" t="inlineStr">
        <is>
          <t>DALARNAS LÄN</t>
        </is>
      </c>
      <c r="G4420" t="inlineStr">
        <is>
          <t>ORSA</t>
        </is>
      </c>
      <c r="I4420" t="n">
        <v>4.6</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31587-2026</t>
        </is>
      </c>
      <c r="B4421" t="inlineStr">
        <is>
          <t>avverkningsanmälan</t>
        </is>
      </c>
      <c r="C4421" t="inlineStr">
        <is>
          <t>Föryngringsavverkning</t>
        </is>
      </c>
      <c r="D4421" s="1" t="n">
        <v>46224</v>
      </c>
      <c r="E4421" s="1" t="n">
        <v>46319</v>
      </c>
      <c r="F4421" t="inlineStr">
        <is>
          <t>DALARNAS LÄN</t>
        </is>
      </c>
      <c r="G4421" t="inlineStr">
        <is>
          <t>FALUN</t>
        </is>
      </c>
      <c r="H4421" t="inlineStr">
        <is>
          <t>Bergvik skog väst AB</t>
        </is>
      </c>
      <c r="I4421" t="n">
        <v>0.6</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31590-2026</t>
        </is>
      </c>
      <c r="B4422" t="inlineStr">
        <is>
          <t>avverkningsanmälan</t>
        </is>
      </c>
      <c r="C4422" t="inlineStr">
        <is>
          <t>Föryngringsavverkning</t>
        </is>
      </c>
      <c r="D4422" s="1" t="n">
        <v>46224</v>
      </c>
      <c r="E4422" s="1" t="n">
        <v>46319</v>
      </c>
      <c r="F4422" t="inlineStr">
        <is>
          <t>DALARNAS LÄN</t>
        </is>
      </c>
      <c r="G4422" t="inlineStr">
        <is>
          <t>ORSA</t>
        </is>
      </c>
      <c r="H4422" t="inlineStr">
        <is>
          <t>Bergvik skog öst AB</t>
        </is>
      </c>
      <c r="I4422" t="n">
        <v>1.1</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31509-2026</t>
        </is>
      </c>
      <c r="B4423" t="inlineStr">
        <is>
          <t>avverkningsanmälan</t>
        </is>
      </c>
      <c r="C4423" t="inlineStr">
        <is>
          <t>Föryngringsavverkning</t>
        </is>
      </c>
      <c r="D4423" s="1" t="n">
        <v>46223</v>
      </c>
      <c r="E4423" s="1" t="n">
        <v>46319</v>
      </c>
      <c r="F4423" t="inlineStr">
        <is>
          <t>DALARNAS LÄN</t>
        </is>
      </c>
      <c r="G4423" t="inlineStr">
        <is>
          <t>RÄTTVIK</t>
        </is>
      </c>
      <c r="I4423" t="n">
        <v>1.8</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62301-2025</t>
        </is>
      </c>
      <c r="B4424" t="inlineStr">
        <is>
          <t>avverkningsanmälan</t>
        </is>
      </c>
      <c r="C4424" t="inlineStr">
        <is>
          <t>Föryngringsavverkning</t>
        </is>
      </c>
      <c r="D4424" s="1" t="n">
        <v>46006</v>
      </c>
      <c r="E4424" s="1" t="n">
        <v>46319</v>
      </c>
      <c r="F4424" t="inlineStr">
        <is>
          <t>DALARNAS LÄN</t>
        </is>
      </c>
      <c r="G4424" t="inlineStr">
        <is>
          <t>LEKSAND</t>
        </is>
      </c>
      <c r="I4424" t="n">
        <v>2.4</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62306-2025</t>
        </is>
      </c>
      <c r="B4425" t="inlineStr">
        <is>
          <t>avverkningsanmälan</t>
        </is>
      </c>
      <c r="C4425" t="inlineStr">
        <is>
          <t>Föryngringsavverkning</t>
        </is>
      </c>
      <c r="D4425" s="1" t="n">
        <v>46006</v>
      </c>
      <c r="E4425" s="1" t="n">
        <v>46319</v>
      </c>
      <c r="F4425" t="inlineStr">
        <is>
          <t>DALARNAS LÄN</t>
        </is>
      </c>
      <c r="G4425" t="inlineStr">
        <is>
          <t>LEKSAND</t>
        </is>
      </c>
      <c r="I4425" t="n">
        <v>1.1</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62337-2025</t>
        </is>
      </c>
      <c r="B4426" t="inlineStr">
        <is>
          <t>avverkningsanmälan</t>
        </is>
      </c>
      <c r="C4426" t="inlineStr">
        <is>
          <t>Föryngringsavverkning</t>
        </is>
      </c>
      <c r="D4426" s="1" t="n">
        <v>46006</v>
      </c>
      <c r="E4426" s="1" t="n">
        <v>46319</v>
      </c>
      <c r="F4426" t="inlineStr">
        <is>
          <t>DALARNAS LÄN</t>
        </is>
      </c>
      <c r="G4426" t="inlineStr">
        <is>
          <t>LEKSAND</t>
        </is>
      </c>
      <c r="I4426" t="n">
        <v>1.9</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21230-2025</t>
        </is>
      </c>
      <c r="B4427" t="inlineStr">
        <is>
          <t>avverkningsanmälan</t>
        </is>
      </c>
      <c r="C4427" t="inlineStr">
        <is>
          <t>Föryngringsavverkning</t>
        </is>
      </c>
      <c r="D4427" s="1" t="n">
        <v>45779</v>
      </c>
      <c r="E4427" s="1" t="n">
        <v>46319</v>
      </c>
      <c r="F4427" t="inlineStr">
        <is>
          <t>DALARNAS LÄN</t>
        </is>
      </c>
      <c r="G4427" t="inlineStr">
        <is>
          <t>LEKSAND</t>
        </is>
      </c>
      <c r="I4427" t="n">
        <v>0.5</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21238-2025</t>
        </is>
      </c>
      <c r="B4428" t="inlineStr">
        <is>
          <t>avverkningsanmälan</t>
        </is>
      </c>
      <c r="C4428" t="inlineStr">
        <is>
          <t>Föryngringsavverkning</t>
        </is>
      </c>
      <c r="D4428" s="1" t="n">
        <v>45779</v>
      </c>
      <c r="E4428" s="1" t="n">
        <v>46319</v>
      </c>
      <c r="F4428" t="inlineStr">
        <is>
          <t>DALARNAS LÄN</t>
        </is>
      </c>
      <c r="G4428" t="inlineStr">
        <is>
          <t>RÄTTVIK</t>
        </is>
      </c>
      <c r="H4428" t="inlineStr">
        <is>
          <t>Sveaskog</t>
        </is>
      </c>
      <c r="I4428" t="n">
        <v>13.1</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62055-2025</t>
        </is>
      </c>
      <c r="B4429" t="inlineStr">
        <is>
          <t>avverkningsanmälan</t>
        </is>
      </c>
      <c r="C4429" t="inlineStr">
        <is>
          <t>Föryngringsavverkning</t>
        </is>
      </c>
      <c r="D4429" s="1" t="n">
        <v>46006</v>
      </c>
      <c r="E4429" s="1" t="n">
        <v>46319</v>
      </c>
      <c r="F4429" t="inlineStr">
        <is>
          <t>DALARNAS LÄN</t>
        </is>
      </c>
      <c r="G4429" t="inlineStr">
        <is>
          <t>MORA</t>
        </is>
      </c>
      <c r="I4429" t="n">
        <v>1.5</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21363-2025</t>
        </is>
      </c>
      <c r="B4430" t="inlineStr">
        <is>
          <t>avverkningsanmälan</t>
        </is>
      </c>
      <c r="C4430" t="inlineStr">
        <is>
          <t>Föryngringsavverkning</t>
        </is>
      </c>
      <c r="D4430" s="1" t="n">
        <v>45782</v>
      </c>
      <c r="E4430" s="1" t="n">
        <v>46319</v>
      </c>
      <c r="F4430" t="inlineStr">
        <is>
          <t>DALARNAS LÄN</t>
        </is>
      </c>
      <c r="G4430" t="inlineStr">
        <is>
          <t>RÄTTVIK</t>
        </is>
      </c>
      <c r="I4430" t="n">
        <v>3.8</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31702-2026</t>
        </is>
      </c>
      <c r="B4431" t="inlineStr">
        <is>
          <t>avverkningsanmälan</t>
        </is>
      </c>
      <c r="C4431" t="inlineStr">
        <is>
          <t>Föryngringsavverkning</t>
        </is>
      </c>
      <c r="D4431" s="1" t="n">
        <v>46226</v>
      </c>
      <c r="E4431" s="1" t="n">
        <v>46319</v>
      </c>
      <c r="F4431" t="inlineStr">
        <is>
          <t>DALARNAS LÄN</t>
        </is>
      </c>
      <c r="G4431" t="inlineStr">
        <is>
          <t>ORSA</t>
        </is>
      </c>
      <c r="H4431" t="inlineStr">
        <is>
          <t>Bergvik skog öst AB</t>
        </is>
      </c>
      <c r="I4431" t="n">
        <v>2.9</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61995-2025</t>
        </is>
      </c>
      <c r="B4432" t="inlineStr">
        <is>
          <t>avverkningsanmälan</t>
        </is>
      </c>
      <c r="C4432" t="inlineStr">
        <is>
          <t>Föryngringsavverkning</t>
        </is>
      </c>
      <c r="D4432" s="1" t="n">
        <v>46003</v>
      </c>
      <c r="E4432" s="1" t="n">
        <v>46319</v>
      </c>
      <c r="F4432" t="inlineStr">
        <is>
          <t>DALARNAS LÄN</t>
        </is>
      </c>
      <c r="G4432" t="inlineStr">
        <is>
          <t>MORA</t>
        </is>
      </c>
      <c r="I4432" t="n">
        <v>1.3</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21460-2025</t>
        </is>
      </c>
      <c r="B4433" t="inlineStr">
        <is>
          <t>avverkningsanmälan</t>
        </is>
      </c>
      <c r="C4433" t="inlineStr">
        <is>
          <t>Föryngringsavverkning</t>
        </is>
      </c>
      <c r="D4433" s="1" t="n">
        <v>45782</v>
      </c>
      <c r="E4433" s="1" t="n">
        <v>46319</v>
      </c>
      <c r="F4433" t="inlineStr">
        <is>
          <t>DALARNAS LÄN</t>
        </is>
      </c>
      <c r="G4433" t="inlineStr">
        <is>
          <t>RÄTTVIK</t>
        </is>
      </c>
      <c r="I4433" t="n">
        <v>1.3</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62322-2025</t>
        </is>
      </c>
      <c r="B4434" t="inlineStr">
        <is>
          <t>avverkningsanmälan</t>
        </is>
      </c>
      <c r="C4434" t="inlineStr">
        <is>
          <t>Föryngringsavverkning</t>
        </is>
      </c>
      <c r="D4434" s="1" t="n">
        <v>46006</v>
      </c>
      <c r="E4434" s="1" t="n">
        <v>46319</v>
      </c>
      <c r="F4434" t="inlineStr">
        <is>
          <t>DALARNAS LÄN</t>
        </is>
      </c>
      <c r="G4434" t="inlineStr">
        <is>
          <t>LEKSAND</t>
        </is>
      </c>
      <c r="I4434" t="n">
        <v>1.7</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31747-2026</t>
        </is>
      </c>
      <c r="B4435" t="inlineStr">
        <is>
          <t>avverkningsanmälan</t>
        </is>
      </c>
      <c r="C4435" t="inlineStr">
        <is>
          <t>Föryngringsavverkning</t>
        </is>
      </c>
      <c r="D4435" s="1" t="n">
        <v>46227</v>
      </c>
      <c r="E4435" s="1" t="n">
        <v>46319</v>
      </c>
      <c r="F4435" t="inlineStr">
        <is>
          <t>DALARNAS LÄN</t>
        </is>
      </c>
      <c r="G4435" t="inlineStr">
        <is>
          <t>ORSA</t>
        </is>
      </c>
      <c r="H4435" t="inlineStr">
        <is>
          <t>Allmännings- och besparingsskogar</t>
        </is>
      </c>
      <c r="I4435" t="n">
        <v>2.8</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62106-2025</t>
        </is>
      </c>
      <c r="B4436" t="inlineStr">
        <is>
          <t>avverkningsanmälan</t>
        </is>
      </c>
      <c r="C4436" t="inlineStr">
        <is>
          <t>Föryngringsavverkning</t>
        </is>
      </c>
      <c r="D4436" s="1" t="n">
        <v>46006</v>
      </c>
      <c r="E4436" s="1" t="n">
        <v>46319</v>
      </c>
      <c r="F4436" t="inlineStr">
        <is>
          <t>DALARNAS LÄN</t>
        </is>
      </c>
      <c r="G4436" t="inlineStr">
        <is>
          <t>ÄLVDALEN</t>
        </is>
      </c>
      <c r="I4436" t="n">
        <v>2.8</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62054-2025</t>
        </is>
      </c>
      <c r="B4437" t="inlineStr">
        <is>
          <t>avverkningsanmälan</t>
        </is>
      </c>
      <c r="C4437" t="inlineStr">
        <is>
          <t>Föryngringsavverkning</t>
        </is>
      </c>
      <c r="D4437" s="1" t="n">
        <v>46006</v>
      </c>
      <c r="E4437" s="1" t="n">
        <v>46319</v>
      </c>
      <c r="F4437" t="inlineStr">
        <is>
          <t>DALARNAS LÄN</t>
        </is>
      </c>
      <c r="G4437" t="inlineStr">
        <is>
          <t>MORA</t>
        </is>
      </c>
      <c r="I4437" t="n">
        <v>1.6</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29880-2024</t>
        </is>
      </c>
      <c r="B4438" t="inlineStr">
        <is>
          <t>avverkningsanmälan</t>
        </is>
      </c>
      <c r="C4438" t="inlineStr">
        <is>
          <t>Föryngringsavverkning</t>
        </is>
      </c>
      <c r="D4438" s="1" t="n">
        <v>45486</v>
      </c>
      <c r="E4438" s="1" t="n">
        <v>46319</v>
      </c>
      <c r="F4438" t="inlineStr">
        <is>
          <t>DALARNAS LÄN</t>
        </is>
      </c>
      <c r="G4438" t="inlineStr">
        <is>
          <t>FALUN</t>
        </is>
      </c>
      <c r="I4438" t="n">
        <v>1.6</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63941-2023</t>
        </is>
      </c>
      <c r="B4439" t="inlineStr">
        <is>
          <t>avverkningsanmälan</t>
        </is>
      </c>
      <c r="C4439" t="inlineStr">
        <is>
          <t>Föryngringsavverkning</t>
        </is>
      </c>
      <c r="D4439" s="1" t="n">
        <v>45278</v>
      </c>
      <c r="E4439" s="1" t="n">
        <v>46319</v>
      </c>
      <c r="F4439" t="inlineStr">
        <is>
          <t>DALARNAS LÄN</t>
        </is>
      </c>
      <c r="G4439" t="inlineStr">
        <is>
          <t>HEDEMORA</t>
        </is>
      </c>
      <c r="I4439" t="n">
        <v>1.1</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62087-2025</t>
        </is>
      </c>
      <c r="B4440" t="inlineStr">
        <is>
          <t>avverkningsanmälan</t>
        </is>
      </c>
      <c r="C4440" t="inlineStr">
        <is>
          <t>Föryngringsavverkning</t>
        </is>
      </c>
      <c r="D4440" s="1" t="n">
        <v>46006</v>
      </c>
      <c r="E4440" s="1" t="n">
        <v>46319</v>
      </c>
      <c r="F4440" t="inlineStr">
        <is>
          <t>DALARNAS LÄN</t>
        </is>
      </c>
      <c r="G4440" t="inlineStr">
        <is>
          <t>MALUNG-SÄLEN</t>
        </is>
      </c>
      <c r="I4440" t="n">
        <v>5.1</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62110-2025</t>
        </is>
      </c>
      <c r="B4441" t="inlineStr">
        <is>
          <t>avverkningsanmälan</t>
        </is>
      </c>
      <c r="C4441" t="inlineStr">
        <is>
          <t>Föryngringsavverkning</t>
        </is>
      </c>
      <c r="D4441" s="1" t="n">
        <v>46006</v>
      </c>
      <c r="E4441" s="1" t="n">
        <v>46319</v>
      </c>
      <c r="F4441" t="inlineStr">
        <is>
          <t>DALARNAS LÄN</t>
        </is>
      </c>
      <c r="G4441" t="inlineStr">
        <is>
          <t>SMEDJEBACKEN</t>
        </is>
      </c>
      <c r="H4441" t="inlineStr">
        <is>
          <t>Bergvik skog väst AB</t>
        </is>
      </c>
      <c r="I4441" t="n">
        <v>1.4</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43785-2023</t>
        </is>
      </c>
      <c r="B4442" t="inlineStr">
        <is>
          <t>avverkningsanmälan</t>
        </is>
      </c>
      <c r="C4442" t="inlineStr">
        <is>
          <t>Föryngringsavverkning</t>
        </is>
      </c>
      <c r="D4442" s="1" t="n">
        <v>45187</v>
      </c>
      <c r="E4442" s="1" t="n">
        <v>46319</v>
      </c>
      <c r="F4442" t="inlineStr">
        <is>
          <t>DALARNAS LÄN</t>
        </is>
      </c>
      <c r="G4442" t="inlineStr">
        <is>
          <t>HEDEMORA</t>
        </is>
      </c>
      <c r="H4442" t="inlineStr">
        <is>
          <t>Sveaskog</t>
        </is>
      </c>
      <c r="I4442" t="n">
        <v>5.7</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44183-2024</t>
        </is>
      </c>
      <c r="B4443" t="inlineStr">
        <is>
          <t>avverkningsanmälan</t>
        </is>
      </c>
      <c r="C4443" t="inlineStr">
        <is>
          <t>Föryngringsavverkning</t>
        </is>
      </c>
      <c r="D4443" s="1" t="n">
        <v>45572</v>
      </c>
      <c r="E4443" s="1" t="n">
        <v>46319</v>
      </c>
      <c r="F4443" t="inlineStr">
        <is>
          <t>DALARNAS LÄN</t>
        </is>
      </c>
      <c r="G4443" t="inlineStr">
        <is>
          <t>FALUN</t>
        </is>
      </c>
      <c r="I4443" t="n">
        <v>1.9</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31701-2026</t>
        </is>
      </c>
      <c r="B4444" t="inlineStr">
        <is>
          <t>avverkningsanmälan</t>
        </is>
      </c>
      <c r="C4444" t="inlineStr">
        <is>
          <t>Föryngringsavverkning</t>
        </is>
      </c>
      <c r="D4444" s="1" t="n">
        <v>46226</v>
      </c>
      <c r="E4444" s="1" t="n">
        <v>46319</v>
      </c>
      <c r="F4444" t="inlineStr">
        <is>
          <t>DALARNAS LÄN</t>
        </is>
      </c>
      <c r="G4444" t="inlineStr">
        <is>
          <t>FALUN</t>
        </is>
      </c>
      <c r="I4444" t="n">
        <v>1.6</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64094-2023</t>
        </is>
      </c>
      <c r="B4445" t="inlineStr">
        <is>
          <t>avverkningsanmälan</t>
        </is>
      </c>
      <c r="C4445" t="inlineStr">
        <is>
          <t>Föryngringsavverkning</t>
        </is>
      </c>
      <c r="D4445" s="1" t="n">
        <v>45279</v>
      </c>
      <c r="E4445" s="1" t="n">
        <v>46319</v>
      </c>
      <c r="F4445" t="inlineStr">
        <is>
          <t>DALARNAS LÄN</t>
        </is>
      </c>
      <c r="G4445" t="inlineStr">
        <is>
          <t>RÄTTVIK</t>
        </is>
      </c>
      <c r="I4445" t="n">
        <v>4.1</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24862-2024</t>
        </is>
      </c>
      <c r="B4446" t="inlineStr">
        <is>
          <t>avverkningsanmälan</t>
        </is>
      </c>
      <c r="C4446" t="inlineStr">
        <is>
          <t>Föryngringsavverkning</t>
        </is>
      </c>
      <c r="D4446" s="1" t="n">
        <v>45461</v>
      </c>
      <c r="E4446" s="1" t="n">
        <v>46319</v>
      </c>
      <c r="F4446" t="inlineStr">
        <is>
          <t>DALARNAS LÄN</t>
        </is>
      </c>
      <c r="G4446" t="inlineStr">
        <is>
          <t>GAGNEF</t>
        </is>
      </c>
      <c r="I4446" t="n">
        <v>2.3</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21895-2025</t>
        </is>
      </c>
      <c r="B4447" t="inlineStr">
        <is>
          <t>avverkningsanmälan</t>
        </is>
      </c>
      <c r="C4447" t="inlineStr">
        <is>
          <t>Föryngringsavverkning</t>
        </is>
      </c>
      <c r="D4447" s="1" t="n">
        <v>45784</v>
      </c>
      <c r="E4447" s="1" t="n">
        <v>46319</v>
      </c>
      <c r="F4447" t="inlineStr">
        <is>
          <t>DALARNAS LÄN</t>
        </is>
      </c>
      <c r="G4447" t="inlineStr">
        <is>
          <t>MORA</t>
        </is>
      </c>
      <c r="I4447" t="n">
        <v>0.4</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6210-2024</t>
        </is>
      </c>
      <c r="B4448" t="inlineStr">
        <is>
          <t>avverkningsanmälan</t>
        </is>
      </c>
      <c r="C4448" t="inlineStr">
        <is>
          <t>Föryngringsavverkning</t>
        </is>
      </c>
      <c r="D4448" s="1" t="n">
        <v>45337</v>
      </c>
      <c r="E4448" s="1" t="n">
        <v>46319</v>
      </c>
      <c r="F4448" t="inlineStr">
        <is>
          <t>DALARNAS LÄN</t>
        </is>
      </c>
      <c r="G4448" t="inlineStr">
        <is>
          <t>HEDEMORA</t>
        </is>
      </c>
      <c r="I4448" t="n">
        <v>2.6</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62310-2025</t>
        </is>
      </c>
      <c r="B4449" t="inlineStr">
        <is>
          <t>avverkningsanmälan</t>
        </is>
      </c>
      <c r="C4449" t="inlineStr">
        <is>
          <t>Föryngringsavverkning</t>
        </is>
      </c>
      <c r="D4449" s="1" t="n">
        <v>46006</v>
      </c>
      <c r="E4449" s="1" t="n">
        <v>46319</v>
      </c>
      <c r="F4449" t="inlineStr">
        <is>
          <t>DALARNAS LÄN</t>
        </is>
      </c>
      <c r="G4449" t="inlineStr">
        <is>
          <t>MALUNG-SÄLEN</t>
        </is>
      </c>
      <c r="I4449" t="n">
        <v>1.3</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31700-2026</t>
        </is>
      </c>
      <c r="B4450" t="inlineStr">
        <is>
          <t>avverkningsanmälan</t>
        </is>
      </c>
      <c r="C4450" t="inlineStr">
        <is>
          <t>Föryngringsavverkning</t>
        </is>
      </c>
      <c r="D4450" s="1" t="n">
        <v>46226</v>
      </c>
      <c r="E4450" s="1" t="n">
        <v>46319</v>
      </c>
      <c r="F4450" t="inlineStr">
        <is>
          <t>DALARNAS LÄN</t>
        </is>
      </c>
      <c r="G4450" t="inlineStr">
        <is>
          <t>MALUNG-SÄLEN</t>
        </is>
      </c>
      <c r="I4450" t="n">
        <v>3.9</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61820-2025</t>
        </is>
      </c>
      <c r="B4451" t="inlineStr">
        <is>
          <t>avverkningsanmälan</t>
        </is>
      </c>
      <c r="C4451" t="inlineStr">
        <is>
          <t>Föryngringsavverkning</t>
        </is>
      </c>
      <c r="D4451" s="1" t="n">
        <v>46003</v>
      </c>
      <c r="E4451" s="1" t="n">
        <v>46319</v>
      </c>
      <c r="F4451" t="inlineStr">
        <is>
          <t>DALARNAS LÄN</t>
        </is>
      </c>
      <c r="G4451" t="inlineStr">
        <is>
          <t>RÄTTVIK</t>
        </is>
      </c>
      <c r="I4451" t="n">
        <v>2.4</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3191-2026</t>
        </is>
      </c>
      <c r="B4452" t="inlineStr">
        <is>
          <t>avverkningsanmälan</t>
        </is>
      </c>
      <c r="C4452" t="inlineStr">
        <is>
          <t>Föryngringsavverkning</t>
        </is>
      </c>
      <c r="D4452" s="1" t="n">
        <v>46041</v>
      </c>
      <c r="E4452" s="1" t="n">
        <v>46319</v>
      </c>
      <c r="F4452" t="inlineStr">
        <is>
          <t>DALARNAS LÄN</t>
        </is>
      </c>
      <c r="G4452" t="inlineStr">
        <is>
          <t>ÄLVDALEN</t>
        </is>
      </c>
      <c r="I4452" t="n">
        <v>3.2</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23916-2026</t>
        </is>
      </c>
      <c r="B4453" t="inlineStr">
        <is>
          <t>avverkningsanmälan</t>
        </is>
      </c>
      <c r="C4453" t="inlineStr">
        <is>
          <t>Föryngringsavverkning</t>
        </is>
      </c>
      <c r="D4453" s="1" t="n">
        <v>46167</v>
      </c>
      <c r="E4453" s="1" t="n">
        <v>46319</v>
      </c>
      <c r="F4453" t="inlineStr">
        <is>
          <t>DALARNAS LÄN</t>
        </is>
      </c>
      <c r="G4453" t="inlineStr">
        <is>
          <t>LEKSAND</t>
        </is>
      </c>
      <c r="H4453" t="inlineStr">
        <is>
          <t>Bergvik skog väst AB</t>
        </is>
      </c>
      <c r="I4453" t="n">
        <v>6.4</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61866-2025</t>
        </is>
      </c>
      <c r="B4454" t="inlineStr">
        <is>
          <t>avverkningsanmälan</t>
        </is>
      </c>
      <c r="C4454" t="inlineStr">
        <is>
          <t>Föryngringsavverkning</t>
        </is>
      </c>
      <c r="D4454" s="1" t="n">
        <v>46003</v>
      </c>
      <c r="E4454" s="1" t="n">
        <v>46319</v>
      </c>
      <c r="F4454" t="inlineStr">
        <is>
          <t>DALARNAS LÄN</t>
        </is>
      </c>
      <c r="G4454" t="inlineStr">
        <is>
          <t>MALUNG-SÄLEN</t>
        </is>
      </c>
      <c r="H4454" t="inlineStr">
        <is>
          <t>Bergvik skog öst AB</t>
        </is>
      </c>
      <c r="I4454" t="n">
        <v>0.8</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31859-2026</t>
        </is>
      </c>
      <c r="B4455" t="inlineStr">
        <is>
          <t>avverkningsanmälan</t>
        </is>
      </c>
      <c r="C4455" t="inlineStr">
        <is>
          <t>Föryngringsavverkning</t>
        </is>
      </c>
      <c r="D4455" s="1" t="n">
        <v>46230</v>
      </c>
      <c r="E4455" s="1" t="n">
        <v>46319</v>
      </c>
      <c r="F4455" t="inlineStr">
        <is>
          <t>DALARNAS LÄN</t>
        </is>
      </c>
      <c r="G4455" t="inlineStr">
        <is>
          <t>FALUN</t>
        </is>
      </c>
      <c r="I4455" t="n">
        <v>1.8</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31867-2026</t>
        </is>
      </c>
      <c r="B4456" t="inlineStr">
        <is>
          <t>avverkningsanmälan</t>
        </is>
      </c>
      <c r="C4456" t="inlineStr">
        <is>
          <t>Föryngringsavverkning</t>
        </is>
      </c>
      <c r="D4456" s="1" t="n">
        <v>46231</v>
      </c>
      <c r="E4456" s="1" t="n">
        <v>46319</v>
      </c>
      <c r="F4456" t="inlineStr">
        <is>
          <t>DALARNAS LÄN</t>
        </is>
      </c>
      <c r="G4456" t="inlineStr">
        <is>
          <t>VANSBRO</t>
        </is>
      </c>
      <c r="H4456" t="inlineStr">
        <is>
          <t>Bergvik skog väst AB</t>
        </is>
      </c>
      <c r="I4456" t="n">
        <v>20.2</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21891-2025</t>
        </is>
      </c>
      <c r="B4457" t="inlineStr">
        <is>
          <t>avverkningsanmälan</t>
        </is>
      </c>
      <c r="C4457" t="inlineStr">
        <is>
          <t>Föryngringsavverkning</t>
        </is>
      </c>
      <c r="D4457" s="1" t="n">
        <v>45784</v>
      </c>
      <c r="E4457" s="1" t="n">
        <v>46319</v>
      </c>
      <c r="F4457" t="inlineStr">
        <is>
          <t>DALARNAS LÄN</t>
        </is>
      </c>
      <c r="G4457" t="inlineStr">
        <is>
          <t>LUDVIKA</t>
        </is>
      </c>
      <c r="I4457" t="n">
        <v>1.1</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21629-2025</t>
        </is>
      </c>
      <c r="B4458" t="inlineStr">
        <is>
          <t>avverkningsanmälan</t>
        </is>
      </c>
      <c r="C4458" t="inlineStr">
        <is>
          <t>Föryngringsavverkning</t>
        </is>
      </c>
      <c r="D4458" s="1" t="n">
        <v>45783</v>
      </c>
      <c r="E4458" s="1" t="n">
        <v>46319</v>
      </c>
      <c r="F4458" t="inlineStr">
        <is>
          <t>DALARNAS LÄN</t>
        </is>
      </c>
      <c r="G4458" t="inlineStr">
        <is>
          <t>ÄLVDALEN</t>
        </is>
      </c>
      <c r="I4458" t="n">
        <v>1.8</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15790-2024</t>
        </is>
      </c>
      <c r="B4459" t="inlineStr">
        <is>
          <t>avverkningsanmälan</t>
        </is>
      </c>
      <c r="C4459" t="inlineStr">
        <is>
          <t>Föryngringsavverkning</t>
        </is>
      </c>
      <c r="D4459" s="1" t="n">
        <v>45404</v>
      </c>
      <c r="E4459" s="1" t="n">
        <v>46319</v>
      </c>
      <c r="F4459" t="inlineStr">
        <is>
          <t>DALARNAS LÄN</t>
        </is>
      </c>
      <c r="G4459" t="inlineStr">
        <is>
          <t>FALUN</t>
        </is>
      </c>
      <c r="I4459" t="n">
        <v>3.7</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31883-2026</t>
        </is>
      </c>
      <c r="B4460" t="inlineStr">
        <is>
          <t>avverkningsanmälan</t>
        </is>
      </c>
      <c r="C4460" t="inlineStr">
        <is>
          <t>Föryngringsavverkning</t>
        </is>
      </c>
      <c r="D4460" s="1" t="n">
        <v>46231</v>
      </c>
      <c r="E4460" s="1" t="n">
        <v>46319</v>
      </c>
      <c r="F4460" t="inlineStr">
        <is>
          <t>DALARNAS LÄN</t>
        </is>
      </c>
      <c r="G4460" t="inlineStr">
        <is>
          <t>MALUNG-SÄLEN</t>
        </is>
      </c>
      <c r="H4460" t="inlineStr">
        <is>
          <t>Allmännings- och besparingsskogar</t>
        </is>
      </c>
      <c r="I4460" t="n">
        <v>6.5</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61924-2025</t>
        </is>
      </c>
      <c r="B4461" t="inlineStr">
        <is>
          <t>avverkningsanmälan</t>
        </is>
      </c>
      <c r="C4461" t="inlineStr">
        <is>
          <t>Föryngringsavverkning</t>
        </is>
      </c>
      <c r="D4461" s="1" t="n">
        <v>46003</v>
      </c>
      <c r="E4461" s="1" t="n">
        <v>46319</v>
      </c>
      <c r="F4461" t="inlineStr">
        <is>
          <t>DALARNAS LÄN</t>
        </is>
      </c>
      <c r="G4461" t="inlineStr">
        <is>
          <t>MALUNG-SÄLEN</t>
        </is>
      </c>
      <c r="I4461" t="n">
        <v>2.5</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31390-2024</t>
        </is>
      </c>
      <c r="B4462" t="inlineStr">
        <is>
          <t>avverkningsanmälan</t>
        </is>
      </c>
      <c r="C4462" t="inlineStr">
        <is>
          <t>Föryngringsavverkning</t>
        </is>
      </c>
      <c r="D4462" s="1" t="n">
        <v>45505</v>
      </c>
      <c r="E4462" s="1" t="n">
        <v>46319</v>
      </c>
      <c r="F4462" t="inlineStr">
        <is>
          <t>DALARNAS LÄN</t>
        </is>
      </c>
      <c r="G4462" t="inlineStr">
        <is>
          <t>RÄTTVIK</t>
        </is>
      </c>
      <c r="I4462" t="n">
        <v>5.8</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61973-2025</t>
        </is>
      </c>
      <c r="B4463" t="inlineStr">
        <is>
          <t>avverkningsanmälan</t>
        </is>
      </c>
      <c r="C4463" t="inlineStr">
        <is>
          <t>Föryngringsavverkning</t>
        </is>
      </c>
      <c r="D4463" s="1" t="n">
        <v>46003</v>
      </c>
      <c r="E4463" s="1" t="n">
        <v>46319</v>
      </c>
      <c r="F4463" t="inlineStr">
        <is>
          <t>DALARNAS LÄN</t>
        </is>
      </c>
      <c r="G4463" t="inlineStr">
        <is>
          <t>ÄLVDALEN</t>
        </is>
      </c>
      <c r="I4463" t="n">
        <v>1.7</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25581-2026</t>
        </is>
      </c>
      <c r="B4464" t="inlineStr">
        <is>
          <t>avverkningsanmälan</t>
        </is>
      </c>
      <c r="C4464" t="inlineStr">
        <is>
          <t>Föryngringsavverkning</t>
        </is>
      </c>
      <c r="D4464" s="1" t="n">
        <v>46177</v>
      </c>
      <c r="E4464" s="1" t="n">
        <v>46319</v>
      </c>
      <c r="F4464" t="inlineStr">
        <is>
          <t>DALARNAS LÄN</t>
        </is>
      </c>
      <c r="G4464" t="inlineStr">
        <is>
          <t>LEKSAND</t>
        </is>
      </c>
      <c r="H4464" t="inlineStr">
        <is>
          <t>Bergvik skog väst AB</t>
        </is>
      </c>
      <c r="I4464" t="n">
        <v>2.4</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31910-2026</t>
        </is>
      </c>
      <c r="B4465" t="inlineStr">
        <is>
          <t>avverkningsanmälan</t>
        </is>
      </c>
      <c r="C4465" t="inlineStr">
        <is>
          <t>Föryngringsavverkning</t>
        </is>
      </c>
      <c r="D4465" s="1" t="n">
        <v>46231</v>
      </c>
      <c r="E4465" s="1" t="n">
        <v>46319</v>
      </c>
      <c r="F4465" t="inlineStr">
        <is>
          <t>DALARNAS LÄN</t>
        </is>
      </c>
      <c r="G4465" t="inlineStr">
        <is>
          <t>ÄLVDALEN</t>
        </is>
      </c>
      <c r="H4465" t="inlineStr">
        <is>
          <t>Bergvik skog väst AB</t>
        </is>
      </c>
      <c r="I4465" t="n">
        <v>7.6</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30430-2023</t>
        </is>
      </c>
      <c r="B4466" t="inlineStr">
        <is>
          <t>avverkningsanmälan</t>
        </is>
      </c>
      <c r="C4466" t="inlineStr">
        <is>
          <t>Föryngringsavverkning</t>
        </is>
      </c>
      <c r="D4466" s="1" t="n">
        <v>45111</v>
      </c>
      <c r="E4466" s="1" t="n">
        <v>46319</v>
      </c>
      <c r="F4466" t="inlineStr">
        <is>
          <t>DALARNAS LÄN</t>
        </is>
      </c>
      <c r="G4466" t="inlineStr">
        <is>
          <t>HEDEMORA</t>
        </is>
      </c>
      <c r="H4466" t="inlineStr">
        <is>
          <t>Sveaskog</t>
        </is>
      </c>
      <c r="I4466" t="n">
        <v>1.7</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879-2024</t>
        </is>
      </c>
      <c r="B4467" t="inlineStr">
        <is>
          <t>avverkningsanmälan</t>
        </is>
      </c>
      <c r="C4467" t="inlineStr">
        <is>
          <t>Föryngringsavverkning</t>
        </is>
      </c>
      <c r="D4467" s="1" t="n">
        <v>45301</v>
      </c>
      <c r="E4467" s="1" t="n">
        <v>46319</v>
      </c>
      <c r="F4467" t="inlineStr">
        <is>
          <t>DALARNAS LÄN</t>
        </is>
      </c>
      <c r="G4467" t="inlineStr">
        <is>
          <t>ORSA</t>
        </is>
      </c>
      <c r="I4467" t="n">
        <v>2.1</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46481-2025</t>
        </is>
      </c>
      <c r="B4468" t="inlineStr">
        <is>
          <t>avverkningsanmälan</t>
        </is>
      </c>
      <c r="C4468" t="inlineStr">
        <is>
          <t>Föryngringsavverkning</t>
        </is>
      </c>
      <c r="D4468" s="1" t="n">
        <v>45925</v>
      </c>
      <c r="E4468" s="1" t="n">
        <v>46319</v>
      </c>
      <c r="F4468" t="inlineStr">
        <is>
          <t>DALARNAS LÄN</t>
        </is>
      </c>
      <c r="G4468" t="inlineStr">
        <is>
          <t>RÄTTVIK</t>
        </is>
      </c>
      <c r="H4468" t="inlineStr">
        <is>
          <t>Sveaskog</t>
        </is>
      </c>
      <c r="I4468" t="n">
        <v>2.9</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11872-2024</t>
        </is>
      </c>
      <c r="B4469" t="inlineStr">
        <is>
          <t>avverkningsanmälan</t>
        </is>
      </c>
      <c r="C4469" t="inlineStr">
        <is>
          <t>Föryngringsavverkning</t>
        </is>
      </c>
      <c r="D4469" s="1" t="n">
        <v>45376</v>
      </c>
      <c r="E4469" s="1" t="n">
        <v>46319</v>
      </c>
      <c r="F4469" t="inlineStr">
        <is>
          <t>DALARNAS LÄN</t>
        </is>
      </c>
      <c r="G4469" t="inlineStr">
        <is>
          <t>LEKSAND</t>
        </is>
      </c>
      <c r="I4469" t="n">
        <v>3.1</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21613-2025</t>
        </is>
      </c>
      <c r="B4470" t="inlineStr">
        <is>
          <t>avverkningsanmälan</t>
        </is>
      </c>
      <c r="C4470" t="inlineStr">
        <is>
          <t>Föryngringsavverkning</t>
        </is>
      </c>
      <c r="D4470" s="1" t="n">
        <v>45783</v>
      </c>
      <c r="E4470" s="1" t="n">
        <v>46319</v>
      </c>
      <c r="F4470" t="inlineStr">
        <is>
          <t>DALARNAS LÄN</t>
        </is>
      </c>
      <c r="G4470" t="inlineStr">
        <is>
          <t>ÄLVDALEN</t>
        </is>
      </c>
      <c r="I4470" t="n">
        <v>3.4</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62619-2025</t>
        </is>
      </c>
      <c r="B4471" t="inlineStr">
        <is>
          <t>avverkningsanmälan</t>
        </is>
      </c>
      <c r="C4471" t="inlineStr">
        <is>
          <t>Föryngringsavverkning</t>
        </is>
      </c>
      <c r="D4471" s="1" t="n">
        <v>46008</v>
      </c>
      <c r="E4471" s="1" t="n">
        <v>46319</v>
      </c>
      <c r="F4471" t="inlineStr">
        <is>
          <t>DALARNAS LÄN</t>
        </is>
      </c>
      <c r="G4471" t="inlineStr">
        <is>
          <t>MORA</t>
        </is>
      </c>
      <c r="I4471" t="n">
        <v>3.3</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31776-2026</t>
        </is>
      </c>
      <c r="B4472" t="inlineStr">
        <is>
          <t>avverkningsanmälan</t>
        </is>
      </c>
      <c r="C4472" t="inlineStr">
        <is>
          <t>Föryngringsavverkning</t>
        </is>
      </c>
      <c r="D4472" s="1" t="n">
        <v>46230</v>
      </c>
      <c r="E4472" s="1" t="n">
        <v>46319</v>
      </c>
      <c r="F4472" t="inlineStr">
        <is>
          <t>DALARNAS LÄN</t>
        </is>
      </c>
      <c r="G4472" t="inlineStr">
        <is>
          <t>LUDVIKA</t>
        </is>
      </c>
      <c r="H4472" t="inlineStr">
        <is>
          <t>Bergvik skog väst AB</t>
        </is>
      </c>
      <c r="I4472" t="n">
        <v>3.1</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29288-2024</t>
        </is>
      </c>
      <c r="B4473" t="inlineStr">
        <is>
          <t>avverkningsanmälan</t>
        </is>
      </c>
      <c r="C4473" t="inlineStr">
        <is>
          <t>Föryngringsavverkning</t>
        </is>
      </c>
      <c r="D4473" s="1" t="n">
        <v>45483</v>
      </c>
      <c r="E4473" s="1" t="n">
        <v>46319</v>
      </c>
      <c r="F4473" t="inlineStr">
        <is>
          <t>DALARNAS LÄN</t>
        </is>
      </c>
      <c r="G4473" t="inlineStr">
        <is>
          <t>VANSBRO</t>
        </is>
      </c>
      <c r="I4473" t="n">
        <v>2</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34519-2024</t>
        </is>
      </c>
      <c r="B4474" t="inlineStr">
        <is>
          <t>avverkningsanmälan</t>
        </is>
      </c>
      <c r="C4474" t="inlineStr">
        <is>
          <t>Föryngringsavverkning</t>
        </is>
      </c>
      <c r="D4474" s="1" t="n">
        <v>45525</v>
      </c>
      <c r="E4474" s="1" t="n">
        <v>46319</v>
      </c>
      <c r="F4474" t="inlineStr">
        <is>
          <t>DALARNAS LÄN</t>
        </is>
      </c>
      <c r="G4474" t="inlineStr">
        <is>
          <t>MALUNG-SÄLEN</t>
        </is>
      </c>
      <c r="I4474" t="n">
        <v>1.1</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62799-2025</t>
        </is>
      </c>
      <c r="B4475" t="inlineStr">
        <is>
          <t>avverkningsanmälan</t>
        </is>
      </c>
      <c r="C4475" t="inlineStr">
        <is>
          <t>Avverkning för annat ändamål</t>
        </is>
      </c>
      <c r="D4475" s="1" t="n">
        <v>46008</v>
      </c>
      <c r="E4475" s="1" t="n">
        <v>46319</v>
      </c>
      <c r="F4475" t="inlineStr">
        <is>
          <t>DALARNAS LÄN</t>
        </is>
      </c>
      <c r="G4475" t="inlineStr">
        <is>
          <t>MALUNG-SÄLEN</t>
        </is>
      </c>
      <c r="H4475" t="inlineStr">
        <is>
          <t>Allmännings- och besparingsskogar</t>
        </is>
      </c>
      <c r="I4475" t="n">
        <v>1</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24113-2026</t>
        </is>
      </c>
      <c r="B4476" t="inlineStr">
        <is>
          <t>avverkningsanmälan</t>
        </is>
      </c>
      <c r="C4476" t="inlineStr">
        <is>
          <t>Föryngringsavverkning</t>
        </is>
      </c>
      <c r="D4476" s="1" t="n">
        <v>46168</v>
      </c>
      <c r="E4476" s="1" t="n">
        <v>46319</v>
      </c>
      <c r="F4476" t="inlineStr">
        <is>
          <t>DALARNAS LÄN</t>
        </is>
      </c>
      <c r="G4476" t="inlineStr">
        <is>
          <t>AVESTA</t>
        </is>
      </c>
      <c r="I4476" t="n">
        <v>8.800000000000001</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21893-2025</t>
        </is>
      </c>
      <c r="B4477" t="inlineStr">
        <is>
          <t>avverkningsanmälan</t>
        </is>
      </c>
      <c r="C4477" t="inlineStr">
        <is>
          <t>Föryngringsavverkning</t>
        </is>
      </c>
      <c r="D4477" s="1" t="n">
        <v>45784</v>
      </c>
      <c r="E4477" s="1" t="n">
        <v>46319</v>
      </c>
      <c r="F4477" t="inlineStr">
        <is>
          <t>DALARNAS LÄN</t>
        </is>
      </c>
      <c r="G4477" t="inlineStr">
        <is>
          <t>LUDVIKA</t>
        </is>
      </c>
      <c r="I4477" t="n">
        <v>1.4</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38359-2024</t>
        </is>
      </c>
      <c r="B4478" t="inlineStr">
        <is>
          <t>avverkningsanmälan</t>
        </is>
      </c>
      <c r="C4478" t="inlineStr">
        <is>
          <t>Föryngringsavverkning</t>
        </is>
      </c>
      <c r="D4478" s="1" t="n">
        <v>45545</v>
      </c>
      <c r="E4478" s="1" t="n">
        <v>46319</v>
      </c>
      <c r="F4478" t="inlineStr">
        <is>
          <t>DALARNAS LÄN</t>
        </is>
      </c>
      <c r="G4478" t="inlineStr">
        <is>
          <t>LUDVIKA</t>
        </is>
      </c>
      <c r="I4478" t="n">
        <v>2.4</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43755-2023</t>
        </is>
      </c>
      <c r="B4479" t="inlineStr">
        <is>
          <t>avverkningsanmälan</t>
        </is>
      </c>
      <c r="C4479" t="inlineStr">
        <is>
          <t>Föryngringsavverkning</t>
        </is>
      </c>
      <c r="D4479" s="1" t="n">
        <v>45187</v>
      </c>
      <c r="E4479" s="1" t="n">
        <v>46319</v>
      </c>
      <c r="F4479" t="inlineStr">
        <is>
          <t>DALARNAS LÄN</t>
        </is>
      </c>
      <c r="G4479" t="inlineStr">
        <is>
          <t>FALUN</t>
        </is>
      </c>
      <c r="I4479" t="n">
        <v>3.8</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17710-2023</t>
        </is>
      </c>
      <c r="B4480" t="inlineStr">
        <is>
          <t>avverkningsanmälan</t>
        </is>
      </c>
      <c r="C4480" t="inlineStr">
        <is>
          <t>Föryngringsavverkning</t>
        </is>
      </c>
      <c r="D4480" s="1" t="n">
        <v>45037</v>
      </c>
      <c r="E4480" s="1" t="n">
        <v>46319</v>
      </c>
      <c r="F4480" t="inlineStr">
        <is>
          <t>DALARNAS LÄN</t>
        </is>
      </c>
      <c r="G4480" t="inlineStr">
        <is>
          <t>GAGNEF</t>
        </is>
      </c>
      <c r="I4480" t="n">
        <v>10.7</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30210-2026</t>
        </is>
      </c>
      <c r="B4481" t="inlineStr">
        <is>
          <t>avverkningsanmälan</t>
        </is>
      </c>
      <c r="C4481" t="inlineStr">
        <is>
          <t>Föryngringsavverkning</t>
        </is>
      </c>
      <c r="D4481" s="1" t="n">
        <v>46206</v>
      </c>
      <c r="E4481" s="1" t="n">
        <v>46319</v>
      </c>
      <c r="F4481" t="inlineStr">
        <is>
          <t>DALARNAS LÄN</t>
        </is>
      </c>
      <c r="G4481" t="inlineStr">
        <is>
          <t>LUDVIKA</t>
        </is>
      </c>
      <c r="H4481" t="inlineStr">
        <is>
          <t>Naturvårdsverket</t>
        </is>
      </c>
      <c r="I4481" t="n">
        <v>1.4</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29217-2024</t>
        </is>
      </c>
      <c r="B4482" t="inlineStr">
        <is>
          <t>avverkningsanmälan</t>
        </is>
      </c>
      <c r="C4482" t="inlineStr">
        <is>
          <t>Föryngringsavverkning</t>
        </is>
      </c>
      <c r="D4482" s="1" t="n">
        <v>45482</v>
      </c>
      <c r="E4482" s="1" t="n">
        <v>46319</v>
      </c>
      <c r="F4482" t="inlineStr">
        <is>
          <t>DALARNAS LÄN</t>
        </is>
      </c>
      <c r="G4482" t="inlineStr">
        <is>
          <t>MALUNG-SÄLEN</t>
        </is>
      </c>
      <c r="H4482" t="inlineStr">
        <is>
          <t>Kommuner</t>
        </is>
      </c>
      <c r="I4482" t="n">
        <v>1.5</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31778-2026</t>
        </is>
      </c>
      <c r="B4483" t="inlineStr">
        <is>
          <t>avverkningsanmälan</t>
        </is>
      </c>
      <c r="C4483" t="inlineStr">
        <is>
          <t>Föryngringsavverkning</t>
        </is>
      </c>
      <c r="D4483" s="1" t="n">
        <v>46230</v>
      </c>
      <c r="E4483" s="1" t="n">
        <v>46319</v>
      </c>
      <c r="F4483" t="inlineStr">
        <is>
          <t>DALARNAS LÄN</t>
        </is>
      </c>
      <c r="G4483" t="inlineStr">
        <is>
          <t>LUDVIKA</t>
        </is>
      </c>
      <c r="H4483" t="inlineStr">
        <is>
          <t>Bergvik skog väst AB</t>
        </is>
      </c>
      <c r="I4483" t="n">
        <v>3.6</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62561-2025</t>
        </is>
      </c>
      <c r="B4484" t="inlineStr">
        <is>
          <t>avverkningsanmälan</t>
        </is>
      </c>
      <c r="C4484" t="inlineStr">
        <is>
          <t>Föryngringsavverkning</t>
        </is>
      </c>
      <c r="D4484" s="1" t="n">
        <v>46007</v>
      </c>
      <c r="E4484" s="1" t="n">
        <v>46319</v>
      </c>
      <c r="F4484" t="inlineStr">
        <is>
          <t>DALARNAS LÄN</t>
        </is>
      </c>
      <c r="G4484" t="inlineStr">
        <is>
          <t>LUDVIKA</t>
        </is>
      </c>
      <c r="H4484" t="inlineStr">
        <is>
          <t>Bergvik skog väst AB</t>
        </is>
      </c>
      <c r="I4484" t="n">
        <v>1.9</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40627-2023</t>
        </is>
      </c>
      <c r="B4485" t="inlineStr">
        <is>
          <t>avverkningsanmälan</t>
        </is>
      </c>
      <c r="C4485" t="inlineStr">
        <is>
          <t>Föryngringsavverkning</t>
        </is>
      </c>
      <c r="D4485" s="1" t="n">
        <v>45170</v>
      </c>
      <c r="E4485" s="1" t="n">
        <v>46319</v>
      </c>
      <c r="F4485" t="inlineStr">
        <is>
          <t>DALARNAS LÄN</t>
        </is>
      </c>
      <c r="G4485" t="inlineStr">
        <is>
          <t>LEKSAND</t>
        </is>
      </c>
      <c r="H4485" t="inlineStr">
        <is>
          <t>Bergvik skog väst AB</t>
        </is>
      </c>
      <c r="I4485" t="n">
        <v>3.3</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41471-2023</t>
        </is>
      </c>
      <c r="B4486" t="inlineStr">
        <is>
          <t>avverkningsanmälan</t>
        </is>
      </c>
      <c r="C4486" t="inlineStr">
        <is>
          <t>Föryngringsavverkning</t>
        </is>
      </c>
      <c r="D4486" s="1" t="n">
        <v>45171</v>
      </c>
      <c r="E4486" s="1" t="n">
        <v>46319</v>
      </c>
      <c r="F4486" t="inlineStr">
        <is>
          <t>DALARNAS LÄN</t>
        </is>
      </c>
      <c r="G4486" t="inlineStr">
        <is>
          <t>SÄTER</t>
        </is>
      </c>
      <c r="H4486" t="inlineStr">
        <is>
          <t>Bergvik skog väst AB</t>
        </is>
      </c>
      <c r="I4486" t="n">
        <v>5.6</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25523-2026</t>
        </is>
      </c>
      <c r="B4487" t="inlineStr">
        <is>
          <t>avverkningsanmälan</t>
        </is>
      </c>
      <c r="C4487" t="inlineStr">
        <is>
          <t>Föryngringsavverkning</t>
        </is>
      </c>
      <c r="D4487" s="1" t="n">
        <v>46177</v>
      </c>
      <c r="E4487" s="1" t="n">
        <v>46319</v>
      </c>
      <c r="F4487" t="inlineStr">
        <is>
          <t>DALARNAS LÄN</t>
        </is>
      </c>
      <c r="G4487" t="inlineStr">
        <is>
          <t>LEKSAND</t>
        </is>
      </c>
      <c r="H4487" t="inlineStr">
        <is>
          <t>Bergvik skog väst AB</t>
        </is>
      </c>
      <c r="I4487" t="n">
        <v>3.3</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62704-2025</t>
        </is>
      </c>
      <c r="B4488" t="inlineStr">
        <is>
          <t>avverkningsanmälan</t>
        </is>
      </c>
      <c r="C4488" t="inlineStr">
        <is>
          <t>Föryngringsavverkning</t>
        </is>
      </c>
      <c r="D4488" s="1" t="n">
        <v>46008</v>
      </c>
      <c r="E4488" s="1" t="n">
        <v>46319</v>
      </c>
      <c r="F4488" t="inlineStr">
        <is>
          <t>DALARNAS LÄN</t>
        </is>
      </c>
      <c r="G4488" t="inlineStr">
        <is>
          <t>LUDVIKA</t>
        </is>
      </c>
      <c r="H4488" t="inlineStr">
        <is>
          <t>Bergvik skog väst AB</t>
        </is>
      </c>
      <c r="I4488" t="n">
        <v>0.5</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21165-2024</t>
        </is>
      </c>
      <c r="B4489" t="inlineStr">
        <is>
          <t>avverkningsanmälan</t>
        </is>
      </c>
      <c r="C4489" t="inlineStr">
        <is>
          <t>Föryngringsavverkning</t>
        </is>
      </c>
      <c r="D4489" s="1" t="n">
        <v>45440</v>
      </c>
      <c r="E4489" s="1" t="n">
        <v>46319</v>
      </c>
      <c r="F4489" t="inlineStr">
        <is>
          <t>DALARNAS LÄN</t>
        </is>
      </c>
      <c r="G4489" t="inlineStr">
        <is>
          <t>ORSA</t>
        </is>
      </c>
      <c r="H4489" t="inlineStr">
        <is>
          <t>Bergvik skog öst AB</t>
        </is>
      </c>
      <c r="I4489" t="n">
        <v>1.3</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41835-2024</t>
        </is>
      </c>
      <c r="B4490" t="inlineStr">
        <is>
          <t>avverkningsanmälan</t>
        </is>
      </c>
      <c r="C4490" t="inlineStr">
        <is>
          <t>Föryngringsavverkning</t>
        </is>
      </c>
      <c r="D4490" s="1" t="n">
        <v>45561</v>
      </c>
      <c r="E4490" s="1" t="n">
        <v>46319</v>
      </c>
      <c r="F4490" t="inlineStr">
        <is>
          <t>DALARNAS LÄN</t>
        </is>
      </c>
      <c r="G4490" t="inlineStr">
        <is>
          <t>ORSA</t>
        </is>
      </c>
      <c r="I4490" t="n">
        <v>0.7</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62358-2025</t>
        </is>
      </c>
      <c r="B4491" t="inlineStr">
        <is>
          <t>avverkningsanmälan</t>
        </is>
      </c>
      <c r="C4491" t="inlineStr">
        <is>
          <t>Föryngringsavverkning</t>
        </is>
      </c>
      <c r="D4491" s="1" t="n">
        <v>46007</v>
      </c>
      <c r="E4491" s="1" t="n">
        <v>46319</v>
      </c>
      <c r="F4491" t="inlineStr">
        <is>
          <t>DALARNAS LÄN</t>
        </is>
      </c>
      <c r="G4491" t="inlineStr">
        <is>
          <t>FALUN</t>
        </is>
      </c>
      <c r="I4491" t="n">
        <v>0.8</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62367-2025</t>
        </is>
      </c>
      <c r="B4492" t="inlineStr">
        <is>
          <t>avverkningsanmälan</t>
        </is>
      </c>
      <c r="C4492" t="inlineStr">
        <is>
          <t>Föryngringsavverkning</t>
        </is>
      </c>
      <c r="D4492" s="1" t="n">
        <v>46007</v>
      </c>
      <c r="E4492" s="1" t="n">
        <v>46319</v>
      </c>
      <c r="F4492" t="inlineStr">
        <is>
          <t>DALARNAS LÄN</t>
        </is>
      </c>
      <c r="G4492" t="inlineStr">
        <is>
          <t>LUDVIKA</t>
        </is>
      </c>
      <c r="H4492" t="inlineStr">
        <is>
          <t>Bergvik skog väst AB</t>
        </is>
      </c>
      <c r="I4492" t="n">
        <v>2.7</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62626-2025</t>
        </is>
      </c>
      <c r="B4493" t="inlineStr">
        <is>
          <t>avverkningsanmälan</t>
        </is>
      </c>
      <c r="C4493" t="inlineStr">
        <is>
          <t>Föryngringsavverkning</t>
        </is>
      </c>
      <c r="D4493" s="1" t="n">
        <v>46008</v>
      </c>
      <c r="E4493" s="1" t="n">
        <v>46319</v>
      </c>
      <c r="F4493" t="inlineStr">
        <is>
          <t>DALARNAS LÄN</t>
        </is>
      </c>
      <c r="G4493" t="inlineStr">
        <is>
          <t>MORA</t>
        </is>
      </c>
      <c r="I4493" t="n">
        <v>6.7</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37061-2024</t>
        </is>
      </c>
      <c r="B4494" t="inlineStr">
        <is>
          <t>avverkningsanmälan</t>
        </is>
      </c>
      <c r="C4494" t="inlineStr">
        <is>
          <t>Föryngringsavverkning</t>
        </is>
      </c>
      <c r="D4494" s="1" t="n">
        <v>45539</v>
      </c>
      <c r="E4494" s="1" t="n">
        <v>46319</v>
      </c>
      <c r="F4494" t="inlineStr">
        <is>
          <t>DALARNAS LÄN</t>
        </is>
      </c>
      <c r="G4494" t="inlineStr">
        <is>
          <t>ÄLVDALEN</t>
        </is>
      </c>
      <c r="I4494" t="n">
        <v>0.8</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62842-2025</t>
        </is>
      </c>
      <c r="B4495" t="inlineStr">
        <is>
          <t>avverkningsanmälan</t>
        </is>
      </c>
      <c r="C4495" t="inlineStr">
        <is>
          <t>Föryngringsavverkning</t>
        </is>
      </c>
      <c r="D4495" s="1" t="n">
        <v>46008</v>
      </c>
      <c r="E4495" s="1" t="n">
        <v>46319</v>
      </c>
      <c r="F4495" t="inlineStr">
        <is>
          <t>DALARNAS LÄN</t>
        </is>
      </c>
      <c r="G4495" t="inlineStr">
        <is>
          <t>LUDVIKA</t>
        </is>
      </c>
      <c r="H4495" t="inlineStr">
        <is>
          <t>Bergvik skog väst AB</t>
        </is>
      </c>
      <c r="I4495" t="n">
        <v>1.6</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62830-2025</t>
        </is>
      </c>
      <c r="B4496" t="inlineStr">
        <is>
          <t>avverkningsanmälan</t>
        </is>
      </c>
      <c r="C4496" t="inlineStr">
        <is>
          <t>Föryngringsavverkning</t>
        </is>
      </c>
      <c r="D4496" s="1" t="n">
        <v>46008</v>
      </c>
      <c r="E4496" s="1" t="n">
        <v>46319</v>
      </c>
      <c r="F4496" t="inlineStr">
        <is>
          <t>DALARNAS LÄN</t>
        </is>
      </c>
      <c r="G4496" t="inlineStr">
        <is>
          <t>ORSA</t>
        </is>
      </c>
      <c r="I4496" t="n">
        <v>1.2</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54115-2024</t>
        </is>
      </c>
      <c r="B4497" t="inlineStr">
        <is>
          <t>avverkningsanmälan</t>
        </is>
      </c>
      <c r="C4497" t="inlineStr">
        <is>
          <t>Föryngringsavverkning</t>
        </is>
      </c>
      <c r="D4497" s="1" t="n">
        <v>45616</v>
      </c>
      <c r="E4497" s="1" t="n">
        <v>46319</v>
      </c>
      <c r="F4497" t="inlineStr">
        <is>
          <t>DALARNAS LÄN</t>
        </is>
      </c>
      <c r="G4497" t="inlineStr">
        <is>
          <t>RÄTTVIK</t>
        </is>
      </c>
      <c r="I4497" t="n">
        <v>9.300000000000001</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31844-2026</t>
        </is>
      </c>
      <c r="B4498" t="inlineStr">
        <is>
          <t>avverkningsanmälan</t>
        </is>
      </c>
      <c r="C4498" t="inlineStr">
        <is>
          <t>Föryngringsavverkning</t>
        </is>
      </c>
      <c r="D4498" s="1" t="n">
        <v>46230</v>
      </c>
      <c r="E4498" s="1" t="n">
        <v>46319</v>
      </c>
      <c r="F4498" t="inlineStr">
        <is>
          <t>DALARNAS LÄN</t>
        </is>
      </c>
      <c r="G4498" t="inlineStr">
        <is>
          <t>RÄTTVIK</t>
        </is>
      </c>
      <c r="I4498" t="n">
        <v>3.2</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62560-2025</t>
        </is>
      </c>
      <c r="B4499" t="inlineStr">
        <is>
          <t>avverkningsanmälan</t>
        </is>
      </c>
      <c r="C4499" t="inlineStr">
        <is>
          <t>Avverkning för annat ändamål</t>
        </is>
      </c>
      <c r="D4499" s="1" t="n">
        <v>46007</v>
      </c>
      <c r="E4499" s="1" t="n">
        <v>46319</v>
      </c>
      <c r="F4499" t="inlineStr">
        <is>
          <t>DALARNAS LÄN</t>
        </is>
      </c>
      <c r="G4499" t="inlineStr">
        <is>
          <t>LEKSAND</t>
        </is>
      </c>
      <c r="I4499" t="n">
        <v>1.3</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31858-2026</t>
        </is>
      </c>
      <c r="B4500" t="inlineStr">
        <is>
          <t>avverkningsanmälan</t>
        </is>
      </c>
      <c r="C4500" t="inlineStr">
        <is>
          <t>Föryngringsavverkning</t>
        </is>
      </c>
      <c r="D4500" s="1" t="n">
        <v>46230</v>
      </c>
      <c r="E4500" s="1" t="n">
        <v>46319</v>
      </c>
      <c r="F4500" t="inlineStr">
        <is>
          <t>DALARNAS LÄN</t>
        </is>
      </c>
      <c r="G4500" t="inlineStr">
        <is>
          <t>FALUN</t>
        </is>
      </c>
      <c r="I4500" t="n">
        <v>1.1</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31862-2026</t>
        </is>
      </c>
      <c r="B4501" t="inlineStr">
        <is>
          <t>avverkningsanmälan</t>
        </is>
      </c>
      <c r="C4501" t="inlineStr">
        <is>
          <t>Föryngringsavverkning</t>
        </is>
      </c>
      <c r="D4501" s="1" t="n">
        <v>46231</v>
      </c>
      <c r="E4501" s="1" t="n">
        <v>46319</v>
      </c>
      <c r="F4501" t="inlineStr">
        <is>
          <t>DALARNAS LÄN</t>
        </is>
      </c>
      <c r="G4501" t="inlineStr">
        <is>
          <t>ÄLVDALEN</t>
        </is>
      </c>
      <c r="H4501" t="inlineStr">
        <is>
          <t>Bergvik skog väst AB</t>
        </is>
      </c>
      <c r="I4501" t="n">
        <v>1.8</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45690-2025</t>
        </is>
      </c>
      <c r="B4502" t="inlineStr">
        <is>
          <t>avverkningsanmälan</t>
        </is>
      </c>
      <c r="C4502" t="inlineStr">
        <is>
          <t>Föryngringsavverkning</t>
        </is>
      </c>
      <c r="D4502" s="1" t="n">
        <v>45923</v>
      </c>
      <c r="E4502" s="1" t="n">
        <v>46319</v>
      </c>
      <c r="F4502" t="inlineStr">
        <is>
          <t>DALARNAS LÄN</t>
        </is>
      </c>
      <c r="G4502" t="inlineStr">
        <is>
          <t>FALUN</t>
        </is>
      </c>
      <c r="I4502" t="n">
        <v>1.9</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42315-2024</t>
        </is>
      </c>
      <c r="B4503" t="inlineStr">
        <is>
          <t>avverkningsanmälan</t>
        </is>
      </c>
      <c r="C4503" t="inlineStr">
        <is>
          <t>Föryngringsavverkning</t>
        </is>
      </c>
      <c r="D4503" s="1" t="n">
        <v>45562</v>
      </c>
      <c r="E4503" s="1" t="n">
        <v>46319</v>
      </c>
      <c r="F4503" t="inlineStr">
        <is>
          <t>DALARNAS LÄN</t>
        </is>
      </c>
      <c r="G4503" t="inlineStr">
        <is>
          <t>SMEDJEBACKEN</t>
        </is>
      </c>
      <c r="I4503" t="n">
        <v>5.7</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42510-2025</t>
        </is>
      </c>
      <c r="B4504" t="inlineStr">
        <is>
          <t>avverkningsanmälan</t>
        </is>
      </c>
      <c r="C4504" t="inlineStr">
        <is>
          <t>Föryngringsavverkning</t>
        </is>
      </c>
      <c r="D4504" s="1" t="n">
        <v>45905</v>
      </c>
      <c r="E4504" s="1" t="n">
        <v>46319</v>
      </c>
      <c r="F4504" t="inlineStr">
        <is>
          <t>DALARNAS LÄN</t>
        </is>
      </c>
      <c r="G4504" t="inlineStr">
        <is>
          <t>HEDEMORA</t>
        </is>
      </c>
      <c r="H4504" t="inlineStr">
        <is>
          <t>Sveaskog</t>
        </is>
      </c>
      <c r="I4504" t="n">
        <v>3.6</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10004-2023</t>
        </is>
      </c>
      <c r="B4505" t="inlineStr">
        <is>
          <t>avverkningsanmälan</t>
        </is>
      </c>
      <c r="C4505" t="inlineStr">
        <is>
          <t>Föryngringsavverkning</t>
        </is>
      </c>
      <c r="D4505" s="1" t="n">
        <v>44985</v>
      </c>
      <c r="E4505" s="1" t="n">
        <v>46319</v>
      </c>
      <c r="F4505" t="inlineStr">
        <is>
          <t>DALARNAS LÄN</t>
        </is>
      </c>
      <c r="G4505" t="inlineStr">
        <is>
          <t>ORSA</t>
        </is>
      </c>
      <c r="I4505" t="n">
        <v>2.1</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14967-2023</t>
        </is>
      </c>
      <c r="B4506" t="inlineStr">
        <is>
          <t>avverkningsanmälan</t>
        </is>
      </c>
      <c r="C4506" t="inlineStr">
        <is>
          <t>Avverkning för annat ändamål</t>
        </is>
      </c>
      <c r="D4506" s="1" t="n">
        <v>45015</v>
      </c>
      <c r="E4506" s="1" t="n">
        <v>46319</v>
      </c>
      <c r="F4506" t="inlineStr">
        <is>
          <t>DALARNAS LÄN</t>
        </is>
      </c>
      <c r="G4506" t="inlineStr">
        <is>
          <t>LEKSAND</t>
        </is>
      </c>
      <c r="I4506" t="n">
        <v>1.4</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62824-2025</t>
        </is>
      </c>
      <c r="B4507" t="inlineStr">
        <is>
          <t>avverkningsanmälan</t>
        </is>
      </c>
      <c r="C4507" t="inlineStr">
        <is>
          <t>Föryngringsavverkning</t>
        </is>
      </c>
      <c r="D4507" s="1" t="n">
        <v>46008</v>
      </c>
      <c r="E4507" s="1" t="n">
        <v>46319</v>
      </c>
      <c r="F4507" t="inlineStr">
        <is>
          <t>DALARNAS LÄN</t>
        </is>
      </c>
      <c r="G4507" t="inlineStr">
        <is>
          <t>LUDVIKA</t>
        </is>
      </c>
      <c r="H4507" t="inlineStr">
        <is>
          <t>Bergvik skog väst AB</t>
        </is>
      </c>
      <c r="I4507" t="n">
        <v>2</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62832-2025</t>
        </is>
      </c>
      <c r="B4508" t="inlineStr">
        <is>
          <t>avverkningsanmälan</t>
        </is>
      </c>
      <c r="C4508" t="inlineStr">
        <is>
          <t>Föryngringsavverkning</t>
        </is>
      </c>
      <c r="D4508" s="1" t="n">
        <v>46008</v>
      </c>
      <c r="E4508" s="1" t="n">
        <v>46319</v>
      </c>
      <c r="F4508" t="inlineStr">
        <is>
          <t>DALARNAS LÄN</t>
        </is>
      </c>
      <c r="G4508" t="inlineStr">
        <is>
          <t>ORSA</t>
        </is>
      </c>
      <c r="I4508" t="n">
        <v>1.9</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62548-2025</t>
        </is>
      </c>
      <c r="B4509" t="inlineStr">
        <is>
          <t>avverkningsanmälan</t>
        </is>
      </c>
      <c r="C4509" t="inlineStr">
        <is>
          <t>Föryngringsavverkning</t>
        </is>
      </c>
      <c r="D4509" s="1" t="n">
        <v>46007</v>
      </c>
      <c r="E4509" s="1" t="n">
        <v>46319</v>
      </c>
      <c r="F4509" t="inlineStr">
        <is>
          <t>DALARNAS LÄN</t>
        </is>
      </c>
      <c r="G4509" t="inlineStr">
        <is>
          <t>MORA</t>
        </is>
      </c>
      <c r="I4509" t="n">
        <v>0.8</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23843-2026</t>
        </is>
      </c>
      <c r="B4510" t="inlineStr">
        <is>
          <t>avverkningsanmälan</t>
        </is>
      </c>
      <c r="C4510" t="inlineStr">
        <is>
          <t>Föryngringsavverkning</t>
        </is>
      </c>
      <c r="D4510" s="1" t="n">
        <v>46167</v>
      </c>
      <c r="E4510" s="1" t="n">
        <v>46319</v>
      </c>
      <c r="F4510" t="inlineStr">
        <is>
          <t>DALARNAS LÄN</t>
        </is>
      </c>
      <c r="G4510" t="inlineStr">
        <is>
          <t>HEDEMORA</t>
        </is>
      </c>
      <c r="H4510" t="inlineStr">
        <is>
          <t>Sveaskog</t>
        </is>
      </c>
      <c r="I4510" t="n">
        <v>2.1</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32045-2026</t>
        </is>
      </c>
      <c r="B4511" t="inlineStr">
        <is>
          <t>avverkningsanmälan</t>
        </is>
      </c>
      <c r="C4511" t="inlineStr">
        <is>
          <t>Föryngringsavverkning</t>
        </is>
      </c>
      <c r="D4511" s="1" t="n">
        <v>46233</v>
      </c>
      <c r="E4511" s="1" t="n">
        <v>46319</v>
      </c>
      <c r="F4511" t="inlineStr">
        <is>
          <t>DALARNAS LÄN</t>
        </is>
      </c>
      <c r="G4511" t="inlineStr">
        <is>
          <t>RÄTTVIK</t>
        </is>
      </c>
      <c r="H4511" t="inlineStr">
        <is>
          <t>Bergvik skog väst AB</t>
        </is>
      </c>
      <c r="I4511" t="n">
        <v>11</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8491-2025</t>
        </is>
      </c>
      <c r="B4512" t="inlineStr">
        <is>
          <t>avverkningsanmälan</t>
        </is>
      </c>
      <c r="C4512" t="inlineStr">
        <is>
          <t>Föryngringsavverkning</t>
        </is>
      </c>
      <c r="D4512" s="1" t="n">
        <v>45709</v>
      </c>
      <c r="E4512" s="1" t="n">
        <v>46319</v>
      </c>
      <c r="F4512" t="inlineStr">
        <is>
          <t>DALARNAS LÄN</t>
        </is>
      </c>
      <c r="G4512" t="inlineStr">
        <is>
          <t>GAGNEF</t>
        </is>
      </c>
      <c r="I4512" t="n">
        <v>3.2</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21616-2025</t>
        </is>
      </c>
      <c r="B4513" t="inlineStr">
        <is>
          <t>avverkningsanmälan</t>
        </is>
      </c>
      <c r="C4513" t="inlineStr">
        <is>
          <t>Föryngringsavverkning</t>
        </is>
      </c>
      <c r="D4513" s="1" t="n">
        <v>45783</v>
      </c>
      <c r="E4513" s="1" t="n">
        <v>46319</v>
      </c>
      <c r="F4513" t="inlineStr">
        <is>
          <t>DALARNAS LÄN</t>
        </is>
      </c>
      <c r="G4513" t="inlineStr">
        <is>
          <t>VANSBRO</t>
        </is>
      </c>
      <c r="I4513" t="n">
        <v>1.4</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49684-2024</t>
        </is>
      </c>
      <c r="B4514" t="inlineStr">
        <is>
          <t>avverkningsanmälan</t>
        </is>
      </c>
      <c r="C4514" t="inlineStr">
        <is>
          <t>Föryngringsavverkning</t>
        </is>
      </c>
      <c r="D4514" s="1" t="n">
        <v>45596</v>
      </c>
      <c r="E4514" s="1" t="n">
        <v>46319</v>
      </c>
      <c r="F4514" t="inlineStr">
        <is>
          <t>DALARNAS LÄN</t>
        </is>
      </c>
      <c r="G4514" t="inlineStr">
        <is>
          <t>SÄTER</t>
        </is>
      </c>
      <c r="I4514" t="n">
        <v>2.2</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21583-2025</t>
        </is>
      </c>
      <c r="B4515" t="inlineStr">
        <is>
          <t>avverkningsanmälan</t>
        </is>
      </c>
      <c r="C4515" t="inlineStr">
        <is>
          <t>Föryngringsavverkning</t>
        </is>
      </c>
      <c r="D4515" s="1" t="n">
        <v>45783</v>
      </c>
      <c r="E4515" s="1" t="n">
        <v>46319</v>
      </c>
      <c r="F4515" t="inlineStr">
        <is>
          <t>DALARNAS LÄN</t>
        </is>
      </c>
      <c r="G4515" t="inlineStr">
        <is>
          <t>SÄTER</t>
        </is>
      </c>
      <c r="I4515" t="n">
        <v>0.9</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62695-2025</t>
        </is>
      </c>
      <c r="B4516" t="inlineStr">
        <is>
          <t>avverkningsanmälan</t>
        </is>
      </c>
      <c r="C4516" t="inlineStr">
        <is>
          <t>Föryngringsavverkning</t>
        </is>
      </c>
      <c r="D4516" s="1" t="n">
        <v>46008</v>
      </c>
      <c r="E4516" s="1" t="n">
        <v>46319</v>
      </c>
      <c r="F4516" t="inlineStr">
        <is>
          <t>DALARNAS LÄN</t>
        </is>
      </c>
      <c r="G4516" t="inlineStr">
        <is>
          <t>LUDVIKA</t>
        </is>
      </c>
      <c r="H4516" t="inlineStr">
        <is>
          <t>Bergvik skog väst AB</t>
        </is>
      </c>
      <c r="I4516" t="n">
        <v>1.4</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32940-2024</t>
        </is>
      </c>
      <c r="B4517" t="inlineStr">
        <is>
          <t>avverkningsanmälan</t>
        </is>
      </c>
      <c r="C4517" t="inlineStr">
        <is>
          <t>Föryngringsavverkning</t>
        </is>
      </c>
      <c r="D4517" s="1" t="n">
        <v>45517</v>
      </c>
      <c r="E4517" s="1" t="n">
        <v>46319</v>
      </c>
      <c r="F4517" t="inlineStr">
        <is>
          <t>DALARNAS LÄN</t>
        </is>
      </c>
      <c r="G4517" t="inlineStr">
        <is>
          <t>BORLÄNGE</t>
        </is>
      </c>
      <c r="H4517" t="inlineStr">
        <is>
          <t>Bergvik skog väst AB</t>
        </is>
      </c>
      <c r="I4517" t="n">
        <v>2.5</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10779-2024</t>
        </is>
      </c>
      <c r="B4518" t="inlineStr">
        <is>
          <t>avverkningsanmälan</t>
        </is>
      </c>
      <c r="C4518" t="inlineStr">
        <is>
          <t>Föryngringsavverkning</t>
        </is>
      </c>
      <c r="D4518" s="1" t="n">
        <v>45369</v>
      </c>
      <c r="E4518" s="1" t="n">
        <v>46319</v>
      </c>
      <c r="F4518" t="inlineStr">
        <is>
          <t>DALARNAS LÄN</t>
        </is>
      </c>
      <c r="G4518" t="inlineStr">
        <is>
          <t>AVESTA</t>
        </is>
      </c>
      <c r="I4518" t="n">
        <v>6.7</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26773-2024</t>
        </is>
      </c>
      <c r="B4519" t="inlineStr">
        <is>
          <t>avverkningsanmälan</t>
        </is>
      </c>
      <c r="C4519" t="inlineStr">
        <is>
          <t>Föryngringsavverkning</t>
        </is>
      </c>
      <c r="D4519" s="1" t="n">
        <v>45470</v>
      </c>
      <c r="E4519" s="1" t="n">
        <v>46319</v>
      </c>
      <c r="F4519" t="inlineStr">
        <is>
          <t>DALARNAS LÄN</t>
        </is>
      </c>
      <c r="G4519" t="inlineStr">
        <is>
          <t>FALUN</t>
        </is>
      </c>
      <c r="I4519" t="n">
        <v>1.3</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62362-2025</t>
        </is>
      </c>
      <c r="B4520" t="inlineStr">
        <is>
          <t>avverkningsanmälan</t>
        </is>
      </c>
      <c r="C4520" t="inlineStr">
        <is>
          <t>Föryngringsavverkning</t>
        </is>
      </c>
      <c r="D4520" s="1" t="n">
        <v>46007</v>
      </c>
      <c r="E4520" s="1" t="n">
        <v>46319</v>
      </c>
      <c r="F4520" t="inlineStr">
        <is>
          <t>DALARNAS LÄN</t>
        </is>
      </c>
      <c r="G4520" t="inlineStr">
        <is>
          <t>FALUN</t>
        </is>
      </c>
      <c r="I4520" t="n">
        <v>0.5</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2558-2025</t>
        </is>
      </c>
      <c r="B4521" t="inlineStr">
        <is>
          <t>avverkningsanmälan</t>
        </is>
      </c>
      <c r="C4521" t="inlineStr">
        <is>
          <t>Föryngringsavverkning</t>
        </is>
      </c>
      <c r="D4521" s="1" t="n">
        <v>45674</v>
      </c>
      <c r="E4521" s="1" t="n">
        <v>46319</v>
      </c>
      <c r="F4521" t="inlineStr">
        <is>
          <t>DALARNAS LÄN</t>
        </is>
      </c>
      <c r="G4521" t="inlineStr">
        <is>
          <t>VANSBRO</t>
        </is>
      </c>
      <c r="I4521" t="n">
        <v>4.9</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16220-2026</t>
        </is>
      </c>
      <c r="B4522" t="inlineStr">
        <is>
          <t>avverkningsanmälan</t>
        </is>
      </c>
      <c r="C4522" t="inlineStr">
        <is>
          <t>Föryngringsavverkning</t>
        </is>
      </c>
      <c r="D4522" s="1" t="n">
        <v>46111</v>
      </c>
      <c r="E4522" s="1" t="n">
        <v>46319</v>
      </c>
      <c r="F4522" t="inlineStr">
        <is>
          <t>DALARNAS LÄN</t>
        </is>
      </c>
      <c r="G4522" t="inlineStr">
        <is>
          <t>ORSA</t>
        </is>
      </c>
      <c r="H4522" t="inlineStr">
        <is>
          <t>Bergvik skog öst AB</t>
        </is>
      </c>
      <c r="I4522" t="n">
        <v>7.7</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8540-2025</t>
        </is>
      </c>
      <c r="B4523" t="inlineStr">
        <is>
          <t>avverkningsanmälan</t>
        </is>
      </c>
      <c r="C4523" t="inlineStr">
        <is>
          <t>Föryngringsavverkning</t>
        </is>
      </c>
      <c r="D4523" s="1" t="n">
        <v>45709</v>
      </c>
      <c r="E4523" s="1" t="n">
        <v>46319</v>
      </c>
      <c r="F4523" t="inlineStr">
        <is>
          <t>DALARNAS LÄN</t>
        </is>
      </c>
      <c r="G4523" t="inlineStr">
        <is>
          <t>BORLÄNGE</t>
        </is>
      </c>
      <c r="H4523" t="inlineStr">
        <is>
          <t>Bergvik skog väst AB</t>
        </is>
      </c>
      <c r="I4523" t="n">
        <v>3.6</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21656-2025</t>
        </is>
      </c>
      <c r="B4524" t="inlineStr">
        <is>
          <t>avverkningsanmälan</t>
        </is>
      </c>
      <c r="C4524" t="inlineStr">
        <is>
          <t>Föryngringsavverkning</t>
        </is>
      </c>
      <c r="D4524" s="1" t="n">
        <v>45783</v>
      </c>
      <c r="E4524" s="1" t="n">
        <v>46319</v>
      </c>
      <c r="F4524" t="inlineStr">
        <is>
          <t>DALARNAS LÄN</t>
        </is>
      </c>
      <c r="G4524" t="inlineStr">
        <is>
          <t>VANSBRO</t>
        </is>
      </c>
      <c r="I4524" t="n">
        <v>3.6</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62838-2025</t>
        </is>
      </c>
      <c r="B4525" t="inlineStr">
        <is>
          <t>avverkningsanmälan</t>
        </is>
      </c>
      <c r="C4525" t="inlineStr">
        <is>
          <t>Föryngringsavverkning</t>
        </is>
      </c>
      <c r="D4525" s="1" t="n">
        <v>46008</v>
      </c>
      <c r="E4525" s="1" t="n">
        <v>46319</v>
      </c>
      <c r="F4525" t="inlineStr">
        <is>
          <t>DALARNAS LÄN</t>
        </is>
      </c>
      <c r="G4525" t="inlineStr">
        <is>
          <t>LUDVIKA</t>
        </is>
      </c>
      <c r="H4525" t="inlineStr">
        <is>
          <t>Bergvik skog väst AB</t>
        </is>
      </c>
      <c r="I4525" t="n">
        <v>1.9</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62853-2025</t>
        </is>
      </c>
      <c r="B4526" t="inlineStr">
        <is>
          <t>avverkningsanmälan</t>
        </is>
      </c>
      <c r="C4526" t="inlineStr">
        <is>
          <t>Föryngringsavverkning</t>
        </is>
      </c>
      <c r="D4526" s="1" t="n">
        <v>46008</v>
      </c>
      <c r="E4526" s="1" t="n">
        <v>46319</v>
      </c>
      <c r="F4526" t="inlineStr">
        <is>
          <t>DALARNAS LÄN</t>
        </is>
      </c>
      <c r="G4526" t="inlineStr">
        <is>
          <t>MORA</t>
        </is>
      </c>
      <c r="I4526" t="n">
        <v>9.300000000000001</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62574-2025</t>
        </is>
      </c>
      <c r="B4527" t="inlineStr">
        <is>
          <t>avverkningsanmälan</t>
        </is>
      </c>
      <c r="C4527" t="inlineStr">
        <is>
          <t>Föryngringsavverkning</t>
        </is>
      </c>
      <c r="D4527" s="1" t="n">
        <v>46007</v>
      </c>
      <c r="E4527" s="1" t="n">
        <v>46319</v>
      </c>
      <c r="F4527" t="inlineStr">
        <is>
          <t>DALARNAS LÄN</t>
        </is>
      </c>
      <c r="G4527" t="inlineStr">
        <is>
          <t>LEKSAND</t>
        </is>
      </c>
      <c r="I4527" t="n">
        <v>0.9</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31944-2026</t>
        </is>
      </c>
      <c r="B4528" t="inlineStr">
        <is>
          <t>avverkningsanmälan</t>
        </is>
      </c>
      <c r="C4528" t="inlineStr">
        <is>
          <t>Föryngringsavverkning</t>
        </is>
      </c>
      <c r="D4528" s="1" t="n">
        <v>46232</v>
      </c>
      <c r="E4528" s="1" t="n">
        <v>46319</v>
      </c>
      <c r="F4528" t="inlineStr">
        <is>
          <t>DALARNAS LÄN</t>
        </is>
      </c>
      <c r="G4528" t="inlineStr">
        <is>
          <t>ORSA</t>
        </is>
      </c>
      <c r="H4528" t="inlineStr">
        <is>
          <t>Allmännings- och besparingsskogar</t>
        </is>
      </c>
      <c r="I4528" t="n">
        <v>8.6</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31969-2026</t>
        </is>
      </c>
      <c r="B4529" t="inlineStr">
        <is>
          <t>avverkningsanmälan</t>
        </is>
      </c>
      <c r="C4529" t="inlineStr">
        <is>
          <t>Föryngringsavverkning</t>
        </is>
      </c>
      <c r="D4529" s="1" t="n">
        <v>46232</v>
      </c>
      <c r="E4529" s="1" t="n">
        <v>46319</v>
      </c>
      <c r="F4529" t="inlineStr">
        <is>
          <t>DALARNAS LÄN</t>
        </is>
      </c>
      <c r="G4529" t="inlineStr">
        <is>
          <t>ORSA</t>
        </is>
      </c>
      <c r="H4529" t="inlineStr">
        <is>
          <t>Övriga statliga verk och myndigheter</t>
        </is>
      </c>
      <c r="I4529" t="n">
        <v>1.1</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7581-2024</t>
        </is>
      </c>
      <c r="B4530" t="inlineStr">
        <is>
          <t>avverkningsanmälan</t>
        </is>
      </c>
      <c r="C4530" t="inlineStr">
        <is>
          <t>Föryngringsavverkning</t>
        </is>
      </c>
      <c r="D4530" s="1" t="n">
        <v>45348</v>
      </c>
      <c r="E4530" s="1" t="n">
        <v>46319</v>
      </c>
      <c r="F4530" t="inlineStr">
        <is>
          <t>DALARNAS LÄN</t>
        </is>
      </c>
      <c r="G4530" t="inlineStr">
        <is>
          <t>ÄLVDALEN</t>
        </is>
      </c>
      <c r="I4530" t="n">
        <v>1.5</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7128-2025</t>
        </is>
      </c>
      <c r="B4531" t="inlineStr">
        <is>
          <t>avverkningsanmälan</t>
        </is>
      </c>
      <c r="C4531" t="inlineStr">
        <is>
          <t>Avverkning för annat ändamål</t>
        </is>
      </c>
      <c r="D4531" s="1" t="n">
        <v>45702</v>
      </c>
      <c r="E4531" s="1" t="n">
        <v>46319</v>
      </c>
      <c r="F4531" t="inlineStr">
        <is>
          <t>DALARNAS LÄN</t>
        </is>
      </c>
      <c r="G4531" t="inlineStr">
        <is>
          <t>RÄTTVIK</t>
        </is>
      </c>
      <c r="I4531" t="n">
        <v>1.9</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62374-2025</t>
        </is>
      </c>
      <c r="B4532" t="inlineStr">
        <is>
          <t>avverkningsanmälan</t>
        </is>
      </c>
      <c r="C4532" t="inlineStr">
        <is>
          <t>Föryngringsavverkning</t>
        </is>
      </c>
      <c r="D4532" s="1" t="n">
        <v>46007</v>
      </c>
      <c r="E4532" s="1" t="n">
        <v>46319</v>
      </c>
      <c r="F4532" t="inlineStr">
        <is>
          <t>DALARNAS LÄN</t>
        </is>
      </c>
      <c r="G4532" t="inlineStr">
        <is>
          <t>MALUNG-SÄLEN</t>
        </is>
      </c>
      <c r="I4532" t="n">
        <v>2.6</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22207-2024</t>
        </is>
      </c>
      <c r="B4533" t="inlineStr">
        <is>
          <t>avverkningsanmälan</t>
        </is>
      </c>
      <c r="C4533" t="inlineStr">
        <is>
          <t>Föryngringsavverkning</t>
        </is>
      </c>
      <c r="D4533" s="1" t="n">
        <v>45446</v>
      </c>
      <c r="E4533" s="1" t="n">
        <v>46319</v>
      </c>
      <c r="F4533" t="inlineStr">
        <is>
          <t>DALARNAS LÄN</t>
        </is>
      </c>
      <c r="G4533" t="inlineStr">
        <is>
          <t>SMEDJEBACKEN</t>
        </is>
      </c>
      <c r="H4533" t="inlineStr">
        <is>
          <t>Sveaskog</t>
        </is>
      </c>
      <c r="I4533" t="n">
        <v>1.3</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32030-2026</t>
        </is>
      </c>
      <c r="B4534" t="inlineStr">
        <is>
          <t>avverkningsanmälan</t>
        </is>
      </c>
      <c r="C4534" t="inlineStr">
        <is>
          <t>Föryngringsavverkning</t>
        </is>
      </c>
      <c r="D4534" s="1" t="n">
        <v>46233</v>
      </c>
      <c r="E4534" s="1" t="n">
        <v>46319</v>
      </c>
      <c r="F4534" t="inlineStr">
        <is>
          <t>DALARNAS LÄN</t>
        </is>
      </c>
      <c r="G4534" t="inlineStr">
        <is>
          <t>ÄLVDALEN</t>
        </is>
      </c>
      <c r="H4534" t="inlineStr">
        <is>
          <t>Bergvik skog väst AB</t>
        </is>
      </c>
      <c r="I4534" t="n">
        <v>8.199999999999999</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62777-2025</t>
        </is>
      </c>
      <c r="B4535" t="inlineStr">
        <is>
          <t>avverkningsanmälan</t>
        </is>
      </c>
      <c r="C4535" t="inlineStr">
        <is>
          <t>Avverkning för annat ändamål</t>
        </is>
      </c>
      <c r="D4535" s="1" t="n">
        <v>46008</v>
      </c>
      <c r="E4535" s="1" t="n">
        <v>46319</v>
      </c>
      <c r="F4535" t="inlineStr">
        <is>
          <t>DALARNAS LÄN</t>
        </is>
      </c>
      <c r="G4535" t="inlineStr">
        <is>
          <t>MALUNG-SÄLEN</t>
        </is>
      </c>
      <c r="H4535" t="inlineStr">
        <is>
          <t>Allmännings- och besparingsskogar</t>
        </is>
      </c>
      <c r="I4535" t="n">
        <v>2</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62407-2025</t>
        </is>
      </c>
      <c r="B4536" t="inlineStr">
        <is>
          <t>avverkningsanmälan</t>
        </is>
      </c>
      <c r="C4536" t="inlineStr">
        <is>
          <t>Föryngringsavverkning</t>
        </is>
      </c>
      <c r="D4536" s="1" t="n">
        <v>46007</v>
      </c>
      <c r="E4536" s="1" t="n">
        <v>46319</v>
      </c>
      <c r="F4536" t="inlineStr">
        <is>
          <t>DALARNAS LÄN</t>
        </is>
      </c>
      <c r="G4536" t="inlineStr">
        <is>
          <t>HEDEMORA</t>
        </is>
      </c>
      <c r="I4536" t="n">
        <v>2.2</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31973-2026</t>
        </is>
      </c>
      <c r="B4537" t="inlineStr">
        <is>
          <t>avverkningsanmälan</t>
        </is>
      </c>
      <c r="C4537" t="inlineStr">
        <is>
          <t>Föryngringsavverkning</t>
        </is>
      </c>
      <c r="D4537" s="1" t="n">
        <v>46232</v>
      </c>
      <c r="E4537" s="1" t="n">
        <v>46319</v>
      </c>
      <c r="F4537" t="inlineStr">
        <is>
          <t>DALARNAS LÄN</t>
        </is>
      </c>
      <c r="G4537" t="inlineStr">
        <is>
          <t>ORSA</t>
        </is>
      </c>
      <c r="I4537" t="n">
        <v>24.7</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32594-2023</t>
        </is>
      </c>
      <c r="B4538" t="inlineStr">
        <is>
          <t>avverkningsanmälan</t>
        </is>
      </c>
      <c r="C4538" t="inlineStr">
        <is>
          <t>Föryngringsavverkning</t>
        </is>
      </c>
      <c r="D4538" s="1" t="n">
        <v>45121</v>
      </c>
      <c r="E4538" s="1" t="n">
        <v>46319</v>
      </c>
      <c r="F4538" t="inlineStr">
        <is>
          <t>DALARNAS LÄN</t>
        </is>
      </c>
      <c r="G4538" t="inlineStr">
        <is>
          <t>ÄLVDALEN</t>
        </is>
      </c>
      <c r="I4538" t="n">
        <v>4</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27814-2024</t>
        </is>
      </c>
      <c r="B4539" t="inlineStr">
        <is>
          <t>avverkningsanmälan</t>
        </is>
      </c>
      <c r="C4539" t="inlineStr">
        <is>
          <t>Föryngringsavverkning</t>
        </is>
      </c>
      <c r="D4539" s="1" t="n">
        <v>45475</v>
      </c>
      <c r="E4539" s="1" t="n">
        <v>46319</v>
      </c>
      <c r="F4539" t="inlineStr">
        <is>
          <t>DALARNAS LÄN</t>
        </is>
      </c>
      <c r="G4539" t="inlineStr">
        <is>
          <t>GAGNEF</t>
        </is>
      </c>
      <c r="I4539" t="n">
        <v>3.8</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62688-2025</t>
        </is>
      </c>
      <c r="B4540" t="inlineStr">
        <is>
          <t>avverkningsanmälan</t>
        </is>
      </c>
      <c r="C4540" t="inlineStr">
        <is>
          <t>Föryngringsavverkning</t>
        </is>
      </c>
      <c r="D4540" s="1" t="n">
        <v>46008</v>
      </c>
      <c r="E4540" s="1" t="n">
        <v>46319</v>
      </c>
      <c r="F4540" t="inlineStr">
        <is>
          <t>DALARNAS LÄN</t>
        </is>
      </c>
      <c r="G4540" t="inlineStr">
        <is>
          <t>LUDVIKA</t>
        </is>
      </c>
      <c r="H4540" t="inlineStr">
        <is>
          <t>Bergvik skog väst AB</t>
        </is>
      </c>
      <c r="I4540" t="n">
        <v>0.8</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62693-2025</t>
        </is>
      </c>
      <c r="B4541" t="inlineStr">
        <is>
          <t>avverkningsanmälan</t>
        </is>
      </c>
      <c r="C4541" t="inlineStr">
        <is>
          <t>Föryngringsavverkning</t>
        </is>
      </c>
      <c r="D4541" s="1" t="n">
        <v>46008</v>
      </c>
      <c r="E4541" s="1" t="n">
        <v>46319</v>
      </c>
      <c r="F4541" t="inlineStr">
        <is>
          <t>DALARNAS LÄN</t>
        </is>
      </c>
      <c r="G4541" t="inlineStr">
        <is>
          <t>SMEDJEBACKEN</t>
        </is>
      </c>
      <c r="H4541" t="inlineStr">
        <is>
          <t>Bergvik skog väst AB</t>
        </is>
      </c>
      <c r="I4541" t="n">
        <v>0.6</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62706-2025</t>
        </is>
      </c>
      <c r="B4542" t="inlineStr">
        <is>
          <t>avverkningsanmälan</t>
        </is>
      </c>
      <c r="C4542" t="inlineStr">
        <is>
          <t>Föryngringsavverkning</t>
        </is>
      </c>
      <c r="D4542" s="1" t="n">
        <v>46008</v>
      </c>
      <c r="E4542" s="1" t="n">
        <v>46319</v>
      </c>
      <c r="F4542" t="inlineStr">
        <is>
          <t>DALARNAS LÄN</t>
        </is>
      </c>
      <c r="G4542" t="inlineStr">
        <is>
          <t>LUDVIKA</t>
        </is>
      </c>
      <c r="H4542" t="inlineStr">
        <is>
          <t>Bergvik skog väst AB</t>
        </is>
      </c>
      <c r="I4542" t="n">
        <v>0.5</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62713-2025</t>
        </is>
      </c>
      <c r="B4543" t="inlineStr">
        <is>
          <t>avverkningsanmälan</t>
        </is>
      </c>
      <c r="C4543" t="inlineStr">
        <is>
          <t>Föryngringsavverkning</t>
        </is>
      </c>
      <c r="D4543" s="1" t="n">
        <v>46008</v>
      </c>
      <c r="E4543" s="1" t="n">
        <v>46319</v>
      </c>
      <c r="F4543" t="inlineStr">
        <is>
          <t>DALARNAS LÄN</t>
        </is>
      </c>
      <c r="G4543" t="inlineStr">
        <is>
          <t>SMEDJEBACKEN</t>
        </is>
      </c>
      <c r="H4543" t="inlineStr">
        <is>
          <t>Bergvik skog väst AB</t>
        </is>
      </c>
      <c r="I4543" t="n">
        <v>5</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62810-2025</t>
        </is>
      </c>
      <c r="B4544" t="inlineStr">
        <is>
          <t>avverkningsanmälan</t>
        </is>
      </c>
      <c r="C4544" t="inlineStr">
        <is>
          <t>Föryngringsavverkning</t>
        </is>
      </c>
      <c r="D4544" s="1" t="n">
        <v>46008</v>
      </c>
      <c r="E4544" s="1" t="n">
        <v>46319</v>
      </c>
      <c r="F4544" t="inlineStr">
        <is>
          <t>DALARNAS LÄN</t>
        </is>
      </c>
      <c r="G4544" t="inlineStr">
        <is>
          <t>ORSA</t>
        </is>
      </c>
      <c r="I4544" t="n">
        <v>0.9</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32058-2026</t>
        </is>
      </c>
      <c r="B4545" t="inlineStr">
        <is>
          <t>avverkningsanmälan</t>
        </is>
      </c>
      <c r="C4545" t="inlineStr">
        <is>
          <t>Föryngringsavverkning</t>
        </is>
      </c>
      <c r="D4545" s="1" t="n">
        <v>46233</v>
      </c>
      <c r="E4545" s="1" t="n">
        <v>46319</v>
      </c>
      <c r="F4545" t="inlineStr">
        <is>
          <t>DALARNAS LÄN</t>
        </is>
      </c>
      <c r="G4545" t="inlineStr">
        <is>
          <t>LEKSAND</t>
        </is>
      </c>
      <c r="H4545" t="inlineStr">
        <is>
          <t>Bergvik skog väst AB</t>
        </is>
      </c>
      <c r="I4545" t="n">
        <v>2.4</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62845-2025</t>
        </is>
      </c>
      <c r="B4546" t="inlineStr">
        <is>
          <t>avverkningsanmälan</t>
        </is>
      </c>
      <c r="C4546" t="inlineStr">
        <is>
          <t>Föryngringsavverkning</t>
        </is>
      </c>
      <c r="D4546" s="1" t="n">
        <v>46008</v>
      </c>
      <c r="E4546" s="1" t="n">
        <v>46319</v>
      </c>
      <c r="F4546" t="inlineStr">
        <is>
          <t>DALARNAS LÄN</t>
        </is>
      </c>
      <c r="G4546" t="inlineStr">
        <is>
          <t>LUDVIKA</t>
        </is>
      </c>
      <c r="H4546" t="inlineStr">
        <is>
          <t>Bergvik skog väst AB</t>
        </is>
      </c>
      <c r="I4546" t="n">
        <v>1</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2270-2024</t>
        </is>
      </c>
      <c r="B4547" t="inlineStr">
        <is>
          <t>avverkningsanmälan</t>
        </is>
      </c>
      <c r="C4547" t="inlineStr">
        <is>
          <t>Föryngringsavverkning</t>
        </is>
      </c>
      <c r="D4547" s="1" t="n">
        <v>45310</v>
      </c>
      <c r="E4547" s="1" t="n">
        <v>46319</v>
      </c>
      <c r="F4547" t="inlineStr">
        <is>
          <t>DALARNAS LÄN</t>
        </is>
      </c>
      <c r="G4547" t="inlineStr">
        <is>
          <t>RÄTTVIK</t>
        </is>
      </c>
      <c r="I4547" t="n">
        <v>0.3</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59772-2021</t>
        </is>
      </c>
      <c r="B4548" t="inlineStr">
        <is>
          <t>avverkningsanmälan</t>
        </is>
      </c>
      <c r="C4548" t="inlineStr">
        <is>
          <t>Avverkning för annat ändamål</t>
        </is>
      </c>
      <c r="D4548" s="1" t="n">
        <v>44494</v>
      </c>
      <c r="E4548" s="1" t="n">
        <v>46319</v>
      </c>
      <c r="F4548" t="inlineStr">
        <is>
          <t>DALARNAS LÄN</t>
        </is>
      </c>
      <c r="G4548" t="inlineStr">
        <is>
          <t>BORLÄNGE</t>
        </is>
      </c>
      <c r="I4548" t="n">
        <v>1.3</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62858-2025</t>
        </is>
      </c>
      <c r="B4549" t="inlineStr">
        <is>
          <t>avverkningsanmälan</t>
        </is>
      </c>
      <c r="C4549" t="inlineStr">
        <is>
          <t>Föryngringsavverkning</t>
        </is>
      </c>
      <c r="D4549" s="1" t="n">
        <v>46008</v>
      </c>
      <c r="E4549" s="1" t="n">
        <v>46319</v>
      </c>
      <c r="F4549" t="inlineStr">
        <is>
          <t>DALARNAS LÄN</t>
        </is>
      </c>
      <c r="G4549" t="inlineStr">
        <is>
          <t>ORSA</t>
        </is>
      </c>
      <c r="I4549" t="n">
        <v>5</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47071-2022</t>
        </is>
      </c>
      <c r="B4550" t="inlineStr">
        <is>
          <t>avverkningsanmälan</t>
        </is>
      </c>
      <c r="C4550" t="inlineStr">
        <is>
          <t>Föryngringsavverkning</t>
        </is>
      </c>
      <c r="D4550" s="1" t="n">
        <v>44852</v>
      </c>
      <c r="E4550" s="1" t="n">
        <v>46319</v>
      </c>
      <c r="F4550" t="inlineStr">
        <is>
          <t>DALARNAS LÄN</t>
        </is>
      </c>
      <c r="G4550" t="inlineStr">
        <is>
          <t>LUDVIKA</t>
        </is>
      </c>
      <c r="I4550" t="n">
        <v>1.2</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47143-2022</t>
        </is>
      </c>
      <c r="B4551" t="inlineStr">
        <is>
          <t>avverkningsanmälan</t>
        </is>
      </c>
      <c r="C4551" t="inlineStr">
        <is>
          <t>Föryngringsavverkning</t>
        </is>
      </c>
      <c r="D4551" s="1" t="n">
        <v>44852</v>
      </c>
      <c r="E4551" s="1" t="n">
        <v>46319</v>
      </c>
      <c r="F4551" t="inlineStr">
        <is>
          <t>DALARNAS LÄN</t>
        </is>
      </c>
      <c r="G4551" t="inlineStr">
        <is>
          <t>MORA</t>
        </is>
      </c>
      <c r="I4551" t="n">
        <v>3.9</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37957-2026</t>
        </is>
      </c>
      <c r="B4552" t="inlineStr">
        <is>
          <t>avverkningsanmälan</t>
        </is>
      </c>
      <c r="C4552" t="inlineStr">
        <is>
          <t>Föryngringsavverkning</t>
        </is>
      </c>
      <c r="D4552" s="1" t="n">
        <v>46280</v>
      </c>
      <c r="E4552" s="1" t="n">
        <v>46319</v>
      </c>
      <c r="F4552" t="inlineStr">
        <is>
          <t>DALARNAS LÄN</t>
        </is>
      </c>
      <c r="G4552" t="inlineStr">
        <is>
          <t>LUDVIKA</t>
        </is>
      </c>
      <c r="H4552" t="inlineStr">
        <is>
          <t>Bergvik skog väst AB</t>
        </is>
      </c>
      <c r="I4552" t="n">
        <v>2.8</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4566-2025</t>
        </is>
      </c>
      <c r="B4553" t="inlineStr">
        <is>
          <t>avverkningsanmälan</t>
        </is>
      </c>
      <c r="C4553" t="inlineStr">
        <is>
          <t>Föryngringsavverkning</t>
        </is>
      </c>
      <c r="D4553" s="1" t="n">
        <v>45687</v>
      </c>
      <c r="E4553" s="1" t="n">
        <v>46319</v>
      </c>
      <c r="F4553" t="inlineStr">
        <is>
          <t>DALARNAS LÄN</t>
        </is>
      </c>
      <c r="G4553" t="inlineStr">
        <is>
          <t>ORSA</t>
        </is>
      </c>
      <c r="I4553" t="n">
        <v>2.1</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32837-2024</t>
        </is>
      </c>
      <c r="B4554" t="inlineStr">
        <is>
          <t>avverkningsanmälan</t>
        </is>
      </c>
      <c r="C4554" t="inlineStr">
        <is>
          <t>Föryngringsavverkning</t>
        </is>
      </c>
      <c r="D4554" s="1" t="n">
        <v>45516</v>
      </c>
      <c r="E4554" s="1" t="n">
        <v>46319</v>
      </c>
      <c r="F4554" t="inlineStr">
        <is>
          <t>DALARNAS LÄN</t>
        </is>
      </c>
      <c r="G4554" t="inlineStr">
        <is>
          <t>RÄTTVIK</t>
        </is>
      </c>
      <c r="I4554" t="n">
        <v>1</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37964-2026</t>
        </is>
      </c>
      <c r="B4555" t="inlineStr">
        <is>
          <t>avverkningsanmälan</t>
        </is>
      </c>
      <c r="C4555" t="inlineStr">
        <is>
          <t>Föryngringsavverkning</t>
        </is>
      </c>
      <c r="D4555" s="1" t="n">
        <v>46280</v>
      </c>
      <c r="E4555" s="1" t="n">
        <v>46319</v>
      </c>
      <c r="F4555" t="inlineStr">
        <is>
          <t>DALARNAS LÄN</t>
        </is>
      </c>
      <c r="G4555" t="inlineStr">
        <is>
          <t>VANSBRO</t>
        </is>
      </c>
      <c r="H4555" t="inlineStr">
        <is>
          <t>Bergvik skog väst AB</t>
        </is>
      </c>
      <c r="I4555" t="n">
        <v>4.6</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23085-2022</t>
        </is>
      </c>
      <c r="B4556" t="inlineStr">
        <is>
          <t>avverkningsanmälan</t>
        </is>
      </c>
      <c r="C4556" t="inlineStr">
        <is>
          <t>Föryngringsavverkning</t>
        </is>
      </c>
      <c r="D4556" s="1" t="n">
        <v>44719</v>
      </c>
      <c r="E4556" s="1" t="n">
        <v>46319</v>
      </c>
      <c r="F4556" t="inlineStr">
        <is>
          <t>DALARNAS LÄN</t>
        </is>
      </c>
      <c r="G4556" t="inlineStr">
        <is>
          <t>VANSBRO</t>
        </is>
      </c>
      <c r="I4556" t="n">
        <v>4.1</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19322-2024</t>
        </is>
      </c>
      <c r="B4557" t="inlineStr">
        <is>
          <t>avverkningsanmälan</t>
        </is>
      </c>
      <c r="C4557" t="inlineStr">
        <is>
          <t>Föryngringsavverkning</t>
        </is>
      </c>
      <c r="D4557" s="1" t="n">
        <v>45428</v>
      </c>
      <c r="E4557" s="1" t="n">
        <v>46319</v>
      </c>
      <c r="F4557" t="inlineStr">
        <is>
          <t>DALARNAS LÄN</t>
        </is>
      </c>
      <c r="G4557" t="inlineStr">
        <is>
          <t>SÄTER</t>
        </is>
      </c>
      <c r="I4557" t="n">
        <v>2.2</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62965-2025</t>
        </is>
      </c>
      <c r="B4558" t="inlineStr">
        <is>
          <t>avverkningsanmälan</t>
        </is>
      </c>
      <c r="C4558" t="inlineStr">
        <is>
          <t>Föryngringsavverkning</t>
        </is>
      </c>
      <c r="D4558" s="1" t="n">
        <v>46009</v>
      </c>
      <c r="E4558" s="1" t="n">
        <v>46319</v>
      </c>
      <c r="F4558" t="inlineStr">
        <is>
          <t>DALARNAS LÄN</t>
        </is>
      </c>
      <c r="G4558" t="inlineStr">
        <is>
          <t>MORA</t>
        </is>
      </c>
      <c r="I4558" t="n">
        <v>9.1</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32270-2026</t>
        </is>
      </c>
      <c r="B4559" t="inlineStr">
        <is>
          <t>avverkningsanmälan</t>
        </is>
      </c>
      <c r="C4559" t="inlineStr">
        <is>
          <t>Föryngringsavverkning</t>
        </is>
      </c>
      <c r="D4559" s="1" t="n">
        <v>46237</v>
      </c>
      <c r="E4559" s="1" t="n">
        <v>46319</v>
      </c>
      <c r="F4559" t="inlineStr">
        <is>
          <t>DALARNAS LÄN</t>
        </is>
      </c>
      <c r="G4559" t="inlineStr">
        <is>
          <t>ORSA</t>
        </is>
      </c>
      <c r="H4559" t="inlineStr">
        <is>
          <t>Bergvik skog öst AB</t>
        </is>
      </c>
      <c r="I4559" t="n">
        <v>2.3</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35890-2024</t>
        </is>
      </c>
      <c r="B4560" t="inlineStr">
        <is>
          <t>avverkningsanmälan</t>
        </is>
      </c>
      <c r="C4560" t="inlineStr">
        <is>
          <t>Föryngringsavverkning</t>
        </is>
      </c>
      <c r="D4560" s="1" t="n">
        <v>45533</v>
      </c>
      <c r="E4560" s="1" t="n">
        <v>46319</v>
      </c>
      <c r="F4560" t="inlineStr">
        <is>
          <t>DALARNAS LÄN</t>
        </is>
      </c>
      <c r="G4560" t="inlineStr">
        <is>
          <t>FALUN</t>
        </is>
      </c>
      <c r="I4560" t="n">
        <v>2.9</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62307-2023</t>
        </is>
      </c>
      <c r="B4561" t="inlineStr">
        <is>
          <t>avverkningsanmälan</t>
        </is>
      </c>
      <c r="C4561" t="inlineStr">
        <is>
          <t>Föryngringsavverkning</t>
        </is>
      </c>
      <c r="D4561" s="1" t="n">
        <v>45266</v>
      </c>
      <c r="E4561" s="1" t="n">
        <v>46319</v>
      </c>
      <c r="F4561" t="inlineStr">
        <is>
          <t>DALARNAS LÄN</t>
        </is>
      </c>
      <c r="G4561" t="inlineStr">
        <is>
          <t>LEKSAND</t>
        </is>
      </c>
      <c r="I4561" t="n">
        <v>3.9</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44904-2024</t>
        </is>
      </c>
      <c r="B4562" t="inlineStr">
        <is>
          <t>avverkningsanmälan</t>
        </is>
      </c>
      <c r="C4562" t="inlineStr">
        <is>
          <t>Föryngringsavverkning</t>
        </is>
      </c>
      <c r="D4562" s="1" t="n">
        <v>45575</v>
      </c>
      <c r="E4562" s="1" t="n">
        <v>46319</v>
      </c>
      <c r="F4562" t="inlineStr">
        <is>
          <t>DALARNAS LÄN</t>
        </is>
      </c>
      <c r="G4562" t="inlineStr">
        <is>
          <t>ORSA</t>
        </is>
      </c>
      <c r="H4562" t="inlineStr">
        <is>
          <t>Bergvik skog öst AB</t>
        </is>
      </c>
      <c r="I4562" t="n">
        <v>1.2</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42607-2024</t>
        </is>
      </c>
      <c r="B4563" t="inlineStr">
        <is>
          <t>avverkningsanmälan</t>
        </is>
      </c>
      <c r="C4563" t="inlineStr">
        <is>
          <t>Föryngringsavverkning</t>
        </is>
      </c>
      <c r="D4563" s="1" t="n">
        <v>45565</v>
      </c>
      <c r="E4563" s="1" t="n">
        <v>46319</v>
      </c>
      <c r="F4563" t="inlineStr">
        <is>
          <t>DALARNAS LÄN</t>
        </is>
      </c>
      <c r="G4563" t="inlineStr">
        <is>
          <t>GAGNEF</t>
        </is>
      </c>
      <c r="I4563" t="n">
        <v>2.6</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37879-2026</t>
        </is>
      </c>
      <c r="B4564" t="inlineStr">
        <is>
          <t>avverkningsanmälan</t>
        </is>
      </c>
      <c r="C4564" t="inlineStr">
        <is>
          <t>Föryngringsavverkning</t>
        </is>
      </c>
      <c r="D4564" s="1" t="n">
        <v>46279</v>
      </c>
      <c r="E4564" s="1" t="n">
        <v>46319</v>
      </c>
      <c r="F4564" t="inlineStr">
        <is>
          <t>DALARNAS LÄN</t>
        </is>
      </c>
      <c r="G4564" t="inlineStr">
        <is>
          <t>RÄTTVIK</t>
        </is>
      </c>
      <c r="H4564" t="inlineStr">
        <is>
          <t>Bergvik skog väst AB</t>
        </is>
      </c>
      <c r="I4564" t="n">
        <v>2</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22027-2025</t>
        </is>
      </c>
      <c r="B4565" t="inlineStr">
        <is>
          <t>avverkningsanmälan</t>
        </is>
      </c>
      <c r="C4565" t="inlineStr">
        <is>
          <t>Föryngringsavverkning</t>
        </is>
      </c>
      <c r="D4565" s="1" t="n">
        <v>45784</v>
      </c>
      <c r="E4565" s="1" t="n">
        <v>46319</v>
      </c>
      <c r="F4565" t="inlineStr">
        <is>
          <t>DALARNAS LÄN</t>
        </is>
      </c>
      <c r="G4565" t="inlineStr">
        <is>
          <t>RÄTTVIK</t>
        </is>
      </c>
      <c r="I4565" t="n">
        <v>1.1</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62875-2025</t>
        </is>
      </c>
      <c r="B4566" t="inlineStr">
        <is>
          <t>avverkningsanmälan</t>
        </is>
      </c>
      <c r="C4566" t="inlineStr">
        <is>
          <t>Föryngringsavverkning</t>
        </is>
      </c>
      <c r="D4566" s="1" t="n">
        <v>46008</v>
      </c>
      <c r="E4566" s="1" t="n">
        <v>46319</v>
      </c>
      <c r="F4566" t="inlineStr">
        <is>
          <t>DALARNAS LÄN</t>
        </is>
      </c>
      <c r="G4566" t="inlineStr">
        <is>
          <t>SMEDJEBACKEN</t>
        </is>
      </c>
      <c r="H4566" t="inlineStr">
        <is>
          <t>Övriga Aktiebolag</t>
        </is>
      </c>
      <c r="I4566" t="n">
        <v>4.6</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37706-2026</t>
        </is>
      </c>
      <c r="B4567" t="inlineStr">
        <is>
          <t>avverkningsanmälan</t>
        </is>
      </c>
      <c r="C4567" t="inlineStr">
        <is>
          <t>Föryngringsavverkning</t>
        </is>
      </c>
      <c r="D4567" s="1" t="n">
        <v>46279</v>
      </c>
      <c r="E4567" s="1" t="n">
        <v>46319</v>
      </c>
      <c r="F4567" t="inlineStr">
        <is>
          <t>DALARNAS LÄN</t>
        </is>
      </c>
      <c r="G4567" t="inlineStr">
        <is>
          <t>LUDVIKA</t>
        </is>
      </c>
      <c r="H4567" t="inlineStr">
        <is>
          <t>Bergvik skog väst AB</t>
        </is>
      </c>
      <c r="I4567" t="n">
        <v>1.4</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37719-2026</t>
        </is>
      </c>
      <c r="B4568" t="inlineStr">
        <is>
          <t>avverkningsanmälan</t>
        </is>
      </c>
      <c r="C4568" t="inlineStr">
        <is>
          <t>Föryngringsavverkning</t>
        </is>
      </c>
      <c r="D4568" s="1" t="n">
        <v>46279</v>
      </c>
      <c r="E4568" s="1" t="n">
        <v>46319</v>
      </c>
      <c r="F4568" t="inlineStr">
        <is>
          <t>DALARNAS LÄN</t>
        </is>
      </c>
      <c r="G4568" t="inlineStr">
        <is>
          <t>LUDVIKA</t>
        </is>
      </c>
      <c r="H4568" t="inlineStr">
        <is>
          <t>Bergvik skog väst AB</t>
        </is>
      </c>
      <c r="I4568" t="n">
        <v>5.3</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26573-2025</t>
        </is>
      </c>
      <c r="B4569" t="inlineStr">
        <is>
          <t>avverkningsanmälan</t>
        </is>
      </c>
      <c r="C4569" t="inlineStr">
        <is>
          <t>Föryngringsavverkning</t>
        </is>
      </c>
      <c r="D4569" s="1" t="n">
        <v>45807</v>
      </c>
      <c r="E4569" s="1" t="n">
        <v>46319</v>
      </c>
      <c r="F4569" t="inlineStr">
        <is>
          <t>DALARNAS LÄN</t>
        </is>
      </c>
      <c r="G4569" t="inlineStr">
        <is>
          <t>MORA</t>
        </is>
      </c>
      <c r="I4569" t="n">
        <v>4.3</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61554-2024</t>
        </is>
      </c>
      <c r="B4570" t="inlineStr">
        <is>
          <t>avverkningsanmälan</t>
        </is>
      </c>
      <c r="C4570" t="inlineStr">
        <is>
          <t>Föryngringsavverkning</t>
        </is>
      </c>
      <c r="D4570" s="1" t="n">
        <v>45646</v>
      </c>
      <c r="E4570" s="1" t="n">
        <v>46319</v>
      </c>
      <c r="F4570" t="inlineStr">
        <is>
          <t>DALARNAS LÄN</t>
        </is>
      </c>
      <c r="G4570" t="inlineStr">
        <is>
          <t>LEKSAND</t>
        </is>
      </c>
      <c r="I4570" t="n">
        <v>2.6</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63277-2025</t>
        </is>
      </c>
      <c r="B4571" t="inlineStr">
        <is>
          <t>avverkningsanmälan</t>
        </is>
      </c>
      <c r="C4571" t="inlineStr">
        <is>
          <t>Föryngringsavverkning</t>
        </is>
      </c>
      <c r="D4571" s="1" t="n">
        <v>46010</v>
      </c>
      <c r="E4571" s="1" t="n">
        <v>46319</v>
      </c>
      <c r="F4571" t="inlineStr">
        <is>
          <t>DALARNAS LÄN</t>
        </is>
      </c>
      <c r="G4571" t="inlineStr">
        <is>
          <t>MALUNG-SÄLEN</t>
        </is>
      </c>
      <c r="H4571" t="inlineStr">
        <is>
          <t>Allmännings- och besparingsskogar</t>
        </is>
      </c>
      <c r="I4571" t="n">
        <v>46</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42421-2024</t>
        </is>
      </c>
      <c r="B4572" t="inlineStr">
        <is>
          <t>avverkningsanmälan</t>
        </is>
      </c>
      <c r="C4572" t="inlineStr">
        <is>
          <t>Föryngringsavverkning</t>
        </is>
      </c>
      <c r="D4572" s="1" t="n">
        <v>45565</v>
      </c>
      <c r="E4572" s="1" t="n">
        <v>46319</v>
      </c>
      <c r="F4572" t="inlineStr">
        <is>
          <t>DALARNAS LÄN</t>
        </is>
      </c>
      <c r="G4572" t="inlineStr">
        <is>
          <t>LUDVIKA</t>
        </is>
      </c>
      <c r="I4572" t="n">
        <v>5.3</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63291-2025</t>
        </is>
      </c>
      <c r="B4573" t="inlineStr">
        <is>
          <t>avverkningsanmälan</t>
        </is>
      </c>
      <c r="C4573" t="inlineStr">
        <is>
          <t>Föryngringsavverkning</t>
        </is>
      </c>
      <c r="D4573" s="1" t="n">
        <v>46010</v>
      </c>
      <c r="E4573" s="1" t="n">
        <v>46319</v>
      </c>
      <c r="F4573" t="inlineStr">
        <is>
          <t>DALARNAS LÄN</t>
        </is>
      </c>
      <c r="G4573" t="inlineStr">
        <is>
          <t>FALUN</t>
        </is>
      </c>
      <c r="I4573" t="n">
        <v>3.8</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63302-2025</t>
        </is>
      </c>
      <c r="B4574" t="inlineStr">
        <is>
          <t>avverkningsanmälan</t>
        </is>
      </c>
      <c r="C4574" t="inlineStr">
        <is>
          <t>Föryngringsavverkning</t>
        </is>
      </c>
      <c r="D4574" s="1" t="n">
        <v>46010</v>
      </c>
      <c r="E4574" s="1" t="n">
        <v>46319</v>
      </c>
      <c r="F4574" t="inlineStr">
        <is>
          <t>DALARNAS LÄN</t>
        </is>
      </c>
      <c r="G4574" t="inlineStr">
        <is>
          <t>RÄTTVIK</t>
        </is>
      </c>
      <c r="H4574" t="inlineStr">
        <is>
          <t>Bergvik skog väst AB</t>
        </is>
      </c>
      <c r="I4574" t="n">
        <v>0.5</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63307-2025</t>
        </is>
      </c>
      <c r="B4575" t="inlineStr">
        <is>
          <t>avverkningsanmälan</t>
        </is>
      </c>
      <c r="C4575" t="inlineStr">
        <is>
          <t>Föryngringsavverkning</t>
        </is>
      </c>
      <c r="D4575" s="1" t="n">
        <v>46010</v>
      </c>
      <c r="E4575" s="1" t="n">
        <v>46319</v>
      </c>
      <c r="F4575" t="inlineStr">
        <is>
          <t>DALARNAS LÄN</t>
        </is>
      </c>
      <c r="G4575" t="inlineStr">
        <is>
          <t>FALUN</t>
        </is>
      </c>
      <c r="I4575" t="n">
        <v>5.1</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63347-2025</t>
        </is>
      </c>
      <c r="B4576" t="inlineStr">
        <is>
          <t>avverkningsanmälan</t>
        </is>
      </c>
      <c r="C4576" t="inlineStr">
        <is>
          <t>Föryngringsavverkning</t>
        </is>
      </c>
      <c r="D4576" s="1" t="n">
        <v>46010</v>
      </c>
      <c r="E4576" s="1" t="n">
        <v>46319</v>
      </c>
      <c r="F4576" t="inlineStr">
        <is>
          <t>DALARNAS LÄN</t>
        </is>
      </c>
      <c r="G4576" t="inlineStr">
        <is>
          <t>SMEDJEBACKEN</t>
        </is>
      </c>
      <c r="H4576" t="inlineStr">
        <is>
          <t>Bergvik skog väst AB</t>
        </is>
      </c>
      <c r="I4576" t="n">
        <v>13.6</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23790-2024</t>
        </is>
      </c>
      <c r="B4577" t="inlineStr">
        <is>
          <t>avverkningsanmälan</t>
        </is>
      </c>
      <c r="C4577" t="inlineStr">
        <is>
          <t>Föryngringsavverkning</t>
        </is>
      </c>
      <c r="D4577" s="1" t="n">
        <v>45455</v>
      </c>
      <c r="E4577" s="1" t="n">
        <v>46319</v>
      </c>
      <c r="F4577" t="inlineStr">
        <is>
          <t>DALARNAS LÄN</t>
        </is>
      </c>
      <c r="G4577" t="inlineStr">
        <is>
          <t>MALUNG-SÄLEN</t>
        </is>
      </c>
      <c r="H4577" t="inlineStr">
        <is>
          <t>Kommuner</t>
        </is>
      </c>
      <c r="I4577" t="n">
        <v>1.6</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63058-2025</t>
        </is>
      </c>
      <c r="B4578" t="inlineStr">
        <is>
          <t>avverkningsanmälan</t>
        </is>
      </c>
      <c r="C4578" t="inlineStr">
        <is>
          <t>Föryngringsavverkning</t>
        </is>
      </c>
      <c r="D4578" s="1" t="n">
        <v>46009</v>
      </c>
      <c r="E4578" s="1" t="n">
        <v>46319</v>
      </c>
      <c r="F4578" t="inlineStr">
        <is>
          <t>DALARNAS LÄN</t>
        </is>
      </c>
      <c r="G4578" t="inlineStr">
        <is>
          <t>SMEDJEBACKEN</t>
        </is>
      </c>
      <c r="H4578" t="inlineStr">
        <is>
          <t>Övriga Aktiebolag</t>
        </is>
      </c>
      <c r="I4578" t="n">
        <v>2.2</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24712-2024</t>
        </is>
      </c>
      <c r="B4579" t="inlineStr">
        <is>
          <t>avverkningsanmälan</t>
        </is>
      </c>
      <c r="C4579" t="inlineStr">
        <is>
          <t>Föryngringsavverkning</t>
        </is>
      </c>
      <c r="D4579" s="1" t="n">
        <v>45460</v>
      </c>
      <c r="E4579" s="1" t="n">
        <v>46319</v>
      </c>
      <c r="F4579" t="inlineStr">
        <is>
          <t>DALARNAS LÄN</t>
        </is>
      </c>
      <c r="G4579" t="inlineStr">
        <is>
          <t>LUDVIKA</t>
        </is>
      </c>
      <c r="I4579" t="n">
        <v>4.2</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63303-2025</t>
        </is>
      </c>
      <c r="B4580" t="inlineStr">
        <is>
          <t>avverkningsanmälan</t>
        </is>
      </c>
      <c r="C4580" t="inlineStr">
        <is>
          <t>Föryngringsavverkning</t>
        </is>
      </c>
      <c r="D4580" s="1" t="n">
        <v>46010</v>
      </c>
      <c r="E4580" s="1" t="n">
        <v>46319</v>
      </c>
      <c r="F4580" t="inlineStr">
        <is>
          <t>DALARNAS LÄN</t>
        </is>
      </c>
      <c r="G4580" t="inlineStr">
        <is>
          <t>FALUN</t>
        </is>
      </c>
      <c r="I4580" t="n">
        <v>5.3</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63309-2025</t>
        </is>
      </c>
      <c r="B4581" t="inlineStr">
        <is>
          <t>avverkningsanmälan</t>
        </is>
      </c>
      <c r="C4581" t="inlineStr">
        <is>
          <t>Föryngringsavverkning</t>
        </is>
      </c>
      <c r="D4581" s="1" t="n">
        <v>46010</v>
      </c>
      <c r="E4581" s="1" t="n">
        <v>46319</v>
      </c>
      <c r="F4581" t="inlineStr">
        <is>
          <t>DALARNAS LÄN</t>
        </is>
      </c>
      <c r="G4581" t="inlineStr">
        <is>
          <t>RÄTTVIK</t>
        </is>
      </c>
      <c r="H4581" t="inlineStr">
        <is>
          <t>Bergvik skog väst AB</t>
        </is>
      </c>
      <c r="I4581" t="n">
        <v>2.9</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63178-2025</t>
        </is>
      </c>
      <c r="B4582" t="inlineStr">
        <is>
          <t>avverkningsanmälan</t>
        </is>
      </c>
      <c r="C4582" t="inlineStr">
        <is>
          <t>Föryngringsavverkning</t>
        </is>
      </c>
      <c r="D4582" s="1" t="n">
        <v>46010</v>
      </c>
      <c r="E4582" s="1" t="n">
        <v>46319</v>
      </c>
      <c r="F4582" t="inlineStr">
        <is>
          <t>DALARNAS LÄN</t>
        </is>
      </c>
      <c r="G4582" t="inlineStr">
        <is>
          <t>FALUN</t>
        </is>
      </c>
      <c r="I4582" t="n">
        <v>2.1</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22189-2025</t>
        </is>
      </c>
      <c r="B4583" t="inlineStr">
        <is>
          <t>avverkningsanmälan</t>
        </is>
      </c>
      <c r="C4583" t="inlineStr">
        <is>
          <t>Föryngringsavverkning</t>
        </is>
      </c>
      <c r="D4583" s="1" t="n">
        <v>45785</v>
      </c>
      <c r="E4583" s="1" t="n">
        <v>46319</v>
      </c>
      <c r="F4583" t="inlineStr">
        <is>
          <t>DALARNAS LÄN</t>
        </is>
      </c>
      <c r="G4583" t="inlineStr">
        <is>
          <t>ÄLVDALEN</t>
        </is>
      </c>
      <c r="H4583" t="inlineStr">
        <is>
          <t>Sveaskog</t>
        </is>
      </c>
      <c r="I4583" t="n">
        <v>1.9</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63234-2025</t>
        </is>
      </c>
      <c r="B4584" t="inlineStr">
        <is>
          <t>avverkningsanmälan</t>
        </is>
      </c>
      <c r="C4584" t="inlineStr">
        <is>
          <t>Föryngringsavverkning</t>
        </is>
      </c>
      <c r="D4584" s="1" t="n">
        <v>46010</v>
      </c>
      <c r="E4584" s="1" t="n">
        <v>46319</v>
      </c>
      <c r="F4584" t="inlineStr">
        <is>
          <t>DALARNAS LÄN</t>
        </is>
      </c>
      <c r="G4584" t="inlineStr">
        <is>
          <t>SMEDJEBACKEN</t>
        </is>
      </c>
      <c r="I4584" t="n">
        <v>5.7</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53602-2023</t>
        </is>
      </c>
      <c r="B4585" t="inlineStr">
        <is>
          <t>avverkningsanmälan</t>
        </is>
      </c>
      <c r="C4585" t="inlineStr">
        <is>
          <t>Föryngringsavverkning</t>
        </is>
      </c>
      <c r="D4585" s="1" t="n">
        <v>45230</v>
      </c>
      <c r="E4585" s="1" t="n">
        <v>46319</v>
      </c>
      <c r="F4585" t="inlineStr">
        <is>
          <t>DALARNAS LÄN</t>
        </is>
      </c>
      <c r="G4585" t="inlineStr">
        <is>
          <t>LUDVIKA</t>
        </is>
      </c>
      <c r="H4585" t="inlineStr">
        <is>
          <t>Bergvik skog väst AB</t>
        </is>
      </c>
      <c r="I4585" t="n">
        <v>4.9</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12842-2022</t>
        </is>
      </c>
      <c r="B4586" t="inlineStr">
        <is>
          <t>avverkningsanmälan</t>
        </is>
      </c>
      <c r="C4586" t="inlineStr">
        <is>
          <t>Föryngringsavverkning</t>
        </is>
      </c>
      <c r="D4586" s="1" t="n">
        <v>44641</v>
      </c>
      <c r="E4586" s="1" t="n">
        <v>46319</v>
      </c>
      <c r="F4586" t="inlineStr">
        <is>
          <t>DALARNAS LÄN</t>
        </is>
      </c>
      <c r="G4586" t="inlineStr">
        <is>
          <t>MALUNG-SÄLEN</t>
        </is>
      </c>
      <c r="H4586" t="inlineStr">
        <is>
          <t>Allmännings- och besparingsskogar</t>
        </is>
      </c>
      <c r="I4586" t="n">
        <v>35.1</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32194-2026</t>
        </is>
      </c>
      <c r="B4587" t="inlineStr">
        <is>
          <t>avverkningsanmälan</t>
        </is>
      </c>
      <c r="C4587" t="inlineStr">
        <is>
          <t>Föryngringsavverkning</t>
        </is>
      </c>
      <c r="D4587" s="1" t="n">
        <v>46237</v>
      </c>
      <c r="E4587" s="1" t="n">
        <v>46319</v>
      </c>
      <c r="F4587" t="inlineStr">
        <is>
          <t>DALARNAS LÄN</t>
        </is>
      </c>
      <c r="G4587" t="inlineStr">
        <is>
          <t>BORLÄNGE</t>
        </is>
      </c>
      <c r="I4587" t="n">
        <v>2.7</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63336-2025</t>
        </is>
      </c>
      <c r="B4588" t="inlineStr">
        <is>
          <t>avverkningsanmälan</t>
        </is>
      </c>
      <c r="C4588" t="inlineStr">
        <is>
          <t>Föryngringsavverkning</t>
        </is>
      </c>
      <c r="D4588" s="1" t="n">
        <v>46010</v>
      </c>
      <c r="E4588" s="1" t="n">
        <v>46319</v>
      </c>
      <c r="F4588" t="inlineStr">
        <is>
          <t>DALARNAS LÄN</t>
        </is>
      </c>
      <c r="G4588" t="inlineStr">
        <is>
          <t>RÄTTVIK</t>
        </is>
      </c>
      <c r="H4588" t="inlineStr">
        <is>
          <t>Bergvik skog väst AB</t>
        </is>
      </c>
      <c r="I4588" t="n">
        <v>11.9</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64065-2025</t>
        </is>
      </c>
      <c r="B4589" t="inlineStr">
        <is>
          <t>avverkningsanmälan</t>
        </is>
      </c>
      <c r="C4589" t="inlineStr">
        <is>
          <t>Föryngringsavverkning</t>
        </is>
      </c>
      <c r="D4589" s="1" t="n">
        <v>46010</v>
      </c>
      <c r="E4589" s="1" t="n">
        <v>46319</v>
      </c>
      <c r="F4589" t="inlineStr">
        <is>
          <t>DALARNAS LÄN</t>
        </is>
      </c>
      <c r="G4589" t="inlineStr">
        <is>
          <t>MALUNG-SÄLEN</t>
        </is>
      </c>
      <c r="I4589" t="n">
        <v>1.3</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61614-2023</t>
        </is>
      </c>
      <c r="B4590" t="inlineStr">
        <is>
          <t>avverkningsanmälan</t>
        </is>
      </c>
      <c r="C4590" t="inlineStr">
        <is>
          <t>Föryngringsavverkning</t>
        </is>
      </c>
      <c r="D4590" s="1" t="n">
        <v>45261</v>
      </c>
      <c r="E4590" s="1" t="n">
        <v>46319</v>
      </c>
      <c r="F4590" t="inlineStr">
        <is>
          <t>DALARNAS LÄN</t>
        </is>
      </c>
      <c r="G4590" t="inlineStr">
        <is>
          <t>LEKSAND</t>
        </is>
      </c>
      <c r="I4590" t="n">
        <v>0.8</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63222-2025</t>
        </is>
      </c>
      <c r="B4591" t="inlineStr">
        <is>
          <t>avverkningsanmälan</t>
        </is>
      </c>
      <c r="C4591" t="inlineStr">
        <is>
          <t>Föryngringsavverkning</t>
        </is>
      </c>
      <c r="D4591" s="1" t="n">
        <v>46010</v>
      </c>
      <c r="E4591" s="1" t="n">
        <v>46319</v>
      </c>
      <c r="F4591" t="inlineStr">
        <is>
          <t>DALARNAS LÄN</t>
        </is>
      </c>
      <c r="G4591" t="inlineStr">
        <is>
          <t>LUDVIKA</t>
        </is>
      </c>
      <c r="H4591" t="inlineStr">
        <is>
          <t>Bergvik skog väst AB</t>
        </is>
      </c>
      <c r="I4591" t="n">
        <v>2.6</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63251-2025</t>
        </is>
      </c>
      <c r="B4592" t="inlineStr">
        <is>
          <t>avverkningsanmälan</t>
        </is>
      </c>
      <c r="C4592" t="inlineStr">
        <is>
          <t>Föryngringsavverkning</t>
        </is>
      </c>
      <c r="D4592" s="1" t="n">
        <v>46010</v>
      </c>
      <c r="E4592" s="1" t="n">
        <v>46319</v>
      </c>
      <c r="F4592" t="inlineStr">
        <is>
          <t>DALARNAS LÄN</t>
        </is>
      </c>
      <c r="G4592" t="inlineStr">
        <is>
          <t>RÄTTVIK</t>
        </is>
      </c>
      <c r="H4592" t="inlineStr">
        <is>
          <t>Bergvik skog väst AB</t>
        </is>
      </c>
      <c r="I4592" t="n">
        <v>7.2</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16573-2024</t>
        </is>
      </c>
      <c r="B4593" t="inlineStr">
        <is>
          <t>avverkningsanmälan</t>
        </is>
      </c>
      <c r="C4593" t="inlineStr">
        <is>
          <t>Föryngringsavverkning</t>
        </is>
      </c>
      <c r="D4593" s="1" t="n">
        <v>45408</v>
      </c>
      <c r="E4593" s="1" t="n">
        <v>46319</v>
      </c>
      <c r="F4593" t="inlineStr">
        <is>
          <t>DALARNAS LÄN</t>
        </is>
      </c>
      <c r="G4593" t="inlineStr">
        <is>
          <t>MORA</t>
        </is>
      </c>
      <c r="I4593" t="n">
        <v>4.5</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32153-2026</t>
        </is>
      </c>
      <c r="B4594" t="inlineStr">
        <is>
          <t>avverkningsanmälan</t>
        </is>
      </c>
      <c r="C4594" t="inlineStr">
        <is>
          <t>Föryngringsavverkning</t>
        </is>
      </c>
      <c r="D4594" s="1" t="n">
        <v>46236</v>
      </c>
      <c r="E4594" s="1" t="n">
        <v>46319</v>
      </c>
      <c r="F4594" t="inlineStr">
        <is>
          <t>DALARNAS LÄN</t>
        </is>
      </c>
      <c r="G4594" t="inlineStr">
        <is>
          <t>ÄLVDALEN</t>
        </is>
      </c>
      <c r="H4594" t="inlineStr">
        <is>
          <t>Naturvårdsverket</t>
        </is>
      </c>
      <c r="I4594" t="n">
        <v>5.5</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60439-2022</t>
        </is>
      </c>
      <c r="B4595" t="inlineStr">
        <is>
          <t>avverkningsanmälan</t>
        </is>
      </c>
      <c r="C4595" t="inlineStr">
        <is>
          <t>Föryngringsavverkning</t>
        </is>
      </c>
      <c r="D4595" s="1" t="n">
        <v>44911</v>
      </c>
      <c r="E4595" s="1" t="n">
        <v>46319</v>
      </c>
      <c r="F4595" t="inlineStr">
        <is>
          <t>DALARNAS LÄN</t>
        </is>
      </c>
      <c r="G4595" t="inlineStr">
        <is>
          <t>MALUNG-SÄLEN</t>
        </is>
      </c>
      <c r="I4595" t="n">
        <v>2.9</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30635-2024</t>
        </is>
      </c>
      <c r="B4596" t="inlineStr">
        <is>
          <t>avverkningsanmälan</t>
        </is>
      </c>
      <c r="C4596" t="inlineStr">
        <is>
          <t>Föryngringsavverkning</t>
        </is>
      </c>
      <c r="D4596" s="1" t="n">
        <v>45495</v>
      </c>
      <c r="E4596" s="1" t="n">
        <v>46319</v>
      </c>
      <c r="F4596" t="inlineStr">
        <is>
          <t>DALARNAS LÄN</t>
        </is>
      </c>
      <c r="G4596" t="inlineStr">
        <is>
          <t>GAGNEF</t>
        </is>
      </c>
      <c r="I4596" t="n">
        <v>1.9</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54181-2025</t>
        </is>
      </c>
      <c r="B4597" t="inlineStr">
        <is>
          <t>avverkningsanmälan</t>
        </is>
      </c>
      <c r="C4597" t="inlineStr">
        <is>
          <t>Avverkning för annat ändamål</t>
        </is>
      </c>
      <c r="D4597" s="1" t="n">
        <v>45964</v>
      </c>
      <c r="E4597" s="1" t="n">
        <v>46319</v>
      </c>
      <c r="F4597" t="inlineStr">
        <is>
          <t>DALARNAS LÄN</t>
        </is>
      </c>
      <c r="G4597" t="inlineStr">
        <is>
          <t>GAGNEF</t>
        </is>
      </c>
      <c r="I4597" t="n">
        <v>0.7</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32037-2026</t>
        </is>
      </c>
      <c r="B4598" t="inlineStr">
        <is>
          <t>avverkningsanmälan</t>
        </is>
      </c>
      <c r="C4598" t="inlineStr">
        <is>
          <t>Föryngringsavverkning</t>
        </is>
      </c>
      <c r="D4598" s="1" t="n">
        <v>46233</v>
      </c>
      <c r="E4598" s="1" t="n">
        <v>46319</v>
      </c>
      <c r="F4598" t="inlineStr">
        <is>
          <t>DALARNAS LÄN</t>
        </is>
      </c>
      <c r="G4598" t="inlineStr">
        <is>
          <t>ÄLVDALEN</t>
        </is>
      </c>
      <c r="H4598" t="inlineStr">
        <is>
          <t>Bergvik skog väst AB</t>
        </is>
      </c>
      <c r="I4598" t="n">
        <v>4.8</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63184-2025</t>
        </is>
      </c>
      <c r="B4599" t="inlineStr">
        <is>
          <t>avverkningsanmälan</t>
        </is>
      </c>
      <c r="C4599" t="inlineStr">
        <is>
          <t>Föryngringsavverkning</t>
        </is>
      </c>
      <c r="D4599" s="1" t="n">
        <v>46010</v>
      </c>
      <c r="E4599" s="1" t="n">
        <v>46319</v>
      </c>
      <c r="F4599" t="inlineStr">
        <is>
          <t>DALARNAS LÄN</t>
        </is>
      </c>
      <c r="G4599" t="inlineStr">
        <is>
          <t>GAGNEF</t>
        </is>
      </c>
      <c r="I4599" t="n">
        <v>4.3</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62971-2025</t>
        </is>
      </c>
      <c r="B4600" t="inlineStr">
        <is>
          <t>avverkningsanmälan</t>
        </is>
      </c>
      <c r="C4600" t="inlineStr">
        <is>
          <t>Föryngringsavverkning</t>
        </is>
      </c>
      <c r="D4600" s="1" t="n">
        <v>46009</v>
      </c>
      <c r="E4600" s="1" t="n">
        <v>46319</v>
      </c>
      <c r="F4600" t="inlineStr">
        <is>
          <t>DALARNAS LÄN</t>
        </is>
      </c>
      <c r="G4600" t="inlineStr">
        <is>
          <t>ORSA</t>
        </is>
      </c>
      <c r="I4600" t="n">
        <v>2.4</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15923-2024</t>
        </is>
      </c>
      <c r="B4601" t="inlineStr">
        <is>
          <t>avverkningsanmälan</t>
        </is>
      </c>
      <c r="C4601" t="inlineStr">
        <is>
          <t>Föryngringsavverkning</t>
        </is>
      </c>
      <c r="D4601" s="1" t="n">
        <v>45405</v>
      </c>
      <c r="E4601" s="1" t="n">
        <v>46319</v>
      </c>
      <c r="F4601" t="inlineStr">
        <is>
          <t>DALARNAS LÄN</t>
        </is>
      </c>
      <c r="G4601" t="inlineStr">
        <is>
          <t>AVESTA</t>
        </is>
      </c>
      <c r="I4601" t="n">
        <v>2.3</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63215-2025</t>
        </is>
      </c>
      <c r="B4602" t="inlineStr">
        <is>
          <t>avverkningsanmälan</t>
        </is>
      </c>
      <c r="C4602" t="inlineStr">
        <is>
          <t>Föryngringsavverkning</t>
        </is>
      </c>
      <c r="D4602" s="1" t="n">
        <v>46010</v>
      </c>
      <c r="E4602" s="1" t="n">
        <v>46319</v>
      </c>
      <c r="F4602" t="inlineStr">
        <is>
          <t>DALARNAS LÄN</t>
        </is>
      </c>
      <c r="G4602" t="inlineStr">
        <is>
          <t>LUDVIKA</t>
        </is>
      </c>
      <c r="H4602" t="inlineStr">
        <is>
          <t>Bergvik skog väst AB</t>
        </is>
      </c>
      <c r="I4602" t="n">
        <v>4.5</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37898-2026</t>
        </is>
      </c>
      <c r="B4603" t="inlineStr">
        <is>
          <t>avverkningsanmälan</t>
        </is>
      </c>
      <c r="C4603" t="inlineStr">
        <is>
          <t>Föryngringsavverkning</t>
        </is>
      </c>
      <c r="D4603" s="1" t="n">
        <v>46279</v>
      </c>
      <c r="E4603" s="1" t="n">
        <v>46319</v>
      </c>
      <c r="F4603" t="inlineStr">
        <is>
          <t>DALARNAS LÄN</t>
        </is>
      </c>
      <c r="G4603" t="inlineStr">
        <is>
          <t>HEDEMORA</t>
        </is>
      </c>
      <c r="H4603" t="inlineStr">
        <is>
          <t>Bergvik skog väst AB</t>
        </is>
      </c>
      <c r="I4603" t="n">
        <v>11.6</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63239-2023</t>
        </is>
      </c>
      <c r="B4604" t="inlineStr">
        <is>
          <t>avverkningsanmälan</t>
        </is>
      </c>
      <c r="C4604" t="inlineStr">
        <is>
          <t>Föryngringsavverkning</t>
        </is>
      </c>
      <c r="D4604" s="1" t="n">
        <v>45273</v>
      </c>
      <c r="E4604" s="1" t="n">
        <v>46319</v>
      </c>
      <c r="F4604" t="inlineStr">
        <is>
          <t>DALARNAS LÄN</t>
        </is>
      </c>
      <c r="G4604" t="inlineStr">
        <is>
          <t>RÄTTVIK</t>
        </is>
      </c>
      <c r="I4604" t="n">
        <v>1.9</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46387-2024</t>
        </is>
      </c>
      <c r="B4605" t="inlineStr">
        <is>
          <t>avverkningsanmälan</t>
        </is>
      </c>
      <c r="C4605" t="inlineStr">
        <is>
          <t>Föryngringsavverkning</t>
        </is>
      </c>
      <c r="D4605" s="1" t="n">
        <v>45582</v>
      </c>
      <c r="E4605" s="1" t="n">
        <v>46319</v>
      </c>
      <c r="F4605" t="inlineStr">
        <is>
          <t>DALARNAS LÄN</t>
        </is>
      </c>
      <c r="G4605" t="inlineStr">
        <is>
          <t>RÄTTVIK</t>
        </is>
      </c>
      <c r="I4605" t="n">
        <v>1.4</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37756-2026</t>
        </is>
      </c>
      <c r="B4606" t="inlineStr">
        <is>
          <t>avverkningsanmälan</t>
        </is>
      </c>
      <c r="C4606" t="inlineStr">
        <is>
          <t>Föryngringsavverkning</t>
        </is>
      </c>
      <c r="D4606" s="1" t="n">
        <v>46279</v>
      </c>
      <c r="E4606" s="1" t="n">
        <v>46319</v>
      </c>
      <c r="F4606" t="inlineStr">
        <is>
          <t>DALARNAS LÄN</t>
        </is>
      </c>
      <c r="G4606" t="inlineStr">
        <is>
          <t>RÄTTVIK</t>
        </is>
      </c>
      <c r="H4606" t="inlineStr">
        <is>
          <t>Sveaskog</t>
        </is>
      </c>
      <c r="I4606" t="n">
        <v>1.4</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38266-2024</t>
        </is>
      </c>
      <c r="B4607" t="inlineStr">
        <is>
          <t>avverkningsanmälan</t>
        </is>
      </c>
      <c r="C4607" t="inlineStr">
        <is>
          <t>Föryngringsavverkning</t>
        </is>
      </c>
      <c r="D4607" s="1" t="n">
        <v>45545</v>
      </c>
      <c r="E4607" s="1" t="n">
        <v>46319</v>
      </c>
      <c r="F4607" t="inlineStr">
        <is>
          <t>DALARNAS LÄN</t>
        </is>
      </c>
      <c r="G4607" t="inlineStr">
        <is>
          <t>RÄTTVIK</t>
        </is>
      </c>
      <c r="I4607" t="n">
        <v>3</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63082-2025</t>
        </is>
      </c>
      <c r="B4608" t="inlineStr">
        <is>
          <t>avverkningsanmälan</t>
        </is>
      </c>
      <c r="C4608" t="inlineStr">
        <is>
          <t>Föryngringsavverkning</t>
        </is>
      </c>
      <c r="D4608" s="1" t="n">
        <v>46009</v>
      </c>
      <c r="E4608" s="1" t="n">
        <v>46319</v>
      </c>
      <c r="F4608" t="inlineStr">
        <is>
          <t>DALARNAS LÄN</t>
        </is>
      </c>
      <c r="G4608" t="inlineStr">
        <is>
          <t>SMEDJEBACKEN</t>
        </is>
      </c>
      <c r="I4608" t="n">
        <v>8.300000000000001</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62930-2025</t>
        </is>
      </c>
      <c r="B4609" t="inlineStr">
        <is>
          <t>avverkningsanmälan</t>
        </is>
      </c>
      <c r="C4609" t="inlineStr">
        <is>
          <t>Föryngringsavverkning</t>
        </is>
      </c>
      <c r="D4609" s="1" t="n">
        <v>46009</v>
      </c>
      <c r="E4609" s="1" t="n">
        <v>46319</v>
      </c>
      <c r="F4609" t="inlineStr">
        <is>
          <t>DALARNAS LÄN</t>
        </is>
      </c>
      <c r="G4609" t="inlineStr">
        <is>
          <t>LUDVIKA</t>
        </is>
      </c>
      <c r="H4609" t="inlineStr">
        <is>
          <t>Bergvik skog väst AB</t>
        </is>
      </c>
      <c r="I4609" t="n">
        <v>1.1</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32250-2026</t>
        </is>
      </c>
      <c r="B4610" t="inlineStr">
        <is>
          <t>avverkningsanmälan</t>
        </is>
      </c>
      <c r="C4610" t="inlineStr">
        <is>
          <t>Föryngringsavverkning</t>
        </is>
      </c>
      <c r="D4610" s="1" t="n">
        <v>46237</v>
      </c>
      <c r="E4610" s="1" t="n">
        <v>46319</v>
      </c>
      <c r="F4610" t="inlineStr">
        <is>
          <t>DALARNAS LÄN</t>
        </is>
      </c>
      <c r="G4610" t="inlineStr">
        <is>
          <t>RÄTTVIK</t>
        </is>
      </c>
      <c r="I4610" t="n">
        <v>1.6</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37874-2026</t>
        </is>
      </c>
      <c r="B4611" t="inlineStr">
        <is>
          <t>avverkningsanmälan</t>
        </is>
      </c>
      <c r="C4611" t="inlineStr">
        <is>
          <t>Avverkning för annat ändamål</t>
        </is>
      </c>
      <c r="D4611" s="1" t="n">
        <v>46279</v>
      </c>
      <c r="E4611" s="1" t="n">
        <v>46319</v>
      </c>
      <c r="F4611" t="inlineStr">
        <is>
          <t>DALARNAS LÄN</t>
        </is>
      </c>
      <c r="G4611" t="inlineStr">
        <is>
          <t>RÄTTVIK</t>
        </is>
      </c>
      <c r="I4611" t="n">
        <v>1.2</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63029-2025</t>
        </is>
      </c>
      <c r="B4612" t="inlineStr">
        <is>
          <t>avverkningsanmälan</t>
        </is>
      </c>
      <c r="C4612" t="inlineStr">
        <is>
          <t>Föryngringsavverkning</t>
        </is>
      </c>
      <c r="D4612" s="1" t="n">
        <v>46009</v>
      </c>
      <c r="E4612" s="1" t="n">
        <v>46319</v>
      </c>
      <c r="F4612" t="inlineStr">
        <is>
          <t>DALARNAS LÄN</t>
        </is>
      </c>
      <c r="G4612" t="inlineStr">
        <is>
          <t>MALUNG-SÄLEN</t>
        </is>
      </c>
      <c r="I4612" t="n">
        <v>6.8</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32016-2026</t>
        </is>
      </c>
      <c r="B4613" t="inlineStr">
        <is>
          <t>avverkningsanmälan</t>
        </is>
      </c>
      <c r="C4613" t="inlineStr">
        <is>
          <t>Föryngringsavverkning</t>
        </is>
      </c>
      <c r="D4613" s="1" t="n">
        <v>46233</v>
      </c>
      <c r="E4613" s="1" t="n">
        <v>46319</v>
      </c>
      <c r="F4613" t="inlineStr">
        <is>
          <t>DALARNAS LÄN</t>
        </is>
      </c>
      <c r="G4613" t="inlineStr">
        <is>
          <t>LUDVIKA</t>
        </is>
      </c>
      <c r="H4613" t="inlineStr">
        <is>
          <t>Bergvik skog väst AB</t>
        </is>
      </c>
      <c r="I4613" t="n">
        <v>3.9</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63111-2025</t>
        </is>
      </c>
      <c r="B4614" t="inlineStr">
        <is>
          <t>avverkningsanmälan</t>
        </is>
      </c>
      <c r="C4614" t="inlineStr">
        <is>
          <t>Föryngringsavverkning</t>
        </is>
      </c>
      <c r="D4614" s="1" t="n">
        <v>46009</v>
      </c>
      <c r="E4614" s="1" t="n">
        <v>46319</v>
      </c>
      <c r="F4614" t="inlineStr">
        <is>
          <t>DALARNAS LÄN</t>
        </is>
      </c>
      <c r="G4614" t="inlineStr">
        <is>
          <t>RÄTTVIK</t>
        </is>
      </c>
      <c r="I4614" t="n">
        <v>0.6</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37894-2026</t>
        </is>
      </c>
      <c r="B4615" t="inlineStr">
        <is>
          <t>avverkningsanmälan</t>
        </is>
      </c>
      <c r="C4615" t="inlineStr">
        <is>
          <t>Föryngringsavverkning</t>
        </is>
      </c>
      <c r="D4615" s="1" t="n">
        <v>46279</v>
      </c>
      <c r="E4615" s="1" t="n">
        <v>46319</v>
      </c>
      <c r="F4615" t="inlineStr">
        <is>
          <t>DALARNAS LÄN</t>
        </is>
      </c>
      <c r="G4615" t="inlineStr">
        <is>
          <t>HEDEMORA</t>
        </is>
      </c>
      <c r="H4615" t="inlineStr">
        <is>
          <t>Bergvik skog väst AB</t>
        </is>
      </c>
      <c r="I4615" t="n">
        <v>1.2</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43926-2024</t>
        </is>
      </c>
      <c r="B4616" t="inlineStr">
        <is>
          <t>avverkningsanmälan</t>
        </is>
      </c>
      <c r="C4616" t="inlineStr">
        <is>
          <t>Föryngringsavverkning</t>
        </is>
      </c>
      <c r="D4616" s="1" t="n">
        <v>45572</v>
      </c>
      <c r="E4616" s="1" t="n">
        <v>46319</v>
      </c>
      <c r="F4616" t="inlineStr">
        <is>
          <t>DALARNAS LÄN</t>
        </is>
      </c>
      <c r="G4616" t="inlineStr">
        <is>
          <t>SMEDJEBACKEN</t>
        </is>
      </c>
      <c r="H4616" t="inlineStr">
        <is>
          <t>Sveaskog</t>
        </is>
      </c>
      <c r="I4616" t="n">
        <v>1</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62945-2025</t>
        </is>
      </c>
      <c r="B4617" t="inlineStr">
        <is>
          <t>avverkningsanmälan</t>
        </is>
      </c>
      <c r="C4617" t="inlineStr">
        <is>
          <t>Avverkning för annat ändamål</t>
        </is>
      </c>
      <c r="D4617" s="1" t="n">
        <v>46009</v>
      </c>
      <c r="E4617" s="1" t="n">
        <v>46319</v>
      </c>
      <c r="F4617" t="inlineStr">
        <is>
          <t>DALARNAS LÄN</t>
        </is>
      </c>
      <c r="G4617" t="inlineStr">
        <is>
          <t>LUDVIKA</t>
        </is>
      </c>
      <c r="I4617" t="n">
        <v>0.6</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63260-2025</t>
        </is>
      </c>
      <c r="B4618" t="inlineStr">
        <is>
          <t>avverkningsanmälan</t>
        </is>
      </c>
      <c r="C4618" t="inlineStr">
        <is>
          <t>Föryngringsavverkning</t>
        </is>
      </c>
      <c r="D4618" s="1" t="n">
        <v>46010</v>
      </c>
      <c r="E4618" s="1" t="n">
        <v>46319</v>
      </c>
      <c r="F4618" t="inlineStr">
        <is>
          <t>DALARNAS LÄN</t>
        </is>
      </c>
      <c r="G4618" t="inlineStr">
        <is>
          <t>LEKSAND</t>
        </is>
      </c>
      <c r="I4618" t="n">
        <v>11.7</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28724-2024</t>
        </is>
      </c>
      <c r="B4619" t="inlineStr">
        <is>
          <t>avverkningsanmälan</t>
        </is>
      </c>
      <c r="C4619" t="inlineStr">
        <is>
          <t>Föryngringsavverkning</t>
        </is>
      </c>
      <c r="D4619" s="1" t="n">
        <v>45478</v>
      </c>
      <c r="E4619" s="1" t="n">
        <v>46319</v>
      </c>
      <c r="F4619" t="inlineStr">
        <is>
          <t>DALARNAS LÄN</t>
        </is>
      </c>
      <c r="G4619" t="inlineStr">
        <is>
          <t>FALUN</t>
        </is>
      </c>
      <c r="I4619" t="n">
        <v>5.1</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26577-2025</t>
        </is>
      </c>
      <c r="B4620" t="inlineStr">
        <is>
          <t>avverkningsanmälan</t>
        </is>
      </c>
      <c r="C4620" t="inlineStr">
        <is>
          <t>Föryngringsavverkning</t>
        </is>
      </c>
      <c r="D4620" s="1" t="n">
        <v>45807</v>
      </c>
      <c r="E4620" s="1" t="n">
        <v>46319</v>
      </c>
      <c r="F4620" t="inlineStr">
        <is>
          <t>DALARNAS LÄN</t>
        </is>
      </c>
      <c r="G4620" t="inlineStr">
        <is>
          <t>MORA</t>
        </is>
      </c>
      <c r="I4620" t="n">
        <v>2.8</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63360-2025</t>
        </is>
      </c>
      <c r="B4621" t="inlineStr">
        <is>
          <t>avverkningsanmälan</t>
        </is>
      </c>
      <c r="C4621" t="inlineStr">
        <is>
          <t>Föryngringsavverkning</t>
        </is>
      </c>
      <c r="D4621" s="1" t="n">
        <v>46010</v>
      </c>
      <c r="E4621" s="1" t="n">
        <v>46319</v>
      </c>
      <c r="F4621" t="inlineStr">
        <is>
          <t>DALARNAS LÄN</t>
        </is>
      </c>
      <c r="G4621" t="inlineStr">
        <is>
          <t>LEKSAND</t>
        </is>
      </c>
      <c r="I4621" t="n">
        <v>1</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38019-2026</t>
        </is>
      </c>
      <c r="B4622" t="inlineStr">
        <is>
          <t>avverkningsanmälan</t>
        </is>
      </c>
      <c r="C4622" t="inlineStr">
        <is>
          <t>Föryngringsavverkning</t>
        </is>
      </c>
      <c r="D4622" s="1" t="n">
        <v>46280</v>
      </c>
      <c r="E4622" s="1" t="n">
        <v>46319</v>
      </c>
      <c r="F4622" t="inlineStr">
        <is>
          <t>DALARNAS LÄN</t>
        </is>
      </c>
      <c r="G4622" t="inlineStr">
        <is>
          <t>FALUN</t>
        </is>
      </c>
      <c r="I4622" t="n">
        <v>1.5</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37987-2026</t>
        </is>
      </c>
      <c r="B4623" t="inlineStr">
        <is>
          <t>avverkningsanmälan</t>
        </is>
      </c>
      <c r="C4623" t="inlineStr">
        <is>
          <t>Föryngringsavverkning</t>
        </is>
      </c>
      <c r="D4623" s="1" t="n">
        <v>46280</v>
      </c>
      <c r="E4623" s="1" t="n">
        <v>46319</v>
      </c>
      <c r="F4623" t="inlineStr">
        <is>
          <t>DALARNAS LÄN</t>
        </is>
      </c>
      <c r="G4623" t="inlineStr">
        <is>
          <t>VANSBRO</t>
        </is>
      </c>
      <c r="H4623" t="inlineStr">
        <is>
          <t>Bergvik skog öst AB</t>
        </is>
      </c>
      <c r="I4623" t="n">
        <v>1.9</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63107-2025</t>
        </is>
      </c>
      <c r="B4624" t="inlineStr">
        <is>
          <t>avverkningsanmälan</t>
        </is>
      </c>
      <c r="C4624" t="inlineStr">
        <is>
          <t>Föryngringsavverkning</t>
        </is>
      </c>
      <c r="D4624" s="1" t="n">
        <v>46009</v>
      </c>
      <c r="E4624" s="1" t="n">
        <v>46319</v>
      </c>
      <c r="F4624" t="inlineStr">
        <is>
          <t>DALARNAS LÄN</t>
        </is>
      </c>
      <c r="G4624" t="inlineStr">
        <is>
          <t>ÄLVDALEN</t>
        </is>
      </c>
      <c r="I4624" t="n">
        <v>4.6</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63157-2025</t>
        </is>
      </c>
      <c r="B4625" t="inlineStr">
        <is>
          <t>avverkningsanmälan</t>
        </is>
      </c>
      <c r="C4625" t="inlineStr">
        <is>
          <t>Föryngringsavverkning</t>
        </is>
      </c>
      <c r="D4625" s="1" t="n">
        <v>46010</v>
      </c>
      <c r="E4625" s="1" t="n">
        <v>46319</v>
      </c>
      <c r="F4625" t="inlineStr">
        <is>
          <t>DALARNAS LÄN</t>
        </is>
      </c>
      <c r="G4625" t="inlineStr">
        <is>
          <t>RÄTTVIK</t>
        </is>
      </c>
      <c r="I4625" t="n">
        <v>2</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63231-2025</t>
        </is>
      </c>
      <c r="B4626" t="inlineStr">
        <is>
          <t>avverkningsanmälan</t>
        </is>
      </c>
      <c r="C4626" t="inlineStr">
        <is>
          <t>Föryngringsavverkning</t>
        </is>
      </c>
      <c r="D4626" s="1" t="n">
        <v>46010</v>
      </c>
      <c r="E4626" s="1" t="n">
        <v>46319</v>
      </c>
      <c r="F4626" t="inlineStr">
        <is>
          <t>DALARNAS LÄN</t>
        </is>
      </c>
      <c r="G4626" t="inlineStr">
        <is>
          <t>ORSA</t>
        </is>
      </c>
      <c r="I4626" t="n">
        <v>1.3</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54178-2025</t>
        </is>
      </c>
      <c r="B4627" t="inlineStr">
        <is>
          <t>avverkningsanmälan</t>
        </is>
      </c>
      <c r="C4627" t="inlineStr">
        <is>
          <t>Avverkning för annat ändamål</t>
        </is>
      </c>
      <c r="D4627" s="1" t="n">
        <v>45964</v>
      </c>
      <c r="E4627" s="1" t="n">
        <v>46319</v>
      </c>
      <c r="F4627" t="inlineStr">
        <is>
          <t>DALARNAS LÄN</t>
        </is>
      </c>
      <c r="G4627" t="inlineStr">
        <is>
          <t>GAGNEF</t>
        </is>
      </c>
      <c r="I4627" t="n">
        <v>0.7</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14993-2024</t>
        </is>
      </c>
      <c r="B4628" t="inlineStr">
        <is>
          <t>avverkningsanmälan</t>
        </is>
      </c>
      <c r="C4628" t="inlineStr">
        <is>
          <t>Föryngringsavverkning</t>
        </is>
      </c>
      <c r="D4628" s="1" t="n">
        <v>45399</v>
      </c>
      <c r="E4628" s="1" t="n">
        <v>46319</v>
      </c>
      <c r="F4628" t="inlineStr">
        <is>
          <t>DALARNAS LÄN</t>
        </is>
      </c>
      <c r="G4628" t="inlineStr">
        <is>
          <t>MALUNG-SÄLEN</t>
        </is>
      </c>
      <c r="I4628" t="n">
        <v>2.9</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27668-2023</t>
        </is>
      </c>
      <c r="B4629" t="inlineStr">
        <is>
          <t>avverkningsanmälan</t>
        </is>
      </c>
      <c r="C4629" t="inlineStr">
        <is>
          <t>Föryngringsavverkning</t>
        </is>
      </c>
      <c r="D4629" s="1" t="n">
        <v>45097</v>
      </c>
      <c r="E4629" s="1" t="n">
        <v>46319</v>
      </c>
      <c r="F4629" t="inlineStr">
        <is>
          <t>DALARNAS LÄN</t>
        </is>
      </c>
      <c r="G4629" t="inlineStr">
        <is>
          <t>GAGNEF</t>
        </is>
      </c>
      <c r="I4629" t="n">
        <v>1.4</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32203-2026</t>
        </is>
      </c>
      <c r="B4630" t="inlineStr">
        <is>
          <t>avverkningsanmälan</t>
        </is>
      </c>
      <c r="C4630" t="inlineStr">
        <is>
          <t>Föryngringsavverkning</t>
        </is>
      </c>
      <c r="D4630" s="1" t="n">
        <v>46237</v>
      </c>
      <c r="E4630" s="1" t="n">
        <v>46319</v>
      </c>
      <c r="F4630" t="inlineStr">
        <is>
          <t>DALARNAS LÄN</t>
        </is>
      </c>
      <c r="G4630" t="inlineStr">
        <is>
          <t>RÄTTVIK</t>
        </is>
      </c>
      <c r="H4630" t="inlineStr">
        <is>
          <t>Bergvik skog väst AB</t>
        </is>
      </c>
      <c r="I4630" t="n">
        <v>2.2</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38013-2026</t>
        </is>
      </c>
      <c r="B4631" t="inlineStr">
        <is>
          <t>avverkningsanmälan</t>
        </is>
      </c>
      <c r="C4631" t="inlineStr">
        <is>
          <t>Föryngringsavverkning</t>
        </is>
      </c>
      <c r="D4631" s="1" t="n">
        <v>46280</v>
      </c>
      <c r="E4631" s="1" t="n">
        <v>46319</v>
      </c>
      <c r="F4631" t="inlineStr">
        <is>
          <t>DALARNAS LÄN</t>
        </is>
      </c>
      <c r="G4631" t="inlineStr">
        <is>
          <t>RÄTTVIK</t>
        </is>
      </c>
      <c r="H4631" t="inlineStr">
        <is>
          <t>Sveaskog</t>
        </is>
      </c>
      <c r="I4631" t="n">
        <v>1.6</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62959-2025</t>
        </is>
      </c>
      <c r="B4632" t="inlineStr">
        <is>
          <t>avverkningsanmälan</t>
        </is>
      </c>
      <c r="C4632" t="inlineStr">
        <is>
          <t>Föryngringsavverkning</t>
        </is>
      </c>
      <c r="D4632" s="1" t="n">
        <v>46009</v>
      </c>
      <c r="E4632" s="1" t="n">
        <v>46319</v>
      </c>
      <c r="F4632" t="inlineStr">
        <is>
          <t>DALARNAS LÄN</t>
        </is>
      </c>
      <c r="G4632" t="inlineStr">
        <is>
          <t>MORA</t>
        </is>
      </c>
      <c r="I4632" t="n">
        <v>2.6</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38025-2026</t>
        </is>
      </c>
      <c r="B4633" t="inlineStr">
        <is>
          <t>avverkningsanmälan</t>
        </is>
      </c>
      <c r="C4633" t="inlineStr">
        <is>
          <t>Föryngringsavverkning</t>
        </is>
      </c>
      <c r="D4633" s="1" t="n">
        <v>46280</v>
      </c>
      <c r="E4633" s="1" t="n">
        <v>46319</v>
      </c>
      <c r="F4633" t="inlineStr">
        <is>
          <t>DALARNAS LÄN</t>
        </is>
      </c>
      <c r="G4633" t="inlineStr">
        <is>
          <t>MALUNG-SÄLEN</t>
        </is>
      </c>
      <c r="H4633" t="inlineStr">
        <is>
          <t>Bergvik skog öst AB</t>
        </is>
      </c>
      <c r="I4633" t="n">
        <v>4.7</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63118-2025</t>
        </is>
      </c>
      <c r="B4634" t="inlineStr">
        <is>
          <t>avverkningsanmälan</t>
        </is>
      </c>
      <c r="C4634" t="inlineStr">
        <is>
          <t>Föryngringsavverkning</t>
        </is>
      </c>
      <c r="D4634" s="1" t="n">
        <v>46009</v>
      </c>
      <c r="E4634" s="1" t="n">
        <v>46319</v>
      </c>
      <c r="F4634" t="inlineStr">
        <is>
          <t>DALARNAS LÄN</t>
        </is>
      </c>
      <c r="G4634" t="inlineStr">
        <is>
          <t>ORSA</t>
        </is>
      </c>
      <c r="I4634" t="n">
        <v>0.8</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64068-2025</t>
        </is>
      </c>
      <c r="B4635" t="inlineStr">
        <is>
          <t>avverkningsanmälan</t>
        </is>
      </c>
      <c r="C4635" t="inlineStr">
        <is>
          <t>Föryngringsavverkning</t>
        </is>
      </c>
      <c r="D4635" s="1" t="n">
        <v>46010</v>
      </c>
      <c r="E4635" s="1" t="n">
        <v>46319</v>
      </c>
      <c r="F4635" t="inlineStr">
        <is>
          <t>DALARNAS LÄN</t>
        </is>
      </c>
      <c r="G4635" t="inlineStr">
        <is>
          <t>MALUNG-SÄLEN</t>
        </is>
      </c>
      <c r="I4635" t="n">
        <v>1.9</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46095-2024</t>
        </is>
      </c>
      <c r="B4636" t="inlineStr">
        <is>
          <t>avverkningsanmälan</t>
        </is>
      </c>
      <c r="C4636" t="inlineStr">
        <is>
          <t>Föryngringsavverkning</t>
        </is>
      </c>
      <c r="D4636" s="1" t="n">
        <v>45581</v>
      </c>
      <c r="E4636" s="1" t="n">
        <v>46319</v>
      </c>
      <c r="F4636" t="inlineStr">
        <is>
          <t>DALARNAS LÄN</t>
        </is>
      </c>
      <c r="G4636" t="inlineStr">
        <is>
          <t>LUDVIKA</t>
        </is>
      </c>
      <c r="H4636" t="inlineStr">
        <is>
          <t>Bergvik skog väst AB</t>
        </is>
      </c>
      <c r="I4636" t="n">
        <v>2.1</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63525-2025</t>
        </is>
      </c>
      <c r="B4637" t="inlineStr">
        <is>
          <t>avverkningsanmälan</t>
        </is>
      </c>
      <c r="C4637" t="inlineStr">
        <is>
          <t>Föryngringsavverkning</t>
        </is>
      </c>
      <c r="D4637" s="1" t="n">
        <v>46013</v>
      </c>
      <c r="E4637" s="1" t="n">
        <v>46319</v>
      </c>
      <c r="F4637" t="inlineStr">
        <is>
          <t>DALARNAS LÄN</t>
        </is>
      </c>
      <c r="G4637" t="inlineStr">
        <is>
          <t>ÄLVDALEN</t>
        </is>
      </c>
      <c r="I4637" t="n">
        <v>2.9</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21928-2023</t>
        </is>
      </c>
      <c r="B4638" t="inlineStr">
        <is>
          <t>avverkningsanmälan</t>
        </is>
      </c>
      <c r="C4638" t="inlineStr">
        <is>
          <t>Föryngringsavverkning</t>
        </is>
      </c>
      <c r="D4638" s="1" t="n">
        <v>45068</v>
      </c>
      <c r="E4638" s="1" t="n">
        <v>46319</v>
      </c>
      <c r="F4638" t="inlineStr">
        <is>
          <t>DALARNAS LÄN</t>
        </is>
      </c>
      <c r="G4638" t="inlineStr">
        <is>
          <t>BORLÄNGE</t>
        </is>
      </c>
      <c r="I4638" t="n">
        <v>1.2</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63692-2025</t>
        </is>
      </c>
      <c r="B4639" t="inlineStr">
        <is>
          <t>avverkningsanmälan</t>
        </is>
      </c>
      <c r="C4639" t="inlineStr">
        <is>
          <t>Föryngringsavverkning</t>
        </is>
      </c>
      <c r="D4639" s="1" t="n">
        <v>46014</v>
      </c>
      <c r="E4639" s="1" t="n">
        <v>46319</v>
      </c>
      <c r="F4639" t="inlineStr">
        <is>
          <t>DALARNAS LÄN</t>
        </is>
      </c>
      <c r="G4639" t="inlineStr">
        <is>
          <t>MORA</t>
        </is>
      </c>
      <c r="I4639" t="n">
        <v>1.4</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31365-2024</t>
        </is>
      </c>
      <c r="B4640" t="inlineStr">
        <is>
          <t>avverkningsanmälan</t>
        </is>
      </c>
      <c r="C4640" t="inlineStr">
        <is>
          <t>Föryngringsavverkning</t>
        </is>
      </c>
      <c r="D4640" s="1" t="n">
        <v>45505</v>
      </c>
      <c r="E4640" s="1" t="n">
        <v>46319</v>
      </c>
      <c r="F4640" t="inlineStr">
        <is>
          <t>DALARNAS LÄN</t>
        </is>
      </c>
      <c r="G4640" t="inlineStr">
        <is>
          <t>HEDEMORA</t>
        </is>
      </c>
      <c r="I4640" t="n">
        <v>0.4</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52359-2024</t>
        </is>
      </c>
      <c r="B4641" t="inlineStr">
        <is>
          <t>avverkningsanmälan</t>
        </is>
      </c>
      <c r="C4641" t="inlineStr">
        <is>
          <t>Föryngringsavverkning</t>
        </is>
      </c>
      <c r="D4641" s="1" t="n">
        <v>45609</v>
      </c>
      <c r="E4641" s="1" t="n">
        <v>46319</v>
      </c>
      <c r="F4641" t="inlineStr">
        <is>
          <t>DALARNAS LÄN</t>
        </is>
      </c>
      <c r="G4641" t="inlineStr">
        <is>
          <t>LUDVIKA</t>
        </is>
      </c>
      <c r="H4641" t="inlineStr">
        <is>
          <t>Bergvik skog väst AB</t>
        </is>
      </c>
      <c r="I4641" t="n">
        <v>1</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37944-2026</t>
        </is>
      </c>
      <c r="B4642" t="inlineStr">
        <is>
          <t>avverkningsanmälan</t>
        </is>
      </c>
      <c r="C4642" t="inlineStr">
        <is>
          <t>Föryngringsavverkning</t>
        </is>
      </c>
      <c r="D4642" s="1" t="n">
        <v>46280</v>
      </c>
      <c r="E4642" s="1" t="n">
        <v>46319</v>
      </c>
      <c r="F4642" t="inlineStr">
        <is>
          <t>DALARNAS LÄN</t>
        </is>
      </c>
      <c r="G4642" t="inlineStr">
        <is>
          <t>RÄTTVIK</t>
        </is>
      </c>
      <c r="I4642" t="n">
        <v>1.7</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25823-2026</t>
        </is>
      </c>
      <c r="B4643" t="inlineStr">
        <is>
          <t>avverkningsanmälan</t>
        </is>
      </c>
      <c r="C4643" t="inlineStr">
        <is>
          <t>Föryngringsavverkning</t>
        </is>
      </c>
      <c r="D4643" s="1" t="n">
        <v>46178</v>
      </c>
      <c r="E4643" s="1" t="n">
        <v>46319</v>
      </c>
      <c r="F4643" t="inlineStr">
        <is>
          <t>DALARNAS LÄN</t>
        </is>
      </c>
      <c r="G4643" t="inlineStr">
        <is>
          <t>FALUN</t>
        </is>
      </c>
      <c r="I4643" t="n">
        <v>3.3</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37955-2026</t>
        </is>
      </c>
      <c r="B4644" t="inlineStr">
        <is>
          <t>avverkningsanmälan</t>
        </is>
      </c>
      <c r="C4644" t="inlineStr">
        <is>
          <t>Föryngringsavverkning</t>
        </is>
      </c>
      <c r="D4644" s="1" t="n">
        <v>46280</v>
      </c>
      <c r="E4644" s="1" t="n">
        <v>46319</v>
      </c>
      <c r="F4644" t="inlineStr">
        <is>
          <t>DALARNAS LÄN</t>
        </is>
      </c>
      <c r="G4644" t="inlineStr">
        <is>
          <t>LUDVIKA</t>
        </is>
      </c>
      <c r="H4644" t="inlineStr">
        <is>
          <t>Bergvik skog väst AB</t>
        </is>
      </c>
      <c r="I4644" t="n">
        <v>7.7</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63684-2025</t>
        </is>
      </c>
      <c r="B4645" t="inlineStr">
        <is>
          <t>avverkningsanmälan</t>
        </is>
      </c>
      <c r="C4645" t="inlineStr">
        <is>
          <t>Föryngringsavverkning</t>
        </is>
      </c>
      <c r="D4645" s="1" t="n">
        <v>46014</v>
      </c>
      <c r="E4645" s="1" t="n">
        <v>46319</v>
      </c>
      <c r="F4645" t="inlineStr">
        <is>
          <t>DALARNAS LÄN</t>
        </is>
      </c>
      <c r="G4645" t="inlineStr">
        <is>
          <t>SÄTER</t>
        </is>
      </c>
      <c r="I4645" t="n">
        <v>2.4</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32218-2026</t>
        </is>
      </c>
      <c r="B4646" t="inlineStr">
        <is>
          <t>avverkningsanmälan</t>
        </is>
      </c>
      <c r="C4646" t="inlineStr">
        <is>
          <t>Föryngringsavverkning</t>
        </is>
      </c>
      <c r="D4646" s="1" t="n">
        <v>46237</v>
      </c>
      <c r="E4646" s="1" t="n">
        <v>46319</v>
      </c>
      <c r="F4646" t="inlineStr">
        <is>
          <t>DALARNAS LÄN</t>
        </is>
      </c>
      <c r="G4646" t="inlineStr">
        <is>
          <t>MORA</t>
        </is>
      </c>
      <c r="I4646" t="n">
        <v>4.8</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48380-2024</t>
        </is>
      </c>
      <c r="B4647" t="inlineStr">
        <is>
          <t>avverkningsanmälan</t>
        </is>
      </c>
      <c r="C4647" t="inlineStr">
        <is>
          <t>Föryngringsavverkning</t>
        </is>
      </c>
      <c r="D4647" s="1" t="n">
        <v>45590</v>
      </c>
      <c r="E4647" s="1" t="n">
        <v>46319</v>
      </c>
      <c r="F4647" t="inlineStr">
        <is>
          <t>DALARNAS LÄN</t>
        </is>
      </c>
      <c r="G4647" t="inlineStr">
        <is>
          <t>HEDEMORA</t>
        </is>
      </c>
      <c r="I4647" t="n">
        <v>1.5</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63467-2025</t>
        </is>
      </c>
      <c r="B4648" t="inlineStr">
        <is>
          <t>avverkningsanmälan</t>
        </is>
      </c>
      <c r="C4648" t="inlineStr">
        <is>
          <t>Föryngringsavverkning</t>
        </is>
      </c>
      <c r="D4648" s="1" t="n">
        <v>46013</v>
      </c>
      <c r="E4648" s="1" t="n">
        <v>46319</v>
      </c>
      <c r="F4648" t="inlineStr">
        <is>
          <t>DALARNAS LÄN</t>
        </is>
      </c>
      <c r="G4648" t="inlineStr">
        <is>
          <t>ORSA</t>
        </is>
      </c>
      <c r="I4648" t="n">
        <v>1.6</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32207-2026</t>
        </is>
      </c>
      <c r="B4649" t="inlineStr">
        <is>
          <t>avverkningsanmälan</t>
        </is>
      </c>
      <c r="C4649" t="inlineStr">
        <is>
          <t>Föryngringsavverkning</t>
        </is>
      </c>
      <c r="D4649" s="1" t="n">
        <v>46237</v>
      </c>
      <c r="E4649" s="1" t="n">
        <v>46319</v>
      </c>
      <c r="F4649" t="inlineStr">
        <is>
          <t>DALARNAS LÄN</t>
        </is>
      </c>
      <c r="G4649" t="inlineStr">
        <is>
          <t>RÄTTVIK</t>
        </is>
      </c>
      <c r="H4649" t="inlineStr">
        <is>
          <t>Bergvik skog väst AB</t>
        </is>
      </c>
      <c r="I4649" t="n">
        <v>3</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63689-2025</t>
        </is>
      </c>
      <c r="B4650" t="inlineStr">
        <is>
          <t>avverkningsanmälan</t>
        </is>
      </c>
      <c r="C4650" t="inlineStr">
        <is>
          <t>Föryngringsavverkning</t>
        </is>
      </c>
      <c r="D4650" s="1" t="n">
        <v>46014</v>
      </c>
      <c r="E4650" s="1" t="n">
        <v>46319</v>
      </c>
      <c r="F4650" t="inlineStr">
        <is>
          <t>DALARNAS LÄN</t>
        </is>
      </c>
      <c r="G4650" t="inlineStr">
        <is>
          <t>MORA</t>
        </is>
      </c>
      <c r="I4650" t="n">
        <v>2.2</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34244-2024</t>
        </is>
      </c>
      <c r="B4651" t="inlineStr">
        <is>
          <t>avverkningsanmälan</t>
        </is>
      </c>
      <c r="C4651" t="inlineStr">
        <is>
          <t>Avverkning för annat ändamål</t>
        </is>
      </c>
      <c r="D4651" s="1" t="n">
        <v>45524</v>
      </c>
      <c r="E4651" s="1" t="n">
        <v>46319</v>
      </c>
      <c r="F4651" t="inlineStr">
        <is>
          <t>DALARNAS LÄN</t>
        </is>
      </c>
      <c r="G4651" t="inlineStr">
        <is>
          <t>LEKSAND</t>
        </is>
      </c>
      <c r="I4651" t="n">
        <v>1.5</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63601-2025</t>
        </is>
      </c>
      <c r="B4652" t="inlineStr">
        <is>
          <t>avverkningsanmälan</t>
        </is>
      </c>
      <c r="C4652" t="inlineStr">
        <is>
          <t>Föryngringsavverkning</t>
        </is>
      </c>
      <c r="D4652" s="1" t="n">
        <v>46014</v>
      </c>
      <c r="E4652" s="1" t="n">
        <v>46319</v>
      </c>
      <c r="F4652" t="inlineStr">
        <is>
          <t>DALARNAS LÄN</t>
        </is>
      </c>
      <c r="G4652" t="inlineStr">
        <is>
          <t>ÄLVDALEN</t>
        </is>
      </c>
      <c r="I4652" t="n">
        <v>0.6</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25393-2024</t>
        </is>
      </c>
      <c r="B4653" t="inlineStr">
        <is>
          <t>avverkningsanmälan</t>
        </is>
      </c>
      <c r="C4653" t="inlineStr">
        <is>
          <t>Föryngringsavverkning</t>
        </is>
      </c>
      <c r="D4653" s="1" t="n">
        <v>45463</v>
      </c>
      <c r="E4653" s="1" t="n">
        <v>46319</v>
      </c>
      <c r="F4653" t="inlineStr">
        <is>
          <t>DALARNAS LÄN</t>
        </is>
      </c>
      <c r="G4653" t="inlineStr">
        <is>
          <t>SMEDJEBACKEN</t>
        </is>
      </c>
      <c r="I4653" t="n">
        <v>5.2</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63434-2025</t>
        </is>
      </c>
      <c r="B4654" t="inlineStr">
        <is>
          <t>avverkningsanmälan</t>
        </is>
      </c>
      <c r="C4654" t="inlineStr">
        <is>
          <t>Föryngringsavverkning</t>
        </is>
      </c>
      <c r="D4654" s="1" t="n">
        <v>46013</v>
      </c>
      <c r="E4654" s="1" t="n">
        <v>46319</v>
      </c>
      <c r="F4654" t="inlineStr">
        <is>
          <t>DALARNAS LÄN</t>
        </is>
      </c>
      <c r="G4654" t="inlineStr">
        <is>
          <t>MORA</t>
        </is>
      </c>
      <c r="H4654" t="inlineStr">
        <is>
          <t>Allmännings- och besparingsskogar</t>
        </is>
      </c>
      <c r="I4654" t="n">
        <v>3.6</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35894-2024</t>
        </is>
      </c>
      <c r="B4655" t="inlineStr">
        <is>
          <t>avverkningsanmälan</t>
        </is>
      </c>
      <c r="C4655" t="inlineStr">
        <is>
          <t>Föryngringsavverkning</t>
        </is>
      </c>
      <c r="D4655" s="1" t="n">
        <v>45533</v>
      </c>
      <c r="E4655" s="1" t="n">
        <v>46319</v>
      </c>
      <c r="F4655" t="inlineStr">
        <is>
          <t>DALARNAS LÄN</t>
        </is>
      </c>
      <c r="G4655" t="inlineStr">
        <is>
          <t>FALUN</t>
        </is>
      </c>
      <c r="I4655" t="n">
        <v>8.800000000000001</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32268-2026</t>
        </is>
      </c>
      <c r="B4656" t="inlineStr">
        <is>
          <t>avverkningsanmälan</t>
        </is>
      </c>
      <c r="C4656" t="inlineStr">
        <is>
          <t>Föryngringsavverkning</t>
        </is>
      </c>
      <c r="D4656" s="1" t="n">
        <v>46237</v>
      </c>
      <c r="E4656" s="1" t="n">
        <v>46319</v>
      </c>
      <c r="F4656" t="inlineStr">
        <is>
          <t>DALARNAS LÄN</t>
        </is>
      </c>
      <c r="G4656" t="inlineStr">
        <is>
          <t>RÄTTVIK</t>
        </is>
      </c>
      <c r="H4656" t="inlineStr">
        <is>
          <t>Bergvik skog väst AB</t>
        </is>
      </c>
      <c r="I4656" t="n">
        <v>2.4</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32277-2026</t>
        </is>
      </c>
      <c r="B4657" t="inlineStr">
        <is>
          <t>avverkningsanmälan</t>
        </is>
      </c>
      <c r="C4657" t="inlineStr">
        <is>
          <t>Föryngringsavverkning</t>
        </is>
      </c>
      <c r="D4657" s="1" t="n">
        <v>46237</v>
      </c>
      <c r="E4657" s="1" t="n">
        <v>46319</v>
      </c>
      <c r="F4657" t="inlineStr">
        <is>
          <t>DALARNAS LÄN</t>
        </is>
      </c>
      <c r="G4657" t="inlineStr">
        <is>
          <t>MORA</t>
        </is>
      </c>
      <c r="I4657" t="n">
        <v>1.2</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52599-2025</t>
        </is>
      </c>
      <c r="B4658" t="inlineStr">
        <is>
          <t>avverkningsanmälan</t>
        </is>
      </c>
      <c r="C4658" t="inlineStr">
        <is>
          <t>Föryngringsavverkning</t>
        </is>
      </c>
      <c r="D4658" s="1" t="n">
        <v>45954</v>
      </c>
      <c r="E4658" s="1" t="n">
        <v>46319</v>
      </c>
      <c r="F4658" t="inlineStr">
        <is>
          <t>DALARNAS LÄN</t>
        </is>
      </c>
      <c r="G4658" t="inlineStr">
        <is>
          <t>MORA</t>
        </is>
      </c>
      <c r="I4658" t="n">
        <v>10.8</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19708-2024</t>
        </is>
      </c>
      <c r="B4659" t="inlineStr">
        <is>
          <t>avverkningsanmälan</t>
        </is>
      </c>
      <c r="C4659" t="inlineStr">
        <is>
          <t>Föryngringsavverkning</t>
        </is>
      </c>
      <c r="D4659" s="1" t="n">
        <v>45432</v>
      </c>
      <c r="E4659" s="1" t="n">
        <v>46319</v>
      </c>
      <c r="F4659" t="inlineStr">
        <is>
          <t>DALARNAS LÄN</t>
        </is>
      </c>
      <c r="G4659" t="inlineStr">
        <is>
          <t>ÄLVDALEN</t>
        </is>
      </c>
      <c r="I4659" t="n">
        <v>12.4</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46093-2024</t>
        </is>
      </c>
      <c r="B4660" t="inlineStr">
        <is>
          <t>avverkningsanmälan</t>
        </is>
      </c>
      <c r="C4660" t="inlineStr">
        <is>
          <t>Föryngringsavverkning</t>
        </is>
      </c>
      <c r="D4660" s="1" t="n">
        <v>45581</v>
      </c>
      <c r="E4660" s="1" t="n">
        <v>46319</v>
      </c>
      <c r="F4660" t="inlineStr">
        <is>
          <t>DALARNAS LÄN</t>
        </is>
      </c>
      <c r="G4660" t="inlineStr">
        <is>
          <t>LUDVIKA</t>
        </is>
      </c>
      <c r="H4660" t="inlineStr">
        <is>
          <t>Bergvik skog väst AB</t>
        </is>
      </c>
      <c r="I4660" t="n">
        <v>3.5</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32047-2026</t>
        </is>
      </c>
      <c r="B4661" t="inlineStr">
        <is>
          <t>avverkningsanmälan</t>
        </is>
      </c>
      <c r="C4661" t="inlineStr">
        <is>
          <t>Föryngringsavverkning</t>
        </is>
      </c>
      <c r="D4661" s="1" t="n">
        <v>46233</v>
      </c>
      <c r="E4661" s="1" t="n">
        <v>46319</v>
      </c>
      <c r="F4661" t="inlineStr">
        <is>
          <t>DALARNAS LÄN</t>
        </is>
      </c>
      <c r="G4661" t="inlineStr">
        <is>
          <t>GAGNEF</t>
        </is>
      </c>
      <c r="H4661" t="inlineStr">
        <is>
          <t>Bergvik skog väst AB</t>
        </is>
      </c>
      <c r="I4661" t="n">
        <v>0.8</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7861-2024</t>
        </is>
      </c>
      <c r="B4662" t="inlineStr">
        <is>
          <t>avverkningsanmälan</t>
        </is>
      </c>
      <c r="C4662" t="inlineStr">
        <is>
          <t>Föryngringsavverkning</t>
        </is>
      </c>
      <c r="D4662" s="1" t="n">
        <v>45350</v>
      </c>
      <c r="E4662" s="1" t="n">
        <v>46319</v>
      </c>
      <c r="F4662" t="inlineStr">
        <is>
          <t>DALARNAS LÄN</t>
        </is>
      </c>
      <c r="G4662" t="inlineStr">
        <is>
          <t>LEKSAND</t>
        </is>
      </c>
      <c r="I4662" t="n">
        <v>1.8</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50539-2024</t>
        </is>
      </c>
      <c r="B4663" t="inlineStr">
        <is>
          <t>avverkningsanmälan</t>
        </is>
      </c>
      <c r="C4663" t="inlineStr">
        <is>
          <t>Föryngringsavverkning</t>
        </is>
      </c>
      <c r="D4663" s="1" t="n">
        <v>45600</v>
      </c>
      <c r="E4663" s="1" t="n">
        <v>46319</v>
      </c>
      <c r="F4663" t="inlineStr">
        <is>
          <t>DALARNAS LÄN</t>
        </is>
      </c>
      <c r="G4663" t="inlineStr">
        <is>
          <t>SMEDJEBACKEN</t>
        </is>
      </c>
      <c r="I4663" t="n">
        <v>0.8</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50892-2024</t>
        </is>
      </c>
      <c r="B4664" t="inlineStr">
        <is>
          <t>avverkningsanmälan</t>
        </is>
      </c>
      <c r="C4664" t="inlineStr">
        <is>
          <t>Föryngringsavverkning</t>
        </is>
      </c>
      <c r="D4664" s="1" t="n">
        <v>45602</v>
      </c>
      <c r="E4664" s="1" t="n">
        <v>46319</v>
      </c>
      <c r="F4664" t="inlineStr">
        <is>
          <t>DALARNAS LÄN</t>
        </is>
      </c>
      <c r="G4664" t="inlineStr">
        <is>
          <t>RÄTTVIK</t>
        </is>
      </c>
      <c r="I4664" t="n">
        <v>7.4</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23488-2024</t>
        </is>
      </c>
      <c r="B4665" t="inlineStr">
        <is>
          <t>avverkningsanmälan</t>
        </is>
      </c>
      <c r="C4665" t="inlineStr">
        <is>
          <t>Föryngringsavverkning</t>
        </is>
      </c>
      <c r="D4665" s="1" t="n">
        <v>45453</v>
      </c>
      <c r="E4665" s="1" t="n">
        <v>46319</v>
      </c>
      <c r="F4665" t="inlineStr">
        <is>
          <t>DALARNAS LÄN</t>
        </is>
      </c>
      <c r="G4665" t="inlineStr">
        <is>
          <t>GAGNEF</t>
        </is>
      </c>
      <c r="I4665" t="n">
        <v>1.1</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32040-2026</t>
        </is>
      </c>
      <c r="B4666" t="inlineStr">
        <is>
          <t>avverkningsanmälan</t>
        </is>
      </c>
      <c r="C4666" t="inlineStr">
        <is>
          <t>Föryngringsavverkning</t>
        </is>
      </c>
      <c r="D4666" s="1" t="n">
        <v>46233</v>
      </c>
      <c r="E4666" s="1" t="n">
        <v>46319</v>
      </c>
      <c r="F4666" t="inlineStr">
        <is>
          <t>DALARNAS LÄN</t>
        </is>
      </c>
      <c r="G4666" t="inlineStr">
        <is>
          <t>ÄLVDALEN</t>
        </is>
      </c>
      <c r="H4666" t="inlineStr">
        <is>
          <t>Bergvik skog väst AB</t>
        </is>
      </c>
      <c r="I4666" t="n">
        <v>5.3</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32044-2026</t>
        </is>
      </c>
      <c r="B4667" t="inlineStr">
        <is>
          <t>avverkningsanmälan</t>
        </is>
      </c>
      <c r="C4667" t="inlineStr">
        <is>
          <t>Föryngringsavverkning</t>
        </is>
      </c>
      <c r="D4667" s="1" t="n">
        <v>46233</v>
      </c>
      <c r="E4667" s="1" t="n">
        <v>46319</v>
      </c>
      <c r="F4667" t="inlineStr">
        <is>
          <t>DALARNAS LÄN</t>
        </is>
      </c>
      <c r="G4667" t="inlineStr">
        <is>
          <t>MORA</t>
        </is>
      </c>
      <c r="H4667" t="inlineStr">
        <is>
          <t>Bergvik skog väst AB</t>
        </is>
      </c>
      <c r="I4667" t="n">
        <v>5.7</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8127-2024</t>
        </is>
      </c>
      <c r="B4668" t="inlineStr">
        <is>
          <t>avverkningsanmälan</t>
        </is>
      </c>
      <c r="C4668" t="inlineStr">
        <is>
          <t>Föryngringsavverkning</t>
        </is>
      </c>
      <c r="D4668" s="1" t="n">
        <v>45351</v>
      </c>
      <c r="E4668" s="1" t="n">
        <v>46319</v>
      </c>
      <c r="F4668" t="inlineStr">
        <is>
          <t>DALARNAS LÄN</t>
        </is>
      </c>
      <c r="G4668" t="inlineStr">
        <is>
          <t>RÄTTVIK</t>
        </is>
      </c>
      <c r="I4668" t="n">
        <v>5.7</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28123-2024</t>
        </is>
      </c>
      <c r="B4669" t="inlineStr">
        <is>
          <t>avverkningsanmälan</t>
        </is>
      </c>
      <c r="C4669" t="inlineStr">
        <is>
          <t>Föryngringsavverkning</t>
        </is>
      </c>
      <c r="D4669" s="1" t="n">
        <v>45476</v>
      </c>
      <c r="E4669" s="1" t="n">
        <v>46319</v>
      </c>
      <c r="F4669" t="inlineStr">
        <is>
          <t>DALARNAS LÄN</t>
        </is>
      </c>
      <c r="G4669" t="inlineStr">
        <is>
          <t>FALUN</t>
        </is>
      </c>
      <c r="I4669" t="n">
        <v>1</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32076-2026</t>
        </is>
      </c>
      <c r="B4670" t="inlineStr">
        <is>
          <t>avverkningsanmälan</t>
        </is>
      </c>
      <c r="C4670" t="inlineStr">
        <is>
          <t>Föryngringsavverkning</t>
        </is>
      </c>
      <c r="D4670" s="1" t="n">
        <v>46233</v>
      </c>
      <c r="E4670" s="1" t="n">
        <v>46319</v>
      </c>
      <c r="F4670" t="inlineStr">
        <is>
          <t>DALARNAS LÄN</t>
        </is>
      </c>
      <c r="G4670" t="inlineStr">
        <is>
          <t>LEKSAND</t>
        </is>
      </c>
      <c r="H4670" t="inlineStr">
        <is>
          <t>Bergvik skog väst AB</t>
        </is>
      </c>
      <c r="I4670" t="n">
        <v>2.8</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63596-2025</t>
        </is>
      </c>
      <c r="B4671" t="inlineStr">
        <is>
          <t>avverkningsanmälan</t>
        </is>
      </c>
      <c r="C4671" t="inlineStr">
        <is>
          <t>Föryngringsavverkning</t>
        </is>
      </c>
      <c r="D4671" s="1" t="n">
        <v>46013</v>
      </c>
      <c r="E4671" s="1" t="n">
        <v>46319</v>
      </c>
      <c r="F4671" t="inlineStr">
        <is>
          <t>DALARNAS LÄN</t>
        </is>
      </c>
      <c r="G4671" t="inlineStr">
        <is>
          <t>MORA</t>
        </is>
      </c>
      <c r="I4671" t="n">
        <v>0.6</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40049-2024</t>
        </is>
      </c>
      <c r="B4672" t="inlineStr">
        <is>
          <t>avverkningsanmälan</t>
        </is>
      </c>
      <c r="C4672" t="inlineStr">
        <is>
          <t>Föryngringsavverkning</t>
        </is>
      </c>
      <c r="D4672" s="1" t="n">
        <v>45553</v>
      </c>
      <c r="E4672" s="1" t="n">
        <v>46319</v>
      </c>
      <c r="F4672" t="inlineStr">
        <is>
          <t>DALARNAS LÄN</t>
        </is>
      </c>
      <c r="G4672" t="inlineStr">
        <is>
          <t>AVESTA</t>
        </is>
      </c>
      <c r="I4672" t="n">
        <v>2</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20026-2023</t>
        </is>
      </c>
      <c r="B4673" t="inlineStr">
        <is>
          <t>avverkningsanmälan</t>
        </is>
      </c>
      <c r="C4673" t="inlineStr">
        <is>
          <t>Föryngringsavverkning</t>
        </is>
      </c>
      <c r="D4673" s="1" t="n">
        <v>45054</v>
      </c>
      <c r="E4673" s="1" t="n">
        <v>46319</v>
      </c>
      <c r="F4673" t="inlineStr">
        <is>
          <t>DALARNAS LÄN</t>
        </is>
      </c>
      <c r="G4673" t="inlineStr">
        <is>
          <t>MALUNG-SÄLEN</t>
        </is>
      </c>
      <c r="H4673" t="inlineStr">
        <is>
          <t>Bergvik skog öst AB</t>
        </is>
      </c>
      <c r="I4673" t="n">
        <v>1.1</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30544-2024</t>
        </is>
      </c>
      <c r="B4674" t="inlineStr">
        <is>
          <t>avverkningsanmälan</t>
        </is>
      </c>
      <c r="C4674" t="inlineStr">
        <is>
          <t>Föryngringsavverkning</t>
        </is>
      </c>
      <c r="D4674" s="1" t="n">
        <v>45492</v>
      </c>
      <c r="E4674" s="1" t="n">
        <v>46319</v>
      </c>
      <c r="F4674" t="inlineStr">
        <is>
          <t>DALARNAS LÄN</t>
        </is>
      </c>
      <c r="G4674" t="inlineStr">
        <is>
          <t>VANSBRO</t>
        </is>
      </c>
      <c r="I4674" t="n">
        <v>7</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37702-2026</t>
        </is>
      </c>
      <c r="B4675" t="inlineStr">
        <is>
          <t>avverkningsanmälan</t>
        </is>
      </c>
      <c r="C4675" t="inlineStr">
        <is>
          <t>Föryngringsavverkning</t>
        </is>
      </c>
      <c r="D4675" s="1" t="n">
        <v>46279</v>
      </c>
      <c r="E4675" s="1" t="n">
        <v>46319</v>
      </c>
      <c r="F4675" t="inlineStr">
        <is>
          <t>DALARNAS LÄN</t>
        </is>
      </c>
      <c r="G4675" t="inlineStr">
        <is>
          <t>LUDVIKA</t>
        </is>
      </c>
      <c r="H4675" t="inlineStr">
        <is>
          <t>Bergvik skog väst AB</t>
        </is>
      </c>
      <c r="I4675" t="n">
        <v>2.4</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37895-2026</t>
        </is>
      </c>
      <c r="B4676" t="inlineStr">
        <is>
          <t>avverkningsanmälan</t>
        </is>
      </c>
      <c r="C4676" t="inlineStr">
        <is>
          <t>Föryngringsavverkning</t>
        </is>
      </c>
      <c r="D4676" s="1" t="n">
        <v>46279</v>
      </c>
      <c r="E4676" s="1" t="n">
        <v>46319</v>
      </c>
      <c r="F4676" t="inlineStr">
        <is>
          <t>DALARNAS LÄN</t>
        </is>
      </c>
      <c r="G4676" t="inlineStr">
        <is>
          <t>HEDEMORA</t>
        </is>
      </c>
      <c r="H4676" t="inlineStr">
        <is>
          <t>Bergvik skog väst AB</t>
        </is>
      </c>
      <c r="I4676" t="n">
        <v>1.3</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32122-2026</t>
        </is>
      </c>
      <c r="B4677" t="inlineStr">
        <is>
          <t>avverkningsanmälan</t>
        </is>
      </c>
      <c r="C4677" t="inlineStr">
        <is>
          <t>Föryngringsavverkning</t>
        </is>
      </c>
      <c r="D4677" s="1" t="n">
        <v>46234</v>
      </c>
      <c r="E4677" s="1" t="n">
        <v>46319</v>
      </c>
      <c r="F4677" t="inlineStr">
        <is>
          <t>DALARNAS LÄN</t>
        </is>
      </c>
      <c r="G4677" t="inlineStr">
        <is>
          <t>SÄTER</t>
        </is>
      </c>
      <c r="I4677" t="n">
        <v>0.7</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35702-2022</t>
        </is>
      </c>
      <c r="B4678" t="inlineStr">
        <is>
          <t>avverkningsanmälan</t>
        </is>
      </c>
      <c r="C4678" t="inlineStr">
        <is>
          <t>Föryngringsavverkning</t>
        </is>
      </c>
      <c r="D4678" s="1" t="n">
        <v>44799</v>
      </c>
      <c r="E4678" s="1" t="n">
        <v>46319</v>
      </c>
      <c r="F4678" t="inlineStr">
        <is>
          <t>DALARNAS LÄN</t>
        </is>
      </c>
      <c r="G4678" t="inlineStr">
        <is>
          <t>RÄTTVIK</t>
        </is>
      </c>
      <c r="H4678" t="inlineStr">
        <is>
          <t>Sveaskog</t>
        </is>
      </c>
      <c r="I4678" t="n">
        <v>1.8</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21469-2024</t>
        </is>
      </c>
      <c r="B4679" t="inlineStr">
        <is>
          <t>avverkningsanmälan</t>
        </is>
      </c>
      <c r="C4679" t="inlineStr">
        <is>
          <t>Föryngringsavverkning</t>
        </is>
      </c>
      <c r="D4679" s="1" t="n">
        <v>45441</v>
      </c>
      <c r="E4679" s="1" t="n">
        <v>46319</v>
      </c>
      <c r="F4679" t="inlineStr">
        <is>
          <t>DALARNAS LÄN</t>
        </is>
      </c>
      <c r="G4679" t="inlineStr">
        <is>
          <t>ÄLVDALEN</t>
        </is>
      </c>
      <c r="I4679" t="n">
        <v>1</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63707-2025</t>
        </is>
      </c>
      <c r="B4680" t="inlineStr">
        <is>
          <t>avverkningsanmälan</t>
        </is>
      </c>
      <c r="C4680" t="inlineStr">
        <is>
          <t>Föryngringsavverkning</t>
        </is>
      </c>
      <c r="D4680" s="1" t="n">
        <v>46014</v>
      </c>
      <c r="E4680" s="1" t="n">
        <v>46319</v>
      </c>
      <c r="F4680" t="inlineStr">
        <is>
          <t>DALARNAS LÄN</t>
        </is>
      </c>
      <c r="G4680" t="inlineStr">
        <is>
          <t>GAGNEF</t>
        </is>
      </c>
      <c r="I4680" t="n">
        <v>6.4</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19129-2024</t>
        </is>
      </c>
      <c r="B4681" t="inlineStr">
        <is>
          <t>avverkningsanmälan</t>
        </is>
      </c>
      <c r="C4681" t="inlineStr">
        <is>
          <t>Föryngringsavverkning</t>
        </is>
      </c>
      <c r="D4681" s="1" t="n">
        <v>45428</v>
      </c>
      <c r="E4681" s="1" t="n">
        <v>46319</v>
      </c>
      <c r="F4681" t="inlineStr">
        <is>
          <t>DALARNAS LÄN</t>
        </is>
      </c>
      <c r="G4681" t="inlineStr">
        <is>
          <t>RÄTTVIK</t>
        </is>
      </c>
      <c r="I4681" t="n">
        <v>4</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24625-2024</t>
        </is>
      </c>
      <c r="B4682" t="inlineStr">
        <is>
          <t>avverkningsanmälan</t>
        </is>
      </c>
      <c r="C4682" t="inlineStr">
        <is>
          <t>Föryngringsavverkning</t>
        </is>
      </c>
      <c r="D4682" s="1" t="n">
        <v>45460</v>
      </c>
      <c r="E4682" s="1" t="n">
        <v>46319</v>
      </c>
      <c r="F4682" t="inlineStr">
        <is>
          <t>DALARNAS LÄN</t>
        </is>
      </c>
      <c r="G4682" t="inlineStr">
        <is>
          <t>FALUN</t>
        </is>
      </c>
      <c r="I4682" t="n">
        <v>3.8</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37960-2026</t>
        </is>
      </c>
      <c r="B4683" t="inlineStr">
        <is>
          <t>avverkningsanmälan</t>
        </is>
      </c>
      <c r="C4683" t="inlineStr">
        <is>
          <t>Föryngringsavverkning</t>
        </is>
      </c>
      <c r="D4683" s="1" t="n">
        <v>46280</v>
      </c>
      <c r="E4683" s="1" t="n">
        <v>46319</v>
      </c>
      <c r="F4683" t="inlineStr">
        <is>
          <t>DALARNAS LÄN</t>
        </is>
      </c>
      <c r="G4683" t="inlineStr">
        <is>
          <t>VANSBRO</t>
        </is>
      </c>
      <c r="H4683" t="inlineStr">
        <is>
          <t>Bergvik skog öst AB</t>
        </is>
      </c>
      <c r="I4683" t="n">
        <v>4.7</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37966-2026</t>
        </is>
      </c>
      <c r="B4684" t="inlineStr">
        <is>
          <t>avverkningsanmälan</t>
        </is>
      </c>
      <c r="C4684" t="inlineStr">
        <is>
          <t>Föryngringsavverkning</t>
        </is>
      </c>
      <c r="D4684" s="1" t="n">
        <v>46280</v>
      </c>
      <c r="E4684" s="1" t="n">
        <v>46319</v>
      </c>
      <c r="F4684" t="inlineStr">
        <is>
          <t>DALARNAS LÄN</t>
        </is>
      </c>
      <c r="G4684" t="inlineStr">
        <is>
          <t>VANSBRO</t>
        </is>
      </c>
      <c r="H4684" t="inlineStr">
        <is>
          <t>Bergvik skog väst AB</t>
        </is>
      </c>
      <c r="I4684" t="n">
        <v>0.8</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11109-2024</t>
        </is>
      </c>
      <c r="B4685" t="inlineStr">
        <is>
          <t>avverkningsanmälan</t>
        </is>
      </c>
      <c r="C4685" t="inlineStr">
        <is>
          <t>Föryngringsavverkning</t>
        </is>
      </c>
      <c r="D4685" s="1" t="n">
        <v>45371</v>
      </c>
      <c r="E4685" s="1" t="n">
        <v>46319</v>
      </c>
      <c r="F4685" t="inlineStr">
        <is>
          <t>DALARNAS LÄN</t>
        </is>
      </c>
      <c r="G4685" t="inlineStr">
        <is>
          <t>FALUN</t>
        </is>
      </c>
      <c r="I4685" t="n">
        <v>2.6</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19767-2024</t>
        </is>
      </c>
      <c r="B4686" t="inlineStr">
        <is>
          <t>avverkningsanmälan</t>
        </is>
      </c>
      <c r="C4686" t="inlineStr">
        <is>
          <t>Föryngringsavverkning</t>
        </is>
      </c>
      <c r="D4686" s="1" t="n">
        <v>45432</v>
      </c>
      <c r="E4686" s="1" t="n">
        <v>46319</v>
      </c>
      <c r="F4686" t="inlineStr">
        <is>
          <t>DALARNAS LÄN</t>
        </is>
      </c>
      <c r="G4686" t="inlineStr">
        <is>
          <t>SÄTER</t>
        </is>
      </c>
      <c r="I4686" t="n">
        <v>3</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63592-2025</t>
        </is>
      </c>
      <c r="B4687" t="inlineStr">
        <is>
          <t>avverkningsanmälan</t>
        </is>
      </c>
      <c r="C4687" t="inlineStr">
        <is>
          <t>Föryngringsavverkning</t>
        </is>
      </c>
      <c r="D4687" s="1" t="n">
        <v>46013</v>
      </c>
      <c r="E4687" s="1" t="n">
        <v>46319</v>
      </c>
      <c r="F4687" t="inlineStr">
        <is>
          <t>DALARNAS LÄN</t>
        </is>
      </c>
      <c r="G4687" t="inlineStr">
        <is>
          <t>LEKSAND</t>
        </is>
      </c>
      <c r="I4687" t="n">
        <v>2.7</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51256-2024</t>
        </is>
      </c>
      <c r="B4688" t="inlineStr">
        <is>
          <t>avverkningsanmälan</t>
        </is>
      </c>
      <c r="C4688" t="inlineStr">
        <is>
          <t>Föryngringsavverkning</t>
        </is>
      </c>
      <c r="D4688" s="1" t="n">
        <v>45603</v>
      </c>
      <c r="E4688" s="1" t="n">
        <v>46319</v>
      </c>
      <c r="F4688" t="inlineStr">
        <is>
          <t>DALARNAS LÄN</t>
        </is>
      </c>
      <c r="G4688" t="inlineStr">
        <is>
          <t>HEDEMORA</t>
        </is>
      </c>
      <c r="I4688" t="n">
        <v>1.3</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38247-2026</t>
        </is>
      </c>
      <c r="B4689" t="inlineStr">
        <is>
          <t>avverkningsanmälan</t>
        </is>
      </c>
      <c r="C4689" t="inlineStr">
        <is>
          <t>Föryngringsavverkning</t>
        </is>
      </c>
      <c r="D4689" s="1" t="n">
        <v>46281</v>
      </c>
      <c r="E4689" s="1" t="n">
        <v>46319</v>
      </c>
      <c r="F4689" t="inlineStr">
        <is>
          <t>DALARNAS LÄN</t>
        </is>
      </c>
      <c r="G4689" t="inlineStr">
        <is>
          <t>ORSA</t>
        </is>
      </c>
      <c r="I4689" t="n">
        <v>0.8</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51675-2024</t>
        </is>
      </c>
      <c r="B4690" t="inlineStr">
        <is>
          <t>avverkningsanmälan</t>
        </is>
      </c>
      <c r="C4690" t="inlineStr">
        <is>
          <t>Föryngringsavverkning</t>
        </is>
      </c>
      <c r="D4690" s="1" t="n">
        <v>45607</v>
      </c>
      <c r="E4690" s="1" t="n">
        <v>46319</v>
      </c>
      <c r="F4690" t="inlineStr">
        <is>
          <t>DALARNAS LÄN</t>
        </is>
      </c>
      <c r="G4690" t="inlineStr">
        <is>
          <t>BORLÄNGE</t>
        </is>
      </c>
      <c r="I4690" t="n">
        <v>1.9</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35530-2024</t>
        </is>
      </c>
      <c r="B4691" t="inlineStr">
        <is>
          <t>avverkningsanmälan</t>
        </is>
      </c>
      <c r="C4691" t="inlineStr">
        <is>
          <t>Föryngringsavverkning</t>
        </is>
      </c>
      <c r="D4691" s="1" t="n">
        <v>45531</v>
      </c>
      <c r="E4691" s="1" t="n">
        <v>46319</v>
      </c>
      <c r="F4691" t="inlineStr">
        <is>
          <t>DALARNAS LÄN</t>
        </is>
      </c>
      <c r="G4691" t="inlineStr">
        <is>
          <t>FALUN</t>
        </is>
      </c>
      <c r="I4691" t="n">
        <v>1.2</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38160-2026</t>
        </is>
      </c>
      <c r="B4692" t="inlineStr">
        <is>
          <t>avverkningsanmälan</t>
        </is>
      </c>
      <c r="C4692" t="inlineStr">
        <is>
          <t>Föryngringsavverkning</t>
        </is>
      </c>
      <c r="D4692" s="1" t="n">
        <v>46281</v>
      </c>
      <c r="E4692" s="1" t="n">
        <v>46319</v>
      </c>
      <c r="F4692" t="inlineStr">
        <is>
          <t>DALARNAS LÄN</t>
        </is>
      </c>
      <c r="G4692" t="inlineStr">
        <is>
          <t>LUDVIKA</t>
        </is>
      </c>
      <c r="H4692" t="inlineStr">
        <is>
          <t>Bergvik skog väst AB</t>
        </is>
      </c>
      <c r="I4692" t="n">
        <v>4.3</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37910-2026</t>
        </is>
      </c>
      <c r="B4693" t="inlineStr">
        <is>
          <t>avverkningsanmälan</t>
        </is>
      </c>
      <c r="C4693" t="inlineStr">
        <is>
          <t>Föryngringsavverkning</t>
        </is>
      </c>
      <c r="D4693" s="1" t="n">
        <v>46279</v>
      </c>
      <c r="E4693" s="1" t="n">
        <v>46319</v>
      </c>
      <c r="F4693" t="inlineStr">
        <is>
          <t>DALARNAS LÄN</t>
        </is>
      </c>
      <c r="G4693" t="inlineStr">
        <is>
          <t>MORA</t>
        </is>
      </c>
      <c r="I4693" t="n">
        <v>0.6</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63906-2025</t>
        </is>
      </c>
      <c r="B4694" t="inlineStr">
        <is>
          <t>avverkningsanmälan</t>
        </is>
      </c>
      <c r="C4694" t="inlineStr">
        <is>
          <t>Föryngringsavverkning</t>
        </is>
      </c>
      <c r="D4694" s="1" t="n">
        <v>46020</v>
      </c>
      <c r="E4694" s="1" t="n">
        <v>46319</v>
      </c>
      <c r="F4694" t="inlineStr">
        <is>
          <t>DALARNAS LÄN</t>
        </is>
      </c>
      <c r="G4694" t="inlineStr">
        <is>
          <t>LEKSAND</t>
        </is>
      </c>
      <c r="I4694" t="n">
        <v>1.2</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63900-2025</t>
        </is>
      </c>
      <c r="B4695" t="inlineStr">
        <is>
          <t>avverkningsanmälan</t>
        </is>
      </c>
      <c r="C4695" t="inlineStr">
        <is>
          <t>Föryngringsavverkning</t>
        </is>
      </c>
      <c r="D4695" s="1" t="n">
        <v>46020</v>
      </c>
      <c r="E4695" s="1" t="n">
        <v>46319</v>
      </c>
      <c r="F4695" t="inlineStr">
        <is>
          <t>DALARNAS LÄN</t>
        </is>
      </c>
      <c r="G4695" t="inlineStr">
        <is>
          <t>HEDEMORA</t>
        </is>
      </c>
      <c r="I4695" t="n">
        <v>3.4</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32454-2026</t>
        </is>
      </c>
      <c r="B4696" t="inlineStr">
        <is>
          <t>avverkningsanmälan</t>
        </is>
      </c>
      <c r="C4696" t="inlineStr">
        <is>
          <t>Föryngringsavverkning</t>
        </is>
      </c>
      <c r="D4696" s="1" t="n">
        <v>46239</v>
      </c>
      <c r="E4696" s="1" t="n">
        <v>46319</v>
      </c>
      <c r="F4696" t="inlineStr">
        <is>
          <t>DALARNAS LÄN</t>
        </is>
      </c>
      <c r="G4696" t="inlineStr">
        <is>
          <t>MORA</t>
        </is>
      </c>
      <c r="I4696" t="n">
        <v>3.8</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33914-2023</t>
        </is>
      </c>
      <c r="B4697" t="inlineStr">
        <is>
          <t>avverkningsanmälan</t>
        </is>
      </c>
      <c r="C4697" t="inlineStr">
        <is>
          <t>Föryngringsavverkning</t>
        </is>
      </c>
      <c r="D4697" s="1" t="n">
        <v>45134</v>
      </c>
      <c r="E4697" s="1" t="n">
        <v>46319</v>
      </c>
      <c r="F4697" t="inlineStr">
        <is>
          <t>DALARNAS LÄN</t>
        </is>
      </c>
      <c r="G4697" t="inlineStr">
        <is>
          <t>LUDVIKA</t>
        </is>
      </c>
      <c r="H4697" t="inlineStr">
        <is>
          <t>Bergvik skog väst AB</t>
        </is>
      </c>
      <c r="I4697" t="n">
        <v>2.6</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7902-2024</t>
        </is>
      </c>
      <c r="B4698" t="inlineStr">
        <is>
          <t>avverkningsanmälan</t>
        </is>
      </c>
      <c r="C4698" t="inlineStr">
        <is>
          <t>Föryngringsavverkning</t>
        </is>
      </c>
      <c r="D4698" s="1" t="n">
        <v>45350</v>
      </c>
      <c r="E4698" s="1" t="n">
        <v>46319</v>
      </c>
      <c r="F4698" t="inlineStr">
        <is>
          <t>DALARNAS LÄN</t>
        </is>
      </c>
      <c r="G4698" t="inlineStr">
        <is>
          <t>FALUN</t>
        </is>
      </c>
      <c r="I4698" t="n">
        <v>2</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63869-2025</t>
        </is>
      </c>
      <c r="B4699" t="inlineStr">
        <is>
          <t>avverkningsanmälan</t>
        </is>
      </c>
      <c r="C4699" t="inlineStr">
        <is>
          <t>Föryngringsavverkning</t>
        </is>
      </c>
      <c r="D4699" s="1" t="n">
        <v>46020</v>
      </c>
      <c r="E4699" s="1" t="n">
        <v>46319</v>
      </c>
      <c r="F4699" t="inlineStr">
        <is>
          <t>DALARNAS LÄN</t>
        </is>
      </c>
      <c r="G4699" t="inlineStr">
        <is>
          <t>BORLÄNGE</t>
        </is>
      </c>
      <c r="I4699" t="n">
        <v>0.8</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22606-2025</t>
        </is>
      </c>
      <c r="B4700" t="inlineStr">
        <is>
          <t>avverkningsanmälan</t>
        </is>
      </c>
      <c r="C4700" t="inlineStr">
        <is>
          <t>Föryngringsavverkning</t>
        </is>
      </c>
      <c r="D4700" s="1" t="n">
        <v>45789</v>
      </c>
      <c r="E4700" s="1" t="n">
        <v>46319</v>
      </c>
      <c r="F4700" t="inlineStr">
        <is>
          <t>DALARNAS LÄN</t>
        </is>
      </c>
      <c r="G4700" t="inlineStr">
        <is>
          <t>LUDVIKA</t>
        </is>
      </c>
      <c r="H4700" t="inlineStr">
        <is>
          <t>Bergvik skog väst AB</t>
        </is>
      </c>
      <c r="I4700" t="n">
        <v>3.9</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22610-2025</t>
        </is>
      </c>
      <c r="B4701" t="inlineStr">
        <is>
          <t>avverkningsanmälan</t>
        </is>
      </c>
      <c r="C4701" t="inlineStr">
        <is>
          <t>Föryngringsavverkning</t>
        </is>
      </c>
      <c r="D4701" s="1" t="n">
        <v>45789</v>
      </c>
      <c r="E4701" s="1" t="n">
        <v>46319</v>
      </c>
      <c r="F4701" t="inlineStr">
        <is>
          <t>DALARNAS LÄN</t>
        </is>
      </c>
      <c r="G4701" t="inlineStr">
        <is>
          <t>LUDVIKA</t>
        </is>
      </c>
      <c r="H4701" t="inlineStr">
        <is>
          <t>Bergvik skog väst AB</t>
        </is>
      </c>
      <c r="I4701" t="n">
        <v>14</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53178-2025</t>
        </is>
      </c>
      <c r="B4702" t="inlineStr">
        <is>
          <t>avverkningsanmälan</t>
        </is>
      </c>
      <c r="C4702" t="inlineStr">
        <is>
          <t>Föryngringsavverkning</t>
        </is>
      </c>
      <c r="D4702" s="1" t="n">
        <v>45958</v>
      </c>
      <c r="E4702" s="1" t="n">
        <v>46319</v>
      </c>
      <c r="F4702" t="inlineStr">
        <is>
          <t>DALARNAS LÄN</t>
        </is>
      </c>
      <c r="G4702" t="inlineStr">
        <is>
          <t>RÄTTVIK</t>
        </is>
      </c>
      <c r="I4702" t="n">
        <v>1.1</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38456-2026</t>
        </is>
      </c>
      <c r="B4703" t="inlineStr">
        <is>
          <t>avverkningsanmälan</t>
        </is>
      </c>
      <c r="C4703" t="inlineStr">
        <is>
          <t>Föryngringsavverkning</t>
        </is>
      </c>
      <c r="D4703" s="1" t="n">
        <v>46282</v>
      </c>
      <c r="E4703" s="1" t="n">
        <v>46319</v>
      </c>
      <c r="F4703" t="inlineStr">
        <is>
          <t>DALARNAS LÄN</t>
        </is>
      </c>
      <c r="G4703" t="inlineStr">
        <is>
          <t>MORA</t>
        </is>
      </c>
      <c r="H4703" t="inlineStr">
        <is>
          <t>Bergvik skog väst AB</t>
        </is>
      </c>
      <c r="I4703" t="n">
        <v>1.6</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31386-2024</t>
        </is>
      </c>
      <c r="B4704" t="inlineStr">
        <is>
          <t>avverkningsanmälan</t>
        </is>
      </c>
      <c r="C4704" t="inlineStr">
        <is>
          <t>Föryngringsavverkning</t>
        </is>
      </c>
      <c r="D4704" s="1" t="n">
        <v>45505</v>
      </c>
      <c r="E4704" s="1" t="n">
        <v>46319</v>
      </c>
      <c r="F4704" t="inlineStr">
        <is>
          <t>DALARNAS LÄN</t>
        </is>
      </c>
      <c r="G4704" t="inlineStr">
        <is>
          <t>RÄTTVIK</t>
        </is>
      </c>
      <c r="I4704" t="n">
        <v>2.1</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22762-2025</t>
        </is>
      </c>
      <c r="B4705" t="inlineStr">
        <is>
          <t>avverkningsanmälan</t>
        </is>
      </c>
      <c r="C4705" t="inlineStr">
        <is>
          <t>Föryngringsavverkning</t>
        </is>
      </c>
      <c r="D4705" s="1" t="n">
        <v>45789</v>
      </c>
      <c r="E4705" s="1" t="n">
        <v>46319</v>
      </c>
      <c r="F4705" t="inlineStr">
        <is>
          <t>DALARNAS LÄN</t>
        </is>
      </c>
      <c r="G4705" t="inlineStr">
        <is>
          <t>RÄTTVIK</t>
        </is>
      </c>
      <c r="I4705" t="n">
        <v>0.5</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50240-2024</t>
        </is>
      </c>
      <c r="B4706" t="inlineStr">
        <is>
          <t>avverkningsanmälan</t>
        </is>
      </c>
      <c r="C4706" t="inlineStr">
        <is>
          <t>Föryngringsavverkning</t>
        </is>
      </c>
      <c r="D4706" s="1" t="n">
        <v>45600</v>
      </c>
      <c r="E4706" s="1" t="n">
        <v>46319</v>
      </c>
      <c r="F4706" t="inlineStr">
        <is>
          <t>DALARNAS LÄN</t>
        </is>
      </c>
      <c r="G4706" t="inlineStr">
        <is>
          <t>LUDVIKA</t>
        </is>
      </c>
      <c r="I4706" t="n">
        <v>2.2</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62792-2023</t>
        </is>
      </c>
      <c r="B4707" t="inlineStr">
        <is>
          <t>avverkningsanmälan</t>
        </is>
      </c>
      <c r="C4707" t="inlineStr">
        <is>
          <t>Föryngringsavverkning</t>
        </is>
      </c>
      <c r="D4707" s="1" t="n">
        <v>45271</v>
      </c>
      <c r="E4707" s="1" t="n">
        <v>46319</v>
      </c>
      <c r="F4707" t="inlineStr">
        <is>
          <t>DALARNAS LÄN</t>
        </is>
      </c>
      <c r="G4707" t="inlineStr">
        <is>
          <t>MALUNG-SÄLEN</t>
        </is>
      </c>
      <c r="I4707" t="n">
        <v>2.2</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11193-2025</t>
        </is>
      </c>
      <c r="B4708" t="inlineStr">
        <is>
          <t>avverkningsanmälan</t>
        </is>
      </c>
      <c r="C4708" t="inlineStr">
        <is>
          <t>Föryngringsavverkning</t>
        </is>
      </c>
      <c r="D4708" s="1" t="n">
        <v>45725</v>
      </c>
      <c r="E4708" s="1" t="n">
        <v>46319</v>
      </c>
      <c r="F4708" t="inlineStr">
        <is>
          <t>DALARNAS LÄN</t>
        </is>
      </c>
      <c r="G4708" t="inlineStr">
        <is>
          <t>MORA</t>
        </is>
      </c>
      <c r="I4708" t="n">
        <v>4.1</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22904-2025</t>
        </is>
      </c>
      <c r="B4709" t="inlineStr">
        <is>
          <t>avverkningsanmälan</t>
        </is>
      </c>
      <c r="C4709" t="inlineStr">
        <is>
          <t>Föryngringsavverkning</t>
        </is>
      </c>
      <c r="D4709" s="1" t="n">
        <v>45790</v>
      </c>
      <c r="E4709" s="1" t="n">
        <v>46319</v>
      </c>
      <c r="F4709" t="inlineStr">
        <is>
          <t>DALARNAS LÄN</t>
        </is>
      </c>
      <c r="G4709" t="inlineStr">
        <is>
          <t>RÄTTVIK</t>
        </is>
      </c>
      <c r="I4709" t="n">
        <v>0.6</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38253-2026</t>
        </is>
      </c>
      <c r="B4710" t="inlineStr">
        <is>
          <t>avverkningsanmälan</t>
        </is>
      </c>
      <c r="C4710" t="inlineStr">
        <is>
          <t>Avverkning för annat ändamål</t>
        </is>
      </c>
      <c r="D4710" s="1" t="n">
        <v>46281</v>
      </c>
      <c r="E4710" s="1" t="n">
        <v>46319</v>
      </c>
      <c r="F4710" t="inlineStr">
        <is>
          <t>DALARNAS LÄN</t>
        </is>
      </c>
      <c r="G4710" t="inlineStr">
        <is>
          <t>VANSBRO</t>
        </is>
      </c>
      <c r="I4710" t="n">
        <v>0.9</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36066-2024</t>
        </is>
      </c>
      <c r="B4711" t="inlineStr">
        <is>
          <t>avverkningsanmälan</t>
        </is>
      </c>
      <c r="C4711" t="inlineStr">
        <is>
          <t>Föryngringsavverkning</t>
        </is>
      </c>
      <c r="D4711" s="1" t="n">
        <v>45533</v>
      </c>
      <c r="E4711" s="1" t="n">
        <v>46319</v>
      </c>
      <c r="F4711" t="inlineStr">
        <is>
          <t>DALARNAS LÄN</t>
        </is>
      </c>
      <c r="G4711" t="inlineStr">
        <is>
          <t>LUDVIKA</t>
        </is>
      </c>
      <c r="H4711" t="inlineStr">
        <is>
          <t>Bergvik skog väst AB</t>
        </is>
      </c>
      <c r="I4711" t="n">
        <v>2.1</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63905-2025</t>
        </is>
      </c>
      <c r="B4712" t="inlineStr">
        <is>
          <t>avverkningsanmälan</t>
        </is>
      </c>
      <c r="C4712" t="inlineStr">
        <is>
          <t>Föryngringsavverkning</t>
        </is>
      </c>
      <c r="D4712" s="1" t="n">
        <v>46020</v>
      </c>
      <c r="E4712" s="1" t="n">
        <v>46319</v>
      </c>
      <c r="F4712" t="inlineStr">
        <is>
          <t>DALARNAS LÄN</t>
        </is>
      </c>
      <c r="G4712" t="inlineStr">
        <is>
          <t>LEKSAND</t>
        </is>
      </c>
      <c r="I4712" t="n">
        <v>1</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63796-2025</t>
        </is>
      </c>
      <c r="B4713" t="inlineStr">
        <is>
          <t>avverkningsanmälan</t>
        </is>
      </c>
      <c r="C4713" t="inlineStr">
        <is>
          <t>Föryngringsavverkning</t>
        </is>
      </c>
      <c r="D4713" s="1" t="n">
        <v>46019</v>
      </c>
      <c r="E4713" s="1" t="n">
        <v>46319</v>
      </c>
      <c r="F4713" t="inlineStr">
        <is>
          <t>DALARNAS LÄN</t>
        </is>
      </c>
      <c r="G4713" t="inlineStr">
        <is>
          <t>GAGNEF</t>
        </is>
      </c>
      <c r="I4713" t="n">
        <v>12.8</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63853-2025</t>
        </is>
      </c>
      <c r="B4714" t="inlineStr">
        <is>
          <t>avverkningsanmälan</t>
        </is>
      </c>
      <c r="C4714" t="inlineStr">
        <is>
          <t>Föryngringsavverkning</t>
        </is>
      </c>
      <c r="D4714" s="1" t="n">
        <v>46020</v>
      </c>
      <c r="E4714" s="1" t="n">
        <v>46319</v>
      </c>
      <c r="F4714" t="inlineStr">
        <is>
          <t>DALARNAS LÄN</t>
        </is>
      </c>
      <c r="G4714" t="inlineStr">
        <is>
          <t>HEDEMORA</t>
        </is>
      </c>
      <c r="I4714" t="n">
        <v>1.8</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38285-2026</t>
        </is>
      </c>
      <c r="B4715" t="inlineStr">
        <is>
          <t>avverkningsanmälan</t>
        </is>
      </c>
      <c r="C4715" t="inlineStr">
        <is>
          <t>Föryngringsavverkning</t>
        </is>
      </c>
      <c r="D4715" s="1" t="n">
        <v>46281</v>
      </c>
      <c r="E4715" s="1" t="n">
        <v>46319</v>
      </c>
      <c r="F4715" t="inlineStr">
        <is>
          <t>DALARNAS LÄN</t>
        </is>
      </c>
      <c r="G4715" t="inlineStr">
        <is>
          <t>HEDEMORA</t>
        </is>
      </c>
      <c r="I4715" t="n">
        <v>2.2</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38294-2026</t>
        </is>
      </c>
      <c r="B4716" t="inlineStr">
        <is>
          <t>avverkningsanmälan</t>
        </is>
      </c>
      <c r="C4716" t="inlineStr">
        <is>
          <t>Föryngringsavverkning</t>
        </is>
      </c>
      <c r="D4716" s="1" t="n">
        <v>46282</v>
      </c>
      <c r="E4716" s="1" t="n">
        <v>46319</v>
      </c>
      <c r="F4716" t="inlineStr">
        <is>
          <t>DALARNAS LÄN</t>
        </is>
      </c>
      <c r="G4716" t="inlineStr">
        <is>
          <t>HEDEMORA</t>
        </is>
      </c>
      <c r="I4716" t="n">
        <v>1.3</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43702-2024</t>
        </is>
      </c>
      <c r="B4717" t="inlineStr">
        <is>
          <t>avverkningsanmälan</t>
        </is>
      </c>
      <c r="C4717" t="inlineStr">
        <is>
          <t>Föryngringsavverkning</t>
        </is>
      </c>
      <c r="D4717" s="1" t="n">
        <v>45569</v>
      </c>
      <c r="E4717" s="1" t="n">
        <v>46319</v>
      </c>
      <c r="F4717" t="inlineStr">
        <is>
          <t>DALARNAS LÄN</t>
        </is>
      </c>
      <c r="G4717" t="inlineStr">
        <is>
          <t>LUDVIKA</t>
        </is>
      </c>
      <c r="H4717" t="inlineStr">
        <is>
          <t>Bergvik skog väst AB</t>
        </is>
      </c>
      <c r="I4717" t="n">
        <v>1.9</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38357-2026</t>
        </is>
      </c>
      <c r="B4718" t="inlineStr">
        <is>
          <t>avverkningsanmälan</t>
        </is>
      </c>
      <c r="C4718" t="inlineStr">
        <is>
          <t>Föryngringsavverkning</t>
        </is>
      </c>
      <c r="D4718" s="1" t="n">
        <v>46282</v>
      </c>
      <c r="E4718" s="1" t="n">
        <v>46319</v>
      </c>
      <c r="F4718" t="inlineStr">
        <is>
          <t>DALARNAS LÄN</t>
        </is>
      </c>
      <c r="G4718" t="inlineStr">
        <is>
          <t>LUDVIKA</t>
        </is>
      </c>
      <c r="H4718" t="inlineStr">
        <is>
          <t>Naturvårdsverket</t>
        </is>
      </c>
      <c r="I4718" t="n">
        <v>1.4</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32358-2026</t>
        </is>
      </c>
      <c r="B4719" t="inlineStr">
        <is>
          <t>avverkningsanmälan</t>
        </is>
      </c>
      <c r="C4719" t="inlineStr">
        <is>
          <t>Föryngringsavverkning</t>
        </is>
      </c>
      <c r="D4719" s="1" t="n">
        <v>46238</v>
      </c>
      <c r="E4719" s="1" t="n">
        <v>46319</v>
      </c>
      <c r="F4719" t="inlineStr">
        <is>
          <t>DALARNAS LÄN</t>
        </is>
      </c>
      <c r="G4719" t="inlineStr">
        <is>
          <t>BORLÄNGE</t>
        </is>
      </c>
      <c r="H4719" t="inlineStr">
        <is>
          <t>Bergvik skog väst AB</t>
        </is>
      </c>
      <c r="I4719" t="n">
        <v>2.4</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63960-2025</t>
        </is>
      </c>
      <c r="B4720" t="inlineStr">
        <is>
          <t>avverkningsanmälan</t>
        </is>
      </c>
      <c r="C4720" t="inlineStr">
        <is>
          <t>Föryngringsavverkning</t>
        </is>
      </c>
      <c r="D4720" s="1" t="n">
        <v>46020</v>
      </c>
      <c r="E4720" s="1" t="n">
        <v>46319</v>
      </c>
      <c r="F4720" t="inlineStr">
        <is>
          <t>DALARNAS LÄN</t>
        </is>
      </c>
      <c r="G4720" t="inlineStr">
        <is>
          <t>FALUN</t>
        </is>
      </c>
      <c r="I4720" t="n">
        <v>3</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63757-2025</t>
        </is>
      </c>
      <c r="B4721" t="inlineStr">
        <is>
          <t>avverkningsanmälan</t>
        </is>
      </c>
      <c r="C4721" t="inlineStr">
        <is>
          <t>Föryngringsavverkning</t>
        </is>
      </c>
      <c r="D4721" s="1" t="n">
        <v>46018</v>
      </c>
      <c r="E4721" s="1" t="n">
        <v>46319</v>
      </c>
      <c r="F4721" t="inlineStr">
        <is>
          <t>DALARNAS LÄN</t>
        </is>
      </c>
      <c r="G4721" t="inlineStr">
        <is>
          <t>LEKSAND</t>
        </is>
      </c>
      <c r="I4721" t="n">
        <v>4</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38270-2026</t>
        </is>
      </c>
      <c r="B4722" t="inlineStr">
        <is>
          <t>avverkningsanmälan</t>
        </is>
      </c>
      <c r="C4722" t="inlineStr">
        <is>
          <t>Föryngringsavverkning</t>
        </is>
      </c>
      <c r="D4722" s="1" t="n">
        <v>46281</v>
      </c>
      <c r="E4722" s="1" t="n">
        <v>46319</v>
      </c>
      <c r="F4722" t="inlineStr">
        <is>
          <t>DALARNAS LÄN</t>
        </is>
      </c>
      <c r="G4722" t="inlineStr">
        <is>
          <t>VANSBRO</t>
        </is>
      </c>
      <c r="I4722" t="n">
        <v>1.9</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24486-2024</t>
        </is>
      </c>
      <c r="B4723" t="inlineStr">
        <is>
          <t>avverkningsanmälan</t>
        </is>
      </c>
      <c r="C4723" t="inlineStr">
        <is>
          <t>Avverkning för annat ändamål</t>
        </is>
      </c>
      <c r="D4723" s="1" t="n">
        <v>45459</v>
      </c>
      <c r="E4723" s="1" t="n">
        <v>46319</v>
      </c>
      <c r="F4723" t="inlineStr">
        <is>
          <t>DALARNAS LÄN</t>
        </is>
      </c>
      <c r="G4723" t="inlineStr">
        <is>
          <t>HEDEMORA</t>
        </is>
      </c>
      <c r="I4723" t="n">
        <v>0.3</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30248-2023</t>
        </is>
      </c>
      <c r="B4724" t="inlineStr">
        <is>
          <t>avverkningsanmälan</t>
        </is>
      </c>
      <c r="C4724" t="inlineStr">
        <is>
          <t>Föryngringsavverkning</t>
        </is>
      </c>
      <c r="D4724" s="1" t="n">
        <v>45110</v>
      </c>
      <c r="E4724" s="1" t="n">
        <v>46319</v>
      </c>
      <c r="F4724" t="inlineStr">
        <is>
          <t>DALARNAS LÄN</t>
        </is>
      </c>
      <c r="G4724" t="inlineStr">
        <is>
          <t>BORLÄNGE</t>
        </is>
      </c>
      <c r="I4724" t="n">
        <v>2.2</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3195-2024</t>
        </is>
      </c>
      <c r="B4725" t="inlineStr">
        <is>
          <t>avverkningsanmälan</t>
        </is>
      </c>
      <c r="C4725" t="inlineStr">
        <is>
          <t>Föryngringsavverkning</t>
        </is>
      </c>
      <c r="D4725" s="1" t="n">
        <v>45316</v>
      </c>
      <c r="E4725" s="1" t="n">
        <v>46319</v>
      </c>
      <c r="F4725" t="inlineStr">
        <is>
          <t>DALARNAS LÄN</t>
        </is>
      </c>
      <c r="G4725" t="inlineStr">
        <is>
          <t>AVESTA</t>
        </is>
      </c>
      <c r="I4725" t="n">
        <v>1.1</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49772-2025</t>
        </is>
      </c>
      <c r="B4726" t="inlineStr">
        <is>
          <t>avverkningsanmälan</t>
        </is>
      </c>
      <c r="C4726" t="inlineStr">
        <is>
          <t>Föryngringsavverkning</t>
        </is>
      </c>
      <c r="D4726" s="1" t="n">
        <v>45940</v>
      </c>
      <c r="E4726" s="1" t="n">
        <v>46319</v>
      </c>
      <c r="F4726" t="inlineStr">
        <is>
          <t>DALARNAS LÄN</t>
        </is>
      </c>
      <c r="G4726" t="inlineStr">
        <is>
          <t>HEDEMORA</t>
        </is>
      </c>
      <c r="H4726" t="inlineStr">
        <is>
          <t>Sveaskog</t>
        </is>
      </c>
      <c r="I4726" t="n">
        <v>2.5</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49586-2025</t>
        </is>
      </c>
      <c r="B4727" t="inlineStr">
        <is>
          <t>avverkningsanmälan</t>
        </is>
      </c>
      <c r="C4727" t="inlineStr">
        <is>
          <t>Föryngringsavverkning</t>
        </is>
      </c>
      <c r="D4727" s="1" t="n">
        <v>45939</v>
      </c>
      <c r="E4727" s="1" t="n">
        <v>46319</v>
      </c>
      <c r="F4727" t="inlineStr">
        <is>
          <t>DALARNAS LÄN</t>
        </is>
      </c>
      <c r="G4727" t="inlineStr">
        <is>
          <t>SÄTER</t>
        </is>
      </c>
      <c r="I4727" t="n">
        <v>1.6</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64096-2025</t>
        </is>
      </c>
      <c r="B4728" t="inlineStr">
        <is>
          <t>avverkningsanmälan</t>
        </is>
      </c>
      <c r="C4728" t="inlineStr">
        <is>
          <t>Föryngringsavverkning</t>
        </is>
      </c>
      <c r="D4728" s="1" t="n">
        <v>46021</v>
      </c>
      <c r="E4728" s="1" t="n">
        <v>46319</v>
      </c>
      <c r="F4728" t="inlineStr">
        <is>
          <t>DALARNAS LÄN</t>
        </is>
      </c>
      <c r="G4728" t="inlineStr">
        <is>
          <t>LEKSAND</t>
        </is>
      </c>
      <c r="I4728" t="n">
        <v>4.5</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63974-2025</t>
        </is>
      </c>
      <c r="B4729" t="inlineStr">
        <is>
          <t>avverkningsanmälan</t>
        </is>
      </c>
      <c r="C4729" t="inlineStr">
        <is>
          <t>Föryngringsavverkning</t>
        </is>
      </c>
      <c r="D4729" s="1" t="n">
        <v>46021</v>
      </c>
      <c r="E4729" s="1" t="n">
        <v>46319</v>
      </c>
      <c r="F4729" t="inlineStr">
        <is>
          <t>DALARNAS LÄN</t>
        </is>
      </c>
      <c r="G4729" t="inlineStr">
        <is>
          <t>FALUN</t>
        </is>
      </c>
      <c r="I4729" t="n">
        <v>3.1</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23056-2025</t>
        </is>
      </c>
      <c r="B4730" t="inlineStr">
        <is>
          <t>avverkningsanmälan</t>
        </is>
      </c>
      <c r="C4730" t="inlineStr">
        <is>
          <t>Föryngringsavverkning</t>
        </is>
      </c>
      <c r="D4730" s="1" t="n">
        <v>45790</v>
      </c>
      <c r="E4730" s="1" t="n">
        <v>46319</v>
      </c>
      <c r="F4730" t="inlineStr">
        <is>
          <t>DALARNAS LÄN</t>
        </is>
      </c>
      <c r="G4730" t="inlineStr">
        <is>
          <t>ORSA</t>
        </is>
      </c>
      <c r="I4730" t="n">
        <v>0.5</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23055-2025</t>
        </is>
      </c>
      <c r="B4731" t="inlineStr">
        <is>
          <t>avverkningsanmälan</t>
        </is>
      </c>
      <c r="C4731" t="inlineStr">
        <is>
          <t>Föryngringsavverkning</t>
        </is>
      </c>
      <c r="D4731" s="1" t="n">
        <v>45790</v>
      </c>
      <c r="E4731" s="1" t="n">
        <v>46319</v>
      </c>
      <c r="F4731" t="inlineStr">
        <is>
          <t>DALARNAS LÄN</t>
        </is>
      </c>
      <c r="G4731" t="inlineStr">
        <is>
          <t>ORSA</t>
        </is>
      </c>
      <c r="I4731" t="n">
        <v>0.9</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38398-2026</t>
        </is>
      </c>
      <c r="B4732" t="inlineStr">
        <is>
          <t>avverkningsanmälan</t>
        </is>
      </c>
      <c r="C4732" t="inlineStr">
        <is>
          <t>Föryngringsavverkning</t>
        </is>
      </c>
      <c r="D4732" s="1" t="n">
        <v>46282</v>
      </c>
      <c r="E4732" s="1" t="n">
        <v>46319</v>
      </c>
      <c r="F4732" t="inlineStr">
        <is>
          <t>DALARNAS LÄN</t>
        </is>
      </c>
      <c r="G4732" t="inlineStr">
        <is>
          <t>ORSA</t>
        </is>
      </c>
      <c r="H4732" t="inlineStr">
        <is>
          <t>Bergvik skog öst AB</t>
        </is>
      </c>
      <c r="I4732" t="n">
        <v>0.4</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38400-2026</t>
        </is>
      </c>
      <c r="B4733" t="inlineStr">
        <is>
          <t>avverkningsanmälan</t>
        </is>
      </c>
      <c r="C4733" t="inlineStr">
        <is>
          <t>Föryngringsavverkning</t>
        </is>
      </c>
      <c r="D4733" s="1" t="n">
        <v>46282</v>
      </c>
      <c r="E4733" s="1" t="n">
        <v>46319</v>
      </c>
      <c r="F4733" t="inlineStr">
        <is>
          <t>DALARNAS LÄN</t>
        </is>
      </c>
      <c r="G4733" t="inlineStr">
        <is>
          <t>ORSA</t>
        </is>
      </c>
      <c r="H4733" t="inlineStr">
        <is>
          <t>Allmännings- och besparingsskogar</t>
        </is>
      </c>
      <c r="I4733" t="n">
        <v>0.6</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63967-2025</t>
        </is>
      </c>
      <c r="B4734" t="inlineStr">
        <is>
          <t>avverkningsanmälan</t>
        </is>
      </c>
      <c r="C4734" t="inlineStr">
        <is>
          <t>Föryngringsavverkning</t>
        </is>
      </c>
      <c r="D4734" s="1" t="n">
        <v>46021</v>
      </c>
      <c r="E4734" s="1" t="n">
        <v>46319</v>
      </c>
      <c r="F4734" t="inlineStr">
        <is>
          <t>DALARNAS LÄN</t>
        </is>
      </c>
      <c r="G4734" t="inlineStr">
        <is>
          <t>LEKSAND</t>
        </is>
      </c>
      <c r="I4734" t="n">
        <v>6.4</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64045-2025</t>
        </is>
      </c>
      <c r="B4735" t="inlineStr">
        <is>
          <t>avverkningsanmälan</t>
        </is>
      </c>
      <c r="C4735" t="inlineStr">
        <is>
          <t>Föryngringsavverkning</t>
        </is>
      </c>
      <c r="D4735" s="1" t="n">
        <v>46021</v>
      </c>
      <c r="E4735" s="1" t="n">
        <v>46319</v>
      </c>
      <c r="F4735" t="inlineStr">
        <is>
          <t>DALARNAS LÄN</t>
        </is>
      </c>
      <c r="G4735" t="inlineStr">
        <is>
          <t>HEDEMORA</t>
        </is>
      </c>
      <c r="I4735" t="n">
        <v>3.1</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22599-2025</t>
        </is>
      </c>
      <c r="B4736" t="inlineStr">
        <is>
          <t>avverkningsanmälan</t>
        </is>
      </c>
      <c r="C4736" t="inlineStr">
        <is>
          <t>Föryngringsavverkning</t>
        </is>
      </c>
      <c r="D4736" s="1" t="n">
        <v>45789</v>
      </c>
      <c r="E4736" s="1" t="n">
        <v>46319</v>
      </c>
      <c r="F4736" t="inlineStr">
        <is>
          <t>DALARNAS LÄN</t>
        </is>
      </c>
      <c r="G4736" t="inlineStr">
        <is>
          <t>LUDVIKA</t>
        </is>
      </c>
      <c r="H4736" t="inlineStr">
        <is>
          <t>Bergvik skog väst AB</t>
        </is>
      </c>
      <c r="I4736" t="n">
        <v>2.7</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31388-2024</t>
        </is>
      </c>
      <c r="B4737" t="inlineStr">
        <is>
          <t>avverkningsanmälan</t>
        </is>
      </c>
      <c r="C4737" t="inlineStr">
        <is>
          <t>Föryngringsavverkning</t>
        </is>
      </c>
      <c r="D4737" s="1" t="n">
        <v>45505</v>
      </c>
      <c r="E4737" s="1" t="n">
        <v>46319</v>
      </c>
      <c r="F4737" t="inlineStr">
        <is>
          <t>DALARNAS LÄN</t>
        </is>
      </c>
      <c r="G4737" t="inlineStr">
        <is>
          <t>RÄTTVIK</t>
        </is>
      </c>
      <c r="I4737" t="n">
        <v>6.9</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38143-2026</t>
        </is>
      </c>
      <c r="B4738" t="inlineStr">
        <is>
          <t>avverkningsanmälan</t>
        </is>
      </c>
      <c r="C4738" t="inlineStr">
        <is>
          <t>Föryngringsavverkning</t>
        </is>
      </c>
      <c r="D4738" s="1" t="n">
        <v>46281</v>
      </c>
      <c r="E4738" s="1" t="n">
        <v>46319</v>
      </c>
      <c r="F4738" t="inlineStr">
        <is>
          <t>DALARNAS LÄN</t>
        </is>
      </c>
      <c r="G4738" t="inlineStr">
        <is>
          <t>LEKSAND</t>
        </is>
      </c>
      <c r="I4738" t="n">
        <v>6.7</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38279-2026</t>
        </is>
      </c>
      <c r="B4739" t="inlineStr">
        <is>
          <t>avverkningsanmälan</t>
        </is>
      </c>
      <c r="C4739" t="inlineStr">
        <is>
          <t>Föryngringsavverkning</t>
        </is>
      </c>
      <c r="D4739" s="1" t="n">
        <v>46281</v>
      </c>
      <c r="E4739" s="1" t="n">
        <v>46319</v>
      </c>
      <c r="F4739" t="inlineStr">
        <is>
          <t>DALARNAS LÄN</t>
        </is>
      </c>
      <c r="G4739" t="inlineStr">
        <is>
          <t>FALUN</t>
        </is>
      </c>
      <c r="I4739" t="n">
        <v>6</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131-2026</t>
        </is>
      </c>
      <c r="B4740" t="inlineStr">
        <is>
          <t>avverkningsanmälan</t>
        </is>
      </c>
      <c r="C4740" t="inlineStr">
        <is>
          <t>Föryngringsavverkning</t>
        </is>
      </c>
      <c r="D4740" s="1" t="n">
        <v>46024</v>
      </c>
      <c r="E4740" s="1" t="n">
        <v>46319</v>
      </c>
      <c r="F4740" t="inlineStr">
        <is>
          <t>DALARNAS LÄN</t>
        </is>
      </c>
      <c r="G4740" t="inlineStr">
        <is>
          <t>GAGNEF</t>
        </is>
      </c>
      <c r="I4740" t="n">
        <v>0.4</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144-2026</t>
        </is>
      </c>
      <c r="B4741" t="inlineStr">
        <is>
          <t>avverkningsanmälan</t>
        </is>
      </c>
      <c r="C4741" t="inlineStr">
        <is>
          <t>Föryngringsavverkning</t>
        </is>
      </c>
      <c r="D4741" s="1" t="n">
        <v>46024</v>
      </c>
      <c r="E4741" s="1" t="n">
        <v>46319</v>
      </c>
      <c r="F4741" t="inlineStr">
        <is>
          <t>DALARNAS LÄN</t>
        </is>
      </c>
      <c r="G4741" t="inlineStr">
        <is>
          <t>ORSA</t>
        </is>
      </c>
      <c r="I4741" t="n">
        <v>1.7</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117-2026</t>
        </is>
      </c>
      <c r="B4742" t="inlineStr">
        <is>
          <t>avverkningsanmälan</t>
        </is>
      </c>
      <c r="C4742" t="inlineStr">
        <is>
          <t>Föryngringsavverkning</t>
        </is>
      </c>
      <c r="D4742" s="1" t="n">
        <v>46024</v>
      </c>
      <c r="E4742" s="1" t="n">
        <v>46319</v>
      </c>
      <c r="F4742" t="inlineStr">
        <is>
          <t>DALARNAS LÄN</t>
        </is>
      </c>
      <c r="G4742" t="inlineStr">
        <is>
          <t>GAGNEF</t>
        </is>
      </c>
      <c r="I4742" t="n">
        <v>0.7</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48964-2025</t>
        </is>
      </c>
      <c r="B4743" t="inlineStr">
        <is>
          <t>avverkningsanmälan</t>
        </is>
      </c>
      <c r="C4743" t="inlineStr">
        <is>
          <t>Föryngringsavverkning</t>
        </is>
      </c>
      <c r="D4743" s="1" t="n">
        <v>45937</v>
      </c>
      <c r="E4743" s="1" t="n">
        <v>46319</v>
      </c>
      <c r="F4743" t="inlineStr">
        <is>
          <t>DALARNAS LÄN</t>
        </is>
      </c>
      <c r="G4743" t="inlineStr">
        <is>
          <t>SMEDJEBACKEN</t>
        </is>
      </c>
      <c r="H4743" t="inlineStr">
        <is>
          <t>Sveaskog</t>
        </is>
      </c>
      <c r="I4743" t="n">
        <v>3</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38161-2026</t>
        </is>
      </c>
      <c r="B4744" t="inlineStr">
        <is>
          <t>avverkningsanmälan</t>
        </is>
      </c>
      <c r="C4744" t="inlineStr">
        <is>
          <t>Föryngringsavverkning</t>
        </is>
      </c>
      <c r="D4744" s="1" t="n">
        <v>46281</v>
      </c>
      <c r="E4744" s="1" t="n">
        <v>46319</v>
      </c>
      <c r="F4744" t="inlineStr">
        <is>
          <t>DALARNAS LÄN</t>
        </is>
      </c>
      <c r="G4744" t="inlineStr">
        <is>
          <t>HEDEMORA</t>
        </is>
      </c>
      <c r="H4744" t="inlineStr">
        <is>
          <t>Sveaskog</t>
        </is>
      </c>
      <c r="I4744" t="n">
        <v>1.6</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38163-2026</t>
        </is>
      </c>
      <c r="B4745" t="inlineStr">
        <is>
          <t>avverkningsanmälan</t>
        </is>
      </c>
      <c r="C4745" t="inlineStr">
        <is>
          <t>Föryngringsavverkning</t>
        </is>
      </c>
      <c r="D4745" s="1" t="n">
        <v>46281</v>
      </c>
      <c r="E4745" s="1" t="n">
        <v>46319</v>
      </c>
      <c r="F4745" t="inlineStr">
        <is>
          <t>DALARNAS LÄN</t>
        </is>
      </c>
      <c r="G4745" t="inlineStr">
        <is>
          <t>HEDEMORA</t>
        </is>
      </c>
      <c r="H4745" t="inlineStr">
        <is>
          <t>Sveaskog</t>
        </is>
      </c>
      <c r="I4745" t="n">
        <v>2.7</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141-2026</t>
        </is>
      </c>
      <c r="B4746" t="inlineStr">
        <is>
          <t>avverkningsanmälan</t>
        </is>
      </c>
      <c r="C4746" t="inlineStr">
        <is>
          <t>Föryngringsavverkning</t>
        </is>
      </c>
      <c r="D4746" s="1" t="n">
        <v>46024</v>
      </c>
      <c r="E4746" s="1" t="n">
        <v>46319</v>
      </c>
      <c r="F4746" t="inlineStr">
        <is>
          <t>DALARNAS LÄN</t>
        </is>
      </c>
      <c r="G4746" t="inlineStr">
        <is>
          <t>MORA</t>
        </is>
      </c>
      <c r="I4746" t="n">
        <v>4.4</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13528-2025</t>
        </is>
      </c>
      <c r="B4747" t="inlineStr">
        <is>
          <t>avverkningsanmälan</t>
        </is>
      </c>
      <c r="C4747" t="inlineStr">
        <is>
          <t>Föryngringsavverkning</t>
        </is>
      </c>
      <c r="D4747" s="1" t="n">
        <v>45736</v>
      </c>
      <c r="E4747" s="1" t="n">
        <v>46319</v>
      </c>
      <c r="F4747" t="inlineStr">
        <is>
          <t>DALARNAS LÄN</t>
        </is>
      </c>
      <c r="G4747" t="inlineStr">
        <is>
          <t>BORLÄNGE</t>
        </is>
      </c>
      <c r="I4747" t="n">
        <v>2.1</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23015-2025</t>
        </is>
      </c>
      <c r="B4748" t="inlineStr">
        <is>
          <t>avverkningsanmälan</t>
        </is>
      </c>
      <c r="C4748" t="inlineStr">
        <is>
          <t>Föryngringsavverkning</t>
        </is>
      </c>
      <c r="D4748" s="1" t="n">
        <v>45790</v>
      </c>
      <c r="E4748" s="1" t="n">
        <v>46319</v>
      </c>
      <c r="F4748" t="inlineStr">
        <is>
          <t>DALARNAS LÄN</t>
        </is>
      </c>
      <c r="G4748" t="inlineStr">
        <is>
          <t>ORSA</t>
        </is>
      </c>
      <c r="H4748" t="inlineStr">
        <is>
          <t>Bergvik skog öst AB</t>
        </is>
      </c>
      <c r="I4748" t="n">
        <v>0.7</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121-2026</t>
        </is>
      </c>
      <c r="B4749" t="inlineStr">
        <is>
          <t>avverkningsanmälan</t>
        </is>
      </c>
      <c r="C4749" t="inlineStr">
        <is>
          <t>Föryngringsavverkning</t>
        </is>
      </c>
      <c r="D4749" s="1" t="n">
        <v>46024</v>
      </c>
      <c r="E4749" s="1" t="n">
        <v>46319</v>
      </c>
      <c r="F4749" t="inlineStr">
        <is>
          <t>DALARNAS LÄN</t>
        </is>
      </c>
      <c r="G4749" t="inlineStr">
        <is>
          <t>FALUN</t>
        </is>
      </c>
      <c r="I4749" t="n">
        <v>3.7</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101-2026</t>
        </is>
      </c>
      <c r="B4750" t="inlineStr">
        <is>
          <t>avverkningsanmälan</t>
        </is>
      </c>
      <c r="C4750" t="inlineStr">
        <is>
          <t>Föryngringsavverkning</t>
        </is>
      </c>
      <c r="D4750" s="1" t="n">
        <v>46024</v>
      </c>
      <c r="E4750" s="1" t="n">
        <v>46319</v>
      </c>
      <c r="F4750" t="inlineStr">
        <is>
          <t>DALARNAS LÄN</t>
        </is>
      </c>
      <c r="G4750" t="inlineStr">
        <is>
          <t>ORSA</t>
        </is>
      </c>
      <c r="I4750" t="n">
        <v>1.1</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104-2026</t>
        </is>
      </c>
      <c r="B4751" t="inlineStr">
        <is>
          <t>avverkningsanmälan</t>
        </is>
      </c>
      <c r="C4751" t="inlineStr">
        <is>
          <t>Föryngringsavverkning</t>
        </is>
      </c>
      <c r="D4751" s="1" t="n">
        <v>46024</v>
      </c>
      <c r="E4751" s="1" t="n">
        <v>46319</v>
      </c>
      <c r="F4751" t="inlineStr">
        <is>
          <t>DALARNAS LÄN</t>
        </is>
      </c>
      <c r="G4751" t="inlineStr">
        <is>
          <t>FALUN</t>
        </is>
      </c>
      <c r="I4751" t="n">
        <v>0.5</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41333-2024</t>
        </is>
      </c>
      <c r="B4752" t="inlineStr">
        <is>
          <t>avverkningsanmälan</t>
        </is>
      </c>
      <c r="C4752" t="inlineStr">
        <is>
          <t>Föryngringsavverkning</t>
        </is>
      </c>
      <c r="D4752" s="1" t="n">
        <v>45559</v>
      </c>
      <c r="E4752" s="1" t="n">
        <v>46319</v>
      </c>
      <c r="F4752" t="inlineStr">
        <is>
          <t>DALARNAS LÄN</t>
        </is>
      </c>
      <c r="G4752" t="inlineStr">
        <is>
          <t>SMEDJEBACKEN</t>
        </is>
      </c>
      <c r="I4752" t="n">
        <v>1.2</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32493-2026</t>
        </is>
      </c>
      <c r="B4753" t="inlineStr">
        <is>
          <t>avverkningsanmälan</t>
        </is>
      </c>
      <c r="C4753" t="inlineStr">
        <is>
          <t>Föryngringsavverkning</t>
        </is>
      </c>
      <c r="D4753" s="1" t="n">
        <v>46239</v>
      </c>
      <c r="E4753" s="1" t="n">
        <v>46319</v>
      </c>
      <c r="F4753" t="inlineStr">
        <is>
          <t>DALARNAS LÄN</t>
        </is>
      </c>
      <c r="G4753" t="inlineStr">
        <is>
          <t>MALUNG-SÄLEN</t>
        </is>
      </c>
      <c r="I4753" t="n">
        <v>1</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120-2026</t>
        </is>
      </c>
      <c r="B4754" t="inlineStr">
        <is>
          <t>avverkningsanmälan</t>
        </is>
      </c>
      <c r="C4754" t="inlineStr">
        <is>
          <t>Föryngringsavverkning</t>
        </is>
      </c>
      <c r="D4754" s="1" t="n">
        <v>46024</v>
      </c>
      <c r="E4754" s="1" t="n">
        <v>46319</v>
      </c>
      <c r="F4754" t="inlineStr">
        <is>
          <t>DALARNAS LÄN</t>
        </is>
      </c>
      <c r="G4754" t="inlineStr">
        <is>
          <t>GAGNEF</t>
        </is>
      </c>
      <c r="I4754" t="n">
        <v>0.9</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22273-2025</t>
        </is>
      </c>
      <c r="B4755" t="inlineStr">
        <is>
          <t>avverkningsanmälan</t>
        </is>
      </c>
      <c r="C4755" t="inlineStr">
        <is>
          <t>Föryngringsavverkning</t>
        </is>
      </c>
      <c r="D4755" s="1" t="n">
        <v>45785</v>
      </c>
      <c r="E4755" s="1" t="n">
        <v>46319</v>
      </c>
      <c r="F4755" t="inlineStr">
        <is>
          <t>DALARNAS LÄN</t>
        </is>
      </c>
      <c r="G4755" t="inlineStr">
        <is>
          <t>GAGNEF</t>
        </is>
      </c>
      <c r="I4755" t="n">
        <v>2.4</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32430-2026</t>
        </is>
      </c>
      <c r="B4756" t="inlineStr">
        <is>
          <t>avverkningsanmälan</t>
        </is>
      </c>
      <c r="C4756" t="inlineStr">
        <is>
          <t>Föryngringsavverkning</t>
        </is>
      </c>
      <c r="D4756" s="1" t="n">
        <v>46238</v>
      </c>
      <c r="E4756" s="1" t="n">
        <v>46319</v>
      </c>
      <c r="F4756" t="inlineStr">
        <is>
          <t>DALARNAS LÄN</t>
        </is>
      </c>
      <c r="G4756" t="inlineStr">
        <is>
          <t>LEKSAND</t>
        </is>
      </c>
      <c r="H4756" t="inlineStr">
        <is>
          <t>Bergvik skog väst AB</t>
        </is>
      </c>
      <c r="I4756" t="n">
        <v>0.6</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38457-2026</t>
        </is>
      </c>
      <c r="B4757" t="inlineStr">
        <is>
          <t>avverkningsanmälan</t>
        </is>
      </c>
      <c r="C4757" t="inlineStr">
        <is>
          <t>Föryngringsavverkning</t>
        </is>
      </c>
      <c r="D4757" s="1" t="n">
        <v>46282</v>
      </c>
      <c r="E4757" s="1" t="n">
        <v>46319</v>
      </c>
      <c r="F4757" t="inlineStr">
        <is>
          <t>DALARNAS LÄN</t>
        </is>
      </c>
      <c r="G4757" t="inlineStr">
        <is>
          <t>ORSA</t>
        </is>
      </c>
      <c r="H4757" t="inlineStr">
        <is>
          <t>Bergvik skog öst AB</t>
        </is>
      </c>
      <c r="I4757" t="n">
        <v>11</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70-2026</t>
        </is>
      </c>
      <c r="B4758" t="inlineStr">
        <is>
          <t>avverkningsanmälan</t>
        </is>
      </c>
      <c r="C4758" t="inlineStr">
        <is>
          <t>Föryngringsavverkning</t>
        </is>
      </c>
      <c r="D4758" s="1" t="n">
        <v>46024</v>
      </c>
      <c r="E4758" s="1" t="n">
        <v>46319</v>
      </c>
      <c r="F4758" t="inlineStr">
        <is>
          <t>DALARNAS LÄN</t>
        </is>
      </c>
      <c r="G4758" t="inlineStr">
        <is>
          <t>MALUNG-SÄLEN</t>
        </is>
      </c>
      <c r="I4758" t="n">
        <v>2.7</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22536-2025</t>
        </is>
      </c>
      <c r="B4759" t="inlineStr">
        <is>
          <t>avverkningsanmälan</t>
        </is>
      </c>
      <c r="C4759" t="inlineStr">
        <is>
          <t>Föryngringsavverkning</t>
        </is>
      </c>
      <c r="D4759" s="1" t="n">
        <v>45787</v>
      </c>
      <c r="E4759" s="1" t="n">
        <v>46319</v>
      </c>
      <c r="F4759" t="inlineStr">
        <is>
          <t>DALARNAS LÄN</t>
        </is>
      </c>
      <c r="G4759" t="inlineStr">
        <is>
          <t>LEKSAND</t>
        </is>
      </c>
      <c r="I4759" t="n">
        <v>1.8</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126-2026</t>
        </is>
      </c>
      <c r="B4760" t="inlineStr">
        <is>
          <t>avverkningsanmälan</t>
        </is>
      </c>
      <c r="C4760" t="inlineStr">
        <is>
          <t>Föryngringsavverkning</t>
        </is>
      </c>
      <c r="D4760" s="1" t="n">
        <v>46024</v>
      </c>
      <c r="E4760" s="1" t="n">
        <v>46319</v>
      </c>
      <c r="F4760" t="inlineStr">
        <is>
          <t>DALARNAS LÄN</t>
        </is>
      </c>
      <c r="G4760" t="inlineStr">
        <is>
          <t>GAGNEF</t>
        </is>
      </c>
      <c r="I4760" t="n">
        <v>0.8</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133-2026</t>
        </is>
      </c>
      <c r="B4761" t="inlineStr">
        <is>
          <t>avverkningsanmälan</t>
        </is>
      </c>
      <c r="C4761" t="inlineStr">
        <is>
          <t>Föryngringsavverkning</t>
        </is>
      </c>
      <c r="D4761" s="1" t="n">
        <v>46024</v>
      </c>
      <c r="E4761" s="1" t="n">
        <v>46319</v>
      </c>
      <c r="F4761" t="inlineStr">
        <is>
          <t>DALARNAS LÄN</t>
        </is>
      </c>
      <c r="G4761" t="inlineStr">
        <is>
          <t>LEKSAND</t>
        </is>
      </c>
      <c r="I4761" t="n">
        <v>1.9</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134-2026</t>
        </is>
      </c>
      <c r="B4762" t="inlineStr">
        <is>
          <t>avverkningsanmälan</t>
        </is>
      </c>
      <c r="C4762" t="inlineStr">
        <is>
          <t>Föryngringsavverkning</t>
        </is>
      </c>
      <c r="D4762" s="1" t="n">
        <v>46024</v>
      </c>
      <c r="E4762" s="1" t="n">
        <v>46319</v>
      </c>
      <c r="F4762" t="inlineStr">
        <is>
          <t>DALARNAS LÄN</t>
        </is>
      </c>
      <c r="G4762" t="inlineStr">
        <is>
          <t>GAGNEF</t>
        </is>
      </c>
      <c r="I4762" t="n">
        <v>4.7</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349-2026</t>
        </is>
      </c>
      <c r="B4763" t="inlineStr">
        <is>
          <t>avverkningsanmälan</t>
        </is>
      </c>
      <c r="C4763" t="inlineStr">
        <is>
          <t>Föryngringsavverkning</t>
        </is>
      </c>
      <c r="D4763" s="1" t="n">
        <v>46027</v>
      </c>
      <c r="E4763" s="1" t="n">
        <v>46319</v>
      </c>
      <c r="F4763" t="inlineStr">
        <is>
          <t>DALARNAS LÄN</t>
        </is>
      </c>
      <c r="G4763" t="inlineStr">
        <is>
          <t>BORLÄNGE</t>
        </is>
      </c>
      <c r="I4763" t="n">
        <v>17.3</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396-2026</t>
        </is>
      </c>
      <c r="B4764" t="inlineStr">
        <is>
          <t>avverkningsanmälan</t>
        </is>
      </c>
      <c r="C4764" t="inlineStr">
        <is>
          <t>Föryngringsavverkning</t>
        </is>
      </c>
      <c r="D4764" s="1" t="n">
        <v>46028</v>
      </c>
      <c r="E4764" s="1" t="n">
        <v>46319</v>
      </c>
      <c r="F4764" t="inlineStr">
        <is>
          <t>DALARNAS LÄN</t>
        </is>
      </c>
      <c r="G4764" t="inlineStr">
        <is>
          <t>FALUN</t>
        </is>
      </c>
      <c r="I4764" t="n">
        <v>34.8</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178-2026</t>
        </is>
      </c>
      <c r="B4765" t="inlineStr">
        <is>
          <t>avverkningsanmälan</t>
        </is>
      </c>
      <c r="C4765" t="inlineStr">
        <is>
          <t>Föryngringsavverkning</t>
        </is>
      </c>
      <c r="D4765" s="1" t="n">
        <v>46025</v>
      </c>
      <c r="E4765" s="1" t="n">
        <v>46319</v>
      </c>
      <c r="F4765" t="inlineStr">
        <is>
          <t>DALARNAS LÄN</t>
        </is>
      </c>
      <c r="G4765" t="inlineStr">
        <is>
          <t>FALUN</t>
        </is>
      </c>
      <c r="I4765" t="n">
        <v>7.3</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190-2026</t>
        </is>
      </c>
      <c r="B4766" t="inlineStr">
        <is>
          <t>avverkningsanmälan</t>
        </is>
      </c>
      <c r="C4766" t="inlineStr">
        <is>
          <t>Föryngringsavverkning</t>
        </is>
      </c>
      <c r="D4766" s="1" t="n">
        <v>46025</v>
      </c>
      <c r="E4766" s="1" t="n">
        <v>46319</v>
      </c>
      <c r="F4766" t="inlineStr">
        <is>
          <t>DALARNAS LÄN</t>
        </is>
      </c>
      <c r="G4766" t="inlineStr">
        <is>
          <t>FALUN</t>
        </is>
      </c>
      <c r="I4766" t="n">
        <v>46.9</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34585-2024</t>
        </is>
      </c>
      <c r="B4767" t="inlineStr">
        <is>
          <t>avverkningsanmälan</t>
        </is>
      </c>
      <c r="C4767" t="inlineStr">
        <is>
          <t>Föryngringsavverkning</t>
        </is>
      </c>
      <c r="D4767" s="1" t="n">
        <v>45526</v>
      </c>
      <c r="E4767" s="1" t="n">
        <v>46319</v>
      </c>
      <c r="F4767" t="inlineStr">
        <is>
          <t>DALARNAS LÄN</t>
        </is>
      </c>
      <c r="G4767" t="inlineStr">
        <is>
          <t>LEKSAND</t>
        </is>
      </c>
      <c r="I4767" t="n">
        <v>0.9</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22647-2025</t>
        </is>
      </c>
      <c r="B4768" t="inlineStr">
        <is>
          <t>avverkningsanmälan</t>
        </is>
      </c>
      <c r="C4768" t="inlineStr">
        <is>
          <t>Avverkning för annat ändamål</t>
        </is>
      </c>
      <c r="D4768" s="1" t="n">
        <v>45789</v>
      </c>
      <c r="E4768" s="1" t="n">
        <v>46319</v>
      </c>
      <c r="F4768" t="inlineStr">
        <is>
          <t>DALARNAS LÄN</t>
        </is>
      </c>
      <c r="G4768" t="inlineStr">
        <is>
          <t>MALUNG-SÄLEN</t>
        </is>
      </c>
      <c r="H4768" t="inlineStr">
        <is>
          <t>Bergvik skog väst AB</t>
        </is>
      </c>
      <c r="I4768" t="n">
        <v>1.9</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32531-2026</t>
        </is>
      </c>
      <c r="B4769" t="inlineStr">
        <is>
          <t>avverkningsanmälan</t>
        </is>
      </c>
      <c r="C4769" t="inlineStr">
        <is>
          <t>Föryngringsavverkning</t>
        </is>
      </c>
      <c r="D4769" s="1" t="n">
        <v>46239</v>
      </c>
      <c r="E4769" s="1" t="n">
        <v>46319</v>
      </c>
      <c r="F4769" t="inlineStr">
        <is>
          <t>DALARNAS LÄN</t>
        </is>
      </c>
      <c r="G4769" t="inlineStr">
        <is>
          <t>HEDEMORA</t>
        </is>
      </c>
      <c r="H4769" t="inlineStr">
        <is>
          <t>Sveaskog</t>
        </is>
      </c>
      <c r="I4769" t="n">
        <v>1.4</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319-2026</t>
        </is>
      </c>
      <c r="B4770" t="inlineStr">
        <is>
          <t>avverkningsanmälan</t>
        </is>
      </c>
      <c r="C4770" t="inlineStr">
        <is>
          <t>Föryngringsavverkning</t>
        </is>
      </c>
      <c r="D4770" s="1" t="n">
        <v>46027</v>
      </c>
      <c r="E4770" s="1" t="n">
        <v>46319</v>
      </c>
      <c r="F4770" t="inlineStr">
        <is>
          <t>DALARNAS LÄN</t>
        </is>
      </c>
      <c r="G4770" t="inlineStr">
        <is>
          <t>LEKSAND</t>
        </is>
      </c>
      <c r="I4770" t="n">
        <v>12.9</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264-2026</t>
        </is>
      </c>
      <c r="B4771" t="inlineStr">
        <is>
          <t>avverkningsanmälan</t>
        </is>
      </c>
      <c r="C4771" t="inlineStr">
        <is>
          <t>Föryngringsavverkning</t>
        </is>
      </c>
      <c r="D4771" s="1" t="n">
        <v>46027</v>
      </c>
      <c r="E4771" s="1" t="n">
        <v>46319</v>
      </c>
      <c r="F4771" t="inlineStr">
        <is>
          <t>DALARNAS LÄN</t>
        </is>
      </c>
      <c r="G4771" t="inlineStr">
        <is>
          <t>SÄTER</t>
        </is>
      </c>
      <c r="I4771" t="n">
        <v>12.1</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356-2026</t>
        </is>
      </c>
      <c r="B4772" t="inlineStr">
        <is>
          <t>avverkningsanmälan</t>
        </is>
      </c>
      <c r="C4772" t="inlineStr">
        <is>
          <t>Föryngringsavverkning</t>
        </is>
      </c>
      <c r="D4772" s="1" t="n">
        <v>46027</v>
      </c>
      <c r="E4772" s="1" t="n">
        <v>46319</v>
      </c>
      <c r="F4772" t="inlineStr">
        <is>
          <t>DALARNAS LÄN</t>
        </is>
      </c>
      <c r="G4772" t="inlineStr">
        <is>
          <t>RÄTTVIK</t>
        </is>
      </c>
      <c r="I4772" t="n">
        <v>3.5</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38415-2026</t>
        </is>
      </c>
      <c r="B4773" t="inlineStr">
        <is>
          <t>avverkningsanmälan</t>
        </is>
      </c>
      <c r="C4773" t="inlineStr">
        <is>
          <t>Föryngringsavverkning</t>
        </is>
      </c>
      <c r="D4773" s="1" t="n">
        <v>46282</v>
      </c>
      <c r="E4773" s="1" t="n">
        <v>46319</v>
      </c>
      <c r="F4773" t="inlineStr">
        <is>
          <t>DALARNAS LÄN</t>
        </is>
      </c>
      <c r="G4773" t="inlineStr">
        <is>
          <t>ORSA</t>
        </is>
      </c>
      <c r="H4773" t="inlineStr">
        <is>
          <t>Bergvik skog öst AB</t>
        </is>
      </c>
      <c r="I4773" t="n">
        <v>1.8</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339-2026</t>
        </is>
      </c>
      <c r="B4774" t="inlineStr">
        <is>
          <t>avverkningsanmälan</t>
        </is>
      </c>
      <c r="C4774" t="inlineStr">
        <is>
          <t>Föryngringsavverkning</t>
        </is>
      </c>
      <c r="D4774" s="1" t="n">
        <v>46027</v>
      </c>
      <c r="E4774" s="1" t="n">
        <v>46319</v>
      </c>
      <c r="F4774" t="inlineStr">
        <is>
          <t>DALARNAS LÄN</t>
        </is>
      </c>
      <c r="G4774" t="inlineStr">
        <is>
          <t>RÄTTVIK</t>
        </is>
      </c>
      <c r="I4774" t="n">
        <v>1.7</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338-2026</t>
        </is>
      </c>
      <c r="B4775" t="inlineStr">
        <is>
          <t>avverkningsanmälan</t>
        </is>
      </c>
      <c r="C4775" t="inlineStr">
        <is>
          <t>Föryngringsavverkning</t>
        </is>
      </c>
      <c r="D4775" s="1" t="n">
        <v>46027</v>
      </c>
      <c r="E4775" s="1" t="n">
        <v>46319</v>
      </c>
      <c r="F4775" t="inlineStr">
        <is>
          <t>DALARNAS LÄN</t>
        </is>
      </c>
      <c r="G4775" t="inlineStr">
        <is>
          <t>RÄTTVIK</t>
        </is>
      </c>
      <c r="I4775" t="n">
        <v>12.9</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374-2026</t>
        </is>
      </c>
      <c r="B4776" t="inlineStr">
        <is>
          <t>avverkningsanmälan</t>
        </is>
      </c>
      <c r="C4776" t="inlineStr">
        <is>
          <t>Föryngringsavverkning</t>
        </is>
      </c>
      <c r="D4776" s="1" t="n">
        <v>46027</v>
      </c>
      <c r="E4776" s="1" t="n">
        <v>46319</v>
      </c>
      <c r="F4776" t="inlineStr">
        <is>
          <t>DALARNAS LÄN</t>
        </is>
      </c>
      <c r="G4776" t="inlineStr">
        <is>
          <t>FALUN</t>
        </is>
      </c>
      <c r="I4776" t="n">
        <v>7.8</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38418-2026</t>
        </is>
      </c>
      <c r="B4777" t="inlineStr">
        <is>
          <t>avverkningsanmälan</t>
        </is>
      </c>
      <c r="C4777" t="inlineStr">
        <is>
          <t>Föryngringsavverkning</t>
        </is>
      </c>
      <c r="D4777" s="1" t="n">
        <v>46282</v>
      </c>
      <c r="E4777" s="1" t="n">
        <v>46319</v>
      </c>
      <c r="F4777" t="inlineStr">
        <is>
          <t>DALARNAS LÄN</t>
        </is>
      </c>
      <c r="G4777" t="inlineStr">
        <is>
          <t>ORSA</t>
        </is>
      </c>
      <c r="H4777" t="inlineStr">
        <is>
          <t>Allmännings- och besparingsskogar</t>
        </is>
      </c>
      <c r="I4777" t="n">
        <v>2</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38248-2026</t>
        </is>
      </c>
      <c r="B4778" t="inlineStr">
        <is>
          <t>avverkningsanmälan</t>
        </is>
      </c>
      <c r="C4778" t="inlineStr">
        <is>
          <t>Föryngringsavverkning</t>
        </is>
      </c>
      <c r="D4778" s="1" t="n">
        <v>46281</v>
      </c>
      <c r="E4778" s="1" t="n">
        <v>46319</v>
      </c>
      <c r="F4778" t="inlineStr">
        <is>
          <t>DALARNAS LÄN</t>
        </is>
      </c>
      <c r="G4778" t="inlineStr">
        <is>
          <t>VANSBRO</t>
        </is>
      </c>
      <c r="I4778" t="n">
        <v>3.5</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386-2026</t>
        </is>
      </c>
      <c r="B4779" t="inlineStr">
        <is>
          <t>avverkningsanmälan</t>
        </is>
      </c>
      <c r="C4779" t="inlineStr">
        <is>
          <t>Föryngringsavverkning</t>
        </is>
      </c>
      <c r="D4779" s="1" t="n">
        <v>46027</v>
      </c>
      <c r="E4779" s="1" t="n">
        <v>46319</v>
      </c>
      <c r="F4779" t="inlineStr">
        <is>
          <t>DALARNAS LÄN</t>
        </is>
      </c>
      <c r="G4779" t="inlineStr">
        <is>
          <t>FALUN</t>
        </is>
      </c>
      <c r="I4779" t="n">
        <v>2</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295-2026</t>
        </is>
      </c>
      <c r="B4780" t="inlineStr">
        <is>
          <t>avverkningsanmälan</t>
        </is>
      </c>
      <c r="C4780" t="inlineStr">
        <is>
          <t>Föryngringsavverkning</t>
        </is>
      </c>
      <c r="D4780" s="1" t="n">
        <v>46027</v>
      </c>
      <c r="E4780" s="1" t="n">
        <v>46319</v>
      </c>
      <c r="F4780" t="inlineStr">
        <is>
          <t>DALARNAS LÄN</t>
        </is>
      </c>
      <c r="G4780" t="inlineStr">
        <is>
          <t>FALUN</t>
        </is>
      </c>
      <c r="I4780" t="n">
        <v>4.1</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5169-2024</t>
        </is>
      </c>
      <c r="B4781" t="inlineStr">
        <is>
          <t>avverkningsanmälan</t>
        </is>
      </c>
      <c r="C4781" t="inlineStr">
        <is>
          <t>Föryngringsavverkning</t>
        </is>
      </c>
      <c r="D4781" s="1" t="n">
        <v>45330</v>
      </c>
      <c r="E4781" s="1" t="n">
        <v>46319</v>
      </c>
      <c r="F4781" t="inlineStr">
        <is>
          <t>DALARNAS LÄN</t>
        </is>
      </c>
      <c r="G4781" t="inlineStr">
        <is>
          <t>FALUN</t>
        </is>
      </c>
      <c r="I4781" t="n">
        <v>2.2</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22594-2025</t>
        </is>
      </c>
      <c r="B4782" t="inlineStr">
        <is>
          <t>avverkningsanmälan</t>
        </is>
      </c>
      <c r="C4782" t="inlineStr">
        <is>
          <t>Föryngringsavverkning</t>
        </is>
      </c>
      <c r="D4782" s="1" t="n">
        <v>45789</v>
      </c>
      <c r="E4782" s="1" t="n">
        <v>46319</v>
      </c>
      <c r="F4782" t="inlineStr">
        <is>
          <t>DALARNAS LÄN</t>
        </is>
      </c>
      <c r="G4782" t="inlineStr">
        <is>
          <t>LUDVIKA</t>
        </is>
      </c>
      <c r="H4782" t="inlineStr">
        <is>
          <t>Bergvik skog väst AB</t>
        </is>
      </c>
      <c r="I4782" t="n">
        <v>3.1</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32390-2026</t>
        </is>
      </c>
      <c r="B4783" t="inlineStr">
        <is>
          <t>avverkningsanmälan</t>
        </is>
      </c>
      <c r="C4783" t="inlineStr">
        <is>
          <t>Föryngringsavverkning</t>
        </is>
      </c>
      <c r="D4783" s="1" t="n">
        <v>46238</v>
      </c>
      <c r="E4783" s="1" t="n">
        <v>46319</v>
      </c>
      <c r="F4783" t="inlineStr">
        <is>
          <t>DALARNAS LÄN</t>
        </is>
      </c>
      <c r="G4783" t="inlineStr">
        <is>
          <t>FALUN</t>
        </is>
      </c>
      <c r="I4783" t="n">
        <v>13.1</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38449-2026</t>
        </is>
      </c>
      <c r="B4784" t="inlineStr">
        <is>
          <t>avverkningsanmälan</t>
        </is>
      </c>
      <c r="C4784" t="inlineStr">
        <is>
          <t>Föryngringsavverkning</t>
        </is>
      </c>
      <c r="D4784" s="1" t="n">
        <v>46282</v>
      </c>
      <c r="E4784" s="1" t="n">
        <v>46319</v>
      </c>
      <c r="F4784" t="inlineStr">
        <is>
          <t>DALARNAS LÄN</t>
        </is>
      </c>
      <c r="G4784" t="inlineStr">
        <is>
          <t>MORA</t>
        </is>
      </c>
      <c r="H4784" t="inlineStr">
        <is>
          <t>Bergvik skog väst AB</t>
        </is>
      </c>
      <c r="I4784" t="n">
        <v>18.2</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405-2026</t>
        </is>
      </c>
      <c r="B4785" t="inlineStr">
        <is>
          <t>avverkningsanmälan</t>
        </is>
      </c>
      <c r="C4785" t="inlineStr">
        <is>
          <t>Föryngringsavverkning</t>
        </is>
      </c>
      <c r="D4785" s="1" t="n">
        <v>46028</v>
      </c>
      <c r="E4785" s="1" t="n">
        <v>46319</v>
      </c>
      <c r="F4785" t="inlineStr">
        <is>
          <t>DALARNAS LÄN</t>
        </is>
      </c>
      <c r="G4785" t="inlineStr">
        <is>
          <t>FALUN</t>
        </is>
      </c>
      <c r="I4785" t="n">
        <v>5.9</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32647-2026</t>
        </is>
      </c>
      <c r="B4786" t="inlineStr">
        <is>
          <t>avverkningsanmälan</t>
        </is>
      </c>
      <c r="C4786" t="inlineStr">
        <is>
          <t>Föryngringsavverkning</t>
        </is>
      </c>
      <c r="D4786" s="1" t="n">
        <v>46240</v>
      </c>
      <c r="E4786" s="1" t="n">
        <v>46319</v>
      </c>
      <c r="F4786" t="inlineStr">
        <is>
          <t>DALARNAS LÄN</t>
        </is>
      </c>
      <c r="G4786" t="inlineStr">
        <is>
          <t>SMEDJEBACKEN</t>
        </is>
      </c>
      <c r="H4786" t="inlineStr">
        <is>
          <t>Bergvik skog väst AB</t>
        </is>
      </c>
      <c r="I4786" t="n">
        <v>3.1</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220-2026</t>
        </is>
      </c>
      <c r="B4787" t="inlineStr">
        <is>
          <t>avverkningsanmälan</t>
        </is>
      </c>
      <c r="C4787" t="inlineStr">
        <is>
          <t>Föryngringsavverkning</t>
        </is>
      </c>
      <c r="D4787" s="1" t="n">
        <v>46026</v>
      </c>
      <c r="E4787" s="1" t="n">
        <v>46319</v>
      </c>
      <c r="F4787" t="inlineStr">
        <is>
          <t>DALARNAS LÄN</t>
        </is>
      </c>
      <c r="G4787" t="inlineStr">
        <is>
          <t>SÄTER</t>
        </is>
      </c>
      <c r="I4787" t="n">
        <v>2.8</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211-2026</t>
        </is>
      </c>
      <c r="B4788" t="inlineStr">
        <is>
          <t>avverkningsanmälan</t>
        </is>
      </c>
      <c r="C4788" t="inlineStr">
        <is>
          <t>Föryngringsavverkning</t>
        </is>
      </c>
      <c r="D4788" s="1" t="n">
        <v>46026</v>
      </c>
      <c r="E4788" s="1" t="n">
        <v>46319</v>
      </c>
      <c r="F4788" t="inlineStr">
        <is>
          <t>DALARNAS LÄN</t>
        </is>
      </c>
      <c r="G4788" t="inlineStr">
        <is>
          <t>FALUN</t>
        </is>
      </c>
      <c r="I4788" t="n">
        <v>9</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47233-2024</t>
        </is>
      </c>
      <c r="B4789" t="inlineStr">
        <is>
          <t>avverkningsanmälan</t>
        </is>
      </c>
      <c r="C4789" t="inlineStr">
        <is>
          <t>Föryngringsavverkning</t>
        </is>
      </c>
      <c r="D4789" s="1" t="n">
        <v>45586</v>
      </c>
      <c r="E4789" s="1" t="n">
        <v>46319</v>
      </c>
      <c r="F4789" t="inlineStr">
        <is>
          <t>DALARNAS LÄN</t>
        </is>
      </c>
      <c r="G4789" t="inlineStr">
        <is>
          <t>LUDVIKA</t>
        </is>
      </c>
      <c r="I4789" t="n">
        <v>9.5</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592-2026</t>
        </is>
      </c>
      <c r="B4790" t="inlineStr">
        <is>
          <t>avverkningsanmälan</t>
        </is>
      </c>
      <c r="C4790" t="inlineStr">
        <is>
          <t>Föryngringsavverkning</t>
        </is>
      </c>
      <c r="D4790" s="1" t="n">
        <v>46027</v>
      </c>
      <c r="E4790" s="1" t="n">
        <v>46319</v>
      </c>
      <c r="F4790" t="inlineStr">
        <is>
          <t>DALARNAS LÄN</t>
        </is>
      </c>
      <c r="G4790" t="inlineStr">
        <is>
          <t>RÄTTVIK</t>
        </is>
      </c>
      <c r="I4790" t="n">
        <v>6.1</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46107-2024</t>
        </is>
      </c>
      <c r="B4791" t="inlineStr">
        <is>
          <t>avverkningsanmälan</t>
        </is>
      </c>
      <c r="C4791" t="inlineStr">
        <is>
          <t>Föryngringsavverkning</t>
        </is>
      </c>
      <c r="D4791" s="1" t="n">
        <v>45581</v>
      </c>
      <c r="E4791" s="1" t="n">
        <v>46319</v>
      </c>
      <c r="F4791" t="inlineStr">
        <is>
          <t>DALARNAS LÄN</t>
        </is>
      </c>
      <c r="G4791" t="inlineStr">
        <is>
          <t>LUDVIKA</t>
        </is>
      </c>
      <c r="H4791" t="inlineStr">
        <is>
          <t>Bergvik skog väst AB</t>
        </is>
      </c>
      <c r="I4791" t="n">
        <v>1.4</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355-2026</t>
        </is>
      </c>
      <c r="B4792" t="inlineStr">
        <is>
          <t>avverkningsanmälan</t>
        </is>
      </c>
      <c r="C4792" t="inlineStr">
        <is>
          <t>Föryngringsavverkning</t>
        </is>
      </c>
      <c r="D4792" s="1" t="n">
        <v>46027</v>
      </c>
      <c r="E4792" s="1" t="n">
        <v>46319</v>
      </c>
      <c r="F4792" t="inlineStr">
        <is>
          <t>DALARNAS LÄN</t>
        </is>
      </c>
      <c r="G4792" t="inlineStr">
        <is>
          <t>SMEDJEBACKEN</t>
        </is>
      </c>
      <c r="I4792" t="n">
        <v>7.5</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38389-2026</t>
        </is>
      </c>
      <c r="B4793" t="inlineStr">
        <is>
          <t>avverkningsanmälan</t>
        </is>
      </c>
      <c r="C4793" t="inlineStr">
        <is>
          <t>Föryngringsavverkning</t>
        </is>
      </c>
      <c r="D4793" s="1" t="n">
        <v>46282</v>
      </c>
      <c r="E4793" s="1" t="n">
        <v>46319</v>
      </c>
      <c r="F4793" t="inlineStr">
        <is>
          <t>DALARNAS LÄN</t>
        </is>
      </c>
      <c r="G4793" t="inlineStr">
        <is>
          <t>ORSA</t>
        </is>
      </c>
      <c r="H4793" t="inlineStr">
        <is>
          <t>Allmännings- och besparingsskogar</t>
        </is>
      </c>
      <c r="I4793" t="n">
        <v>3.3</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38391-2026</t>
        </is>
      </c>
      <c r="B4794" t="inlineStr">
        <is>
          <t>avverkningsanmälan</t>
        </is>
      </c>
      <c r="C4794" t="inlineStr">
        <is>
          <t>Föryngringsavverkning</t>
        </is>
      </c>
      <c r="D4794" s="1" t="n">
        <v>46282</v>
      </c>
      <c r="E4794" s="1" t="n">
        <v>46319</v>
      </c>
      <c r="F4794" t="inlineStr">
        <is>
          <t>DALARNAS LÄN</t>
        </is>
      </c>
      <c r="G4794" t="inlineStr">
        <is>
          <t>ORSA</t>
        </is>
      </c>
      <c r="H4794" t="inlineStr">
        <is>
          <t>Bergvik skog öst AB</t>
        </is>
      </c>
      <c r="I4794" t="n">
        <v>1</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38406-2026</t>
        </is>
      </c>
      <c r="B4795" t="inlineStr">
        <is>
          <t>avverkningsanmälan</t>
        </is>
      </c>
      <c r="C4795" t="inlineStr">
        <is>
          <t>Föryngringsavverkning</t>
        </is>
      </c>
      <c r="D4795" s="1" t="n">
        <v>46282</v>
      </c>
      <c r="E4795" s="1" t="n">
        <v>46319</v>
      </c>
      <c r="F4795" t="inlineStr">
        <is>
          <t>DALARNAS LÄN</t>
        </is>
      </c>
      <c r="G4795" t="inlineStr">
        <is>
          <t>MALUNG-SÄLEN</t>
        </is>
      </c>
      <c r="H4795" t="inlineStr">
        <is>
          <t>Bergvik skog öst AB</t>
        </is>
      </c>
      <c r="I4795" t="n">
        <v>5.9</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56882-2022</t>
        </is>
      </c>
      <c r="B4796" t="inlineStr">
        <is>
          <t>avverkningsanmälan</t>
        </is>
      </c>
      <c r="C4796" t="inlineStr">
        <is>
          <t>Föryngringsavverkning</t>
        </is>
      </c>
      <c r="D4796" s="1" t="n">
        <v>44894</v>
      </c>
      <c r="E4796" s="1" t="n">
        <v>46319</v>
      </c>
      <c r="F4796" t="inlineStr">
        <is>
          <t>DALARNAS LÄN</t>
        </is>
      </c>
      <c r="G4796" t="inlineStr">
        <is>
          <t>ÄLVDALEN</t>
        </is>
      </c>
      <c r="I4796" t="n">
        <v>7.4</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38408-2026</t>
        </is>
      </c>
      <c r="B4797" t="inlineStr">
        <is>
          <t>avverkningsanmälan</t>
        </is>
      </c>
      <c r="C4797" t="inlineStr">
        <is>
          <t>Föryngringsavverkning</t>
        </is>
      </c>
      <c r="D4797" s="1" t="n">
        <v>46282</v>
      </c>
      <c r="E4797" s="1" t="n">
        <v>46319</v>
      </c>
      <c r="F4797" t="inlineStr">
        <is>
          <t>DALARNAS LÄN</t>
        </is>
      </c>
      <c r="G4797" t="inlineStr">
        <is>
          <t>ORSA</t>
        </is>
      </c>
      <c r="H4797" t="inlineStr">
        <is>
          <t>Bergvik skog öst AB</t>
        </is>
      </c>
      <c r="I4797" t="n">
        <v>1.1</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22788-2025</t>
        </is>
      </c>
      <c r="B4798" t="inlineStr">
        <is>
          <t>avverkningsanmälan</t>
        </is>
      </c>
      <c r="C4798" t="inlineStr">
        <is>
          <t>Föryngringsavverkning</t>
        </is>
      </c>
      <c r="D4798" s="1" t="n">
        <v>45789</v>
      </c>
      <c r="E4798" s="1" t="n">
        <v>46319</v>
      </c>
      <c r="F4798" t="inlineStr">
        <is>
          <t>DALARNAS LÄN</t>
        </is>
      </c>
      <c r="G4798" t="inlineStr">
        <is>
          <t>RÄTTVIK</t>
        </is>
      </c>
      <c r="I4798" t="n">
        <v>1.2</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38166-2026</t>
        </is>
      </c>
      <c r="B4799" t="inlineStr">
        <is>
          <t>avverkningsanmälan</t>
        </is>
      </c>
      <c r="C4799" t="inlineStr">
        <is>
          <t>Föryngringsavverkning</t>
        </is>
      </c>
      <c r="D4799" s="1" t="n">
        <v>46281</v>
      </c>
      <c r="E4799" s="1" t="n">
        <v>46319</v>
      </c>
      <c r="F4799" t="inlineStr">
        <is>
          <t>DALARNAS LÄN</t>
        </is>
      </c>
      <c r="G4799" t="inlineStr">
        <is>
          <t>HEDEMORA</t>
        </is>
      </c>
      <c r="H4799" t="inlineStr">
        <is>
          <t>Sveaskog</t>
        </is>
      </c>
      <c r="I4799" t="n">
        <v>2.7</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22970-2025</t>
        </is>
      </c>
      <c r="B4800" t="inlineStr">
        <is>
          <t>avverkningsanmälan</t>
        </is>
      </c>
      <c r="C4800" t="inlineStr">
        <is>
          <t>Föryngringsavverkning</t>
        </is>
      </c>
      <c r="D4800" s="1" t="n">
        <v>45790</v>
      </c>
      <c r="E4800" s="1" t="n">
        <v>46319</v>
      </c>
      <c r="F4800" t="inlineStr">
        <is>
          <t>DALARNAS LÄN</t>
        </is>
      </c>
      <c r="G4800" t="inlineStr">
        <is>
          <t>SÄTER</t>
        </is>
      </c>
      <c r="H4800" t="inlineStr">
        <is>
          <t>Bergvik skog väst AB</t>
        </is>
      </c>
      <c r="I4800" t="n">
        <v>1.5</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51771-2024</t>
        </is>
      </c>
      <c r="B4801" t="inlineStr">
        <is>
          <t>avverkningsanmälan</t>
        </is>
      </c>
      <c r="C4801" t="inlineStr">
        <is>
          <t>Föryngringsavverkning</t>
        </is>
      </c>
      <c r="D4801" s="1" t="n">
        <v>45607</v>
      </c>
      <c r="E4801" s="1" t="n">
        <v>46319</v>
      </c>
      <c r="F4801" t="inlineStr">
        <is>
          <t>DALARNAS LÄN</t>
        </is>
      </c>
      <c r="G4801" t="inlineStr">
        <is>
          <t>SMEDJEBACKEN</t>
        </is>
      </c>
      <c r="I4801" t="n">
        <v>1.6</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5835-2025</t>
        </is>
      </c>
      <c r="B4802" t="inlineStr">
        <is>
          <t>avverkningsanmälan</t>
        </is>
      </c>
      <c r="C4802" t="inlineStr">
        <is>
          <t>Föryngringsavverkning</t>
        </is>
      </c>
      <c r="D4802" s="1" t="n">
        <v>45694</v>
      </c>
      <c r="E4802" s="1" t="n">
        <v>46319</v>
      </c>
      <c r="F4802" t="inlineStr">
        <is>
          <t>DALARNAS LÄN</t>
        </is>
      </c>
      <c r="G4802" t="inlineStr">
        <is>
          <t>GAGNEF</t>
        </is>
      </c>
      <c r="I4802" t="n">
        <v>3.4</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22876-2025</t>
        </is>
      </c>
      <c r="B4803" t="inlineStr">
        <is>
          <t>avverkningsanmälan</t>
        </is>
      </c>
      <c r="C4803" t="inlineStr">
        <is>
          <t>Föryngringsavverkning</t>
        </is>
      </c>
      <c r="D4803" s="1" t="n">
        <v>45790</v>
      </c>
      <c r="E4803" s="1" t="n">
        <v>46319</v>
      </c>
      <c r="F4803" t="inlineStr">
        <is>
          <t>DALARNAS LÄN</t>
        </is>
      </c>
      <c r="G4803" t="inlineStr">
        <is>
          <t>LEKSAND</t>
        </is>
      </c>
      <c r="I4803" t="n">
        <v>5.9</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1036-2026</t>
        </is>
      </c>
      <c r="B4804" t="inlineStr">
        <is>
          <t>avverkningsanmälan</t>
        </is>
      </c>
      <c r="C4804" t="inlineStr">
        <is>
          <t>Föryngringsavverkning</t>
        </is>
      </c>
      <c r="D4804" s="1" t="n">
        <v>46030</v>
      </c>
      <c r="E4804" s="1" t="n">
        <v>46319</v>
      </c>
      <c r="F4804" t="inlineStr">
        <is>
          <t>DALARNAS LÄN</t>
        </is>
      </c>
      <c r="G4804" t="inlineStr">
        <is>
          <t>FALUN</t>
        </is>
      </c>
      <c r="I4804" t="n">
        <v>3.9</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32537-2026</t>
        </is>
      </c>
      <c r="B4805" t="inlineStr">
        <is>
          <t>avverkningsanmälan</t>
        </is>
      </c>
      <c r="C4805" t="inlineStr">
        <is>
          <t>Föryngringsavverkning</t>
        </is>
      </c>
      <c r="D4805" s="1" t="n">
        <v>46239</v>
      </c>
      <c r="E4805" s="1" t="n">
        <v>46319</v>
      </c>
      <c r="F4805" t="inlineStr">
        <is>
          <t>DALARNAS LÄN</t>
        </is>
      </c>
      <c r="G4805" t="inlineStr">
        <is>
          <t>MALUNG-SÄLEN</t>
        </is>
      </c>
      <c r="I4805" t="n">
        <v>1.6</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50512-2024</t>
        </is>
      </c>
      <c r="B4806" t="inlineStr">
        <is>
          <t>avverkningsanmälan</t>
        </is>
      </c>
      <c r="C4806" t="inlineStr">
        <is>
          <t>Föryngringsavverkning</t>
        </is>
      </c>
      <c r="D4806" s="1" t="n">
        <v>45601</v>
      </c>
      <c r="E4806" s="1" t="n">
        <v>46319</v>
      </c>
      <c r="F4806" t="inlineStr">
        <is>
          <t>DALARNAS LÄN</t>
        </is>
      </c>
      <c r="G4806" t="inlineStr">
        <is>
          <t>FALUN</t>
        </is>
      </c>
      <c r="H4806" t="inlineStr">
        <is>
          <t>Bergvik skog väst AB</t>
        </is>
      </c>
      <c r="I4806" t="n">
        <v>1.7</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5818-2024</t>
        </is>
      </c>
      <c r="B4807" t="inlineStr">
        <is>
          <t>avverkningsanmälan</t>
        </is>
      </c>
      <c r="C4807" t="inlineStr">
        <is>
          <t>Föryngringsavverkning</t>
        </is>
      </c>
      <c r="D4807" s="1" t="n">
        <v>45335</v>
      </c>
      <c r="E4807" s="1" t="n">
        <v>46319</v>
      </c>
      <c r="F4807" t="inlineStr">
        <is>
          <t>DALARNAS LÄN</t>
        </is>
      </c>
      <c r="G4807" t="inlineStr">
        <is>
          <t>FALUN</t>
        </is>
      </c>
      <c r="I4807" t="n">
        <v>1.2</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1111-2026</t>
        </is>
      </c>
      <c r="B4808" t="inlineStr">
        <is>
          <t>avverkningsanmälan</t>
        </is>
      </c>
      <c r="C4808" t="inlineStr">
        <is>
          <t>Föryngringsavverkning</t>
        </is>
      </c>
      <c r="D4808" s="1" t="n">
        <v>46030</v>
      </c>
      <c r="E4808" s="1" t="n">
        <v>46319</v>
      </c>
      <c r="F4808" t="inlineStr">
        <is>
          <t>DALARNAS LÄN</t>
        </is>
      </c>
      <c r="G4808" t="inlineStr">
        <is>
          <t>BORLÄNGE</t>
        </is>
      </c>
      <c r="I4808" t="n">
        <v>2.7</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41539-2024</t>
        </is>
      </c>
      <c r="B4809" t="inlineStr">
        <is>
          <t>avverkningsanmälan</t>
        </is>
      </c>
      <c r="C4809" t="inlineStr">
        <is>
          <t>Föryngringsavverkning</t>
        </is>
      </c>
      <c r="D4809" s="1" t="n">
        <v>45560</v>
      </c>
      <c r="E4809" s="1" t="n">
        <v>46319</v>
      </c>
      <c r="F4809" t="inlineStr">
        <is>
          <t>DALARNAS LÄN</t>
        </is>
      </c>
      <c r="G4809" t="inlineStr">
        <is>
          <t>LUDVIKA</t>
        </is>
      </c>
      <c r="H4809" t="inlineStr">
        <is>
          <t>Bergvik skog väst AB</t>
        </is>
      </c>
      <c r="I4809" t="n">
        <v>1.9</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62289-2023</t>
        </is>
      </c>
      <c r="B4810" t="inlineStr">
        <is>
          <t>avverkningsanmälan</t>
        </is>
      </c>
      <c r="C4810" t="inlineStr">
        <is>
          <t>Föryngringsavverkning</t>
        </is>
      </c>
      <c r="D4810" s="1" t="n">
        <v>45266</v>
      </c>
      <c r="E4810" s="1" t="n">
        <v>46319</v>
      </c>
      <c r="F4810" t="inlineStr">
        <is>
          <t>DALARNAS LÄN</t>
        </is>
      </c>
      <c r="G4810" t="inlineStr">
        <is>
          <t>ORSA</t>
        </is>
      </c>
      <c r="I4810" t="n">
        <v>1.9</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22782-2024</t>
        </is>
      </c>
      <c r="B4811" t="inlineStr">
        <is>
          <t>avverkningsanmälan</t>
        </is>
      </c>
      <c r="C4811" t="inlineStr">
        <is>
          <t>Föryngringsavverkning</t>
        </is>
      </c>
      <c r="D4811" s="1" t="n">
        <v>45448</v>
      </c>
      <c r="E4811" s="1" t="n">
        <v>46319</v>
      </c>
      <c r="F4811" t="inlineStr">
        <is>
          <t>DALARNAS LÄN</t>
        </is>
      </c>
      <c r="G4811" t="inlineStr">
        <is>
          <t>FALUN</t>
        </is>
      </c>
      <c r="I4811" t="n">
        <v>1.5</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20005-2023</t>
        </is>
      </c>
      <c r="B4812" t="inlineStr">
        <is>
          <t>avverkningsanmälan</t>
        </is>
      </c>
      <c r="C4812" t="inlineStr">
        <is>
          <t>Föryngringsavverkning</t>
        </is>
      </c>
      <c r="D4812" s="1" t="n">
        <v>45054</v>
      </c>
      <c r="E4812" s="1" t="n">
        <v>46319</v>
      </c>
      <c r="F4812" t="inlineStr">
        <is>
          <t>DALARNAS LÄN</t>
        </is>
      </c>
      <c r="G4812" t="inlineStr">
        <is>
          <t>BORLÄNGE</t>
        </is>
      </c>
      <c r="I4812" t="n">
        <v>1.9</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31921-2024</t>
        </is>
      </c>
      <c r="B4813" t="inlineStr">
        <is>
          <t>avverkningsanmälan</t>
        </is>
      </c>
      <c r="C4813" t="inlineStr">
        <is>
          <t>Föryngringsavverkning</t>
        </is>
      </c>
      <c r="D4813" s="1" t="n">
        <v>45510</v>
      </c>
      <c r="E4813" s="1" t="n">
        <v>46319</v>
      </c>
      <c r="F4813" t="inlineStr">
        <is>
          <t>DALARNAS LÄN</t>
        </is>
      </c>
      <c r="G4813" t="inlineStr">
        <is>
          <t>AVESTA</t>
        </is>
      </c>
      <c r="I4813" t="n">
        <v>1</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23088-2025</t>
        </is>
      </c>
      <c r="B4814" t="inlineStr">
        <is>
          <t>avverkningsanmälan</t>
        </is>
      </c>
      <c r="C4814" t="inlineStr">
        <is>
          <t>Föryngringsavverkning</t>
        </is>
      </c>
      <c r="D4814" s="1" t="n">
        <v>45791</v>
      </c>
      <c r="E4814" s="1" t="n">
        <v>46319</v>
      </c>
      <c r="F4814" t="inlineStr">
        <is>
          <t>DALARNAS LÄN</t>
        </is>
      </c>
      <c r="G4814" t="inlineStr">
        <is>
          <t>LUDVIKA</t>
        </is>
      </c>
      <c r="H4814" t="inlineStr">
        <is>
          <t>Bergvik skog väst AB</t>
        </is>
      </c>
      <c r="I4814" t="n">
        <v>0.6</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23257-2025</t>
        </is>
      </c>
      <c r="B4815" t="inlineStr">
        <is>
          <t>avverkningsanmälan</t>
        </is>
      </c>
      <c r="C4815" t="inlineStr">
        <is>
          <t>Föryngringsavverkning</t>
        </is>
      </c>
      <c r="D4815" s="1" t="n">
        <v>45791</v>
      </c>
      <c r="E4815" s="1" t="n">
        <v>46319</v>
      </c>
      <c r="F4815" t="inlineStr">
        <is>
          <t>DALARNAS LÄN</t>
        </is>
      </c>
      <c r="G4815" t="inlineStr">
        <is>
          <t>RÄTTVIK</t>
        </is>
      </c>
      <c r="I4815" t="n">
        <v>1</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32509-2026</t>
        </is>
      </c>
      <c r="B4816" t="inlineStr">
        <is>
          <t>avverkningsanmälan</t>
        </is>
      </c>
      <c r="C4816" t="inlineStr">
        <is>
          <t>Föryngringsavverkning</t>
        </is>
      </c>
      <c r="D4816" s="1" t="n">
        <v>46239</v>
      </c>
      <c r="E4816" s="1" t="n">
        <v>46319</v>
      </c>
      <c r="F4816" t="inlineStr">
        <is>
          <t>DALARNAS LÄN</t>
        </is>
      </c>
      <c r="G4816" t="inlineStr">
        <is>
          <t>SMEDJEBACKEN</t>
        </is>
      </c>
      <c r="H4816" t="inlineStr">
        <is>
          <t>Sveaskog</t>
        </is>
      </c>
      <c r="I4816" t="n">
        <v>18</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1023-2026</t>
        </is>
      </c>
      <c r="B4817" t="inlineStr">
        <is>
          <t>avverkningsanmälan</t>
        </is>
      </c>
      <c r="C4817" t="inlineStr">
        <is>
          <t>Föryngringsavverkning</t>
        </is>
      </c>
      <c r="D4817" s="1" t="n">
        <v>46030</v>
      </c>
      <c r="E4817" s="1" t="n">
        <v>46319</v>
      </c>
      <c r="F4817" t="inlineStr">
        <is>
          <t>DALARNAS LÄN</t>
        </is>
      </c>
      <c r="G4817" t="inlineStr">
        <is>
          <t>BORLÄNGE</t>
        </is>
      </c>
      <c r="I4817" t="n">
        <v>2.5</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934-2026</t>
        </is>
      </c>
      <c r="B4818" t="inlineStr">
        <is>
          <t>avverkningsanmälan</t>
        </is>
      </c>
      <c r="C4818" t="inlineStr">
        <is>
          <t>Föryngringsavverkning</t>
        </is>
      </c>
      <c r="D4818" s="1" t="n">
        <v>46030</v>
      </c>
      <c r="E4818" s="1" t="n">
        <v>46319</v>
      </c>
      <c r="F4818" t="inlineStr">
        <is>
          <t>DALARNAS LÄN</t>
        </is>
      </c>
      <c r="G4818" t="inlineStr">
        <is>
          <t>RÄTTVIK</t>
        </is>
      </c>
      <c r="I4818" t="n">
        <v>9.5</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1011-2026</t>
        </is>
      </c>
      <c r="B4819" t="inlineStr">
        <is>
          <t>avverkningsanmälan</t>
        </is>
      </c>
      <c r="C4819" t="inlineStr">
        <is>
          <t>Föryngringsavverkning</t>
        </is>
      </c>
      <c r="D4819" s="1" t="n">
        <v>46030</v>
      </c>
      <c r="E4819" s="1" t="n">
        <v>46319</v>
      </c>
      <c r="F4819" t="inlineStr">
        <is>
          <t>DALARNAS LÄN</t>
        </is>
      </c>
      <c r="G4819" t="inlineStr">
        <is>
          <t>ÄLVDALEN</t>
        </is>
      </c>
      <c r="I4819" t="n">
        <v>1.1</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38231-2026</t>
        </is>
      </c>
      <c r="B4820" t="inlineStr">
        <is>
          <t>avverkningsanmälan</t>
        </is>
      </c>
      <c r="C4820" t="inlineStr">
        <is>
          <t>Föryngringsavverkning</t>
        </is>
      </c>
      <c r="D4820" s="1" t="n">
        <v>46281</v>
      </c>
      <c r="E4820" s="1" t="n">
        <v>46319</v>
      </c>
      <c r="F4820" t="inlineStr">
        <is>
          <t>DALARNAS LÄN</t>
        </is>
      </c>
      <c r="G4820" t="inlineStr">
        <is>
          <t>VANSBRO</t>
        </is>
      </c>
      <c r="H4820" t="inlineStr">
        <is>
          <t>Bergvik skog öst AB</t>
        </is>
      </c>
      <c r="I4820" t="n">
        <v>1.4</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38216-2024</t>
        </is>
      </c>
      <c r="B4821" t="inlineStr">
        <is>
          <t>avverkningsanmälan</t>
        </is>
      </c>
      <c r="C4821" t="inlineStr">
        <is>
          <t>Föryngringsavverkning</t>
        </is>
      </c>
      <c r="D4821" s="1" t="n">
        <v>45545</v>
      </c>
      <c r="E4821" s="1" t="n">
        <v>46319</v>
      </c>
      <c r="F4821" t="inlineStr">
        <is>
          <t>DALARNAS LÄN</t>
        </is>
      </c>
      <c r="G4821" t="inlineStr">
        <is>
          <t>FALUN</t>
        </is>
      </c>
      <c r="H4821" t="inlineStr">
        <is>
          <t>Bergvik skog väst AB</t>
        </is>
      </c>
      <c r="I4821" t="n">
        <v>9.699999999999999</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606-2026</t>
        </is>
      </c>
      <c r="B4822" t="inlineStr">
        <is>
          <t>avverkningsanmälan</t>
        </is>
      </c>
      <c r="C4822" t="inlineStr">
        <is>
          <t>Föryngringsavverkning</t>
        </is>
      </c>
      <c r="D4822" s="1" t="n">
        <v>46029</v>
      </c>
      <c r="E4822" s="1" t="n">
        <v>46319</v>
      </c>
      <c r="F4822" t="inlineStr">
        <is>
          <t>DALARNAS LÄN</t>
        </is>
      </c>
      <c r="G4822" t="inlineStr">
        <is>
          <t>FALUN</t>
        </is>
      </c>
      <c r="I4822" t="n">
        <v>1.5</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863-2026</t>
        </is>
      </c>
      <c r="B4823" t="inlineStr">
        <is>
          <t>avverkningsanmälan</t>
        </is>
      </c>
      <c r="C4823" t="inlineStr">
        <is>
          <t>Föryngringsavverkning</t>
        </is>
      </c>
      <c r="D4823" s="1" t="n">
        <v>46030</v>
      </c>
      <c r="E4823" s="1" t="n">
        <v>46319</v>
      </c>
      <c r="F4823" t="inlineStr">
        <is>
          <t>DALARNAS LÄN</t>
        </is>
      </c>
      <c r="G4823" t="inlineStr">
        <is>
          <t>MALUNG-SÄLEN</t>
        </is>
      </c>
      <c r="I4823" t="n">
        <v>1.6</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1141-2026</t>
        </is>
      </c>
      <c r="B4824" t="inlineStr">
        <is>
          <t>avverkningsanmälan</t>
        </is>
      </c>
      <c r="C4824" t="inlineStr">
        <is>
          <t>Föryngringsavverkning</t>
        </is>
      </c>
      <c r="D4824" s="1" t="n">
        <v>46030</v>
      </c>
      <c r="E4824" s="1" t="n">
        <v>46319</v>
      </c>
      <c r="F4824" t="inlineStr">
        <is>
          <t>DALARNAS LÄN</t>
        </is>
      </c>
      <c r="G4824" t="inlineStr">
        <is>
          <t>FALUN</t>
        </is>
      </c>
      <c r="I4824" t="n">
        <v>1.9</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38481-2026</t>
        </is>
      </c>
      <c r="B4825" t="inlineStr">
        <is>
          <t>avverkningsanmälan</t>
        </is>
      </c>
      <c r="C4825" t="inlineStr">
        <is>
          <t>Föryngringsavverkning</t>
        </is>
      </c>
      <c r="D4825" s="1" t="n">
        <v>46282</v>
      </c>
      <c r="E4825" s="1" t="n">
        <v>46319</v>
      </c>
      <c r="F4825" t="inlineStr">
        <is>
          <t>DALARNAS LÄN</t>
        </is>
      </c>
      <c r="G4825" t="inlineStr">
        <is>
          <t>MORA</t>
        </is>
      </c>
      <c r="H4825" t="inlineStr">
        <is>
          <t>Bergvik skog väst AB</t>
        </is>
      </c>
      <c r="I4825" t="n">
        <v>1.8</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720-2026</t>
        </is>
      </c>
      <c r="B4826" t="inlineStr">
        <is>
          <t>avverkningsanmälan</t>
        </is>
      </c>
      <c r="C4826" t="inlineStr">
        <is>
          <t>Föryngringsavverkning</t>
        </is>
      </c>
      <c r="D4826" s="1" t="n">
        <v>46029</v>
      </c>
      <c r="E4826" s="1" t="n">
        <v>46319</v>
      </c>
      <c r="F4826" t="inlineStr">
        <is>
          <t>DALARNAS LÄN</t>
        </is>
      </c>
      <c r="G4826" t="inlineStr">
        <is>
          <t>LEKSAND</t>
        </is>
      </c>
      <c r="I4826" t="n">
        <v>6.7</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32503-2026</t>
        </is>
      </c>
      <c r="B4827" t="inlineStr">
        <is>
          <t>avverkningsanmälan</t>
        </is>
      </c>
      <c r="C4827" t="inlineStr">
        <is>
          <t>Föryngringsavverkning</t>
        </is>
      </c>
      <c r="D4827" s="1" t="n">
        <v>46239</v>
      </c>
      <c r="E4827" s="1" t="n">
        <v>46319</v>
      </c>
      <c r="F4827" t="inlineStr">
        <is>
          <t>DALARNAS LÄN</t>
        </is>
      </c>
      <c r="G4827" t="inlineStr">
        <is>
          <t>SMEDJEBACKEN</t>
        </is>
      </c>
      <c r="H4827" t="inlineStr">
        <is>
          <t>Sveaskog</t>
        </is>
      </c>
      <c r="I4827" t="n">
        <v>1.4</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32431-2026</t>
        </is>
      </c>
      <c r="B4828" t="inlineStr">
        <is>
          <t>avverkningsanmälan</t>
        </is>
      </c>
      <c r="C4828" t="inlineStr">
        <is>
          <t>Föryngringsavverkning</t>
        </is>
      </c>
      <c r="D4828" s="1" t="n">
        <v>46239</v>
      </c>
      <c r="E4828" s="1" t="n">
        <v>46319</v>
      </c>
      <c r="F4828" t="inlineStr">
        <is>
          <t>DALARNAS LÄN</t>
        </is>
      </c>
      <c r="G4828" t="inlineStr">
        <is>
          <t>ÄLVDALEN</t>
        </is>
      </c>
      <c r="H4828" t="inlineStr">
        <is>
          <t>Bergvik skog väst AB</t>
        </is>
      </c>
      <c r="I4828" t="n">
        <v>19.7</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987-2026</t>
        </is>
      </c>
      <c r="B4829" t="inlineStr">
        <is>
          <t>avverkningsanmälan</t>
        </is>
      </c>
      <c r="C4829" t="inlineStr">
        <is>
          <t>Avverkning för annat ändamål</t>
        </is>
      </c>
      <c r="D4829" s="1" t="n">
        <v>46030</v>
      </c>
      <c r="E4829" s="1" t="n">
        <v>46319</v>
      </c>
      <c r="F4829" t="inlineStr">
        <is>
          <t>DALARNAS LÄN</t>
        </is>
      </c>
      <c r="G4829" t="inlineStr">
        <is>
          <t>SÄTER</t>
        </is>
      </c>
      <c r="H4829" t="inlineStr">
        <is>
          <t>Bergvik skog väst AB</t>
        </is>
      </c>
      <c r="I4829" t="n">
        <v>0.4</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56900-2024</t>
        </is>
      </c>
      <c r="B4830" t="inlineStr">
        <is>
          <t>avverkningsanmälan</t>
        </is>
      </c>
      <c r="C4830" t="inlineStr">
        <is>
          <t>Föryngringsavverkning</t>
        </is>
      </c>
      <c r="D4830" s="1" t="n">
        <v>45625</v>
      </c>
      <c r="E4830" s="1" t="n">
        <v>46319</v>
      </c>
      <c r="F4830" t="inlineStr">
        <is>
          <t>DALARNAS LÄN</t>
        </is>
      </c>
      <c r="G4830" t="inlineStr">
        <is>
          <t>MORA</t>
        </is>
      </c>
      <c r="I4830" t="n">
        <v>2.7</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32505-2026</t>
        </is>
      </c>
      <c r="B4831" t="inlineStr">
        <is>
          <t>avverkningsanmälan</t>
        </is>
      </c>
      <c r="C4831" t="inlineStr">
        <is>
          <t>Föryngringsavverkning</t>
        </is>
      </c>
      <c r="D4831" s="1" t="n">
        <v>46239</v>
      </c>
      <c r="E4831" s="1" t="n">
        <v>46319</v>
      </c>
      <c r="F4831" t="inlineStr">
        <is>
          <t>DALARNAS LÄN</t>
        </is>
      </c>
      <c r="G4831" t="inlineStr">
        <is>
          <t>SMEDJEBACKEN</t>
        </is>
      </c>
      <c r="H4831" t="inlineStr">
        <is>
          <t>Sveaskog</t>
        </is>
      </c>
      <c r="I4831" t="n">
        <v>8.300000000000001</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32511-2026</t>
        </is>
      </c>
      <c r="B4832" t="inlineStr">
        <is>
          <t>avverkningsanmälan</t>
        </is>
      </c>
      <c r="C4832" t="inlineStr">
        <is>
          <t>Föryngringsavverkning</t>
        </is>
      </c>
      <c r="D4832" s="1" t="n">
        <v>46239</v>
      </c>
      <c r="E4832" s="1" t="n">
        <v>46319</v>
      </c>
      <c r="F4832" t="inlineStr">
        <is>
          <t>DALARNAS LÄN</t>
        </is>
      </c>
      <c r="G4832" t="inlineStr">
        <is>
          <t>RÄTTVIK</t>
        </is>
      </c>
      <c r="I4832" t="n">
        <v>1.5</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583-2026</t>
        </is>
      </c>
      <c r="B4833" t="inlineStr">
        <is>
          <t>avverkningsanmälan</t>
        </is>
      </c>
      <c r="C4833" t="inlineStr">
        <is>
          <t>Föryngringsavverkning</t>
        </is>
      </c>
      <c r="D4833" s="1" t="n">
        <v>46029</v>
      </c>
      <c r="E4833" s="1" t="n">
        <v>46319</v>
      </c>
      <c r="F4833" t="inlineStr">
        <is>
          <t>DALARNAS LÄN</t>
        </is>
      </c>
      <c r="G4833" t="inlineStr">
        <is>
          <t>ÄLVDALEN</t>
        </is>
      </c>
      <c r="I4833" t="n">
        <v>1.5</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22686-2025</t>
        </is>
      </c>
      <c r="B4834" t="inlineStr">
        <is>
          <t>avverkningsanmälan</t>
        </is>
      </c>
      <c r="C4834" t="inlineStr">
        <is>
          <t>Föryngringsavverkning</t>
        </is>
      </c>
      <c r="D4834" s="1" t="n">
        <v>45786</v>
      </c>
      <c r="E4834" s="1" t="n">
        <v>46319</v>
      </c>
      <c r="F4834" t="inlineStr">
        <is>
          <t>DALARNAS LÄN</t>
        </is>
      </c>
      <c r="G4834" t="inlineStr">
        <is>
          <t>LUDVIKA</t>
        </is>
      </c>
      <c r="I4834" t="n">
        <v>2.1</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51967-2023</t>
        </is>
      </c>
      <c r="B4835" t="inlineStr">
        <is>
          <t>avverkningsanmälan</t>
        </is>
      </c>
      <c r="C4835" t="inlineStr">
        <is>
          <t>Föryngringsavverkning</t>
        </is>
      </c>
      <c r="D4835" s="1" t="n">
        <v>45223</v>
      </c>
      <c r="E4835" s="1" t="n">
        <v>46319</v>
      </c>
      <c r="F4835" t="inlineStr">
        <is>
          <t>DALARNAS LÄN</t>
        </is>
      </c>
      <c r="G4835" t="inlineStr">
        <is>
          <t>ÄLVDALEN</t>
        </is>
      </c>
      <c r="I4835" t="n">
        <v>2.2</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38169-2026</t>
        </is>
      </c>
      <c r="B4836" t="inlineStr">
        <is>
          <t>avverkningsanmälan</t>
        </is>
      </c>
      <c r="C4836" t="inlineStr">
        <is>
          <t>Föryngringsavverkning</t>
        </is>
      </c>
      <c r="D4836" s="1" t="n">
        <v>46281</v>
      </c>
      <c r="E4836" s="1" t="n">
        <v>46319</v>
      </c>
      <c r="F4836" t="inlineStr">
        <is>
          <t>DALARNAS LÄN</t>
        </is>
      </c>
      <c r="G4836" t="inlineStr">
        <is>
          <t>HEDEMORA</t>
        </is>
      </c>
      <c r="H4836" t="inlineStr">
        <is>
          <t>Sveaskog</t>
        </is>
      </c>
      <c r="I4836" t="n">
        <v>3.7</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1030-2026</t>
        </is>
      </c>
      <c r="B4837" t="inlineStr">
        <is>
          <t>avverkningsanmälan</t>
        </is>
      </c>
      <c r="C4837" t="inlineStr">
        <is>
          <t>Föryngringsavverkning</t>
        </is>
      </c>
      <c r="D4837" s="1" t="n">
        <v>46030</v>
      </c>
      <c r="E4837" s="1" t="n">
        <v>46319</v>
      </c>
      <c r="F4837" t="inlineStr">
        <is>
          <t>DALARNAS LÄN</t>
        </is>
      </c>
      <c r="G4837" t="inlineStr">
        <is>
          <t>BORLÄNGE</t>
        </is>
      </c>
      <c r="I4837" t="n">
        <v>2.3</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834-2026</t>
        </is>
      </c>
      <c r="B4838" t="inlineStr">
        <is>
          <t>avverkningsanmälan</t>
        </is>
      </c>
      <c r="C4838" t="inlineStr">
        <is>
          <t>Föryngringsavverkning</t>
        </is>
      </c>
      <c r="D4838" s="1" t="n">
        <v>46030</v>
      </c>
      <c r="E4838" s="1" t="n">
        <v>46319</v>
      </c>
      <c r="F4838" t="inlineStr">
        <is>
          <t>DALARNAS LÄN</t>
        </is>
      </c>
      <c r="G4838" t="inlineStr">
        <is>
          <t>HEDEMORA</t>
        </is>
      </c>
      <c r="I4838" t="n">
        <v>2.8</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32393-2026</t>
        </is>
      </c>
      <c r="B4839" t="inlineStr">
        <is>
          <t>avverkningsanmälan</t>
        </is>
      </c>
      <c r="C4839" t="inlineStr">
        <is>
          <t>Föryngringsavverkning</t>
        </is>
      </c>
      <c r="D4839" s="1" t="n">
        <v>46238</v>
      </c>
      <c r="E4839" s="1" t="n">
        <v>46319</v>
      </c>
      <c r="F4839" t="inlineStr">
        <is>
          <t>DALARNAS LÄN</t>
        </is>
      </c>
      <c r="G4839" t="inlineStr">
        <is>
          <t>VANSBRO</t>
        </is>
      </c>
      <c r="H4839" t="inlineStr">
        <is>
          <t>Bergvik skog väst AB</t>
        </is>
      </c>
      <c r="I4839" t="n">
        <v>29.6</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1140-2026</t>
        </is>
      </c>
      <c r="B4840" t="inlineStr">
        <is>
          <t>avverkningsanmälan</t>
        </is>
      </c>
      <c r="C4840" t="inlineStr">
        <is>
          <t>Föryngringsavverkning</t>
        </is>
      </c>
      <c r="D4840" s="1" t="n">
        <v>46030</v>
      </c>
      <c r="E4840" s="1" t="n">
        <v>46319</v>
      </c>
      <c r="F4840" t="inlineStr">
        <is>
          <t>DALARNAS LÄN</t>
        </is>
      </c>
      <c r="G4840" t="inlineStr">
        <is>
          <t>FALUN</t>
        </is>
      </c>
      <c r="I4840" t="n">
        <v>3.5</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38312-2026</t>
        </is>
      </c>
      <c r="B4841" t="inlineStr">
        <is>
          <t>avverkningsanmälan</t>
        </is>
      </c>
      <c r="C4841" t="inlineStr">
        <is>
          <t>Föryngringsavverkning</t>
        </is>
      </c>
      <c r="D4841" s="1" t="n">
        <v>46282</v>
      </c>
      <c r="E4841" s="1" t="n">
        <v>46319</v>
      </c>
      <c r="F4841" t="inlineStr">
        <is>
          <t>DALARNAS LÄN</t>
        </is>
      </c>
      <c r="G4841" t="inlineStr">
        <is>
          <t>SMEDJEBACKEN</t>
        </is>
      </c>
      <c r="H4841" t="inlineStr">
        <is>
          <t>Sveaskog</t>
        </is>
      </c>
      <c r="I4841" t="n">
        <v>1.1</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1100-2026</t>
        </is>
      </c>
      <c r="B4842" t="inlineStr">
        <is>
          <t>avverkningsanmälan</t>
        </is>
      </c>
      <c r="C4842" t="inlineStr">
        <is>
          <t>Föryngringsavverkning</t>
        </is>
      </c>
      <c r="D4842" s="1" t="n">
        <v>46030</v>
      </c>
      <c r="E4842" s="1" t="n">
        <v>46319</v>
      </c>
      <c r="F4842" t="inlineStr">
        <is>
          <t>DALARNAS LÄN</t>
        </is>
      </c>
      <c r="G4842" t="inlineStr">
        <is>
          <t>GAGNEF</t>
        </is>
      </c>
      <c r="I4842" t="n">
        <v>10.7</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32399-2026</t>
        </is>
      </c>
      <c r="B4843" t="inlineStr">
        <is>
          <t>avverkningsanmälan</t>
        </is>
      </c>
      <c r="C4843" t="inlineStr">
        <is>
          <t>Föryngringsavverkning</t>
        </is>
      </c>
      <c r="D4843" s="1" t="n">
        <v>46238</v>
      </c>
      <c r="E4843" s="1" t="n">
        <v>46319</v>
      </c>
      <c r="F4843" t="inlineStr">
        <is>
          <t>DALARNAS LÄN</t>
        </is>
      </c>
      <c r="G4843" t="inlineStr">
        <is>
          <t>BORLÄNGE</t>
        </is>
      </c>
      <c r="I4843" t="n">
        <v>1.7</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38640-2026</t>
        </is>
      </c>
      <c r="B4844" t="inlineStr">
        <is>
          <t>avverkningsanmälan</t>
        </is>
      </c>
      <c r="C4844" t="inlineStr">
        <is>
          <t>Föryngringsavverkning</t>
        </is>
      </c>
      <c r="D4844" s="1" t="n">
        <v>46283</v>
      </c>
      <c r="E4844" s="1" t="n">
        <v>46319</v>
      </c>
      <c r="F4844" t="inlineStr">
        <is>
          <t>DALARNAS LÄN</t>
        </is>
      </c>
      <c r="G4844" t="inlineStr">
        <is>
          <t>MALUNG-SÄLEN</t>
        </is>
      </c>
      <c r="H4844" t="inlineStr">
        <is>
          <t>Allmännings- och besparingsskogar</t>
        </is>
      </c>
      <c r="I4844" t="n">
        <v>12.7</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33276-2024</t>
        </is>
      </c>
      <c r="B4845" t="inlineStr">
        <is>
          <t>avverkningsanmälan</t>
        </is>
      </c>
      <c r="C4845" t="inlineStr">
        <is>
          <t>Föryngringsavverkning</t>
        </is>
      </c>
      <c r="D4845" s="1" t="n">
        <v>45518</v>
      </c>
      <c r="E4845" s="1" t="n">
        <v>46319</v>
      </c>
      <c r="F4845" t="inlineStr">
        <is>
          <t>DALARNAS LÄN</t>
        </is>
      </c>
      <c r="G4845" t="inlineStr">
        <is>
          <t>RÄTTVIK</t>
        </is>
      </c>
      <c r="I4845" t="n">
        <v>2.1</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33167-2024</t>
        </is>
      </c>
      <c r="B4846" t="inlineStr">
        <is>
          <t>avverkningsanmälan</t>
        </is>
      </c>
      <c r="C4846" t="inlineStr">
        <is>
          <t>Föryngringsavverkning</t>
        </is>
      </c>
      <c r="D4846" s="1" t="n">
        <v>45518</v>
      </c>
      <c r="E4846" s="1" t="n">
        <v>46319</v>
      </c>
      <c r="F4846" t="inlineStr">
        <is>
          <t>DALARNAS LÄN</t>
        </is>
      </c>
      <c r="G4846" t="inlineStr">
        <is>
          <t>RÄTTVIK</t>
        </is>
      </c>
      <c r="I4846" t="n">
        <v>1.4</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537-2026</t>
        </is>
      </c>
      <c r="B4847" t="inlineStr">
        <is>
          <t>avverkningsanmälan</t>
        </is>
      </c>
      <c r="C4847" t="inlineStr">
        <is>
          <t>Föryngringsavverkning</t>
        </is>
      </c>
      <c r="D4847" s="1" t="n">
        <v>46029</v>
      </c>
      <c r="E4847" s="1" t="n">
        <v>46319</v>
      </c>
      <c r="F4847" t="inlineStr">
        <is>
          <t>DALARNAS LÄN</t>
        </is>
      </c>
      <c r="G4847" t="inlineStr">
        <is>
          <t>MALUNG-SÄLEN</t>
        </is>
      </c>
      <c r="H4847" t="inlineStr">
        <is>
          <t>Allmännings- och besparingsskogar</t>
        </is>
      </c>
      <c r="I4847" t="n">
        <v>53</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32806-2026</t>
        </is>
      </c>
      <c r="B4848" t="inlineStr">
        <is>
          <t>avverkningsanmälan</t>
        </is>
      </c>
      <c r="C4848" t="inlineStr">
        <is>
          <t>Föryngringsavverkning</t>
        </is>
      </c>
      <c r="D4848" s="1" t="n">
        <v>46241</v>
      </c>
      <c r="E4848" s="1" t="n">
        <v>46319</v>
      </c>
      <c r="F4848" t="inlineStr">
        <is>
          <t>DALARNAS LÄN</t>
        </is>
      </c>
      <c r="G4848" t="inlineStr">
        <is>
          <t>SMEDJEBACKEN</t>
        </is>
      </c>
      <c r="I4848" t="n">
        <v>1.7</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521-2026</t>
        </is>
      </c>
      <c r="B4849" t="inlineStr">
        <is>
          <t>avverkningsanmälan</t>
        </is>
      </c>
      <c r="C4849" t="inlineStr">
        <is>
          <t>Föryngringsavverkning</t>
        </is>
      </c>
      <c r="D4849" s="1" t="n">
        <v>46029</v>
      </c>
      <c r="E4849" s="1" t="n">
        <v>46319</v>
      </c>
      <c r="F4849" t="inlineStr">
        <is>
          <t>DALARNAS LÄN</t>
        </is>
      </c>
      <c r="G4849" t="inlineStr">
        <is>
          <t>LEKSAND</t>
        </is>
      </c>
      <c r="I4849" t="n">
        <v>3.4</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38512-2026</t>
        </is>
      </c>
      <c r="B4850" t="inlineStr">
        <is>
          <t>avverkningsanmälan</t>
        </is>
      </c>
      <c r="C4850" t="inlineStr">
        <is>
          <t>Föryngringsavverkning</t>
        </is>
      </c>
      <c r="D4850" s="1" t="n">
        <v>46283</v>
      </c>
      <c r="E4850" s="1" t="n">
        <v>46319</v>
      </c>
      <c r="F4850" t="inlineStr">
        <is>
          <t>DALARNAS LÄN</t>
        </is>
      </c>
      <c r="G4850" t="inlineStr">
        <is>
          <t>SMEDJEBACKEN</t>
        </is>
      </c>
      <c r="I4850" t="n">
        <v>0.6</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435-2026</t>
        </is>
      </c>
      <c r="B4851" t="inlineStr">
        <is>
          <t>avverkningsanmälan</t>
        </is>
      </c>
      <c r="C4851" t="inlineStr">
        <is>
          <t>Föryngringsavverkning</t>
        </is>
      </c>
      <c r="D4851" s="1" t="n">
        <v>46029</v>
      </c>
      <c r="E4851" s="1" t="n">
        <v>46319</v>
      </c>
      <c r="F4851" t="inlineStr">
        <is>
          <t>DALARNAS LÄN</t>
        </is>
      </c>
      <c r="G4851" t="inlineStr">
        <is>
          <t>LEKSAND</t>
        </is>
      </c>
      <c r="I4851" t="n">
        <v>3.5</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470-2026</t>
        </is>
      </c>
      <c r="B4852" t="inlineStr">
        <is>
          <t>avverkningsanmälan</t>
        </is>
      </c>
      <c r="C4852" t="inlineStr">
        <is>
          <t>Föryngringsavverkning</t>
        </is>
      </c>
      <c r="D4852" s="1" t="n">
        <v>46029</v>
      </c>
      <c r="E4852" s="1" t="n">
        <v>46319</v>
      </c>
      <c r="F4852" t="inlineStr">
        <is>
          <t>DALARNAS LÄN</t>
        </is>
      </c>
      <c r="G4852" t="inlineStr">
        <is>
          <t>BORLÄNGE</t>
        </is>
      </c>
      <c r="H4852" t="inlineStr">
        <is>
          <t>Bergvik skog väst AB</t>
        </is>
      </c>
      <c r="I4852" t="n">
        <v>1.9</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38554-2026</t>
        </is>
      </c>
      <c r="B4853" t="inlineStr">
        <is>
          <t>avverkningsanmälan</t>
        </is>
      </c>
      <c r="C4853" t="inlineStr">
        <is>
          <t>Föryngringsavverkning</t>
        </is>
      </c>
      <c r="D4853" s="1" t="n">
        <v>46283</v>
      </c>
      <c r="E4853" s="1" t="n">
        <v>46319</v>
      </c>
      <c r="F4853" t="inlineStr">
        <is>
          <t>DALARNAS LÄN</t>
        </is>
      </c>
      <c r="G4853" t="inlineStr">
        <is>
          <t>AVESTA</t>
        </is>
      </c>
      <c r="I4853" t="n">
        <v>1.2</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789-2026</t>
        </is>
      </c>
      <c r="B4854" t="inlineStr">
        <is>
          <t>avverkningsanmälan</t>
        </is>
      </c>
      <c r="C4854" t="inlineStr">
        <is>
          <t>Föryngringsavverkning</t>
        </is>
      </c>
      <c r="D4854" s="1" t="n">
        <v>46029</v>
      </c>
      <c r="E4854" s="1" t="n">
        <v>46319</v>
      </c>
      <c r="F4854" t="inlineStr">
        <is>
          <t>DALARNAS LÄN</t>
        </is>
      </c>
      <c r="G4854" t="inlineStr">
        <is>
          <t>FALUN</t>
        </is>
      </c>
      <c r="I4854" t="n">
        <v>5.4</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588-2026</t>
        </is>
      </c>
      <c r="B4855" t="inlineStr">
        <is>
          <t>avverkningsanmälan</t>
        </is>
      </c>
      <c r="C4855" t="inlineStr">
        <is>
          <t>Föryngringsavverkning</t>
        </is>
      </c>
      <c r="D4855" s="1" t="n">
        <v>46029</v>
      </c>
      <c r="E4855" s="1" t="n">
        <v>46319</v>
      </c>
      <c r="F4855" t="inlineStr">
        <is>
          <t>DALARNAS LÄN</t>
        </is>
      </c>
      <c r="G4855" t="inlineStr">
        <is>
          <t>ÄLVDALEN</t>
        </is>
      </c>
      <c r="I4855" t="n">
        <v>0.6</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575-2026</t>
        </is>
      </c>
      <c r="B4856" t="inlineStr">
        <is>
          <t>avverkningsanmälan</t>
        </is>
      </c>
      <c r="C4856" t="inlineStr">
        <is>
          <t>Föryngringsavverkning</t>
        </is>
      </c>
      <c r="D4856" s="1" t="n">
        <v>46029</v>
      </c>
      <c r="E4856" s="1" t="n">
        <v>46319</v>
      </c>
      <c r="F4856" t="inlineStr">
        <is>
          <t>DALARNAS LÄN</t>
        </is>
      </c>
      <c r="G4856" t="inlineStr">
        <is>
          <t>ÄLVDALEN</t>
        </is>
      </c>
      <c r="I4856" t="n">
        <v>4.3</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661-2026</t>
        </is>
      </c>
      <c r="B4857" t="inlineStr">
        <is>
          <t>avverkningsanmälan</t>
        </is>
      </c>
      <c r="C4857" t="inlineStr">
        <is>
          <t>Föryngringsavverkning</t>
        </is>
      </c>
      <c r="D4857" s="1" t="n">
        <v>46029</v>
      </c>
      <c r="E4857" s="1" t="n">
        <v>46319</v>
      </c>
      <c r="F4857" t="inlineStr">
        <is>
          <t>DALARNAS LÄN</t>
        </is>
      </c>
      <c r="G4857" t="inlineStr">
        <is>
          <t>LUDVIKA</t>
        </is>
      </c>
      <c r="H4857" t="inlineStr">
        <is>
          <t>Övriga Aktiebolag</t>
        </is>
      </c>
      <c r="I4857" t="n">
        <v>3.4</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38777-2026</t>
        </is>
      </c>
      <c r="B4858" t="inlineStr">
        <is>
          <t>avverkningsanmälan</t>
        </is>
      </c>
      <c r="C4858" t="inlineStr">
        <is>
          <t>Föryngringsavverkning</t>
        </is>
      </c>
      <c r="D4858" s="1" t="n">
        <v>46286</v>
      </c>
      <c r="E4858" s="1" t="n">
        <v>46319</v>
      </c>
      <c r="F4858" t="inlineStr">
        <is>
          <t>DALARNAS LÄN</t>
        </is>
      </c>
      <c r="G4858" t="inlineStr">
        <is>
          <t>SMEDJEBACKEN</t>
        </is>
      </c>
      <c r="H4858" t="inlineStr">
        <is>
          <t>Sveaskog</t>
        </is>
      </c>
      <c r="I4858" t="n">
        <v>1.1</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1323-2026</t>
        </is>
      </c>
      <c r="B4859" t="inlineStr">
        <is>
          <t>avverkningsanmälan</t>
        </is>
      </c>
      <c r="C4859" t="inlineStr">
        <is>
          <t>Föryngringsavverkning</t>
        </is>
      </c>
      <c r="D4859" s="1" t="n">
        <v>46031</v>
      </c>
      <c r="E4859" s="1" t="n">
        <v>46319</v>
      </c>
      <c r="F4859" t="inlineStr">
        <is>
          <t>DALARNAS LÄN</t>
        </is>
      </c>
      <c r="G4859" t="inlineStr">
        <is>
          <t>FALUN</t>
        </is>
      </c>
      <c r="I4859" t="n">
        <v>3.1</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1326-2026</t>
        </is>
      </c>
      <c r="B4860" t="inlineStr">
        <is>
          <t>avverkningsanmälan</t>
        </is>
      </c>
      <c r="C4860" t="inlineStr">
        <is>
          <t>Föryngringsavverkning</t>
        </is>
      </c>
      <c r="D4860" s="1" t="n">
        <v>46031</v>
      </c>
      <c r="E4860" s="1" t="n">
        <v>46319</v>
      </c>
      <c r="F4860" t="inlineStr">
        <is>
          <t>DALARNAS LÄN</t>
        </is>
      </c>
      <c r="G4860" t="inlineStr">
        <is>
          <t>SÄTER</t>
        </is>
      </c>
      <c r="I4860" t="n">
        <v>4.8</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1343-2026</t>
        </is>
      </c>
      <c r="B4861" t="inlineStr">
        <is>
          <t>avverkningsanmälan</t>
        </is>
      </c>
      <c r="C4861" t="inlineStr">
        <is>
          <t>Föryngringsavverkning</t>
        </is>
      </c>
      <c r="D4861" s="1" t="n">
        <v>46031</v>
      </c>
      <c r="E4861" s="1" t="n">
        <v>46319</v>
      </c>
      <c r="F4861" t="inlineStr">
        <is>
          <t>DALARNAS LÄN</t>
        </is>
      </c>
      <c r="G4861" t="inlineStr">
        <is>
          <t>SÄTER</t>
        </is>
      </c>
      <c r="I4861" t="n">
        <v>1.3</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1350-2026</t>
        </is>
      </c>
      <c r="B4862" t="inlineStr">
        <is>
          <t>avverkningsanmälan</t>
        </is>
      </c>
      <c r="C4862" t="inlineStr">
        <is>
          <t>Föryngringsavverkning</t>
        </is>
      </c>
      <c r="D4862" s="1" t="n">
        <v>46031</v>
      </c>
      <c r="E4862" s="1" t="n">
        <v>46319</v>
      </c>
      <c r="F4862" t="inlineStr">
        <is>
          <t>DALARNAS LÄN</t>
        </is>
      </c>
      <c r="G4862" t="inlineStr">
        <is>
          <t>MALUNG-SÄLEN</t>
        </is>
      </c>
      <c r="I4862" t="n">
        <v>6.1</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14320-2025</t>
        </is>
      </c>
      <c r="B4863" t="inlineStr">
        <is>
          <t>avverkningsanmälan</t>
        </is>
      </c>
      <c r="C4863" t="inlineStr">
        <is>
          <t>Föryngringsavverkning</t>
        </is>
      </c>
      <c r="D4863" s="1" t="n">
        <v>45740</v>
      </c>
      <c r="E4863" s="1" t="n">
        <v>46319</v>
      </c>
      <c r="F4863" t="inlineStr">
        <is>
          <t>DALARNAS LÄN</t>
        </is>
      </c>
      <c r="G4863" t="inlineStr">
        <is>
          <t>RÄTTVIK</t>
        </is>
      </c>
      <c r="H4863" t="inlineStr">
        <is>
          <t>Bergvik skog väst AB</t>
        </is>
      </c>
      <c r="I4863" t="n">
        <v>1.3</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1411-2026</t>
        </is>
      </c>
      <c r="B4864" t="inlineStr">
        <is>
          <t>avverkningsanmälan</t>
        </is>
      </c>
      <c r="C4864" t="inlineStr">
        <is>
          <t>Föryngringsavverkning</t>
        </is>
      </c>
      <c r="D4864" s="1" t="n">
        <v>46031</v>
      </c>
      <c r="E4864" s="1" t="n">
        <v>46319</v>
      </c>
      <c r="F4864" t="inlineStr">
        <is>
          <t>DALARNAS LÄN</t>
        </is>
      </c>
      <c r="G4864" t="inlineStr">
        <is>
          <t>GAGNEF</t>
        </is>
      </c>
      <c r="I4864" t="n">
        <v>3</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1430-2026</t>
        </is>
      </c>
      <c r="B4865" t="inlineStr">
        <is>
          <t>avverkningsanmälan</t>
        </is>
      </c>
      <c r="C4865" t="inlineStr">
        <is>
          <t>Föryngringsavverkning</t>
        </is>
      </c>
      <c r="D4865" s="1" t="n">
        <v>46032</v>
      </c>
      <c r="E4865" s="1" t="n">
        <v>46319</v>
      </c>
      <c r="F4865" t="inlineStr">
        <is>
          <t>DALARNAS LÄN</t>
        </is>
      </c>
      <c r="G4865" t="inlineStr">
        <is>
          <t>GAGNEF</t>
        </is>
      </c>
      <c r="I4865" t="n">
        <v>4.2</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1431-2026</t>
        </is>
      </c>
      <c r="B4866" t="inlineStr">
        <is>
          <t>avverkningsanmälan</t>
        </is>
      </c>
      <c r="C4866" t="inlineStr">
        <is>
          <t>Föryngringsavverkning</t>
        </is>
      </c>
      <c r="D4866" s="1" t="n">
        <v>46032</v>
      </c>
      <c r="E4866" s="1" t="n">
        <v>46319</v>
      </c>
      <c r="F4866" t="inlineStr">
        <is>
          <t>DALARNAS LÄN</t>
        </is>
      </c>
      <c r="G4866" t="inlineStr">
        <is>
          <t>GAGNEF</t>
        </is>
      </c>
      <c r="I4866" t="n">
        <v>8.4</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2419-2026</t>
        </is>
      </c>
      <c r="B4867" t="inlineStr">
        <is>
          <t>avverkningsanmälan</t>
        </is>
      </c>
      <c r="C4867" t="inlineStr">
        <is>
          <t>Föryngringsavverkning</t>
        </is>
      </c>
      <c r="D4867" s="1" t="n">
        <v>46034</v>
      </c>
      <c r="E4867" s="1" t="n">
        <v>46319</v>
      </c>
      <c r="F4867" t="inlineStr">
        <is>
          <t>DALARNAS LÄN</t>
        </is>
      </c>
      <c r="G4867" t="inlineStr">
        <is>
          <t>VANSBRO</t>
        </is>
      </c>
      <c r="I4867" t="n">
        <v>6.9</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1447-2026</t>
        </is>
      </c>
      <c r="B4868" t="inlineStr">
        <is>
          <t>avverkningsanmälan</t>
        </is>
      </c>
      <c r="C4868" t="inlineStr">
        <is>
          <t>Föryngringsavverkning</t>
        </is>
      </c>
      <c r="D4868" s="1" t="n">
        <v>46032</v>
      </c>
      <c r="E4868" s="1" t="n">
        <v>46319</v>
      </c>
      <c r="F4868" t="inlineStr">
        <is>
          <t>DALARNAS LÄN</t>
        </is>
      </c>
      <c r="G4868" t="inlineStr">
        <is>
          <t>FALUN</t>
        </is>
      </c>
      <c r="I4868" t="n">
        <v>2.1</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54913-2025</t>
        </is>
      </c>
      <c r="B4869" t="inlineStr">
        <is>
          <t>avverkningsanmälan</t>
        </is>
      </c>
      <c r="C4869" t="inlineStr">
        <is>
          <t>Föryngringsavverkning</t>
        </is>
      </c>
      <c r="D4869" s="1" t="n">
        <v>45967</v>
      </c>
      <c r="E4869" s="1" t="n">
        <v>46319</v>
      </c>
      <c r="F4869" t="inlineStr">
        <is>
          <t>DALARNAS LÄN</t>
        </is>
      </c>
      <c r="G4869" t="inlineStr">
        <is>
          <t>AVESTA</t>
        </is>
      </c>
      <c r="H4869" t="inlineStr">
        <is>
          <t>Sveaskog</t>
        </is>
      </c>
      <c r="I4869" t="n">
        <v>2.8</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38837-2026</t>
        </is>
      </c>
      <c r="B4870" t="inlineStr">
        <is>
          <t>avverkningsanmälan</t>
        </is>
      </c>
      <c r="C4870" t="inlineStr">
        <is>
          <t>Föryngringsavverkning</t>
        </is>
      </c>
      <c r="D4870" s="1" t="n">
        <v>46286</v>
      </c>
      <c r="E4870" s="1" t="n">
        <v>46319</v>
      </c>
      <c r="F4870" t="inlineStr">
        <is>
          <t>DALARNAS LÄN</t>
        </is>
      </c>
      <c r="G4870" t="inlineStr">
        <is>
          <t>ÄLVDALEN</t>
        </is>
      </c>
      <c r="H4870" t="inlineStr">
        <is>
          <t>Bergvik skog väst AB</t>
        </is>
      </c>
      <c r="I4870" t="n">
        <v>18.9</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1276-2026</t>
        </is>
      </c>
      <c r="B4871" t="inlineStr">
        <is>
          <t>avverkningsanmälan</t>
        </is>
      </c>
      <c r="C4871" t="inlineStr">
        <is>
          <t>Föryngringsavverkning</t>
        </is>
      </c>
      <c r="D4871" s="1" t="n">
        <v>46031</v>
      </c>
      <c r="E4871" s="1" t="n">
        <v>46319</v>
      </c>
      <c r="F4871" t="inlineStr">
        <is>
          <t>DALARNAS LÄN</t>
        </is>
      </c>
      <c r="G4871" t="inlineStr">
        <is>
          <t>GAGNEF</t>
        </is>
      </c>
      <c r="I4871" t="n">
        <v>5.6</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23076-2025</t>
        </is>
      </c>
      <c r="B4872" t="inlineStr">
        <is>
          <t>avverkningsanmälan</t>
        </is>
      </c>
      <c r="C4872" t="inlineStr">
        <is>
          <t>Föryngringsavverkning</t>
        </is>
      </c>
      <c r="D4872" s="1" t="n">
        <v>45790</v>
      </c>
      <c r="E4872" s="1" t="n">
        <v>46319</v>
      </c>
      <c r="F4872" t="inlineStr">
        <is>
          <t>DALARNAS LÄN</t>
        </is>
      </c>
      <c r="G4872" t="inlineStr">
        <is>
          <t>LEKSAND</t>
        </is>
      </c>
      <c r="I4872" t="n">
        <v>0.9</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56927-2024</t>
        </is>
      </c>
      <c r="B4873" t="inlineStr">
        <is>
          <t>avverkningsanmälan</t>
        </is>
      </c>
      <c r="C4873" t="inlineStr">
        <is>
          <t>Föryngringsavverkning</t>
        </is>
      </c>
      <c r="D4873" s="1" t="n">
        <v>45625</v>
      </c>
      <c r="E4873" s="1" t="n">
        <v>46319</v>
      </c>
      <c r="F4873" t="inlineStr">
        <is>
          <t>DALARNAS LÄN</t>
        </is>
      </c>
      <c r="G4873" t="inlineStr">
        <is>
          <t>MORA</t>
        </is>
      </c>
      <c r="I4873" t="n">
        <v>2.8</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1336-2026</t>
        </is>
      </c>
      <c r="B4874" t="inlineStr">
        <is>
          <t>avverkningsanmälan</t>
        </is>
      </c>
      <c r="C4874" t="inlineStr">
        <is>
          <t>Föryngringsavverkning</t>
        </is>
      </c>
      <c r="D4874" s="1" t="n">
        <v>46031</v>
      </c>
      <c r="E4874" s="1" t="n">
        <v>46319</v>
      </c>
      <c r="F4874" t="inlineStr">
        <is>
          <t>DALARNAS LÄN</t>
        </is>
      </c>
      <c r="G4874" t="inlineStr">
        <is>
          <t>RÄTTVIK</t>
        </is>
      </c>
      <c r="I4874" t="n">
        <v>1.8</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1742-2026</t>
        </is>
      </c>
      <c r="B4875" t="inlineStr">
        <is>
          <t>avverkningsanmälan</t>
        </is>
      </c>
      <c r="C4875" t="inlineStr">
        <is>
          <t>Föryngringsavverkning</t>
        </is>
      </c>
      <c r="D4875" s="1" t="n">
        <v>46034</v>
      </c>
      <c r="E4875" s="1" t="n">
        <v>46319</v>
      </c>
      <c r="F4875" t="inlineStr">
        <is>
          <t>DALARNAS LÄN</t>
        </is>
      </c>
      <c r="G4875" t="inlineStr">
        <is>
          <t>MALUNG-SÄLEN</t>
        </is>
      </c>
      <c r="I4875" t="n">
        <v>3.4</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1716-2026</t>
        </is>
      </c>
      <c r="B4876" t="inlineStr">
        <is>
          <t>avverkningsanmälan</t>
        </is>
      </c>
      <c r="C4876" t="inlineStr">
        <is>
          <t>Föryngringsavverkning</t>
        </is>
      </c>
      <c r="D4876" s="1" t="n">
        <v>46034</v>
      </c>
      <c r="E4876" s="1" t="n">
        <v>46319</v>
      </c>
      <c r="F4876" t="inlineStr">
        <is>
          <t>DALARNAS LÄN</t>
        </is>
      </c>
      <c r="G4876" t="inlineStr">
        <is>
          <t>MALUNG-SÄLEN</t>
        </is>
      </c>
      <c r="I4876" t="n">
        <v>2.9</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29411-2024</t>
        </is>
      </c>
      <c r="B4877" t="inlineStr">
        <is>
          <t>avverkningsanmälan</t>
        </is>
      </c>
      <c r="C4877" t="inlineStr">
        <is>
          <t>Avverkning för annat ändamål</t>
        </is>
      </c>
      <c r="D4877" s="1" t="n">
        <v>45483</v>
      </c>
      <c r="E4877" s="1" t="n">
        <v>46319</v>
      </c>
      <c r="F4877" t="inlineStr">
        <is>
          <t>DALARNAS LÄN</t>
        </is>
      </c>
      <c r="G4877" t="inlineStr">
        <is>
          <t>VANSBRO</t>
        </is>
      </c>
      <c r="H4877" t="inlineStr">
        <is>
          <t>Bergvik skog väst AB</t>
        </is>
      </c>
      <c r="I4877" t="n">
        <v>2</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1443-2026</t>
        </is>
      </c>
      <c r="B4878" t="inlineStr">
        <is>
          <t>avverkningsanmälan</t>
        </is>
      </c>
      <c r="C4878" t="inlineStr">
        <is>
          <t>Föryngringsavverkning</t>
        </is>
      </c>
      <c r="D4878" s="1" t="n">
        <v>46032</v>
      </c>
      <c r="E4878" s="1" t="n">
        <v>46319</v>
      </c>
      <c r="F4878" t="inlineStr">
        <is>
          <t>DALARNAS LÄN</t>
        </is>
      </c>
      <c r="G4878" t="inlineStr">
        <is>
          <t>FALUN</t>
        </is>
      </c>
      <c r="I4878" t="n">
        <v>5</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1451-2026</t>
        </is>
      </c>
      <c r="B4879" t="inlineStr">
        <is>
          <t>avverkningsanmälan</t>
        </is>
      </c>
      <c r="C4879" t="inlineStr">
        <is>
          <t>Föryngringsavverkning</t>
        </is>
      </c>
      <c r="D4879" s="1" t="n">
        <v>46033</v>
      </c>
      <c r="E4879" s="1" t="n">
        <v>46319</v>
      </c>
      <c r="F4879" t="inlineStr">
        <is>
          <t>DALARNAS LÄN</t>
        </is>
      </c>
      <c r="G4879" t="inlineStr">
        <is>
          <t>HEDEMORA</t>
        </is>
      </c>
      <c r="I4879" t="n">
        <v>7</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2047-2026</t>
        </is>
      </c>
      <c r="B4880" t="inlineStr">
        <is>
          <t>avverkningsanmälan</t>
        </is>
      </c>
      <c r="C4880" t="inlineStr">
        <is>
          <t>Föryngringsavverkning</t>
        </is>
      </c>
      <c r="D4880" s="1" t="n">
        <v>46031</v>
      </c>
      <c r="E4880" s="1" t="n">
        <v>46319</v>
      </c>
      <c r="F4880" t="inlineStr">
        <is>
          <t>DALARNAS LÄN</t>
        </is>
      </c>
      <c r="G4880" t="inlineStr">
        <is>
          <t>SÄTER</t>
        </is>
      </c>
      <c r="H4880" t="inlineStr">
        <is>
          <t>Kommuner</t>
        </is>
      </c>
      <c r="I4880" t="n">
        <v>4.1</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1681-2026</t>
        </is>
      </c>
      <c r="B4881" t="inlineStr">
        <is>
          <t>avverkningsanmälan</t>
        </is>
      </c>
      <c r="C4881" t="inlineStr">
        <is>
          <t>Föryngringsavverkning</t>
        </is>
      </c>
      <c r="D4881" s="1" t="n">
        <v>46034</v>
      </c>
      <c r="E4881" s="1" t="n">
        <v>46319</v>
      </c>
      <c r="F4881" t="inlineStr">
        <is>
          <t>DALARNAS LÄN</t>
        </is>
      </c>
      <c r="G4881" t="inlineStr">
        <is>
          <t>MALUNG-SÄLEN</t>
        </is>
      </c>
      <c r="I4881" t="n">
        <v>7.1</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1758-2026</t>
        </is>
      </c>
      <c r="B4882" t="inlineStr">
        <is>
          <t>avverkningsanmälan</t>
        </is>
      </c>
      <c r="C4882" t="inlineStr">
        <is>
          <t>Föryngringsavverkning</t>
        </is>
      </c>
      <c r="D4882" s="1" t="n">
        <v>46034</v>
      </c>
      <c r="E4882" s="1" t="n">
        <v>46319</v>
      </c>
      <c r="F4882" t="inlineStr">
        <is>
          <t>DALARNAS LÄN</t>
        </is>
      </c>
      <c r="G4882" t="inlineStr">
        <is>
          <t>MALUNG-SÄLEN</t>
        </is>
      </c>
      <c r="I4882" t="n">
        <v>5</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32752-2026</t>
        </is>
      </c>
      <c r="B4883" t="inlineStr">
        <is>
          <t>avverkningsanmälan</t>
        </is>
      </c>
      <c r="C4883" t="inlineStr">
        <is>
          <t>Föryngringsavverkning</t>
        </is>
      </c>
      <c r="D4883" s="1" t="n">
        <v>46241</v>
      </c>
      <c r="E4883" s="1" t="n">
        <v>46319</v>
      </c>
      <c r="F4883" t="inlineStr">
        <is>
          <t>DALARNAS LÄN</t>
        </is>
      </c>
      <c r="G4883" t="inlineStr">
        <is>
          <t>LUDVIKA</t>
        </is>
      </c>
      <c r="H4883" t="inlineStr">
        <is>
          <t>Bergvik skog väst AB</t>
        </is>
      </c>
      <c r="I4883" t="n">
        <v>0.7</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39983-2022</t>
        </is>
      </c>
      <c r="B4884" t="inlineStr">
        <is>
          <t>avverkningsanmälan</t>
        </is>
      </c>
      <c r="C4884" t="inlineStr">
        <is>
          <t>Föryngringsavverkning</t>
        </is>
      </c>
      <c r="D4884" s="1" t="n">
        <v>44818</v>
      </c>
      <c r="E4884" s="1" t="n">
        <v>46319</v>
      </c>
      <c r="F4884" t="inlineStr">
        <is>
          <t>DALARNAS LÄN</t>
        </is>
      </c>
      <c r="G4884" t="inlineStr">
        <is>
          <t>RÄTTVIK</t>
        </is>
      </c>
      <c r="I4884" t="n">
        <v>5.5</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32772-2026</t>
        </is>
      </c>
      <c r="B4885" t="inlineStr">
        <is>
          <t>avverkningsanmälan</t>
        </is>
      </c>
      <c r="C4885" t="inlineStr">
        <is>
          <t>Föryngringsavverkning</t>
        </is>
      </c>
      <c r="D4885" s="1" t="n">
        <v>46241</v>
      </c>
      <c r="E4885" s="1" t="n">
        <v>46319</v>
      </c>
      <c r="F4885" t="inlineStr">
        <is>
          <t>DALARNAS LÄN</t>
        </is>
      </c>
      <c r="G4885" t="inlineStr">
        <is>
          <t>FALUN</t>
        </is>
      </c>
      <c r="I4885" t="n">
        <v>1.1</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38694-2026</t>
        </is>
      </c>
      <c r="B4886" t="inlineStr">
        <is>
          <t>avverkningsanmälan</t>
        </is>
      </c>
      <c r="C4886" t="inlineStr">
        <is>
          <t>Föryngringsavverkning</t>
        </is>
      </c>
      <c r="D4886" s="1" t="n">
        <v>46283</v>
      </c>
      <c r="E4886" s="1" t="n">
        <v>46319</v>
      </c>
      <c r="F4886" t="inlineStr">
        <is>
          <t>DALARNAS LÄN</t>
        </is>
      </c>
      <c r="G4886" t="inlineStr">
        <is>
          <t>FALUN</t>
        </is>
      </c>
      <c r="H4886" t="inlineStr">
        <is>
          <t>Bergvik skog väst AB</t>
        </is>
      </c>
      <c r="I4886" t="n">
        <v>3.4</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1321-2026</t>
        </is>
      </c>
      <c r="B4887" t="inlineStr">
        <is>
          <t>avverkningsanmälan</t>
        </is>
      </c>
      <c r="C4887" t="inlineStr">
        <is>
          <t>Föryngringsavverkning</t>
        </is>
      </c>
      <c r="D4887" s="1" t="n">
        <v>46031</v>
      </c>
      <c r="E4887" s="1" t="n">
        <v>46319</v>
      </c>
      <c r="F4887" t="inlineStr">
        <is>
          <t>DALARNAS LÄN</t>
        </is>
      </c>
      <c r="G4887" t="inlineStr">
        <is>
          <t>FALUN</t>
        </is>
      </c>
      <c r="I4887" t="n">
        <v>4.6</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1460-2026</t>
        </is>
      </c>
      <c r="B4888" t="inlineStr">
        <is>
          <t>avverkningsanmälan</t>
        </is>
      </c>
      <c r="C4888" t="inlineStr">
        <is>
          <t>Föryngringsavverkning</t>
        </is>
      </c>
      <c r="D4888" s="1" t="n">
        <v>46033</v>
      </c>
      <c r="E4888" s="1" t="n">
        <v>46319</v>
      </c>
      <c r="F4888" t="inlineStr">
        <is>
          <t>DALARNAS LÄN</t>
        </is>
      </c>
      <c r="G4888" t="inlineStr">
        <is>
          <t>RÄTTVIK</t>
        </is>
      </c>
      <c r="H4888" t="inlineStr">
        <is>
          <t>Bergvik skog väst AB</t>
        </is>
      </c>
      <c r="I4888" t="n">
        <v>1.5</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1314-2026</t>
        </is>
      </c>
      <c r="B4889" t="inlineStr">
        <is>
          <t>avverkningsanmälan</t>
        </is>
      </c>
      <c r="C4889" t="inlineStr">
        <is>
          <t>Föryngringsavverkning</t>
        </is>
      </c>
      <c r="D4889" s="1" t="n">
        <v>46031</v>
      </c>
      <c r="E4889" s="1" t="n">
        <v>46319</v>
      </c>
      <c r="F4889" t="inlineStr">
        <is>
          <t>DALARNAS LÄN</t>
        </is>
      </c>
      <c r="G4889" t="inlineStr">
        <is>
          <t>FALUN</t>
        </is>
      </c>
      <c r="I4889" t="n">
        <v>37.9</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1462-2026</t>
        </is>
      </c>
      <c r="B4890" t="inlineStr">
        <is>
          <t>avverkningsanmälan</t>
        </is>
      </c>
      <c r="C4890" t="inlineStr">
        <is>
          <t>Föryngringsavverkning</t>
        </is>
      </c>
      <c r="D4890" s="1" t="n">
        <v>46033</v>
      </c>
      <c r="E4890" s="1" t="n">
        <v>46319</v>
      </c>
      <c r="F4890" t="inlineStr">
        <is>
          <t>DALARNAS LÄN</t>
        </is>
      </c>
      <c r="G4890" t="inlineStr">
        <is>
          <t>RÄTTVIK</t>
        </is>
      </c>
      <c r="I4890" t="n">
        <v>5</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1463-2026</t>
        </is>
      </c>
      <c r="B4891" t="inlineStr">
        <is>
          <t>avverkningsanmälan</t>
        </is>
      </c>
      <c r="C4891" t="inlineStr">
        <is>
          <t>Föryngringsavverkning</t>
        </is>
      </c>
      <c r="D4891" s="1" t="n">
        <v>46033</v>
      </c>
      <c r="E4891" s="1" t="n">
        <v>46319</v>
      </c>
      <c r="F4891" t="inlineStr">
        <is>
          <t>DALARNAS LÄN</t>
        </is>
      </c>
      <c r="G4891" t="inlineStr">
        <is>
          <t>RÄTTVIK</t>
        </is>
      </c>
      <c r="I4891" t="n">
        <v>0.6</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44248-2023</t>
        </is>
      </c>
      <c r="B4892" t="inlineStr">
        <is>
          <t>avverkningsanmälan</t>
        </is>
      </c>
      <c r="C4892" t="inlineStr">
        <is>
          <t>Föryngringsavverkning</t>
        </is>
      </c>
      <c r="D4892" s="1" t="n">
        <v>45188</v>
      </c>
      <c r="E4892" s="1" t="n">
        <v>46319</v>
      </c>
      <c r="F4892" t="inlineStr">
        <is>
          <t>DALARNAS LÄN</t>
        </is>
      </c>
      <c r="G4892" t="inlineStr">
        <is>
          <t>RÄTTVIK</t>
        </is>
      </c>
      <c r="I4892" t="n">
        <v>2.6</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1472-2026</t>
        </is>
      </c>
      <c r="B4893" t="inlineStr">
        <is>
          <t>avverkningsanmälan</t>
        </is>
      </c>
      <c r="C4893" t="inlineStr">
        <is>
          <t>Föryngringsavverkning</t>
        </is>
      </c>
      <c r="D4893" s="1" t="n">
        <v>46033</v>
      </c>
      <c r="E4893" s="1" t="n">
        <v>46319</v>
      </c>
      <c r="F4893" t="inlineStr">
        <is>
          <t>DALARNAS LÄN</t>
        </is>
      </c>
      <c r="G4893" t="inlineStr">
        <is>
          <t>VANSBRO</t>
        </is>
      </c>
      <c r="I4893" t="n">
        <v>9.9</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1448-2026</t>
        </is>
      </c>
      <c r="B4894" t="inlineStr">
        <is>
          <t>avverkningsanmälan</t>
        </is>
      </c>
      <c r="C4894" t="inlineStr">
        <is>
          <t>Föryngringsavverkning</t>
        </is>
      </c>
      <c r="D4894" s="1" t="n">
        <v>46032</v>
      </c>
      <c r="E4894" s="1" t="n">
        <v>46319</v>
      </c>
      <c r="F4894" t="inlineStr">
        <is>
          <t>DALARNAS LÄN</t>
        </is>
      </c>
      <c r="G4894" t="inlineStr">
        <is>
          <t>FALUN</t>
        </is>
      </c>
      <c r="I4894" t="n">
        <v>8.1</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34280-2024</t>
        </is>
      </c>
      <c r="B4895" t="inlineStr">
        <is>
          <t>avverkningsanmälan</t>
        </is>
      </c>
      <c r="C4895" t="inlineStr">
        <is>
          <t>Föryngringsavverkning</t>
        </is>
      </c>
      <c r="D4895" s="1" t="n">
        <v>45524</v>
      </c>
      <c r="E4895" s="1" t="n">
        <v>46319</v>
      </c>
      <c r="F4895" t="inlineStr">
        <is>
          <t>DALARNAS LÄN</t>
        </is>
      </c>
      <c r="G4895" t="inlineStr">
        <is>
          <t>LUDVIKA</t>
        </is>
      </c>
      <c r="H4895" t="inlineStr">
        <is>
          <t>Bergvik skog väst AB</t>
        </is>
      </c>
      <c r="I4895" t="n">
        <v>2.3</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367-2026</t>
        </is>
      </c>
      <c r="B4896" t="inlineStr">
        <is>
          <t>avverkningsanmälan</t>
        </is>
      </c>
      <c r="C4896" t="inlineStr">
        <is>
          <t>Föryngringsavverkning</t>
        </is>
      </c>
      <c r="D4896" s="1" t="n">
        <v>46027</v>
      </c>
      <c r="E4896" s="1" t="n">
        <v>46319</v>
      </c>
      <c r="F4896" t="inlineStr">
        <is>
          <t>DALARNAS LÄN</t>
        </is>
      </c>
      <c r="G4896" t="inlineStr">
        <is>
          <t>LEKSAND</t>
        </is>
      </c>
      <c r="I4896" t="n">
        <v>4.3</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1155-2026</t>
        </is>
      </c>
      <c r="B4897" t="inlineStr">
        <is>
          <t>avverkningsanmälan</t>
        </is>
      </c>
      <c r="C4897" t="inlineStr">
        <is>
          <t>Föryngringsavverkning</t>
        </is>
      </c>
      <c r="D4897" s="1" t="n">
        <v>46031</v>
      </c>
      <c r="E4897" s="1" t="n">
        <v>46319</v>
      </c>
      <c r="F4897" t="inlineStr">
        <is>
          <t>DALARNAS LÄN</t>
        </is>
      </c>
      <c r="G4897" t="inlineStr">
        <is>
          <t>VANSBRO</t>
        </is>
      </c>
      <c r="H4897" t="inlineStr">
        <is>
          <t>Bergvik skog öst AB</t>
        </is>
      </c>
      <c r="I4897" t="n">
        <v>2.8</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1711-2026</t>
        </is>
      </c>
      <c r="B4898" t="inlineStr">
        <is>
          <t>avverkningsanmälan</t>
        </is>
      </c>
      <c r="C4898" t="inlineStr">
        <is>
          <t>Föryngringsavverkning</t>
        </is>
      </c>
      <c r="D4898" s="1" t="n">
        <v>46034</v>
      </c>
      <c r="E4898" s="1" t="n">
        <v>46319</v>
      </c>
      <c r="F4898" t="inlineStr">
        <is>
          <t>DALARNAS LÄN</t>
        </is>
      </c>
      <c r="G4898" t="inlineStr">
        <is>
          <t>SÄTER</t>
        </is>
      </c>
      <c r="I4898" t="n">
        <v>3.8</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38782-2026</t>
        </is>
      </c>
      <c r="B4899" t="inlineStr">
        <is>
          <t>avverkningsanmälan</t>
        </is>
      </c>
      <c r="C4899" t="inlineStr">
        <is>
          <t>Föryngringsavverkning</t>
        </is>
      </c>
      <c r="D4899" s="1" t="n">
        <v>46286</v>
      </c>
      <c r="E4899" s="1" t="n">
        <v>46319</v>
      </c>
      <c r="F4899" t="inlineStr">
        <is>
          <t>DALARNAS LÄN</t>
        </is>
      </c>
      <c r="G4899" t="inlineStr">
        <is>
          <t>SMEDJEBACKEN</t>
        </is>
      </c>
      <c r="H4899" t="inlineStr">
        <is>
          <t>Sveaskog</t>
        </is>
      </c>
      <c r="I4899" t="n">
        <v>1.1</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38786-2026</t>
        </is>
      </c>
      <c r="B4900" t="inlineStr">
        <is>
          <t>avverkningsanmälan</t>
        </is>
      </c>
      <c r="C4900" t="inlineStr">
        <is>
          <t>Föryngringsavverkning</t>
        </is>
      </c>
      <c r="D4900" s="1" t="n">
        <v>46286</v>
      </c>
      <c r="E4900" s="1" t="n">
        <v>46319</v>
      </c>
      <c r="F4900" t="inlineStr">
        <is>
          <t>DALARNAS LÄN</t>
        </is>
      </c>
      <c r="G4900" t="inlineStr">
        <is>
          <t>SMEDJEBACKEN</t>
        </is>
      </c>
      <c r="H4900" t="inlineStr">
        <is>
          <t>Sveaskog</t>
        </is>
      </c>
      <c r="I4900" t="n">
        <v>3.3</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38797-2026</t>
        </is>
      </c>
      <c r="B4901" t="inlineStr">
        <is>
          <t>avverkningsanmälan</t>
        </is>
      </c>
      <c r="C4901" t="inlineStr">
        <is>
          <t>Föryngringsavverkning</t>
        </is>
      </c>
      <c r="D4901" s="1" t="n">
        <v>46286</v>
      </c>
      <c r="E4901" s="1" t="n">
        <v>46319</v>
      </c>
      <c r="F4901" t="inlineStr">
        <is>
          <t>DALARNAS LÄN</t>
        </is>
      </c>
      <c r="G4901" t="inlineStr">
        <is>
          <t>VANSBRO</t>
        </is>
      </c>
      <c r="H4901" t="inlineStr">
        <is>
          <t>Bergvik skog väst AB</t>
        </is>
      </c>
      <c r="I4901" t="n">
        <v>2.8</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58549-2023</t>
        </is>
      </c>
      <c r="B4902" t="inlineStr">
        <is>
          <t>avverkningsanmälan</t>
        </is>
      </c>
      <c r="C4902" t="inlineStr">
        <is>
          <t>Föryngringsavverkning</t>
        </is>
      </c>
      <c r="D4902" s="1" t="n">
        <v>45251</v>
      </c>
      <c r="E4902" s="1" t="n">
        <v>46319</v>
      </c>
      <c r="F4902" t="inlineStr">
        <is>
          <t>DALARNAS LÄN</t>
        </is>
      </c>
      <c r="G4902" t="inlineStr">
        <is>
          <t>ORSA</t>
        </is>
      </c>
      <c r="I4902" t="n">
        <v>0.9</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1367-2026</t>
        </is>
      </c>
      <c r="B4903" t="inlineStr">
        <is>
          <t>avverkningsanmälan</t>
        </is>
      </c>
      <c r="C4903" t="inlineStr">
        <is>
          <t>Föryngringsavverkning</t>
        </is>
      </c>
      <c r="D4903" s="1" t="n">
        <v>46031</v>
      </c>
      <c r="E4903" s="1" t="n">
        <v>46319</v>
      </c>
      <c r="F4903" t="inlineStr">
        <is>
          <t>DALARNAS LÄN</t>
        </is>
      </c>
      <c r="G4903" t="inlineStr">
        <is>
          <t>GAGNEF</t>
        </is>
      </c>
      <c r="I4903" t="n">
        <v>14.8</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38684-2026</t>
        </is>
      </c>
      <c r="B4904" t="inlineStr">
        <is>
          <t>avverkningsanmälan</t>
        </is>
      </c>
      <c r="C4904" t="inlineStr">
        <is>
          <t>Föryngringsavverkning</t>
        </is>
      </c>
      <c r="D4904" s="1" t="n">
        <v>46283</v>
      </c>
      <c r="E4904" s="1" t="n">
        <v>46319</v>
      </c>
      <c r="F4904" t="inlineStr">
        <is>
          <t>DALARNAS LÄN</t>
        </is>
      </c>
      <c r="G4904" t="inlineStr">
        <is>
          <t>SÄTER</t>
        </is>
      </c>
      <c r="H4904" t="inlineStr">
        <is>
          <t>Bergvik skog väst AB</t>
        </is>
      </c>
      <c r="I4904" t="n">
        <v>0.6</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1446-2026</t>
        </is>
      </c>
      <c r="B4905" t="inlineStr">
        <is>
          <t>avverkningsanmälan</t>
        </is>
      </c>
      <c r="C4905" t="inlineStr">
        <is>
          <t>Föryngringsavverkning</t>
        </is>
      </c>
      <c r="D4905" s="1" t="n">
        <v>46032</v>
      </c>
      <c r="E4905" s="1" t="n">
        <v>46319</v>
      </c>
      <c r="F4905" t="inlineStr">
        <is>
          <t>DALARNAS LÄN</t>
        </is>
      </c>
      <c r="G4905" t="inlineStr">
        <is>
          <t>FALUN</t>
        </is>
      </c>
      <c r="I4905" t="n">
        <v>3</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54192-2023</t>
        </is>
      </c>
      <c r="B4906" t="inlineStr">
        <is>
          <t>avverkningsanmälan</t>
        </is>
      </c>
      <c r="C4906" t="inlineStr">
        <is>
          <t>Föryngringsavverkning</t>
        </is>
      </c>
      <c r="D4906" s="1" t="n">
        <v>45232</v>
      </c>
      <c r="E4906" s="1" t="n">
        <v>46319</v>
      </c>
      <c r="F4906" t="inlineStr">
        <is>
          <t>DALARNAS LÄN</t>
        </is>
      </c>
      <c r="G4906" t="inlineStr">
        <is>
          <t>MORA</t>
        </is>
      </c>
      <c r="I4906" t="n">
        <v>3.4</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38529-2026</t>
        </is>
      </c>
      <c r="B4907" t="inlineStr">
        <is>
          <t>avverkningsanmälan</t>
        </is>
      </c>
      <c r="C4907" t="inlineStr">
        <is>
          <t>Föryngringsavverkning</t>
        </is>
      </c>
      <c r="D4907" s="1" t="n">
        <v>46283</v>
      </c>
      <c r="E4907" s="1" t="n">
        <v>46319</v>
      </c>
      <c r="F4907" t="inlineStr">
        <is>
          <t>DALARNAS LÄN</t>
        </is>
      </c>
      <c r="G4907" t="inlineStr">
        <is>
          <t>RÄTTVIK</t>
        </is>
      </c>
      <c r="I4907" t="n">
        <v>0.8</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1646-2026</t>
        </is>
      </c>
      <c r="B4908" t="inlineStr">
        <is>
          <t>avverkningsanmälan</t>
        </is>
      </c>
      <c r="C4908" t="inlineStr">
        <is>
          <t>Föryngringsavverkning</t>
        </is>
      </c>
      <c r="D4908" s="1" t="n">
        <v>46034</v>
      </c>
      <c r="E4908" s="1" t="n">
        <v>46319</v>
      </c>
      <c r="F4908" t="inlineStr">
        <is>
          <t>DALARNAS LÄN</t>
        </is>
      </c>
      <c r="G4908" t="inlineStr">
        <is>
          <t>RÄTTVIK</t>
        </is>
      </c>
      <c r="I4908" t="n">
        <v>2.9</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1609-2026</t>
        </is>
      </c>
      <c r="B4909" t="inlineStr">
        <is>
          <t>avverkningsanmälan</t>
        </is>
      </c>
      <c r="C4909" t="inlineStr">
        <is>
          <t>Föryngringsavverkning</t>
        </is>
      </c>
      <c r="D4909" s="1" t="n">
        <v>46031</v>
      </c>
      <c r="E4909" s="1" t="n">
        <v>46319</v>
      </c>
      <c r="F4909" t="inlineStr">
        <is>
          <t>DALARNAS LÄN</t>
        </is>
      </c>
      <c r="G4909" t="inlineStr">
        <is>
          <t>FALUN</t>
        </is>
      </c>
      <c r="I4909" t="n">
        <v>2.6</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1702-2026</t>
        </is>
      </c>
      <c r="B4910" t="inlineStr">
        <is>
          <t>avverkningsanmälan</t>
        </is>
      </c>
      <c r="C4910" t="inlineStr">
        <is>
          <t>Föryngringsavverkning</t>
        </is>
      </c>
      <c r="D4910" s="1" t="n">
        <v>46034</v>
      </c>
      <c r="E4910" s="1" t="n">
        <v>46319</v>
      </c>
      <c r="F4910" t="inlineStr">
        <is>
          <t>DALARNAS LÄN</t>
        </is>
      </c>
      <c r="G4910" t="inlineStr">
        <is>
          <t>FALUN</t>
        </is>
      </c>
      <c r="I4910" t="n">
        <v>1.9</v>
      </c>
      <c r="J4910" t="n">
        <v>0</v>
      </c>
      <c r="K4910" t="n">
        <v>0</v>
      </c>
      <c r="L4910" t="n">
        <v>0</v>
      </c>
      <c r="M4910" t="n">
        <v>0</v>
      </c>
      <c r="N4910" t="n">
        <v>0</v>
      </c>
      <c r="O4910" t="n">
        <v>0</v>
      </c>
      <c r="P4910" t="n">
        <v>0</v>
      </c>
      <c r="Q4910" t="n">
        <v>0</v>
      </c>
      <c r="R4910" t="n">
        <v>0</v>
      </c>
      <c r="S4910" t="n">
        <v>0</v>
      </c>
      <c r="T4910" t="n">
        <v>0</v>
      </c>
      <c r="U4910" t="n">
        <v>0</v>
      </c>
      <c r="V4910" s="2" t="inlineStr"/>
      <c r="Z4910">
        <f>HYPERLINK("https://klasma.github.io/Logging_2080/knärot/A 1702-2026 karta knärot.png", "A 1702-2026")</f>
        <v/>
      </c>
      <c r="AA4910">
        <f>HYPERLINK("https://klasma.github.io/Logging_2080/klagomål/A 1702-2026 FSC-klagomål.docx", "A 1702-2026")</f>
        <v/>
      </c>
      <c r="AB4910">
        <f>HYPERLINK("https://klasma.github.io/Logging_2080/klagomålsmail/A 1702-2026 FSC-klagomål mail.docx", "A 1702-2026")</f>
        <v/>
      </c>
      <c r="AC4910">
        <f>HYPERLINK("https://klasma.github.io/Logging_2080/tillsyn/A 1702-2026 tillsynsbegäran.docx", "A 1702-2026")</f>
        <v/>
      </c>
      <c r="AD4910">
        <f>HYPERLINK("https://klasma.github.io/Logging_2080/tillsynsmail/A 1702-2026 tillsynsbegäran mail.docx", "A 1702-2026")</f>
        <v/>
      </c>
    </row>
    <row r="4911" ht="15" customHeight="1">
      <c r="A4911" t="inlineStr">
        <is>
          <t>A 1362-2026</t>
        </is>
      </c>
      <c r="B4911" t="inlineStr">
        <is>
          <t>avverkningsanmälan</t>
        </is>
      </c>
      <c r="C4911" t="inlineStr">
        <is>
          <t>Föryngringsavverkning</t>
        </is>
      </c>
      <c r="D4911" s="1" t="n">
        <v>46031</v>
      </c>
      <c r="E4911" s="1" t="n">
        <v>46319</v>
      </c>
      <c r="F4911" t="inlineStr">
        <is>
          <t>DALARNAS LÄN</t>
        </is>
      </c>
      <c r="G4911" t="inlineStr">
        <is>
          <t>FALUN</t>
        </is>
      </c>
      <c r="I4911" t="n">
        <v>2</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1363-2026</t>
        </is>
      </c>
      <c r="B4912" t="inlineStr">
        <is>
          <t>avverkningsanmälan</t>
        </is>
      </c>
      <c r="C4912" t="inlineStr">
        <is>
          <t>Föryngringsavverkning</t>
        </is>
      </c>
      <c r="D4912" s="1" t="n">
        <v>46031</v>
      </c>
      <c r="E4912" s="1" t="n">
        <v>46319</v>
      </c>
      <c r="F4912" t="inlineStr">
        <is>
          <t>DALARNAS LÄN</t>
        </is>
      </c>
      <c r="G4912" t="inlineStr">
        <is>
          <t>FALUN</t>
        </is>
      </c>
      <c r="I4912" t="n">
        <v>0.7</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45893-2023</t>
        </is>
      </c>
      <c r="B4913" t="inlineStr">
        <is>
          <t>avverkningsanmälan</t>
        </is>
      </c>
      <c r="C4913" t="inlineStr">
        <is>
          <t>Föryngringsavverkning</t>
        </is>
      </c>
      <c r="D4913" s="1" t="n">
        <v>45195</v>
      </c>
      <c r="E4913" s="1" t="n">
        <v>46319</v>
      </c>
      <c r="F4913" t="inlineStr">
        <is>
          <t>DALARNAS LÄN</t>
        </is>
      </c>
      <c r="G4913" t="inlineStr">
        <is>
          <t>MALUNG-SÄLEN</t>
        </is>
      </c>
      <c r="I4913" t="n">
        <v>15.6</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1426-2026</t>
        </is>
      </c>
      <c r="B4914" t="inlineStr">
        <is>
          <t>avverkningsanmälan</t>
        </is>
      </c>
      <c r="C4914" t="inlineStr">
        <is>
          <t>Föryngringsavverkning</t>
        </is>
      </c>
      <c r="D4914" s="1" t="n">
        <v>46031</v>
      </c>
      <c r="E4914" s="1" t="n">
        <v>46319</v>
      </c>
      <c r="F4914" t="inlineStr">
        <is>
          <t>DALARNAS LÄN</t>
        </is>
      </c>
      <c r="G4914" t="inlineStr">
        <is>
          <t>FALUN</t>
        </is>
      </c>
      <c r="I4914" t="n">
        <v>2.2</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59404-2024</t>
        </is>
      </c>
      <c r="B4915" t="inlineStr">
        <is>
          <t>avverkningsanmälan</t>
        </is>
      </c>
      <c r="C4915" t="inlineStr">
        <is>
          <t>Föryngringsavverkning</t>
        </is>
      </c>
      <c r="D4915" s="1" t="n">
        <v>45638</v>
      </c>
      <c r="E4915" s="1" t="n">
        <v>46319</v>
      </c>
      <c r="F4915" t="inlineStr">
        <is>
          <t>DALARNAS LÄN</t>
        </is>
      </c>
      <c r="G4915" t="inlineStr">
        <is>
          <t>MORA</t>
        </is>
      </c>
      <c r="I4915" t="n">
        <v>2.6</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1573-2026</t>
        </is>
      </c>
      <c r="B4916" t="inlineStr">
        <is>
          <t>avverkningsanmälan</t>
        </is>
      </c>
      <c r="C4916" t="inlineStr">
        <is>
          <t>Föryngringsavverkning</t>
        </is>
      </c>
      <c r="D4916" s="1" t="n">
        <v>46034</v>
      </c>
      <c r="E4916" s="1" t="n">
        <v>46319</v>
      </c>
      <c r="F4916" t="inlineStr">
        <is>
          <t>DALARNAS LÄN</t>
        </is>
      </c>
      <c r="G4916" t="inlineStr">
        <is>
          <t>HEDEMORA</t>
        </is>
      </c>
      <c r="I4916" t="n">
        <v>0.7</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1315-2026</t>
        </is>
      </c>
      <c r="B4917" t="inlineStr">
        <is>
          <t>avverkningsanmälan</t>
        </is>
      </c>
      <c r="C4917" t="inlineStr">
        <is>
          <t>Föryngringsavverkning</t>
        </is>
      </c>
      <c r="D4917" s="1" t="n">
        <v>46031</v>
      </c>
      <c r="E4917" s="1" t="n">
        <v>46319</v>
      </c>
      <c r="F4917" t="inlineStr">
        <is>
          <t>DALARNAS LÄN</t>
        </is>
      </c>
      <c r="G4917" t="inlineStr">
        <is>
          <t>FALUN</t>
        </is>
      </c>
      <c r="I4917" t="n">
        <v>0.8</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32624-2026</t>
        </is>
      </c>
      <c r="B4918" t="inlineStr">
        <is>
          <t>avverkningsanmälan</t>
        </is>
      </c>
      <c r="C4918" t="inlineStr">
        <is>
          <t>Föryngringsavverkning</t>
        </is>
      </c>
      <c r="D4918" s="1" t="n">
        <v>46240</v>
      </c>
      <c r="E4918" s="1" t="n">
        <v>46319</v>
      </c>
      <c r="F4918" t="inlineStr">
        <is>
          <t>DALARNAS LÄN</t>
        </is>
      </c>
      <c r="G4918" t="inlineStr">
        <is>
          <t>HEDEMORA</t>
        </is>
      </c>
      <c r="I4918" t="n">
        <v>1.7</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22185-2025</t>
        </is>
      </c>
      <c r="B4919" t="inlineStr">
        <is>
          <t>avverkningsanmälan</t>
        </is>
      </c>
      <c r="C4919" t="inlineStr">
        <is>
          <t>Föryngringsavverkning</t>
        </is>
      </c>
      <c r="D4919" s="1" t="n">
        <v>45785</v>
      </c>
      <c r="E4919" s="1" t="n">
        <v>46319</v>
      </c>
      <c r="F4919" t="inlineStr">
        <is>
          <t>DALARNAS LÄN</t>
        </is>
      </c>
      <c r="G4919" t="inlineStr">
        <is>
          <t>MORA</t>
        </is>
      </c>
      <c r="I4919" t="n">
        <v>2.4</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36397-2024</t>
        </is>
      </c>
      <c r="B4920" t="inlineStr">
        <is>
          <t>avverkningsanmälan</t>
        </is>
      </c>
      <c r="C4920" t="inlineStr">
        <is>
          <t>Föryngringsavverkning</t>
        </is>
      </c>
      <c r="D4920" s="1" t="n">
        <v>45535</v>
      </c>
      <c r="E4920" s="1" t="n">
        <v>46319</v>
      </c>
      <c r="F4920" t="inlineStr">
        <is>
          <t>DALARNAS LÄN</t>
        </is>
      </c>
      <c r="G4920" t="inlineStr">
        <is>
          <t>FALUN</t>
        </is>
      </c>
      <c r="I4920" t="n">
        <v>1.5</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1767-2026</t>
        </is>
      </c>
      <c r="B4921" t="inlineStr">
        <is>
          <t>avverkningsanmälan</t>
        </is>
      </c>
      <c r="C4921" t="inlineStr">
        <is>
          <t>Föryngringsavverkning</t>
        </is>
      </c>
      <c r="D4921" s="1" t="n">
        <v>46034</v>
      </c>
      <c r="E4921" s="1" t="n">
        <v>46319</v>
      </c>
      <c r="F4921" t="inlineStr">
        <is>
          <t>DALARNAS LÄN</t>
        </is>
      </c>
      <c r="G4921" t="inlineStr">
        <is>
          <t>FALUN</t>
        </is>
      </c>
      <c r="I4921" t="n">
        <v>3</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6640-2025</t>
        </is>
      </c>
      <c r="B4922" t="inlineStr">
        <is>
          <t>avverkningsanmälan</t>
        </is>
      </c>
      <c r="C4922" t="inlineStr">
        <is>
          <t>Föryngringsavverkning</t>
        </is>
      </c>
      <c r="D4922" s="1" t="n">
        <v>45700</v>
      </c>
      <c r="E4922" s="1" t="n">
        <v>46319</v>
      </c>
      <c r="F4922" t="inlineStr">
        <is>
          <t>DALARNAS LÄN</t>
        </is>
      </c>
      <c r="G4922" t="inlineStr">
        <is>
          <t>SÄTER</t>
        </is>
      </c>
      <c r="I4922" t="n">
        <v>1.6</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44822-2024</t>
        </is>
      </c>
      <c r="B4923" t="inlineStr">
        <is>
          <t>avverkningsanmälan</t>
        </is>
      </c>
      <c r="C4923" t="inlineStr">
        <is>
          <t>Föryngringsavverkning</t>
        </is>
      </c>
      <c r="D4923" s="1" t="n">
        <v>45574</v>
      </c>
      <c r="E4923" s="1" t="n">
        <v>46319</v>
      </c>
      <c r="F4923" t="inlineStr">
        <is>
          <t>DALARNAS LÄN</t>
        </is>
      </c>
      <c r="G4923" t="inlineStr">
        <is>
          <t>LEKSAND</t>
        </is>
      </c>
      <c r="I4923" t="n">
        <v>1</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1584-2026</t>
        </is>
      </c>
      <c r="B4924" t="inlineStr">
        <is>
          <t>avverkningsanmälan</t>
        </is>
      </c>
      <c r="C4924" t="inlineStr">
        <is>
          <t>Föryngringsavverkning</t>
        </is>
      </c>
      <c r="D4924" s="1" t="n">
        <v>46034</v>
      </c>
      <c r="E4924" s="1" t="n">
        <v>46319</v>
      </c>
      <c r="F4924" t="inlineStr">
        <is>
          <t>DALARNAS LÄN</t>
        </is>
      </c>
      <c r="G4924" t="inlineStr">
        <is>
          <t>GAGNEF</t>
        </is>
      </c>
      <c r="I4924" t="n">
        <v>2.9</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2121-2026</t>
        </is>
      </c>
      <c r="B4925" t="inlineStr">
        <is>
          <t>avverkningsanmälan</t>
        </is>
      </c>
      <c r="C4925" t="inlineStr">
        <is>
          <t>Föryngringsavverkning</t>
        </is>
      </c>
      <c r="D4925" s="1" t="n">
        <v>46036</v>
      </c>
      <c r="E4925" s="1" t="n">
        <v>46319</v>
      </c>
      <c r="F4925" t="inlineStr">
        <is>
          <t>DALARNAS LÄN</t>
        </is>
      </c>
      <c r="G4925" t="inlineStr">
        <is>
          <t>RÄTTVIK</t>
        </is>
      </c>
      <c r="I4925" t="n">
        <v>1.4</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1791-2026</t>
        </is>
      </c>
      <c r="B4926" t="inlineStr">
        <is>
          <t>avverkningsanmälan</t>
        </is>
      </c>
      <c r="C4926" t="inlineStr">
        <is>
          <t>Föryngringsavverkning</t>
        </is>
      </c>
      <c r="D4926" s="1" t="n">
        <v>46034</v>
      </c>
      <c r="E4926" s="1" t="n">
        <v>46319</v>
      </c>
      <c r="F4926" t="inlineStr">
        <is>
          <t>DALARNAS LÄN</t>
        </is>
      </c>
      <c r="G4926" t="inlineStr">
        <is>
          <t>FALUN</t>
        </is>
      </c>
      <c r="I4926" t="n">
        <v>2.1</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38791-2026</t>
        </is>
      </c>
      <c r="B4927" t="inlineStr">
        <is>
          <t>avverkningsanmälan</t>
        </is>
      </c>
      <c r="C4927" t="inlineStr">
        <is>
          <t>Föryngringsavverkning</t>
        </is>
      </c>
      <c r="D4927" s="1" t="n">
        <v>46286</v>
      </c>
      <c r="E4927" s="1" t="n">
        <v>46319</v>
      </c>
      <c r="F4927" t="inlineStr">
        <is>
          <t>DALARNAS LÄN</t>
        </is>
      </c>
      <c r="G4927" t="inlineStr">
        <is>
          <t>SMEDJEBACKEN</t>
        </is>
      </c>
      <c r="H4927" t="inlineStr">
        <is>
          <t>Sveaskog</t>
        </is>
      </c>
      <c r="I4927" t="n">
        <v>3.7</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38793-2026</t>
        </is>
      </c>
      <c r="B4928" t="inlineStr">
        <is>
          <t>avverkningsanmälan</t>
        </is>
      </c>
      <c r="C4928" t="inlineStr">
        <is>
          <t>Föryngringsavverkning</t>
        </is>
      </c>
      <c r="D4928" s="1" t="n">
        <v>46286</v>
      </c>
      <c r="E4928" s="1" t="n">
        <v>46319</v>
      </c>
      <c r="F4928" t="inlineStr">
        <is>
          <t>DALARNAS LÄN</t>
        </is>
      </c>
      <c r="G4928" t="inlineStr">
        <is>
          <t>SMEDJEBACKEN</t>
        </is>
      </c>
      <c r="H4928" t="inlineStr">
        <is>
          <t>Sveaskog</t>
        </is>
      </c>
      <c r="I4928" t="n">
        <v>1.4</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1851-2026</t>
        </is>
      </c>
      <c r="B4929" t="inlineStr">
        <is>
          <t>avverkningsanmälan</t>
        </is>
      </c>
      <c r="C4929" t="inlineStr">
        <is>
          <t>Föryngringsavverkning</t>
        </is>
      </c>
      <c r="D4929" s="1" t="n">
        <v>46035</v>
      </c>
      <c r="E4929" s="1" t="n">
        <v>46319</v>
      </c>
      <c r="F4929" t="inlineStr">
        <is>
          <t>DALARNAS LÄN</t>
        </is>
      </c>
      <c r="G4929" t="inlineStr">
        <is>
          <t>FALUN</t>
        </is>
      </c>
      <c r="I4929" t="n">
        <v>0.7</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1885-2026</t>
        </is>
      </c>
      <c r="B4930" t="inlineStr">
        <is>
          <t>avverkningsanmälan</t>
        </is>
      </c>
      <c r="C4930" t="inlineStr">
        <is>
          <t>Föryngringsavverkning</t>
        </is>
      </c>
      <c r="D4930" s="1" t="n">
        <v>46035</v>
      </c>
      <c r="E4930" s="1" t="n">
        <v>46319</v>
      </c>
      <c r="F4930" t="inlineStr">
        <is>
          <t>DALARNAS LÄN</t>
        </is>
      </c>
      <c r="G4930" t="inlineStr">
        <is>
          <t>HEDEMORA</t>
        </is>
      </c>
      <c r="I4930" t="n">
        <v>2.5</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1907-2026</t>
        </is>
      </c>
      <c r="B4931" t="inlineStr">
        <is>
          <t>avverkningsanmälan</t>
        </is>
      </c>
      <c r="C4931" t="inlineStr">
        <is>
          <t>Föryngringsavverkning</t>
        </is>
      </c>
      <c r="D4931" s="1" t="n">
        <v>46035</v>
      </c>
      <c r="E4931" s="1" t="n">
        <v>46319</v>
      </c>
      <c r="F4931" t="inlineStr">
        <is>
          <t>DALARNAS LÄN</t>
        </is>
      </c>
      <c r="G4931" t="inlineStr">
        <is>
          <t>MALUNG-SÄLEN</t>
        </is>
      </c>
      <c r="H4931" t="inlineStr">
        <is>
          <t>Bergvik skog väst AB</t>
        </is>
      </c>
      <c r="I4931" t="n">
        <v>3.6</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2017-2026</t>
        </is>
      </c>
      <c r="B4932" t="inlineStr">
        <is>
          <t>avverkningsanmälan</t>
        </is>
      </c>
      <c r="C4932" t="inlineStr">
        <is>
          <t>Föryngringsavverkning</t>
        </is>
      </c>
      <c r="D4932" s="1" t="n">
        <v>46035</v>
      </c>
      <c r="E4932" s="1" t="n">
        <v>46319</v>
      </c>
      <c r="F4932" t="inlineStr">
        <is>
          <t>DALARNAS LÄN</t>
        </is>
      </c>
      <c r="G4932" t="inlineStr">
        <is>
          <t>FALUN</t>
        </is>
      </c>
      <c r="I4932" t="n">
        <v>1.8</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2029-2026</t>
        </is>
      </c>
      <c r="B4933" t="inlineStr">
        <is>
          <t>avverkningsanmälan</t>
        </is>
      </c>
      <c r="C4933" t="inlineStr">
        <is>
          <t>Föryngringsavverkning</t>
        </is>
      </c>
      <c r="D4933" s="1" t="n">
        <v>46035</v>
      </c>
      <c r="E4933" s="1" t="n">
        <v>46319</v>
      </c>
      <c r="F4933" t="inlineStr">
        <is>
          <t>DALARNAS LÄN</t>
        </is>
      </c>
      <c r="G4933" t="inlineStr">
        <is>
          <t>FALUN</t>
        </is>
      </c>
      <c r="I4933" t="n">
        <v>2.4</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2649-2026</t>
        </is>
      </c>
      <c r="B4934" t="inlineStr">
        <is>
          <t>avverkningsanmälan</t>
        </is>
      </c>
      <c r="C4934" t="inlineStr">
        <is>
          <t>Föryngringsavverkning</t>
        </is>
      </c>
      <c r="D4934" s="1" t="n">
        <v>46035</v>
      </c>
      <c r="E4934" s="1" t="n">
        <v>46319</v>
      </c>
      <c r="F4934" t="inlineStr">
        <is>
          <t>DALARNAS LÄN</t>
        </is>
      </c>
      <c r="G4934" t="inlineStr">
        <is>
          <t>FALUN</t>
        </is>
      </c>
      <c r="I4934" t="n">
        <v>2.8</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2090-2026</t>
        </is>
      </c>
      <c r="B4935" t="inlineStr">
        <is>
          <t>avverkningsanmälan</t>
        </is>
      </c>
      <c r="C4935" t="inlineStr">
        <is>
          <t>Föryngringsavverkning</t>
        </is>
      </c>
      <c r="D4935" s="1" t="n">
        <v>46036</v>
      </c>
      <c r="E4935" s="1" t="n">
        <v>46319</v>
      </c>
      <c r="F4935" t="inlineStr">
        <is>
          <t>DALARNAS LÄN</t>
        </is>
      </c>
      <c r="G4935" t="inlineStr">
        <is>
          <t>ORSA</t>
        </is>
      </c>
      <c r="I4935" t="n">
        <v>5.7</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2305-2026</t>
        </is>
      </c>
      <c r="B4936" t="inlineStr">
        <is>
          <t>avverkningsanmälan</t>
        </is>
      </c>
      <c r="C4936" t="inlineStr">
        <is>
          <t>Föryngringsavverkning</t>
        </is>
      </c>
      <c r="D4936" s="1" t="n">
        <v>46036</v>
      </c>
      <c r="E4936" s="1" t="n">
        <v>46319</v>
      </c>
      <c r="F4936" t="inlineStr">
        <is>
          <t>DALARNAS LÄN</t>
        </is>
      </c>
      <c r="G4936" t="inlineStr">
        <is>
          <t>MALUNG-SÄLEN</t>
        </is>
      </c>
      <c r="I4936" t="n">
        <v>1.2</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32816-2026</t>
        </is>
      </c>
      <c r="B4937" t="inlineStr">
        <is>
          <t>avverkningsanmälan</t>
        </is>
      </c>
      <c r="C4937" t="inlineStr">
        <is>
          <t>Föryngringsavverkning</t>
        </is>
      </c>
      <c r="D4937" s="1" t="n">
        <v>46241</v>
      </c>
      <c r="E4937" s="1" t="n">
        <v>46319</v>
      </c>
      <c r="F4937" t="inlineStr">
        <is>
          <t>DALARNAS LÄN</t>
        </is>
      </c>
      <c r="G4937" t="inlineStr">
        <is>
          <t>LEKSAND</t>
        </is>
      </c>
      <c r="H4937" t="inlineStr">
        <is>
          <t>Bergvik skog väst AB</t>
        </is>
      </c>
      <c r="I4937" t="n">
        <v>1.8</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32687-2026</t>
        </is>
      </c>
      <c r="B4938" t="inlineStr">
        <is>
          <t>avverkningsanmälan</t>
        </is>
      </c>
      <c r="C4938" t="inlineStr">
        <is>
          <t>Föryngringsavverkning</t>
        </is>
      </c>
      <c r="D4938" s="1" t="n">
        <v>46240</v>
      </c>
      <c r="E4938" s="1" t="n">
        <v>46319</v>
      </c>
      <c r="F4938" t="inlineStr">
        <is>
          <t>DALARNAS LÄN</t>
        </is>
      </c>
      <c r="G4938" t="inlineStr">
        <is>
          <t>HEDEMORA</t>
        </is>
      </c>
      <c r="I4938" t="n">
        <v>4.3</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2399-2026</t>
        </is>
      </c>
      <c r="B4939" t="inlineStr">
        <is>
          <t>avverkningsanmälan</t>
        </is>
      </c>
      <c r="C4939" t="inlineStr">
        <is>
          <t>Föryngringsavverkning</t>
        </is>
      </c>
      <c r="D4939" s="1" t="n">
        <v>46036</v>
      </c>
      <c r="E4939" s="1" t="n">
        <v>46319</v>
      </c>
      <c r="F4939" t="inlineStr">
        <is>
          <t>DALARNAS LÄN</t>
        </is>
      </c>
      <c r="G4939" t="inlineStr">
        <is>
          <t>BORLÄNGE</t>
        </is>
      </c>
      <c r="I4939" t="n">
        <v>5</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32757-2026</t>
        </is>
      </c>
      <c r="B4940" t="inlineStr">
        <is>
          <t>avverkningsanmälan</t>
        </is>
      </c>
      <c r="C4940" t="inlineStr">
        <is>
          <t>Föryngringsavverkning</t>
        </is>
      </c>
      <c r="D4940" s="1" t="n">
        <v>46241</v>
      </c>
      <c r="E4940" s="1" t="n">
        <v>46319</v>
      </c>
      <c r="F4940" t="inlineStr">
        <is>
          <t>DALARNAS LÄN</t>
        </is>
      </c>
      <c r="G4940" t="inlineStr">
        <is>
          <t>LUDVIKA</t>
        </is>
      </c>
      <c r="H4940" t="inlineStr">
        <is>
          <t>Bergvik skog väst AB</t>
        </is>
      </c>
      <c r="I4940" t="n">
        <v>2.9</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55338-2022</t>
        </is>
      </c>
      <c r="B4941" t="inlineStr">
        <is>
          <t>avverkningsanmälan</t>
        </is>
      </c>
      <c r="C4941" t="inlineStr">
        <is>
          <t>Föryngringsavverkning</t>
        </is>
      </c>
      <c r="D4941" s="1" t="n">
        <v>44887</v>
      </c>
      <c r="E4941" s="1" t="n">
        <v>46319</v>
      </c>
      <c r="F4941" t="inlineStr">
        <is>
          <t>DALARNAS LÄN</t>
        </is>
      </c>
      <c r="G4941" t="inlineStr">
        <is>
          <t>ORSA</t>
        </is>
      </c>
      <c r="I4941" t="n">
        <v>2</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2241-2026</t>
        </is>
      </c>
      <c r="B4942" t="inlineStr">
        <is>
          <t>avverkningsanmälan</t>
        </is>
      </c>
      <c r="C4942" t="inlineStr">
        <is>
          <t>Föryngringsavverkning</t>
        </is>
      </c>
      <c r="D4942" s="1" t="n">
        <v>46036</v>
      </c>
      <c r="E4942" s="1" t="n">
        <v>46319</v>
      </c>
      <c r="F4942" t="inlineStr">
        <is>
          <t>DALARNAS LÄN</t>
        </is>
      </c>
      <c r="G4942" t="inlineStr">
        <is>
          <t>FALUN</t>
        </is>
      </c>
      <c r="I4942" t="n">
        <v>11.5</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2244-2026</t>
        </is>
      </c>
      <c r="B4943" t="inlineStr">
        <is>
          <t>avverkningsanmälan</t>
        </is>
      </c>
      <c r="C4943" t="inlineStr">
        <is>
          <t>Föryngringsavverkning</t>
        </is>
      </c>
      <c r="D4943" s="1" t="n">
        <v>46036</v>
      </c>
      <c r="E4943" s="1" t="n">
        <v>46319</v>
      </c>
      <c r="F4943" t="inlineStr">
        <is>
          <t>DALARNAS LÄN</t>
        </is>
      </c>
      <c r="G4943" t="inlineStr">
        <is>
          <t>BORLÄNGE</t>
        </is>
      </c>
      <c r="I4943" t="n">
        <v>1.2</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15360-2023</t>
        </is>
      </c>
      <c r="B4944" t="inlineStr">
        <is>
          <t>avverkningsanmälan</t>
        </is>
      </c>
      <c r="C4944" t="inlineStr">
        <is>
          <t>Föryngringsavverkning</t>
        </is>
      </c>
      <c r="D4944" s="1" t="n">
        <v>45019</v>
      </c>
      <c r="E4944" s="1" t="n">
        <v>46319</v>
      </c>
      <c r="F4944" t="inlineStr">
        <is>
          <t>DALARNAS LÄN</t>
        </is>
      </c>
      <c r="G4944" t="inlineStr">
        <is>
          <t>SMEDJEBACKEN</t>
        </is>
      </c>
      <c r="I4944" t="n">
        <v>1.3</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15361-2023</t>
        </is>
      </c>
      <c r="B4945" t="inlineStr">
        <is>
          <t>avverkningsanmälan</t>
        </is>
      </c>
      <c r="C4945" t="inlineStr">
        <is>
          <t>Föryngringsavverkning</t>
        </is>
      </c>
      <c r="D4945" s="1" t="n">
        <v>45019</v>
      </c>
      <c r="E4945" s="1" t="n">
        <v>46319</v>
      </c>
      <c r="F4945" t="inlineStr">
        <is>
          <t>DALARNAS LÄN</t>
        </is>
      </c>
      <c r="G4945" t="inlineStr">
        <is>
          <t>AVESTA</t>
        </is>
      </c>
      <c r="I4945" t="n">
        <v>0.4</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2165-2026</t>
        </is>
      </c>
      <c r="B4946" t="inlineStr">
        <is>
          <t>avverkningsanmälan</t>
        </is>
      </c>
      <c r="C4946" t="inlineStr">
        <is>
          <t>Föryngringsavverkning</t>
        </is>
      </c>
      <c r="D4946" s="1" t="n">
        <v>46036</v>
      </c>
      <c r="E4946" s="1" t="n">
        <v>46319</v>
      </c>
      <c r="F4946" t="inlineStr">
        <is>
          <t>DALARNAS LÄN</t>
        </is>
      </c>
      <c r="G4946" t="inlineStr">
        <is>
          <t>FALUN</t>
        </is>
      </c>
      <c r="I4946" t="n">
        <v>1.3</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2267-2026</t>
        </is>
      </c>
      <c r="B4947" t="inlineStr">
        <is>
          <t>avverkningsanmälan</t>
        </is>
      </c>
      <c r="C4947" t="inlineStr">
        <is>
          <t>Föryngringsavverkning</t>
        </is>
      </c>
      <c r="D4947" s="1" t="n">
        <v>46036</v>
      </c>
      <c r="E4947" s="1" t="n">
        <v>46319</v>
      </c>
      <c r="F4947" t="inlineStr">
        <is>
          <t>DALARNAS LÄN</t>
        </is>
      </c>
      <c r="G4947" t="inlineStr">
        <is>
          <t>MALUNG-SÄLEN</t>
        </is>
      </c>
      <c r="I4947" t="n">
        <v>1.3</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49499-2024</t>
        </is>
      </c>
      <c r="B4948" t="inlineStr">
        <is>
          <t>avverkningsanmälan</t>
        </is>
      </c>
      <c r="C4948" t="inlineStr">
        <is>
          <t>Föryngringsavverkning</t>
        </is>
      </c>
      <c r="D4948" s="1" t="n">
        <v>45596</v>
      </c>
      <c r="E4948" s="1" t="n">
        <v>46319</v>
      </c>
      <c r="F4948" t="inlineStr">
        <is>
          <t>DALARNAS LÄN</t>
        </is>
      </c>
      <c r="G4948" t="inlineStr">
        <is>
          <t>LEKSAND</t>
        </is>
      </c>
      <c r="I4948" t="n">
        <v>1</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43497-2024</t>
        </is>
      </c>
      <c r="B4949" t="inlineStr">
        <is>
          <t>avverkningsanmälan</t>
        </is>
      </c>
      <c r="C4949" t="inlineStr">
        <is>
          <t>Avverkning för annat ändamål</t>
        </is>
      </c>
      <c r="D4949" s="1" t="n">
        <v>45568</v>
      </c>
      <c r="E4949" s="1" t="n">
        <v>46319</v>
      </c>
      <c r="F4949" t="inlineStr">
        <is>
          <t>DALARNAS LÄN</t>
        </is>
      </c>
      <c r="G4949" t="inlineStr">
        <is>
          <t>BORLÄNGE</t>
        </is>
      </c>
      <c r="I4949" t="n">
        <v>2.8</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56935-2024</t>
        </is>
      </c>
      <c r="B4950" t="inlineStr">
        <is>
          <t>avverkningsanmälan</t>
        </is>
      </c>
      <c r="C4950" t="inlineStr">
        <is>
          <t>Föryngringsavverkning</t>
        </is>
      </c>
      <c r="D4950" s="1" t="n">
        <v>45625</v>
      </c>
      <c r="E4950" s="1" t="n">
        <v>46319</v>
      </c>
      <c r="F4950" t="inlineStr">
        <is>
          <t>DALARNAS LÄN</t>
        </is>
      </c>
      <c r="G4950" t="inlineStr">
        <is>
          <t>MORA</t>
        </is>
      </c>
      <c r="I4950" t="n">
        <v>1.1</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58283-2024</t>
        </is>
      </c>
      <c r="B4951" t="inlineStr">
        <is>
          <t>avverkningsanmälan</t>
        </is>
      </c>
      <c r="C4951" t="inlineStr">
        <is>
          <t>Föryngringsavverkning</t>
        </is>
      </c>
      <c r="D4951" s="1" t="n">
        <v>45632</v>
      </c>
      <c r="E4951" s="1" t="n">
        <v>46319</v>
      </c>
      <c r="F4951" t="inlineStr">
        <is>
          <t>DALARNAS LÄN</t>
        </is>
      </c>
      <c r="G4951" t="inlineStr">
        <is>
          <t>BORLÄNGE</t>
        </is>
      </c>
      <c r="I4951" t="n">
        <v>2.1</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38924-2026</t>
        </is>
      </c>
      <c r="B4952" t="inlineStr">
        <is>
          <t>avverkningsanmälan</t>
        </is>
      </c>
      <c r="C4952" t="inlineStr">
        <is>
          <t>Föryngringsavverkning</t>
        </is>
      </c>
      <c r="D4952" s="1" t="n">
        <v>46286</v>
      </c>
      <c r="E4952" s="1" t="n">
        <v>46319</v>
      </c>
      <c r="F4952" t="inlineStr">
        <is>
          <t>DALARNAS LÄN</t>
        </is>
      </c>
      <c r="G4952" t="inlineStr">
        <is>
          <t>MORA</t>
        </is>
      </c>
      <c r="H4952" t="inlineStr">
        <is>
          <t>Bergvik skog väst AB</t>
        </is>
      </c>
      <c r="I4952" t="n">
        <v>2.4</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2011-2026</t>
        </is>
      </c>
      <c r="B4953" t="inlineStr">
        <is>
          <t>avverkningsanmälan</t>
        </is>
      </c>
      <c r="C4953" t="inlineStr">
        <is>
          <t>Föryngringsavverkning</t>
        </is>
      </c>
      <c r="D4953" s="1" t="n">
        <v>46035</v>
      </c>
      <c r="E4953" s="1" t="n">
        <v>46319</v>
      </c>
      <c r="F4953" t="inlineStr">
        <is>
          <t>DALARNAS LÄN</t>
        </is>
      </c>
      <c r="G4953" t="inlineStr">
        <is>
          <t>FALUN</t>
        </is>
      </c>
      <c r="I4953" t="n">
        <v>1.7</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2021-2026</t>
        </is>
      </c>
      <c r="B4954" t="inlineStr">
        <is>
          <t>avverkningsanmälan</t>
        </is>
      </c>
      <c r="C4954" t="inlineStr">
        <is>
          <t>Föryngringsavverkning</t>
        </is>
      </c>
      <c r="D4954" s="1" t="n">
        <v>46035</v>
      </c>
      <c r="E4954" s="1" t="n">
        <v>46319</v>
      </c>
      <c r="F4954" t="inlineStr">
        <is>
          <t>DALARNAS LÄN</t>
        </is>
      </c>
      <c r="G4954" t="inlineStr">
        <is>
          <t>FALUN</t>
        </is>
      </c>
      <c r="I4954" t="n">
        <v>0.7</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50567-2024</t>
        </is>
      </c>
      <c r="B4955" t="inlineStr">
        <is>
          <t>avverkningsanmälan</t>
        </is>
      </c>
      <c r="C4955" t="inlineStr">
        <is>
          <t>Föryngringsavverkning</t>
        </is>
      </c>
      <c r="D4955" s="1" t="n">
        <v>45600</v>
      </c>
      <c r="E4955" s="1" t="n">
        <v>46319</v>
      </c>
      <c r="F4955" t="inlineStr">
        <is>
          <t>DALARNAS LÄN</t>
        </is>
      </c>
      <c r="G4955" t="inlineStr">
        <is>
          <t>SMEDJEBACKEN</t>
        </is>
      </c>
      <c r="I4955" t="n">
        <v>1.2</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2764-2026</t>
        </is>
      </c>
      <c r="B4956" t="inlineStr">
        <is>
          <t>avverkningsanmälan</t>
        </is>
      </c>
      <c r="C4956" t="inlineStr">
        <is>
          <t>Föryngringsavverkning</t>
        </is>
      </c>
      <c r="D4956" s="1" t="n">
        <v>46036</v>
      </c>
      <c r="E4956" s="1" t="n">
        <v>46319</v>
      </c>
      <c r="F4956" t="inlineStr">
        <is>
          <t>DALARNAS LÄN</t>
        </is>
      </c>
      <c r="G4956" t="inlineStr">
        <is>
          <t>FALUN</t>
        </is>
      </c>
      <c r="I4956" t="n">
        <v>4.4</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38966-2026</t>
        </is>
      </c>
      <c r="B4957" t="inlineStr">
        <is>
          <t>avverkningsanmälan</t>
        </is>
      </c>
      <c r="C4957" t="inlineStr">
        <is>
          <t>Föryngringsavverkning</t>
        </is>
      </c>
      <c r="D4957" s="1" t="n">
        <v>46286</v>
      </c>
      <c r="E4957" s="1" t="n">
        <v>46319</v>
      </c>
      <c r="F4957" t="inlineStr">
        <is>
          <t>DALARNAS LÄN</t>
        </is>
      </c>
      <c r="G4957" t="inlineStr">
        <is>
          <t>MORA</t>
        </is>
      </c>
      <c r="H4957" t="inlineStr">
        <is>
          <t>Bergvik skog väst AB</t>
        </is>
      </c>
      <c r="I4957" t="n">
        <v>1.7</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39712-2024</t>
        </is>
      </c>
      <c r="B4958" t="inlineStr">
        <is>
          <t>avverkningsanmälan</t>
        </is>
      </c>
      <c r="C4958" t="inlineStr">
        <is>
          <t>Föryngringsavverkning</t>
        </is>
      </c>
      <c r="D4958" s="1" t="n">
        <v>45552</v>
      </c>
      <c r="E4958" s="1" t="n">
        <v>46319</v>
      </c>
      <c r="F4958" t="inlineStr">
        <is>
          <t>DALARNAS LÄN</t>
        </is>
      </c>
      <c r="G4958" t="inlineStr">
        <is>
          <t>RÄTTVIK</t>
        </is>
      </c>
      <c r="I4958" t="n">
        <v>3.4</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1934-2026</t>
        </is>
      </c>
      <c r="B4959" t="inlineStr">
        <is>
          <t>avverkningsanmälan</t>
        </is>
      </c>
      <c r="C4959" t="inlineStr">
        <is>
          <t>Föryngringsavverkning</t>
        </is>
      </c>
      <c r="D4959" s="1" t="n">
        <v>46035</v>
      </c>
      <c r="E4959" s="1" t="n">
        <v>46319</v>
      </c>
      <c r="F4959" t="inlineStr">
        <is>
          <t>DALARNAS LÄN</t>
        </is>
      </c>
      <c r="G4959" t="inlineStr">
        <is>
          <t>ÄLVDALEN</t>
        </is>
      </c>
      <c r="H4959" t="inlineStr">
        <is>
          <t>Övriga statliga verk och myndigheter</t>
        </is>
      </c>
      <c r="I4959" t="n">
        <v>22.9</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1803-2026</t>
        </is>
      </c>
      <c r="B4960" t="inlineStr">
        <is>
          <t>avverkningsanmälan</t>
        </is>
      </c>
      <c r="C4960" t="inlineStr">
        <is>
          <t>Föryngringsavverkning</t>
        </is>
      </c>
      <c r="D4960" s="1" t="n">
        <v>46035</v>
      </c>
      <c r="E4960" s="1" t="n">
        <v>46319</v>
      </c>
      <c r="F4960" t="inlineStr">
        <is>
          <t>DALARNAS LÄN</t>
        </is>
      </c>
      <c r="G4960" t="inlineStr">
        <is>
          <t>FALUN</t>
        </is>
      </c>
      <c r="I4960" t="n">
        <v>1.6</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32819-2026</t>
        </is>
      </c>
      <c r="B4961" t="inlineStr">
        <is>
          <t>avverkningsanmälan</t>
        </is>
      </c>
      <c r="C4961" t="inlineStr">
        <is>
          <t>Föryngringsavverkning</t>
        </is>
      </c>
      <c r="D4961" s="1" t="n">
        <v>46241</v>
      </c>
      <c r="E4961" s="1" t="n">
        <v>46319</v>
      </c>
      <c r="F4961" t="inlineStr">
        <is>
          <t>DALARNAS LÄN</t>
        </is>
      </c>
      <c r="G4961" t="inlineStr">
        <is>
          <t>LEKSAND</t>
        </is>
      </c>
      <c r="H4961" t="inlineStr">
        <is>
          <t>Bergvik skog väst AB</t>
        </is>
      </c>
      <c r="I4961" t="n">
        <v>4.2</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38788-2026</t>
        </is>
      </c>
      <c r="B4962" t="inlineStr">
        <is>
          <t>avverkningsanmälan</t>
        </is>
      </c>
      <c r="C4962" t="inlineStr">
        <is>
          <t>Föryngringsavverkning</t>
        </is>
      </c>
      <c r="D4962" s="1" t="n">
        <v>46286</v>
      </c>
      <c r="E4962" s="1" t="n">
        <v>46319</v>
      </c>
      <c r="F4962" t="inlineStr">
        <is>
          <t>DALARNAS LÄN</t>
        </is>
      </c>
      <c r="G4962" t="inlineStr">
        <is>
          <t>SMEDJEBACKEN</t>
        </is>
      </c>
      <c r="H4962" t="inlineStr">
        <is>
          <t>Sveaskog</t>
        </is>
      </c>
      <c r="I4962" t="n">
        <v>6.9</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2148-2026</t>
        </is>
      </c>
      <c r="B4963" t="inlineStr">
        <is>
          <t>avverkningsanmälan</t>
        </is>
      </c>
      <c r="C4963" t="inlineStr">
        <is>
          <t>Föryngringsavverkning</t>
        </is>
      </c>
      <c r="D4963" s="1" t="n">
        <v>46036</v>
      </c>
      <c r="E4963" s="1" t="n">
        <v>46319</v>
      </c>
      <c r="F4963" t="inlineStr">
        <is>
          <t>DALARNAS LÄN</t>
        </is>
      </c>
      <c r="G4963" t="inlineStr">
        <is>
          <t>MALUNG-SÄLEN</t>
        </is>
      </c>
      <c r="I4963" t="n">
        <v>3.5</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32728-2026</t>
        </is>
      </c>
      <c r="B4964" t="inlineStr">
        <is>
          <t>avverkningsanmälan</t>
        </is>
      </c>
      <c r="C4964" t="inlineStr">
        <is>
          <t>Föryngringsavverkning</t>
        </is>
      </c>
      <c r="D4964" s="1" t="n">
        <v>46241</v>
      </c>
      <c r="E4964" s="1" t="n">
        <v>46319</v>
      </c>
      <c r="F4964" t="inlineStr">
        <is>
          <t>DALARNAS LÄN</t>
        </is>
      </c>
      <c r="G4964" t="inlineStr">
        <is>
          <t>RÄTTVIK</t>
        </is>
      </c>
      <c r="H4964" t="inlineStr">
        <is>
          <t>Bergvik skog väst AB</t>
        </is>
      </c>
      <c r="I4964" t="n">
        <v>2.3</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2297-2026</t>
        </is>
      </c>
      <c r="B4965" t="inlineStr">
        <is>
          <t>avverkningsanmälan</t>
        </is>
      </c>
      <c r="C4965" t="inlineStr">
        <is>
          <t>Föryngringsavverkning</t>
        </is>
      </c>
      <c r="D4965" s="1" t="n">
        <v>46036</v>
      </c>
      <c r="E4965" s="1" t="n">
        <v>46319</v>
      </c>
      <c r="F4965" t="inlineStr">
        <is>
          <t>DALARNAS LÄN</t>
        </is>
      </c>
      <c r="G4965" t="inlineStr">
        <is>
          <t>MALUNG-SÄLEN</t>
        </is>
      </c>
      <c r="I4965" t="n">
        <v>1.7</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1123-2025</t>
        </is>
      </c>
      <c r="B4966" t="inlineStr">
        <is>
          <t>avverkningsanmälan</t>
        </is>
      </c>
      <c r="C4966" t="inlineStr">
        <is>
          <t>Föryngringsavverkning</t>
        </is>
      </c>
      <c r="D4966" s="1" t="n">
        <v>45666</v>
      </c>
      <c r="E4966" s="1" t="n">
        <v>46319</v>
      </c>
      <c r="F4966" t="inlineStr">
        <is>
          <t>DALARNAS LÄN</t>
        </is>
      </c>
      <c r="G4966" t="inlineStr">
        <is>
          <t>SÄTER</t>
        </is>
      </c>
      <c r="I4966" t="n">
        <v>2</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2018-2026</t>
        </is>
      </c>
      <c r="B4967" t="inlineStr">
        <is>
          <t>avverkningsanmälan</t>
        </is>
      </c>
      <c r="C4967" t="inlineStr">
        <is>
          <t>Föryngringsavverkning</t>
        </is>
      </c>
      <c r="D4967" s="1" t="n">
        <v>46035</v>
      </c>
      <c r="E4967" s="1" t="n">
        <v>46319</v>
      </c>
      <c r="F4967" t="inlineStr">
        <is>
          <t>DALARNAS LÄN</t>
        </is>
      </c>
      <c r="G4967" t="inlineStr">
        <is>
          <t>FALUN</t>
        </is>
      </c>
      <c r="I4967" t="n">
        <v>2.3</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2020-2026</t>
        </is>
      </c>
      <c r="B4968" t="inlineStr">
        <is>
          <t>avverkningsanmälan</t>
        </is>
      </c>
      <c r="C4968" t="inlineStr">
        <is>
          <t>Föryngringsavverkning</t>
        </is>
      </c>
      <c r="D4968" s="1" t="n">
        <v>46035</v>
      </c>
      <c r="E4968" s="1" t="n">
        <v>46319</v>
      </c>
      <c r="F4968" t="inlineStr">
        <is>
          <t>DALARNAS LÄN</t>
        </is>
      </c>
      <c r="G4968" t="inlineStr">
        <is>
          <t>FALUN</t>
        </is>
      </c>
      <c r="I4968" t="n">
        <v>1.8</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2022-2026</t>
        </is>
      </c>
      <c r="B4969" t="inlineStr">
        <is>
          <t>avverkningsanmälan</t>
        </is>
      </c>
      <c r="C4969" t="inlineStr">
        <is>
          <t>Föryngringsavverkning</t>
        </is>
      </c>
      <c r="D4969" s="1" t="n">
        <v>46035</v>
      </c>
      <c r="E4969" s="1" t="n">
        <v>46319</v>
      </c>
      <c r="F4969" t="inlineStr">
        <is>
          <t>DALARNAS LÄN</t>
        </is>
      </c>
      <c r="G4969" t="inlineStr">
        <is>
          <t>FALUN</t>
        </is>
      </c>
      <c r="I4969" t="n">
        <v>2.2</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23443-2024</t>
        </is>
      </c>
      <c r="B4970" t="inlineStr">
        <is>
          <t>avverkningsanmälan</t>
        </is>
      </c>
      <c r="C4970" t="inlineStr">
        <is>
          <t>Föryngringsavverkning</t>
        </is>
      </c>
      <c r="D4970" s="1" t="n">
        <v>45453</v>
      </c>
      <c r="E4970" s="1" t="n">
        <v>46319</v>
      </c>
      <c r="F4970" t="inlineStr">
        <is>
          <t>DALARNAS LÄN</t>
        </is>
      </c>
      <c r="G4970" t="inlineStr">
        <is>
          <t>LUDVIKA</t>
        </is>
      </c>
      <c r="H4970" t="inlineStr">
        <is>
          <t>Bergvik skog väst AB</t>
        </is>
      </c>
      <c r="I4970" t="n">
        <v>3.2</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2087-2026</t>
        </is>
      </c>
      <c r="B4971" t="inlineStr">
        <is>
          <t>avverkningsanmälan</t>
        </is>
      </c>
      <c r="C4971" t="inlineStr">
        <is>
          <t>Föryngringsavverkning</t>
        </is>
      </c>
      <c r="D4971" s="1" t="n">
        <v>46036</v>
      </c>
      <c r="E4971" s="1" t="n">
        <v>46319</v>
      </c>
      <c r="F4971" t="inlineStr">
        <is>
          <t>DALARNAS LÄN</t>
        </is>
      </c>
      <c r="G4971" t="inlineStr">
        <is>
          <t>SÄTER</t>
        </is>
      </c>
      <c r="I4971" t="n">
        <v>1.4</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1932-2026</t>
        </is>
      </c>
      <c r="B4972" t="inlineStr">
        <is>
          <t>avverkningsanmälan</t>
        </is>
      </c>
      <c r="C4972" t="inlineStr">
        <is>
          <t>Föryngringsavverkning</t>
        </is>
      </c>
      <c r="D4972" s="1" t="n">
        <v>46035</v>
      </c>
      <c r="E4972" s="1" t="n">
        <v>46319</v>
      </c>
      <c r="F4972" t="inlineStr">
        <is>
          <t>DALARNAS LÄN</t>
        </is>
      </c>
      <c r="G4972" t="inlineStr">
        <is>
          <t>FALUN</t>
        </is>
      </c>
      <c r="I4972" t="n">
        <v>26.7</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23711-2025</t>
        </is>
      </c>
      <c r="B4973" t="inlineStr">
        <is>
          <t>avverkningsanmälan</t>
        </is>
      </c>
      <c r="C4973" t="inlineStr">
        <is>
          <t>Föryngringsavverkning</t>
        </is>
      </c>
      <c r="D4973" s="1" t="n">
        <v>45793</v>
      </c>
      <c r="E4973" s="1" t="n">
        <v>46319</v>
      </c>
      <c r="F4973" t="inlineStr">
        <is>
          <t>DALARNAS LÄN</t>
        </is>
      </c>
      <c r="G4973" t="inlineStr">
        <is>
          <t>FALUN</t>
        </is>
      </c>
      <c r="I4973" t="n">
        <v>5.3</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1960-2026</t>
        </is>
      </c>
      <c r="B4974" t="inlineStr">
        <is>
          <t>avverkningsanmälan</t>
        </is>
      </c>
      <c r="C4974" t="inlineStr">
        <is>
          <t>Föryngringsavverkning</t>
        </is>
      </c>
      <c r="D4974" s="1" t="n">
        <v>46035</v>
      </c>
      <c r="E4974" s="1" t="n">
        <v>46319</v>
      </c>
      <c r="F4974" t="inlineStr">
        <is>
          <t>DALARNAS LÄN</t>
        </is>
      </c>
      <c r="G4974" t="inlineStr">
        <is>
          <t>LEKSAND</t>
        </is>
      </c>
      <c r="I4974" t="n">
        <v>4.3</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2240-2026</t>
        </is>
      </c>
      <c r="B4975" t="inlineStr">
        <is>
          <t>avverkningsanmälan</t>
        </is>
      </c>
      <c r="C4975" t="inlineStr">
        <is>
          <t>Föryngringsavverkning</t>
        </is>
      </c>
      <c r="D4975" s="1" t="n">
        <v>46036</v>
      </c>
      <c r="E4975" s="1" t="n">
        <v>46319</v>
      </c>
      <c r="F4975" t="inlineStr">
        <is>
          <t>DALARNAS LÄN</t>
        </is>
      </c>
      <c r="G4975" t="inlineStr">
        <is>
          <t>FALUN</t>
        </is>
      </c>
      <c r="I4975" t="n">
        <v>9.199999999999999</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2262-2026</t>
        </is>
      </c>
      <c r="B4976" t="inlineStr">
        <is>
          <t>avverkningsanmälan</t>
        </is>
      </c>
      <c r="C4976" t="inlineStr">
        <is>
          <t>Föryngringsavverkning</t>
        </is>
      </c>
      <c r="D4976" s="1" t="n">
        <v>46036</v>
      </c>
      <c r="E4976" s="1" t="n">
        <v>46319</v>
      </c>
      <c r="F4976" t="inlineStr">
        <is>
          <t>DALARNAS LÄN</t>
        </is>
      </c>
      <c r="G4976" t="inlineStr">
        <is>
          <t>FALUN</t>
        </is>
      </c>
      <c r="I4976" t="n">
        <v>10.7</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5302-2024</t>
        </is>
      </c>
      <c r="B4977" t="inlineStr">
        <is>
          <t>avverkningsanmälan</t>
        </is>
      </c>
      <c r="C4977" t="inlineStr">
        <is>
          <t>Föryngringsavverkning</t>
        </is>
      </c>
      <c r="D4977" s="1" t="n">
        <v>45331</v>
      </c>
      <c r="E4977" s="1" t="n">
        <v>46319</v>
      </c>
      <c r="F4977" t="inlineStr">
        <is>
          <t>DALARNAS LÄN</t>
        </is>
      </c>
      <c r="G4977" t="inlineStr">
        <is>
          <t>ORSA</t>
        </is>
      </c>
      <c r="I4977" t="n">
        <v>0.8</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23354-2022</t>
        </is>
      </c>
      <c r="B4978" t="inlineStr">
        <is>
          <t>avverkningsanmälan</t>
        </is>
      </c>
      <c r="C4978" t="inlineStr">
        <is>
          <t>Föryngringsavverkning</t>
        </is>
      </c>
      <c r="D4978" s="1" t="n">
        <v>44720</v>
      </c>
      <c r="E4978" s="1" t="n">
        <v>46319</v>
      </c>
      <c r="F4978" t="inlineStr">
        <is>
          <t>DALARNAS LÄN</t>
        </is>
      </c>
      <c r="G4978" t="inlineStr">
        <is>
          <t>MORA</t>
        </is>
      </c>
      <c r="I4978" t="n">
        <v>5.2</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34928-2022</t>
        </is>
      </c>
      <c r="B4979" t="inlineStr">
        <is>
          <t>avverkningsanmälan</t>
        </is>
      </c>
      <c r="C4979" t="inlineStr">
        <is>
          <t>Föryngringsavverkning</t>
        </is>
      </c>
      <c r="D4979" s="1" t="n">
        <v>44796</v>
      </c>
      <c r="E4979" s="1" t="n">
        <v>46319</v>
      </c>
      <c r="F4979" t="inlineStr">
        <is>
          <t>DALARNAS LÄN</t>
        </is>
      </c>
      <c r="G4979" t="inlineStr">
        <is>
          <t>MORA</t>
        </is>
      </c>
      <c r="I4979" t="n">
        <v>1.2</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37549-2024</t>
        </is>
      </c>
      <c r="B4980" t="inlineStr">
        <is>
          <t>avverkningsanmälan</t>
        </is>
      </c>
      <c r="C4980" t="inlineStr">
        <is>
          <t>Föryngringsavverkning</t>
        </is>
      </c>
      <c r="D4980" s="1" t="n">
        <v>45541</v>
      </c>
      <c r="E4980" s="1" t="n">
        <v>46319</v>
      </c>
      <c r="F4980" t="inlineStr">
        <is>
          <t>DALARNAS LÄN</t>
        </is>
      </c>
      <c r="G4980" t="inlineStr">
        <is>
          <t>LUDVIKA</t>
        </is>
      </c>
      <c r="H4980" t="inlineStr">
        <is>
          <t>Bergvik skog väst AB</t>
        </is>
      </c>
      <c r="I4980" t="n">
        <v>3.1</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2196-2026</t>
        </is>
      </c>
      <c r="B4981" t="inlineStr">
        <is>
          <t>avverkningsanmälan</t>
        </is>
      </c>
      <c r="C4981" t="inlineStr">
        <is>
          <t>Föryngringsavverkning</t>
        </is>
      </c>
      <c r="D4981" s="1" t="n">
        <v>46036</v>
      </c>
      <c r="E4981" s="1" t="n">
        <v>46319</v>
      </c>
      <c r="F4981" t="inlineStr">
        <is>
          <t>DALARNAS LÄN</t>
        </is>
      </c>
      <c r="G4981" t="inlineStr">
        <is>
          <t>VANSBRO</t>
        </is>
      </c>
      <c r="I4981" t="n">
        <v>1.1</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2298-2026</t>
        </is>
      </c>
      <c r="B4982" t="inlineStr">
        <is>
          <t>avverkningsanmälan</t>
        </is>
      </c>
      <c r="C4982" t="inlineStr">
        <is>
          <t>Föryngringsavverkning</t>
        </is>
      </c>
      <c r="D4982" s="1" t="n">
        <v>46036</v>
      </c>
      <c r="E4982" s="1" t="n">
        <v>46319</v>
      </c>
      <c r="F4982" t="inlineStr">
        <is>
          <t>DALARNAS LÄN</t>
        </is>
      </c>
      <c r="G4982" t="inlineStr">
        <is>
          <t>SÄTER</t>
        </is>
      </c>
      <c r="I4982" t="n">
        <v>2</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2141-2026</t>
        </is>
      </c>
      <c r="B4983" t="inlineStr">
        <is>
          <t>avverkningsanmälan</t>
        </is>
      </c>
      <c r="C4983" t="inlineStr">
        <is>
          <t>Föryngringsavverkning</t>
        </is>
      </c>
      <c r="D4983" s="1" t="n">
        <v>46036</v>
      </c>
      <c r="E4983" s="1" t="n">
        <v>46319</v>
      </c>
      <c r="F4983" t="inlineStr">
        <is>
          <t>DALARNAS LÄN</t>
        </is>
      </c>
      <c r="G4983" t="inlineStr">
        <is>
          <t>MALUNG-SÄLEN</t>
        </is>
      </c>
      <c r="I4983" t="n">
        <v>3.9</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2142-2026</t>
        </is>
      </c>
      <c r="B4984" t="inlineStr">
        <is>
          <t>avverkningsanmälan</t>
        </is>
      </c>
      <c r="C4984" t="inlineStr">
        <is>
          <t>Föryngringsavverkning</t>
        </is>
      </c>
      <c r="D4984" s="1" t="n">
        <v>46036</v>
      </c>
      <c r="E4984" s="1" t="n">
        <v>46319</v>
      </c>
      <c r="F4984" t="inlineStr">
        <is>
          <t>DALARNAS LÄN</t>
        </is>
      </c>
      <c r="G4984" t="inlineStr">
        <is>
          <t>MALUNG-SÄLEN</t>
        </is>
      </c>
      <c r="I4984" t="n">
        <v>0.9</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2160-2026</t>
        </is>
      </c>
      <c r="B4985" t="inlineStr">
        <is>
          <t>avverkningsanmälan</t>
        </is>
      </c>
      <c r="C4985" t="inlineStr">
        <is>
          <t>Föryngringsavverkning</t>
        </is>
      </c>
      <c r="D4985" s="1" t="n">
        <v>46036</v>
      </c>
      <c r="E4985" s="1" t="n">
        <v>46319</v>
      </c>
      <c r="F4985" t="inlineStr">
        <is>
          <t>DALARNAS LÄN</t>
        </is>
      </c>
      <c r="G4985" t="inlineStr">
        <is>
          <t>BORLÄNGE</t>
        </is>
      </c>
      <c r="I4985" t="n">
        <v>9.5</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38678-2026</t>
        </is>
      </c>
      <c r="B4986" t="inlineStr">
        <is>
          <t>avverkningsanmälan</t>
        </is>
      </c>
      <c r="C4986" t="inlineStr">
        <is>
          <t>Föryngringsavverkning</t>
        </is>
      </c>
      <c r="D4986" s="1" t="n">
        <v>46283</v>
      </c>
      <c r="E4986" s="1" t="n">
        <v>46319</v>
      </c>
      <c r="F4986" t="inlineStr">
        <is>
          <t>DALARNAS LÄN</t>
        </is>
      </c>
      <c r="G4986" t="inlineStr">
        <is>
          <t>FALUN</t>
        </is>
      </c>
      <c r="H4986" t="inlineStr">
        <is>
          <t>Bergvik skog väst AB</t>
        </is>
      </c>
      <c r="I4986" t="n">
        <v>3.3</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270-2026</t>
        </is>
      </c>
      <c r="B4987" t="inlineStr">
        <is>
          <t>avverkningsanmälan</t>
        </is>
      </c>
      <c r="C4987" t="inlineStr">
        <is>
          <t>Föryngringsavverkning</t>
        </is>
      </c>
      <c r="D4987" s="1" t="n">
        <v>46027</v>
      </c>
      <c r="E4987" s="1" t="n">
        <v>46319</v>
      </c>
      <c r="F4987" t="inlineStr">
        <is>
          <t>DALARNAS LÄN</t>
        </is>
      </c>
      <c r="G4987" t="inlineStr">
        <is>
          <t>RÄTTVIK</t>
        </is>
      </c>
      <c r="I4987" t="n">
        <v>18.7</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38680-2026</t>
        </is>
      </c>
      <c r="B4988" t="inlineStr">
        <is>
          <t>avverkningsanmälan</t>
        </is>
      </c>
      <c r="C4988" t="inlineStr">
        <is>
          <t>Föryngringsavverkning</t>
        </is>
      </c>
      <c r="D4988" s="1" t="n">
        <v>46281</v>
      </c>
      <c r="E4988" s="1" t="n">
        <v>46319</v>
      </c>
      <c r="F4988" t="inlineStr">
        <is>
          <t>DALARNAS LÄN</t>
        </is>
      </c>
      <c r="G4988" t="inlineStr">
        <is>
          <t>HEDEMORA</t>
        </is>
      </c>
      <c r="H4988" t="inlineStr">
        <is>
          <t>Bergvik skog väst AB</t>
        </is>
      </c>
      <c r="I4988" t="n">
        <v>7.3</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25811-2026</t>
        </is>
      </c>
      <c r="B4989" t="inlineStr">
        <is>
          <t>avverkningsanmälan</t>
        </is>
      </c>
      <c r="C4989" t="inlineStr">
        <is>
          <t>Föryngringsavverkning</t>
        </is>
      </c>
      <c r="D4989" s="1" t="n">
        <v>46178</v>
      </c>
      <c r="E4989" s="1" t="n">
        <v>46319</v>
      </c>
      <c r="F4989" t="inlineStr">
        <is>
          <t>DALARNAS LÄN</t>
        </is>
      </c>
      <c r="G4989" t="inlineStr">
        <is>
          <t>FALUN</t>
        </is>
      </c>
      <c r="I4989" t="n">
        <v>0.9</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23836-2025</t>
        </is>
      </c>
      <c r="B4990" t="inlineStr">
        <is>
          <t>avverkningsanmälan</t>
        </is>
      </c>
      <c r="C4990" t="inlineStr">
        <is>
          <t>Föryngringsavverkning</t>
        </is>
      </c>
      <c r="D4990" s="1" t="n">
        <v>45793</v>
      </c>
      <c r="E4990" s="1" t="n">
        <v>46319</v>
      </c>
      <c r="F4990" t="inlineStr">
        <is>
          <t>DALARNAS LÄN</t>
        </is>
      </c>
      <c r="G4990" t="inlineStr">
        <is>
          <t>RÄTTVIK</t>
        </is>
      </c>
      <c r="I4990" t="n">
        <v>6.2</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2381-2026</t>
        </is>
      </c>
      <c r="B4991" t="inlineStr">
        <is>
          <t>avverkningsanmälan</t>
        </is>
      </c>
      <c r="C4991" t="inlineStr">
        <is>
          <t>Föryngringsavverkning</t>
        </is>
      </c>
      <c r="D4991" s="1" t="n">
        <v>46036</v>
      </c>
      <c r="E4991" s="1" t="n">
        <v>46319</v>
      </c>
      <c r="F4991" t="inlineStr">
        <is>
          <t>DALARNAS LÄN</t>
        </is>
      </c>
      <c r="G4991" t="inlineStr">
        <is>
          <t>FALUN</t>
        </is>
      </c>
      <c r="I4991" t="n">
        <v>8.800000000000001</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2236-2026</t>
        </is>
      </c>
      <c r="B4992" t="inlineStr">
        <is>
          <t>avverkningsanmälan</t>
        </is>
      </c>
      <c r="C4992" t="inlineStr">
        <is>
          <t>Föryngringsavverkning</t>
        </is>
      </c>
      <c r="D4992" s="1" t="n">
        <v>46036</v>
      </c>
      <c r="E4992" s="1" t="n">
        <v>46319</v>
      </c>
      <c r="F4992" t="inlineStr">
        <is>
          <t>DALARNAS LÄN</t>
        </is>
      </c>
      <c r="G4992" t="inlineStr">
        <is>
          <t>FALUN</t>
        </is>
      </c>
      <c r="I4992" t="n">
        <v>7</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1831-2026</t>
        </is>
      </c>
      <c r="B4993" t="inlineStr">
        <is>
          <t>avverkningsanmälan</t>
        </is>
      </c>
      <c r="C4993" t="inlineStr">
        <is>
          <t>Föryngringsavverkning</t>
        </is>
      </c>
      <c r="D4993" s="1" t="n">
        <v>46035</v>
      </c>
      <c r="E4993" s="1" t="n">
        <v>46319</v>
      </c>
      <c r="F4993" t="inlineStr">
        <is>
          <t>DALARNAS LÄN</t>
        </is>
      </c>
      <c r="G4993" t="inlineStr">
        <is>
          <t>BORLÄNGE</t>
        </is>
      </c>
      <c r="H4993" t="inlineStr">
        <is>
          <t>Övriga statliga verk och myndigheter</t>
        </is>
      </c>
      <c r="I4993" t="n">
        <v>3.1</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2098-2026</t>
        </is>
      </c>
      <c r="B4994" t="inlineStr">
        <is>
          <t>avverkningsanmälan</t>
        </is>
      </c>
      <c r="C4994" t="inlineStr">
        <is>
          <t>Föryngringsavverkning</t>
        </is>
      </c>
      <c r="D4994" s="1" t="n">
        <v>46036</v>
      </c>
      <c r="E4994" s="1" t="n">
        <v>46319</v>
      </c>
      <c r="F4994" t="inlineStr">
        <is>
          <t>DALARNAS LÄN</t>
        </is>
      </c>
      <c r="G4994" t="inlineStr">
        <is>
          <t>SÄTER</t>
        </is>
      </c>
      <c r="I4994" t="n">
        <v>4.7</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32749-2026</t>
        </is>
      </c>
      <c r="B4995" t="inlineStr">
        <is>
          <t>avverkningsanmälan</t>
        </is>
      </c>
      <c r="C4995" t="inlineStr">
        <is>
          <t>Föryngringsavverkning</t>
        </is>
      </c>
      <c r="D4995" s="1" t="n">
        <v>46241</v>
      </c>
      <c r="E4995" s="1" t="n">
        <v>46319</v>
      </c>
      <c r="F4995" t="inlineStr">
        <is>
          <t>DALARNAS LÄN</t>
        </is>
      </c>
      <c r="G4995" t="inlineStr">
        <is>
          <t>LUDVIKA</t>
        </is>
      </c>
      <c r="I4995" t="n">
        <v>3.3</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2159-2026</t>
        </is>
      </c>
      <c r="B4996" t="inlineStr">
        <is>
          <t>avverkningsanmälan</t>
        </is>
      </c>
      <c r="C4996" t="inlineStr">
        <is>
          <t>Föryngringsavverkning</t>
        </is>
      </c>
      <c r="D4996" s="1" t="n">
        <v>46036</v>
      </c>
      <c r="E4996" s="1" t="n">
        <v>46319</v>
      </c>
      <c r="F4996" t="inlineStr">
        <is>
          <t>DALARNAS LÄN</t>
        </is>
      </c>
      <c r="G4996" t="inlineStr">
        <is>
          <t>HEDEMORA</t>
        </is>
      </c>
      <c r="H4996" t="inlineStr">
        <is>
          <t>Kyrkan</t>
        </is>
      </c>
      <c r="I4996" t="n">
        <v>3.8</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2163-2026</t>
        </is>
      </c>
      <c r="B4997" t="inlineStr">
        <is>
          <t>avverkningsanmälan</t>
        </is>
      </c>
      <c r="C4997" t="inlineStr">
        <is>
          <t>Föryngringsavverkning</t>
        </is>
      </c>
      <c r="D4997" s="1" t="n">
        <v>46036</v>
      </c>
      <c r="E4997" s="1" t="n">
        <v>46319</v>
      </c>
      <c r="F4997" t="inlineStr">
        <is>
          <t>DALARNAS LÄN</t>
        </is>
      </c>
      <c r="G4997" t="inlineStr">
        <is>
          <t>RÄTTVIK</t>
        </is>
      </c>
      <c r="I4997" t="n">
        <v>1.5</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2169-2026</t>
        </is>
      </c>
      <c r="B4998" t="inlineStr">
        <is>
          <t>avverkningsanmälan</t>
        </is>
      </c>
      <c r="C4998" t="inlineStr">
        <is>
          <t>Föryngringsavverkning</t>
        </is>
      </c>
      <c r="D4998" s="1" t="n">
        <v>46036</v>
      </c>
      <c r="E4998" s="1" t="n">
        <v>46319</v>
      </c>
      <c r="F4998" t="inlineStr">
        <is>
          <t>DALARNAS LÄN</t>
        </is>
      </c>
      <c r="G4998" t="inlineStr">
        <is>
          <t>SÄTER</t>
        </is>
      </c>
      <c r="I4998" t="n">
        <v>10.9</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2237-2026</t>
        </is>
      </c>
      <c r="B4999" t="inlineStr">
        <is>
          <t>avverkningsanmälan</t>
        </is>
      </c>
      <c r="C4999" t="inlineStr">
        <is>
          <t>Föryngringsavverkning</t>
        </is>
      </c>
      <c r="D4999" s="1" t="n">
        <v>46036</v>
      </c>
      <c r="E4999" s="1" t="n">
        <v>46319</v>
      </c>
      <c r="F4999" t="inlineStr">
        <is>
          <t>DALARNAS LÄN</t>
        </is>
      </c>
      <c r="G4999" t="inlineStr">
        <is>
          <t>FALUN</t>
        </is>
      </c>
      <c r="I4999" t="n">
        <v>4.5</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9461-2025</t>
        </is>
      </c>
      <c r="B5000" t="inlineStr">
        <is>
          <t>avverkningsanmälan</t>
        </is>
      </c>
      <c r="C5000" t="inlineStr">
        <is>
          <t>Föryngringsavverkning</t>
        </is>
      </c>
      <c r="D5000" s="1" t="n">
        <v>45715</v>
      </c>
      <c r="E5000" s="1" t="n">
        <v>46319</v>
      </c>
      <c r="F5000" t="inlineStr">
        <is>
          <t>DALARNAS LÄN</t>
        </is>
      </c>
      <c r="G5000" t="inlineStr">
        <is>
          <t>MORA</t>
        </is>
      </c>
      <c r="I5000" t="n">
        <v>1.8</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2128-2026</t>
        </is>
      </c>
      <c r="B5001" t="inlineStr">
        <is>
          <t>avverkningsanmälan</t>
        </is>
      </c>
      <c r="C5001" t="inlineStr">
        <is>
          <t>Föryngringsavverkning</t>
        </is>
      </c>
      <c r="D5001" s="1" t="n">
        <v>46036</v>
      </c>
      <c r="E5001" s="1" t="n">
        <v>46319</v>
      </c>
      <c r="F5001" t="inlineStr">
        <is>
          <t>DALARNAS LÄN</t>
        </is>
      </c>
      <c r="G5001" t="inlineStr">
        <is>
          <t>RÄTTVIK</t>
        </is>
      </c>
      <c r="I5001" t="n">
        <v>10.1</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2131-2026</t>
        </is>
      </c>
      <c r="B5002" t="inlineStr">
        <is>
          <t>avverkningsanmälan</t>
        </is>
      </c>
      <c r="C5002" t="inlineStr">
        <is>
          <t>Föryngringsavverkning</t>
        </is>
      </c>
      <c r="D5002" s="1" t="n">
        <v>46036</v>
      </c>
      <c r="E5002" s="1" t="n">
        <v>46319</v>
      </c>
      <c r="F5002" t="inlineStr">
        <is>
          <t>DALARNAS LÄN</t>
        </is>
      </c>
      <c r="G5002" t="inlineStr">
        <is>
          <t>MALUNG-SÄLEN</t>
        </is>
      </c>
      <c r="I5002" t="n">
        <v>5.4</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23982-2025</t>
        </is>
      </c>
      <c r="B5003" t="inlineStr">
        <is>
          <t>avverkningsanmälan</t>
        </is>
      </c>
      <c r="C5003" t="inlineStr">
        <is>
          <t>Föryngringsavverkning</t>
        </is>
      </c>
      <c r="D5003" s="1" t="n">
        <v>45796</v>
      </c>
      <c r="E5003" s="1" t="n">
        <v>46319</v>
      </c>
      <c r="F5003" t="inlineStr">
        <is>
          <t>DALARNAS LÄN</t>
        </is>
      </c>
      <c r="G5003" t="inlineStr">
        <is>
          <t>RÄTTVIK</t>
        </is>
      </c>
      <c r="I5003" t="n">
        <v>1</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10404-2024</t>
        </is>
      </c>
      <c r="B5004" t="inlineStr">
        <is>
          <t>avverkningsanmälan</t>
        </is>
      </c>
      <c r="C5004" t="inlineStr">
        <is>
          <t>Föryngringsavverkning</t>
        </is>
      </c>
      <c r="D5004" s="1" t="n">
        <v>45365</v>
      </c>
      <c r="E5004" s="1" t="n">
        <v>46319</v>
      </c>
      <c r="F5004" t="inlineStr">
        <is>
          <t>DALARNAS LÄN</t>
        </is>
      </c>
      <c r="G5004" t="inlineStr">
        <is>
          <t>SÄTER</t>
        </is>
      </c>
      <c r="I5004" t="n">
        <v>1</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2118-2026</t>
        </is>
      </c>
      <c r="B5005" t="inlineStr">
        <is>
          <t>avverkningsanmälan</t>
        </is>
      </c>
      <c r="C5005" t="inlineStr">
        <is>
          <t>Föryngringsavverkning</t>
        </is>
      </c>
      <c r="D5005" s="1" t="n">
        <v>46036</v>
      </c>
      <c r="E5005" s="1" t="n">
        <v>46319</v>
      </c>
      <c r="F5005" t="inlineStr">
        <is>
          <t>DALARNAS LÄN</t>
        </is>
      </c>
      <c r="G5005" t="inlineStr">
        <is>
          <t>RÄTTVIK</t>
        </is>
      </c>
      <c r="I5005" t="n">
        <v>2.5</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1983-2026</t>
        </is>
      </c>
      <c r="B5006" t="inlineStr">
        <is>
          <t>avverkningsanmälan</t>
        </is>
      </c>
      <c r="C5006" t="inlineStr">
        <is>
          <t>Föryngringsavverkning</t>
        </is>
      </c>
      <c r="D5006" s="1" t="n">
        <v>46035</v>
      </c>
      <c r="E5006" s="1" t="n">
        <v>46319</v>
      </c>
      <c r="F5006" t="inlineStr">
        <is>
          <t>DALARNAS LÄN</t>
        </is>
      </c>
      <c r="G5006" t="inlineStr">
        <is>
          <t>LEKSAND</t>
        </is>
      </c>
      <c r="I5006" t="n">
        <v>2.3</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2013-2026</t>
        </is>
      </c>
      <c r="B5007" t="inlineStr">
        <is>
          <t>avverkningsanmälan</t>
        </is>
      </c>
      <c r="C5007" t="inlineStr">
        <is>
          <t>Föryngringsavverkning</t>
        </is>
      </c>
      <c r="D5007" s="1" t="n">
        <v>46035</v>
      </c>
      <c r="E5007" s="1" t="n">
        <v>46319</v>
      </c>
      <c r="F5007" t="inlineStr">
        <is>
          <t>DALARNAS LÄN</t>
        </is>
      </c>
      <c r="G5007" t="inlineStr">
        <is>
          <t>FALUN</t>
        </is>
      </c>
      <c r="I5007" t="n">
        <v>0.5</v>
      </c>
      <c r="J5007" t="n">
        <v>0</v>
      </c>
      <c r="K5007" t="n">
        <v>0</v>
      </c>
      <c r="L5007" t="n">
        <v>0</v>
      </c>
      <c r="M5007" t="n">
        <v>0</v>
      </c>
      <c r="N5007" t="n">
        <v>0</v>
      </c>
      <c r="O5007" t="n">
        <v>0</v>
      </c>
      <c r="P5007" t="n">
        <v>0</v>
      </c>
      <c r="Q5007" t="n">
        <v>0</v>
      </c>
      <c r="R5007" t="n">
        <v>0</v>
      </c>
      <c r="S5007" t="n">
        <v>0</v>
      </c>
      <c r="T5007" t="n">
        <v>0</v>
      </c>
      <c r="U5007" t="n">
        <v>0</v>
      </c>
      <c r="V5007" s="2" t="inlineStr"/>
    </row>
    <row r="5008" ht="15" customHeight="1">
      <c r="A5008" t="inlineStr">
        <is>
          <t>A 2015-2026</t>
        </is>
      </c>
      <c r="B5008" t="inlineStr">
        <is>
          <t>avverkningsanmälan</t>
        </is>
      </c>
      <c r="C5008" t="inlineStr">
        <is>
          <t>Föryngringsavverkning</t>
        </is>
      </c>
      <c r="D5008" s="1" t="n">
        <v>46035</v>
      </c>
      <c r="E5008" s="1" t="n">
        <v>46319</v>
      </c>
      <c r="F5008" t="inlineStr">
        <is>
          <t>DALARNAS LÄN</t>
        </is>
      </c>
      <c r="G5008" t="inlineStr">
        <is>
          <t>FALUN</t>
        </is>
      </c>
      <c r="I5008" t="n">
        <v>2.5</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38553-2026</t>
        </is>
      </c>
      <c r="B5009" t="inlineStr">
        <is>
          <t>avverkningsanmälan</t>
        </is>
      </c>
      <c r="C5009" t="inlineStr">
        <is>
          <t>Föryngringsavverkning</t>
        </is>
      </c>
      <c r="D5009" s="1" t="n">
        <v>46283</v>
      </c>
      <c r="E5009" s="1" t="n">
        <v>46319</v>
      </c>
      <c r="F5009" t="inlineStr">
        <is>
          <t>DALARNAS LÄN</t>
        </is>
      </c>
      <c r="G5009" t="inlineStr">
        <is>
          <t>AVESTA</t>
        </is>
      </c>
      <c r="I5009" t="n">
        <v>1.4</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38965-2026</t>
        </is>
      </c>
      <c r="B5010" t="inlineStr">
        <is>
          <t>avverkningsanmälan</t>
        </is>
      </c>
      <c r="C5010" t="inlineStr">
        <is>
          <t>Föryngringsavverkning</t>
        </is>
      </c>
      <c r="D5010" s="1" t="n">
        <v>46286</v>
      </c>
      <c r="E5010" s="1" t="n">
        <v>46319</v>
      </c>
      <c r="F5010" t="inlineStr">
        <is>
          <t>DALARNAS LÄN</t>
        </is>
      </c>
      <c r="G5010" t="inlineStr">
        <is>
          <t>MORA</t>
        </is>
      </c>
      <c r="H5010" t="inlineStr">
        <is>
          <t>Bergvik skog väst AB</t>
        </is>
      </c>
      <c r="I5010" t="n">
        <v>3.8</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2269-2026</t>
        </is>
      </c>
      <c r="B5011" t="inlineStr">
        <is>
          <t>avverkningsanmälan</t>
        </is>
      </c>
      <c r="C5011" t="inlineStr">
        <is>
          <t>Föryngringsavverkning</t>
        </is>
      </c>
      <c r="D5011" s="1" t="n">
        <v>46036</v>
      </c>
      <c r="E5011" s="1" t="n">
        <v>46319</v>
      </c>
      <c r="F5011" t="inlineStr">
        <is>
          <t>DALARNAS LÄN</t>
        </is>
      </c>
      <c r="G5011" t="inlineStr">
        <is>
          <t>MALUNG-SÄLEN</t>
        </is>
      </c>
      <c r="I5011" t="n">
        <v>0.8</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38762-2026</t>
        </is>
      </c>
      <c r="B5012" t="inlineStr">
        <is>
          <t>avverkningsanmälan</t>
        </is>
      </c>
      <c r="C5012" t="inlineStr">
        <is>
          <t>Föryngringsavverkning</t>
        </is>
      </c>
      <c r="D5012" s="1" t="n">
        <v>46286</v>
      </c>
      <c r="E5012" s="1" t="n">
        <v>46319</v>
      </c>
      <c r="F5012" t="inlineStr">
        <is>
          <t>DALARNAS LÄN</t>
        </is>
      </c>
      <c r="G5012" t="inlineStr">
        <is>
          <t>BORLÄNGE</t>
        </is>
      </c>
      <c r="H5012" t="inlineStr">
        <is>
          <t>Bergvik skog väst AB</t>
        </is>
      </c>
      <c r="I5012" t="n">
        <v>0.8</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38770-2026</t>
        </is>
      </c>
      <c r="B5013" t="inlineStr">
        <is>
          <t>avverkningsanmälan</t>
        </is>
      </c>
      <c r="C5013" t="inlineStr">
        <is>
          <t>Föryngringsavverkning</t>
        </is>
      </c>
      <c r="D5013" s="1" t="n">
        <v>46286</v>
      </c>
      <c r="E5013" s="1" t="n">
        <v>46319</v>
      </c>
      <c r="F5013" t="inlineStr">
        <is>
          <t>DALARNAS LÄN</t>
        </is>
      </c>
      <c r="G5013" t="inlineStr">
        <is>
          <t>HEDEMORA</t>
        </is>
      </c>
      <c r="I5013" t="n">
        <v>1.2</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7450-2023</t>
        </is>
      </c>
      <c r="B5014" t="inlineStr">
        <is>
          <t>avverkningsanmälan</t>
        </is>
      </c>
      <c r="C5014" t="inlineStr">
        <is>
          <t>Avverkning för annat ändamål</t>
        </is>
      </c>
      <c r="D5014" s="1" t="n">
        <v>44971</v>
      </c>
      <c r="E5014" s="1" t="n">
        <v>46319</v>
      </c>
      <c r="F5014" t="inlineStr">
        <is>
          <t>DALARNAS LÄN</t>
        </is>
      </c>
      <c r="G5014" t="inlineStr">
        <is>
          <t>LEKSAND</t>
        </is>
      </c>
      <c r="I5014" t="n">
        <v>3</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1836-2026</t>
        </is>
      </c>
      <c r="B5015" t="inlineStr">
        <is>
          <t>avverkningsanmälan</t>
        </is>
      </c>
      <c r="C5015" t="inlineStr">
        <is>
          <t>Föryngringsavverkning</t>
        </is>
      </c>
      <c r="D5015" s="1" t="n">
        <v>46035</v>
      </c>
      <c r="E5015" s="1" t="n">
        <v>46319</v>
      </c>
      <c r="F5015" t="inlineStr">
        <is>
          <t>DALARNAS LÄN</t>
        </is>
      </c>
      <c r="G5015" t="inlineStr">
        <is>
          <t>FALUN</t>
        </is>
      </c>
      <c r="I5015" t="n">
        <v>1.8</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2273-2026</t>
        </is>
      </c>
      <c r="B5016" t="inlineStr">
        <is>
          <t>avverkningsanmälan</t>
        </is>
      </c>
      <c r="C5016" t="inlineStr">
        <is>
          <t>Föryngringsavverkning</t>
        </is>
      </c>
      <c r="D5016" s="1" t="n">
        <v>46036</v>
      </c>
      <c r="E5016" s="1" t="n">
        <v>46319</v>
      </c>
      <c r="F5016" t="inlineStr">
        <is>
          <t>DALARNAS LÄN</t>
        </is>
      </c>
      <c r="G5016" t="inlineStr">
        <is>
          <t>FALUN</t>
        </is>
      </c>
      <c r="I5016" t="n">
        <v>2.3</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2323-2026</t>
        </is>
      </c>
      <c r="B5017" t="inlineStr">
        <is>
          <t>avverkningsanmälan</t>
        </is>
      </c>
      <c r="C5017" t="inlineStr">
        <is>
          <t>Föryngringsavverkning</t>
        </is>
      </c>
      <c r="D5017" s="1" t="n">
        <v>46036</v>
      </c>
      <c r="E5017" s="1" t="n">
        <v>46319</v>
      </c>
      <c r="F5017" t="inlineStr">
        <is>
          <t>DALARNAS LÄN</t>
        </is>
      </c>
      <c r="G5017" t="inlineStr">
        <is>
          <t>FALUN</t>
        </is>
      </c>
      <c r="I5017" t="n">
        <v>1.8</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64102-2025</t>
        </is>
      </c>
      <c r="B5018" t="inlineStr">
        <is>
          <t>avverkningsanmälan</t>
        </is>
      </c>
      <c r="C5018" t="inlineStr">
        <is>
          <t>Föryngringsavverkning</t>
        </is>
      </c>
      <c r="D5018" s="1" t="n">
        <v>46021</v>
      </c>
      <c r="E5018" s="1" t="n">
        <v>46319</v>
      </c>
      <c r="F5018" t="inlineStr">
        <is>
          <t>DALARNAS LÄN</t>
        </is>
      </c>
      <c r="G5018" t="inlineStr">
        <is>
          <t>AVESTA</t>
        </is>
      </c>
      <c r="I5018" t="n">
        <v>1.5</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2599-2026</t>
        </is>
      </c>
      <c r="B5019" t="inlineStr">
        <is>
          <t>avverkningsanmälan</t>
        </is>
      </c>
      <c r="C5019" t="inlineStr">
        <is>
          <t>Föryngringsavverkning</t>
        </is>
      </c>
      <c r="D5019" s="1" t="n">
        <v>46037</v>
      </c>
      <c r="E5019" s="1" t="n">
        <v>46319</v>
      </c>
      <c r="F5019" t="inlineStr">
        <is>
          <t>DALARNAS LÄN</t>
        </is>
      </c>
      <c r="G5019" t="inlineStr">
        <is>
          <t>HEDEMORA</t>
        </is>
      </c>
      <c r="I5019" t="n">
        <v>6.5</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23792-2025</t>
        </is>
      </c>
      <c r="B5020" t="inlineStr">
        <is>
          <t>avverkningsanmälan</t>
        </is>
      </c>
      <c r="C5020" t="inlineStr">
        <is>
          <t>Föryngringsavverkning</t>
        </is>
      </c>
      <c r="D5020" s="1" t="n">
        <v>45793</v>
      </c>
      <c r="E5020" s="1" t="n">
        <v>46319</v>
      </c>
      <c r="F5020" t="inlineStr">
        <is>
          <t>DALARNAS LÄN</t>
        </is>
      </c>
      <c r="G5020" t="inlineStr">
        <is>
          <t>VANSBRO</t>
        </is>
      </c>
      <c r="I5020" t="n">
        <v>1.8</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2654-2026</t>
        </is>
      </c>
      <c r="B5021" t="inlineStr">
        <is>
          <t>avverkningsanmälan</t>
        </is>
      </c>
      <c r="C5021" t="inlineStr">
        <is>
          <t>Föryngringsavverkning</t>
        </is>
      </c>
      <c r="D5021" s="1" t="n">
        <v>46037</v>
      </c>
      <c r="E5021" s="1" t="n">
        <v>46319</v>
      </c>
      <c r="F5021" t="inlineStr">
        <is>
          <t>DALARNAS LÄN</t>
        </is>
      </c>
      <c r="G5021" t="inlineStr">
        <is>
          <t>FALUN</t>
        </is>
      </c>
      <c r="I5021" t="n">
        <v>0.7</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2676-2026</t>
        </is>
      </c>
      <c r="B5022" t="inlineStr">
        <is>
          <t>avverkningsanmälan</t>
        </is>
      </c>
      <c r="C5022" t="inlineStr">
        <is>
          <t>Föryngringsavverkning</t>
        </is>
      </c>
      <c r="D5022" s="1" t="n">
        <v>46037</v>
      </c>
      <c r="E5022" s="1" t="n">
        <v>46319</v>
      </c>
      <c r="F5022" t="inlineStr">
        <is>
          <t>DALARNAS LÄN</t>
        </is>
      </c>
      <c r="G5022" t="inlineStr">
        <is>
          <t>FALUN</t>
        </is>
      </c>
      <c r="I5022" t="n">
        <v>1.9</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38627-2026</t>
        </is>
      </c>
      <c r="B5023" t="inlineStr">
        <is>
          <t>avverkningsanmälan</t>
        </is>
      </c>
      <c r="C5023" t="inlineStr">
        <is>
          <t>Föryngringsavverkning</t>
        </is>
      </c>
      <c r="D5023" s="1" t="n">
        <v>46283</v>
      </c>
      <c r="E5023" s="1" t="n">
        <v>46319</v>
      </c>
      <c r="F5023" t="inlineStr">
        <is>
          <t>DALARNAS LÄN</t>
        </is>
      </c>
      <c r="G5023" t="inlineStr">
        <is>
          <t>VANSBRO</t>
        </is>
      </c>
      <c r="H5023" t="inlineStr">
        <is>
          <t>Bergvik skog öst AB</t>
        </is>
      </c>
      <c r="I5023" t="n">
        <v>1.3</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2939-2026</t>
        </is>
      </c>
      <c r="B5024" t="inlineStr">
        <is>
          <t>avverkningsanmälan</t>
        </is>
      </c>
      <c r="C5024" t="inlineStr">
        <is>
          <t>Föryngringsavverkning</t>
        </is>
      </c>
      <c r="D5024" s="1" t="n">
        <v>46038</v>
      </c>
      <c r="E5024" s="1" t="n">
        <v>46319</v>
      </c>
      <c r="F5024" t="inlineStr">
        <is>
          <t>DALARNAS LÄN</t>
        </is>
      </c>
      <c r="G5024" t="inlineStr">
        <is>
          <t>ÄLVDALEN</t>
        </is>
      </c>
      <c r="I5024" t="n">
        <v>0.6</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2507-2026</t>
        </is>
      </c>
      <c r="B5025" t="inlineStr">
        <is>
          <t>avverkningsanmälan</t>
        </is>
      </c>
      <c r="C5025" t="inlineStr">
        <is>
          <t>Föryngringsavverkning</t>
        </is>
      </c>
      <c r="D5025" s="1" t="n">
        <v>46037</v>
      </c>
      <c r="E5025" s="1" t="n">
        <v>46319</v>
      </c>
      <c r="F5025" t="inlineStr">
        <is>
          <t>DALARNAS LÄN</t>
        </is>
      </c>
      <c r="G5025" t="inlineStr">
        <is>
          <t>SÄTER</t>
        </is>
      </c>
      <c r="I5025" t="n">
        <v>3.7</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15925-2024</t>
        </is>
      </c>
      <c r="B5026" t="inlineStr">
        <is>
          <t>avverkningsanmälan</t>
        </is>
      </c>
      <c r="C5026" t="inlineStr">
        <is>
          <t>Föryngringsavverkning</t>
        </is>
      </c>
      <c r="D5026" s="1" t="n">
        <v>45405</v>
      </c>
      <c r="E5026" s="1" t="n">
        <v>46319</v>
      </c>
      <c r="F5026" t="inlineStr">
        <is>
          <t>DALARNAS LÄN</t>
        </is>
      </c>
      <c r="G5026" t="inlineStr">
        <is>
          <t>AVESTA</t>
        </is>
      </c>
      <c r="I5026" t="n">
        <v>13.7</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21911-2024</t>
        </is>
      </c>
      <c r="B5027" t="inlineStr">
        <is>
          <t>avverkningsanmälan</t>
        </is>
      </c>
      <c r="C5027" t="inlineStr">
        <is>
          <t>Föryngringsavverkning</t>
        </is>
      </c>
      <c r="D5027" s="1" t="n">
        <v>45443</v>
      </c>
      <c r="E5027" s="1" t="n">
        <v>46319</v>
      </c>
      <c r="F5027" t="inlineStr">
        <is>
          <t>DALARNAS LÄN</t>
        </is>
      </c>
      <c r="G5027" t="inlineStr">
        <is>
          <t>SÄTER</t>
        </is>
      </c>
      <c r="I5027" t="n">
        <v>1.4</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2788-2026</t>
        </is>
      </c>
      <c r="B5028" t="inlineStr">
        <is>
          <t>avverkningsanmälan</t>
        </is>
      </c>
      <c r="C5028" t="inlineStr">
        <is>
          <t>Föryngringsavverkning</t>
        </is>
      </c>
      <c r="D5028" s="1" t="n">
        <v>46038</v>
      </c>
      <c r="E5028" s="1" t="n">
        <v>46319</v>
      </c>
      <c r="F5028" t="inlineStr">
        <is>
          <t>DALARNAS LÄN</t>
        </is>
      </c>
      <c r="G5028" t="inlineStr">
        <is>
          <t>ÄLVDALEN</t>
        </is>
      </c>
      <c r="I5028" t="n">
        <v>1.3</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38638-2026</t>
        </is>
      </c>
      <c r="B5029" t="inlineStr">
        <is>
          <t>avverkningsanmälan</t>
        </is>
      </c>
      <c r="C5029" t="inlineStr">
        <is>
          <t>Föryngringsavverkning</t>
        </is>
      </c>
      <c r="D5029" s="1" t="n">
        <v>46283</v>
      </c>
      <c r="E5029" s="1" t="n">
        <v>46319</v>
      </c>
      <c r="F5029" t="inlineStr">
        <is>
          <t>DALARNAS LÄN</t>
        </is>
      </c>
      <c r="G5029" t="inlineStr">
        <is>
          <t>LUDVIKA</t>
        </is>
      </c>
      <c r="H5029" t="inlineStr">
        <is>
          <t>Bergvik skog väst AB</t>
        </is>
      </c>
      <c r="I5029" t="n">
        <v>4.6</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38644-2026</t>
        </is>
      </c>
      <c r="B5030" t="inlineStr">
        <is>
          <t>avverkningsanmälan</t>
        </is>
      </c>
      <c r="C5030" t="inlineStr">
        <is>
          <t>Föryngringsavverkning</t>
        </is>
      </c>
      <c r="D5030" s="1" t="n">
        <v>46283</v>
      </c>
      <c r="E5030" s="1" t="n">
        <v>46319</v>
      </c>
      <c r="F5030" t="inlineStr">
        <is>
          <t>DALARNAS LÄN</t>
        </is>
      </c>
      <c r="G5030" t="inlineStr">
        <is>
          <t>VANSBRO</t>
        </is>
      </c>
      <c r="H5030" t="inlineStr">
        <is>
          <t>Bergvik skog öst AB</t>
        </is>
      </c>
      <c r="I5030" t="n">
        <v>0.9</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24024-2025</t>
        </is>
      </c>
      <c r="B5031" t="inlineStr">
        <is>
          <t>avverkningsanmälan</t>
        </is>
      </c>
      <c r="C5031" t="inlineStr">
        <is>
          <t>Föryngringsavverkning</t>
        </is>
      </c>
      <c r="D5031" s="1" t="n">
        <v>45796</v>
      </c>
      <c r="E5031" s="1" t="n">
        <v>46319</v>
      </c>
      <c r="F5031" t="inlineStr">
        <is>
          <t>DALARNAS LÄN</t>
        </is>
      </c>
      <c r="G5031" t="inlineStr">
        <is>
          <t>RÄTTVIK</t>
        </is>
      </c>
      <c r="I5031" t="n">
        <v>1.1</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2921-2026</t>
        </is>
      </c>
      <c r="B5032" t="inlineStr">
        <is>
          <t>avverkningsanmälan</t>
        </is>
      </c>
      <c r="C5032" t="inlineStr">
        <is>
          <t>Föryngringsavverkning</t>
        </is>
      </c>
      <c r="D5032" s="1" t="n">
        <v>46038</v>
      </c>
      <c r="E5032" s="1" t="n">
        <v>46319</v>
      </c>
      <c r="F5032" t="inlineStr">
        <is>
          <t>DALARNAS LÄN</t>
        </is>
      </c>
      <c r="G5032" t="inlineStr">
        <is>
          <t>ÄLVDALEN</t>
        </is>
      </c>
      <c r="I5032" t="n">
        <v>1.4</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2967-2026</t>
        </is>
      </c>
      <c r="B5033" t="inlineStr">
        <is>
          <t>avverkningsanmälan</t>
        </is>
      </c>
      <c r="C5033" t="inlineStr">
        <is>
          <t>Föryngringsavverkning</t>
        </is>
      </c>
      <c r="D5033" s="1" t="n">
        <v>46037</v>
      </c>
      <c r="E5033" s="1" t="n">
        <v>46319</v>
      </c>
      <c r="F5033" t="inlineStr">
        <is>
          <t>DALARNAS LÄN</t>
        </is>
      </c>
      <c r="G5033" t="inlineStr">
        <is>
          <t>FALUN</t>
        </is>
      </c>
      <c r="I5033" t="n">
        <v>0.8</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2722-2026</t>
        </is>
      </c>
      <c r="B5034" t="inlineStr">
        <is>
          <t>avverkningsanmälan</t>
        </is>
      </c>
      <c r="C5034" t="inlineStr">
        <is>
          <t>Föryngringsavverkning</t>
        </is>
      </c>
      <c r="D5034" s="1" t="n">
        <v>46037</v>
      </c>
      <c r="E5034" s="1" t="n">
        <v>46319</v>
      </c>
      <c r="F5034" t="inlineStr">
        <is>
          <t>DALARNAS LÄN</t>
        </is>
      </c>
      <c r="G5034" t="inlineStr">
        <is>
          <t>FALUN</t>
        </is>
      </c>
      <c r="I5034" t="n">
        <v>5.1</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38679-2026</t>
        </is>
      </c>
      <c r="B5035" t="inlineStr">
        <is>
          <t>avverkningsanmälan</t>
        </is>
      </c>
      <c r="C5035" t="inlineStr">
        <is>
          <t>Föryngringsavverkning</t>
        </is>
      </c>
      <c r="D5035" s="1" t="n">
        <v>46281</v>
      </c>
      <c r="E5035" s="1" t="n">
        <v>46319</v>
      </c>
      <c r="F5035" t="inlineStr">
        <is>
          <t>DALARNAS LÄN</t>
        </is>
      </c>
      <c r="G5035" t="inlineStr">
        <is>
          <t>HEDEMORA</t>
        </is>
      </c>
      <c r="H5035" t="inlineStr">
        <is>
          <t>Bergvik skog väst AB</t>
        </is>
      </c>
      <c r="I5035" t="n">
        <v>2.3</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2765-2026</t>
        </is>
      </c>
      <c r="B5036" t="inlineStr">
        <is>
          <t>avverkningsanmälan</t>
        </is>
      </c>
      <c r="C5036" t="inlineStr">
        <is>
          <t>Föryngringsavverkning</t>
        </is>
      </c>
      <c r="D5036" s="1" t="n">
        <v>46038</v>
      </c>
      <c r="E5036" s="1" t="n">
        <v>46319</v>
      </c>
      <c r="F5036" t="inlineStr">
        <is>
          <t>DALARNAS LÄN</t>
        </is>
      </c>
      <c r="G5036" t="inlineStr">
        <is>
          <t>SMEDJEBACKEN</t>
        </is>
      </c>
      <c r="I5036" t="n">
        <v>3.9</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35889-2024</t>
        </is>
      </c>
      <c r="B5037" t="inlineStr">
        <is>
          <t>avverkningsanmälan</t>
        </is>
      </c>
      <c r="C5037" t="inlineStr">
        <is>
          <t>Avverkning för annat ändamål</t>
        </is>
      </c>
      <c r="D5037" s="1" t="n">
        <v>45533</v>
      </c>
      <c r="E5037" s="1" t="n">
        <v>46319</v>
      </c>
      <c r="F5037" t="inlineStr">
        <is>
          <t>DALARNAS LÄN</t>
        </is>
      </c>
      <c r="G5037" t="inlineStr">
        <is>
          <t>RÄTTVIK</t>
        </is>
      </c>
      <c r="I5037" t="n">
        <v>3.8</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2683-2026</t>
        </is>
      </c>
      <c r="B5038" t="inlineStr">
        <is>
          <t>avverkningsanmälan</t>
        </is>
      </c>
      <c r="C5038" t="inlineStr">
        <is>
          <t>Föryngringsavverkning</t>
        </is>
      </c>
      <c r="D5038" s="1" t="n">
        <v>46037</v>
      </c>
      <c r="E5038" s="1" t="n">
        <v>46319</v>
      </c>
      <c r="F5038" t="inlineStr">
        <is>
          <t>DALARNAS LÄN</t>
        </is>
      </c>
      <c r="G5038" t="inlineStr">
        <is>
          <t>FALUN</t>
        </is>
      </c>
      <c r="I5038" t="n">
        <v>1.5</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2927-2026</t>
        </is>
      </c>
      <c r="B5039" t="inlineStr">
        <is>
          <t>avverkningsanmälan</t>
        </is>
      </c>
      <c r="C5039" t="inlineStr">
        <is>
          <t>Föryngringsavverkning</t>
        </is>
      </c>
      <c r="D5039" s="1" t="n">
        <v>46038</v>
      </c>
      <c r="E5039" s="1" t="n">
        <v>46319</v>
      </c>
      <c r="F5039" t="inlineStr">
        <is>
          <t>DALARNAS LÄN</t>
        </is>
      </c>
      <c r="G5039" t="inlineStr">
        <is>
          <t>ÄLVDALEN</t>
        </is>
      </c>
      <c r="I5039" t="n">
        <v>0.6</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38620-2026</t>
        </is>
      </c>
      <c r="B5040" t="inlineStr">
        <is>
          <t>avverkningsanmälan</t>
        </is>
      </c>
      <c r="C5040" t="inlineStr">
        <is>
          <t>Föryngringsavverkning</t>
        </is>
      </c>
      <c r="D5040" s="1" t="n">
        <v>46283</v>
      </c>
      <c r="E5040" s="1" t="n">
        <v>46319</v>
      </c>
      <c r="F5040" t="inlineStr">
        <is>
          <t>DALARNAS LÄN</t>
        </is>
      </c>
      <c r="G5040" t="inlineStr">
        <is>
          <t>LUDVIKA</t>
        </is>
      </c>
      <c r="H5040" t="inlineStr">
        <is>
          <t>Naturvårdsverket</t>
        </is>
      </c>
      <c r="I5040" t="n">
        <v>2.7</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32780-2026</t>
        </is>
      </c>
      <c r="B5041" t="inlineStr">
        <is>
          <t>avverkningsanmälan</t>
        </is>
      </c>
      <c r="C5041" t="inlineStr">
        <is>
          <t>Föryngringsavverkning</t>
        </is>
      </c>
      <c r="D5041" s="1" t="n">
        <v>46241</v>
      </c>
      <c r="E5041" s="1" t="n">
        <v>46319</v>
      </c>
      <c r="F5041" t="inlineStr">
        <is>
          <t>DALARNAS LÄN</t>
        </is>
      </c>
      <c r="G5041" t="inlineStr">
        <is>
          <t>LUDVIKA</t>
        </is>
      </c>
      <c r="H5041" t="inlineStr">
        <is>
          <t>Bergvik skog väst AB</t>
        </is>
      </c>
      <c r="I5041" t="n">
        <v>2.2</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57536-2025</t>
        </is>
      </c>
      <c r="B5042" t="inlineStr">
        <is>
          <t>avverkningsanmälan</t>
        </is>
      </c>
      <c r="C5042" t="inlineStr">
        <is>
          <t>Föryngringsavverkning</t>
        </is>
      </c>
      <c r="D5042" s="1" t="n">
        <v>45980</v>
      </c>
      <c r="E5042" s="1" t="n">
        <v>46319</v>
      </c>
      <c r="F5042" t="inlineStr">
        <is>
          <t>DALARNAS LÄN</t>
        </is>
      </c>
      <c r="G5042" t="inlineStr">
        <is>
          <t>LEKSAND</t>
        </is>
      </c>
      <c r="I5042" t="n">
        <v>1</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38903-2026</t>
        </is>
      </c>
      <c r="B5043" t="inlineStr">
        <is>
          <t>avverkningsanmälan</t>
        </is>
      </c>
      <c r="C5043" t="inlineStr">
        <is>
          <t>Föryngringsavverkning</t>
        </is>
      </c>
      <c r="D5043" s="1" t="n">
        <v>46286</v>
      </c>
      <c r="E5043" s="1" t="n">
        <v>46319</v>
      </c>
      <c r="F5043" t="inlineStr">
        <is>
          <t>DALARNAS LÄN</t>
        </is>
      </c>
      <c r="G5043" t="inlineStr">
        <is>
          <t>MORA</t>
        </is>
      </c>
      <c r="I5043" t="n">
        <v>1.6</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673-2026</t>
        </is>
      </c>
      <c r="B5044" t="inlineStr">
        <is>
          <t>avverkningsanmälan</t>
        </is>
      </c>
      <c r="C5044" t="inlineStr">
        <is>
          <t>Föryngringsavverkning</t>
        </is>
      </c>
      <c r="D5044" s="1" t="n">
        <v>46029</v>
      </c>
      <c r="E5044" s="1" t="n">
        <v>46319</v>
      </c>
      <c r="F5044" t="inlineStr">
        <is>
          <t>DALARNAS LÄN</t>
        </is>
      </c>
      <c r="G5044" t="inlineStr">
        <is>
          <t>MORA</t>
        </is>
      </c>
      <c r="H5044" t="inlineStr">
        <is>
          <t>Kommuner</t>
        </is>
      </c>
      <c r="I5044" t="n">
        <v>25.8</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2897-2026</t>
        </is>
      </c>
      <c r="B5045" t="inlineStr">
        <is>
          <t>avverkningsanmälan</t>
        </is>
      </c>
      <c r="C5045" t="inlineStr">
        <is>
          <t>Föryngringsavverkning</t>
        </is>
      </c>
      <c r="D5045" s="1" t="n">
        <v>46038</v>
      </c>
      <c r="E5045" s="1" t="n">
        <v>46319</v>
      </c>
      <c r="F5045" t="inlineStr">
        <is>
          <t>DALARNAS LÄN</t>
        </is>
      </c>
      <c r="G5045" t="inlineStr">
        <is>
          <t>ÄLVDALEN</t>
        </is>
      </c>
      <c r="I5045" t="n">
        <v>1.5</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2914-2026</t>
        </is>
      </c>
      <c r="B5046" t="inlineStr">
        <is>
          <t>avverkningsanmälan</t>
        </is>
      </c>
      <c r="C5046" t="inlineStr">
        <is>
          <t>Föryngringsavverkning</t>
        </is>
      </c>
      <c r="D5046" s="1" t="n">
        <v>46038</v>
      </c>
      <c r="E5046" s="1" t="n">
        <v>46319</v>
      </c>
      <c r="F5046" t="inlineStr">
        <is>
          <t>DALARNAS LÄN</t>
        </is>
      </c>
      <c r="G5046" t="inlineStr">
        <is>
          <t>ÄLVDALEN</t>
        </is>
      </c>
      <c r="I5046" t="n">
        <v>0.8</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35070-2024</t>
        </is>
      </c>
      <c r="B5047" t="inlineStr">
        <is>
          <t>avverkningsanmälan</t>
        </is>
      </c>
      <c r="C5047" t="inlineStr">
        <is>
          <t>Avverkning för annat ändamål</t>
        </is>
      </c>
      <c r="D5047" s="1" t="n">
        <v>45527</v>
      </c>
      <c r="E5047" s="1" t="n">
        <v>46319</v>
      </c>
      <c r="F5047" t="inlineStr">
        <is>
          <t>DALARNAS LÄN</t>
        </is>
      </c>
      <c r="G5047" t="inlineStr">
        <is>
          <t>FALUN</t>
        </is>
      </c>
      <c r="I5047" t="n">
        <v>1.2</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26503-2022</t>
        </is>
      </c>
      <c r="B5048" t="inlineStr">
        <is>
          <t>avverkningsanmälan</t>
        </is>
      </c>
      <c r="C5048" t="inlineStr">
        <is>
          <t>Föryngringsavverkning</t>
        </is>
      </c>
      <c r="D5048" s="1" t="n">
        <v>44739</v>
      </c>
      <c r="E5048" s="1" t="n">
        <v>46319</v>
      </c>
      <c r="F5048" t="inlineStr">
        <is>
          <t>DALARNAS LÄN</t>
        </is>
      </c>
      <c r="G5048" t="inlineStr">
        <is>
          <t>SÄTER</t>
        </is>
      </c>
      <c r="I5048" t="n">
        <v>1.4</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38145-2026</t>
        </is>
      </c>
      <c r="B5049" t="inlineStr">
        <is>
          <t>avverkningsanmälan</t>
        </is>
      </c>
      <c r="C5049" t="inlineStr">
        <is>
          <t>Föryngringsavverkning</t>
        </is>
      </c>
      <c r="D5049" s="1" t="n">
        <v>46281</v>
      </c>
      <c r="E5049" s="1" t="n">
        <v>46319</v>
      </c>
      <c r="F5049" t="inlineStr">
        <is>
          <t>DALARNAS LÄN</t>
        </is>
      </c>
      <c r="G5049" t="inlineStr">
        <is>
          <t>ORSA</t>
        </is>
      </c>
      <c r="H5049" t="inlineStr">
        <is>
          <t>Allmännings- och besparingsskogar</t>
        </is>
      </c>
      <c r="I5049" t="n">
        <v>5</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2554-2026</t>
        </is>
      </c>
      <c r="B5050" t="inlineStr">
        <is>
          <t>avverkningsanmälan</t>
        </is>
      </c>
      <c r="C5050" t="inlineStr">
        <is>
          <t>Föryngringsavverkning</t>
        </is>
      </c>
      <c r="D5050" s="1" t="n">
        <v>46037</v>
      </c>
      <c r="E5050" s="1" t="n">
        <v>46319</v>
      </c>
      <c r="F5050" t="inlineStr">
        <is>
          <t>DALARNAS LÄN</t>
        </is>
      </c>
      <c r="G5050" t="inlineStr">
        <is>
          <t>FALUN</t>
        </is>
      </c>
      <c r="I5050" t="n">
        <v>8.4</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2558-2026</t>
        </is>
      </c>
      <c r="B5051" t="inlineStr">
        <is>
          <t>avverkningsanmälan</t>
        </is>
      </c>
      <c r="C5051" t="inlineStr">
        <is>
          <t>Föryngringsavverkning</t>
        </is>
      </c>
      <c r="D5051" s="1" t="n">
        <v>46037</v>
      </c>
      <c r="E5051" s="1" t="n">
        <v>46319</v>
      </c>
      <c r="F5051" t="inlineStr">
        <is>
          <t>DALARNAS LÄN</t>
        </is>
      </c>
      <c r="G5051" t="inlineStr">
        <is>
          <t>FALUN</t>
        </is>
      </c>
      <c r="I5051" t="n">
        <v>11.2</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32755-2026</t>
        </is>
      </c>
      <c r="B5052" t="inlineStr">
        <is>
          <t>avverkningsanmälan</t>
        </is>
      </c>
      <c r="C5052" t="inlineStr">
        <is>
          <t>Föryngringsavverkning</t>
        </is>
      </c>
      <c r="D5052" s="1" t="n">
        <v>46241</v>
      </c>
      <c r="E5052" s="1" t="n">
        <v>46319</v>
      </c>
      <c r="F5052" t="inlineStr">
        <is>
          <t>DALARNAS LÄN</t>
        </is>
      </c>
      <c r="G5052" t="inlineStr">
        <is>
          <t>LUDVIKA</t>
        </is>
      </c>
      <c r="H5052" t="inlineStr">
        <is>
          <t>Bergvik skog väst AB</t>
        </is>
      </c>
      <c r="I5052" t="n">
        <v>1.3</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2728-2026</t>
        </is>
      </c>
      <c r="B5053" t="inlineStr">
        <is>
          <t>avverkningsanmälan</t>
        </is>
      </c>
      <c r="C5053" t="inlineStr">
        <is>
          <t>Föryngringsavverkning</t>
        </is>
      </c>
      <c r="D5053" s="1" t="n">
        <v>46037</v>
      </c>
      <c r="E5053" s="1" t="n">
        <v>46319</v>
      </c>
      <c r="F5053" t="inlineStr">
        <is>
          <t>DALARNAS LÄN</t>
        </is>
      </c>
      <c r="G5053" t="inlineStr">
        <is>
          <t>VANSBRO</t>
        </is>
      </c>
      <c r="I5053" t="n">
        <v>6.5</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28637-2026</t>
        </is>
      </c>
      <c r="B5054" t="inlineStr">
        <is>
          <t>avverkningsanmälan</t>
        </is>
      </c>
      <c r="C5054" t="inlineStr">
        <is>
          <t>Avverkning för att bevara och utveckla /försöksver</t>
        </is>
      </c>
      <c r="D5054" s="1" t="n">
        <v>46198</v>
      </c>
      <c r="E5054" s="1" t="n">
        <v>46319</v>
      </c>
      <c r="F5054" t="inlineStr">
        <is>
          <t>DALARNAS LÄN</t>
        </is>
      </c>
      <c r="G5054" t="inlineStr">
        <is>
          <t>RÄTTVIK</t>
        </is>
      </c>
      <c r="H5054" t="inlineStr">
        <is>
          <t>Sveaskog</t>
        </is>
      </c>
      <c r="I5054" t="n">
        <v>7.5</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27535-2023</t>
        </is>
      </c>
      <c r="B5055" t="inlineStr">
        <is>
          <t>avverkningsanmälan</t>
        </is>
      </c>
      <c r="C5055" t="inlineStr">
        <is>
          <t>Föryngringsavverkning</t>
        </is>
      </c>
      <c r="D5055" s="1" t="n">
        <v>45097</v>
      </c>
      <c r="E5055" s="1" t="n">
        <v>46319</v>
      </c>
      <c r="F5055" t="inlineStr">
        <is>
          <t>DALARNAS LÄN</t>
        </is>
      </c>
      <c r="G5055" t="inlineStr">
        <is>
          <t>RÄTTVIK</t>
        </is>
      </c>
      <c r="H5055" t="inlineStr">
        <is>
          <t>Bergvik skog väst AB</t>
        </is>
      </c>
      <c r="I5055" t="n">
        <v>1.4</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7598-2024</t>
        </is>
      </c>
      <c r="B5056" t="inlineStr">
        <is>
          <t>avverkningsanmälan</t>
        </is>
      </c>
      <c r="C5056" t="inlineStr">
        <is>
          <t>Föryngringsavverkning</t>
        </is>
      </c>
      <c r="D5056" s="1" t="n">
        <v>45348</v>
      </c>
      <c r="E5056" s="1" t="n">
        <v>46319</v>
      </c>
      <c r="F5056" t="inlineStr">
        <is>
          <t>DALARNAS LÄN</t>
        </is>
      </c>
      <c r="G5056" t="inlineStr">
        <is>
          <t>GAGNEF</t>
        </is>
      </c>
      <c r="I5056" t="n">
        <v>2.2</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27522-2023</t>
        </is>
      </c>
      <c r="B5057" t="inlineStr">
        <is>
          <t>avverkningsanmälan</t>
        </is>
      </c>
      <c r="C5057" t="inlineStr">
        <is>
          <t>Föryngringsavverkning</t>
        </is>
      </c>
      <c r="D5057" s="1" t="n">
        <v>45097</v>
      </c>
      <c r="E5057" s="1" t="n">
        <v>46319</v>
      </c>
      <c r="F5057" t="inlineStr">
        <is>
          <t>DALARNAS LÄN</t>
        </is>
      </c>
      <c r="G5057" t="inlineStr">
        <is>
          <t>RÄTTVIK</t>
        </is>
      </c>
      <c r="H5057" t="inlineStr">
        <is>
          <t>Bergvik skog väst AB</t>
        </is>
      </c>
      <c r="I5057" t="n">
        <v>1.4</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31072-2026</t>
        </is>
      </c>
      <c r="B5058" t="inlineStr">
        <is>
          <t>avverkningsanmälan</t>
        </is>
      </c>
      <c r="C5058" t="inlineStr">
        <is>
          <t>Föryngringsavverkning</t>
        </is>
      </c>
      <c r="D5058" s="1" t="n">
        <v>46216</v>
      </c>
      <c r="E5058" s="1" t="n">
        <v>46319</v>
      </c>
      <c r="F5058" t="inlineStr">
        <is>
          <t>DALARNAS LÄN</t>
        </is>
      </c>
      <c r="G5058" t="inlineStr">
        <is>
          <t>RÄTTVIK</t>
        </is>
      </c>
      <c r="I5058" t="n">
        <v>1.3</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2906-2026</t>
        </is>
      </c>
      <c r="B5059" t="inlineStr">
        <is>
          <t>avverkningsanmälan</t>
        </is>
      </c>
      <c r="C5059" t="inlineStr">
        <is>
          <t>Föryngringsavverkning</t>
        </is>
      </c>
      <c r="D5059" s="1" t="n">
        <v>46038</v>
      </c>
      <c r="E5059" s="1" t="n">
        <v>46319</v>
      </c>
      <c r="F5059" t="inlineStr">
        <is>
          <t>DALARNAS LÄN</t>
        </is>
      </c>
      <c r="G5059" t="inlineStr">
        <is>
          <t>ÄLVDALEN</t>
        </is>
      </c>
      <c r="I5059" t="n">
        <v>1.4</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23328-2024</t>
        </is>
      </c>
      <c r="B5060" t="inlineStr">
        <is>
          <t>avverkningsanmälan</t>
        </is>
      </c>
      <c r="C5060" t="inlineStr">
        <is>
          <t>Föryngringsavverkning</t>
        </is>
      </c>
      <c r="D5060" s="1" t="n">
        <v>45453</v>
      </c>
      <c r="E5060" s="1" t="n">
        <v>46319</v>
      </c>
      <c r="F5060" t="inlineStr">
        <is>
          <t>DALARNAS LÄN</t>
        </is>
      </c>
      <c r="G5060" t="inlineStr">
        <is>
          <t>ÄLVDALEN</t>
        </is>
      </c>
      <c r="I5060" t="n">
        <v>2.7</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8762-2025</t>
        </is>
      </c>
      <c r="B5061" t="inlineStr">
        <is>
          <t>avverkningsanmälan</t>
        </is>
      </c>
      <c r="C5061" t="inlineStr">
        <is>
          <t>Föryngringsavverkning</t>
        </is>
      </c>
      <c r="D5061" s="1" t="n">
        <v>45712</v>
      </c>
      <c r="E5061" s="1" t="n">
        <v>46319</v>
      </c>
      <c r="F5061" t="inlineStr">
        <is>
          <t>DALARNAS LÄN</t>
        </is>
      </c>
      <c r="G5061" t="inlineStr">
        <is>
          <t>MALUNG-SÄLEN</t>
        </is>
      </c>
      <c r="I5061" t="n">
        <v>1.7</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2042-2026</t>
        </is>
      </c>
      <c r="B5062" t="inlineStr">
        <is>
          <t>avverkningsanmälan</t>
        </is>
      </c>
      <c r="C5062" t="inlineStr">
        <is>
          <t>Föryngringsavverkning</t>
        </is>
      </c>
      <c r="D5062" s="1" t="n">
        <v>46031</v>
      </c>
      <c r="E5062" s="1" t="n">
        <v>46319</v>
      </c>
      <c r="F5062" t="inlineStr">
        <is>
          <t>DALARNAS LÄN</t>
        </is>
      </c>
      <c r="G5062" t="inlineStr">
        <is>
          <t>ÄLVDALEN</t>
        </is>
      </c>
      <c r="H5062" t="inlineStr">
        <is>
          <t>Sveaskog</t>
        </is>
      </c>
      <c r="I5062" t="n">
        <v>7.7</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44350-2023</t>
        </is>
      </c>
      <c r="B5063" t="inlineStr">
        <is>
          <t>avverkningsanmälan</t>
        </is>
      </c>
      <c r="C5063" t="inlineStr">
        <is>
          <t>Föryngringsavverkning</t>
        </is>
      </c>
      <c r="D5063" s="1" t="n">
        <v>45188</v>
      </c>
      <c r="E5063" s="1" t="n">
        <v>46319</v>
      </c>
      <c r="F5063" t="inlineStr">
        <is>
          <t>DALARNAS LÄN</t>
        </is>
      </c>
      <c r="G5063" t="inlineStr">
        <is>
          <t>MALUNG-SÄLEN</t>
        </is>
      </c>
      <c r="I5063" t="n">
        <v>3.4</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32746-2026</t>
        </is>
      </c>
      <c r="B5064" t="inlineStr">
        <is>
          <t>avverkningsanmälan</t>
        </is>
      </c>
      <c r="C5064" t="inlineStr">
        <is>
          <t>Föryngringsavverkning</t>
        </is>
      </c>
      <c r="D5064" s="1" t="n">
        <v>46241</v>
      </c>
      <c r="E5064" s="1" t="n">
        <v>46319</v>
      </c>
      <c r="F5064" t="inlineStr">
        <is>
          <t>DALARNAS LÄN</t>
        </is>
      </c>
      <c r="G5064" t="inlineStr">
        <is>
          <t>RÄTTVIK</t>
        </is>
      </c>
      <c r="H5064" t="inlineStr">
        <is>
          <t>Bergvik skog väst AB</t>
        </is>
      </c>
      <c r="I5064" t="n">
        <v>13.8</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2568-2026</t>
        </is>
      </c>
      <c r="B5065" t="inlineStr">
        <is>
          <t>avverkningsanmälan</t>
        </is>
      </c>
      <c r="C5065" t="inlineStr">
        <is>
          <t>Föryngringsavverkning</t>
        </is>
      </c>
      <c r="D5065" s="1" t="n">
        <v>46037</v>
      </c>
      <c r="E5065" s="1" t="n">
        <v>46319</v>
      </c>
      <c r="F5065" t="inlineStr">
        <is>
          <t>DALARNAS LÄN</t>
        </is>
      </c>
      <c r="G5065" t="inlineStr">
        <is>
          <t>FALUN</t>
        </is>
      </c>
      <c r="I5065" t="n">
        <v>0.5</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2932-2026</t>
        </is>
      </c>
      <c r="B5066" t="inlineStr">
        <is>
          <t>avverkningsanmälan</t>
        </is>
      </c>
      <c r="C5066" t="inlineStr">
        <is>
          <t>Föryngringsavverkning</t>
        </is>
      </c>
      <c r="D5066" s="1" t="n">
        <v>46038</v>
      </c>
      <c r="E5066" s="1" t="n">
        <v>46319</v>
      </c>
      <c r="F5066" t="inlineStr">
        <is>
          <t>DALARNAS LÄN</t>
        </is>
      </c>
      <c r="G5066" t="inlineStr">
        <is>
          <t>ÄLVDALEN</t>
        </is>
      </c>
      <c r="I5066" t="n">
        <v>0.4</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2812-2026</t>
        </is>
      </c>
      <c r="B5067" t="inlineStr">
        <is>
          <t>avverkningsanmälan</t>
        </is>
      </c>
      <c r="C5067" t="inlineStr">
        <is>
          <t>Föryngringsavverkning</t>
        </is>
      </c>
      <c r="D5067" s="1" t="n">
        <v>46038</v>
      </c>
      <c r="E5067" s="1" t="n">
        <v>46319</v>
      </c>
      <c r="F5067" t="inlineStr">
        <is>
          <t>DALARNAS LÄN</t>
        </is>
      </c>
      <c r="G5067" t="inlineStr">
        <is>
          <t>FALUN</t>
        </is>
      </c>
      <c r="I5067" t="n">
        <v>5</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3449-2026</t>
        </is>
      </c>
      <c r="B5068" t="inlineStr">
        <is>
          <t>avverkningsanmälan</t>
        </is>
      </c>
      <c r="C5068" t="inlineStr">
        <is>
          <t>Föryngringsavverkning</t>
        </is>
      </c>
      <c r="D5068" s="1" t="n">
        <v>46042</v>
      </c>
      <c r="E5068" s="1" t="n">
        <v>46319</v>
      </c>
      <c r="F5068" t="inlineStr">
        <is>
          <t>DALARNAS LÄN</t>
        </is>
      </c>
      <c r="G5068" t="inlineStr">
        <is>
          <t>RÄTTVIK</t>
        </is>
      </c>
      <c r="I5068" t="n">
        <v>0.8</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24019-2025</t>
        </is>
      </c>
      <c r="B5069" t="inlineStr">
        <is>
          <t>avverkningsanmälan</t>
        </is>
      </c>
      <c r="C5069" t="inlineStr">
        <is>
          <t>Föryngringsavverkning</t>
        </is>
      </c>
      <c r="D5069" s="1" t="n">
        <v>45796</v>
      </c>
      <c r="E5069" s="1" t="n">
        <v>46319</v>
      </c>
      <c r="F5069" t="inlineStr">
        <is>
          <t>DALARNAS LÄN</t>
        </is>
      </c>
      <c r="G5069" t="inlineStr">
        <is>
          <t>BORLÄNGE</t>
        </is>
      </c>
      <c r="I5069" t="n">
        <v>0.8</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32730-2026</t>
        </is>
      </c>
      <c r="B5070" t="inlineStr">
        <is>
          <t>avverkningsanmälan</t>
        </is>
      </c>
      <c r="C5070" t="inlineStr">
        <is>
          <t>Föryngringsavverkning</t>
        </is>
      </c>
      <c r="D5070" s="1" t="n">
        <v>46241</v>
      </c>
      <c r="E5070" s="1" t="n">
        <v>46319</v>
      </c>
      <c r="F5070" t="inlineStr">
        <is>
          <t>DALARNAS LÄN</t>
        </is>
      </c>
      <c r="G5070" t="inlineStr">
        <is>
          <t>RÄTTVIK</t>
        </is>
      </c>
      <c r="H5070" t="inlineStr">
        <is>
          <t>Bergvik skog väst AB</t>
        </is>
      </c>
      <c r="I5070" t="n">
        <v>1.7</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3587-2026</t>
        </is>
      </c>
      <c r="B5071" t="inlineStr">
        <is>
          <t>avverkningsanmälan</t>
        </is>
      </c>
      <c r="C5071" t="inlineStr">
        <is>
          <t>Föryngringsavverkning</t>
        </is>
      </c>
      <c r="D5071" s="1" t="n">
        <v>46042</v>
      </c>
      <c r="E5071" s="1" t="n">
        <v>46319</v>
      </c>
      <c r="F5071" t="inlineStr">
        <is>
          <t>DALARNAS LÄN</t>
        </is>
      </c>
      <c r="G5071" t="inlineStr">
        <is>
          <t>FALUN</t>
        </is>
      </c>
      <c r="I5071" t="n">
        <v>1.6</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38775-2026</t>
        </is>
      </c>
      <c r="B5072" t="inlineStr">
        <is>
          <t>avverkningsanmälan</t>
        </is>
      </c>
      <c r="C5072" t="inlineStr">
        <is>
          <t>Föryngringsavverkning</t>
        </is>
      </c>
      <c r="D5072" s="1" t="n">
        <v>46286</v>
      </c>
      <c r="E5072" s="1" t="n">
        <v>46319</v>
      </c>
      <c r="F5072" t="inlineStr">
        <is>
          <t>DALARNAS LÄN</t>
        </is>
      </c>
      <c r="G5072" t="inlineStr">
        <is>
          <t>SMEDJEBACKEN</t>
        </is>
      </c>
      <c r="H5072" t="inlineStr">
        <is>
          <t>Sveaskog</t>
        </is>
      </c>
      <c r="I5072" t="n">
        <v>3.7</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38656-2026</t>
        </is>
      </c>
      <c r="B5073" t="inlineStr">
        <is>
          <t>avverkningsanmälan</t>
        </is>
      </c>
      <c r="C5073" t="inlineStr">
        <is>
          <t>Föryngringsavverkning</t>
        </is>
      </c>
      <c r="D5073" s="1" t="n">
        <v>46283</v>
      </c>
      <c r="E5073" s="1" t="n">
        <v>46319</v>
      </c>
      <c r="F5073" t="inlineStr">
        <is>
          <t>DALARNAS LÄN</t>
        </is>
      </c>
      <c r="G5073" t="inlineStr">
        <is>
          <t>LUDVIKA</t>
        </is>
      </c>
      <c r="H5073" t="inlineStr">
        <is>
          <t>Bergvik skog väst AB</t>
        </is>
      </c>
      <c r="I5073" t="n">
        <v>4.6</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3120-2026</t>
        </is>
      </c>
      <c r="B5074" t="inlineStr">
        <is>
          <t>avverkningsanmälan</t>
        </is>
      </c>
      <c r="C5074" t="inlineStr">
        <is>
          <t>Föryngringsavverkning</t>
        </is>
      </c>
      <c r="D5074" s="1" t="n">
        <v>46041</v>
      </c>
      <c r="E5074" s="1" t="n">
        <v>46319</v>
      </c>
      <c r="F5074" t="inlineStr">
        <is>
          <t>DALARNAS LÄN</t>
        </is>
      </c>
      <c r="G5074" t="inlineStr">
        <is>
          <t>ÄLVDALEN</t>
        </is>
      </c>
      <c r="I5074" t="n">
        <v>2.4</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3124-2026</t>
        </is>
      </c>
      <c r="B5075" t="inlineStr">
        <is>
          <t>avverkningsanmälan</t>
        </is>
      </c>
      <c r="C5075" t="inlineStr">
        <is>
          <t>Föryngringsavverkning</t>
        </is>
      </c>
      <c r="D5075" s="1" t="n">
        <v>46041</v>
      </c>
      <c r="E5075" s="1" t="n">
        <v>46319</v>
      </c>
      <c r="F5075" t="inlineStr">
        <is>
          <t>DALARNAS LÄN</t>
        </is>
      </c>
      <c r="G5075" t="inlineStr">
        <is>
          <t>ÄLVDALEN</t>
        </is>
      </c>
      <c r="I5075" t="n">
        <v>0.9</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38661-2026</t>
        </is>
      </c>
      <c r="B5076" t="inlineStr">
        <is>
          <t>avverkningsanmälan</t>
        </is>
      </c>
      <c r="C5076" t="inlineStr">
        <is>
          <t>Föryngringsavverkning</t>
        </is>
      </c>
      <c r="D5076" s="1" t="n">
        <v>46283</v>
      </c>
      <c r="E5076" s="1" t="n">
        <v>46319</v>
      </c>
      <c r="F5076" t="inlineStr">
        <is>
          <t>DALARNAS LÄN</t>
        </is>
      </c>
      <c r="G5076" t="inlineStr">
        <is>
          <t>LUDVIKA</t>
        </is>
      </c>
      <c r="H5076" t="inlineStr">
        <is>
          <t>Bergvik skog väst AB</t>
        </is>
      </c>
      <c r="I5076" t="n">
        <v>6.5</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36682-2024</t>
        </is>
      </c>
      <c r="B5077" t="inlineStr">
        <is>
          <t>avverkningsanmälan</t>
        </is>
      </c>
      <c r="C5077" t="inlineStr">
        <is>
          <t>Föryngringsavverkning</t>
        </is>
      </c>
      <c r="D5077" s="1" t="n">
        <v>45537</v>
      </c>
      <c r="E5077" s="1" t="n">
        <v>46319</v>
      </c>
      <c r="F5077" t="inlineStr">
        <is>
          <t>DALARNAS LÄN</t>
        </is>
      </c>
      <c r="G5077" t="inlineStr">
        <is>
          <t>ORSA</t>
        </is>
      </c>
      <c r="I5077" t="n">
        <v>1.2</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49144-2024</t>
        </is>
      </c>
      <c r="B5078" t="inlineStr">
        <is>
          <t>avverkningsanmälan</t>
        </is>
      </c>
      <c r="C5078" t="inlineStr">
        <is>
          <t>Föryngringsavverkning</t>
        </is>
      </c>
      <c r="D5078" s="1" t="n">
        <v>45594</v>
      </c>
      <c r="E5078" s="1" t="n">
        <v>46319</v>
      </c>
      <c r="F5078" t="inlineStr">
        <is>
          <t>DALARNAS LÄN</t>
        </is>
      </c>
      <c r="G5078" t="inlineStr">
        <is>
          <t>SMEDJEBACKEN</t>
        </is>
      </c>
      <c r="H5078" t="inlineStr">
        <is>
          <t>Bergvik skog väst AB</t>
        </is>
      </c>
      <c r="I5078" t="n">
        <v>16.9</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12167-2023</t>
        </is>
      </c>
      <c r="B5079" t="inlineStr">
        <is>
          <t>avverkningsanmälan</t>
        </is>
      </c>
      <c r="C5079" t="inlineStr">
        <is>
          <t>Föryngringsavverkning</t>
        </is>
      </c>
      <c r="D5079" s="1" t="n">
        <v>44998</v>
      </c>
      <c r="E5079" s="1" t="n">
        <v>46319</v>
      </c>
      <c r="F5079" t="inlineStr">
        <is>
          <t>DALARNAS LÄN</t>
        </is>
      </c>
      <c r="G5079" t="inlineStr">
        <is>
          <t>AVESTA</t>
        </is>
      </c>
      <c r="I5079" t="n">
        <v>1.6</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3057-2026</t>
        </is>
      </c>
      <c r="B5080" t="inlineStr">
        <is>
          <t>avverkningsanmälan</t>
        </is>
      </c>
      <c r="C5080" t="inlineStr">
        <is>
          <t>Föryngringsavverkning</t>
        </is>
      </c>
      <c r="D5080" s="1" t="n">
        <v>46039</v>
      </c>
      <c r="E5080" s="1" t="n">
        <v>46319</v>
      </c>
      <c r="F5080" t="inlineStr">
        <is>
          <t>DALARNAS LÄN</t>
        </is>
      </c>
      <c r="G5080" t="inlineStr">
        <is>
          <t>FALUN</t>
        </is>
      </c>
      <c r="I5080" t="n">
        <v>0.8</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3347-2026</t>
        </is>
      </c>
      <c r="B5081" t="inlineStr">
        <is>
          <t>avverkningsanmälan</t>
        </is>
      </c>
      <c r="C5081" t="inlineStr">
        <is>
          <t>Föryngringsavverkning</t>
        </is>
      </c>
      <c r="D5081" s="1" t="n">
        <v>46041</v>
      </c>
      <c r="E5081" s="1" t="n">
        <v>46319</v>
      </c>
      <c r="F5081" t="inlineStr">
        <is>
          <t>DALARNAS LÄN</t>
        </is>
      </c>
      <c r="G5081" t="inlineStr">
        <is>
          <t>FALUN</t>
        </is>
      </c>
      <c r="I5081" t="n">
        <v>5.9</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3389-2026</t>
        </is>
      </c>
      <c r="B5082" t="inlineStr">
        <is>
          <t>avverkningsanmälan</t>
        </is>
      </c>
      <c r="C5082" t="inlineStr">
        <is>
          <t>Föryngringsavverkning</t>
        </is>
      </c>
      <c r="D5082" s="1" t="n">
        <v>46042</v>
      </c>
      <c r="E5082" s="1" t="n">
        <v>46319</v>
      </c>
      <c r="F5082" t="inlineStr">
        <is>
          <t>DALARNAS LÄN</t>
        </is>
      </c>
      <c r="G5082" t="inlineStr">
        <is>
          <t>GAGNEF</t>
        </is>
      </c>
      <c r="I5082" t="n">
        <v>0.7</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32727-2026</t>
        </is>
      </c>
      <c r="B5083" t="inlineStr">
        <is>
          <t>avverkningsanmälan</t>
        </is>
      </c>
      <c r="C5083" t="inlineStr">
        <is>
          <t>Föryngringsavverkning</t>
        </is>
      </c>
      <c r="D5083" s="1" t="n">
        <v>46241</v>
      </c>
      <c r="E5083" s="1" t="n">
        <v>46319</v>
      </c>
      <c r="F5083" t="inlineStr">
        <is>
          <t>DALARNAS LÄN</t>
        </is>
      </c>
      <c r="G5083" t="inlineStr">
        <is>
          <t>RÄTTVIK</t>
        </is>
      </c>
      <c r="H5083" t="inlineStr">
        <is>
          <t>Bergvik skog väst AB</t>
        </is>
      </c>
      <c r="I5083" t="n">
        <v>6.2</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39039-2026</t>
        </is>
      </c>
      <c r="B5084" t="inlineStr">
        <is>
          <t>avverkningsanmälan</t>
        </is>
      </c>
      <c r="C5084" t="inlineStr">
        <is>
          <t>Föryngringsavverkning</t>
        </is>
      </c>
      <c r="D5084" s="1" t="n">
        <v>46287</v>
      </c>
      <c r="E5084" s="1" t="n">
        <v>46319</v>
      </c>
      <c r="F5084" t="inlineStr">
        <is>
          <t>DALARNAS LÄN</t>
        </is>
      </c>
      <c r="G5084" t="inlineStr">
        <is>
          <t>RÄTTVIK</t>
        </is>
      </c>
      <c r="H5084" t="inlineStr">
        <is>
          <t>Sveaskog</t>
        </is>
      </c>
      <c r="I5084" t="n">
        <v>1.6</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39087-2026</t>
        </is>
      </c>
      <c r="B5085" t="inlineStr">
        <is>
          <t>avverkningsanmälan</t>
        </is>
      </c>
      <c r="C5085" t="inlineStr">
        <is>
          <t>Föryngringsavverkning</t>
        </is>
      </c>
      <c r="D5085" s="1" t="n">
        <v>46287</v>
      </c>
      <c r="E5085" s="1" t="n">
        <v>46319</v>
      </c>
      <c r="F5085" t="inlineStr">
        <is>
          <t>DALARNAS LÄN</t>
        </is>
      </c>
      <c r="G5085" t="inlineStr">
        <is>
          <t>MALUNG-SÄLEN</t>
        </is>
      </c>
      <c r="I5085" t="n">
        <v>1.1</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3599-2026</t>
        </is>
      </c>
      <c r="B5086" t="inlineStr">
        <is>
          <t>avverkningsanmälan</t>
        </is>
      </c>
      <c r="C5086" t="inlineStr">
        <is>
          <t>Föryngringsavverkning</t>
        </is>
      </c>
      <c r="D5086" s="1" t="n">
        <v>46042</v>
      </c>
      <c r="E5086" s="1" t="n">
        <v>46319</v>
      </c>
      <c r="F5086" t="inlineStr">
        <is>
          <t>DALARNAS LÄN</t>
        </is>
      </c>
      <c r="G5086" t="inlineStr">
        <is>
          <t>GAGNEF</t>
        </is>
      </c>
      <c r="I5086" t="n">
        <v>2</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39093-2026</t>
        </is>
      </c>
      <c r="B5087" t="inlineStr">
        <is>
          <t>avverkningsanmälan</t>
        </is>
      </c>
      <c r="C5087" t="inlineStr">
        <is>
          <t>Föryngringsavverkning</t>
        </is>
      </c>
      <c r="D5087" s="1" t="n">
        <v>46287</v>
      </c>
      <c r="E5087" s="1" t="n">
        <v>46319</v>
      </c>
      <c r="F5087" t="inlineStr">
        <is>
          <t>DALARNAS LÄN</t>
        </is>
      </c>
      <c r="G5087" t="inlineStr">
        <is>
          <t>LUDVIKA</t>
        </is>
      </c>
      <c r="H5087" t="inlineStr">
        <is>
          <t>Bergvik skog väst AB</t>
        </is>
      </c>
      <c r="I5087" t="n">
        <v>1.3</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7320-2025</t>
        </is>
      </c>
      <c r="B5088" t="inlineStr">
        <is>
          <t>avverkningsanmälan</t>
        </is>
      </c>
      <c r="C5088" t="inlineStr">
        <is>
          <t>Föryngringsavverkning</t>
        </is>
      </c>
      <c r="D5088" s="1" t="n">
        <v>45702</v>
      </c>
      <c r="E5088" s="1" t="n">
        <v>46319</v>
      </c>
      <c r="F5088" t="inlineStr">
        <is>
          <t>DALARNAS LÄN</t>
        </is>
      </c>
      <c r="G5088" t="inlineStr">
        <is>
          <t>AVESTA</t>
        </is>
      </c>
      <c r="I5088" t="n">
        <v>1.3</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53149-2023</t>
        </is>
      </c>
      <c r="B5089" t="inlineStr">
        <is>
          <t>avverkningsanmälan</t>
        </is>
      </c>
      <c r="C5089" t="inlineStr">
        <is>
          <t>Föryngringsavverkning</t>
        </is>
      </c>
      <c r="D5089" s="1" t="n">
        <v>45229</v>
      </c>
      <c r="E5089" s="1" t="n">
        <v>46319</v>
      </c>
      <c r="F5089" t="inlineStr">
        <is>
          <t>DALARNAS LÄN</t>
        </is>
      </c>
      <c r="G5089" t="inlineStr">
        <is>
          <t>MALUNG-SÄLEN</t>
        </is>
      </c>
      <c r="H5089" t="inlineStr">
        <is>
          <t>Övriga statliga verk och myndigheter</t>
        </is>
      </c>
      <c r="I5089" t="n">
        <v>0.9</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3466-2026</t>
        </is>
      </c>
      <c r="B5090" t="inlineStr">
        <is>
          <t>avverkningsanmälan</t>
        </is>
      </c>
      <c r="C5090" t="inlineStr">
        <is>
          <t>Föryngringsavverkning</t>
        </is>
      </c>
      <c r="D5090" s="1" t="n">
        <v>46042</v>
      </c>
      <c r="E5090" s="1" t="n">
        <v>46319</v>
      </c>
      <c r="F5090" t="inlineStr">
        <is>
          <t>DALARNAS LÄN</t>
        </is>
      </c>
      <c r="G5090" t="inlineStr">
        <is>
          <t>RÄTTVIK</t>
        </is>
      </c>
      <c r="I5090" t="n">
        <v>2.2</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39143-2026</t>
        </is>
      </c>
      <c r="B5091" t="inlineStr">
        <is>
          <t>avverkningsanmälan</t>
        </is>
      </c>
      <c r="C5091" t="inlineStr">
        <is>
          <t>Föryngringsavverkning</t>
        </is>
      </c>
      <c r="D5091" s="1" t="n">
        <v>46287</v>
      </c>
      <c r="E5091" s="1" t="n">
        <v>46319</v>
      </c>
      <c r="F5091" t="inlineStr">
        <is>
          <t>DALARNAS LÄN</t>
        </is>
      </c>
      <c r="G5091" t="inlineStr">
        <is>
          <t>MORA</t>
        </is>
      </c>
      <c r="H5091" t="inlineStr">
        <is>
          <t>Bergvik skog väst AB</t>
        </is>
      </c>
      <c r="I5091" t="n">
        <v>11.4</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26883-2022</t>
        </is>
      </c>
      <c r="B5092" t="inlineStr">
        <is>
          <t>avverkningsanmälan</t>
        </is>
      </c>
      <c r="C5092" t="inlineStr">
        <is>
          <t>Föryngringsavverkning</t>
        </is>
      </c>
      <c r="D5092" s="1" t="n">
        <v>44740</v>
      </c>
      <c r="E5092" s="1" t="n">
        <v>46319</v>
      </c>
      <c r="F5092" t="inlineStr">
        <is>
          <t>DALARNAS LÄN</t>
        </is>
      </c>
      <c r="G5092" t="inlineStr">
        <is>
          <t>FALUN</t>
        </is>
      </c>
      <c r="H5092" t="inlineStr">
        <is>
          <t>Bergvik skog väst AB</t>
        </is>
      </c>
      <c r="I5092" t="n">
        <v>1.8</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15602-2023</t>
        </is>
      </c>
      <c r="B5093" t="inlineStr">
        <is>
          <t>avverkningsanmälan</t>
        </is>
      </c>
      <c r="C5093" t="inlineStr">
        <is>
          <t>Föryngringsavverkning</t>
        </is>
      </c>
      <c r="D5093" s="1" t="n">
        <v>45020</v>
      </c>
      <c r="E5093" s="1" t="n">
        <v>46319</v>
      </c>
      <c r="F5093" t="inlineStr">
        <is>
          <t>DALARNAS LÄN</t>
        </is>
      </c>
      <c r="G5093" t="inlineStr">
        <is>
          <t>MALUNG-SÄLEN</t>
        </is>
      </c>
      <c r="I5093" t="n">
        <v>15.5</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3422-2026</t>
        </is>
      </c>
      <c r="B5094" t="inlineStr">
        <is>
          <t>avverkningsanmälan</t>
        </is>
      </c>
      <c r="C5094" t="inlineStr">
        <is>
          <t>Föryngringsavverkning</t>
        </is>
      </c>
      <c r="D5094" s="1" t="n">
        <v>46042</v>
      </c>
      <c r="E5094" s="1" t="n">
        <v>46319</v>
      </c>
      <c r="F5094" t="inlineStr">
        <is>
          <t>DALARNAS LÄN</t>
        </is>
      </c>
      <c r="G5094" t="inlineStr">
        <is>
          <t>VANSBRO</t>
        </is>
      </c>
      <c r="I5094" t="n">
        <v>2.9</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312-2026</t>
        </is>
      </c>
      <c r="B5095" t="inlineStr">
        <is>
          <t>avverkningsanmälan</t>
        </is>
      </c>
      <c r="C5095" t="inlineStr">
        <is>
          <t>Föryngringsavverkning</t>
        </is>
      </c>
      <c r="D5095" s="1" t="n">
        <v>46027</v>
      </c>
      <c r="E5095" s="1" t="n">
        <v>46319</v>
      </c>
      <c r="F5095" t="inlineStr">
        <is>
          <t>DALARNAS LÄN</t>
        </is>
      </c>
      <c r="G5095" t="inlineStr">
        <is>
          <t>FALUN</t>
        </is>
      </c>
      <c r="I5095" t="n">
        <v>13.7</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57223-2025</t>
        </is>
      </c>
      <c r="B5096" t="inlineStr">
        <is>
          <t>avverkningsanmälan</t>
        </is>
      </c>
      <c r="C5096" t="inlineStr">
        <is>
          <t>Föryngringsavverkning</t>
        </is>
      </c>
      <c r="D5096" s="1" t="n">
        <v>45979</v>
      </c>
      <c r="E5096" s="1" t="n">
        <v>46319</v>
      </c>
      <c r="F5096" t="inlineStr">
        <is>
          <t>DALARNAS LÄN</t>
        </is>
      </c>
      <c r="G5096" t="inlineStr">
        <is>
          <t>LEKSAND</t>
        </is>
      </c>
      <c r="I5096" t="n">
        <v>1.2</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61799-2025</t>
        </is>
      </c>
      <c r="B5097" t="inlineStr">
        <is>
          <t>avverkningsanmälan</t>
        </is>
      </c>
      <c r="C5097" t="inlineStr">
        <is>
          <t>Föryngringsavverkning</t>
        </is>
      </c>
      <c r="D5097" s="1" t="n">
        <v>46002</v>
      </c>
      <c r="E5097" s="1" t="n">
        <v>46319</v>
      </c>
      <c r="F5097" t="inlineStr">
        <is>
          <t>DALARNAS LÄN</t>
        </is>
      </c>
      <c r="G5097" t="inlineStr">
        <is>
          <t>LUDVIKA</t>
        </is>
      </c>
      <c r="H5097" t="inlineStr">
        <is>
          <t>Bergvik skog väst AB</t>
        </is>
      </c>
      <c r="I5097" t="n">
        <v>1.2</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3603-2026</t>
        </is>
      </c>
      <c r="B5098" t="inlineStr">
        <is>
          <t>avverkningsanmälan</t>
        </is>
      </c>
      <c r="C5098" t="inlineStr">
        <is>
          <t>Föryngringsavverkning</t>
        </is>
      </c>
      <c r="D5098" s="1" t="n">
        <v>46042</v>
      </c>
      <c r="E5098" s="1" t="n">
        <v>46319</v>
      </c>
      <c r="F5098" t="inlineStr">
        <is>
          <t>DALARNAS LÄN</t>
        </is>
      </c>
      <c r="G5098" t="inlineStr">
        <is>
          <t>FALUN</t>
        </is>
      </c>
      <c r="I5098" t="n">
        <v>6.7</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3476-2026</t>
        </is>
      </c>
      <c r="B5099" t="inlineStr">
        <is>
          <t>avverkningsanmälan</t>
        </is>
      </c>
      <c r="C5099" t="inlineStr">
        <is>
          <t>Föryngringsavverkning</t>
        </is>
      </c>
      <c r="D5099" s="1" t="n">
        <v>46042</v>
      </c>
      <c r="E5099" s="1" t="n">
        <v>46319</v>
      </c>
      <c r="F5099" t="inlineStr">
        <is>
          <t>DALARNAS LÄN</t>
        </is>
      </c>
      <c r="G5099" t="inlineStr">
        <is>
          <t>RÄTTVIK</t>
        </is>
      </c>
      <c r="I5099" t="n">
        <v>2.6</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39067-2026</t>
        </is>
      </c>
      <c r="B5100" t="inlineStr">
        <is>
          <t>avverkningsanmälan</t>
        </is>
      </c>
      <c r="C5100" t="inlineStr">
        <is>
          <t>Föryngringsavverkning</t>
        </is>
      </c>
      <c r="D5100" s="1" t="n">
        <v>46287</v>
      </c>
      <c r="E5100" s="1" t="n">
        <v>46319</v>
      </c>
      <c r="F5100" t="inlineStr">
        <is>
          <t>DALARNAS LÄN</t>
        </is>
      </c>
      <c r="G5100" t="inlineStr">
        <is>
          <t>MORA</t>
        </is>
      </c>
      <c r="I5100" t="n">
        <v>1.1</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39097-2026</t>
        </is>
      </c>
      <c r="B5101" t="inlineStr">
        <is>
          <t>avverkningsanmälan</t>
        </is>
      </c>
      <c r="C5101" t="inlineStr">
        <is>
          <t>Föryngringsavverkning</t>
        </is>
      </c>
      <c r="D5101" s="1" t="n">
        <v>46283</v>
      </c>
      <c r="E5101" s="1" t="n">
        <v>46319</v>
      </c>
      <c r="F5101" t="inlineStr">
        <is>
          <t>DALARNAS LÄN</t>
        </is>
      </c>
      <c r="G5101" t="inlineStr">
        <is>
          <t>SMEDJEBACKEN</t>
        </is>
      </c>
      <c r="H5101" t="inlineStr">
        <is>
          <t>Bergvik skog väst AB</t>
        </is>
      </c>
      <c r="I5101" t="n">
        <v>21.3</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39104-2026</t>
        </is>
      </c>
      <c r="B5102" t="inlineStr">
        <is>
          <t>avverkningsanmälan</t>
        </is>
      </c>
      <c r="C5102" t="inlineStr">
        <is>
          <t>Föryngringsavverkning</t>
        </is>
      </c>
      <c r="D5102" s="1" t="n">
        <v>46287</v>
      </c>
      <c r="E5102" s="1" t="n">
        <v>46319</v>
      </c>
      <c r="F5102" t="inlineStr">
        <is>
          <t>DALARNAS LÄN</t>
        </is>
      </c>
      <c r="G5102" t="inlineStr">
        <is>
          <t>LUDVIKA</t>
        </is>
      </c>
      <c r="H5102" t="inlineStr">
        <is>
          <t>Bergvik skog väst AB</t>
        </is>
      </c>
      <c r="I5102" t="n">
        <v>20.2</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47645-2024</t>
        </is>
      </c>
      <c r="B5103" t="inlineStr">
        <is>
          <t>avverkningsanmälan</t>
        </is>
      </c>
      <c r="C5103" t="inlineStr">
        <is>
          <t>Föryngringsavverkning</t>
        </is>
      </c>
      <c r="D5103" s="1" t="n">
        <v>45588</v>
      </c>
      <c r="E5103" s="1" t="n">
        <v>46319</v>
      </c>
      <c r="F5103" t="inlineStr">
        <is>
          <t>DALARNAS LÄN</t>
        </is>
      </c>
      <c r="G5103" t="inlineStr">
        <is>
          <t>ÄLVDALEN</t>
        </is>
      </c>
      <c r="I5103" t="n">
        <v>4.6</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3480-2026</t>
        </is>
      </c>
      <c r="B5104" t="inlineStr">
        <is>
          <t>avverkningsanmälan</t>
        </is>
      </c>
      <c r="C5104" t="inlineStr">
        <is>
          <t>Föryngringsavverkning</t>
        </is>
      </c>
      <c r="D5104" s="1" t="n">
        <v>46042</v>
      </c>
      <c r="E5104" s="1" t="n">
        <v>46319</v>
      </c>
      <c r="F5104" t="inlineStr">
        <is>
          <t>DALARNAS LÄN</t>
        </is>
      </c>
      <c r="G5104" t="inlineStr">
        <is>
          <t>FALUN</t>
        </is>
      </c>
      <c r="I5104" t="n">
        <v>2.7</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3339-2026</t>
        </is>
      </c>
      <c r="B5105" t="inlineStr">
        <is>
          <t>avverkningsanmälan</t>
        </is>
      </c>
      <c r="C5105" t="inlineStr">
        <is>
          <t>Föryngringsavverkning</t>
        </is>
      </c>
      <c r="D5105" s="1" t="n">
        <v>46041</v>
      </c>
      <c r="E5105" s="1" t="n">
        <v>46319</v>
      </c>
      <c r="F5105" t="inlineStr">
        <is>
          <t>DALARNAS LÄN</t>
        </is>
      </c>
      <c r="G5105" t="inlineStr">
        <is>
          <t>FALUN</t>
        </is>
      </c>
      <c r="I5105" t="n">
        <v>2.6</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3412-2026</t>
        </is>
      </c>
      <c r="B5106" t="inlineStr">
        <is>
          <t>avverkningsanmälan</t>
        </is>
      </c>
      <c r="C5106" t="inlineStr">
        <is>
          <t>Föryngringsavverkning</t>
        </is>
      </c>
      <c r="D5106" s="1" t="n">
        <v>46042</v>
      </c>
      <c r="E5106" s="1" t="n">
        <v>46319</v>
      </c>
      <c r="F5106" t="inlineStr">
        <is>
          <t>DALARNAS LÄN</t>
        </is>
      </c>
      <c r="G5106" t="inlineStr">
        <is>
          <t>AVESTA</t>
        </is>
      </c>
      <c r="I5106" t="n">
        <v>6.4</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39164-2026</t>
        </is>
      </c>
      <c r="B5107" t="inlineStr">
        <is>
          <t>avverkningsanmälan</t>
        </is>
      </c>
      <c r="C5107" t="inlineStr">
        <is>
          <t>Föryngringsavverkning</t>
        </is>
      </c>
      <c r="D5107" s="1" t="n">
        <v>46287</v>
      </c>
      <c r="E5107" s="1" t="n">
        <v>46319</v>
      </c>
      <c r="F5107" t="inlineStr">
        <is>
          <t>DALARNAS LÄN</t>
        </is>
      </c>
      <c r="G5107" t="inlineStr">
        <is>
          <t>BORLÄNGE</t>
        </is>
      </c>
      <c r="I5107" t="n">
        <v>1.7</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3364-2026</t>
        </is>
      </c>
      <c r="B5108" t="inlineStr">
        <is>
          <t>avverkningsanmälan</t>
        </is>
      </c>
      <c r="C5108" t="inlineStr">
        <is>
          <t>Föryngringsavverkning</t>
        </is>
      </c>
      <c r="D5108" s="1" t="n">
        <v>46042</v>
      </c>
      <c r="E5108" s="1" t="n">
        <v>46319</v>
      </c>
      <c r="F5108" t="inlineStr">
        <is>
          <t>DALARNAS LÄN</t>
        </is>
      </c>
      <c r="G5108" t="inlineStr">
        <is>
          <t>ORSA</t>
        </is>
      </c>
      <c r="I5108" t="n">
        <v>1.1</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20620-2024</t>
        </is>
      </c>
      <c r="B5109" t="inlineStr">
        <is>
          <t>avverkningsanmälan</t>
        </is>
      </c>
      <c r="C5109" t="inlineStr">
        <is>
          <t>Föryngringsavverkning</t>
        </is>
      </c>
      <c r="D5109" s="1" t="n">
        <v>45436</v>
      </c>
      <c r="E5109" s="1" t="n">
        <v>46319</v>
      </c>
      <c r="F5109" t="inlineStr">
        <is>
          <t>DALARNAS LÄN</t>
        </is>
      </c>
      <c r="G5109" t="inlineStr">
        <is>
          <t>RÄTTVIK</t>
        </is>
      </c>
      <c r="H5109" t="inlineStr">
        <is>
          <t>Sveaskog</t>
        </is>
      </c>
      <c r="I5109" t="n">
        <v>1.4</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57563-2025</t>
        </is>
      </c>
      <c r="B5110" t="inlineStr">
        <is>
          <t>avverkningsanmälan</t>
        </is>
      </c>
      <c r="C5110" t="inlineStr">
        <is>
          <t>Föryngringsavverkning</t>
        </is>
      </c>
      <c r="D5110" s="1" t="n">
        <v>45980</v>
      </c>
      <c r="E5110" s="1" t="n">
        <v>46319</v>
      </c>
      <c r="F5110" t="inlineStr">
        <is>
          <t>DALARNAS LÄN</t>
        </is>
      </c>
      <c r="G5110" t="inlineStr">
        <is>
          <t>HEDEMORA</t>
        </is>
      </c>
      <c r="H5110" t="inlineStr">
        <is>
          <t>Sveaskog</t>
        </is>
      </c>
      <c r="I5110" t="n">
        <v>5.8</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3085-2026</t>
        </is>
      </c>
      <c r="B5111" t="inlineStr">
        <is>
          <t>avverkningsanmälan</t>
        </is>
      </c>
      <c r="C5111" t="inlineStr">
        <is>
          <t>Föryngringsavverkning</t>
        </is>
      </c>
      <c r="D5111" s="1" t="n">
        <v>46040</v>
      </c>
      <c r="E5111" s="1" t="n">
        <v>46319</v>
      </c>
      <c r="F5111" t="inlineStr">
        <is>
          <t>DALARNAS LÄN</t>
        </is>
      </c>
      <c r="G5111" t="inlineStr">
        <is>
          <t>FALUN</t>
        </is>
      </c>
      <c r="I5111" t="n">
        <v>4</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39358-2026</t>
        </is>
      </c>
      <c r="B5112" t="inlineStr">
        <is>
          <t>avverkningsanmälan</t>
        </is>
      </c>
      <c r="C5112" t="inlineStr">
        <is>
          <t>Föryngringsavverkning</t>
        </is>
      </c>
      <c r="D5112" s="1" t="n">
        <v>46288</v>
      </c>
      <c r="E5112" s="1" t="n">
        <v>46319</v>
      </c>
      <c r="F5112" t="inlineStr">
        <is>
          <t>DALARNAS LÄN</t>
        </is>
      </c>
      <c r="G5112" t="inlineStr">
        <is>
          <t>MORA</t>
        </is>
      </c>
      <c r="I5112" t="n">
        <v>3.6</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24022-2025</t>
        </is>
      </c>
      <c r="B5113" t="inlineStr">
        <is>
          <t>avverkningsanmälan</t>
        </is>
      </c>
      <c r="C5113" t="inlineStr">
        <is>
          <t>Föryngringsavverkning</t>
        </is>
      </c>
      <c r="D5113" s="1" t="n">
        <v>45796</v>
      </c>
      <c r="E5113" s="1" t="n">
        <v>46319</v>
      </c>
      <c r="F5113" t="inlineStr">
        <is>
          <t>DALARNAS LÄN</t>
        </is>
      </c>
      <c r="G5113" t="inlineStr">
        <is>
          <t>RÄTTVIK</t>
        </is>
      </c>
      <c r="I5113" t="n">
        <v>0.9</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24027-2025</t>
        </is>
      </c>
      <c r="B5114" t="inlineStr">
        <is>
          <t>avverkningsanmälan</t>
        </is>
      </c>
      <c r="C5114" t="inlineStr">
        <is>
          <t>Föryngringsavverkning</t>
        </is>
      </c>
      <c r="D5114" s="1" t="n">
        <v>45796</v>
      </c>
      <c r="E5114" s="1" t="n">
        <v>46319</v>
      </c>
      <c r="F5114" t="inlineStr">
        <is>
          <t>DALARNAS LÄN</t>
        </is>
      </c>
      <c r="G5114" t="inlineStr">
        <is>
          <t>LUDVIKA</t>
        </is>
      </c>
      <c r="H5114" t="inlineStr">
        <is>
          <t>Bergvik skog väst AB</t>
        </is>
      </c>
      <c r="I5114" t="n">
        <v>0.8</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37386-2024</t>
        </is>
      </c>
      <c r="B5115" t="inlineStr">
        <is>
          <t>avverkningsanmälan</t>
        </is>
      </c>
      <c r="C5115" t="inlineStr">
        <is>
          <t>Föryngringsavverkning</t>
        </is>
      </c>
      <c r="D5115" s="1" t="n">
        <v>45540</v>
      </c>
      <c r="E5115" s="1" t="n">
        <v>46319</v>
      </c>
      <c r="F5115" t="inlineStr">
        <is>
          <t>DALARNAS LÄN</t>
        </is>
      </c>
      <c r="G5115" t="inlineStr">
        <is>
          <t>MALUNG-SÄLEN</t>
        </is>
      </c>
      <c r="I5115" t="n">
        <v>4.3</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62854-2023</t>
        </is>
      </c>
      <c r="B5116" t="inlineStr">
        <is>
          <t>avverkningsanmälan</t>
        </is>
      </c>
      <c r="C5116" t="inlineStr">
        <is>
          <t>Avverkning för annat ändamål</t>
        </is>
      </c>
      <c r="D5116" s="1" t="n">
        <v>45272</v>
      </c>
      <c r="E5116" s="1" t="n">
        <v>46319</v>
      </c>
      <c r="F5116" t="inlineStr">
        <is>
          <t>DALARNAS LÄN</t>
        </is>
      </c>
      <c r="G5116" t="inlineStr">
        <is>
          <t>MORA</t>
        </is>
      </c>
      <c r="I5116" t="n">
        <v>11.3</v>
      </c>
      <c r="J5116" t="n">
        <v>0</v>
      </c>
      <c r="K5116" t="n">
        <v>0</v>
      </c>
      <c r="L5116" t="n">
        <v>0</v>
      </c>
      <c r="M5116" t="n">
        <v>0</v>
      </c>
      <c r="N5116" t="n">
        <v>0</v>
      </c>
      <c r="O5116" t="n">
        <v>0</v>
      </c>
      <c r="P5116" t="n">
        <v>0</v>
      </c>
      <c r="Q5116" t="n">
        <v>0</v>
      </c>
      <c r="R5116" t="n">
        <v>0</v>
      </c>
      <c r="S5116" t="n">
        <v>0</v>
      </c>
      <c r="T5116" t="n">
        <v>0</v>
      </c>
      <c r="U5116" t="n">
        <v>0</v>
      </c>
      <c r="V5116" s="2" t="inlineStr"/>
    </row>
    <row r="5117" ht="15" customHeight="1">
      <c r="A5117" t="inlineStr">
        <is>
          <t>A 57962-2025</t>
        </is>
      </c>
      <c r="B5117" t="inlineStr">
        <is>
          <t>avverkningsanmälan</t>
        </is>
      </c>
      <c r="C5117" t="inlineStr">
        <is>
          <t>Föryngringsavverkning</t>
        </is>
      </c>
      <c r="D5117" s="1" t="n">
        <v>45982</v>
      </c>
      <c r="E5117" s="1" t="n">
        <v>46319</v>
      </c>
      <c r="F5117" t="inlineStr">
        <is>
          <t>DALARNAS LÄN</t>
        </is>
      </c>
      <c r="G5117" t="inlineStr">
        <is>
          <t>LEKSAND</t>
        </is>
      </c>
      <c r="I5117" t="n">
        <v>0.9</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58004-2025</t>
        </is>
      </c>
      <c r="B5118" t="inlineStr">
        <is>
          <t>avverkningsanmälan</t>
        </is>
      </c>
      <c r="C5118" t="inlineStr">
        <is>
          <t>Föryngringsavverkning</t>
        </is>
      </c>
      <c r="D5118" s="1" t="n">
        <v>45982</v>
      </c>
      <c r="E5118" s="1" t="n">
        <v>46319</v>
      </c>
      <c r="F5118" t="inlineStr">
        <is>
          <t>DALARNAS LÄN</t>
        </is>
      </c>
      <c r="G5118" t="inlineStr">
        <is>
          <t>MALUNG-SÄLEN</t>
        </is>
      </c>
      <c r="H5118" t="inlineStr">
        <is>
          <t>Bergvik skog väst AB</t>
        </is>
      </c>
      <c r="I5118" t="n">
        <v>3.7</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39389-2026</t>
        </is>
      </c>
      <c r="B5119" t="inlineStr">
        <is>
          <t>avverkningsanmälan</t>
        </is>
      </c>
      <c r="C5119" t="inlineStr">
        <is>
          <t>Föryngringsavverkning</t>
        </is>
      </c>
      <c r="D5119" s="1" t="n">
        <v>46288</v>
      </c>
      <c r="E5119" s="1" t="n">
        <v>46319</v>
      </c>
      <c r="F5119" t="inlineStr">
        <is>
          <t>DALARNAS LÄN</t>
        </is>
      </c>
      <c r="G5119" t="inlineStr">
        <is>
          <t>AVESTA</t>
        </is>
      </c>
      <c r="H5119" t="inlineStr">
        <is>
          <t>Sveaskog</t>
        </is>
      </c>
      <c r="I5119" t="n">
        <v>1.8</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3276-2026</t>
        </is>
      </c>
      <c r="B5120" t="inlineStr">
        <is>
          <t>avverkningsanmälan</t>
        </is>
      </c>
      <c r="C5120" t="inlineStr">
        <is>
          <t>Föryngringsavverkning</t>
        </is>
      </c>
      <c r="D5120" s="1" t="n">
        <v>46041</v>
      </c>
      <c r="E5120" s="1" t="n">
        <v>46319</v>
      </c>
      <c r="F5120" t="inlineStr">
        <is>
          <t>DALARNAS LÄN</t>
        </is>
      </c>
      <c r="G5120" t="inlineStr">
        <is>
          <t>FALUN</t>
        </is>
      </c>
      <c r="I5120" t="n">
        <v>17.3</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3406-2026</t>
        </is>
      </c>
      <c r="B5121" t="inlineStr">
        <is>
          <t>avverkningsanmälan</t>
        </is>
      </c>
      <c r="C5121" t="inlineStr">
        <is>
          <t>Föryngringsavverkning</t>
        </is>
      </c>
      <c r="D5121" s="1" t="n">
        <v>46042</v>
      </c>
      <c r="E5121" s="1" t="n">
        <v>46319</v>
      </c>
      <c r="F5121" t="inlineStr">
        <is>
          <t>DALARNAS LÄN</t>
        </is>
      </c>
      <c r="G5121" t="inlineStr">
        <is>
          <t>FALUN</t>
        </is>
      </c>
      <c r="I5121" t="n">
        <v>8.4</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29930-2024</t>
        </is>
      </c>
      <c r="B5122" t="inlineStr">
        <is>
          <t>avverkningsanmälan</t>
        </is>
      </c>
      <c r="C5122" t="inlineStr">
        <is>
          <t>Föryngringsavverkning</t>
        </is>
      </c>
      <c r="D5122" s="1" t="n">
        <v>45488</v>
      </c>
      <c r="E5122" s="1" t="n">
        <v>46319</v>
      </c>
      <c r="F5122" t="inlineStr">
        <is>
          <t>DALARNAS LÄN</t>
        </is>
      </c>
      <c r="G5122" t="inlineStr">
        <is>
          <t>MALUNG-SÄLEN</t>
        </is>
      </c>
      <c r="H5122" t="inlineStr">
        <is>
          <t>Bergvik skog öst AB</t>
        </is>
      </c>
      <c r="I5122" t="n">
        <v>4.9</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23814-2025</t>
        </is>
      </c>
      <c r="B5123" t="inlineStr">
        <is>
          <t>avverkningsanmälan</t>
        </is>
      </c>
      <c r="C5123" t="inlineStr">
        <is>
          <t>Föryngringsavverkning</t>
        </is>
      </c>
      <c r="D5123" s="1" t="n">
        <v>45793</v>
      </c>
      <c r="E5123" s="1" t="n">
        <v>46319</v>
      </c>
      <c r="F5123" t="inlineStr">
        <is>
          <t>DALARNAS LÄN</t>
        </is>
      </c>
      <c r="G5123" t="inlineStr">
        <is>
          <t>RÄTTVIK</t>
        </is>
      </c>
      <c r="H5123" t="inlineStr">
        <is>
          <t>Sveaskog</t>
        </is>
      </c>
      <c r="I5123" t="n">
        <v>7.5</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3240-2026</t>
        </is>
      </c>
      <c r="B5124" t="inlineStr">
        <is>
          <t>avverkningsanmälan</t>
        </is>
      </c>
      <c r="C5124" t="inlineStr">
        <is>
          <t>Föryngringsavverkning</t>
        </is>
      </c>
      <c r="D5124" s="1" t="n">
        <v>46041</v>
      </c>
      <c r="E5124" s="1" t="n">
        <v>46319</v>
      </c>
      <c r="F5124" t="inlineStr">
        <is>
          <t>DALARNAS LÄN</t>
        </is>
      </c>
      <c r="G5124" t="inlineStr">
        <is>
          <t>LEKSAND</t>
        </is>
      </c>
      <c r="I5124" t="n">
        <v>6.1</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3244-2026</t>
        </is>
      </c>
      <c r="B5125" t="inlineStr">
        <is>
          <t>avverkningsanmälan</t>
        </is>
      </c>
      <c r="C5125" t="inlineStr">
        <is>
          <t>Föryngringsavverkning</t>
        </is>
      </c>
      <c r="D5125" s="1" t="n">
        <v>46041</v>
      </c>
      <c r="E5125" s="1" t="n">
        <v>46319</v>
      </c>
      <c r="F5125" t="inlineStr">
        <is>
          <t>DALARNAS LÄN</t>
        </is>
      </c>
      <c r="G5125" t="inlineStr">
        <is>
          <t>LEKSAND</t>
        </is>
      </c>
      <c r="I5125" t="n">
        <v>0.6</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39015-2026</t>
        </is>
      </c>
      <c r="B5126" t="inlineStr">
        <is>
          <t>avverkningsanmälan</t>
        </is>
      </c>
      <c r="C5126" t="inlineStr">
        <is>
          <t>Föryngringsavverkning</t>
        </is>
      </c>
      <c r="D5126" s="1" t="n">
        <v>46283</v>
      </c>
      <c r="E5126" s="1" t="n">
        <v>46319</v>
      </c>
      <c r="F5126" t="inlineStr">
        <is>
          <t>DALARNAS LÄN</t>
        </is>
      </c>
      <c r="G5126" t="inlineStr">
        <is>
          <t>SMEDJEBACKEN</t>
        </is>
      </c>
      <c r="H5126" t="inlineStr">
        <is>
          <t>Bergvik skog väst AB</t>
        </is>
      </c>
      <c r="I5126" t="n">
        <v>1.3</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2835-2026</t>
        </is>
      </c>
      <c r="B5127" t="inlineStr">
        <is>
          <t>avverkningsanmälan</t>
        </is>
      </c>
      <c r="C5127" t="inlineStr">
        <is>
          <t>Föryngringsavverkning</t>
        </is>
      </c>
      <c r="D5127" s="1" t="n">
        <v>46038</v>
      </c>
      <c r="E5127" s="1" t="n">
        <v>46319</v>
      </c>
      <c r="F5127" t="inlineStr">
        <is>
          <t>DALARNAS LÄN</t>
        </is>
      </c>
      <c r="G5127" t="inlineStr">
        <is>
          <t>RÄTTVIK</t>
        </is>
      </c>
      <c r="I5127" t="n">
        <v>1.5</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48939-2024</t>
        </is>
      </c>
      <c r="B5128" t="inlineStr">
        <is>
          <t>avverkningsanmälan</t>
        </is>
      </c>
      <c r="C5128" t="inlineStr">
        <is>
          <t>Föryngringsavverkning</t>
        </is>
      </c>
      <c r="D5128" s="1" t="n">
        <v>45594</v>
      </c>
      <c r="E5128" s="1" t="n">
        <v>46319</v>
      </c>
      <c r="F5128" t="inlineStr">
        <is>
          <t>DALARNAS LÄN</t>
        </is>
      </c>
      <c r="G5128" t="inlineStr">
        <is>
          <t>RÄTTVIK</t>
        </is>
      </c>
      <c r="I5128" t="n">
        <v>2.4</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3247-2026</t>
        </is>
      </c>
      <c r="B5129" t="inlineStr">
        <is>
          <t>avverkningsanmälan</t>
        </is>
      </c>
      <c r="C5129" t="inlineStr">
        <is>
          <t>Föryngringsavverkning</t>
        </is>
      </c>
      <c r="D5129" s="1" t="n">
        <v>46041</v>
      </c>
      <c r="E5129" s="1" t="n">
        <v>46319</v>
      </c>
      <c r="F5129" t="inlineStr">
        <is>
          <t>DALARNAS LÄN</t>
        </is>
      </c>
      <c r="G5129" t="inlineStr">
        <is>
          <t>MORA</t>
        </is>
      </c>
      <c r="I5129" t="n">
        <v>1</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3064-2026</t>
        </is>
      </c>
      <c r="B5130" t="inlineStr">
        <is>
          <t>avverkningsanmälan</t>
        </is>
      </c>
      <c r="C5130" t="inlineStr">
        <is>
          <t>Föryngringsavverkning</t>
        </is>
      </c>
      <c r="D5130" s="1" t="n">
        <v>46040</v>
      </c>
      <c r="E5130" s="1" t="n">
        <v>46319</v>
      </c>
      <c r="F5130" t="inlineStr">
        <is>
          <t>DALARNAS LÄN</t>
        </is>
      </c>
      <c r="G5130" t="inlineStr">
        <is>
          <t>FALUN</t>
        </is>
      </c>
      <c r="I5130" t="n">
        <v>0.9</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3372-2026</t>
        </is>
      </c>
      <c r="B5131" t="inlineStr">
        <is>
          <t>avverkningsanmälan</t>
        </is>
      </c>
      <c r="C5131" t="inlineStr">
        <is>
          <t>Föryngringsavverkning</t>
        </is>
      </c>
      <c r="D5131" s="1" t="n">
        <v>46042</v>
      </c>
      <c r="E5131" s="1" t="n">
        <v>46319</v>
      </c>
      <c r="F5131" t="inlineStr">
        <is>
          <t>DALARNAS LÄN</t>
        </is>
      </c>
      <c r="G5131" t="inlineStr">
        <is>
          <t>FALUN</t>
        </is>
      </c>
      <c r="I5131" t="n">
        <v>2.6</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3390-2026</t>
        </is>
      </c>
      <c r="B5132" t="inlineStr">
        <is>
          <t>avverkningsanmälan</t>
        </is>
      </c>
      <c r="C5132" t="inlineStr">
        <is>
          <t>Föryngringsavverkning</t>
        </is>
      </c>
      <c r="D5132" s="1" t="n">
        <v>46042</v>
      </c>
      <c r="E5132" s="1" t="n">
        <v>46319</v>
      </c>
      <c r="F5132" t="inlineStr">
        <is>
          <t>DALARNAS LÄN</t>
        </is>
      </c>
      <c r="G5132" t="inlineStr">
        <is>
          <t>ÄLVDALEN</t>
        </is>
      </c>
      <c r="I5132" t="n">
        <v>1</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17608-2023</t>
        </is>
      </c>
      <c r="B5133" t="inlineStr">
        <is>
          <t>avverkningsanmälan</t>
        </is>
      </c>
      <c r="C5133" t="inlineStr">
        <is>
          <t>Föryngringsavverkning</t>
        </is>
      </c>
      <c r="D5133" s="1" t="n">
        <v>45036</v>
      </c>
      <c r="E5133" s="1" t="n">
        <v>46319</v>
      </c>
      <c r="F5133" t="inlineStr">
        <is>
          <t>DALARNAS LÄN</t>
        </is>
      </c>
      <c r="G5133" t="inlineStr">
        <is>
          <t>MALUNG-SÄLEN</t>
        </is>
      </c>
      <c r="I5133" t="n">
        <v>3.9</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19286-2023</t>
        </is>
      </c>
      <c r="B5134" t="inlineStr">
        <is>
          <t>avverkningsanmälan</t>
        </is>
      </c>
      <c r="C5134" t="inlineStr">
        <is>
          <t>Föryngringsavverkning</t>
        </is>
      </c>
      <c r="D5134" s="1" t="n">
        <v>45049</v>
      </c>
      <c r="E5134" s="1" t="n">
        <v>46319</v>
      </c>
      <c r="F5134" t="inlineStr">
        <is>
          <t>DALARNAS LÄN</t>
        </is>
      </c>
      <c r="G5134" t="inlineStr">
        <is>
          <t>MORA</t>
        </is>
      </c>
      <c r="I5134" t="n">
        <v>1</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1785-2024</t>
        </is>
      </c>
      <c r="B5135" t="inlineStr">
        <is>
          <t>avverkningsanmälan</t>
        </is>
      </c>
      <c r="C5135" t="inlineStr">
        <is>
          <t>Föryngringsavverkning</t>
        </is>
      </c>
      <c r="D5135" s="1" t="n">
        <v>45307</v>
      </c>
      <c r="E5135" s="1" t="n">
        <v>46319</v>
      </c>
      <c r="F5135" t="inlineStr">
        <is>
          <t>DALARNAS LÄN</t>
        </is>
      </c>
      <c r="G5135" t="inlineStr">
        <is>
          <t>ORSA</t>
        </is>
      </c>
      <c r="I5135" t="n">
        <v>42.8</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55384-2023</t>
        </is>
      </c>
      <c r="B5136" t="inlineStr">
        <is>
          <t>avverkningsanmälan</t>
        </is>
      </c>
      <c r="C5136" t="inlineStr">
        <is>
          <t>Föryngringsavverkning</t>
        </is>
      </c>
      <c r="D5136" s="1" t="n">
        <v>45238</v>
      </c>
      <c r="E5136" s="1" t="n">
        <v>46319</v>
      </c>
      <c r="F5136" t="inlineStr">
        <is>
          <t>DALARNAS LÄN</t>
        </is>
      </c>
      <c r="G5136" t="inlineStr">
        <is>
          <t>AVESTA</t>
        </is>
      </c>
      <c r="I5136" t="n">
        <v>5.3</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3343-2026</t>
        </is>
      </c>
      <c r="B5137" t="inlineStr">
        <is>
          <t>avverkningsanmälan</t>
        </is>
      </c>
      <c r="C5137" t="inlineStr">
        <is>
          <t>Föryngringsavverkning</t>
        </is>
      </c>
      <c r="D5137" s="1" t="n">
        <v>46041</v>
      </c>
      <c r="E5137" s="1" t="n">
        <v>46319</v>
      </c>
      <c r="F5137" t="inlineStr">
        <is>
          <t>DALARNAS LÄN</t>
        </is>
      </c>
      <c r="G5137" t="inlineStr">
        <is>
          <t>FALUN</t>
        </is>
      </c>
      <c r="I5137" t="n">
        <v>3.9</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27924-2026</t>
        </is>
      </c>
      <c r="B5138" t="inlineStr">
        <is>
          <t>avverkningsanmälan</t>
        </is>
      </c>
      <c r="C5138" t="inlineStr">
        <is>
          <t>Föryngringsavverkning</t>
        </is>
      </c>
      <c r="D5138" s="1" t="n">
        <v>46191</v>
      </c>
      <c r="E5138" s="1" t="n">
        <v>46319</v>
      </c>
      <c r="F5138" t="inlineStr">
        <is>
          <t>DALARNAS LÄN</t>
        </is>
      </c>
      <c r="G5138" t="inlineStr">
        <is>
          <t>FALUN</t>
        </is>
      </c>
      <c r="H5138" t="inlineStr">
        <is>
          <t>Bergvik skog väst AB</t>
        </is>
      </c>
      <c r="I5138" t="n">
        <v>7.5</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57231-2025</t>
        </is>
      </c>
      <c r="B5139" t="inlineStr">
        <is>
          <t>avverkningsanmälan</t>
        </is>
      </c>
      <c r="C5139" t="inlineStr">
        <is>
          <t>Föryngringsavverkning</t>
        </is>
      </c>
      <c r="D5139" s="1" t="n">
        <v>45979</v>
      </c>
      <c r="E5139" s="1" t="n">
        <v>46319</v>
      </c>
      <c r="F5139" t="inlineStr">
        <is>
          <t>DALARNAS LÄN</t>
        </is>
      </c>
      <c r="G5139" t="inlineStr">
        <is>
          <t>LEKSAND</t>
        </is>
      </c>
      <c r="I5139" t="n">
        <v>1.8</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3423-2026</t>
        </is>
      </c>
      <c r="B5140" t="inlineStr">
        <is>
          <t>avverkningsanmälan</t>
        </is>
      </c>
      <c r="C5140" t="inlineStr">
        <is>
          <t>Föryngringsavverkning</t>
        </is>
      </c>
      <c r="D5140" s="1" t="n">
        <v>46042</v>
      </c>
      <c r="E5140" s="1" t="n">
        <v>46319</v>
      </c>
      <c r="F5140" t="inlineStr">
        <is>
          <t>DALARNAS LÄN</t>
        </is>
      </c>
      <c r="G5140" t="inlineStr">
        <is>
          <t>SÄTER</t>
        </is>
      </c>
      <c r="I5140" t="n">
        <v>10.6</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39062-2026</t>
        </is>
      </c>
      <c r="B5141" t="inlineStr">
        <is>
          <t>avverkningsanmälan</t>
        </is>
      </c>
      <c r="C5141" t="inlineStr">
        <is>
          <t>Föryngringsavverkning</t>
        </is>
      </c>
      <c r="D5141" s="1" t="n">
        <v>46287</v>
      </c>
      <c r="E5141" s="1" t="n">
        <v>46319</v>
      </c>
      <c r="F5141" t="inlineStr">
        <is>
          <t>DALARNAS LÄN</t>
        </is>
      </c>
      <c r="G5141" t="inlineStr">
        <is>
          <t>MORA</t>
        </is>
      </c>
      <c r="I5141" t="n">
        <v>0.9</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51130-2024</t>
        </is>
      </c>
      <c r="B5142" t="inlineStr">
        <is>
          <t>avverkningsanmälan</t>
        </is>
      </c>
      <c r="C5142" t="inlineStr">
        <is>
          <t>Föryngringsavverkning</t>
        </is>
      </c>
      <c r="D5142" s="1" t="n">
        <v>45603</v>
      </c>
      <c r="E5142" s="1" t="n">
        <v>46319</v>
      </c>
      <c r="F5142" t="inlineStr">
        <is>
          <t>DALARNAS LÄN</t>
        </is>
      </c>
      <c r="G5142" t="inlineStr">
        <is>
          <t>FALUN</t>
        </is>
      </c>
      <c r="I5142" t="n">
        <v>1.5</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3440-2026</t>
        </is>
      </c>
      <c r="B5143" t="inlineStr">
        <is>
          <t>avverkningsanmälan</t>
        </is>
      </c>
      <c r="C5143" t="inlineStr">
        <is>
          <t>Föryngringsavverkning</t>
        </is>
      </c>
      <c r="D5143" s="1" t="n">
        <v>46042</v>
      </c>
      <c r="E5143" s="1" t="n">
        <v>46319</v>
      </c>
      <c r="F5143" t="inlineStr">
        <is>
          <t>DALARNAS LÄN</t>
        </is>
      </c>
      <c r="G5143" t="inlineStr">
        <is>
          <t>MORA</t>
        </is>
      </c>
      <c r="I5143" t="n">
        <v>6.7</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3448-2026</t>
        </is>
      </c>
      <c r="B5144" t="inlineStr">
        <is>
          <t>avverkningsanmälan</t>
        </is>
      </c>
      <c r="C5144" t="inlineStr">
        <is>
          <t>Föryngringsavverkning</t>
        </is>
      </c>
      <c r="D5144" s="1" t="n">
        <v>46042</v>
      </c>
      <c r="E5144" s="1" t="n">
        <v>46319</v>
      </c>
      <c r="F5144" t="inlineStr">
        <is>
          <t>DALARNAS LÄN</t>
        </is>
      </c>
      <c r="G5144" t="inlineStr">
        <is>
          <t>RÄTTVIK</t>
        </is>
      </c>
      <c r="I5144" t="n">
        <v>0.6</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23229-2025</t>
        </is>
      </c>
      <c r="B5145" t="inlineStr">
        <is>
          <t>avverkningsanmälan</t>
        </is>
      </c>
      <c r="C5145" t="inlineStr">
        <is>
          <t>Föryngringsavverkning</t>
        </is>
      </c>
      <c r="D5145" s="1" t="n">
        <v>45791</v>
      </c>
      <c r="E5145" s="1" t="n">
        <v>46319</v>
      </c>
      <c r="F5145" t="inlineStr">
        <is>
          <t>DALARNAS LÄN</t>
        </is>
      </c>
      <c r="G5145" t="inlineStr">
        <is>
          <t>MORA</t>
        </is>
      </c>
      <c r="I5145" t="n">
        <v>2.2</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33053-2026</t>
        </is>
      </c>
      <c r="B5146" t="inlineStr">
        <is>
          <t>avverkningsanmälan</t>
        </is>
      </c>
      <c r="C5146" t="inlineStr">
        <is>
          <t>Föryngringsavverkning</t>
        </is>
      </c>
      <c r="D5146" s="1" t="n">
        <v>46245</v>
      </c>
      <c r="E5146" s="1" t="n">
        <v>46319</v>
      </c>
      <c r="F5146" t="inlineStr">
        <is>
          <t>DALARNAS LÄN</t>
        </is>
      </c>
      <c r="G5146" t="inlineStr">
        <is>
          <t>MORA</t>
        </is>
      </c>
      <c r="I5146" t="n">
        <v>1.5</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3932-2026</t>
        </is>
      </c>
      <c r="B5147" t="inlineStr">
        <is>
          <t>avverkningsanmälan</t>
        </is>
      </c>
      <c r="C5147" t="inlineStr">
        <is>
          <t>Föryngringsavverkning</t>
        </is>
      </c>
      <c r="D5147" s="1" t="n">
        <v>46043</v>
      </c>
      <c r="E5147" s="1" t="n">
        <v>46319</v>
      </c>
      <c r="F5147" t="inlineStr">
        <is>
          <t>DALARNAS LÄN</t>
        </is>
      </c>
      <c r="G5147" t="inlineStr">
        <is>
          <t>FALUN</t>
        </is>
      </c>
      <c r="I5147" t="n">
        <v>2.3</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3687-2026</t>
        </is>
      </c>
      <c r="B5148" t="inlineStr">
        <is>
          <t>avverkningsanmälan</t>
        </is>
      </c>
      <c r="C5148" t="inlineStr">
        <is>
          <t>Föryngringsavverkning</t>
        </is>
      </c>
      <c r="D5148" s="1" t="n">
        <v>46043</v>
      </c>
      <c r="E5148" s="1" t="n">
        <v>46319</v>
      </c>
      <c r="F5148" t="inlineStr">
        <is>
          <t>DALARNAS LÄN</t>
        </is>
      </c>
      <c r="G5148" t="inlineStr">
        <is>
          <t>FALUN</t>
        </is>
      </c>
      <c r="I5148" t="n">
        <v>5</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53703-2024</t>
        </is>
      </c>
      <c r="B5149" t="inlineStr">
        <is>
          <t>avverkningsanmälan</t>
        </is>
      </c>
      <c r="C5149" t="inlineStr">
        <is>
          <t>Föryngringsavverkning</t>
        </is>
      </c>
      <c r="D5149" s="1" t="n">
        <v>45615</v>
      </c>
      <c r="E5149" s="1" t="n">
        <v>46319</v>
      </c>
      <c r="F5149" t="inlineStr">
        <is>
          <t>DALARNAS LÄN</t>
        </is>
      </c>
      <c r="G5149" t="inlineStr">
        <is>
          <t>ORSA</t>
        </is>
      </c>
      <c r="I5149" t="n">
        <v>1.4</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24164-2025</t>
        </is>
      </c>
      <c r="B5150" t="inlineStr">
        <is>
          <t>avverkningsanmälan</t>
        </is>
      </c>
      <c r="C5150" t="inlineStr">
        <is>
          <t>Föryngringsavverkning</t>
        </is>
      </c>
      <c r="D5150" s="1" t="n">
        <v>45796</v>
      </c>
      <c r="E5150" s="1" t="n">
        <v>46319</v>
      </c>
      <c r="F5150" t="inlineStr">
        <is>
          <t>DALARNAS LÄN</t>
        </is>
      </c>
      <c r="G5150" t="inlineStr">
        <is>
          <t>SMEDJEBACKEN</t>
        </is>
      </c>
      <c r="H5150" t="inlineStr">
        <is>
          <t>Övriga Aktiebolag</t>
        </is>
      </c>
      <c r="I5150" t="n">
        <v>0.9</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3654-2026</t>
        </is>
      </c>
      <c r="B5151" t="inlineStr">
        <is>
          <t>avverkningsanmälan</t>
        </is>
      </c>
      <c r="C5151" t="inlineStr">
        <is>
          <t>Föryngringsavverkning</t>
        </is>
      </c>
      <c r="D5151" s="1" t="n">
        <v>46043</v>
      </c>
      <c r="E5151" s="1" t="n">
        <v>46319</v>
      </c>
      <c r="F5151" t="inlineStr">
        <is>
          <t>DALARNAS LÄN</t>
        </is>
      </c>
      <c r="G5151" t="inlineStr">
        <is>
          <t>ÄLVDALEN</t>
        </is>
      </c>
      <c r="I5151" t="n">
        <v>1</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34923-2024</t>
        </is>
      </c>
      <c r="B5152" t="inlineStr">
        <is>
          <t>avverkningsanmälan</t>
        </is>
      </c>
      <c r="C5152" t="inlineStr">
        <is>
          <t>Föryngringsavverkning</t>
        </is>
      </c>
      <c r="D5152" s="1" t="n">
        <v>45527</v>
      </c>
      <c r="E5152" s="1" t="n">
        <v>46319</v>
      </c>
      <c r="F5152" t="inlineStr">
        <is>
          <t>DALARNAS LÄN</t>
        </is>
      </c>
      <c r="G5152" t="inlineStr">
        <is>
          <t>SMEDJEBACKEN</t>
        </is>
      </c>
      <c r="H5152" t="inlineStr">
        <is>
          <t>Övriga Aktiebolag</t>
        </is>
      </c>
      <c r="I5152" t="n">
        <v>3.2</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35437-2024</t>
        </is>
      </c>
      <c r="B5153" t="inlineStr">
        <is>
          <t>avverkningsanmälan</t>
        </is>
      </c>
      <c r="C5153" t="inlineStr">
        <is>
          <t>Föryngringsavverkning</t>
        </is>
      </c>
      <c r="D5153" s="1" t="n">
        <v>45531</v>
      </c>
      <c r="E5153" s="1" t="n">
        <v>46319</v>
      </c>
      <c r="F5153" t="inlineStr">
        <is>
          <t>DALARNAS LÄN</t>
        </is>
      </c>
      <c r="G5153" t="inlineStr">
        <is>
          <t>FALUN</t>
        </is>
      </c>
      <c r="I5153" t="n">
        <v>2</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24147-2025</t>
        </is>
      </c>
      <c r="B5154" t="inlineStr">
        <is>
          <t>avverkningsanmälan</t>
        </is>
      </c>
      <c r="C5154" t="inlineStr">
        <is>
          <t>Föryngringsavverkning</t>
        </is>
      </c>
      <c r="D5154" s="1" t="n">
        <v>45796</v>
      </c>
      <c r="E5154" s="1" t="n">
        <v>46319</v>
      </c>
      <c r="F5154" t="inlineStr">
        <is>
          <t>DALARNAS LÄN</t>
        </is>
      </c>
      <c r="G5154" t="inlineStr">
        <is>
          <t>AVESTA</t>
        </is>
      </c>
      <c r="I5154" t="n">
        <v>3</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3988-2026</t>
        </is>
      </c>
      <c r="B5155" t="inlineStr">
        <is>
          <t>avverkningsanmälan</t>
        </is>
      </c>
      <c r="C5155" t="inlineStr">
        <is>
          <t>Föryngringsavverkning</t>
        </is>
      </c>
      <c r="D5155" s="1" t="n">
        <v>46044</v>
      </c>
      <c r="E5155" s="1" t="n">
        <v>46319</v>
      </c>
      <c r="F5155" t="inlineStr">
        <is>
          <t>DALARNAS LÄN</t>
        </is>
      </c>
      <c r="G5155" t="inlineStr">
        <is>
          <t>ORSA</t>
        </is>
      </c>
      <c r="I5155" t="n">
        <v>0.7</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7165-2026</t>
        </is>
      </c>
      <c r="B5156" t="inlineStr">
        <is>
          <t>avverkningsanmälan</t>
        </is>
      </c>
      <c r="C5156" t="inlineStr">
        <is>
          <t>Föryngringsavverkning</t>
        </is>
      </c>
      <c r="D5156" s="1" t="n">
        <v>46058</v>
      </c>
      <c r="E5156" s="1" t="n">
        <v>46319</v>
      </c>
      <c r="F5156" t="inlineStr">
        <is>
          <t>DALARNAS LÄN</t>
        </is>
      </c>
      <c r="G5156" t="inlineStr">
        <is>
          <t>HEDEMORA</t>
        </is>
      </c>
      <c r="I5156" t="n">
        <v>4.9</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24188-2025</t>
        </is>
      </c>
      <c r="B5157" t="inlineStr">
        <is>
          <t>avverkningsanmälan</t>
        </is>
      </c>
      <c r="C5157" t="inlineStr">
        <is>
          <t>Föryngringsavverkning</t>
        </is>
      </c>
      <c r="D5157" s="1" t="n">
        <v>45796</v>
      </c>
      <c r="E5157" s="1" t="n">
        <v>46319</v>
      </c>
      <c r="F5157" t="inlineStr">
        <is>
          <t>DALARNAS LÄN</t>
        </is>
      </c>
      <c r="G5157" t="inlineStr">
        <is>
          <t>LEKSAND</t>
        </is>
      </c>
      <c r="I5157" t="n">
        <v>0.9</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61278-2022</t>
        </is>
      </c>
      <c r="B5158" t="inlineStr">
        <is>
          <t>avverkningsanmälan</t>
        </is>
      </c>
      <c r="C5158" t="inlineStr">
        <is>
          <t>Föryngringsavverkning</t>
        </is>
      </c>
      <c r="D5158" s="1" t="n">
        <v>44915</v>
      </c>
      <c r="E5158" s="1" t="n">
        <v>46319</v>
      </c>
      <c r="F5158" t="inlineStr">
        <is>
          <t>DALARNAS LÄN</t>
        </is>
      </c>
      <c r="G5158" t="inlineStr">
        <is>
          <t>LUDVIKA</t>
        </is>
      </c>
      <c r="H5158" t="inlineStr">
        <is>
          <t>Bergvik skog väst AB</t>
        </is>
      </c>
      <c r="I5158" t="n">
        <v>2.2</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4070-2026</t>
        </is>
      </c>
      <c r="B5159" t="inlineStr">
        <is>
          <t>avverkningsanmälan</t>
        </is>
      </c>
      <c r="C5159" t="inlineStr">
        <is>
          <t>Föryngringsavverkning</t>
        </is>
      </c>
      <c r="D5159" s="1" t="n">
        <v>46044</v>
      </c>
      <c r="E5159" s="1" t="n">
        <v>46319</v>
      </c>
      <c r="F5159" t="inlineStr">
        <is>
          <t>DALARNAS LÄN</t>
        </is>
      </c>
      <c r="G5159" t="inlineStr">
        <is>
          <t>HEDEMORA</t>
        </is>
      </c>
      <c r="I5159" t="n">
        <v>29.2</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62371-2022</t>
        </is>
      </c>
      <c r="B5160" t="inlineStr">
        <is>
          <t>avverkningsanmälan</t>
        </is>
      </c>
      <c r="C5160" t="inlineStr">
        <is>
          <t>Föryngringsavverkning</t>
        </is>
      </c>
      <c r="D5160" s="1" t="n">
        <v>44923</v>
      </c>
      <c r="E5160" s="1" t="n">
        <v>46319</v>
      </c>
      <c r="F5160" t="inlineStr">
        <is>
          <t>DALARNAS LÄN</t>
        </is>
      </c>
      <c r="G5160" t="inlineStr">
        <is>
          <t>MALUNG-SÄLEN</t>
        </is>
      </c>
      <c r="I5160" t="n">
        <v>9.199999999999999</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658-2025</t>
        </is>
      </c>
      <c r="B5161" t="inlineStr">
        <is>
          <t>avverkningsanmälan</t>
        </is>
      </c>
      <c r="C5161" t="inlineStr">
        <is>
          <t>Föryngringsavverkning</t>
        </is>
      </c>
      <c r="D5161" s="1" t="n">
        <v>45664</v>
      </c>
      <c r="E5161" s="1" t="n">
        <v>46319</v>
      </c>
      <c r="F5161" t="inlineStr">
        <is>
          <t>DALARNAS LÄN</t>
        </is>
      </c>
      <c r="G5161" t="inlineStr">
        <is>
          <t>SMEDJEBACKEN</t>
        </is>
      </c>
      <c r="I5161" t="n">
        <v>2.2</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32842-2026</t>
        </is>
      </c>
      <c r="B5162" t="inlineStr">
        <is>
          <t>avverkningsanmälan</t>
        </is>
      </c>
      <c r="C5162" t="inlineStr">
        <is>
          <t>Föryngringsavverkning</t>
        </is>
      </c>
      <c r="D5162" s="1" t="n">
        <v>46244</v>
      </c>
      <c r="E5162" s="1" t="n">
        <v>46319</v>
      </c>
      <c r="F5162" t="inlineStr">
        <is>
          <t>DALARNAS LÄN</t>
        </is>
      </c>
      <c r="G5162" t="inlineStr">
        <is>
          <t>MORA</t>
        </is>
      </c>
      <c r="I5162" t="n">
        <v>2.7</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3978-2026</t>
        </is>
      </c>
      <c r="B5163" t="inlineStr">
        <is>
          <t>avverkningsanmälan</t>
        </is>
      </c>
      <c r="C5163" t="inlineStr">
        <is>
          <t>Föryngringsavverkning</t>
        </is>
      </c>
      <c r="D5163" s="1" t="n">
        <v>46044</v>
      </c>
      <c r="E5163" s="1" t="n">
        <v>46319</v>
      </c>
      <c r="F5163" t="inlineStr">
        <is>
          <t>DALARNAS LÄN</t>
        </is>
      </c>
      <c r="G5163" t="inlineStr">
        <is>
          <t>LEKSAND</t>
        </is>
      </c>
      <c r="I5163" t="n">
        <v>1.2</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62334-2025</t>
        </is>
      </c>
      <c r="B5164" t="inlineStr">
        <is>
          <t>avverkningsanmälan</t>
        </is>
      </c>
      <c r="C5164" t="inlineStr">
        <is>
          <t>Avverkning för annat ändamål</t>
        </is>
      </c>
      <c r="D5164" s="1" t="n">
        <v>46005</v>
      </c>
      <c r="E5164" s="1" t="n">
        <v>46319</v>
      </c>
      <c r="F5164" t="inlineStr">
        <is>
          <t>DALARNAS LÄN</t>
        </is>
      </c>
      <c r="G5164" t="inlineStr">
        <is>
          <t>FALUN</t>
        </is>
      </c>
      <c r="I5164" t="n">
        <v>0.3</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4760-2025</t>
        </is>
      </c>
      <c r="B5165" t="inlineStr">
        <is>
          <t>avverkningsanmälan</t>
        </is>
      </c>
      <c r="C5165" t="inlineStr">
        <is>
          <t>Föryngringsavverkning</t>
        </is>
      </c>
      <c r="D5165" s="1" t="n">
        <v>45688</v>
      </c>
      <c r="E5165" s="1" t="n">
        <v>46319</v>
      </c>
      <c r="F5165" t="inlineStr">
        <is>
          <t>DALARNAS LÄN</t>
        </is>
      </c>
      <c r="G5165" t="inlineStr">
        <is>
          <t>VANSBRO</t>
        </is>
      </c>
      <c r="I5165" t="n">
        <v>2.9</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4177-2026</t>
        </is>
      </c>
      <c r="B5166" t="inlineStr">
        <is>
          <t>avverkningsanmälan</t>
        </is>
      </c>
      <c r="C5166" t="inlineStr">
        <is>
          <t>Föryngringsavverkning</t>
        </is>
      </c>
      <c r="D5166" s="1" t="n">
        <v>46044</v>
      </c>
      <c r="E5166" s="1" t="n">
        <v>46319</v>
      </c>
      <c r="F5166" t="inlineStr">
        <is>
          <t>DALARNAS LÄN</t>
        </is>
      </c>
      <c r="G5166" t="inlineStr">
        <is>
          <t>MALUNG-SÄLEN</t>
        </is>
      </c>
      <c r="I5166" t="n">
        <v>7.9</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4213-2026</t>
        </is>
      </c>
      <c r="B5167" t="inlineStr">
        <is>
          <t>avverkningsanmälan</t>
        </is>
      </c>
      <c r="C5167" t="inlineStr">
        <is>
          <t>Föryngringsavverkning</t>
        </is>
      </c>
      <c r="D5167" s="1" t="n">
        <v>46044</v>
      </c>
      <c r="E5167" s="1" t="n">
        <v>46319</v>
      </c>
      <c r="F5167" t="inlineStr">
        <is>
          <t>DALARNAS LÄN</t>
        </is>
      </c>
      <c r="G5167" t="inlineStr">
        <is>
          <t>MORA</t>
        </is>
      </c>
      <c r="I5167" t="n">
        <v>1.5</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32924-2026</t>
        </is>
      </c>
      <c r="B5168" t="inlineStr">
        <is>
          <t>avverkningsanmälan</t>
        </is>
      </c>
      <c r="C5168" t="inlineStr">
        <is>
          <t>Föryngringsavverkning</t>
        </is>
      </c>
      <c r="D5168" s="1" t="n">
        <v>46244</v>
      </c>
      <c r="E5168" s="1" t="n">
        <v>46319</v>
      </c>
      <c r="F5168" t="inlineStr">
        <is>
          <t>DALARNAS LÄN</t>
        </is>
      </c>
      <c r="G5168" t="inlineStr">
        <is>
          <t>AVESTA</t>
        </is>
      </c>
      <c r="H5168" t="inlineStr">
        <is>
          <t>Sveaskog</t>
        </is>
      </c>
      <c r="I5168" t="n">
        <v>8.5</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30977-2024</t>
        </is>
      </c>
      <c r="B5169" t="inlineStr">
        <is>
          <t>avverkningsanmälan</t>
        </is>
      </c>
      <c r="C5169" t="inlineStr">
        <is>
          <t>Avverkning för annat ändamål</t>
        </is>
      </c>
      <c r="D5169" s="1" t="n">
        <v>45499</v>
      </c>
      <c r="E5169" s="1" t="n">
        <v>46319</v>
      </c>
      <c r="F5169" t="inlineStr">
        <is>
          <t>DALARNAS LÄN</t>
        </is>
      </c>
      <c r="G5169" t="inlineStr">
        <is>
          <t>LUDVIKA</t>
        </is>
      </c>
      <c r="I5169" t="n">
        <v>3.3</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3734-2026</t>
        </is>
      </c>
      <c r="B5170" t="inlineStr">
        <is>
          <t>avverkningsanmälan</t>
        </is>
      </c>
      <c r="C5170" t="inlineStr">
        <is>
          <t>Föryngringsavverkning</t>
        </is>
      </c>
      <c r="D5170" s="1" t="n">
        <v>46043</v>
      </c>
      <c r="E5170" s="1" t="n">
        <v>46319</v>
      </c>
      <c r="F5170" t="inlineStr">
        <is>
          <t>DALARNAS LÄN</t>
        </is>
      </c>
      <c r="G5170" t="inlineStr">
        <is>
          <t>LEKSAND</t>
        </is>
      </c>
      <c r="I5170" t="n">
        <v>7.2</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56211-2023</t>
        </is>
      </c>
      <c r="B5171" t="inlineStr">
        <is>
          <t>avverkningsanmälan</t>
        </is>
      </c>
      <c r="C5171" t="inlineStr">
        <is>
          <t>Avverkning för annat ändamål</t>
        </is>
      </c>
      <c r="D5171" s="1" t="n">
        <v>45240</v>
      </c>
      <c r="E5171" s="1" t="n">
        <v>46319</v>
      </c>
      <c r="F5171" t="inlineStr">
        <is>
          <t>DALARNAS LÄN</t>
        </is>
      </c>
      <c r="G5171" t="inlineStr">
        <is>
          <t>LEKSAND</t>
        </is>
      </c>
      <c r="I5171" t="n">
        <v>1.5</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33482-2023</t>
        </is>
      </c>
      <c r="B5172" t="inlineStr">
        <is>
          <t>avverkningsanmälan</t>
        </is>
      </c>
      <c r="C5172" t="inlineStr">
        <is>
          <t>Föryngringsavverkning</t>
        </is>
      </c>
      <c r="D5172" s="1" t="n">
        <v>45118</v>
      </c>
      <c r="E5172" s="1" t="n">
        <v>46319</v>
      </c>
      <c r="F5172" t="inlineStr">
        <is>
          <t>DALARNAS LÄN</t>
        </is>
      </c>
      <c r="G5172" t="inlineStr">
        <is>
          <t>SÄTER</t>
        </is>
      </c>
      <c r="H5172" t="inlineStr">
        <is>
          <t>Bergvik skog väst AB</t>
        </is>
      </c>
      <c r="I5172" t="n">
        <v>1.4</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20437-2024</t>
        </is>
      </c>
      <c r="B5173" t="inlineStr">
        <is>
          <t>avverkningsanmälan</t>
        </is>
      </c>
      <c r="C5173" t="inlineStr">
        <is>
          <t>Föryngringsavverkning</t>
        </is>
      </c>
      <c r="D5173" s="1" t="n">
        <v>45435</v>
      </c>
      <c r="E5173" s="1" t="n">
        <v>46319</v>
      </c>
      <c r="F5173" t="inlineStr">
        <is>
          <t>DALARNAS LÄN</t>
        </is>
      </c>
      <c r="G5173" t="inlineStr">
        <is>
          <t>FALUN</t>
        </is>
      </c>
      <c r="I5173" t="n">
        <v>1.2</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4061-2026</t>
        </is>
      </c>
      <c r="B5174" t="inlineStr">
        <is>
          <t>avverkningsanmälan</t>
        </is>
      </c>
      <c r="C5174" t="inlineStr">
        <is>
          <t>Föryngringsavverkning</t>
        </is>
      </c>
      <c r="D5174" s="1" t="n">
        <v>46044</v>
      </c>
      <c r="E5174" s="1" t="n">
        <v>46319</v>
      </c>
      <c r="F5174" t="inlineStr">
        <is>
          <t>DALARNAS LÄN</t>
        </is>
      </c>
      <c r="G5174" t="inlineStr">
        <is>
          <t>RÄTTVIK</t>
        </is>
      </c>
      <c r="I5174" t="n">
        <v>7.2</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39216-2026</t>
        </is>
      </c>
      <c r="B5175" t="inlineStr">
        <is>
          <t>avverkningsanmälan</t>
        </is>
      </c>
      <c r="C5175" t="inlineStr">
        <is>
          <t>Föryngringsavverkning</t>
        </is>
      </c>
      <c r="D5175" s="1" t="n">
        <v>46287</v>
      </c>
      <c r="E5175" s="1" t="n">
        <v>46319</v>
      </c>
      <c r="F5175" t="inlineStr">
        <is>
          <t>DALARNAS LÄN</t>
        </is>
      </c>
      <c r="G5175" t="inlineStr">
        <is>
          <t>MALUNG-SÄLEN</t>
        </is>
      </c>
      <c r="H5175" t="inlineStr">
        <is>
          <t>Kommuner</t>
        </is>
      </c>
      <c r="I5175" t="n">
        <v>12.1</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25195-2024</t>
        </is>
      </c>
      <c r="B5176" t="inlineStr">
        <is>
          <t>avverkningsanmälan</t>
        </is>
      </c>
      <c r="C5176" t="inlineStr">
        <is>
          <t>Avverkning för annat ändamål</t>
        </is>
      </c>
      <c r="D5176" s="1" t="n">
        <v>45462</v>
      </c>
      <c r="E5176" s="1" t="n">
        <v>46319</v>
      </c>
      <c r="F5176" t="inlineStr">
        <is>
          <t>DALARNAS LÄN</t>
        </is>
      </c>
      <c r="G5176" t="inlineStr">
        <is>
          <t>HEDEMORA</t>
        </is>
      </c>
      <c r="H5176" t="inlineStr">
        <is>
          <t>Övriga statliga verk och myndigheter</t>
        </is>
      </c>
      <c r="I5176" t="n">
        <v>3.3</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39243-2026</t>
        </is>
      </c>
      <c r="B5177" t="inlineStr">
        <is>
          <t>avverkningsanmälan</t>
        </is>
      </c>
      <c r="C5177" t="inlineStr">
        <is>
          <t>Föryngringsavverkning</t>
        </is>
      </c>
      <c r="D5177" s="1" t="n">
        <v>46288</v>
      </c>
      <c r="E5177" s="1" t="n">
        <v>46319</v>
      </c>
      <c r="F5177" t="inlineStr">
        <is>
          <t>DALARNAS LÄN</t>
        </is>
      </c>
      <c r="G5177" t="inlineStr">
        <is>
          <t>BORLÄNGE</t>
        </is>
      </c>
      <c r="I5177" t="n">
        <v>2.1</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61877-2024</t>
        </is>
      </c>
      <c r="B5178" t="inlineStr">
        <is>
          <t>avverkningsanmälan</t>
        </is>
      </c>
      <c r="C5178" t="inlineStr">
        <is>
          <t>Föryngringsavverkning</t>
        </is>
      </c>
      <c r="D5178" s="1" t="n">
        <v>45652</v>
      </c>
      <c r="E5178" s="1" t="n">
        <v>46319</v>
      </c>
      <c r="F5178" t="inlineStr">
        <is>
          <t>DALARNAS LÄN</t>
        </is>
      </c>
      <c r="G5178" t="inlineStr">
        <is>
          <t>FALUN</t>
        </is>
      </c>
      <c r="I5178" t="n">
        <v>1.5</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3791-2026</t>
        </is>
      </c>
      <c r="B5179" t="inlineStr">
        <is>
          <t>avverkningsanmälan</t>
        </is>
      </c>
      <c r="C5179" t="inlineStr">
        <is>
          <t>Föryngringsavverkning</t>
        </is>
      </c>
      <c r="D5179" s="1" t="n">
        <v>46043</v>
      </c>
      <c r="E5179" s="1" t="n">
        <v>46319</v>
      </c>
      <c r="F5179" t="inlineStr">
        <is>
          <t>DALARNAS LÄN</t>
        </is>
      </c>
      <c r="G5179" t="inlineStr">
        <is>
          <t>FALUN</t>
        </is>
      </c>
      <c r="I5179" t="n">
        <v>1.4</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3834-2026</t>
        </is>
      </c>
      <c r="B5180" t="inlineStr">
        <is>
          <t>avverkningsanmälan</t>
        </is>
      </c>
      <c r="C5180" t="inlineStr">
        <is>
          <t>Föryngringsavverkning</t>
        </is>
      </c>
      <c r="D5180" s="1" t="n">
        <v>46043</v>
      </c>
      <c r="E5180" s="1" t="n">
        <v>46319</v>
      </c>
      <c r="F5180" t="inlineStr">
        <is>
          <t>DALARNAS LÄN</t>
        </is>
      </c>
      <c r="G5180" t="inlineStr">
        <is>
          <t>LEKSAND</t>
        </is>
      </c>
      <c r="I5180" t="n">
        <v>14.4</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3915-2026</t>
        </is>
      </c>
      <c r="B5181" t="inlineStr">
        <is>
          <t>avverkningsanmälan</t>
        </is>
      </c>
      <c r="C5181" t="inlineStr">
        <is>
          <t>Föryngringsavverkning</t>
        </is>
      </c>
      <c r="D5181" s="1" t="n">
        <v>46043</v>
      </c>
      <c r="E5181" s="1" t="n">
        <v>46319</v>
      </c>
      <c r="F5181" t="inlineStr">
        <is>
          <t>DALARNAS LÄN</t>
        </is>
      </c>
      <c r="G5181" t="inlineStr">
        <is>
          <t>FALUN</t>
        </is>
      </c>
      <c r="I5181" t="n">
        <v>0.8</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39242-2026</t>
        </is>
      </c>
      <c r="B5182" t="inlineStr">
        <is>
          <t>avverkningsanmälan</t>
        </is>
      </c>
      <c r="C5182" t="inlineStr">
        <is>
          <t>Föryngringsavverkning</t>
        </is>
      </c>
      <c r="D5182" s="1" t="n">
        <v>46288</v>
      </c>
      <c r="E5182" s="1" t="n">
        <v>46319</v>
      </c>
      <c r="F5182" t="inlineStr">
        <is>
          <t>DALARNAS LÄN</t>
        </is>
      </c>
      <c r="G5182" t="inlineStr">
        <is>
          <t>BORLÄNGE</t>
        </is>
      </c>
      <c r="I5182" t="n">
        <v>0.6</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3604-2026</t>
        </is>
      </c>
      <c r="B5183" t="inlineStr">
        <is>
          <t>avverkningsanmälan</t>
        </is>
      </c>
      <c r="C5183" t="inlineStr">
        <is>
          <t>Föryngringsavverkning</t>
        </is>
      </c>
      <c r="D5183" s="1" t="n">
        <v>46042</v>
      </c>
      <c r="E5183" s="1" t="n">
        <v>46319</v>
      </c>
      <c r="F5183" t="inlineStr">
        <is>
          <t>DALARNAS LÄN</t>
        </is>
      </c>
      <c r="G5183" t="inlineStr">
        <is>
          <t>FALUN</t>
        </is>
      </c>
      <c r="I5183" t="n">
        <v>3.2</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42060-2024</t>
        </is>
      </c>
      <c r="B5184" t="inlineStr">
        <is>
          <t>avverkningsanmälan</t>
        </is>
      </c>
      <c r="C5184" t="inlineStr">
        <is>
          <t>Föryngringsavverkning</t>
        </is>
      </c>
      <c r="D5184" s="1" t="n">
        <v>45561</v>
      </c>
      <c r="E5184" s="1" t="n">
        <v>46319</v>
      </c>
      <c r="F5184" t="inlineStr">
        <is>
          <t>DALARNAS LÄN</t>
        </is>
      </c>
      <c r="G5184" t="inlineStr">
        <is>
          <t>FALUN</t>
        </is>
      </c>
      <c r="I5184" t="n">
        <v>2.5</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58623-2024</t>
        </is>
      </c>
      <c r="B5185" t="inlineStr">
        <is>
          <t>avverkningsanmälan</t>
        </is>
      </c>
      <c r="C5185" t="inlineStr">
        <is>
          <t>Avverkning för annat ändamål</t>
        </is>
      </c>
      <c r="D5185" s="1" t="n">
        <v>45635</v>
      </c>
      <c r="E5185" s="1" t="n">
        <v>46319</v>
      </c>
      <c r="F5185" t="inlineStr">
        <is>
          <t>DALARNAS LÄN</t>
        </is>
      </c>
      <c r="G5185" t="inlineStr">
        <is>
          <t>FALUN</t>
        </is>
      </c>
      <c r="I5185" t="n">
        <v>1.3</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6985-2026</t>
        </is>
      </c>
      <c r="B5186" t="inlineStr">
        <is>
          <t>avverkningsanmälan</t>
        </is>
      </c>
      <c r="C5186" t="inlineStr">
        <is>
          <t>Föryngringsavverkning</t>
        </is>
      </c>
      <c r="D5186" s="1" t="n">
        <v>46057</v>
      </c>
      <c r="E5186" s="1" t="n">
        <v>46319</v>
      </c>
      <c r="F5186" t="inlineStr">
        <is>
          <t>DALARNAS LÄN</t>
        </is>
      </c>
      <c r="G5186" t="inlineStr">
        <is>
          <t>FALUN</t>
        </is>
      </c>
      <c r="H5186" t="inlineStr">
        <is>
          <t>Bergvik skog väst AB</t>
        </is>
      </c>
      <c r="I5186" t="n">
        <v>24.1</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24195-2025</t>
        </is>
      </c>
      <c r="B5187" t="inlineStr">
        <is>
          <t>avverkningsanmälan</t>
        </is>
      </c>
      <c r="C5187" t="inlineStr">
        <is>
          <t>Föryngringsavverkning</t>
        </is>
      </c>
      <c r="D5187" s="1" t="n">
        <v>45796</v>
      </c>
      <c r="E5187" s="1" t="n">
        <v>46319</v>
      </c>
      <c r="F5187" t="inlineStr">
        <is>
          <t>DALARNAS LÄN</t>
        </is>
      </c>
      <c r="G5187" t="inlineStr">
        <is>
          <t>AVESTA</t>
        </is>
      </c>
      <c r="I5187" t="n">
        <v>0.3</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24197-2025</t>
        </is>
      </c>
      <c r="B5188" t="inlineStr">
        <is>
          <t>avverkningsanmälan</t>
        </is>
      </c>
      <c r="C5188" t="inlineStr">
        <is>
          <t>Föryngringsavverkning</t>
        </is>
      </c>
      <c r="D5188" s="1" t="n">
        <v>45796</v>
      </c>
      <c r="E5188" s="1" t="n">
        <v>46319</v>
      </c>
      <c r="F5188" t="inlineStr">
        <is>
          <t>DALARNAS LÄN</t>
        </is>
      </c>
      <c r="G5188" t="inlineStr">
        <is>
          <t>AVESTA</t>
        </is>
      </c>
      <c r="I5188" t="n">
        <v>0.3</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4216-2026</t>
        </is>
      </c>
      <c r="B5189" t="inlineStr">
        <is>
          <t>avverkningsanmälan</t>
        </is>
      </c>
      <c r="C5189" t="inlineStr">
        <is>
          <t>Föryngringsavverkning</t>
        </is>
      </c>
      <c r="D5189" s="1" t="n">
        <v>46044</v>
      </c>
      <c r="E5189" s="1" t="n">
        <v>46319</v>
      </c>
      <c r="F5189" t="inlineStr">
        <is>
          <t>DALARNAS LÄN</t>
        </is>
      </c>
      <c r="G5189" t="inlineStr">
        <is>
          <t>FALUN</t>
        </is>
      </c>
      <c r="I5189" t="n">
        <v>1.2</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24637-2025</t>
        </is>
      </c>
      <c r="B5190" t="inlineStr">
        <is>
          <t>avverkningsanmälan</t>
        </is>
      </c>
      <c r="C5190" t="inlineStr">
        <is>
          <t>Föryngringsavverkning</t>
        </is>
      </c>
      <c r="D5190" s="1" t="n">
        <v>45798</v>
      </c>
      <c r="E5190" s="1" t="n">
        <v>46319</v>
      </c>
      <c r="F5190" t="inlineStr">
        <is>
          <t>DALARNAS LÄN</t>
        </is>
      </c>
      <c r="G5190" t="inlineStr">
        <is>
          <t>ÄLVDALEN</t>
        </is>
      </c>
      <c r="I5190" t="n">
        <v>0.5</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24326-2025</t>
        </is>
      </c>
      <c r="B5191" t="inlineStr">
        <is>
          <t>avverkningsanmälan</t>
        </is>
      </c>
      <c r="C5191" t="inlineStr">
        <is>
          <t>Föryngringsavverkning</t>
        </is>
      </c>
      <c r="D5191" s="1" t="n">
        <v>45797</v>
      </c>
      <c r="E5191" s="1" t="n">
        <v>46319</v>
      </c>
      <c r="F5191" t="inlineStr">
        <is>
          <t>DALARNAS LÄN</t>
        </is>
      </c>
      <c r="G5191" t="inlineStr">
        <is>
          <t>MALUNG-SÄLEN</t>
        </is>
      </c>
      <c r="H5191" t="inlineStr">
        <is>
          <t>Bergvik skog öst AB</t>
        </is>
      </c>
      <c r="I5191" t="n">
        <v>0.1</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33120-2026</t>
        </is>
      </c>
      <c r="B5192" t="inlineStr">
        <is>
          <t>avverkningsanmälan</t>
        </is>
      </c>
      <c r="C5192" t="inlineStr">
        <is>
          <t>Föryngringsavverkning</t>
        </is>
      </c>
      <c r="D5192" s="1" t="n">
        <v>46245</v>
      </c>
      <c r="E5192" s="1" t="n">
        <v>46319</v>
      </c>
      <c r="F5192" t="inlineStr">
        <is>
          <t>DALARNAS LÄN</t>
        </is>
      </c>
      <c r="G5192" t="inlineStr">
        <is>
          <t>MALUNG-SÄLEN</t>
        </is>
      </c>
      <c r="I5192" t="n">
        <v>3.3</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4023-2026</t>
        </is>
      </c>
      <c r="B5193" t="inlineStr">
        <is>
          <t>avverkningsanmälan</t>
        </is>
      </c>
      <c r="C5193" t="inlineStr">
        <is>
          <t>Avverkning för att bevara och utveckla /försöksver</t>
        </is>
      </c>
      <c r="D5193" s="1" t="n">
        <v>46044</v>
      </c>
      <c r="E5193" s="1" t="n">
        <v>46319</v>
      </c>
      <c r="F5193" t="inlineStr">
        <is>
          <t>DALARNAS LÄN</t>
        </is>
      </c>
      <c r="G5193" t="inlineStr">
        <is>
          <t>ÄLVDALEN</t>
        </is>
      </c>
      <c r="I5193" t="n">
        <v>0.6</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24573-2025</t>
        </is>
      </c>
      <c r="B5194" t="inlineStr">
        <is>
          <t>avverkningsanmälan</t>
        </is>
      </c>
      <c r="C5194" t="inlineStr">
        <is>
          <t>Föryngringsavverkning</t>
        </is>
      </c>
      <c r="D5194" s="1" t="n">
        <v>45798</v>
      </c>
      <c r="E5194" s="1" t="n">
        <v>46319</v>
      </c>
      <c r="F5194" t="inlineStr">
        <is>
          <t>DALARNAS LÄN</t>
        </is>
      </c>
      <c r="G5194" t="inlineStr">
        <is>
          <t>RÄTTVIK</t>
        </is>
      </c>
      <c r="I5194" t="n">
        <v>0.9</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24199-2025</t>
        </is>
      </c>
      <c r="B5195" t="inlineStr">
        <is>
          <t>avverkningsanmälan</t>
        </is>
      </c>
      <c r="C5195" t="inlineStr">
        <is>
          <t>Föryngringsavverkning</t>
        </is>
      </c>
      <c r="D5195" s="1" t="n">
        <v>45796</v>
      </c>
      <c r="E5195" s="1" t="n">
        <v>46319</v>
      </c>
      <c r="F5195" t="inlineStr">
        <is>
          <t>DALARNAS LÄN</t>
        </is>
      </c>
      <c r="G5195" t="inlineStr">
        <is>
          <t>AVESTA</t>
        </is>
      </c>
      <c r="I5195" t="n">
        <v>3.5</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62093-2024</t>
        </is>
      </c>
      <c r="B5196" t="inlineStr">
        <is>
          <t>avverkningsanmälan</t>
        </is>
      </c>
      <c r="C5196" t="inlineStr">
        <is>
          <t>Avverkning för att bevara och utveckla /försöksver</t>
        </is>
      </c>
      <c r="D5196" s="1" t="n">
        <v>45656</v>
      </c>
      <c r="E5196" s="1" t="n">
        <v>46319</v>
      </c>
      <c r="F5196" t="inlineStr">
        <is>
          <t>DALARNAS LÄN</t>
        </is>
      </c>
      <c r="G5196" t="inlineStr">
        <is>
          <t>AVESTA</t>
        </is>
      </c>
      <c r="I5196" t="n">
        <v>1.9</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3633-2026</t>
        </is>
      </c>
      <c r="B5197" t="inlineStr">
        <is>
          <t>avverkningsanmälan</t>
        </is>
      </c>
      <c r="C5197" t="inlineStr">
        <is>
          <t>Föryngringsavverkning</t>
        </is>
      </c>
      <c r="D5197" s="1" t="n">
        <v>46043</v>
      </c>
      <c r="E5197" s="1" t="n">
        <v>46319</v>
      </c>
      <c r="F5197" t="inlineStr">
        <is>
          <t>DALARNAS LÄN</t>
        </is>
      </c>
      <c r="G5197" t="inlineStr">
        <is>
          <t>FALUN</t>
        </is>
      </c>
      <c r="I5197" t="n">
        <v>11.8</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3887-2026</t>
        </is>
      </c>
      <c r="B5198" t="inlineStr">
        <is>
          <t>avverkningsanmälan</t>
        </is>
      </c>
      <c r="C5198" t="inlineStr">
        <is>
          <t>Föryngringsavverkning</t>
        </is>
      </c>
      <c r="D5198" s="1" t="n">
        <v>46043</v>
      </c>
      <c r="E5198" s="1" t="n">
        <v>46319</v>
      </c>
      <c r="F5198" t="inlineStr">
        <is>
          <t>DALARNAS LÄN</t>
        </is>
      </c>
      <c r="G5198" t="inlineStr">
        <is>
          <t>ÄLVDALEN</t>
        </is>
      </c>
      <c r="I5198" t="n">
        <v>0.7</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3674-2026</t>
        </is>
      </c>
      <c r="B5199" t="inlineStr">
        <is>
          <t>avverkningsanmälan</t>
        </is>
      </c>
      <c r="C5199" t="inlineStr">
        <is>
          <t>Föryngringsavverkning</t>
        </is>
      </c>
      <c r="D5199" s="1" t="n">
        <v>46043</v>
      </c>
      <c r="E5199" s="1" t="n">
        <v>46319</v>
      </c>
      <c r="F5199" t="inlineStr">
        <is>
          <t>DALARNAS LÄN</t>
        </is>
      </c>
      <c r="G5199" t="inlineStr">
        <is>
          <t>FALUN</t>
        </is>
      </c>
      <c r="I5199" t="n">
        <v>3.3</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3723-2026</t>
        </is>
      </c>
      <c r="B5200" t="inlineStr">
        <is>
          <t>avverkningsanmälan</t>
        </is>
      </c>
      <c r="C5200" t="inlineStr">
        <is>
          <t>Föryngringsavverkning</t>
        </is>
      </c>
      <c r="D5200" s="1" t="n">
        <v>46043</v>
      </c>
      <c r="E5200" s="1" t="n">
        <v>46319</v>
      </c>
      <c r="F5200" t="inlineStr">
        <is>
          <t>DALARNAS LÄN</t>
        </is>
      </c>
      <c r="G5200" t="inlineStr">
        <is>
          <t>LEKSAND</t>
        </is>
      </c>
      <c r="I5200" t="n">
        <v>0.6</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3968-2026</t>
        </is>
      </c>
      <c r="B5201" t="inlineStr">
        <is>
          <t>avverkningsanmälan</t>
        </is>
      </c>
      <c r="C5201" t="inlineStr">
        <is>
          <t>Föryngringsavverkning</t>
        </is>
      </c>
      <c r="D5201" s="1" t="n">
        <v>46044</v>
      </c>
      <c r="E5201" s="1" t="n">
        <v>46319</v>
      </c>
      <c r="F5201" t="inlineStr">
        <is>
          <t>DALARNAS LÄN</t>
        </is>
      </c>
      <c r="G5201" t="inlineStr">
        <is>
          <t>LEKSAND</t>
        </is>
      </c>
      <c r="I5201" t="n">
        <v>2.3</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4011-2026</t>
        </is>
      </c>
      <c r="B5202" t="inlineStr">
        <is>
          <t>avverkningsanmälan</t>
        </is>
      </c>
      <c r="C5202" t="inlineStr">
        <is>
          <t>Föryngringsavverkning</t>
        </is>
      </c>
      <c r="D5202" s="1" t="n">
        <v>46044</v>
      </c>
      <c r="E5202" s="1" t="n">
        <v>46319</v>
      </c>
      <c r="F5202" t="inlineStr">
        <is>
          <t>DALARNAS LÄN</t>
        </is>
      </c>
      <c r="G5202" t="inlineStr">
        <is>
          <t>ORSA</t>
        </is>
      </c>
      <c r="I5202" t="n">
        <v>3.6</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23117-2025</t>
        </is>
      </c>
      <c r="B5203" t="inlineStr">
        <is>
          <t>avverkningsanmälan</t>
        </is>
      </c>
      <c r="C5203" t="inlineStr">
        <is>
          <t>Föryngringsavverkning</t>
        </is>
      </c>
      <c r="D5203" s="1" t="n">
        <v>45791</v>
      </c>
      <c r="E5203" s="1" t="n">
        <v>46319</v>
      </c>
      <c r="F5203" t="inlineStr">
        <is>
          <t>DALARNAS LÄN</t>
        </is>
      </c>
      <c r="G5203" t="inlineStr">
        <is>
          <t>LUDVIKA</t>
        </is>
      </c>
      <c r="H5203" t="inlineStr">
        <is>
          <t>Bergvik skog väst AB</t>
        </is>
      </c>
      <c r="I5203" t="n">
        <v>1.5</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3669-2026</t>
        </is>
      </c>
      <c r="B5204" t="inlineStr">
        <is>
          <t>avverkningsanmälan</t>
        </is>
      </c>
      <c r="C5204" t="inlineStr">
        <is>
          <t>Föryngringsavverkning</t>
        </is>
      </c>
      <c r="D5204" s="1" t="n">
        <v>46043</v>
      </c>
      <c r="E5204" s="1" t="n">
        <v>46319</v>
      </c>
      <c r="F5204" t="inlineStr">
        <is>
          <t>DALARNAS LÄN</t>
        </is>
      </c>
      <c r="G5204" t="inlineStr">
        <is>
          <t>MORA</t>
        </is>
      </c>
      <c r="I5204" t="n">
        <v>4.6</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69306-2021</t>
        </is>
      </c>
      <c r="B5205" t="inlineStr">
        <is>
          <t>avverkningsanmälan</t>
        </is>
      </c>
      <c r="C5205" t="inlineStr">
        <is>
          <t>Föryngringsavverkning</t>
        </is>
      </c>
      <c r="D5205" s="1" t="n">
        <v>44531</v>
      </c>
      <c r="E5205" s="1" t="n">
        <v>46319</v>
      </c>
      <c r="F5205" t="inlineStr">
        <is>
          <t>DALARNAS LÄN</t>
        </is>
      </c>
      <c r="G5205" t="inlineStr">
        <is>
          <t>FALUN</t>
        </is>
      </c>
      <c r="I5205" t="n">
        <v>1.2</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24642-2025</t>
        </is>
      </c>
      <c r="B5206" t="inlineStr">
        <is>
          <t>avverkningsanmälan</t>
        </is>
      </c>
      <c r="C5206" t="inlineStr">
        <is>
          <t>Föryngringsavverkning</t>
        </is>
      </c>
      <c r="D5206" s="1" t="n">
        <v>45798</v>
      </c>
      <c r="E5206" s="1" t="n">
        <v>46319</v>
      </c>
      <c r="F5206" t="inlineStr">
        <is>
          <t>DALARNAS LÄN</t>
        </is>
      </c>
      <c r="G5206" t="inlineStr">
        <is>
          <t>MORA</t>
        </is>
      </c>
      <c r="H5206" t="inlineStr">
        <is>
          <t>Bergvik skog väst AB</t>
        </is>
      </c>
      <c r="I5206" t="n">
        <v>1.7</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24443-2025</t>
        </is>
      </c>
      <c r="B5207" t="inlineStr">
        <is>
          <t>avverkningsanmälan</t>
        </is>
      </c>
      <c r="C5207" t="inlineStr">
        <is>
          <t>Föryngringsavverkning</t>
        </is>
      </c>
      <c r="D5207" s="1" t="n">
        <v>45798</v>
      </c>
      <c r="E5207" s="1" t="n">
        <v>46319</v>
      </c>
      <c r="F5207" t="inlineStr">
        <is>
          <t>DALARNAS LÄN</t>
        </is>
      </c>
      <c r="G5207" t="inlineStr">
        <is>
          <t>FALUN</t>
        </is>
      </c>
      <c r="I5207" t="n">
        <v>2.3</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24259-2025</t>
        </is>
      </c>
      <c r="B5208" t="inlineStr">
        <is>
          <t>avverkningsanmälan</t>
        </is>
      </c>
      <c r="C5208" t="inlineStr">
        <is>
          <t>Föryngringsavverkning</t>
        </is>
      </c>
      <c r="D5208" s="1" t="n">
        <v>45797</v>
      </c>
      <c r="E5208" s="1" t="n">
        <v>46319</v>
      </c>
      <c r="F5208" t="inlineStr">
        <is>
          <t>DALARNAS LÄN</t>
        </is>
      </c>
      <c r="G5208" t="inlineStr">
        <is>
          <t>MALUNG-SÄLEN</t>
        </is>
      </c>
      <c r="I5208" t="n">
        <v>3.4</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24372-2025</t>
        </is>
      </c>
      <c r="B5209" t="inlineStr">
        <is>
          <t>avverkningsanmälan</t>
        </is>
      </c>
      <c r="C5209" t="inlineStr">
        <is>
          <t>Föryngringsavverkning</t>
        </is>
      </c>
      <c r="D5209" s="1" t="n">
        <v>45797</v>
      </c>
      <c r="E5209" s="1" t="n">
        <v>46319</v>
      </c>
      <c r="F5209" t="inlineStr">
        <is>
          <t>DALARNAS LÄN</t>
        </is>
      </c>
      <c r="G5209" t="inlineStr">
        <is>
          <t>SMEDJEBACKEN</t>
        </is>
      </c>
      <c r="I5209" t="n">
        <v>0.5</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16552-2026</t>
        </is>
      </c>
      <c r="B5210" t="inlineStr">
        <is>
          <t>avverkningsanmälan</t>
        </is>
      </c>
      <c r="C5210" t="inlineStr">
        <is>
          <t>Föryngringsavverkning</t>
        </is>
      </c>
      <c r="D5210" s="1" t="n">
        <v>46112</v>
      </c>
      <c r="E5210" s="1" t="n">
        <v>46319</v>
      </c>
      <c r="F5210" t="inlineStr">
        <is>
          <t>DALARNAS LÄN</t>
        </is>
      </c>
      <c r="G5210" t="inlineStr">
        <is>
          <t>ÄLVDALEN</t>
        </is>
      </c>
      <c r="I5210" t="n">
        <v>17.2</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25294-2024</t>
        </is>
      </c>
      <c r="B5211" t="inlineStr">
        <is>
          <t>avverkningsanmälan</t>
        </is>
      </c>
      <c r="C5211" t="inlineStr">
        <is>
          <t>Föryngringsavverkning</t>
        </is>
      </c>
      <c r="D5211" s="1" t="n">
        <v>45462</v>
      </c>
      <c r="E5211" s="1" t="n">
        <v>46319</v>
      </c>
      <c r="F5211" t="inlineStr">
        <is>
          <t>DALARNAS LÄN</t>
        </is>
      </c>
      <c r="G5211" t="inlineStr">
        <is>
          <t>SÄTER</t>
        </is>
      </c>
      <c r="I5211" t="n">
        <v>3.5</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3645-2026</t>
        </is>
      </c>
      <c r="B5212" t="inlineStr">
        <is>
          <t>avverkningsanmälan</t>
        </is>
      </c>
      <c r="C5212" t="inlineStr">
        <is>
          <t>Föryngringsavverkning</t>
        </is>
      </c>
      <c r="D5212" s="1" t="n">
        <v>46043</v>
      </c>
      <c r="E5212" s="1" t="n">
        <v>46319</v>
      </c>
      <c r="F5212" t="inlineStr">
        <is>
          <t>DALARNAS LÄN</t>
        </is>
      </c>
      <c r="G5212" t="inlineStr">
        <is>
          <t>ÄLVDALEN</t>
        </is>
      </c>
      <c r="I5212" t="n">
        <v>3.2</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20642-2025</t>
        </is>
      </c>
      <c r="B5213" t="inlineStr">
        <is>
          <t>avverkningsanmälan</t>
        </is>
      </c>
      <c r="C5213" t="inlineStr">
        <is>
          <t>Föryngringsavverkning</t>
        </is>
      </c>
      <c r="D5213" s="1" t="n">
        <v>45776</v>
      </c>
      <c r="E5213" s="1" t="n">
        <v>46319</v>
      </c>
      <c r="F5213" t="inlineStr">
        <is>
          <t>DALARNAS LÄN</t>
        </is>
      </c>
      <c r="G5213" t="inlineStr">
        <is>
          <t>LUDVIKA</t>
        </is>
      </c>
      <c r="I5213" t="n">
        <v>0.8</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4027-2026</t>
        </is>
      </c>
      <c r="B5214" t="inlineStr">
        <is>
          <t>avverkningsanmälan</t>
        </is>
      </c>
      <c r="C5214" t="inlineStr">
        <is>
          <t>Föryngringsavverkning</t>
        </is>
      </c>
      <c r="D5214" s="1" t="n">
        <v>46044</v>
      </c>
      <c r="E5214" s="1" t="n">
        <v>46319</v>
      </c>
      <c r="F5214" t="inlineStr">
        <is>
          <t>DALARNAS LÄN</t>
        </is>
      </c>
      <c r="G5214" t="inlineStr">
        <is>
          <t>VANSBRO</t>
        </is>
      </c>
      <c r="I5214" t="n">
        <v>0.8</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24364-2025</t>
        </is>
      </c>
      <c r="B5215" t="inlineStr">
        <is>
          <t>avverkningsanmälan</t>
        </is>
      </c>
      <c r="C5215" t="inlineStr">
        <is>
          <t>Föryngringsavverkning</t>
        </is>
      </c>
      <c r="D5215" s="1" t="n">
        <v>45797</v>
      </c>
      <c r="E5215" s="1" t="n">
        <v>46319</v>
      </c>
      <c r="F5215" t="inlineStr">
        <is>
          <t>DALARNAS LÄN</t>
        </is>
      </c>
      <c r="G5215" t="inlineStr">
        <is>
          <t>MALUNG-SÄLEN</t>
        </is>
      </c>
      <c r="H5215" t="inlineStr">
        <is>
          <t>Bergvik skog öst AB</t>
        </is>
      </c>
      <c r="I5215" t="n">
        <v>1.2</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4092-2026</t>
        </is>
      </c>
      <c r="B5216" t="inlineStr">
        <is>
          <t>avverkningsanmälan</t>
        </is>
      </c>
      <c r="C5216" t="inlineStr">
        <is>
          <t>Föryngringsavverkning</t>
        </is>
      </c>
      <c r="D5216" s="1" t="n">
        <v>46044</v>
      </c>
      <c r="E5216" s="1" t="n">
        <v>46319</v>
      </c>
      <c r="F5216" t="inlineStr">
        <is>
          <t>DALARNAS LÄN</t>
        </is>
      </c>
      <c r="G5216" t="inlineStr">
        <is>
          <t>RÄTTVIK</t>
        </is>
      </c>
      <c r="I5216" t="n">
        <v>1.4</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3956-2026</t>
        </is>
      </c>
      <c r="B5217" t="inlineStr">
        <is>
          <t>avverkningsanmälan</t>
        </is>
      </c>
      <c r="C5217" t="inlineStr">
        <is>
          <t>Föryngringsavverkning</t>
        </is>
      </c>
      <c r="D5217" s="1" t="n">
        <v>46044</v>
      </c>
      <c r="E5217" s="1" t="n">
        <v>46319</v>
      </c>
      <c r="F5217" t="inlineStr">
        <is>
          <t>DALARNAS LÄN</t>
        </is>
      </c>
      <c r="G5217" t="inlineStr">
        <is>
          <t>FALUN</t>
        </is>
      </c>
      <c r="I5217" t="n">
        <v>5.2</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4019-2026</t>
        </is>
      </c>
      <c r="B5218" t="inlineStr">
        <is>
          <t>avverkningsanmälan</t>
        </is>
      </c>
      <c r="C5218" t="inlineStr">
        <is>
          <t>Föryngringsavverkning</t>
        </is>
      </c>
      <c r="D5218" s="1" t="n">
        <v>46044</v>
      </c>
      <c r="E5218" s="1" t="n">
        <v>46319</v>
      </c>
      <c r="F5218" t="inlineStr">
        <is>
          <t>DALARNAS LÄN</t>
        </is>
      </c>
      <c r="G5218" t="inlineStr">
        <is>
          <t>MALUNG-SÄLEN</t>
        </is>
      </c>
      <c r="I5218" t="n">
        <v>4</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35516-2024</t>
        </is>
      </c>
      <c r="B5219" t="inlineStr">
        <is>
          <t>avverkningsanmälan</t>
        </is>
      </c>
      <c r="C5219" t="inlineStr">
        <is>
          <t>Föryngringsavverkning</t>
        </is>
      </c>
      <c r="D5219" s="1" t="n">
        <v>45531</v>
      </c>
      <c r="E5219" s="1" t="n">
        <v>46319</v>
      </c>
      <c r="F5219" t="inlineStr">
        <is>
          <t>DALARNAS LÄN</t>
        </is>
      </c>
      <c r="G5219" t="inlineStr">
        <is>
          <t>VANSBRO</t>
        </is>
      </c>
      <c r="I5219" t="n">
        <v>0.9</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26761-2026</t>
        </is>
      </c>
      <c r="B5220" t="inlineStr">
        <is>
          <t>avverkningsanmälan</t>
        </is>
      </c>
      <c r="C5220" t="inlineStr">
        <is>
          <t>Föryngringsavverkning</t>
        </is>
      </c>
      <c r="D5220" s="1" t="n">
        <v>46184</v>
      </c>
      <c r="E5220" s="1" t="n">
        <v>46319</v>
      </c>
      <c r="F5220" t="inlineStr">
        <is>
          <t>DALARNAS LÄN</t>
        </is>
      </c>
      <c r="G5220" t="inlineStr">
        <is>
          <t>MORA</t>
        </is>
      </c>
      <c r="I5220" t="n">
        <v>3.8</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4068-2026</t>
        </is>
      </c>
      <c r="B5221" t="inlineStr">
        <is>
          <t>avverkningsanmälan</t>
        </is>
      </c>
      <c r="C5221" t="inlineStr">
        <is>
          <t>Föryngringsavverkning</t>
        </is>
      </c>
      <c r="D5221" s="1" t="n">
        <v>46043</v>
      </c>
      <c r="E5221" s="1" t="n">
        <v>46319</v>
      </c>
      <c r="F5221" t="inlineStr">
        <is>
          <t>DALARNAS LÄN</t>
        </is>
      </c>
      <c r="G5221" t="inlineStr">
        <is>
          <t>FALUN</t>
        </is>
      </c>
      <c r="I5221" t="n">
        <v>2.2</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3759-2026</t>
        </is>
      </c>
      <c r="B5222" t="inlineStr">
        <is>
          <t>avverkningsanmälan</t>
        </is>
      </c>
      <c r="C5222" t="inlineStr">
        <is>
          <t>Föryngringsavverkning</t>
        </is>
      </c>
      <c r="D5222" s="1" t="n">
        <v>46043</v>
      </c>
      <c r="E5222" s="1" t="n">
        <v>46319</v>
      </c>
      <c r="F5222" t="inlineStr">
        <is>
          <t>DALARNAS LÄN</t>
        </is>
      </c>
      <c r="G5222" t="inlineStr">
        <is>
          <t>HEDEMORA</t>
        </is>
      </c>
      <c r="I5222" t="n">
        <v>6.6</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31206-2024</t>
        </is>
      </c>
      <c r="B5223" t="inlineStr">
        <is>
          <t>avverkningsanmälan</t>
        </is>
      </c>
      <c r="C5223" t="inlineStr">
        <is>
          <t>Föryngringsavverkning</t>
        </is>
      </c>
      <c r="D5223" s="1" t="n">
        <v>45503</v>
      </c>
      <c r="E5223" s="1" t="n">
        <v>46319</v>
      </c>
      <c r="F5223" t="inlineStr">
        <is>
          <t>DALARNAS LÄN</t>
        </is>
      </c>
      <c r="G5223" t="inlineStr">
        <is>
          <t>SMEDJEBACKEN</t>
        </is>
      </c>
      <c r="I5223" t="n">
        <v>3.9</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24322-2025</t>
        </is>
      </c>
      <c r="B5224" t="inlineStr">
        <is>
          <t>avverkningsanmälan</t>
        </is>
      </c>
      <c r="C5224" t="inlineStr">
        <is>
          <t>Föryngringsavverkning</t>
        </is>
      </c>
      <c r="D5224" s="1" t="n">
        <v>45797</v>
      </c>
      <c r="E5224" s="1" t="n">
        <v>46319</v>
      </c>
      <c r="F5224" t="inlineStr">
        <is>
          <t>DALARNAS LÄN</t>
        </is>
      </c>
      <c r="G5224" t="inlineStr">
        <is>
          <t>MALUNG-SÄLEN</t>
        </is>
      </c>
      <c r="H5224" t="inlineStr">
        <is>
          <t>Bergvik skog öst AB</t>
        </is>
      </c>
      <c r="I5224" t="n">
        <v>1.1</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3649-2026</t>
        </is>
      </c>
      <c r="B5225" t="inlineStr">
        <is>
          <t>avverkningsanmälan</t>
        </is>
      </c>
      <c r="C5225" t="inlineStr">
        <is>
          <t>Föryngringsavverkning</t>
        </is>
      </c>
      <c r="D5225" s="1" t="n">
        <v>46043</v>
      </c>
      <c r="E5225" s="1" t="n">
        <v>46319</v>
      </c>
      <c r="F5225" t="inlineStr">
        <is>
          <t>DALARNAS LÄN</t>
        </is>
      </c>
      <c r="G5225" t="inlineStr">
        <is>
          <t>ÄLVDALEN</t>
        </is>
      </c>
      <c r="I5225" t="n">
        <v>3.6</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39352-2026</t>
        </is>
      </c>
      <c r="B5226" t="inlineStr">
        <is>
          <t>avverkningsanmälan</t>
        </is>
      </c>
      <c r="C5226" t="inlineStr">
        <is>
          <t>Föryngringsavverkning</t>
        </is>
      </c>
      <c r="D5226" s="1" t="n">
        <v>46288</v>
      </c>
      <c r="E5226" s="1" t="n">
        <v>46319</v>
      </c>
      <c r="F5226" t="inlineStr">
        <is>
          <t>DALARNAS LÄN</t>
        </is>
      </c>
      <c r="G5226" t="inlineStr">
        <is>
          <t>VANSBRO</t>
        </is>
      </c>
      <c r="I5226" t="n">
        <v>3.5</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39360-2026</t>
        </is>
      </c>
      <c r="B5227" t="inlineStr">
        <is>
          <t>avverkningsanmälan</t>
        </is>
      </c>
      <c r="C5227" t="inlineStr">
        <is>
          <t>Föryngringsavverkning</t>
        </is>
      </c>
      <c r="D5227" s="1" t="n">
        <v>46288</v>
      </c>
      <c r="E5227" s="1" t="n">
        <v>46319</v>
      </c>
      <c r="F5227" t="inlineStr">
        <is>
          <t>DALARNAS LÄN</t>
        </is>
      </c>
      <c r="G5227" t="inlineStr">
        <is>
          <t>MALUNG-SÄLEN</t>
        </is>
      </c>
      <c r="H5227" t="inlineStr">
        <is>
          <t>Bergvik skog väst AB</t>
        </is>
      </c>
      <c r="I5227" t="n">
        <v>0.6</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39361-2026</t>
        </is>
      </c>
      <c r="B5228" t="inlineStr">
        <is>
          <t>avverkningsanmälan</t>
        </is>
      </c>
      <c r="C5228" t="inlineStr">
        <is>
          <t>Föryngringsavverkning</t>
        </is>
      </c>
      <c r="D5228" s="1" t="n">
        <v>46288</v>
      </c>
      <c r="E5228" s="1" t="n">
        <v>46319</v>
      </c>
      <c r="F5228" t="inlineStr">
        <is>
          <t>DALARNAS LÄN</t>
        </is>
      </c>
      <c r="G5228" t="inlineStr">
        <is>
          <t>LEKSAND</t>
        </is>
      </c>
      <c r="I5228" t="n">
        <v>4.7</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3679-2026</t>
        </is>
      </c>
      <c r="B5229" t="inlineStr">
        <is>
          <t>avverkningsanmälan</t>
        </is>
      </c>
      <c r="C5229" t="inlineStr">
        <is>
          <t>Föryngringsavverkning</t>
        </is>
      </c>
      <c r="D5229" s="1" t="n">
        <v>46043</v>
      </c>
      <c r="E5229" s="1" t="n">
        <v>46319</v>
      </c>
      <c r="F5229" t="inlineStr">
        <is>
          <t>DALARNAS LÄN</t>
        </is>
      </c>
      <c r="G5229" t="inlineStr">
        <is>
          <t>FALUN</t>
        </is>
      </c>
      <c r="I5229" t="n">
        <v>1.5</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12685-2026</t>
        </is>
      </c>
      <c r="B5230" t="inlineStr">
        <is>
          <t>avverkningsanmälan</t>
        </is>
      </c>
      <c r="C5230" t="inlineStr">
        <is>
          <t>Föryngringsavverkning</t>
        </is>
      </c>
      <c r="D5230" s="1" t="n">
        <v>46090</v>
      </c>
      <c r="E5230" s="1" t="n">
        <v>46319</v>
      </c>
      <c r="F5230" t="inlineStr">
        <is>
          <t>DALARNAS LÄN</t>
        </is>
      </c>
      <c r="G5230" t="inlineStr">
        <is>
          <t>FALUN</t>
        </is>
      </c>
      <c r="I5230" t="n">
        <v>6.5</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23137-2025</t>
        </is>
      </c>
      <c r="B5231" t="inlineStr">
        <is>
          <t>avverkningsanmälan</t>
        </is>
      </c>
      <c r="C5231" t="inlineStr">
        <is>
          <t>Föryngringsavverkning</t>
        </is>
      </c>
      <c r="D5231" s="1" t="n">
        <v>45791</v>
      </c>
      <c r="E5231" s="1" t="n">
        <v>46319</v>
      </c>
      <c r="F5231" t="inlineStr">
        <is>
          <t>DALARNAS LÄN</t>
        </is>
      </c>
      <c r="G5231" t="inlineStr">
        <is>
          <t>LUDVIKA</t>
        </is>
      </c>
      <c r="H5231" t="inlineStr">
        <is>
          <t>Bergvik skog väst AB</t>
        </is>
      </c>
      <c r="I5231" t="n">
        <v>1</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23139-2025</t>
        </is>
      </c>
      <c r="B5232" t="inlineStr">
        <is>
          <t>avverkningsanmälan</t>
        </is>
      </c>
      <c r="C5232" t="inlineStr">
        <is>
          <t>Föryngringsavverkning</t>
        </is>
      </c>
      <c r="D5232" s="1" t="n">
        <v>45791</v>
      </c>
      <c r="E5232" s="1" t="n">
        <v>46319</v>
      </c>
      <c r="F5232" t="inlineStr">
        <is>
          <t>DALARNAS LÄN</t>
        </is>
      </c>
      <c r="G5232" t="inlineStr">
        <is>
          <t>LUDVIKA</t>
        </is>
      </c>
      <c r="H5232" t="inlineStr">
        <is>
          <t>Bergvik skog väst AB</t>
        </is>
      </c>
      <c r="I5232" t="n">
        <v>0.8</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36308-2024</t>
        </is>
      </c>
      <c r="B5233" t="inlineStr">
        <is>
          <t>avverkningsanmälan</t>
        </is>
      </c>
      <c r="C5233" t="inlineStr">
        <is>
          <t>Föryngringsavverkning</t>
        </is>
      </c>
      <c r="D5233" s="1" t="n">
        <v>45534</v>
      </c>
      <c r="E5233" s="1" t="n">
        <v>46319</v>
      </c>
      <c r="F5233" t="inlineStr">
        <is>
          <t>DALARNAS LÄN</t>
        </is>
      </c>
      <c r="G5233" t="inlineStr">
        <is>
          <t>FALUN</t>
        </is>
      </c>
      <c r="I5233" t="n">
        <v>0.9</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4536-2026</t>
        </is>
      </c>
      <c r="B5234" t="inlineStr">
        <is>
          <t>avverkningsanmälan</t>
        </is>
      </c>
      <c r="C5234" t="inlineStr">
        <is>
          <t>Föryngringsavverkning</t>
        </is>
      </c>
      <c r="D5234" s="1" t="n">
        <v>46046</v>
      </c>
      <c r="E5234" s="1" t="n">
        <v>46319</v>
      </c>
      <c r="F5234" t="inlineStr">
        <is>
          <t>DALARNAS LÄN</t>
        </is>
      </c>
      <c r="G5234" t="inlineStr">
        <is>
          <t>FALUN</t>
        </is>
      </c>
      <c r="I5234" t="n">
        <v>4.5</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39148-2026</t>
        </is>
      </c>
      <c r="B5235" t="inlineStr">
        <is>
          <t>avverkningsanmälan</t>
        </is>
      </c>
      <c r="C5235" t="inlineStr">
        <is>
          <t>Föryngringsavverkning</t>
        </is>
      </c>
      <c r="D5235" s="1" t="n">
        <v>46287</v>
      </c>
      <c r="E5235" s="1" t="n">
        <v>46319</v>
      </c>
      <c r="F5235" t="inlineStr">
        <is>
          <t>DALARNAS LÄN</t>
        </is>
      </c>
      <c r="G5235" t="inlineStr">
        <is>
          <t>MORA</t>
        </is>
      </c>
      <c r="H5235" t="inlineStr">
        <is>
          <t>Bergvik skog väst AB</t>
        </is>
      </c>
      <c r="I5235" t="n">
        <v>1.5</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53981-2025</t>
        </is>
      </c>
      <c r="B5236" t="inlineStr">
        <is>
          <t>avverkningsanmälan</t>
        </is>
      </c>
      <c r="C5236" t="inlineStr">
        <is>
          <t>Föryngringsavverkning</t>
        </is>
      </c>
      <c r="D5236" s="1" t="n">
        <v>45961</v>
      </c>
      <c r="E5236" s="1" t="n">
        <v>46319</v>
      </c>
      <c r="F5236" t="inlineStr">
        <is>
          <t>DALARNAS LÄN</t>
        </is>
      </c>
      <c r="G5236" t="inlineStr">
        <is>
          <t>LUDVIKA</t>
        </is>
      </c>
      <c r="H5236" t="inlineStr">
        <is>
          <t>Bergvik skog väst AB</t>
        </is>
      </c>
      <c r="I5236" t="n">
        <v>0.9</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45568-2024</t>
        </is>
      </c>
      <c r="B5237" t="inlineStr">
        <is>
          <t>avverkningsanmälan</t>
        </is>
      </c>
      <c r="C5237" t="inlineStr">
        <is>
          <t>Föryngringsavverkning</t>
        </is>
      </c>
      <c r="D5237" s="1" t="n">
        <v>45578</v>
      </c>
      <c r="E5237" s="1" t="n">
        <v>46319</v>
      </c>
      <c r="F5237" t="inlineStr">
        <is>
          <t>DALARNAS LÄN</t>
        </is>
      </c>
      <c r="G5237" t="inlineStr">
        <is>
          <t>SMEDJEBACKEN</t>
        </is>
      </c>
      <c r="H5237" t="inlineStr">
        <is>
          <t>Bergvik skog väst AB</t>
        </is>
      </c>
      <c r="I5237" t="n">
        <v>9.1</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39050-2026</t>
        </is>
      </c>
      <c r="B5238" t="inlineStr">
        <is>
          <t>avverkningsanmälan</t>
        </is>
      </c>
      <c r="C5238" t="inlineStr">
        <is>
          <t>Föryngringsavverkning</t>
        </is>
      </c>
      <c r="D5238" s="1" t="n">
        <v>46287</v>
      </c>
      <c r="E5238" s="1" t="n">
        <v>46319</v>
      </c>
      <c r="F5238" t="inlineStr">
        <is>
          <t>DALARNAS LÄN</t>
        </is>
      </c>
      <c r="G5238" t="inlineStr">
        <is>
          <t>MORA</t>
        </is>
      </c>
      <c r="I5238" t="n">
        <v>1.8</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4567-2026</t>
        </is>
      </c>
      <c r="B5239" t="inlineStr">
        <is>
          <t>avverkningsanmälan</t>
        </is>
      </c>
      <c r="C5239" t="inlineStr">
        <is>
          <t>Föryngringsavverkning</t>
        </is>
      </c>
      <c r="D5239" s="1" t="n">
        <v>46047</v>
      </c>
      <c r="E5239" s="1" t="n">
        <v>46319</v>
      </c>
      <c r="F5239" t="inlineStr">
        <is>
          <t>DALARNAS LÄN</t>
        </is>
      </c>
      <c r="G5239" t="inlineStr">
        <is>
          <t>BORLÄNGE</t>
        </is>
      </c>
      <c r="I5239" t="n">
        <v>2.4</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12285-2024</t>
        </is>
      </c>
      <c r="B5240" t="inlineStr">
        <is>
          <t>avverkningsanmälan</t>
        </is>
      </c>
      <c r="C5240" t="inlineStr">
        <is>
          <t>Föryngringsavverkning</t>
        </is>
      </c>
      <c r="D5240" s="1" t="n">
        <v>45377</v>
      </c>
      <c r="E5240" s="1" t="n">
        <v>46319</v>
      </c>
      <c r="F5240" t="inlineStr">
        <is>
          <t>DALARNAS LÄN</t>
        </is>
      </c>
      <c r="G5240" t="inlineStr">
        <is>
          <t>SÄTER</t>
        </is>
      </c>
      <c r="I5240" t="n">
        <v>1.7</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24522-2025</t>
        </is>
      </c>
      <c r="B5241" t="inlineStr">
        <is>
          <t>avverkningsanmälan</t>
        </is>
      </c>
      <c r="C5241" t="inlineStr">
        <is>
          <t>Föryngringsavverkning</t>
        </is>
      </c>
      <c r="D5241" s="1" t="n">
        <v>45798</v>
      </c>
      <c r="E5241" s="1" t="n">
        <v>46319</v>
      </c>
      <c r="F5241" t="inlineStr">
        <is>
          <t>DALARNAS LÄN</t>
        </is>
      </c>
      <c r="G5241" t="inlineStr">
        <is>
          <t>VANSBRO</t>
        </is>
      </c>
      <c r="I5241" t="n">
        <v>0.8</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4224-2026</t>
        </is>
      </c>
      <c r="B5242" t="inlineStr">
        <is>
          <t>avverkningsanmälan</t>
        </is>
      </c>
      <c r="C5242" t="inlineStr">
        <is>
          <t>Föryngringsavverkning</t>
        </is>
      </c>
      <c r="D5242" s="1" t="n">
        <v>46044</v>
      </c>
      <c r="E5242" s="1" t="n">
        <v>46319</v>
      </c>
      <c r="F5242" t="inlineStr">
        <is>
          <t>DALARNAS LÄN</t>
        </is>
      </c>
      <c r="G5242" t="inlineStr">
        <is>
          <t>FALUN</t>
        </is>
      </c>
      <c r="I5242" t="n">
        <v>3</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2056-2026</t>
        </is>
      </c>
      <c r="B5243" t="inlineStr">
        <is>
          <t>avverkningsanmälan</t>
        </is>
      </c>
      <c r="C5243" t="inlineStr">
        <is>
          <t>Avverkning för att bevara och utveckla /försöksver</t>
        </is>
      </c>
      <c r="D5243" s="1" t="n">
        <v>46032</v>
      </c>
      <c r="E5243" s="1" t="n">
        <v>46319</v>
      </c>
      <c r="F5243" t="inlineStr">
        <is>
          <t>DALARNAS LÄN</t>
        </is>
      </c>
      <c r="G5243" t="inlineStr">
        <is>
          <t>HEDEMORA</t>
        </is>
      </c>
      <c r="I5243" t="n">
        <v>2.5</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2487-2026</t>
        </is>
      </c>
      <c r="B5244" t="inlineStr">
        <is>
          <t>avverkningsanmälan</t>
        </is>
      </c>
      <c r="C5244" t="inlineStr">
        <is>
          <t>Föryngringsavverkning</t>
        </is>
      </c>
      <c r="D5244" s="1" t="n">
        <v>46037</v>
      </c>
      <c r="E5244" s="1" t="n">
        <v>46319</v>
      </c>
      <c r="F5244" t="inlineStr">
        <is>
          <t>DALARNAS LÄN</t>
        </is>
      </c>
      <c r="G5244" t="inlineStr">
        <is>
          <t>FALUN</t>
        </is>
      </c>
      <c r="I5244" t="n">
        <v>6</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2767-2024</t>
        </is>
      </c>
      <c r="B5245" t="inlineStr">
        <is>
          <t>avverkningsanmälan</t>
        </is>
      </c>
      <c r="C5245" t="inlineStr">
        <is>
          <t>Föryngringsavverkning</t>
        </is>
      </c>
      <c r="D5245" s="1" t="n">
        <v>45314</v>
      </c>
      <c r="E5245" s="1" t="n">
        <v>46319</v>
      </c>
      <c r="F5245" t="inlineStr">
        <is>
          <t>DALARNAS LÄN</t>
        </is>
      </c>
      <c r="G5245" t="inlineStr">
        <is>
          <t>FALUN</t>
        </is>
      </c>
      <c r="I5245" t="n">
        <v>1</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1599-2026</t>
        </is>
      </c>
      <c r="B5246" t="inlineStr">
        <is>
          <t>avverkningsanmälan</t>
        </is>
      </c>
      <c r="C5246" t="inlineStr">
        <is>
          <t>Föryngringsavverkning</t>
        </is>
      </c>
      <c r="D5246" s="1" t="n">
        <v>46031</v>
      </c>
      <c r="E5246" s="1" t="n">
        <v>46319</v>
      </c>
      <c r="F5246" t="inlineStr">
        <is>
          <t>DALARNAS LÄN</t>
        </is>
      </c>
      <c r="G5246" t="inlineStr">
        <is>
          <t>BORLÄNGE</t>
        </is>
      </c>
      <c r="I5246" t="n">
        <v>1.7</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1582-2026</t>
        </is>
      </c>
      <c r="B5247" t="inlineStr">
        <is>
          <t>avverkningsanmälan</t>
        </is>
      </c>
      <c r="C5247" t="inlineStr">
        <is>
          <t>Föryngringsavverkning</t>
        </is>
      </c>
      <c r="D5247" s="1" t="n">
        <v>46031</v>
      </c>
      <c r="E5247" s="1" t="n">
        <v>46319</v>
      </c>
      <c r="F5247" t="inlineStr">
        <is>
          <t>DALARNAS LÄN</t>
        </is>
      </c>
      <c r="G5247" t="inlineStr">
        <is>
          <t>FALUN</t>
        </is>
      </c>
      <c r="I5247" t="n">
        <v>5.4</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1771-2026</t>
        </is>
      </c>
      <c r="B5248" t="inlineStr">
        <is>
          <t>avverkningsanmälan</t>
        </is>
      </c>
      <c r="C5248" t="inlineStr">
        <is>
          <t>Föryngringsavverkning</t>
        </is>
      </c>
      <c r="D5248" s="1" t="n">
        <v>46034</v>
      </c>
      <c r="E5248" s="1" t="n">
        <v>46319</v>
      </c>
      <c r="F5248" t="inlineStr">
        <is>
          <t>DALARNAS LÄN</t>
        </is>
      </c>
      <c r="G5248" t="inlineStr">
        <is>
          <t>MALUNG-SÄLEN</t>
        </is>
      </c>
      <c r="I5248" t="n">
        <v>13.2</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24262-2024</t>
        </is>
      </c>
      <c r="B5249" t="inlineStr">
        <is>
          <t>avverkningsanmälan</t>
        </is>
      </c>
      <c r="C5249" t="inlineStr">
        <is>
          <t>Avverkning för att bevara och utveckla /försöksver</t>
        </is>
      </c>
      <c r="D5249" s="1" t="n">
        <v>45457</v>
      </c>
      <c r="E5249" s="1" t="n">
        <v>46319</v>
      </c>
      <c r="F5249" t="inlineStr">
        <is>
          <t>DALARNAS LÄN</t>
        </is>
      </c>
      <c r="G5249" t="inlineStr">
        <is>
          <t>SMEDJEBACKEN</t>
        </is>
      </c>
      <c r="H5249" t="inlineStr">
        <is>
          <t>Sveaskog</t>
        </is>
      </c>
      <c r="I5249" t="n">
        <v>6</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4648-2026</t>
        </is>
      </c>
      <c r="B5250" t="inlineStr">
        <is>
          <t>avverkningsanmälan</t>
        </is>
      </c>
      <c r="C5250" t="inlineStr">
        <is>
          <t>Föryngringsavverkning</t>
        </is>
      </c>
      <c r="D5250" s="1" t="n">
        <v>46048</v>
      </c>
      <c r="E5250" s="1" t="n">
        <v>46319</v>
      </c>
      <c r="F5250" t="inlineStr">
        <is>
          <t>DALARNAS LÄN</t>
        </is>
      </c>
      <c r="G5250" t="inlineStr">
        <is>
          <t>RÄTTVIK</t>
        </is>
      </c>
      <c r="I5250" t="n">
        <v>5.4</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4682-2026</t>
        </is>
      </c>
      <c r="B5251" t="inlineStr">
        <is>
          <t>avverkningsanmälan</t>
        </is>
      </c>
      <c r="C5251" t="inlineStr">
        <is>
          <t>Föryngringsavverkning</t>
        </is>
      </c>
      <c r="D5251" s="1" t="n">
        <v>46048</v>
      </c>
      <c r="E5251" s="1" t="n">
        <v>46319</v>
      </c>
      <c r="F5251" t="inlineStr">
        <is>
          <t>DALARNAS LÄN</t>
        </is>
      </c>
      <c r="G5251" t="inlineStr">
        <is>
          <t>GAGNEF</t>
        </is>
      </c>
      <c r="I5251" t="n">
        <v>3.8</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4792-2026</t>
        </is>
      </c>
      <c r="B5252" t="inlineStr">
        <is>
          <t>avverkningsanmälan</t>
        </is>
      </c>
      <c r="C5252" t="inlineStr">
        <is>
          <t>Föryngringsavverkning</t>
        </is>
      </c>
      <c r="D5252" s="1" t="n">
        <v>46048</v>
      </c>
      <c r="E5252" s="1" t="n">
        <v>46319</v>
      </c>
      <c r="F5252" t="inlineStr">
        <is>
          <t>DALARNAS LÄN</t>
        </is>
      </c>
      <c r="G5252" t="inlineStr">
        <is>
          <t>FALUN</t>
        </is>
      </c>
      <c r="I5252" t="n">
        <v>4</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33213-2026</t>
        </is>
      </c>
      <c r="B5253" t="inlineStr">
        <is>
          <t>avverkningsanmälan</t>
        </is>
      </c>
      <c r="C5253" t="inlineStr">
        <is>
          <t>Föryngringsavverkning</t>
        </is>
      </c>
      <c r="D5253" s="1" t="n">
        <v>46246</v>
      </c>
      <c r="E5253" s="1" t="n">
        <v>46319</v>
      </c>
      <c r="F5253" t="inlineStr">
        <is>
          <t>DALARNAS LÄN</t>
        </is>
      </c>
      <c r="G5253" t="inlineStr">
        <is>
          <t>ÄLVDALEN</t>
        </is>
      </c>
      <c r="I5253" t="n">
        <v>1.3</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4718-2026</t>
        </is>
      </c>
      <c r="B5254" t="inlineStr">
        <is>
          <t>avverkningsanmälan</t>
        </is>
      </c>
      <c r="C5254" t="inlineStr">
        <is>
          <t>Föryngringsavverkning</t>
        </is>
      </c>
      <c r="D5254" s="1" t="n">
        <v>46048</v>
      </c>
      <c r="E5254" s="1" t="n">
        <v>46319</v>
      </c>
      <c r="F5254" t="inlineStr">
        <is>
          <t>DALARNAS LÄN</t>
        </is>
      </c>
      <c r="G5254" t="inlineStr">
        <is>
          <t>GAGNEF</t>
        </is>
      </c>
      <c r="I5254" t="n">
        <v>5.3</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4738-2026</t>
        </is>
      </c>
      <c r="B5255" t="inlineStr">
        <is>
          <t>avverkningsanmälan</t>
        </is>
      </c>
      <c r="C5255" t="inlineStr">
        <is>
          <t>Föryngringsavverkning</t>
        </is>
      </c>
      <c r="D5255" s="1" t="n">
        <v>46048</v>
      </c>
      <c r="E5255" s="1" t="n">
        <v>46319</v>
      </c>
      <c r="F5255" t="inlineStr">
        <is>
          <t>DALARNAS LÄN</t>
        </is>
      </c>
      <c r="G5255" t="inlineStr">
        <is>
          <t>FALUN</t>
        </is>
      </c>
      <c r="I5255" t="n">
        <v>3.7</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32990-2026</t>
        </is>
      </c>
      <c r="B5256" t="inlineStr">
        <is>
          <t>avverkningsanmälan</t>
        </is>
      </c>
      <c r="C5256" t="inlineStr">
        <is>
          <t>Föryngringsavverkning</t>
        </is>
      </c>
      <c r="D5256" s="1" t="n">
        <v>46244</v>
      </c>
      <c r="E5256" s="1" t="n">
        <v>46319</v>
      </c>
      <c r="F5256" t="inlineStr">
        <is>
          <t>DALARNAS LÄN</t>
        </is>
      </c>
      <c r="G5256" t="inlineStr">
        <is>
          <t>RÄTTVIK</t>
        </is>
      </c>
      <c r="H5256" t="inlineStr">
        <is>
          <t>Sveaskog</t>
        </is>
      </c>
      <c r="I5256" t="n">
        <v>1</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39318-2026</t>
        </is>
      </c>
      <c r="B5257" t="inlineStr">
        <is>
          <t>avverkningsanmälan</t>
        </is>
      </c>
      <c r="C5257" t="inlineStr">
        <is>
          <t>Föryngringsavverkning</t>
        </is>
      </c>
      <c r="D5257" s="1" t="n">
        <v>46287</v>
      </c>
      <c r="E5257" s="1" t="n">
        <v>46319</v>
      </c>
      <c r="F5257" t="inlineStr">
        <is>
          <t>DALARNAS LÄN</t>
        </is>
      </c>
      <c r="G5257" t="inlineStr">
        <is>
          <t>AVESTA</t>
        </is>
      </c>
      <c r="H5257" t="inlineStr">
        <is>
          <t>Bergvik skog väst AB</t>
        </is>
      </c>
      <c r="I5257" t="n">
        <v>49.9</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53979-2025</t>
        </is>
      </c>
      <c r="B5258" t="inlineStr">
        <is>
          <t>avverkningsanmälan</t>
        </is>
      </c>
      <c r="C5258" t="inlineStr">
        <is>
          <t>Föryngringsavverkning</t>
        </is>
      </c>
      <c r="D5258" s="1" t="n">
        <v>45961</v>
      </c>
      <c r="E5258" s="1" t="n">
        <v>46319</v>
      </c>
      <c r="F5258" t="inlineStr">
        <is>
          <t>DALARNAS LÄN</t>
        </is>
      </c>
      <c r="G5258" t="inlineStr">
        <is>
          <t>LUDVIKA</t>
        </is>
      </c>
      <c r="H5258" t="inlineStr">
        <is>
          <t>Bergvik skog väst AB</t>
        </is>
      </c>
      <c r="I5258" t="n">
        <v>4.9</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32986-2026</t>
        </is>
      </c>
      <c r="B5259" t="inlineStr">
        <is>
          <t>avverkningsanmälan</t>
        </is>
      </c>
      <c r="C5259" t="inlineStr">
        <is>
          <t>Föryngringsavverkning</t>
        </is>
      </c>
      <c r="D5259" s="1" t="n">
        <v>46244</v>
      </c>
      <c r="E5259" s="1" t="n">
        <v>46319</v>
      </c>
      <c r="F5259" t="inlineStr">
        <is>
          <t>DALARNAS LÄN</t>
        </is>
      </c>
      <c r="G5259" t="inlineStr">
        <is>
          <t>HEDEMORA</t>
        </is>
      </c>
      <c r="I5259" t="n">
        <v>0.9</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24249-2025</t>
        </is>
      </c>
      <c r="B5260" t="inlineStr">
        <is>
          <t>avverkningsanmälan</t>
        </is>
      </c>
      <c r="C5260" t="inlineStr">
        <is>
          <t>Föryngringsavverkning</t>
        </is>
      </c>
      <c r="D5260" s="1" t="n">
        <v>45797</v>
      </c>
      <c r="E5260" s="1" t="n">
        <v>46319</v>
      </c>
      <c r="F5260" t="inlineStr">
        <is>
          <t>DALARNAS LÄN</t>
        </is>
      </c>
      <c r="G5260" t="inlineStr">
        <is>
          <t>MORA</t>
        </is>
      </c>
      <c r="I5260" t="n">
        <v>9.300000000000001</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1329-2026</t>
        </is>
      </c>
      <c r="B5261" t="inlineStr">
        <is>
          <t>avverkningsanmälan</t>
        </is>
      </c>
      <c r="C5261" t="inlineStr">
        <is>
          <t>Föryngringsavverkning</t>
        </is>
      </c>
      <c r="D5261" s="1" t="n">
        <v>46029</v>
      </c>
      <c r="E5261" s="1" t="n">
        <v>46319</v>
      </c>
      <c r="F5261" t="inlineStr">
        <is>
          <t>DALARNAS LÄN</t>
        </is>
      </c>
      <c r="G5261" t="inlineStr">
        <is>
          <t>FALUN</t>
        </is>
      </c>
      <c r="I5261" t="n">
        <v>3.4</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40868-2024</t>
        </is>
      </c>
      <c r="B5262" t="inlineStr">
        <is>
          <t>avverkningsanmälan</t>
        </is>
      </c>
      <c r="C5262" t="inlineStr">
        <is>
          <t>Föryngringsavverkning</t>
        </is>
      </c>
      <c r="D5262" s="1" t="n">
        <v>45558</v>
      </c>
      <c r="E5262" s="1" t="n">
        <v>46319</v>
      </c>
      <c r="F5262" t="inlineStr">
        <is>
          <t>DALARNAS LÄN</t>
        </is>
      </c>
      <c r="G5262" t="inlineStr">
        <is>
          <t>LEKSAND</t>
        </is>
      </c>
      <c r="I5262" t="n">
        <v>0.8</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19468-2025</t>
        </is>
      </c>
      <c r="B5263" t="inlineStr">
        <is>
          <t>avverkningsanmälan</t>
        </is>
      </c>
      <c r="C5263" t="inlineStr">
        <is>
          <t>Avverkning för annat ändamål</t>
        </is>
      </c>
      <c r="D5263" s="1" t="n">
        <v>45770</v>
      </c>
      <c r="E5263" s="1" t="n">
        <v>46319</v>
      </c>
      <c r="F5263" t="inlineStr">
        <is>
          <t>DALARNAS LÄN</t>
        </is>
      </c>
      <c r="G5263" t="inlineStr">
        <is>
          <t>BORLÄNGE</t>
        </is>
      </c>
      <c r="I5263" t="n">
        <v>2.7</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4346-2026</t>
        </is>
      </c>
      <c r="B5264" t="inlineStr">
        <is>
          <t>avverkningsanmälan</t>
        </is>
      </c>
      <c r="C5264" t="inlineStr">
        <is>
          <t>Föryngringsavverkning</t>
        </is>
      </c>
      <c r="D5264" s="1" t="n">
        <v>46045</v>
      </c>
      <c r="E5264" s="1" t="n">
        <v>46319</v>
      </c>
      <c r="F5264" t="inlineStr">
        <is>
          <t>DALARNAS LÄN</t>
        </is>
      </c>
      <c r="G5264" t="inlineStr">
        <is>
          <t>SÄTER</t>
        </is>
      </c>
      <c r="I5264" t="n">
        <v>1</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4899-2026</t>
        </is>
      </c>
      <c r="B5265" t="inlineStr">
        <is>
          <t>avverkningsanmälan</t>
        </is>
      </c>
      <c r="C5265" t="inlineStr">
        <is>
          <t>Föryngringsavverkning</t>
        </is>
      </c>
      <c r="D5265" s="1" t="n">
        <v>46048</v>
      </c>
      <c r="E5265" s="1" t="n">
        <v>46319</v>
      </c>
      <c r="F5265" t="inlineStr">
        <is>
          <t>DALARNAS LÄN</t>
        </is>
      </c>
      <c r="G5265" t="inlineStr">
        <is>
          <t>FALUN</t>
        </is>
      </c>
      <c r="I5265" t="n">
        <v>10.6</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4919-2026</t>
        </is>
      </c>
      <c r="B5266" t="inlineStr">
        <is>
          <t>avverkningsanmälan</t>
        </is>
      </c>
      <c r="C5266" t="inlineStr">
        <is>
          <t>Föryngringsavverkning</t>
        </is>
      </c>
      <c r="D5266" s="1" t="n">
        <v>46048</v>
      </c>
      <c r="E5266" s="1" t="n">
        <v>46319</v>
      </c>
      <c r="F5266" t="inlineStr">
        <is>
          <t>DALARNAS LÄN</t>
        </is>
      </c>
      <c r="G5266" t="inlineStr">
        <is>
          <t>FALUN</t>
        </is>
      </c>
      <c r="I5266" t="n">
        <v>1.6</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24640-2025</t>
        </is>
      </c>
      <c r="B5267" t="inlineStr">
        <is>
          <t>avverkningsanmälan</t>
        </is>
      </c>
      <c r="C5267" t="inlineStr">
        <is>
          <t>Föryngringsavverkning</t>
        </is>
      </c>
      <c r="D5267" s="1" t="n">
        <v>45798</v>
      </c>
      <c r="E5267" s="1" t="n">
        <v>46319</v>
      </c>
      <c r="F5267" t="inlineStr">
        <is>
          <t>DALARNAS LÄN</t>
        </is>
      </c>
      <c r="G5267" t="inlineStr">
        <is>
          <t>MORA</t>
        </is>
      </c>
      <c r="H5267" t="inlineStr">
        <is>
          <t>Bergvik skog väst AB</t>
        </is>
      </c>
      <c r="I5267" t="n">
        <v>2.2</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24645-2025</t>
        </is>
      </c>
      <c r="B5268" t="inlineStr">
        <is>
          <t>avverkningsanmälan</t>
        </is>
      </c>
      <c r="C5268" t="inlineStr">
        <is>
          <t>Föryngringsavverkning</t>
        </is>
      </c>
      <c r="D5268" s="1" t="n">
        <v>45798</v>
      </c>
      <c r="E5268" s="1" t="n">
        <v>46319</v>
      </c>
      <c r="F5268" t="inlineStr">
        <is>
          <t>DALARNAS LÄN</t>
        </is>
      </c>
      <c r="G5268" t="inlineStr">
        <is>
          <t>BORLÄNGE</t>
        </is>
      </c>
      <c r="I5268" t="n">
        <v>1.3</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19583-2025</t>
        </is>
      </c>
      <c r="B5269" t="inlineStr">
        <is>
          <t>avverkningsanmälan</t>
        </is>
      </c>
      <c r="C5269" t="inlineStr">
        <is>
          <t>Föryngringsavverkning</t>
        </is>
      </c>
      <c r="D5269" s="1" t="n">
        <v>45770</v>
      </c>
      <c r="E5269" s="1" t="n">
        <v>46319</v>
      </c>
      <c r="F5269" t="inlineStr">
        <is>
          <t>DALARNAS LÄN</t>
        </is>
      </c>
      <c r="G5269" t="inlineStr">
        <is>
          <t>ÄLVDALEN</t>
        </is>
      </c>
      <c r="H5269" t="inlineStr">
        <is>
          <t>Sveaskog</t>
        </is>
      </c>
      <c r="I5269" t="n">
        <v>24.1</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19677-2025</t>
        </is>
      </c>
      <c r="B5270" t="inlineStr">
        <is>
          <t>avverkningsanmälan</t>
        </is>
      </c>
      <c r="C5270" t="inlineStr">
        <is>
          <t>Föryngringsavverkning</t>
        </is>
      </c>
      <c r="D5270" s="1" t="n">
        <v>45770</v>
      </c>
      <c r="E5270" s="1" t="n">
        <v>46319</v>
      </c>
      <c r="F5270" t="inlineStr">
        <is>
          <t>DALARNAS LÄN</t>
        </is>
      </c>
      <c r="G5270" t="inlineStr">
        <is>
          <t>LUDVIKA</t>
        </is>
      </c>
      <c r="I5270" t="n">
        <v>1.8</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4784-2026</t>
        </is>
      </c>
      <c r="B5271" t="inlineStr">
        <is>
          <t>avverkningsanmälan</t>
        </is>
      </c>
      <c r="C5271" t="inlineStr">
        <is>
          <t>Föryngringsavverkning</t>
        </is>
      </c>
      <c r="D5271" s="1" t="n">
        <v>46048</v>
      </c>
      <c r="E5271" s="1" t="n">
        <v>46319</v>
      </c>
      <c r="F5271" t="inlineStr">
        <is>
          <t>DALARNAS LÄN</t>
        </is>
      </c>
      <c r="G5271" t="inlineStr">
        <is>
          <t>FALUN</t>
        </is>
      </c>
      <c r="I5271" t="n">
        <v>3.2</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32994-2026</t>
        </is>
      </c>
      <c r="B5272" t="inlineStr">
        <is>
          <t>avverkningsanmälan</t>
        </is>
      </c>
      <c r="C5272" t="inlineStr">
        <is>
          <t>Föryngringsavverkning</t>
        </is>
      </c>
      <c r="D5272" s="1" t="n">
        <v>46244</v>
      </c>
      <c r="E5272" s="1" t="n">
        <v>46319</v>
      </c>
      <c r="F5272" t="inlineStr">
        <is>
          <t>DALARNAS LÄN</t>
        </is>
      </c>
      <c r="G5272" t="inlineStr">
        <is>
          <t>MALUNG-SÄLEN</t>
        </is>
      </c>
      <c r="I5272" t="n">
        <v>1.8</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4476-2026</t>
        </is>
      </c>
      <c r="B5273" t="inlineStr">
        <is>
          <t>avverkningsanmälan</t>
        </is>
      </c>
      <c r="C5273" t="inlineStr">
        <is>
          <t>Föryngringsavverkning</t>
        </is>
      </c>
      <c r="D5273" s="1" t="n">
        <v>46045</v>
      </c>
      <c r="E5273" s="1" t="n">
        <v>46319</v>
      </c>
      <c r="F5273" t="inlineStr">
        <is>
          <t>DALARNAS LÄN</t>
        </is>
      </c>
      <c r="G5273" t="inlineStr">
        <is>
          <t>LEKSAND</t>
        </is>
      </c>
      <c r="I5273" t="n">
        <v>2.3</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31387-2024</t>
        </is>
      </c>
      <c r="B5274" t="inlineStr">
        <is>
          <t>avverkningsanmälan</t>
        </is>
      </c>
      <c r="C5274" t="inlineStr">
        <is>
          <t>Föryngringsavverkning</t>
        </is>
      </c>
      <c r="D5274" s="1" t="n">
        <v>45505</v>
      </c>
      <c r="E5274" s="1" t="n">
        <v>46319</v>
      </c>
      <c r="F5274" t="inlineStr">
        <is>
          <t>DALARNAS LÄN</t>
        </is>
      </c>
      <c r="G5274" t="inlineStr">
        <is>
          <t>AVESTA</t>
        </is>
      </c>
      <c r="I5274" t="n">
        <v>2.6</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4345-2026</t>
        </is>
      </c>
      <c r="B5275" t="inlineStr">
        <is>
          <t>avverkningsanmälan</t>
        </is>
      </c>
      <c r="C5275" t="inlineStr">
        <is>
          <t>Föryngringsavverkning</t>
        </is>
      </c>
      <c r="D5275" s="1" t="n">
        <v>46045</v>
      </c>
      <c r="E5275" s="1" t="n">
        <v>46319</v>
      </c>
      <c r="F5275" t="inlineStr">
        <is>
          <t>DALARNAS LÄN</t>
        </is>
      </c>
      <c r="G5275" t="inlineStr">
        <is>
          <t>SÄTER</t>
        </is>
      </c>
      <c r="I5275" t="n">
        <v>0.9</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4686-2026</t>
        </is>
      </c>
      <c r="B5276" t="inlineStr">
        <is>
          <t>avverkningsanmälan</t>
        </is>
      </c>
      <c r="C5276" t="inlineStr">
        <is>
          <t>Föryngringsavverkning</t>
        </is>
      </c>
      <c r="D5276" s="1" t="n">
        <v>46048</v>
      </c>
      <c r="E5276" s="1" t="n">
        <v>46319</v>
      </c>
      <c r="F5276" t="inlineStr">
        <is>
          <t>DALARNAS LÄN</t>
        </is>
      </c>
      <c r="G5276" t="inlineStr">
        <is>
          <t>GAGNEF</t>
        </is>
      </c>
      <c r="I5276" t="n">
        <v>4</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29984-2025</t>
        </is>
      </c>
      <c r="B5277" t="inlineStr">
        <is>
          <t>avverkningsanmälan</t>
        </is>
      </c>
      <c r="C5277" t="inlineStr">
        <is>
          <t>Avverkning för annat ändamål</t>
        </is>
      </c>
      <c r="D5277" s="1" t="n">
        <v>45826</v>
      </c>
      <c r="E5277" s="1" t="n">
        <v>46319</v>
      </c>
      <c r="F5277" t="inlineStr">
        <is>
          <t>DALARNAS LÄN</t>
        </is>
      </c>
      <c r="G5277" t="inlineStr">
        <is>
          <t>ORSA</t>
        </is>
      </c>
      <c r="I5277" t="n">
        <v>0.7</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4398-2026</t>
        </is>
      </c>
      <c r="B5278" t="inlineStr">
        <is>
          <t>avverkningsanmälan</t>
        </is>
      </c>
      <c r="C5278" t="inlineStr">
        <is>
          <t>Föryngringsavverkning</t>
        </is>
      </c>
      <c r="D5278" s="1" t="n">
        <v>46045</v>
      </c>
      <c r="E5278" s="1" t="n">
        <v>46319</v>
      </c>
      <c r="F5278" t="inlineStr">
        <is>
          <t>DALARNAS LÄN</t>
        </is>
      </c>
      <c r="G5278" t="inlineStr">
        <is>
          <t>FALUN</t>
        </is>
      </c>
      <c r="I5278" t="n">
        <v>2.6</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33099-2026</t>
        </is>
      </c>
      <c r="B5279" t="inlineStr">
        <is>
          <t>avverkningsanmälan</t>
        </is>
      </c>
      <c r="C5279" t="inlineStr">
        <is>
          <t>Föryngringsavverkning</t>
        </is>
      </c>
      <c r="D5279" s="1" t="n">
        <v>46245</v>
      </c>
      <c r="E5279" s="1" t="n">
        <v>46319</v>
      </c>
      <c r="F5279" t="inlineStr">
        <is>
          <t>DALARNAS LÄN</t>
        </is>
      </c>
      <c r="G5279" t="inlineStr">
        <is>
          <t>MORA</t>
        </is>
      </c>
      <c r="I5279" t="n">
        <v>0.8</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4917-2026</t>
        </is>
      </c>
      <c r="B5280" t="inlineStr">
        <is>
          <t>avverkningsanmälan</t>
        </is>
      </c>
      <c r="C5280" t="inlineStr">
        <is>
          <t>Föryngringsavverkning</t>
        </is>
      </c>
      <c r="D5280" s="1" t="n">
        <v>46048</v>
      </c>
      <c r="E5280" s="1" t="n">
        <v>46319</v>
      </c>
      <c r="F5280" t="inlineStr">
        <is>
          <t>DALARNAS LÄN</t>
        </is>
      </c>
      <c r="G5280" t="inlineStr">
        <is>
          <t>FALUN</t>
        </is>
      </c>
      <c r="I5280" t="n">
        <v>1.8</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4918-2026</t>
        </is>
      </c>
      <c r="B5281" t="inlineStr">
        <is>
          <t>avverkningsanmälan</t>
        </is>
      </c>
      <c r="C5281" t="inlineStr">
        <is>
          <t>Föryngringsavverkning</t>
        </is>
      </c>
      <c r="D5281" s="1" t="n">
        <v>46048</v>
      </c>
      <c r="E5281" s="1" t="n">
        <v>46319</v>
      </c>
      <c r="F5281" t="inlineStr">
        <is>
          <t>DALARNAS LÄN</t>
        </is>
      </c>
      <c r="G5281" t="inlineStr">
        <is>
          <t>FALUN</t>
        </is>
      </c>
      <c r="I5281" t="n">
        <v>1.8</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4922-2026</t>
        </is>
      </c>
      <c r="B5282" t="inlineStr">
        <is>
          <t>avverkningsanmälan</t>
        </is>
      </c>
      <c r="C5282" t="inlineStr">
        <is>
          <t>Föryngringsavverkning</t>
        </is>
      </c>
      <c r="D5282" s="1" t="n">
        <v>46045</v>
      </c>
      <c r="E5282" s="1" t="n">
        <v>46319</v>
      </c>
      <c r="F5282" t="inlineStr">
        <is>
          <t>DALARNAS LÄN</t>
        </is>
      </c>
      <c r="G5282" t="inlineStr">
        <is>
          <t>FALUN</t>
        </is>
      </c>
      <c r="I5282" t="n">
        <v>6.5</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4840-2026</t>
        </is>
      </c>
      <c r="B5283" t="inlineStr">
        <is>
          <t>avverkningsanmälan</t>
        </is>
      </c>
      <c r="C5283" t="inlineStr">
        <is>
          <t>Föryngringsavverkning</t>
        </is>
      </c>
      <c r="D5283" s="1" t="n">
        <v>46048</v>
      </c>
      <c r="E5283" s="1" t="n">
        <v>46319</v>
      </c>
      <c r="F5283" t="inlineStr">
        <is>
          <t>DALARNAS LÄN</t>
        </is>
      </c>
      <c r="G5283" t="inlineStr">
        <is>
          <t>FALUN</t>
        </is>
      </c>
      <c r="I5283" t="n">
        <v>4.8</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4901-2026</t>
        </is>
      </c>
      <c r="B5284" t="inlineStr">
        <is>
          <t>avverkningsanmälan</t>
        </is>
      </c>
      <c r="C5284" t="inlineStr">
        <is>
          <t>Föryngringsavverkning</t>
        </is>
      </c>
      <c r="D5284" s="1" t="n">
        <v>46045</v>
      </c>
      <c r="E5284" s="1" t="n">
        <v>46319</v>
      </c>
      <c r="F5284" t="inlineStr">
        <is>
          <t>DALARNAS LÄN</t>
        </is>
      </c>
      <c r="G5284" t="inlineStr">
        <is>
          <t>AVESTA</t>
        </is>
      </c>
      <c r="H5284" t="inlineStr">
        <is>
          <t>Bergvik skog väst AB</t>
        </is>
      </c>
      <c r="I5284" t="n">
        <v>12.1</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4812-2026</t>
        </is>
      </c>
      <c r="B5285" t="inlineStr">
        <is>
          <t>avverkningsanmälan</t>
        </is>
      </c>
      <c r="C5285" t="inlineStr">
        <is>
          <t>Föryngringsavverkning</t>
        </is>
      </c>
      <c r="D5285" s="1" t="n">
        <v>46048</v>
      </c>
      <c r="E5285" s="1" t="n">
        <v>46319</v>
      </c>
      <c r="F5285" t="inlineStr">
        <is>
          <t>DALARNAS LÄN</t>
        </is>
      </c>
      <c r="G5285" t="inlineStr">
        <is>
          <t>FALUN</t>
        </is>
      </c>
      <c r="I5285" t="n">
        <v>1.1</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4824-2026</t>
        </is>
      </c>
      <c r="B5286" t="inlineStr">
        <is>
          <t>avverkningsanmälan</t>
        </is>
      </c>
      <c r="C5286" t="inlineStr">
        <is>
          <t>Föryngringsavverkning</t>
        </is>
      </c>
      <c r="D5286" s="1" t="n">
        <v>46048</v>
      </c>
      <c r="E5286" s="1" t="n">
        <v>46319</v>
      </c>
      <c r="F5286" t="inlineStr">
        <is>
          <t>DALARNAS LÄN</t>
        </is>
      </c>
      <c r="G5286" t="inlineStr">
        <is>
          <t>RÄTTVIK</t>
        </is>
      </c>
      <c r="I5286" t="n">
        <v>0.6</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4825-2026</t>
        </is>
      </c>
      <c r="B5287" t="inlineStr">
        <is>
          <t>avverkningsanmälan</t>
        </is>
      </c>
      <c r="C5287" t="inlineStr">
        <is>
          <t>Föryngringsavverkning</t>
        </is>
      </c>
      <c r="D5287" s="1" t="n">
        <v>46048</v>
      </c>
      <c r="E5287" s="1" t="n">
        <v>46319</v>
      </c>
      <c r="F5287" t="inlineStr">
        <is>
          <t>DALARNAS LÄN</t>
        </is>
      </c>
      <c r="G5287" t="inlineStr">
        <is>
          <t>FALUN</t>
        </is>
      </c>
      <c r="I5287" t="n">
        <v>2.4</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39458-2026</t>
        </is>
      </c>
      <c r="B5288" t="inlineStr">
        <is>
          <t>avverkningsanmälan</t>
        </is>
      </c>
      <c r="C5288" t="inlineStr">
        <is>
          <t>Föryngringsavverkning</t>
        </is>
      </c>
      <c r="D5288" s="1" t="n">
        <v>46288</v>
      </c>
      <c r="E5288" s="1" t="n">
        <v>46319</v>
      </c>
      <c r="F5288" t="inlineStr">
        <is>
          <t>DALARNAS LÄN</t>
        </is>
      </c>
      <c r="G5288" t="inlineStr">
        <is>
          <t>ÄLVDALEN</t>
        </is>
      </c>
      <c r="I5288" t="n">
        <v>3.3</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39459-2026</t>
        </is>
      </c>
      <c r="B5289" t="inlineStr">
        <is>
          <t>avverkningsanmälan</t>
        </is>
      </c>
      <c r="C5289" t="inlineStr">
        <is>
          <t>Föryngringsavverkning</t>
        </is>
      </c>
      <c r="D5289" s="1" t="n">
        <v>46288</v>
      </c>
      <c r="E5289" s="1" t="n">
        <v>46319</v>
      </c>
      <c r="F5289" t="inlineStr">
        <is>
          <t>DALARNAS LÄN</t>
        </is>
      </c>
      <c r="G5289" t="inlineStr">
        <is>
          <t>ÄLVDALEN</t>
        </is>
      </c>
      <c r="I5289" t="n">
        <v>1</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9730-2026</t>
        </is>
      </c>
      <c r="B5290" t="inlineStr">
        <is>
          <t>avverkningsanmälan</t>
        </is>
      </c>
      <c r="C5290" t="inlineStr">
        <is>
          <t>Föryngringsavverkning</t>
        </is>
      </c>
      <c r="D5290" s="1" t="n">
        <v>46071</v>
      </c>
      <c r="E5290" s="1" t="n">
        <v>46319</v>
      </c>
      <c r="F5290" t="inlineStr">
        <is>
          <t>DALARNAS LÄN</t>
        </is>
      </c>
      <c r="G5290" t="inlineStr">
        <is>
          <t>FALUN</t>
        </is>
      </c>
      <c r="I5290" t="n">
        <v>4.1</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4466-2026</t>
        </is>
      </c>
      <c r="B5291" t="inlineStr">
        <is>
          <t>avverkningsanmälan</t>
        </is>
      </c>
      <c r="C5291" t="inlineStr">
        <is>
          <t>Föryngringsavverkning</t>
        </is>
      </c>
      <c r="D5291" s="1" t="n">
        <v>46045</v>
      </c>
      <c r="E5291" s="1" t="n">
        <v>46319</v>
      </c>
      <c r="F5291" t="inlineStr">
        <is>
          <t>DALARNAS LÄN</t>
        </is>
      </c>
      <c r="G5291" t="inlineStr">
        <is>
          <t>SMEDJEBACKEN</t>
        </is>
      </c>
      <c r="I5291" t="n">
        <v>2.5</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1596-2026</t>
        </is>
      </c>
      <c r="B5292" t="inlineStr">
        <is>
          <t>avverkningsanmälan</t>
        </is>
      </c>
      <c r="C5292" t="inlineStr">
        <is>
          <t>Föryngringsavverkning</t>
        </is>
      </c>
      <c r="D5292" s="1" t="n">
        <v>46031</v>
      </c>
      <c r="E5292" s="1" t="n">
        <v>46319</v>
      </c>
      <c r="F5292" t="inlineStr">
        <is>
          <t>DALARNAS LÄN</t>
        </is>
      </c>
      <c r="G5292" t="inlineStr">
        <is>
          <t>BORLÄNGE</t>
        </is>
      </c>
      <c r="I5292" t="n">
        <v>2.2</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25235-2025</t>
        </is>
      </c>
      <c r="B5293" t="inlineStr">
        <is>
          <t>avverkningsanmälan</t>
        </is>
      </c>
      <c r="C5293" t="inlineStr">
        <is>
          <t>Avverkning för annat ändamål</t>
        </is>
      </c>
      <c r="D5293" s="1" t="n">
        <v>45800</v>
      </c>
      <c r="E5293" s="1" t="n">
        <v>46319</v>
      </c>
      <c r="F5293" t="inlineStr">
        <is>
          <t>DALARNAS LÄN</t>
        </is>
      </c>
      <c r="G5293" t="inlineStr">
        <is>
          <t>LUDVIKA</t>
        </is>
      </c>
      <c r="H5293" t="inlineStr">
        <is>
          <t>Bergvik skog väst AB</t>
        </is>
      </c>
      <c r="I5293" t="n">
        <v>2.3</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24968-2025</t>
        </is>
      </c>
      <c r="B5294" t="inlineStr">
        <is>
          <t>avverkningsanmälan</t>
        </is>
      </c>
      <c r="C5294" t="inlineStr">
        <is>
          <t>Föryngringsavverkning</t>
        </is>
      </c>
      <c r="D5294" s="1" t="n">
        <v>45799</v>
      </c>
      <c r="E5294" s="1" t="n">
        <v>46319</v>
      </c>
      <c r="F5294" t="inlineStr">
        <is>
          <t>DALARNAS LÄN</t>
        </is>
      </c>
      <c r="G5294" t="inlineStr">
        <is>
          <t>MALUNG-SÄLEN</t>
        </is>
      </c>
      <c r="I5294" t="n">
        <v>5.5</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26934-2026</t>
        </is>
      </c>
      <c r="B5295" t="inlineStr">
        <is>
          <t>avverkningsanmälan</t>
        </is>
      </c>
      <c r="C5295" t="inlineStr">
        <is>
          <t>Föryngringsavverkning</t>
        </is>
      </c>
      <c r="D5295" s="1" t="n">
        <v>46185</v>
      </c>
      <c r="E5295" s="1" t="n">
        <v>46319</v>
      </c>
      <c r="F5295" t="inlineStr">
        <is>
          <t>DALARNAS LÄN</t>
        </is>
      </c>
      <c r="G5295" t="inlineStr">
        <is>
          <t>BORLÄNGE</t>
        </is>
      </c>
      <c r="I5295" t="n">
        <v>1.5</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24834-2025</t>
        </is>
      </c>
      <c r="B5296" t="inlineStr">
        <is>
          <t>avverkningsanmälan</t>
        </is>
      </c>
      <c r="C5296" t="inlineStr">
        <is>
          <t>Avverkning för annat ändamål</t>
        </is>
      </c>
      <c r="D5296" s="1" t="n">
        <v>45799</v>
      </c>
      <c r="E5296" s="1" t="n">
        <v>46319</v>
      </c>
      <c r="F5296" t="inlineStr">
        <is>
          <t>DALARNAS LÄN</t>
        </is>
      </c>
      <c r="G5296" t="inlineStr">
        <is>
          <t>AVESTA</t>
        </is>
      </c>
      <c r="I5296" t="n">
        <v>1</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33081-2026</t>
        </is>
      </c>
      <c r="B5297" t="inlineStr">
        <is>
          <t>avverkningsanmälan</t>
        </is>
      </c>
      <c r="C5297" t="inlineStr">
        <is>
          <t>Föryngringsavverkning</t>
        </is>
      </c>
      <c r="D5297" s="1" t="n">
        <v>46245</v>
      </c>
      <c r="E5297" s="1" t="n">
        <v>46319</v>
      </c>
      <c r="F5297" t="inlineStr">
        <is>
          <t>DALARNAS LÄN</t>
        </is>
      </c>
      <c r="G5297" t="inlineStr">
        <is>
          <t>MALUNG-SÄLEN</t>
        </is>
      </c>
      <c r="I5297" t="n">
        <v>2.9</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4690-2026</t>
        </is>
      </c>
      <c r="B5298" t="inlineStr">
        <is>
          <t>avverkningsanmälan</t>
        </is>
      </c>
      <c r="C5298" t="inlineStr">
        <is>
          <t>Föryngringsavverkning</t>
        </is>
      </c>
      <c r="D5298" s="1" t="n">
        <v>46048</v>
      </c>
      <c r="E5298" s="1" t="n">
        <v>46319</v>
      </c>
      <c r="F5298" t="inlineStr">
        <is>
          <t>DALARNAS LÄN</t>
        </is>
      </c>
      <c r="G5298" t="inlineStr">
        <is>
          <t>ORSA</t>
        </is>
      </c>
      <c r="I5298" t="n">
        <v>14.2</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10940-2025</t>
        </is>
      </c>
      <c r="B5299" t="inlineStr">
        <is>
          <t>avverkningsanmälan</t>
        </is>
      </c>
      <c r="C5299" t="inlineStr">
        <is>
          <t>Avverkning för annat ändamål</t>
        </is>
      </c>
      <c r="D5299" s="1" t="n">
        <v>45723</v>
      </c>
      <c r="E5299" s="1" t="n">
        <v>46319</v>
      </c>
      <c r="F5299" t="inlineStr">
        <is>
          <t>DALARNAS LÄN</t>
        </is>
      </c>
      <c r="G5299" t="inlineStr">
        <is>
          <t>FALUN</t>
        </is>
      </c>
      <c r="I5299" t="n">
        <v>2.6</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4338-2026</t>
        </is>
      </c>
      <c r="B5300" t="inlineStr">
        <is>
          <t>avverkningsanmälan</t>
        </is>
      </c>
      <c r="C5300" t="inlineStr">
        <is>
          <t>Föryngringsavverkning</t>
        </is>
      </c>
      <c r="D5300" s="1" t="n">
        <v>46045</v>
      </c>
      <c r="E5300" s="1" t="n">
        <v>46319</v>
      </c>
      <c r="F5300" t="inlineStr">
        <is>
          <t>DALARNAS LÄN</t>
        </is>
      </c>
      <c r="G5300" t="inlineStr">
        <is>
          <t>LEKSAND</t>
        </is>
      </c>
      <c r="I5300" t="n">
        <v>6.9</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22344-2026</t>
        </is>
      </c>
      <c r="B5301" t="inlineStr">
        <is>
          <t>avverkningsanmälan</t>
        </is>
      </c>
      <c r="C5301" t="inlineStr">
        <is>
          <t>Föryngringsavverkning</t>
        </is>
      </c>
      <c r="D5301" s="1" t="n">
        <v>46154</v>
      </c>
      <c r="E5301" s="1" t="n">
        <v>46319</v>
      </c>
      <c r="F5301" t="inlineStr">
        <is>
          <t>DALARNAS LÄN</t>
        </is>
      </c>
      <c r="G5301" t="inlineStr">
        <is>
          <t>LEKSAND</t>
        </is>
      </c>
      <c r="H5301" t="inlineStr">
        <is>
          <t>Bergvik skog väst AB</t>
        </is>
      </c>
      <c r="I5301" t="n">
        <v>6.3</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39435-2026</t>
        </is>
      </c>
      <c r="B5302" t="inlineStr">
        <is>
          <t>avverkningsanmälan</t>
        </is>
      </c>
      <c r="C5302" t="inlineStr">
        <is>
          <t>Föryngringsavverkning</t>
        </is>
      </c>
      <c r="D5302" s="1" t="n">
        <v>46288</v>
      </c>
      <c r="E5302" s="1" t="n">
        <v>46319</v>
      </c>
      <c r="F5302" t="inlineStr">
        <is>
          <t>DALARNAS LÄN</t>
        </is>
      </c>
      <c r="G5302" t="inlineStr">
        <is>
          <t>LUDVIKA</t>
        </is>
      </c>
      <c r="I5302" t="n">
        <v>2.2</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39462-2026</t>
        </is>
      </c>
      <c r="B5303" t="inlineStr">
        <is>
          <t>avverkningsanmälan</t>
        </is>
      </c>
      <c r="C5303" t="inlineStr">
        <is>
          <t>Föryngringsavverkning</t>
        </is>
      </c>
      <c r="D5303" s="1" t="n">
        <v>46288</v>
      </c>
      <c r="E5303" s="1" t="n">
        <v>46319</v>
      </c>
      <c r="F5303" t="inlineStr">
        <is>
          <t>DALARNAS LÄN</t>
        </is>
      </c>
      <c r="G5303" t="inlineStr">
        <is>
          <t>SMEDJEBACKEN</t>
        </is>
      </c>
      <c r="I5303" t="n">
        <v>1.2</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4509-2026</t>
        </is>
      </c>
      <c r="B5304" t="inlineStr">
        <is>
          <t>avverkningsanmälan</t>
        </is>
      </c>
      <c r="C5304" t="inlineStr">
        <is>
          <t>Föryngringsavverkning</t>
        </is>
      </c>
      <c r="D5304" s="1" t="n">
        <v>46045</v>
      </c>
      <c r="E5304" s="1" t="n">
        <v>46319</v>
      </c>
      <c r="F5304" t="inlineStr">
        <is>
          <t>DALARNAS LÄN</t>
        </is>
      </c>
      <c r="G5304" t="inlineStr">
        <is>
          <t>FALUN</t>
        </is>
      </c>
      <c r="I5304" t="n">
        <v>1.9</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25141-2025</t>
        </is>
      </c>
      <c r="B5305" t="inlineStr">
        <is>
          <t>avverkningsanmälan</t>
        </is>
      </c>
      <c r="C5305" t="inlineStr">
        <is>
          <t>Föryngringsavverkning</t>
        </is>
      </c>
      <c r="D5305" s="1" t="n">
        <v>45800</v>
      </c>
      <c r="E5305" s="1" t="n">
        <v>46319</v>
      </c>
      <c r="F5305" t="inlineStr">
        <is>
          <t>DALARNAS LÄN</t>
        </is>
      </c>
      <c r="G5305" t="inlineStr">
        <is>
          <t>MALUNG-SÄLEN</t>
        </is>
      </c>
      <c r="H5305" t="inlineStr">
        <is>
          <t>Bergvik skog öst AB</t>
        </is>
      </c>
      <c r="I5305" t="n">
        <v>1.7</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4511-2026</t>
        </is>
      </c>
      <c r="B5306" t="inlineStr">
        <is>
          <t>avverkningsanmälan</t>
        </is>
      </c>
      <c r="C5306" t="inlineStr">
        <is>
          <t>Föryngringsavverkning</t>
        </is>
      </c>
      <c r="D5306" s="1" t="n">
        <v>46045</v>
      </c>
      <c r="E5306" s="1" t="n">
        <v>46319</v>
      </c>
      <c r="F5306" t="inlineStr">
        <is>
          <t>DALARNAS LÄN</t>
        </is>
      </c>
      <c r="G5306" t="inlineStr">
        <is>
          <t>FALUN</t>
        </is>
      </c>
      <c r="I5306" t="n">
        <v>1.9</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4246-2026</t>
        </is>
      </c>
      <c r="B5307" t="inlineStr">
        <is>
          <t>avverkningsanmälan</t>
        </is>
      </c>
      <c r="C5307" t="inlineStr">
        <is>
          <t>Föryngringsavverkning</t>
        </is>
      </c>
      <c r="D5307" s="1" t="n">
        <v>46045</v>
      </c>
      <c r="E5307" s="1" t="n">
        <v>46319</v>
      </c>
      <c r="F5307" t="inlineStr">
        <is>
          <t>DALARNAS LÄN</t>
        </is>
      </c>
      <c r="G5307" t="inlineStr">
        <is>
          <t>FALUN</t>
        </is>
      </c>
      <c r="I5307" t="n">
        <v>1.1</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4517-2026</t>
        </is>
      </c>
      <c r="B5308" t="inlineStr">
        <is>
          <t>avverkningsanmälan</t>
        </is>
      </c>
      <c r="C5308" t="inlineStr">
        <is>
          <t>Föryngringsavverkning</t>
        </is>
      </c>
      <c r="D5308" s="1" t="n">
        <v>46045</v>
      </c>
      <c r="E5308" s="1" t="n">
        <v>46319</v>
      </c>
      <c r="F5308" t="inlineStr">
        <is>
          <t>DALARNAS LÄN</t>
        </is>
      </c>
      <c r="G5308" t="inlineStr">
        <is>
          <t>FALUN</t>
        </is>
      </c>
      <c r="I5308" t="n">
        <v>1.2</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4883-2026</t>
        </is>
      </c>
      <c r="B5309" t="inlineStr">
        <is>
          <t>avverkningsanmälan</t>
        </is>
      </c>
      <c r="C5309" t="inlineStr">
        <is>
          <t>Föryngringsavverkning</t>
        </is>
      </c>
      <c r="D5309" s="1" t="n">
        <v>46048</v>
      </c>
      <c r="E5309" s="1" t="n">
        <v>46319</v>
      </c>
      <c r="F5309" t="inlineStr">
        <is>
          <t>DALARNAS LÄN</t>
        </is>
      </c>
      <c r="G5309" t="inlineStr">
        <is>
          <t>FALUN</t>
        </is>
      </c>
      <c r="I5309" t="n">
        <v>3.6</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4894-2026</t>
        </is>
      </c>
      <c r="B5310" t="inlineStr">
        <is>
          <t>avverkningsanmälan</t>
        </is>
      </c>
      <c r="C5310" t="inlineStr">
        <is>
          <t>Föryngringsavverkning</t>
        </is>
      </c>
      <c r="D5310" s="1" t="n">
        <v>46048</v>
      </c>
      <c r="E5310" s="1" t="n">
        <v>46319</v>
      </c>
      <c r="F5310" t="inlineStr">
        <is>
          <t>DALARNAS LÄN</t>
        </is>
      </c>
      <c r="G5310" t="inlineStr">
        <is>
          <t>FALUN</t>
        </is>
      </c>
      <c r="I5310" t="n">
        <v>2.2</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4995-2026</t>
        </is>
      </c>
      <c r="B5311" t="inlineStr">
        <is>
          <t>avverkningsanmälan</t>
        </is>
      </c>
      <c r="C5311" t="inlineStr">
        <is>
          <t>Föryngringsavverkning</t>
        </is>
      </c>
      <c r="D5311" s="1" t="n">
        <v>46049</v>
      </c>
      <c r="E5311" s="1" t="n">
        <v>46319</v>
      </c>
      <c r="F5311" t="inlineStr">
        <is>
          <t>DALARNAS LÄN</t>
        </is>
      </c>
      <c r="G5311" t="inlineStr">
        <is>
          <t>FALUN</t>
        </is>
      </c>
      <c r="I5311" t="n">
        <v>1.2</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5001-2026</t>
        </is>
      </c>
      <c r="B5312" t="inlineStr">
        <is>
          <t>avverkningsanmälan</t>
        </is>
      </c>
      <c r="C5312" t="inlineStr">
        <is>
          <t>Föryngringsavverkning</t>
        </is>
      </c>
      <c r="D5312" s="1" t="n">
        <v>46049</v>
      </c>
      <c r="E5312" s="1" t="n">
        <v>46319</v>
      </c>
      <c r="F5312" t="inlineStr">
        <is>
          <t>DALARNAS LÄN</t>
        </is>
      </c>
      <c r="G5312" t="inlineStr">
        <is>
          <t>FALUN</t>
        </is>
      </c>
      <c r="I5312" t="n">
        <v>0.8</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5023-2026</t>
        </is>
      </c>
      <c r="B5313" t="inlineStr">
        <is>
          <t>avverkningsanmälan</t>
        </is>
      </c>
      <c r="C5313" t="inlineStr">
        <is>
          <t>Föryngringsavverkning</t>
        </is>
      </c>
      <c r="D5313" s="1" t="n">
        <v>46049</v>
      </c>
      <c r="E5313" s="1" t="n">
        <v>46319</v>
      </c>
      <c r="F5313" t="inlineStr">
        <is>
          <t>DALARNAS LÄN</t>
        </is>
      </c>
      <c r="G5313" t="inlineStr">
        <is>
          <t>AVESTA</t>
        </is>
      </c>
      <c r="I5313" t="n">
        <v>0.9</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24867-2025</t>
        </is>
      </c>
      <c r="B5314" t="inlineStr">
        <is>
          <t>avverkningsanmälan</t>
        </is>
      </c>
      <c r="C5314" t="inlineStr">
        <is>
          <t>Föryngringsavverkning</t>
        </is>
      </c>
      <c r="D5314" s="1" t="n">
        <v>45799</v>
      </c>
      <c r="E5314" s="1" t="n">
        <v>46319</v>
      </c>
      <c r="F5314" t="inlineStr">
        <is>
          <t>DALARNAS LÄN</t>
        </is>
      </c>
      <c r="G5314" t="inlineStr">
        <is>
          <t>AVESTA</t>
        </is>
      </c>
      <c r="I5314" t="n">
        <v>1</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5335-2026</t>
        </is>
      </c>
      <c r="B5315" t="inlineStr">
        <is>
          <t>avverkningsanmälan</t>
        </is>
      </c>
      <c r="C5315" t="inlineStr">
        <is>
          <t>Föryngringsavverkning</t>
        </is>
      </c>
      <c r="D5315" s="1" t="n">
        <v>46050</v>
      </c>
      <c r="E5315" s="1" t="n">
        <v>46319</v>
      </c>
      <c r="F5315" t="inlineStr">
        <is>
          <t>DALARNAS LÄN</t>
        </is>
      </c>
      <c r="G5315" t="inlineStr">
        <is>
          <t>VANSBRO</t>
        </is>
      </c>
      <c r="I5315" t="n">
        <v>0.7</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25086-2025</t>
        </is>
      </c>
      <c r="B5316" t="inlineStr">
        <is>
          <t>avverkningsanmälan</t>
        </is>
      </c>
      <c r="C5316" t="inlineStr">
        <is>
          <t>Föryngringsavverkning</t>
        </is>
      </c>
      <c r="D5316" s="1" t="n">
        <v>45800</v>
      </c>
      <c r="E5316" s="1" t="n">
        <v>46319</v>
      </c>
      <c r="F5316" t="inlineStr">
        <is>
          <t>DALARNAS LÄN</t>
        </is>
      </c>
      <c r="G5316" t="inlineStr">
        <is>
          <t>ÄLVDALEN</t>
        </is>
      </c>
      <c r="H5316" t="inlineStr">
        <is>
          <t>Sveaskog</t>
        </is>
      </c>
      <c r="I5316" t="n">
        <v>10.7</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39023-2026</t>
        </is>
      </c>
      <c r="B5317" t="inlineStr">
        <is>
          <t>avverkningsanmälan</t>
        </is>
      </c>
      <c r="C5317" t="inlineStr">
        <is>
          <t>Föryngringsavverkning</t>
        </is>
      </c>
      <c r="D5317" s="1" t="n">
        <v>46283</v>
      </c>
      <c r="E5317" s="1" t="n">
        <v>46319</v>
      </c>
      <c r="F5317" t="inlineStr">
        <is>
          <t>DALARNAS LÄN</t>
        </is>
      </c>
      <c r="G5317" t="inlineStr">
        <is>
          <t>SMEDJEBACKEN</t>
        </is>
      </c>
      <c r="H5317" t="inlineStr">
        <is>
          <t>Bergvik skog väst AB</t>
        </is>
      </c>
      <c r="I5317" t="n">
        <v>2</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39460-2026</t>
        </is>
      </c>
      <c r="B5318" t="inlineStr">
        <is>
          <t>avverkningsanmälan</t>
        </is>
      </c>
      <c r="C5318" t="inlineStr">
        <is>
          <t>Föryngringsavverkning</t>
        </is>
      </c>
      <c r="D5318" s="1" t="n">
        <v>46288</v>
      </c>
      <c r="E5318" s="1" t="n">
        <v>46319</v>
      </c>
      <c r="F5318" t="inlineStr">
        <is>
          <t>DALARNAS LÄN</t>
        </is>
      </c>
      <c r="G5318" t="inlineStr">
        <is>
          <t>SMEDJEBACKEN</t>
        </is>
      </c>
      <c r="I5318" t="n">
        <v>2.2</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4970-2026</t>
        </is>
      </c>
      <c r="B5319" t="inlineStr">
        <is>
          <t>avverkningsanmälan</t>
        </is>
      </c>
      <c r="C5319" t="inlineStr">
        <is>
          <t>Föryngringsavverkning</t>
        </is>
      </c>
      <c r="D5319" s="1" t="n">
        <v>46049</v>
      </c>
      <c r="E5319" s="1" t="n">
        <v>46319</v>
      </c>
      <c r="F5319" t="inlineStr">
        <is>
          <t>DALARNAS LÄN</t>
        </is>
      </c>
      <c r="G5319" t="inlineStr">
        <is>
          <t>VANSBRO</t>
        </is>
      </c>
      <c r="H5319" t="inlineStr">
        <is>
          <t>Bergvik skog väst AB</t>
        </is>
      </c>
      <c r="I5319" t="n">
        <v>1.8</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4971-2026</t>
        </is>
      </c>
      <c r="B5320" t="inlineStr">
        <is>
          <t>avverkningsanmälan</t>
        </is>
      </c>
      <c r="C5320" t="inlineStr">
        <is>
          <t>Föryngringsavverkning</t>
        </is>
      </c>
      <c r="D5320" s="1" t="n">
        <v>46049</v>
      </c>
      <c r="E5320" s="1" t="n">
        <v>46319</v>
      </c>
      <c r="F5320" t="inlineStr">
        <is>
          <t>DALARNAS LÄN</t>
        </is>
      </c>
      <c r="G5320" t="inlineStr">
        <is>
          <t>FALUN</t>
        </is>
      </c>
      <c r="I5320" t="n">
        <v>7.7</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5244-2026</t>
        </is>
      </c>
      <c r="B5321" t="inlineStr">
        <is>
          <t>avverkningsanmälan</t>
        </is>
      </c>
      <c r="C5321" t="inlineStr">
        <is>
          <t>Föryngringsavverkning</t>
        </is>
      </c>
      <c r="D5321" s="1" t="n">
        <v>46049</v>
      </c>
      <c r="E5321" s="1" t="n">
        <v>46319</v>
      </c>
      <c r="F5321" t="inlineStr">
        <is>
          <t>DALARNAS LÄN</t>
        </is>
      </c>
      <c r="G5321" t="inlineStr">
        <is>
          <t>FALUN</t>
        </is>
      </c>
      <c r="I5321" t="n">
        <v>1.6</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25160-2025</t>
        </is>
      </c>
      <c r="B5322" t="inlineStr">
        <is>
          <t>avverkningsanmälan</t>
        </is>
      </c>
      <c r="C5322" t="inlineStr">
        <is>
          <t>Föryngringsavverkning</t>
        </is>
      </c>
      <c r="D5322" s="1" t="n">
        <v>45800</v>
      </c>
      <c r="E5322" s="1" t="n">
        <v>46319</v>
      </c>
      <c r="F5322" t="inlineStr">
        <is>
          <t>DALARNAS LÄN</t>
        </is>
      </c>
      <c r="G5322" t="inlineStr">
        <is>
          <t>SMEDJEBACKEN</t>
        </is>
      </c>
      <c r="I5322" t="n">
        <v>1.2</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32999-2026</t>
        </is>
      </c>
      <c r="B5323" t="inlineStr">
        <is>
          <t>avverkningsanmälan</t>
        </is>
      </c>
      <c r="C5323" t="inlineStr">
        <is>
          <t>Föryngringsavverkning</t>
        </is>
      </c>
      <c r="D5323" s="1" t="n">
        <v>46244</v>
      </c>
      <c r="E5323" s="1" t="n">
        <v>46319</v>
      </c>
      <c r="F5323" t="inlineStr">
        <is>
          <t>DALARNAS LÄN</t>
        </is>
      </c>
      <c r="G5323" t="inlineStr">
        <is>
          <t>RÄTTVIK</t>
        </is>
      </c>
      <c r="H5323" t="inlineStr">
        <is>
          <t>Bergvik skog väst AB</t>
        </is>
      </c>
      <c r="I5323" t="n">
        <v>1.6</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24764-2025</t>
        </is>
      </c>
      <c r="B5324" t="inlineStr">
        <is>
          <t>avverkningsanmälan</t>
        </is>
      </c>
      <c r="C5324" t="inlineStr">
        <is>
          <t>Föryngringsavverkning</t>
        </is>
      </c>
      <c r="D5324" s="1" t="n">
        <v>45799</v>
      </c>
      <c r="E5324" s="1" t="n">
        <v>46319</v>
      </c>
      <c r="F5324" t="inlineStr">
        <is>
          <t>DALARNAS LÄN</t>
        </is>
      </c>
      <c r="G5324" t="inlineStr">
        <is>
          <t>BORLÄNGE</t>
        </is>
      </c>
      <c r="I5324" t="n">
        <v>1.5</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39174-2026</t>
        </is>
      </c>
      <c r="B5325" t="inlineStr">
        <is>
          <t>avverkningsanmälan</t>
        </is>
      </c>
      <c r="C5325" t="inlineStr">
        <is>
          <t>Föryngringsavverkning</t>
        </is>
      </c>
      <c r="D5325" s="1" t="n">
        <v>46287</v>
      </c>
      <c r="E5325" s="1" t="n">
        <v>46319</v>
      </c>
      <c r="F5325" t="inlineStr">
        <is>
          <t>DALARNAS LÄN</t>
        </is>
      </c>
      <c r="G5325" t="inlineStr">
        <is>
          <t>LEKSAND</t>
        </is>
      </c>
      <c r="H5325" t="inlineStr">
        <is>
          <t>Bergvik skog väst AB</t>
        </is>
      </c>
      <c r="I5325" t="n">
        <v>10</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5141-2026</t>
        </is>
      </c>
      <c r="B5326" t="inlineStr">
        <is>
          <t>avverkningsanmälan</t>
        </is>
      </c>
      <c r="C5326" t="inlineStr">
        <is>
          <t>Föryngringsavverkning</t>
        </is>
      </c>
      <c r="D5326" s="1" t="n">
        <v>46049</v>
      </c>
      <c r="E5326" s="1" t="n">
        <v>46319</v>
      </c>
      <c r="F5326" t="inlineStr">
        <is>
          <t>DALARNAS LÄN</t>
        </is>
      </c>
      <c r="G5326" t="inlineStr">
        <is>
          <t>FALUN</t>
        </is>
      </c>
      <c r="I5326" t="n">
        <v>0.8</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4937-2026</t>
        </is>
      </c>
      <c r="B5327" t="inlineStr">
        <is>
          <t>avverkningsanmälan</t>
        </is>
      </c>
      <c r="C5327" t="inlineStr">
        <is>
          <t>Föryngringsavverkning</t>
        </is>
      </c>
      <c r="D5327" s="1" t="n">
        <v>46048</v>
      </c>
      <c r="E5327" s="1" t="n">
        <v>46319</v>
      </c>
      <c r="F5327" t="inlineStr">
        <is>
          <t>DALARNAS LÄN</t>
        </is>
      </c>
      <c r="G5327" t="inlineStr">
        <is>
          <t>VANSBRO</t>
        </is>
      </c>
      <c r="I5327" t="n">
        <v>0.5</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24838-2025</t>
        </is>
      </c>
      <c r="B5328" t="inlineStr">
        <is>
          <t>avverkningsanmälan</t>
        </is>
      </c>
      <c r="C5328" t="inlineStr">
        <is>
          <t>Föryngringsavverkning</t>
        </is>
      </c>
      <c r="D5328" s="1" t="n">
        <v>45799</v>
      </c>
      <c r="E5328" s="1" t="n">
        <v>46319</v>
      </c>
      <c r="F5328" t="inlineStr">
        <is>
          <t>DALARNAS LÄN</t>
        </is>
      </c>
      <c r="G5328" t="inlineStr">
        <is>
          <t>AVESTA</t>
        </is>
      </c>
      <c r="I5328" t="n">
        <v>0.9</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25211-2025</t>
        </is>
      </c>
      <c r="B5329" t="inlineStr">
        <is>
          <t>avverkningsanmälan</t>
        </is>
      </c>
      <c r="C5329" t="inlineStr">
        <is>
          <t>Föryngringsavverkning</t>
        </is>
      </c>
      <c r="D5329" s="1" t="n">
        <v>45800</v>
      </c>
      <c r="E5329" s="1" t="n">
        <v>46319</v>
      </c>
      <c r="F5329" t="inlineStr">
        <is>
          <t>DALARNAS LÄN</t>
        </is>
      </c>
      <c r="G5329" t="inlineStr">
        <is>
          <t>ORSA</t>
        </is>
      </c>
      <c r="H5329" t="inlineStr">
        <is>
          <t>Bergvik skog öst AB</t>
        </is>
      </c>
      <c r="I5329" t="n">
        <v>0.7</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5005-2026</t>
        </is>
      </c>
      <c r="B5330" t="inlineStr">
        <is>
          <t>avverkningsanmälan</t>
        </is>
      </c>
      <c r="C5330" t="inlineStr">
        <is>
          <t>Föryngringsavverkning</t>
        </is>
      </c>
      <c r="D5330" s="1" t="n">
        <v>46049</v>
      </c>
      <c r="E5330" s="1" t="n">
        <v>46319</v>
      </c>
      <c r="F5330" t="inlineStr">
        <is>
          <t>DALARNAS LÄN</t>
        </is>
      </c>
      <c r="G5330" t="inlineStr">
        <is>
          <t>RÄTTVIK</t>
        </is>
      </c>
      <c r="I5330" t="n">
        <v>3.3</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5012-2026</t>
        </is>
      </c>
      <c r="B5331" t="inlineStr">
        <is>
          <t>avverkningsanmälan</t>
        </is>
      </c>
      <c r="C5331" t="inlineStr">
        <is>
          <t>Föryngringsavverkning</t>
        </is>
      </c>
      <c r="D5331" s="1" t="n">
        <v>46049</v>
      </c>
      <c r="E5331" s="1" t="n">
        <v>46319</v>
      </c>
      <c r="F5331" t="inlineStr">
        <is>
          <t>DALARNAS LÄN</t>
        </is>
      </c>
      <c r="G5331" t="inlineStr">
        <is>
          <t>FALUN</t>
        </is>
      </c>
      <c r="I5331" t="n">
        <v>1</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4985-2026</t>
        </is>
      </c>
      <c r="B5332" t="inlineStr">
        <is>
          <t>avverkningsanmälan</t>
        </is>
      </c>
      <c r="C5332" t="inlineStr">
        <is>
          <t>Föryngringsavverkning</t>
        </is>
      </c>
      <c r="D5332" s="1" t="n">
        <v>46049</v>
      </c>
      <c r="E5332" s="1" t="n">
        <v>46319</v>
      </c>
      <c r="F5332" t="inlineStr">
        <is>
          <t>DALARNAS LÄN</t>
        </is>
      </c>
      <c r="G5332" t="inlineStr">
        <is>
          <t>FALUN</t>
        </is>
      </c>
      <c r="H5332" t="inlineStr">
        <is>
          <t>Bergvik skog väst AB</t>
        </is>
      </c>
      <c r="I5332" t="n">
        <v>11</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5139-2026</t>
        </is>
      </c>
      <c r="B5333" t="inlineStr">
        <is>
          <t>avverkningsanmälan</t>
        </is>
      </c>
      <c r="C5333" t="inlineStr">
        <is>
          <t>Föryngringsavverkning</t>
        </is>
      </c>
      <c r="D5333" s="1" t="n">
        <v>46049</v>
      </c>
      <c r="E5333" s="1" t="n">
        <v>46319</v>
      </c>
      <c r="F5333" t="inlineStr">
        <is>
          <t>DALARNAS LÄN</t>
        </is>
      </c>
      <c r="G5333" t="inlineStr">
        <is>
          <t>FALUN</t>
        </is>
      </c>
      <c r="I5333" t="n">
        <v>0.5</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33374-2026</t>
        </is>
      </c>
      <c r="B5334" t="inlineStr">
        <is>
          <t>avverkningsanmälan</t>
        </is>
      </c>
      <c r="C5334" t="inlineStr">
        <is>
          <t>Föryngringsavverkning</t>
        </is>
      </c>
      <c r="D5334" s="1" t="n">
        <v>46247</v>
      </c>
      <c r="E5334" s="1" t="n">
        <v>46319</v>
      </c>
      <c r="F5334" t="inlineStr">
        <is>
          <t>DALARNAS LÄN</t>
        </is>
      </c>
      <c r="G5334" t="inlineStr">
        <is>
          <t>MALUNG-SÄLEN</t>
        </is>
      </c>
      <c r="I5334" t="n">
        <v>1.3</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33419-2026</t>
        </is>
      </c>
      <c r="B5335" t="inlineStr">
        <is>
          <t>avverkningsanmälan</t>
        </is>
      </c>
      <c r="C5335" t="inlineStr">
        <is>
          <t>Föryngringsavverkning</t>
        </is>
      </c>
      <c r="D5335" s="1" t="n">
        <v>46247</v>
      </c>
      <c r="E5335" s="1" t="n">
        <v>46319</v>
      </c>
      <c r="F5335" t="inlineStr">
        <is>
          <t>DALARNAS LÄN</t>
        </is>
      </c>
      <c r="G5335" t="inlineStr">
        <is>
          <t>LUDVIKA</t>
        </is>
      </c>
      <c r="H5335" t="inlineStr">
        <is>
          <t>Bergvik skog väst AB</t>
        </is>
      </c>
      <c r="I5335" t="n">
        <v>3.7</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5133-2026</t>
        </is>
      </c>
      <c r="B5336" t="inlineStr">
        <is>
          <t>avverkningsanmälan</t>
        </is>
      </c>
      <c r="C5336" t="inlineStr">
        <is>
          <t>Föryngringsavverkning</t>
        </is>
      </c>
      <c r="D5336" s="1" t="n">
        <v>46049</v>
      </c>
      <c r="E5336" s="1" t="n">
        <v>46319</v>
      </c>
      <c r="F5336" t="inlineStr">
        <is>
          <t>DALARNAS LÄN</t>
        </is>
      </c>
      <c r="G5336" t="inlineStr">
        <is>
          <t>BORLÄNGE</t>
        </is>
      </c>
      <c r="I5336" t="n">
        <v>6.6</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5430-2026</t>
        </is>
      </c>
      <c r="B5337" t="inlineStr">
        <is>
          <t>avverkningsanmälan</t>
        </is>
      </c>
      <c r="C5337" t="inlineStr">
        <is>
          <t>Föryngringsavverkning</t>
        </is>
      </c>
      <c r="D5337" s="1" t="n">
        <v>46050</v>
      </c>
      <c r="E5337" s="1" t="n">
        <v>46319</v>
      </c>
      <c r="F5337" t="inlineStr">
        <is>
          <t>DALARNAS LÄN</t>
        </is>
      </c>
      <c r="G5337" t="inlineStr">
        <is>
          <t>RÄTTVIK</t>
        </is>
      </c>
      <c r="I5337" t="n">
        <v>0.6</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5363-2026</t>
        </is>
      </c>
      <c r="B5338" t="inlineStr">
        <is>
          <t>avverkningsanmälan</t>
        </is>
      </c>
      <c r="C5338" t="inlineStr">
        <is>
          <t>Föryngringsavverkning</t>
        </is>
      </c>
      <c r="D5338" s="1" t="n">
        <v>46050</v>
      </c>
      <c r="E5338" s="1" t="n">
        <v>46319</v>
      </c>
      <c r="F5338" t="inlineStr">
        <is>
          <t>DALARNAS LÄN</t>
        </is>
      </c>
      <c r="G5338" t="inlineStr">
        <is>
          <t>FALUN</t>
        </is>
      </c>
      <c r="H5338" t="inlineStr">
        <is>
          <t>Kommuner</t>
        </is>
      </c>
      <c r="I5338" t="n">
        <v>6.5</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5377-2026</t>
        </is>
      </c>
      <c r="B5339" t="inlineStr">
        <is>
          <t>avverkningsanmälan</t>
        </is>
      </c>
      <c r="C5339" t="inlineStr">
        <is>
          <t>Föryngringsavverkning</t>
        </is>
      </c>
      <c r="D5339" s="1" t="n">
        <v>46050</v>
      </c>
      <c r="E5339" s="1" t="n">
        <v>46319</v>
      </c>
      <c r="F5339" t="inlineStr">
        <is>
          <t>DALARNAS LÄN</t>
        </is>
      </c>
      <c r="G5339" t="inlineStr">
        <is>
          <t>ORSA</t>
        </is>
      </c>
      <c r="I5339" t="n">
        <v>0.9</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5316-2026</t>
        </is>
      </c>
      <c r="B5340" t="inlineStr">
        <is>
          <t>avverkningsanmälan</t>
        </is>
      </c>
      <c r="C5340" t="inlineStr">
        <is>
          <t>Föryngringsavverkning</t>
        </is>
      </c>
      <c r="D5340" s="1" t="n">
        <v>46050</v>
      </c>
      <c r="E5340" s="1" t="n">
        <v>46319</v>
      </c>
      <c r="F5340" t="inlineStr">
        <is>
          <t>DALARNAS LÄN</t>
        </is>
      </c>
      <c r="G5340" t="inlineStr">
        <is>
          <t>HEDEMORA</t>
        </is>
      </c>
      <c r="I5340" t="n">
        <v>0.9</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39855-2026</t>
        </is>
      </c>
      <c r="B5341" t="inlineStr">
        <is>
          <t>avverkningsanmälan</t>
        </is>
      </c>
      <c r="C5341" t="inlineStr">
        <is>
          <t>Föryngringsavverkning</t>
        </is>
      </c>
      <c r="D5341" s="1" t="n">
        <v>46290</v>
      </c>
      <c r="E5341" s="1" t="n">
        <v>46319</v>
      </c>
      <c r="F5341" t="inlineStr">
        <is>
          <t>DALARNAS LÄN</t>
        </is>
      </c>
      <c r="G5341" t="inlineStr">
        <is>
          <t>LUDVIKA</t>
        </is>
      </c>
      <c r="H5341" t="inlineStr">
        <is>
          <t>Bergvik skog väst AB</t>
        </is>
      </c>
      <c r="I5341" t="n">
        <v>6.6</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24845-2025</t>
        </is>
      </c>
      <c r="B5342" t="inlineStr">
        <is>
          <t>avverkningsanmälan</t>
        </is>
      </c>
      <c r="C5342" t="inlineStr">
        <is>
          <t>Föryngringsavverkning</t>
        </is>
      </c>
      <c r="D5342" s="1" t="n">
        <v>45799</v>
      </c>
      <c r="E5342" s="1" t="n">
        <v>46319</v>
      </c>
      <c r="F5342" t="inlineStr">
        <is>
          <t>DALARNAS LÄN</t>
        </is>
      </c>
      <c r="G5342" t="inlineStr">
        <is>
          <t>AVESTA</t>
        </is>
      </c>
      <c r="I5342" t="n">
        <v>1.4</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25004-2025</t>
        </is>
      </c>
      <c r="B5343" t="inlineStr">
        <is>
          <t>avverkningsanmälan</t>
        </is>
      </c>
      <c r="C5343" t="inlineStr">
        <is>
          <t>Föryngringsavverkning</t>
        </is>
      </c>
      <c r="D5343" s="1" t="n">
        <v>45799</v>
      </c>
      <c r="E5343" s="1" t="n">
        <v>46319</v>
      </c>
      <c r="F5343" t="inlineStr">
        <is>
          <t>DALARNAS LÄN</t>
        </is>
      </c>
      <c r="G5343" t="inlineStr">
        <is>
          <t>LUDVIKA</t>
        </is>
      </c>
      <c r="H5343" t="inlineStr">
        <is>
          <t>Bergvik skog väst AB</t>
        </is>
      </c>
      <c r="I5343" t="n">
        <v>1.6</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25021-2025</t>
        </is>
      </c>
      <c r="B5344" t="inlineStr">
        <is>
          <t>avverkningsanmälan</t>
        </is>
      </c>
      <c r="C5344" t="inlineStr">
        <is>
          <t>Föryngringsavverkning</t>
        </is>
      </c>
      <c r="D5344" s="1" t="n">
        <v>45799</v>
      </c>
      <c r="E5344" s="1" t="n">
        <v>46319</v>
      </c>
      <c r="F5344" t="inlineStr">
        <is>
          <t>DALARNAS LÄN</t>
        </is>
      </c>
      <c r="G5344" t="inlineStr">
        <is>
          <t>HEDEMORA</t>
        </is>
      </c>
      <c r="I5344" t="n">
        <v>0.7</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5019-2026</t>
        </is>
      </c>
      <c r="B5345" t="inlineStr">
        <is>
          <t>avverkningsanmälan</t>
        </is>
      </c>
      <c r="C5345" t="inlineStr">
        <is>
          <t>Föryngringsavverkning</t>
        </is>
      </c>
      <c r="D5345" s="1" t="n">
        <v>46049</v>
      </c>
      <c r="E5345" s="1" t="n">
        <v>46319</v>
      </c>
      <c r="F5345" t="inlineStr">
        <is>
          <t>DALARNAS LÄN</t>
        </is>
      </c>
      <c r="G5345" t="inlineStr">
        <is>
          <t>FALUN</t>
        </is>
      </c>
      <c r="I5345" t="n">
        <v>0.5</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33189-2026</t>
        </is>
      </c>
      <c r="B5346" t="inlineStr">
        <is>
          <t>avverkningsanmälan</t>
        </is>
      </c>
      <c r="C5346" t="inlineStr">
        <is>
          <t>Föryngringsavverkning</t>
        </is>
      </c>
      <c r="D5346" s="1" t="n">
        <v>46246</v>
      </c>
      <c r="E5346" s="1" t="n">
        <v>46319</v>
      </c>
      <c r="F5346" t="inlineStr">
        <is>
          <t>DALARNAS LÄN</t>
        </is>
      </c>
      <c r="G5346" t="inlineStr">
        <is>
          <t>LEKSAND</t>
        </is>
      </c>
      <c r="I5346" t="n">
        <v>2.1</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33223-2026</t>
        </is>
      </c>
      <c r="B5347" t="inlineStr">
        <is>
          <t>avverkningsanmälan</t>
        </is>
      </c>
      <c r="C5347" t="inlineStr">
        <is>
          <t>Föryngringsavverkning</t>
        </is>
      </c>
      <c r="D5347" s="1" t="n">
        <v>46246</v>
      </c>
      <c r="E5347" s="1" t="n">
        <v>46319</v>
      </c>
      <c r="F5347" t="inlineStr">
        <is>
          <t>DALARNAS LÄN</t>
        </is>
      </c>
      <c r="G5347" t="inlineStr">
        <is>
          <t>MORA</t>
        </is>
      </c>
      <c r="I5347" t="n">
        <v>6.2</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33226-2026</t>
        </is>
      </c>
      <c r="B5348" t="inlineStr">
        <is>
          <t>avverkningsanmälan</t>
        </is>
      </c>
      <c r="C5348" t="inlineStr">
        <is>
          <t>Föryngringsavverkning</t>
        </is>
      </c>
      <c r="D5348" s="1" t="n">
        <v>46246</v>
      </c>
      <c r="E5348" s="1" t="n">
        <v>46319</v>
      </c>
      <c r="F5348" t="inlineStr">
        <is>
          <t>DALARNAS LÄN</t>
        </is>
      </c>
      <c r="G5348" t="inlineStr">
        <is>
          <t>MORA</t>
        </is>
      </c>
      <c r="I5348" t="n">
        <v>3.9</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4998-2026</t>
        </is>
      </c>
      <c r="B5349" t="inlineStr">
        <is>
          <t>avverkningsanmälan</t>
        </is>
      </c>
      <c r="C5349" t="inlineStr">
        <is>
          <t>Föryngringsavverkning</t>
        </is>
      </c>
      <c r="D5349" s="1" t="n">
        <v>46049</v>
      </c>
      <c r="E5349" s="1" t="n">
        <v>46319</v>
      </c>
      <c r="F5349" t="inlineStr">
        <is>
          <t>DALARNAS LÄN</t>
        </is>
      </c>
      <c r="G5349" t="inlineStr">
        <is>
          <t>VANSBRO</t>
        </is>
      </c>
      <c r="H5349" t="inlineStr">
        <is>
          <t>Bergvik skog väst AB</t>
        </is>
      </c>
      <c r="I5349" t="n">
        <v>5.7</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5256-2026</t>
        </is>
      </c>
      <c r="B5350" t="inlineStr">
        <is>
          <t>avverkningsanmälan</t>
        </is>
      </c>
      <c r="C5350" t="inlineStr">
        <is>
          <t>Föryngringsavverkning</t>
        </is>
      </c>
      <c r="D5350" s="1" t="n">
        <v>46050</v>
      </c>
      <c r="E5350" s="1" t="n">
        <v>46319</v>
      </c>
      <c r="F5350" t="inlineStr">
        <is>
          <t>DALARNAS LÄN</t>
        </is>
      </c>
      <c r="G5350" t="inlineStr">
        <is>
          <t>GAGNEF</t>
        </is>
      </c>
      <c r="I5350" t="n">
        <v>1.7</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25113-2025</t>
        </is>
      </c>
      <c r="B5351" t="inlineStr">
        <is>
          <t>avverkningsanmälan</t>
        </is>
      </c>
      <c r="C5351" t="inlineStr">
        <is>
          <t>Föryngringsavverkning</t>
        </is>
      </c>
      <c r="D5351" s="1" t="n">
        <v>45800</v>
      </c>
      <c r="E5351" s="1" t="n">
        <v>46319</v>
      </c>
      <c r="F5351" t="inlineStr">
        <is>
          <t>DALARNAS LÄN</t>
        </is>
      </c>
      <c r="G5351" t="inlineStr">
        <is>
          <t>LUDVIKA</t>
        </is>
      </c>
      <c r="H5351" t="inlineStr">
        <is>
          <t>Bergvik skog väst AB</t>
        </is>
      </c>
      <c r="I5351" t="n">
        <v>0.8</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5541-2026</t>
        </is>
      </c>
      <c r="B5352" t="inlineStr">
        <is>
          <t>avverkningsanmälan</t>
        </is>
      </c>
      <c r="C5352" t="inlineStr">
        <is>
          <t>Föryngringsavverkning</t>
        </is>
      </c>
      <c r="D5352" s="1" t="n">
        <v>46050</v>
      </c>
      <c r="E5352" s="1" t="n">
        <v>46319</v>
      </c>
      <c r="F5352" t="inlineStr">
        <is>
          <t>DALARNAS LÄN</t>
        </is>
      </c>
      <c r="G5352" t="inlineStr">
        <is>
          <t>LEKSAND</t>
        </is>
      </c>
      <c r="I5352" t="n">
        <v>2</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25146-2025</t>
        </is>
      </c>
      <c r="B5353" t="inlineStr">
        <is>
          <t>avverkningsanmälan</t>
        </is>
      </c>
      <c r="C5353" t="inlineStr">
        <is>
          <t>Föryngringsavverkning</t>
        </is>
      </c>
      <c r="D5353" s="1" t="n">
        <v>45800</v>
      </c>
      <c r="E5353" s="1" t="n">
        <v>46319</v>
      </c>
      <c r="F5353" t="inlineStr">
        <is>
          <t>DALARNAS LÄN</t>
        </is>
      </c>
      <c r="G5353" t="inlineStr">
        <is>
          <t>MALUNG-SÄLEN</t>
        </is>
      </c>
      <c r="H5353" t="inlineStr">
        <is>
          <t>Bergvik skog öst AB</t>
        </is>
      </c>
      <c r="I5353" t="n">
        <v>1.8</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191-2026</t>
        </is>
      </c>
      <c r="B5354" t="inlineStr">
        <is>
          <t>avverkningsanmälan</t>
        </is>
      </c>
      <c r="C5354" t="inlineStr">
        <is>
          <t>Föryngringsavverkning</t>
        </is>
      </c>
      <c r="D5354" s="1" t="n">
        <v>46025</v>
      </c>
      <c r="E5354" s="1" t="n">
        <v>46319</v>
      </c>
      <c r="F5354" t="inlineStr">
        <is>
          <t>DALARNAS LÄN</t>
        </is>
      </c>
      <c r="G5354" t="inlineStr">
        <is>
          <t>FALUN</t>
        </is>
      </c>
      <c r="I5354" t="n">
        <v>4.6</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24811-2025</t>
        </is>
      </c>
      <c r="B5355" t="inlineStr">
        <is>
          <t>avverkningsanmälan</t>
        </is>
      </c>
      <c r="C5355" t="inlineStr">
        <is>
          <t>Föryngringsavverkning</t>
        </is>
      </c>
      <c r="D5355" s="1" t="n">
        <v>45799</v>
      </c>
      <c r="E5355" s="1" t="n">
        <v>46319</v>
      </c>
      <c r="F5355" t="inlineStr">
        <is>
          <t>DALARNAS LÄN</t>
        </is>
      </c>
      <c r="G5355" t="inlineStr">
        <is>
          <t>RÄTTVIK</t>
        </is>
      </c>
      <c r="I5355" t="n">
        <v>1.2</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5486-2026</t>
        </is>
      </c>
      <c r="B5356" t="inlineStr">
        <is>
          <t>avverkningsanmälan</t>
        </is>
      </c>
      <c r="C5356" t="inlineStr">
        <is>
          <t>Föryngringsavverkning</t>
        </is>
      </c>
      <c r="D5356" s="1" t="n">
        <v>46050</v>
      </c>
      <c r="E5356" s="1" t="n">
        <v>46319</v>
      </c>
      <c r="F5356" t="inlineStr">
        <is>
          <t>DALARNAS LÄN</t>
        </is>
      </c>
      <c r="G5356" t="inlineStr">
        <is>
          <t>FALUN</t>
        </is>
      </c>
      <c r="I5356" t="n">
        <v>0.5</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38898-2026</t>
        </is>
      </c>
      <c r="B5357" t="inlineStr">
        <is>
          <t>avverkningsanmälan</t>
        </is>
      </c>
      <c r="C5357" t="inlineStr">
        <is>
          <t>Föryngringsavverkning</t>
        </is>
      </c>
      <c r="D5357" s="1" t="n">
        <v>46286</v>
      </c>
      <c r="E5357" s="1" t="n">
        <v>46319</v>
      </c>
      <c r="F5357" t="inlineStr">
        <is>
          <t>DALARNAS LÄN</t>
        </is>
      </c>
      <c r="G5357" t="inlineStr">
        <is>
          <t>GAGNEF</t>
        </is>
      </c>
      <c r="H5357" t="inlineStr">
        <is>
          <t>Bergvik skog väst AB</t>
        </is>
      </c>
      <c r="I5357" t="n">
        <v>3.5</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38907-2026</t>
        </is>
      </c>
      <c r="B5358" t="inlineStr">
        <is>
          <t>avverkningsanmälan</t>
        </is>
      </c>
      <c r="C5358" t="inlineStr">
        <is>
          <t>Föryngringsavverkning</t>
        </is>
      </c>
      <c r="D5358" s="1" t="n">
        <v>46286</v>
      </c>
      <c r="E5358" s="1" t="n">
        <v>46319</v>
      </c>
      <c r="F5358" t="inlineStr">
        <is>
          <t>DALARNAS LÄN</t>
        </is>
      </c>
      <c r="G5358" t="inlineStr">
        <is>
          <t>LEKSAND</t>
        </is>
      </c>
      <c r="H5358" t="inlineStr">
        <is>
          <t>Bergvik skog väst AB</t>
        </is>
      </c>
      <c r="I5358" t="n">
        <v>10.6</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5041-2026</t>
        </is>
      </c>
      <c r="B5359" t="inlineStr">
        <is>
          <t>avverkningsanmälan</t>
        </is>
      </c>
      <c r="C5359" t="inlineStr">
        <is>
          <t>Föryngringsavverkning</t>
        </is>
      </c>
      <c r="D5359" s="1" t="n">
        <v>46049</v>
      </c>
      <c r="E5359" s="1" t="n">
        <v>46319</v>
      </c>
      <c r="F5359" t="inlineStr">
        <is>
          <t>DALARNAS LÄN</t>
        </is>
      </c>
      <c r="G5359" t="inlineStr">
        <is>
          <t>AVESTA</t>
        </is>
      </c>
      <c r="I5359" t="n">
        <v>0.7</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5242-2026</t>
        </is>
      </c>
      <c r="B5360" t="inlineStr">
        <is>
          <t>avverkningsanmälan</t>
        </is>
      </c>
      <c r="C5360" t="inlineStr">
        <is>
          <t>Föryngringsavverkning</t>
        </is>
      </c>
      <c r="D5360" s="1" t="n">
        <v>46049</v>
      </c>
      <c r="E5360" s="1" t="n">
        <v>46319</v>
      </c>
      <c r="F5360" t="inlineStr">
        <is>
          <t>DALARNAS LÄN</t>
        </is>
      </c>
      <c r="G5360" t="inlineStr">
        <is>
          <t>FALUN</t>
        </is>
      </c>
      <c r="I5360" t="n">
        <v>8.300000000000001</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5393-2026</t>
        </is>
      </c>
      <c r="B5361" t="inlineStr">
        <is>
          <t>avverkningsanmälan</t>
        </is>
      </c>
      <c r="C5361" t="inlineStr">
        <is>
          <t>Föryngringsavverkning</t>
        </is>
      </c>
      <c r="D5361" s="1" t="n">
        <v>46050</v>
      </c>
      <c r="E5361" s="1" t="n">
        <v>46319</v>
      </c>
      <c r="F5361" t="inlineStr">
        <is>
          <t>DALARNAS LÄN</t>
        </is>
      </c>
      <c r="G5361" t="inlineStr">
        <is>
          <t>ORSA</t>
        </is>
      </c>
      <c r="I5361" t="n">
        <v>4.2</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5022-2026</t>
        </is>
      </c>
      <c r="B5362" t="inlineStr">
        <is>
          <t>avverkningsanmälan</t>
        </is>
      </c>
      <c r="C5362" t="inlineStr">
        <is>
          <t>Föryngringsavverkning</t>
        </is>
      </c>
      <c r="D5362" s="1" t="n">
        <v>46049</v>
      </c>
      <c r="E5362" s="1" t="n">
        <v>46319</v>
      </c>
      <c r="F5362" t="inlineStr">
        <is>
          <t>DALARNAS LÄN</t>
        </is>
      </c>
      <c r="G5362" t="inlineStr">
        <is>
          <t>LEKSAND</t>
        </is>
      </c>
      <c r="I5362" t="n">
        <v>1.6</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16878-2025</t>
        </is>
      </c>
      <c r="B5363" t="inlineStr">
        <is>
          <t>avverkningsanmälan</t>
        </is>
      </c>
      <c r="C5363" t="inlineStr">
        <is>
          <t>Föryngringsavverkning</t>
        </is>
      </c>
      <c r="D5363" s="1" t="n">
        <v>45755</v>
      </c>
      <c r="E5363" s="1" t="n">
        <v>46319</v>
      </c>
      <c r="F5363" t="inlineStr">
        <is>
          <t>DALARNAS LÄN</t>
        </is>
      </c>
      <c r="G5363" t="inlineStr">
        <is>
          <t>RÄTTVIK</t>
        </is>
      </c>
      <c r="I5363" t="n">
        <v>2.9</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5071-2026</t>
        </is>
      </c>
      <c r="B5364" t="inlineStr">
        <is>
          <t>avverkningsanmälan</t>
        </is>
      </c>
      <c r="C5364" t="inlineStr">
        <is>
          <t>Föryngringsavverkning</t>
        </is>
      </c>
      <c r="D5364" s="1" t="n">
        <v>46049</v>
      </c>
      <c r="E5364" s="1" t="n">
        <v>46319</v>
      </c>
      <c r="F5364" t="inlineStr">
        <is>
          <t>DALARNAS LÄN</t>
        </is>
      </c>
      <c r="G5364" t="inlineStr">
        <is>
          <t>FALUN</t>
        </is>
      </c>
      <c r="I5364" t="n">
        <v>1.5</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31255-2023</t>
        </is>
      </c>
      <c r="B5365" t="inlineStr">
        <is>
          <t>avverkningsanmälan</t>
        </is>
      </c>
      <c r="C5365" t="inlineStr">
        <is>
          <t>Föryngringsavverkning</t>
        </is>
      </c>
      <c r="D5365" s="1" t="n">
        <v>45114</v>
      </c>
      <c r="E5365" s="1" t="n">
        <v>46319</v>
      </c>
      <c r="F5365" t="inlineStr">
        <is>
          <t>DALARNAS LÄN</t>
        </is>
      </c>
      <c r="G5365" t="inlineStr">
        <is>
          <t>LEKSAND</t>
        </is>
      </c>
      <c r="I5365" t="n">
        <v>1.3</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5916-2026</t>
        </is>
      </c>
      <c r="B5366" t="inlineStr">
        <is>
          <t>avverkningsanmälan</t>
        </is>
      </c>
      <c r="C5366" t="inlineStr">
        <is>
          <t>Föryngringsavverkning</t>
        </is>
      </c>
      <c r="D5366" s="1" t="n">
        <v>46052</v>
      </c>
      <c r="E5366" s="1" t="n">
        <v>46319</v>
      </c>
      <c r="F5366" t="inlineStr">
        <is>
          <t>DALARNAS LÄN</t>
        </is>
      </c>
      <c r="G5366" t="inlineStr">
        <is>
          <t>FALUN</t>
        </is>
      </c>
      <c r="I5366" t="n">
        <v>0.4</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25611-2025</t>
        </is>
      </c>
      <c r="B5367" t="inlineStr">
        <is>
          <t>avverkningsanmälan</t>
        </is>
      </c>
      <c r="C5367" t="inlineStr">
        <is>
          <t>Föryngringsavverkning</t>
        </is>
      </c>
      <c r="D5367" s="1" t="n">
        <v>45803</v>
      </c>
      <c r="E5367" s="1" t="n">
        <v>46319</v>
      </c>
      <c r="F5367" t="inlineStr">
        <is>
          <t>DALARNAS LÄN</t>
        </is>
      </c>
      <c r="G5367" t="inlineStr">
        <is>
          <t>BORLÄNGE</t>
        </is>
      </c>
      <c r="I5367" t="n">
        <v>4.2</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25646-2025</t>
        </is>
      </c>
      <c r="B5368" t="inlineStr">
        <is>
          <t>avverkningsanmälan</t>
        </is>
      </c>
      <c r="C5368" t="inlineStr">
        <is>
          <t>Föryngringsavverkning</t>
        </is>
      </c>
      <c r="D5368" s="1" t="n">
        <v>45803</v>
      </c>
      <c r="E5368" s="1" t="n">
        <v>46319</v>
      </c>
      <c r="F5368" t="inlineStr">
        <is>
          <t>DALARNAS LÄN</t>
        </is>
      </c>
      <c r="G5368" t="inlineStr">
        <is>
          <t>AVESTA</t>
        </is>
      </c>
      <c r="I5368" t="n">
        <v>7.3</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5734-2026</t>
        </is>
      </c>
      <c r="B5369" t="inlineStr">
        <is>
          <t>avverkningsanmälan</t>
        </is>
      </c>
      <c r="C5369" t="inlineStr">
        <is>
          <t>Föryngringsavverkning</t>
        </is>
      </c>
      <c r="D5369" s="1" t="n">
        <v>46051</v>
      </c>
      <c r="E5369" s="1" t="n">
        <v>46319</v>
      </c>
      <c r="F5369" t="inlineStr">
        <is>
          <t>DALARNAS LÄN</t>
        </is>
      </c>
      <c r="G5369" t="inlineStr">
        <is>
          <t>FALUN</t>
        </is>
      </c>
      <c r="I5369" t="n">
        <v>2.1</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55428-2025</t>
        </is>
      </c>
      <c r="B5370" t="inlineStr">
        <is>
          <t>avverkningsanmälan</t>
        </is>
      </c>
      <c r="C5370" t="inlineStr">
        <is>
          <t>Föryngringsavverkning</t>
        </is>
      </c>
      <c r="D5370" s="1" t="n">
        <v>45971</v>
      </c>
      <c r="E5370" s="1" t="n">
        <v>46319</v>
      </c>
      <c r="F5370" t="inlineStr">
        <is>
          <t>DALARNAS LÄN</t>
        </is>
      </c>
      <c r="G5370" t="inlineStr">
        <is>
          <t>SÄTER</t>
        </is>
      </c>
      <c r="H5370" t="inlineStr">
        <is>
          <t>Bergvik skog väst AB</t>
        </is>
      </c>
      <c r="I5370" t="n">
        <v>5.5</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5989-2026</t>
        </is>
      </c>
      <c r="B5371" t="inlineStr">
        <is>
          <t>avverkningsanmälan</t>
        </is>
      </c>
      <c r="C5371" t="inlineStr">
        <is>
          <t>Föryngringsavverkning</t>
        </is>
      </c>
      <c r="D5371" s="1" t="n">
        <v>46052</v>
      </c>
      <c r="E5371" s="1" t="n">
        <v>46319</v>
      </c>
      <c r="F5371" t="inlineStr">
        <is>
          <t>DALARNAS LÄN</t>
        </is>
      </c>
      <c r="G5371" t="inlineStr">
        <is>
          <t>LEKSAND</t>
        </is>
      </c>
      <c r="I5371" t="n">
        <v>2.3</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25924-2025</t>
        </is>
      </c>
      <c r="B5372" t="inlineStr">
        <is>
          <t>avverkningsanmälan</t>
        </is>
      </c>
      <c r="C5372" t="inlineStr">
        <is>
          <t>Föryngringsavverkning</t>
        </is>
      </c>
      <c r="D5372" s="1" t="n">
        <v>45804</v>
      </c>
      <c r="E5372" s="1" t="n">
        <v>46319</v>
      </c>
      <c r="F5372" t="inlineStr">
        <is>
          <t>DALARNAS LÄN</t>
        </is>
      </c>
      <c r="G5372" t="inlineStr">
        <is>
          <t>MALUNG-SÄLEN</t>
        </is>
      </c>
      <c r="H5372" t="inlineStr">
        <is>
          <t>Allmännings- och besparingsskogar</t>
        </is>
      </c>
      <c r="I5372" t="n">
        <v>28</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5695-2026</t>
        </is>
      </c>
      <c r="B5373" t="inlineStr">
        <is>
          <t>avverkningsanmälan</t>
        </is>
      </c>
      <c r="C5373" t="inlineStr">
        <is>
          <t>Föryngringsavverkning</t>
        </is>
      </c>
      <c r="D5373" s="1" t="n">
        <v>46051</v>
      </c>
      <c r="E5373" s="1" t="n">
        <v>46319</v>
      </c>
      <c r="F5373" t="inlineStr">
        <is>
          <t>DALARNAS LÄN</t>
        </is>
      </c>
      <c r="G5373" t="inlineStr">
        <is>
          <t>FALUN</t>
        </is>
      </c>
      <c r="I5373" t="n">
        <v>1.3</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34039-2023</t>
        </is>
      </c>
      <c r="B5374" t="inlineStr">
        <is>
          <t>avverkningsanmälan</t>
        </is>
      </c>
      <c r="C5374" t="inlineStr">
        <is>
          <t>Föryngringsavverkning</t>
        </is>
      </c>
      <c r="D5374" s="1" t="n">
        <v>45125</v>
      </c>
      <c r="E5374" s="1" t="n">
        <v>46319</v>
      </c>
      <c r="F5374" t="inlineStr">
        <is>
          <t>DALARNAS LÄN</t>
        </is>
      </c>
      <c r="G5374" t="inlineStr">
        <is>
          <t>SMEDJEBACKEN</t>
        </is>
      </c>
      <c r="I5374" t="n">
        <v>2</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15334-2025</t>
        </is>
      </c>
      <c r="B5375" t="inlineStr">
        <is>
          <t>avverkningsanmälan</t>
        </is>
      </c>
      <c r="C5375" t="inlineStr">
        <is>
          <t>Föryngringsavverkning</t>
        </is>
      </c>
      <c r="D5375" s="1" t="n">
        <v>45747</v>
      </c>
      <c r="E5375" s="1" t="n">
        <v>46319</v>
      </c>
      <c r="F5375" t="inlineStr">
        <is>
          <t>DALARNAS LÄN</t>
        </is>
      </c>
      <c r="G5375" t="inlineStr">
        <is>
          <t>MALUNG-SÄLEN</t>
        </is>
      </c>
      <c r="H5375" t="inlineStr">
        <is>
          <t>Övriga statliga verk och myndigheter</t>
        </is>
      </c>
      <c r="I5375" t="n">
        <v>1</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6609-2026</t>
        </is>
      </c>
      <c r="B5376" t="inlineStr">
        <is>
          <t>avverkningsanmälan</t>
        </is>
      </c>
      <c r="C5376" t="inlineStr">
        <is>
          <t>Föryngringsavverkning</t>
        </is>
      </c>
      <c r="D5376" s="1" t="n">
        <v>46052</v>
      </c>
      <c r="E5376" s="1" t="n">
        <v>46319</v>
      </c>
      <c r="F5376" t="inlineStr">
        <is>
          <t>DALARNAS LÄN</t>
        </is>
      </c>
      <c r="G5376" t="inlineStr">
        <is>
          <t>FALUN</t>
        </is>
      </c>
      <c r="I5376" t="n">
        <v>3</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33373-2026</t>
        </is>
      </c>
      <c r="B5377" t="inlineStr">
        <is>
          <t>avverkningsanmälan</t>
        </is>
      </c>
      <c r="C5377" t="inlineStr">
        <is>
          <t>Föryngringsavverkning</t>
        </is>
      </c>
      <c r="D5377" s="1" t="n">
        <v>46247</v>
      </c>
      <c r="E5377" s="1" t="n">
        <v>46319</v>
      </c>
      <c r="F5377" t="inlineStr">
        <is>
          <t>DALARNAS LÄN</t>
        </is>
      </c>
      <c r="G5377" t="inlineStr">
        <is>
          <t>LUDVIKA</t>
        </is>
      </c>
      <c r="I5377" t="n">
        <v>4.5</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25289-2026</t>
        </is>
      </c>
      <c r="B5378" t="inlineStr">
        <is>
          <t>avverkningsanmälan</t>
        </is>
      </c>
      <c r="C5378" t="inlineStr">
        <is>
          <t>Föryngringsavverkning</t>
        </is>
      </c>
      <c r="D5378" s="1" t="n">
        <v>46176</v>
      </c>
      <c r="E5378" s="1" t="n">
        <v>46319</v>
      </c>
      <c r="F5378" t="inlineStr">
        <is>
          <t>DALARNAS LÄN</t>
        </is>
      </c>
      <c r="G5378" t="inlineStr">
        <is>
          <t>SMEDJEBACKEN</t>
        </is>
      </c>
      <c r="H5378" t="inlineStr">
        <is>
          <t>Sveaskog</t>
        </is>
      </c>
      <c r="I5378" t="n">
        <v>0.9</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25879-2025</t>
        </is>
      </c>
      <c r="B5379" t="inlineStr">
        <is>
          <t>avverkningsanmälan</t>
        </is>
      </c>
      <c r="C5379" t="inlineStr">
        <is>
          <t>Avverkning för annat ändamål</t>
        </is>
      </c>
      <c r="D5379" s="1" t="n">
        <v>45804</v>
      </c>
      <c r="E5379" s="1" t="n">
        <v>46319</v>
      </c>
      <c r="F5379" t="inlineStr">
        <is>
          <t>DALARNAS LÄN</t>
        </is>
      </c>
      <c r="G5379" t="inlineStr">
        <is>
          <t>ÄLVDALEN</t>
        </is>
      </c>
      <c r="H5379" t="inlineStr">
        <is>
          <t>Allmännings- och besparingsskogar</t>
        </is>
      </c>
      <c r="I5379" t="n">
        <v>0.2</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19397-2024</t>
        </is>
      </c>
      <c r="B5380" t="inlineStr">
        <is>
          <t>avverkningsanmälan</t>
        </is>
      </c>
      <c r="C5380" t="inlineStr">
        <is>
          <t>Föryngringsavverkning</t>
        </is>
      </c>
      <c r="D5380" s="1" t="n">
        <v>45429</v>
      </c>
      <c r="E5380" s="1" t="n">
        <v>46319</v>
      </c>
      <c r="F5380" t="inlineStr">
        <is>
          <t>DALARNAS LÄN</t>
        </is>
      </c>
      <c r="G5380" t="inlineStr">
        <is>
          <t>HEDEMORA</t>
        </is>
      </c>
      <c r="I5380" t="n">
        <v>1.8</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25559-2025</t>
        </is>
      </c>
      <c r="B5381" t="inlineStr">
        <is>
          <t>avverkningsanmälan</t>
        </is>
      </c>
      <c r="C5381" t="inlineStr">
        <is>
          <t>Föryngringsavverkning</t>
        </is>
      </c>
      <c r="D5381" s="1" t="n">
        <v>45803</v>
      </c>
      <c r="E5381" s="1" t="n">
        <v>46319</v>
      </c>
      <c r="F5381" t="inlineStr">
        <is>
          <t>DALARNAS LÄN</t>
        </is>
      </c>
      <c r="G5381" t="inlineStr">
        <is>
          <t>RÄTTVIK</t>
        </is>
      </c>
      <c r="H5381" t="inlineStr">
        <is>
          <t>Sveaskog</t>
        </is>
      </c>
      <c r="I5381" t="n">
        <v>9.699999999999999</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5896-2026</t>
        </is>
      </c>
      <c r="B5382" t="inlineStr">
        <is>
          <t>avverkningsanmälan</t>
        </is>
      </c>
      <c r="C5382" t="inlineStr">
        <is>
          <t>Föryngringsavverkning</t>
        </is>
      </c>
      <c r="D5382" s="1" t="n">
        <v>46052</v>
      </c>
      <c r="E5382" s="1" t="n">
        <v>46319</v>
      </c>
      <c r="F5382" t="inlineStr">
        <is>
          <t>DALARNAS LÄN</t>
        </is>
      </c>
      <c r="G5382" t="inlineStr">
        <is>
          <t>ORSA</t>
        </is>
      </c>
      <c r="I5382" t="n">
        <v>1.7</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5701-2026</t>
        </is>
      </c>
      <c r="B5383" t="inlineStr">
        <is>
          <t>avverkningsanmälan</t>
        </is>
      </c>
      <c r="C5383" t="inlineStr">
        <is>
          <t>Föryngringsavverkning</t>
        </is>
      </c>
      <c r="D5383" s="1" t="n">
        <v>46051</v>
      </c>
      <c r="E5383" s="1" t="n">
        <v>46319</v>
      </c>
      <c r="F5383" t="inlineStr">
        <is>
          <t>DALARNAS LÄN</t>
        </is>
      </c>
      <c r="G5383" t="inlineStr">
        <is>
          <t>SMEDJEBACKEN</t>
        </is>
      </c>
      <c r="I5383" t="n">
        <v>1.4</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5723-2026</t>
        </is>
      </c>
      <c r="B5384" t="inlineStr">
        <is>
          <t>avverkningsanmälan</t>
        </is>
      </c>
      <c r="C5384" t="inlineStr">
        <is>
          <t>Föryngringsavverkning</t>
        </is>
      </c>
      <c r="D5384" s="1" t="n">
        <v>46051</v>
      </c>
      <c r="E5384" s="1" t="n">
        <v>46319</v>
      </c>
      <c r="F5384" t="inlineStr">
        <is>
          <t>DALARNAS LÄN</t>
        </is>
      </c>
      <c r="G5384" t="inlineStr">
        <is>
          <t>SÄTER</t>
        </is>
      </c>
      <c r="I5384" t="n">
        <v>1.5</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38869-2026</t>
        </is>
      </c>
      <c r="B5385" t="inlineStr">
        <is>
          <t>avverkningsanmälan</t>
        </is>
      </c>
      <c r="C5385" t="inlineStr">
        <is>
          <t>Föryngringsavverkning</t>
        </is>
      </c>
      <c r="D5385" s="1" t="n">
        <v>46286</v>
      </c>
      <c r="E5385" s="1" t="n">
        <v>46319</v>
      </c>
      <c r="F5385" t="inlineStr">
        <is>
          <t>DALARNAS LÄN</t>
        </is>
      </c>
      <c r="G5385" t="inlineStr">
        <is>
          <t>LUDVIKA</t>
        </is>
      </c>
      <c r="H5385" t="inlineStr">
        <is>
          <t>Bergvik skog väst AB</t>
        </is>
      </c>
      <c r="I5385" t="n">
        <v>2.8</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5921-2026</t>
        </is>
      </c>
      <c r="B5386" t="inlineStr">
        <is>
          <t>avverkningsanmälan</t>
        </is>
      </c>
      <c r="C5386" t="inlineStr">
        <is>
          <t>Föryngringsavverkning</t>
        </is>
      </c>
      <c r="D5386" s="1" t="n">
        <v>46052</v>
      </c>
      <c r="E5386" s="1" t="n">
        <v>46319</v>
      </c>
      <c r="F5386" t="inlineStr">
        <is>
          <t>DALARNAS LÄN</t>
        </is>
      </c>
      <c r="G5386" t="inlineStr">
        <is>
          <t>FALUN</t>
        </is>
      </c>
      <c r="I5386" t="n">
        <v>1.6</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39500-2026</t>
        </is>
      </c>
      <c r="B5387" t="inlineStr">
        <is>
          <t>avverkningsanmälan</t>
        </is>
      </c>
      <c r="C5387" t="inlineStr">
        <is>
          <t>Föryngringsavverkning</t>
        </is>
      </c>
      <c r="D5387" s="1" t="n">
        <v>46289</v>
      </c>
      <c r="E5387" s="1" t="n">
        <v>46319</v>
      </c>
      <c r="F5387" t="inlineStr">
        <is>
          <t>DALARNAS LÄN</t>
        </is>
      </c>
      <c r="G5387" t="inlineStr">
        <is>
          <t>VANSBRO</t>
        </is>
      </c>
      <c r="I5387" t="n">
        <v>1.3</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39508-2026</t>
        </is>
      </c>
      <c r="B5388" t="inlineStr">
        <is>
          <t>avverkningsanmälan</t>
        </is>
      </c>
      <c r="C5388" t="inlineStr">
        <is>
          <t>Föryngringsavverkning</t>
        </is>
      </c>
      <c r="D5388" s="1" t="n">
        <v>46289</v>
      </c>
      <c r="E5388" s="1" t="n">
        <v>46319</v>
      </c>
      <c r="F5388" t="inlineStr">
        <is>
          <t>DALARNAS LÄN</t>
        </is>
      </c>
      <c r="G5388" t="inlineStr">
        <is>
          <t>GAGNEF</t>
        </is>
      </c>
      <c r="H5388" t="inlineStr">
        <is>
          <t>Bergvik skog väst AB</t>
        </is>
      </c>
      <c r="I5388" t="n">
        <v>5.1</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6607-2026</t>
        </is>
      </c>
      <c r="B5389" t="inlineStr">
        <is>
          <t>avverkningsanmälan</t>
        </is>
      </c>
      <c r="C5389" t="inlineStr">
        <is>
          <t>Föryngringsavverkning</t>
        </is>
      </c>
      <c r="D5389" s="1" t="n">
        <v>46052</v>
      </c>
      <c r="E5389" s="1" t="n">
        <v>46319</v>
      </c>
      <c r="F5389" t="inlineStr">
        <is>
          <t>DALARNAS LÄN</t>
        </is>
      </c>
      <c r="G5389" t="inlineStr">
        <is>
          <t>FALUN</t>
        </is>
      </c>
      <c r="I5389" t="n">
        <v>2.2</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4460-2026</t>
        </is>
      </c>
      <c r="B5390" t="inlineStr">
        <is>
          <t>avverkningsanmälan</t>
        </is>
      </c>
      <c r="C5390" t="inlineStr">
        <is>
          <t>Föryngringsavverkning</t>
        </is>
      </c>
      <c r="D5390" s="1" t="n">
        <v>46045</v>
      </c>
      <c r="E5390" s="1" t="n">
        <v>46319</v>
      </c>
      <c r="F5390" t="inlineStr">
        <is>
          <t>DALARNAS LÄN</t>
        </is>
      </c>
      <c r="G5390" t="inlineStr">
        <is>
          <t>LEKSAND</t>
        </is>
      </c>
      <c r="I5390" t="n">
        <v>11.6</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39530-2026</t>
        </is>
      </c>
      <c r="B5391" t="inlineStr">
        <is>
          <t>avverkningsanmälan</t>
        </is>
      </c>
      <c r="C5391" t="inlineStr">
        <is>
          <t>Föryngringsavverkning</t>
        </is>
      </c>
      <c r="D5391" s="1" t="n">
        <v>46289</v>
      </c>
      <c r="E5391" s="1" t="n">
        <v>46319</v>
      </c>
      <c r="F5391" t="inlineStr">
        <is>
          <t>DALARNAS LÄN</t>
        </is>
      </c>
      <c r="G5391" t="inlineStr">
        <is>
          <t>LEKSAND</t>
        </is>
      </c>
      <c r="I5391" t="n">
        <v>4.5</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24764-2026</t>
        </is>
      </c>
      <c r="B5392" t="inlineStr">
        <is>
          <t>avverkningsanmälan</t>
        </is>
      </c>
      <c r="C5392" t="inlineStr">
        <is>
          <t>Föryngringsavverkning</t>
        </is>
      </c>
      <c r="D5392" s="1" t="n">
        <v>46171</v>
      </c>
      <c r="E5392" s="1" t="n">
        <v>46319</v>
      </c>
      <c r="F5392" t="inlineStr">
        <is>
          <t>DALARNAS LÄN</t>
        </is>
      </c>
      <c r="G5392" t="inlineStr">
        <is>
          <t>RÄTTVIK</t>
        </is>
      </c>
      <c r="H5392" t="inlineStr">
        <is>
          <t>Sveaskog</t>
        </is>
      </c>
      <c r="I5392" t="n">
        <v>18.7</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25809-2026</t>
        </is>
      </c>
      <c r="B5393" t="inlineStr">
        <is>
          <t>avverkningsanmälan</t>
        </is>
      </c>
      <c r="C5393" t="inlineStr">
        <is>
          <t>Föryngringsavverkning</t>
        </is>
      </c>
      <c r="D5393" s="1" t="n">
        <v>46178</v>
      </c>
      <c r="E5393" s="1" t="n">
        <v>46319</v>
      </c>
      <c r="F5393" t="inlineStr">
        <is>
          <t>DALARNAS LÄN</t>
        </is>
      </c>
      <c r="G5393" t="inlineStr">
        <is>
          <t>FALUN</t>
        </is>
      </c>
      <c r="I5393" t="n">
        <v>3.2</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25793-2025</t>
        </is>
      </c>
      <c r="B5394" t="inlineStr">
        <is>
          <t>avverkningsanmälan</t>
        </is>
      </c>
      <c r="C5394" t="inlineStr">
        <is>
          <t>Föryngringsavverkning</t>
        </is>
      </c>
      <c r="D5394" s="1" t="n">
        <v>45804</v>
      </c>
      <c r="E5394" s="1" t="n">
        <v>46319</v>
      </c>
      <c r="F5394" t="inlineStr">
        <is>
          <t>DALARNAS LÄN</t>
        </is>
      </c>
      <c r="G5394" t="inlineStr">
        <is>
          <t>SÄTER</t>
        </is>
      </c>
      <c r="I5394" t="n">
        <v>1.9</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25924-2026</t>
        </is>
      </c>
      <c r="B5395" t="inlineStr">
        <is>
          <t>avverkningsanmälan</t>
        </is>
      </c>
      <c r="C5395" t="inlineStr">
        <is>
          <t>Föryngringsavverkning</t>
        </is>
      </c>
      <c r="D5395" s="1" t="n">
        <v>46178</v>
      </c>
      <c r="E5395" s="1" t="n">
        <v>46319</v>
      </c>
      <c r="F5395" t="inlineStr">
        <is>
          <t>DALARNAS LÄN</t>
        </is>
      </c>
      <c r="G5395" t="inlineStr">
        <is>
          <t>HEDEMORA</t>
        </is>
      </c>
      <c r="H5395" t="inlineStr">
        <is>
          <t>Sveaskog</t>
        </is>
      </c>
      <c r="I5395" t="n">
        <v>18.3</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11630-2024</t>
        </is>
      </c>
      <c r="B5396" t="inlineStr">
        <is>
          <t>avverkningsanmälan</t>
        </is>
      </c>
      <c r="C5396" t="inlineStr">
        <is>
          <t>Föryngringsavverkning</t>
        </is>
      </c>
      <c r="D5396" s="1" t="n">
        <v>45373</v>
      </c>
      <c r="E5396" s="1" t="n">
        <v>46319</v>
      </c>
      <c r="F5396" t="inlineStr">
        <is>
          <t>DALARNAS LÄN</t>
        </is>
      </c>
      <c r="G5396" t="inlineStr">
        <is>
          <t>RÄTTVIK</t>
        </is>
      </c>
      <c r="I5396" t="n">
        <v>2</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5784-2026</t>
        </is>
      </c>
      <c r="B5397" t="inlineStr">
        <is>
          <t>avverkningsanmälan</t>
        </is>
      </c>
      <c r="C5397" t="inlineStr">
        <is>
          <t>Föryngringsavverkning</t>
        </is>
      </c>
      <c r="D5397" s="1" t="n">
        <v>46051</v>
      </c>
      <c r="E5397" s="1" t="n">
        <v>46319</v>
      </c>
      <c r="F5397" t="inlineStr">
        <is>
          <t>DALARNAS LÄN</t>
        </is>
      </c>
      <c r="G5397" t="inlineStr">
        <is>
          <t>HEDEMORA</t>
        </is>
      </c>
      <c r="I5397" t="n">
        <v>3.6</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6029-2026</t>
        </is>
      </c>
      <c r="B5398" t="inlineStr">
        <is>
          <t>avverkningsanmälan</t>
        </is>
      </c>
      <c r="C5398" t="inlineStr">
        <is>
          <t>Föryngringsavverkning</t>
        </is>
      </c>
      <c r="D5398" s="1" t="n">
        <v>46052</v>
      </c>
      <c r="E5398" s="1" t="n">
        <v>46319</v>
      </c>
      <c r="F5398" t="inlineStr">
        <is>
          <t>DALARNAS LÄN</t>
        </is>
      </c>
      <c r="G5398" t="inlineStr">
        <is>
          <t>FALUN</t>
        </is>
      </c>
      <c r="I5398" t="n">
        <v>0.6</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25891-2025</t>
        </is>
      </c>
      <c r="B5399" t="inlineStr">
        <is>
          <t>avverkningsanmälan</t>
        </is>
      </c>
      <c r="C5399" t="inlineStr">
        <is>
          <t>Föryngringsavverkning</t>
        </is>
      </c>
      <c r="D5399" s="1" t="n">
        <v>45804</v>
      </c>
      <c r="E5399" s="1" t="n">
        <v>46319</v>
      </c>
      <c r="F5399" t="inlineStr">
        <is>
          <t>DALARNAS LÄN</t>
        </is>
      </c>
      <c r="G5399" t="inlineStr">
        <is>
          <t>MALUNG-SÄLEN</t>
        </is>
      </c>
      <c r="I5399" t="n">
        <v>2.1</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5770-2026</t>
        </is>
      </c>
      <c r="B5400" t="inlineStr">
        <is>
          <t>avverkningsanmälan</t>
        </is>
      </c>
      <c r="C5400" t="inlineStr">
        <is>
          <t>Föryngringsavverkning</t>
        </is>
      </c>
      <c r="D5400" s="1" t="n">
        <v>46051</v>
      </c>
      <c r="E5400" s="1" t="n">
        <v>46319</v>
      </c>
      <c r="F5400" t="inlineStr">
        <is>
          <t>DALARNAS LÄN</t>
        </is>
      </c>
      <c r="G5400" t="inlineStr">
        <is>
          <t>FALUN</t>
        </is>
      </c>
      <c r="I5400" t="n">
        <v>9</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39778-2026</t>
        </is>
      </c>
      <c r="B5401" t="inlineStr">
        <is>
          <t>avverkningsanmälan</t>
        </is>
      </c>
      <c r="C5401" t="inlineStr">
        <is>
          <t>Föryngringsavverkning</t>
        </is>
      </c>
      <c r="D5401" s="1" t="n">
        <v>46290</v>
      </c>
      <c r="E5401" s="1" t="n">
        <v>46319</v>
      </c>
      <c r="F5401" t="inlineStr">
        <is>
          <t>DALARNAS LÄN</t>
        </is>
      </c>
      <c r="G5401" t="inlineStr">
        <is>
          <t>FALUN</t>
        </is>
      </c>
      <c r="H5401" t="inlineStr">
        <is>
          <t>Bergvik skog väst AB</t>
        </is>
      </c>
      <c r="I5401" t="n">
        <v>2.5</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6076-2026</t>
        </is>
      </c>
      <c r="B5402" t="inlineStr">
        <is>
          <t>avverkningsanmälan</t>
        </is>
      </c>
      <c r="C5402" t="inlineStr">
        <is>
          <t>Föryngringsavverkning</t>
        </is>
      </c>
      <c r="D5402" s="1" t="n">
        <v>46052</v>
      </c>
      <c r="E5402" s="1" t="n">
        <v>46319</v>
      </c>
      <c r="F5402" t="inlineStr">
        <is>
          <t>DALARNAS LÄN</t>
        </is>
      </c>
      <c r="G5402" t="inlineStr">
        <is>
          <t>VANSBRO</t>
        </is>
      </c>
      <c r="I5402" t="n">
        <v>8.5</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33299-2026</t>
        </is>
      </c>
      <c r="B5403" t="inlineStr">
        <is>
          <t>avverkningsanmälan</t>
        </is>
      </c>
      <c r="C5403" t="inlineStr">
        <is>
          <t>Föryngringsavverkning</t>
        </is>
      </c>
      <c r="D5403" s="1" t="n">
        <v>46246</v>
      </c>
      <c r="E5403" s="1" t="n">
        <v>46319</v>
      </c>
      <c r="F5403" t="inlineStr">
        <is>
          <t>DALARNAS LÄN</t>
        </is>
      </c>
      <c r="G5403" t="inlineStr">
        <is>
          <t>FALUN</t>
        </is>
      </c>
      <c r="H5403" t="inlineStr">
        <is>
          <t>Bergvik skog väst AB</t>
        </is>
      </c>
      <c r="I5403" t="n">
        <v>2.4</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5747-2026</t>
        </is>
      </c>
      <c r="B5404" t="inlineStr">
        <is>
          <t>avverkningsanmälan</t>
        </is>
      </c>
      <c r="C5404" t="inlineStr">
        <is>
          <t>Föryngringsavverkning</t>
        </is>
      </c>
      <c r="D5404" s="1" t="n">
        <v>46051</v>
      </c>
      <c r="E5404" s="1" t="n">
        <v>46319</v>
      </c>
      <c r="F5404" t="inlineStr">
        <is>
          <t>DALARNAS LÄN</t>
        </is>
      </c>
      <c r="G5404" t="inlineStr">
        <is>
          <t>VANSBRO</t>
        </is>
      </c>
      <c r="H5404" t="inlineStr">
        <is>
          <t>Bergvik skog väst AB</t>
        </is>
      </c>
      <c r="I5404" t="n">
        <v>1</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5913-2026</t>
        </is>
      </c>
      <c r="B5405" t="inlineStr">
        <is>
          <t>avverkningsanmälan</t>
        </is>
      </c>
      <c r="C5405" t="inlineStr">
        <is>
          <t>Föryngringsavverkning</t>
        </is>
      </c>
      <c r="D5405" s="1" t="n">
        <v>46052</v>
      </c>
      <c r="E5405" s="1" t="n">
        <v>46319</v>
      </c>
      <c r="F5405" t="inlineStr">
        <is>
          <t>DALARNAS LÄN</t>
        </is>
      </c>
      <c r="G5405" t="inlineStr">
        <is>
          <t>FALUN</t>
        </is>
      </c>
      <c r="I5405" t="n">
        <v>1.5</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40409-2024</t>
        </is>
      </c>
      <c r="B5406" t="inlineStr">
        <is>
          <t>avverkningsanmälan</t>
        </is>
      </c>
      <c r="C5406" t="inlineStr">
        <is>
          <t>Föryngringsavverkning</t>
        </is>
      </c>
      <c r="D5406" s="1" t="n">
        <v>45555</v>
      </c>
      <c r="E5406" s="1" t="n">
        <v>46319</v>
      </c>
      <c r="F5406" t="inlineStr">
        <is>
          <t>DALARNAS LÄN</t>
        </is>
      </c>
      <c r="G5406" t="inlineStr">
        <is>
          <t>RÄTTVIK</t>
        </is>
      </c>
      <c r="I5406" t="n">
        <v>2.1</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39679-2026</t>
        </is>
      </c>
      <c r="B5407" t="inlineStr">
        <is>
          <t>avverkningsanmälan</t>
        </is>
      </c>
      <c r="C5407" t="inlineStr">
        <is>
          <t>Föryngringsavverkning</t>
        </is>
      </c>
      <c r="D5407" s="1" t="n">
        <v>46289</v>
      </c>
      <c r="E5407" s="1" t="n">
        <v>46319</v>
      </c>
      <c r="F5407" t="inlineStr">
        <is>
          <t>DALARNAS LÄN</t>
        </is>
      </c>
      <c r="G5407" t="inlineStr">
        <is>
          <t>ORSA</t>
        </is>
      </c>
      <c r="I5407" t="n">
        <v>3.5</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25567-2025</t>
        </is>
      </c>
      <c r="B5408" t="inlineStr">
        <is>
          <t>avverkningsanmälan</t>
        </is>
      </c>
      <c r="C5408" t="inlineStr">
        <is>
          <t>Föryngringsavverkning</t>
        </is>
      </c>
      <c r="D5408" s="1" t="n">
        <v>45803</v>
      </c>
      <c r="E5408" s="1" t="n">
        <v>46319</v>
      </c>
      <c r="F5408" t="inlineStr">
        <is>
          <t>DALARNAS LÄN</t>
        </is>
      </c>
      <c r="G5408" t="inlineStr">
        <is>
          <t>RÄTTVIK</t>
        </is>
      </c>
      <c r="H5408" t="inlineStr">
        <is>
          <t>Sveaskog</t>
        </is>
      </c>
      <c r="I5408" t="n">
        <v>3.5</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15343-2026</t>
        </is>
      </c>
      <c r="B5409" t="inlineStr">
        <is>
          <t>avverkningsanmälan</t>
        </is>
      </c>
      <c r="C5409" t="inlineStr">
        <is>
          <t>Föryngringsavverkning</t>
        </is>
      </c>
      <c r="D5409" s="1" t="n">
        <v>46105</v>
      </c>
      <c r="E5409" s="1" t="n">
        <v>46319</v>
      </c>
      <c r="F5409" t="inlineStr">
        <is>
          <t>DALARNAS LÄN</t>
        </is>
      </c>
      <c r="G5409" t="inlineStr">
        <is>
          <t>MORA</t>
        </is>
      </c>
      <c r="I5409" t="n">
        <v>1.7</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5619-2026</t>
        </is>
      </c>
      <c r="B5410" t="inlineStr">
        <is>
          <t>avverkningsanmälan</t>
        </is>
      </c>
      <c r="C5410" t="inlineStr">
        <is>
          <t>Föryngringsavverkning</t>
        </is>
      </c>
      <c r="D5410" s="1" t="n">
        <v>46051</v>
      </c>
      <c r="E5410" s="1" t="n">
        <v>46319</v>
      </c>
      <c r="F5410" t="inlineStr">
        <is>
          <t>DALARNAS LÄN</t>
        </is>
      </c>
      <c r="G5410" t="inlineStr">
        <is>
          <t>HEDEMORA</t>
        </is>
      </c>
      <c r="I5410" t="n">
        <v>8</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6022-2026</t>
        </is>
      </c>
      <c r="B5411" t="inlineStr">
        <is>
          <t>avverkningsanmälan</t>
        </is>
      </c>
      <c r="C5411" t="inlineStr">
        <is>
          <t>Föryngringsavverkning</t>
        </is>
      </c>
      <c r="D5411" s="1" t="n">
        <v>46052</v>
      </c>
      <c r="E5411" s="1" t="n">
        <v>46319</v>
      </c>
      <c r="F5411" t="inlineStr">
        <is>
          <t>DALARNAS LÄN</t>
        </is>
      </c>
      <c r="G5411" t="inlineStr">
        <is>
          <t>FALUN</t>
        </is>
      </c>
      <c r="I5411" t="n">
        <v>0.6</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50037-2022</t>
        </is>
      </c>
      <c r="B5412" t="inlineStr">
        <is>
          <t>avverkningsanmälan</t>
        </is>
      </c>
      <c r="C5412" t="inlineStr">
        <is>
          <t>Föryngringsavverkning</t>
        </is>
      </c>
      <c r="D5412" s="1" t="n">
        <v>44865</v>
      </c>
      <c r="E5412" s="1" t="n">
        <v>46319</v>
      </c>
      <c r="F5412" t="inlineStr">
        <is>
          <t>DALARNAS LÄN</t>
        </is>
      </c>
      <c r="G5412" t="inlineStr">
        <is>
          <t>ÄLVDALEN</t>
        </is>
      </c>
      <c r="H5412" t="inlineStr">
        <is>
          <t>Allmännings- och besparingsskogar</t>
        </is>
      </c>
      <c r="I5412" t="n">
        <v>5.8</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25932-2025</t>
        </is>
      </c>
      <c r="B5413" t="inlineStr">
        <is>
          <t>avverkningsanmälan</t>
        </is>
      </c>
      <c r="C5413" t="inlineStr">
        <is>
          <t>Föryngringsavverkning</t>
        </is>
      </c>
      <c r="D5413" s="1" t="n">
        <v>45804</v>
      </c>
      <c r="E5413" s="1" t="n">
        <v>46319</v>
      </c>
      <c r="F5413" t="inlineStr">
        <is>
          <t>DALARNAS LÄN</t>
        </is>
      </c>
      <c r="G5413" t="inlineStr">
        <is>
          <t>BORLÄNGE</t>
        </is>
      </c>
      <c r="I5413" t="n">
        <v>3.6</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26000-2025</t>
        </is>
      </c>
      <c r="B5414" t="inlineStr">
        <is>
          <t>avverkningsanmälan</t>
        </is>
      </c>
      <c r="C5414" t="inlineStr">
        <is>
          <t>Föryngringsavverkning</t>
        </is>
      </c>
      <c r="D5414" s="1" t="n">
        <v>45804</v>
      </c>
      <c r="E5414" s="1" t="n">
        <v>46319</v>
      </c>
      <c r="F5414" t="inlineStr">
        <is>
          <t>DALARNAS LÄN</t>
        </is>
      </c>
      <c r="G5414" t="inlineStr">
        <is>
          <t>SMEDJEBACKEN</t>
        </is>
      </c>
      <c r="H5414" t="inlineStr">
        <is>
          <t>Bergvik skog väst AB</t>
        </is>
      </c>
      <c r="I5414" t="n">
        <v>2.4</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5902-2026</t>
        </is>
      </c>
      <c r="B5415" t="inlineStr">
        <is>
          <t>avverkningsanmälan</t>
        </is>
      </c>
      <c r="C5415" t="inlineStr">
        <is>
          <t>Föryngringsavverkning</t>
        </is>
      </c>
      <c r="D5415" s="1" t="n">
        <v>46052</v>
      </c>
      <c r="E5415" s="1" t="n">
        <v>46319</v>
      </c>
      <c r="F5415" t="inlineStr">
        <is>
          <t>DALARNAS LÄN</t>
        </is>
      </c>
      <c r="G5415" t="inlineStr">
        <is>
          <t>FALUN</t>
        </is>
      </c>
      <c r="I5415" t="n">
        <v>18.9</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69058-2021</t>
        </is>
      </c>
      <c r="B5416" t="inlineStr">
        <is>
          <t>avverkningsanmälan</t>
        </is>
      </c>
      <c r="C5416" t="inlineStr">
        <is>
          <t>Föryngringsavverkning</t>
        </is>
      </c>
      <c r="D5416" s="1" t="n">
        <v>44529</v>
      </c>
      <c r="E5416" s="1" t="n">
        <v>46319</v>
      </c>
      <c r="F5416" t="inlineStr">
        <is>
          <t>DALARNAS LÄN</t>
        </is>
      </c>
      <c r="G5416" t="inlineStr">
        <is>
          <t>RÄTTVIK</t>
        </is>
      </c>
      <c r="I5416" t="n">
        <v>2.2</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25928-2025</t>
        </is>
      </c>
      <c r="B5417" t="inlineStr">
        <is>
          <t>avverkningsanmälan</t>
        </is>
      </c>
      <c r="C5417" t="inlineStr">
        <is>
          <t>Avverkning för annat ändamål</t>
        </is>
      </c>
      <c r="D5417" s="1" t="n">
        <v>45804</v>
      </c>
      <c r="E5417" s="1" t="n">
        <v>46319</v>
      </c>
      <c r="F5417" t="inlineStr">
        <is>
          <t>DALARNAS LÄN</t>
        </is>
      </c>
      <c r="G5417" t="inlineStr">
        <is>
          <t>MALUNG-SÄLEN</t>
        </is>
      </c>
      <c r="I5417" t="n">
        <v>2.1</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34282-2024</t>
        </is>
      </c>
      <c r="B5418" t="inlineStr">
        <is>
          <t>avverkningsanmälan</t>
        </is>
      </c>
      <c r="C5418" t="inlineStr">
        <is>
          <t>Föryngringsavverkning</t>
        </is>
      </c>
      <c r="D5418" s="1" t="n">
        <v>45524</v>
      </c>
      <c r="E5418" s="1" t="n">
        <v>46319</v>
      </c>
      <c r="F5418" t="inlineStr">
        <is>
          <t>DALARNAS LÄN</t>
        </is>
      </c>
      <c r="G5418" t="inlineStr">
        <is>
          <t>MORA</t>
        </is>
      </c>
      <c r="I5418" t="n">
        <v>0.5</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18817-2023</t>
        </is>
      </c>
      <c r="B5419" t="inlineStr">
        <is>
          <t>avverkningsanmälan</t>
        </is>
      </c>
      <c r="C5419" t="inlineStr">
        <is>
          <t>Föryngringsavverkning</t>
        </is>
      </c>
      <c r="D5419" s="1" t="n">
        <v>45043</v>
      </c>
      <c r="E5419" s="1" t="n">
        <v>46319</v>
      </c>
      <c r="F5419" t="inlineStr">
        <is>
          <t>DALARNAS LÄN</t>
        </is>
      </c>
      <c r="G5419" t="inlineStr">
        <is>
          <t>ORSA</t>
        </is>
      </c>
      <c r="I5419" t="n">
        <v>4.4</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5617-2026</t>
        </is>
      </c>
      <c r="B5420" t="inlineStr">
        <is>
          <t>avverkningsanmälan</t>
        </is>
      </c>
      <c r="C5420" t="inlineStr">
        <is>
          <t>Föryngringsavverkning</t>
        </is>
      </c>
      <c r="D5420" s="1" t="n">
        <v>46051</v>
      </c>
      <c r="E5420" s="1" t="n">
        <v>46319</v>
      </c>
      <c r="F5420" t="inlineStr">
        <is>
          <t>DALARNAS LÄN</t>
        </is>
      </c>
      <c r="G5420" t="inlineStr">
        <is>
          <t>HEDEMORA</t>
        </is>
      </c>
      <c r="I5420" t="n">
        <v>4.3</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25658-2025</t>
        </is>
      </c>
      <c r="B5421" t="inlineStr">
        <is>
          <t>avverkningsanmälan</t>
        </is>
      </c>
      <c r="C5421" t="inlineStr">
        <is>
          <t>Föryngringsavverkning</t>
        </is>
      </c>
      <c r="D5421" s="1" t="n">
        <v>45803</v>
      </c>
      <c r="E5421" s="1" t="n">
        <v>46319</v>
      </c>
      <c r="F5421" t="inlineStr">
        <is>
          <t>DALARNAS LÄN</t>
        </is>
      </c>
      <c r="G5421" t="inlineStr">
        <is>
          <t>AVESTA</t>
        </is>
      </c>
      <c r="I5421" t="n">
        <v>0.7</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61657-2023</t>
        </is>
      </c>
      <c r="B5422" t="inlineStr">
        <is>
          <t>avverkningsanmälan</t>
        </is>
      </c>
      <c r="C5422" t="inlineStr">
        <is>
          <t>Föryngringsavverkning</t>
        </is>
      </c>
      <c r="D5422" s="1" t="n">
        <v>45265</v>
      </c>
      <c r="E5422" s="1" t="n">
        <v>46319</v>
      </c>
      <c r="F5422" t="inlineStr">
        <is>
          <t>DALARNAS LÄN</t>
        </is>
      </c>
      <c r="G5422" t="inlineStr">
        <is>
          <t>AVESTA</t>
        </is>
      </c>
      <c r="I5422" t="n">
        <v>7.6</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114-2024</t>
        </is>
      </c>
      <c r="B5423" t="inlineStr">
        <is>
          <t>avverkningsanmälan</t>
        </is>
      </c>
      <c r="C5423" t="inlineStr">
        <is>
          <t>Föryngringsavverkning</t>
        </is>
      </c>
      <c r="D5423" s="1" t="n">
        <v>45294</v>
      </c>
      <c r="E5423" s="1" t="n">
        <v>46319</v>
      </c>
      <c r="F5423" t="inlineStr">
        <is>
          <t>DALARNAS LÄN</t>
        </is>
      </c>
      <c r="G5423" t="inlineStr">
        <is>
          <t>MALUNG-SÄLEN</t>
        </is>
      </c>
      <c r="I5423" t="n">
        <v>1.4</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5691-2026</t>
        </is>
      </c>
      <c r="B5424" t="inlineStr">
        <is>
          <t>avverkningsanmälan</t>
        </is>
      </c>
      <c r="C5424" t="inlineStr">
        <is>
          <t>Föryngringsavverkning</t>
        </is>
      </c>
      <c r="D5424" s="1" t="n">
        <v>46051</v>
      </c>
      <c r="E5424" s="1" t="n">
        <v>46319</v>
      </c>
      <c r="F5424" t="inlineStr">
        <is>
          <t>DALARNAS LÄN</t>
        </is>
      </c>
      <c r="G5424" t="inlineStr">
        <is>
          <t>LEKSAND</t>
        </is>
      </c>
      <c r="I5424" t="n">
        <v>2.9</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593-2026</t>
        </is>
      </c>
      <c r="B5425" t="inlineStr">
        <is>
          <t>avverkningsanmälan</t>
        </is>
      </c>
      <c r="C5425" t="inlineStr">
        <is>
          <t>Föryngringsavverkning</t>
        </is>
      </c>
      <c r="D5425" s="1" t="n">
        <v>46029</v>
      </c>
      <c r="E5425" s="1" t="n">
        <v>46319</v>
      </c>
      <c r="F5425" t="inlineStr">
        <is>
          <t>DALARNAS LÄN</t>
        </is>
      </c>
      <c r="G5425" t="inlineStr">
        <is>
          <t>LEKSAND</t>
        </is>
      </c>
      <c r="I5425" t="n">
        <v>1.8</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6231-2026</t>
        </is>
      </c>
      <c r="B5426" t="inlineStr">
        <is>
          <t>avverkningsanmälan</t>
        </is>
      </c>
      <c r="C5426" t="inlineStr">
        <is>
          <t>Föryngringsavverkning</t>
        </is>
      </c>
      <c r="D5426" s="1" t="n">
        <v>46055</v>
      </c>
      <c r="E5426" s="1" t="n">
        <v>46319</v>
      </c>
      <c r="F5426" t="inlineStr">
        <is>
          <t>DALARNAS LÄN</t>
        </is>
      </c>
      <c r="G5426" t="inlineStr">
        <is>
          <t>FALUN</t>
        </is>
      </c>
      <c r="I5426" t="n">
        <v>6.1</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15334-2025</t>
        </is>
      </c>
      <c r="B5427" t="inlineStr">
        <is>
          <t>avverkningsanmälan</t>
        </is>
      </c>
      <c r="C5427" t="inlineStr">
        <is>
          <t>Föryngringsavverkning</t>
        </is>
      </c>
      <c r="D5427" s="1" t="n">
        <v>45747</v>
      </c>
      <c r="E5427" s="1" t="n">
        <v>46319</v>
      </c>
      <c r="F5427" t="inlineStr">
        <is>
          <t>DALARNAS LÄN</t>
        </is>
      </c>
      <c r="G5427" t="inlineStr">
        <is>
          <t>MALUNG-SÄLEN</t>
        </is>
      </c>
      <c r="I5427" t="n">
        <v>2.1</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6435-2026</t>
        </is>
      </c>
      <c r="B5428" t="inlineStr">
        <is>
          <t>avverkningsanmälan</t>
        </is>
      </c>
      <c r="C5428" t="inlineStr">
        <is>
          <t>Föryngringsavverkning</t>
        </is>
      </c>
      <c r="D5428" s="1" t="n">
        <v>46055</v>
      </c>
      <c r="E5428" s="1" t="n">
        <v>46319</v>
      </c>
      <c r="F5428" t="inlineStr">
        <is>
          <t>DALARNAS LÄN</t>
        </is>
      </c>
      <c r="G5428" t="inlineStr">
        <is>
          <t>FALUN</t>
        </is>
      </c>
      <c r="I5428" t="n">
        <v>1.2</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6463-2026</t>
        </is>
      </c>
      <c r="B5429" t="inlineStr">
        <is>
          <t>avverkningsanmälan</t>
        </is>
      </c>
      <c r="C5429" t="inlineStr">
        <is>
          <t>Föryngringsavverkning</t>
        </is>
      </c>
      <c r="D5429" s="1" t="n">
        <v>46056</v>
      </c>
      <c r="E5429" s="1" t="n">
        <v>46319</v>
      </c>
      <c r="F5429" t="inlineStr">
        <is>
          <t>DALARNAS LÄN</t>
        </is>
      </c>
      <c r="G5429" t="inlineStr">
        <is>
          <t>LEKSAND</t>
        </is>
      </c>
      <c r="I5429" t="n">
        <v>0.5</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6552-2026</t>
        </is>
      </c>
      <c r="B5430" t="inlineStr">
        <is>
          <t>avverkningsanmälan</t>
        </is>
      </c>
      <c r="C5430" t="inlineStr">
        <is>
          <t>Föryngringsavverkning</t>
        </is>
      </c>
      <c r="D5430" s="1" t="n">
        <v>46056</v>
      </c>
      <c r="E5430" s="1" t="n">
        <v>46319</v>
      </c>
      <c r="F5430" t="inlineStr">
        <is>
          <t>DALARNAS LÄN</t>
        </is>
      </c>
      <c r="G5430" t="inlineStr">
        <is>
          <t>FALUN</t>
        </is>
      </c>
      <c r="I5430" t="n">
        <v>1.4</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26138-2025</t>
        </is>
      </c>
      <c r="B5431" t="inlineStr">
        <is>
          <t>avverkningsanmälan</t>
        </is>
      </c>
      <c r="C5431" t="inlineStr">
        <is>
          <t>Föryngringsavverkning</t>
        </is>
      </c>
      <c r="D5431" s="1" t="n">
        <v>45805</v>
      </c>
      <c r="E5431" s="1" t="n">
        <v>46319</v>
      </c>
      <c r="F5431" t="inlineStr">
        <is>
          <t>DALARNAS LÄN</t>
        </is>
      </c>
      <c r="G5431" t="inlineStr">
        <is>
          <t>MALUNG-SÄLEN</t>
        </is>
      </c>
      <c r="H5431" t="inlineStr">
        <is>
          <t>Bergvik skog öst AB</t>
        </is>
      </c>
      <c r="I5431" t="n">
        <v>5.4</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39789-2026</t>
        </is>
      </c>
      <c r="B5432" t="inlineStr">
        <is>
          <t>avverkningsanmälan</t>
        </is>
      </c>
      <c r="C5432" t="inlineStr">
        <is>
          <t>Föryngringsavverkning</t>
        </is>
      </c>
      <c r="D5432" s="1" t="n">
        <v>46290</v>
      </c>
      <c r="E5432" s="1" t="n">
        <v>46319</v>
      </c>
      <c r="F5432" t="inlineStr">
        <is>
          <t>DALARNAS LÄN</t>
        </is>
      </c>
      <c r="G5432" t="inlineStr">
        <is>
          <t>LUDVIKA</t>
        </is>
      </c>
      <c r="H5432" t="inlineStr">
        <is>
          <t>Naturvårdsverket</t>
        </is>
      </c>
      <c r="I5432" t="n">
        <v>2.1</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26320-2025</t>
        </is>
      </c>
      <c r="B5433" t="inlineStr">
        <is>
          <t>avverkningsanmälan</t>
        </is>
      </c>
      <c r="C5433" t="inlineStr">
        <is>
          <t>Föryngringsavverkning</t>
        </is>
      </c>
      <c r="D5433" s="1" t="n">
        <v>45805</v>
      </c>
      <c r="E5433" s="1" t="n">
        <v>46319</v>
      </c>
      <c r="F5433" t="inlineStr">
        <is>
          <t>DALARNAS LÄN</t>
        </is>
      </c>
      <c r="G5433" t="inlineStr">
        <is>
          <t>LUDVIKA</t>
        </is>
      </c>
      <c r="H5433" t="inlineStr">
        <is>
          <t>Bergvik skog väst AB</t>
        </is>
      </c>
      <c r="I5433" t="n">
        <v>2.9</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26142-2025</t>
        </is>
      </c>
      <c r="B5434" t="inlineStr">
        <is>
          <t>avverkningsanmälan</t>
        </is>
      </c>
      <c r="C5434" t="inlineStr">
        <is>
          <t>Föryngringsavverkning</t>
        </is>
      </c>
      <c r="D5434" s="1" t="n">
        <v>45805</v>
      </c>
      <c r="E5434" s="1" t="n">
        <v>46319</v>
      </c>
      <c r="F5434" t="inlineStr">
        <is>
          <t>DALARNAS LÄN</t>
        </is>
      </c>
      <c r="G5434" t="inlineStr">
        <is>
          <t>MALUNG-SÄLEN</t>
        </is>
      </c>
      <c r="H5434" t="inlineStr">
        <is>
          <t>Bergvik skog öst AB</t>
        </is>
      </c>
      <c r="I5434" t="n">
        <v>14</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39714-2026</t>
        </is>
      </c>
      <c r="B5435" t="inlineStr">
        <is>
          <t>avverkningsanmälan</t>
        </is>
      </c>
      <c r="C5435" t="inlineStr">
        <is>
          <t>Föryngringsavverkning</t>
        </is>
      </c>
      <c r="D5435" s="1" t="n">
        <v>46290</v>
      </c>
      <c r="E5435" s="1" t="n">
        <v>46319</v>
      </c>
      <c r="F5435" t="inlineStr">
        <is>
          <t>DALARNAS LÄN</t>
        </is>
      </c>
      <c r="G5435" t="inlineStr">
        <is>
          <t>SÄTER</t>
        </is>
      </c>
      <c r="H5435" t="inlineStr">
        <is>
          <t>Bergvik skog väst AB</t>
        </is>
      </c>
      <c r="I5435" t="n">
        <v>0.7</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6284-2026</t>
        </is>
      </c>
      <c r="B5436" t="inlineStr">
        <is>
          <t>avverkningsanmälan</t>
        </is>
      </c>
      <c r="C5436" t="inlineStr">
        <is>
          <t>Föryngringsavverkning</t>
        </is>
      </c>
      <c r="D5436" s="1" t="n">
        <v>46055</v>
      </c>
      <c r="E5436" s="1" t="n">
        <v>46319</v>
      </c>
      <c r="F5436" t="inlineStr">
        <is>
          <t>DALARNAS LÄN</t>
        </is>
      </c>
      <c r="G5436" t="inlineStr">
        <is>
          <t>FALUN</t>
        </is>
      </c>
      <c r="I5436" t="n">
        <v>7.5</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128-2024</t>
        </is>
      </c>
      <c r="B5437" t="inlineStr">
        <is>
          <t>avverkningsanmälan</t>
        </is>
      </c>
      <c r="C5437" t="inlineStr">
        <is>
          <t>Föryngringsavverkning</t>
        </is>
      </c>
      <c r="D5437" s="1" t="n">
        <v>45294</v>
      </c>
      <c r="E5437" s="1" t="n">
        <v>46319</v>
      </c>
      <c r="F5437" t="inlineStr">
        <is>
          <t>DALARNAS LÄN</t>
        </is>
      </c>
      <c r="G5437" t="inlineStr">
        <is>
          <t>BORLÄNGE</t>
        </is>
      </c>
      <c r="I5437" t="n">
        <v>1.5</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39761-2026</t>
        </is>
      </c>
      <c r="B5438" t="inlineStr">
        <is>
          <t>avverkningsanmälan</t>
        </is>
      </c>
      <c r="C5438" t="inlineStr">
        <is>
          <t>Föryngringsavverkning</t>
        </is>
      </c>
      <c r="D5438" s="1" t="n">
        <v>46290</v>
      </c>
      <c r="E5438" s="1" t="n">
        <v>46319</v>
      </c>
      <c r="F5438" t="inlineStr">
        <is>
          <t>DALARNAS LÄN</t>
        </is>
      </c>
      <c r="G5438" t="inlineStr">
        <is>
          <t>MORA</t>
        </is>
      </c>
      <c r="I5438" t="n">
        <v>4.2</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39544-2026</t>
        </is>
      </c>
      <c r="B5439" t="inlineStr">
        <is>
          <t>avverkningsanmälan</t>
        </is>
      </c>
      <c r="C5439" t="inlineStr">
        <is>
          <t>Föryngringsavverkning</t>
        </is>
      </c>
      <c r="D5439" s="1" t="n">
        <v>46289</v>
      </c>
      <c r="E5439" s="1" t="n">
        <v>46319</v>
      </c>
      <c r="F5439" t="inlineStr">
        <is>
          <t>DALARNAS LÄN</t>
        </is>
      </c>
      <c r="G5439" t="inlineStr">
        <is>
          <t>FALUN</t>
        </is>
      </c>
      <c r="H5439" t="inlineStr">
        <is>
          <t>Bergvik skog väst AB</t>
        </is>
      </c>
      <c r="I5439" t="n">
        <v>3.1</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6329-2026</t>
        </is>
      </c>
      <c r="B5440" t="inlineStr">
        <is>
          <t>avverkningsanmälan</t>
        </is>
      </c>
      <c r="C5440" t="inlineStr">
        <is>
          <t>Föryngringsavverkning</t>
        </is>
      </c>
      <c r="D5440" s="1" t="n">
        <v>46055</v>
      </c>
      <c r="E5440" s="1" t="n">
        <v>46319</v>
      </c>
      <c r="F5440" t="inlineStr">
        <is>
          <t>DALARNAS LÄN</t>
        </is>
      </c>
      <c r="G5440" t="inlineStr">
        <is>
          <t>AVESTA</t>
        </is>
      </c>
      <c r="I5440" t="n">
        <v>0.6</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6163-2026</t>
        </is>
      </c>
      <c r="B5441" t="inlineStr">
        <is>
          <t>avverkningsanmälan</t>
        </is>
      </c>
      <c r="C5441" t="inlineStr">
        <is>
          <t>Föryngringsavverkning</t>
        </is>
      </c>
      <c r="D5441" s="1" t="n">
        <v>46055</v>
      </c>
      <c r="E5441" s="1" t="n">
        <v>46319</v>
      </c>
      <c r="F5441" t="inlineStr">
        <is>
          <t>DALARNAS LÄN</t>
        </is>
      </c>
      <c r="G5441" t="inlineStr">
        <is>
          <t>MALUNG-SÄLEN</t>
        </is>
      </c>
      <c r="H5441" t="inlineStr">
        <is>
          <t>Kommuner</t>
        </is>
      </c>
      <c r="I5441" t="n">
        <v>2.2</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10364-2025</t>
        </is>
      </c>
      <c r="B5442" t="inlineStr">
        <is>
          <t>avverkningsanmälan</t>
        </is>
      </c>
      <c r="C5442" t="inlineStr">
        <is>
          <t>Föryngringsavverkning</t>
        </is>
      </c>
      <c r="D5442" s="1" t="n">
        <v>45720</v>
      </c>
      <c r="E5442" s="1" t="n">
        <v>46319</v>
      </c>
      <c r="F5442" t="inlineStr">
        <is>
          <t>DALARNAS LÄN</t>
        </is>
      </c>
      <c r="G5442" t="inlineStr">
        <is>
          <t>MALUNG-SÄLEN</t>
        </is>
      </c>
      <c r="I5442" t="n">
        <v>17.1</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55229-2025</t>
        </is>
      </c>
      <c r="B5443" t="inlineStr">
        <is>
          <t>avverkningsanmälan</t>
        </is>
      </c>
      <c r="C5443" t="inlineStr">
        <is>
          <t>Föryngringsavverkning</t>
        </is>
      </c>
      <c r="D5443" s="1" t="n">
        <v>45968</v>
      </c>
      <c r="E5443" s="1" t="n">
        <v>46319</v>
      </c>
      <c r="F5443" t="inlineStr">
        <is>
          <t>DALARNAS LÄN</t>
        </is>
      </c>
      <c r="G5443" t="inlineStr">
        <is>
          <t>SMEDJEBACKEN</t>
        </is>
      </c>
      <c r="H5443" t="inlineStr">
        <is>
          <t>Kyrkan</t>
        </is>
      </c>
      <c r="I5443" t="n">
        <v>3.6</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6229-2026</t>
        </is>
      </c>
      <c r="B5444" t="inlineStr">
        <is>
          <t>avverkningsanmälan</t>
        </is>
      </c>
      <c r="C5444" t="inlineStr">
        <is>
          <t>Föryngringsavverkning</t>
        </is>
      </c>
      <c r="D5444" s="1" t="n">
        <v>46055</v>
      </c>
      <c r="E5444" s="1" t="n">
        <v>46319</v>
      </c>
      <c r="F5444" t="inlineStr">
        <is>
          <t>DALARNAS LÄN</t>
        </is>
      </c>
      <c r="G5444" t="inlineStr">
        <is>
          <t>FALUN</t>
        </is>
      </c>
      <c r="I5444" t="n">
        <v>1.6</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6515-2026</t>
        </is>
      </c>
      <c r="B5445" t="inlineStr">
        <is>
          <t>avverkningsanmälan</t>
        </is>
      </c>
      <c r="C5445" t="inlineStr">
        <is>
          <t>Föryngringsavverkning</t>
        </is>
      </c>
      <c r="D5445" s="1" t="n">
        <v>46056</v>
      </c>
      <c r="E5445" s="1" t="n">
        <v>46319</v>
      </c>
      <c r="F5445" t="inlineStr">
        <is>
          <t>DALARNAS LÄN</t>
        </is>
      </c>
      <c r="G5445" t="inlineStr">
        <is>
          <t>FALUN</t>
        </is>
      </c>
      <c r="I5445" t="n">
        <v>27.4</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6568-2026</t>
        </is>
      </c>
      <c r="B5446" t="inlineStr">
        <is>
          <t>avverkningsanmälan</t>
        </is>
      </c>
      <c r="C5446" t="inlineStr">
        <is>
          <t>Föryngringsavverkning</t>
        </is>
      </c>
      <c r="D5446" s="1" t="n">
        <v>46056</v>
      </c>
      <c r="E5446" s="1" t="n">
        <v>46319</v>
      </c>
      <c r="F5446" t="inlineStr">
        <is>
          <t>DALARNAS LÄN</t>
        </is>
      </c>
      <c r="G5446" t="inlineStr">
        <is>
          <t>FALUN</t>
        </is>
      </c>
      <c r="I5446" t="n">
        <v>6.2</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6604-2026</t>
        </is>
      </c>
      <c r="B5447" t="inlineStr">
        <is>
          <t>avverkningsanmälan</t>
        </is>
      </c>
      <c r="C5447" t="inlineStr">
        <is>
          <t>Föryngringsavverkning</t>
        </is>
      </c>
      <c r="D5447" s="1" t="n">
        <v>46056</v>
      </c>
      <c r="E5447" s="1" t="n">
        <v>46319</v>
      </c>
      <c r="F5447" t="inlineStr">
        <is>
          <t>DALARNAS LÄN</t>
        </is>
      </c>
      <c r="G5447" t="inlineStr">
        <is>
          <t>FALUN</t>
        </is>
      </c>
      <c r="I5447" t="n">
        <v>3.5</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39745-2026</t>
        </is>
      </c>
      <c r="B5448" t="inlineStr">
        <is>
          <t>avverkningsanmälan</t>
        </is>
      </c>
      <c r="C5448" t="inlineStr">
        <is>
          <t>Föryngringsavverkning</t>
        </is>
      </c>
      <c r="D5448" s="1" t="n">
        <v>46290</v>
      </c>
      <c r="E5448" s="1" t="n">
        <v>46319</v>
      </c>
      <c r="F5448" t="inlineStr">
        <is>
          <t>DALARNAS LÄN</t>
        </is>
      </c>
      <c r="G5448" t="inlineStr">
        <is>
          <t>SMEDJEBACKEN</t>
        </is>
      </c>
      <c r="H5448" t="inlineStr">
        <is>
          <t>Sveaskog</t>
        </is>
      </c>
      <c r="I5448" t="n">
        <v>1.6</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6736-2026</t>
        </is>
      </c>
      <c r="B5449" t="inlineStr">
        <is>
          <t>avverkningsanmälan</t>
        </is>
      </c>
      <c r="C5449" t="inlineStr">
        <is>
          <t>Föryngringsavverkning</t>
        </is>
      </c>
      <c r="D5449" s="1" t="n">
        <v>46056</v>
      </c>
      <c r="E5449" s="1" t="n">
        <v>46319</v>
      </c>
      <c r="F5449" t="inlineStr">
        <is>
          <t>DALARNAS LÄN</t>
        </is>
      </c>
      <c r="G5449" t="inlineStr">
        <is>
          <t>FALUN</t>
        </is>
      </c>
      <c r="I5449" t="n">
        <v>0.5</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33351-2026</t>
        </is>
      </c>
      <c r="B5450" t="inlineStr">
        <is>
          <t>avverkningsanmälan</t>
        </is>
      </c>
      <c r="C5450" t="inlineStr">
        <is>
          <t>Föryngringsavverkning</t>
        </is>
      </c>
      <c r="D5450" s="1" t="n">
        <v>46246</v>
      </c>
      <c r="E5450" s="1" t="n">
        <v>46319</v>
      </c>
      <c r="F5450" t="inlineStr">
        <is>
          <t>DALARNAS LÄN</t>
        </is>
      </c>
      <c r="G5450" t="inlineStr">
        <is>
          <t>ÄLVDALEN</t>
        </is>
      </c>
      <c r="I5450" t="n">
        <v>42.1</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6213-2026</t>
        </is>
      </c>
      <c r="B5451" t="inlineStr">
        <is>
          <t>avverkningsanmälan</t>
        </is>
      </c>
      <c r="C5451" t="inlineStr">
        <is>
          <t>Föryngringsavverkning</t>
        </is>
      </c>
      <c r="D5451" s="1" t="n">
        <v>46055</v>
      </c>
      <c r="E5451" s="1" t="n">
        <v>46319</v>
      </c>
      <c r="F5451" t="inlineStr">
        <is>
          <t>DALARNAS LÄN</t>
        </is>
      </c>
      <c r="G5451" t="inlineStr">
        <is>
          <t>FALUN</t>
        </is>
      </c>
      <c r="I5451" t="n">
        <v>0.5</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6331-2026</t>
        </is>
      </c>
      <c r="B5452" t="inlineStr">
        <is>
          <t>avverkningsanmälan</t>
        </is>
      </c>
      <c r="C5452" t="inlineStr">
        <is>
          <t>Föryngringsavverkning</t>
        </is>
      </c>
      <c r="D5452" s="1" t="n">
        <v>46055</v>
      </c>
      <c r="E5452" s="1" t="n">
        <v>46319</v>
      </c>
      <c r="F5452" t="inlineStr">
        <is>
          <t>DALARNAS LÄN</t>
        </is>
      </c>
      <c r="G5452" t="inlineStr">
        <is>
          <t>BORLÄNGE</t>
        </is>
      </c>
      <c r="I5452" t="n">
        <v>4.9</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39656-2026</t>
        </is>
      </c>
      <c r="B5453" t="inlineStr">
        <is>
          <t>avverkningsanmälan</t>
        </is>
      </c>
      <c r="C5453" t="inlineStr">
        <is>
          <t>Föryngringsavverkning</t>
        </is>
      </c>
      <c r="D5453" s="1" t="n">
        <v>46289</v>
      </c>
      <c r="E5453" s="1" t="n">
        <v>46319</v>
      </c>
      <c r="F5453" t="inlineStr">
        <is>
          <t>DALARNAS LÄN</t>
        </is>
      </c>
      <c r="G5453" t="inlineStr">
        <is>
          <t>RÄTTVIK</t>
        </is>
      </c>
      <c r="H5453" t="inlineStr">
        <is>
          <t>Sveaskog</t>
        </is>
      </c>
      <c r="I5453" t="n">
        <v>3.8</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6303-2026</t>
        </is>
      </c>
      <c r="B5454" t="inlineStr">
        <is>
          <t>avverkningsanmälan</t>
        </is>
      </c>
      <c r="C5454" t="inlineStr">
        <is>
          <t>Föryngringsavverkning</t>
        </is>
      </c>
      <c r="D5454" s="1" t="n">
        <v>46055</v>
      </c>
      <c r="E5454" s="1" t="n">
        <v>46319</v>
      </c>
      <c r="F5454" t="inlineStr">
        <is>
          <t>DALARNAS LÄN</t>
        </is>
      </c>
      <c r="G5454" t="inlineStr">
        <is>
          <t>GAGNEF</t>
        </is>
      </c>
      <c r="I5454" t="n">
        <v>1.1</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26057-2025</t>
        </is>
      </c>
      <c r="B5455" t="inlineStr">
        <is>
          <t>avverkningsanmälan</t>
        </is>
      </c>
      <c r="C5455" t="inlineStr">
        <is>
          <t>Föryngringsavverkning</t>
        </is>
      </c>
      <c r="D5455" s="1" t="n">
        <v>45804</v>
      </c>
      <c r="E5455" s="1" t="n">
        <v>46319</v>
      </c>
      <c r="F5455" t="inlineStr">
        <is>
          <t>DALARNAS LÄN</t>
        </is>
      </c>
      <c r="G5455" t="inlineStr">
        <is>
          <t>SÄTER</t>
        </is>
      </c>
      <c r="I5455" t="n">
        <v>0.7</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33235-2026</t>
        </is>
      </c>
      <c r="B5456" t="inlineStr">
        <is>
          <t>avverkningsanmälan</t>
        </is>
      </c>
      <c r="C5456" t="inlineStr">
        <is>
          <t>Föryngringsavverkning</t>
        </is>
      </c>
      <c r="D5456" s="1" t="n">
        <v>46246</v>
      </c>
      <c r="E5456" s="1" t="n">
        <v>46319</v>
      </c>
      <c r="F5456" t="inlineStr">
        <is>
          <t>DALARNAS LÄN</t>
        </is>
      </c>
      <c r="G5456" t="inlineStr">
        <is>
          <t>MALUNG-SÄLEN</t>
        </is>
      </c>
      <c r="I5456" t="n">
        <v>9.300000000000001</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6703-2026</t>
        </is>
      </c>
      <c r="B5457" t="inlineStr">
        <is>
          <t>avverkningsanmälan</t>
        </is>
      </c>
      <c r="C5457" t="inlineStr">
        <is>
          <t>Föryngringsavverkning</t>
        </is>
      </c>
      <c r="D5457" s="1" t="n">
        <v>46056</v>
      </c>
      <c r="E5457" s="1" t="n">
        <v>46319</v>
      </c>
      <c r="F5457" t="inlineStr">
        <is>
          <t>DALARNAS LÄN</t>
        </is>
      </c>
      <c r="G5457" t="inlineStr">
        <is>
          <t>FALUN</t>
        </is>
      </c>
      <c r="H5457" t="inlineStr">
        <is>
          <t>Bergvik skog väst AB</t>
        </is>
      </c>
      <c r="I5457" t="n">
        <v>1.8</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6757-2026</t>
        </is>
      </c>
      <c r="B5458" t="inlineStr">
        <is>
          <t>avverkningsanmälan</t>
        </is>
      </c>
      <c r="C5458" t="inlineStr">
        <is>
          <t>Föryngringsavverkning</t>
        </is>
      </c>
      <c r="D5458" s="1" t="n">
        <v>46056</v>
      </c>
      <c r="E5458" s="1" t="n">
        <v>46319</v>
      </c>
      <c r="F5458" t="inlineStr">
        <is>
          <t>DALARNAS LÄN</t>
        </is>
      </c>
      <c r="G5458" t="inlineStr">
        <is>
          <t>ORSA</t>
        </is>
      </c>
      <c r="I5458" t="n">
        <v>5.5</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6573-2026</t>
        </is>
      </c>
      <c r="B5459" t="inlineStr">
        <is>
          <t>avverkningsanmälan</t>
        </is>
      </c>
      <c r="C5459" t="inlineStr">
        <is>
          <t>Föryngringsavverkning</t>
        </is>
      </c>
      <c r="D5459" s="1" t="n">
        <v>46056</v>
      </c>
      <c r="E5459" s="1" t="n">
        <v>46319</v>
      </c>
      <c r="F5459" t="inlineStr">
        <is>
          <t>DALARNAS LÄN</t>
        </is>
      </c>
      <c r="G5459" t="inlineStr">
        <is>
          <t>FALUN</t>
        </is>
      </c>
      <c r="I5459" t="n">
        <v>2.4</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15207-2025</t>
        </is>
      </c>
      <c r="B5460" t="inlineStr">
        <is>
          <t>avverkningsanmälan</t>
        </is>
      </c>
      <c r="C5460" t="inlineStr">
        <is>
          <t>Föryngringsavverkning</t>
        </is>
      </c>
      <c r="D5460" s="1" t="n">
        <v>45744</v>
      </c>
      <c r="E5460" s="1" t="n">
        <v>46319</v>
      </c>
      <c r="F5460" t="inlineStr">
        <is>
          <t>DALARNAS LÄN</t>
        </is>
      </c>
      <c r="G5460" t="inlineStr">
        <is>
          <t>FALUN</t>
        </is>
      </c>
      <c r="I5460" t="n">
        <v>1.8</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2546-2025</t>
        </is>
      </c>
      <c r="B5461" t="inlineStr">
        <is>
          <t>avverkningsanmälan</t>
        </is>
      </c>
      <c r="C5461" t="inlineStr">
        <is>
          <t>Föryngringsavverkning</t>
        </is>
      </c>
      <c r="D5461" s="1" t="n">
        <v>45674</v>
      </c>
      <c r="E5461" s="1" t="n">
        <v>46319</v>
      </c>
      <c r="F5461" t="inlineStr">
        <is>
          <t>DALARNAS LÄN</t>
        </is>
      </c>
      <c r="G5461" t="inlineStr">
        <is>
          <t>ÄLVDALEN</t>
        </is>
      </c>
      <c r="I5461" t="n">
        <v>2</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26647-2025</t>
        </is>
      </c>
      <c r="B5462" t="inlineStr">
        <is>
          <t>avverkningsanmälan</t>
        </is>
      </c>
      <c r="C5462" t="inlineStr">
        <is>
          <t>Föryngringsavverkning</t>
        </is>
      </c>
      <c r="D5462" s="1" t="n">
        <v>45810</v>
      </c>
      <c r="E5462" s="1" t="n">
        <v>46319</v>
      </c>
      <c r="F5462" t="inlineStr">
        <is>
          <t>DALARNAS LÄN</t>
        </is>
      </c>
      <c r="G5462" t="inlineStr">
        <is>
          <t>MORA</t>
        </is>
      </c>
      <c r="I5462" t="n">
        <v>7.9</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6674-2026</t>
        </is>
      </c>
      <c r="B5463" t="inlineStr">
        <is>
          <t>avverkningsanmälan</t>
        </is>
      </c>
      <c r="C5463" t="inlineStr">
        <is>
          <t>Föryngringsavverkning</t>
        </is>
      </c>
      <c r="D5463" s="1" t="n">
        <v>46056</v>
      </c>
      <c r="E5463" s="1" t="n">
        <v>46319</v>
      </c>
      <c r="F5463" t="inlineStr">
        <is>
          <t>DALARNAS LÄN</t>
        </is>
      </c>
      <c r="G5463" t="inlineStr">
        <is>
          <t>MORA</t>
        </is>
      </c>
      <c r="I5463" t="n">
        <v>0.7</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6955-2026</t>
        </is>
      </c>
      <c r="B5464" t="inlineStr">
        <is>
          <t>avverkningsanmälan</t>
        </is>
      </c>
      <c r="C5464" t="inlineStr">
        <is>
          <t>Föryngringsavverkning</t>
        </is>
      </c>
      <c r="D5464" s="1" t="n">
        <v>46056</v>
      </c>
      <c r="E5464" s="1" t="n">
        <v>46319</v>
      </c>
      <c r="F5464" t="inlineStr">
        <is>
          <t>DALARNAS LÄN</t>
        </is>
      </c>
      <c r="G5464" t="inlineStr">
        <is>
          <t>FALUN</t>
        </is>
      </c>
      <c r="H5464" t="inlineStr">
        <is>
          <t>Allmännings- och besparingsskogar</t>
        </is>
      </c>
      <c r="I5464" t="n">
        <v>6</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6159-2026</t>
        </is>
      </c>
      <c r="B5465" t="inlineStr">
        <is>
          <t>avverkningsanmälan</t>
        </is>
      </c>
      <c r="C5465" t="inlineStr">
        <is>
          <t>Föryngringsavverkning</t>
        </is>
      </c>
      <c r="D5465" s="1" t="n">
        <v>46055</v>
      </c>
      <c r="E5465" s="1" t="n">
        <v>46319</v>
      </c>
      <c r="F5465" t="inlineStr">
        <is>
          <t>DALARNAS LÄN</t>
        </is>
      </c>
      <c r="G5465" t="inlineStr">
        <is>
          <t>FALUN</t>
        </is>
      </c>
      <c r="I5465" t="n">
        <v>1.2</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6556-2026</t>
        </is>
      </c>
      <c r="B5466" t="inlineStr">
        <is>
          <t>avverkningsanmälan</t>
        </is>
      </c>
      <c r="C5466" t="inlineStr">
        <is>
          <t>Föryngringsavverkning</t>
        </is>
      </c>
      <c r="D5466" s="1" t="n">
        <v>46056</v>
      </c>
      <c r="E5466" s="1" t="n">
        <v>46319</v>
      </c>
      <c r="F5466" t="inlineStr">
        <is>
          <t>DALARNAS LÄN</t>
        </is>
      </c>
      <c r="G5466" t="inlineStr">
        <is>
          <t>FALUN</t>
        </is>
      </c>
      <c r="I5466" t="n">
        <v>17.2</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55898-2024</t>
        </is>
      </c>
      <c r="B5467" t="inlineStr">
        <is>
          <t>avverkningsanmälan</t>
        </is>
      </c>
      <c r="C5467" t="inlineStr">
        <is>
          <t>Föryngringsavverkning</t>
        </is>
      </c>
      <c r="D5467" s="1" t="n">
        <v>45623</v>
      </c>
      <c r="E5467" s="1" t="n">
        <v>46319</v>
      </c>
      <c r="F5467" t="inlineStr">
        <is>
          <t>DALARNAS LÄN</t>
        </is>
      </c>
      <c r="G5467" t="inlineStr">
        <is>
          <t>RÄTTVIK</t>
        </is>
      </c>
      <c r="I5467" t="n">
        <v>1.8</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6972-2025</t>
        </is>
      </c>
      <c r="B5468" t="inlineStr">
        <is>
          <t>avverkningsanmälan</t>
        </is>
      </c>
      <c r="C5468" t="inlineStr">
        <is>
          <t>Föryngringsavverkning</t>
        </is>
      </c>
      <c r="D5468" s="1" t="n">
        <v>45701</v>
      </c>
      <c r="E5468" s="1" t="n">
        <v>46319</v>
      </c>
      <c r="F5468" t="inlineStr">
        <is>
          <t>DALARNAS LÄN</t>
        </is>
      </c>
      <c r="G5468" t="inlineStr">
        <is>
          <t>HEDEMORA</t>
        </is>
      </c>
      <c r="I5468" t="n">
        <v>4.9</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56425-2024</t>
        </is>
      </c>
      <c r="B5469" t="inlineStr">
        <is>
          <t>avverkningsanmälan</t>
        </is>
      </c>
      <c r="C5469" t="inlineStr">
        <is>
          <t>Föryngringsavverkning</t>
        </is>
      </c>
      <c r="D5469" s="1" t="n">
        <v>45625</v>
      </c>
      <c r="E5469" s="1" t="n">
        <v>46319</v>
      </c>
      <c r="F5469" t="inlineStr">
        <is>
          <t>DALARNAS LÄN</t>
        </is>
      </c>
      <c r="G5469" t="inlineStr">
        <is>
          <t>MORA</t>
        </is>
      </c>
      <c r="I5469" t="n">
        <v>2.1</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25927-2026</t>
        </is>
      </c>
      <c r="B5470" t="inlineStr">
        <is>
          <t>avverkningsanmälan</t>
        </is>
      </c>
      <c r="C5470" t="inlineStr">
        <is>
          <t>Föryngringsavverkning</t>
        </is>
      </c>
      <c r="D5470" s="1" t="n">
        <v>46178</v>
      </c>
      <c r="E5470" s="1" t="n">
        <v>46319</v>
      </c>
      <c r="F5470" t="inlineStr">
        <is>
          <t>DALARNAS LÄN</t>
        </is>
      </c>
      <c r="G5470" t="inlineStr">
        <is>
          <t>AVESTA</t>
        </is>
      </c>
      <c r="H5470" t="inlineStr">
        <is>
          <t>Sveaskog</t>
        </is>
      </c>
      <c r="I5470" t="n">
        <v>1.8</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33203-2026</t>
        </is>
      </c>
      <c r="B5471" t="inlineStr">
        <is>
          <t>avverkningsanmälan</t>
        </is>
      </c>
      <c r="C5471" t="inlineStr">
        <is>
          <t>Föryngringsavverkning</t>
        </is>
      </c>
      <c r="D5471" s="1" t="n">
        <v>46246</v>
      </c>
      <c r="E5471" s="1" t="n">
        <v>46319</v>
      </c>
      <c r="F5471" t="inlineStr">
        <is>
          <t>DALARNAS LÄN</t>
        </is>
      </c>
      <c r="G5471" t="inlineStr">
        <is>
          <t>AVESTA</t>
        </is>
      </c>
      <c r="H5471" t="inlineStr">
        <is>
          <t>Sveaskog</t>
        </is>
      </c>
      <c r="I5471" t="n">
        <v>1.5</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6470-2026</t>
        </is>
      </c>
      <c r="B5472" t="inlineStr">
        <is>
          <t>avverkningsanmälan</t>
        </is>
      </c>
      <c r="C5472" t="inlineStr">
        <is>
          <t>Föryngringsavverkning</t>
        </is>
      </c>
      <c r="D5472" s="1" t="n">
        <v>46056</v>
      </c>
      <c r="E5472" s="1" t="n">
        <v>46319</v>
      </c>
      <c r="F5472" t="inlineStr">
        <is>
          <t>DALARNAS LÄN</t>
        </is>
      </c>
      <c r="G5472" t="inlineStr">
        <is>
          <t>RÄTTVIK</t>
        </is>
      </c>
      <c r="I5472" t="n">
        <v>0.6</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30819-2024</t>
        </is>
      </c>
      <c r="B5473" t="inlineStr">
        <is>
          <t>avverkningsanmälan</t>
        </is>
      </c>
      <c r="C5473" t="inlineStr">
        <is>
          <t>Föryngringsavverkning</t>
        </is>
      </c>
      <c r="D5473" s="1" t="n">
        <v>45497</v>
      </c>
      <c r="E5473" s="1" t="n">
        <v>46319</v>
      </c>
      <c r="F5473" t="inlineStr">
        <is>
          <t>DALARNAS LÄN</t>
        </is>
      </c>
      <c r="G5473" t="inlineStr">
        <is>
          <t>MORA</t>
        </is>
      </c>
      <c r="I5473" t="n">
        <v>2.2</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6245-2026</t>
        </is>
      </c>
      <c r="B5474" t="inlineStr">
        <is>
          <t>avverkningsanmälan</t>
        </is>
      </c>
      <c r="C5474" t="inlineStr">
        <is>
          <t>Föryngringsavverkning</t>
        </is>
      </c>
      <c r="D5474" s="1" t="n">
        <v>46055</v>
      </c>
      <c r="E5474" s="1" t="n">
        <v>46319</v>
      </c>
      <c r="F5474" t="inlineStr">
        <is>
          <t>DALARNAS LÄN</t>
        </is>
      </c>
      <c r="G5474" t="inlineStr">
        <is>
          <t>LEKSAND</t>
        </is>
      </c>
      <c r="I5474" t="n">
        <v>1.3</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33207-2026</t>
        </is>
      </c>
      <c r="B5475" t="inlineStr">
        <is>
          <t>avverkningsanmälan</t>
        </is>
      </c>
      <c r="C5475" t="inlineStr">
        <is>
          <t>Föryngringsavverkning</t>
        </is>
      </c>
      <c r="D5475" s="1" t="n">
        <v>46246</v>
      </c>
      <c r="E5475" s="1" t="n">
        <v>46319</v>
      </c>
      <c r="F5475" t="inlineStr">
        <is>
          <t>DALARNAS LÄN</t>
        </is>
      </c>
      <c r="G5475" t="inlineStr">
        <is>
          <t>ÄLVDALEN</t>
        </is>
      </c>
      <c r="I5475" t="n">
        <v>2.8</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6845-2026</t>
        </is>
      </c>
      <c r="B5476" t="inlineStr">
        <is>
          <t>avverkningsanmälan</t>
        </is>
      </c>
      <c r="C5476" t="inlineStr">
        <is>
          <t>Föryngringsavverkning</t>
        </is>
      </c>
      <c r="D5476" s="1" t="n">
        <v>46057</v>
      </c>
      <c r="E5476" s="1" t="n">
        <v>46319</v>
      </c>
      <c r="F5476" t="inlineStr">
        <is>
          <t>DALARNAS LÄN</t>
        </is>
      </c>
      <c r="G5476" t="inlineStr">
        <is>
          <t>SÄTER</t>
        </is>
      </c>
      <c r="I5476" t="n">
        <v>2.2</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6856-2026</t>
        </is>
      </c>
      <c r="B5477" t="inlineStr">
        <is>
          <t>avverkningsanmälan</t>
        </is>
      </c>
      <c r="C5477" t="inlineStr">
        <is>
          <t>Föryngringsavverkning</t>
        </is>
      </c>
      <c r="D5477" s="1" t="n">
        <v>46057</v>
      </c>
      <c r="E5477" s="1" t="n">
        <v>46319</v>
      </c>
      <c r="F5477" t="inlineStr">
        <is>
          <t>DALARNAS LÄN</t>
        </is>
      </c>
      <c r="G5477" t="inlineStr">
        <is>
          <t>SÄTER</t>
        </is>
      </c>
      <c r="I5477" t="n">
        <v>3.6</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19818-2026</t>
        </is>
      </c>
      <c r="B5478" t="inlineStr">
        <is>
          <t>avverkningsanmälan</t>
        </is>
      </c>
      <c r="C5478" t="inlineStr">
        <is>
          <t>Föryngringsavverkning</t>
        </is>
      </c>
      <c r="D5478" s="1" t="n">
        <v>46135</v>
      </c>
      <c r="E5478" s="1" t="n">
        <v>46319</v>
      </c>
      <c r="F5478" t="inlineStr">
        <is>
          <t>DALARNAS LÄN</t>
        </is>
      </c>
      <c r="G5478" t="inlineStr">
        <is>
          <t>LEKSAND</t>
        </is>
      </c>
      <c r="H5478" t="inlineStr">
        <is>
          <t>Bergvik skog väst AB</t>
        </is>
      </c>
      <c r="I5478" t="n">
        <v>4.4</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26460-2025</t>
        </is>
      </c>
      <c r="B5479" t="inlineStr">
        <is>
          <t>avverkningsanmälan</t>
        </is>
      </c>
      <c r="C5479" t="inlineStr">
        <is>
          <t>Föryngringsavverkning</t>
        </is>
      </c>
      <c r="D5479" s="1" t="n">
        <v>45807</v>
      </c>
      <c r="E5479" s="1" t="n">
        <v>46319</v>
      </c>
      <c r="F5479" t="inlineStr">
        <is>
          <t>DALARNAS LÄN</t>
        </is>
      </c>
      <c r="G5479" t="inlineStr">
        <is>
          <t>MALUNG-SÄLEN</t>
        </is>
      </c>
      <c r="I5479" t="n">
        <v>0.7</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6967-2026</t>
        </is>
      </c>
      <c r="B5480" t="inlineStr">
        <is>
          <t>avverkningsanmälan</t>
        </is>
      </c>
      <c r="C5480" t="inlineStr">
        <is>
          <t>Föryngringsavverkning</t>
        </is>
      </c>
      <c r="D5480" s="1" t="n">
        <v>46057</v>
      </c>
      <c r="E5480" s="1" t="n">
        <v>46319</v>
      </c>
      <c r="F5480" t="inlineStr">
        <is>
          <t>DALARNAS LÄN</t>
        </is>
      </c>
      <c r="G5480" t="inlineStr">
        <is>
          <t>MORA</t>
        </is>
      </c>
      <c r="I5480" t="n">
        <v>5</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26698-2025</t>
        </is>
      </c>
      <c r="B5481" t="inlineStr">
        <is>
          <t>avverkningsanmälan</t>
        </is>
      </c>
      <c r="C5481" t="inlineStr">
        <is>
          <t>Avverkning för annat ändamål</t>
        </is>
      </c>
      <c r="D5481" s="1" t="n">
        <v>45810</v>
      </c>
      <c r="E5481" s="1" t="n">
        <v>46319</v>
      </c>
      <c r="F5481" t="inlineStr">
        <is>
          <t>DALARNAS LÄN</t>
        </is>
      </c>
      <c r="G5481" t="inlineStr">
        <is>
          <t>LUDVIKA</t>
        </is>
      </c>
      <c r="H5481" t="inlineStr">
        <is>
          <t>Bergvik skog väst AB</t>
        </is>
      </c>
      <c r="I5481" t="n">
        <v>0.3</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7293-2026</t>
        </is>
      </c>
      <c r="B5482" t="inlineStr">
        <is>
          <t>avverkningsanmälan</t>
        </is>
      </c>
      <c r="C5482" t="inlineStr">
        <is>
          <t>Föryngringsavverkning</t>
        </is>
      </c>
      <c r="D5482" s="1" t="n">
        <v>46058</v>
      </c>
      <c r="E5482" s="1" t="n">
        <v>46319</v>
      </c>
      <c r="F5482" t="inlineStr">
        <is>
          <t>DALARNAS LÄN</t>
        </is>
      </c>
      <c r="G5482" t="inlineStr">
        <is>
          <t>FALUN</t>
        </is>
      </c>
      <c r="I5482" t="n">
        <v>1.9</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26771-2025</t>
        </is>
      </c>
      <c r="B5483" t="inlineStr">
        <is>
          <t>avverkningsanmälan</t>
        </is>
      </c>
      <c r="C5483" t="inlineStr">
        <is>
          <t>Föryngringsavverkning</t>
        </is>
      </c>
      <c r="D5483" s="1" t="n">
        <v>45810</v>
      </c>
      <c r="E5483" s="1" t="n">
        <v>46319</v>
      </c>
      <c r="F5483" t="inlineStr">
        <is>
          <t>DALARNAS LÄN</t>
        </is>
      </c>
      <c r="G5483" t="inlineStr">
        <is>
          <t>FALUN</t>
        </is>
      </c>
      <c r="H5483" t="inlineStr">
        <is>
          <t>Bergvik skog väst AB</t>
        </is>
      </c>
      <c r="I5483" t="n">
        <v>11.6</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6858-2026</t>
        </is>
      </c>
      <c r="B5484" t="inlineStr">
        <is>
          <t>avverkningsanmälan</t>
        </is>
      </c>
      <c r="C5484" t="inlineStr">
        <is>
          <t>Föryngringsavverkning</t>
        </is>
      </c>
      <c r="D5484" s="1" t="n">
        <v>46057</v>
      </c>
      <c r="E5484" s="1" t="n">
        <v>46319</v>
      </c>
      <c r="F5484" t="inlineStr">
        <is>
          <t>DALARNAS LÄN</t>
        </is>
      </c>
      <c r="G5484" t="inlineStr">
        <is>
          <t>RÄTTVIK</t>
        </is>
      </c>
      <c r="I5484" t="n">
        <v>3.9</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7259-2026</t>
        </is>
      </c>
      <c r="B5485" t="inlineStr">
        <is>
          <t>avverkningsanmälan</t>
        </is>
      </c>
      <c r="C5485" t="inlineStr">
        <is>
          <t>Föryngringsavverkning</t>
        </is>
      </c>
      <c r="D5485" s="1" t="n">
        <v>46058</v>
      </c>
      <c r="E5485" s="1" t="n">
        <v>46319</v>
      </c>
      <c r="F5485" t="inlineStr">
        <is>
          <t>DALARNAS LÄN</t>
        </is>
      </c>
      <c r="G5485" t="inlineStr">
        <is>
          <t>VANSBRO</t>
        </is>
      </c>
      <c r="I5485" t="n">
        <v>2.7</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7020-2026</t>
        </is>
      </c>
      <c r="B5486" t="inlineStr">
        <is>
          <t>avverkningsanmälan</t>
        </is>
      </c>
      <c r="C5486" t="inlineStr">
        <is>
          <t>Föryngringsavverkning</t>
        </is>
      </c>
      <c r="D5486" s="1" t="n">
        <v>46057</v>
      </c>
      <c r="E5486" s="1" t="n">
        <v>46319</v>
      </c>
      <c r="F5486" t="inlineStr">
        <is>
          <t>DALARNAS LÄN</t>
        </is>
      </c>
      <c r="G5486" t="inlineStr">
        <is>
          <t>SMEDJEBACKEN</t>
        </is>
      </c>
      <c r="I5486" t="n">
        <v>3.1</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3849-2024</t>
        </is>
      </c>
      <c r="B5487" t="inlineStr">
        <is>
          <t>avverkningsanmälan</t>
        </is>
      </c>
      <c r="C5487" t="inlineStr">
        <is>
          <t>Föryngringsavverkning</t>
        </is>
      </c>
      <c r="D5487" s="1" t="n">
        <v>45322</v>
      </c>
      <c r="E5487" s="1" t="n">
        <v>46319</v>
      </c>
      <c r="F5487" t="inlineStr">
        <is>
          <t>DALARNAS LÄN</t>
        </is>
      </c>
      <c r="G5487" t="inlineStr">
        <is>
          <t>MALUNG-SÄLEN</t>
        </is>
      </c>
      <c r="I5487" t="n">
        <v>2.1</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24905-2026</t>
        </is>
      </c>
      <c r="B5488" t="inlineStr">
        <is>
          <t>avverkningsanmälan</t>
        </is>
      </c>
      <c r="C5488" t="inlineStr">
        <is>
          <t>Föryngringsavverkning</t>
        </is>
      </c>
      <c r="D5488" s="1" t="n">
        <v>46174</v>
      </c>
      <c r="E5488" s="1" t="n">
        <v>46319</v>
      </c>
      <c r="F5488" t="inlineStr">
        <is>
          <t>DALARNAS LÄN</t>
        </is>
      </c>
      <c r="G5488" t="inlineStr">
        <is>
          <t>SMEDJEBACKEN</t>
        </is>
      </c>
      <c r="H5488" t="inlineStr">
        <is>
          <t>Sveaskog</t>
        </is>
      </c>
      <c r="I5488" t="n">
        <v>2.2</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6756-2026</t>
        </is>
      </c>
      <c r="B5489" t="inlineStr">
        <is>
          <t>avverkningsanmälan</t>
        </is>
      </c>
      <c r="C5489" t="inlineStr">
        <is>
          <t>Föryngringsavverkning</t>
        </is>
      </c>
      <c r="D5489" s="1" t="n">
        <v>46056</v>
      </c>
      <c r="E5489" s="1" t="n">
        <v>46319</v>
      </c>
      <c r="F5489" t="inlineStr">
        <is>
          <t>DALARNAS LÄN</t>
        </is>
      </c>
      <c r="G5489" t="inlineStr">
        <is>
          <t>FALUN</t>
        </is>
      </c>
      <c r="I5489" t="n">
        <v>1.1</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7236-2026</t>
        </is>
      </c>
      <c r="B5490" t="inlineStr">
        <is>
          <t>avverkningsanmälan</t>
        </is>
      </c>
      <c r="C5490" t="inlineStr">
        <is>
          <t>Föryngringsavverkning</t>
        </is>
      </c>
      <c r="D5490" s="1" t="n">
        <v>46058</v>
      </c>
      <c r="E5490" s="1" t="n">
        <v>46319</v>
      </c>
      <c r="F5490" t="inlineStr">
        <is>
          <t>DALARNAS LÄN</t>
        </is>
      </c>
      <c r="G5490" t="inlineStr">
        <is>
          <t>VANSBRO</t>
        </is>
      </c>
      <c r="I5490" t="n">
        <v>0.7</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6754-2026</t>
        </is>
      </c>
      <c r="B5491" t="inlineStr">
        <is>
          <t>avverkningsanmälan</t>
        </is>
      </c>
      <c r="C5491" t="inlineStr">
        <is>
          <t>Föryngringsavverkning</t>
        </is>
      </c>
      <c r="D5491" s="1" t="n">
        <v>46056</v>
      </c>
      <c r="E5491" s="1" t="n">
        <v>46319</v>
      </c>
      <c r="F5491" t="inlineStr">
        <is>
          <t>DALARNAS LÄN</t>
        </is>
      </c>
      <c r="G5491" t="inlineStr">
        <is>
          <t>FALUN</t>
        </is>
      </c>
      <c r="I5491" t="n">
        <v>0.6</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18463-2022</t>
        </is>
      </c>
      <c r="B5492" t="inlineStr">
        <is>
          <t>avverkningsanmälan</t>
        </is>
      </c>
      <c r="C5492" t="inlineStr">
        <is>
          <t>Föryngringsavverkning</t>
        </is>
      </c>
      <c r="D5492" s="1" t="n">
        <v>44686</v>
      </c>
      <c r="E5492" s="1" t="n">
        <v>46319</v>
      </c>
      <c r="F5492" t="inlineStr">
        <is>
          <t>DALARNAS LÄN</t>
        </is>
      </c>
      <c r="G5492" t="inlineStr">
        <is>
          <t>FALUN</t>
        </is>
      </c>
      <c r="I5492" t="n">
        <v>1.6</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7014-2026</t>
        </is>
      </c>
      <c r="B5493" t="inlineStr">
        <is>
          <t>avverkningsanmälan</t>
        </is>
      </c>
      <c r="C5493" t="inlineStr">
        <is>
          <t>Föryngringsavverkning</t>
        </is>
      </c>
      <c r="D5493" s="1" t="n">
        <v>46057</v>
      </c>
      <c r="E5493" s="1" t="n">
        <v>46319</v>
      </c>
      <c r="F5493" t="inlineStr">
        <is>
          <t>DALARNAS LÄN</t>
        </is>
      </c>
      <c r="G5493" t="inlineStr">
        <is>
          <t>VANSBRO</t>
        </is>
      </c>
      <c r="I5493" t="n">
        <v>2.5</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7314-2026</t>
        </is>
      </c>
      <c r="B5494" t="inlineStr">
        <is>
          <t>avverkningsanmälan</t>
        </is>
      </c>
      <c r="C5494" t="inlineStr">
        <is>
          <t>Föryngringsavverkning</t>
        </is>
      </c>
      <c r="D5494" s="1" t="n">
        <v>46058</v>
      </c>
      <c r="E5494" s="1" t="n">
        <v>46319</v>
      </c>
      <c r="F5494" t="inlineStr">
        <is>
          <t>DALARNAS LÄN</t>
        </is>
      </c>
      <c r="G5494" t="inlineStr">
        <is>
          <t>FALUN</t>
        </is>
      </c>
      <c r="I5494" t="n">
        <v>7.1</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26454-2025</t>
        </is>
      </c>
      <c r="B5495" t="inlineStr">
        <is>
          <t>avverkningsanmälan</t>
        </is>
      </c>
      <c r="C5495" t="inlineStr">
        <is>
          <t>Föryngringsavverkning</t>
        </is>
      </c>
      <c r="D5495" s="1" t="n">
        <v>45807</v>
      </c>
      <c r="E5495" s="1" t="n">
        <v>46319</v>
      </c>
      <c r="F5495" t="inlineStr">
        <is>
          <t>DALARNAS LÄN</t>
        </is>
      </c>
      <c r="G5495" t="inlineStr">
        <is>
          <t>MALUNG-SÄLEN</t>
        </is>
      </c>
      <c r="I5495" t="n">
        <v>2.4</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26508-2025</t>
        </is>
      </c>
      <c r="B5496" t="inlineStr">
        <is>
          <t>avverkningsanmälan</t>
        </is>
      </c>
      <c r="C5496" t="inlineStr">
        <is>
          <t>Föryngringsavverkning</t>
        </is>
      </c>
      <c r="D5496" s="1" t="n">
        <v>45807</v>
      </c>
      <c r="E5496" s="1" t="n">
        <v>46319</v>
      </c>
      <c r="F5496" t="inlineStr">
        <is>
          <t>DALARNAS LÄN</t>
        </is>
      </c>
      <c r="G5496" t="inlineStr">
        <is>
          <t>VANSBRO</t>
        </is>
      </c>
      <c r="I5496" t="n">
        <v>4.8</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39516-2026</t>
        </is>
      </c>
      <c r="B5497" t="inlineStr">
        <is>
          <t>avverkningsanmälan</t>
        </is>
      </c>
      <c r="C5497" t="inlineStr">
        <is>
          <t>Föryngringsavverkning</t>
        </is>
      </c>
      <c r="D5497" s="1" t="n">
        <v>46289</v>
      </c>
      <c r="E5497" s="1" t="n">
        <v>46319</v>
      </c>
      <c r="F5497" t="inlineStr">
        <is>
          <t>DALARNAS LÄN</t>
        </is>
      </c>
      <c r="G5497" t="inlineStr">
        <is>
          <t>MALUNG-SÄLEN</t>
        </is>
      </c>
      <c r="H5497" t="inlineStr">
        <is>
          <t>Bergvik skog väst AB</t>
        </is>
      </c>
      <c r="I5497" t="n">
        <v>3.9</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7218-2026</t>
        </is>
      </c>
      <c r="B5498" t="inlineStr">
        <is>
          <t>avverkningsanmälan</t>
        </is>
      </c>
      <c r="C5498" t="inlineStr">
        <is>
          <t>Föryngringsavverkning</t>
        </is>
      </c>
      <c r="D5498" s="1" t="n">
        <v>46058</v>
      </c>
      <c r="E5498" s="1" t="n">
        <v>46319</v>
      </c>
      <c r="F5498" t="inlineStr">
        <is>
          <t>DALARNAS LÄN</t>
        </is>
      </c>
      <c r="G5498" t="inlineStr">
        <is>
          <t>FALUN</t>
        </is>
      </c>
      <c r="I5498" t="n">
        <v>1.8</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20885-2024</t>
        </is>
      </c>
      <c r="B5499" t="inlineStr">
        <is>
          <t>avverkningsanmälan</t>
        </is>
      </c>
      <c r="C5499" t="inlineStr">
        <is>
          <t>Föryngringsavverkning</t>
        </is>
      </c>
      <c r="D5499" s="1" t="n">
        <v>45439</v>
      </c>
      <c r="E5499" s="1" t="n">
        <v>46319</v>
      </c>
      <c r="F5499" t="inlineStr">
        <is>
          <t>DALARNAS LÄN</t>
        </is>
      </c>
      <c r="G5499" t="inlineStr">
        <is>
          <t>MORA</t>
        </is>
      </c>
      <c r="I5499" t="n">
        <v>5</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39840-2026</t>
        </is>
      </c>
      <c r="B5500" t="inlineStr">
        <is>
          <t>avverkningsanmälan</t>
        </is>
      </c>
      <c r="C5500" t="inlineStr">
        <is>
          <t>Föryngringsavverkning</t>
        </is>
      </c>
      <c r="D5500" s="1" t="n">
        <v>46290</v>
      </c>
      <c r="E5500" s="1" t="n">
        <v>46319</v>
      </c>
      <c r="F5500" t="inlineStr">
        <is>
          <t>DALARNAS LÄN</t>
        </is>
      </c>
      <c r="G5500" t="inlineStr">
        <is>
          <t>LEKSAND</t>
        </is>
      </c>
      <c r="H5500" t="inlineStr">
        <is>
          <t>Bergvik skog väst AB</t>
        </is>
      </c>
      <c r="I5500" t="n">
        <v>12.5</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7055-2026</t>
        </is>
      </c>
      <c r="B5501" t="inlineStr">
        <is>
          <t>avverkningsanmälan</t>
        </is>
      </c>
      <c r="C5501" t="inlineStr">
        <is>
          <t>Föryngringsavverkning</t>
        </is>
      </c>
      <c r="D5501" s="1" t="n">
        <v>46057</v>
      </c>
      <c r="E5501" s="1" t="n">
        <v>46319</v>
      </c>
      <c r="F5501" t="inlineStr">
        <is>
          <t>DALARNAS LÄN</t>
        </is>
      </c>
      <c r="G5501" t="inlineStr">
        <is>
          <t>FALUN</t>
        </is>
      </c>
      <c r="I5501" t="n">
        <v>2.5</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6974-2026</t>
        </is>
      </c>
      <c r="B5502" t="inlineStr">
        <is>
          <t>avverkningsanmälan</t>
        </is>
      </c>
      <c r="C5502" t="inlineStr">
        <is>
          <t>Föryngringsavverkning</t>
        </is>
      </c>
      <c r="D5502" s="1" t="n">
        <v>46057</v>
      </c>
      <c r="E5502" s="1" t="n">
        <v>46319</v>
      </c>
      <c r="F5502" t="inlineStr">
        <is>
          <t>DALARNAS LÄN</t>
        </is>
      </c>
      <c r="G5502" t="inlineStr">
        <is>
          <t>FALUN</t>
        </is>
      </c>
      <c r="I5502" t="n">
        <v>1.3</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43621-2024</t>
        </is>
      </c>
      <c r="B5503" t="inlineStr">
        <is>
          <t>avverkningsanmälan</t>
        </is>
      </c>
      <c r="C5503" t="inlineStr">
        <is>
          <t>Föryngringsavverkning</t>
        </is>
      </c>
      <c r="D5503" s="1" t="n">
        <v>45569</v>
      </c>
      <c r="E5503" s="1" t="n">
        <v>46319</v>
      </c>
      <c r="F5503" t="inlineStr">
        <is>
          <t>DALARNAS LÄN</t>
        </is>
      </c>
      <c r="G5503" t="inlineStr">
        <is>
          <t>HEDEMORA</t>
        </is>
      </c>
      <c r="I5503" t="n">
        <v>2.4</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26628-2025</t>
        </is>
      </c>
      <c r="B5504" t="inlineStr">
        <is>
          <t>avverkningsanmälan</t>
        </is>
      </c>
      <c r="C5504" t="inlineStr">
        <is>
          <t>Avverkning för annat ändamål</t>
        </is>
      </c>
      <c r="D5504" s="1" t="n">
        <v>45810</v>
      </c>
      <c r="E5504" s="1" t="n">
        <v>46319</v>
      </c>
      <c r="F5504" t="inlineStr">
        <is>
          <t>DALARNAS LÄN</t>
        </is>
      </c>
      <c r="G5504" t="inlineStr">
        <is>
          <t>LUDVIKA</t>
        </is>
      </c>
      <c r="H5504" t="inlineStr">
        <is>
          <t>Bergvik skog väst AB</t>
        </is>
      </c>
      <c r="I5504" t="n">
        <v>0.7</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39871-2026</t>
        </is>
      </c>
      <c r="B5505" t="inlineStr">
        <is>
          <t>avverkningsanmälan</t>
        </is>
      </c>
      <c r="C5505" t="inlineStr">
        <is>
          <t>Föryngringsavverkning</t>
        </is>
      </c>
      <c r="D5505" s="1" t="n">
        <v>46290</v>
      </c>
      <c r="E5505" s="1" t="n">
        <v>46319</v>
      </c>
      <c r="F5505" t="inlineStr">
        <is>
          <t>DALARNAS LÄN</t>
        </is>
      </c>
      <c r="G5505" t="inlineStr">
        <is>
          <t>VANSBRO</t>
        </is>
      </c>
      <c r="H5505" t="inlineStr">
        <is>
          <t>Bergvik skog öst AB</t>
        </is>
      </c>
      <c r="I5505" t="n">
        <v>1.7</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38882-2026</t>
        </is>
      </c>
      <c r="B5506" t="inlineStr">
        <is>
          <t>avverkningsanmälan</t>
        </is>
      </c>
      <c r="C5506" t="inlineStr">
        <is>
          <t>Föryngringsavverkning</t>
        </is>
      </c>
      <c r="D5506" s="1" t="n">
        <v>46286</v>
      </c>
      <c r="E5506" s="1" t="n">
        <v>46319</v>
      </c>
      <c r="F5506" t="inlineStr">
        <is>
          <t>DALARNAS LÄN</t>
        </is>
      </c>
      <c r="G5506" t="inlineStr">
        <is>
          <t>LEKSAND</t>
        </is>
      </c>
      <c r="H5506" t="inlineStr">
        <is>
          <t>Bergvik skog väst AB</t>
        </is>
      </c>
      <c r="I5506" t="n">
        <v>3.2</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39890-2026</t>
        </is>
      </c>
      <c r="B5507" t="inlineStr">
        <is>
          <t>avverkningsanmälan</t>
        </is>
      </c>
      <c r="C5507" t="inlineStr">
        <is>
          <t>Föryngringsavverkning</t>
        </is>
      </c>
      <c r="D5507" s="1" t="n">
        <v>46290</v>
      </c>
      <c r="E5507" s="1" t="n">
        <v>46319</v>
      </c>
      <c r="F5507" t="inlineStr">
        <is>
          <t>DALARNAS LÄN</t>
        </is>
      </c>
      <c r="G5507" t="inlineStr">
        <is>
          <t>SÄTER</t>
        </is>
      </c>
      <c r="H5507" t="inlineStr">
        <is>
          <t>Bergvik skog väst AB</t>
        </is>
      </c>
      <c r="I5507" t="n">
        <v>9.199999999999999</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7027-2026</t>
        </is>
      </c>
      <c r="B5508" t="inlineStr">
        <is>
          <t>avverkningsanmälan</t>
        </is>
      </c>
      <c r="C5508" t="inlineStr">
        <is>
          <t>Föryngringsavverkning</t>
        </is>
      </c>
      <c r="D5508" s="1" t="n">
        <v>46057</v>
      </c>
      <c r="E5508" s="1" t="n">
        <v>46319</v>
      </c>
      <c r="F5508" t="inlineStr">
        <is>
          <t>DALARNAS LÄN</t>
        </is>
      </c>
      <c r="G5508" t="inlineStr">
        <is>
          <t>ORSA</t>
        </is>
      </c>
      <c r="I5508" t="n">
        <v>12.1</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6923-2026</t>
        </is>
      </c>
      <c r="B5509" t="inlineStr">
        <is>
          <t>avverkningsanmälan</t>
        </is>
      </c>
      <c r="C5509" t="inlineStr">
        <is>
          <t>Föryngringsavverkning</t>
        </is>
      </c>
      <c r="D5509" s="1" t="n">
        <v>46057</v>
      </c>
      <c r="E5509" s="1" t="n">
        <v>46319</v>
      </c>
      <c r="F5509" t="inlineStr">
        <is>
          <t>DALARNAS LÄN</t>
        </is>
      </c>
      <c r="G5509" t="inlineStr">
        <is>
          <t>MORA</t>
        </is>
      </c>
      <c r="I5509" t="n">
        <v>1.1</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33446-2026</t>
        </is>
      </c>
      <c r="B5510" t="inlineStr">
        <is>
          <t>avverkningsanmälan</t>
        </is>
      </c>
      <c r="C5510" t="inlineStr">
        <is>
          <t>Föryngringsavverkning</t>
        </is>
      </c>
      <c r="D5510" s="1" t="n">
        <v>46247</v>
      </c>
      <c r="E5510" s="1" t="n">
        <v>46319</v>
      </c>
      <c r="F5510" t="inlineStr">
        <is>
          <t>DALARNAS LÄN</t>
        </is>
      </c>
      <c r="G5510" t="inlineStr">
        <is>
          <t>LEKSAND</t>
        </is>
      </c>
      <c r="H5510" t="inlineStr">
        <is>
          <t>Bergvik skog väst AB</t>
        </is>
      </c>
      <c r="I5510" t="n">
        <v>1.8</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7196-2026</t>
        </is>
      </c>
      <c r="B5511" t="inlineStr">
        <is>
          <t>avverkningsanmälan</t>
        </is>
      </c>
      <c r="C5511" t="inlineStr">
        <is>
          <t>Föryngringsavverkning</t>
        </is>
      </c>
      <c r="D5511" s="1" t="n">
        <v>46058</v>
      </c>
      <c r="E5511" s="1" t="n">
        <v>46319</v>
      </c>
      <c r="F5511" t="inlineStr">
        <is>
          <t>DALARNAS LÄN</t>
        </is>
      </c>
      <c r="G5511" t="inlineStr">
        <is>
          <t>BORLÄNGE</t>
        </is>
      </c>
      <c r="I5511" t="n">
        <v>0.6</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38831-2026</t>
        </is>
      </c>
      <c r="B5512" t="inlineStr">
        <is>
          <t>avverkningsanmälan</t>
        </is>
      </c>
      <c r="C5512" t="inlineStr">
        <is>
          <t>Föryngringsavverkning</t>
        </is>
      </c>
      <c r="D5512" s="1" t="n">
        <v>46286</v>
      </c>
      <c r="E5512" s="1" t="n">
        <v>46319</v>
      </c>
      <c r="F5512" t="inlineStr">
        <is>
          <t>DALARNAS LÄN</t>
        </is>
      </c>
      <c r="G5512" t="inlineStr">
        <is>
          <t>LUDVIKA</t>
        </is>
      </c>
      <c r="H5512" t="inlineStr">
        <is>
          <t>Bergvik skog väst AB</t>
        </is>
      </c>
      <c r="I5512" t="n">
        <v>4.3</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6945-2026</t>
        </is>
      </c>
      <c r="B5513" t="inlineStr">
        <is>
          <t>avverkningsanmälan</t>
        </is>
      </c>
      <c r="C5513" t="inlineStr">
        <is>
          <t>Föryngringsavverkning</t>
        </is>
      </c>
      <c r="D5513" s="1" t="n">
        <v>46057</v>
      </c>
      <c r="E5513" s="1" t="n">
        <v>46319</v>
      </c>
      <c r="F5513" t="inlineStr">
        <is>
          <t>DALARNAS LÄN</t>
        </is>
      </c>
      <c r="G5513" t="inlineStr">
        <is>
          <t>ORSA</t>
        </is>
      </c>
      <c r="I5513" t="n">
        <v>1.2</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26510-2025</t>
        </is>
      </c>
      <c r="B5514" t="inlineStr">
        <is>
          <t>avverkningsanmälan</t>
        </is>
      </c>
      <c r="C5514" t="inlineStr">
        <is>
          <t>Föryngringsavverkning</t>
        </is>
      </c>
      <c r="D5514" s="1" t="n">
        <v>45807</v>
      </c>
      <c r="E5514" s="1" t="n">
        <v>46319</v>
      </c>
      <c r="F5514" t="inlineStr">
        <is>
          <t>DALARNAS LÄN</t>
        </is>
      </c>
      <c r="G5514" t="inlineStr">
        <is>
          <t>VANSBRO</t>
        </is>
      </c>
      <c r="I5514" t="n">
        <v>1.7</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13973-2026</t>
        </is>
      </c>
      <c r="B5515" t="inlineStr">
        <is>
          <t>avverkningsanmälan</t>
        </is>
      </c>
      <c r="C5515" t="inlineStr">
        <is>
          <t>Föryngringsavverkning</t>
        </is>
      </c>
      <c r="D5515" s="1" t="n">
        <v>46090</v>
      </c>
      <c r="E5515" s="1" t="n">
        <v>46319</v>
      </c>
      <c r="F5515" t="inlineStr">
        <is>
          <t>DALARNAS LÄN</t>
        </is>
      </c>
      <c r="G5515" t="inlineStr">
        <is>
          <t>FALUN</t>
        </is>
      </c>
      <c r="I5515" t="n">
        <v>12.3</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6931-2026</t>
        </is>
      </c>
      <c r="B5516" t="inlineStr">
        <is>
          <t>avverkningsanmälan</t>
        </is>
      </c>
      <c r="C5516" t="inlineStr">
        <is>
          <t>Föryngringsavverkning</t>
        </is>
      </c>
      <c r="D5516" s="1" t="n">
        <v>46057</v>
      </c>
      <c r="E5516" s="1" t="n">
        <v>46319</v>
      </c>
      <c r="F5516" t="inlineStr">
        <is>
          <t>DALARNAS LÄN</t>
        </is>
      </c>
      <c r="G5516" t="inlineStr">
        <is>
          <t>FALUN</t>
        </is>
      </c>
      <c r="I5516" t="n">
        <v>2.7</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6936-2026</t>
        </is>
      </c>
      <c r="B5517" t="inlineStr">
        <is>
          <t>avverkningsanmälan</t>
        </is>
      </c>
      <c r="C5517" t="inlineStr">
        <is>
          <t>Föryngringsavverkning</t>
        </is>
      </c>
      <c r="D5517" s="1" t="n">
        <v>46057</v>
      </c>
      <c r="E5517" s="1" t="n">
        <v>46319</v>
      </c>
      <c r="F5517" t="inlineStr">
        <is>
          <t>DALARNAS LÄN</t>
        </is>
      </c>
      <c r="G5517" t="inlineStr">
        <is>
          <t>ÄLVDALEN</t>
        </is>
      </c>
      <c r="I5517" t="n">
        <v>1.1</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26800-2025</t>
        </is>
      </c>
      <c r="B5518" t="inlineStr">
        <is>
          <t>avverkningsanmälan</t>
        </is>
      </c>
      <c r="C5518" t="inlineStr">
        <is>
          <t>Föryngringsavverkning</t>
        </is>
      </c>
      <c r="D5518" s="1" t="n">
        <v>45810</v>
      </c>
      <c r="E5518" s="1" t="n">
        <v>46319</v>
      </c>
      <c r="F5518" t="inlineStr">
        <is>
          <t>DALARNAS LÄN</t>
        </is>
      </c>
      <c r="G5518" t="inlineStr">
        <is>
          <t>FALUN</t>
        </is>
      </c>
      <c r="I5518" t="n">
        <v>1.9</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26852-2025</t>
        </is>
      </c>
      <c r="B5519" t="inlineStr">
        <is>
          <t>avverkningsanmälan</t>
        </is>
      </c>
      <c r="C5519" t="inlineStr">
        <is>
          <t>Föryngringsavverkning</t>
        </is>
      </c>
      <c r="D5519" s="1" t="n">
        <v>45810</v>
      </c>
      <c r="E5519" s="1" t="n">
        <v>46319</v>
      </c>
      <c r="F5519" t="inlineStr">
        <is>
          <t>DALARNAS LÄN</t>
        </is>
      </c>
      <c r="G5519" t="inlineStr">
        <is>
          <t>MALUNG-SÄLEN</t>
        </is>
      </c>
      <c r="I5519" t="n">
        <v>1.3</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7198-2026</t>
        </is>
      </c>
      <c r="B5520" t="inlineStr">
        <is>
          <t>avverkningsanmälan</t>
        </is>
      </c>
      <c r="C5520" t="inlineStr">
        <is>
          <t>Föryngringsavverkning</t>
        </is>
      </c>
      <c r="D5520" s="1" t="n">
        <v>46058</v>
      </c>
      <c r="E5520" s="1" t="n">
        <v>46319</v>
      </c>
      <c r="F5520" t="inlineStr">
        <is>
          <t>DALARNAS LÄN</t>
        </is>
      </c>
      <c r="G5520" t="inlineStr">
        <is>
          <t>BORLÄNGE</t>
        </is>
      </c>
      <c r="I5520" t="n">
        <v>0.6</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25329-2022</t>
        </is>
      </c>
      <c r="B5521" t="inlineStr">
        <is>
          <t>avverkningsanmälan</t>
        </is>
      </c>
      <c r="C5521" t="inlineStr">
        <is>
          <t>Föryngringsavverkning</t>
        </is>
      </c>
      <c r="D5521" s="1" t="n">
        <v>44731</v>
      </c>
      <c r="E5521" s="1" t="n">
        <v>46319</v>
      </c>
      <c r="F5521" t="inlineStr">
        <is>
          <t>DALARNAS LÄN</t>
        </is>
      </c>
      <c r="G5521" t="inlineStr">
        <is>
          <t>LEKSAND</t>
        </is>
      </c>
      <c r="I5521" t="n">
        <v>1.4</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20302-2023</t>
        </is>
      </c>
      <c r="B5522" t="inlineStr">
        <is>
          <t>avverkningsanmälan</t>
        </is>
      </c>
      <c r="C5522" t="inlineStr">
        <is>
          <t>Föryngringsavverkning</t>
        </is>
      </c>
      <c r="D5522" s="1" t="n">
        <v>45056</v>
      </c>
      <c r="E5522" s="1" t="n">
        <v>46319</v>
      </c>
      <c r="F5522" t="inlineStr">
        <is>
          <t>DALARNAS LÄN</t>
        </is>
      </c>
      <c r="G5522" t="inlineStr">
        <is>
          <t>ORSA</t>
        </is>
      </c>
      <c r="I5522" t="n">
        <v>2.1</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43569-2025</t>
        </is>
      </c>
      <c r="B5523" t="inlineStr">
        <is>
          <t>avverkningsanmälan</t>
        </is>
      </c>
      <c r="C5523" t="inlineStr">
        <is>
          <t>Föryngringsavverkning</t>
        </is>
      </c>
      <c r="D5523" s="1" t="n">
        <v>45911</v>
      </c>
      <c r="E5523" s="1" t="n">
        <v>46319</v>
      </c>
      <c r="F5523" t="inlineStr">
        <is>
          <t>DALARNAS LÄN</t>
        </is>
      </c>
      <c r="G5523" t="inlineStr">
        <is>
          <t>MORA</t>
        </is>
      </c>
      <c r="I5523" t="n">
        <v>4.7</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39879-2026</t>
        </is>
      </c>
      <c r="B5524" t="inlineStr">
        <is>
          <t>avverkningsanmälan</t>
        </is>
      </c>
      <c r="C5524" t="inlineStr">
        <is>
          <t>Föryngringsavverkning</t>
        </is>
      </c>
      <c r="D5524" s="1" t="n">
        <v>46290</v>
      </c>
      <c r="E5524" s="1" t="n">
        <v>46319</v>
      </c>
      <c r="F5524" t="inlineStr">
        <is>
          <t>DALARNAS LÄN</t>
        </is>
      </c>
      <c r="G5524" t="inlineStr">
        <is>
          <t>LUDVIKA</t>
        </is>
      </c>
      <c r="H5524" t="inlineStr">
        <is>
          <t>Naturvårdsverket</t>
        </is>
      </c>
      <c r="I5524" t="n">
        <v>3.1</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39884-2026</t>
        </is>
      </c>
      <c r="B5525" t="inlineStr">
        <is>
          <t>avverkningsanmälan</t>
        </is>
      </c>
      <c r="C5525" t="inlineStr">
        <is>
          <t>Föryngringsavverkning</t>
        </is>
      </c>
      <c r="D5525" s="1" t="n">
        <v>46290</v>
      </c>
      <c r="E5525" s="1" t="n">
        <v>46319</v>
      </c>
      <c r="F5525" t="inlineStr">
        <is>
          <t>DALARNAS LÄN</t>
        </is>
      </c>
      <c r="G5525" t="inlineStr">
        <is>
          <t>LEKSAND</t>
        </is>
      </c>
      <c r="I5525" t="n">
        <v>1.4</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39892-2026</t>
        </is>
      </c>
      <c r="B5526" t="inlineStr">
        <is>
          <t>avverkningsanmälan</t>
        </is>
      </c>
      <c r="C5526" t="inlineStr">
        <is>
          <t>Föryngringsavverkning</t>
        </is>
      </c>
      <c r="D5526" s="1" t="n">
        <v>46289</v>
      </c>
      <c r="E5526" s="1" t="n">
        <v>46319</v>
      </c>
      <c r="F5526" t="inlineStr">
        <is>
          <t>DALARNAS LÄN</t>
        </is>
      </c>
      <c r="G5526" t="inlineStr">
        <is>
          <t>FALUN</t>
        </is>
      </c>
      <c r="H5526" t="inlineStr">
        <is>
          <t>Allmännings- och besparingsskogar</t>
        </is>
      </c>
      <c r="I5526" t="n">
        <v>3.5</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14944-2023</t>
        </is>
      </c>
      <c r="B5527" t="inlineStr">
        <is>
          <t>avverkningsanmälan</t>
        </is>
      </c>
      <c r="C5527" t="inlineStr">
        <is>
          <t>Föryngringsavverkning</t>
        </is>
      </c>
      <c r="D5527" s="1" t="n">
        <v>45015</v>
      </c>
      <c r="E5527" s="1" t="n">
        <v>46319</v>
      </c>
      <c r="F5527" t="inlineStr">
        <is>
          <t>DALARNAS LÄN</t>
        </is>
      </c>
      <c r="G5527" t="inlineStr">
        <is>
          <t>AVESTA</t>
        </is>
      </c>
      <c r="I5527" t="n">
        <v>2.3</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26794-2025</t>
        </is>
      </c>
      <c r="B5528" t="inlineStr">
        <is>
          <t>avverkningsanmälan</t>
        </is>
      </c>
      <c r="C5528" t="inlineStr">
        <is>
          <t>Avverkning för att bevara och utveckla /försöksver</t>
        </is>
      </c>
      <c r="D5528" s="1" t="n">
        <v>45810</v>
      </c>
      <c r="E5528" s="1" t="n">
        <v>46319</v>
      </c>
      <c r="F5528" t="inlineStr">
        <is>
          <t>DALARNAS LÄN</t>
        </is>
      </c>
      <c r="G5528" t="inlineStr">
        <is>
          <t>LUDVIKA</t>
        </is>
      </c>
      <c r="H5528" t="inlineStr">
        <is>
          <t>Kommuner</t>
        </is>
      </c>
      <c r="I5528" t="n">
        <v>3.1</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33204-2026</t>
        </is>
      </c>
      <c r="B5529" t="inlineStr">
        <is>
          <t>avverkningsanmälan</t>
        </is>
      </c>
      <c r="C5529" t="inlineStr">
        <is>
          <t>Föryngringsavverkning</t>
        </is>
      </c>
      <c r="D5529" s="1" t="n">
        <v>46246</v>
      </c>
      <c r="E5529" s="1" t="n">
        <v>46319</v>
      </c>
      <c r="F5529" t="inlineStr">
        <is>
          <t>DALARNAS LÄN</t>
        </is>
      </c>
      <c r="G5529" t="inlineStr">
        <is>
          <t>ÄLVDALEN</t>
        </is>
      </c>
      <c r="I5529" t="n">
        <v>6.9</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39878-2026</t>
        </is>
      </c>
      <c r="B5530" t="inlineStr">
        <is>
          <t>avverkningsanmälan</t>
        </is>
      </c>
      <c r="C5530" t="inlineStr">
        <is>
          <t>Föryngringsavverkning</t>
        </is>
      </c>
      <c r="D5530" s="1" t="n">
        <v>46290</v>
      </c>
      <c r="E5530" s="1" t="n">
        <v>46319</v>
      </c>
      <c r="F5530" t="inlineStr">
        <is>
          <t>DALARNAS LÄN</t>
        </is>
      </c>
      <c r="G5530" t="inlineStr">
        <is>
          <t>LUDVIKA</t>
        </is>
      </c>
      <c r="H5530" t="inlineStr">
        <is>
          <t>Bergvik skog väst AB</t>
        </is>
      </c>
      <c r="I5530" t="n">
        <v>7</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39883-2026</t>
        </is>
      </c>
      <c r="B5531" t="inlineStr">
        <is>
          <t>avverkningsanmälan</t>
        </is>
      </c>
      <c r="C5531" t="inlineStr">
        <is>
          <t>Föryngringsavverkning</t>
        </is>
      </c>
      <c r="D5531" s="1" t="n">
        <v>46290</v>
      </c>
      <c r="E5531" s="1" t="n">
        <v>46319</v>
      </c>
      <c r="F5531" t="inlineStr">
        <is>
          <t>DALARNAS LÄN</t>
        </is>
      </c>
      <c r="G5531" t="inlineStr">
        <is>
          <t>SÄTER</t>
        </is>
      </c>
      <c r="H5531" t="inlineStr">
        <is>
          <t>Bergvik skog väst AB</t>
        </is>
      </c>
      <c r="I5531" t="n">
        <v>2.5</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7353-2026</t>
        </is>
      </c>
      <c r="B5532" t="inlineStr">
        <is>
          <t>avverkningsanmälan</t>
        </is>
      </c>
      <c r="C5532" t="inlineStr">
        <is>
          <t>Föryngringsavverkning</t>
        </is>
      </c>
      <c r="D5532" s="1" t="n">
        <v>46059</v>
      </c>
      <c r="E5532" s="1" t="n">
        <v>46319</v>
      </c>
      <c r="F5532" t="inlineStr">
        <is>
          <t>DALARNAS LÄN</t>
        </is>
      </c>
      <c r="G5532" t="inlineStr">
        <is>
          <t>MALUNG-SÄLEN</t>
        </is>
      </c>
      <c r="I5532" t="n">
        <v>7</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37049-2023</t>
        </is>
      </c>
      <c r="B5533" t="inlineStr">
        <is>
          <t>avverkningsanmälan</t>
        </is>
      </c>
      <c r="C5533" t="inlineStr">
        <is>
          <t>Föryngringsavverkning</t>
        </is>
      </c>
      <c r="D5533" s="1" t="n">
        <v>45155</v>
      </c>
      <c r="E5533" s="1" t="n">
        <v>46319</v>
      </c>
      <c r="F5533" t="inlineStr">
        <is>
          <t>DALARNAS LÄN</t>
        </is>
      </c>
      <c r="G5533" t="inlineStr">
        <is>
          <t>FALUN</t>
        </is>
      </c>
      <c r="I5533" t="n">
        <v>0.9</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26731-2025</t>
        </is>
      </c>
      <c r="B5534" t="inlineStr">
        <is>
          <t>avverkningsanmälan</t>
        </is>
      </c>
      <c r="C5534" t="inlineStr">
        <is>
          <t>Föryngringsavverkning</t>
        </is>
      </c>
      <c r="D5534" s="1" t="n">
        <v>45810</v>
      </c>
      <c r="E5534" s="1" t="n">
        <v>46319</v>
      </c>
      <c r="F5534" t="inlineStr">
        <is>
          <t>DALARNAS LÄN</t>
        </is>
      </c>
      <c r="G5534" t="inlineStr">
        <is>
          <t>MORA</t>
        </is>
      </c>
      <c r="I5534" t="n">
        <v>0.6</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40424-2026</t>
        </is>
      </c>
      <c r="B5535" t="inlineStr">
        <is>
          <t>avverkningsanmälan</t>
        </is>
      </c>
      <c r="C5535" t="inlineStr">
        <is>
          <t>Föryngringsavverkning</t>
        </is>
      </c>
      <c r="D5535" s="1" t="n">
        <v>46294</v>
      </c>
      <c r="E5535" s="1" t="n">
        <v>46319</v>
      </c>
      <c r="F5535" t="inlineStr">
        <is>
          <t>DALARNAS LÄN</t>
        </is>
      </c>
      <c r="G5535" t="inlineStr">
        <is>
          <t>VANSBRO</t>
        </is>
      </c>
      <c r="H5535" t="inlineStr">
        <is>
          <t>Bergvik skog väst AB</t>
        </is>
      </c>
      <c r="I5535" t="n">
        <v>10.1</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7418-2026</t>
        </is>
      </c>
      <c r="B5536" t="inlineStr">
        <is>
          <t>avverkningsanmälan</t>
        </is>
      </c>
      <c r="C5536" t="inlineStr">
        <is>
          <t>Föryngringsavverkning</t>
        </is>
      </c>
      <c r="D5536" s="1" t="n">
        <v>46059</v>
      </c>
      <c r="E5536" s="1" t="n">
        <v>46319</v>
      </c>
      <c r="F5536" t="inlineStr">
        <is>
          <t>DALARNAS LÄN</t>
        </is>
      </c>
      <c r="G5536" t="inlineStr">
        <is>
          <t>MORA</t>
        </is>
      </c>
      <c r="I5536" t="n">
        <v>4</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26741-2025</t>
        </is>
      </c>
      <c r="B5537" t="inlineStr">
        <is>
          <t>avverkningsanmälan</t>
        </is>
      </c>
      <c r="C5537" t="inlineStr">
        <is>
          <t>Föryngringsavverkning</t>
        </is>
      </c>
      <c r="D5537" s="1" t="n">
        <v>45810</v>
      </c>
      <c r="E5537" s="1" t="n">
        <v>46319</v>
      </c>
      <c r="F5537" t="inlineStr">
        <is>
          <t>DALARNAS LÄN</t>
        </is>
      </c>
      <c r="G5537" t="inlineStr">
        <is>
          <t>ORSA</t>
        </is>
      </c>
      <c r="I5537" t="n">
        <v>0.7</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40429-2026</t>
        </is>
      </c>
      <c r="B5538" t="inlineStr">
        <is>
          <t>avverkningsanmälan</t>
        </is>
      </c>
      <c r="C5538" t="inlineStr">
        <is>
          <t>Föryngringsavverkning</t>
        </is>
      </c>
      <c r="D5538" s="1" t="n">
        <v>46294</v>
      </c>
      <c r="E5538" s="1" t="n">
        <v>46319</v>
      </c>
      <c r="F5538" t="inlineStr">
        <is>
          <t>DALARNAS LÄN</t>
        </is>
      </c>
      <c r="G5538" t="inlineStr">
        <is>
          <t>ÄLVDALEN</t>
        </is>
      </c>
      <c r="I5538" t="n">
        <v>0.6</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40431-2026</t>
        </is>
      </c>
      <c r="B5539" t="inlineStr">
        <is>
          <t>avverkningsanmälan</t>
        </is>
      </c>
      <c r="C5539" t="inlineStr">
        <is>
          <t>Föryngringsavverkning</t>
        </is>
      </c>
      <c r="D5539" s="1" t="n">
        <v>46294</v>
      </c>
      <c r="E5539" s="1" t="n">
        <v>46319</v>
      </c>
      <c r="F5539" t="inlineStr">
        <is>
          <t>DALARNAS LÄN</t>
        </is>
      </c>
      <c r="G5539" t="inlineStr">
        <is>
          <t>LUDVIKA</t>
        </is>
      </c>
      <c r="H5539" t="inlineStr">
        <is>
          <t>Bergvik skog väst AB</t>
        </is>
      </c>
      <c r="I5539" t="n">
        <v>6.7</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7696-2026</t>
        </is>
      </c>
      <c r="B5540" t="inlineStr">
        <is>
          <t>avverkningsanmälan</t>
        </is>
      </c>
      <c r="C5540" t="inlineStr">
        <is>
          <t>Föryngringsavverkning</t>
        </is>
      </c>
      <c r="D5540" s="1" t="n">
        <v>46062</v>
      </c>
      <c r="E5540" s="1" t="n">
        <v>46319</v>
      </c>
      <c r="F5540" t="inlineStr">
        <is>
          <t>DALARNAS LÄN</t>
        </is>
      </c>
      <c r="G5540" t="inlineStr">
        <is>
          <t>FALUN</t>
        </is>
      </c>
      <c r="I5540" t="n">
        <v>1.5</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3655-2026</t>
        </is>
      </c>
      <c r="B5541" t="inlineStr">
        <is>
          <t>avverkningsanmälan</t>
        </is>
      </c>
      <c r="C5541" t="inlineStr">
        <is>
          <t>Föryngringsavverkning</t>
        </is>
      </c>
      <c r="D5541" s="1" t="n">
        <v>46043</v>
      </c>
      <c r="E5541" s="1" t="n">
        <v>46319</v>
      </c>
      <c r="F5541" t="inlineStr">
        <is>
          <t>DALARNAS LÄN</t>
        </is>
      </c>
      <c r="G5541" t="inlineStr">
        <is>
          <t>BORLÄNGE</t>
        </is>
      </c>
      <c r="I5541" t="n">
        <v>2.9</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58841-2023</t>
        </is>
      </c>
      <c r="B5542" t="inlineStr">
        <is>
          <t>avverkningsanmälan</t>
        </is>
      </c>
      <c r="C5542" t="inlineStr">
        <is>
          <t>Föryngringsavverkning</t>
        </is>
      </c>
      <c r="D5542" s="1" t="n">
        <v>45252</v>
      </c>
      <c r="E5542" s="1" t="n">
        <v>46319</v>
      </c>
      <c r="F5542" t="inlineStr">
        <is>
          <t>DALARNAS LÄN</t>
        </is>
      </c>
      <c r="G5542" t="inlineStr">
        <is>
          <t>HEDEMORA</t>
        </is>
      </c>
      <c r="I5542" t="n">
        <v>14.8</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46466-2024</t>
        </is>
      </c>
      <c r="B5543" t="inlineStr">
        <is>
          <t>avverkningsanmälan</t>
        </is>
      </c>
      <c r="C5543" t="inlineStr">
        <is>
          <t>Föryngringsavverkning</t>
        </is>
      </c>
      <c r="D5543" s="1" t="n">
        <v>45582</v>
      </c>
      <c r="E5543" s="1" t="n">
        <v>46319</v>
      </c>
      <c r="F5543" t="inlineStr">
        <is>
          <t>DALARNAS LÄN</t>
        </is>
      </c>
      <c r="G5543" t="inlineStr">
        <is>
          <t>VANSBRO</t>
        </is>
      </c>
      <c r="I5543" t="n">
        <v>1.3</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33596-2026</t>
        </is>
      </c>
      <c r="B5544" t="inlineStr">
        <is>
          <t>avverkningsanmälan</t>
        </is>
      </c>
      <c r="C5544" t="inlineStr">
        <is>
          <t>Föryngringsavverkning</t>
        </is>
      </c>
      <c r="D5544" s="1" t="n">
        <v>46248</v>
      </c>
      <c r="E5544" s="1" t="n">
        <v>46319</v>
      </c>
      <c r="F5544" t="inlineStr">
        <is>
          <t>DALARNAS LÄN</t>
        </is>
      </c>
      <c r="G5544" t="inlineStr">
        <is>
          <t>FALUN</t>
        </is>
      </c>
      <c r="I5544" t="n">
        <v>3.4</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33598-2026</t>
        </is>
      </c>
      <c r="B5545" t="inlineStr">
        <is>
          <t>avverkningsanmälan</t>
        </is>
      </c>
      <c r="C5545" t="inlineStr">
        <is>
          <t>Föryngringsavverkning</t>
        </is>
      </c>
      <c r="D5545" s="1" t="n">
        <v>46248</v>
      </c>
      <c r="E5545" s="1" t="n">
        <v>46319</v>
      </c>
      <c r="F5545" t="inlineStr">
        <is>
          <t>DALARNAS LÄN</t>
        </is>
      </c>
      <c r="G5545" t="inlineStr">
        <is>
          <t>ORSA</t>
        </is>
      </c>
      <c r="I5545" t="n">
        <v>8.1</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7493-2026</t>
        </is>
      </c>
      <c r="B5546" t="inlineStr">
        <is>
          <t>avverkningsanmälan</t>
        </is>
      </c>
      <c r="C5546" t="inlineStr">
        <is>
          <t>Föryngringsavverkning</t>
        </is>
      </c>
      <c r="D5546" s="1" t="n">
        <v>46059</v>
      </c>
      <c r="E5546" s="1" t="n">
        <v>46319</v>
      </c>
      <c r="F5546" t="inlineStr">
        <is>
          <t>DALARNAS LÄN</t>
        </is>
      </c>
      <c r="G5546" t="inlineStr">
        <is>
          <t>FALUN</t>
        </is>
      </c>
      <c r="I5546" t="n">
        <v>4</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7795-2026</t>
        </is>
      </c>
      <c r="B5547" t="inlineStr">
        <is>
          <t>avverkningsanmälan</t>
        </is>
      </c>
      <c r="C5547" t="inlineStr">
        <is>
          <t>Föryngringsavverkning</t>
        </is>
      </c>
      <c r="D5547" s="1" t="n">
        <v>46062</v>
      </c>
      <c r="E5547" s="1" t="n">
        <v>46319</v>
      </c>
      <c r="F5547" t="inlineStr">
        <is>
          <t>DALARNAS LÄN</t>
        </is>
      </c>
      <c r="G5547" t="inlineStr">
        <is>
          <t>ÄLVDALEN</t>
        </is>
      </c>
      <c r="I5547" t="n">
        <v>0.4</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7802-2026</t>
        </is>
      </c>
      <c r="B5548" t="inlineStr">
        <is>
          <t>avverkningsanmälan</t>
        </is>
      </c>
      <c r="C5548" t="inlineStr">
        <is>
          <t>Föryngringsavverkning</t>
        </is>
      </c>
      <c r="D5548" s="1" t="n">
        <v>46062</v>
      </c>
      <c r="E5548" s="1" t="n">
        <v>46319</v>
      </c>
      <c r="F5548" t="inlineStr">
        <is>
          <t>DALARNAS LÄN</t>
        </is>
      </c>
      <c r="G5548" t="inlineStr">
        <is>
          <t>ÄLVDALEN</t>
        </is>
      </c>
      <c r="I5548" t="n">
        <v>0.5</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7424-2026</t>
        </is>
      </c>
      <c r="B5549" t="inlineStr">
        <is>
          <t>avverkningsanmälan</t>
        </is>
      </c>
      <c r="C5549" t="inlineStr">
        <is>
          <t>Föryngringsavverkning</t>
        </is>
      </c>
      <c r="D5549" s="1" t="n">
        <v>46059</v>
      </c>
      <c r="E5549" s="1" t="n">
        <v>46319</v>
      </c>
      <c r="F5549" t="inlineStr">
        <is>
          <t>DALARNAS LÄN</t>
        </is>
      </c>
      <c r="G5549" t="inlineStr">
        <is>
          <t>MALUNG-SÄLEN</t>
        </is>
      </c>
      <c r="I5549" t="n">
        <v>2.7</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7663-2026</t>
        </is>
      </c>
      <c r="B5550" t="inlineStr">
        <is>
          <t>avverkningsanmälan</t>
        </is>
      </c>
      <c r="C5550" t="inlineStr">
        <is>
          <t>Föryngringsavverkning</t>
        </is>
      </c>
      <c r="D5550" s="1" t="n">
        <v>46062</v>
      </c>
      <c r="E5550" s="1" t="n">
        <v>46319</v>
      </c>
      <c r="F5550" t="inlineStr">
        <is>
          <t>DALARNAS LÄN</t>
        </is>
      </c>
      <c r="G5550" t="inlineStr">
        <is>
          <t>RÄTTVIK</t>
        </is>
      </c>
      <c r="I5550" t="n">
        <v>0.3</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7423-2026</t>
        </is>
      </c>
      <c r="B5551" t="inlineStr">
        <is>
          <t>avverkningsanmälan</t>
        </is>
      </c>
      <c r="C5551" t="inlineStr">
        <is>
          <t>Föryngringsavverkning</t>
        </is>
      </c>
      <c r="D5551" s="1" t="n">
        <v>46059</v>
      </c>
      <c r="E5551" s="1" t="n">
        <v>46319</v>
      </c>
      <c r="F5551" t="inlineStr">
        <is>
          <t>DALARNAS LÄN</t>
        </is>
      </c>
      <c r="G5551" t="inlineStr">
        <is>
          <t>MALUNG-SÄLEN</t>
        </is>
      </c>
      <c r="I5551" t="n">
        <v>3</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7779-2026</t>
        </is>
      </c>
      <c r="B5552" t="inlineStr">
        <is>
          <t>avverkningsanmälan</t>
        </is>
      </c>
      <c r="C5552" t="inlineStr">
        <is>
          <t>Föryngringsavverkning</t>
        </is>
      </c>
      <c r="D5552" s="1" t="n">
        <v>46062</v>
      </c>
      <c r="E5552" s="1" t="n">
        <v>46319</v>
      </c>
      <c r="F5552" t="inlineStr">
        <is>
          <t>DALARNAS LÄN</t>
        </is>
      </c>
      <c r="G5552" t="inlineStr">
        <is>
          <t>VANSBRO</t>
        </is>
      </c>
      <c r="I5552" t="n">
        <v>1.3</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7782-2026</t>
        </is>
      </c>
      <c r="B5553" t="inlineStr">
        <is>
          <t>avverkningsanmälan</t>
        </is>
      </c>
      <c r="C5553" t="inlineStr">
        <is>
          <t>Föryngringsavverkning</t>
        </is>
      </c>
      <c r="D5553" s="1" t="n">
        <v>46062</v>
      </c>
      <c r="E5553" s="1" t="n">
        <v>46319</v>
      </c>
      <c r="F5553" t="inlineStr">
        <is>
          <t>DALARNAS LÄN</t>
        </is>
      </c>
      <c r="G5553" t="inlineStr">
        <is>
          <t>ÄLVDALEN</t>
        </is>
      </c>
      <c r="I5553" t="n">
        <v>5.2</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7790-2026</t>
        </is>
      </c>
      <c r="B5554" t="inlineStr">
        <is>
          <t>avverkningsanmälan</t>
        </is>
      </c>
      <c r="C5554" t="inlineStr">
        <is>
          <t>Föryngringsavverkning</t>
        </is>
      </c>
      <c r="D5554" s="1" t="n">
        <v>46062</v>
      </c>
      <c r="E5554" s="1" t="n">
        <v>46319</v>
      </c>
      <c r="F5554" t="inlineStr">
        <is>
          <t>DALARNAS LÄN</t>
        </is>
      </c>
      <c r="G5554" t="inlineStr">
        <is>
          <t>RÄTTVIK</t>
        </is>
      </c>
      <c r="I5554" t="n">
        <v>2</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26711-2025</t>
        </is>
      </c>
      <c r="B5555" t="inlineStr">
        <is>
          <t>avverkningsanmälan</t>
        </is>
      </c>
      <c r="C5555" t="inlineStr">
        <is>
          <t>Föryngringsavverkning</t>
        </is>
      </c>
      <c r="D5555" s="1" t="n">
        <v>45810</v>
      </c>
      <c r="E5555" s="1" t="n">
        <v>46319</v>
      </c>
      <c r="F5555" t="inlineStr">
        <is>
          <t>DALARNAS LÄN</t>
        </is>
      </c>
      <c r="G5555" t="inlineStr">
        <is>
          <t>MORA</t>
        </is>
      </c>
      <c r="I5555" t="n">
        <v>0.5</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7422-2026</t>
        </is>
      </c>
      <c r="B5556" t="inlineStr">
        <is>
          <t>avverkningsanmälan</t>
        </is>
      </c>
      <c r="C5556" t="inlineStr">
        <is>
          <t>Föryngringsavverkning</t>
        </is>
      </c>
      <c r="D5556" s="1" t="n">
        <v>46059</v>
      </c>
      <c r="E5556" s="1" t="n">
        <v>46319</v>
      </c>
      <c r="F5556" t="inlineStr">
        <is>
          <t>DALARNAS LÄN</t>
        </is>
      </c>
      <c r="G5556" t="inlineStr">
        <is>
          <t>MALUNG-SÄLEN</t>
        </is>
      </c>
      <c r="I5556" t="n">
        <v>11.4</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33593-2024</t>
        </is>
      </c>
      <c r="B5557" t="inlineStr">
        <is>
          <t>avverkningsanmälan</t>
        </is>
      </c>
      <c r="C5557" t="inlineStr">
        <is>
          <t>Föryngringsavverkning</t>
        </is>
      </c>
      <c r="D5557" s="1" t="n">
        <v>45520</v>
      </c>
      <c r="E5557" s="1" t="n">
        <v>46319</v>
      </c>
      <c r="F5557" t="inlineStr">
        <is>
          <t>DALARNAS LÄN</t>
        </is>
      </c>
      <c r="G5557" t="inlineStr">
        <is>
          <t>LEKSAND</t>
        </is>
      </c>
      <c r="I5557" t="n">
        <v>0.3</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36534-2024</t>
        </is>
      </c>
      <c r="B5558" t="inlineStr">
        <is>
          <t>avverkningsanmälan</t>
        </is>
      </c>
      <c r="C5558" t="inlineStr">
        <is>
          <t>Föryngringsavverkning</t>
        </is>
      </c>
      <c r="D5558" s="1" t="n">
        <v>45537</v>
      </c>
      <c r="E5558" s="1" t="n">
        <v>46319</v>
      </c>
      <c r="F5558" t="inlineStr">
        <is>
          <t>DALARNAS LÄN</t>
        </is>
      </c>
      <c r="G5558" t="inlineStr">
        <is>
          <t>LEKSAND</t>
        </is>
      </c>
      <c r="I5558" t="n">
        <v>4</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32886-2022</t>
        </is>
      </c>
      <c r="B5559" t="inlineStr">
        <is>
          <t>avverkningsanmälan</t>
        </is>
      </c>
      <c r="C5559" t="inlineStr">
        <is>
          <t>Föryngringsavverkning</t>
        </is>
      </c>
      <c r="D5559" s="1" t="n">
        <v>44784</v>
      </c>
      <c r="E5559" s="1" t="n">
        <v>46319</v>
      </c>
      <c r="F5559" t="inlineStr">
        <is>
          <t>DALARNAS LÄN</t>
        </is>
      </c>
      <c r="G5559" t="inlineStr">
        <is>
          <t>SÄTER</t>
        </is>
      </c>
      <c r="I5559" t="n">
        <v>10.9</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7788-2026</t>
        </is>
      </c>
      <c r="B5560" t="inlineStr">
        <is>
          <t>avverkningsanmälan</t>
        </is>
      </c>
      <c r="C5560" t="inlineStr">
        <is>
          <t>Föryngringsavverkning</t>
        </is>
      </c>
      <c r="D5560" s="1" t="n">
        <v>46062</v>
      </c>
      <c r="E5560" s="1" t="n">
        <v>46319</v>
      </c>
      <c r="F5560" t="inlineStr">
        <is>
          <t>DALARNAS LÄN</t>
        </is>
      </c>
      <c r="G5560" t="inlineStr">
        <is>
          <t>ÄLVDALEN</t>
        </is>
      </c>
      <c r="I5560" t="n">
        <v>0.9</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7805-2026</t>
        </is>
      </c>
      <c r="B5561" t="inlineStr">
        <is>
          <t>avverkningsanmälan</t>
        </is>
      </c>
      <c r="C5561" t="inlineStr">
        <is>
          <t>Föryngringsavverkning</t>
        </is>
      </c>
      <c r="D5561" s="1" t="n">
        <v>46062</v>
      </c>
      <c r="E5561" s="1" t="n">
        <v>46319</v>
      </c>
      <c r="F5561" t="inlineStr">
        <is>
          <t>DALARNAS LÄN</t>
        </is>
      </c>
      <c r="G5561" t="inlineStr">
        <is>
          <t>RÄTTVIK</t>
        </is>
      </c>
      <c r="I5561" t="n">
        <v>5.1</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26990-2025</t>
        </is>
      </c>
      <c r="B5562" t="inlineStr">
        <is>
          <t>avverkningsanmälan</t>
        </is>
      </c>
      <c r="C5562" t="inlineStr">
        <is>
          <t>Föryngringsavverkning</t>
        </is>
      </c>
      <c r="D5562" s="1" t="n">
        <v>45811</v>
      </c>
      <c r="E5562" s="1" t="n">
        <v>46319</v>
      </c>
      <c r="F5562" t="inlineStr">
        <is>
          <t>DALARNAS LÄN</t>
        </is>
      </c>
      <c r="G5562" t="inlineStr">
        <is>
          <t>VANSBRO</t>
        </is>
      </c>
      <c r="I5562" t="n">
        <v>0.8</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18502-2026</t>
        </is>
      </c>
      <c r="B5563" t="inlineStr">
        <is>
          <t>avverkningsanmälan</t>
        </is>
      </c>
      <c r="C5563" t="inlineStr">
        <is>
          <t>Föryngringsavverkning</t>
        </is>
      </c>
      <c r="D5563" s="1" t="n">
        <v>46127</v>
      </c>
      <c r="E5563" s="1" t="n">
        <v>46319</v>
      </c>
      <c r="F5563" t="inlineStr">
        <is>
          <t>DALARNAS LÄN</t>
        </is>
      </c>
      <c r="G5563" t="inlineStr">
        <is>
          <t>FALUN</t>
        </is>
      </c>
      <c r="H5563" t="inlineStr">
        <is>
          <t>Bergvik skog väst AB</t>
        </is>
      </c>
      <c r="I5563" t="n">
        <v>4.6</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33689-2026</t>
        </is>
      </c>
      <c r="B5564" t="inlineStr">
        <is>
          <t>avverkningsanmälan</t>
        </is>
      </c>
      <c r="C5564" t="inlineStr">
        <is>
          <t>Föryngringsavverkning</t>
        </is>
      </c>
      <c r="D5564" s="1" t="n">
        <v>46248</v>
      </c>
      <c r="E5564" s="1" t="n">
        <v>46319</v>
      </c>
      <c r="F5564" t="inlineStr">
        <is>
          <t>DALARNAS LÄN</t>
        </is>
      </c>
      <c r="G5564" t="inlineStr">
        <is>
          <t>LUDVIKA</t>
        </is>
      </c>
      <c r="I5564" t="n">
        <v>5.5</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47685-2023</t>
        </is>
      </c>
      <c r="B5565" t="inlineStr">
        <is>
          <t>avverkningsanmälan</t>
        </is>
      </c>
      <c r="C5565" t="inlineStr">
        <is>
          <t>Föryngringsavverkning</t>
        </is>
      </c>
      <c r="D5565" s="1" t="n">
        <v>45203</v>
      </c>
      <c r="E5565" s="1" t="n">
        <v>46319</v>
      </c>
      <c r="F5565" t="inlineStr">
        <is>
          <t>DALARNAS LÄN</t>
        </is>
      </c>
      <c r="G5565" t="inlineStr">
        <is>
          <t>FALUN</t>
        </is>
      </c>
      <c r="I5565" t="n">
        <v>0.7</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60786-2023</t>
        </is>
      </c>
      <c r="B5566" t="inlineStr">
        <is>
          <t>avverkningsanmälan</t>
        </is>
      </c>
      <c r="C5566" t="inlineStr">
        <is>
          <t>Föryngringsavverkning</t>
        </is>
      </c>
      <c r="D5566" s="1" t="n">
        <v>45260</v>
      </c>
      <c r="E5566" s="1" t="n">
        <v>46319</v>
      </c>
      <c r="F5566" t="inlineStr">
        <is>
          <t>DALARNAS LÄN</t>
        </is>
      </c>
      <c r="G5566" t="inlineStr">
        <is>
          <t>HEDEMORA</t>
        </is>
      </c>
      <c r="I5566" t="n">
        <v>7.1</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42954-2023</t>
        </is>
      </c>
      <c r="B5567" t="inlineStr">
        <is>
          <t>avverkningsanmälan</t>
        </is>
      </c>
      <c r="C5567" t="inlineStr">
        <is>
          <t>Föryngringsavverkning</t>
        </is>
      </c>
      <c r="D5567" s="1" t="n">
        <v>45182</v>
      </c>
      <c r="E5567" s="1" t="n">
        <v>46319</v>
      </c>
      <c r="F5567" t="inlineStr">
        <is>
          <t>DALARNAS LÄN</t>
        </is>
      </c>
      <c r="G5567" t="inlineStr">
        <is>
          <t>FALUN</t>
        </is>
      </c>
      <c r="I5567" t="n">
        <v>0.5</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3657-2026</t>
        </is>
      </c>
      <c r="B5568" t="inlineStr">
        <is>
          <t>avverkningsanmälan</t>
        </is>
      </c>
      <c r="C5568" t="inlineStr">
        <is>
          <t>Föryngringsavverkning</t>
        </is>
      </c>
      <c r="D5568" s="1" t="n">
        <v>46043</v>
      </c>
      <c r="E5568" s="1" t="n">
        <v>46319</v>
      </c>
      <c r="F5568" t="inlineStr">
        <is>
          <t>DALARNAS LÄN</t>
        </is>
      </c>
      <c r="G5568" t="inlineStr">
        <is>
          <t>FALUN</t>
        </is>
      </c>
      <c r="I5568" t="n">
        <v>2.2</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26995-2025</t>
        </is>
      </c>
      <c r="B5569" t="inlineStr">
        <is>
          <t>avverkningsanmälan</t>
        </is>
      </c>
      <c r="C5569" t="inlineStr">
        <is>
          <t>Föryngringsavverkning</t>
        </is>
      </c>
      <c r="D5569" s="1" t="n">
        <v>45811</v>
      </c>
      <c r="E5569" s="1" t="n">
        <v>46319</v>
      </c>
      <c r="F5569" t="inlineStr">
        <is>
          <t>DALARNAS LÄN</t>
        </is>
      </c>
      <c r="G5569" t="inlineStr">
        <is>
          <t>VANSBRO</t>
        </is>
      </c>
      <c r="I5569" t="n">
        <v>2.2</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27057-2025</t>
        </is>
      </c>
      <c r="B5570" t="inlineStr">
        <is>
          <t>avverkningsanmälan</t>
        </is>
      </c>
      <c r="C5570" t="inlineStr">
        <is>
          <t>Föryngringsavverkning</t>
        </is>
      </c>
      <c r="D5570" s="1" t="n">
        <v>45811</v>
      </c>
      <c r="E5570" s="1" t="n">
        <v>46319</v>
      </c>
      <c r="F5570" t="inlineStr">
        <is>
          <t>DALARNAS LÄN</t>
        </is>
      </c>
      <c r="G5570" t="inlineStr">
        <is>
          <t>SÄTER</t>
        </is>
      </c>
      <c r="I5570" t="n">
        <v>5.1</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40115-2026</t>
        </is>
      </c>
      <c r="B5571" t="inlineStr">
        <is>
          <t>avverkningsanmälan</t>
        </is>
      </c>
      <c r="C5571" t="inlineStr">
        <is>
          <t>Föryngringsavverkning</t>
        </is>
      </c>
      <c r="D5571" s="1" t="n">
        <v>46293</v>
      </c>
      <c r="E5571" s="1" t="n">
        <v>46319</v>
      </c>
      <c r="F5571" t="inlineStr">
        <is>
          <t>DALARNAS LÄN</t>
        </is>
      </c>
      <c r="G5571" t="inlineStr">
        <is>
          <t>LEKSAND</t>
        </is>
      </c>
      <c r="I5571" t="n">
        <v>2.8</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7663-2026</t>
        </is>
      </c>
      <c r="B5572" t="inlineStr">
        <is>
          <t>avverkningsanmälan</t>
        </is>
      </c>
      <c r="C5572" t="inlineStr">
        <is>
          <t>Föryngringsavverkning</t>
        </is>
      </c>
      <c r="D5572" s="1" t="n">
        <v>46062</v>
      </c>
      <c r="E5572" s="1" t="n">
        <v>46319</v>
      </c>
      <c r="F5572" t="inlineStr">
        <is>
          <t>DALARNAS LÄN</t>
        </is>
      </c>
      <c r="G5572" t="inlineStr">
        <is>
          <t>RÄTTVIK</t>
        </is>
      </c>
      <c r="I5572" t="n">
        <v>0.8</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7587-2025</t>
        </is>
      </c>
      <c r="B5573" t="inlineStr">
        <is>
          <t>avverkningsanmälan</t>
        </is>
      </c>
      <c r="C5573" t="inlineStr">
        <is>
          <t>Föryngringsavverkning</t>
        </is>
      </c>
      <c r="D5573" s="1" t="n">
        <v>45705</v>
      </c>
      <c r="E5573" s="1" t="n">
        <v>46319</v>
      </c>
      <c r="F5573" t="inlineStr">
        <is>
          <t>DALARNAS LÄN</t>
        </is>
      </c>
      <c r="G5573" t="inlineStr">
        <is>
          <t>FALUN</t>
        </is>
      </c>
      <c r="I5573" t="n">
        <v>2.8</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27233-2025</t>
        </is>
      </c>
      <c r="B5574" t="inlineStr">
        <is>
          <t>avverkningsanmälan</t>
        </is>
      </c>
      <c r="C5574" t="inlineStr">
        <is>
          <t>Föryngringsavverkning</t>
        </is>
      </c>
      <c r="D5574" s="1" t="n">
        <v>45812</v>
      </c>
      <c r="E5574" s="1" t="n">
        <v>46319</v>
      </c>
      <c r="F5574" t="inlineStr">
        <is>
          <t>DALARNAS LÄN</t>
        </is>
      </c>
      <c r="G5574" t="inlineStr">
        <is>
          <t>BORLÄNGE</t>
        </is>
      </c>
      <c r="I5574" t="n">
        <v>2.3</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27261-2025</t>
        </is>
      </c>
      <c r="B5575" t="inlineStr">
        <is>
          <t>avverkningsanmälan</t>
        </is>
      </c>
      <c r="C5575" t="inlineStr">
        <is>
          <t>Föryngringsavverkning</t>
        </is>
      </c>
      <c r="D5575" s="1" t="n">
        <v>45812</v>
      </c>
      <c r="E5575" s="1" t="n">
        <v>46319</v>
      </c>
      <c r="F5575" t="inlineStr">
        <is>
          <t>DALARNAS LÄN</t>
        </is>
      </c>
      <c r="G5575" t="inlineStr">
        <is>
          <t>ÄLVDALEN</t>
        </is>
      </c>
      <c r="H5575" t="inlineStr">
        <is>
          <t>Bergvik skog väst AB</t>
        </is>
      </c>
      <c r="I5575" t="n">
        <v>9.5</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33691-2026</t>
        </is>
      </c>
      <c r="B5576" t="inlineStr">
        <is>
          <t>avverkningsanmälan</t>
        </is>
      </c>
      <c r="C5576" t="inlineStr">
        <is>
          <t>Föryngringsavverkning</t>
        </is>
      </c>
      <c r="D5576" s="1" t="n">
        <v>46248</v>
      </c>
      <c r="E5576" s="1" t="n">
        <v>46319</v>
      </c>
      <c r="F5576" t="inlineStr">
        <is>
          <t>DALARNAS LÄN</t>
        </is>
      </c>
      <c r="G5576" t="inlineStr">
        <is>
          <t>LEKSAND</t>
        </is>
      </c>
      <c r="H5576" t="inlineStr">
        <is>
          <t>Bergvik skog väst AB</t>
        </is>
      </c>
      <c r="I5576" t="n">
        <v>0.6</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39780-2024</t>
        </is>
      </c>
      <c r="B5577" t="inlineStr">
        <is>
          <t>avverkningsanmälan</t>
        </is>
      </c>
      <c r="C5577" t="inlineStr">
        <is>
          <t>Föryngringsavverkning</t>
        </is>
      </c>
      <c r="D5577" s="1" t="n">
        <v>45552</v>
      </c>
      <c r="E5577" s="1" t="n">
        <v>46319</v>
      </c>
      <c r="F5577" t="inlineStr">
        <is>
          <t>DALARNAS LÄN</t>
        </is>
      </c>
      <c r="G5577" t="inlineStr">
        <is>
          <t>SÄTER</t>
        </is>
      </c>
      <c r="I5577" t="n">
        <v>3.5</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8116-2026</t>
        </is>
      </c>
      <c r="B5578" t="inlineStr">
        <is>
          <t>avverkningsanmälan</t>
        </is>
      </c>
      <c r="C5578" t="inlineStr">
        <is>
          <t>Föryngringsavverkning</t>
        </is>
      </c>
      <c r="D5578" s="1" t="n">
        <v>46062</v>
      </c>
      <c r="E5578" s="1" t="n">
        <v>46319</v>
      </c>
      <c r="F5578" t="inlineStr">
        <is>
          <t>DALARNAS LÄN</t>
        </is>
      </c>
      <c r="G5578" t="inlineStr">
        <is>
          <t>BORLÄNGE</t>
        </is>
      </c>
      <c r="I5578" t="n">
        <v>3.4</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27158-2025</t>
        </is>
      </c>
      <c r="B5579" t="inlineStr">
        <is>
          <t>avverkningsanmälan</t>
        </is>
      </c>
      <c r="C5579" t="inlineStr">
        <is>
          <t>Föryngringsavverkning</t>
        </is>
      </c>
      <c r="D5579" s="1" t="n">
        <v>45812</v>
      </c>
      <c r="E5579" s="1" t="n">
        <v>46319</v>
      </c>
      <c r="F5579" t="inlineStr">
        <is>
          <t>DALARNAS LÄN</t>
        </is>
      </c>
      <c r="G5579" t="inlineStr">
        <is>
          <t>FALUN</t>
        </is>
      </c>
      <c r="I5579" t="n">
        <v>13.4</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33612-2026</t>
        </is>
      </c>
      <c r="B5580" t="inlineStr">
        <is>
          <t>avverkningsanmälan</t>
        </is>
      </c>
      <c r="C5580" t="inlineStr">
        <is>
          <t>Föryngringsavverkning</t>
        </is>
      </c>
      <c r="D5580" s="1" t="n">
        <v>46248</v>
      </c>
      <c r="E5580" s="1" t="n">
        <v>46319</v>
      </c>
      <c r="F5580" t="inlineStr">
        <is>
          <t>DALARNAS LÄN</t>
        </is>
      </c>
      <c r="G5580" t="inlineStr">
        <is>
          <t>RÄTTVIK</t>
        </is>
      </c>
      <c r="H5580" t="inlineStr">
        <is>
          <t>Sveaskog</t>
        </is>
      </c>
      <c r="I5580" t="n">
        <v>9.800000000000001</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12029-2024</t>
        </is>
      </c>
      <c r="B5581" t="inlineStr">
        <is>
          <t>avverkningsanmälan</t>
        </is>
      </c>
      <c r="C5581" t="inlineStr">
        <is>
          <t>Föryngringsavverkning</t>
        </is>
      </c>
      <c r="D5581" s="1" t="n">
        <v>45377</v>
      </c>
      <c r="E5581" s="1" t="n">
        <v>46319</v>
      </c>
      <c r="F5581" t="inlineStr">
        <is>
          <t>DALARNAS LÄN</t>
        </is>
      </c>
      <c r="G5581" t="inlineStr">
        <is>
          <t>RÄTTVIK</t>
        </is>
      </c>
      <c r="H5581" t="inlineStr">
        <is>
          <t>Övriga statliga verk och myndigheter</t>
        </is>
      </c>
      <c r="I5581" t="n">
        <v>1.1</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6490-2025</t>
        </is>
      </c>
      <c r="B5582" t="inlineStr">
        <is>
          <t>avverkningsanmälan</t>
        </is>
      </c>
      <c r="C5582" t="inlineStr">
        <is>
          <t>Föryngringsavverkning</t>
        </is>
      </c>
      <c r="D5582" s="1" t="n">
        <v>45699</v>
      </c>
      <c r="E5582" s="1" t="n">
        <v>46319</v>
      </c>
      <c r="F5582" t="inlineStr">
        <is>
          <t>DALARNAS LÄN</t>
        </is>
      </c>
      <c r="G5582" t="inlineStr">
        <is>
          <t>ORSA</t>
        </is>
      </c>
      <c r="I5582" t="n">
        <v>7.5</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40368-2026</t>
        </is>
      </c>
      <c r="B5583" t="inlineStr">
        <is>
          <t>avverkningsanmälan</t>
        </is>
      </c>
      <c r="C5583" t="inlineStr">
        <is>
          <t>Föryngringsavverkning</t>
        </is>
      </c>
      <c r="D5583" s="1" t="n">
        <v>46294</v>
      </c>
      <c r="E5583" s="1" t="n">
        <v>46319</v>
      </c>
      <c r="F5583" t="inlineStr">
        <is>
          <t>DALARNAS LÄN</t>
        </is>
      </c>
      <c r="G5583" t="inlineStr">
        <is>
          <t>FALUN</t>
        </is>
      </c>
      <c r="H5583" t="inlineStr">
        <is>
          <t>Bergvik skog väst AB</t>
        </is>
      </c>
      <c r="I5583" t="n">
        <v>1.1</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26927-2025</t>
        </is>
      </c>
      <c r="B5584" t="inlineStr">
        <is>
          <t>avverkningsanmälan</t>
        </is>
      </c>
      <c r="C5584" t="inlineStr">
        <is>
          <t>Föryngringsavverkning</t>
        </is>
      </c>
      <c r="D5584" s="1" t="n">
        <v>45811</v>
      </c>
      <c r="E5584" s="1" t="n">
        <v>46319</v>
      </c>
      <c r="F5584" t="inlineStr">
        <is>
          <t>DALARNAS LÄN</t>
        </is>
      </c>
      <c r="G5584" t="inlineStr">
        <is>
          <t>FALUN</t>
        </is>
      </c>
      <c r="I5584" t="n">
        <v>1.1</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27006-2025</t>
        </is>
      </c>
      <c r="B5585" t="inlineStr">
        <is>
          <t>avverkningsanmälan</t>
        </is>
      </c>
      <c r="C5585" t="inlineStr">
        <is>
          <t>Föryngringsavverkning</t>
        </is>
      </c>
      <c r="D5585" s="1" t="n">
        <v>45811</v>
      </c>
      <c r="E5585" s="1" t="n">
        <v>46319</v>
      </c>
      <c r="F5585" t="inlineStr">
        <is>
          <t>DALARNAS LÄN</t>
        </is>
      </c>
      <c r="G5585" t="inlineStr">
        <is>
          <t>SÄTER</t>
        </is>
      </c>
      <c r="I5585" t="n">
        <v>1.7</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4280-2026</t>
        </is>
      </c>
      <c r="B5586" t="inlineStr">
        <is>
          <t>avverkningsanmälan</t>
        </is>
      </c>
      <c r="C5586" t="inlineStr">
        <is>
          <t>Föryngringsavverkning</t>
        </is>
      </c>
      <c r="D5586" s="1" t="n">
        <v>46044</v>
      </c>
      <c r="E5586" s="1" t="n">
        <v>46319</v>
      </c>
      <c r="F5586" t="inlineStr">
        <is>
          <t>DALARNAS LÄN</t>
        </is>
      </c>
      <c r="G5586" t="inlineStr">
        <is>
          <t>LEKSAND</t>
        </is>
      </c>
      <c r="I5586" t="n">
        <v>7.2</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40095-2026</t>
        </is>
      </c>
      <c r="B5587" t="inlineStr">
        <is>
          <t>avverkningsanmälan</t>
        </is>
      </c>
      <c r="C5587" t="inlineStr">
        <is>
          <t>Föryngringsavverkning</t>
        </is>
      </c>
      <c r="D5587" s="1" t="n">
        <v>46293</v>
      </c>
      <c r="E5587" s="1" t="n">
        <v>46319</v>
      </c>
      <c r="F5587" t="inlineStr">
        <is>
          <t>DALARNAS LÄN</t>
        </is>
      </c>
      <c r="G5587" t="inlineStr">
        <is>
          <t>RÄTTVIK</t>
        </is>
      </c>
      <c r="H5587" t="inlineStr">
        <is>
          <t>Sveaskog</t>
        </is>
      </c>
      <c r="I5587" t="n">
        <v>2.8</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7626-2026</t>
        </is>
      </c>
      <c r="B5588" t="inlineStr">
        <is>
          <t>avverkningsanmälan</t>
        </is>
      </c>
      <c r="C5588" t="inlineStr">
        <is>
          <t>Föryngringsavverkning</t>
        </is>
      </c>
      <c r="D5588" s="1" t="n">
        <v>46062</v>
      </c>
      <c r="E5588" s="1" t="n">
        <v>46319</v>
      </c>
      <c r="F5588" t="inlineStr">
        <is>
          <t>DALARNAS LÄN</t>
        </is>
      </c>
      <c r="G5588" t="inlineStr">
        <is>
          <t>AVESTA</t>
        </is>
      </c>
      <c r="I5588" t="n">
        <v>1.3</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33620-2026</t>
        </is>
      </c>
      <c r="B5589" t="inlineStr">
        <is>
          <t>avverkningsanmälan</t>
        </is>
      </c>
      <c r="C5589" t="inlineStr">
        <is>
          <t>Föryngringsavverkning</t>
        </is>
      </c>
      <c r="D5589" s="1" t="n">
        <v>46248</v>
      </c>
      <c r="E5589" s="1" t="n">
        <v>46319</v>
      </c>
      <c r="F5589" t="inlineStr">
        <is>
          <t>DALARNAS LÄN</t>
        </is>
      </c>
      <c r="G5589" t="inlineStr">
        <is>
          <t>RÄTTVIK</t>
        </is>
      </c>
      <c r="H5589" t="inlineStr">
        <is>
          <t>Sveaskog</t>
        </is>
      </c>
      <c r="I5589" t="n">
        <v>3.4</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33633-2026</t>
        </is>
      </c>
      <c r="B5590" t="inlineStr">
        <is>
          <t>avverkningsanmälan</t>
        </is>
      </c>
      <c r="C5590" t="inlineStr">
        <is>
          <t>Föryngringsavverkning</t>
        </is>
      </c>
      <c r="D5590" s="1" t="n">
        <v>46248</v>
      </c>
      <c r="E5590" s="1" t="n">
        <v>46319</v>
      </c>
      <c r="F5590" t="inlineStr">
        <is>
          <t>DALARNAS LÄN</t>
        </is>
      </c>
      <c r="G5590" t="inlineStr">
        <is>
          <t>GAGNEF</t>
        </is>
      </c>
      <c r="I5590" t="n">
        <v>1.7</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40069-2026</t>
        </is>
      </c>
      <c r="B5591" t="inlineStr">
        <is>
          <t>avverkningsanmälan</t>
        </is>
      </c>
      <c r="C5591" t="inlineStr">
        <is>
          <t>Föryngringsavverkning</t>
        </is>
      </c>
      <c r="D5591" s="1" t="n">
        <v>46293</v>
      </c>
      <c r="E5591" s="1" t="n">
        <v>46319</v>
      </c>
      <c r="F5591" t="inlineStr">
        <is>
          <t>DALARNAS LÄN</t>
        </is>
      </c>
      <c r="G5591" t="inlineStr">
        <is>
          <t>GAGNEF</t>
        </is>
      </c>
      <c r="H5591" t="inlineStr">
        <is>
          <t>Bergvik skog väst AB</t>
        </is>
      </c>
      <c r="I5591" t="n">
        <v>0.7</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10498-2023</t>
        </is>
      </c>
      <c r="B5592" t="inlineStr">
        <is>
          <t>avverkningsanmälan</t>
        </is>
      </c>
      <c r="C5592" t="inlineStr">
        <is>
          <t>Föryngringsavverkning</t>
        </is>
      </c>
      <c r="D5592" s="1" t="n">
        <v>44987</v>
      </c>
      <c r="E5592" s="1" t="n">
        <v>46319</v>
      </c>
      <c r="F5592" t="inlineStr">
        <is>
          <t>DALARNAS LÄN</t>
        </is>
      </c>
      <c r="G5592" t="inlineStr">
        <is>
          <t>BORLÄNGE</t>
        </is>
      </c>
      <c r="I5592" t="n">
        <v>0.7</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43030-2023</t>
        </is>
      </c>
      <c r="B5593" t="inlineStr">
        <is>
          <t>avverkningsanmälan</t>
        </is>
      </c>
      <c r="C5593" t="inlineStr">
        <is>
          <t>Föryngringsavverkning</t>
        </is>
      </c>
      <c r="D5593" s="1" t="n">
        <v>45182</v>
      </c>
      <c r="E5593" s="1" t="n">
        <v>46319</v>
      </c>
      <c r="F5593" t="inlineStr">
        <is>
          <t>DALARNAS LÄN</t>
        </is>
      </c>
      <c r="G5593" t="inlineStr">
        <is>
          <t>FALUN</t>
        </is>
      </c>
      <c r="I5593" t="n">
        <v>0.6</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7857-2026</t>
        </is>
      </c>
      <c r="B5594" t="inlineStr">
        <is>
          <t>avverkningsanmälan</t>
        </is>
      </c>
      <c r="C5594" t="inlineStr">
        <is>
          <t>Föryngringsavverkning</t>
        </is>
      </c>
      <c r="D5594" s="1" t="n">
        <v>46062</v>
      </c>
      <c r="E5594" s="1" t="n">
        <v>46319</v>
      </c>
      <c r="F5594" t="inlineStr">
        <is>
          <t>DALARNAS LÄN</t>
        </is>
      </c>
      <c r="G5594" t="inlineStr">
        <is>
          <t>FALUN</t>
        </is>
      </c>
      <c r="I5594" t="n">
        <v>4.6</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7476-2026</t>
        </is>
      </c>
      <c r="B5595" t="inlineStr">
        <is>
          <t>avverkningsanmälan</t>
        </is>
      </c>
      <c r="C5595" t="inlineStr">
        <is>
          <t>Föryngringsavverkning</t>
        </is>
      </c>
      <c r="D5595" s="1" t="n">
        <v>46059</v>
      </c>
      <c r="E5595" s="1" t="n">
        <v>46319</v>
      </c>
      <c r="F5595" t="inlineStr">
        <is>
          <t>DALARNAS LÄN</t>
        </is>
      </c>
      <c r="G5595" t="inlineStr">
        <is>
          <t>FALUN</t>
        </is>
      </c>
      <c r="I5595" t="n">
        <v>1.1</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39986-2026</t>
        </is>
      </c>
      <c r="B5596" t="inlineStr">
        <is>
          <t>avverkningsanmälan</t>
        </is>
      </c>
      <c r="C5596" t="inlineStr">
        <is>
          <t>Föryngringsavverkning</t>
        </is>
      </c>
      <c r="D5596" s="1" t="n">
        <v>46293</v>
      </c>
      <c r="E5596" s="1" t="n">
        <v>46319</v>
      </c>
      <c r="F5596" t="inlineStr">
        <is>
          <t>DALARNAS LÄN</t>
        </is>
      </c>
      <c r="G5596" t="inlineStr">
        <is>
          <t>LEKSAND</t>
        </is>
      </c>
      <c r="I5596" t="n">
        <v>0.6</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14611-2025</t>
        </is>
      </c>
      <c r="B5597" t="inlineStr">
        <is>
          <t>avverkningsanmälan</t>
        </is>
      </c>
      <c r="C5597" t="inlineStr">
        <is>
          <t>Föryngringsavverkning</t>
        </is>
      </c>
      <c r="D5597" s="1" t="n">
        <v>45742</v>
      </c>
      <c r="E5597" s="1" t="n">
        <v>46319</v>
      </c>
      <c r="F5597" t="inlineStr">
        <is>
          <t>DALARNAS LÄN</t>
        </is>
      </c>
      <c r="G5597" t="inlineStr">
        <is>
          <t>MORA</t>
        </is>
      </c>
      <c r="H5597" t="inlineStr">
        <is>
          <t>Bergvik skog väst AB</t>
        </is>
      </c>
      <c r="I5597" t="n">
        <v>2.9</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7784-2026</t>
        </is>
      </c>
      <c r="B5598" t="inlineStr">
        <is>
          <t>avverkningsanmälan</t>
        </is>
      </c>
      <c r="C5598" t="inlineStr">
        <is>
          <t>Föryngringsavverkning</t>
        </is>
      </c>
      <c r="D5598" s="1" t="n">
        <v>46062</v>
      </c>
      <c r="E5598" s="1" t="n">
        <v>46319</v>
      </c>
      <c r="F5598" t="inlineStr">
        <is>
          <t>DALARNAS LÄN</t>
        </is>
      </c>
      <c r="G5598" t="inlineStr">
        <is>
          <t>ÄLVDALEN</t>
        </is>
      </c>
      <c r="I5598" t="n">
        <v>1</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18579-2026</t>
        </is>
      </c>
      <c r="B5599" t="inlineStr">
        <is>
          <t>avverkningsanmälan</t>
        </is>
      </c>
      <c r="C5599" t="inlineStr">
        <is>
          <t>Föryngringsavverkning</t>
        </is>
      </c>
      <c r="D5599" s="1" t="n">
        <v>46127</v>
      </c>
      <c r="E5599" s="1" t="n">
        <v>46319</v>
      </c>
      <c r="F5599" t="inlineStr">
        <is>
          <t>DALARNAS LÄN</t>
        </is>
      </c>
      <c r="G5599" t="inlineStr">
        <is>
          <t>LEKSAND</t>
        </is>
      </c>
      <c r="H5599" t="inlineStr">
        <is>
          <t>Bergvik skog väst AB</t>
        </is>
      </c>
      <c r="I5599" t="n">
        <v>16.8</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33647-2026</t>
        </is>
      </c>
      <c r="B5600" t="inlineStr">
        <is>
          <t>avverkningsanmälan</t>
        </is>
      </c>
      <c r="C5600" t="inlineStr">
        <is>
          <t>Föryngringsavverkning</t>
        </is>
      </c>
      <c r="D5600" s="1" t="n">
        <v>46248</v>
      </c>
      <c r="E5600" s="1" t="n">
        <v>46319</v>
      </c>
      <c r="F5600" t="inlineStr">
        <is>
          <t>DALARNAS LÄN</t>
        </is>
      </c>
      <c r="G5600" t="inlineStr">
        <is>
          <t>MORA</t>
        </is>
      </c>
      <c r="H5600" t="inlineStr">
        <is>
          <t>Bergvik skog väst AB</t>
        </is>
      </c>
      <c r="I5600" t="n">
        <v>2.4</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27313-2025</t>
        </is>
      </c>
      <c r="B5601" t="inlineStr">
        <is>
          <t>avverkningsanmälan</t>
        </is>
      </c>
      <c r="C5601" t="inlineStr">
        <is>
          <t>Föryngringsavverkning</t>
        </is>
      </c>
      <c r="D5601" s="1" t="n">
        <v>45812</v>
      </c>
      <c r="E5601" s="1" t="n">
        <v>46319</v>
      </c>
      <c r="F5601" t="inlineStr">
        <is>
          <t>DALARNAS LÄN</t>
        </is>
      </c>
      <c r="G5601" t="inlineStr">
        <is>
          <t>ORSA</t>
        </is>
      </c>
      <c r="H5601" t="inlineStr">
        <is>
          <t>Allmännings- och besparingsskogar</t>
        </is>
      </c>
      <c r="I5601" t="n">
        <v>1.4</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8161-2026</t>
        </is>
      </c>
      <c r="B5602" t="inlineStr">
        <is>
          <t>avverkningsanmälan</t>
        </is>
      </c>
      <c r="C5602" t="inlineStr">
        <is>
          <t>Föryngringsavverkning</t>
        </is>
      </c>
      <c r="D5602" s="1" t="n">
        <v>46064</v>
      </c>
      <c r="E5602" s="1" t="n">
        <v>46319</v>
      </c>
      <c r="F5602" t="inlineStr">
        <is>
          <t>DALARNAS LÄN</t>
        </is>
      </c>
      <c r="G5602" t="inlineStr">
        <is>
          <t>FALUN</t>
        </is>
      </c>
      <c r="I5602" t="n">
        <v>0.7</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4799-2026</t>
        </is>
      </c>
      <c r="B5603" t="inlineStr">
        <is>
          <t>avverkningsanmälan</t>
        </is>
      </c>
      <c r="C5603" t="inlineStr">
        <is>
          <t>Föryngringsavverkning</t>
        </is>
      </c>
      <c r="D5603" s="1" t="n">
        <v>46048</v>
      </c>
      <c r="E5603" s="1" t="n">
        <v>46319</v>
      </c>
      <c r="F5603" t="inlineStr">
        <is>
          <t>DALARNAS LÄN</t>
        </is>
      </c>
      <c r="G5603" t="inlineStr">
        <is>
          <t>FALUN</t>
        </is>
      </c>
      <c r="I5603" t="n">
        <v>3.4</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32456-2026</t>
        </is>
      </c>
      <c r="B5604" t="inlineStr">
        <is>
          <t>avverkningsanmälan</t>
        </is>
      </c>
      <c r="C5604" t="inlineStr">
        <is>
          <t>Föryngringsavverkning</t>
        </is>
      </c>
      <c r="D5604" s="1" t="n">
        <v>46239</v>
      </c>
      <c r="E5604" s="1" t="n">
        <v>46319</v>
      </c>
      <c r="F5604" t="inlineStr">
        <is>
          <t>DALARNAS LÄN</t>
        </is>
      </c>
      <c r="G5604" t="inlineStr">
        <is>
          <t>RÄTTVIK</t>
        </is>
      </c>
      <c r="I5604" t="n">
        <v>1.1</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8333-2026</t>
        </is>
      </c>
      <c r="B5605" t="inlineStr">
        <is>
          <t>avverkningsanmälan</t>
        </is>
      </c>
      <c r="C5605" t="inlineStr">
        <is>
          <t>Föryngringsavverkning</t>
        </is>
      </c>
      <c r="D5605" s="1" t="n">
        <v>46064</v>
      </c>
      <c r="E5605" s="1" t="n">
        <v>46319</v>
      </c>
      <c r="F5605" t="inlineStr">
        <is>
          <t>DALARNAS LÄN</t>
        </is>
      </c>
      <c r="G5605" t="inlineStr">
        <is>
          <t>BORLÄNGE</t>
        </is>
      </c>
      <c r="I5605" t="n">
        <v>4.9</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51601-2023</t>
        </is>
      </c>
      <c r="B5606" t="inlineStr">
        <is>
          <t>avverkningsanmälan</t>
        </is>
      </c>
      <c r="C5606" t="inlineStr">
        <is>
          <t>Föryngringsavverkning</t>
        </is>
      </c>
      <c r="D5606" s="1" t="n">
        <v>45222</v>
      </c>
      <c r="E5606" s="1" t="n">
        <v>46319</v>
      </c>
      <c r="F5606" t="inlineStr">
        <is>
          <t>DALARNAS LÄN</t>
        </is>
      </c>
      <c r="G5606" t="inlineStr">
        <is>
          <t>VANSBRO</t>
        </is>
      </c>
      <c r="H5606" t="inlineStr">
        <is>
          <t>Bergvik skog väst AB</t>
        </is>
      </c>
      <c r="I5606" t="n">
        <v>2.5</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43700-2024</t>
        </is>
      </c>
      <c r="B5607" t="inlineStr">
        <is>
          <t>avverkningsanmälan</t>
        </is>
      </c>
      <c r="C5607" t="inlineStr">
        <is>
          <t>Föryngringsavverkning</t>
        </is>
      </c>
      <c r="D5607" s="1" t="n">
        <v>45569</v>
      </c>
      <c r="E5607" s="1" t="n">
        <v>46319</v>
      </c>
      <c r="F5607" t="inlineStr">
        <is>
          <t>DALARNAS LÄN</t>
        </is>
      </c>
      <c r="G5607" t="inlineStr">
        <is>
          <t>LUDVIKA</t>
        </is>
      </c>
      <c r="H5607" t="inlineStr">
        <is>
          <t>Bergvik skog väst AB</t>
        </is>
      </c>
      <c r="I5607" t="n">
        <v>1</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8140-2026</t>
        </is>
      </c>
      <c r="B5608" t="inlineStr">
        <is>
          <t>avverkningsanmälan</t>
        </is>
      </c>
      <c r="C5608" t="inlineStr">
        <is>
          <t>Föryngringsavverkning</t>
        </is>
      </c>
      <c r="D5608" s="1" t="n">
        <v>46064</v>
      </c>
      <c r="E5608" s="1" t="n">
        <v>46319</v>
      </c>
      <c r="F5608" t="inlineStr">
        <is>
          <t>DALARNAS LÄN</t>
        </is>
      </c>
      <c r="G5608" t="inlineStr">
        <is>
          <t>RÄTTVIK</t>
        </is>
      </c>
      <c r="I5608" t="n">
        <v>1.9</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40143-2026</t>
        </is>
      </c>
      <c r="B5609" t="inlineStr">
        <is>
          <t>avverkningsanmälan</t>
        </is>
      </c>
      <c r="C5609" t="inlineStr">
        <is>
          <t>Föryngringsavverkning</t>
        </is>
      </c>
      <c r="D5609" s="1" t="n">
        <v>46293</v>
      </c>
      <c r="E5609" s="1" t="n">
        <v>46319</v>
      </c>
      <c r="F5609" t="inlineStr">
        <is>
          <t>DALARNAS LÄN</t>
        </is>
      </c>
      <c r="G5609" t="inlineStr">
        <is>
          <t>VANSBRO</t>
        </is>
      </c>
      <c r="H5609" t="inlineStr">
        <is>
          <t>Bergvik skog väst AB</t>
        </is>
      </c>
      <c r="I5609" t="n">
        <v>2.3</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2182-2023</t>
        </is>
      </c>
      <c r="B5610" t="inlineStr">
        <is>
          <t>avverkningsanmälan</t>
        </is>
      </c>
      <c r="C5610" t="inlineStr">
        <is>
          <t>Föryngringsavverkning</t>
        </is>
      </c>
      <c r="D5610" s="1" t="n">
        <v>44942</v>
      </c>
      <c r="E5610" s="1" t="n">
        <v>46319</v>
      </c>
      <c r="F5610" t="inlineStr">
        <is>
          <t>DALARNAS LÄN</t>
        </is>
      </c>
      <c r="G5610" t="inlineStr">
        <is>
          <t>BORLÄNGE</t>
        </is>
      </c>
      <c r="I5610" t="n">
        <v>1.4</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7565-2025</t>
        </is>
      </c>
      <c r="B5611" t="inlineStr">
        <is>
          <t>avverkningsanmälan</t>
        </is>
      </c>
      <c r="C5611" t="inlineStr">
        <is>
          <t>Föryngringsavverkning</t>
        </is>
      </c>
      <c r="D5611" s="1" t="n">
        <v>45705</v>
      </c>
      <c r="E5611" s="1" t="n">
        <v>46319</v>
      </c>
      <c r="F5611" t="inlineStr">
        <is>
          <t>DALARNAS LÄN</t>
        </is>
      </c>
      <c r="G5611" t="inlineStr">
        <is>
          <t>MORA</t>
        </is>
      </c>
      <c r="I5611" t="n">
        <v>3</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27262-2025</t>
        </is>
      </c>
      <c r="B5612" t="inlineStr">
        <is>
          <t>avverkningsanmälan</t>
        </is>
      </c>
      <c r="C5612" t="inlineStr">
        <is>
          <t>Föryngringsavverkning</t>
        </is>
      </c>
      <c r="D5612" s="1" t="n">
        <v>45812</v>
      </c>
      <c r="E5612" s="1" t="n">
        <v>46319</v>
      </c>
      <c r="F5612" t="inlineStr">
        <is>
          <t>DALARNAS LÄN</t>
        </is>
      </c>
      <c r="G5612" t="inlineStr">
        <is>
          <t>LEKSAND</t>
        </is>
      </c>
      <c r="H5612" t="inlineStr">
        <is>
          <t>Bergvik skog väst AB</t>
        </is>
      </c>
      <c r="I5612" t="n">
        <v>7.7</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29452-2026</t>
        </is>
      </c>
      <c r="B5613" t="inlineStr">
        <is>
          <t>avverkningsanmälan</t>
        </is>
      </c>
      <c r="C5613" t="inlineStr">
        <is>
          <t>Föryngringsavverkning</t>
        </is>
      </c>
      <c r="D5613" s="1" t="n">
        <v>46203</v>
      </c>
      <c r="E5613" s="1" t="n">
        <v>46319</v>
      </c>
      <c r="F5613" t="inlineStr">
        <is>
          <t>DALARNAS LÄN</t>
        </is>
      </c>
      <c r="G5613" t="inlineStr">
        <is>
          <t>RÄTTVIK</t>
        </is>
      </c>
      <c r="H5613" t="inlineStr">
        <is>
          <t>Bergvik skog väst AB</t>
        </is>
      </c>
      <c r="I5613" t="n">
        <v>3.4</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27184-2025</t>
        </is>
      </c>
      <c r="B5614" t="inlineStr">
        <is>
          <t>avverkningsanmälan</t>
        </is>
      </c>
      <c r="C5614" t="inlineStr">
        <is>
          <t>Föryngringsavverkning</t>
        </is>
      </c>
      <c r="D5614" s="1" t="n">
        <v>45812</v>
      </c>
      <c r="E5614" s="1" t="n">
        <v>46319</v>
      </c>
      <c r="F5614" t="inlineStr">
        <is>
          <t>DALARNAS LÄN</t>
        </is>
      </c>
      <c r="G5614" t="inlineStr">
        <is>
          <t>MORA</t>
        </is>
      </c>
      <c r="I5614" t="n">
        <v>1.2</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8141-2026</t>
        </is>
      </c>
      <c r="B5615" t="inlineStr">
        <is>
          <t>avverkningsanmälan</t>
        </is>
      </c>
      <c r="C5615" t="inlineStr">
        <is>
          <t>Föryngringsavverkning</t>
        </is>
      </c>
      <c r="D5615" s="1" t="n">
        <v>46064</v>
      </c>
      <c r="E5615" s="1" t="n">
        <v>46319</v>
      </c>
      <c r="F5615" t="inlineStr">
        <is>
          <t>DALARNAS LÄN</t>
        </is>
      </c>
      <c r="G5615" t="inlineStr">
        <is>
          <t>RÄTTVIK</t>
        </is>
      </c>
      <c r="I5615" t="n">
        <v>3</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27525-2025</t>
        </is>
      </c>
      <c r="B5616" t="inlineStr">
        <is>
          <t>avverkningsanmälan</t>
        </is>
      </c>
      <c r="C5616" t="inlineStr">
        <is>
          <t>Föryngringsavverkning</t>
        </is>
      </c>
      <c r="D5616" s="1" t="n">
        <v>45813</v>
      </c>
      <c r="E5616" s="1" t="n">
        <v>46319</v>
      </c>
      <c r="F5616" t="inlineStr">
        <is>
          <t>DALARNAS LÄN</t>
        </is>
      </c>
      <c r="G5616" t="inlineStr">
        <is>
          <t>LUDVIKA</t>
        </is>
      </c>
      <c r="H5616" t="inlineStr">
        <is>
          <t>Bergvik skog väst AB</t>
        </is>
      </c>
      <c r="I5616" t="n">
        <v>5.6</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27532-2025</t>
        </is>
      </c>
      <c r="B5617" t="inlineStr">
        <is>
          <t>avverkningsanmälan</t>
        </is>
      </c>
      <c r="C5617" t="inlineStr">
        <is>
          <t>Föryngringsavverkning</t>
        </is>
      </c>
      <c r="D5617" s="1" t="n">
        <v>45813</v>
      </c>
      <c r="E5617" s="1" t="n">
        <v>46319</v>
      </c>
      <c r="F5617" t="inlineStr">
        <is>
          <t>DALARNAS LÄN</t>
        </is>
      </c>
      <c r="G5617" t="inlineStr">
        <is>
          <t>LUDVIKA</t>
        </is>
      </c>
      <c r="H5617" t="inlineStr">
        <is>
          <t>Bergvik skog väst AB</t>
        </is>
      </c>
      <c r="I5617" t="n">
        <v>4.8</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27670-2025</t>
        </is>
      </c>
      <c r="B5618" t="inlineStr">
        <is>
          <t>avverkningsanmälan</t>
        </is>
      </c>
      <c r="C5618" t="inlineStr">
        <is>
          <t>Föryngringsavverkning</t>
        </is>
      </c>
      <c r="D5618" s="1" t="n">
        <v>45813</v>
      </c>
      <c r="E5618" s="1" t="n">
        <v>46319</v>
      </c>
      <c r="F5618" t="inlineStr">
        <is>
          <t>DALARNAS LÄN</t>
        </is>
      </c>
      <c r="G5618" t="inlineStr">
        <is>
          <t>BORLÄNGE</t>
        </is>
      </c>
      <c r="I5618" t="n">
        <v>2.5</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4809-2026</t>
        </is>
      </c>
      <c r="B5619" t="inlineStr">
        <is>
          <t>avverkningsanmälan</t>
        </is>
      </c>
      <c r="C5619" t="inlineStr">
        <is>
          <t>Föryngringsavverkning</t>
        </is>
      </c>
      <c r="D5619" s="1" t="n">
        <v>46048</v>
      </c>
      <c r="E5619" s="1" t="n">
        <v>46319</v>
      </c>
      <c r="F5619" t="inlineStr">
        <is>
          <t>DALARNAS LÄN</t>
        </is>
      </c>
      <c r="G5619" t="inlineStr">
        <is>
          <t>HEDEMORA</t>
        </is>
      </c>
      <c r="I5619" t="n">
        <v>0.5</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8075-2026</t>
        </is>
      </c>
      <c r="B5620" t="inlineStr">
        <is>
          <t>avverkningsanmälan</t>
        </is>
      </c>
      <c r="C5620" t="inlineStr">
        <is>
          <t>Föryngringsavverkning</t>
        </is>
      </c>
      <c r="D5620" s="1" t="n">
        <v>46063</v>
      </c>
      <c r="E5620" s="1" t="n">
        <v>46319</v>
      </c>
      <c r="F5620" t="inlineStr">
        <is>
          <t>DALARNAS LÄN</t>
        </is>
      </c>
      <c r="G5620" t="inlineStr">
        <is>
          <t>MORA</t>
        </is>
      </c>
      <c r="I5620" t="n">
        <v>1.3</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8335-2026</t>
        </is>
      </c>
      <c r="B5621" t="inlineStr">
        <is>
          <t>avverkningsanmälan</t>
        </is>
      </c>
      <c r="C5621" t="inlineStr">
        <is>
          <t>Föryngringsavverkning</t>
        </is>
      </c>
      <c r="D5621" s="1" t="n">
        <v>46064</v>
      </c>
      <c r="E5621" s="1" t="n">
        <v>46319</v>
      </c>
      <c r="F5621" t="inlineStr">
        <is>
          <t>DALARNAS LÄN</t>
        </is>
      </c>
      <c r="G5621" t="inlineStr">
        <is>
          <t>MALUNG-SÄLEN</t>
        </is>
      </c>
      <c r="I5621" t="n">
        <v>2.7</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7965-2026</t>
        </is>
      </c>
      <c r="B5622" t="inlineStr">
        <is>
          <t>avverkningsanmälan</t>
        </is>
      </c>
      <c r="C5622" t="inlineStr">
        <is>
          <t>Föryngringsavverkning</t>
        </is>
      </c>
      <c r="D5622" s="1" t="n">
        <v>46063</v>
      </c>
      <c r="E5622" s="1" t="n">
        <v>46319</v>
      </c>
      <c r="F5622" t="inlineStr">
        <is>
          <t>DALARNAS LÄN</t>
        </is>
      </c>
      <c r="G5622" t="inlineStr">
        <is>
          <t>FALUN</t>
        </is>
      </c>
      <c r="I5622" t="n">
        <v>2.3</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7967-2026</t>
        </is>
      </c>
      <c r="B5623" t="inlineStr">
        <is>
          <t>avverkningsanmälan</t>
        </is>
      </c>
      <c r="C5623" t="inlineStr">
        <is>
          <t>Föryngringsavverkning</t>
        </is>
      </c>
      <c r="D5623" s="1" t="n">
        <v>46063</v>
      </c>
      <c r="E5623" s="1" t="n">
        <v>46319</v>
      </c>
      <c r="F5623" t="inlineStr">
        <is>
          <t>DALARNAS LÄN</t>
        </is>
      </c>
      <c r="G5623" t="inlineStr">
        <is>
          <t>FALUN</t>
        </is>
      </c>
      <c r="I5623" t="n">
        <v>1.1</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7997-2026</t>
        </is>
      </c>
      <c r="B5624" t="inlineStr">
        <is>
          <t>avverkningsanmälan</t>
        </is>
      </c>
      <c r="C5624" t="inlineStr">
        <is>
          <t>Föryngringsavverkning</t>
        </is>
      </c>
      <c r="D5624" s="1" t="n">
        <v>46063</v>
      </c>
      <c r="E5624" s="1" t="n">
        <v>46319</v>
      </c>
      <c r="F5624" t="inlineStr">
        <is>
          <t>DALARNAS LÄN</t>
        </is>
      </c>
      <c r="G5624" t="inlineStr">
        <is>
          <t>BORLÄNGE</t>
        </is>
      </c>
      <c r="H5624" t="inlineStr">
        <is>
          <t>Övriga statliga verk och myndigheter</t>
        </is>
      </c>
      <c r="I5624" t="n">
        <v>1.5</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8355-2026</t>
        </is>
      </c>
      <c r="B5625" t="inlineStr">
        <is>
          <t>avverkningsanmälan</t>
        </is>
      </c>
      <c r="C5625" t="inlineStr">
        <is>
          <t>Föryngringsavverkning</t>
        </is>
      </c>
      <c r="D5625" s="1" t="n">
        <v>46064</v>
      </c>
      <c r="E5625" s="1" t="n">
        <v>46319</v>
      </c>
      <c r="F5625" t="inlineStr">
        <is>
          <t>DALARNAS LÄN</t>
        </is>
      </c>
      <c r="G5625" t="inlineStr">
        <is>
          <t>SÄTER</t>
        </is>
      </c>
      <c r="I5625" t="n">
        <v>1.9</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39188-2026</t>
        </is>
      </c>
      <c r="B5626" t="inlineStr">
        <is>
          <t>avverkningsanmälan</t>
        </is>
      </c>
      <c r="C5626" t="inlineStr">
        <is>
          <t>Föryngringsavverkning</t>
        </is>
      </c>
      <c r="D5626" s="1" t="n">
        <v>46287</v>
      </c>
      <c r="E5626" s="1" t="n">
        <v>46319</v>
      </c>
      <c r="F5626" t="inlineStr">
        <is>
          <t>DALARNAS LÄN</t>
        </is>
      </c>
      <c r="G5626" t="inlineStr">
        <is>
          <t>MALUNG-SÄLEN</t>
        </is>
      </c>
      <c r="H5626" t="inlineStr">
        <is>
          <t>Bergvik skog öst AB</t>
        </is>
      </c>
      <c r="I5626" t="n">
        <v>7.2</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7970-2026</t>
        </is>
      </c>
      <c r="B5627" t="inlineStr">
        <is>
          <t>avverkningsanmälan</t>
        </is>
      </c>
      <c r="C5627" t="inlineStr">
        <is>
          <t>Föryngringsavverkning</t>
        </is>
      </c>
      <c r="D5627" s="1" t="n">
        <v>46063</v>
      </c>
      <c r="E5627" s="1" t="n">
        <v>46319</v>
      </c>
      <c r="F5627" t="inlineStr">
        <is>
          <t>DALARNAS LÄN</t>
        </is>
      </c>
      <c r="G5627" t="inlineStr">
        <is>
          <t>ORSA</t>
        </is>
      </c>
      <c r="I5627" t="n">
        <v>0.7</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6050-2025</t>
        </is>
      </c>
      <c r="B5628" t="inlineStr">
        <is>
          <t>avverkningsanmälan</t>
        </is>
      </c>
      <c r="C5628" t="inlineStr">
        <is>
          <t>Föryngringsavverkning</t>
        </is>
      </c>
      <c r="D5628" s="1" t="n">
        <v>45695</v>
      </c>
      <c r="E5628" s="1" t="n">
        <v>46319</v>
      </c>
      <c r="F5628" t="inlineStr">
        <is>
          <t>DALARNAS LÄN</t>
        </is>
      </c>
      <c r="G5628" t="inlineStr">
        <is>
          <t>VANSBRO</t>
        </is>
      </c>
      <c r="I5628" t="n">
        <v>5.5</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27656-2025</t>
        </is>
      </c>
      <c r="B5629" t="inlineStr">
        <is>
          <t>avverkningsanmälan</t>
        </is>
      </c>
      <c r="C5629" t="inlineStr">
        <is>
          <t>Föryngringsavverkning</t>
        </is>
      </c>
      <c r="D5629" s="1" t="n">
        <v>45813</v>
      </c>
      <c r="E5629" s="1" t="n">
        <v>46319</v>
      </c>
      <c r="F5629" t="inlineStr">
        <is>
          <t>DALARNAS LÄN</t>
        </is>
      </c>
      <c r="G5629" t="inlineStr">
        <is>
          <t>RÄTTVIK</t>
        </is>
      </c>
      <c r="H5629" t="inlineStr">
        <is>
          <t>Sveaskog</t>
        </is>
      </c>
      <c r="I5629" t="n">
        <v>8.800000000000001</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8360-2026</t>
        </is>
      </c>
      <c r="B5630" t="inlineStr">
        <is>
          <t>avverkningsanmälan</t>
        </is>
      </c>
      <c r="C5630" t="inlineStr">
        <is>
          <t>Föryngringsavverkning</t>
        </is>
      </c>
      <c r="D5630" s="1" t="n">
        <v>46064</v>
      </c>
      <c r="E5630" s="1" t="n">
        <v>46319</v>
      </c>
      <c r="F5630" t="inlineStr">
        <is>
          <t>DALARNAS LÄN</t>
        </is>
      </c>
      <c r="G5630" t="inlineStr">
        <is>
          <t>MALUNG-SÄLEN</t>
        </is>
      </c>
      <c r="I5630" t="n">
        <v>5.9</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27469-2025</t>
        </is>
      </c>
      <c r="B5631" t="inlineStr">
        <is>
          <t>avverkningsanmälan</t>
        </is>
      </c>
      <c r="C5631" t="inlineStr">
        <is>
          <t>Föryngringsavverkning</t>
        </is>
      </c>
      <c r="D5631" s="1" t="n">
        <v>45813</v>
      </c>
      <c r="E5631" s="1" t="n">
        <v>46319</v>
      </c>
      <c r="F5631" t="inlineStr">
        <is>
          <t>DALARNAS LÄN</t>
        </is>
      </c>
      <c r="G5631" t="inlineStr">
        <is>
          <t>FALUN</t>
        </is>
      </c>
      <c r="I5631" t="n">
        <v>0.5</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8361-2026</t>
        </is>
      </c>
      <c r="B5632" t="inlineStr">
        <is>
          <t>avverkningsanmälan</t>
        </is>
      </c>
      <c r="C5632" t="inlineStr">
        <is>
          <t>Föryngringsavverkning</t>
        </is>
      </c>
      <c r="D5632" s="1" t="n">
        <v>46064</v>
      </c>
      <c r="E5632" s="1" t="n">
        <v>46319</v>
      </c>
      <c r="F5632" t="inlineStr">
        <is>
          <t>DALARNAS LÄN</t>
        </is>
      </c>
      <c r="G5632" t="inlineStr">
        <is>
          <t>MORA</t>
        </is>
      </c>
      <c r="I5632" t="n">
        <v>2.7</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27506-2025</t>
        </is>
      </c>
      <c r="B5633" t="inlineStr">
        <is>
          <t>avverkningsanmälan</t>
        </is>
      </c>
      <c r="C5633" t="inlineStr">
        <is>
          <t>Föryngringsavverkning</t>
        </is>
      </c>
      <c r="D5633" s="1" t="n">
        <v>45813</v>
      </c>
      <c r="E5633" s="1" t="n">
        <v>46319</v>
      </c>
      <c r="F5633" t="inlineStr">
        <is>
          <t>DALARNAS LÄN</t>
        </is>
      </c>
      <c r="G5633" t="inlineStr">
        <is>
          <t>LUDVIKA</t>
        </is>
      </c>
      <c r="H5633" t="inlineStr">
        <is>
          <t>Bergvik skog väst AB</t>
        </is>
      </c>
      <c r="I5633" t="n">
        <v>2.1</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7915-2026</t>
        </is>
      </c>
      <c r="B5634" t="inlineStr">
        <is>
          <t>avverkningsanmälan</t>
        </is>
      </c>
      <c r="C5634" t="inlineStr">
        <is>
          <t>Föryngringsavverkning</t>
        </is>
      </c>
      <c r="D5634" s="1" t="n">
        <v>46063</v>
      </c>
      <c r="E5634" s="1" t="n">
        <v>46319</v>
      </c>
      <c r="F5634" t="inlineStr">
        <is>
          <t>DALARNAS LÄN</t>
        </is>
      </c>
      <c r="G5634" t="inlineStr">
        <is>
          <t>RÄTTVIK</t>
        </is>
      </c>
      <c r="I5634" t="n">
        <v>2.7</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8626-2026</t>
        </is>
      </c>
      <c r="B5635" t="inlineStr">
        <is>
          <t>avverkningsanmälan</t>
        </is>
      </c>
      <c r="C5635" t="inlineStr">
        <is>
          <t>Föryngringsavverkning</t>
        </is>
      </c>
      <c r="D5635" s="1" t="n">
        <v>46066</v>
      </c>
      <c r="E5635" s="1" t="n">
        <v>46319</v>
      </c>
      <c r="F5635" t="inlineStr">
        <is>
          <t>DALARNAS LÄN</t>
        </is>
      </c>
      <c r="G5635" t="inlineStr">
        <is>
          <t>FALUN</t>
        </is>
      </c>
      <c r="I5635" t="n">
        <v>5.8</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27512-2025</t>
        </is>
      </c>
      <c r="B5636" t="inlineStr">
        <is>
          <t>avverkningsanmälan</t>
        </is>
      </c>
      <c r="C5636" t="inlineStr">
        <is>
          <t>Föryngringsavverkning</t>
        </is>
      </c>
      <c r="D5636" s="1" t="n">
        <v>45813</v>
      </c>
      <c r="E5636" s="1" t="n">
        <v>46319</v>
      </c>
      <c r="F5636" t="inlineStr">
        <is>
          <t>DALARNAS LÄN</t>
        </is>
      </c>
      <c r="G5636" t="inlineStr">
        <is>
          <t>RÄTTVIK</t>
        </is>
      </c>
      <c r="H5636" t="inlineStr">
        <is>
          <t>Bergvik skog väst AB</t>
        </is>
      </c>
      <c r="I5636" t="n">
        <v>0.5</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27704-2025</t>
        </is>
      </c>
      <c r="B5637" t="inlineStr">
        <is>
          <t>avverkningsanmälan</t>
        </is>
      </c>
      <c r="C5637" t="inlineStr">
        <is>
          <t>Föryngringsavverkning</t>
        </is>
      </c>
      <c r="D5637" s="1" t="n">
        <v>45813</v>
      </c>
      <c r="E5637" s="1" t="n">
        <v>46319</v>
      </c>
      <c r="F5637" t="inlineStr">
        <is>
          <t>DALARNAS LÄN</t>
        </is>
      </c>
      <c r="G5637" t="inlineStr">
        <is>
          <t>RÄTTVIK</t>
        </is>
      </c>
      <c r="I5637" t="n">
        <v>2.3</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27714-2025</t>
        </is>
      </c>
      <c r="B5638" t="inlineStr">
        <is>
          <t>avverkningsanmälan</t>
        </is>
      </c>
      <c r="C5638" t="inlineStr">
        <is>
          <t>Föryngringsavverkning</t>
        </is>
      </c>
      <c r="D5638" s="1" t="n">
        <v>45813</v>
      </c>
      <c r="E5638" s="1" t="n">
        <v>46319</v>
      </c>
      <c r="F5638" t="inlineStr">
        <is>
          <t>DALARNAS LÄN</t>
        </is>
      </c>
      <c r="G5638" t="inlineStr">
        <is>
          <t>BORLÄNGE</t>
        </is>
      </c>
      <c r="I5638" t="n">
        <v>0.9</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8435-2026</t>
        </is>
      </c>
      <c r="B5639" t="inlineStr">
        <is>
          <t>avverkningsanmälan</t>
        </is>
      </c>
      <c r="C5639" t="inlineStr">
        <is>
          <t>Föryngringsavverkning</t>
        </is>
      </c>
      <c r="D5639" s="1" t="n">
        <v>46065</v>
      </c>
      <c r="E5639" s="1" t="n">
        <v>46319</v>
      </c>
      <c r="F5639" t="inlineStr">
        <is>
          <t>DALARNAS LÄN</t>
        </is>
      </c>
      <c r="G5639" t="inlineStr">
        <is>
          <t>SÄTER</t>
        </is>
      </c>
      <c r="I5639" t="n">
        <v>9.9</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8599-2026</t>
        </is>
      </c>
      <c r="B5640" t="inlineStr">
        <is>
          <t>avverkningsanmälan</t>
        </is>
      </c>
      <c r="C5640" t="inlineStr">
        <is>
          <t>Föryngringsavverkning</t>
        </is>
      </c>
      <c r="D5640" s="1" t="n">
        <v>46065</v>
      </c>
      <c r="E5640" s="1" t="n">
        <v>46319</v>
      </c>
      <c r="F5640" t="inlineStr">
        <is>
          <t>DALARNAS LÄN</t>
        </is>
      </c>
      <c r="G5640" t="inlineStr">
        <is>
          <t>FALUN</t>
        </is>
      </c>
      <c r="I5640" t="n">
        <v>1.4</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31180-2024</t>
        </is>
      </c>
      <c r="B5641" t="inlineStr">
        <is>
          <t>avverkningsanmälan</t>
        </is>
      </c>
      <c r="C5641" t="inlineStr">
        <is>
          <t>Föryngringsavverkning</t>
        </is>
      </c>
      <c r="D5641" s="1" t="n">
        <v>45503</v>
      </c>
      <c r="E5641" s="1" t="n">
        <v>46319</v>
      </c>
      <c r="F5641" t="inlineStr">
        <is>
          <t>DALARNAS LÄN</t>
        </is>
      </c>
      <c r="G5641" t="inlineStr">
        <is>
          <t>MALUNG-SÄLEN</t>
        </is>
      </c>
      <c r="H5641" t="inlineStr">
        <is>
          <t>Allmännings- och besparingsskogar</t>
        </is>
      </c>
      <c r="I5641" t="n">
        <v>62.6</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40220-2026</t>
        </is>
      </c>
      <c r="B5642" t="inlineStr">
        <is>
          <t>avverkningsanmälan</t>
        </is>
      </c>
      <c r="C5642" t="inlineStr">
        <is>
          <t>Föryngringsavverkning</t>
        </is>
      </c>
      <c r="D5642" s="1" t="n">
        <v>46293</v>
      </c>
      <c r="E5642" s="1" t="n">
        <v>46319</v>
      </c>
      <c r="F5642" t="inlineStr">
        <is>
          <t>DALARNAS LÄN</t>
        </is>
      </c>
      <c r="G5642" t="inlineStr">
        <is>
          <t>LEKSAND</t>
        </is>
      </c>
      <c r="I5642" t="n">
        <v>0.6</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27680-2025</t>
        </is>
      </c>
      <c r="B5643" t="inlineStr">
        <is>
          <t>avverkningsanmälan</t>
        </is>
      </c>
      <c r="C5643" t="inlineStr">
        <is>
          <t>Föryngringsavverkning</t>
        </is>
      </c>
      <c r="D5643" s="1" t="n">
        <v>45813</v>
      </c>
      <c r="E5643" s="1" t="n">
        <v>46319</v>
      </c>
      <c r="F5643" t="inlineStr">
        <is>
          <t>DALARNAS LÄN</t>
        </is>
      </c>
      <c r="G5643" t="inlineStr">
        <is>
          <t>LEKSAND</t>
        </is>
      </c>
      <c r="I5643" t="n">
        <v>1</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27642-2025</t>
        </is>
      </c>
      <c r="B5644" t="inlineStr">
        <is>
          <t>avverkningsanmälan</t>
        </is>
      </c>
      <c r="C5644" t="inlineStr">
        <is>
          <t>Föryngringsavverkning</t>
        </is>
      </c>
      <c r="D5644" s="1" t="n">
        <v>45813</v>
      </c>
      <c r="E5644" s="1" t="n">
        <v>46319</v>
      </c>
      <c r="F5644" t="inlineStr">
        <is>
          <t>DALARNAS LÄN</t>
        </is>
      </c>
      <c r="G5644" t="inlineStr">
        <is>
          <t>MORA</t>
        </is>
      </c>
      <c r="I5644" t="n">
        <v>2.5</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27448-2025</t>
        </is>
      </c>
      <c r="B5645" t="inlineStr">
        <is>
          <t>avverkningsanmälan</t>
        </is>
      </c>
      <c r="C5645" t="inlineStr">
        <is>
          <t>Föryngringsavverkning</t>
        </is>
      </c>
      <c r="D5645" s="1" t="n">
        <v>45813</v>
      </c>
      <c r="E5645" s="1" t="n">
        <v>46319</v>
      </c>
      <c r="F5645" t="inlineStr">
        <is>
          <t>DALARNAS LÄN</t>
        </is>
      </c>
      <c r="G5645" t="inlineStr">
        <is>
          <t>LUDVIKA</t>
        </is>
      </c>
      <c r="H5645" t="inlineStr">
        <is>
          <t>Bergvik skog väst AB</t>
        </is>
      </c>
      <c r="I5645" t="n">
        <v>3.6</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19747-2025</t>
        </is>
      </c>
      <c r="B5646" t="inlineStr">
        <is>
          <t>avverkningsanmälan</t>
        </is>
      </c>
      <c r="C5646" t="inlineStr">
        <is>
          <t>Föryngringsavverkning</t>
        </is>
      </c>
      <c r="D5646" s="1" t="n">
        <v>45771</v>
      </c>
      <c r="E5646" s="1" t="n">
        <v>46319</v>
      </c>
      <c r="F5646" t="inlineStr">
        <is>
          <t>DALARNAS LÄN</t>
        </is>
      </c>
      <c r="G5646" t="inlineStr">
        <is>
          <t>SÄTER</t>
        </is>
      </c>
      <c r="I5646" t="n">
        <v>7.2</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3258-2026</t>
        </is>
      </c>
      <c r="B5647" t="inlineStr">
        <is>
          <t>avverkningsanmälan</t>
        </is>
      </c>
      <c r="C5647" t="inlineStr">
        <is>
          <t>Föryngringsavverkning</t>
        </is>
      </c>
      <c r="D5647" s="1" t="n">
        <v>46041</v>
      </c>
      <c r="E5647" s="1" t="n">
        <v>46319</v>
      </c>
      <c r="F5647" t="inlineStr">
        <is>
          <t>DALARNAS LÄN</t>
        </is>
      </c>
      <c r="G5647" t="inlineStr">
        <is>
          <t>VANSBRO</t>
        </is>
      </c>
      <c r="I5647" t="n">
        <v>15.1</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40438-2026</t>
        </is>
      </c>
      <c r="B5648" t="inlineStr">
        <is>
          <t>avverkningsanmälan</t>
        </is>
      </c>
      <c r="C5648" t="inlineStr">
        <is>
          <t>Föryngringsavverkning</t>
        </is>
      </c>
      <c r="D5648" s="1" t="n">
        <v>46294</v>
      </c>
      <c r="E5648" s="1" t="n">
        <v>46319</v>
      </c>
      <c r="F5648" t="inlineStr">
        <is>
          <t>DALARNAS LÄN</t>
        </is>
      </c>
      <c r="G5648" t="inlineStr">
        <is>
          <t>LUDVIKA</t>
        </is>
      </c>
      <c r="H5648" t="inlineStr">
        <is>
          <t>Bergvik skog väst AB</t>
        </is>
      </c>
      <c r="I5648" t="n">
        <v>0.6</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40445-2026</t>
        </is>
      </c>
      <c r="B5649" t="inlineStr">
        <is>
          <t>avverkningsanmälan</t>
        </is>
      </c>
      <c r="C5649" t="inlineStr">
        <is>
          <t>Föryngringsavverkning</t>
        </is>
      </c>
      <c r="D5649" s="1" t="n">
        <v>46294</v>
      </c>
      <c r="E5649" s="1" t="n">
        <v>46319</v>
      </c>
      <c r="F5649" t="inlineStr">
        <is>
          <t>DALARNAS LÄN</t>
        </is>
      </c>
      <c r="G5649" t="inlineStr">
        <is>
          <t>LUDVIKA</t>
        </is>
      </c>
      <c r="H5649" t="inlineStr">
        <is>
          <t>Bergvik skog väst AB</t>
        </is>
      </c>
      <c r="I5649" t="n">
        <v>4.5</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10363-2025</t>
        </is>
      </c>
      <c r="B5650" t="inlineStr">
        <is>
          <t>avverkningsanmälan</t>
        </is>
      </c>
      <c r="C5650" t="inlineStr">
        <is>
          <t>Föryngringsavverkning</t>
        </is>
      </c>
      <c r="D5650" s="1" t="n">
        <v>45720</v>
      </c>
      <c r="E5650" s="1" t="n">
        <v>46319</v>
      </c>
      <c r="F5650" t="inlineStr">
        <is>
          <t>DALARNAS LÄN</t>
        </is>
      </c>
      <c r="G5650" t="inlineStr">
        <is>
          <t>MALUNG-SÄLEN</t>
        </is>
      </c>
      <c r="I5650" t="n">
        <v>7.7</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40367-2026</t>
        </is>
      </c>
      <c r="B5651" t="inlineStr">
        <is>
          <t>avverkningsanmälan</t>
        </is>
      </c>
      <c r="C5651" t="inlineStr">
        <is>
          <t>Föryngringsavverkning</t>
        </is>
      </c>
      <c r="D5651" s="1" t="n">
        <v>46294</v>
      </c>
      <c r="E5651" s="1" t="n">
        <v>46319</v>
      </c>
      <c r="F5651" t="inlineStr">
        <is>
          <t>DALARNAS LÄN</t>
        </is>
      </c>
      <c r="G5651" t="inlineStr">
        <is>
          <t>VANSBRO</t>
        </is>
      </c>
      <c r="H5651" t="inlineStr">
        <is>
          <t>Bergvik skog väst AB</t>
        </is>
      </c>
      <c r="I5651" t="n">
        <v>0.7</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8689-2026</t>
        </is>
      </c>
      <c r="B5652" t="inlineStr">
        <is>
          <t>avverkningsanmälan</t>
        </is>
      </c>
      <c r="C5652" t="inlineStr">
        <is>
          <t>Föryngringsavverkning</t>
        </is>
      </c>
      <c r="D5652" s="1" t="n">
        <v>46066</v>
      </c>
      <c r="E5652" s="1" t="n">
        <v>46319</v>
      </c>
      <c r="F5652" t="inlineStr">
        <is>
          <t>DALARNAS LÄN</t>
        </is>
      </c>
      <c r="G5652" t="inlineStr">
        <is>
          <t>BORLÄNGE</t>
        </is>
      </c>
      <c r="I5652" t="n">
        <v>3.1</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8695-2026</t>
        </is>
      </c>
      <c r="B5653" t="inlineStr">
        <is>
          <t>avverkningsanmälan</t>
        </is>
      </c>
      <c r="C5653" t="inlineStr">
        <is>
          <t>Föryngringsavverkning</t>
        </is>
      </c>
      <c r="D5653" s="1" t="n">
        <v>46066</v>
      </c>
      <c r="E5653" s="1" t="n">
        <v>46319</v>
      </c>
      <c r="F5653" t="inlineStr">
        <is>
          <t>DALARNAS LÄN</t>
        </is>
      </c>
      <c r="G5653" t="inlineStr">
        <is>
          <t>RÄTTVIK</t>
        </is>
      </c>
      <c r="I5653" t="n">
        <v>5.4</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33651-2026</t>
        </is>
      </c>
      <c r="B5654" t="inlineStr">
        <is>
          <t>avverkningsanmälan</t>
        </is>
      </c>
      <c r="C5654" t="inlineStr">
        <is>
          <t>Föryngringsavverkning</t>
        </is>
      </c>
      <c r="D5654" s="1" t="n">
        <v>46248</v>
      </c>
      <c r="E5654" s="1" t="n">
        <v>46319</v>
      </c>
      <c r="F5654" t="inlineStr">
        <is>
          <t>DALARNAS LÄN</t>
        </is>
      </c>
      <c r="G5654" t="inlineStr">
        <is>
          <t>GAGNEF</t>
        </is>
      </c>
      <c r="I5654" t="n">
        <v>2</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8766-2026</t>
        </is>
      </c>
      <c r="B5655" t="inlineStr">
        <is>
          <t>avverkningsanmälan</t>
        </is>
      </c>
      <c r="C5655" t="inlineStr">
        <is>
          <t>Avverkning för annat ändamål</t>
        </is>
      </c>
      <c r="D5655" s="1" t="n">
        <v>46066</v>
      </c>
      <c r="E5655" s="1" t="n">
        <v>46319</v>
      </c>
      <c r="F5655" t="inlineStr">
        <is>
          <t>DALARNAS LÄN</t>
        </is>
      </c>
      <c r="G5655" t="inlineStr">
        <is>
          <t>RÄTTVIK</t>
        </is>
      </c>
      <c r="I5655" t="n">
        <v>0.1</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40012-2026</t>
        </is>
      </c>
      <c r="B5656" t="inlineStr">
        <is>
          <t>avverkningsanmälan</t>
        </is>
      </c>
      <c r="C5656" t="inlineStr">
        <is>
          <t>Föryngringsavverkning</t>
        </is>
      </c>
      <c r="D5656" s="1" t="n">
        <v>46293</v>
      </c>
      <c r="E5656" s="1" t="n">
        <v>46319</v>
      </c>
      <c r="F5656" t="inlineStr">
        <is>
          <t>DALARNAS LÄN</t>
        </is>
      </c>
      <c r="G5656" t="inlineStr">
        <is>
          <t>VANSBRO</t>
        </is>
      </c>
      <c r="H5656" t="inlineStr">
        <is>
          <t>Bergvik skog väst AB</t>
        </is>
      </c>
      <c r="I5656" t="n">
        <v>1.2</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8821-2026</t>
        </is>
      </c>
      <c r="B5657" t="inlineStr">
        <is>
          <t>avverkningsanmälan</t>
        </is>
      </c>
      <c r="C5657" t="inlineStr">
        <is>
          <t>Föryngringsavverkning</t>
        </is>
      </c>
      <c r="D5657" s="1" t="n">
        <v>46066</v>
      </c>
      <c r="E5657" s="1" t="n">
        <v>46319</v>
      </c>
      <c r="F5657" t="inlineStr">
        <is>
          <t>DALARNAS LÄN</t>
        </is>
      </c>
      <c r="G5657" t="inlineStr">
        <is>
          <t>FALUN</t>
        </is>
      </c>
      <c r="I5657" t="n">
        <v>1.9</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8393-2026</t>
        </is>
      </c>
      <c r="B5658" t="inlineStr">
        <is>
          <t>avverkningsanmälan</t>
        </is>
      </c>
      <c r="C5658" t="inlineStr">
        <is>
          <t>Föryngringsavverkning</t>
        </is>
      </c>
      <c r="D5658" s="1" t="n">
        <v>46065</v>
      </c>
      <c r="E5658" s="1" t="n">
        <v>46319</v>
      </c>
      <c r="F5658" t="inlineStr">
        <is>
          <t>DALARNAS LÄN</t>
        </is>
      </c>
      <c r="G5658" t="inlineStr">
        <is>
          <t>RÄTTVIK</t>
        </is>
      </c>
      <c r="I5658" t="n">
        <v>1</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18830-2025</t>
        </is>
      </c>
      <c r="B5659" t="inlineStr">
        <is>
          <t>avverkningsanmälan</t>
        </is>
      </c>
      <c r="C5659" t="inlineStr">
        <is>
          <t>Föryngringsavverkning</t>
        </is>
      </c>
      <c r="D5659" s="1" t="n">
        <v>45764</v>
      </c>
      <c r="E5659" s="1" t="n">
        <v>46319</v>
      </c>
      <c r="F5659" t="inlineStr">
        <is>
          <t>DALARNAS LÄN</t>
        </is>
      </c>
      <c r="G5659" t="inlineStr">
        <is>
          <t>SMEDJEBACKEN</t>
        </is>
      </c>
      <c r="I5659" t="n">
        <v>2.3</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40392-2026</t>
        </is>
      </c>
      <c r="B5660" t="inlineStr">
        <is>
          <t>avverkningsanmälan</t>
        </is>
      </c>
      <c r="C5660" t="inlineStr">
        <is>
          <t>Föryngringsavverkning</t>
        </is>
      </c>
      <c r="D5660" s="1" t="n">
        <v>46294</v>
      </c>
      <c r="E5660" s="1" t="n">
        <v>46319</v>
      </c>
      <c r="F5660" t="inlineStr">
        <is>
          <t>DALARNAS LÄN</t>
        </is>
      </c>
      <c r="G5660" t="inlineStr">
        <is>
          <t>LUDVIKA</t>
        </is>
      </c>
      <c r="H5660" t="inlineStr">
        <is>
          <t>Bergvik skog väst AB</t>
        </is>
      </c>
      <c r="I5660" t="n">
        <v>4.4</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8760-2026</t>
        </is>
      </c>
      <c r="B5661" t="inlineStr">
        <is>
          <t>avverkningsanmälan</t>
        </is>
      </c>
      <c r="C5661" t="inlineStr">
        <is>
          <t>Föryngringsavverkning</t>
        </is>
      </c>
      <c r="D5661" s="1" t="n">
        <v>46066</v>
      </c>
      <c r="E5661" s="1" t="n">
        <v>46319</v>
      </c>
      <c r="F5661" t="inlineStr">
        <is>
          <t>DALARNAS LÄN</t>
        </is>
      </c>
      <c r="G5661" t="inlineStr">
        <is>
          <t>FALUN</t>
        </is>
      </c>
      <c r="I5661" t="n">
        <v>1.3</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28483-2025</t>
        </is>
      </c>
      <c r="B5662" t="inlineStr">
        <is>
          <t>avverkningsanmälan</t>
        </is>
      </c>
      <c r="C5662" t="inlineStr">
        <is>
          <t>Avverkning för annat ändamål</t>
        </is>
      </c>
      <c r="D5662" s="1" t="n">
        <v>45818</v>
      </c>
      <c r="E5662" s="1" t="n">
        <v>46319</v>
      </c>
      <c r="F5662" t="inlineStr">
        <is>
          <t>DALARNAS LÄN</t>
        </is>
      </c>
      <c r="G5662" t="inlineStr">
        <is>
          <t>LEKSAND</t>
        </is>
      </c>
      <c r="H5662" t="inlineStr">
        <is>
          <t>Bergvik skog väst AB</t>
        </is>
      </c>
      <c r="I5662" t="n">
        <v>1.6</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40393-2026</t>
        </is>
      </c>
      <c r="B5663" t="inlineStr">
        <is>
          <t>avverkningsanmälan</t>
        </is>
      </c>
      <c r="C5663" t="inlineStr">
        <is>
          <t>Föryngringsavverkning</t>
        </is>
      </c>
      <c r="D5663" s="1" t="n">
        <v>46294</v>
      </c>
      <c r="E5663" s="1" t="n">
        <v>46319</v>
      </c>
      <c r="F5663" t="inlineStr">
        <is>
          <t>DALARNAS LÄN</t>
        </is>
      </c>
      <c r="G5663" t="inlineStr">
        <is>
          <t>LEKSAND</t>
        </is>
      </c>
      <c r="I5663" t="n">
        <v>1.2</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28180-2025</t>
        </is>
      </c>
      <c r="B5664" t="inlineStr">
        <is>
          <t>avverkningsanmälan</t>
        </is>
      </c>
      <c r="C5664" t="inlineStr">
        <is>
          <t>Föryngringsavverkning</t>
        </is>
      </c>
      <c r="D5664" s="1" t="n">
        <v>45818</v>
      </c>
      <c r="E5664" s="1" t="n">
        <v>46319</v>
      </c>
      <c r="F5664" t="inlineStr">
        <is>
          <t>DALARNAS LÄN</t>
        </is>
      </c>
      <c r="G5664" t="inlineStr">
        <is>
          <t>HEDEMORA</t>
        </is>
      </c>
      <c r="H5664" t="inlineStr">
        <is>
          <t>Sveaskog</t>
        </is>
      </c>
      <c r="I5664" t="n">
        <v>1.6</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7998-2024</t>
        </is>
      </c>
      <c r="B5665" t="inlineStr">
        <is>
          <t>avverkningsanmälan</t>
        </is>
      </c>
      <c r="C5665" t="inlineStr">
        <is>
          <t>Föryngringsavverkning</t>
        </is>
      </c>
      <c r="D5665" s="1" t="n">
        <v>45350</v>
      </c>
      <c r="E5665" s="1" t="n">
        <v>46319</v>
      </c>
      <c r="F5665" t="inlineStr">
        <is>
          <t>DALARNAS LÄN</t>
        </is>
      </c>
      <c r="G5665" t="inlineStr">
        <is>
          <t>ÄLVDALEN</t>
        </is>
      </c>
      <c r="H5665" t="inlineStr">
        <is>
          <t>Kommuner</t>
        </is>
      </c>
      <c r="I5665" t="n">
        <v>7.9</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13169-2025</t>
        </is>
      </c>
      <c r="B5666" t="inlineStr">
        <is>
          <t>avverkningsanmälan</t>
        </is>
      </c>
      <c r="C5666" t="inlineStr">
        <is>
          <t>Föryngringsavverkning</t>
        </is>
      </c>
      <c r="D5666" s="1" t="n">
        <v>45735</v>
      </c>
      <c r="E5666" s="1" t="n">
        <v>46319</v>
      </c>
      <c r="F5666" t="inlineStr">
        <is>
          <t>DALARNAS LÄN</t>
        </is>
      </c>
      <c r="G5666" t="inlineStr">
        <is>
          <t>GAGNEF</t>
        </is>
      </c>
      <c r="H5666" t="inlineStr">
        <is>
          <t>Bergvik skog väst AB</t>
        </is>
      </c>
      <c r="I5666" t="n">
        <v>2.4</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8808-2026</t>
        </is>
      </c>
      <c r="B5667" t="inlineStr">
        <is>
          <t>avverkningsanmälan</t>
        </is>
      </c>
      <c r="C5667" t="inlineStr">
        <is>
          <t>Föryngringsavverkning</t>
        </is>
      </c>
      <c r="D5667" s="1" t="n">
        <v>46066</v>
      </c>
      <c r="E5667" s="1" t="n">
        <v>46319</v>
      </c>
      <c r="F5667" t="inlineStr">
        <is>
          <t>DALARNAS LÄN</t>
        </is>
      </c>
      <c r="G5667" t="inlineStr">
        <is>
          <t>FALUN</t>
        </is>
      </c>
      <c r="I5667" t="n">
        <v>1.6</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8797-2026</t>
        </is>
      </c>
      <c r="B5668" t="inlineStr">
        <is>
          <t>avverkningsanmälan</t>
        </is>
      </c>
      <c r="C5668" t="inlineStr">
        <is>
          <t>Föryngringsavverkning</t>
        </is>
      </c>
      <c r="D5668" s="1" t="n">
        <v>46066</v>
      </c>
      <c r="E5668" s="1" t="n">
        <v>46319</v>
      </c>
      <c r="F5668" t="inlineStr">
        <is>
          <t>DALARNAS LÄN</t>
        </is>
      </c>
      <c r="G5668" t="inlineStr">
        <is>
          <t>FALUN</t>
        </is>
      </c>
      <c r="I5668" t="n">
        <v>6.3</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40400-2026</t>
        </is>
      </c>
      <c r="B5669" t="inlineStr">
        <is>
          <t>avverkningsanmälan</t>
        </is>
      </c>
      <c r="C5669" t="inlineStr">
        <is>
          <t>Föryngringsavverkning</t>
        </is>
      </c>
      <c r="D5669" s="1" t="n">
        <v>46294</v>
      </c>
      <c r="E5669" s="1" t="n">
        <v>46319</v>
      </c>
      <c r="F5669" t="inlineStr">
        <is>
          <t>DALARNAS LÄN</t>
        </is>
      </c>
      <c r="G5669" t="inlineStr">
        <is>
          <t>ORSA</t>
        </is>
      </c>
      <c r="H5669" t="inlineStr">
        <is>
          <t>Bergvik skog öst AB</t>
        </is>
      </c>
      <c r="I5669" t="n">
        <v>7.8</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8770-2026</t>
        </is>
      </c>
      <c r="B5670" t="inlineStr">
        <is>
          <t>avverkningsanmälan</t>
        </is>
      </c>
      <c r="C5670" t="inlineStr">
        <is>
          <t>Föryngringsavverkning</t>
        </is>
      </c>
      <c r="D5670" s="1" t="n">
        <v>46066</v>
      </c>
      <c r="E5670" s="1" t="n">
        <v>46319</v>
      </c>
      <c r="F5670" t="inlineStr">
        <is>
          <t>DALARNAS LÄN</t>
        </is>
      </c>
      <c r="G5670" t="inlineStr">
        <is>
          <t>FALUN</t>
        </is>
      </c>
      <c r="I5670" t="n">
        <v>4.2</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8644-2026</t>
        </is>
      </c>
      <c r="B5671" t="inlineStr">
        <is>
          <t>avverkningsanmälan</t>
        </is>
      </c>
      <c r="C5671" t="inlineStr">
        <is>
          <t>Föryngringsavverkning</t>
        </is>
      </c>
      <c r="D5671" s="1" t="n">
        <v>46066</v>
      </c>
      <c r="E5671" s="1" t="n">
        <v>46319</v>
      </c>
      <c r="F5671" t="inlineStr">
        <is>
          <t>DALARNAS LÄN</t>
        </is>
      </c>
      <c r="G5671" t="inlineStr">
        <is>
          <t>ÄLVDALEN</t>
        </is>
      </c>
      <c r="I5671" t="n">
        <v>12</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8665-2026</t>
        </is>
      </c>
      <c r="B5672" t="inlineStr">
        <is>
          <t>avverkningsanmälan</t>
        </is>
      </c>
      <c r="C5672" t="inlineStr">
        <is>
          <t>Föryngringsavverkning</t>
        </is>
      </c>
      <c r="D5672" s="1" t="n">
        <v>46066</v>
      </c>
      <c r="E5672" s="1" t="n">
        <v>46319</v>
      </c>
      <c r="F5672" t="inlineStr">
        <is>
          <t>DALARNAS LÄN</t>
        </is>
      </c>
      <c r="G5672" t="inlineStr">
        <is>
          <t>RÄTTVIK</t>
        </is>
      </c>
      <c r="I5672" t="n">
        <v>2.1</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28083-2025</t>
        </is>
      </c>
      <c r="B5673" t="inlineStr">
        <is>
          <t>avverkningsanmälan</t>
        </is>
      </c>
      <c r="C5673" t="inlineStr">
        <is>
          <t>Föryngringsavverkning</t>
        </is>
      </c>
      <c r="D5673" s="1" t="n">
        <v>45817</v>
      </c>
      <c r="E5673" s="1" t="n">
        <v>46319</v>
      </c>
      <c r="F5673" t="inlineStr">
        <is>
          <t>DALARNAS LÄN</t>
        </is>
      </c>
      <c r="G5673" t="inlineStr">
        <is>
          <t>MALUNG-SÄLEN</t>
        </is>
      </c>
      <c r="H5673" t="inlineStr">
        <is>
          <t>Allmännings- och besparingsskogar</t>
        </is>
      </c>
      <c r="I5673" t="n">
        <v>28.4</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8474-2026</t>
        </is>
      </c>
      <c r="B5674" t="inlineStr">
        <is>
          <t>avverkningsanmälan</t>
        </is>
      </c>
      <c r="C5674" t="inlineStr">
        <is>
          <t>Föryngringsavverkning</t>
        </is>
      </c>
      <c r="D5674" s="1" t="n">
        <v>46065</v>
      </c>
      <c r="E5674" s="1" t="n">
        <v>46319</v>
      </c>
      <c r="F5674" t="inlineStr">
        <is>
          <t>DALARNAS LÄN</t>
        </is>
      </c>
      <c r="G5674" t="inlineStr">
        <is>
          <t>MORA</t>
        </is>
      </c>
      <c r="I5674" t="n">
        <v>4.7</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39909-2026</t>
        </is>
      </c>
      <c r="B5675" t="inlineStr">
        <is>
          <t>avverkningsanmälan</t>
        </is>
      </c>
      <c r="C5675" t="inlineStr">
        <is>
          <t>Föryngringsavverkning</t>
        </is>
      </c>
      <c r="D5675" s="1" t="n">
        <v>46290</v>
      </c>
      <c r="E5675" s="1" t="n">
        <v>46319</v>
      </c>
      <c r="F5675" t="inlineStr">
        <is>
          <t>DALARNAS LÄN</t>
        </is>
      </c>
      <c r="G5675" t="inlineStr">
        <is>
          <t>HEDEMORA</t>
        </is>
      </c>
      <c r="H5675" t="inlineStr">
        <is>
          <t>Kommuner</t>
        </is>
      </c>
      <c r="I5675" t="n">
        <v>0.7</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28133-2025</t>
        </is>
      </c>
      <c r="B5676" t="inlineStr">
        <is>
          <t>avverkningsanmälan</t>
        </is>
      </c>
      <c r="C5676" t="inlineStr">
        <is>
          <t>Föryngringsavverkning</t>
        </is>
      </c>
      <c r="D5676" s="1" t="n">
        <v>45818</v>
      </c>
      <c r="E5676" s="1" t="n">
        <v>46319</v>
      </c>
      <c r="F5676" t="inlineStr">
        <is>
          <t>DALARNAS LÄN</t>
        </is>
      </c>
      <c r="G5676" t="inlineStr">
        <is>
          <t>MALUNG-SÄLEN</t>
        </is>
      </c>
      <c r="I5676" t="n">
        <v>2</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28182-2025</t>
        </is>
      </c>
      <c r="B5677" t="inlineStr">
        <is>
          <t>avverkningsanmälan</t>
        </is>
      </c>
      <c r="C5677" t="inlineStr">
        <is>
          <t>Föryngringsavverkning</t>
        </is>
      </c>
      <c r="D5677" s="1" t="n">
        <v>45818</v>
      </c>
      <c r="E5677" s="1" t="n">
        <v>46319</v>
      </c>
      <c r="F5677" t="inlineStr">
        <is>
          <t>DALARNAS LÄN</t>
        </is>
      </c>
      <c r="G5677" t="inlineStr">
        <is>
          <t>HEDEMORA</t>
        </is>
      </c>
      <c r="H5677" t="inlineStr">
        <is>
          <t>Sveaskog</t>
        </is>
      </c>
      <c r="I5677" t="n">
        <v>1.9</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18249-2025</t>
        </is>
      </c>
      <c r="B5678" t="inlineStr">
        <is>
          <t>avverkningsanmälan</t>
        </is>
      </c>
      <c r="C5678" t="inlineStr">
        <is>
          <t>Föryngringsavverkning</t>
        </is>
      </c>
      <c r="D5678" s="1" t="n">
        <v>45762</v>
      </c>
      <c r="E5678" s="1" t="n">
        <v>46319</v>
      </c>
      <c r="F5678" t="inlineStr">
        <is>
          <t>DALARNAS LÄN</t>
        </is>
      </c>
      <c r="G5678" t="inlineStr">
        <is>
          <t>MALUNG-SÄLEN</t>
        </is>
      </c>
      <c r="I5678" t="n">
        <v>8.5</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14077-2025</t>
        </is>
      </c>
      <c r="B5679" t="inlineStr">
        <is>
          <t>avverkningsanmälan</t>
        </is>
      </c>
      <c r="C5679" t="inlineStr">
        <is>
          <t>Föryngringsavverkning</t>
        </is>
      </c>
      <c r="D5679" s="1" t="n">
        <v>45740</v>
      </c>
      <c r="E5679" s="1" t="n">
        <v>46319</v>
      </c>
      <c r="F5679" t="inlineStr">
        <is>
          <t>DALARNAS LÄN</t>
        </is>
      </c>
      <c r="G5679" t="inlineStr">
        <is>
          <t>MALUNG-SÄLEN</t>
        </is>
      </c>
      <c r="I5679" t="n">
        <v>2.8</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24949-2026</t>
        </is>
      </c>
      <c r="B5680" t="inlineStr">
        <is>
          <t>avverkningsanmälan</t>
        </is>
      </c>
      <c r="C5680" t="inlineStr">
        <is>
          <t>Föryngringsavverkning</t>
        </is>
      </c>
      <c r="D5680" s="1" t="n">
        <v>46174</v>
      </c>
      <c r="E5680" s="1" t="n">
        <v>46319</v>
      </c>
      <c r="F5680" t="inlineStr">
        <is>
          <t>DALARNAS LÄN</t>
        </is>
      </c>
      <c r="G5680" t="inlineStr">
        <is>
          <t>HEDEMORA</t>
        </is>
      </c>
      <c r="H5680" t="inlineStr">
        <is>
          <t>Sveaskog</t>
        </is>
      </c>
      <c r="I5680" t="n">
        <v>1.5</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8795-2026</t>
        </is>
      </c>
      <c r="B5681" t="inlineStr">
        <is>
          <t>avverkningsanmälan</t>
        </is>
      </c>
      <c r="C5681" t="inlineStr">
        <is>
          <t>Föryngringsavverkning</t>
        </is>
      </c>
      <c r="D5681" s="1" t="n">
        <v>46066</v>
      </c>
      <c r="E5681" s="1" t="n">
        <v>46319</v>
      </c>
      <c r="F5681" t="inlineStr">
        <is>
          <t>DALARNAS LÄN</t>
        </is>
      </c>
      <c r="G5681" t="inlineStr">
        <is>
          <t>MALUNG-SÄLEN</t>
        </is>
      </c>
      <c r="I5681" t="n">
        <v>0.7</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8824-2026</t>
        </is>
      </c>
      <c r="B5682" t="inlineStr">
        <is>
          <t>avverkningsanmälan</t>
        </is>
      </c>
      <c r="C5682" t="inlineStr">
        <is>
          <t>Föryngringsavverkning</t>
        </is>
      </c>
      <c r="D5682" s="1" t="n">
        <v>46066</v>
      </c>
      <c r="E5682" s="1" t="n">
        <v>46319</v>
      </c>
      <c r="F5682" t="inlineStr">
        <is>
          <t>DALARNAS LÄN</t>
        </is>
      </c>
      <c r="G5682" t="inlineStr">
        <is>
          <t>HEDEMORA</t>
        </is>
      </c>
      <c r="H5682" t="inlineStr">
        <is>
          <t>Sveaskog</t>
        </is>
      </c>
      <c r="I5682" t="n">
        <v>0.8</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8409-2026</t>
        </is>
      </c>
      <c r="B5683" t="inlineStr">
        <is>
          <t>avverkningsanmälan</t>
        </is>
      </c>
      <c r="C5683" t="inlineStr">
        <is>
          <t>Föryngringsavverkning</t>
        </is>
      </c>
      <c r="D5683" s="1" t="n">
        <v>46065</v>
      </c>
      <c r="E5683" s="1" t="n">
        <v>46319</v>
      </c>
      <c r="F5683" t="inlineStr">
        <is>
          <t>DALARNAS LÄN</t>
        </is>
      </c>
      <c r="G5683" t="inlineStr">
        <is>
          <t>FALUN</t>
        </is>
      </c>
      <c r="I5683" t="n">
        <v>11.1</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8762-2026</t>
        </is>
      </c>
      <c r="B5684" t="inlineStr">
        <is>
          <t>avverkningsanmälan</t>
        </is>
      </c>
      <c r="C5684" t="inlineStr">
        <is>
          <t>Föryngringsavverkning</t>
        </is>
      </c>
      <c r="D5684" s="1" t="n">
        <v>46066</v>
      </c>
      <c r="E5684" s="1" t="n">
        <v>46319</v>
      </c>
      <c r="F5684" t="inlineStr">
        <is>
          <t>DALARNAS LÄN</t>
        </is>
      </c>
      <c r="G5684" t="inlineStr">
        <is>
          <t>MORA</t>
        </is>
      </c>
      <c r="H5684" t="inlineStr">
        <is>
          <t>Bergvik skog väst AB</t>
        </is>
      </c>
      <c r="I5684" t="n">
        <v>1.8</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8589-2026</t>
        </is>
      </c>
      <c r="B5685" t="inlineStr">
        <is>
          <t>avverkningsanmälan</t>
        </is>
      </c>
      <c r="C5685" t="inlineStr">
        <is>
          <t>Föryngringsavverkning</t>
        </is>
      </c>
      <c r="D5685" s="1" t="n">
        <v>46065</v>
      </c>
      <c r="E5685" s="1" t="n">
        <v>46319</v>
      </c>
      <c r="F5685" t="inlineStr">
        <is>
          <t>DALARNAS LÄN</t>
        </is>
      </c>
      <c r="G5685" t="inlineStr">
        <is>
          <t>FALUN</t>
        </is>
      </c>
      <c r="I5685" t="n">
        <v>2.5</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63084-2025</t>
        </is>
      </c>
      <c r="B5686" t="inlineStr">
        <is>
          <t>avverkningsanmälan</t>
        </is>
      </c>
      <c r="C5686" t="inlineStr">
        <is>
          <t>Föryngringsavverkning</t>
        </is>
      </c>
      <c r="D5686" s="1" t="n">
        <v>46009</v>
      </c>
      <c r="E5686" s="1" t="n">
        <v>46319</v>
      </c>
      <c r="F5686" t="inlineStr">
        <is>
          <t>DALARNAS LÄN</t>
        </is>
      </c>
      <c r="G5686" t="inlineStr">
        <is>
          <t>GAGNEF</t>
        </is>
      </c>
      <c r="H5686" t="inlineStr">
        <is>
          <t>Kyrkan</t>
        </is>
      </c>
      <c r="I5686" t="n">
        <v>3.6</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8904-2026</t>
        </is>
      </c>
      <c r="B5687" t="inlineStr">
        <is>
          <t>avverkningsanmälan</t>
        </is>
      </c>
      <c r="C5687" t="inlineStr">
        <is>
          <t>Föryngringsavverkning</t>
        </is>
      </c>
      <c r="D5687" s="1" t="n">
        <v>46068</v>
      </c>
      <c r="E5687" s="1" t="n">
        <v>46319</v>
      </c>
      <c r="F5687" t="inlineStr">
        <is>
          <t>DALARNAS LÄN</t>
        </is>
      </c>
      <c r="G5687" t="inlineStr">
        <is>
          <t>FALUN</t>
        </is>
      </c>
      <c r="I5687" t="n">
        <v>2</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40218-2026</t>
        </is>
      </c>
      <c r="B5688" t="inlineStr">
        <is>
          <t>avverkningsanmälan</t>
        </is>
      </c>
      <c r="C5688" t="inlineStr">
        <is>
          <t>Föryngringsavverkning</t>
        </is>
      </c>
      <c r="D5688" s="1" t="n">
        <v>46293</v>
      </c>
      <c r="E5688" s="1" t="n">
        <v>46319</v>
      </c>
      <c r="F5688" t="inlineStr">
        <is>
          <t>DALARNAS LÄN</t>
        </is>
      </c>
      <c r="G5688" t="inlineStr">
        <is>
          <t>LEKSAND</t>
        </is>
      </c>
      <c r="I5688" t="n">
        <v>1</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1968-2026</t>
        </is>
      </c>
      <c r="B5689" t="inlineStr">
        <is>
          <t>avverkningsanmälan</t>
        </is>
      </c>
      <c r="C5689" t="inlineStr">
        <is>
          <t>Föryngringsavverkning</t>
        </is>
      </c>
      <c r="D5689" s="1" t="n">
        <v>46035</v>
      </c>
      <c r="E5689" s="1" t="n">
        <v>46319</v>
      </c>
      <c r="F5689" t="inlineStr">
        <is>
          <t>DALARNAS LÄN</t>
        </is>
      </c>
      <c r="G5689" t="inlineStr">
        <is>
          <t>LEKSAND</t>
        </is>
      </c>
      <c r="I5689" t="n">
        <v>2.8</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4719-2026</t>
        </is>
      </c>
      <c r="B5690" t="inlineStr">
        <is>
          <t>avverkningsanmälan</t>
        </is>
      </c>
      <c r="C5690" t="inlineStr">
        <is>
          <t>Föryngringsavverkning</t>
        </is>
      </c>
      <c r="D5690" s="1" t="n">
        <v>46048</v>
      </c>
      <c r="E5690" s="1" t="n">
        <v>46319</v>
      </c>
      <c r="F5690" t="inlineStr">
        <is>
          <t>DALARNAS LÄN</t>
        </is>
      </c>
      <c r="G5690" t="inlineStr">
        <is>
          <t>FALUN</t>
        </is>
      </c>
      <c r="I5690" t="n">
        <v>7.7</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70621-2021</t>
        </is>
      </c>
      <c r="B5691" t="inlineStr">
        <is>
          <t>avverkningsanmälan</t>
        </is>
      </c>
      <c r="C5691" t="inlineStr">
        <is>
          <t>Föryngringsavverkning</t>
        </is>
      </c>
      <c r="D5691" s="1" t="n">
        <v>44537</v>
      </c>
      <c r="E5691" s="1" t="n">
        <v>46319</v>
      </c>
      <c r="F5691" t="inlineStr">
        <is>
          <t>DALARNAS LÄN</t>
        </is>
      </c>
      <c r="G5691" t="inlineStr">
        <is>
          <t>BORLÄNGE</t>
        </is>
      </c>
      <c r="I5691" t="n">
        <v>3.5</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28505-2025</t>
        </is>
      </c>
      <c r="B5692" t="inlineStr">
        <is>
          <t>avverkningsanmälan</t>
        </is>
      </c>
      <c r="C5692" t="inlineStr">
        <is>
          <t>Föryngringsavverkning</t>
        </is>
      </c>
      <c r="D5692" s="1" t="n">
        <v>45818</v>
      </c>
      <c r="E5692" s="1" t="n">
        <v>46319</v>
      </c>
      <c r="F5692" t="inlineStr">
        <is>
          <t>DALARNAS LÄN</t>
        </is>
      </c>
      <c r="G5692" t="inlineStr">
        <is>
          <t>LEKSAND</t>
        </is>
      </c>
      <c r="I5692" t="n">
        <v>0.8</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3316-2022</t>
        </is>
      </c>
      <c r="B5693" t="inlineStr">
        <is>
          <t>avverkningsanmälan</t>
        </is>
      </c>
      <c r="C5693" t="inlineStr">
        <is>
          <t>Avverkning för annat ändamål</t>
        </is>
      </c>
      <c r="D5693" s="1" t="n">
        <v>44585</v>
      </c>
      <c r="E5693" s="1" t="n">
        <v>46319</v>
      </c>
      <c r="F5693" t="inlineStr">
        <is>
          <t>DALARNAS LÄN</t>
        </is>
      </c>
      <c r="G5693" t="inlineStr">
        <is>
          <t>GAGNEF</t>
        </is>
      </c>
      <c r="I5693" t="n">
        <v>2.1</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66613-2021</t>
        </is>
      </c>
      <c r="B5694" t="inlineStr">
        <is>
          <t>avverkningsanmälan</t>
        </is>
      </c>
      <c r="C5694" t="inlineStr">
        <is>
          <t>Avverkning för annat ändamål</t>
        </is>
      </c>
      <c r="D5694" s="1" t="n">
        <v>44519</v>
      </c>
      <c r="E5694" s="1" t="n">
        <v>46319</v>
      </c>
      <c r="F5694" t="inlineStr">
        <is>
          <t>DALARNAS LÄN</t>
        </is>
      </c>
      <c r="G5694" t="inlineStr">
        <is>
          <t>GAGNEF</t>
        </is>
      </c>
      <c r="I5694" t="n">
        <v>0.2</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36127-2024</t>
        </is>
      </c>
      <c r="B5695" t="inlineStr">
        <is>
          <t>avverkningsanmälan</t>
        </is>
      </c>
      <c r="C5695" t="inlineStr">
        <is>
          <t>Föryngringsavverkning</t>
        </is>
      </c>
      <c r="D5695" s="1" t="n">
        <v>45534</v>
      </c>
      <c r="E5695" s="1" t="n">
        <v>46319</v>
      </c>
      <c r="F5695" t="inlineStr">
        <is>
          <t>DALARNAS LÄN</t>
        </is>
      </c>
      <c r="G5695" t="inlineStr">
        <is>
          <t>GAGNEF</t>
        </is>
      </c>
      <c r="H5695" t="inlineStr">
        <is>
          <t>Bergvik skog väst AB</t>
        </is>
      </c>
      <c r="I5695" t="n">
        <v>3.4</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36132-2024</t>
        </is>
      </c>
      <c r="B5696" t="inlineStr">
        <is>
          <t>avverkningsanmälan</t>
        </is>
      </c>
      <c r="C5696" t="inlineStr">
        <is>
          <t>Föryngringsavverkning</t>
        </is>
      </c>
      <c r="D5696" s="1" t="n">
        <v>45534</v>
      </c>
      <c r="E5696" s="1" t="n">
        <v>46319</v>
      </c>
      <c r="F5696" t="inlineStr">
        <is>
          <t>DALARNAS LÄN</t>
        </is>
      </c>
      <c r="G5696" t="inlineStr">
        <is>
          <t>GAGNEF</t>
        </is>
      </c>
      <c r="I5696" t="n">
        <v>1.2</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30813-2025</t>
        </is>
      </c>
      <c r="B5697" t="inlineStr">
        <is>
          <t>avverkningsanmälan</t>
        </is>
      </c>
      <c r="C5697" t="inlineStr">
        <is>
          <t>Föryngringsavverkning</t>
        </is>
      </c>
      <c r="D5697" s="1" t="n">
        <v>45831</v>
      </c>
      <c r="E5697" s="1" t="n">
        <v>46319</v>
      </c>
      <c r="F5697" t="inlineStr">
        <is>
          <t>DALARNAS LÄN</t>
        </is>
      </c>
      <c r="G5697" t="inlineStr">
        <is>
          <t>LUDVIKA</t>
        </is>
      </c>
      <c r="I5697" t="n">
        <v>0.9</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4036-2026</t>
        </is>
      </c>
      <c r="B5698" t="inlineStr">
        <is>
          <t>avverkningsanmälan</t>
        </is>
      </c>
      <c r="C5698" t="inlineStr">
        <is>
          <t>Föryngringsavverkning</t>
        </is>
      </c>
      <c r="D5698" s="1" t="n">
        <v>46044</v>
      </c>
      <c r="E5698" s="1" t="n">
        <v>46319</v>
      </c>
      <c r="F5698" t="inlineStr">
        <is>
          <t>DALARNAS LÄN</t>
        </is>
      </c>
      <c r="G5698" t="inlineStr">
        <is>
          <t>FALUN</t>
        </is>
      </c>
      <c r="H5698" t="inlineStr">
        <is>
          <t>Kyrkan</t>
        </is>
      </c>
      <c r="I5698" t="n">
        <v>18.5</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63325-2025</t>
        </is>
      </c>
      <c r="B5699" t="inlineStr">
        <is>
          <t>avverkningsanmälan</t>
        </is>
      </c>
      <c r="C5699" t="inlineStr">
        <is>
          <t>Föryngringsavverkning</t>
        </is>
      </c>
      <c r="D5699" s="1" t="n">
        <v>46010</v>
      </c>
      <c r="E5699" s="1" t="n">
        <v>46319</v>
      </c>
      <c r="F5699" t="inlineStr">
        <is>
          <t>DALARNAS LÄN</t>
        </is>
      </c>
      <c r="G5699" t="inlineStr">
        <is>
          <t>GAGNEF</t>
        </is>
      </c>
      <c r="I5699" t="n">
        <v>1.2</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5275-2026</t>
        </is>
      </c>
      <c r="B5700" t="inlineStr">
        <is>
          <t>avverkningsanmälan</t>
        </is>
      </c>
      <c r="C5700" t="inlineStr">
        <is>
          <t>Föryngringsavverkning</t>
        </is>
      </c>
      <c r="D5700" s="1" t="n">
        <v>46050</v>
      </c>
      <c r="E5700" s="1" t="n">
        <v>46319</v>
      </c>
      <c r="F5700" t="inlineStr">
        <is>
          <t>DALARNAS LÄN</t>
        </is>
      </c>
      <c r="G5700" t="inlineStr">
        <is>
          <t>FALUN</t>
        </is>
      </c>
      <c r="H5700" t="inlineStr">
        <is>
          <t>Kyrkan</t>
        </is>
      </c>
      <c r="I5700" t="n">
        <v>1.7</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40405-2026</t>
        </is>
      </c>
      <c r="B5701" t="inlineStr">
        <is>
          <t>avverkningsanmälan</t>
        </is>
      </c>
      <c r="C5701" t="inlineStr">
        <is>
          <t>Föryngringsavverkning</t>
        </is>
      </c>
      <c r="D5701" s="1" t="n">
        <v>46294</v>
      </c>
      <c r="E5701" s="1" t="n">
        <v>46319</v>
      </c>
      <c r="F5701" t="inlineStr">
        <is>
          <t>DALARNAS LÄN</t>
        </is>
      </c>
      <c r="G5701" t="inlineStr">
        <is>
          <t>ORSA</t>
        </is>
      </c>
      <c r="H5701" t="inlineStr">
        <is>
          <t>Bergvik skog öst AB</t>
        </is>
      </c>
      <c r="I5701" t="n">
        <v>0.8</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1140-2025</t>
        </is>
      </c>
      <c r="B5702" t="inlineStr">
        <is>
          <t>avverkningsanmälan</t>
        </is>
      </c>
      <c r="C5702" t="inlineStr">
        <is>
          <t>Avverkning för annat ändamål</t>
        </is>
      </c>
      <c r="D5702" s="1" t="n">
        <v>45666</v>
      </c>
      <c r="E5702" s="1" t="n">
        <v>46319</v>
      </c>
      <c r="F5702" t="inlineStr">
        <is>
          <t>DALARNAS LÄN</t>
        </is>
      </c>
      <c r="G5702" t="inlineStr">
        <is>
          <t>VANSBRO</t>
        </is>
      </c>
      <c r="I5702" t="n">
        <v>0.8</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9320-2026</t>
        </is>
      </c>
      <c r="B5703" t="inlineStr">
        <is>
          <t>avverkningsanmälan</t>
        </is>
      </c>
      <c r="C5703" t="inlineStr">
        <is>
          <t>Föryngringsavverkning</t>
        </is>
      </c>
      <c r="D5703" s="1" t="n">
        <v>46070</v>
      </c>
      <c r="E5703" s="1" t="n">
        <v>46319</v>
      </c>
      <c r="F5703" t="inlineStr">
        <is>
          <t>DALARNAS LÄN</t>
        </is>
      </c>
      <c r="G5703" t="inlineStr">
        <is>
          <t>BORLÄNGE</t>
        </is>
      </c>
      <c r="H5703" t="inlineStr">
        <is>
          <t>Bergvik skog väst AB</t>
        </is>
      </c>
      <c r="I5703" t="n">
        <v>4.3</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9337-2026</t>
        </is>
      </c>
      <c r="B5704" t="inlineStr">
        <is>
          <t>avverkningsanmälan</t>
        </is>
      </c>
      <c r="C5704" t="inlineStr">
        <is>
          <t>Föryngringsavverkning</t>
        </is>
      </c>
      <c r="D5704" s="1" t="n">
        <v>46070</v>
      </c>
      <c r="E5704" s="1" t="n">
        <v>46319</v>
      </c>
      <c r="F5704" t="inlineStr">
        <is>
          <t>DALARNAS LÄN</t>
        </is>
      </c>
      <c r="G5704" t="inlineStr">
        <is>
          <t>FALUN</t>
        </is>
      </c>
      <c r="I5704" t="n">
        <v>4.6</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9342-2026</t>
        </is>
      </c>
      <c r="B5705" t="inlineStr">
        <is>
          <t>avverkningsanmälan</t>
        </is>
      </c>
      <c r="C5705" t="inlineStr">
        <is>
          <t>Föryngringsavverkning</t>
        </is>
      </c>
      <c r="D5705" s="1" t="n">
        <v>46070</v>
      </c>
      <c r="E5705" s="1" t="n">
        <v>46319</v>
      </c>
      <c r="F5705" t="inlineStr">
        <is>
          <t>DALARNAS LÄN</t>
        </is>
      </c>
      <c r="G5705" t="inlineStr">
        <is>
          <t>FALUN</t>
        </is>
      </c>
      <c r="I5705" t="n">
        <v>4.9</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9286-2026</t>
        </is>
      </c>
      <c r="B5706" t="inlineStr">
        <is>
          <t>avverkningsanmälan</t>
        </is>
      </c>
      <c r="C5706" t="inlineStr">
        <is>
          <t>Föryngringsavverkning</t>
        </is>
      </c>
      <c r="D5706" s="1" t="n">
        <v>46070</v>
      </c>
      <c r="E5706" s="1" t="n">
        <v>46319</v>
      </c>
      <c r="F5706" t="inlineStr">
        <is>
          <t>DALARNAS LÄN</t>
        </is>
      </c>
      <c r="G5706" t="inlineStr">
        <is>
          <t>RÄTTVIK</t>
        </is>
      </c>
      <c r="I5706" t="n">
        <v>0.8</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35746-2025</t>
        </is>
      </c>
      <c r="B5707" t="inlineStr">
        <is>
          <t>avverkningsanmälan</t>
        </is>
      </c>
      <c r="C5707" t="inlineStr">
        <is>
          <t>Föryngringsavverkning</t>
        </is>
      </c>
      <c r="D5707" s="1" t="n">
        <v>45860</v>
      </c>
      <c r="E5707" s="1" t="n">
        <v>46319</v>
      </c>
      <c r="F5707" t="inlineStr">
        <is>
          <t>DALARNAS LÄN</t>
        </is>
      </c>
      <c r="G5707" t="inlineStr">
        <is>
          <t>LEKSAND</t>
        </is>
      </c>
      <c r="I5707" t="n">
        <v>1.9</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59856-2024</t>
        </is>
      </c>
      <c r="B5708" t="inlineStr">
        <is>
          <t>avverkningsanmälan</t>
        </is>
      </c>
      <c r="C5708" t="inlineStr">
        <is>
          <t>Föryngringsavverkning</t>
        </is>
      </c>
      <c r="D5708" s="1" t="n">
        <v>45639</v>
      </c>
      <c r="E5708" s="1" t="n">
        <v>46319</v>
      </c>
      <c r="F5708" t="inlineStr">
        <is>
          <t>DALARNAS LÄN</t>
        </is>
      </c>
      <c r="G5708" t="inlineStr">
        <is>
          <t>VANSBRO</t>
        </is>
      </c>
      <c r="I5708" t="n">
        <v>6.1</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27987-2025</t>
        </is>
      </c>
      <c r="B5709" t="inlineStr">
        <is>
          <t>avverkningsanmälan</t>
        </is>
      </c>
      <c r="C5709" t="inlineStr">
        <is>
          <t>Föryngringsavverkning</t>
        </is>
      </c>
      <c r="D5709" s="1" t="n">
        <v>45817</v>
      </c>
      <c r="E5709" s="1" t="n">
        <v>46319</v>
      </c>
      <c r="F5709" t="inlineStr">
        <is>
          <t>DALARNAS LÄN</t>
        </is>
      </c>
      <c r="G5709" t="inlineStr">
        <is>
          <t>ORSA</t>
        </is>
      </c>
      <c r="H5709" t="inlineStr">
        <is>
          <t>Allmännings- och besparingsskogar</t>
        </is>
      </c>
      <c r="I5709" t="n">
        <v>2.5</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491-2025</t>
        </is>
      </c>
      <c r="B5710" t="inlineStr">
        <is>
          <t>avverkningsanmälan</t>
        </is>
      </c>
      <c r="C5710" t="inlineStr">
        <is>
          <t>Föryngringsavverkning</t>
        </is>
      </c>
      <c r="D5710" s="1" t="n">
        <v>45664</v>
      </c>
      <c r="E5710" s="1" t="n">
        <v>46319</v>
      </c>
      <c r="F5710" t="inlineStr">
        <is>
          <t>DALARNAS LÄN</t>
        </is>
      </c>
      <c r="G5710" t="inlineStr">
        <is>
          <t>GAGNEF</t>
        </is>
      </c>
      <c r="H5710" t="inlineStr">
        <is>
          <t>Övriga statliga verk och myndigheter</t>
        </is>
      </c>
      <c r="I5710" t="n">
        <v>1.7</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28499-2025</t>
        </is>
      </c>
      <c r="B5711" t="inlineStr">
        <is>
          <t>avverkningsanmälan</t>
        </is>
      </c>
      <c r="C5711" t="inlineStr">
        <is>
          <t>Föryngringsavverkning</t>
        </is>
      </c>
      <c r="D5711" s="1" t="n">
        <v>45818</v>
      </c>
      <c r="E5711" s="1" t="n">
        <v>46319</v>
      </c>
      <c r="F5711" t="inlineStr">
        <is>
          <t>DALARNAS LÄN</t>
        </is>
      </c>
      <c r="G5711" t="inlineStr">
        <is>
          <t>LEKSAND</t>
        </is>
      </c>
      <c r="I5711" t="n">
        <v>0.7</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28542-2025</t>
        </is>
      </c>
      <c r="B5712" t="inlineStr">
        <is>
          <t>avverkningsanmälan</t>
        </is>
      </c>
      <c r="C5712" t="inlineStr">
        <is>
          <t>Föryngringsavverkning</t>
        </is>
      </c>
      <c r="D5712" s="1" t="n">
        <v>45818</v>
      </c>
      <c r="E5712" s="1" t="n">
        <v>46319</v>
      </c>
      <c r="F5712" t="inlineStr">
        <is>
          <t>DALARNAS LÄN</t>
        </is>
      </c>
      <c r="G5712" t="inlineStr">
        <is>
          <t>MALUNG-SÄLEN</t>
        </is>
      </c>
      <c r="I5712" t="n">
        <v>2.5</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9102-2026</t>
        </is>
      </c>
      <c r="B5713" t="inlineStr">
        <is>
          <t>avverkningsanmälan</t>
        </is>
      </c>
      <c r="C5713" t="inlineStr">
        <is>
          <t>Föryngringsavverkning</t>
        </is>
      </c>
      <c r="D5713" s="1" t="n">
        <v>46069</v>
      </c>
      <c r="E5713" s="1" t="n">
        <v>46319</v>
      </c>
      <c r="F5713" t="inlineStr">
        <is>
          <t>DALARNAS LÄN</t>
        </is>
      </c>
      <c r="G5713" t="inlineStr">
        <is>
          <t>FALUN</t>
        </is>
      </c>
      <c r="I5713" t="n">
        <v>4.4</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40343-2026</t>
        </is>
      </c>
      <c r="B5714" t="inlineStr">
        <is>
          <t>avverkningsanmälan</t>
        </is>
      </c>
      <c r="C5714" t="inlineStr">
        <is>
          <t>Föryngringsavverkning</t>
        </is>
      </c>
      <c r="D5714" s="1" t="n">
        <v>46294</v>
      </c>
      <c r="E5714" s="1" t="n">
        <v>46319</v>
      </c>
      <c r="F5714" t="inlineStr">
        <is>
          <t>DALARNAS LÄN</t>
        </is>
      </c>
      <c r="G5714" t="inlineStr">
        <is>
          <t>VANSBRO</t>
        </is>
      </c>
      <c r="H5714" t="inlineStr">
        <is>
          <t>Bergvik skog väst AB</t>
        </is>
      </c>
      <c r="I5714" t="n">
        <v>0.8</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40384-2026</t>
        </is>
      </c>
      <c r="B5715" t="inlineStr">
        <is>
          <t>avverkningsanmälan</t>
        </is>
      </c>
      <c r="C5715" t="inlineStr">
        <is>
          <t>Föryngringsavverkning</t>
        </is>
      </c>
      <c r="D5715" s="1" t="n">
        <v>46294</v>
      </c>
      <c r="E5715" s="1" t="n">
        <v>46319</v>
      </c>
      <c r="F5715" t="inlineStr">
        <is>
          <t>DALARNAS LÄN</t>
        </is>
      </c>
      <c r="G5715" t="inlineStr">
        <is>
          <t>LUDVIKA</t>
        </is>
      </c>
      <c r="H5715" t="inlineStr">
        <is>
          <t>Bergvik skog väst AB</t>
        </is>
      </c>
      <c r="I5715" t="n">
        <v>1.4</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53040-2025</t>
        </is>
      </c>
      <c r="B5716" t="inlineStr">
        <is>
          <t>avverkningsanmälan</t>
        </is>
      </c>
      <c r="C5716" t="inlineStr">
        <is>
          <t>Föryngringsavverkning</t>
        </is>
      </c>
      <c r="D5716" s="1" t="n">
        <v>45958</v>
      </c>
      <c r="E5716" s="1" t="n">
        <v>46319</v>
      </c>
      <c r="F5716" t="inlineStr">
        <is>
          <t>DALARNAS LÄN</t>
        </is>
      </c>
      <c r="G5716" t="inlineStr">
        <is>
          <t>HEDEMORA</t>
        </is>
      </c>
      <c r="H5716" t="inlineStr">
        <is>
          <t>Sveaskog</t>
        </is>
      </c>
      <c r="I5716" t="n">
        <v>1.9</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53044-2025</t>
        </is>
      </c>
      <c r="B5717" t="inlineStr">
        <is>
          <t>avverkningsanmälan</t>
        </is>
      </c>
      <c r="C5717" t="inlineStr">
        <is>
          <t>Föryngringsavverkning</t>
        </is>
      </c>
      <c r="D5717" s="1" t="n">
        <v>45958</v>
      </c>
      <c r="E5717" s="1" t="n">
        <v>46319</v>
      </c>
      <c r="F5717" t="inlineStr">
        <is>
          <t>DALARNAS LÄN</t>
        </is>
      </c>
      <c r="G5717" t="inlineStr">
        <is>
          <t>HEDEMORA</t>
        </is>
      </c>
      <c r="H5717" t="inlineStr">
        <is>
          <t>Sveaskog</t>
        </is>
      </c>
      <c r="I5717" t="n">
        <v>1.8</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26769-2026</t>
        </is>
      </c>
      <c r="B5718" t="inlineStr">
        <is>
          <t>avverkningsanmälan</t>
        </is>
      </c>
      <c r="C5718" t="inlineStr">
        <is>
          <t>Föryngringsavverkning</t>
        </is>
      </c>
      <c r="D5718" s="1" t="n">
        <v>46184</v>
      </c>
      <c r="E5718" s="1" t="n">
        <v>46319</v>
      </c>
      <c r="F5718" t="inlineStr">
        <is>
          <t>DALARNAS LÄN</t>
        </is>
      </c>
      <c r="G5718" t="inlineStr">
        <is>
          <t>AVESTA</t>
        </is>
      </c>
      <c r="I5718" t="n">
        <v>3.2</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27885-2025</t>
        </is>
      </c>
      <c r="B5719" t="inlineStr">
        <is>
          <t>avverkningsanmälan</t>
        </is>
      </c>
      <c r="C5719" t="inlineStr">
        <is>
          <t>Föryngringsavverkning</t>
        </is>
      </c>
      <c r="D5719" s="1" t="n">
        <v>45817</v>
      </c>
      <c r="E5719" s="1" t="n">
        <v>46319</v>
      </c>
      <c r="F5719" t="inlineStr">
        <is>
          <t>DALARNAS LÄN</t>
        </is>
      </c>
      <c r="G5719" t="inlineStr">
        <is>
          <t>ORSA</t>
        </is>
      </c>
      <c r="H5719" t="inlineStr">
        <is>
          <t>Allmännings- och besparingsskogar</t>
        </is>
      </c>
      <c r="I5719" t="n">
        <v>3.4</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24373-2025</t>
        </is>
      </c>
      <c r="B5720" t="inlineStr">
        <is>
          <t>avverkningsanmälan</t>
        </is>
      </c>
      <c r="C5720" t="inlineStr">
        <is>
          <t>Föryngringsavverkning</t>
        </is>
      </c>
      <c r="D5720" s="1" t="n">
        <v>45797</v>
      </c>
      <c r="E5720" s="1" t="n">
        <v>46319</v>
      </c>
      <c r="F5720" t="inlineStr">
        <is>
          <t>DALARNAS LÄN</t>
        </is>
      </c>
      <c r="G5720" t="inlineStr">
        <is>
          <t>LEKSAND</t>
        </is>
      </c>
      <c r="I5720" t="n">
        <v>2.4</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40406-2026</t>
        </is>
      </c>
      <c r="B5721" t="inlineStr">
        <is>
          <t>avverkningsanmälan</t>
        </is>
      </c>
      <c r="C5721" t="inlineStr">
        <is>
          <t>Föryngringsavverkning</t>
        </is>
      </c>
      <c r="D5721" s="1" t="n">
        <v>46294</v>
      </c>
      <c r="E5721" s="1" t="n">
        <v>46319</v>
      </c>
      <c r="F5721" t="inlineStr">
        <is>
          <t>DALARNAS LÄN</t>
        </is>
      </c>
      <c r="G5721" t="inlineStr">
        <is>
          <t>ORSA</t>
        </is>
      </c>
      <c r="H5721" t="inlineStr">
        <is>
          <t>Bergvik skog öst AB</t>
        </is>
      </c>
      <c r="I5721" t="n">
        <v>2.4</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27984-2025</t>
        </is>
      </c>
      <c r="B5722" t="inlineStr">
        <is>
          <t>avverkningsanmälan</t>
        </is>
      </c>
      <c r="C5722" t="inlineStr">
        <is>
          <t>Föryngringsavverkning</t>
        </is>
      </c>
      <c r="D5722" s="1" t="n">
        <v>45817</v>
      </c>
      <c r="E5722" s="1" t="n">
        <v>46319</v>
      </c>
      <c r="F5722" t="inlineStr">
        <is>
          <t>DALARNAS LÄN</t>
        </is>
      </c>
      <c r="G5722" t="inlineStr">
        <is>
          <t>LEKSAND</t>
        </is>
      </c>
      <c r="I5722" t="n">
        <v>0.7</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9231-2026</t>
        </is>
      </c>
      <c r="B5723" t="inlineStr">
        <is>
          <t>avverkningsanmälan</t>
        </is>
      </c>
      <c r="C5723" t="inlineStr">
        <is>
          <t>Föryngringsavverkning</t>
        </is>
      </c>
      <c r="D5723" s="1" t="n">
        <v>46070</v>
      </c>
      <c r="E5723" s="1" t="n">
        <v>46319</v>
      </c>
      <c r="F5723" t="inlineStr">
        <is>
          <t>DALARNAS LÄN</t>
        </is>
      </c>
      <c r="G5723" t="inlineStr">
        <is>
          <t>FALUN</t>
        </is>
      </c>
      <c r="H5723" t="inlineStr">
        <is>
          <t>Bergvik skog väst AB</t>
        </is>
      </c>
      <c r="I5723" t="n">
        <v>9.800000000000001</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2916-2026</t>
        </is>
      </c>
      <c r="B5724" t="inlineStr">
        <is>
          <t>avverkningsanmälan</t>
        </is>
      </c>
      <c r="C5724" t="inlineStr">
        <is>
          <t>Föryngringsavverkning</t>
        </is>
      </c>
      <c r="D5724" s="1" t="n">
        <v>46038</v>
      </c>
      <c r="E5724" s="1" t="n">
        <v>46319</v>
      </c>
      <c r="F5724" t="inlineStr">
        <is>
          <t>DALARNAS LÄN</t>
        </is>
      </c>
      <c r="G5724" t="inlineStr">
        <is>
          <t>GAGNEF</t>
        </is>
      </c>
      <c r="I5724" t="n">
        <v>1.4</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32659-2026</t>
        </is>
      </c>
      <c r="B5725" t="inlineStr">
        <is>
          <t>avverkningsanmälan</t>
        </is>
      </c>
      <c r="C5725" t="inlineStr">
        <is>
          <t>Föryngringsavverkning</t>
        </is>
      </c>
      <c r="D5725" s="1" t="n">
        <v>46240</v>
      </c>
      <c r="E5725" s="1" t="n">
        <v>46319</v>
      </c>
      <c r="F5725" t="inlineStr">
        <is>
          <t>DALARNAS LÄN</t>
        </is>
      </c>
      <c r="G5725" t="inlineStr">
        <is>
          <t>LEKSAND</t>
        </is>
      </c>
      <c r="H5725" t="inlineStr">
        <is>
          <t>Bergvik skog väst AB</t>
        </is>
      </c>
      <c r="I5725" t="n">
        <v>1.6</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3904-2024</t>
        </is>
      </c>
      <c r="B5726" t="inlineStr">
        <is>
          <t>avverkningsanmälan</t>
        </is>
      </c>
      <c r="C5726" t="inlineStr">
        <is>
          <t>Föryngringsavverkning</t>
        </is>
      </c>
      <c r="D5726" s="1" t="n">
        <v>45322</v>
      </c>
      <c r="E5726" s="1" t="n">
        <v>46319</v>
      </c>
      <c r="F5726" t="inlineStr">
        <is>
          <t>DALARNAS LÄN</t>
        </is>
      </c>
      <c r="G5726" t="inlineStr">
        <is>
          <t>ÄLVDALEN</t>
        </is>
      </c>
      <c r="I5726" t="n">
        <v>1.5</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4795-2026</t>
        </is>
      </c>
      <c r="B5727" t="inlineStr">
        <is>
          <t>avverkningsanmälan</t>
        </is>
      </c>
      <c r="C5727" t="inlineStr">
        <is>
          <t>Föryngringsavverkning</t>
        </is>
      </c>
      <c r="D5727" s="1" t="n">
        <v>46048</v>
      </c>
      <c r="E5727" s="1" t="n">
        <v>46319</v>
      </c>
      <c r="F5727" t="inlineStr">
        <is>
          <t>DALARNAS LÄN</t>
        </is>
      </c>
      <c r="G5727" t="inlineStr">
        <is>
          <t>BORLÄNGE</t>
        </is>
      </c>
      <c r="I5727" t="n">
        <v>3.9</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25916-2022</t>
        </is>
      </c>
      <c r="B5728" t="inlineStr">
        <is>
          <t>avverkningsanmälan</t>
        </is>
      </c>
      <c r="C5728" t="inlineStr">
        <is>
          <t>Föryngringsavverkning</t>
        </is>
      </c>
      <c r="D5728" s="1" t="n">
        <v>44734</v>
      </c>
      <c r="E5728" s="1" t="n">
        <v>46319</v>
      </c>
      <c r="F5728" t="inlineStr">
        <is>
          <t>DALARNAS LÄN</t>
        </is>
      </c>
      <c r="G5728" t="inlineStr">
        <is>
          <t>VANSBRO</t>
        </is>
      </c>
      <c r="I5728" t="n">
        <v>0.6</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9170-2026</t>
        </is>
      </c>
      <c r="B5729" t="inlineStr">
        <is>
          <t>avverkningsanmälan</t>
        </is>
      </c>
      <c r="C5729" t="inlineStr">
        <is>
          <t>Föryngringsavverkning</t>
        </is>
      </c>
      <c r="D5729" s="1" t="n">
        <v>46070</v>
      </c>
      <c r="E5729" s="1" t="n">
        <v>46319</v>
      </c>
      <c r="F5729" t="inlineStr">
        <is>
          <t>DALARNAS LÄN</t>
        </is>
      </c>
      <c r="G5729" t="inlineStr">
        <is>
          <t>LEKSAND</t>
        </is>
      </c>
      <c r="I5729" t="n">
        <v>2.9</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15965-2023</t>
        </is>
      </c>
      <c r="B5730" t="inlineStr">
        <is>
          <t>avverkningsanmälan</t>
        </is>
      </c>
      <c r="C5730" t="inlineStr">
        <is>
          <t>Föryngringsavverkning</t>
        </is>
      </c>
      <c r="D5730" s="1" t="n">
        <v>45022</v>
      </c>
      <c r="E5730" s="1" t="n">
        <v>46319</v>
      </c>
      <c r="F5730" t="inlineStr">
        <is>
          <t>DALARNAS LÄN</t>
        </is>
      </c>
      <c r="G5730" t="inlineStr">
        <is>
          <t>GAGNEF</t>
        </is>
      </c>
      <c r="H5730" t="inlineStr">
        <is>
          <t>Bergvik skog väst AB</t>
        </is>
      </c>
      <c r="I5730" t="n">
        <v>1.5</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52230-2023</t>
        </is>
      </c>
      <c r="B5731" t="inlineStr">
        <is>
          <t>avverkningsanmälan</t>
        </is>
      </c>
      <c r="C5731" t="inlineStr">
        <is>
          <t>Föryngringsavverkning</t>
        </is>
      </c>
      <c r="D5731" s="1" t="n">
        <v>45224</v>
      </c>
      <c r="E5731" s="1" t="n">
        <v>46319</v>
      </c>
      <c r="F5731" t="inlineStr">
        <is>
          <t>DALARNAS LÄN</t>
        </is>
      </c>
      <c r="G5731" t="inlineStr">
        <is>
          <t>LUDVIKA</t>
        </is>
      </c>
      <c r="I5731" t="n">
        <v>3.5</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383-2022</t>
        </is>
      </c>
      <c r="B5732" t="inlineStr">
        <is>
          <t>avverkningsanmälan</t>
        </is>
      </c>
      <c r="C5732" t="inlineStr">
        <is>
          <t>Avverkning för annat ändamål</t>
        </is>
      </c>
      <c r="D5732" s="1" t="n">
        <v>44565</v>
      </c>
      <c r="E5732" s="1" t="n">
        <v>46319</v>
      </c>
      <c r="F5732" t="inlineStr">
        <is>
          <t>DALARNAS LÄN</t>
        </is>
      </c>
      <c r="G5732" t="inlineStr">
        <is>
          <t>BORLÄNGE</t>
        </is>
      </c>
      <c r="I5732" t="n">
        <v>0.6</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56269-2023</t>
        </is>
      </c>
      <c r="B5733" t="inlineStr">
        <is>
          <t>avverkningsanmälan</t>
        </is>
      </c>
      <c r="C5733" t="inlineStr">
        <is>
          <t>Föryngringsavverkning</t>
        </is>
      </c>
      <c r="D5733" s="1" t="n">
        <v>45240</v>
      </c>
      <c r="E5733" s="1" t="n">
        <v>46319</v>
      </c>
      <c r="F5733" t="inlineStr">
        <is>
          <t>DALARNAS LÄN</t>
        </is>
      </c>
      <c r="G5733" t="inlineStr">
        <is>
          <t>VANSBRO</t>
        </is>
      </c>
      <c r="I5733" t="n">
        <v>1.2</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13875-2026</t>
        </is>
      </c>
      <c r="B5734" t="inlineStr">
        <is>
          <t>avverkningsanmälan</t>
        </is>
      </c>
      <c r="C5734" t="inlineStr">
        <is>
          <t>Föryngringsavverkning</t>
        </is>
      </c>
      <c r="D5734" s="1" t="n">
        <v>46098</v>
      </c>
      <c r="E5734" s="1" t="n">
        <v>46319</v>
      </c>
      <c r="F5734" t="inlineStr">
        <is>
          <t>DALARNAS LÄN</t>
        </is>
      </c>
      <c r="G5734" t="inlineStr">
        <is>
          <t>RÄTTVIK</t>
        </is>
      </c>
      <c r="I5734" t="n">
        <v>6.5</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54018-2025</t>
        </is>
      </c>
      <c r="B5735" t="inlineStr">
        <is>
          <t>avverkningsanmälan</t>
        </is>
      </c>
      <c r="C5735" t="inlineStr">
        <is>
          <t>Föryngringsavverkning</t>
        </is>
      </c>
      <c r="D5735" s="1" t="n">
        <v>45961</v>
      </c>
      <c r="E5735" s="1" t="n">
        <v>46319</v>
      </c>
      <c r="F5735" t="inlineStr">
        <is>
          <t>DALARNAS LÄN</t>
        </is>
      </c>
      <c r="G5735" t="inlineStr">
        <is>
          <t>GAGNEF</t>
        </is>
      </c>
      <c r="I5735" t="n">
        <v>5.1</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8924-2026</t>
        </is>
      </c>
      <c r="B5736" t="inlineStr">
        <is>
          <t>avverkningsanmälan</t>
        </is>
      </c>
      <c r="C5736" t="inlineStr">
        <is>
          <t>Föryngringsavverkning</t>
        </is>
      </c>
      <c r="D5736" s="1" t="n">
        <v>46069</v>
      </c>
      <c r="E5736" s="1" t="n">
        <v>46319</v>
      </c>
      <c r="F5736" t="inlineStr">
        <is>
          <t>DALARNAS LÄN</t>
        </is>
      </c>
      <c r="G5736" t="inlineStr">
        <is>
          <t>RÄTTVIK</t>
        </is>
      </c>
      <c r="I5736" t="n">
        <v>0.6</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29364-2024</t>
        </is>
      </c>
      <c r="B5737" t="inlineStr">
        <is>
          <t>avverkningsanmälan</t>
        </is>
      </c>
      <c r="C5737" t="inlineStr">
        <is>
          <t>Avverkning för att bevara och utveckla /försöksver</t>
        </is>
      </c>
      <c r="D5737" s="1" t="n">
        <v>45483</v>
      </c>
      <c r="E5737" s="1" t="n">
        <v>46319</v>
      </c>
      <c r="F5737" t="inlineStr">
        <is>
          <t>DALARNAS LÄN</t>
        </is>
      </c>
      <c r="G5737" t="inlineStr">
        <is>
          <t>MALUNG-SÄLEN</t>
        </is>
      </c>
      <c r="I5737" t="n">
        <v>1.1</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64788-2023</t>
        </is>
      </c>
      <c r="B5738" t="inlineStr">
        <is>
          <t>avverkningsanmälan</t>
        </is>
      </c>
      <c r="C5738" t="inlineStr">
        <is>
          <t>Föryngringsavverkning</t>
        </is>
      </c>
      <c r="D5738" s="1" t="n">
        <v>45282</v>
      </c>
      <c r="E5738" s="1" t="n">
        <v>46319</v>
      </c>
      <c r="F5738" t="inlineStr">
        <is>
          <t>DALARNAS LÄN</t>
        </is>
      </c>
      <c r="G5738" t="inlineStr">
        <is>
          <t>SÄTER</t>
        </is>
      </c>
      <c r="I5738" t="n">
        <v>0.5</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28281-2026</t>
        </is>
      </c>
      <c r="B5739" t="inlineStr">
        <is>
          <t>avverkningsanmälan</t>
        </is>
      </c>
      <c r="C5739" t="inlineStr">
        <is>
          <t>Föryngringsavverkning</t>
        </is>
      </c>
      <c r="D5739" s="1" t="n">
        <v>46196</v>
      </c>
      <c r="E5739" s="1" t="n">
        <v>46319</v>
      </c>
      <c r="F5739" t="inlineStr">
        <is>
          <t>DALARNAS LÄN</t>
        </is>
      </c>
      <c r="G5739" t="inlineStr">
        <is>
          <t>SÄTER</t>
        </is>
      </c>
      <c r="H5739" t="inlineStr">
        <is>
          <t>Sveaskog</t>
        </is>
      </c>
      <c r="I5739" t="n">
        <v>19.8</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9128-2026</t>
        </is>
      </c>
      <c r="B5740" t="inlineStr">
        <is>
          <t>avverkningsanmälan</t>
        </is>
      </c>
      <c r="C5740" t="inlineStr">
        <is>
          <t>Föryngringsavverkning</t>
        </is>
      </c>
      <c r="D5740" s="1" t="n">
        <v>46069</v>
      </c>
      <c r="E5740" s="1" t="n">
        <v>46319</v>
      </c>
      <c r="F5740" t="inlineStr">
        <is>
          <t>DALARNAS LÄN</t>
        </is>
      </c>
      <c r="G5740" t="inlineStr">
        <is>
          <t>FALUN</t>
        </is>
      </c>
      <c r="I5740" t="n">
        <v>4.3</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9152-2026</t>
        </is>
      </c>
      <c r="B5741" t="inlineStr">
        <is>
          <t>avverkningsanmälan</t>
        </is>
      </c>
      <c r="C5741" t="inlineStr">
        <is>
          <t>Föryngringsavverkning</t>
        </is>
      </c>
      <c r="D5741" s="1" t="n">
        <v>46070</v>
      </c>
      <c r="E5741" s="1" t="n">
        <v>46319</v>
      </c>
      <c r="F5741" t="inlineStr">
        <is>
          <t>DALARNAS LÄN</t>
        </is>
      </c>
      <c r="G5741" t="inlineStr">
        <is>
          <t>MALUNG-SÄLEN</t>
        </is>
      </c>
      <c r="I5741" t="n">
        <v>0.7</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9163-2026</t>
        </is>
      </c>
      <c r="B5742" t="inlineStr">
        <is>
          <t>avverkningsanmälan</t>
        </is>
      </c>
      <c r="C5742" t="inlineStr">
        <is>
          <t>Föryngringsavverkning</t>
        </is>
      </c>
      <c r="D5742" s="1" t="n">
        <v>46070</v>
      </c>
      <c r="E5742" s="1" t="n">
        <v>46319</v>
      </c>
      <c r="F5742" t="inlineStr">
        <is>
          <t>DALARNAS LÄN</t>
        </is>
      </c>
      <c r="G5742" t="inlineStr">
        <is>
          <t>LEKSAND</t>
        </is>
      </c>
      <c r="I5742" t="n">
        <v>2.2</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9360-2026</t>
        </is>
      </c>
      <c r="B5743" t="inlineStr">
        <is>
          <t>avverkningsanmälan</t>
        </is>
      </c>
      <c r="C5743" t="inlineStr">
        <is>
          <t>Föryngringsavverkning</t>
        </is>
      </c>
      <c r="D5743" s="1" t="n">
        <v>46070</v>
      </c>
      <c r="E5743" s="1" t="n">
        <v>46319</v>
      </c>
      <c r="F5743" t="inlineStr">
        <is>
          <t>DALARNAS LÄN</t>
        </is>
      </c>
      <c r="G5743" t="inlineStr">
        <is>
          <t>LEKSAND</t>
        </is>
      </c>
      <c r="I5743" t="n">
        <v>2.1</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64072-2025</t>
        </is>
      </c>
      <c r="B5744" t="inlineStr">
        <is>
          <t>avverkningsanmälan</t>
        </is>
      </c>
      <c r="C5744" t="inlineStr">
        <is>
          <t>Föryngringsavverkning</t>
        </is>
      </c>
      <c r="D5744" s="1" t="n">
        <v>46021</v>
      </c>
      <c r="E5744" s="1" t="n">
        <v>46319</v>
      </c>
      <c r="F5744" t="inlineStr">
        <is>
          <t>DALARNAS LÄN</t>
        </is>
      </c>
      <c r="G5744" t="inlineStr">
        <is>
          <t>VANSBRO</t>
        </is>
      </c>
      <c r="I5744" t="n">
        <v>19.1</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8877-2026</t>
        </is>
      </c>
      <c r="B5745" t="inlineStr">
        <is>
          <t>avverkningsanmälan</t>
        </is>
      </c>
      <c r="C5745" t="inlineStr">
        <is>
          <t>Föryngringsavverkning</t>
        </is>
      </c>
      <c r="D5745" s="1" t="n">
        <v>46067</v>
      </c>
      <c r="E5745" s="1" t="n">
        <v>46319</v>
      </c>
      <c r="F5745" t="inlineStr">
        <is>
          <t>DALARNAS LÄN</t>
        </is>
      </c>
      <c r="G5745" t="inlineStr">
        <is>
          <t>BORLÄNGE</t>
        </is>
      </c>
      <c r="H5745" t="inlineStr">
        <is>
          <t>Bergvik skog väst AB</t>
        </is>
      </c>
      <c r="I5745" t="n">
        <v>2.5</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57267-2025</t>
        </is>
      </c>
      <c r="B5746" t="inlineStr">
        <is>
          <t>avverkningsanmälan</t>
        </is>
      </c>
      <c r="C5746" t="inlineStr">
        <is>
          <t>Föryngringsavverkning</t>
        </is>
      </c>
      <c r="D5746" s="1" t="n">
        <v>45979</v>
      </c>
      <c r="E5746" s="1" t="n">
        <v>46319</v>
      </c>
      <c r="F5746" t="inlineStr">
        <is>
          <t>DALARNAS LÄN</t>
        </is>
      </c>
      <c r="G5746" t="inlineStr">
        <is>
          <t>LEKSAND</t>
        </is>
      </c>
      <c r="I5746" t="n">
        <v>1.9</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62368-2025</t>
        </is>
      </c>
      <c r="B5747" t="inlineStr">
        <is>
          <t>avverkningsanmälan</t>
        </is>
      </c>
      <c r="C5747" t="inlineStr">
        <is>
          <t>Föryngringsavverkning</t>
        </is>
      </c>
      <c r="D5747" s="1" t="n">
        <v>46007</v>
      </c>
      <c r="E5747" s="1" t="n">
        <v>46319</v>
      </c>
      <c r="F5747" t="inlineStr">
        <is>
          <t>DALARNAS LÄN</t>
        </is>
      </c>
      <c r="G5747" t="inlineStr">
        <is>
          <t>LUDVIKA</t>
        </is>
      </c>
      <c r="H5747" t="inlineStr">
        <is>
          <t>Bergvik skog väst AB</t>
        </is>
      </c>
      <c r="I5747" t="n">
        <v>4</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40391-2026</t>
        </is>
      </c>
      <c r="B5748" t="inlineStr">
        <is>
          <t>avverkningsanmälan</t>
        </is>
      </c>
      <c r="C5748" t="inlineStr">
        <is>
          <t>Föryngringsavverkning</t>
        </is>
      </c>
      <c r="D5748" s="1" t="n">
        <v>46294</v>
      </c>
      <c r="E5748" s="1" t="n">
        <v>46319</v>
      </c>
      <c r="F5748" t="inlineStr">
        <is>
          <t>DALARNAS LÄN</t>
        </is>
      </c>
      <c r="G5748" t="inlineStr">
        <is>
          <t>VANSBRO</t>
        </is>
      </c>
      <c r="H5748" t="inlineStr">
        <is>
          <t>Bergvik skog öst AB</t>
        </is>
      </c>
      <c r="I5748" t="n">
        <v>2.7</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40394-2026</t>
        </is>
      </c>
      <c r="B5749" t="inlineStr">
        <is>
          <t>avverkningsanmälan</t>
        </is>
      </c>
      <c r="C5749" t="inlineStr">
        <is>
          <t>Föryngringsavverkning</t>
        </is>
      </c>
      <c r="D5749" s="1" t="n">
        <v>46294</v>
      </c>
      <c r="E5749" s="1" t="n">
        <v>46319</v>
      </c>
      <c r="F5749" t="inlineStr">
        <is>
          <t>DALARNAS LÄN</t>
        </is>
      </c>
      <c r="G5749" t="inlineStr">
        <is>
          <t>LEKSAND</t>
        </is>
      </c>
      <c r="I5749" t="n">
        <v>1.8</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28044-2025</t>
        </is>
      </c>
      <c r="B5750" t="inlineStr">
        <is>
          <t>avverkningsanmälan</t>
        </is>
      </c>
      <c r="C5750" t="inlineStr">
        <is>
          <t>Föryngringsavverkning</t>
        </is>
      </c>
      <c r="D5750" s="1" t="n">
        <v>45817</v>
      </c>
      <c r="E5750" s="1" t="n">
        <v>46319</v>
      </c>
      <c r="F5750" t="inlineStr">
        <is>
          <t>DALARNAS LÄN</t>
        </is>
      </c>
      <c r="G5750" t="inlineStr">
        <is>
          <t>RÄTTVIK</t>
        </is>
      </c>
      <c r="I5750" t="n">
        <v>1.4</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708-2026</t>
        </is>
      </c>
      <c r="B5751" t="inlineStr">
        <is>
          <t>avverkningsanmälan</t>
        </is>
      </c>
      <c r="C5751" t="inlineStr">
        <is>
          <t>Avverkning för att bevara och utveckla /försöksver</t>
        </is>
      </c>
      <c r="D5751" s="1" t="n">
        <v>46029</v>
      </c>
      <c r="E5751" s="1" t="n">
        <v>46319</v>
      </c>
      <c r="F5751" t="inlineStr">
        <is>
          <t>DALARNAS LÄN</t>
        </is>
      </c>
      <c r="G5751" t="inlineStr">
        <is>
          <t>GAGNEF</t>
        </is>
      </c>
      <c r="I5751" t="n">
        <v>1.8</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2190-2025</t>
        </is>
      </c>
      <c r="B5752" t="inlineStr">
        <is>
          <t>avverkningsanmälan</t>
        </is>
      </c>
      <c r="C5752" t="inlineStr">
        <is>
          <t>Föryngringsavverkning</t>
        </is>
      </c>
      <c r="D5752" s="1" t="n">
        <v>45673</v>
      </c>
      <c r="E5752" s="1" t="n">
        <v>46319</v>
      </c>
      <c r="F5752" t="inlineStr">
        <is>
          <t>DALARNAS LÄN</t>
        </is>
      </c>
      <c r="G5752" t="inlineStr">
        <is>
          <t>VANSBRO</t>
        </is>
      </c>
      <c r="I5752" t="n">
        <v>3.3</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24369-2025</t>
        </is>
      </c>
      <c r="B5753" t="inlineStr">
        <is>
          <t>avverkningsanmälan</t>
        </is>
      </c>
      <c r="C5753" t="inlineStr">
        <is>
          <t>Föryngringsavverkning</t>
        </is>
      </c>
      <c r="D5753" s="1" t="n">
        <v>45797</v>
      </c>
      <c r="E5753" s="1" t="n">
        <v>46319</v>
      </c>
      <c r="F5753" t="inlineStr">
        <is>
          <t>DALARNAS LÄN</t>
        </is>
      </c>
      <c r="G5753" t="inlineStr">
        <is>
          <t>LEKSAND</t>
        </is>
      </c>
      <c r="I5753" t="n">
        <v>1.5</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905-2026</t>
        </is>
      </c>
      <c r="B5754" t="inlineStr">
        <is>
          <t>avverkningsanmälan</t>
        </is>
      </c>
      <c r="C5754" t="inlineStr">
        <is>
          <t>Föryngringsavverkning</t>
        </is>
      </c>
      <c r="D5754" s="1" t="n">
        <v>46030</v>
      </c>
      <c r="E5754" s="1" t="n">
        <v>46319</v>
      </c>
      <c r="F5754" t="inlineStr">
        <is>
          <t>DALARNAS LÄN</t>
        </is>
      </c>
      <c r="G5754" t="inlineStr">
        <is>
          <t>FALUN</t>
        </is>
      </c>
      <c r="I5754" t="n">
        <v>1.8</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8978-2026</t>
        </is>
      </c>
      <c r="B5755" t="inlineStr">
        <is>
          <t>avverkningsanmälan</t>
        </is>
      </c>
      <c r="C5755" t="inlineStr">
        <is>
          <t>Föryngringsavverkning</t>
        </is>
      </c>
      <c r="D5755" s="1" t="n">
        <v>46069</v>
      </c>
      <c r="E5755" s="1" t="n">
        <v>46319</v>
      </c>
      <c r="F5755" t="inlineStr">
        <is>
          <t>DALARNAS LÄN</t>
        </is>
      </c>
      <c r="G5755" t="inlineStr">
        <is>
          <t>FALUN</t>
        </is>
      </c>
      <c r="I5755" t="n">
        <v>11</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28192-2025</t>
        </is>
      </c>
      <c r="B5756" t="inlineStr">
        <is>
          <t>avverkningsanmälan</t>
        </is>
      </c>
      <c r="C5756" t="inlineStr">
        <is>
          <t>Föryngringsavverkning</t>
        </is>
      </c>
      <c r="D5756" s="1" t="n">
        <v>45818</v>
      </c>
      <c r="E5756" s="1" t="n">
        <v>46319</v>
      </c>
      <c r="F5756" t="inlineStr">
        <is>
          <t>DALARNAS LÄN</t>
        </is>
      </c>
      <c r="G5756" t="inlineStr">
        <is>
          <t>MALUNG-SÄLEN</t>
        </is>
      </c>
      <c r="I5756" t="n">
        <v>0.9</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9269-2026</t>
        </is>
      </c>
      <c r="B5757" t="inlineStr">
        <is>
          <t>avverkningsanmälan</t>
        </is>
      </c>
      <c r="C5757" t="inlineStr">
        <is>
          <t>Föryngringsavverkning</t>
        </is>
      </c>
      <c r="D5757" s="1" t="n">
        <v>46070</v>
      </c>
      <c r="E5757" s="1" t="n">
        <v>46319</v>
      </c>
      <c r="F5757" t="inlineStr">
        <is>
          <t>DALARNAS LÄN</t>
        </is>
      </c>
      <c r="G5757" t="inlineStr">
        <is>
          <t>ORSA</t>
        </is>
      </c>
      <c r="I5757" t="n">
        <v>1</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62525-2025</t>
        </is>
      </c>
      <c r="B5758" t="inlineStr">
        <is>
          <t>avverkningsanmälan</t>
        </is>
      </c>
      <c r="C5758" t="inlineStr">
        <is>
          <t>Föryngringsavverkning</t>
        </is>
      </c>
      <c r="D5758" s="1" t="n">
        <v>46007</v>
      </c>
      <c r="E5758" s="1" t="n">
        <v>46319</v>
      </c>
      <c r="F5758" t="inlineStr">
        <is>
          <t>DALARNAS LÄN</t>
        </is>
      </c>
      <c r="G5758" t="inlineStr">
        <is>
          <t>LEKSAND</t>
        </is>
      </c>
      <c r="I5758" t="n">
        <v>5.7</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31825-2024</t>
        </is>
      </c>
      <c r="B5759" t="inlineStr">
        <is>
          <t>avverkningsanmälan</t>
        </is>
      </c>
      <c r="C5759" t="inlineStr">
        <is>
          <t>Avverkning för annat ändamål</t>
        </is>
      </c>
      <c r="D5759" s="1" t="n">
        <v>45509</v>
      </c>
      <c r="E5759" s="1" t="n">
        <v>46319</v>
      </c>
      <c r="F5759" t="inlineStr">
        <is>
          <t>DALARNAS LÄN</t>
        </is>
      </c>
      <c r="G5759" t="inlineStr">
        <is>
          <t>HEDEMORA</t>
        </is>
      </c>
      <c r="I5759" t="n">
        <v>0.1</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40006-2026</t>
        </is>
      </c>
      <c r="B5760" t="inlineStr">
        <is>
          <t>avverkningsanmälan</t>
        </is>
      </c>
      <c r="C5760" t="inlineStr">
        <is>
          <t>Föryngringsavverkning</t>
        </is>
      </c>
      <c r="D5760" s="1" t="n">
        <v>46293</v>
      </c>
      <c r="E5760" s="1" t="n">
        <v>46319</v>
      </c>
      <c r="F5760" t="inlineStr">
        <is>
          <t>DALARNAS LÄN</t>
        </is>
      </c>
      <c r="G5760" t="inlineStr">
        <is>
          <t>MORA</t>
        </is>
      </c>
      <c r="I5760" t="n">
        <v>9</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9492-2026</t>
        </is>
      </c>
      <c r="B5761" t="inlineStr">
        <is>
          <t>avverkningsanmälan</t>
        </is>
      </c>
      <c r="C5761" t="inlineStr">
        <is>
          <t>Föryngringsavverkning</t>
        </is>
      </c>
      <c r="D5761" s="1" t="n">
        <v>46071</v>
      </c>
      <c r="E5761" s="1" t="n">
        <v>46319</v>
      </c>
      <c r="F5761" t="inlineStr">
        <is>
          <t>DALARNAS LÄN</t>
        </is>
      </c>
      <c r="G5761" t="inlineStr">
        <is>
          <t>ÄLVDALEN</t>
        </is>
      </c>
      <c r="I5761" t="n">
        <v>2.4</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9498-2026</t>
        </is>
      </c>
      <c r="B5762" t="inlineStr">
        <is>
          <t>avverkningsanmälan</t>
        </is>
      </c>
      <c r="C5762" t="inlineStr">
        <is>
          <t>Föryngringsavverkning</t>
        </is>
      </c>
      <c r="D5762" s="1" t="n">
        <v>46071</v>
      </c>
      <c r="E5762" s="1" t="n">
        <v>46319</v>
      </c>
      <c r="F5762" t="inlineStr">
        <is>
          <t>DALARNAS LÄN</t>
        </is>
      </c>
      <c r="G5762" t="inlineStr">
        <is>
          <t>ÄLVDALEN</t>
        </is>
      </c>
      <c r="I5762" t="n">
        <v>5.3</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33641-2026</t>
        </is>
      </c>
      <c r="B5763" t="inlineStr">
        <is>
          <t>avverkningsanmälan</t>
        </is>
      </c>
      <c r="C5763" t="inlineStr">
        <is>
          <t>Föryngringsavverkning</t>
        </is>
      </c>
      <c r="D5763" s="1" t="n">
        <v>46248</v>
      </c>
      <c r="E5763" s="1" t="n">
        <v>46319</v>
      </c>
      <c r="F5763" t="inlineStr">
        <is>
          <t>DALARNAS LÄN</t>
        </is>
      </c>
      <c r="G5763" t="inlineStr">
        <is>
          <t>MORA</t>
        </is>
      </c>
      <c r="I5763" t="n">
        <v>8.300000000000001</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3360-2023</t>
        </is>
      </c>
      <c r="B5764" t="inlineStr">
        <is>
          <t>avverkningsanmälan</t>
        </is>
      </c>
      <c r="C5764" t="inlineStr">
        <is>
          <t>Föryngringsavverkning</t>
        </is>
      </c>
      <c r="D5764" s="1" t="n">
        <v>44949</v>
      </c>
      <c r="E5764" s="1" t="n">
        <v>46319</v>
      </c>
      <c r="F5764" t="inlineStr">
        <is>
          <t>DALARNAS LÄN</t>
        </is>
      </c>
      <c r="G5764" t="inlineStr">
        <is>
          <t>FALUN</t>
        </is>
      </c>
      <c r="I5764" t="n">
        <v>1.6</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52853-2025</t>
        </is>
      </c>
      <c r="B5765" t="inlineStr">
        <is>
          <t>avverkningsanmälan</t>
        </is>
      </c>
      <c r="C5765" t="inlineStr">
        <is>
          <t>Föryngringsavverkning</t>
        </is>
      </c>
      <c r="D5765" s="1" t="n">
        <v>45957</v>
      </c>
      <c r="E5765" s="1" t="n">
        <v>46319</v>
      </c>
      <c r="F5765" t="inlineStr">
        <is>
          <t>DALARNAS LÄN</t>
        </is>
      </c>
      <c r="G5765" t="inlineStr">
        <is>
          <t>HEDEMORA</t>
        </is>
      </c>
      <c r="I5765" t="n">
        <v>1.5</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28850-2025</t>
        </is>
      </c>
      <c r="B5766" t="inlineStr">
        <is>
          <t>avverkningsanmälan</t>
        </is>
      </c>
      <c r="C5766" t="inlineStr">
        <is>
          <t>Föryngringsavverkning</t>
        </is>
      </c>
      <c r="D5766" s="1" t="n">
        <v>45820</v>
      </c>
      <c r="E5766" s="1" t="n">
        <v>46319</v>
      </c>
      <c r="F5766" t="inlineStr">
        <is>
          <t>DALARNAS LÄN</t>
        </is>
      </c>
      <c r="G5766" t="inlineStr">
        <is>
          <t>MALUNG-SÄLEN</t>
        </is>
      </c>
      <c r="I5766" t="n">
        <v>2.8</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28751-2025</t>
        </is>
      </c>
      <c r="B5767" t="inlineStr">
        <is>
          <t>avverkningsanmälan</t>
        </is>
      </c>
      <c r="C5767" t="inlineStr">
        <is>
          <t>Föryngringsavverkning</t>
        </is>
      </c>
      <c r="D5767" s="1" t="n">
        <v>45820</v>
      </c>
      <c r="E5767" s="1" t="n">
        <v>46319</v>
      </c>
      <c r="F5767" t="inlineStr">
        <is>
          <t>DALARNAS LÄN</t>
        </is>
      </c>
      <c r="G5767" t="inlineStr">
        <is>
          <t>MORA</t>
        </is>
      </c>
      <c r="H5767" t="inlineStr">
        <is>
          <t>Bergvik skog öst AB</t>
        </is>
      </c>
      <c r="I5767" t="n">
        <v>1</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25155-2023</t>
        </is>
      </c>
      <c r="B5768" t="inlineStr">
        <is>
          <t>avverkningsanmälan</t>
        </is>
      </c>
      <c r="C5768" t="inlineStr">
        <is>
          <t>Föryngringsavverkning</t>
        </is>
      </c>
      <c r="D5768" s="1" t="n">
        <v>45086</v>
      </c>
      <c r="E5768" s="1" t="n">
        <v>46319</v>
      </c>
      <c r="F5768" t="inlineStr">
        <is>
          <t>DALARNAS LÄN</t>
        </is>
      </c>
      <c r="G5768" t="inlineStr">
        <is>
          <t>HEDEMORA</t>
        </is>
      </c>
      <c r="H5768" t="inlineStr">
        <is>
          <t>Sveaskog</t>
        </is>
      </c>
      <c r="I5768" t="n">
        <v>3.8</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28361-2025</t>
        </is>
      </c>
      <c r="B5769" t="inlineStr">
        <is>
          <t>avverkningsanmälan</t>
        </is>
      </c>
      <c r="C5769" t="inlineStr">
        <is>
          <t>Föryngringsavverkning</t>
        </is>
      </c>
      <c r="D5769" s="1" t="n">
        <v>45818</v>
      </c>
      <c r="E5769" s="1" t="n">
        <v>46319</v>
      </c>
      <c r="F5769" t="inlineStr">
        <is>
          <t>DALARNAS LÄN</t>
        </is>
      </c>
      <c r="G5769" t="inlineStr">
        <is>
          <t>AVESTA</t>
        </is>
      </c>
      <c r="I5769" t="n">
        <v>5</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9417-2026</t>
        </is>
      </c>
      <c r="B5770" t="inlineStr">
        <is>
          <t>avverkningsanmälan</t>
        </is>
      </c>
      <c r="C5770" t="inlineStr">
        <is>
          <t>Föryngringsavverkning</t>
        </is>
      </c>
      <c r="D5770" s="1" t="n">
        <v>46071</v>
      </c>
      <c r="E5770" s="1" t="n">
        <v>46319</v>
      </c>
      <c r="F5770" t="inlineStr">
        <is>
          <t>DALARNAS LÄN</t>
        </is>
      </c>
      <c r="G5770" t="inlineStr">
        <is>
          <t>VANSBRO</t>
        </is>
      </c>
      <c r="I5770" t="n">
        <v>3.3</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37387-2025</t>
        </is>
      </c>
      <c r="B5771" t="inlineStr">
        <is>
          <t>avverkningsanmälan</t>
        </is>
      </c>
      <c r="C5771" t="inlineStr">
        <is>
          <t>Föryngringsavverkning</t>
        </is>
      </c>
      <c r="D5771" s="1" t="n">
        <v>45877</v>
      </c>
      <c r="E5771" s="1" t="n">
        <v>46319</v>
      </c>
      <c r="F5771" t="inlineStr">
        <is>
          <t>DALARNAS LÄN</t>
        </is>
      </c>
      <c r="G5771" t="inlineStr">
        <is>
          <t>AVESTA</t>
        </is>
      </c>
      <c r="I5771" t="n">
        <v>4.3</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9541-2026</t>
        </is>
      </c>
      <c r="B5772" t="inlineStr">
        <is>
          <t>avverkningsanmälan</t>
        </is>
      </c>
      <c r="C5772" t="inlineStr">
        <is>
          <t>Föryngringsavverkning</t>
        </is>
      </c>
      <c r="D5772" s="1" t="n">
        <v>46071</v>
      </c>
      <c r="E5772" s="1" t="n">
        <v>46319</v>
      </c>
      <c r="F5772" t="inlineStr">
        <is>
          <t>DALARNAS LÄN</t>
        </is>
      </c>
      <c r="G5772" t="inlineStr">
        <is>
          <t>LEKSAND</t>
        </is>
      </c>
      <c r="I5772" t="n">
        <v>10.8</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40059-2026</t>
        </is>
      </c>
      <c r="B5773" t="inlineStr">
        <is>
          <t>avverkningsanmälan</t>
        </is>
      </c>
      <c r="C5773" t="inlineStr">
        <is>
          <t>Föryngringsavverkning</t>
        </is>
      </c>
      <c r="D5773" s="1" t="n">
        <v>46293</v>
      </c>
      <c r="E5773" s="1" t="n">
        <v>46319</v>
      </c>
      <c r="F5773" t="inlineStr">
        <is>
          <t>DALARNAS LÄN</t>
        </is>
      </c>
      <c r="G5773" t="inlineStr">
        <is>
          <t>SÄTER</t>
        </is>
      </c>
      <c r="I5773" t="n">
        <v>1.2</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40447-2026</t>
        </is>
      </c>
      <c r="B5774" t="inlineStr">
        <is>
          <t>avverkningsanmälan</t>
        </is>
      </c>
      <c r="C5774" t="inlineStr">
        <is>
          <t>Föryngringsavverkning</t>
        </is>
      </c>
      <c r="D5774" s="1" t="n">
        <v>46294</v>
      </c>
      <c r="E5774" s="1" t="n">
        <v>46319</v>
      </c>
      <c r="F5774" t="inlineStr">
        <is>
          <t>DALARNAS LÄN</t>
        </is>
      </c>
      <c r="G5774" t="inlineStr">
        <is>
          <t>VANSBRO</t>
        </is>
      </c>
      <c r="H5774" t="inlineStr">
        <is>
          <t>Bergvik skog väst AB</t>
        </is>
      </c>
      <c r="I5774" t="n">
        <v>2</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9436-2026</t>
        </is>
      </c>
      <c r="B5775" t="inlineStr">
        <is>
          <t>avverkningsanmälan</t>
        </is>
      </c>
      <c r="C5775" t="inlineStr">
        <is>
          <t>Föryngringsavverkning</t>
        </is>
      </c>
      <c r="D5775" s="1" t="n">
        <v>46071</v>
      </c>
      <c r="E5775" s="1" t="n">
        <v>46319</v>
      </c>
      <c r="F5775" t="inlineStr">
        <is>
          <t>DALARNAS LÄN</t>
        </is>
      </c>
      <c r="G5775" t="inlineStr">
        <is>
          <t>BORLÄNGE</t>
        </is>
      </c>
      <c r="I5775" t="n">
        <v>0.8</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9442-2026</t>
        </is>
      </c>
      <c r="B5776" t="inlineStr">
        <is>
          <t>avverkningsanmälan</t>
        </is>
      </c>
      <c r="C5776" t="inlineStr">
        <is>
          <t>Föryngringsavverkning</t>
        </is>
      </c>
      <c r="D5776" s="1" t="n">
        <v>46071</v>
      </c>
      <c r="E5776" s="1" t="n">
        <v>46319</v>
      </c>
      <c r="F5776" t="inlineStr">
        <is>
          <t>DALARNAS LÄN</t>
        </is>
      </c>
      <c r="G5776" t="inlineStr">
        <is>
          <t>BORLÄNGE</t>
        </is>
      </c>
      <c r="I5776" t="n">
        <v>5.6</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9427-2026</t>
        </is>
      </c>
      <c r="B5777" t="inlineStr">
        <is>
          <t>avverkningsanmälan</t>
        </is>
      </c>
      <c r="C5777" t="inlineStr">
        <is>
          <t>Föryngringsavverkning</t>
        </is>
      </c>
      <c r="D5777" s="1" t="n">
        <v>46071</v>
      </c>
      <c r="E5777" s="1" t="n">
        <v>46319</v>
      </c>
      <c r="F5777" t="inlineStr">
        <is>
          <t>DALARNAS LÄN</t>
        </is>
      </c>
      <c r="G5777" t="inlineStr">
        <is>
          <t>AVESTA</t>
        </is>
      </c>
      <c r="I5777" t="n">
        <v>2.1</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9429-2026</t>
        </is>
      </c>
      <c r="B5778" t="inlineStr">
        <is>
          <t>avverkningsanmälan</t>
        </is>
      </c>
      <c r="C5778" t="inlineStr">
        <is>
          <t>Föryngringsavverkning</t>
        </is>
      </c>
      <c r="D5778" s="1" t="n">
        <v>46071</v>
      </c>
      <c r="E5778" s="1" t="n">
        <v>46319</v>
      </c>
      <c r="F5778" t="inlineStr">
        <is>
          <t>DALARNAS LÄN</t>
        </is>
      </c>
      <c r="G5778" t="inlineStr">
        <is>
          <t>FALUN</t>
        </is>
      </c>
      <c r="I5778" t="n">
        <v>2.2</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28828-2025</t>
        </is>
      </c>
      <c r="B5779" t="inlineStr">
        <is>
          <t>avverkningsanmälan</t>
        </is>
      </c>
      <c r="C5779" t="inlineStr">
        <is>
          <t>Föryngringsavverkning</t>
        </is>
      </c>
      <c r="D5779" s="1" t="n">
        <v>45820</v>
      </c>
      <c r="E5779" s="1" t="n">
        <v>46319</v>
      </c>
      <c r="F5779" t="inlineStr">
        <is>
          <t>DALARNAS LÄN</t>
        </is>
      </c>
      <c r="G5779" t="inlineStr">
        <is>
          <t>FALUN</t>
        </is>
      </c>
      <c r="I5779" t="n">
        <v>0.4</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28730-2025</t>
        </is>
      </c>
      <c r="B5780" t="inlineStr">
        <is>
          <t>avverkningsanmälan</t>
        </is>
      </c>
      <c r="C5780" t="inlineStr">
        <is>
          <t>Föryngringsavverkning</t>
        </is>
      </c>
      <c r="D5780" s="1" t="n">
        <v>45820</v>
      </c>
      <c r="E5780" s="1" t="n">
        <v>46319</v>
      </c>
      <c r="F5780" t="inlineStr">
        <is>
          <t>DALARNAS LÄN</t>
        </is>
      </c>
      <c r="G5780" t="inlineStr">
        <is>
          <t>FALUN</t>
        </is>
      </c>
      <c r="I5780" t="n">
        <v>1.4</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9481-2026</t>
        </is>
      </c>
      <c r="B5781" t="inlineStr">
        <is>
          <t>avverkningsanmälan</t>
        </is>
      </c>
      <c r="C5781" t="inlineStr">
        <is>
          <t>Föryngringsavverkning</t>
        </is>
      </c>
      <c r="D5781" s="1" t="n">
        <v>46071</v>
      </c>
      <c r="E5781" s="1" t="n">
        <v>46319</v>
      </c>
      <c r="F5781" t="inlineStr">
        <is>
          <t>DALARNAS LÄN</t>
        </is>
      </c>
      <c r="G5781" t="inlineStr">
        <is>
          <t>BORLÄNGE</t>
        </is>
      </c>
      <c r="I5781" t="n">
        <v>2.1</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33693-2026</t>
        </is>
      </c>
      <c r="B5782" t="inlineStr">
        <is>
          <t>avverkningsanmälan</t>
        </is>
      </c>
      <c r="C5782" t="inlineStr">
        <is>
          <t>Föryngringsavverkning</t>
        </is>
      </c>
      <c r="D5782" s="1" t="n">
        <v>46249</v>
      </c>
      <c r="E5782" s="1" t="n">
        <v>46319</v>
      </c>
      <c r="F5782" t="inlineStr">
        <is>
          <t>DALARNAS LÄN</t>
        </is>
      </c>
      <c r="G5782" t="inlineStr">
        <is>
          <t>LEKSAND</t>
        </is>
      </c>
      <c r="H5782" t="inlineStr">
        <is>
          <t>Bergvik skog väst AB</t>
        </is>
      </c>
      <c r="I5782" t="n">
        <v>1.3</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33700-2026</t>
        </is>
      </c>
      <c r="B5783" t="inlineStr">
        <is>
          <t>avverkningsanmälan</t>
        </is>
      </c>
      <c r="C5783" t="inlineStr">
        <is>
          <t>Föryngringsavverkning</t>
        </is>
      </c>
      <c r="D5783" s="1" t="n">
        <v>46250</v>
      </c>
      <c r="E5783" s="1" t="n">
        <v>46319</v>
      </c>
      <c r="F5783" t="inlineStr">
        <is>
          <t>DALARNAS LÄN</t>
        </is>
      </c>
      <c r="G5783" t="inlineStr">
        <is>
          <t>BORLÄNGE</t>
        </is>
      </c>
      <c r="H5783" t="inlineStr">
        <is>
          <t>Kommuner</t>
        </is>
      </c>
      <c r="I5783" t="n">
        <v>1.3</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9788-2026</t>
        </is>
      </c>
      <c r="B5784" t="inlineStr">
        <is>
          <t>avverkningsanmälan</t>
        </is>
      </c>
      <c r="C5784" t="inlineStr">
        <is>
          <t>Föryngringsavverkning</t>
        </is>
      </c>
      <c r="D5784" s="1" t="n">
        <v>46072</v>
      </c>
      <c r="E5784" s="1" t="n">
        <v>46319</v>
      </c>
      <c r="F5784" t="inlineStr">
        <is>
          <t>DALARNAS LÄN</t>
        </is>
      </c>
      <c r="G5784" t="inlineStr">
        <is>
          <t>MORA</t>
        </is>
      </c>
      <c r="I5784" t="n">
        <v>12</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9802-2026</t>
        </is>
      </c>
      <c r="B5785" t="inlineStr">
        <is>
          <t>avverkningsanmälan</t>
        </is>
      </c>
      <c r="C5785" t="inlineStr">
        <is>
          <t>Föryngringsavverkning</t>
        </is>
      </c>
      <c r="D5785" s="1" t="n">
        <v>46072</v>
      </c>
      <c r="E5785" s="1" t="n">
        <v>46319</v>
      </c>
      <c r="F5785" t="inlineStr">
        <is>
          <t>DALARNAS LÄN</t>
        </is>
      </c>
      <c r="G5785" t="inlineStr">
        <is>
          <t>LEKSAND</t>
        </is>
      </c>
      <c r="I5785" t="n">
        <v>1.7</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9840-2026</t>
        </is>
      </c>
      <c r="B5786" t="inlineStr">
        <is>
          <t>avverkningsanmälan</t>
        </is>
      </c>
      <c r="C5786" t="inlineStr">
        <is>
          <t>Föryngringsavverkning</t>
        </is>
      </c>
      <c r="D5786" s="1" t="n">
        <v>46072</v>
      </c>
      <c r="E5786" s="1" t="n">
        <v>46319</v>
      </c>
      <c r="F5786" t="inlineStr">
        <is>
          <t>DALARNAS LÄN</t>
        </is>
      </c>
      <c r="G5786" t="inlineStr">
        <is>
          <t>FALUN</t>
        </is>
      </c>
      <c r="I5786" t="n">
        <v>6.7</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9842-2026</t>
        </is>
      </c>
      <c r="B5787" t="inlineStr">
        <is>
          <t>avverkningsanmälan</t>
        </is>
      </c>
      <c r="C5787" t="inlineStr">
        <is>
          <t>Föryngringsavverkning</t>
        </is>
      </c>
      <c r="D5787" s="1" t="n">
        <v>46072</v>
      </c>
      <c r="E5787" s="1" t="n">
        <v>46319</v>
      </c>
      <c r="F5787" t="inlineStr">
        <is>
          <t>DALARNAS LÄN</t>
        </is>
      </c>
      <c r="G5787" t="inlineStr">
        <is>
          <t>FALUN</t>
        </is>
      </c>
      <c r="H5787" t="inlineStr">
        <is>
          <t>Bergvik skog väst AB</t>
        </is>
      </c>
      <c r="I5787" t="n">
        <v>5.4</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33944-2026</t>
        </is>
      </c>
      <c r="B5788" t="inlineStr">
        <is>
          <t>avverkningsanmälan</t>
        </is>
      </c>
      <c r="C5788" t="inlineStr">
        <is>
          <t>Föryngringsavverkning</t>
        </is>
      </c>
      <c r="D5788" s="1" t="n">
        <v>46252</v>
      </c>
      <c r="E5788" s="1" t="n">
        <v>46319</v>
      </c>
      <c r="F5788" t="inlineStr">
        <is>
          <t>DALARNAS LÄN</t>
        </is>
      </c>
      <c r="G5788" t="inlineStr">
        <is>
          <t>VANSBRO</t>
        </is>
      </c>
      <c r="H5788" t="inlineStr">
        <is>
          <t>Bergvik skog väst AB</t>
        </is>
      </c>
      <c r="I5788" t="n">
        <v>2.4</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9606-2026</t>
        </is>
      </c>
      <c r="B5789" t="inlineStr">
        <is>
          <t>avverkningsanmälan</t>
        </is>
      </c>
      <c r="C5789" t="inlineStr">
        <is>
          <t>Föryngringsavverkning</t>
        </is>
      </c>
      <c r="D5789" s="1" t="n">
        <v>46071</v>
      </c>
      <c r="E5789" s="1" t="n">
        <v>46319</v>
      </c>
      <c r="F5789" t="inlineStr">
        <is>
          <t>DALARNAS LÄN</t>
        </is>
      </c>
      <c r="G5789" t="inlineStr">
        <is>
          <t>FALUN</t>
        </is>
      </c>
      <c r="I5789" t="n">
        <v>2.4</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9680-2026</t>
        </is>
      </c>
      <c r="B5790" t="inlineStr">
        <is>
          <t>avverkningsanmälan</t>
        </is>
      </c>
      <c r="C5790" t="inlineStr">
        <is>
          <t>Föryngringsavverkning</t>
        </is>
      </c>
      <c r="D5790" s="1" t="n">
        <v>46072</v>
      </c>
      <c r="E5790" s="1" t="n">
        <v>46319</v>
      </c>
      <c r="F5790" t="inlineStr">
        <is>
          <t>DALARNAS LÄN</t>
        </is>
      </c>
      <c r="G5790" t="inlineStr">
        <is>
          <t>HEDEMORA</t>
        </is>
      </c>
      <c r="I5790" t="n">
        <v>4.2</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9683-2026</t>
        </is>
      </c>
      <c r="B5791" t="inlineStr">
        <is>
          <t>avverkningsanmälan</t>
        </is>
      </c>
      <c r="C5791" t="inlineStr">
        <is>
          <t>Föryngringsavverkning</t>
        </is>
      </c>
      <c r="D5791" s="1" t="n">
        <v>46071</v>
      </c>
      <c r="E5791" s="1" t="n">
        <v>46319</v>
      </c>
      <c r="F5791" t="inlineStr">
        <is>
          <t>DALARNAS LÄN</t>
        </is>
      </c>
      <c r="G5791" t="inlineStr">
        <is>
          <t>FALUN</t>
        </is>
      </c>
      <c r="H5791" t="inlineStr">
        <is>
          <t>Allmännings- och besparingsskogar</t>
        </is>
      </c>
      <c r="I5791" t="n">
        <v>17.5</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34111-2026</t>
        </is>
      </c>
      <c r="B5792" t="inlineStr">
        <is>
          <t>avverkningsanmälan</t>
        </is>
      </c>
      <c r="C5792" t="inlineStr">
        <is>
          <t>Föryngringsavverkning</t>
        </is>
      </c>
      <c r="D5792" s="1" t="n">
        <v>46253</v>
      </c>
      <c r="E5792" s="1" t="n">
        <v>46319</v>
      </c>
      <c r="F5792" t="inlineStr">
        <is>
          <t>DALARNAS LÄN</t>
        </is>
      </c>
      <c r="G5792" t="inlineStr">
        <is>
          <t>SMEDJEBACKEN</t>
        </is>
      </c>
      <c r="H5792" t="inlineStr">
        <is>
          <t>Övriga Aktiebolag</t>
        </is>
      </c>
      <c r="I5792" t="n">
        <v>0.7</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28770-2025</t>
        </is>
      </c>
      <c r="B5793" t="inlineStr">
        <is>
          <t>avverkningsanmälan</t>
        </is>
      </c>
      <c r="C5793" t="inlineStr">
        <is>
          <t>Föryngringsavverkning</t>
        </is>
      </c>
      <c r="D5793" s="1" t="n">
        <v>45820</v>
      </c>
      <c r="E5793" s="1" t="n">
        <v>46319</v>
      </c>
      <c r="F5793" t="inlineStr">
        <is>
          <t>DALARNAS LÄN</t>
        </is>
      </c>
      <c r="G5793" t="inlineStr">
        <is>
          <t>LEKSAND</t>
        </is>
      </c>
      <c r="I5793" t="n">
        <v>0.7</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28811-2025</t>
        </is>
      </c>
      <c r="B5794" t="inlineStr">
        <is>
          <t>avverkningsanmälan</t>
        </is>
      </c>
      <c r="C5794" t="inlineStr">
        <is>
          <t>Föryngringsavverkning</t>
        </is>
      </c>
      <c r="D5794" s="1" t="n">
        <v>45820</v>
      </c>
      <c r="E5794" s="1" t="n">
        <v>46319</v>
      </c>
      <c r="F5794" t="inlineStr">
        <is>
          <t>DALARNAS LÄN</t>
        </is>
      </c>
      <c r="G5794" t="inlineStr">
        <is>
          <t>RÄTTVIK</t>
        </is>
      </c>
      <c r="I5794" t="n">
        <v>8.1</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28927-2025</t>
        </is>
      </c>
      <c r="B5795" t="inlineStr">
        <is>
          <t>avverkningsanmälan</t>
        </is>
      </c>
      <c r="C5795" t="inlineStr">
        <is>
          <t>Föryngringsavverkning</t>
        </is>
      </c>
      <c r="D5795" s="1" t="n">
        <v>45820</v>
      </c>
      <c r="E5795" s="1" t="n">
        <v>46319</v>
      </c>
      <c r="F5795" t="inlineStr">
        <is>
          <t>DALARNAS LÄN</t>
        </is>
      </c>
      <c r="G5795" t="inlineStr">
        <is>
          <t>MORA</t>
        </is>
      </c>
      <c r="I5795" t="n">
        <v>0.4</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9746-2026</t>
        </is>
      </c>
      <c r="B5796" t="inlineStr">
        <is>
          <t>avverkningsanmälan</t>
        </is>
      </c>
      <c r="C5796" t="inlineStr">
        <is>
          <t>Föryngringsavverkning</t>
        </is>
      </c>
      <c r="D5796" s="1" t="n">
        <v>46072</v>
      </c>
      <c r="E5796" s="1" t="n">
        <v>46319</v>
      </c>
      <c r="F5796" t="inlineStr">
        <is>
          <t>DALARNAS LÄN</t>
        </is>
      </c>
      <c r="G5796" t="inlineStr">
        <is>
          <t>FALUN</t>
        </is>
      </c>
      <c r="H5796" t="inlineStr">
        <is>
          <t>Bergvik skog väst AB</t>
        </is>
      </c>
      <c r="I5796" t="n">
        <v>0.6</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40637-2026</t>
        </is>
      </c>
      <c r="B5797" t="inlineStr">
        <is>
          <t>avverkningsanmälan</t>
        </is>
      </c>
      <c r="C5797" t="inlineStr">
        <is>
          <t>Föryngringsavverkning</t>
        </is>
      </c>
      <c r="D5797" s="1" t="n">
        <v>46296</v>
      </c>
      <c r="E5797" s="1" t="n">
        <v>46319</v>
      </c>
      <c r="F5797" t="inlineStr">
        <is>
          <t>DALARNAS LÄN</t>
        </is>
      </c>
      <c r="G5797" t="inlineStr">
        <is>
          <t>BORLÄNGE</t>
        </is>
      </c>
      <c r="I5797" t="n">
        <v>1.5</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6456-2026</t>
        </is>
      </c>
      <c r="B5798" t="inlineStr">
        <is>
          <t>avverkningsanmälan</t>
        </is>
      </c>
      <c r="C5798" t="inlineStr">
        <is>
          <t>Föryngringsavverkning</t>
        </is>
      </c>
      <c r="D5798" s="1" t="n">
        <v>46055</v>
      </c>
      <c r="E5798" s="1" t="n">
        <v>46319</v>
      </c>
      <c r="F5798" t="inlineStr">
        <is>
          <t>DALARNAS LÄN</t>
        </is>
      </c>
      <c r="G5798" t="inlineStr">
        <is>
          <t>FALUN</t>
        </is>
      </c>
      <c r="I5798" t="n">
        <v>2.1</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28469-2025</t>
        </is>
      </c>
      <c r="B5799" t="inlineStr">
        <is>
          <t>avverkningsanmälan</t>
        </is>
      </c>
      <c r="C5799" t="inlineStr">
        <is>
          <t>Föryngringsavverkning</t>
        </is>
      </c>
      <c r="D5799" s="1" t="n">
        <v>45819</v>
      </c>
      <c r="E5799" s="1" t="n">
        <v>46319</v>
      </c>
      <c r="F5799" t="inlineStr">
        <is>
          <t>DALARNAS LÄN</t>
        </is>
      </c>
      <c r="G5799" t="inlineStr">
        <is>
          <t>VANSBRO</t>
        </is>
      </c>
      <c r="H5799" t="inlineStr">
        <is>
          <t>Bergvik skog öst AB</t>
        </is>
      </c>
      <c r="I5799" t="n">
        <v>4.8</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9644-2026</t>
        </is>
      </c>
      <c r="B5800" t="inlineStr">
        <is>
          <t>avverkningsanmälan</t>
        </is>
      </c>
      <c r="C5800" t="inlineStr">
        <is>
          <t>Föryngringsavverkning</t>
        </is>
      </c>
      <c r="D5800" s="1" t="n">
        <v>46072</v>
      </c>
      <c r="E5800" s="1" t="n">
        <v>46319</v>
      </c>
      <c r="F5800" t="inlineStr">
        <is>
          <t>DALARNAS LÄN</t>
        </is>
      </c>
      <c r="G5800" t="inlineStr">
        <is>
          <t>LEKSAND</t>
        </is>
      </c>
      <c r="I5800" t="n">
        <v>3.5</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40674-2026</t>
        </is>
      </c>
      <c r="B5801" t="inlineStr">
        <is>
          <t>avverkningsanmälan</t>
        </is>
      </c>
      <c r="C5801" t="inlineStr">
        <is>
          <t>Föryngringsavverkning</t>
        </is>
      </c>
      <c r="D5801" s="1" t="n">
        <v>46296</v>
      </c>
      <c r="E5801" s="1" t="n">
        <v>46319</v>
      </c>
      <c r="F5801" t="inlineStr">
        <is>
          <t>DALARNAS LÄN</t>
        </is>
      </c>
      <c r="G5801" t="inlineStr">
        <is>
          <t>AVESTA</t>
        </is>
      </c>
      <c r="H5801" t="inlineStr">
        <is>
          <t>Sveaskog</t>
        </is>
      </c>
      <c r="I5801" t="n">
        <v>1.9</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28683-2025</t>
        </is>
      </c>
      <c r="B5802" t="inlineStr">
        <is>
          <t>avverkningsanmälan</t>
        </is>
      </c>
      <c r="C5802" t="inlineStr">
        <is>
          <t>Föryngringsavverkning</t>
        </is>
      </c>
      <c r="D5802" s="1" t="n">
        <v>45819</v>
      </c>
      <c r="E5802" s="1" t="n">
        <v>46319</v>
      </c>
      <c r="F5802" t="inlineStr">
        <is>
          <t>DALARNAS LÄN</t>
        </is>
      </c>
      <c r="G5802" t="inlineStr">
        <is>
          <t>RÄTTVIK</t>
        </is>
      </c>
      <c r="I5802" t="n">
        <v>3.2</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28852-2025</t>
        </is>
      </c>
      <c r="B5803" t="inlineStr">
        <is>
          <t>avverkningsanmälan</t>
        </is>
      </c>
      <c r="C5803" t="inlineStr">
        <is>
          <t>Föryngringsavverkning</t>
        </is>
      </c>
      <c r="D5803" s="1" t="n">
        <v>45820</v>
      </c>
      <c r="E5803" s="1" t="n">
        <v>46319</v>
      </c>
      <c r="F5803" t="inlineStr">
        <is>
          <t>DALARNAS LÄN</t>
        </is>
      </c>
      <c r="G5803" t="inlineStr">
        <is>
          <t>SÄTER</t>
        </is>
      </c>
      <c r="I5803" t="n">
        <v>1.3</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9696-2026</t>
        </is>
      </c>
      <c r="B5804" t="inlineStr">
        <is>
          <t>avverkningsanmälan</t>
        </is>
      </c>
      <c r="C5804" t="inlineStr">
        <is>
          <t>Föryngringsavverkning</t>
        </is>
      </c>
      <c r="D5804" s="1" t="n">
        <v>46072</v>
      </c>
      <c r="E5804" s="1" t="n">
        <v>46319</v>
      </c>
      <c r="F5804" t="inlineStr">
        <is>
          <t>DALARNAS LÄN</t>
        </is>
      </c>
      <c r="G5804" t="inlineStr">
        <is>
          <t>FALUN</t>
        </is>
      </c>
      <c r="I5804" t="n">
        <v>8.9</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34209-2026</t>
        </is>
      </c>
      <c r="B5805" t="inlineStr">
        <is>
          <t>avverkningsanmälan</t>
        </is>
      </c>
      <c r="C5805" t="inlineStr">
        <is>
          <t>Föryngringsavverkning</t>
        </is>
      </c>
      <c r="D5805" s="1" t="n">
        <v>46253</v>
      </c>
      <c r="E5805" s="1" t="n">
        <v>46319</v>
      </c>
      <c r="F5805" t="inlineStr">
        <is>
          <t>DALARNAS LÄN</t>
        </is>
      </c>
      <c r="G5805" t="inlineStr">
        <is>
          <t>VANSBRO</t>
        </is>
      </c>
      <c r="H5805" t="inlineStr">
        <is>
          <t>Bergvik skog väst AB</t>
        </is>
      </c>
      <c r="I5805" t="n">
        <v>2.2</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9750-2026</t>
        </is>
      </c>
      <c r="B5806" t="inlineStr">
        <is>
          <t>avverkningsanmälan</t>
        </is>
      </c>
      <c r="C5806" t="inlineStr">
        <is>
          <t>Föryngringsavverkning</t>
        </is>
      </c>
      <c r="D5806" s="1" t="n">
        <v>46072</v>
      </c>
      <c r="E5806" s="1" t="n">
        <v>46319</v>
      </c>
      <c r="F5806" t="inlineStr">
        <is>
          <t>DALARNAS LÄN</t>
        </is>
      </c>
      <c r="G5806" t="inlineStr">
        <is>
          <t>BORLÄNGE</t>
        </is>
      </c>
      <c r="H5806" t="inlineStr">
        <is>
          <t>Bergvik skog väst AB</t>
        </is>
      </c>
      <c r="I5806" t="n">
        <v>4</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28924-2025</t>
        </is>
      </c>
      <c r="B5807" t="inlineStr">
        <is>
          <t>avverkningsanmälan</t>
        </is>
      </c>
      <c r="C5807" t="inlineStr">
        <is>
          <t>Föryngringsavverkning</t>
        </is>
      </c>
      <c r="D5807" s="1" t="n">
        <v>45820</v>
      </c>
      <c r="E5807" s="1" t="n">
        <v>46319</v>
      </c>
      <c r="F5807" t="inlineStr">
        <is>
          <t>DALARNAS LÄN</t>
        </is>
      </c>
      <c r="G5807" t="inlineStr">
        <is>
          <t>MORA</t>
        </is>
      </c>
      <c r="I5807" t="n">
        <v>0.6</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10214-2026</t>
        </is>
      </c>
      <c r="B5808" t="inlineStr">
        <is>
          <t>avverkningsanmälan</t>
        </is>
      </c>
      <c r="C5808" t="inlineStr">
        <is>
          <t>Föryngringsavverkning</t>
        </is>
      </c>
      <c r="D5808" s="1" t="n">
        <v>46076</v>
      </c>
      <c r="E5808" s="1" t="n">
        <v>46319</v>
      </c>
      <c r="F5808" t="inlineStr">
        <is>
          <t>DALARNAS LÄN</t>
        </is>
      </c>
      <c r="G5808" t="inlineStr">
        <is>
          <t>SÄTER</t>
        </is>
      </c>
      <c r="I5808" t="n">
        <v>7.1</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16035-2025</t>
        </is>
      </c>
      <c r="B5809" t="inlineStr">
        <is>
          <t>avverkningsanmälan</t>
        </is>
      </c>
      <c r="C5809" t="inlineStr">
        <is>
          <t>Föryngringsavverkning</t>
        </is>
      </c>
      <c r="D5809" s="1" t="n">
        <v>45749</v>
      </c>
      <c r="E5809" s="1" t="n">
        <v>46319</v>
      </c>
      <c r="F5809" t="inlineStr">
        <is>
          <t>DALARNAS LÄN</t>
        </is>
      </c>
      <c r="G5809" t="inlineStr">
        <is>
          <t>MALUNG-SÄLEN</t>
        </is>
      </c>
      <c r="I5809" t="n">
        <v>5.3</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10195-2026</t>
        </is>
      </c>
      <c r="B5810" t="inlineStr">
        <is>
          <t>avverkningsanmälan</t>
        </is>
      </c>
      <c r="C5810" t="inlineStr">
        <is>
          <t>Föryngringsavverkning</t>
        </is>
      </c>
      <c r="D5810" s="1" t="n">
        <v>46076</v>
      </c>
      <c r="E5810" s="1" t="n">
        <v>46319</v>
      </c>
      <c r="F5810" t="inlineStr">
        <is>
          <t>DALARNAS LÄN</t>
        </is>
      </c>
      <c r="G5810" t="inlineStr">
        <is>
          <t>ORSA</t>
        </is>
      </c>
      <c r="I5810" t="n">
        <v>2.1</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40753-2026</t>
        </is>
      </c>
      <c r="B5811" t="inlineStr">
        <is>
          <t>avverkningsanmälan</t>
        </is>
      </c>
      <c r="C5811" t="inlineStr">
        <is>
          <t>Föryngringsavverkning</t>
        </is>
      </c>
      <c r="D5811" s="1" t="n">
        <v>46296</v>
      </c>
      <c r="E5811" s="1" t="n">
        <v>46319</v>
      </c>
      <c r="F5811" t="inlineStr">
        <is>
          <t>DALARNAS LÄN</t>
        </is>
      </c>
      <c r="G5811" t="inlineStr">
        <is>
          <t>ÄLVDALEN</t>
        </is>
      </c>
      <c r="I5811" t="n">
        <v>1.7</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40755-2026</t>
        </is>
      </c>
      <c r="B5812" t="inlineStr">
        <is>
          <t>avverkningsanmälan</t>
        </is>
      </c>
      <c r="C5812" t="inlineStr">
        <is>
          <t>Föryngringsavverkning</t>
        </is>
      </c>
      <c r="D5812" s="1" t="n">
        <v>46296</v>
      </c>
      <c r="E5812" s="1" t="n">
        <v>46319</v>
      </c>
      <c r="F5812" t="inlineStr">
        <is>
          <t>DALARNAS LÄN</t>
        </is>
      </c>
      <c r="G5812" t="inlineStr">
        <is>
          <t>MALUNG-SÄLEN</t>
        </is>
      </c>
      <c r="I5812" t="n">
        <v>2</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40769-2026</t>
        </is>
      </c>
      <c r="B5813" t="inlineStr">
        <is>
          <t>avverkningsanmälan</t>
        </is>
      </c>
      <c r="C5813" t="inlineStr">
        <is>
          <t>Föryngringsavverkning</t>
        </is>
      </c>
      <c r="D5813" s="1" t="n">
        <v>46296</v>
      </c>
      <c r="E5813" s="1" t="n">
        <v>46319</v>
      </c>
      <c r="F5813" t="inlineStr">
        <is>
          <t>DALARNAS LÄN</t>
        </is>
      </c>
      <c r="G5813" t="inlineStr">
        <is>
          <t>ÄLVDALEN</t>
        </is>
      </c>
      <c r="I5813" t="n">
        <v>1.1</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9847-2026</t>
        </is>
      </c>
      <c r="B5814" t="inlineStr">
        <is>
          <t>avverkningsanmälan</t>
        </is>
      </c>
      <c r="C5814" t="inlineStr">
        <is>
          <t>Föryngringsavverkning</t>
        </is>
      </c>
      <c r="D5814" s="1" t="n">
        <v>46072</v>
      </c>
      <c r="E5814" s="1" t="n">
        <v>46319</v>
      </c>
      <c r="F5814" t="inlineStr">
        <is>
          <t>DALARNAS LÄN</t>
        </is>
      </c>
      <c r="G5814" t="inlineStr">
        <is>
          <t>SMEDJEBACKEN</t>
        </is>
      </c>
      <c r="H5814" t="inlineStr">
        <is>
          <t>Övriga Aktiebolag</t>
        </is>
      </c>
      <c r="I5814" t="n">
        <v>3.4</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9851-2026</t>
        </is>
      </c>
      <c r="B5815" t="inlineStr">
        <is>
          <t>avverkningsanmälan</t>
        </is>
      </c>
      <c r="C5815" t="inlineStr">
        <is>
          <t>Föryngringsavverkning</t>
        </is>
      </c>
      <c r="D5815" s="1" t="n">
        <v>46072</v>
      </c>
      <c r="E5815" s="1" t="n">
        <v>46319</v>
      </c>
      <c r="F5815" t="inlineStr">
        <is>
          <t>DALARNAS LÄN</t>
        </is>
      </c>
      <c r="G5815" t="inlineStr">
        <is>
          <t>LEKSAND</t>
        </is>
      </c>
      <c r="I5815" t="n">
        <v>5.6</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9859-2026</t>
        </is>
      </c>
      <c r="B5816" t="inlineStr">
        <is>
          <t>avverkningsanmälan</t>
        </is>
      </c>
      <c r="C5816" t="inlineStr">
        <is>
          <t>Föryngringsavverkning</t>
        </is>
      </c>
      <c r="D5816" s="1" t="n">
        <v>46072</v>
      </c>
      <c r="E5816" s="1" t="n">
        <v>46319</v>
      </c>
      <c r="F5816" t="inlineStr">
        <is>
          <t>DALARNAS LÄN</t>
        </is>
      </c>
      <c r="G5816" t="inlineStr">
        <is>
          <t>RÄTTVIK</t>
        </is>
      </c>
      <c r="H5816" t="inlineStr">
        <is>
          <t>Övriga statliga verk och myndigheter</t>
        </is>
      </c>
      <c r="I5816" t="n">
        <v>0.8</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33815-2026</t>
        </is>
      </c>
      <c r="B5817" t="inlineStr">
        <is>
          <t>avverkningsanmälan</t>
        </is>
      </c>
      <c r="C5817" t="inlineStr">
        <is>
          <t>Föryngringsavverkning</t>
        </is>
      </c>
      <c r="D5817" s="1" t="n">
        <v>46251</v>
      </c>
      <c r="E5817" s="1" t="n">
        <v>46319</v>
      </c>
      <c r="F5817" t="inlineStr">
        <is>
          <t>DALARNAS LÄN</t>
        </is>
      </c>
      <c r="G5817" t="inlineStr">
        <is>
          <t>FALUN</t>
        </is>
      </c>
      <c r="I5817" t="n">
        <v>1.3</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10146-2026</t>
        </is>
      </c>
      <c r="B5818" t="inlineStr">
        <is>
          <t>avverkningsanmälan</t>
        </is>
      </c>
      <c r="C5818" t="inlineStr">
        <is>
          <t>Föryngringsavverkning</t>
        </is>
      </c>
      <c r="D5818" s="1" t="n">
        <v>46076</v>
      </c>
      <c r="E5818" s="1" t="n">
        <v>46319</v>
      </c>
      <c r="F5818" t="inlineStr">
        <is>
          <t>DALARNAS LÄN</t>
        </is>
      </c>
      <c r="G5818" t="inlineStr">
        <is>
          <t>SÄTER</t>
        </is>
      </c>
      <c r="I5818" t="n">
        <v>0.8</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10328-2026</t>
        </is>
      </c>
      <c r="B5819" t="inlineStr">
        <is>
          <t>avverkningsanmälan</t>
        </is>
      </c>
      <c r="C5819" t="inlineStr">
        <is>
          <t>Föryngringsavverkning</t>
        </is>
      </c>
      <c r="D5819" s="1" t="n">
        <v>46076</v>
      </c>
      <c r="E5819" s="1" t="n">
        <v>46319</v>
      </c>
      <c r="F5819" t="inlineStr">
        <is>
          <t>DALARNAS LÄN</t>
        </is>
      </c>
      <c r="G5819" t="inlineStr">
        <is>
          <t>GAGNEF</t>
        </is>
      </c>
      <c r="I5819" t="n">
        <v>0.8</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28721-2025</t>
        </is>
      </c>
      <c r="B5820" t="inlineStr">
        <is>
          <t>avverkningsanmälan</t>
        </is>
      </c>
      <c r="C5820" t="inlineStr">
        <is>
          <t>Föryngringsavverkning</t>
        </is>
      </c>
      <c r="D5820" s="1" t="n">
        <v>45820</v>
      </c>
      <c r="E5820" s="1" t="n">
        <v>46319</v>
      </c>
      <c r="F5820" t="inlineStr">
        <is>
          <t>DALARNAS LÄN</t>
        </is>
      </c>
      <c r="G5820" t="inlineStr">
        <is>
          <t>FALUN</t>
        </is>
      </c>
      <c r="I5820" t="n">
        <v>2.4</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10435-2026</t>
        </is>
      </c>
      <c r="B5821" t="inlineStr">
        <is>
          <t>avverkningsanmälan</t>
        </is>
      </c>
      <c r="C5821" t="inlineStr">
        <is>
          <t>Föryngringsavverkning</t>
        </is>
      </c>
      <c r="D5821" s="1" t="n">
        <v>46077</v>
      </c>
      <c r="E5821" s="1" t="n">
        <v>46319</v>
      </c>
      <c r="F5821" t="inlineStr">
        <is>
          <t>DALARNAS LÄN</t>
        </is>
      </c>
      <c r="G5821" t="inlineStr">
        <is>
          <t>BORLÄNGE</t>
        </is>
      </c>
      <c r="I5821" t="n">
        <v>4.8</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29005-2025</t>
        </is>
      </c>
      <c r="B5822" t="inlineStr">
        <is>
          <t>avverkningsanmälan</t>
        </is>
      </c>
      <c r="C5822" t="inlineStr">
        <is>
          <t>Föryngringsavverkning</t>
        </is>
      </c>
      <c r="D5822" s="1" t="n">
        <v>45821</v>
      </c>
      <c r="E5822" s="1" t="n">
        <v>46319</v>
      </c>
      <c r="F5822" t="inlineStr">
        <is>
          <t>DALARNAS LÄN</t>
        </is>
      </c>
      <c r="G5822" t="inlineStr">
        <is>
          <t>LEKSAND</t>
        </is>
      </c>
      <c r="I5822" t="n">
        <v>2.1</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10205-2026</t>
        </is>
      </c>
      <c r="B5823" t="inlineStr">
        <is>
          <t>avverkningsanmälan</t>
        </is>
      </c>
      <c r="C5823" t="inlineStr">
        <is>
          <t>Föryngringsavverkning</t>
        </is>
      </c>
      <c r="D5823" s="1" t="n">
        <v>46076</v>
      </c>
      <c r="E5823" s="1" t="n">
        <v>46319</v>
      </c>
      <c r="F5823" t="inlineStr">
        <is>
          <t>DALARNAS LÄN</t>
        </is>
      </c>
      <c r="G5823" t="inlineStr">
        <is>
          <t>ORSA</t>
        </is>
      </c>
      <c r="I5823" t="n">
        <v>0.8</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29135-2025</t>
        </is>
      </c>
      <c r="B5824" t="inlineStr">
        <is>
          <t>avverkningsanmälan</t>
        </is>
      </c>
      <c r="C5824" t="inlineStr">
        <is>
          <t>Föryngringsavverkning</t>
        </is>
      </c>
      <c r="D5824" s="1" t="n">
        <v>45821</v>
      </c>
      <c r="E5824" s="1" t="n">
        <v>46319</v>
      </c>
      <c r="F5824" t="inlineStr">
        <is>
          <t>DALARNAS LÄN</t>
        </is>
      </c>
      <c r="G5824" t="inlineStr">
        <is>
          <t>RÄTTVIK</t>
        </is>
      </c>
      <c r="I5824" t="n">
        <v>4.3</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10442-2026</t>
        </is>
      </c>
      <c r="B5825" t="inlineStr">
        <is>
          <t>avverkningsanmälan</t>
        </is>
      </c>
      <c r="C5825" t="inlineStr">
        <is>
          <t>Föryngringsavverkning</t>
        </is>
      </c>
      <c r="D5825" s="1" t="n">
        <v>46077</v>
      </c>
      <c r="E5825" s="1" t="n">
        <v>46319</v>
      </c>
      <c r="F5825" t="inlineStr">
        <is>
          <t>DALARNAS LÄN</t>
        </is>
      </c>
      <c r="G5825" t="inlineStr">
        <is>
          <t>ORSA</t>
        </is>
      </c>
      <c r="I5825" t="n">
        <v>3</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40475-2026</t>
        </is>
      </c>
      <c r="B5826" t="inlineStr">
        <is>
          <t>avverkningsanmälan</t>
        </is>
      </c>
      <c r="C5826" t="inlineStr">
        <is>
          <t>Föryngringsavverkning</t>
        </is>
      </c>
      <c r="D5826" s="1" t="n">
        <v>46295</v>
      </c>
      <c r="E5826" s="1" t="n">
        <v>46319</v>
      </c>
      <c r="F5826" t="inlineStr">
        <is>
          <t>DALARNAS LÄN</t>
        </is>
      </c>
      <c r="G5826" t="inlineStr">
        <is>
          <t>ORSA</t>
        </is>
      </c>
      <c r="I5826" t="n">
        <v>1.4</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40482-2026</t>
        </is>
      </c>
      <c r="B5827" t="inlineStr">
        <is>
          <t>avverkningsanmälan</t>
        </is>
      </c>
      <c r="C5827" t="inlineStr">
        <is>
          <t>Föryngringsavverkning</t>
        </is>
      </c>
      <c r="D5827" s="1" t="n">
        <v>46295</v>
      </c>
      <c r="E5827" s="1" t="n">
        <v>46319</v>
      </c>
      <c r="F5827" t="inlineStr">
        <is>
          <t>DALARNAS LÄN</t>
        </is>
      </c>
      <c r="G5827" t="inlineStr">
        <is>
          <t>ORSA</t>
        </is>
      </c>
      <c r="I5827" t="n">
        <v>1.1</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29281-2025</t>
        </is>
      </c>
      <c r="B5828" t="inlineStr">
        <is>
          <t>avverkningsanmälan</t>
        </is>
      </c>
      <c r="C5828" t="inlineStr">
        <is>
          <t>Föryngringsavverkning</t>
        </is>
      </c>
      <c r="D5828" s="1" t="n">
        <v>45824</v>
      </c>
      <c r="E5828" s="1" t="n">
        <v>46319</v>
      </c>
      <c r="F5828" t="inlineStr">
        <is>
          <t>DALARNAS LÄN</t>
        </is>
      </c>
      <c r="G5828" t="inlineStr">
        <is>
          <t>VANSBRO</t>
        </is>
      </c>
      <c r="I5828" t="n">
        <v>1.9</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10331-2026</t>
        </is>
      </c>
      <c r="B5829" t="inlineStr">
        <is>
          <t>avverkningsanmälan</t>
        </is>
      </c>
      <c r="C5829" t="inlineStr">
        <is>
          <t>Föryngringsavverkning</t>
        </is>
      </c>
      <c r="D5829" s="1" t="n">
        <v>46076</v>
      </c>
      <c r="E5829" s="1" t="n">
        <v>46319</v>
      </c>
      <c r="F5829" t="inlineStr">
        <is>
          <t>DALARNAS LÄN</t>
        </is>
      </c>
      <c r="G5829" t="inlineStr">
        <is>
          <t>BORLÄNGE</t>
        </is>
      </c>
      <c r="I5829" t="n">
        <v>1.9</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29398-2025</t>
        </is>
      </c>
      <c r="B5830" t="inlineStr">
        <is>
          <t>avverkningsanmälan</t>
        </is>
      </c>
      <c r="C5830" t="inlineStr">
        <is>
          <t>Föryngringsavverkning</t>
        </is>
      </c>
      <c r="D5830" s="1" t="n">
        <v>45824</v>
      </c>
      <c r="E5830" s="1" t="n">
        <v>46319</v>
      </c>
      <c r="F5830" t="inlineStr">
        <is>
          <t>DALARNAS LÄN</t>
        </is>
      </c>
      <c r="G5830" t="inlineStr">
        <is>
          <t>MALUNG-SÄLEN</t>
        </is>
      </c>
      <c r="I5830" t="n">
        <v>1.7</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29041-2025</t>
        </is>
      </c>
      <c r="B5831" t="inlineStr">
        <is>
          <t>avverkningsanmälan</t>
        </is>
      </c>
      <c r="C5831" t="inlineStr">
        <is>
          <t>Föryngringsavverkning</t>
        </is>
      </c>
      <c r="D5831" s="1" t="n">
        <v>45821</v>
      </c>
      <c r="E5831" s="1" t="n">
        <v>46319</v>
      </c>
      <c r="F5831" t="inlineStr">
        <is>
          <t>DALARNAS LÄN</t>
        </is>
      </c>
      <c r="G5831" t="inlineStr">
        <is>
          <t>MALUNG-SÄLEN</t>
        </is>
      </c>
      <c r="H5831" t="inlineStr">
        <is>
          <t>Bergvik skog öst AB</t>
        </is>
      </c>
      <c r="I5831" t="n">
        <v>0.7</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29289-2025</t>
        </is>
      </c>
      <c r="B5832" t="inlineStr">
        <is>
          <t>avverkningsanmälan</t>
        </is>
      </c>
      <c r="C5832" t="inlineStr">
        <is>
          <t>Föryngringsavverkning</t>
        </is>
      </c>
      <c r="D5832" s="1" t="n">
        <v>45824</v>
      </c>
      <c r="E5832" s="1" t="n">
        <v>46319</v>
      </c>
      <c r="F5832" t="inlineStr">
        <is>
          <t>DALARNAS LÄN</t>
        </is>
      </c>
      <c r="G5832" t="inlineStr">
        <is>
          <t>RÄTTVIK</t>
        </is>
      </c>
      <c r="I5832" t="n">
        <v>1.2</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29294-2025</t>
        </is>
      </c>
      <c r="B5833" t="inlineStr">
        <is>
          <t>avverkningsanmälan</t>
        </is>
      </c>
      <c r="C5833" t="inlineStr">
        <is>
          <t>Föryngringsavverkning</t>
        </is>
      </c>
      <c r="D5833" s="1" t="n">
        <v>45824</v>
      </c>
      <c r="E5833" s="1" t="n">
        <v>46319</v>
      </c>
      <c r="F5833" t="inlineStr">
        <is>
          <t>DALARNAS LÄN</t>
        </is>
      </c>
      <c r="G5833" t="inlineStr">
        <is>
          <t>FALUN</t>
        </is>
      </c>
      <c r="I5833" t="n">
        <v>1</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40675-2026</t>
        </is>
      </c>
      <c r="B5834" t="inlineStr">
        <is>
          <t>avverkningsanmälan</t>
        </is>
      </c>
      <c r="C5834" t="inlineStr">
        <is>
          <t>Föryngringsavverkning</t>
        </is>
      </c>
      <c r="D5834" s="1" t="n">
        <v>46296</v>
      </c>
      <c r="E5834" s="1" t="n">
        <v>46319</v>
      </c>
      <c r="F5834" t="inlineStr">
        <is>
          <t>DALARNAS LÄN</t>
        </is>
      </c>
      <c r="G5834" t="inlineStr">
        <is>
          <t>AVESTA</t>
        </is>
      </c>
      <c r="H5834" t="inlineStr">
        <is>
          <t>Sveaskog</t>
        </is>
      </c>
      <c r="I5834" t="n">
        <v>0.5</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40691-2026</t>
        </is>
      </c>
      <c r="B5835" t="inlineStr">
        <is>
          <t>avverkningsanmälan</t>
        </is>
      </c>
      <c r="C5835" t="inlineStr">
        <is>
          <t>Föryngringsavverkning</t>
        </is>
      </c>
      <c r="D5835" s="1" t="n">
        <v>46296</v>
      </c>
      <c r="E5835" s="1" t="n">
        <v>46319</v>
      </c>
      <c r="F5835" t="inlineStr">
        <is>
          <t>DALARNAS LÄN</t>
        </is>
      </c>
      <c r="G5835" t="inlineStr">
        <is>
          <t>HEDEMORA</t>
        </is>
      </c>
      <c r="H5835" t="inlineStr">
        <is>
          <t>Sveaskog</t>
        </is>
      </c>
      <c r="I5835" t="n">
        <v>0.6</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10023-2026</t>
        </is>
      </c>
      <c r="B5836" t="inlineStr">
        <is>
          <t>avverkningsanmälan</t>
        </is>
      </c>
      <c r="C5836" t="inlineStr">
        <is>
          <t>Föryngringsavverkning</t>
        </is>
      </c>
      <c r="D5836" s="1" t="n">
        <v>46073</v>
      </c>
      <c r="E5836" s="1" t="n">
        <v>46319</v>
      </c>
      <c r="F5836" t="inlineStr">
        <is>
          <t>DALARNAS LÄN</t>
        </is>
      </c>
      <c r="G5836" t="inlineStr">
        <is>
          <t>RÄTTVIK</t>
        </is>
      </c>
      <c r="H5836" t="inlineStr">
        <is>
          <t>Bergvik skog väst AB</t>
        </is>
      </c>
      <c r="I5836" t="n">
        <v>0.7</v>
      </c>
      <c r="J5836" t="n">
        <v>0</v>
      </c>
      <c r="K5836" t="n">
        <v>0</v>
      </c>
      <c r="L5836" t="n">
        <v>0</v>
      </c>
      <c r="M5836" t="n">
        <v>0</v>
      </c>
      <c r="N5836" t="n">
        <v>0</v>
      </c>
      <c r="O5836" t="n">
        <v>0</v>
      </c>
      <c r="P5836" t="n">
        <v>0</v>
      </c>
      <c r="Q5836" t="n">
        <v>0</v>
      </c>
      <c r="R5836" t="n">
        <v>0</v>
      </c>
      <c r="S5836" t="n">
        <v>0</v>
      </c>
      <c r="T5836" t="n">
        <v>0</v>
      </c>
      <c r="U5836" t="n">
        <v>0</v>
      </c>
      <c r="V5836" s="2" t="inlineStr"/>
    </row>
    <row r="5837" ht="15" customHeight="1">
      <c r="A5837" t="inlineStr">
        <is>
          <t>A 10513-2026</t>
        </is>
      </c>
      <c r="B5837" t="inlineStr">
        <is>
          <t>avverkningsanmälan</t>
        </is>
      </c>
      <c r="C5837" t="inlineStr">
        <is>
          <t>Föryngringsavverkning</t>
        </is>
      </c>
      <c r="D5837" s="1" t="n">
        <v>46077</v>
      </c>
      <c r="E5837" s="1" t="n">
        <v>46319</v>
      </c>
      <c r="F5837" t="inlineStr">
        <is>
          <t>DALARNAS LÄN</t>
        </is>
      </c>
      <c r="G5837" t="inlineStr">
        <is>
          <t>ORSA</t>
        </is>
      </c>
      <c r="I5837" t="n">
        <v>0.7</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40709-2026</t>
        </is>
      </c>
      <c r="B5838" t="inlineStr">
        <is>
          <t>avverkningsanmälan</t>
        </is>
      </c>
      <c r="C5838" t="inlineStr">
        <is>
          <t>Föryngringsavverkning</t>
        </is>
      </c>
      <c r="D5838" s="1" t="n">
        <v>46296</v>
      </c>
      <c r="E5838" s="1" t="n">
        <v>46319</v>
      </c>
      <c r="F5838" t="inlineStr">
        <is>
          <t>DALARNAS LÄN</t>
        </is>
      </c>
      <c r="G5838" t="inlineStr">
        <is>
          <t>RÄTTVIK</t>
        </is>
      </c>
      <c r="H5838" t="inlineStr">
        <is>
          <t>Sveaskog</t>
        </is>
      </c>
      <c r="I5838" t="n">
        <v>1.4</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40715-2026</t>
        </is>
      </c>
      <c r="B5839" t="inlineStr">
        <is>
          <t>avverkningsanmälan</t>
        </is>
      </c>
      <c r="C5839" t="inlineStr">
        <is>
          <t>Föryngringsavverkning</t>
        </is>
      </c>
      <c r="D5839" s="1" t="n">
        <v>46296</v>
      </c>
      <c r="E5839" s="1" t="n">
        <v>46319</v>
      </c>
      <c r="F5839" t="inlineStr">
        <is>
          <t>DALARNAS LÄN</t>
        </is>
      </c>
      <c r="G5839" t="inlineStr">
        <is>
          <t>SMEDJEBACKEN</t>
        </is>
      </c>
      <c r="H5839" t="inlineStr">
        <is>
          <t>Sveaskog</t>
        </is>
      </c>
      <c r="I5839" t="n">
        <v>3.8</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9931-2026</t>
        </is>
      </c>
      <c r="B5840" t="inlineStr">
        <is>
          <t>avverkningsanmälan</t>
        </is>
      </c>
      <c r="C5840" t="inlineStr">
        <is>
          <t>Föryngringsavverkning</t>
        </is>
      </c>
      <c r="D5840" s="1" t="n">
        <v>46073</v>
      </c>
      <c r="E5840" s="1" t="n">
        <v>46319</v>
      </c>
      <c r="F5840" t="inlineStr">
        <is>
          <t>DALARNAS LÄN</t>
        </is>
      </c>
      <c r="G5840" t="inlineStr">
        <is>
          <t>MALUNG-SÄLEN</t>
        </is>
      </c>
      <c r="I5840" t="n">
        <v>6.2</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28976-2025</t>
        </is>
      </c>
      <c r="B5841" t="inlineStr">
        <is>
          <t>avverkningsanmälan</t>
        </is>
      </c>
      <c r="C5841" t="inlineStr">
        <is>
          <t>Föryngringsavverkning</t>
        </is>
      </c>
      <c r="D5841" s="1" t="n">
        <v>45821</v>
      </c>
      <c r="E5841" s="1" t="n">
        <v>46319</v>
      </c>
      <c r="F5841" t="inlineStr">
        <is>
          <t>DALARNAS LÄN</t>
        </is>
      </c>
      <c r="G5841" t="inlineStr">
        <is>
          <t>MORA</t>
        </is>
      </c>
      <c r="H5841" t="inlineStr">
        <is>
          <t>Bergvik skog öst AB</t>
        </is>
      </c>
      <c r="I5841" t="n">
        <v>1.2</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10202-2026</t>
        </is>
      </c>
      <c r="B5842" t="inlineStr">
        <is>
          <t>avverkningsanmälan</t>
        </is>
      </c>
      <c r="C5842" t="inlineStr">
        <is>
          <t>Föryngringsavverkning</t>
        </is>
      </c>
      <c r="D5842" s="1" t="n">
        <v>46076</v>
      </c>
      <c r="E5842" s="1" t="n">
        <v>46319</v>
      </c>
      <c r="F5842" t="inlineStr">
        <is>
          <t>DALARNAS LÄN</t>
        </is>
      </c>
      <c r="G5842" t="inlineStr">
        <is>
          <t>ORSA</t>
        </is>
      </c>
      <c r="I5842" t="n">
        <v>2.1</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9860-2026</t>
        </is>
      </c>
      <c r="B5843" t="inlineStr">
        <is>
          <t>avverkningsanmälan</t>
        </is>
      </c>
      <c r="C5843" t="inlineStr">
        <is>
          <t>Föryngringsavverkning</t>
        </is>
      </c>
      <c r="D5843" s="1" t="n">
        <v>46072</v>
      </c>
      <c r="E5843" s="1" t="n">
        <v>46319</v>
      </c>
      <c r="F5843" t="inlineStr">
        <is>
          <t>DALARNAS LÄN</t>
        </is>
      </c>
      <c r="G5843" t="inlineStr">
        <is>
          <t>RÄTTVIK</t>
        </is>
      </c>
      <c r="H5843" t="inlineStr">
        <is>
          <t>Övriga statliga verk och myndigheter</t>
        </is>
      </c>
      <c r="I5843" t="n">
        <v>2.1</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10564-2026</t>
        </is>
      </c>
      <c r="B5844" t="inlineStr">
        <is>
          <t>avverkningsanmälan</t>
        </is>
      </c>
      <c r="C5844" t="inlineStr">
        <is>
          <t>Föryngringsavverkning</t>
        </is>
      </c>
      <c r="D5844" s="1" t="n">
        <v>46077</v>
      </c>
      <c r="E5844" s="1" t="n">
        <v>46319</v>
      </c>
      <c r="F5844" t="inlineStr">
        <is>
          <t>DALARNAS LÄN</t>
        </is>
      </c>
      <c r="G5844" t="inlineStr">
        <is>
          <t>ORSA</t>
        </is>
      </c>
      <c r="H5844" t="inlineStr">
        <is>
          <t>Övriga Aktiebolag</t>
        </is>
      </c>
      <c r="I5844" t="n">
        <v>0.5</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29355-2025</t>
        </is>
      </c>
      <c r="B5845" t="inlineStr">
        <is>
          <t>avverkningsanmälan</t>
        </is>
      </c>
      <c r="C5845" t="inlineStr">
        <is>
          <t>Föryngringsavverkning</t>
        </is>
      </c>
      <c r="D5845" s="1" t="n">
        <v>45824</v>
      </c>
      <c r="E5845" s="1" t="n">
        <v>46319</v>
      </c>
      <c r="F5845" t="inlineStr">
        <is>
          <t>DALARNAS LÄN</t>
        </is>
      </c>
      <c r="G5845" t="inlineStr">
        <is>
          <t>FALUN</t>
        </is>
      </c>
      <c r="I5845" t="n">
        <v>1.9</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29360-2025</t>
        </is>
      </c>
      <c r="B5846" t="inlineStr">
        <is>
          <t>avverkningsanmälan</t>
        </is>
      </c>
      <c r="C5846" t="inlineStr">
        <is>
          <t>Föryngringsavverkning</t>
        </is>
      </c>
      <c r="D5846" s="1" t="n">
        <v>45824</v>
      </c>
      <c r="E5846" s="1" t="n">
        <v>46319</v>
      </c>
      <c r="F5846" t="inlineStr">
        <is>
          <t>DALARNAS LÄN</t>
        </is>
      </c>
      <c r="G5846" t="inlineStr">
        <is>
          <t>RÄTTVIK</t>
        </is>
      </c>
      <c r="I5846" t="n">
        <v>3.9</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34214-2026</t>
        </is>
      </c>
      <c r="B5847" t="inlineStr">
        <is>
          <t>avverkningsanmälan</t>
        </is>
      </c>
      <c r="C5847" t="inlineStr">
        <is>
          <t>Föryngringsavverkning</t>
        </is>
      </c>
      <c r="D5847" s="1" t="n">
        <v>46253</v>
      </c>
      <c r="E5847" s="1" t="n">
        <v>46319</v>
      </c>
      <c r="F5847" t="inlineStr">
        <is>
          <t>DALARNAS LÄN</t>
        </is>
      </c>
      <c r="G5847" t="inlineStr">
        <is>
          <t>VANSBRO</t>
        </is>
      </c>
      <c r="H5847" t="inlineStr">
        <is>
          <t>Bergvik skog väst AB</t>
        </is>
      </c>
      <c r="I5847" t="n">
        <v>17.3</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29040-2025</t>
        </is>
      </c>
      <c r="B5848" t="inlineStr">
        <is>
          <t>avverkningsanmälan</t>
        </is>
      </c>
      <c r="C5848" t="inlineStr">
        <is>
          <t>Föryngringsavverkning</t>
        </is>
      </c>
      <c r="D5848" s="1" t="n">
        <v>45821</v>
      </c>
      <c r="E5848" s="1" t="n">
        <v>46319</v>
      </c>
      <c r="F5848" t="inlineStr">
        <is>
          <t>DALARNAS LÄN</t>
        </is>
      </c>
      <c r="G5848" t="inlineStr">
        <is>
          <t>MALUNG-SÄLEN</t>
        </is>
      </c>
      <c r="H5848" t="inlineStr">
        <is>
          <t>Bergvik skog öst AB</t>
        </is>
      </c>
      <c r="I5848" t="n">
        <v>1.1</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40558-2026</t>
        </is>
      </c>
      <c r="B5849" t="inlineStr">
        <is>
          <t>avverkningsanmälan</t>
        </is>
      </c>
      <c r="C5849" t="inlineStr">
        <is>
          <t>Föryngringsavverkning</t>
        </is>
      </c>
      <c r="D5849" s="1" t="n">
        <v>46295</v>
      </c>
      <c r="E5849" s="1" t="n">
        <v>46319</v>
      </c>
      <c r="F5849" t="inlineStr">
        <is>
          <t>DALARNAS LÄN</t>
        </is>
      </c>
      <c r="G5849" t="inlineStr">
        <is>
          <t>FALUN</t>
        </is>
      </c>
      <c r="I5849" t="n">
        <v>0.9</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9879-2026</t>
        </is>
      </c>
      <c r="B5850" t="inlineStr">
        <is>
          <t>avverkningsanmälan</t>
        </is>
      </c>
      <c r="C5850" t="inlineStr">
        <is>
          <t>Föryngringsavverkning</t>
        </is>
      </c>
      <c r="D5850" s="1" t="n">
        <v>46073</v>
      </c>
      <c r="E5850" s="1" t="n">
        <v>46319</v>
      </c>
      <c r="F5850" t="inlineStr">
        <is>
          <t>DALARNAS LÄN</t>
        </is>
      </c>
      <c r="G5850" t="inlineStr">
        <is>
          <t>MALUNG-SÄLEN</t>
        </is>
      </c>
      <c r="H5850" t="inlineStr">
        <is>
          <t>Övriga statliga verk och myndigheter</t>
        </is>
      </c>
      <c r="I5850" t="n">
        <v>1.2</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9896-2026</t>
        </is>
      </c>
      <c r="B5851" t="inlineStr">
        <is>
          <t>avverkningsanmälan</t>
        </is>
      </c>
      <c r="C5851" t="inlineStr">
        <is>
          <t>Föryngringsavverkning</t>
        </is>
      </c>
      <c r="D5851" s="1" t="n">
        <v>46073</v>
      </c>
      <c r="E5851" s="1" t="n">
        <v>46319</v>
      </c>
      <c r="F5851" t="inlineStr">
        <is>
          <t>DALARNAS LÄN</t>
        </is>
      </c>
      <c r="G5851" t="inlineStr">
        <is>
          <t>BORLÄNGE</t>
        </is>
      </c>
      <c r="H5851" t="inlineStr">
        <is>
          <t>Bergvik skog väst AB</t>
        </is>
      </c>
      <c r="I5851" t="n">
        <v>0.6</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33762-2026</t>
        </is>
      </c>
      <c r="B5852" t="inlineStr">
        <is>
          <t>avverkningsanmälan</t>
        </is>
      </c>
      <c r="C5852" t="inlineStr">
        <is>
          <t>Föryngringsavverkning</t>
        </is>
      </c>
      <c r="D5852" s="1" t="n">
        <v>46251</v>
      </c>
      <c r="E5852" s="1" t="n">
        <v>46319</v>
      </c>
      <c r="F5852" t="inlineStr">
        <is>
          <t>DALARNAS LÄN</t>
        </is>
      </c>
      <c r="G5852" t="inlineStr">
        <is>
          <t>FALUN</t>
        </is>
      </c>
      <c r="I5852" t="n">
        <v>5.6</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10539-2026</t>
        </is>
      </c>
      <c r="B5853" t="inlineStr">
        <is>
          <t>avverkningsanmälan</t>
        </is>
      </c>
      <c r="C5853" t="inlineStr">
        <is>
          <t>Föryngringsavverkning</t>
        </is>
      </c>
      <c r="D5853" s="1" t="n">
        <v>46077</v>
      </c>
      <c r="E5853" s="1" t="n">
        <v>46319</v>
      </c>
      <c r="F5853" t="inlineStr">
        <is>
          <t>DALARNAS LÄN</t>
        </is>
      </c>
      <c r="G5853" t="inlineStr">
        <is>
          <t>FALUN</t>
        </is>
      </c>
      <c r="I5853" t="n">
        <v>2</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33772-2026</t>
        </is>
      </c>
      <c r="B5854" t="inlineStr">
        <is>
          <t>avverkningsanmälan</t>
        </is>
      </c>
      <c r="C5854" t="inlineStr">
        <is>
          <t>Föryngringsavverkning</t>
        </is>
      </c>
      <c r="D5854" s="1" t="n">
        <v>46251</v>
      </c>
      <c r="E5854" s="1" t="n">
        <v>46319</v>
      </c>
      <c r="F5854" t="inlineStr">
        <is>
          <t>DALARNAS LÄN</t>
        </is>
      </c>
      <c r="G5854" t="inlineStr">
        <is>
          <t>LEKSAND</t>
        </is>
      </c>
      <c r="H5854" t="inlineStr">
        <is>
          <t>Bergvik skog väst AB</t>
        </is>
      </c>
      <c r="I5854" t="n">
        <v>9.800000000000001</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29052-2025</t>
        </is>
      </c>
      <c r="B5855" t="inlineStr">
        <is>
          <t>avverkningsanmälan</t>
        </is>
      </c>
      <c r="C5855" t="inlineStr">
        <is>
          <t>Föryngringsavverkning</t>
        </is>
      </c>
      <c r="D5855" s="1" t="n">
        <v>45821</v>
      </c>
      <c r="E5855" s="1" t="n">
        <v>46319</v>
      </c>
      <c r="F5855" t="inlineStr">
        <is>
          <t>DALARNAS LÄN</t>
        </is>
      </c>
      <c r="G5855" t="inlineStr">
        <is>
          <t>MALUNG-SÄLEN</t>
        </is>
      </c>
      <c r="H5855" t="inlineStr">
        <is>
          <t>Bergvik skog öst AB</t>
        </is>
      </c>
      <c r="I5855" t="n">
        <v>6.2</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34211-2026</t>
        </is>
      </c>
      <c r="B5856" t="inlineStr">
        <is>
          <t>avverkningsanmälan</t>
        </is>
      </c>
      <c r="C5856" t="inlineStr">
        <is>
          <t>Föryngringsavverkning</t>
        </is>
      </c>
      <c r="D5856" s="1" t="n">
        <v>46253</v>
      </c>
      <c r="E5856" s="1" t="n">
        <v>46319</v>
      </c>
      <c r="F5856" t="inlineStr">
        <is>
          <t>DALARNAS LÄN</t>
        </is>
      </c>
      <c r="G5856" t="inlineStr">
        <is>
          <t>VANSBRO</t>
        </is>
      </c>
      <c r="H5856" t="inlineStr">
        <is>
          <t>Bergvik skog väst AB</t>
        </is>
      </c>
      <c r="I5856" t="n">
        <v>13.3</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9902-2026</t>
        </is>
      </c>
      <c r="B5857" t="inlineStr">
        <is>
          <t>avverkningsanmälan</t>
        </is>
      </c>
      <c r="C5857" t="inlineStr">
        <is>
          <t>Föryngringsavverkning</t>
        </is>
      </c>
      <c r="D5857" s="1" t="n">
        <v>46073</v>
      </c>
      <c r="E5857" s="1" t="n">
        <v>46319</v>
      </c>
      <c r="F5857" t="inlineStr">
        <is>
          <t>DALARNAS LÄN</t>
        </is>
      </c>
      <c r="G5857" t="inlineStr">
        <is>
          <t>MALUNG-SÄLEN</t>
        </is>
      </c>
      <c r="I5857" t="n">
        <v>3.2</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9915-2026</t>
        </is>
      </c>
      <c r="B5858" t="inlineStr">
        <is>
          <t>avverkningsanmälan</t>
        </is>
      </c>
      <c r="C5858" t="inlineStr">
        <is>
          <t>Föryngringsavverkning</t>
        </is>
      </c>
      <c r="D5858" s="1" t="n">
        <v>46073</v>
      </c>
      <c r="E5858" s="1" t="n">
        <v>46319</v>
      </c>
      <c r="F5858" t="inlineStr">
        <is>
          <t>DALARNAS LÄN</t>
        </is>
      </c>
      <c r="G5858" t="inlineStr">
        <is>
          <t>ÄLVDALEN</t>
        </is>
      </c>
      <c r="I5858" t="n">
        <v>1.8</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10173-2026</t>
        </is>
      </c>
      <c r="B5859" t="inlineStr">
        <is>
          <t>avverkningsanmälan</t>
        </is>
      </c>
      <c r="C5859" t="inlineStr">
        <is>
          <t>Föryngringsavverkning</t>
        </is>
      </c>
      <c r="D5859" s="1" t="n">
        <v>46076</v>
      </c>
      <c r="E5859" s="1" t="n">
        <v>46319</v>
      </c>
      <c r="F5859" t="inlineStr">
        <is>
          <t>DALARNAS LÄN</t>
        </is>
      </c>
      <c r="G5859" t="inlineStr">
        <is>
          <t>SÄTER</t>
        </is>
      </c>
      <c r="I5859" t="n">
        <v>1.6</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10181-2026</t>
        </is>
      </c>
      <c r="B5860" t="inlineStr">
        <is>
          <t>avverkningsanmälan</t>
        </is>
      </c>
      <c r="C5860" t="inlineStr">
        <is>
          <t>Föryngringsavverkning</t>
        </is>
      </c>
      <c r="D5860" s="1" t="n">
        <v>46076</v>
      </c>
      <c r="E5860" s="1" t="n">
        <v>46319</v>
      </c>
      <c r="F5860" t="inlineStr">
        <is>
          <t>DALARNAS LÄN</t>
        </is>
      </c>
      <c r="G5860" t="inlineStr">
        <is>
          <t>MORA</t>
        </is>
      </c>
      <c r="I5860" t="n">
        <v>0.6</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10206-2026</t>
        </is>
      </c>
      <c r="B5861" t="inlineStr">
        <is>
          <t>avverkningsanmälan</t>
        </is>
      </c>
      <c r="C5861" t="inlineStr">
        <is>
          <t>Föryngringsavverkning</t>
        </is>
      </c>
      <c r="D5861" s="1" t="n">
        <v>46076</v>
      </c>
      <c r="E5861" s="1" t="n">
        <v>46319</v>
      </c>
      <c r="F5861" t="inlineStr">
        <is>
          <t>DALARNAS LÄN</t>
        </is>
      </c>
      <c r="G5861" t="inlineStr">
        <is>
          <t>ORSA</t>
        </is>
      </c>
      <c r="I5861" t="n">
        <v>1.1</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28775-2025</t>
        </is>
      </c>
      <c r="B5862" t="inlineStr">
        <is>
          <t>avverkningsanmälan</t>
        </is>
      </c>
      <c r="C5862" t="inlineStr">
        <is>
          <t>Föryngringsavverkning</t>
        </is>
      </c>
      <c r="D5862" s="1" t="n">
        <v>45819</v>
      </c>
      <c r="E5862" s="1" t="n">
        <v>46319</v>
      </c>
      <c r="F5862" t="inlineStr">
        <is>
          <t>DALARNAS LÄN</t>
        </is>
      </c>
      <c r="G5862" t="inlineStr">
        <is>
          <t>SMEDJEBACKEN</t>
        </is>
      </c>
      <c r="H5862" t="inlineStr">
        <is>
          <t>Bergvik skog väst AB</t>
        </is>
      </c>
      <c r="I5862" t="n">
        <v>22.8</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29443-2025</t>
        </is>
      </c>
      <c r="B5863" t="inlineStr">
        <is>
          <t>avverkningsanmälan</t>
        </is>
      </c>
      <c r="C5863" t="inlineStr">
        <is>
          <t>Föryngringsavverkning</t>
        </is>
      </c>
      <c r="D5863" s="1" t="n">
        <v>45824</v>
      </c>
      <c r="E5863" s="1" t="n">
        <v>46319</v>
      </c>
      <c r="F5863" t="inlineStr">
        <is>
          <t>DALARNAS LÄN</t>
        </is>
      </c>
      <c r="G5863" t="inlineStr">
        <is>
          <t>LUDVIKA</t>
        </is>
      </c>
      <c r="I5863" t="n">
        <v>1.3</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10579-2026</t>
        </is>
      </c>
      <c r="B5864" t="inlineStr">
        <is>
          <t>avverkningsanmälan</t>
        </is>
      </c>
      <c r="C5864" t="inlineStr">
        <is>
          <t>Föryngringsavverkning</t>
        </is>
      </c>
      <c r="D5864" s="1" t="n">
        <v>46077</v>
      </c>
      <c r="E5864" s="1" t="n">
        <v>46319</v>
      </c>
      <c r="F5864" t="inlineStr">
        <is>
          <t>DALARNAS LÄN</t>
        </is>
      </c>
      <c r="G5864" t="inlineStr">
        <is>
          <t>ORSA</t>
        </is>
      </c>
      <c r="H5864" t="inlineStr">
        <is>
          <t>Övriga Aktiebolag</t>
        </is>
      </c>
      <c r="I5864" t="n">
        <v>3.9</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29365-2025</t>
        </is>
      </c>
      <c r="B5865" t="inlineStr">
        <is>
          <t>avverkningsanmälan</t>
        </is>
      </c>
      <c r="C5865" t="inlineStr">
        <is>
          <t>Föryngringsavverkning</t>
        </is>
      </c>
      <c r="D5865" s="1" t="n">
        <v>45824</v>
      </c>
      <c r="E5865" s="1" t="n">
        <v>46319</v>
      </c>
      <c r="F5865" t="inlineStr">
        <is>
          <t>DALARNAS LÄN</t>
        </is>
      </c>
      <c r="G5865" t="inlineStr">
        <is>
          <t>MALUNG-SÄLEN</t>
        </is>
      </c>
      <c r="I5865" t="n">
        <v>0.6</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10531-2026</t>
        </is>
      </c>
      <c r="B5866" t="inlineStr">
        <is>
          <t>avverkningsanmälan</t>
        </is>
      </c>
      <c r="C5866" t="inlineStr">
        <is>
          <t>Föryngringsavverkning</t>
        </is>
      </c>
      <c r="D5866" s="1" t="n">
        <v>46077</v>
      </c>
      <c r="E5866" s="1" t="n">
        <v>46319</v>
      </c>
      <c r="F5866" t="inlineStr">
        <is>
          <t>DALARNAS LÄN</t>
        </is>
      </c>
      <c r="G5866" t="inlineStr">
        <is>
          <t>FALUN</t>
        </is>
      </c>
      <c r="I5866" t="n">
        <v>0.5</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33953-2026</t>
        </is>
      </c>
      <c r="B5867" t="inlineStr">
        <is>
          <t>avverkningsanmälan</t>
        </is>
      </c>
      <c r="C5867" t="inlineStr">
        <is>
          <t>Föryngringsavverkning</t>
        </is>
      </c>
      <c r="D5867" s="1" t="n">
        <v>46252</v>
      </c>
      <c r="E5867" s="1" t="n">
        <v>46319</v>
      </c>
      <c r="F5867" t="inlineStr">
        <is>
          <t>DALARNAS LÄN</t>
        </is>
      </c>
      <c r="G5867" t="inlineStr">
        <is>
          <t>VANSBRO</t>
        </is>
      </c>
      <c r="H5867" t="inlineStr">
        <is>
          <t>Bergvik skog väst AB</t>
        </is>
      </c>
      <c r="I5867" t="n">
        <v>0.9</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29943-2025</t>
        </is>
      </c>
      <c r="B5868" t="inlineStr">
        <is>
          <t>avverkningsanmälan</t>
        </is>
      </c>
      <c r="C5868" t="inlineStr">
        <is>
          <t>Föryngringsavverkning</t>
        </is>
      </c>
      <c r="D5868" s="1" t="n">
        <v>45826</v>
      </c>
      <c r="E5868" s="1" t="n">
        <v>46319</v>
      </c>
      <c r="F5868" t="inlineStr">
        <is>
          <t>DALARNAS LÄN</t>
        </is>
      </c>
      <c r="G5868" t="inlineStr">
        <is>
          <t>RÄTTVIK</t>
        </is>
      </c>
      <c r="I5868" t="n">
        <v>0.7</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29870-2025</t>
        </is>
      </c>
      <c r="B5869" t="inlineStr">
        <is>
          <t>avverkningsanmälan</t>
        </is>
      </c>
      <c r="C5869" t="inlineStr">
        <is>
          <t>Föryngringsavverkning</t>
        </is>
      </c>
      <c r="D5869" s="1" t="n">
        <v>45826</v>
      </c>
      <c r="E5869" s="1" t="n">
        <v>46319</v>
      </c>
      <c r="F5869" t="inlineStr">
        <is>
          <t>DALARNAS LÄN</t>
        </is>
      </c>
      <c r="G5869" t="inlineStr">
        <is>
          <t>MORA</t>
        </is>
      </c>
      <c r="I5869" t="n">
        <v>1.2</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29873-2025</t>
        </is>
      </c>
      <c r="B5870" t="inlineStr">
        <is>
          <t>avverkningsanmälan</t>
        </is>
      </c>
      <c r="C5870" t="inlineStr">
        <is>
          <t>Föryngringsavverkning</t>
        </is>
      </c>
      <c r="D5870" s="1" t="n">
        <v>45826</v>
      </c>
      <c r="E5870" s="1" t="n">
        <v>46319</v>
      </c>
      <c r="F5870" t="inlineStr">
        <is>
          <t>DALARNAS LÄN</t>
        </is>
      </c>
      <c r="G5870" t="inlineStr">
        <is>
          <t>MORA</t>
        </is>
      </c>
      <c r="I5870" t="n">
        <v>0.6</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10566-2026</t>
        </is>
      </c>
      <c r="B5871" t="inlineStr">
        <is>
          <t>avverkningsanmälan</t>
        </is>
      </c>
      <c r="C5871" t="inlineStr">
        <is>
          <t>Föryngringsavverkning</t>
        </is>
      </c>
      <c r="D5871" s="1" t="n">
        <v>46077</v>
      </c>
      <c r="E5871" s="1" t="n">
        <v>46319</v>
      </c>
      <c r="F5871" t="inlineStr">
        <is>
          <t>DALARNAS LÄN</t>
        </is>
      </c>
      <c r="G5871" t="inlineStr">
        <is>
          <t>FALUN</t>
        </is>
      </c>
      <c r="I5871" t="n">
        <v>0.9</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10325-2026</t>
        </is>
      </c>
      <c r="B5872" t="inlineStr">
        <is>
          <t>avverkningsanmälan</t>
        </is>
      </c>
      <c r="C5872" t="inlineStr">
        <is>
          <t>Föryngringsavverkning</t>
        </is>
      </c>
      <c r="D5872" s="1" t="n">
        <v>46076</v>
      </c>
      <c r="E5872" s="1" t="n">
        <v>46319</v>
      </c>
      <c r="F5872" t="inlineStr">
        <is>
          <t>DALARNAS LÄN</t>
        </is>
      </c>
      <c r="G5872" t="inlineStr">
        <is>
          <t>FALUN</t>
        </is>
      </c>
      <c r="I5872" t="n">
        <v>0.7</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10703-2026</t>
        </is>
      </c>
      <c r="B5873" t="inlineStr">
        <is>
          <t>avverkningsanmälan</t>
        </is>
      </c>
      <c r="C5873" t="inlineStr">
        <is>
          <t>Föryngringsavverkning</t>
        </is>
      </c>
      <c r="D5873" s="1" t="n">
        <v>46078</v>
      </c>
      <c r="E5873" s="1" t="n">
        <v>46319</v>
      </c>
      <c r="F5873" t="inlineStr">
        <is>
          <t>DALARNAS LÄN</t>
        </is>
      </c>
      <c r="G5873" t="inlineStr">
        <is>
          <t>RÄTTVIK</t>
        </is>
      </c>
      <c r="I5873" t="n">
        <v>0.6</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10952-2026</t>
        </is>
      </c>
      <c r="B5874" t="inlineStr">
        <is>
          <t>avverkningsanmälan</t>
        </is>
      </c>
      <c r="C5874" t="inlineStr">
        <is>
          <t>Föryngringsavverkning</t>
        </is>
      </c>
      <c r="D5874" s="1" t="n">
        <v>46079</v>
      </c>
      <c r="E5874" s="1" t="n">
        <v>46319</v>
      </c>
      <c r="F5874" t="inlineStr">
        <is>
          <t>DALARNAS LÄN</t>
        </is>
      </c>
      <c r="G5874" t="inlineStr">
        <is>
          <t>FALUN</t>
        </is>
      </c>
      <c r="I5874" t="n">
        <v>1.2</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33820-2026</t>
        </is>
      </c>
      <c r="B5875" t="inlineStr">
        <is>
          <t>avverkningsanmälan</t>
        </is>
      </c>
      <c r="C5875" t="inlineStr">
        <is>
          <t>Föryngringsavverkning</t>
        </is>
      </c>
      <c r="D5875" s="1" t="n">
        <v>46251</v>
      </c>
      <c r="E5875" s="1" t="n">
        <v>46319</v>
      </c>
      <c r="F5875" t="inlineStr">
        <is>
          <t>DALARNAS LÄN</t>
        </is>
      </c>
      <c r="G5875" t="inlineStr">
        <is>
          <t>FALUN</t>
        </is>
      </c>
      <c r="I5875" t="n">
        <v>2.7</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33876-2026</t>
        </is>
      </c>
      <c r="B5876" t="inlineStr">
        <is>
          <t>avverkningsanmälan</t>
        </is>
      </c>
      <c r="C5876" t="inlineStr">
        <is>
          <t>Föryngringsavverkning</t>
        </is>
      </c>
      <c r="D5876" s="1" t="n">
        <v>46251</v>
      </c>
      <c r="E5876" s="1" t="n">
        <v>46319</v>
      </c>
      <c r="F5876" t="inlineStr">
        <is>
          <t>DALARNAS LÄN</t>
        </is>
      </c>
      <c r="G5876" t="inlineStr">
        <is>
          <t>LEKSAND</t>
        </is>
      </c>
      <c r="H5876" t="inlineStr">
        <is>
          <t>Bergvik skog väst AB</t>
        </is>
      </c>
      <c r="I5876" t="n">
        <v>9.9</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29530-2024</t>
        </is>
      </c>
      <c r="B5877" t="inlineStr">
        <is>
          <t>avverkningsanmälan</t>
        </is>
      </c>
      <c r="C5877" t="inlineStr">
        <is>
          <t>Föryngringsavverkning</t>
        </is>
      </c>
      <c r="D5877" s="1" t="n">
        <v>45484</v>
      </c>
      <c r="E5877" s="1" t="n">
        <v>46319</v>
      </c>
      <c r="F5877" t="inlineStr">
        <is>
          <t>DALARNAS LÄN</t>
        </is>
      </c>
      <c r="G5877" t="inlineStr">
        <is>
          <t>SMEDJEBACKEN</t>
        </is>
      </c>
      <c r="I5877" t="n">
        <v>4</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28251-2024</t>
        </is>
      </c>
      <c r="B5878" t="inlineStr">
        <is>
          <t>avverkningsanmälan</t>
        </is>
      </c>
      <c r="C5878" t="inlineStr">
        <is>
          <t>Föryngringsavverkning</t>
        </is>
      </c>
      <c r="D5878" s="1" t="n">
        <v>45477</v>
      </c>
      <c r="E5878" s="1" t="n">
        <v>46319</v>
      </c>
      <c r="F5878" t="inlineStr">
        <is>
          <t>DALARNAS LÄN</t>
        </is>
      </c>
      <c r="G5878" t="inlineStr">
        <is>
          <t>SMEDJEBACKEN</t>
        </is>
      </c>
      <c r="H5878" t="inlineStr">
        <is>
          <t>Sveaskog</t>
        </is>
      </c>
      <c r="I5878" t="n">
        <v>1.3</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59350-2025</t>
        </is>
      </c>
      <c r="B5879" t="inlineStr">
        <is>
          <t>avverkningsanmälan</t>
        </is>
      </c>
      <c r="C5879" t="inlineStr">
        <is>
          <t>Avverkning för att bevara och utveckla /försöksver</t>
        </is>
      </c>
      <c r="D5879" s="1" t="n">
        <v>45989</v>
      </c>
      <c r="E5879" s="1" t="n">
        <v>46319</v>
      </c>
      <c r="F5879" t="inlineStr">
        <is>
          <t>DALARNAS LÄN</t>
        </is>
      </c>
      <c r="G5879" t="inlineStr">
        <is>
          <t>HEDEMORA</t>
        </is>
      </c>
      <c r="H5879" t="inlineStr">
        <is>
          <t>Sveaskog</t>
        </is>
      </c>
      <c r="I5879" t="n">
        <v>4.4</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60445-2025</t>
        </is>
      </c>
      <c r="B5880" t="inlineStr">
        <is>
          <t>avverkningsanmälan</t>
        </is>
      </c>
      <c r="C5880" t="inlineStr">
        <is>
          <t>Avverkning för att bevara och utveckla /försöksver</t>
        </is>
      </c>
      <c r="D5880" s="1" t="n">
        <v>45995</v>
      </c>
      <c r="E5880" s="1" t="n">
        <v>46319</v>
      </c>
      <c r="F5880" t="inlineStr">
        <is>
          <t>DALARNAS LÄN</t>
        </is>
      </c>
      <c r="G5880" t="inlineStr">
        <is>
          <t>HEDEMORA</t>
        </is>
      </c>
      <c r="H5880" t="inlineStr">
        <is>
          <t>Sveaskog</t>
        </is>
      </c>
      <c r="I5880" t="n">
        <v>1.3</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29848-2025</t>
        </is>
      </c>
      <c r="B5881" t="inlineStr">
        <is>
          <t>avverkningsanmälan</t>
        </is>
      </c>
      <c r="C5881" t="inlineStr">
        <is>
          <t>Föryngringsavverkning</t>
        </is>
      </c>
      <c r="D5881" s="1" t="n">
        <v>45826</v>
      </c>
      <c r="E5881" s="1" t="n">
        <v>46319</v>
      </c>
      <c r="F5881" t="inlineStr">
        <is>
          <t>DALARNAS LÄN</t>
        </is>
      </c>
      <c r="G5881" t="inlineStr">
        <is>
          <t>GAGNEF</t>
        </is>
      </c>
      <c r="I5881" t="n">
        <v>4.1</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11140-2026</t>
        </is>
      </c>
      <c r="B5882" t="inlineStr">
        <is>
          <t>avverkningsanmälan</t>
        </is>
      </c>
      <c r="C5882" t="inlineStr">
        <is>
          <t>Föryngringsavverkning</t>
        </is>
      </c>
      <c r="D5882" s="1" t="n">
        <v>46079</v>
      </c>
      <c r="E5882" s="1" t="n">
        <v>46319</v>
      </c>
      <c r="F5882" t="inlineStr">
        <is>
          <t>DALARNAS LÄN</t>
        </is>
      </c>
      <c r="G5882" t="inlineStr">
        <is>
          <t>FALUN</t>
        </is>
      </c>
      <c r="I5882" t="n">
        <v>6</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29966-2025</t>
        </is>
      </c>
      <c r="B5883" t="inlineStr">
        <is>
          <t>avverkningsanmälan</t>
        </is>
      </c>
      <c r="C5883" t="inlineStr">
        <is>
          <t>Föryngringsavverkning</t>
        </is>
      </c>
      <c r="D5883" s="1" t="n">
        <v>45826</v>
      </c>
      <c r="E5883" s="1" t="n">
        <v>46319</v>
      </c>
      <c r="F5883" t="inlineStr">
        <is>
          <t>DALARNAS LÄN</t>
        </is>
      </c>
      <c r="G5883" t="inlineStr">
        <is>
          <t>LUDVIKA</t>
        </is>
      </c>
      <c r="H5883" t="inlineStr">
        <is>
          <t>Bergvik skog väst AB</t>
        </is>
      </c>
      <c r="I5883" t="n">
        <v>4.8</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11050-2026</t>
        </is>
      </c>
      <c r="B5884" t="inlineStr">
        <is>
          <t>avverkningsanmälan</t>
        </is>
      </c>
      <c r="C5884" t="inlineStr">
        <is>
          <t>Föryngringsavverkning</t>
        </is>
      </c>
      <c r="D5884" s="1" t="n">
        <v>46079</v>
      </c>
      <c r="E5884" s="1" t="n">
        <v>46319</v>
      </c>
      <c r="F5884" t="inlineStr">
        <is>
          <t>DALARNAS LÄN</t>
        </is>
      </c>
      <c r="G5884" t="inlineStr">
        <is>
          <t>FALUN</t>
        </is>
      </c>
      <c r="I5884" t="n">
        <v>1.6</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40577-2026</t>
        </is>
      </c>
      <c r="B5885" t="inlineStr">
        <is>
          <t>avverkningsanmälan</t>
        </is>
      </c>
      <c r="C5885" t="inlineStr">
        <is>
          <t>Föryngringsavverkning</t>
        </is>
      </c>
      <c r="D5885" s="1" t="n">
        <v>46295</v>
      </c>
      <c r="E5885" s="1" t="n">
        <v>46319</v>
      </c>
      <c r="F5885" t="inlineStr">
        <is>
          <t>DALARNAS LÄN</t>
        </is>
      </c>
      <c r="G5885" t="inlineStr">
        <is>
          <t>MORA</t>
        </is>
      </c>
      <c r="H5885" t="inlineStr">
        <is>
          <t>Bergvik skog öst AB</t>
        </is>
      </c>
      <c r="I5885" t="n">
        <v>1.1</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33928-2026</t>
        </is>
      </c>
      <c r="B5886" t="inlineStr">
        <is>
          <t>avverkningsanmälan</t>
        </is>
      </c>
      <c r="C5886" t="inlineStr">
        <is>
          <t>Föryngringsavverkning</t>
        </is>
      </c>
      <c r="D5886" s="1" t="n">
        <v>46252</v>
      </c>
      <c r="E5886" s="1" t="n">
        <v>46319</v>
      </c>
      <c r="F5886" t="inlineStr">
        <is>
          <t>DALARNAS LÄN</t>
        </is>
      </c>
      <c r="G5886" t="inlineStr">
        <is>
          <t>LEKSAND</t>
        </is>
      </c>
      <c r="H5886" t="inlineStr">
        <is>
          <t>Kommuner</t>
        </is>
      </c>
      <c r="I5886" t="n">
        <v>3.3</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10035-2026</t>
        </is>
      </c>
      <c r="B5887" t="inlineStr">
        <is>
          <t>avverkningsanmälan</t>
        </is>
      </c>
      <c r="C5887" t="inlineStr">
        <is>
          <t>Föryngringsavverkning</t>
        </is>
      </c>
      <c r="D5887" s="1" t="n">
        <v>46073</v>
      </c>
      <c r="E5887" s="1" t="n">
        <v>46319</v>
      </c>
      <c r="F5887" t="inlineStr">
        <is>
          <t>DALARNAS LÄN</t>
        </is>
      </c>
      <c r="G5887" t="inlineStr">
        <is>
          <t>ORSA</t>
        </is>
      </c>
      <c r="H5887" t="inlineStr">
        <is>
          <t>Bergvik skog öst AB</t>
        </is>
      </c>
      <c r="I5887" t="n">
        <v>19.6</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30098-2025</t>
        </is>
      </c>
      <c r="B5888" t="inlineStr">
        <is>
          <t>avverkningsanmälan</t>
        </is>
      </c>
      <c r="C5888" t="inlineStr">
        <is>
          <t>Föryngringsavverkning</t>
        </is>
      </c>
      <c r="D5888" s="1" t="n">
        <v>45826</v>
      </c>
      <c r="E5888" s="1" t="n">
        <v>46319</v>
      </c>
      <c r="F5888" t="inlineStr">
        <is>
          <t>DALARNAS LÄN</t>
        </is>
      </c>
      <c r="G5888" t="inlineStr">
        <is>
          <t>GAGNEF</t>
        </is>
      </c>
      <c r="I5888" t="n">
        <v>0.5</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29519-2025</t>
        </is>
      </c>
      <c r="B5889" t="inlineStr">
        <is>
          <t>avverkningsanmälan</t>
        </is>
      </c>
      <c r="C5889" t="inlineStr">
        <is>
          <t>Föryngringsavverkning</t>
        </is>
      </c>
      <c r="D5889" s="1" t="n">
        <v>45825</v>
      </c>
      <c r="E5889" s="1" t="n">
        <v>46319</v>
      </c>
      <c r="F5889" t="inlineStr">
        <is>
          <t>DALARNAS LÄN</t>
        </is>
      </c>
      <c r="G5889" t="inlineStr">
        <is>
          <t>RÄTTVIK</t>
        </is>
      </c>
      <c r="I5889" t="n">
        <v>6.8</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29522-2025</t>
        </is>
      </c>
      <c r="B5890" t="inlineStr">
        <is>
          <t>avverkningsanmälan</t>
        </is>
      </c>
      <c r="C5890" t="inlineStr">
        <is>
          <t>Föryngringsavverkning</t>
        </is>
      </c>
      <c r="D5890" s="1" t="n">
        <v>45825</v>
      </c>
      <c r="E5890" s="1" t="n">
        <v>46319</v>
      </c>
      <c r="F5890" t="inlineStr">
        <is>
          <t>DALARNAS LÄN</t>
        </is>
      </c>
      <c r="G5890" t="inlineStr">
        <is>
          <t>SÄTER</t>
        </is>
      </c>
      <c r="I5890" t="n">
        <v>0.4</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29528-2025</t>
        </is>
      </c>
      <c r="B5891" t="inlineStr">
        <is>
          <t>avverkningsanmälan</t>
        </is>
      </c>
      <c r="C5891" t="inlineStr">
        <is>
          <t>Föryngringsavverkning</t>
        </is>
      </c>
      <c r="D5891" s="1" t="n">
        <v>45825</v>
      </c>
      <c r="E5891" s="1" t="n">
        <v>46319</v>
      </c>
      <c r="F5891" t="inlineStr">
        <is>
          <t>DALARNAS LÄN</t>
        </is>
      </c>
      <c r="G5891" t="inlineStr">
        <is>
          <t>MORA</t>
        </is>
      </c>
      <c r="I5891" t="n">
        <v>2.2</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40846-2026</t>
        </is>
      </c>
      <c r="B5892" t="inlineStr">
        <is>
          <t>avverkningsanmälan</t>
        </is>
      </c>
      <c r="C5892" t="inlineStr">
        <is>
          <t>Föryngringsavverkning</t>
        </is>
      </c>
      <c r="D5892" s="1" t="n">
        <v>46296</v>
      </c>
      <c r="E5892" s="1" t="n">
        <v>46319</v>
      </c>
      <c r="F5892" t="inlineStr">
        <is>
          <t>DALARNAS LÄN</t>
        </is>
      </c>
      <c r="G5892" t="inlineStr">
        <is>
          <t>RÄTTVIK</t>
        </is>
      </c>
      <c r="H5892" t="inlineStr">
        <is>
          <t>Sveaskog</t>
        </is>
      </c>
      <c r="I5892" t="n">
        <v>3.6</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34090-2026</t>
        </is>
      </c>
      <c r="B5893" t="inlineStr">
        <is>
          <t>avverkningsanmälan</t>
        </is>
      </c>
      <c r="C5893" t="inlineStr">
        <is>
          <t>Föryngringsavverkning</t>
        </is>
      </c>
      <c r="D5893" s="1" t="n">
        <v>46252</v>
      </c>
      <c r="E5893" s="1" t="n">
        <v>46319</v>
      </c>
      <c r="F5893" t="inlineStr">
        <is>
          <t>DALARNAS LÄN</t>
        </is>
      </c>
      <c r="G5893" t="inlineStr">
        <is>
          <t>FALUN</t>
        </is>
      </c>
      <c r="H5893" t="inlineStr">
        <is>
          <t>Bergvik skog väst AB</t>
        </is>
      </c>
      <c r="I5893" t="n">
        <v>0.7</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34201-2026</t>
        </is>
      </c>
      <c r="B5894" t="inlineStr">
        <is>
          <t>avverkningsanmälan</t>
        </is>
      </c>
      <c r="C5894" t="inlineStr">
        <is>
          <t>Föryngringsavverkning</t>
        </is>
      </c>
      <c r="D5894" s="1" t="n">
        <v>46253</v>
      </c>
      <c r="E5894" s="1" t="n">
        <v>46319</v>
      </c>
      <c r="F5894" t="inlineStr">
        <is>
          <t>DALARNAS LÄN</t>
        </is>
      </c>
      <c r="G5894" t="inlineStr">
        <is>
          <t>FALUN</t>
        </is>
      </c>
      <c r="I5894" t="n">
        <v>1.1</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34216-2026</t>
        </is>
      </c>
      <c r="B5895" t="inlineStr">
        <is>
          <t>avverkningsanmälan</t>
        </is>
      </c>
      <c r="C5895" t="inlineStr">
        <is>
          <t>Föryngringsavverkning</t>
        </is>
      </c>
      <c r="D5895" s="1" t="n">
        <v>46253</v>
      </c>
      <c r="E5895" s="1" t="n">
        <v>46319</v>
      </c>
      <c r="F5895" t="inlineStr">
        <is>
          <t>DALARNAS LÄN</t>
        </is>
      </c>
      <c r="G5895" t="inlineStr">
        <is>
          <t>VANSBRO</t>
        </is>
      </c>
      <c r="H5895" t="inlineStr">
        <is>
          <t>Bergvik skog väst AB</t>
        </is>
      </c>
      <c r="I5895" t="n">
        <v>18.9</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29695-2025</t>
        </is>
      </c>
      <c r="B5896" t="inlineStr">
        <is>
          <t>avverkningsanmälan</t>
        </is>
      </c>
      <c r="C5896" t="inlineStr">
        <is>
          <t>Föryngringsavverkning</t>
        </is>
      </c>
      <c r="D5896" s="1" t="n">
        <v>45825</v>
      </c>
      <c r="E5896" s="1" t="n">
        <v>46319</v>
      </c>
      <c r="F5896" t="inlineStr">
        <is>
          <t>DALARNAS LÄN</t>
        </is>
      </c>
      <c r="G5896" t="inlineStr">
        <is>
          <t>RÄTTVIK</t>
        </is>
      </c>
      <c r="I5896" t="n">
        <v>2.2</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11080-2026</t>
        </is>
      </c>
      <c r="B5897" t="inlineStr">
        <is>
          <t>avverkningsanmälan</t>
        </is>
      </c>
      <c r="C5897" t="inlineStr">
        <is>
          <t>Föryngringsavverkning</t>
        </is>
      </c>
      <c r="D5897" s="1" t="n">
        <v>46079</v>
      </c>
      <c r="E5897" s="1" t="n">
        <v>46319</v>
      </c>
      <c r="F5897" t="inlineStr">
        <is>
          <t>DALARNAS LÄN</t>
        </is>
      </c>
      <c r="G5897" t="inlineStr">
        <is>
          <t>FALUN</t>
        </is>
      </c>
      <c r="I5897" t="n">
        <v>1.6</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29933-2025</t>
        </is>
      </c>
      <c r="B5898" t="inlineStr">
        <is>
          <t>avverkningsanmälan</t>
        </is>
      </c>
      <c r="C5898" t="inlineStr">
        <is>
          <t>Föryngringsavverkning</t>
        </is>
      </c>
      <c r="D5898" s="1" t="n">
        <v>45826</v>
      </c>
      <c r="E5898" s="1" t="n">
        <v>46319</v>
      </c>
      <c r="F5898" t="inlineStr">
        <is>
          <t>DALARNAS LÄN</t>
        </is>
      </c>
      <c r="G5898" t="inlineStr">
        <is>
          <t>ORSA</t>
        </is>
      </c>
      <c r="I5898" t="n">
        <v>1.8</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29676-2025</t>
        </is>
      </c>
      <c r="B5899" t="inlineStr">
        <is>
          <t>avverkningsanmälan</t>
        </is>
      </c>
      <c r="C5899" t="inlineStr">
        <is>
          <t>Föryngringsavverkning</t>
        </is>
      </c>
      <c r="D5899" s="1" t="n">
        <v>45825</v>
      </c>
      <c r="E5899" s="1" t="n">
        <v>46319</v>
      </c>
      <c r="F5899" t="inlineStr">
        <is>
          <t>DALARNAS LÄN</t>
        </is>
      </c>
      <c r="G5899" t="inlineStr">
        <is>
          <t>RÄTTVIK</t>
        </is>
      </c>
      <c r="I5899" t="n">
        <v>1</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10784-2026</t>
        </is>
      </c>
      <c r="B5900" t="inlineStr">
        <is>
          <t>avverkningsanmälan</t>
        </is>
      </c>
      <c r="C5900" t="inlineStr">
        <is>
          <t>Föryngringsavverkning</t>
        </is>
      </c>
      <c r="D5900" s="1" t="n">
        <v>46078</v>
      </c>
      <c r="E5900" s="1" t="n">
        <v>46319</v>
      </c>
      <c r="F5900" t="inlineStr">
        <is>
          <t>DALARNAS LÄN</t>
        </is>
      </c>
      <c r="G5900" t="inlineStr">
        <is>
          <t>ORSA</t>
        </is>
      </c>
      <c r="H5900" t="inlineStr">
        <is>
          <t>Bergvik skog öst AB</t>
        </is>
      </c>
      <c r="I5900" t="n">
        <v>0.5</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29553-2025</t>
        </is>
      </c>
      <c r="B5901" t="inlineStr">
        <is>
          <t>avverkningsanmälan</t>
        </is>
      </c>
      <c r="C5901" t="inlineStr">
        <is>
          <t>Föryngringsavverkning</t>
        </is>
      </c>
      <c r="D5901" s="1" t="n">
        <v>45825</v>
      </c>
      <c r="E5901" s="1" t="n">
        <v>46319</v>
      </c>
      <c r="F5901" t="inlineStr">
        <is>
          <t>DALARNAS LÄN</t>
        </is>
      </c>
      <c r="G5901" t="inlineStr">
        <is>
          <t>LEKSAND</t>
        </is>
      </c>
      <c r="I5901" t="n">
        <v>1.8</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40696-2026</t>
        </is>
      </c>
      <c r="B5902" t="inlineStr">
        <is>
          <t>avverkningsanmälan</t>
        </is>
      </c>
      <c r="C5902" t="inlineStr">
        <is>
          <t>Föryngringsavverkning</t>
        </is>
      </c>
      <c r="D5902" s="1" t="n">
        <v>46296</v>
      </c>
      <c r="E5902" s="1" t="n">
        <v>46319</v>
      </c>
      <c r="F5902" t="inlineStr">
        <is>
          <t>DALARNAS LÄN</t>
        </is>
      </c>
      <c r="G5902" t="inlineStr">
        <is>
          <t>MALUNG-SÄLEN</t>
        </is>
      </c>
      <c r="I5902" t="n">
        <v>4.3</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10822-2026</t>
        </is>
      </c>
      <c r="B5903" t="inlineStr">
        <is>
          <t>avverkningsanmälan</t>
        </is>
      </c>
      <c r="C5903" t="inlineStr">
        <is>
          <t>Föryngringsavverkning</t>
        </is>
      </c>
      <c r="D5903" s="1" t="n">
        <v>46078</v>
      </c>
      <c r="E5903" s="1" t="n">
        <v>46319</v>
      </c>
      <c r="F5903" t="inlineStr">
        <is>
          <t>DALARNAS LÄN</t>
        </is>
      </c>
      <c r="G5903" t="inlineStr">
        <is>
          <t>FALUN</t>
        </is>
      </c>
      <c r="H5903" t="inlineStr">
        <is>
          <t>Bergvik skog väst AB</t>
        </is>
      </c>
      <c r="I5903" t="n">
        <v>2.4</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29521-2025</t>
        </is>
      </c>
      <c r="B5904" t="inlineStr">
        <is>
          <t>avverkningsanmälan</t>
        </is>
      </c>
      <c r="C5904" t="inlineStr">
        <is>
          <t>Föryngringsavverkning</t>
        </is>
      </c>
      <c r="D5904" s="1" t="n">
        <v>45825</v>
      </c>
      <c r="E5904" s="1" t="n">
        <v>46319</v>
      </c>
      <c r="F5904" t="inlineStr">
        <is>
          <t>DALARNAS LÄN</t>
        </is>
      </c>
      <c r="G5904" t="inlineStr">
        <is>
          <t>RÄTTVIK</t>
        </is>
      </c>
      <c r="I5904" t="n">
        <v>0.7</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33774-2026</t>
        </is>
      </c>
      <c r="B5905" t="inlineStr">
        <is>
          <t>avverkningsanmälan</t>
        </is>
      </c>
      <c r="C5905" t="inlineStr">
        <is>
          <t>Föryngringsavverkning</t>
        </is>
      </c>
      <c r="D5905" s="1" t="n">
        <v>46251</v>
      </c>
      <c r="E5905" s="1" t="n">
        <v>46319</v>
      </c>
      <c r="F5905" t="inlineStr">
        <is>
          <t>DALARNAS LÄN</t>
        </is>
      </c>
      <c r="G5905" t="inlineStr">
        <is>
          <t>SMEDJEBACKEN</t>
        </is>
      </c>
      <c r="I5905" t="n">
        <v>4.4</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29918-2025</t>
        </is>
      </c>
      <c r="B5906" t="inlineStr">
        <is>
          <t>avverkningsanmälan</t>
        </is>
      </c>
      <c r="C5906" t="inlineStr">
        <is>
          <t>Föryngringsavverkning</t>
        </is>
      </c>
      <c r="D5906" s="1" t="n">
        <v>45826</v>
      </c>
      <c r="E5906" s="1" t="n">
        <v>46319</v>
      </c>
      <c r="F5906" t="inlineStr">
        <is>
          <t>DALARNAS LÄN</t>
        </is>
      </c>
      <c r="G5906" t="inlineStr">
        <is>
          <t>LUDVIKA</t>
        </is>
      </c>
      <c r="H5906" t="inlineStr">
        <is>
          <t>Bergvik skog väst AB</t>
        </is>
      </c>
      <c r="I5906" t="n">
        <v>1.7</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11032-2026</t>
        </is>
      </c>
      <c r="B5907" t="inlineStr">
        <is>
          <t>avverkningsanmälan</t>
        </is>
      </c>
      <c r="C5907" t="inlineStr">
        <is>
          <t>Föryngringsavverkning</t>
        </is>
      </c>
      <c r="D5907" s="1" t="n">
        <v>46079</v>
      </c>
      <c r="E5907" s="1" t="n">
        <v>46319</v>
      </c>
      <c r="F5907" t="inlineStr">
        <is>
          <t>DALARNAS LÄN</t>
        </is>
      </c>
      <c r="G5907" t="inlineStr">
        <is>
          <t>RÄTTVIK</t>
        </is>
      </c>
      <c r="H5907" t="inlineStr">
        <is>
          <t>Bergvik skog väst AB</t>
        </is>
      </c>
      <c r="I5907" t="n">
        <v>0.7</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10704-2026</t>
        </is>
      </c>
      <c r="B5908" t="inlineStr">
        <is>
          <t>avverkningsanmälan</t>
        </is>
      </c>
      <c r="C5908" t="inlineStr">
        <is>
          <t>Föryngringsavverkning</t>
        </is>
      </c>
      <c r="D5908" s="1" t="n">
        <v>46078</v>
      </c>
      <c r="E5908" s="1" t="n">
        <v>46319</v>
      </c>
      <c r="F5908" t="inlineStr">
        <is>
          <t>DALARNAS LÄN</t>
        </is>
      </c>
      <c r="G5908" t="inlineStr">
        <is>
          <t>ÄLVDALEN</t>
        </is>
      </c>
      <c r="I5908" t="n">
        <v>1.2</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33931-2026</t>
        </is>
      </c>
      <c r="B5909" t="inlineStr">
        <is>
          <t>avverkningsanmälan</t>
        </is>
      </c>
      <c r="C5909" t="inlineStr">
        <is>
          <t>Föryngringsavverkning</t>
        </is>
      </c>
      <c r="D5909" s="1" t="n">
        <v>46252</v>
      </c>
      <c r="E5909" s="1" t="n">
        <v>46319</v>
      </c>
      <c r="F5909" t="inlineStr">
        <is>
          <t>DALARNAS LÄN</t>
        </is>
      </c>
      <c r="G5909" t="inlineStr">
        <is>
          <t>LEKSAND</t>
        </is>
      </c>
      <c r="I5909" t="n">
        <v>4.8</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30471-2025</t>
        </is>
      </c>
      <c r="B5910" t="inlineStr">
        <is>
          <t>avverkningsanmälan</t>
        </is>
      </c>
      <c r="C5910" t="inlineStr">
        <is>
          <t>Föryngringsavverkning</t>
        </is>
      </c>
      <c r="D5910" s="1" t="n">
        <v>45827</v>
      </c>
      <c r="E5910" s="1" t="n">
        <v>46319</v>
      </c>
      <c r="F5910" t="inlineStr">
        <is>
          <t>DALARNAS LÄN</t>
        </is>
      </c>
      <c r="G5910" t="inlineStr">
        <is>
          <t>HEDEMORA</t>
        </is>
      </c>
      <c r="I5910" t="n">
        <v>0.3</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30288-2025</t>
        </is>
      </c>
      <c r="B5911" t="inlineStr">
        <is>
          <t>avverkningsanmälan</t>
        </is>
      </c>
      <c r="C5911" t="inlineStr">
        <is>
          <t>Föryngringsavverkning</t>
        </is>
      </c>
      <c r="D5911" s="1" t="n">
        <v>45827</v>
      </c>
      <c r="E5911" s="1" t="n">
        <v>46319</v>
      </c>
      <c r="F5911" t="inlineStr">
        <is>
          <t>DALARNAS LÄN</t>
        </is>
      </c>
      <c r="G5911" t="inlineStr">
        <is>
          <t>LUDVIKA</t>
        </is>
      </c>
      <c r="H5911" t="inlineStr">
        <is>
          <t>Bergvik skog väst AB</t>
        </is>
      </c>
      <c r="I5911" t="n">
        <v>0.6</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11270-2026</t>
        </is>
      </c>
      <c r="B5912" t="inlineStr">
        <is>
          <t>avverkningsanmälan</t>
        </is>
      </c>
      <c r="C5912" t="inlineStr">
        <is>
          <t>Föryngringsavverkning</t>
        </is>
      </c>
      <c r="D5912" s="1" t="n">
        <v>46080</v>
      </c>
      <c r="E5912" s="1" t="n">
        <v>46319</v>
      </c>
      <c r="F5912" t="inlineStr">
        <is>
          <t>DALARNAS LÄN</t>
        </is>
      </c>
      <c r="G5912" t="inlineStr">
        <is>
          <t>FALUN</t>
        </is>
      </c>
      <c r="I5912" t="n">
        <v>3</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34490-2026</t>
        </is>
      </c>
      <c r="B5913" t="inlineStr">
        <is>
          <t>avverkningsanmälan</t>
        </is>
      </c>
      <c r="C5913" t="inlineStr">
        <is>
          <t>Föryngringsavverkning</t>
        </is>
      </c>
      <c r="D5913" s="1" t="n">
        <v>46254</v>
      </c>
      <c r="E5913" s="1" t="n">
        <v>46319</v>
      </c>
      <c r="F5913" t="inlineStr">
        <is>
          <t>DALARNAS LÄN</t>
        </is>
      </c>
      <c r="G5913" t="inlineStr">
        <is>
          <t>FALUN</t>
        </is>
      </c>
      <c r="H5913" t="inlineStr">
        <is>
          <t>Allmännings- och besparingsskogar</t>
        </is>
      </c>
      <c r="I5913" t="n">
        <v>9.300000000000001</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11350-2026</t>
        </is>
      </c>
      <c r="B5914" t="inlineStr">
        <is>
          <t>avverkningsanmälan</t>
        </is>
      </c>
      <c r="C5914" t="inlineStr">
        <is>
          <t>Föryngringsavverkning</t>
        </is>
      </c>
      <c r="D5914" s="1" t="n">
        <v>46082</v>
      </c>
      <c r="E5914" s="1" t="n">
        <v>46319</v>
      </c>
      <c r="F5914" t="inlineStr">
        <is>
          <t>DALARNAS LÄN</t>
        </is>
      </c>
      <c r="G5914" t="inlineStr">
        <is>
          <t>VANSBRO</t>
        </is>
      </c>
      <c r="I5914" t="n">
        <v>1.9</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30254-2025</t>
        </is>
      </c>
      <c r="B5915" t="inlineStr">
        <is>
          <t>avverkningsanmälan</t>
        </is>
      </c>
      <c r="C5915" t="inlineStr">
        <is>
          <t>Föryngringsavverkning</t>
        </is>
      </c>
      <c r="D5915" s="1" t="n">
        <v>45827</v>
      </c>
      <c r="E5915" s="1" t="n">
        <v>46319</v>
      </c>
      <c r="F5915" t="inlineStr">
        <is>
          <t>DALARNAS LÄN</t>
        </is>
      </c>
      <c r="G5915" t="inlineStr">
        <is>
          <t>LEKSAND</t>
        </is>
      </c>
      <c r="I5915" t="n">
        <v>3.5</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11387-2026</t>
        </is>
      </c>
      <c r="B5916" t="inlineStr">
        <is>
          <t>avverkningsanmälan</t>
        </is>
      </c>
      <c r="C5916" t="inlineStr">
        <is>
          <t>Föryngringsavverkning</t>
        </is>
      </c>
      <c r="D5916" s="1" t="n">
        <v>46083</v>
      </c>
      <c r="E5916" s="1" t="n">
        <v>46319</v>
      </c>
      <c r="F5916" t="inlineStr">
        <is>
          <t>DALARNAS LÄN</t>
        </is>
      </c>
      <c r="G5916" t="inlineStr">
        <is>
          <t>FALUN</t>
        </is>
      </c>
      <c r="I5916" t="n">
        <v>1.7</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11481-2026</t>
        </is>
      </c>
      <c r="B5917" t="inlineStr">
        <is>
          <t>avverkningsanmälan</t>
        </is>
      </c>
      <c r="C5917" t="inlineStr">
        <is>
          <t>Föryngringsavverkning</t>
        </is>
      </c>
      <c r="D5917" s="1" t="n">
        <v>46083</v>
      </c>
      <c r="E5917" s="1" t="n">
        <v>46319</v>
      </c>
      <c r="F5917" t="inlineStr">
        <is>
          <t>DALARNAS LÄN</t>
        </is>
      </c>
      <c r="G5917" t="inlineStr">
        <is>
          <t>FALUN</t>
        </is>
      </c>
      <c r="I5917" t="n">
        <v>1.4</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11156-2026</t>
        </is>
      </c>
      <c r="B5918" t="inlineStr">
        <is>
          <t>avverkningsanmälan</t>
        </is>
      </c>
      <c r="C5918" t="inlineStr">
        <is>
          <t>Föryngringsavverkning</t>
        </is>
      </c>
      <c r="D5918" s="1" t="n">
        <v>46080</v>
      </c>
      <c r="E5918" s="1" t="n">
        <v>46319</v>
      </c>
      <c r="F5918" t="inlineStr">
        <is>
          <t>DALARNAS LÄN</t>
        </is>
      </c>
      <c r="G5918" t="inlineStr">
        <is>
          <t>FALUN</t>
        </is>
      </c>
      <c r="I5918" t="n">
        <v>5.3</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34279-2026</t>
        </is>
      </c>
      <c r="B5919" t="inlineStr">
        <is>
          <t>avverkningsanmälan</t>
        </is>
      </c>
      <c r="C5919" t="inlineStr">
        <is>
          <t>Föryngringsavverkning</t>
        </is>
      </c>
      <c r="D5919" s="1" t="n">
        <v>46253</v>
      </c>
      <c r="E5919" s="1" t="n">
        <v>46319</v>
      </c>
      <c r="F5919" t="inlineStr">
        <is>
          <t>DALARNAS LÄN</t>
        </is>
      </c>
      <c r="G5919" t="inlineStr">
        <is>
          <t>FALUN</t>
        </is>
      </c>
      <c r="I5919" t="n">
        <v>4.3</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11265-2026</t>
        </is>
      </c>
      <c r="B5920" t="inlineStr">
        <is>
          <t>avverkningsanmälan</t>
        </is>
      </c>
      <c r="C5920" t="inlineStr">
        <is>
          <t>Föryngringsavverkning</t>
        </is>
      </c>
      <c r="D5920" s="1" t="n">
        <v>46080</v>
      </c>
      <c r="E5920" s="1" t="n">
        <v>46319</v>
      </c>
      <c r="F5920" t="inlineStr">
        <is>
          <t>DALARNAS LÄN</t>
        </is>
      </c>
      <c r="G5920" t="inlineStr">
        <is>
          <t>FALUN</t>
        </is>
      </c>
      <c r="I5920" t="n">
        <v>10.4</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11275-2026</t>
        </is>
      </c>
      <c r="B5921" t="inlineStr">
        <is>
          <t>avverkningsanmälan</t>
        </is>
      </c>
      <c r="C5921" t="inlineStr">
        <is>
          <t>Föryngringsavverkning</t>
        </is>
      </c>
      <c r="D5921" s="1" t="n">
        <v>46080</v>
      </c>
      <c r="E5921" s="1" t="n">
        <v>46319</v>
      </c>
      <c r="F5921" t="inlineStr">
        <is>
          <t>DALARNAS LÄN</t>
        </is>
      </c>
      <c r="G5921" t="inlineStr">
        <is>
          <t>FALUN</t>
        </is>
      </c>
      <c r="I5921" t="n">
        <v>0.9</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34207-2026</t>
        </is>
      </c>
      <c r="B5922" t="inlineStr">
        <is>
          <t>avverkningsanmälan</t>
        </is>
      </c>
      <c r="C5922" t="inlineStr">
        <is>
          <t>Föryngringsavverkning</t>
        </is>
      </c>
      <c r="D5922" s="1" t="n">
        <v>46253</v>
      </c>
      <c r="E5922" s="1" t="n">
        <v>46319</v>
      </c>
      <c r="F5922" t="inlineStr">
        <is>
          <t>DALARNAS LÄN</t>
        </is>
      </c>
      <c r="G5922" t="inlineStr">
        <is>
          <t>VANSBRO</t>
        </is>
      </c>
      <c r="H5922" t="inlineStr">
        <is>
          <t>Bergvik skog väst AB</t>
        </is>
      </c>
      <c r="I5922" t="n">
        <v>12.1</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34210-2026</t>
        </is>
      </c>
      <c r="B5923" t="inlineStr">
        <is>
          <t>avverkningsanmälan</t>
        </is>
      </c>
      <c r="C5923" t="inlineStr">
        <is>
          <t>Föryngringsavverkning</t>
        </is>
      </c>
      <c r="D5923" s="1" t="n">
        <v>46253</v>
      </c>
      <c r="E5923" s="1" t="n">
        <v>46319</v>
      </c>
      <c r="F5923" t="inlineStr">
        <is>
          <t>DALARNAS LÄN</t>
        </is>
      </c>
      <c r="G5923" t="inlineStr">
        <is>
          <t>VANSBRO</t>
        </is>
      </c>
      <c r="H5923" t="inlineStr">
        <is>
          <t>Bergvik skog väst AB</t>
        </is>
      </c>
      <c r="I5923" t="n">
        <v>1.6</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11306-2026</t>
        </is>
      </c>
      <c r="B5924" t="inlineStr">
        <is>
          <t>avverkningsanmälan</t>
        </is>
      </c>
      <c r="C5924" t="inlineStr">
        <is>
          <t>Föryngringsavverkning</t>
        </is>
      </c>
      <c r="D5924" s="1" t="n">
        <v>46080</v>
      </c>
      <c r="E5924" s="1" t="n">
        <v>46319</v>
      </c>
      <c r="F5924" t="inlineStr">
        <is>
          <t>DALARNAS LÄN</t>
        </is>
      </c>
      <c r="G5924" t="inlineStr">
        <is>
          <t>FALUN</t>
        </is>
      </c>
      <c r="I5924" t="n">
        <v>0.5</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30176-2025</t>
        </is>
      </c>
      <c r="B5925" t="inlineStr">
        <is>
          <t>avverkningsanmälan</t>
        </is>
      </c>
      <c r="C5925" t="inlineStr">
        <is>
          <t>Föryngringsavverkning</t>
        </is>
      </c>
      <c r="D5925" s="1" t="n">
        <v>45827</v>
      </c>
      <c r="E5925" s="1" t="n">
        <v>46319</v>
      </c>
      <c r="F5925" t="inlineStr">
        <is>
          <t>DALARNAS LÄN</t>
        </is>
      </c>
      <c r="G5925" t="inlineStr">
        <is>
          <t>MALUNG-SÄLEN</t>
        </is>
      </c>
      <c r="I5925" t="n">
        <v>0.9</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11405-2026</t>
        </is>
      </c>
      <c r="B5926" t="inlineStr">
        <is>
          <t>avverkningsanmälan</t>
        </is>
      </c>
      <c r="C5926" t="inlineStr">
        <is>
          <t>Föryngringsavverkning</t>
        </is>
      </c>
      <c r="D5926" s="1" t="n">
        <v>46083</v>
      </c>
      <c r="E5926" s="1" t="n">
        <v>46319</v>
      </c>
      <c r="F5926" t="inlineStr">
        <is>
          <t>DALARNAS LÄN</t>
        </is>
      </c>
      <c r="G5926" t="inlineStr">
        <is>
          <t>SÄTER</t>
        </is>
      </c>
      <c r="H5926" t="inlineStr">
        <is>
          <t>Bergvik skog väst AB</t>
        </is>
      </c>
      <c r="I5926" t="n">
        <v>0.5</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33949-2026</t>
        </is>
      </c>
      <c r="B5927" t="inlineStr">
        <is>
          <t>avverkningsanmälan</t>
        </is>
      </c>
      <c r="C5927" t="inlineStr">
        <is>
          <t>Föryngringsavverkning</t>
        </is>
      </c>
      <c r="D5927" s="1" t="n">
        <v>46252</v>
      </c>
      <c r="E5927" s="1" t="n">
        <v>46319</v>
      </c>
      <c r="F5927" t="inlineStr">
        <is>
          <t>DALARNAS LÄN</t>
        </is>
      </c>
      <c r="G5927" t="inlineStr">
        <is>
          <t>VANSBRO</t>
        </is>
      </c>
      <c r="H5927" t="inlineStr">
        <is>
          <t>Bergvik skog väst AB</t>
        </is>
      </c>
      <c r="I5927" t="n">
        <v>5.9</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11311-2026</t>
        </is>
      </c>
      <c r="B5928" t="inlineStr">
        <is>
          <t>avverkningsanmälan</t>
        </is>
      </c>
      <c r="C5928" t="inlineStr">
        <is>
          <t>Föryngringsavverkning</t>
        </is>
      </c>
      <c r="D5928" s="1" t="n">
        <v>46080</v>
      </c>
      <c r="E5928" s="1" t="n">
        <v>46319</v>
      </c>
      <c r="F5928" t="inlineStr">
        <is>
          <t>DALARNAS LÄN</t>
        </is>
      </c>
      <c r="G5928" t="inlineStr">
        <is>
          <t>GAGNEF</t>
        </is>
      </c>
      <c r="I5928" t="n">
        <v>3.9</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11330-2026</t>
        </is>
      </c>
      <c r="B5929" t="inlineStr">
        <is>
          <t>avverkningsanmälan</t>
        </is>
      </c>
      <c r="C5929" t="inlineStr">
        <is>
          <t>Föryngringsavverkning</t>
        </is>
      </c>
      <c r="D5929" s="1" t="n">
        <v>46081</v>
      </c>
      <c r="E5929" s="1" t="n">
        <v>46319</v>
      </c>
      <c r="F5929" t="inlineStr">
        <is>
          <t>DALARNAS LÄN</t>
        </is>
      </c>
      <c r="G5929" t="inlineStr">
        <is>
          <t>FALUN</t>
        </is>
      </c>
      <c r="I5929" t="n">
        <v>0.9</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11347-2026</t>
        </is>
      </c>
      <c r="B5930" t="inlineStr">
        <is>
          <t>avverkningsanmälan</t>
        </is>
      </c>
      <c r="C5930" t="inlineStr">
        <is>
          <t>Föryngringsavverkning</t>
        </is>
      </c>
      <c r="D5930" s="1" t="n">
        <v>46082</v>
      </c>
      <c r="E5930" s="1" t="n">
        <v>46319</v>
      </c>
      <c r="F5930" t="inlineStr">
        <is>
          <t>DALARNAS LÄN</t>
        </is>
      </c>
      <c r="G5930" t="inlineStr">
        <is>
          <t>FALUN</t>
        </is>
      </c>
      <c r="I5930" t="n">
        <v>2.2</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30540-2025</t>
        </is>
      </c>
      <c r="B5931" t="inlineStr">
        <is>
          <t>avverkningsanmälan</t>
        </is>
      </c>
      <c r="C5931" t="inlineStr">
        <is>
          <t>Föryngringsavverkning</t>
        </is>
      </c>
      <c r="D5931" s="1" t="n">
        <v>45831</v>
      </c>
      <c r="E5931" s="1" t="n">
        <v>46319</v>
      </c>
      <c r="F5931" t="inlineStr">
        <is>
          <t>DALARNAS LÄN</t>
        </is>
      </c>
      <c r="G5931" t="inlineStr">
        <is>
          <t>BORLÄNGE</t>
        </is>
      </c>
      <c r="I5931" t="n">
        <v>2.2</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11176-2026</t>
        </is>
      </c>
      <c r="B5932" t="inlineStr">
        <is>
          <t>avverkningsanmälan</t>
        </is>
      </c>
      <c r="C5932" t="inlineStr">
        <is>
          <t>Föryngringsavverkning</t>
        </is>
      </c>
      <c r="D5932" s="1" t="n">
        <v>46080</v>
      </c>
      <c r="E5932" s="1" t="n">
        <v>46319</v>
      </c>
      <c r="F5932" t="inlineStr">
        <is>
          <t>DALARNAS LÄN</t>
        </is>
      </c>
      <c r="G5932" t="inlineStr">
        <is>
          <t>MORA</t>
        </is>
      </c>
      <c r="I5932" t="n">
        <v>1.3</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30507-2025</t>
        </is>
      </c>
      <c r="B5933" t="inlineStr">
        <is>
          <t>avverkningsanmälan</t>
        </is>
      </c>
      <c r="C5933" t="inlineStr">
        <is>
          <t>Föryngringsavverkning</t>
        </is>
      </c>
      <c r="D5933" s="1" t="n">
        <v>45831</v>
      </c>
      <c r="E5933" s="1" t="n">
        <v>46319</v>
      </c>
      <c r="F5933" t="inlineStr">
        <is>
          <t>DALARNAS LÄN</t>
        </is>
      </c>
      <c r="G5933" t="inlineStr">
        <is>
          <t>MORA</t>
        </is>
      </c>
      <c r="I5933" t="n">
        <v>1.6</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30927-2025</t>
        </is>
      </c>
      <c r="B5934" t="inlineStr">
        <is>
          <t>avverkningsanmälan</t>
        </is>
      </c>
      <c r="C5934" t="inlineStr">
        <is>
          <t>Föryngringsavverkning</t>
        </is>
      </c>
      <c r="D5934" s="1" t="n">
        <v>45832</v>
      </c>
      <c r="E5934" s="1" t="n">
        <v>46319</v>
      </c>
      <c r="F5934" t="inlineStr">
        <is>
          <t>DALARNAS LÄN</t>
        </is>
      </c>
      <c r="G5934" t="inlineStr">
        <is>
          <t>FALUN</t>
        </is>
      </c>
      <c r="H5934" t="inlineStr">
        <is>
          <t>Bergvik skog väst AB</t>
        </is>
      </c>
      <c r="I5934" t="n">
        <v>2</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11455-2026</t>
        </is>
      </c>
      <c r="B5935" t="inlineStr">
        <is>
          <t>avverkningsanmälan</t>
        </is>
      </c>
      <c r="C5935" t="inlineStr">
        <is>
          <t>Föryngringsavverkning</t>
        </is>
      </c>
      <c r="D5935" s="1" t="n">
        <v>46083</v>
      </c>
      <c r="E5935" s="1" t="n">
        <v>46319</v>
      </c>
      <c r="F5935" t="inlineStr">
        <is>
          <t>DALARNAS LÄN</t>
        </is>
      </c>
      <c r="G5935" t="inlineStr">
        <is>
          <t>FALUN</t>
        </is>
      </c>
      <c r="I5935" t="n">
        <v>3</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54260-2022</t>
        </is>
      </c>
      <c r="B5936" t="inlineStr">
        <is>
          <t>avverkningsanmälan</t>
        </is>
      </c>
      <c r="C5936" t="inlineStr">
        <is>
          <t>Föryngringsavverkning</t>
        </is>
      </c>
      <c r="D5936" s="1" t="n">
        <v>44882</v>
      </c>
      <c r="E5936" s="1" t="n">
        <v>46319</v>
      </c>
      <c r="F5936" t="inlineStr">
        <is>
          <t>DALARNAS LÄN</t>
        </is>
      </c>
      <c r="G5936" t="inlineStr">
        <is>
          <t>SMEDJEBACKEN</t>
        </is>
      </c>
      <c r="H5936" t="inlineStr">
        <is>
          <t>Kyrkan</t>
        </is>
      </c>
      <c r="I5936" t="n">
        <v>2.9</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30903-2025</t>
        </is>
      </c>
      <c r="B5937" t="inlineStr">
        <is>
          <t>avverkningsanmälan</t>
        </is>
      </c>
      <c r="C5937" t="inlineStr">
        <is>
          <t>Föryngringsavverkning</t>
        </is>
      </c>
      <c r="D5937" s="1" t="n">
        <v>45832</v>
      </c>
      <c r="E5937" s="1" t="n">
        <v>46319</v>
      </c>
      <c r="F5937" t="inlineStr">
        <is>
          <t>DALARNAS LÄN</t>
        </is>
      </c>
      <c r="G5937" t="inlineStr">
        <is>
          <t>SMEDJEBACKEN</t>
        </is>
      </c>
      <c r="H5937" t="inlineStr">
        <is>
          <t>Sveaskog</t>
        </is>
      </c>
      <c r="I5937" t="n">
        <v>1.4</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11349-2026</t>
        </is>
      </c>
      <c r="B5938" t="inlineStr">
        <is>
          <t>avverkningsanmälan</t>
        </is>
      </c>
      <c r="C5938" t="inlineStr">
        <is>
          <t>Föryngringsavverkning</t>
        </is>
      </c>
      <c r="D5938" s="1" t="n">
        <v>46082</v>
      </c>
      <c r="E5938" s="1" t="n">
        <v>46319</v>
      </c>
      <c r="F5938" t="inlineStr">
        <is>
          <t>DALARNAS LÄN</t>
        </is>
      </c>
      <c r="G5938" t="inlineStr">
        <is>
          <t>VANSBRO</t>
        </is>
      </c>
      <c r="I5938" t="n">
        <v>0.7</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30911-2025</t>
        </is>
      </c>
      <c r="B5939" t="inlineStr">
        <is>
          <t>avverkningsanmälan</t>
        </is>
      </c>
      <c r="C5939" t="inlineStr">
        <is>
          <t>Avverkning för annat ändamål</t>
        </is>
      </c>
      <c r="D5939" s="1" t="n">
        <v>45832</v>
      </c>
      <c r="E5939" s="1" t="n">
        <v>46319</v>
      </c>
      <c r="F5939" t="inlineStr">
        <is>
          <t>DALARNAS LÄN</t>
        </is>
      </c>
      <c r="G5939" t="inlineStr">
        <is>
          <t>LEKSAND</t>
        </is>
      </c>
      <c r="I5939" t="n">
        <v>0.5</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30914-2025</t>
        </is>
      </c>
      <c r="B5940" t="inlineStr">
        <is>
          <t>avverkningsanmälan</t>
        </is>
      </c>
      <c r="C5940" t="inlineStr">
        <is>
          <t>Föryngringsavverkning</t>
        </is>
      </c>
      <c r="D5940" s="1" t="n">
        <v>45832</v>
      </c>
      <c r="E5940" s="1" t="n">
        <v>46319</v>
      </c>
      <c r="F5940" t="inlineStr">
        <is>
          <t>DALARNAS LÄN</t>
        </is>
      </c>
      <c r="G5940" t="inlineStr">
        <is>
          <t>MALUNG-SÄLEN</t>
        </is>
      </c>
      <c r="H5940" t="inlineStr">
        <is>
          <t>Bergvik skog öst AB</t>
        </is>
      </c>
      <c r="I5940" t="n">
        <v>1.5</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11740-2026</t>
        </is>
      </c>
      <c r="B5941" t="inlineStr">
        <is>
          <t>avverkningsanmälan</t>
        </is>
      </c>
      <c r="C5941" t="inlineStr">
        <is>
          <t>Föryngringsavverkning</t>
        </is>
      </c>
      <c r="D5941" s="1" t="n">
        <v>46084</v>
      </c>
      <c r="E5941" s="1" t="n">
        <v>46319</v>
      </c>
      <c r="F5941" t="inlineStr">
        <is>
          <t>DALARNAS LÄN</t>
        </is>
      </c>
      <c r="G5941" t="inlineStr">
        <is>
          <t>SMEDJEBACKEN</t>
        </is>
      </c>
      <c r="H5941" t="inlineStr">
        <is>
          <t>Övriga Aktiebolag</t>
        </is>
      </c>
      <c r="I5941" t="n">
        <v>5.2</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10552-2026</t>
        </is>
      </c>
      <c r="B5942" t="inlineStr">
        <is>
          <t>avverkningsanmälan</t>
        </is>
      </c>
      <c r="C5942" t="inlineStr">
        <is>
          <t>Föryngringsavverkning</t>
        </is>
      </c>
      <c r="D5942" s="1" t="n">
        <v>46077</v>
      </c>
      <c r="E5942" s="1" t="n">
        <v>46319</v>
      </c>
      <c r="F5942" t="inlineStr">
        <is>
          <t>DALARNAS LÄN</t>
        </is>
      </c>
      <c r="G5942" t="inlineStr">
        <is>
          <t>SÄTER</t>
        </is>
      </c>
      <c r="I5942" t="n">
        <v>3.7</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30502-2025</t>
        </is>
      </c>
      <c r="B5943" t="inlineStr">
        <is>
          <t>avverkningsanmälan</t>
        </is>
      </c>
      <c r="C5943" t="inlineStr">
        <is>
          <t>Föryngringsavverkning</t>
        </is>
      </c>
      <c r="D5943" s="1" t="n">
        <v>45830</v>
      </c>
      <c r="E5943" s="1" t="n">
        <v>46319</v>
      </c>
      <c r="F5943" t="inlineStr">
        <is>
          <t>DALARNAS LÄN</t>
        </is>
      </c>
      <c r="G5943" t="inlineStr">
        <is>
          <t>ÄLVDALEN</t>
        </is>
      </c>
      <c r="I5943" t="n">
        <v>2.3</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11598-2026</t>
        </is>
      </c>
      <c r="B5944" t="inlineStr">
        <is>
          <t>avverkningsanmälan</t>
        </is>
      </c>
      <c r="C5944" t="inlineStr">
        <is>
          <t>Föryngringsavverkning</t>
        </is>
      </c>
      <c r="D5944" s="1" t="n">
        <v>46084</v>
      </c>
      <c r="E5944" s="1" t="n">
        <v>46319</v>
      </c>
      <c r="F5944" t="inlineStr">
        <is>
          <t>DALARNAS LÄN</t>
        </is>
      </c>
      <c r="G5944" t="inlineStr">
        <is>
          <t>FALUN</t>
        </is>
      </c>
      <c r="I5944" t="n">
        <v>9.9</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31196-2025</t>
        </is>
      </c>
      <c r="B5945" t="inlineStr">
        <is>
          <t>avverkningsanmälan</t>
        </is>
      </c>
      <c r="C5945" t="inlineStr">
        <is>
          <t>Föryngringsavverkning</t>
        </is>
      </c>
      <c r="D5945" s="1" t="n">
        <v>45832</v>
      </c>
      <c r="E5945" s="1" t="n">
        <v>46319</v>
      </c>
      <c r="F5945" t="inlineStr">
        <is>
          <t>DALARNAS LÄN</t>
        </is>
      </c>
      <c r="G5945" t="inlineStr">
        <is>
          <t>VANSBRO</t>
        </is>
      </c>
      <c r="I5945" t="n">
        <v>0.5</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11603-2026</t>
        </is>
      </c>
      <c r="B5946" t="inlineStr">
        <is>
          <t>avverkningsanmälan</t>
        </is>
      </c>
      <c r="C5946" t="inlineStr">
        <is>
          <t>Föryngringsavverkning</t>
        </is>
      </c>
      <c r="D5946" s="1" t="n">
        <v>46084</v>
      </c>
      <c r="E5946" s="1" t="n">
        <v>46319</v>
      </c>
      <c r="F5946" t="inlineStr">
        <is>
          <t>DALARNAS LÄN</t>
        </is>
      </c>
      <c r="G5946" t="inlineStr">
        <is>
          <t>VANSBRO</t>
        </is>
      </c>
      <c r="I5946" t="n">
        <v>1.9</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30919-2025</t>
        </is>
      </c>
      <c r="B5947" t="inlineStr">
        <is>
          <t>avverkningsanmälan</t>
        </is>
      </c>
      <c r="C5947" t="inlineStr">
        <is>
          <t>Föryngringsavverkning</t>
        </is>
      </c>
      <c r="D5947" s="1" t="n">
        <v>45832</v>
      </c>
      <c r="E5947" s="1" t="n">
        <v>46319</v>
      </c>
      <c r="F5947" t="inlineStr">
        <is>
          <t>DALARNAS LÄN</t>
        </is>
      </c>
      <c r="G5947" t="inlineStr">
        <is>
          <t>MALUNG-SÄLEN</t>
        </is>
      </c>
      <c r="H5947" t="inlineStr">
        <is>
          <t>Bergvik skog öst AB</t>
        </is>
      </c>
      <c r="I5947" t="n">
        <v>2.5</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41222-2026</t>
        </is>
      </c>
      <c r="B5948" t="inlineStr">
        <is>
          <t>avverkningsanmälan</t>
        </is>
      </c>
      <c r="C5948" t="inlineStr">
        <is>
          <t>Föryngringsavverkning</t>
        </is>
      </c>
      <c r="D5948" s="1" t="n">
        <v>46300</v>
      </c>
      <c r="E5948" s="1" t="n">
        <v>46319</v>
      </c>
      <c r="F5948" t="inlineStr">
        <is>
          <t>DALARNAS LÄN</t>
        </is>
      </c>
      <c r="G5948" t="inlineStr">
        <is>
          <t>RÄTTVIK</t>
        </is>
      </c>
      <c r="I5948" t="n">
        <v>1.3</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30633-2025</t>
        </is>
      </c>
      <c r="B5949" t="inlineStr">
        <is>
          <t>avverkningsanmälan</t>
        </is>
      </c>
      <c r="C5949" t="inlineStr">
        <is>
          <t>Föryngringsavverkning</t>
        </is>
      </c>
      <c r="D5949" s="1" t="n">
        <v>45831</v>
      </c>
      <c r="E5949" s="1" t="n">
        <v>46319</v>
      </c>
      <c r="F5949" t="inlineStr">
        <is>
          <t>DALARNAS LÄN</t>
        </is>
      </c>
      <c r="G5949" t="inlineStr">
        <is>
          <t>MALUNG-SÄLEN</t>
        </is>
      </c>
      <c r="H5949" t="inlineStr">
        <is>
          <t>Bergvik skog öst AB</t>
        </is>
      </c>
      <c r="I5949" t="n">
        <v>8.6</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52525-2022</t>
        </is>
      </c>
      <c r="B5950" t="inlineStr">
        <is>
          <t>avverkningsanmälan</t>
        </is>
      </c>
      <c r="C5950" t="inlineStr">
        <is>
          <t>Föryngringsavverkning</t>
        </is>
      </c>
      <c r="D5950" s="1" t="n">
        <v>44874</v>
      </c>
      <c r="E5950" s="1" t="n">
        <v>46319</v>
      </c>
      <c r="F5950" t="inlineStr">
        <is>
          <t>DALARNAS LÄN</t>
        </is>
      </c>
      <c r="G5950" t="inlineStr">
        <is>
          <t>MORA</t>
        </is>
      </c>
      <c r="H5950" t="inlineStr">
        <is>
          <t>Bergvik skog öst AB</t>
        </is>
      </c>
      <c r="I5950" t="n">
        <v>0.9</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11892-2026</t>
        </is>
      </c>
      <c r="B5951" t="inlineStr">
        <is>
          <t>avverkningsanmälan</t>
        </is>
      </c>
      <c r="C5951" t="inlineStr">
        <is>
          <t>Föryngringsavverkning</t>
        </is>
      </c>
      <c r="D5951" s="1" t="n">
        <v>46085</v>
      </c>
      <c r="E5951" s="1" t="n">
        <v>46319</v>
      </c>
      <c r="F5951" t="inlineStr">
        <is>
          <t>DALARNAS LÄN</t>
        </is>
      </c>
      <c r="G5951" t="inlineStr">
        <is>
          <t>MALUNG-SÄLEN</t>
        </is>
      </c>
      <c r="I5951" t="n">
        <v>2.2</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30869-2025</t>
        </is>
      </c>
      <c r="B5952" t="inlineStr">
        <is>
          <t>avverkningsanmälan</t>
        </is>
      </c>
      <c r="C5952" t="inlineStr">
        <is>
          <t>Föryngringsavverkning</t>
        </is>
      </c>
      <c r="D5952" s="1" t="n">
        <v>45832</v>
      </c>
      <c r="E5952" s="1" t="n">
        <v>46319</v>
      </c>
      <c r="F5952" t="inlineStr">
        <is>
          <t>DALARNAS LÄN</t>
        </is>
      </c>
      <c r="G5952" t="inlineStr">
        <is>
          <t>FALUN</t>
        </is>
      </c>
      <c r="H5952" t="inlineStr">
        <is>
          <t>Bergvik skog väst AB</t>
        </is>
      </c>
      <c r="I5952" t="n">
        <v>1.3</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8425-2025</t>
        </is>
      </c>
      <c r="B5953" t="inlineStr">
        <is>
          <t>avverkningsanmälan</t>
        </is>
      </c>
      <c r="C5953" t="inlineStr">
        <is>
          <t>Föryngringsavverkning</t>
        </is>
      </c>
      <c r="D5953" s="1" t="n">
        <v>45709</v>
      </c>
      <c r="E5953" s="1" t="n">
        <v>46319</v>
      </c>
      <c r="F5953" t="inlineStr">
        <is>
          <t>DALARNAS LÄN</t>
        </is>
      </c>
      <c r="G5953" t="inlineStr">
        <is>
          <t>MALUNG-SÄLEN</t>
        </is>
      </c>
      <c r="I5953" t="n">
        <v>6.2</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11972-2026</t>
        </is>
      </c>
      <c r="B5954" t="inlineStr">
        <is>
          <t>avverkningsanmälan</t>
        </is>
      </c>
      <c r="C5954" t="inlineStr">
        <is>
          <t>Föryngringsavverkning</t>
        </is>
      </c>
      <c r="D5954" s="1" t="n">
        <v>46085</v>
      </c>
      <c r="E5954" s="1" t="n">
        <v>46319</v>
      </c>
      <c r="F5954" t="inlineStr">
        <is>
          <t>DALARNAS LÄN</t>
        </is>
      </c>
      <c r="G5954" t="inlineStr">
        <is>
          <t>FALUN</t>
        </is>
      </c>
      <c r="I5954" t="n">
        <v>5.7</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1308-2026</t>
        </is>
      </c>
      <c r="B5955" t="inlineStr">
        <is>
          <t>avverkningsanmälan</t>
        </is>
      </c>
      <c r="C5955" t="inlineStr">
        <is>
          <t>Föryngringsavverkning</t>
        </is>
      </c>
      <c r="D5955" s="1" t="n">
        <v>46031</v>
      </c>
      <c r="E5955" s="1" t="n">
        <v>46319</v>
      </c>
      <c r="F5955" t="inlineStr">
        <is>
          <t>DALARNAS LÄN</t>
        </is>
      </c>
      <c r="G5955" t="inlineStr">
        <is>
          <t>FALUN</t>
        </is>
      </c>
      <c r="I5955" t="n">
        <v>9.5</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9672-2026</t>
        </is>
      </c>
      <c r="B5956" t="inlineStr">
        <is>
          <t>avverkningsanmälan</t>
        </is>
      </c>
      <c r="C5956" t="inlineStr">
        <is>
          <t>Föryngringsavverkning</t>
        </is>
      </c>
      <c r="D5956" s="1" t="n">
        <v>46072</v>
      </c>
      <c r="E5956" s="1" t="n">
        <v>46319</v>
      </c>
      <c r="F5956" t="inlineStr">
        <is>
          <t>DALARNAS LÄN</t>
        </is>
      </c>
      <c r="G5956" t="inlineStr">
        <is>
          <t>HEDEMORA</t>
        </is>
      </c>
      <c r="I5956" t="n">
        <v>1.6</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9674-2026</t>
        </is>
      </c>
      <c r="B5957" t="inlineStr">
        <is>
          <t>avverkningsanmälan</t>
        </is>
      </c>
      <c r="C5957" t="inlineStr">
        <is>
          <t>Föryngringsavverkning</t>
        </is>
      </c>
      <c r="D5957" s="1" t="n">
        <v>46072</v>
      </c>
      <c r="E5957" s="1" t="n">
        <v>46319</v>
      </c>
      <c r="F5957" t="inlineStr">
        <is>
          <t>DALARNAS LÄN</t>
        </is>
      </c>
      <c r="G5957" t="inlineStr">
        <is>
          <t>HEDEMORA</t>
        </is>
      </c>
      <c r="I5957" t="n">
        <v>1.2</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30821-2025</t>
        </is>
      </c>
      <c r="B5958" t="inlineStr">
        <is>
          <t>avverkningsanmälan</t>
        </is>
      </c>
      <c r="C5958" t="inlineStr">
        <is>
          <t>Föryngringsavverkning</t>
        </is>
      </c>
      <c r="D5958" s="1" t="n">
        <v>45831</v>
      </c>
      <c r="E5958" s="1" t="n">
        <v>46319</v>
      </c>
      <c r="F5958" t="inlineStr">
        <is>
          <t>DALARNAS LÄN</t>
        </is>
      </c>
      <c r="G5958" t="inlineStr">
        <is>
          <t>MALUNG-SÄLEN</t>
        </is>
      </c>
      <c r="H5958" t="inlineStr">
        <is>
          <t>Kommuner</t>
        </is>
      </c>
      <c r="I5958" t="n">
        <v>0.4</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30858-2025</t>
        </is>
      </c>
      <c r="B5959" t="inlineStr">
        <is>
          <t>avverkningsanmälan</t>
        </is>
      </c>
      <c r="C5959" t="inlineStr">
        <is>
          <t>Föryngringsavverkning</t>
        </is>
      </c>
      <c r="D5959" s="1" t="n">
        <v>45831</v>
      </c>
      <c r="E5959" s="1" t="n">
        <v>46319</v>
      </c>
      <c r="F5959" t="inlineStr">
        <is>
          <t>DALARNAS LÄN</t>
        </is>
      </c>
      <c r="G5959" t="inlineStr">
        <is>
          <t>MORA</t>
        </is>
      </c>
      <c r="I5959" t="n">
        <v>2.9</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30859-2025</t>
        </is>
      </c>
      <c r="B5960" t="inlineStr">
        <is>
          <t>avverkningsanmälan</t>
        </is>
      </c>
      <c r="C5960" t="inlineStr">
        <is>
          <t>Föryngringsavverkning</t>
        </is>
      </c>
      <c r="D5960" s="1" t="n">
        <v>45831</v>
      </c>
      <c r="E5960" s="1" t="n">
        <v>46319</v>
      </c>
      <c r="F5960" t="inlineStr">
        <is>
          <t>DALARNAS LÄN</t>
        </is>
      </c>
      <c r="G5960" t="inlineStr">
        <is>
          <t>MORA</t>
        </is>
      </c>
      <c r="I5960" t="n">
        <v>0.7</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31001-2025</t>
        </is>
      </c>
      <c r="B5961" t="inlineStr">
        <is>
          <t>avverkningsanmälan</t>
        </is>
      </c>
      <c r="C5961" t="inlineStr">
        <is>
          <t>Föryngringsavverkning</t>
        </is>
      </c>
      <c r="D5961" s="1" t="n">
        <v>45832</v>
      </c>
      <c r="E5961" s="1" t="n">
        <v>46319</v>
      </c>
      <c r="F5961" t="inlineStr">
        <is>
          <t>DALARNAS LÄN</t>
        </is>
      </c>
      <c r="G5961" t="inlineStr">
        <is>
          <t>LUDVIKA</t>
        </is>
      </c>
      <c r="H5961" t="inlineStr">
        <is>
          <t>Bergvik skog väst AB</t>
        </is>
      </c>
      <c r="I5961" t="n">
        <v>1</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11705-2026</t>
        </is>
      </c>
      <c r="B5962" t="inlineStr">
        <is>
          <t>avverkningsanmälan</t>
        </is>
      </c>
      <c r="C5962" t="inlineStr">
        <is>
          <t>Föryngringsavverkning</t>
        </is>
      </c>
      <c r="D5962" s="1" t="n">
        <v>46084</v>
      </c>
      <c r="E5962" s="1" t="n">
        <v>46319</v>
      </c>
      <c r="F5962" t="inlineStr">
        <is>
          <t>DALARNAS LÄN</t>
        </is>
      </c>
      <c r="G5962" t="inlineStr">
        <is>
          <t>MORA</t>
        </is>
      </c>
      <c r="I5962" t="n">
        <v>4.2</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11732-2026</t>
        </is>
      </c>
      <c r="B5963" t="inlineStr">
        <is>
          <t>avverkningsanmälan</t>
        </is>
      </c>
      <c r="C5963" t="inlineStr">
        <is>
          <t>Föryngringsavverkning</t>
        </is>
      </c>
      <c r="D5963" s="1" t="n">
        <v>46084</v>
      </c>
      <c r="E5963" s="1" t="n">
        <v>46319</v>
      </c>
      <c r="F5963" t="inlineStr">
        <is>
          <t>DALARNAS LÄN</t>
        </is>
      </c>
      <c r="G5963" t="inlineStr">
        <is>
          <t>HEDEMORA</t>
        </is>
      </c>
      <c r="I5963" t="n">
        <v>6.2</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30748-2025</t>
        </is>
      </c>
      <c r="B5964" t="inlineStr">
        <is>
          <t>avverkningsanmälan</t>
        </is>
      </c>
      <c r="C5964" t="inlineStr">
        <is>
          <t>Föryngringsavverkning</t>
        </is>
      </c>
      <c r="D5964" s="1" t="n">
        <v>45831</v>
      </c>
      <c r="E5964" s="1" t="n">
        <v>46319</v>
      </c>
      <c r="F5964" t="inlineStr">
        <is>
          <t>DALARNAS LÄN</t>
        </is>
      </c>
      <c r="G5964" t="inlineStr">
        <is>
          <t>LUDVIKA</t>
        </is>
      </c>
      <c r="H5964" t="inlineStr">
        <is>
          <t>Bergvik skog väst AB</t>
        </is>
      </c>
      <c r="I5964" t="n">
        <v>0.4</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30760-2025</t>
        </is>
      </c>
      <c r="B5965" t="inlineStr">
        <is>
          <t>avverkningsanmälan</t>
        </is>
      </c>
      <c r="C5965" t="inlineStr">
        <is>
          <t>Föryngringsavverkning</t>
        </is>
      </c>
      <c r="D5965" s="1" t="n">
        <v>45831</v>
      </c>
      <c r="E5965" s="1" t="n">
        <v>46319</v>
      </c>
      <c r="F5965" t="inlineStr">
        <is>
          <t>DALARNAS LÄN</t>
        </is>
      </c>
      <c r="G5965" t="inlineStr">
        <is>
          <t>LUDVIKA</t>
        </is>
      </c>
      <c r="H5965" t="inlineStr">
        <is>
          <t>Bergvik skog väst AB</t>
        </is>
      </c>
      <c r="I5965" t="n">
        <v>0.4</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34584-2026</t>
        </is>
      </c>
      <c r="B5966" t="inlineStr">
        <is>
          <t>avverkningsanmälan</t>
        </is>
      </c>
      <c r="C5966" t="inlineStr">
        <is>
          <t>Föryngringsavverkning</t>
        </is>
      </c>
      <c r="D5966" s="1" t="n">
        <v>46255</v>
      </c>
      <c r="E5966" s="1" t="n">
        <v>46319</v>
      </c>
      <c r="F5966" t="inlineStr">
        <is>
          <t>DALARNAS LÄN</t>
        </is>
      </c>
      <c r="G5966" t="inlineStr">
        <is>
          <t>LUDVIKA</t>
        </is>
      </c>
      <c r="H5966" t="inlineStr">
        <is>
          <t>Bergvik skog väst AB</t>
        </is>
      </c>
      <c r="I5966" t="n">
        <v>2.1</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40975-2026</t>
        </is>
      </c>
      <c r="B5967" t="inlineStr">
        <is>
          <t>avverkningsanmälan</t>
        </is>
      </c>
      <c r="C5967" t="inlineStr">
        <is>
          <t>Föryngringsavverkning</t>
        </is>
      </c>
      <c r="D5967" s="1" t="n">
        <v>46297</v>
      </c>
      <c r="E5967" s="1" t="n">
        <v>46319</v>
      </c>
      <c r="F5967" t="inlineStr">
        <is>
          <t>DALARNAS LÄN</t>
        </is>
      </c>
      <c r="G5967" t="inlineStr">
        <is>
          <t>MORA</t>
        </is>
      </c>
      <c r="H5967" t="inlineStr">
        <is>
          <t>Bergvik skog öst AB</t>
        </is>
      </c>
      <c r="I5967" t="n">
        <v>1.1</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30509-2025</t>
        </is>
      </c>
      <c r="B5968" t="inlineStr">
        <is>
          <t>avverkningsanmälan</t>
        </is>
      </c>
      <c r="C5968" t="inlineStr">
        <is>
          <t>Föryngringsavverkning</t>
        </is>
      </c>
      <c r="D5968" s="1" t="n">
        <v>45831</v>
      </c>
      <c r="E5968" s="1" t="n">
        <v>46319</v>
      </c>
      <c r="F5968" t="inlineStr">
        <is>
          <t>DALARNAS LÄN</t>
        </is>
      </c>
      <c r="G5968" t="inlineStr">
        <is>
          <t>MORA</t>
        </is>
      </c>
      <c r="I5968" t="n">
        <v>1.7</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40979-2026</t>
        </is>
      </c>
      <c r="B5969" t="inlineStr">
        <is>
          <t>avverkningsanmälan</t>
        </is>
      </c>
      <c r="C5969" t="inlineStr">
        <is>
          <t>Föryngringsavverkning</t>
        </is>
      </c>
      <c r="D5969" s="1" t="n">
        <v>46297</v>
      </c>
      <c r="E5969" s="1" t="n">
        <v>46319</v>
      </c>
      <c r="F5969" t="inlineStr">
        <is>
          <t>DALARNAS LÄN</t>
        </is>
      </c>
      <c r="G5969" t="inlineStr">
        <is>
          <t>GAGNEF</t>
        </is>
      </c>
      <c r="H5969" t="inlineStr">
        <is>
          <t>Kommuner</t>
        </is>
      </c>
      <c r="I5969" t="n">
        <v>3.3</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11787-2026</t>
        </is>
      </c>
      <c r="B5970" t="inlineStr">
        <is>
          <t>avverkningsanmälan</t>
        </is>
      </c>
      <c r="C5970" t="inlineStr">
        <is>
          <t>Föryngringsavverkning</t>
        </is>
      </c>
      <c r="D5970" s="1" t="n">
        <v>46085</v>
      </c>
      <c r="E5970" s="1" t="n">
        <v>46319</v>
      </c>
      <c r="F5970" t="inlineStr">
        <is>
          <t>DALARNAS LÄN</t>
        </is>
      </c>
      <c r="G5970" t="inlineStr">
        <is>
          <t>RÄTTVIK</t>
        </is>
      </c>
      <c r="I5970" t="n">
        <v>2.7</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11875-2026</t>
        </is>
      </c>
      <c r="B5971" t="inlineStr">
        <is>
          <t>avverkningsanmälan</t>
        </is>
      </c>
      <c r="C5971" t="inlineStr">
        <is>
          <t>Föryngringsavverkning</t>
        </is>
      </c>
      <c r="D5971" s="1" t="n">
        <v>46085</v>
      </c>
      <c r="E5971" s="1" t="n">
        <v>46319</v>
      </c>
      <c r="F5971" t="inlineStr">
        <is>
          <t>DALARNAS LÄN</t>
        </is>
      </c>
      <c r="G5971" t="inlineStr">
        <is>
          <t>MORA</t>
        </is>
      </c>
      <c r="I5971" t="n">
        <v>3.7</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41006-2026</t>
        </is>
      </c>
      <c r="B5972" t="inlineStr">
        <is>
          <t>avverkningsanmälan</t>
        </is>
      </c>
      <c r="C5972" t="inlineStr">
        <is>
          <t>Föryngringsavverkning</t>
        </is>
      </c>
      <c r="D5972" s="1" t="n">
        <v>46297</v>
      </c>
      <c r="E5972" s="1" t="n">
        <v>46319</v>
      </c>
      <c r="F5972" t="inlineStr">
        <is>
          <t>DALARNAS LÄN</t>
        </is>
      </c>
      <c r="G5972" t="inlineStr">
        <is>
          <t>ORSA</t>
        </is>
      </c>
      <c r="I5972" t="n">
        <v>4.5</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9892-2026</t>
        </is>
      </c>
      <c r="B5973" t="inlineStr">
        <is>
          <t>avverkningsanmälan</t>
        </is>
      </c>
      <c r="C5973" t="inlineStr">
        <is>
          <t>Föryngringsavverkning</t>
        </is>
      </c>
      <c r="D5973" s="1" t="n">
        <v>46073</v>
      </c>
      <c r="E5973" s="1" t="n">
        <v>46319</v>
      </c>
      <c r="F5973" t="inlineStr">
        <is>
          <t>DALARNAS LÄN</t>
        </is>
      </c>
      <c r="G5973" t="inlineStr">
        <is>
          <t>MALUNG-SÄLEN</t>
        </is>
      </c>
      <c r="H5973" t="inlineStr">
        <is>
          <t>Övriga statliga verk och myndigheter</t>
        </is>
      </c>
      <c r="I5973" t="n">
        <v>3</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31534-2025</t>
        </is>
      </c>
      <c r="B5974" t="inlineStr">
        <is>
          <t>avverkningsanmälan</t>
        </is>
      </c>
      <c r="C5974" t="inlineStr">
        <is>
          <t>Föryngringsavverkning</t>
        </is>
      </c>
      <c r="D5974" s="1" t="n">
        <v>45833</v>
      </c>
      <c r="E5974" s="1" t="n">
        <v>46319</v>
      </c>
      <c r="F5974" t="inlineStr">
        <is>
          <t>DALARNAS LÄN</t>
        </is>
      </c>
      <c r="G5974" t="inlineStr">
        <is>
          <t>MALUNG-SÄLEN</t>
        </is>
      </c>
      <c r="H5974" t="inlineStr">
        <is>
          <t>Allmännings- och besparingsskogar</t>
        </is>
      </c>
      <c r="I5974" t="n">
        <v>27.3</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34638-2026</t>
        </is>
      </c>
      <c r="B5975" t="inlineStr">
        <is>
          <t>avverkningsanmälan</t>
        </is>
      </c>
      <c r="C5975" t="inlineStr">
        <is>
          <t>Föryngringsavverkning</t>
        </is>
      </c>
      <c r="D5975" s="1" t="n">
        <v>46255</v>
      </c>
      <c r="E5975" s="1" t="n">
        <v>46319</v>
      </c>
      <c r="F5975" t="inlineStr">
        <is>
          <t>DALARNAS LÄN</t>
        </is>
      </c>
      <c r="G5975" t="inlineStr">
        <is>
          <t>LUDVIKA</t>
        </is>
      </c>
      <c r="H5975" t="inlineStr">
        <is>
          <t>Bergvik skog väst AB</t>
        </is>
      </c>
      <c r="I5975" t="n">
        <v>1.3</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34646-2026</t>
        </is>
      </c>
      <c r="B5976" t="inlineStr">
        <is>
          <t>avverkningsanmälan</t>
        </is>
      </c>
      <c r="C5976" t="inlineStr">
        <is>
          <t>Föryngringsavverkning</t>
        </is>
      </c>
      <c r="D5976" s="1" t="n">
        <v>46255</v>
      </c>
      <c r="E5976" s="1" t="n">
        <v>46319</v>
      </c>
      <c r="F5976" t="inlineStr">
        <is>
          <t>DALARNAS LÄN</t>
        </is>
      </c>
      <c r="G5976" t="inlineStr">
        <is>
          <t>HEDEMORA</t>
        </is>
      </c>
      <c r="H5976" t="inlineStr">
        <is>
          <t>Sveaskog</t>
        </is>
      </c>
      <c r="I5976" t="n">
        <v>2.1</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11801-2026</t>
        </is>
      </c>
      <c r="B5977" t="inlineStr">
        <is>
          <t>avverkningsanmälan</t>
        </is>
      </c>
      <c r="C5977" t="inlineStr">
        <is>
          <t>Föryngringsavverkning</t>
        </is>
      </c>
      <c r="D5977" s="1" t="n">
        <v>46085</v>
      </c>
      <c r="E5977" s="1" t="n">
        <v>46319</v>
      </c>
      <c r="F5977" t="inlineStr">
        <is>
          <t>DALARNAS LÄN</t>
        </is>
      </c>
      <c r="G5977" t="inlineStr">
        <is>
          <t>ÄLVDALEN</t>
        </is>
      </c>
      <c r="I5977" t="n">
        <v>0.5</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41279-2026</t>
        </is>
      </c>
      <c r="B5978" t="inlineStr">
        <is>
          <t>avverkningsanmälan</t>
        </is>
      </c>
      <c r="C5978" t="inlineStr">
        <is>
          <t>Föryngringsavverkning</t>
        </is>
      </c>
      <c r="D5978" s="1" t="n">
        <v>46300</v>
      </c>
      <c r="E5978" s="1" t="n">
        <v>46319</v>
      </c>
      <c r="F5978" t="inlineStr">
        <is>
          <t>DALARNAS LÄN</t>
        </is>
      </c>
      <c r="G5978" t="inlineStr">
        <is>
          <t>VANSBRO</t>
        </is>
      </c>
      <c r="H5978" t="inlineStr">
        <is>
          <t>Bergvik skog väst AB</t>
        </is>
      </c>
      <c r="I5978" t="n">
        <v>2.4</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11819-2026</t>
        </is>
      </c>
      <c r="B5979" t="inlineStr">
        <is>
          <t>avverkningsanmälan</t>
        </is>
      </c>
      <c r="C5979" t="inlineStr">
        <is>
          <t>Föryngringsavverkning</t>
        </is>
      </c>
      <c r="D5979" s="1" t="n">
        <v>46085</v>
      </c>
      <c r="E5979" s="1" t="n">
        <v>46319</v>
      </c>
      <c r="F5979" t="inlineStr">
        <is>
          <t>DALARNAS LÄN</t>
        </is>
      </c>
      <c r="G5979" t="inlineStr">
        <is>
          <t>MORA</t>
        </is>
      </c>
      <c r="I5979" t="n">
        <v>0.6</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11790-2026</t>
        </is>
      </c>
      <c r="B5980" t="inlineStr">
        <is>
          <t>avverkningsanmälan</t>
        </is>
      </c>
      <c r="C5980" t="inlineStr">
        <is>
          <t>Föryngringsavverkning</t>
        </is>
      </c>
      <c r="D5980" s="1" t="n">
        <v>46085</v>
      </c>
      <c r="E5980" s="1" t="n">
        <v>46319</v>
      </c>
      <c r="F5980" t="inlineStr">
        <is>
          <t>DALARNAS LÄN</t>
        </is>
      </c>
      <c r="G5980" t="inlineStr">
        <is>
          <t>RÄTTVIK</t>
        </is>
      </c>
      <c r="I5980" t="n">
        <v>2.4</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31499-2025</t>
        </is>
      </c>
      <c r="B5981" t="inlineStr">
        <is>
          <t>avverkningsanmälan</t>
        </is>
      </c>
      <c r="C5981" t="inlineStr">
        <is>
          <t>Föryngringsavverkning</t>
        </is>
      </c>
      <c r="D5981" s="1" t="n">
        <v>45833</v>
      </c>
      <c r="E5981" s="1" t="n">
        <v>46319</v>
      </c>
      <c r="F5981" t="inlineStr">
        <is>
          <t>DALARNAS LÄN</t>
        </is>
      </c>
      <c r="G5981" t="inlineStr">
        <is>
          <t>VANSBRO</t>
        </is>
      </c>
      <c r="I5981" t="n">
        <v>27</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11930-2026</t>
        </is>
      </c>
      <c r="B5982" t="inlineStr">
        <is>
          <t>avverkningsanmälan</t>
        </is>
      </c>
      <c r="C5982" t="inlineStr">
        <is>
          <t>Föryngringsavverkning</t>
        </is>
      </c>
      <c r="D5982" s="1" t="n">
        <v>46085</v>
      </c>
      <c r="E5982" s="1" t="n">
        <v>46319</v>
      </c>
      <c r="F5982" t="inlineStr">
        <is>
          <t>DALARNAS LÄN</t>
        </is>
      </c>
      <c r="G5982" t="inlineStr">
        <is>
          <t>FALUN</t>
        </is>
      </c>
      <c r="I5982" t="n">
        <v>0.5</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12244-2026</t>
        </is>
      </c>
      <c r="B5983" t="inlineStr">
        <is>
          <t>avverkningsanmälan</t>
        </is>
      </c>
      <c r="C5983" t="inlineStr">
        <is>
          <t>Föryngringsavverkning</t>
        </is>
      </c>
      <c r="D5983" s="1" t="n">
        <v>46087</v>
      </c>
      <c r="E5983" s="1" t="n">
        <v>46319</v>
      </c>
      <c r="F5983" t="inlineStr">
        <is>
          <t>DALARNAS LÄN</t>
        </is>
      </c>
      <c r="G5983" t="inlineStr">
        <is>
          <t>BORLÄNGE</t>
        </is>
      </c>
      <c r="H5983" t="inlineStr">
        <is>
          <t>Bergvik skog väst AB</t>
        </is>
      </c>
      <c r="I5983" t="n">
        <v>4</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31622-2025</t>
        </is>
      </c>
      <c r="B5984" t="inlineStr">
        <is>
          <t>avverkningsanmälan</t>
        </is>
      </c>
      <c r="C5984" t="inlineStr">
        <is>
          <t>Föryngringsavverkning</t>
        </is>
      </c>
      <c r="D5984" s="1" t="n">
        <v>45833</v>
      </c>
      <c r="E5984" s="1" t="n">
        <v>46319</v>
      </c>
      <c r="F5984" t="inlineStr">
        <is>
          <t>DALARNAS LÄN</t>
        </is>
      </c>
      <c r="G5984" t="inlineStr">
        <is>
          <t>RÄTTVIK</t>
        </is>
      </c>
      <c r="I5984" t="n">
        <v>1.2</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18321-2026</t>
        </is>
      </c>
      <c r="B5985" t="inlineStr">
        <is>
          <t>avverkningsanmälan</t>
        </is>
      </c>
      <c r="C5985" t="inlineStr">
        <is>
          <t>Föryngringsavverkning</t>
        </is>
      </c>
      <c r="D5985" s="1" t="n">
        <v>46126</v>
      </c>
      <c r="E5985" s="1" t="n">
        <v>46319</v>
      </c>
      <c r="F5985" t="inlineStr">
        <is>
          <t>DALARNAS LÄN</t>
        </is>
      </c>
      <c r="G5985" t="inlineStr">
        <is>
          <t>MALUNG-SÄLEN</t>
        </is>
      </c>
      <c r="I5985" t="n">
        <v>7.2</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12322-2026</t>
        </is>
      </c>
      <c r="B5986" t="inlineStr">
        <is>
          <t>avverkningsanmälan</t>
        </is>
      </c>
      <c r="C5986" t="inlineStr">
        <is>
          <t>Föryngringsavverkning</t>
        </is>
      </c>
      <c r="D5986" s="1" t="n">
        <v>46087</v>
      </c>
      <c r="E5986" s="1" t="n">
        <v>46319</v>
      </c>
      <c r="F5986" t="inlineStr">
        <is>
          <t>DALARNAS LÄN</t>
        </is>
      </c>
      <c r="G5986" t="inlineStr">
        <is>
          <t>SÄTER</t>
        </is>
      </c>
      <c r="H5986" t="inlineStr">
        <is>
          <t>Bergvik skog väst AB</t>
        </is>
      </c>
      <c r="I5986" t="n">
        <v>0.5</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12397-2026</t>
        </is>
      </c>
      <c r="B5987" t="inlineStr">
        <is>
          <t>avverkningsanmälan</t>
        </is>
      </c>
      <c r="C5987" t="inlineStr">
        <is>
          <t>Föryngringsavverkning</t>
        </is>
      </c>
      <c r="D5987" s="1" t="n">
        <v>46087</v>
      </c>
      <c r="E5987" s="1" t="n">
        <v>46319</v>
      </c>
      <c r="F5987" t="inlineStr">
        <is>
          <t>DALARNAS LÄN</t>
        </is>
      </c>
      <c r="G5987" t="inlineStr">
        <is>
          <t>FALUN</t>
        </is>
      </c>
      <c r="H5987" t="inlineStr">
        <is>
          <t>Allmännings- och besparingsskogar</t>
        </is>
      </c>
      <c r="I5987" t="n">
        <v>44.4</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27523-2026</t>
        </is>
      </c>
      <c r="B5988" t="inlineStr">
        <is>
          <t>avverkningsanmälan</t>
        </is>
      </c>
      <c r="C5988" t="inlineStr">
        <is>
          <t>Föryngringsavverkning</t>
        </is>
      </c>
      <c r="D5988" s="1" t="n">
        <v>46185</v>
      </c>
      <c r="E5988" s="1" t="n">
        <v>46319</v>
      </c>
      <c r="F5988" t="inlineStr">
        <is>
          <t>DALARNAS LÄN</t>
        </is>
      </c>
      <c r="G5988" t="inlineStr">
        <is>
          <t>GAGNEF</t>
        </is>
      </c>
      <c r="I5988" t="n">
        <v>2.2</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41183-2026</t>
        </is>
      </c>
      <c r="B5989" t="inlineStr">
        <is>
          <t>avverkningsanmälan</t>
        </is>
      </c>
      <c r="C5989" t="inlineStr">
        <is>
          <t>Föryngringsavverkning</t>
        </is>
      </c>
      <c r="D5989" s="1" t="n">
        <v>46300</v>
      </c>
      <c r="E5989" s="1" t="n">
        <v>46319</v>
      </c>
      <c r="F5989" t="inlineStr">
        <is>
          <t>DALARNAS LÄN</t>
        </is>
      </c>
      <c r="G5989" t="inlineStr">
        <is>
          <t>VANSBRO</t>
        </is>
      </c>
      <c r="H5989" t="inlineStr">
        <is>
          <t>Bergvik skog väst AB</t>
        </is>
      </c>
      <c r="I5989" t="n">
        <v>2.7</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31297-2025</t>
        </is>
      </c>
      <c r="B5990" t="inlineStr">
        <is>
          <t>avverkningsanmälan</t>
        </is>
      </c>
      <c r="C5990" t="inlineStr">
        <is>
          <t>Föryngringsavverkning</t>
        </is>
      </c>
      <c r="D5990" s="1" t="n">
        <v>45833</v>
      </c>
      <c r="E5990" s="1" t="n">
        <v>46319</v>
      </c>
      <c r="F5990" t="inlineStr">
        <is>
          <t>DALARNAS LÄN</t>
        </is>
      </c>
      <c r="G5990" t="inlineStr">
        <is>
          <t>RÄTTVIK</t>
        </is>
      </c>
      <c r="I5990" t="n">
        <v>1.2</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31300-2025</t>
        </is>
      </c>
      <c r="B5991" t="inlineStr">
        <is>
          <t>avverkningsanmälan</t>
        </is>
      </c>
      <c r="C5991" t="inlineStr">
        <is>
          <t>Föryngringsavverkning</t>
        </is>
      </c>
      <c r="D5991" s="1" t="n">
        <v>45833</v>
      </c>
      <c r="E5991" s="1" t="n">
        <v>46319</v>
      </c>
      <c r="F5991" t="inlineStr">
        <is>
          <t>DALARNAS LÄN</t>
        </is>
      </c>
      <c r="G5991" t="inlineStr">
        <is>
          <t>RÄTTVIK</t>
        </is>
      </c>
      <c r="I5991" t="n">
        <v>1.3</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12041-2026</t>
        </is>
      </c>
      <c r="B5992" t="inlineStr">
        <is>
          <t>avverkningsanmälan</t>
        </is>
      </c>
      <c r="C5992" t="inlineStr">
        <is>
          <t>Föryngringsavverkning</t>
        </is>
      </c>
      <c r="D5992" s="1" t="n">
        <v>46086</v>
      </c>
      <c r="E5992" s="1" t="n">
        <v>46319</v>
      </c>
      <c r="F5992" t="inlineStr">
        <is>
          <t>DALARNAS LÄN</t>
        </is>
      </c>
      <c r="G5992" t="inlineStr">
        <is>
          <t>FALUN</t>
        </is>
      </c>
      <c r="I5992" t="n">
        <v>0.6</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5040-2026</t>
        </is>
      </c>
      <c r="B5993" t="inlineStr">
        <is>
          <t>avverkningsanmälan</t>
        </is>
      </c>
      <c r="C5993" t="inlineStr">
        <is>
          <t>Föryngringsavverkning</t>
        </is>
      </c>
      <c r="D5993" s="1" t="n">
        <v>46049</v>
      </c>
      <c r="E5993" s="1" t="n">
        <v>46319</v>
      </c>
      <c r="F5993" t="inlineStr">
        <is>
          <t>DALARNAS LÄN</t>
        </is>
      </c>
      <c r="G5993" t="inlineStr">
        <is>
          <t>LEKSAND</t>
        </is>
      </c>
      <c r="I5993" t="n">
        <v>1.7</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12049-2026</t>
        </is>
      </c>
      <c r="B5994" t="inlineStr">
        <is>
          <t>avverkningsanmälan</t>
        </is>
      </c>
      <c r="C5994" t="inlineStr">
        <is>
          <t>Föryngringsavverkning</t>
        </is>
      </c>
      <c r="D5994" s="1" t="n">
        <v>46086</v>
      </c>
      <c r="E5994" s="1" t="n">
        <v>46319</v>
      </c>
      <c r="F5994" t="inlineStr">
        <is>
          <t>DALARNAS LÄN</t>
        </is>
      </c>
      <c r="G5994" t="inlineStr">
        <is>
          <t>RÄTTVIK</t>
        </is>
      </c>
      <c r="I5994" t="n">
        <v>3.7</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31260-2025</t>
        </is>
      </c>
      <c r="B5995" t="inlineStr">
        <is>
          <t>avverkningsanmälan</t>
        </is>
      </c>
      <c r="C5995" t="inlineStr">
        <is>
          <t>Föryngringsavverkning</t>
        </is>
      </c>
      <c r="D5995" s="1" t="n">
        <v>45833</v>
      </c>
      <c r="E5995" s="1" t="n">
        <v>46319</v>
      </c>
      <c r="F5995" t="inlineStr">
        <is>
          <t>DALARNAS LÄN</t>
        </is>
      </c>
      <c r="G5995" t="inlineStr">
        <is>
          <t>RÄTTVIK</t>
        </is>
      </c>
      <c r="I5995" t="n">
        <v>1.4</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12195-2026</t>
        </is>
      </c>
      <c r="B5996" t="inlineStr">
        <is>
          <t>avverkningsanmälan</t>
        </is>
      </c>
      <c r="C5996" t="inlineStr">
        <is>
          <t>Föryngringsavverkning</t>
        </is>
      </c>
      <c r="D5996" s="1" t="n">
        <v>46086</v>
      </c>
      <c r="E5996" s="1" t="n">
        <v>46319</v>
      </c>
      <c r="F5996" t="inlineStr">
        <is>
          <t>DALARNAS LÄN</t>
        </is>
      </c>
      <c r="G5996" t="inlineStr">
        <is>
          <t>FALUN</t>
        </is>
      </c>
      <c r="I5996" t="n">
        <v>3.6</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31446-2025</t>
        </is>
      </c>
      <c r="B5997" t="inlineStr">
        <is>
          <t>avverkningsanmälan</t>
        </is>
      </c>
      <c r="C5997" t="inlineStr">
        <is>
          <t>Föryngringsavverkning</t>
        </is>
      </c>
      <c r="D5997" s="1" t="n">
        <v>45833</v>
      </c>
      <c r="E5997" s="1" t="n">
        <v>46319</v>
      </c>
      <c r="F5997" t="inlineStr">
        <is>
          <t>DALARNAS LÄN</t>
        </is>
      </c>
      <c r="G5997" t="inlineStr">
        <is>
          <t>LEKSAND</t>
        </is>
      </c>
      <c r="I5997" t="n">
        <v>1</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31273-2025</t>
        </is>
      </c>
      <c r="B5998" t="inlineStr">
        <is>
          <t>avverkningsanmälan</t>
        </is>
      </c>
      <c r="C5998" t="inlineStr">
        <is>
          <t>Föryngringsavverkning</t>
        </is>
      </c>
      <c r="D5998" s="1" t="n">
        <v>45833</v>
      </c>
      <c r="E5998" s="1" t="n">
        <v>46319</v>
      </c>
      <c r="F5998" t="inlineStr">
        <is>
          <t>DALARNAS LÄN</t>
        </is>
      </c>
      <c r="G5998" t="inlineStr">
        <is>
          <t>RÄTTVIK</t>
        </is>
      </c>
      <c r="I5998" t="n">
        <v>0.6</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8899-2026</t>
        </is>
      </c>
      <c r="B5999" t="inlineStr">
        <is>
          <t>avverkningsanmälan</t>
        </is>
      </c>
      <c r="C5999" t="inlineStr">
        <is>
          <t>Föryngringsavverkning</t>
        </is>
      </c>
      <c r="D5999" s="1" t="n">
        <v>46068</v>
      </c>
      <c r="E5999" s="1" t="n">
        <v>46319</v>
      </c>
      <c r="F5999" t="inlineStr">
        <is>
          <t>DALARNAS LÄN</t>
        </is>
      </c>
      <c r="G5999" t="inlineStr">
        <is>
          <t>RÄTTVIK</t>
        </is>
      </c>
      <c r="I5999" t="n">
        <v>1.2</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31489-2025</t>
        </is>
      </c>
      <c r="B6000" t="inlineStr">
        <is>
          <t>avverkningsanmälan</t>
        </is>
      </c>
      <c r="C6000" t="inlineStr">
        <is>
          <t>Föryngringsavverkning</t>
        </is>
      </c>
      <c r="D6000" s="1" t="n">
        <v>45833</v>
      </c>
      <c r="E6000" s="1" t="n">
        <v>46319</v>
      </c>
      <c r="F6000" t="inlineStr">
        <is>
          <t>DALARNAS LÄN</t>
        </is>
      </c>
      <c r="G6000" t="inlineStr">
        <is>
          <t>VANSBRO</t>
        </is>
      </c>
      <c r="I6000" t="n">
        <v>9.1</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31470-2025</t>
        </is>
      </c>
      <c r="B6001" t="inlineStr">
        <is>
          <t>avverkningsanmälan</t>
        </is>
      </c>
      <c r="C6001" t="inlineStr">
        <is>
          <t>Föryngringsavverkning</t>
        </is>
      </c>
      <c r="D6001" s="1" t="n">
        <v>45833</v>
      </c>
      <c r="E6001" s="1" t="n">
        <v>46319</v>
      </c>
      <c r="F6001" t="inlineStr">
        <is>
          <t>DALARNAS LÄN</t>
        </is>
      </c>
      <c r="G6001" t="inlineStr">
        <is>
          <t>SMEDJEBACKEN</t>
        </is>
      </c>
      <c r="I6001" t="n">
        <v>1.9</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32995-2026</t>
        </is>
      </c>
      <c r="B6002" t="inlineStr">
        <is>
          <t>avverkningsanmälan</t>
        </is>
      </c>
      <c r="C6002" t="inlineStr">
        <is>
          <t>Föryngringsavverkning</t>
        </is>
      </c>
      <c r="D6002" s="1" t="n">
        <v>46244</v>
      </c>
      <c r="E6002" s="1" t="n">
        <v>46319</v>
      </c>
      <c r="F6002" t="inlineStr">
        <is>
          <t>DALARNAS LÄN</t>
        </is>
      </c>
      <c r="G6002" t="inlineStr">
        <is>
          <t>ORSA</t>
        </is>
      </c>
      <c r="I6002" t="n">
        <v>0.8</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12245-2026</t>
        </is>
      </c>
      <c r="B6003" t="inlineStr">
        <is>
          <t>avverkningsanmälan</t>
        </is>
      </c>
      <c r="C6003" t="inlineStr">
        <is>
          <t>Föryngringsavverkning</t>
        </is>
      </c>
      <c r="D6003" s="1" t="n">
        <v>46087</v>
      </c>
      <c r="E6003" s="1" t="n">
        <v>46319</v>
      </c>
      <c r="F6003" t="inlineStr">
        <is>
          <t>DALARNAS LÄN</t>
        </is>
      </c>
      <c r="G6003" t="inlineStr">
        <is>
          <t>FALUN</t>
        </is>
      </c>
      <c r="I6003" t="n">
        <v>4</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31537-2025</t>
        </is>
      </c>
      <c r="B6004" t="inlineStr">
        <is>
          <t>avverkningsanmälan</t>
        </is>
      </c>
      <c r="C6004" t="inlineStr">
        <is>
          <t>Föryngringsavverkning</t>
        </is>
      </c>
      <c r="D6004" s="1" t="n">
        <v>45833</v>
      </c>
      <c r="E6004" s="1" t="n">
        <v>46319</v>
      </c>
      <c r="F6004" t="inlineStr">
        <is>
          <t>DALARNAS LÄN</t>
        </is>
      </c>
      <c r="G6004" t="inlineStr">
        <is>
          <t>MALUNG-SÄLEN</t>
        </is>
      </c>
      <c r="H6004" t="inlineStr">
        <is>
          <t>Allmännings- och besparingsskogar</t>
        </is>
      </c>
      <c r="I6004" t="n">
        <v>0.8</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30860-2024</t>
        </is>
      </c>
      <c r="B6005" t="inlineStr">
        <is>
          <t>avverkningsanmälan</t>
        </is>
      </c>
      <c r="C6005" t="inlineStr">
        <is>
          <t>Föryngringsavverkning</t>
        </is>
      </c>
      <c r="D6005" s="1" t="n">
        <v>45497</v>
      </c>
      <c r="E6005" s="1" t="n">
        <v>46319</v>
      </c>
      <c r="F6005" t="inlineStr">
        <is>
          <t>DALARNAS LÄN</t>
        </is>
      </c>
      <c r="G6005" t="inlineStr">
        <is>
          <t>LEKSAND</t>
        </is>
      </c>
      <c r="H6005" t="inlineStr">
        <is>
          <t>Bergvik skog väst AB</t>
        </is>
      </c>
      <c r="I6005" t="n">
        <v>0.7</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31473-2025</t>
        </is>
      </c>
      <c r="B6006" t="inlineStr">
        <is>
          <t>avverkningsanmälan</t>
        </is>
      </c>
      <c r="C6006" t="inlineStr">
        <is>
          <t>Föryngringsavverkning</t>
        </is>
      </c>
      <c r="D6006" s="1" t="n">
        <v>45833</v>
      </c>
      <c r="E6006" s="1" t="n">
        <v>46319</v>
      </c>
      <c r="F6006" t="inlineStr">
        <is>
          <t>DALARNAS LÄN</t>
        </is>
      </c>
      <c r="G6006" t="inlineStr">
        <is>
          <t>SMEDJEBACKEN</t>
        </is>
      </c>
      <c r="I6006" t="n">
        <v>1.4</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19514-2026</t>
        </is>
      </c>
      <c r="B6007" t="inlineStr">
        <is>
          <t>avverkningsanmälan</t>
        </is>
      </c>
      <c r="C6007" t="inlineStr">
        <is>
          <t>Föryngringsavverkning</t>
        </is>
      </c>
      <c r="D6007" s="1" t="n">
        <v>46134</v>
      </c>
      <c r="E6007" s="1" t="n">
        <v>46319</v>
      </c>
      <c r="F6007" t="inlineStr">
        <is>
          <t>DALARNAS LÄN</t>
        </is>
      </c>
      <c r="G6007" t="inlineStr">
        <is>
          <t>RÄTTVIK</t>
        </is>
      </c>
      <c r="H6007" t="inlineStr">
        <is>
          <t>Bergvik skog väst AB</t>
        </is>
      </c>
      <c r="I6007" t="n">
        <v>3.1</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31589-2025</t>
        </is>
      </c>
      <c r="B6008" t="inlineStr">
        <is>
          <t>avverkningsanmälan</t>
        </is>
      </c>
      <c r="C6008" t="inlineStr">
        <is>
          <t>Föryngringsavverkning</t>
        </is>
      </c>
      <c r="D6008" s="1" t="n">
        <v>45833</v>
      </c>
      <c r="E6008" s="1" t="n">
        <v>46319</v>
      </c>
      <c r="F6008" t="inlineStr">
        <is>
          <t>DALARNAS LÄN</t>
        </is>
      </c>
      <c r="G6008" t="inlineStr">
        <is>
          <t>BORLÄNGE</t>
        </is>
      </c>
      <c r="I6008" t="n">
        <v>0.9</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41015-2026</t>
        </is>
      </c>
      <c r="B6009" t="inlineStr">
        <is>
          <t>avverkningsanmälan</t>
        </is>
      </c>
      <c r="C6009" t="inlineStr">
        <is>
          <t>Föryngringsavverkning</t>
        </is>
      </c>
      <c r="D6009" s="1" t="n">
        <v>46297</v>
      </c>
      <c r="E6009" s="1" t="n">
        <v>46319</v>
      </c>
      <c r="F6009" t="inlineStr">
        <is>
          <t>DALARNAS LÄN</t>
        </is>
      </c>
      <c r="G6009" t="inlineStr">
        <is>
          <t>VANSBRO</t>
        </is>
      </c>
      <c r="H6009" t="inlineStr">
        <is>
          <t>Bergvik skog öst AB</t>
        </is>
      </c>
      <c r="I6009" t="n">
        <v>2</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12094-2026</t>
        </is>
      </c>
      <c r="B6010" t="inlineStr">
        <is>
          <t>avverkningsanmälan</t>
        </is>
      </c>
      <c r="C6010" t="inlineStr">
        <is>
          <t>Föryngringsavverkning</t>
        </is>
      </c>
      <c r="D6010" s="1" t="n">
        <v>46086</v>
      </c>
      <c r="E6010" s="1" t="n">
        <v>46319</v>
      </c>
      <c r="F6010" t="inlineStr">
        <is>
          <t>DALARNAS LÄN</t>
        </is>
      </c>
      <c r="G6010" t="inlineStr">
        <is>
          <t>FALUN</t>
        </is>
      </c>
      <c r="H6010" t="inlineStr">
        <is>
          <t>Bergvik skog väst AB</t>
        </is>
      </c>
      <c r="I6010" t="n">
        <v>1.3</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32916-2026</t>
        </is>
      </c>
      <c r="B6011" t="inlineStr">
        <is>
          <t>avverkningsanmälan</t>
        </is>
      </c>
      <c r="C6011" t="inlineStr">
        <is>
          <t>Föryngringsavverkning</t>
        </is>
      </c>
      <c r="D6011" s="1" t="n">
        <v>46244</v>
      </c>
      <c r="E6011" s="1" t="n">
        <v>46319</v>
      </c>
      <c r="F6011" t="inlineStr">
        <is>
          <t>DALARNAS LÄN</t>
        </is>
      </c>
      <c r="G6011" t="inlineStr">
        <is>
          <t>ORSA</t>
        </is>
      </c>
      <c r="H6011" t="inlineStr">
        <is>
          <t>Allmännings- och besparingsskogar</t>
        </is>
      </c>
      <c r="I6011" t="n">
        <v>1</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31310-2025</t>
        </is>
      </c>
      <c r="B6012" t="inlineStr">
        <is>
          <t>avverkningsanmälan</t>
        </is>
      </c>
      <c r="C6012" t="inlineStr">
        <is>
          <t>Föryngringsavverkning</t>
        </is>
      </c>
      <c r="D6012" s="1" t="n">
        <v>45833</v>
      </c>
      <c r="E6012" s="1" t="n">
        <v>46319</v>
      </c>
      <c r="F6012" t="inlineStr">
        <is>
          <t>DALARNAS LÄN</t>
        </is>
      </c>
      <c r="G6012" t="inlineStr">
        <is>
          <t>RÄTTVIK</t>
        </is>
      </c>
      <c r="I6012" t="n">
        <v>2</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31659-2025</t>
        </is>
      </c>
      <c r="B6013" t="inlineStr">
        <is>
          <t>avverkningsanmälan</t>
        </is>
      </c>
      <c r="C6013" t="inlineStr">
        <is>
          <t>Föryngringsavverkning</t>
        </is>
      </c>
      <c r="D6013" s="1" t="n">
        <v>45834</v>
      </c>
      <c r="E6013" s="1" t="n">
        <v>46319</v>
      </c>
      <c r="F6013" t="inlineStr">
        <is>
          <t>DALARNAS LÄN</t>
        </is>
      </c>
      <c r="G6013" t="inlineStr">
        <is>
          <t>ORSA</t>
        </is>
      </c>
      <c r="I6013" t="n">
        <v>1.4</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40909-2026</t>
        </is>
      </c>
      <c r="B6014" t="inlineStr">
        <is>
          <t>avverkningsanmälan</t>
        </is>
      </c>
      <c r="C6014" t="inlineStr">
        <is>
          <t>Föryngringsavverkning</t>
        </is>
      </c>
      <c r="D6014" s="1" t="n">
        <v>46297</v>
      </c>
      <c r="E6014" s="1" t="n">
        <v>46319</v>
      </c>
      <c r="F6014" t="inlineStr">
        <is>
          <t>DALARNAS LÄN</t>
        </is>
      </c>
      <c r="G6014" t="inlineStr">
        <is>
          <t>LEKSAND</t>
        </is>
      </c>
      <c r="I6014" t="n">
        <v>1.8</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40953-2026</t>
        </is>
      </c>
      <c r="B6015" t="inlineStr">
        <is>
          <t>avverkningsanmälan</t>
        </is>
      </c>
      <c r="C6015" t="inlineStr">
        <is>
          <t>Föryngringsavverkning</t>
        </is>
      </c>
      <c r="D6015" s="1" t="n">
        <v>46297</v>
      </c>
      <c r="E6015" s="1" t="n">
        <v>46319</v>
      </c>
      <c r="F6015" t="inlineStr">
        <is>
          <t>DALARNAS LÄN</t>
        </is>
      </c>
      <c r="G6015" t="inlineStr">
        <is>
          <t>SMEDJEBACKEN</t>
        </is>
      </c>
      <c r="H6015" t="inlineStr">
        <is>
          <t>Sveaskog</t>
        </is>
      </c>
      <c r="I6015" t="n">
        <v>2.1</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40976-2026</t>
        </is>
      </c>
      <c r="B6016" t="inlineStr">
        <is>
          <t>avverkningsanmälan</t>
        </is>
      </c>
      <c r="C6016" t="inlineStr">
        <is>
          <t>Föryngringsavverkning</t>
        </is>
      </c>
      <c r="D6016" s="1" t="n">
        <v>46297</v>
      </c>
      <c r="E6016" s="1" t="n">
        <v>46319</v>
      </c>
      <c r="F6016" t="inlineStr">
        <is>
          <t>DALARNAS LÄN</t>
        </is>
      </c>
      <c r="G6016" t="inlineStr">
        <is>
          <t>LEKSAND</t>
        </is>
      </c>
      <c r="I6016" t="n">
        <v>4.3</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34631-2026</t>
        </is>
      </c>
      <c r="B6017" t="inlineStr">
        <is>
          <t>avverkningsanmälan</t>
        </is>
      </c>
      <c r="C6017" t="inlineStr">
        <is>
          <t>Föryngringsavverkning</t>
        </is>
      </c>
      <c r="D6017" s="1" t="n">
        <v>46255</v>
      </c>
      <c r="E6017" s="1" t="n">
        <v>46319</v>
      </c>
      <c r="F6017" t="inlineStr">
        <is>
          <t>DALARNAS LÄN</t>
        </is>
      </c>
      <c r="G6017" t="inlineStr">
        <is>
          <t>LUDVIKA</t>
        </is>
      </c>
      <c r="H6017" t="inlineStr">
        <is>
          <t>Bergvik skog väst AB</t>
        </is>
      </c>
      <c r="I6017" t="n">
        <v>2.8</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12364-2026</t>
        </is>
      </c>
      <c r="B6018" t="inlineStr">
        <is>
          <t>avverkningsanmälan</t>
        </is>
      </c>
      <c r="C6018" t="inlineStr">
        <is>
          <t>Föryngringsavverkning</t>
        </is>
      </c>
      <c r="D6018" s="1" t="n">
        <v>46089</v>
      </c>
      <c r="E6018" s="1" t="n">
        <v>46319</v>
      </c>
      <c r="F6018" t="inlineStr">
        <is>
          <t>DALARNAS LÄN</t>
        </is>
      </c>
      <c r="G6018" t="inlineStr">
        <is>
          <t>BORLÄNGE</t>
        </is>
      </c>
      <c r="I6018" t="n">
        <v>0.5</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12689-2026</t>
        </is>
      </c>
      <c r="B6019" t="inlineStr">
        <is>
          <t>avverkningsanmälan</t>
        </is>
      </c>
      <c r="C6019" t="inlineStr">
        <is>
          <t>Föryngringsavverkning</t>
        </is>
      </c>
      <c r="D6019" s="1" t="n">
        <v>46090</v>
      </c>
      <c r="E6019" s="1" t="n">
        <v>46319</v>
      </c>
      <c r="F6019" t="inlineStr">
        <is>
          <t>DALARNAS LÄN</t>
        </is>
      </c>
      <c r="G6019" t="inlineStr">
        <is>
          <t>FALUN</t>
        </is>
      </c>
      <c r="H6019" t="inlineStr">
        <is>
          <t>Allmännings- och besparingsskogar</t>
        </is>
      </c>
      <c r="I6019" t="n">
        <v>122.4</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31286-2025</t>
        </is>
      </c>
      <c r="B6020" t="inlineStr">
        <is>
          <t>avverkningsanmälan</t>
        </is>
      </c>
      <c r="C6020" t="inlineStr">
        <is>
          <t>Föryngringsavverkning</t>
        </is>
      </c>
      <c r="D6020" s="1" t="n">
        <v>45833</v>
      </c>
      <c r="E6020" s="1" t="n">
        <v>46319</v>
      </c>
      <c r="F6020" t="inlineStr">
        <is>
          <t>DALARNAS LÄN</t>
        </is>
      </c>
      <c r="G6020" t="inlineStr">
        <is>
          <t>RÄTTVIK</t>
        </is>
      </c>
      <c r="I6020" t="n">
        <v>1</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12475-2026</t>
        </is>
      </c>
      <c r="B6021" t="inlineStr">
        <is>
          <t>avverkningsanmälan</t>
        </is>
      </c>
      <c r="C6021" t="inlineStr">
        <is>
          <t>Föryngringsavverkning</t>
        </is>
      </c>
      <c r="D6021" s="1" t="n">
        <v>46090</v>
      </c>
      <c r="E6021" s="1" t="n">
        <v>46319</v>
      </c>
      <c r="F6021" t="inlineStr">
        <is>
          <t>DALARNAS LÄN</t>
        </is>
      </c>
      <c r="G6021" t="inlineStr">
        <is>
          <t>VANSBRO</t>
        </is>
      </c>
      <c r="I6021" t="n">
        <v>0.9</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32019-2025</t>
        </is>
      </c>
      <c r="B6022" t="inlineStr">
        <is>
          <t>avverkningsanmälan</t>
        </is>
      </c>
      <c r="C6022" t="inlineStr">
        <is>
          <t>Föryngringsavverkning</t>
        </is>
      </c>
      <c r="D6022" s="1" t="n">
        <v>45835</v>
      </c>
      <c r="E6022" s="1" t="n">
        <v>46319</v>
      </c>
      <c r="F6022" t="inlineStr">
        <is>
          <t>DALARNAS LÄN</t>
        </is>
      </c>
      <c r="G6022" t="inlineStr">
        <is>
          <t>LUDVIKA</t>
        </is>
      </c>
      <c r="H6022" t="inlineStr">
        <is>
          <t>Bergvik skog väst AB</t>
        </is>
      </c>
      <c r="I6022" t="n">
        <v>0.5</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32040-2025</t>
        </is>
      </c>
      <c r="B6023" t="inlineStr">
        <is>
          <t>avverkningsanmälan</t>
        </is>
      </c>
      <c r="C6023" t="inlineStr">
        <is>
          <t>Föryngringsavverkning</t>
        </is>
      </c>
      <c r="D6023" s="1" t="n">
        <v>45835</v>
      </c>
      <c r="E6023" s="1" t="n">
        <v>46319</v>
      </c>
      <c r="F6023" t="inlineStr">
        <is>
          <t>DALARNAS LÄN</t>
        </is>
      </c>
      <c r="G6023" t="inlineStr">
        <is>
          <t>VANSBRO</t>
        </is>
      </c>
      <c r="I6023" t="n">
        <v>3.8</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31976-2025</t>
        </is>
      </c>
      <c r="B6024" t="inlineStr">
        <is>
          <t>avverkningsanmälan</t>
        </is>
      </c>
      <c r="C6024" t="inlineStr">
        <is>
          <t>Föryngringsavverkning</t>
        </is>
      </c>
      <c r="D6024" s="1" t="n">
        <v>45835</v>
      </c>
      <c r="E6024" s="1" t="n">
        <v>46319</v>
      </c>
      <c r="F6024" t="inlineStr">
        <is>
          <t>DALARNAS LÄN</t>
        </is>
      </c>
      <c r="G6024" t="inlineStr">
        <is>
          <t>RÄTTVIK</t>
        </is>
      </c>
      <c r="H6024" t="inlineStr">
        <is>
          <t>Sveaskog</t>
        </is>
      </c>
      <c r="I6024" t="n">
        <v>4.6</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11496-2025</t>
        </is>
      </c>
      <c r="B6025" t="inlineStr">
        <is>
          <t>avverkningsanmälan</t>
        </is>
      </c>
      <c r="C6025" t="inlineStr">
        <is>
          <t>Föryngringsavverkning</t>
        </is>
      </c>
      <c r="D6025" s="1" t="n">
        <v>45726</v>
      </c>
      <c r="E6025" s="1" t="n">
        <v>46319</v>
      </c>
      <c r="F6025" t="inlineStr">
        <is>
          <t>DALARNAS LÄN</t>
        </is>
      </c>
      <c r="G6025" t="inlineStr">
        <is>
          <t>MALUNG-SÄLEN</t>
        </is>
      </c>
      <c r="I6025" t="n">
        <v>1.5</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34550-2026</t>
        </is>
      </c>
      <c r="B6026" t="inlineStr">
        <is>
          <t>avverkningsanmälan</t>
        </is>
      </c>
      <c r="C6026" t="inlineStr">
        <is>
          <t>Föryngringsavverkning</t>
        </is>
      </c>
      <c r="D6026" s="1" t="n">
        <v>46255</v>
      </c>
      <c r="E6026" s="1" t="n">
        <v>46319</v>
      </c>
      <c r="F6026" t="inlineStr">
        <is>
          <t>DALARNAS LÄN</t>
        </is>
      </c>
      <c r="G6026" t="inlineStr">
        <is>
          <t>LUDVIKA</t>
        </is>
      </c>
      <c r="H6026" t="inlineStr">
        <is>
          <t>Bergvik skog väst AB</t>
        </is>
      </c>
      <c r="I6026" t="n">
        <v>1.6</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12592-2026</t>
        </is>
      </c>
      <c r="B6027" t="inlineStr">
        <is>
          <t>avverkningsanmälan</t>
        </is>
      </c>
      <c r="C6027" t="inlineStr">
        <is>
          <t>Föryngringsavverkning</t>
        </is>
      </c>
      <c r="D6027" s="1" t="n">
        <v>46090</v>
      </c>
      <c r="E6027" s="1" t="n">
        <v>46319</v>
      </c>
      <c r="F6027" t="inlineStr">
        <is>
          <t>DALARNAS LÄN</t>
        </is>
      </c>
      <c r="G6027" t="inlineStr">
        <is>
          <t>RÄTTVIK</t>
        </is>
      </c>
      <c r="I6027" t="n">
        <v>1.3</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41258-2026</t>
        </is>
      </c>
      <c r="B6028" t="inlineStr">
        <is>
          <t>avverkningsanmälan</t>
        </is>
      </c>
      <c r="C6028" t="inlineStr">
        <is>
          <t>Föryngringsavverkning</t>
        </is>
      </c>
      <c r="D6028" s="1" t="n">
        <v>46300</v>
      </c>
      <c r="E6028" s="1" t="n">
        <v>46319</v>
      </c>
      <c r="F6028" t="inlineStr">
        <is>
          <t>DALARNAS LÄN</t>
        </is>
      </c>
      <c r="G6028" t="inlineStr">
        <is>
          <t>RÄTTVIK</t>
        </is>
      </c>
      <c r="I6028" t="n">
        <v>0.7</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12504-2026</t>
        </is>
      </c>
      <c r="B6029" t="inlineStr">
        <is>
          <t>avverkningsanmälan</t>
        </is>
      </c>
      <c r="C6029" t="inlineStr">
        <is>
          <t>Föryngringsavverkning</t>
        </is>
      </c>
      <c r="D6029" s="1" t="n">
        <v>46090</v>
      </c>
      <c r="E6029" s="1" t="n">
        <v>46319</v>
      </c>
      <c r="F6029" t="inlineStr">
        <is>
          <t>DALARNAS LÄN</t>
        </is>
      </c>
      <c r="G6029" t="inlineStr">
        <is>
          <t>FALUN</t>
        </is>
      </c>
      <c r="I6029" t="n">
        <v>3.6</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12591-2026</t>
        </is>
      </c>
      <c r="B6030" t="inlineStr">
        <is>
          <t>avverkningsanmälan</t>
        </is>
      </c>
      <c r="C6030" t="inlineStr">
        <is>
          <t>Föryngringsavverkning</t>
        </is>
      </c>
      <c r="D6030" s="1" t="n">
        <v>46090</v>
      </c>
      <c r="E6030" s="1" t="n">
        <v>46319</v>
      </c>
      <c r="F6030" t="inlineStr">
        <is>
          <t>DALARNAS LÄN</t>
        </is>
      </c>
      <c r="G6030" t="inlineStr">
        <is>
          <t>RÄTTVIK</t>
        </is>
      </c>
      <c r="I6030" t="n">
        <v>2.3</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12542-2026</t>
        </is>
      </c>
      <c r="B6031" t="inlineStr">
        <is>
          <t>avverkningsanmälan</t>
        </is>
      </c>
      <c r="C6031" t="inlineStr">
        <is>
          <t>Föryngringsavverkning</t>
        </is>
      </c>
      <c r="D6031" s="1" t="n">
        <v>46090</v>
      </c>
      <c r="E6031" s="1" t="n">
        <v>46319</v>
      </c>
      <c r="F6031" t="inlineStr">
        <is>
          <t>DALARNAS LÄN</t>
        </is>
      </c>
      <c r="G6031" t="inlineStr">
        <is>
          <t>FALUN</t>
        </is>
      </c>
      <c r="I6031" t="n">
        <v>5.8</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43258-2025</t>
        </is>
      </c>
      <c r="B6032" t="inlineStr">
        <is>
          <t>avverkningsanmälan</t>
        </is>
      </c>
      <c r="C6032" t="inlineStr">
        <is>
          <t>Föryngringsavverkning</t>
        </is>
      </c>
      <c r="D6032" s="1" t="n">
        <v>45910</v>
      </c>
      <c r="E6032" s="1" t="n">
        <v>46319</v>
      </c>
      <c r="F6032" t="inlineStr">
        <is>
          <t>DALARNAS LÄN</t>
        </is>
      </c>
      <c r="G6032" t="inlineStr">
        <is>
          <t>RÄTTVIK</t>
        </is>
      </c>
      <c r="H6032" t="inlineStr">
        <is>
          <t>Bergvik skog väst AB</t>
        </is>
      </c>
      <c r="I6032" t="n">
        <v>5.8</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59114-2025</t>
        </is>
      </c>
      <c r="B6033" t="inlineStr">
        <is>
          <t>avverkningsanmälan</t>
        </is>
      </c>
      <c r="C6033" t="inlineStr">
        <is>
          <t>Föryngringsavverkning</t>
        </is>
      </c>
      <c r="D6033" s="1" t="n">
        <v>45988</v>
      </c>
      <c r="E6033" s="1" t="n">
        <v>46319</v>
      </c>
      <c r="F6033" t="inlineStr">
        <is>
          <t>DALARNAS LÄN</t>
        </is>
      </c>
      <c r="G6033" t="inlineStr">
        <is>
          <t>ORSA</t>
        </is>
      </c>
      <c r="I6033" t="n">
        <v>1.3</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32117-2025</t>
        </is>
      </c>
      <c r="B6034" t="inlineStr">
        <is>
          <t>avverkningsanmälan</t>
        </is>
      </c>
      <c r="C6034" t="inlineStr">
        <is>
          <t>Föryngringsavverkning</t>
        </is>
      </c>
      <c r="D6034" s="1" t="n">
        <v>45835</v>
      </c>
      <c r="E6034" s="1" t="n">
        <v>46319</v>
      </c>
      <c r="F6034" t="inlineStr">
        <is>
          <t>DALARNAS LÄN</t>
        </is>
      </c>
      <c r="G6034" t="inlineStr">
        <is>
          <t>MALUNG-SÄLEN</t>
        </is>
      </c>
      <c r="I6034" t="n">
        <v>34.5</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40884-2026</t>
        </is>
      </c>
      <c r="B6035" t="inlineStr">
        <is>
          <t>avverkningsanmälan</t>
        </is>
      </c>
      <c r="C6035" t="inlineStr">
        <is>
          <t>Föryngringsavverkning</t>
        </is>
      </c>
      <c r="D6035" s="1" t="n">
        <v>46297</v>
      </c>
      <c r="E6035" s="1" t="n">
        <v>46319</v>
      </c>
      <c r="F6035" t="inlineStr">
        <is>
          <t>DALARNAS LÄN</t>
        </is>
      </c>
      <c r="G6035" t="inlineStr">
        <is>
          <t>RÄTTVIK</t>
        </is>
      </c>
      <c r="H6035" t="inlineStr">
        <is>
          <t>Sveaskog</t>
        </is>
      </c>
      <c r="I6035" t="n">
        <v>4.3</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12664-2026</t>
        </is>
      </c>
      <c r="B6036" t="inlineStr">
        <is>
          <t>avverkningsanmälan</t>
        </is>
      </c>
      <c r="C6036" t="inlineStr">
        <is>
          <t>Föryngringsavverkning</t>
        </is>
      </c>
      <c r="D6036" s="1" t="n">
        <v>46091</v>
      </c>
      <c r="E6036" s="1" t="n">
        <v>46319</v>
      </c>
      <c r="F6036" t="inlineStr">
        <is>
          <t>DALARNAS LÄN</t>
        </is>
      </c>
      <c r="G6036" t="inlineStr">
        <is>
          <t>MORA</t>
        </is>
      </c>
      <c r="I6036" t="n">
        <v>0.8</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39660-2025</t>
        </is>
      </c>
      <c r="B6037" t="inlineStr">
        <is>
          <t>avverkningsanmälan</t>
        </is>
      </c>
      <c r="C6037" t="inlineStr">
        <is>
          <t>Föryngringsavverkning</t>
        </is>
      </c>
      <c r="D6037" s="1" t="n">
        <v>45890</v>
      </c>
      <c r="E6037" s="1" t="n">
        <v>46319</v>
      </c>
      <c r="F6037" t="inlineStr">
        <is>
          <t>DALARNAS LÄN</t>
        </is>
      </c>
      <c r="G6037" t="inlineStr">
        <is>
          <t>LEKSAND</t>
        </is>
      </c>
      <c r="H6037" t="inlineStr">
        <is>
          <t>Bergvik skog väst AB</t>
        </is>
      </c>
      <c r="I6037" t="n">
        <v>5.8</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32570-2025</t>
        </is>
      </c>
      <c r="B6038" t="inlineStr">
        <is>
          <t>avverkningsanmälan</t>
        </is>
      </c>
      <c r="C6038" t="inlineStr">
        <is>
          <t>Föryngringsavverkning</t>
        </is>
      </c>
      <c r="D6038" s="1" t="n">
        <v>45838</v>
      </c>
      <c r="E6038" s="1" t="n">
        <v>46319</v>
      </c>
      <c r="F6038" t="inlineStr">
        <is>
          <t>DALARNAS LÄN</t>
        </is>
      </c>
      <c r="G6038" t="inlineStr">
        <is>
          <t>MALUNG-SÄLEN</t>
        </is>
      </c>
      <c r="I6038" t="n">
        <v>5.6</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55034-2024</t>
        </is>
      </c>
      <c r="B6039" t="inlineStr">
        <is>
          <t>avverkningsanmälan</t>
        </is>
      </c>
      <c r="C6039" t="inlineStr">
        <is>
          <t>Föryngringsavverkning</t>
        </is>
      </c>
      <c r="D6039" s="1" t="n">
        <v>45621</v>
      </c>
      <c r="E6039" s="1" t="n">
        <v>46319</v>
      </c>
      <c r="F6039" t="inlineStr">
        <is>
          <t>DALARNAS LÄN</t>
        </is>
      </c>
      <c r="G6039" t="inlineStr">
        <is>
          <t>LUDVIKA</t>
        </is>
      </c>
      <c r="H6039" t="inlineStr">
        <is>
          <t>Naturvårdsverket</t>
        </is>
      </c>
      <c r="I6039" t="n">
        <v>6.6</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32325-2025</t>
        </is>
      </c>
      <c r="B6040" t="inlineStr">
        <is>
          <t>avverkningsanmälan</t>
        </is>
      </c>
      <c r="C6040" t="inlineStr">
        <is>
          <t>Föryngringsavverkning</t>
        </is>
      </c>
      <c r="D6040" s="1" t="n">
        <v>45836</v>
      </c>
      <c r="E6040" s="1" t="n">
        <v>46319</v>
      </c>
      <c r="F6040" t="inlineStr">
        <is>
          <t>DALARNAS LÄN</t>
        </is>
      </c>
      <c r="G6040" t="inlineStr">
        <is>
          <t>ORSA</t>
        </is>
      </c>
      <c r="I6040" t="n">
        <v>3.8</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12678-2026</t>
        </is>
      </c>
      <c r="B6041" t="inlineStr">
        <is>
          <t>avverkningsanmälan</t>
        </is>
      </c>
      <c r="C6041" t="inlineStr">
        <is>
          <t>Föryngringsavverkning</t>
        </is>
      </c>
      <c r="D6041" s="1" t="n">
        <v>46091</v>
      </c>
      <c r="E6041" s="1" t="n">
        <v>46319</v>
      </c>
      <c r="F6041" t="inlineStr">
        <is>
          <t>DALARNAS LÄN</t>
        </is>
      </c>
      <c r="G6041" t="inlineStr">
        <is>
          <t>ORSA</t>
        </is>
      </c>
      <c r="H6041" t="inlineStr">
        <is>
          <t>Allmännings- och besparingsskogar</t>
        </is>
      </c>
      <c r="I6041" t="n">
        <v>0.6</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12404-2026</t>
        </is>
      </c>
      <c r="B6042" t="inlineStr">
        <is>
          <t>avverkningsanmälan</t>
        </is>
      </c>
      <c r="C6042" t="inlineStr">
        <is>
          <t>Föryngringsavverkning</t>
        </is>
      </c>
      <c r="D6042" s="1" t="n">
        <v>46090</v>
      </c>
      <c r="E6042" s="1" t="n">
        <v>46319</v>
      </c>
      <c r="F6042" t="inlineStr">
        <is>
          <t>DALARNAS LÄN</t>
        </is>
      </c>
      <c r="G6042" t="inlineStr">
        <is>
          <t>ORSA</t>
        </is>
      </c>
      <c r="I6042" t="n">
        <v>1.3</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34324-2026</t>
        </is>
      </c>
      <c r="B6043" t="inlineStr">
        <is>
          <t>avverkningsanmälan</t>
        </is>
      </c>
      <c r="C6043" t="inlineStr">
        <is>
          <t>Föryngringsavverkning</t>
        </is>
      </c>
      <c r="D6043" s="1" t="n">
        <v>46254</v>
      </c>
      <c r="E6043" s="1" t="n">
        <v>46319</v>
      </c>
      <c r="F6043" t="inlineStr">
        <is>
          <t>DALARNAS LÄN</t>
        </is>
      </c>
      <c r="G6043" t="inlineStr">
        <is>
          <t>FALUN</t>
        </is>
      </c>
      <c r="H6043" t="inlineStr">
        <is>
          <t>Bergvik skog väst AB</t>
        </is>
      </c>
      <c r="I6043" t="n">
        <v>32.9</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12604-2026</t>
        </is>
      </c>
      <c r="B6044" t="inlineStr">
        <is>
          <t>avverkningsanmälan</t>
        </is>
      </c>
      <c r="C6044" t="inlineStr">
        <is>
          <t>Föryngringsavverkning</t>
        </is>
      </c>
      <c r="D6044" s="1" t="n">
        <v>46090</v>
      </c>
      <c r="E6044" s="1" t="n">
        <v>46319</v>
      </c>
      <c r="F6044" t="inlineStr">
        <is>
          <t>DALARNAS LÄN</t>
        </is>
      </c>
      <c r="G6044" t="inlineStr">
        <is>
          <t>HEDEMORA</t>
        </is>
      </c>
      <c r="I6044" t="n">
        <v>1</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41176-2026</t>
        </is>
      </c>
      <c r="B6045" t="inlineStr">
        <is>
          <t>avverkningsanmälan</t>
        </is>
      </c>
      <c r="C6045" t="inlineStr">
        <is>
          <t>Föryngringsavverkning</t>
        </is>
      </c>
      <c r="D6045" s="1" t="n">
        <v>46300</v>
      </c>
      <c r="E6045" s="1" t="n">
        <v>46319</v>
      </c>
      <c r="F6045" t="inlineStr">
        <is>
          <t>DALARNAS LÄN</t>
        </is>
      </c>
      <c r="G6045" t="inlineStr">
        <is>
          <t>VANSBRO</t>
        </is>
      </c>
      <c r="H6045" t="inlineStr">
        <is>
          <t>Bergvik skog väst AB</t>
        </is>
      </c>
      <c r="I6045" t="n">
        <v>19.7</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41184-2026</t>
        </is>
      </c>
      <c r="B6046" t="inlineStr">
        <is>
          <t>avverkningsanmälan</t>
        </is>
      </c>
      <c r="C6046" t="inlineStr">
        <is>
          <t>Föryngringsavverkning</t>
        </is>
      </c>
      <c r="D6046" s="1" t="n">
        <v>46300</v>
      </c>
      <c r="E6046" s="1" t="n">
        <v>46319</v>
      </c>
      <c r="F6046" t="inlineStr">
        <is>
          <t>DALARNAS LÄN</t>
        </is>
      </c>
      <c r="G6046" t="inlineStr">
        <is>
          <t>HEDEMORA</t>
        </is>
      </c>
      <c r="I6046" t="n">
        <v>2.1</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12441-2026</t>
        </is>
      </c>
      <c r="B6047" t="inlineStr">
        <is>
          <t>avverkningsanmälan</t>
        </is>
      </c>
      <c r="C6047" t="inlineStr">
        <is>
          <t>Föryngringsavverkning</t>
        </is>
      </c>
      <c r="D6047" s="1" t="n">
        <v>46090</v>
      </c>
      <c r="E6047" s="1" t="n">
        <v>46319</v>
      </c>
      <c r="F6047" t="inlineStr">
        <is>
          <t>DALARNAS LÄN</t>
        </is>
      </c>
      <c r="G6047" t="inlineStr">
        <is>
          <t>SMEDJEBACKEN</t>
        </is>
      </c>
      <c r="I6047" t="n">
        <v>5.4</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12695-2026</t>
        </is>
      </c>
      <c r="B6048" t="inlineStr">
        <is>
          <t>avverkningsanmälan</t>
        </is>
      </c>
      <c r="C6048" t="inlineStr">
        <is>
          <t>Föryngringsavverkning</t>
        </is>
      </c>
      <c r="D6048" s="1" t="n">
        <v>46090</v>
      </c>
      <c r="E6048" s="1" t="n">
        <v>46319</v>
      </c>
      <c r="F6048" t="inlineStr">
        <is>
          <t>DALARNAS LÄN</t>
        </is>
      </c>
      <c r="G6048" t="inlineStr">
        <is>
          <t>FALUN</t>
        </is>
      </c>
      <c r="H6048" t="inlineStr">
        <is>
          <t>Allmännings- och besparingsskogar</t>
        </is>
      </c>
      <c r="I6048" t="n">
        <v>9.4</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32301-2025</t>
        </is>
      </c>
      <c r="B6049" t="inlineStr">
        <is>
          <t>avverkningsanmälan</t>
        </is>
      </c>
      <c r="C6049" t="inlineStr">
        <is>
          <t>Föryngringsavverkning</t>
        </is>
      </c>
      <c r="D6049" s="1" t="n">
        <v>45835</v>
      </c>
      <c r="E6049" s="1" t="n">
        <v>46319</v>
      </c>
      <c r="F6049" t="inlineStr">
        <is>
          <t>DALARNAS LÄN</t>
        </is>
      </c>
      <c r="G6049" t="inlineStr">
        <is>
          <t>LEKSAND</t>
        </is>
      </c>
      <c r="I6049" t="n">
        <v>2.2</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34327-2026</t>
        </is>
      </c>
      <c r="B6050" t="inlineStr">
        <is>
          <t>avverkningsanmälan</t>
        </is>
      </c>
      <c r="C6050" t="inlineStr">
        <is>
          <t>Föryngringsavverkning</t>
        </is>
      </c>
      <c r="D6050" s="1" t="n">
        <v>46254</v>
      </c>
      <c r="E6050" s="1" t="n">
        <v>46319</v>
      </c>
      <c r="F6050" t="inlineStr">
        <is>
          <t>DALARNAS LÄN</t>
        </is>
      </c>
      <c r="G6050" t="inlineStr">
        <is>
          <t>FALUN</t>
        </is>
      </c>
      <c r="H6050" t="inlineStr">
        <is>
          <t>Bergvik skog väst AB</t>
        </is>
      </c>
      <c r="I6050" t="n">
        <v>0.4</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32420-2025</t>
        </is>
      </c>
      <c r="B6051" t="inlineStr">
        <is>
          <t>avverkningsanmälan</t>
        </is>
      </c>
      <c r="C6051" t="inlineStr">
        <is>
          <t>Föryngringsavverkning</t>
        </is>
      </c>
      <c r="D6051" s="1" t="n">
        <v>45838</v>
      </c>
      <c r="E6051" s="1" t="n">
        <v>46319</v>
      </c>
      <c r="F6051" t="inlineStr">
        <is>
          <t>DALARNAS LÄN</t>
        </is>
      </c>
      <c r="G6051" t="inlineStr">
        <is>
          <t>MALUNG-SÄLEN</t>
        </is>
      </c>
      <c r="H6051" t="inlineStr">
        <is>
          <t>Bergvik skog öst AB</t>
        </is>
      </c>
      <c r="I6051" t="n">
        <v>4.3</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41094-2026</t>
        </is>
      </c>
      <c r="B6052" t="inlineStr">
        <is>
          <t>avverkningsanmälan</t>
        </is>
      </c>
      <c r="C6052" t="inlineStr">
        <is>
          <t>Föryngringsavverkning</t>
        </is>
      </c>
      <c r="D6052" s="1" t="n">
        <v>46300</v>
      </c>
      <c r="E6052" s="1" t="n">
        <v>46319</v>
      </c>
      <c r="F6052" t="inlineStr">
        <is>
          <t>DALARNAS LÄN</t>
        </is>
      </c>
      <c r="G6052" t="inlineStr">
        <is>
          <t>RÄTTVIK</t>
        </is>
      </c>
      <c r="I6052" t="n">
        <v>2.1</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12447-2026</t>
        </is>
      </c>
      <c r="B6053" t="inlineStr">
        <is>
          <t>avverkningsanmälan</t>
        </is>
      </c>
      <c r="C6053" t="inlineStr">
        <is>
          <t>Föryngringsavverkning</t>
        </is>
      </c>
      <c r="D6053" s="1" t="n">
        <v>46090</v>
      </c>
      <c r="E6053" s="1" t="n">
        <v>46319</v>
      </c>
      <c r="F6053" t="inlineStr">
        <is>
          <t>DALARNAS LÄN</t>
        </is>
      </c>
      <c r="G6053" t="inlineStr">
        <is>
          <t>SMEDJEBACKEN</t>
        </is>
      </c>
      <c r="I6053" t="n">
        <v>21</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12501-2026</t>
        </is>
      </c>
      <c r="B6054" t="inlineStr">
        <is>
          <t>avverkningsanmälan</t>
        </is>
      </c>
      <c r="C6054" t="inlineStr">
        <is>
          <t>Föryngringsavverkning</t>
        </is>
      </c>
      <c r="D6054" s="1" t="n">
        <v>46090</v>
      </c>
      <c r="E6054" s="1" t="n">
        <v>46319</v>
      </c>
      <c r="F6054" t="inlineStr">
        <is>
          <t>DALARNAS LÄN</t>
        </is>
      </c>
      <c r="G6054" t="inlineStr">
        <is>
          <t>FALUN</t>
        </is>
      </c>
      <c r="I6054" t="n">
        <v>1.7</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12507-2026</t>
        </is>
      </c>
      <c r="B6055" t="inlineStr">
        <is>
          <t>avverkningsanmälan</t>
        </is>
      </c>
      <c r="C6055" t="inlineStr">
        <is>
          <t>Föryngringsavverkning</t>
        </is>
      </c>
      <c r="D6055" s="1" t="n">
        <v>46090</v>
      </c>
      <c r="E6055" s="1" t="n">
        <v>46319</v>
      </c>
      <c r="F6055" t="inlineStr">
        <is>
          <t>DALARNAS LÄN</t>
        </is>
      </c>
      <c r="G6055" t="inlineStr">
        <is>
          <t>FALUN</t>
        </is>
      </c>
      <c r="I6055" t="n">
        <v>1.2</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12527-2026</t>
        </is>
      </c>
      <c r="B6056" t="inlineStr">
        <is>
          <t>avverkningsanmälan</t>
        </is>
      </c>
      <c r="C6056" t="inlineStr">
        <is>
          <t>Föryngringsavverkning</t>
        </is>
      </c>
      <c r="D6056" s="1" t="n">
        <v>46090</v>
      </c>
      <c r="E6056" s="1" t="n">
        <v>46319</v>
      </c>
      <c r="F6056" t="inlineStr">
        <is>
          <t>DALARNAS LÄN</t>
        </is>
      </c>
      <c r="G6056" t="inlineStr">
        <is>
          <t>MORA</t>
        </is>
      </c>
      <c r="I6056" t="n">
        <v>17.5</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5017-2026</t>
        </is>
      </c>
      <c r="B6057" t="inlineStr">
        <is>
          <t>avverkningsanmälan</t>
        </is>
      </c>
      <c r="C6057" t="inlineStr">
        <is>
          <t>Föryngringsavverkning</t>
        </is>
      </c>
      <c r="D6057" s="1" t="n">
        <v>46049</v>
      </c>
      <c r="E6057" s="1" t="n">
        <v>46319</v>
      </c>
      <c r="F6057" t="inlineStr">
        <is>
          <t>DALARNAS LÄN</t>
        </is>
      </c>
      <c r="G6057" t="inlineStr">
        <is>
          <t>FALUN</t>
        </is>
      </c>
      <c r="I6057" t="n">
        <v>6.8</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12610-2026</t>
        </is>
      </c>
      <c r="B6058" t="inlineStr">
        <is>
          <t>avverkningsanmälan</t>
        </is>
      </c>
      <c r="C6058" t="inlineStr">
        <is>
          <t>Föryngringsavverkning</t>
        </is>
      </c>
      <c r="D6058" s="1" t="n">
        <v>46091</v>
      </c>
      <c r="E6058" s="1" t="n">
        <v>46319</v>
      </c>
      <c r="F6058" t="inlineStr">
        <is>
          <t>DALARNAS LÄN</t>
        </is>
      </c>
      <c r="G6058" t="inlineStr">
        <is>
          <t>MORA</t>
        </is>
      </c>
      <c r="I6058" t="n">
        <v>8.1</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34374-2026</t>
        </is>
      </c>
      <c r="B6059" t="inlineStr">
        <is>
          <t>avverkningsanmälan</t>
        </is>
      </c>
      <c r="C6059" t="inlineStr">
        <is>
          <t>Föryngringsavverkning</t>
        </is>
      </c>
      <c r="D6059" s="1" t="n">
        <v>46254</v>
      </c>
      <c r="E6059" s="1" t="n">
        <v>46319</v>
      </c>
      <c r="F6059" t="inlineStr">
        <is>
          <t>DALARNAS LÄN</t>
        </is>
      </c>
      <c r="G6059" t="inlineStr">
        <is>
          <t>VANSBRO</t>
        </is>
      </c>
      <c r="H6059" t="inlineStr">
        <is>
          <t>Bergvik skog väst AB</t>
        </is>
      </c>
      <c r="I6059" t="n">
        <v>2.5</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12483-2026</t>
        </is>
      </c>
      <c r="B6060" t="inlineStr">
        <is>
          <t>avverkningsanmälan</t>
        </is>
      </c>
      <c r="C6060" t="inlineStr">
        <is>
          <t>Föryngringsavverkning</t>
        </is>
      </c>
      <c r="D6060" s="1" t="n">
        <v>46090</v>
      </c>
      <c r="E6060" s="1" t="n">
        <v>46319</v>
      </c>
      <c r="F6060" t="inlineStr">
        <is>
          <t>DALARNAS LÄN</t>
        </is>
      </c>
      <c r="G6060" t="inlineStr">
        <is>
          <t>FALUN</t>
        </is>
      </c>
      <c r="H6060" t="inlineStr">
        <is>
          <t>Bergvik skog väst AB</t>
        </is>
      </c>
      <c r="I6060" t="n">
        <v>38.7</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34357-2026</t>
        </is>
      </c>
      <c r="B6061" t="inlineStr">
        <is>
          <t>avverkningsanmälan</t>
        </is>
      </c>
      <c r="C6061" t="inlineStr">
        <is>
          <t>Föryngringsavverkning</t>
        </is>
      </c>
      <c r="D6061" s="1" t="n">
        <v>46254</v>
      </c>
      <c r="E6061" s="1" t="n">
        <v>46319</v>
      </c>
      <c r="F6061" t="inlineStr">
        <is>
          <t>DALARNAS LÄN</t>
        </is>
      </c>
      <c r="G6061" t="inlineStr">
        <is>
          <t>SÄTER</t>
        </is>
      </c>
      <c r="I6061" t="n">
        <v>0.7</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17913-2026</t>
        </is>
      </c>
      <c r="B6062" t="inlineStr">
        <is>
          <t>avverkningsanmälan</t>
        </is>
      </c>
      <c r="C6062" t="inlineStr">
        <is>
          <t>Föryngringsavverkning</t>
        </is>
      </c>
      <c r="D6062" s="1" t="n">
        <v>46122</v>
      </c>
      <c r="E6062" s="1" t="n">
        <v>46319</v>
      </c>
      <c r="F6062" t="inlineStr">
        <is>
          <t>DALARNAS LÄN</t>
        </is>
      </c>
      <c r="G6062" t="inlineStr">
        <is>
          <t>LUDVIKA</t>
        </is>
      </c>
      <c r="H6062" t="inlineStr">
        <is>
          <t>Bergvik skog väst AB</t>
        </is>
      </c>
      <c r="I6062" t="n">
        <v>4.1</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22803-2026</t>
        </is>
      </c>
      <c r="B6063" t="inlineStr">
        <is>
          <t>avverkningsanmälan</t>
        </is>
      </c>
      <c r="C6063" t="inlineStr">
        <is>
          <t>Föryngringsavverkning</t>
        </is>
      </c>
      <c r="D6063" s="1" t="n">
        <v>46159</v>
      </c>
      <c r="E6063" s="1" t="n">
        <v>46319</v>
      </c>
      <c r="F6063" t="inlineStr">
        <is>
          <t>DALARNAS LÄN</t>
        </is>
      </c>
      <c r="G6063" t="inlineStr">
        <is>
          <t>RÄTTVIK</t>
        </is>
      </c>
      <c r="H6063" t="inlineStr">
        <is>
          <t>Bergvik skog väst AB</t>
        </is>
      </c>
      <c r="I6063" t="n">
        <v>4.6</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12775-2026</t>
        </is>
      </c>
      <c r="B6064" t="inlineStr">
        <is>
          <t>avverkningsanmälan</t>
        </is>
      </c>
      <c r="C6064" t="inlineStr">
        <is>
          <t>Avverkning för att bevara och utveckla /försöksver</t>
        </is>
      </c>
      <c r="D6064" s="1" t="n">
        <v>46091</v>
      </c>
      <c r="E6064" s="1" t="n">
        <v>46319</v>
      </c>
      <c r="F6064" t="inlineStr">
        <is>
          <t>DALARNAS LÄN</t>
        </is>
      </c>
      <c r="G6064" t="inlineStr">
        <is>
          <t>FALUN</t>
        </is>
      </c>
      <c r="I6064" t="n">
        <v>3.5</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47669-2025</t>
        </is>
      </c>
      <c r="B6065" t="inlineStr">
        <is>
          <t>avverkningsanmälan</t>
        </is>
      </c>
      <c r="C6065" t="inlineStr">
        <is>
          <t>Föryngringsavverkning</t>
        </is>
      </c>
      <c r="D6065" s="1" t="n">
        <v>45931</v>
      </c>
      <c r="E6065" s="1" t="n">
        <v>46319</v>
      </c>
      <c r="F6065" t="inlineStr">
        <is>
          <t>DALARNAS LÄN</t>
        </is>
      </c>
      <c r="G6065" t="inlineStr">
        <is>
          <t>GAGNEF</t>
        </is>
      </c>
      <c r="I6065" t="n">
        <v>1.1</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40996-2026</t>
        </is>
      </c>
      <c r="B6066" t="inlineStr">
        <is>
          <t>avverkningsanmälan</t>
        </is>
      </c>
      <c r="C6066" t="inlineStr">
        <is>
          <t>Föryngringsavverkning</t>
        </is>
      </c>
      <c r="D6066" s="1" t="n">
        <v>46297</v>
      </c>
      <c r="E6066" s="1" t="n">
        <v>46319</v>
      </c>
      <c r="F6066" t="inlineStr">
        <is>
          <t>DALARNAS LÄN</t>
        </is>
      </c>
      <c r="G6066" t="inlineStr">
        <is>
          <t>VANSBRO</t>
        </is>
      </c>
      <c r="H6066" t="inlineStr">
        <is>
          <t>Bergvik skog öst AB</t>
        </is>
      </c>
      <c r="I6066" t="n">
        <v>1.3</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41028-2026</t>
        </is>
      </c>
      <c r="B6067" t="inlineStr">
        <is>
          <t>avverkningsanmälan</t>
        </is>
      </c>
      <c r="C6067" t="inlineStr">
        <is>
          <t>Föryngringsavverkning</t>
        </is>
      </c>
      <c r="D6067" s="1" t="n">
        <v>46297</v>
      </c>
      <c r="E6067" s="1" t="n">
        <v>46319</v>
      </c>
      <c r="F6067" t="inlineStr">
        <is>
          <t>DALARNAS LÄN</t>
        </is>
      </c>
      <c r="G6067" t="inlineStr">
        <is>
          <t>BORLÄNGE</t>
        </is>
      </c>
      <c r="I6067" t="n">
        <v>1.2</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13113-2026</t>
        </is>
      </c>
      <c r="B6068" t="inlineStr">
        <is>
          <t>avverkningsanmälan</t>
        </is>
      </c>
      <c r="C6068" t="inlineStr">
        <is>
          <t>Föryngringsavverkning</t>
        </is>
      </c>
      <c r="D6068" s="1" t="n">
        <v>46093</v>
      </c>
      <c r="E6068" s="1" t="n">
        <v>46319</v>
      </c>
      <c r="F6068" t="inlineStr">
        <is>
          <t>DALARNAS LÄN</t>
        </is>
      </c>
      <c r="G6068" t="inlineStr">
        <is>
          <t>MALUNG-SÄLEN</t>
        </is>
      </c>
      <c r="I6068" t="n">
        <v>1.1</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7764-2026</t>
        </is>
      </c>
      <c r="B6069" t="inlineStr">
        <is>
          <t>avverkningsanmälan</t>
        </is>
      </c>
      <c r="C6069" t="inlineStr">
        <is>
          <t>Föryngringsavverkning</t>
        </is>
      </c>
      <c r="D6069" s="1" t="n">
        <v>46062</v>
      </c>
      <c r="E6069" s="1" t="n">
        <v>46319</v>
      </c>
      <c r="F6069" t="inlineStr">
        <is>
          <t>DALARNAS LÄN</t>
        </is>
      </c>
      <c r="G6069" t="inlineStr">
        <is>
          <t>VANSBRO</t>
        </is>
      </c>
      <c r="I6069" t="n">
        <v>5.1</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12967-2026</t>
        </is>
      </c>
      <c r="B6070" t="inlineStr">
        <is>
          <t>avverkningsanmälan</t>
        </is>
      </c>
      <c r="C6070" t="inlineStr">
        <is>
          <t>Föryngringsavverkning</t>
        </is>
      </c>
      <c r="D6070" s="1" t="n">
        <v>46092</v>
      </c>
      <c r="E6070" s="1" t="n">
        <v>46319</v>
      </c>
      <c r="F6070" t="inlineStr">
        <is>
          <t>DALARNAS LÄN</t>
        </is>
      </c>
      <c r="G6070" t="inlineStr">
        <is>
          <t>LEKSAND</t>
        </is>
      </c>
      <c r="I6070" t="n">
        <v>1.5</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7063-2026</t>
        </is>
      </c>
      <c r="B6071" t="inlineStr">
        <is>
          <t>avverkningsanmälan</t>
        </is>
      </c>
      <c r="C6071" t="inlineStr">
        <is>
          <t>Föryngringsavverkning</t>
        </is>
      </c>
      <c r="D6071" s="1" t="n">
        <v>46057</v>
      </c>
      <c r="E6071" s="1" t="n">
        <v>46319</v>
      </c>
      <c r="F6071" t="inlineStr">
        <is>
          <t>DALARNAS LÄN</t>
        </is>
      </c>
      <c r="G6071" t="inlineStr">
        <is>
          <t>RÄTTVIK</t>
        </is>
      </c>
      <c r="I6071" t="n">
        <v>1</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13265-2026</t>
        </is>
      </c>
      <c r="B6072" t="inlineStr">
        <is>
          <t>avverkningsanmälan</t>
        </is>
      </c>
      <c r="C6072" t="inlineStr">
        <is>
          <t>Föryngringsavverkning</t>
        </is>
      </c>
      <c r="D6072" s="1" t="n">
        <v>46093</v>
      </c>
      <c r="E6072" s="1" t="n">
        <v>46319</v>
      </c>
      <c r="F6072" t="inlineStr">
        <is>
          <t>DALARNAS LÄN</t>
        </is>
      </c>
      <c r="G6072" t="inlineStr">
        <is>
          <t>SÄTER</t>
        </is>
      </c>
      <c r="I6072" t="n">
        <v>2.7</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12805-2026</t>
        </is>
      </c>
      <c r="B6073" t="inlineStr">
        <is>
          <t>avverkningsanmälan</t>
        </is>
      </c>
      <c r="C6073" t="inlineStr">
        <is>
          <t>Föryngringsavverkning</t>
        </is>
      </c>
      <c r="D6073" s="1" t="n">
        <v>46092</v>
      </c>
      <c r="E6073" s="1" t="n">
        <v>46319</v>
      </c>
      <c r="F6073" t="inlineStr">
        <is>
          <t>DALARNAS LÄN</t>
        </is>
      </c>
      <c r="G6073" t="inlineStr">
        <is>
          <t>ORSA</t>
        </is>
      </c>
      <c r="I6073" t="n">
        <v>0.6</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10219-2026</t>
        </is>
      </c>
      <c r="B6074" t="inlineStr">
        <is>
          <t>avverkningsanmälan</t>
        </is>
      </c>
      <c r="C6074" t="inlineStr">
        <is>
          <t>Föryngringsavverkning</t>
        </is>
      </c>
      <c r="D6074" s="1" t="n">
        <v>46076</v>
      </c>
      <c r="E6074" s="1" t="n">
        <v>46319</v>
      </c>
      <c r="F6074" t="inlineStr">
        <is>
          <t>DALARNAS LÄN</t>
        </is>
      </c>
      <c r="G6074" t="inlineStr">
        <is>
          <t>FALUN</t>
        </is>
      </c>
      <c r="I6074" t="n">
        <v>0.5</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33002-2025</t>
        </is>
      </c>
      <c r="B6075" t="inlineStr">
        <is>
          <t>avverkningsanmälan</t>
        </is>
      </c>
      <c r="C6075" t="inlineStr">
        <is>
          <t>Föryngringsavverkning</t>
        </is>
      </c>
      <c r="D6075" s="1" t="n">
        <v>45840</v>
      </c>
      <c r="E6075" s="1" t="n">
        <v>46319</v>
      </c>
      <c r="F6075" t="inlineStr">
        <is>
          <t>DALARNAS LÄN</t>
        </is>
      </c>
      <c r="G6075" t="inlineStr">
        <is>
          <t>RÄTTVIK</t>
        </is>
      </c>
      <c r="H6075" t="inlineStr">
        <is>
          <t>Bergvik skog väst AB</t>
        </is>
      </c>
      <c r="I6075" t="n">
        <v>1.6</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33244-2025</t>
        </is>
      </c>
      <c r="B6076" t="inlineStr">
        <is>
          <t>avverkningsanmälan</t>
        </is>
      </c>
      <c r="C6076" t="inlineStr">
        <is>
          <t>Föryngringsavverkning</t>
        </is>
      </c>
      <c r="D6076" s="1" t="n">
        <v>45840</v>
      </c>
      <c r="E6076" s="1" t="n">
        <v>46319</v>
      </c>
      <c r="F6076" t="inlineStr">
        <is>
          <t>DALARNAS LÄN</t>
        </is>
      </c>
      <c r="G6076" t="inlineStr">
        <is>
          <t>LUDVIKA</t>
        </is>
      </c>
      <c r="H6076" t="inlineStr">
        <is>
          <t>Bergvik skog väst AB</t>
        </is>
      </c>
      <c r="I6076" t="n">
        <v>0.9</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5760-2026</t>
        </is>
      </c>
      <c r="B6077" t="inlineStr">
        <is>
          <t>avverkningsanmälan</t>
        </is>
      </c>
      <c r="C6077" t="inlineStr">
        <is>
          <t>Föryngringsavverkning</t>
        </is>
      </c>
      <c r="D6077" s="1" t="n">
        <v>46051</v>
      </c>
      <c r="E6077" s="1" t="n">
        <v>46319</v>
      </c>
      <c r="F6077" t="inlineStr">
        <is>
          <t>DALARNAS LÄN</t>
        </is>
      </c>
      <c r="G6077" t="inlineStr">
        <is>
          <t>FALUN</t>
        </is>
      </c>
      <c r="I6077" t="n">
        <v>2.7</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9322-2026</t>
        </is>
      </c>
      <c r="B6078" t="inlineStr">
        <is>
          <t>avverkningsanmälan</t>
        </is>
      </c>
      <c r="C6078" t="inlineStr">
        <is>
          <t>Föryngringsavverkning</t>
        </is>
      </c>
      <c r="D6078" s="1" t="n">
        <v>46070</v>
      </c>
      <c r="E6078" s="1" t="n">
        <v>46319</v>
      </c>
      <c r="F6078" t="inlineStr">
        <is>
          <t>DALARNAS LÄN</t>
        </is>
      </c>
      <c r="G6078" t="inlineStr">
        <is>
          <t>RÄTTVIK</t>
        </is>
      </c>
      <c r="I6078" t="n">
        <v>1</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10045-2026</t>
        </is>
      </c>
      <c r="B6079" t="inlineStr">
        <is>
          <t>avverkningsanmälan</t>
        </is>
      </c>
      <c r="C6079" t="inlineStr">
        <is>
          <t>Föryngringsavverkning</t>
        </is>
      </c>
      <c r="D6079" s="1" t="n">
        <v>46073</v>
      </c>
      <c r="E6079" s="1" t="n">
        <v>46319</v>
      </c>
      <c r="F6079" t="inlineStr">
        <is>
          <t>DALARNAS LÄN</t>
        </is>
      </c>
      <c r="G6079" t="inlineStr">
        <is>
          <t>ORSA</t>
        </is>
      </c>
      <c r="H6079" t="inlineStr">
        <is>
          <t>Bergvik skog öst AB</t>
        </is>
      </c>
      <c r="I6079" t="n">
        <v>3.1</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13219-2026</t>
        </is>
      </c>
      <c r="B6080" t="inlineStr">
        <is>
          <t>avverkningsanmälan</t>
        </is>
      </c>
      <c r="C6080" t="inlineStr">
        <is>
          <t>Föryngringsavverkning</t>
        </is>
      </c>
      <c r="D6080" s="1" t="n">
        <v>46093</v>
      </c>
      <c r="E6080" s="1" t="n">
        <v>46319</v>
      </c>
      <c r="F6080" t="inlineStr">
        <is>
          <t>DALARNAS LÄN</t>
        </is>
      </c>
      <c r="G6080" t="inlineStr">
        <is>
          <t>FALUN</t>
        </is>
      </c>
      <c r="H6080" t="inlineStr">
        <is>
          <t>Bergvik skog väst AB</t>
        </is>
      </c>
      <c r="I6080" t="n">
        <v>78.3</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12957-2026</t>
        </is>
      </c>
      <c r="B6081" t="inlineStr">
        <is>
          <t>avverkningsanmälan</t>
        </is>
      </c>
      <c r="C6081" t="inlineStr">
        <is>
          <t>Föryngringsavverkning</t>
        </is>
      </c>
      <c r="D6081" s="1" t="n">
        <v>46092</v>
      </c>
      <c r="E6081" s="1" t="n">
        <v>46319</v>
      </c>
      <c r="F6081" t="inlineStr">
        <is>
          <t>DALARNAS LÄN</t>
        </is>
      </c>
      <c r="G6081" t="inlineStr">
        <is>
          <t>SÄTER</t>
        </is>
      </c>
      <c r="I6081" t="n">
        <v>9.800000000000001</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33086-2025</t>
        </is>
      </c>
      <c r="B6082" t="inlineStr">
        <is>
          <t>avverkningsanmälan</t>
        </is>
      </c>
      <c r="C6082" t="inlineStr">
        <is>
          <t>Föryngringsavverkning</t>
        </is>
      </c>
      <c r="D6082" s="1" t="n">
        <v>45840</v>
      </c>
      <c r="E6082" s="1" t="n">
        <v>46319</v>
      </c>
      <c r="F6082" t="inlineStr">
        <is>
          <t>DALARNAS LÄN</t>
        </is>
      </c>
      <c r="G6082" t="inlineStr">
        <is>
          <t>MALUNG-SÄLEN</t>
        </is>
      </c>
      <c r="H6082" t="inlineStr">
        <is>
          <t>Kommuner</t>
        </is>
      </c>
      <c r="I6082" t="n">
        <v>4.4</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33117-2025</t>
        </is>
      </c>
      <c r="B6083" t="inlineStr">
        <is>
          <t>avverkningsanmälan</t>
        </is>
      </c>
      <c r="C6083" t="inlineStr">
        <is>
          <t>Föryngringsavverkning</t>
        </is>
      </c>
      <c r="D6083" s="1" t="n">
        <v>45840</v>
      </c>
      <c r="E6083" s="1" t="n">
        <v>46319</v>
      </c>
      <c r="F6083" t="inlineStr">
        <is>
          <t>DALARNAS LÄN</t>
        </is>
      </c>
      <c r="G6083" t="inlineStr">
        <is>
          <t>RÄTTVIK</t>
        </is>
      </c>
      <c r="I6083" t="n">
        <v>1</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12827-2026</t>
        </is>
      </c>
      <c r="B6084" t="inlineStr">
        <is>
          <t>avverkningsanmälan</t>
        </is>
      </c>
      <c r="C6084" t="inlineStr">
        <is>
          <t>Föryngringsavverkning</t>
        </is>
      </c>
      <c r="D6084" s="1" t="n">
        <v>46092</v>
      </c>
      <c r="E6084" s="1" t="n">
        <v>46319</v>
      </c>
      <c r="F6084" t="inlineStr">
        <is>
          <t>DALARNAS LÄN</t>
        </is>
      </c>
      <c r="G6084" t="inlineStr">
        <is>
          <t>MALUNG-SÄLEN</t>
        </is>
      </c>
      <c r="I6084" t="n">
        <v>6.7</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13261-2026</t>
        </is>
      </c>
      <c r="B6085" t="inlineStr">
        <is>
          <t>avverkningsanmälan</t>
        </is>
      </c>
      <c r="C6085" t="inlineStr">
        <is>
          <t>Föryngringsavverkning</t>
        </is>
      </c>
      <c r="D6085" s="1" t="n">
        <v>46093</v>
      </c>
      <c r="E6085" s="1" t="n">
        <v>46319</v>
      </c>
      <c r="F6085" t="inlineStr">
        <is>
          <t>DALARNAS LÄN</t>
        </is>
      </c>
      <c r="G6085" t="inlineStr">
        <is>
          <t>FALUN</t>
        </is>
      </c>
      <c r="I6085" t="n">
        <v>1.8</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13078-2026</t>
        </is>
      </c>
      <c r="B6086" t="inlineStr">
        <is>
          <t>avverkningsanmälan</t>
        </is>
      </c>
      <c r="C6086" t="inlineStr">
        <is>
          <t>Föryngringsavverkning</t>
        </is>
      </c>
      <c r="D6086" s="1" t="n">
        <v>46093</v>
      </c>
      <c r="E6086" s="1" t="n">
        <v>46319</v>
      </c>
      <c r="F6086" t="inlineStr">
        <is>
          <t>DALARNAS LÄN</t>
        </is>
      </c>
      <c r="G6086" t="inlineStr">
        <is>
          <t>FALUN</t>
        </is>
      </c>
      <c r="I6086" t="n">
        <v>7.2</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21379-2026</t>
        </is>
      </c>
      <c r="B6087" t="inlineStr">
        <is>
          <t>avverkningsanmälan</t>
        </is>
      </c>
      <c r="C6087" t="inlineStr">
        <is>
          <t>Föryngringsavverkning</t>
        </is>
      </c>
      <c r="D6087" s="1" t="n">
        <v>46147</v>
      </c>
      <c r="E6087" s="1" t="n">
        <v>46319</v>
      </c>
      <c r="F6087" t="inlineStr">
        <is>
          <t>DALARNAS LÄN</t>
        </is>
      </c>
      <c r="G6087" t="inlineStr">
        <is>
          <t>ORSA</t>
        </is>
      </c>
      <c r="I6087" t="n">
        <v>1.7</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13106-2026</t>
        </is>
      </c>
      <c r="B6088" t="inlineStr">
        <is>
          <t>avverkningsanmälan</t>
        </is>
      </c>
      <c r="C6088" t="inlineStr">
        <is>
          <t>Föryngringsavverkning</t>
        </is>
      </c>
      <c r="D6088" s="1" t="n">
        <v>46093</v>
      </c>
      <c r="E6088" s="1" t="n">
        <v>46319</v>
      </c>
      <c r="F6088" t="inlineStr">
        <is>
          <t>DALARNAS LÄN</t>
        </is>
      </c>
      <c r="G6088" t="inlineStr">
        <is>
          <t>MALUNG-SÄLEN</t>
        </is>
      </c>
      <c r="I6088" t="n">
        <v>1.6</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41225-2026</t>
        </is>
      </c>
      <c r="B6089" t="inlineStr">
        <is>
          <t>avverkningsanmälan</t>
        </is>
      </c>
      <c r="C6089" t="inlineStr">
        <is>
          <t>Föryngringsavverkning</t>
        </is>
      </c>
      <c r="D6089" s="1" t="n">
        <v>46300</v>
      </c>
      <c r="E6089" s="1" t="n">
        <v>46319</v>
      </c>
      <c r="F6089" t="inlineStr">
        <is>
          <t>DALARNAS LÄN</t>
        </is>
      </c>
      <c r="G6089" t="inlineStr">
        <is>
          <t>RÄTTVIK</t>
        </is>
      </c>
      <c r="I6089" t="n">
        <v>0.6</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33190-2025</t>
        </is>
      </c>
      <c r="B6090" t="inlineStr">
        <is>
          <t>avverkningsanmälan</t>
        </is>
      </c>
      <c r="C6090" t="inlineStr">
        <is>
          <t>Föryngringsavverkning</t>
        </is>
      </c>
      <c r="D6090" s="1" t="n">
        <v>45840</v>
      </c>
      <c r="E6090" s="1" t="n">
        <v>46319</v>
      </c>
      <c r="F6090" t="inlineStr">
        <is>
          <t>DALARNAS LÄN</t>
        </is>
      </c>
      <c r="G6090" t="inlineStr">
        <is>
          <t>MALUNG-SÄLEN</t>
        </is>
      </c>
      <c r="I6090" t="n">
        <v>3.3</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32985-2025</t>
        </is>
      </c>
      <c r="B6091" t="inlineStr">
        <is>
          <t>avverkningsanmälan</t>
        </is>
      </c>
      <c r="C6091" t="inlineStr">
        <is>
          <t>Föryngringsavverkning</t>
        </is>
      </c>
      <c r="D6091" s="1" t="n">
        <v>45839</v>
      </c>
      <c r="E6091" s="1" t="n">
        <v>46319</v>
      </c>
      <c r="F6091" t="inlineStr">
        <is>
          <t>DALARNAS LÄN</t>
        </is>
      </c>
      <c r="G6091" t="inlineStr">
        <is>
          <t>ORSA</t>
        </is>
      </c>
      <c r="I6091" t="n">
        <v>1.6</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33063-2025</t>
        </is>
      </c>
      <c r="B6092" t="inlineStr">
        <is>
          <t>avverkningsanmälan</t>
        </is>
      </c>
      <c r="C6092" t="inlineStr">
        <is>
          <t>Föryngringsavverkning</t>
        </is>
      </c>
      <c r="D6092" s="1" t="n">
        <v>45840</v>
      </c>
      <c r="E6092" s="1" t="n">
        <v>46319</v>
      </c>
      <c r="F6092" t="inlineStr">
        <is>
          <t>DALARNAS LÄN</t>
        </is>
      </c>
      <c r="G6092" t="inlineStr">
        <is>
          <t>LUDVIKA</t>
        </is>
      </c>
      <c r="I6092" t="n">
        <v>0.7</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63460-2025</t>
        </is>
      </c>
      <c r="B6093" t="inlineStr">
        <is>
          <t>avverkningsanmälan</t>
        </is>
      </c>
      <c r="C6093" t="inlineStr">
        <is>
          <t>Föryngringsavverkning</t>
        </is>
      </c>
      <c r="D6093" s="1" t="n">
        <v>46013</v>
      </c>
      <c r="E6093" s="1" t="n">
        <v>46319</v>
      </c>
      <c r="F6093" t="inlineStr">
        <is>
          <t>DALARNAS LÄN</t>
        </is>
      </c>
      <c r="G6093" t="inlineStr">
        <is>
          <t>AVESTA</t>
        </is>
      </c>
      <c r="I6093" t="n">
        <v>0.6</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33109-2025</t>
        </is>
      </c>
      <c r="B6094" t="inlineStr">
        <is>
          <t>avverkningsanmälan</t>
        </is>
      </c>
      <c r="C6094" t="inlineStr">
        <is>
          <t>Föryngringsavverkning</t>
        </is>
      </c>
      <c r="D6094" s="1" t="n">
        <v>45840</v>
      </c>
      <c r="E6094" s="1" t="n">
        <v>46319</v>
      </c>
      <c r="F6094" t="inlineStr">
        <is>
          <t>DALARNAS LÄN</t>
        </is>
      </c>
      <c r="G6094" t="inlineStr">
        <is>
          <t>VANSBRO</t>
        </is>
      </c>
      <c r="I6094" t="n">
        <v>1.3</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32700-2025</t>
        </is>
      </c>
      <c r="B6095" t="inlineStr">
        <is>
          <t>avverkningsanmälan</t>
        </is>
      </c>
      <c r="C6095" t="inlineStr">
        <is>
          <t>Föryngringsavverkning</t>
        </is>
      </c>
      <c r="D6095" s="1" t="n">
        <v>45839</v>
      </c>
      <c r="E6095" s="1" t="n">
        <v>46319</v>
      </c>
      <c r="F6095" t="inlineStr">
        <is>
          <t>DALARNAS LÄN</t>
        </is>
      </c>
      <c r="G6095" t="inlineStr">
        <is>
          <t>MALUNG-SÄLEN</t>
        </is>
      </c>
      <c r="I6095" t="n">
        <v>4.2</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9963-2026</t>
        </is>
      </c>
      <c r="B6096" t="inlineStr">
        <is>
          <t>avverkningsanmälan</t>
        </is>
      </c>
      <c r="C6096" t="inlineStr">
        <is>
          <t>Föryngringsavverkning</t>
        </is>
      </c>
      <c r="D6096" s="1" t="n">
        <v>46073</v>
      </c>
      <c r="E6096" s="1" t="n">
        <v>46319</v>
      </c>
      <c r="F6096" t="inlineStr">
        <is>
          <t>DALARNAS LÄN</t>
        </is>
      </c>
      <c r="G6096" t="inlineStr">
        <is>
          <t>ORSA</t>
        </is>
      </c>
      <c r="H6096" t="inlineStr">
        <is>
          <t>Bergvik skog öst AB</t>
        </is>
      </c>
      <c r="I6096" t="n">
        <v>17</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12885-2026</t>
        </is>
      </c>
      <c r="B6097" t="inlineStr">
        <is>
          <t>avverkningsanmälan</t>
        </is>
      </c>
      <c r="C6097" t="inlineStr">
        <is>
          <t>Föryngringsavverkning</t>
        </is>
      </c>
      <c r="D6097" s="1" t="n">
        <v>46092</v>
      </c>
      <c r="E6097" s="1" t="n">
        <v>46319</v>
      </c>
      <c r="F6097" t="inlineStr">
        <is>
          <t>DALARNAS LÄN</t>
        </is>
      </c>
      <c r="G6097" t="inlineStr">
        <is>
          <t>FALUN</t>
        </is>
      </c>
      <c r="H6097" t="inlineStr">
        <is>
          <t>Bergvik skog väst AB</t>
        </is>
      </c>
      <c r="I6097" t="n">
        <v>4.6</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13209-2026</t>
        </is>
      </c>
      <c r="B6098" t="inlineStr">
        <is>
          <t>avverkningsanmälan</t>
        </is>
      </c>
      <c r="C6098" t="inlineStr">
        <is>
          <t>Föryngringsavverkning</t>
        </is>
      </c>
      <c r="D6098" s="1" t="n">
        <v>46093</v>
      </c>
      <c r="E6098" s="1" t="n">
        <v>46319</v>
      </c>
      <c r="F6098" t="inlineStr">
        <is>
          <t>DALARNAS LÄN</t>
        </is>
      </c>
      <c r="G6098" t="inlineStr">
        <is>
          <t>FALUN</t>
        </is>
      </c>
      <c r="H6098" t="inlineStr">
        <is>
          <t>Bergvik skog väst AB</t>
        </is>
      </c>
      <c r="I6098" t="n">
        <v>5.8</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12986-2026</t>
        </is>
      </c>
      <c r="B6099" t="inlineStr">
        <is>
          <t>avverkningsanmälan</t>
        </is>
      </c>
      <c r="C6099" t="inlineStr">
        <is>
          <t>Föryngringsavverkning</t>
        </is>
      </c>
      <c r="D6099" s="1" t="n">
        <v>46092</v>
      </c>
      <c r="E6099" s="1" t="n">
        <v>46319</v>
      </c>
      <c r="F6099" t="inlineStr">
        <is>
          <t>DALARNAS LÄN</t>
        </is>
      </c>
      <c r="G6099" t="inlineStr">
        <is>
          <t>FALUN</t>
        </is>
      </c>
      <c r="I6099" t="n">
        <v>1</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40971-2026</t>
        </is>
      </c>
      <c r="B6100" t="inlineStr">
        <is>
          <t>avverkningsanmälan</t>
        </is>
      </c>
      <c r="C6100" t="inlineStr">
        <is>
          <t>Föryngringsavverkning</t>
        </is>
      </c>
      <c r="D6100" s="1" t="n">
        <v>46297</v>
      </c>
      <c r="E6100" s="1" t="n">
        <v>46319</v>
      </c>
      <c r="F6100" t="inlineStr">
        <is>
          <t>DALARNAS LÄN</t>
        </is>
      </c>
      <c r="G6100" t="inlineStr">
        <is>
          <t>SMEDJEBACKEN</t>
        </is>
      </c>
      <c r="H6100" t="inlineStr">
        <is>
          <t>Sveaskog</t>
        </is>
      </c>
      <c r="I6100" t="n">
        <v>10.7</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33036-2025</t>
        </is>
      </c>
      <c r="B6101" t="inlineStr">
        <is>
          <t>avverkningsanmälan</t>
        </is>
      </c>
      <c r="C6101" t="inlineStr">
        <is>
          <t>Föryngringsavverkning</t>
        </is>
      </c>
      <c r="D6101" s="1" t="n">
        <v>45840</v>
      </c>
      <c r="E6101" s="1" t="n">
        <v>46319</v>
      </c>
      <c r="F6101" t="inlineStr">
        <is>
          <t>DALARNAS LÄN</t>
        </is>
      </c>
      <c r="G6101" t="inlineStr">
        <is>
          <t>VANSBRO</t>
        </is>
      </c>
      <c r="H6101" t="inlineStr">
        <is>
          <t>Bergvik skog öst AB</t>
        </is>
      </c>
      <c r="I6101" t="n">
        <v>3</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33056-2025</t>
        </is>
      </c>
      <c r="B6102" t="inlineStr">
        <is>
          <t>avverkningsanmälan</t>
        </is>
      </c>
      <c r="C6102" t="inlineStr">
        <is>
          <t>Föryngringsavverkning</t>
        </is>
      </c>
      <c r="D6102" s="1" t="n">
        <v>45840</v>
      </c>
      <c r="E6102" s="1" t="n">
        <v>46319</v>
      </c>
      <c r="F6102" t="inlineStr">
        <is>
          <t>DALARNAS LÄN</t>
        </is>
      </c>
      <c r="G6102" t="inlineStr">
        <is>
          <t>VANSBRO</t>
        </is>
      </c>
      <c r="H6102" t="inlineStr">
        <is>
          <t>Bergvik skog öst AB</t>
        </is>
      </c>
      <c r="I6102" t="n">
        <v>5</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13101-2026</t>
        </is>
      </c>
      <c r="B6103" t="inlineStr">
        <is>
          <t>avverkningsanmälan</t>
        </is>
      </c>
      <c r="C6103" t="inlineStr">
        <is>
          <t>Föryngringsavverkning</t>
        </is>
      </c>
      <c r="D6103" s="1" t="n">
        <v>46093</v>
      </c>
      <c r="E6103" s="1" t="n">
        <v>46319</v>
      </c>
      <c r="F6103" t="inlineStr">
        <is>
          <t>DALARNAS LÄN</t>
        </is>
      </c>
      <c r="G6103" t="inlineStr">
        <is>
          <t>FALUN</t>
        </is>
      </c>
      <c r="I6103" t="n">
        <v>3</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13242-2026</t>
        </is>
      </c>
      <c r="B6104" t="inlineStr">
        <is>
          <t>avverkningsanmälan</t>
        </is>
      </c>
      <c r="C6104" t="inlineStr">
        <is>
          <t>Föryngringsavverkning</t>
        </is>
      </c>
      <c r="D6104" s="1" t="n">
        <v>46093</v>
      </c>
      <c r="E6104" s="1" t="n">
        <v>46319</v>
      </c>
      <c r="F6104" t="inlineStr">
        <is>
          <t>DALARNAS LÄN</t>
        </is>
      </c>
      <c r="G6104" t="inlineStr">
        <is>
          <t>ORSA</t>
        </is>
      </c>
      <c r="H6104" t="inlineStr">
        <is>
          <t>Bergvik skog öst AB</t>
        </is>
      </c>
      <c r="I6104" t="n">
        <v>0.4</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13134-2026</t>
        </is>
      </c>
      <c r="B6105" t="inlineStr">
        <is>
          <t>avverkningsanmälan</t>
        </is>
      </c>
      <c r="C6105" t="inlineStr">
        <is>
          <t>Föryngringsavverkning</t>
        </is>
      </c>
      <c r="D6105" s="1" t="n">
        <v>46093</v>
      </c>
      <c r="E6105" s="1" t="n">
        <v>46319</v>
      </c>
      <c r="F6105" t="inlineStr">
        <is>
          <t>DALARNAS LÄN</t>
        </is>
      </c>
      <c r="G6105" t="inlineStr">
        <is>
          <t>MALUNG-SÄLEN</t>
        </is>
      </c>
      <c r="I6105" t="n">
        <v>2.5</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13262-2026</t>
        </is>
      </c>
      <c r="B6106" t="inlineStr">
        <is>
          <t>avverkningsanmälan</t>
        </is>
      </c>
      <c r="C6106" t="inlineStr">
        <is>
          <t>Föryngringsavverkning</t>
        </is>
      </c>
      <c r="D6106" s="1" t="n">
        <v>46093</v>
      </c>
      <c r="E6106" s="1" t="n">
        <v>46319</v>
      </c>
      <c r="F6106" t="inlineStr">
        <is>
          <t>DALARNAS LÄN</t>
        </is>
      </c>
      <c r="G6106" t="inlineStr">
        <is>
          <t>FALUN</t>
        </is>
      </c>
      <c r="I6106" t="n">
        <v>3.8</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36863-2025</t>
        </is>
      </c>
      <c r="B6107" t="inlineStr">
        <is>
          <t>avverkningsanmälan</t>
        </is>
      </c>
      <c r="C6107" t="inlineStr">
        <is>
          <t>Föryngringsavverkning</t>
        </is>
      </c>
      <c r="D6107" s="1" t="n">
        <v>45874</v>
      </c>
      <c r="E6107" s="1" t="n">
        <v>46319</v>
      </c>
      <c r="F6107" t="inlineStr">
        <is>
          <t>DALARNAS LÄN</t>
        </is>
      </c>
      <c r="G6107" t="inlineStr">
        <is>
          <t>MALUNG-SÄLEN</t>
        </is>
      </c>
      <c r="I6107" t="n">
        <v>2</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37836-2024</t>
        </is>
      </c>
      <c r="B6108" t="inlineStr">
        <is>
          <t>avverkningsanmälan</t>
        </is>
      </c>
      <c r="C6108" t="inlineStr">
        <is>
          <t>Föryngringsavverkning</t>
        </is>
      </c>
      <c r="D6108" s="1" t="n">
        <v>45544</v>
      </c>
      <c r="E6108" s="1" t="n">
        <v>46319</v>
      </c>
      <c r="F6108" t="inlineStr">
        <is>
          <t>DALARNAS LÄN</t>
        </is>
      </c>
      <c r="G6108" t="inlineStr">
        <is>
          <t>ORSA</t>
        </is>
      </c>
      <c r="I6108" t="n">
        <v>2.3</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32984-2025</t>
        </is>
      </c>
      <c r="B6109" t="inlineStr">
        <is>
          <t>avverkningsanmälan</t>
        </is>
      </c>
      <c r="C6109" t="inlineStr">
        <is>
          <t>Föryngringsavverkning</t>
        </is>
      </c>
      <c r="D6109" s="1" t="n">
        <v>45839</v>
      </c>
      <c r="E6109" s="1" t="n">
        <v>46319</v>
      </c>
      <c r="F6109" t="inlineStr">
        <is>
          <t>DALARNAS LÄN</t>
        </is>
      </c>
      <c r="G6109" t="inlineStr">
        <is>
          <t>ORSA</t>
        </is>
      </c>
      <c r="I6109" t="n">
        <v>0.5</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32996-2025</t>
        </is>
      </c>
      <c r="B6110" t="inlineStr">
        <is>
          <t>avverkningsanmälan</t>
        </is>
      </c>
      <c r="C6110" t="inlineStr">
        <is>
          <t>Föryngringsavverkning</t>
        </is>
      </c>
      <c r="D6110" s="1" t="n">
        <v>45840</v>
      </c>
      <c r="E6110" s="1" t="n">
        <v>46319</v>
      </c>
      <c r="F6110" t="inlineStr">
        <is>
          <t>DALARNAS LÄN</t>
        </is>
      </c>
      <c r="G6110" t="inlineStr">
        <is>
          <t>SMEDJEBACKEN</t>
        </is>
      </c>
      <c r="H6110" t="inlineStr">
        <is>
          <t>Övriga Aktiebolag</t>
        </is>
      </c>
      <c r="I6110" t="n">
        <v>3.9</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12963-2026</t>
        </is>
      </c>
      <c r="B6111" t="inlineStr">
        <is>
          <t>avverkningsanmälan</t>
        </is>
      </c>
      <c r="C6111" t="inlineStr">
        <is>
          <t>Föryngringsavverkning</t>
        </is>
      </c>
      <c r="D6111" s="1" t="n">
        <v>46092</v>
      </c>
      <c r="E6111" s="1" t="n">
        <v>46319</v>
      </c>
      <c r="F6111" t="inlineStr">
        <is>
          <t>DALARNAS LÄN</t>
        </is>
      </c>
      <c r="G6111" t="inlineStr">
        <is>
          <t>MALUNG-SÄLEN</t>
        </is>
      </c>
      <c r="I6111" t="n">
        <v>6.7</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32702-2025</t>
        </is>
      </c>
      <c r="B6112" t="inlineStr">
        <is>
          <t>avverkningsanmälan</t>
        </is>
      </c>
      <c r="C6112" t="inlineStr">
        <is>
          <t>Föryngringsavverkning</t>
        </is>
      </c>
      <c r="D6112" s="1" t="n">
        <v>45839</v>
      </c>
      <c r="E6112" s="1" t="n">
        <v>46319</v>
      </c>
      <c r="F6112" t="inlineStr">
        <is>
          <t>DALARNAS LÄN</t>
        </is>
      </c>
      <c r="G6112" t="inlineStr">
        <is>
          <t>MALUNG-SÄLEN</t>
        </is>
      </c>
      <c r="I6112" t="n">
        <v>1.4</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12855-2026</t>
        </is>
      </c>
      <c r="B6113" t="inlineStr">
        <is>
          <t>avverkningsanmälan</t>
        </is>
      </c>
      <c r="C6113" t="inlineStr">
        <is>
          <t>Föryngringsavverkning</t>
        </is>
      </c>
      <c r="D6113" s="1" t="n">
        <v>46092</v>
      </c>
      <c r="E6113" s="1" t="n">
        <v>46319</v>
      </c>
      <c r="F6113" t="inlineStr">
        <is>
          <t>DALARNAS LÄN</t>
        </is>
      </c>
      <c r="G6113" t="inlineStr">
        <is>
          <t>FALUN</t>
        </is>
      </c>
      <c r="H6113" t="inlineStr">
        <is>
          <t>Bergvik skog väst AB</t>
        </is>
      </c>
      <c r="I6113" t="n">
        <v>30</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13392-2026</t>
        </is>
      </c>
      <c r="B6114" t="inlineStr">
        <is>
          <t>avverkningsanmälan</t>
        </is>
      </c>
      <c r="C6114" t="inlineStr">
        <is>
          <t>Föryngringsavverkning</t>
        </is>
      </c>
      <c r="D6114" s="1" t="n">
        <v>46094</v>
      </c>
      <c r="E6114" s="1" t="n">
        <v>46319</v>
      </c>
      <c r="F6114" t="inlineStr">
        <is>
          <t>DALARNAS LÄN</t>
        </is>
      </c>
      <c r="G6114" t="inlineStr">
        <is>
          <t>VANSBRO</t>
        </is>
      </c>
      <c r="H6114" t="inlineStr">
        <is>
          <t>Bergvik skog väst AB</t>
        </is>
      </c>
      <c r="I6114" t="n">
        <v>1.2</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34558-2026</t>
        </is>
      </c>
      <c r="B6115" t="inlineStr">
        <is>
          <t>avverkningsanmälan</t>
        </is>
      </c>
      <c r="C6115" t="inlineStr">
        <is>
          <t>Föryngringsavverkning</t>
        </is>
      </c>
      <c r="D6115" s="1" t="n">
        <v>46255</v>
      </c>
      <c r="E6115" s="1" t="n">
        <v>46319</v>
      </c>
      <c r="F6115" t="inlineStr">
        <is>
          <t>DALARNAS LÄN</t>
        </is>
      </c>
      <c r="G6115" t="inlineStr">
        <is>
          <t>LUDVIKA</t>
        </is>
      </c>
      <c r="H6115" t="inlineStr">
        <is>
          <t>Bergvik skog väst AB</t>
        </is>
      </c>
      <c r="I6115" t="n">
        <v>1.3</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13454-2026</t>
        </is>
      </c>
      <c r="B6116" t="inlineStr">
        <is>
          <t>avverkningsanmälan</t>
        </is>
      </c>
      <c r="C6116" t="inlineStr">
        <is>
          <t>Föryngringsavverkning</t>
        </is>
      </c>
      <c r="D6116" s="1" t="n">
        <v>46094</v>
      </c>
      <c r="E6116" s="1" t="n">
        <v>46319</v>
      </c>
      <c r="F6116" t="inlineStr">
        <is>
          <t>DALARNAS LÄN</t>
        </is>
      </c>
      <c r="G6116" t="inlineStr">
        <is>
          <t>FALUN</t>
        </is>
      </c>
      <c r="H6116" t="inlineStr">
        <is>
          <t>Bergvik skog väst AB</t>
        </is>
      </c>
      <c r="I6116" t="n">
        <v>2.9</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32855-2025</t>
        </is>
      </c>
      <c r="B6117" t="inlineStr">
        <is>
          <t>avverkningsanmälan</t>
        </is>
      </c>
      <c r="C6117" t="inlineStr">
        <is>
          <t>Föryngringsavverkning</t>
        </is>
      </c>
      <c r="D6117" s="1" t="n">
        <v>45839</v>
      </c>
      <c r="E6117" s="1" t="n">
        <v>46319</v>
      </c>
      <c r="F6117" t="inlineStr">
        <is>
          <t>DALARNAS LÄN</t>
        </is>
      </c>
      <c r="G6117" t="inlineStr">
        <is>
          <t>LEKSAND</t>
        </is>
      </c>
      <c r="I6117" t="n">
        <v>0.7</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38385-2024</t>
        </is>
      </c>
      <c r="B6118" t="inlineStr">
        <is>
          <t>avverkningsanmälan</t>
        </is>
      </c>
      <c r="C6118" t="inlineStr">
        <is>
          <t>Föryngringsavverkning</t>
        </is>
      </c>
      <c r="D6118" s="1" t="n">
        <v>45546</v>
      </c>
      <c r="E6118" s="1" t="n">
        <v>46319</v>
      </c>
      <c r="F6118" t="inlineStr">
        <is>
          <t>DALARNAS LÄN</t>
        </is>
      </c>
      <c r="G6118" t="inlineStr">
        <is>
          <t>RÄTTVIK</t>
        </is>
      </c>
      <c r="I6118" t="n">
        <v>1.4</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13535-2026</t>
        </is>
      </c>
      <c r="B6119" t="inlineStr">
        <is>
          <t>avverkningsanmälan</t>
        </is>
      </c>
      <c r="C6119" t="inlineStr">
        <is>
          <t>Föryngringsavverkning</t>
        </is>
      </c>
      <c r="D6119" s="1" t="n">
        <v>46094</v>
      </c>
      <c r="E6119" s="1" t="n">
        <v>46319</v>
      </c>
      <c r="F6119" t="inlineStr">
        <is>
          <t>DALARNAS LÄN</t>
        </is>
      </c>
      <c r="G6119" t="inlineStr">
        <is>
          <t>SMEDJEBACKEN</t>
        </is>
      </c>
      <c r="H6119" t="inlineStr">
        <is>
          <t>Övriga Aktiebolag</t>
        </is>
      </c>
      <c r="I6119" t="n">
        <v>1.5</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13541-2026</t>
        </is>
      </c>
      <c r="B6120" t="inlineStr">
        <is>
          <t>avverkningsanmälan</t>
        </is>
      </c>
      <c r="C6120" t="inlineStr">
        <is>
          <t>Föryngringsavverkning</t>
        </is>
      </c>
      <c r="D6120" s="1" t="n">
        <v>46094</v>
      </c>
      <c r="E6120" s="1" t="n">
        <v>46319</v>
      </c>
      <c r="F6120" t="inlineStr">
        <is>
          <t>DALARNAS LÄN</t>
        </is>
      </c>
      <c r="G6120" t="inlineStr">
        <is>
          <t>FALUN</t>
        </is>
      </c>
      <c r="H6120" t="inlineStr">
        <is>
          <t>Bergvik skog väst AB</t>
        </is>
      </c>
      <c r="I6120" t="n">
        <v>8.5</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13336-2026</t>
        </is>
      </c>
      <c r="B6121" t="inlineStr">
        <is>
          <t>avverkningsanmälan</t>
        </is>
      </c>
      <c r="C6121" t="inlineStr">
        <is>
          <t>Föryngringsavverkning</t>
        </is>
      </c>
      <c r="D6121" s="1" t="n">
        <v>46094</v>
      </c>
      <c r="E6121" s="1" t="n">
        <v>46319</v>
      </c>
      <c r="F6121" t="inlineStr">
        <is>
          <t>DALARNAS LÄN</t>
        </is>
      </c>
      <c r="G6121" t="inlineStr">
        <is>
          <t>HEDEMORA</t>
        </is>
      </c>
      <c r="I6121" t="n">
        <v>17.5</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13784-2026</t>
        </is>
      </c>
      <c r="B6122" t="inlineStr">
        <is>
          <t>avverkningsanmälan</t>
        </is>
      </c>
      <c r="C6122" t="inlineStr">
        <is>
          <t>Föryngringsavverkning</t>
        </is>
      </c>
      <c r="D6122" s="1" t="n">
        <v>46097</v>
      </c>
      <c r="E6122" s="1" t="n">
        <v>46319</v>
      </c>
      <c r="F6122" t="inlineStr">
        <is>
          <t>DALARNAS LÄN</t>
        </is>
      </c>
      <c r="G6122" t="inlineStr">
        <is>
          <t>FALUN</t>
        </is>
      </c>
      <c r="I6122" t="n">
        <v>0.6</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41029-2026</t>
        </is>
      </c>
      <c r="B6123" t="inlineStr">
        <is>
          <t>avverkningsanmälan</t>
        </is>
      </c>
      <c r="C6123" t="inlineStr">
        <is>
          <t>Föryngringsavverkning</t>
        </is>
      </c>
      <c r="D6123" s="1" t="n">
        <v>46297</v>
      </c>
      <c r="E6123" s="1" t="n">
        <v>46319</v>
      </c>
      <c r="F6123" t="inlineStr">
        <is>
          <t>DALARNAS LÄN</t>
        </is>
      </c>
      <c r="G6123" t="inlineStr">
        <is>
          <t>AVESTA</t>
        </is>
      </c>
      <c r="H6123" t="inlineStr">
        <is>
          <t>Sveaskog</t>
        </is>
      </c>
      <c r="I6123" t="n">
        <v>0.8</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41196-2026</t>
        </is>
      </c>
      <c r="B6124" t="inlineStr">
        <is>
          <t>avverkningsanmälan</t>
        </is>
      </c>
      <c r="C6124" t="inlineStr">
        <is>
          <t>Föryngringsavverkning</t>
        </is>
      </c>
      <c r="D6124" s="1" t="n">
        <v>46300</v>
      </c>
      <c r="E6124" s="1" t="n">
        <v>46319</v>
      </c>
      <c r="F6124" t="inlineStr">
        <is>
          <t>DALARNAS LÄN</t>
        </is>
      </c>
      <c r="G6124" t="inlineStr">
        <is>
          <t>ORSA</t>
        </is>
      </c>
      <c r="I6124" t="n">
        <v>0.7</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41241-2026</t>
        </is>
      </c>
      <c r="B6125" t="inlineStr">
        <is>
          <t>avverkningsanmälan</t>
        </is>
      </c>
      <c r="C6125" t="inlineStr">
        <is>
          <t>Föryngringsavverkning</t>
        </is>
      </c>
      <c r="D6125" s="1" t="n">
        <v>46300</v>
      </c>
      <c r="E6125" s="1" t="n">
        <v>46319</v>
      </c>
      <c r="F6125" t="inlineStr">
        <is>
          <t>DALARNAS LÄN</t>
        </is>
      </c>
      <c r="G6125" t="inlineStr">
        <is>
          <t>RÄTTVIK</t>
        </is>
      </c>
      <c r="I6125" t="n">
        <v>2.2</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13713-2026</t>
        </is>
      </c>
      <c r="B6126" t="inlineStr">
        <is>
          <t>avverkningsanmälan</t>
        </is>
      </c>
      <c r="C6126" t="inlineStr">
        <is>
          <t>Föryngringsavverkning</t>
        </is>
      </c>
      <c r="D6126" s="1" t="n">
        <v>46097</v>
      </c>
      <c r="E6126" s="1" t="n">
        <v>46319</v>
      </c>
      <c r="F6126" t="inlineStr">
        <is>
          <t>DALARNAS LÄN</t>
        </is>
      </c>
      <c r="G6126" t="inlineStr">
        <is>
          <t>LEKSAND</t>
        </is>
      </c>
      <c r="I6126" t="n">
        <v>7.8</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56674-2025</t>
        </is>
      </c>
      <c r="B6127" t="inlineStr">
        <is>
          <t>avverkningsanmälan</t>
        </is>
      </c>
      <c r="C6127" t="inlineStr">
        <is>
          <t>Föryngringsavverkning</t>
        </is>
      </c>
      <c r="D6127" s="1" t="n">
        <v>45975</v>
      </c>
      <c r="E6127" s="1" t="n">
        <v>46319</v>
      </c>
      <c r="F6127" t="inlineStr">
        <is>
          <t>DALARNAS LÄN</t>
        </is>
      </c>
      <c r="G6127" t="inlineStr">
        <is>
          <t>SMEDJEBACKEN</t>
        </is>
      </c>
      <c r="I6127" t="n">
        <v>0.7</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54677-2025</t>
        </is>
      </c>
      <c r="B6128" t="inlineStr">
        <is>
          <t>avverkningsanmälan</t>
        </is>
      </c>
      <c r="C6128" t="inlineStr">
        <is>
          <t>Avverkning för annat ändamål</t>
        </is>
      </c>
      <c r="D6128" s="1" t="n">
        <v>45966</v>
      </c>
      <c r="E6128" s="1" t="n">
        <v>46319</v>
      </c>
      <c r="F6128" t="inlineStr">
        <is>
          <t>DALARNAS LÄN</t>
        </is>
      </c>
      <c r="G6128" t="inlineStr">
        <is>
          <t>LEKSAND</t>
        </is>
      </c>
      <c r="I6128" t="n">
        <v>0.5</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41169-2023</t>
        </is>
      </c>
      <c r="B6129" t="inlineStr">
        <is>
          <t>avverkningsanmälan</t>
        </is>
      </c>
      <c r="C6129" t="inlineStr">
        <is>
          <t>Föryngringsavverkning</t>
        </is>
      </c>
      <c r="D6129" s="1" t="n">
        <v>45174</v>
      </c>
      <c r="E6129" s="1" t="n">
        <v>46319</v>
      </c>
      <c r="F6129" t="inlineStr">
        <is>
          <t>DALARNAS LÄN</t>
        </is>
      </c>
      <c r="G6129" t="inlineStr">
        <is>
          <t>MORA</t>
        </is>
      </c>
      <c r="I6129" t="n">
        <v>3</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13786-2026</t>
        </is>
      </c>
      <c r="B6130" t="inlineStr">
        <is>
          <t>avverkningsanmälan</t>
        </is>
      </c>
      <c r="C6130" t="inlineStr">
        <is>
          <t>Föryngringsavverkning</t>
        </is>
      </c>
      <c r="D6130" s="1" t="n">
        <v>46097</v>
      </c>
      <c r="E6130" s="1" t="n">
        <v>46319</v>
      </c>
      <c r="F6130" t="inlineStr">
        <is>
          <t>DALARNAS LÄN</t>
        </is>
      </c>
      <c r="G6130" t="inlineStr">
        <is>
          <t>FALUN</t>
        </is>
      </c>
      <c r="I6130" t="n">
        <v>1.6</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13495-2026</t>
        </is>
      </c>
      <c r="B6131" t="inlineStr">
        <is>
          <t>avverkningsanmälan</t>
        </is>
      </c>
      <c r="C6131" t="inlineStr">
        <is>
          <t>Föryngringsavverkning</t>
        </is>
      </c>
      <c r="D6131" s="1" t="n">
        <v>46094</v>
      </c>
      <c r="E6131" s="1" t="n">
        <v>46319</v>
      </c>
      <c r="F6131" t="inlineStr">
        <is>
          <t>DALARNAS LÄN</t>
        </is>
      </c>
      <c r="G6131" t="inlineStr">
        <is>
          <t>VANSBRO</t>
        </is>
      </c>
      <c r="I6131" t="n">
        <v>4.8</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13592-2026</t>
        </is>
      </c>
      <c r="B6132" t="inlineStr">
        <is>
          <t>avverkningsanmälan</t>
        </is>
      </c>
      <c r="C6132" t="inlineStr">
        <is>
          <t>Föryngringsavverkning</t>
        </is>
      </c>
      <c r="D6132" s="1" t="n">
        <v>46096</v>
      </c>
      <c r="E6132" s="1" t="n">
        <v>46319</v>
      </c>
      <c r="F6132" t="inlineStr">
        <is>
          <t>DALARNAS LÄN</t>
        </is>
      </c>
      <c r="G6132" t="inlineStr">
        <is>
          <t>FALUN</t>
        </is>
      </c>
      <c r="H6132" t="inlineStr">
        <is>
          <t>Bergvik skog väst AB</t>
        </is>
      </c>
      <c r="I6132" t="n">
        <v>30.3</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57146-2022</t>
        </is>
      </c>
      <c r="B6133" t="inlineStr">
        <is>
          <t>avverkningsanmälan</t>
        </is>
      </c>
      <c r="C6133" t="inlineStr">
        <is>
          <t>Föryngringsavverkning</t>
        </is>
      </c>
      <c r="D6133" s="1" t="n">
        <v>44895</v>
      </c>
      <c r="E6133" s="1" t="n">
        <v>46319</v>
      </c>
      <c r="F6133" t="inlineStr">
        <is>
          <t>DALARNAS LÄN</t>
        </is>
      </c>
      <c r="G6133" t="inlineStr">
        <is>
          <t>SMEDJEBACKEN</t>
        </is>
      </c>
      <c r="I6133" t="n">
        <v>1.4</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31100-2024</t>
        </is>
      </c>
      <c r="B6134" t="inlineStr">
        <is>
          <t>avverkningsanmälan</t>
        </is>
      </c>
      <c r="C6134" t="inlineStr">
        <is>
          <t>Föryngringsavverkning</t>
        </is>
      </c>
      <c r="D6134" s="1" t="n">
        <v>45502</v>
      </c>
      <c r="E6134" s="1" t="n">
        <v>46319</v>
      </c>
      <c r="F6134" t="inlineStr">
        <is>
          <t>DALARNAS LÄN</t>
        </is>
      </c>
      <c r="G6134" t="inlineStr">
        <is>
          <t>LUDVIKA</t>
        </is>
      </c>
      <c r="I6134" t="n">
        <v>1.7</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13697-2026</t>
        </is>
      </c>
      <c r="B6135" t="inlineStr">
        <is>
          <t>avverkningsanmälan</t>
        </is>
      </c>
      <c r="C6135" t="inlineStr">
        <is>
          <t>Föryngringsavverkning</t>
        </is>
      </c>
      <c r="D6135" s="1" t="n">
        <v>46097</v>
      </c>
      <c r="E6135" s="1" t="n">
        <v>46319</v>
      </c>
      <c r="F6135" t="inlineStr">
        <is>
          <t>DALARNAS LÄN</t>
        </is>
      </c>
      <c r="G6135" t="inlineStr">
        <is>
          <t>LEKSAND</t>
        </is>
      </c>
      <c r="I6135" t="n">
        <v>0.7</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13711-2026</t>
        </is>
      </c>
      <c r="B6136" t="inlineStr">
        <is>
          <t>avverkningsanmälan</t>
        </is>
      </c>
      <c r="C6136" t="inlineStr">
        <is>
          <t>Föryngringsavverkning</t>
        </is>
      </c>
      <c r="D6136" s="1" t="n">
        <v>46097</v>
      </c>
      <c r="E6136" s="1" t="n">
        <v>46319</v>
      </c>
      <c r="F6136" t="inlineStr">
        <is>
          <t>DALARNAS LÄN</t>
        </is>
      </c>
      <c r="G6136" t="inlineStr">
        <is>
          <t>FALUN</t>
        </is>
      </c>
      <c r="I6136" t="n">
        <v>5.8</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13532-2026</t>
        </is>
      </c>
      <c r="B6137" t="inlineStr">
        <is>
          <t>avverkningsanmälan</t>
        </is>
      </c>
      <c r="C6137" t="inlineStr">
        <is>
          <t>Föryngringsavverkning</t>
        </is>
      </c>
      <c r="D6137" s="1" t="n">
        <v>46094</v>
      </c>
      <c r="E6137" s="1" t="n">
        <v>46319</v>
      </c>
      <c r="F6137" t="inlineStr">
        <is>
          <t>DALARNAS LÄN</t>
        </is>
      </c>
      <c r="G6137" t="inlineStr">
        <is>
          <t>SÄTER</t>
        </is>
      </c>
      <c r="I6137" t="n">
        <v>1.7</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13403-2026</t>
        </is>
      </c>
      <c r="B6138" t="inlineStr">
        <is>
          <t>avverkningsanmälan</t>
        </is>
      </c>
      <c r="C6138" t="inlineStr">
        <is>
          <t>Föryngringsavverkning</t>
        </is>
      </c>
      <c r="D6138" s="1" t="n">
        <v>46094</v>
      </c>
      <c r="E6138" s="1" t="n">
        <v>46319</v>
      </c>
      <c r="F6138" t="inlineStr">
        <is>
          <t>DALARNAS LÄN</t>
        </is>
      </c>
      <c r="G6138" t="inlineStr">
        <is>
          <t>VANSBRO</t>
        </is>
      </c>
      <c r="H6138" t="inlineStr">
        <is>
          <t>Bergvik skog väst AB</t>
        </is>
      </c>
      <c r="I6138" t="n">
        <v>2.5</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13650-2026</t>
        </is>
      </c>
      <c r="B6139" t="inlineStr">
        <is>
          <t>avverkningsanmälan</t>
        </is>
      </c>
      <c r="C6139" t="inlineStr">
        <is>
          <t>Föryngringsavverkning</t>
        </is>
      </c>
      <c r="D6139" s="1" t="n">
        <v>46097</v>
      </c>
      <c r="E6139" s="1" t="n">
        <v>46319</v>
      </c>
      <c r="F6139" t="inlineStr">
        <is>
          <t>DALARNAS LÄN</t>
        </is>
      </c>
      <c r="G6139" t="inlineStr">
        <is>
          <t>LEKSAND</t>
        </is>
      </c>
      <c r="I6139" t="n">
        <v>1.5</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50902-2025</t>
        </is>
      </c>
      <c r="B6140" t="inlineStr">
        <is>
          <t>avverkningsanmälan</t>
        </is>
      </c>
      <c r="C6140" t="inlineStr">
        <is>
          <t>Föryngringsavverkning</t>
        </is>
      </c>
      <c r="D6140" s="1" t="n">
        <v>45946</v>
      </c>
      <c r="E6140" s="1" t="n">
        <v>46319</v>
      </c>
      <c r="F6140" t="inlineStr">
        <is>
          <t>DALARNAS LÄN</t>
        </is>
      </c>
      <c r="G6140" t="inlineStr">
        <is>
          <t>RÄTTVIK</t>
        </is>
      </c>
      <c r="I6140" t="n">
        <v>4.4</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2068-2023</t>
        </is>
      </c>
      <c r="B6141" t="inlineStr">
        <is>
          <t>avverkningsanmälan</t>
        </is>
      </c>
      <c r="C6141" t="inlineStr">
        <is>
          <t>Föryngringsavverkning</t>
        </is>
      </c>
      <c r="D6141" s="1" t="n">
        <v>44939</v>
      </c>
      <c r="E6141" s="1" t="n">
        <v>46319</v>
      </c>
      <c r="F6141" t="inlineStr">
        <is>
          <t>DALARNAS LÄN</t>
        </is>
      </c>
      <c r="G6141" t="inlineStr">
        <is>
          <t>RÄTTVIK</t>
        </is>
      </c>
      <c r="I6141" t="n">
        <v>1.3</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13782-2026</t>
        </is>
      </c>
      <c r="B6142" t="inlineStr">
        <is>
          <t>avverkningsanmälan</t>
        </is>
      </c>
      <c r="C6142" t="inlineStr">
        <is>
          <t>Föryngringsavverkning</t>
        </is>
      </c>
      <c r="D6142" s="1" t="n">
        <v>46097</v>
      </c>
      <c r="E6142" s="1" t="n">
        <v>46319</v>
      </c>
      <c r="F6142" t="inlineStr">
        <is>
          <t>DALARNAS LÄN</t>
        </is>
      </c>
      <c r="G6142" t="inlineStr">
        <is>
          <t>FALUN</t>
        </is>
      </c>
      <c r="I6142" t="n">
        <v>0.7</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34599-2026</t>
        </is>
      </c>
      <c r="B6143" t="inlineStr">
        <is>
          <t>avverkningsanmälan</t>
        </is>
      </c>
      <c r="C6143" t="inlineStr">
        <is>
          <t>Föryngringsavverkning</t>
        </is>
      </c>
      <c r="D6143" s="1" t="n">
        <v>46255</v>
      </c>
      <c r="E6143" s="1" t="n">
        <v>46319</v>
      </c>
      <c r="F6143" t="inlineStr">
        <is>
          <t>DALARNAS LÄN</t>
        </is>
      </c>
      <c r="G6143" t="inlineStr">
        <is>
          <t>LUDVIKA</t>
        </is>
      </c>
      <c r="H6143" t="inlineStr">
        <is>
          <t>Bergvik skog väst AB</t>
        </is>
      </c>
      <c r="I6143" t="n">
        <v>1.1</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13506-2026</t>
        </is>
      </c>
      <c r="B6144" t="inlineStr">
        <is>
          <t>avverkningsanmälan</t>
        </is>
      </c>
      <c r="C6144" t="inlineStr">
        <is>
          <t>Föryngringsavverkning</t>
        </is>
      </c>
      <c r="D6144" s="1" t="n">
        <v>46094</v>
      </c>
      <c r="E6144" s="1" t="n">
        <v>46319</v>
      </c>
      <c r="F6144" t="inlineStr">
        <is>
          <t>DALARNAS LÄN</t>
        </is>
      </c>
      <c r="G6144" t="inlineStr">
        <is>
          <t>VANSBRO</t>
        </is>
      </c>
      <c r="I6144" t="n">
        <v>1</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13526-2026</t>
        </is>
      </c>
      <c r="B6145" t="inlineStr">
        <is>
          <t>avverkningsanmälan</t>
        </is>
      </c>
      <c r="C6145" t="inlineStr">
        <is>
          <t>Föryngringsavverkning</t>
        </is>
      </c>
      <c r="D6145" s="1" t="n">
        <v>46094</v>
      </c>
      <c r="E6145" s="1" t="n">
        <v>46319</v>
      </c>
      <c r="F6145" t="inlineStr">
        <is>
          <t>DALARNAS LÄN</t>
        </is>
      </c>
      <c r="G6145" t="inlineStr">
        <is>
          <t>SÄTER</t>
        </is>
      </c>
      <c r="I6145" t="n">
        <v>1.2</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13634-2026</t>
        </is>
      </c>
      <c r="B6146" t="inlineStr">
        <is>
          <t>avverkningsanmälan</t>
        </is>
      </c>
      <c r="C6146" t="inlineStr">
        <is>
          <t>Föryngringsavverkning</t>
        </is>
      </c>
      <c r="D6146" s="1" t="n">
        <v>46097</v>
      </c>
      <c r="E6146" s="1" t="n">
        <v>46319</v>
      </c>
      <c r="F6146" t="inlineStr">
        <is>
          <t>DALARNAS LÄN</t>
        </is>
      </c>
      <c r="G6146" t="inlineStr">
        <is>
          <t>FALUN</t>
        </is>
      </c>
      <c r="I6146" t="n">
        <v>4.1</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34645-2026</t>
        </is>
      </c>
      <c r="B6147" t="inlineStr">
        <is>
          <t>avverkningsanmälan</t>
        </is>
      </c>
      <c r="C6147" t="inlineStr">
        <is>
          <t>Föryngringsavverkning</t>
        </is>
      </c>
      <c r="D6147" s="1" t="n">
        <v>46255</v>
      </c>
      <c r="E6147" s="1" t="n">
        <v>46319</v>
      </c>
      <c r="F6147" t="inlineStr">
        <is>
          <t>DALARNAS LÄN</t>
        </is>
      </c>
      <c r="G6147" t="inlineStr">
        <is>
          <t>HEDEMORA</t>
        </is>
      </c>
      <c r="H6147" t="inlineStr">
        <is>
          <t>Sveaskog</t>
        </is>
      </c>
      <c r="I6147" t="n">
        <v>2.3</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5936-2026</t>
        </is>
      </c>
      <c r="B6148" t="inlineStr">
        <is>
          <t>avverkningsanmälan</t>
        </is>
      </c>
      <c r="C6148" t="inlineStr">
        <is>
          <t>Avverkning för annat ändamål</t>
        </is>
      </c>
      <c r="D6148" s="1" t="n">
        <v>46052</v>
      </c>
      <c r="E6148" s="1" t="n">
        <v>46319</v>
      </c>
      <c r="F6148" t="inlineStr">
        <is>
          <t>DALARNAS LÄN</t>
        </is>
      </c>
      <c r="G6148" t="inlineStr">
        <is>
          <t>MORA</t>
        </is>
      </c>
      <c r="I6148" t="n">
        <v>11.1</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13636-2026</t>
        </is>
      </c>
      <c r="B6149" t="inlineStr">
        <is>
          <t>avverkningsanmälan</t>
        </is>
      </c>
      <c r="C6149" t="inlineStr">
        <is>
          <t>Föryngringsavverkning</t>
        </is>
      </c>
      <c r="D6149" s="1" t="n">
        <v>46097</v>
      </c>
      <c r="E6149" s="1" t="n">
        <v>46319</v>
      </c>
      <c r="F6149" t="inlineStr">
        <is>
          <t>DALARNAS LÄN</t>
        </is>
      </c>
      <c r="G6149" t="inlineStr">
        <is>
          <t>FALUN</t>
        </is>
      </c>
      <c r="I6149" t="n">
        <v>3.3</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28974-2024</t>
        </is>
      </c>
      <c r="B6150" t="inlineStr">
        <is>
          <t>avverkningsanmälan</t>
        </is>
      </c>
      <c r="C6150" t="inlineStr">
        <is>
          <t>Föryngringsavverkning</t>
        </is>
      </c>
      <c r="D6150" s="1" t="n">
        <v>45481</v>
      </c>
      <c r="E6150" s="1" t="n">
        <v>46319</v>
      </c>
      <c r="F6150" t="inlineStr">
        <is>
          <t>DALARNAS LÄN</t>
        </is>
      </c>
      <c r="G6150" t="inlineStr">
        <is>
          <t>ORSA</t>
        </is>
      </c>
      <c r="H6150" t="inlineStr">
        <is>
          <t>Bergvik skog öst AB</t>
        </is>
      </c>
      <c r="I6150" t="n">
        <v>0.6</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33009-2025</t>
        </is>
      </c>
      <c r="B6151" t="inlineStr">
        <is>
          <t>avverkningsanmälan</t>
        </is>
      </c>
      <c r="C6151" t="inlineStr">
        <is>
          <t>Föryngringsavverkning</t>
        </is>
      </c>
      <c r="D6151" s="1" t="n">
        <v>45840</v>
      </c>
      <c r="E6151" s="1" t="n">
        <v>46319</v>
      </c>
      <c r="F6151" t="inlineStr">
        <is>
          <t>DALARNAS LÄN</t>
        </is>
      </c>
      <c r="G6151" t="inlineStr">
        <is>
          <t>HEDEMORA</t>
        </is>
      </c>
      <c r="H6151" t="inlineStr">
        <is>
          <t>Kyrkan</t>
        </is>
      </c>
      <c r="I6151" t="n">
        <v>7.6</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40963-2026</t>
        </is>
      </c>
      <c r="B6152" t="inlineStr">
        <is>
          <t>avverkningsanmälan</t>
        </is>
      </c>
      <c r="C6152" t="inlineStr">
        <is>
          <t>Föryngringsavverkning</t>
        </is>
      </c>
      <c r="D6152" s="1" t="n">
        <v>46297</v>
      </c>
      <c r="E6152" s="1" t="n">
        <v>46319</v>
      </c>
      <c r="F6152" t="inlineStr">
        <is>
          <t>DALARNAS LÄN</t>
        </is>
      </c>
      <c r="G6152" t="inlineStr">
        <is>
          <t>SMEDJEBACKEN</t>
        </is>
      </c>
      <c r="H6152" t="inlineStr">
        <is>
          <t>Sveaskog</t>
        </is>
      </c>
      <c r="I6152" t="n">
        <v>1.8</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38723-2025</t>
        </is>
      </c>
      <c r="B6153" t="inlineStr">
        <is>
          <t>avverkningsanmälan</t>
        </is>
      </c>
      <c r="C6153" t="inlineStr">
        <is>
          <t>Föryngringsavverkning</t>
        </is>
      </c>
      <c r="D6153" s="1" t="n">
        <v>45886</v>
      </c>
      <c r="E6153" s="1" t="n">
        <v>46319</v>
      </c>
      <c r="F6153" t="inlineStr">
        <is>
          <t>DALARNAS LÄN</t>
        </is>
      </c>
      <c r="G6153" t="inlineStr">
        <is>
          <t>GAGNEF</t>
        </is>
      </c>
      <c r="I6153" t="n">
        <v>0.9</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13844-2026</t>
        </is>
      </c>
      <c r="B6154" t="inlineStr">
        <is>
          <t>avverkningsanmälan</t>
        </is>
      </c>
      <c r="C6154" t="inlineStr">
        <is>
          <t>Föryngringsavverkning</t>
        </is>
      </c>
      <c r="D6154" s="1" t="n">
        <v>46098</v>
      </c>
      <c r="E6154" s="1" t="n">
        <v>46319</v>
      </c>
      <c r="F6154" t="inlineStr">
        <is>
          <t>DALARNAS LÄN</t>
        </is>
      </c>
      <c r="G6154" t="inlineStr">
        <is>
          <t>RÄTTVIK</t>
        </is>
      </c>
      <c r="I6154" t="n">
        <v>0.6</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14228-2026</t>
        </is>
      </c>
      <c r="B6155" t="inlineStr">
        <is>
          <t>avverkningsanmälan</t>
        </is>
      </c>
      <c r="C6155" t="inlineStr">
        <is>
          <t>Föryngringsavverkning</t>
        </is>
      </c>
      <c r="D6155" s="1" t="n">
        <v>46099</v>
      </c>
      <c r="E6155" s="1" t="n">
        <v>46319</v>
      </c>
      <c r="F6155" t="inlineStr">
        <is>
          <t>DALARNAS LÄN</t>
        </is>
      </c>
      <c r="G6155" t="inlineStr">
        <is>
          <t>HEDEMORA</t>
        </is>
      </c>
      <c r="I6155" t="n">
        <v>3.8</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14029-2026</t>
        </is>
      </c>
      <c r="B6156" t="inlineStr">
        <is>
          <t>avverkningsanmälan</t>
        </is>
      </c>
      <c r="C6156" t="inlineStr">
        <is>
          <t>Föryngringsavverkning</t>
        </is>
      </c>
      <c r="D6156" s="1" t="n">
        <v>46098</v>
      </c>
      <c r="E6156" s="1" t="n">
        <v>46319</v>
      </c>
      <c r="F6156" t="inlineStr">
        <is>
          <t>DALARNAS LÄN</t>
        </is>
      </c>
      <c r="G6156" t="inlineStr">
        <is>
          <t>RÄTTVIK</t>
        </is>
      </c>
      <c r="I6156" t="n">
        <v>2</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14060-2026</t>
        </is>
      </c>
      <c r="B6157" t="inlineStr">
        <is>
          <t>avverkningsanmälan</t>
        </is>
      </c>
      <c r="C6157" t="inlineStr">
        <is>
          <t>Föryngringsavverkning</t>
        </is>
      </c>
      <c r="D6157" s="1" t="n">
        <v>46099</v>
      </c>
      <c r="E6157" s="1" t="n">
        <v>46319</v>
      </c>
      <c r="F6157" t="inlineStr">
        <is>
          <t>DALARNAS LÄN</t>
        </is>
      </c>
      <c r="G6157" t="inlineStr">
        <is>
          <t>RÄTTVIK</t>
        </is>
      </c>
      <c r="H6157" t="inlineStr">
        <is>
          <t>Sveaskog</t>
        </is>
      </c>
      <c r="I6157" t="n">
        <v>4.5</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5584-2024</t>
        </is>
      </c>
      <c r="B6158" t="inlineStr">
        <is>
          <t>avverkningsanmälan</t>
        </is>
      </c>
      <c r="C6158" t="inlineStr">
        <is>
          <t>Föryngringsavverkning</t>
        </is>
      </c>
      <c r="D6158" s="1" t="n">
        <v>45334</v>
      </c>
      <c r="E6158" s="1" t="n">
        <v>46319</v>
      </c>
      <c r="F6158" t="inlineStr">
        <is>
          <t>DALARNAS LÄN</t>
        </is>
      </c>
      <c r="G6158" t="inlineStr">
        <is>
          <t>LEKSAND</t>
        </is>
      </c>
      <c r="H6158" t="inlineStr">
        <is>
          <t>Kyrkan</t>
        </is>
      </c>
      <c r="I6158" t="n">
        <v>0.4</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14212-2026</t>
        </is>
      </c>
      <c r="B6159" t="inlineStr">
        <is>
          <t>avverkningsanmälan</t>
        </is>
      </c>
      <c r="C6159" t="inlineStr">
        <is>
          <t>Föryngringsavverkning</t>
        </is>
      </c>
      <c r="D6159" s="1" t="n">
        <v>46099</v>
      </c>
      <c r="E6159" s="1" t="n">
        <v>46319</v>
      </c>
      <c r="F6159" t="inlineStr">
        <is>
          <t>DALARNAS LÄN</t>
        </is>
      </c>
      <c r="G6159" t="inlineStr">
        <is>
          <t>FALUN</t>
        </is>
      </c>
      <c r="H6159" t="inlineStr">
        <is>
          <t>Bergvik skog väst AB</t>
        </is>
      </c>
      <c r="I6159" t="n">
        <v>1.1</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14214-2026</t>
        </is>
      </c>
      <c r="B6160" t="inlineStr">
        <is>
          <t>avverkningsanmälan</t>
        </is>
      </c>
      <c r="C6160" t="inlineStr">
        <is>
          <t>Föryngringsavverkning</t>
        </is>
      </c>
      <c r="D6160" s="1" t="n">
        <v>46099</v>
      </c>
      <c r="E6160" s="1" t="n">
        <v>46319</v>
      </c>
      <c r="F6160" t="inlineStr">
        <is>
          <t>DALARNAS LÄN</t>
        </is>
      </c>
      <c r="G6160" t="inlineStr">
        <is>
          <t>FALUN</t>
        </is>
      </c>
      <c r="H6160" t="inlineStr">
        <is>
          <t>Bergvik skog väst AB</t>
        </is>
      </c>
      <c r="I6160" t="n">
        <v>1.4</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14231-2026</t>
        </is>
      </c>
      <c r="B6161" t="inlineStr">
        <is>
          <t>avverkningsanmälan</t>
        </is>
      </c>
      <c r="C6161" t="inlineStr">
        <is>
          <t>Föryngringsavverkning</t>
        </is>
      </c>
      <c r="D6161" s="1" t="n">
        <v>46099</v>
      </c>
      <c r="E6161" s="1" t="n">
        <v>46319</v>
      </c>
      <c r="F6161" t="inlineStr">
        <is>
          <t>DALARNAS LÄN</t>
        </is>
      </c>
      <c r="G6161" t="inlineStr">
        <is>
          <t>FALUN</t>
        </is>
      </c>
      <c r="H6161" t="inlineStr">
        <is>
          <t>Bergvik skog väst AB</t>
        </is>
      </c>
      <c r="I6161" t="n">
        <v>2.6</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5698-2024</t>
        </is>
      </c>
      <c r="B6162" t="inlineStr">
        <is>
          <t>avverkningsanmälan</t>
        </is>
      </c>
      <c r="C6162" t="inlineStr">
        <is>
          <t>Föryngringsavverkning</t>
        </is>
      </c>
      <c r="D6162" s="1" t="n">
        <v>45334</v>
      </c>
      <c r="E6162" s="1" t="n">
        <v>46319</v>
      </c>
      <c r="F6162" t="inlineStr">
        <is>
          <t>DALARNAS LÄN</t>
        </is>
      </c>
      <c r="G6162" t="inlineStr">
        <is>
          <t>SÄTER</t>
        </is>
      </c>
      <c r="H6162" t="inlineStr">
        <is>
          <t>Kommuner</t>
        </is>
      </c>
      <c r="I6162" t="n">
        <v>3.2</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40931-2026</t>
        </is>
      </c>
      <c r="B6163" t="inlineStr">
        <is>
          <t>avverkningsanmälan</t>
        </is>
      </c>
      <c r="C6163" t="inlineStr">
        <is>
          <t>Föryngringsavverkning</t>
        </is>
      </c>
      <c r="D6163" s="1" t="n">
        <v>46297</v>
      </c>
      <c r="E6163" s="1" t="n">
        <v>46319</v>
      </c>
      <c r="F6163" t="inlineStr">
        <is>
          <t>DALARNAS LÄN</t>
        </is>
      </c>
      <c r="G6163" t="inlineStr">
        <is>
          <t>RÄTTVIK</t>
        </is>
      </c>
      <c r="I6163" t="n">
        <v>2.7</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14011-2026</t>
        </is>
      </c>
      <c r="B6164" t="inlineStr">
        <is>
          <t>avverkningsanmälan</t>
        </is>
      </c>
      <c r="C6164" t="inlineStr">
        <is>
          <t>Föryngringsavverkning</t>
        </is>
      </c>
      <c r="D6164" s="1" t="n">
        <v>46098</v>
      </c>
      <c r="E6164" s="1" t="n">
        <v>46319</v>
      </c>
      <c r="F6164" t="inlineStr">
        <is>
          <t>DALARNAS LÄN</t>
        </is>
      </c>
      <c r="G6164" t="inlineStr">
        <is>
          <t>SMEDJEBACKEN</t>
        </is>
      </c>
      <c r="H6164" t="inlineStr">
        <is>
          <t>Bergvik skog väst AB</t>
        </is>
      </c>
      <c r="I6164" t="n">
        <v>1.2</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33374-2025</t>
        </is>
      </c>
      <c r="B6165" t="inlineStr">
        <is>
          <t>avverkningsanmälan</t>
        </is>
      </c>
      <c r="C6165" t="inlineStr">
        <is>
          <t>Föryngringsavverkning</t>
        </is>
      </c>
      <c r="D6165" s="1" t="n">
        <v>45841</v>
      </c>
      <c r="E6165" s="1" t="n">
        <v>46319</v>
      </c>
      <c r="F6165" t="inlineStr">
        <is>
          <t>DALARNAS LÄN</t>
        </is>
      </c>
      <c r="G6165" t="inlineStr">
        <is>
          <t>ORSA</t>
        </is>
      </c>
      <c r="I6165" t="n">
        <v>1</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33659-2025</t>
        </is>
      </c>
      <c r="B6166" t="inlineStr">
        <is>
          <t>avverkningsanmälan</t>
        </is>
      </c>
      <c r="C6166" t="inlineStr">
        <is>
          <t>Föryngringsavverkning</t>
        </is>
      </c>
      <c r="D6166" s="1" t="n">
        <v>45841</v>
      </c>
      <c r="E6166" s="1" t="n">
        <v>46319</v>
      </c>
      <c r="F6166" t="inlineStr">
        <is>
          <t>DALARNAS LÄN</t>
        </is>
      </c>
      <c r="G6166" t="inlineStr">
        <is>
          <t>MALUNG-SÄLEN</t>
        </is>
      </c>
      <c r="H6166" t="inlineStr">
        <is>
          <t>Bergvik skog väst AB</t>
        </is>
      </c>
      <c r="I6166" t="n">
        <v>3.4</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13817-2026</t>
        </is>
      </c>
      <c r="B6167" t="inlineStr">
        <is>
          <t>avverkningsanmälan</t>
        </is>
      </c>
      <c r="C6167" t="inlineStr">
        <is>
          <t>Föryngringsavverkning</t>
        </is>
      </c>
      <c r="D6167" s="1" t="n">
        <v>46098</v>
      </c>
      <c r="E6167" s="1" t="n">
        <v>46319</v>
      </c>
      <c r="F6167" t="inlineStr">
        <is>
          <t>DALARNAS LÄN</t>
        </is>
      </c>
      <c r="G6167" t="inlineStr">
        <is>
          <t>FALUN</t>
        </is>
      </c>
      <c r="I6167" t="n">
        <v>19.6</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13853-2026</t>
        </is>
      </c>
      <c r="B6168" t="inlineStr">
        <is>
          <t>avverkningsanmälan</t>
        </is>
      </c>
      <c r="C6168" t="inlineStr">
        <is>
          <t>Föryngringsavverkning</t>
        </is>
      </c>
      <c r="D6168" s="1" t="n">
        <v>46098</v>
      </c>
      <c r="E6168" s="1" t="n">
        <v>46319</v>
      </c>
      <c r="F6168" t="inlineStr">
        <is>
          <t>DALARNAS LÄN</t>
        </is>
      </c>
      <c r="G6168" t="inlineStr">
        <is>
          <t>MORA</t>
        </is>
      </c>
      <c r="I6168" t="n">
        <v>1.4</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14310-2026</t>
        </is>
      </c>
      <c r="B6169" t="inlineStr">
        <is>
          <t>avverkningsanmälan</t>
        </is>
      </c>
      <c r="C6169" t="inlineStr">
        <is>
          <t>Föryngringsavverkning</t>
        </is>
      </c>
      <c r="D6169" s="1" t="n">
        <v>46099</v>
      </c>
      <c r="E6169" s="1" t="n">
        <v>46319</v>
      </c>
      <c r="F6169" t="inlineStr">
        <is>
          <t>DALARNAS LÄN</t>
        </is>
      </c>
      <c r="G6169" t="inlineStr">
        <is>
          <t>FALUN</t>
        </is>
      </c>
      <c r="H6169" t="inlineStr">
        <is>
          <t>Bergvik skog väst AB</t>
        </is>
      </c>
      <c r="I6169" t="n">
        <v>29.8</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33306-2025</t>
        </is>
      </c>
      <c r="B6170" t="inlineStr">
        <is>
          <t>avverkningsanmälan</t>
        </is>
      </c>
      <c r="C6170" t="inlineStr">
        <is>
          <t>Föryngringsavverkning</t>
        </is>
      </c>
      <c r="D6170" s="1" t="n">
        <v>45841</v>
      </c>
      <c r="E6170" s="1" t="n">
        <v>46319</v>
      </c>
      <c r="F6170" t="inlineStr">
        <is>
          <t>DALARNAS LÄN</t>
        </is>
      </c>
      <c r="G6170" t="inlineStr">
        <is>
          <t>MALUNG-SÄLEN</t>
        </is>
      </c>
      <c r="I6170" t="n">
        <v>0.7</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33880-2025</t>
        </is>
      </c>
      <c r="B6171" t="inlineStr">
        <is>
          <t>avverkningsanmälan</t>
        </is>
      </c>
      <c r="C6171" t="inlineStr">
        <is>
          <t>Föryngringsavverkning</t>
        </is>
      </c>
      <c r="D6171" s="1" t="n">
        <v>45842</v>
      </c>
      <c r="E6171" s="1" t="n">
        <v>46319</v>
      </c>
      <c r="F6171" t="inlineStr">
        <is>
          <t>DALARNAS LÄN</t>
        </is>
      </c>
      <c r="G6171" t="inlineStr">
        <is>
          <t>MALUNG-SÄLEN</t>
        </is>
      </c>
      <c r="I6171" t="n">
        <v>2.2</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33286-2025</t>
        </is>
      </c>
      <c r="B6172" t="inlineStr">
        <is>
          <t>avverkningsanmälan</t>
        </is>
      </c>
      <c r="C6172" t="inlineStr">
        <is>
          <t>Föryngringsavverkning</t>
        </is>
      </c>
      <c r="D6172" s="1" t="n">
        <v>45840</v>
      </c>
      <c r="E6172" s="1" t="n">
        <v>46319</v>
      </c>
      <c r="F6172" t="inlineStr">
        <is>
          <t>DALARNAS LÄN</t>
        </is>
      </c>
      <c r="G6172" t="inlineStr">
        <is>
          <t>HEDEMORA</t>
        </is>
      </c>
      <c r="H6172" t="inlineStr">
        <is>
          <t>Sveaskog</t>
        </is>
      </c>
      <c r="I6172" t="n">
        <v>7.1</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14199-2026</t>
        </is>
      </c>
      <c r="B6173" t="inlineStr">
        <is>
          <t>avverkningsanmälan</t>
        </is>
      </c>
      <c r="C6173" t="inlineStr">
        <is>
          <t>Föryngringsavverkning</t>
        </is>
      </c>
      <c r="D6173" s="1" t="n">
        <v>46099</v>
      </c>
      <c r="E6173" s="1" t="n">
        <v>46319</v>
      </c>
      <c r="F6173" t="inlineStr">
        <is>
          <t>DALARNAS LÄN</t>
        </is>
      </c>
      <c r="G6173" t="inlineStr">
        <is>
          <t>FALUN</t>
        </is>
      </c>
      <c r="I6173" t="n">
        <v>2.7</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33912-2025</t>
        </is>
      </c>
      <c r="B6174" t="inlineStr">
        <is>
          <t>avverkningsanmälan</t>
        </is>
      </c>
      <c r="C6174" t="inlineStr">
        <is>
          <t>Föryngringsavverkning</t>
        </is>
      </c>
      <c r="D6174" s="1" t="n">
        <v>45842</v>
      </c>
      <c r="E6174" s="1" t="n">
        <v>46319</v>
      </c>
      <c r="F6174" t="inlineStr">
        <is>
          <t>DALARNAS LÄN</t>
        </is>
      </c>
      <c r="G6174" t="inlineStr">
        <is>
          <t>SMEDJEBACKEN</t>
        </is>
      </c>
      <c r="I6174" t="n">
        <v>1.6</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33670-2025</t>
        </is>
      </c>
      <c r="B6175" t="inlineStr">
        <is>
          <t>avverkningsanmälan</t>
        </is>
      </c>
      <c r="C6175" t="inlineStr">
        <is>
          <t>Föryngringsavverkning</t>
        </is>
      </c>
      <c r="D6175" s="1" t="n">
        <v>45841</v>
      </c>
      <c r="E6175" s="1" t="n">
        <v>46319</v>
      </c>
      <c r="F6175" t="inlineStr">
        <is>
          <t>DALARNAS LÄN</t>
        </is>
      </c>
      <c r="G6175" t="inlineStr">
        <is>
          <t>MALUNG-SÄLEN</t>
        </is>
      </c>
      <c r="H6175" t="inlineStr">
        <is>
          <t>Bergvik skog väst AB</t>
        </is>
      </c>
      <c r="I6175" t="n">
        <v>8.5</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14209-2026</t>
        </is>
      </c>
      <c r="B6176" t="inlineStr">
        <is>
          <t>avverkningsanmälan</t>
        </is>
      </c>
      <c r="C6176" t="inlineStr">
        <is>
          <t>Föryngringsavverkning</t>
        </is>
      </c>
      <c r="D6176" s="1" t="n">
        <v>46099</v>
      </c>
      <c r="E6176" s="1" t="n">
        <v>46319</v>
      </c>
      <c r="F6176" t="inlineStr">
        <is>
          <t>DALARNAS LÄN</t>
        </is>
      </c>
      <c r="G6176" t="inlineStr">
        <is>
          <t>FALUN</t>
        </is>
      </c>
      <c r="H6176" t="inlineStr">
        <is>
          <t>Bergvik skog väst AB</t>
        </is>
      </c>
      <c r="I6176" t="n">
        <v>5.7</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14317-2026</t>
        </is>
      </c>
      <c r="B6177" t="inlineStr">
        <is>
          <t>avverkningsanmälan</t>
        </is>
      </c>
      <c r="C6177" t="inlineStr">
        <is>
          <t>Föryngringsavverkning</t>
        </is>
      </c>
      <c r="D6177" s="1" t="n">
        <v>46099</v>
      </c>
      <c r="E6177" s="1" t="n">
        <v>46319</v>
      </c>
      <c r="F6177" t="inlineStr">
        <is>
          <t>DALARNAS LÄN</t>
        </is>
      </c>
      <c r="G6177" t="inlineStr">
        <is>
          <t>RÄTTVIK</t>
        </is>
      </c>
      <c r="I6177" t="n">
        <v>2.3</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29861-2024</t>
        </is>
      </c>
      <c r="B6178" t="inlineStr">
        <is>
          <t>avverkningsanmälan</t>
        </is>
      </c>
      <c r="C6178" t="inlineStr">
        <is>
          <t>Föryngringsavverkning</t>
        </is>
      </c>
      <c r="D6178" s="1" t="n">
        <v>45485</v>
      </c>
      <c r="E6178" s="1" t="n">
        <v>46319</v>
      </c>
      <c r="F6178" t="inlineStr">
        <is>
          <t>DALARNAS LÄN</t>
        </is>
      </c>
      <c r="G6178" t="inlineStr">
        <is>
          <t>BORLÄNGE</t>
        </is>
      </c>
      <c r="I6178" t="n">
        <v>0.6</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33403-2025</t>
        </is>
      </c>
      <c r="B6179" t="inlineStr">
        <is>
          <t>avverkningsanmälan</t>
        </is>
      </c>
      <c r="C6179" t="inlineStr">
        <is>
          <t>Föryngringsavverkning</t>
        </is>
      </c>
      <c r="D6179" s="1" t="n">
        <v>45841</v>
      </c>
      <c r="E6179" s="1" t="n">
        <v>46319</v>
      </c>
      <c r="F6179" t="inlineStr">
        <is>
          <t>DALARNAS LÄN</t>
        </is>
      </c>
      <c r="G6179" t="inlineStr">
        <is>
          <t>MALUNG-SÄLEN</t>
        </is>
      </c>
      <c r="I6179" t="n">
        <v>1.3</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13937-2026</t>
        </is>
      </c>
      <c r="B6180" t="inlineStr">
        <is>
          <t>avverkningsanmälan</t>
        </is>
      </c>
      <c r="C6180" t="inlineStr">
        <is>
          <t>Föryngringsavverkning</t>
        </is>
      </c>
      <c r="D6180" s="1" t="n">
        <v>46098</v>
      </c>
      <c r="E6180" s="1" t="n">
        <v>46319</v>
      </c>
      <c r="F6180" t="inlineStr">
        <is>
          <t>DALARNAS LÄN</t>
        </is>
      </c>
      <c r="G6180" t="inlineStr">
        <is>
          <t>HEDEMORA</t>
        </is>
      </c>
      <c r="H6180" t="inlineStr">
        <is>
          <t>Sveaskog</t>
        </is>
      </c>
      <c r="I6180" t="n">
        <v>1</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13913-2026</t>
        </is>
      </c>
      <c r="B6181" t="inlineStr">
        <is>
          <t>avverkningsanmälan</t>
        </is>
      </c>
      <c r="C6181" t="inlineStr">
        <is>
          <t>Föryngringsavverkning</t>
        </is>
      </c>
      <c r="D6181" s="1" t="n">
        <v>46098</v>
      </c>
      <c r="E6181" s="1" t="n">
        <v>46319</v>
      </c>
      <c r="F6181" t="inlineStr">
        <is>
          <t>DALARNAS LÄN</t>
        </is>
      </c>
      <c r="G6181" t="inlineStr">
        <is>
          <t>HEDEMORA</t>
        </is>
      </c>
      <c r="I6181" t="n">
        <v>1.5</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13692-2026</t>
        </is>
      </c>
      <c r="B6182" t="inlineStr">
        <is>
          <t>avverkningsanmälan</t>
        </is>
      </c>
      <c r="C6182" t="inlineStr">
        <is>
          <t>Föryngringsavverkning</t>
        </is>
      </c>
      <c r="D6182" s="1" t="n">
        <v>46094</v>
      </c>
      <c r="E6182" s="1" t="n">
        <v>46319</v>
      </c>
      <c r="F6182" t="inlineStr">
        <is>
          <t>DALARNAS LÄN</t>
        </is>
      </c>
      <c r="G6182" t="inlineStr">
        <is>
          <t>RÄTTVIK</t>
        </is>
      </c>
      <c r="I6182" t="n">
        <v>10.1</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33542-2025</t>
        </is>
      </c>
      <c r="B6183" t="inlineStr">
        <is>
          <t>avverkningsanmälan</t>
        </is>
      </c>
      <c r="C6183" t="inlineStr">
        <is>
          <t>Föryngringsavverkning</t>
        </is>
      </c>
      <c r="D6183" s="1" t="n">
        <v>45841</v>
      </c>
      <c r="E6183" s="1" t="n">
        <v>46319</v>
      </c>
      <c r="F6183" t="inlineStr">
        <is>
          <t>DALARNAS LÄN</t>
        </is>
      </c>
      <c r="G6183" t="inlineStr">
        <is>
          <t>FALUN</t>
        </is>
      </c>
      <c r="H6183" t="inlineStr">
        <is>
          <t>Bergvik skog väst AB</t>
        </is>
      </c>
      <c r="I6183" t="n">
        <v>2.6</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13829-2026</t>
        </is>
      </c>
      <c r="B6184" t="inlineStr">
        <is>
          <t>avverkningsanmälan</t>
        </is>
      </c>
      <c r="C6184" t="inlineStr">
        <is>
          <t>Föryngringsavverkning</t>
        </is>
      </c>
      <c r="D6184" s="1" t="n">
        <v>46098</v>
      </c>
      <c r="E6184" s="1" t="n">
        <v>46319</v>
      </c>
      <c r="F6184" t="inlineStr">
        <is>
          <t>DALARNAS LÄN</t>
        </is>
      </c>
      <c r="G6184" t="inlineStr">
        <is>
          <t>FALUN</t>
        </is>
      </c>
      <c r="I6184" t="n">
        <v>13.1</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13847-2026</t>
        </is>
      </c>
      <c r="B6185" t="inlineStr">
        <is>
          <t>avverkningsanmälan</t>
        </is>
      </c>
      <c r="C6185" t="inlineStr">
        <is>
          <t>Föryngringsavverkning</t>
        </is>
      </c>
      <c r="D6185" s="1" t="n">
        <v>46098</v>
      </c>
      <c r="E6185" s="1" t="n">
        <v>46319</v>
      </c>
      <c r="F6185" t="inlineStr">
        <is>
          <t>DALARNAS LÄN</t>
        </is>
      </c>
      <c r="G6185" t="inlineStr">
        <is>
          <t>HEDEMORA</t>
        </is>
      </c>
      <c r="H6185" t="inlineStr">
        <is>
          <t>Sveaskog</t>
        </is>
      </c>
      <c r="I6185" t="n">
        <v>1.3</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13888-2026</t>
        </is>
      </c>
      <c r="B6186" t="inlineStr">
        <is>
          <t>avverkningsanmälan</t>
        </is>
      </c>
      <c r="C6186" t="inlineStr">
        <is>
          <t>Föryngringsavverkning</t>
        </is>
      </c>
      <c r="D6186" s="1" t="n">
        <v>46098</v>
      </c>
      <c r="E6186" s="1" t="n">
        <v>46319</v>
      </c>
      <c r="F6186" t="inlineStr">
        <is>
          <t>DALARNAS LÄN</t>
        </is>
      </c>
      <c r="G6186" t="inlineStr">
        <is>
          <t>SÄTER</t>
        </is>
      </c>
      <c r="I6186" t="n">
        <v>0.9</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13840-2026</t>
        </is>
      </c>
      <c r="B6187" t="inlineStr">
        <is>
          <t>avverkningsanmälan</t>
        </is>
      </c>
      <c r="C6187" t="inlineStr">
        <is>
          <t>Föryngringsavverkning</t>
        </is>
      </c>
      <c r="D6187" s="1" t="n">
        <v>46098</v>
      </c>
      <c r="E6187" s="1" t="n">
        <v>46319</v>
      </c>
      <c r="F6187" t="inlineStr">
        <is>
          <t>DALARNAS LÄN</t>
        </is>
      </c>
      <c r="G6187" t="inlineStr">
        <is>
          <t>HEDEMORA</t>
        </is>
      </c>
      <c r="H6187" t="inlineStr">
        <is>
          <t>Sveaskog</t>
        </is>
      </c>
      <c r="I6187" t="n">
        <v>0.7</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13916-2026</t>
        </is>
      </c>
      <c r="B6188" t="inlineStr">
        <is>
          <t>avverkningsanmälan</t>
        </is>
      </c>
      <c r="C6188" t="inlineStr">
        <is>
          <t>Föryngringsavverkning</t>
        </is>
      </c>
      <c r="D6188" s="1" t="n">
        <v>46098</v>
      </c>
      <c r="E6188" s="1" t="n">
        <v>46319</v>
      </c>
      <c r="F6188" t="inlineStr">
        <is>
          <t>DALARNAS LÄN</t>
        </is>
      </c>
      <c r="G6188" t="inlineStr">
        <is>
          <t>HEDEMORA</t>
        </is>
      </c>
      <c r="I6188" t="n">
        <v>2.1</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14217-2026</t>
        </is>
      </c>
      <c r="B6189" t="inlineStr">
        <is>
          <t>avverkningsanmälan</t>
        </is>
      </c>
      <c r="C6189" t="inlineStr">
        <is>
          <t>Föryngringsavverkning</t>
        </is>
      </c>
      <c r="D6189" s="1" t="n">
        <v>46099</v>
      </c>
      <c r="E6189" s="1" t="n">
        <v>46319</v>
      </c>
      <c r="F6189" t="inlineStr">
        <is>
          <t>DALARNAS LÄN</t>
        </is>
      </c>
      <c r="G6189" t="inlineStr">
        <is>
          <t>FALUN</t>
        </is>
      </c>
      <c r="H6189" t="inlineStr">
        <is>
          <t>Bergvik skog väst AB</t>
        </is>
      </c>
      <c r="I6189" t="n">
        <v>24.5</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34583-2026</t>
        </is>
      </c>
      <c r="B6190" t="inlineStr">
        <is>
          <t>avverkningsanmälan</t>
        </is>
      </c>
      <c r="C6190" t="inlineStr">
        <is>
          <t>Föryngringsavverkning</t>
        </is>
      </c>
      <c r="D6190" s="1" t="n">
        <v>46255</v>
      </c>
      <c r="E6190" s="1" t="n">
        <v>46319</v>
      </c>
      <c r="F6190" t="inlineStr">
        <is>
          <t>DALARNAS LÄN</t>
        </is>
      </c>
      <c r="G6190" t="inlineStr">
        <is>
          <t>VANSBRO</t>
        </is>
      </c>
      <c r="H6190" t="inlineStr">
        <is>
          <t>Bergvik skog väst AB</t>
        </is>
      </c>
      <c r="I6190" t="n">
        <v>1.9</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13851-2026</t>
        </is>
      </c>
      <c r="B6191" t="inlineStr">
        <is>
          <t>avverkningsanmälan</t>
        </is>
      </c>
      <c r="C6191" t="inlineStr">
        <is>
          <t>Föryngringsavverkning</t>
        </is>
      </c>
      <c r="D6191" s="1" t="n">
        <v>46098</v>
      </c>
      <c r="E6191" s="1" t="n">
        <v>46319</v>
      </c>
      <c r="F6191" t="inlineStr">
        <is>
          <t>DALARNAS LÄN</t>
        </is>
      </c>
      <c r="G6191" t="inlineStr">
        <is>
          <t>SMEDJEBACKEN</t>
        </is>
      </c>
      <c r="I6191" t="n">
        <v>1</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41285-2026</t>
        </is>
      </c>
      <c r="B6192" t="inlineStr">
        <is>
          <t>avverkningsanmälan</t>
        </is>
      </c>
      <c r="C6192" t="inlineStr">
        <is>
          <t>Föryngringsavverkning</t>
        </is>
      </c>
      <c r="D6192" s="1" t="n">
        <v>46300</v>
      </c>
      <c r="E6192" s="1" t="n">
        <v>46319</v>
      </c>
      <c r="F6192" t="inlineStr">
        <is>
          <t>DALARNAS LÄN</t>
        </is>
      </c>
      <c r="G6192" t="inlineStr">
        <is>
          <t>VANSBRO</t>
        </is>
      </c>
      <c r="H6192" t="inlineStr">
        <is>
          <t>Bergvik skog öst AB</t>
        </is>
      </c>
      <c r="I6192" t="n">
        <v>4.1</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14311-2026</t>
        </is>
      </c>
      <c r="B6193" t="inlineStr">
        <is>
          <t>avverkningsanmälan</t>
        </is>
      </c>
      <c r="C6193" t="inlineStr">
        <is>
          <t>Föryngringsavverkning</t>
        </is>
      </c>
      <c r="D6193" s="1" t="n">
        <v>46099</v>
      </c>
      <c r="E6193" s="1" t="n">
        <v>46319</v>
      </c>
      <c r="F6193" t="inlineStr">
        <is>
          <t>DALARNAS LÄN</t>
        </is>
      </c>
      <c r="G6193" t="inlineStr">
        <is>
          <t>FALUN</t>
        </is>
      </c>
      <c r="H6193" t="inlineStr">
        <is>
          <t>Bergvik skog väst AB</t>
        </is>
      </c>
      <c r="I6193" t="n">
        <v>63.9</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33647-2025</t>
        </is>
      </c>
      <c r="B6194" t="inlineStr">
        <is>
          <t>avverkningsanmälan</t>
        </is>
      </c>
      <c r="C6194" t="inlineStr">
        <is>
          <t>Föryngringsavverkning</t>
        </is>
      </c>
      <c r="D6194" s="1" t="n">
        <v>45841</v>
      </c>
      <c r="E6194" s="1" t="n">
        <v>46319</v>
      </c>
      <c r="F6194" t="inlineStr">
        <is>
          <t>DALARNAS LÄN</t>
        </is>
      </c>
      <c r="G6194" t="inlineStr">
        <is>
          <t>MALUNG-SÄLEN</t>
        </is>
      </c>
      <c r="H6194" t="inlineStr">
        <is>
          <t>Övriga statliga verk och myndigheter</t>
        </is>
      </c>
      <c r="I6194" t="n">
        <v>5.2</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32762-2026</t>
        </is>
      </c>
      <c r="B6195" t="inlineStr">
        <is>
          <t>avverkningsanmälan</t>
        </is>
      </c>
      <c r="C6195" t="inlineStr">
        <is>
          <t>Föryngringsavverkning</t>
        </is>
      </c>
      <c r="D6195" s="1" t="n">
        <v>46241</v>
      </c>
      <c r="E6195" s="1" t="n">
        <v>46319</v>
      </c>
      <c r="F6195" t="inlineStr">
        <is>
          <t>DALARNAS LÄN</t>
        </is>
      </c>
      <c r="G6195" t="inlineStr">
        <is>
          <t>SMEDJEBACKEN</t>
        </is>
      </c>
      <c r="I6195" t="n">
        <v>4</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14122-2026</t>
        </is>
      </c>
      <c r="B6196" t="inlineStr">
        <is>
          <t>avverkningsanmälan</t>
        </is>
      </c>
      <c r="C6196" t="inlineStr">
        <is>
          <t>Föryngringsavverkning</t>
        </is>
      </c>
      <c r="D6196" s="1" t="n">
        <v>46099</v>
      </c>
      <c r="E6196" s="1" t="n">
        <v>46319</v>
      </c>
      <c r="F6196" t="inlineStr">
        <is>
          <t>DALARNAS LÄN</t>
        </is>
      </c>
      <c r="G6196" t="inlineStr">
        <is>
          <t>FALUN</t>
        </is>
      </c>
      <c r="I6196" t="n">
        <v>1.3</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5170-2024</t>
        </is>
      </c>
      <c r="B6197" t="inlineStr">
        <is>
          <t>avverkningsanmälan</t>
        </is>
      </c>
      <c r="C6197" t="inlineStr">
        <is>
          <t>Föryngringsavverkning</t>
        </is>
      </c>
      <c r="D6197" s="1" t="n">
        <v>45330</v>
      </c>
      <c r="E6197" s="1" t="n">
        <v>46319</v>
      </c>
      <c r="F6197" t="inlineStr">
        <is>
          <t>DALARNAS LÄN</t>
        </is>
      </c>
      <c r="G6197" t="inlineStr">
        <is>
          <t>ÄLVDALEN</t>
        </is>
      </c>
      <c r="I6197" t="n">
        <v>15.8</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34103-2026</t>
        </is>
      </c>
      <c r="B6198" t="inlineStr">
        <is>
          <t>avverkningsanmälan</t>
        </is>
      </c>
      <c r="C6198" t="inlineStr">
        <is>
          <t>Föryngringsavverkning</t>
        </is>
      </c>
      <c r="D6198" s="1" t="n">
        <v>46252</v>
      </c>
      <c r="E6198" s="1" t="n">
        <v>46319</v>
      </c>
      <c r="F6198" t="inlineStr">
        <is>
          <t>DALARNAS LÄN</t>
        </is>
      </c>
      <c r="G6198" t="inlineStr">
        <is>
          <t>ÄLVDALEN</t>
        </is>
      </c>
      <c r="I6198" t="n">
        <v>2.6</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13899-2026</t>
        </is>
      </c>
      <c r="B6199" t="inlineStr">
        <is>
          <t>avverkningsanmälan</t>
        </is>
      </c>
      <c r="C6199" t="inlineStr">
        <is>
          <t>Föryngringsavverkning</t>
        </is>
      </c>
      <c r="D6199" s="1" t="n">
        <v>46098</v>
      </c>
      <c r="E6199" s="1" t="n">
        <v>46319</v>
      </c>
      <c r="F6199" t="inlineStr">
        <is>
          <t>DALARNAS LÄN</t>
        </is>
      </c>
      <c r="G6199" t="inlineStr">
        <is>
          <t>SÄTER</t>
        </is>
      </c>
      <c r="I6199" t="n">
        <v>1.7</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14022-2026</t>
        </is>
      </c>
      <c r="B6200" t="inlineStr">
        <is>
          <t>avverkningsanmälan</t>
        </is>
      </c>
      <c r="C6200" t="inlineStr">
        <is>
          <t>Föryngringsavverkning</t>
        </is>
      </c>
      <c r="D6200" s="1" t="n">
        <v>46098</v>
      </c>
      <c r="E6200" s="1" t="n">
        <v>46319</v>
      </c>
      <c r="F6200" t="inlineStr">
        <is>
          <t>DALARNAS LÄN</t>
        </is>
      </c>
      <c r="G6200" t="inlineStr">
        <is>
          <t>FALUN</t>
        </is>
      </c>
      <c r="H6200" t="inlineStr">
        <is>
          <t>Bergvik skog väst AB</t>
        </is>
      </c>
      <c r="I6200" t="n">
        <v>33.9</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13993-2026</t>
        </is>
      </c>
      <c r="B6201" t="inlineStr">
        <is>
          <t>avverkningsanmälan</t>
        </is>
      </c>
      <c r="C6201" t="inlineStr">
        <is>
          <t>Föryngringsavverkning</t>
        </is>
      </c>
      <c r="D6201" s="1" t="n">
        <v>46098</v>
      </c>
      <c r="E6201" s="1" t="n">
        <v>46319</v>
      </c>
      <c r="F6201" t="inlineStr">
        <is>
          <t>DALARNAS LÄN</t>
        </is>
      </c>
      <c r="G6201" t="inlineStr">
        <is>
          <t>MALUNG-SÄLEN</t>
        </is>
      </c>
      <c r="I6201" t="n">
        <v>2.2</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13995-2026</t>
        </is>
      </c>
      <c r="B6202" t="inlineStr">
        <is>
          <t>avverkningsanmälan</t>
        </is>
      </c>
      <c r="C6202" t="inlineStr">
        <is>
          <t>Föryngringsavverkning</t>
        </is>
      </c>
      <c r="D6202" s="1" t="n">
        <v>46098</v>
      </c>
      <c r="E6202" s="1" t="n">
        <v>46319</v>
      </c>
      <c r="F6202" t="inlineStr">
        <is>
          <t>DALARNAS LÄN</t>
        </is>
      </c>
      <c r="G6202" t="inlineStr">
        <is>
          <t>ORSA</t>
        </is>
      </c>
      <c r="I6202" t="n">
        <v>1.2</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14023-2026</t>
        </is>
      </c>
      <c r="B6203" t="inlineStr">
        <is>
          <t>avverkningsanmälan</t>
        </is>
      </c>
      <c r="C6203" t="inlineStr">
        <is>
          <t>Föryngringsavverkning</t>
        </is>
      </c>
      <c r="D6203" s="1" t="n">
        <v>46098</v>
      </c>
      <c r="E6203" s="1" t="n">
        <v>46319</v>
      </c>
      <c r="F6203" t="inlineStr">
        <is>
          <t>DALARNAS LÄN</t>
        </is>
      </c>
      <c r="G6203" t="inlineStr">
        <is>
          <t>FALUN</t>
        </is>
      </c>
      <c r="H6203" t="inlineStr">
        <is>
          <t>Bergvik skog väst AB</t>
        </is>
      </c>
      <c r="I6203" t="n">
        <v>38.2</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14197-2026</t>
        </is>
      </c>
      <c r="B6204" t="inlineStr">
        <is>
          <t>avverkningsanmälan</t>
        </is>
      </c>
      <c r="C6204" t="inlineStr">
        <is>
          <t>Föryngringsavverkning</t>
        </is>
      </c>
      <c r="D6204" s="1" t="n">
        <v>46099</v>
      </c>
      <c r="E6204" s="1" t="n">
        <v>46319</v>
      </c>
      <c r="F6204" t="inlineStr">
        <is>
          <t>DALARNAS LÄN</t>
        </is>
      </c>
      <c r="G6204" t="inlineStr">
        <is>
          <t>HEDEMORA</t>
        </is>
      </c>
      <c r="H6204" t="inlineStr">
        <is>
          <t>Sveaskog</t>
        </is>
      </c>
      <c r="I6204" t="n">
        <v>0.6</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8905-2024</t>
        </is>
      </c>
      <c r="B6205" t="inlineStr">
        <is>
          <t>avverkningsanmälan</t>
        </is>
      </c>
      <c r="C6205" t="inlineStr">
        <is>
          <t>Föryngringsavverkning</t>
        </is>
      </c>
      <c r="D6205" s="1" t="n">
        <v>45357</v>
      </c>
      <c r="E6205" s="1" t="n">
        <v>46319</v>
      </c>
      <c r="F6205" t="inlineStr">
        <is>
          <t>DALARNAS LÄN</t>
        </is>
      </c>
      <c r="G6205" t="inlineStr">
        <is>
          <t>MALUNG-SÄLEN</t>
        </is>
      </c>
      <c r="I6205" t="n">
        <v>5.2</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34510-2025</t>
        </is>
      </c>
      <c r="B6206" t="inlineStr">
        <is>
          <t>avverkningsanmälan</t>
        </is>
      </c>
      <c r="C6206" t="inlineStr">
        <is>
          <t>Föryngringsavverkning</t>
        </is>
      </c>
      <c r="D6206" s="1" t="n">
        <v>45846</v>
      </c>
      <c r="E6206" s="1" t="n">
        <v>46319</v>
      </c>
      <c r="F6206" t="inlineStr">
        <is>
          <t>DALARNAS LÄN</t>
        </is>
      </c>
      <c r="G6206" t="inlineStr">
        <is>
          <t>SMEDJEBACKEN</t>
        </is>
      </c>
      <c r="H6206" t="inlineStr">
        <is>
          <t>Bergvik skog väst AB</t>
        </is>
      </c>
      <c r="I6206" t="n">
        <v>1.8</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27930-2026</t>
        </is>
      </c>
      <c r="B6207" t="inlineStr">
        <is>
          <t>avverkningsanmälan</t>
        </is>
      </c>
      <c r="C6207" t="inlineStr">
        <is>
          <t>Föryngringsavverkning</t>
        </is>
      </c>
      <c r="D6207" s="1" t="n">
        <v>46191</v>
      </c>
      <c r="E6207" s="1" t="n">
        <v>46319</v>
      </c>
      <c r="F6207" t="inlineStr">
        <is>
          <t>DALARNAS LÄN</t>
        </is>
      </c>
      <c r="G6207" t="inlineStr">
        <is>
          <t>VANSBRO</t>
        </is>
      </c>
      <c r="H6207" t="inlineStr">
        <is>
          <t>Bergvik skog väst AB</t>
        </is>
      </c>
      <c r="I6207" t="n">
        <v>0.9</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30737-2024</t>
        </is>
      </c>
      <c r="B6208" t="inlineStr">
        <is>
          <t>avverkningsanmälan</t>
        </is>
      </c>
      <c r="C6208" t="inlineStr">
        <is>
          <t>Föryngringsavverkning</t>
        </is>
      </c>
      <c r="D6208" s="1" t="n">
        <v>45496</v>
      </c>
      <c r="E6208" s="1" t="n">
        <v>46319</v>
      </c>
      <c r="F6208" t="inlineStr">
        <is>
          <t>DALARNAS LÄN</t>
        </is>
      </c>
      <c r="G6208" t="inlineStr">
        <is>
          <t>AVESTA</t>
        </is>
      </c>
      <c r="H6208" t="inlineStr">
        <is>
          <t>Sveaskog</t>
        </is>
      </c>
      <c r="I6208" t="n">
        <v>1.4</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30738-2024</t>
        </is>
      </c>
      <c r="B6209" t="inlineStr">
        <is>
          <t>avverkningsanmälan</t>
        </is>
      </c>
      <c r="C6209" t="inlineStr">
        <is>
          <t>Föryngringsavverkning</t>
        </is>
      </c>
      <c r="D6209" s="1" t="n">
        <v>45496</v>
      </c>
      <c r="E6209" s="1" t="n">
        <v>46319</v>
      </c>
      <c r="F6209" t="inlineStr">
        <is>
          <t>DALARNAS LÄN</t>
        </is>
      </c>
      <c r="G6209" t="inlineStr">
        <is>
          <t>AVESTA</t>
        </is>
      </c>
      <c r="H6209" t="inlineStr">
        <is>
          <t>Sveaskog</t>
        </is>
      </c>
      <c r="I6209" t="n">
        <v>1.3</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60774-2022</t>
        </is>
      </c>
      <c r="B6210" t="inlineStr">
        <is>
          <t>avverkningsanmälan</t>
        </is>
      </c>
      <c r="C6210" t="inlineStr">
        <is>
          <t>Föryngringsavverkning</t>
        </is>
      </c>
      <c r="D6210" s="1" t="n">
        <v>44914</v>
      </c>
      <c r="E6210" s="1" t="n">
        <v>46319</v>
      </c>
      <c r="F6210" t="inlineStr">
        <is>
          <t>DALARNAS LÄN</t>
        </is>
      </c>
      <c r="G6210" t="inlineStr">
        <is>
          <t>HEDEMORA</t>
        </is>
      </c>
      <c r="I6210" t="n">
        <v>11.5</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13816-2026</t>
        </is>
      </c>
      <c r="B6211" t="inlineStr">
        <is>
          <t>avverkningsanmälan</t>
        </is>
      </c>
      <c r="C6211" t="inlineStr">
        <is>
          <t>Föryngringsavverkning</t>
        </is>
      </c>
      <c r="D6211" s="1" t="n">
        <v>46098</v>
      </c>
      <c r="E6211" s="1" t="n">
        <v>46319</v>
      </c>
      <c r="F6211" t="inlineStr">
        <is>
          <t>DALARNAS LÄN</t>
        </is>
      </c>
      <c r="G6211" t="inlineStr">
        <is>
          <t>FALUN</t>
        </is>
      </c>
      <c r="I6211" t="n">
        <v>2.1</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13956-2026</t>
        </is>
      </c>
      <c r="B6212" t="inlineStr">
        <is>
          <t>avverkningsanmälan</t>
        </is>
      </c>
      <c r="C6212" t="inlineStr">
        <is>
          <t>Föryngringsavverkning</t>
        </is>
      </c>
      <c r="D6212" s="1" t="n">
        <v>46098</v>
      </c>
      <c r="E6212" s="1" t="n">
        <v>46319</v>
      </c>
      <c r="F6212" t="inlineStr">
        <is>
          <t>DALARNAS LÄN</t>
        </is>
      </c>
      <c r="G6212" t="inlineStr">
        <is>
          <t>SMEDJEBACKEN</t>
        </is>
      </c>
      <c r="H6212" t="inlineStr">
        <is>
          <t>Övriga Aktiebolag</t>
        </is>
      </c>
      <c r="I6212" t="n">
        <v>28.8</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39784-2026</t>
        </is>
      </c>
      <c r="B6213" t="inlineStr">
        <is>
          <t>avverkningsanmälan</t>
        </is>
      </c>
      <c r="C6213" t="inlineStr">
        <is>
          <t>Föryngringsavverkning</t>
        </is>
      </c>
      <c r="D6213" s="1" t="n">
        <v>46290</v>
      </c>
      <c r="E6213" s="1" t="n">
        <v>46319</v>
      </c>
      <c r="F6213" t="inlineStr">
        <is>
          <t>DALARNAS LÄN</t>
        </is>
      </c>
      <c r="G6213" t="inlineStr">
        <is>
          <t>ORSA</t>
        </is>
      </c>
      <c r="I6213" t="n">
        <v>1</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51323-2024</t>
        </is>
      </c>
      <c r="B6214" t="inlineStr">
        <is>
          <t>avverkningsanmälan</t>
        </is>
      </c>
      <c r="C6214" t="inlineStr">
        <is>
          <t>Avverkning för annat ändamål</t>
        </is>
      </c>
      <c r="D6214" s="1" t="n">
        <v>45604</v>
      </c>
      <c r="E6214" s="1" t="n">
        <v>46319</v>
      </c>
      <c r="F6214" t="inlineStr">
        <is>
          <t>DALARNAS LÄN</t>
        </is>
      </c>
      <c r="G6214" t="inlineStr">
        <is>
          <t>SÄTER</t>
        </is>
      </c>
      <c r="I6214" t="n">
        <v>0.2</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14496-2026</t>
        </is>
      </c>
      <c r="B6215" t="inlineStr">
        <is>
          <t>avverkningsanmälan</t>
        </is>
      </c>
      <c r="C6215" t="inlineStr">
        <is>
          <t>Föryngringsavverkning</t>
        </is>
      </c>
      <c r="D6215" s="1" t="n">
        <v>46100</v>
      </c>
      <c r="E6215" s="1" t="n">
        <v>46319</v>
      </c>
      <c r="F6215" t="inlineStr">
        <is>
          <t>DALARNAS LÄN</t>
        </is>
      </c>
      <c r="G6215" t="inlineStr">
        <is>
          <t>RÄTTVIK</t>
        </is>
      </c>
      <c r="I6215" t="n">
        <v>1.3</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14558-2026</t>
        </is>
      </c>
      <c r="B6216" t="inlineStr">
        <is>
          <t>avverkningsanmälan</t>
        </is>
      </c>
      <c r="C6216" t="inlineStr">
        <is>
          <t>Föryngringsavverkning</t>
        </is>
      </c>
      <c r="D6216" s="1" t="n">
        <v>46100</v>
      </c>
      <c r="E6216" s="1" t="n">
        <v>46319</v>
      </c>
      <c r="F6216" t="inlineStr">
        <is>
          <t>DALARNAS LÄN</t>
        </is>
      </c>
      <c r="G6216" t="inlineStr">
        <is>
          <t>FALUN</t>
        </is>
      </c>
      <c r="H6216" t="inlineStr">
        <is>
          <t>Allmännings- och besparingsskogar</t>
        </is>
      </c>
      <c r="I6216" t="n">
        <v>9.800000000000001</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14657-2026</t>
        </is>
      </c>
      <c r="B6217" t="inlineStr">
        <is>
          <t>avverkningsanmälan</t>
        </is>
      </c>
      <c r="C6217" t="inlineStr">
        <is>
          <t>Föryngringsavverkning</t>
        </is>
      </c>
      <c r="D6217" s="1" t="n">
        <v>46101</v>
      </c>
      <c r="E6217" s="1" t="n">
        <v>46319</v>
      </c>
      <c r="F6217" t="inlineStr">
        <is>
          <t>DALARNAS LÄN</t>
        </is>
      </c>
      <c r="G6217" t="inlineStr">
        <is>
          <t>FALUN</t>
        </is>
      </c>
      <c r="I6217" t="n">
        <v>3.3</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14358-2026</t>
        </is>
      </c>
      <c r="B6218" t="inlineStr">
        <is>
          <t>avverkningsanmälan</t>
        </is>
      </c>
      <c r="C6218" t="inlineStr">
        <is>
          <t>Föryngringsavverkning</t>
        </is>
      </c>
      <c r="D6218" s="1" t="n">
        <v>46100</v>
      </c>
      <c r="E6218" s="1" t="n">
        <v>46319</v>
      </c>
      <c r="F6218" t="inlineStr">
        <is>
          <t>DALARNAS LÄN</t>
        </is>
      </c>
      <c r="G6218" t="inlineStr">
        <is>
          <t>ÄLVDALEN</t>
        </is>
      </c>
      <c r="I6218" t="n">
        <v>1.6</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34440-2025</t>
        </is>
      </c>
      <c r="B6219" t="inlineStr">
        <is>
          <t>avverkningsanmälan</t>
        </is>
      </c>
      <c r="C6219" t="inlineStr">
        <is>
          <t>Föryngringsavverkning</t>
        </is>
      </c>
      <c r="D6219" s="1" t="n">
        <v>45846</v>
      </c>
      <c r="E6219" s="1" t="n">
        <v>46319</v>
      </c>
      <c r="F6219" t="inlineStr">
        <is>
          <t>DALARNAS LÄN</t>
        </is>
      </c>
      <c r="G6219" t="inlineStr">
        <is>
          <t>VANSBRO</t>
        </is>
      </c>
      <c r="I6219" t="n">
        <v>1.6</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32720-2024</t>
        </is>
      </c>
      <c r="B6220" t="inlineStr">
        <is>
          <t>avverkningsanmälan</t>
        </is>
      </c>
      <c r="C6220" t="inlineStr">
        <is>
          <t>Föryngringsavverkning</t>
        </is>
      </c>
      <c r="D6220" s="1" t="n">
        <v>45514</v>
      </c>
      <c r="E6220" s="1" t="n">
        <v>46319</v>
      </c>
      <c r="F6220" t="inlineStr">
        <is>
          <t>DALARNAS LÄN</t>
        </is>
      </c>
      <c r="G6220" t="inlineStr">
        <is>
          <t>AVESTA</t>
        </is>
      </c>
      <c r="H6220" t="inlineStr">
        <is>
          <t>Bergvik skog väst AB</t>
        </is>
      </c>
      <c r="I6220" t="n">
        <v>1.1</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14613-2026</t>
        </is>
      </c>
      <c r="B6221" t="inlineStr">
        <is>
          <t>avverkningsanmälan</t>
        </is>
      </c>
      <c r="C6221" t="inlineStr">
        <is>
          <t>Föryngringsavverkning</t>
        </is>
      </c>
      <c r="D6221" s="1" t="n">
        <v>46101</v>
      </c>
      <c r="E6221" s="1" t="n">
        <v>46319</v>
      </c>
      <c r="F6221" t="inlineStr">
        <is>
          <t>DALARNAS LÄN</t>
        </is>
      </c>
      <c r="G6221" t="inlineStr">
        <is>
          <t>SMEDJEBACKEN</t>
        </is>
      </c>
      <c r="H6221" t="inlineStr">
        <is>
          <t>Sveaskog</t>
        </is>
      </c>
      <c r="I6221" t="n">
        <v>2.8</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14509-2026</t>
        </is>
      </c>
      <c r="B6222" t="inlineStr">
        <is>
          <t>avverkningsanmälan</t>
        </is>
      </c>
      <c r="C6222" t="inlineStr">
        <is>
          <t>Föryngringsavverkning</t>
        </is>
      </c>
      <c r="D6222" s="1" t="n">
        <v>46100</v>
      </c>
      <c r="E6222" s="1" t="n">
        <v>46319</v>
      </c>
      <c r="F6222" t="inlineStr">
        <is>
          <t>DALARNAS LÄN</t>
        </is>
      </c>
      <c r="G6222" t="inlineStr">
        <is>
          <t>ORSA</t>
        </is>
      </c>
      <c r="I6222" t="n">
        <v>1.4</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31941-2026</t>
        </is>
      </c>
      <c r="B6223" t="inlineStr">
        <is>
          <t>avverkningsanmälan</t>
        </is>
      </c>
      <c r="C6223" t="inlineStr">
        <is>
          <t>Föryngringsavverkning</t>
        </is>
      </c>
      <c r="D6223" s="1" t="n">
        <v>46232</v>
      </c>
      <c r="E6223" s="1" t="n">
        <v>46319</v>
      </c>
      <c r="F6223" t="inlineStr">
        <is>
          <t>DALARNAS LÄN</t>
        </is>
      </c>
      <c r="G6223" t="inlineStr">
        <is>
          <t>ORSA</t>
        </is>
      </c>
      <c r="I6223" t="n">
        <v>2.1</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38143-2023</t>
        </is>
      </c>
      <c r="B6224" t="inlineStr">
        <is>
          <t>avverkningsanmälan</t>
        </is>
      </c>
      <c r="C6224" t="inlineStr">
        <is>
          <t>Föryngringsavverkning</t>
        </is>
      </c>
      <c r="D6224" s="1" t="n">
        <v>45161</v>
      </c>
      <c r="E6224" s="1" t="n">
        <v>46319</v>
      </c>
      <c r="F6224" t="inlineStr">
        <is>
          <t>DALARNAS LÄN</t>
        </is>
      </c>
      <c r="G6224" t="inlineStr">
        <is>
          <t>RÄTTVIK</t>
        </is>
      </c>
      <c r="I6224" t="n">
        <v>3.5</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14601-2026</t>
        </is>
      </c>
      <c r="B6225" t="inlineStr">
        <is>
          <t>avverkningsanmälan</t>
        </is>
      </c>
      <c r="C6225" t="inlineStr">
        <is>
          <t>Föryngringsavverkning</t>
        </is>
      </c>
      <c r="D6225" s="1" t="n">
        <v>46101</v>
      </c>
      <c r="E6225" s="1" t="n">
        <v>46319</v>
      </c>
      <c r="F6225" t="inlineStr">
        <is>
          <t>DALARNAS LÄN</t>
        </is>
      </c>
      <c r="G6225" t="inlineStr">
        <is>
          <t>SMEDJEBACKEN</t>
        </is>
      </c>
      <c r="H6225" t="inlineStr">
        <is>
          <t>Sveaskog</t>
        </is>
      </c>
      <c r="I6225" t="n">
        <v>4.9</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14609-2026</t>
        </is>
      </c>
      <c r="B6226" t="inlineStr">
        <is>
          <t>avverkningsanmälan</t>
        </is>
      </c>
      <c r="C6226" t="inlineStr">
        <is>
          <t>Föryngringsavverkning</t>
        </is>
      </c>
      <c r="D6226" s="1" t="n">
        <v>46101</v>
      </c>
      <c r="E6226" s="1" t="n">
        <v>46319</v>
      </c>
      <c r="F6226" t="inlineStr">
        <is>
          <t>DALARNAS LÄN</t>
        </is>
      </c>
      <c r="G6226" t="inlineStr">
        <is>
          <t>SMEDJEBACKEN</t>
        </is>
      </c>
      <c r="H6226" t="inlineStr">
        <is>
          <t>Sveaskog</t>
        </is>
      </c>
      <c r="I6226" t="n">
        <v>2.4</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21446-2024</t>
        </is>
      </c>
      <c r="B6227" t="inlineStr">
        <is>
          <t>avverkningsanmälan</t>
        </is>
      </c>
      <c r="C6227" t="inlineStr">
        <is>
          <t>Föryngringsavverkning</t>
        </is>
      </c>
      <c r="D6227" s="1" t="n">
        <v>45441</v>
      </c>
      <c r="E6227" s="1" t="n">
        <v>46319</v>
      </c>
      <c r="F6227" t="inlineStr">
        <is>
          <t>DALARNAS LÄN</t>
        </is>
      </c>
      <c r="G6227" t="inlineStr">
        <is>
          <t>ORSA</t>
        </is>
      </c>
      <c r="I6227" t="n">
        <v>1.6</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35446-2024</t>
        </is>
      </c>
      <c r="B6228" t="inlineStr">
        <is>
          <t>avverkningsanmälan</t>
        </is>
      </c>
      <c r="C6228" t="inlineStr">
        <is>
          <t>Föryngringsavverkning</t>
        </is>
      </c>
      <c r="D6228" s="1" t="n">
        <v>45531</v>
      </c>
      <c r="E6228" s="1" t="n">
        <v>46319</v>
      </c>
      <c r="F6228" t="inlineStr">
        <is>
          <t>DALARNAS LÄN</t>
        </is>
      </c>
      <c r="G6228" t="inlineStr">
        <is>
          <t>FALUN</t>
        </is>
      </c>
      <c r="I6228" t="n">
        <v>0.7</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14409-2026</t>
        </is>
      </c>
      <c r="B6229" t="inlineStr">
        <is>
          <t>avverkningsanmälan</t>
        </is>
      </c>
      <c r="C6229" t="inlineStr">
        <is>
          <t>Föryngringsavverkning</t>
        </is>
      </c>
      <c r="D6229" s="1" t="n">
        <v>46100</v>
      </c>
      <c r="E6229" s="1" t="n">
        <v>46319</v>
      </c>
      <c r="F6229" t="inlineStr">
        <is>
          <t>DALARNAS LÄN</t>
        </is>
      </c>
      <c r="G6229" t="inlineStr">
        <is>
          <t>FALUN</t>
        </is>
      </c>
      <c r="I6229" t="n">
        <v>2.3</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48634-2023</t>
        </is>
      </c>
      <c r="B6230" t="inlineStr">
        <is>
          <t>avverkningsanmälan</t>
        </is>
      </c>
      <c r="C6230" t="inlineStr">
        <is>
          <t>Föryngringsavverkning</t>
        </is>
      </c>
      <c r="D6230" s="1" t="n">
        <v>45202</v>
      </c>
      <c r="E6230" s="1" t="n">
        <v>46319</v>
      </c>
      <c r="F6230" t="inlineStr">
        <is>
          <t>DALARNAS LÄN</t>
        </is>
      </c>
      <c r="G6230" t="inlineStr">
        <is>
          <t>RÄTTVIK</t>
        </is>
      </c>
      <c r="I6230" t="n">
        <v>1.2</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24782-2025</t>
        </is>
      </c>
      <c r="B6231" t="inlineStr">
        <is>
          <t>avverkningsanmälan</t>
        </is>
      </c>
      <c r="C6231" t="inlineStr">
        <is>
          <t>Föryngringsavverkning</t>
        </is>
      </c>
      <c r="D6231" s="1" t="n">
        <v>45799</v>
      </c>
      <c r="E6231" s="1" t="n">
        <v>46319</v>
      </c>
      <c r="F6231" t="inlineStr">
        <is>
          <t>DALARNAS LÄN</t>
        </is>
      </c>
      <c r="G6231" t="inlineStr">
        <is>
          <t>FALUN</t>
        </is>
      </c>
      <c r="I6231" t="n">
        <v>2.8</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14407-2026</t>
        </is>
      </c>
      <c r="B6232" t="inlineStr">
        <is>
          <t>avverkningsanmälan</t>
        </is>
      </c>
      <c r="C6232" t="inlineStr">
        <is>
          <t>Föryngringsavverkning</t>
        </is>
      </c>
      <c r="D6232" s="1" t="n">
        <v>46100</v>
      </c>
      <c r="E6232" s="1" t="n">
        <v>46319</v>
      </c>
      <c r="F6232" t="inlineStr">
        <is>
          <t>DALARNAS LÄN</t>
        </is>
      </c>
      <c r="G6232" t="inlineStr">
        <is>
          <t>FALUN</t>
        </is>
      </c>
      <c r="I6232" t="n">
        <v>9.6</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34551-2026</t>
        </is>
      </c>
      <c r="B6233" t="inlineStr">
        <is>
          <t>avverkningsanmälan</t>
        </is>
      </c>
      <c r="C6233" t="inlineStr">
        <is>
          <t>Föryngringsavverkning</t>
        </is>
      </c>
      <c r="D6233" s="1" t="n">
        <v>46255</v>
      </c>
      <c r="E6233" s="1" t="n">
        <v>46319</v>
      </c>
      <c r="F6233" t="inlineStr">
        <is>
          <t>DALARNAS LÄN</t>
        </is>
      </c>
      <c r="G6233" t="inlineStr">
        <is>
          <t>SMEDJEBACKEN</t>
        </is>
      </c>
      <c r="H6233" t="inlineStr">
        <is>
          <t>Bergvik skog väst AB</t>
        </is>
      </c>
      <c r="I6233" t="n">
        <v>6</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34021-2026</t>
        </is>
      </c>
      <c r="B6234" t="inlineStr">
        <is>
          <t>avverkningsanmälan</t>
        </is>
      </c>
      <c r="C6234" t="inlineStr">
        <is>
          <t>Föryngringsavverkning</t>
        </is>
      </c>
      <c r="D6234" s="1" t="n">
        <v>46252</v>
      </c>
      <c r="E6234" s="1" t="n">
        <v>46319</v>
      </c>
      <c r="F6234" t="inlineStr">
        <is>
          <t>DALARNAS LÄN</t>
        </is>
      </c>
      <c r="G6234" t="inlineStr">
        <is>
          <t>AVESTA</t>
        </is>
      </c>
      <c r="I6234" t="n">
        <v>2</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14559-2026</t>
        </is>
      </c>
      <c r="B6235" t="inlineStr">
        <is>
          <t>avverkningsanmälan</t>
        </is>
      </c>
      <c r="C6235" t="inlineStr">
        <is>
          <t>Föryngringsavverkning</t>
        </is>
      </c>
      <c r="D6235" s="1" t="n">
        <v>46100</v>
      </c>
      <c r="E6235" s="1" t="n">
        <v>46319</v>
      </c>
      <c r="F6235" t="inlineStr">
        <is>
          <t>DALARNAS LÄN</t>
        </is>
      </c>
      <c r="G6235" t="inlineStr">
        <is>
          <t>FALUN</t>
        </is>
      </c>
      <c r="H6235" t="inlineStr">
        <is>
          <t>Allmännings- och besparingsskogar</t>
        </is>
      </c>
      <c r="I6235" t="n">
        <v>5.9</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14571-2026</t>
        </is>
      </c>
      <c r="B6236" t="inlineStr">
        <is>
          <t>avverkningsanmälan</t>
        </is>
      </c>
      <c r="C6236" t="inlineStr">
        <is>
          <t>Föryngringsavverkning</t>
        </is>
      </c>
      <c r="D6236" s="1" t="n">
        <v>46100</v>
      </c>
      <c r="E6236" s="1" t="n">
        <v>46319</v>
      </c>
      <c r="F6236" t="inlineStr">
        <is>
          <t>DALARNAS LÄN</t>
        </is>
      </c>
      <c r="G6236" t="inlineStr">
        <is>
          <t>FALUN</t>
        </is>
      </c>
      <c r="I6236" t="n">
        <v>5.3</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34067-2025</t>
        </is>
      </c>
      <c r="B6237" t="inlineStr">
        <is>
          <t>avverkningsanmälan</t>
        </is>
      </c>
      <c r="C6237" t="inlineStr">
        <is>
          <t>Avverkning för att bevara och utveckla /försöksver</t>
        </is>
      </c>
      <c r="D6237" s="1" t="n">
        <v>45845</v>
      </c>
      <c r="E6237" s="1" t="n">
        <v>46319</v>
      </c>
      <c r="F6237" t="inlineStr">
        <is>
          <t>DALARNAS LÄN</t>
        </is>
      </c>
      <c r="G6237" t="inlineStr">
        <is>
          <t>LUDVIKA</t>
        </is>
      </c>
      <c r="H6237" t="inlineStr">
        <is>
          <t>Bergvik skog väst AB</t>
        </is>
      </c>
      <c r="I6237" t="n">
        <v>0.4</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34378-2025</t>
        </is>
      </c>
      <c r="B6238" t="inlineStr">
        <is>
          <t>avverkningsanmälan</t>
        </is>
      </c>
      <c r="C6238" t="inlineStr">
        <is>
          <t>Föryngringsavverkning</t>
        </is>
      </c>
      <c r="D6238" s="1" t="n">
        <v>45846</v>
      </c>
      <c r="E6238" s="1" t="n">
        <v>46319</v>
      </c>
      <c r="F6238" t="inlineStr">
        <is>
          <t>DALARNAS LÄN</t>
        </is>
      </c>
      <c r="G6238" t="inlineStr">
        <is>
          <t>MALUNG-SÄLEN</t>
        </is>
      </c>
      <c r="I6238" t="n">
        <v>2.8</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34632-2026</t>
        </is>
      </c>
      <c r="B6239" t="inlineStr">
        <is>
          <t>avverkningsanmälan</t>
        </is>
      </c>
      <c r="C6239" t="inlineStr">
        <is>
          <t>Föryngringsavverkning</t>
        </is>
      </c>
      <c r="D6239" s="1" t="n">
        <v>46255</v>
      </c>
      <c r="E6239" s="1" t="n">
        <v>46319</v>
      </c>
      <c r="F6239" t="inlineStr">
        <is>
          <t>DALARNAS LÄN</t>
        </is>
      </c>
      <c r="G6239" t="inlineStr">
        <is>
          <t>LUDVIKA</t>
        </is>
      </c>
      <c r="H6239" t="inlineStr">
        <is>
          <t>Bergvik skog väst AB</t>
        </is>
      </c>
      <c r="I6239" t="n">
        <v>5.2</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12758-2025</t>
        </is>
      </c>
      <c r="B6240" t="inlineStr">
        <is>
          <t>avverkningsanmälan</t>
        </is>
      </c>
      <c r="C6240" t="inlineStr">
        <is>
          <t>Föryngringsavverkning</t>
        </is>
      </c>
      <c r="D6240" s="1" t="n">
        <v>45733</v>
      </c>
      <c r="E6240" s="1" t="n">
        <v>46319</v>
      </c>
      <c r="F6240" t="inlineStr">
        <is>
          <t>DALARNAS LÄN</t>
        </is>
      </c>
      <c r="G6240" t="inlineStr">
        <is>
          <t>RÄTTVIK</t>
        </is>
      </c>
      <c r="I6240" t="n">
        <v>1.9</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14373-2026</t>
        </is>
      </c>
      <c r="B6241" t="inlineStr">
        <is>
          <t>avverkningsanmälan</t>
        </is>
      </c>
      <c r="C6241" t="inlineStr">
        <is>
          <t>Föryngringsavverkning</t>
        </is>
      </c>
      <c r="D6241" s="1" t="n">
        <v>46100</v>
      </c>
      <c r="E6241" s="1" t="n">
        <v>46319</v>
      </c>
      <c r="F6241" t="inlineStr">
        <is>
          <t>DALARNAS LÄN</t>
        </is>
      </c>
      <c r="G6241" t="inlineStr">
        <is>
          <t>FALUN</t>
        </is>
      </c>
      <c r="H6241" t="inlineStr">
        <is>
          <t>Bergvik skog väst AB</t>
        </is>
      </c>
      <c r="I6241" t="n">
        <v>7.2</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34084-2025</t>
        </is>
      </c>
      <c r="B6242" t="inlineStr">
        <is>
          <t>avverkningsanmälan</t>
        </is>
      </c>
      <c r="C6242" t="inlineStr">
        <is>
          <t>Avverkning för annat ändamål</t>
        </is>
      </c>
      <c r="D6242" s="1" t="n">
        <v>45845</v>
      </c>
      <c r="E6242" s="1" t="n">
        <v>46319</v>
      </c>
      <c r="F6242" t="inlineStr">
        <is>
          <t>DALARNAS LÄN</t>
        </is>
      </c>
      <c r="G6242" t="inlineStr">
        <is>
          <t>GAGNEF</t>
        </is>
      </c>
      <c r="I6242" t="n">
        <v>1.9</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8061-2026</t>
        </is>
      </c>
      <c r="B6243" t="inlineStr">
        <is>
          <t>avverkningsanmälan</t>
        </is>
      </c>
      <c r="C6243" t="inlineStr">
        <is>
          <t>Föryngringsavverkning</t>
        </is>
      </c>
      <c r="D6243" s="1" t="n">
        <v>46063</v>
      </c>
      <c r="E6243" s="1" t="n">
        <v>46319</v>
      </c>
      <c r="F6243" t="inlineStr">
        <is>
          <t>DALARNAS LÄN</t>
        </is>
      </c>
      <c r="G6243" t="inlineStr">
        <is>
          <t>LEKSAND</t>
        </is>
      </c>
      <c r="I6243" t="n">
        <v>0.6</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34443-2025</t>
        </is>
      </c>
      <c r="B6244" t="inlineStr">
        <is>
          <t>avverkningsanmälan</t>
        </is>
      </c>
      <c r="C6244" t="inlineStr">
        <is>
          <t>Föryngringsavverkning</t>
        </is>
      </c>
      <c r="D6244" s="1" t="n">
        <v>45845</v>
      </c>
      <c r="E6244" s="1" t="n">
        <v>46319</v>
      </c>
      <c r="F6244" t="inlineStr">
        <is>
          <t>DALARNAS LÄN</t>
        </is>
      </c>
      <c r="G6244" t="inlineStr">
        <is>
          <t>FALUN</t>
        </is>
      </c>
      <c r="I6244" t="n">
        <v>0.8</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33934-2026</t>
        </is>
      </c>
      <c r="B6245" t="inlineStr">
        <is>
          <t>avverkningsanmälan</t>
        </is>
      </c>
      <c r="C6245" t="inlineStr">
        <is>
          <t>Föryngringsavverkning</t>
        </is>
      </c>
      <c r="D6245" s="1" t="n">
        <v>46252</v>
      </c>
      <c r="E6245" s="1" t="n">
        <v>46319</v>
      </c>
      <c r="F6245" t="inlineStr">
        <is>
          <t>DALARNAS LÄN</t>
        </is>
      </c>
      <c r="G6245" t="inlineStr">
        <is>
          <t>LEKSAND</t>
        </is>
      </c>
      <c r="I6245" t="n">
        <v>2.7</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14415-2026</t>
        </is>
      </c>
      <c r="B6246" t="inlineStr">
        <is>
          <t>avverkningsanmälan</t>
        </is>
      </c>
      <c r="C6246" t="inlineStr">
        <is>
          <t>Föryngringsavverkning</t>
        </is>
      </c>
      <c r="D6246" s="1" t="n">
        <v>46100</v>
      </c>
      <c r="E6246" s="1" t="n">
        <v>46319</v>
      </c>
      <c r="F6246" t="inlineStr">
        <is>
          <t>DALARNAS LÄN</t>
        </is>
      </c>
      <c r="G6246" t="inlineStr">
        <is>
          <t>SMEDJEBACKEN</t>
        </is>
      </c>
      <c r="H6246" t="inlineStr">
        <is>
          <t>Övriga Aktiebolag</t>
        </is>
      </c>
      <c r="I6246" t="n">
        <v>3.5</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14595-2026</t>
        </is>
      </c>
      <c r="B6247" t="inlineStr">
        <is>
          <t>avverkningsanmälan</t>
        </is>
      </c>
      <c r="C6247" t="inlineStr">
        <is>
          <t>Föryngringsavverkning</t>
        </is>
      </c>
      <c r="D6247" s="1" t="n">
        <v>46100</v>
      </c>
      <c r="E6247" s="1" t="n">
        <v>46319</v>
      </c>
      <c r="F6247" t="inlineStr">
        <is>
          <t>DALARNAS LÄN</t>
        </is>
      </c>
      <c r="G6247" t="inlineStr">
        <is>
          <t>MALUNG-SÄLEN</t>
        </is>
      </c>
      <c r="I6247" t="n">
        <v>10.3</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14430-2026</t>
        </is>
      </c>
      <c r="B6248" t="inlineStr">
        <is>
          <t>avverkningsanmälan</t>
        </is>
      </c>
      <c r="C6248" t="inlineStr">
        <is>
          <t>Föryngringsavverkning</t>
        </is>
      </c>
      <c r="D6248" s="1" t="n">
        <v>46100</v>
      </c>
      <c r="E6248" s="1" t="n">
        <v>46319</v>
      </c>
      <c r="F6248" t="inlineStr">
        <is>
          <t>DALARNAS LÄN</t>
        </is>
      </c>
      <c r="G6248" t="inlineStr">
        <is>
          <t>SMEDJEBACKEN</t>
        </is>
      </c>
      <c r="H6248" t="inlineStr">
        <is>
          <t>Övriga Aktiebolag</t>
        </is>
      </c>
      <c r="I6248" t="n">
        <v>4</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32941-2024</t>
        </is>
      </c>
      <c r="B6249" t="inlineStr">
        <is>
          <t>avverkningsanmälan</t>
        </is>
      </c>
      <c r="C6249" t="inlineStr">
        <is>
          <t>Föryngringsavverkning</t>
        </is>
      </c>
      <c r="D6249" s="1" t="n">
        <v>45517</v>
      </c>
      <c r="E6249" s="1" t="n">
        <v>46319</v>
      </c>
      <c r="F6249" t="inlineStr">
        <is>
          <t>DALARNAS LÄN</t>
        </is>
      </c>
      <c r="G6249" t="inlineStr">
        <is>
          <t>BORLÄNGE</t>
        </is>
      </c>
      <c r="H6249" t="inlineStr">
        <is>
          <t>Bergvik skog väst AB</t>
        </is>
      </c>
      <c r="I6249" t="n">
        <v>1.5</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34308-2026</t>
        </is>
      </c>
      <c r="B6250" t="inlineStr">
        <is>
          <t>avverkningsanmälan</t>
        </is>
      </c>
      <c r="C6250" t="inlineStr">
        <is>
          <t>Föryngringsavverkning</t>
        </is>
      </c>
      <c r="D6250" s="1" t="n">
        <v>46254</v>
      </c>
      <c r="E6250" s="1" t="n">
        <v>46319</v>
      </c>
      <c r="F6250" t="inlineStr">
        <is>
          <t>DALARNAS LÄN</t>
        </is>
      </c>
      <c r="G6250" t="inlineStr">
        <is>
          <t>LEKSAND</t>
        </is>
      </c>
      <c r="I6250" t="n">
        <v>1.4</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34312-2026</t>
        </is>
      </c>
      <c r="B6251" t="inlineStr">
        <is>
          <t>avverkningsanmälan</t>
        </is>
      </c>
      <c r="C6251" t="inlineStr">
        <is>
          <t>Föryngringsavverkning</t>
        </is>
      </c>
      <c r="D6251" s="1" t="n">
        <v>46254</v>
      </c>
      <c r="E6251" s="1" t="n">
        <v>46319</v>
      </c>
      <c r="F6251" t="inlineStr">
        <is>
          <t>DALARNAS LÄN</t>
        </is>
      </c>
      <c r="G6251" t="inlineStr">
        <is>
          <t>ORSA</t>
        </is>
      </c>
      <c r="I6251" t="n">
        <v>11.1</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14602-2026</t>
        </is>
      </c>
      <c r="B6252" t="inlineStr">
        <is>
          <t>avverkningsanmälan</t>
        </is>
      </c>
      <c r="C6252" t="inlineStr">
        <is>
          <t>Föryngringsavverkning</t>
        </is>
      </c>
      <c r="D6252" s="1" t="n">
        <v>46101</v>
      </c>
      <c r="E6252" s="1" t="n">
        <v>46319</v>
      </c>
      <c r="F6252" t="inlineStr">
        <is>
          <t>DALARNAS LÄN</t>
        </is>
      </c>
      <c r="G6252" t="inlineStr">
        <is>
          <t>SMEDJEBACKEN</t>
        </is>
      </c>
      <c r="H6252" t="inlineStr">
        <is>
          <t>Sveaskog</t>
        </is>
      </c>
      <c r="I6252" t="n">
        <v>1.3</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14605-2026</t>
        </is>
      </c>
      <c r="B6253" t="inlineStr">
        <is>
          <t>avverkningsanmälan</t>
        </is>
      </c>
      <c r="C6253" t="inlineStr">
        <is>
          <t>Föryngringsavverkning</t>
        </is>
      </c>
      <c r="D6253" s="1" t="n">
        <v>46101</v>
      </c>
      <c r="E6253" s="1" t="n">
        <v>46319</v>
      </c>
      <c r="F6253" t="inlineStr">
        <is>
          <t>DALARNAS LÄN</t>
        </is>
      </c>
      <c r="G6253" t="inlineStr">
        <is>
          <t>SMEDJEBACKEN</t>
        </is>
      </c>
      <c r="H6253" t="inlineStr">
        <is>
          <t>Sveaskog</t>
        </is>
      </c>
      <c r="I6253" t="n">
        <v>3.3</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14606-2026</t>
        </is>
      </c>
      <c r="B6254" t="inlineStr">
        <is>
          <t>avverkningsanmälan</t>
        </is>
      </c>
      <c r="C6254" t="inlineStr">
        <is>
          <t>Föryngringsavverkning</t>
        </is>
      </c>
      <c r="D6254" s="1" t="n">
        <v>46101</v>
      </c>
      <c r="E6254" s="1" t="n">
        <v>46319</v>
      </c>
      <c r="F6254" t="inlineStr">
        <is>
          <t>DALARNAS LÄN</t>
        </is>
      </c>
      <c r="G6254" t="inlineStr">
        <is>
          <t>SMEDJEBACKEN</t>
        </is>
      </c>
      <c r="H6254" t="inlineStr">
        <is>
          <t>Sveaskog</t>
        </is>
      </c>
      <c r="I6254" t="n">
        <v>2.2</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30143-2024</t>
        </is>
      </c>
      <c r="B6255" t="inlineStr">
        <is>
          <t>avverkningsanmälan</t>
        </is>
      </c>
      <c r="C6255" t="inlineStr">
        <is>
          <t>Föryngringsavverkning</t>
        </is>
      </c>
      <c r="D6255" s="1" t="n">
        <v>45488</v>
      </c>
      <c r="E6255" s="1" t="n">
        <v>46319</v>
      </c>
      <c r="F6255" t="inlineStr">
        <is>
          <t>DALARNAS LÄN</t>
        </is>
      </c>
      <c r="G6255" t="inlineStr">
        <is>
          <t>ÄLVDALEN</t>
        </is>
      </c>
      <c r="I6255" t="n">
        <v>1</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30147-2024</t>
        </is>
      </c>
      <c r="B6256" t="inlineStr">
        <is>
          <t>avverkningsanmälan</t>
        </is>
      </c>
      <c r="C6256" t="inlineStr">
        <is>
          <t>Föryngringsavverkning</t>
        </is>
      </c>
      <c r="D6256" s="1" t="n">
        <v>45488</v>
      </c>
      <c r="E6256" s="1" t="n">
        <v>46319</v>
      </c>
      <c r="F6256" t="inlineStr">
        <is>
          <t>DALARNAS LÄN</t>
        </is>
      </c>
      <c r="G6256" t="inlineStr">
        <is>
          <t>ÄLVDALEN</t>
        </is>
      </c>
      <c r="I6256" t="n">
        <v>2.1</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30162-2024</t>
        </is>
      </c>
      <c r="B6257" t="inlineStr">
        <is>
          <t>avverkningsanmälan</t>
        </is>
      </c>
      <c r="C6257" t="inlineStr">
        <is>
          <t>Föryngringsavverkning</t>
        </is>
      </c>
      <c r="D6257" s="1" t="n">
        <v>45489</v>
      </c>
      <c r="E6257" s="1" t="n">
        <v>46319</v>
      </c>
      <c r="F6257" t="inlineStr">
        <is>
          <t>DALARNAS LÄN</t>
        </is>
      </c>
      <c r="G6257" t="inlineStr">
        <is>
          <t>BORLÄNGE</t>
        </is>
      </c>
      <c r="I6257" t="n">
        <v>0.8</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34382-2025</t>
        </is>
      </c>
      <c r="B6258" t="inlineStr">
        <is>
          <t>avverkningsanmälan</t>
        </is>
      </c>
      <c r="C6258" t="inlineStr">
        <is>
          <t>Föryngringsavverkning</t>
        </is>
      </c>
      <c r="D6258" s="1" t="n">
        <v>45846</v>
      </c>
      <c r="E6258" s="1" t="n">
        <v>46319</v>
      </c>
      <c r="F6258" t="inlineStr">
        <is>
          <t>DALARNAS LÄN</t>
        </is>
      </c>
      <c r="G6258" t="inlineStr">
        <is>
          <t>MORA</t>
        </is>
      </c>
      <c r="I6258" t="n">
        <v>0.7</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15049-2026</t>
        </is>
      </c>
      <c r="B6259" t="inlineStr">
        <is>
          <t>avverkningsanmälan</t>
        </is>
      </c>
      <c r="C6259" t="inlineStr">
        <is>
          <t>Föryngringsavverkning</t>
        </is>
      </c>
      <c r="D6259" s="1" t="n">
        <v>46104</v>
      </c>
      <c r="E6259" s="1" t="n">
        <v>46319</v>
      </c>
      <c r="F6259" t="inlineStr">
        <is>
          <t>DALARNAS LÄN</t>
        </is>
      </c>
      <c r="G6259" t="inlineStr">
        <is>
          <t>SMEDJEBACKEN</t>
        </is>
      </c>
      <c r="H6259" t="inlineStr">
        <is>
          <t>Sveaskog</t>
        </is>
      </c>
      <c r="I6259" t="n">
        <v>2.3</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41742-2026</t>
        </is>
      </c>
      <c r="B6260" t="inlineStr">
        <is>
          <t>avverkningsanmälan</t>
        </is>
      </c>
      <c r="C6260" t="inlineStr">
        <is>
          <t>Föryngringsavverkning</t>
        </is>
      </c>
      <c r="D6260" s="1" t="n">
        <v>46302</v>
      </c>
      <c r="E6260" s="1" t="n">
        <v>46319</v>
      </c>
      <c r="F6260" t="inlineStr">
        <is>
          <t>DALARNAS LÄN</t>
        </is>
      </c>
      <c r="G6260" t="inlineStr">
        <is>
          <t>VANSBRO</t>
        </is>
      </c>
      <c r="H6260" t="inlineStr">
        <is>
          <t>Bergvik skog öst AB</t>
        </is>
      </c>
      <c r="I6260" t="n">
        <v>1.5</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34444-2025</t>
        </is>
      </c>
      <c r="B6261" t="inlineStr">
        <is>
          <t>avverkningsanmälan</t>
        </is>
      </c>
      <c r="C6261" t="inlineStr">
        <is>
          <t>Föryngringsavverkning</t>
        </is>
      </c>
      <c r="D6261" s="1" t="n">
        <v>45846</v>
      </c>
      <c r="E6261" s="1" t="n">
        <v>46319</v>
      </c>
      <c r="F6261" t="inlineStr">
        <is>
          <t>DALARNAS LÄN</t>
        </is>
      </c>
      <c r="G6261" t="inlineStr">
        <is>
          <t>SMEDJEBACKEN</t>
        </is>
      </c>
      <c r="I6261" t="n">
        <v>4.7</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34511-2025</t>
        </is>
      </c>
      <c r="B6262" t="inlineStr">
        <is>
          <t>avverkningsanmälan</t>
        </is>
      </c>
      <c r="C6262" t="inlineStr">
        <is>
          <t>Föryngringsavverkning</t>
        </is>
      </c>
      <c r="D6262" s="1" t="n">
        <v>45846</v>
      </c>
      <c r="E6262" s="1" t="n">
        <v>46319</v>
      </c>
      <c r="F6262" t="inlineStr">
        <is>
          <t>DALARNAS LÄN</t>
        </is>
      </c>
      <c r="G6262" t="inlineStr">
        <is>
          <t>SMEDJEBACKEN</t>
        </is>
      </c>
      <c r="H6262" t="inlineStr">
        <is>
          <t>Bergvik skog väst AB</t>
        </is>
      </c>
      <c r="I6262" t="n">
        <v>1.9</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34523-2025</t>
        </is>
      </c>
      <c r="B6263" t="inlineStr">
        <is>
          <t>avverkningsanmälan</t>
        </is>
      </c>
      <c r="C6263" t="inlineStr">
        <is>
          <t>Föryngringsavverkning</t>
        </is>
      </c>
      <c r="D6263" s="1" t="n">
        <v>45846</v>
      </c>
      <c r="E6263" s="1" t="n">
        <v>46319</v>
      </c>
      <c r="F6263" t="inlineStr">
        <is>
          <t>DALARNAS LÄN</t>
        </is>
      </c>
      <c r="G6263" t="inlineStr">
        <is>
          <t>SMEDJEBACKEN</t>
        </is>
      </c>
      <c r="H6263" t="inlineStr">
        <is>
          <t>Bergvik skog väst AB</t>
        </is>
      </c>
      <c r="I6263" t="n">
        <v>0.6</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6301-2026</t>
        </is>
      </c>
      <c r="B6264" t="inlineStr">
        <is>
          <t>avverkningsanmälan</t>
        </is>
      </c>
      <c r="C6264" t="inlineStr">
        <is>
          <t>Föryngringsavverkning</t>
        </is>
      </c>
      <c r="D6264" s="1" t="n">
        <v>46055</v>
      </c>
      <c r="E6264" s="1" t="n">
        <v>46319</v>
      </c>
      <c r="F6264" t="inlineStr">
        <is>
          <t>DALARNAS LÄN</t>
        </is>
      </c>
      <c r="G6264" t="inlineStr">
        <is>
          <t>FALUN</t>
        </is>
      </c>
      <c r="I6264" t="n">
        <v>12.4</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31043-2024</t>
        </is>
      </c>
      <c r="B6265" t="inlineStr">
        <is>
          <t>avverkningsanmälan</t>
        </is>
      </c>
      <c r="C6265" t="inlineStr">
        <is>
          <t>Föryngringsavverkning</t>
        </is>
      </c>
      <c r="D6265" s="1" t="n">
        <v>45502</v>
      </c>
      <c r="E6265" s="1" t="n">
        <v>46319</v>
      </c>
      <c r="F6265" t="inlineStr">
        <is>
          <t>DALARNAS LÄN</t>
        </is>
      </c>
      <c r="G6265" t="inlineStr">
        <is>
          <t>LUDVIKA</t>
        </is>
      </c>
      <c r="H6265" t="inlineStr">
        <is>
          <t>Bergvik skog väst AB</t>
        </is>
      </c>
      <c r="I6265" t="n">
        <v>2</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34779-2025</t>
        </is>
      </c>
      <c r="B6266" t="inlineStr">
        <is>
          <t>avverkningsanmälan</t>
        </is>
      </c>
      <c r="C6266" t="inlineStr">
        <is>
          <t>Föryngringsavverkning</t>
        </is>
      </c>
      <c r="D6266" s="1" t="n">
        <v>45848</v>
      </c>
      <c r="E6266" s="1" t="n">
        <v>46319</v>
      </c>
      <c r="F6266" t="inlineStr">
        <is>
          <t>DALARNAS LÄN</t>
        </is>
      </c>
      <c r="G6266" t="inlineStr">
        <is>
          <t>ORSA</t>
        </is>
      </c>
      <c r="I6266" t="n">
        <v>0.6</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14795-2026</t>
        </is>
      </c>
      <c r="B6267" t="inlineStr">
        <is>
          <t>avverkningsanmälan</t>
        </is>
      </c>
      <c r="C6267" t="inlineStr">
        <is>
          <t>Föryngringsavverkning</t>
        </is>
      </c>
      <c r="D6267" s="1" t="n">
        <v>46101</v>
      </c>
      <c r="E6267" s="1" t="n">
        <v>46319</v>
      </c>
      <c r="F6267" t="inlineStr">
        <is>
          <t>DALARNAS LÄN</t>
        </is>
      </c>
      <c r="G6267" t="inlineStr">
        <is>
          <t>LEKSAND</t>
        </is>
      </c>
      <c r="I6267" t="n">
        <v>1.6</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14850-2026</t>
        </is>
      </c>
      <c r="B6268" t="inlineStr">
        <is>
          <t>avverkningsanmälan</t>
        </is>
      </c>
      <c r="C6268" t="inlineStr">
        <is>
          <t>Föryngringsavverkning</t>
        </is>
      </c>
      <c r="D6268" s="1" t="n">
        <v>46104</v>
      </c>
      <c r="E6268" s="1" t="n">
        <v>46319</v>
      </c>
      <c r="F6268" t="inlineStr">
        <is>
          <t>DALARNAS LÄN</t>
        </is>
      </c>
      <c r="G6268" t="inlineStr">
        <is>
          <t>FALUN</t>
        </is>
      </c>
      <c r="I6268" t="n">
        <v>0.8</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14868-2026</t>
        </is>
      </c>
      <c r="B6269" t="inlineStr">
        <is>
          <t>avverkningsanmälan</t>
        </is>
      </c>
      <c r="C6269" t="inlineStr">
        <is>
          <t>Föryngringsavverkning</t>
        </is>
      </c>
      <c r="D6269" s="1" t="n">
        <v>46104</v>
      </c>
      <c r="E6269" s="1" t="n">
        <v>46319</v>
      </c>
      <c r="F6269" t="inlineStr">
        <is>
          <t>DALARNAS LÄN</t>
        </is>
      </c>
      <c r="G6269" t="inlineStr">
        <is>
          <t>MALUNG-SÄLEN</t>
        </is>
      </c>
      <c r="I6269" t="n">
        <v>0.6</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15208-2026</t>
        </is>
      </c>
      <c r="B6270" t="inlineStr">
        <is>
          <t>avverkningsanmälan</t>
        </is>
      </c>
      <c r="C6270" t="inlineStr">
        <is>
          <t>Föryngringsavverkning</t>
        </is>
      </c>
      <c r="D6270" s="1" t="n">
        <v>46105</v>
      </c>
      <c r="E6270" s="1" t="n">
        <v>46319</v>
      </c>
      <c r="F6270" t="inlineStr">
        <is>
          <t>DALARNAS LÄN</t>
        </is>
      </c>
      <c r="G6270" t="inlineStr">
        <is>
          <t>FALUN</t>
        </is>
      </c>
      <c r="I6270" t="n">
        <v>1.5</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69483-2021</t>
        </is>
      </c>
      <c r="B6271" t="inlineStr">
        <is>
          <t>avverkningsanmälan</t>
        </is>
      </c>
      <c r="C6271" t="inlineStr">
        <is>
          <t>Föryngringsavverkning</t>
        </is>
      </c>
      <c r="D6271" s="1" t="n">
        <v>44531</v>
      </c>
      <c r="E6271" s="1" t="n">
        <v>46319</v>
      </c>
      <c r="F6271" t="inlineStr">
        <is>
          <t>DALARNAS LÄN</t>
        </is>
      </c>
      <c r="G6271" t="inlineStr">
        <is>
          <t>MORA</t>
        </is>
      </c>
      <c r="I6271" t="n">
        <v>1.5</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14462-2023</t>
        </is>
      </c>
      <c r="B6272" t="inlineStr">
        <is>
          <t>avverkningsanmälan</t>
        </is>
      </c>
      <c r="C6272" t="inlineStr">
        <is>
          <t>Föryngringsavverkning</t>
        </is>
      </c>
      <c r="D6272" s="1" t="n">
        <v>45012</v>
      </c>
      <c r="E6272" s="1" t="n">
        <v>46319</v>
      </c>
      <c r="F6272" t="inlineStr">
        <is>
          <t>DALARNAS LÄN</t>
        </is>
      </c>
      <c r="G6272" t="inlineStr">
        <is>
          <t>SMEDJEBACKEN</t>
        </is>
      </c>
      <c r="I6272" t="n">
        <v>1.4</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15086-2026</t>
        </is>
      </c>
      <c r="B6273" t="inlineStr">
        <is>
          <t>avverkningsanmälan</t>
        </is>
      </c>
      <c r="C6273" t="inlineStr">
        <is>
          <t>Föryngringsavverkning</t>
        </is>
      </c>
      <c r="D6273" s="1" t="n">
        <v>46105</v>
      </c>
      <c r="E6273" s="1" t="n">
        <v>46319</v>
      </c>
      <c r="F6273" t="inlineStr">
        <is>
          <t>DALARNAS LÄN</t>
        </is>
      </c>
      <c r="G6273" t="inlineStr">
        <is>
          <t>FALUN</t>
        </is>
      </c>
      <c r="I6273" t="n">
        <v>3.4</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15047-2026</t>
        </is>
      </c>
      <c r="B6274" t="inlineStr">
        <is>
          <t>avverkningsanmälan</t>
        </is>
      </c>
      <c r="C6274" t="inlineStr">
        <is>
          <t>Föryngringsavverkning</t>
        </is>
      </c>
      <c r="D6274" s="1" t="n">
        <v>46104</v>
      </c>
      <c r="E6274" s="1" t="n">
        <v>46319</v>
      </c>
      <c r="F6274" t="inlineStr">
        <is>
          <t>DALARNAS LÄN</t>
        </is>
      </c>
      <c r="G6274" t="inlineStr">
        <is>
          <t>SMEDJEBACKEN</t>
        </is>
      </c>
      <c r="H6274" t="inlineStr">
        <is>
          <t>Sveaskog</t>
        </is>
      </c>
      <c r="I6274" t="n">
        <v>1.3</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14841-2026</t>
        </is>
      </c>
      <c r="B6275" t="inlineStr">
        <is>
          <t>avverkningsanmälan</t>
        </is>
      </c>
      <c r="C6275" t="inlineStr">
        <is>
          <t>Föryngringsavverkning</t>
        </is>
      </c>
      <c r="D6275" s="1" t="n">
        <v>46104</v>
      </c>
      <c r="E6275" s="1" t="n">
        <v>46319</v>
      </c>
      <c r="F6275" t="inlineStr">
        <is>
          <t>DALARNAS LÄN</t>
        </is>
      </c>
      <c r="G6275" t="inlineStr">
        <is>
          <t>FALUN</t>
        </is>
      </c>
      <c r="I6275" t="n">
        <v>2.8</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35019-2026</t>
        </is>
      </c>
      <c r="B6276" t="inlineStr">
        <is>
          <t>avverkningsanmälan</t>
        </is>
      </c>
      <c r="C6276" t="inlineStr">
        <is>
          <t>Föryngringsavverkning</t>
        </is>
      </c>
      <c r="D6276" s="1" t="n">
        <v>46259</v>
      </c>
      <c r="E6276" s="1" t="n">
        <v>46319</v>
      </c>
      <c r="F6276" t="inlineStr">
        <is>
          <t>DALARNAS LÄN</t>
        </is>
      </c>
      <c r="G6276" t="inlineStr">
        <is>
          <t>MALUNG-SÄLEN</t>
        </is>
      </c>
      <c r="H6276" t="inlineStr">
        <is>
          <t>Bergvik skog öst AB</t>
        </is>
      </c>
      <c r="I6276" t="n">
        <v>9.1</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34739-2025</t>
        </is>
      </c>
      <c r="B6277" t="inlineStr">
        <is>
          <t>avverkningsanmälan</t>
        </is>
      </c>
      <c r="C6277" t="inlineStr">
        <is>
          <t>Föryngringsavverkning</t>
        </is>
      </c>
      <c r="D6277" s="1" t="n">
        <v>45848</v>
      </c>
      <c r="E6277" s="1" t="n">
        <v>46319</v>
      </c>
      <c r="F6277" t="inlineStr">
        <is>
          <t>DALARNAS LÄN</t>
        </is>
      </c>
      <c r="G6277" t="inlineStr">
        <is>
          <t>ÄLVDALEN</t>
        </is>
      </c>
      <c r="I6277" t="n">
        <v>1</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34753-2025</t>
        </is>
      </c>
      <c r="B6278" t="inlineStr">
        <is>
          <t>avverkningsanmälan</t>
        </is>
      </c>
      <c r="C6278" t="inlineStr">
        <is>
          <t>Föryngringsavverkning</t>
        </is>
      </c>
      <c r="D6278" s="1" t="n">
        <v>45848</v>
      </c>
      <c r="E6278" s="1" t="n">
        <v>46319</v>
      </c>
      <c r="F6278" t="inlineStr">
        <is>
          <t>DALARNAS LÄN</t>
        </is>
      </c>
      <c r="G6278" t="inlineStr">
        <is>
          <t>ORSA</t>
        </is>
      </c>
      <c r="I6278" t="n">
        <v>1.4</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35024-2026</t>
        </is>
      </c>
      <c r="B6279" t="inlineStr">
        <is>
          <t>avverkningsanmälan</t>
        </is>
      </c>
      <c r="C6279" t="inlineStr">
        <is>
          <t>Föryngringsavverkning</t>
        </is>
      </c>
      <c r="D6279" s="1" t="n">
        <v>46259</v>
      </c>
      <c r="E6279" s="1" t="n">
        <v>46319</v>
      </c>
      <c r="F6279" t="inlineStr">
        <is>
          <t>DALARNAS LÄN</t>
        </is>
      </c>
      <c r="G6279" t="inlineStr">
        <is>
          <t>GAGNEF</t>
        </is>
      </c>
      <c r="I6279" t="n">
        <v>1.2</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27389-2024</t>
        </is>
      </c>
      <c r="B6280" t="inlineStr">
        <is>
          <t>avverkningsanmälan</t>
        </is>
      </c>
      <c r="C6280" t="inlineStr">
        <is>
          <t>Föryngringsavverkning</t>
        </is>
      </c>
      <c r="D6280" s="1" t="n">
        <v>45474</v>
      </c>
      <c r="E6280" s="1" t="n">
        <v>46319</v>
      </c>
      <c r="F6280" t="inlineStr">
        <is>
          <t>DALARNAS LÄN</t>
        </is>
      </c>
      <c r="G6280" t="inlineStr">
        <is>
          <t>LUDVIKA</t>
        </is>
      </c>
      <c r="I6280" t="n">
        <v>0.6</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34778-2025</t>
        </is>
      </c>
      <c r="B6281" t="inlineStr">
        <is>
          <t>avverkningsanmälan</t>
        </is>
      </c>
      <c r="C6281" t="inlineStr">
        <is>
          <t>Föryngringsavverkning</t>
        </is>
      </c>
      <c r="D6281" s="1" t="n">
        <v>45848</v>
      </c>
      <c r="E6281" s="1" t="n">
        <v>46319</v>
      </c>
      <c r="F6281" t="inlineStr">
        <is>
          <t>DALARNAS LÄN</t>
        </is>
      </c>
      <c r="G6281" t="inlineStr">
        <is>
          <t>ÄLVDALEN</t>
        </is>
      </c>
      <c r="I6281" t="n">
        <v>2.2</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10522-2026</t>
        </is>
      </c>
      <c r="B6282" t="inlineStr">
        <is>
          <t>avverkningsanmälan</t>
        </is>
      </c>
      <c r="C6282" t="inlineStr">
        <is>
          <t>Föryngringsavverkning</t>
        </is>
      </c>
      <c r="D6282" s="1" t="n">
        <v>46077</v>
      </c>
      <c r="E6282" s="1" t="n">
        <v>46319</v>
      </c>
      <c r="F6282" t="inlineStr">
        <is>
          <t>DALARNAS LÄN</t>
        </is>
      </c>
      <c r="G6282" t="inlineStr">
        <is>
          <t>ORSA</t>
        </is>
      </c>
      <c r="H6282" t="inlineStr">
        <is>
          <t>Bergvik skog öst AB</t>
        </is>
      </c>
      <c r="I6282" t="n">
        <v>13.7</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15318-2026</t>
        </is>
      </c>
      <c r="B6283" t="inlineStr">
        <is>
          <t>avverkningsanmälan</t>
        </is>
      </c>
      <c r="C6283" t="inlineStr">
        <is>
          <t>Föryngringsavverkning</t>
        </is>
      </c>
      <c r="D6283" s="1" t="n">
        <v>46105</v>
      </c>
      <c r="E6283" s="1" t="n">
        <v>46319</v>
      </c>
      <c r="F6283" t="inlineStr">
        <is>
          <t>DALARNAS LÄN</t>
        </is>
      </c>
      <c r="G6283" t="inlineStr">
        <is>
          <t>RÄTTVIK</t>
        </is>
      </c>
      <c r="H6283" t="inlineStr">
        <is>
          <t>Allmännings- och besparingsskogar</t>
        </is>
      </c>
      <c r="I6283" t="n">
        <v>2.1</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34951-2026</t>
        </is>
      </c>
      <c r="B6284" t="inlineStr">
        <is>
          <t>avverkningsanmälan</t>
        </is>
      </c>
      <c r="C6284" t="inlineStr">
        <is>
          <t>Föryngringsavverkning</t>
        </is>
      </c>
      <c r="D6284" s="1" t="n">
        <v>46259</v>
      </c>
      <c r="E6284" s="1" t="n">
        <v>46319</v>
      </c>
      <c r="F6284" t="inlineStr">
        <is>
          <t>DALARNAS LÄN</t>
        </is>
      </c>
      <c r="G6284" t="inlineStr">
        <is>
          <t>LEKSAND</t>
        </is>
      </c>
      <c r="I6284" t="n">
        <v>0.6</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34734-2025</t>
        </is>
      </c>
      <c r="B6285" t="inlineStr">
        <is>
          <t>avverkningsanmälan</t>
        </is>
      </c>
      <c r="C6285" t="inlineStr">
        <is>
          <t>Föryngringsavverkning</t>
        </is>
      </c>
      <c r="D6285" s="1" t="n">
        <v>45848</v>
      </c>
      <c r="E6285" s="1" t="n">
        <v>46319</v>
      </c>
      <c r="F6285" t="inlineStr">
        <is>
          <t>DALARNAS LÄN</t>
        </is>
      </c>
      <c r="G6285" t="inlineStr">
        <is>
          <t>HEDEMORA</t>
        </is>
      </c>
      <c r="I6285" t="n">
        <v>2.5</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41638-2026</t>
        </is>
      </c>
      <c r="B6286" t="inlineStr">
        <is>
          <t>avverkningsanmälan</t>
        </is>
      </c>
      <c r="C6286" t="inlineStr">
        <is>
          <t>Föryngringsavverkning</t>
        </is>
      </c>
      <c r="D6286" s="1" t="n">
        <v>46302</v>
      </c>
      <c r="E6286" s="1" t="n">
        <v>46319</v>
      </c>
      <c r="F6286" t="inlineStr">
        <is>
          <t>DALARNAS LÄN</t>
        </is>
      </c>
      <c r="G6286" t="inlineStr">
        <is>
          <t>ORSA</t>
        </is>
      </c>
      <c r="I6286" t="n">
        <v>0.8</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14932-2026</t>
        </is>
      </c>
      <c r="B6287" t="inlineStr">
        <is>
          <t>avverkningsanmälan</t>
        </is>
      </c>
      <c r="C6287" t="inlineStr">
        <is>
          <t>Föryngringsavverkning</t>
        </is>
      </c>
      <c r="D6287" s="1" t="n">
        <v>46104</v>
      </c>
      <c r="E6287" s="1" t="n">
        <v>46319</v>
      </c>
      <c r="F6287" t="inlineStr">
        <is>
          <t>DALARNAS LÄN</t>
        </is>
      </c>
      <c r="G6287" t="inlineStr">
        <is>
          <t>FALUN</t>
        </is>
      </c>
      <c r="I6287" t="n">
        <v>4.5</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14940-2026</t>
        </is>
      </c>
      <c r="B6288" t="inlineStr">
        <is>
          <t>avverkningsanmälan</t>
        </is>
      </c>
      <c r="C6288" t="inlineStr">
        <is>
          <t>Föryngringsavverkning</t>
        </is>
      </c>
      <c r="D6288" s="1" t="n">
        <v>46104</v>
      </c>
      <c r="E6288" s="1" t="n">
        <v>46319</v>
      </c>
      <c r="F6288" t="inlineStr">
        <is>
          <t>DALARNAS LÄN</t>
        </is>
      </c>
      <c r="G6288" t="inlineStr">
        <is>
          <t>RÄTTVIK</t>
        </is>
      </c>
      <c r="H6288" t="inlineStr">
        <is>
          <t>Bergvik skog väst AB</t>
        </is>
      </c>
      <c r="I6288" t="n">
        <v>32.8</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14961-2026</t>
        </is>
      </c>
      <c r="B6289" t="inlineStr">
        <is>
          <t>avverkningsanmälan</t>
        </is>
      </c>
      <c r="C6289" t="inlineStr">
        <is>
          <t>Föryngringsavverkning</t>
        </is>
      </c>
      <c r="D6289" s="1" t="n">
        <v>46104</v>
      </c>
      <c r="E6289" s="1" t="n">
        <v>46319</v>
      </c>
      <c r="F6289" t="inlineStr">
        <is>
          <t>DALARNAS LÄN</t>
        </is>
      </c>
      <c r="G6289" t="inlineStr">
        <is>
          <t>FALUN</t>
        </is>
      </c>
      <c r="I6289" t="n">
        <v>4.2</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34781-2025</t>
        </is>
      </c>
      <c r="B6290" t="inlineStr">
        <is>
          <t>avverkningsanmälan</t>
        </is>
      </c>
      <c r="C6290" t="inlineStr">
        <is>
          <t>Föryngringsavverkning</t>
        </is>
      </c>
      <c r="D6290" s="1" t="n">
        <v>45848</v>
      </c>
      <c r="E6290" s="1" t="n">
        <v>46319</v>
      </c>
      <c r="F6290" t="inlineStr">
        <is>
          <t>DALARNAS LÄN</t>
        </is>
      </c>
      <c r="G6290" t="inlineStr">
        <is>
          <t>ORSA</t>
        </is>
      </c>
      <c r="I6290" t="n">
        <v>0.9</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34711-2025</t>
        </is>
      </c>
      <c r="B6291" t="inlineStr">
        <is>
          <t>avverkningsanmälan</t>
        </is>
      </c>
      <c r="C6291" t="inlineStr">
        <is>
          <t>Föryngringsavverkning</t>
        </is>
      </c>
      <c r="D6291" s="1" t="n">
        <v>45848</v>
      </c>
      <c r="E6291" s="1" t="n">
        <v>46319</v>
      </c>
      <c r="F6291" t="inlineStr">
        <is>
          <t>DALARNAS LÄN</t>
        </is>
      </c>
      <c r="G6291" t="inlineStr">
        <is>
          <t>SMEDJEBACKEN</t>
        </is>
      </c>
      <c r="I6291" t="n">
        <v>1.2</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34793-2025</t>
        </is>
      </c>
      <c r="B6292" t="inlineStr">
        <is>
          <t>avverkningsanmälan</t>
        </is>
      </c>
      <c r="C6292" t="inlineStr">
        <is>
          <t>Avverkning för annat ändamål</t>
        </is>
      </c>
      <c r="D6292" s="1" t="n">
        <v>45848</v>
      </c>
      <c r="E6292" s="1" t="n">
        <v>46319</v>
      </c>
      <c r="F6292" t="inlineStr">
        <is>
          <t>DALARNAS LÄN</t>
        </is>
      </c>
      <c r="G6292" t="inlineStr">
        <is>
          <t>GAGNEF</t>
        </is>
      </c>
      <c r="I6292" t="n">
        <v>1.5</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6183-2026</t>
        </is>
      </c>
      <c r="B6293" t="inlineStr">
        <is>
          <t>avverkningsanmälan</t>
        </is>
      </c>
      <c r="C6293" t="inlineStr">
        <is>
          <t>Föryngringsavverkning</t>
        </is>
      </c>
      <c r="D6293" s="1" t="n">
        <v>46055</v>
      </c>
      <c r="E6293" s="1" t="n">
        <v>46319</v>
      </c>
      <c r="F6293" t="inlineStr">
        <is>
          <t>DALARNAS LÄN</t>
        </is>
      </c>
      <c r="G6293" t="inlineStr">
        <is>
          <t>FALUN</t>
        </is>
      </c>
      <c r="I6293" t="n">
        <v>9.6</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14806-2026</t>
        </is>
      </c>
      <c r="B6294" t="inlineStr">
        <is>
          <t>avverkningsanmälan</t>
        </is>
      </c>
      <c r="C6294" t="inlineStr">
        <is>
          <t>Föryngringsavverkning</t>
        </is>
      </c>
      <c r="D6294" s="1" t="n">
        <v>46103</v>
      </c>
      <c r="E6294" s="1" t="n">
        <v>46319</v>
      </c>
      <c r="F6294" t="inlineStr">
        <is>
          <t>DALARNAS LÄN</t>
        </is>
      </c>
      <c r="G6294" t="inlineStr">
        <is>
          <t>FALUN</t>
        </is>
      </c>
      <c r="I6294" t="n">
        <v>3</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54697-2023</t>
        </is>
      </c>
      <c r="B6295" t="inlineStr">
        <is>
          <t>avverkningsanmälan</t>
        </is>
      </c>
      <c r="C6295" t="inlineStr">
        <is>
          <t>Föryngringsavverkning</t>
        </is>
      </c>
      <c r="D6295" s="1" t="n">
        <v>45236</v>
      </c>
      <c r="E6295" s="1" t="n">
        <v>46319</v>
      </c>
      <c r="F6295" t="inlineStr">
        <is>
          <t>DALARNAS LÄN</t>
        </is>
      </c>
      <c r="G6295" t="inlineStr">
        <is>
          <t>RÄTTVIK</t>
        </is>
      </c>
      <c r="I6295" t="n">
        <v>1.1</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14847-2026</t>
        </is>
      </c>
      <c r="B6296" t="inlineStr">
        <is>
          <t>avverkningsanmälan</t>
        </is>
      </c>
      <c r="C6296" t="inlineStr">
        <is>
          <t>Föryngringsavverkning</t>
        </is>
      </c>
      <c r="D6296" s="1" t="n">
        <v>46104</v>
      </c>
      <c r="E6296" s="1" t="n">
        <v>46319</v>
      </c>
      <c r="F6296" t="inlineStr">
        <is>
          <t>DALARNAS LÄN</t>
        </is>
      </c>
      <c r="G6296" t="inlineStr">
        <is>
          <t>FALUN</t>
        </is>
      </c>
      <c r="I6296" t="n">
        <v>14.9</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41896-2024</t>
        </is>
      </c>
      <c r="B6297" t="inlineStr">
        <is>
          <t>avverkningsanmälan</t>
        </is>
      </c>
      <c r="C6297" t="inlineStr">
        <is>
          <t>Föryngringsavverkning</t>
        </is>
      </c>
      <c r="D6297" s="1" t="n">
        <v>45561</v>
      </c>
      <c r="E6297" s="1" t="n">
        <v>46319</v>
      </c>
      <c r="F6297" t="inlineStr">
        <is>
          <t>DALARNAS LÄN</t>
        </is>
      </c>
      <c r="G6297" t="inlineStr">
        <is>
          <t>LEKSAND</t>
        </is>
      </c>
      <c r="H6297" t="inlineStr">
        <is>
          <t>Bergvik skog väst AB</t>
        </is>
      </c>
      <c r="I6297" t="n">
        <v>2.8</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15169-2026</t>
        </is>
      </c>
      <c r="B6298" t="inlineStr">
        <is>
          <t>avverkningsanmälan</t>
        </is>
      </c>
      <c r="C6298" t="inlineStr">
        <is>
          <t>Föryngringsavverkning</t>
        </is>
      </c>
      <c r="D6298" s="1" t="n">
        <v>46105</v>
      </c>
      <c r="E6298" s="1" t="n">
        <v>46319</v>
      </c>
      <c r="F6298" t="inlineStr">
        <is>
          <t>DALARNAS LÄN</t>
        </is>
      </c>
      <c r="G6298" t="inlineStr">
        <is>
          <t>FALUN</t>
        </is>
      </c>
      <c r="H6298" t="inlineStr">
        <is>
          <t>Bergvik skog väst AB</t>
        </is>
      </c>
      <c r="I6298" t="n">
        <v>33.4</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34595-2025</t>
        </is>
      </c>
      <c r="B6299" t="inlineStr">
        <is>
          <t>avverkningsanmälan</t>
        </is>
      </c>
      <c r="C6299" t="inlineStr">
        <is>
          <t>Föryngringsavverkning</t>
        </is>
      </c>
      <c r="D6299" s="1" t="n">
        <v>45847</v>
      </c>
      <c r="E6299" s="1" t="n">
        <v>46319</v>
      </c>
      <c r="F6299" t="inlineStr">
        <is>
          <t>DALARNAS LÄN</t>
        </is>
      </c>
      <c r="G6299" t="inlineStr">
        <is>
          <t>RÄTTVIK</t>
        </is>
      </c>
      <c r="H6299" t="inlineStr">
        <is>
          <t>Sveaskog</t>
        </is>
      </c>
      <c r="I6299" t="n">
        <v>2.8</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20100-2024</t>
        </is>
      </c>
      <c r="B6300" t="inlineStr">
        <is>
          <t>avverkningsanmälan</t>
        </is>
      </c>
      <c r="C6300" t="inlineStr">
        <is>
          <t>Föryngringsavverkning</t>
        </is>
      </c>
      <c r="D6300" s="1" t="n">
        <v>45434</v>
      </c>
      <c r="E6300" s="1" t="n">
        <v>46319</v>
      </c>
      <c r="F6300" t="inlineStr">
        <is>
          <t>DALARNAS LÄN</t>
        </is>
      </c>
      <c r="G6300" t="inlineStr">
        <is>
          <t>MALUNG-SÄLEN</t>
        </is>
      </c>
      <c r="H6300" t="inlineStr">
        <is>
          <t>Bergvik skog väst AB</t>
        </is>
      </c>
      <c r="I6300" t="n">
        <v>2</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15333-2026</t>
        </is>
      </c>
      <c r="B6301" t="inlineStr">
        <is>
          <t>avverkningsanmälan</t>
        </is>
      </c>
      <c r="C6301" t="inlineStr">
        <is>
          <t>Föryngringsavverkning</t>
        </is>
      </c>
      <c r="D6301" s="1" t="n">
        <v>46105</v>
      </c>
      <c r="E6301" s="1" t="n">
        <v>46319</v>
      </c>
      <c r="F6301" t="inlineStr">
        <is>
          <t>DALARNAS LÄN</t>
        </is>
      </c>
      <c r="G6301" t="inlineStr">
        <is>
          <t>FALUN</t>
        </is>
      </c>
      <c r="I6301" t="n">
        <v>1.7</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15088-2026</t>
        </is>
      </c>
      <c r="B6302" t="inlineStr">
        <is>
          <t>avverkningsanmälan</t>
        </is>
      </c>
      <c r="C6302" t="inlineStr">
        <is>
          <t>Föryngringsavverkning</t>
        </is>
      </c>
      <c r="D6302" s="1" t="n">
        <v>46105</v>
      </c>
      <c r="E6302" s="1" t="n">
        <v>46319</v>
      </c>
      <c r="F6302" t="inlineStr">
        <is>
          <t>DALARNAS LÄN</t>
        </is>
      </c>
      <c r="G6302" t="inlineStr">
        <is>
          <t>RÄTTVIK</t>
        </is>
      </c>
      <c r="H6302" t="inlineStr">
        <is>
          <t>Allmännings- och besparingsskogar</t>
        </is>
      </c>
      <c r="I6302" t="n">
        <v>19.4</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34964-2026</t>
        </is>
      </c>
      <c r="B6303" t="inlineStr">
        <is>
          <t>avverkningsanmälan</t>
        </is>
      </c>
      <c r="C6303" t="inlineStr">
        <is>
          <t>Föryngringsavverkning</t>
        </is>
      </c>
      <c r="D6303" s="1" t="n">
        <v>46259</v>
      </c>
      <c r="E6303" s="1" t="n">
        <v>46319</v>
      </c>
      <c r="F6303" t="inlineStr">
        <is>
          <t>DALARNAS LÄN</t>
        </is>
      </c>
      <c r="G6303" t="inlineStr">
        <is>
          <t>RÄTTVIK</t>
        </is>
      </c>
      <c r="I6303" t="n">
        <v>7.1</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15184-2026</t>
        </is>
      </c>
      <c r="B6304" t="inlineStr">
        <is>
          <t>avverkningsanmälan</t>
        </is>
      </c>
      <c r="C6304" t="inlineStr">
        <is>
          <t>Föryngringsavverkning</t>
        </is>
      </c>
      <c r="D6304" s="1" t="n">
        <v>46105</v>
      </c>
      <c r="E6304" s="1" t="n">
        <v>46319</v>
      </c>
      <c r="F6304" t="inlineStr">
        <is>
          <t>DALARNAS LÄN</t>
        </is>
      </c>
      <c r="G6304" t="inlineStr">
        <is>
          <t>GAGNEF</t>
        </is>
      </c>
      <c r="H6304" t="inlineStr">
        <is>
          <t>Bergvik skog väst AB</t>
        </is>
      </c>
      <c r="I6304" t="n">
        <v>2.6</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34769-2025</t>
        </is>
      </c>
      <c r="B6305" t="inlineStr">
        <is>
          <t>avverkningsanmälan</t>
        </is>
      </c>
      <c r="C6305" t="inlineStr">
        <is>
          <t>Föryngringsavverkning</t>
        </is>
      </c>
      <c r="D6305" s="1" t="n">
        <v>45848</v>
      </c>
      <c r="E6305" s="1" t="n">
        <v>46319</v>
      </c>
      <c r="F6305" t="inlineStr">
        <is>
          <t>DALARNAS LÄN</t>
        </is>
      </c>
      <c r="G6305" t="inlineStr">
        <is>
          <t>ORSA</t>
        </is>
      </c>
      <c r="I6305" t="n">
        <v>0.4</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34777-2025</t>
        </is>
      </c>
      <c r="B6306" t="inlineStr">
        <is>
          <t>avverkningsanmälan</t>
        </is>
      </c>
      <c r="C6306" t="inlineStr">
        <is>
          <t>Föryngringsavverkning</t>
        </is>
      </c>
      <c r="D6306" s="1" t="n">
        <v>45848</v>
      </c>
      <c r="E6306" s="1" t="n">
        <v>46319</v>
      </c>
      <c r="F6306" t="inlineStr">
        <is>
          <t>DALARNAS LÄN</t>
        </is>
      </c>
      <c r="G6306" t="inlineStr">
        <is>
          <t>ORSA</t>
        </is>
      </c>
      <c r="I6306" t="n">
        <v>0.4</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15090-2026</t>
        </is>
      </c>
      <c r="B6307" t="inlineStr">
        <is>
          <t>avverkningsanmälan</t>
        </is>
      </c>
      <c r="C6307" t="inlineStr">
        <is>
          <t>Föryngringsavverkning</t>
        </is>
      </c>
      <c r="D6307" s="1" t="n">
        <v>46105</v>
      </c>
      <c r="E6307" s="1" t="n">
        <v>46319</v>
      </c>
      <c r="F6307" t="inlineStr">
        <is>
          <t>DALARNAS LÄN</t>
        </is>
      </c>
      <c r="G6307" t="inlineStr">
        <is>
          <t>RÄTTVIK</t>
        </is>
      </c>
      <c r="H6307" t="inlineStr">
        <is>
          <t>Allmännings- och besparingsskogar</t>
        </is>
      </c>
      <c r="I6307" t="n">
        <v>1.1</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45361-2022</t>
        </is>
      </c>
      <c r="B6308" t="inlineStr">
        <is>
          <t>avverkningsanmälan</t>
        </is>
      </c>
      <c r="C6308" t="inlineStr">
        <is>
          <t>Föryngringsavverkning</t>
        </is>
      </c>
      <c r="D6308" s="1" t="n">
        <v>44844</v>
      </c>
      <c r="E6308" s="1" t="n">
        <v>46319</v>
      </c>
      <c r="F6308" t="inlineStr">
        <is>
          <t>DALARNAS LÄN</t>
        </is>
      </c>
      <c r="G6308" t="inlineStr">
        <is>
          <t>LUDVIKA</t>
        </is>
      </c>
      <c r="H6308" t="inlineStr">
        <is>
          <t>Bergvik skog väst AB</t>
        </is>
      </c>
      <c r="I6308" t="n">
        <v>0.8</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41501-2026</t>
        </is>
      </c>
      <c r="B6309" t="inlineStr">
        <is>
          <t>avverkningsanmälan</t>
        </is>
      </c>
      <c r="C6309" t="inlineStr">
        <is>
          <t>Föryngringsavverkning</t>
        </is>
      </c>
      <c r="D6309" s="1" t="n">
        <v>46301</v>
      </c>
      <c r="E6309" s="1" t="n">
        <v>46319</v>
      </c>
      <c r="F6309" t="inlineStr">
        <is>
          <t>DALARNAS LÄN</t>
        </is>
      </c>
      <c r="G6309" t="inlineStr">
        <is>
          <t>MALUNG-SÄLEN</t>
        </is>
      </c>
      <c r="H6309" t="inlineStr">
        <is>
          <t>Bergvik skog öst AB</t>
        </is>
      </c>
      <c r="I6309" t="n">
        <v>11.6</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34969-2026</t>
        </is>
      </c>
      <c r="B6310" t="inlineStr">
        <is>
          <t>avverkningsanmälan</t>
        </is>
      </c>
      <c r="C6310" t="inlineStr">
        <is>
          <t>Föryngringsavverkning</t>
        </is>
      </c>
      <c r="D6310" s="1" t="n">
        <v>46259</v>
      </c>
      <c r="E6310" s="1" t="n">
        <v>46319</v>
      </c>
      <c r="F6310" t="inlineStr">
        <is>
          <t>DALARNAS LÄN</t>
        </is>
      </c>
      <c r="G6310" t="inlineStr">
        <is>
          <t>LEKSAND</t>
        </is>
      </c>
      <c r="I6310" t="n">
        <v>2.3</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34537-2025</t>
        </is>
      </c>
      <c r="B6311" t="inlineStr">
        <is>
          <t>avverkningsanmälan</t>
        </is>
      </c>
      <c r="C6311" t="inlineStr">
        <is>
          <t>Föryngringsavverkning</t>
        </is>
      </c>
      <c r="D6311" s="1" t="n">
        <v>45847</v>
      </c>
      <c r="E6311" s="1" t="n">
        <v>46319</v>
      </c>
      <c r="F6311" t="inlineStr">
        <is>
          <t>DALARNAS LÄN</t>
        </is>
      </c>
      <c r="G6311" t="inlineStr">
        <is>
          <t>LEKSAND</t>
        </is>
      </c>
      <c r="I6311" t="n">
        <v>1</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15041-2026</t>
        </is>
      </c>
      <c r="B6312" t="inlineStr">
        <is>
          <t>avverkningsanmälan</t>
        </is>
      </c>
      <c r="C6312" t="inlineStr">
        <is>
          <t>Föryngringsavverkning</t>
        </is>
      </c>
      <c r="D6312" s="1" t="n">
        <v>46104</v>
      </c>
      <c r="E6312" s="1" t="n">
        <v>46319</v>
      </c>
      <c r="F6312" t="inlineStr">
        <is>
          <t>DALARNAS LÄN</t>
        </is>
      </c>
      <c r="G6312" t="inlineStr">
        <is>
          <t>BORLÄNGE</t>
        </is>
      </c>
      <c r="I6312" t="n">
        <v>4.9</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14802-2026</t>
        </is>
      </c>
      <c r="B6313" t="inlineStr">
        <is>
          <t>avverkningsanmälan</t>
        </is>
      </c>
      <c r="C6313" t="inlineStr">
        <is>
          <t>Föryngringsavverkning</t>
        </is>
      </c>
      <c r="D6313" s="1" t="n">
        <v>46103</v>
      </c>
      <c r="E6313" s="1" t="n">
        <v>46319</v>
      </c>
      <c r="F6313" t="inlineStr">
        <is>
          <t>DALARNAS LÄN</t>
        </is>
      </c>
      <c r="G6313" t="inlineStr">
        <is>
          <t>BORLÄNGE</t>
        </is>
      </c>
      <c r="I6313" t="n">
        <v>3.6</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15209-2026</t>
        </is>
      </c>
      <c r="B6314" t="inlineStr">
        <is>
          <t>avverkningsanmälan</t>
        </is>
      </c>
      <c r="C6314" t="inlineStr">
        <is>
          <t>Föryngringsavverkning</t>
        </is>
      </c>
      <c r="D6314" s="1" t="n">
        <v>46105</v>
      </c>
      <c r="E6314" s="1" t="n">
        <v>46319</v>
      </c>
      <c r="F6314" t="inlineStr">
        <is>
          <t>DALARNAS LÄN</t>
        </is>
      </c>
      <c r="G6314" t="inlineStr">
        <is>
          <t>FALUN</t>
        </is>
      </c>
      <c r="I6314" t="n">
        <v>1.2</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14907-2026</t>
        </is>
      </c>
      <c r="B6315" t="inlineStr">
        <is>
          <t>avverkningsanmälan</t>
        </is>
      </c>
      <c r="C6315" t="inlineStr">
        <is>
          <t>Föryngringsavverkning</t>
        </is>
      </c>
      <c r="D6315" s="1" t="n">
        <v>46104</v>
      </c>
      <c r="E6315" s="1" t="n">
        <v>46319</v>
      </c>
      <c r="F6315" t="inlineStr">
        <is>
          <t>DALARNAS LÄN</t>
        </is>
      </c>
      <c r="G6315" t="inlineStr">
        <is>
          <t>FALUN</t>
        </is>
      </c>
      <c r="I6315" t="n">
        <v>0.5</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5706-2026</t>
        </is>
      </c>
      <c r="B6316" t="inlineStr">
        <is>
          <t>avverkningsanmälan</t>
        </is>
      </c>
      <c r="C6316" t="inlineStr">
        <is>
          <t>Föryngringsavverkning</t>
        </is>
      </c>
      <c r="D6316" s="1" t="n">
        <v>46051</v>
      </c>
      <c r="E6316" s="1" t="n">
        <v>46319</v>
      </c>
      <c r="F6316" t="inlineStr">
        <is>
          <t>DALARNAS LÄN</t>
        </is>
      </c>
      <c r="G6316" t="inlineStr">
        <is>
          <t>SMEDJEBACKEN</t>
        </is>
      </c>
      <c r="I6316" t="n">
        <v>1.2</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194-2023</t>
        </is>
      </c>
      <c r="B6317" t="inlineStr">
        <is>
          <t>avverkningsanmälan</t>
        </is>
      </c>
      <c r="C6317" t="inlineStr">
        <is>
          <t>Föryngringsavverkning</t>
        </is>
      </c>
      <c r="D6317" s="1" t="n">
        <v>44928</v>
      </c>
      <c r="E6317" s="1" t="n">
        <v>46319</v>
      </c>
      <c r="F6317" t="inlineStr">
        <is>
          <t>DALARNAS LÄN</t>
        </is>
      </c>
      <c r="G6317" t="inlineStr">
        <is>
          <t>MALUNG-SÄLEN</t>
        </is>
      </c>
      <c r="I6317" t="n">
        <v>5.3</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15146-2026</t>
        </is>
      </c>
      <c r="B6318" t="inlineStr">
        <is>
          <t>avverkningsanmälan</t>
        </is>
      </c>
      <c r="C6318" t="inlineStr">
        <is>
          <t>Föryngringsavverkning</t>
        </is>
      </c>
      <c r="D6318" s="1" t="n">
        <v>46105</v>
      </c>
      <c r="E6318" s="1" t="n">
        <v>46319</v>
      </c>
      <c r="F6318" t="inlineStr">
        <is>
          <t>DALARNAS LÄN</t>
        </is>
      </c>
      <c r="G6318" t="inlineStr">
        <is>
          <t>HEDEMORA</t>
        </is>
      </c>
      <c r="H6318" t="inlineStr">
        <is>
          <t>Sveaskog</t>
        </is>
      </c>
      <c r="I6318" t="n">
        <v>0.6</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15366-2026</t>
        </is>
      </c>
      <c r="B6319" t="inlineStr">
        <is>
          <t>avverkningsanmälan</t>
        </is>
      </c>
      <c r="C6319" t="inlineStr">
        <is>
          <t>Föryngringsavverkning</t>
        </is>
      </c>
      <c r="D6319" s="1" t="n">
        <v>46105</v>
      </c>
      <c r="E6319" s="1" t="n">
        <v>46319</v>
      </c>
      <c r="F6319" t="inlineStr">
        <is>
          <t>DALARNAS LÄN</t>
        </is>
      </c>
      <c r="G6319" t="inlineStr">
        <is>
          <t>FALUN</t>
        </is>
      </c>
      <c r="I6319" t="n">
        <v>5.2</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37046-2023</t>
        </is>
      </c>
      <c r="B6320" t="inlineStr">
        <is>
          <t>avverkningsanmälan</t>
        </is>
      </c>
      <c r="C6320" t="inlineStr">
        <is>
          <t>Föryngringsavverkning</t>
        </is>
      </c>
      <c r="D6320" s="1" t="n">
        <v>45154</v>
      </c>
      <c r="E6320" s="1" t="n">
        <v>46319</v>
      </c>
      <c r="F6320" t="inlineStr">
        <is>
          <t>DALARNAS LÄN</t>
        </is>
      </c>
      <c r="G6320" t="inlineStr">
        <is>
          <t>SMEDJEBACKEN</t>
        </is>
      </c>
      <c r="I6320" t="n">
        <v>21.9</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14801-2026</t>
        </is>
      </c>
      <c r="B6321" t="inlineStr">
        <is>
          <t>avverkningsanmälan</t>
        </is>
      </c>
      <c r="C6321" t="inlineStr">
        <is>
          <t>Föryngringsavverkning</t>
        </is>
      </c>
      <c r="D6321" s="1" t="n">
        <v>46103</v>
      </c>
      <c r="E6321" s="1" t="n">
        <v>46319</v>
      </c>
      <c r="F6321" t="inlineStr">
        <is>
          <t>DALARNAS LÄN</t>
        </is>
      </c>
      <c r="G6321" t="inlineStr">
        <is>
          <t>BORLÄNGE</t>
        </is>
      </c>
      <c r="I6321" t="n">
        <v>5.7</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12917-2026</t>
        </is>
      </c>
      <c r="B6322" t="inlineStr">
        <is>
          <t>avverkningsanmälan</t>
        </is>
      </c>
      <c r="C6322" t="inlineStr">
        <is>
          <t>Föryngringsavverkning</t>
        </is>
      </c>
      <c r="D6322" s="1" t="n">
        <v>46092</v>
      </c>
      <c r="E6322" s="1" t="n">
        <v>46319</v>
      </c>
      <c r="F6322" t="inlineStr">
        <is>
          <t>DALARNAS LÄN</t>
        </is>
      </c>
      <c r="G6322" t="inlineStr">
        <is>
          <t>VANSBRO</t>
        </is>
      </c>
      <c r="I6322" t="n">
        <v>4.9</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14964-2026</t>
        </is>
      </c>
      <c r="B6323" t="inlineStr">
        <is>
          <t>avverkningsanmälan</t>
        </is>
      </c>
      <c r="C6323" t="inlineStr">
        <is>
          <t>Föryngringsavverkning</t>
        </is>
      </c>
      <c r="D6323" s="1" t="n">
        <v>46104</v>
      </c>
      <c r="E6323" s="1" t="n">
        <v>46319</v>
      </c>
      <c r="F6323" t="inlineStr">
        <is>
          <t>DALARNAS LÄN</t>
        </is>
      </c>
      <c r="G6323" t="inlineStr">
        <is>
          <t>FALUN</t>
        </is>
      </c>
      <c r="I6323" t="n">
        <v>3.1</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15123-2026</t>
        </is>
      </c>
      <c r="B6324" t="inlineStr">
        <is>
          <t>avverkningsanmälan</t>
        </is>
      </c>
      <c r="C6324" t="inlineStr">
        <is>
          <t>Föryngringsavverkning</t>
        </is>
      </c>
      <c r="D6324" s="1" t="n">
        <v>46105</v>
      </c>
      <c r="E6324" s="1" t="n">
        <v>46319</v>
      </c>
      <c r="F6324" t="inlineStr">
        <is>
          <t>DALARNAS LÄN</t>
        </is>
      </c>
      <c r="G6324" t="inlineStr">
        <is>
          <t>FALUN</t>
        </is>
      </c>
      <c r="I6324" t="n">
        <v>0.6</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41443-2026</t>
        </is>
      </c>
      <c r="B6325" t="inlineStr">
        <is>
          <t>avverkningsanmälan</t>
        </is>
      </c>
      <c r="C6325" t="inlineStr">
        <is>
          <t>Föryngringsavverkning</t>
        </is>
      </c>
      <c r="D6325" s="1" t="n">
        <v>46301</v>
      </c>
      <c r="E6325" s="1" t="n">
        <v>46319</v>
      </c>
      <c r="F6325" t="inlineStr">
        <is>
          <t>DALARNAS LÄN</t>
        </is>
      </c>
      <c r="G6325" t="inlineStr">
        <is>
          <t>LUDVIKA</t>
        </is>
      </c>
      <c r="I6325" t="n">
        <v>1</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15133-2026</t>
        </is>
      </c>
      <c r="B6326" t="inlineStr">
        <is>
          <t>avverkningsanmälan</t>
        </is>
      </c>
      <c r="C6326" t="inlineStr">
        <is>
          <t>Föryngringsavverkning</t>
        </is>
      </c>
      <c r="D6326" s="1" t="n">
        <v>46105</v>
      </c>
      <c r="E6326" s="1" t="n">
        <v>46319</v>
      </c>
      <c r="F6326" t="inlineStr">
        <is>
          <t>DALARNAS LÄN</t>
        </is>
      </c>
      <c r="G6326" t="inlineStr">
        <is>
          <t>FALUN</t>
        </is>
      </c>
      <c r="H6326" t="inlineStr">
        <is>
          <t>Bergvik skog väst AB</t>
        </is>
      </c>
      <c r="I6326" t="n">
        <v>11.5</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15232-2026</t>
        </is>
      </c>
      <c r="B6327" t="inlineStr">
        <is>
          <t>avverkningsanmälan</t>
        </is>
      </c>
      <c r="C6327" t="inlineStr">
        <is>
          <t>Föryngringsavverkning</t>
        </is>
      </c>
      <c r="D6327" s="1" t="n">
        <v>46105</v>
      </c>
      <c r="E6327" s="1" t="n">
        <v>46319</v>
      </c>
      <c r="F6327" t="inlineStr">
        <is>
          <t>DALARNAS LÄN</t>
        </is>
      </c>
      <c r="G6327" t="inlineStr">
        <is>
          <t>HEDEMORA</t>
        </is>
      </c>
      <c r="H6327" t="inlineStr">
        <is>
          <t>Sveaskog</t>
        </is>
      </c>
      <c r="I6327" t="n">
        <v>0.5</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34764-2025</t>
        </is>
      </c>
      <c r="B6328" t="inlineStr">
        <is>
          <t>avverkningsanmälan</t>
        </is>
      </c>
      <c r="C6328" t="inlineStr">
        <is>
          <t>Föryngringsavverkning</t>
        </is>
      </c>
      <c r="D6328" s="1" t="n">
        <v>45848</v>
      </c>
      <c r="E6328" s="1" t="n">
        <v>46319</v>
      </c>
      <c r="F6328" t="inlineStr">
        <is>
          <t>DALARNAS LÄN</t>
        </is>
      </c>
      <c r="G6328" t="inlineStr">
        <is>
          <t>ORSA</t>
        </is>
      </c>
      <c r="I6328" t="n">
        <v>1.3</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34906-2025</t>
        </is>
      </c>
      <c r="B6329" t="inlineStr">
        <is>
          <t>avverkningsanmälan</t>
        </is>
      </c>
      <c r="C6329" t="inlineStr">
        <is>
          <t>Föryngringsavverkning</t>
        </is>
      </c>
      <c r="D6329" s="1" t="n">
        <v>45849</v>
      </c>
      <c r="E6329" s="1" t="n">
        <v>46319</v>
      </c>
      <c r="F6329" t="inlineStr">
        <is>
          <t>DALARNAS LÄN</t>
        </is>
      </c>
      <c r="G6329" t="inlineStr">
        <is>
          <t>MALUNG-SÄLEN</t>
        </is>
      </c>
      <c r="I6329" t="n">
        <v>1</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41621-2026</t>
        </is>
      </c>
      <c r="B6330" t="inlineStr">
        <is>
          <t>avverkningsanmälan</t>
        </is>
      </c>
      <c r="C6330" t="inlineStr">
        <is>
          <t>Föryngringsavverkning</t>
        </is>
      </c>
      <c r="D6330" s="1" t="n">
        <v>46302</v>
      </c>
      <c r="E6330" s="1" t="n">
        <v>46319</v>
      </c>
      <c r="F6330" t="inlineStr">
        <is>
          <t>DALARNAS LÄN</t>
        </is>
      </c>
      <c r="G6330" t="inlineStr">
        <is>
          <t>MALUNG-SÄLEN</t>
        </is>
      </c>
      <c r="H6330" t="inlineStr">
        <is>
          <t>Bergvik skog öst AB</t>
        </is>
      </c>
      <c r="I6330" t="n">
        <v>1</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15738-2026</t>
        </is>
      </c>
      <c r="B6331" t="inlineStr">
        <is>
          <t>avverkningsanmälan</t>
        </is>
      </c>
      <c r="C6331" t="inlineStr">
        <is>
          <t>Föryngringsavverkning</t>
        </is>
      </c>
      <c r="D6331" s="1" t="n">
        <v>46107</v>
      </c>
      <c r="E6331" s="1" t="n">
        <v>46319</v>
      </c>
      <c r="F6331" t="inlineStr">
        <is>
          <t>DALARNAS LÄN</t>
        </is>
      </c>
      <c r="G6331" t="inlineStr">
        <is>
          <t>MALUNG-SÄLEN</t>
        </is>
      </c>
      <c r="I6331" t="n">
        <v>0.7</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34925-2026</t>
        </is>
      </c>
      <c r="B6332" t="inlineStr">
        <is>
          <t>avverkningsanmälan</t>
        </is>
      </c>
      <c r="C6332" t="inlineStr">
        <is>
          <t>Föryngringsavverkning</t>
        </is>
      </c>
      <c r="D6332" s="1" t="n">
        <v>46259</v>
      </c>
      <c r="E6332" s="1" t="n">
        <v>46319</v>
      </c>
      <c r="F6332" t="inlineStr">
        <is>
          <t>DALARNAS LÄN</t>
        </is>
      </c>
      <c r="G6332" t="inlineStr">
        <is>
          <t>GAGNEF</t>
        </is>
      </c>
      <c r="I6332" t="n">
        <v>1.8</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34908-2025</t>
        </is>
      </c>
      <c r="B6333" t="inlineStr">
        <is>
          <t>avverkningsanmälan</t>
        </is>
      </c>
      <c r="C6333" t="inlineStr">
        <is>
          <t>Föryngringsavverkning</t>
        </is>
      </c>
      <c r="D6333" s="1" t="n">
        <v>45849</v>
      </c>
      <c r="E6333" s="1" t="n">
        <v>46319</v>
      </c>
      <c r="F6333" t="inlineStr">
        <is>
          <t>DALARNAS LÄN</t>
        </is>
      </c>
      <c r="G6333" t="inlineStr">
        <is>
          <t>RÄTTVIK</t>
        </is>
      </c>
      <c r="H6333" t="inlineStr">
        <is>
          <t>Sveaskog</t>
        </is>
      </c>
      <c r="I6333" t="n">
        <v>0.4</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8360-2025</t>
        </is>
      </c>
      <c r="B6334" t="inlineStr">
        <is>
          <t>avverkningsanmälan</t>
        </is>
      </c>
      <c r="C6334" t="inlineStr">
        <is>
          <t>Föryngringsavverkning</t>
        </is>
      </c>
      <c r="D6334" s="1" t="n">
        <v>45708</v>
      </c>
      <c r="E6334" s="1" t="n">
        <v>46319</v>
      </c>
      <c r="F6334" t="inlineStr">
        <is>
          <t>DALARNAS LÄN</t>
        </is>
      </c>
      <c r="G6334" t="inlineStr">
        <is>
          <t>AVESTA</t>
        </is>
      </c>
      <c r="I6334" t="n">
        <v>7.4</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15650-2026</t>
        </is>
      </c>
      <c r="B6335" t="inlineStr">
        <is>
          <t>avverkningsanmälan</t>
        </is>
      </c>
      <c r="C6335" t="inlineStr">
        <is>
          <t>Föryngringsavverkning</t>
        </is>
      </c>
      <c r="D6335" s="1" t="n">
        <v>46106</v>
      </c>
      <c r="E6335" s="1" t="n">
        <v>46319</v>
      </c>
      <c r="F6335" t="inlineStr">
        <is>
          <t>DALARNAS LÄN</t>
        </is>
      </c>
      <c r="G6335" t="inlineStr">
        <is>
          <t>RÄTTVIK</t>
        </is>
      </c>
      <c r="H6335" t="inlineStr">
        <is>
          <t>Sveaskog</t>
        </is>
      </c>
      <c r="I6335" t="n">
        <v>2.5</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15583-2026</t>
        </is>
      </c>
      <c r="B6336" t="inlineStr">
        <is>
          <t>avverkningsanmälan</t>
        </is>
      </c>
      <c r="C6336" t="inlineStr">
        <is>
          <t>Föryngringsavverkning</t>
        </is>
      </c>
      <c r="D6336" s="1" t="n">
        <v>46106</v>
      </c>
      <c r="E6336" s="1" t="n">
        <v>46319</v>
      </c>
      <c r="F6336" t="inlineStr">
        <is>
          <t>DALARNAS LÄN</t>
        </is>
      </c>
      <c r="G6336" t="inlineStr">
        <is>
          <t>LEKSAND</t>
        </is>
      </c>
      <c r="H6336" t="inlineStr">
        <is>
          <t>Bergvik skog väst AB</t>
        </is>
      </c>
      <c r="I6336" t="n">
        <v>1.6</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34796-2026</t>
        </is>
      </c>
      <c r="B6337" t="inlineStr">
        <is>
          <t>avverkningsanmälan</t>
        </is>
      </c>
      <c r="C6337" t="inlineStr">
        <is>
          <t>Föryngringsavverkning</t>
        </is>
      </c>
      <c r="D6337" s="1" t="n">
        <v>46258</v>
      </c>
      <c r="E6337" s="1" t="n">
        <v>46319</v>
      </c>
      <c r="F6337" t="inlineStr">
        <is>
          <t>DALARNAS LÄN</t>
        </is>
      </c>
      <c r="G6337" t="inlineStr">
        <is>
          <t>LUDVIKA</t>
        </is>
      </c>
      <c r="H6337" t="inlineStr">
        <is>
          <t>Bergvik skog väst AB</t>
        </is>
      </c>
      <c r="I6337" t="n">
        <v>2.1</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34818-2026</t>
        </is>
      </c>
      <c r="B6338" t="inlineStr">
        <is>
          <t>avverkningsanmälan</t>
        </is>
      </c>
      <c r="C6338" t="inlineStr">
        <is>
          <t>Föryngringsavverkning</t>
        </is>
      </c>
      <c r="D6338" s="1" t="n">
        <v>46258</v>
      </c>
      <c r="E6338" s="1" t="n">
        <v>46319</v>
      </c>
      <c r="F6338" t="inlineStr">
        <is>
          <t>DALARNAS LÄN</t>
        </is>
      </c>
      <c r="G6338" t="inlineStr">
        <is>
          <t>MORA</t>
        </is>
      </c>
      <c r="I6338" t="n">
        <v>5.6</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34729-2026</t>
        </is>
      </c>
      <c r="B6339" t="inlineStr">
        <is>
          <t>avverkningsanmälan</t>
        </is>
      </c>
      <c r="C6339" t="inlineStr">
        <is>
          <t>Föryngringsavverkning</t>
        </is>
      </c>
      <c r="D6339" s="1" t="n">
        <v>46258</v>
      </c>
      <c r="E6339" s="1" t="n">
        <v>46319</v>
      </c>
      <c r="F6339" t="inlineStr">
        <is>
          <t>DALARNAS LÄN</t>
        </is>
      </c>
      <c r="G6339" t="inlineStr">
        <is>
          <t>ÄLVDALEN</t>
        </is>
      </c>
      <c r="I6339" t="n">
        <v>0.4</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34732-2026</t>
        </is>
      </c>
      <c r="B6340" t="inlineStr">
        <is>
          <t>avverkningsanmälan</t>
        </is>
      </c>
      <c r="C6340" t="inlineStr">
        <is>
          <t>Föryngringsavverkning</t>
        </is>
      </c>
      <c r="D6340" s="1" t="n">
        <v>46258</v>
      </c>
      <c r="E6340" s="1" t="n">
        <v>46319</v>
      </c>
      <c r="F6340" t="inlineStr">
        <is>
          <t>DALARNAS LÄN</t>
        </is>
      </c>
      <c r="G6340" t="inlineStr">
        <is>
          <t>ÄLVDALEN</t>
        </is>
      </c>
      <c r="I6340" t="n">
        <v>0.4</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13922-2022</t>
        </is>
      </c>
      <c r="B6341" t="inlineStr">
        <is>
          <t>avverkningsanmälan</t>
        </is>
      </c>
      <c r="C6341" t="inlineStr">
        <is>
          <t>Föryngringsavverkning</t>
        </is>
      </c>
      <c r="D6341" s="1" t="n">
        <v>44650</v>
      </c>
      <c r="E6341" s="1" t="n">
        <v>46319</v>
      </c>
      <c r="F6341" t="inlineStr">
        <is>
          <t>DALARNAS LÄN</t>
        </is>
      </c>
      <c r="G6341" t="inlineStr">
        <is>
          <t>AVESTA</t>
        </is>
      </c>
      <c r="I6341" t="n">
        <v>1.2</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21969-2025</t>
        </is>
      </c>
      <c r="B6342" t="inlineStr">
        <is>
          <t>avverkningsanmälan</t>
        </is>
      </c>
      <c r="C6342" t="inlineStr">
        <is>
          <t>Föryngringsavverkning</t>
        </is>
      </c>
      <c r="D6342" s="1" t="n">
        <v>45784</v>
      </c>
      <c r="E6342" s="1" t="n">
        <v>46319</v>
      </c>
      <c r="F6342" t="inlineStr">
        <is>
          <t>DALARNAS LÄN</t>
        </is>
      </c>
      <c r="G6342" t="inlineStr">
        <is>
          <t>SMEDJEBACKEN</t>
        </is>
      </c>
      <c r="I6342" t="n">
        <v>4</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15670-2026</t>
        </is>
      </c>
      <c r="B6343" t="inlineStr">
        <is>
          <t>avverkningsanmälan</t>
        </is>
      </c>
      <c r="C6343" t="inlineStr">
        <is>
          <t>Föryngringsavverkning</t>
        </is>
      </c>
      <c r="D6343" s="1" t="n">
        <v>46106</v>
      </c>
      <c r="E6343" s="1" t="n">
        <v>46319</v>
      </c>
      <c r="F6343" t="inlineStr">
        <is>
          <t>DALARNAS LÄN</t>
        </is>
      </c>
      <c r="G6343" t="inlineStr">
        <is>
          <t>FALUN</t>
        </is>
      </c>
      <c r="I6343" t="n">
        <v>0.9</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34861-2025</t>
        </is>
      </c>
      <c r="B6344" t="inlineStr">
        <is>
          <t>avverkningsanmälan</t>
        </is>
      </c>
      <c r="C6344" t="inlineStr">
        <is>
          <t>Föryngringsavverkning</t>
        </is>
      </c>
      <c r="D6344" s="1" t="n">
        <v>45849</v>
      </c>
      <c r="E6344" s="1" t="n">
        <v>46319</v>
      </c>
      <c r="F6344" t="inlineStr">
        <is>
          <t>DALARNAS LÄN</t>
        </is>
      </c>
      <c r="G6344" t="inlineStr">
        <is>
          <t>LUDVIKA</t>
        </is>
      </c>
      <c r="H6344" t="inlineStr">
        <is>
          <t>Bergvik skog väst AB</t>
        </is>
      </c>
      <c r="I6344" t="n">
        <v>0.5</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34901-2025</t>
        </is>
      </c>
      <c r="B6345" t="inlineStr">
        <is>
          <t>avverkningsanmälan</t>
        </is>
      </c>
      <c r="C6345" t="inlineStr">
        <is>
          <t>Föryngringsavverkning</t>
        </is>
      </c>
      <c r="D6345" s="1" t="n">
        <v>45849</v>
      </c>
      <c r="E6345" s="1" t="n">
        <v>46319</v>
      </c>
      <c r="F6345" t="inlineStr">
        <is>
          <t>DALARNAS LÄN</t>
        </is>
      </c>
      <c r="G6345" t="inlineStr">
        <is>
          <t>MALUNG-SÄLEN</t>
        </is>
      </c>
      <c r="I6345" t="n">
        <v>2.8</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41535-2026</t>
        </is>
      </c>
      <c r="B6346" t="inlineStr">
        <is>
          <t>avverkningsanmälan</t>
        </is>
      </c>
      <c r="C6346" t="inlineStr">
        <is>
          <t>Föryngringsavverkning</t>
        </is>
      </c>
      <c r="D6346" s="1" t="n">
        <v>46301</v>
      </c>
      <c r="E6346" s="1" t="n">
        <v>46319</v>
      </c>
      <c r="F6346" t="inlineStr">
        <is>
          <t>DALARNAS LÄN</t>
        </is>
      </c>
      <c r="G6346" t="inlineStr">
        <is>
          <t>RÄTTVIK</t>
        </is>
      </c>
      <c r="I6346" t="n">
        <v>2.7</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41564-2026</t>
        </is>
      </c>
      <c r="B6347" t="inlineStr">
        <is>
          <t>avverkningsanmälan</t>
        </is>
      </c>
      <c r="C6347" t="inlineStr">
        <is>
          <t>Föryngringsavverkning</t>
        </is>
      </c>
      <c r="D6347" s="1" t="n">
        <v>46301</v>
      </c>
      <c r="E6347" s="1" t="n">
        <v>46319</v>
      </c>
      <c r="F6347" t="inlineStr">
        <is>
          <t>DALARNAS LÄN</t>
        </is>
      </c>
      <c r="G6347" t="inlineStr">
        <is>
          <t>AVESTA</t>
        </is>
      </c>
      <c r="H6347" t="inlineStr">
        <is>
          <t>Bergvik skog väst AB</t>
        </is>
      </c>
      <c r="I6347" t="n">
        <v>5.6</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41567-2026</t>
        </is>
      </c>
      <c r="B6348" t="inlineStr">
        <is>
          <t>avverkningsanmälan</t>
        </is>
      </c>
      <c r="C6348" t="inlineStr">
        <is>
          <t>Föryngringsavverkning</t>
        </is>
      </c>
      <c r="D6348" s="1" t="n">
        <v>46301</v>
      </c>
      <c r="E6348" s="1" t="n">
        <v>46319</v>
      </c>
      <c r="F6348" t="inlineStr">
        <is>
          <t>DALARNAS LÄN</t>
        </is>
      </c>
      <c r="G6348" t="inlineStr">
        <is>
          <t>AVESTA</t>
        </is>
      </c>
      <c r="I6348" t="n">
        <v>2.3</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11510-2026</t>
        </is>
      </c>
      <c r="B6349" t="inlineStr">
        <is>
          <t>avverkningsanmälan</t>
        </is>
      </c>
      <c r="C6349" t="inlineStr">
        <is>
          <t>Föryngringsavverkning</t>
        </is>
      </c>
      <c r="D6349" s="1" t="n">
        <v>46083</v>
      </c>
      <c r="E6349" s="1" t="n">
        <v>46319</v>
      </c>
      <c r="F6349" t="inlineStr">
        <is>
          <t>DALARNAS LÄN</t>
        </is>
      </c>
      <c r="G6349" t="inlineStr">
        <is>
          <t>ORSA</t>
        </is>
      </c>
      <c r="H6349" t="inlineStr">
        <is>
          <t>Bergvik skog öst AB</t>
        </is>
      </c>
      <c r="I6349" t="n">
        <v>2.7</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34810-2025</t>
        </is>
      </c>
      <c r="B6350" t="inlineStr">
        <is>
          <t>avverkningsanmälan</t>
        </is>
      </c>
      <c r="C6350" t="inlineStr">
        <is>
          <t>Föryngringsavverkning</t>
        </is>
      </c>
      <c r="D6350" s="1" t="n">
        <v>45849</v>
      </c>
      <c r="E6350" s="1" t="n">
        <v>46319</v>
      </c>
      <c r="F6350" t="inlineStr">
        <is>
          <t>DALARNAS LÄN</t>
        </is>
      </c>
      <c r="G6350" t="inlineStr">
        <is>
          <t>RÄTTVIK</t>
        </is>
      </c>
      <c r="H6350" t="inlineStr">
        <is>
          <t>Bergvik skog väst AB</t>
        </is>
      </c>
      <c r="I6350" t="n">
        <v>2</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1276-2022</t>
        </is>
      </c>
      <c r="B6351" t="inlineStr">
        <is>
          <t>avverkningsanmälan</t>
        </is>
      </c>
      <c r="C6351" t="inlineStr">
        <is>
          <t>Föryngringsavverkning</t>
        </is>
      </c>
      <c r="D6351" s="1" t="n">
        <v>44572</v>
      </c>
      <c r="E6351" s="1" t="n">
        <v>46319</v>
      </c>
      <c r="F6351" t="inlineStr">
        <is>
          <t>DALARNAS LÄN</t>
        </is>
      </c>
      <c r="G6351" t="inlineStr">
        <is>
          <t>SÄTER</t>
        </is>
      </c>
      <c r="I6351" t="n">
        <v>1.2</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34941-2025</t>
        </is>
      </c>
      <c r="B6352" t="inlineStr">
        <is>
          <t>avverkningsanmälan</t>
        </is>
      </c>
      <c r="C6352" t="inlineStr">
        <is>
          <t>Föryngringsavverkning</t>
        </is>
      </c>
      <c r="D6352" s="1" t="n">
        <v>45849</v>
      </c>
      <c r="E6352" s="1" t="n">
        <v>46319</v>
      </c>
      <c r="F6352" t="inlineStr">
        <is>
          <t>DALARNAS LÄN</t>
        </is>
      </c>
      <c r="G6352" t="inlineStr">
        <is>
          <t>FALUN</t>
        </is>
      </c>
      <c r="H6352" t="inlineStr">
        <is>
          <t>Bergvik skog väst AB</t>
        </is>
      </c>
      <c r="I6352" t="n">
        <v>18.1</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34965-2025</t>
        </is>
      </c>
      <c r="B6353" t="inlineStr">
        <is>
          <t>avverkningsanmälan</t>
        </is>
      </c>
      <c r="C6353" t="inlineStr">
        <is>
          <t>Föryngringsavverkning</t>
        </is>
      </c>
      <c r="D6353" s="1" t="n">
        <v>45849</v>
      </c>
      <c r="E6353" s="1" t="n">
        <v>46319</v>
      </c>
      <c r="F6353" t="inlineStr">
        <is>
          <t>DALARNAS LÄN</t>
        </is>
      </c>
      <c r="G6353" t="inlineStr">
        <is>
          <t>LEKSAND</t>
        </is>
      </c>
      <c r="H6353" t="inlineStr">
        <is>
          <t>Bergvik skog väst AB</t>
        </is>
      </c>
      <c r="I6353" t="n">
        <v>1.8</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34966-2025</t>
        </is>
      </c>
      <c r="B6354" t="inlineStr">
        <is>
          <t>avverkningsanmälan</t>
        </is>
      </c>
      <c r="C6354" t="inlineStr">
        <is>
          <t>Föryngringsavverkning</t>
        </is>
      </c>
      <c r="D6354" s="1" t="n">
        <v>45849</v>
      </c>
      <c r="E6354" s="1" t="n">
        <v>46319</v>
      </c>
      <c r="F6354" t="inlineStr">
        <is>
          <t>DALARNAS LÄN</t>
        </is>
      </c>
      <c r="G6354" t="inlineStr">
        <is>
          <t>LEKSAND</t>
        </is>
      </c>
      <c r="H6354" t="inlineStr">
        <is>
          <t>Bergvik skog väst AB</t>
        </is>
      </c>
      <c r="I6354" t="n">
        <v>0.9</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40752-2024</t>
        </is>
      </c>
      <c r="B6355" t="inlineStr">
        <is>
          <t>avverkningsanmälan</t>
        </is>
      </c>
      <c r="C6355" t="inlineStr">
        <is>
          <t>Föryngringsavverkning</t>
        </is>
      </c>
      <c r="D6355" s="1" t="n">
        <v>45558</v>
      </c>
      <c r="E6355" s="1" t="n">
        <v>46319</v>
      </c>
      <c r="F6355" t="inlineStr">
        <is>
          <t>DALARNAS LÄN</t>
        </is>
      </c>
      <c r="G6355" t="inlineStr">
        <is>
          <t>LEKSAND</t>
        </is>
      </c>
      <c r="I6355" t="n">
        <v>1</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34455-2024</t>
        </is>
      </c>
      <c r="B6356" t="inlineStr">
        <is>
          <t>avverkningsanmälan</t>
        </is>
      </c>
      <c r="C6356" t="inlineStr">
        <is>
          <t>Föryngringsavverkning</t>
        </is>
      </c>
      <c r="D6356" s="1" t="n">
        <v>45525</v>
      </c>
      <c r="E6356" s="1" t="n">
        <v>46319</v>
      </c>
      <c r="F6356" t="inlineStr">
        <is>
          <t>DALARNAS LÄN</t>
        </is>
      </c>
      <c r="G6356" t="inlineStr">
        <is>
          <t>LUDVIKA</t>
        </is>
      </c>
      <c r="I6356" t="n">
        <v>0.9</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34714-2026</t>
        </is>
      </c>
      <c r="B6357" t="inlineStr">
        <is>
          <t>avverkningsanmälan</t>
        </is>
      </c>
      <c r="C6357" t="inlineStr">
        <is>
          <t>Föryngringsavverkning</t>
        </is>
      </c>
      <c r="D6357" s="1" t="n">
        <v>46258</v>
      </c>
      <c r="E6357" s="1" t="n">
        <v>46319</v>
      </c>
      <c r="F6357" t="inlineStr">
        <is>
          <t>DALARNAS LÄN</t>
        </is>
      </c>
      <c r="G6357" t="inlineStr">
        <is>
          <t>ÄLVDALEN</t>
        </is>
      </c>
      <c r="I6357" t="n">
        <v>3.2</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15548-2026</t>
        </is>
      </c>
      <c r="B6358" t="inlineStr">
        <is>
          <t>avverkningsanmälan</t>
        </is>
      </c>
      <c r="C6358" t="inlineStr">
        <is>
          <t>Föryngringsavverkning</t>
        </is>
      </c>
      <c r="D6358" s="1" t="n">
        <v>46106</v>
      </c>
      <c r="E6358" s="1" t="n">
        <v>46319</v>
      </c>
      <c r="F6358" t="inlineStr">
        <is>
          <t>DALARNAS LÄN</t>
        </is>
      </c>
      <c r="G6358" t="inlineStr">
        <is>
          <t>GAGNEF</t>
        </is>
      </c>
      <c r="I6358" t="n">
        <v>3.2</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35012-2026</t>
        </is>
      </c>
      <c r="B6359" t="inlineStr">
        <is>
          <t>avverkningsanmälan</t>
        </is>
      </c>
      <c r="C6359" t="inlineStr">
        <is>
          <t>Föryngringsavverkning</t>
        </is>
      </c>
      <c r="D6359" s="1" t="n">
        <v>46259</v>
      </c>
      <c r="E6359" s="1" t="n">
        <v>46319</v>
      </c>
      <c r="F6359" t="inlineStr">
        <is>
          <t>DALARNAS LÄN</t>
        </is>
      </c>
      <c r="G6359" t="inlineStr">
        <is>
          <t>LEKSAND</t>
        </is>
      </c>
      <c r="H6359" t="inlineStr">
        <is>
          <t>Bergvik skog väst AB</t>
        </is>
      </c>
      <c r="I6359" t="n">
        <v>3.4</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35042-2026</t>
        </is>
      </c>
      <c r="B6360" t="inlineStr">
        <is>
          <t>avverkningsanmälan</t>
        </is>
      </c>
      <c r="C6360" t="inlineStr">
        <is>
          <t>Föryngringsavverkning</t>
        </is>
      </c>
      <c r="D6360" s="1" t="n">
        <v>46259</v>
      </c>
      <c r="E6360" s="1" t="n">
        <v>46319</v>
      </c>
      <c r="F6360" t="inlineStr">
        <is>
          <t>DALARNAS LÄN</t>
        </is>
      </c>
      <c r="G6360" t="inlineStr">
        <is>
          <t>VANSBRO</t>
        </is>
      </c>
      <c r="H6360" t="inlineStr">
        <is>
          <t>Bergvik skog öst AB</t>
        </is>
      </c>
      <c r="I6360" t="n">
        <v>6.9</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15841-2026</t>
        </is>
      </c>
      <c r="B6361" t="inlineStr">
        <is>
          <t>avverkningsanmälan</t>
        </is>
      </c>
      <c r="C6361" t="inlineStr">
        <is>
          <t>Avverkning för annat ändamål</t>
        </is>
      </c>
      <c r="D6361" s="1" t="n">
        <v>46107</v>
      </c>
      <c r="E6361" s="1" t="n">
        <v>46319</v>
      </c>
      <c r="F6361" t="inlineStr">
        <is>
          <t>DALARNAS LÄN</t>
        </is>
      </c>
      <c r="G6361" t="inlineStr">
        <is>
          <t>ÄLVDALEN</t>
        </is>
      </c>
      <c r="H6361" t="inlineStr">
        <is>
          <t>Allmännings- och besparingsskogar</t>
        </is>
      </c>
      <c r="I6361" t="n">
        <v>0.2</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34898-2025</t>
        </is>
      </c>
      <c r="B6362" t="inlineStr">
        <is>
          <t>avverkningsanmälan</t>
        </is>
      </c>
      <c r="C6362" t="inlineStr">
        <is>
          <t>Föryngringsavverkning</t>
        </is>
      </c>
      <c r="D6362" s="1" t="n">
        <v>45849</v>
      </c>
      <c r="E6362" s="1" t="n">
        <v>46319</v>
      </c>
      <c r="F6362" t="inlineStr">
        <is>
          <t>DALARNAS LÄN</t>
        </is>
      </c>
      <c r="G6362" t="inlineStr">
        <is>
          <t>MALUNG-SÄLEN</t>
        </is>
      </c>
      <c r="I6362" t="n">
        <v>1.5</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35078-2026</t>
        </is>
      </c>
      <c r="B6363" t="inlineStr">
        <is>
          <t>avverkningsanmälan</t>
        </is>
      </c>
      <c r="C6363" t="inlineStr">
        <is>
          <t>Föryngringsavverkning</t>
        </is>
      </c>
      <c r="D6363" s="1" t="n">
        <v>46259</v>
      </c>
      <c r="E6363" s="1" t="n">
        <v>46319</v>
      </c>
      <c r="F6363" t="inlineStr">
        <is>
          <t>DALARNAS LÄN</t>
        </is>
      </c>
      <c r="G6363" t="inlineStr">
        <is>
          <t>ORSA</t>
        </is>
      </c>
      <c r="I6363" t="n">
        <v>2.3</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5568-2026</t>
        </is>
      </c>
      <c r="B6364" t="inlineStr">
        <is>
          <t>avverkningsanmälan</t>
        </is>
      </c>
      <c r="C6364" t="inlineStr">
        <is>
          <t>Föryngringsavverkning</t>
        </is>
      </c>
      <c r="D6364" s="1" t="n">
        <v>46050</v>
      </c>
      <c r="E6364" s="1" t="n">
        <v>46319</v>
      </c>
      <c r="F6364" t="inlineStr">
        <is>
          <t>DALARNAS LÄN</t>
        </is>
      </c>
      <c r="G6364" t="inlineStr">
        <is>
          <t>RÄTTVIK</t>
        </is>
      </c>
      <c r="I6364" t="n">
        <v>1.4</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15737-2026</t>
        </is>
      </c>
      <c r="B6365" t="inlineStr">
        <is>
          <t>avverkningsanmälan</t>
        </is>
      </c>
      <c r="C6365" t="inlineStr">
        <is>
          <t>Föryngringsavverkning</t>
        </is>
      </c>
      <c r="D6365" s="1" t="n">
        <v>46107</v>
      </c>
      <c r="E6365" s="1" t="n">
        <v>46319</v>
      </c>
      <c r="F6365" t="inlineStr">
        <is>
          <t>DALARNAS LÄN</t>
        </is>
      </c>
      <c r="G6365" t="inlineStr">
        <is>
          <t>FALUN</t>
        </is>
      </c>
      <c r="I6365" t="n">
        <v>2.5</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34724-2026</t>
        </is>
      </c>
      <c r="B6366" t="inlineStr">
        <is>
          <t>avverkningsanmälan</t>
        </is>
      </c>
      <c r="C6366" t="inlineStr">
        <is>
          <t>Föryngringsavverkning</t>
        </is>
      </c>
      <c r="D6366" s="1" t="n">
        <v>46258</v>
      </c>
      <c r="E6366" s="1" t="n">
        <v>46319</v>
      </c>
      <c r="F6366" t="inlineStr">
        <is>
          <t>DALARNAS LÄN</t>
        </is>
      </c>
      <c r="G6366" t="inlineStr">
        <is>
          <t>ÄLVDALEN</t>
        </is>
      </c>
      <c r="I6366" t="n">
        <v>1.2</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34741-2026</t>
        </is>
      </c>
      <c r="B6367" t="inlineStr">
        <is>
          <t>avverkningsanmälan</t>
        </is>
      </c>
      <c r="C6367" t="inlineStr">
        <is>
          <t>Föryngringsavverkning</t>
        </is>
      </c>
      <c r="D6367" s="1" t="n">
        <v>46258</v>
      </c>
      <c r="E6367" s="1" t="n">
        <v>46319</v>
      </c>
      <c r="F6367" t="inlineStr">
        <is>
          <t>DALARNAS LÄN</t>
        </is>
      </c>
      <c r="G6367" t="inlineStr">
        <is>
          <t>RÄTTVIK</t>
        </is>
      </c>
      <c r="H6367" t="inlineStr">
        <is>
          <t>Sveaskog</t>
        </is>
      </c>
      <c r="I6367" t="n">
        <v>1</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34524-2026</t>
        </is>
      </c>
      <c r="B6368" t="inlineStr">
        <is>
          <t>avverkningsanmälan</t>
        </is>
      </c>
      <c r="C6368" t="inlineStr">
        <is>
          <t>Föryngringsavverkning</t>
        </is>
      </c>
      <c r="D6368" s="1" t="n">
        <v>46255</v>
      </c>
      <c r="E6368" s="1" t="n">
        <v>46319</v>
      </c>
      <c r="F6368" t="inlineStr">
        <is>
          <t>DALARNAS LÄN</t>
        </is>
      </c>
      <c r="G6368" t="inlineStr">
        <is>
          <t>FALUN</t>
        </is>
      </c>
      <c r="I6368" t="n">
        <v>0.7</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12016-2024</t>
        </is>
      </c>
      <c r="B6369" t="inlineStr">
        <is>
          <t>avverkningsanmälan</t>
        </is>
      </c>
      <c r="C6369" t="inlineStr">
        <is>
          <t>Föryngringsavverkning</t>
        </is>
      </c>
      <c r="D6369" s="1" t="n">
        <v>45377</v>
      </c>
      <c r="E6369" s="1" t="n">
        <v>46319</v>
      </c>
      <c r="F6369" t="inlineStr">
        <is>
          <t>DALARNAS LÄN</t>
        </is>
      </c>
      <c r="G6369" t="inlineStr">
        <is>
          <t>VANSBRO</t>
        </is>
      </c>
      <c r="I6369" t="n">
        <v>1.4</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35050-2026</t>
        </is>
      </c>
      <c r="B6370" t="inlineStr">
        <is>
          <t>avverkningsanmälan</t>
        </is>
      </c>
      <c r="C6370" t="inlineStr">
        <is>
          <t>Föryngringsavverkning</t>
        </is>
      </c>
      <c r="D6370" s="1" t="n">
        <v>46259</v>
      </c>
      <c r="E6370" s="1" t="n">
        <v>46319</v>
      </c>
      <c r="F6370" t="inlineStr">
        <is>
          <t>DALARNAS LÄN</t>
        </is>
      </c>
      <c r="G6370" t="inlineStr">
        <is>
          <t>VANSBRO</t>
        </is>
      </c>
      <c r="H6370" t="inlineStr">
        <is>
          <t>Bergvik skog öst AB</t>
        </is>
      </c>
      <c r="I6370" t="n">
        <v>0.6</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35240-2025</t>
        </is>
      </c>
      <c r="B6371" t="inlineStr">
        <is>
          <t>avverkningsanmälan</t>
        </is>
      </c>
      <c r="C6371" t="inlineStr">
        <is>
          <t>Föryngringsavverkning</t>
        </is>
      </c>
      <c r="D6371" s="1" t="n">
        <v>45853</v>
      </c>
      <c r="E6371" s="1" t="n">
        <v>46319</v>
      </c>
      <c r="F6371" t="inlineStr">
        <is>
          <t>DALARNAS LÄN</t>
        </is>
      </c>
      <c r="G6371" t="inlineStr">
        <is>
          <t>MALUNG-SÄLEN</t>
        </is>
      </c>
      <c r="H6371" t="inlineStr">
        <is>
          <t>Bergvik skog öst AB</t>
        </is>
      </c>
      <c r="I6371" t="n">
        <v>2.1</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34647-2026</t>
        </is>
      </c>
      <c r="B6372" t="inlineStr">
        <is>
          <t>avverkningsanmälan</t>
        </is>
      </c>
      <c r="C6372" t="inlineStr">
        <is>
          <t>Föryngringsavverkning</t>
        </is>
      </c>
      <c r="D6372" s="1" t="n">
        <v>46255</v>
      </c>
      <c r="E6372" s="1" t="n">
        <v>46319</v>
      </c>
      <c r="F6372" t="inlineStr">
        <is>
          <t>DALARNAS LÄN</t>
        </is>
      </c>
      <c r="G6372" t="inlineStr">
        <is>
          <t>HEDEMORA</t>
        </is>
      </c>
      <c r="H6372" t="inlineStr">
        <is>
          <t>Sveaskog</t>
        </is>
      </c>
      <c r="I6372" t="n">
        <v>3</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35247-2025</t>
        </is>
      </c>
      <c r="B6373" t="inlineStr">
        <is>
          <t>avverkningsanmälan</t>
        </is>
      </c>
      <c r="C6373" t="inlineStr">
        <is>
          <t>Föryngringsavverkning</t>
        </is>
      </c>
      <c r="D6373" s="1" t="n">
        <v>45853</v>
      </c>
      <c r="E6373" s="1" t="n">
        <v>46319</v>
      </c>
      <c r="F6373" t="inlineStr">
        <is>
          <t>DALARNAS LÄN</t>
        </is>
      </c>
      <c r="G6373" t="inlineStr">
        <is>
          <t>RÄTTVIK</t>
        </is>
      </c>
      <c r="I6373" t="n">
        <v>3.7</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15642-2026</t>
        </is>
      </c>
      <c r="B6374" t="inlineStr">
        <is>
          <t>avverkningsanmälan</t>
        </is>
      </c>
      <c r="C6374" t="inlineStr">
        <is>
          <t>Föryngringsavverkning</t>
        </is>
      </c>
      <c r="D6374" s="1" t="n">
        <v>46106</v>
      </c>
      <c r="E6374" s="1" t="n">
        <v>46319</v>
      </c>
      <c r="F6374" t="inlineStr">
        <is>
          <t>DALARNAS LÄN</t>
        </is>
      </c>
      <c r="G6374" t="inlineStr">
        <is>
          <t>FALUN</t>
        </is>
      </c>
      <c r="I6374" t="n">
        <v>15</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35323-2025</t>
        </is>
      </c>
      <c r="B6375" t="inlineStr">
        <is>
          <t>avverkningsanmälan</t>
        </is>
      </c>
      <c r="C6375" t="inlineStr">
        <is>
          <t>Föryngringsavverkning</t>
        </is>
      </c>
      <c r="D6375" s="1" t="n">
        <v>45854</v>
      </c>
      <c r="E6375" s="1" t="n">
        <v>46319</v>
      </c>
      <c r="F6375" t="inlineStr">
        <is>
          <t>DALARNAS LÄN</t>
        </is>
      </c>
      <c r="G6375" t="inlineStr">
        <is>
          <t>FALUN</t>
        </is>
      </c>
      <c r="I6375" t="n">
        <v>2.4</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15942-2026</t>
        </is>
      </c>
      <c r="B6376" t="inlineStr">
        <is>
          <t>avverkningsanmälan</t>
        </is>
      </c>
      <c r="C6376" t="inlineStr">
        <is>
          <t>Föryngringsavverkning</t>
        </is>
      </c>
      <c r="D6376" s="1" t="n">
        <v>46107</v>
      </c>
      <c r="E6376" s="1" t="n">
        <v>46319</v>
      </c>
      <c r="F6376" t="inlineStr">
        <is>
          <t>DALARNAS LÄN</t>
        </is>
      </c>
      <c r="G6376" t="inlineStr">
        <is>
          <t>GAGNEF</t>
        </is>
      </c>
      <c r="I6376" t="n">
        <v>1.8</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5100-2026</t>
        </is>
      </c>
      <c r="B6377" t="inlineStr">
        <is>
          <t>avverkningsanmälan</t>
        </is>
      </c>
      <c r="C6377" t="inlineStr">
        <is>
          <t>Föryngringsavverkning</t>
        </is>
      </c>
      <c r="D6377" s="1" t="n">
        <v>46049</v>
      </c>
      <c r="E6377" s="1" t="n">
        <v>46319</v>
      </c>
      <c r="F6377" t="inlineStr">
        <is>
          <t>DALARNAS LÄN</t>
        </is>
      </c>
      <c r="G6377" t="inlineStr">
        <is>
          <t>ORSA</t>
        </is>
      </c>
      <c r="I6377" t="n">
        <v>0.8</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35284-2025</t>
        </is>
      </c>
      <c r="B6378" t="inlineStr">
        <is>
          <t>avverkningsanmälan</t>
        </is>
      </c>
      <c r="C6378" t="inlineStr">
        <is>
          <t>Föryngringsavverkning</t>
        </is>
      </c>
      <c r="D6378" s="1" t="n">
        <v>45854</v>
      </c>
      <c r="E6378" s="1" t="n">
        <v>46319</v>
      </c>
      <c r="F6378" t="inlineStr">
        <is>
          <t>DALARNAS LÄN</t>
        </is>
      </c>
      <c r="G6378" t="inlineStr">
        <is>
          <t>VANSBRO</t>
        </is>
      </c>
      <c r="I6378" t="n">
        <v>0.7</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15589-2026</t>
        </is>
      </c>
      <c r="B6379" t="inlineStr">
        <is>
          <t>avverkningsanmälan</t>
        </is>
      </c>
      <c r="C6379" t="inlineStr">
        <is>
          <t>Föryngringsavverkning</t>
        </is>
      </c>
      <c r="D6379" s="1" t="n">
        <v>46106</v>
      </c>
      <c r="E6379" s="1" t="n">
        <v>46319</v>
      </c>
      <c r="F6379" t="inlineStr">
        <is>
          <t>DALARNAS LÄN</t>
        </is>
      </c>
      <c r="G6379" t="inlineStr">
        <is>
          <t>RÄTTVIK</t>
        </is>
      </c>
      <c r="H6379" t="inlineStr">
        <is>
          <t>Bergvik skog väst AB</t>
        </is>
      </c>
      <c r="I6379" t="n">
        <v>0.7</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15637-2026</t>
        </is>
      </c>
      <c r="B6380" t="inlineStr">
        <is>
          <t>avverkningsanmälan</t>
        </is>
      </c>
      <c r="C6380" t="inlineStr">
        <is>
          <t>Föryngringsavverkning</t>
        </is>
      </c>
      <c r="D6380" s="1" t="n">
        <v>46106</v>
      </c>
      <c r="E6380" s="1" t="n">
        <v>46319</v>
      </c>
      <c r="F6380" t="inlineStr">
        <is>
          <t>DALARNAS LÄN</t>
        </is>
      </c>
      <c r="G6380" t="inlineStr">
        <is>
          <t>FALUN</t>
        </is>
      </c>
      <c r="I6380" t="n">
        <v>1.9</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15641-2026</t>
        </is>
      </c>
      <c r="B6381" t="inlineStr">
        <is>
          <t>avverkningsanmälan</t>
        </is>
      </c>
      <c r="C6381" t="inlineStr">
        <is>
          <t>Föryngringsavverkning</t>
        </is>
      </c>
      <c r="D6381" s="1" t="n">
        <v>46106</v>
      </c>
      <c r="E6381" s="1" t="n">
        <v>46319</v>
      </c>
      <c r="F6381" t="inlineStr">
        <is>
          <t>DALARNAS LÄN</t>
        </is>
      </c>
      <c r="G6381" t="inlineStr">
        <is>
          <t>LEKSAND</t>
        </is>
      </c>
      <c r="I6381" t="n">
        <v>11</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41482-2026</t>
        </is>
      </c>
      <c r="B6382" t="inlineStr">
        <is>
          <t>avverkningsanmälan</t>
        </is>
      </c>
      <c r="C6382" t="inlineStr">
        <is>
          <t>Föryngringsavverkning</t>
        </is>
      </c>
      <c r="D6382" s="1" t="n">
        <v>46301</v>
      </c>
      <c r="E6382" s="1" t="n">
        <v>46319</v>
      </c>
      <c r="F6382" t="inlineStr">
        <is>
          <t>DALARNAS LÄN</t>
        </is>
      </c>
      <c r="G6382" t="inlineStr">
        <is>
          <t>MORA</t>
        </is>
      </c>
      <c r="H6382" t="inlineStr">
        <is>
          <t>Bergvik skog öst AB</t>
        </is>
      </c>
      <c r="I6382" t="n">
        <v>0.7</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34147-2026</t>
        </is>
      </c>
      <c r="B6383" t="inlineStr">
        <is>
          <t>avverkningsanmälan</t>
        </is>
      </c>
      <c r="C6383" t="inlineStr">
        <is>
          <t>Föryngringsavverkning</t>
        </is>
      </c>
      <c r="D6383" s="1" t="n">
        <v>46253</v>
      </c>
      <c r="E6383" s="1" t="n">
        <v>46319</v>
      </c>
      <c r="F6383" t="inlineStr">
        <is>
          <t>DALARNAS LÄN</t>
        </is>
      </c>
      <c r="G6383" t="inlineStr">
        <is>
          <t>LUDVIKA</t>
        </is>
      </c>
      <c r="H6383" t="inlineStr">
        <is>
          <t>Bergvik skog väst AB</t>
        </is>
      </c>
      <c r="I6383" t="n">
        <v>4.2</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15414-2026</t>
        </is>
      </c>
      <c r="B6384" t="inlineStr">
        <is>
          <t>avverkningsanmälan</t>
        </is>
      </c>
      <c r="C6384" t="inlineStr">
        <is>
          <t>Föryngringsavverkning</t>
        </is>
      </c>
      <c r="D6384" s="1" t="n">
        <v>46106</v>
      </c>
      <c r="E6384" s="1" t="n">
        <v>46319</v>
      </c>
      <c r="F6384" t="inlineStr">
        <is>
          <t>DALARNAS LÄN</t>
        </is>
      </c>
      <c r="G6384" t="inlineStr">
        <is>
          <t>ORSA</t>
        </is>
      </c>
      <c r="I6384" t="n">
        <v>2.3</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15752-2026</t>
        </is>
      </c>
      <c r="B6385" t="inlineStr">
        <is>
          <t>avverkningsanmälan</t>
        </is>
      </c>
      <c r="C6385" t="inlineStr">
        <is>
          <t>Föryngringsavverkning</t>
        </is>
      </c>
      <c r="D6385" s="1" t="n">
        <v>46107</v>
      </c>
      <c r="E6385" s="1" t="n">
        <v>46319</v>
      </c>
      <c r="F6385" t="inlineStr">
        <is>
          <t>DALARNAS LÄN</t>
        </is>
      </c>
      <c r="G6385" t="inlineStr">
        <is>
          <t>RÄTTVIK</t>
        </is>
      </c>
      <c r="I6385" t="n">
        <v>2.2</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35040-2026</t>
        </is>
      </c>
      <c r="B6386" t="inlineStr">
        <is>
          <t>avverkningsanmälan</t>
        </is>
      </c>
      <c r="C6386" t="inlineStr">
        <is>
          <t>Föryngringsavverkning</t>
        </is>
      </c>
      <c r="D6386" s="1" t="n">
        <v>46259</v>
      </c>
      <c r="E6386" s="1" t="n">
        <v>46319</v>
      </c>
      <c r="F6386" t="inlineStr">
        <is>
          <t>DALARNAS LÄN</t>
        </is>
      </c>
      <c r="G6386" t="inlineStr">
        <is>
          <t>ORSA</t>
        </is>
      </c>
      <c r="H6386" t="inlineStr">
        <is>
          <t>Allmännings- och besparingsskogar</t>
        </is>
      </c>
      <c r="I6386" t="n">
        <v>2.3</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15500-2026</t>
        </is>
      </c>
      <c r="B6387" t="inlineStr">
        <is>
          <t>avverkningsanmälan</t>
        </is>
      </c>
      <c r="C6387" t="inlineStr">
        <is>
          <t>Föryngringsavverkning</t>
        </is>
      </c>
      <c r="D6387" s="1" t="n">
        <v>46106</v>
      </c>
      <c r="E6387" s="1" t="n">
        <v>46319</v>
      </c>
      <c r="F6387" t="inlineStr">
        <is>
          <t>DALARNAS LÄN</t>
        </is>
      </c>
      <c r="G6387" t="inlineStr">
        <is>
          <t>RÄTTVIK</t>
        </is>
      </c>
      <c r="H6387" t="inlineStr">
        <is>
          <t>Bergvik skog väst AB</t>
        </is>
      </c>
      <c r="I6387" t="n">
        <v>0.8</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15550-2026</t>
        </is>
      </c>
      <c r="B6388" t="inlineStr">
        <is>
          <t>avverkningsanmälan</t>
        </is>
      </c>
      <c r="C6388" t="inlineStr">
        <is>
          <t>Föryngringsavverkning</t>
        </is>
      </c>
      <c r="D6388" s="1" t="n">
        <v>46106</v>
      </c>
      <c r="E6388" s="1" t="n">
        <v>46319</v>
      </c>
      <c r="F6388" t="inlineStr">
        <is>
          <t>DALARNAS LÄN</t>
        </is>
      </c>
      <c r="G6388" t="inlineStr">
        <is>
          <t>FALUN</t>
        </is>
      </c>
      <c r="I6388" t="n">
        <v>1.7</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15676-2026</t>
        </is>
      </c>
      <c r="B6389" t="inlineStr">
        <is>
          <t>avverkningsanmälan</t>
        </is>
      </c>
      <c r="C6389" t="inlineStr">
        <is>
          <t>Föryngringsavverkning</t>
        </is>
      </c>
      <c r="D6389" s="1" t="n">
        <v>46106</v>
      </c>
      <c r="E6389" s="1" t="n">
        <v>46319</v>
      </c>
      <c r="F6389" t="inlineStr">
        <is>
          <t>DALARNAS LÄN</t>
        </is>
      </c>
      <c r="G6389" t="inlineStr">
        <is>
          <t>VANSBRO</t>
        </is>
      </c>
      <c r="I6389" t="n">
        <v>1.5</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20617-2025</t>
        </is>
      </c>
      <c r="B6390" t="inlineStr">
        <is>
          <t>avverkningsanmälan</t>
        </is>
      </c>
      <c r="C6390" t="inlineStr">
        <is>
          <t>Föryngringsavverkning</t>
        </is>
      </c>
      <c r="D6390" s="1" t="n">
        <v>45776</v>
      </c>
      <c r="E6390" s="1" t="n">
        <v>46319</v>
      </c>
      <c r="F6390" t="inlineStr">
        <is>
          <t>DALARNAS LÄN</t>
        </is>
      </c>
      <c r="G6390" t="inlineStr">
        <is>
          <t>RÄTTVIK</t>
        </is>
      </c>
      <c r="I6390" t="n">
        <v>2.5</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16260-2026</t>
        </is>
      </c>
      <c r="B6391" t="inlineStr">
        <is>
          <t>avverkningsanmälan</t>
        </is>
      </c>
      <c r="C6391" t="inlineStr">
        <is>
          <t>Föryngringsavverkning</t>
        </is>
      </c>
      <c r="D6391" s="1" t="n">
        <v>46108</v>
      </c>
      <c r="E6391" s="1" t="n">
        <v>46319</v>
      </c>
      <c r="F6391" t="inlineStr">
        <is>
          <t>DALARNAS LÄN</t>
        </is>
      </c>
      <c r="G6391" t="inlineStr">
        <is>
          <t>HEDEMORA</t>
        </is>
      </c>
      <c r="I6391" t="n">
        <v>0.8</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16303-2026</t>
        </is>
      </c>
      <c r="B6392" t="inlineStr">
        <is>
          <t>avverkningsanmälan</t>
        </is>
      </c>
      <c r="C6392" t="inlineStr">
        <is>
          <t>Föryngringsavverkning</t>
        </is>
      </c>
      <c r="D6392" s="1" t="n">
        <v>46111</v>
      </c>
      <c r="E6392" s="1" t="n">
        <v>46319</v>
      </c>
      <c r="F6392" t="inlineStr">
        <is>
          <t>DALARNAS LÄN</t>
        </is>
      </c>
      <c r="G6392" t="inlineStr">
        <is>
          <t>FALUN</t>
        </is>
      </c>
      <c r="I6392" t="n">
        <v>7.5</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15954-2026</t>
        </is>
      </c>
      <c r="B6393" t="inlineStr">
        <is>
          <t>avverkningsanmälan</t>
        </is>
      </c>
      <c r="C6393" t="inlineStr">
        <is>
          <t>Avverkning för annat ändamål</t>
        </is>
      </c>
      <c r="D6393" s="1" t="n">
        <v>46108</v>
      </c>
      <c r="E6393" s="1" t="n">
        <v>46319</v>
      </c>
      <c r="F6393" t="inlineStr">
        <is>
          <t>DALARNAS LÄN</t>
        </is>
      </c>
      <c r="G6393" t="inlineStr">
        <is>
          <t>FALUN</t>
        </is>
      </c>
      <c r="I6393" t="n">
        <v>2.4</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16165-2026</t>
        </is>
      </c>
      <c r="B6394" t="inlineStr">
        <is>
          <t>avverkningsanmälan</t>
        </is>
      </c>
      <c r="C6394" t="inlineStr">
        <is>
          <t>Föryngringsavverkning</t>
        </is>
      </c>
      <c r="D6394" s="1" t="n">
        <v>46110</v>
      </c>
      <c r="E6394" s="1" t="n">
        <v>46319</v>
      </c>
      <c r="F6394" t="inlineStr">
        <is>
          <t>DALARNAS LÄN</t>
        </is>
      </c>
      <c r="G6394" t="inlineStr">
        <is>
          <t>FALUN</t>
        </is>
      </c>
      <c r="I6394" t="n">
        <v>2.9</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16166-2026</t>
        </is>
      </c>
      <c r="B6395" t="inlineStr">
        <is>
          <t>avverkningsanmälan</t>
        </is>
      </c>
      <c r="C6395" t="inlineStr">
        <is>
          <t>Föryngringsavverkning</t>
        </is>
      </c>
      <c r="D6395" s="1" t="n">
        <v>46110</v>
      </c>
      <c r="E6395" s="1" t="n">
        <v>46319</v>
      </c>
      <c r="F6395" t="inlineStr">
        <is>
          <t>DALARNAS LÄN</t>
        </is>
      </c>
      <c r="G6395" t="inlineStr">
        <is>
          <t>FALUN</t>
        </is>
      </c>
      <c r="I6395" t="n">
        <v>3.1</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16188-2026</t>
        </is>
      </c>
      <c r="B6396" t="inlineStr">
        <is>
          <t>avverkningsanmälan</t>
        </is>
      </c>
      <c r="C6396" t="inlineStr">
        <is>
          <t>Föryngringsavverkning</t>
        </is>
      </c>
      <c r="D6396" s="1" t="n">
        <v>46111</v>
      </c>
      <c r="E6396" s="1" t="n">
        <v>46319</v>
      </c>
      <c r="F6396" t="inlineStr">
        <is>
          <t>DALARNAS LÄN</t>
        </is>
      </c>
      <c r="G6396" t="inlineStr">
        <is>
          <t>LEKSAND</t>
        </is>
      </c>
      <c r="H6396" t="inlineStr">
        <is>
          <t>Övriga Aktiebolag</t>
        </is>
      </c>
      <c r="I6396" t="n">
        <v>1.3</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29654-2025</t>
        </is>
      </c>
      <c r="B6397" t="inlineStr">
        <is>
          <t>avverkningsanmälan</t>
        </is>
      </c>
      <c r="C6397" t="inlineStr">
        <is>
          <t>Föryngringsavverkning</t>
        </is>
      </c>
      <c r="D6397" s="1" t="n">
        <v>45825</v>
      </c>
      <c r="E6397" s="1" t="n">
        <v>46319</v>
      </c>
      <c r="F6397" t="inlineStr">
        <is>
          <t>DALARNAS LÄN</t>
        </is>
      </c>
      <c r="G6397" t="inlineStr">
        <is>
          <t>LUDVIKA</t>
        </is>
      </c>
      <c r="H6397" t="inlineStr">
        <is>
          <t>Bergvik skog väst AB</t>
        </is>
      </c>
      <c r="I6397" t="n">
        <v>0.8</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15048-2025</t>
        </is>
      </c>
      <c r="B6398" t="inlineStr">
        <is>
          <t>avverkningsanmälan</t>
        </is>
      </c>
      <c r="C6398" t="inlineStr">
        <is>
          <t>Föryngringsavverkning</t>
        </is>
      </c>
      <c r="D6398" s="1" t="n">
        <v>45743</v>
      </c>
      <c r="E6398" s="1" t="n">
        <v>46319</v>
      </c>
      <c r="F6398" t="inlineStr">
        <is>
          <t>DALARNAS LÄN</t>
        </is>
      </c>
      <c r="G6398" t="inlineStr">
        <is>
          <t>HEDEMORA</t>
        </is>
      </c>
      <c r="H6398" t="inlineStr">
        <is>
          <t>Sveaskog</t>
        </is>
      </c>
      <c r="I6398" t="n">
        <v>9.1</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A 41572-2026</t>
        </is>
      </c>
      <c r="B6399" t="inlineStr">
        <is>
          <t>avverkningsanmälan</t>
        </is>
      </c>
      <c r="C6399" t="inlineStr">
        <is>
          <t>Föryngringsavverkning</t>
        </is>
      </c>
      <c r="D6399" s="1" t="n">
        <v>46301</v>
      </c>
      <c r="E6399" s="1" t="n">
        <v>46319</v>
      </c>
      <c r="F6399" t="inlineStr">
        <is>
          <t>DALARNAS LÄN</t>
        </is>
      </c>
      <c r="G6399" t="inlineStr">
        <is>
          <t>AVESTA</t>
        </is>
      </c>
      <c r="I6399" t="n">
        <v>1.3</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A 6169-2024</t>
        </is>
      </c>
      <c r="B6400" t="inlineStr">
        <is>
          <t>avverkningsanmälan</t>
        </is>
      </c>
      <c r="C6400" t="inlineStr">
        <is>
          <t>Föryngringsavverkning</t>
        </is>
      </c>
      <c r="D6400" s="1" t="n">
        <v>45337</v>
      </c>
      <c r="E6400" s="1" t="n">
        <v>46319</v>
      </c>
      <c r="F6400" t="inlineStr">
        <is>
          <t>DALARNAS LÄN</t>
        </is>
      </c>
      <c r="G6400" t="inlineStr">
        <is>
          <t>RÄTTVIK</t>
        </is>
      </c>
      <c r="I6400" t="n">
        <v>3.3</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A 29120-2024</t>
        </is>
      </c>
      <c r="B6401" t="inlineStr">
        <is>
          <t>avverkningsanmälan</t>
        </is>
      </c>
      <c r="C6401" t="inlineStr">
        <is>
          <t>Föryngringsavverkning</t>
        </is>
      </c>
      <c r="D6401" s="1" t="n">
        <v>45481</v>
      </c>
      <c r="E6401" s="1" t="n">
        <v>46319</v>
      </c>
      <c r="F6401" t="inlineStr">
        <is>
          <t>DALARNAS LÄN</t>
        </is>
      </c>
      <c r="G6401" t="inlineStr">
        <is>
          <t>SMEDJEBACKEN</t>
        </is>
      </c>
      <c r="I6401" t="n">
        <v>4.1</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A 35407-2025</t>
        </is>
      </c>
      <c r="B6402" t="inlineStr">
        <is>
          <t>avverkningsanmälan</t>
        </is>
      </c>
      <c r="C6402" t="inlineStr">
        <is>
          <t>Föryngringsavverkning</t>
        </is>
      </c>
      <c r="D6402" s="1" t="n">
        <v>45855</v>
      </c>
      <c r="E6402" s="1" t="n">
        <v>46319</v>
      </c>
      <c r="F6402" t="inlineStr">
        <is>
          <t>DALARNAS LÄN</t>
        </is>
      </c>
      <c r="G6402" t="inlineStr">
        <is>
          <t>MORA</t>
        </is>
      </c>
      <c r="I6402" t="n">
        <v>1.4</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A 16377-2026</t>
        </is>
      </c>
      <c r="B6403" t="inlineStr">
        <is>
          <t>avverkningsanmälan</t>
        </is>
      </c>
      <c r="C6403" t="inlineStr">
        <is>
          <t>Föryngringsavverkning</t>
        </is>
      </c>
      <c r="D6403" s="1" t="n">
        <v>46111</v>
      </c>
      <c r="E6403" s="1" t="n">
        <v>46319</v>
      </c>
      <c r="F6403" t="inlineStr">
        <is>
          <t>DALARNAS LÄN</t>
        </is>
      </c>
      <c r="G6403" t="inlineStr">
        <is>
          <t>FALUN</t>
        </is>
      </c>
      <c r="H6403" t="inlineStr">
        <is>
          <t>Allmännings- och besparingsskogar</t>
        </is>
      </c>
      <c r="I6403" t="n">
        <v>7.3</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A 35409-2025</t>
        </is>
      </c>
      <c r="B6404" t="inlineStr">
        <is>
          <t>avverkningsanmälan</t>
        </is>
      </c>
      <c r="C6404" t="inlineStr">
        <is>
          <t>Föryngringsavverkning</t>
        </is>
      </c>
      <c r="D6404" s="1" t="n">
        <v>45855</v>
      </c>
      <c r="E6404" s="1" t="n">
        <v>46319</v>
      </c>
      <c r="F6404" t="inlineStr">
        <is>
          <t>DALARNAS LÄN</t>
        </is>
      </c>
      <c r="G6404" t="inlineStr">
        <is>
          <t>SÄTER</t>
        </is>
      </c>
      <c r="I6404" t="n">
        <v>1.9</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A 35452-2025</t>
        </is>
      </c>
      <c r="B6405" t="inlineStr">
        <is>
          <t>avverkningsanmälan</t>
        </is>
      </c>
      <c r="C6405" t="inlineStr">
        <is>
          <t>Föryngringsavverkning</t>
        </is>
      </c>
      <c r="D6405" s="1" t="n">
        <v>45855</v>
      </c>
      <c r="E6405" s="1" t="n">
        <v>46319</v>
      </c>
      <c r="F6405" t="inlineStr">
        <is>
          <t>DALARNAS LÄN</t>
        </is>
      </c>
      <c r="G6405" t="inlineStr">
        <is>
          <t>MALUNG-SÄLEN</t>
        </is>
      </c>
      <c r="H6405" t="inlineStr">
        <is>
          <t>Bergvik skog öst AB</t>
        </is>
      </c>
      <c r="I6405" t="n">
        <v>1.6</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A 41640-2026</t>
        </is>
      </c>
      <c r="B6406" t="inlineStr">
        <is>
          <t>avverkningsanmälan</t>
        </is>
      </c>
      <c r="C6406" t="inlineStr">
        <is>
          <t>Föryngringsavverkning</t>
        </is>
      </c>
      <c r="D6406" s="1" t="n">
        <v>46302</v>
      </c>
      <c r="E6406" s="1" t="n">
        <v>46319</v>
      </c>
      <c r="F6406" t="inlineStr">
        <is>
          <t>DALARNAS LÄN</t>
        </is>
      </c>
      <c r="G6406" t="inlineStr">
        <is>
          <t>ORSA</t>
        </is>
      </c>
      <c r="I6406" t="n">
        <v>0.6</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A 10151-2026</t>
        </is>
      </c>
      <c r="B6407" t="inlineStr">
        <is>
          <t>avverkningsanmälan</t>
        </is>
      </c>
      <c r="C6407" t="inlineStr">
        <is>
          <t>Föryngringsavverkning</t>
        </is>
      </c>
      <c r="D6407" s="1" t="n">
        <v>46076</v>
      </c>
      <c r="E6407" s="1" t="n">
        <v>46319</v>
      </c>
      <c r="F6407" t="inlineStr">
        <is>
          <t>DALARNAS LÄN</t>
        </is>
      </c>
      <c r="G6407" t="inlineStr">
        <is>
          <t>ORSA</t>
        </is>
      </c>
      <c r="H6407" t="inlineStr">
        <is>
          <t>Bergvik skog öst AB</t>
        </is>
      </c>
      <c r="I6407" t="n">
        <v>1.8</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A 9962-2026</t>
        </is>
      </c>
      <c r="B6408" t="inlineStr">
        <is>
          <t>avverkningsanmälan</t>
        </is>
      </c>
      <c r="C6408" t="inlineStr">
        <is>
          <t>Föryngringsavverkning</t>
        </is>
      </c>
      <c r="D6408" s="1" t="n">
        <v>46073</v>
      </c>
      <c r="E6408" s="1" t="n">
        <v>46319</v>
      </c>
      <c r="F6408" t="inlineStr">
        <is>
          <t>DALARNAS LÄN</t>
        </is>
      </c>
      <c r="G6408" t="inlineStr">
        <is>
          <t>ORSA</t>
        </is>
      </c>
      <c r="H6408" t="inlineStr">
        <is>
          <t>Bergvik skog öst AB</t>
        </is>
      </c>
      <c r="I6408" t="n">
        <v>2.5</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A 16191-2026</t>
        </is>
      </c>
      <c r="B6409" t="inlineStr">
        <is>
          <t>avverkningsanmälan</t>
        </is>
      </c>
      <c r="C6409" t="inlineStr">
        <is>
          <t>Föryngringsavverkning</t>
        </is>
      </c>
      <c r="D6409" s="1" t="n">
        <v>46111</v>
      </c>
      <c r="E6409" s="1" t="n">
        <v>46319</v>
      </c>
      <c r="F6409" t="inlineStr">
        <is>
          <t>DALARNAS LÄN</t>
        </is>
      </c>
      <c r="G6409" t="inlineStr">
        <is>
          <t>BORLÄNGE</t>
        </is>
      </c>
      <c r="I6409" t="n">
        <v>5.5</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A 16279-2026</t>
        </is>
      </c>
      <c r="B6410" t="inlineStr">
        <is>
          <t>avverkningsanmälan</t>
        </is>
      </c>
      <c r="C6410" t="inlineStr">
        <is>
          <t>Föryngringsavverkning</t>
        </is>
      </c>
      <c r="D6410" s="1" t="n">
        <v>46111</v>
      </c>
      <c r="E6410" s="1" t="n">
        <v>46319</v>
      </c>
      <c r="F6410" t="inlineStr">
        <is>
          <t>DALARNAS LÄN</t>
        </is>
      </c>
      <c r="G6410" t="inlineStr">
        <is>
          <t>HEDEMORA</t>
        </is>
      </c>
      <c r="I6410" t="n">
        <v>7.6</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A 35493-2025</t>
        </is>
      </c>
      <c r="B6411" t="inlineStr">
        <is>
          <t>avverkningsanmälan</t>
        </is>
      </c>
      <c r="C6411" t="inlineStr">
        <is>
          <t>Föryngringsavverkning</t>
        </is>
      </c>
      <c r="D6411" s="1" t="n">
        <v>45855</v>
      </c>
      <c r="E6411" s="1" t="n">
        <v>46319</v>
      </c>
      <c r="F6411" t="inlineStr">
        <is>
          <t>DALARNAS LÄN</t>
        </is>
      </c>
      <c r="G6411" t="inlineStr">
        <is>
          <t>MALUNG-SÄLEN</t>
        </is>
      </c>
      <c r="I6411" t="n">
        <v>4.6</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A 16415-2026</t>
        </is>
      </c>
      <c r="B6412" t="inlineStr">
        <is>
          <t>avverkningsanmälan</t>
        </is>
      </c>
      <c r="C6412" t="inlineStr">
        <is>
          <t>Föryngringsavverkning</t>
        </is>
      </c>
      <c r="D6412" s="1" t="n">
        <v>46111</v>
      </c>
      <c r="E6412" s="1" t="n">
        <v>46319</v>
      </c>
      <c r="F6412" t="inlineStr">
        <is>
          <t>DALARNAS LÄN</t>
        </is>
      </c>
      <c r="G6412" t="inlineStr">
        <is>
          <t>FALUN</t>
        </is>
      </c>
      <c r="H6412" t="inlineStr">
        <is>
          <t>Allmännings- och besparingsskogar</t>
        </is>
      </c>
      <c r="I6412" t="n">
        <v>4.8</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A 16378-2026</t>
        </is>
      </c>
      <c r="B6413" t="inlineStr">
        <is>
          <t>avverkningsanmälan</t>
        </is>
      </c>
      <c r="C6413" t="inlineStr">
        <is>
          <t>Föryngringsavverkning</t>
        </is>
      </c>
      <c r="D6413" s="1" t="n">
        <v>46111</v>
      </c>
      <c r="E6413" s="1" t="n">
        <v>46319</v>
      </c>
      <c r="F6413" t="inlineStr">
        <is>
          <t>DALARNAS LÄN</t>
        </is>
      </c>
      <c r="G6413" t="inlineStr">
        <is>
          <t>FALUN</t>
        </is>
      </c>
      <c r="H6413" t="inlineStr">
        <is>
          <t>Allmännings- och besparingsskogar</t>
        </is>
      </c>
      <c r="I6413" t="n">
        <v>6.3</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A 16379-2026</t>
        </is>
      </c>
      <c r="B6414" t="inlineStr">
        <is>
          <t>avverkningsanmälan</t>
        </is>
      </c>
      <c r="C6414" t="inlineStr">
        <is>
          <t>Föryngringsavverkning</t>
        </is>
      </c>
      <c r="D6414" s="1" t="n">
        <v>46111</v>
      </c>
      <c r="E6414" s="1" t="n">
        <v>46319</v>
      </c>
      <c r="F6414" t="inlineStr">
        <is>
          <t>DALARNAS LÄN</t>
        </is>
      </c>
      <c r="G6414" t="inlineStr">
        <is>
          <t>FALUN</t>
        </is>
      </c>
      <c r="H6414" t="inlineStr">
        <is>
          <t>Allmännings- och besparingsskogar</t>
        </is>
      </c>
      <c r="I6414" t="n">
        <v>2.2</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A 35410-2025</t>
        </is>
      </c>
      <c r="B6415" t="inlineStr">
        <is>
          <t>avverkningsanmälan</t>
        </is>
      </c>
      <c r="C6415" t="inlineStr">
        <is>
          <t>Föryngringsavverkning</t>
        </is>
      </c>
      <c r="D6415" s="1" t="n">
        <v>45855</v>
      </c>
      <c r="E6415" s="1" t="n">
        <v>46319</v>
      </c>
      <c r="F6415" t="inlineStr">
        <is>
          <t>DALARNAS LÄN</t>
        </is>
      </c>
      <c r="G6415" t="inlineStr">
        <is>
          <t>SÄTER</t>
        </is>
      </c>
      <c r="I6415" t="n">
        <v>0.9</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A 41420-2026</t>
        </is>
      </c>
      <c r="B6416" t="inlineStr">
        <is>
          <t>avverkningsanmälan</t>
        </is>
      </c>
      <c r="C6416" t="inlineStr">
        <is>
          <t>Föryngringsavverkning</t>
        </is>
      </c>
      <c r="D6416" s="1" t="n">
        <v>46301</v>
      </c>
      <c r="E6416" s="1" t="n">
        <v>46319</v>
      </c>
      <c r="F6416" t="inlineStr">
        <is>
          <t>DALARNAS LÄN</t>
        </is>
      </c>
      <c r="G6416" t="inlineStr">
        <is>
          <t>HEDEMORA</t>
        </is>
      </c>
      <c r="I6416" t="n">
        <v>2.1</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A 34915-2026</t>
        </is>
      </c>
      <c r="B6417" t="inlineStr">
        <is>
          <t>avverkningsanmälan</t>
        </is>
      </c>
      <c r="C6417" t="inlineStr">
        <is>
          <t>Föryngringsavverkning</t>
        </is>
      </c>
      <c r="D6417" s="1" t="n">
        <v>46259</v>
      </c>
      <c r="E6417" s="1" t="n">
        <v>46319</v>
      </c>
      <c r="F6417" t="inlineStr">
        <is>
          <t>DALARNAS LÄN</t>
        </is>
      </c>
      <c r="G6417" t="inlineStr">
        <is>
          <t>GAGNEF</t>
        </is>
      </c>
      <c r="I6417" t="n">
        <v>1.1</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A 10744-2022</t>
        </is>
      </c>
      <c r="B6418" t="inlineStr">
        <is>
          <t>avverkningsanmälan</t>
        </is>
      </c>
      <c r="C6418" t="inlineStr">
        <is>
          <t>Föryngringsavverkning</t>
        </is>
      </c>
      <c r="D6418" s="1" t="n">
        <v>44627</v>
      </c>
      <c r="E6418" s="1" t="n">
        <v>46319</v>
      </c>
      <c r="F6418" t="inlineStr">
        <is>
          <t>DALARNAS LÄN</t>
        </is>
      </c>
      <c r="G6418" t="inlineStr">
        <is>
          <t>GAGNEF</t>
        </is>
      </c>
      <c r="I6418" t="n">
        <v>5.8</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A 29315-2024</t>
        </is>
      </c>
      <c r="B6419" t="inlineStr">
        <is>
          <t>avverkningsanmälan</t>
        </is>
      </c>
      <c r="C6419" t="inlineStr">
        <is>
          <t>Föryngringsavverkning</t>
        </is>
      </c>
      <c r="D6419" s="1" t="n">
        <v>45483</v>
      </c>
      <c r="E6419" s="1" t="n">
        <v>46319</v>
      </c>
      <c r="F6419" t="inlineStr">
        <is>
          <t>DALARNAS LÄN</t>
        </is>
      </c>
      <c r="G6419" t="inlineStr">
        <is>
          <t>RÄTTVIK</t>
        </is>
      </c>
      <c r="H6419" t="inlineStr">
        <is>
          <t>Allmännings- och besparingsskogar</t>
        </is>
      </c>
      <c r="I6419" t="n">
        <v>5</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A 34932-2026</t>
        </is>
      </c>
      <c r="B6420" t="inlineStr">
        <is>
          <t>avverkningsanmälan</t>
        </is>
      </c>
      <c r="C6420" t="inlineStr">
        <is>
          <t>Föryngringsavverkning</t>
        </is>
      </c>
      <c r="D6420" s="1" t="n">
        <v>46259</v>
      </c>
      <c r="E6420" s="1" t="n">
        <v>46319</v>
      </c>
      <c r="F6420" t="inlineStr">
        <is>
          <t>DALARNAS LÄN</t>
        </is>
      </c>
      <c r="G6420" t="inlineStr">
        <is>
          <t>GAGNEF</t>
        </is>
      </c>
      <c r="I6420" t="n">
        <v>1.1</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A 16073-2026</t>
        </is>
      </c>
      <c r="B6421" t="inlineStr">
        <is>
          <t>avverkningsanmälan</t>
        </is>
      </c>
      <c r="C6421" t="inlineStr">
        <is>
          <t>Föryngringsavverkning</t>
        </is>
      </c>
      <c r="D6421" s="1" t="n">
        <v>46108</v>
      </c>
      <c r="E6421" s="1" t="n">
        <v>46319</v>
      </c>
      <c r="F6421" t="inlineStr">
        <is>
          <t>DALARNAS LÄN</t>
        </is>
      </c>
      <c r="G6421" t="inlineStr">
        <is>
          <t>FALUN</t>
        </is>
      </c>
      <c r="I6421" t="n">
        <v>2.3</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A 29350-2024</t>
        </is>
      </c>
      <c r="B6422" t="inlineStr">
        <is>
          <t>avverkningsanmälan</t>
        </is>
      </c>
      <c r="C6422" t="inlineStr">
        <is>
          <t>Avverkning för att bevara och utveckla /försöksver</t>
        </is>
      </c>
      <c r="D6422" s="1" t="n">
        <v>45483</v>
      </c>
      <c r="E6422" s="1" t="n">
        <v>46319</v>
      </c>
      <c r="F6422" t="inlineStr">
        <is>
          <t>DALARNAS LÄN</t>
        </is>
      </c>
      <c r="G6422" t="inlineStr">
        <is>
          <t>MALUNG-SÄLEN</t>
        </is>
      </c>
      <c r="I6422" t="n">
        <v>1.9</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A 16327-2026</t>
        </is>
      </c>
      <c r="B6423" t="inlineStr">
        <is>
          <t>avverkningsanmälan</t>
        </is>
      </c>
      <c r="C6423" t="inlineStr">
        <is>
          <t>Föryngringsavverkning</t>
        </is>
      </c>
      <c r="D6423" s="1" t="n">
        <v>46111</v>
      </c>
      <c r="E6423" s="1" t="n">
        <v>46319</v>
      </c>
      <c r="F6423" t="inlineStr">
        <is>
          <t>DALARNAS LÄN</t>
        </is>
      </c>
      <c r="G6423" t="inlineStr">
        <is>
          <t>FALUN</t>
        </is>
      </c>
      <c r="H6423" t="inlineStr">
        <is>
          <t>Bergvik skog väst AB</t>
        </is>
      </c>
      <c r="I6423" t="n">
        <v>13.5</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A 16333-2026</t>
        </is>
      </c>
      <c r="B6424" t="inlineStr">
        <is>
          <t>avverkningsanmälan</t>
        </is>
      </c>
      <c r="C6424" t="inlineStr">
        <is>
          <t>Föryngringsavverkning</t>
        </is>
      </c>
      <c r="D6424" s="1" t="n">
        <v>46111</v>
      </c>
      <c r="E6424" s="1" t="n">
        <v>46319</v>
      </c>
      <c r="F6424" t="inlineStr">
        <is>
          <t>DALARNAS LÄN</t>
        </is>
      </c>
      <c r="G6424" t="inlineStr">
        <is>
          <t>AVESTA</t>
        </is>
      </c>
      <c r="I6424" t="n">
        <v>1.5</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A 12440-2026</t>
        </is>
      </c>
      <c r="B6425" t="inlineStr">
        <is>
          <t>avverkningsanmälan</t>
        </is>
      </c>
      <c r="C6425" t="inlineStr">
        <is>
          <t>Föryngringsavverkning</t>
        </is>
      </c>
      <c r="D6425" s="1" t="n">
        <v>46090</v>
      </c>
      <c r="E6425" s="1" t="n">
        <v>46319</v>
      </c>
      <c r="F6425" t="inlineStr">
        <is>
          <t>DALARNAS LÄN</t>
        </is>
      </c>
      <c r="G6425" t="inlineStr">
        <is>
          <t>ORSA</t>
        </is>
      </c>
      <c r="H6425" t="inlineStr">
        <is>
          <t>Bergvik skog öst AB</t>
        </is>
      </c>
      <c r="I6425" t="n">
        <v>2.8</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A 13316-2026</t>
        </is>
      </c>
      <c r="B6426" t="inlineStr">
        <is>
          <t>avverkningsanmälan</t>
        </is>
      </c>
      <c r="C6426" t="inlineStr">
        <is>
          <t>Föryngringsavverkning</t>
        </is>
      </c>
      <c r="D6426" s="1" t="n">
        <v>46094</v>
      </c>
      <c r="E6426" s="1" t="n">
        <v>46319</v>
      </c>
      <c r="F6426" t="inlineStr">
        <is>
          <t>DALARNAS LÄN</t>
        </is>
      </c>
      <c r="G6426" t="inlineStr">
        <is>
          <t>ORSA</t>
        </is>
      </c>
      <c r="H6426" t="inlineStr">
        <is>
          <t>Bergvik skog öst AB</t>
        </is>
      </c>
      <c r="I6426" t="n">
        <v>1.2</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A 35782-2025</t>
        </is>
      </c>
      <c r="B6427" t="inlineStr">
        <is>
          <t>avverkningsanmälan</t>
        </is>
      </c>
      <c r="C6427" t="inlineStr">
        <is>
          <t>Föryngringsavverkning</t>
        </is>
      </c>
      <c r="D6427" s="1" t="n">
        <v>45860</v>
      </c>
      <c r="E6427" s="1" t="n">
        <v>46319</v>
      </c>
      <c r="F6427" t="inlineStr">
        <is>
          <t>DALARNAS LÄN</t>
        </is>
      </c>
      <c r="G6427" t="inlineStr">
        <is>
          <t>VANSBRO</t>
        </is>
      </c>
      <c r="H6427" t="inlineStr">
        <is>
          <t>Bergvik skog öst AB</t>
        </is>
      </c>
      <c r="I6427" t="n">
        <v>2.4</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A 9277-2024</t>
        </is>
      </c>
      <c r="B6428" t="inlineStr">
        <is>
          <t>avverkningsanmälan</t>
        </is>
      </c>
      <c r="C6428" t="inlineStr">
        <is>
          <t>Föryngringsavverkning</t>
        </is>
      </c>
      <c r="D6428" s="1" t="n">
        <v>45358</v>
      </c>
      <c r="E6428" s="1" t="n">
        <v>46319</v>
      </c>
      <c r="F6428" t="inlineStr">
        <is>
          <t>DALARNAS LÄN</t>
        </is>
      </c>
      <c r="G6428" t="inlineStr">
        <is>
          <t>MORA</t>
        </is>
      </c>
      <c r="I6428" t="n">
        <v>1.7</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A 35526-2024</t>
        </is>
      </c>
      <c r="B6429" t="inlineStr">
        <is>
          <t>avverkningsanmälan</t>
        </is>
      </c>
      <c r="C6429" t="inlineStr">
        <is>
          <t>Föryngringsavverkning</t>
        </is>
      </c>
      <c r="D6429" s="1" t="n">
        <v>45531</v>
      </c>
      <c r="E6429" s="1" t="n">
        <v>46319</v>
      </c>
      <c r="F6429" t="inlineStr">
        <is>
          <t>DALARNAS LÄN</t>
        </is>
      </c>
      <c r="G6429" t="inlineStr">
        <is>
          <t>GAGNEF</t>
        </is>
      </c>
      <c r="I6429" t="n">
        <v>1.3</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A 16274-2026</t>
        </is>
      </c>
      <c r="B6430" t="inlineStr">
        <is>
          <t>avverkningsanmälan</t>
        </is>
      </c>
      <c r="C6430" t="inlineStr">
        <is>
          <t>Föryngringsavverkning</t>
        </is>
      </c>
      <c r="D6430" s="1" t="n">
        <v>46111</v>
      </c>
      <c r="E6430" s="1" t="n">
        <v>46319</v>
      </c>
      <c r="F6430" t="inlineStr">
        <is>
          <t>DALARNAS LÄN</t>
        </is>
      </c>
      <c r="G6430" t="inlineStr">
        <is>
          <t>FALUN</t>
        </is>
      </c>
      <c r="I6430" t="n">
        <v>1</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A 16256-2026</t>
        </is>
      </c>
      <c r="B6431" t="inlineStr">
        <is>
          <t>avverkningsanmälan</t>
        </is>
      </c>
      <c r="C6431" t="inlineStr">
        <is>
          <t>Föryngringsavverkning</t>
        </is>
      </c>
      <c r="D6431" s="1" t="n">
        <v>46111</v>
      </c>
      <c r="E6431" s="1" t="n">
        <v>46319</v>
      </c>
      <c r="F6431" t="inlineStr">
        <is>
          <t>DALARNAS LÄN</t>
        </is>
      </c>
      <c r="G6431" t="inlineStr">
        <is>
          <t>FALUN</t>
        </is>
      </c>
      <c r="I6431" t="n">
        <v>1.5</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A 41606-2026</t>
        </is>
      </c>
      <c r="B6432" t="inlineStr">
        <is>
          <t>avverkningsanmälan</t>
        </is>
      </c>
      <c r="C6432" t="inlineStr">
        <is>
          <t>Föryngringsavverkning</t>
        </is>
      </c>
      <c r="D6432" s="1" t="n">
        <v>46302</v>
      </c>
      <c r="E6432" s="1" t="n">
        <v>46319</v>
      </c>
      <c r="F6432" t="inlineStr">
        <is>
          <t>DALARNAS LÄN</t>
        </is>
      </c>
      <c r="G6432" t="inlineStr">
        <is>
          <t>VANSBRO</t>
        </is>
      </c>
      <c r="I6432" t="n">
        <v>2</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A 16282-2026</t>
        </is>
      </c>
      <c r="B6433" t="inlineStr">
        <is>
          <t>avverkningsanmälan</t>
        </is>
      </c>
      <c r="C6433" t="inlineStr">
        <is>
          <t>Föryngringsavverkning</t>
        </is>
      </c>
      <c r="D6433" s="1" t="n">
        <v>46111</v>
      </c>
      <c r="E6433" s="1" t="n">
        <v>46319</v>
      </c>
      <c r="F6433" t="inlineStr">
        <is>
          <t>DALARNAS LÄN</t>
        </is>
      </c>
      <c r="G6433" t="inlineStr">
        <is>
          <t>HEDEMORA</t>
        </is>
      </c>
      <c r="I6433" t="n">
        <v>6</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A 16134-2026</t>
        </is>
      </c>
      <c r="B6434" t="inlineStr">
        <is>
          <t>avverkningsanmälan</t>
        </is>
      </c>
      <c r="C6434" t="inlineStr">
        <is>
          <t>Föryngringsavverkning</t>
        </is>
      </c>
      <c r="D6434" s="1" t="n">
        <v>46108</v>
      </c>
      <c r="E6434" s="1" t="n">
        <v>46319</v>
      </c>
      <c r="F6434" t="inlineStr">
        <is>
          <t>DALARNAS LÄN</t>
        </is>
      </c>
      <c r="G6434" t="inlineStr">
        <is>
          <t>VANSBRO</t>
        </is>
      </c>
      <c r="I6434" t="n">
        <v>2</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A 17657-2022</t>
        </is>
      </c>
      <c r="B6435" t="inlineStr">
        <is>
          <t>avverkningsanmälan</t>
        </is>
      </c>
      <c r="C6435" t="inlineStr">
        <is>
          <t>Föryngringsavverkning</t>
        </is>
      </c>
      <c r="D6435" s="1" t="n">
        <v>44680</v>
      </c>
      <c r="E6435" s="1" t="n">
        <v>46319</v>
      </c>
      <c r="F6435" t="inlineStr">
        <is>
          <t>DALARNAS LÄN</t>
        </is>
      </c>
      <c r="G6435" t="inlineStr">
        <is>
          <t>RÄTTVIK</t>
        </is>
      </c>
      <c r="I6435" t="n">
        <v>1.7</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A 36458-2024</t>
        </is>
      </c>
      <c r="B6436" t="inlineStr">
        <is>
          <t>avverkningsanmälan</t>
        </is>
      </c>
      <c r="C6436" t="inlineStr">
        <is>
          <t>Föryngringsavverkning</t>
        </is>
      </c>
      <c r="D6436" s="1" t="n">
        <v>45537</v>
      </c>
      <c r="E6436" s="1" t="n">
        <v>46319</v>
      </c>
      <c r="F6436" t="inlineStr">
        <is>
          <t>DALARNAS LÄN</t>
        </is>
      </c>
      <c r="G6436" t="inlineStr">
        <is>
          <t>RÄTTVIK</t>
        </is>
      </c>
      <c r="I6436" t="n">
        <v>0.7</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A 17366-2025</t>
        </is>
      </c>
      <c r="B6437" t="inlineStr">
        <is>
          <t>avverkningsanmälan</t>
        </is>
      </c>
      <c r="C6437" t="inlineStr">
        <is>
          <t>Föryngringsavverkning</t>
        </is>
      </c>
      <c r="D6437" s="1" t="n">
        <v>45756</v>
      </c>
      <c r="E6437" s="1" t="n">
        <v>46319</v>
      </c>
      <c r="F6437" t="inlineStr">
        <is>
          <t>DALARNAS LÄN</t>
        </is>
      </c>
      <c r="G6437" t="inlineStr">
        <is>
          <t>VANSBRO</t>
        </is>
      </c>
      <c r="I6437" t="n">
        <v>2.9</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A 34780-2026</t>
        </is>
      </c>
      <c r="B6438" t="inlineStr">
        <is>
          <t>avverkningsanmälan</t>
        </is>
      </c>
      <c r="C6438" t="inlineStr">
        <is>
          <t>Föryngringsavverkning</t>
        </is>
      </c>
      <c r="D6438" s="1" t="n">
        <v>46258</v>
      </c>
      <c r="E6438" s="1" t="n">
        <v>46319</v>
      </c>
      <c r="F6438" t="inlineStr">
        <is>
          <t>DALARNAS LÄN</t>
        </is>
      </c>
      <c r="G6438" t="inlineStr">
        <is>
          <t>LUDVIKA</t>
        </is>
      </c>
      <c r="H6438" t="inlineStr">
        <is>
          <t>Bergvik skog väst AB</t>
        </is>
      </c>
      <c r="I6438" t="n">
        <v>7</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A 35619-2025</t>
        </is>
      </c>
      <c r="B6439" t="inlineStr">
        <is>
          <t>avverkningsanmälan</t>
        </is>
      </c>
      <c r="C6439" t="inlineStr">
        <is>
          <t>Föryngringsavverkning</t>
        </is>
      </c>
      <c r="D6439" s="1" t="n">
        <v>45859</v>
      </c>
      <c r="E6439" s="1" t="n">
        <v>46319</v>
      </c>
      <c r="F6439" t="inlineStr">
        <is>
          <t>DALARNAS LÄN</t>
        </is>
      </c>
      <c r="G6439" t="inlineStr">
        <is>
          <t>ORSA</t>
        </is>
      </c>
      <c r="H6439" t="inlineStr">
        <is>
          <t>Bergvik skog öst AB</t>
        </is>
      </c>
      <c r="I6439" t="n">
        <v>0.7</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A 35028-2026</t>
        </is>
      </c>
      <c r="B6440" t="inlineStr">
        <is>
          <t>avverkningsanmälan</t>
        </is>
      </c>
      <c r="C6440" t="inlineStr">
        <is>
          <t>Föryngringsavverkning</t>
        </is>
      </c>
      <c r="D6440" s="1" t="n">
        <v>46259</v>
      </c>
      <c r="E6440" s="1" t="n">
        <v>46319</v>
      </c>
      <c r="F6440" t="inlineStr">
        <is>
          <t>DALARNAS LÄN</t>
        </is>
      </c>
      <c r="G6440" t="inlineStr">
        <is>
          <t>LEKSAND</t>
        </is>
      </c>
      <c r="I6440" t="n">
        <v>2.9</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A 35030-2026</t>
        </is>
      </c>
      <c r="B6441" t="inlineStr">
        <is>
          <t>avverkningsanmälan</t>
        </is>
      </c>
      <c r="C6441" t="inlineStr">
        <is>
          <t>Föryngringsavverkning</t>
        </is>
      </c>
      <c r="D6441" s="1" t="n">
        <v>46259</v>
      </c>
      <c r="E6441" s="1" t="n">
        <v>46319</v>
      </c>
      <c r="F6441" t="inlineStr">
        <is>
          <t>DALARNAS LÄN</t>
        </is>
      </c>
      <c r="G6441" t="inlineStr">
        <is>
          <t>ÄLVDALEN</t>
        </is>
      </c>
      <c r="H6441" t="inlineStr">
        <is>
          <t>Bergvik skog öst AB</t>
        </is>
      </c>
      <c r="I6441" t="n">
        <v>7</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A 16820-2026</t>
        </is>
      </c>
      <c r="B6442" t="inlineStr">
        <is>
          <t>avverkningsanmälan</t>
        </is>
      </c>
      <c r="C6442" t="inlineStr">
        <is>
          <t>Föryngringsavverkning</t>
        </is>
      </c>
      <c r="D6442" s="1" t="n">
        <v>46113</v>
      </c>
      <c r="E6442" s="1" t="n">
        <v>46319</v>
      </c>
      <c r="F6442" t="inlineStr">
        <is>
          <t>DALARNAS LÄN</t>
        </is>
      </c>
      <c r="G6442" t="inlineStr">
        <is>
          <t>AVESTA</t>
        </is>
      </c>
      <c r="I6442" t="n">
        <v>2.5</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A 16881-2026</t>
        </is>
      </c>
      <c r="B6443" t="inlineStr">
        <is>
          <t>avverkningsanmälan</t>
        </is>
      </c>
      <c r="C6443" t="inlineStr">
        <is>
          <t>Föryngringsavverkning</t>
        </is>
      </c>
      <c r="D6443" s="1" t="n">
        <v>46113</v>
      </c>
      <c r="E6443" s="1" t="n">
        <v>46319</v>
      </c>
      <c r="F6443" t="inlineStr">
        <is>
          <t>DALARNAS LÄN</t>
        </is>
      </c>
      <c r="G6443" t="inlineStr">
        <is>
          <t>SMEDJEBACKEN</t>
        </is>
      </c>
      <c r="I6443" t="n">
        <v>1.9</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A 16547-2026</t>
        </is>
      </c>
      <c r="B6444" t="inlineStr">
        <is>
          <t>avverkningsanmälan</t>
        </is>
      </c>
      <c r="C6444" t="inlineStr">
        <is>
          <t>Föryngringsavverkning</t>
        </is>
      </c>
      <c r="D6444" s="1" t="n">
        <v>46112</v>
      </c>
      <c r="E6444" s="1" t="n">
        <v>46319</v>
      </c>
      <c r="F6444" t="inlineStr">
        <is>
          <t>DALARNAS LÄN</t>
        </is>
      </c>
      <c r="G6444" t="inlineStr">
        <is>
          <t>MORA</t>
        </is>
      </c>
      <c r="I6444" t="n">
        <v>0.9</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A 16846-2026</t>
        </is>
      </c>
      <c r="B6445" t="inlineStr">
        <is>
          <t>avverkningsanmälan</t>
        </is>
      </c>
      <c r="C6445" t="inlineStr">
        <is>
          <t>Föryngringsavverkning</t>
        </is>
      </c>
      <c r="D6445" s="1" t="n">
        <v>46113</v>
      </c>
      <c r="E6445" s="1" t="n">
        <v>46319</v>
      </c>
      <c r="F6445" t="inlineStr">
        <is>
          <t>DALARNAS LÄN</t>
        </is>
      </c>
      <c r="G6445" t="inlineStr">
        <is>
          <t>FALUN</t>
        </is>
      </c>
      <c r="I6445" t="n">
        <v>4.2</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A 34920-2026</t>
        </is>
      </c>
      <c r="B6446" t="inlineStr">
        <is>
          <t>avverkningsanmälan</t>
        </is>
      </c>
      <c r="C6446" t="inlineStr">
        <is>
          <t>Föryngringsavverkning</t>
        </is>
      </c>
      <c r="D6446" s="1" t="n">
        <v>46259</v>
      </c>
      <c r="E6446" s="1" t="n">
        <v>46319</v>
      </c>
      <c r="F6446" t="inlineStr">
        <is>
          <t>DALARNAS LÄN</t>
        </is>
      </c>
      <c r="G6446" t="inlineStr">
        <is>
          <t>GAGNEF</t>
        </is>
      </c>
      <c r="I6446" t="n">
        <v>2</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A 57193-2022</t>
        </is>
      </c>
      <c r="B6447" t="inlineStr">
        <is>
          <t>avverkningsanmälan</t>
        </is>
      </c>
      <c r="C6447" t="inlineStr">
        <is>
          <t>Föryngringsavverkning</t>
        </is>
      </c>
      <c r="D6447" s="1" t="n">
        <v>44895</v>
      </c>
      <c r="E6447" s="1" t="n">
        <v>46319</v>
      </c>
      <c r="F6447" t="inlineStr">
        <is>
          <t>DALARNAS LÄN</t>
        </is>
      </c>
      <c r="G6447" t="inlineStr">
        <is>
          <t>LUDVIKA</t>
        </is>
      </c>
      <c r="H6447" t="inlineStr">
        <is>
          <t>Bergvik skog väst AB</t>
        </is>
      </c>
      <c r="I6447" t="n">
        <v>3.4</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A 16649-2026</t>
        </is>
      </c>
      <c r="B6448" t="inlineStr">
        <is>
          <t>avverkningsanmälan</t>
        </is>
      </c>
      <c r="C6448" t="inlineStr">
        <is>
          <t>Föryngringsavverkning</t>
        </is>
      </c>
      <c r="D6448" s="1" t="n">
        <v>46112</v>
      </c>
      <c r="E6448" s="1" t="n">
        <v>46319</v>
      </c>
      <c r="F6448" t="inlineStr">
        <is>
          <t>DALARNAS LÄN</t>
        </is>
      </c>
      <c r="G6448" t="inlineStr">
        <is>
          <t>RÄTTVIK</t>
        </is>
      </c>
      <c r="I6448" t="n">
        <v>1.6</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A 16900-2026</t>
        </is>
      </c>
      <c r="B6449" t="inlineStr">
        <is>
          <t>avverkningsanmälan</t>
        </is>
      </c>
      <c r="C6449" t="inlineStr">
        <is>
          <t>Föryngringsavverkning</t>
        </is>
      </c>
      <c r="D6449" s="1" t="n">
        <v>46113</v>
      </c>
      <c r="E6449" s="1" t="n">
        <v>46319</v>
      </c>
      <c r="F6449" t="inlineStr">
        <is>
          <t>DALARNAS LÄN</t>
        </is>
      </c>
      <c r="G6449" t="inlineStr">
        <is>
          <t>ORSA</t>
        </is>
      </c>
      <c r="I6449" t="n">
        <v>0.6</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A 35814-2025</t>
        </is>
      </c>
      <c r="B6450" t="inlineStr">
        <is>
          <t>avverkningsanmälan</t>
        </is>
      </c>
      <c r="C6450" t="inlineStr">
        <is>
          <t>Föryngringsavverkning</t>
        </is>
      </c>
      <c r="D6450" s="1" t="n">
        <v>45861</v>
      </c>
      <c r="E6450" s="1" t="n">
        <v>46319</v>
      </c>
      <c r="F6450" t="inlineStr">
        <is>
          <t>DALARNAS LÄN</t>
        </is>
      </c>
      <c r="G6450" t="inlineStr">
        <is>
          <t>SMEDJEBACKEN</t>
        </is>
      </c>
      <c r="H6450" t="inlineStr">
        <is>
          <t>Övriga Aktiebolag</t>
        </is>
      </c>
      <c r="I6450" t="n">
        <v>16.7</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A 41445-2026</t>
        </is>
      </c>
      <c r="B6451" t="inlineStr">
        <is>
          <t>avverkningsanmälan</t>
        </is>
      </c>
      <c r="C6451" t="inlineStr">
        <is>
          <t>Föryngringsavverkning</t>
        </is>
      </c>
      <c r="D6451" s="1" t="n">
        <v>46301</v>
      </c>
      <c r="E6451" s="1" t="n">
        <v>46319</v>
      </c>
      <c r="F6451" t="inlineStr">
        <is>
          <t>DALARNAS LÄN</t>
        </is>
      </c>
      <c r="G6451" t="inlineStr">
        <is>
          <t>ORSA</t>
        </is>
      </c>
      <c r="H6451" t="inlineStr">
        <is>
          <t>Bergvik skog öst AB</t>
        </is>
      </c>
      <c r="I6451" t="n">
        <v>1.7</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A 16825-2026</t>
        </is>
      </c>
      <c r="B6452" t="inlineStr">
        <is>
          <t>avverkningsanmälan</t>
        </is>
      </c>
      <c r="C6452" t="inlineStr">
        <is>
          <t>Föryngringsavverkning</t>
        </is>
      </c>
      <c r="D6452" s="1" t="n">
        <v>46113</v>
      </c>
      <c r="E6452" s="1" t="n">
        <v>46319</v>
      </c>
      <c r="F6452" t="inlineStr">
        <is>
          <t>DALARNAS LÄN</t>
        </is>
      </c>
      <c r="G6452" t="inlineStr">
        <is>
          <t>AVESTA</t>
        </is>
      </c>
      <c r="I6452" t="n">
        <v>2.3</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A 16826-2026</t>
        </is>
      </c>
      <c r="B6453" t="inlineStr">
        <is>
          <t>avverkningsanmälan</t>
        </is>
      </c>
      <c r="C6453" t="inlineStr">
        <is>
          <t>Föryngringsavverkning</t>
        </is>
      </c>
      <c r="D6453" s="1" t="n">
        <v>46113</v>
      </c>
      <c r="E6453" s="1" t="n">
        <v>46319</v>
      </c>
      <c r="F6453" t="inlineStr">
        <is>
          <t>DALARNAS LÄN</t>
        </is>
      </c>
      <c r="G6453" t="inlineStr">
        <is>
          <t>SMEDJEBACKEN</t>
        </is>
      </c>
      <c r="I6453" t="n">
        <v>1.1</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A 13568-2025</t>
        </is>
      </c>
      <c r="B6454" t="inlineStr">
        <is>
          <t>avverkningsanmälan</t>
        </is>
      </c>
      <c r="C6454" t="inlineStr">
        <is>
          <t>Föryngringsavverkning</t>
        </is>
      </c>
      <c r="D6454" s="1" t="n">
        <v>45736</v>
      </c>
      <c r="E6454" s="1" t="n">
        <v>46319</v>
      </c>
      <c r="F6454" t="inlineStr">
        <is>
          <t>DALARNAS LÄN</t>
        </is>
      </c>
      <c r="G6454" t="inlineStr">
        <is>
          <t>RÄTTVIK</t>
        </is>
      </c>
      <c r="I6454" t="n">
        <v>1.7</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A 35816-2025</t>
        </is>
      </c>
      <c r="B6455" t="inlineStr">
        <is>
          <t>avverkningsanmälan</t>
        </is>
      </c>
      <c r="C6455" t="inlineStr">
        <is>
          <t>Föryngringsavverkning</t>
        </is>
      </c>
      <c r="D6455" s="1" t="n">
        <v>45861</v>
      </c>
      <c r="E6455" s="1" t="n">
        <v>46319</v>
      </c>
      <c r="F6455" t="inlineStr">
        <is>
          <t>DALARNAS LÄN</t>
        </is>
      </c>
      <c r="G6455" t="inlineStr">
        <is>
          <t>BORLÄNGE</t>
        </is>
      </c>
      <c r="I6455" t="n">
        <v>2.8</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A 16488-2026</t>
        </is>
      </c>
      <c r="B6456" t="inlineStr">
        <is>
          <t>avverkningsanmälan</t>
        </is>
      </c>
      <c r="C6456" t="inlineStr">
        <is>
          <t>Föryngringsavverkning</t>
        </is>
      </c>
      <c r="D6456" s="1" t="n">
        <v>46112</v>
      </c>
      <c r="E6456" s="1" t="n">
        <v>46319</v>
      </c>
      <c r="F6456" t="inlineStr">
        <is>
          <t>DALARNAS LÄN</t>
        </is>
      </c>
      <c r="G6456" t="inlineStr">
        <is>
          <t>ÄLVDALEN</t>
        </is>
      </c>
      <c r="I6456" t="n">
        <v>3.3</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A 16489-2026</t>
        </is>
      </c>
      <c r="B6457" t="inlineStr">
        <is>
          <t>avverkningsanmälan</t>
        </is>
      </c>
      <c r="C6457" t="inlineStr">
        <is>
          <t>Avverkning för annat ändamål</t>
        </is>
      </c>
      <c r="D6457" s="1" t="n">
        <v>46112</v>
      </c>
      <c r="E6457" s="1" t="n">
        <v>46319</v>
      </c>
      <c r="F6457" t="inlineStr">
        <is>
          <t>DALARNAS LÄN</t>
        </is>
      </c>
      <c r="G6457" t="inlineStr">
        <is>
          <t>ÄLVDALEN</t>
        </is>
      </c>
      <c r="I6457" t="n">
        <v>0.9</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A 16613-2026</t>
        </is>
      </c>
      <c r="B6458" t="inlineStr">
        <is>
          <t>avverkningsanmälan</t>
        </is>
      </c>
      <c r="C6458" t="inlineStr">
        <is>
          <t>Föryngringsavverkning</t>
        </is>
      </c>
      <c r="D6458" s="1" t="n">
        <v>46112</v>
      </c>
      <c r="E6458" s="1" t="n">
        <v>46319</v>
      </c>
      <c r="F6458" t="inlineStr">
        <is>
          <t>DALARNAS LÄN</t>
        </is>
      </c>
      <c r="G6458" t="inlineStr">
        <is>
          <t>LEKSAND</t>
        </is>
      </c>
      <c r="H6458" t="inlineStr">
        <is>
          <t>Bergvik skog väst AB</t>
        </is>
      </c>
      <c r="I6458" t="n">
        <v>12.7</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A 16821-2026</t>
        </is>
      </c>
      <c r="B6459" t="inlineStr">
        <is>
          <t>avverkningsanmälan</t>
        </is>
      </c>
      <c r="C6459" t="inlineStr">
        <is>
          <t>Föryngringsavverkning</t>
        </is>
      </c>
      <c r="D6459" s="1" t="n">
        <v>46113</v>
      </c>
      <c r="E6459" s="1" t="n">
        <v>46319</v>
      </c>
      <c r="F6459" t="inlineStr">
        <is>
          <t>DALARNAS LÄN</t>
        </is>
      </c>
      <c r="G6459" t="inlineStr">
        <is>
          <t>AVESTA</t>
        </is>
      </c>
      <c r="I6459" t="n">
        <v>6.4</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A 16824-2026</t>
        </is>
      </c>
      <c r="B6460" t="inlineStr">
        <is>
          <t>avverkningsanmälan</t>
        </is>
      </c>
      <c r="C6460" t="inlineStr">
        <is>
          <t>Föryngringsavverkning</t>
        </is>
      </c>
      <c r="D6460" s="1" t="n">
        <v>46113</v>
      </c>
      <c r="E6460" s="1" t="n">
        <v>46319</v>
      </c>
      <c r="F6460" t="inlineStr">
        <is>
          <t>DALARNAS LÄN</t>
        </is>
      </c>
      <c r="G6460" t="inlineStr">
        <is>
          <t>AVESTA</t>
        </is>
      </c>
      <c r="I6460" t="n">
        <v>6.6</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A 41875-2026</t>
        </is>
      </c>
      <c r="B6461" t="inlineStr">
        <is>
          <t>avverkningsanmälan</t>
        </is>
      </c>
      <c r="C6461" t="inlineStr">
        <is>
          <t>Föryngringsavverkning</t>
        </is>
      </c>
      <c r="D6461" s="1" t="n">
        <v>46303</v>
      </c>
      <c r="E6461" s="1" t="n">
        <v>46319</v>
      </c>
      <c r="F6461" t="inlineStr">
        <is>
          <t>DALARNAS LÄN</t>
        </is>
      </c>
      <c r="G6461" t="inlineStr">
        <is>
          <t>SMEDJEBACKEN</t>
        </is>
      </c>
      <c r="H6461" t="inlineStr">
        <is>
          <t>Sveaskog</t>
        </is>
      </c>
      <c r="I6461" t="n">
        <v>3.5</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A 9108-2024</t>
        </is>
      </c>
      <c r="B6462" t="inlineStr">
        <is>
          <t>avverkningsanmälan</t>
        </is>
      </c>
      <c r="C6462" t="inlineStr">
        <is>
          <t>Föryngringsavverkning</t>
        </is>
      </c>
      <c r="D6462" s="1" t="n">
        <v>45357</v>
      </c>
      <c r="E6462" s="1" t="n">
        <v>46319</v>
      </c>
      <c r="F6462" t="inlineStr">
        <is>
          <t>DALARNAS LÄN</t>
        </is>
      </c>
      <c r="G6462" t="inlineStr">
        <is>
          <t>ÄLVDALEN</t>
        </is>
      </c>
      <c r="H6462" t="inlineStr">
        <is>
          <t>Övriga Aktiebolag</t>
        </is>
      </c>
      <c r="I6462" t="n">
        <v>24.4</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A 41894-2026</t>
        </is>
      </c>
      <c r="B6463" t="inlineStr">
        <is>
          <t>avverkningsanmälan</t>
        </is>
      </c>
      <c r="C6463" t="inlineStr">
        <is>
          <t>Föryngringsavverkning</t>
        </is>
      </c>
      <c r="D6463" s="1" t="n">
        <v>46303</v>
      </c>
      <c r="E6463" s="1" t="n">
        <v>46319</v>
      </c>
      <c r="F6463" t="inlineStr">
        <is>
          <t>DALARNAS LÄN</t>
        </is>
      </c>
      <c r="G6463" t="inlineStr">
        <is>
          <t>SMEDJEBACKEN</t>
        </is>
      </c>
      <c r="H6463" t="inlineStr">
        <is>
          <t>Sveaskog</t>
        </is>
      </c>
      <c r="I6463" t="n">
        <v>13.5</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A 41920-2026</t>
        </is>
      </c>
      <c r="B6464" t="inlineStr">
        <is>
          <t>avverkningsanmälan</t>
        </is>
      </c>
      <c r="C6464" t="inlineStr">
        <is>
          <t>Föryngringsavverkning</t>
        </is>
      </c>
      <c r="D6464" s="1" t="n">
        <v>46303</v>
      </c>
      <c r="E6464" s="1" t="n">
        <v>46319</v>
      </c>
      <c r="F6464" t="inlineStr">
        <is>
          <t>DALARNAS LÄN</t>
        </is>
      </c>
      <c r="G6464" t="inlineStr">
        <is>
          <t>AVESTA</t>
        </is>
      </c>
      <c r="H6464" t="inlineStr">
        <is>
          <t>Sveaskog</t>
        </is>
      </c>
      <c r="I6464" t="n">
        <v>5.3</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A 32329-2024</t>
        </is>
      </c>
      <c r="B6465" t="inlineStr">
        <is>
          <t>avverkningsanmälan</t>
        </is>
      </c>
      <c r="C6465" t="inlineStr">
        <is>
          <t>Föryngringsavverkning</t>
        </is>
      </c>
      <c r="D6465" s="1" t="n">
        <v>45512</v>
      </c>
      <c r="E6465" s="1" t="n">
        <v>46319</v>
      </c>
      <c r="F6465" t="inlineStr">
        <is>
          <t>DALARNAS LÄN</t>
        </is>
      </c>
      <c r="G6465" t="inlineStr">
        <is>
          <t>LUDVIKA</t>
        </is>
      </c>
      <c r="H6465" t="inlineStr">
        <is>
          <t>Bergvik skog väst AB</t>
        </is>
      </c>
      <c r="I6465" t="n">
        <v>6</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A 16698-2026</t>
        </is>
      </c>
      <c r="B6466" t="inlineStr">
        <is>
          <t>avverkningsanmälan</t>
        </is>
      </c>
      <c r="C6466" t="inlineStr">
        <is>
          <t>Föryngringsavverkning</t>
        </is>
      </c>
      <c r="D6466" s="1" t="n">
        <v>46113</v>
      </c>
      <c r="E6466" s="1" t="n">
        <v>46319</v>
      </c>
      <c r="F6466" t="inlineStr">
        <is>
          <t>DALARNAS LÄN</t>
        </is>
      </c>
      <c r="G6466" t="inlineStr">
        <is>
          <t>SÄTER</t>
        </is>
      </c>
      <c r="I6466" t="n">
        <v>2.4</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A 39897-2022</t>
        </is>
      </c>
      <c r="B6467" t="inlineStr">
        <is>
          <t>avverkningsanmälan</t>
        </is>
      </c>
      <c r="C6467" t="inlineStr">
        <is>
          <t>Föryngringsavverkning</t>
        </is>
      </c>
      <c r="D6467" s="1" t="n">
        <v>44819</v>
      </c>
      <c r="E6467" s="1" t="n">
        <v>46319</v>
      </c>
      <c r="F6467" t="inlineStr">
        <is>
          <t>DALARNAS LÄN</t>
        </is>
      </c>
      <c r="G6467" t="inlineStr">
        <is>
          <t>MORA</t>
        </is>
      </c>
      <c r="I6467" t="n">
        <v>15.8</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A 35993-2025</t>
        </is>
      </c>
      <c r="B6468" t="inlineStr">
        <is>
          <t>avverkningsanmälan</t>
        </is>
      </c>
      <c r="C6468" t="inlineStr">
        <is>
          <t>Föryngringsavverkning</t>
        </is>
      </c>
      <c r="D6468" s="1" t="n">
        <v>45863</v>
      </c>
      <c r="E6468" s="1" t="n">
        <v>46319</v>
      </c>
      <c r="F6468" t="inlineStr">
        <is>
          <t>DALARNAS LÄN</t>
        </is>
      </c>
      <c r="G6468" t="inlineStr">
        <is>
          <t>ÄLVDALEN</t>
        </is>
      </c>
      <c r="H6468" t="inlineStr">
        <is>
          <t>Bergvik skog öst AB</t>
        </is>
      </c>
      <c r="I6468" t="n">
        <v>6.1</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A 31010-2025</t>
        </is>
      </c>
      <c r="B6469" t="inlineStr">
        <is>
          <t>avverkningsanmälan</t>
        </is>
      </c>
      <c r="C6469" t="inlineStr">
        <is>
          <t>Föryngringsavverkning</t>
        </is>
      </c>
      <c r="D6469" s="1" t="n">
        <v>45832</v>
      </c>
      <c r="E6469" s="1" t="n">
        <v>46319</v>
      </c>
      <c r="F6469" t="inlineStr">
        <is>
          <t>DALARNAS LÄN</t>
        </is>
      </c>
      <c r="G6469" t="inlineStr">
        <is>
          <t>LUDVIKA</t>
        </is>
      </c>
      <c r="H6469" t="inlineStr">
        <is>
          <t>Bergvik skog väst AB</t>
        </is>
      </c>
      <c r="I6469" t="n">
        <v>5.6</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A 31050-2025</t>
        </is>
      </c>
      <c r="B6470" t="inlineStr">
        <is>
          <t>avverkningsanmälan</t>
        </is>
      </c>
      <c r="C6470" t="inlineStr">
        <is>
          <t>Föryngringsavverkning</t>
        </is>
      </c>
      <c r="D6470" s="1" t="n">
        <v>45832</v>
      </c>
      <c r="E6470" s="1" t="n">
        <v>46319</v>
      </c>
      <c r="F6470" t="inlineStr">
        <is>
          <t>DALARNAS LÄN</t>
        </is>
      </c>
      <c r="G6470" t="inlineStr">
        <is>
          <t>LUDVIKA</t>
        </is>
      </c>
      <c r="H6470" t="inlineStr">
        <is>
          <t>Bergvik skog väst AB</t>
        </is>
      </c>
      <c r="I6470" t="n">
        <v>1</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A 33001-2025</t>
        </is>
      </c>
      <c r="B6471" t="inlineStr">
        <is>
          <t>avverkningsanmälan</t>
        </is>
      </c>
      <c r="C6471" t="inlineStr">
        <is>
          <t>Föryngringsavverkning</t>
        </is>
      </c>
      <c r="D6471" s="1" t="n">
        <v>45840</v>
      </c>
      <c r="E6471" s="1" t="n">
        <v>46319</v>
      </c>
      <c r="F6471" t="inlineStr">
        <is>
          <t>DALARNAS LÄN</t>
        </is>
      </c>
      <c r="G6471" t="inlineStr">
        <is>
          <t>LUDVIKA</t>
        </is>
      </c>
      <c r="H6471" t="inlineStr">
        <is>
          <t>Bergvik skog väst AB</t>
        </is>
      </c>
      <c r="I6471" t="n">
        <v>4.1</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A 32305-2024</t>
        </is>
      </c>
      <c r="B6472" t="inlineStr">
        <is>
          <t>avverkningsanmälan</t>
        </is>
      </c>
      <c r="C6472" t="inlineStr">
        <is>
          <t>Föryngringsavverkning</t>
        </is>
      </c>
      <c r="D6472" s="1" t="n">
        <v>45512</v>
      </c>
      <c r="E6472" s="1" t="n">
        <v>46319</v>
      </c>
      <c r="F6472" t="inlineStr">
        <is>
          <t>DALARNAS LÄN</t>
        </is>
      </c>
      <c r="G6472" t="inlineStr">
        <is>
          <t>LUDVIKA</t>
        </is>
      </c>
      <c r="H6472" t="inlineStr">
        <is>
          <t>Bergvik skog väst AB</t>
        </is>
      </c>
      <c r="I6472" t="n">
        <v>1.4</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A 16934-2026</t>
        </is>
      </c>
      <c r="B6473" t="inlineStr">
        <is>
          <t>avverkningsanmälan</t>
        </is>
      </c>
      <c r="C6473" t="inlineStr">
        <is>
          <t>Föryngringsavverkning</t>
        </is>
      </c>
      <c r="D6473" s="1" t="n">
        <v>46113</v>
      </c>
      <c r="E6473" s="1" t="n">
        <v>46319</v>
      </c>
      <c r="F6473" t="inlineStr">
        <is>
          <t>DALARNAS LÄN</t>
        </is>
      </c>
      <c r="G6473" t="inlineStr">
        <is>
          <t>FALUN</t>
        </is>
      </c>
      <c r="I6473" t="n">
        <v>2.7</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A 16928-2026</t>
        </is>
      </c>
      <c r="B6474" t="inlineStr">
        <is>
          <t>avverkningsanmälan</t>
        </is>
      </c>
      <c r="C6474" t="inlineStr">
        <is>
          <t>Föryngringsavverkning</t>
        </is>
      </c>
      <c r="D6474" s="1" t="n">
        <v>46113</v>
      </c>
      <c r="E6474" s="1" t="n">
        <v>46319</v>
      </c>
      <c r="F6474" t="inlineStr">
        <is>
          <t>DALARNAS LÄN</t>
        </is>
      </c>
      <c r="G6474" t="inlineStr">
        <is>
          <t>BORLÄNGE</t>
        </is>
      </c>
      <c r="H6474" t="inlineStr">
        <is>
          <t>Bergvik skog väst AB</t>
        </is>
      </c>
      <c r="I6474" t="n">
        <v>2.1</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A 42021-2026</t>
        </is>
      </c>
      <c r="B6475" t="inlineStr">
        <is>
          <t>avverkningsanmälan</t>
        </is>
      </c>
      <c r="C6475" t="inlineStr">
        <is>
          <t>Föryngringsavverkning</t>
        </is>
      </c>
      <c r="D6475" s="1" t="n">
        <v>46304</v>
      </c>
      <c r="E6475" s="1" t="n">
        <v>46319</v>
      </c>
      <c r="F6475" t="inlineStr">
        <is>
          <t>DALARNAS LÄN</t>
        </is>
      </c>
      <c r="G6475" t="inlineStr">
        <is>
          <t>VANSBRO</t>
        </is>
      </c>
      <c r="I6475" t="n">
        <v>9.1</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A 42026-2026</t>
        </is>
      </c>
      <c r="B6476" t="inlineStr">
        <is>
          <t>avverkningsanmälan</t>
        </is>
      </c>
      <c r="C6476" t="inlineStr">
        <is>
          <t>Föryngringsavverkning</t>
        </is>
      </c>
      <c r="D6476" s="1" t="n">
        <v>46304</v>
      </c>
      <c r="E6476" s="1" t="n">
        <v>46319</v>
      </c>
      <c r="F6476" t="inlineStr">
        <is>
          <t>DALARNAS LÄN</t>
        </is>
      </c>
      <c r="G6476" t="inlineStr">
        <is>
          <t>VANSBRO</t>
        </is>
      </c>
      <c r="I6476" t="n">
        <v>3.5</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A 50714-2023</t>
        </is>
      </c>
      <c r="B6477" t="inlineStr">
        <is>
          <t>avverkningsanmälan</t>
        </is>
      </c>
      <c r="C6477" t="inlineStr">
        <is>
          <t>Föryngringsavverkning</t>
        </is>
      </c>
      <c r="D6477" s="1" t="n">
        <v>45217</v>
      </c>
      <c r="E6477" s="1" t="n">
        <v>46319</v>
      </c>
      <c r="F6477" t="inlineStr">
        <is>
          <t>DALARNAS LÄN</t>
        </is>
      </c>
      <c r="G6477" t="inlineStr">
        <is>
          <t>ORSA</t>
        </is>
      </c>
      <c r="I6477" t="n">
        <v>1.1</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A 32332-2024</t>
        </is>
      </c>
      <c r="B6478" t="inlineStr">
        <is>
          <t>avverkningsanmälan</t>
        </is>
      </c>
      <c r="C6478" t="inlineStr">
        <is>
          <t>Föryngringsavverkning</t>
        </is>
      </c>
      <c r="D6478" s="1" t="n">
        <v>45512</v>
      </c>
      <c r="E6478" s="1" t="n">
        <v>46319</v>
      </c>
      <c r="F6478" t="inlineStr">
        <is>
          <t>DALARNAS LÄN</t>
        </is>
      </c>
      <c r="G6478" t="inlineStr">
        <is>
          <t>LUDVIKA</t>
        </is>
      </c>
      <c r="H6478" t="inlineStr">
        <is>
          <t>Bergvik skog väst AB</t>
        </is>
      </c>
      <c r="I6478" t="n">
        <v>2.1</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A 31057-2025</t>
        </is>
      </c>
      <c r="B6479" t="inlineStr">
        <is>
          <t>avverkningsanmälan</t>
        </is>
      </c>
      <c r="C6479" t="inlineStr">
        <is>
          <t>Föryngringsavverkning</t>
        </is>
      </c>
      <c r="D6479" s="1" t="n">
        <v>45832</v>
      </c>
      <c r="E6479" s="1" t="n">
        <v>46319</v>
      </c>
      <c r="F6479" t="inlineStr">
        <is>
          <t>DALARNAS LÄN</t>
        </is>
      </c>
      <c r="G6479" t="inlineStr">
        <is>
          <t>LUDVIKA</t>
        </is>
      </c>
      <c r="H6479" t="inlineStr">
        <is>
          <t>Bergvik skog väst AB</t>
        </is>
      </c>
      <c r="I6479" t="n">
        <v>6.2</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A 33397-2026</t>
        </is>
      </c>
      <c r="B6480" t="inlineStr">
        <is>
          <t>avverkningsanmälan</t>
        </is>
      </c>
      <c r="C6480" t="inlineStr">
        <is>
          <t>Föryngringsavverkning</t>
        </is>
      </c>
      <c r="D6480" s="1" t="n">
        <v>46247</v>
      </c>
      <c r="E6480" s="1" t="n">
        <v>46319</v>
      </c>
      <c r="F6480" t="inlineStr">
        <is>
          <t>DALARNAS LÄN</t>
        </is>
      </c>
      <c r="G6480" t="inlineStr">
        <is>
          <t>LUDVIKA</t>
        </is>
      </c>
      <c r="H6480" t="inlineStr">
        <is>
          <t>Bergvik skog väst AB</t>
        </is>
      </c>
      <c r="I6480" t="n">
        <v>1.8</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A 36021-2025</t>
        </is>
      </c>
      <c r="B6481" t="inlineStr">
        <is>
          <t>avverkningsanmälan</t>
        </is>
      </c>
      <c r="C6481" t="inlineStr">
        <is>
          <t>Föryngringsavverkning</t>
        </is>
      </c>
      <c r="D6481" s="1" t="n">
        <v>45863</v>
      </c>
      <c r="E6481" s="1" t="n">
        <v>46319</v>
      </c>
      <c r="F6481" t="inlineStr">
        <is>
          <t>DALARNAS LÄN</t>
        </is>
      </c>
      <c r="G6481" t="inlineStr">
        <is>
          <t>LEKSAND</t>
        </is>
      </c>
      <c r="I6481" t="n">
        <v>1.9</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A 35900-2025</t>
        </is>
      </c>
      <c r="B6482" t="inlineStr">
        <is>
          <t>avverkningsanmälan</t>
        </is>
      </c>
      <c r="C6482" t="inlineStr">
        <is>
          <t>Föryngringsavverkning</t>
        </is>
      </c>
      <c r="D6482" s="1" t="n">
        <v>45862</v>
      </c>
      <c r="E6482" s="1" t="n">
        <v>46319</v>
      </c>
      <c r="F6482" t="inlineStr">
        <is>
          <t>DALARNAS LÄN</t>
        </is>
      </c>
      <c r="G6482" t="inlineStr">
        <is>
          <t>RÄTTVIK</t>
        </is>
      </c>
      <c r="I6482" t="n">
        <v>1.7</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A 36004-2025</t>
        </is>
      </c>
      <c r="B6483" t="inlineStr">
        <is>
          <t>avverkningsanmälan</t>
        </is>
      </c>
      <c r="C6483" t="inlineStr">
        <is>
          <t>Föryngringsavverkning</t>
        </is>
      </c>
      <c r="D6483" s="1" t="n">
        <v>45863</v>
      </c>
      <c r="E6483" s="1" t="n">
        <v>46319</v>
      </c>
      <c r="F6483" t="inlineStr">
        <is>
          <t>DALARNAS LÄN</t>
        </is>
      </c>
      <c r="G6483" t="inlineStr">
        <is>
          <t>AVESTA</t>
        </is>
      </c>
      <c r="H6483" t="inlineStr">
        <is>
          <t>Sveaskog</t>
        </is>
      </c>
      <c r="I6483" t="n">
        <v>14.1</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A 16861-2026</t>
        </is>
      </c>
      <c r="B6484" t="inlineStr">
        <is>
          <t>avverkningsanmälan</t>
        </is>
      </c>
      <c r="C6484" t="inlineStr">
        <is>
          <t>Föryngringsavverkning</t>
        </is>
      </c>
      <c r="D6484" s="1" t="n">
        <v>46113</v>
      </c>
      <c r="E6484" s="1" t="n">
        <v>46319</v>
      </c>
      <c r="F6484" t="inlineStr">
        <is>
          <t>DALARNAS LÄN</t>
        </is>
      </c>
      <c r="G6484" t="inlineStr">
        <is>
          <t>LEKSAND</t>
        </is>
      </c>
      <c r="I6484" t="n">
        <v>18.9</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A 16669-2026</t>
        </is>
      </c>
      <c r="B6485" t="inlineStr">
        <is>
          <t>avverkningsanmälan</t>
        </is>
      </c>
      <c r="C6485" t="inlineStr">
        <is>
          <t>Föryngringsavverkning</t>
        </is>
      </c>
      <c r="D6485" s="1" t="n">
        <v>46112</v>
      </c>
      <c r="E6485" s="1" t="n">
        <v>46319</v>
      </c>
      <c r="F6485" t="inlineStr">
        <is>
          <t>DALARNAS LÄN</t>
        </is>
      </c>
      <c r="G6485" t="inlineStr">
        <is>
          <t>VANSBRO</t>
        </is>
      </c>
      <c r="H6485" t="inlineStr">
        <is>
          <t>Bergvik skog väst AB</t>
        </is>
      </c>
      <c r="I6485" t="n">
        <v>0.8</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A 16822-2026</t>
        </is>
      </c>
      <c r="B6486" t="inlineStr">
        <is>
          <t>avverkningsanmälan</t>
        </is>
      </c>
      <c r="C6486" t="inlineStr">
        <is>
          <t>Föryngringsavverkning</t>
        </is>
      </c>
      <c r="D6486" s="1" t="n">
        <v>46113</v>
      </c>
      <c r="E6486" s="1" t="n">
        <v>46319</v>
      </c>
      <c r="F6486" t="inlineStr">
        <is>
          <t>DALARNAS LÄN</t>
        </is>
      </c>
      <c r="G6486" t="inlineStr">
        <is>
          <t>AVESTA</t>
        </is>
      </c>
      <c r="I6486" t="n">
        <v>8.4</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A 16827-2026</t>
        </is>
      </c>
      <c r="B6487" t="inlineStr">
        <is>
          <t>avverkningsanmälan</t>
        </is>
      </c>
      <c r="C6487" t="inlineStr">
        <is>
          <t>Föryngringsavverkning</t>
        </is>
      </c>
      <c r="D6487" s="1" t="n">
        <v>46113</v>
      </c>
      <c r="E6487" s="1" t="n">
        <v>46319</v>
      </c>
      <c r="F6487" t="inlineStr">
        <is>
          <t>DALARNAS LÄN</t>
        </is>
      </c>
      <c r="G6487" t="inlineStr">
        <is>
          <t>AVESTA</t>
        </is>
      </c>
      <c r="I6487" t="n">
        <v>5.7</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A 36117-2025</t>
        </is>
      </c>
      <c r="B6488" t="inlineStr">
        <is>
          <t>avverkningsanmälan</t>
        </is>
      </c>
      <c r="C6488" t="inlineStr">
        <is>
          <t>Föryngringsavverkning</t>
        </is>
      </c>
      <c r="D6488" s="1" t="n">
        <v>45866</v>
      </c>
      <c r="E6488" s="1" t="n">
        <v>46319</v>
      </c>
      <c r="F6488" t="inlineStr">
        <is>
          <t>DALARNAS LÄN</t>
        </is>
      </c>
      <c r="G6488" t="inlineStr">
        <is>
          <t>HEDEMORA</t>
        </is>
      </c>
      <c r="H6488" t="inlineStr">
        <is>
          <t>Sveaskog</t>
        </is>
      </c>
      <c r="I6488" t="n">
        <v>1.4</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A 16830-2025</t>
        </is>
      </c>
      <c r="B6489" t="inlineStr">
        <is>
          <t>avverkningsanmälan</t>
        </is>
      </c>
      <c r="C6489" t="inlineStr">
        <is>
          <t>Föryngringsavverkning</t>
        </is>
      </c>
      <c r="D6489" s="1" t="n">
        <v>45754</v>
      </c>
      <c r="E6489" s="1" t="n">
        <v>46319</v>
      </c>
      <c r="F6489" t="inlineStr">
        <is>
          <t>DALARNAS LÄN</t>
        </is>
      </c>
      <c r="G6489" t="inlineStr">
        <is>
          <t>VANSBRO</t>
        </is>
      </c>
      <c r="I6489" t="n">
        <v>2.7</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A 16952-2026</t>
        </is>
      </c>
      <c r="B6490" t="inlineStr">
        <is>
          <t>avverkningsanmälan</t>
        </is>
      </c>
      <c r="C6490" t="inlineStr">
        <is>
          <t>Föryngringsavverkning</t>
        </is>
      </c>
      <c r="D6490" s="1" t="n">
        <v>46114</v>
      </c>
      <c r="E6490" s="1" t="n">
        <v>46319</v>
      </c>
      <c r="F6490" t="inlineStr">
        <is>
          <t>DALARNAS LÄN</t>
        </is>
      </c>
      <c r="G6490" t="inlineStr">
        <is>
          <t>VANSBRO</t>
        </is>
      </c>
      <c r="I6490" t="n">
        <v>1.8</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A 41215-2026</t>
        </is>
      </c>
      <c r="B6491" t="inlineStr">
        <is>
          <t>avverkningsanmälan</t>
        </is>
      </c>
      <c r="C6491" t="inlineStr">
        <is>
          <t>Föryngringsavverkning</t>
        </is>
      </c>
      <c r="D6491" s="1" t="n">
        <v>46297</v>
      </c>
      <c r="E6491" s="1" t="n">
        <v>46319</v>
      </c>
      <c r="F6491" t="inlineStr">
        <is>
          <t>DALARNAS LÄN</t>
        </is>
      </c>
      <c r="G6491" t="inlineStr">
        <is>
          <t>MALUNG-SÄLEN</t>
        </is>
      </c>
      <c r="I6491" t="n">
        <v>0.6</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A 41221-2026</t>
        </is>
      </c>
      <c r="B6492" t="inlineStr">
        <is>
          <t>avverkningsanmälan</t>
        </is>
      </c>
      <c r="C6492" t="inlineStr">
        <is>
          <t>Föryngringsavverkning</t>
        </is>
      </c>
      <c r="D6492" s="1" t="n">
        <v>46297</v>
      </c>
      <c r="E6492" s="1" t="n">
        <v>46319</v>
      </c>
      <c r="F6492" t="inlineStr">
        <is>
          <t>DALARNAS LÄN</t>
        </is>
      </c>
      <c r="G6492" t="inlineStr">
        <is>
          <t>MALUNG-SÄLEN</t>
        </is>
      </c>
      <c r="I6492" t="n">
        <v>6.5</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A 17055-2026</t>
        </is>
      </c>
      <c r="B6493" t="inlineStr">
        <is>
          <t>avverkningsanmälan</t>
        </is>
      </c>
      <c r="C6493" t="inlineStr">
        <is>
          <t>Föryngringsavverkning</t>
        </is>
      </c>
      <c r="D6493" s="1" t="n">
        <v>46114</v>
      </c>
      <c r="E6493" s="1" t="n">
        <v>46319</v>
      </c>
      <c r="F6493" t="inlineStr">
        <is>
          <t>DALARNAS LÄN</t>
        </is>
      </c>
      <c r="G6493" t="inlineStr">
        <is>
          <t>FALUN</t>
        </is>
      </c>
      <c r="H6493" t="inlineStr">
        <is>
          <t>Bergvik skog väst AB</t>
        </is>
      </c>
      <c r="I6493" t="n">
        <v>18.1</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A 36020-2025</t>
        </is>
      </c>
      <c r="B6494" t="inlineStr">
        <is>
          <t>avverkningsanmälan</t>
        </is>
      </c>
      <c r="C6494" t="inlineStr">
        <is>
          <t>Föryngringsavverkning</t>
        </is>
      </c>
      <c r="D6494" s="1" t="n">
        <v>45863</v>
      </c>
      <c r="E6494" s="1" t="n">
        <v>46319</v>
      </c>
      <c r="F6494" t="inlineStr">
        <is>
          <t>DALARNAS LÄN</t>
        </is>
      </c>
      <c r="G6494" t="inlineStr">
        <is>
          <t>LEKSAND</t>
        </is>
      </c>
      <c r="H6494" t="inlineStr">
        <is>
          <t>Bergvik skog väst AB</t>
        </is>
      </c>
      <c r="I6494" t="n">
        <v>2.8</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A 17134-2026</t>
        </is>
      </c>
      <c r="B6495" t="inlineStr">
        <is>
          <t>avverkningsanmälan</t>
        </is>
      </c>
      <c r="C6495" t="inlineStr">
        <is>
          <t>Föryngringsavverkning</t>
        </is>
      </c>
      <c r="D6495" s="1" t="n">
        <v>46114</v>
      </c>
      <c r="E6495" s="1" t="n">
        <v>46319</v>
      </c>
      <c r="F6495" t="inlineStr">
        <is>
          <t>DALARNAS LÄN</t>
        </is>
      </c>
      <c r="G6495" t="inlineStr">
        <is>
          <t>FALUN</t>
        </is>
      </c>
      <c r="I6495" t="n">
        <v>9</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A 17137-2026</t>
        </is>
      </c>
      <c r="B6496" t="inlineStr">
        <is>
          <t>avverkningsanmälan</t>
        </is>
      </c>
      <c r="C6496" t="inlineStr">
        <is>
          <t>Föryngringsavverkning</t>
        </is>
      </c>
      <c r="D6496" s="1" t="n">
        <v>46114</v>
      </c>
      <c r="E6496" s="1" t="n">
        <v>46319</v>
      </c>
      <c r="F6496" t="inlineStr">
        <is>
          <t>DALARNAS LÄN</t>
        </is>
      </c>
      <c r="G6496" t="inlineStr">
        <is>
          <t>FALUN</t>
        </is>
      </c>
      <c r="I6496" t="n">
        <v>1.5</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A 41827-2026</t>
        </is>
      </c>
      <c r="B6497" t="inlineStr">
        <is>
          <t>avverkningsanmälan</t>
        </is>
      </c>
      <c r="C6497" t="inlineStr">
        <is>
          <t>Föryngringsavverkning</t>
        </is>
      </c>
      <c r="D6497" s="1" t="n">
        <v>46303</v>
      </c>
      <c r="E6497" s="1" t="n">
        <v>46319</v>
      </c>
      <c r="F6497" t="inlineStr">
        <is>
          <t>DALARNAS LÄN</t>
        </is>
      </c>
      <c r="G6497" t="inlineStr">
        <is>
          <t>RÄTTVIK</t>
        </is>
      </c>
      <c r="I6497" t="n">
        <v>3.8</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A 17167-2026</t>
        </is>
      </c>
      <c r="B6498" t="inlineStr">
        <is>
          <t>avverkningsanmälan</t>
        </is>
      </c>
      <c r="C6498" t="inlineStr">
        <is>
          <t>Föryngringsavverkning</t>
        </is>
      </c>
      <c r="D6498" s="1" t="n">
        <v>46115</v>
      </c>
      <c r="E6498" s="1" t="n">
        <v>46319</v>
      </c>
      <c r="F6498" t="inlineStr">
        <is>
          <t>DALARNAS LÄN</t>
        </is>
      </c>
      <c r="G6498" t="inlineStr">
        <is>
          <t>BORLÄNGE</t>
        </is>
      </c>
      <c r="I6498" t="n">
        <v>11</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A 11579-2024</t>
        </is>
      </c>
      <c r="B6499" t="inlineStr">
        <is>
          <t>avverkningsanmälan</t>
        </is>
      </c>
      <c r="C6499" t="inlineStr">
        <is>
          <t>Föryngringsavverkning</t>
        </is>
      </c>
      <c r="D6499" s="1" t="n">
        <v>45373</v>
      </c>
      <c r="E6499" s="1" t="n">
        <v>46319</v>
      </c>
      <c r="F6499" t="inlineStr">
        <is>
          <t>DALARNAS LÄN</t>
        </is>
      </c>
      <c r="G6499" t="inlineStr">
        <is>
          <t>FALUN</t>
        </is>
      </c>
      <c r="I6499" t="n">
        <v>0.5</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A 11584-2024</t>
        </is>
      </c>
      <c r="B6500" t="inlineStr">
        <is>
          <t>avverkningsanmälan</t>
        </is>
      </c>
      <c r="C6500" t="inlineStr">
        <is>
          <t>Föryngringsavverkning</t>
        </is>
      </c>
      <c r="D6500" s="1" t="n">
        <v>45373</v>
      </c>
      <c r="E6500" s="1" t="n">
        <v>46319</v>
      </c>
      <c r="F6500" t="inlineStr">
        <is>
          <t>DALARNAS LÄN</t>
        </is>
      </c>
      <c r="G6500" t="inlineStr">
        <is>
          <t>FALUN</t>
        </is>
      </c>
      <c r="H6500" t="inlineStr">
        <is>
          <t>Bergvik skog väst AB</t>
        </is>
      </c>
      <c r="I6500" t="n">
        <v>2.3</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A 36003-2025</t>
        </is>
      </c>
      <c r="B6501" t="inlineStr">
        <is>
          <t>avverkningsanmälan</t>
        </is>
      </c>
      <c r="C6501" t="inlineStr">
        <is>
          <t>Föryngringsavverkning</t>
        </is>
      </c>
      <c r="D6501" s="1" t="n">
        <v>45863</v>
      </c>
      <c r="E6501" s="1" t="n">
        <v>46319</v>
      </c>
      <c r="F6501" t="inlineStr">
        <is>
          <t>DALARNAS LÄN</t>
        </is>
      </c>
      <c r="G6501" t="inlineStr">
        <is>
          <t>AVESTA</t>
        </is>
      </c>
      <c r="H6501" t="inlineStr">
        <is>
          <t>Sveaskog</t>
        </is>
      </c>
      <c r="I6501" t="n">
        <v>1.4</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A 36041-2025</t>
        </is>
      </c>
      <c r="B6502" t="inlineStr">
        <is>
          <t>avverkningsanmälan</t>
        </is>
      </c>
      <c r="C6502" t="inlineStr">
        <is>
          <t>Avverkning för annat ändamål</t>
        </is>
      </c>
      <c r="D6502" s="1" t="n">
        <v>45866</v>
      </c>
      <c r="E6502" s="1" t="n">
        <v>46319</v>
      </c>
      <c r="F6502" t="inlineStr">
        <is>
          <t>DALARNAS LÄN</t>
        </is>
      </c>
      <c r="G6502" t="inlineStr">
        <is>
          <t>MORA</t>
        </is>
      </c>
      <c r="I6502" t="n">
        <v>0.6</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A 17048-2026</t>
        </is>
      </c>
      <c r="B6503" t="inlineStr">
        <is>
          <t>avverkningsanmälan</t>
        </is>
      </c>
      <c r="C6503" t="inlineStr">
        <is>
          <t>Föryngringsavverkning</t>
        </is>
      </c>
      <c r="D6503" s="1" t="n">
        <v>46114</v>
      </c>
      <c r="E6503" s="1" t="n">
        <v>46319</v>
      </c>
      <c r="F6503" t="inlineStr">
        <is>
          <t>DALARNAS LÄN</t>
        </is>
      </c>
      <c r="G6503" t="inlineStr">
        <is>
          <t>FALUN</t>
        </is>
      </c>
      <c r="I6503" t="n">
        <v>0.9</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A 17051-2026</t>
        </is>
      </c>
      <c r="B6504" t="inlineStr">
        <is>
          <t>avverkningsanmälan</t>
        </is>
      </c>
      <c r="C6504" t="inlineStr">
        <is>
          <t>Föryngringsavverkning</t>
        </is>
      </c>
      <c r="D6504" s="1" t="n">
        <v>46114</v>
      </c>
      <c r="E6504" s="1" t="n">
        <v>46319</v>
      </c>
      <c r="F6504" t="inlineStr">
        <is>
          <t>DALARNAS LÄN</t>
        </is>
      </c>
      <c r="G6504" t="inlineStr">
        <is>
          <t>FALUN</t>
        </is>
      </c>
      <c r="I6504" t="n">
        <v>1.2</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A 17054-2026</t>
        </is>
      </c>
      <c r="B6505" t="inlineStr">
        <is>
          <t>avverkningsanmälan</t>
        </is>
      </c>
      <c r="C6505" t="inlineStr">
        <is>
          <t>Föryngringsavverkning</t>
        </is>
      </c>
      <c r="D6505" s="1" t="n">
        <v>46114</v>
      </c>
      <c r="E6505" s="1" t="n">
        <v>46319</v>
      </c>
      <c r="F6505" t="inlineStr">
        <is>
          <t>DALARNAS LÄN</t>
        </is>
      </c>
      <c r="G6505" t="inlineStr">
        <is>
          <t>LUDVIKA</t>
        </is>
      </c>
      <c r="H6505" t="inlineStr">
        <is>
          <t>Bergvik skog väst AB</t>
        </is>
      </c>
      <c r="I6505" t="n">
        <v>7.5</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A 17067-2026</t>
        </is>
      </c>
      <c r="B6506" t="inlineStr">
        <is>
          <t>avverkningsanmälan</t>
        </is>
      </c>
      <c r="C6506" t="inlineStr">
        <is>
          <t>Föryngringsavverkning</t>
        </is>
      </c>
      <c r="D6506" s="1" t="n">
        <v>46114</v>
      </c>
      <c r="E6506" s="1" t="n">
        <v>46319</v>
      </c>
      <c r="F6506" t="inlineStr">
        <is>
          <t>DALARNAS LÄN</t>
        </is>
      </c>
      <c r="G6506" t="inlineStr">
        <is>
          <t>FALUN</t>
        </is>
      </c>
      <c r="I6506" t="n">
        <v>2.3</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A 41783-2026</t>
        </is>
      </c>
      <c r="B6507" t="inlineStr">
        <is>
          <t>avverkningsanmälan</t>
        </is>
      </c>
      <c r="C6507" t="inlineStr">
        <is>
          <t>Föryngringsavverkning</t>
        </is>
      </c>
      <c r="D6507" s="1" t="n">
        <v>46303</v>
      </c>
      <c r="E6507" s="1" t="n">
        <v>46319</v>
      </c>
      <c r="F6507" t="inlineStr">
        <is>
          <t>DALARNAS LÄN</t>
        </is>
      </c>
      <c r="G6507" t="inlineStr">
        <is>
          <t>RÄTTVIK</t>
        </is>
      </c>
      <c r="I6507" t="n">
        <v>1</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A 41784-2026</t>
        </is>
      </c>
      <c r="B6508" t="inlineStr">
        <is>
          <t>avverkningsanmälan</t>
        </is>
      </c>
      <c r="C6508" t="inlineStr">
        <is>
          <t>Föryngringsavverkning</t>
        </is>
      </c>
      <c r="D6508" s="1" t="n">
        <v>46303</v>
      </c>
      <c r="E6508" s="1" t="n">
        <v>46319</v>
      </c>
      <c r="F6508" t="inlineStr">
        <is>
          <t>DALARNAS LÄN</t>
        </is>
      </c>
      <c r="G6508" t="inlineStr">
        <is>
          <t>RÄTTVIK</t>
        </is>
      </c>
      <c r="I6508" t="n">
        <v>2.2</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A 35400-2026</t>
        </is>
      </c>
      <c r="B6509" t="inlineStr">
        <is>
          <t>avverkningsanmälan</t>
        </is>
      </c>
      <c r="C6509" t="inlineStr">
        <is>
          <t>Föryngringsavverkning</t>
        </is>
      </c>
      <c r="D6509" s="1" t="n">
        <v>46261</v>
      </c>
      <c r="E6509" s="1" t="n">
        <v>46319</v>
      </c>
      <c r="F6509" t="inlineStr">
        <is>
          <t>DALARNAS LÄN</t>
        </is>
      </c>
      <c r="G6509" t="inlineStr">
        <is>
          <t>ÄLVDALEN</t>
        </is>
      </c>
      <c r="H6509" t="inlineStr">
        <is>
          <t>Allmännings- och besparingsskogar</t>
        </is>
      </c>
      <c r="I6509" t="n">
        <v>1.2</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A 17041-2026</t>
        </is>
      </c>
      <c r="B6510" t="inlineStr">
        <is>
          <t>avverkningsanmälan</t>
        </is>
      </c>
      <c r="C6510" t="inlineStr">
        <is>
          <t>Föryngringsavverkning</t>
        </is>
      </c>
      <c r="D6510" s="1" t="n">
        <v>46114</v>
      </c>
      <c r="E6510" s="1" t="n">
        <v>46319</v>
      </c>
      <c r="F6510" t="inlineStr">
        <is>
          <t>DALARNAS LÄN</t>
        </is>
      </c>
      <c r="G6510" t="inlineStr">
        <is>
          <t>FALUN</t>
        </is>
      </c>
      <c r="I6510" t="n">
        <v>1.6</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A 36005-2025</t>
        </is>
      </c>
      <c r="B6511" t="inlineStr">
        <is>
          <t>avverkningsanmälan</t>
        </is>
      </c>
      <c r="C6511" t="inlineStr">
        <is>
          <t>Föryngringsavverkning</t>
        </is>
      </c>
      <c r="D6511" s="1" t="n">
        <v>45863</v>
      </c>
      <c r="E6511" s="1" t="n">
        <v>46319</v>
      </c>
      <c r="F6511" t="inlineStr">
        <is>
          <t>DALARNAS LÄN</t>
        </is>
      </c>
      <c r="G6511" t="inlineStr">
        <is>
          <t>AVESTA</t>
        </is>
      </c>
      <c r="H6511" t="inlineStr">
        <is>
          <t>Sveaskog</t>
        </is>
      </c>
      <c r="I6511" t="n">
        <v>5.1</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A 50501-2022</t>
        </is>
      </c>
      <c r="B6512" t="inlineStr">
        <is>
          <t>avverkningsanmälan</t>
        </is>
      </c>
      <c r="C6512" t="inlineStr">
        <is>
          <t>Föryngringsavverkning</t>
        </is>
      </c>
      <c r="D6512" s="1" t="n">
        <v>44866</v>
      </c>
      <c r="E6512" s="1" t="n">
        <v>46319</v>
      </c>
      <c r="F6512" t="inlineStr">
        <is>
          <t>DALARNAS LÄN</t>
        </is>
      </c>
      <c r="G6512" t="inlineStr">
        <is>
          <t>SÄTER</t>
        </is>
      </c>
      <c r="I6512" t="n">
        <v>1.5</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A 17094-2026</t>
        </is>
      </c>
      <c r="B6513" t="inlineStr">
        <is>
          <t>avverkningsanmälan</t>
        </is>
      </c>
      <c r="C6513" t="inlineStr">
        <is>
          <t>Föryngringsavverkning</t>
        </is>
      </c>
      <c r="D6513" s="1" t="n">
        <v>46114</v>
      </c>
      <c r="E6513" s="1" t="n">
        <v>46319</v>
      </c>
      <c r="F6513" t="inlineStr">
        <is>
          <t>DALARNAS LÄN</t>
        </is>
      </c>
      <c r="G6513" t="inlineStr">
        <is>
          <t>ORSA</t>
        </is>
      </c>
      <c r="I6513" t="n">
        <v>1.4</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A 36075-2025</t>
        </is>
      </c>
      <c r="B6514" t="inlineStr">
        <is>
          <t>avverkningsanmälan</t>
        </is>
      </c>
      <c r="C6514" t="inlineStr">
        <is>
          <t>Avverkning för annat ändamål</t>
        </is>
      </c>
      <c r="D6514" s="1" t="n">
        <v>45866</v>
      </c>
      <c r="E6514" s="1" t="n">
        <v>46319</v>
      </c>
      <c r="F6514" t="inlineStr">
        <is>
          <t>DALARNAS LÄN</t>
        </is>
      </c>
      <c r="G6514" t="inlineStr">
        <is>
          <t>HEDEMORA</t>
        </is>
      </c>
      <c r="I6514" t="n">
        <v>0.8</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A 17135-2026</t>
        </is>
      </c>
      <c r="B6515" t="inlineStr">
        <is>
          <t>avverkningsanmälan</t>
        </is>
      </c>
      <c r="C6515" t="inlineStr">
        <is>
          <t>Föryngringsavverkning</t>
        </is>
      </c>
      <c r="D6515" s="1" t="n">
        <v>46114</v>
      </c>
      <c r="E6515" s="1" t="n">
        <v>46319</v>
      </c>
      <c r="F6515" t="inlineStr">
        <is>
          <t>DALARNAS LÄN</t>
        </is>
      </c>
      <c r="G6515" t="inlineStr">
        <is>
          <t>FALUN</t>
        </is>
      </c>
      <c r="I6515" t="n">
        <v>0.9</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A 33936-2024</t>
        </is>
      </c>
      <c r="B6516" t="inlineStr">
        <is>
          <t>avverkningsanmälan</t>
        </is>
      </c>
      <c r="C6516" t="inlineStr">
        <is>
          <t>Föryngringsavverkning</t>
        </is>
      </c>
      <c r="D6516" s="1" t="n">
        <v>45522</v>
      </c>
      <c r="E6516" s="1" t="n">
        <v>46319</v>
      </c>
      <c r="F6516" t="inlineStr">
        <is>
          <t>DALARNAS LÄN</t>
        </is>
      </c>
      <c r="G6516" t="inlineStr">
        <is>
          <t>SMEDJEBACKEN</t>
        </is>
      </c>
      <c r="H6516" t="inlineStr">
        <is>
          <t>Bergvik skog väst AB</t>
        </is>
      </c>
      <c r="I6516" t="n">
        <v>5</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A 5837-2025</t>
        </is>
      </c>
      <c r="B6517" t="inlineStr">
        <is>
          <t>avverkningsanmälan</t>
        </is>
      </c>
      <c r="C6517" t="inlineStr">
        <is>
          <t>Föryngringsavverkning</t>
        </is>
      </c>
      <c r="D6517" s="1" t="n">
        <v>45694</v>
      </c>
      <c r="E6517" s="1" t="n">
        <v>46319</v>
      </c>
      <c r="F6517" t="inlineStr">
        <is>
          <t>DALARNAS LÄN</t>
        </is>
      </c>
      <c r="G6517" t="inlineStr">
        <is>
          <t>MALUNG-SÄLEN</t>
        </is>
      </c>
      <c r="I6517" t="n">
        <v>4.9</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A 16948-2026</t>
        </is>
      </c>
      <c r="B6518" t="inlineStr">
        <is>
          <t>avverkningsanmälan</t>
        </is>
      </c>
      <c r="C6518" t="inlineStr">
        <is>
          <t>Föryngringsavverkning</t>
        </is>
      </c>
      <c r="D6518" s="1" t="n">
        <v>46113</v>
      </c>
      <c r="E6518" s="1" t="n">
        <v>46319</v>
      </c>
      <c r="F6518" t="inlineStr">
        <is>
          <t>DALARNAS LÄN</t>
        </is>
      </c>
      <c r="G6518" t="inlineStr">
        <is>
          <t>VANSBRO</t>
        </is>
      </c>
      <c r="I6518" t="n">
        <v>2.3</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A 17310-2026</t>
        </is>
      </c>
      <c r="B6519" t="inlineStr">
        <is>
          <t>avverkningsanmälan</t>
        </is>
      </c>
      <c r="C6519" t="inlineStr">
        <is>
          <t>Föryngringsavverkning</t>
        </is>
      </c>
      <c r="D6519" s="1" t="n">
        <v>46119</v>
      </c>
      <c r="E6519" s="1" t="n">
        <v>46319</v>
      </c>
      <c r="F6519" t="inlineStr">
        <is>
          <t>DALARNAS LÄN</t>
        </is>
      </c>
      <c r="G6519" t="inlineStr">
        <is>
          <t>FALUN</t>
        </is>
      </c>
      <c r="I6519" t="n">
        <v>0.5</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A 43055-2024</t>
        </is>
      </c>
      <c r="B6520" t="inlineStr">
        <is>
          <t>avverkningsanmälan</t>
        </is>
      </c>
      <c r="C6520" t="inlineStr">
        <is>
          <t>Föryngringsavverkning</t>
        </is>
      </c>
      <c r="D6520" s="1" t="n">
        <v>45567</v>
      </c>
      <c r="E6520" s="1" t="n">
        <v>46319</v>
      </c>
      <c r="F6520" t="inlineStr">
        <is>
          <t>DALARNAS LÄN</t>
        </is>
      </c>
      <c r="G6520" t="inlineStr">
        <is>
          <t>LUDVIKA</t>
        </is>
      </c>
      <c r="H6520" t="inlineStr">
        <is>
          <t>Bergvik skog väst AB</t>
        </is>
      </c>
      <c r="I6520" t="n">
        <v>1.3</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A 15321-2025</t>
        </is>
      </c>
      <c r="B6521" t="inlineStr">
        <is>
          <t>avverkningsanmälan</t>
        </is>
      </c>
      <c r="C6521" t="inlineStr">
        <is>
          <t>Föryngringsavverkning</t>
        </is>
      </c>
      <c r="D6521" s="1" t="n">
        <v>45747</v>
      </c>
      <c r="E6521" s="1" t="n">
        <v>46319</v>
      </c>
      <c r="F6521" t="inlineStr">
        <is>
          <t>DALARNAS LÄN</t>
        </is>
      </c>
      <c r="G6521" t="inlineStr">
        <is>
          <t>SMEDJEBACKEN</t>
        </is>
      </c>
      <c r="I6521" t="n">
        <v>4.2</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A 31809-2022</t>
        </is>
      </c>
      <c r="B6522" t="inlineStr">
        <is>
          <t>avverkningsanmälan</t>
        </is>
      </c>
      <c r="C6522" t="inlineStr">
        <is>
          <t>Föryngringsavverkning</t>
        </is>
      </c>
      <c r="D6522" s="1" t="n">
        <v>44776</v>
      </c>
      <c r="E6522" s="1" t="n">
        <v>46319</v>
      </c>
      <c r="F6522" t="inlineStr">
        <is>
          <t>DALARNAS LÄN</t>
        </is>
      </c>
      <c r="G6522" t="inlineStr">
        <is>
          <t>SMEDJEBACKEN</t>
        </is>
      </c>
      <c r="H6522" t="inlineStr">
        <is>
          <t>Bergvik skog väst AB</t>
        </is>
      </c>
      <c r="I6522" t="n">
        <v>5.5</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A 17356-2026</t>
        </is>
      </c>
      <c r="B6523" t="inlineStr">
        <is>
          <t>avverkningsanmälan</t>
        </is>
      </c>
      <c r="C6523" t="inlineStr">
        <is>
          <t>Föryngringsavverkning</t>
        </is>
      </c>
      <c r="D6523" s="1" t="n">
        <v>46119</v>
      </c>
      <c r="E6523" s="1" t="n">
        <v>46319</v>
      </c>
      <c r="F6523" t="inlineStr">
        <is>
          <t>DALARNAS LÄN</t>
        </is>
      </c>
      <c r="G6523" t="inlineStr">
        <is>
          <t>FALUN</t>
        </is>
      </c>
      <c r="I6523" t="n">
        <v>4.3</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A 17372-2026</t>
        </is>
      </c>
      <c r="B6524" t="inlineStr">
        <is>
          <t>avverkningsanmälan</t>
        </is>
      </c>
      <c r="C6524" t="inlineStr">
        <is>
          <t>Föryngringsavverkning</t>
        </is>
      </c>
      <c r="D6524" s="1" t="n">
        <v>46119</v>
      </c>
      <c r="E6524" s="1" t="n">
        <v>46319</v>
      </c>
      <c r="F6524" t="inlineStr">
        <is>
          <t>DALARNAS LÄN</t>
        </is>
      </c>
      <c r="G6524" t="inlineStr">
        <is>
          <t>FALUN</t>
        </is>
      </c>
      <c r="I6524" t="n">
        <v>0.9</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A 36206-2025</t>
        </is>
      </c>
      <c r="B6525" t="inlineStr">
        <is>
          <t>avverkningsanmälan</t>
        </is>
      </c>
      <c r="C6525" t="inlineStr">
        <is>
          <t>Avverkning för annat ändamål</t>
        </is>
      </c>
      <c r="D6525" s="1" t="n">
        <v>45867</v>
      </c>
      <c r="E6525" s="1" t="n">
        <v>46319</v>
      </c>
      <c r="F6525" t="inlineStr">
        <is>
          <t>DALARNAS LÄN</t>
        </is>
      </c>
      <c r="G6525" t="inlineStr">
        <is>
          <t>HEDEMORA</t>
        </is>
      </c>
      <c r="I6525" t="n">
        <v>0.1</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A 42093-2026</t>
        </is>
      </c>
      <c r="B6526" t="inlineStr">
        <is>
          <t>avverkningsanmälan</t>
        </is>
      </c>
      <c r="C6526" t="inlineStr">
        <is>
          <t>Föryngringsavverkning</t>
        </is>
      </c>
      <c r="D6526" s="1" t="n">
        <v>46304</v>
      </c>
      <c r="E6526" s="1" t="n">
        <v>46319</v>
      </c>
      <c r="F6526" t="inlineStr">
        <is>
          <t>DALARNAS LÄN</t>
        </is>
      </c>
      <c r="G6526" t="inlineStr">
        <is>
          <t>FALUN</t>
        </is>
      </c>
      <c r="H6526" t="inlineStr">
        <is>
          <t>Bergvik skog väst AB</t>
        </is>
      </c>
      <c r="I6526" t="n">
        <v>1.8</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A 17212-2026</t>
        </is>
      </c>
      <c r="B6527" t="inlineStr">
        <is>
          <t>avverkningsanmälan</t>
        </is>
      </c>
      <c r="C6527" t="inlineStr">
        <is>
          <t>Föryngringsavverkning</t>
        </is>
      </c>
      <c r="D6527" s="1" t="n">
        <v>46119</v>
      </c>
      <c r="E6527" s="1" t="n">
        <v>46319</v>
      </c>
      <c r="F6527" t="inlineStr">
        <is>
          <t>DALARNAS LÄN</t>
        </is>
      </c>
      <c r="G6527" t="inlineStr">
        <is>
          <t>FALUN</t>
        </is>
      </c>
      <c r="I6527" t="n">
        <v>3.8</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A 17245-2026</t>
        </is>
      </c>
      <c r="B6528" t="inlineStr">
        <is>
          <t>avverkningsanmälan</t>
        </is>
      </c>
      <c r="C6528" t="inlineStr">
        <is>
          <t>Föryngringsavverkning</t>
        </is>
      </c>
      <c r="D6528" s="1" t="n">
        <v>46119</v>
      </c>
      <c r="E6528" s="1" t="n">
        <v>46319</v>
      </c>
      <c r="F6528" t="inlineStr">
        <is>
          <t>DALARNAS LÄN</t>
        </is>
      </c>
      <c r="G6528" t="inlineStr">
        <is>
          <t>LUDVIKA</t>
        </is>
      </c>
      <c r="H6528" t="inlineStr">
        <is>
          <t>Naturvårdsverket</t>
        </is>
      </c>
      <c r="I6528" t="n">
        <v>19.8</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A 17290-2026</t>
        </is>
      </c>
      <c r="B6529" t="inlineStr">
        <is>
          <t>avverkningsanmälan</t>
        </is>
      </c>
      <c r="C6529" t="inlineStr">
        <is>
          <t>Föryngringsavverkning</t>
        </is>
      </c>
      <c r="D6529" s="1" t="n">
        <v>46119</v>
      </c>
      <c r="E6529" s="1" t="n">
        <v>46319</v>
      </c>
      <c r="F6529" t="inlineStr">
        <is>
          <t>DALARNAS LÄN</t>
        </is>
      </c>
      <c r="G6529" t="inlineStr">
        <is>
          <t>LEKSAND</t>
        </is>
      </c>
      <c r="I6529" t="n">
        <v>2.2</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A 34374-2022</t>
        </is>
      </c>
      <c r="B6530" t="inlineStr">
        <is>
          <t>avverkningsanmälan</t>
        </is>
      </c>
      <c r="C6530" t="inlineStr">
        <is>
          <t>Föryngringsavverkning</t>
        </is>
      </c>
      <c r="D6530" s="1" t="n">
        <v>44792</v>
      </c>
      <c r="E6530" s="1" t="n">
        <v>46319</v>
      </c>
      <c r="F6530" t="inlineStr">
        <is>
          <t>DALARNAS LÄN</t>
        </is>
      </c>
      <c r="G6530" t="inlineStr">
        <is>
          <t>SMEDJEBACKEN</t>
        </is>
      </c>
      <c r="H6530" t="inlineStr">
        <is>
          <t>Sveaskog</t>
        </is>
      </c>
      <c r="I6530" t="n">
        <v>4.9</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A 35307-2026</t>
        </is>
      </c>
      <c r="B6531" t="inlineStr">
        <is>
          <t>avverkningsanmälan</t>
        </is>
      </c>
      <c r="C6531" t="inlineStr">
        <is>
          <t>Föryngringsavverkning</t>
        </is>
      </c>
      <c r="D6531" s="1" t="n">
        <v>46261</v>
      </c>
      <c r="E6531" s="1" t="n">
        <v>46319</v>
      </c>
      <c r="F6531" t="inlineStr">
        <is>
          <t>DALARNAS LÄN</t>
        </is>
      </c>
      <c r="G6531" t="inlineStr">
        <is>
          <t>ORSA</t>
        </is>
      </c>
      <c r="H6531" t="inlineStr">
        <is>
          <t>Bergvik skog öst AB</t>
        </is>
      </c>
      <c r="I6531" t="n">
        <v>4.5</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A 32820-2024</t>
        </is>
      </c>
      <c r="B6532" t="inlineStr">
        <is>
          <t>avverkningsanmälan</t>
        </is>
      </c>
      <c r="C6532" t="inlineStr">
        <is>
          <t>Föryngringsavverkning</t>
        </is>
      </c>
      <c r="D6532" s="1" t="n">
        <v>45516</v>
      </c>
      <c r="E6532" s="1" t="n">
        <v>46319</v>
      </c>
      <c r="F6532" t="inlineStr">
        <is>
          <t>DALARNAS LÄN</t>
        </is>
      </c>
      <c r="G6532" t="inlineStr">
        <is>
          <t>VANSBRO</t>
        </is>
      </c>
      <c r="I6532" t="n">
        <v>7.1</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A 17253-2026</t>
        </is>
      </c>
      <c r="B6533" t="inlineStr">
        <is>
          <t>avverkningsanmälan</t>
        </is>
      </c>
      <c r="C6533" t="inlineStr">
        <is>
          <t>Föryngringsavverkning</t>
        </is>
      </c>
      <c r="D6533" s="1" t="n">
        <v>46119</v>
      </c>
      <c r="E6533" s="1" t="n">
        <v>46319</v>
      </c>
      <c r="F6533" t="inlineStr">
        <is>
          <t>DALARNAS LÄN</t>
        </is>
      </c>
      <c r="G6533" t="inlineStr">
        <is>
          <t>SÄTER</t>
        </is>
      </c>
      <c r="H6533" t="inlineStr">
        <is>
          <t>Kommuner</t>
        </is>
      </c>
      <c r="I6533" t="n">
        <v>1</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A 17296-2026</t>
        </is>
      </c>
      <c r="B6534" t="inlineStr">
        <is>
          <t>avverkningsanmälan</t>
        </is>
      </c>
      <c r="C6534" t="inlineStr">
        <is>
          <t>Föryngringsavverkning</t>
        </is>
      </c>
      <c r="D6534" s="1" t="n">
        <v>46119</v>
      </c>
      <c r="E6534" s="1" t="n">
        <v>46319</v>
      </c>
      <c r="F6534" t="inlineStr">
        <is>
          <t>DALARNAS LÄN</t>
        </is>
      </c>
      <c r="G6534" t="inlineStr">
        <is>
          <t>FALUN</t>
        </is>
      </c>
      <c r="H6534" t="inlineStr">
        <is>
          <t>Bergvik skog väst AB</t>
        </is>
      </c>
      <c r="I6534" t="n">
        <v>3.5</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A 17284-2026</t>
        </is>
      </c>
      <c r="B6535" t="inlineStr">
        <is>
          <t>avverkningsanmälan</t>
        </is>
      </c>
      <c r="C6535" t="inlineStr">
        <is>
          <t>Föryngringsavverkning</t>
        </is>
      </c>
      <c r="D6535" s="1" t="n">
        <v>46119</v>
      </c>
      <c r="E6535" s="1" t="n">
        <v>46319</v>
      </c>
      <c r="F6535" t="inlineStr">
        <is>
          <t>DALARNAS LÄN</t>
        </is>
      </c>
      <c r="G6535" t="inlineStr">
        <is>
          <t>FALUN</t>
        </is>
      </c>
      <c r="H6535" t="inlineStr">
        <is>
          <t>Bergvik skog väst AB</t>
        </is>
      </c>
      <c r="I6535" t="n">
        <v>15.9</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A 17321-2026</t>
        </is>
      </c>
      <c r="B6536" t="inlineStr">
        <is>
          <t>avverkningsanmälan</t>
        </is>
      </c>
      <c r="C6536" t="inlineStr">
        <is>
          <t>Föryngringsavverkning</t>
        </is>
      </c>
      <c r="D6536" s="1" t="n">
        <v>46119</v>
      </c>
      <c r="E6536" s="1" t="n">
        <v>46319</v>
      </c>
      <c r="F6536" t="inlineStr">
        <is>
          <t>DALARNAS LÄN</t>
        </is>
      </c>
      <c r="G6536" t="inlineStr">
        <is>
          <t>VANSBRO</t>
        </is>
      </c>
      <c r="H6536" t="inlineStr">
        <is>
          <t>Bergvik skog väst AB</t>
        </is>
      </c>
      <c r="I6536" t="n">
        <v>3.6</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A 18096-2024</t>
        </is>
      </c>
      <c r="B6537" t="inlineStr">
        <is>
          <t>avverkningsanmälan</t>
        </is>
      </c>
      <c r="C6537" t="inlineStr">
        <is>
          <t>Föryngringsavverkning</t>
        </is>
      </c>
      <c r="D6537" s="1" t="n">
        <v>45420</v>
      </c>
      <c r="E6537" s="1" t="n">
        <v>46319</v>
      </c>
      <c r="F6537" t="inlineStr">
        <is>
          <t>DALARNAS LÄN</t>
        </is>
      </c>
      <c r="G6537" t="inlineStr">
        <is>
          <t>SMEDJEBACKEN</t>
        </is>
      </c>
      <c r="H6537" t="inlineStr">
        <is>
          <t>Sveaskog</t>
        </is>
      </c>
      <c r="I6537" t="n">
        <v>4.9</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A 17558-2024</t>
        </is>
      </c>
      <c r="B6538" t="inlineStr">
        <is>
          <t>avverkningsanmälan</t>
        </is>
      </c>
      <c r="C6538" t="inlineStr">
        <is>
          <t>Föryngringsavverkning</t>
        </is>
      </c>
      <c r="D6538" s="1" t="n">
        <v>45415</v>
      </c>
      <c r="E6538" s="1" t="n">
        <v>46319</v>
      </c>
      <c r="F6538" t="inlineStr">
        <is>
          <t>DALARNAS LÄN</t>
        </is>
      </c>
      <c r="G6538" t="inlineStr">
        <is>
          <t>ÄLVDALEN</t>
        </is>
      </c>
      <c r="I6538" t="n">
        <v>2.2</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A 35385-2026</t>
        </is>
      </c>
      <c r="B6539" t="inlineStr">
        <is>
          <t>avverkningsanmälan</t>
        </is>
      </c>
      <c r="C6539" t="inlineStr">
        <is>
          <t>Föryngringsavverkning</t>
        </is>
      </c>
      <c r="D6539" s="1" t="n">
        <v>46261</v>
      </c>
      <c r="E6539" s="1" t="n">
        <v>46319</v>
      </c>
      <c r="F6539" t="inlineStr">
        <is>
          <t>DALARNAS LÄN</t>
        </is>
      </c>
      <c r="G6539" t="inlineStr">
        <is>
          <t>SÄTER</t>
        </is>
      </c>
      <c r="I6539" t="n">
        <v>0.7</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A 17371-2026</t>
        </is>
      </c>
      <c r="B6540" t="inlineStr">
        <is>
          <t>avverkningsanmälan</t>
        </is>
      </c>
      <c r="C6540" t="inlineStr">
        <is>
          <t>Föryngringsavverkning</t>
        </is>
      </c>
      <c r="D6540" s="1" t="n">
        <v>46119</v>
      </c>
      <c r="E6540" s="1" t="n">
        <v>46319</v>
      </c>
      <c r="F6540" t="inlineStr">
        <is>
          <t>DALARNAS LÄN</t>
        </is>
      </c>
      <c r="G6540" t="inlineStr">
        <is>
          <t>FALUN</t>
        </is>
      </c>
      <c r="I6540" t="n">
        <v>2.3</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A 17335-2026</t>
        </is>
      </c>
      <c r="B6541" t="inlineStr">
        <is>
          <t>avverkningsanmälan</t>
        </is>
      </c>
      <c r="C6541" t="inlineStr">
        <is>
          <t>Föryngringsavverkning</t>
        </is>
      </c>
      <c r="D6541" s="1" t="n">
        <v>46119</v>
      </c>
      <c r="E6541" s="1" t="n">
        <v>46319</v>
      </c>
      <c r="F6541" t="inlineStr">
        <is>
          <t>DALARNAS LÄN</t>
        </is>
      </c>
      <c r="G6541" t="inlineStr">
        <is>
          <t>SMEDJEBACKEN</t>
        </is>
      </c>
      <c r="H6541" t="inlineStr">
        <is>
          <t>Sveaskog</t>
        </is>
      </c>
      <c r="I6541" t="n">
        <v>7.7</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A 36171-2025</t>
        </is>
      </c>
      <c r="B6542" t="inlineStr">
        <is>
          <t>avverkningsanmälan</t>
        </is>
      </c>
      <c r="C6542" t="inlineStr">
        <is>
          <t>Föryngringsavverkning</t>
        </is>
      </c>
      <c r="D6542" s="1" t="n">
        <v>45867</v>
      </c>
      <c r="E6542" s="1" t="n">
        <v>46319</v>
      </c>
      <c r="F6542" t="inlineStr">
        <is>
          <t>DALARNAS LÄN</t>
        </is>
      </c>
      <c r="G6542" t="inlineStr">
        <is>
          <t>SMEDJEBACKEN</t>
        </is>
      </c>
      <c r="I6542" t="n">
        <v>3.7</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A 36178-2025</t>
        </is>
      </c>
      <c r="B6543" t="inlineStr">
        <is>
          <t>avverkningsanmälan</t>
        </is>
      </c>
      <c r="C6543" t="inlineStr">
        <is>
          <t>Föryngringsavverkning</t>
        </is>
      </c>
      <c r="D6543" s="1" t="n">
        <v>45867</v>
      </c>
      <c r="E6543" s="1" t="n">
        <v>46319</v>
      </c>
      <c r="F6543" t="inlineStr">
        <is>
          <t>DALARNAS LÄN</t>
        </is>
      </c>
      <c r="G6543" t="inlineStr">
        <is>
          <t>AVESTA</t>
        </is>
      </c>
      <c r="I6543" t="n">
        <v>1.3</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A 17677-2022</t>
        </is>
      </c>
      <c r="B6544" t="inlineStr">
        <is>
          <t>avverkningsanmälan</t>
        </is>
      </c>
      <c r="C6544" t="inlineStr">
        <is>
          <t>Föryngringsavverkning</t>
        </is>
      </c>
      <c r="D6544" s="1" t="n">
        <v>44680</v>
      </c>
      <c r="E6544" s="1" t="n">
        <v>46319</v>
      </c>
      <c r="F6544" t="inlineStr">
        <is>
          <t>DALARNAS LÄN</t>
        </is>
      </c>
      <c r="G6544" t="inlineStr">
        <is>
          <t>LUDVIKA</t>
        </is>
      </c>
      <c r="H6544" t="inlineStr">
        <is>
          <t>Bergvik skog väst AB</t>
        </is>
      </c>
      <c r="I6544" t="n">
        <v>5.5</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A 41967-2026</t>
        </is>
      </c>
      <c r="B6545" t="inlineStr">
        <is>
          <t>avverkningsanmälan</t>
        </is>
      </c>
      <c r="C6545" t="inlineStr">
        <is>
          <t>Föryngringsavverkning</t>
        </is>
      </c>
      <c r="D6545" s="1" t="n">
        <v>46303</v>
      </c>
      <c r="E6545" s="1" t="n">
        <v>46319</v>
      </c>
      <c r="F6545" t="inlineStr">
        <is>
          <t>DALARNAS LÄN</t>
        </is>
      </c>
      <c r="G6545" t="inlineStr">
        <is>
          <t>MALUNG-SÄLEN</t>
        </is>
      </c>
      <c r="I6545" t="n">
        <v>7.5</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A 17266-2026</t>
        </is>
      </c>
      <c r="B6546" t="inlineStr">
        <is>
          <t>avverkningsanmälan</t>
        </is>
      </c>
      <c r="C6546" t="inlineStr">
        <is>
          <t>Föryngringsavverkning</t>
        </is>
      </c>
      <c r="D6546" s="1" t="n">
        <v>46119</v>
      </c>
      <c r="E6546" s="1" t="n">
        <v>46319</v>
      </c>
      <c r="F6546" t="inlineStr">
        <is>
          <t>DALARNAS LÄN</t>
        </is>
      </c>
      <c r="G6546" t="inlineStr">
        <is>
          <t>BORLÄNGE</t>
        </is>
      </c>
      <c r="I6546" t="n">
        <v>1.5</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A 32167-2024</t>
        </is>
      </c>
      <c r="B6547" t="inlineStr">
        <is>
          <t>avverkningsanmälan</t>
        </is>
      </c>
      <c r="C6547" t="inlineStr">
        <is>
          <t>Avverkning för att bevara och utveckla /försöksver</t>
        </is>
      </c>
      <c r="D6547" s="1" t="n">
        <v>45511</v>
      </c>
      <c r="E6547" s="1" t="n">
        <v>46319</v>
      </c>
      <c r="F6547" t="inlineStr">
        <is>
          <t>DALARNAS LÄN</t>
        </is>
      </c>
      <c r="G6547" t="inlineStr">
        <is>
          <t>MALUNG-SÄLEN</t>
        </is>
      </c>
      <c r="I6547" t="n">
        <v>1.9</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A 17337-2026</t>
        </is>
      </c>
      <c r="B6548" t="inlineStr">
        <is>
          <t>avverkningsanmälan</t>
        </is>
      </c>
      <c r="C6548" t="inlineStr">
        <is>
          <t>Föryngringsavverkning</t>
        </is>
      </c>
      <c r="D6548" s="1" t="n">
        <v>46119</v>
      </c>
      <c r="E6548" s="1" t="n">
        <v>46319</v>
      </c>
      <c r="F6548" t="inlineStr">
        <is>
          <t>DALARNAS LÄN</t>
        </is>
      </c>
      <c r="G6548" t="inlineStr">
        <is>
          <t>SMEDJEBACKEN</t>
        </is>
      </c>
      <c r="H6548" t="inlineStr">
        <is>
          <t>Sveaskog</t>
        </is>
      </c>
      <c r="I6548" t="n">
        <v>7.4</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A 29734-2026</t>
        </is>
      </c>
      <c r="B6549" t="inlineStr">
        <is>
          <t>avverkningsanmälan</t>
        </is>
      </c>
      <c r="C6549" t="inlineStr">
        <is>
          <t>Föryngringsavverkning</t>
        </is>
      </c>
      <c r="D6549" s="1" t="n">
        <v>46204</v>
      </c>
      <c r="E6549" s="1" t="n">
        <v>46319</v>
      </c>
      <c r="F6549" t="inlineStr">
        <is>
          <t>DALARNAS LÄN</t>
        </is>
      </c>
      <c r="G6549" t="inlineStr">
        <is>
          <t>LUDVIKA</t>
        </is>
      </c>
      <c r="H6549" t="inlineStr">
        <is>
          <t>Bergvik skog väst AB</t>
        </is>
      </c>
      <c r="I6549" t="n">
        <v>3.5</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A 36261-2025</t>
        </is>
      </c>
      <c r="B6550" t="inlineStr">
        <is>
          <t>avverkningsanmälan</t>
        </is>
      </c>
      <c r="C6550" t="inlineStr">
        <is>
          <t>Föryngringsavverkning</t>
        </is>
      </c>
      <c r="D6550" s="1" t="n">
        <v>45867</v>
      </c>
      <c r="E6550" s="1" t="n">
        <v>46319</v>
      </c>
      <c r="F6550" t="inlineStr">
        <is>
          <t>DALARNAS LÄN</t>
        </is>
      </c>
      <c r="G6550" t="inlineStr">
        <is>
          <t>MALUNG-SÄLEN</t>
        </is>
      </c>
      <c r="I6550" t="n">
        <v>1.8</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A 36382-2025</t>
        </is>
      </c>
      <c r="B6551" t="inlineStr">
        <is>
          <t>avverkningsanmälan</t>
        </is>
      </c>
      <c r="C6551" t="inlineStr">
        <is>
          <t>Föryngringsavverkning</t>
        </is>
      </c>
      <c r="D6551" s="1" t="n">
        <v>45868</v>
      </c>
      <c r="E6551" s="1" t="n">
        <v>46319</v>
      </c>
      <c r="F6551" t="inlineStr">
        <is>
          <t>DALARNAS LÄN</t>
        </is>
      </c>
      <c r="G6551" t="inlineStr">
        <is>
          <t>VANSBRO</t>
        </is>
      </c>
      <c r="H6551" t="inlineStr">
        <is>
          <t>Bergvik skog öst AB</t>
        </is>
      </c>
      <c r="I6551" t="n">
        <v>1.3</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A 35179-2026</t>
        </is>
      </c>
      <c r="B6552" t="inlineStr">
        <is>
          <t>avverkningsanmälan</t>
        </is>
      </c>
      <c r="C6552" t="inlineStr">
        <is>
          <t>Föryngringsavverkning</t>
        </is>
      </c>
      <c r="D6552" s="1" t="n">
        <v>46260</v>
      </c>
      <c r="E6552" s="1" t="n">
        <v>46319</v>
      </c>
      <c r="F6552" t="inlineStr">
        <is>
          <t>DALARNAS LÄN</t>
        </is>
      </c>
      <c r="G6552" t="inlineStr">
        <is>
          <t>LUDVIKA</t>
        </is>
      </c>
      <c r="I6552" t="n">
        <v>1</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A 36271-2025</t>
        </is>
      </c>
      <c r="B6553" t="inlineStr">
        <is>
          <t>avverkningsanmälan</t>
        </is>
      </c>
      <c r="C6553" t="inlineStr">
        <is>
          <t>Föryngringsavverkning</t>
        </is>
      </c>
      <c r="D6553" s="1" t="n">
        <v>45867</v>
      </c>
      <c r="E6553" s="1" t="n">
        <v>46319</v>
      </c>
      <c r="F6553" t="inlineStr">
        <is>
          <t>DALARNAS LÄN</t>
        </is>
      </c>
      <c r="G6553" t="inlineStr">
        <is>
          <t>FALUN</t>
        </is>
      </c>
      <c r="H6553" t="inlineStr">
        <is>
          <t>Bergvik skog väst AB</t>
        </is>
      </c>
      <c r="I6553" t="n">
        <v>2.6</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A 36549-2025</t>
        </is>
      </c>
      <c r="B6554" t="inlineStr">
        <is>
          <t>avverkningsanmälan</t>
        </is>
      </c>
      <c r="C6554" t="inlineStr">
        <is>
          <t>Föryngringsavverkning</t>
        </is>
      </c>
      <c r="D6554" s="1" t="n">
        <v>45870</v>
      </c>
      <c r="E6554" s="1" t="n">
        <v>46319</v>
      </c>
      <c r="F6554" t="inlineStr">
        <is>
          <t>DALARNAS LÄN</t>
        </is>
      </c>
      <c r="G6554" t="inlineStr">
        <is>
          <t>SÄTER</t>
        </is>
      </c>
      <c r="I6554" t="n">
        <v>1.4</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A 41785-2026</t>
        </is>
      </c>
      <c r="B6555" t="inlineStr">
        <is>
          <t>avverkningsanmälan</t>
        </is>
      </c>
      <c r="C6555" t="inlineStr">
        <is>
          <t>Föryngringsavverkning</t>
        </is>
      </c>
      <c r="D6555" s="1" t="n">
        <v>46303</v>
      </c>
      <c r="E6555" s="1" t="n">
        <v>46319</v>
      </c>
      <c r="F6555" t="inlineStr">
        <is>
          <t>DALARNAS LÄN</t>
        </is>
      </c>
      <c r="G6555" t="inlineStr">
        <is>
          <t>RÄTTVIK</t>
        </is>
      </c>
      <c r="I6555" t="n">
        <v>1.6</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A 36570-2025</t>
        </is>
      </c>
      <c r="B6556" t="inlineStr">
        <is>
          <t>avverkningsanmälan</t>
        </is>
      </c>
      <c r="C6556" t="inlineStr">
        <is>
          <t>Föryngringsavverkning</t>
        </is>
      </c>
      <c r="D6556" s="1" t="n">
        <v>45870</v>
      </c>
      <c r="E6556" s="1" t="n">
        <v>46319</v>
      </c>
      <c r="F6556" t="inlineStr">
        <is>
          <t>DALARNAS LÄN</t>
        </is>
      </c>
      <c r="G6556" t="inlineStr">
        <is>
          <t>ORSA</t>
        </is>
      </c>
      <c r="H6556" t="inlineStr">
        <is>
          <t>Bergvik skog öst AB</t>
        </is>
      </c>
      <c r="I6556" t="n">
        <v>2.2</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A 17406-2026</t>
        </is>
      </c>
      <c r="B6557" t="inlineStr">
        <is>
          <t>avverkningsanmälan</t>
        </is>
      </c>
      <c r="C6557" t="inlineStr">
        <is>
          <t>Föryngringsavverkning</t>
        </is>
      </c>
      <c r="D6557" s="1" t="n">
        <v>46120</v>
      </c>
      <c r="E6557" s="1" t="n">
        <v>46319</v>
      </c>
      <c r="F6557" t="inlineStr">
        <is>
          <t>DALARNAS LÄN</t>
        </is>
      </c>
      <c r="G6557" t="inlineStr">
        <is>
          <t>FALUN</t>
        </is>
      </c>
      <c r="H6557" t="inlineStr">
        <is>
          <t>Bergvik skog väst AB</t>
        </is>
      </c>
      <c r="I6557" t="n">
        <v>1.8</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A 44597-2023</t>
        </is>
      </c>
      <c r="B6558" t="inlineStr">
        <is>
          <t>avverkningsanmälan</t>
        </is>
      </c>
      <c r="C6558" t="inlineStr">
        <is>
          <t>Avverkning för annat ändamål</t>
        </is>
      </c>
      <c r="D6558" s="1" t="n">
        <v>45189</v>
      </c>
      <c r="E6558" s="1" t="n">
        <v>46319</v>
      </c>
      <c r="F6558" t="inlineStr">
        <is>
          <t>DALARNAS LÄN</t>
        </is>
      </c>
      <c r="G6558" t="inlineStr">
        <is>
          <t>FALUN</t>
        </is>
      </c>
      <c r="I6558" t="n">
        <v>0.8</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A 17625-2026</t>
        </is>
      </c>
      <c r="B6559" t="inlineStr">
        <is>
          <t>avverkningsanmälan</t>
        </is>
      </c>
      <c r="C6559" t="inlineStr">
        <is>
          <t>Föryngringsavverkning</t>
        </is>
      </c>
      <c r="D6559" s="1" t="n">
        <v>46121</v>
      </c>
      <c r="E6559" s="1" t="n">
        <v>46319</v>
      </c>
      <c r="F6559" t="inlineStr">
        <is>
          <t>DALARNAS LÄN</t>
        </is>
      </c>
      <c r="G6559" t="inlineStr">
        <is>
          <t>FALUN</t>
        </is>
      </c>
      <c r="I6559" t="n">
        <v>0.9</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A 55811-2022</t>
        </is>
      </c>
      <c r="B6560" t="inlineStr">
        <is>
          <t>avverkningsanmälan</t>
        </is>
      </c>
      <c r="C6560" t="inlineStr">
        <is>
          <t>Föryngringsavverkning</t>
        </is>
      </c>
      <c r="D6560" s="1" t="n">
        <v>44888</v>
      </c>
      <c r="E6560" s="1" t="n">
        <v>46319</v>
      </c>
      <c r="F6560" t="inlineStr">
        <is>
          <t>DALARNAS LÄN</t>
        </is>
      </c>
      <c r="G6560" t="inlineStr">
        <is>
          <t>SMEDJEBACKEN</t>
        </is>
      </c>
      <c r="I6560" t="n">
        <v>1.3</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A 44471-2024</t>
        </is>
      </c>
      <c r="B6561" t="inlineStr">
        <is>
          <t>avverkningsanmälan</t>
        </is>
      </c>
      <c r="C6561" t="inlineStr">
        <is>
          <t>Föryngringsavverkning</t>
        </is>
      </c>
      <c r="D6561" s="1" t="n">
        <v>45574</v>
      </c>
      <c r="E6561" s="1" t="n">
        <v>46319</v>
      </c>
      <c r="F6561" t="inlineStr">
        <is>
          <t>DALARNAS LÄN</t>
        </is>
      </c>
      <c r="G6561" t="inlineStr">
        <is>
          <t>AVESTA</t>
        </is>
      </c>
      <c r="I6561" t="n">
        <v>1.7</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A 41858-2026</t>
        </is>
      </c>
      <c r="B6562" t="inlineStr">
        <is>
          <t>avverkningsanmälan</t>
        </is>
      </c>
      <c r="C6562" t="inlineStr">
        <is>
          <t>Föryngringsavverkning</t>
        </is>
      </c>
      <c r="D6562" s="1" t="n">
        <v>46303</v>
      </c>
      <c r="E6562" s="1" t="n">
        <v>46319</v>
      </c>
      <c r="F6562" t="inlineStr">
        <is>
          <t>DALARNAS LÄN</t>
        </is>
      </c>
      <c r="G6562" t="inlineStr">
        <is>
          <t>VANSBRO</t>
        </is>
      </c>
      <c r="H6562" t="inlineStr">
        <is>
          <t>Bergvik skog öst AB</t>
        </is>
      </c>
      <c r="I6562" t="n">
        <v>4.8</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A 17805-2026</t>
        </is>
      </c>
      <c r="B6563" t="inlineStr">
        <is>
          <t>avverkningsanmälan</t>
        </is>
      </c>
      <c r="C6563" t="inlineStr">
        <is>
          <t>Föryngringsavverkning</t>
        </is>
      </c>
      <c r="D6563" s="1" t="n">
        <v>46121</v>
      </c>
      <c r="E6563" s="1" t="n">
        <v>46319</v>
      </c>
      <c r="F6563" t="inlineStr">
        <is>
          <t>DALARNAS LÄN</t>
        </is>
      </c>
      <c r="G6563" t="inlineStr">
        <is>
          <t>MORA</t>
        </is>
      </c>
      <c r="I6563" t="n">
        <v>1.3</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A 58244-2024</t>
        </is>
      </c>
      <c r="B6564" t="inlineStr">
        <is>
          <t>avverkningsanmälan</t>
        </is>
      </c>
      <c r="C6564" t="inlineStr">
        <is>
          <t>Föryngringsavverkning</t>
        </is>
      </c>
      <c r="D6564" s="1" t="n">
        <v>45631</v>
      </c>
      <c r="E6564" s="1" t="n">
        <v>46319</v>
      </c>
      <c r="F6564" t="inlineStr">
        <is>
          <t>DALARNAS LÄN</t>
        </is>
      </c>
      <c r="G6564" t="inlineStr">
        <is>
          <t>LEKSAND</t>
        </is>
      </c>
      <c r="I6564" t="n">
        <v>1.9</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A 36437-2025</t>
        </is>
      </c>
      <c r="B6565" t="inlineStr">
        <is>
          <t>avverkningsanmälan</t>
        </is>
      </c>
      <c r="C6565" t="inlineStr">
        <is>
          <t>Föryngringsavverkning</t>
        </is>
      </c>
      <c r="D6565" s="1" t="n">
        <v>45869</v>
      </c>
      <c r="E6565" s="1" t="n">
        <v>46319</v>
      </c>
      <c r="F6565" t="inlineStr">
        <is>
          <t>DALARNAS LÄN</t>
        </is>
      </c>
      <c r="G6565" t="inlineStr">
        <is>
          <t>LUDVIKA</t>
        </is>
      </c>
      <c r="H6565" t="inlineStr">
        <is>
          <t>Bergvik skog väst AB</t>
        </is>
      </c>
      <c r="I6565" t="n">
        <v>0.6</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A 17553-2026</t>
        </is>
      </c>
      <c r="B6566" t="inlineStr">
        <is>
          <t>avverkningsanmälan</t>
        </is>
      </c>
      <c r="C6566" t="inlineStr">
        <is>
          <t>Föryngringsavverkning</t>
        </is>
      </c>
      <c r="D6566" s="1" t="n">
        <v>46120</v>
      </c>
      <c r="E6566" s="1" t="n">
        <v>46319</v>
      </c>
      <c r="F6566" t="inlineStr">
        <is>
          <t>DALARNAS LÄN</t>
        </is>
      </c>
      <c r="G6566" t="inlineStr">
        <is>
          <t>VANSBRO</t>
        </is>
      </c>
      <c r="I6566" t="n">
        <v>1.4</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A 17630-2026</t>
        </is>
      </c>
      <c r="B6567" t="inlineStr">
        <is>
          <t>avverkningsanmälan</t>
        </is>
      </c>
      <c r="C6567" t="inlineStr">
        <is>
          <t>Föryngringsavverkning</t>
        </is>
      </c>
      <c r="D6567" s="1" t="n">
        <v>46121</v>
      </c>
      <c r="E6567" s="1" t="n">
        <v>46319</v>
      </c>
      <c r="F6567" t="inlineStr">
        <is>
          <t>DALARNAS LÄN</t>
        </is>
      </c>
      <c r="G6567" t="inlineStr">
        <is>
          <t>FALUN</t>
        </is>
      </c>
      <c r="I6567" t="n">
        <v>2.6</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A 35286-2026</t>
        </is>
      </c>
      <c r="B6568" t="inlineStr">
        <is>
          <t>avverkningsanmälan</t>
        </is>
      </c>
      <c r="C6568" t="inlineStr">
        <is>
          <t>Föryngringsavverkning</t>
        </is>
      </c>
      <c r="D6568" s="1" t="n">
        <v>46261</v>
      </c>
      <c r="E6568" s="1" t="n">
        <v>46319</v>
      </c>
      <c r="F6568" t="inlineStr">
        <is>
          <t>DALARNAS LÄN</t>
        </is>
      </c>
      <c r="G6568" t="inlineStr">
        <is>
          <t>RÄTTVIK</t>
        </is>
      </c>
      <c r="H6568" t="inlineStr">
        <is>
          <t>Bergvik skog väst AB</t>
        </is>
      </c>
      <c r="I6568" t="n">
        <v>3.4</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A 35288-2026</t>
        </is>
      </c>
      <c r="B6569" t="inlineStr">
        <is>
          <t>avverkningsanmälan</t>
        </is>
      </c>
      <c r="C6569" t="inlineStr">
        <is>
          <t>Föryngringsavverkning</t>
        </is>
      </c>
      <c r="D6569" s="1" t="n">
        <v>46261</v>
      </c>
      <c r="E6569" s="1" t="n">
        <v>46319</v>
      </c>
      <c r="F6569" t="inlineStr">
        <is>
          <t>DALARNAS LÄN</t>
        </is>
      </c>
      <c r="G6569" t="inlineStr">
        <is>
          <t>RÄTTVIK</t>
        </is>
      </c>
      <c r="H6569" t="inlineStr">
        <is>
          <t>Bergvik skog väst AB</t>
        </is>
      </c>
      <c r="I6569" t="n">
        <v>7.1</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A 17609-2026</t>
        </is>
      </c>
      <c r="B6570" t="inlineStr">
        <is>
          <t>avverkningsanmälan</t>
        </is>
      </c>
      <c r="C6570" t="inlineStr">
        <is>
          <t>Föryngringsavverkning</t>
        </is>
      </c>
      <c r="D6570" s="1" t="n">
        <v>46121</v>
      </c>
      <c r="E6570" s="1" t="n">
        <v>46319</v>
      </c>
      <c r="F6570" t="inlineStr">
        <is>
          <t>DALARNAS LÄN</t>
        </is>
      </c>
      <c r="G6570" t="inlineStr">
        <is>
          <t>VANSBRO</t>
        </is>
      </c>
      <c r="I6570" t="n">
        <v>1.6</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A 17629-2026</t>
        </is>
      </c>
      <c r="B6571" t="inlineStr">
        <is>
          <t>avverkningsanmälan</t>
        </is>
      </c>
      <c r="C6571" t="inlineStr">
        <is>
          <t>Föryngringsavverkning</t>
        </is>
      </c>
      <c r="D6571" s="1" t="n">
        <v>46121</v>
      </c>
      <c r="E6571" s="1" t="n">
        <v>46319</v>
      </c>
      <c r="F6571" t="inlineStr">
        <is>
          <t>DALARNAS LÄN</t>
        </is>
      </c>
      <c r="G6571" t="inlineStr">
        <is>
          <t>FALUN</t>
        </is>
      </c>
      <c r="I6571" t="n">
        <v>1.1</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A 36897-2025</t>
        </is>
      </c>
      <c r="B6572" t="inlineStr">
        <is>
          <t>avverkningsanmälan</t>
        </is>
      </c>
      <c r="C6572" t="inlineStr">
        <is>
          <t>Föryngringsavverkning</t>
        </is>
      </c>
      <c r="D6572" s="1" t="n">
        <v>45874</v>
      </c>
      <c r="E6572" s="1" t="n">
        <v>46319</v>
      </c>
      <c r="F6572" t="inlineStr">
        <is>
          <t>DALARNAS LÄN</t>
        </is>
      </c>
      <c r="G6572" t="inlineStr">
        <is>
          <t>RÄTTVIK</t>
        </is>
      </c>
      <c r="H6572" t="inlineStr">
        <is>
          <t>Bergvik skog väst AB</t>
        </is>
      </c>
      <c r="I6572" t="n">
        <v>1</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A 17613-2026</t>
        </is>
      </c>
      <c r="B6573" t="inlineStr">
        <is>
          <t>avverkningsanmälan</t>
        </is>
      </c>
      <c r="C6573" t="inlineStr">
        <is>
          <t>Föryngringsavverkning</t>
        </is>
      </c>
      <c r="D6573" s="1" t="n">
        <v>46121</v>
      </c>
      <c r="E6573" s="1" t="n">
        <v>46319</v>
      </c>
      <c r="F6573" t="inlineStr">
        <is>
          <t>DALARNAS LÄN</t>
        </is>
      </c>
      <c r="G6573" t="inlineStr">
        <is>
          <t>VANSBRO</t>
        </is>
      </c>
      <c r="I6573" t="n">
        <v>4</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A 17658-2026</t>
        </is>
      </c>
      <c r="B6574" t="inlineStr">
        <is>
          <t>avverkningsanmälan</t>
        </is>
      </c>
      <c r="C6574" t="inlineStr">
        <is>
          <t>Föryngringsavverkning</t>
        </is>
      </c>
      <c r="D6574" s="1" t="n">
        <v>46121</v>
      </c>
      <c r="E6574" s="1" t="n">
        <v>46319</v>
      </c>
      <c r="F6574" t="inlineStr">
        <is>
          <t>DALARNAS LÄN</t>
        </is>
      </c>
      <c r="G6574" t="inlineStr">
        <is>
          <t>MALUNG-SÄLEN</t>
        </is>
      </c>
      <c r="H6574" t="inlineStr">
        <is>
          <t>Bergvik skog öst AB</t>
        </is>
      </c>
      <c r="I6574" t="n">
        <v>1.3</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A 41937-2026</t>
        </is>
      </c>
      <c r="B6575" t="inlineStr">
        <is>
          <t>avverkningsanmälan</t>
        </is>
      </c>
      <c r="C6575" t="inlineStr">
        <is>
          <t>Föryngringsavverkning</t>
        </is>
      </c>
      <c r="D6575" s="1" t="n">
        <v>46303</v>
      </c>
      <c r="E6575" s="1" t="n">
        <v>46319</v>
      </c>
      <c r="F6575" t="inlineStr">
        <is>
          <t>DALARNAS LÄN</t>
        </is>
      </c>
      <c r="G6575" t="inlineStr">
        <is>
          <t>FALUN</t>
        </is>
      </c>
      <c r="I6575" t="n">
        <v>3.1</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A 17393-2026</t>
        </is>
      </c>
      <c r="B6576" t="inlineStr">
        <is>
          <t>avverkningsanmälan</t>
        </is>
      </c>
      <c r="C6576" t="inlineStr">
        <is>
          <t>Föryngringsavverkning</t>
        </is>
      </c>
      <c r="D6576" s="1" t="n">
        <v>46119</v>
      </c>
      <c r="E6576" s="1" t="n">
        <v>46319</v>
      </c>
      <c r="F6576" t="inlineStr">
        <is>
          <t>DALARNAS LÄN</t>
        </is>
      </c>
      <c r="G6576" t="inlineStr">
        <is>
          <t>MORA</t>
        </is>
      </c>
      <c r="H6576" t="inlineStr">
        <is>
          <t>Bergvik skog öst AB</t>
        </is>
      </c>
      <c r="I6576" t="n">
        <v>2.8</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A 41822-2026</t>
        </is>
      </c>
      <c r="B6577" t="inlineStr">
        <is>
          <t>avverkningsanmälan</t>
        </is>
      </c>
      <c r="C6577" t="inlineStr">
        <is>
          <t>Föryngringsavverkning</t>
        </is>
      </c>
      <c r="D6577" s="1" t="n">
        <v>46303</v>
      </c>
      <c r="E6577" s="1" t="n">
        <v>46319</v>
      </c>
      <c r="F6577" t="inlineStr">
        <is>
          <t>DALARNAS LÄN</t>
        </is>
      </c>
      <c r="G6577" t="inlineStr">
        <is>
          <t>RÄTTVIK</t>
        </is>
      </c>
      <c r="I6577" t="n">
        <v>3.1</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A 17552-2026</t>
        </is>
      </c>
      <c r="B6578" t="inlineStr">
        <is>
          <t>avverkningsanmälan</t>
        </is>
      </c>
      <c r="C6578" t="inlineStr">
        <is>
          <t>Föryngringsavverkning</t>
        </is>
      </c>
      <c r="D6578" s="1" t="n">
        <v>46120</v>
      </c>
      <c r="E6578" s="1" t="n">
        <v>46319</v>
      </c>
      <c r="F6578" t="inlineStr">
        <is>
          <t>DALARNAS LÄN</t>
        </is>
      </c>
      <c r="G6578" t="inlineStr">
        <is>
          <t>VANSBRO</t>
        </is>
      </c>
      <c r="I6578" t="n">
        <v>1.8</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A 39006-2024</t>
        </is>
      </c>
      <c r="B6579" t="inlineStr">
        <is>
          <t>avverkningsanmälan</t>
        </is>
      </c>
      <c r="C6579" t="inlineStr">
        <is>
          <t>Föryngringsavverkning</t>
        </is>
      </c>
      <c r="D6579" s="1" t="n">
        <v>45548</v>
      </c>
      <c r="E6579" s="1" t="n">
        <v>46319</v>
      </c>
      <c r="F6579" t="inlineStr">
        <is>
          <t>DALARNAS LÄN</t>
        </is>
      </c>
      <c r="G6579" t="inlineStr">
        <is>
          <t>ÄLVDALEN</t>
        </is>
      </c>
      <c r="I6579" t="n">
        <v>2.3</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A 17581-2026</t>
        </is>
      </c>
      <c r="B6580" t="inlineStr">
        <is>
          <t>avverkningsanmälan</t>
        </is>
      </c>
      <c r="C6580" t="inlineStr">
        <is>
          <t>Föryngringsavverkning</t>
        </is>
      </c>
      <c r="D6580" s="1" t="n">
        <v>46121</v>
      </c>
      <c r="E6580" s="1" t="n">
        <v>46319</v>
      </c>
      <c r="F6580" t="inlineStr">
        <is>
          <t>DALARNAS LÄN</t>
        </is>
      </c>
      <c r="G6580" t="inlineStr">
        <is>
          <t>FALUN</t>
        </is>
      </c>
      <c r="I6580" t="n">
        <v>0.9</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A 17593-2026</t>
        </is>
      </c>
      <c r="B6581" t="inlineStr">
        <is>
          <t>avverkningsanmälan</t>
        </is>
      </c>
      <c r="C6581" t="inlineStr">
        <is>
          <t>Föryngringsavverkning</t>
        </is>
      </c>
      <c r="D6581" s="1" t="n">
        <v>46121</v>
      </c>
      <c r="E6581" s="1" t="n">
        <v>46319</v>
      </c>
      <c r="F6581" t="inlineStr">
        <is>
          <t>DALARNAS LÄN</t>
        </is>
      </c>
      <c r="G6581" t="inlineStr">
        <is>
          <t>FALUN</t>
        </is>
      </c>
      <c r="I6581" t="n">
        <v>1</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A 17551-2026</t>
        </is>
      </c>
      <c r="B6582" t="inlineStr">
        <is>
          <t>avverkningsanmälan</t>
        </is>
      </c>
      <c r="C6582" t="inlineStr">
        <is>
          <t>Föryngringsavverkning</t>
        </is>
      </c>
      <c r="D6582" s="1" t="n">
        <v>46120</v>
      </c>
      <c r="E6582" s="1" t="n">
        <v>46319</v>
      </c>
      <c r="F6582" t="inlineStr">
        <is>
          <t>DALARNAS LÄN</t>
        </is>
      </c>
      <c r="G6582" t="inlineStr">
        <is>
          <t>VANSBRO</t>
        </is>
      </c>
      <c r="I6582" t="n">
        <v>2.8</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A 45152-2024</t>
        </is>
      </c>
      <c r="B6583" t="inlineStr">
        <is>
          <t>avverkningsanmälan</t>
        </is>
      </c>
      <c r="C6583" t="inlineStr">
        <is>
          <t>Föryngringsavverkning</t>
        </is>
      </c>
      <c r="D6583" s="1" t="n">
        <v>45575</v>
      </c>
      <c r="E6583" s="1" t="n">
        <v>46319</v>
      </c>
      <c r="F6583" t="inlineStr">
        <is>
          <t>DALARNAS LÄN</t>
        </is>
      </c>
      <c r="G6583" t="inlineStr">
        <is>
          <t>SMEDJEBACKEN</t>
        </is>
      </c>
      <c r="H6583" t="inlineStr">
        <is>
          <t>Sveaskog</t>
        </is>
      </c>
      <c r="I6583" t="n">
        <v>2.7</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A 42022-2026</t>
        </is>
      </c>
      <c r="B6584" t="inlineStr">
        <is>
          <t>avverkningsanmälan</t>
        </is>
      </c>
      <c r="C6584" t="inlineStr">
        <is>
          <t>Föryngringsavverkning</t>
        </is>
      </c>
      <c r="D6584" s="1" t="n">
        <v>46304</v>
      </c>
      <c r="E6584" s="1" t="n">
        <v>46319</v>
      </c>
      <c r="F6584" t="inlineStr">
        <is>
          <t>DALARNAS LÄN</t>
        </is>
      </c>
      <c r="G6584" t="inlineStr">
        <is>
          <t>RÄTTVIK</t>
        </is>
      </c>
      <c r="I6584" t="n">
        <v>1.4</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A 17590-2026</t>
        </is>
      </c>
      <c r="B6585" t="inlineStr">
        <is>
          <t>avverkningsanmälan</t>
        </is>
      </c>
      <c r="C6585" t="inlineStr">
        <is>
          <t>Föryngringsavverkning</t>
        </is>
      </c>
      <c r="D6585" s="1" t="n">
        <v>46121</v>
      </c>
      <c r="E6585" s="1" t="n">
        <v>46319</v>
      </c>
      <c r="F6585" t="inlineStr">
        <is>
          <t>DALARNAS LÄN</t>
        </is>
      </c>
      <c r="G6585" t="inlineStr">
        <is>
          <t>LEKSAND</t>
        </is>
      </c>
      <c r="H6585" t="inlineStr">
        <is>
          <t>Övriga Aktiebolag</t>
        </is>
      </c>
      <c r="I6585" t="n">
        <v>1.2</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A 39514-2026</t>
        </is>
      </c>
      <c r="B6586" t="inlineStr">
        <is>
          <t>avverkningsanmälan</t>
        </is>
      </c>
      <c r="C6586" t="inlineStr">
        <is>
          <t>Föryngringsavverkning</t>
        </is>
      </c>
      <c r="D6586" s="1" t="n">
        <v>46289</v>
      </c>
      <c r="E6586" s="1" t="n">
        <v>46319</v>
      </c>
      <c r="F6586" t="inlineStr">
        <is>
          <t>DALARNAS LÄN</t>
        </is>
      </c>
      <c r="G6586" t="inlineStr">
        <is>
          <t>FALUN</t>
        </is>
      </c>
      <c r="I6586" t="n">
        <v>3.4</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A 35096-2026</t>
        </is>
      </c>
      <c r="B6587" t="inlineStr">
        <is>
          <t>avverkningsanmälan</t>
        </is>
      </c>
      <c r="C6587" t="inlineStr">
        <is>
          <t>Föryngringsavverkning</t>
        </is>
      </c>
      <c r="D6587" s="1" t="n">
        <v>46260</v>
      </c>
      <c r="E6587" s="1" t="n">
        <v>46319</v>
      </c>
      <c r="F6587" t="inlineStr">
        <is>
          <t>DALARNAS LÄN</t>
        </is>
      </c>
      <c r="G6587" t="inlineStr">
        <is>
          <t>ÄLVDALEN</t>
        </is>
      </c>
      <c r="I6587" t="n">
        <v>1.7</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A 10222-2026</t>
        </is>
      </c>
      <c r="B6588" t="inlineStr">
        <is>
          <t>avverkningsanmälan</t>
        </is>
      </c>
      <c r="C6588" t="inlineStr">
        <is>
          <t>Föryngringsavverkning</t>
        </is>
      </c>
      <c r="D6588" s="1" t="n">
        <v>46076</v>
      </c>
      <c r="E6588" s="1" t="n">
        <v>46319</v>
      </c>
      <c r="F6588" t="inlineStr">
        <is>
          <t>DALARNAS LÄN</t>
        </is>
      </c>
      <c r="G6588" t="inlineStr">
        <is>
          <t>SÄTER</t>
        </is>
      </c>
      <c r="I6588" t="n">
        <v>15.2</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A 17604-2026</t>
        </is>
      </c>
      <c r="B6589" t="inlineStr">
        <is>
          <t>avverkningsanmälan</t>
        </is>
      </c>
      <c r="C6589" t="inlineStr">
        <is>
          <t>Föryngringsavverkning</t>
        </is>
      </c>
      <c r="D6589" s="1" t="n">
        <v>46121</v>
      </c>
      <c r="E6589" s="1" t="n">
        <v>46319</v>
      </c>
      <c r="F6589" t="inlineStr">
        <is>
          <t>DALARNAS LÄN</t>
        </is>
      </c>
      <c r="G6589" t="inlineStr">
        <is>
          <t>VANSBRO</t>
        </is>
      </c>
      <c r="I6589" t="n">
        <v>0.5</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A 17619-2026</t>
        </is>
      </c>
      <c r="B6590" t="inlineStr">
        <is>
          <t>avverkningsanmälan</t>
        </is>
      </c>
      <c r="C6590" t="inlineStr">
        <is>
          <t>Föryngringsavverkning</t>
        </is>
      </c>
      <c r="D6590" s="1" t="n">
        <v>46121</v>
      </c>
      <c r="E6590" s="1" t="n">
        <v>46319</v>
      </c>
      <c r="F6590" t="inlineStr">
        <is>
          <t>DALARNAS LÄN</t>
        </is>
      </c>
      <c r="G6590" t="inlineStr">
        <is>
          <t>FALUN</t>
        </is>
      </c>
      <c r="I6590" t="n">
        <v>2.7</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A 6151-2024</t>
        </is>
      </c>
      <c r="B6591" t="inlineStr">
        <is>
          <t>avverkningsanmälan</t>
        </is>
      </c>
      <c r="C6591" t="inlineStr">
        <is>
          <t>Föryngringsavverkning</t>
        </is>
      </c>
      <c r="D6591" s="1" t="n">
        <v>45337</v>
      </c>
      <c r="E6591" s="1" t="n">
        <v>46319</v>
      </c>
      <c r="F6591" t="inlineStr">
        <is>
          <t>DALARNAS LÄN</t>
        </is>
      </c>
      <c r="G6591" t="inlineStr">
        <is>
          <t>LUDVIKA</t>
        </is>
      </c>
      <c r="I6591" t="n">
        <v>1.7</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A 7344-2024</t>
        </is>
      </c>
      <c r="B6592" t="inlineStr">
        <is>
          <t>avverkningsanmälan</t>
        </is>
      </c>
      <c r="C6592" t="inlineStr">
        <is>
          <t>Föryngringsavverkning</t>
        </is>
      </c>
      <c r="D6592" s="1" t="n">
        <v>45345</v>
      </c>
      <c r="E6592" s="1" t="n">
        <v>46319</v>
      </c>
      <c r="F6592" t="inlineStr">
        <is>
          <t>DALARNAS LÄN</t>
        </is>
      </c>
      <c r="G6592" t="inlineStr">
        <is>
          <t>GAGNEF</t>
        </is>
      </c>
      <c r="I6592" t="n">
        <v>2.3</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A 41921-2026</t>
        </is>
      </c>
      <c r="B6593" t="inlineStr">
        <is>
          <t>avverkningsanmälan</t>
        </is>
      </c>
      <c r="C6593" t="inlineStr">
        <is>
          <t>Föryngringsavverkning</t>
        </is>
      </c>
      <c r="D6593" s="1" t="n">
        <v>46303</v>
      </c>
      <c r="E6593" s="1" t="n">
        <v>46319</v>
      </c>
      <c r="F6593" t="inlineStr">
        <is>
          <t>DALARNAS LÄN</t>
        </is>
      </c>
      <c r="G6593" t="inlineStr">
        <is>
          <t>VANSBRO</t>
        </is>
      </c>
      <c r="I6593" t="n">
        <v>0.8</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A 36830-2025</t>
        </is>
      </c>
      <c r="B6594" t="inlineStr">
        <is>
          <t>avverkningsanmälan</t>
        </is>
      </c>
      <c r="C6594" t="inlineStr">
        <is>
          <t>Föryngringsavverkning</t>
        </is>
      </c>
      <c r="D6594" s="1" t="n">
        <v>45874</v>
      </c>
      <c r="E6594" s="1" t="n">
        <v>46319</v>
      </c>
      <c r="F6594" t="inlineStr">
        <is>
          <t>DALARNAS LÄN</t>
        </is>
      </c>
      <c r="G6594" t="inlineStr">
        <is>
          <t>ÄLVDALEN</t>
        </is>
      </c>
      <c r="H6594" t="inlineStr">
        <is>
          <t>Bergvik skog väst AB</t>
        </is>
      </c>
      <c r="I6594" t="n">
        <v>5</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A 52418-2023</t>
        </is>
      </c>
      <c r="B6595" t="inlineStr">
        <is>
          <t>avverkningsanmälan</t>
        </is>
      </c>
      <c r="C6595" t="inlineStr">
        <is>
          <t>Föryngringsavverkning</t>
        </is>
      </c>
      <c r="D6595" s="1" t="n">
        <v>45225</v>
      </c>
      <c r="E6595" s="1" t="n">
        <v>46319</v>
      </c>
      <c r="F6595" t="inlineStr">
        <is>
          <t>DALARNAS LÄN</t>
        </is>
      </c>
      <c r="G6595" t="inlineStr">
        <is>
          <t>MALUNG-SÄLEN</t>
        </is>
      </c>
      <c r="I6595" t="n">
        <v>2.8</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A 17732-2026</t>
        </is>
      </c>
      <c r="B6596" t="inlineStr">
        <is>
          <t>avverkningsanmälan</t>
        </is>
      </c>
      <c r="C6596" t="inlineStr">
        <is>
          <t>Föryngringsavverkning</t>
        </is>
      </c>
      <c r="D6596" s="1" t="n">
        <v>46121</v>
      </c>
      <c r="E6596" s="1" t="n">
        <v>46319</v>
      </c>
      <c r="F6596" t="inlineStr">
        <is>
          <t>DALARNAS LÄN</t>
        </is>
      </c>
      <c r="G6596" t="inlineStr">
        <is>
          <t>GAGNEF</t>
        </is>
      </c>
      <c r="I6596" t="n">
        <v>1</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A 35105-2026</t>
        </is>
      </c>
      <c r="B6597" t="inlineStr">
        <is>
          <t>avverkningsanmälan</t>
        </is>
      </c>
      <c r="C6597" t="inlineStr">
        <is>
          <t>Föryngringsavverkning</t>
        </is>
      </c>
      <c r="D6597" s="1" t="n">
        <v>46260</v>
      </c>
      <c r="E6597" s="1" t="n">
        <v>46319</v>
      </c>
      <c r="F6597" t="inlineStr">
        <is>
          <t>DALARNAS LÄN</t>
        </is>
      </c>
      <c r="G6597" t="inlineStr">
        <is>
          <t>LUDVIKA</t>
        </is>
      </c>
      <c r="I6597" t="n">
        <v>0.3</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A 35109-2026</t>
        </is>
      </c>
      <c r="B6598" t="inlineStr">
        <is>
          <t>avverkningsanmälan</t>
        </is>
      </c>
      <c r="C6598" t="inlineStr">
        <is>
          <t>Föryngringsavverkning</t>
        </is>
      </c>
      <c r="D6598" s="1" t="n">
        <v>46260</v>
      </c>
      <c r="E6598" s="1" t="n">
        <v>46319</v>
      </c>
      <c r="F6598" t="inlineStr">
        <is>
          <t>DALARNAS LÄN</t>
        </is>
      </c>
      <c r="G6598" t="inlineStr">
        <is>
          <t>FALUN</t>
        </is>
      </c>
      <c r="I6598" t="n">
        <v>6.7</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A 17881-2026</t>
        </is>
      </c>
      <c r="B6599" t="inlineStr">
        <is>
          <t>avverkningsanmälan</t>
        </is>
      </c>
      <c r="C6599" t="inlineStr">
        <is>
          <t>Föryngringsavverkning</t>
        </is>
      </c>
      <c r="D6599" s="1" t="n">
        <v>46122</v>
      </c>
      <c r="E6599" s="1" t="n">
        <v>46319</v>
      </c>
      <c r="F6599" t="inlineStr">
        <is>
          <t>DALARNAS LÄN</t>
        </is>
      </c>
      <c r="G6599" t="inlineStr">
        <is>
          <t>FALUN</t>
        </is>
      </c>
      <c r="I6599" t="n">
        <v>1.6</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A 17868-2026</t>
        </is>
      </c>
      <c r="B6600" t="inlineStr">
        <is>
          <t>avverkningsanmälan</t>
        </is>
      </c>
      <c r="C6600" t="inlineStr">
        <is>
          <t>Föryngringsavverkning</t>
        </is>
      </c>
      <c r="D6600" s="1" t="n">
        <v>46122</v>
      </c>
      <c r="E6600" s="1" t="n">
        <v>46319</v>
      </c>
      <c r="F6600" t="inlineStr">
        <is>
          <t>DALARNAS LÄN</t>
        </is>
      </c>
      <c r="G6600" t="inlineStr">
        <is>
          <t>SMEDJEBACKEN</t>
        </is>
      </c>
      <c r="H6600" t="inlineStr">
        <is>
          <t>Sveaskog</t>
        </is>
      </c>
      <c r="I6600" t="n">
        <v>1.3</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A 17883-2026</t>
        </is>
      </c>
      <c r="B6601" t="inlineStr">
        <is>
          <t>avverkningsanmälan</t>
        </is>
      </c>
      <c r="C6601" t="inlineStr">
        <is>
          <t>Föryngringsavverkning</t>
        </is>
      </c>
      <c r="D6601" s="1" t="n">
        <v>46122</v>
      </c>
      <c r="E6601" s="1" t="n">
        <v>46319</v>
      </c>
      <c r="F6601" t="inlineStr">
        <is>
          <t>DALARNAS LÄN</t>
        </is>
      </c>
      <c r="G6601" t="inlineStr">
        <is>
          <t>FALUN</t>
        </is>
      </c>
      <c r="H6601" t="inlineStr">
        <is>
          <t>Bergvik skog väst AB</t>
        </is>
      </c>
      <c r="I6601" t="n">
        <v>36.7</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A 18013-2026</t>
        </is>
      </c>
      <c r="B6602" t="inlineStr">
        <is>
          <t>avverkningsanmälan</t>
        </is>
      </c>
      <c r="C6602" t="inlineStr">
        <is>
          <t>Föryngringsavverkning</t>
        </is>
      </c>
      <c r="D6602" s="1" t="n">
        <v>46125</v>
      </c>
      <c r="E6602" s="1" t="n">
        <v>46319</v>
      </c>
      <c r="F6602" t="inlineStr">
        <is>
          <t>DALARNAS LÄN</t>
        </is>
      </c>
      <c r="G6602" t="inlineStr">
        <is>
          <t>ORSA</t>
        </is>
      </c>
      <c r="H6602" t="inlineStr">
        <is>
          <t>Allmännings- och besparingsskogar</t>
        </is>
      </c>
      <c r="I6602" t="n">
        <v>2.7</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A 17756-2026</t>
        </is>
      </c>
      <c r="B6603" t="inlineStr">
        <is>
          <t>avverkningsanmälan</t>
        </is>
      </c>
      <c r="C6603" t="inlineStr">
        <is>
          <t>Föryngringsavverkning</t>
        </is>
      </c>
      <c r="D6603" s="1" t="n">
        <v>46122</v>
      </c>
      <c r="E6603" s="1" t="n">
        <v>46319</v>
      </c>
      <c r="F6603" t="inlineStr">
        <is>
          <t>DALARNAS LÄN</t>
        </is>
      </c>
      <c r="G6603" t="inlineStr">
        <is>
          <t>MORA</t>
        </is>
      </c>
      <c r="I6603" t="n">
        <v>0.6</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A 18115-2026</t>
        </is>
      </c>
      <c r="B6604" t="inlineStr">
        <is>
          <t>avverkningsanmälan</t>
        </is>
      </c>
      <c r="C6604" t="inlineStr">
        <is>
          <t>Föryngringsavverkning</t>
        </is>
      </c>
      <c r="D6604" s="1" t="n">
        <v>46125</v>
      </c>
      <c r="E6604" s="1" t="n">
        <v>46319</v>
      </c>
      <c r="F6604" t="inlineStr">
        <is>
          <t>DALARNAS LÄN</t>
        </is>
      </c>
      <c r="G6604" t="inlineStr">
        <is>
          <t>FALUN</t>
        </is>
      </c>
      <c r="I6604" t="n">
        <v>1</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A 18015-2026</t>
        </is>
      </c>
      <c r="B6605" t="inlineStr">
        <is>
          <t>avverkningsanmälan</t>
        </is>
      </c>
      <c r="C6605" t="inlineStr">
        <is>
          <t>Avverkning för annat ändamål</t>
        </is>
      </c>
      <c r="D6605" s="1" t="n">
        <v>46125</v>
      </c>
      <c r="E6605" s="1" t="n">
        <v>46319</v>
      </c>
      <c r="F6605" t="inlineStr">
        <is>
          <t>DALARNAS LÄN</t>
        </is>
      </c>
      <c r="G6605" t="inlineStr">
        <is>
          <t>HEDEMORA</t>
        </is>
      </c>
      <c r="I6605" t="n">
        <v>0.3</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A 36879-2025</t>
        </is>
      </c>
      <c r="B6606" t="inlineStr">
        <is>
          <t>avverkningsanmälan</t>
        </is>
      </c>
      <c r="C6606" t="inlineStr">
        <is>
          <t>Föryngringsavverkning</t>
        </is>
      </c>
      <c r="D6606" s="1" t="n">
        <v>45874</v>
      </c>
      <c r="E6606" s="1" t="n">
        <v>46319</v>
      </c>
      <c r="F6606" t="inlineStr">
        <is>
          <t>DALARNAS LÄN</t>
        </is>
      </c>
      <c r="G6606" t="inlineStr">
        <is>
          <t>RÄTTVIK</t>
        </is>
      </c>
      <c r="H6606" t="inlineStr">
        <is>
          <t>Bergvik skog väst AB</t>
        </is>
      </c>
      <c r="I6606" t="n">
        <v>2.1</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A 17879-2026</t>
        </is>
      </c>
      <c r="B6607" t="inlineStr">
        <is>
          <t>avverkningsanmälan</t>
        </is>
      </c>
      <c r="C6607" t="inlineStr">
        <is>
          <t>Föryngringsavverkning</t>
        </is>
      </c>
      <c r="D6607" s="1" t="n">
        <v>46122</v>
      </c>
      <c r="E6607" s="1" t="n">
        <v>46319</v>
      </c>
      <c r="F6607" t="inlineStr">
        <is>
          <t>DALARNAS LÄN</t>
        </is>
      </c>
      <c r="G6607" t="inlineStr">
        <is>
          <t>LUDVIKA</t>
        </is>
      </c>
      <c r="H6607" t="inlineStr">
        <is>
          <t>Bergvik skog väst AB</t>
        </is>
      </c>
      <c r="I6607" t="n">
        <v>7.2</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A 18012-2026</t>
        </is>
      </c>
      <c r="B6608" t="inlineStr">
        <is>
          <t>avverkningsanmälan</t>
        </is>
      </c>
      <c r="C6608" t="inlineStr">
        <is>
          <t>Föryngringsavverkning</t>
        </is>
      </c>
      <c r="D6608" s="1" t="n">
        <v>46125</v>
      </c>
      <c r="E6608" s="1" t="n">
        <v>46319</v>
      </c>
      <c r="F6608" t="inlineStr">
        <is>
          <t>DALARNAS LÄN</t>
        </is>
      </c>
      <c r="G6608" t="inlineStr">
        <is>
          <t>FALUN</t>
        </is>
      </c>
      <c r="H6608" t="inlineStr">
        <is>
          <t>Bergvik skog väst AB</t>
        </is>
      </c>
      <c r="I6608" t="n">
        <v>39</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A 35232-2026</t>
        </is>
      </c>
      <c r="B6609" t="inlineStr">
        <is>
          <t>avverkningsanmälan</t>
        </is>
      </c>
      <c r="C6609" t="inlineStr">
        <is>
          <t>Föryngringsavverkning</t>
        </is>
      </c>
      <c r="D6609" s="1" t="n">
        <v>46260</v>
      </c>
      <c r="E6609" s="1" t="n">
        <v>46319</v>
      </c>
      <c r="F6609" t="inlineStr">
        <is>
          <t>DALARNAS LÄN</t>
        </is>
      </c>
      <c r="G6609" t="inlineStr">
        <is>
          <t>MORA</t>
        </is>
      </c>
      <c r="I6609" t="n">
        <v>6.6</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A 11797-2023</t>
        </is>
      </c>
      <c r="B6610" t="inlineStr">
        <is>
          <t>avverkningsanmälan</t>
        </is>
      </c>
      <c r="C6610" t="inlineStr">
        <is>
          <t>Föryngringsavverkning</t>
        </is>
      </c>
      <c r="D6610" s="1" t="n">
        <v>44994</v>
      </c>
      <c r="E6610" s="1" t="n">
        <v>46319</v>
      </c>
      <c r="F6610" t="inlineStr">
        <is>
          <t>DALARNAS LÄN</t>
        </is>
      </c>
      <c r="G6610" t="inlineStr">
        <is>
          <t>LUDVIKA</t>
        </is>
      </c>
      <c r="I6610" t="n">
        <v>0.7</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A 17846-2026</t>
        </is>
      </c>
      <c r="B6611" t="inlineStr">
        <is>
          <t>avverkningsanmälan</t>
        </is>
      </c>
      <c r="C6611" t="inlineStr">
        <is>
          <t>Föryngringsavverkning</t>
        </is>
      </c>
      <c r="D6611" s="1" t="n">
        <v>46122</v>
      </c>
      <c r="E6611" s="1" t="n">
        <v>46319</v>
      </c>
      <c r="F6611" t="inlineStr">
        <is>
          <t>DALARNAS LÄN</t>
        </is>
      </c>
      <c r="G6611" t="inlineStr">
        <is>
          <t>SMEDJEBACKEN</t>
        </is>
      </c>
      <c r="H6611" t="inlineStr">
        <is>
          <t>Sveaskog</t>
        </is>
      </c>
      <c r="I6611" t="n">
        <v>7</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A 9403-2022</t>
        </is>
      </c>
      <c r="B6612" t="inlineStr">
        <is>
          <t>avverkningsanmälan</t>
        </is>
      </c>
      <c r="C6612" t="inlineStr">
        <is>
          <t>Avverkning för annat ändamål</t>
        </is>
      </c>
      <c r="D6612" s="1" t="n">
        <v>44616</v>
      </c>
      <c r="E6612" s="1" t="n">
        <v>46319</v>
      </c>
      <c r="F6612" t="inlineStr">
        <is>
          <t>DALARNAS LÄN</t>
        </is>
      </c>
      <c r="G6612" t="inlineStr">
        <is>
          <t>AVESTA</t>
        </is>
      </c>
      <c r="I6612" t="n">
        <v>0.9</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A 17978-2026</t>
        </is>
      </c>
      <c r="B6613" t="inlineStr">
        <is>
          <t>avverkningsanmälan</t>
        </is>
      </c>
      <c r="C6613" t="inlineStr">
        <is>
          <t>Föryngringsavverkning</t>
        </is>
      </c>
      <c r="D6613" s="1" t="n">
        <v>46124</v>
      </c>
      <c r="E6613" s="1" t="n">
        <v>46319</v>
      </c>
      <c r="F6613" t="inlineStr">
        <is>
          <t>DALARNAS LÄN</t>
        </is>
      </c>
      <c r="G6613" t="inlineStr">
        <is>
          <t>HEDEMORA</t>
        </is>
      </c>
      <c r="H6613" t="inlineStr">
        <is>
          <t>Sveaskog</t>
        </is>
      </c>
      <c r="I6613" t="n">
        <v>0.8</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A 17998-2026</t>
        </is>
      </c>
      <c r="B6614" t="inlineStr">
        <is>
          <t>avverkningsanmälan</t>
        </is>
      </c>
      <c r="C6614" t="inlineStr">
        <is>
          <t>Föryngringsavverkning</t>
        </is>
      </c>
      <c r="D6614" s="1" t="n">
        <v>46124</v>
      </c>
      <c r="E6614" s="1" t="n">
        <v>46319</v>
      </c>
      <c r="F6614" t="inlineStr">
        <is>
          <t>DALARNAS LÄN</t>
        </is>
      </c>
      <c r="G6614" t="inlineStr">
        <is>
          <t>VANSBRO</t>
        </is>
      </c>
      <c r="I6614" t="n">
        <v>2</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A 18001-2026</t>
        </is>
      </c>
      <c r="B6615" t="inlineStr">
        <is>
          <t>avverkningsanmälan</t>
        </is>
      </c>
      <c r="C6615" t="inlineStr">
        <is>
          <t>Föryngringsavverkning</t>
        </is>
      </c>
      <c r="D6615" s="1" t="n">
        <v>46125</v>
      </c>
      <c r="E6615" s="1" t="n">
        <v>46319</v>
      </c>
      <c r="F6615" t="inlineStr">
        <is>
          <t>DALARNAS LÄN</t>
        </is>
      </c>
      <c r="G6615" t="inlineStr">
        <is>
          <t>RÄTTVIK</t>
        </is>
      </c>
      <c r="I6615" t="n">
        <v>3.3</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A 17923-2026</t>
        </is>
      </c>
      <c r="B6616" t="inlineStr">
        <is>
          <t>avverkningsanmälan</t>
        </is>
      </c>
      <c r="C6616" t="inlineStr">
        <is>
          <t>Föryngringsavverkning</t>
        </is>
      </c>
      <c r="D6616" s="1" t="n">
        <v>46122</v>
      </c>
      <c r="E6616" s="1" t="n">
        <v>46319</v>
      </c>
      <c r="F6616" t="inlineStr">
        <is>
          <t>DALARNAS LÄN</t>
        </is>
      </c>
      <c r="G6616" t="inlineStr">
        <is>
          <t>FALUN</t>
        </is>
      </c>
      <c r="I6616" t="n">
        <v>0.7</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A 18295-2026</t>
        </is>
      </c>
      <c r="B6617" t="inlineStr">
        <is>
          <t>avverkningsanmälan</t>
        </is>
      </c>
      <c r="C6617" t="inlineStr">
        <is>
          <t>Föryngringsavverkning</t>
        </is>
      </c>
      <c r="D6617" s="1" t="n">
        <v>46125</v>
      </c>
      <c r="E6617" s="1" t="n">
        <v>46319</v>
      </c>
      <c r="F6617" t="inlineStr">
        <is>
          <t>DALARNAS LÄN</t>
        </is>
      </c>
      <c r="G6617" t="inlineStr">
        <is>
          <t>FALUN</t>
        </is>
      </c>
      <c r="H6617" t="inlineStr">
        <is>
          <t>Allmännings- och besparingsskogar</t>
        </is>
      </c>
      <c r="I6617" t="n">
        <v>3</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A 18140-2026</t>
        </is>
      </c>
      <c r="B6618" t="inlineStr">
        <is>
          <t>avverkningsanmälan</t>
        </is>
      </c>
      <c r="C6618" t="inlineStr">
        <is>
          <t>Föryngringsavverkning</t>
        </is>
      </c>
      <c r="D6618" s="1" t="n">
        <v>46125</v>
      </c>
      <c r="E6618" s="1" t="n">
        <v>46319</v>
      </c>
      <c r="F6618" t="inlineStr">
        <is>
          <t>DALARNAS LÄN</t>
        </is>
      </c>
      <c r="G6618" t="inlineStr">
        <is>
          <t>VANSBRO</t>
        </is>
      </c>
      <c r="I6618" t="n">
        <v>7.2</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A 17321-2024</t>
        </is>
      </c>
      <c r="B6619" t="inlineStr">
        <is>
          <t>avverkningsanmälan</t>
        </is>
      </c>
      <c r="C6619" t="inlineStr">
        <is>
          <t>Föryngringsavverkning</t>
        </is>
      </c>
      <c r="D6619" s="1" t="n">
        <v>45414</v>
      </c>
      <c r="E6619" s="1" t="n">
        <v>46319</v>
      </c>
      <c r="F6619" t="inlineStr">
        <is>
          <t>DALARNAS LÄN</t>
        </is>
      </c>
      <c r="G6619" t="inlineStr">
        <is>
          <t>GAGNEF</t>
        </is>
      </c>
      <c r="I6619" t="n">
        <v>3.5</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A 41506-2026</t>
        </is>
      </c>
      <c r="B6620" t="inlineStr">
        <is>
          <t>avverkningsanmälan</t>
        </is>
      </c>
      <c r="C6620" t="inlineStr">
        <is>
          <t>Föryngringsavverkning</t>
        </is>
      </c>
      <c r="D6620" s="1" t="n">
        <v>46301</v>
      </c>
      <c r="E6620" s="1" t="n">
        <v>46319</v>
      </c>
      <c r="F6620" t="inlineStr">
        <is>
          <t>DALARNAS LÄN</t>
        </is>
      </c>
      <c r="G6620" t="inlineStr">
        <is>
          <t>FALUN</t>
        </is>
      </c>
      <c r="I6620" t="n">
        <v>4.5</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A 17869-2026</t>
        </is>
      </c>
      <c r="B6621" t="inlineStr">
        <is>
          <t>avverkningsanmälan</t>
        </is>
      </c>
      <c r="C6621" t="inlineStr">
        <is>
          <t>Föryngringsavverkning</t>
        </is>
      </c>
      <c r="D6621" s="1" t="n">
        <v>46122</v>
      </c>
      <c r="E6621" s="1" t="n">
        <v>46319</v>
      </c>
      <c r="F6621" t="inlineStr">
        <is>
          <t>DALARNAS LÄN</t>
        </is>
      </c>
      <c r="G6621" t="inlineStr">
        <is>
          <t>SMEDJEBACKEN</t>
        </is>
      </c>
      <c r="H6621" t="inlineStr">
        <is>
          <t>Sveaskog</t>
        </is>
      </c>
      <c r="I6621" t="n">
        <v>5.2</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A 17882-2026</t>
        </is>
      </c>
      <c r="B6622" t="inlineStr">
        <is>
          <t>avverkningsanmälan</t>
        </is>
      </c>
      <c r="C6622" t="inlineStr">
        <is>
          <t>Föryngringsavverkning</t>
        </is>
      </c>
      <c r="D6622" s="1" t="n">
        <v>46122</v>
      </c>
      <c r="E6622" s="1" t="n">
        <v>46319</v>
      </c>
      <c r="F6622" t="inlineStr">
        <is>
          <t>DALARNAS LÄN</t>
        </is>
      </c>
      <c r="G6622" t="inlineStr">
        <is>
          <t>LUDVIKA</t>
        </is>
      </c>
      <c r="H6622" t="inlineStr">
        <is>
          <t>Bergvik skog väst AB</t>
        </is>
      </c>
      <c r="I6622" t="n">
        <v>3</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A 17884-2026</t>
        </is>
      </c>
      <c r="B6623" t="inlineStr">
        <is>
          <t>avverkningsanmälan</t>
        </is>
      </c>
      <c r="C6623" t="inlineStr">
        <is>
          <t>Föryngringsavverkning</t>
        </is>
      </c>
      <c r="D6623" s="1" t="n">
        <v>46122</v>
      </c>
      <c r="E6623" s="1" t="n">
        <v>46319</v>
      </c>
      <c r="F6623" t="inlineStr">
        <is>
          <t>DALARNAS LÄN</t>
        </is>
      </c>
      <c r="G6623" t="inlineStr">
        <is>
          <t>HEDEMORA</t>
        </is>
      </c>
      <c r="H6623" t="inlineStr">
        <is>
          <t>Sveaskog</t>
        </is>
      </c>
      <c r="I6623" t="n">
        <v>3.6</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A 17911-2026</t>
        </is>
      </c>
      <c r="B6624" t="inlineStr">
        <is>
          <t>avverkningsanmälan</t>
        </is>
      </c>
      <c r="C6624" t="inlineStr">
        <is>
          <t>Föryngringsavverkning</t>
        </is>
      </c>
      <c r="D6624" s="1" t="n">
        <v>46122</v>
      </c>
      <c r="E6624" s="1" t="n">
        <v>46319</v>
      </c>
      <c r="F6624" t="inlineStr">
        <is>
          <t>DALARNAS LÄN</t>
        </is>
      </c>
      <c r="G6624" t="inlineStr">
        <is>
          <t>FALUN</t>
        </is>
      </c>
      <c r="H6624" t="inlineStr">
        <is>
          <t>Bergvik skog väst AB</t>
        </is>
      </c>
      <c r="I6624" t="n">
        <v>57.2</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A 17831-2026</t>
        </is>
      </c>
      <c r="B6625" t="inlineStr">
        <is>
          <t>avverkningsanmälan</t>
        </is>
      </c>
      <c r="C6625" t="inlineStr">
        <is>
          <t>Föryngringsavverkning</t>
        </is>
      </c>
      <c r="D6625" s="1" t="n">
        <v>46122</v>
      </c>
      <c r="E6625" s="1" t="n">
        <v>46319</v>
      </c>
      <c r="F6625" t="inlineStr">
        <is>
          <t>DALARNAS LÄN</t>
        </is>
      </c>
      <c r="G6625" t="inlineStr">
        <is>
          <t>SMEDJEBACKEN</t>
        </is>
      </c>
      <c r="H6625" t="inlineStr">
        <is>
          <t>Sveaskog</t>
        </is>
      </c>
      <c r="I6625" t="n">
        <v>3.4</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A 41290-2023</t>
        </is>
      </c>
      <c r="B6626" t="inlineStr">
        <is>
          <t>avverkningsanmälan</t>
        </is>
      </c>
      <c r="C6626" t="inlineStr">
        <is>
          <t>Föryngringsavverkning</t>
        </is>
      </c>
      <c r="D6626" s="1" t="n">
        <v>45174</v>
      </c>
      <c r="E6626" s="1" t="n">
        <v>46319</v>
      </c>
      <c r="F6626" t="inlineStr">
        <is>
          <t>DALARNAS LÄN</t>
        </is>
      </c>
      <c r="G6626" t="inlineStr">
        <is>
          <t>VANSBRO</t>
        </is>
      </c>
      <c r="H6626" t="inlineStr">
        <is>
          <t>Bergvik skog väst AB</t>
        </is>
      </c>
      <c r="I6626" t="n">
        <v>3.9</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A 42184-2026</t>
        </is>
      </c>
      <c r="B6627" t="inlineStr">
        <is>
          <t>avverkningsanmälan</t>
        </is>
      </c>
      <c r="C6627" t="inlineStr">
        <is>
          <t>Föryngringsavverkning</t>
        </is>
      </c>
      <c r="D6627" s="1" t="n">
        <v>46304</v>
      </c>
      <c r="E6627" s="1" t="n">
        <v>46319</v>
      </c>
      <c r="F6627" t="inlineStr">
        <is>
          <t>DALARNAS LÄN</t>
        </is>
      </c>
      <c r="G6627" t="inlineStr">
        <is>
          <t>MORA</t>
        </is>
      </c>
      <c r="I6627" t="n">
        <v>0.8</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A 17795-2026</t>
        </is>
      </c>
      <c r="B6628" t="inlineStr">
        <is>
          <t>avverkningsanmälan</t>
        </is>
      </c>
      <c r="C6628" t="inlineStr">
        <is>
          <t>Avverkning för annat ändamål</t>
        </is>
      </c>
      <c r="D6628" s="1" t="n">
        <v>46122</v>
      </c>
      <c r="E6628" s="1" t="n">
        <v>46319</v>
      </c>
      <c r="F6628" t="inlineStr">
        <is>
          <t>DALARNAS LÄN</t>
        </is>
      </c>
      <c r="G6628" t="inlineStr">
        <is>
          <t>FALUN</t>
        </is>
      </c>
      <c r="I6628" t="n">
        <v>0.6</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A 17735-2026</t>
        </is>
      </c>
      <c r="B6629" t="inlineStr">
        <is>
          <t>avverkningsanmälan</t>
        </is>
      </c>
      <c r="C6629" t="inlineStr">
        <is>
          <t>Föryngringsavverkning</t>
        </is>
      </c>
      <c r="D6629" s="1" t="n">
        <v>46122</v>
      </c>
      <c r="E6629" s="1" t="n">
        <v>46319</v>
      </c>
      <c r="F6629" t="inlineStr">
        <is>
          <t>DALARNAS LÄN</t>
        </is>
      </c>
      <c r="G6629" t="inlineStr">
        <is>
          <t>RÄTTVIK</t>
        </is>
      </c>
      <c r="I6629" t="n">
        <v>1.2</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A 58650-2024</t>
        </is>
      </c>
      <c r="B6630" t="inlineStr">
        <is>
          <t>avverkningsanmälan</t>
        </is>
      </c>
      <c r="C6630" t="inlineStr">
        <is>
          <t>Föryngringsavverkning</t>
        </is>
      </c>
      <c r="D6630" s="1" t="n">
        <v>45632</v>
      </c>
      <c r="E6630" s="1" t="n">
        <v>46319</v>
      </c>
      <c r="F6630" t="inlineStr">
        <is>
          <t>DALARNAS LÄN</t>
        </is>
      </c>
      <c r="G6630" t="inlineStr">
        <is>
          <t>BORLÄNGE</t>
        </is>
      </c>
      <c r="H6630" t="inlineStr">
        <is>
          <t>Bergvik skog väst AB</t>
        </is>
      </c>
      <c r="I6630" t="n">
        <v>1</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A 17776-2026</t>
        </is>
      </c>
      <c r="B6631" t="inlineStr">
        <is>
          <t>avverkningsanmälan</t>
        </is>
      </c>
      <c r="C6631" t="inlineStr">
        <is>
          <t>Föryngringsavverkning</t>
        </is>
      </c>
      <c r="D6631" s="1" t="n">
        <v>46122</v>
      </c>
      <c r="E6631" s="1" t="n">
        <v>46319</v>
      </c>
      <c r="F6631" t="inlineStr">
        <is>
          <t>DALARNAS LÄN</t>
        </is>
      </c>
      <c r="G6631" t="inlineStr">
        <is>
          <t>RÄTTVIK</t>
        </is>
      </c>
      <c r="I6631" t="n">
        <v>2.6</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A 17787-2026</t>
        </is>
      </c>
      <c r="B6632" t="inlineStr">
        <is>
          <t>avverkningsanmälan</t>
        </is>
      </c>
      <c r="C6632" t="inlineStr">
        <is>
          <t>Föryngringsavverkning</t>
        </is>
      </c>
      <c r="D6632" s="1" t="n">
        <v>46122</v>
      </c>
      <c r="E6632" s="1" t="n">
        <v>46319</v>
      </c>
      <c r="F6632" t="inlineStr">
        <is>
          <t>DALARNAS LÄN</t>
        </is>
      </c>
      <c r="G6632" t="inlineStr">
        <is>
          <t>LUDVIKA</t>
        </is>
      </c>
      <c r="H6632" t="inlineStr">
        <is>
          <t>Bergvik skog väst AB</t>
        </is>
      </c>
      <c r="I6632" t="n">
        <v>4.6</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A 41836-2026</t>
        </is>
      </c>
      <c r="B6633" t="inlineStr">
        <is>
          <t>avverkningsanmälan</t>
        </is>
      </c>
      <c r="C6633" t="inlineStr">
        <is>
          <t>Föryngringsavverkning</t>
        </is>
      </c>
      <c r="D6633" s="1" t="n">
        <v>46303</v>
      </c>
      <c r="E6633" s="1" t="n">
        <v>46319</v>
      </c>
      <c r="F6633" t="inlineStr">
        <is>
          <t>DALARNAS LÄN</t>
        </is>
      </c>
      <c r="G6633" t="inlineStr">
        <is>
          <t>ORSA</t>
        </is>
      </c>
      <c r="I6633" t="n">
        <v>6.6</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A 18038-2026</t>
        </is>
      </c>
      <c r="B6634" t="inlineStr">
        <is>
          <t>avverkningsanmälan</t>
        </is>
      </c>
      <c r="C6634" t="inlineStr">
        <is>
          <t>Föryngringsavverkning</t>
        </is>
      </c>
      <c r="D6634" s="1" t="n">
        <v>46125</v>
      </c>
      <c r="E6634" s="1" t="n">
        <v>46319</v>
      </c>
      <c r="F6634" t="inlineStr">
        <is>
          <t>DALARNAS LÄN</t>
        </is>
      </c>
      <c r="G6634" t="inlineStr">
        <is>
          <t>GAGNEF</t>
        </is>
      </c>
      <c r="I6634" t="n">
        <v>6.1</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A 14178-2024</t>
        </is>
      </c>
      <c r="B6635" t="inlineStr">
        <is>
          <t>avverkningsanmälan</t>
        </is>
      </c>
      <c r="C6635" t="inlineStr">
        <is>
          <t>Avverkning för annat ändamål</t>
        </is>
      </c>
      <c r="D6635" s="1" t="n">
        <v>45393</v>
      </c>
      <c r="E6635" s="1" t="n">
        <v>46319</v>
      </c>
      <c r="F6635" t="inlineStr">
        <is>
          <t>DALARNAS LÄN</t>
        </is>
      </c>
      <c r="G6635" t="inlineStr">
        <is>
          <t>RÄTTVIK</t>
        </is>
      </c>
      <c r="I6635" t="n">
        <v>1.7</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A 35332-2026</t>
        </is>
      </c>
      <c r="B6636" t="inlineStr">
        <is>
          <t>avverkningsanmälan</t>
        </is>
      </c>
      <c r="C6636" t="inlineStr">
        <is>
          <t>Föryngringsavverkning</t>
        </is>
      </c>
      <c r="D6636" s="1" t="n">
        <v>46261</v>
      </c>
      <c r="E6636" s="1" t="n">
        <v>46319</v>
      </c>
      <c r="F6636" t="inlineStr">
        <is>
          <t>DALARNAS LÄN</t>
        </is>
      </c>
      <c r="G6636" t="inlineStr">
        <is>
          <t>ÄLVDALEN</t>
        </is>
      </c>
      <c r="I6636" t="n">
        <v>1.5</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A 11606-2025</t>
        </is>
      </c>
      <c r="B6637" t="inlineStr">
        <is>
          <t>avverkningsanmälan</t>
        </is>
      </c>
      <c r="C6637" t="inlineStr">
        <is>
          <t>Föryngringsavverkning</t>
        </is>
      </c>
      <c r="D6637" s="1" t="n">
        <v>45727</v>
      </c>
      <c r="E6637" s="1" t="n">
        <v>46319</v>
      </c>
      <c r="F6637" t="inlineStr">
        <is>
          <t>DALARNAS LÄN</t>
        </is>
      </c>
      <c r="G6637" t="inlineStr">
        <is>
          <t>LEKSAND</t>
        </is>
      </c>
      <c r="I6637" t="n">
        <v>2.3</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A 17855-2026</t>
        </is>
      </c>
      <c r="B6638" t="inlineStr">
        <is>
          <t>avverkningsanmälan</t>
        </is>
      </c>
      <c r="C6638" t="inlineStr">
        <is>
          <t>Föryngringsavverkning</t>
        </is>
      </c>
      <c r="D6638" s="1" t="n">
        <v>46122</v>
      </c>
      <c r="E6638" s="1" t="n">
        <v>46319</v>
      </c>
      <c r="F6638" t="inlineStr">
        <is>
          <t>DALARNAS LÄN</t>
        </is>
      </c>
      <c r="G6638" t="inlineStr">
        <is>
          <t>FALUN</t>
        </is>
      </c>
      <c r="I6638" t="n">
        <v>8.800000000000001</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A 35426-2026</t>
        </is>
      </c>
      <c r="B6639" t="inlineStr">
        <is>
          <t>avverkningsanmälan</t>
        </is>
      </c>
      <c r="C6639" t="inlineStr">
        <is>
          <t>Avverkning för annat ändamål</t>
        </is>
      </c>
      <c r="D6639" s="1" t="n">
        <v>46261</v>
      </c>
      <c r="E6639" s="1" t="n">
        <v>46319</v>
      </c>
      <c r="F6639" t="inlineStr">
        <is>
          <t>DALARNAS LÄN</t>
        </is>
      </c>
      <c r="G6639" t="inlineStr">
        <is>
          <t>FALUN</t>
        </is>
      </c>
      <c r="I6639" t="n">
        <v>0.7</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A 18017-2026</t>
        </is>
      </c>
      <c r="B6640" t="inlineStr">
        <is>
          <t>avverkningsanmälan</t>
        </is>
      </c>
      <c r="C6640" t="inlineStr">
        <is>
          <t>Avverkning för annat ändamål</t>
        </is>
      </c>
      <c r="D6640" s="1" t="n">
        <v>46125</v>
      </c>
      <c r="E6640" s="1" t="n">
        <v>46319</v>
      </c>
      <c r="F6640" t="inlineStr">
        <is>
          <t>DALARNAS LÄN</t>
        </is>
      </c>
      <c r="G6640" t="inlineStr">
        <is>
          <t>HEDEMORA</t>
        </is>
      </c>
      <c r="I6640" t="n">
        <v>0.2</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A 18023-2026</t>
        </is>
      </c>
      <c r="B6641" t="inlineStr">
        <is>
          <t>avverkningsanmälan</t>
        </is>
      </c>
      <c r="C6641" t="inlineStr">
        <is>
          <t>Föryngringsavverkning</t>
        </is>
      </c>
      <c r="D6641" s="1" t="n">
        <v>46125</v>
      </c>
      <c r="E6641" s="1" t="n">
        <v>46319</v>
      </c>
      <c r="F6641" t="inlineStr">
        <is>
          <t>DALARNAS LÄN</t>
        </is>
      </c>
      <c r="G6641" t="inlineStr">
        <is>
          <t>FALUN</t>
        </is>
      </c>
      <c r="I6641" t="n">
        <v>7.3</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A 35330-2026</t>
        </is>
      </c>
      <c r="B6642" t="inlineStr">
        <is>
          <t>avverkningsanmälan</t>
        </is>
      </c>
      <c r="C6642" t="inlineStr">
        <is>
          <t>Föryngringsavverkning</t>
        </is>
      </c>
      <c r="D6642" s="1" t="n">
        <v>46261</v>
      </c>
      <c r="E6642" s="1" t="n">
        <v>46319</v>
      </c>
      <c r="F6642" t="inlineStr">
        <is>
          <t>DALARNAS LÄN</t>
        </is>
      </c>
      <c r="G6642" t="inlineStr">
        <is>
          <t>VANSBRO</t>
        </is>
      </c>
      <c r="I6642" t="n">
        <v>2</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A 18585-2026</t>
        </is>
      </c>
      <c r="B6643" t="inlineStr">
        <is>
          <t>avverkningsanmälan</t>
        </is>
      </c>
      <c r="C6643" t="inlineStr">
        <is>
          <t>Föryngringsavverkning</t>
        </is>
      </c>
      <c r="D6643" s="1" t="n">
        <v>46127</v>
      </c>
      <c r="E6643" s="1" t="n">
        <v>46319</v>
      </c>
      <c r="F6643" t="inlineStr">
        <is>
          <t>DALARNAS LÄN</t>
        </is>
      </c>
      <c r="G6643" t="inlineStr">
        <is>
          <t>MALUNG-SÄLEN</t>
        </is>
      </c>
      <c r="I6643" t="n">
        <v>9.699999999999999</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A 18586-2026</t>
        </is>
      </c>
      <c r="B6644" t="inlineStr">
        <is>
          <t>avverkningsanmälan</t>
        </is>
      </c>
      <c r="C6644" t="inlineStr">
        <is>
          <t>Föryngringsavverkning</t>
        </is>
      </c>
      <c r="D6644" s="1" t="n">
        <v>46127</v>
      </c>
      <c r="E6644" s="1" t="n">
        <v>46319</v>
      </c>
      <c r="F6644" t="inlineStr">
        <is>
          <t>DALARNAS LÄN</t>
        </is>
      </c>
      <c r="G6644" t="inlineStr">
        <is>
          <t>VANSBRO</t>
        </is>
      </c>
      <c r="I6644" t="n">
        <v>6.6</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A 18590-2026</t>
        </is>
      </c>
      <c r="B6645" t="inlineStr">
        <is>
          <t>avverkningsanmälan</t>
        </is>
      </c>
      <c r="C6645" t="inlineStr">
        <is>
          <t>Föryngringsavverkning</t>
        </is>
      </c>
      <c r="D6645" s="1" t="n">
        <v>46127</v>
      </c>
      <c r="E6645" s="1" t="n">
        <v>46319</v>
      </c>
      <c r="F6645" t="inlineStr">
        <is>
          <t>DALARNAS LÄN</t>
        </is>
      </c>
      <c r="G6645" t="inlineStr">
        <is>
          <t>SMEDJEBACKEN</t>
        </is>
      </c>
      <c r="H6645" t="inlineStr">
        <is>
          <t>Sveaskog</t>
        </is>
      </c>
      <c r="I6645" t="n">
        <v>4.3</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A 18591-2026</t>
        </is>
      </c>
      <c r="B6646" t="inlineStr">
        <is>
          <t>avverkningsanmälan</t>
        </is>
      </c>
      <c r="C6646" t="inlineStr">
        <is>
          <t>Föryngringsavverkning</t>
        </is>
      </c>
      <c r="D6646" s="1" t="n">
        <v>46127</v>
      </c>
      <c r="E6646" s="1" t="n">
        <v>46319</v>
      </c>
      <c r="F6646" t="inlineStr">
        <is>
          <t>DALARNAS LÄN</t>
        </is>
      </c>
      <c r="G6646" t="inlineStr">
        <is>
          <t>SMEDJEBACKEN</t>
        </is>
      </c>
      <c r="H6646" t="inlineStr">
        <is>
          <t>Sveaskog</t>
        </is>
      </c>
      <c r="I6646" t="n">
        <v>2.1</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A 18482-2026</t>
        </is>
      </c>
      <c r="B6647" t="inlineStr">
        <is>
          <t>avverkningsanmälan</t>
        </is>
      </c>
      <c r="C6647" t="inlineStr">
        <is>
          <t>Föryngringsavverkning</t>
        </is>
      </c>
      <c r="D6647" s="1" t="n">
        <v>46127</v>
      </c>
      <c r="E6647" s="1" t="n">
        <v>46319</v>
      </c>
      <c r="F6647" t="inlineStr">
        <is>
          <t>DALARNAS LÄN</t>
        </is>
      </c>
      <c r="G6647" t="inlineStr">
        <is>
          <t>LEKSAND</t>
        </is>
      </c>
      <c r="H6647" t="inlineStr">
        <is>
          <t>Bergvik skog väst AB</t>
        </is>
      </c>
      <c r="I6647" t="n">
        <v>1.2</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A 18510-2026</t>
        </is>
      </c>
      <c r="B6648" t="inlineStr">
        <is>
          <t>avverkningsanmälan</t>
        </is>
      </c>
      <c r="C6648" t="inlineStr">
        <is>
          <t>Föryngringsavverkning</t>
        </is>
      </c>
      <c r="D6648" s="1" t="n">
        <v>46127</v>
      </c>
      <c r="E6648" s="1" t="n">
        <v>46319</v>
      </c>
      <c r="F6648" t="inlineStr">
        <is>
          <t>DALARNAS LÄN</t>
        </is>
      </c>
      <c r="G6648" t="inlineStr">
        <is>
          <t>LEKSAND</t>
        </is>
      </c>
      <c r="I6648" t="n">
        <v>0.9</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A 45697-2023</t>
        </is>
      </c>
      <c r="B6649" t="inlineStr">
        <is>
          <t>avverkningsanmälan</t>
        </is>
      </c>
      <c r="C6649" t="inlineStr">
        <is>
          <t>Föryngringsavverkning</t>
        </is>
      </c>
      <c r="D6649" s="1" t="n">
        <v>45195</v>
      </c>
      <c r="E6649" s="1" t="n">
        <v>46319</v>
      </c>
      <c r="F6649" t="inlineStr">
        <is>
          <t>DALARNAS LÄN</t>
        </is>
      </c>
      <c r="G6649" t="inlineStr">
        <is>
          <t>MALUNG-SÄLEN</t>
        </is>
      </c>
      <c r="I6649" t="n">
        <v>2.2</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A 18514-2026</t>
        </is>
      </c>
      <c r="B6650" t="inlineStr">
        <is>
          <t>avverkningsanmälan</t>
        </is>
      </c>
      <c r="C6650" t="inlineStr">
        <is>
          <t>Föryngringsavverkning</t>
        </is>
      </c>
      <c r="D6650" s="1" t="n">
        <v>46127</v>
      </c>
      <c r="E6650" s="1" t="n">
        <v>46319</v>
      </c>
      <c r="F6650" t="inlineStr">
        <is>
          <t>DALARNAS LÄN</t>
        </is>
      </c>
      <c r="G6650" t="inlineStr">
        <is>
          <t>MORA</t>
        </is>
      </c>
      <c r="I6650" t="n">
        <v>2.4</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A 18265-2026</t>
        </is>
      </c>
      <c r="B6651" t="inlineStr">
        <is>
          <t>avverkningsanmälan</t>
        </is>
      </c>
      <c r="C6651" t="inlineStr">
        <is>
          <t>Föryngringsavverkning</t>
        </is>
      </c>
      <c r="D6651" s="1" t="n">
        <v>46126</v>
      </c>
      <c r="E6651" s="1" t="n">
        <v>46319</v>
      </c>
      <c r="F6651" t="inlineStr">
        <is>
          <t>DALARNAS LÄN</t>
        </is>
      </c>
      <c r="G6651" t="inlineStr">
        <is>
          <t>SMEDJEBACKEN</t>
        </is>
      </c>
      <c r="I6651" t="n">
        <v>2.5</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A 18558-2026</t>
        </is>
      </c>
      <c r="B6652" t="inlineStr">
        <is>
          <t>avverkningsanmälan</t>
        </is>
      </c>
      <c r="C6652" t="inlineStr">
        <is>
          <t>Föryngringsavverkning</t>
        </is>
      </c>
      <c r="D6652" s="1" t="n">
        <v>46127</v>
      </c>
      <c r="E6652" s="1" t="n">
        <v>46319</v>
      </c>
      <c r="F6652" t="inlineStr">
        <is>
          <t>DALARNAS LÄN</t>
        </is>
      </c>
      <c r="G6652" t="inlineStr">
        <is>
          <t>RÄTTVIK</t>
        </is>
      </c>
      <c r="H6652" t="inlineStr">
        <is>
          <t>Bergvik skog väst AB</t>
        </is>
      </c>
      <c r="I6652" t="n">
        <v>8.199999999999999</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A 18215-2026</t>
        </is>
      </c>
      <c r="B6653" t="inlineStr">
        <is>
          <t>avverkningsanmälan</t>
        </is>
      </c>
      <c r="C6653" t="inlineStr">
        <is>
          <t>Föryngringsavverkning</t>
        </is>
      </c>
      <c r="D6653" s="1" t="n">
        <v>46126</v>
      </c>
      <c r="E6653" s="1" t="n">
        <v>46319</v>
      </c>
      <c r="F6653" t="inlineStr">
        <is>
          <t>DALARNAS LÄN</t>
        </is>
      </c>
      <c r="G6653" t="inlineStr">
        <is>
          <t>FALUN</t>
        </is>
      </c>
      <c r="I6653" t="n">
        <v>1</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A 18336-2026</t>
        </is>
      </c>
      <c r="B6654" t="inlineStr">
        <is>
          <t>avverkningsanmälan</t>
        </is>
      </c>
      <c r="C6654" t="inlineStr">
        <is>
          <t>Föryngringsavverkning</t>
        </is>
      </c>
      <c r="D6654" s="1" t="n">
        <v>46126</v>
      </c>
      <c r="E6654" s="1" t="n">
        <v>46319</v>
      </c>
      <c r="F6654" t="inlineStr">
        <is>
          <t>DALARNAS LÄN</t>
        </is>
      </c>
      <c r="G6654" t="inlineStr">
        <is>
          <t>FALUN</t>
        </is>
      </c>
      <c r="H6654" t="inlineStr">
        <is>
          <t>Bergvik skog väst AB</t>
        </is>
      </c>
      <c r="I6654" t="n">
        <v>0.8</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A 22854-2023</t>
        </is>
      </c>
      <c r="B6655" t="inlineStr">
        <is>
          <t>avverkningsanmälan</t>
        </is>
      </c>
      <c r="C6655" t="inlineStr">
        <is>
          <t>Föryngringsavverkning</t>
        </is>
      </c>
      <c r="D6655" s="1" t="n">
        <v>45072</v>
      </c>
      <c r="E6655" s="1" t="n">
        <v>46319</v>
      </c>
      <c r="F6655" t="inlineStr">
        <is>
          <t>DALARNAS LÄN</t>
        </is>
      </c>
      <c r="G6655" t="inlineStr">
        <is>
          <t>MORA</t>
        </is>
      </c>
      <c r="I6655" t="n">
        <v>3.3</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A 21954-2023</t>
        </is>
      </c>
      <c r="B6656" t="inlineStr">
        <is>
          <t>avverkningsanmälan</t>
        </is>
      </c>
      <c r="C6656" t="inlineStr">
        <is>
          <t>Föryngringsavverkning</t>
        </is>
      </c>
      <c r="D6656" s="1" t="n">
        <v>45068</v>
      </c>
      <c r="E6656" s="1" t="n">
        <v>46319</v>
      </c>
      <c r="F6656" t="inlineStr">
        <is>
          <t>DALARNAS LÄN</t>
        </is>
      </c>
      <c r="G6656" t="inlineStr">
        <is>
          <t>LEKSAND</t>
        </is>
      </c>
      <c r="I6656" t="n">
        <v>0.8</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A 18245-2026</t>
        </is>
      </c>
      <c r="B6657" t="inlineStr">
        <is>
          <t>avverkningsanmälan</t>
        </is>
      </c>
      <c r="C6657" t="inlineStr">
        <is>
          <t>Föryngringsavverkning</t>
        </is>
      </c>
      <c r="D6657" s="1" t="n">
        <v>46126</v>
      </c>
      <c r="E6657" s="1" t="n">
        <v>46319</v>
      </c>
      <c r="F6657" t="inlineStr">
        <is>
          <t>DALARNAS LÄN</t>
        </is>
      </c>
      <c r="G6657" t="inlineStr">
        <is>
          <t>RÄTTVIK</t>
        </is>
      </c>
      <c r="H6657" t="inlineStr">
        <is>
          <t>Bergvik skog öst AB</t>
        </is>
      </c>
      <c r="I6657" t="n">
        <v>0.5</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A 35294-2026</t>
        </is>
      </c>
      <c r="B6658" t="inlineStr">
        <is>
          <t>avverkningsanmälan</t>
        </is>
      </c>
      <c r="C6658" t="inlineStr">
        <is>
          <t>Föryngringsavverkning</t>
        </is>
      </c>
      <c r="D6658" s="1" t="n">
        <v>46261</v>
      </c>
      <c r="E6658" s="1" t="n">
        <v>46319</v>
      </c>
      <c r="F6658" t="inlineStr">
        <is>
          <t>DALARNAS LÄN</t>
        </is>
      </c>
      <c r="G6658" t="inlineStr">
        <is>
          <t>RÄTTVIK</t>
        </is>
      </c>
      <c r="I6658" t="n">
        <v>1.3</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A 35309-2026</t>
        </is>
      </c>
      <c r="B6659" t="inlineStr">
        <is>
          <t>avverkningsanmälan</t>
        </is>
      </c>
      <c r="C6659" t="inlineStr">
        <is>
          <t>Föryngringsavverkning</t>
        </is>
      </c>
      <c r="D6659" s="1" t="n">
        <v>46261</v>
      </c>
      <c r="E6659" s="1" t="n">
        <v>46319</v>
      </c>
      <c r="F6659" t="inlineStr">
        <is>
          <t>DALARNAS LÄN</t>
        </is>
      </c>
      <c r="G6659" t="inlineStr">
        <is>
          <t>ORSA</t>
        </is>
      </c>
      <c r="H6659" t="inlineStr">
        <is>
          <t>Bergvik skog öst AB</t>
        </is>
      </c>
      <c r="I6659" t="n">
        <v>1.4</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A 18577-2026</t>
        </is>
      </c>
      <c r="B6660" t="inlineStr">
        <is>
          <t>avverkningsanmälan</t>
        </is>
      </c>
      <c r="C6660" t="inlineStr">
        <is>
          <t>Föryngringsavverkning</t>
        </is>
      </c>
      <c r="D6660" s="1" t="n">
        <v>46127</v>
      </c>
      <c r="E6660" s="1" t="n">
        <v>46319</v>
      </c>
      <c r="F6660" t="inlineStr">
        <is>
          <t>DALARNAS LÄN</t>
        </is>
      </c>
      <c r="G6660" t="inlineStr">
        <is>
          <t>VANSBRO</t>
        </is>
      </c>
      <c r="I6660" t="n">
        <v>4.8</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A 18619-2026</t>
        </is>
      </c>
      <c r="B6661" t="inlineStr">
        <is>
          <t>avverkningsanmälan</t>
        </is>
      </c>
      <c r="C6661" t="inlineStr">
        <is>
          <t>Föryngringsavverkning</t>
        </is>
      </c>
      <c r="D6661" s="1" t="n">
        <v>46127</v>
      </c>
      <c r="E6661" s="1" t="n">
        <v>46319</v>
      </c>
      <c r="F6661" t="inlineStr">
        <is>
          <t>DALARNAS LÄN</t>
        </is>
      </c>
      <c r="G6661" t="inlineStr">
        <is>
          <t>ÄLVDALEN</t>
        </is>
      </c>
      <c r="I6661" t="n">
        <v>1.2</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A 18187-2025</t>
        </is>
      </c>
      <c r="B6662" t="inlineStr">
        <is>
          <t>avverkningsanmälan</t>
        </is>
      </c>
      <c r="C6662" t="inlineStr">
        <is>
          <t>Föryngringsavverkning</t>
        </is>
      </c>
      <c r="D6662" s="1" t="n">
        <v>45761</v>
      </c>
      <c r="E6662" s="1" t="n">
        <v>46319</v>
      </c>
      <c r="F6662" t="inlineStr">
        <is>
          <t>DALARNAS LÄN</t>
        </is>
      </c>
      <c r="G6662" t="inlineStr">
        <is>
          <t>LUDVIKA</t>
        </is>
      </c>
      <c r="I6662" t="n">
        <v>1.9</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A 18338-2026</t>
        </is>
      </c>
      <c r="B6663" t="inlineStr">
        <is>
          <t>avverkningsanmälan</t>
        </is>
      </c>
      <c r="C6663" t="inlineStr">
        <is>
          <t>Föryngringsavverkning</t>
        </is>
      </c>
      <c r="D6663" s="1" t="n">
        <v>46126</v>
      </c>
      <c r="E6663" s="1" t="n">
        <v>46319</v>
      </c>
      <c r="F6663" t="inlineStr">
        <is>
          <t>DALARNAS LÄN</t>
        </is>
      </c>
      <c r="G6663" t="inlineStr">
        <is>
          <t>FALUN</t>
        </is>
      </c>
      <c r="I6663" t="n">
        <v>16.6</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A 60962-2025</t>
        </is>
      </c>
      <c r="B6664" t="inlineStr">
        <is>
          <t>avverkningsanmälan</t>
        </is>
      </c>
      <c r="C6664" t="inlineStr">
        <is>
          <t>Föryngringsavverkning</t>
        </is>
      </c>
      <c r="D6664" s="1" t="n">
        <v>45999</v>
      </c>
      <c r="E6664" s="1" t="n">
        <v>46319</v>
      </c>
      <c r="F6664" t="inlineStr">
        <is>
          <t>DALARNAS LÄN</t>
        </is>
      </c>
      <c r="G6664" t="inlineStr">
        <is>
          <t>MORA</t>
        </is>
      </c>
      <c r="I6664" t="n">
        <v>2</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A 18588-2026</t>
        </is>
      </c>
      <c r="B6665" t="inlineStr">
        <is>
          <t>avverkningsanmälan</t>
        </is>
      </c>
      <c r="C6665" t="inlineStr">
        <is>
          <t>Föryngringsavverkning</t>
        </is>
      </c>
      <c r="D6665" s="1" t="n">
        <v>46127</v>
      </c>
      <c r="E6665" s="1" t="n">
        <v>46319</v>
      </c>
      <c r="F6665" t="inlineStr">
        <is>
          <t>DALARNAS LÄN</t>
        </is>
      </c>
      <c r="G6665" t="inlineStr">
        <is>
          <t>VANSBRO</t>
        </is>
      </c>
      <c r="H6665" t="inlineStr">
        <is>
          <t>Bergvik skog väst AB</t>
        </is>
      </c>
      <c r="I6665" t="n">
        <v>1.3</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A 42005-2026</t>
        </is>
      </c>
      <c r="B6666" t="inlineStr">
        <is>
          <t>avverkningsanmälan</t>
        </is>
      </c>
      <c r="C6666" t="inlineStr">
        <is>
          <t>Föryngringsavverkning</t>
        </is>
      </c>
      <c r="D6666" s="1" t="n">
        <v>46303</v>
      </c>
      <c r="E6666" s="1" t="n">
        <v>46319</v>
      </c>
      <c r="F6666" t="inlineStr">
        <is>
          <t>DALARNAS LÄN</t>
        </is>
      </c>
      <c r="G6666" t="inlineStr">
        <is>
          <t>MORA</t>
        </is>
      </c>
      <c r="I6666" t="n">
        <v>11.5</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A 18626-2026</t>
        </is>
      </c>
      <c r="B6667" t="inlineStr">
        <is>
          <t>avverkningsanmälan</t>
        </is>
      </c>
      <c r="C6667" t="inlineStr">
        <is>
          <t>Föryngringsavverkning</t>
        </is>
      </c>
      <c r="D6667" s="1" t="n">
        <v>46127</v>
      </c>
      <c r="E6667" s="1" t="n">
        <v>46319</v>
      </c>
      <c r="F6667" t="inlineStr">
        <is>
          <t>DALARNAS LÄN</t>
        </is>
      </c>
      <c r="G6667" t="inlineStr">
        <is>
          <t>MORA</t>
        </is>
      </c>
      <c r="I6667" t="n">
        <v>3.1</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A 36846-2025</t>
        </is>
      </c>
      <c r="B6668" t="inlineStr">
        <is>
          <t>avverkningsanmälan</t>
        </is>
      </c>
      <c r="C6668" t="inlineStr">
        <is>
          <t>Föryngringsavverkning</t>
        </is>
      </c>
      <c r="D6668" s="1" t="n">
        <v>45874</v>
      </c>
      <c r="E6668" s="1" t="n">
        <v>46319</v>
      </c>
      <c r="F6668" t="inlineStr">
        <is>
          <t>DALARNAS LÄN</t>
        </is>
      </c>
      <c r="G6668" t="inlineStr">
        <is>
          <t>MORA</t>
        </is>
      </c>
      <c r="I6668" t="n">
        <v>10.7</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A 18357-2026</t>
        </is>
      </c>
      <c r="B6669" t="inlineStr">
        <is>
          <t>avverkningsanmälan</t>
        </is>
      </c>
      <c r="C6669" t="inlineStr">
        <is>
          <t>Föryngringsavverkning</t>
        </is>
      </c>
      <c r="D6669" s="1" t="n">
        <v>46126</v>
      </c>
      <c r="E6669" s="1" t="n">
        <v>46319</v>
      </c>
      <c r="F6669" t="inlineStr">
        <is>
          <t>DALARNAS LÄN</t>
        </is>
      </c>
      <c r="G6669" t="inlineStr">
        <is>
          <t>LUDVIKA</t>
        </is>
      </c>
      <c r="H6669" t="inlineStr">
        <is>
          <t>Bergvik skog väst AB</t>
        </is>
      </c>
      <c r="I6669" t="n">
        <v>5</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A 35440-2026</t>
        </is>
      </c>
      <c r="B6670" t="inlineStr">
        <is>
          <t>avverkningsanmälan</t>
        </is>
      </c>
      <c r="C6670" t="inlineStr">
        <is>
          <t>Föryngringsavverkning</t>
        </is>
      </c>
      <c r="D6670" s="1" t="n">
        <v>46261</v>
      </c>
      <c r="E6670" s="1" t="n">
        <v>46319</v>
      </c>
      <c r="F6670" t="inlineStr">
        <is>
          <t>DALARNAS LÄN</t>
        </is>
      </c>
      <c r="G6670" t="inlineStr">
        <is>
          <t>AVESTA</t>
        </is>
      </c>
      <c r="I6670" t="n">
        <v>7</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A 36696-2025</t>
        </is>
      </c>
      <c r="B6671" t="inlineStr">
        <is>
          <t>avverkningsanmälan</t>
        </is>
      </c>
      <c r="C6671" t="inlineStr">
        <is>
          <t>Föryngringsavverkning</t>
        </is>
      </c>
      <c r="D6671" s="1" t="n">
        <v>45873</v>
      </c>
      <c r="E6671" s="1" t="n">
        <v>46319</v>
      </c>
      <c r="F6671" t="inlineStr">
        <is>
          <t>DALARNAS LÄN</t>
        </is>
      </c>
      <c r="G6671" t="inlineStr">
        <is>
          <t>BORLÄNGE</t>
        </is>
      </c>
      <c r="I6671" t="n">
        <v>6</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A 18389-2026</t>
        </is>
      </c>
      <c r="B6672" t="inlineStr">
        <is>
          <t>avverkningsanmälan</t>
        </is>
      </c>
      <c r="C6672" t="inlineStr">
        <is>
          <t>Föryngringsavverkning</t>
        </is>
      </c>
      <c r="D6672" s="1" t="n">
        <v>46126</v>
      </c>
      <c r="E6672" s="1" t="n">
        <v>46319</v>
      </c>
      <c r="F6672" t="inlineStr">
        <is>
          <t>DALARNAS LÄN</t>
        </is>
      </c>
      <c r="G6672" t="inlineStr">
        <is>
          <t>RÄTTVIK</t>
        </is>
      </c>
      <c r="H6672" t="inlineStr">
        <is>
          <t>Bergvik skog öst AB</t>
        </is>
      </c>
      <c r="I6672" t="n">
        <v>4.5</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A 18467-2026</t>
        </is>
      </c>
      <c r="B6673" t="inlineStr">
        <is>
          <t>avverkningsanmälan</t>
        </is>
      </c>
      <c r="C6673" t="inlineStr">
        <is>
          <t>Föryngringsavverkning</t>
        </is>
      </c>
      <c r="D6673" s="1" t="n">
        <v>46127</v>
      </c>
      <c r="E6673" s="1" t="n">
        <v>46319</v>
      </c>
      <c r="F6673" t="inlineStr">
        <is>
          <t>DALARNAS LÄN</t>
        </is>
      </c>
      <c r="G6673" t="inlineStr">
        <is>
          <t>FALUN</t>
        </is>
      </c>
      <c r="I6673" t="n">
        <v>0.5</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A 25907-2025</t>
        </is>
      </c>
      <c r="B6674" t="inlineStr">
        <is>
          <t>avverkningsanmälan</t>
        </is>
      </c>
      <c r="C6674" t="inlineStr">
        <is>
          <t>Föryngringsavverkning</t>
        </is>
      </c>
      <c r="D6674" s="1" t="n">
        <v>45803</v>
      </c>
      <c r="E6674" s="1" t="n">
        <v>46319</v>
      </c>
      <c r="F6674" t="inlineStr">
        <is>
          <t>DALARNAS LÄN</t>
        </is>
      </c>
      <c r="G6674" t="inlineStr">
        <is>
          <t>RÄTTVIK</t>
        </is>
      </c>
      <c r="I6674" t="n">
        <v>2.3</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A 18355-2026</t>
        </is>
      </c>
      <c r="B6675" t="inlineStr">
        <is>
          <t>avverkningsanmälan</t>
        </is>
      </c>
      <c r="C6675" t="inlineStr">
        <is>
          <t>Föryngringsavverkning</t>
        </is>
      </c>
      <c r="D6675" s="1" t="n">
        <v>46126</v>
      </c>
      <c r="E6675" s="1" t="n">
        <v>46319</v>
      </c>
      <c r="F6675" t="inlineStr">
        <is>
          <t>DALARNAS LÄN</t>
        </is>
      </c>
      <c r="G6675" t="inlineStr">
        <is>
          <t>LUDVIKA</t>
        </is>
      </c>
      <c r="H6675" t="inlineStr">
        <is>
          <t>Bergvik skog väst AB</t>
        </is>
      </c>
      <c r="I6675" t="n">
        <v>2.7</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A 18578-2026</t>
        </is>
      </c>
      <c r="B6676" t="inlineStr">
        <is>
          <t>avverkningsanmälan</t>
        </is>
      </c>
      <c r="C6676" t="inlineStr">
        <is>
          <t>Föryngringsavverkning</t>
        </is>
      </c>
      <c r="D6676" s="1" t="n">
        <v>46127</v>
      </c>
      <c r="E6676" s="1" t="n">
        <v>46319</v>
      </c>
      <c r="F6676" t="inlineStr">
        <is>
          <t>DALARNAS LÄN</t>
        </is>
      </c>
      <c r="G6676" t="inlineStr">
        <is>
          <t>RÄTTVIK</t>
        </is>
      </c>
      <c r="H6676" t="inlineStr">
        <is>
          <t>Bergvik skog väst AB</t>
        </is>
      </c>
      <c r="I6676" t="n">
        <v>0.6</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A 18580-2026</t>
        </is>
      </c>
      <c r="B6677" t="inlineStr">
        <is>
          <t>avverkningsanmälan</t>
        </is>
      </c>
      <c r="C6677" t="inlineStr">
        <is>
          <t>Föryngringsavverkning</t>
        </is>
      </c>
      <c r="D6677" s="1" t="n">
        <v>46127</v>
      </c>
      <c r="E6677" s="1" t="n">
        <v>46319</v>
      </c>
      <c r="F6677" t="inlineStr">
        <is>
          <t>DALARNAS LÄN</t>
        </is>
      </c>
      <c r="G6677" t="inlineStr">
        <is>
          <t>VANSBRO</t>
        </is>
      </c>
      <c r="I6677" t="n">
        <v>5.7</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A 18362-2026</t>
        </is>
      </c>
      <c r="B6678" t="inlineStr">
        <is>
          <t>avverkningsanmälan</t>
        </is>
      </c>
      <c r="C6678" t="inlineStr">
        <is>
          <t>Föryngringsavverkning</t>
        </is>
      </c>
      <c r="D6678" s="1" t="n">
        <v>46126</v>
      </c>
      <c r="E6678" s="1" t="n">
        <v>46319</v>
      </c>
      <c r="F6678" t="inlineStr">
        <is>
          <t>DALARNAS LÄN</t>
        </is>
      </c>
      <c r="G6678" t="inlineStr">
        <is>
          <t>LUDVIKA</t>
        </is>
      </c>
      <c r="H6678" t="inlineStr">
        <is>
          <t>Bergvik skog väst AB</t>
        </is>
      </c>
      <c r="I6678" t="n">
        <v>1.9</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A 35210-2026</t>
        </is>
      </c>
      <c r="B6679" t="inlineStr">
        <is>
          <t>avverkningsanmälan</t>
        </is>
      </c>
      <c r="C6679" t="inlineStr">
        <is>
          <t>Föryngringsavverkning</t>
        </is>
      </c>
      <c r="D6679" s="1" t="n">
        <v>46260</v>
      </c>
      <c r="E6679" s="1" t="n">
        <v>46319</v>
      </c>
      <c r="F6679" t="inlineStr">
        <is>
          <t>DALARNAS LÄN</t>
        </is>
      </c>
      <c r="G6679" t="inlineStr">
        <is>
          <t>FALUN</t>
        </is>
      </c>
      <c r="H6679" t="inlineStr">
        <is>
          <t>Bergvik skog väst AB</t>
        </is>
      </c>
      <c r="I6679" t="n">
        <v>1</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A 30770-2026</t>
        </is>
      </c>
      <c r="B6680" t="inlineStr">
        <is>
          <t>avverkningsanmälan</t>
        </is>
      </c>
      <c r="C6680" t="inlineStr">
        <is>
          <t>Föryngringsavverkning</t>
        </is>
      </c>
      <c r="D6680" s="1" t="n">
        <v>46212</v>
      </c>
      <c r="E6680" s="1" t="n">
        <v>46319</v>
      </c>
      <c r="F6680" t="inlineStr">
        <is>
          <t>DALARNAS LÄN</t>
        </is>
      </c>
      <c r="G6680" t="inlineStr">
        <is>
          <t>RÄTTVIK</t>
        </is>
      </c>
      <c r="H6680" t="inlineStr">
        <is>
          <t>Sveaskog</t>
        </is>
      </c>
      <c r="I6680" t="n">
        <v>2.6</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A 18412-2026</t>
        </is>
      </c>
      <c r="B6681" t="inlineStr">
        <is>
          <t>avverkningsanmälan</t>
        </is>
      </c>
      <c r="C6681" t="inlineStr">
        <is>
          <t>Föryngringsavverkning</t>
        </is>
      </c>
      <c r="D6681" s="1" t="n">
        <v>46126</v>
      </c>
      <c r="E6681" s="1" t="n">
        <v>46319</v>
      </c>
      <c r="F6681" t="inlineStr">
        <is>
          <t>DALARNAS LÄN</t>
        </is>
      </c>
      <c r="G6681" t="inlineStr">
        <is>
          <t>MORA</t>
        </is>
      </c>
      <c r="I6681" t="n">
        <v>0.8</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A 18492-2026</t>
        </is>
      </c>
      <c r="B6682" t="inlineStr">
        <is>
          <t>avverkningsanmälan</t>
        </is>
      </c>
      <c r="C6682" t="inlineStr">
        <is>
          <t>Föryngringsavverkning</t>
        </is>
      </c>
      <c r="D6682" s="1" t="n">
        <v>46127</v>
      </c>
      <c r="E6682" s="1" t="n">
        <v>46319</v>
      </c>
      <c r="F6682" t="inlineStr">
        <is>
          <t>DALARNAS LÄN</t>
        </is>
      </c>
      <c r="G6682" t="inlineStr">
        <is>
          <t>LEKSAND</t>
        </is>
      </c>
      <c r="H6682" t="inlineStr">
        <is>
          <t>Bergvik skog väst AB</t>
        </is>
      </c>
      <c r="I6682" t="n">
        <v>3</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A 18247-2026</t>
        </is>
      </c>
      <c r="B6683" t="inlineStr">
        <is>
          <t>avverkningsanmälan</t>
        </is>
      </c>
      <c r="C6683" t="inlineStr">
        <is>
          <t>Föryngringsavverkning</t>
        </is>
      </c>
      <c r="D6683" s="1" t="n">
        <v>46126</v>
      </c>
      <c r="E6683" s="1" t="n">
        <v>46319</v>
      </c>
      <c r="F6683" t="inlineStr">
        <is>
          <t>DALARNAS LÄN</t>
        </is>
      </c>
      <c r="G6683" t="inlineStr">
        <is>
          <t>FALUN</t>
        </is>
      </c>
      <c r="H6683" t="inlineStr">
        <is>
          <t>Bergvik skog väst AB</t>
        </is>
      </c>
      <c r="I6683" t="n">
        <v>24.2</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A 37221-2025</t>
        </is>
      </c>
      <c r="B6684" t="inlineStr">
        <is>
          <t>avverkningsanmälan</t>
        </is>
      </c>
      <c r="C6684" t="inlineStr">
        <is>
          <t>Föryngringsavverkning</t>
        </is>
      </c>
      <c r="D6684" s="1" t="n">
        <v>45875</v>
      </c>
      <c r="E6684" s="1" t="n">
        <v>46319</v>
      </c>
      <c r="F6684" t="inlineStr">
        <is>
          <t>DALARNAS LÄN</t>
        </is>
      </c>
      <c r="G6684" t="inlineStr">
        <is>
          <t>BORLÄNGE</t>
        </is>
      </c>
      <c r="I6684" t="n">
        <v>1.3</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A 37223-2025</t>
        </is>
      </c>
      <c r="B6685" t="inlineStr">
        <is>
          <t>avverkningsanmälan</t>
        </is>
      </c>
      <c r="C6685" t="inlineStr">
        <is>
          <t>Föryngringsavverkning</t>
        </is>
      </c>
      <c r="D6685" s="1" t="n">
        <v>45875</v>
      </c>
      <c r="E6685" s="1" t="n">
        <v>46319</v>
      </c>
      <c r="F6685" t="inlineStr">
        <is>
          <t>DALARNAS LÄN</t>
        </is>
      </c>
      <c r="G6685" t="inlineStr">
        <is>
          <t>BORLÄNGE</t>
        </is>
      </c>
      <c r="I6685" t="n">
        <v>1.2</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A 18349-2026</t>
        </is>
      </c>
      <c r="B6686" t="inlineStr">
        <is>
          <t>avverkningsanmälan</t>
        </is>
      </c>
      <c r="C6686" t="inlineStr">
        <is>
          <t>Föryngringsavverkning</t>
        </is>
      </c>
      <c r="D6686" s="1" t="n">
        <v>46126</v>
      </c>
      <c r="E6686" s="1" t="n">
        <v>46319</v>
      </c>
      <c r="F6686" t="inlineStr">
        <is>
          <t>DALARNAS LÄN</t>
        </is>
      </c>
      <c r="G6686" t="inlineStr">
        <is>
          <t>MALUNG-SÄLEN</t>
        </is>
      </c>
      <c r="H6686" t="inlineStr">
        <is>
          <t>Bergvik skog öst AB</t>
        </is>
      </c>
      <c r="I6686" t="n">
        <v>2.1</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A 37186-2025</t>
        </is>
      </c>
      <c r="B6687" t="inlineStr">
        <is>
          <t>avverkningsanmälan</t>
        </is>
      </c>
      <c r="C6687" t="inlineStr">
        <is>
          <t>Avverkning för annat ändamål</t>
        </is>
      </c>
      <c r="D6687" s="1" t="n">
        <v>45875</v>
      </c>
      <c r="E6687" s="1" t="n">
        <v>46319</v>
      </c>
      <c r="F6687" t="inlineStr">
        <is>
          <t>DALARNAS LÄN</t>
        </is>
      </c>
      <c r="G6687" t="inlineStr">
        <is>
          <t>ÄLVDALEN</t>
        </is>
      </c>
      <c r="I6687" t="n">
        <v>0.5</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A 42128-2026</t>
        </is>
      </c>
      <c r="B6688" t="inlineStr">
        <is>
          <t>avverkningsanmälan</t>
        </is>
      </c>
      <c r="C6688" t="inlineStr">
        <is>
          <t>Föryngringsavverkning</t>
        </is>
      </c>
      <c r="D6688" s="1" t="n">
        <v>46304</v>
      </c>
      <c r="E6688" s="1" t="n">
        <v>46319</v>
      </c>
      <c r="F6688" t="inlineStr">
        <is>
          <t>DALARNAS LÄN</t>
        </is>
      </c>
      <c r="G6688" t="inlineStr">
        <is>
          <t>FALUN</t>
        </is>
      </c>
      <c r="H6688" t="inlineStr">
        <is>
          <t>Bergvik skog väst AB</t>
        </is>
      </c>
      <c r="I6688" t="n">
        <v>2.7</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A 37075-2025</t>
        </is>
      </c>
      <c r="B6689" t="inlineStr">
        <is>
          <t>avverkningsanmälan</t>
        </is>
      </c>
      <c r="C6689" t="inlineStr">
        <is>
          <t>Föryngringsavverkning</t>
        </is>
      </c>
      <c r="D6689" s="1" t="n">
        <v>45875</v>
      </c>
      <c r="E6689" s="1" t="n">
        <v>46319</v>
      </c>
      <c r="F6689" t="inlineStr">
        <is>
          <t>DALARNAS LÄN</t>
        </is>
      </c>
      <c r="G6689" t="inlineStr">
        <is>
          <t>SÄTER</t>
        </is>
      </c>
      <c r="I6689" t="n">
        <v>0.6</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A 37129-2025</t>
        </is>
      </c>
      <c r="B6690" t="inlineStr">
        <is>
          <t>avverkningsanmälan</t>
        </is>
      </c>
      <c r="C6690" t="inlineStr">
        <is>
          <t>Föryngringsavverkning</t>
        </is>
      </c>
      <c r="D6690" s="1" t="n">
        <v>45875</v>
      </c>
      <c r="E6690" s="1" t="n">
        <v>46319</v>
      </c>
      <c r="F6690" t="inlineStr">
        <is>
          <t>DALARNAS LÄN</t>
        </is>
      </c>
      <c r="G6690" t="inlineStr">
        <is>
          <t>LUDVIKA</t>
        </is>
      </c>
      <c r="I6690" t="n">
        <v>3.9</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A 29996-2026</t>
        </is>
      </c>
      <c r="B6691" t="inlineStr">
        <is>
          <t>avverkningsanmälan</t>
        </is>
      </c>
      <c r="C6691" t="inlineStr">
        <is>
          <t>Föryngringsavverkning</t>
        </is>
      </c>
      <c r="D6691" s="1" t="n">
        <v>46205</v>
      </c>
      <c r="E6691" s="1" t="n">
        <v>46319</v>
      </c>
      <c r="F6691" t="inlineStr">
        <is>
          <t>DALARNAS LÄN</t>
        </is>
      </c>
      <c r="G6691" t="inlineStr">
        <is>
          <t>AVESTA</t>
        </is>
      </c>
      <c r="H6691" t="inlineStr">
        <is>
          <t>Sveaskog</t>
        </is>
      </c>
      <c r="I6691" t="n">
        <v>4</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A 46885-2024</t>
        </is>
      </c>
      <c r="B6692" t="inlineStr">
        <is>
          <t>avverkningsanmälan</t>
        </is>
      </c>
      <c r="C6692" t="inlineStr">
        <is>
          <t>Föryngringsavverkning</t>
        </is>
      </c>
      <c r="D6692" s="1" t="n">
        <v>45583</v>
      </c>
      <c r="E6692" s="1" t="n">
        <v>46319</v>
      </c>
      <c r="F6692" t="inlineStr">
        <is>
          <t>DALARNAS LÄN</t>
        </is>
      </c>
      <c r="G6692" t="inlineStr">
        <is>
          <t>MALUNG-SÄLEN</t>
        </is>
      </c>
      <c r="H6692" t="inlineStr">
        <is>
          <t>Bergvik skog väst AB</t>
        </is>
      </c>
      <c r="I6692" t="n">
        <v>10</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A 18610-2026</t>
        </is>
      </c>
      <c r="B6693" t="inlineStr">
        <is>
          <t>avverkningsanmälan</t>
        </is>
      </c>
      <c r="C6693" t="inlineStr">
        <is>
          <t>Föryngringsavverkning</t>
        </is>
      </c>
      <c r="D6693" s="1" t="n">
        <v>46127</v>
      </c>
      <c r="E6693" s="1" t="n">
        <v>46319</v>
      </c>
      <c r="F6693" t="inlineStr">
        <is>
          <t>DALARNAS LÄN</t>
        </is>
      </c>
      <c r="G6693" t="inlineStr">
        <is>
          <t>MALUNG-SÄLEN</t>
        </is>
      </c>
      <c r="I6693" t="n">
        <v>2.6</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A 18614-2026</t>
        </is>
      </c>
      <c r="B6694" t="inlineStr">
        <is>
          <t>avverkningsanmälan</t>
        </is>
      </c>
      <c r="C6694" t="inlineStr">
        <is>
          <t>Föryngringsavverkning</t>
        </is>
      </c>
      <c r="D6694" s="1" t="n">
        <v>46127</v>
      </c>
      <c r="E6694" s="1" t="n">
        <v>46319</v>
      </c>
      <c r="F6694" t="inlineStr">
        <is>
          <t>DALARNAS LÄN</t>
        </is>
      </c>
      <c r="G6694" t="inlineStr">
        <is>
          <t>ÄLVDALEN</t>
        </is>
      </c>
      <c r="I6694" t="n">
        <v>1.4</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A 41826-2026</t>
        </is>
      </c>
      <c r="B6695" t="inlineStr">
        <is>
          <t>avverkningsanmälan</t>
        </is>
      </c>
      <c r="C6695" t="inlineStr">
        <is>
          <t>Föryngringsavverkning</t>
        </is>
      </c>
      <c r="D6695" s="1" t="n">
        <v>46303</v>
      </c>
      <c r="E6695" s="1" t="n">
        <v>46319</v>
      </c>
      <c r="F6695" t="inlineStr">
        <is>
          <t>DALARNAS LÄN</t>
        </is>
      </c>
      <c r="G6695" t="inlineStr">
        <is>
          <t>RÄTTVIK</t>
        </is>
      </c>
      <c r="I6695" t="n">
        <v>3.3</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A 41832-2026</t>
        </is>
      </c>
      <c r="B6696" t="inlineStr">
        <is>
          <t>avverkningsanmälan</t>
        </is>
      </c>
      <c r="C6696" t="inlineStr">
        <is>
          <t>Föryngringsavverkning</t>
        </is>
      </c>
      <c r="D6696" s="1" t="n">
        <v>46303</v>
      </c>
      <c r="E6696" s="1" t="n">
        <v>46319</v>
      </c>
      <c r="F6696" t="inlineStr">
        <is>
          <t>DALARNAS LÄN</t>
        </is>
      </c>
      <c r="G6696" t="inlineStr">
        <is>
          <t>ORSA</t>
        </is>
      </c>
      <c r="I6696" t="n">
        <v>4.9</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A 41833-2026</t>
        </is>
      </c>
      <c r="B6697" t="inlineStr">
        <is>
          <t>avverkningsanmälan</t>
        </is>
      </c>
      <c r="C6697" t="inlineStr">
        <is>
          <t>Föryngringsavverkning</t>
        </is>
      </c>
      <c r="D6697" s="1" t="n">
        <v>46303</v>
      </c>
      <c r="E6697" s="1" t="n">
        <v>46319</v>
      </c>
      <c r="F6697" t="inlineStr">
        <is>
          <t>DALARNAS LÄN</t>
        </is>
      </c>
      <c r="G6697" t="inlineStr">
        <is>
          <t>ORSA</t>
        </is>
      </c>
      <c r="I6697" t="n">
        <v>1.6</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A 18414-2026</t>
        </is>
      </c>
      <c r="B6698" t="inlineStr">
        <is>
          <t>avverkningsanmälan</t>
        </is>
      </c>
      <c r="C6698" t="inlineStr">
        <is>
          <t>Föryngringsavverkning</t>
        </is>
      </c>
      <c r="D6698" s="1" t="n">
        <v>46126</v>
      </c>
      <c r="E6698" s="1" t="n">
        <v>46319</v>
      </c>
      <c r="F6698" t="inlineStr">
        <is>
          <t>DALARNAS LÄN</t>
        </is>
      </c>
      <c r="G6698" t="inlineStr">
        <is>
          <t>LEKSAND</t>
        </is>
      </c>
      <c r="I6698" t="n">
        <v>3.7</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A 5543-2022</t>
        </is>
      </c>
      <c r="B6699" t="inlineStr">
        <is>
          <t>avverkningsanmälan</t>
        </is>
      </c>
      <c r="C6699" t="inlineStr">
        <is>
          <t>Föryngringsavverkning</t>
        </is>
      </c>
      <c r="D6699" s="1" t="n">
        <v>44595</v>
      </c>
      <c r="E6699" s="1" t="n">
        <v>46319</v>
      </c>
      <c r="F6699" t="inlineStr">
        <is>
          <t>DALARNAS LÄN</t>
        </is>
      </c>
      <c r="G6699" t="inlineStr">
        <is>
          <t>SÄTER</t>
        </is>
      </c>
      <c r="I6699" t="n">
        <v>2.3</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A 18511-2026</t>
        </is>
      </c>
      <c r="B6700" t="inlineStr">
        <is>
          <t>avverkningsanmälan</t>
        </is>
      </c>
      <c r="C6700" t="inlineStr">
        <is>
          <t>Föryngringsavverkning</t>
        </is>
      </c>
      <c r="D6700" s="1" t="n">
        <v>46127</v>
      </c>
      <c r="E6700" s="1" t="n">
        <v>46319</v>
      </c>
      <c r="F6700" t="inlineStr">
        <is>
          <t>DALARNAS LÄN</t>
        </is>
      </c>
      <c r="G6700" t="inlineStr">
        <is>
          <t>FALUN</t>
        </is>
      </c>
      <c r="H6700" t="inlineStr">
        <is>
          <t>Bergvik skog väst AB</t>
        </is>
      </c>
      <c r="I6700" t="n">
        <v>5.6</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A 37285-2025</t>
        </is>
      </c>
      <c r="B6701" t="inlineStr">
        <is>
          <t>avverkningsanmälan</t>
        </is>
      </c>
      <c r="C6701" t="inlineStr">
        <is>
          <t>Föryngringsavverkning</t>
        </is>
      </c>
      <c r="D6701" s="1" t="n">
        <v>45876</v>
      </c>
      <c r="E6701" s="1" t="n">
        <v>46319</v>
      </c>
      <c r="F6701" t="inlineStr">
        <is>
          <t>DALARNAS LÄN</t>
        </is>
      </c>
      <c r="G6701" t="inlineStr">
        <is>
          <t>VANSBRO</t>
        </is>
      </c>
      <c r="I6701" t="n">
        <v>1.6</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A 31393-2026</t>
        </is>
      </c>
      <c r="B6702" t="inlineStr">
        <is>
          <t>avverkningsanmälan</t>
        </is>
      </c>
      <c r="C6702" t="inlineStr">
        <is>
          <t>Föryngringsavverkning</t>
        </is>
      </c>
      <c r="D6702" s="1" t="n">
        <v>46220</v>
      </c>
      <c r="E6702" s="1" t="n">
        <v>46319</v>
      </c>
      <c r="F6702" t="inlineStr">
        <is>
          <t>DALARNAS LÄN</t>
        </is>
      </c>
      <c r="G6702" t="inlineStr">
        <is>
          <t>LUDVIKA</t>
        </is>
      </c>
      <c r="H6702" t="inlineStr">
        <is>
          <t>Naturvårdsverket</t>
        </is>
      </c>
      <c r="I6702" t="n">
        <v>4.7</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A 37181-2025</t>
        </is>
      </c>
      <c r="B6703" t="inlineStr">
        <is>
          <t>avverkningsanmälan</t>
        </is>
      </c>
      <c r="C6703" t="inlineStr">
        <is>
          <t>Föryngringsavverkning</t>
        </is>
      </c>
      <c r="D6703" s="1" t="n">
        <v>45875</v>
      </c>
      <c r="E6703" s="1" t="n">
        <v>46319</v>
      </c>
      <c r="F6703" t="inlineStr">
        <is>
          <t>DALARNAS LÄN</t>
        </is>
      </c>
      <c r="G6703" t="inlineStr">
        <is>
          <t>ORSA</t>
        </is>
      </c>
      <c r="H6703" t="inlineStr">
        <is>
          <t>Bergvik skog öst AB</t>
        </is>
      </c>
      <c r="I6703" t="n">
        <v>0.6</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A 18662-2026</t>
        </is>
      </c>
      <c r="B6704" t="inlineStr">
        <is>
          <t>avverkningsanmälan</t>
        </is>
      </c>
      <c r="C6704" t="inlineStr">
        <is>
          <t>Föryngringsavverkning</t>
        </is>
      </c>
      <c r="D6704" s="1" t="n">
        <v>46128</v>
      </c>
      <c r="E6704" s="1" t="n">
        <v>46319</v>
      </c>
      <c r="F6704" t="inlineStr">
        <is>
          <t>DALARNAS LÄN</t>
        </is>
      </c>
      <c r="G6704" t="inlineStr">
        <is>
          <t>AVESTA</t>
        </is>
      </c>
      <c r="H6704" t="inlineStr">
        <is>
          <t>Sveaskog</t>
        </is>
      </c>
      <c r="I6704" t="n">
        <v>6.1</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A 19024-2026</t>
        </is>
      </c>
      <c r="B6705" t="inlineStr">
        <is>
          <t>avverkningsanmälan</t>
        </is>
      </c>
      <c r="C6705" t="inlineStr">
        <is>
          <t>Avverkning för annat ändamål</t>
        </is>
      </c>
      <c r="D6705" s="1" t="n">
        <v>46131</v>
      </c>
      <c r="E6705" s="1" t="n">
        <v>46319</v>
      </c>
      <c r="F6705" t="inlineStr">
        <is>
          <t>DALARNAS LÄN</t>
        </is>
      </c>
      <c r="G6705" t="inlineStr">
        <is>
          <t>ORSA</t>
        </is>
      </c>
      <c r="I6705" t="n">
        <v>0.8</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A 37268-2025</t>
        </is>
      </c>
      <c r="B6706" t="inlineStr">
        <is>
          <t>avverkningsanmälan</t>
        </is>
      </c>
      <c r="C6706" t="inlineStr">
        <is>
          <t>Föryngringsavverkning</t>
        </is>
      </c>
      <c r="D6706" s="1" t="n">
        <v>45876</v>
      </c>
      <c r="E6706" s="1" t="n">
        <v>46319</v>
      </c>
      <c r="F6706" t="inlineStr">
        <is>
          <t>DALARNAS LÄN</t>
        </is>
      </c>
      <c r="G6706" t="inlineStr">
        <is>
          <t>MORA</t>
        </is>
      </c>
      <c r="I6706" t="n">
        <v>2.1</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A 37034-2025</t>
        </is>
      </c>
      <c r="B6707" t="inlineStr">
        <is>
          <t>avverkningsanmälan</t>
        </is>
      </c>
      <c r="C6707" t="inlineStr">
        <is>
          <t>Avverkning för annat ändamål</t>
        </is>
      </c>
      <c r="D6707" s="1" t="n">
        <v>45874</v>
      </c>
      <c r="E6707" s="1" t="n">
        <v>46319</v>
      </c>
      <c r="F6707" t="inlineStr">
        <is>
          <t>DALARNAS LÄN</t>
        </is>
      </c>
      <c r="G6707" t="inlineStr">
        <is>
          <t>BORLÄNGE</t>
        </is>
      </c>
      <c r="I6707" t="n">
        <v>2.8</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A 37287-2025</t>
        </is>
      </c>
      <c r="B6708" t="inlineStr">
        <is>
          <t>avverkningsanmälan</t>
        </is>
      </c>
      <c r="C6708" t="inlineStr">
        <is>
          <t>Föryngringsavverkning</t>
        </is>
      </c>
      <c r="D6708" s="1" t="n">
        <v>45876</v>
      </c>
      <c r="E6708" s="1" t="n">
        <v>46319</v>
      </c>
      <c r="F6708" t="inlineStr">
        <is>
          <t>DALARNAS LÄN</t>
        </is>
      </c>
      <c r="G6708" t="inlineStr">
        <is>
          <t>VANSBRO</t>
        </is>
      </c>
      <c r="I6708" t="n">
        <v>1.1</v>
      </c>
      <c r="J6708" t="n">
        <v>0</v>
      </c>
      <c r="K6708" t="n">
        <v>0</v>
      </c>
      <c r="L6708" t="n">
        <v>0</v>
      </c>
      <c r="M6708" t="n">
        <v>0</v>
      </c>
      <c r="N6708" t="n">
        <v>0</v>
      </c>
      <c r="O6708" t="n">
        <v>0</v>
      </c>
      <c r="P6708" t="n">
        <v>0</v>
      </c>
      <c r="Q6708" t="n">
        <v>0</v>
      </c>
      <c r="R6708" t="n">
        <v>0</v>
      </c>
      <c r="S6708" t="n">
        <v>0</v>
      </c>
      <c r="T6708" t="n">
        <v>0</v>
      </c>
      <c r="U6708" t="n">
        <v>0</v>
      </c>
      <c r="V6708" s="2" t="inlineStr"/>
    </row>
    <row r="6709" ht="15" customHeight="1">
      <c r="A6709" t="inlineStr">
        <is>
          <t>A 8117-2022</t>
        </is>
      </c>
      <c r="B6709" t="inlineStr">
        <is>
          <t>avverkningsanmälan</t>
        </is>
      </c>
      <c r="C6709" t="inlineStr">
        <is>
          <t>Föryngringsavverkning</t>
        </is>
      </c>
      <c r="D6709" s="1" t="n">
        <v>44609</v>
      </c>
      <c r="E6709" s="1" t="n">
        <v>46319</v>
      </c>
      <c r="F6709" t="inlineStr">
        <is>
          <t>DALARNAS LÄN</t>
        </is>
      </c>
      <c r="G6709" t="inlineStr">
        <is>
          <t>SÄTER</t>
        </is>
      </c>
      <c r="I6709" t="n">
        <v>6.2</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A 39276-2025</t>
        </is>
      </c>
      <c r="B6710" t="inlineStr">
        <is>
          <t>avverkningsanmälan</t>
        </is>
      </c>
      <c r="C6710" t="inlineStr">
        <is>
          <t>Föryngringsavverkning</t>
        </is>
      </c>
      <c r="D6710" s="1" t="n">
        <v>45889</v>
      </c>
      <c r="E6710" s="1" t="n">
        <v>46319</v>
      </c>
      <c r="F6710" t="inlineStr">
        <is>
          <t>DALARNAS LÄN</t>
        </is>
      </c>
      <c r="G6710" t="inlineStr">
        <is>
          <t>FALUN</t>
        </is>
      </c>
      <c r="I6710" t="n">
        <v>4.7</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A 18779-2026</t>
        </is>
      </c>
      <c r="B6711" t="inlineStr">
        <is>
          <t>avverkningsanmälan</t>
        </is>
      </c>
      <c r="C6711" t="inlineStr">
        <is>
          <t>Föryngringsavverkning</t>
        </is>
      </c>
      <c r="D6711" s="1" t="n">
        <v>46128</v>
      </c>
      <c r="E6711" s="1" t="n">
        <v>46319</v>
      </c>
      <c r="F6711" t="inlineStr">
        <is>
          <t>DALARNAS LÄN</t>
        </is>
      </c>
      <c r="G6711" t="inlineStr">
        <is>
          <t>MALUNG-SÄLEN</t>
        </is>
      </c>
      <c r="I6711" t="n">
        <v>2.8</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A 37446-2025</t>
        </is>
      </c>
      <c r="B6712" t="inlineStr">
        <is>
          <t>avverkningsanmälan</t>
        </is>
      </c>
      <c r="C6712" t="inlineStr">
        <is>
          <t>Föryngringsavverkning</t>
        </is>
      </c>
      <c r="D6712" s="1" t="n">
        <v>45877</v>
      </c>
      <c r="E6712" s="1" t="n">
        <v>46319</v>
      </c>
      <c r="F6712" t="inlineStr">
        <is>
          <t>DALARNAS LÄN</t>
        </is>
      </c>
      <c r="G6712" t="inlineStr">
        <is>
          <t>RÄTTVIK</t>
        </is>
      </c>
      <c r="I6712" t="n">
        <v>1.1</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A 18823-2026</t>
        </is>
      </c>
      <c r="B6713" t="inlineStr">
        <is>
          <t>avverkningsanmälan</t>
        </is>
      </c>
      <c r="C6713" t="inlineStr">
        <is>
          <t>Föryngringsavverkning</t>
        </is>
      </c>
      <c r="D6713" s="1" t="n">
        <v>46128</v>
      </c>
      <c r="E6713" s="1" t="n">
        <v>46319</v>
      </c>
      <c r="F6713" t="inlineStr">
        <is>
          <t>DALARNAS LÄN</t>
        </is>
      </c>
      <c r="G6713" t="inlineStr">
        <is>
          <t>VANSBRO</t>
        </is>
      </c>
      <c r="H6713" t="inlineStr">
        <is>
          <t>Bergvik skog väst AB</t>
        </is>
      </c>
      <c r="I6713" t="n">
        <v>13.1</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A 35505-2026</t>
        </is>
      </c>
      <c r="B6714" t="inlineStr">
        <is>
          <t>avverkningsanmälan</t>
        </is>
      </c>
      <c r="C6714" t="inlineStr">
        <is>
          <t>Föryngringsavverkning</t>
        </is>
      </c>
      <c r="D6714" s="1" t="n">
        <v>46262</v>
      </c>
      <c r="E6714" s="1" t="n">
        <v>46319</v>
      </c>
      <c r="F6714" t="inlineStr">
        <is>
          <t>DALARNAS LÄN</t>
        </is>
      </c>
      <c r="G6714" t="inlineStr">
        <is>
          <t>HEDEMORA</t>
        </is>
      </c>
      <c r="I6714" t="n">
        <v>4</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A 37447-2025</t>
        </is>
      </c>
      <c r="B6715" t="inlineStr">
        <is>
          <t>avverkningsanmälan</t>
        </is>
      </c>
      <c r="C6715" t="inlineStr">
        <is>
          <t>Föryngringsavverkning</t>
        </is>
      </c>
      <c r="D6715" s="1" t="n">
        <v>45877</v>
      </c>
      <c r="E6715" s="1" t="n">
        <v>46319</v>
      </c>
      <c r="F6715" t="inlineStr">
        <is>
          <t>DALARNAS LÄN</t>
        </is>
      </c>
      <c r="G6715" t="inlineStr">
        <is>
          <t>RÄTTVIK</t>
        </is>
      </c>
      <c r="I6715" t="n">
        <v>0.6</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A 37741-2025</t>
        </is>
      </c>
      <c r="B6716" t="inlineStr">
        <is>
          <t>avverkningsanmälan</t>
        </is>
      </c>
      <c r="C6716" t="inlineStr">
        <is>
          <t>Föryngringsavverkning</t>
        </is>
      </c>
      <c r="D6716" s="1" t="n">
        <v>45880</v>
      </c>
      <c r="E6716" s="1" t="n">
        <v>46319</v>
      </c>
      <c r="F6716" t="inlineStr">
        <is>
          <t>DALARNAS LÄN</t>
        </is>
      </c>
      <c r="G6716" t="inlineStr">
        <is>
          <t>BORLÄNGE</t>
        </is>
      </c>
      <c r="H6716" t="inlineStr">
        <is>
          <t>Kommuner</t>
        </is>
      </c>
      <c r="I6716" t="n">
        <v>1.6</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A 38921-2025</t>
        </is>
      </c>
      <c r="B6717" t="inlineStr">
        <is>
          <t>avverkningsanmälan</t>
        </is>
      </c>
      <c r="C6717" t="inlineStr">
        <is>
          <t>Föryngringsavverkning</t>
        </is>
      </c>
      <c r="D6717" s="1" t="n">
        <v>45887</v>
      </c>
      <c r="E6717" s="1" t="n">
        <v>46319</v>
      </c>
      <c r="F6717" t="inlineStr">
        <is>
          <t>DALARNAS LÄN</t>
        </is>
      </c>
      <c r="G6717" t="inlineStr">
        <is>
          <t>LUDVIKA</t>
        </is>
      </c>
      <c r="H6717" t="inlineStr">
        <is>
          <t>Bergvik skog väst AB</t>
        </is>
      </c>
      <c r="I6717" t="n">
        <v>3.2</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A 30880-2026</t>
        </is>
      </c>
      <c r="B6718" t="inlineStr">
        <is>
          <t>avverkningsanmälan</t>
        </is>
      </c>
      <c r="C6718" t="inlineStr">
        <is>
          <t>Föryngringsavverkning</t>
        </is>
      </c>
      <c r="D6718" s="1" t="n">
        <v>46212</v>
      </c>
      <c r="E6718" s="1" t="n">
        <v>46319</v>
      </c>
      <c r="F6718" t="inlineStr">
        <is>
          <t>DALARNAS LÄN</t>
        </is>
      </c>
      <c r="G6718" t="inlineStr">
        <is>
          <t>HEDEMORA</t>
        </is>
      </c>
      <c r="H6718" t="inlineStr">
        <is>
          <t>Sveaskog</t>
        </is>
      </c>
      <c r="I6718" t="n">
        <v>2.9</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A 42272-2026</t>
        </is>
      </c>
      <c r="B6719" t="inlineStr">
        <is>
          <t>avverkningsanmälan</t>
        </is>
      </c>
      <c r="C6719" t="inlineStr">
        <is>
          <t>Avverkning för att bevara och utveckla /försöksver</t>
        </is>
      </c>
      <c r="D6719" s="1" t="n">
        <v>46307</v>
      </c>
      <c r="E6719" s="1" t="n">
        <v>46319</v>
      </c>
      <c r="F6719" t="inlineStr">
        <is>
          <t>DALARNAS LÄN</t>
        </is>
      </c>
      <c r="G6719" t="inlineStr">
        <is>
          <t>AVESTA</t>
        </is>
      </c>
      <c r="I6719" t="n">
        <v>0.5</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A 12938-2026</t>
        </is>
      </c>
      <c r="B6720" t="inlineStr">
        <is>
          <t>avverkningsanmälan</t>
        </is>
      </c>
      <c r="C6720" t="inlineStr">
        <is>
          <t>Föryngringsavverkning</t>
        </is>
      </c>
      <c r="D6720" s="1" t="n">
        <v>46092</v>
      </c>
      <c r="E6720" s="1" t="n">
        <v>46319</v>
      </c>
      <c r="F6720" t="inlineStr">
        <is>
          <t>DALARNAS LÄN</t>
        </is>
      </c>
      <c r="G6720" t="inlineStr">
        <is>
          <t>SÄTER</t>
        </is>
      </c>
      <c r="I6720" t="n">
        <v>1.6</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A 18665-2026</t>
        </is>
      </c>
      <c r="B6721" t="inlineStr">
        <is>
          <t>avverkningsanmälan</t>
        </is>
      </c>
      <c r="C6721" t="inlineStr">
        <is>
          <t>Avverkning för annat ändamål</t>
        </is>
      </c>
      <c r="D6721" s="1" t="n">
        <v>46128</v>
      </c>
      <c r="E6721" s="1" t="n">
        <v>46319</v>
      </c>
      <c r="F6721" t="inlineStr">
        <is>
          <t>DALARNAS LÄN</t>
        </is>
      </c>
      <c r="G6721" t="inlineStr">
        <is>
          <t>HEDEMORA</t>
        </is>
      </c>
      <c r="H6721" t="inlineStr">
        <is>
          <t>Sveaskog</t>
        </is>
      </c>
      <c r="I6721" t="n">
        <v>0.9</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A 19114-2026</t>
        </is>
      </c>
      <c r="B6722" t="inlineStr">
        <is>
          <t>avverkningsanmälan</t>
        </is>
      </c>
      <c r="C6722" t="inlineStr">
        <is>
          <t>Föryngringsavverkning</t>
        </is>
      </c>
      <c r="D6722" s="1" t="n">
        <v>46132</v>
      </c>
      <c r="E6722" s="1" t="n">
        <v>46319</v>
      </c>
      <c r="F6722" t="inlineStr">
        <is>
          <t>DALARNAS LÄN</t>
        </is>
      </c>
      <c r="G6722" t="inlineStr">
        <is>
          <t>MALUNG-SÄLEN</t>
        </is>
      </c>
      <c r="H6722" t="inlineStr">
        <is>
          <t>Bergvik skog väst AB</t>
        </is>
      </c>
      <c r="I6722" t="n">
        <v>4.9</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A 18694-2026</t>
        </is>
      </c>
      <c r="B6723" t="inlineStr">
        <is>
          <t>avverkningsanmälan</t>
        </is>
      </c>
      <c r="C6723" t="inlineStr">
        <is>
          <t>Föryngringsavverkning</t>
        </is>
      </c>
      <c r="D6723" s="1" t="n">
        <v>46128</v>
      </c>
      <c r="E6723" s="1" t="n">
        <v>46319</v>
      </c>
      <c r="F6723" t="inlineStr">
        <is>
          <t>DALARNAS LÄN</t>
        </is>
      </c>
      <c r="G6723" t="inlineStr">
        <is>
          <t>ORSA</t>
        </is>
      </c>
      <c r="I6723" t="n">
        <v>1.4</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A 19089-2026</t>
        </is>
      </c>
      <c r="B6724" t="inlineStr">
        <is>
          <t>avverkningsanmälan</t>
        </is>
      </c>
      <c r="C6724" t="inlineStr">
        <is>
          <t>Föryngringsavverkning</t>
        </is>
      </c>
      <c r="D6724" s="1" t="n">
        <v>46132</v>
      </c>
      <c r="E6724" s="1" t="n">
        <v>46319</v>
      </c>
      <c r="F6724" t="inlineStr">
        <is>
          <t>DALARNAS LÄN</t>
        </is>
      </c>
      <c r="G6724" t="inlineStr">
        <is>
          <t>ORSA</t>
        </is>
      </c>
      <c r="I6724" t="n">
        <v>1</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A 37439-2025</t>
        </is>
      </c>
      <c r="B6725" t="inlineStr">
        <is>
          <t>avverkningsanmälan</t>
        </is>
      </c>
      <c r="C6725" t="inlineStr">
        <is>
          <t>Föryngringsavverkning</t>
        </is>
      </c>
      <c r="D6725" s="1" t="n">
        <v>45877</v>
      </c>
      <c r="E6725" s="1" t="n">
        <v>46319</v>
      </c>
      <c r="F6725" t="inlineStr">
        <is>
          <t>DALARNAS LÄN</t>
        </is>
      </c>
      <c r="G6725" t="inlineStr">
        <is>
          <t>ORSA</t>
        </is>
      </c>
      <c r="H6725" t="inlineStr">
        <is>
          <t>Allmännings- och besparingsskogar</t>
        </is>
      </c>
      <c r="I6725" t="n">
        <v>7.9</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A 65195-2021</t>
        </is>
      </c>
      <c r="B6726" t="inlineStr">
        <is>
          <t>avverkningsanmälan</t>
        </is>
      </c>
      <c r="C6726" t="inlineStr">
        <is>
          <t>Föryngringsavverkning</t>
        </is>
      </c>
      <c r="D6726" s="1" t="n">
        <v>44515</v>
      </c>
      <c r="E6726" s="1" t="n">
        <v>46319</v>
      </c>
      <c r="F6726" t="inlineStr">
        <is>
          <t>DALARNAS LÄN</t>
        </is>
      </c>
      <c r="G6726" t="inlineStr">
        <is>
          <t>LUDVIKA</t>
        </is>
      </c>
      <c r="H6726" t="inlineStr">
        <is>
          <t>Bergvik skog väst AB</t>
        </is>
      </c>
      <c r="I6726" t="n">
        <v>0.5</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A 18720-2026</t>
        </is>
      </c>
      <c r="B6727" t="inlineStr">
        <is>
          <t>avverkningsanmälan</t>
        </is>
      </c>
      <c r="C6727" t="inlineStr">
        <is>
          <t>Föryngringsavverkning</t>
        </is>
      </c>
      <c r="D6727" s="1" t="n">
        <v>46128</v>
      </c>
      <c r="E6727" s="1" t="n">
        <v>46319</v>
      </c>
      <c r="F6727" t="inlineStr">
        <is>
          <t>DALARNAS LÄN</t>
        </is>
      </c>
      <c r="G6727" t="inlineStr">
        <is>
          <t>FALUN</t>
        </is>
      </c>
      <c r="H6727" t="inlineStr">
        <is>
          <t>Bergvik skog väst AB</t>
        </is>
      </c>
      <c r="I6727" t="n">
        <v>6.1</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A 37743-2025</t>
        </is>
      </c>
      <c r="B6728" t="inlineStr">
        <is>
          <t>avverkningsanmälan</t>
        </is>
      </c>
      <c r="C6728" t="inlineStr">
        <is>
          <t>Föryngringsavverkning</t>
        </is>
      </c>
      <c r="D6728" s="1" t="n">
        <v>45880</v>
      </c>
      <c r="E6728" s="1" t="n">
        <v>46319</v>
      </c>
      <c r="F6728" t="inlineStr">
        <is>
          <t>DALARNAS LÄN</t>
        </is>
      </c>
      <c r="G6728" t="inlineStr">
        <is>
          <t>BORLÄNGE</t>
        </is>
      </c>
      <c r="H6728" t="inlineStr">
        <is>
          <t>Kommuner</t>
        </is>
      </c>
      <c r="I6728" t="n">
        <v>0.8</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A 18042-2025</t>
        </is>
      </c>
      <c r="B6729" t="inlineStr">
        <is>
          <t>avverkningsanmälan</t>
        </is>
      </c>
      <c r="C6729" t="inlineStr">
        <is>
          <t>Föryngringsavverkning</t>
        </is>
      </c>
      <c r="D6729" s="1" t="n">
        <v>45761</v>
      </c>
      <c r="E6729" s="1" t="n">
        <v>46319</v>
      </c>
      <c r="F6729" t="inlineStr">
        <is>
          <t>DALARNAS LÄN</t>
        </is>
      </c>
      <c r="G6729" t="inlineStr">
        <is>
          <t>FALUN</t>
        </is>
      </c>
      <c r="H6729" t="inlineStr">
        <is>
          <t>Bergvik skog väst AB</t>
        </is>
      </c>
      <c r="I6729" t="n">
        <v>5.1</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A 18654-2026</t>
        </is>
      </c>
      <c r="B6730" t="inlineStr">
        <is>
          <t>avverkningsanmälan</t>
        </is>
      </c>
      <c r="C6730" t="inlineStr">
        <is>
          <t>Avverkning för annat ändamål</t>
        </is>
      </c>
      <c r="D6730" s="1" t="n">
        <v>46128</v>
      </c>
      <c r="E6730" s="1" t="n">
        <v>46319</v>
      </c>
      <c r="F6730" t="inlineStr">
        <is>
          <t>DALARNAS LÄN</t>
        </is>
      </c>
      <c r="G6730" t="inlineStr">
        <is>
          <t>HEDEMORA</t>
        </is>
      </c>
      <c r="H6730" t="inlineStr">
        <is>
          <t>Sveaskog</t>
        </is>
      </c>
      <c r="I6730" t="n">
        <v>1.1</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A 37739-2025</t>
        </is>
      </c>
      <c r="B6731" t="inlineStr">
        <is>
          <t>avverkningsanmälan</t>
        </is>
      </c>
      <c r="C6731" t="inlineStr">
        <is>
          <t>Föryngringsavverkning</t>
        </is>
      </c>
      <c r="D6731" s="1" t="n">
        <v>45880</v>
      </c>
      <c r="E6731" s="1" t="n">
        <v>46319</v>
      </c>
      <c r="F6731" t="inlineStr">
        <is>
          <t>DALARNAS LÄN</t>
        </is>
      </c>
      <c r="G6731" t="inlineStr">
        <is>
          <t>BORLÄNGE</t>
        </is>
      </c>
      <c r="I6731" t="n">
        <v>1.3</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A 18829-2026</t>
        </is>
      </c>
      <c r="B6732" t="inlineStr">
        <is>
          <t>avverkningsanmälan</t>
        </is>
      </c>
      <c r="C6732" t="inlineStr">
        <is>
          <t>Föryngringsavverkning</t>
        </is>
      </c>
      <c r="D6732" s="1" t="n">
        <v>46128</v>
      </c>
      <c r="E6732" s="1" t="n">
        <v>46319</v>
      </c>
      <c r="F6732" t="inlineStr">
        <is>
          <t>DALARNAS LÄN</t>
        </is>
      </c>
      <c r="G6732" t="inlineStr">
        <is>
          <t>LUDVIKA</t>
        </is>
      </c>
      <c r="I6732" t="n">
        <v>2.1</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A 37634-2025</t>
        </is>
      </c>
      <c r="B6733" t="inlineStr">
        <is>
          <t>avverkningsanmälan</t>
        </is>
      </c>
      <c r="C6733" t="inlineStr">
        <is>
          <t>Föryngringsavverkning</t>
        </is>
      </c>
      <c r="D6733" s="1" t="n">
        <v>45880</v>
      </c>
      <c r="E6733" s="1" t="n">
        <v>46319</v>
      </c>
      <c r="F6733" t="inlineStr">
        <is>
          <t>DALARNAS LÄN</t>
        </is>
      </c>
      <c r="G6733" t="inlineStr">
        <is>
          <t>MALUNG-SÄLEN</t>
        </is>
      </c>
      <c r="I6733" t="n">
        <v>10.3</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A 37636-2025</t>
        </is>
      </c>
      <c r="B6734" t="inlineStr">
        <is>
          <t>avverkningsanmälan</t>
        </is>
      </c>
      <c r="C6734" t="inlineStr">
        <is>
          <t>Föryngringsavverkning</t>
        </is>
      </c>
      <c r="D6734" s="1" t="n">
        <v>45880</v>
      </c>
      <c r="E6734" s="1" t="n">
        <v>46319</v>
      </c>
      <c r="F6734" t="inlineStr">
        <is>
          <t>DALARNAS LÄN</t>
        </is>
      </c>
      <c r="G6734" t="inlineStr">
        <is>
          <t>MALUNG-SÄLEN</t>
        </is>
      </c>
      <c r="I6734" t="n">
        <v>1.7</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A 37585-2026</t>
        </is>
      </c>
      <c r="B6735" t="inlineStr">
        <is>
          <t>avverkningsanmälan</t>
        </is>
      </c>
      <c r="C6735" t="inlineStr">
        <is>
          <t>Föryngringsavverkning</t>
        </is>
      </c>
      <c r="D6735" s="1" t="n">
        <v>46275</v>
      </c>
      <c r="E6735" s="1" t="n">
        <v>46319</v>
      </c>
      <c r="F6735" t="inlineStr">
        <is>
          <t>DALARNAS LÄN</t>
        </is>
      </c>
      <c r="G6735" t="inlineStr">
        <is>
          <t>BORLÄNGE</t>
        </is>
      </c>
      <c r="I6735" t="n">
        <v>5.2</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A 11266-2026</t>
        </is>
      </c>
      <c r="B6736" t="inlineStr">
        <is>
          <t>avverkningsanmälan</t>
        </is>
      </c>
      <c r="C6736" t="inlineStr">
        <is>
          <t>Föryngringsavverkning</t>
        </is>
      </c>
      <c r="D6736" s="1" t="n">
        <v>46080</v>
      </c>
      <c r="E6736" s="1" t="n">
        <v>46319</v>
      </c>
      <c r="F6736" t="inlineStr">
        <is>
          <t>DALARNAS LÄN</t>
        </is>
      </c>
      <c r="G6736" t="inlineStr">
        <is>
          <t>FALUN</t>
        </is>
      </c>
      <c r="I6736" t="n">
        <v>5</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A 17333-2026</t>
        </is>
      </c>
      <c r="B6737" t="inlineStr">
        <is>
          <t>avverkningsanmälan</t>
        </is>
      </c>
      <c r="C6737" t="inlineStr">
        <is>
          <t>Föryngringsavverkning</t>
        </is>
      </c>
      <c r="D6737" s="1" t="n">
        <v>46119</v>
      </c>
      <c r="E6737" s="1" t="n">
        <v>46319</v>
      </c>
      <c r="F6737" t="inlineStr">
        <is>
          <t>DALARNAS LÄN</t>
        </is>
      </c>
      <c r="G6737" t="inlineStr">
        <is>
          <t>FALUN</t>
        </is>
      </c>
      <c r="H6737" t="inlineStr">
        <is>
          <t>Bergvik skog väst AB</t>
        </is>
      </c>
      <c r="I6737" t="n">
        <v>1.5</v>
      </c>
      <c r="J6737" t="n">
        <v>0</v>
      </c>
      <c r="K6737" t="n">
        <v>0</v>
      </c>
      <c r="L6737" t="n">
        <v>0</v>
      </c>
      <c r="M6737" t="n">
        <v>0</v>
      </c>
      <c r="N6737" t="n">
        <v>0</v>
      </c>
      <c r="O6737" t="n">
        <v>0</v>
      </c>
      <c r="P6737" t="n">
        <v>0</v>
      </c>
      <c r="Q6737" t="n">
        <v>0</v>
      </c>
      <c r="R6737" t="n">
        <v>0</v>
      </c>
      <c r="S6737" t="n">
        <v>0</v>
      </c>
      <c r="T6737" t="n">
        <v>0</v>
      </c>
      <c r="U6737" t="n">
        <v>0</v>
      </c>
      <c r="V6737" s="2" t="inlineStr"/>
    </row>
    <row r="6738" ht="15" customHeight="1">
      <c r="A6738" t="inlineStr">
        <is>
          <t>A 6223-2023</t>
        </is>
      </c>
      <c r="B6738" t="inlineStr">
        <is>
          <t>avverkningsanmälan</t>
        </is>
      </c>
      <c r="C6738" t="inlineStr">
        <is>
          <t>Föryngringsavverkning</t>
        </is>
      </c>
      <c r="D6738" s="1" t="n">
        <v>44964</v>
      </c>
      <c r="E6738" s="1" t="n">
        <v>46319</v>
      </c>
      <c r="F6738" t="inlineStr">
        <is>
          <t>DALARNAS LÄN</t>
        </is>
      </c>
      <c r="G6738" t="inlineStr">
        <is>
          <t>FALUN</t>
        </is>
      </c>
      <c r="I6738" t="n">
        <v>6</v>
      </c>
      <c r="J6738" t="n">
        <v>0</v>
      </c>
      <c r="K6738" t="n">
        <v>0</v>
      </c>
      <c r="L6738" t="n">
        <v>0</v>
      </c>
      <c r="M6738" t="n">
        <v>0</v>
      </c>
      <c r="N6738" t="n">
        <v>0</v>
      </c>
      <c r="O6738" t="n">
        <v>0</v>
      </c>
      <c r="P6738" t="n">
        <v>0</v>
      </c>
      <c r="Q6738" t="n">
        <v>0</v>
      </c>
      <c r="R6738" t="n">
        <v>0</v>
      </c>
      <c r="S6738" t="n">
        <v>0</v>
      </c>
      <c r="T6738" t="n">
        <v>0</v>
      </c>
      <c r="U6738" t="n">
        <v>0</v>
      </c>
      <c r="V6738" s="2" t="inlineStr"/>
    </row>
    <row r="6739" ht="15" customHeight="1">
      <c r="A6739" t="inlineStr">
        <is>
          <t>A 37456-2025</t>
        </is>
      </c>
      <c r="B6739" t="inlineStr">
        <is>
          <t>avverkningsanmälan</t>
        </is>
      </c>
      <c r="C6739" t="inlineStr">
        <is>
          <t>Föryngringsavverkning</t>
        </is>
      </c>
      <c r="D6739" s="1" t="n">
        <v>45877</v>
      </c>
      <c r="E6739" s="1" t="n">
        <v>46319</v>
      </c>
      <c r="F6739" t="inlineStr">
        <is>
          <t>DALARNAS LÄN</t>
        </is>
      </c>
      <c r="G6739" t="inlineStr">
        <is>
          <t>FALUN</t>
        </is>
      </c>
      <c r="I6739" t="n">
        <v>4.8</v>
      </c>
      <c r="J6739" t="n">
        <v>0</v>
      </c>
      <c r="K6739" t="n">
        <v>0</v>
      </c>
      <c r="L6739" t="n">
        <v>0</v>
      </c>
      <c r="M6739" t="n">
        <v>0</v>
      </c>
      <c r="N6739" t="n">
        <v>0</v>
      </c>
      <c r="O6739" t="n">
        <v>0</v>
      </c>
      <c r="P6739" t="n">
        <v>0</v>
      </c>
      <c r="Q6739" t="n">
        <v>0</v>
      </c>
      <c r="R6739" t="n">
        <v>0</v>
      </c>
      <c r="S6739" t="n">
        <v>0</v>
      </c>
      <c r="T6739" t="n">
        <v>0</v>
      </c>
      <c r="U6739" t="n">
        <v>0</v>
      </c>
      <c r="V6739" s="2" t="inlineStr"/>
    </row>
    <row r="6740" ht="15" customHeight="1">
      <c r="A6740" t="inlineStr">
        <is>
          <t>A 18877-2026</t>
        </is>
      </c>
      <c r="B6740" t="inlineStr">
        <is>
          <t>avverkningsanmälan</t>
        </is>
      </c>
      <c r="C6740" t="inlineStr">
        <is>
          <t>Föryngringsavverkning</t>
        </is>
      </c>
      <c r="D6740" s="1" t="n">
        <v>46129</v>
      </c>
      <c r="E6740" s="1" t="n">
        <v>46319</v>
      </c>
      <c r="F6740" t="inlineStr">
        <is>
          <t>DALARNAS LÄN</t>
        </is>
      </c>
      <c r="G6740" t="inlineStr">
        <is>
          <t>SMEDJEBACKEN</t>
        </is>
      </c>
      <c r="H6740" t="inlineStr">
        <is>
          <t>Sveaskog</t>
        </is>
      </c>
      <c r="I6740" t="n">
        <v>3.2</v>
      </c>
      <c r="J6740" t="n">
        <v>0</v>
      </c>
      <c r="K6740" t="n">
        <v>0</v>
      </c>
      <c r="L6740" t="n">
        <v>0</v>
      </c>
      <c r="M6740" t="n">
        <v>0</v>
      </c>
      <c r="N6740" t="n">
        <v>0</v>
      </c>
      <c r="O6740" t="n">
        <v>0</v>
      </c>
      <c r="P6740" t="n">
        <v>0</v>
      </c>
      <c r="Q6740" t="n">
        <v>0</v>
      </c>
      <c r="R6740" t="n">
        <v>0</v>
      </c>
      <c r="S6740" t="n">
        <v>0</v>
      </c>
      <c r="T6740" t="n">
        <v>0</v>
      </c>
      <c r="U6740" t="n">
        <v>0</v>
      </c>
      <c r="V6740" s="2" t="inlineStr"/>
    </row>
    <row r="6741" ht="15" customHeight="1">
      <c r="A6741" t="inlineStr">
        <is>
          <t>A 16982-2026</t>
        </is>
      </c>
      <c r="B6741" t="inlineStr">
        <is>
          <t>avverkningsanmälan</t>
        </is>
      </c>
      <c r="C6741" t="inlineStr">
        <is>
          <t>Föryngringsavverkning</t>
        </is>
      </c>
      <c r="D6741" s="1" t="n">
        <v>46114</v>
      </c>
      <c r="E6741" s="1" t="n">
        <v>46319</v>
      </c>
      <c r="F6741" t="inlineStr">
        <is>
          <t>DALARNAS LÄN</t>
        </is>
      </c>
      <c r="G6741" t="inlineStr">
        <is>
          <t>LEKSAND</t>
        </is>
      </c>
      <c r="H6741" t="inlineStr">
        <is>
          <t>Bergvik skog väst AB</t>
        </is>
      </c>
      <c r="I6741" t="n">
        <v>0.8</v>
      </c>
      <c r="J6741" t="n">
        <v>0</v>
      </c>
      <c r="K6741" t="n">
        <v>0</v>
      </c>
      <c r="L6741" t="n">
        <v>0</v>
      </c>
      <c r="M6741" t="n">
        <v>0</v>
      </c>
      <c r="N6741" t="n">
        <v>0</v>
      </c>
      <c r="O6741" t="n">
        <v>0</v>
      </c>
      <c r="P6741" t="n">
        <v>0</v>
      </c>
      <c r="Q6741" t="n">
        <v>0</v>
      </c>
      <c r="R6741" t="n">
        <v>0</v>
      </c>
      <c r="S6741" t="n">
        <v>0</v>
      </c>
      <c r="T6741" t="n">
        <v>0</v>
      </c>
      <c r="U6741" t="n">
        <v>0</v>
      </c>
      <c r="V6741" s="2" t="inlineStr"/>
    </row>
    <row r="6742" ht="15" customHeight="1">
      <c r="A6742" t="inlineStr">
        <is>
          <t>A 18716-2026</t>
        </is>
      </c>
      <c r="B6742" t="inlineStr">
        <is>
          <t>avverkningsanmälan</t>
        </is>
      </c>
      <c r="C6742" t="inlineStr">
        <is>
          <t>Föryngringsavverkning</t>
        </is>
      </c>
      <c r="D6742" s="1" t="n">
        <v>46128</v>
      </c>
      <c r="E6742" s="1" t="n">
        <v>46319</v>
      </c>
      <c r="F6742" t="inlineStr">
        <is>
          <t>DALARNAS LÄN</t>
        </is>
      </c>
      <c r="G6742" t="inlineStr">
        <is>
          <t>FALUN</t>
        </is>
      </c>
      <c r="H6742" t="inlineStr">
        <is>
          <t>Bergvik skog väst AB</t>
        </is>
      </c>
      <c r="I6742" t="n">
        <v>11.7</v>
      </c>
      <c r="J6742" t="n">
        <v>0</v>
      </c>
      <c r="K6742" t="n">
        <v>0</v>
      </c>
      <c r="L6742" t="n">
        <v>0</v>
      </c>
      <c r="M6742" t="n">
        <v>0</v>
      </c>
      <c r="N6742" t="n">
        <v>0</v>
      </c>
      <c r="O6742" t="n">
        <v>0</v>
      </c>
      <c r="P6742" t="n">
        <v>0</v>
      </c>
      <c r="Q6742" t="n">
        <v>0</v>
      </c>
      <c r="R6742" t="n">
        <v>0</v>
      </c>
      <c r="S6742" t="n">
        <v>0</v>
      </c>
      <c r="T6742" t="n">
        <v>0</v>
      </c>
      <c r="U6742" t="n">
        <v>0</v>
      </c>
      <c r="V6742" s="2" t="inlineStr"/>
    </row>
    <row r="6743" ht="15" customHeight="1">
      <c r="A6743" t="inlineStr">
        <is>
          <t>A 18717-2026</t>
        </is>
      </c>
      <c r="B6743" t="inlineStr">
        <is>
          <t>avverkningsanmälan</t>
        </is>
      </c>
      <c r="C6743" t="inlineStr">
        <is>
          <t>Föryngringsavverkning</t>
        </is>
      </c>
      <c r="D6743" s="1" t="n">
        <v>46128</v>
      </c>
      <c r="E6743" s="1" t="n">
        <v>46319</v>
      </c>
      <c r="F6743" t="inlineStr">
        <is>
          <t>DALARNAS LÄN</t>
        </is>
      </c>
      <c r="G6743" t="inlineStr">
        <is>
          <t>VANSBRO</t>
        </is>
      </c>
      <c r="H6743" t="inlineStr">
        <is>
          <t>Bergvik skog öst AB</t>
        </is>
      </c>
      <c r="I6743" t="n">
        <v>8</v>
      </c>
      <c r="J6743" t="n">
        <v>0</v>
      </c>
      <c r="K6743" t="n">
        <v>0</v>
      </c>
      <c r="L6743" t="n">
        <v>0</v>
      </c>
      <c r="M6743" t="n">
        <v>0</v>
      </c>
      <c r="N6743" t="n">
        <v>0</v>
      </c>
      <c r="O6743" t="n">
        <v>0</v>
      </c>
      <c r="P6743" t="n">
        <v>0</v>
      </c>
      <c r="Q6743" t="n">
        <v>0</v>
      </c>
      <c r="R6743" t="n">
        <v>0</v>
      </c>
      <c r="S6743" t="n">
        <v>0</v>
      </c>
      <c r="T6743" t="n">
        <v>0</v>
      </c>
      <c r="U6743" t="n">
        <v>0</v>
      </c>
      <c r="V6743" s="2" t="inlineStr"/>
    </row>
    <row r="6744" ht="15" customHeight="1">
      <c r="A6744" t="inlineStr">
        <is>
          <t>A 35647-2026</t>
        </is>
      </c>
      <c r="B6744" t="inlineStr">
        <is>
          <t>avverkningsanmälan</t>
        </is>
      </c>
      <c r="C6744" t="inlineStr">
        <is>
          <t>Föryngringsavverkning</t>
        </is>
      </c>
      <c r="D6744" s="1" t="n">
        <v>46265</v>
      </c>
      <c r="E6744" s="1" t="n">
        <v>46319</v>
      </c>
      <c r="F6744" t="inlineStr">
        <is>
          <t>DALARNAS LÄN</t>
        </is>
      </c>
      <c r="G6744" t="inlineStr">
        <is>
          <t>RÄTTVIK</t>
        </is>
      </c>
      <c r="H6744" t="inlineStr">
        <is>
          <t>Bergvik skog väst AB</t>
        </is>
      </c>
      <c r="I6744" t="n">
        <v>2.6</v>
      </c>
      <c r="J6744" t="n">
        <v>0</v>
      </c>
      <c r="K6744" t="n">
        <v>0</v>
      </c>
      <c r="L6744" t="n">
        <v>0</v>
      </c>
      <c r="M6744" t="n">
        <v>0</v>
      </c>
      <c r="N6744" t="n">
        <v>0</v>
      </c>
      <c r="O6744" t="n">
        <v>0</v>
      </c>
      <c r="P6744" t="n">
        <v>0</v>
      </c>
      <c r="Q6744" t="n">
        <v>0</v>
      </c>
      <c r="R6744" t="n">
        <v>0</v>
      </c>
      <c r="S6744" t="n">
        <v>0</v>
      </c>
      <c r="T6744" t="n">
        <v>0</v>
      </c>
      <c r="U6744" t="n">
        <v>0</v>
      </c>
      <c r="V6744" s="2" t="inlineStr"/>
    </row>
    <row r="6745" ht="15" customHeight="1">
      <c r="A6745" t="inlineStr">
        <is>
          <t>A 35653-2026</t>
        </is>
      </c>
      <c r="B6745" t="inlineStr">
        <is>
          <t>avverkningsanmälan</t>
        </is>
      </c>
      <c r="C6745" t="inlineStr">
        <is>
          <t>Föryngringsavverkning</t>
        </is>
      </c>
      <c r="D6745" s="1" t="n">
        <v>46265</v>
      </c>
      <c r="E6745" s="1" t="n">
        <v>46319</v>
      </c>
      <c r="F6745" t="inlineStr">
        <is>
          <t>DALARNAS LÄN</t>
        </is>
      </c>
      <c r="G6745" t="inlineStr">
        <is>
          <t>BORLÄNGE</t>
        </is>
      </c>
      <c r="I6745" t="n">
        <v>4.4</v>
      </c>
      <c r="J6745" t="n">
        <v>0</v>
      </c>
      <c r="K6745" t="n">
        <v>0</v>
      </c>
      <c r="L6745" t="n">
        <v>0</v>
      </c>
      <c r="M6745" t="n">
        <v>0</v>
      </c>
      <c r="N6745" t="n">
        <v>0</v>
      </c>
      <c r="O6745" t="n">
        <v>0</v>
      </c>
      <c r="P6745" t="n">
        <v>0</v>
      </c>
      <c r="Q6745" t="n">
        <v>0</v>
      </c>
      <c r="R6745" t="n">
        <v>0</v>
      </c>
      <c r="S6745" t="n">
        <v>0</v>
      </c>
      <c r="T6745" t="n">
        <v>0</v>
      </c>
      <c r="U6745" t="n">
        <v>0</v>
      </c>
      <c r="V6745" s="2" t="inlineStr"/>
    </row>
    <row r="6746" ht="15" customHeight="1">
      <c r="A6746" t="inlineStr">
        <is>
          <t>A 35659-2026</t>
        </is>
      </c>
      <c r="B6746" t="inlineStr">
        <is>
          <t>avverkningsanmälan</t>
        </is>
      </c>
      <c r="C6746" t="inlineStr">
        <is>
          <t>Föryngringsavverkning</t>
        </is>
      </c>
      <c r="D6746" s="1" t="n">
        <v>46265</v>
      </c>
      <c r="E6746" s="1" t="n">
        <v>46319</v>
      </c>
      <c r="F6746" t="inlineStr">
        <is>
          <t>DALARNAS LÄN</t>
        </is>
      </c>
      <c r="G6746" t="inlineStr">
        <is>
          <t>AVESTA</t>
        </is>
      </c>
      <c r="I6746" t="n">
        <v>5.8</v>
      </c>
      <c r="J6746" t="n">
        <v>0</v>
      </c>
      <c r="K6746" t="n">
        <v>0</v>
      </c>
      <c r="L6746" t="n">
        <v>0</v>
      </c>
      <c r="M6746" t="n">
        <v>0</v>
      </c>
      <c r="N6746" t="n">
        <v>0</v>
      </c>
      <c r="O6746" t="n">
        <v>0</v>
      </c>
      <c r="P6746" t="n">
        <v>0</v>
      </c>
      <c r="Q6746" t="n">
        <v>0</v>
      </c>
      <c r="R6746" t="n">
        <v>0</v>
      </c>
      <c r="S6746" t="n">
        <v>0</v>
      </c>
      <c r="T6746" t="n">
        <v>0</v>
      </c>
      <c r="U6746" t="n">
        <v>0</v>
      </c>
      <c r="V6746" s="2" t="inlineStr"/>
    </row>
    <row r="6747" ht="15" customHeight="1">
      <c r="A6747" t="inlineStr">
        <is>
          <t>A 42424-2026</t>
        </is>
      </c>
      <c r="B6747" t="inlineStr">
        <is>
          <t>avverkningsanmälan</t>
        </is>
      </c>
      <c r="C6747" t="inlineStr">
        <is>
          <t>Föryngringsavverkning</t>
        </is>
      </c>
      <c r="D6747" s="1" t="n">
        <v>46308</v>
      </c>
      <c r="E6747" s="1" t="n">
        <v>46319</v>
      </c>
      <c r="F6747" t="inlineStr">
        <is>
          <t>DALARNAS LÄN</t>
        </is>
      </c>
      <c r="G6747" t="inlineStr">
        <is>
          <t>VANSBRO</t>
        </is>
      </c>
      <c r="H6747" t="inlineStr">
        <is>
          <t>Bergvik skog väst AB</t>
        </is>
      </c>
      <c r="I6747" t="n">
        <v>2.6</v>
      </c>
      <c r="J6747" t="n">
        <v>0</v>
      </c>
      <c r="K6747" t="n">
        <v>0</v>
      </c>
      <c r="L6747" t="n">
        <v>0</v>
      </c>
      <c r="M6747" t="n">
        <v>0</v>
      </c>
      <c r="N6747" t="n">
        <v>0</v>
      </c>
      <c r="O6747" t="n">
        <v>0</v>
      </c>
      <c r="P6747" t="n">
        <v>0</v>
      </c>
      <c r="Q6747" t="n">
        <v>0</v>
      </c>
      <c r="R6747" t="n">
        <v>0</v>
      </c>
      <c r="S6747" t="n">
        <v>0</v>
      </c>
      <c r="T6747" t="n">
        <v>0</v>
      </c>
      <c r="U6747" t="n">
        <v>0</v>
      </c>
      <c r="V6747" s="2" t="inlineStr"/>
    </row>
    <row r="6748" ht="15" customHeight="1">
      <c r="A6748" t="inlineStr">
        <is>
          <t>A 42472-2026</t>
        </is>
      </c>
      <c r="B6748" t="inlineStr">
        <is>
          <t>avverkningsanmälan</t>
        </is>
      </c>
      <c r="C6748" t="inlineStr">
        <is>
          <t>Föryngringsavverkning</t>
        </is>
      </c>
      <c r="D6748" s="1" t="n">
        <v>46308</v>
      </c>
      <c r="E6748" s="1" t="n">
        <v>46319</v>
      </c>
      <c r="F6748" t="inlineStr">
        <is>
          <t>DALARNAS LÄN</t>
        </is>
      </c>
      <c r="G6748" t="inlineStr">
        <is>
          <t>LEKSAND</t>
        </is>
      </c>
      <c r="H6748" t="inlineStr">
        <is>
          <t>Bergvik skog väst AB</t>
        </is>
      </c>
      <c r="I6748" t="n">
        <v>2.5</v>
      </c>
      <c r="J6748" t="n">
        <v>0</v>
      </c>
      <c r="K6748" t="n">
        <v>0</v>
      </c>
      <c r="L6748" t="n">
        <v>0</v>
      </c>
      <c r="M6748" t="n">
        <v>0</v>
      </c>
      <c r="N6748" t="n">
        <v>0</v>
      </c>
      <c r="O6748" t="n">
        <v>0</v>
      </c>
      <c r="P6748" t="n">
        <v>0</v>
      </c>
      <c r="Q6748" t="n">
        <v>0</v>
      </c>
      <c r="R6748" t="n">
        <v>0</v>
      </c>
      <c r="S6748" t="n">
        <v>0</v>
      </c>
      <c r="T6748" t="n">
        <v>0</v>
      </c>
      <c r="U6748" t="n">
        <v>0</v>
      </c>
      <c r="V6748" s="2" t="inlineStr"/>
    </row>
    <row r="6749" ht="15" customHeight="1">
      <c r="A6749" t="inlineStr">
        <is>
          <t>A 42480-2026</t>
        </is>
      </c>
      <c r="B6749" t="inlineStr">
        <is>
          <t>avverkningsanmälan</t>
        </is>
      </c>
      <c r="C6749" t="inlineStr">
        <is>
          <t>Föryngringsavverkning</t>
        </is>
      </c>
      <c r="D6749" s="1" t="n">
        <v>46308</v>
      </c>
      <c r="E6749" s="1" t="n">
        <v>46319</v>
      </c>
      <c r="F6749" t="inlineStr">
        <is>
          <t>DALARNAS LÄN</t>
        </is>
      </c>
      <c r="G6749" t="inlineStr">
        <is>
          <t>LEKSAND</t>
        </is>
      </c>
      <c r="H6749" t="inlineStr">
        <is>
          <t>Bergvik skog väst AB</t>
        </is>
      </c>
      <c r="I6749" t="n">
        <v>1.5</v>
      </c>
      <c r="J6749" t="n">
        <v>0</v>
      </c>
      <c r="K6749" t="n">
        <v>0</v>
      </c>
      <c r="L6749" t="n">
        <v>0</v>
      </c>
      <c r="M6749" t="n">
        <v>0</v>
      </c>
      <c r="N6749" t="n">
        <v>0</v>
      </c>
      <c r="O6749" t="n">
        <v>0</v>
      </c>
      <c r="P6749" t="n">
        <v>0</v>
      </c>
      <c r="Q6749" t="n">
        <v>0</v>
      </c>
      <c r="R6749" t="n">
        <v>0</v>
      </c>
      <c r="S6749" t="n">
        <v>0</v>
      </c>
      <c r="T6749" t="n">
        <v>0</v>
      </c>
      <c r="U6749" t="n">
        <v>0</v>
      </c>
      <c r="V6749" s="2" t="inlineStr"/>
    </row>
    <row r="6750" ht="15" customHeight="1">
      <c r="A6750" t="inlineStr">
        <is>
          <t>A 8743-2023</t>
        </is>
      </c>
      <c r="B6750" t="inlineStr">
        <is>
          <t>avverkningsanmälan</t>
        </is>
      </c>
      <c r="C6750" t="inlineStr">
        <is>
          <t>Föryngringsavverkning</t>
        </is>
      </c>
      <c r="D6750" s="1" t="n">
        <v>44978</v>
      </c>
      <c r="E6750" s="1" t="n">
        <v>46319</v>
      </c>
      <c r="F6750" t="inlineStr">
        <is>
          <t>DALARNAS LÄN</t>
        </is>
      </c>
      <c r="G6750" t="inlineStr">
        <is>
          <t>LEKSAND</t>
        </is>
      </c>
      <c r="I6750" t="n">
        <v>3</v>
      </c>
      <c r="J6750" t="n">
        <v>0</v>
      </c>
      <c r="K6750" t="n">
        <v>0</v>
      </c>
      <c r="L6750" t="n">
        <v>0</v>
      </c>
      <c r="M6750" t="n">
        <v>0</v>
      </c>
      <c r="N6750" t="n">
        <v>0</v>
      </c>
      <c r="O6750" t="n">
        <v>0</v>
      </c>
      <c r="P6750" t="n">
        <v>0</v>
      </c>
      <c r="Q6750" t="n">
        <v>0</v>
      </c>
      <c r="R6750" t="n">
        <v>0</v>
      </c>
      <c r="S6750" t="n">
        <v>0</v>
      </c>
      <c r="T6750" t="n">
        <v>0</v>
      </c>
      <c r="U6750" t="n">
        <v>0</v>
      </c>
      <c r="V6750" s="2" t="inlineStr"/>
    </row>
    <row r="6751" ht="15" customHeight="1">
      <c r="A6751" t="inlineStr">
        <is>
          <t>A 57761-2022</t>
        </is>
      </c>
      <c r="B6751" t="inlineStr">
        <is>
          <t>avverkningsanmälan</t>
        </is>
      </c>
      <c r="C6751" t="inlineStr">
        <is>
          <t>Föryngringsavverkning</t>
        </is>
      </c>
      <c r="D6751" s="1" t="n">
        <v>44890</v>
      </c>
      <c r="E6751" s="1" t="n">
        <v>46319</v>
      </c>
      <c r="F6751" t="inlineStr">
        <is>
          <t>DALARNAS LÄN</t>
        </is>
      </c>
      <c r="G6751" t="inlineStr">
        <is>
          <t>RÄTTVIK</t>
        </is>
      </c>
      <c r="I6751" t="n">
        <v>2</v>
      </c>
      <c r="J6751" t="n">
        <v>0</v>
      </c>
      <c r="K6751" t="n">
        <v>0</v>
      </c>
      <c r="L6751" t="n">
        <v>0</v>
      </c>
      <c r="M6751" t="n">
        <v>0</v>
      </c>
      <c r="N6751" t="n">
        <v>0</v>
      </c>
      <c r="O6751" t="n">
        <v>0</v>
      </c>
      <c r="P6751" t="n">
        <v>0</v>
      </c>
      <c r="Q6751" t="n">
        <v>0</v>
      </c>
      <c r="R6751" t="n">
        <v>0</v>
      </c>
      <c r="S6751" t="n">
        <v>0</v>
      </c>
      <c r="T6751" t="n">
        <v>0</v>
      </c>
      <c r="U6751" t="n">
        <v>0</v>
      </c>
      <c r="V6751" s="2" t="inlineStr"/>
    </row>
    <row r="6752" ht="15" customHeight="1">
      <c r="A6752" t="inlineStr">
        <is>
          <t>A 19041-2026</t>
        </is>
      </c>
      <c r="B6752" t="inlineStr">
        <is>
          <t>avverkningsanmälan</t>
        </is>
      </c>
      <c r="C6752" t="inlineStr">
        <is>
          <t>Föryngringsavverkning</t>
        </is>
      </c>
      <c r="D6752" s="1" t="n">
        <v>46132</v>
      </c>
      <c r="E6752" s="1" t="n">
        <v>46319</v>
      </c>
      <c r="F6752" t="inlineStr">
        <is>
          <t>DALARNAS LÄN</t>
        </is>
      </c>
      <c r="G6752" t="inlineStr">
        <is>
          <t>FALUN</t>
        </is>
      </c>
      <c r="H6752" t="inlineStr">
        <is>
          <t>Bergvik skog väst AB</t>
        </is>
      </c>
      <c r="I6752" t="n">
        <v>1.4</v>
      </c>
      <c r="J6752" t="n">
        <v>0</v>
      </c>
      <c r="K6752" t="n">
        <v>0</v>
      </c>
      <c r="L6752" t="n">
        <v>0</v>
      </c>
      <c r="M6752" t="n">
        <v>0</v>
      </c>
      <c r="N6752" t="n">
        <v>0</v>
      </c>
      <c r="O6752" t="n">
        <v>0</v>
      </c>
      <c r="P6752" t="n">
        <v>0</v>
      </c>
      <c r="Q6752" t="n">
        <v>0</v>
      </c>
      <c r="R6752" t="n">
        <v>0</v>
      </c>
      <c r="S6752" t="n">
        <v>0</v>
      </c>
      <c r="T6752" t="n">
        <v>0</v>
      </c>
      <c r="U6752" t="n">
        <v>0</v>
      </c>
      <c r="V6752" s="2" t="inlineStr"/>
    </row>
    <row r="6753" ht="15" customHeight="1">
      <c r="A6753" t="inlineStr">
        <is>
          <t>A 19073-2026</t>
        </is>
      </c>
      <c r="B6753" t="inlineStr">
        <is>
          <t>avverkningsanmälan</t>
        </is>
      </c>
      <c r="C6753" t="inlineStr">
        <is>
          <t>Föryngringsavverkning</t>
        </is>
      </c>
      <c r="D6753" s="1" t="n">
        <v>46132</v>
      </c>
      <c r="E6753" s="1" t="n">
        <v>46319</v>
      </c>
      <c r="F6753" t="inlineStr">
        <is>
          <t>DALARNAS LÄN</t>
        </is>
      </c>
      <c r="G6753" t="inlineStr">
        <is>
          <t>FALUN</t>
        </is>
      </c>
      <c r="I6753" t="n">
        <v>1.7</v>
      </c>
      <c r="J6753" t="n">
        <v>0</v>
      </c>
      <c r="K6753" t="n">
        <v>0</v>
      </c>
      <c r="L6753" t="n">
        <v>0</v>
      </c>
      <c r="M6753" t="n">
        <v>0</v>
      </c>
      <c r="N6753" t="n">
        <v>0</v>
      </c>
      <c r="O6753" t="n">
        <v>0</v>
      </c>
      <c r="P6753" t="n">
        <v>0</v>
      </c>
      <c r="Q6753" t="n">
        <v>0</v>
      </c>
      <c r="R6753" t="n">
        <v>0</v>
      </c>
      <c r="S6753" t="n">
        <v>0</v>
      </c>
      <c r="T6753" t="n">
        <v>0</v>
      </c>
      <c r="U6753" t="n">
        <v>0</v>
      </c>
      <c r="V6753" s="2" t="inlineStr"/>
    </row>
    <row r="6754" ht="15" customHeight="1">
      <c r="A6754" t="inlineStr">
        <is>
          <t>A 42508-2026</t>
        </is>
      </c>
      <c r="B6754" t="inlineStr">
        <is>
          <t>avverkningsanmälan</t>
        </is>
      </c>
      <c r="C6754" t="inlineStr">
        <is>
          <t>Föryngringsavverkning</t>
        </is>
      </c>
      <c r="D6754" s="1" t="n">
        <v>46308</v>
      </c>
      <c r="E6754" s="1" t="n">
        <v>46319</v>
      </c>
      <c r="F6754" t="inlineStr">
        <is>
          <t>DALARNAS LÄN</t>
        </is>
      </c>
      <c r="G6754" t="inlineStr">
        <is>
          <t>SMEDJEBACKEN</t>
        </is>
      </c>
      <c r="H6754" t="inlineStr">
        <is>
          <t>Sveaskog</t>
        </is>
      </c>
      <c r="I6754" t="n">
        <v>2.1</v>
      </c>
      <c r="J6754" t="n">
        <v>0</v>
      </c>
      <c r="K6754" t="n">
        <v>0</v>
      </c>
      <c r="L6754" t="n">
        <v>0</v>
      </c>
      <c r="M6754" t="n">
        <v>0</v>
      </c>
      <c r="N6754" t="n">
        <v>0</v>
      </c>
      <c r="O6754" t="n">
        <v>0</v>
      </c>
      <c r="P6754" t="n">
        <v>0</v>
      </c>
      <c r="Q6754" t="n">
        <v>0</v>
      </c>
      <c r="R6754" t="n">
        <v>0</v>
      </c>
      <c r="S6754" t="n">
        <v>0</v>
      </c>
      <c r="T6754" t="n">
        <v>0</v>
      </c>
      <c r="U6754" t="n">
        <v>0</v>
      </c>
      <c r="V6754" s="2" t="inlineStr"/>
    </row>
    <row r="6755" ht="15" customHeight="1">
      <c r="A6755" t="inlineStr">
        <is>
          <t>A 19113-2026</t>
        </is>
      </c>
      <c r="B6755" t="inlineStr">
        <is>
          <t>avverkningsanmälan</t>
        </is>
      </c>
      <c r="C6755" t="inlineStr">
        <is>
          <t>Föryngringsavverkning</t>
        </is>
      </c>
      <c r="D6755" s="1" t="n">
        <v>46132</v>
      </c>
      <c r="E6755" s="1" t="n">
        <v>46319</v>
      </c>
      <c r="F6755" t="inlineStr">
        <is>
          <t>DALARNAS LÄN</t>
        </is>
      </c>
      <c r="G6755" t="inlineStr">
        <is>
          <t>MALUNG-SÄLEN</t>
        </is>
      </c>
      <c r="H6755" t="inlineStr">
        <is>
          <t>Bergvik skog väst AB</t>
        </is>
      </c>
      <c r="I6755" t="n">
        <v>8.300000000000001</v>
      </c>
      <c r="J6755" t="n">
        <v>0</v>
      </c>
      <c r="K6755" t="n">
        <v>0</v>
      </c>
      <c r="L6755" t="n">
        <v>0</v>
      </c>
      <c r="M6755" t="n">
        <v>0</v>
      </c>
      <c r="N6755" t="n">
        <v>0</v>
      </c>
      <c r="O6755" t="n">
        <v>0</v>
      </c>
      <c r="P6755" t="n">
        <v>0</v>
      </c>
      <c r="Q6755" t="n">
        <v>0</v>
      </c>
      <c r="R6755" t="n">
        <v>0</v>
      </c>
      <c r="S6755" t="n">
        <v>0</v>
      </c>
      <c r="T6755" t="n">
        <v>0</v>
      </c>
      <c r="U6755" t="n">
        <v>0</v>
      </c>
      <c r="V6755" s="2" t="inlineStr"/>
    </row>
    <row r="6756" ht="15" customHeight="1">
      <c r="A6756" t="inlineStr">
        <is>
          <t>A 32166-2025</t>
        </is>
      </c>
      <c r="B6756" t="inlineStr">
        <is>
          <t>avverkningsanmälan</t>
        </is>
      </c>
      <c r="C6756" t="inlineStr">
        <is>
          <t>Föryngringsavverkning</t>
        </is>
      </c>
      <c r="D6756" s="1" t="n">
        <v>45835</v>
      </c>
      <c r="E6756" s="1" t="n">
        <v>46319</v>
      </c>
      <c r="F6756" t="inlineStr">
        <is>
          <t>DALARNAS LÄN</t>
        </is>
      </c>
      <c r="G6756" t="inlineStr">
        <is>
          <t>RÄTTVIK</t>
        </is>
      </c>
      <c r="H6756" t="inlineStr">
        <is>
          <t>Sveaskog</t>
        </is>
      </c>
      <c r="I6756" t="n">
        <v>8.699999999999999</v>
      </c>
      <c r="J6756" t="n">
        <v>0</v>
      </c>
      <c r="K6756" t="n">
        <v>0</v>
      </c>
      <c r="L6756" t="n">
        <v>0</v>
      </c>
      <c r="M6756" t="n">
        <v>0</v>
      </c>
      <c r="N6756" t="n">
        <v>0</v>
      </c>
      <c r="O6756" t="n">
        <v>0</v>
      </c>
      <c r="P6756" t="n">
        <v>0</v>
      </c>
      <c r="Q6756" t="n">
        <v>0</v>
      </c>
      <c r="R6756" t="n">
        <v>0</v>
      </c>
      <c r="S6756" t="n">
        <v>0</v>
      </c>
      <c r="T6756" t="n">
        <v>0</v>
      </c>
      <c r="U6756" t="n">
        <v>0</v>
      </c>
      <c r="V6756" s="2" t="inlineStr"/>
    </row>
    <row r="6757" ht="15" customHeight="1">
      <c r="A6757" t="inlineStr">
        <is>
          <t>A 18766-2026</t>
        </is>
      </c>
      <c r="B6757" t="inlineStr">
        <is>
          <t>avverkningsanmälan</t>
        </is>
      </c>
      <c r="C6757" t="inlineStr">
        <is>
          <t>Föryngringsavverkning</t>
        </is>
      </c>
      <c r="D6757" s="1" t="n">
        <v>46128</v>
      </c>
      <c r="E6757" s="1" t="n">
        <v>46319</v>
      </c>
      <c r="F6757" t="inlineStr">
        <is>
          <t>DALARNAS LÄN</t>
        </is>
      </c>
      <c r="G6757" t="inlineStr">
        <is>
          <t>LEKSAND</t>
        </is>
      </c>
      <c r="H6757" t="inlineStr">
        <is>
          <t>Bergvik skog väst AB</t>
        </is>
      </c>
      <c r="I6757" t="n">
        <v>0.7</v>
      </c>
      <c r="J6757" t="n">
        <v>0</v>
      </c>
      <c r="K6757" t="n">
        <v>0</v>
      </c>
      <c r="L6757" t="n">
        <v>0</v>
      </c>
      <c r="M6757" t="n">
        <v>0</v>
      </c>
      <c r="N6757" t="n">
        <v>0</v>
      </c>
      <c r="O6757" t="n">
        <v>0</v>
      </c>
      <c r="P6757" t="n">
        <v>0</v>
      </c>
      <c r="Q6757" t="n">
        <v>0</v>
      </c>
      <c r="R6757" t="n">
        <v>0</v>
      </c>
      <c r="S6757" t="n">
        <v>0</v>
      </c>
      <c r="T6757" t="n">
        <v>0</v>
      </c>
      <c r="U6757" t="n">
        <v>0</v>
      </c>
      <c r="V6757" s="2" t="inlineStr"/>
    </row>
    <row r="6758" ht="15" customHeight="1">
      <c r="A6758" t="inlineStr">
        <is>
          <t>A 43713-2024</t>
        </is>
      </c>
      <c r="B6758" t="inlineStr">
        <is>
          <t>avverkningsanmälan</t>
        </is>
      </c>
      <c r="C6758" t="inlineStr">
        <is>
          <t>Föryngringsavverkning</t>
        </is>
      </c>
      <c r="D6758" s="1" t="n">
        <v>45569</v>
      </c>
      <c r="E6758" s="1" t="n">
        <v>46319</v>
      </c>
      <c r="F6758" t="inlineStr">
        <is>
          <t>DALARNAS LÄN</t>
        </is>
      </c>
      <c r="G6758" t="inlineStr">
        <is>
          <t>BORLÄNGE</t>
        </is>
      </c>
      <c r="I6758" t="n">
        <v>4.1</v>
      </c>
      <c r="J6758" t="n">
        <v>0</v>
      </c>
      <c r="K6758" t="n">
        <v>0</v>
      </c>
      <c r="L6758" t="n">
        <v>0</v>
      </c>
      <c r="M6758" t="n">
        <v>0</v>
      </c>
      <c r="N6758" t="n">
        <v>0</v>
      </c>
      <c r="O6758" t="n">
        <v>0</v>
      </c>
      <c r="P6758" t="n">
        <v>0</v>
      </c>
      <c r="Q6758" t="n">
        <v>0</v>
      </c>
      <c r="R6758" t="n">
        <v>0</v>
      </c>
      <c r="S6758" t="n">
        <v>0</v>
      </c>
      <c r="T6758" t="n">
        <v>0</v>
      </c>
      <c r="U6758" t="n">
        <v>0</v>
      </c>
      <c r="V6758" s="2" t="inlineStr"/>
    </row>
    <row r="6759" ht="15" customHeight="1">
      <c r="A6759" t="inlineStr">
        <is>
          <t>A 18679-2026</t>
        </is>
      </c>
      <c r="B6759" t="inlineStr">
        <is>
          <t>avverkningsanmälan</t>
        </is>
      </c>
      <c r="C6759" t="inlineStr">
        <is>
          <t>Avverkning för annat ändamål</t>
        </is>
      </c>
      <c r="D6759" s="1" t="n">
        <v>46128</v>
      </c>
      <c r="E6759" s="1" t="n">
        <v>46319</v>
      </c>
      <c r="F6759" t="inlineStr">
        <is>
          <t>DALARNAS LÄN</t>
        </is>
      </c>
      <c r="G6759" t="inlineStr">
        <is>
          <t>AVESTA</t>
        </is>
      </c>
      <c r="H6759" t="inlineStr">
        <is>
          <t>Sveaskog</t>
        </is>
      </c>
      <c r="I6759" t="n">
        <v>1.4</v>
      </c>
      <c r="J6759" t="n">
        <v>0</v>
      </c>
      <c r="K6759" t="n">
        <v>0</v>
      </c>
      <c r="L6759" t="n">
        <v>0</v>
      </c>
      <c r="M6759" t="n">
        <v>0</v>
      </c>
      <c r="N6759" t="n">
        <v>0</v>
      </c>
      <c r="O6759" t="n">
        <v>0</v>
      </c>
      <c r="P6759" t="n">
        <v>0</v>
      </c>
      <c r="Q6759" t="n">
        <v>0</v>
      </c>
      <c r="R6759" t="n">
        <v>0</v>
      </c>
      <c r="S6759" t="n">
        <v>0</v>
      </c>
      <c r="T6759" t="n">
        <v>0</v>
      </c>
      <c r="U6759" t="n">
        <v>0</v>
      </c>
      <c r="V6759" s="2" t="inlineStr"/>
    </row>
    <row r="6760" ht="15" customHeight="1">
      <c r="A6760" t="inlineStr">
        <is>
          <t>A 37642-2025</t>
        </is>
      </c>
      <c r="B6760" t="inlineStr">
        <is>
          <t>avverkningsanmälan</t>
        </is>
      </c>
      <c r="C6760" t="inlineStr">
        <is>
          <t>Föryngringsavverkning</t>
        </is>
      </c>
      <c r="D6760" s="1" t="n">
        <v>45880</v>
      </c>
      <c r="E6760" s="1" t="n">
        <v>46319</v>
      </c>
      <c r="F6760" t="inlineStr">
        <is>
          <t>DALARNAS LÄN</t>
        </is>
      </c>
      <c r="G6760" t="inlineStr">
        <is>
          <t>MALUNG-SÄLEN</t>
        </is>
      </c>
      <c r="I6760" t="n">
        <v>1.3</v>
      </c>
      <c r="J6760" t="n">
        <v>0</v>
      </c>
      <c r="K6760" t="n">
        <v>0</v>
      </c>
      <c r="L6760" t="n">
        <v>0</v>
      </c>
      <c r="M6760" t="n">
        <v>0</v>
      </c>
      <c r="N6760" t="n">
        <v>0</v>
      </c>
      <c r="O6760" t="n">
        <v>0</v>
      </c>
      <c r="P6760" t="n">
        <v>0</v>
      </c>
      <c r="Q6760" t="n">
        <v>0</v>
      </c>
      <c r="R6760" t="n">
        <v>0</v>
      </c>
      <c r="S6760" t="n">
        <v>0</v>
      </c>
      <c r="T6760" t="n">
        <v>0</v>
      </c>
      <c r="U6760" t="n">
        <v>0</v>
      </c>
      <c r="V6760" s="2" t="inlineStr"/>
    </row>
    <row r="6761" ht="15" customHeight="1">
      <c r="A6761" t="inlineStr">
        <is>
          <t>A 35752-2026</t>
        </is>
      </c>
      <c r="B6761" t="inlineStr">
        <is>
          <t>avverkningsanmälan</t>
        </is>
      </c>
      <c r="C6761" t="inlineStr">
        <is>
          <t>Föryngringsavverkning</t>
        </is>
      </c>
      <c r="D6761" s="1" t="n">
        <v>46265</v>
      </c>
      <c r="E6761" s="1" t="n">
        <v>46319</v>
      </c>
      <c r="F6761" t="inlineStr">
        <is>
          <t>DALARNAS LÄN</t>
        </is>
      </c>
      <c r="G6761" t="inlineStr">
        <is>
          <t>VANSBRO</t>
        </is>
      </c>
      <c r="H6761" t="inlineStr">
        <is>
          <t>Bergvik skog öst AB</t>
        </is>
      </c>
      <c r="I6761" t="n">
        <v>3.8</v>
      </c>
      <c r="J6761" t="n">
        <v>0</v>
      </c>
      <c r="K6761" t="n">
        <v>0</v>
      </c>
      <c r="L6761" t="n">
        <v>0</v>
      </c>
      <c r="M6761" t="n">
        <v>0</v>
      </c>
      <c r="N6761" t="n">
        <v>0</v>
      </c>
      <c r="O6761" t="n">
        <v>0</v>
      </c>
      <c r="P6761" t="n">
        <v>0</v>
      </c>
      <c r="Q6761" t="n">
        <v>0</v>
      </c>
      <c r="R6761" t="n">
        <v>0</v>
      </c>
      <c r="S6761" t="n">
        <v>0</v>
      </c>
      <c r="T6761" t="n">
        <v>0</v>
      </c>
      <c r="U6761" t="n">
        <v>0</v>
      </c>
      <c r="V6761" s="2" t="inlineStr"/>
    </row>
    <row r="6762" ht="15" customHeight="1">
      <c r="A6762" t="inlineStr">
        <is>
          <t>A 19190-2026</t>
        </is>
      </c>
      <c r="B6762" t="inlineStr">
        <is>
          <t>avverkningsanmälan</t>
        </is>
      </c>
      <c r="C6762" t="inlineStr">
        <is>
          <t>Föryngringsavverkning</t>
        </is>
      </c>
      <c r="D6762" s="1" t="n">
        <v>46132</v>
      </c>
      <c r="E6762" s="1" t="n">
        <v>46319</v>
      </c>
      <c r="F6762" t="inlineStr">
        <is>
          <t>DALARNAS LÄN</t>
        </is>
      </c>
      <c r="G6762" t="inlineStr">
        <is>
          <t>LEKSAND</t>
        </is>
      </c>
      <c r="I6762" t="n">
        <v>24.9</v>
      </c>
      <c r="J6762" t="n">
        <v>0</v>
      </c>
      <c r="K6762" t="n">
        <v>0</v>
      </c>
      <c r="L6762" t="n">
        <v>0</v>
      </c>
      <c r="M6762" t="n">
        <v>0</v>
      </c>
      <c r="N6762" t="n">
        <v>0</v>
      </c>
      <c r="O6762" t="n">
        <v>0</v>
      </c>
      <c r="P6762" t="n">
        <v>0</v>
      </c>
      <c r="Q6762" t="n">
        <v>0</v>
      </c>
      <c r="R6762" t="n">
        <v>0</v>
      </c>
      <c r="S6762" t="n">
        <v>0</v>
      </c>
      <c r="T6762" t="n">
        <v>0</v>
      </c>
      <c r="U6762" t="n">
        <v>0</v>
      </c>
      <c r="V6762" s="2" t="inlineStr"/>
    </row>
    <row r="6763" ht="15" customHeight="1">
      <c r="A6763" t="inlineStr">
        <is>
          <t>A 41487-2026</t>
        </is>
      </c>
      <c r="B6763" t="inlineStr">
        <is>
          <t>avverkningsanmälan</t>
        </is>
      </c>
      <c r="C6763" t="inlineStr">
        <is>
          <t>Föryngringsavverkning</t>
        </is>
      </c>
      <c r="D6763" s="1" t="n">
        <v>46301</v>
      </c>
      <c r="E6763" s="1" t="n">
        <v>46319</v>
      </c>
      <c r="F6763" t="inlineStr">
        <is>
          <t>DALARNAS LÄN</t>
        </is>
      </c>
      <c r="G6763" t="inlineStr">
        <is>
          <t>FALUN</t>
        </is>
      </c>
      <c r="I6763" t="n">
        <v>4.9</v>
      </c>
      <c r="J6763" t="n">
        <v>0</v>
      </c>
      <c r="K6763" t="n">
        <v>0</v>
      </c>
      <c r="L6763" t="n">
        <v>0</v>
      </c>
      <c r="M6763" t="n">
        <v>0</v>
      </c>
      <c r="N6763" t="n">
        <v>0</v>
      </c>
      <c r="O6763" t="n">
        <v>0</v>
      </c>
      <c r="P6763" t="n">
        <v>0</v>
      </c>
      <c r="Q6763" t="n">
        <v>0</v>
      </c>
      <c r="R6763" t="n">
        <v>0</v>
      </c>
      <c r="S6763" t="n">
        <v>0</v>
      </c>
      <c r="T6763" t="n">
        <v>0</v>
      </c>
      <c r="U6763" t="n">
        <v>0</v>
      </c>
      <c r="V6763" s="2" t="inlineStr"/>
    </row>
    <row r="6764" ht="15" customHeight="1">
      <c r="A6764" t="inlineStr">
        <is>
          <t>A 37850-2025</t>
        </is>
      </c>
      <c r="B6764" t="inlineStr">
        <is>
          <t>avverkningsanmälan</t>
        </is>
      </c>
      <c r="C6764" t="inlineStr">
        <is>
          <t>Föryngringsavverkning</t>
        </is>
      </c>
      <c r="D6764" s="1" t="n">
        <v>45881</v>
      </c>
      <c r="E6764" s="1" t="n">
        <v>46319</v>
      </c>
      <c r="F6764" t="inlineStr">
        <is>
          <t>DALARNAS LÄN</t>
        </is>
      </c>
      <c r="G6764" t="inlineStr">
        <is>
          <t>RÄTTVIK</t>
        </is>
      </c>
      <c r="I6764" t="n">
        <v>0.7</v>
      </c>
      <c r="J6764" t="n">
        <v>0</v>
      </c>
      <c r="K6764" t="n">
        <v>0</v>
      </c>
      <c r="L6764" t="n">
        <v>0</v>
      </c>
      <c r="M6764" t="n">
        <v>0</v>
      </c>
      <c r="N6764" t="n">
        <v>0</v>
      </c>
      <c r="O6764" t="n">
        <v>0</v>
      </c>
      <c r="P6764" t="n">
        <v>0</v>
      </c>
      <c r="Q6764" t="n">
        <v>0</v>
      </c>
      <c r="R6764" t="n">
        <v>0</v>
      </c>
      <c r="S6764" t="n">
        <v>0</v>
      </c>
      <c r="T6764" t="n">
        <v>0</v>
      </c>
      <c r="U6764" t="n">
        <v>0</v>
      </c>
      <c r="V6764" s="2" t="inlineStr"/>
    </row>
    <row r="6765" ht="15" customHeight="1">
      <c r="A6765" t="inlineStr">
        <is>
          <t>A 37852-2025</t>
        </is>
      </c>
      <c r="B6765" t="inlineStr">
        <is>
          <t>avverkningsanmälan</t>
        </is>
      </c>
      <c r="C6765" t="inlineStr">
        <is>
          <t>Föryngringsavverkning</t>
        </is>
      </c>
      <c r="D6765" s="1" t="n">
        <v>45881</v>
      </c>
      <c r="E6765" s="1" t="n">
        <v>46319</v>
      </c>
      <c r="F6765" t="inlineStr">
        <is>
          <t>DALARNAS LÄN</t>
        </is>
      </c>
      <c r="G6765" t="inlineStr">
        <is>
          <t>RÄTTVIK</t>
        </is>
      </c>
      <c r="I6765" t="n">
        <v>0.7</v>
      </c>
      <c r="J6765" t="n">
        <v>0</v>
      </c>
      <c r="K6765" t="n">
        <v>0</v>
      </c>
      <c r="L6765" t="n">
        <v>0</v>
      </c>
      <c r="M6765" t="n">
        <v>0</v>
      </c>
      <c r="N6765" t="n">
        <v>0</v>
      </c>
      <c r="O6765" t="n">
        <v>0</v>
      </c>
      <c r="P6765" t="n">
        <v>0</v>
      </c>
      <c r="Q6765" t="n">
        <v>0</v>
      </c>
      <c r="R6765" t="n">
        <v>0</v>
      </c>
      <c r="S6765" t="n">
        <v>0</v>
      </c>
      <c r="T6765" t="n">
        <v>0</v>
      </c>
      <c r="U6765" t="n">
        <v>0</v>
      </c>
      <c r="V6765" s="2" t="inlineStr"/>
    </row>
    <row r="6766" ht="15" customHeight="1">
      <c r="A6766" t="inlineStr">
        <is>
          <t>A 12942-2026</t>
        </is>
      </c>
      <c r="B6766" t="inlineStr">
        <is>
          <t>avverkningsanmälan</t>
        </is>
      </c>
      <c r="C6766" t="inlineStr">
        <is>
          <t>Föryngringsavverkning</t>
        </is>
      </c>
      <c r="D6766" s="1" t="n">
        <v>46092</v>
      </c>
      <c r="E6766" s="1" t="n">
        <v>46319</v>
      </c>
      <c r="F6766" t="inlineStr">
        <is>
          <t>DALARNAS LÄN</t>
        </is>
      </c>
      <c r="G6766" t="inlineStr">
        <is>
          <t>SÄTER</t>
        </is>
      </c>
      <c r="I6766" t="n">
        <v>2.3</v>
      </c>
      <c r="J6766" t="n">
        <v>0</v>
      </c>
      <c r="K6766" t="n">
        <v>0</v>
      </c>
      <c r="L6766" t="n">
        <v>0</v>
      </c>
      <c r="M6766" t="n">
        <v>0</v>
      </c>
      <c r="N6766" t="n">
        <v>0</v>
      </c>
      <c r="O6766" t="n">
        <v>0</v>
      </c>
      <c r="P6766" t="n">
        <v>0</v>
      </c>
      <c r="Q6766" t="n">
        <v>0</v>
      </c>
      <c r="R6766" t="n">
        <v>0</v>
      </c>
      <c r="S6766" t="n">
        <v>0</v>
      </c>
      <c r="T6766" t="n">
        <v>0</v>
      </c>
      <c r="U6766" t="n">
        <v>0</v>
      </c>
      <c r="V6766" s="2" t="inlineStr"/>
    </row>
    <row r="6767" ht="15" customHeight="1">
      <c r="A6767" t="inlineStr">
        <is>
          <t>A 11236-2026</t>
        </is>
      </c>
      <c r="B6767" t="inlineStr">
        <is>
          <t>avverkningsanmälan</t>
        </is>
      </c>
      <c r="C6767" t="inlineStr">
        <is>
          <t>Föryngringsavverkning</t>
        </is>
      </c>
      <c r="D6767" s="1" t="n">
        <v>46080</v>
      </c>
      <c r="E6767" s="1" t="n">
        <v>46319</v>
      </c>
      <c r="F6767" t="inlineStr">
        <is>
          <t>DALARNAS LÄN</t>
        </is>
      </c>
      <c r="G6767" t="inlineStr">
        <is>
          <t>FALUN</t>
        </is>
      </c>
      <c r="I6767" t="n">
        <v>3.2</v>
      </c>
      <c r="J6767" t="n">
        <v>0</v>
      </c>
      <c r="K6767" t="n">
        <v>0</v>
      </c>
      <c r="L6767" t="n">
        <v>0</v>
      </c>
      <c r="M6767" t="n">
        <v>0</v>
      </c>
      <c r="N6767" t="n">
        <v>0</v>
      </c>
      <c r="O6767" t="n">
        <v>0</v>
      </c>
      <c r="P6767" t="n">
        <v>0</v>
      </c>
      <c r="Q6767" t="n">
        <v>0</v>
      </c>
      <c r="R6767" t="n">
        <v>0</v>
      </c>
      <c r="S6767" t="n">
        <v>0</v>
      </c>
      <c r="T6767" t="n">
        <v>0</v>
      </c>
      <c r="U6767" t="n">
        <v>0</v>
      </c>
      <c r="V6767" s="2" t="inlineStr"/>
    </row>
    <row r="6768" ht="15" customHeight="1">
      <c r="A6768" t="inlineStr">
        <is>
          <t>A 23737-2026</t>
        </is>
      </c>
      <c r="B6768" t="inlineStr">
        <is>
          <t>avverkningsanmälan</t>
        </is>
      </c>
      <c r="C6768" t="inlineStr">
        <is>
          <t>Föryngringsavverkning</t>
        </is>
      </c>
      <c r="D6768" s="1" t="n">
        <v>46163</v>
      </c>
      <c r="E6768" s="1" t="n">
        <v>46319</v>
      </c>
      <c r="F6768" t="inlineStr">
        <is>
          <t>DALARNAS LÄN</t>
        </is>
      </c>
      <c r="G6768" t="inlineStr">
        <is>
          <t>SÄTER</t>
        </is>
      </c>
      <c r="H6768" t="inlineStr">
        <is>
          <t>Bergvik skog väst AB</t>
        </is>
      </c>
      <c r="I6768" t="n">
        <v>6.7</v>
      </c>
      <c r="J6768" t="n">
        <v>0</v>
      </c>
      <c r="K6768" t="n">
        <v>0</v>
      </c>
      <c r="L6768" t="n">
        <v>0</v>
      </c>
      <c r="M6768" t="n">
        <v>0</v>
      </c>
      <c r="N6768" t="n">
        <v>0</v>
      </c>
      <c r="O6768" t="n">
        <v>0</v>
      </c>
      <c r="P6768" t="n">
        <v>0</v>
      </c>
      <c r="Q6768" t="n">
        <v>0</v>
      </c>
      <c r="R6768" t="n">
        <v>0</v>
      </c>
      <c r="S6768" t="n">
        <v>0</v>
      </c>
      <c r="T6768" t="n">
        <v>0</v>
      </c>
      <c r="U6768" t="n">
        <v>0</v>
      </c>
      <c r="V6768" s="2" t="inlineStr"/>
    </row>
    <row r="6769" ht="15" customHeight="1">
      <c r="A6769" t="inlineStr">
        <is>
          <t>A 18652-2026</t>
        </is>
      </c>
      <c r="B6769" t="inlineStr">
        <is>
          <t>avverkningsanmälan</t>
        </is>
      </c>
      <c r="C6769" t="inlineStr">
        <is>
          <t>Föryngringsavverkning</t>
        </is>
      </c>
      <c r="D6769" s="1" t="n">
        <v>46128</v>
      </c>
      <c r="E6769" s="1" t="n">
        <v>46319</v>
      </c>
      <c r="F6769" t="inlineStr">
        <is>
          <t>DALARNAS LÄN</t>
        </is>
      </c>
      <c r="G6769" t="inlineStr">
        <is>
          <t>AVESTA</t>
        </is>
      </c>
      <c r="H6769" t="inlineStr">
        <is>
          <t>Sveaskog</t>
        </is>
      </c>
      <c r="I6769" t="n">
        <v>1.8</v>
      </c>
      <c r="J6769" t="n">
        <v>0</v>
      </c>
      <c r="K6769" t="n">
        <v>0</v>
      </c>
      <c r="L6769" t="n">
        <v>0</v>
      </c>
      <c r="M6769" t="n">
        <v>0</v>
      </c>
      <c r="N6769" t="n">
        <v>0</v>
      </c>
      <c r="O6769" t="n">
        <v>0</v>
      </c>
      <c r="P6769" t="n">
        <v>0</v>
      </c>
      <c r="Q6769" t="n">
        <v>0</v>
      </c>
      <c r="R6769" t="n">
        <v>0</v>
      </c>
      <c r="S6769" t="n">
        <v>0</v>
      </c>
      <c r="T6769" t="n">
        <v>0</v>
      </c>
      <c r="U6769" t="n">
        <v>0</v>
      </c>
      <c r="V6769" s="2" t="inlineStr"/>
    </row>
    <row r="6770" ht="15" customHeight="1">
      <c r="A6770" t="inlineStr">
        <is>
          <t>A 18655-2026</t>
        </is>
      </c>
      <c r="B6770" t="inlineStr">
        <is>
          <t>avverkningsanmälan</t>
        </is>
      </c>
      <c r="C6770" t="inlineStr">
        <is>
          <t>Föryngringsavverkning</t>
        </is>
      </c>
      <c r="D6770" s="1" t="n">
        <v>46128</v>
      </c>
      <c r="E6770" s="1" t="n">
        <v>46319</v>
      </c>
      <c r="F6770" t="inlineStr">
        <is>
          <t>DALARNAS LÄN</t>
        </is>
      </c>
      <c r="G6770" t="inlineStr">
        <is>
          <t>AVESTA</t>
        </is>
      </c>
      <c r="H6770" t="inlineStr">
        <is>
          <t>Sveaskog</t>
        </is>
      </c>
      <c r="I6770" t="n">
        <v>1.1</v>
      </c>
      <c r="J6770" t="n">
        <v>0</v>
      </c>
      <c r="K6770" t="n">
        <v>0</v>
      </c>
      <c r="L6770" t="n">
        <v>0</v>
      </c>
      <c r="M6770" t="n">
        <v>0</v>
      </c>
      <c r="N6770" t="n">
        <v>0</v>
      </c>
      <c r="O6770" t="n">
        <v>0</v>
      </c>
      <c r="P6770" t="n">
        <v>0</v>
      </c>
      <c r="Q6770" t="n">
        <v>0</v>
      </c>
      <c r="R6770" t="n">
        <v>0</v>
      </c>
      <c r="S6770" t="n">
        <v>0</v>
      </c>
      <c r="T6770" t="n">
        <v>0</v>
      </c>
      <c r="U6770" t="n">
        <v>0</v>
      </c>
      <c r="V6770" s="2" t="inlineStr"/>
    </row>
    <row r="6771" ht="15" customHeight="1">
      <c r="A6771" t="inlineStr">
        <is>
          <t>A 18983-2026</t>
        </is>
      </c>
      <c r="B6771" t="inlineStr">
        <is>
          <t>avverkningsanmälan</t>
        </is>
      </c>
      <c r="C6771" t="inlineStr">
        <is>
          <t>Föryngringsavverkning</t>
        </is>
      </c>
      <c r="D6771" s="1" t="n">
        <v>46128</v>
      </c>
      <c r="E6771" s="1" t="n">
        <v>46319</v>
      </c>
      <c r="F6771" t="inlineStr">
        <is>
          <t>DALARNAS LÄN</t>
        </is>
      </c>
      <c r="G6771" t="inlineStr">
        <is>
          <t>FALUN</t>
        </is>
      </c>
      <c r="H6771" t="inlineStr">
        <is>
          <t>Allmännings- och besparingsskogar</t>
        </is>
      </c>
      <c r="I6771" t="n">
        <v>8.199999999999999</v>
      </c>
      <c r="J6771" t="n">
        <v>0</v>
      </c>
      <c r="K6771" t="n">
        <v>0</v>
      </c>
      <c r="L6771" t="n">
        <v>0</v>
      </c>
      <c r="M6771" t="n">
        <v>0</v>
      </c>
      <c r="N6771" t="n">
        <v>0</v>
      </c>
      <c r="O6771" t="n">
        <v>0</v>
      </c>
      <c r="P6771" t="n">
        <v>0</v>
      </c>
      <c r="Q6771" t="n">
        <v>0</v>
      </c>
      <c r="R6771" t="n">
        <v>0</v>
      </c>
      <c r="S6771" t="n">
        <v>0</v>
      </c>
      <c r="T6771" t="n">
        <v>0</v>
      </c>
      <c r="U6771" t="n">
        <v>0</v>
      </c>
      <c r="V6771" s="2" t="inlineStr"/>
    </row>
    <row r="6772" ht="15" customHeight="1">
      <c r="A6772" t="inlineStr">
        <is>
          <t>A 37996-2025</t>
        </is>
      </c>
      <c r="B6772" t="inlineStr">
        <is>
          <t>avverkningsanmälan</t>
        </is>
      </c>
      <c r="C6772" t="inlineStr">
        <is>
          <t>Föryngringsavverkning</t>
        </is>
      </c>
      <c r="D6772" s="1" t="n">
        <v>45881</v>
      </c>
      <c r="E6772" s="1" t="n">
        <v>46319</v>
      </c>
      <c r="F6772" t="inlineStr">
        <is>
          <t>DALARNAS LÄN</t>
        </is>
      </c>
      <c r="G6772" t="inlineStr">
        <is>
          <t>LEKSAND</t>
        </is>
      </c>
      <c r="I6772" t="n">
        <v>4.2</v>
      </c>
      <c r="J6772" t="n">
        <v>0</v>
      </c>
      <c r="K6772" t="n">
        <v>0</v>
      </c>
      <c r="L6772" t="n">
        <v>0</v>
      </c>
      <c r="M6772" t="n">
        <v>0</v>
      </c>
      <c r="N6772" t="n">
        <v>0</v>
      </c>
      <c r="O6772" t="n">
        <v>0</v>
      </c>
      <c r="P6772" t="n">
        <v>0</v>
      </c>
      <c r="Q6772" t="n">
        <v>0</v>
      </c>
      <c r="R6772" t="n">
        <v>0</v>
      </c>
      <c r="S6772" t="n">
        <v>0</v>
      </c>
      <c r="T6772" t="n">
        <v>0</v>
      </c>
      <c r="U6772" t="n">
        <v>0</v>
      </c>
      <c r="V6772" s="2" t="inlineStr"/>
    </row>
    <row r="6773" ht="15" customHeight="1">
      <c r="A6773" t="inlineStr">
        <is>
          <t>A 19026-2026</t>
        </is>
      </c>
      <c r="B6773" t="inlineStr">
        <is>
          <t>avverkningsanmälan</t>
        </is>
      </c>
      <c r="C6773" t="inlineStr">
        <is>
          <t>Avverkning för annat ändamål</t>
        </is>
      </c>
      <c r="D6773" s="1" t="n">
        <v>46131</v>
      </c>
      <c r="E6773" s="1" t="n">
        <v>46319</v>
      </c>
      <c r="F6773" t="inlineStr">
        <is>
          <t>DALARNAS LÄN</t>
        </is>
      </c>
      <c r="G6773" t="inlineStr">
        <is>
          <t>ORSA</t>
        </is>
      </c>
      <c r="I6773" t="n">
        <v>3.9</v>
      </c>
      <c r="J6773" t="n">
        <v>0</v>
      </c>
      <c r="K6773" t="n">
        <v>0</v>
      </c>
      <c r="L6773" t="n">
        <v>0</v>
      </c>
      <c r="M6773" t="n">
        <v>0</v>
      </c>
      <c r="N6773" t="n">
        <v>0</v>
      </c>
      <c r="O6773" t="n">
        <v>0</v>
      </c>
      <c r="P6773" t="n">
        <v>0</v>
      </c>
      <c r="Q6773" t="n">
        <v>0</v>
      </c>
      <c r="R6773" t="n">
        <v>0</v>
      </c>
      <c r="S6773" t="n">
        <v>0</v>
      </c>
      <c r="T6773" t="n">
        <v>0</v>
      </c>
      <c r="U6773" t="n">
        <v>0</v>
      </c>
      <c r="V6773" s="2" t="inlineStr"/>
    </row>
    <row r="6774" ht="15" customHeight="1">
      <c r="A6774" t="inlineStr">
        <is>
          <t>A 18869-2026</t>
        </is>
      </c>
      <c r="B6774" t="inlineStr">
        <is>
          <t>avverkningsanmälan</t>
        </is>
      </c>
      <c r="C6774" t="inlineStr">
        <is>
          <t>Föryngringsavverkning</t>
        </is>
      </c>
      <c r="D6774" s="1" t="n">
        <v>46129</v>
      </c>
      <c r="E6774" s="1" t="n">
        <v>46319</v>
      </c>
      <c r="F6774" t="inlineStr">
        <is>
          <t>DALARNAS LÄN</t>
        </is>
      </c>
      <c r="G6774" t="inlineStr">
        <is>
          <t>FALUN</t>
        </is>
      </c>
      <c r="H6774" t="inlineStr">
        <is>
          <t>Bergvik skog väst AB</t>
        </is>
      </c>
      <c r="I6774" t="n">
        <v>7</v>
      </c>
      <c r="J6774" t="n">
        <v>0</v>
      </c>
      <c r="K6774" t="n">
        <v>0</v>
      </c>
      <c r="L6774" t="n">
        <v>0</v>
      </c>
      <c r="M6774" t="n">
        <v>0</v>
      </c>
      <c r="N6774" t="n">
        <v>0</v>
      </c>
      <c r="O6774" t="n">
        <v>0</v>
      </c>
      <c r="P6774" t="n">
        <v>0</v>
      </c>
      <c r="Q6774" t="n">
        <v>0</v>
      </c>
      <c r="R6774" t="n">
        <v>0</v>
      </c>
      <c r="S6774" t="n">
        <v>0</v>
      </c>
      <c r="T6774" t="n">
        <v>0</v>
      </c>
      <c r="U6774" t="n">
        <v>0</v>
      </c>
      <c r="V6774" s="2" t="inlineStr"/>
    </row>
    <row r="6775" ht="15" customHeight="1">
      <c r="A6775" t="inlineStr">
        <is>
          <t>A 21868-2025</t>
        </is>
      </c>
      <c r="B6775" t="inlineStr">
        <is>
          <t>avverkningsanmälan</t>
        </is>
      </c>
      <c r="C6775" t="inlineStr">
        <is>
          <t>Föryngringsavverkning</t>
        </is>
      </c>
      <c r="D6775" s="1" t="n">
        <v>45784</v>
      </c>
      <c r="E6775" s="1" t="n">
        <v>46319</v>
      </c>
      <c r="F6775" t="inlineStr">
        <is>
          <t>DALARNAS LÄN</t>
        </is>
      </c>
      <c r="G6775" t="inlineStr">
        <is>
          <t>HEDEMORA</t>
        </is>
      </c>
      <c r="H6775" t="inlineStr">
        <is>
          <t>Sveaskog</t>
        </is>
      </c>
      <c r="I6775" t="n">
        <v>10.1</v>
      </c>
      <c r="J6775" t="n">
        <v>0</v>
      </c>
      <c r="K6775" t="n">
        <v>0</v>
      </c>
      <c r="L6775" t="n">
        <v>0</v>
      </c>
      <c r="M6775" t="n">
        <v>0</v>
      </c>
      <c r="N6775" t="n">
        <v>0</v>
      </c>
      <c r="O6775" t="n">
        <v>0</v>
      </c>
      <c r="P6775" t="n">
        <v>0</v>
      </c>
      <c r="Q6775" t="n">
        <v>0</v>
      </c>
      <c r="R6775" t="n">
        <v>0</v>
      </c>
      <c r="S6775" t="n">
        <v>0</v>
      </c>
      <c r="T6775" t="n">
        <v>0</v>
      </c>
      <c r="U6775" t="n">
        <v>0</v>
      </c>
      <c r="V6775" s="2" t="inlineStr"/>
    </row>
    <row r="6776" ht="15" customHeight="1">
      <c r="A6776" t="inlineStr">
        <is>
          <t>A 18663-2026</t>
        </is>
      </c>
      <c r="B6776" t="inlineStr">
        <is>
          <t>avverkningsanmälan</t>
        </is>
      </c>
      <c r="C6776" t="inlineStr">
        <is>
          <t>Föryngringsavverkning</t>
        </is>
      </c>
      <c r="D6776" s="1" t="n">
        <v>46128</v>
      </c>
      <c r="E6776" s="1" t="n">
        <v>46319</v>
      </c>
      <c r="F6776" t="inlineStr">
        <is>
          <t>DALARNAS LÄN</t>
        </is>
      </c>
      <c r="G6776" t="inlineStr">
        <is>
          <t>MALUNG-SÄLEN</t>
        </is>
      </c>
      <c r="I6776" t="n">
        <v>12.5</v>
      </c>
      <c r="J6776" t="n">
        <v>0</v>
      </c>
      <c r="K6776" t="n">
        <v>0</v>
      </c>
      <c r="L6776" t="n">
        <v>0</v>
      </c>
      <c r="M6776" t="n">
        <v>0</v>
      </c>
      <c r="N6776" t="n">
        <v>0</v>
      </c>
      <c r="O6776" t="n">
        <v>0</v>
      </c>
      <c r="P6776" t="n">
        <v>0</v>
      </c>
      <c r="Q6776" t="n">
        <v>0</v>
      </c>
      <c r="R6776" t="n">
        <v>0</v>
      </c>
      <c r="S6776" t="n">
        <v>0</v>
      </c>
      <c r="T6776" t="n">
        <v>0</v>
      </c>
      <c r="U6776" t="n">
        <v>0</v>
      </c>
      <c r="V6776" s="2" t="inlineStr"/>
    </row>
    <row r="6777" ht="15" customHeight="1">
      <c r="A6777" t="inlineStr">
        <is>
          <t>A 18709-2026</t>
        </is>
      </c>
      <c r="B6777" t="inlineStr">
        <is>
          <t>avverkningsanmälan</t>
        </is>
      </c>
      <c r="C6777" t="inlineStr">
        <is>
          <t>Föryngringsavverkning</t>
        </is>
      </c>
      <c r="D6777" s="1" t="n">
        <v>46128</v>
      </c>
      <c r="E6777" s="1" t="n">
        <v>46319</v>
      </c>
      <c r="F6777" t="inlineStr">
        <is>
          <t>DALARNAS LÄN</t>
        </is>
      </c>
      <c r="G6777" t="inlineStr">
        <is>
          <t>VANSBRO</t>
        </is>
      </c>
      <c r="I6777" t="n">
        <v>6.4</v>
      </c>
      <c r="J6777" t="n">
        <v>0</v>
      </c>
      <c r="K6777" t="n">
        <v>0</v>
      </c>
      <c r="L6777" t="n">
        <v>0</v>
      </c>
      <c r="M6777" t="n">
        <v>0</v>
      </c>
      <c r="N6777" t="n">
        <v>0</v>
      </c>
      <c r="O6777" t="n">
        <v>0</v>
      </c>
      <c r="P6777" t="n">
        <v>0</v>
      </c>
      <c r="Q6777" t="n">
        <v>0</v>
      </c>
      <c r="R6777" t="n">
        <v>0</v>
      </c>
      <c r="S6777" t="n">
        <v>0</v>
      </c>
      <c r="T6777" t="n">
        <v>0</v>
      </c>
      <c r="U6777" t="n">
        <v>0</v>
      </c>
      <c r="V6777" s="2" t="inlineStr"/>
    </row>
    <row r="6778" ht="15" customHeight="1">
      <c r="A6778" t="inlineStr">
        <is>
          <t>A 19033-2026</t>
        </is>
      </c>
      <c r="B6778" t="inlineStr">
        <is>
          <t>avverkningsanmälan</t>
        </is>
      </c>
      <c r="C6778" t="inlineStr">
        <is>
          <t>Föryngringsavverkning</t>
        </is>
      </c>
      <c r="D6778" s="1" t="n">
        <v>46131</v>
      </c>
      <c r="E6778" s="1" t="n">
        <v>46319</v>
      </c>
      <c r="F6778" t="inlineStr">
        <is>
          <t>DALARNAS LÄN</t>
        </is>
      </c>
      <c r="G6778" t="inlineStr">
        <is>
          <t>FALUN</t>
        </is>
      </c>
      <c r="I6778" t="n">
        <v>0.2</v>
      </c>
      <c r="J6778" t="n">
        <v>0</v>
      </c>
      <c r="K6778" t="n">
        <v>0</v>
      </c>
      <c r="L6778" t="n">
        <v>0</v>
      </c>
      <c r="M6778" t="n">
        <v>0</v>
      </c>
      <c r="N6778" t="n">
        <v>0</v>
      </c>
      <c r="O6778" t="n">
        <v>0</v>
      </c>
      <c r="P6778" t="n">
        <v>0</v>
      </c>
      <c r="Q6778" t="n">
        <v>0</v>
      </c>
      <c r="R6778" t="n">
        <v>0</v>
      </c>
      <c r="S6778" t="n">
        <v>0</v>
      </c>
      <c r="T6778" t="n">
        <v>0</v>
      </c>
      <c r="U6778" t="n">
        <v>0</v>
      </c>
      <c r="V6778" s="2" t="inlineStr"/>
    </row>
    <row r="6779" ht="15" customHeight="1">
      <c r="A6779" t="inlineStr">
        <is>
          <t>A 37809-2025</t>
        </is>
      </c>
      <c r="B6779" t="inlineStr">
        <is>
          <t>avverkningsanmälan</t>
        </is>
      </c>
      <c r="C6779" t="inlineStr">
        <is>
          <t>Föryngringsavverkning</t>
        </is>
      </c>
      <c r="D6779" s="1" t="n">
        <v>45881</v>
      </c>
      <c r="E6779" s="1" t="n">
        <v>46319</v>
      </c>
      <c r="F6779" t="inlineStr">
        <is>
          <t>DALARNAS LÄN</t>
        </is>
      </c>
      <c r="G6779" t="inlineStr">
        <is>
          <t>AVESTA</t>
        </is>
      </c>
      <c r="I6779" t="n">
        <v>1</v>
      </c>
      <c r="J6779" t="n">
        <v>0</v>
      </c>
      <c r="K6779" t="n">
        <v>0</v>
      </c>
      <c r="L6779" t="n">
        <v>0</v>
      </c>
      <c r="M6779" t="n">
        <v>0</v>
      </c>
      <c r="N6779" t="n">
        <v>0</v>
      </c>
      <c r="O6779" t="n">
        <v>0</v>
      </c>
      <c r="P6779" t="n">
        <v>0</v>
      </c>
      <c r="Q6779" t="n">
        <v>0</v>
      </c>
      <c r="R6779" t="n">
        <v>0</v>
      </c>
      <c r="S6779" t="n">
        <v>0</v>
      </c>
      <c r="T6779" t="n">
        <v>0</v>
      </c>
      <c r="U6779" t="n">
        <v>0</v>
      </c>
      <c r="V6779" s="2" t="inlineStr"/>
    </row>
    <row r="6780" ht="15" customHeight="1">
      <c r="A6780" t="inlineStr">
        <is>
          <t>A 35555-2026</t>
        </is>
      </c>
      <c r="B6780" t="inlineStr">
        <is>
          <t>avverkningsanmälan</t>
        </is>
      </c>
      <c r="C6780" t="inlineStr">
        <is>
          <t>Föryngringsavverkning</t>
        </is>
      </c>
      <c r="D6780" s="1" t="n">
        <v>46262</v>
      </c>
      <c r="E6780" s="1" t="n">
        <v>46319</v>
      </c>
      <c r="F6780" t="inlineStr">
        <is>
          <t>DALARNAS LÄN</t>
        </is>
      </c>
      <c r="G6780" t="inlineStr">
        <is>
          <t>ÄLVDALEN</t>
        </is>
      </c>
      <c r="I6780" t="n">
        <v>0.7</v>
      </c>
      <c r="J6780" t="n">
        <v>0</v>
      </c>
      <c r="K6780" t="n">
        <v>0</v>
      </c>
      <c r="L6780" t="n">
        <v>0</v>
      </c>
      <c r="M6780" t="n">
        <v>0</v>
      </c>
      <c r="N6780" t="n">
        <v>0</v>
      </c>
      <c r="O6780" t="n">
        <v>0</v>
      </c>
      <c r="P6780" t="n">
        <v>0</v>
      </c>
      <c r="Q6780" t="n">
        <v>0</v>
      </c>
      <c r="R6780" t="n">
        <v>0</v>
      </c>
      <c r="S6780" t="n">
        <v>0</v>
      </c>
      <c r="T6780" t="n">
        <v>0</v>
      </c>
      <c r="U6780" t="n">
        <v>0</v>
      </c>
      <c r="V6780" s="2" t="inlineStr"/>
    </row>
    <row r="6781" ht="15" customHeight="1">
      <c r="A6781" t="inlineStr">
        <is>
          <t>A 35559-2026</t>
        </is>
      </c>
      <c r="B6781" t="inlineStr">
        <is>
          <t>avverkningsanmälan</t>
        </is>
      </c>
      <c r="C6781" t="inlineStr">
        <is>
          <t>Föryngringsavverkning</t>
        </is>
      </c>
      <c r="D6781" s="1" t="n">
        <v>46262</v>
      </c>
      <c r="E6781" s="1" t="n">
        <v>46319</v>
      </c>
      <c r="F6781" t="inlineStr">
        <is>
          <t>DALARNAS LÄN</t>
        </is>
      </c>
      <c r="G6781" t="inlineStr">
        <is>
          <t>FALUN</t>
        </is>
      </c>
      <c r="I6781" t="n">
        <v>1.2</v>
      </c>
      <c r="J6781" t="n">
        <v>0</v>
      </c>
      <c r="K6781" t="n">
        <v>0</v>
      </c>
      <c r="L6781" t="n">
        <v>0</v>
      </c>
      <c r="M6781" t="n">
        <v>0</v>
      </c>
      <c r="N6781" t="n">
        <v>0</v>
      </c>
      <c r="O6781" t="n">
        <v>0</v>
      </c>
      <c r="P6781" t="n">
        <v>0</v>
      </c>
      <c r="Q6781" t="n">
        <v>0</v>
      </c>
      <c r="R6781" t="n">
        <v>0</v>
      </c>
      <c r="S6781" t="n">
        <v>0</v>
      </c>
      <c r="T6781" t="n">
        <v>0</v>
      </c>
      <c r="U6781" t="n">
        <v>0</v>
      </c>
      <c r="V6781" s="2" t="inlineStr"/>
    </row>
    <row r="6782" ht="15" customHeight="1">
      <c r="A6782" t="inlineStr">
        <is>
          <t>A 19176-2026</t>
        </is>
      </c>
      <c r="B6782" t="inlineStr">
        <is>
          <t>avverkningsanmälan</t>
        </is>
      </c>
      <c r="C6782" t="inlineStr">
        <is>
          <t>Föryngringsavverkning</t>
        </is>
      </c>
      <c r="D6782" s="1" t="n">
        <v>46132</v>
      </c>
      <c r="E6782" s="1" t="n">
        <v>46319</v>
      </c>
      <c r="F6782" t="inlineStr">
        <is>
          <t>DALARNAS LÄN</t>
        </is>
      </c>
      <c r="G6782" t="inlineStr">
        <is>
          <t>FALUN</t>
        </is>
      </c>
      <c r="I6782" t="n">
        <v>3.5</v>
      </c>
      <c r="J6782" t="n">
        <v>0</v>
      </c>
      <c r="K6782" t="n">
        <v>0</v>
      </c>
      <c r="L6782" t="n">
        <v>0</v>
      </c>
      <c r="M6782" t="n">
        <v>0</v>
      </c>
      <c r="N6782" t="n">
        <v>0</v>
      </c>
      <c r="O6782" t="n">
        <v>0</v>
      </c>
      <c r="P6782" t="n">
        <v>0</v>
      </c>
      <c r="Q6782" t="n">
        <v>0</v>
      </c>
      <c r="R6782" t="n">
        <v>0</v>
      </c>
      <c r="S6782" t="n">
        <v>0</v>
      </c>
      <c r="T6782" t="n">
        <v>0</v>
      </c>
      <c r="U6782" t="n">
        <v>0</v>
      </c>
      <c r="V6782" s="2" t="inlineStr"/>
    </row>
    <row r="6783" ht="15" customHeight="1">
      <c r="A6783" t="inlineStr">
        <is>
          <t>A 38137-2025</t>
        </is>
      </c>
      <c r="B6783" t="inlineStr">
        <is>
          <t>avverkningsanmälan</t>
        </is>
      </c>
      <c r="C6783" t="inlineStr">
        <is>
          <t>Föryngringsavverkning</t>
        </is>
      </c>
      <c r="D6783" s="1" t="n">
        <v>45882</v>
      </c>
      <c r="E6783" s="1" t="n">
        <v>46319</v>
      </c>
      <c r="F6783" t="inlineStr">
        <is>
          <t>DALARNAS LÄN</t>
        </is>
      </c>
      <c r="G6783" t="inlineStr">
        <is>
          <t>BORLÄNGE</t>
        </is>
      </c>
      <c r="I6783" t="n">
        <v>1</v>
      </c>
      <c r="J6783" t="n">
        <v>0</v>
      </c>
      <c r="K6783" t="n">
        <v>0</v>
      </c>
      <c r="L6783" t="n">
        <v>0</v>
      </c>
      <c r="M6783" t="n">
        <v>0</v>
      </c>
      <c r="N6783" t="n">
        <v>0</v>
      </c>
      <c r="O6783" t="n">
        <v>0</v>
      </c>
      <c r="P6783" t="n">
        <v>0</v>
      </c>
      <c r="Q6783" t="n">
        <v>0</v>
      </c>
      <c r="R6783" t="n">
        <v>0</v>
      </c>
      <c r="S6783" t="n">
        <v>0</v>
      </c>
      <c r="T6783" t="n">
        <v>0</v>
      </c>
      <c r="U6783" t="n">
        <v>0</v>
      </c>
      <c r="V6783" s="2" t="inlineStr"/>
    </row>
    <row r="6784" ht="15" customHeight="1">
      <c r="A6784" t="inlineStr">
        <is>
          <t>A 18955-2026</t>
        </is>
      </c>
      <c r="B6784" t="inlineStr">
        <is>
          <t>avverkningsanmälan</t>
        </is>
      </c>
      <c r="C6784" t="inlineStr">
        <is>
          <t>Föryngringsavverkning</t>
        </is>
      </c>
      <c r="D6784" s="1" t="n">
        <v>46129</v>
      </c>
      <c r="E6784" s="1" t="n">
        <v>46319</v>
      </c>
      <c r="F6784" t="inlineStr">
        <is>
          <t>DALARNAS LÄN</t>
        </is>
      </c>
      <c r="G6784" t="inlineStr">
        <is>
          <t>RÄTTVIK</t>
        </is>
      </c>
      <c r="H6784" t="inlineStr">
        <is>
          <t>Bergvik skog väst AB</t>
        </is>
      </c>
      <c r="I6784" t="n">
        <v>11.5</v>
      </c>
      <c r="J6784" t="n">
        <v>0</v>
      </c>
      <c r="K6784" t="n">
        <v>0</v>
      </c>
      <c r="L6784" t="n">
        <v>0</v>
      </c>
      <c r="M6784" t="n">
        <v>0</v>
      </c>
      <c r="N6784" t="n">
        <v>0</v>
      </c>
      <c r="O6784" t="n">
        <v>0</v>
      </c>
      <c r="P6784" t="n">
        <v>0</v>
      </c>
      <c r="Q6784" t="n">
        <v>0</v>
      </c>
      <c r="R6784" t="n">
        <v>0</v>
      </c>
      <c r="S6784" t="n">
        <v>0</v>
      </c>
      <c r="T6784" t="n">
        <v>0</v>
      </c>
      <c r="U6784" t="n">
        <v>0</v>
      </c>
      <c r="V6784" s="2" t="inlineStr"/>
    </row>
    <row r="6785" ht="15" customHeight="1">
      <c r="A6785" t="inlineStr">
        <is>
          <t>A 21747-2024</t>
        </is>
      </c>
      <c r="B6785" t="inlineStr">
        <is>
          <t>avverkningsanmälan</t>
        </is>
      </c>
      <c r="C6785" t="inlineStr">
        <is>
          <t>Föryngringsavverkning</t>
        </is>
      </c>
      <c r="D6785" s="1" t="n">
        <v>45442</v>
      </c>
      <c r="E6785" s="1" t="n">
        <v>46319</v>
      </c>
      <c r="F6785" t="inlineStr">
        <is>
          <t>DALARNAS LÄN</t>
        </is>
      </c>
      <c r="G6785" t="inlineStr">
        <is>
          <t>FALUN</t>
        </is>
      </c>
      <c r="H6785" t="inlineStr">
        <is>
          <t>Bergvik skog väst AB</t>
        </is>
      </c>
      <c r="I6785" t="n">
        <v>1.9</v>
      </c>
      <c r="J6785" t="n">
        <v>0</v>
      </c>
      <c r="K6785" t="n">
        <v>0</v>
      </c>
      <c r="L6785" t="n">
        <v>0</v>
      </c>
      <c r="M6785" t="n">
        <v>0</v>
      </c>
      <c r="N6785" t="n">
        <v>0</v>
      </c>
      <c r="O6785" t="n">
        <v>0</v>
      </c>
      <c r="P6785" t="n">
        <v>0</v>
      </c>
      <c r="Q6785" t="n">
        <v>0</v>
      </c>
      <c r="R6785" t="n">
        <v>0</v>
      </c>
      <c r="S6785" t="n">
        <v>0</v>
      </c>
      <c r="T6785" t="n">
        <v>0</v>
      </c>
      <c r="U6785" t="n">
        <v>0</v>
      </c>
      <c r="V6785" s="2" t="inlineStr"/>
    </row>
    <row r="6786" ht="15" customHeight="1">
      <c r="A6786" t="inlineStr">
        <is>
          <t>A 8526-2026</t>
        </is>
      </c>
      <c r="B6786" t="inlineStr">
        <is>
          <t>avverkningsanmälan</t>
        </is>
      </c>
      <c r="C6786" t="inlineStr">
        <is>
          <t>Föryngringsavverkning</t>
        </is>
      </c>
      <c r="D6786" s="1" t="n">
        <v>46065</v>
      </c>
      <c r="E6786" s="1" t="n">
        <v>46319</v>
      </c>
      <c r="F6786" t="inlineStr">
        <is>
          <t>DALARNAS LÄN</t>
        </is>
      </c>
      <c r="G6786" t="inlineStr">
        <is>
          <t>ORSA</t>
        </is>
      </c>
      <c r="I6786" t="n">
        <v>0.7</v>
      </c>
      <c r="J6786" t="n">
        <v>0</v>
      </c>
      <c r="K6786" t="n">
        <v>0</v>
      </c>
      <c r="L6786" t="n">
        <v>0</v>
      </c>
      <c r="M6786" t="n">
        <v>0</v>
      </c>
      <c r="N6786" t="n">
        <v>0</v>
      </c>
      <c r="O6786" t="n">
        <v>0</v>
      </c>
      <c r="P6786" t="n">
        <v>0</v>
      </c>
      <c r="Q6786" t="n">
        <v>0</v>
      </c>
      <c r="R6786" t="n">
        <v>0</v>
      </c>
      <c r="S6786" t="n">
        <v>0</v>
      </c>
      <c r="T6786" t="n">
        <v>0</v>
      </c>
      <c r="U6786" t="n">
        <v>0</v>
      </c>
      <c r="V6786" s="2" t="inlineStr"/>
    </row>
    <row r="6787" ht="15" customHeight="1">
      <c r="A6787" t="inlineStr">
        <is>
          <t>A 19032-2026</t>
        </is>
      </c>
      <c r="B6787" t="inlineStr">
        <is>
          <t>avverkningsanmälan</t>
        </is>
      </c>
      <c r="C6787" t="inlineStr">
        <is>
          <t>Föryngringsavverkning</t>
        </is>
      </c>
      <c r="D6787" s="1" t="n">
        <v>46131</v>
      </c>
      <c r="E6787" s="1" t="n">
        <v>46319</v>
      </c>
      <c r="F6787" t="inlineStr">
        <is>
          <t>DALARNAS LÄN</t>
        </is>
      </c>
      <c r="G6787" t="inlineStr">
        <is>
          <t>FALUN</t>
        </is>
      </c>
      <c r="I6787" t="n">
        <v>0.9</v>
      </c>
      <c r="J6787" t="n">
        <v>0</v>
      </c>
      <c r="K6787" t="n">
        <v>0</v>
      </c>
      <c r="L6787" t="n">
        <v>0</v>
      </c>
      <c r="M6787" t="n">
        <v>0</v>
      </c>
      <c r="N6787" t="n">
        <v>0</v>
      </c>
      <c r="O6787" t="n">
        <v>0</v>
      </c>
      <c r="P6787" t="n">
        <v>0</v>
      </c>
      <c r="Q6787" t="n">
        <v>0</v>
      </c>
      <c r="R6787" t="n">
        <v>0</v>
      </c>
      <c r="S6787" t="n">
        <v>0</v>
      </c>
      <c r="T6787" t="n">
        <v>0</v>
      </c>
      <c r="U6787" t="n">
        <v>0</v>
      </c>
      <c r="V6787" s="2" t="inlineStr"/>
    </row>
    <row r="6788" ht="15" customHeight="1">
      <c r="A6788" t="inlineStr">
        <is>
          <t>A 60848-2024</t>
        </is>
      </c>
      <c r="B6788" t="inlineStr">
        <is>
          <t>avverkningsanmälan</t>
        </is>
      </c>
      <c r="C6788" t="inlineStr">
        <is>
          <t>Föryngringsavverkning</t>
        </is>
      </c>
      <c r="D6788" s="1" t="n">
        <v>45644</v>
      </c>
      <c r="E6788" s="1" t="n">
        <v>46319</v>
      </c>
      <c r="F6788" t="inlineStr">
        <is>
          <t>DALARNAS LÄN</t>
        </is>
      </c>
      <c r="G6788" t="inlineStr">
        <is>
          <t>VANSBRO</t>
        </is>
      </c>
      <c r="I6788" t="n">
        <v>2.9</v>
      </c>
      <c r="J6788" t="n">
        <v>0</v>
      </c>
      <c r="K6788" t="n">
        <v>0</v>
      </c>
      <c r="L6788" t="n">
        <v>0</v>
      </c>
      <c r="M6788" t="n">
        <v>0</v>
      </c>
      <c r="N6788" t="n">
        <v>0</v>
      </c>
      <c r="O6788" t="n">
        <v>0</v>
      </c>
      <c r="P6788" t="n">
        <v>0</v>
      </c>
      <c r="Q6788" t="n">
        <v>0</v>
      </c>
      <c r="R6788" t="n">
        <v>0</v>
      </c>
      <c r="S6788" t="n">
        <v>0</v>
      </c>
      <c r="T6788" t="n">
        <v>0</v>
      </c>
      <c r="U6788" t="n">
        <v>0</v>
      </c>
      <c r="V6788" s="2" t="inlineStr"/>
    </row>
    <row r="6789" ht="15" customHeight="1">
      <c r="A6789" t="inlineStr">
        <is>
          <t>A 57388-2022</t>
        </is>
      </c>
      <c r="B6789" t="inlineStr">
        <is>
          <t>avverkningsanmälan</t>
        </is>
      </c>
      <c r="C6789" t="inlineStr">
        <is>
          <t>Föryngringsavverkning</t>
        </is>
      </c>
      <c r="D6789" s="1" t="n">
        <v>44896</v>
      </c>
      <c r="E6789" s="1" t="n">
        <v>46319</v>
      </c>
      <c r="F6789" t="inlineStr">
        <is>
          <t>DALARNAS LÄN</t>
        </is>
      </c>
      <c r="G6789" t="inlineStr">
        <is>
          <t>MALUNG-SÄLEN</t>
        </is>
      </c>
      <c r="I6789" t="n">
        <v>1.5</v>
      </c>
      <c r="J6789" t="n">
        <v>0</v>
      </c>
      <c r="K6789" t="n">
        <v>0</v>
      </c>
      <c r="L6789" t="n">
        <v>0</v>
      </c>
      <c r="M6789" t="n">
        <v>0</v>
      </c>
      <c r="N6789" t="n">
        <v>0</v>
      </c>
      <c r="O6789" t="n">
        <v>0</v>
      </c>
      <c r="P6789" t="n">
        <v>0</v>
      </c>
      <c r="Q6789" t="n">
        <v>0</v>
      </c>
      <c r="R6789" t="n">
        <v>0</v>
      </c>
      <c r="S6789" t="n">
        <v>0</v>
      </c>
      <c r="T6789" t="n">
        <v>0</v>
      </c>
      <c r="U6789" t="n">
        <v>0</v>
      </c>
      <c r="V6789" s="2" t="inlineStr"/>
    </row>
    <row r="6790" ht="15" customHeight="1">
      <c r="A6790" t="inlineStr">
        <is>
          <t>A 35560-2026</t>
        </is>
      </c>
      <c r="B6790" t="inlineStr">
        <is>
          <t>avverkningsanmälan</t>
        </is>
      </c>
      <c r="C6790" t="inlineStr">
        <is>
          <t>Föryngringsavverkning</t>
        </is>
      </c>
      <c r="D6790" s="1" t="n">
        <v>46262</v>
      </c>
      <c r="E6790" s="1" t="n">
        <v>46319</v>
      </c>
      <c r="F6790" t="inlineStr">
        <is>
          <t>DALARNAS LÄN</t>
        </is>
      </c>
      <c r="G6790" t="inlineStr">
        <is>
          <t>GAGNEF</t>
        </is>
      </c>
      <c r="I6790" t="n">
        <v>9</v>
      </c>
      <c r="J6790" t="n">
        <v>0</v>
      </c>
      <c r="K6790" t="n">
        <v>0</v>
      </c>
      <c r="L6790" t="n">
        <v>0</v>
      </c>
      <c r="M6790" t="n">
        <v>0</v>
      </c>
      <c r="N6790" t="n">
        <v>0</v>
      </c>
      <c r="O6790" t="n">
        <v>0</v>
      </c>
      <c r="P6790" t="n">
        <v>0</v>
      </c>
      <c r="Q6790" t="n">
        <v>0</v>
      </c>
      <c r="R6790" t="n">
        <v>0</v>
      </c>
      <c r="S6790" t="n">
        <v>0</v>
      </c>
      <c r="T6790" t="n">
        <v>0</v>
      </c>
      <c r="U6790" t="n">
        <v>0</v>
      </c>
      <c r="V6790" s="2" t="inlineStr"/>
    </row>
    <row r="6791" ht="15" customHeight="1">
      <c r="A6791" t="inlineStr">
        <is>
          <t>A 35624-2026</t>
        </is>
      </c>
      <c r="B6791" t="inlineStr">
        <is>
          <t>avverkningsanmälan</t>
        </is>
      </c>
      <c r="C6791" t="inlineStr">
        <is>
          <t>Föryngringsavverkning</t>
        </is>
      </c>
      <c r="D6791" s="1" t="n">
        <v>46265</v>
      </c>
      <c r="E6791" s="1" t="n">
        <v>46319</v>
      </c>
      <c r="F6791" t="inlineStr">
        <is>
          <t>DALARNAS LÄN</t>
        </is>
      </c>
      <c r="G6791" t="inlineStr">
        <is>
          <t>ORSA</t>
        </is>
      </c>
      <c r="I6791" t="n">
        <v>1.5</v>
      </c>
      <c r="J6791" t="n">
        <v>0</v>
      </c>
      <c r="K6791" t="n">
        <v>0</v>
      </c>
      <c r="L6791" t="n">
        <v>0</v>
      </c>
      <c r="M6791" t="n">
        <v>0</v>
      </c>
      <c r="N6791" t="n">
        <v>0</v>
      </c>
      <c r="O6791" t="n">
        <v>0</v>
      </c>
      <c r="P6791" t="n">
        <v>0</v>
      </c>
      <c r="Q6791" t="n">
        <v>0</v>
      </c>
      <c r="R6791" t="n">
        <v>0</v>
      </c>
      <c r="S6791" t="n">
        <v>0</v>
      </c>
      <c r="T6791" t="n">
        <v>0</v>
      </c>
      <c r="U6791" t="n">
        <v>0</v>
      </c>
      <c r="V6791" s="2" t="inlineStr"/>
    </row>
    <row r="6792" ht="15" customHeight="1">
      <c r="A6792" t="inlineStr">
        <is>
          <t>A 35648-2026</t>
        </is>
      </c>
      <c r="B6792" t="inlineStr">
        <is>
          <t>avverkningsanmälan</t>
        </is>
      </c>
      <c r="C6792" t="inlineStr">
        <is>
          <t>Föryngringsavverkning</t>
        </is>
      </c>
      <c r="D6792" s="1" t="n">
        <v>46265</v>
      </c>
      <c r="E6792" s="1" t="n">
        <v>46319</v>
      </c>
      <c r="F6792" t="inlineStr">
        <is>
          <t>DALARNAS LÄN</t>
        </is>
      </c>
      <c r="G6792" t="inlineStr">
        <is>
          <t>LUDVIKA</t>
        </is>
      </c>
      <c r="H6792" t="inlineStr">
        <is>
          <t>Bergvik skog väst AB</t>
        </is>
      </c>
      <c r="I6792" t="n">
        <v>4.4</v>
      </c>
      <c r="J6792" t="n">
        <v>0</v>
      </c>
      <c r="K6792" t="n">
        <v>0</v>
      </c>
      <c r="L6792" t="n">
        <v>0</v>
      </c>
      <c r="M6792" t="n">
        <v>0</v>
      </c>
      <c r="N6792" t="n">
        <v>0</v>
      </c>
      <c r="O6792" t="n">
        <v>0</v>
      </c>
      <c r="P6792" t="n">
        <v>0</v>
      </c>
      <c r="Q6792" t="n">
        <v>0</v>
      </c>
      <c r="R6792" t="n">
        <v>0</v>
      </c>
      <c r="S6792" t="n">
        <v>0</v>
      </c>
      <c r="T6792" t="n">
        <v>0</v>
      </c>
      <c r="U6792" t="n">
        <v>0</v>
      </c>
      <c r="V6792" s="2" t="inlineStr"/>
    </row>
    <row r="6793" ht="15" customHeight="1">
      <c r="A6793" t="inlineStr">
        <is>
          <t>A 35649-2026</t>
        </is>
      </c>
      <c r="B6793" t="inlineStr">
        <is>
          <t>avverkningsanmälan</t>
        </is>
      </c>
      <c r="C6793" t="inlineStr">
        <is>
          <t>Föryngringsavverkning</t>
        </is>
      </c>
      <c r="D6793" s="1" t="n">
        <v>46265</v>
      </c>
      <c r="E6793" s="1" t="n">
        <v>46319</v>
      </c>
      <c r="F6793" t="inlineStr">
        <is>
          <t>DALARNAS LÄN</t>
        </is>
      </c>
      <c r="G6793" t="inlineStr">
        <is>
          <t>RÄTTVIK</t>
        </is>
      </c>
      <c r="I6793" t="n">
        <v>0.5</v>
      </c>
      <c r="J6793" t="n">
        <v>0</v>
      </c>
      <c r="K6793" t="n">
        <v>0</v>
      </c>
      <c r="L6793" t="n">
        <v>0</v>
      </c>
      <c r="M6793" t="n">
        <v>0</v>
      </c>
      <c r="N6793" t="n">
        <v>0</v>
      </c>
      <c r="O6793" t="n">
        <v>0</v>
      </c>
      <c r="P6793" t="n">
        <v>0</v>
      </c>
      <c r="Q6793" t="n">
        <v>0</v>
      </c>
      <c r="R6793" t="n">
        <v>0</v>
      </c>
      <c r="S6793" t="n">
        <v>0</v>
      </c>
      <c r="T6793" t="n">
        <v>0</v>
      </c>
      <c r="U6793" t="n">
        <v>0</v>
      </c>
      <c r="V6793" s="2" t="inlineStr"/>
    </row>
    <row r="6794" ht="15" customHeight="1">
      <c r="A6794" t="inlineStr">
        <is>
          <t>A 19001-2026</t>
        </is>
      </c>
      <c r="B6794" t="inlineStr">
        <is>
          <t>avverkningsanmälan</t>
        </is>
      </c>
      <c r="C6794" t="inlineStr">
        <is>
          <t>Föryngringsavverkning</t>
        </is>
      </c>
      <c r="D6794" s="1" t="n">
        <v>46129</v>
      </c>
      <c r="E6794" s="1" t="n">
        <v>46319</v>
      </c>
      <c r="F6794" t="inlineStr">
        <is>
          <t>DALARNAS LÄN</t>
        </is>
      </c>
      <c r="G6794" t="inlineStr">
        <is>
          <t>FALUN</t>
        </is>
      </c>
      <c r="I6794" t="n">
        <v>2.3</v>
      </c>
      <c r="J6794" t="n">
        <v>0</v>
      </c>
      <c r="K6794" t="n">
        <v>0</v>
      </c>
      <c r="L6794" t="n">
        <v>0</v>
      </c>
      <c r="M6794" t="n">
        <v>0</v>
      </c>
      <c r="N6794" t="n">
        <v>0</v>
      </c>
      <c r="O6794" t="n">
        <v>0</v>
      </c>
      <c r="P6794" t="n">
        <v>0</v>
      </c>
      <c r="Q6794" t="n">
        <v>0</v>
      </c>
      <c r="R6794" t="n">
        <v>0</v>
      </c>
      <c r="S6794" t="n">
        <v>0</v>
      </c>
      <c r="T6794" t="n">
        <v>0</v>
      </c>
      <c r="U6794" t="n">
        <v>0</v>
      </c>
      <c r="V6794" s="2" t="inlineStr"/>
    </row>
    <row r="6795" ht="15" customHeight="1">
      <c r="A6795" t="inlineStr">
        <is>
          <t>A 42576-2026</t>
        </is>
      </c>
      <c r="B6795" t="inlineStr">
        <is>
          <t>avverkningsanmälan</t>
        </is>
      </c>
      <c r="C6795" t="inlineStr">
        <is>
          <t>Föryngringsavverkning</t>
        </is>
      </c>
      <c r="D6795" s="1" t="n">
        <v>46308</v>
      </c>
      <c r="E6795" s="1" t="n">
        <v>46319</v>
      </c>
      <c r="F6795" t="inlineStr">
        <is>
          <t>DALARNAS LÄN</t>
        </is>
      </c>
      <c r="G6795" t="inlineStr">
        <is>
          <t>ORSA</t>
        </is>
      </c>
      <c r="H6795" t="inlineStr">
        <is>
          <t>Bergvik skog öst AB</t>
        </is>
      </c>
      <c r="I6795" t="n">
        <v>3.1</v>
      </c>
      <c r="J6795" t="n">
        <v>0</v>
      </c>
      <c r="K6795" t="n">
        <v>0</v>
      </c>
      <c r="L6795" t="n">
        <v>0</v>
      </c>
      <c r="M6795" t="n">
        <v>0</v>
      </c>
      <c r="N6795" t="n">
        <v>0</v>
      </c>
      <c r="O6795" t="n">
        <v>0</v>
      </c>
      <c r="P6795" t="n">
        <v>0</v>
      </c>
      <c r="Q6795" t="n">
        <v>0</v>
      </c>
      <c r="R6795" t="n">
        <v>0</v>
      </c>
      <c r="S6795" t="n">
        <v>0</v>
      </c>
      <c r="T6795" t="n">
        <v>0</v>
      </c>
      <c r="U6795" t="n">
        <v>0</v>
      </c>
      <c r="V6795" s="2" t="inlineStr"/>
    </row>
    <row r="6796" ht="15" customHeight="1">
      <c r="A6796" t="inlineStr">
        <is>
          <t>A 38129-2025</t>
        </is>
      </c>
      <c r="B6796" t="inlineStr">
        <is>
          <t>avverkningsanmälan</t>
        </is>
      </c>
      <c r="C6796" t="inlineStr">
        <is>
          <t>Föryngringsavverkning</t>
        </is>
      </c>
      <c r="D6796" s="1" t="n">
        <v>45882</v>
      </c>
      <c r="E6796" s="1" t="n">
        <v>46319</v>
      </c>
      <c r="F6796" t="inlineStr">
        <is>
          <t>DALARNAS LÄN</t>
        </is>
      </c>
      <c r="G6796" t="inlineStr">
        <is>
          <t>RÄTTVIK</t>
        </is>
      </c>
      <c r="I6796" t="n">
        <v>0.6</v>
      </c>
      <c r="J6796" t="n">
        <v>0</v>
      </c>
      <c r="K6796" t="n">
        <v>0</v>
      </c>
      <c r="L6796" t="n">
        <v>0</v>
      </c>
      <c r="M6796" t="n">
        <v>0</v>
      </c>
      <c r="N6796" t="n">
        <v>0</v>
      </c>
      <c r="O6796" t="n">
        <v>0</v>
      </c>
      <c r="P6796" t="n">
        <v>0</v>
      </c>
      <c r="Q6796" t="n">
        <v>0</v>
      </c>
      <c r="R6796" t="n">
        <v>0</v>
      </c>
      <c r="S6796" t="n">
        <v>0</v>
      </c>
      <c r="T6796" t="n">
        <v>0</v>
      </c>
      <c r="U6796" t="n">
        <v>0</v>
      </c>
      <c r="V6796" s="2" t="inlineStr"/>
    </row>
    <row r="6797" ht="15" customHeight="1">
      <c r="A6797" t="inlineStr">
        <is>
          <t>A 18765-2026</t>
        </is>
      </c>
      <c r="B6797" t="inlineStr">
        <is>
          <t>avverkningsanmälan</t>
        </is>
      </c>
      <c r="C6797" t="inlineStr">
        <is>
          <t>Föryngringsavverkning</t>
        </is>
      </c>
      <c r="D6797" s="1" t="n">
        <v>46128</v>
      </c>
      <c r="E6797" s="1" t="n">
        <v>46319</v>
      </c>
      <c r="F6797" t="inlineStr">
        <is>
          <t>DALARNAS LÄN</t>
        </is>
      </c>
      <c r="G6797" t="inlineStr">
        <is>
          <t>FALUN</t>
        </is>
      </c>
      <c r="H6797" t="inlineStr">
        <is>
          <t>Bergvik skog väst AB</t>
        </is>
      </c>
      <c r="I6797" t="n">
        <v>20.7</v>
      </c>
      <c r="J6797" t="n">
        <v>0</v>
      </c>
      <c r="K6797" t="n">
        <v>0</v>
      </c>
      <c r="L6797" t="n">
        <v>0</v>
      </c>
      <c r="M6797" t="n">
        <v>0</v>
      </c>
      <c r="N6797" t="n">
        <v>0</v>
      </c>
      <c r="O6797" t="n">
        <v>0</v>
      </c>
      <c r="P6797" t="n">
        <v>0</v>
      </c>
      <c r="Q6797" t="n">
        <v>0</v>
      </c>
      <c r="R6797" t="n">
        <v>0</v>
      </c>
      <c r="S6797" t="n">
        <v>0</v>
      </c>
      <c r="T6797" t="n">
        <v>0</v>
      </c>
      <c r="U6797" t="n">
        <v>0</v>
      </c>
      <c r="V6797" s="2" t="inlineStr"/>
    </row>
    <row r="6798" ht="15" customHeight="1">
      <c r="A6798" t="inlineStr">
        <is>
          <t>A 18998-2026</t>
        </is>
      </c>
      <c r="B6798" t="inlineStr">
        <is>
          <t>avverkningsanmälan</t>
        </is>
      </c>
      <c r="C6798" t="inlineStr">
        <is>
          <t>Föryngringsavverkning</t>
        </is>
      </c>
      <c r="D6798" s="1" t="n">
        <v>46129</v>
      </c>
      <c r="E6798" s="1" t="n">
        <v>46319</v>
      </c>
      <c r="F6798" t="inlineStr">
        <is>
          <t>DALARNAS LÄN</t>
        </is>
      </c>
      <c r="G6798" t="inlineStr">
        <is>
          <t>FALUN</t>
        </is>
      </c>
      <c r="I6798" t="n">
        <v>1.4</v>
      </c>
      <c r="J6798" t="n">
        <v>0</v>
      </c>
      <c r="K6798" t="n">
        <v>0</v>
      </c>
      <c r="L6798" t="n">
        <v>0</v>
      </c>
      <c r="M6798" t="n">
        <v>0</v>
      </c>
      <c r="N6798" t="n">
        <v>0</v>
      </c>
      <c r="O6798" t="n">
        <v>0</v>
      </c>
      <c r="P6798" t="n">
        <v>0</v>
      </c>
      <c r="Q6798" t="n">
        <v>0</v>
      </c>
      <c r="R6798" t="n">
        <v>0</v>
      </c>
      <c r="S6798" t="n">
        <v>0</v>
      </c>
      <c r="T6798" t="n">
        <v>0</v>
      </c>
      <c r="U6798" t="n">
        <v>0</v>
      </c>
      <c r="V6798" s="2" t="inlineStr"/>
    </row>
    <row r="6799" ht="15" customHeight="1">
      <c r="A6799" t="inlineStr">
        <is>
          <t>A 19610-2026</t>
        </is>
      </c>
      <c r="B6799" t="inlineStr">
        <is>
          <t>avverkningsanmälan</t>
        </is>
      </c>
      <c r="C6799" t="inlineStr">
        <is>
          <t>Föryngringsavverkning</t>
        </is>
      </c>
      <c r="D6799" s="1" t="n">
        <v>46134</v>
      </c>
      <c r="E6799" s="1" t="n">
        <v>46319</v>
      </c>
      <c r="F6799" t="inlineStr">
        <is>
          <t>DALARNAS LÄN</t>
        </is>
      </c>
      <c r="G6799" t="inlineStr">
        <is>
          <t>LUDVIKA</t>
        </is>
      </c>
      <c r="H6799" t="inlineStr">
        <is>
          <t>Bergvik skog väst AB</t>
        </is>
      </c>
      <c r="I6799" t="n">
        <v>6</v>
      </c>
      <c r="J6799" t="n">
        <v>0</v>
      </c>
      <c r="K6799" t="n">
        <v>0</v>
      </c>
      <c r="L6799" t="n">
        <v>0</v>
      </c>
      <c r="M6799" t="n">
        <v>0</v>
      </c>
      <c r="N6799" t="n">
        <v>0</v>
      </c>
      <c r="O6799" t="n">
        <v>0</v>
      </c>
      <c r="P6799" t="n">
        <v>0</v>
      </c>
      <c r="Q6799" t="n">
        <v>0</v>
      </c>
      <c r="R6799" t="n">
        <v>0</v>
      </c>
      <c r="S6799" t="n">
        <v>0</v>
      </c>
      <c r="T6799" t="n">
        <v>0</v>
      </c>
      <c r="U6799" t="n">
        <v>0</v>
      </c>
      <c r="V6799" s="2" t="inlineStr"/>
    </row>
    <row r="6800" ht="15" customHeight="1">
      <c r="A6800" t="inlineStr">
        <is>
          <t>A 38090-2025</t>
        </is>
      </c>
      <c r="B6800" t="inlineStr">
        <is>
          <t>avverkningsanmälan</t>
        </is>
      </c>
      <c r="C6800" t="inlineStr">
        <is>
          <t>Föryngringsavverkning</t>
        </is>
      </c>
      <c r="D6800" s="1" t="n">
        <v>45882</v>
      </c>
      <c r="E6800" s="1" t="n">
        <v>46319</v>
      </c>
      <c r="F6800" t="inlineStr">
        <is>
          <t>DALARNAS LÄN</t>
        </is>
      </c>
      <c r="G6800" t="inlineStr">
        <is>
          <t>LEKSAND</t>
        </is>
      </c>
      <c r="I6800" t="n">
        <v>1.6</v>
      </c>
      <c r="J6800" t="n">
        <v>0</v>
      </c>
      <c r="K6800" t="n">
        <v>0</v>
      </c>
      <c r="L6800" t="n">
        <v>0</v>
      </c>
      <c r="M6800" t="n">
        <v>0</v>
      </c>
      <c r="N6800" t="n">
        <v>0</v>
      </c>
      <c r="O6800" t="n">
        <v>0</v>
      </c>
      <c r="P6800" t="n">
        <v>0</v>
      </c>
      <c r="Q6800" t="n">
        <v>0</v>
      </c>
      <c r="R6800" t="n">
        <v>0</v>
      </c>
      <c r="S6800" t="n">
        <v>0</v>
      </c>
      <c r="T6800" t="n">
        <v>0</v>
      </c>
      <c r="U6800" t="n">
        <v>0</v>
      </c>
      <c r="V6800" s="2" t="inlineStr"/>
    </row>
    <row r="6801" ht="15" customHeight="1">
      <c r="A6801" t="inlineStr">
        <is>
          <t>A 42352-2026</t>
        </is>
      </c>
      <c r="B6801" t="inlineStr">
        <is>
          <t>avverkningsanmälan</t>
        </is>
      </c>
      <c r="C6801" t="inlineStr">
        <is>
          <t>Föryngringsavverkning</t>
        </is>
      </c>
      <c r="D6801" s="1" t="n">
        <v>46307</v>
      </c>
      <c r="E6801" s="1" t="n">
        <v>46319</v>
      </c>
      <c r="F6801" t="inlineStr">
        <is>
          <t>DALARNAS LÄN</t>
        </is>
      </c>
      <c r="G6801" t="inlineStr">
        <is>
          <t>VANSBRO</t>
        </is>
      </c>
      <c r="H6801" t="inlineStr">
        <is>
          <t>Bergvik skog väst AB</t>
        </is>
      </c>
      <c r="I6801" t="n">
        <v>3.4</v>
      </c>
      <c r="J6801" t="n">
        <v>0</v>
      </c>
      <c r="K6801" t="n">
        <v>0</v>
      </c>
      <c r="L6801" t="n">
        <v>0</v>
      </c>
      <c r="M6801" t="n">
        <v>0</v>
      </c>
      <c r="N6801" t="n">
        <v>0</v>
      </c>
      <c r="O6801" t="n">
        <v>0</v>
      </c>
      <c r="P6801" t="n">
        <v>0</v>
      </c>
      <c r="Q6801" t="n">
        <v>0</v>
      </c>
      <c r="R6801" t="n">
        <v>0</v>
      </c>
      <c r="S6801" t="n">
        <v>0</v>
      </c>
      <c r="T6801" t="n">
        <v>0</v>
      </c>
      <c r="U6801" t="n">
        <v>0</v>
      </c>
      <c r="V6801" s="2" t="inlineStr"/>
    </row>
    <row r="6802" ht="15" customHeight="1">
      <c r="A6802" t="inlineStr">
        <is>
          <t>A 42335-2026</t>
        </is>
      </c>
      <c r="B6802" t="inlineStr">
        <is>
          <t>avverkningsanmälan</t>
        </is>
      </c>
      <c r="C6802" t="inlineStr">
        <is>
          <t>Föryngringsavverkning</t>
        </is>
      </c>
      <c r="D6802" s="1" t="n">
        <v>46307</v>
      </c>
      <c r="E6802" s="1" t="n">
        <v>46319</v>
      </c>
      <c r="F6802" t="inlineStr">
        <is>
          <t>DALARNAS LÄN</t>
        </is>
      </c>
      <c r="G6802" t="inlineStr">
        <is>
          <t>LUDVIKA</t>
        </is>
      </c>
      <c r="H6802" t="inlineStr">
        <is>
          <t>Bergvik skog väst AB</t>
        </is>
      </c>
      <c r="I6802" t="n">
        <v>9.699999999999999</v>
      </c>
      <c r="J6802" t="n">
        <v>0</v>
      </c>
      <c r="K6802" t="n">
        <v>0</v>
      </c>
      <c r="L6802" t="n">
        <v>0</v>
      </c>
      <c r="M6802" t="n">
        <v>0</v>
      </c>
      <c r="N6802" t="n">
        <v>0</v>
      </c>
      <c r="O6802" t="n">
        <v>0</v>
      </c>
      <c r="P6802" t="n">
        <v>0</v>
      </c>
      <c r="Q6802" t="n">
        <v>0</v>
      </c>
      <c r="R6802" t="n">
        <v>0</v>
      </c>
      <c r="S6802" t="n">
        <v>0</v>
      </c>
      <c r="T6802" t="n">
        <v>0</v>
      </c>
      <c r="U6802" t="n">
        <v>0</v>
      </c>
      <c r="V6802" s="2" t="inlineStr"/>
    </row>
    <row r="6803" ht="15" customHeight="1">
      <c r="A6803" t="inlineStr">
        <is>
          <t>A 37998-2025</t>
        </is>
      </c>
      <c r="B6803" t="inlineStr">
        <is>
          <t>avverkningsanmälan</t>
        </is>
      </c>
      <c r="C6803" t="inlineStr">
        <is>
          <t>Föryngringsavverkning</t>
        </is>
      </c>
      <c r="D6803" s="1" t="n">
        <v>45881</v>
      </c>
      <c r="E6803" s="1" t="n">
        <v>46319</v>
      </c>
      <c r="F6803" t="inlineStr">
        <is>
          <t>DALARNAS LÄN</t>
        </is>
      </c>
      <c r="G6803" t="inlineStr">
        <is>
          <t>FALUN</t>
        </is>
      </c>
      <c r="I6803" t="n">
        <v>2.1</v>
      </c>
      <c r="J6803" t="n">
        <v>0</v>
      </c>
      <c r="K6803" t="n">
        <v>0</v>
      </c>
      <c r="L6803" t="n">
        <v>0</v>
      </c>
      <c r="M6803" t="n">
        <v>0</v>
      </c>
      <c r="N6803" t="n">
        <v>0</v>
      </c>
      <c r="O6803" t="n">
        <v>0</v>
      </c>
      <c r="P6803" t="n">
        <v>0</v>
      </c>
      <c r="Q6803" t="n">
        <v>0</v>
      </c>
      <c r="R6803" t="n">
        <v>0</v>
      </c>
      <c r="S6803" t="n">
        <v>0</v>
      </c>
      <c r="T6803" t="n">
        <v>0</v>
      </c>
      <c r="U6803" t="n">
        <v>0</v>
      </c>
      <c r="V6803" s="2" t="inlineStr"/>
    </row>
    <row r="6804" ht="15" customHeight="1">
      <c r="A6804" t="inlineStr">
        <is>
          <t>A 37906-2025</t>
        </is>
      </c>
      <c r="B6804" t="inlineStr">
        <is>
          <t>avverkningsanmälan</t>
        </is>
      </c>
      <c r="C6804" t="inlineStr">
        <is>
          <t>Föryngringsavverkning</t>
        </is>
      </c>
      <c r="D6804" s="1" t="n">
        <v>45881</v>
      </c>
      <c r="E6804" s="1" t="n">
        <v>46319</v>
      </c>
      <c r="F6804" t="inlineStr">
        <is>
          <t>DALARNAS LÄN</t>
        </is>
      </c>
      <c r="G6804" t="inlineStr">
        <is>
          <t>ORSA</t>
        </is>
      </c>
      <c r="I6804" t="n">
        <v>1</v>
      </c>
      <c r="J6804" t="n">
        <v>0</v>
      </c>
      <c r="K6804" t="n">
        <v>0</v>
      </c>
      <c r="L6804" t="n">
        <v>0</v>
      </c>
      <c r="M6804" t="n">
        <v>0</v>
      </c>
      <c r="N6804" t="n">
        <v>0</v>
      </c>
      <c r="O6804" t="n">
        <v>0</v>
      </c>
      <c r="P6804" t="n">
        <v>0</v>
      </c>
      <c r="Q6804" t="n">
        <v>0</v>
      </c>
      <c r="R6804" t="n">
        <v>0</v>
      </c>
      <c r="S6804" t="n">
        <v>0</v>
      </c>
      <c r="T6804" t="n">
        <v>0</v>
      </c>
      <c r="U6804" t="n">
        <v>0</v>
      </c>
      <c r="V6804" s="2" t="inlineStr"/>
    </row>
    <row r="6805" ht="15" customHeight="1">
      <c r="A6805" t="inlineStr">
        <is>
          <t>A 19508-2026</t>
        </is>
      </c>
      <c r="B6805" t="inlineStr">
        <is>
          <t>avverkningsanmälan</t>
        </is>
      </c>
      <c r="C6805" t="inlineStr">
        <is>
          <t>Föryngringsavverkning</t>
        </is>
      </c>
      <c r="D6805" s="1" t="n">
        <v>46134</v>
      </c>
      <c r="E6805" s="1" t="n">
        <v>46319</v>
      </c>
      <c r="F6805" t="inlineStr">
        <is>
          <t>DALARNAS LÄN</t>
        </is>
      </c>
      <c r="G6805" t="inlineStr">
        <is>
          <t>FALUN</t>
        </is>
      </c>
      <c r="H6805" t="inlineStr">
        <is>
          <t>Kyrkan</t>
        </is>
      </c>
      <c r="I6805" t="n">
        <v>0.5</v>
      </c>
      <c r="J6805" t="n">
        <v>0</v>
      </c>
      <c r="K6805" t="n">
        <v>0</v>
      </c>
      <c r="L6805" t="n">
        <v>0</v>
      </c>
      <c r="M6805" t="n">
        <v>0</v>
      </c>
      <c r="N6805" t="n">
        <v>0</v>
      </c>
      <c r="O6805" t="n">
        <v>0</v>
      </c>
      <c r="P6805" t="n">
        <v>0</v>
      </c>
      <c r="Q6805" t="n">
        <v>0</v>
      </c>
      <c r="R6805" t="n">
        <v>0</v>
      </c>
      <c r="S6805" t="n">
        <v>0</v>
      </c>
      <c r="T6805" t="n">
        <v>0</v>
      </c>
      <c r="U6805" t="n">
        <v>0</v>
      </c>
      <c r="V6805" s="2" t="inlineStr"/>
    </row>
    <row r="6806" ht="15" customHeight="1">
      <c r="A6806" t="inlineStr">
        <is>
          <t>A 19378-2026</t>
        </is>
      </c>
      <c r="B6806" t="inlineStr">
        <is>
          <t>avverkningsanmälan</t>
        </is>
      </c>
      <c r="C6806" t="inlineStr">
        <is>
          <t>Föryngringsavverkning</t>
        </is>
      </c>
      <c r="D6806" s="1" t="n">
        <v>46133</v>
      </c>
      <c r="E6806" s="1" t="n">
        <v>46319</v>
      </c>
      <c r="F6806" t="inlineStr">
        <is>
          <t>DALARNAS LÄN</t>
        </is>
      </c>
      <c r="G6806" t="inlineStr">
        <is>
          <t>RÄTTVIK</t>
        </is>
      </c>
      <c r="H6806" t="inlineStr">
        <is>
          <t>Bergvik skog väst AB</t>
        </is>
      </c>
      <c r="I6806" t="n">
        <v>3.5</v>
      </c>
      <c r="J6806" t="n">
        <v>0</v>
      </c>
      <c r="K6806" t="n">
        <v>0</v>
      </c>
      <c r="L6806" t="n">
        <v>0</v>
      </c>
      <c r="M6806" t="n">
        <v>0</v>
      </c>
      <c r="N6806" t="n">
        <v>0</v>
      </c>
      <c r="O6806" t="n">
        <v>0</v>
      </c>
      <c r="P6806" t="n">
        <v>0</v>
      </c>
      <c r="Q6806" t="n">
        <v>0</v>
      </c>
      <c r="R6806" t="n">
        <v>0</v>
      </c>
      <c r="S6806" t="n">
        <v>0</v>
      </c>
      <c r="T6806" t="n">
        <v>0</v>
      </c>
      <c r="U6806" t="n">
        <v>0</v>
      </c>
      <c r="V6806" s="2" t="inlineStr"/>
    </row>
    <row r="6807" ht="15" customHeight="1">
      <c r="A6807" t="inlineStr">
        <is>
          <t>A 38143-2024</t>
        </is>
      </c>
      <c r="B6807" t="inlineStr">
        <is>
          <t>avverkningsanmälan</t>
        </is>
      </c>
      <c r="C6807" t="inlineStr">
        <is>
          <t>Föryngringsavverkning</t>
        </is>
      </c>
      <c r="D6807" s="1" t="n">
        <v>45545</v>
      </c>
      <c r="E6807" s="1" t="n">
        <v>46319</v>
      </c>
      <c r="F6807" t="inlineStr">
        <is>
          <t>DALARNAS LÄN</t>
        </is>
      </c>
      <c r="G6807" t="inlineStr">
        <is>
          <t>FALUN</t>
        </is>
      </c>
      <c r="I6807" t="n">
        <v>0.3</v>
      </c>
      <c r="J6807" t="n">
        <v>0</v>
      </c>
      <c r="K6807" t="n">
        <v>0</v>
      </c>
      <c r="L6807" t="n">
        <v>0</v>
      </c>
      <c r="M6807" t="n">
        <v>0</v>
      </c>
      <c r="N6807" t="n">
        <v>0</v>
      </c>
      <c r="O6807" t="n">
        <v>0</v>
      </c>
      <c r="P6807" t="n">
        <v>0</v>
      </c>
      <c r="Q6807" t="n">
        <v>0</v>
      </c>
      <c r="R6807" t="n">
        <v>0</v>
      </c>
      <c r="S6807" t="n">
        <v>0</v>
      </c>
      <c r="T6807" t="n">
        <v>0</v>
      </c>
      <c r="U6807" t="n">
        <v>0</v>
      </c>
      <c r="V6807" s="2" t="inlineStr"/>
    </row>
    <row r="6808" ht="15" customHeight="1">
      <c r="A6808" t="inlineStr">
        <is>
          <t>A 30985-2024</t>
        </is>
      </c>
      <c r="B6808" t="inlineStr">
        <is>
          <t>avverkningsanmälan</t>
        </is>
      </c>
      <c r="C6808" t="inlineStr">
        <is>
          <t>Föryngringsavverkning</t>
        </is>
      </c>
      <c r="D6808" s="1" t="n">
        <v>45499</v>
      </c>
      <c r="E6808" s="1" t="n">
        <v>46319</v>
      </c>
      <c r="F6808" t="inlineStr">
        <is>
          <t>DALARNAS LÄN</t>
        </is>
      </c>
      <c r="G6808" t="inlineStr">
        <is>
          <t>MORA</t>
        </is>
      </c>
      <c r="I6808" t="n">
        <v>0.7</v>
      </c>
      <c r="J6808" t="n">
        <v>0</v>
      </c>
      <c r="K6808" t="n">
        <v>0</v>
      </c>
      <c r="L6808" t="n">
        <v>0</v>
      </c>
      <c r="M6808" t="n">
        <v>0</v>
      </c>
      <c r="N6808" t="n">
        <v>0</v>
      </c>
      <c r="O6808" t="n">
        <v>0</v>
      </c>
      <c r="P6808" t="n">
        <v>0</v>
      </c>
      <c r="Q6808" t="n">
        <v>0</v>
      </c>
      <c r="R6808" t="n">
        <v>0</v>
      </c>
      <c r="S6808" t="n">
        <v>0</v>
      </c>
      <c r="T6808" t="n">
        <v>0</v>
      </c>
      <c r="U6808" t="n">
        <v>0</v>
      </c>
      <c r="V6808" s="2" t="inlineStr"/>
    </row>
    <row r="6809" ht="15" customHeight="1">
      <c r="A6809" t="inlineStr">
        <is>
          <t>A 11100-2024</t>
        </is>
      </c>
      <c r="B6809" t="inlineStr">
        <is>
          <t>avverkningsanmälan</t>
        </is>
      </c>
      <c r="C6809" t="inlineStr">
        <is>
          <t>Föryngringsavverkning</t>
        </is>
      </c>
      <c r="D6809" s="1" t="n">
        <v>45371</v>
      </c>
      <c r="E6809" s="1" t="n">
        <v>46319</v>
      </c>
      <c r="F6809" t="inlineStr">
        <is>
          <t>DALARNAS LÄN</t>
        </is>
      </c>
      <c r="G6809" t="inlineStr">
        <is>
          <t>SMEDJEBACKEN</t>
        </is>
      </c>
      <c r="I6809" t="n">
        <v>5.7</v>
      </c>
      <c r="J6809" t="n">
        <v>0</v>
      </c>
      <c r="K6809" t="n">
        <v>0</v>
      </c>
      <c r="L6809" t="n">
        <v>0</v>
      </c>
      <c r="M6809" t="n">
        <v>0</v>
      </c>
      <c r="N6809" t="n">
        <v>0</v>
      </c>
      <c r="O6809" t="n">
        <v>0</v>
      </c>
      <c r="P6809" t="n">
        <v>0</v>
      </c>
      <c r="Q6809" t="n">
        <v>0</v>
      </c>
      <c r="R6809" t="n">
        <v>0</v>
      </c>
      <c r="S6809" t="n">
        <v>0</v>
      </c>
      <c r="T6809" t="n">
        <v>0</v>
      </c>
      <c r="U6809" t="n">
        <v>0</v>
      </c>
      <c r="V6809" s="2" t="inlineStr"/>
    </row>
    <row r="6810" ht="15" customHeight="1">
      <c r="A6810" t="inlineStr">
        <is>
          <t>A 37999-2025</t>
        </is>
      </c>
      <c r="B6810" t="inlineStr">
        <is>
          <t>avverkningsanmälan</t>
        </is>
      </c>
      <c r="C6810" t="inlineStr">
        <is>
          <t>Föryngringsavverkning</t>
        </is>
      </c>
      <c r="D6810" s="1" t="n">
        <v>45881</v>
      </c>
      <c r="E6810" s="1" t="n">
        <v>46319</v>
      </c>
      <c r="F6810" t="inlineStr">
        <is>
          <t>DALARNAS LÄN</t>
        </is>
      </c>
      <c r="G6810" t="inlineStr">
        <is>
          <t>FALUN</t>
        </is>
      </c>
      <c r="I6810" t="n">
        <v>1.2</v>
      </c>
      <c r="J6810" t="n">
        <v>0</v>
      </c>
      <c r="K6810" t="n">
        <v>0</v>
      </c>
      <c r="L6810" t="n">
        <v>0</v>
      </c>
      <c r="M6810" t="n">
        <v>0</v>
      </c>
      <c r="N6810" t="n">
        <v>0</v>
      </c>
      <c r="O6810" t="n">
        <v>0</v>
      </c>
      <c r="P6810" t="n">
        <v>0</v>
      </c>
      <c r="Q6810" t="n">
        <v>0</v>
      </c>
      <c r="R6810" t="n">
        <v>0</v>
      </c>
      <c r="S6810" t="n">
        <v>0</v>
      </c>
      <c r="T6810" t="n">
        <v>0</v>
      </c>
      <c r="U6810" t="n">
        <v>0</v>
      </c>
      <c r="V6810" s="2" t="inlineStr"/>
    </row>
    <row r="6811" ht="15" customHeight="1">
      <c r="A6811" t="inlineStr">
        <is>
          <t>A 37879-2025</t>
        </is>
      </c>
      <c r="B6811" t="inlineStr">
        <is>
          <t>avverkningsanmälan</t>
        </is>
      </c>
      <c r="C6811" t="inlineStr">
        <is>
          <t>Föryngringsavverkning</t>
        </is>
      </c>
      <c r="D6811" s="1" t="n">
        <v>45881</v>
      </c>
      <c r="E6811" s="1" t="n">
        <v>46319</v>
      </c>
      <c r="F6811" t="inlineStr">
        <is>
          <t>DALARNAS LÄN</t>
        </is>
      </c>
      <c r="G6811" t="inlineStr">
        <is>
          <t>MORA</t>
        </is>
      </c>
      <c r="I6811" t="n">
        <v>1.4</v>
      </c>
      <c r="J6811" t="n">
        <v>0</v>
      </c>
      <c r="K6811" t="n">
        <v>0</v>
      </c>
      <c r="L6811" t="n">
        <v>0</v>
      </c>
      <c r="M6811" t="n">
        <v>0</v>
      </c>
      <c r="N6811" t="n">
        <v>0</v>
      </c>
      <c r="O6811" t="n">
        <v>0</v>
      </c>
      <c r="P6811" t="n">
        <v>0</v>
      </c>
      <c r="Q6811" t="n">
        <v>0</v>
      </c>
      <c r="R6811" t="n">
        <v>0</v>
      </c>
      <c r="S6811" t="n">
        <v>0</v>
      </c>
      <c r="T6811" t="n">
        <v>0</v>
      </c>
      <c r="U6811" t="n">
        <v>0</v>
      </c>
      <c r="V6811" s="2" t="inlineStr"/>
    </row>
    <row r="6812" ht="15" customHeight="1">
      <c r="A6812" t="inlineStr">
        <is>
          <t>A 19267-2026</t>
        </is>
      </c>
      <c r="B6812" t="inlineStr">
        <is>
          <t>avverkningsanmälan</t>
        </is>
      </c>
      <c r="C6812" t="inlineStr">
        <is>
          <t>Föryngringsavverkning</t>
        </is>
      </c>
      <c r="D6812" s="1" t="n">
        <v>46133</v>
      </c>
      <c r="E6812" s="1" t="n">
        <v>46319</v>
      </c>
      <c r="F6812" t="inlineStr">
        <is>
          <t>DALARNAS LÄN</t>
        </is>
      </c>
      <c r="G6812" t="inlineStr">
        <is>
          <t>FALUN</t>
        </is>
      </c>
      <c r="H6812" t="inlineStr">
        <is>
          <t>Bergvik skog väst AB</t>
        </is>
      </c>
      <c r="I6812" t="n">
        <v>3.7</v>
      </c>
      <c r="J6812" t="n">
        <v>0</v>
      </c>
      <c r="K6812" t="n">
        <v>0</v>
      </c>
      <c r="L6812" t="n">
        <v>0</v>
      </c>
      <c r="M6812" t="n">
        <v>0</v>
      </c>
      <c r="N6812" t="n">
        <v>0</v>
      </c>
      <c r="O6812" t="n">
        <v>0</v>
      </c>
      <c r="P6812" t="n">
        <v>0</v>
      </c>
      <c r="Q6812" t="n">
        <v>0</v>
      </c>
      <c r="R6812" t="n">
        <v>0</v>
      </c>
      <c r="S6812" t="n">
        <v>0</v>
      </c>
      <c r="T6812" t="n">
        <v>0</v>
      </c>
      <c r="U6812" t="n">
        <v>0</v>
      </c>
      <c r="V6812" s="2" t="inlineStr"/>
    </row>
    <row r="6813" ht="15" customHeight="1">
      <c r="A6813" t="inlineStr">
        <is>
          <t>A 19871-2026</t>
        </is>
      </c>
      <c r="B6813" t="inlineStr">
        <is>
          <t>avverkningsanmälan</t>
        </is>
      </c>
      <c r="C6813" t="inlineStr">
        <is>
          <t>Föryngringsavverkning</t>
        </is>
      </c>
      <c r="D6813" s="1" t="n">
        <v>46134</v>
      </c>
      <c r="E6813" s="1" t="n">
        <v>46319</v>
      </c>
      <c r="F6813" t="inlineStr">
        <is>
          <t>DALARNAS LÄN</t>
        </is>
      </c>
      <c r="G6813" t="inlineStr">
        <is>
          <t>FALUN</t>
        </is>
      </c>
      <c r="I6813" t="n">
        <v>5.1</v>
      </c>
      <c r="J6813" t="n">
        <v>0</v>
      </c>
      <c r="K6813" t="n">
        <v>0</v>
      </c>
      <c r="L6813" t="n">
        <v>0</v>
      </c>
      <c r="M6813" t="n">
        <v>0</v>
      </c>
      <c r="N6813" t="n">
        <v>0</v>
      </c>
      <c r="O6813" t="n">
        <v>0</v>
      </c>
      <c r="P6813" t="n">
        <v>0</v>
      </c>
      <c r="Q6813" t="n">
        <v>0</v>
      </c>
      <c r="R6813" t="n">
        <v>0</v>
      </c>
      <c r="S6813" t="n">
        <v>0</v>
      </c>
      <c r="T6813" t="n">
        <v>0</v>
      </c>
      <c r="U6813" t="n">
        <v>0</v>
      </c>
      <c r="V6813" s="2" t="inlineStr"/>
    </row>
    <row r="6814" ht="15" customHeight="1">
      <c r="A6814" t="inlineStr">
        <is>
          <t>A 19583-2026</t>
        </is>
      </c>
      <c r="B6814" t="inlineStr">
        <is>
          <t>avverkningsanmälan</t>
        </is>
      </c>
      <c r="C6814" t="inlineStr">
        <is>
          <t>Föryngringsavverkning</t>
        </is>
      </c>
      <c r="D6814" s="1" t="n">
        <v>46134</v>
      </c>
      <c r="E6814" s="1" t="n">
        <v>46319</v>
      </c>
      <c r="F6814" t="inlineStr">
        <is>
          <t>DALARNAS LÄN</t>
        </is>
      </c>
      <c r="G6814" t="inlineStr">
        <is>
          <t>FALUN</t>
        </is>
      </c>
      <c r="I6814" t="n">
        <v>1.9</v>
      </c>
      <c r="J6814" t="n">
        <v>0</v>
      </c>
      <c r="K6814" t="n">
        <v>0</v>
      </c>
      <c r="L6814" t="n">
        <v>0</v>
      </c>
      <c r="M6814" t="n">
        <v>0</v>
      </c>
      <c r="N6814" t="n">
        <v>0</v>
      </c>
      <c r="O6814" t="n">
        <v>0</v>
      </c>
      <c r="P6814" t="n">
        <v>0</v>
      </c>
      <c r="Q6814" t="n">
        <v>0</v>
      </c>
      <c r="R6814" t="n">
        <v>0</v>
      </c>
      <c r="S6814" t="n">
        <v>0</v>
      </c>
      <c r="T6814" t="n">
        <v>0</v>
      </c>
      <c r="U6814" t="n">
        <v>0</v>
      </c>
      <c r="V6814" s="2" t="inlineStr"/>
    </row>
    <row r="6815" ht="15" customHeight="1">
      <c r="A6815" t="inlineStr">
        <is>
          <t>A 37440-2022</t>
        </is>
      </c>
      <c r="B6815" t="inlineStr">
        <is>
          <t>avverkningsanmälan</t>
        </is>
      </c>
      <c r="C6815" t="inlineStr">
        <is>
          <t>Föryngringsavverkning</t>
        </is>
      </c>
      <c r="D6815" s="1" t="n">
        <v>44809</v>
      </c>
      <c r="E6815" s="1" t="n">
        <v>46319</v>
      </c>
      <c r="F6815" t="inlineStr">
        <is>
          <t>DALARNAS LÄN</t>
        </is>
      </c>
      <c r="G6815" t="inlineStr">
        <is>
          <t>SÄTER</t>
        </is>
      </c>
      <c r="I6815" t="n">
        <v>0.8</v>
      </c>
      <c r="J6815" t="n">
        <v>0</v>
      </c>
      <c r="K6815" t="n">
        <v>0</v>
      </c>
      <c r="L6815" t="n">
        <v>0</v>
      </c>
      <c r="M6815" t="n">
        <v>0</v>
      </c>
      <c r="N6815" t="n">
        <v>0</v>
      </c>
      <c r="O6815" t="n">
        <v>0</v>
      </c>
      <c r="P6815" t="n">
        <v>0</v>
      </c>
      <c r="Q6815" t="n">
        <v>0</v>
      </c>
      <c r="R6815" t="n">
        <v>0</v>
      </c>
      <c r="S6815" t="n">
        <v>0</v>
      </c>
      <c r="T6815" t="n">
        <v>0</v>
      </c>
      <c r="U6815" t="n">
        <v>0</v>
      </c>
      <c r="V6815" s="2" t="inlineStr"/>
    </row>
    <row r="6816" ht="15" customHeight="1">
      <c r="A6816" t="inlineStr">
        <is>
          <t>A 63544-2023</t>
        </is>
      </c>
      <c r="B6816" t="inlineStr">
        <is>
          <t>avverkningsanmälan</t>
        </is>
      </c>
      <c r="C6816" t="inlineStr">
        <is>
          <t>Föryngringsavverkning</t>
        </is>
      </c>
      <c r="D6816" s="1" t="n">
        <v>45275</v>
      </c>
      <c r="E6816" s="1" t="n">
        <v>46319</v>
      </c>
      <c r="F6816" t="inlineStr">
        <is>
          <t>DALARNAS LÄN</t>
        </is>
      </c>
      <c r="G6816" t="inlineStr">
        <is>
          <t>LEKSAND</t>
        </is>
      </c>
      <c r="I6816" t="n">
        <v>0.3</v>
      </c>
      <c r="J6816" t="n">
        <v>0</v>
      </c>
      <c r="K6816" t="n">
        <v>0</v>
      </c>
      <c r="L6816" t="n">
        <v>0</v>
      </c>
      <c r="M6816" t="n">
        <v>0</v>
      </c>
      <c r="N6816" t="n">
        <v>0</v>
      </c>
      <c r="O6816" t="n">
        <v>0</v>
      </c>
      <c r="P6816" t="n">
        <v>0</v>
      </c>
      <c r="Q6816" t="n">
        <v>0</v>
      </c>
      <c r="R6816" t="n">
        <v>0</v>
      </c>
      <c r="S6816" t="n">
        <v>0</v>
      </c>
      <c r="T6816" t="n">
        <v>0</v>
      </c>
      <c r="U6816" t="n">
        <v>0</v>
      </c>
      <c r="V6816" s="2" t="inlineStr"/>
    </row>
    <row r="6817" ht="15" customHeight="1">
      <c r="A6817" t="inlineStr">
        <is>
          <t>A 52060-2022</t>
        </is>
      </c>
      <c r="B6817" t="inlineStr">
        <is>
          <t>avverkningsanmälan</t>
        </is>
      </c>
      <c r="C6817" t="inlineStr">
        <is>
          <t>Föryngringsavverkning</t>
        </is>
      </c>
      <c r="D6817" s="1" t="n">
        <v>44873</v>
      </c>
      <c r="E6817" s="1" t="n">
        <v>46319</v>
      </c>
      <c r="F6817" t="inlineStr">
        <is>
          <t>DALARNAS LÄN</t>
        </is>
      </c>
      <c r="G6817" t="inlineStr">
        <is>
          <t>ÄLVDALEN</t>
        </is>
      </c>
      <c r="I6817" t="n">
        <v>1</v>
      </c>
      <c r="J6817" t="n">
        <v>0</v>
      </c>
      <c r="K6817" t="n">
        <v>0</v>
      </c>
      <c r="L6817" t="n">
        <v>0</v>
      </c>
      <c r="M6817" t="n">
        <v>0</v>
      </c>
      <c r="N6817" t="n">
        <v>0</v>
      </c>
      <c r="O6817" t="n">
        <v>0</v>
      </c>
      <c r="P6817" t="n">
        <v>0</v>
      </c>
      <c r="Q6817" t="n">
        <v>0</v>
      </c>
      <c r="R6817" t="n">
        <v>0</v>
      </c>
      <c r="S6817" t="n">
        <v>0</v>
      </c>
      <c r="T6817" t="n">
        <v>0</v>
      </c>
      <c r="U6817" t="n">
        <v>0</v>
      </c>
      <c r="V6817" s="2" t="inlineStr"/>
    </row>
    <row r="6818" ht="15" customHeight="1">
      <c r="A6818" t="inlineStr">
        <is>
          <t>A 57859-2022</t>
        </is>
      </c>
      <c r="B6818" t="inlineStr">
        <is>
          <t>avverkningsanmälan</t>
        </is>
      </c>
      <c r="C6818" t="inlineStr">
        <is>
          <t>Föryngringsavverkning</t>
        </is>
      </c>
      <c r="D6818" s="1" t="n">
        <v>44898</v>
      </c>
      <c r="E6818" s="1" t="n">
        <v>46319</v>
      </c>
      <c r="F6818" t="inlineStr">
        <is>
          <t>DALARNAS LÄN</t>
        </is>
      </c>
      <c r="G6818" t="inlineStr">
        <is>
          <t>MORA</t>
        </is>
      </c>
      <c r="I6818" t="n">
        <v>1.4</v>
      </c>
      <c r="J6818" t="n">
        <v>0</v>
      </c>
      <c r="K6818" t="n">
        <v>0</v>
      </c>
      <c r="L6818" t="n">
        <v>0</v>
      </c>
      <c r="M6818" t="n">
        <v>0</v>
      </c>
      <c r="N6818" t="n">
        <v>0</v>
      </c>
      <c r="O6818" t="n">
        <v>0</v>
      </c>
      <c r="P6818" t="n">
        <v>0</v>
      </c>
      <c r="Q6818" t="n">
        <v>0</v>
      </c>
      <c r="R6818" t="n">
        <v>0</v>
      </c>
      <c r="S6818" t="n">
        <v>0</v>
      </c>
      <c r="T6818" t="n">
        <v>0</v>
      </c>
      <c r="U6818" t="n">
        <v>0</v>
      </c>
      <c r="V6818" s="2" t="inlineStr"/>
    </row>
    <row r="6819" ht="15" customHeight="1">
      <c r="A6819" t="inlineStr">
        <is>
          <t>A 39490-2025</t>
        </is>
      </c>
      <c r="B6819" t="inlineStr">
        <is>
          <t>avverkningsanmälan</t>
        </is>
      </c>
      <c r="C6819" t="inlineStr">
        <is>
          <t>Föryngringsavverkning</t>
        </is>
      </c>
      <c r="D6819" s="1" t="n">
        <v>45890</v>
      </c>
      <c r="E6819" s="1" t="n">
        <v>46319</v>
      </c>
      <c r="F6819" t="inlineStr">
        <is>
          <t>DALARNAS LÄN</t>
        </is>
      </c>
      <c r="G6819" t="inlineStr">
        <is>
          <t>VANSBRO</t>
        </is>
      </c>
      <c r="H6819" t="inlineStr">
        <is>
          <t>Bergvik skog väst AB</t>
        </is>
      </c>
      <c r="I6819" t="n">
        <v>2</v>
      </c>
      <c r="J6819" t="n">
        <v>0</v>
      </c>
      <c r="K6819" t="n">
        <v>0</v>
      </c>
      <c r="L6819" t="n">
        <v>0</v>
      </c>
      <c r="M6819" t="n">
        <v>0</v>
      </c>
      <c r="N6819" t="n">
        <v>0</v>
      </c>
      <c r="O6819" t="n">
        <v>0</v>
      </c>
      <c r="P6819" t="n">
        <v>0</v>
      </c>
      <c r="Q6819" t="n">
        <v>0</v>
      </c>
      <c r="R6819" t="n">
        <v>0</v>
      </c>
      <c r="S6819" t="n">
        <v>0</v>
      </c>
      <c r="T6819" t="n">
        <v>0</v>
      </c>
      <c r="U6819" t="n">
        <v>0</v>
      </c>
      <c r="V6819" s="2" t="inlineStr"/>
    </row>
    <row r="6820" ht="15" customHeight="1">
      <c r="A6820" t="inlineStr">
        <is>
          <t>A 340-2026</t>
        </is>
      </c>
      <c r="B6820" t="inlineStr">
        <is>
          <t>avverkningsanmälan</t>
        </is>
      </c>
      <c r="C6820" t="inlineStr">
        <is>
          <t>Föryngringsavverkning</t>
        </is>
      </c>
      <c r="D6820" s="1" t="n">
        <v>46027</v>
      </c>
      <c r="E6820" s="1" t="n">
        <v>46319</v>
      </c>
      <c r="F6820" t="inlineStr">
        <is>
          <t>DALARNAS LÄN</t>
        </is>
      </c>
      <c r="G6820" t="inlineStr">
        <is>
          <t>GAGNEF</t>
        </is>
      </c>
      <c r="I6820" t="n">
        <v>3.3</v>
      </c>
      <c r="J6820" t="n">
        <v>0</v>
      </c>
      <c r="K6820" t="n">
        <v>0</v>
      </c>
      <c r="L6820" t="n">
        <v>0</v>
      </c>
      <c r="M6820" t="n">
        <v>0</v>
      </c>
      <c r="N6820" t="n">
        <v>0</v>
      </c>
      <c r="O6820" t="n">
        <v>0</v>
      </c>
      <c r="P6820" t="n">
        <v>0</v>
      </c>
      <c r="Q6820" t="n">
        <v>0</v>
      </c>
      <c r="R6820" t="n">
        <v>0</v>
      </c>
      <c r="S6820" t="n">
        <v>0</v>
      </c>
      <c r="T6820" t="n">
        <v>0</v>
      </c>
      <c r="U6820" t="n">
        <v>0</v>
      </c>
      <c r="V6820" s="2" t="inlineStr"/>
    </row>
    <row r="6821" ht="15" customHeight="1">
      <c r="A6821" t="inlineStr">
        <is>
          <t>A 18051-2025</t>
        </is>
      </c>
      <c r="B6821" t="inlineStr">
        <is>
          <t>avverkningsanmälan</t>
        </is>
      </c>
      <c r="C6821" t="inlineStr">
        <is>
          <t>Föryngringsavverkning</t>
        </is>
      </c>
      <c r="D6821" s="1" t="n">
        <v>45761</v>
      </c>
      <c r="E6821" s="1" t="n">
        <v>46319</v>
      </c>
      <c r="F6821" t="inlineStr">
        <is>
          <t>DALARNAS LÄN</t>
        </is>
      </c>
      <c r="G6821" t="inlineStr">
        <is>
          <t>FALUN</t>
        </is>
      </c>
      <c r="H6821" t="inlineStr">
        <is>
          <t>Bergvik skog väst AB</t>
        </is>
      </c>
      <c r="I6821" t="n">
        <v>5.1</v>
      </c>
      <c r="J6821" t="n">
        <v>0</v>
      </c>
      <c r="K6821" t="n">
        <v>0</v>
      </c>
      <c r="L6821" t="n">
        <v>0</v>
      </c>
      <c r="M6821" t="n">
        <v>0</v>
      </c>
      <c r="N6821" t="n">
        <v>0</v>
      </c>
      <c r="O6821" t="n">
        <v>0</v>
      </c>
      <c r="P6821" t="n">
        <v>0</v>
      </c>
      <c r="Q6821" t="n">
        <v>0</v>
      </c>
      <c r="R6821" t="n">
        <v>0</v>
      </c>
      <c r="S6821" t="n">
        <v>0</v>
      </c>
      <c r="T6821" t="n">
        <v>0</v>
      </c>
      <c r="U6821" t="n">
        <v>0</v>
      </c>
      <c r="V6821" s="2" t="inlineStr"/>
    </row>
    <row r="6822" ht="15" customHeight="1">
      <c r="A6822" t="inlineStr">
        <is>
          <t>A 30582-2026</t>
        </is>
      </c>
      <c r="B6822" t="inlineStr">
        <is>
          <t>avverkningsanmälan</t>
        </is>
      </c>
      <c r="C6822" t="inlineStr">
        <is>
          <t>Föryngringsavverkning</t>
        </is>
      </c>
      <c r="D6822" s="1" t="n">
        <v>46210</v>
      </c>
      <c r="E6822" s="1" t="n">
        <v>46319</v>
      </c>
      <c r="F6822" t="inlineStr">
        <is>
          <t>DALARNAS LÄN</t>
        </is>
      </c>
      <c r="G6822" t="inlineStr">
        <is>
          <t>SMEDJEBACKEN</t>
        </is>
      </c>
      <c r="H6822" t="inlineStr">
        <is>
          <t>Sveaskog</t>
        </is>
      </c>
      <c r="I6822" t="n">
        <v>2.1</v>
      </c>
      <c r="J6822" t="n">
        <v>0</v>
      </c>
      <c r="K6822" t="n">
        <v>0</v>
      </c>
      <c r="L6822" t="n">
        <v>0</v>
      </c>
      <c r="M6822" t="n">
        <v>0</v>
      </c>
      <c r="N6822" t="n">
        <v>0</v>
      </c>
      <c r="O6822" t="n">
        <v>0</v>
      </c>
      <c r="P6822" t="n">
        <v>0</v>
      </c>
      <c r="Q6822" t="n">
        <v>0</v>
      </c>
      <c r="R6822" t="n">
        <v>0</v>
      </c>
      <c r="S6822" t="n">
        <v>0</v>
      </c>
      <c r="T6822" t="n">
        <v>0</v>
      </c>
      <c r="U6822" t="n">
        <v>0</v>
      </c>
      <c r="V6822" s="2" t="inlineStr"/>
    </row>
    <row r="6823" ht="15" customHeight="1">
      <c r="A6823" t="inlineStr">
        <is>
          <t>A 60647-2022</t>
        </is>
      </c>
      <c r="B6823" t="inlineStr">
        <is>
          <t>avverkningsanmälan</t>
        </is>
      </c>
      <c r="C6823" t="inlineStr">
        <is>
          <t>Föryngringsavverkning</t>
        </is>
      </c>
      <c r="D6823" s="1" t="n">
        <v>44911</v>
      </c>
      <c r="E6823" s="1" t="n">
        <v>46319</v>
      </c>
      <c r="F6823" t="inlineStr">
        <is>
          <t>DALARNAS LÄN</t>
        </is>
      </c>
      <c r="G6823" t="inlineStr">
        <is>
          <t>MORA</t>
        </is>
      </c>
      <c r="I6823" t="n">
        <v>4.8</v>
      </c>
      <c r="J6823" t="n">
        <v>0</v>
      </c>
      <c r="K6823" t="n">
        <v>0</v>
      </c>
      <c r="L6823" t="n">
        <v>0</v>
      </c>
      <c r="M6823" t="n">
        <v>0</v>
      </c>
      <c r="N6823" t="n">
        <v>0</v>
      </c>
      <c r="O6823" t="n">
        <v>0</v>
      </c>
      <c r="P6823" t="n">
        <v>0</v>
      </c>
      <c r="Q6823" t="n">
        <v>0</v>
      </c>
      <c r="R6823" t="n">
        <v>0</v>
      </c>
      <c r="S6823" t="n">
        <v>0</v>
      </c>
      <c r="T6823" t="n">
        <v>0</v>
      </c>
      <c r="U6823" t="n">
        <v>0</v>
      </c>
      <c r="V6823" s="2" t="inlineStr"/>
    </row>
    <row r="6824" ht="15" customHeight="1">
      <c r="A6824" t="inlineStr">
        <is>
          <t>A 41729-2024</t>
        </is>
      </c>
      <c r="B6824" t="inlineStr">
        <is>
          <t>avverkningsanmälan</t>
        </is>
      </c>
      <c r="C6824" t="inlineStr">
        <is>
          <t>Föryngringsavverkning</t>
        </is>
      </c>
      <c r="D6824" s="1" t="n">
        <v>45560</v>
      </c>
      <c r="E6824" s="1" t="n">
        <v>46319</v>
      </c>
      <c r="F6824" t="inlineStr">
        <is>
          <t>DALARNAS LÄN</t>
        </is>
      </c>
      <c r="G6824" t="inlineStr">
        <is>
          <t>AVESTA</t>
        </is>
      </c>
      <c r="I6824" t="n">
        <v>1.4</v>
      </c>
      <c r="J6824" t="n">
        <v>0</v>
      </c>
      <c r="K6824" t="n">
        <v>0</v>
      </c>
      <c r="L6824" t="n">
        <v>0</v>
      </c>
      <c r="M6824" t="n">
        <v>0</v>
      </c>
      <c r="N6824" t="n">
        <v>0</v>
      </c>
      <c r="O6824" t="n">
        <v>0</v>
      </c>
      <c r="P6824" t="n">
        <v>0</v>
      </c>
      <c r="Q6824" t="n">
        <v>0</v>
      </c>
      <c r="R6824" t="n">
        <v>0</v>
      </c>
      <c r="S6824" t="n">
        <v>0</v>
      </c>
      <c r="T6824" t="n">
        <v>0</v>
      </c>
      <c r="U6824" t="n">
        <v>0</v>
      </c>
      <c r="V6824" s="2" t="inlineStr"/>
    </row>
    <row r="6825" ht="15" customHeight="1">
      <c r="A6825" t="inlineStr">
        <is>
          <t>A 7562-2023</t>
        </is>
      </c>
      <c r="B6825" t="inlineStr">
        <is>
          <t>avverkningsanmälan</t>
        </is>
      </c>
      <c r="C6825" t="inlineStr">
        <is>
          <t>Föryngringsavverkning</t>
        </is>
      </c>
      <c r="D6825" s="1" t="n">
        <v>44972</v>
      </c>
      <c r="E6825" s="1" t="n">
        <v>46319</v>
      </c>
      <c r="F6825" t="inlineStr">
        <is>
          <t>DALARNAS LÄN</t>
        </is>
      </c>
      <c r="G6825" t="inlineStr">
        <is>
          <t>SÄTER</t>
        </is>
      </c>
      <c r="I6825" t="n">
        <v>2.8</v>
      </c>
      <c r="J6825" t="n">
        <v>0</v>
      </c>
      <c r="K6825" t="n">
        <v>0</v>
      </c>
      <c r="L6825" t="n">
        <v>0</v>
      </c>
      <c r="M6825" t="n">
        <v>0</v>
      </c>
      <c r="N6825" t="n">
        <v>0</v>
      </c>
      <c r="O6825" t="n">
        <v>0</v>
      </c>
      <c r="P6825" t="n">
        <v>0</v>
      </c>
      <c r="Q6825" t="n">
        <v>0</v>
      </c>
      <c r="R6825" t="n">
        <v>0</v>
      </c>
      <c r="S6825" t="n">
        <v>0</v>
      </c>
      <c r="T6825" t="n">
        <v>0</v>
      </c>
      <c r="U6825" t="n">
        <v>0</v>
      </c>
      <c r="V6825" s="2" t="inlineStr"/>
    </row>
    <row r="6826" ht="15" customHeight="1">
      <c r="A6826" t="inlineStr">
        <is>
          <t>A 42254-2024</t>
        </is>
      </c>
      <c r="B6826" t="inlineStr">
        <is>
          <t>avverkningsanmälan</t>
        </is>
      </c>
      <c r="C6826" t="inlineStr">
        <is>
          <t>Föryngringsavverkning</t>
        </is>
      </c>
      <c r="D6826" s="1" t="n">
        <v>45562</v>
      </c>
      <c r="E6826" s="1" t="n">
        <v>46319</v>
      </c>
      <c r="F6826" t="inlineStr">
        <is>
          <t>DALARNAS LÄN</t>
        </is>
      </c>
      <c r="G6826" t="inlineStr">
        <is>
          <t>LUDVIKA</t>
        </is>
      </c>
      <c r="H6826" t="inlineStr">
        <is>
          <t>Bergvik skog väst AB</t>
        </is>
      </c>
      <c r="I6826" t="n">
        <v>0.8</v>
      </c>
      <c r="J6826" t="n">
        <v>0</v>
      </c>
      <c r="K6826" t="n">
        <v>0</v>
      </c>
      <c r="L6826" t="n">
        <v>0</v>
      </c>
      <c r="M6826" t="n">
        <v>0</v>
      </c>
      <c r="N6826" t="n">
        <v>0</v>
      </c>
      <c r="O6826" t="n">
        <v>0</v>
      </c>
      <c r="P6826" t="n">
        <v>0</v>
      </c>
      <c r="Q6826" t="n">
        <v>0</v>
      </c>
      <c r="R6826" t="n">
        <v>0</v>
      </c>
      <c r="S6826" t="n">
        <v>0</v>
      </c>
      <c r="T6826" t="n">
        <v>0</v>
      </c>
      <c r="U6826" t="n">
        <v>0</v>
      </c>
      <c r="V6826" s="2" t="inlineStr"/>
    </row>
    <row r="6827" ht="15" customHeight="1">
      <c r="A6827" t="inlineStr">
        <is>
          <t>A 35562-2026</t>
        </is>
      </c>
      <c r="B6827" t="inlineStr">
        <is>
          <t>avverkningsanmälan</t>
        </is>
      </c>
      <c r="C6827" t="inlineStr">
        <is>
          <t>Föryngringsavverkning</t>
        </is>
      </c>
      <c r="D6827" s="1" t="n">
        <v>46262</v>
      </c>
      <c r="E6827" s="1" t="n">
        <v>46319</v>
      </c>
      <c r="F6827" t="inlineStr">
        <is>
          <t>DALARNAS LÄN</t>
        </is>
      </c>
      <c r="G6827" t="inlineStr">
        <is>
          <t>ÄLVDALEN</t>
        </is>
      </c>
      <c r="I6827" t="n">
        <v>1.5</v>
      </c>
      <c r="J6827" t="n">
        <v>0</v>
      </c>
      <c r="K6827" t="n">
        <v>0</v>
      </c>
      <c r="L6827" t="n">
        <v>0</v>
      </c>
      <c r="M6827" t="n">
        <v>0</v>
      </c>
      <c r="N6827" t="n">
        <v>0</v>
      </c>
      <c r="O6827" t="n">
        <v>0</v>
      </c>
      <c r="P6827" t="n">
        <v>0</v>
      </c>
      <c r="Q6827" t="n">
        <v>0</v>
      </c>
      <c r="R6827" t="n">
        <v>0</v>
      </c>
      <c r="S6827" t="n">
        <v>0</v>
      </c>
      <c r="T6827" t="n">
        <v>0</v>
      </c>
      <c r="U6827" t="n">
        <v>0</v>
      </c>
      <c r="V6827" s="2" t="inlineStr"/>
    </row>
    <row r="6828" ht="15" customHeight="1">
      <c r="A6828" t="inlineStr">
        <is>
          <t>A 35564-2026</t>
        </is>
      </c>
      <c r="B6828" t="inlineStr">
        <is>
          <t>avverkningsanmälan</t>
        </is>
      </c>
      <c r="C6828" t="inlineStr">
        <is>
          <t>Avverkning för annat ändamål</t>
        </is>
      </c>
      <c r="D6828" s="1" t="n">
        <v>46262</v>
      </c>
      <c r="E6828" s="1" t="n">
        <v>46319</v>
      </c>
      <c r="F6828" t="inlineStr">
        <is>
          <t>DALARNAS LÄN</t>
        </is>
      </c>
      <c r="G6828" t="inlineStr">
        <is>
          <t>SÄTER</t>
        </is>
      </c>
      <c r="I6828" t="n">
        <v>0.7</v>
      </c>
      <c r="J6828" t="n">
        <v>0</v>
      </c>
      <c r="K6828" t="n">
        <v>0</v>
      </c>
      <c r="L6828" t="n">
        <v>0</v>
      </c>
      <c r="M6828" t="n">
        <v>0</v>
      </c>
      <c r="N6828" t="n">
        <v>0</v>
      </c>
      <c r="O6828" t="n">
        <v>0</v>
      </c>
      <c r="P6828" t="n">
        <v>0</v>
      </c>
      <c r="Q6828" t="n">
        <v>0</v>
      </c>
      <c r="R6828" t="n">
        <v>0</v>
      </c>
      <c r="S6828" t="n">
        <v>0</v>
      </c>
      <c r="T6828" t="n">
        <v>0</v>
      </c>
      <c r="U6828" t="n">
        <v>0</v>
      </c>
      <c r="V6828" s="2" t="inlineStr"/>
    </row>
    <row r="6829" ht="15" customHeight="1">
      <c r="A6829" t="inlineStr">
        <is>
          <t>A 60049-2022</t>
        </is>
      </c>
      <c r="B6829" t="inlineStr">
        <is>
          <t>avverkningsanmälan</t>
        </is>
      </c>
      <c r="C6829" t="inlineStr">
        <is>
          <t>Föryngringsavverkning</t>
        </is>
      </c>
      <c r="D6829" s="1" t="n">
        <v>44909</v>
      </c>
      <c r="E6829" s="1" t="n">
        <v>46319</v>
      </c>
      <c r="F6829" t="inlineStr">
        <is>
          <t>DALARNAS LÄN</t>
        </is>
      </c>
      <c r="G6829" t="inlineStr">
        <is>
          <t>SMEDJEBACKEN</t>
        </is>
      </c>
      <c r="I6829" t="n">
        <v>0.8</v>
      </c>
      <c r="J6829" t="n">
        <v>0</v>
      </c>
      <c r="K6829" t="n">
        <v>0</v>
      </c>
      <c r="L6829" t="n">
        <v>0</v>
      </c>
      <c r="M6829" t="n">
        <v>0</v>
      </c>
      <c r="N6829" t="n">
        <v>0</v>
      </c>
      <c r="O6829" t="n">
        <v>0</v>
      </c>
      <c r="P6829" t="n">
        <v>0</v>
      </c>
      <c r="Q6829" t="n">
        <v>0</v>
      </c>
      <c r="R6829" t="n">
        <v>0</v>
      </c>
      <c r="S6829" t="n">
        <v>0</v>
      </c>
      <c r="T6829" t="n">
        <v>0</v>
      </c>
      <c r="U6829" t="n">
        <v>0</v>
      </c>
      <c r="V6829" s="2" t="inlineStr"/>
    </row>
    <row r="6830" ht="15" customHeight="1">
      <c r="A6830" t="inlineStr">
        <is>
          <t>A 60088-2022</t>
        </is>
      </c>
      <c r="B6830" t="inlineStr">
        <is>
          <t>avverkningsanmälan</t>
        </is>
      </c>
      <c r="C6830" t="inlineStr">
        <is>
          <t>Föryngringsavverkning</t>
        </is>
      </c>
      <c r="D6830" s="1" t="n">
        <v>44909</v>
      </c>
      <c r="E6830" s="1" t="n">
        <v>46319</v>
      </c>
      <c r="F6830" t="inlineStr">
        <is>
          <t>DALARNAS LÄN</t>
        </is>
      </c>
      <c r="G6830" t="inlineStr">
        <is>
          <t>FALUN</t>
        </is>
      </c>
      <c r="I6830" t="n">
        <v>3.3</v>
      </c>
      <c r="J6830" t="n">
        <v>0</v>
      </c>
      <c r="K6830" t="n">
        <v>0</v>
      </c>
      <c r="L6830" t="n">
        <v>0</v>
      </c>
      <c r="M6830" t="n">
        <v>0</v>
      </c>
      <c r="N6830" t="n">
        <v>0</v>
      </c>
      <c r="O6830" t="n">
        <v>0</v>
      </c>
      <c r="P6830" t="n">
        <v>0</v>
      </c>
      <c r="Q6830" t="n">
        <v>0</v>
      </c>
      <c r="R6830" t="n">
        <v>0</v>
      </c>
      <c r="S6830" t="n">
        <v>0</v>
      </c>
      <c r="T6830" t="n">
        <v>0</v>
      </c>
      <c r="U6830" t="n">
        <v>0</v>
      </c>
      <c r="V6830" s="2" t="inlineStr"/>
    </row>
    <row r="6831" ht="15" customHeight="1">
      <c r="A6831" t="inlineStr">
        <is>
          <t>A 53527-2024</t>
        </is>
      </c>
      <c r="B6831" t="inlineStr">
        <is>
          <t>avverkningsanmälan</t>
        </is>
      </c>
      <c r="C6831" t="inlineStr">
        <is>
          <t>Föryngringsavverkning</t>
        </is>
      </c>
      <c r="D6831" s="1" t="n">
        <v>45614</v>
      </c>
      <c r="E6831" s="1" t="n">
        <v>46319</v>
      </c>
      <c r="F6831" t="inlineStr">
        <is>
          <t>DALARNAS LÄN</t>
        </is>
      </c>
      <c r="G6831" t="inlineStr">
        <is>
          <t>MORA</t>
        </is>
      </c>
      <c r="I6831" t="n">
        <v>3.3</v>
      </c>
      <c r="J6831" t="n">
        <v>0</v>
      </c>
      <c r="K6831" t="n">
        <v>0</v>
      </c>
      <c r="L6831" t="n">
        <v>0</v>
      </c>
      <c r="M6831" t="n">
        <v>0</v>
      </c>
      <c r="N6831" t="n">
        <v>0</v>
      </c>
      <c r="O6831" t="n">
        <v>0</v>
      </c>
      <c r="P6831" t="n">
        <v>0</v>
      </c>
      <c r="Q6831" t="n">
        <v>0</v>
      </c>
      <c r="R6831" t="n">
        <v>0</v>
      </c>
      <c r="S6831" t="n">
        <v>0</v>
      </c>
      <c r="T6831" t="n">
        <v>0</v>
      </c>
      <c r="U6831" t="n">
        <v>0</v>
      </c>
      <c r="V6831" s="2" t="inlineStr"/>
    </row>
    <row r="6832" ht="15" customHeight="1">
      <c r="A6832" t="inlineStr">
        <is>
          <t>A 19460-2026</t>
        </is>
      </c>
      <c r="B6832" t="inlineStr">
        <is>
          <t>avverkningsanmälan</t>
        </is>
      </c>
      <c r="C6832" t="inlineStr">
        <is>
          <t>Föryngringsavverkning</t>
        </is>
      </c>
      <c r="D6832" s="1" t="n">
        <v>46133</v>
      </c>
      <c r="E6832" s="1" t="n">
        <v>46319</v>
      </c>
      <c r="F6832" t="inlineStr">
        <is>
          <t>DALARNAS LÄN</t>
        </is>
      </c>
      <c r="G6832" t="inlineStr">
        <is>
          <t>FALUN</t>
        </is>
      </c>
      <c r="I6832" t="n">
        <v>0.8</v>
      </c>
      <c r="J6832" t="n">
        <v>0</v>
      </c>
      <c r="K6832" t="n">
        <v>0</v>
      </c>
      <c r="L6832" t="n">
        <v>0</v>
      </c>
      <c r="M6832" t="n">
        <v>0</v>
      </c>
      <c r="N6832" t="n">
        <v>0</v>
      </c>
      <c r="O6832" t="n">
        <v>0</v>
      </c>
      <c r="P6832" t="n">
        <v>0</v>
      </c>
      <c r="Q6832" t="n">
        <v>0</v>
      </c>
      <c r="R6832" t="n">
        <v>0</v>
      </c>
      <c r="S6832" t="n">
        <v>0</v>
      </c>
      <c r="T6832" t="n">
        <v>0</v>
      </c>
      <c r="U6832" t="n">
        <v>0</v>
      </c>
      <c r="V6832" s="2" t="inlineStr"/>
    </row>
    <row r="6833" ht="15" customHeight="1">
      <c r="A6833" t="inlineStr">
        <is>
          <t>A 19462-2026</t>
        </is>
      </c>
      <c r="B6833" t="inlineStr">
        <is>
          <t>avverkningsanmälan</t>
        </is>
      </c>
      <c r="C6833" t="inlineStr">
        <is>
          <t>Föryngringsavverkning</t>
        </is>
      </c>
      <c r="D6833" s="1" t="n">
        <v>46133</v>
      </c>
      <c r="E6833" s="1" t="n">
        <v>46319</v>
      </c>
      <c r="F6833" t="inlineStr">
        <is>
          <t>DALARNAS LÄN</t>
        </is>
      </c>
      <c r="G6833" t="inlineStr">
        <is>
          <t>MORA</t>
        </is>
      </c>
      <c r="I6833" t="n">
        <v>1.7</v>
      </c>
      <c r="J6833" t="n">
        <v>0</v>
      </c>
      <c r="K6833" t="n">
        <v>0</v>
      </c>
      <c r="L6833" t="n">
        <v>0</v>
      </c>
      <c r="M6833" t="n">
        <v>0</v>
      </c>
      <c r="N6833" t="n">
        <v>0</v>
      </c>
      <c r="O6833" t="n">
        <v>0</v>
      </c>
      <c r="P6833" t="n">
        <v>0</v>
      </c>
      <c r="Q6833" t="n">
        <v>0</v>
      </c>
      <c r="R6833" t="n">
        <v>0</v>
      </c>
      <c r="S6833" t="n">
        <v>0</v>
      </c>
      <c r="T6833" t="n">
        <v>0</v>
      </c>
      <c r="U6833" t="n">
        <v>0</v>
      </c>
      <c r="V6833" s="2" t="inlineStr"/>
    </row>
    <row r="6834" ht="15" customHeight="1">
      <c r="A6834" t="inlineStr">
        <is>
          <t>A 19466-2026</t>
        </is>
      </c>
      <c r="B6834" t="inlineStr">
        <is>
          <t>avverkningsanmälan</t>
        </is>
      </c>
      <c r="C6834" t="inlineStr">
        <is>
          <t>Föryngringsavverkning</t>
        </is>
      </c>
      <c r="D6834" s="1" t="n">
        <v>46133</v>
      </c>
      <c r="E6834" s="1" t="n">
        <v>46319</v>
      </c>
      <c r="F6834" t="inlineStr">
        <is>
          <t>DALARNAS LÄN</t>
        </is>
      </c>
      <c r="G6834" t="inlineStr">
        <is>
          <t>FALUN</t>
        </is>
      </c>
      <c r="I6834" t="n">
        <v>1.6</v>
      </c>
      <c r="J6834" t="n">
        <v>0</v>
      </c>
      <c r="K6834" t="n">
        <v>0</v>
      </c>
      <c r="L6834" t="n">
        <v>0</v>
      </c>
      <c r="M6834" t="n">
        <v>0</v>
      </c>
      <c r="N6834" t="n">
        <v>0</v>
      </c>
      <c r="O6834" t="n">
        <v>0</v>
      </c>
      <c r="P6834" t="n">
        <v>0</v>
      </c>
      <c r="Q6834" t="n">
        <v>0</v>
      </c>
      <c r="R6834" t="n">
        <v>0</v>
      </c>
      <c r="S6834" t="n">
        <v>0</v>
      </c>
      <c r="T6834" t="n">
        <v>0</v>
      </c>
      <c r="U6834" t="n">
        <v>0</v>
      </c>
      <c r="V6834" s="2" t="inlineStr"/>
    </row>
    <row r="6835" ht="15" customHeight="1">
      <c r="A6835" t="inlineStr">
        <is>
          <t>A 35661-2026</t>
        </is>
      </c>
      <c r="B6835" t="inlineStr">
        <is>
          <t>avverkningsanmälan</t>
        </is>
      </c>
      <c r="C6835" t="inlineStr">
        <is>
          <t>Föryngringsavverkning</t>
        </is>
      </c>
      <c r="D6835" s="1" t="n">
        <v>46265</v>
      </c>
      <c r="E6835" s="1" t="n">
        <v>46319</v>
      </c>
      <c r="F6835" t="inlineStr">
        <is>
          <t>DALARNAS LÄN</t>
        </is>
      </c>
      <c r="G6835" t="inlineStr">
        <is>
          <t>RÄTTVIK</t>
        </is>
      </c>
      <c r="I6835" t="n">
        <v>0.7</v>
      </c>
      <c r="J6835" t="n">
        <v>0</v>
      </c>
      <c r="K6835" t="n">
        <v>0</v>
      </c>
      <c r="L6835" t="n">
        <v>0</v>
      </c>
      <c r="M6835" t="n">
        <v>0</v>
      </c>
      <c r="N6835" t="n">
        <v>0</v>
      </c>
      <c r="O6835" t="n">
        <v>0</v>
      </c>
      <c r="P6835" t="n">
        <v>0</v>
      </c>
      <c r="Q6835" t="n">
        <v>0</v>
      </c>
      <c r="R6835" t="n">
        <v>0</v>
      </c>
      <c r="S6835" t="n">
        <v>0</v>
      </c>
      <c r="T6835" t="n">
        <v>0</v>
      </c>
      <c r="U6835" t="n">
        <v>0</v>
      </c>
      <c r="V6835" s="2" t="inlineStr"/>
    </row>
    <row r="6836" ht="15" customHeight="1">
      <c r="A6836" t="inlineStr">
        <is>
          <t>A 19498-2026</t>
        </is>
      </c>
      <c r="B6836" t="inlineStr">
        <is>
          <t>avverkningsanmälan</t>
        </is>
      </c>
      <c r="C6836" t="inlineStr">
        <is>
          <t>Föryngringsavverkning</t>
        </is>
      </c>
      <c r="D6836" s="1" t="n">
        <v>46134</v>
      </c>
      <c r="E6836" s="1" t="n">
        <v>46319</v>
      </c>
      <c r="F6836" t="inlineStr">
        <is>
          <t>DALARNAS LÄN</t>
        </is>
      </c>
      <c r="G6836" t="inlineStr">
        <is>
          <t>SMEDJEBACKEN</t>
        </is>
      </c>
      <c r="I6836" t="n">
        <v>2.5</v>
      </c>
      <c r="J6836" t="n">
        <v>0</v>
      </c>
      <c r="K6836" t="n">
        <v>0</v>
      </c>
      <c r="L6836" t="n">
        <v>0</v>
      </c>
      <c r="M6836" t="n">
        <v>0</v>
      </c>
      <c r="N6836" t="n">
        <v>0</v>
      </c>
      <c r="O6836" t="n">
        <v>0</v>
      </c>
      <c r="P6836" t="n">
        <v>0</v>
      </c>
      <c r="Q6836" t="n">
        <v>0</v>
      </c>
      <c r="R6836" t="n">
        <v>0</v>
      </c>
      <c r="S6836" t="n">
        <v>0</v>
      </c>
      <c r="T6836" t="n">
        <v>0</v>
      </c>
      <c r="U6836" t="n">
        <v>0</v>
      </c>
      <c r="V6836" s="2" t="inlineStr"/>
    </row>
    <row r="6837" ht="15" customHeight="1">
      <c r="A6837" t="inlineStr">
        <is>
          <t>A 19440-2026</t>
        </is>
      </c>
      <c r="B6837" t="inlineStr">
        <is>
          <t>avverkningsanmälan</t>
        </is>
      </c>
      <c r="C6837" t="inlineStr">
        <is>
          <t>Föryngringsavverkning</t>
        </is>
      </c>
      <c r="D6837" s="1" t="n">
        <v>46133</v>
      </c>
      <c r="E6837" s="1" t="n">
        <v>46319</v>
      </c>
      <c r="F6837" t="inlineStr">
        <is>
          <t>DALARNAS LÄN</t>
        </is>
      </c>
      <c r="G6837" t="inlineStr">
        <is>
          <t>MALUNG-SÄLEN</t>
        </is>
      </c>
      <c r="H6837" t="inlineStr">
        <is>
          <t>Bergvik skog öst AB</t>
        </is>
      </c>
      <c r="I6837" t="n">
        <v>3.1</v>
      </c>
      <c r="J6837" t="n">
        <v>0</v>
      </c>
      <c r="K6837" t="n">
        <v>0</v>
      </c>
      <c r="L6837" t="n">
        <v>0</v>
      </c>
      <c r="M6837" t="n">
        <v>0</v>
      </c>
      <c r="N6837" t="n">
        <v>0</v>
      </c>
      <c r="O6837" t="n">
        <v>0</v>
      </c>
      <c r="P6837" t="n">
        <v>0</v>
      </c>
      <c r="Q6837" t="n">
        <v>0</v>
      </c>
      <c r="R6837" t="n">
        <v>0</v>
      </c>
      <c r="S6837" t="n">
        <v>0</v>
      </c>
      <c r="T6837" t="n">
        <v>0</v>
      </c>
      <c r="U6837" t="n">
        <v>0</v>
      </c>
      <c r="V6837" s="2" t="inlineStr"/>
    </row>
    <row r="6838" ht="15" customHeight="1">
      <c r="A6838" t="inlineStr">
        <is>
          <t>A 19662-2026</t>
        </is>
      </c>
      <c r="B6838" t="inlineStr">
        <is>
          <t>avverkningsanmälan</t>
        </is>
      </c>
      <c r="C6838" t="inlineStr">
        <is>
          <t>Föryngringsavverkning</t>
        </is>
      </c>
      <c r="D6838" s="1" t="n">
        <v>46134</v>
      </c>
      <c r="E6838" s="1" t="n">
        <v>46319</v>
      </c>
      <c r="F6838" t="inlineStr">
        <is>
          <t>DALARNAS LÄN</t>
        </is>
      </c>
      <c r="G6838" t="inlineStr">
        <is>
          <t>MALUNG-SÄLEN</t>
        </is>
      </c>
      <c r="H6838" t="inlineStr">
        <is>
          <t>Bergvik skog öst AB</t>
        </is>
      </c>
      <c r="I6838" t="n">
        <v>42.9</v>
      </c>
      <c r="J6838" t="n">
        <v>0</v>
      </c>
      <c r="K6838" t="n">
        <v>0</v>
      </c>
      <c r="L6838" t="n">
        <v>0</v>
      </c>
      <c r="M6838" t="n">
        <v>0</v>
      </c>
      <c r="N6838" t="n">
        <v>0</v>
      </c>
      <c r="O6838" t="n">
        <v>0</v>
      </c>
      <c r="P6838" t="n">
        <v>0</v>
      </c>
      <c r="Q6838" t="n">
        <v>0</v>
      </c>
      <c r="R6838" t="n">
        <v>0</v>
      </c>
      <c r="S6838" t="n">
        <v>0</v>
      </c>
      <c r="T6838" t="n">
        <v>0</v>
      </c>
      <c r="U6838" t="n">
        <v>0</v>
      </c>
      <c r="V6838" s="2" t="inlineStr"/>
    </row>
    <row r="6839" ht="15" customHeight="1">
      <c r="A6839" t="inlineStr">
        <is>
          <t>A 37055-2024</t>
        </is>
      </c>
      <c r="B6839" t="inlineStr">
        <is>
          <t>avverkningsanmälan</t>
        </is>
      </c>
      <c r="C6839" t="inlineStr">
        <is>
          <t>Föryngringsavverkning</t>
        </is>
      </c>
      <c r="D6839" s="1" t="n">
        <v>45539</v>
      </c>
      <c r="E6839" s="1" t="n">
        <v>46319</v>
      </c>
      <c r="F6839" t="inlineStr">
        <is>
          <t>DALARNAS LÄN</t>
        </is>
      </c>
      <c r="G6839" t="inlineStr">
        <is>
          <t>RÄTTVIK</t>
        </is>
      </c>
      <c r="I6839" t="n">
        <v>0.6</v>
      </c>
      <c r="J6839" t="n">
        <v>0</v>
      </c>
      <c r="K6839" t="n">
        <v>0</v>
      </c>
      <c r="L6839" t="n">
        <v>0</v>
      </c>
      <c r="M6839" t="n">
        <v>0</v>
      </c>
      <c r="N6839" t="n">
        <v>0</v>
      </c>
      <c r="O6839" t="n">
        <v>0</v>
      </c>
      <c r="P6839" t="n">
        <v>0</v>
      </c>
      <c r="Q6839" t="n">
        <v>0</v>
      </c>
      <c r="R6839" t="n">
        <v>0</v>
      </c>
      <c r="S6839" t="n">
        <v>0</v>
      </c>
      <c r="T6839" t="n">
        <v>0</v>
      </c>
      <c r="U6839" t="n">
        <v>0</v>
      </c>
      <c r="V6839" s="2" t="inlineStr"/>
    </row>
    <row r="6840" ht="15" customHeight="1">
      <c r="A6840" t="inlineStr">
        <is>
          <t>A 61886-2022</t>
        </is>
      </c>
      <c r="B6840" t="inlineStr">
        <is>
          <t>avverkningsanmälan</t>
        </is>
      </c>
      <c r="C6840" t="inlineStr">
        <is>
          <t>Föryngringsavverkning</t>
        </is>
      </c>
      <c r="D6840" s="1" t="n">
        <v>44917</v>
      </c>
      <c r="E6840" s="1" t="n">
        <v>46319</v>
      </c>
      <c r="F6840" t="inlineStr">
        <is>
          <t>DALARNAS LÄN</t>
        </is>
      </c>
      <c r="G6840" t="inlineStr">
        <is>
          <t>HEDEMORA</t>
        </is>
      </c>
      <c r="I6840" t="n">
        <v>1.9</v>
      </c>
      <c r="J6840" t="n">
        <v>0</v>
      </c>
      <c r="K6840" t="n">
        <v>0</v>
      </c>
      <c r="L6840" t="n">
        <v>0</v>
      </c>
      <c r="M6840" t="n">
        <v>0</v>
      </c>
      <c r="N6840" t="n">
        <v>0</v>
      </c>
      <c r="O6840" t="n">
        <v>0</v>
      </c>
      <c r="P6840" t="n">
        <v>0</v>
      </c>
      <c r="Q6840" t="n">
        <v>0</v>
      </c>
      <c r="R6840" t="n">
        <v>0</v>
      </c>
      <c r="S6840" t="n">
        <v>0</v>
      </c>
      <c r="T6840" t="n">
        <v>0</v>
      </c>
      <c r="U6840" t="n">
        <v>0</v>
      </c>
      <c r="V6840" s="2" t="inlineStr"/>
    </row>
    <row r="6841" ht="15" customHeight="1">
      <c r="A6841" t="inlineStr">
        <is>
          <t>A 59603-2022</t>
        </is>
      </c>
      <c r="B6841" t="inlineStr">
        <is>
          <t>avverkningsanmälan</t>
        </is>
      </c>
      <c r="C6841" t="inlineStr">
        <is>
          <t>Avverkning för att bevara och utveckla /försöksver</t>
        </is>
      </c>
      <c r="D6841" s="1" t="n">
        <v>44907</v>
      </c>
      <c r="E6841" s="1" t="n">
        <v>46319</v>
      </c>
      <c r="F6841" t="inlineStr">
        <is>
          <t>DALARNAS LÄN</t>
        </is>
      </c>
      <c r="G6841" t="inlineStr">
        <is>
          <t>MALUNG-SÄLEN</t>
        </is>
      </c>
      <c r="I6841" t="n">
        <v>0.6</v>
      </c>
      <c r="J6841" t="n">
        <v>0</v>
      </c>
      <c r="K6841" t="n">
        <v>0</v>
      </c>
      <c r="L6841" t="n">
        <v>0</v>
      </c>
      <c r="M6841" t="n">
        <v>0</v>
      </c>
      <c r="N6841" t="n">
        <v>0</v>
      </c>
      <c r="O6841" t="n">
        <v>0</v>
      </c>
      <c r="P6841" t="n">
        <v>0</v>
      </c>
      <c r="Q6841" t="n">
        <v>0</v>
      </c>
      <c r="R6841" t="n">
        <v>0</v>
      </c>
      <c r="S6841" t="n">
        <v>0</v>
      </c>
      <c r="T6841" t="n">
        <v>0</v>
      </c>
      <c r="U6841" t="n">
        <v>0</v>
      </c>
      <c r="V6841" s="2" t="inlineStr"/>
    </row>
    <row r="6842" ht="15" customHeight="1">
      <c r="A6842" t="inlineStr">
        <is>
          <t>A 61996-2022</t>
        </is>
      </c>
      <c r="B6842" t="inlineStr">
        <is>
          <t>avverkningsanmälan</t>
        </is>
      </c>
      <c r="C6842" t="inlineStr">
        <is>
          <t>Föryngringsavverkning</t>
        </is>
      </c>
      <c r="D6842" s="1" t="n">
        <v>44914</v>
      </c>
      <c r="E6842" s="1" t="n">
        <v>46319</v>
      </c>
      <c r="F6842" t="inlineStr">
        <is>
          <t>DALARNAS LÄN</t>
        </is>
      </c>
      <c r="G6842" t="inlineStr">
        <is>
          <t>RÄTTVIK</t>
        </is>
      </c>
      <c r="I6842" t="n">
        <v>2.5</v>
      </c>
      <c r="J6842" t="n">
        <v>0</v>
      </c>
      <c r="K6842" t="n">
        <v>0</v>
      </c>
      <c r="L6842" t="n">
        <v>0</v>
      </c>
      <c r="M6842" t="n">
        <v>0</v>
      </c>
      <c r="N6842" t="n">
        <v>0</v>
      </c>
      <c r="O6842" t="n">
        <v>0</v>
      </c>
      <c r="P6842" t="n">
        <v>0</v>
      </c>
      <c r="Q6842" t="n">
        <v>0</v>
      </c>
      <c r="R6842" t="n">
        <v>0</v>
      </c>
      <c r="S6842" t="n">
        <v>0</v>
      </c>
      <c r="T6842" t="n">
        <v>0</v>
      </c>
      <c r="U6842" t="n">
        <v>0</v>
      </c>
      <c r="V6842" s="2" t="inlineStr"/>
    </row>
    <row r="6843" ht="15" customHeight="1">
      <c r="A6843" t="inlineStr">
        <is>
          <t>A 13570-2026</t>
        </is>
      </c>
      <c r="B6843" t="inlineStr">
        <is>
          <t>avverkningsanmälan</t>
        </is>
      </c>
      <c r="C6843" t="inlineStr">
        <is>
          <t>Föryngringsavverkning</t>
        </is>
      </c>
      <c r="D6843" s="1" t="n">
        <v>46095</v>
      </c>
      <c r="E6843" s="1" t="n">
        <v>46319</v>
      </c>
      <c r="F6843" t="inlineStr">
        <is>
          <t>DALARNAS LÄN</t>
        </is>
      </c>
      <c r="G6843" t="inlineStr">
        <is>
          <t>BORLÄNGE</t>
        </is>
      </c>
      <c r="I6843" t="n">
        <v>22.7</v>
      </c>
      <c r="J6843" t="n">
        <v>0</v>
      </c>
      <c r="K6843" t="n">
        <v>0</v>
      </c>
      <c r="L6843" t="n">
        <v>0</v>
      </c>
      <c r="M6843" t="n">
        <v>0</v>
      </c>
      <c r="N6843" t="n">
        <v>0</v>
      </c>
      <c r="O6843" t="n">
        <v>0</v>
      </c>
      <c r="P6843" t="n">
        <v>0</v>
      </c>
      <c r="Q6843" t="n">
        <v>0</v>
      </c>
      <c r="R6843" t="n">
        <v>0</v>
      </c>
      <c r="S6843" t="n">
        <v>0</v>
      </c>
      <c r="T6843" t="n">
        <v>0</v>
      </c>
      <c r="U6843" t="n">
        <v>0</v>
      </c>
      <c r="V6843" s="2" t="inlineStr"/>
    </row>
    <row r="6844" ht="15" customHeight="1">
      <c r="A6844" t="inlineStr">
        <is>
          <t>A 17011-2026</t>
        </is>
      </c>
      <c r="B6844" t="inlineStr">
        <is>
          <t>avverkningsanmälan</t>
        </is>
      </c>
      <c r="C6844" t="inlineStr">
        <is>
          <t>Föryngringsavverkning</t>
        </is>
      </c>
      <c r="D6844" s="1" t="n">
        <v>46114</v>
      </c>
      <c r="E6844" s="1" t="n">
        <v>46319</v>
      </c>
      <c r="F6844" t="inlineStr">
        <is>
          <t>DALARNAS LÄN</t>
        </is>
      </c>
      <c r="G6844" t="inlineStr">
        <is>
          <t>FALUN</t>
        </is>
      </c>
      <c r="H6844" t="inlineStr">
        <is>
          <t>Bergvik skog väst AB</t>
        </is>
      </c>
      <c r="I6844" t="n">
        <v>12.3</v>
      </c>
      <c r="J6844" t="n">
        <v>0</v>
      </c>
      <c r="K6844" t="n">
        <v>0</v>
      </c>
      <c r="L6844" t="n">
        <v>0</v>
      </c>
      <c r="M6844" t="n">
        <v>0</v>
      </c>
      <c r="N6844" t="n">
        <v>0</v>
      </c>
      <c r="O6844" t="n">
        <v>0</v>
      </c>
      <c r="P6844" t="n">
        <v>0</v>
      </c>
      <c r="Q6844" t="n">
        <v>0</v>
      </c>
      <c r="R6844" t="n">
        <v>0</v>
      </c>
      <c r="S6844" t="n">
        <v>0</v>
      </c>
      <c r="T6844" t="n">
        <v>0</v>
      </c>
      <c r="U6844" t="n">
        <v>0</v>
      </c>
      <c r="V6844" s="2" t="inlineStr"/>
    </row>
    <row r="6845" ht="15" customHeight="1">
      <c r="A6845" t="inlineStr">
        <is>
          <t>A 11299-2026</t>
        </is>
      </c>
      <c r="B6845" t="inlineStr">
        <is>
          <t>avverkningsanmälan</t>
        </is>
      </c>
      <c r="C6845" t="inlineStr">
        <is>
          <t>Föryngringsavverkning</t>
        </is>
      </c>
      <c r="D6845" s="1" t="n">
        <v>46080</v>
      </c>
      <c r="E6845" s="1" t="n">
        <v>46319</v>
      </c>
      <c r="F6845" t="inlineStr">
        <is>
          <t>DALARNAS LÄN</t>
        </is>
      </c>
      <c r="G6845" t="inlineStr">
        <is>
          <t>FALUN</t>
        </is>
      </c>
      <c r="I6845" t="n">
        <v>0.6</v>
      </c>
      <c r="J6845" t="n">
        <v>0</v>
      </c>
      <c r="K6845" t="n">
        <v>0</v>
      </c>
      <c r="L6845" t="n">
        <v>0</v>
      </c>
      <c r="M6845" t="n">
        <v>0</v>
      </c>
      <c r="N6845" t="n">
        <v>0</v>
      </c>
      <c r="O6845" t="n">
        <v>0</v>
      </c>
      <c r="P6845" t="n">
        <v>0</v>
      </c>
      <c r="Q6845" t="n">
        <v>0</v>
      </c>
      <c r="R6845" t="n">
        <v>0</v>
      </c>
      <c r="S6845" t="n">
        <v>0</v>
      </c>
      <c r="T6845" t="n">
        <v>0</v>
      </c>
      <c r="U6845" t="n">
        <v>0</v>
      </c>
      <c r="V6845" s="2" t="inlineStr"/>
    </row>
    <row r="6846" ht="15" customHeight="1">
      <c r="A6846" t="inlineStr">
        <is>
          <t>A 19283-2026</t>
        </is>
      </c>
      <c r="B6846" t="inlineStr">
        <is>
          <t>avverkningsanmälan</t>
        </is>
      </c>
      <c r="C6846" t="inlineStr">
        <is>
          <t>Föryngringsavverkning</t>
        </is>
      </c>
      <c r="D6846" s="1" t="n">
        <v>46133</v>
      </c>
      <c r="E6846" s="1" t="n">
        <v>46319</v>
      </c>
      <c r="F6846" t="inlineStr">
        <is>
          <t>DALARNAS LÄN</t>
        </is>
      </c>
      <c r="G6846" t="inlineStr">
        <is>
          <t>FALUN</t>
        </is>
      </c>
      <c r="H6846" t="inlineStr">
        <is>
          <t>Bergvik skog väst AB</t>
        </is>
      </c>
      <c r="I6846" t="n">
        <v>4.9</v>
      </c>
      <c r="J6846" t="n">
        <v>0</v>
      </c>
      <c r="K6846" t="n">
        <v>0</v>
      </c>
      <c r="L6846" t="n">
        <v>0</v>
      </c>
      <c r="M6846" t="n">
        <v>0</v>
      </c>
      <c r="N6846" t="n">
        <v>0</v>
      </c>
      <c r="O6846" t="n">
        <v>0</v>
      </c>
      <c r="P6846" t="n">
        <v>0</v>
      </c>
      <c r="Q6846" t="n">
        <v>0</v>
      </c>
      <c r="R6846" t="n">
        <v>0</v>
      </c>
      <c r="S6846" t="n">
        <v>0</v>
      </c>
      <c r="T6846" t="n">
        <v>0</v>
      </c>
      <c r="U6846" t="n">
        <v>0</v>
      </c>
      <c r="V6846" s="2" t="inlineStr"/>
    </row>
    <row r="6847" ht="15" customHeight="1">
      <c r="A6847" t="inlineStr">
        <is>
          <t>A 33099-2023</t>
        </is>
      </c>
      <c r="B6847" t="inlineStr">
        <is>
          <t>avverkningsanmälan</t>
        </is>
      </c>
      <c r="C6847" t="inlineStr">
        <is>
          <t>Föryngringsavverkning</t>
        </is>
      </c>
      <c r="D6847" s="1" t="n">
        <v>45114</v>
      </c>
      <c r="E6847" s="1" t="n">
        <v>46319</v>
      </c>
      <c r="F6847" t="inlineStr">
        <is>
          <t>DALARNAS LÄN</t>
        </is>
      </c>
      <c r="G6847" t="inlineStr">
        <is>
          <t>ÄLVDALEN</t>
        </is>
      </c>
      <c r="I6847" t="n">
        <v>3.5</v>
      </c>
      <c r="J6847" t="n">
        <v>0</v>
      </c>
      <c r="K6847" t="n">
        <v>0</v>
      </c>
      <c r="L6847" t="n">
        <v>0</v>
      </c>
      <c r="M6847" t="n">
        <v>0</v>
      </c>
      <c r="N6847" t="n">
        <v>0</v>
      </c>
      <c r="O6847" t="n">
        <v>0</v>
      </c>
      <c r="P6847" t="n">
        <v>0</v>
      </c>
      <c r="Q6847" t="n">
        <v>0</v>
      </c>
      <c r="R6847" t="n">
        <v>0</v>
      </c>
      <c r="S6847" t="n">
        <v>0</v>
      </c>
      <c r="T6847" t="n">
        <v>0</v>
      </c>
      <c r="U6847" t="n">
        <v>0</v>
      </c>
      <c r="V6847" s="2" t="inlineStr"/>
    </row>
    <row r="6848" ht="15" customHeight="1">
      <c r="A6848" t="inlineStr">
        <is>
          <t>A 42479-2026</t>
        </is>
      </c>
      <c r="B6848" t="inlineStr">
        <is>
          <t>avverkningsanmälan</t>
        </is>
      </c>
      <c r="C6848" t="inlineStr">
        <is>
          <t>Föryngringsavverkning</t>
        </is>
      </c>
      <c r="D6848" s="1" t="n">
        <v>46308</v>
      </c>
      <c r="E6848" s="1" t="n">
        <v>46319</v>
      </c>
      <c r="F6848" t="inlineStr">
        <is>
          <t>DALARNAS LÄN</t>
        </is>
      </c>
      <c r="G6848" t="inlineStr">
        <is>
          <t>VANSBRO</t>
        </is>
      </c>
      <c r="H6848" t="inlineStr">
        <is>
          <t>Bergvik skog väst AB</t>
        </is>
      </c>
      <c r="I6848" t="n">
        <v>3.7</v>
      </c>
      <c r="J6848" t="n">
        <v>0</v>
      </c>
      <c r="K6848" t="n">
        <v>0</v>
      </c>
      <c r="L6848" t="n">
        <v>0</v>
      </c>
      <c r="M6848" t="n">
        <v>0</v>
      </c>
      <c r="N6848" t="n">
        <v>0</v>
      </c>
      <c r="O6848" t="n">
        <v>0</v>
      </c>
      <c r="P6848" t="n">
        <v>0</v>
      </c>
      <c r="Q6848" t="n">
        <v>0</v>
      </c>
      <c r="R6848" t="n">
        <v>0</v>
      </c>
      <c r="S6848" t="n">
        <v>0</v>
      </c>
      <c r="T6848" t="n">
        <v>0</v>
      </c>
      <c r="U6848" t="n">
        <v>0</v>
      </c>
      <c r="V6848" s="2" t="inlineStr"/>
    </row>
    <row r="6849" ht="15" customHeight="1">
      <c r="A6849" t="inlineStr">
        <is>
          <t>A 41208-2026</t>
        </is>
      </c>
      <c r="B6849" t="inlineStr">
        <is>
          <t>avverkningsanmälan</t>
        </is>
      </c>
      <c r="C6849" t="inlineStr">
        <is>
          <t>Föryngringsavverkning</t>
        </is>
      </c>
      <c r="D6849" s="1" t="n">
        <v>46300</v>
      </c>
      <c r="E6849" s="1" t="n">
        <v>46319</v>
      </c>
      <c r="F6849" t="inlineStr">
        <is>
          <t>DALARNAS LÄN</t>
        </is>
      </c>
      <c r="G6849" t="inlineStr">
        <is>
          <t>SÄTER</t>
        </is>
      </c>
      <c r="I6849" t="n">
        <v>1.7</v>
      </c>
      <c r="J6849" t="n">
        <v>0</v>
      </c>
      <c r="K6849" t="n">
        <v>0</v>
      </c>
      <c r="L6849" t="n">
        <v>0</v>
      </c>
      <c r="M6849" t="n">
        <v>0</v>
      </c>
      <c r="N6849" t="n">
        <v>0</v>
      </c>
      <c r="O6849" t="n">
        <v>0</v>
      </c>
      <c r="P6849" t="n">
        <v>0</v>
      </c>
      <c r="Q6849" t="n">
        <v>0</v>
      </c>
      <c r="R6849" t="n">
        <v>0</v>
      </c>
      <c r="S6849" t="n">
        <v>0</v>
      </c>
      <c r="T6849" t="n">
        <v>0</v>
      </c>
      <c r="U6849" t="n">
        <v>0</v>
      </c>
      <c r="V6849" s="2" t="inlineStr"/>
    </row>
    <row r="6850" ht="15" customHeight="1">
      <c r="A6850" t="inlineStr">
        <is>
          <t>A 61278-2024</t>
        </is>
      </c>
      <c r="B6850" t="inlineStr">
        <is>
          <t>avverkningsanmälan</t>
        </is>
      </c>
      <c r="C6850" t="inlineStr">
        <is>
          <t>Föryngringsavverkning</t>
        </is>
      </c>
      <c r="D6850" s="1" t="n">
        <v>45645</v>
      </c>
      <c r="E6850" s="1" t="n">
        <v>46319</v>
      </c>
      <c r="F6850" t="inlineStr">
        <is>
          <t>DALARNAS LÄN</t>
        </is>
      </c>
      <c r="G6850" t="inlineStr">
        <is>
          <t>MORA</t>
        </is>
      </c>
      <c r="I6850" t="n">
        <v>1.1</v>
      </c>
      <c r="J6850" t="n">
        <v>0</v>
      </c>
      <c r="K6850" t="n">
        <v>0</v>
      </c>
      <c r="L6850" t="n">
        <v>0</v>
      </c>
      <c r="M6850" t="n">
        <v>0</v>
      </c>
      <c r="N6850" t="n">
        <v>0</v>
      </c>
      <c r="O6850" t="n">
        <v>0</v>
      </c>
      <c r="P6850" t="n">
        <v>0</v>
      </c>
      <c r="Q6850" t="n">
        <v>0</v>
      </c>
      <c r="R6850" t="n">
        <v>0</v>
      </c>
      <c r="S6850" t="n">
        <v>0</v>
      </c>
      <c r="T6850" t="n">
        <v>0</v>
      </c>
      <c r="U6850" t="n">
        <v>0</v>
      </c>
      <c r="V6850" s="2" t="inlineStr"/>
    </row>
    <row r="6851" ht="15" customHeight="1">
      <c r="A6851" t="inlineStr">
        <is>
          <t>A 19448-2026</t>
        </is>
      </c>
      <c r="B6851" t="inlineStr">
        <is>
          <t>avverkningsanmälan</t>
        </is>
      </c>
      <c r="C6851" t="inlineStr">
        <is>
          <t>Föryngringsavverkning</t>
        </is>
      </c>
      <c r="D6851" s="1" t="n">
        <v>46133</v>
      </c>
      <c r="E6851" s="1" t="n">
        <v>46319</v>
      </c>
      <c r="F6851" t="inlineStr">
        <is>
          <t>DALARNAS LÄN</t>
        </is>
      </c>
      <c r="G6851" t="inlineStr">
        <is>
          <t>FALUN</t>
        </is>
      </c>
      <c r="I6851" t="n">
        <v>1.7</v>
      </c>
      <c r="J6851" t="n">
        <v>0</v>
      </c>
      <c r="K6851" t="n">
        <v>0</v>
      </c>
      <c r="L6851" t="n">
        <v>0</v>
      </c>
      <c r="M6851" t="n">
        <v>0</v>
      </c>
      <c r="N6851" t="n">
        <v>0</v>
      </c>
      <c r="O6851" t="n">
        <v>0</v>
      </c>
      <c r="P6851" t="n">
        <v>0</v>
      </c>
      <c r="Q6851" t="n">
        <v>0</v>
      </c>
      <c r="R6851" t="n">
        <v>0</v>
      </c>
      <c r="S6851" t="n">
        <v>0</v>
      </c>
      <c r="T6851" t="n">
        <v>0</v>
      </c>
      <c r="U6851" t="n">
        <v>0</v>
      </c>
      <c r="V6851" s="2" t="inlineStr"/>
    </row>
    <row r="6852" ht="15" customHeight="1">
      <c r="A6852" t="inlineStr">
        <is>
          <t>A 19450-2026</t>
        </is>
      </c>
      <c r="B6852" t="inlineStr">
        <is>
          <t>avverkningsanmälan</t>
        </is>
      </c>
      <c r="C6852" t="inlineStr">
        <is>
          <t>Föryngringsavverkning</t>
        </is>
      </c>
      <c r="D6852" s="1" t="n">
        <v>46133</v>
      </c>
      <c r="E6852" s="1" t="n">
        <v>46319</v>
      </c>
      <c r="F6852" t="inlineStr">
        <is>
          <t>DALARNAS LÄN</t>
        </is>
      </c>
      <c r="G6852" t="inlineStr">
        <is>
          <t>FALUN</t>
        </is>
      </c>
      <c r="I6852" t="n">
        <v>2</v>
      </c>
      <c r="J6852" t="n">
        <v>0</v>
      </c>
      <c r="K6852" t="n">
        <v>0</v>
      </c>
      <c r="L6852" t="n">
        <v>0</v>
      </c>
      <c r="M6852" t="n">
        <v>0</v>
      </c>
      <c r="N6852" t="n">
        <v>0</v>
      </c>
      <c r="O6852" t="n">
        <v>0</v>
      </c>
      <c r="P6852" t="n">
        <v>0</v>
      </c>
      <c r="Q6852" t="n">
        <v>0</v>
      </c>
      <c r="R6852" t="n">
        <v>0</v>
      </c>
      <c r="S6852" t="n">
        <v>0</v>
      </c>
      <c r="T6852" t="n">
        <v>0</v>
      </c>
      <c r="U6852" t="n">
        <v>0</v>
      </c>
      <c r="V6852" s="2" t="inlineStr"/>
    </row>
    <row r="6853" ht="15" customHeight="1">
      <c r="A6853" t="inlineStr">
        <is>
          <t>A 68204-2021</t>
        </is>
      </c>
      <c r="B6853" t="inlineStr">
        <is>
          <t>avverkningsanmälan</t>
        </is>
      </c>
      <c r="C6853" t="inlineStr">
        <is>
          <t>Föryngringsavverkning</t>
        </is>
      </c>
      <c r="D6853" s="1" t="n">
        <v>44526</v>
      </c>
      <c r="E6853" s="1" t="n">
        <v>46319</v>
      </c>
      <c r="F6853" t="inlineStr">
        <is>
          <t>DALARNAS LÄN</t>
        </is>
      </c>
      <c r="G6853" t="inlineStr">
        <is>
          <t>ÄLVDALEN</t>
        </is>
      </c>
      <c r="H6853" t="inlineStr">
        <is>
          <t>Kyrkan</t>
        </is>
      </c>
      <c r="I6853" t="n">
        <v>5</v>
      </c>
      <c r="J6853" t="n">
        <v>0</v>
      </c>
      <c r="K6853" t="n">
        <v>0</v>
      </c>
      <c r="L6853" t="n">
        <v>0</v>
      </c>
      <c r="M6853" t="n">
        <v>0</v>
      </c>
      <c r="N6853" t="n">
        <v>0</v>
      </c>
      <c r="O6853" t="n">
        <v>0</v>
      </c>
      <c r="P6853" t="n">
        <v>0</v>
      </c>
      <c r="Q6853" t="n">
        <v>0</v>
      </c>
      <c r="R6853" t="n">
        <v>0</v>
      </c>
      <c r="S6853" t="n">
        <v>0</v>
      </c>
      <c r="T6853" t="n">
        <v>0</v>
      </c>
      <c r="U6853" t="n">
        <v>0</v>
      </c>
      <c r="V6853" s="2" t="inlineStr"/>
    </row>
    <row r="6854" ht="15" customHeight="1">
      <c r="A6854" t="inlineStr">
        <is>
          <t>A 30005-2024</t>
        </is>
      </c>
      <c r="B6854" t="inlineStr">
        <is>
          <t>avverkningsanmälan</t>
        </is>
      </c>
      <c r="C6854" t="inlineStr">
        <is>
          <t>Föryngringsavverkning</t>
        </is>
      </c>
      <c r="D6854" s="1" t="n">
        <v>45488</v>
      </c>
      <c r="E6854" s="1" t="n">
        <v>46319</v>
      </c>
      <c r="F6854" t="inlineStr">
        <is>
          <t>DALARNAS LÄN</t>
        </is>
      </c>
      <c r="G6854" t="inlineStr">
        <is>
          <t>MALUNG-SÄLEN</t>
        </is>
      </c>
      <c r="H6854" t="inlineStr">
        <is>
          <t>Bergvik skog öst AB</t>
        </is>
      </c>
      <c r="I6854" t="n">
        <v>2.8</v>
      </c>
      <c r="J6854" t="n">
        <v>0</v>
      </c>
      <c r="K6854" t="n">
        <v>0</v>
      </c>
      <c r="L6854" t="n">
        <v>0</v>
      </c>
      <c r="M6854" t="n">
        <v>0</v>
      </c>
      <c r="N6854" t="n">
        <v>0</v>
      </c>
      <c r="O6854" t="n">
        <v>0</v>
      </c>
      <c r="P6854" t="n">
        <v>0</v>
      </c>
      <c r="Q6854" t="n">
        <v>0</v>
      </c>
      <c r="R6854" t="n">
        <v>0</v>
      </c>
      <c r="S6854" t="n">
        <v>0</v>
      </c>
      <c r="T6854" t="n">
        <v>0</v>
      </c>
      <c r="U6854" t="n">
        <v>0</v>
      </c>
      <c r="V6854" s="2" t="inlineStr"/>
    </row>
    <row r="6855" ht="15" customHeight="1">
      <c r="A6855" t="inlineStr">
        <is>
          <t>A 13569-2026</t>
        </is>
      </c>
      <c r="B6855" t="inlineStr">
        <is>
          <t>avverkningsanmälan</t>
        </is>
      </c>
      <c r="C6855" t="inlineStr">
        <is>
          <t>Föryngringsavverkning</t>
        </is>
      </c>
      <c r="D6855" s="1" t="n">
        <v>46095</v>
      </c>
      <c r="E6855" s="1" t="n">
        <v>46319</v>
      </c>
      <c r="F6855" t="inlineStr">
        <is>
          <t>DALARNAS LÄN</t>
        </is>
      </c>
      <c r="G6855" t="inlineStr">
        <is>
          <t>BORLÄNGE</t>
        </is>
      </c>
      <c r="I6855" t="n">
        <v>16.9</v>
      </c>
      <c r="J6855" t="n">
        <v>0</v>
      </c>
      <c r="K6855" t="n">
        <v>0</v>
      </c>
      <c r="L6855" t="n">
        <v>0</v>
      </c>
      <c r="M6855" t="n">
        <v>0</v>
      </c>
      <c r="N6855" t="n">
        <v>0</v>
      </c>
      <c r="O6855" t="n">
        <v>0</v>
      </c>
      <c r="P6855" t="n">
        <v>0</v>
      </c>
      <c r="Q6855" t="n">
        <v>0</v>
      </c>
      <c r="R6855" t="n">
        <v>0</v>
      </c>
      <c r="S6855" t="n">
        <v>0</v>
      </c>
      <c r="T6855" t="n">
        <v>0</v>
      </c>
      <c r="U6855" t="n">
        <v>0</v>
      </c>
      <c r="V6855" s="2" t="inlineStr"/>
    </row>
    <row r="6856" ht="15" customHeight="1">
      <c r="A6856" t="inlineStr">
        <is>
          <t>A 29492-2023</t>
        </is>
      </c>
      <c r="B6856" t="inlineStr">
        <is>
          <t>avverkningsanmälan</t>
        </is>
      </c>
      <c r="C6856" t="inlineStr">
        <is>
          <t>Föryngringsavverkning</t>
        </is>
      </c>
      <c r="D6856" s="1" t="n">
        <v>45106</v>
      </c>
      <c r="E6856" s="1" t="n">
        <v>46319</v>
      </c>
      <c r="F6856" t="inlineStr">
        <is>
          <t>DALARNAS LÄN</t>
        </is>
      </c>
      <c r="G6856" t="inlineStr">
        <is>
          <t>VANSBRO</t>
        </is>
      </c>
      <c r="H6856" t="inlineStr">
        <is>
          <t>Bergvik skog väst AB</t>
        </is>
      </c>
      <c r="I6856" t="n">
        <v>2.2</v>
      </c>
      <c r="J6856" t="n">
        <v>0</v>
      </c>
      <c r="K6856" t="n">
        <v>0</v>
      </c>
      <c r="L6856" t="n">
        <v>0</v>
      </c>
      <c r="M6856" t="n">
        <v>0</v>
      </c>
      <c r="N6856" t="n">
        <v>0</v>
      </c>
      <c r="O6856" t="n">
        <v>0</v>
      </c>
      <c r="P6856" t="n">
        <v>0</v>
      </c>
      <c r="Q6856" t="n">
        <v>0</v>
      </c>
      <c r="R6856" t="n">
        <v>0</v>
      </c>
      <c r="S6856" t="n">
        <v>0</v>
      </c>
      <c r="T6856" t="n">
        <v>0</v>
      </c>
      <c r="U6856" t="n">
        <v>0</v>
      </c>
      <c r="V6856" s="2" t="inlineStr"/>
    </row>
    <row r="6857" ht="15" customHeight="1">
      <c r="A6857" t="inlineStr">
        <is>
          <t>A 42595-2026</t>
        </is>
      </c>
      <c r="B6857" t="inlineStr">
        <is>
          <t>avverkningsanmälan</t>
        </is>
      </c>
      <c r="C6857" t="inlineStr">
        <is>
          <t>Föryngringsavverkning</t>
        </is>
      </c>
      <c r="D6857" s="1" t="n">
        <v>46308</v>
      </c>
      <c r="E6857" s="1" t="n">
        <v>46319</v>
      </c>
      <c r="F6857" t="inlineStr">
        <is>
          <t>DALARNAS LÄN</t>
        </is>
      </c>
      <c r="G6857" t="inlineStr">
        <is>
          <t>FALUN</t>
        </is>
      </c>
      <c r="I6857" t="n">
        <v>3</v>
      </c>
      <c r="J6857" t="n">
        <v>0</v>
      </c>
      <c r="K6857" t="n">
        <v>0</v>
      </c>
      <c r="L6857" t="n">
        <v>0</v>
      </c>
      <c r="M6857" t="n">
        <v>0</v>
      </c>
      <c r="N6857" t="n">
        <v>0</v>
      </c>
      <c r="O6857" t="n">
        <v>0</v>
      </c>
      <c r="P6857" t="n">
        <v>0</v>
      </c>
      <c r="Q6857" t="n">
        <v>0</v>
      </c>
      <c r="R6857" t="n">
        <v>0</v>
      </c>
      <c r="S6857" t="n">
        <v>0</v>
      </c>
      <c r="T6857" t="n">
        <v>0</v>
      </c>
      <c r="U6857" t="n">
        <v>0</v>
      </c>
      <c r="V6857" s="2" t="inlineStr"/>
    </row>
    <row r="6858" ht="15" customHeight="1">
      <c r="A6858" t="inlineStr">
        <is>
          <t>A 38868-2026</t>
        </is>
      </c>
      <c r="B6858" t="inlineStr">
        <is>
          <t>avverkningsanmälan</t>
        </is>
      </c>
      <c r="C6858" t="inlineStr">
        <is>
          <t>Föryngringsavverkning</t>
        </is>
      </c>
      <c r="D6858" s="1" t="n">
        <v>46286</v>
      </c>
      <c r="E6858" s="1" t="n">
        <v>46319</v>
      </c>
      <c r="F6858" t="inlineStr">
        <is>
          <t>DALARNAS LÄN</t>
        </is>
      </c>
      <c r="G6858" t="inlineStr">
        <is>
          <t>LUDVIKA</t>
        </is>
      </c>
      <c r="H6858" t="inlineStr">
        <is>
          <t>Bergvik skog väst AB</t>
        </is>
      </c>
      <c r="I6858" t="n">
        <v>1.8</v>
      </c>
      <c r="J6858" t="n">
        <v>0</v>
      </c>
      <c r="K6858" t="n">
        <v>0</v>
      </c>
      <c r="L6858" t="n">
        <v>0</v>
      </c>
      <c r="M6858" t="n">
        <v>0</v>
      </c>
      <c r="N6858" t="n">
        <v>0</v>
      </c>
      <c r="O6858" t="n">
        <v>0</v>
      </c>
      <c r="P6858" t="n">
        <v>0</v>
      </c>
      <c r="Q6858" t="n">
        <v>0</v>
      </c>
      <c r="R6858" t="n">
        <v>0</v>
      </c>
      <c r="S6858" t="n">
        <v>0</v>
      </c>
      <c r="T6858" t="n">
        <v>0</v>
      </c>
      <c r="U6858" t="n">
        <v>0</v>
      </c>
      <c r="V6858" s="2" t="inlineStr"/>
    </row>
    <row r="6859" ht="15" customHeight="1">
      <c r="A6859" t="inlineStr">
        <is>
          <t>A 15294-2026</t>
        </is>
      </c>
      <c r="B6859" t="inlineStr">
        <is>
          <t>avverkningsanmälan</t>
        </is>
      </c>
      <c r="C6859" t="inlineStr">
        <is>
          <t>Föryngringsavverkning</t>
        </is>
      </c>
      <c r="D6859" s="1" t="n">
        <v>46105</v>
      </c>
      <c r="E6859" s="1" t="n">
        <v>46319</v>
      </c>
      <c r="F6859" t="inlineStr">
        <is>
          <t>DALARNAS LÄN</t>
        </is>
      </c>
      <c r="G6859" t="inlineStr">
        <is>
          <t>MORA</t>
        </is>
      </c>
      <c r="H6859" t="inlineStr">
        <is>
          <t>Bergvik skog öst AB</t>
        </is>
      </c>
      <c r="I6859" t="n">
        <v>0.7</v>
      </c>
      <c r="J6859" t="n">
        <v>0</v>
      </c>
      <c r="K6859" t="n">
        <v>0</v>
      </c>
      <c r="L6859" t="n">
        <v>0</v>
      </c>
      <c r="M6859" t="n">
        <v>0</v>
      </c>
      <c r="N6859" t="n">
        <v>0</v>
      </c>
      <c r="O6859" t="n">
        <v>0</v>
      </c>
      <c r="P6859" t="n">
        <v>0</v>
      </c>
      <c r="Q6859" t="n">
        <v>0</v>
      </c>
      <c r="R6859" t="n">
        <v>0</v>
      </c>
      <c r="S6859" t="n">
        <v>0</v>
      </c>
      <c r="T6859" t="n">
        <v>0</v>
      </c>
      <c r="U6859" t="n">
        <v>0</v>
      </c>
      <c r="V6859" s="2" t="inlineStr"/>
    </row>
    <row r="6860" ht="15" customHeight="1">
      <c r="A6860" t="inlineStr">
        <is>
          <t>A 16043-2026</t>
        </is>
      </c>
      <c r="B6860" t="inlineStr">
        <is>
          <t>avverkningsanmälan</t>
        </is>
      </c>
      <c r="C6860" t="inlineStr">
        <is>
          <t>Föryngringsavverkning</t>
        </is>
      </c>
      <c r="D6860" s="1" t="n">
        <v>46108</v>
      </c>
      <c r="E6860" s="1" t="n">
        <v>46319</v>
      </c>
      <c r="F6860" t="inlineStr">
        <is>
          <t>DALARNAS LÄN</t>
        </is>
      </c>
      <c r="G6860" t="inlineStr">
        <is>
          <t>FALUN</t>
        </is>
      </c>
      <c r="I6860" t="n">
        <v>2</v>
      </c>
      <c r="J6860" t="n">
        <v>0</v>
      </c>
      <c r="K6860" t="n">
        <v>0</v>
      </c>
      <c r="L6860" t="n">
        <v>0</v>
      </c>
      <c r="M6860" t="n">
        <v>0</v>
      </c>
      <c r="N6860" t="n">
        <v>0</v>
      </c>
      <c r="O6860" t="n">
        <v>0</v>
      </c>
      <c r="P6860" t="n">
        <v>0</v>
      </c>
      <c r="Q6860" t="n">
        <v>0</v>
      </c>
      <c r="R6860" t="n">
        <v>0</v>
      </c>
      <c r="S6860" t="n">
        <v>0</v>
      </c>
      <c r="T6860" t="n">
        <v>0</v>
      </c>
      <c r="U6860" t="n">
        <v>0</v>
      </c>
      <c r="V6860" s="2" t="inlineStr"/>
    </row>
    <row r="6861" ht="15" customHeight="1">
      <c r="A6861" t="inlineStr">
        <is>
          <t>A 19549-2026</t>
        </is>
      </c>
      <c r="B6861" t="inlineStr">
        <is>
          <t>avverkningsanmälan</t>
        </is>
      </c>
      <c r="C6861" t="inlineStr">
        <is>
          <t>Föryngringsavverkning</t>
        </is>
      </c>
      <c r="D6861" s="1" t="n">
        <v>46134</v>
      </c>
      <c r="E6861" s="1" t="n">
        <v>46319</v>
      </c>
      <c r="F6861" t="inlineStr">
        <is>
          <t>DALARNAS LÄN</t>
        </is>
      </c>
      <c r="G6861" t="inlineStr">
        <is>
          <t>MORA</t>
        </is>
      </c>
      <c r="I6861" t="n">
        <v>14.9</v>
      </c>
      <c r="J6861" t="n">
        <v>0</v>
      </c>
      <c r="K6861" t="n">
        <v>0</v>
      </c>
      <c r="L6861" t="n">
        <v>0</v>
      </c>
      <c r="M6861" t="n">
        <v>0</v>
      </c>
      <c r="N6861" t="n">
        <v>0</v>
      </c>
      <c r="O6861" t="n">
        <v>0</v>
      </c>
      <c r="P6861" t="n">
        <v>0</v>
      </c>
      <c r="Q6861" t="n">
        <v>0</v>
      </c>
      <c r="R6861" t="n">
        <v>0</v>
      </c>
      <c r="S6861" t="n">
        <v>0</v>
      </c>
      <c r="T6861" t="n">
        <v>0</v>
      </c>
      <c r="U6861" t="n">
        <v>0</v>
      </c>
      <c r="V6861" s="2" t="inlineStr"/>
    </row>
    <row r="6862" ht="15" customHeight="1">
      <c r="A6862" t="inlineStr">
        <is>
          <t>A 35836-2026</t>
        </is>
      </c>
      <c r="B6862" t="inlineStr">
        <is>
          <t>avverkningsanmälan</t>
        </is>
      </c>
      <c r="C6862" t="inlineStr">
        <is>
          <t>Föryngringsavverkning</t>
        </is>
      </c>
      <c r="D6862" s="1" t="n">
        <v>46265</v>
      </c>
      <c r="E6862" s="1" t="n">
        <v>46319</v>
      </c>
      <c r="F6862" t="inlineStr">
        <is>
          <t>DALARNAS LÄN</t>
        </is>
      </c>
      <c r="G6862" t="inlineStr">
        <is>
          <t>FALUN</t>
        </is>
      </c>
      <c r="I6862" t="n">
        <v>0.7</v>
      </c>
      <c r="J6862" t="n">
        <v>0</v>
      </c>
      <c r="K6862" t="n">
        <v>0</v>
      </c>
      <c r="L6862" t="n">
        <v>0</v>
      </c>
      <c r="M6862" t="n">
        <v>0</v>
      </c>
      <c r="N6862" t="n">
        <v>0</v>
      </c>
      <c r="O6862" t="n">
        <v>0</v>
      </c>
      <c r="P6862" t="n">
        <v>0</v>
      </c>
      <c r="Q6862" t="n">
        <v>0</v>
      </c>
      <c r="R6862" t="n">
        <v>0</v>
      </c>
      <c r="S6862" t="n">
        <v>0</v>
      </c>
      <c r="T6862" t="n">
        <v>0</v>
      </c>
      <c r="U6862" t="n">
        <v>0</v>
      </c>
      <c r="V6862" s="2" t="inlineStr"/>
    </row>
    <row r="6863" ht="15" customHeight="1">
      <c r="A6863" t="inlineStr">
        <is>
          <t>A 42538-2026</t>
        </is>
      </c>
      <c r="B6863" t="inlineStr">
        <is>
          <t>avverkningsanmälan</t>
        </is>
      </c>
      <c r="C6863" t="inlineStr">
        <is>
          <t>Föryngringsavverkning</t>
        </is>
      </c>
      <c r="D6863" s="1" t="n">
        <v>46308</v>
      </c>
      <c r="E6863" s="1" t="n">
        <v>46319</v>
      </c>
      <c r="F6863" t="inlineStr">
        <is>
          <t>DALARNAS LÄN</t>
        </is>
      </c>
      <c r="G6863" t="inlineStr">
        <is>
          <t>MALUNG-SÄLEN</t>
        </is>
      </c>
      <c r="I6863" t="n">
        <v>0.5</v>
      </c>
      <c r="J6863" t="n">
        <v>0</v>
      </c>
      <c r="K6863" t="n">
        <v>0</v>
      </c>
      <c r="L6863" t="n">
        <v>0</v>
      </c>
      <c r="M6863" t="n">
        <v>0</v>
      </c>
      <c r="N6863" t="n">
        <v>0</v>
      </c>
      <c r="O6863" t="n">
        <v>0</v>
      </c>
      <c r="P6863" t="n">
        <v>0</v>
      </c>
      <c r="Q6863" t="n">
        <v>0</v>
      </c>
      <c r="R6863" t="n">
        <v>0</v>
      </c>
      <c r="S6863" t="n">
        <v>0</v>
      </c>
      <c r="T6863" t="n">
        <v>0</v>
      </c>
      <c r="U6863" t="n">
        <v>0</v>
      </c>
      <c r="V6863" s="2" t="inlineStr"/>
    </row>
    <row r="6864" ht="15" customHeight="1">
      <c r="A6864" t="inlineStr">
        <is>
          <t>A 38658-2025</t>
        </is>
      </c>
      <c r="B6864" t="inlineStr">
        <is>
          <t>avverkningsanmälan</t>
        </is>
      </c>
      <c r="C6864" t="inlineStr">
        <is>
          <t>Föryngringsavverkning</t>
        </is>
      </c>
      <c r="D6864" s="1" t="n">
        <v>45884</v>
      </c>
      <c r="E6864" s="1" t="n">
        <v>46319</v>
      </c>
      <c r="F6864" t="inlineStr">
        <is>
          <t>DALARNAS LÄN</t>
        </is>
      </c>
      <c r="G6864" t="inlineStr">
        <is>
          <t>RÄTTVIK</t>
        </is>
      </c>
      <c r="H6864" t="inlineStr">
        <is>
          <t>Sveaskog</t>
        </is>
      </c>
      <c r="I6864" t="n">
        <v>2.9</v>
      </c>
      <c r="J6864" t="n">
        <v>0</v>
      </c>
      <c r="K6864" t="n">
        <v>0</v>
      </c>
      <c r="L6864" t="n">
        <v>0</v>
      </c>
      <c r="M6864" t="n">
        <v>0</v>
      </c>
      <c r="N6864" t="n">
        <v>0</v>
      </c>
      <c r="O6864" t="n">
        <v>0</v>
      </c>
      <c r="P6864" t="n">
        <v>0</v>
      </c>
      <c r="Q6864" t="n">
        <v>0</v>
      </c>
      <c r="R6864" t="n">
        <v>0</v>
      </c>
      <c r="S6864" t="n">
        <v>0</v>
      </c>
      <c r="T6864" t="n">
        <v>0</v>
      </c>
      <c r="U6864" t="n">
        <v>0</v>
      </c>
      <c r="V6864" s="2" t="inlineStr"/>
    </row>
    <row r="6865" ht="15" customHeight="1">
      <c r="A6865" t="inlineStr">
        <is>
          <t>A 24590-2024</t>
        </is>
      </c>
      <c r="B6865" t="inlineStr">
        <is>
          <t>avverkningsanmälan</t>
        </is>
      </c>
      <c r="C6865" t="inlineStr">
        <is>
          <t>Avverkning för annat ändamål</t>
        </is>
      </c>
      <c r="D6865" s="1" t="n">
        <v>45460</v>
      </c>
      <c r="E6865" s="1" t="n">
        <v>46319</v>
      </c>
      <c r="F6865" t="inlineStr">
        <is>
          <t>DALARNAS LÄN</t>
        </is>
      </c>
      <c r="G6865" t="inlineStr">
        <is>
          <t>MORA</t>
        </is>
      </c>
      <c r="I6865" t="n">
        <v>0.6</v>
      </c>
      <c r="J6865" t="n">
        <v>0</v>
      </c>
      <c r="K6865" t="n">
        <v>0</v>
      </c>
      <c r="L6865" t="n">
        <v>0</v>
      </c>
      <c r="M6865" t="n">
        <v>0</v>
      </c>
      <c r="N6865" t="n">
        <v>0</v>
      </c>
      <c r="O6865" t="n">
        <v>0</v>
      </c>
      <c r="P6865" t="n">
        <v>0</v>
      </c>
      <c r="Q6865" t="n">
        <v>0</v>
      </c>
      <c r="R6865" t="n">
        <v>0</v>
      </c>
      <c r="S6865" t="n">
        <v>0</v>
      </c>
      <c r="T6865" t="n">
        <v>0</v>
      </c>
      <c r="U6865" t="n">
        <v>0</v>
      </c>
      <c r="V6865" s="2" t="inlineStr"/>
    </row>
    <row r="6866" ht="15" customHeight="1">
      <c r="A6866" t="inlineStr">
        <is>
          <t>A 12224-2022</t>
        </is>
      </c>
      <c r="B6866" t="inlineStr">
        <is>
          <t>avverkningsanmälan</t>
        </is>
      </c>
      <c r="C6866" t="inlineStr">
        <is>
          <t>Föryngringsavverkning</t>
        </is>
      </c>
      <c r="D6866" s="1" t="n">
        <v>44637</v>
      </c>
      <c r="E6866" s="1" t="n">
        <v>46319</v>
      </c>
      <c r="F6866" t="inlineStr">
        <is>
          <t>DALARNAS LÄN</t>
        </is>
      </c>
      <c r="G6866" t="inlineStr">
        <is>
          <t>FALUN</t>
        </is>
      </c>
      <c r="I6866" t="n">
        <v>1.6</v>
      </c>
      <c r="J6866" t="n">
        <v>0</v>
      </c>
      <c r="K6866" t="n">
        <v>0</v>
      </c>
      <c r="L6866" t="n">
        <v>0</v>
      </c>
      <c r="M6866" t="n">
        <v>0</v>
      </c>
      <c r="N6866" t="n">
        <v>0</v>
      </c>
      <c r="O6866" t="n">
        <v>0</v>
      </c>
      <c r="P6866" t="n">
        <v>0</v>
      </c>
      <c r="Q6866" t="n">
        <v>0</v>
      </c>
      <c r="R6866" t="n">
        <v>0</v>
      </c>
      <c r="S6866" t="n">
        <v>0</v>
      </c>
      <c r="T6866" t="n">
        <v>0</v>
      </c>
      <c r="U6866" t="n">
        <v>0</v>
      </c>
      <c r="V6866" s="2" t="inlineStr"/>
    </row>
    <row r="6867" ht="15" customHeight="1">
      <c r="A6867" t="inlineStr">
        <is>
          <t>A 19564-2026</t>
        </is>
      </c>
      <c r="B6867" t="inlineStr">
        <is>
          <t>avverkningsanmälan</t>
        </is>
      </c>
      <c r="C6867" t="inlineStr">
        <is>
          <t>Föryngringsavverkning</t>
        </is>
      </c>
      <c r="D6867" s="1" t="n">
        <v>46134</v>
      </c>
      <c r="E6867" s="1" t="n">
        <v>46319</v>
      </c>
      <c r="F6867" t="inlineStr">
        <is>
          <t>DALARNAS LÄN</t>
        </is>
      </c>
      <c r="G6867" t="inlineStr">
        <is>
          <t>HEDEMORA</t>
        </is>
      </c>
      <c r="H6867" t="inlineStr">
        <is>
          <t>Sveaskog</t>
        </is>
      </c>
      <c r="I6867" t="n">
        <v>7.7</v>
      </c>
      <c r="J6867" t="n">
        <v>0</v>
      </c>
      <c r="K6867" t="n">
        <v>0</v>
      </c>
      <c r="L6867" t="n">
        <v>0</v>
      </c>
      <c r="M6867" t="n">
        <v>0</v>
      </c>
      <c r="N6867" t="n">
        <v>0</v>
      </c>
      <c r="O6867" t="n">
        <v>0</v>
      </c>
      <c r="P6867" t="n">
        <v>0</v>
      </c>
      <c r="Q6867" t="n">
        <v>0</v>
      </c>
      <c r="R6867" t="n">
        <v>0</v>
      </c>
      <c r="S6867" t="n">
        <v>0</v>
      </c>
      <c r="T6867" t="n">
        <v>0</v>
      </c>
      <c r="U6867" t="n">
        <v>0</v>
      </c>
      <c r="V6867" s="2" t="inlineStr"/>
    </row>
    <row r="6868" ht="15" customHeight="1">
      <c r="A6868" t="inlineStr">
        <is>
          <t>A 19422-2026</t>
        </is>
      </c>
      <c r="B6868" t="inlineStr">
        <is>
          <t>avverkningsanmälan</t>
        </is>
      </c>
      <c r="C6868" t="inlineStr">
        <is>
          <t>Föryngringsavverkning</t>
        </is>
      </c>
      <c r="D6868" s="1" t="n">
        <v>46133</v>
      </c>
      <c r="E6868" s="1" t="n">
        <v>46319</v>
      </c>
      <c r="F6868" t="inlineStr">
        <is>
          <t>DALARNAS LÄN</t>
        </is>
      </c>
      <c r="G6868" t="inlineStr">
        <is>
          <t>FALUN</t>
        </is>
      </c>
      <c r="H6868" t="inlineStr">
        <is>
          <t>Bergvik skog väst AB</t>
        </is>
      </c>
      <c r="I6868" t="n">
        <v>7.5</v>
      </c>
      <c r="J6868" t="n">
        <v>0</v>
      </c>
      <c r="K6868" t="n">
        <v>0</v>
      </c>
      <c r="L6868" t="n">
        <v>0</v>
      </c>
      <c r="M6868" t="n">
        <v>0</v>
      </c>
      <c r="N6868" t="n">
        <v>0</v>
      </c>
      <c r="O6868" t="n">
        <v>0</v>
      </c>
      <c r="P6868" t="n">
        <v>0</v>
      </c>
      <c r="Q6868" t="n">
        <v>0</v>
      </c>
      <c r="R6868" t="n">
        <v>0</v>
      </c>
      <c r="S6868" t="n">
        <v>0</v>
      </c>
      <c r="T6868" t="n">
        <v>0</v>
      </c>
      <c r="U6868" t="n">
        <v>0</v>
      </c>
      <c r="V6868" s="2" t="inlineStr"/>
    </row>
    <row r="6869" ht="15" customHeight="1">
      <c r="A6869" t="inlineStr">
        <is>
          <t>A 19266-2026</t>
        </is>
      </c>
      <c r="B6869" t="inlineStr">
        <is>
          <t>avverkningsanmälan</t>
        </is>
      </c>
      <c r="C6869" t="inlineStr">
        <is>
          <t>Föryngringsavverkning</t>
        </is>
      </c>
      <c r="D6869" s="1" t="n">
        <v>46133</v>
      </c>
      <c r="E6869" s="1" t="n">
        <v>46319</v>
      </c>
      <c r="F6869" t="inlineStr">
        <is>
          <t>DALARNAS LÄN</t>
        </is>
      </c>
      <c r="G6869" t="inlineStr">
        <is>
          <t>FALUN</t>
        </is>
      </c>
      <c r="H6869" t="inlineStr">
        <is>
          <t>Bergvik skog väst AB</t>
        </is>
      </c>
      <c r="I6869" t="n">
        <v>13.6</v>
      </c>
      <c r="J6869" t="n">
        <v>0</v>
      </c>
      <c r="K6869" t="n">
        <v>0</v>
      </c>
      <c r="L6869" t="n">
        <v>0</v>
      </c>
      <c r="M6869" t="n">
        <v>0</v>
      </c>
      <c r="N6869" t="n">
        <v>0</v>
      </c>
      <c r="O6869" t="n">
        <v>0</v>
      </c>
      <c r="P6869" t="n">
        <v>0</v>
      </c>
      <c r="Q6869" t="n">
        <v>0</v>
      </c>
      <c r="R6869" t="n">
        <v>0</v>
      </c>
      <c r="S6869" t="n">
        <v>0</v>
      </c>
      <c r="T6869" t="n">
        <v>0</v>
      </c>
      <c r="U6869" t="n">
        <v>0</v>
      </c>
      <c r="V6869" s="2" t="inlineStr"/>
    </row>
    <row r="6870" ht="15" customHeight="1">
      <c r="A6870" t="inlineStr">
        <is>
          <t>A 19281-2026</t>
        </is>
      </c>
      <c r="B6870" t="inlineStr">
        <is>
          <t>avverkningsanmälan</t>
        </is>
      </c>
      <c r="C6870" t="inlineStr">
        <is>
          <t>Föryngringsavverkning</t>
        </is>
      </c>
      <c r="D6870" s="1" t="n">
        <v>46133</v>
      </c>
      <c r="E6870" s="1" t="n">
        <v>46319</v>
      </c>
      <c r="F6870" t="inlineStr">
        <is>
          <t>DALARNAS LÄN</t>
        </is>
      </c>
      <c r="G6870" t="inlineStr">
        <is>
          <t>FALUN</t>
        </is>
      </c>
      <c r="H6870" t="inlineStr">
        <is>
          <t>Bergvik skog väst AB</t>
        </is>
      </c>
      <c r="I6870" t="n">
        <v>18.3</v>
      </c>
      <c r="J6870" t="n">
        <v>0</v>
      </c>
      <c r="K6870" t="n">
        <v>0</v>
      </c>
      <c r="L6870" t="n">
        <v>0</v>
      </c>
      <c r="M6870" t="n">
        <v>0</v>
      </c>
      <c r="N6870" t="n">
        <v>0</v>
      </c>
      <c r="O6870" t="n">
        <v>0</v>
      </c>
      <c r="P6870" t="n">
        <v>0</v>
      </c>
      <c r="Q6870" t="n">
        <v>0</v>
      </c>
      <c r="R6870" t="n">
        <v>0</v>
      </c>
      <c r="S6870" t="n">
        <v>0</v>
      </c>
      <c r="T6870" t="n">
        <v>0</v>
      </c>
      <c r="U6870" t="n">
        <v>0</v>
      </c>
      <c r="V6870" s="2" t="inlineStr"/>
    </row>
    <row r="6871" ht="15" customHeight="1">
      <c r="A6871" t="inlineStr">
        <is>
          <t>A 19305-2026</t>
        </is>
      </c>
      <c r="B6871" t="inlineStr">
        <is>
          <t>avverkningsanmälan</t>
        </is>
      </c>
      <c r="C6871" t="inlineStr">
        <is>
          <t>Föryngringsavverkning</t>
        </is>
      </c>
      <c r="D6871" s="1" t="n">
        <v>46133</v>
      </c>
      <c r="E6871" s="1" t="n">
        <v>46319</v>
      </c>
      <c r="F6871" t="inlineStr">
        <is>
          <t>DALARNAS LÄN</t>
        </is>
      </c>
      <c r="G6871" t="inlineStr">
        <is>
          <t>LEKSAND</t>
        </is>
      </c>
      <c r="I6871" t="n">
        <v>2.1</v>
      </c>
      <c r="J6871" t="n">
        <v>0</v>
      </c>
      <c r="K6871" t="n">
        <v>0</v>
      </c>
      <c r="L6871" t="n">
        <v>0</v>
      </c>
      <c r="M6871" t="n">
        <v>0</v>
      </c>
      <c r="N6871" t="n">
        <v>0</v>
      </c>
      <c r="O6871" t="n">
        <v>0</v>
      </c>
      <c r="P6871" t="n">
        <v>0</v>
      </c>
      <c r="Q6871" t="n">
        <v>0</v>
      </c>
      <c r="R6871" t="n">
        <v>0</v>
      </c>
      <c r="S6871" t="n">
        <v>0</v>
      </c>
      <c r="T6871" t="n">
        <v>0</v>
      </c>
      <c r="U6871" t="n">
        <v>0</v>
      </c>
      <c r="V6871" s="2" t="inlineStr"/>
    </row>
    <row r="6872" ht="15" customHeight="1">
      <c r="A6872" t="inlineStr">
        <is>
          <t>A 19320-2026</t>
        </is>
      </c>
      <c r="B6872" t="inlineStr">
        <is>
          <t>avverkningsanmälan</t>
        </is>
      </c>
      <c r="C6872" t="inlineStr">
        <is>
          <t>Föryngringsavverkning</t>
        </is>
      </c>
      <c r="D6872" s="1" t="n">
        <v>46133</v>
      </c>
      <c r="E6872" s="1" t="n">
        <v>46319</v>
      </c>
      <c r="F6872" t="inlineStr">
        <is>
          <t>DALARNAS LÄN</t>
        </is>
      </c>
      <c r="G6872" t="inlineStr">
        <is>
          <t>AVESTA</t>
        </is>
      </c>
      <c r="I6872" t="n">
        <v>1.3</v>
      </c>
      <c r="J6872" t="n">
        <v>0</v>
      </c>
      <c r="K6872" t="n">
        <v>0</v>
      </c>
      <c r="L6872" t="n">
        <v>0</v>
      </c>
      <c r="M6872" t="n">
        <v>0</v>
      </c>
      <c r="N6872" t="n">
        <v>0</v>
      </c>
      <c r="O6872" t="n">
        <v>0</v>
      </c>
      <c r="P6872" t="n">
        <v>0</v>
      </c>
      <c r="Q6872" t="n">
        <v>0</v>
      </c>
      <c r="R6872" t="n">
        <v>0</v>
      </c>
      <c r="S6872" t="n">
        <v>0</v>
      </c>
      <c r="T6872" t="n">
        <v>0</v>
      </c>
      <c r="U6872" t="n">
        <v>0</v>
      </c>
      <c r="V6872" s="2" t="inlineStr"/>
    </row>
    <row r="6873" ht="15" customHeight="1">
      <c r="A6873" t="inlineStr">
        <is>
          <t>A 19262-2026</t>
        </is>
      </c>
      <c r="B6873" t="inlineStr">
        <is>
          <t>avverkningsanmälan</t>
        </is>
      </c>
      <c r="C6873" t="inlineStr">
        <is>
          <t>Avverkning för annat ändamål</t>
        </is>
      </c>
      <c r="D6873" s="1" t="n">
        <v>46132</v>
      </c>
      <c r="E6873" s="1" t="n">
        <v>46319</v>
      </c>
      <c r="F6873" t="inlineStr">
        <is>
          <t>DALARNAS LÄN</t>
        </is>
      </c>
      <c r="G6873" t="inlineStr">
        <is>
          <t>HEDEMORA</t>
        </is>
      </c>
      <c r="H6873" t="inlineStr">
        <is>
          <t>Sveaskog</t>
        </is>
      </c>
      <c r="I6873" t="n">
        <v>0.9</v>
      </c>
      <c r="J6873" t="n">
        <v>0</v>
      </c>
      <c r="K6873" t="n">
        <v>0</v>
      </c>
      <c r="L6873" t="n">
        <v>0</v>
      </c>
      <c r="M6873" t="n">
        <v>0</v>
      </c>
      <c r="N6873" t="n">
        <v>0</v>
      </c>
      <c r="O6873" t="n">
        <v>0</v>
      </c>
      <c r="P6873" t="n">
        <v>0</v>
      </c>
      <c r="Q6873" t="n">
        <v>0</v>
      </c>
      <c r="R6873" t="n">
        <v>0</v>
      </c>
      <c r="S6873" t="n">
        <v>0</v>
      </c>
      <c r="T6873" t="n">
        <v>0</v>
      </c>
      <c r="U6873" t="n">
        <v>0</v>
      </c>
      <c r="V6873" s="2" t="inlineStr"/>
    </row>
    <row r="6874" ht="15" customHeight="1">
      <c r="A6874" t="inlineStr">
        <is>
          <t>A 35656-2026</t>
        </is>
      </c>
      <c r="B6874" t="inlineStr">
        <is>
          <t>avverkningsanmälan</t>
        </is>
      </c>
      <c r="C6874" t="inlineStr">
        <is>
          <t>Föryngringsavverkning</t>
        </is>
      </c>
      <c r="D6874" s="1" t="n">
        <v>46265</v>
      </c>
      <c r="E6874" s="1" t="n">
        <v>46319</v>
      </c>
      <c r="F6874" t="inlineStr">
        <is>
          <t>DALARNAS LÄN</t>
        </is>
      </c>
      <c r="G6874" t="inlineStr">
        <is>
          <t>BORLÄNGE</t>
        </is>
      </c>
      <c r="I6874" t="n">
        <v>1</v>
      </c>
      <c r="J6874" t="n">
        <v>0</v>
      </c>
      <c r="K6874" t="n">
        <v>0</v>
      </c>
      <c r="L6874" t="n">
        <v>0</v>
      </c>
      <c r="M6874" t="n">
        <v>0</v>
      </c>
      <c r="N6874" t="n">
        <v>0</v>
      </c>
      <c r="O6874" t="n">
        <v>0</v>
      </c>
      <c r="P6874" t="n">
        <v>0</v>
      </c>
      <c r="Q6874" t="n">
        <v>0</v>
      </c>
      <c r="R6874" t="n">
        <v>0</v>
      </c>
      <c r="S6874" t="n">
        <v>0</v>
      </c>
      <c r="T6874" t="n">
        <v>0</v>
      </c>
      <c r="U6874" t="n">
        <v>0</v>
      </c>
      <c r="V6874" s="2" t="inlineStr"/>
    </row>
    <row r="6875" ht="15" customHeight="1">
      <c r="A6875" t="inlineStr">
        <is>
          <t>A 30515-2026</t>
        </is>
      </c>
      <c r="B6875" t="inlineStr">
        <is>
          <t>avverkningsanmälan</t>
        </is>
      </c>
      <c r="C6875" t="inlineStr">
        <is>
          <t>Föryngringsavverkning</t>
        </is>
      </c>
      <c r="D6875" s="1" t="n">
        <v>46204</v>
      </c>
      <c r="E6875" s="1" t="n">
        <v>46319</v>
      </c>
      <c r="F6875" t="inlineStr">
        <is>
          <t>DALARNAS LÄN</t>
        </is>
      </c>
      <c r="G6875" t="inlineStr">
        <is>
          <t>SÄTER</t>
        </is>
      </c>
      <c r="I6875" t="n">
        <v>5</v>
      </c>
      <c r="J6875" t="n">
        <v>0</v>
      </c>
      <c r="K6875" t="n">
        <v>0</v>
      </c>
      <c r="L6875" t="n">
        <v>0</v>
      </c>
      <c r="M6875" t="n">
        <v>0</v>
      </c>
      <c r="N6875" t="n">
        <v>0</v>
      </c>
      <c r="O6875" t="n">
        <v>0</v>
      </c>
      <c r="P6875" t="n">
        <v>0</v>
      </c>
      <c r="Q6875" t="n">
        <v>0</v>
      </c>
      <c r="R6875" t="n">
        <v>0</v>
      </c>
      <c r="S6875" t="n">
        <v>0</v>
      </c>
      <c r="T6875" t="n">
        <v>0</v>
      </c>
      <c r="U6875" t="n">
        <v>0</v>
      </c>
      <c r="V6875" s="2" t="inlineStr"/>
    </row>
    <row r="6876" ht="15" customHeight="1">
      <c r="A6876" t="inlineStr">
        <is>
          <t>A 56615-2025</t>
        </is>
      </c>
      <c r="B6876" t="inlineStr">
        <is>
          <t>avverkningsanmälan</t>
        </is>
      </c>
      <c r="C6876" t="inlineStr">
        <is>
          <t>Avverkning för att bevara och utveckla /försöksver</t>
        </is>
      </c>
      <c r="D6876" s="1" t="n">
        <v>45975</v>
      </c>
      <c r="E6876" s="1" t="n">
        <v>46319</v>
      </c>
      <c r="F6876" t="inlineStr">
        <is>
          <t>DALARNAS LÄN</t>
        </is>
      </c>
      <c r="G6876" t="inlineStr">
        <is>
          <t>LUDVIKA</t>
        </is>
      </c>
      <c r="H6876" t="inlineStr">
        <is>
          <t>Bergvik skog väst AB</t>
        </is>
      </c>
      <c r="I6876" t="n">
        <v>1.7</v>
      </c>
      <c r="J6876" t="n">
        <v>0</v>
      </c>
      <c r="K6876" t="n">
        <v>0</v>
      </c>
      <c r="L6876" t="n">
        <v>0</v>
      </c>
      <c r="M6876" t="n">
        <v>0</v>
      </c>
      <c r="N6876" t="n">
        <v>0</v>
      </c>
      <c r="O6876" t="n">
        <v>0</v>
      </c>
      <c r="P6876" t="n">
        <v>0</v>
      </c>
      <c r="Q6876" t="n">
        <v>0</v>
      </c>
      <c r="R6876" t="n">
        <v>0</v>
      </c>
      <c r="S6876" t="n">
        <v>0</v>
      </c>
      <c r="T6876" t="n">
        <v>0</v>
      </c>
      <c r="U6876" t="n">
        <v>0</v>
      </c>
      <c r="V6876" s="2" t="inlineStr"/>
    </row>
    <row r="6877" ht="15" customHeight="1">
      <c r="A6877" t="inlineStr">
        <is>
          <t>A 61575-2024</t>
        </is>
      </c>
      <c r="B6877" t="inlineStr">
        <is>
          <t>avverkningsanmälan</t>
        </is>
      </c>
      <c r="C6877" t="inlineStr">
        <is>
          <t>Föryngringsavverkning</t>
        </is>
      </c>
      <c r="D6877" s="1" t="n">
        <v>45646</v>
      </c>
      <c r="E6877" s="1" t="n">
        <v>46319</v>
      </c>
      <c r="F6877" t="inlineStr">
        <is>
          <t>DALARNAS LÄN</t>
        </is>
      </c>
      <c r="G6877" t="inlineStr">
        <is>
          <t>ÄLVDALEN</t>
        </is>
      </c>
      <c r="I6877" t="n">
        <v>0.6</v>
      </c>
      <c r="J6877" t="n">
        <v>0</v>
      </c>
      <c r="K6877" t="n">
        <v>0</v>
      </c>
      <c r="L6877" t="n">
        <v>0</v>
      </c>
      <c r="M6877" t="n">
        <v>0</v>
      </c>
      <c r="N6877" t="n">
        <v>0</v>
      </c>
      <c r="O6877" t="n">
        <v>0</v>
      </c>
      <c r="P6877" t="n">
        <v>0</v>
      </c>
      <c r="Q6877" t="n">
        <v>0</v>
      </c>
      <c r="R6877" t="n">
        <v>0</v>
      </c>
      <c r="S6877" t="n">
        <v>0</v>
      </c>
      <c r="T6877" t="n">
        <v>0</v>
      </c>
      <c r="U6877" t="n">
        <v>0</v>
      </c>
      <c r="V6877" s="2" t="inlineStr"/>
    </row>
    <row r="6878" ht="15" customHeight="1">
      <c r="A6878" t="inlineStr">
        <is>
          <t>A 61656-2024</t>
        </is>
      </c>
      <c r="B6878" t="inlineStr">
        <is>
          <t>avverkningsanmälan</t>
        </is>
      </c>
      <c r="C6878" t="inlineStr">
        <is>
          <t>Föryngringsavverkning</t>
        </is>
      </c>
      <c r="D6878" s="1" t="n">
        <v>45646</v>
      </c>
      <c r="E6878" s="1" t="n">
        <v>46319</v>
      </c>
      <c r="F6878" t="inlineStr">
        <is>
          <t>DALARNAS LÄN</t>
        </is>
      </c>
      <c r="G6878" t="inlineStr">
        <is>
          <t>RÄTTVIK</t>
        </is>
      </c>
      <c r="I6878" t="n">
        <v>2.3</v>
      </c>
      <c r="J6878" t="n">
        <v>0</v>
      </c>
      <c r="K6878" t="n">
        <v>0</v>
      </c>
      <c r="L6878" t="n">
        <v>0</v>
      </c>
      <c r="M6878" t="n">
        <v>0</v>
      </c>
      <c r="N6878" t="n">
        <v>0</v>
      </c>
      <c r="O6878" t="n">
        <v>0</v>
      </c>
      <c r="P6878" t="n">
        <v>0</v>
      </c>
      <c r="Q6878" t="n">
        <v>0</v>
      </c>
      <c r="R6878" t="n">
        <v>0</v>
      </c>
      <c r="S6878" t="n">
        <v>0</v>
      </c>
      <c r="T6878" t="n">
        <v>0</v>
      </c>
      <c r="U6878" t="n">
        <v>0</v>
      </c>
      <c r="V6878" s="2" t="inlineStr"/>
    </row>
    <row r="6879" ht="15" customHeight="1">
      <c r="A6879" t="inlineStr">
        <is>
          <t>A 39291-2024</t>
        </is>
      </c>
      <c r="B6879" t="inlineStr">
        <is>
          <t>avverkningsanmälan</t>
        </is>
      </c>
      <c r="C6879" t="inlineStr">
        <is>
          <t>Föryngringsavverkning</t>
        </is>
      </c>
      <c r="D6879" s="1" t="n">
        <v>45551</v>
      </c>
      <c r="E6879" s="1" t="n">
        <v>46319</v>
      </c>
      <c r="F6879" t="inlineStr">
        <is>
          <t>DALARNAS LÄN</t>
        </is>
      </c>
      <c r="G6879" t="inlineStr">
        <is>
          <t>RÄTTVIK</t>
        </is>
      </c>
      <c r="I6879" t="n">
        <v>4</v>
      </c>
      <c r="J6879" t="n">
        <v>0</v>
      </c>
      <c r="K6879" t="n">
        <v>0</v>
      </c>
      <c r="L6879" t="n">
        <v>0</v>
      </c>
      <c r="M6879" t="n">
        <v>0</v>
      </c>
      <c r="N6879" t="n">
        <v>0</v>
      </c>
      <c r="O6879" t="n">
        <v>0</v>
      </c>
      <c r="P6879" t="n">
        <v>0</v>
      </c>
      <c r="Q6879" t="n">
        <v>0</v>
      </c>
      <c r="R6879" t="n">
        <v>0</v>
      </c>
      <c r="S6879" t="n">
        <v>0</v>
      </c>
      <c r="T6879" t="n">
        <v>0</v>
      </c>
      <c r="U6879" t="n">
        <v>0</v>
      </c>
      <c r="V6879" s="2" t="inlineStr"/>
    </row>
    <row r="6880" ht="15" customHeight="1">
      <c r="A6880" t="inlineStr">
        <is>
          <t>A 35780-2024</t>
        </is>
      </c>
      <c r="B6880" t="inlineStr">
        <is>
          <t>avverkningsanmälan</t>
        </is>
      </c>
      <c r="C6880" t="inlineStr">
        <is>
          <t>Föryngringsavverkning</t>
        </is>
      </c>
      <c r="D6880" s="1" t="n">
        <v>45532</v>
      </c>
      <c r="E6880" s="1" t="n">
        <v>46319</v>
      </c>
      <c r="F6880" t="inlineStr">
        <is>
          <t>DALARNAS LÄN</t>
        </is>
      </c>
      <c r="G6880" t="inlineStr">
        <is>
          <t>VANSBRO</t>
        </is>
      </c>
      <c r="I6880" t="n">
        <v>2.3</v>
      </c>
      <c r="J6880" t="n">
        <v>0</v>
      </c>
      <c r="K6880" t="n">
        <v>0</v>
      </c>
      <c r="L6880" t="n">
        <v>0</v>
      </c>
      <c r="M6880" t="n">
        <v>0</v>
      </c>
      <c r="N6880" t="n">
        <v>0</v>
      </c>
      <c r="O6880" t="n">
        <v>0</v>
      </c>
      <c r="P6880" t="n">
        <v>0</v>
      </c>
      <c r="Q6880" t="n">
        <v>0</v>
      </c>
      <c r="R6880" t="n">
        <v>0</v>
      </c>
      <c r="S6880" t="n">
        <v>0</v>
      </c>
      <c r="T6880" t="n">
        <v>0</v>
      </c>
      <c r="U6880" t="n">
        <v>0</v>
      </c>
      <c r="V6880" s="2" t="inlineStr"/>
    </row>
    <row r="6881" ht="15" customHeight="1">
      <c r="A6881" t="inlineStr">
        <is>
          <t>A 19670-2026</t>
        </is>
      </c>
      <c r="B6881" t="inlineStr">
        <is>
          <t>avverkningsanmälan</t>
        </is>
      </c>
      <c r="C6881" t="inlineStr">
        <is>
          <t>Föryngringsavverkning</t>
        </is>
      </c>
      <c r="D6881" s="1" t="n">
        <v>46134</v>
      </c>
      <c r="E6881" s="1" t="n">
        <v>46319</v>
      </c>
      <c r="F6881" t="inlineStr">
        <is>
          <t>DALARNAS LÄN</t>
        </is>
      </c>
      <c r="G6881" t="inlineStr">
        <is>
          <t>HEDEMORA</t>
        </is>
      </c>
      <c r="I6881" t="n">
        <v>2.8</v>
      </c>
      <c r="J6881" t="n">
        <v>0</v>
      </c>
      <c r="K6881" t="n">
        <v>0</v>
      </c>
      <c r="L6881" t="n">
        <v>0</v>
      </c>
      <c r="M6881" t="n">
        <v>0</v>
      </c>
      <c r="N6881" t="n">
        <v>0</v>
      </c>
      <c r="O6881" t="n">
        <v>0</v>
      </c>
      <c r="P6881" t="n">
        <v>0</v>
      </c>
      <c r="Q6881" t="n">
        <v>0</v>
      </c>
      <c r="R6881" t="n">
        <v>0</v>
      </c>
      <c r="S6881" t="n">
        <v>0</v>
      </c>
      <c r="T6881" t="n">
        <v>0</v>
      </c>
      <c r="U6881" t="n">
        <v>0</v>
      </c>
      <c r="V6881" s="2" t="inlineStr"/>
    </row>
    <row r="6882" ht="15" customHeight="1">
      <c r="A6882" t="inlineStr">
        <is>
          <t>A 15293-2026</t>
        </is>
      </c>
      <c r="B6882" t="inlineStr">
        <is>
          <t>avverkningsanmälan</t>
        </is>
      </c>
      <c r="C6882" t="inlineStr">
        <is>
          <t>Föryngringsavverkning</t>
        </is>
      </c>
      <c r="D6882" s="1" t="n">
        <v>46105</v>
      </c>
      <c r="E6882" s="1" t="n">
        <v>46319</v>
      </c>
      <c r="F6882" t="inlineStr">
        <is>
          <t>DALARNAS LÄN</t>
        </is>
      </c>
      <c r="G6882" t="inlineStr">
        <is>
          <t>FALUN</t>
        </is>
      </c>
      <c r="H6882" t="inlineStr">
        <is>
          <t>Bergvik skog väst AB</t>
        </is>
      </c>
      <c r="I6882" t="n">
        <v>11.2</v>
      </c>
      <c r="J6882" t="n">
        <v>0</v>
      </c>
      <c r="K6882" t="n">
        <v>0</v>
      </c>
      <c r="L6882" t="n">
        <v>0</v>
      </c>
      <c r="M6882" t="n">
        <v>0</v>
      </c>
      <c r="N6882" t="n">
        <v>0</v>
      </c>
      <c r="O6882" t="n">
        <v>0</v>
      </c>
      <c r="P6882" t="n">
        <v>0</v>
      </c>
      <c r="Q6882" t="n">
        <v>0</v>
      </c>
      <c r="R6882" t="n">
        <v>0</v>
      </c>
      <c r="S6882" t="n">
        <v>0</v>
      </c>
      <c r="T6882" t="n">
        <v>0</v>
      </c>
      <c r="U6882" t="n">
        <v>0</v>
      </c>
      <c r="V6882" s="2" t="inlineStr"/>
    </row>
    <row r="6883" ht="15" customHeight="1">
      <c r="A6883" t="inlineStr">
        <is>
          <t>A 54285-2025</t>
        </is>
      </c>
      <c r="B6883" t="inlineStr">
        <is>
          <t>avverkningsanmälan</t>
        </is>
      </c>
      <c r="C6883" t="inlineStr">
        <is>
          <t>Föryngringsavverkning</t>
        </is>
      </c>
      <c r="D6883" s="1" t="n">
        <v>45964</v>
      </c>
      <c r="E6883" s="1" t="n">
        <v>46319</v>
      </c>
      <c r="F6883" t="inlineStr">
        <is>
          <t>DALARNAS LÄN</t>
        </is>
      </c>
      <c r="G6883" t="inlineStr">
        <is>
          <t>GAGNEF</t>
        </is>
      </c>
      <c r="I6883" t="n">
        <v>1.5</v>
      </c>
      <c r="J6883" t="n">
        <v>0</v>
      </c>
      <c r="K6883" t="n">
        <v>0</v>
      </c>
      <c r="L6883" t="n">
        <v>0</v>
      </c>
      <c r="M6883" t="n">
        <v>0</v>
      </c>
      <c r="N6883" t="n">
        <v>0</v>
      </c>
      <c r="O6883" t="n">
        <v>0</v>
      </c>
      <c r="P6883" t="n">
        <v>0</v>
      </c>
      <c r="Q6883" t="n">
        <v>0</v>
      </c>
      <c r="R6883" t="n">
        <v>0</v>
      </c>
      <c r="S6883" t="n">
        <v>0</v>
      </c>
      <c r="T6883" t="n">
        <v>0</v>
      </c>
      <c r="U6883" t="n">
        <v>0</v>
      </c>
      <c r="V6883" s="2" t="inlineStr"/>
    </row>
    <row r="6884" ht="15" customHeight="1">
      <c r="A6884" t="inlineStr">
        <is>
          <t>A 11554-2026</t>
        </is>
      </c>
      <c r="B6884" t="inlineStr">
        <is>
          <t>avverkningsanmälan</t>
        </is>
      </c>
      <c r="C6884" t="inlineStr">
        <is>
          <t>Föryngringsavverkning</t>
        </is>
      </c>
      <c r="D6884" s="1" t="n">
        <v>46084</v>
      </c>
      <c r="E6884" s="1" t="n">
        <v>46319</v>
      </c>
      <c r="F6884" t="inlineStr">
        <is>
          <t>DALARNAS LÄN</t>
        </is>
      </c>
      <c r="G6884" t="inlineStr">
        <is>
          <t>FALUN</t>
        </is>
      </c>
      <c r="I6884" t="n">
        <v>2.6</v>
      </c>
      <c r="J6884" t="n">
        <v>0</v>
      </c>
      <c r="K6884" t="n">
        <v>0</v>
      </c>
      <c r="L6884" t="n">
        <v>0</v>
      </c>
      <c r="M6884" t="n">
        <v>0</v>
      </c>
      <c r="N6884" t="n">
        <v>0</v>
      </c>
      <c r="O6884" t="n">
        <v>0</v>
      </c>
      <c r="P6884" t="n">
        <v>0</v>
      </c>
      <c r="Q6884" t="n">
        <v>0</v>
      </c>
      <c r="R6884" t="n">
        <v>0</v>
      </c>
      <c r="S6884" t="n">
        <v>0</v>
      </c>
      <c r="T6884" t="n">
        <v>0</v>
      </c>
      <c r="U6884" t="n">
        <v>0</v>
      </c>
      <c r="V6884" s="2" t="inlineStr"/>
    </row>
    <row r="6885" ht="15" customHeight="1">
      <c r="A6885" t="inlineStr">
        <is>
          <t>A 49669-2024</t>
        </is>
      </c>
      <c r="B6885" t="inlineStr">
        <is>
          <t>avverkningsanmälan</t>
        </is>
      </c>
      <c r="C6885" t="inlineStr">
        <is>
          <t>Föryngringsavverkning</t>
        </is>
      </c>
      <c r="D6885" s="1" t="n">
        <v>45596</v>
      </c>
      <c r="E6885" s="1" t="n">
        <v>46319</v>
      </c>
      <c r="F6885" t="inlineStr">
        <is>
          <t>DALARNAS LÄN</t>
        </is>
      </c>
      <c r="G6885" t="inlineStr">
        <is>
          <t>LUDVIKA</t>
        </is>
      </c>
      <c r="H6885" t="inlineStr">
        <is>
          <t>Bergvik skog väst AB</t>
        </is>
      </c>
      <c r="I6885" t="n">
        <v>2.9</v>
      </c>
      <c r="J6885" t="n">
        <v>0</v>
      </c>
      <c r="K6885" t="n">
        <v>0</v>
      </c>
      <c r="L6885" t="n">
        <v>0</v>
      </c>
      <c r="M6885" t="n">
        <v>0</v>
      </c>
      <c r="N6885" t="n">
        <v>0</v>
      </c>
      <c r="O6885" t="n">
        <v>0</v>
      </c>
      <c r="P6885" t="n">
        <v>0</v>
      </c>
      <c r="Q6885" t="n">
        <v>0</v>
      </c>
      <c r="R6885" t="n">
        <v>0</v>
      </c>
      <c r="S6885" t="n">
        <v>0</v>
      </c>
      <c r="T6885" t="n">
        <v>0</v>
      </c>
      <c r="U6885" t="n">
        <v>0</v>
      </c>
      <c r="V6885" s="2" t="inlineStr"/>
    </row>
    <row r="6886" ht="15" customHeight="1">
      <c r="A6886" t="inlineStr">
        <is>
          <t>A 46384-2024</t>
        </is>
      </c>
      <c r="B6886" t="inlineStr">
        <is>
          <t>avverkningsanmälan</t>
        </is>
      </c>
      <c r="C6886" t="inlineStr">
        <is>
          <t>Föryngringsavverkning</t>
        </is>
      </c>
      <c r="D6886" s="1" t="n">
        <v>45582</v>
      </c>
      <c r="E6886" s="1" t="n">
        <v>46319</v>
      </c>
      <c r="F6886" t="inlineStr">
        <is>
          <t>DALARNAS LÄN</t>
        </is>
      </c>
      <c r="G6886" t="inlineStr">
        <is>
          <t>RÄTTVIK</t>
        </is>
      </c>
      <c r="I6886" t="n">
        <v>0.9</v>
      </c>
      <c r="J6886" t="n">
        <v>0</v>
      </c>
      <c r="K6886" t="n">
        <v>0</v>
      </c>
      <c r="L6886" t="n">
        <v>0</v>
      </c>
      <c r="M6886" t="n">
        <v>0</v>
      </c>
      <c r="N6886" t="n">
        <v>0</v>
      </c>
      <c r="O6886" t="n">
        <v>0</v>
      </c>
      <c r="P6886" t="n">
        <v>0</v>
      </c>
      <c r="Q6886" t="n">
        <v>0</v>
      </c>
      <c r="R6886" t="n">
        <v>0</v>
      </c>
      <c r="S6886" t="n">
        <v>0</v>
      </c>
      <c r="T6886" t="n">
        <v>0</v>
      </c>
      <c r="U6886" t="n">
        <v>0</v>
      </c>
      <c r="V6886" s="2" t="inlineStr"/>
    </row>
    <row r="6887" ht="15" customHeight="1">
      <c r="A6887" t="inlineStr">
        <is>
          <t>A 15552-2026</t>
        </is>
      </c>
      <c r="B6887" t="inlineStr">
        <is>
          <t>avverkningsanmälan</t>
        </is>
      </c>
      <c r="C6887" t="inlineStr">
        <is>
          <t>Föryngringsavverkning</t>
        </is>
      </c>
      <c r="D6887" s="1" t="n">
        <v>46106</v>
      </c>
      <c r="E6887" s="1" t="n">
        <v>46319</v>
      </c>
      <c r="F6887" t="inlineStr">
        <is>
          <t>DALARNAS LÄN</t>
        </is>
      </c>
      <c r="G6887" t="inlineStr">
        <is>
          <t>MORA</t>
        </is>
      </c>
      <c r="I6887" t="n">
        <v>2.1</v>
      </c>
      <c r="J6887" t="n">
        <v>0</v>
      </c>
      <c r="K6887" t="n">
        <v>0</v>
      </c>
      <c r="L6887" t="n">
        <v>0</v>
      </c>
      <c r="M6887" t="n">
        <v>0</v>
      </c>
      <c r="N6887" t="n">
        <v>0</v>
      </c>
      <c r="O6887" t="n">
        <v>0</v>
      </c>
      <c r="P6887" t="n">
        <v>0</v>
      </c>
      <c r="Q6887" t="n">
        <v>0</v>
      </c>
      <c r="R6887" t="n">
        <v>0</v>
      </c>
      <c r="S6887" t="n">
        <v>0</v>
      </c>
      <c r="T6887" t="n">
        <v>0</v>
      </c>
      <c r="U6887" t="n">
        <v>0</v>
      </c>
      <c r="V6887" s="2" t="inlineStr"/>
    </row>
    <row r="6888" ht="15" customHeight="1">
      <c r="A6888" t="inlineStr">
        <is>
          <t>A 19451-2026</t>
        </is>
      </c>
      <c r="B6888" t="inlineStr">
        <is>
          <t>avverkningsanmälan</t>
        </is>
      </c>
      <c r="C6888" t="inlineStr">
        <is>
          <t>Föryngringsavverkning</t>
        </is>
      </c>
      <c r="D6888" s="1" t="n">
        <v>46133</v>
      </c>
      <c r="E6888" s="1" t="n">
        <v>46319</v>
      </c>
      <c r="F6888" t="inlineStr">
        <is>
          <t>DALARNAS LÄN</t>
        </is>
      </c>
      <c r="G6888" t="inlineStr">
        <is>
          <t>FALUN</t>
        </is>
      </c>
      <c r="I6888" t="n">
        <v>1</v>
      </c>
      <c r="J6888" t="n">
        <v>0</v>
      </c>
      <c r="K6888" t="n">
        <v>0</v>
      </c>
      <c r="L6888" t="n">
        <v>0</v>
      </c>
      <c r="M6888" t="n">
        <v>0</v>
      </c>
      <c r="N6888" t="n">
        <v>0</v>
      </c>
      <c r="O6888" t="n">
        <v>0</v>
      </c>
      <c r="P6888" t="n">
        <v>0</v>
      </c>
      <c r="Q6888" t="n">
        <v>0</v>
      </c>
      <c r="R6888" t="n">
        <v>0</v>
      </c>
      <c r="S6888" t="n">
        <v>0</v>
      </c>
      <c r="T6888" t="n">
        <v>0</v>
      </c>
      <c r="U6888" t="n">
        <v>0</v>
      </c>
      <c r="V6888" s="2" t="inlineStr"/>
    </row>
    <row r="6889" ht="15" customHeight="1">
      <c r="A6889" t="inlineStr">
        <is>
          <t>A 19456-2026</t>
        </is>
      </c>
      <c r="B6889" t="inlineStr">
        <is>
          <t>avverkningsanmälan</t>
        </is>
      </c>
      <c r="C6889" t="inlineStr">
        <is>
          <t>Föryngringsavverkning</t>
        </is>
      </c>
      <c r="D6889" s="1" t="n">
        <v>46133</v>
      </c>
      <c r="E6889" s="1" t="n">
        <v>46319</v>
      </c>
      <c r="F6889" t="inlineStr">
        <is>
          <t>DALARNAS LÄN</t>
        </is>
      </c>
      <c r="G6889" t="inlineStr">
        <is>
          <t>FALUN</t>
        </is>
      </c>
      <c r="I6889" t="n">
        <v>1.7</v>
      </c>
      <c r="J6889" t="n">
        <v>0</v>
      </c>
      <c r="K6889" t="n">
        <v>0</v>
      </c>
      <c r="L6889" t="n">
        <v>0</v>
      </c>
      <c r="M6889" t="n">
        <v>0</v>
      </c>
      <c r="N6889" t="n">
        <v>0</v>
      </c>
      <c r="O6889" t="n">
        <v>0</v>
      </c>
      <c r="P6889" t="n">
        <v>0</v>
      </c>
      <c r="Q6889" t="n">
        <v>0</v>
      </c>
      <c r="R6889" t="n">
        <v>0</v>
      </c>
      <c r="S6889" t="n">
        <v>0</v>
      </c>
      <c r="T6889" t="n">
        <v>0</v>
      </c>
      <c r="U6889" t="n">
        <v>0</v>
      </c>
      <c r="V6889" s="2" t="inlineStr"/>
    </row>
    <row r="6890" ht="15" customHeight="1">
      <c r="A6890" t="inlineStr">
        <is>
          <t>A 35837-2026</t>
        </is>
      </c>
      <c r="B6890" t="inlineStr">
        <is>
          <t>avverkningsanmälan</t>
        </is>
      </c>
      <c r="C6890" t="inlineStr">
        <is>
          <t>Föryngringsavverkning</t>
        </is>
      </c>
      <c r="D6890" s="1" t="n">
        <v>46265</v>
      </c>
      <c r="E6890" s="1" t="n">
        <v>46319</v>
      </c>
      <c r="F6890" t="inlineStr">
        <is>
          <t>DALARNAS LÄN</t>
        </is>
      </c>
      <c r="G6890" t="inlineStr">
        <is>
          <t>LUDVIKA</t>
        </is>
      </c>
      <c r="H6890" t="inlineStr">
        <is>
          <t>Kyrkan</t>
        </is>
      </c>
      <c r="I6890" t="n">
        <v>3.9</v>
      </c>
      <c r="J6890" t="n">
        <v>0</v>
      </c>
      <c r="K6890" t="n">
        <v>0</v>
      </c>
      <c r="L6890" t="n">
        <v>0</v>
      </c>
      <c r="M6890" t="n">
        <v>0</v>
      </c>
      <c r="N6890" t="n">
        <v>0</v>
      </c>
      <c r="O6890" t="n">
        <v>0</v>
      </c>
      <c r="P6890" t="n">
        <v>0</v>
      </c>
      <c r="Q6890" t="n">
        <v>0</v>
      </c>
      <c r="R6890" t="n">
        <v>0</v>
      </c>
      <c r="S6890" t="n">
        <v>0</v>
      </c>
      <c r="T6890" t="n">
        <v>0</v>
      </c>
      <c r="U6890" t="n">
        <v>0</v>
      </c>
      <c r="V6890" s="2" t="inlineStr"/>
    </row>
    <row r="6891" ht="15" customHeight="1">
      <c r="A6891" t="inlineStr">
        <is>
          <t>A 27717-2024</t>
        </is>
      </c>
      <c r="B6891" t="inlineStr">
        <is>
          <t>avverkningsanmälan</t>
        </is>
      </c>
      <c r="C6891" t="inlineStr">
        <is>
          <t>Avverkning för annat ändamål</t>
        </is>
      </c>
      <c r="D6891" s="1" t="n">
        <v>45475</v>
      </c>
      <c r="E6891" s="1" t="n">
        <v>46319</v>
      </c>
      <c r="F6891" t="inlineStr">
        <is>
          <t>DALARNAS LÄN</t>
        </is>
      </c>
      <c r="G6891" t="inlineStr">
        <is>
          <t>BORLÄNGE</t>
        </is>
      </c>
      <c r="I6891" t="n">
        <v>2.7</v>
      </c>
      <c r="J6891" t="n">
        <v>0</v>
      </c>
      <c r="K6891" t="n">
        <v>0</v>
      </c>
      <c r="L6891" t="n">
        <v>0</v>
      </c>
      <c r="M6891" t="n">
        <v>0</v>
      </c>
      <c r="N6891" t="n">
        <v>0</v>
      </c>
      <c r="O6891" t="n">
        <v>0</v>
      </c>
      <c r="P6891" t="n">
        <v>0</v>
      </c>
      <c r="Q6891" t="n">
        <v>0</v>
      </c>
      <c r="R6891" t="n">
        <v>0</v>
      </c>
      <c r="S6891" t="n">
        <v>0</v>
      </c>
      <c r="T6891" t="n">
        <v>0</v>
      </c>
      <c r="U6891" t="n">
        <v>0</v>
      </c>
      <c r="V6891" s="2" t="inlineStr"/>
    </row>
    <row r="6892" ht="15" customHeight="1">
      <c r="A6892" t="inlineStr">
        <is>
          <t>A 44-2026</t>
        </is>
      </c>
      <c r="B6892" t="inlineStr">
        <is>
          <t>avverkningsanmälan</t>
        </is>
      </c>
      <c r="C6892" t="inlineStr">
        <is>
          <t>Föryngringsavverkning</t>
        </is>
      </c>
      <c r="D6892" s="1" t="n">
        <v>46014</v>
      </c>
      <c r="E6892" s="1" t="n">
        <v>46319</v>
      </c>
      <c r="F6892" t="inlineStr">
        <is>
          <t>DALARNAS LÄN</t>
        </is>
      </c>
      <c r="G6892" t="inlineStr">
        <is>
          <t>FALUN</t>
        </is>
      </c>
      <c r="I6892" t="n">
        <v>1.8</v>
      </c>
      <c r="J6892" t="n">
        <v>0</v>
      </c>
      <c r="K6892" t="n">
        <v>0</v>
      </c>
      <c r="L6892" t="n">
        <v>0</v>
      </c>
      <c r="M6892" t="n">
        <v>0</v>
      </c>
      <c r="N6892" t="n">
        <v>0</v>
      </c>
      <c r="O6892" t="n">
        <v>0</v>
      </c>
      <c r="P6892" t="n">
        <v>0</v>
      </c>
      <c r="Q6892" t="n">
        <v>0</v>
      </c>
      <c r="R6892" t="n">
        <v>0</v>
      </c>
      <c r="S6892" t="n">
        <v>0</v>
      </c>
      <c r="T6892" t="n">
        <v>0</v>
      </c>
      <c r="U6892" t="n">
        <v>0</v>
      </c>
      <c r="V6892" s="2" t="inlineStr"/>
    </row>
    <row r="6893" ht="15" customHeight="1">
      <c r="A6893" t="inlineStr">
        <is>
          <t>A 2595-2026</t>
        </is>
      </c>
      <c r="B6893" t="inlineStr">
        <is>
          <t>avverkningsanmälan</t>
        </is>
      </c>
      <c r="C6893" t="inlineStr">
        <is>
          <t>Föryngringsavverkning</t>
        </is>
      </c>
      <c r="D6893" s="1" t="n">
        <v>46037</v>
      </c>
      <c r="E6893" s="1" t="n">
        <v>46319</v>
      </c>
      <c r="F6893" t="inlineStr">
        <is>
          <t>DALARNAS LÄN</t>
        </is>
      </c>
      <c r="G6893" t="inlineStr">
        <is>
          <t>FALUN</t>
        </is>
      </c>
      <c r="I6893" t="n">
        <v>2</v>
      </c>
      <c r="J6893" t="n">
        <v>0</v>
      </c>
      <c r="K6893" t="n">
        <v>0</v>
      </c>
      <c r="L6893" t="n">
        <v>0</v>
      </c>
      <c r="M6893" t="n">
        <v>0</v>
      </c>
      <c r="N6893" t="n">
        <v>0</v>
      </c>
      <c r="O6893" t="n">
        <v>0</v>
      </c>
      <c r="P6893" t="n">
        <v>0</v>
      </c>
      <c r="Q6893" t="n">
        <v>0</v>
      </c>
      <c r="R6893" t="n">
        <v>0</v>
      </c>
      <c r="S6893" t="n">
        <v>0</v>
      </c>
      <c r="T6893" t="n">
        <v>0</v>
      </c>
      <c r="U6893" t="n">
        <v>0</v>
      </c>
      <c r="V6893" s="2" t="inlineStr"/>
    </row>
    <row r="6894" ht="15" customHeight="1">
      <c r="A6894" t="inlineStr">
        <is>
          <t>A 19917-2026</t>
        </is>
      </c>
      <c r="B6894" t="inlineStr">
        <is>
          <t>avverkningsanmälan</t>
        </is>
      </c>
      <c r="C6894" t="inlineStr">
        <is>
          <t>Föryngringsavverkning</t>
        </is>
      </c>
      <c r="D6894" s="1" t="n">
        <v>46136</v>
      </c>
      <c r="E6894" s="1" t="n">
        <v>46319</v>
      </c>
      <c r="F6894" t="inlineStr">
        <is>
          <t>DALARNAS LÄN</t>
        </is>
      </c>
      <c r="G6894" t="inlineStr">
        <is>
          <t>FALUN</t>
        </is>
      </c>
      <c r="I6894" t="n">
        <v>0.6</v>
      </c>
      <c r="J6894" t="n">
        <v>0</v>
      </c>
      <c r="K6894" t="n">
        <v>0</v>
      </c>
      <c r="L6894" t="n">
        <v>0</v>
      </c>
      <c r="M6894" t="n">
        <v>0</v>
      </c>
      <c r="N6894" t="n">
        <v>0</v>
      </c>
      <c r="O6894" t="n">
        <v>0</v>
      </c>
      <c r="P6894" t="n">
        <v>0</v>
      </c>
      <c r="Q6894" t="n">
        <v>0</v>
      </c>
      <c r="R6894" t="n">
        <v>0</v>
      </c>
      <c r="S6894" t="n">
        <v>0</v>
      </c>
      <c r="T6894" t="n">
        <v>0</v>
      </c>
      <c r="U6894" t="n">
        <v>0</v>
      </c>
      <c r="V6894" s="2" t="inlineStr"/>
    </row>
    <row r="6895" ht="15" customHeight="1">
      <c r="A6895" t="inlineStr">
        <is>
          <t>A 28925-2025</t>
        </is>
      </c>
      <c r="B6895" t="inlineStr">
        <is>
          <t>avverkningsanmälan</t>
        </is>
      </c>
      <c r="C6895" t="inlineStr">
        <is>
          <t>Föryngringsavverkning</t>
        </is>
      </c>
      <c r="D6895" s="1" t="n">
        <v>45820</v>
      </c>
      <c r="E6895" s="1" t="n">
        <v>46319</v>
      </c>
      <c r="F6895" t="inlineStr">
        <is>
          <t>DALARNAS LÄN</t>
        </is>
      </c>
      <c r="G6895" t="inlineStr">
        <is>
          <t>MORA</t>
        </is>
      </c>
      <c r="I6895" t="n">
        <v>3.7</v>
      </c>
      <c r="J6895" t="n">
        <v>0</v>
      </c>
      <c r="K6895" t="n">
        <v>0</v>
      </c>
      <c r="L6895" t="n">
        <v>0</v>
      </c>
      <c r="M6895" t="n">
        <v>0</v>
      </c>
      <c r="N6895" t="n">
        <v>0</v>
      </c>
      <c r="O6895" t="n">
        <v>0</v>
      </c>
      <c r="P6895" t="n">
        <v>0</v>
      </c>
      <c r="Q6895" t="n">
        <v>0</v>
      </c>
      <c r="R6895" t="n">
        <v>0</v>
      </c>
      <c r="S6895" t="n">
        <v>0</v>
      </c>
      <c r="T6895" t="n">
        <v>0</v>
      </c>
      <c r="U6895" t="n">
        <v>0</v>
      </c>
      <c r="V6895" s="2" t="inlineStr"/>
    </row>
    <row r="6896" ht="15" customHeight="1">
      <c r="A6896" t="inlineStr">
        <is>
          <t>A 46246-2025</t>
        </is>
      </c>
      <c r="B6896" t="inlineStr">
        <is>
          <t>avverkningsanmälan</t>
        </is>
      </c>
      <c r="C6896" t="inlineStr">
        <is>
          <t>Föryngringsavverkning</t>
        </is>
      </c>
      <c r="D6896" s="1" t="n">
        <v>45925</v>
      </c>
      <c r="E6896" s="1" t="n">
        <v>46319</v>
      </c>
      <c r="F6896" t="inlineStr">
        <is>
          <t>DALARNAS LÄN</t>
        </is>
      </c>
      <c r="G6896" t="inlineStr">
        <is>
          <t>RÄTTVIK</t>
        </is>
      </c>
      <c r="I6896" t="n">
        <v>0.7</v>
      </c>
      <c r="J6896" t="n">
        <v>0</v>
      </c>
      <c r="K6896" t="n">
        <v>0</v>
      </c>
      <c r="L6896" t="n">
        <v>0</v>
      </c>
      <c r="M6896" t="n">
        <v>0</v>
      </c>
      <c r="N6896" t="n">
        <v>0</v>
      </c>
      <c r="O6896" t="n">
        <v>0</v>
      </c>
      <c r="P6896" t="n">
        <v>0</v>
      </c>
      <c r="Q6896" t="n">
        <v>0</v>
      </c>
      <c r="R6896" t="n">
        <v>0</v>
      </c>
      <c r="S6896" t="n">
        <v>0</v>
      </c>
      <c r="T6896" t="n">
        <v>0</v>
      </c>
      <c r="U6896" t="n">
        <v>0</v>
      </c>
      <c r="V6896" s="2" t="inlineStr"/>
    </row>
    <row r="6897" ht="15" customHeight="1">
      <c r="A6897" t="inlineStr">
        <is>
          <t>A 33165-2024</t>
        </is>
      </c>
      <c r="B6897" t="inlineStr">
        <is>
          <t>avverkningsanmälan</t>
        </is>
      </c>
      <c r="C6897" t="inlineStr">
        <is>
          <t>Föryngringsavverkning</t>
        </is>
      </c>
      <c r="D6897" s="1" t="n">
        <v>45518</v>
      </c>
      <c r="E6897" s="1" t="n">
        <v>46319</v>
      </c>
      <c r="F6897" t="inlineStr">
        <is>
          <t>DALARNAS LÄN</t>
        </is>
      </c>
      <c r="G6897" t="inlineStr">
        <is>
          <t>RÄTTVIK</t>
        </is>
      </c>
      <c r="I6897" t="n">
        <v>0.2</v>
      </c>
      <c r="J6897" t="n">
        <v>0</v>
      </c>
      <c r="K6897" t="n">
        <v>0</v>
      </c>
      <c r="L6897" t="n">
        <v>0</v>
      </c>
      <c r="M6897" t="n">
        <v>0</v>
      </c>
      <c r="N6897" t="n">
        <v>0</v>
      </c>
      <c r="O6897" t="n">
        <v>0</v>
      </c>
      <c r="P6897" t="n">
        <v>0</v>
      </c>
      <c r="Q6897" t="n">
        <v>0</v>
      </c>
      <c r="R6897" t="n">
        <v>0</v>
      </c>
      <c r="S6897" t="n">
        <v>0</v>
      </c>
      <c r="T6897" t="n">
        <v>0</v>
      </c>
      <c r="U6897" t="n">
        <v>0</v>
      </c>
      <c r="V6897" s="2" t="inlineStr"/>
    </row>
    <row r="6898" ht="15" customHeight="1">
      <c r="A6898" t="inlineStr">
        <is>
          <t>A 33174-2024</t>
        </is>
      </c>
      <c r="B6898" t="inlineStr">
        <is>
          <t>avverkningsanmälan</t>
        </is>
      </c>
      <c r="C6898" t="inlineStr">
        <is>
          <t>Föryngringsavverkning</t>
        </is>
      </c>
      <c r="D6898" s="1" t="n">
        <v>45518</v>
      </c>
      <c r="E6898" s="1" t="n">
        <v>46319</v>
      </c>
      <c r="F6898" t="inlineStr">
        <is>
          <t>DALARNAS LÄN</t>
        </is>
      </c>
      <c r="G6898" t="inlineStr">
        <is>
          <t>RÄTTVIK</t>
        </is>
      </c>
      <c r="I6898" t="n">
        <v>1.6</v>
      </c>
      <c r="J6898" t="n">
        <v>0</v>
      </c>
      <c r="K6898" t="n">
        <v>0</v>
      </c>
      <c r="L6898" t="n">
        <v>0</v>
      </c>
      <c r="M6898" t="n">
        <v>0</v>
      </c>
      <c r="N6898" t="n">
        <v>0</v>
      </c>
      <c r="O6898" t="n">
        <v>0</v>
      </c>
      <c r="P6898" t="n">
        <v>0</v>
      </c>
      <c r="Q6898" t="n">
        <v>0</v>
      </c>
      <c r="R6898" t="n">
        <v>0</v>
      </c>
      <c r="S6898" t="n">
        <v>0</v>
      </c>
      <c r="T6898" t="n">
        <v>0</v>
      </c>
      <c r="U6898" t="n">
        <v>0</v>
      </c>
      <c r="V6898" s="2" t="inlineStr"/>
    </row>
    <row r="6899" ht="15" customHeight="1">
      <c r="A6899" t="inlineStr">
        <is>
          <t>A 41480-2023</t>
        </is>
      </c>
      <c r="B6899" t="inlineStr">
        <is>
          <t>avverkningsanmälan</t>
        </is>
      </c>
      <c r="C6899" t="inlineStr">
        <is>
          <t>Föryngringsavverkning</t>
        </is>
      </c>
      <c r="D6899" s="1" t="n">
        <v>45172</v>
      </c>
      <c r="E6899" s="1" t="n">
        <v>46319</v>
      </c>
      <c r="F6899" t="inlineStr">
        <is>
          <t>DALARNAS LÄN</t>
        </is>
      </c>
      <c r="G6899" t="inlineStr">
        <is>
          <t>SMEDJEBACKEN</t>
        </is>
      </c>
      <c r="H6899" t="inlineStr">
        <is>
          <t>Bergvik skog väst AB</t>
        </is>
      </c>
      <c r="I6899" t="n">
        <v>9.699999999999999</v>
      </c>
      <c r="J6899" t="n">
        <v>0</v>
      </c>
      <c r="K6899" t="n">
        <v>0</v>
      </c>
      <c r="L6899" t="n">
        <v>0</v>
      </c>
      <c r="M6899" t="n">
        <v>0</v>
      </c>
      <c r="N6899" t="n">
        <v>0</v>
      </c>
      <c r="O6899" t="n">
        <v>0</v>
      </c>
      <c r="P6899" t="n">
        <v>0</v>
      </c>
      <c r="Q6899" t="n">
        <v>0</v>
      </c>
      <c r="R6899" t="n">
        <v>0</v>
      </c>
      <c r="S6899" t="n">
        <v>0</v>
      </c>
      <c r="T6899" t="n">
        <v>0</v>
      </c>
      <c r="U6899" t="n">
        <v>0</v>
      </c>
      <c r="V6899" s="2" t="inlineStr"/>
    </row>
    <row r="6900" ht="15" customHeight="1">
      <c r="A6900" t="inlineStr">
        <is>
          <t>A 48296-2024</t>
        </is>
      </c>
      <c r="B6900" t="inlineStr">
        <is>
          <t>avverkningsanmälan</t>
        </is>
      </c>
      <c r="C6900" t="inlineStr">
        <is>
          <t>Föryngringsavverkning</t>
        </is>
      </c>
      <c r="D6900" s="1" t="n">
        <v>45590</v>
      </c>
      <c r="E6900" s="1" t="n">
        <v>46319</v>
      </c>
      <c r="F6900" t="inlineStr">
        <is>
          <t>DALARNAS LÄN</t>
        </is>
      </c>
      <c r="G6900" t="inlineStr">
        <is>
          <t>FALUN</t>
        </is>
      </c>
      <c r="H6900" t="inlineStr">
        <is>
          <t>Bergvik skog väst AB</t>
        </is>
      </c>
      <c r="I6900" t="n">
        <v>3.3</v>
      </c>
      <c r="J6900" t="n">
        <v>0</v>
      </c>
      <c r="K6900" t="n">
        <v>0</v>
      </c>
      <c r="L6900" t="n">
        <v>0</v>
      </c>
      <c r="M6900" t="n">
        <v>0</v>
      </c>
      <c r="N6900" t="n">
        <v>0</v>
      </c>
      <c r="O6900" t="n">
        <v>0</v>
      </c>
      <c r="P6900" t="n">
        <v>0</v>
      </c>
      <c r="Q6900" t="n">
        <v>0</v>
      </c>
      <c r="R6900" t="n">
        <v>0</v>
      </c>
      <c r="S6900" t="n">
        <v>0</v>
      </c>
      <c r="T6900" t="n">
        <v>0</v>
      </c>
      <c r="U6900" t="n">
        <v>0</v>
      </c>
      <c r="V6900" s="2" t="inlineStr"/>
    </row>
    <row r="6901" ht="15" customHeight="1">
      <c r="A6901" t="inlineStr">
        <is>
          <t>A 44733-2023</t>
        </is>
      </c>
      <c r="B6901" t="inlineStr">
        <is>
          <t>avverkningsanmälan</t>
        </is>
      </c>
      <c r="C6901" t="inlineStr">
        <is>
          <t>Föryngringsavverkning</t>
        </is>
      </c>
      <c r="D6901" s="1" t="n">
        <v>45190</v>
      </c>
      <c r="E6901" s="1" t="n">
        <v>46319</v>
      </c>
      <c r="F6901" t="inlineStr">
        <is>
          <t>DALARNAS LÄN</t>
        </is>
      </c>
      <c r="G6901" t="inlineStr">
        <is>
          <t>RÄTTVIK</t>
        </is>
      </c>
      <c r="I6901" t="n">
        <v>5.7</v>
      </c>
      <c r="J6901" t="n">
        <v>0</v>
      </c>
      <c r="K6901" t="n">
        <v>0</v>
      </c>
      <c r="L6901" t="n">
        <v>0</v>
      </c>
      <c r="M6901" t="n">
        <v>0</v>
      </c>
      <c r="N6901" t="n">
        <v>0</v>
      </c>
      <c r="O6901" t="n">
        <v>0</v>
      </c>
      <c r="P6901" t="n">
        <v>0</v>
      </c>
      <c r="Q6901" t="n">
        <v>0</v>
      </c>
      <c r="R6901" t="n">
        <v>0</v>
      </c>
      <c r="S6901" t="n">
        <v>0</v>
      </c>
      <c r="T6901" t="n">
        <v>0</v>
      </c>
      <c r="U6901" t="n">
        <v>0</v>
      </c>
      <c r="V6901" s="2" t="inlineStr"/>
    </row>
    <row r="6902" ht="15" customHeight="1">
      <c r="A6902" t="inlineStr">
        <is>
          <t>A 33330-2024</t>
        </is>
      </c>
      <c r="B6902" t="inlineStr">
        <is>
          <t>avverkningsanmälan</t>
        </is>
      </c>
      <c r="C6902" t="inlineStr">
        <is>
          <t>Föryngringsavverkning</t>
        </is>
      </c>
      <c r="D6902" s="1" t="n">
        <v>45519</v>
      </c>
      <c r="E6902" s="1" t="n">
        <v>46319</v>
      </c>
      <c r="F6902" t="inlineStr">
        <is>
          <t>DALARNAS LÄN</t>
        </is>
      </c>
      <c r="G6902" t="inlineStr">
        <is>
          <t>LUDVIKA</t>
        </is>
      </c>
      <c r="I6902" t="n">
        <v>4.9</v>
      </c>
      <c r="J6902" t="n">
        <v>0</v>
      </c>
      <c r="K6902" t="n">
        <v>0</v>
      </c>
      <c r="L6902" t="n">
        <v>0</v>
      </c>
      <c r="M6902" t="n">
        <v>0</v>
      </c>
      <c r="N6902" t="n">
        <v>0</v>
      </c>
      <c r="O6902" t="n">
        <v>0</v>
      </c>
      <c r="P6902" t="n">
        <v>0</v>
      </c>
      <c r="Q6902" t="n">
        <v>0</v>
      </c>
      <c r="R6902" t="n">
        <v>0</v>
      </c>
      <c r="S6902" t="n">
        <v>0</v>
      </c>
      <c r="T6902" t="n">
        <v>0</v>
      </c>
      <c r="U6902" t="n">
        <v>0</v>
      </c>
      <c r="V6902" s="2" t="inlineStr"/>
    </row>
    <row r="6903" ht="15" customHeight="1">
      <c r="A6903" t="inlineStr">
        <is>
          <t>A 45621-2023</t>
        </is>
      </c>
      <c r="B6903" t="inlineStr">
        <is>
          <t>avverkningsanmälan</t>
        </is>
      </c>
      <c r="C6903" t="inlineStr">
        <is>
          <t>Föryngringsavverkning</t>
        </is>
      </c>
      <c r="D6903" s="1" t="n">
        <v>45188</v>
      </c>
      <c r="E6903" s="1" t="n">
        <v>46319</v>
      </c>
      <c r="F6903" t="inlineStr">
        <is>
          <t>DALARNAS LÄN</t>
        </is>
      </c>
      <c r="G6903" t="inlineStr">
        <is>
          <t>RÄTTVIK</t>
        </is>
      </c>
      <c r="I6903" t="n">
        <v>1.1</v>
      </c>
      <c r="J6903" t="n">
        <v>0</v>
      </c>
      <c r="K6903" t="n">
        <v>0</v>
      </c>
      <c r="L6903" t="n">
        <v>0</v>
      </c>
      <c r="M6903" t="n">
        <v>0</v>
      </c>
      <c r="N6903" t="n">
        <v>0</v>
      </c>
      <c r="O6903" t="n">
        <v>0</v>
      </c>
      <c r="P6903" t="n">
        <v>0</v>
      </c>
      <c r="Q6903" t="n">
        <v>0</v>
      </c>
      <c r="R6903" t="n">
        <v>0</v>
      </c>
      <c r="S6903" t="n">
        <v>0</v>
      </c>
      <c r="T6903" t="n">
        <v>0</v>
      </c>
      <c r="U6903" t="n">
        <v>0</v>
      </c>
      <c r="V6903" s="2" t="inlineStr"/>
    </row>
    <row r="6904" ht="15" customHeight="1">
      <c r="A6904" t="inlineStr">
        <is>
          <t>A 295-2023</t>
        </is>
      </c>
      <c r="B6904" t="inlineStr">
        <is>
          <t>avverkningsanmälan</t>
        </is>
      </c>
      <c r="C6904" t="inlineStr">
        <is>
          <t>Avverkning för annat ändamål</t>
        </is>
      </c>
      <c r="D6904" s="1" t="n">
        <v>44922</v>
      </c>
      <c r="E6904" s="1" t="n">
        <v>46319</v>
      </c>
      <c r="F6904" t="inlineStr">
        <is>
          <t>DALARNAS LÄN</t>
        </is>
      </c>
      <c r="G6904" t="inlineStr">
        <is>
          <t>RÄTTVIK</t>
        </is>
      </c>
      <c r="I6904" t="n">
        <v>1.2</v>
      </c>
      <c r="J6904" t="n">
        <v>0</v>
      </c>
      <c r="K6904" t="n">
        <v>0</v>
      </c>
      <c r="L6904" t="n">
        <v>0</v>
      </c>
      <c r="M6904" t="n">
        <v>0</v>
      </c>
      <c r="N6904" t="n">
        <v>0</v>
      </c>
      <c r="O6904" t="n">
        <v>0</v>
      </c>
      <c r="P6904" t="n">
        <v>0</v>
      </c>
      <c r="Q6904" t="n">
        <v>0</v>
      </c>
      <c r="R6904" t="n">
        <v>0</v>
      </c>
      <c r="S6904" t="n">
        <v>0</v>
      </c>
      <c r="T6904" t="n">
        <v>0</v>
      </c>
      <c r="U6904" t="n">
        <v>0</v>
      </c>
      <c r="V6904" s="2" t="inlineStr"/>
    </row>
    <row r="6905" ht="15" customHeight="1">
      <c r="A6905" t="inlineStr">
        <is>
          <t>A 63816-2021</t>
        </is>
      </c>
      <c r="B6905" t="inlineStr">
        <is>
          <t>avverkningsanmälan</t>
        </is>
      </c>
      <c r="C6905" t="inlineStr">
        <is>
          <t>Föryngringsavverkning</t>
        </is>
      </c>
      <c r="D6905" s="1" t="n">
        <v>44509</v>
      </c>
      <c r="E6905" s="1" t="n">
        <v>46319</v>
      </c>
      <c r="F6905" t="inlineStr">
        <is>
          <t>DALARNAS LÄN</t>
        </is>
      </c>
      <c r="G6905" t="inlineStr">
        <is>
          <t>VANSBRO</t>
        </is>
      </c>
      <c r="H6905" t="inlineStr">
        <is>
          <t>Bergvik skog väst AB</t>
        </is>
      </c>
      <c r="I6905" t="n">
        <v>17.6</v>
      </c>
      <c r="J6905" t="n">
        <v>0</v>
      </c>
      <c r="K6905" t="n">
        <v>0</v>
      </c>
      <c r="L6905" t="n">
        <v>0</v>
      </c>
      <c r="M6905" t="n">
        <v>0</v>
      </c>
      <c r="N6905" t="n">
        <v>0</v>
      </c>
      <c r="O6905" t="n">
        <v>0</v>
      </c>
      <c r="P6905" t="n">
        <v>0</v>
      </c>
      <c r="Q6905" t="n">
        <v>0</v>
      </c>
      <c r="R6905" t="n">
        <v>0</v>
      </c>
      <c r="S6905" t="n">
        <v>0</v>
      </c>
      <c r="T6905" t="n">
        <v>0</v>
      </c>
      <c r="U6905" t="n">
        <v>0</v>
      </c>
      <c r="V6905" s="2" t="inlineStr"/>
    </row>
    <row r="6906" ht="15" customHeight="1">
      <c r="A6906" t="inlineStr">
        <is>
          <t>A 27932-2026</t>
        </is>
      </c>
      <c r="B6906" t="inlineStr">
        <is>
          <t>avverkningsanmälan</t>
        </is>
      </c>
      <c r="C6906" t="inlineStr">
        <is>
          <t>Föryngringsavverkning</t>
        </is>
      </c>
      <c r="D6906" s="1" t="n">
        <v>46191</v>
      </c>
      <c r="E6906" s="1" t="n">
        <v>46319</v>
      </c>
      <c r="F6906" t="inlineStr">
        <is>
          <t>DALARNAS LÄN</t>
        </is>
      </c>
      <c r="G6906" t="inlineStr">
        <is>
          <t>VANSBRO</t>
        </is>
      </c>
      <c r="H6906" t="inlineStr">
        <is>
          <t>Bergvik skog väst AB</t>
        </is>
      </c>
      <c r="I6906" t="n">
        <v>4.2</v>
      </c>
      <c r="J6906" t="n">
        <v>0</v>
      </c>
      <c r="K6906" t="n">
        <v>0</v>
      </c>
      <c r="L6906" t="n">
        <v>0</v>
      </c>
      <c r="M6906" t="n">
        <v>0</v>
      </c>
      <c r="N6906" t="n">
        <v>0</v>
      </c>
      <c r="O6906" t="n">
        <v>0</v>
      </c>
      <c r="P6906" t="n">
        <v>0</v>
      </c>
      <c r="Q6906" t="n">
        <v>0</v>
      </c>
      <c r="R6906" t="n">
        <v>0</v>
      </c>
      <c r="S6906" t="n">
        <v>0</v>
      </c>
      <c r="T6906" t="n">
        <v>0</v>
      </c>
      <c r="U6906" t="n">
        <v>0</v>
      </c>
      <c r="V6906" s="2" t="inlineStr"/>
    </row>
    <row r="6907" ht="15" customHeight="1">
      <c r="A6907" t="inlineStr">
        <is>
          <t>A 28007-2025</t>
        </is>
      </c>
      <c r="B6907" t="inlineStr">
        <is>
          <t>avverkningsanmälan</t>
        </is>
      </c>
      <c r="C6907" t="inlineStr">
        <is>
          <t>Föryngringsavverkning</t>
        </is>
      </c>
      <c r="D6907" s="1" t="n">
        <v>45817</v>
      </c>
      <c r="E6907" s="1" t="n">
        <v>46319</v>
      </c>
      <c r="F6907" t="inlineStr">
        <is>
          <t>DALARNAS LÄN</t>
        </is>
      </c>
      <c r="G6907" t="inlineStr">
        <is>
          <t>VANSBRO</t>
        </is>
      </c>
      <c r="H6907" t="inlineStr">
        <is>
          <t>Bergvik skog väst AB</t>
        </is>
      </c>
      <c r="I6907" t="n">
        <v>1.1</v>
      </c>
      <c r="J6907" t="n">
        <v>0</v>
      </c>
      <c r="K6907" t="n">
        <v>0</v>
      </c>
      <c r="L6907" t="n">
        <v>0</v>
      </c>
      <c r="M6907" t="n">
        <v>0</v>
      </c>
      <c r="N6907" t="n">
        <v>0</v>
      </c>
      <c r="O6907" t="n">
        <v>0</v>
      </c>
      <c r="P6907" t="n">
        <v>0</v>
      </c>
      <c r="Q6907" t="n">
        <v>0</v>
      </c>
      <c r="R6907" t="n">
        <v>0</v>
      </c>
      <c r="S6907" t="n">
        <v>0</v>
      </c>
      <c r="T6907" t="n">
        <v>0</v>
      </c>
      <c r="U6907" t="n">
        <v>0</v>
      </c>
      <c r="V6907" s="2" t="inlineStr"/>
    </row>
    <row r="6908" ht="15" customHeight="1">
      <c r="A6908" t="inlineStr">
        <is>
          <t>A 42934-2024</t>
        </is>
      </c>
      <c r="B6908" t="inlineStr">
        <is>
          <t>avverkningsanmälan</t>
        </is>
      </c>
      <c r="C6908" t="inlineStr">
        <is>
          <t>Föryngringsavverkning</t>
        </is>
      </c>
      <c r="D6908" s="1" t="n">
        <v>45567</v>
      </c>
      <c r="E6908" s="1" t="n">
        <v>46319</v>
      </c>
      <c r="F6908" t="inlineStr">
        <is>
          <t>DALARNAS LÄN</t>
        </is>
      </c>
      <c r="G6908" t="inlineStr">
        <is>
          <t>MORA</t>
        </is>
      </c>
      <c r="I6908" t="n">
        <v>0.7</v>
      </c>
      <c r="J6908" t="n">
        <v>0</v>
      </c>
      <c r="K6908" t="n">
        <v>0</v>
      </c>
      <c r="L6908" t="n">
        <v>0</v>
      </c>
      <c r="M6908" t="n">
        <v>0</v>
      </c>
      <c r="N6908" t="n">
        <v>0</v>
      </c>
      <c r="O6908" t="n">
        <v>0</v>
      </c>
      <c r="P6908" t="n">
        <v>0</v>
      </c>
      <c r="Q6908" t="n">
        <v>0</v>
      </c>
      <c r="R6908" t="n">
        <v>0</v>
      </c>
      <c r="S6908" t="n">
        <v>0</v>
      </c>
      <c r="T6908" t="n">
        <v>0</v>
      </c>
      <c r="U6908" t="n">
        <v>0</v>
      </c>
      <c r="V6908" s="2" t="inlineStr"/>
    </row>
    <row r="6909" ht="15" customHeight="1">
      <c r="A6909" t="inlineStr">
        <is>
          <t>A 24066-2024</t>
        </is>
      </c>
      <c r="B6909" t="inlineStr">
        <is>
          <t>avverkningsanmälan</t>
        </is>
      </c>
      <c r="C6909" t="inlineStr">
        <is>
          <t>Föryngringsavverkning</t>
        </is>
      </c>
      <c r="D6909" s="1" t="n">
        <v>45456</v>
      </c>
      <c r="E6909" s="1" t="n">
        <v>46319</v>
      </c>
      <c r="F6909" t="inlineStr">
        <is>
          <t>DALARNAS LÄN</t>
        </is>
      </c>
      <c r="G6909" t="inlineStr">
        <is>
          <t>MALUNG-SÄLEN</t>
        </is>
      </c>
      <c r="H6909" t="inlineStr">
        <is>
          <t>Bergvik skog väst AB</t>
        </is>
      </c>
      <c r="I6909" t="n">
        <v>15.1</v>
      </c>
      <c r="J6909" t="n">
        <v>0</v>
      </c>
      <c r="K6909" t="n">
        <v>0</v>
      </c>
      <c r="L6909" t="n">
        <v>0</v>
      </c>
      <c r="M6909" t="n">
        <v>0</v>
      </c>
      <c r="N6909" t="n">
        <v>0</v>
      </c>
      <c r="O6909" t="n">
        <v>0</v>
      </c>
      <c r="P6909" t="n">
        <v>0</v>
      </c>
      <c r="Q6909" t="n">
        <v>0</v>
      </c>
      <c r="R6909" t="n">
        <v>0</v>
      </c>
      <c r="S6909" t="n">
        <v>0</v>
      </c>
      <c r="T6909" t="n">
        <v>0</v>
      </c>
      <c r="U6909" t="n">
        <v>0</v>
      </c>
      <c r="V6909" s="2" t="inlineStr"/>
    </row>
    <row r="6910" ht="15" customHeight="1">
      <c r="A6910" t="inlineStr">
        <is>
          <t>A 30366-2024</t>
        </is>
      </c>
      <c r="B6910" t="inlineStr">
        <is>
          <t>avverkningsanmälan</t>
        </is>
      </c>
      <c r="C6910" t="inlineStr">
        <is>
          <t>Föryngringsavverkning</t>
        </is>
      </c>
      <c r="D6910" s="1" t="n">
        <v>45491</v>
      </c>
      <c r="E6910" s="1" t="n">
        <v>46319</v>
      </c>
      <c r="F6910" t="inlineStr">
        <is>
          <t>DALARNAS LÄN</t>
        </is>
      </c>
      <c r="G6910" t="inlineStr">
        <is>
          <t>MALUNG-SÄLEN</t>
        </is>
      </c>
      <c r="H6910" t="inlineStr">
        <is>
          <t>Bergvik skog öst AB</t>
        </is>
      </c>
      <c r="I6910" t="n">
        <v>3.9</v>
      </c>
      <c r="J6910" t="n">
        <v>0</v>
      </c>
      <c r="K6910" t="n">
        <v>0</v>
      </c>
      <c r="L6910" t="n">
        <v>0</v>
      </c>
      <c r="M6910" t="n">
        <v>0</v>
      </c>
      <c r="N6910" t="n">
        <v>0</v>
      </c>
      <c r="O6910" t="n">
        <v>0</v>
      </c>
      <c r="P6910" t="n">
        <v>0</v>
      </c>
      <c r="Q6910" t="n">
        <v>0</v>
      </c>
      <c r="R6910" t="n">
        <v>0</v>
      </c>
      <c r="S6910" t="n">
        <v>0</v>
      </c>
      <c r="T6910" t="n">
        <v>0</v>
      </c>
      <c r="U6910" t="n">
        <v>0</v>
      </c>
      <c r="V6910" s="2" t="inlineStr"/>
    </row>
    <row r="6911" ht="15" customHeight="1">
      <c r="A6911" t="inlineStr">
        <is>
          <t>A 30372-2024</t>
        </is>
      </c>
      <c r="B6911" t="inlineStr">
        <is>
          <t>avverkningsanmälan</t>
        </is>
      </c>
      <c r="C6911" t="inlineStr">
        <is>
          <t>Föryngringsavverkning</t>
        </is>
      </c>
      <c r="D6911" s="1" t="n">
        <v>45491</v>
      </c>
      <c r="E6911" s="1" t="n">
        <v>46319</v>
      </c>
      <c r="F6911" t="inlineStr">
        <is>
          <t>DALARNAS LÄN</t>
        </is>
      </c>
      <c r="G6911" t="inlineStr">
        <is>
          <t>MALUNG-SÄLEN</t>
        </is>
      </c>
      <c r="H6911" t="inlineStr">
        <is>
          <t>Bergvik skog öst AB</t>
        </is>
      </c>
      <c r="I6911" t="n">
        <v>3.8</v>
      </c>
      <c r="J6911" t="n">
        <v>0</v>
      </c>
      <c r="K6911" t="n">
        <v>0</v>
      </c>
      <c r="L6911" t="n">
        <v>0</v>
      </c>
      <c r="M6911" t="n">
        <v>0</v>
      </c>
      <c r="N6911" t="n">
        <v>0</v>
      </c>
      <c r="O6911" t="n">
        <v>0</v>
      </c>
      <c r="P6911" t="n">
        <v>0</v>
      </c>
      <c r="Q6911" t="n">
        <v>0</v>
      </c>
      <c r="R6911" t="n">
        <v>0</v>
      </c>
      <c r="S6911" t="n">
        <v>0</v>
      </c>
      <c r="T6911" t="n">
        <v>0</v>
      </c>
      <c r="U6911" t="n">
        <v>0</v>
      </c>
      <c r="V6911" s="2" t="inlineStr"/>
    </row>
    <row r="6912" ht="15" customHeight="1">
      <c r="A6912" t="inlineStr">
        <is>
          <t>A 30392-2024</t>
        </is>
      </c>
      <c r="B6912" t="inlineStr">
        <is>
          <t>avverkningsanmälan</t>
        </is>
      </c>
      <c r="C6912" t="inlineStr">
        <is>
          <t>Föryngringsavverkning</t>
        </is>
      </c>
      <c r="D6912" s="1" t="n">
        <v>45491</v>
      </c>
      <c r="E6912" s="1" t="n">
        <v>46319</v>
      </c>
      <c r="F6912" t="inlineStr">
        <is>
          <t>DALARNAS LÄN</t>
        </is>
      </c>
      <c r="G6912" t="inlineStr">
        <is>
          <t>VANSBRO</t>
        </is>
      </c>
      <c r="I6912" t="n">
        <v>2.1</v>
      </c>
      <c r="J6912" t="n">
        <v>0</v>
      </c>
      <c r="K6912" t="n">
        <v>0</v>
      </c>
      <c r="L6912" t="n">
        <v>0</v>
      </c>
      <c r="M6912" t="n">
        <v>0</v>
      </c>
      <c r="N6912" t="n">
        <v>0</v>
      </c>
      <c r="O6912" t="n">
        <v>0</v>
      </c>
      <c r="P6912" t="n">
        <v>0</v>
      </c>
      <c r="Q6912" t="n">
        <v>0</v>
      </c>
      <c r="R6912" t="n">
        <v>0</v>
      </c>
      <c r="S6912" t="n">
        <v>0</v>
      </c>
      <c r="T6912" t="n">
        <v>0</v>
      </c>
      <c r="U6912" t="n">
        <v>0</v>
      </c>
      <c r="V6912" s="2" t="inlineStr"/>
    </row>
    <row r="6913" ht="15" customHeight="1">
      <c r="A6913" t="inlineStr">
        <is>
          <t>A 34169-2023</t>
        </is>
      </c>
      <c r="B6913" t="inlineStr">
        <is>
          <t>avverkningsanmälan</t>
        </is>
      </c>
      <c r="C6913" t="inlineStr">
        <is>
          <t>Föryngringsavverkning</t>
        </is>
      </c>
      <c r="D6913" s="1" t="n">
        <v>45138</v>
      </c>
      <c r="E6913" s="1" t="n">
        <v>46319</v>
      </c>
      <c r="F6913" t="inlineStr">
        <is>
          <t>DALARNAS LÄN</t>
        </is>
      </c>
      <c r="G6913" t="inlineStr">
        <is>
          <t>ORSA</t>
        </is>
      </c>
      <c r="H6913" t="inlineStr">
        <is>
          <t>Allmännings- och besparingsskogar</t>
        </is>
      </c>
      <c r="I6913" t="n">
        <v>0.7</v>
      </c>
      <c r="J6913" t="n">
        <v>0</v>
      </c>
      <c r="K6913" t="n">
        <v>0</v>
      </c>
      <c r="L6913" t="n">
        <v>0</v>
      </c>
      <c r="M6913" t="n">
        <v>0</v>
      </c>
      <c r="N6913" t="n">
        <v>0</v>
      </c>
      <c r="O6913" t="n">
        <v>0</v>
      </c>
      <c r="P6913" t="n">
        <v>0</v>
      </c>
      <c r="Q6913" t="n">
        <v>0</v>
      </c>
      <c r="R6913" t="n">
        <v>0</v>
      </c>
      <c r="S6913" t="n">
        <v>0</v>
      </c>
      <c r="T6913" t="n">
        <v>0</v>
      </c>
      <c r="U6913" t="n">
        <v>0</v>
      </c>
      <c r="V6913" s="2" t="inlineStr"/>
    </row>
    <row r="6914" ht="15" customHeight="1">
      <c r="A6914" t="inlineStr">
        <is>
          <t>A 34196-2023</t>
        </is>
      </c>
      <c r="B6914" t="inlineStr">
        <is>
          <t>avverkningsanmälan</t>
        </is>
      </c>
      <c r="C6914" t="inlineStr">
        <is>
          <t>Föryngringsavverkning</t>
        </is>
      </c>
      <c r="D6914" s="1" t="n">
        <v>45138</v>
      </c>
      <c r="E6914" s="1" t="n">
        <v>46319</v>
      </c>
      <c r="F6914" t="inlineStr">
        <is>
          <t>DALARNAS LÄN</t>
        </is>
      </c>
      <c r="G6914" t="inlineStr">
        <is>
          <t>SÄTER</t>
        </is>
      </c>
      <c r="I6914" t="n">
        <v>1</v>
      </c>
      <c r="J6914" t="n">
        <v>0</v>
      </c>
      <c r="K6914" t="n">
        <v>0</v>
      </c>
      <c r="L6914" t="n">
        <v>0</v>
      </c>
      <c r="M6914" t="n">
        <v>0</v>
      </c>
      <c r="N6914" t="n">
        <v>0</v>
      </c>
      <c r="O6914" t="n">
        <v>0</v>
      </c>
      <c r="P6914" t="n">
        <v>0</v>
      </c>
      <c r="Q6914" t="n">
        <v>0</v>
      </c>
      <c r="R6914" t="n">
        <v>0</v>
      </c>
      <c r="S6914" t="n">
        <v>0</v>
      </c>
      <c r="T6914" t="n">
        <v>0</v>
      </c>
      <c r="U6914" t="n">
        <v>0</v>
      </c>
      <c r="V6914" s="2" t="inlineStr"/>
    </row>
    <row r="6915" ht="15" customHeight="1">
      <c r="A6915" t="inlineStr">
        <is>
          <t>A 35490-2026</t>
        </is>
      </c>
      <c r="B6915" t="inlineStr">
        <is>
          <t>avverkningsanmälan</t>
        </is>
      </c>
      <c r="C6915" t="inlineStr">
        <is>
          <t>Föryngringsavverkning</t>
        </is>
      </c>
      <c r="D6915" s="1" t="n">
        <v>46262</v>
      </c>
      <c r="E6915" s="1" t="n">
        <v>46319</v>
      </c>
      <c r="F6915" t="inlineStr">
        <is>
          <t>DALARNAS LÄN</t>
        </is>
      </c>
      <c r="G6915" t="inlineStr">
        <is>
          <t>LUDVIKA</t>
        </is>
      </c>
      <c r="H6915" t="inlineStr">
        <is>
          <t>Bergvik skog väst AB</t>
        </is>
      </c>
      <c r="I6915" t="n">
        <v>19.9</v>
      </c>
      <c r="J6915" t="n">
        <v>0</v>
      </c>
      <c r="K6915" t="n">
        <v>0</v>
      </c>
      <c r="L6915" t="n">
        <v>0</v>
      </c>
      <c r="M6915" t="n">
        <v>0</v>
      </c>
      <c r="N6915" t="n">
        <v>0</v>
      </c>
      <c r="O6915" t="n">
        <v>0</v>
      </c>
      <c r="P6915" t="n">
        <v>0</v>
      </c>
      <c r="Q6915" t="n">
        <v>0</v>
      </c>
      <c r="R6915" t="n">
        <v>0</v>
      </c>
      <c r="S6915" t="n">
        <v>0</v>
      </c>
      <c r="T6915" t="n">
        <v>0</v>
      </c>
      <c r="U6915" t="n">
        <v>0</v>
      </c>
      <c r="V6915" s="2" t="inlineStr"/>
    </row>
    <row r="6916" ht="15" customHeight="1">
      <c r="A6916" t="inlineStr">
        <is>
          <t>A 19809-2026</t>
        </is>
      </c>
      <c r="B6916" t="inlineStr">
        <is>
          <t>avverkningsanmälan</t>
        </is>
      </c>
      <c r="C6916" t="inlineStr">
        <is>
          <t>Föryngringsavverkning</t>
        </is>
      </c>
      <c r="D6916" s="1" t="n">
        <v>46135</v>
      </c>
      <c r="E6916" s="1" t="n">
        <v>46319</v>
      </c>
      <c r="F6916" t="inlineStr">
        <is>
          <t>DALARNAS LÄN</t>
        </is>
      </c>
      <c r="G6916" t="inlineStr">
        <is>
          <t>VANSBRO</t>
        </is>
      </c>
      <c r="H6916" t="inlineStr">
        <is>
          <t>Bergvik skog öst AB</t>
        </is>
      </c>
      <c r="I6916" t="n">
        <v>1.5</v>
      </c>
      <c r="J6916" t="n">
        <v>0</v>
      </c>
      <c r="K6916" t="n">
        <v>0</v>
      </c>
      <c r="L6916" t="n">
        <v>0</v>
      </c>
      <c r="M6916" t="n">
        <v>0</v>
      </c>
      <c r="N6916" t="n">
        <v>0</v>
      </c>
      <c r="O6916" t="n">
        <v>0</v>
      </c>
      <c r="P6916" t="n">
        <v>0</v>
      </c>
      <c r="Q6916" t="n">
        <v>0</v>
      </c>
      <c r="R6916" t="n">
        <v>0</v>
      </c>
      <c r="S6916" t="n">
        <v>0</v>
      </c>
      <c r="T6916" t="n">
        <v>0</v>
      </c>
      <c r="U6916" t="n">
        <v>0</v>
      </c>
      <c r="V6916" s="2" t="inlineStr"/>
    </row>
    <row r="6917" ht="15" customHeight="1">
      <c r="A6917" t="inlineStr">
        <is>
          <t>A 17099-2026</t>
        </is>
      </c>
      <c r="B6917" t="inlineStr">
        <is>
          <t>avverkningsanmälan</t>
        </is>
      </c>
      <c r="C6917" t="inlineStr">
        <is>
          <t>Föryngringsavverkning</t>
        </is>
      </c>
      <c r="D6917" s="1" t="n">
        <v>46114</v>
      </c>
      <c r="E6917" s="1" t="n">
        <v>46319</v>
      </c>
      <c r="F6917" t="inlineStr">
        <is>
          <t>DALARNAS LÄN</t>
        </is>
      </c>
      <c r="G6917" t="inlineStr">
        <is>
          <t>LEKSAND</t>
        </is>
      </c>
      <c r="H6917" t="inlineStr">
        <is>
          <t>Bergvik skog väst AB</t>
        </is>
      </c>
      <c r="I6917" t="n">
        <v>1.6</v>
      </c>
      <c r="J6917" t="n">
        <v>0</v>
      </c>
      <c r="K6917" t="n">
        <v>0</v>
      </c>
      <c r="L6917" t="n">
        <v>0</v>
      </c>
      <c r="M6917" t="n">
        <v>0</v>
      </c>
      <c r="N6917" t="n">
        <v>0</v>
      </c>
      <c r="O6917" t="n">
        <v>0</v>
      </c>
      <c r="P6917" t="n">
        <v>0</v>
      </c>
      <c r="Q6917" t="n">
        <v>0</v>
      </c>
      <c r="R6917" t="n">
        <v>0</v>
      </c>
      <c r="S6917" t="n">
        <v>0</v>
      </c>
      <c r="T6917" t="n">
        <v>0</v>
      </c>
      <c r="U6917" t="n">
        <v>0</v>
      </c>
      <c r="V6917" s="2" t="inlineStr"/>
    </row>
    <row r="6918" ht="15" customHeight="1">
      <c r="A6918" t="inlineStr">
        <is>
          <t>A 28032-2024</t>
        </is>
      </c>
      <c r="B6918" t="inlineStr">
        <is>
          <t>avverkningsanmälan</t>
        </is>
      </c>
      <c r="C6918" t="inlineStr">
        <is>
          <t>Föryngringsavverkning</t>
        </is>
      </c>
      <c r="D6918" s="1" t="n">
        <v>45476</v>
      </c>
      <c r="E6918" s="1" t="n">
        <v>46319</v>
      </c>
      <c r="F6918" t="inlineStr">
        <is>
          <t>DALARNAS LÄN</t>
        </is>
      </c>
      <c r="G6918" t="inlineStr">
        <is>
          <t>LEKSAND</t>
        </is>
      </c>
      <c r="I6918" t="n">
        <v>2</v>
      </c>
      <c r="J6918" t="n">
        <v>0</v>
      </c>
      <c r="K6918" t="n">
        <v>0</v>
      </c>
      <c r="L6918" t="n">
        <v>0</v>
      </c>
      <c r="M6918" t="n">
        <v>0</v>
      </c>
      <c r="N6918" t="n">
        <v>0</v>
      </c>
      <c r="O6918" t="n">
        <v>0</v>
      </c>
      <c r="P6918" t="n">
        <v>0</v>
      </c>
      <c r="Q6918" t="n">
        <v>0</v>
      </c>
      <c r="R6918" t="n">
        <v>0</v>
      </c>
      <c r="S6918" t="n">
        <v>0</v>
      </c>
      <c r="T6918" t="n">
        <v>0</v>
      </c>
      <c r="U6918" t="n">
        <v>0</v>
      </c>
      <c r="V6918" s="2" t="inlineStr"/>
    </row>
    <row r="6919" ht="15" customHeight="1">
      <c r="A6919" t="inlineStr">
        <is>
          <t>A 19550-2023</t>
        </is>
      </c>
      <c r="B6919" t="inlineStr">
        <is>
          <t>avverkningsanmälan</t>
        </is>
      </c>
      <c r="C6919" t="inlineStr">
        <is>
          <t>Föryngringsavverkning</t>
        </is>
      </c>
      <c r="D6919" s="1" t="n">
        <v>45049</v>
      </c>
      <c r="E6919" s="1" t="n">
        <v>46319</v>
      </c>
      <c r="F6919" t="inlineStr">
        <is>
          <t>DALARNAS LÄN</t>
        </is>
      </c>
      <c r="G6919" t="inlineStr">
        <is>
          <t>LEKSAND</t>
        </is>
      </c>
      <c r="I6919" t="n">
        <v>1.1</v>
      </c>
      <c r="J6919" t="n">
        <v>0</v>
      </c>
      <c r="K6919" t="n">
        <v>0</v>
      </c>
      <c r="L6919" t="n">
        <v>0</v>
      </c>
      <c r="M6919" t="n">
        <v>0</v>
      </c>
      <c r="N6919" t="n">
        <v>0</v>
      </c>
      <c r="O6919" t="n">
        <v>0</v>
      </c>
      <c r="P6919" t="n">
        <v>0</v>
      </c>
      <c r="Q6919" t="n">
        <v>0</v>
      </c>
      <c r="R6919" t="n">
        <v>0</v>
      </c>
      <c r="S6919" t="n">
        <v>0</v>
      </c>
      <c r="T6919" t="n">
        <v>0</v>
      </c>
      <c r="U6919" t="n">
        <v>0</v>
      </c>
      <c r="V6919" s="2" t="inlineStr"/>
    </row>
    <row r="6920" ht="15" customHeight="1">
      <c r="A6920" t="inlineStr">
        <is>
          <t>A 60228-2022</t>
        </is>
      </c>
      <c r="B6920" t="inlineStr">
        <is>
          <t>avverkningsanmälan</t>
        </is>
      </c>
      <c r="C6920" t="inlineStr">
        <is>
          <t>Föryngringsavverkning</t>
        </is>
      </c>
      <c r="D6920" s="1" t="n">
        <v>44910</v>
      </c>
      <c r="E6920" s="1" t="n">
        <v>46319</v>
      </c>
      <c r="F6920" t="inlineStr">
        <is>
          <t>DALARNAS LÄN</t>
        </is>
      </c>
      <c r="G6920" t="inlineStr">
        <is>
          <t>RÄTTVIK</t>
        </is>
      </c>
      <c r="I6920" t="n">
        <v>2.3</v>
      </c>
      <c r="J6920" t="n">
        <v>0</v>
      </c>
      <c r="K6920" t="n">
        <v>0</v>
      </c>
      <c r="L6920" t="n">
        <v>0</v>
      </c>
      <c r="M6920" t="n">
        <v>0</v>
      </c>
      <c r="N6920" t="n">
        <v>0</v>
      </c>
      <c r="O6920" t="n">
        <v>0</v>
      </c>
      <c r="P6920" t="n">
        <v>0</v>
      </c>
      <c r="Q6920" t="n">
        <v>0</v>
      </c>
      <c r="R6920" t="n">
        <v>0</v>
      </c>
      <c r="S6920" t="n">
        <v>0</v>
      </c>
      <c r="T6920" t="n">
        <v>0</v>
      </c>
      <c r="U6920" t="n">
        <v>0</v>
      </c>
      <c r="V6920" s="2" t="inlineStr"/>
    </row>
    <row r="6921" ht="15" customHeight="1">
      <c r="A6921" t="inlineStr">
        <is>
          <t>A 36935-2024</t>
        </is>
      </c>
      <c r="B6921" t="inlineStr">
        <is>
          <t>avverkningsanmälan</t>
        </is>
      </c>
      <c r="C6921" t="inlineStr">
        <is>
          <t>Föryngringsavverkning</t>
        </is>
      </c>
      <c r="D6921" s="1" t="n">
        <v>45538</v>
      </c>
      <c r="E6921" s="1" t="n">
        <v>46319</v>
      </c>
      <c r="F6921" t="inlineStr">
        <is>
          <t>DALARNAS LÄN</t>
        </is>
      </c>
      <c r="G6921" t="inlineStr">
        <is>
          <t>HEDEMORA</t>
        </is>
      </c>
      <c r="I6921" t="n">
        <v>1.4</v>
      </c>
      <c r="J6921" t="n">
        <v>0</v>
      </c>
      <c r="K6921" t="n">
        <v>0</v>
      </c>
      <c r="L6921" t="n">
        <v>0</v>
      </c>
      <c r="M6921" t="n">
        <v>0</v>
      </c>
      <c r="N6921" t="n">
        <v>0</v>
      </c>
      <c r="O6921" t="n">
        <v>0</v>
      </c>
      <c r="P6921" t="n">
        <v>0</v>
      </c>
      <c r="Q6921" t="n">
        <v>0</v>
      </c>
      <c r="R6921" t="n">
        <v>0</v>
      </c>
      <c r="S6921" t="n">
        <v>0</v>
      </c>
      <c r="T6921" t="n">
        <v>0</v>
      </c>
      <c r="U6921" t="n">
        <v>0</v>
      </c>
      <c r="V6921" s="2" t="inlineStr"/>
    </row>
    <row r="6922" ht="15" customHeight="1">
      <c r="A6922" t="inlineStr">
        <is>
          <t>A 17309-2026</t>
        </is>
      </c>
      <c r="B6922" t="inlineStr">
        <is>
          <t>avverkningsanmälan</t>
        </is>
      </c>
      <c r="C6922" t="inlineStr">
        <is>
          <t>Föryngringsavverkning</t>
        </is>
      </c>
      <c r="D6922" s="1" t="n">
        <v>46119</v>
      </c>
      <c r="E6922" s="1" t="n">
        <v>46319</v>
      </c>
      <c r="F6922" t="inlineStr">
        <is>
          <t>DALARNAS LÄN</t>
        </is>
      </c>
      <c r="G6922" t="inlineStr">
        <is>
          <t>FALUN</t>
        </is>
      </c>
      <c r="H6922" t="inlineStr">
        <is>
          <t>Bergvik skog väst AB</t>
        </is>
      </c>
      <c r="I6922" t="n">
        <v>1.7</v>
      </c>
      <c r="J6922" t="n">
        <v>0</v>
      </c>
      <c r="K6922" t="n">
        <v>0</v>
      </c>
      <c r="L6922" t="n">
        <v>0</v>
      </c>
      <c r="M6922" t="n">
        <v>0</v>
      </c>
      <c r="N6922" t="n">
        <v>0</v>
      </c>
      <c r="O6922" t="n">
        <v>0</v>
      </c>
      <c r="P6922" t="n">
        <v>0</v>
      </c>
      <c r="Q6922" t="n">
        <v>0</v>
      </c>
      <c r="R6922" t="n">
        <v>0</v>
      </c>
      <c r="S6922" t="n">
        <v>0</v>
      </c>
      <c r="T6922" t="n">
        <v>0</v>
      </c>
      <c r="U6922" t="n">
        <v>0</v>
      </c>
      <c r="V6922" s="2" t="inlineStr"/>
    </row>
    <row r="6923" ht="15" customHeight="1">
      <c r="A6923" t="inlineStr">
        <is>
          <t>A 17349-2026</t>
        </is>
      </c>
      <c r="B6923" t="inlineStr">
        <is>
          <t>avverkningsanmälan</t>
        </is>
      </c>
      <c r="C6923" t="inlineStr">
        <is>
          <t>Föryngringsavverkning</t>
        </is>
      </c>
      <c r="D6923" s="1" t="n">
        <v>46119</v>
      </c>
      <c r="E6923" s="1" t="n">
        <v>46319</v>
      </c>
      <c r="F6923" t="inlineStr">
        <is>
          <t>DALARNAS LÄN</t>
        </is>
      </c>
      <c r="G6923" t="inlineStr">
        <is>
          <t>FALUN</t>
        </is>
      </c>
      <c r="H6923" t="inlineStr">
        <is>
          <t>Bergvik skog väst AB</t>
        </is>
      </c>
      <c r="I6923" t="n">
        <v>4.9</v>
      </c>
      <c r="J6923" t="n">
        <v>0</v>
      </c>
      <c r="K6923" t="n">
        <v>0</v>
      </c>
      <c r="L6923" t="n">
        <v>0</v>
      </c>
      <c r="M6923" t="n">
        <v>0</v>
      </c>
      <c r="N6923" t="n">
        <v>0</v>
      </c>
      <c r="O6923" t="n">
        <v>0</v>
      </c>
      <c r="P6923" t="n">
        <v>0</v>
      </c>
      <c r="Q6923" t="n">
        <v>0</v>
      </c>
      <c r="R6923" t="n">
        <v>0</v>
      </c>
      <c r="S6923" t="n">
        <v>0</v>
      </c>
      <c r="T6923" t="n">
        <v>0</v>
      </c>
      <c r="U6923" t="n">
        <v>0</v>
      </c>
      <c r="V6923" s="2" t="inlineStr"/>
    </row>
    <row r="6924" ht="15" customHeight="1">
      <c r="A6924" t="inlineStr">
        <is>
          <t>A 16677-2026</t>
        </is>
      </c>
      <c r="B6924" t="inlineStr">
        <is>
          <t>avverkningsanmälan</t>
        </is>
      </c>
      <c r="C6924" t="inlineStr">
        <is>
          <t>Föryngringsavverkning</t>
        </is>
      </c>
      <c r="D6924" s="1" t="n">
        <v>46112</v>
      </c>
      <c r="E6924" s="1" t="n">
        <v>46319</v>
      </c>
      <c r="F6924" t="inlineStr">
        <is>
          <t>DALARNAS LÄN</t>
        </is>
      </c>
      <c r="G6924" t="inlineStr">
        <is>
          <t>FALUN</t>
        </is>
      </c>
      <c r="I6924" t="n">
        <v>1.5</v>
      </c>
      <c r="J6924" t="n">
        <v>0</v>
      </c>
      <c r="K6924" t="n">
        <v>0</v>
      </c>
      <c r="L6924" t="n">
        <v>0</v>
      </c>
      <c r="M6924" t="n">
        <v>0</v>
      </c>
      <c r="N6924" t="n">
        <v>0</v>
      </c>
      <c r="O6924" t="n">
        <v>0</v>
      </c>
      <c r="P6924" t="n">
        <v>0</v>
      </c>
      <c r="Q6924" t="n">
        <v>0</v>
      </c>
      <c r="R6924" t="n">
        <v>0</v>
      </c>
      <c r="S6924" t="n">
        <v>0</v>
      </c>
      <c r="T6924" t="n">
        <v>0</v>
      </c>
      <c r="U6924" t="n">
        <v>0</v>
      </c>
      <c r="V6924" s="2" t="inlineStr"/>
    </row>
    <row r="6925" ht="15" customHeight="1">
      <c r="A6925" t="inlineStr">
        <is>
          <t>A 42423-2026</t>
        </is>
      </c>
      <c r="B6925" t="inlineStr">
        <is>
          <t>avverkningsanmälan</t>
        </is>
      </c>
      <c r="C6925" t="inlineStr">
        <is>
          <t>Föryngringsavverkning</t>
        </is>
      </c>
      <c r="D6925" s="1" t="n">
        <v>46308</v>
      </c>
      <c r="E6925" s="1" t="n">
        <v>46319</v>
      </c>
      <c r="F6925" t="inlineStr">
        <is>
          <t>DALARNAS LÄN</t>
        </is>
      </c>
      <c r="G6925" t="inlineStr">
        <is>
          <t>FALUN</t>
        </is>
      </c>
      <c r="H6925" t="inlineStr">
        <is>
          <t>Bergvik skog väst AB</t>
        </is>
      </c>
      <c r="I6925" t="n">
        <v>5.2</v>
      </c>
      <c r="J6925" t="n">
        <v>0</v>
      </c>
      <c r="K6925" t="n">
        <v>0</v>
      </c>
      <c r="L6925" t="n">
        <v>0</v>
      </c>
      <c r="M6925" t="n">
        <v>0</v>
      </c>
      <c r="N6925" t="n">
        <v>0</v>
      </c>
      <c r="O6925" t="n">
        <v>0</v>
      </c>
      <c r="P6925" t="n">
        <v>0</v>
      </c>
      <c r="Q6925" t="n">
        <v>0</v>
      </c>
      <c r="R6925" t="n">
        <v>0</v>
      </c>
      <c r="S6925" t="n">
        <v>0</v>
      </c>
      <c r="T6925" t="n">
        <v>0</v>
      </c>
      <c r="U6925" t="n">
        <v>0</v>
      </c>
      <c r="V6925" s="2" t="inlineStr"/>
    </row>
    <row r="6926" ht="15" customHeight="1">
      <c r="A6926" t="inlineStr">
        <is>
          <t>A 42431-2026</t>
        </is>
      </c>
      <c r="B6926" t="inlineStr">
        <is>
          <t>avverkningsanmälan</t>
        </is>
      </c>
      <c r="C6926" t="inlineStr">
        <is>
          <t>Föryngringsavverkning</t>
        </is>
      </c>
      <c r="D6926" s="1" t="n">
        <v>46308</v>
      </c>
      <c r="E6926" s="1" t="n">
        <v>46319</v>
      </c>
      <c r="F6926" t="inlineStr">
        <is>
          <t>DALARNAS LÄN</t>
        </is>
      </c>
      <c r="G6926" t="inlineStr">
        <is>
          <t>SMEDJEBACKEN</t>
        </is>
      </c>
      <c r="H6926" t="inlineStr">
        <is>
          <t>Sveaskog</t>
        </is>
      </c>
      <c r="I6926" t="n">
        <v>3.2</v>
      </c>
      <c r="J6926" t="n">
        <v>0</v>
      </c>
      <c r="K6926" t="n">
        <v>0</v>
      </c>
      <c r="L6926" t="n">
        <v>0</v>
      </c>
      <c r="M6926" t="n">
        <v>0</v>
      </c>
      <c r="N6926" t="n">
        <v>0</v>
      </c>
      <c r="O6926" t="n">
        <v>0</v>
      </c>
      <c r="P6926" t="n">
        <v>0</v>
      </c>
      <c r="Q6926" t="n">
        <v>0</v>
      </c>
      <c r="R6926" t="n">
        <v>0</v>
      </c>
      <c r="S6926" t="n">
        <v>0</v>
      </c>
      <c r="T6926" t="n">
        <v>0</v>
      </c>
      <c r="U6926" t="n">
        <v>0</v>
      </c>
      <c r="V6926" s="2" t="inlineStr"/>
    </row>
    <row r="6927" ht="15" customHeight="1">
      <c r="A6927" t="inlineStr">
        <is>
          <t>A 19723-2026</t>
        </is>
      </c>
      <c r="B6927" t="inlineStr">
        <is>
          <t>avverkningsanmälan</t>
        </is>
      </c>
      <c r="C6927" t="inlineStr">
        <is>
          <t>Föryngringsavverkning</t>
        </is>
      </c>
      <c r="D6927" s="1" t="n">
        <v>46135</v>
      </c>
      <c r="E6927" s="1" t="n">
        <v>46319</v>
      </c>
      <c r="F6927" t="inlineStr">
        <is>
          <t>DALARNAS LÄN</t>
        </is>
      </c>
      <c r="G6927" t="inlineStr">
        <is>
          <t>FALUN</t>
        </is>
      </c>
      <c r="H6927" t="inlineStr">
        <is>
          <t>Bergvik skog väst AB</t>
        </is>
      </c>
      <c r="I6927" t="n">
        <v>0.7</v>
      </c>
      <c r="J6927" t="n">
        <v>0</v>
      </c>
      <c r="K6927" t="n">
        <v>0</v>
      </c>
      <c r="L6927" t="n">
        <v>0</v>
      </c>
      <c r="M6927" t="n">
        <v>0</v>
      </c>
      <c r="N6927" t="n">
        <v>0</v>
      </c>
      <c r="O6927" t="n">
        <v>0</v>
      </c>
      <c r="P6927" t="n">
        <v>0</v>
      </c>
      <c r="Q6927" t="n">
        <v>0</v>
      </c>
      <c r="R6927" t="n">
        <v>0</v>
      </c>
      <c r="S6927" t="n">
        <v>0</v>
      </c>
      <c r="T6927" t="n">
        <v>0</v>
      </c>
      <c r="U6927" t="n">
        <v>0</v>
      </c>
      <c r="V6927" s="2" t="inlineStr"/>
    </row>
    <row r="6928" ht="15" customHeight="1">
      <c r="A6928" t="inlineStr">
        <is>
          <t>A 56941-2024</t>
        </is>
      </c>
      <c r="B6928" t="inlineStr">
        <is>
          <t>avverkningsanmälan</t>
        </is>
      </c>
      <c r="C6928" t="inlineStr">
        <is>
          <t>Föryngringsavverkning</t>
        </is>
      </c>
      <c r="D6928" s="1" t="n">
        <v>45625</v>
      </c>
      <c r="E6928" s="1" t="n">
        <v>46319</v>
      </c>
      <c r="F6928" t="inlineStr">
        <is>
          <t>DALARNAS LÄN</t>
        </is>
      </c>
      <c r="G6928" t="inlineStr">
        <is>
          <t>LEKSAND</t>
        </is>
      </c>
      <c r="I6928" t="n">
        <v>1.8</v>
      </c>
      <c r="J6928" t="n">
        <v>0</v>
      </c>
      <c r="K6928" t="n">
        <v>0</v>
      </c>
      <c r="L6928" t="n">
        <v>0</v>
      </c>
      <c r="M6928" t="n">
        <v>0</v>
      </c>
      <c r="N6928" t="n">
        <v>0</v>
      </c>
      <c r="O6928" t="n">
        <v>0</v>
      </c>
      <c r="P6928" t="n">
        <v>0</v>
      </c>
      <c r="Q6928" t="n">
        <v>0</v>
      </c>
      <c r="R6928" t="n">
        <v>0</v>
      </c>
      <c r="S6928" t="n">
        <v>0</v>
      </c>
      <c r="T6928" t="n">
        <v>0</v>
      </c>
      <c r="U6928" t="n">
        <v>0</v>
      </c>
      <c r="V6928" s="2" t="inlineStr"/>
    </row>
    <row r="6929" ht="15" customHeight="1">
      <c r="A6929" t="inlineStr">
        <is>
          <t>A 3689-2022</t>
        </is>
      </c>
      <c r="B6929" t="inlineStr">
        <is>
          <t>avverkningsanmälan</t>
        </is>
      </c>
      <c r="C6929" t="inlineStr">
        <is>
          <t>Föryngringsavverkning</t>
        </is>
      </c>
      <c r="D6929" s="1" t="n">
        <v>44586</v>
      </c>
      <c r="E6929" s="1" t="n">
        <v>46319</v>
      </c>
      <c r="F6929" t="inlineStr">
        <is>
          <t>DALARNAS LÄN</t>
        </is>
      </c>
      <c r="G6929" t="inlineStr">
        <is>
          <t>FALUN</t>
        </is>
      </c>
      <c r="I6929" t="n">
        <v>4.7</v>
      </c>
      <c r="J6929" t="n">
        <v>0</v>
      </c>
      <c r="K6929" t="n">
        <v>0</v>
      </c>
      <c r="L6929" t="n">
        <v>0</v>
      </c>
      <c r="M6929" t="n">
        <v>0</v>
      </c>
      <c r="N6929" t="n">
        <v>0</v>
      </c>
      <c r="O6929" t="n">
        <v>0</v>
      </c>
      <c r="P6929" t="n">
        <v>0</v>
      </c>
      <c r="Q6929" t="n">
        <v>0</v>
      </c>
      <c r="R6929" t="n">
        <v>0</v>
      </c>
      <c r="S6929" t="n">
        <v>0</v>
      </c>
      <c r="T6929" t="n">
        <v>0</v>
      </c>
      <c r="U6929" t="n">
        <v>0</v>
      </c>
      <c r="V6929" s="2" t="inlineStr"/>
    </row>
    <row r="6930" ht="15" customHeight="1">
      <c r="A6930" t="inlineStr">
        <is>
          <t>A 61653-2024</t>
        </is>
      </c>
      <c r="B6930" t="inlineStr">
        <is>
          <t>avverkningsanmälan</t>
        </is>
      </c>
      <c r="C6930" t="inlineStr">
        <is>
          <t>Föryngringsavverkning</t>
        </is>
      </c>
      <c r="D6930" s="1" t="n">
        <v>45646</v>
      </c>
      <c r="E6930" s="1" t="n">
        <v>46319</v>
      </c>
      <c r="F6930" t="inlineStr">
        <is>
          <t>DALARNAS LÄN</t>
        </is>
      </c>
      <c r="G6930" t="inlineStr">
        <is>
          <t>VANSBRO</t>
        </is>
      </c>
      <c r="I6930" t="n">
        <v>3.7</v>
      </c>
      <c r="J6930" t="n">
        <v>0</v>
      </c>
      <c r="K6930" t="n">
        <v>0</v>
      </c>
      <c r="L6930" t="n">
        <v>0</v>
      </c>
      <c r="M6930" t="n">
        <v>0</v>
      </c>
      <c r="N6930" t="n">
        <v>0</v>
      </c>
      <c r="O6930" t="n">
        <v>0</v>
      </c>
      <c r="P6930" t="n">
        <v>0</v>
      </c>
      <c r="Q6930" t="n">
        <v>0</v>
      </c>
      <c r="R6930" t="n">
        <v>0</v>
      </c>
      <c r="S6930" t="n">
        <v>0</v>
      </c>
      <c r="T6930" t="n">
        <v>0</v>
      </c>
      <c r="U6930" t="n">
        <v>0</v>
      </c>
      <c r="V6930" s="2" t="inlineStr"/>
    </row>
    <row r="6931" ht="15" customHeight="1">
      <c r="A6931" t="inlineStr">
        <is>
          <t>A 61654-2024</t>
        </is>
      </c>
      <c r="B6931" t="inlineStr">
        <is>
          <t>avverkningsanmälan</t>
        </is>
      </c>
      <c r="C6931" t="inlineStr">
        <is>
          <t>Föryngringsavverkning</t>
        </is>
      </c>
      <c r="D6931" s="1" t="n">
        <v>45646</v>
      </c>
      <c r="E6931" s="1" t="n">
        <v>46319</v>
      </c>
      <c r="F6931" t="inlineStr">
        <is>
          <t>DALARNAS LÄN</t>
        </is>
      </c>
      <c r="G6931" t="inlineStr">
        <is>
          <t>MORA</t>
        </is>
      </c>
      <c r="I6931" t="n">
        <v>1.7</v>
      </c>
      <c r="J6931" t="n">
        <v>0</v>
      </c>
      <c r="K6931" t="n">
        <v>0</v>
      </c>
      <c r="L6931" t="n">
        <v>0</v>
      </c>
      <c r="M6931" t="n">
        <v>0</v>
      </c>
      <c r="N6931" t="n">
        <v>0</v>
      </c>
      <c r="O6931" t="n">
        <v>0</v>
      </c>
      <c r="P6931" t="n">
        <v>0</v>
      </c>
      <c r="Q6931" t="n">
        <v>0</v>
      </c>
      <c r="R6931" t="n">
        <v>0</v>
      </c>
      <c r="S6931" t="n">
        <v>0</v>
      </c>
      <c r="T6931" t="n">
        <v>0</v>
      </c>
      <c r="U6931" t="n">
        <v>0</v>
      </c>
      <c r="V6931" s="2" t="inlineStr"/>
    </row>
    <row r="6932" ht="15" customHeight="1">
      <c r="A6932" t="inlineStr">
        <is>
          <t>A 42527-2026</t>
        </is>
      </c>
      <c r="B6932" t="inlineStr">
        <is>
          <t>avverkningsanmälan</t>
        </is>
      </c>
      <c r="C6932" t="inlineStr">
        <is>
          <t>Föryngringsavverkning</t>
        </is>
      </c>
      <c r="D6932" s="1" t="n">
        <v>46308</v>
      </c>
      <c r="E6932" s="1" t="n">
        <v>46319</v>
      </c>
      <c r="F6932" t="inlineStr">
        <is>
          <t>DALARNAS LÄN</t>
        </is>
      </c>
      <c r="G6932" t="inlineStr">
        <is>
          <t>ORSA</t>
        </is>
      </c>
      <c r="I6932" t="n">
        <v>0.5</v>
      </c>
      <c r="J6932" t="n">
        <v>0</v>
      </c>
      <c r="K6932" t="n">
        <v>0</v>
      </c>
      <c r="L6932" t="n">
        <v>0</v>
      </c>
      <c r="M6932" t="n">
        <v>0</v>
      </c>
      <c r="N6932" t="n">
        <v>0</v>
      </c>
      <c r="O6932" t="n">
        <v>0</v>
      </c>
      <c r="P6932" t="n">
        <v>0</v>
      </c>
      <c r="Q6932" t="n">
        <v>0</v>
      </c>
      <c r="R6932" t="n">
        <v>0</v>
      </c>
      <c r="S6932" t="n">
        <v>0</v>
      </c>
      <c r="T6932" t="n">
        <v>0</v>
      </c>
      <c r="U6932" t="n">
        <v>0</v>
      </c>
      <c r="V6932" s="2" t="inlineStr"/>
    </row>
    <row r="6933" ht="15" customHeight="1">
      <c r="A6933" t="inlineStr">
        <is>
          <t>A 42363-2026</t>
        </is>
      </c>
      <c r="B6933" t="inlineStr">
        <is>
          <t>avverkningsanmälan</t>
        </is>
      </c>
      <c r="C6933" t="inlineStr">
        <is>
          <t>Föryngringsavverkning</t>
        </is>
      </c>
      <c r="D6933" s="1" t="n">
        <v>46307</v>
      </c>
      <c r="E6933" s="1" t="n">
        <v>46319</v>
      </c>
      <c r="F6933" t="inlineStr">
        <is>
          <t>DALARNAS LÄN</t>
        </is>
      </c>
      <c r="G6933" t="inlineStr">
        <is>
          <t>AVESTA</t>
        </is>
      </c>
      <c r="H6933" t="inlineStr">
        <is>
          <t>Sveaskog</t>
        </is>
      </c>
      <c r="I6933" t="n">
        <v>1.3</v>
      </c>
      <c r="J6933" t="n">
        <v>0</v>
      </c>
      <c r="K6933" t="n">
        <v>0</v>
      </c>
      <c r="L6933" t="n">
        <v>0</v>
      </c>
      <c r="M6933" t="n">
        <v>0</v>
      </c>
      <c r="N6933" t="n">
        <v>0</v>
      </c>
      <c r="O6933" t="n">
        <v>0</v>
      </c>
      <c r="P6933" t="n">
        <v>0</v>
      </c>
      <c r="Q6933" t="n">
        <v>0</v>
      </c>
      <c r="R6933" t="n">
        <v>0</v>
      </c>
      <c r="S6933" t="n">
        <v>0</v>
      </c>
      <c r="T6933" t="n">
        <v>0</v>
      </c>
      <c r="U6933" t="n">
        <v>0</v>
      </c>
      <c r="V6933" s="2" t="inlineStr"/>
    </row>
    <row r="6934" ht="15" customHeight="1">
      <c r="A6934" t="inlineStr">
        <is>
          <t>A 19728-2026</t>
        </is>
      </c>
      <c r="B6934" t="inlineStr">
        <is>
          <t>avverkningsanmälan</t>
        </is>
      </c>
      <c r="C6934" t="inlineStr">
        <is>
          <t>Föryngringsavverkning</t>
        </is>
      </c>
      <c r="D6934" s="1" t="n">
        <v>46135</v>
      </c>
      <c r="E6934" s="1" t="n">
        <v>46319</v>
      </c>
      <c r="F6934" t="inlineStr">
        <is>
          <t>DALARNAS LÄN</t>
        </is>
      </c>
      <c r="G6934" t="inlineStr">
        <is>
          <t>FALUN</t>
        </is>
      </c>
      <c r="H6934" t="inlineStr">
        <is>
          <t>Bergvik skog väst AB</t>
        </is>
      </c>
      <c r="I6934" t="n">
        <v>1</v>
      </c>
      <c r="J6934" t="n">
        <v>0</v>
      </c>
      <c r="K6934" t="n">
        <v>0</v>
      </c>
      <c r="L6934" t="n">
        <v>0</v>
      </c>
      <c r="M6934" t="n">
        <v>0</v>
      </c>
      <c r="N6934" t="n">
        <v>0</v>
      </c>
      <c r="O6934" t="n">
        <v>0</v>
      </c>
      <c r="P6934" t="n">
        <v>0</v>
      </c>
      <c r="Q6934" t="n">
        <v>0</v>
      </c>
      <c r="R6934" t="n">
        <v>0</v>
      </c>
      <c r="S6934" t="n">
        <v>0</v>
      </c>
      <c r="T6934" t="n">
        <v>0</v>
      </c>
      <c r="U6934" t="n">
        <v>0</v>
      </c>
      <c r="V6934" s="2" t="inlineStr"/>
    </row>
    <row r="6935" ht="15" customHeight="1">
      <c r="A6935" t="inlineStr">
        <is>
          <t>A 42365-2026</t>
        </is>
      </c>
      <c r="B6935" t="inlineStr">
        <is>
          <t>avverkningsanmälan</t>
        </is>
      </c>
      <c r="C6935" t="inlineStr">
        <is>
          <t>Föryngringsavverkning</t>
        </is>
      </c>
      <c r="D6935" s="1" t="n">
        <v>46307</v>
      </c>
      <c r="E6935" s="1" t="n">
        <v>46319</v>
      </c>
      <c r="F6935" t="inlineStr">
        <is>
          <t>DALARNAS LÄN</t>
        </is>
      </c>
      <c r="G6935" t="inlineStr">
        <is>
          <t>AVESTA</t>
        </is>
      </c>
      <c r="H6935" t="inlineStr">
        <is>
          <t>Sveaskog</t>
        </is>
      </c>
      <c r="I6935" t="n">
        <v>1.4</v>
      </c>
      <c r="J6935" t="n">
        <v>0</v>
      </c>
      <c r="K6935" t="n">
        <v>0</v>
      </c>
      <c r="L6935" t="n">
        <v>0</v>
      </c>
      <c r="M6935" t="n">
        <v>0</v>
      </c>
      <c r="N6935" t="n">
        <v>0</v>
      </c>
      <c r="O6935" t="n">
        <v>0</v>
      </c>
      <c r="P6935" t="n">
        <v>0</v>
      </c>
      <c r="Q6935" t="n">
        <v>0</v>
      </c>
      <c r="R6935" t="n">
        <v>0</v>
      </c>
      <c r="S6935" t="n">
        <v>0</v>
      </c>
      <c r="T6935" t="n">
        <v>0</v>
      </c>
      <c r="U6935" t="n">
        <v>0</v>
      </c>
      <c r="V6935" s="2" t="inlineStr"/>
    </row>
    <row r="6936" ht="15" customHeight="1">
      <c r="A6936" t="inlineStr">
        <is>
          <t>A 61685-2024</t>
        </is>
      </c>
      <c r="B6936" t="inlineStr">
        <is>
          <t>avverkningsanmälan</t>
        </is>
      </c>
      <c r="C6936" t="inlineStr">
        <is>
          <t>Föryngringsavverkning</t>
        </is>
      </c>
      <c r="D6936" s="1" t="n">
        <v>45647</v>
      </c>
      <c r="E6936" s="1" t="n">
        <v>46319</v>
      </c>
      <c r="F6936" t="inlineStr">
        <is>
          <t>DALARNAS LÄN</t>
        </is>
      </c>
      <c r="G6936" t="inlineStr">
        <is>
          <t>ORSA</t>
        </is>
      </c>
      <c r="I6936" t="n">
        <v>0.8</v>
      </c>
      <c r="J6936" t="n">
        <v>0</v>
      </c>
      <c r="K6936" t="n">
        <v>0</v>
      </c>
      <c r="L6936" t="n">
        <v>0</v>
      </c>
      <c r="M6936" t="n">
        <v>0</v>
      </c>
      <c r="N6936" t="n">
        <v>0</v>
      </c>
      <c r="O6936" t="n">
        <v>0</v>
      </c>
      <c r="P6936" t="n">
        <v>0</v>
      </c>
      <c r="Q6936" t="n">
        <v>0</v>
      </c>
      <c r="R6936" t="n">
        <v>0</v>
      </c>
      <c r="S6936" t="n">
        <v>0</v>
      </c>
      <c r="T6936" t="n">
        <v>0</v>
      </c>
      <c r="U6936" t="n">
        <v>0</v>
      </c>
      <c r="V6936" s="2" t="inlineStr"/>
    </row>
    <row r="6937" ht="15" customHeight="1">
      <c r="A6937" t="inlineStr">
        <is>
          <t>A 47203-2023</t>
        </is>
      </c>
      <c r="B6937" t="inlineStr">
        <is>
          <t>avverkningsanmälan</t>
        </is>
      </c>
      <c r="C6937" t="inlineStr">
        <is>
          <t>Avverkning för annat ändamål</t>
        </is>
      </c>
      <c r="D6937" s="1" t="n">
        <v>45202</v>
      </c>
      <c r="E6937" s="1" t="n">
        <v>46319</v>
      </c>
      <c r="F6937" t="inlineStr">
        <is>
          <t>DALARNAS LÄN</t>
        </is>
      </c>
      <c r="G6937" t="inlineStr">
        <is>
          <t>LEKSAND</t>
        </is>
      </c>
      <c r="I6937" t="n">
        <v>2.1</v>
      </c>
      <c r="J6937" t="n">
        <v>0</v>
      </c>
      <c r="K6937" t="n">
        <v>0</v>
      </c>
      <c r="L6937" t="n">
        <v>0</v>
      </c>
      <c r="M6937" t="n">
        <v>0</v>
      </c>
      <c r="N6937" t="n">
        <v>0</v>
      </c>
      <c r="O6937" t="n">
        <v>0</v>
      </c>
      <c r="P6937" t="n">
        <v>0</v>
      </c>
      <c r="Q6937" t="n">
        <v>0</v>
      </c>
      <c r="R6937" t="n">
        <v>0</v>
      </c>
      <c r="S6937" t="n">
        <v>0</v>
      </c>
      <c r="T6937" t="n">
        <v>0</v>
      </c>
      <c r="U6937" t="n">
        <v>0</v>
      </c>
      <c r="V6937" s="2" t="inlineStr"/>
    </row>
    <row r="6938" ht="15" customHeight="1">
      <c r="A6938" t="inlineStr">
        <is>
          <t>A 17905-2026</t>
        </is>
      </c>
      <c r="B6938" t="inlineStr">
        <is>
          <t>avverkningsanmälan</t>
        </is>
      </c>
      <c r="C6938" t="inlineStr">
        <is>
          <t>Föryngringsavverkning</t>
        </is>
      </c>
      <c r="D6938" s="1" t="n">
        <v>46122</v>
      </c>
      <c r="E6938" s="1" t="n">
        <v>46319</v>
      </c>
      <c r="F6938" t="inlineStr">
        <is>
          <t>DALARNAS LÄN</t>
        </is>
      </c>
      <c r="G6938" t="inlineStr">
        <is>
          <t>FALUN</t>
        </is>
      </c>
      <c r="I6938" t="n">
        <v>0.9</v>
      </c>
      <c r="J6938" t="n">
        <v>0</v>
      </c>
      <c r="K6938" t="n">
        <v>0</v>
      </c>
      <c r="L6938" t="n">
        <v>0</v>
      </c>
      <c r="M6938" t="n">
        <v>0</v>
      </c>
      <c r="N6938" t="n">
        <v>0</v>
      </c>
      <c r="O6938" t="n">
        <v>0</v>
      </c>
      <c r="P6938" t="n">
        <v>0</v>
      </c>
      <c r="Q6938" t="n">
        <v>0</v>
      </c>
      <c r="R6938" t="n">
        <v>0</v>
      </c>
      <c r="S6938" t="n">
        <v>0</v>
      </c>
      <c r="T6938" t="n">
        <v>0</v>
      </c>
      <c r="U6938" t="n">
        <v>0</v>
      </c>
      <c r="V6938" s="2" t="inlineStr"/>
    </row>
    <row r="6939" ht="15" customHeight="1">
      <c r="A6939" t="inlineStr">
        <is>
          <t>A 18771-2026</t>
        </is>
      </c>
      <c r="B6939" t="inlineStr">
        <is>
          <t>avverkningsanmälan</t>
        </is>
      </c>
      <c r="C6939" t="inlineStr">
        <is>
          <t>Föryngringsavverkning</t>
        </is>
      </c>
      <c r="D6939" s="1" t="n">
        <v>46128</v>
      </c>
      <c r="E6939" s="1" t="n">
        <v>46319</v>
      </c>
      <c r="F6939" t="inlineStr">
        <is>
          <t>DALARNAS LÄN</t>
        </is>
      </c>
      <c r="G6939" t="inlineStr">
        <is>
          <t>FALUN</t>
        </is>
      </c>
      <c r="H6939" t="inlineStr">
        <is>
          <t>Bergvik skog väst AB</t>
        </is>
      </c>
      <c r="I6939" t="n">
        <v>2</v>
      </c>
      <c r="J6939" t="n">
        <v>0</v>
      </c>
      <c r="K6939" t="n">
        <v>0</v>
      </c>
      <c r="L6939" t="n">
        <v>0</v>
      </c>
      <c r="M6939" t="n">
        <v>0</v>
      </c>
      <c r="N6939" t="n">
        <v>0</v>
      </c>
      <c r="O6939" t="n">
        <v>0</v>
      </c>
      <c r="P6939" t="n">
        <v>0</v>
      </c>
      <c r="Q6939" t="n">
        <v>0</v>
      </c>
      <c r="R6939" t="n">
        <v>0</v>
      </c>
      <c r="S6939" t="n">
        <v>0</v>
      </c>
      <c r="T6939" t="n">
        <v>0</v>
      </c>
      <c r="U6939" t="n">
        <v>0</v>
      </c>
      <c r="V6939" s="2" t="inlineStr"/>
    </row>
    <row r="6940" ht="15" customHeight="1">
      <c r="A6940" t="inlineStr">
        <is>
          <t>A 771-2025</t>
        </is>
      </c>
      <c r="B6940" t="inlineStr">
        <is>
          <t>avverkningsanmälan</t>
        </is>
      </c>
      <c r="C6940" t="inlineStr">
        <is>
          <t>Föryngringsavverkning</t>
        </is>
      </c>
      <c r="D6940" s="1" t="n">
        <v>45665</v>
      </c>
      <c r="E6940" s="1" t="n">
        <v>46319</v>
      </c>
      <c r="F6940" t="inlineStr">
        <is>
          <t>DALARNAS LÄN</t>
        </is>
      </c>
      <c r="G6940" t="inlineStr">
        <is>
          <t>ÄLVDALEN</t>
        </is>
      </c>
      <c r="I6940" t="n">
        <v>1</v>
      </c>
      <c r="J6940" t="n">
        <v>0</v>
      </c>
      <c r="K6940" t="n">
        <v>0</v>
      </c>
      <c r="L6940" t="n">
        <v>0</v>
      </c>
      <c r="M6940" t="n">
        <v>0</v>
      </c>
      <c r="N6940" t="n">
        <v>0</v>
      </c>
      <c r="O6940" t="n">
        <v>0</v>
      </c>
      <c r="P6940" t="n">
        <v>0</v>
      </c>
      <c r="Q6940" t="n">
        <v>0</v>
      </c>
      <c r="R6940" t="n">
        <v>0</v>
      </c>
      <c r="S6940" t="n">
        <v>0</v>
      </c>
      <c r="T6940" t="n">
        <v>0</v>
      </c>
      <c r="U6940" t="n">
        <v>0</v>
      </c>
      <c r="V6940" s="2" t="inlineStr"/>
    </row>
    <row r="6941" ht="15" customHeight="1">
      <c r="A6941" t="inlineStr">
        <is>
          <t>A 38034-2024</t>
        </is>
      </c>
      <c r="B6941" t="inlineStr">
        <is>
          <t>avverkningsanmälan</t>
        </is>
      </c>
      <c r="C6941" t="inlineStr">
        <is>
          <t>Föryngringsavverkning</t>
        </is>
      </c>
      <c r="D6941" s="1" t="n">
        <v>45544</v>
      </c>
      <c r="E6941" s="1" t="n">
        <v>46319</v>
      </c>
      <c r="F6941" t="inlineStr">
        <is>
          <t>DALARNAS LÄN</t>
        </is>
      </c>
      <c r="G6941" t="inlineStr">
        <is>
          <t>VANSBRO</t>
        </is>
      </c>
      <c r="H6941" t="inlineStr">
        <is>
          <t>Övriga statliga verk och myndigheter</t>
        </is>
      </c>
      <c r="I6941" t="n">
        <v>1.4</v>
      </c>
      <c r="J6941" t="n">
        <v>0</v>
      </c>
      <c r="K6941" t="n">
        <v>0</v>
      </c>
      <c r="L6941" t="n">
        <v>0</v>
      </c>
      <c r="M6941" t="n">
        <v>0</v>
      </c>
      <c r="N6941" t="n">
        <v>0</v>
      </c>
      <c r="O6941" t="n">
        <v>0</v>
      </c>
      <c r="P6941" t="n">
        <v>0</v>
      </c>
      <c r="Q6941" t="n">
        <v>0</v>
      </c>
      <c r="R6941" t="n">
        <v>0</v>
      </c>
      <c r="S6941" t="n">
        <v>0</v>
      </c>
      <c r="T6941" t="n">
        <v>0</v>
      </c>
      <c r="U6941" t="n">
        <v>0</v>
      </c>
      <c r="V6941" s="2" t="inlineStr"/>
    </row>
    <row r="6942" ht="15" customHeight="1">
      <c r="A6942" t="inlineStr">
        <is>
          <t>A 38074-2024</t>
        </is>
      </c>
      <c r="B6942" t="inlineStr">
        <is>
          <t>avverkningsanmälan</t>
        </is>
      </c>
      <c r="C6942" t="inlineStr">
        <is>
          <t>Föryngringsavverkning</t>
        </is>
      </c>
      <c r="D6942" s="1" t="n">
        <v>45545</v>
      </c>
      <c r="E6942" s="1" t="n">
        <v>46319</v>
      </c>
      <c r="F6942" t="inlineStr">
        <is>
          <t>DALARNAS LÄN</t>
        </is>
      </c>
      <c r="G6942" t="inlineStr">
        <is>
          <t>GAGNEF</t>
        </is>
      </c>
      <c r="I6942" t="n">
        <v>1</v>
      </c>
      <c r="J6942" t="n">
        <v>0</v>
      </c>
      <c r="K6942" t="n">
        <v>0</v>
      </c>
      <c r="L6942" t="n">
        <v>0</v>
      </c>
      <c r="M6942" t="n">
        <v>0</v>
      </c>
      <c r="N6942" t="n">
        <v>0</v>
      </c>
      <c r="O6942" t="n">
        <v>0</v>
      </c>
      <c r="P6942" t="n">
        <v>0</v>
      </c>
      <c r="Q6942" t="n">
        <v>0</v>
      </c>
      <c r="R6942" t="n">
        <v>0</v>
      </c>
      <c r="S6942" t="n">
        <v>0</v>
      </c>
      <c r="T6942" t="n">
        <v>0</v>
      </c>
      <c r="U6942" t="n">
        <v>0</v>
      </c>
      <c r="V6942" s="2" t="inlineStr"/>
    </row>
    <row r="6943" ht="15" customHeight="1">
      <c r="A6943" t="inlineStr">
        <is>
          <t>A 48527-2023</t>
        </is>
      </c>
      <c r="B6943" t="inlineStr">
        <is>
          <t>avverkningsanmälan</t>
        </is>
      </c>
      <c r="C6943" t="inlineStr">
        <is>
          <t>Föryngringsavverkning</t>
        </is>
      </c>
      <c r="D6943" s="1" t="n">
        <v>45208</v>
      </c>
      <c r="E6943" s="1" t="n">
        <v>46319</v>
      </c>
      <c r="F6943" t="inlineStr">
        <is>
          <t>DALARNAS LÄN</t>
        </is>
      </c>
      <c r="G6943" t="inlineStr">
        <is>
          <t>SMEDJEBACKEN</t>
        </is>
      </c>
      <c r="I6943" t="n">
        <v>1.9</v>
      </c>
      <c r="J6943" t="n">
        <v>0</v>
      </c>
      <c r="K6943" t="n">
        <v>0</v>
      </c>
      <c r="L6943" t="n">
        <v>0</v>
      </c>
      <c r="M6943" t="n">
        <v>0</v>
      </c>
      <c r="N6943" t="n">
        <v>0</v>
      </c>
      <c r="O6943" t="n">
        <v>0</v>
      </c>
      <c r="P6943" t="n">
        <v>0</v>
      </c>
      <c r="Q6943" t="n">
        <v>0</v>
      </c>
      <c r="R6943" t="n">
        <v>0</v>
      </c>
      <c r="S6943" t="n">
        <v>0</v>
      </c>
      <c r="T6943" t="n">
        <v>0</v>
      </c>
      <c r="U6943" t="n">
        <v>0</v>
      </c>
      <c r="V6943" s="2" t="inlineStr"/>
    </row>
    <row r="6944" ht="15" customHeight="1">
      <c r="A6944" t="inlineStr">
        <is>
          <t>A 9105-2024</t>
        </is>
      </c>
      <c r="B6944" t="inlineStr">
        <is>
          <t>avverkningsanmälan</t>
        </is>
      </c>
      <c r="C6944" t="inlineStr">
        <is>
          <t>Avverkning för annat ändamål</t>
        </is>
      </c>
      <c r="D6944" s="1" t="n">
        <v>45357</v>
      </c>
      <c r="E6944" s="1" t="n">
        <v>46319</v>
      </c>
      <c r="F6944" t="inlineStr">
        <is>
          <t>DALARNAS LÄN</t>
        </is>
      </c>
      <c r="G6944" t="inlineStr">
        <is>
          <t>LEKSAND</t>
        </is>
      </c>
      <c r="I6944" t="n">
        <v>1.2</v>
      </c>
      <c r="J6944" t="n">
        <v>0</v>
      </c>
      <c r="K6944" t="n">
        <v>0</v>
      </c>
      <c r="L6944" t="n">
        <v>0</v>
      </c>
      <c r="M6944" t="n">
        <v>0</v>
      </c>
      <c r="N6944" t="n">
        <v>0</v>
      </c>
      <c r="O6944" t="n">
        <v>0</v>
      </c>
      <c r="P6944" t="n">
        <v>0</v>
      </c>
      <c r="Q6944" t="n">
        <v>0</v>
      </c>
      <c r="R6944" t="n">
        <v>0</v>
      </c>
      <c r="S6944" t="n">
        <v>0</v>
      </c>
      <c r="T6944" t="n">
        <v>0</v>
      </c>
      <c r="U6944" t="n">
        <v>0</v>
      </c>
      <c r="V6944" s="2" t="inlineStr"/>
    </row>
    <row r="6945" ht="15" customHeight="1">
      <c r="A6945" t="inlineStr">
        <is>
          <t>A 50447-2023</t>
        </is>
      </c>
      <c r="B6945" t="inlineStr">
        <is>
          <t>avverkningsanmälan</t>
        </is>
      </c>
      <c r="C6945" t="inlineStr">
        <is>
          <t>Föryngringsavverkning</t>
        </is>
      </c>
      <c r="D6945" s="1" t="n">
        <v>45216</v>
      </c>
      <c r="E6945" s="1" t="n">
        <v>46319</v>
      </c>
      <c r="F6945" t="inlineStr">
        <is>
          <t>DALARNAS LÄN</t>
        </is>
      </c>
      <c r="G6945" t="inlineStr">
        <is>
          <t>LEKSAND</t>
        </is>
      </c>
      <c r="I6945" t="n">
        <v>1.1</v>
      </c>
      <c r="J6945" t="n">
        <v>0</v>
      </c>
      <c r="K6945" t="n">
        <v>0</v>
      </c>
      <c r="L6945" t="n">
        <v>0</v>
      </c>
      <c r="M6945" t="n">
        <v>0</v>
      </c>
      <c r="N6945" t="n">
        <v>0</v>
      </c>
      <c r="O6945" t="n">
        <v>0</v>
      </c>
      <c r="P6945" t="n">
        <v>0</v>
      </c>
      <c r="Q6945" t="n">
        <v>0</v>
      </c>
      <c r="R6945" t="n">
        <v>0</v>
      </c>
      <c r="S6945" t="n">
        <v>0</v>
      </c>
      <c r="T6945" t="n">
        <v>0</v>
      </c>
      <c r="U6945" t="n">
        <v>0</v>
      </c>
      <c r="V6945" s="2" t="inlineStr"/>
    </row>
    <row r="6946" ht="15" customHeight="1">
      <c r="A6946" t="inlineStr">
        <is>
          <t>A 19892-2026</t>
        </is>
      </c>
      <c r="B6946" t="inlineStr">
        <is>
          <t>avverkningsanmälan</t>
        </is>
      </c>
      <c r="C6946" t="inlineStr">
        <is>
          <t>Föryngringsavverkning</t>
        </is>
      </c>
      <c r="D6946" s="1" t="n">
        <v>46135</v>
      </c>
      <c r="E6946" s="1" t="n">
        <v>46319</v>
      </c>
      <c r="F6946" t="inlineStr">
        <is>
          <t>DALARNAS LÄN</t>
        </is>
      </c>
      <c r="G6946" t="inlineStr">
        <is>
          <t>FALUN</t>
        </is>
      </c>
      <c r="I6946" t="n">
        <v>3.5</v>
      </c>
      <c r="J6946" t="n">
        <v>0</v>
      </c>
      <c r="K6946" t="n">
        <v>0</v>
      </c>
      <c r="L6946" t="n">
        <v>0</v>
      </c>
      <c r="M6946" t="n">
        <v>0</v>
      </c>
      <c r="N6946" t="n">
        <v>0</v>
      </c>
      <c r="O6946" t="n">
        <v>0</v>
      </c>
      <c r="P6946" t="n">
        <v>0</v>
      </c>
      <c r="Q6946" t="n">
        <v>0</v>
      </c>
      <c r="R6946" t="n">
        <v>0</v>
      </c>
      <c r="S6946" t="n">
        <v>0</v>
      </c>
      <c r="T6946" t="n">
        <v>0</v>
      </c>
      <c r="U6946" t="n">
        <v>0</v>
      </c>
      <c r="V6946" s="2" t="inlineStr"/>
    </row>
    <row r="6947" ht="15" customHeight="1">
      <c r="A6947" t="inlineStr">
        <is>
          <t>A 35579-2026</t>
        </is>
      </c>
      <c r="B6947" t="inlineStr">
        <is>
          <t>avverkningsanmälan</t>
        </is>
      </c>
      <c r="C6947" t="inlineStr">
        <is>
          <t>Avverkning för annat ändamål</t>
        </is>
      </c>
      <c r="D6947" s="1" t="n">
        <v>46262</v>
      </c>
      <c r="E6947" s="1" t="n">
        <v>46319</v>
      </c>
      <c r="F6947" t="inlineStr">
        <is>
          <t>DALARNAS LÄN</t>
        </is>
      </c>
      <c r="G6947" t="inlineStr">
        <is>
          <t>VANSBRO</t>
        </is>
      </c>
      <c r="I6947" t="n">
        <v>2.4</v>
      </c>
      <c r="J6947" t="n">
        <v>0</v>
      </c>
      <c r="K6947" t="n">
        <v>0</v>
      </c>
      <c r="L6947" t="n">
        <v>0</v>
      </c>
      <c r="M6947" t="n">
        <v>0</v>
      </c>
      <c r="N6947" t="n">
        <v>0</v>
      </c>
      <c r="O6947" t="n">
        <v>0</v>
      </c>
      <c r="P6947" t="n">
        <v>0</v>
      </c>
      <c r="Q6947" t="n">
        <v>0</v>
      </c>
      <c r="R6947" t="n">
        <v>0</v>
      </c>
      <c r="S6947" t="n">
        <v>0</v>
      </c>
      <c r="T6947" t="n">
        <v>0</v>
      </c>
      <c r="U6947" t="n">
        <v>0</v>
      </c>
      <c r="V6947" s="2" t="inlineStr"/>
    </row>
    <row r="6948" ht="15" customHeight="1">
      <c r="A6948" t="inlineStr">
        <is>
          <t>A 4766-2026</t>
        </is>
      </c>
      <c r="B6948" t="inlineStr">
        <is>
          <t>avverkningsanmälan</t>
        </is>
      </c>
      <c r="C6948" t="inlineStr">
        <is>
          <t>Föryngringsavverkning</t>
        </is>
      </c>
      <c r="D6948" s="1" t="n">
        <v>46048</v>
      </c>
      <c r="E6948" s="1" t="n">
        <v>46319</v>
      </c>
      <c r="F6948" t="inlineStr">
        <is>
          <t>DALARNAS LÄN</t>
        </is>
      </c>
      <c r="G6948" t="inlineStr">
        <is>
          <t>FALUN</t>
        </is>
      </c>
      <c r="I6948" t="n">
        <v>2.7</v>
      </c>
      <c r="J6948" t="n">
        <v>0</v>
      </c>
      <c r="K6948" t="n">
        <v>0</v>
      </c>
      <c r="L6948" t="n">
        <v>0</v>
      </c>
      <c r="M6948" t="n">
        <v>0</v>
      </c>
      <c r="N6948" t="n">
        <v>0</v>
      </c>
      <c r="O6948" t="n">
        <v>0</v>
      </c>
      <c r="P6948" t="n">
        <v>0</v>
      </c>
      <c r="Q6948" t="n">
        <v>0</v>
      </c>
      <c r="R6948" t="n">
        <v>0</v>
      </c>
      <c r="S6948" t="n">
        <v>0</v>
      </c>
      <c r="T6948" t="n">
        <v>0</v>
      </c>
      <c r="U6948" t="n">
        <v>0</v>
      </c>
      <c r="V6948" s="2" t="inlineStr"/>
    </row>
    <row r="6949" ht="15" customHeight="1">
      <c r="A6949" t="inlineStr">
        <is>
          <t>A 42577-2026</t>
        </is>
      </c>
      <c r="B6949" t="inlineStr">
        <is>
          <t>avverkningsanmälan</t>
        </is>
      </c>
      <c r="C6949" t="inlineStr">
        <is>
          <t>Föryngringsavverkning</t>
        </is>
      </c>
      <c r="D6949" s="1" t="n">
        <v>46308</v>
      </c>
      <c r="E6949" s="1" t="n">
        <v>46319</v>
      </c>
      <c r="F6949" t="inlineStr">
        <is>
          <t>DALARNAS LÄN</t>
        </is>
      </c>
      <c r="G6949" t="inlineStr">
        <is>
          <t>ORSA</t>
        </is>
      </c>
      <c r="H6949" t="inlineStr">
        <is>
          <t>Bergvik skog öst AB</t>
        </is>
      </c>
      <c r="I6949" t="n">
        <v>0.8</v>
      </c>
      <c r="J6949" t="n">
        <v>0</v>
      </c>
      <c r="K6949" t="n">
        <v>0</v>
      </c>
      <c r="L6949" t="n">
        <v>0</v>
      </c>
      <c r="M6949" t="n">
        <v>0</v>
      </c>
      <c r="N6949" t="n">
        <v>0</v>
      </c>
      <c r="O6949" t="n">
        <v>0</v>
      </c>
      <c r="P6949" t="n">
        <v>0</v>
      </c>
      <c r="Q6949" t="n">
        <v>0</v>
      </c>
      <c r="R6949" t="n">
        <v>0</v>
      </c>
      <c r="S6949" t="n">
        <v>0</v>
      </c>
      <c r="T6949" t="n">
        <v>0</v>
      </c>
      <c r="U6949" t="n">
        <v>0</v>
      </c>
      <c r="V6949" s="2" t="inlineStr"/>
    </row>
    <row r="6950" ht="15" customHeight="1">
      <c r="A6950" t="inlineStr">
        <is>
          <t>A 56268-2024</t>
        </is>
      </c>
      <c r="B6950" t="inlineStr">
        <is>
          <t>avverkningsanmälan</t>
        </is>
      </c>
      <c r="C6950" t="inlineStr">
        <is>
          <t>Avverkning för att bevara och utveckla /försöksver</t>
        </is>
      </c>
      <c r="D6950" s="1" t="n">
        <v>45624</v>
      </c>
      <c r="E6950" s="1" t="n">
        <v>46319</v>
      </c>
      <c r="F6950" t="inlineStr">
        <is>
          <t>DALARNAS LÄN</t>
        </is>
      </c>
      <c r="G6950" t="inlineStr">
        <is>
          <t>MORA</t>
        </is>
      </c>
      <c r="I6950" t="n">
        <v>2.7</v>
      </c>
      <c r="J6950" t="n">
        <v>0</v>
      </c>
      <c r="K6950" t="n">
        <v>0</v>
      </c>
      <c r="L6950" t="n">
        <v>0</v>
      </c>
      <c r="M6950" t="n">
        <v>0</v>
      </c>
      <c r="N6950" t="n">
        <v>0</v>
      </c>
      <c r="O6950" t="n">
        <v>0</v>
      </c>
      <c r="P6950" t="n">
        <v>0</v>
      </c>
      <c r="Q6950" t="n">
        <v>0</v>
      </c>
      <c r="R6950" t="n">
        <v>0</v>
      </c>
      <c r="S6950" t="n">
        <v>0</v>
      </c>
      <c r="T6950" t="n">
        <v>0</v>
      </c>
      <c r="U6950" t="n">
        <v>0</v>
      </c>
      <c r="V6950" s="2" t="inlineStr"/>
    </row>
    <row r="6951" ht="15" customHeight="1">
      <c r="A6951" t="inlineStr">
        <is>
          <t>A 60683-2024</t>
        </is>
      </c>
      <c r="B6951" t="inlineStr">
        <is>
          <t>avverkningsanmälan</t>
        </is>
      </c>
      <c r="C6951" t="inlineStr">
        <is>
          <t>Föryngringsavverkning</t>
        </is>
      </c>
      <c r="D6951" s="1" t="n">
        <v>45644</v>
      </c>
      <c r="E6951" s="1" t="n">
        <v>46319</v>
      </c>
      <c r="F6951" t="inlineStr">
        <is>
          <t>DALARNAS LÄN</t>
        </is>
      </c>
      <c r="G6951" t="inlineStr">
        <is>
          <t>SMEDJEBACKEN</t>
        </is>
      </c>
      <c r="I6951" t="n">
        <v>0.5</v>
      </c>
      <c r="J6951" t="n">
        <v>0</v>
      </c>
      <c r="K6951" t="n">
        <v>0</v>
      </c>
      <c r="L6951" t="n">
        <v>0</v>
      </c>
      <c r="M6951" t="n">
        <v>0</v>
      </c>
      <c r="N6951" t="n">
        <v>0</v>
      </c>
      <c r="O6951" t="n">
        <v>0</v>
      </c>
      <c r="P6951" t="n">
        <v>0</v>
      </c>
      <c r="Q6951" t="n">
        <v>0</v>
      </c>
      <c r="R6951" t="n">
        <v>0</v>
      </c>
      <c r="S6951" t="n">
        <v>0</v>
      </c>
      <c r="T6951" t="n">
        <v>0</v>
      </c>
      <c r="U6951" t="n">
        <v>0</v>
      </c>
      <c r="V6951" s="2" t="inlineStr"/>
    </row>
    <row r="6952" ht="15" customHeight="1">
      <c r="A6952" t="inlineStr">
        <is>
          <t>A 42270-2026</t>
        </is>
      </c>
      <c r="B6952" t="inlineStr">
        <is>
          <t>avverkningsanmälan</t>
        </is>
      </c>
      <c r="C6952" t="inlineStr">
        <is>
          <t>Föryngringsavverkning</t>
        </is>
      </c>
      <c r="D6952" s="1" t="n">
        <v>46307</v>
      </c>
      <c r="E6952" s="1" t="n">
        <v>46319</v>
      </c>
      <c r="F6952" t="inlineStr">
        <is>
          <t>DALARNAS LÄN</t>
        </is>
      </c>
      <c r="G6952" t="inlineStr">
        <is>
          <t>AVESTA</t>
        </is>
      </c>
      <c r="I6952" t="n">
        <v>1.1</v>
      </c>
      <c r="J6952" t="n">
        <v>0</v>
      </c>
      <c r="K6952" t="n">
        <v>0</v>
      </c>
      <c r="L6952" t="n">
        <v>0</v>
      </c>
      <c r="M6952" t="n">
        <v>0</v>
      </c>
      <c r="N6952" t="n">
        <v>0</v>
      </c>
      <c r="O6952" t="n">
        <v>0</v>
      </c>
      <c r="P6952" t="n">
        <v>0</v>
      </c>
      <c r="Q6952" t="n">
        <v>0</v>
      </c>
      <c r="R6952" t="n">
        <v>0</v>
      </c>
      <c r="S6952" t="n">
        <v>0</v>
      </c>
      <c r="T6952" t="n">
        <v>0</v>
      </c>
      <c r="U6952" t="n">
        <v>0</v>
      </c>
      <c r="V6952" s="2" t="inlineStr"/>
    </row>
    <row r="6953" ht="15" customHeight="1">
      <c r="A6953" t="inlineStr">
        <is>
          <t>A 28055-2024</t>
        </is>
      </c>
      <c r="B6953" t="inlineStr">
        <is>
          <t>avverkningsanmälan</t>
        </is>
      </c>
      <c r="C6953" t="inlineStr">
        <is>
          <t>Föryngringsavverkning</t>
        </is>
      </c>
      <c r="D6953" s="1" t="n">
        <v>45476</v>
      </c>
      <c r="E6953" s="1" t="n">
        <v>46319</v>
      </c>
      <c r="F6953" t="inlineStr">
        <is>
          <t>DALARNAS LÄN</t>
        </is>
      </c>
      <c r="G6953" t="inlineStr">
        <is>
          <t>MALUNG-SÄLEN</t>
        </is>
      </c>
      <c r="I6953" t="n">
        <v>0.6</v>
      </c>
      <c r="J6953" t="n">
        <v>0</v>
      </c>
      <c r="K6953" t="n">
        <v>0</v>
      </c>
      <c r="L6953" t="n">
        <v>0</v>
      </c>
      <c r="M6953" t="n">
        <v>0</v>
      </c>
      <c r="N6953" t="n">
        <v>0</v>
      </c>
      <c r="O6953" t="n">
        <v>0</v>
      </c>
      <c r="P6953" t="n">
        <v>0</v>
      </c>
      <c r="Q6953" t="n">
        <v>0</v>
      </c>
      <c r="R6953" t="n">
        <v>0</v>
      </c>
      <c r="S6953" t="n">
        <v>0</v>
      </c>
      <c r="T6953" t="n">
        <v>0</v>
      </c>
      <c r="U6953" t="n">
        <v>0</v>
      </c>
      <c r="V6953" s="2" t="inlineStr"/>
    </row>
    <row r="6954" ht="15" customHeight="1">
      <c r="A6954" t="inlineStr">
        <is>
          <t>A 35552-2026</t>
        </is>
      </c>
      <c r="B6954" t="inlineStr">
        <is>
          <t>avverkningsanmälan</t>
        </is>
      </c>
      <c r="C6954" t="inlineStr">
        <is>
          <t>Föryngringsavverkning</t>
        </is>
      </c>
      <c r="D6954" s="1" t="n">
        <v>46262</v>
      </c>
      <c r="E6954" s="1" t="n">
        <v>46319</v>
      </c>
      <c r="F6954" t="inlineStr">
        <is>
          <t>DALARNAS LÄN</t>
        </is>
      </c>
      <c r="G6954" t="inlineStr">
        <is>
          <t>ÄLVDALEN</t>
        </is>
      </c>
      <c r="I6954" t="n">
        <v>3.3</v>
      </c>
      <c r="J6954" t="n">
        <v>0</v>
      </c>
      <c r="K6954" t="n">
        <v>0</v>
      </c>
      <c r="L6954" t="n">
        <v>0</v>
      </c>
      <c r="M6954" t="n">
        <v>0</v>
      </c>
      <c r="N6954" t="n">
        <v>0</v>
      </c>
      <c r="O6954" t="n">
        <v>0</v>
      </c>
      <c r="P6954" t="n">
        <v>0</v>
      </c>
      <c r="Q6954" t="n">
        <v>0</v>
      </c>
      <c r="R6954" t="n">
        <v>0</v>
      </c>
      <c r="S6954" t="n">
        <v>0</v>
      </c>
      <c r="T6954" t="n">
        <v>0</v>
      </c>
      <c r="U6954" t="n">
        <v>0</v>
      </c>
      <c r="V6954" s="2" t="inlineStr"/>
    </row>
    <row r="6955" ht="15" customHeight="1">
      <c r="A6955" t="inlineStr">
        <is>
          <t>A 35557-2026</t>
        </is>
      </c>
      <c r="B6955" t="inlineStr">
        <is>
          <t>avverkningsanmälan</t>
        </is>
      </c>
      <c r="C6955" t="inlineStr">
        <is>
          <t>Föryngringsavverkning</t>
        </is>
      </c>
      <c r="D6955" s="1" t="n">
        <v>46262</v>
      </c>
      <c r="E6955" s="1" t="n">
        <v>46319</v>
      </c>
      <c r="F6955" t="inlineStr">
        <is>
          <t>DALARNAS LÄN</t>
        </is>
      </c>
      <c r="G6955" t="inlineStr">
        <is>
          <t>ÄLVDALEN</t>
        </is>
      </c>
      <c r="I6955" t="n">
        <v>1.1</v>
      </c>
      <c r="J6955" t="n">
        <v>0</v>
      </c>
      <c r="K6955" t="n">
        <v>0</v>
      </c>
      <c r="L6955" t="n">
        <v>0</v>
      </c>
      <c r="M6955" t="n">
        <v>0</v>
      </c>
      <c r="N6955" t="n">
        <v>0</v>
      </c>
      <c r="O6955" t="n">
        <v>0</v>
      </c>
      <c r="P6955" t="n">
        <v>0</v>
      </c>
      <c r="Q6955" t="n">
        <v>0</v>
      </c>
      <c r="R6955" t="n">
        <v>0</v>
      </c>
      <c r="S6955" t="n">
        <v>0</v>
      </c>
      <c r="T6955" t="n">
        <v>0</v>
      </c>
      <c r="U6955" t="n">
        <v>0</v>
      </c>
      <c r="V6955" s="2" t="inlineStr"/>
    </row>
    <row r="6956" ht="15" customHeight="1">
      <c r="A6956" t="inlineStr">
        <is>
          <t>A 30154-2026</t>
        </is>
      </c>
      <c r="B6956" t="inlineStr">
        <is>
          <t>avverkningsanmälan</t>
        </is>
      </c>
      <c r="C6956" t="inlineStr">
        <is>
          <t>Föryngringsavverkning</t>
        </is>
      </c>
      <c r="D6956" s="1" t="n">
        <v>46206</v>
      </c>
      <c r="E6956" s="1" t="n">
        <v>46319</v>
      </c>
      <c r="F6956" t="inlineStr">
        <is>
          <t>DALARNAS LÄN</t>
        </is>
      </c>
      <c r="G6956" t="inlineStr">
        <is>
          <t>SMEDJEBACKEN</t>
        </is>
      </c>
      <c r="H6956" t="inlineStr">
        <is>
          <t>Sveaskog</t>
        </is>
      </c>
      <c r="I6956" t="n">
        <v>6.5</v>
      </c>
      <c r="J6956" t="n">
        <v>0</v>
      </c>
      <c r="K6956" t="n">
        <v>0</v>
      </c>
      <c r="L6956" t="n">
        <v>0</v>
      </c>
      <c r="M6956" t="n">
        <v>0</v>
      </c>
      <c r="N6956" t="n">
        <v>0</v>
      </c>
      <c r="O6956" t="n">
        <v>0</v>
      </c>
      <c r="P6956" t="n">
        <v>0</v>
      </c>
      <c r="Q6956" t="n">
        <v>0</v>
      </c>
      <c r="R6956" t="n">
        <v>0</v>
      </c>
      <c r="S6956" t="n">
        <v>0</v>
      </c>
      <c r="T6956" t="n">
        <v>0</v>
      </c>
      <c r="U6956" t="n">
        <v>0</v>
      </c>
      <c r="V6956" s="2" t="inlineStr"/>
    </row>
    <row r="6957" ht="15" customHeight="1">
      <c r="A6957" t="inlineStr">
        <is>
          <t>A 9116-2026</t>
        </is>
      </c>
      <c r="B6957" t="inlineStr">
        <is>
          <t>avverkningsanmälan</t>
        </is>
      </c>
      <c r="C6957" t="inlineStr">
        <is>
          <t>Föryngringsavverkning</t>
        </is>
      </c>
      <c r="D6957" s="1" t="n">
        <v>46069</v>
      </c>
      <c r="E6957" s="1" t="n">
        <v>46319</v>
      </c>
      <c r="F6957" t="inlineStr">
        <is>
          <t>DALARNAS LÄN</t>
        </is>
      </c>
      <c r="G6957" t="inlineStr">
        <is>
          <t>ORSA</t>
        </is>
      </c>
      <c r="I6957" t="n">
        <v>1</v>
      </c>
      <c r="J6957" t="n">
        <v>0</v>
      </c>
      <c r="K6957" t="n">
        <v>0</v>
      </c>
      <c r="L6957" t="n">
        <v>0</v>
      </c>
      <c r="M6957" t="n">
        <v>0</v>
      </c>
      <c r="N6957" t="n">
        <v>0</v>
      </c>
      <c r="O6957" t="n">
        <v>0</v>
      </c>
      <c r="P6957" t="n">
        <v>0</v>
      </c>
      <c r="Q6957" t="n">
        <v>0</v>
      </c>
      <c r="R6957" t="n">
        <v>0</v>
      </c>
      <c r="S6957" t="n">
        <v>0</v>
      </c>
      <c r="T6957" t="n">
        <v>0</v>
      </c>
      <c r="U6957" t="n">
        <v>0</v>
      </c>
      <c r="V6957" s="2" t="inlineStr"/>
    </row>
    <row r="6958" ht="15" customHeight="1">
      <c r="A6958" t="inlineStr">
        <is>
          <t>A 15786-2023</t>
        </is>
      </c>
      <c r="B6958" t="inlineStr">
        <is>
          <t>avverkningsanmälan</t>
        </is>
      </c>
      <c r="C6958" t="inlineStr">
        <is>
          <t>Föryngringsavverkning</t>
        </is>
      </c>
      <c r="D6958" s="1" t="n">
        <v>45021</v>
      </c>
      <c r="E6958" s="1" t="n">
        <v>46319</v>
      </c>
      <c r="F6958" t="inlineStr">
        <is>
          <t>DALARNAS LÄN</t>
        </is>
      </c>
      <c r="G6958" t="inlineStr">
        <is>
          <t>SMEDJEBACKEN</t>
        </is>
      </c>
      <c r="H6958" t="inlineStr">
        <is>
          <t>Kommuner</t>
        </is>
      </c>
      <c r="I6958" t="n">
        <v>1.5</v>
      </c>
      <c r="J6958" t="n">
        <v>0</v>
      </c>
      <c r="K6958" t="n">
        <v>0</v>
      </c>
      <c r="L6958" t="n">
        <v>0</v>
      </c>
      <c r="M6958" t="n">
        <v>0</v>
      </c>
      <c r="N6958" t="n">
        <v>0</v>
      </c>
      <c r="O6958" t="n">
        <v>0</v>
      </c>
      <c r="P6958" t="n">
        <v>0</v>
      </c>
      <c r="Q6958" t="n">
        <v>0</v>
      </c>
      <c r="R6958" t="n">
        <v>0</v>
      </c>
      <c r="S6958" t="n">
        <v>0</v>
      </c>
      <c r="T6958" t="n">
        <v>0</v>
      </c>
      <c r="U6958" t="n">
        <v>0</v>
      </c>
      <c r="V6958" s="2" t="inlineStr"/>
    </row>
    <row r="6959" ht="15" customHeight="1">
      <c r="A6959" t="inlineStr">
        <is>
          <t>A 56680-2022</t>
        </is>
      </c>
      <c r="B6959" t="inlineStr">
        <is>
          <t>avverkningsanmälan</t>
        </is>
      </c>
      <c r="C6959" t="inlineStr">
        <is>
          <t>Föryngringsavverkning</t>
        </is>
      </c>
      <c r="D6959" s="1" t="n">
        <v>44893</v>
      </c>
      <c r="E6959" s="1" t="n">
        <v>46319</v>
      </c>
      <c r="F6959" t="inlineStr">
        <is>
          <t>DALARNAS LÄN</t>
        </is>
      </c>
      <c r="G6959" t="inlineStr">
        <is>
          <t>LUDVIKA</t>
        </is>
      </c>
      <c r="I6959" t="n">
        <v>0.4</v>
      </c>
      <c r="J6959" t="n">
        <v>0</v>
      </c>
      <c r="K6959" t="n">
        <v>0</v>
      </c>
      <c r="L6959" t="n">
        <v>0</v>
      </c>
      <c r="M6959" t="n">
        <v>0</v>
      </c>
      <c r="N6959" t="n">
        <v>0</v>
      </c>
      <c r="O6959" t="n">
        <v>0</v>
      </c>
      <c r="P6959" t="n">
        <v>0</v>
      </c>
      <c r="Q6959" t="n">
        <v>0</v>
      </c>
      <c r="R6959" t="n">
        <v>0</v>
      </c>
      <c r="S6959" t="n">
        <v>0</v>
      </c>
      <c r="T6959" t="n">
        <v>0</v>
      </c>
      <c r="U6959" t="n">
        <v>0</v>
      </c>
      <c r="V6959" s="2" t="inlineStr"/>
    </row>
    <row r="6960" ht="15" customHeight="1">
      <c r="A6960" t="inlineStr">
        <is>
          <t>A 56685-2022</t>
        </is>
      </c>
      <c r="B6960" t="inlineStr">
        <is>
          <t>avverkningsanmälan</t>
        </is>
      </c>
      <c r="C6960" t="inlineStr">
        <is>
          <t>Föryngringsavverkning</t>
        </is>
      </c>
      <c r="D6960" s="1" t="n">
        <v>44893</v>
      </c>
      <c r="E6960" s="1" t="n">
        <v>46319</v>
      </c>
      <c r="F6960" t="inlineStr">
        <is>
          <t>DALARNAS LÄN</t>
        </is>
      </c>
      <c r="G6960" t="inlineStr">
        <is>
          <t>LUDVIKA</t>
        </is>
      </c>
      <c r="I6960" t="n">
        <v>0.6</v>
      </c>
      <c r="J6960" t="n">
        <v>0</v>
      </c>
      <c r="K6960" t="n">
        <v>0</v>
      </c>
      <c r="L6960" t="n">
        <v>0</v>
      </c>
      <c r="M6960" t="n">
        <v>0</v>
      </c>
      <c r="N6960" t="n">
        <v>0</v>
      </c>
      <c r="O6960" t="n">
        <v>0</v>
      </c>
      <c r="P6960" t="n">
        <v>0</v>
      </c>
      <c r="Q6960" t="n">
        <v>0</v>
      </c>
      <c r="R6960" t="n">
        <v>0</v>
      </c>
      <c r="S6960" t="n">
        <v>0</v>
      </c>
      <c r="T6960" t="n">
        <v>0</v>
      </c>
      <c r="U6960" t="n">
        <v>0</v>
      </c>
      <c r="V6960" s="2" t="inlineStr"/>
    </row>
    <row r="6961" ht="15" customHeight="1">
      <c r="A6961" t="inlineStr">
        <is>
          <t>A 17106-2026</t>
        </is>
      </c>
      <c r="B6961" t="inlineStr">
        <is>
          <t>avverkningsanmälan</t>
        </is>
      </c>
      <c r="C6961" t="inlineStr">
        <is>
          <t>Föryngringsavverkning</t>
        </is>
      </c>
      <c r="D6961" s="1" t="n">
        <v>46114</v>
      </c>
      <c r="E6961" s="1" t="n">
        <v>46319</v>
      </c>
      <c r="F6961" t="inlineStr">
        <is>
          <t>DALARNAS LÄN</t>
        </is>
      </c>
      <c r="G6961" t="inlineStr">
        <is>
          <t>LEKSAND</t>
        </is>
      </c>
      <c r="H6961" t="inlineStr">
        <is>
          <t>Bergvik skog väst AB</t>
        </is>
      </c>
      <c r="I6961" t="n">
        <v>2.9</v>
      </c>
      <c r="J6961" t="n">
        <v>0</v>
      </c>
      <c r="K6961" t="n">
        <v>0</v>
      </c>
      <c r="L6961" t="n">
        <v>0</v>
      </c>
      <c r="M6961" t="n">
        <v>0</v>
      </c>
      <c r="N6961" t="n">
        <v>0</v>
      </c>
      <c r="O6961" t="n">
        <v>0</v>
      </c>
      <c r="P6961" t="n">
        <v>0</v>
      </c>
      <c r="Q6961" t="n">
        <v>0</v>
      </c>
      <c r="R6961" t="n">
        <v>0</v>
      </c>
      <c r="S6961" t="n">
        <v>0</v>
      </c>
      <c r="T6961" t="n">
        <v>0</v>
      </c>
      <c r="U6961" t="n">
        <v>0</v>
      </c>
      <c r="V6961" s="2" t="inlineStr"/>
    </row>
    <row r="6962" ht="15" customHeight="1">
      <c r="A6962" t="inlineStr">
        <is>
          <t>A 20056-2026</t>
        </is>
      </c>
      <c r="B6962" t="inlineStr">
        <is>
          <t>avverkningsanmälan</t>
        </is>
      </c>
      <c r="C6962" t="inlineStr">
        <is>
          <t>Föryngringsavverkning</t>
        </is>
      </c>
      <c r="D6962" s="1" t="n">
        <v>46136</v>
      </c>
      <c r="E6962" s="1" t="n">
        <v>46319</v>
      </c>
      <c r="F6962" t="inlineStr">
        <is>
          <t>DALARNAS LÄN</t>
        </is>
      </c>
      <c r="G6962" t="inlineStr">
        <is>
          <t>SÄTER</t>
        </is>
      </c>
      <c r="I6962" t="n">
        <v>1.7</v>
      </c>
      <c r="J6962" t="n">
        <v>0</v>
      </c>
      <c r="K6962" t="n">
        <v>0</v>
      </c>
      <c r="L6962" t="n">
        <v>0</v>
      </c>
      <c r="M6962" t="n">
        <v>0</v>
      </c>
      <c r="N6962" t="n">
        <v>0</v>
      </c>
      <c r="O6962" t="n">
        <v>0</v>
      </c>
      <c r="P6962" t="n">
        <v>0</v>
      </c>
      <c r="Q6962" t="n">
        <v>0</v>
      </c>
      <c r="R6962" t="n">
        <v>0</v>
      </c>
      <c r="S6962" t="n">
        <v>0</v>
      </c>
      <c r="T6962" t="n">
        <v>0</v>
      </c>
      <c r="U6962" t="n">
        <v>0</v>
      </c>
      <c r="V6962" s="2" t="inlineStr"/>
    </row>
    <row r="6963" ht="15" customHeight="1">
      <c r="A6963" t="inlineStr">
        <is>
          <t>A 19579-2026</t>
        </is>
      </c>
      <c r="B6963" t="inlineStr">
        <is>
          <t>avverkningsanmälan</t>
        </is>
      </c>
      <c r="C6963" t="inlineStr">
        <is>
          <t>Föryngringsavverkning</t>
        </is>
      </c>
      <c r="D6963" s="1" t="n">
        <v>46134</v>
      </c>
      <c r="E6963" s="1" t="n">
        <v>46319</v>
      </c>
      <c r="F6963" t="inlineStr">
        <is>
          <t>DALARNAS LÄN</t>
        </is>
      </c>
      <c r="G6963" t="inlineStr">
        <is>
          <t>FALUN</t>
        </is>
      </c>
      <c r="I6963" t="n">
        <v>2.3</v>
      </c>
      <c r="J6963" t="n">
        <v>0</v>
      </c>
      <c r="K6963" t="n">
        <v>0</v>
      </c>
      <c r="L6963" t="n">
        <v>0</v>
      </c>
      <c r="M6963" t="n">
        <v>0</v>
      </c>
      <c r="N6963" t="n">
        <v>0</v>
      </c>
      <c r="O6963" t="n">
        <v>0</v>
      </c>
      <c r="P6963" t="n">
        <v>0</v>
      </c>
      <c r="Q6963" t="n">
        <v>0</v>
      </c>
      <c r="R6963" t="n">
        <v>0</v>
      </c>
      <c r="S6963" t="n">
        <v>0</v>
      </c>
      <c r="T6963" t="n">
        <v>0</v>
      </c>
      <c r="U6963" t="n">
        <v>0</v>
      </c>
      <c r="V6963" s="2" t="inlineStr"/>
    </row>
    <row r="6964" ht="15" customHeight="1">
      <c r="A6964" t="inlineStr">
        <is>
          <t>A 16236-2026</t>
        </is>
      </c>
      <c r="B6964" t="inlineStr">
        <is>
          <t>avverkningsanmälan</t>
        </is>
      </c>
      <c r="C6964" t="inlineStr">
        <is>
          <t>Föryngringsavverkning</t>
        </is>
      </c>
      <c r="D6964" s="1" t="n">
        <v>46111</v>
      </c>
      <c r="E6964" s="1" t="n">
        <v>46319</v>
      </c>
      <c r="F6964" t="inlineStr">
        <is>
          <t>DALARNAS LÄN</t>
        </is>
      </c>
      <c r="G6964" t="inlineStr">
        <is>
          <t>FALUN</t>
        </is>
      </c>
      <c r="I6964" t="n">
        <v>14</v>
      </c>
      <c r="J6964" t="n">
        <v>0</v>
      </c>
      <c r="K6964" t="n">
        <v>0</v>
      </c>
      <c r="L6964" t="n">
        <v>0</v>
      </c>
      <c r="M6964" t="n">
        <v>0</v>
      </c>
      <c r="N6964" t="n">
        <v>0</v>
      </c>
      <c r="O6964" t="n">
        <v>0</v>
      </c>
      <c r="P6964" t="n">
        <v>0</v>
      </c>
      <c r="Q6964" t="n">
        <v>0</v>
      </c>
      <c r="R6964" t="n">
        <v>0</v>
      </c>
      <c r="S6964" t="n">
        <v>0</v>
      </c>
      <c r="T6964" t="n">
        <v>0</v>
      </c>
      <c r="U6964" t="n">
        <v>0</v>
      </c>
      <c r="V6964" s="2" t="inlineStr"/>
    </row>
    <row r="6965" ht="15" customHeight="1">
      <c r="A6965" t="inlineStr">
        <is>
          <t>A 40407-2024</t>
        </is>
      </c>
      <c r="B6965" t="inlineStr">
        <is>
          <t>avverkningsanmälan</t>
        </is>
      </c>
      <c r="C6965" t="inlineStr">
        <is>
          <t>Föryngringsavverkning</t>
        </is>
      </c>
      <c r="D6965" s="1" t="n">
        <v>45555</v>
      </c>
      <c r="E6965" s="1" t="n">
        <v>46319</v>
      </c>
      <c r="F6965" t="inlineStr">
        <is>
          <t>DALARNAS LÄN</t>
        </is>
      </c>
      <c r="G6965" t="inlineStr">
        <is>
          <t>LEKSAND</t>
        </is>
      </c>
      <c r="I6965" t="n">
        <v>1.4</v>
      </c>
      <c r="J6965" t="n">
        <v>0</v>
      </c>
      <c r="K6965" t="n">
        <v>0</v>
      </c>
      <c r="L6965" t="n">
        <v>0</v>
      </c>
      <c r="M6965" t="n">
        <v>0</v>
      </c>
      <c r="N6965" t="n">
        <v>0</v>
      </c>
      <c r="O6965" t="n">
        <v>0</v>
      </c>
      <c r="P6965" t="n">
        <v>0</v>
      </c>
      <c r="Q6965" t="n">
        <v>0</v>
      </c>
      <c r="R6965" t="n">
        <v>0</v>
      </c>
      <c r="S6965" t="n">
        <v>0</v>
      </c>
      <c r="T6965" t="n">
        <v>0</v>
      </c>
      <c r="U6965" t="n">
        <v>0</v>
      </c>
      <c r="V6965" s="2" t="inlineStr"/>
    </row>
    <row r="6966" ht="15" customHeight="1">
      <c r="A6966" t="inlineStr">
        <is>
          <t>A 19854-2026</t>
        </is>
      </c>
      <c r="B6966" t="inlineStr">
        <is>
          <t>avverkningsanmälan</t>
        </is>
      </c>
      <c r="C6966" t="inlineStr">
        <is>
          <t>Föryngringsavverkning</t>
        </is>
      </c>
      <c r="D6966" s="1" t="n">
        <v>46135</v>
      </c>
      <c r="E6966" s="1" t="n">
        <v>46319</v>
      </c>
      <c r="F6966" t="inlineStr">
        <is>
          <t>DALARNAS LÄN</t>
        </is>
      </c>
      <c r="G6966" t="inlineStr">
        <is>
          <t>MALUNG-SÄLEN</t>
        </is>
      </c>
      <c r="H6966" t="inlineStr">
        <is>
          <t>Bergvik skog öst AB</t>
        </is>
      </c>
      <c r="I6966" t="n">
        <v>1.1</v>
      </c>
      <c r="J6966" t="n">
        <v>0</v>
      </c>
      <c r="K6966" t="n">
        <v>0</v>
      </c>
      <c r="L6966" t="n">
        <v>0</v>
      </c>
      <c r="M6966" t="n">
        <v>0</v>
      </c>
      <c r="N6966" t="n">
        <v>0</v>
      </c>
      <c r="O6966" t="n">
        <v>0</v>
      </c>
      <c r="P6966" t="n">
        <v>0</v>
      </c>
      <c r="Q6966" t="n">
        <v>0</v>
      </c>
      <c r="R6966" t="n">
        <v>0</v>
      </c>
      <c r="S6966" t="n">
        <v>0</v>
      </c>
      <c r="T6966" t="n">
        <v>0</v>
      </c>
      <c r="U6966" t="n">
        <v>0</v>
      </c>
      <c r="V6966" s="2" t="inlineStr"/>
    </row>
    <row r="6967" ht="15" customHeight="1">
      <c r="A6967" t="inlineStr">
        <is>
          <t>A 42345-2026</t>
        </is>
      </c>
      <c r="B6967" t="inlineStr">
        <is>
          <t>avverkningsanmälan</t>
        </is>
      </c>
      <c r="C6967" t="inlineStr">
        <is>
          <t>Föryngringsavverkning</t>
        </is>
      </c>
      <c r="D6967" s="1" t="n">
        <v>46307</v>
      </c>
      <c r="E6967" s="1" t="n">
        <v>46319</v>
      </c>
      <c r="F6967" t="inlineStr">
        <is>
          <t>DALARNAS LÄN</t>
        </is>
      </c>
      <c r="G6967" t="inlineStr">
        <is>
          <t>LUDVIKA</t>
        </is>
      </c>
      <c r="H6967" t="inlineStr">
        <is>
          <t>Bergvik skog väst AB</t>
        </is>
      </c>
      <c r="I6967" t="n">
        <v>2</v>
      </c>
      <c r="J6967" t="n">
        <v>0</v>
      </c>
      <c r="K6967" t="n">
        <v>0</v>
      </c>
      <c r="L6967" t="n">
        <v>0</v>
      </c>
      <c r="M6967" t="n">
        <v>0</v>
      </c>
      <c r="N6967" t="n">
        <v>0</v>
      </c>
      <c r="O6967" t="n">
        <v>0</v>
      </c>
      <c r="P6967" t="n">
        <v>0</v>
      </c>
      <c r="Q6967" t="n">
        <v>0</v>
      </c>
      <c r="R6967" t="n">
        <v>0</v>
      </c>
      <c r="S6967" t="n">
        <v>0</v>
      </c>
      <c r="T6967" t="n">
        <v>0</v>
      </c>
      <c r="U6967" t="n">
        <v>0</v>
      </c>
      <c r="V6967" s="2" t="inlineStr"/>
    </row>
    <row r="6968" ht="15" customHeight="1">
      <c r="A6968" t="inlineStr">
        <is>
          <t>A 34868-2025</t>
        </is>
      </c>
      <c r="B6968" t="inlineStr">
        <is>
          <t>avverkningsanmälan</t>
        </is>
      </c>
      <c r="C6968" t="inlineStr">
        <is>
          <t>Föryngringsavverkning</t>
        </is>
      </c>
      <c r="D6968" s="1" t="n">
        <v>45849</v>
      </c>
      <c r="E6968" s="1" t="n">
        <v>46319</v>
      </c>
      <c r="F6968" t="inlineStr">
        <is>
          <t>DALARNAS LÄN</t>
        </is>
      </c>
      <c r="G6968" t="inlineStr">
        <is>
          <t>LUDVIKA</t>
        </is>
      </c>
      <c r="H6968" t="inlineStr">
        <is>
          <t>Bergvik skog väst AB</t>
        </is>
      </c>
      <c r="I6968" t="n">
        <v>1.9</v>
      </c>
      <c r="J6968" t="n">
        <v>0</v>
      </c>
      <c r="K6968" t="n">
        <v>0</v>
      </c>
      <c r="L6968" t="n">
        <v>0</v>
      </c>
      <c r="M6968" t="n">
        <v>0</v>
      </c>
      <c r="N6968" t="n">
        <v>0</v>
      </c>
      <c r="O6968" t="n">
        <v>0</v>
      </c>
      <c r="P6968" t="n">
        <v>0</v>
      </c>
      <c r="Q6968" t="n">
        <v>0</v>
      </c>
      <c r="R6968" t="n">
        <v>0</v>
      </c>
      <c r="S6968" t="n">
        <v>0</v>
      </c>
      <c r="T6968" t="n">
        <v>0</v>
      </c>
      <c r="U6968" t="n">
        <v>0</v>
      </c>
      <c r="V6968" s="2" t="inlineStr"/>
    </row>
    <row r="6969" ht="15" customHeight="1">
      <c r="A6969" t="inlineStr">
        <is>
          <t>A 61787-2022</t>
        </is>
      </c>
      <c r="B6969" t="inlineStr">
        <is>
          <t>avverkningsanmälan</t>
        </is>
      </c>
      <c r="C6969" t="inlineStr">
        <is>
          <t>Föryngringsavverkning</t>
        </is>
      </c>
      <c r="D6969" s="1" t="n">
        <v>44917</v>
      </c>
      <c r="E6969" s="1" t="n">
        <v>46319</v>
      </c>
      <c r="F6969" t="inlineStr">
        <is>
          <t>DALARNAS LÄN</t>
        </is>
      </c>
      <c r="G6969" t="inlineStr">
        <is>
          <t>LEKSAND</t>
        </is>
      </c>
      <c r="I6969" t="n">
        <v>1</v>
      </c>
      <c r="J6969" t="n">
        <v>0</v>
      </c>
      <c r="K6969" t="n">
        <v>0</v>
      </c>
      <c r="L6969" t="n">
        <v>0</v>
      </c>
      <c r="M6969" t="n">
        <v>0</v>
      </c>
      <c r="N6969" t="n">
        <v>0</v>
      </c>
      <c r="O6969" t="n">
        <v>0</v>
      </c>
      <c r="P6969" t="n">
        <v>0</v>
      </c>
      <c r="Q6969" t="n">
        <v>0</v>
      </c>
      <c r="R6969" t="n">
        <v>0</v>
      </c>
      <c r="S6969" t="n">
        <v>0</v>
      </c>
      <c r="T6969" t="n">
        <v>0</v>
      </c>
      <c r="U6969" t="n">
        <v>0</v>
      </c>
      <c r="V6969" s="2" t="inlineStr"/>
    </row>
    <row r="6970" ht="15" customHeight="1">
      <c r="A6970" t="inlineStr">
        <is>
          <t>A 19891-2026</t>
        </is>
      </c>
      <c r="B6970" t="inlineStr">
        <is>
          <t>avverkningsanmälan</t>
        </is>
      </c>
      <c r="C6970" t="inlineStr">
        <is>
          <t>Föryngringsavverkning</t>
        </is>
      </c>
      <c r="D6970" s="1" t="n">
        <v>46135</v>
      </c>
      <c r="E6970" s="1" t="n">
        <v>46319</v>
      </c>
      <c r="F6970" t="inlineStr">
        <is>
          <t>DALARNAS LÄN</t>
        </is>
      </c>
      <c r="G6970" t="inlineStr">
        <is>
          <t>ORSA</t>
        </is>
      </c>
      <c r="H6970" t="inlineStr">
        <is>
          <t>Bergvik skog öst AB</t>
        </is>
      </c>
      <c r="I6970" t="n">
        <v>10</v>
      </c>
      <c r="J6970" t="n">
        <v>0</v>
      </c>
      <c r="K6970" t="n">
        <v>0</v>
      </c>
      <c r="L6970" t="n">
        <v>0</v>
      </c>
      <c r="M6970" t="n">
        <v>0</v>
      </c>
      <c r="N6970" t="n">
        <v>0</v>
      </c>
      <c r="O6970" t="n">
        <v>0</v>
      </c>
      <c r="P6970" t="n">
        <v>0</v>
      </c>
      <c r="Q6970" t="n">
        <v>0</v>
      </c>
      <c r="R6970" t="n">
        <v>0</v>
      </c>
      <c r="S6970" t="n">
        <v>0</v>
      </c>
      <c r="T6970" t="n">
        <v>0</v>
      </c>
      <c r="U6970" t="n">
        <v>0</v>
      </c>
      <c r="V6970" s="2" t="inlineStr"/>
    </row>
    <row r="6971" ht="15" customHeight="1">
      <c r="A6971" t="inlineStr">
        <is>
          <t>A 42482-2026</t>
        </is>
      </c>
      <c r="B6971" t="inlineStr">
        <is>
          <t>avverkningsanmälan</t>
        </is>
      </c>
      <c r="C6971" t="inlineStr">
        <is>
          <t>Föryngringsavverkning</t>
        </is>
      </c>
      <c r="D6971" s="1" t="n">
        <v>46308</v>
      </c>
      <c r="E6971" s="1" t="n">
        <v>46319</v>
      </c>
      <c r="F6971" t="inlineStr">
        <is>
          <t>DALARNAS LÄN</t>
        </is>
      </c>
      <c r="G6971" t="inlineStr">
        <is>
          <t>VANSBRO</t>
        </is>
      </c>
      <c r="H6971" t="inlineStr">
        <is>
          <t>Bergvik skog väst AB</t>
        </is>
      </c>
      <c r="I6971" t="n">
        <v>2.3</v>
      </c>
      <c r="J6971" t="n">
        <v>0</v>
      </c>
      <c r="K6971" t="n">
        <v>0</v>
      </c>
      <c r="L6971" t="n">
        <v>0</v>
      </c>
      <c r="M6971" t="n">
        <v>0</v>
      </c>
      <c r="N6971" t="n">
        <v>0</v>
      </c>
      <c r="O6971" t="n">
        <v>0</v>
      </c>
      <c r="P6971" t="n">
        <v>0</v>
      </c>
      <c r="Q6971" t="n">
        <v>0</v>
      </c>
      <c r="R6971" t="n">
        <v>0</v>
      </c>
      <c r="S6971" t="n">
        <v>0</v>
      </c>
      <c r="T6971" t="n">
        <v>0</v>
      </c>
      <c r="U6971" t="n">
        <v>0</v>
      </c>
      <c r="V6971" s="2" t="inlineStr"/>
    </row>
    <row r="6972" ht="15" customHeight="1">
      <c r="A6972" t="inlineStr">
        <is>
          <t>A 27201-2026</t>
        </is>
      </c>
      <c r="B6972" t="inlineStr">
        <is>
          <t>avverkningsanmälan</t>
        </is>
      </c>
      <c r="C6972" t="inlineStr">
        <is>
          <t>Föryngringsavverkning</t>
        </is>
      </c>
      <c r="D6972" s="1" t="n">
        <v>46188</v>
      </c>
      <c r="E6972" s="1" t="n">
        <v>46319</v>
      </c>
      <c r="F6972" t="inlineStr">
        <is>
          <t>DALARNAS LÄN</t>
        </is>
      </c>
      <c r="G6972" t="inlineStr">
        <is>
          <t>LEKSAND</t>
        </is>
      </c>
      <c r="I6972" t="n">
        <v>3.7</v>
      </c>
      <c r="J6972" t="n">
        <v>0</v>
      </c>
      <c r="K6972" t="n">
        <v>0</v>
      </c>
      <c r="L6972" t="n">
        <v>0</v>
      </c>
      <c r="M6972" t="n">
        <v>0</v>
      </c>
      <c r="N6972" t="n">
        <v>0</v>
      </c>
      <c r="O6972" t="n">
        <v>0</v>
      </c>
      <c r="P6972" t="n">
        <v>0</v>
      </c>
      <c r="Q6972" t="n">
        <v>0</v>
      </c>
      <c r="R6972" t="n">
        <v>0</v>
      </c>
      <c r="S6972" t="n">
        <v>0</v>
      </c>
      <c r="T6972" t="n">
        <v>0</v>
      </c>
      <c r="U6972" t="n">
        <v>0</v>
      </c>
      <c r="V6972" s="2" t="inlineStr"/>
    </row>
    <row r="6973" ht="15" customHeight="1">
      <c r="A6973" t="inlineStr">
        <is>
          <t>A 19897-2026</t>
        </is>
      </c>
      <c r="B6973" t="inlineStr">
        <is>
          <t>avverkningsanmälan</t>
        </is>
      </c>
      <c r="C6973" t="inlineStr">
        <is>
          <t>Föryngringsavverkning</t>
        </is>
      </c>
      <c r="D6973" s="1" t="n">
        <v>46135</v>
      </c>
      <c r="E6973" s="1" t="n">
        <v>46319</v>
      </c>
      <c r="F6973" t="inlineStr">
        <is>
          <t>DALARNAS LÄN</t>
        </is>
      </c>
      <c r="G6973" t="inlineStr">
        <is>
          <t>FALUN</t>
        </is>
      </c>
      <c r="I6973" t="n">
        <v>2.8</v>
      </c>
      <c r="J6973" t="n">
        <v>0</v>
      </c>
      <c r="K6973" t="n">
        <v>0</v>
      </c>
      <c r="L6973" t="n">
        <v>0</v>
      </c>
      <c r="M6973" t="n">
        <v>0</v>
      </c>
      <c r="N6973" t="n">
        <v>0</v>
      </c>
      <c r="O6973" t="n">
        <v>0</v>
      </c>
      <c r="P6973" t="n">
        <v>0</v>
      </c>
      <c r="Q6973" t="n">
        <v>0</v>
      </c>
      <c r="R6973" t="n">
        <v>0</v>
      </c>
      <c r="S6973" t="n">
        <v>0</v>
      </c>
      <c r="T6973" t="n">
        <v>0</v>
      </c>
      <c r="U6973" t="n">
        <v>0</v>
      </c>
      <c r="V6973" s="2" t="inlineStr"/>
    </row>
    <row r="6974" ht="15" customHeight="1">
      <c r="A6974" t="inlineStr">
        <is>
          <t>A 17237-2026</t>
        </is>
      </c>
      <c r="B6974" t="inlineStr">
        <is>
          <t>avverkningsanmälan</t>
        </is>
      </c>
      <c r="C6974" t="inlineStr">
        <is>
          <t>Föryngringsavverkning</t>
        </is>
      </c>
      <c r="D6974" s="1" t="n">
        <v>46119</v>
      </c>
      <c r="E6974" s="1" t="n">
        <v>46319</v>
      </c>
      <c r="F6974" t="inlineStr">
        <is>
          <t>DALARNAS LÄN</t>
        </is>
      </c>
      <c r="G6974" t="inlineStr">
        <is>
          <t>MORA</t>
        </is>
      </c>
      <c r="H6974" t="inlineStr">
        <is>
          <t>Bergvik skog öst AB</t>
        </is>
      </c>
      <c r="I6974" t="n">
        <v>10</v>
      </c>
      <c r="J6974" t="n">
        <v>0</v>
      </c>
      <c r="K6974" t="n">
        <v>0</v>
      </c>
      <c r="L6974" t="n">
        <v>0</v>
      </c>
      <c r="M6974" t="n">
        <v>0</v>
      </c>
      <c r="N6974" t="n">
        <v>0</v>
      </c>
      <c r="O6974" t="n">
        <v>0</v>
      </c>
      <c r="P6974" t="n">
        <v>0</v>
      </c>
      <c r="Q6974" t="n">
        <v>0</v>
      </c>
      <c r="R6974" t="n">
        <v>0</v>
      </c>
      <c r="S6974" t="n">
        <v>0</v>
      </c>
      <c r="T6974" t="n">
        <v>0</v>
      </c>
      <c r="U6974" t="n">
        <v>0</v>
      </c>
      <c r="V6974" s="2" t="inlineStr"/>
    </row>
    <row r="6975" ht="15" customHeight="1">
      <c r="A6975" t="inlineStr">
        <is>
          <t>A 16004-2024</t>
        </is>
      </c>
      <c r="B6975" t="inlineStr">
        <is>
          <t>avverkningsanmälan</t>
        </is>
      </c>
      <c r="C6975" t="inlineStr">
        <is>
          <t>Föryngringsavverkning</t>
        </is>
      </c>
      <c r="D6975" s="1" t="n">
        <v>45405</v>
      </c>
      <c r="E6975" s="1" t="n">
        <v>46319</v>
      </c>
      <c r="F6975" t="inlineStr">
        <is>
          <t>DALARNAS LÄN</t>
        </is>
      </c>
      <c r="G6975" t="inlineStr">
        <is>
          <t>FALUN</t>
        </is>
      </c>
      <c r="I6975" t="n">
        <v>0.9</v>
      </c>
      <c r="J6975" t="n">
        <v>0</v>
      </c>
      <c r="K6975" t="n">
        <v>0</v>
      </c>
      <c r="L6975" t="n">
        <v>0</v>
      </c>
      <c r="M6975" t="n">
        <v>0</v>
      </c>
      <c r="N6975" t="n">
        <v>0</v>
      </c>
      <c r="O6975" t="n">
        <v>0</v>
      </c>
      <c r="P6975" t="n">
        <v>0</v>
      </c>
      <c r="Q6975" t="n">
        <v>0</v>
      </c>
      <c r="R6975" t="n">
        <v>0</v>
      </c>
      <c r="S6975" t="n">
        <v>0</v>
      </c>
      <c r="T6975" t="n">
        <v>0</v>
      </c>
      <c r="U6975" t="n">
        <v>0</v>
      </c>
      <c r="V6975" s="2" t="inlineStr"/>
    </row>
    <row r="6976" ht="15" customHeight="1">
      <c r="A6976" t="inlineStr">
        <is>
          <t>A 39998-2026</t>
        </is>
      </c>
      <c r="B6976" t="inlineStr">
        <is>
          <t>avverkningsanmälan</t>
        </is>
      </c>
      <c r="C6976" t="inlineStr">
        <is>
          <t>Avverkning för annat ändamål</t>
        </is>
      </c>
      <c r="D6976" s="1" t="n">
        <v>46293</v>
      </c>
      <c r="E6976" s="1" t="n">
        <v>46319</v>
      </c>
      <c r="F6976" t="inlineStr">
        <is>
          <t>DALARNAS LÄN</t>
        </is>
      </c>
      <c r="G6976" t="inlineStr">
        <is>
          <t>SÄTER</t>
        </is>
      </c>
      <c r="I6976" t="n">
        <v>1.1</v>
      </c>
      <c r="J6976" t="n">
        <v>0</v>
      </c>
      <c r="K6976" t="n">
        <v>0</v>
      </c>
      <c r="L6976" t="n">
        <v>0</v>
      </c>
      <c r="M6976" t="n">
        <v>0</v>
      </c>
      <c r="N6976" t="n">
        <v>0</v>
      </c>
      <c r="O6976" t="n">
        <v>0</v>
      </c>
      <c r="P6976" t="n">
        <v>0</v>
      </c>
      <c r="Q6976" t="n">
        <v>0</v>
      </c>
      <c r="R6976" t="n">
        <v>0</v>
      </c>
      <c r="S6976" t="n">
        <v>0</v>
      </c>
      <c r="T6976" t="n">
        <v>0</v>
      </c>
      <c r="U6976" t="n">
        <v>0</v>
      </c>
      <c r="V6976" s="2" t="inlineStr"/>
    </row>
    <row r="6977" ht="15" customHeight="1">
      <c r="A6977" t="inlineStr">
        <is>
          <t>A 37761-2024</t>
        </is>
      </c>
      <c r="B6977" t="inlineStr">
        <is>
          <t>avverkningsanmälan</t>
        </is>
      </c>
      <c r="C6977" t="inlineStr">
        <is>
          <t>Föryngringsavverkning</t>
        </is>
      </c>
      <c r="D6977" s="1" t="n">
        <v>45541</v>
      </c>
      <c r="E6977" s="1" t="n">
        <v>46319</v>
      </c>
      <c r="F6977" t="inlineStr">
        <is>
          <t>DALARNAS LÄN</t>
        </is>
      </c>
      <c r="G6977" t="inlineStr">
        <is>
          <t>HEDEMORA</t>
        </is>
      </c>
      <c r="H6977" t="inlineStr">
        <is>
          <t>Sveaskog</t>
        </is>
      </c>
      <c r="I6977" t="n">
        <v>4.4</v>
      </c>
      <c r="J6977" t="n">
        <v>0</v>
      </c>
      <c r="K6977" t="n">
        <v>0</v>
      </c>
      <c r="L6977" t="n">
        <v>0</v>
      </c>
      <c r="M6977" t="n">
        <v>0</v>
      </c>
      <c r="N6977" t="n">
        <v>0</v>
      </c>
      <c r="O6977" t="n">
        <v>0</v>
      </c>
      <c r="P6977" t="n">
        <v>0</v>
      </c>
      <c r="Q6977" t="n">
        <v>0</v>
      </c>
      <c r="R6977" t="n">
        <v>0</v>
      </c>
      <c r="S6977" t="n">
        <v>0</v>
      </c>
      <c r="T6977" t="n">
        <v>0</v>
      </c>
      <c r="U6977" t="n">
        <v>0</v>
      </c>
      <c r="V6977" s="2" t="inlineStr"/>
    </row>
    <row r="6978" ht="15" customHeight="1">
      <c r="A6978" t="inlineStr">
        <is>
          <t>A 3342-2022</t>
        </is>
      </c>
      <c r="B6978" t="inlineStr">
        <is>
          <t>avverkningsanmälan</t>
        </is>
      </c>
      <c r="C6978" t="inlineStr">
        <is>
          <t>Föryngringsavverkning</t>
        </is>
      </c>
      <c r="D6978" s="1" t="n">
        <v>44585</v>
      </c>
      <c r="E6978" s="1" t="n">
        <v>46319</v>
      </c>
      <c r="F6978" t="inlineStr">
        <is>
          <t>DALARNAS LÄN</t>
        </is>
      </c>
      <c r="G6978" t="inlineStr">
        <is>
          <t>SÄTER</t>
        </is>
      </c>
      <c r="I6978" t="n">
        <v>1.8</v>
      </c>
      <c r="J6978" t="n">
        <v>0</v>
      </c>
      <c r="K6978" t="n">
        <v>0</v>
      </c>
      <c r="L6978" t="n">
        <v>0</v>
      </c>
      <c r="M6978" t="n">
        <v>0</v>
      </c>
      <c r="N6978" t="n">
        <v>0</v>
      </c>
      <c r="O6978" t="n">
        <v>0</v>
      </c>
      <c r="P6978" t="n">
        <v>0</v>
      </c>
      <c r="Q6978" t="n">
        <v>0</v>
      </c>
      <c r="R6978" t="n">
        <v>0</v>
      </c>
      <c r="S6978" t="n">
        <v>0</v>
      </c>
      <c r="T6978" t="n">
        <v>0</v>
      </c>
      <c r="U6978" t="n">
        <v>0</v>
      </c>
      <c r="V6978" s="2" t="inlineStr"/>
    </row>
    <row r="6979" ht="15" customHeight="1">
      <c r="A6979" t="inlineStr">
        <is>
          <t>A 15346-2026</t>
        </is>
      </c>
      <c r="B6979" t="inlineStr">
        <is>
          <t>avverkningsanmälan</t>
        </is>
      </c>
      <c r="C6979" t="inlineStr">
        <is>
          <t>Föryngringsavverkning</t>
        </is>
      </c>
      <c r="D6979" s="1" t="n">
        <v>46105</v>
      </c>
      <c r="E6979" s="1" t="n">
        <v>46319</v>
      </c>
      <c r="F6979" t="inlineStr">
        <is>
          <t>DALARNAS LÄN</t>
        </is>
      </c>
      <c r="G6979" t="inlineStr">
        <is>
          <t>FALUN</t>
        </is>
      </c>
      <c r="H6979" t="inlineStr">
        <is>
          <t>Bergvik skog väst AB</t>
        </is>
      </c>
      <c r="I6979" t="n">
        <v>1.9</v>
      </c>
      <c r="J6979" t="n">
        <v>0</v>
      </c>
      <c r="K6979" t="n">
        <v>0</v>
      </c>
      <c r="L6979" t="n">
        <v>0</v>
      </c>
      <c r="M6979" t="n">
        <v>0</v>
      </c>
      <c r="N6979" t="n">
        <v>0</v>
      </c>
      <c r="O6979" t="n">
        <v>0</v>
      </c>
      <c r="P6979" t="n">
        <v>0</v>
      </c>
      <c r="Q6979" t="n">
        <v>0</v>
      </c>
      <c r="R6979" t="n">
        <v>0</v>
      </c>
      <c r="S6979" t="n">
        <v>0</v>
      </c>
      <c r="T6979" t="n">
        <v>0</v>
      </c>
      <c r="U6979" t="n">
        <v>0</v>
      </c>
      <c r="V6979" s="2" t="inlineStr"/>
    </row>
    <row r="6980" ht="15" customHeight="1">
      <c r="A6980" t="inlineStr">
        <is>
          <t>A 42695-2026</t>
        </is>
      </c>
      <c r="B6980" t="inlineStr">
        <is>
          <t>avverkningsanmälan</t>
        </is>
      </c>
      <c r="C6980" t="inlineStr">
        <is>
          <t>Föryngringsavverkning</t>
        </is>
      </c>
      <c r="D6980" s="1" t="n">
        <v>46309</v>
      </c>
      <c r="E6980" s="1" t="n">
        <v>46319</v>
      </c>
      <c r="F6980" t="inlineStr">
        <is>
          <t>DALARNAS LÄN</t>
        </is>
      </c>
      <c r="G6980" t="inlineStr">
        <is>
          <t>AVESTA</t>
        </is>
      </c>
      <c r="I6980" t="n">
        <v>1.8</v>
      </c>
      <c r="J6980" t="n">
        <v>0</v>
      </c>
      <c r="K6980" t="n">
        <v>0</v>
      </c>
      <c r="L6980" t="n">
        <v>0</v>
      </c>
      <c r="M6980" t="n">
        <v>0</v>
      </c>
      <c r="N6980" t="n">
        <v>0</v>
      </c>
      <c r="O6980" t="n">
        <v>0</v>
      </c>
      <c r="P6980" t="n">
        <v>0</v>
      </c>
      <c r="Q6980" t="n">
        <v>0</v>
      </c>
      <c r="R6980" t="n">
        <v>0</v>
      </c>
      <c r="S6980" t="n">
        <v>0</v>
      </c>
      <c r="T6980" t="n">
        <v>0</v>
      </c>
      <c r="U6980" t="n">
        <v>0</v>
      </c>
      <c r="V6980" s="2" t="inlineStr"/>
    </row>
    <row r="6981" ht="15" customHeight="1">
      <c r="A6981" t="inlineStr">
        <is>
          <t>A 19896-2026</t>
        </is>
      </c>
      <c r="B6981" t="inlineStr">
        <is>
          <t>avverkningsanmälan</t>
        </is>
      </c>
      <c r="C6981" t="inlineStr">
        <is>
          <t>Föryngringsavverkning</t>
        </is>
      </c>
      <c r="D6981" s="1" t="n">
        <v>46135</v>
      </c>
      <c r="E6981" s="1" t="n">
        <v>46319</v>
      </c>
      <c r="F6981" t="inlineStr">
        <is>
          <t>DALARNAS LÄN</t>
        </is>
      </c>
      <c r="G6981" t="inlineStr">
        <is>
          <t>FALUN</t>
        </is>
      </c>
      <c r="I6981" t="n">
        <v>1.6</v>
      </c>
      <c r="J6981" t="n">
        <v>0</v>
      </c>
      <c r="K6981" t="n">
        <v>0</v>
      </c>
      <c r="L6981" t="n">
        <v>0</v>
      </c>
      <c r="M6981" t="n">
        <v>0</v>
      </c>
      <c r="N6981" t="n">
        <v>0</v>
      </c>
      <c r="O6981" t="n">
        <v>0</v>
      </c>
      <c r="P6981" t="n">
        <v>0</v>
      </c>
      <c r="Q6981" t="n">
        <v>0</v>
      </c>
      <c r="R6981" t="n">
        <v>0</v>
      </c>
      <c r="S6981" t="n">
        <v>0</v>
      </c>
      <c r="T6981" t="n">
        <v>0</v>
      </c>
      <c r="U6981" t="n">
        <v>0</v>
      </c>
      <c r="V6981" s="2" t="inlineStr"/>
    </row>
    <row r="6982" ht="15" customHeight="1">
      <c r="A6982" t="inlineStr">
        <is>
          <t>A 19932-2026</t>
        </is>
      </c>
      <c r="B6982" t="inlineStr">
        <is>
          <t>avverkningsanmälan</t>
        </is>
      </c>
      <c r="C6982" t="inlineStr">
        <is>
          <t>Föryngringsavverkning</t>
        </is>
      </c>
      <c r="D6982" s="1" t="n">
        <v>46136</v>
      </c>
      <c r="E6982" s="1" t="n">
        <v>46319</v>
      </c>
      <c r="F6982" t="inlineStr">
        <is>
          <t>DALARNAS LÄN</t>
        </is>
      </c>
      <c r="G6982" t="inlineStr">
        <is>
          <t>HEDEMORA</t>
        </is>
      </c>
      <c r="H6982" t="inlineStr">
        <is>
          <t>Sveaskog</t>
        </is>
      </c>
      <c r="I6982" t="n">
        <v>0.4</v>
      </c>
      <c r="J6982" t="n">
        <v>0</v>
      </c>
      <c r="K6982" t="n">
        <v>0</v>
      </c>
      <c r="L6982" t="n">
        <v>0</v>
      </c>
      <c r="M6982" t="n">
        <v>0</v>
      </c>
      <c r="N6982" t="n">
        <v>0</v>
      </c>
      <c r="O6982" t="n">
        <v>0</v>
      </c>
      <c r="P6982" t="n">
        <v>0</v>
      </c>
      <c r="Q6982" t="n">
        <v>0</v>
      </c>
      <c r="R6982" t="n">
        <v>0</v>
      </c>
      <c r="S6982" t="n">
        <v>0</v>
      </c>
      <c r="T6982" t="n">
        <v>0</v>
      </c>
      <c r="U6982" t="n">
        <v>0</v>
      </c>
      <c r="V6982" s="2" t="inlineStr"/>
    </row>
    <row r="6983" ht="15" customHeight="1">
      <c r="A6983" t="inlineStr">
        <is>
          <t>A 40009-2024</t>
        </is>
      </c>
      <c r="B6983" t="inlineStr">
        <is>
          <t>avverkningsanmälan</t>
        </is>
      </c>
      <c r="C6983" t="inlineStr">
        <is>
          <t>Föryngringsavverkning</t>
        </is>
      </c>
      <c r="D6983" s="1" t="n">
        <v>45553</v>
      </c>
      <c r="E6983" s="1" t="n">
        <v>46319</v>
      </c>
      <c r="F6983" t="inlineStr">
        <is>
          <t>DALARNAS LÄN</t>
        </is>
      </c>
      <c r="G6983" t="inlineStr">
        <is>
          <t>LEKSAND</t>
        </is>
      </c>
      <c r="H6983" t="inlineStr">
        <is>
          <t>Bergvik skog väst AB</t>
        </is>
      </c>
      <c r="I6983" t="n">
        <v>3</v>
      </c>
      <c r="J6983" t="n">
        <v>0</v>
      </c>
      <c r="K6983" t="n">
        <v>0</v>
      </c>
      <c r="L6983" t="n">
        <v>0</v>
      </c>
      <c r="M6983" t="n">
        <v>0</v>
      </c>
      <c r="N6983" t="n">
        <v>0</v>
      </c>
      <c r="O6983" t="n">
        <v>0</v>
      </c>
      <c r="P6983" t="n">
        <v>0</v>
      </c>
      <c r="Q6983" t="n">
        <v>0</v>
      </c>
      <c r="R6983" t="n">
        <v>0</v>
      </c>
      <c r="S6983" t="n">
        <v>0</v>
      </c>
      <c r="T6983" t="n">
        <v>0</v>
      </c>
      <c r="U6983" t="n">
        <v>0</v>
      </c>
      <c r="V6983" s="2" t="inlineStr"/>
    </row>
    <row r="6984" ht="15" customHeight="1">
      <c r="A6984" t="inlineStr">
        <is>
          <t>A 20003-2026</t>
        </is>
      </c>
      <c r="B6984" t="inlineStr">
        <is>
          <t>avverkningsanmälan</t>
        </is>
      </c>
      <c r="C6984" t="inlineStr">
        <is>
          <t>Föryngringsavverkning</t>
        </is>
      </c>
      <c r="D6984" s="1" t="n">
        <v>46136</v>
      </c>
      <c r="E6984" s="1" t="n">
        <v>46319</v>
      </c>
      <c r="F6984" t="inlineStr">
        <is>
          <t>DALARNAS LÄN</t>
        </is>
      </c>
      <c r="G6984" t="inlineStr">
        <is>
          <t>MALUNG-SÄLEN</t>
        </is>
      </c>
      <c r="I6984" t="n">
        <v>0.8</v>
      </c>
      <c r="J6984" t="n">
        <v>0</v>
      </c>
      <c r="K6984" t="n">
        <v>0</v>
      </c>
      <c r="L6984" t="n">
        <v>0</v>
      </c>
      <c r="M6984" t="n">
        <v>0</v>
      </c>
      <c r="N6984" t="n">
        <v>0</v>
      </c>
      <c r="O6984" t="n">
        <v>0</v>
      </c>
      <c r="P6984" t="n">
        <v>0</v>
      </c>
      <c r="Q6984" t="n">
        <v>0</v>
      </c>
      <c r="R6984" t="n">
        <v>0</v>
      </c>
      <c r="S6984" t="n">
        <v>0</v>
      </c>
      <c r="T6984" t="n">
        <v>0</v>
      </c>
      <c r="U6984" t="n">
        <v>0</v>
      </c>
      <c r="V6984" s="2" t="inlineStr"/>
    </row>
    <row r="6985" ht="15" customHeight="1">
      <c r="A6985" t="inlineStr">
        <is>
          <t>A 20669-2025</t>
        </is>
      </c>
      <c r="B6985" t="inlineStr">
        <is>
          <t>avverkningsanmälan</t>
        </is>
      </c>
      <c r="C6985" t="inlineStr">
        <is>
          <t>Föryngringsavverkning</t>
        </is>
      </c>
      <c r="D6985" s="1" t="n">
        <v>45776</v>
      </c>
      <c r="E6985" s="1" t="n">
        <v>46319</v>
      </c>
      <c r="F6985" t="inlineStr">
        <is>
          <t>DALARNAS LÄN</t>
        </is>
      </c>
      <c r="G6985" t="inlineStr">
        <is>
          <t>VANSBRO</t>
        </is>
      </c>
      <c r="H6985" t="inlineStr">
        <is>
          <t>Bergvik skog väst AB</t>
        </is>
      </c>
      <c r="I6985" t="n">
        <v>3.6</v>
      </c>
      <c r="J6985" t="n">
        <v>0</v>
      </c>
      <c r="K6985" t="n">
        <v>0</v>
      </c>
      <c r="L6985" t="n">
        <v>0</v>
      </c>
      <c r="M6985" t="n">
        <v>0</v>
      </c>
      <c r="N6985" t="n">
        <v>0</v>
      </c>
      <c r="O6985" t="n">
        <v>0</v>
      </c>
      <c r="P6985" t="n">
        <v>0</v>
      </c>
      <c r="Q6985" t="n">
        <v>0</v>
      </c>
      <c r="R6985" t="n">
        <v>0</v>
      </c>
      <c r="S6985" t="n">
        <v>0</v>
      </c>
      <c r="T6985" t="n">
        <v>0</v>
      </c>
      <c r="U6985" t="n">
        <v>0</v>
      </c>
      <c r="V6985" s="2" t="inlineStr"/>
    </row>
    <row r="6986" ht="15" customHeight="1">
      <c r="A6986" t="inlineStr">
        <is>
          <t>A 33488-2024</t>
        </is>
      </c>
      <c r="B6986" t="inlineStr">
        <is>
          <t>avverkningsanmälan</t>
        </is>
      </c>
      <c r="C6986" t="inlineStr">
        <is>
          <t>Föryngringsavverkning</t>
        </is>
      </c>
      <c r="D6986" s="1" t="n">
        <v>45519</v>
      </c>
      <c r="E6986" s="1" t="n">
        <v>46319</v>
      </c>
      <c r="F6986" t="inlineStr">
        <is>
          <t>DALARNAS LÄN</t>
        </is>
      </c>
      <c r="G6986" t="inlineStr">
        <is>
          <t>ORSA</t>
        </is>
      </c>
      <c r="H6986" t="inlineStr">
        <is>
          <t>Övriga statliga verk och myndigheter</t>
        </is>
      </c>
      <c r="I6986" t="n">
        <v>0.5</v>
      </c>
      <c r="J6986" t="n">
        <v>0</v>
      </c>
      <c r="K6986" t="n">
        <v>0</v>
      </c>
      <c r="L6986" t="n">
        <v>0</v>
      </c>
      <c r="M6986" t="n">
        <v>0</v>
      </c>
      <c r="N6986" t="n">
        <v>0</v>
      </c>
      <c r="O6986" t="n">
        <v>0</v>
      </c>
      <c r="P6986" t="n">
        <v>0</v>
      </c>
      <c r="Q6986" t="n">
        <v>0</v>
      </c>
      <c r="R6986" t="n">
        <v>0</v>
      </c>
      <c r="S6986" t="n">
        <v>0</v>
      </c>
      <c r="T6986" t="n">
        <v>0</v>
      </c>
      <c r="U6986" t="n">
        <v>0</v>
      </c>
      <c r="V6986" s="2" t="inlineStr"/>
    </row>
    <row r="6987" ht="15" customHeight="1">
      <c r="A6987" t="inlineStr">
        <is>
          <t>A 26387-2025</t>
        </is>
      </c>
      <c r="B6987" t="inlineStr">
        <is>
          <t>avverkningsanmälan</t>
        </is>
      </c>
      <c r="C6987" t="inlineStr">
        <is>
          <t>Föryngringsavverkning</t>
        </is>
      </c>
      <c r="D6987" s="1" t="n">
        <v>45806</v>
      </c>
      <c r="E6987" s="1" t="n">
        <v>46319</v>
      </c>
      <c r="F6987" t="inlineStr">
        <is>
          <t>DALARNAS LÄN</t>
        </is>
      </c>
      <c r="G6987" t="inlineStr">
        <is>
          <t>VANSBRO</t>
        </is>
      </c>
      <c r="H6987" t="inlineStr">
        <is>
          <t>Bergvik skog väst AB</t>
        </is>
      </c>
      <c r="I6987" t="n">
        <v>3.1</v>
      </c>
      <c r="J6987" t="n">
        <v>0</v>
      </c>
      <c r="K6987" t="n">
        <v>0</v>
      </c>
      <c r="L6987" t="n">
        <v>0</v>
      </c>
      <c r="M6987" t="n">
        <v>0</v>
      </c>
      <c r="N6987" t="n">
        <v>0</v>
      </c>
      <c r="O6987" t="n">
        <v>0</v>
      </c>
      <c r="P6987" t="n">
        <v>0</v>
      </c>
      <c r="Q6987" t="n">
        <v>0</v>
      </c>
      <c r="R6987" t="n">
        <v>0</v>
      </c>
      <c r="S6987" t="n">
        <v>0</v>
      </c>
      <c r="T6987" t="n">
        <v>0</v>
      </c>
      <c r="U6987" t="n">
        <v>0</v>
      </c>
      <c r="V6987" s="2" t="inlineStr"/>
    </row>
    <row r="6988" ht="15" customHeight="1">
      <c r="A6988" t="inlineStr">
        <is>
          <t>A 53554-2025</t>
        </is>
      </c>
      <c r="B6988" t="inlineStr">
        <is>
          <t>avverkningsanmälan</t>
        </is>
      </c>
      <c r="C6988" t="inlineStr">
        <is>
          <t>Föryngringsavverkning</t>
        </is>
      </c>
      <c r="D6988" s="1" t="n">
        <v>45960</v>
      </c>
      <c r="E6988" s="1" t="n">
        <v>46319</v>
      </c>
      <c r="F6988" t="inlineStr">
        <is>
          <t>DALARNAS LÄN</t>
        </is>
      </c>
      <c r="G6988" t="inlineStr">
        <is>
          <t>LUDVIKA</t>
        </is>
      </c>
      <c r="H6988" t="inlineStr">
        <is>
          <t>Bergvik skog väst AB</t>
        </is>
      </c>
      <c r="I6988" t="n">
        <v>1.1</v>
      </c>
      <c r="J6988" t="n">
        <v>0</v>
      </c>
      <c r="K6988" t="n">
        <v>0</v>
      </c>
      <c r="L6988" t="n">
        <v>0</v>
      </c>
      <c r="M6988" t="n">
        <v>0</v>
      </c>
      <c r="N6988" t="n">
        <v>0</v>
      </c>
      <c r="O6988" t="n">
        <v>0</v>
      </c>
      <c r="P6988" t="n">
        <v>0</v>
      </c>
      <c r="Q6988" t="n">
        <v>0</v>
      </c>
      <c r="R6988" t="n">
        <v>0</v>
      </c>
      <c r="S6988" t="n">
        <v>0</v>
      </c>
      <c r="T6988" t="n">
        <v>0</v>
      </c>
      <c r="U6988" t="n">
        <v>0</v>
      </c>
      <c r="V6988" s="2" t="inlineStr"/>
    </row>
    <row r="6989" ht="15" customHeight="1">
      <c r="A6989" t="inlineStr">
        <is>
          <t>A 28913-2024</t>
        </is>
      </c>
      <c r="B6989" t="inlineStr">
        <is>
          <t>avverkningsanmälan</t>
        </is>
      </c>
      <c r="C6989" t="inlineStr">
        <is>
          <t>Föryngringsavverkning</t>
        </is>
      </c>
      <c r="D6989" s="1" t="n">
        <v>45480</v>
      </c>
      <c r="E6989" s="1" t="n">
        <v>46319</v>
      </c>
      <c r="F6989" t="inlineStr">
        <is>
          <t>DALARNAS LÄN</t>
        </is>
      </c>
      <c r="G6989" t="inlineStr">
        <is>
          <t>LEKSAND</t>
        </is>
      </c>
      <c r="I6989" t="n">
        <v>1.5</v>
      </c>
      <c r="J6989" t="n">
        <v>0</v>
      </c>
      <c r="K6989" t="n">
        <v>0</v>
      </c>
      <c r="L6989" t="n">
        <v>0</v>
      </c>
      <c r="M6989" t="n">
        <v>0</v>
      </c>
      <c r="N6989" t="n">
        <v>0</v>
      </c>
      <c r="O6989" t="n">
        <v>0</v>
      </c>
      <c r="P6989" t="n">
        <v>0</v>
      </c>
      <c r="Q6989" t="n">
        <v>0</v>
      </c>
      <c r="R6989" t="n">
        <v>0</v>
      </c>
      <c r="S6989" t="n">
        <v>0</v>
      </c>
      <c r="T6989" t="n">
        <v>0</v>
      </c>
      <c r="U6989" t="n">
        <v>0</v>
      </c>
      <c r="V6989" s="2" t="inlineStr"/>
    </row>
    <row r="6990" ht="15" customHeight="1">
      <c r="A6990" t="inlineStr">
        <is>
          <t>A 25610-2025</t>
        </is>
      </c>
      <c r="B6990" t="inlineStr">
        <is>
          <t>avverkningsanmälan</t>
        </is>
      </c>
      <c r="C6990" t="inlineStr">
        <is>
          <t>Föryngringsavverkning</t>
        </is>
      </c>
      <c r="D6990" s="1" t="n">
        <v>45803</v>
      </c>
      <c r="E6990" s="1" t="n">
        <v>46319</v>
      </c>
      <c r="F6990" t="inlineStr">
        <is>
          <t>DALARNAS LÄN</t>
        </is>
      </c>
      <c r="G6990" t="inlineStr">
        <is>
          <t>LEKSAND</t>
        </is>
      </c>
      <c r="I6990" t="n">
        <v>5.2</v>
      </c>
      <c r="J6990" t="n">
        <v>0</v>
      </c>
      <c r="K6990" t="n">
        <v>0</v>
      </c>
      <c r="L6990" t="n">
        <v>0</v>
      </c>
      <c r="M6990" t="n">
        <v>0</v>
      </c>
      <c r="N6990" t="n">
        <v>0</v>
      </c>
      <c r="O6990" t="n">
        <v>0</v>
      </c>
      <c r="P6990" t="n">
        <v>0</v>
      </c>
      <c r="Q6990" t="n">
        <v>0</v>
      </c>
      <c r="R6990" t="n">
        <v>0</v>
      </c>
      <c r="S6990" t="n">
        <v>0</v>
      </c>
      <c r="T6990" t="n">
        <v>0</v>
      </c>
      <c r="U6990" t="n">
        <v>0</v>
      </c>
      <c r="V6990" s="2" t="inlineStr"/>
    </row>
    <row r="6991" ht="15" customHeight="1">
      <c r="A6991" t="inlineStr">
        <is>
          <t>A 55910-2022</t>
        </is>
      </c>
      <c r="B6991" t="inlineStr">
        <is>
          <t>avverkningsanmälan</t>
        </is>
      </c>
      <c r="C6991" t="inlineStr">
        <is>
          <t>Föryngringsavverkning</t>
        </is>
      </c>
      <c r="D6991" s="1" t="n">
        <v>44889</v>
      </c>
      <c r="E6991" s="1" t="n">
        <v>46319</v>
      </c>
      <c r="F6991" t="inlineStr">
        <is>
          <t>DALARNAS LÄN</t>
        </is>
      </c>
      <c r="G6991" t="inlineStr">
        <is>
          <t>BORLÄNGE</t>
        </is>
      </c>
      <c r="I6991" t="n">
        <v>0.5</v>
      </c>
      <c r="J6991" t="n">
        <v>0</v>
      </c>
      <c r="K6991" t="n">
        <v>0</v>
      </c>
      <c r="L6991" t="n">
        <v>0</v>
      </c>
      <c r="M6991" t="n">
        <v>0</v>
      </c>
      <c r="N6991" t="n">
        <v>0</v>
      </c>
      <c r="O6991" t="n">
        <v>0</v>
      </c>
      <c r="P6991" t="n">
        <v>0</v>
      </c>
      <c r="Q6991" t="n">
        <v>0</v>
      </c>
      <c r="R6991" t="n">
        <v>0</v>
      </c>
      <c r="S6991" t="n">
        <v>0</v>
      </c>
      <c r="T6991" t="n">
        <v>0</v>
      </c>
      <c r="U6991" t="n">
        <v>0</v>
      </c>
      <c r="V6991" s="2" t="inlineStr"/>
    </row>
    <row r="6992" ht="15" customHeight="1">
      <c r="A6992" t="inlineStr">
        <is>
          <t>A 20089-2026</t>
        </is>
      </c>
      <c r="B6992" t="inlineStr">
        <is>
          <t>avverkningsanmälan</t>
        </is>
      </c>
      <c r="C6992" t="inlineStr">
        <is>
          <t>Föryngringsavverkning</t>
        </is>
      </c>
      <c r="D6992" s="1" t="n">
        <v>46135</v>
      </c>
      <c r="E6992" s="1" t="n">
        <v>46319</v>
      </c>
      <c r="F6992" t="inlineStr">
        <is>
          <t>DALARNAS LÄN</t>
        </is>
      </c>
      <c r="G6992" t="inlineStr">
        <is>
          <t>MORA</t>
        </is>
      </c>
      <c r="I6992" t="n">
        <v>2.4</v>
      </c>
      <c r="J6992" t="n">
        <v>0</v>
      </c>
      <c r="K6992" t="n">
        <v>0</v>
      </c>
      <c r="L6992" t="n">
        <v>0</v>
      </c>
      <c r="M6992" t="n">
        <v>0</v>
      </c>
      <c r="N6992" t="n">
        <v>0</v>
      </c>
      <c r="O6992" t="n">
        <v>0</v>
      </c>
      <c r="P6992" t="n">
        <v>0</v>
      </c>
      <c r="Q6992" t="n">
        <v>0</v>
      </c>
      <c r="R6992" t="n">
        <v>0</v>
      </c>
      <c r="S6992" t="n">
        <v>0</v>
      </c>
      <c r="T6992" t="n">
        <v>0</v>
      </c>
      <c r="U6992" t="n">
        <v>0</v>
      </c>
      <c r="V6992" s="2" t="inlineStr"/>
    </row>
    <row r="6993" ht="15" customHeight="1">
      <c r="A6993" t="inlineStr">
        <is>
          <t>A 36294-2026</t>
        </is>
      </c>
      <c r="B6993" t="inlineStr">
        <is>
          <t>avverkningsanmälan</t>
        </is>
      </c>
      <c r="C6993" t="inlineStr">
        <is>
          <t>Föryngringsavverkning</t>
        </is>
      </c>
      <c r="D6993" s="1" t="n">
        <v>46268</v>
      </c>
      <c r="E6993" s="1" t="n">
        <v>46319</v>
      </c>
      <c r="F6993" t="inlineStr">
        <is>
          <t>DALARNAS LÄN</t>
        </is>
      </c>
      <c r="G6993" t="inlineStr">
        <is>
          <t>SMEDJEBACKEN</t>
        </is>
      </c>
      <c r="I6993" t="n">
        <v>1</v>
      </c>
      <c r="J6993" t="n">
        <v>0</v>
      </c>
      <c r="K6993" t="n">
        <v>0</v>
      </c>
      <c r="L6993" t="n">
        <v>0</v>
      </c>
      <c r="M6993" t="n">
        <v>0</v>
      </c>
      <c r="N6993" t="n">
        <v>0</v>
      </c>
      <c r="O6993" t="n">
        <v>0</v>
      </c>
      <c r="P6993" t="n">
        <v>0</v>
      </c>
      <c r="Q6993" t="n">
        <v>0</v>
      </c>
      <c r="R6993" t="n">
        <v>0</v>
      </c>
      <c r="S6993" t="n">
        <v>0</v>
      </c>
      <c r="T6993" t="n">
        <v>0</v>
      </c>
      <c r="U6993" t="n">
        <v>0</v>
      </c>
      <c r="V6993" s="2" t="inlineStr"/>
    </row>
    <row r="6994" ht="15" customHeight="1">
      <c r="A6994" t="inlineStr">
        <is>
          <t>A 890-2024</t>
        </is>
      </c>
      <c r="B6994" t="inlineStr">
        <is>
          <t>avverkningsanmälan</t>
        </is>
      </c>
      <c r="C6994" t="inlineStr">
        <is>
          <t>Föryngringsavverkning</t>
        </is>
      </c>
      <c r="D6994" s="1" t="n">
        <v>45301</v>
      </c>
      <c r="E6994" s="1" t="n">
        <v>46319</v>
      </c>
      <c r="F6994" t="inlineStr">
        <is>
          <t>DALARNAS LÄN</t>
        </is>
      </c>
      <c r="G6994" t="inlineStr">
        <is>
          <t>ORSA</t>
        </is>
      </c>
      <c r="I6994" t="n">
        <v>2.5</v>
      </c>
      <c r="J6994" t="n">
        <v>0</v>
      </c>
      <c r="K6994" t="n">
        <v>0</v>
      </c>
      <c r="L6994" t="n">
        <v>0</v>
      </c>
      <c r="M6994" t="n">
        <v>0</v>
      </c>
      <c r="N6994" t="n">
        <v>0</v>
      </c>
      <c r="O6994" t="n">
        <v>0</v>
      </c>
      <c r="P6994" t="n">
        <v>0</v>
      </c>
      <c r="Q6994" t="n">
        <v>0</v>
      </c>
      <c r="R6994" t="n">
        <v>0</v>
      </c>
      <c r="S6994" t="n">
        <v>0</v>
      </c>
      <c r="T6994" t="n">
        <v>0</v>
      </c>
      <c r="U6994" t="n">
        <v>0</v>
      </c>
      <c r="V6994" s="2" t="inlineStr"/>
    </row>
    <row r="6995" ht="15" customHeight="1">
      <c r="A6995" t="inlineStr">
        <is>
          <t>A 42651-2026</t>
        </is>
      </c>
      <c r="B6995" t="inlineStr">
        <is>
          <t>avverkningsanmälan</t>
        </is>
      </c>
      <c r="C6995" t="inlineStr">
        <is>
          <t>Föryngringsavverkning</t>
        </is>
      </c>
      <c r="D6995" s="1" t="n">
        <v>46309</v>
      </c>
      <c r="E6995" s="1" t="n">
        <v>46319</v>
      </c>
      <c r="F6995" t="inlineStr">
        <is>
          <t>DALARNAS LÄN</t>
        </is>
      </c>
      <c r="G6995" t="inlineStr">
        <is>
          <t>VANSBRO</t>
        </is>
      </c>
      <c r="H6995" t="inlineStr">
        <is>
          <t>Bergvik skog väst AB</t>
        </is>
      </c>
      <c r="I6995" t="n">
        <v>3.4</v>
      </c>
      <c r="J6995" t="n">
        <v>0</v>
      </c>
      <c r="K6995" t="n">
        <v>0</v>
      </c>
      <c r="L6995" t="n">
        <v>0</v>
      </c>
      <c r="M6995" t="n">
        <v>0</v>
      </c>
      <c r="N6995" t="n">
        <v>0</v>
      </c>
      <c r="O6995" t="n">
        <v>0</v>
      </c>
      <c r="P6995" t="n">
        <v>0</v>
      </c>
      <c r="Q6995" t="n">
        <v>0</v>
      </c>
      <c r="R6995" t="n">
        <v>0</v>
      </c>
      <c r="S6995" t="n">
        <v>0</v>
      </c>
      <c r="T6995" t="n">
        <v>0</v>
      </c>
      <c r="U6995" t="n">
        <v>0</v>
      </c>
      <c r="V6995" s="2" t="inlineStr"/>
    </row>
    <row r="6996" ht="15" customHeight="1">
      <c r="A6996" t="inlineStr">
        <is>
          <t>A 42668-2026</t>
        </is>
      </c>
      <c r="B6996" t="inlineStr">
        <is>
          <t>avverkningsanmälan</t>
        </is>
      </c>
      <c r="C6996" t="inlineStr">
        <is>
          <t>Föryngringsavverkning</t>
        </is>
      </c>
      <c r="D6996" s="1" t="n">
        <v>46309</v>
      </c>
      <c r="E6996" s="1" t="n">
        <v>46319</v>
      </c>
      <c r="F6996" t="inlineStr">
        <is>
          <t>DALARNAS LÄN</t>
        </is>
      </c>
      <c r="G6996" t="inlineStr">
        <is>
          <t>VANSBRO</t>
        </is>
      </c>
      <c r="H6996" t="inlineStr">
        <is>
          <t>Bergvik skog väst AB</t>
        </is>
      </c>
      <c r="I6996" t="n">
        <v>1.4</v>
      </c>
      <c r="J6996" t="n">
        <v>0</v>
      </c>
      <c r="K6996" t="n">
        <v>0</v>
      </c>
      <c r="L6996" t="n">
        <v>0</v>
      </c>
      <c r="M6996" t="n">
        <v>0</v>
      </c>
      <c r="N6996" t="n">
        <v>0</v>
      </c>
      <c r="O6996" t="n">
        <v>0</v>
      </c>
      <c r="P6996" t="n">
        <v>0</v>
      </c>
      <c r="Q6996" t="n">
        <v>0</v>
      </c>
      <c r="R6996" t="n">
        <v>0</v>
      </c>
      <c r="S6996" t="n">
        <v>0</v>
      </c>
      <c r="T6996" t="n">
        <v>0</v>
      </c>
      <c r="U6996" t="n">
        <v>0</v>
      </c>
      <c r="V6996" s="2" t="inlineStr"/>
    </row>
    <row r="6997" ht="15" customHeight="1">
      <c r="A6997" t="inlineStr">
        <is>
          <t>A 13770-2025</t>
        </is>
      </c>
      <c r="B6997" t="inlineStr">
        <is>
          <t>avverkningsanmälan</t>
        </is>
      </c>
      <c r="C6997" t="inlineStr">
        <is>
          <t>Föryngringsavverkning</t>
        </is>
      </c>
      <c r="D6997" s="1" t="n">
        <v>45737</v>
      </c>
      <c r="E6997" s="1" t="n">
        <v>46319</v>
      </c>
      <c r="F6997" t="inlineStr">
        <is>
          <t>DALARNAS LÄN</t>
        </is>
      </c>
      <c r="G6997" t="inlineStr">
        <is>
          <t>RÄTTVIK</t>
        </is>
      </c>
      <c r="I6997" t="n">
        <v>1.1</v>
      </c>
      <c r="J6997" t="n">
        <v>0</v>
      </c>
      <c r="K6997" t="n">
        <v>0</v>
      </c>
      <c r="L6997" t="n">
        <v>0</v>
      </c>
      <c r="M6997" t="n">
        <v>0</v>
      </c>
      <c r="N6997" t="n">
        <v>0</v>
      </c>
      <c r="O6997" t="n">
        <v>0</v>
      </c>
      <c r="P6997" t="n">
        <v>0</v>
      </c>
      <c r="Q6997" t="n">
        <v>0</v>
      </c>
      <c r="R6997" t="n">
        <v>0</v>
      </c>
      <c r="S6997" t="n">
        <v>0</v>
      </c>
      <c r="T6997" t="n">
        <v>0</v>
      </c>
      <c r="U6997" t="n">
        <v>0</v>
      </c>
      <c r="V6997" s="2" t="inlineStr"/>
    </row>
    <row r="6998" ht="15" customHeight="1">
      <c r="A6998" t="inlineStr">
        <is>
          <t>A 612-2025</t>
        </is>
      </c>
      <c r="B6998" t="inlineStr">
        <is>
          <t>avverkningsanmälan</t>
        </is>
      </c>
      <c r="C6998" t="inlineStr">
        <is>
          <t>Föryngringsavverkning</t>
        </is>
      </c>
      <c r="D6998" s="1" t="n">
        <v>45660</v>
      </c>
      <c r="E6998" s="1" t="n">
        <v>46319</v>
      </c>
      <c r="F6998" t="inlineStr">
        <is>
          <t>DALARNAS LÄN</t>
        </is>
      </c>
      <c r="G6998" t="inlineStr">
        <is>
          <t>ORSA</t>
        </is>
      </c>
      <c r="H6998" t="inlineStr">
        <is>
          <t>Allmännings- och besparingsskogar</t>
        </is>
      </c>
      <c r="I6998" t="n">
        <v>0.8</v>
      </c>
      <c r="J6998" t="n">
        <v>0</v>
      </c>
      <c r="K6998" t="n">
        <v>0</v>
      </c>
      <c r="L6998" t="n">
        <v>0</v>
      </c>
      <c r="M6998" t="n">
        <v>0</v>
      </c>
      <c r="N6998" t="n">
        <v>0</v>
      </c>
      <c r="O6998" t="n">
        <v>0</v>
      </c>
      <c r="P6998" t="n">
        <v>0</v>
      </c>
      <c r="Q6998" t="n">
        <v>0</v>
      </c>
      <c r="R6998" t="n">
        <v>0</v>
      </c>
      <c r="S6998" t="n">
        <v>0</v>
      </c>
      <c r="T6998" t="n">
        <v>0</v>
      </c>
      <c r="U6998" t="n">
        <v>0</v>
      </c>
      <c r="V6998" s="2" t="inlineStr"/>
    </row>
    <row r="6999" ht="15" customHeight="1">
      <c r="A6999" t="inlineStr">
        <is>
          <t>A 21850-2025</t>
        </is>
      </c>
      <c r="B6999" t="inlineStr">
        <is>
          <t>avverkningsanmälan</t>
        </is>
      </c>
      <c r="C6999" t="inlineStr">
        <is>
          <t>Föryngringsavverkning</t>
        </is>
      </c>
      <c r="D6999" s="1" t="n">
        <v>45784</v>
      </c>
      <c r="E6999" s="1" t="n">
        <v>46319</v>
      </c>
      <c r="F6999" t="inlineStr">
        <is>
          <t>DALARNAS LÄN</t>
        </is>
      </c>
      <c r="G6999" t="inlineStr">
        <is>
          <t>RÄTTVIK</t>
        </is>
      </c>
      <c r="I6999" t="n">
        <v>2</v>
      </c>
      <c r="J6999" t="n">
        <v>0</v>
      </c>
      <c r="K6999" t="n">
        <v>0</v>
      </c>
      <c r="L6999" t="n">
        <v>0</v>
      </c>
      <c r="M6999" t="n">
        <v>0</v>
      </c>
      <c r="N6999" t="n">
        <v>0</v>
      </c>
      <c r="O6999" t="n">
        <v>0</v>
      </c>
      <c r="P6999" t="n">
        <v>0</v>
      </c>
      <c r="Q6999" t="n">
        <v>0</v>
      </c>
      <c r="R6999" t="n">
        <v>0</v>
      </c>
      <c r="S6999" t="n">
        <v>0</v>
      </c>
      <c r="T6999" t="n">
        <v>0</v>
      </c>
      <c r="U6999" t="n">
        <v>0</v>
      </c>
      <c r="V6999" s="2" t="inlineStr"/>
    </row>
    <row r="7000" ht="15" customHeight="1">
      <c r="A7000" t="inlineStr">
        <is>
          <t>A 35972-2026</t>
        </is>
      </c>
      <c r="B7000" t="inlineStr">
        <is>
          <t>avverkningsanmälan</t>
        </is>
      </c>
      <c r="C7000" t="inlineStr">
        <is>
          <t>Föryngringsavverkning</t>
        </is>
      </c>
      <c r="D7000" s="1" t="n">
        <v>46266</v>
      </c>
      <c r="E7000" s="1" t="n">
        <v>46319</v>
      </c>
      <c r="F7000" t="inlineStr">
        <is>
          <t>DALARNAS LÄN</t>
        </is>
      </c>
      <c r="G7000" t="inlineStr">
        <is>
          <t>HEDEMORA</t>
        </is>
      </c>
      <c r="H7000" t="inlineStr">
        <is>
          <t>Sveaskog</t>
        </is>
      </c>
      <c r="I7000" t="n">
        <v>4.8</v>
      </c>
      <c r="J7000" t="n">
        <v>0</v>
      </c>
      <c r="K7000" t="n">
        <v>0</v>
      </c>
      <c r="L7000" t="n">
        <v>0</v>
      </c>
      <c r="M7000" t="n">
        <v>0</v>
      </c>
      <c r="N7000" t="n">
        <v>0</v>
      </c>
      <c r="O7000" t="n">
        <v>0</v>
      </c>
      <c r="P7000" t="n">
        <v>0</v>
      </c>
      <c r="Q7000" t="n">
        <v>0</v>
      </c>
      <c r="R7000" t="n">
        <v>0</v>
      </c>
      <c r="S7000" t="n">
        <v>0</v>
      </c>
      <c r="T7000" t="n">
        <v>0</v>
      </c>
      <c r="U7000" t="n">
        <v>0</v>
      </c>
      <c r="V7000" s="2" t="inlineStr"/>
    </row>
    <row r="7001" ht="15" customHeight="1">
      <c r="A7001" t="inlineStr">
        <is>
          <t>A 52271-2025</t>
        </is>
      </c>
      <c r="B7001" t="inlineStr">
        <is>
          <t>avverkningsanmälan</t>
        </is>
      </c>
      <c r="C7001" t="inlineStr">
        <is>
          <t>Föryngringsavverkning</t>
        </is>
      </c>
      <c r="D7001" s="1" t="n">
        <v>45953</v>
      </c>
      <c r="E7001" s="1" t="n">
        <v>46319</v>
      </c>
      <c r="F7001" t="inlineStr">
        <is>
          <t>DALARNAS LÄN</t>
        </is>
      </c>
      <c r="G7001" t="inlineStr">
        <is>
          <t>FALUN</t>
        </is>
      </c>
      <c r="I7001" t="n">
        <v>7.9</v>
      </c>
      <c r="J7001" t="n">
        <v>0</v>
      </c>
      <c r="K7001" t="n">
        <v>0</v>
      </c>
      <c r="L7001" t="n">
        <v>0</v>
      </c>
      <c r="M7001" t="n">
        <v>0</v>
      </c>
      <c r="N7001" t="n">
        <v>0</v>
      </c>
      <c r="O7001" t="n">
        <v>0</v>
      </c>
      <c r="P7001" t="n">
        <v>0</v>
      </c>
      <c r="Q7001" t="n">
        <v>0</v>
      </c>
      <c r="R7001" t="n">
        <v>0</v>
      </c>
      <c r="S7001" t="n">
        <v>0</v>
      </c>
      <c r="T7001" t="n">
        <v>0</v>
      </c>
      <c r="U7001" t="n">
        <v>0</v>
      </c>
      <c r="V7001" s="2" t="inlineStr"/>
    </row>
    <row r="7002" ht="15" customHeight="1">
      <c r="A7002" t="inlineStr">
        <is>
          <t>A 34882-2024</t>
        </is>
      </c>
      <c r="B7002" t="inlineStr">
        <is>
          <t>avverkningsanmälan</t>
        </is>
      </c>
      <c r="C7002" t="inlineStr">
        <is>
          <t>Föryngringsavverkning</t>
        </is>
      </c>
      <c r="D7002" s="1" t="n">
        <v>45527</v>
      </c>
      <c r="E7002" s="1" t="n">
        <v>46319</v>
      </c>
      <c r="F7002" t="inlineStr">
        <is>
          <t>DALARNAS LÄN</t>
        </is>
      </c>
      <c r="G7002" t="inlineStr">
        <is>
          <t>BORLÄNGE</t>
        </is>
      </c>
      <c r="I7002" t="n">
        <v>0.7</v>
      </c>
      <c r="J7002" t="n">
        <v>0</v>
      </c>
      <c r="K7002" t="n">
        <v>0</v>
      </c>
      <c r="L7002" t="n">
        <v>0</v>
      </c>
      <c r="M7002" t="n">
        <v>0</v>
      </c>
      <c r="N7002" t="n">
        <v>0</v>
      </c>
      <c r="O7002" t="n">
        <v>0</v>
      </c>
      <c r="P7002" t="n">
        <v>0</v>
      </c>
      <c r="Q7002" t="n">
        <v>0</v>
      </c>
      <c r="R7002" t="n">
        <v>0</v>
      </c>
      <c r="S7002" t="n">
        <v>0</v>
      </c>
      <c r="T7002" t="n">
        <v>0</v>
      </c>
      <c r="U7002" t="n">
        <v>0</v>
      </c>
      <c r="V7002" s="2" t="inlineStr"/>
    </row>
    <row r="7003" ht="15" customHeight="1">
      <c r="A7003" t="inlineStr">
        <is>
          <t>A 35973-2026</t>
        </is>
      </c>
      <c r="B7003" t="inlineStr">
        <is>
          <t>avverkningsanmälan</t>
        </is>
      </c>
      <c r="C7003" t="inlineStr">
        <is>
          <t>Föryngringsavverkning</t>
        </is>
      </c>
      <c r="D7003" s="1" t="n">
        <v>46266</v>
      </c>
      <c r="E7003" s="1" t="n">
        <v>46319</v>
      </c>
      <c r="F7003" t="inlineStr">
        <is>
          <t>DALARNAS LÄN</t>
        </is>
      </c>
      <c r="G7003" t="inlineStr">
        <is>
          <t>VANSBRO</t>
        </is>
      </c>
      <c r="I7003" t="n">
        <v>0.9</v>
      </c>
      <c r="J7003" t="n">
        <v>0</v>
      </c>
      <c r="K7003" t="n">
        <v>0</v>
      </c>
      <c r="L7003" t="n">
        <v>0</v>
      </c>
      <c r="M7003" t="n">
        <v>0</v>
      </c>
      <c r="N7003" t="n">
        <v>0</v>
      </c>
      <c r="O7003" t="n">
        <v>0</v>
      </c>
      <c r="P7003" t="n">
        <v>0</v>
      </c>
      <c r="Q7003" t="n">
        <v>0</v>
      </c>
      <c r="R7003" t="n">
        <v>0</v>
      </c>
      <c r="S7003" t="n">
        <v>0</v>
      </c>
      <c r="T7003" t="n">
        <v>0</v>
      </c>
      <c r="U7003" t="n">
        <v>0</v>
      </c>
      <c r="V7003" s="2" t="inlineStr"/>
    </row>
    <row r="7004" ht="15" customHeight="1">
      <c r="A7004" t="inlineStr">
        <is>
          <t>A 35975-2026</t>
        </is>
      </c>
      <c r="B7004" t="inlineStr">
        <is>
          <t>avverkningsanmälan</t>
        </is>
      </c>
      <c r="C7004" t="inlineStr">
        <is>
          <t>Föryngringsavverkning</t>
        </is>
      </c>
      <c r="D7004" s="1" t="n">
        <v>46266</v>
      </c>
      <c r="E7004" s="1" t="n">
        <v>46319</v>
      </c>
      <c r="F7004" t="inlineStr">
        <is>
          <t>DALARNAS LÄN</t>
        </is>
      </c>
      <c r="G7004" t="inlineStr">
        <is>
          <t>MORA</t>
        </is>
      </c>
      <c r="I7004" t="n">
        <v>1.1</v>
      </c>
      <c r="J7004" t="n">
        <v>0</v>
      </c>
      <c r="K7004" t="n">
        <v>0</v>
      </c>
      <c r="L7004" t="n">
        <v>0</v>
      </c>
      <c r="M7004" t="n">
        <v>0</v>
      </c>
      <c r="N7004" t="n">
        <v>0</v>
      </c>
      <c r="O7004" t="n">
        <v>0</v>
      </c>
      <c r="P7004" t="n">
        <v>0</v>
      </c>
      <c r="Q7004" t="n">
        <v>0</v>
      </c>
      <c r="R7004" t="n">
        <v>0</v>
      </c>
      <c r="S7004" t="n">
        <v>0</v>
      </c>
      <c r="T7004" t="n">
        <v>0</v>
      </c>
      <c r="U7004" t="n">
        <v>0</v>
      </c>
      <c r="V7004" s="2" t="inlineStr"/>
    </row>
    <row r="7005" ht="15" customHeight="1">
      <c r="A7005" t="inlineStr">
        <is>
          <t>A 35965-2026</t>
        </is>
      </c>
      <c r="B7005" t="inlineStr">
        <is>
          <t>avverkningsanmälan</t>
        </is>
      </c>
      <c r="C7005" t="inlineStr">
        <is>
          <t>Föryngringsavverkning</t>
        </is>
      </c>
      <c r="D7005" s="1" t="n">
        <v>46266</v>
      </c>
      <c r="E7005" s="1" t="n">
        <v>46319</v>
      </c>
      <c r="F7005" t="inlineStr">
        <is>
          <t>DALARNAS LÄN</t>
        </is>
      </c>
      <c r="G7005" t="inlineStr">
        <is>
          <t>MORA</t>
        </is>
      </c>
      <c r="I7005" t="n">
        <v>0.5</v>
      </c>
      <c r="J7005" t="n">
        <v>0</v>
      </c>
      <c r="K7005" t="n">
        <v>0</v>
      </c>
      <c r="L7005" t="n">
        <v>0</v>
      </c>
      <c r="M7005" t="n">
        <v>0</v>
      </c>
      <c r="N7005" t="n">
        <v>0</v>
      </c>
      <c r="O7005" t="n">
        <v>0</v>
      </c>
      <c r="P7005" t="n">
        <v>0</v>
      </c>
      <c r="Q7005" t="n">
        <v>0</v>
      </c>
      <c r="R7005" t="n">
        <v>0</v>
      </c>
      <c r="S7005" t="n">
        <v>0</v>
      </c>
      <c r="T7005" t="n">
        <v>0</v>
      </c>
      <c r="U7005" t="n">
        <v>0</v>
      </c>
      <c r="V7005" s="2" t="inlineStr"/>
    </row>
    <row r="7006" ht="15" customHeight="1">
      <c r="A7006" t="inlineStr">
        <is>
          <t>A 20113-2026</t>
        </is>
      </c>
      <c r="B7006" t="inlineStr">
        <is>
          <t>avverkningsanmälan</t>
        </is>
      </c>
      <c r="C7006" t="inlineStr">
        <is>
          <t>Föryngringsavverkning</t>
        </is>
      </c>
      <c r="D7006" s="1" t="n">
        <v>46136</v>
      </c>
      <c r="E7006" s="1" t="n">
        <v>46319</v>
      </c>
      <c r="F7006" t="inlineStr">
        <is>
          <t>DALARNAS LÄN</t>
        </is>
      </c>
      <c r="G7006" t="inlineStr">
        <is>
          <t>RÄTTVIK</t>
        </is>
      </c>
      <c r="H7006" t="inlineStr">
        <is>
          <t>Bergvik skog väst AB</t>
        </is>
      </c>
      <c r="I7006" t="n">
        <v>0.5</v>
      </c>
      <c r="J7006" t="n">
        <v>0</v>
      </c>
      <c r="K7006" t="n">
        <v>0</v>
      </c>
      <c r="L7006" t="n">
        <v>0</v>
      </c>
      <c r="M7006" t="n">
        <v>0</v>
      </c>
      <c r="N7006" t="n">
        <v>0</v>
      </c>
      <c r="O7006" t="n">
        <v>0</v>
      </c>
      <c r="P7006" t="n">
        <v>0</v>
      </c>
      <c r="Q7006" t="n">
        <v>0</v>
      </c>
      <c r="R7006" t="n">
        <v>0</v>
      </c>
      <c r="S7006" t="n">
        <v>0</v>
      </c>
      <c r="T7006" t="n">
        <v>0</v>
      </c>
      <c r="U7006" t="n">
        <v>0</v>
      </c>
      <c r="V7006" s="2" t="inlineStr"/>
    </row>
    <row r="7007" ht="15" customHeight="1">
      <c r="A7007" t="inlineStr">
        <is>
          <t>A 27177-2025</t>
        </is>
      </c>
      <c r="B7007" t="inlineStr">
        <is>
          <t>avverkningsanmälan</t>
        </is>
      </c>
      <c r="C7007" t="inlineStr">
        <is>
          <t>Föryngringsavverkning</t>
        </is>
      </c>
      <c r="D7007" s="1" t="n">
        <v>45812</v>
      </c>
      <c r="E7007" s="1" t="n">
        <v>46319</v>
      </c>
      <c r="F7007" t="inlineStr">
        <is>
          <t>DALARNAS LÄN</t>
        </is>
      </c>
      <c r="G7007" t="inlineStr">
        <is>
          <t>MORA</t>
        </is>
      </c>
      <c r="H7007" t="inlineStr">
        <is>
          <t>Bergvik skog öst AB</t>
        </is>
      </c>
      <c r="I7007" t="n">
        <v>2.5</v>
      </c>
      <c r="J7007" t="n">
        <v>0</v>
      </c>
      <c r="K7007" t="n">
        <v>0</v>
      </c>
      <c r="L7007" t="n">
        <v>0</v>
      </c>
      <c r="M7007" t="n">
        <v>0</v>
      </c>
      <c r="N7007" t="n">
        <v>0</v>
      </c>
      <c r="O7007" t="n">
        <v>0</v>
      </c>
      <c r="P7007" t="n">
        <v>0</v>
      </c>
      <c r="Q7007" t="n">
        <v>0</v>
      </c>
      <c r="R7007" t="n">
        <v>0</v>
      </c>
      <c r="S7007" t="n">
        <v>0</v>
      </c>
      <c r="T7007" t="n">
        <v>0</v>
      </c>
      <c r="U7007" t="n">
        <v>0</v>
      </c>
      <c r="V7007" s="2" t="inlineStr"/>
    </row>
    <row r="7008" ht="15" customHeight="1">
      <c r="A7008" t="inlineStr">
        <is>
          <t>A 15040-2026</t>
        </is>
      </c>
      <c r="B7008" t="inlineStr">
        <is>
          <t>avverkningsanmälan</t>
        </is>
      </c>
      <c r="C7008" t="inlineStr">
        <is>
          <t>Föryngringsavverkning</t>
        </is>
      </c>
      <c r="D7008" s="1" t="n">
        <v>46104</v>
      </c>
      <c r="E7008" s="1" t="n">
        <v>46319</v>
      </c>
      <c r="F7008" t="inlineStr">
        <is>
          <t>DALARNAS LÄN</t>
        </is>
      </c>
      <c r="G7008" t="inlineStr">
        <is>
          <t>RÄTTVIK</t>
        </is>
      </c>
      <c r="H7008" t="inlineStr">
        <is>
          <t>Bergvik skog väst AB</t>
        </is>
      </c>
      <c r="I7008" t="n">
        <v>2.1</v>
      </c>
      <c r="J7008" t="n">
        <v>0</v>
      </c>
      <c r="K7008" t="n">
        <v>0</v>
      </c>
      <c r="L7008" t="n">
        <v>0</v>
      </c>
      <c r="M7008" t="n">
        <v>0</v>
      </c>
      <c r="N7008" t="n">
        <v>0</v>
      </c>
      <c r="O7008" t="n">
        <v>0</v>
      </c>
      <c r="P7008" t="n">
        <v>0</v>
      </c>
      <c r="Q7008" t="n">
        <v>0</v>
      </c>
      <c r="R7008" t="n">
        <v>0</v>
      </c>
      <c r="S7008" t="n">
        <v>0</v>
      </c>
      <c r="T7008" t="n">
        <v>0</v>
      </c>
      <c r="U7008" t="n">
        <v>0</v>
      </c>
      <c r="V7008" s="2" t="inlineStr"/>
    </row>
    <row r="7009" ht="15" customHeight="1">
      <c r="A7009" t="inlineStr">
        <is>
          <t>A 17142-2026</t>
        </is>
      </c>
      <c r="B7009" t="inlineStr">
        <is>
          <t>avverkningsanmälan</t>
        </is>
      </c>
      <c r="C7009" t="inlineStr">
        <is>
          <t>Föryngringsavverkning</t>
        </is>
      </c>
      <c r="D7009" s="1" t="n">
        <v>46114</v>
      </c>
      <c r="E7009" s="1" t="n">
        <v>46319</v>
      </c>
      <c r="F7009" t="inlineStr">
        <is>
          <t>DALARNAS LÄN</t>
        </is>
      </c>
      <c r="G7009" t="inlineStr">
        <is>
          <t>FALUN</t>
        </is>
      </c>
      <c r="I7009" t="n">
        <v>2.2</v>
      </c>
      <c r="J7009" t="n">
        <v>0</v>
      </c>
      <c r="K7009" t="n">
        <v>0</v>
      </c>
      <c r="L7009" t="n">
        <v>0</v>
      </c>
      <c r="M7009" t="n">
        <v>0</v>
      </c>
      <c r="N7009" t="n">
        <v>0</v>
      </c>
      <c r="O7009" t="n">
        <v>0</v>
      </c>
      <c r="P7009" t="n">
        <v>0</v>
      </c>
      <c r="Q7009" t="n">
        <v>0</v>
      </c>
      <c r="R7009" t="n">
        <v>0</v>
      </c>
      <c r="S7009" t="n">
        <v>0</v>
      </c>
      <c r="T7009" t="n">
        <v>0</v>
      </c>
      <c r="U7009" t="n">
        <v>0</v>
      </c>
      <c r="V7009" s="2" t="inlineStr"/>
    </row>
    <row r="7010" ht="15" customHeight="1">
      <c r="A7010" t="inlineStr">
        <is>
          <t>A 7714-2026</t>
        </is>
      </c>
      <c r="B7010" t="inlineStr">
        <is>
          <t>avverkningsanmälan</t>
        </is>
      </c>
      <c r="C7010" t="inlineStr">
        <is>
          <t>Föryngringsavverkning</t>
        </is>
      </c>
      <c r="D7010" s="1" t="n">
        <v>46062</v>
      </c>
      <c r="E7010" s="1" t="n">
        <v>46319</v>
      </c>
      <c r="F7010" t="inlineStr">
        <is>
          <t>DALARNAS LÄN</t>
        </is>
      </c>
      <c r="G7010" t="inlineStr">
        <is>
          <t>LUDVIKA</t>
        </is>
      </c>
      <c r="H7010" t="inlineStr">
        <is>
          <t>Bergvik skog väst AB</t>
        </is>
      </c>
      <c r="I7010" t="n">
        <v>2.2</v>
      </c>
      <c r="J7010" t="n">
        <v>0</v>
      </c>
      <c r="K7010" t="n">
        <v>0</v>
      </c>
      <c r="L7010" t="n">
        <v>0</v>
      </c>
      <c r="M7010" t="n">
        <v>0</v>
      </c>
      <c r="N7010" t="n">
        <v>0</v>
      </c>
      <c r="O7010" t="n">
        <v>0</v>
      </c>
      <c r="P7010" t="n">
        <v>0</v>
      </c>
      <c r="Q7010" t="n">
        <v>0</v>
      </c>
      <c r="R7010" t="n">
        <v>0</v>
      </c>
      <c r="S7010" t="n">
        <v>0</v>
      </c>
      <c r="T7010" t="n">
        <v>0</v>
      </c>
      <c r="U7010" t="n">
        <v>0</v>
      </c>
      <c r="V7010" s="2" t="inlineStr"/>
    </row>
    <row r="7011" ht="15" customHeight="1">
      <c r="A7011" t="inlineStr">
        <is>
          <t>A 36104-2026</t>
        </is>
      </c>
      <c r="B7011" t="inlineStr">
        <is>
          <t>avverkningsanmälan</t>
        </is>
      </c>
      <c r="C7011" t="inlineStr">
        <is>
          <t>Föryngringsavverkning</t>
        </is>
      </c>
      <c r="D7011" s="1" t="n">
        <v>46267</v>
      </c>
      <c r="E7011" s="1" t="n">
        <v>46319</v>
      </c>
      <c r="F7011" t="inlineStr">
        <is>
          <t>DALARNAS LÄN</t>
        </is>
      </c>
      <c r="G7011" t="inlineStr">
        <is>
          <t>SMEDJEBACKEN</t>
        </is>
      </c>
      <c r="H7011" t="inlineStr">
        <is>
          <t>Sveaskog</t>
        </is>
      </c>
      <c r="I7011" t="n">
        <v>2.6</v>
      </c>
      <c r="J7011" t="n">
        <v>0</v>
      </c>
      <c r="K7011" t="n">
        <v>0</v>
      </c>
      <c r="L7011" t="n">
        <v>0</v>
      </c>
      <c r="M7011" t="n">
        <v>0</v>
      </c>
      <c r="N7011" t="n">
        <v>0</v>
      </c>
      <c r="O7011" t="n">
        <v>0</v>
      </c>
      <c r="P7011" t="n">
        <v>0</v>
      </c>
      <c r="Q7011" t="n">
        <v>0</v>
      </c>
      <c r="R7011" t="n">
        <v>0</v>
      </c>
      <c r="S7011" t="n">
        <v>0</v>
      </c>
      <c r="T7011" t="n">
        <v>0</v>
      </c>
      <c r="U7011" t="n">
        <v>0</v>
      </c>
      <c r="V7011" s="2" t="inlineStr"/>
    </row>
    <row r="7012" ht="15" customHeight="1">
      <c r="A7012" t="inlineStr">
        <is>
          <t>A 19955-2026</t>
        </is>
      </c>
      <c r="B7012" t="inlineStr">
        <is>
          <t>avverkningsanmälan</t>
        </is>
      </c>
      <c r="C7012" t="inlineStr">
        <is>
          <t>Föryngringsavverkning</t>
        </is>
      </c>
      <c r="D7012" s="1" t="n">
        <v>46136</v>
      </c>
      <c r="E7012" s="1" t="n">
        <v>46319</v>
      </c>
      <c r="F7012" t="inlineStr">
        <is>
          <t>DALARNAS LÄN</t>
        </is>
      </c>
      <c r="G7012" t="inlineStr">
        <is>
          <t>SMEDJEBACKEN</t>
        </is>
      </c>
      <c r="I7012" t="n">
        <v>1.9</v>
      </c>
      <c r="J7012" t="n">
        <v>0</v>
      </c>
      <c r="K7012" t="n">
        <v>0</v>
      </c>
      <c r="L7012" t="n">
        <v>0</v>
      </c>
      <c r="M7012" t="n">
        <v>0</v>
      </c>
      <c r="N7012" t="n">
        <v>0</v>
      </c>
      <c r="O7012" t="n">
        <v>0</v>
      </c>
      <c r="P7012" t="n">
        <v>0</v>
      </c>
      <c r="Q7012" t="n">
        <v>0</v>
      </c>
      <c r="R7012" t="n">
        <v>0</v>
      </c>
      <c r="S7012" t="n">
        <v>0</v>
      </c>
      <c r="T7012" t="n">
        <v>0</v>
      </c>
      <c r="U7012" t="n">
        <v>0</v>
      </c>
      <c r="V7012" s="2" t="inlineStr"/>
    </row>
    <row r="7013" ht="15" customHeight="1">
      <c r="A7013" t="inlineStr">
        <is>
          <t>A 19957-2026</t>
        </is>
      </c>
      <c r="B7013" t="inlineStr">
        <is>
          <t>avverkningsanmälan</t>
        </is>
      </c>
      <c r="C7013" t="inlineStr">
        <is>
          <t>Föryngringsavverkning</t>
        </is>
      </c>
      <c r="D7013" s="1" t="n">
        <v>46135</v>
      </c>
      <c r="E7013" s="1" t="n">
        <v>46319</v>
      </c>
      <c r="F7013" t="inlineStr">
        <is>
          <t>DALARNAS LÄN</t>
        </is>
      </c>
      <c r="G7013" t="inlineStr">
        <is>
          <t>AVESTA</t>
        </is>
      </c>
      <c r="I7013" t="n">
        <v>1.4</v>
      </c>
      <c r="J7013" t="n">
        <v>0</v>
      </c>
      <c r="K7013" t="n">
        <v>0</v>
      </c>
      <c r="L7013" t="n">
        <v>0</v>
      </c>
      <c r="M7013" t="n">
        <v>0</v>
      </c>
      <c r="N7013" t="n">
        <v>0</v>
      </c>
      <c r="O7013" t="n">
        <v>0</v>
      </c>
      <c r="P7013" t="n">
        <v>0</v>
      </c>
      <c r="Q7013" t="n">
        <v>0</v>
      </c>
      <c r="R7013" t="n">
        <v>0</v>
      </c>
      <c r="S7013" t="n">
        <v>0</v>
      </c>
      <c r="T7013" t="n">
        <v>0</v>
      </c>
      <c r="U7013" t="n">
        <v>0</v>
      </c>
      <c r="V7013" s="2" t="inlineStr"/>
    </row>
    <row r="7014" ht="15" customHeight="1">
      <c r="A7014" t="inlineStr">
        <is>
          <t>A 19976-2026</t>
        </is>
      </c>
      <c r="B7014" t="inlineStr">
        <is>
          <t>avverkningsanmälan</t>
        </is>
      </c>
      <c r="C7014" t="inlineStr">
        <is>
          <t>Föryngringsavverkning</t>
        </is>
      </c>
      <c r="D7014" s="1" t="n">
        <v>46136</v>
      </c>
      <c r="E7014" s="1" t="n">
        <v>46319</v>
      </c>
      <c r="F7014" t="inlineStr">
        <is>
          <t>DALARNAS LÄN</t>
        </is>
      </c>
      <c r="G7014" t="inlineStr">
        <is>
          <t>FALUN</t>
        </is>
      </c>
      <c r="I7014" t="n">
        <v>40.2</v>
      </c>
      <c r="J7014" t="n">
        <v>0</v>
      </c>
      <c r="K7014" t="n">
        <v>0</v>
      </c>
      <c r="L7014" t="n">
        <v>0</v>
      </c>
      <c r="M7014" t="n">
        <v>0</v>
      </c>
      <c r="N7014" t="n">
        <v>0</v>
      </c>
      <c r="O7014" t="n">
        <v>0</v>
      </c>
      <c r="P7014" t="n">
        <v>0</v>
      </c>
      <c r="Q7014" t="n">
        <v>0</v>
      </c>
      <c r="R7014" t="n">
        <v>0</v>
      </c>
      <c r="S7014" t="n">
        <v>0</v>
      </c>
      <c r="T7014" t="n">
        <v>0</v>
      </c>
      <c r="U7014" t="n">
        <v>0</v>
      </c>
      <c r="V7014" s="2" t="inlineStr"/>
    </row>
    <row r="7015" ht="15" customHeight="1">
      <c r="A7015" t="inlineStr">
        <is>
          <t>A 43236-2024</t>
        </is>
      </c>
      <c r="B7015" t="inlineStr">
        <is>
          <t>avverkningsanmälan</t>
        </is>
      </c>
      <c r="C7015" t="inlineStr">
        <is>
          <t>Föryngringsavverkning</t>
        </is>
      </c>
      <c r="D7015" s="1" t="n">
        <v>45567</v>
      </c>
      <c r="E7015" s="1" t="n">
        <v>46319</v>
      </c>
      <c r="F7015" t="inlineStr">
        <is>
          <t>DALARNAS LÄN</t>
        </is>
      </c>
      <c r="G7015" t="inlineStr">
        <is>
          <t>FALUN</t>
        </is>
      </c>
      <c r="I7015" t="n">
        <v>3</v>
      </c>
      <c r="J7015" t="n">
        <v>0</v>
      </c>
      <c r="K7015" t="n">
        <v>0</v>
      </c>
      <c r="L7015" t="n">
        <v>0</v>
      </c>
      <c r="M7015" t="n">
        <v>0</v>
      </c>
      <c r="N7015" t="n">
        <v>0</v>
      </c>
      <c r="O7015" t="n">
        <v>0</v>
      </c>
      <c r="P7015" t="n">
        <v>0</v>
      </c>
      <c r="Q7015" t="n">
        <v>0</v>
      </c>
      <c r="R7015" t="n">
        <v>0</v>
      </c>
      <c r="S7015" t="n">
        <v>0</v>
      </c>
      <c r="T7015" t="n">
        <v>0</v>
      </c>
      <c r="U7015" t="n">
        <v>0</v>
      </c>
      <c r="V7015" s="2" t="inlineStr"/>
    </row>
    <row r="7016" ht="15" customHeight="1">
      <c r="A7016" t="inlineStr">
        <is>
          <t>A 6050-2023</t>
        </is>
      </c>
      <c r="B7016" t="inlineStr">
        <is>
          <t>avverkningsanmälan</t>
        </is>
      </c>
      <c r="C7016" t="inlineStr">
        <is>
          <t>Föryngringsavverkning</t>
        </is>
      </c>
      <c r="D7016" s="1" t="n">
        <v>44959</v>
      </c>
      <c r="E7016" s="1" t="n">
        <v>46319</v>
      </c>
      <c r="F7016" t="inlineStr">
        <is>
          <t>DALARNAS LÄN</t>
        </is>
      </c>
      <c r="G7016" t="inlineStr">
        <is>
          <t>LEKSAND</t>
        </is>
      </c>
      <c r="I7016" t="n">
        <v>6.2</v>
      </c>
      <c r="J7016" t="n">
        <v>0</v>
      </c>
      <c r="K7016" t="n">
        <v>0</v>
      </c>
      <c r="L7016" t="n">
        <v>0</v>
      </c>
      <c r="M7016" t="n">
        <v>0</v>
      </c>
      <c r="N7016" t="n">
        <v>0</v>
      </c>
      <c r="O7016" t="n">
        <v>0</v>
      </c>
      <c r="P7016" t="n">
        <v>0</v>
      </c>
      <c r="Q7016" t="n">
        <v>0</v>
      </c>
      <c r="R7016" t="n">
        <v>0</v>
      </c>
      <c r="S7016" t="n">
        <v>0</v>
      </c>
      <c r="T7016" t="n">
        <v>0</v>
      </c>
      <c r="U7016" t="n">
        <v>0</v>
      </c>
      <c r="V7016" s="2" t="inlineStr"/>
    </row>
    <row r="7017" ht="15" customHeight="1">
      <c r="A7017" t="inlineStr">
        <is>
          <t>A 6070-2023</t>
        </is>
      </c>
      <c r="B7017" t="inlineStr">
        <is>
          <t>avverkningsanmälan</t>
        </is>
      </c>
      <c r="C7017" t="inlineStr">
        <is>
          <t>Föryngringsavverkning</t>
        </is>
      </c>
      <c r="D7017" s="1" t="n">
        <v>44964</v>
      </c>
      <c r="E7017" s="1" t="n">
        <v>46319</v>
      </c>
      <c r="F7017" t="inlineStr">
        <is>
          <t>DALARNAS LÄN</t>
        </is>
      </c>
      <c r="G7017" t="inlineStr">
        <is>
          <t>FALUN</t>
        </is>
      </c>
      <c r="I7017" t="n">
        <v>1.1</v>
      </c>
      <c r="J7017" t="n">
        <v>0</v>
      </c>
      <c r="K7017" t="n">
        <v>0</v>
      </c>
      <c r="L7017" t="n">
        <v>0</v>
      </c>
      <c r="M7017" t="n">
        <v>0</v>
      </c>
      <c r="N7017" t="n">
        <v>0</v>
      </c>
      <c r="O7017" t="n">
        <v>0</v>
      </c>
      <c r="P7017" t="n">
        <v>0</v>
      </c>
      <c r="Q7017" t="n">
        <v>0</v>
      </c>
      <c r="R7017" t="n">
        <v>0</v>
      </c>
      <c r="S7017" t="n">
        <v>0</v>
      </c>
      <c r="T7017" t="n">
        <v>0</v>
      </c>
      <c r="U7017" t="n">
        <v>0</v>
      </c>
      <c r="V7017" s="2" t="inlineStr"/>
    </row>
    <row r="7018" ht="15" customHeight="1">
      <c r="A7018" t="inlineStr">
        <is>
          <t>A 34339-2024</t>
        </is>
      </c>
      <c r="B7018" t="inlineStr">
        <is>
          <t>avverkningsanmälan</t>
        </is>
      </c>
      <c r="C7018" t="inlineStr">
        <is>
          <t>Föryngringsavverkning</t>
        </is>
      </c>
      <c r="D7018" s="1" t="n">
        <v>45525</v>
      </c>
      <c r="E7018" s="1" t="n">
        <v>46319</v>
      </c>
      <c r="F7018" t="inlineStr">
        <is>
          <t>DALARNAS LÄN</t>
        </is>
      </c>
      <c r="G7018" t="inlineStr">
        <is>
          <t>RÄTTVIK</t>
        </is>
      </c>
      <c r="I7018" t="n">
        <v>3</v>
      </c>
      <c r="J7018" t="n">
        <v>0</v>
      </c>
      <c r="K7018" t="n">
        <v>0</v>
      </c>
      <c r="L7018" t="n">
        <v>0</v>
      </c>
      <c r="M7018" t="n">
        <v>0</v>
      </c>
      <c r="N7018" t="n">
        <v>0</v>
      </c>
      <c r="O7018" t="n">
        <v>0</v>
      </c>
      <c r="P7018" t="n">
        <v>0</v>
      </c>
      <c r="Q7018" t="n">
        <v>0</v>
      </c>
      <c r="R7018" t="n">
        <v>0</v>
      </c>
      <c r="S7018" t="n">
        <v>0</v>
      </c>
      <c r="T7018" t="n">
        <v>0</v>
      </c>
      <c r="U7018" t="n">
        <v>0</v>
      </c>
      <c r="V7018" s="2" t="inlineStr"/>
    </row>
    <row r="7019" ht="15" customHeight="1">
      <c r="A7019" t="inlineStr">
        <is>
          <t>A 34340-2024</t>
        </is>
      </c>
      <c r="B7019" t="inlineStr">
        <is>
          <t>avverkningsanmälan</t>
        </is>
      </c>
      <c r="C7019" t="inlineStr">
        <is>
          <t>Föryngringsavverkning</t>
        </is>
      </c>
      <c r="D7019" s="1" t="n">
        <v>45525</v>
      </c>
      <c r="E7019" s="1" t="n">
        <v>46319</v>
      </c>
      <c r="F7019" t="inlineStr">
        <is>
          <t>DALARNAS LÄN</t>
        </is>
      </c>
      <c r="G7019" t="inlineStr">
        <is>
          <t>RÄTTVIK</t>
        </is>
      </c>
      <c r="I7019" t="n">
        <v>2.5</v>
      </c>
      <c r="J7019" t="n">
        <v>0</v>
      </c>
      <c r="K7019" t="n">
        <v>0</v>
      </c>
      <c r="L7019" t="n">
        <v>0</v>
      </c>
      <c r="M7019" t="n">
        <v>0</v>
      </c>
      <c r="N7019" t="n">
        <v>0</v>
      </c>
      <c r="O7019" t="n">
        <v>0</v>
      </c>
      <c r="P7019" t="n">
        <v>0</v>
      </c>
      <c r="Q7019" t="n">
        <v>0</v>
      </c>
      <c r="R7019" t="n">
        <v>0</v>
      </c>
      <c r="S7019" t="n">
        <v>0</v>
      </c>
      <c r="T7019" t="n">
        <v>0</v>
      </c>
      <c r="U7019" t="n">
        <v>0</v>
      </c>
      <c r="V7019" s="2" t="inlineStr"/>
    </row>
    <row r="7020" ht="15" customHeight="1">
      <c r="A7020" t="inlineStr">
        <is>
          <t>A 20057-2026</t>
        </is>
      </c>
      <c r="B7020" t="inlineStr">
        <is>
          <t>avverkningsanmälan</t>
        </is>
      </c>
      <c r="C7020" t="inlineStr">
        <is>
          <t>Föryngringsavverkning</t>
        </is>
      </c>
      <c r="D7020" s="1" t="n">
        <v>46136</v>
      </c>
      <c r="E7020" s="1" t="n">
        <v>46319</v>
      </c>
      <c r="F7020" t="inlineStr">
        <is>
          <t>DALARNAS LÄN</t>
        </is>
      </c>
      <c r="G7020" t="inlineStr">
        <is>
          <t>SÄTER</t>
        </is>
      </c>
      <c r="I7020" t="n">
        <v>2.1</v>
      </c>
      <c r="J7020" t="n">
        <v>0</v>
      </c>
      <c r="K7020" t="n">
        <v>0</v>
      </c>
      <c r="L7020" t="n">
        <v>0</v>
      </c>
      <c r="M7020" t="n">
        <v>0</v>
      </c>
      <c r="N7020" t="n">
        <v>0</v>
      </c>
      <c r="O7020" t="n">
        <v>0</v>
      </c>
      <c r="P7020" t="n">
        <v>0</v>
      </c>
      <c r="Q7020" t="n">
        <v>0</v>
      </c>
      <c r="R7020" t="n">
        <v>0</v>
      </c>
      <c r="S7020" t="n">
        <v>0</v>
      </c>
      <c r="T7020" t="n">
        <v>0</v>
      </c>
      <c r="U7020" t="n">
        <v>0</v>
      </c>
      <c r="V7020" s="2" t="inlineStr"/>
    </row>
    <row r="7021" ht="15" customHeight="1">
      <c r="A7021" t="inlineStr">
        <is>
          <t>A 42333-2026</t>
        </is>
      </c>
      <c r="B7021" t="inlineStr">
        <is>
          <t>avverkningsanmälan</t>
        </is>
      </c>
      <c r="C7021" t="inlineStr">
        <is>
          <t>Föryngringsavverkning</t>
        </is>
      </c>
      <c r="D7021" s="1" t="n">
        <v>46307</v>
      </c>
      <c r="E7021" s="1" t="n">
        <v>46319</v>
      </c>
      <c r="F7021" t="inlineStr">
        <is>
          <t>DALARNAS LÄN</t>
        </is>
      </c>
      <c r="G7021" t="inlineStr">
        <is>
          <t>MALUNG-SÄLEN</t>
        </is>
      </c>
      <c r="I7021" t="n">
        <v>1.6</v>
      </c>
      <c r="J7021" t="n">
        <v>0</v>
      </c>
      <c r="K7021" t="n">
        <v>0</v>
      </c>
      <c r="L7021" t="n">
        <v>0</v>
      </c>
      <c r="M7021" t="n">
        <v>0</v>
      </c>
      <c r="N7021" t="n">
        <v>0</v>
      </c>
      <c r="O7021" t="n">
        <v>0</v>
      </c>
      <c r="P7021" t="n">
        <v>0</v>
      </c>
      <c r="Q7021" t="n">
        <v>0</v>
      </c>
      <c r="R7021" t="n">
        <v>0</v>
      </c>
      <c r="S7021" t="n">
        <v>0</v>
      </c>
      <c r="T7021" t="n">
        <v>0</v>
      </c>
      <c r="U7021" t="n">
        <v>0</v>
      </c>
      <c r="V7021" s="2" t="inlineStr"/>
    </row>
    <row r="7022" ht="15" customHeight="1">
      <c r="A7022" t="inlineStr">
        <is>
          <t>A 13572-2026</t>
        </is>
      </c>
      <c r="B7022" t="inlineStr">
        <is>
          <t>avverkningsanmälan</t>
        </is>
      </c>
      <c r="C7022" t="inlineStr">
        <is>
          <t>Föryngringsavverkning</t>
        </is>
      </c>
      <c r="D7022" s="1" t="n">
        <v>46095</v>
      </c>
      <c r="E7022" s="1" t="n">
        <v>46319</v>
      </c>
      <c r="F7022" t="inlineStr">
        <is>
          <t>DALARNAS LÄN</t>
        </is>
      </c>
      <c r="G7022" t="inlineStr">
        <is>
          <t>BORLÄNGE</t>
        </is>
      </c>
      <c r="I7022" t="n">
        <v>3.2</v>
      </c>
      <c r="J7022" t="n">
        <v>0</v>
      </c>
      <c r="K7022" t="n">
        <v>0</v>
      </c>
      <c r="L7022" t="n">
        <v>0</v>
      </c>
      <c r="M7022" t="n">
        <v>0</v>
      </c>
      <c r="N7022" t="n">
        <v>0</v>
      </c>
      <c r="O7022" t="n">
        <v>0</v>
      </c>
      <c r="P7022" t="n">
        <v>0</v>
      </c>
      <c r="Q7022" t="n">
        <v>0</v>
      </c>
      <c r="R7022" t="n">
        <v>0</v>
      </c>
      <c r="S7022" t="n">
        <v>0</v>
      </c>
      <c r="T7022" t="n">
        <v>0</v>
      </c>
      <c r="U7022" t="n">
        <v>0</v>
      </c>
      <c r="V7022" s="2" t="inlineStr"/>
    </row>
    <row r="7023" ht="15" customHeight="1">
      <c r="A7023" t="inlineStr">
        <is>
          <t>A 34395-2024</t>
        </is>
      </c>
      <c r="B7023" t="inlineStr">
        <is>
          <t>avverkningsanmälan</t>
        </is>
      </c>
      <c r="C7023" t="inlineStr">
        <is>
          <t>Föryngringsavverkning</t>
        </is>
      </c>
      <c r="D7023" s="1" t="n">
        <v>45525</v>
      </c>
      <c r="E7023" s="1" t="n">
        <v>46319</v>
      </c>
      <c r="F7023" t="inlineStr">
        <is>
          <t>DALARNAS LÄN</t>
        </is>
      </c>
      <c r="G7023" t="inlineStr">
        <is>
          <t>MALUNG-SÄLEN</t>
        </is>
      </c>
      <c r="H7023" t="inlineStr">
        <is>
          <t>Bergvik skog väst AB</t>
        </is>
      </c>
      <c r="I7023" t="n">
        <v>1.6</v>
      </c>
      <c r="J7023" t="n">
        <v>0</v>
      </c>
      <c r="K7023" t="n">
        <v>0</v>
      </c>
      <c r="L7023" t="n">
        <v>0</v>
      </c>
      <c r="M7023" t="n">
        <v>0</v>
      </c>
      <c r="N7023" t="n">
        <v>0</v>
      </c>
      <c r="O7023" t="n">
        <v>0</v>
      </c>
      <c r="P7023" t="n">
        <v>0</v>
      </c>
      <c r="Q7023" t="n">
        <v>0</v>
      </c>
      <c r="R7023" t="n">
        <v>0</v>
      </c>
      <c r="S7023" t="n">
        <v>0</v>
      </c>
      <c r="T7023" t="n">
        <v>0</v>
      </c>
      <c r="U7023" t="n">
        <v>0</v>
      </c>
      <c r="V7023" s="2" t="inlineStr"/>
    </row>
    <row r="7024" ht="15" customHeight="1">
      <c r="A7024" t="inlineStr">
        <is>
          <t>A 40486-2026</t>
        </is>
      </c>
      <c r="B7024" t="inlineStr">
        <is>
          <t>avverkningsanmälan</t>
        </is>
      </c>
      <c r="C7024" t="inlineStr">
        <is>
          <t>Föryngringsavverkning</t>
        </is>
      </c>
      <c r="D7024" s="1" t="n">
        <v>46295</v>
      </c>
      <c r="E7024" s="1" t="n">
        <v>46319</v>
      </c>
      <c r="F7024" t="inlineStr">
        <is>
          <t>DALARNAS LÄN</t>
        </is>
      </c>
      <c r="G7024" t="inlineStr">
        <is>
          <t>ORSA</t>
        </is>
      </c>
      <c r="I7024" t="n">
        <v>16.4</v>
      </c>
      <c r="J7024" t="n">
        <v>0</v>
      </c>
      <c r="K7024" t="n">
        <v>0</v>
      </c>
      <c r="L7024" t="n">
        <v>0</v>
      </c>
      <c r="M7024" t="n">
        <v>0</v>
      </c>
      <c r="N7024" t="n">
        <v>0</v>
      </c>
      <c r="O7024" t="n">
        <v>0</v>
      </c>
      <c r="P7024" t="n">
        <v>0</v>
      </c>
      <c r="Q7024" t="n">
        <v>0</v>
      </c>
      <c r="R7024" t="n">
        <v>0</v>
      </c>
      <c r="S7024" t="n">
        <v>0</v>
      </c>
      <c r="T7024" t="n">
        <v>0</v>
      </c>
      <c r="U7024" t="n">
        <v>0</v>
      </c>
      <c r="V7024" s="2" t="inlineStr"/>
    </row>
    <row r="7025" ht="15" customHeight="1">
      <c r="A7025" t="inlineStr">
        <is>
          <t>A 27445-2024</t>
        </is>
      </c>
      <c r="B7025" t="inlineStr">
        <is>
          <t>avverkningsanmälan</t>
        </is>
      </c>
      <c r="C7025" t="inlineStr">
        <is>
          <t>Föryngringsavverkning</t>
        </is>
      </c>
      <c r="D7025" s="1" t="n">
        <v>45474</v>
      </c>
      <c r="E7025" s="1" t="n">
        <v>46319</v>
      </c>
      <c r="F7025" t="inlineStr">
        <is>
          <t>DALARNAS LÄN</t>
        </is>
      </c>
      <c r="G7025" t="inlineStr">
        <is>
          <t>LEKSAND</t>
        </is>
      </c>
      <c r="I7025" t="n">
        <v>0.7</v>
      </c>
      <c r="J7025" t="n">
        <v>0</v>
      </c>
      <c r="K7025" t="n">
        <v>0</v>
      </c>
      <c r="L7025" t="n">
        <v>0</v>
      </c>
      <c r="M7025" t="n">
        <v>0</v>
      </c>
      <c r="N7025" t="n">
        <v>0</v>
      </c>
      <c r="O7025" t="n">
        <v>0</v>
      </c>
      <c r="P7025" t="n">
        <v>0</v>
      </c>
      <c r="Q7025" t="n">
        <v>0</v>
      </c>
      <c r="R7025" t="n">
        <v>0</v>
      </c>
      <c r="S7025" t="n">
        <v>0</v>
      </c>
      <c r="T7025" t="n">
        <v>0</v>
      </c>
      <c r="U7025" t="n">
        <v>0</v>
      </c>
      <c r="V7025" s="2" t="inlineStr"/>
    </row>
    <row r="7026" ht="15" customHeight="1">
      <c r="A7026" t="inlineStr">
        <is>
          <t>A 31728-2024</t>
        </is>
      </c>
      <c r="B7026" t="inlineStr">
        <is>
          <t>avverkningsanmälan</t>
        </is>
      </c>
      <c r="C7026" t="inlineStr">
        <is>
          <t>Föryngringsavverkning</t>
        </is>
      </c>
      <c r="D7026" s="1" t="n">
        <v>45509</v>
      </c>
      <c r="E7026" s="1" t="n">
        <v>46319</v>
      </c>
      <c r="F7026" t="inlineStr">
        <is>
          <t>DALARNAS LÄN</t>
        </is>
      </c>
      <c r="G7026" t="inlineStr">
        <is>
          <t>LEKSAND</t>
        </is>
      </c>
      <c r="I7026" t="n">
        <v>1.2</v>
      </c>
      <c r="J7026" t="n">
        <v>0</v>
      </c>
      <c r="K7026" t="n">
        <v>0</v>
      </c>
      <c r="L7026" t="n">
        <v>0</v>
      </c>
      <c r="M7026" t="n">
        <v>0</v>
      </c>
      <c r="N7026" t="n">
        <v>0</v>
      </c>
      <c r="O7026" t="n">
        <v>0</v>
      </c>
      <c r="P7026" t="n">
        <v>0</v>
      </c>
      <c r="Q7026" t="n">
        <v>0</v>
      </c>
      <c r="R7026" t="n">
        <v>0</v>
      </c>
      <c r="S7026" t="n">
        <v>0</v>
      </c>
      <c r="T7026" t="n">
        <v>0</v>
      </c>
      <c r="U7026" t="n">
        <v>0</v>
      </c>
      <c r="V7026" s="2" t="inlineStr"/>
    </row>
    <row r="7027" ht="15" customHeight="1">
      <c r="A7027" t="inlineStr">
        <is>
          <t>A 5570-2026</t>
        </is>
      </c>
      <c r="B7027" t="inlineStr">
        <is>
          <t>avverkningsanmälan</t>
        </is>
      </c>
      <c r="C7027" t="inlineStr">
        <is>
          <t>Föryngringsavverkning</t>
        </is>
      </c>
      <c r="D7027" s="1" t="n">
        <v>46050</v>
      </c>
      <c r="E7027" s="1" t="n">
        <v>46319</v>
      </c>
      <c r="F7027" t="inlineStr">
        <is>
          <t>DALARNAS LÄN</t>
        </is>
      </c>
      <c r="G7027" t="inlineStr">
        <is>
          <t>RÄTTVIK</t>
        </is>
      </c>
      <c r="I7027" t="n">
        <v>2.7</v>
      </c>
      <c r="J7027" t="n">
        <v>0</v>
      </c>
      <c r="K7027" t="n">
        <v>0</v>
      </c>
      <c r="L7027" t="n">
        <v>0</v>
      </c>
      <c r="M7027" t="n">
        <v>0</v>
      </c>
      <c r="N7027" t="n">
        <v>0</v>
      </c>
      <c r="O7027" t="n">
        <v>0</v>
      </c>
      <c r="P7027" t="n">
        <v>0</v>
      </c>
      <c r="Q7027" t="n">
        <v>0</v>
      </c>
      <c r="R7027" t="n">
        <v>0</v>
      </c>
      <c r="S7027" t="n">
        <v>0</v>
      </c>
      <c r="T7027" t="n">
        <v>0</v>
      </c>
      <c r="U7027" t="n">
        <v>0</v>
      </c>
      <c r="V7027" s="2" t="inlineStr"/>
    </row>
    <row r="7028" ht="15" customHeight="1">
      <c r="A7028" t="inlineStr">
        <is>
          <t>A 27791-2023</t>
        </is>
      </c>
      <c r="B7028" t="inlineStr">
        <is>
          <t>avverkningsanmälan</t>
        </is>
      </c>
      <c r="C7028" t="inlineStr">
        <is>
          <t>Föryngringsavverkning</t>
        </is>
      </c>
      <c r="D7028" s="1" t="n">
        <v>45098</v>
      </c>
      <c r="E7028" s="1" t="n">
        <v>46319</v>
      </c>
      <c r="F7028" t="inlineStr">
        <is>
          <t>DALARNAS LÄN</t>
        </is>
      </c>
      <c r="G7028" t="inlineStr">
        <is>
          <t>LEKSAND</t>
        </is>
      </c>
      <c r="I7028" t="n">
        <v>1</v>
      </c>
      <c r="J7028" t="n">
        <v>0</v>
      </c>
      <c r="K7028" t="n">
        <v>0</v>
      </c>
      <c r="L7028" t="n">
        <v>0</v>
      </c>
      <c r="M7028" t="n">
        <v>0</v>
      </c>
      <c r="N7028" t="n">
        <v>0</v>
      </c>
      <c r="O7028" t="n">
        <v>0</v>
      </c>
      <c r="P7028" t="n">
        <v>0</v>
      </c>
      <c r="Q7028" t="n">
        <v>0</v>
      </c>
      <c r="R7028" t="n">
        <v>0</v>
      </c>
      <c r="S7028" t="n">
        <v>0</v>
      </c>
      <c r="T7028" t="n">
        <v>0</v>
      </c>
      <c r="U7028" t="n">
        <v>0</v>
      </c>
      <c r="V7028" s="2" t="inlineStr"/>
    </row>
    <row r="7029" ht="15" customHeight="1">
      <c r="A7029" t="inlineStr">
        <is>
          <t>A 42746-2026</t>
        </is>
      </c>
      <c r="B7029" t="inlineStr">
        <is>
          <t>avverkningsanmälan</t>
        </is>
      </c>
      <c r="C7029" t="inlineStr">
        <is>
          <t>Avverkning för annat ändamål</t>
        </is>
      </c>
      <c r="D7029" s="1" t="n">
        <v>46309</v>
      </c>
      <c r="E7029" s="1" t="n">
        <v>46319</v>
      </c>
      <c r="F7029" t="inlineStr">
        <is>
          <t>DALARNAS LÄN</t>
        </is>
      </c>
      <c r="G7029" t="inlineStr">
        <is>
          <t>MORA</t>
        </is>
      </c>
      <c r="H7029" t="inlineStr">
        <is>
          <t>Övriga Aktiebolag</t>
        </is>
      </c>
      <c r="I7029" t="n">
        <v>2.1</v>
      </c>
      <c r="J7029" t="n">
        <v>0</v>
      </c>
      <c r="K7029" t="n">
        <v>0</v>
      </c>
      <c r="L7029" t="n">
        <v>0</v>
      </c>
      <c r="M7029" t="n">
        <v>0</v>
      </c>
      <c r="N7029" t="n">
        <v>0</v>
      </c>
      <c r="O7029" t="n">
        <v>0</v>
      </c>
      <c r="P7029" t="n">
        <v>0</v>
      </c>
      <c r="Q7029" t="n">
        <v>0</v>
      </c>
      <c r="R7029" t="n">
        <v>0</v>
      </c>
      <c r="S7029" t="n">
        <v>0</v>
      </c>
      <c r="T7029" t="n">
        <v>0</v>
      </c>
      <c r="U7029" t="n">
        <v>0</v>
      </c>
      <c r="V7029" s="2" t="inlineStr"/>
    </row>
    <row r="7030" ht="15" customHeight="1">
      <c r="A7030" t="inlineStr">
        <is>
          <t>A 35967-2026</t>
        </is>
      </c>
      <c r="B7030" t="inlineStr">
        <is>
          <t>avverkningsanmälan</t>
        </is>
      </c>
      <c r="C7030" t="inlineStr">
        <is>
          <t>Föryngringsavverkning</t>
        </is>
      </c>
      <c r="D7030" s="1" t="n">
        <v>46266</v>
      </c>
      <c r="E7030" s="1" t="n">
        <v>46319</v>
      </c>
      <c r="F7030" t="inlineStr">
        <is>
          <t>DALARNAS LÄN</t>
        </is>
      </c>
      <c r="G7030" t="inlineStr">
        <is>
          <t>HEDEMORA</t>
        </is>
      </c>
      <c r="H7030" t="inlineStr">
        <is>
          <t>Sveaskog</t>
        </is>
      </c>
      <c r="I7030" t="n">
        <v>2</v>
      </c>
      <c r="J7030" t="n">
        <v>0</v>
      </c>
      <c r="K7030" t="n">
        <v>0</v>
      </c>
      <c r="L7030" t="n">
        <v>0</v>
      </c>
      <c r="M7030" t="n">
        <v>0</v>
      </c>
      <c r="N7030" t="n">
        <v>0</v>
      </c>
      <c r="O7030" t="n">
        <v>0</v>
      </c>
      <c r="P7030" t="n">
        <v>0</v>
      </c>
      <c r="Q7030" t="n">
        <v>0</v>
      </c>
      <c r="R7030" t="n">
        <v>0</v>
      </c>
      <c r="S7030" t="n">
        <v>0</v>
      </c>
      <c r="T7030" t="n">
        <v>0</v>
      </c>
      <c r="U7030" t="n">
        <v>0</v>
      </c>
      <c r="V7030" s="2" t="inlineStr"/>
    </row>
    <row r="7031" ht="15" customHeight="1">
      <c r="A7031" t="inlineStr">
        <is>
          <t>A 35285-2026</t>
        </is>
      </c>
      <c r="B7031" t="inlineStr">
        <is>
          <t>avverkningsanmälan</t>
        </is>
      </c>
      <c r="C7031" t="inlineStr">
        <is>
          <t>Föryngringsavverkning</t>
        </is>
      </c>
      <c r="D7031" s="1" t="n">
        <v>46261</v>
      </c>
      <c r="E7031" s="1" t="n">
        <v>46319</v>
      </c>
      <c r="F7031" t="inlineStr">
        <is>
          <t>DALARNAS LÄN</t>
        </is>
      </c>
      <c r="G7031" t="inlineStr">
        <is>
          <t>ÄLVDALEN</t>
        </is>
      </c>
      <c r="I7031" t="n">
        <v>75.2</v>
      </c>
      <c r="J7031" t="n">
        <v>0</v>
      </c>
      <c r="K7031" t="n">
        <v>0</v>
      </c>
      <c r="L7031" t="n">
        <v>0</v>
      </c>
      <c r="M7031" t="n">
        <v>0</v>
      </c>
      <c r="N7031" t="n">
        <v>0</v>
      </c>
      <c r="O7031" t="n">
        <v>0</v>
      </c>
      <c r="P7031" t="n">
        <v>0</v>
      </c>
      <c r="Q7031" t="n">
        <v>0</v>
      </c>
      <c r="R7031" t="n">
        <v>0</v>
      </c>
      <c r="S7031" t="n">
        <v>0</v>
      </c>
      <c r="T7031" t="n">
        <v>0</v>
      </c>
      <c r="U7031" t="n">
        <v>0</v>
      </c>
      <c r="V7031" s="2" t="inlineStr"/>
    </row>
    <row r="7032" ht="15" customHeight="1">
      <c r="A7032" t="inlineStr">
        <is>
          <t>A 35998-2025</t>
        </is>
      </c>
      <c r="B7032" t="inlineStr">
        <is>
          <t>avverkningsanmälan</t>
        </is>
      </c>
      <c r="C7032" t="inlineStr">
        <is>
          <t>Föryngringsavverkning</t>
        </is>
      </c>
      <c r="D7032" s="1" t="n">
        <v>45863</v>
      </c>
      <c r="E7032" s="1" t="n">
        <v>46319</v>
      </c>
      <c r="F7032" t="inlineStr">
        <is>
          <t>DALARNAS LÄN</t>
        </is>
      </c>
      <c r="G7032" t="inlineStr">
        <is>
          <t>LEKSAND</t>
        </is>
      </c>
      <c r="I7032" t="n">
        <v>2</v>
      </c>
      <c r="J7032" t="n">
        <v>0</v>
      </c>
      <c r="K7032" t="n">
        <v>0</v>
      </c>
      <c r="L7032" t="n">
        <v>0</v>
      </c>
      <c r="M7032" t="n">
        <v>0</v>
      </c>
      <c r="N7032" t="n">
        <v>0</v>
      </c>
      <c r="O7032" t="n">
        <v>0</v>
      </c>
      <c r="P7032" t="n">
        <v>0</v>
      </c>
      <c r="Q7032" t="n">
        <v>0</v>
      </c>
      <c r="R7032" t="n">
        <v>0</v>
      </c>
      <c r="S7032" t="n">
        <v>0</v>
      </c>
      <c r="T7032" t="n">
        <v>0</v>
      </c>
      <c r="U7032" t="n">
        <v>0</v>
      </c>
      <c r="V7032" s="2" t="inlineStr"/>
    </row>
    <row r="7033" ht="15" customHeight="1">
      <c r="A7033" t="inlineStr">
        <is>
          <t>A 36102-2026</t>
        </is>
      </c>
      <c r="B7033" t="inlineStr">
        <is>
          <t>avverkningsanmälan</t>
        </is>
      </c>
      <c r="C7033" t="inlineStr">
        <is>
          <t>Föryngringsavverkning</t>
        </is>
      </c>
      <c r="D7033" s="1" t="n">
        <v>46267</v>
      </c>
      <c r="E7033" s="1" t="n">
        <v>46319</v>
      </c>
      <c r="F7033" t="inlineStr">
        <is>
          <t>DALARNAS LÄN</t>
        </is>
      </c>
      <c r="G7033" t="inlineStr">
        <is>
          <t>SMEDJEBACKEN</t>
        </is>
      </c>
      <c r="H7033" t="inlineStr">
        <is>
          <t>Sveaskog</t>
        </is>
      </c>
      <c r="I7033" t="n">
        <v>5.5</v>
      </c>
      <c r="J7033" t="n">
        <v>0</v>
      </c>
      <c r="K7033" t="n">
        <v>0</v>
      </c>
      <c r="L7033" t="n">
        <v>0</v>
      </c>
      <c r="M7033" t="n">
        <v>0</v>
      </c>
      <c r="N7033" t="n">
        <v>0</v>
      </c>
      <c r="O7033" t="n">
        <v>0</v>
      </c>
      <c r="P7033" t="n">
        <v>0</v>
      </c>
      <c r="Q7033" t="n">
        <v>0</v>
      </c>
      <c r="R7033" t="n">
        <v>0</v>
      </c>
      <c r="S7033" t="n">
        <v>0</v>
      </c>
      <c r="T7033" t="n">
        <v>0</v>
      </c>
      <c r="U7033" t="n">
        <v>0</v>
      </c>
      <c r="V7033" s="2" t="inlineStr"/>
    </row>
    <row r="7034" ht="15" customHeight="1">
      <c r="A7034" t="inlineStr">
        <is>
          <t>A 32753-2025</t>
        </is>
      </c>
      <c r="B7034" t="inlineStr">
        <is>
          <t>avverkningsanmälan</t>
        </is>
      </c>
      <c r="C7034" t="inlineStr">
        <is>
          <t>Föryngringsavverkning</t>
        </is>
      </c>
      <c r="D7034" s="1" t="n">
        <v>45838</v>
      </c>
      <c r="E7034" s="1" t="n">
        <v>46319</v>
      </c>
      <c r="F7034" t="inlineStr">
        <is>
          <t>DALARNAS LÄN</t>
        </is>
      </c>
      <c r="G7034" t="inlineStr">
        <is>
          <t>FALUN</t>
        </is>
      </c>
      <c r="I7034" t="n">
        <v>1.9</v>
      </c>
      <c r="J7034" t="n">
        <v>0</v>
      </c>
      <c r="K7034" t="n">
        <v>0</v>
      </c>
      <c r="L7034" t="n">
        <v>0</v>
      </c>
      <c r="M7034" t="n">
        <v>0</v>
      </c>
      <c r="N7034" t="n">
        <v>0</v>
      </c>
      <c r="O7034" t="n">
        <v>0</v>
      </c>
      <c r="P7034" t="n">
        <v>0</v>
      </c>
      <c r="Q7034" t="n">
        <v>0</v>
      </c>
      <c r="R7034" t="n">
        <v>0</v>
      </c>
      <c r="S7034" t="n">
        <v>0</v>
      </c>
      <c r="T7034" t="n">
        <v>0</v>
      </c>
      <c r="U7034" t="n">
        <v>0</v>
      </c>
      <c r="V7034" s="2" t="inlineStr"/>
    </row>
    <row r="7035" ht="15" customHeight="1">
      <c r="A7035" t="inlineStr">
        <is>
          <t>A 1517-2026</t>
        </is>
      </c>
      <c r="B7035" t="inlineStr">
        <is>
          <t>avverkningsanmälan</t>
        </is>
      </c>
      <c r="C7035" t="inlineStr">
        <is>
          <t>Föryngringsavverkning</t>
        </is>
      </c>
      <c r="D7035" s="1" t="n">
        <v>46034</v>
      </c>
      <c r="E7035" s="1" t="n">
        <v>46319</v>
      </c>
      <c r="F7035" t="inlineStr">
        <is>
          <t>DALARNAS LÄN</t>
        </is>
      </c>
      <c r="G7035" t="inlineStr">
        <is>
          <t>SÄTER</t>
        </is>
      </c>
      <c r="I7035" t="n">
        <v>8.1</v>
      </c>
      <c r="J7035" t="n">
        <v>0</v>
      </c>
      <c r="K7035" t="n">
        <v>0</v>
      </c>
      <c r="L7035" t="n">
        <v>0</v>
      </c>
      <c r="M7035" t="n">
        <v>0</v>
      </c>
      <c r="N7035" t="n">
        <v>0</v>
      </c>
      <c r="O7035" t="n">
        <v>0</v>
      </c>
      <c r="P7035" t="n">
        <v>0</v>
      </c>
      <c r="Q7035" t="n">
        <v>0</v>
      </c>
      <c r="R7035" t="n">
        <v>0</v>
      </c>
      <c r="S7035" t="n">
        <v>0</v>
      </c>
      <c r="T7035" t="n">
        <v>0</v>
      </c>
      <c r="U7035" t="n">
        <v>0</v>
      </c>
      <c r="V7035" s="2" t="inlineStr"/>
    </row>
    <row r="7036" ht="15" customHeight="1">
      <c r="A7036" t="inlineStr">
        <is>
          <t>A 42902-2026</t>
        </is>
      </c>
      <c r="B7036" t="inlineStr">
        <is>
          <t>avverkningsanmälan</t>
        </is>
      </c>
      <c r="C7036" t="inlineStr">
        <is>
          <t>Föryngringsavverkning</t>
        </is>
      </c>
      <c r="D7036" s="1" t="n">
        <v>46310</v>
      </c>
      <c r="E7036" s="1" t="n">
        <v>46319</v>
      </c>
      <c r="F7036" t="inlineStr">
        <is>
          <t>DALARNAS LÄN</t>
        </is>
      </c>
      <c r="G7036" t="inlineStr">
        <is>
          <t>BORLÄNGE</t>
        </is>
      </c>
      <c r="I7036" t="n">
        <v>1.1</v>
      </c>
      <c r="J7036" t="n">
        <v>0</v>
      </c>
      <c r="K7036" t="n">
        <v>0</v>
      </c>
      <c r="L7036" t="n">
        <v>0</v>
      </c>
      <c r="M7036" t="n">
        <v>0</v>
      </c>
      <c r="N7036" t="n">
        <v>0</v>
      </c>
      <c r="O7036" t="n">
        <v>0</v>
      </c>
      <c r="P7036" t="n">
        <v>0</v>
      </c>
      <c r="Q7036" t="n">
        <v>0</v>
      </c>
      <c r="R7036" t="n">
        <v>0</v>
      </c>
      <c r="S7036" t="n">
        <v>0</v>
      </c>
      <c r="T7036" t="n">
        <v>0</v>
      </c>
      <c r="U7036" t="n">
        <v>0</v>
      </c>
      <c r="V7036" s="2" t="inlineStr"/>
    </row>
    <row r="7037" ht="15" customHeight="1">
      <c r="A7037" t="inlineStr">
        <is>
          <t>A 36127-2026</t>
        </is>
      </c>
      <c r="B7037" t="inlineStr">
        <is>
          <t>avverkningsanmälan</t>
        </is>
      </c>
      <c r="C7037" t="inlineStr">
        <is>
          <t>Föryngringsavverkning</t>
        </is>
      </c>
      <c r="D7037" s="1" t="n">
        <v>46267</v>
      </c>
      <c r="E7037" s="1" t="n">
        <v>46319</v>
      </c>
      <c r="F7037" t="inlineStr">
        <is>
          <t>DALARNAS LÄN</t>
        </is>
      </c>
      <c r="G7037" t="inlineStr">
        <is>
          <t>SMEDJEBACKEN</t>
        </is>
      </c>
      <c r="H7037" t="inlineStr">
        <is>
          <t>Sveaskog</t>
        </is>
      </c>
      <c r="I7037" t="n">
        <v>2.7</v>
      </c>
      <c r="J7037" t="n">
        <v>0</v>
      </c>
      <c r="K7037" t="n">
        <v>0</v>
      </c>
      <c r="L7037" t="n">
        <v>0</v>
      </c>
      <c r="M7037" t="n">
        <v>0</v>
      </c>
      <c r="N7037" t="n">
        <v>0</v>
      </c>
      <c r="O7037" t="n">
        <v>0</v>
      </c>
      <c r="P7037" t="n">
        <v>0</v>
      </c>
      <c r="Q7037" t="n">
        <v>0</v>
      </c>
      <c r="R7037" t="n">
        <v>0</v>
      </c>
      <c r="S7037" t="n">
        <v>0</v>
      </c>
      <c r="T7037" t="n">
        <v>0</v>
      </c>
      <c r="U7037" t="n">
        <v>0</v>
      </c>
      <c r="V7037" s="2" t="inlineStr"/>
    </row>
    <row r="7038" ht="15" customHeight="1">
      <c r="A7038" t="inlineStr">
        <is>
          <t>A 38293-2025</t>
        </is>
      </c>
      <c r="B7038" t="inlineStr">
        <is>
          <t>avverkningsanmälan</t>
        </is>
      </c>
      <c r="C7038" t="inlineStr">
        <is>
          <t>Föryngringsavverkning</t>
        </is>
      </c>
      <c r="D7038" s="1" t="n">
        <v>45883</v>
      </c>
      <c r="E7038" s="1" t="n">
        <v>46319</v>
      </c>
      <c r="F7038" t="inlineStr">
        <is>
          <t>DALARNAS LÄN</t>
        </is>
      </c>
      <c r="G7038" t="inlineStr">
        <is>
          <t>MALUNG-SÄLEN</t>
        </is>
      </c>
      <c r="I7038" t="n">
        <v>1.5</v>
      </c>
      <c r="J7038" t="n">
        <v>0</v>
      </c>
      <c r="K7038" t="n">
        <v>0</v>
      </c>
      <c r="L7038" t="n">
        <v>0</v>
      </c>
      <c r="M7038" t="n">
        <v>0</v>
      </c>
      <c r="N7038" t="n">
        <v>0</v>
      </c>
      <c r="O7038" t="n">
        <v>0</v>
      </c>
      <c r="P7038" t="n">
        <v>0</v>
      </c>
      <c r="Q7038" t="n">
        <v>0</v>
      </c>
      <c r="R7038" t="n">
        <v>0</v>
      </c>
      <c r="S7038" t="n">
        <v>0</v>
      </c>
      <c r="T7038" t="n">
        <v>0</v>
      </c>
      <c r="U7038" t="n">
        <v>0</v>
      </c>
      <c r="V7038" s="2" t="inlineStr"/>
    </row>
    <row r="7039" ht="15" customHeight="1">
      <c r="A7039" t="inlineStr">
        <is>
          <t>A 36143-2026</t>
        </is>
      </c>
      <c r="B7039" t="inlineStr">
        <is>
          <t>avverkningsanmälan</t>
        </is>
      </c>
      <c r="C7039" t="inlineStr">
        <is>
          <t>Föryngringsavverkning</t>
        </is>
      </c>
      <c r="D7039" s="1" t="n">
        <v>46267</v>
      </c>
      <c r="E7039" s="1" t="n">
        <v>46319</v>
      </c>
      <c r="F7039" t="inlineStr">
        <is>
          <t>DALARNAS LÄN</t>
        </is>
      </c>
      <c r="G7039" t="inlineStr">
        <is>
          <t>SMEDJEBACKEN</t>
        </is>
      </c>
      <c r="I7039" t="n">
        <v>2.6</v>
      </c>
      <c r="J7039" t="n">
        <v>0</v>
      </c>
      <c r="K7039" t="n">
        <v>0</v>
      </c>
      <c r="L7039" t="n">
        <v>0</v>
      </c>
      <c r="M7039" t="n">
        <v>0</v>
      </c>
      <c r="N7039" t="n">
        <v>0</v>
      </c>
      <c r="O7039" t="n">
        <v>0</v>
      </c>
      <c r="P7039" t="n">
        <v>0</v>
      </c>
      <c r="Q7039" t="n">
        <v>0</v>
      </c>
      <c r="R7039" t="n">
        <v>0</v>
      </c>
      <c r="S7039" t="n">
        <v>0</v>
      </c>
      <c r="T7039" t="n">
        <v>0</v>
      </c>
      <c r="U7039" t="n">
        <v>0</v>
      </c>
      <c r="V7039" s="2" t="inlineStr"/>
    </row>
    <row r="7040" ht="15" customHeight="1">
      <c r="A7040" t="inlineStr">
        <is>
          <t>A 5679-2023</t>
        </is>
      </c>
      <c r="B7040" t="inlineStr">
        <is>
          <t>avverkningsanmälan</t>
        </is>
      </c>
      <c r="C7040" t="inlineStr">
        <is>
          <t>Föryngringsavverkning</t>
        </is>
      </c>
      <c r="D7040" s="1" t="n">
        <v>44960</v>
      </c>
      <c r="E7040" s="1" t="n">
        <v>46319</v>
      </c>
      <c r="F7040" t="inlineStr">
        <is>
          <t>DALARNAS LÄN</t>
        </is>
      </c>
      <c r="G7040" t="inlineStr">
        <is>
          <t>FALUN</t>
        </is>
      </c>
      <c r="I7040" t="n">
        <v>1.6</v>
      </c>
      <c r="J7040" t="n">
        <v>0</v>
      </c>
      <c r="K7040" t="n">
        <v>0</v>
      </c>
      <c r="L7040" t="n">
        <v>0</v>
      </c>
      <c r="M7040" t="n">
        <v>0</v>
      </c>
      <c r="N7040" t="n">
        <v>0</v>
      </c>
      <c r="O7040" t="n">
        <v>0</v>
      </c>
      <c r="P7040" t="n">
        <v>0</v>
      </c>
      <c r="Q7040" t="n">
        <v>0</v>
      </c>
      <c r="R7040" t="n">
        <v>0</v>
      </c>
      <c r="S7040" t="n">
        <v>0</v>
      </c>
      <c r="T7040" t="n">
        <v>0</v>
      </c>
      <c r="U7040" t="n">
        <v>0</v>
      </c>
      <c r="V7040" s="2" t="inlineStr"/>
    </row>
    <row r="7041" ht="15" customHeight="1">
      <c r="A7041" t="inlineStr">
        <is>
          <t>A 36038-2026</t>
        </is>
      </c>
      <c r="B7041" t="inlineStr">
        <is>
          <t>avverkningsanmälan</t>
        </is>
      </c>
      <c r="C7041" t="inlineStr">
        <is>
          <t>Föryngringsavverkning</t>
        </is>
      </c>
      <c r="D7041" s="1" t="n">
        <v>46267</v>
      </c>
      <c r="E7041" s="1" t="n">
        <v>46319</v>
      </c>
      <c r="F7041" t="inlineStr">
        <is>
          <t>DALARNAS LÄN</t>
        </is>
      </c>
      <c r="G7041" t="inlineStr">
        <is>
          <t>MALUNG-SÄLEN</t>
        </is>
      </c>
      <c r="I7041" t="n">
        <v>2.2</v>
      </c>
      <c r="J7041" t="n">
        <v>0</v>
      </c>
      <c r="K7041" t="n">
        <v>0</v>
      </c>
      <c r="L7041" t="n">
        <v>0</v>
      </c>
      <c r="M7041" t="n">
        <v>0</v>
      </c>
      <c r="N7041" t="n">
        <v>0</v>
      </c>
      <c r="O7041" t="n">
        <v>0</v>
      </c>
      <c r="P7041" t="n">
        <v>0</v>
      </c>
      <c r="Q7041" t="n">
        <v>0</v>
      </c>
      <c r="R7041" t="n">
        <v>0</v>
      </c>
      <c r="S7041" t="n">
        <v>0</v>
      </c>
      <c r="T7041" t="n">
        <v>0</v>
      </c>
      <c r="U7041" t="n">
        <v>0</v>
      </c>
      <c r="V7041" s="2" t="inlineStr"/>
    </row>
    <row r="7042" ht="15" customHeight="1">
      <c r="A7042" t="inlineStr">
        <is>
          <t>A 10628-2025</t>
        </is>
      </c>
      <c r="B7042" t="inlineStr">
        <is>
          <t>avverkningsanmälan</t>
        </is>
      </c>
      <c r="C7042" t="inlineStr">
        <is>
          <t>Föryngringsavverkning</t>
        </is>
      </c>
      <c r="D7042" s="1" t="n">
        <v>45721</v>
      </c>
      <c r="E7042" s="1" t="n">
        <v>46319</v>
      </c>
      <c r="F7042" t="inlineStr">
        <is>
          <t>DALARNAS LÄN</t>
        </is>
      </c>
      <c r="G7042" t="inlineStr">
        <is>
          <t>MALUNG-SÄLEN</t>
        </is>
      </c>
      <c r="I7042" t="n">
        <v>7.4</v>
      </c>
      <c r="J7042" t="n">
        <v>0</v>
      </c>
      <c r="K7042" t="n">
        <v>0</v>
      </c>
      <c r="L7042" t="n">
        <v>0</v>
      </c>
      <c r="M7042" t="n">
        <v>0</v>
      </c>
      <c r="N7042" t="n">
        <v>0</v>
      </c>
      <c r="O7042" t="n">
        <v>0</v>
      </c>
      <c r="P7042" t="n">
        <v>0</v>
      </c>
      <c r="Q7042" t="n">
        <v>0</v>
      </c>
      <c r="R7042" t="n">
        <v>0</v>
      </c>
      <c r="S7042" t="n">
        <v>0</v>
      </c>
      <c r="T7042" t="n">
        <v>0</v>
      </c>
      <c r="U7042" t="n">
        <v>0</v>
      </c>
      <c r="V7042" s="2" t="inlineStr"/>
    </row>
    <row r="7043" ht="15" customHeight="1">
      <c r="A7043" t="inlineStr">
        <is>
          <t>A 36073-2026</t>
        </is>
      </c>
      <c r="B7043" t="inlineStr">
        <is>
          <t>avverkningsanmälan</t>
        </is>
      </c>
      <c r="C7043" t="inlineStr">
        <is>
          <t>Föryngringsavverkning</t>
        </is>
      </c>
      <c r="D7043" s="1" t="n">
        <v>46267</v>
      </c>
      <c r="E7043" s="1" t="n">
        <v>46319</v>
      </c>
      <c r="F7043" t="inlineStr">
        <is>
          <t>DALARNAS LÄN</t>
        </is>
      </c>
      <c r="G7043" t="inlineStr">
        <is>
          <t>LUDVIKA</t>
        </is>
      </c>
      <c r="H7043" t="inlineStr">
        <is>
          <t>Bergvik skog väst AB</t>
        </is>
      </c>
      <c r="I7043" t="n">
        <v>3</v>
      </c>
      <c r="J7043" t="n">
        <v>0</v>
      </c>
      <c r="K7043" t="n">
        <v>0</v>
      </c>
      <c r="L7043" t="n">
        <v>0</v>
      </c>
      <c r="M7043" t="n">
        <v>0</v>
      </c>
      <c r="N7043" t="n">
        <v>0</v>
      </c>
      <c r="O7043" t="n">
        <v>0</v>
      </c>
      <c r="P7043" t="n">
        <v>0</v>
      </c>
      <c r="Q7043" t="n">
        <v>0</v>
      </c>
      <c r="R7043" t="n">
        <v>0</v>
      </c>
      <c r="S7043" t="n">
        <v>0</v>
      </c>
      <c r="T7043" t="n">
        <v>0</v>
      </c>
      <c r="U7043" t="n">
        <v>0</v>
      </c>
      <c r="V7043" s="2" t="inlineStr"/>
    </row>
    <row r="7044" ht="15" customHeight="1">
      <c r="A7044" t="inlineStr">
        <is>
          <t>A 40165-2022</t>
        </is>
      </c>
      <c r="B7044" t="inlineStr">
        <is>
          <t>avverkningsanmälan</t>
        </is>
      </c>
      <c r="C7044" t="inlineStr">
        <is>
          <t>Föryngringsavverkning</t>
        </is>
      </c>
      <c r="D7044" s="1" t="n">
        <v>44820</v>
      </c>
      <c r="E7044" s="1" t="n">
        <v>46319</v>
      </c>
      <c r="F7044" t="inlineStr">
        <is>
          <t>DALARNAS LÄN</t>
        </is>
      </c>
      <c r="G7044" t="inlineStr">
        <is>
          <t>LEKSAND</t>
        </is>
      </c>
      <c r="I7044" t="n">
        <v>1.9</v>
      </c>
      <c r="J7044" t="n">
        <v>0</v>
      </c>
      <c r="K7044" t="n">
        <v>0</v>
      </c>
      <c r="L7044" t="n">
        <v>0</v>
      </c>
      <c r="M7044" t="n">
        <v>0</v>
      </c>
      <c r="N7044" t="n">
        <v>0</v>
      </c>
      <c r="O7044" t="n">
        <v>0</v>
      </c>
      <c r="P7044" t="n">
        <v>0</v>
      </c>
      <c r="Q7044" t="n">
        <v>0</v>
      </c>
      <c r="R7044" t="n">
        <v>0</v>
      </c>
      <c r="S7044" t="n">
        <v>0</v>
      </c>
      <c r="T7044" t="n">
        <v>0</v>
      </c>
      <c r="U7044" t="n">
        <v>0</v>
      </c>
      <c r="V7044" s="2" t="inlineStr"/>
    </row>
    <row r="7045" ht="15" customHeight="1">
      <c r="A7045" t="inlineStr">
        <is>
          <t>A 12496-2024</t>
        </is>
      </c>
      <c r="B7045" t="inlineStr">
        <is>
          <t>avverkningsanmälan</t>
        </is>
      </c>
      <c r="C7045" t="inlineStr">
        <is>
          <t>Föryngringsavverkning</t>
        </is>
      </c>
      <c r="D7045" s="1" t="n">
        <v>45379</v>
      </c>
      <c r="E7045" s="1" t="n">
        <v>46319</v>
      </c>
      <c r="F7045" t="inlineStr">
        <is>
          <t>DALARNAS LÄN</t>
        </is>
      </c>
      <c r="G7045" t="inlineStr">
        <is>
          <t>RÄTTVIK</t>
        </is>
      </c>
      <c r="I7045" t="n">
        <v>3</v>
      </c>
      <c r="J7045" t="n">
        <v>0</v>
      </c>
      <c r="K7045" t="n">
        <v>0</v>
      </c>
      <c r="L7045" t="n">
        <v>0</v>
      </c>
      <c r="M7045" t="n">
        <v>0</v>
      </c>
      <c r="N7045" t="n">
        <v>0</v>
      </c>
      <c r="O7045" t="n">
        <v>0</v>
      </c>
      <c r="P7045" t="n">
        <v>0</v>
      </c>
      <c r="Q7045" t="n">
        <v>0</v>
      </c>
      <c r="R7045" t="n">
        <v>0</v>
      </c>
      <c r="S7045" t="n">
        <v>0</v>
      </c>
      <c r="T7045" t="n">
        <v>0</v>
      </c>
      <c r="U7045" t="n">
        <v>0</v>
      </c>
      <c r="V7045" s="2" t="inlineStr"/>
    </row>
    <row r="7046" ht="15" customHeight="1">
      <c r="A7046" t="inlineStr">
        <is>
          <t>A 15127-2022</t>
        </is>
      </c>
      <c r="B7046" t="inlineStr">
        <is>
          <t>avverkningsanmälan</t>
        </is>
      </c>
      <c r="C7046" t="inlineStr">
        <is>
          <t>Föryngringsavverkning</t>
        </is>
      </c>
      <c r="D7046" s="1" t="n">
        <v>44658</v>
      </c>
      <c r="E7046" s="1" t="n">
        <v>46319</v>
      </c>
      <c r="F7046" t="inlineStr">
        <is>
          <t>DALARNAS LÄN</t>
        </is>
      </c>
      <c r="G7046" t="inlineStr">
        <is>
          <t>MORA</t>
        </is>
      </c>
      <c r="I7046" t="n">
        <v>4.9</v>
      </c>
      <c r="J7046" t="n">
        <v>0</v>
      </c>
      <c r="K7046" t="n">
        <v>0</v>
      </c>
      <c r="L7046" t="n">
        <v>0</v>
      </c>
      <c r="M7046" t="n">
        <v>0</v>
      </c>
      <c r="N7046" t="n">
        <v>0</v>
      </c>
      <c r="O7046" t="n">
        <v>0</v>
      </c>
      <c r="P7046" t="n">
        <v>0</v>
      </c>
      <c r="Q7046" t="n">
        <v>0</v>
      </c>
      <c r="R7046" t="n">
        <v>0</v>
      </c>
      <c r="S7046" t="n">
        <v>0</v>
      </c>
      <c r="T7046" t="n">
        <v>0</v>
      </c>
      <c r="U7046" t="n">
        <v>0</v>
      </c>
      <c r="V7046" s="2" t="inlineStr"/>
    </row>
    <row r="7047" ht="15" customHeight="1">
      <c r="A7047" t="inlineStr">
        <is>
          <t>A 44149-2023</t>
        </is>
      </c>
      <c r="B7047" t="inlineStr">
        <is>
          <t>avverkningsanmälan</t>
        </is>
      </c>
      <c r="C7047" t="inlineStr">
        <is>
          <t>Föryngringsavverkning</t>
        </is>
      </c>
      <c r="D7047" s="1" t="n">
        <v>45188</v>
      </c>
      <c r="E7047" s="1" t="n">
        <v>46319</v>
      </c>
      <c r="F7047" t="inlineStr">
        <is>
          <t>DALARNAS LÄN</t>
        </is>
      </c>
      <c r="G7047" t="inlineStr">
        <is>
          <t>GAGNEF</t>
        </is>
      </c>
      <c r="I7047" t="n">
        <v>1.7</v>
      </c>
      <c r="J7047" t="n">
        <v>0</v>
      </c>
      <c r="K7047" t="n">
        <v>0</v>
      </c>
      <c r="L7047" t="n">
        <v>0</v>
      </c>
      <c r="M7047" t="n">
        <v>0</v>
      </c>
      <c r="N7047" t="n">
        <v>0</v>
      </c>
      <c r="O7047" t="n">
        <v>0</v>
      </c>
      <c r="P7047" t="n">
        <v>0</v>
      </c>
      <c r="Q7047" t="n">
        <v>0</v>
      </c>
      <c r="R7047" t="n">
        <v>0</v>
      </c>
      <c r="S7047" t="n">
        <v>0</v>
      </c>
      <c r="T7047" t="n">
        <v>0</v>
      </c>
      <c r="U7047" t="n">
        <v>0</v>
      </c>
      <c r="V7047" s="2" t="inlineStr"/>
    </row>
    <row r="7048" ht="15" customHeight="1">
      <c r="A7048" t="inlineStr">
        <is>
          <t>A 36316-2026</t>
        </is>
      </c>
      <c r="B7048" t="inlineStr">
        <is>
          <t>avverkningsanmälan</t>
        </is>
      </c>
      <c r="C7048" t="inlineStr">
        <is>
          <t>Föryngringsavverkning</t>
        </is>
      </c>
      <c r="D7048" s="1" t="n">
        <v>46268</v>
      </c>
      <c r="E7048" s="1" t="n">
        <v>46319</v>
      </c>
      <c r="F7048" t="inlineStr">
        <is>
          <t>DALARNAS LÄN</t>
        </is>
      </c>
      <c r="G7048" t="inlineStr">
        <is>
          <t>SMEDJEBACKEN</t>
        </is>
      </c>
      <c r="I7048" t="n">
        <v>2.9</v>
      </c>
      <c r="J7048" t="n">
        <v>0</v>
      </c>
      <c r="K7048" t="n">
        <v>0</v>
      </c>
      <c r="L7048" t="n">
        <v>0</v>
      </c>
      <c r="M7048" t="n">
        <v>0</v>
      </c>
      <c r="N7048" t="n">
        <v>0</v>
      </c>
      <c r="O7048" t="n">
        <v>0</v>
      </c>
      <c r="P7048" t="n">
        <v>0</v>
      </c>
      <c r="Q7048" t="n">
        <v>0</v>
      </c>
      <c r="R7048" t="n">
        <v>0</v>
      </c>
      <c r="S7048" t="n">
        <v>0</v>
      </c>
      <c r="T7048" t="n">
        <v>0</v>
      </c>
      <c r="U7048" t="n">
        <v>0</v>
      </c>
      <c r="V7048" s="2" t="inlineStr"/>
    </row>
    <row r="7049" ht="15" customHeight="1">
      <c r="A7049" t="inlineStr">
        <is>
          <t>A 20208-2026</t>
        </is>
      </c>
      <c r="B7049" t="inlineStr">
        <is>
          <t>avverkningsanmälan</t>
        </is>
      </c>
      <c r="C7049" t="inlineStr">
        <is>
          <t>Föryngringsavverkning</t>
        </is>
      </c>
      <c r="D7049" s="1" t="n">
        <v>46139</v>
      </c>
      <c r="E7049" s="1" t="n">
        <v>46319</v>
      </c>
      <c r="F7049" t="inlineStr">
        <is>
          <t>DALARNAS LÄN</t>
        </is>
      </c>
      <c r="G7049" t="inlineStr">
        <is>
          <t>VANSBRO</t>
        </is>
      </c>
      <c r="H7049" t="inlineStr">
        <is>
          <t>Bergvik skog öst AB</t>
        </is>
      </c>
      <c r="I7049" t="n">
        <v>3.6</v>
      </c>
      <c r="J7049" t="n">
        <v>0</v>
      </c>
      <c r="K7049" t="n">
        <v>0</v>
      </c>
      <c r="L7049" t="n">
        <v>0</v>
      </c>
      <c r="M7049" t="n">
        <v>0</v>
      </c>
      <c r="N7049" t="n">
        <v>0</v>
      </c>
      <c r="O7049" t="n">
        <v>0</v>
      </c>
      <c r="P7049" t="n">
        <v>0</v>
      </c>
      <c r="Q7049" t="n">
        <v>0</v>
      </c>
      <c r="R7049" t="n">
        <v>0</v>
      </c>
      <c r="S7049" t="n">
        <v>0</v>
      </c>
      <c r="T7049" t="n">
        <v>0</v>
      </c>
      <c r="U7049" t="n">
        <v>0</v>
      </c>
      <c r="V7049" s="2" t="inlineStr"/>
    </row>
    <row r="7050" ht="15" customHeight="1">
      <c r="A7050" t="inlineStr">
        <is>
          <t>A 52141-2024</t>
        </is>
      </c>
      <c r="B7050" t="inlineStr">
        <is>
          <t>avverkningsanmälan</t>
        </is>
      </c>
      <c r="C7050" t="inlineStr">
        <is>
          <t>Föryngringsavverkning</t>
        </is>
      </c>
      <c r="D7050" s="1" t="n">
        <v>45608</v>
      </c>
      <c r="E7050" s="1" t="n">
        <v>46319</v>
      </c>
      <c r="F7050" t="inlineStr">
        <is>
          <t>DALARNAS LÄN</t>
        </is>
      </c>
      <c r="G7050" t="inlineStr">
        <is>
          <t>MALUNG-SÄLEN</t>
        </is>
      </c>
      <c r="I7050" t="n">
        <v>5.2</v>
      </c>
      <c r="J7050" t="n">
        <v>0</v>
      </c>
      <c r="K7050" t="n">
        <v>0</v>
      </c>
      <c r="L7050" t="n">
        <v>0</v>
      </c>
      <c r="M7050" t="n">
        <v>0</v>
      </c>
      <c r="N7050" t="n">
        <v>0</v>
      </c>
      <c r="O7050" t="n">
        <v>0</v>
      </c>
      <c r="P7050" t="n">
        <v>0</v>
      </c>
      <c r="Q7050" t="n">
        <v>0</v>
      </c>
      <c r="R7050" t="n">
        <v>0</v>
      </c>
      <c r="S7050" t="n">
        <v>0</v>
      </c>
      <c r="T7050" t="n">
        <v>0</v>
      </c>
      <c r="U7050" t="n">
        <v>0</v>
      </c>
      <c r="V7050" s="2" t="inlineStr"/>
    </row>
    <row r="7051" ht="15" customHeight="1">
      <c r="A7051" t="inlineStr">
        <is>
          <t>A 193-2026</t>
        </is>
      </c>
      <c r="B7051" t="inlineStr">
        <is>
          <t>avverkningsanmälan</t>
        </is>
      </c>
      <c r="C7051" t="inlineStr">
        <is>
          <t>Föryngringsavverkning</t>
        </is>
      </c>
      <c r="D7051" s="1" t="n">
        <v>46025</v>
      </c>
      <c r="E7051" s="1" t="n">
        <v>46319</v>
      </c>
      <c r="F7051" t="inlineStr">
        <is>
          <t>DALARNAS LÄN</t>
        </is>
      </c>
      <c r="G7051" t="inlineStr">
        <is>
          <t>FALUN</t>
        </is>
      </c>
      <c r="I7051" t="n">
        <v>13.4</v>
      </c>
      <c r="J7051" t="n">
        <v>0</v>
      </c>
      <c r="K7051" t="n">
        <v>0</v>
      </c>
      <c r="L7051" t="n">
        <v>0</v>
      </c>
      <c r="M7051" t="n">
        <v>0</v>
      </c>
      <c r="N7051" t="n">
        <v>0</v>
      </c>
      <c r="O7051" t="n">
        <v>0</v>
      </c>
      <c r="P7051" t="n">
        <v>0</v>
      </c>
      <c r="Q7051" t="n">
        <v>0</v>
      </c>
      <c r="R7051" t="n">
        <v>0</v>
      </c>
      <c r="S7051" t="n">
        <v>0</v>
      </c>
      <c r="T7051" t="n">
        <v>0</v>
      </c>
      <c r="U7051" t="n">
        <v>0</v>
      </c>
      <c r="V7051" s="2" t="inlineStr"/>
    </row>
    <row r="7052" ht="15" customHeight="1">
      <c r="A7052" t="inlineStr">
        <is>
          <t>A 35978-2026</t>
        </is>
      </c>
      <c r="B7052" t="inlineStr">
        <is>
          <t>avverkningsanmälan</t>
        </is>
      </c>
      <c r="C7052" t="inlineStr">
        <is>
          <t>Föryngringsavverkning</t>
        </is>
      </c>
      <c r="D7052" s="1" t="n">
        <v>46266</v>
      </c>
      <c r="E7052" s="1" t="n">
        <v>46319</v>
      </c>
      <c r="F7052" t="inlineStr">
        <is>
          <t>DALARNAS LÄN</t>
        </is>
      </c>
      <c r="G7052" t="inlineStr">
        <is>
          <t>MORA</t>
        </is>
      </c>
      <c r="I7052" t="n">
        <v>0.6</v>
      </c>
      <c r="J7052" t="n">
        <v>0</v>
      </c>
      <c r="K7052" t="n">
        <v>0</v>
      </c>
      <c r="L7052" t="n">
        <v>0</v>
      </c>
      <c r="M7052" t="n">
        <v>0</v>
      </c>
      <c r="N7052" t="n">
        <v>0</v>
      </c>
      <c r="O7052" t="n">
        <v>0</v>
      </c>
      <c r="P7052" t="n">
        <v>0</v>
      </c>
      <c r="Q7052" t="n">
        <v>0</v>
      </c>
      <c r="R7052" t="n">
        <v>0</v>
      </c>
      <c r="S7052" t="n">
        <v>0</v>
      </c>
      <c r="T7052" t="n">
        <v>0</v>
      </c>
      <c r="U7052" t="n">
        <v>0</v>
      </c>
      <c r="V7052" s="2" t="inlineStr"/>
    </row>
    <row r="7053" ht="15" customHeight="1">
      <c r="A7053" t="inlineStr">
        <is>
          <t>A 54816-2024</t>
        </is>
      </c>
      <c r="B7053" t="inlineStr">
        <is>
          <t>avverkningsanmälan</t>
        </is>
      </c>
      <c r="C7053" t="inlineStr">
        <is>
          <t>Föryngringsavverkning</t>
        </is>
      </c>
      <c r="D7053" s="1" t="n">
        <v>45618</v>
      </c>
      <c r="E7053" s="1" t="n">
        <v>46319</v>
      </c>
      <c r="F7053" t="inlineStr">
        <is>
          <t>DALARNAS LÄN</t>
        </is>
      </c>
      <c r="G7053" t="inlineStr">
        <is>
          <t>RÄTTVIK</t>
        </is>
      </c>
      <c r="I7053" t="n">
        <v>0.9</v>
      </c>
      <c r="J7053" t="n">
        <v>0</v>
      </c>
      <c r="K7053" t="n">
        <v>0</v>
      </c>
      <c r="L7053" t="n">
        <v>0</v>
      </c>
      <c r="M7053" t="n">
        <v>0</v>
      </c>
      <c r="N7053" t="n">
        <v>0</v>
      </c>
      <c r="O7053" t="n">
        <v>0</v>
      </c>
      <c r="P7053" t="n">
        <v>0</v>
      </c>
      <c r="Q7053" t="n">
        <v>0</v>
      </c>
      <c r="R7053" t="n">
        <v>0</v>
      </c>
      <c r="S7053" t="n">
        <v>0</v>
      </c>
      <c r="T7053" t="n">
        <v>0</v>
      </c>
      <c r="U7053" t="n">
        <v>0</v>
      </c>
      <c r="V7053" s="2" t="inlineStr"/>
    </row>
    <row r="7054" ht="15" customHeight="1">
      <c r="A7054" t="inlineStr">
        <is>
          <t>A 26854-2025</t>
        </is>
      </c>
      <c r="B7054" t="inlineStr">
        <is>
          <t>avverkningsanmälan</t>
        </is>
      </c>
      <c r="C7054" t="inlineStr">
        <is>
          <t>Föryngringsavverkning</t>
        </is>
      </c>
      <c r="D7054" s="1" t="n">
        <v>45810</v>
      </c>
      <c r="E7054" s="1" t="n">
        <v>46319</v>
      </c>
      <c r="F7054" t="inlineStr">
        <is>
          <t>DALARNAS LÄN</t>
        </is>
      </c>
      <c r="G7054" t="inlineStr">
        <is>
          <t>MORA</t>
        </is>
      </c>
      <c r="I7054" t="n">
        <v>4.4</v>
      </c>
      <c r="J7054" t="n">
        <v>0</v>
      </c>
      <c r="K7054" t="n">
        <v>0</v>
      </c>
      <c r="L7054" t="n">
        <v>0</v>
      </c>
      <c r="M7054" t="n">
        <v>0</v>
      </c>
      <c r="N7054" t="n">
        <v>0</v>
      </c>
      <c r="O7054" t="n">
        <v>0</v>
      </c>
      <c r="P7054" t="n">
        <v>0</v>
      </c>
      <c r="Q7054" t="n">
        <v>0</v>
      </c>
      <c r="R7054" t="n">
        <v>0</v>
      </c>
      <c r="S7054" t="n">
        <v>0</v>
      </c>
      <c r="T7054" t="n">
        <v>0</v>
      </c>
      <c r="U7054" t="n">
        <v>0</v>
      </c>
      <c r="V7054" s="2" t="inlineStr"/>
    </row>
    <row r="7055" ht="15" customHeight="1">
      <c r="A7055" t="inlineStr">
        <is>
          <t>A 8435-2025</t>
        </is>
      </c>
      <c r="B7055" t="inlineStr">
        <is>
          <t>avverkningsanmälan</t>
        </is>
      </c>
      <c r="C7055" t="inlineStr">
        <is>
          <t>Föryngringsavverkning</t>
        </is>
      </c>
      <c r="D7055" s="1" t="n">
        <v>45709</v>
      </c>
      <c r="E7055" s="1" t="n">
        <v>46319</v>
      </c>
      <c r="F7055" t="inlineStr">
        <is>
          <t>DALARNAS LÄN</t>
        </is>
      </c>
      <c r="G7055" t="inlineStr">
        <is>
          <t>FALUN</t>
        </is>
      </c>
      <c r="I7055" t="n">
        <v>4.1</v>
      </c>
      <c r="J7055" t="n">
        <v>0</v>
      </c>
      <c r="K7055" t="n">
        <v>0</v>
      </c>
      <c r="L7055" t="n">
        <v>0</v>
      </c>
      <c r="M7055" t="n">
        <v>0</v>
      </c>
      <c r="N7055" t="n">
        <v>0</v>
      </c>
      <c r="O7055" t="n">
        <v>0</v>
      </c>
      <c r="P7055" t="n">
        <v>0</v>
      </c>
      <c r="Q7055" t="n">
        <v>0</v>
      </c>
      <c r="R7055" t="n">
        <v>0</v>
      </c>
      <c r="S7055" t="n">
        <v>0</v>
      </c>
      <c r="T7055" t="n">
        <v>0</v>
      </c>
      <c r="U7055" t="n">
        <v>0</v>
      </c>
      <c r="V7055" s="2" t="inlineStr"/>
    </row>
    <row r="7056" ht="15" customHeight="1">
      <c r="A7056" t="inlineStr">
        <is>
          <t>A 11733-2026</t>
        </is>
      </c>
      <c r="B7056" t="inlineStr">
        <is>
          <t>avverkningsanmälan</t>
        </is>
      </c>
      <c r="C7056" t="inlineStr">
        <is>
          <t>Föryngringsavverkning</t>
        </is>
      </c>
      <c r="D7056" s="1" t="n">
        <v>46084</v>
      </c>
      <c r="E7056" s="1" t="n">
        <v>46319</v>
      </c>
      <c r="F7056" t="inlineStr">
        <is>
          <t>DALARNAS LÄN</t>
        </is>
      </c>
      <c r="G7056" t="inlineStr">
        <is>
          <t>SÄTER</t>
        </is>
      </c>
      <c r="H7056" t="inlineStr">
        <is>
          <t>Kommuner</t>
        </is>
      </c>
      <c r="I7056" t="n">
        <v>5.1</v>
      </c>
      <c r="J7056" t="n">
        <v>0</v>
      </c>
      <c r="K7056" t="n">
        <v>0</v>
      </c>
      <c r="L7056" t="n">
        <v>0</v>
      </c>
      <c r="M7056" t="n">
        <v>0</v>
      </c>
      <c r="N7056" t="n">
        <v>0</v>
      </c>
      <c r="O7056" t="n">
        <v>0</v>
      </c>
      <c r="P7056" t="n">
        <v>0</v>
      </c>
      <c r="Q7056" t="n">
        <v>0</v>
      </c>
      <c r="R7056" t="n">
        <v>0</v>
      </c>
      <c r="S7056" t="n">
        <v>0</v>
      </c>
      <c r="T7056" t="n">
        <v>0</v>
      </c>
      <c r="U7056" t="n">
        <v>0</v>
      </c>
      <c r="V7056" s="2" t="inlineStr"/>
    </row>
    <row r="7057" ht="15" customHeight="1">
      <c r="A7057" t="inlineStr">
        <is>
          <t>A 2692-2026</t>
        </is>
      </c>
      <c r="B7057" t="inlineStr">
        <is>
          <t>avverkningsanmälan</t>
        </is>
      </c>
      <c r="C7057" t="inlineStr">
        <is>
          <t>Föryngringsavverkning</t>
        </is>
      </c>
      <c r="D7057" s="1" t="n">
        <v>46037</v>
      </c>
      <c r="E7057" s="1" t="n">
        <v>46319</v>
      </c>
      <c r="F7057" t="inlineStr">
        <is>
          <t>DALARNAS LÄN</t>
        </is>
      </c>
      <c r="G7057" t="inlineStr">
        <is>
          <t>RÄTTVIK</t>
        </is>
      </c>
      <c r="I7057" t="n">
        <v>5.6</v>
      </c>
      <c r="J7057" t="n">
        <v>0</v>
      </c>
      <c r="K7057" t="n">
        <v>0</v>
      </c>
      <c r="L7057" t="n">
        <v>0</v>
      </c>
      <c r="M7057" t="n">
        <v>0</v>
      </c>
      <c r="N7057" t="n">
        <v>0</v>
      </c>
      <c r="O7057" t="n">
        <v>0</v>
      </c>
      <c r="P7057" t="n">
        <v>0</v>
      </c>
      <c r="Q7057" t="n">
        <v>0</v>
      </c>
      <c r="R7057" t="n">
        <v>0</v>
      </c>
      <c r="S7057" t="n">
        <v>0</v>
      </c>
      <c r="T7057" t="n">
        <v>0</v>
      </c>
      <c r="U7057" t="n">
        <v>0</v>
      </c>
      <c r="V7057" s="2" t="inlineStr"/>
    </row>
    <row r="7058" ht="15" customHeight="1">
      <c r="A7058" t="inlineStr">
        <is>
          <t>A 36114-2026</t>
        </is>
      </c>
      <c r="B7058" t="inlineStr">
        <is>
          <t>avverkningsanmälan</t>
        </is>
      </c>
      <c r="C7058" t="inlineStr">
        <is>
          <t>Föryngringsavverkning</t>
        </is>
      </c>
      <c r="D7058" s="1" t="n">
        <v>46267</v>
      </c>
      <c r="E7058" s="1" t="n">
        <v>46319</v>
      </c>
      <c r="F7058" t="inlineStr">
        <is>
          <t>DALARNAS LÄN</t>
        </is>
      </c>
      <c r="G7058" t="inlineStr">
        <is>
          <t>SMEDJEBACKEN</t>
        </is>
      </c>
      <c r="H7058" t="inlineStr">
        <is>
          <t>Sveaskog</t>
        </is>
      </c>
      <c r="I7058" t="n">
        <v>2</v>
      </c>
      <c r="J7058" t="n">
        <v>0</v>
      </c>
      <c r="K7058" t="n">
        <v>0</v>
      </c>
      <c r="L7058" t="n">
        <v>0</v>
      </c>
      <c r="M7058" t="n">
        <v>0</v>
      </c>
      <c r="N7058" t="n">
        <v>0</v>
      </c>
      <c r="O7058" t="n">
        <v>0</v>
      </c>
      <c r="P7058" t="n">
        <v>0</v>
      </c>
      <c r="Q7058" t="n">
        <v>0</v>
      </c>
      <c r="R7058" t="n">
        <v>0</v>
      </c>
      <c r="S7058" t="n">
        <v>0</v>
      </c>
      <c r="T7058" t="n">
        <v>0</v>
      </c>
      <c r="U7058" t="n">
        <v>0</v>
      </c>
      <c r="V7058" s="2" t="inlineStr"/>
    </row>
    <row r="7059" ht="15" customHeight="1">
      <c r="A7059" t="inlineStr">
        <is>
          <t>A 36126-2026</t>
        </is>
      </c>
      <c r="B7059" t="inlineStr">
        <is>
          <t>avverkningsanmälan</t>
        </is>
      </c>
      <c r="C7059" t="inlineStr">
        <is>
          <t>Föryngringsavverkning</t>
        </is>
      </c>
      <c r="D7059" s="1" t="n">
        <v>46267</v>
      </c>
      <c r="E7059" s="1" t="n">
        <v>46319</v>
      </c>
      <c r="F7059" t="inlineStr">
        <is>
          <t>DALARNAS LÄN</t>
        </is>
      </c>
      <c r="G7059" t="inlineStr">
        <is>
          <t>LUDVIKA</t>
        </is>
      </c>
      <c r="H7059" t="inlineStr">
        <is>
          <t>Bergvik skog väst AB</t>
        </is>
      </c>
      <c r="I7059" t="n">
        <v>1.7</v>
      </c>
      <c r="J7059" t="n">
        <v>0</v>
      </c>
      <c r="K7059" t="n">
        <v>0</v>
      </c>
      <c r="L7059" t="n">
        <v>0</v>
      </c>
      <c r="M7059" t="n">
        <v>0</v>
      </c>
      <c r="N7059" t="n">
        <v>0</v>
      </c>
      <c r="O7059" t="n">
        <v>0</v>
      </c>
      <c r="P7059" t="n">
        <v>0</v>
      </c>
      <c r="Q7059" t="n">
        <v>0</v>
      </c>
      <c r="R7059" t="n">
        <v>0</v>
      </c>
      <c r="S7059" t="n">
        <v>0</v>
      </c>
      <c r="T7059" t="n">
        <v>0</v>
      </c>
      <c r="U7059" t="n">
        <v>0</v>
      </c>
      <c r="V7059" s="2" t="inlineStr"/>
    </row>
    <row r="7060" ht="15" customHeight="1">
      <c r="A7060" t="inlineStr">
        <is>
          <t>A 49639-2024</t>
        </is>
      </c>
      <c r="B7060" t="inlineStr">
        <is>
          <t>avverkningsanmälan</t>
        </is>
      </c>
      <c r="C7060" t="inlineStr">
        <is>
          <t>Föryngringsavverkning</t>
        </is>
      </c>
      <c r="D7060" s="1" t="n">
        <v>45596</v>
      </c>
      <c r="E7060" s="1" t="n">
        <v>46319</v>
      </c>
      <c r="F7060" t="inlineStr">
        <is>
          <t>DALARNAS LÄN</t>
        </is>
      </c>
      <c r="G7060" t="inlineStr">
        <is>
          <t>FALUN</t>
        </is>
      </c>
      <c r="H7060" t="inlineStr">
        <is>
          <t>Bergvik skog väst AB</t>
        </is>
      </c>
      <c r="I7060" t="n">
        <v>3.6</v>
      </c>
      <c r="J7060" t="n">
        <v>0</v>
      </c>
      <c r="K7060" t="n">
        <v>0</v>
      </c>
      <c r="L7060" t="n">
        <v>0</v>
      </c>
      <c r="M7060" t="n">
        <v>0</v>
      </c>
      <c r="N7060" t="n">
        <v>0</v>
      </c>
      <c r="O7060" t="n">
        <v>0</v>
      </c>
      <c r="P7060" t="n">
        <v>0</v>
      </c>
      <c r="Q7060" t="n">
        <v>0</v>
      </c>
      <c r="R7060" t="n">
        <v>0</v>
      </c>
      <c r="S7060" t="n">
        <v>0</v>
      </c>
      <c r="T7060" t="n">
        <v>0</v>
      </c>
      <c r="U7060" t="n">
        <v>0</v>
      </c>
      <c r="V7060" s="2" t="inlineStr"/>
    </row>
    <row r="7061" ht="15" customHeight="1">
      <c r="A7061" t="inlineStr">
        <is>
          <t>A 13073-2026</t>
        </is>
      </c>
      <c r="B7061" t="inlineStr">
        <is>
          <t>avverkningsanmälan</t>
        </is>
      </c>
      <c r="C7061" t="inlineStr">
        <is>
          <t>Föryngringsavverkning</t>
        </is>
      </c>
      <c r="D7061" s="1" t="n">
        <v>46093</v>
      </c>
      <c r="E7061" s="1" t="n">
        <v>46319</v>
      </c>
      <c r="F7061" t="inlineStr">
        <is>
          <t>DALARNAS LÄN</t>
        </is>
      </c>
      <c r="G7061" t="inlineStr">
        <is>
          <t>FALUN</t>
        </is>
      </c>
      <c r="H7061" t="inlineStr">
        <is>
          <t>Allmännings- och besparingsskogar</t>
        </is>
      </c>
      <c r="I7061" t="n">
        <v>0.8</v>
      </c>
      <c r="J7061" t="n">
        <v>0</v>
      </c>
      <c r="K7061" t="n">
        <v>0</v>
      </c>
      <c r="L7061" t="n">
        <v>0</v>
      </c>
      <c r="M7061" t="n">
        <v>0</v>
      </c>
      <c r="N7061" t="n">
        <v>0</v>
      </c>
      <c r="O7061" t="n">
        <v>0</v>
      </c>
      <c r="P7061" t="n">
        <v>0</v>
      </c>
      <c r="Q7061" t="n">
        <v>0</v>
      </c>
      <c r="R7061" t="n">
        <v>0</v>
      </c>
      <c r="S7061" t="n">
        <v>0</v>
      </c>
      <c r="T7061" t="n">
        <v>0</v>
      </c>
      <c r="U7061" t="n">
        <v>0</v>
      </c>
      <c r="V7061" s="2" t="inlineStr"/>
    </row>
    <row r="7062" ht="15" customHeight="1">
      <c r="A7062" t="inlineStr">
        <is>
          <t>A 36155-2026</t>
        </is>
      </c>
      <c r="B7062" t="inlineStr">
        <is>
          <t>avverkningsanmälan</t>
        </is>
      </c>
      <c r="C7062" t="inlineStr">
        <is>
          <t>Avverkning för annat ändamål</t>
        </is>
      </c>
      <c r="D7062" s="1" t="n">
        <v>46267</v>
      </c>
      <c r="E7062" s="1" t="n">
        <v>46319</v>
      </c>
      <c r="F7062" t="inlineStr">
        <is>
          <t>DALARNAS LÄN</t>
        </is>
      </c>
      <c r="G7062" t="inlineStr">
        <is>
          <t>FALUN</t>
        </is>
      </c>
      <c r="I7062" t="n">
        <v>0.7</v>
      </c>
      <c r="J7062" t="n">
        <v>0</v>
      </c>
      <c r="K7062" t="n">
        <v>0</v>
      </c>
      <c r="L7062" t="n">
        <v>0</v>
      </c>
      <c r="M7062" t="n">
        <v>0</v>
      </c>
      <c r="N7062" t="n">
        <v>0</v>
      </c>
      <c r="O7062" t="n">
        <v>0</v>
      </c>
      <c r="P7062" t="n">
        <v>0</v>
      </c>
      <c r="Q7062" t="n">
        <v>0</v>
      </c>
      <c r="R7062" t="n">
        <v>0</v>
      </c>
      <c r="S7062" t="n">
        <v>0</v>
      </c>
      <c r="T7062" t="n">
        <v>0</v>
      </c>
      <c r="U7062" t="n">
        <v>0</v>
      </c>
      <c r="V7062" s="2" t="inlineStr"/>
    </row>
    <row r="7063" ht="15" customHeight="1">
      <c r="A7063" t="inlineStr">
        <is>
          <t>A 36112-2026</t>
        </is>
      </c>
      <c r="B7063" t="inlineStr">
        <is>
          <t>avverkningsanmälan</t>
        </is>
      </c>
      <c r="C7063" t="inlineStr">
        <is>
          <t>Föryngringsavverkning</t>
        </is>
      </c>
      <c r="D7063" s="1" t="n">
        <v>46267</v>
      </c>
      <c r="E7063" s="1" t="n">
        <v>46319</v>
      </c>
      <c r="F7063" t="inlineStr">
        <is>
          <t>DALARNAS LÄN</t>
        </is>
      </c>
      <c r="G7063" t="inlineStr">
        <is>
          <t>SMEDJEBACKEN</t>
        </is>
      </c>
      <c r="H7063" t="inlineStr">
        <is>
          <t>Sveaskog</t>
        </is>
      </c>
      <c r="I7063" t="n">
        <v>8.1</v>
      </c>
      <c r="J7063" t="n">
        <v>0</v>
      </c>
      <c r="K7063" t="n">
        <v>0</v>
      </c>
      <c r="L7063" t="n">
        <v>0</v>
      </c>
      <c r="M7063" t="n">
        <v>0</v>
      </c>
      <c r="N7063" t="n">
        <v>0</v>
      </c>
      <c r="O7063" t="n">
        <v>0</v>
      </c>
      <c r="P7063" t="n">
        <v>0</v>
      </c>
      <c r="Q7063" t="n">
        <v>0</v>
      </c>
      <c r="R7063" t="n">
        <v>0</v>
      </c>
      <c r="S7063" t="n">
        <v>0</v>
      </c>
      <c r="T7063" t="n">
        <v>0</v>
      </c>
      <c r="U7063" t="n">
        <v>0</v>
      </c>
      <c r="V7063" s="2" t="inlineStr"/>
    </row>
    <row r="7064" ht="15" customHeight="1">
      <c r="A7064" t="inlineStr">
        <is>
          <t>A 36138-2026</t>
        </is>
      </c>
      <c r="B7064" t="inlineStr">
        <is>
          <t>avverkningsanmälan</t>
        </is>
      </c>
      <c r="C7064" t="inlineStr">
        <is>
          <t>Föryngringsavverkning</t>
        </is>
      </c>
      <c r="D7064" s="1" t="n">
        <v>46267</v>
      </c>
      <c r="E7064" s="1" t="n">
        <v>46319</v>
      </c>
      <c r="F7064" t="inlineStr">
        <is>
          <t>DALARNAS LÄN</t>
        </is>
      </c>
      <c r="G7064" t="inlineStr">
        <is>
          <t>SMEDJEBACKEN</t>
        </is>
      </c>
      <c r="I7064" t="n">
        <v>1</v>
      </c>
      <c r="J7064" t="n">
        <v>0</v>
      </c>
      <c r="K7064" t="n">
        <v>0</v>
      </c>
      <c r="L7064" t="n">
        <v>0</v>
      </c>
      <c r="M7064" t="n">
        <v>0</v>
      </c>
      <c r="N7064" t="n">
        <v>0</v>
      </c>
      <c r="O7064" t="n">
        <v>0</v>
      </c>
      <c r="P7064" t="n">
        <v>0</v>
      </c>
      <c r="Q7064" t="n">
        <v>0</v>
      </c>
      <c r="R7064" t="n">
        <v>0</v>
      </c>
      <c r="S7064" t="n">
        <v>0</v>
      </c>
      <c r="T7064" t="n">
        <v>0</v>
      </c>
      <c r="U7064" t="n">
        <v>0</v>
      </c>
      <c r="V7064" s="2" t="inlineStr"/>
    </row>
    <row r="7065" ht="15" customHeight="1">
      <c r="A7065" t="inlineStr">
        <is>
          <t>A 11397-2026</t>
        </is>
      </c>
      <c r="B7065" t="inlineStr">
        <is>
          <t>avverkningsanmälan</t>
        </is>
      </c>
      <c r="C7065" t="inlineStr">
        <is>
          <t>Föryngringsavverkning</t>
        </is>
      </c>
      <c r="D7065" s="1" t="n">
        <v>46083</v>
      </c>
      <c r="E7065" s="1" t="n">
        <v>46319</v>
      </c>
      <c r="F7065" t="inlineStr">
        <is>
          <t>DALARNAS LÄN</t>
        </is>
      </c>
      <c r="G7065" t="inlineStr">
        <is>
          <t>GAGNEF</t>
        </is>
      </c>
      <c r="I7065" t="n">
        <v>1.5</v>
      </c>
      <c r="J7065" t="n">
        <v>0</v>
      </c>
      <c r="K7065" t="n">
        <v>0</v>
      </c>
      <c r="L7065" t="n">
        <v>0</v>
      </c>
      <c r="M7065" t="n">
        <v>0</v>
      </c>
      <c r="N7065" t="n">
        <v>0</v>
      </c>
      <c r="O7065" t="n">
        <v>0</v>
      </c>
      <c r="P7065" t="n">
        <v>0</v>
      </c>
      <c r="Q7065" t="n">
        <v>0</v>
      </c>
      <c r="R7065" t="n">
        <v>0</v>
      </c>
      <c r="S7065" t="n">
        <v>0</v>
      </c>
      <c r="T7065" t="n">
        <v>0</v>
      </c>
      <c r="U7065" t="n">
        <v>0</v>
      </c>
      <c r="V7065" s="2" t="inlineStr"/>
    </row>
    <row r="7066" ht="15" customHeight="1">
      <c r="A7066" t="inlineStr">
        <is>
          <t>A 20486-2024</t>
        </is>
      </c>
      <c r="B7066" t="inlineStr">
        <is>
          <t>avverkningsanmälan</t>
        </is>
      </c>
      <c r="C7066" t="inlineStr">
        <is>
          <t>Föryngringsavverkning</t>
        </is>
      </c>
      <c r="D7066" s="1" t="n">
        <v>45435</v>
      </c>
      <c r="E7066" s="1" t="n">
        <v>46319</v>
      </c>
      <c r="F7066" t="inlineStr">
        <is>
          <t>DALARNAS LÄN</t>
        </is>
      </c>
      <c r="G7066" t="inlineStr">
        <is>
          <t>GAGNEF</t>
        </is>
      </c>
      <c r="I7066" t="n">
        <v>10.1</v>
      </c>
      <c r="J7066" t="n">
        <v>0</v>
      </c>
      <c r="K7066" t="n">
        <v>0</v>
      </c>
      <c r="L7066" t="n">
        <v>0</v>
      </c>
      <c r="M7066" t="n">
        <v>0</v>
      </c>
      <c r="N7066" t="n">
        <v>0</v>
      </c>
      <c r="O7066" t="n">
        <v>0</v>
      </c>
      <c r="P7066" t="n">
        <v>0</v>
      </c>
      <c r="Q7066" t="n">
        <v>0</v>
      </c>
      <c r="R7066" t="n">
        <v>0</v>
      </c>
      <c r="S7066" t="n">
        <v>0</v>
      </c>
      <c r="T7066" t="n">
        <v>0</v>
      </c>
      <c r="U7066" t="n">
        <v>0</v>
      </c>
      <c r="V7066" s="2" t="inlineStr"/>
    </row>
    <row r="7067" ht="15" customHeight="1">
      <c r="A7067" t="inlineStr">
        <is>
          <t>A 66158-2021</t>
        </is>
      </c>
      <c r="B7067" t="inlineStr">
        <is>
          <t>avverkningsanmälan</t>
        </is>
      </c>
      <c r="C7067" t="inlineStr">
        <is>
          <t>Föryngringsavverkning</t>
        </is>
      </c>
      <c r="D7067" s="1" t="n">
        <v>44517</v>
      </c>
      <c r="E7067" s="1" t="n">
        <v>46319</v>
      </c>
      <c r="F7067" t="inlineStr">
        <is>
          <t>DALARNAS LÄN</t>
        </is>
      </c>
      <c r="G7067" t="inlineStr">
        <is>
          <t>MORA</t>
        </is>
      </c>
      <c r="I7067" t="n">
        <v>3.3</v>
      </c>
      <c r="J7067" t="n">
        <v>0</v>
      </c>
      <c r="K7067" t="n">
        <v>0</v>
      </c>
      <c r="L7067" t="n">
        <v>0</v>
      </c>
      <c r="M7067" t="n">
        <v>0</v>
      </c>
      <c r="N7067" t="n">
        <v>0</v>
      </c>
      <c r="O7067" t="n">
        <v>0</v>
      </c>
      <c r="P7067" t="n">
        <v>0</v>
      </c>
      <c r="Q7067" t="n">
        <v>0</v>
      </c>
      <c r="R7067" t="n">
        <v>0</v>
      </c>
      <c r="S7067" t="n">
        <v>0</v>
      </c>
      <c r="T7067" t="n">
        <v>0</v>
      </c>
      <c r="U7067" t="n">
        <v>0</v>
      </c>
      <c r="V7067" s="2" t="inlineStr"/>
    </row>
    <row r="7068" ht="15" customHeight="1">
      <c r="A7068" t="inlineStr">
        <is>
          <t>A 7948-2026</t>
        </is>
      </c>
      <c r="B7068" t="inlineStr">
        <is>
          <t>avverkningsanmälan</t>
        </is>
      </c>
      <c r="C7068" t="inlineStr">
        <is>
          <t>Föryngringsavverkning</t>
        </is>
      </c>
      <c r="D7068" s="1" t="n">
        <v>46063</v>
      </c>
      <c r="E7068" s="1" t="n">
        <v>46319</v>
      </c>
      <c r="F7068" t="inlineStr">
        <is>
          <t>DALARNAS LÄN</t>
        </is>
      </c>
      <c r="G7068" t="inlineStr">
        <is>
          <t>FALUN</t>
        </is>
      </c>
      <c r="I7068" t="n">
        <v>0.9</v>
      </c>
      <c r="J7068" t="n">
        <v>0</v>
      </c>
      <c r="K7068" t="n">
        <v>0</v>
      </c>
      <c r="L7068" t="n">
        <v>0</v>
      </c>
      <c r="M7068" t="n">
        <v>0</v>
      </c>
      <c r="N7068" t="n">
        <v>0</v>
      </c>
      <c r="O7068" t="n">
        <v>0</v>
      </c>
      <c r="P7068" t="n">
        <v>0</v>
      </c>
      <c r="Q7068" t="n">
        <v>0</v>
      </c>
      <c r="R7068" t="n">
        <v>0</v>
      </c>
      <c r="S7068" t="n">
        <v>0</v>
      </c>
      <c r="T7068" t="n">
        <v>0</v>
      </c>
      <c r="U7068" t="n">
        <v>0</v>
      </c>
      <c r="V7068" s="2" t="inlineStr"/>
    </row>
    <row r="7069" ht="15" customHeight="1">
      <c r="A7069" t="inlineStr">
        <is>
          <t>A 2048-2026</t>
        </is>
      </c>
      <c r="B7069" t="inlineStr">
        <is>
          <t>avverkningsanmälan</t>
        </is>
      </c>
      <c r="C7069" t="inlineStr">
        <is>
          <t>Föryngringsavverkning</t>
        </is>
      </c>
      <c r="D7069" s="1" t="n">
        <v>46035</v>
      </c>
      <c r="E7069" s="1" t="n">
        <v>46319</v>
      </c>
      <c r="F7069" t="inlineStr">
        <is>
          <t>DALARNAS LÄN</t>
        </is>
      </c>
      <c r="G7069" t="inlineStr">
        <is>
          <t>LEKSAND</t>
        </is>
      </c>
      <c r="I7069" t="n">
        <v>2.7</v>
      </c>
      <c r="J7069" t="n">
        <v>0</v>
      </c>
      <c r="K7069" t="n">
        <v>0</v>
      </c>
      <c r="L7069" t="n">
        <v>0</v>
      </c>
      <c r="M7069" t="n">
        <v>0</v>
      </c>
      <c r="N7069" t="n">
        <v>0</v>
      </c>
      <c r="O7069" t="n">
        <v>0</v>
      </c>
      <c r="P7069" t="n">
        <v>0</v>
      </c>
      <c r="Q7069" t="n">
        <v>0</v>
      </c>
      <c r="R7069" t="n">
        <v>0</v>
      </c>
      <c r="S7069" t="n">
        <v>0</v>
      </c>
      <c r="T7069" t="n">
        <v>0</v>
      </c>
      <c r="U7069" t="n">
        <v>0</v>
      </c>
      <c r="V7069" s="2" t="inlineStr"/>
    </row>
    <row r="7070" ht="15" customHeight="1">
      <c r="A7070" t="inlineStr">
        <is>
          <t>A 14504-2025</t>
        </is>
      </c>
      <c r="B7070" t="inlineStr">
        <is>
          <t>avverkningsanmälan</t>
        </is>
      </c>
      <c r="C7070" t="inlineStr">
        <is>
          <t>Föryngringsavverkning</t>
        </is>
      </c>
      <c r="D7070" s="1" t="n">
        <v>45741</v>
      </c>
      <c r="E7070" s="1" t="n">
        <v>46319</v>
      </c>
      <c r="F7070" t="inlineStr">
        <is>
          <t>DALARNAS LÄN</t>
        </is>
      </c>
      <c r="G7070" t="inlineStr">
        <is>
          <t>LEKSAND</t>
        </is>
      </c>
      <c r="I7070" t="n">
        <v>1.3</v>
      </c>
      <c r="J7070" t="n">
        <v>0</v>
      </c>
      <c r="K7070" t="n">
        <v>0</v>
      </c>
      <c r="L7070" t="n">
        <v>0</v>
      </c>
      <c r="M7070" t="n">
        <v>0</v>
      </c>
      <c r="N7070" t="n">
        <v>0</v>
      </c>
      <c r="O7070" t="n">
        <v>0</v>
      </c>
      <c r="P7070" t="n">
        <v>0</v>
      </c>
      <c r="Q7070" t="n">
        <v>0</v>
      </c>
      <c r="R7070" t="n">
        <v>0</v>
      </c>
      <c r="S7070" t="n">
        <v>0</v>
      </c>
      <c r="T7070" t="n">
        <v>0</v>
      </c>
      <c r="U7070" t="n">
        <v>0</v>
      </c>
      <c r="V7070" s="2" t="inlineStr"/>
    </row>
    <row r="7071" ht="15" customHeight="1">
      <c r="A7071" t="inlineStr">
        <is>
          <t>A 54628-2024</t>
        </is>
      </c>
      <c r="B7071" t="inlineStr">
        <is>
          <t>avverkningsanmälan</t>
        </is>
      </c>
      <c r="C7071" t="inlineStr">
        <is>
          <t>Föryngringsavverkning</t>
        </is>
      </c>
      <c r="D7071" s="1" t="n">
        <v>45617</v>
      </c>
      <c r="E7071" s="1" t="n">
        <v>46319</v>
      </c>
      <c r="F7071" t="inlineStr">
        <is>
          <t>DALARNAS LÄN</t>
        </is>
      </c>
      <c r="G7071" t="inlineStr">
        <is>
          <t>MORA</t>
        </is>
      </c>
      <c r="I7071" t="n">
        <v>1.1</v>
      </c>
      <c r="J7071" t="n">
        <v>0</v>
      </c>
      <c r="K7071" t="n">
        <v>0</v>
      </c>
      <c r="L7071" t="n">
        <v>0</v>
      </c>
      <c r="M7071" t="n">
        <v>0</v>
      </c>
      <c r="N7071" t="n">
        <v>0</v>
      </c>
      <c r="O7071" t="n">
        <v>0</v>
      </c>
      <c r="P7071" t="n">
        <v>0</v>
      </c>
      <c r="Q7071" t="n">
        <v>0</v>
      </c>
      <c r="R7071" t="n">
        <v>0</v>
      </c>
      <c r="S7071" t="n">
        <v>0</v>
      </c>
      <c r="T7071" t="n">
        <v>0</v>
      </c>
      <c r="U7071" t="n">
        <v>0</v>
      </c>
      <c r="V7071" s="2" t="inlineStr"/>
    </row>
    <row r="7072" ht="15" customHeight="1">
      <c r="A7072" t="inlineStr">
        <is>
          <t>A 1252-2025</t>
        </is>
      </c>
      <c r="B7072" t="inlineStr">
        <is>
          <t>avverkningsanmälan</t>
        </is>
      </c>
      <c r="C7072" t="inlineStr">
        <is>
          <t>Föryngringsavverkning</t>
        </is>
      </c>
      <c r="D7072" s="1" t="n">
        <v>45667</v>
      </c>
      <c r="E7072" s="1" t="n">
        <v>46319</v>
      </c>
      <c r="F7072" t="inlineStr">
        <is>
          <t>DALARNAS LÄN</t>
        </is>
      </c>
      <c r="G7072" t="inlineStr">
        <is>
          <t>MORA</t>
        </is>
      </c>
      <c r="I7072" t="n">
        <v>1.6</v>
      </c>
      <c r="J7072" t="n">
        <v>0</v>
      </c>
      <c r="K7072" t="n">
        <v>0</v>
      </c>
      <c r="L7072" t="n">
        <v>0</v>
      </c>
      <c r="M7072" t="n">
        <v>0</v>
      </c>
      <c r="N7072" t="n">
        <v>0</v>
      </c>
      <c r="O7072" t="n">
        <v>0</v>
      </c>
      <c r="P7072" t="n">
        <v>0</v>
      </c>
      <c r="Q7072" t="n">
        <v>0</v>
      </c>
      <c r="R7072" t="n">
        <v>0</v>
      </c>
      <c r="S7072" t="n">
        <v>0</v>
      </c>
      <c r="T7072" t="n">
        <v>0</v>
      </c>
      <c r="U7072" t="n">
        <v>0</v>
      </c>
      <c r="V7072" s="2" t="inlineStr"/>
    </row>
    <row r="7073" ht="15" customHeight="1">
      <c r="A7073" t="inlineStr">
        <is>
          <t>A 23512-2025</t>
        </is>
      </c>
      <c r="B7073" t="inlineStr">
        <is>
          <t>avverkningsanmälan</t>
        </is>
      </c>
      <c r="C7073" t="inlineStr">
        <is>
          <t>Föryngringsavverkning</t>
        </is>
      </c>
      <c r="D7073" s="1" t="n">
        <v>45792</v>
      </c>
      <c r="E7073" s="1" t="n">
        <v>46319</v>
      </c>
      <c r="F7073" t="inlineStr">
        <is>
          <t>DALARNAS LÄN</t>
        </is>
      </c>
      <c r="G7073" t="inlineStr">
        <is>
          <t>FALUN</t>
        </is>
      </c>
      <c r="H7073" t="inlineStr">
        <is>
          <t>Bergvik skog väst AB</t>
        </is>
      </c>
      <c r="I7073" t="n">
        <v>7.1</v>
      </c>
      <c r="J7073" t="n">
        <v>0</v>
      </c>
      <c r="K7073" t="n">
        <v>0</v>
      </c>
      <c r="L7073" t="n">
        <v>0</v>
      </c>
      <c r="M7073" t="n">
        <v>0</v>
      </c>
      <c r="N7073" t="n">
        <v>0</v>
      </c>
      <c r="O7073" t="n">
        <v>0</v>
      </c>
      <c r="P7073" t="n">
        <v>0</v>
      </c>
      <c r="Q7073" t="n">
        <v>0</v>
      </c>
      <c r="R7073" t="n">
        <v>0</v>
      </c>
      <c r="S7073" t="n">
        <v>0</v>
      </c>
      <c r="T7073" t="n">
        <v>0</v>
      </c>
      <c r="U7073" t="n">
        <v>0</v>
      </c>
      <c r="V7073" s="2" t="inlineStr"/>
    </row>
    <row r="7074" ht="15" customHeight="1">
      <c r="A7074" t="inlineStr">
        <is>
          <t>A 40308-2025</t>
        </is>
      </c>
      <c r="B7074" t="inlineStr">
        <is>
          <t>avverkningsanmälan</t>
        </is>
      </c>
      <c r="C7074" t="inlineStr">
        <is>
          <t>Föryngringsavverkning</t>
        </is>
      </c>
      <c r="D7074" s="1" t="n">
        <v>45895</v>
      </c>
      <c r="E7074" s="1" t="n">
        <v>46319</v>
      </c>
      <c r="F7074" t="inlineStr">
        <is>
          <t>DALARNAS LÄN</t>
        </is>
      </c>
      <c r="G7074" t="inlineStr">
        <is>
          <t>FALUN</t>
        </is>
      </c>
      <c r="I7074" t="n">
        <v>1</v>
      </c>
      <c r="J7074" t="n">
        <v>0</v>
      </c>
      <c r="K7074" t="n">
        <v>0</v>
      </c>
      <c r="L7074" t="n">
        <v>0</v>
      </c>
      <c r="M7074" t="n">
        <v>0</v>
      </c>
      <c r="N7074" t="n">
        <v>0</v>
      </c>
      <c r="O7074" t="n">
        <v>0</v>
      </c>
      <c r="P7074" t="n">
        <v>0</v>
      </c>
      <c r="Q7074" t="n">
        <v>0</v>
      </c>
      <c r="R7074" t="n">
        <v>0</v>
      </c>
      <c r="S7074" t="n">
        <v>0</v>
      </c>
      <c r="T7074" t="n">
        <v>0</v>
      </c>
      <c r="U7074" t="n">
        <v>0</v>
      </c>
      <c r="V7074" s="2" t="inlineStr"/>
    </row>
    <row r="7075" ht="15" customHeight="1">
      <c r="A7075" t="inlineStr">
        <is>
          <t>A 29578-2025</t>
        </is>
      </c>
      <c r="B7075" t="inlineStr">
        <is>
          <t>avverkningsanmälan</t>
        </is>
      </c>
      <c r="C7075" t="inlineStr">
        <is>
          <t>Föryngringsavverkning</t>
        </is>
      </c>
      <c r="D7075" s="1" t="n">
        <v>45825</v>
      </c>
      <c r="E7075" s="1" t="n">
        <v>46319</v>
      </c>
      <c r="F7075" t="inlineStr">
        <is>
          <t>DALARNAS LÄN</t>
        </is>
      </c>
      <c r="G7075" t="inlineStr">
        <is>
          <t>LUDVIKA</t>
        </is>
      </c>
      <c r="I7075" t="n">
        <v>3.8</v>
      </c>
      <c r="J7075" t="n">
        <v>0</v>
      </c>
      <c r="K7075" t="n">
        <v>0</v>
      </c>
      <c r="L7075" t="n">
        <v>0</v>
      </c>
      <c r="M7075" t="n">
        <v>0</v>
      </c>
      <c r="N7075" t="n">
        <v>0</v>
      </c>
      <c r="O7075" t="n">
        <v>0</v>
      </c>
      <c r="P7075" t="n">
        <v>0</v>
      </c>
      <c r="Q7075" t="n">
        <v>0</v>
      </c>
      <c r="R7075" t="n">
        <v>0</v>
      </c>
      <c r="S7075" t="n">
        <v>0</v>
      </c>
      <c r="T7075" t="n">
        <v>0</v>
      </c>
      <c r="U7075" t="n">
        <v>0</v>
      </c>
      <c r="V7075" s="2" t="inlineStr"/>
    </row>
    <row r="7076" ht="15" customHeight="1">
      <c r="A7076" t="inlineStr">
        <is>
          <t>A 34875-2025</t>
        </is>
      </c>
      <c r="B7076" t="inlineStr">
        <is>
          <t>avverkningsanmälan</t>
        </is>
      </c>
      <c r="C7076" t="inlineStr">
        <is>
          <t>Föryngringsavverkning</t>
        </is>
      </c>
      <c r="D7076" s="1" t="n">
        <v>45849</v>
      </c>
      <c r="E7076" s="1" t="n">
        <v>46319</v>
      </c>
      <c r="F7076" t="inlineStr">
        <is>
          <t>DALARNAS LÄN</t>
        </is>
      </c>
      <c r="G7076" t="inlineStr">
        <is>
          <t>LUDVIKA</t>
        </is>
      </c>
      <c r="H7076" t="inlineStr">
        <is>
          <t>Bergvik skog väst AB</t>
        </is>
      </c>
      <c r="I7076" t="n">
        <v>5.8</v>
      </c>
      <c r="J7076" t="n">
        <v>0</v>
      </c>
      <c r="K7076" t="n">
        <v>0</v>
      </c>
      <c r="L7076" t="n">
        <v>0</v>
      </c>
      <c r="M7076" t="n">
        <v>0</v>
      </c>
      <c r="N7076" t="n">
        <v>0</v>
      </c>
      <c r="O7076" t="n">
        <v>0</v>
      </c>
      <c r="P7076" t="n">
        <v>0</v>
      </c>
      <c r="Q7076" t="n">
        <v>0</v>
      </c>
      <c r="R7076" t="n">
        <v>0</v>
      </c>
      <c r="S7076" t="n">
        <v>0</v>
      </c>
      <c r="T7076" t="n">
        <v>0</v>
      </c>
      <c r="U7076" t="n">
        <v>0</v>
      </c>
      <c r="V7076" s="2" t="inlineStr"/>
    </row>
    <row r="7077" ht="15" customHeight="1">
      <c r="A7077" t="inlineStr">
        <is>
          <t>A 61034-2024</t>
        </is>
      </c>
      <c r="B7077" t="inlineStr">
        <is>
          <t>avverkningsanmälan</t>
        </is>
      </c>
      <c r="C7077" t="inlineStr">
        <is>
          <t>Föryngringsavverkning</t>
        </is>
      </c>
      <c r="D7077" s="1" t="n">
        <v>45645</v>
      </c>
      <c r="E7077" s="1" t="n">
        <v>46319</v>
      </c>
      <c r="F7077" t="inlineStr">
        <is>
          <t>DALARNAS LÄN</t>
        </is>
      </c>
      <c r="G7077" t="inlineStr">
        <is>
          <t>ORSA</t>
        </is>
      </c>
      <c r="I7077" t="n">
        <v>0.9</v>
      </c>
      <c r="J7077" t="n">
        <v>0</v>
      </c>
      <c r="K7077" t="n">
        <v>0</v>
      </c>
      <c r="L7077" t="n">
        <v>0</v>
      </c>
      <c r="M7077" t="n">
        <v>0</v>
      </c>
      <c r="N7077" t="n">
        <v>0</v>
      </c>
      <c r="O7077" t="n">
        <v>0</v>
      </c>
      <c r="P7077" t="n">
        <v>0</v>
      </c>
      <c r="Q7077" t="n">
        <v>0</v>
      </c>
      <c r="R7077" t="n">
        <v>0</v>
      </c>
      <c r="S7077" t="n">
        <v>0</v>
      </c>
      <c r="T7077" t="n">
        <v>0</v>
      </c>
      <c r="U7077" t="n">
        <v>0</v>
      </c>
      <c r="V7077" s="2" t="inlineStr"/>
    </row>
    <row r="7078" ht="15" customHeight="1">
      <c r="A7078" t="inlineStr">
        <is>
          <t>A 53982-2024</t>
        </is>
      </c>
      <c r="B7078" t="inlineStr">
        <is>
          <t>avverkningsanmälan</t>
        </is>
      </c>
      <c r="C7078" t="inlineStr">
        <is>
          <t>Föryngringsavverkning</t>
        </is>
      </c>
      <c r="D7078" s="1" t="n">
        <v>45615</v>
      </c>
      <c r="E7078" s="1" t="n">
        <v>46319</v>
      </c>
      <c r="F7078" t="inlineStr">
        <is>
          <t>DALARNAS LÄN</t>
        </is>
      </c>
      <c r="G7078" t="inlineStr">
        <is>
          <t>SMEDJEBACKEN</t>
        </is>
      </c>
      <c r="H7078" t="inlineStr">
        <is>
          <t>Bergvik skog väst AB</t>
        </is>
      </c>
      <c r="I7078" t="n">
        <v>10</v>
      </c>
      <c r="J7078" t="n">
        <v>0</v>
      </c>
      <c r="K7078" t="n">
        <v>0</v>
      </c>
      <c r="L7078" t="n">
        <v>0</v>
      </c>
      <c r="M7078" t="n">
        <v>0</v>
      </c>
      <c r="N7078" t="n">
        <v>0</v>
      </c>
      <c r="O7078" t="n">
        <v>0</v>
      </c>
      <c r="P7078" t="n">
        <v>0</v>
      </c>
      <c r="Q7078" t="n">
        <v>0</v>
      </c>
      <c r="R7078" t="n">
        <v>0</v>
      </c>
      <c r="S7078" t="n">
        <v>0</v>
      </c>
      <c r="T7078" t="n">
        <v>0</v>
      </c>
      <c r="U7078" t="n">
        <v>0</v>
      </c>
      <c r="V7078" s="2" t="inlineStr"/>
    </row>
    <row r="7079" ht="15" customHeight="1">
      <c r="A7079" t="inlineStr">
        <is>
          <t>A 19108-2025</t>
        </is>
      </c>
      <c r="B7079" t="inlineStr">
        <is>
          <t>avverkningsanmälan</t>
        </is>
      </c>
      <c r="C7079" t="inlineStr">
        <is>
          <t>Föryngringsavverkning</t>
        </is>
      </c>
      <c r="D7079" s="1" t="n">
        <v>45768</v>
      </c>
      <c r="E7079" s="1" t="n">
        <v>46319</v>
      </c>
      <c r="F7079" t="inlineStr">
        <is>
          <t>DALARNAS LÄN</t>
        </is>
      </c>
      <c r="G7079" t="inlineStr">
        <is>
          <t>ORSA</t>
        </is>
      </c>
      <c r="H7079" t="inlineStr">
        <is>
          <t>Bergvik skog väst AB</t>
        </is>
      </c>
      <c r="I7079" t="n">
        <v>14.3</v>
      </c>
      <c r="J7079" t="n">
        <v>0</v>
      </c>
      <c r="K7079" t="n">
        <v>0</v>
      </c>
      <c r="L7079" t="n">
        <v>0</v>
      </c>
      <c r="M7079" t="n">
        <v>0</v>
      </c>
      <c r="N7079" t="n">
        <v>0</v>
      </c>
      <c r="O7079" t="n">
        <v>0</v>
      </c>
      <c r="P7079" t="n">
        <v>0</v>
      </c>
      <c r="Q7079" t="n">
        <v>0</v>
      </c>
      <c r="R7079" t="n">
        <v>0</v>
      </c>
      <c r="S7079" t="n">
        <v>0</v>
      </c>
      <c r="T7079" t="n">
        <v>0</v>
      </c>
      <c r="U7079" t="n">
        <v>0</v>
      </c>
      <c r="V7079" s="2" t="inlineStr"/>
    </row>
    <row r="7080" ht="15" customHeight="1">
      <c r="A7080" t="inlineStr">
        <is>
          <t>A 39348-2024</t>
        </is>
      </c>
      <c r="B7080" t="inlineStr">
        <is>
          <t>avverkningsanmälan</t>
        </is>
      </c>
      <c r="C7080" t="inlineStr">
        <is>
          <t>Föryngringsavverkning</t>
        </is>
      </c>
      <c r="D7080" s="1" t="n">
        <v>45551</v>
      </c>
      <c r="E7080" s="1" t="n">
        <v>46319</v>
      </c>
      <c r="F7080" t="inlineStr">
        <is>
          <t>DALARNAS LÄN</t>
        </is>
      </c>
      <c r="G7080" t="inlineStr">
        <is>
          <t>MORA</t>
        </is>
      </c>
      <c r="I7080" t="n">
        <v>0.5</v>
      </c>
      <c r="J7080" t="n">
        <v>0</v>
      </c>
      <c r="K7080" t="n">
        <v>0</v>
      </c>
      <c r="L7080" t="n">
        <v>0</v>
      </c>
      <c r="M7080" t="n">
        <v>0</v>
      </c>
      <c r="N7080" t="n">
        <v>0</v>
      </c>
      <c r="O7080" t="n">
        <v>0</v>
      </c>
      <c r="P7080" t="n">
        <v>0</v>
      </c>
      <c r="Q7080" t="n">
        <v>0</v>
      </c>
      <c r="R7080" t="n">
        <v>0</v>
      </c>
      <c r="S7080" t="n">
        <v>0</v>
      </c>
      <c r="T7080" t="n">
        <v>0</v>
      </c>
      <c r="U7080" t="n">
        <v>0</v>
      </c>
      <c r="V7080" s="2" t="inlineStr"/>
    </row>
    <row r="7081" ht="15" customHeight="1">
      <c r="A7081" t="inlineStr">
        <is>
          <t>A 12987-2024</t>
        </is>
      </c>
      <c r="B7081" t="inlineStr">
        <is>
          <t>avverkningsanmälan</t>
        </is>
      </c>
      <c r="C7081" t="inlineStr">
        <is>
          <t>Föryngringsavverkning</t>
        </is>
      </c>
      <c r="D7081" s="1" t="n">
        <v>45385</v>
      </c>
      <c r="E7081" s="1" t="n">
        <v>46319</v>
      </c>
      <c r="F7081" t="inlineStr">
        <is>
          <t>DALARNAS LÄN</t>
        </is>
      </c>
      <c r="G7081" t="inlineStr">
        <is>
          <t>MORA</t>
        </is>
      </c>
      <c r="I7081" t="n">
        <v>1.3</v>
      </c>
      <c r="J7081" t="n">
        <v>0</v>
      </c>
      <c r="K7081" t="n">
        <v>0</v>
      </c>
      <c r="L7081" t="n">
        <v>0</v>
      </c>
      <c r="M7081" t="n">
        <v>0</v>
      </c>
      <c r="N7081" t="n">
        <v>0</v>
      </c>
      <c r="O7081" t="n">
        <v>0</v>
      </c>
      <c r="P7081" t="n">
        <v>0</v>
      </c>
      <c r="Q7081" t="n">
        <v>0</v>
      </c>
      <c r="R7081" t="n">
        <v>0</v>
      </c>
      <c r="S7081" t="n">
        <v>0</v>
      </c>
      <c r="T7081" t="n">
        <v>0</v>
      </c>
      <c r="U7081" t="n">
        <v>0</v>
      </c>
      <c r="V7081" s="2" t="inlineStr"/>
    </row>
    <row r="7082" ht="15" customHeight="1">
      <c r="A7082" t="inlineStr">
        <is>
          <t>A 9587-2026</t>
        </is>
      </c>
      <c r="B7082" t="inlineStr">
        <is>
          <t>avverkningsanmälan</t>
        </is>
      </c>
      <c r="C7082" t="inlineStr">
        <is>
          <t>Föryngringsavverkning</t>
        </is>
      </c>
      <c r="D7082" s="1" t="n">
        <v>46071</v>
      </c>
      <c r="E7082" s="1" t="n">
        <v>46319</v>
      </c>
      <c r="F7082" t="inlineStr">
        <is>
          <t>DALARNAS LÄN</t>
        </is>
      </c>
      <c r="G7082" t="inlineStr">
        <is>
          <t>FALUN</t>
        </is>
      </c>
      <c r="H7082" t="inlineStr">
        <is>
          <t>Bergvik skog väst AB</t>
        </is>
      </c>
      <c r="I7082" t="n">
        <v>4.7</v>
      </c>
      <c r="J7082" t="n">
        <v>0</v>
      </c>
      <c r="K7082" t="n">
        <v>0</v>
      </c>
      <c r="L7082" t="n">
        <v>0</v>
      </c>
      <c r="M7082" t="n">
        <v>0</v>
      </c>
      <c r="N7082" t="n">
        <v>0</v>
      </c>
      <c r="O7082" t="n">
        <v>0</v>
      </c>
      <c r="P7082" t="n">
        <v>0</v>
      </c>
      <c r="Q7082" t="n">
        <v>0</v>
      </c>
      <c r="R7082" t="n">
        <v>0</v>
      </c>
      <c r="S7082" t="n">
        <v>0</v>
      </c>
      <c r="T7082" t="n">
        <v>0</v>
      </c>
      <c r="U7082" t="n">
        <v>0</v>
      </c>
      <c r="V7082" s="2" t="inlineStr"/>
    </row>
    <row r="7083" ht="15" customHeight="1">
      <c r="A7083" t="inlineStr">
        <is>
          <t>A 34397-2024</t>
        </is>
      </c>
      <c r="B7083" t="inlineStr">
        <is>
          <t>avverkningsanmälan</t>
        </is>
      </c>
      <c r="C7083" t="inlineStr">
        <is>
          <t>Föryngringsavverkning</t>
        </is>
      </c>
      <c r="D7083" s="1" t="n">
        <v>45525</v>
      </c>
      <c r="E7083" s="1" t="n">
        <v>46319</v>
      </c>
      <c r="F7083" t="inlineStr">
        <is>
          <t>DALARNAS LÄN</t>
        </is>
      </c>
      <c r="G7083" t="inlineStr">
        <is>
          <t>MALUNG-SÄLEN</t>
        </is>
      </c>
      <c r="H7083" t="inlineStr">
        <is>
          <t>Bergvik skog väst AB</t>
        </is>
      </c>
      <c r="I7083" t="n">
        <v>1</v>
      </c>
      <c r="J7083" t="n">
        <v>0</v>
      </c>
      <c r="K7083" t="n">
        <v>0</v>
      </c>
      <c r="L7083" t="n">
        <v>0</v>
      </c>
      <c r="M7083" t="n">
        <v>0</v>
      </c>
      <c r="N7083" t="n">
        <v>0</v>
      </c>
      <c r="O7083" t="n">
        <v>0</v>
      </c>
      <c r="P7083" t="n">
        <v>0</v>
      </c>
      <c r="Q7083" t="n">
        <v>0</v>
      </c>
      <c r="R7083" t="n">
        <v>0</v>
      </c>
      <c r="S7083" t="n">
        <v>0</v>
      </c>
      <c r="T7083" t="n">
        <v>0</v>
      </c>
      <c r="U7083" t="n">
        <v>0</v>
      </c>
      <c r="V7083" s="2" t="inlineStr"/>
    </row>
    <row r="7084" ht="15" customHeight="1">
      <c r="A7084" t="inlineStr">
        <is>
          <t>A 42743-2026</t>
        </is>
      </c>
      <c r="B7084" t="inlineStr">
        <is>
          <t>avverkningsanmälan</t>
        </is>
      </c>
      <c r="C7084" t="inlineStr">
        <is>
          <t>Föryngringsavverkning</t>
        </is>
      </c>
      <c r="D7084" s="1" t="n">
        <v>46309</v>
      </c>
      <c r="E7084" s="1" t="n">
        <v>46319</v>
      </c>
      <c r="F7084" t="inlineStr">
        <is>
          <t>DALARNAS LÄN</t>
        </is>
      </c>
      <c r="G7084" t="inlineStr">
        <is>
          <t>LUDVIKA</t>
        </is>
      </c>
      <c r="I7084" t="n">
        <v>1.1</v>
      </c>
      <c r="J7084" t="n">
        <v>0</v>
      </c>
      <c r="K7084" t="n">
        <v>0</v>
      </c>
      <c r="L7084" t="n">
        <v>0</v>
      </c>
      <c r="M7084" t="n">
        <v>0</v>
      </c>
      <c r="N7084" t="n">
        <v>0</v>
      </c>
      <c r="O7084" t="n">
        <v>0</v>
      </c>
      <c r="P7084" t="n">
        <v>0</v>
      </c>
      <c r="Q7084" t="n">
        <v>0</v>
      </c>
      <c r="R7084" t="n">
        <v>0</v>
      </c>
      <c r="S7084" t="n">
        <v>0</v>
      </c>
      <c r="T7084" t="n">
        <v>0</v>
      </c>
      <c r="U7084" t="n">
        <v>0</v>
      </c>
      <c r="V7084" s="2" t="inlineStr"/>
    </row>
    <row r="7085" ht="15" customHeight="1">
      <c r="A7085" t="inlineStr">
        <is>
          <t>A 1983-2025</t>
        </is>
      </c>
      <c r="B7085" t="inlineStr">
        <is>
          <t>avverkningsanmälan</t>
        </is>
      </c>
      <c r="C7085" t="inlineStr">
        <is>
          <t>Föryngringsavverkning</t>
        </is>
      </c>
      <c r="D7085" s="1" t="n">
        <v>45670</v>
      </c>
      <c r="E7085" s="1" t="n">
        <v>46319</v>
      </c>
      <c r="F7085" t="inlineStr">
        <is>
          <t>DALARNAS LÄN</t>
        </is>
      </c>
      <c r="G7085" t="inlineStr">
        <is>
          <t>LEKSAND</t>
        </is>
      </c>
      <c r="I7085" t="n">
        <v>1.5</v>
      </c>
      <c r="J7085" t="n">
        <v>0</v>
      </c>
      <c r="K7085" t="n">
        <v>0</v>
      </c>
      <c r="L7085" t="n">
        <v>0</v>
      </c>
      <c r="M7085" t="n">
        <v>0</v>
      </c>
      <c r="N7085" t="n">
        <v>0</v>
      </c>
      <c r="O7085" t="n">
        <v>0</v>
      </c>
      <c r="P7085" t="n">
        <v>0</v>
      </c>
      <c r="Q7085" t="n">
        <v>0</v>
      </c>
      <c r="R7085" t="n">
        <v>0</v>
      </c>
      <c r="S7085" t="n">
        <v>0</v>
      </c>
      <c r="T7085" t="n">
        <v>0</v>
      </c>
      <c r="U7085" t="n">
        <v>0</v>
      </c>
      <c r="V7085" s="2" t="inlineStr"/>
    </row>
    <row r="7086" ht="15" customHeight="1">
      <c r="A7086" t="inlineStr">
        <is>
          <t>A 20197-2026</t>
        </is>
      </c>
      <c r="B7086" t="inlineStr">
        <is>
          <t>avverkningsanmälan</t>
        </is>
      </c>
      <c r="C7086" t="inlineStr">
        <is>
          <t>Föryngringsavverkning</t>
        </is>
      </c>
      <c r="D7086" s="1" t="n">
        <v>46139</v>
      </c>
      <c r="E7086" s="1" t="n">
        <v>46319</v>
      </c>
      <c r="F7086" t="inlineStr">
        <is>
          <t>DALARNAS LÄN</t>
        </is>
      </c>
      <c r="G7086" t="inlineStr">
        <is>
          <t>FALUN</t>
        </is>
      </c>
      <c r="I7086" t="n">
        <v>0.8</v>
      </c>
      <c r="J7086" t="n">
        <v>0</v>
      </c>
      <c r="K7086" t="n">
        <v>0</v>
      </c>
      <c r="L7086" t="n">
        <v>0</v>
      </c>
      <c r="M7086" t="n">
        <v>0</v>
      </c>
      <c r="N7086" t="n">
        <v>0</v>
      </c>
      <c r="O7086" t="n">
        <v>0</v>
      </c>
      <c r="P7086" t="n">
        <v>0</v>
      </c>
      <c r="Q7086" t="n">
        <v>0</v>
      </c>
      <c r="R7086" t="n">
        <v>0</v>
      </c>
      <c r="S7086" t="n">
        <v>0</v>
      </c>
      <c r="T7086" t="n">
        <v>0</v>
      </c>
      <c r="U7086" t="n">
        <v>0</v>
      </c>
      <c r="V7086" s="2" t="inlineStr"/>
    </row>
    <row r="7087" ht="15" customHeight="1">
      <c r="A7087" t="inlineStr">
        <is>
          <t>A 42852-2026</t>
        </is>
      </c>
      <c r="B7087" t="inlineStr">
        <is>
          <t>avverkningsanmälan</t>
        </is>
      </c>
      <c r="C7087" t="inlineStr">
        <is>
          <t>Föryngringsavverkning</t>
        </is>
      </c>
      <c r="D7087" s="1" t="n">
        <v>46310</v>
      </c>
      <c r="E7087" s="1" t="n">
        <v>46319</v>
      </c>
      <c r="F7087" t="inlineStr">
        <is>
          <t>DALARNAS LÄN</t>
        </is>
      </c>
      <c r="G7087" t="inlineStr">
        <is>
          <t>MORA</t>
        </is>
      </c>
      <c r="I7087" t="n">
        <v>0.5</v>
      </c>
      <c r="J7087" t="n">
        <v>0</v>
      </c>
      <c r="K7087" t="n">
        <v>0</v>
      </c>
      <c r="L7087" t="n">
        <v>0</v>
      </c>
      <c r="M7087" t="n">
        <v>0</v>
      </c>
      <c r="N7087" t="n">
        <v>0</v>
      </c>
      <c r="O7087" t="n">
        <v>0</v>
      </c>
      <c r="P7087" t="n">
        <v>0</v>
      </c>
      <c r="Q7087" t="n">
        <v>0</v>
      </c>
      <c r="R7087" t="n">
        <v>0</v>
      </c>
      <c r="S7087" t="n">
        <v>0</v>
      </c>
      <c r="T7087" t="n">
        <v>0</v>
      </c>
      <c r="U7087" t="n">
        <v>0</v>
      </c>
      <c r="V7087" s="2" t="inlineStr"/>
    </row>
    <row r="7088" ht="15" customHeight="1">
      <c r="A7088" t="inlineStr">
        <is>
          <t>A 20201-2026</t>
        </is>
      </c>
      <c r="B7088" t="inlineStr">
        <is>
          <t>avverkningsanmälan</t>
        </is>
      </c>
      <c r="C7088" t="inlineStr">
        <is>
          <t>Föryngringsavverkning</t>
        </is>
      </c>
      <c r="D7088" s="1" t="n">
        <v>46139</v>
      </c>
      <c r="E7088" s="1" t="n">
        <v>46319</v>
      </c>
      <c r="F7088" t="inlineStr">
        <is>
          <t>DALARNAS LÄN</t>
        </is>
      </c>
      <c r="G7088" t="inlineStr">
        <is>
          <t>FALUN</t>
        </is>
      </c>
      <c r="I7088" t="n">
        <v>2.9</v>
      </c>
      <c r="J7088" t="n">
        <v>0</v>
      </c>
      <c r="K7088" t="n">
        <v>0</v>
      </c>
      <c r="L7088" t="n">
        <v>0</v>
      </c>
      <c r="M7088" t="n">
        <v>0</v>
      </c>
      <c r="N7088" t="n">
        <v>0</v>
      </c>
      <c r="O7088" t="n">
        <v>0</v>
      </c>
      <c r="P7088" t="n">
        <v>0</v>
      </c>
      <c r="Q7088" t="n">
        <v>0</v>
      </c>
      <c r="R7088" t="n">
        <v>0</v>
      </c>
      <c r="S7088" t="n">
        <v>0</v>
      </c>
      <c r="T7088" t="n">
        <v>0</v>
      </c>
      <c r="U7088" t="n">
        <v>0</v>
      </c>
      <c r="V7088" s="2" t="inlineStr"/>
    </row>
    <row r="7089" ht="15" customHeight="1">
      <c r="A7089" t="inlineStr">
        <is>
          <t>A 23615-2026</t>
        </is>
      </c>
      <c r="B7089" t="inlineStr">
        <is>
          <t>avverkningsanmälan</t>
        </is>
      </c>
      <c r="C7089" t="inlineStr">
        <is>
          <t>Föryngringsavverkning</t>
        </is>
      </c>
      <c r="D7089" s="1" t="n">
        <v>46162</v>
      </c>
      <c r="E7089" s="1" t="n">
        <v>46319</v>
      </c>
      <c r="F7089" t="inlineStr">
        <is>
          <t>DALARNAS LÄN</t>
        </is>
      </c>
      <c r="G7089" t="inlineStr">
        <is>
          <t>RÄTTVIK</t>
        </is>
      </c>
      <c r="I7089" t="n">
        <v>6.3</v>
      </c>
      <c r="J7089" t="n">
        <v>0</v>
      </c>
      <c r="K7089" t="n">
        <v>0</v>
      </c>
      <c r="L7089" t="n">
        <v>0</v>
      </c>
      <c r="M7089" t="n">
        <v>0</v>
      </c>
      <c r="N7089" t="n">
        <v>0</v>
      </c>
      <c r="O7089" t="n">
        <v>0</v>
      </c>
      <c r="P7089" t="n">
        <v>0</v>
      </c>
      <c r="Q7089" t="n">
        <v>0</v>
      </c>
      <c r="R7089" t="n">
        <v>0</v>
      </c>
      <c r="S7089" t="n">
        <v>0</v>
      </c>
      <c r="T7089" t="n">
        <v>0</v>
      </c>
      <c r="U7089" t="n">
        <v>0</v>
      </c>
      <c r="V7089" s="2" t="inlineStr"/>
    </row>
    <row r="7090" ht="15" customHeight="1">
      <c r="A7090" t="inlineStr">
        <is>
          <t>A 41566-2025</t>
        </is>
      </c>
      <c r="B7090" t="inlineStr">
        <is>
          <t>avverkningsanmälan</t>
        </is>
      </c>
      <c r="C7090" t="inlineStr">
        <is>
          <t>Föryngringsavverkning</t>
        </is>
      </c>
      <c r="D7090" s="1" t="n">
        <v>45901</v>
      </c>
      <c r="E7090" s="1" t="n">
        <v>46319</v>
      </c>
      <c r="F7090" t="inlineStr">
        <is>
          <t>DALARNAS LÄN</t>
        </is>
      </c>
      <c r="G7090" t="inlineStr">
        <is>
          <t>ÄLVDALEN</t>
        </is>
      </c>
      <c r="I7090" t="n">
        <v>2.6</v>
      </c>
      <c r="J7090" t="n">
        <v>0</v>
      </c>
      <c r="K7090" t="n">
        <v>0</v>
      </c>
      <c r="L7090" t="n">
        <v>0</v>
      </c>
      <c r="M7090" t="n">
        <v>0</v>
      </c>
      <c r="N7090" t="n">
        <v>0</v>
      </c>
      <c r="O7090" t="n">
        <v>0</v>
      </c>
      <c r="P7090" t="n">
        <v>0</v>
      </c>
      <c r="Q7090" t="n">
        <v>0</v>
      </c>
      <c r="R7090" t="n">
        <v>0</v>
      </c>
      <c r="S7090" t="n">
        <v>0</v>
      </c>
      <c r="T7090" t="n">
        <v>0</v>
      </c>
      <c r="U7090" t="n">
        <v>0</v>
      </c>
      <c r="V7090" s="2" t="inlineStr"/>
    </row>
    <row r="7091" ht="15" customHeight="1">
      <c r="A7091" t="inlineStr">
        <is>
          <t>A 17848-2025</t>
        </is>
      </c>
      <c r="B7091" t="inlineStr">
        <is>
          <t>avverkningsanmälan</t>
        </is>
      </c>
      <c r="C7091" t="inlineStr">
        <is>
          <t>Föryngringsavverkning</t>
        </is>
      </c>
      <c r="D7091" s="1" t="n">
        <v>45758</v>
      </c>
      <c r="E7091" s="1" t="n">
        <v>46319</v>
      </c>
      <c r="F7091" t="inlineStr">
        <is>
          <t>DALARNAS LÄN</t>
        </is>
      </c>
      <c r="G7091" t="inlineStr">
        <is>
          <t>ORSA</t>
        </is>
      </c>
      <c r="I7091" t="n">
        <v>1.6</v>
      </c>
      <c r="J7091" t="n">
        <v>0</v>
      </c>
      <c r="K7091" t="n">
        <v>0</v>
      </c>
      <c r="L7091" t="n">
        <v>0</v>
      </c>
      <c r="M7091" t="n">
        <v>0</v>
      </c>
      <c r="N7091" t="n">
        <v>0</v>
      </c>
      <c r="O7091" t="n">
        <v>0</v>
      </c>
      <c r="P7091" t="n">
        <v>0</v>
      </c>
      <c r="Q7091" t="n">
        <v>0</v>
      </c>
      <c r="R7091" t="n">
        <v>0</v>
      </c>
      <c r="S7091" t="n">
        <v>0</v>
      </c>
      <c r="T7091" t="n">
        <v>0</v>
      </c>
      <c r="U7091" t="n">
        <v>0</v>
      </c>
      <c r="V7091" s="2" t="inlineStr"/>
    </row>
    <row r="7092" ht="15" customHeight="1">
      <c r="A7092" t="inlineStr">
        <is>
          <t>A 51029-2024</t>
        </is>
      </c>
      <c r="B7092" t="inlineStr">
        <is>
          <t>avverkningsanmälan</t>
        </is>
      </c>
      <c r="C7092" t="inlineStr">
        <is>
          <t>Föryngringsavverkning</t>
        </is>
      </c>
      <c r="D7092" s="1" t="n">
        <v>45603</v>
      </c>
      <c r="E7092" s="1" t="n">
        <v>46319</v>
      </c>
      <c r="F7092" t="inlineStr">
        <is>
          <t>DALARNAS LÄN</t>
        </is>
      </c>
      <c r="G7092" t="inlineStr">
        <is>
          <t>LUDVIKA</t>
        </is>
      </c>
      <c r="H7092" t="inlineStr">
        <is>
          <t>Bergvik skog väst AB</t>
        </is>
      </c>
      <c r="I7092" t="n">
        <v>3.4</v>
      </c>
      <c r="J7092" t="n">
        <v>0</v>
      </c>
      <c r="K7092" t="n">
        <v>0</v>
      </c>
      <c r="L7092" t="n">
        <v>0</v>
      </c>
      <c r="M7092" t="n">
        <v>0</v>
      </c>
      <c r="N7092" t="n">
        <v>0</v>
      </c>
      <c r="O7092" t="n">
        <v>0</v>
      </c>
      <c r="P7092" t="n">
        <v>0</v>
      </c>
      <c r="Q7092" t="n">
        <v>0</v>
      </c>
      <c r="R7092" t="n">
        <v>0</v>
      </c>
      <c r="S7092" t="n">
        <v>0</v>
      </c>
      <c r="T7092" t="n">
        <v>0</v>
      </c>
      <c r="U7092" t="n">
        <v>0</v>
      </c>
      <c r="V7092" s="2" t="inlineStr"/>
    </row>
    <row r="7093" ht="15" customHeight="1">
      <c r="A7093" t="inlineStr">
        <is>
          <t>A 7849-2026</t>
        </is>
      </c>
      <c r="B7093" t="inlineStr">
        <is>
          <t>avverkningsanmälan</t>
        </is>
      </c>
      <c r="C7093" t="inlineStr">
        <is>
          <t>Föryngringsavverkning</t>
        </is>
      </c>
      <c r="D7093" s="1" t="n">
        <v>46062</v>
      </c>
      <c r="E7093" s="1" t="n">
        <v>46319</v>
      </c>
      <c r="F7093" t="inlineStr">
        <is>
          <t>DALARNAS LÄN</t>
        </is>
      </c>
      <c r="G7093" t="inlineStr">
        <is>
          <t>MORA</t>
        </is>
      </c>
      <c r="I7093" t="n">
        <v>1.7</v>
      </c>
      <c r="J7093" t="n">
        <v>0</v>
      </c>
      <c r="K7093" t="n">
        <v>0</v>
      </c>
      <c r="L7093" t="n">
        <v>0</v>
      </c>
      <c r="M7093" t="n">
        <v>0</v>
      </c>
      <c r="N7093" t="n">
        <v>0</v>
      </c>
      <c r="O7093" t="n">
        <v>0</v>
      </c>
      <c r="P7093" t="n">
        <v>0</v>
      </c>
      <c r="Q7093" t="n">
        <v>0</v>
      </c>
      <c r="R7093" t="n">
        <v>0</v>
      </c>
      <c r="S7093" t="n">
        <v>0</v>
      </c>
      <c r="T7093" t="n">
        <v>0</v>
      </c>
      <c r="U7093" t="n">
        <v>0</v>
      </c>
      <c r="V7093" s="2" t="inlineStr"/>
    </row>
    <row r="7094" ht="15" customHeight="1">
      <c r="A7094" t="inlineStr">
        <is>
          <t>A 4601-2026</t>
        </is>
      </c>
      <c r="B7094" t="inlineStr">
        <is>
          <t>avverkningsanmälan</t>
        </is>
      </c>
      <c r="C7094" t="inlineStr">
        <is>
          <t>Föryngringsavverkning</t>
        </is>
      </c>
      <c r="D7094" s="1" t="n">
        <v>46048</v>
      </c>
      <c r="E7094" s="1" t="n">
        <v>46319</v>
      </c>
      <c r="F7094" t="inlineStr">
        <is>
          <t>DALARNAS LÄN</t>
        </is>
      </c>
      <c r="G7094" t="inlineStr">
        <is>
          <t>GAGNEF</t>
        </is>
      </c>
      <c r="H7094" t="inlineStr">
        <is>
          <t>Bergvik skog väst AB</t>
        </is>
      </c>
      <c r="I7094" t="n">
        <v>5.5</v>
      </c>
      <c r="J7094" t="n">
        <v>0</v>
      </c>
      <c r="K7094" t="n">
        <v>0</v>
      </c>
      <c r="L7094" t="n">
        <v>0</v>
      </c>
      <c r="M7094" t="n">
        <v>0</v>
      </c>
      <c r="N7094" t="n">
        <v>0</v>
      </c>
      <c r="O7094" t="n">
        <v>0</v>
      </c>
      <c r="P7094" t="n">
        <v>0</v>
      </c>
      <c r="Q7094" t="n">
        <v>0</v>
      </c>
      <c r="R7094" t="n">
        <v>0</v>
      </c>
      <c r="S7094" t="n">
        <v>0</v>
      </c>
      <c r="T7094" t="n">
        <v>0</v>
      </c>
      <c r="U7094" t="n">
        <v>0</v>
      </c>
      <c r="V7094" s="2" t="inlineStr"/>
    </row>
    <row r="7095" ht="15" customHeight="1">
      <c r="A7095" t="inlineStr">
        <is>
          <t>A 55416-2024</t>
        </is>
      </c>
      <c r="B7095" t="inlineStr">
        <is>
          <t>avverkningsanmälan</t>
        </is>
      </c>
      <c r="C7095" t="inlineStr">
        <is>
          <t>Föryngringsavverkning</t>
        </is>
      </c>
      <c r="D7095" s="1" t="n">
        <v>45621</v>
      </c>
      <c r="E7095" s="1" t="n">
        <v>46319</v>
      </c>
      <c r="F7095" t="inlineStr">
        <is>
          <t>DALARNAS LÄN</t>
        </is>
      </c>
      <c r="G7095" t="inlineStr">
        <is>
          <t>RÄTTVIK</t>
        </is>
      </c>
      <c r="I7095" t="n">
        <v>1.1</v>
      </c>
      <c r="J7095" t="n">
        <v>0</v>
      </c>
      <c r="K7095" t="n">
        <v>0</v>
      </c>
      <c r="L7095" t="n">
        <v>0</v>
      </c>
      <c r="M7095" t="n">
        <v>0</v>
      </c>
      <c r="N7095" t="n">
        <v>0</v>
      </c>
      <c r="O7095" t="n">
        <v>0</v>
      </c>
      <c r="P7095" t="n">
        <v>0</v>
      </c>
      <c r="Q7095" t="n">
        <v>0</v>
      </c>
      <c r="R7095" t="n">
        <v>0</v>
      </c>
      <c r="S7095" t="n">
        <v>0</v>
      </c>
      <c r="T7095" t="n">
        <v>0</v>
      </c>
      <c r="U7095" t="n">
        <v>0</v>
      </c>
      <c r="V7095" s="2" t="inlineStr"/>
    </row>
    <row r="7096" ht="15" customHeight="1">
      <c r="A7096" t="inlineStr">
        <is>
          <t>A 37040-2025</t>
        </is>
      </c>
      <c r="B7096" t="inlineStr">
        <is>
          <t>avverkningsanmälan</t>
        </is>
      </c>
      <c r="C7096" t="inlineStr">
        <is>
          <t>Föryngringsavverkning</t>
        </is>
      </c>
      <c r="D7096" s="1" t="n">
        <v>45875</v>
      </c>
      <c r="E7096" s="1" t="n">
        <v>46319</v>
      </c>
      <c r="F7096" t="inlineStr">
        <is>
          <t>DALARNAS LÄN</t>
        </is>
      </c>
      <c r="G7096" t="inlineStr">
        <is>
          <t>MALUNG-SÄLEN</t>
        </is>
      </c>
      <c r="I7096" t="n">
        <v>5.1</v>
      </c>
      <c r="J7096" t="n">
        <v>0</v>
      </c>
      <c r="K7096" t="n">
        <v>0</v>
      </c>
      <c r="L7096" t="n">
        <v>0</v>
      </c>
      <c r="M7096" t="n">
        <v>0</v>
      </c>
      <c r="N7096" t="n">
        <v>0</v>
      </c>
      <c r="O7096" t="n">
        <v>0</v>
      </c>
      <c r="P7096" t="n">
        <v>0</v>
      </c>
      <c r="Q7096" t="n">
        <v>0</v>
      </c>
      <c r="R7096" t="n">
        <v>0</v>
      </c>
      <c r="S7096" t="n">
        <v>0</v>
      </c>
      <c r="T7096" t="n">
        <v>0</v>
      </c>
      <c r="U7096" t="n">
        <v>0</v>
      </c>
      <c r="V7096" s="2" t="inlineStr"/>
    </row>
    <row r="7097" ht="15" customHeight="1">
      <c r="A7097" t="inlineStr">
        <is>
          <t>A 30524-2025</t>
        </is>
      </c>
      <c r="B7097" t="inlineStr">
        <is>
          <t>avverkningsanmälan</t>
        </is>
      </c>
      <c r="C7097" t="inlineStr">
        <is>
          <t>Föryngringsavverkning</t>
        </is>
      </c>
      <c r="D7097" s="1" t="n">
        <v>45831</v>
      </c>
      <c r="E7097" s="1" t="n">
        <v>46319</v>
      </c>
      <c r="F7097" t="inlineStr">
        <is>
          <t>DALARNAS LÄN</t>
        </is>
      </c>
      <c r="G7097" t="inlineStr">
        <is>
          <t>MALUNG-SÄLEN</t>
        </is>
      </c>
      <c r="I7097" t="n">
        <v>2.2</v>
      </c>
      <c r="J7097" t="n">
        <v>0</v>
      </c>
      <c r="K7097" t="n">
        <v>0</v>
      </c>
      <c r="L7097" t="n">
        <v>0</v>
      </c>
      <c r="M7097" t="n">
        <v>0</v>
      </c>
      <c r="N7097" t="n">
        <v>0</v>
      </c>
      <c r="O7097" t="n">
        <v>0</v>
      </c>
      <c r="P7097" t="n">
        <v>0</v>
      </c>
      <c r="Q7097" t="n">
        <v>0</v>
      </c>
      <c r="R7097" t="n">
        <v>0</v>
      </c>
      <c r="S7097" t="n">
        <v>0</v>
      </c>
      <c r="T7097" t="n">
        <v>0</v>
      </c>
      <c r="U7097" t="n">
        <v>0</v>
      </c>
      <c r="V7097" s="2" t="inlineStr"/>
    </row>
    <row r="7098" ht="15" customHeight="1">
      <c r="A7098" t="inlineStr">
        <is>
          <t>A 2464-2026</t>
        </is>
      </c>
      <c r="B7098" t="inlineStr">
        <is>
          <t>avverkningsanmälan</t>
        </is>
      </c>
      <c r="C7098" t="inlineStr">
        <is>
          <t>Föryngringsavverkning</t>
        </is>
      </c>
      <c r="D7098" s="1" t="n">
        <v>46037</v>
      </c>
      <c r="E7098" s="1" t="n">
        <v>46319</v>
      </c>
      <c r="F7098" t="inlineStr">
        <is>
          <t>DALARNAS LÄN</t>
        </is>
      </c>
      <c r="G7098" t="inlineStr">
        <is>
          <t>FALUN</t>
        </is>
      </c>
      <c r="I7098" t="n">
        <v>1.5</v>
      </c>
      <c r="J7098" t="n">
        <v>0</v>
      </c>
      <c r="K7098" t="n">
        <v>0</v>
      </c>
      <c r="L7098" t="n">
        <v>0</v>
      </c>
      <c r="M7098" t="n">
        <v>0</v>
      </c>
      <c r="N7098" t="n">
        <v>0</v>
      </c>
      <c r="O7098" t="n">
        <v>0</v>
      </c>
      <c r="P7098" t="n">
        <v>0</v>
      </c>
      <c r="Q7098" t="n">
        <v>0</v>
      </c>
      <c r="R7098" t="n">
        <v>0</v>
      </c>
      <c r="S7098" t="n">
        <v>0</v>
      </c>
      <c r="T7098" t="n">
        <v>0</v>
      </c>
      <c r="U7098" t="n">
        <v>0</v>
      </c>
      <c r="V7098" s="2" t="inlineStr"/>
    </row>
    <row r="7099" ht="15" customHeight="1">
      <c r="A7099" t="inlineStr">
        <is>
          <t>A 20589-2025</t>
        </is>
      </c>
      <c r="B7099" t="inlineStr">
        <is>
          <t>avverkningsanmälan</t>
        </is>
      </c>
      <c r="C7099" t="inlineStr">
        <is>
          <t>Föryngringsavverkning</t>
        </is>
      </c>
      <c r="D7099" s="1" t="n">
        <v>45775</v>
      </c>
      <c r="E7099" s="1" t="n">
        <v>46319</v>
      </c>
      <c r="F7099" t="inlineStr">
        <is>
          <t>DALARNAS LÄN</t>
        </is>
      </c>
      <c r="G7099" t="inlineStr">
        <is>
          <t>ORSA</t>
        </is>
      </c>
      <c r="I7099" t="n">
        <v>2</v>
      </c>
      <c r="J7099" t="n">
        <v>0</v>
      </c>
      <c r="K7099" t="n">
        <v>0</v>
      </c>
      <c r="L7099" t="n">
        <v>0</v>
      </c>
      <c r="M7099" t="n">
        <v>0</v>
      </c>
      <c r="N7099" t="n">
        <v>0</v>
      </c>
      <c r="O7099" t="n">
        <v>0</v>
      </c>
      <c r="P7099" t="n">
        <v>0</v>
      </c>
      <c r="Q7099" t="n">
        <v>0</v>
      </c>
      <c r="R7099" t="n">
        <v>0</v>
      </c>
      <c r="S7099" t="n">
        <v>0</v>
      </c>
      <c r="T7099" t="n">
        <v>0</v>
      </c>
      <c r="U7099" t="n">
        <v>0</v>
      </c>
      <c r="V7099" s="2" t="inlineStr"/>
    </row>
    <row r="7100" ht="15" customHeight="1">
      <c r="A7100" t="inlineStr">
        <is>
          <t>A 5304-2026</t>
        </is>
      </c>
      <c r="B7100" t="inlineStr">
        <is>
          <t>avverkningsanmälan</t>
        </is>
      </c>
      <c r="C7100" t="inlineStr">
        <is>
          <t>Föryngringsavverkning</t>
        </is>
      </c>
      <c r="D7100" s="1" t="n">
        <v>46050</v>
      </c>
      <c r="E7100" s="1" t="n">
        <v>46319</v>
      </c>
      <c r="F7100" t="inlineStr">
        <is>
          <t>DALARNAS LÄN</t>
        </is>
      </c>
      <c r="G7100" t="inlineStr">
        <is>
          <t>RÄTTVIK</t>
        </is>
      </c>
      <c r="I7100" t="n">
        <v>1.7</v>
      </c>
      <c r="J7100" t="n">
        <v>0</v>
      </c>
      <c r="K7100" t="n">
        <v>0</v>
      </c>
      <c r="L7100" t="n">
        <v>0</v>
      </c>
      <c r="M7100" t="n">
        <v>0</v>
      </c>
      <c r="N7100" t="n">
        <v>0</v>
      </c>
      <c r="O7100" t="n">
        <v>0</v>
      </c>
      <c r="P7100" t="n">
        <v>0</v>
      </c>
      <c r="Q7100" t="n">
        <v>0</v>
      </c>
      <c r="R7100" t="n">
        <v>0</v>
      </c>
      <c r="S7100" t="n">
        <v>0</v>
      </c>
      <c r="T7100" t="n">
        <v>0</v>
      </c>
      <c r="U7100" t="n">
        <v>0</v>
      </c>
      <c r="V7100" s="2" t="inlineStr"/>
    </row>
    <row r="7101" ht="15" customHeight="1">
      <c r="A7101" t="inlineStr">
        <is>
          <t>A 14009-2026</t>
        </is>
      </c>
      <c r="B7101" t="inlineStr">
        <is>
          <t>avverkningsanmälan</t>
        </is>
      </c>
      <c r="C7101" t="inlineStr">
        <is>
          <t>Föryngringsavverkning</t>
        </is>
      </c>
      <c r="D7101" s="1" t="n">
        <v>46098</v>
      </c>
      <c r="E7101" s="1" t="n">
        <v>46319</v>
      </c>
      <c r="F7101" t="inlineStr">
        <is>
          <t>DALARNAS LÄN</t>
        </is>
      </c>
      <c r="G7101" t="inlineStr">
        <is>
          <t>FALUN</t>
        </is>
      </c>
      <c r="I7101" t="n">
        <v>5.4</v>
      </c>
      <c r="J7101" t="n">
        <v>0</v>
      </c>
      <c r="K7101" t="n">
        <v>0</v>
      </c>
      <c r="L7101" t="n">
        <v>0</v>
      </c>
      <c r="M7101" t="n">
        <v>0</v>
      </c>
      <c r="N7101" t="n">
        <v>0</v>
      </c>
      <c r="O7101" t="n">
        <v>0</v>
      </c>
      <c r="P7101" t="n">
        <v>0</v>
      </c>
      <c r="Q7101" t="n">
        <v>0</v>
      </c>
      <c r="R7101" t="n">
        <v>0</v>
      </c>
      <c r="S7101" t="n">
        <v>0</v>
      </c>
      <c r="T7101" t="n">
        <v>0</v>
      </c>
      <c r="U7101" t="n">
        <v>0</v>
      </c>
      <c r="V7101" s="2" t="inlineStr"/>
    </row>
    <row r="7102" ht="15" customHeight="1">
      <c r="A7102" t="inlineStr">
        <is>
          <t>A 14028-2026</t>
        </is>
      </c>
      <c r="B7102" t="inlineStr">
        <is>
          <t>avverkningsanmälan</t>
        </is>
      </c>
      <c r="C7102" t="inlineStr">
        <is>
          <t>Föryngringsavverkning</t>
        </is>
      </c>
      <c r="D7102" s="1" t="n">
        <v>46098</v>
      </c>
      <c r="E7102" s="1" t="n">
        <v>46319</v>
      </c>
      <c r="F7102" t="inlineStr">
        <is>
          <t>DALARNAS LÄN</t>
        </is>
      </c>
      <c r="G7102" t="inlineStr">
        <is>
          <t>RÄTTVIK</t>
        </is>
      </c>
      <c r="I7102" t="n">
        <v>1.7</v>
      </c>
      <c r="J7102" t="n">
        <v>0</v>
      </c>
      <c r="K7102" t="n">
        <v>0</v>
      </c>
      <c r="L7102" t="n">
        <v>0</v>
      </c>
      <c r="M7102" t="n">
        <v>0</v>
      </c>
      <c r="N7102" t="n">
        <v>0</v>
      </c>
      <c r="O7102" t="n">
        <v>0</v>
      </c>
      <c r="P7102" t="n">
        <v>0</v>
      </c>
      <c r="Q7102" t="n">
        <v>0</v>
      </c>
      <c r="R7102" t="n">
        <v>0</v>
      </c>
      <c r="S7102" t="n">
        <v>0</v>
      </c>
      <c r="T7102" t="n">
        <v>0</v>
      </c>
      <c r="U7102" t="n">
        <v>0</v>
      </c>
      <c r="V7102" s="2" t="inlineStr"/>
    </row>
    <row r="7103" ht="15" customHeight="1">
      <c r="A7103" t="inlineStr">
        <is>
          <t>A 8073-2026</t>
        </is>
      </c>
      <c r="B7103" t="inlineStr">
        <is>
          <t>avverkningsanmälan</t>
        </is>
      </c>
      <c r="C7103" t="inlineStr">
        <is>
          <t>Föryngringsavverkning</t>
        </is>
      </c>
      <c r="D7103" s="1" t="n">
        <v>46063</v>
      </c>
      <c r="E7103" s="1" t="n">
        <v>46319</v>
      </c>
      <c r="F7103" t="inlineStr">
        <is>
          <t>DALARNAS LÄN</t>
        </is>
      </c>
      <c r="G7103" t="inlineStr">
        <is>
          <t>RÄTTVIK</t>
        </is>
      </c>
      <c r="I7103" t="n">
        <v>2.1</v>
      </c>
      <c r="J7103" t="n">
        <v>0</v>
      </c>
      <c r="K7103" t="n">
        <v>0</v>
      </c>
      <c r="L7103" t="n">
        <v>0</v>
      </c>
      <c r="M7103" t="n">
        <v>0</v>
      </c>
      <c r="N7103" t="n">
        <v>0</v>
      </c>
      <c r="O7103" t="n">
        <v>0</v>
      </c>
      <c r="P7103" t="n">
        <v>0</v>
      </c>
      <c r="Q7103" t="n">
        <v>0</v>
      </c>
      <c r="R7103" t="n">
        <v>0</v>
      </c>
      <c r="S7103" t="n">
        <v>0</v>
      </c>
      <c r="T7103" t="n">
        <v>0</v>
      </c>
      <c r="U7103" t="n">
        <v>0</v>
      </c>
      <c r="V7103" s="2" t="inlineStr"/>
    </row>
    <row r="7104" ht="15" customHeight="1">
      <c r="A7104" t="inlineStr">
        <is>
          <t>A 27000-2025</t>
        </is>
      </c>
      <c r="B7104" t="inlineStr">
        <is>
          <t>avverkningsanmälan</t>
        </is>
      </c>
      <c r="C7104" t="inlineStr">
        <is>
          <t>Föryngringsavverkning</t>
        </is>
      </c>
      <c r="D7104" s="1" t="n">
        <v>45811</v>
      </c>
      <c r="E7104" s="1" t="n">
        <v>46319</v>
      </c>
      <c r="F7104" t="inlineStr">
        <is>
          <t>DALARNAS LÄN</t>
        </is>
      </c>
      <c r="G7104" t="inlineStr">
        <is>
          <t>VANSBRO</t>
        </is>
      </c>
      <c r="I7104" t="n">
        <v>0.9</v>
      </c>
      <c r="J7104" t="n">
        <v>0</v>
      </c>
      <c r="K7104" t="n">
        <v>0</v>
      </c>
      <c r="L7104" t="n">
        <v>0</v>
      </c>
      <c r="M7104" t="n">
        <v>0</v>
      </c>
      <c r="N7104" t="n">
        <v>0</v>
      </c>
      <c r="O7104" t="n">
        <v>0</v>
      </c>
      <c r="P7104" t="n">
        <v>0</v>
      </c>
      <c r="Q7104" t="n">
        <v>0</v>
      </c>
      <c r="R7104" t="n">
        <v>0</v>
      </c>
      <c r="S7104" t="n">
        <v>0</v>
      </c>
      <c r="T7104" t="n">
        <v>0</v>
      </c>
      <c r="U7104" t="n">
        <v>0</v>
      </c>
      <c r="V7104" s="2" t="inlineStr"/>
    </row>
    <row r="7105" ht="15" customHeight="1">
      <c r="A7105" t="inlineStr">
        <is>
          <t>A 11541-2026</t>
        </is>
      </c>
      <c r="B7105" t="inlineStr">
        <is>
          <t>avverkningsanmälan</t>
        </is>
      </c>
      <c r="C7105" t="inlineStr">
        <is>
          <t>Föryngringsavverkning</t>
        </is>
      </c>
      <c r="D7105" s="1" t="n">
        <v>46083</v>
      </c>
      <c r="E7105" s="1" t="n">
        <v>46319</v>
      </c>
      <c r="F7105" t="inlineStr">
        <is>
          <t>DALARNAS LÄN</t>
        </is>
      </c>
      <c r="G7105" t="inlineStr">
        <is>
          <t>HEDEMORA</t>
        </is>
      </c>
      <c r="I7105" t="n">
        <v>1.4</v>
      </c>
      <c r="J7105" t="n">
        <v>0</v>
      </c>
      <c r="K7105" t="n">
        <v>0</v>
      </c>
      <c r="L7105" t="n">
        <v>0</v>
      </c>
      <c r="M7105" t="n">
        <v>0</v>
      </c>
      <c r="N7105" t="n">
        <v>0</v>
      </c>
      <c r="O7105" t="n">
        <v>0</v>
      </c>
      <c r="P7105" t="n">
        <v>0</v>
      </c>
      <c r="Q7105" t="n">
        <v>0</v>
      </c>
      <c r="R7105" t="n">
        <v>0</v>
      </c>
      <c r="S7105" t="n">
        <v>0</v>
      </c>
      <c r="T7105" t="n">
        <v>0</v>
      </c>
      <c r="U7105" t="n">
        <v>0</v>
      </c>
      <c r="V7105" s="2" t="inlineStr"/>
    </row>
    <row r="7106" ht="15" customHeight="1">
      <c r="A7106" t="inlineStr">
        <is>
          <t>A 43300-2025</t>
        </is>
      </c>
      <c r="B7106" t="inlineStr">
        <is>
          <t>avverkningsanmälan</t>
        </is>
      </c>
      <c r="C7106" t="inlineStr">
        <is>
          <t>Föryngringsavverkning</t>
        </is>
      </c>
      <c r="D7106" s="1" t="n">
        <v>45910</v>
      </c>
      <c r="E7106" s="1" t="n">
        <v>46319</v>
      </c>
      <c r="F7106" t="inlineStr">
        <is>
          <t>DALARNAS LÄN</t>
        </is>
      </c>
      <c r="G7106" t="inlineStr">
        <is>
          <t>FALUN</t>
        </is>
      </c>
      <c r="I7106" t="n">
        <v>1</v>
      </c>
      <c r="J7106" t="n">
        <v>0</v>
      </c>
      <c r="K7106" t="n">
        <v>0</v>
      </c>
      <c r="L7106" t="n">
        <v>0</v>
      </c>
      <c r="M7106" t="n">
        <v>0</v>
      </c>
      <c r="N7106" t="n">
        <v>0</v>
      </c>
      <c r="O7106" t="n">
        <v>0</v>
      </c>
      <c r="P7106" t="n">
        <v>0</v>
      </c>
      <c r="Q7106" t="n">
        <v>0</v>
      </c>
      <c r="R7106" t="n">
        <v>0</v>
      </c>
      <c r="S7106" t="n">
        <v>0</v>
      </c>
      <c r="T7106" t="n">
        <v>0</v>
      </c>
      <c r="U7106" t="n">
        <v>0</v>
      </c>
      <c r="V7106" s="2" t="inlineStr"/>
    </row>
    <row r="7107" ht="15" customHeight="1">
      <c r="A7107" t="inlineStr">
        <is>
          <t>A 28938-2024</t>
        </is>
      </c>
      <c r="B7107" t="inlineStr">
        <is>
          <t>avverkningsanmälan</t>
        </is>
      </c>
      <c r="C7107" t="inlineStr">
        <is>
          <t>Föryngringsavverkning</t>
        </is>
      </c>
      <c r="D7107" s="1" t="n">
        <v>45481</v>
      </c>
      <c r="E7107" s="1" t="n">
        <v>46319</v>
      </c>
      <c r="F7107" t="inlineStr">
        <is>
          <t>DALARNAS LÄN</t>
        </is>
      </c>
      <c r="G7107" t="inlineStr">
        <is>
          <t>RÄTTVIK</t>
        </is>
      </c>
      <c r="I7107" t="n">
        <v>2.3</v>
      </c>
      <c r="J7107" t="n">
        <v>0</v>
      </c>
      <c r="K7107" t="n">
        <v>0</v>
      </c>
      <c r="L7107" t="n">
        <v>0</v>
      </c>
      <c r="M7107" t="n">
        <v>0</v>
      </c>
      <c r="N7107" t="n">
        <v>0</v>
      </c>
      <c r="O7107" t="n">
        <v>0</v>
      </c>
      <c r="P7107" t="n">
        <v>0</v>
      </c>
      <c r="Q7107" t="n">
        <v>0</v>
      </c>
      <c r="R7107" t="n">
        <v>0</v>
      </c>
      <c r="S7107" t="n">
        <v>0</v>
      </c>
      <c r="T7107" t="n">
        <v>0</v>
      </c>
      <c r="U7107" t="n">
        <v>0</v>
      </c>
      <c r="V7107" s="2" t="inlineStr"/>
    </row>
    <row r="7108" ht="15" customHeight="1">
      <c r="A7108" t="inlineStr">
        <is>
          <t>A 36364-2026</t>
        </is>
      </c>
      <c r="B7108" t="inlineStr">
        <is>
          <t>avverkningsanmälan</t>
        </is>
      </c>
      <c r="C7108" t="inlineStr">
        <is>
          <t>Föryngringsavverkning</t>
        </is>
      </c>
      <c r="D7108" s="1" t="n">
        <v>46268</v>
      </c>
      <c r="E7108" s="1" t="n">
        <v>46319</v>
      </c>
      <c r="F7108" t="inlineStr">
        <is>
          <t>DALARNAS LÄN</t>
        </is>
      </c>
      <c r="G7108" t="inlineStr">
        <is>
          <t>LEKSAND</t>
        </is>
      </c>
      <c r="I7108" t="n">
        <v>3.9</v>
      </c>
      <c r="J7108" t="n">
        <v>0</v>
      </c>
      <c r="K7108" t="n">
        <v>0</v>
      </c>
      <c r="L7108" t="n">
        <v>0</v>
      </c>
      <c r="M7108" t="n">
        <v>0</v>
      </c>
      <c r="N7108" t="n">
        <v>0</v>
      </c>
      <c r="O7108" t="n">
        <v>0</v>
      </c>
      <c r="P7108" t="n">
        <v>0</v>
      </c>
      <c r="Q7108" t="n">
        <v>0</v>
      </c>
      <c r="R7108" t="n">
        <v>0</v>
      </c>
      <c r="S7108" t="n">
        <v>0</v>
      </c>
      <c r="T7108" t="n">
        <v>0</v>
      </c>
      <c r="U7108" t="n">
        <v>0</v>
      </c>
      <c r="V7108" s="2" t="inlineStr"/>
    </row>
    <row r="7109" ht="15" customHeight="1">
      <c r="A7109" t="inlineStr">
        <is>
          <t>A 58411-2024</t>
        </is>
      </c>
      <c r="B7109" t="inlineStr">
        <is>
          <t>avverkningsanmälan</t>
        </is>
      </c>
      <c r="C7109" t="inlineStr">
        <is>
          <t>Föryngringsavverkning</t>
        </is>
      </c>
      <c r="D7109" s="1" t="n">
        <v>45634</v>
      </c>
      <c r="E7109" s="1" t="n">
        <v>46319</v>
      </c>
      <c r="F7109" t="inlineStr">
        <is>
          <t>DALARNAS LÄN</t>
        </is>
      </c>
      <c r="G7109" t="inlineStr">
        <is>
          <t>FALUN</t>
        </is>
      </c>
      <c r="I7109" t="n">
        <v>4.1</v>
      </c>
      <c r="J7109" t="n">
        <v>0</v>
      </c>
      <c r="K7109" t="n">
        <v>0</v>
      </c>
      <c r="L7109" t="n">
        <v>0</v>
      </c>
      <c r="M7109" t="n">
        <v>0</v>
      </c>
      <c r="N7109" t="n">
        <v>0</v>
      </c>
      <c r="O7109" t="n">
        <v>0</v>
      </c>
      <c r="P7109" t="n">
        <v>0</v>
      </c>
      <c r="Q7109" t="n">
        <v>0</v>
      </c>
      <c r="R7109" t="n">
        <v>0</v>
      </c>
      <c r="S7109" t="n">
        <v>0</v>
      </c>
      <c r="T7109" t="n">
        <v>0</v>
      </c>
      <c r="U7109" t="n">
        <v>0</v>
      </c>
      <c r="V7109" s="2" t="inlineStr"/>
    </row>
    <row r="7110" ht="15" customHeight="1">
      <c r="A7110" t="inlineStr">
        <is>
          <t>A 10101-2026</t>
        </is>
      </c>
      <c r="B7110" t="inlineStr">
        <is>
          <t>avverkningsanmälan</t>
        </is>
      </c>
      <c r="C7110" t="inlineStr">
        <is>
          <t>Föryngringsavverkning</t>
        </is>
      </c>
      <c r="D7110" s="1" t="n">
        <v>46073</v>
      </c>
      <c r="E7110" s="1" t="n">
        <v>46319</v>
      </c>
      <c r="F7110" t="inlineStr">
        <is>
          <t>DALARNAS LÄN</t>
        </is>
      </c>
      <c r="G7110" t="inlineStr">
        <is>
          <t>SÄTER</t>
        </is>
      </c>
      <c r="I7110" t="n">
        <v>1.5</v>
      </c>
      <c r="J7110" t="n">
        <v>0</v>
      </c>
      <c r="K7110" t="n">
        <v>0</v>
      </c>
      <c r="L7110" t="n">
        <v>0</v>
      </c>
      <c r="M7110" t="n">
        <v>0</v>
      </c>
      <c r="N7110" t="n">
        <v>0</v>
      </c>
      <c r="O7110" t="n">
        <v>0</v>
      </c>
      <c r="P7110" t="n">
        <v>0</v>
      </c>
      <c r="Q7110" t="n">
        <v>0</v>
      </c>
      <c r="R7110" t="n">
        <v>0</v>
      </c>
      <c r="S7110" t="n">
        <v>0</v>
      </c>
      <c r="T7110" t="n">
        <v>0</v>
      </c>
      <c r="U7110" t="n">
        <v>0</v>
      </c>
      <c r="V7110" s="2" t="inlineStr"/>
    </row>
    <row r="7111" ht="15" customHeight="1">
      <c r="A7111" t="inlineStr">
        <is>
          <t>A 3261-2025</t>
        </is>
      </c>
      <c r="B7111" t="inlineStr">
        <is>
          <t>avverkningsanmälan</t>
        </is>
      </c>
      <c r="C7111" t="inlineStr">
        <is>
          <t>Föryngringsavverkning</t>
        </is>
      </c>
      <c r="D7111" s="1" t="n">
        <v>45679</v>
      </c>
      <c r="E7111" s="1" t="n">
        <v>46319</v>
      </c>
      <c r="F7111" t="inlineStr">
        <is>
          <t>DALARNAS LÄN</t>
        </is>
      </c>
      <c r="G7111" t="inlineStr">
        <is>
          <t>RÄTTVIK</t>
        </is>
      </c>
      <c r="I7111" t="n">
        <v>4.3</v>
      </c>
      <c r="J7111" t="n">
        <v>0</v>
      </c>
      <c r="K7111" t="n">
        <v>0</v>
      </c>
      <c r="L7111" t="n">
        <v>0</v>
      </c>
      <c r="M7111" t="n">
        <v>0</v>
      </c>
      <c r="N7111" t="n">
        <v>0</v>
      </c>
      <c r="O7111" t="n">
        <v>0</v>
      </c>
      <c r="P7111" t="n">
        <v>0</v>
      </c>
      <c r="Q7111" t="n">
        <v>0</v>
      </c>
      <c r="R7111" t="n">
        <v>0</v>
      </c>
      <c r="S7111" t="n">
        <v>0</v>
      </c>
      <c r="T7111" t="n">
        <v>0</v>
      </c>
      <c r="U7111" t="n">
        <v>0</v>
      </c>
      <c r="V7111" s="2" t="inlineStr"/>
    </row>
    <row r="7112" ht="15" customHeight="1">
      <c r="A7112" t="inlineStr">
        <is>
          <t>A 43069-2026</t>
        </is>
      </c>
      <c r="B7112" t="inlineStr">
        <is>
          <t>avverkningsanmälan</t>
        </is>
      </c>
      <c r="C7112" t="inlineStr">
        <is>
          <t>Föryngringsavverkning</t>
        </is>
      </c>
      <c r="D7112" s="1" t="n">
        <v>46311</v>
      </c>
      <c r="E7112" s="1" t="n">
        <v>46319</v>
      </c>
      <c r="F7112" t="inlineStr">
        <is>
          <t>DALARNAS LÄN</t>
        </is>
      </c>
      <c r="G7112" t="inlineStr">
        <is>
          <t>AVESTA</t>
        </is>
      </c>
      <c r="H7112" t="inlineStr">
        <is>
          <t>Kommuner</t>
        </is>
      </c>
      <c r="I7112" t="n">
        <v>5.1</v>
      </c>
      <c r="J7112" t="n">
        <v>0</v>
      </c>
      <c r="K7112" t="n">
        <v>0</v>
      </c>
      <c r="L7112" t="n">
        <v>0</v>
      </c>
      <c r="M7112" t="n">
        <v>0</v>
      </c>
      <c r="N7112" t="n">
        <v>0</v>
      </c>
      <c r="O7112" t="n">
        <v>0</v>
      </c>
      <c r="P7112" t="n">
        <v>0</v>
      </c>
      <c r="Q7112" t="n">
        <v>0</v>
      </c>
      <c r="R7112" t="n">
        <v>0</v>
      </c>
      <c r="S7112" t="n">
        <v>0</v>
      </c>
      <c r="T7112" t="n">
        <v>0</v>
      </c>
      <c r="U7112" t="n">
        <v>0</v>
      </c>
      <c r="V7112" s="2" t="inlineStr"/>
    </row>
    <row r="7113" ht="15" customHeight="1">
      <c r="A7113" t="inlineStr">
        <is>
          <t>A 45462-2022</t>
        </is>
      </c>
      <c r="B7113" t="inlineStr">
        <is>
          <t>avverkningsanmälan</t>
        </is>
      </c>
      <c r="C7113" t="inlineStr">
        <is>
          <t>Föryngringsavverkning</t>
        </is>
      </c>
      <c r="D7113" s="1" t="n">
        <v>44845</v>
      </c>
      <c r="E7113" s="1" t="n">
        <v>46319</v>
      </c>
      <c r="F7113" t="inlineStr">
        <is>
          <t>DALARNAS LÄN</t>
        </is>
      </c>
      <c r="G7113" t="inlineStr">
        <is>
          <t>MORA</t>
        </is>
      </c>
      <c r="I7113" t="n">
        <v>6.9</v>
      </c>
      <c r="J7113" t="n">
        <v>0</v>
      </c>
      <c r="K7113" t="n">
        <v>0</v>
      </c>
      <c r="L7113" t="n">
        <v>0</v>
      </c>
      <c r="M7113" t="n">
        <v>0</v>
      </c>
      <c r="N7113" t="n">
        <v>0</v>
      </c>
      <c r="O7113" t="n">
        <v>0</v>
      </c>
      <c r="P7113" t="n">
        <v>0</v>
      </c>
      <c r="Q7113" t="n">
        <v>0</v>
      </c>
      <c r="R7113" t="n">
        <v>0</v>
      </c>
      <c r="S7113" t="n">
        <v>0</v>
      </c>
      <c r="T7113" t="n">
        <v>0</v>
      </c>
      <c r="U7113" t="n">
        <v>0</v>
      </c>
      <c r="V7113" s="2" t="inlineStr"/>
    </row>
    <row r="7114" ht="15" customHeight="1">
      <c r="A7114" t="inlineStr">
        <is>
          <t>A 59319-2024</t>
        </is>
      </c>
      <c r="B7114" t="inlineStr">
        <is>
          <t>avverkningsanmälan</t>
        </is>
      </c>
      <c r="C7114" t="inlineStr">
        <is>
          <t>Föryngringsavverkning</t>
        </is>
      </c>
      <c r="D7114" s="1" t="n">
        <v>45637</v>
      </c>
      <c r="E7114" s="1" t="n">
        <v>46319</v>
      </c>
      <c r="F7114" t="inlineStr">
        <is>
          <t>DALARNAS LÄN</t>
        </is>
      </c>
      <c r="G7114" t="inlineStr">
        <is>
          <t>FALUN</t>
        </is>
      </c>
      <c r="I7114" t="n">
        <v>5.2</v>
      </c>
      <c r="J7114" t="n">
        <v>0</v>
      </c>
      <c r="K7114" t="n">
        <v>0</v>
      </c>
      <c r="L7114" t="n">
        <v>0</v>
      </c>
      <c r="M7114" t="n">
        <v>0</v>
      </c>
      <c r="N7114" t="n">
        <v>0</v>
      </c>
      <c r="O7114" t="n">
        <v>0</v>
      </c>
      <c r="P7114" t="n">
        <v>0</v>
      </c>
      <c r="Q7114" t="n">
        <v>0</v>
      </c>
      <c r="R7114" t="n">
        <v>0</v>
      </c>
      <c r="S7114" t="n">
        <v>0</v>
      </c>
      <c r="T7114" t="n">
        <v>0</v>
      </c>
      <c r="U7114" t="n">
        <v>0</v>
      </c>
      <c r="V7114" s="2" t="inlineStr"/>
    </row>
    <row r="7115" ht="15" customHeight="1">
      <c r="A7115" t="inlineStr">
        <is>
          <t>A 20165-2026</t>
        </is>
      </c>
      <c r="B7115" t="inlineStr">
        <is>
          <t>avverkningsanmälan</t>
        </is>
      </c>
      <c r="C7115" t="inlineStr">
        <is>
          <t>Föryngringsavverkning</t>
        </is>
      </c>
      <c r="D7115" s="1" t="n">
        <v>46139</v>
      </c>
      <c r="E7115" s="1" t="n">
        <v>46319</v>
      </c>
      <c r="F7115" t="inlineStr">
        <is>
          <t>DALARNAS LÄN</t>
        </is>
      </c>
      <c r="G7115" t="inlineStr">
        <is>
          <t>ORSA</t>
        </is>
      </c>
      <c r="H7115" t="inlineStr">
        <is>
          <t>Bergvik skog öst AB</t>
        </is>
      </c>
      <c r="I7115" t="n">
        <v>10.3</v>
      </c>
      <c r="J7115" t="n">
        <v>0</v>
      </c>
      <c r="K7115" t="n">
        <v>0</v>
      </c>
      <c r="L7115" t="n">
        <v>0</v>
      </c>
      <c r="M7115" t="n">
        <v>0</v>
      </c>
      <c r="N7115" t="n">
        <v>0</v>
      </c>
      <c r="O7115" t="n">
        <v>0</v>
      </c>
      <c r="P7115" t="n">
        <v>0</v>
      </c>
      <c r="Q7115" t="n">
        <v>0</v>
      </c>
      <c r="R7115" t="n">
        <v>0</v>
      </c>
      <c r="S7115" t="n">
        <v>0</v>
      </c>
      <c r="T7115" t="n">
        <v>0</v>
      </c>
      <c r="U7115" t="n">
        <v>0</v>
      </c>
      <c r="V7115" s="2" t="inlineStr"/>
    </row>
    <row r="7116" ht="15" customHeight="1">
      <c r="A7116" t="inlineStr">
        <is>
          <t>A 58731-2025</t>
        </is>
      </c>
      <c r="B7116" t="inlineStr">
        <is>
          <t>avverkningsanmälan</t>
        </is>
      </c>
      <c r="C7116" t="inlineStr">
        <is>
          <t>Föryngringsavverkning</t>
        </is>
      </c>
      <c r="D7116" s="1" t="n">
        <v>45986</v>
      </c>
      <c r="E7116" s="1" t="n">
        <v>46319</v>
      </c>
      <c r="F7116" t="inlineStr">
        <is>
          <t>DALARNAS LÄN</t>
        </is>
      </c>
      <c r="G7116" t="inlineStr">
        <is>
          <t>SMEDJEBACKEN</t>
        </is>
      </c>
      <c r="I7116" t="n">
        <v>2.1</v>
      </c>
      <c r="J7116" t="n">
        <v>0</v>
      </c>
      <c r="K7116" t="n">
        <v>0</v>
      </c>
      <c r="L7116" t="n">
        <v>0</v>
      </c>
      <c r="M7116" t="n">
        <v>0</v>
      </c>
      <c r="N7116" t="n">
        <v>0</v>
      </c>
      <c r="O7116" t="n">
        <v>0</v>
      </c>
      <c r="P7116" t="n">
        <v>0</v>
      </c>
      <c r="Q7116" t="n">
        <v>0</v>
      </c>
      <c r="R7116" t="n">
        <v>0</v>
      </c>
      <c r="S7116" t="n">
        <v>0</v>
      </c>
      <c r="T7116" t="n">
        <v>0</v>
      </c>
      <c r="U7116" t="n">
        <v>0</v>
      </c>
      <c r="V7116" s="2" t="inlineStr"/>
    </row>
    <row r="7117" ht="15" customHeight="1">
      <c r="A7117" t="inlineStr">
        <is>
          <t>A 2830-2023</t>
        </is>
      </c>
      <c r="B7117" t="inlineStr">
        <is>
          <t>avverkningsanmälan</t>
        </is>
      </c>
      <c r="C7117" t="inlineStr">
        <is>
          <t>Föryngringsavverkning</t>
        </is>
      </c>
      <c r="D7117" s="1" t="n">
        <v>44945</v>
      </c>
      <c r="E7117" s="1" t="n">
        <v>46319</v>
      </c>
      <c r="F7117" t="inlineStr">
        <is>
          <t>DALARNAS LÄN</t>
        </is>
      </c>
      <c r="G7117" t="inlineStr">
        <is>
          <t>MORA</t>
        </is>
      </c>
      <c r="I7117" t="n">
        <v>0.5</v>
      </c>
      <c r="J7117" t="n">
        <v>0</v>
      </c>
      <c r="K7117" t="n">
        <v>0</v>
      </c>
      <c r="L7117" t="n">
        <v>0</v>
      </c>
      <c r="M7117" t="n">
        <v>0</v>
      </c>
      <c r="N7117" t="n">
        <v>0</v>
      </c>
      <c r="O7117" t="n">
        <v>0</v>
      </c>
      <c r="P7117" t="n">
        <v>0</v>
      </c>
      <c r="Q7117" t="n">
        <v>0</v>
      </c>
      <c r="R7117" t="n">
        <v>0</v>
      </c>
      <c r="S7117" t="n">
        <v>0</v>
      </c>
      <c r="T7117" t="n">
        <v>0</v>
      </c>
      <c r="U7117" t="n">
        <v>0</v>
      </c>
      <c r="V7117" s="2" t="inlineStr"/>
    </row>
    <row r="7118" ht="15" customHeight="1">
      <c r="A7118" t="inlineStr">
        <is>
          <t>A 52469-2022</t>
        </is>
      </c>
      <c r="B7118" t="inlineStr">
        <is>
          <t>avverkningsanmälan</t>
        </is>
      </c>
      <c r="C7118" t="inlineStr">
        <is>
          <t>Föryngringsavverkning</t>
        </is>
      </c>
      <c r="D7118" s="1" t="n">
        <v>44874</v>
      </c>
      <c r="E7118" s="1" t="n">
        <v>46319</v>
      </c>
      <c r="F7118" t="inlineStr">
        <is>
          <t>DALARNAS LÄN</t>
        </is>
      </c>
      <c r="G7118" t="inlineStr">
        <is>
          <t>ÄLVDALEN</t>
        </is>
      </c>
      <c r="I7118" t="n">
        <v>1.7</v>
      </c>
      <c r="J7118" t="n">
        <v>0</v>
      </c>
      <c r="K7118" t="n">
        <v>0</v>
      </c>
      <c r="L7118" t="n">
        <v>0</v>
      </c>
      <c r="M7118" t="n">
        <v>0</v>
      </c>
      <c r="N7118" t="n">
        <v>0</v>
      </c>
      <c r="O7118" t="n">
        <v>0</v>
      </c>
      <c r="P7118" t="n">
        <v>0</v>
      </c>
      <c r="Q7118" t="n">
        <v>0</v>
      </c>
      <c r="R7118" t="n">
        <v>0</v>
      </c>
      <c r="S7118" t="n">
        <v>0</v>
      </c>
      <c r="T7118" t="n">
        <v>0</v>
      </c>
      <c r="U7118" t="n">
        <v>0</v>
      </c>
      <c r="V7118" s="2" t="inlineStr"/>
    </row>
    <row r="7119" ht="15" customHeight="1">
      <c r="A7119" t="inlineStr">
        <is>
          <t>A 6880-2026</t>
        </is>
      </c>
      <c r="B7119" t="inlineStr">
        <is>
          <t>avverkningsanmälan</t>
        </is>
      </c>
      <c r="C7119" t="inlineStr">
        <is>
          <t>Föryngringsavverkning</t>
        </is>
      </c>
      <c r="D7119" s="1" t="n">
        <v>46057</v>
      </c>
      <c r="E7119" s="1" t="n">
        <v>46319</v>
      </c>
      <c r="F7119" t="inlineStr">
        <is>
          <t>DALARNAS LÄN</t>
        </is>
      </c>
      <c r="G7119" t="inlineStr">
        <is>
          <t>RÄTTVIK</t>
        </is>
      </c>
      <c r="I7119" t="n">
        <v>1.2</v>
      </c>
      <c r="J7119" t="n">
        <v>0</v>
      </c>
      <c r="K7119" t="n">
        <v>0</v>
      </c>
      <c r="L7119" t="n">
        <v>0</v>
      </c>
      <c r="M7119" t="n">
        <v>0</v>
      </c>
      <c r="N7119" t="n">
        <v>0</v>
      </c>
      <c r="O7119" t="n">
        <v>0</v>
      </c>
      <c r="P7119" t="n">
        <v>0</v>
      </c>
      <c r="Q7119" t="n">
        <v>0</v>
      </c>
      <c r="R7119" t="n">
        <v>0</v>
      </c>
      <c r="S7119" t="n">
        <v>0</v>
      </c>
      <c r="T7119" t="n">
        <v>0</v>
      </c>
      <c r="U7119" t="n">
        <v>0</v>
      </c>
      <c r="V7119" s="2" t="inlineStr"/>
    </row>
    <row r="7120" ht="15" customHeight="1">
      <c r="A7120" t="inlineStr">
        <is>
          <t>A 32072-2024</t>
        </is>
      </c>
      <c r="B7120" t="inlineStr">
        <is>
          <t>avverkningsanmälan</t>
        </is>
      </c>
      <c r="C7120" t="inlineStr">
        <is>
          <t>Föryngringsavverkning</t>
        </is>
      </c>
      <c r="D7120" s="1" t="n">
        <v>45510</v>
      </c>
      <c r="E7120" s="1" t="n">
        <v>46319</v>
      </c>
      <c r="F7120" t="inlineStr">
        <is>
          <t>DALARNAS LÄN</t>
        </is>
      </c>
      <c r="G7120" t="inlineStr">
        <is>
          <t>LEKSAND</t>
        </is>
      </c>
      <c r="I7120" t="n">
        <v>1.4</v>
      </c>
      <c r="J7120" t="n">
        <v>0</v>
      </c>
      <c r="K7120" t="n">
        <v>0</v>
      </c>
      <c r="L7120" t="n">
        <v>0</v>
      </c>
      <c r="M7120" t="n">
        <v>0</v>
      </c>
      <c r="N7120" t="n">
        <v>0</v>
      </c>
      <c r="O7120" t="n">
        <v>0</v>
      </c>
      <c r="P7120" t="n">
        <v>0</v>
      </c>
      <c r="Q7120" t="n">
        <v>0</v>
      </c>
      <c r="R7120" t="n">
        <v>0</v>
      </c>
      <c r="S7120" t="n">
        <v>0</v>
      </c>
      <c r="T7120" t="n">
        <v>0</v>
      </c>
      <c r="U7120" t="n">
        <v>0</v>
      </c>
      <c r="V7120" s="2" t="inlineStr"/>
    </row>
    <row r="7121" ht="15" customHeight="1">
      <c r="A7121" t="inlineStr">
        <is>
          <t>A 64521-2023</t>
        </is>
      </c>
      <c r="B7121" t="inlineStr">
        <is>
          <t>avverkningsanmälan</t>
        </is>
      </c>
      <c r="C7121" t="inlineStr">
        <is>
          <t>Föryngringsavverkning</t>
        </is>
      </c>
      <c r="D7121" s="1" t="n">
        <v>45281</v>
      </c>
      <c r="E7121" s="1" t="n">
        <v>46319</v>
      </c>
      <c r="F7121" t="inlineStr">
        <is>
          <t>DALARNAS LÄN</t>
        </is>
      </c>
      <c r="G7121" t="inlineStr">
        <is>
          <t>FALUN</t>
        </is>
      </c>
      <c r="I7121" t="n">
        <v>1.7</v>
      </c>
      <c r="J7121" t="n">
        <v>0</v>
      </c>
      <c r="K7121" t="n">
        <v>0</v>
      </c>
      <c r="L7121" t="n">
        <v>0</v>
      </c>
      <c r="M7121" t="n">
        <v>0</v>
      </c>
      <c r="N7121" t="n">
        <v>0</v>
      </c>
      <c r="O7121" t="n">
        <v>0</v>
      </c>
      <c r="P7121" t="n">
        <v>0</v>
      </c>
      <c r="Q7121" t="n">
        <v>0</v>
      </c>
      <c r="R7121" t="n">
        <v>0</v>
      </c>
      <c r="S7121" t="n">
        <v>0</v>
      </c>
      <c r="T7121" t="n">
        <v>0</v>
      </c>
      <c r="U7121" t="n">
        <v>0</v>
      </c>
      <c r="V7121" s="2" t="inlineStr"/>
    </row>
    <row r="7122" ht="15" customHeight="1">
      <c r="A7122" t="inlineStr">
        <is>
          <t>A 53243-2025</t>
        </is>
      </c>
      <c r="B7122" t="inlineStr">
        <is>
          <t>avverkningsanmälan</t>
        </is>
      </c>
      <c r="C7122" t="inlineStr">
        <is>
          <t>Föryngringsavverkning</t>
        </is>
      </c>
      <c r="D7122" s="1" t="n">
        <v>45958</v>
      </c>
      <c r="E7122" s="1" t="n">
        <v>46319</v>
      </c>
      <c r="F7122" t="inlineStr">
        <is>
          <t>DALARNAS LÄN</t>
        </is>
      </c>
      <c r="G7122" t="inlineStr">
        <is>
          <t>LEKSAND</t>
        </is>
      </c>
      <c r="I7122" t="n">
        <v>1.3</v>
      </c>
      <c r="J7122" t="n">
        <v>0</v>
      </c>
      <c r="K7122" t="n">
        <v>0</v>
      </c>
      <c r="L7122" t="n">
        <v>0</v>
      </c>
      <c r="M7122" t="n">
        <v>0</v>
      </c>
      <c r="N7122" t="n">
        <v>0</v>
      </c>
      <c r="O7122" t="n">
        <v>0</v>
      </c>
      <c r="P7122" t="n">
        <v>0</v>
      </c>
      <c r="Q7122" t="n">
        <v>0</v>
      </c>
      <c r="R7122" t="n">
        <v>0</v>
      </c>
      <c r="S7122" t="n">
        <v>0</v>
      </c>
      <c r="T7122" t="n">
        <v>0</v>
      </c>
      <c r="U7122" t="n">
        <v>0</v>
      </c>
      <c r="V7122" s="2" t="inlineStr"/>
    </row>
    <row r="7123" ht="15" customHeight="1">
      <c r="A7123" t="inlineStr">
        <is>
          <t>A 43102-2026</t>
        </is>
      </c>
      <c r="B7123" t="inlineStr">
        <is>
          <t>avverkningsanmälan</t>
        </is>
      </c>
      <c r="C7123" t="inlineStr">
        <is>
          <t>Föryngringsavverkning</t>
        </is>
      </c>
      <c r="D7123" s="1" t="n">
        <v>46311</v>
      </c>
      <c r="E7123" s="1" t="n">
        <v>46319</v>
      </c>
      <c r="F7123" t="inlineStr">
        <is>
          <t>DALARNAS LÄN</t>
        </is>
      </c>
      <c r="G7123" t="inlineStr">
        <is>
          <t>ORSA</t>
        </is>
      </c>
      <c r="H7123" t="inlineStr">
        <is>
          <t>Allmännings- och besparingsskogar</t>
        </is>
      </c>
      <c r="I7123" t="n">
        <v>1.6</v>
      </c>
      <c r="J7123" t="n">
        <v>0</v>
      </c>
      <c r="K7123" t="n">
        <v>0</v>
      </c>
      <c r="L7123" t="n">
        <v>0</v>
      </c>
      <c r="M7123" t="n">
        <v>0</v>
      </c>
      <c r="N7123" t="n">
        <v>0</v>
      </c>
      <c r="O7123" t="n">
        <v>0</v>
      </c>
      <c r="P7123" t="n">
        <v>0</v>
      </c>
      <c r="Q7123" t="n">
        <v>0</v>
      </c>
      <c r="R7123" t="n">
        <v>0</v>
      </c>
      <c r="S7123" t="n">
        <v>0</v>
      </c>
      <c r="T7123" t="n">
        <v>0</v>
      </c>
      <c r="U7123" t="n">
        <v>0</v>
      </c>
      <c r="V7123" s="2" t="inlineStr"/>
    </row>
    <row r="7124" ht="15" customHeight="1">
      <c r="A7124" t="inlineStr">
        <is>
          <t>A 43103-2026</t>
        </is>
      </c>
      <c r="B7124" t="inlineStr">
        <is>
          <t>avverkningsanmälan</t>
        </is>
      </c>
      <c r="C7124" t="inlineStr">
        <is>
          <t>Föryngringsavverkning</t>
        </is>
      </c>
      <c r="D7124" s="1" t="n">
        <v>46311</v>
      </c>
      <c r="E7124" s="1" t="n">
        <v>46319</v>
      </c>
      <c r="F7124" t="inlineStr">
        <is>
          <t>DALARNAS LÄN</t>
        </is>
      </c>
      <c r="G7124" t="inlineStr">
        <is>
          <t>RÄTTVIK</t>
        </is>
      </c>
      <c r="I7124" t="n">
        <v>2.1</v>
      </c>
      <c r="J7124" t="n">
        <v>0</v>
      </c>
      <c r="K7124" t="n">
        <v>0</v>
      </c>
      <c r="L7124" t="n">
        <v>0</v>
      </c>
      <c r="M7124" t="n">
        <v>0</v>
      </c>
      <c r="N7124" t="n">
        <v>0</v>
      </c>
      <c r="O7124" t="n">
        <v>0</v>
      </c>
      <c r="P7124" t="n">
        <v>0</v>
      </c>
      <c r="Q7124" t="n">
        <v>0</v>
      </c>
      <c r="R7124" t="n">
        <v>0</v>
      </c>
      <c r="S7124" t="n">
        <v>0</v>
      </c>
      <c r="T7124" t="n">
        <v>0</v>
      </c>
      <c r="U7124" t="n">
        <v>0</v>
      </c>
      <c r="V7124" s="2" t="inlineStr"/>
    </row>
    <row r="7125" ht="15" customHeight="1">
      <c r="A7125" t="inlineStr">
        <is>
          <t>A 43143-2026</t>
        </is>
      </c>
      <c r="B7125" t="inlineStr">
        <is>
          <t>avverkningsanmälan</t>
        </is>
      </c>
      <c r="C7125" t="inlineStr">
        <is>
          <t>Föryngringsavverkning</t>
        </is>
      </c>
      <c r="D7125" s="1" t="n">
        <v>46311</v>
      </c>
      <c r="E7125" s="1" t="n">
        <v>46319</v>
      </c>
      <c r="F7125" t="inlineStr">
        <is>
          <t>DALARNAS LÄN</t>
        </is>
      </c>
      <c r="G7125" t="inlineStr">
        <is>
          <t>RÄTTVIK</t>
        </is>
      </c>
      <c r="H7125" t="inlineStr">
        <is>
          <t>Sveaskog</t>
        </is>
      </c>
      <c r="I7125" t="n">
        <v>2.7</v>
      </c>
      <c r="J7125" t="n">
        <v>0</v>
      </c>
      <c r="K7125" t="n">
        <v>0</v>
      </c>
      <c r="L7125" t="n">
        <v>0</v>
      </c>
      <c r="M7125" t="n">
        <v>0</v>
      </c>
      <c r="N7125" t="n">
        <v>0</v>
      </c>
      <c r="O7125" t="n">
        <v>0</v>
      </c>
      <c r="P7125" t="n">
        <v>0</v>
      </c>
      <c r="Q7125" t="n">
        <v>0</v>
      </c>
      <c r="R7125" t="n">
        <v>0</v>
      </c>
      <c r="S7125" t="n">
        <v>0</v>
      </c>
      <c r="T7125" t="n">
        <v>0</v>
      </c>
      <c r="U7125" t="n">
        <v>0</v>
      </c>
      <c r="V7125" s="2" t="inlineStr"/>
    </row>
    <row r="7126" ht="15" customHeight="1">
      <c r="A7126" t="inlineStr">
        <is>
          <t>A 44066-2025</t>
        </is>
      </c>
      <c r="B7126" t="inlineStr">
        <is>
          <t>avverkningsanmälan</t>
        </is>
      </c>
      <c r="C7126" t="inlineStr">
        <is>
          <t>Föryngringsavverkning</t>
        </is>
      </c>
      <c r="D7126" s="1" t="n">
        <v>45915</v>
      </c>
      <c r="E7126" s="1" t="n">
        <v>46319</v>
      </c>
      <c r="F7126" t="inlineStr">
        <is>
          <t>DALARNAS LÄN</t>
        </is>
      </c>
      <c r="G7126" t="inlineStr">
        <is>
          <t>AVESTA</t>
        </is>
      </c>
      <c r="I7126" t="n">
        <v>1.6</v>
      </c>
      <c r="J7126" t="n">
        <v>0</v>
      </c>
      <c r="K7126" t="n">
        <v>0</v>
      </c>
      <c r="L7126" t="n">
        <v>0</v>
      </c>
      <c r="M7126" t="n">
        <v>0</v>
      </c>
      <c r="N7126" t="n">
        <v>0</v>
      </c>
      <c r="O7126" t="n">
        <v>0</v>
      </c>
      <c r="P7126" t="n">
        <v>0</v>
      </c>
      <c r="Q7126" t="n">
        <v>0</v>
      </c>
      <c r="R7126" t="n">
        <v>0</v>
      </c>
      <c r="S7126" t="n">
        <v>0</v>
      </c>
      <c r="T7126" t="n">
        <v>0</v>
      </c>
      <c r="U7126" t="n">
        <v>0</v>
      </c>
      <c r="V7126" s="2" t="inlineStr"/>
    </row>
    <row r="7127" ht="15" customHeight="1">
      <c r="A7127" t="inlineStr">
        <is>
          <t>A 17418-2025</t>
        </is>
      </c>
      <c r="B7127" t="inlineStr">
        <is>
          <t>avverkningsanmälan</t>
        </is>
      </c>
      <c r="C7127" t="inlineStr">
        <is>
          <t>Föryngringsavverkning</t>
        </is>
      </c>
      <c r="D7127" s="1" t="n">
        <v>45757</v>
      </c>
      <c r="E7127" s="1" t="n">
        <v>46319</v>
      </c>
      <c r="F7127" t="inlineStr">
        <is>
          <t>DALARNAS LÄN</t>
        </is>
      </c>
      <c r="G7127" t="inlineStr">
        <is>
          <t>SMEDJEBACKEN</t>
        </is>
      </c>
      <c r="H7127" t="inlineStr">
        <is>
          <t>Sveaskog</t>
        </is>
      </c>
      <c r="I7127" t="n">
        <v>3.4</v>
      </c>
      <c r="J7127" t="n">
        <v>0</v>
      </c>
      <c r="K7127" t="n">
        <v>0</v>
      </c>
      <c r="L7127" t="n">
        <v>0</v>
      </c>
      <c r="M7127" t="n">
        <v>0</v>
      </c>
      <c r="N7127" t="n">
        <v>0</v>
      </c>
      <c r="O7127" t="n">
        <v>0</v>
      </c>
      <c r="P7127" t="n">
        <v>0</v>
      </c>
      <c r="Q7127" t="n">
        <v>0</v>
      </c>
      <c r="R7127" t="n">
        <v>0</v>
      </c>
      <c r="S7127" t="n">
        <v>0</v>
      </c>
      <c r="T7127" t="n">
        <v>0</v>
      </c>
      <c r="U7127" t="n">
        <v>0</v>
      </c>
      <c r="V7127" s="2" t="inlineStr"/>
    </row>
    <row r="7128" ht="15" customHeight="1">
      <c r="A7128" t="inlineStr">
        <is>
          <t>A 36471-2026</t>
        </is>
      </c>
      <c r="B7128" t="inlineStr">
        <is>
          <t>avverkningsanmälan</t>
        </is>
      </c>
      <c r="C7128" t="inlineStr">
        <is>
          <t>Föryngringsavverkning</t>
        </is>
      </c>
      <c r="D7128" s="1" t="n">
        <v>46269</v>
      </c>
      <c r="E7128" s="1" t="n">
        <v>46319</v>
      </c>
      <c r="F7128" t="inlineStr">
        <is>
          <t>DALARNAS LÄN</t>
        </is>
      </c>
      <c r="G7128" t="inlineStr">
        <is>
          <t>ÄLVDALEN</t>
        </is>
      </c>
      <c r="I7128" t="n">
        <v>0.5</v>
      </c>
      <c r="J7128" t="n">
        <v>0</v>
      </c>
      <c r="K7128" t="n">
        <v>0</v>
      </c>
      <c r="L7128" t="n">
        <v>0</v>
      </c>
      <c r="M7128" t="n">
        <v>0</v>
      </c>
      <c r="N7128" t="n">
        <v>0</v>
      </c>
      <c r="O7128" t="n">
        <v>0</v>
      </c>
      <c r="P7128" t="n">
        <v>0</v>
      </c>
      <c r="Q7128" t="n">
        <v>0</v>
      </c>
      <c r="R7128" t="n">
        <v>0</v>
      </c>
      <c r="S7128" t="n">
        <v>0</v>
      </c>
      <c r="T7128" t="n">
        <v>0</v>
      </c>
      <c r="U7128" t="n">
        <v>0</v>
      </c>
      <c r="V7128" s="2" t="inlineStr"/>
    </row>
    <row r="7129" ht="15" customHeight="1">
      <c r="A7129" t="inlineStr">
        <is>
          <t>A 49722-2025</t>
        </is>
      </c>
      <c r="B7129" t="inlineStr">
        <is>
          <t>avverkningsanmälan</t>
        </is>
      </c>
      <c r="C7129" t="inlineStr">
        <is>
          <t>Föryngringsavverkning</t>
        </is>
      </c>
      <c r="D7129" s="1" t="n">
        <v>45939</v>
      </c>
      <c r="E7129" s="1" t="n">
        <v>46319</v>
      </c>
      <c r="F7129" t="inlineStr">
        <is>
          <t>DALARNAS LÄN</t>
        </is>
      </c>
      <c r="G7129" t="inlineStr">
        <is>
          <t>RÄTTVIK</t>
        </is>
      </c>
      <c r="I7129" t="n">
        <v>1.4</v>
      </c>
      <c r="J7129" t="n">
        <v>0</v>
      </c>
      <c r="K7129" t="n">
        <v>0</v>
      </c>
      <c r="L7129" t="n">
        <v>0</v>
      </c>
      <c r="M7129" t="n">
        <v>0</v>
      </c>
      <c r="N7129" t="n">
        <v>0</v>
      </c>
      <c r="O7129" t="n">
        <v>0</v>
      </c>
      <c r="P7129" t="n">
        <v>0</v>
      </c>
      <c r="Q7129" t="n">
        <v>0</v>
      </c>
      <c r="R7129" t="n">
        <v>0</v>
      </c>
      <c r="S7129" t="n">
        <v>0</v>
      </c>
      <c r="T7129" t="n">
        <v>0</v>
      </c>
      <c r="U7129" t="n">
        <v>0</v>
      </c>
      <c r="V7129" s="2" t="inlineStr"/>
    </row>
    <row r="7130" ht="15" customHeight="1">
      <c r="A7130" t="inlineStr">
        <is>
          <t>A 30384-2024</t>
        </is>
      </c>
      <c r="B7130" t="inlineStr">
        <is>
          <t>avverkningsanmälan</t>
        </is>
      </c>
      <c r="C7130" t="inlineStr">
        <is>
          <t>Föryngringsavverkning</t>
        </is>
      </c>
      <c r="D7130" s="1" t="n">
        <v>45490</v>
      </c>
      <c r="E7130" s="1" t="n">
        <v>46319</v>
      </c>
      <c r="F7130" t="inlineStr">
        <is>
          <t>DALARNAS LÄN</t>
        </is>
      </c>
      <c r="G7130" t="inlineStr">
        <is>
          <t>SMEDJEBACKEN</t>
        </is>
      </c>
      <c r="I7130" t="n">
        <v>8.4</v>
      </c>
      <c r="J7130" t="n">
        <v>0</v>
      </c>
      <c r="K7130" t="n">
        <v>0</v>
      </c>
      <c r="L7130" t="n">
        <v>0</v>
      </c>
      <c r="M7130" t="n">
        <v>0</v>
      </c>
      <c r="N7130" t="n">
        <v>0</v>
      </c>
      <c r="O7130" t="n">
        <v>0</v>
      </c>
      <c r="P7130" t="n">
        <v>0</v>
      </c>
      <c r="Q7130" t="n">
        <v>0</v>
      </c>
      <c r="R7130" t="n">
        <v>0</v>
      </c>
      <c r="S7130" t="n">
        <v>0</v>
      </c>
      <c r="T7130" t="n">
        <v>0</v>
      </c>
      <c r="U7130" t="n">
        <v>0</v>
      </c>
      <c r="V7130" s="2" t="inlineStr"/>
    </row>
    <row r="7131" ht="15" customHeight="1">
      <c r="A7131" t="inlineStr">
        <is>
          <t>A 30411-2024</t>
        </is>
      </c>
      <c r="B7131" t="inlineStr">
        <is>
          <t>avverkningsanmälan</t>
        </is>
      </c>
      <c r="C7131" t="inlineStr">
        <is>
          <t>Föryngringsavverkning</t>
        </is>
      </c>
      <c r="D7131" s="1" t="n">
        <v>45491</v>
      </c>
      <c r="E7131" s="1" t="n">
        <v>46319</v>
      </c>
      <c r="F7131" t="inlineStr">
        <is>
          <t>DALARNAS LÄN</t>
        </is>
      </c>
      <c r="G7131" t="inlineStr">
        <is>
          <t>ÄLVDALEN</t>
        </is>
      </c>
      <c r="I7131" t="n">
        <v>1.1</v>
      </c>
      <c r="J7131" t="n">
        <v>0</v>
      </c>
      <c r="K7131" t="n">
        <v>0</v>
      </c>
      <c r="L7131" t="n">
        <v>0</v>
      </c>
      <c r="M7131" t="n">
        <v>0</v>
      </c>
      <c r="N7131" t="n">
        <v>0</v>
      </c>
      <c r="O7131" t="n">
        <v>0</v>
      </c>
      <c r="P7131" t="n">
        <v>0</v>
      </c>
      <c r="Q7131" t="n">
        <v>0</v>
      </c>
      <c r="R7131" t="n">
        <v>0</v>
      </c>
      <c r="S7131" t="n">
        <v>0</v>
      </c>
      <c r="T7131" t="n">
        <v>0</v>
      </c>
      <c r="U7131" t="n">
        <v>0</v>
      </c>
      <c r="V7131" s="2" t="inlineStr"/>
    </row>
    <row r="7132" ht="15" customHeight="1">
      <c r="A7132" t="inlineStr">
        <is>
          <t>A 43072-2026</t>
        </is>
      </c>
      <c r="B7132" t="inlineStr">
        <is>
          <t>avverkningsanmälan</t>
        </is>
      </c>
      <c r="C7132" t="inlineStr">
        <is>
          <t>Föryngringsavverkning</t>
        </is>
      </c>
      <c r="D7132" s="1" t="n">
        <v>46311</v>
      </c>
      <c r="E7132" s="1" t="n">
        <v>46319</v>
      </c>
      <c r="F7132" t="inlineStr">
        <is>
          <t>DALARNAS LÄN</t>
        </is>
      </c>
      <c r="G7132" t="inlineStr">
        <is>
          <t>SMEDJEBACKEN</t>
        </is>
      </c>
      <c r="I7132" t="n">
        <v>3</v>
      </c>
      <c r="J7132" t="n">
        <v>0</v>
      </c>
      <c r="K7132" t="n">
        <v>0</v>
      </c>
      <c r="L7132" t="n">
        <v>0</v>
      </c>
      <c r="M7132" t="n">
        <v>0</v>
      </c>
      <c r="N7132" t="n">
        <v>0</v>
      </c>
      <c r="O7132" t="n">
        <v>0</v>
      </c>
      <c r="P7132" t="n">
        <v>0</v>
      </c>
      <c r="Q7132" t="n">
        <v>0</v>
      </c>
      <c r="R7132" t="n">
        <v>0</v>
      </c>
      <c r="S7132" t="n">
        <v>0</v>
      </c>
      <c r="T7132" t="n">
        <v>0</v>
      </c>
      <c r="U7132" t="n">
        <v>0</v>
      </c>
      <c r="V7132" s="2" t="inlineStr"/>
    </row>
    <row r="7133" ht="15" customHeight="1">
      <c r="A7133" t="inlineStr">
        <is>
          <t>A 15994-2025</t>
        </is>
      </c>
      <c r="B7133" t="inlineStr">
        <is>
          <t>avverkningsanmälan</t>
        </is>
      </c>
      <c r="C7133" t="inlineStr">
        <is>
          <t>Föryngringsavverkning</t>
        </is>
      </c>
      <c r="D7133" s="1" t="n">
        <v>45749</v>
      </c>
      <c r="E7133" s="1" t="n">
        <v>46319</v>
      </c>
      <c r="F7133" t="inlineStr">
        <is>
          <t>DALARNAS LÄN</t>
        </is>
      </c>
      <c r="G7133" t="inlineStr">
        <is>
          <t>MALUNG-SÄLEN</t>
        </is>
      </c>
      <c r="I7133" t="n">
        <v>1.1</v>
      </c>
      <c r="J7133" t="n">
        <v>0</v>
      </c>
      <c r="K7133" t="n">
        <v>0</v>
      </c>
      <c r="L7133" t="n">
        <v>0</v>
      </c>
      <c r="M7133" t="n">
        <v>0</v>
      </c>
      <c r="N7133" t="n">
        <v>0</v>
      </c>
      <c r="O7133" t="n">
        <v>0</v>
      </c>
      <c r="P7133" t="n">
        <v>0</v>
      </c>
      <c r="Q7133" t="n">
        <v>0</v>
      </c>
      <c r="R7133" t="n">
        <v>0</v>
      </c>
      <c r="S7133" t="n">
        <v>0</v>
      </c>
      <c r="T7133" t="n">
        <v>0</v>
      </c>
      <c r="U7133" t="n">
        <v>0</v>
      </c>
      <c r="V7133" s="2" t="inlineStr"/>
    </row>
    <row r="7134" ht="15" customHeight="1">
      <c r="A7134" t="inlineStr">
        <is>
          <t>A 38795-2024</t>
        </is>
      </c>
      <c r="B7134" t="inlineStr">
        <is>
          <t>avverkningsanmälan</t>
        </is>
      </c>
      <c r="C7134" t="inlineStr">
        <is>
          <t>Föryngringsavverkning</t>
        </is>
      </c>
      <c r="D7134" s="1" t="n">
        <v>45547</v>
      </c>
      <c r="E7134" s="1" t="n">
        <v>46319</v>
      </c>
      <c r="F7134" t="inlineStr">
        <is>
          <t>DALARNAS LÄN</t>
        </is>
      </c>
      <c r="G7134" t="inlineStr">
        <is>
          <t>MALUNG-SÄLEN</t>
        </is>
      </c>
      <c r="I7134" t="n">
        <v>5.5</v>
      </c>
      <c r="J7134" t="n">
        <v>0</v>
      </c>
      <c r="K7134" t="n">
        <v>0</v>
      </c>
      <c r="L7134" t="n">
        <v>0</v>
      </c>
      <c r="M7134" t="n">
        <v>0</v>
      </c>
      <c r="N7134" t="n">
        <v>0</v>
      </c>
      <c r="O7134" t="n">
        <v>0</v>
      </c>
      <c r="P7134" t="n">
        <v>0</v>
      </c>
      <c r="Q7134" t="n">
        <v>0</v>
      </c>
      <c r="R7134" t="n">
        <v>0</v>
      </c>
      <c r="S7134" t="n">
        <v>0</v>
      </c>
      <c r="T7134" t="n">
        <v>0</v>
      </c>
      <c r="U7134" t="n">
        <v>0</v>
      </c>
      <c r="V7134" s="2" t="inlineStr"/>
    </row>
    <row r="7135" ht="15" customHeight="1">
      <c r="A7135" t="inlineStr">
        <is>
          <t>A 41045-2026</t>
        </is>
      </c>
      <c r="B7135" t="inlineStr">
        <is>
          <t>avverkningsanmälan</t>
        </is>
      </c>
      <c r="C7135" t="inlineStr">
        <is>
          <t>Föryngringsavverkning</t>
        </is>
      </c>
      <c r="D7135" s="1" t="n">
        <v>46299</v>
      </c>
      <c r="E7135" s="1" t="n">
        <v>46319</v>
      </c>
      <c r="F7135" t="inlineStr">
        <is>
          <t>DALARNAS LÄN</t>
        </is>
      </c>
      <c r="G7135" t="inlineStr">
        <is>
          <t>BORLÄNGE</t>
        </is>
      </c>
      <c r="I7135" t="n">
        <v>1</v>
      </c>
      <c r="J7135" t="n">
        <v>0</v>
      </c>
      <c r="K7135" t="n">
        <v>0</v>
      </c>
      <c r="L7135" t="n">
        <v>0</v>
      </c>
      <c r="M7135" t="n">
        <v>0</v>
      </c>
      <c r="N7135" t="n">
        <v>0</v>
      </c>
      <c r="O7135" t="n">
        <v>0</v>
      </c>
      <c r="P7135" t="n">
        <v>0</v>
      </c>
      <c r="Q7135" t="n">
        <v>0</v>
      </c>
      <c r="R7135" t="n">
        <v>0</v>
      </c>
      <c r="S7135" t="n">
        <v>0</v>
      </c>
      <c r="T7135" t="n">
        <v>0</v>
      </c>
      <c r="U7135" t="n">
        <v>0</v>
      </c>
      <c r="V7135" s="2" t="inlineStr"/>
    </row>
    <row r="7136" ht="15" customHeight="1">
      <c r="A7136" t="inlineStr">
        <is>
          <t>A 206-2023</t>
        </is>
      </c>
      <c r="B7136" t="inlineStr">
        <is>
          <t>avverkningsanmälan</t>
        </is>
      </c>
      <c r="C7136" t="inlineStr">
        <is>
          <t>Föryngringsavverkning</t>
        </is>
      </c>
      <c r="D7136" s="1" t="n">
        <v>44928</v>
      </c>
      <c r="E7136" s="1" t="n">
        <v>46319</v>
      </c>
      <c r="F7136" t="inlineStr">
        <is>
          <t>DALARNAS LÄN</t>
        </is>
      </c>
      <c r="G7136" t="inlineStr">
        <is>
          <t>MALUNG-SÄLEN</t>
        </is>
      </c>
      <c r="I7136" t="n">
        <v>7.6</v>
      </c>
      <c r="J7136" t="n">
        <v>0</v>
      </c>
      <c r="K7136" t="n">
        <v>0</v>
      </c>
      <c r="L7136" t="n">
        <v>0</v>
      </c>
      <c r="M7136" t="n">
        <v>0</v>
      </c>
      <c r="N7136" t="n">
        <v>0</v>
      </c>
      <c r="O7136" t="n">
        <v>0</v>
      </c>
      <c r="P7136" t="n">
        <v>0</v>
      </c>
      <c r="Q7136" t="n">
        <v>0</v>
      </c>
      <c r="R7136" t="n">
        <v>0</v>
      </c>
      <c r="S7136" t="n">
        <v>0</v>
      </c>
      <c r="T7136" t="n">
        <v>0</v>
      </c>
      <c r="U7136" t="n">
        <v>0</v>
      </c>
      <c r="V7136" s="2" t="inlineStr"/>
    </row>
    <row r="7137" ht="15" customHeight="1">
      <c r="A7137" t="inlineStr">
        <is>
          <t>A 19258-2024</t>
        </is>
      </c>
      <c r="B7137" t="inlineStr">
        <is>
          <t>avverkningsanmälan</t>
        </is>
      </c>
      <c r="C7137" t="inlineStr">
        <is>
          <t>Föryngringsavverkning</t>
        </is>
      </c>
      <c r="D7137" s="1" t="n">
        <v>45428</v>
      </c>
      <c r="E7137" s="1" t="n">
        <v>46319</v>
      </c>
      <c r="F7137" t="inlineStr">
        <is>
          <t>DALARNAS LÄN</t>
        </is>
      </c>
      <c r="G7137" t="inlineStr">
        <is>
          <t>SMEDJEBACKEN</t>
        </is>
      </c>
      <c r="I7137" t="n">
        <v>3</v>
      </c>
      <c r="J7137" t="n">
        <v>0</v>
      </c>
      <c r="K7137" t="n">
        <v>0</v>
      </c>
      <c r="L7137" t="n">
        <v>0</v>
      </c>
      <c r="M7137" t="n">
        <v>0</v>
      </c>
      <c r="N7137" t="n">
        <v>0</v>
      </c>
      <c r="O7137" t="n">
        <v>0</v>
      </c>
      <c r="P7137" t="n">
        <v>0</v>
      </c>
      <c r="Q7137" t="n">
        <v>0</v>
      </c>
      <c r="R7137" t="n">
        <v>0</v>
      </c>
      <c r="S7137" t="n">
        <v>0</v>
      </c>
      <c r="T7137" t="n">
        <v>0</v>
      </c>
      <c r="U7137" t="n">
        <v>0</v>
      </c>
      <c r="V7137" s="2" t="inlineStr"/>
    </row>
    <row r="7138" ht="15" customHeight="1">
      <c r="A7138" t="inlineStr">
        <is>
          <t>A 31787-2025</t>
        </is>
      </c>
      <c r="B7138" t="inlineStr">
        <is>
          <t>avverkningsanmälan</t>
        </is>
      </c>
      <c r="C7138" t="inlineStr">
        <is>
          <t>Föryngringsavverkning</t>
        </is>
      </c>
      <c r="D7138" s="1" t="n">
        <v>45834</v>
      </c>
      <c r="E7138" s="1" t="n">
        <v>46319</v>
      </c>
      <c r="F7138" t="inlineStr">
        <is>
          <t>DALARNAS LÄN</t>
        </is>
      </c>
      <c r="G7138" t="inlineStr">
        <is>
          <t>LEKSAND</t>
        </is>
      </c>
      <c r="H7138" t="inlineStr">
        <is>
          <t>Bergvik skog väst AB</t>
        </is>
      </c>
      <c r="I7138" t="n">
        <v>1.3</v>
      </c>
      <c r="J7138" t="n">
        <v>0</v>
      </c>
      <c r="K7138" t="n">
        <v>0</v>
      </c>
      <c r="L7138" t="n">
        <v>0</v>
      </c>
      <c r="M7138" t="n">
        <v>0</v>
      </c>
      <c r="N7138" t="n">
        <v>0</v>
      </c>
      <c r="O7138" t="n">
        <v>0</v>
      </c>
      <c r="P7138" t="n">
        <v>0</v>
      </c>
      <c r="Q7138" t="n">
        <v>0</v>
      </c>
      <c r="R7138" t="n">
        <v>0</v>
      </c>
      <c r="S7138" t="n">
        <v>0</v>
      </c>
      <c r="T7138" t="n">
        <v>0</v>
      </c>
      <c r="U7138" t="n">
        <v>0</v>
      </c>
      <c r="V7138" s="2" t="inlineStr"/>
    </row>
    <row r="7139" ht="15" customHeight="1">
      <c r="A7139" t="inlineStr">
        <is>
          <t>A 39027-2025</t>
        </is>
      </c>
      <c r="B7139" t="inlineStr">
        <is>
          <t>avverkningsanmälan</t>
        </is>
      </c>
      <c r="C7139" t="inlineStr">
        <is>
          <t>Avverkning för annat ändamål</t>
        </is>
      </c>
      <c r="D7139" s="1" t="n">
        <v>45888</v>
      </c>
      <c r="E7139" s="1" t="n">
        <v>46319</v>
      </c>
      <c r="F7139" t="inlineStr">
        <is>
          <t>DALARNAS LÄN</t>
        </is>
      </c>
      <c r="G7139" t="inlineStr">
        <is>
          <t>RÄTTVIK</t>
        </is>
      </c>
      <c r="H7139" t="inlineStr">
        <is>
          <t>Bergvik skog väst AB</t>
        </is>
      </c>
      <c r="I7139" t="n">
        <v>1.1</v>
      </c>
      <c r="J7139" t="n">
        <v>0</v>
      </c>
      <c r="K7139" t="n">
        <v>0</v>
      </c>
      <c r="L7139" t="n">
        <v>0</v>
      </c>
      <c r="M7139" t="n">
        <v>0</v>
      </c>
      <c r="N7139" t="n">
        <v>0</v>
      </c>
      <c r="O7139" t="n">
        <v>0</v>
      </c>
      <c r="P7139" t="n">
        <v>0</v>
      </c>
      <c r="Q7139" t="n">
        <v>0</v>
      </c>
      <c r="R7139" t="n">
        <v>0</v>
      </c>
      <c r="S7139" t="n">
        <v>0</v>
      </c>
      <c r="T7139" t="n">
        <v>0</v>
      </c>
      <c r="U7139" t="n">
        <v>0</v>
      </c>
      <c r="V7139" s="2" t="inlineStr"/>
    </row>
    <row r="7140" ht="15" customHeight="1">
      <c r="A7140" t="inlineStr">
        <is>
          <t>A 20198-2026</t>
        </is>
      </c>
      <c r="B7140" t="inlineStr">
        <is>
          <t>avverkningsanmälan</t>
        </is>
      </c>
      <c r="C7140" t="inlineStr">
        <is>
          <t>Föryngringsavverkning</t>
        </is>
      </c>
      <c r="D7140" s="1" t="n">
        <v>46139</v>
      </c>
      <c r="E7140" s="1" t="n">
        <v>46319</v>
      </c>
      <c r="F7140" t="inlineStr">
        <is>
          <t>DALARNAS LÄN</t>
        </is>
      </c>
      <c r="G7140" t="inlineStr">
        <is>
          <t>FALUN</t>
        </is>
      </c>
      <c r="I7140" t="n">
        <v>3.7</v>
      </c>
      <c r="J7140" t="n">
        <v>0</v>
      </c>
      <c r="K7140" t="n">
        <v>0</v>
      </c>
      <c r="L7140" t="n">
        <v>0</v>
      </c>
      <c r="M7140" t="n">
        <v>0</v>
      </c>
      <c r="N7140" t="n">
        <v>0</v>
      </c>
      <c r="O7140" t="n">
        <v>0</v>
      </c>
      <c r="P7140" t="n">
        <v>0</v>
      </c>
      <c r="Q7140" t="n">
        <v>0</v>
      </c>
      <c r="R7140" t="n">
        <v>0</v>
      </c>
      <c r="S7140" t="n">
        <v>0</v>
      </c>
      <c r="T7140" t="n">
        <v>0</v>
      </c>
      <c r="U7140" t="n">
        <v>0</v>
      </c>
      <c r="V7140" s="2" t="inlineStr"/>
    </row>
    <row r="7141" ht="15" customHeight="1">
      <c r="A7141" t="inlineStr">
        <is>
          <t>A 34070-2025</t>
        </is>
      </c>
      <c r="B7141" t="inlineStr">
        <is>
          <t>avverkningsanmälan</t>
        </is>
      </c>
      <c r="C7141" t="inlineStr">
        <is>
          <t>Föryngringsavverkning</t>
        </is>
      </c>
      <c r="D7141" s="1" t="n">
        <v>45845</v>
      </c>
      <c r="E7141" s="1" t="n">
        <v>46319</v>
      </c>
      <c r="F7141" t="inlineStr">
        <is>
          <t>DALARNAS LÄN</t>
        </is>
      </c>
      <c r="G7141" t="inlineStr">
        <is>
          <t>LUDVIKA</t>
        </is>
      </c>
      <c r="H7141" t="inlineStr">
        <is>
          <t>Bergvik skog väst AB</t>
        </is>
      </c>
      <c r="I7141" t="n">
        <v>0.6</v>
      </c>
      <c r="J7141" t="n">
        <v>0</v>
      </c>
      <c r="K7141" t="n">
        <v>0</v>
      </c>
      <c r="L7141" t="n">
        <v>0</v>
      </c>
      <c r="M7141" t="n">
        <v>0</v>
      </c>
      <c r="N7141" t="n">
        <v>0</v>
      </c>
      <c r="O7141" t="n">
        <v>0</v>
      </c>
      <c r="P7141" t="n">
        <v>0</v>
      </c>
      <c r="Q7141" t="n">
        <v>0</v>
      </c>
      <c r="R7141" t="n">
        <v>0</v>
      </c>
      <c r="S7141" t="n">
        <v>0</v>
      </c>
      <c r="T7141" t="n">
        <v>0</v>
      </c>
      <c r="U7141" t="n">
        <v>0</v>
      </c>
      <c r="V7141" s="2" t="inlineStr"/>
    </row>
    <row r="7142" ht="15" customHeight="1">
      <c r="A7142" t="inlineStr">
        <is>
          <t>A 43136-2026</t>
        </is>
      </c>
      <c r="B7142" t="inlineStr">
        <is>
          <t>avverkningsanmälan</t>
        </is>
      </c>
      <c r="C7142" t="inlineStr">
        <is>
          <t>Föryngringsavverkning</t>
        </is>
      </c>
      <c r="D7142" s="1" t="n">
        <v>46311</v>
      </c>
      <c r="E7142" s="1" t="n">
        <v>46319</v>
      </c>
      <c r="F7142" t="inlineStr">
        <is>
          <t>DALARNAS LÄN</t>
        </is>
      </c>
      <c r="G7142" t="inlineStr">
        <is>
          <t>ORSA</t>
        </is>
      </c>
      <c r="H7142" t="inlineStr">
        <is>
          <t>Bergvik skog öst AB</t>
        </is>
      </c>
      <c r="I7142" t="n">
        <v>1.1</v>
      </c>
      <c r="J7142" t="n">
        <v>0</v>
      </c>
      <c r="K7142" t="n">
        <v>0</v>
      </c>
      <c r="L7142" t="n">
        <v>0</v>
      </c>
      <c r="M7142" t="n">
        <v>0</v>
      </c>
      <c r="N7142" t="n">
        <v>0</v>
      </c>
      <c r="O7142" t="n">
        <v>0</v>
      </c>
      <c r="P7142" t="n">
        <v>0</v>
      </c>
      <c r="Q7142" t="n">
        <v>0</v>
      </c>
      <c r="R7142" t="n">
        <v>0</v>
      </c>
      <c r="S7142" t="n">
        <v>0</v>
      </c>
      <c r="T7142" t="n">
        <v>0</v>
      </c>
      <c r="U7142" t="n">
        <v>0</v>
      </c>
      <c r="V7142" s="2" t="inlineStr"/>
    </row>
    <row r="7143" ht="15" customHeight="1">
      <c r="A7143" t="inlineStr">
        <is>
          <t>A 44458-2025</t>
        </is>
      </c>
      <c r="B7143" t="inlineStr">
        <is>
          <t>avverkningsanmälan</t>
        </is>
      </c>
      <c r="C7143" t="inlineStr">
        <is>
          <t>Föryngringsavverkning</t>
        </is>
      </c>
      <c r="D7143" s="1" t="n">
        <v>45916</v>
      </c>
      <c r="E7143" s="1" t="n">
        <v>46319</v>
      </c>
      <c r="F7143" t="inlineStr">
        <is>
          <t>DALARNAS LÄN</t>
        </is>
      </c>
      <c r="G7143" t="inlineStr">
        <is>
          <t>RÄTTVIK</t>
        </is>
      </c>
      <c r="I7143" t="n">
        <v>2</v>
      </c>
      <c r="J7143" t="n">
        <v>0</v>
      </c>
      <c r="K7143" t="n">
        <v>0</v>
      </c>
      <c r="L7143" t="n">
        <v>0</v>
      </c>
      <c r="M7143" t="n">
        <v>0</v>
      </c>
      <c r="N7143" t="n">
        <v>0</v>
      </c>
      <c r="O7143" t="n">
        <v>0</v>
      </c>
      <c r="P7143" t="n">
        <v>0</v>
      </c>
      <c r="Q7143" t="n">
        <v>0</v>
      </c>
      <c r="R7143" t="n">
        <v>0</v>
      </c>
      <c r="S7143" t="n">
        <v>0</v>
      </c>
      <c r="T7143" t="n">
        <v>0</v>
      </c>
      <c r="U7143" t="n">
        <v>0</v>
      </c>
      <c r="V7143" s="2" t="inlineStr"/>
    </row>
    <row r="7144" ht="15" customHeight="1">
      <c r="A7144" t="inlineStr">
        <is>
          <t>A 13103-2026</t>
        </is>
      </c>
      <c r="B7144" t="inlineStr">
        <is>
          <t>avverkningsanmälan</t>
        </is>
      </c>
      <c r="C7144" t="inlineStr">
        <is>
          <t>Föryngringsavverkning</t>
        </is>
      </c>
      <c r="D7144" s="1" t="n">
        <v>46093</v>
      </c>
      <c r="E7144" s="1" t="n">
        <v>46319</v>
      </c>
      <c r="F7144" t="inlineStr">
        <is>
          <t>DALARNAS LÄN</t>
        </is>
      </c>
      <c r="G7144" t="inlineStr">
        <is>
          <t>FALUN</t>
        </is>
      </c>
      <c r="I7144" t="n">
        <v>1.1</v>
      </c>
      <c r="J7144" t="n">
        <v>0</v>
      </c>
      <c r="K7144" t="n">
        <v>0</v>
      </c>
      <c r="L7144" t="n">
        <v>0</v>
      </c>
      <c r="M7144" t="n">
        <v>0</v>
      </c>
      <c r="N7144" t="n">
        <v>0</v>
      </c>
      <c r="O7144" t="n">
        <v>0</v>
      </c>
      <c r="P7144" t="n">
        <v>0</v>
      </c>
      <c r="Q7144" t="n">
        <v>0</v>
      </c>
      <c r="R7144" t="n">
        <v>0</v>
      </c>
      <c r="S7144" t="n">
        <v>0</v>
      </c>
      <c r="T7144" t="n">
        <v>0</v>
      </c>
      <c r="U7144" t="n">
        <v>0</v>
      </c>
      <c r="V7144" s="2" t="inlineStr"/>
    </row>
    <row r="7145" ht="15" customHeight="1">
      <c r="A7145" t="inlineStr">
        <is>
          <t>A 38426-2024</t>
        </is>
      </c>
      <c r="B7145" t="inlineStr">
        <is>
          <t>avverkningsanmälan</t>
        </is>
      </c>
      <c r="C7145" t="inlineStr">
        <is>
          <t>Föryngringsavverkning</t>
        </is>
      </c>
      <c r="D7145" s="1" t="n">
        <v>45546</v>
      </c>
      <c r="E7145" s="1" t="n">
        <v>46319</v>
      </c>
      <c r="F7145" t="inlineStr">
        <is>
          <t>DALARNAS LÄN</t>
        </is>
      </c>
      <c r="G7145" t="inlineStr">
        <is>
          <t>GAGNEF</t>
        </is>
      </c>
      <c r="H7145" t="inlineStr">
        <is>
          <t>Bergvik skog väst AB</t>
        </is>
      </c>
      <c r="I7145" t="n">
        <v>1.2</v>
      </c>
      <c r="J7145" t="n">
        <v>0</v>
      </c>
      <c r="K7145" t="n">
        <v>0</v>
      </c>
      <c r="L7145" t="n">
        <v>0</v>
      </c>
      <c r="M7145" t="n">
        <v>0</v>
      </c>
      <c r="N7145" t="n">
        <v>0</v>
      </c>
      <c r="O7145" t="n">
        <v>0</v>
      </c>
      <c r="P7145" t="n">
        <v>0</v>
      </c>
      <c r="Q7145" t="n">
        <v>0</v>
      </c>
      <c r="R7145" t="n">
        <v>0</v>
      </c>
      <c r="S7145" t="n">
        <v>0</v>
      </c>
      <c r="T7145" t="n">
        <v>0</v>
      </c>
      <c r="U7145" t="n">
        <v>0</v>
      </c>
      <c r="V7145" s="2" t="inlineStr"/>
    </row>
    <row r="7146" ht="15" customHeight="1">
      <c r="A7146" t="inlineStr">
        <is>
          <t>A 36275-2026</t>
        </is>
      </c>
      <c r="B7146" t="inlineStr">
        <is>
          <t>avverkningsanmälan</t>
        </is>
      </c>
      <c r="C7146" t="inlineStr">
        <is>
          <t>Föryngringsavverkning</t>
        </is>
      </c>
      <c r="D7146" s="1" t="n">
        <v>46268</v>
      </c>
      <c r="E7146" s="1" t="n">
        <v>46319</v>
      </c>
      <c r="F7146" t="inlineStr">
        <is>
          <t>DALARNAS LÄN</t>
        </is>
      </c>
      <c r="G7146" t="inlineStr">
        <is>
          <t>ORSA</t>
        </is>
      </c>
      <c r="I7146" t="n">
        <v>7.3</v>
      </c>
      <c r="J7146" t="n">
        <v>0</v>
      </c>
      <c r="K7146" t="n">
        <v>0</v>
      </c>
      <c r="L7146" t="n">
        <v>0</v>
      </c>
      <c r="M7146" t="n">
        <v>0</v>
      </c>
      <c r="N7146" t="n">
        <v>0</v>
      </c>
      <c r="O7146" t="n">
        <v>0</v>
      </c>
      <c r="P7146" t="n">
        <v>0</v>
      </c>
      <c r="Q7146" t="n">
        <v>0</v>
      </c>
      <c r="R7146" t="n">
        <v>0</v>
      </c>
      <c r="S7146" t="n">
        <v>0</v>
      </c>
      <c r="T7146" t="n">
        <v>0</v>
      </c>
      <c r="U7146" t="n">
        <v>0</v>
      </c>
      <c r="V7146" s="2" t="inlineStr"/>
    </row>
    <row r="7147" ht="15" customHeight="1">
      <c r="A7147" t="inlineStr">
        <is>
          <t>A 4887-2024</t>
        </is>
      </c>
      <c r="B7147" t="inlineStr">
        <is>
          <t>avverkningsanmälan</t>
        </is>
      </c>
      <c r="C7147" t="inlineStr">
        <is>
          <t>Föryngringsavverkning</t>
        </is>
      </c>
      <c r="D7147" s="1" t="n">
        <v>45329</v>
      </c>
      <c r="E7147" s="1" t="n">
        <v>46319</v>
      </c>
      <c r="F7147" t="inlineStr">
        <is>
          <t>DALARNAS LÄN</t>
        </is>
      </c>
      <c r="G7147" t="inlineStr">
        <is>
          <t>FALUN</t>
        </is>
      </c>
      <c r="I7147" t="n">
        <v>9.699999999999999</v>
      </c>
      <c r="J7147" t="n">
        <v>0</v>
      </c>
      <c r="K7147" t="n">
        <v>0</v>
      </c>
      <c r="L7147" t="n">
        <v>0</v>
      </c>
      <c r="M7147" t="n">
        <v>0</v>
      </c>
      <c r="N7147" t="n">
        <v>0</v>
      </c>
      <c r="O7147" t="n">
        <v>0</v>
      </c>
      <c r="P7147" t="n">
        <v>0</v>
      </c>
      <c r="Q7147" t="n">
        <v>0</v>
      </c>
      <c r="R7147" t="n">
        <v>0</v>
      </c>
      <c r="S7147" t="n">
        <v>0</v>
      </c>
      <c r="T7147" t="n">
        <v>0</v>
      </c>
      <c r="U7147" t="n">
        <v>0</v>
      </c>
      <c r="V7147" s="2" t="inlineStr"/>
    </row>
    <row r="7148" ht="15" customHeight="1">
      <c r="A7148" t="inlineStr">
        <is>
          <t>A 689-2025</t>
        </is>
      </c>
      <c r="B7148" t="inlineStr">
        <is>
          <t>avverkningsanmälan</t>
        </is>
      </c>
      <c r="C7148" t="inlineStr">
        <is>
          <t>Föryngringsavverkning</t>
        </is>
      </c>
      <c r="D7148" s="1" t="n">
        <v>45665</v>
      </c>
      <c r="E7148" s="1" t="n">
        <v>46319</v>
      </c>
      <c r="F7148" t="inlineStr">
        <is>
          <t>DALARNAS LÄN</t>
        </is>
      </c>
      <c r="G7148" t="inlineStr">
        <is>
          <t>MALUNG-SÄLEN</t>
        </is>
      </c>
      <c r="I7148" t="n">
        <v>3</v>
      </c>
      <c r="J7148" t="n">
        <v>0</v>
      </c>
      <c r="K7148" t="n">
        <v>0</v>
      </c>
      <c r="L7148" t="n">
        <v>0</v>
      </c>
      <c r="M7148" t="n">
        <v>0</v>
      </c>
      <c r="N7148" t="n">
        <v>0</v>
      </c>
      <c r="O7148" t="n">
        <v>0</v>
      </c>
      <c r="P7148" t="n">
        <v>0</v>
      </c>
      <c r="Q7148" t="n">
        <v>0</v>
      </c>
      <c r="R7148" t="n">
        <v>0</v>
      </c>
      <c r="S7148" t="n">
        <v>0</v>
      </c>
      <c r="T7148" t="n">
        <v>0</v>
      </c>
      <c r="U7148" t="n">
        <v>0</v>
      </c>
      <c r="V7148" s="2" t="inlineStr"/>
    </row>
    <row r="7149" ht="15" customHeight="1">
      <c r="A7149" t="inlineStr">
        <is>
          <t>A 21335-2025</t>
        </is>
      </c>
      <c r="B7149" t="inlineStr">
        <is>
          <t>avverkningsanmälan</t>
        </is>
      </c>
      <c r="C7149" t="inlineStr">
        <is>
          <t>Föryngringsavverkning</t>
        </is>
      </c>
      <c r="D7149" s="1" t="n">
        <v>45782</v>
      </c>
      <c r="E7149" s="1" t="n">
        <v>46319</v>
      </c>
      <c r="F7149" t="inlineStr">
        <is>
          <t>DALARNAS LÄN</t>
        </is>
      </c>
      <c r="G7149" t="inlineStr">
        <is>
          <t>ORSA</t>
        </is>
      </c>
      <c r="H7149" t="inlineStr">
        <is>
          <t>Bergvik skog väst AB</t>
        </is>
      </c>
      <c r="I7149" t="n">
        <v>14.3</v>
      </c>
      <c r="J7149" t="n">
        <v>0</v>
      </c>
      <c r="K7149" t="n">
        <v>0</v>
      </c>
      <c r="L7149" t="n">
        <v>0</v>
      </c>
      <c r="M7149" t="n">
        <v>0</v>
      </c>
      <c r="N7149" t="n">
        <v>0</v>
      </c>
      <c r="O7149" t="n">
        <v>0</v>
      </c>
      <c r="P7149" t="n">
        <v>0</v>
      </c>
      <c r="Q7149" t="n">
        <v>0</v>
      </c>
      <c r="R7149" t="n">
        <v>0</v>
      </c>
      <c r="S7149" t="n">
        <v>0</v>
      </c>
      <c r="T7149" t="n">
        <v>0</v>
      </c>
      <c r="U7149" t="n">
        <v>0</v>
      </c>
      <c r="V7149" s="2" t="inlineStr"/>
    </row>
    <row r="7150" ht="15" customHeight="1">
      <c r="A7150" t="inlineStr">
        <is>
          <t>A 60298-2023</t>
        </is>
      </c>
      <c r="B7150" t="inlineStr">
        <is>
          <t>avverkningsanmälan</t>
        </is>
      </c>
      <c r="C7150" t="inlineStr">
        <is>
          <t>Föryngringsavverkning</t>
        </is>
      </c>
      <c r="D7150" s="1" t="n">
        <v>45257</v>
      </c>
      <c r="E7150" s="1" t="n">
        <v>46319</v>
      </c>
      <c r="F7150" t="inlineStr">
        <is>
          <t>DALARNAS LÄN</t>
        </is>
      </c>
      <c r="G7150" t="inlineStr">
        <is>
          <t>RÄTTVIK</t>
        </is>
      </c>
      <c r="I7150" t="n">
        <v>2.4</v>
      </c>
      <c r="J7150" t="n">
        <v>0</v>
      </c>
      <c r="K7150" t="n">
        <v>0</v>
      </c>
      <c r="L7150" t="n">
        <v>0</v>
      </c>
      <c r="M7150" t="n">
        <v>0</v>
      </c>
      <c r="N7150" t="n">
        <v>0</v>
      </c>
      <c r="O7150" t="n">
        <v>0</v>
      </c>
      <c r="P7150" t="n">
        <v>0</v>
      </c>
      <c r="Q7150" t="n">
        <v>0</v>
      </c>
      <c r="R7150" t="n">
        <v>0</v>
      </c>
      <c r="S7150" t="n">
        <v>0</v>
      </c>
      <c r="T7150" t="n">
        <v>0</v>
      </c>
      <c r="U7150" t="n">
        <v>0</v>
      </c>
      <c r="V7150" s="2" t="inlineStr"/>
    </row>
    <row r="7151" ht="15" customHeight="1">
      <c r="A7151" t="inlineStr">
        <is>
          <t>A 32740-2024</t>
        </is>
      </c>
      <c r="B7151" t="inlineStr">
        <is>
          <t>avverkningsanmälan</t>
        </is>
      </c>
      <c r="C7151" t="inlineStr">
        <is>
          <t>Föryngringsavverkning</t>
        </is>
      </c>
      <c r="D7151" s="1" t="n">
        <v>45516</v>
      </c>
      <c r="E7151" s="1" t="n">
        <v>46319</v>
      </c>
      <c r="F7151" t="inlineStr">
        <is>
          <t>DALARNAS LÄN</t>
        </is>
      </c>
      <c r="G7151" t="inlineStr">
        <is>
          <t>ÄLVDALEN</t>
        </is>
      </c>
      <c r="I7151" t="n">
        <v>2.1</v>
      </c>
      <c r="J7151" t="n">
        <v>0</v>
      </c>
      <c r="K7151" t="n">
        <v>0</v>
      </c>
      <c r="L7151" t="n">
        <v>0</v>
      </c>
      <c r="M7151" t="n">
        <v>0</v>
      </c>
      <c r="N7151" t="n">
        <v>0</v>
      </c>
      <c r="O7151" t="n">
        <v>0</v>
      </c>
      <c r="P7151" t="n">
        <v>0</v>
      </c>
      <c r="Q7151" t="n">
        <v>0</v>
      </c>
      <c r="R7151" t="n">
        <v>0</v>
      </c>
      <c r="S7151" t="n">
        <v>0</v>
      </c>
      <c r="T7151" t="n">
        <v>0</v>
      </c>
      <c r="U7151" t="n">
        <v>0</v>
      </c>
      <c r="V7151" s="2" t="inlineStr"/>
    </row>
    <row r="7152" ht="15" customHeight="1">
      <c r="A7152" t="inlineStr">
        <is>
          <t>A 23146-2025</t>
        </is>
      </c>
      <c r="B7152" t="inlineStr">
        <is>
          <t>avverkningsanmälan</t>
        </is>
      </c>
      <c r="C7152" t="inlineStr">
        <is>
          <t>Föryngringsavverkning</t>
        </is>
      </c>
      <c r="D7152" s="1" t="n">
        <v>45791</v>
      </c>
      <c r="E7152" s="1" t="n">
        <v>46319</v>
      </c>
      <c r="F7152" t="inlineStr">
        <is>
          <t>DALARNAS LÄN</t>
        </is>
      </c>
      <c r="G7152" t="inlineStr">
        <is>
          <t>AVESTA</t>
        </is>
      </c>
      <c r="I7152" t="n">
        <v>1.6</v>
      </c>
      <c r="J7152" t="n">
        <v>0</v>
      </c>
      <c r="K7152" t="n">
        <v>0</v>
      </c>
      <c r="L7152" t="n">
        <v>0</v>
      </c>
      <c r="M7152" t="n">
        <v>0</v>
      </c>
      <c r="N7152" t="n">
        <v>0</v>
      </c>
      <c r="O7152" t="n">
        <v>0</v>
      </c>
      <c r="P7152" t="n">
        <v>0</v>
      </c>
      <c r="Q7152" t="n">
        <v>0</v>
      </c>
      <c r="R7152" t="n">
        <v>0</v>
      </c>
      <c r="S7152" t="n">
        <v>0</v>
      </c>
      <c r="T7152" t="n">
        <v>0</v>
      </c>
      <c r="U7152" t="n">
        <v>0</v>
      </c>
      <c r="V7152" s="2" t="inlineStr"/>
    </row>
    <row r="7153" ht="15" customHeight="1">
      <c r="A7153" t="inlineStr">
        <is>
          <t>A 32814-2024</t>
        </is>
      </c>
      <c r="B7153" t="inlineStr">
        <is>
          <t>avverkningsanmälan</t>
        </is>
      </c>
      <c r="C7153" t="inlineStr">
        <is>
          <t>Avverkning för annat ändamål</t>
        </is>
      </c>
      <c r="D7153" s="1" t="n">
        <v>45516</v>
      </c>
      <c r="E7153" s="1" t="n">
        <v>46319</v>
      </c>
      <c r="F7153" t="inlineStr">
        <is>
          <t>DALARNAS LÄN</t>
        </is>
      </c>
      <c r="G7153" t="inlineStr">
        <is>
          <t>RÄTTVIK</t>
        </is>
      </c>
      <c r="H7153" t="inlineStr">
        <is>
          <t>Sveaskog</t>
        </is>
      </c>
      <c r="I7153" t="n">
        <v>1.1</v>
      </c>
      <c r="J7153" t="n">
        <v>0</v>
      </c>
      <c r="K7153" t="n">
        <v>0</v>
      </c>
      <c r="L7153" t="n">
        <v>0</v>
      </c>
      <c r="M7153" t="n">
        <v>0</v>
      </c>
      <c r="N7153" t="n">
        <v>0</v>
      </c>
      <c r="O7153" t="n">
        <v>0</v>
      </c>
      <c r="P7153" t="n">
        <v>0</v>
      </c>
      <c r="Q7153" t="n">
        <v>0</v>
      </c>
      <c r="R7153" t="n">
        <v>0</v>
      </c>
      <c r="S7153" t="n">
        <v>0</v>
      </c>
      <c r="T7153" t="n">
        <v>0</v>
      </c>
      <c r="U7153" t="n">
        <v>0</v>
      </c>
      <c r="V7153" s="2" t="inlineStr"/>
    </row>
    <row r="7154" ht="15" customHeight="1">
      <c r="A7154" t="inlineStr">
        <is>
          <t>A 20541-2026</t>
        </is>
      </c>
      <c r="B7154" t="inlineStr">
        <is>
          <t>avverkningsanmälan</t>
        </is>
      </c>
      <c r="C7154" t="inlineStr">
        <is>
          <t>Föryngringsavverkning</t>
        </is>
      </c>
      <c r="D7154" s="1" t="n">
        <v>46140</v>
      </c>
      <c r="E7154" s="1" t="n">
        <v>46319</v>
      </c>
      <c r="F7154" t="inlineStr">
        <is>
          <t>DALARNAS LÄN</t>
        </is>
      </c>
      <c r="G7154" t="inlineStr">
        <is>
          <t>LEKSAND</t>
        </is>
      </c>
      <c r="I7154" t="n">
        <v>3</v>
      </c>
      <c r="J7154" t="n">
        <v>0</v>
      </c>
      <c r="K7154" t="n">
        <v>0</v>
      </c>
      <c r="L7154" t="n">
        <v>0</v>
      </c>
      <c r="M7154" t="n">
        <v>0</v>
      </c>
      <c r="N7154" t="n">
        <v>0</v>
      </c>
      <c r="O7154" t="n">
        <v>0</v>
      </c>
      <c r="P7154" t="n">
        <v>0</v>
      </c>
      <c r="Q7154" t="n">
        <v>0</v>
      </c>
      <c r="R7154" t="n">
        <v>0</v>
      </c>
      <c r="S7154" t="n">
        <v>0</v>
      </c>
      <c r="T7154" t="n">
        <v>0</v>
      </c>
      <c r="U7154" t="n">
        <v>0</v>
      </c>
      <c r="V7154" s="2" t="inlineStr"/>
    </row>
    <row r="7155" ht="15" customHeight="1">
      <c r="A7155" t="inlineStr">
        <is>
          <t>A 8728-2026</t>
        </is>
      </c>
      <c r="B7155" t="inlineStr">
        <is>
          <t>avverkningsanmälan</t>
        </is>
      </c>
      <c r="C7155" t="inlineStr">
        <is>
          <t>Föryngringsavverkning</t>
        </is>
      </c>
      <c r="D7155" s="1" t="n">
        <v>46066</v>
      </c>
      <c r="E7155" s="1" t="n">
        <v>46319</v>
      </c>
      <c r="F7155" t="inlineStr">
        <is>
          <t>DALARNAS LÄN</t>
        </is>
      </c>
      <c r="G7155" t="inlineStr">
        <is>
          <t>LUDVIKA</t>
        </is>
      </c>
      <c r="H7155" t="inlineStr">
        <is>
          <t>Bergvik skog väst AB</t>
        </is>
      </c>
      <c r="I7155" t="n">
        <v>2.2</v>
      </c>
      <c r="J7155" t="n">
        <v>0</v>
      </c>
      <c r="K7155" t="n">
        <v>0</v>
      </c>
      <c r="L7155" t="n">
        <v>0</v>
      </c>
      <c r="M7155" t="n">
        <v>0</v>
      </c>
      <c r="N7155" t="n">
        <v>0</v>
      </c>
      <c r="O7155" t="n">
        <v>0</v>
      </c>
      <c r="P7155" t="n">
        <v>0</v>
      </c>
      <c r="Q7155" t="n">
        <v>0</v>
      </c>
      <c r="R7155" t="n">
        <v>0</v>
      </c>
      <c r="S7155" t="n">
        <v>0</v>
      </c>
      <c r="T7155" t="n">
        <v>0</v>
      </c>
      <c r="U7155" t="n">
        <v>0</v>
      </c>
      <c r="V7155" s="2" t="inlineStr"/>
    </row>
    <row r="7156" ht="15" customHeight="1">
      <c r="A7156" t="inlineStr">
        <is>
          <t>A 36539-2023</t>
        </is>
      </c>
      <c r="B7156" t="inlineStr">
        <is>
          <t>avverkningsanmälan</t>
        </is>
      </c>
      <c r="C7156" t="inlineStr">
        <is>
          <t>Föryngringsavverkning</t>
        </is>
      </c>
      <c r="D7156" s="1" t="n">
        <v>45153</v>
      </c>
      <c r="E7156" s="1" t="n">
        <v>46319</v>
      </c>
      <c r="F7156" t="inlineStr">
        <is>
          <t>DALARNAS LÄN</t>
        </is>
      </c>
      <c r="G7156" t="inlineStr">
        <is>
          <t>MALUNG-SÄLEN</t>
        </is>
      </c>
      <c r="I7156" t="n">
        <v>4.6</v>
      </c>
      <c r="J7156" t="n">
        <v>0</v>
      </c>
      <c r="K7156" t="n">
        <v>0</v>
      </c>
      <c r="L7156" t="n">
        <v>0</v>
      </c>
      <c r="M7156" t="n">
        <v>0</v>
      </c>
      <c r="N7156" t="n">
        <v>0</v>
      </c>
      <c r="O7156" t="n">
        <v>0</v>
      </c>
      <c r="P7156" t="n">
        <v>0</v>
      </c>
      <c r="Q7156" t="n">
        <v>0</v>
      </c>
      <c r="R7156" t="n">
        <v>0</v>
      </c>
      <c r="S7156" t="n">
        <v>0</v>
      </c>
      <c r="T7156" t="n">
        <v>0</v>
      </c>
      <c r="U7156" t="n">
        <v>0</v>
      </c>
      <c r="V7156" s="2" t="inlineStr"/>
    </row>
    <row r="7157" ht="15" customHeight="1">
      <c r="A7157" t="inlineStr">
        <is>
          <t>A 15632-2026</t>
        </is>
      </c>
      <c r="B7157" t="inlineStr">
        <is>
          <t>avverkningsanmälan</t>
        </is>
      </c>
      <c r="C7157" t="inlineStr">
        <is>
          <t>Föryngringsavverkning</t>
        </is>
      </c>
      <c r="D7157" s="1" t="n">
        <v>46106</v>
      </c>
      <c r="E7157" s="1" t="n">
        <v>46319</v>
      </c>
      <c r="F7157" t="inlineStr">
        <is>
          <t>DALARNAS LÄN</t>
        </is>
      </c>
      <c r="G7157" t="inlineStr">
        <is>
          <t>LEKSAND</t>
        </is>
      </c>
      <c r="I7157" t="n">
        <v>2.2</v>
      </c>
      <c r="J7157" t="n">
        <v>0</v>
      </c>
      <c r="K7157" t="n">
        <v>0</v>
      </c>
      <c r="L7157" t="n">
        <v>0</v>
      </c>
      <c r="M7157" t="n">
        <v>0</v>
      </c>
      <c r="N7157" t="n">
        <v>0</v>
      </c>
      <c r="O7157" t="n">
        <v>0</v>
      </c>
      <c r="P7157" t="n">
        <v>0</v>
      </c>
      <c r="Q7157" t="n">
        <v>0</v>
      </c>
      <c r="R7157" t="n">
        <v>0</v>
      </c>
      <c r="S7157" t="n">
        <v>0</v>
      </c>
      <c r="T7157" t="n">
        <v>0</v>
      </c>
      <c r="U7157" t="n">
        <v>0</v>
      </c>
      <c r="V7157" s="2" t="inlineStr"/>
    </row>
    <row r="7158" ht="15" customHeight="1">
      <c r="A7158" t="inlineStr">
        <is>
          <t>A 8557-2026</t>
        </is>
      </c>
      <c r="B7158" t="inlineStr">
        <is>
          <t>avverkningsanmälan</t>
        </is>
      </c>
      <c r="C7158" t="inlineStr">
        <is>
          <t>Föryngringsavverkning</t>
        </is>
      </c>
      <c r="D7158" s="1" t="n">
        <v>46065</v>
      </c>
      <c r="E7158" s="1" t="n">
        <v>46319</v>
      </c>
      <c r="F7158" t="inlineStr">
        <is>
          <t>DALARNAS LÄN</t>
        </is>
      </c>
      <c r="G7158" t="inlineStr">
        <is>
          <t>FALUN</t>
        </is>
      </c>
      <c r="I7158" t="n">
        <v>1.2</v>
      </c>
      <c r="J7158" t="n">
        <v>0</v>
      </c>
      <c r="K7158" t="n">
        <v>0</v>
      </c>
      <c r="L7158" t="n">
        <v>0</v>
      </c>
      <c r="M7158" t="n">
        <v>0</v>
      </c>
      <c r="N7158" t="n">
        <v>0</v>
      </c>
      <c r="O7158" t="n">
        <v>0</v>
      </c>
      <c r="P7158" t="n">
        <v>0</v>
      </c>
      <c r="Q7158" t="n">
        <v>0</v>
      </c>
      <c r="R7158" t="n">
        <v>0</v>
      </c>
      <c r="S7158" t="n">
        <v>0</v>
      </c>
      <c r="T7158" t="n">
        <v>0</v>
      </c>
      <c r="U7158" t="n">
        <v>0</v>
      </c>
      <c r="V7158" s="2" t="inlineStr"/>
    </row>
    <row r="7159" ht="15" customHeight="1">
      <c r="A7159" t="inlineStr">
        <is>
          <t>A 37931-2023</t>
        </is>
      </c>
      <c r="B7159" t="inlineStr">
        <is>
          <t>avverkningsanmälan</t>
        </is>
      </c>
      <c r="C7159" t="inlineStr">
        <is>
          <t>Föryngringsavverkning</t>
        </is>
      </c>
      <c r="D7159" s="1" t="n">
        <v>45160</v>
      </c>
      <c r="E7159" s="1" t="n">
        <v>46319</v>
      </c>
      <c r="F7159" t="inlineStr">
        <is>
          <t>DALARNAS LÄN</t>
        </is>
      </c>
      <c r="G7159" t="inlineStr">
        <is>
          <t>ORSA</t>
        </is>
      </c>
      <c r="I7159" t="n">
        <v>2.6</v>
      </c>
      <c r="J7159" t="n">
        <v>0</v>
      </c>
      <c r="K7159" t="n">
        <v>0</v>
      </c>
      <c r="L7159" t="n">
        <v>0</v>
      </c>
      <c r="M7159" t="n">
        <v>0</v>
      </c>
      <c r="N7159" t="n">
        <v>0</v>
      </c>
      <c r="O7159" t="n">
        <v>0</v>
      </c>
      <c r="P7159" t="n">
        <v>0</v>
      </c>
      <c r="Q7159" t="n">
        <v>0</v>
      </c>
      <c r="R7159" t="n">
        <v>0</v>
      </c>
      <c r="S7159" t="n">
        <v>0</v>
      </c>
      <c r="T7159" t="n">
        <v>0</v>
      </c>
      <c r="U7159" t="n">
        <v>0</v>
      </c>
      <c r="V7159" s="2" t="inlineStr"/>
    </row>
    <row r="7160" ht="15" customHeight="1">
      <c r="A7160" t="inlineStr">
        <is>
          <t>A 30399-2025</t>
        </is>
      </c>
      <c r="B7160" t="inlineStr">
        <is>
          <t>avverkningsanmälan</t>
        </is>
      </c>
      <c r="C7160" t="inlineStr">
        <is>
          <t>Föryngringsavverkning</t>
        </is>
      </c>
      <c r="D7160" s="1" t="n">
        <v>45827</v>
      </c>
      <c r="E7160" s="1" t="n">
        <v>46319</v>
      </c>
      <c r="F7160" t="inlineStr">
        <is>
          <t>DALARNAS LÄN</t>
        </is>
      </c>
      <c r="G7160" t="inlineStr">
        <is>
          <t>LUDVIKA</t>
        </is>
      </c>
      <c r="H7160" t="inlineStr">
        <is>
          <t>Bergvik skog väst AB</t>
        </is>
      </c>
      <c r="I7160" t="n">
        <v>1.1</v>
      </c>
      <c r="J7160" t="n">
        <v>0</v>
      </c>
      <c r="K7160" t="n">
        <v>0</v>
      </c>
      <c r="L7160" t="n">
        <v>0</v>
      </c>
      <c r="M7160" t="n">
        <v>0</v>
      </c>
      <c r="N7160" t="n">
        <v>0</v>
      </c>
      <c r="O7160" t="n">
        <v>0</v>
      </c>
      <c r="P7160" t="n">
        <v>0</v>
      </c>
      <c r="Q7160" t="n">
        <v>0</v>
      </c>
      <c r="R7160" t="n">
        <v>0</v>
      </c>
      <c r="S7160" t="n">
        <v>0</v>
      </c>
      <c r="T7160" t="n">
        <v>0</v>
      </c>
      <c r="U7160" t="n">
        <v>0</v>
      </c>
      <c r="V7160" s="2" t="inlineStr"/>
    </row>
    <row r="7161" ht="15" customHeight="1">
      <c r="A7161" t="inlineStr">
        <is>
          <t>A 8368-2026</t>
        </is>
      </c>
      <c r="B7161" t="inlineStr">
        <is>
          <t>avverkningsanmälan</t>
        </is>
      </c>
      <c r="C7161" t="inlineStr">
        <is>
          <t>Föryngringsavverkning</t>
        </is>
      </c>
      <c r="D7161" s="1" t="n">
        <v>46064</v>
      </c>
      <c r="E7161" s="1" t="n">
        <v>46319</v>
      </c>
      <c r="F7161" t="inlineStr">
        <is>
          <t>DALARNAS LÄN</t>
        </is>
      </c>
      <c r="G7161" t="inlineStr">
        <is>
          <t>FALUN</t>
        </is>
      </c>
      <c r="I7161" t="n">
        <v>1.7</v>
      </c>
      <c r="J7161" t="n">
        <v>0</v>
      </c>
      <c r="K7161" t="n">
        <v>0</v>
      </c>
      <c r="L7161" t="n">
        <v>0</v>
      </c>
      <c r="M7161" t="n">
        <v>0</v>
      </c>
      <c r="N7161" t="n">
        <v>0</v>
      </c>
      <c r="O7161" t="n">
        <v>0</v>
      </c>
      <c r="P7161" t="n">
        <v>0</v>
      </c>
      <c r="Q7161" t="n">
        <v>0</v>
      </c>
      <c r="R7161" t="n">
        <v>0</v>
      </c>
      <c r="S7161" t="n">
        <v>0</v>
      </c>
      <c r="T7161" t="n">
        <v>0</v>
      </c>
      <c r="U7161" t="n">
        <v>0</v>
      </c>
      <c r="V7161" s="2" t="inlineStr"/>
    </row>
    <row r="7162" ht="15" customHeight="1">
      <c r="A7162" t="inlineStr">
        <is>
          <t>A 43706-2025</t>
        </is>
      </c>
      <c r="B7162" t="inlineStr">
        <is>
          <t>avverkningsanmälan</t>
        </is>
      </c>
      <c r="C7162" t="inlineStr">
        <is>
          <t>Föryngringsavverkning</t>
        </is>
      </c>
      <c r="D7162" s="1" t="n">
        <v>45912</v>
      </c>
      <c r="E7162" s="1" t="n">
        <v>46319</v>
      </c>
      <c r="F7162" t="inlineStr">
        <is>
          <t>DALARNAS LÄN</t>
        </is>
      </c>
      <c r="G7162" t="inlineStr">
        <is>
          <t>GAGNEF</t>
        </is>
      </c>
      <c r="I7162" t="n">
        <v>3.4</v>
      </c>
      <c r="J7162" t="n">
        <v>0</v>
      </c>
      <c r="K7162" t="n">
        <v>0</v>
      </c>
      <c r="L7162" t="n">
        <v>0</v>
      </c>
      <c r="M7162" t="n">
        <v>0</v>
      </c>
      <c r="N7162" t="n">
        <v>0</v>
      </c>
      <c r="O7162" t="n">
        <v>0</v>
      </c>
      <c r="P7162" t="n">
        <v>0</v>
      </c>
      <c r="Q7162" t="n">
        <v>0</v>
      </c>
      <c r="R7162" t="n">
        <v>0</v>
      </c>
      <c r="S7162" t="n">
        <v>0</v>
      </c>
      <c r="T7162" t="n">
        <v>0</v>
      </c>
      <c r="U7162" t="n">
        <v>0</v>
      </c>
      <c r="V7162" s="2" t="inlineStr"/>
    </row>
    <row r="7163" ht="15" customHeight="1">
      <c r="A7163" t="inlineStr">
        <is>
          <t>A 55151-2025</t>
        </is>
      </c>
      <c r="B7163" t="inlineStr">
        <is>
          <t>avverkningsanmälan</t>
        </is>
      </c>
      <c r="C7163" t="inlineStr">
        <is>
          <t>Föryngringsavverkning</t>
        </is>
      </c>
      <c r="D7163" s="1" t="n">
        <v>45968</v>
      </c>
      <c r="E7163" s="1" t="n">
        <v>46319</v>
      </c>
      <c r="F7163" t="inlineStr">
        <is>
          <t>DALARNAS LÄN</t>
        </is>
      </c>
      <c r="G7163" t="inlineStr">
        <is>
          <t>LUDVIKA</t>
        </is>
      </c>
      <c r="H7163" t="inlineStr">
        <is>
          <t>Bergvik skog väst AB</t>
        </is>
      </c>
      <c r="I7163" t="n">
        <v>10</v>
      </c>
      <c r="J7163" t="n">
        <v>0</v>
      </c>
      <c r="K7163" t="n">
        <v>0</v>
      </c>
      <c r="L7163" t="n">
        <v>0</v>
      </c>
      <c r="M7163" t="n">
        <v>0</v>
      </c>
      <c r="N7163" t="n">
        <v>0</v>
      </c>
      <c r="O7163" t="n">
        <v>0</v>
      </c>
      <c r="P7163" t="n">
        <v>0</v>
      </c>
      <c r="Q7163" t="n">
        <v>0</v>
      </c>
      <c r="R7163" t="n">
        <v>0</v>
      </c>
      <c r="S7163" t="n">
        <v>0</v>
      </c>
      <c r="T7163" t="n">
        <v>0</v>
      </c>
      <c r="U7163" t="n">
        <v>0</v>
      </c>
      <c r="V7163" s="2" t="inlineStr"/>
    </row>
    <row r="7164" ht="15" customHeight="1">
      <c r="A7164" t="inlineStr">
        <is>
          <t>A 43239-2026</t>
        </is>
      </c>
      <c r="B7164" t="inlineStr">
        <is>
          <t>avverkningsanmälan</t>
        </is>
      </c>
      <c r="C7164" t="inlineStr">
        <is>
          <t>Föryngringsavverkning</t>
        </is>
      </c>
      <c r="D7164" s="1" t="n">
        <v>46314</v>
      </c>
      <c r="E7164" s="1" t="n">
        <v>46319</v>
      </c>
      <c r="F7164" t="inlineStr">
        <is>
          <t>DALARNAS LÄN</t>
        </is>
      </c>
      <c r="G7164" t="inlineStr">
        <is>
          <t>SÄTER</t>
        </is>
      </c>
      <c r="I7164" t="n">
        <v>2.2</v>
      </c>
      <c r="J7164" t="n">
        <v>0</v>
      </c>
      <c r="K7164" t="n">
        <v>0</v>
      </c>
      <c r="L7164" t="n">
        <v>0</v>
      </c>
      <c r="M7164" t="n">
        <v>0</v>
      </c>
      <c r="N7164" t="n">
        <v>0</v>
      </c>
      <c r="O7164" t="n">
        <v>0</v>
      </c>
      <c r="P7164" t="n">
        <v>0</v>
      </c>
      <c r="Q7164" t="n">
        <v>0</v>
      </c>
      <c r="R7164" t="n">
        <v>0</v>
      </c>
      <c r="S7164" t="n">
        <v>0</v>
      </c>
      <c r="T7164" t="n">
        <v>0</v>
      </c>
      <c r="U7164" t="n">
        <v>0</v>
      </c>
      <c r="V7164" s="2" t="inlineStr"/>
    </row>
    <row r="7165" ht="15" customHeight="1">
      <c r="A7165" t="inlineStr">
        <is>
          <t>A 13165-2023</t>
        </is>
      </c>
      <c r="B7165" t="inlineStr">
        <is>
          <t>avverkningsanmälan</t>
        </is>
      </c>
      <c r="C7165" t="inlineStr">
        <is>
          <t>Föryngringsavverkning</t>
        </is>
      </c>
      <c r="D7165" s="1" t="n">
        <v>45002</v>
      </c>
      <c r="E7165" s="1" t="n">
        <v>46319</v>
      </c>
      <c r="F7165" t="inlineStr">
        <is>
          <t>DALARNAS LÄN</t>
        </is>
      </c>
      <c r="G7165" t="inlineStr">
        <is>
          <t>LEKSAND</t>
        </is>
      </c>
      <c r="I7165" t="n">
        <v>2.4</v>
      </c>
      <c r="J7165" t="n">
        <v>0</v>
      </c>
      <c r="K7165" t="n">
        <v>0</v>
      </c>
      <c r="L7165" t="n">
        <v>0</v>
      </c>
      <c r="M7165" t="n">
        <v>0</v>
      </c>
      <c r="N7165" t="n">
        <v>0</v>
      </c>
      <c r="O7165" t="n">
        <v>0</v>
      </c>
      <c r="P7165" t="n">
        <v>0</v>
      </c>
      <c r="Q7165" t="n">
        <v>0</v>
      </c>
      <c r="R7165" t="n">
        <v>0</v>
      </c>
      <c r="S7165" t="n">
        <v>0</v>
      </c>
      <c r="T7165" t="n">
        <v>0</v>
      </c>
      <c r="U7165" t="n">
        <v>0</v>
      </c>
      <c r="V7165" s="2" t="inlineStr"/>
    </row>
    <row r="7166" ht="15" customHeight="1">
      <c r="A7166" t="inlineStr">
        <is>
          <t>A 39777-2026</t>
        </is>
      </c>
      <c r="B7166" t="inlineStr">
        <is>
          <t>avverkningsanmälan</t>
        </is>
      </c>
      <c r="C7166" t="inlineStr">
        <is>
          <t>Föryngringsavverkning</t>
        </is>
      </c>
      <c r="D7166" s="1" t="n">
        <v>46290</v>
      </c>
      <c r="E7166" s="1" t="n">
        <v>46319</v>
      </c>
      <c r="F7166" t="inlineStr">
        <is>
          <t>DALARNAS LÄN</t>
        </is>
      </c>
      <c r="G7166" t="inlineStr">
        <is>
          <t>LUDVIKA</t>
        </is>
      </c>
      <c r="H7166" t="inlineStr">
        <is>
          <t>Bergvik skog väst AB</t>
        </is>
      </c>
      <c r="I7166" t="n">
        <v>12</v>
      </c>
      <c r="J7166" t="n">
        <v>0</v>
      </c>
      <c r="K7166" t="n">
        <v>0</v>
      </c>
      <c r="L7166" t="n">
        <v>0</v>
      </c>
      <c r="M7166" t="n">
        <v>0</v>
      </c>
      <c r="N7166" t="n">
        <v>0</v>
      </c>
      <c r="O7166" t="n">
        <v>0</v>
      </c>
      <c r="P7166" t="n">
        <v>0</v>
      </c>
      <c r="Q7166" t="n">
        <v>0</v>
      </c>
      <c r="R7166" t="n">
        <v>0</v>
      </c>
      <c r="S7166" t="n">
        <v>0</v>
      </c>
      <c r="T7166" t="n">
        <v>0</v>
      </c>
      <c r="U7166" t="n">
        <v>0</v>
      </c>
      <c r="V7166" s="2" t="inlineStr"/>
    </row>
    <row r="7167" ht="15" customHeight="1">
      <c r="A7167" t="inlineStr">
        <is>
          <t>A 6687-2026</t>
        </is>
      </c>
      <c r="B7167" t="inlineStr">
        <is>
          <t>avverkningsanmälan</t>
        </is>
      </c>
      <c r="C7167" t="inlineStr">
        <is>
          <t>Föryngringsavverkning</t>
        </is>
      </c>
      <c r="D7167" s="1" t="n">
        <v>46056</v>
      </c>
      <c r="E7167" s="1" t="n">
        <v>46319</v>
      </c>
      <c r="F7167" t="inlineStr">
        <is>
          <t>DALARNAS LÄN</t>
        </is>
      </c>
      <c r="G7167" t="inlineStr">
        <is>
          <t>HEDEMORA</t>
        </is>
      </c>
      <c r="I7167" t="n">
        <v>1</v>
      </c>
      <c r="J7167" t="n">
        <v>0</v>
      </c>
      <c r="K7167" t="n">
        <v>0</v>
      </c>
      <c r="L7167" t="n">
        <v>0</v>
      </c>
      <c r="M7167" t="n">
        <v>0</v>
      </c>
      <c r="N7167" t="n">
        <v>0</v>
      </c>
      <c r="O7167" t="n">
        <v>0</v>
      </c>
      <c r="P7167" t="n">
        <v>0</v>
      </c>
      <c r="Q7167" t="n">
        <v>0</v>
      </c>
      <c r="R7167" t="n">
        <v>0</v>
      </c>
      <c r="S7167" t="n">
        <v>0</v>
      </c>
      <c r="T7167" t="n">
        <v>0</v>
      </c>
      <c r="U7167" t="n">
        <v>0</v>
      </c>
      <c r="V7167" s="2" t="inlineStr"/>
    </row>
    <row r="7168" ht="15" customHeight="1">
      <c r="A7168" t="inlineStr">
        <is>
          <t>A 20254-2026</t>
        </is>
      </c>
      <c r="B7168" t="inlineStr">
        <is>
          <t>avverkningsanmälan</t>
        </is>
      </c>
      <c r="C7168" t="inlineStr">
        <is>
          <t>Föryngringsavverkning</t>
        </is>
      </c>
      <c r="D7168" s="1" t="n">
        <v>46139</v>
      </c>
      <c r="E7168" s="1" t="n">
        <v>46319</v>
      </c>
      <c r="F7168" t="inlineStr">
        <is>
          <t>DALARNAS LÄN</t>
        </is>
      </c>
      <c r="G7168" t="inlineStr">
        <is>
          <t>ORSA</t>
        </is>
      </c>
      <c r="H7168" t="inlineStr">
        <is>
          <t>Bergvik skog öst AB</t>
        </is>
      </c>
      <c r="I7168" t="n">
        <v>18.5</v>
      </c>
      <c r="J7168" t="n">
        <v>0</v>
      </c>
      <c r="K7168" t="n">
        <v>0</v>
      </c>
      <c r="L7168" t="n">
        <v>0</v>
      </c>
      <c r="M7168" t="n">
        <v>0</v>
      </c>
      <c r="N7168" t="n">
        <v>0</v>
      </c>
      <c r="O7168" t="n">
        <v>0</v>
      </c>
      <c r="P7168" t="n">
        <v>0</v>
      </c>
      <c r="Q7168" t="n">
        <v>0</v>
      </c>
      <c r="R7168" t="n">
        <v>0</v>
      </c>
      <c r="S7168" t="n">
        <v>0</v>
      </c>
      <c r="T7168" t="n">
        <v>0</v>
      </c>
      <c r="U7168" t="n">
        <v>0</v>
      </c>
      <c r="V7168" s="2" t="inlineStr"/>
    </row>
    <row r="7169" ht="15" customHeight="1">
      <c r="A7169" t="inlineStr">
        <is>
          <t>A 55390-2022</t>
        </is>
      </c>
      <c r="B7169" t="inlineStr">
        <is>
          <t>avverkningsanmälan</t>
        </is>
      </c>
      <c r="C7169" t="inlineStr">
        <is>
          <t>Föryngringsavverkning</t>
        </is>
      </c>
      <c r="D7169" s="1" t="n">
        <v>44887</v>
      </c>
      <c r="E7169" s="1" t="n">
        <v>46319</v>
      </c>
      <c r="F7169" t="inlineStr">
        <is>
          <t>DALARNAS LÄN</t>
        </is>
      </c>
      <c r="G7169" t="inlineStr">
        <is>
          <t>FALUN</t>
        </is>
      </c>
      <c r="I7169" t="n">
        <v>7</v>
      </c>
      <c r="J7169" t="n">
        <v>0</v>
      </c>
      <c r="K7169" t="n">
        <v>0</v>
      </c>
      <c r="L7169" t="n">
        <v>0</v>
      </c>
      <c r="M7169" t="n">
        <v>0</v>
      </c>
      <c r="N7169" t="n">
        <v>0</v>
      </c>
      <c r="O7169" t="n">
        <v>0</v>
      </c>
      <c r="P7169" t="n">
        <v>0</v>
      </c>
      <c r="Q7169" t="n">
        <v>0</v>
      </c>
      <c r="R7169" t="n">
        <v>0</v>
      </c>
      <c r="S7169" t="n">
        <v>0</v>
      </c>
      <c r="T7169" t="n">
        <v>0</v>
      </c>
      <c r="U7169" t="n">
        <v>0</v>
      </c>
      <c r="V7169" s="2" t="inlineStr"/>
    </row>
    <row r="7170" ht="15" customHeight="1">
      <c r="A7170" t="inlineStr">
        <is>
          <t>A 29707-2023</t>
        </is>
      </c>
      <c r="B7170" t="inlineStr">
        <is>
          <t>avverkningsanmälan</t>
        </is>
      </c>
      <c r="C7170" t="inlineStr">
        <is>
          <t>Föryngringsavverkning</t>
        </is>
      </c>
      <c r="D7170" s="1" t="n">
        <v>45107</v>
      </c>
      <c r="E7170" s="1" t="n">
        <v>46319</v>
      </c>
      <c r="F7170" t="inlineStr">
        <is>
          <t>DALARNAS LÄN</t>
        </is>
      </c>
      <c r="G7170" t="inlineStr">
        <is>
          <t>RÄTTVIK</t>
        </is>
      </c>
      <c r="I7170" t="n">
        <v>1.2</v>
      </c>
      <c r="J7170" t="n">
        <v>0</v>
      </c>
      <c r="K7170" t="n">
        <v>0</v>
      </c>
      <c r="L7170" t="n">
        <v>0</v>
      </c>
      <c r="M7170" t="n">
        <v>0</v>
      </c>
      <c r="N7170" t="n">
        <v>0</v>
      </c>
      <c r="O7170" t="n">
        <v>0</v>
      </c>
      <c r="P7170" t="n">
        <v>0</v>
      </c>
      <c r="Q7170" t="n">
        <v>0</v>
      </c>
      <c r="R7170" t="n">
        <v>0</v>
      </c>
      <c r="S7170" t="n">
        <v>0</v>
      </c>
      <c r="T7170" t="n">
        <v>0</v>
      </c>
      <c r="U7170" t="n">
        <v>0</v>
      </c>
      <c r="V7170" s="2" t="inlineStr"/>
    </row>
    <row r="7171" ht="15" customHeight="1">
      <c r="A7171" t="inlineStr">
        <is>
          <t>A 20608-2026</t>
        </is>
      </c>
      <c r="B7171" t="inlineStr">
        <is>
          <t>avverkningsanmälan</t>
        </is>
      </c>
      <c r="C7171" t="inlineStr">
        <is>
          <t>Avverkning för annat ändamål</t>
        </is>
      </c>
      <c r="D7171" s="1" t="n">
        <v>46140</v>
      </c>
      <c r="E7171" s="1" t="n">
        <v>46319</v>
      </c>
      <c r="F7171" t="inlineStr">
        <is>
          <t>DALARNAS LÄN</t>
        </is>
      </c>
      <c r="G7171" t="inlineStr">
        <is>
          <t>MALUNG-SÄLEN</t>
        </is>
      </c>
      <c r="I7171" t="n">
        <v>1.9</v>
      </c>
      <c r="J7171" t="n">
        <v>0</v>
      </c>
      <c r="K7171" t="n">
        <v>0</v>
      </c>
      <c r="L7171" t="n">
        <v>0</v>
      </c>
      <c r="M7171" t="n">
        <v>0</v>
      </c>
      <c r="N7171" t="n">
        <v>0</v>
      </c>
      <c r="O7171" t="n">
        <v>0</v>
      </c>
      <c r="P7171" t="n">
        <v>0</v>
      </c>
      <c r="Q7171" t="n">
        <v>0</v>
      </c>
      <c r="R7171" t="n">
        <v>0</v>
      </c>
      <c r="S7171" t="n">
        <v>0</v>
      </c>
      <c r="T7171" t="n">
        <v>0</v>
      </c>
      <c r="U7171" t="n">
        <v>0</v>
      </c>
      <c r="V7171" s="2" t="inlineStr"/>
    </row>
    <row r="7172" ht="15" customHeight="1">
      <c r="A7172" t="inlineStr">
        <is>
          <t>A 29283-2022</t>
        </is>
      </c>
      <c r="B7172" t="inlineStr">
        <is>
          <t>avverkningsanmälan</t>
        </is>
      </c>
      <c r="C7172" t="inlineStr">
        <is>
          <t>Föryngringsavverkning</t>
        </is>
      </c>
      <c r="D7172" s="1" t="n">
        <v>44750</v>
      </c>
      <c r="E7172" s="1" t="n">
        <v>46319</v>
      </c>
      <c r="F7172" t="inlineStr">
        <is>
          <t>DALARNAS LÄN</t>
        </is>
      </c>
      <c r="G7172" t="inlineStr">
        <is>
          <t>HEDEMORA</t>
        </is>
      </c>
      <c r="H7172" t="inlineStr">
        <is>
          <t>Sveaskog</t>
        </is>
      </c>
      <c r="I7172" t="n">
        <v>1.1</v>
      </c>
      <c r="J7172" t="n">
        <v>0</v>
      </c>
      <c r="K7172" t="n">
        <v>0</v>
      </c>
      <c r="L7172" t="n">
        <v>0</v>
      </c>
      <c r="M7172" t="n">
        <v>0</v>
      </c>
      <c r="N7172" t="n">
        <v>0</v>
      </c>
      <c r="O7172" t="n">
        <v>0</v>
      </c>
      <c r="P7172" t="n">
        <v>0</v>
      </c>
      <c r="Q7172" t="n">
        <v>0</v>
      </c>
      <c r="R7172" t="n">
        <v>0</v>
      </c>
      <c r="S7172" t="n">
        <v>0</v>
      </c>
      <c r="T7172" t="n">
        <v>0</v>
      </c>
      <c r="U7172" t="n">
        <v>0</v>
      </c>
      <c r="V7172" s="2" t="inlineStr"/>
    </row>
    <row r="7173" ht="15" customHeight="1">
      <c r="A7173" t="inlineStr">
        <is>
          <t>A 41880-2024</t>
        </is>
      </c>
      <c r="B7173" t="inlineStr">
        <is>
          <t>avverkningsanmälan</t>
        </is>
      </c>
      <c r="C7173" t="inlineStr">
        <is>
          <t>Föryngringsavverkning</t>
        </is>
      </c>
      <c r="D7173" s="1" t="n">
        <v>45561</v>
      </c>
      <c r="E7173" s="1" t="n">
        <v>46319</v>
      </c>
      <c r="F7173" t="inlineStr">
        <is>
          <t>DALARNAS LÄN</t>
        </is>
      </c>
      <c r="G7173" t="inlineStr">
        <is>
          <t>MALUNG-SÄLEN</t>
        </is>
      </c>
      <c r="I7173" t="n">
        <v>5.1</v>
      </c>
      <c r="J7173" t="n">
        <v>0</v>
      </c>
      <c r="K7173" t="n">
        <v>0</v>
      </c>
      <c r="L7173" t="n">
        <v>0</v>
      </c>
      <c r="M7173" t="n">
        <v>0</v>
      </c>
      <c r="N7173" t="n">
        <v>0</v>
      </c>
      <c r="O7173" t="n">
        <v>0</v>
      </c>
      <c r="P7173" t="n">
        <v>0</v>
      </c>
      <c r="Q7173" t="n">
        <v>0</v>
      </c>
      <c r="R7173" t="n">
        <v>0</v>
      </c>
      <c r="S7173" t="n">
        <v>0</v>
      </c>
      <c r="T7173" t="n">
        <v>0</v>
      </c>
      <c r="U7173" t="n">
        <v>0</v>
      </c>
      <c r="V7173" s="2" t="inlineStr"/>
    </row>
    <row r="7174" ht="15" customHeight="1">
      <c r="A7174" t="inlineStr">
        <is>
          <t>A 33912-2024</t>
        </is>
      </c>
      <c r="B7174" t="inlineStr">
        <is>
          <t>avverkningsanmälan</t>
        </is>
      </c>
      <c r="C7174" t="inlineStr">
        <is>
          <t>Föryngringsavverkning</t>
        </is>
      </c>
      <c r="D7174" s="1" t="n">
        <v>45523</v>
      </c>
      <c r="E7174" s="1" t="n">
        <v>46319</v>
      </c>
      <c r="F7174" t="inlineStr">
        <is>
          <t>DALARNAS LÄN</t>
        </is>
      </c>
      <c r="G7174" t="inlineStr">
        <is>
          <t>FALUN</t>
        </is>
      </c>
      <c r="H7174" t="inlineStr">
        <is>
          <t>Allmännings- och besparingsskogar</t>
        </is>
      </c>
      <c r="I7174" t="n">
        <v>3.6</v>
      </c>
      <c r="J7174" t="n">
        <v>0</v>
      </c>
      <c r="K7174" t="n">
        <v>0</v>
      </c>
      <c r="L7174" t="n">
        <v>0</v>
      </c>
      <c r="M7174" t="n">
        <v>0</v>
      </c>
      <c r="N7174" t="n">
        <v>0</v>
      </c>
      <c r="O7174" t="n">
        <v>0</v>
      </c>
      <c r="P7174" t="n">
        <v>0</v>
      </c>
      <c r="Q7174" t="n">
        <v>0</v>
      </c>
      <c r="R7174" t="n">
        <v>0</v>
      </c>
      <c r="S7174" t="n">
        <v>0</v>
      </c>
      <c r="T7174" t="n">
        <v>0</v>
      </c>
      <c r="U7174" t="n">
        <v>0</v>
      </c>
      <c r="V7174" s="2" t="inlineStr"/>
    </row>
    <row r="7175" ht="15" customHeight="1">
      <c r="A7175" t="inlineStr">
        <is>
          <t>A 6539-2026</t>
        </is>
      </c>
      <c r="B7175" t="inlineStr">
        <is>
          <t>avverkningsanmälan</t>
        </is>
      </c>
      <c r="C7175" t="inlineStr">
        <is>
          <t>Föryngringsavverkning</t>
        </is>
      </c>
      <c r="D7175" s="1" t="n">
        <v>46056</v>
      </c>
      <c r="E7175" s="1" t="n">
        <v>46319</v>
      </c>
      <c r="F7175" t="inlineStr">
        <is>
          <t>DALARNAS LÄN</t>
        </is>
      </c>
      <c r="G7175" t="inlineStr">
        <is>
          <t>FALUN</t>
        </is>
      </c>
      <c r="I7175" t="n">
        <v>3.3</v>
      </c>
      <c r="J7175" t="n">
        <v>0</v>
      </c>
      <c r="K7175" t="n">
        <v>0</v>
      </c>
      <c r="L7175" t="n">
        <v>0</v>
      </c>
      <c r="M7175" t="n">
        <v>0</v>
      </c>
      <c r="N7175" t="n">
        <v>0</v>
      </c>
      <c r="O7175" t="n">
        <v>0</v>
      </c>
      <c r="P7175" t="n">
        <v>0</v>
      </c>
      <c r="Q7175" t="n">
        <v>0</v>
      </c>
      <c r="R7175" t="n">
        <v>0</v>
      </c>
      <c r="S7175" t="n">
        <v>0</v>
      </c>
      <c r="T7175" t="n">
        <v>0</v>
      </c>
      <c r="U7175" t="n">
        <v>0</v>
      </c>
      <c r="V7175" s="2" t="inlineStr"/>
    </row>
    <row r="7176" ht="15" customHeight="1">
      <c r="A7176" t="inlineStr">
        <is>
          <t>A 11849-2026</t>
        </is>
      </c>
      <c r="B7176" t="inlineStr">
        <is>
          <t>avverkningsanmälan</t>
        </is>
      </c>
      <c r="C7176" t="inlineStr">
        <is>
          <t>Föryngringsavverkning</t>
        </is>
      </c>
      <c r="D7176" s="1" t="n">
        <v>46085</v>
      </c>
      <c r="E7176" s="1" t="n">
        <v>46319</v>
      </c>
      <c r="F7176" t="inlineStr">
        <is>
          <t>DALARNAS LÄN</t>
        </is>
      </c>
      <c r="G7176" t="inlineStr">
        <is>
          <t>RÄTTVIK</t>
        </is>
      </c>
      <c r="H7176" t="inlineStr">
        <is>
          <t>Bergvik skog väst AB</t>
        </is>
      </c>
      <c r="I7176" t="n">
        <v>7.2</v>
      </c>
      <c r="J7176" t="n">
        <v>0</v>
      </c>
      <c r="K7176" t="n">
        <v>0</v>
      </c>
      <c r="L7176" t="n">
        <v>0</v>
      </c>
      <c r="M7176" t="n">
        <v>0</v>
      </c>
      <c r="N7176" t="n">
        <v>0</v>
      </c>
      <c r="O7176" t="n">
        <v>0</v>
      </c>
      <c r="P7176" t="n">
        <v>0</v>
      </c>
      <c r="Q7176" t="n">
        <v>0</v>
      </c>
      <c r="R7176" t="n">
        <v>0</v>
      </c>
      <c r="S7176" t="n">
        <v>0</v>
      </c>
      <c r="T7176" t="n">
        <v>0</v>
      </c>
      <c r="U7176" t="n">
        <v>0</v>
      </c>
      <c r="V7176" s="2" t="inlineStr"/>
    </row>
    <row r="7177" ht="15" customHeight="1">
      <c r="A7177" t="inlineStr">
        <is>
          <t>A 15861-2025</t>
        </is>
      </c>
      <c r="B7177" t="inlineStr">
        <is>
          <t>avverkningsanmälan</t>
        </is>
      </c>
      <c r="C7177" t="inlineStr">
        <is>
          <t>Föryngringsavverkning</t>
        </is>
      </c>
      <c r="D7177" s="1" t="n">
        <v>45749</v>
      </c>
      <c r="E7177" s="1" t="n">
        <v>46319</v>
      </c>
      <c r="F7177" t="inlineStr">
        <is>
          <t>DALARNAS LÄN</t>
        </is>
      </c>
      <c r="G7177" t="inlineStr">
        <is>
          <t>GAGNEF</t>
        </is>
      </c>
      <c r="I7177" t="n">
        <v>1.2</v>
      </c>
      <c r="J7177" t="n">
        <v>0</v>
      </c>
      <c r="K7177" t="n">
        <v>0</v>
      </c>
      <c r="L7177" t="n">
        <v>0</v>
      </c>
      <c r="M7177" t="n">
        <v>0</v>
      </c>
      <c r="N7177" t="n">
        <v>0</v>
      </c>
      <c r="O7177" t="n">
        <v>0</v>
      </c>
      <c r="P7177" t="n">
        <v>0</v>
      </c>
      <c r="Q7177" t="n">
        <v>0</v>
      </c>
      <c r="R7177" t="n">
        <v>0</v>
      </c>
      <c r="S7177" t="n">
        <v>0</v>
      </c>
      <c r="T7177" t="n">
        <v>0</v>
      </c>
      <c r="U7177" t="n">
        <v>0</v>
      </c>
      <c r="V7177" s="2" t="inlineStr"/>
    </row>
    <row r="7178" ht="15" customHeight="1">
      <c r="A7178" t="inlineStr">
        <is>
          <t>A 7467-2023</t>
        </is>
      </c>
      <c r="B7178" t="inlineStr">
        <is>
          <t>avverkningsanmälan</t>
        </is>
      </c>
      <c r="C7178" t="inlineStr">
        <is>
          <t>Föryngringsavverkning</t>
        </is>
      </c>
      <c r="D7178" s="1" t="n">
        <v>44966</v>
      </c>
      <c r="E7178" s="1" t="n">
        <v>46319</v>
      </c>
      <c r="F7178" t="inlineStr">
        <is>
          <t>DALARNAS LÄN</t>
        </is>
      </c>
      <c r="G7178" t="inlineStr">
        <is>
          <t>LEKSAND</t>
        </is>
      </c>
      <c r="I7178" t="n">
        <v>2.4</v>
      </c>
      <c r="J7178" t="n">
        <v>0</v>
      </c>
      <c r="K7178" t="n">
        <v>0</v>
      </c>
      <c r="L7178" t="n">
        <v>0</v>
      </c>
      <c r="M7178" t="n">
        <v>0</v>
      </c>
      <c r="N7178" t="n">
        <v>0</v>
      </c>
      <c r="O7178" t="n">
        <v>0</v>
      </c>
      <c r="P7178" t="n">
        <v>0</v>
      </c>
      <c r="Q7178" t="n">
        <v>0</v>
      </c>
      <c r="R7178" t="n">
        <v>0</v>
      </c>
      <c r="S7178" t="n">
        <v>0</v>
      </c>
      <c r="T7178" t="n">
        <v>0</v>
      </c>
      <c r="U7178" t="n">
        <v>0</v>
      </c>
      <c r="V7178" s="2" t="inlineStr"/>
    </row>
    <row r="7179" ht="15" customHeight="1">
      <c r="A7179" t="inlineStr">
        <is>
          <t>A 36132-2025</t>
        </is>
      </c>
      <c r="B7179" t="inlineStr">
        <is>
          <t>avverkningsanmälan</t>
        </is>
      </c>
      <c r="C7179" t="inlineStr">
        <is>
          <t>Föryngringsavverkning</t>
        </is>
      </c>
      <c r="D7179" s="1" t="n">
        <v>45866</v>
      </c>
      <c r="E7179" s="1" t="n">
        <v>46319</v>
      </c>
      <c r="F7179" t="inlineStr">
        <is>
          <t>DALARNAS LÄN</t>
        </is>
      </c>
      <c r="G7179" t="inlineStr">
        <is>
          <t>AVESTA</t>
        </is>
      </c>
      <c r="I7179" t="n">
        <v>10.6</v>
      </c>
      <c r="J7179" t="n">
        <v>0</v>
      </c>
      <c r="K7179" t="n">
        <v>0</v>
      </c>
      <c r="L7179" t="n">
        <v>0</v>
      </c>
      <c r="M7179" t="n">
        <v>0</v>
      </c>
      <c r="N7179" t="n">
        <v>0</v>
      </c>
      <c r="O7179" t="n">
        <v>0</v>
      </c>
      <c r="P7179" t="n">
        <v>0</v>
      </c>
      <c r="Q7179" t="n">
        <v>0</v>
      </c>
      <c r="R7179" t="n">
        <v>0</v>
      </c>
      <c r="S7179" t="n">
        <v>0</v>
      </c>
      <c r="T7179" t="n">
        <v>0</v>
      </c>
      <c r="U7179" t="n">
        <v>0</v>
      </c>
      <c r="V7179" s="2" t="inlineStr"/>
    </row>
    <row r="7180" ht="15" customHeight="1">
      <c r="A7180" t="inlineStr">
        <is>
          <t>A 36379-2026</t>
        </is>
      </c>
      <c r="B7180" t="inlineStr">
        <is>
          <t>avverkningsanmälan</t>
        </is>
      </c>
      <c r="C7180" t="inlineStr">
        <is>
          <t>Föryngringsavverkning</t>
        </is>
      </c>
      <c r="D7180" s="1" t="n">
        <v>46268</v>
      </c>
      <c r="E7180" s="1" t="n">
        <v>46319</v>
      </c>
      <c r="F7180" t="inlineStr">
        <is>
          <t>DALARNAS LÄN</t>
        </is>
      </c>
      <c r="G7180" t="inlineStr">
        <is>
          <t>VANSBRO</t>
        </is>
      </c>
      <c r="H7180" t="inlineStr">
        <is>
          <t>Kyrkan</t>
        </is>
      </c>
      <c r="I7180" t="n">
        <v>2</v>
      </c>
      <c r="J7180" t="n">
        <v>0</v>
      </c>
      <c r="K7180" t="n">
        <v>0</v>
      </c>
      <c r="L7180" t="n">
        <v>0</v>
      </c>
      <c r="M7180" t="n">
        <v>0</v>
      </c>
      <c r="N7180" t="n">
        <v>0</v>
      </c>
      <c r="O7180" t="n">
        <v>0</v>
      </c>
      <c r="P7180" t="n">
        <v>0</v>
      </c>
      <c r="Q7180" t="n">
        <v>0</v>
      </c>
      <c r="R7180" t="n">
        <v>0</v>
      </c>
      <c r="S7180" t="n">
        <v>0</v>
      </c>
      <c r="T7180" t="n">
        <v>0</v>
      </c>
      <c r="U7180" t="n">
        <v>0</v>
      </c>
      <c r="V7180" s="2" t="inlineStr"/>
    </row>
    <row r="7181" ht="15" customHeight="1">
      <c r="A7181" t="inlineStr">
        <is>
          <t>A 36820-2026</t>
        </is>
      </c>
      <c r="B7181" t="inlineStr">
        <is>
          <t>avverkningsanmälan</t>
        </is>
      </c>
      <c r="C7181" t="inlineStr">
        <is>
          <t>Föryngringsavverkning</t>
        </is>
      </c>
      <c r="D7181" s="1" t="n">
        <v>46272</v>
      </c>
      <c r="E7181" s="1" t="n">
        <v>46319</v>
      </c>
      <c r="F7181" t="inlineStr">
        <is>
          <t>DALARNAS LÄN</t>
        </is>
      </c>
      <c r="G7181" t="inlineStr">
        <is>
          <t>LUDVIKA</t>
        </is>
      </c>
      <c r="I7181" t="n">
        <v>0.9</v>
      </c>
      <c r="J7181" t="n">
        <v>0</v>
      </c>
      <c r="K7181" t="n">
        <v>0</v>
      </c>
      <c r="L7181" t="n">
        <v>0</v>
      </c>
      <c r="M7181" t="n">
        <v>0</v>
      </c>
      <c r="N7181" t="n">
        <v>0</v>
      </c>
      <c r="O7181" t="n">
        <v>0</v>
      </c>
      <c r="P7181" t="n">
        <v>0</v>
      </c>
      <c r="Q7181" t="n">
        <v>0</v>
      </c>
      <c r="R7181" t="n">
        <v>0</v>
      </c>
      <c r="S7181" t="n">
        <v>0</v>
      </c>
      <c r="T7181" t="n">
        <v>0</v>
      </c>
      <c r="U7181" t="n">
        <v>0</v>
      </c>
      <c r="V7181" s="2" t="inlineStr"/>
    </row>
    <row r="7182" ht="15" customHeight="1">
      <c r="A7182" t="inlineStr">
        <is>
          <t>A 57855-2025</t>
        </is>
      </c>
      <c r="B7182" t="inlineStr">
        <is>
          <t>avverkningsanmälan</t>
        </is>
      </c>
      <c r="C7182" t="inlineStr">
        <is>
          <t>Föryngringsavverkning</t>
        </is>
      </c>
      <c r="D7182" s="1" t="n">
        <v>45981</v>
      </c>
      <c r="E7182" s="1" t="n">
        <v>46319</v>
      </c>
      <c r="F7182" t="inlineStr">
        <is>
          <t>DALARNAS LÄN</t>
        </is>
      </c>
      <c r="G7182" t="inlineStr">
        <is>
          <t>MORA</t>
        </is>
      </c>
      <c r="I7182" t="n">
        <v>9.9</v>
      </c>
      <c r="J7182" t="n">
        <v>0</v>
      </c>
      <c r="K7182" t="n">
        <v>0</v>
      </c>
      <c r="L7182" t="n">
        <v>0</v>
      </c>
      <c r="M7182" t="n">
        <v>0</v>
      </c>
      <c r="N7182" t="n">
        <v>0</v>
      </c>
      <c r="O7182" t="n">
        <v>0</v>
      </c>
      <c r="P7182" t="n">
        <v>0</v>
      </c>
      <c r="Q7182" t="n">
        <v>0</v>
      </c>
      <c r="R7182" t="n">
        <v>0</v>
      </c>
      <c r="S7182" t="n">
        <v>0</v>
      </c>
      <c r="T7182" t="n">
        <v>0</v>
      </c>
      <c r="U7182" t="n">
        <v>0</v>
      </c>
      <c r="V7182" s="2" t="inlineStr"/>
    </row>
    <row r="7183" ht="15" customHeight="1">
      <c r="A7183" t="inlineStr">
        <is>
          <t>A 22712-2024</t>
        </is>
      </c>
      <c r="B7183" t="inlineStr">
        <is>
          <t>avverkningsanmälan</t>
        </is>
      </c>
      <c r="C7183" t="inlineStr">
        <is>
          <t>Föryngringsavverkning</t>
        </is>
      </c>
      <c r="D7183" s="1" t="n">
        <v>45448</v>
      </c>
      <c r="E7183" s="1" t="n">
        <v>46319</v>
      </c>
      <c r="F7183" t="inlineStr">
        <is>
          <t>DALARNAS LÄN</t>
        </is>
      </c>
      <c r="G7183" t="inlineStr">
        <is>
          <t>MALUNG-SÄLEN</t>
        </is>
      </c>
      <c r="I7183" t="n">
        <v>2.1</v>
      </c>
      <c r="J7183" t="n">
        <v>0</v>
      </c>
      <c r="K7183" t="n">
        <v>0</v>
      </c>
      <c r="L7183" t="n">
        <v>0</v>
      </c>
      <c r="M7183" t="n">
        <v>0</v>
      </c>
      <c r="N7183" t="n">
        <v>0</v>
      </c>
      <c r="O7183" t="n">
        <v>0</v>
      </c>
      <c r="P7183" t="n">
        <v>0</v>
      </c>
      <c r="Q7183" t="n">
        <v>0</v>
      </c>
      <c r="R7183" t="n">
        <v>0</v>
      </c>
      <c r="S7183" t="n">
        <v>0</v>
      </c>
      <c r="T7183" t="n">
        <v>0</v>
      </c>
      <c r="U7183" t="n">
        <v>0</v>
      </c>
      <c r="V7183" s="2" t="inlineStr"/>
    </row>
    <row r="7184" ht="15" customHeight="1">
      <c r="A7184" t="inlineStr">
        <is>
          <t>A 25149-2025</t>
        </is>
      </c>
      <c r="B7184" t="inlineStr">
        <is>
          <t>avverkningsanmälan</t>
        </is>
      </c>
      <c r="C7184" t="inlineStr">
        <is>
          <t>Föryngringsavverkning</t>
        </is>
      </c>
      <c r="D7184" s="1" t="n">
        <v>45800</v>
      </c>
      <c r="E7184" s="1" t="n">
        <v>46319</v>
      </c>
      <c r="F7184" t="inlineStr">
        <is>
          <t>DALARNAS LÄN</t>
        </is>
      </c>
      <c r="G7184" t="inlineStr">
        <is>
          <t>FALUN</t>
        </is>
      </c>
      <c r="I7184" t="n">
        <v>2.1</v>
      </c>
      <c r="J7184" t="n">
        <v>0</v>
      </c>
      <c r="K7184" t="n">
        <v>0</v>
      </c>
      <c r="L7184" t="n">
        <v>0</v>
      </c>
      <c r="M7184" t="n">
        <v>0</v>
      </c>
      <c r="N7184" t="n">
        <v>0</v>
      </c>
      <c r="O7184" t="n">
        <v>0</v>
      </c>
      <c r="P7184" t="n">
        <v>0</v>
      </c>
      <c r="Q7184" t="n">
        <v>0</v>
      </c>
      <c r="R7184" t="n">
        <v>0</v>
      </c>
      <c r="S7184" t="n">
        <v>0</v>
      </c>
      <c r="T7184" t="n">
        <v>0</v>
      </c>
      <c r="U7184" t="n">
        <v>0</v>
      </c>
      <c r="V7184" s="2" t="inlineStr"/>
    </row>
    <row r="7185" ht="15" customHeight="1">
      <c r="A7185" t="inlineStr">
        <is>
          <t>A 41951-2024</t>
        </is>
      </c>
      <c r="B7185" t="inlineStr">
        <is>
          <t>avverkningsanmälan</t>
        </is>
      </c>
      <c r="C7185" t="inlineStr">
        <is>
          <t>Föryngringsavverkning</t>
        </is>
      </c>
      <c r="D7185" s="1" t="n">
        <v>45561</v>
      </c>
      <c r="E7185" s="1" t="n">
        <v>46319</v>
      </c>
      <c r="F7185" t="inlineStr">
        <is>
          <t>DALARNAS LÄN</t>
        </is>
      </c>
      <c r="G7185" t="inlineStr">
        <is>
          <t>SÄTER</t>
        </is>
      </c>
      <c r="H7185" t="inlineStr">
        <is>
          <t>Bergvik skog väst AB</t>
        </is>
      </c>
      <c r="I7185" t="n">
        <v>10.8</v>
      </c>
      <c r="J7185" t="n">
        <v>0</v>
      </c>
      <c r="K7185" t="n">
        <v>0</v>
      </c>
      <c r="L7185" t="n">
        <v>0</v>
      </c>
      <c r="M7185" t="n">
        <v>0</v>
      </c>
      <c r="N7185" t="n">
        <v>0</v>
      </c>
      <c r="O7185" t="n">
        <v>0</v>
      </c>
      <c r="P7185" t="n">
        <v>0</v>
      </c>
      <c r="Q7185" t="n">
        <v>0</v>
      </c>
      <c r="R7185" t="n">
        <v>0</v>
      </c>
      <c r="S7185" t="n">
        <v>0</v>
      </c>
      <c r="T7185" t="n">
        <v>0</v>
      </c>
      <c r="U7185" t="n">
        <v>0</v>
      </c>
      <c r="V7185" s="2" t="inlineStr"/>
    </row>
    <row r="7186" ht="15" customHeight="1">
      <c r="A7186" t="inlineStr">
        <is>
          <t>A 41954-2024</t>
        </is>
      </c>
      <c r="B7186" t="inlineStr">
        <is>
          <t>avverkningsanmälan</t>
        </is>
      </c>
      <c r="C7186" t="inlineStr">
        <is>
          <t>Föryngringsavverkning</t>
        </is>
      </c>
      <c r="D7186" s="1" t="n">
        <v>45561</v>
      </c>
      <c r="E7186" s="1" t="n">
        <v>46319</v>
      </c>
      <c r="F7186" t="inlineStr">
        <is>
          <t>DALARNAS LÄN</t>
        </is>
      </c>
      <c r="G7186" t="inlineStr">
        <is>
          <t>SÄTER</t>
        </is>
      </c>
      <c r="H7186" t="inlineStr">
        <is>
          <t>Bergvik skog väst AB</t>
        </is>
      </c>
      <c r="I7186" t="n">
        <v>2</v>
      </c>
      <c r="J7186" t="n">
        <v>0</v>
      </c>
      <c r="K7186" t="n">
        <v>0</v>
      </c>
      <c r="L7186" t="n">
        <v>0</v>
      </c>
      <c r="M7186" t="n">
        <v>0</v>
      </c>
      <c r="N7186" t="n">
        <v>0</v>
      </c>
      <c r="O7186" t="n">
        <v>0</v>
      </c>
      <c r="P7186" t="n">
        <v>0</v>
      </c>
      <c r="Q7186" t="n">
        <v>0</v>
      </c>
      <c r="R7186" t="n">
        <v>0</v>
      </c>
      <c r="S7186" t="n">
        <v>0</v>
      </c>
      <c r="T7186" t="n">
        <v>0</v>
      </c>
      <c r="U7186" t="n">
        <v>0</v>
      </c>
      <c r="V7186" s="2" t="inlineStr"/>
    </row>
    <row r="7187" ht="15" customHeight="1">
      <c r="A7187" t="inlineStr">
        <is>
          <t>A 36268-2026</t>
        </is>
      </c>
      <c r="B7187" t="inlineStr">
        <is>
          <t>avverkningsanmälan</t>
        </is>
      </c>
      <c r="C7187" t="inlineStr">
        <is>
          <t>Föryngringsavverkning</t>
        </is>
      </c>
      <c r="D7187" s="1" t="n">
        <v>46268</v>
      </c>
      <c r="E7187" s="1" t="n">
        <v>46319</v>
      </c>
      <c r="F7187" t="inlineStr">
        <is>
          <t>DALARNAS LÄN</t>
        </is>
      </c>
      <c r="G7187" t="inlineStr">
        <is>
          <t>SMEDJEBACKEN</t>
        </is>
      </c>
      <c r="I7187" t="n">
        <v>4.2</v>
      </c>
      <c r="J7187" t="n">
        <v>0</v>
      </c>
      <c r="K7187" t="n">
        <v>0</v>
      </c>
      <c r="L7187" t="n">
        <v>0</v>
      </c>
      <c r="M7187" t="n">
        <v>0</v>
      </c>
      <c r="N7187" t="n">
        <v>0</v>
      </c>
      <c r="O7187" t="n">
        <v>0</v>
      </c>
      <c r="P7187" t="n">
        <v>0</v>
      </c>
      <c r="Q7187" t="n">
        <v>0</v>
      </c>
      <c r="R7187" t="n">
        <v>0</v>
      </c>
      <c r="S7187" t="n">
        <v>0</v>
      </c>
      <c r="T7187" t="n">
        <v>0</v>
      </c>
      <c r="U7187" t="n">
        <v>0</v>
      </c>
      <c r="V7187" s="2" t="inlineStr"/>
    </row>
    <row r="7188" ht="15" customHeight="1">
      <c r="A7188" t="inlineStr">
        <is>
          <t>A 36375-2026</t>
        </is>
      </c>
      <c r="B7188" t="inlineStr">
        <is>
          <t>avverkningsanmälan</t>
        </is>
      </c>
      <c r="C7188" t="inlineStr">
        <is>
          <t>Föryngringsavverkning</t>
        </is>
      </c>
      <c r="D7188" s="1" t="n">
        <v>46268</v>
      </c>
      <c r="E7188" s="1" t="n">
        <v>46319</v>
      </c>
      <c r="F7188" t="inlineStr">
        <is>
          <t>DALARNAS LÄN</t>
        </is>
      </c>
      <c r="G7188" t="inlineStr">
        <is>
          <t>VANSBRO</t>
        </is>
      </c>
      <c r="H7188" t="inlineStr">
        <is>
          <t>Kyrkan</t>
        </is>
      </c>
      <c r="I7188" t="n">
        <v>1</v>
      </c>
      <c r="J7188" t="n">
        <v>0</v>
      </c>
      <c r="K7188" t="n">
        <v>0</v>
      </c>
      <c r="L7188" t="n">
        <v>0</v>
      </c>
      <c r="M7188" t="n">
        <v>0</v>
      </c>
      <c r="N7188" t="n">
        <v>0</v>
      </c>
      <c r="O7188" t="n">
        <v>0</v>
      </c>
      <c r="P7188" t="n">
        <v>0</v>
      </c>
      <c r="Q7188" t="n">
        <v>0</v>
      </c>
      <c r="R7188" t="n">
        <v>0</v>
      </c>
      <c r="S7188" t="n">
        <v>0</v>
      </c>
      <c r="T7188" t="n">
        <v>0</v>
      </c>
      <c r="U7188" t="n">
        <v>0</v>
      </c>
      <c r="V7188" s="2" t="inlineStr"/>
    </row>
    <row r="7189" ht="15" customHeight="1">
      <c r="A7189" t="inlineStr">
        <is>
          <t>A 52466-2023</t>
        </is>
      </c>
      <c r="B7189" t="inlineStr">
        <is>
          <t>avverkningsanmälan</t>
        </is>
      </c>
      <c r="C7189" t="inlineStr">
        <is>
          <t>Föryngringsavverkning</t>
        </is>
      </c>
      <c r="D7189" s="1" t="n">
        <v>45225</v>
      </c>
      <c r="E7189" s="1" t="n">
        <v>46319</v>
      </c>
      <c r="F7189" t="inlineStr">
        <is>
          <t>DALARNAS LÄN</t>
        </is>
      </c>
      <c r="G7189" t="inlineStr">
        <is>
          <t>LUDVIKA</t>
        </is>
      </c>
      <c r="H7189" t="inlineStr">
        <is>
          <t>Bergvik skog väst AB</t>
        </is>
      </c>
      <c r="I7189" t="n">
        <v>3.6</v>
      </c>
      <c r="J7189" t="n">
        <v>0</v>
      </c>
      <c r="K7189" t="n">
        <v>0</v>
      </c>
      <c r="L7189" t="n">
        <v>0</v>
      </c>
      <c r="M7189" t="n">
        <v>0</v>
      </c>
      <c r="N7189" t="n">
        <v>0</v>
      </c>
      <c r="O7189" t="n">
        <v>0</v>
      </c>
      <c r="P7189" t="n">
        <v>0</v>
      </c>
      <c r="Q7189" t="n">
        <v>0</v>
      </c>
      <c r="R7189" t="n">
        <v>0</v>
      </c>
      <c r="S7189" t="n">
        <v>0</v>
      </c>
      <c r="T7189" t="n">
        <v>0</v>
      </c>
      <c r="U7189" t="n">
        <v>0</v>
      </c>
      <c r="V7189" s="2" t="inlineStr"/>
    </row>
    <row r="7190" ht="15" customHeight="1">
      <c r="A7190" t="inlineStr">
        <is>
          <t>A 23600-2026</t>
        </is>
      </c>
      <c r="B7190" t="inlineStr">
        <is>
          <t>avverkningsanmälan</t>
        </is>
      </c>
      <c r="C7190" t="inlineStr">
        <is>
          <t>Föryngringsavverkning</t>
        </is>
      </c>
      <c r="D7190" s="1" t="n">
        <v>46163</v>
      </c>
      <c r="E7190" s="1" t="n">
        <v>46319</v>
      </c>
      <c r="F7190" t="inlineStr">
        <is>
          <t>DALARNAS LÄN</t>
        </is>
      </c>
      <c r="G7190" t="inlineStr">
        <is>
          <t>FALUN</t>
        </is>
      </c>
      <c r="H7190" t="inlineStr">
        <is>
          <t>Bergvik skog väst AB</t>
        </is>
      </c>
      <c r="I7190" t="n">
        <v>15</v>
      </c>
      <c r="J7190" t="n">
        <v>0</v>
      </c>
      <c r="K7190" t="n">
        <v>0</v>
      </c>
      <c r="L7190" t="n">
        <v>0</v>
      </c>
      <c r="M7190" t="n">
        <v>0</v>
      </c>
      <c r="N7190" t="n">
        <v>0</v>
      </c>
      <c r="O7190" t="n">
        <v>0</v>
      </c>
      <c r="P7190" t="n">
        <v>0</v>
      </c>
      <c r="Q7190" t="n">
        <v>0</v>
      </c>
      <c r="R7190" t="n">
        <v>0</v>
      </c>
      <c r="S7190" t="n">
        <v>0</v>
      </c>
      <c r="T7190" t="n">
        <v>0</v>
      </c>
      <c r="U7190" t="n">
        <v>0</v>
      </c>
      <c r="V7190" s="2" t="inlineStr"/>
    </row>
    <row r="7191" ht="15" customHeight="1">
      <c r="A7191" t="inlineStr">
        <is>
          <t>A 20384-2026</t>
        </is>
      </c>
      <c r="B7191" t="inlineStr">
        <is>
          <t>avverkningsanmälan</t>
        </is>
      </c>
      <c r="C7191" t="inlineStr">
        <is>
          <t>Föryngringsavverkning</t>
        </is>
      </c>
      <c r="D7191" s="1" t="n">
        <v>46139</v>
      </c>
      <c r="E7191" s="1" t="n">
        <v>46319</v>
      </c>
      <c r="F7191" t="inlineStr">
        <is>
          <t>DALARNAS LÄN</t>
        </is>
      </c>
      <c r="G7191" t="inlineStr">
        <is>
          <t>FALUN</t>
        </is>
      </c>
      <c r="H7191" t="inlineStr">
        <is>
          <t>Bergvik skog väst AB</t>
        </is>
      </c>
      <c r="I7191" t="n">
        <v>5.1</v>
      </c>
      <c r="J7191" t="n">
        <v>0</v>
      </c>
      <c r="K7191" t="n">
        <v>0</v>
      </c>
      <c r="L7191" t="n">
        <v>0</v>
      </c>
      <c r="M7191" t="n">
        <v>0</v>
      </c>
      <c r="N7191" t="n">
        <v>0</v>
      </c>
      <c r="O7191" t="n">
        <v>0</v>
      </c>
      <c r="P7191" t="n">
        <v>0</v>
      </c>
      <c r="Q7191" t="n">
        <v>0</v>
      </c>
      <c r="R7191" t="n">
        <v>0</v>
      </c>
      <c r="S7191" t="n">
        <v>0</v>
      </c>
      <c r="T7191" t="n">
        <v>0</v>
      </c>
      <c r="U7191" t="n">
        <v>0</v>
      </c>
      <c r="V7191" s="2" t="inlineStr"/>
    </row>
    <row r="7192" ht="15" customHeight="1">
      <c r="A7192" t="inlineStr">
        <is>
          <t>A 20402-2026</t>
        </is>
      </c>
      <c r="B7192" t="inlineStr">
        <is>
          <t>avverkningsanmälan</t>
        </is>
      </c>
      <c r="C7192" t="inlineStr">
        <is>
          <t>Föryngringsavverkning</t>
        </is>
      </c>
      <c r="D7192" s="1" t="n">
        <v>46140</v>
      </c>
      <c r="E7192" s="1" t="n">
        <v>46319</v>
      </c>
      <c r="F7192" t="inlineStr">
        <is>
          <t>DALARNAS LÄN</t>
        </is>
      </c>
      <c r="G7192" t="inlineStr">
        <is>
          <t>FALUN</t>
        </is>
      </c>
      <c r="I7192" t="n">
        <v>1.4</v>
      </c>
      <c r="J7192" t="n">
        <v>0</v>
      </c>
      <c r="K7192" t="n">
        <v>0</v>
      </c>
      <c r="L7192" t="n">
        <v>0</v>
      </c>
      <c r="M7192" t="n">
        <v>0</v>
      </c>
      <c r="N7192" t="n">
        <v>0</v>
      </c>
      <c r="O7192" t="n">
        <v>0</v>
      </c>
      <c r="P7192" t="n">
        <v>0</v>
      </c>
      <c r="Q7192" t="n">
        <v>0</v>
      </c>
      <c r="R7192" t="n">
        <v>0</v>
      </c>
      <c r="S7192" t="n">
        <v>0</v>
      </c>
      <c r="T7192" t="n">
        <v>0</v>
      </c>
      <c r="U7192" t="n">
        <v>0</v>
      </c>
      <c r="V7192" s="2" t="inlineStr"/>
    </row>
    <row r="7193" ht="15" customHeight="1">
      <c r="A7193" t="inlineStr">
        <is>
          <t>A 20403-2026</t>
        </is>
      </c>
      <c r="B7193" t="inlineStr">
        <is>
          <t>avverkningsanmälan</t>
        </is>
      </c>
      <c r="C7193" t="inlineStr">
        <is>
          <t>Föryngringsavverkning</t>
        </is>
      </c>
      <c r="D7193" s="1" t="n">
        <v>46140</v>
      </c>
      <c r="E7193" s="1" t="n">
        <v>46319</v>
      </c>
      <c r="F7193" t="inlineStr">
        <is>
          <t>DALARNAS LÄN</t>
        </is>
      </c>
      <c r="G7193" t="inlineStr">
        <is>
          <t>FALUN</t>
        </is>
      </c>
      <c r="H7193" t="inlineStr">
        <is>
          <t>Bergvik skog väst AB</t>
        </is>
      </c>
      <c r="I7193" t="n">
        <v>25</v>
      </c>
      <c r="J7193" t="n">
        <v>0</v>
      </c>
      <c r="K7193" t="n">
        <v>0</v>
      </c>
      <c r="L7193" t="n">
        <v>0</v>
      </c>
      <c r="M7193" t="n">
        <v>0</v>
      </c>
      <c r="N7193" t="n">
        <v>0</v>
      </c>
      <c r="O7193" t="n">
        <v>0</v>
      </c>
      <c r="P7193" t="n">
        <v>0</v>
      </c>
      <c r="Q7193" t="n">
        <v>0</v>
      </c>
      <c r="R7193" t="n">
        <v>0</v>
      </c>
      <c r="S7193" t="n">
        <v>0</v>
      </c>
      <c r="T7193" t="n">
        <v>0</v>
      </c>
      <c r="U7193" t="n">
        <v>0</v>
      </c>
      <c r="V7193" s="2" t="inlineStr"/>
    </row>
    <row r="7194" ht="15" customHeight="1">
      <c r="A7194" t="inlineStr">
        <is>
          <t>A 33118-2025</t>
        </is>
      </c>
      <c r="B7194" t="inlineStr">
        <is>
          <t>avverkningsanmälan</t>
        </is>
      </c>
      <c r="C7194" t="inlineStr">
        <is>
          <t>Föryngringsavverkning</t>
        </is>
      </c>
      <c r="D7194" s="1" t="n">
        <v>45840</v>
      </c>
      <c r="E7194" s="1" t="n">
        <v>46319</v>
      </c>
      <c r="F7194" t="inlineStr">
        <is>
          <t>DALARNAS LÄN</t>
        </is>
      </c>
      <c r="G7194" t="inlineStr">
        <is>
          <t>RÄTTVIK</t>
        </is>
      </c>
      <c r="I7194" t="n">
        <v>2.9</v>
      </c>
      <c r="J7194" t="n">
        <v>0</v>
      </c>
      <c r="K7194" t="n">
        <v>0</v>
      </c>
      <c r="L7194" t="n">
        <v>0</v>
      </c>
      <c r="M7194" t="n">
        <v>0</v>
      </c>
      <c r="N7194" t="n">
        <v>0</v>
      </c>
      <c r="O7194" t="n">
        <v>0</v>
      </c>
      <c r="P7194" t="n">
        <v>0</v>
      </c>
      <c r="Q7194" t="n">
        <v>0</v>
      </c>
      <c r="R7194" t="n">
        <v>0</v>
      </c>
      <c r="S7194" t="n">
        <v>0</v>
      </c>
      <c r="T7194" t="n">
        <v>0</v>
      </c>
      <c r="U7194" t="n">
        <v>0</v>
      </c>
      <c r="V7194" s="2" t="inlineStr"/>
    </row>
    <row r="7195" ht="15" customHeight="1">
      <c r="A7195" t="inlineStr">
        <is>
          <t>A 33209-2025</t>
        </is>
      </c>
      <c r="B7195" t="inlineStr">
        <is>
          <t>avverkningsanmälan</t>
        </is>
      </c>
      <c r="C7195" t="inlineStr">
        <is>
          <t>Föryngringsavverkning</t>
        </is>
      </c>
      <c r="D7195" s="1" t="n">
        <v>45840</v>
      </c>
      <c r="E7195" s="1" t="n">
        <v>46319</v>
      </c>
      <c r="F7195" t="inlineStr">
        <is>
          <t>DALARNAS LÄN</t>
        </is>
      </c>
      <c r="G7195" t="inlineStr">
        <is>
          <t>ORSA</t>
        </is>
      </c>
      <c r="I7195" t="n">
        <v>1.3</v>
      </c>
      <c r="J7195" t="n">
        <v>0</v>
      </c>
      <c r="K7195" t="n">
        <v>0</v>
      </c>
      <c r="L7195" t="n">
        <v>0</v>
      </c>
      <c r="M7195" t="n">
        <v>0</v>
      </c>
      <c r="N7195" t="n">
        <v>0</v>
      </c>
      <c r="O7195" t="n">
        <v>0</v>
      </c>
      <c r="P7195" t="n">
        <v>0</v>
      </c>
      <c r="Q7195" t="n">
        <v>0</v>
      </c>
      <c r="R7195" t="n">
        <v>0</v>
      </c>
      <c r="S7195" t="n">
        <v>0</v>
      </c>
      <c r="T7195" t="n">
        <v>0</v>
      </c>
      <c r="U7195" t="n">
        <v>0</v>
      </c>
      <c r="V7195" s="2" t="inlineStr"/>
    </row>
    <row r="7196" ht="15" customHeight="1">
      <c r="A7196" t="inlineStr">
        <is>
          <t>A 37897-2025</t>
        </is>
      </c>
      <c r="B7196" t="inlineStr">
        <is>
          <t>avverkningsanmälan</t>
        </is>
      </c>
      <c r="C7196" t="inlineStr">
        <is>
          <t>Föryngringsavverkning</t>
        </is>
      </c>
      <c r="D7196" s="1" t="n">
        <v>45881</v>
      </c>
      <c r="E7196" s="1" t="n">
        <v>46319</v>
      </c>
      <c r="F7196" t="inlineStr">
        <is>
          <t>DALARNAS LÄN</t>
        </is>
      </c>
      <c r="G7196" t="inlineStr">
        <is>
          <t>ORSA</t>
        </is>
      </c>
      <c r="I7196" t="n">
        <v>1.9</v>
      </c>
      <c r="J7196" t="n">
        <v>0</v>
      </c>
      <c r="K7196" t="n">
        <v>0</v>
      </c>
      <c r="L7196" t="n">
        <v>0</v>
      </c>
      <c r="M7196" t="n">
        <v>0</v>
      </c>
      <c r="N7196" t="n">
        <v>0</v>
      </c>
      <c r="O7196" t="n">
        <v>0</v>
      </c>
      <c r="P7196" t="n">
        <v>0</v>
      </c>
      <c r="Q7196" t="n">
        <v>0</v>
      </c>
      <c r="R7196" t="n">
        <v>0</v>
      </c>
      <c r="S7196" t="n">
        <v>0</v>
      </c>
      <c r="T7196" t="n">
        <v>0</v>
      </c>
      <c r="U7196" t="n">
        <v>0</v>
      </c>
      <c r="V7196" s="2" t="inlineStr"/>
    </row>
    <row r="7197" ht="15" customHeight="1">
      <c r="A7197" t="inlineStr">
        <is>
          <t>A 20114-2026</t>
        </is>
      </c>
      <c r="B7197" t="inlineStr">
        <is>
          <t>avverkningsanmälan</t>
        </is>
      </c>
      <c r="C7197" t="inlineStr">
        <is>
          <t>Föryngringsavverkning</t>
        </is>
      </c>
      <c r="D7197" s="1" t="n">
        <v>46136</v>
      </c>
      <c r="E7197" s="1" t="n">
        <v>46319</v>
      </c>
      <c r="F7197" t="inlineStr">
        <is>
          <t>DALARNAS LÄN</t>
        </is>
      </c>
      <c r="G7197" t="inlineStr">
        <is>
          <t>RÄTTVIK</t>
        </is>
      </c>
      <c r="H7197" t="inlineStr">
        <is>
          <t>Bergvik skog väst AB</t>
        </is>
      </c>
      <c r="I7197" t="n">
        <v>0.9</v>
      </c>
      <c r="J7197" t="n">
        <v>0</v>
      </c>
      <c r="K7197" t="n">
        <v>0</v>
      </c>
      <c r="L7197" t="n">
        <v>0</v>
      </c>
      <c r="M7197" t="n">
        <v>0</v>
      </c>
      <c r="N7197" t="n">
        <v>0</v>
      </c>
      <c r="O7197" t="n">
        <v>0</v>
      </c>
      <c r="P7197" t="n">
        <v>0</v>
      </c>
      <c r="Q7197" t="n">
        <v>0</v>
      </c>
      <c r="R7197" t="n">
        <v>0</v>
      </c>
      <c r="S7197" t="n">
        <v>0</v>
      </c>
      <c r="T7197" t="n">
        <v>0</v>
      </c>
      <c r="U7197" t="n">
        <v>0</v>
      </c>
      <c r="V7197" s="2" t="inlineStr"/>
    </row>
    <row r="7198" ht="15" customHeight="1">
      <c r="A7198" t="inlineStr">
        <is>
          <t>A 52429-2023</t>
        </is>
      </c>
      <c r="B7198" t="inlineStr">
        <is>
          <t>avverkningsanmälan</t>
        </is>
      </c>
      <c r="C7198" t="inlineStr">
        <is>
          <t>Föryngringsavverkning</t>
        </is>
      </c>
      <c r="D7198" s="1" t="n">
        <v>45225</v>
      </c>
      <c r="E7198" s="1" t="n">
        <v>46319</v>
      </c>
      <c r="F7198" t="inlineStr">
        <is>
          <t>DALARNAS LÄN</t>
        </is>
      </c>
      <c r="G7198" t="inlineStr">
        <is>
          <t>MALUNG-SÄLEN</t>
        </is>
      </c>
      <c r="I7198" t="n">
        <v>0.4</v>
      </c>
      <c r="J7198" t="n">
        <v>0</v>
      </c>
      <c r="K7198" t="n">
        <v>0</v>
      </c>
      <c r="L7198" t="n">
        <v>0</v>
      </c>
      <c r="M7198" t="n">
        <v>0</v>
      </c>
      <c r="N7198" t="n">
        <v>0</v>
      </c>
      <c r="O7198" t="n">
        <v>0</v>
      </c>
      <c r="P7198" t="n">
        <v>0</v>
      </c>
      <c r="Q7198" t="n">
        <v>0</v>
      </c>
      <c r="R7198" t="n">
        <v>0</v>
      </c>
      <c r="S7198" t="n">
        <v>0</v>
      </c>
      <c r="T7198" t="n">
        <v>0</v>
      </c>
      <c r="U7198" t="n">
        <v>0</v>
      </c>
      <c r="V7198" s="2" t="inlineStr"/>
    </row>
    <row r="7199" ht="15" customHeight="1">
      <c r="A7199" t="inlineStr">
        <is>
          <t>A 38560-2023</t>
        </is>
      </c>
      <c r="B7199" t="inlineStr">
        <is>
          <t>avverkningsanmälan</t>
        </is>
      </c>
      <c r="C7199" t="inlineStr">
        <is>
          <t>Föryngringsavverkning</t>
        </is>
      </c>
      <c r="D7199" s="1" t="n">
        <v>45162</v>
      </c>
      <c r="E7199" s="1" t="n">
        <v>46319</v>
      </c>
      <c r="F7199" t="inlineStr">
        <is>
          <t>DALARNAS LÄN</t>
        </is>
      </c>
      <c r="G7199" t="inlineStr">
        <is>
          <t>MALUNG-SÄLEN</t>
        </is>
      </c>
      <c r="I7199" t="n">
        <v>1.1</v>
      </c>
      <c r="J7199" t="n">
        <v>0</v>
      </c>
      <c r="K7199" t="n">
        <v>0</v>
      </c>
      <c r="L7199" t="n">
        <v>0</v>
      </c>
      <c r="M7199" t="n">
        <v>0</v>
      </c>
      <c r="N7199" t="n">
        <v>0</v>
      </c>
      <c r="O7199" t="n">
        <v>0</v>
      </c>
      <c r="P7199" t="n">
        <v>0</v>
      </c>
      <c r="Q7199" t="n">
        <v>0</v>
      </c>
      <c r="R7199" t="n">
        <v>0</v>
      </c>
      <c r="S7199" t="n">
        <v>0</v>
      </c>
      <c r="T7199" t="n">
        <v>0</v>
      </c>
      <c r="U7199" t="n">
        <v>0</v>
      </c>
      <c r="V7199" s="2" t="inlineStr"/>
    </row>
    <row r="7200" ht="15" customHeight="1">
      <c r="A7200" t="inlineStr">
        <is>
          <t>A 2808-2022</t>
        </is>
      </c>
      <c r="B7200" t="inlineStr">
        <is>
          <t>avverkningsanmälan</t>
        </is>
      </c>
      <c r="C7200" t="inlineStr">
        <is>
          <t>Föryngringsavverkning</t>
        </is>
      </c>
      <c r="D7200" s="1" t="n">
        <v>44581</v>
      </c>
      <c r="E7200" s="1" t="n">
        <v>46319</v>
      </c>
      <c r="F7200" t="inlineStr">
        <is>
          <t>DALARNAS LÄN</t>
        </is>
      </c>
      <c r="G7200" t="inlineStr">
        <is>
          <t>AVESTA</t>
        </is>
      </c>
      <c r="I7200" t="n">
        <v>2.3</v>
      </c>
      <c r="J7200" t="n">
        <v>0</v>
      </c>
      <c r="K7200" t="n">
        <v>0</v>
      </c>
      <c r="L7200" t="n">
        <v>0</v>
      </c>
      <c r="M7200" t="n">
        <v>0</v>
      </c>
      <c r="N7200" t="n">
        <v>0</v>
      </c>
      <c r="O7200" t="n">
        <v>0</v>
      </c>
      <c r="P7200" t="n">
        <v>0</v>
      </c>
      <c r="Q7200" t="n">
        <v>0</v>
      </c>
      <c r="R7200" t="n">
        <v>0</v>
      </c>
      <c r="S7200" t="n">
        <v>0</v>
      </c>
      <c r="T7200" t="n">
        <v>0</v>
      </c>
      <c r="U7200" t="n">
        <v>0</v>
      </c>
      <c r="V7200" s="2" t="inlineStr"/>
    </row>
    <row r="7201" ht="15" customHeight="1">
      <c r="A7201" t="inlineStr">
        <is>
          <t>A 20284-2026</t>
        </is>
      </c>
      <c r="B7201" t="inlineStr">
        <is>
          <t>avverkningsanmälan</t>
        </is>
      </c>
      <c r="C7201" t="inlineStr">
        <is>
          <t>Föryngringsavverkning</t>
        </is>
      </c>
      <c r="D7201" s="1" t="n">
        <v>46139</v>
      </c>
      <c r="E7201" s="1" t="n">
        <v>46319</v>
      </c>
      <c r="F7201" t="inlineStr">
        <is>
          <t>DALARNAS LÄN</t>
        </is>
      </c>
      <c r="G7201" t="inlineStr">
        <is>
          <t>RÄTTVIK</t>
        </is>
      </c>
      <c r="I7201" t="n">
        <v>6.1</v>
      </c>
      <c r="J7201" t="n">
        <v>0</v>
      </c>
      <c r="K7201" t="n">
        <v>0</v>
      </c>
      <c r="L7201" t="n">
        <v>0</v>
      </c>
      <c r="M7201" t="n">
        <v>0</v>
      </c>
      <c r="N7201" t="n">
        <v>0</v>
      </c>
      <c r="O7201" t="n">
        <v>0</v>
      </c>
      <c r="P7201" t="n">
        <v>0</v>
      </c>
      <c r="Q7201" t="n">
        <v>0</v>
      </c>
      <c r="R7201" t="n">
        <v>0</v>
      </c>
      <c r="S7201" t="n">
        <v>0</v>
      </c>
      <c r="T7201" t="n">
        <v>0</v>
      </c>
      <c r="U7201" t="n">
        <v>0</v>
      </c>
      <c r="V7201" s="2" t="inlineStr"/>
    </row>
    <row r="7202" ht="15" customHeight="1">
      <c r="A7202" t="inlineStr">
        <is>
          <t>A 43009-2026</t>
        </is>
      </c>
      <c r="B7202" t="inlineStr">
        <is>
          <t>avverkningsanmälan</t>
        </is>
      </c>
      <c r="C7202" t="inlineStr">
        <is>
          <t>Föryngringsavverkning</t>
        </is>
      </c>
      <c r="D7202" s="1" t="n">
        <v>46311</v>
      </c>
      <c r="E7202" s="1" t="n">
        <v>46319</v>
      </c>
      <c r="F7202" t="inlineStr">
        <is>
          <t>DALARNAS LÄN</t>
        </is>
      </c>
      <c r="G7202" t="inlineStr">
        <is>
          <t>LUDVIKA</t>
        </is>
      </c>
      <c r="H7202" t="inlineStr">
        <is>
          <t>Bergvik skog väst AB</t>
        </is>
      </c>
      <c r="I7202" t="n">
        <v>1.2</v>
      </c>
      <c r="J7202" t="n">
        <v>0</v>
      </c>
      <c r="K7202" t="n">
        <v>0</v>
      </c>
      <c r="L7202" t="n">
        <v>0</v>
      </c>
      <c r="M7202" t="n">
        <v>0</v>
      </c>
      <c r="N7202" t="n">
        <v>0</v>
      </c>
      <c r="O7202" t="n">
        <v>0</v>
      </c>
      <c r="P7202" t="n">
        <v>0</v>
      </c>
      <c r="Q7202" t="n">
        <v>0</v>
      </c>
      <c r="R7202" t="n">
        <v>0</v>
      </c>
      <c r="S7202" t="n">
        <v>0</v>
      </c>
      <c r="T7202" t="n">
        <v>0</v>
      </c>
      <c r="U7202" t="n">
        <v>0</v>
      </c>
      <c r="V7202" s="2" t="inlineStr"/>
    </row>
    <row r="7203" ht="15" customHeight="1">
      <c r="A7203" t="inlineStr">
        <is>
          <t>A 21117-2024</t>
        </is>
      </c>
      <c r="B7203" t="inlineStr">
        <is>
          <t>avverkningsanmälan</t>
        </is>
      </c>
      <c r="C7203" t="inlineStr">
        <is>
          <t>Föryngringsavverkning</t>
        </is>
      </c>
      <c r="D7203" s="1" t="n">
        <v>45440</v>
      </c>
      <c r="E7203" s="1" t="n">
        <v>46319</v>
      </c>
      <c r="F7203" t="inlineStr">
        <is>
          <t>DALARNAS LÄN</t>
        </is>
      </c>
      <c r="G7203" t="inlineStr">
        <is>
          <t>VANSBRO</t>
        </is>
      </c>
      <c r="I7203" t="n">
        <v>1.5</v>
      </c>
      <c r="J7203" t="n">
        <v>0</v>
      </c>
      <c r="K7203" t="n">
        <v>0</v>
      </c>
      <c r="L7203" t="n">
        <v>0</v>
      </c>
      <c r="M7203" t="n">
        <v>0</v>
      </c>
      <c r="N7203" t="n">
        <v>0</v>
      </c>
      <c r="O7203" t="n">
        <v>0</v>
      </c>
      <c r="P7203" t="n">
        <v>0</v>
      </c>
      <c r="Q7203" t="n">
        <v>0</v>
      </c>
      <c r="R7203" t="n">
        <v>0</v>
      </c>
      <c r="S7203" t="n">
        <v>0</v>
      </c>
      <c r="T7203" t="n">
        <v>0</v>
      </c>
      <c r="U7203" t="n">
        <v>0</v>
      </c>
      <c r="V7203" s="2" t="inlineStr"/>
    </row>
    <row r="7204" ht="15" customHeight="1">
      <c r="A7204" t="inlineStr">
        <is>
          <t>A 21174-2024</t>
        </is>
      </c>
      <c r="B7204" t="inlineStr">
        <is>
          <t>avverkningsanmälan</t>
        </is>
      </c>
      <c r="C7204" t="inlineStr">
        <is>
          <t>Föryngringsavverkning</t>
        </is>
      </c>
      <c r="D7204" s="1" t="n">
        <v>45440</v>
      </c>
      <c r="E7204" s="1" t="n">
        <v>46319</v>
      </c>
      <c r="F7204" t="inlineStr">
        <is>
          <t>DALARNAS LÄN</t>
        </is>
      </c>
      <c r="G7204" t="inlineStr">
        <is>
          <t>RÄTTVIK</t>
        </is>
      </c>
      <c r="I7204" t="n">
        <v>1.3</v>
      </c>
      <c r="J7204" t="n">
        <v>0</v>
      </c>
      <c r="K7204" t="n">
        <v>0</v>
      </c>
      <c r="L7204" t="n">
        <v>0</v>
      </c>
      <c r="M7204" t="n">
        <v>0</v>
      </c>
      <c r="N7204" t="n">
        <v>0</v>
      </c>
      <c r="O7204" t="n">
        <v>0</v>
      </c>
      <c r="P7204" t="n">
        <v>0</v>
      </c>
      <c r="Q7204" t="n">
        <v>0</v>
      </c>
      <c r="R7204" t="n">
        <v>0</v>
      </c>
      <c r="S7204" t="n">
        <v>0</v>
      </c>
      <c r="T7204" t="n">
        <v>0</v>
      </c>
      <c r="U7204" t="n">
        <v>0</v>
      </c>
      <c r="V7204" s="2" t="inlineStr"/>
    </row>
    <row r="7205" ht="15" customHeight="1">
      <c r="A7205" t="inlineStr">
        <is>
          <t>A 36396-2026</t>
        </is>
      </c>
      <c r="B7205" t="inlineStr">
        <is>
          <t>avverkningsanmälan</t>
        </is>
      </c>
      <c r="C7205" t="inlineStr">
        <is>
          <t>Föryngringsavverkning</t>
        </is>
      </c>
      <c r="D7205" s="1" t="n">
        <v>46268</v>
      </c>
      <c r="E7205" s="1" t="n">
        <v>46319</v>
      </c>
      <c r="F7205" t="inlineStr">
        <is>
          <t>DALARNAS LÄN</t>
        </is>
      </c>
      <c r="G7205" t="inlineStr">
        <is>
          <t>MORA</t>
        </is>
      </c>
      <c r="I7205" t="n">
        <v>1.8</v>
      </c>
      <c r="J7205" t="n">
        <v>0</v>
      </c>
      <c r="K7205" t="n">
        <v>0</v>
      </c>
      <c r="L7205" t="n">
        <v>0</v>
      </c>
      <c r="M7205" t="n">
        <v>0</v>
      </c>
      <c r="N7205" t="n">
        <v>0</v>
      </c>
      <c r="O7205" t="n">
        <v>0</v>
      </c>
      <c r="P7205" t="n">
        <v>0</v>
      </c>
      <c r="Q7205" t="n">
        <v>0</v>
      </c>
      <c r="R7205" t="n">
        <v>0</v>
      </c>
      <c r="S7205" t="n">
        <v>0</v>
      </c>
      <c r="T7205" t="n">
        <v>0</v>
      </c>
      <c r="U7205" t="n">
        <v>0</v>
      </c>
      <c r="V7205" s="2" t="inlineStr"/>
    </row>
    <row r="7206" ht="15" customHeight="1">
      <c r="A7206" t="inlineStr">
        <is>
          <t>A 36397-2026</t>
        </is>
      </c>
      <c r="B7206" t="inlineStr">
        <is>
          <t>avverkningsanmälan</t>
        </is>
      </c>
      <c r="C7206" t="inlineStr">
        <is>
          <t>Föryngringsavverkning</t>
        </is>
      </c>
      <c r="D7206" s="1" t="n">
        <v>46268</v>
      </c>
      <c r="E7206" s="1" t="n">
        <v>46319</v>
      </c>
      <c r="F7206" t="inlineStr">
        <is>
          <t>DALARNAS LÄN</t>
        </is>
      </c>
      <c r="G7206" t="inlineStr">
        <is>
          <t>ÄLVDALEN</t>
        </is>
      </c>
      <c r="I7206" t="n">
        <v>1.8</v>
      </c>
      <c r="J7206" t="n">
        <v>0</v>
      </c>
      <c r="K7206" t="n">
        <v>0</v>
      </c>
      <c r="L7206" t="n">
        <v>0</v>
      </c>
      <c r="M7206" t="n">
        <v>0</v>
      </c>
      <c r="N7206" t="n">
        <v>0</v>
      </c>
      <c r="O7206" t="n">
        <v>0</v>
      </c>
      <c r="P7206" t="n">
        <v>0</v>
      </c>
      <c r="Q7206" t="n">
        <v>0</v>
      </c>
      <c r="R7206" t="n">
        <v>0</v>
      </c>
      <c r="S7206" t="n">
        <v>0</v>
      </c>
      <c r="T7206" t="n">
        <v>0</v>
      </c>
      <c r="U7206" t="n">
        <v>0</v>
      </c>
      <c r="V7206" s="2" t="inlineStr"/>
    </row>
    <row r="7207" ht="15" customHeight="1">
      <c r="A7207" t="inlineStr">
        <is>
          <t>A 39854-2026</t>
        </is>
      </c>
      <c r="B7207" t="inlineStr">
        <is>
          <t>avverkningsanmälan</t>
        </is>
      </c>
      <c r="C7207" t="inlineStr">
        <is>
          <t>Föryngringsavverkning</t>
        </is>
      </c>
      <c r="D7207" s="1" t="n">
        <v>46290</v>
      </c>
      <c r="E7207" s="1" t="n">
        <v>46319</v>
      </c>
      <c r="F7207" t="inlineStr">
        <is>
          <t>DALARNAS LÄN</t>
        </is>
      </c>
      <c r="G7207" t="inlineStr">
        <is>
          <t>LUDVIKA</t>
        </is>
      </c>
      <c r="H7207" t="inlineStr">
        <is>
          <t>Bergvik skog väst AB</t>
        </is>
      </c>
      <c r="I7207" t="n">
        <v>4.6</v>
      </c>
      <c r="J7207" t="n">
        <v>0</v>
      </c>
      <c r="K7207" t="n">
        <v>0</v>
      </c>
      <c r="L7207" t="n">
        <v>0</v>
      </c>
      <c r="M7207" t="n">
        <v>0</v>
      </c>
      <c r="N7207" t="n">
        <v>0</v>
      </c>
      <c r="O7207" t="n">
        <v>0</v>
      </c>
      <c r="P7207" t="n">
        <v>0</v>
      </c>
      <c r="Q7207" t="n">
        <v>0</v>
      </c>
      <c r="R7207" t="n">
        <v>0</v>
      </c>
      <c r="S7207" t="n">
        <v>0</v>
      </c>
      <c r="T7207" t="n">
        <v>0</v>
      </c>
      <c r="U7207" t="n">
        <v>0</v>
      </c>
      <c r="V7207" s="2" t="inlineStr"/>
    </row>
    <row r="7208" ht="15" customHeight="1">
      <c r="A7208" t="inlineStr">
        <is>
          <t>A 46560-2023</t>
        </is>
      </c>
      <c r="B7208" t="inlineStr">
        <is>
          <t>avverkningsanmälan</t>
        </is>
      </c>
      <c r="C7208" t="inlineStr">
        <is>
          <t>Föryngringsavverkning</t>
        </is>
      </c>
      <c r="D7208" s="1" t="n">
        <v>45198</v>
      </c>
      <c r="E7208" s="1" t="n">
        <v>46319</v>
      </c>
      <c r="F7208" t="inlineStr">
        <is>
          <t>DALARNAS LÄN</t>
        </is>
      </c>
      <c r="G7208" t="inlineStr">
        <is>
          <t>FALUN</t>
        </is>
      </c>
      <c r="I7208" t="n">
        <v>0.6</v>
      </c>
      <c r="J7208" t="n">
        <v>0</v>
      </c>
      <c r="K7208" t="n">
        <v>0</v>
      </c>
      <c r="L7208" t="n">
        <v>0</v>
      </c>
      <c r="M7208" t="n">
        <v>0</v>
      </c>
      <c r="N7208" t="n">
        <v>0</v>
      </c>
      <c r="O7208" t="n">
        <v>0</v>
      </c>
      <c r="P7208" t="n">
        <v>0</v>
      </c>
      <c r="Q7208" t="n">
        <v>0</v>
      </c>
      <c r="R7208" t="n">
        <v>0</v>
      </c>
      <c r="S7208" t="n">
        <v>0</v>
      </c>
      <c r="T7208" t="n">
        <v>0</v>
      </c>
      <c r="U7208" t="n">
        <v>0</v>
      </c>
      <c r="V7208" s="2" t="inlineStr"/>
    </row>
    <row r="7209" ht="15" customHeight="1">
      <c r="A7209" t="inlineStr">
        <is>
          <t>A 43139-2023</t>
        </is>
      </c>
      <c r="B7209" t="inlineStr">
        <is>
          <t>avverkningsanmälan</t>
        </is>
      </c>
      <c r="C7209" t="inlineStr">
        <is>
          <t>Föryngringsavverkning</t>
        </is>
      </c>
      <c r="D7209" s="1" t="n">
        <v>45183</v>
      </c>
      <c r="E7209" s="1" t="n">
        <v>46319</v>
      </c>
      <c r="F7209" t="inlineStr">
        <is>
          <t>DALARNAS LÄN</t>
        </is>
      </c>
      <c r="G7209" t="inlineStr">
        <is>
          <t>VANSBRO</t>
        </is>
      </c>
      <c r="I7209" t="n">
        <v>6.4</v>
      </c>
      <c r="J7209" t="n">
        <v>0</v>
      </c>
      <c r="K7209" t="n">
        <v>0</v>
      </c>
      <c r="L7209" t="n">
        <v>0</v>
      </c>
      <c r="M7209" t="n">
        <v>0</v>
      </c>
      <c r="N7209" t="n">
        <v>0</v>
      </c>
      <c r="O7209" t="n">
        <v>0</v>
      </c>
      <c r="P7209" t="n">
        <v>0</v>
      </c>
      <c r="Q7209" t="n">
        <v>0</v>
      </c>
      <c r="R7209" t="n">
        <v>0</v>
      </c>
      <c r="S7209" t="n">
        <v>0</v>
      </c>
      <c r="T7209" t="n">
        <v>0</v>
      </c>
      <c r="U7209" t="n">
        <v>0</v>
      </c>
      <c r="V7209" s="2" t="inlineStr"/>
    </row>
    <row r="7210" ht="15" customHeight="1">
      <c r="A7210" t="inlineStr">
        <is>
          <t>A 16197-2024</t>
        </is>
      </c>
      <c r="B7210" t="inlineStr">
        <is>
          <t>avverkningsanmälan</t>
        </is>
      </c>
      <c r="C7210" t="inlineStr">
        <is>
          <t>Föryngringsavverkning</t>
        </is>
      </c>
      <c r="D7210" s="1" t="n">
        <v>45406</v>
      </c>
      <c r="E7210" s="1" t="n">
        <v>46319</v>
      </c>
      <c r="F7210" t="inlineStr">
        <is>
          <t>DALARNAS LÄN</t>
        </is>
      </c>
      <c r="G7210" t="inlineStr">
        <is>
          <t>LEKSAND</t>
        </is>
      </c>
      <c r="I7210" t="n">
        <v>2.4</v>
      </c>
      <c r="J7210" t="n">
        <v>0</v>
      </c>
      <c r="K7210" t="n">
        <v>0</v>
      </c>
      <c r="L7210" t="n">
        <v>0</v>
      </c>
      <c r="M7210" t="n">
        <v>0</v>
      </c>
      <c r="N7210" t="n">
        <v>0</v>
      </c>
      <c r="O7210" t="n">
        <v>0</v>
      </c>
      <c r="P7210" t="n">
        <v>0</v>
      </c>
      <c r="Q7210" t="n">
        <v>0</v>
      </c>
      <c r="R7210" t="n">
        <v>0</v>
      </c>
      <c r="S7210" t="n">
        <v>0</v>
      </c>
      <c r="T7210" t="n">
        <v>0</v>
      </c>
      <c r="U7210" t="n">
        <v>0</v>
      </c>
      <c r="V7210" s="2" t="inlineStr"/>
    </row>
    <row r="7211" ht="15" customHeight="1">
      <c r="A7211" t="inlineStr">
        <is>
          <t>A 20435-2026</t>
        </is>
      </c>
      <c r="B7211" t="inlineStr">
        <is>
          <t>avverkningsanmälan</t>
        </is>
      </c>
      <c r="C7211" t="inlineStr">
        <is>
          <t>Föryngringsavverkning</t>
        </is>
      </c>
      <c r="D7211" s="1" t="n">
        <v>46140</v>
      </c>
      <c r="E7211" s="1" t="n">
        <v>46319</v>
      </c>
      <c r="F7211" t="inlineStr">
        <is>
          <t>DALARNAS LÄN</t>
        </is>
      </c>
      <c r="G7211" t="inlineStr">
        <is>
          <t>FALUN</t>
        </is>
      </c>
      <c r="H7211" t="inlineStr">
        <is>
          <t>Bergvik skog väst AB</t>
        </is>
      </c>
      <c r="I7211" t="n">
        <v>1.8</v>
      </c>
      <c r="J7211" t="n">
        <v>0</v>
      </c>
      <c r="K7211" t="n">
        <v>0</v>
      </c>
      <c r="L7211" t="n">
        <v>0</v>
      </c>
      <c r="M7211" t="n">
        <v>0</v>
      </c>
      <c r="N7211" t="n">
        <v>0</v>
      </c>
      <c r="O7211" t="n">
        <v>0</v>
      </c>
      <c r="P7211" t="n">
        <v>0</v>
      </c>
      <c r="Q7211" t="n">
        <v>0</v>
      </c>
      <c r="R7211" t="n">
        <v>0</v>
      </c>
      <c r="S7211" t="n">
        <v>0</v>
      </c>
      <c r="T7211" t="n">
        <v>0</v>
      </c>
      <c r="U7211" t="n">
        <v>0</v>
      </c>
      <c r="V7211" s="2" t="inlineStr"/>
    </row>
    <row r="7212" ht="15" customHeight="1">
      <c r="A7212" t="inlineStr">
        <is>
          <t>A 20444-2026</t>
        </is>
      </c>
      <c r="B7212" t="inlineStr">
        <is>
          <t>avverkningsanmälan</t>
        </is>
      </c>
      <c r="C7212" t="inlineStr">
        <is>
          <t>Föryngringsavverkning</t>
        </is>
      </c>
      <c r="D7212" s="1" t="n">
        <v>46140</v>
      </c>
      <c r="E7212" s="1" t="n">
        <v>46319</v>
      </c>
      <c r="F7212" t="inlineStr">
        <is>
          <t>DALARNAS LÄN</t>
        </is>
      </c>
      <c r="G7212" t="inlineStr">
        <is>
          <t>FALUN</t>
        </is>
      </c>
      <c r="I7212" t="n">
        <v>11.8</v>
      </c>
      <c r="J7212" t="n">
        <v>0</v>
      </c>
      <c r="K7212" t="n">
        <v>0</v>
      </c>
      <c r="L7212" t="n">
        <v>0</v>
      </c>
      <c r="M7212" t="n">
        <v>0</v>
      </c>
      <c r="N7212" t="n">
        <v>0</v>
      </c>
      <c r="O7212" t="n">
        <v>0</v>
      </c>
      <c r="P7212" t="n">
        <v>0</v>
      </c>
      <c r="Q7212" t="n">
        <v>0</v>
      </c>
      <c r="R7212" t="n">
        <v>0</v>
      </c>
      <c r="S7212" t="n">
        <v>0</v>
      </c>
      <c r="T7212" t="n">
        <v>0</v>
      </c>
      <c r="U7212" t="n">
        <v>0</v>
      </c>
      <c r="V7212" s="2" t="inlineStr"/>
    </row>
    <row r="7213" ht="15" customHeight="1">
      <c r="A7213" t="inlineStr">
        <is>
          <t>A 37061-2025</t>
        </is>
      </c>
      <c r="B7213" t="inlineStr">
        <is>
          <t>avverkningsanmälan</t>
        </is>
      </c>
      <c r="C7213" t="inlineStr">
        <is>
          <t>Föryngringsavverkning</t>
        </is>
      </c>
      <c r="D7213" s="1" t="n">
        <v>45874</v>
      </c>
      <c r="E7213" s="1" t="n">
        <v>46319</v>
      </c>
      <c r="F7213" t="inlineStr">
        <is>
          <t>DALARNAS LÄN</t>
        </is>
      </c>
      <c r="G7213" t="inlineStr">
        <is>
          <t>FALUN</t>
        </is>
      </c>
      <c r="I7213" t="n">
        <v>2.7</v>
      </c>
      <c r="J7213" t="n">
        <v>0</v>
      </c>
      <c r="K7213" t="n">
        <v>0</v>
      </c>
      <c r="L7213" t="n">
        <v>0</v>
      </c>
      <c r="M7213" t="n">
        <v>0</v>
      </c>
      <c r="N7213" t="n">
        <v>0</v>
      </c>
      <c r="O7213" t="n">
        <v>0</v>
      </c>
      <c r="P7213" t="n">
        <v>0</v>
      </c>
      <c r="Q7213" t="n">
        <v>0</v>
      </c>
      <c r="R7213" t="n">
        <v>0</v>
      </c>
      <c r="S7213" t="n">
        <v>0</v>
      </c>
      <c r="T7213" t="n">
        <v>0</v>
      </c>
      <c r="U7213" t="n">
        <v>0</v>
      </c>
      <c r="V7213" s="2" t="inlineStr"/>
    </row>
    <row r="7214" ht="15" customHeight="1">
      <c r="A7214" t="inlineStr">
        <is>
          <t>A 58913-2024</t>
        </is>
      </c>
      <c r="B7214" t="inlineStr">
        <is>
          <t>avverkningsanmälan</t>
        </is>
      </c>
      <c r="C7214" t="inlineStr">
        <is>
          <t>Föryngringsavverkning</t>
        </is>
      </c>
      <c r="D7214" s="1" t="n">
        <v>45636</v>
      </c>
      <c r="E7214" s="1" t="n">
        <v>46319</v>
      </c>
      <c r="F7214" t="inlineStr">
        <is>
          <t>DALARNAS LÄN</t>
        </is>
      </c>
      <c r="G7214" t="inlineStr">
        <is>
          <t>MALUNG-SÄLEN</t>
        </is>
      </c>
      <c r="I7214" t="n">
        <v>0.9</v>
      </c>
      <c r="J7214" t="n">
        <v>0</v>
      </c>
      <c r="K7214" t="n">
        <v>0</v>
      </c>
      <c r="L7214" t="n">
        <v>0</v>
      </c>
      <c r="M7214" t="n">
        <v>0</v>
      </c>
      <c r="N7214" t="n">
        <v>0</v>
      </c>
      <c r="O7214" t="n">
        <v>0</v>
      </c>
      <c r="P7214" t="n">
        <v>0</v>
      </c>
      <c r="Q7214" t="n">
        <v>0</v>
      </c>
      <c r="R7214" t="n">
        <v>0</v>
      </c>
      <c r="S7214" t="n">
        <v>0</v>
      </c>
      <c r="T7214" t="n">
        <v>0</v>
      </c>
      <c r="U7214" t="n">
        <v>0</v>
      </c>
      <c r="V7214" s="2" t="inlineStr"/>
    </row>
    <row r="7215" ht="15" customHeight="1">
      <c r="A7215" t="inlineStr">
        <is>
          <t>A 59386-2024</t>
        </is>
      </c>
      <c r="B7215" t="inlineStr">
        <is>
          <t>avverkningsanmälan</t>
        </is>
      </c>
      <c r="C7215" t="inlineStr">
        <is>
          <t>Föryngringsavverkning</t>
        </is>
      </c>
      <c r="D7215" s="1" t="n">
        <v>45638</v>
      </c>
      <c r="E7215" s="1" t="n">
        <v>46319</v>
      </c>
      <c r="F7215" t="inlineStr">
        <is>
          <t>DALARNAS LÄN</t>
        </is>
      </c>
      <c r="G7215" t="inlineStr">
        <is>
          <t>SÄTER</t>
        </is>
      </c>
      <c r="I7215" t="n">
        <v>0.2</v>
      </c>
      <c r="J7215" t="n">
        <v>0</v>
      </c>
      <c r="K7215" t="n">
        <v>0</v>
      </c>
      <c r="L7215" t="n">
        <v>0</v>
      </c>
      <c r="M7215" t="n">
        <v>0</v>
      </c>
      <c r="N7215" t="n">
        <v>0</v>
      </c>
      <c r="O7215" t="n">
        <v>0</v>
      </c>
      <c r="P7215" t="n">
        <v>0</v>
      </c>
      <c r="Q7215" t="n">
        <v>0</v>
      </c>
      <c r="R7215" t="n">
        <v>0</v>
      </c>
      <c r="S7215" t="n">
        <v>0</v>
      </c>
      <c r="T7215" t="n">
        <v>0</v>
      </c>
      <c r="U7215" t="n">
        <v>0</v>
      </c>
      <c r="V7215" s="2" t="inlineStr"/>
    </row>
    <row r="7216" ht="15" customHeight="1">
      <c r="A7216" t="inlineStr">
        <is>
          <t>A 45683-2024</t>
        </is>
      </c>
      <c r="B7216" t="inlineStr">
        <is>
          <t>avverkningsanmälan</t>
        </is>
      </c>
      <c r="C7216" t="inlineStr">
        <is>
          <t>Föryngringsavverkning</t>
        </is>
      </c>
      <c r="D7216" s="1" t="n">
        <v>45579</v>
      </c>
      <c r="E7216" s="1" t="n">
        <v>46319</v>
      </c>
      <c r="F7216" t="inlineStr">
        <is>
          <t>DALARNAS LÄN</t>
        </is>
      </c>
      <c r="G7216" t="inlineStr">
        <is>
          <t>SMEDJEBACKEN</t>
        </is>
      </c>
      <c r="H7216" t="inlineStr">
        <is>
          <t>Bergvik skog väst AB</t>
        </is>
      </c>
      <c r="I7216" t="n">
        <v>7.5</v>
      </c>
      <c r="J7216" t="n">
        <v>0</v>
      </c>
      <c r="K7216" t="n">
        <v>0</v>
      </c>
      <c r="L7216" t="n">
        <v>0</v>
      </c>
      <c r="M7216" t="n">
        <v>0</v>
      </c>
      <c r="N7216" t="n">
        <v>0</v>
      </c>
      <c r="O7216" t="n">
        <v>0</v>
      </c>
      <c r="P7216" t="n">
        <v>0</v>
      </c>
      <c r="Q7216" t="n">
        <v>0</v>
      </c>
      <c r="R7216" t="n">
        <v>0</v>
      </c>
      <c r="S7216" t="n">
        <v>0</v>
      </c>
      <c r="T7216" t="n">
        <v>0</v>
      </c>
      <c r="U7216" t="n">
        <v>0</v>
      </c>
      <c r="V7216" s="2" t="inlineStr"/>
    </row>
    <row r="7217" ht="15" customHeight="1">
      <c r="A7217" t="inlineStr">
        <is>
          <t>A 28283-2025</t>
        </is>
      </c>
      <c r="B7217" t="inlineStr">
        <is>
          <t>avverkningsanmälan</t>
        </is>
      </c>
      <c r="C7217" t="inlineStr">
        <is>
          <t>Föryngringsavverkning</t>
        </is>
      </c>
      <c r="D7217" s="1" t="n">
        <v>45818</v>
      </c>
      <c r="E7217" s="1" t="n">
        <v>46319</v>
      </c>
      <c r="F7217" t="inlineStr">
        <is>
          <t>DALARNAS LÄN</t>
        </is>
      </c>
      <c r="G7217" t="inlineStr">
        <is>
          <t>SMEDJEBACKEN</t>
        </is>
      </c>
      <c r="I7217" t="n">
        <v>2.1</v>
      </c>
      <c r="J7217" t="n">
        <v>0</v>
      </c>
      <c r="K7217" t="n">
        <v>0</v>
      </c>
      <c r="L7217" t="n">
        <v>0</v>
      </c>
      <c r="M7217" t="n">
        <v>0</v>
      </c>
      <c r="N7217" t="n">
        <v>0</v>
      </c>
      <c r="O7217" t="n">
        <v>0</v>
      </c>
      <c r="P7217" t="n">
        <v>0</v>
      </c>
      <c r="Q7217" t="n">
        <v>0</v>
      </c>
      <c r="R7217" t="n">
        <v>0</v>
      </c>
      <c r="S7217" t="n">
        <v>0</v>
      </c>
      <c r="T7217" t="n">
        <v>0</v>
      </c>
      <c r="U7217" t="n">
        <v>0</v>
      </c>
      <c r="V7217" s="2" t="inlineStr"/>
    </row>
    <row r="7218" ht="15" customHeight="1">
      <c r="A7218" t="inlineStr">
        <is>
          <t>A 27713-2025</t>
        </is>
      </c>
      <c r="B7218" t="inlineStr">
        <is>
          <t>avverkningsanmälan</t>
        </is>
      </c>
      <c r="C7218" t="inlineStr">
        <is>
          <t>Föryngringsavverkning</t>
        </is>
      </c>
      <c r="D7218" s="1" t="n">
        <v>45813</v>
      </c>
      <c r="E7218" s="1" t="n">
        <v>46319</v>
      </c>
      <c r="F7218" t="inlineStr">
        <is>
          <t>DALARNAS LÄN</t>
        </is>
      </c>
      <c r="G7218" t="inlineStr">
        <is>
          <t>BORLÄNGE</t>
        </is>
      </c>
      <c r="I7218" t="n">
        <v>1.5</v>
      </c>
      <c r="J7218" t="n">
        <v>0</v>
      </c>
      <c r="K7218" t="n">
        <v>0</v>
      </c>
      <c r="L7218" t="n">
        <v>0</v>
      </c>
      <c r="M7218" t="n">
        <v>0</v>
      </c>
      <c r="N7218" t="n">
        <v>0</v>
      </c>
      <c r="O7218" t="n">
        <v>0</v>
      </c>
      <c r="P7218" t="n">
        <v>0</v>
      </c>
      <c r="Q7218" t="n">
        <v>0</v>
      </c>
      <c r="R7218" t="n">
        <v>0</v>
      </c>
      <c r="S7218" t="n">
        <v>0</v>
      </c>
      <c r="T7218" t="n">
        <v>0</v>
      </c>
      <c r="U7218" t="n">
        <v>0</v>
      </c>
      <c r="V7218" s="2" t="inlineStr"/>
    </row>
    <row r="7219" ht="15" customHeight="1">
      <c r="A7219" t="inlineStr">
        <is>
          <t>A 42933-2024</t>
        </is>
      </c>
      <c r="B7219" t="inlineStr">
        <is>
          <t>avverkningsanmälan</t>
        </is>
      </c>
      <c r="C7219" t="inlineStr">
        <is>
          <t>Föryngringsavverkning</t>
        </is>
      </c>
      <c r="D7219" s="1" t="n">
        <v>45567</v>
      </c>
      <c r="E7219" s="1" t="n">
        <v>46319</v>
      </c>
      <c r="F7219" t="inlineStr">
        <is>
          <t>DALARNAS LÄN</t>
        </is>
      </c>
      <c r="G7219" t="inlineStr">
        <is>
          <t>RÄTTVIK</t>
        </is>
      </c>
      <c r="I7219" t="n">
        <v>1.6</v>
      </c>
      <c r="J7219" t="n">
        <v>0</v>
      </c>
      <c r="K7219" t="n">
        <v>0</v>
      </c>
      <c r="L7219" t="n">
        <v>0</v>
      </c>
      <c r="M7219" t="n">
        <v>0</v>
      </c>
      <c r="N7219" t="n">
        <v>0</v>
      </c>
      <c r="O7219" t="n">
        <v>0</v>
      </c>
      <c r="P7219" t="n">
        <v>0</v>
      </c>
      <c r="Q7219" t="n">
        <v>0</v>
      </c>
      <c r="R7219" t="n">
        <v>0</v>
      </c>
      <c r="S7219" t="n">
        <v>0</v>
      </c>
      <c r="T7219" t="n">
        <v>0</v>
      </c>
      <c r="U7219" t="n">
        <v>0</v>
      </c>
      <c r="V7219" s="2" t="inlineStr"/>
    </row>
    <row r="7220" ht="15" customHeight="1">
      <c r="A7220" t="inlineStr">
        <is>
          <t>A 52912-2025</t>
        </is>
      </c>
      <c r="B7220" t="inlineStr">
        <is>
          <t>avverkningsanmälan</t>
        </is>
      </c>
      <c r="C7220" t="inlineStr">
        <is>
          <t>Föryngringsavverkning</t>
        </is>
      </c>
      <c r="D7220" s="1" t="n">
        <v>45954</v>
      </c>
      <c r="E7220" s="1" t="n">
        <v>46319</v>
      </c>
      <c r="F7220" t="inlineStr">
        <is>
          <t>DALARNAS LÄN</t>
        </is>
      </c>
      <c r="G7220" t="inlineStr">
        <is>
          <t>LUDVIKA</t>
        </is>
      </c>
      <c r="I7220" t="n">
        <v>9.800000000000001</v>
      </c>
      <c r="J7220" t="n">
        <v>0</v>
      </c>
      <c r="K7220" t="n">
        <v>0</v>
      </c>
      <c r="L7220" t="n">
        <v>0</v>
      </c>
      <c r="M7220" t="n">
        <v>0</v>
      </c>
      <c r="N7220" t="n">
        <v>0</v>
      </c>
      <c r="O7220" t="n">
        <v>0</v>
      </c>
      <c r="P7220" t="n">
        <v>0</v>
      </c>
      <c r="Q7220" t="n">
        <v>0</v>
      </c>
      <c r="R7220" t="n">
        <v>0</v>
      </c>
      <c r="S7220" t="n">
        <v>0</v>
      </c>
      <c r="T7220" t="n">
        <v>0</v>
      </c>
      <c r="U7220" t="n">
        <v>0</v>
      </c>
      <c r="V7220" s="2" t="inlineStr"/>
    </row>
    <row r="7221" ht="15" customHeight="1">
      <c r="A7221" t="inlineStr">
        <is>
          <t>A 43736-2024</t>
        </is>
      </c>
      <c r="B7221" t="inlineStr">
        <is>
          <t>avverkningsanmälan</t>
        </is>
      </c>
      <c r="C7221" t="inlineStr">
        <is>
          <t>Föryngringsavverkning</t>
        </is>
      </c>
      <c r="D7221" s="1" t="n">
        <v>45569</v>
      </c>
      <c r="E7221" s="1" t="n">
        <v>46319</v>
      </c>
      <c r="F7221" t="inlineStr">
        <is>
          <t>DALARNAS LÄN</t>
        </is>
      </c>
      <c r="G7221" t="inlineStr">
        <is>
          <t>FALUN</t>
        </is>
      </c>
      <c r="I7221" t="n">
        <v>2</v>
      </c>
      <c r="J7221" t="n">
        <v>0</v>
      </c>
      <c r="K7221" t="n">
        <v>0</v>
      </c>
      <c r="L7221" t="n">
        <v>0</v>
      </c>
      <c r="M7221" t="n">
        <v>0</v>
      </c>
      <c r="N7221" t="n">
        <v>0</v>
      </c>
      <c r="O7221" t="n">
        <v>0</v>
      </c>
      <c r="P7221" t="n">
        <v>0</v>
      </c>
      <c r="Q7221" t="n">
        <v>0</v>
      </c>
      <c r="R7221" t="n">
        <v>0</v>
      </c>
      <c r="S7221" t="n">
        <v>0</v>
      </c>
      <c r="T7221" t="n">
        <v>0</v>
      </c>
      <c r="U7221" t="n">
        <v>0</v>
      </c>
      <c r="V7221" s="2" t="inlineStr"/>
    </row>
    <row r="7222" ht="15" customHeight="1">
      <c r="A7222" t="inlineStr">
        <is>
          <t>A 50256-2024</t>
        </is>
      </c>
      <c r="B7222" t="inlineStr">
        <is>
          <t>avverkningsanmälan</t>
        </is>
      </c>
      <c r="C7222" t="inlineStr">
        <is>
          <t>Föryngringsavverkning</t>
        </is>
      </c>
      <c r="D7222" s="1" t="n">
        <v>45600</v>
      </c>
      <c r="E7222" s="1" t="n">
        <v>46319</v>
      </c>
      <c r="F7222" t="inlineStr">
        <is>
          <t>DALARNAS LÄN</t>
        </is>
      </c>
      <c r="G7222" t="inlineStr">
        <is>
          <t>MALUNG-SÄLEN</t>
        </is>
      </c>
      <c r="H7222" t="inlineStr">
        <is>
          <t>Bergvik skog öst AB</t>
        </is>
      </c>
      <c r="I7222" t="n">
        <v>2.7</v>
      </c>
      <c r="J7222" t="n">
        <v>0</v>
      </c>
      <c r="K7222" t="n">
        <v>0</v>
      </c>
      <c r="L7222" t="n">
        <v>0</v>
      </c>
      <c r="M7222" t="n">
        <v>0</v>
      </c>
      <c r="N7222" t="n">
        <v>0</v>
      </c>
      <c r="O7222" t="n">
        <v>0</v>
      </c>
      <c r="P7222" t="n">
        <v>0</v>
      </c>
      <c r="Q7222" t="n">
        <v>0</v>
      </c>
      <c r="R7222" t="n">
        <v>0</v>
      </c>
      <c r="S7222" t="n">
        <v>0</v>
      </c>
      <c r="T7222" t="n">
        <v>0</v>
      </c>
      <c r="U7222" t="n">
        <v>0</v>
      </c>
      <c r="V7222" s="2" t="inlineStr"/>
    </row>
    <row r="7223" ht="15" customHeight="1">
      <c r="A7223" t="inlineStr">
        <is>
          <t>A 43265-2026</t>
        </is>
      </c>
      <c r="B7223" t="inlineStr">
        <is>
          <t>avverkningsanmälan</t>
        </is>
      </c>
      <c r="C7223" t="inlineStr">
        <is>
          <t>Föryngringsavverkning</t>
        </is>
      </c>
      <c r="D7223" s="1" t="n">
        <v>46314</v>
      </c>
      <c r="E7223" s="1" t="n">
        <v>46319</v>
      </c>
      <c r="F7223" t="inlineStr">
        <is>
          <t>DALARNAS LÄN</t>
        </is>
      </c>
      <c r="G7223" t="inlineStr">
        <is>
          <t>LUDVIKA</t>
        </is>
      </c>
      <c r="H7223" t="inlineStr">
        <is>
          <t>Bergvik skog väst AB</t>
        </is>
      </c>
      <c r="I7223" t="n">
        <v>11.8</v>
      </c>
      <c r="J7223" t="n">
        <v>0</v>
      </c>
      <c r="K7223" t="n">
        <v>0</v>
      </c>
      <c r="L7223" t="n">
        <v>0</v>
      </c>
      <c r="M7223" t="n">
        <v>0</v>
      </c>
      <c r="N7223" t="n">
        <v>0</v>
      </c>
      <c r="O7223" t="n">
        <v>0</v>
      </c>
      <c r="P7223" t="n">
        <v>0</v>
      </c>
      <c r="Q7223" t="n">
        <v>0</v>
      </c>
      <c r="R7223" t="n">
        <v>0</v>
      </c>
      <c r="S7223" t="n">
        <v>0</v>
      </c>
      <c r="T7223" t="n">
        <v>0</v>
      </c>
      <c r="U7223" t="n">
        <v>0</v>
      </c>
      <c r="V7223" s="2" t="inlineStr"/>
    </row>
    <row r="7224" ht="15" customHeight="1">
      <c r="A7224" t="inlineStr">
        <is>
          <t>A 63654-2025</t>
        </is>
      </c>
      <c r="B7224" t="inlineStr">
        <is>
          <t>avverkningsanmälan</t>
        </is>
      </c>
      <c r="C7224" t="inlineStr">
        <is>
          <t>Föryngringsavverkning</t>
        </is>
      </c>
      <c r="D7224" s="1" t="n">
        <v>46014</v>
      </c>
      <c r="E7224" s="1" t="n">
        <v>46319</v>
      </c>
      <c r="F7224" t="inlineStr">
        <is>
          <t>DALARNAS LÄN</t>
        </is>
      </c>
      <c r="G7224" t="inlineStr">
        <is>
          <t>SÄTER</t>
        </is>
      </c>
      <c r="I7224" t="n">
        <v>4.1</v>
      </c>
      <c r="J7224" t="n">
        <v>0</v>
      </c>
      <c r="K7224" t="n">
        <v>0</v>
      </c>
      <c r="L7224" t="n">
        <v>0</v>
      </c>
      <c r="M7224" t="n">
        <v>0</v>
      </c>
      <c r="N7224" t="n">
        <v>0</v>
      </c>
      <c r="O7224" t="n">
        <v>0</v>
      </c>
      <c r="P7224" t="n">
        <v>0</v>
      </c>
      <c r="Q7224" t="n">
        <v>0</v>
      </c>
      <c r="R7224" t="n">
        <v>0</v>
      </c>
      <c r="S7224" t="n">
        <v>0</v>
      </c>
      <c r="T7224" t="n">
        <v>0</v>
      </c>
      <c r="U7224" t="n">
        <v>0</v>
      </c>
      <c r="V7224" s="2" t="inlineStr"/>
    </row>
    <row r="7225" ht="15" customHeight="1">
      <c r="A7225" t="inlineStr">
        <is>
          <t>A 40419-2025</t>
        </is>
      </c>
      <c r="B7225" t="inlineStr">
        <is>
          <t>avverkningsanmälan</t>
        </is>
      </c>
      <c r="C7225" t="inlineStr">
        <is>
          <t>Föryngringsavverkning</t>
        </is>
      </c>
      <c r="D7225" s="1" t="n">
        <v>45895</v>
      </c>
      <c r="E7225" s="1" t="n">
        <v>46319</v>
      </c>
      <c r="F7225" t="inlineStr">
        <is>
          <t>DALARNAS LÄN</t>
        </is>
      </c>
      <c r="G7225" t="inlineStr">
        <is>
          <t>HEDEMORA</t>
        </is>
      </c>
      <c r="I7225" t="n">
        <v>3.1</v>
      </c>
      <c r="J7225" t="n">
        <v>0</v>
      </c>
      <c r="K7225" t="n">
        <v>0</v>
      </c>
      <c r="L7225" t="n">
        <v>0</v>
      </c>
      <c r="M7225" t="n">
        <v>0</v>
      </c>
      <c r="N7225" t="n">
        <v>0</v>
      </c>
      <c r="O7225" t="n">
        <v>0</v>
      </c>
      <c r="P7225" t="n">
        <v>0</v>
      </c>
      <c r="Q7225" t="n">
        <v>0</v>
      </c>
      <c r="R7225" t="n">
        <v>0</v>
      </c>
      <c r="S7225" t="n">
        <v>0</v>
      </c>
      <c r="T7225" t="n">
        <v>0</v>
      </c>
      <c r="U7225" t="n">
        <v>0</v>
      </c>
      <c r="V7225" s="2" t="inlineStr"/>
    </row>
    <row r="7226" ht="15" customHeight="1">
      <c r="A7226" t="inlineStr">
        <is>
          <t>A 3421-2026</t>
        </is>
      </c>
      <c r="B7226" t="inlineStr">
        <is>
          <t>avverkningsanmälan</t>
        </is>
      </c>
      <c r="C7226" t="inlineStr">
        <is>
          <t>Föryngringsavverkning</t>
        </is>
      </c>
      <c r="D7226" s="1" t="n">
        <v>46042</v>
      </c>
      <c r="E7226" s="1" t="n">
        <v>46319</v>
      </c>
      <c r="F7226" t="inlineStr">
        <is>
          <t>DALARNAS LÄN</t>
        </is>
      </c>
      <c r="G7226" t="inlineStr">
        <is>
          <t>RÄTTVIK</t>
        </is>
      </c>
      <c r="I7226" t="n">
        <v>10.3</v>
      </c>
      <c r="J7226" t="n">
        <v>0</v>
      </c>
      <c r="K7226" t="n">
        <v>0</v>
      </c>
      <c r="L7226" t="n">
        <v>0</v>
      </c>
      <c r="M7226" t="n">
        <v>0</v>
      </c>
      <c r="N7226" t="n">
        <v>0</v>
      </c>
      <c r="O7226" t="n">
        <v>0</v>
      </c>
      <c r="P7226" t="n">
        <v>0</v>
      </c>
      <c r="Q7226" t="n">
        <v>0</v>
      </c>
      <c r="R7226" t="n">
        <v>0</v>
      </c>
      <c r="S7226" t="n">
        <v>0</v>
      </c>
      <c r="T7226" t="n">
        <v>0</v>
      </c>
      <c r="U7226" t="n">
        <v>0</v>
      </c>
      <c r="V7226" s="2" t="inlineStr"/>
    </row>
    <row r="7227" ht="15" customHeight="1">
      <c r="A7227" t="inlineStr">
        <is>
          <t>A 59186-2025</t>
        </is>
      </c>
      <c r="B7227" t="inlineStr">
        <is>
          <t>avverkningsanmälan</t>
        </is>
      </c>
      <c r="C7227" t="inlineStr">
        <is>
          <t>Föryngringsavverkning</t>
        </is>
      </c>
      <c r="D7227" s="1" t="n">
        <v>45988</v>
      </c>
      <c r="E7227" s="1" t="n">
        <v>46319</v>
      </c>
      <c r="F7227" t="inlineStr">
        <is>
          <t>DALARNAS LÄN</t>
        </is>
      </c>
      <c r="G7227" t="inlineStr">
        <is>
          <t>LUDVIKA</t>
        </is>
      </c>
      <c r="H7227" t="inlineStr">
        <is>
          <t>Bergvik skog väst AB</t>
        </is>
      </c>
      <c r="I7227" t="n">
        <v>20.5</v>
      </c>
      <c r="J7227" t="n">
        <v>0</v>
      </c>
      <c r="K7227" t="n">
        <v>0</v>
      </c>
      <c r="L7227" t="n">
        <v>0</v>
      </c>
      <c r="M7227" t="n">
        <v>0</v>
      </c>
      <c r="N7227" t="n">
        <v>0</v>
      </c>
      <c r="O7227" t="n">
        <v>0</v>
      </c>
      <c r="P7227" t="n">
        <v>0</v>
      </c>
      <c r="Q7227" t="n">
        <v>0</v>
      </c>
      <c r="R7227" t="n">
        <v>0</v>
      </c>
      <c r="S7227" t="n">
        <v>0</v>
      </c>
      <c r="T7227" t="n">
        <v>0</v>
      </c>
      <c r="U7227" t="n">
        <v>0</v>
      </c>
      <c r="V7227" s="2" t="inlineStr"/>
    </row>
    <row r="7228" ht="15" customHeight="1">
      <c r="A7228" t="inlineStr">
        <is>
          <t>A 29259-2025</t>
        </is>
      </c>
      <c r="B7228" t="inlineStr">
        <is>
          <t>avverkningsanmälan</t>
        </is>
      </c>
      <c r="C7228" t="inlineStr">
        <is>
          <t>Föryngringsavverkning</t>
        </is>
      </c>
      <c r="D7228" s="1" t="n">
        <v>45824</v>
      </c>
      <c r="E7228" s="1" t="n">
        <v>46319</v>
      </c>
      <c r="F7228" t="inlineStr">
        <is>
          <t>DALARNAS LÄN</t>
        </is>
      </c>
      <c r="G7228" t="inlineStr">
        <is>
          <t>MALUNG-SÄLEN</t>
        </is>
      </c>
      <c r="H7228" t="inlineStr">
        <is>
          <t>Bergvik skog väst AB</t>
        </is>
      </c>
      <c r="I7228" t="n">
        <v>9</v>
      </c>
      <c r="J7228" t="n">
        <v>0</v>
      </c>
      <c r="K7228" t="n">
        <v>0</v>
      </c>
      <c r="L7228" t="n">
        <v>0</v>
      </c>
      <c r="M7228" t="n">
        <v>0</v>
      </c>
      <c r="N7228" t="n">
        <v>0</v>
      </c>
      <c r="O7228" t="n">
        <v>0</v>
      </c>
      <c r="P7228" t="n">
        <v>0</v>
      </c>
      <c r="Q7228" t="n">
        <v>0</v>
      </c>
      <c r="R7228" t="n">
        <v>0</v>
      </c>
      <c r="S7228" t="n">
        <v>0</v>
      </c>
      <c r="T7228" t="n">
        <v>0</v>
      </c>
      <c r="U7228" t="n">
        <v>0</v>
      </c>
      <c r="V7228" s="2" t="inlineStr"/>
    </row>
    <row r="7229" ht="15" customHeight="1">
      <c r="A7229" t="inlineStr">
        <is>
          <t>A 46561-2023</t>
        </is>
      </c>
      <c r="B7229" t="inlineStr">
        <is>
          <t>avverkningsanmälan</t>
        </is>
      </c>
      <c r="C7229" t="inlineStr">
        <is>
          <t>Föryngringsavverkning</t>
        </is>
      </c>
      <c r="D7229" s="1" t="n">
        <v>45198</v>
      </c>
      <c r="E7229" s="1" t="n">
        <v>46319</v>
      </c>
      <c r="F7229" t="inlineStr">
        <is>
          <t>DALARNAS LÄN</t>
        </is>
      </c>
      <c r="G7229" t="inlineStr">
        <is>
          <t>FALUN</t>
        </is>
      </c>
      <c r="I7229" t="n">
        <v>1.8</v>
      </c>
      <c r="J7229" t="n">
        <v>0</v>
      </c>
      <c r="K7229" t="n">
        <v>0</v>
      </c>
      <c r="L7229" t="n">
        <v>0</v>
      </c>
      <c r="M7229" t="n">
        <v>0</v>
      </c>
      <c r="N7229" t="n">
        <v>0</v>
      </c>
      <c r="O7229" t="n">
        <v>0</v>
      </c>
      <c r="P7229" t="n">
        <v>0</v>
      </c>
      <c r="Q7229" t="n">
        <v>0</v>
      </c>
      <c r="R7229" t="n">
        <v>0</v>
      </c>
      <c r="S7229" t="n">
        <v>0</v>
      </c>
      <c r="T7229" t="n">
        <v>0</v>
      </c>
      <c r="U7229" t="n">
        <v>0</v>
      </c>
      <c r="V7229" s="2" t="inlineStr"/>
    </row>
    <row r="7230" ht="15" customHeight="1">
      <c r="A7230" t="inlineStr">
        <is>
          <t>A 36237-2026</t>
        </is>
      </c>
      <c r="B7230" t="inlineStr">
        <is>
          <t>avverkningsanmälan</t>
        </is>
      </c>
      <c r="C7230" t="inlineStr">
        <is>
          <t>Föryngringsavverkning</t>
        </is>
      </c>
      <c r="D7230" s="1" t="n">
        <v>46268</v>
      </c>
      <c r="E7230" s="1" t="n">
        <v>46319</v>
      </c>
      <c r="F7230" t="inlineStr">
        <is>
          <t>DALARNAS LÄN</t>
        </is>
      </c>
      <c r="G7230" t="inlineStr">
        <is>
          <t>ORSA</t>
        </is>
      </c>
      <c r="I7230" t="n">
        <v>3.3</v>
      </c>
      <c r="J7230" t="n">
        <v>0</v>
      </c>
      <c r="K7230" t="n">
        <v>0</v>
      </c>
      <c r="L7230" t="n">
        <v>0</v>
      </c>
      <c r="M7230" t="n">
        <v>0</v>
      </c>
      <c r="N7230" t="n">
        <v>0</v>
      </c>
      <c r="O7230" t="n">
        <v>0</v>
      </c>
      <c r="P7230" t="n">
        <v>0</v>
      </c>
      <c r="Q7230" t="n">
        <v>0</v>
      </c>
      <c r="R7230" t="n">
        <v>0</v>
      </c>
      <c r="S7230" t="n">
        <v>0</v>
      </c>
      <c r="T7230" t="n">
        <v>0</v>
      </c>
      <c r="U7230" t="n">
        <v>0</v>
      </c>
      <c r="V7230" s="2" t="inlineStr"/>
    </row>
    <row r="7231" ht="15" customHeight="1">
      <c r="A7231" t="inlineStr">
        <is>
          <t>A 55323-2025</t>
        </is>
      </c>
      <c r="B7231" t="inlineStr">
        <is>
          <t>avverkningsanmälan</t>
        </is>
      </c>
      <c r="C7231" t="inlineStr">
        <is>
          <t>Föryngringsavverkning</t>
        </is>
      </c>
      <c r="D7231" s="1" t="n">
        <v>45971</v>
      </c>
      <c r="E7231" s="1" t="n">
        <v>46319</v>
      </c>
      <c r="F7231" t="inlineStr">
        <is>
          <t>DALARNAS LÄN</t>
        </is>
      </c>
      <c r="G7231" t="inlineStr">
        <is>
          <t>LUDVIKA</t>
        </is>
      </c>
      <c r="H7231" t="inlineStr">
        <is>
          <t>Bergvik skog väst AB</t>
        </is>
      </c>
      <c r="I7231" t="n">
        <v>25.7</v>
      </c>
      <c r="J7231" t="n">
        <v>0</v>
      </c>
      <c r="K7231" t="n">
        <v>0</v>
      </c>
      <c r="L7231" t="n">
        <v>0</v>
      </c>
      <c r="M7231" t="n">
        <v>0</v>
      </c>
      <c r="N7231" t="n">
        <v>0</v>
      </c>
      <c r="O7231" t="n">
        <v>0</v>
      </c>
      <c r="P7231" t="n">
        <v>0</v>
      </c>
      <c r="Q7231" t="n">
        <v>0</v>
      </c>
      <c r="R7231" t="n">
        <v>0</v>
      </c>
      <c r="S7231" t="n">
        <v>0</v>
      </c>
      <c r="T7231" t="n">
        <v>0</v>
      </c>
      <c r="U7231" t="n">
        <v>0</v>
      </c>
      <c r="V7231" s="2" t="inlineStr"/>
    </row>
    <row r="7232" ht="15" customHeight="1">
      <c r="A7232" t="inlineStr">
        <is>
          <t>A 44177-2023</t>
        </is>
      </c>
      <c r="B7232" t="inlineStr">
        <is>
          <t>avverkningsanmälan</t>
        </is>
      </c>
      <c r="C7232" t="inlineStr">
        <is>
          <t>Föryngringsavverkning</t>
        </is>
      </c>
      <c r="D7232" s="1" t="n">
        <v>45188</v>
      </c>
      <c r="E7232" s="1" t="n">
        <v>46319</v>
      </c>
      <c r="F7232" t="inlineStr">
        <is>
          <t>DALARNAS LÄN</t>
        </is>
      </c>
      <c r="G7232" t="inlineStr">
        <is>
          <t>MORA</t>
        </is>
      </c>
      <c r="I7232" t="n">
        <v>2</v>
      </c>
      <c r="J7232" t="n">
        <v>0</v>
      </c>
      <c r="K7232" t="n">
        <v>0</v>
      </c>
      <c r="L7232" t="n">
        <v>0</v>
      </c>
      <c r="M7232" t="n">
        <v>0</v>
      </c>
      <c r="N7232" t="n">
        <v>0</v>
      </c>
      <c r="O7232" t="n">
        <v>0</v>
      </c>
      <c r="P7232" t="n">
        <v>0</v>
      </c>
      <c r="Q7232" t="n">
        <v>0</v>
      </c>
      <c r="R7232" t="n">
        <v>0</v>
      </c>
      <c r="S7232" t="n">
        <v>0</v>
      </c>
      <c r="T7232" t="n">
        <v>0</v>
      </c>
      <c r="U7232" t="n">
        <v>0</v>
      </c>
      <c r="V7232" s="2" t="inlineStr"/>
    </row>
    <row r="7233" ht="15" customHeight="1">
      <c r="A7233" t="inlineStr">
        <is>
          <t>A 49176-2024</t>
        </is>
      </c>
      <c r="B7233" t="inlineStr">
        <is>
          <t>avverkningsanmälan</t>
        </is>
      </c>
      <c r="C7233" t="inlineStr">
        <is>
          <t>Avverkning för annat ändamål</t>
        </is>
      </c>
      <c r="D7233" s="1" t="n">
        <v>45595</v>
      </c>
      <c r="E7233" s="1" t="n">
        <v>46319</v>
      </c>
      <c r="F7233" t="inlineStr">
        <is>
          <t>DALARNAS LÄN</t>
        </is>
      </c>
      <c r="G7233" t="inlineStr">
        <is>
          <t>RÄTTVIK</t>
        </is>
      </c>
      <c r="I7233" t="n">
        <v>2.1</v>
      </c>
      <c r="J7233" t="n">
        <v>0</v>
      </c>
      <c r="K7233" t="n">
        <v>0</v>
      </c>
      <c r="L7233" t="n">
        <v>0</v>
      </c>
      <c r="M7233" t="n">
        <v>0</v>
      </c>
      <c r="N7233" t="n">
        <v>0</v>
      </c>
      <c r="O7233" t="n">
        <v>0</v>
      </c>
      <c r="P7233" t="n">
        <v>0</v>
      </c>
      <c r="Q7233" t="n">
        <v>0</v>
      </c>
      <c r="R7233" t="n">
        <v>0</v>
      </c>
      <c r="S7233" t="n">
        <v>0</v>
      </c>
      <c r="T7233" t="n">
        <v>0</v>
      </c>
      <c r="U7233" t="n">
        <v>0</v>
      </c>
      <c r="V7233" s="2" t="inlineStr"/>
    </row>
    <row r="7234" ht="15" customHeight="1">
      <c r="A7234" t="inlineStr">
        <is>
          <t>A 1443-2024</t>
        </is>
      </c>
      <c r="B7234" t="inlineStr">
        <is>
          <t>avverkningsanmälan</t>
        </is>
      </c>
      <c r="C7234" t="inlineStr">
        <is>
          <t>Föryngringsavverkning</t>
        </is>
      </c>
      <c r="D7234" s="1" t="n">
        <v>45303</v>
      </c>
      <c r="E7234" s="1" t="n">
        <v>46319</v>
      </c>
      <c r="F7234" t="inlineStr">
        <is>
          <t>DALARNAS LÄN</t>
        </is>
      </c>
      <c r="G7234" t="inlineStr">
        <is>
          <t>LEKSAND</t>
        </is>
      </c>
      <c r="I7234" t="n">
        <v>9.800000000000001</v>
      </c>
      <c r="J7234" t="n">
        <v>0</v>
      </c>
      <c r="K7234" t="n">
        <v>0</v>
      </c>
      <c r="L7234" t="n">
        <v>0</v>
      </c>
      <c r="M7234" t="n">
        <v>0</v>
      </c>
      <c r="N7234" t="n">
        <v>0</v>
      </c>
      <c r="O7234" t="n">
        <v>0</v>
      </c>
      <c r="P7234" t="n">
        <v>0</v>
      </c>
      <c r="Q7234" t="n">
        <v>0</v>
      </c>
      <c r="R7234" t="n">
        <v>0</v>
      </c>
      <c r="S7234" t="n">
        <v>0</v>
      </c>
      <c r="T7234" t="n">
        <v>0</v>
      </c>
      <c r="U7234" t="n">
        <v>0</v>
      </c>
      <c r="V7234" s="2" t="inlineStr"/>
    </row>
    <row r="7235" ht="15" customHeight="1">
      <c r="A7235" t="inlineStr">
        <is>
          <t>A 29585-2024</t>
        </is>
      </c>
      <c r="B7235" t="inlineStr">
        <is>
          <t>avverkningsanmälan</t>
        </is>
      </c>
      <c r="C7235" t="inlineStr">
        <is>
          <t>Föryngringsavverkning</t>
        </is>
      </c>
      <c r="D7235" s="1" t="n">
        <v>45484</v>
      </c>
      <c r="E7235" s="1" t="n">
        <v>46319</v>
      </c>
      <c r="F7235" t="inlineStr">
        <is>
          <t>DALARNAS LÄN</t>
        </is>
      </c>
      <c r="G7235" t="inlineStr">
        <is>
          <t>HEDEMORA</t>
        </is>
      </c>
      <c r="H7235" t="inlineStr">
        <is>
          <t>Bergvik skog väst AB</t>
        </is>
      </c>
      <c r="I7235" t="n">
        <v>8.1</v>
      </c>
      <c r="J7235" t="n">
        <v>0</v>
      </c>
      <c r="K7235" t="n">
        <v>0</v>
      </c>
      <c r="L7235" t="n">
        <v>0</v>
      </c>
      <c r="M7235" t="n">
        <v>0</v>
      </c>
      <c r="N7235" t="n">
        <v>0</v>
      </c>
      <c r="O7235" t="n">
        <v>0</v>
      </c>
      <c r="P7235" t="n">
        <v>0</v>
      </c>
      <c r="Q7235" t="n">
        <v>0</v>
      </c>
      <c r="R7235" t="n">
        <v>0</v>
      </c>
      <c r="S7235" t="n">
        <v>0</v>
      </c>
      <c r="T7235" t="n">
        <v>0</v>
      </c>
      <c r="U7235" t="n">
        <v>0</v>
      </c>
      <c r="V7235" s="2" t="inlineStr"/>
    </row>
    <row r="7236" ht="15" customHeight="1">
      <c r="A7236" t="inlineStr">
        <is>
          <t>A 59413-2025</t>
        </is>
      </c>
      <c r="B7236" t="inlineStr">
        <is>
          <t>avverkningsanmälan</t>
        </is>
      </c>
      <c r="C7236" t="inlineStr">
        <is>
          <t>Föryngringsavverkning</t>
        </is>
      </c>
      <c r="D7236" s="1" t="n">
        <v>45989</v>
      </c>
      <c r="E7236" s="1" t="n">
        <v>46319</v>
      </c>
      <c r="F7236" t="inlineStr">
        <is>
          <t>DALARNAS LÄN</t>
        </is>
      </c>
      <c r="G7236" t="inlineStr">
        <is>
          <t>RÄTTVIK</t>
        </is>
      </c>
      <c r="I7236" t="n">
        <v>3.6</v>
      </c>
      <c r="J7236" t="n">
        <v>0</v>
      </c>
      <c r="K7236" t="n">
        <v>0</v>
      </c>
      <c r="L7236" t="n">
        <v>0</v>
      </c>
      <c r="M7236" t="n">
        <v>0</v>
      </c>
      <c r="N7236" t="n">
        <v>0</v>
      </c>
      <c r="O7236" t="n">
        <v>0</v>
      </c>
      <c r="P7236" t="n">
        <v>0</v>
      </c>
      <c r="Q7236" t="n">
        <v>0</v>
      </c>
      <c r="R7236" t="n">
        <v>0</v>
      </c>
      <c r="S7236" t="n">
        <v>0</v>
      </c>
      <c r="T7236" t="n">
        <v>0</v>
      </c>
      <c r="U7236" t="n">
        <v>0</v>
      </c>
      <c r="V7236" s="2" t="inlineStr"/>
    </row>
    <row r="7237" ht="15" customHeight="1">
      <c r="A7237" t="inlineStr">
        <is>
          <t>A 36495-2026</t>
        </is>
      </c>
      <c r="B7237" t="inlineStr">
        <is>
          <t>avverkningsanmälan</t>
        </is>
      </c>
      <c r="C7237" t="inlineStr">
        <is>
          <t>Föryngringsavverkning</t>
        </is>
      </c>
      <c r="D7237" s="1" t="n">
        <v>46269</v>
      </c>
      <c r="E7237" s="1" t="n">
        <v>46319</v>
      </c>
      <c r="F7237" t="inlineStr">
        <is>
          <t>DALARNAS LÄN</t>
        </is>
      </c>
      <c r="G7237" t="inlineStr">
        <is>
          <t>FALUN</t>
        </is>
      </c>
      <c r="I7237" t="n">
        <v>0.6</v>
      </c>
      <c r="J7237" t="n">
        <v>0</v>
      </c>
      <c r="K7237" t="n">
        <v>0</v>
      </c>
      <c r="L7237" t="n">
        <v>0</v>
      </c>
      <c r="M7237" t="n">
        <v>0</v>
      </c>
      <c r="N7237" t="n">
        <v>0</v>
      </c>
      <c r="O7237" t="n">
        <v>0</v>
      </c>
      <c r="P7237" t="n">
        <v>0</v>
      </c>
      <c r="Q7237" t="n">
        <v>0</v>
      </c>
      <c r="R7237" t="n">
        <v>0</v>
      </c>
      <c r="S7237" t="n">
        <v>0</v>
      </c>
      <c r="T7237" t="n">
        <v>0</v>
      </c>
      <c r="U7237" t="n">
        <v>0</v>
      </c>
      <c r="V7237" s="2" t="inlineStr"/>
    </row>
    <row r="7238" ht="15" customHeight="1">
      <c r="A7238" t="inlineStr">
        <is>
          <t>A 8033-2026</t>
        </is>
      </c>
      <c r="B7238" t="inlineStr">
        <is>
          <t>avverkningsanmälan</t>
        </is>
      </c>
      <c r="C7238" t="inlineStr">
        <is>
          <t>Föryngringsavverkning</t>
        </is>
      </c>
      <c r="D7238" s="1" t="n">
        <v>46063</v>
      </c>
      <c r="E7238" s="1" t="n">
        <v>46319</v>
      </c>
      <c r="F7238" t="inlineStr">
        <is>
          <t>DALARNAS LÄN</t>
        </is>
      </c>
      <c r="G7238" t="inlineStr">
        <is>
          <t>FALUN</t>
        </is>
      </c>
      <c r="I7238" t="n">
        <v>0.9</v>
      </c>
      <c r="J7238" t="n">
        <v>0</v>
      </c>
      <c r="K7238" t="n">
        <v>0</v>
      </c>
      <c r="L7238" t="n">
        <v>0</v>
      </c>
      <c r="M7238" t="n">
        <v>0</v>
      </c>
      <c r="N7238" t="n">
        <v>0</v>
      </c>
      <c r="O7238" t="n">
        <v>0</v>
      </c>
      <c r="P7238" t="n">
        <v>0</v>
      </c>
      <c r="Q7238" t="n">
        <v>0</v>
      </c>
      <c r="R7238" t="n">
        <v>0</v>
      </c>
      <c r="S7238" t="n">
        <v>0</v>
      </c>
      <c r="T7238" t="n">
        <v>0</v>
      </c>
      <c r="U7238" t="n">
        <v>0</v>
      </c>
      <c r="V7238" s="2" t="inlineStr"/>
    </row>
    <row r="7239" ht="15" customHeight="1">
      <c r="A7239" t="inlineStr">
        <is>
          <t>A 1598-2026</t>
        </is>
      </c>
      <c r="B7239" t="inlineStr">
        <is>
          <t>avverkningsanmälan</t>
        </is>
      </c>
      <c r="C7239" t="inlineStr">
        <is>
          <t>Föryngringsavverkning</t>
        </is>
      </c>
      <c r="D7239" s="1" t="n">
        <v>46034</v>
      </c>
      <c r="E7239" s="1" t="n">
        <v>46319</v>
      </c>
      <c r="F7239" t="inlineStr">
        <is>
          <t>DALARNAS LÄN</t>
        </is>
      </c>
      <c r="G7239" t="inlineStr">
        <is>
          <t>BORLÄNGE</t>
        </is>
      </c>
      <c r="I7239" t="n">
        <v>5.2</v>
      </c>
      <c r="J7239" t="n">
        <v>0</v>
      </c>
      <c r="K7239" t="n">
        <v>0</v>
      </c>
      <c r="L7239" t="n">
        <v>0</v>
      </c>
      <c r="M7239" t="n">
        <v>0</v>
      </c>
      <c r="N7239" t="n">
        <v>0</v>
      </c>
      <c r="O7239" t="n">
        <v>0</v>
      </c>
      <c r="P7239" t="n">
        <v>0</v>
      </c>
      <c r="Q7239" t="n">
        <v>0</v>
      </c>
      <c r="R7239" t="n">
        <v>0</v>
      </c>
      <c r="S7239" t="n">
        <v>0</v>
      </c>
      <c r="T7239" t="n">
        <v>0</v>
      </c>
      <c r="U7239" t="n">
        <v>0</v>
      </c>
      <c r="V7239" s="2" t="inlineStr"/>
    </row>
    <row r="7240" ht="15" customHeight="1">
      <c r="A7240" t="inlineStr">
        <is>
          <t>A 11316-2026</t>
        </is>
      </c>
      <c r="B7240" t="inlineStr">
        <is>
          <t>avverkningsanmälan</t>
        </is>
      </c>
      <c r="C7240" t="inlineStr">
        <is>
          <t>Föryngringsavverkning</t>
        </is>
      </c>
      <c r="D7240" s="1" t="n">
        <v>46080</v>
      </c>
      <c r="E7240" s="1" t="n">
        <v>46319</v>
      </c>
      <c r="F7240" t="inlineStr">
        <is>
          <t>DALARNAS LÄN</t>
        </is>
      </c>
      <c r="G7240" t="inlineStr">
        <is>
          <t>FALUN</t>
        </is>
      </c>
      <c r="H7240" t="inlineStr">
        <is>
          <t>Bergvik skog väst AB</t>
        </is>
      </c>
      <c r="I7240" t="n">
        <v>2.6</v>
      </c>
      <c r="J7240" t="n">
        <v>0</v>
      </c>
      <c r="K7240" t="n">
        <v>0</v>
      </c>
      <c r="L7240" t="n">
        <v>0</v>
      </c>
      <c r="M7240" t="n">
        <v>0</v>
      </c>
      <c r="N7240" t="n">
        <v>0</v>
      </c>
      <c r="O7240" t="n">
        <v>0</v>
      </c>
      <c r="P7240" t="n">
        <v>0</v>
      </c>
      <c r="Q7240" t="n">
        <v>0</v>
      </c>
      <c r="R7240" t="n">
        <v>0</v>
      </c>
      <c r="S7240" t="n">
        <v>0</v>
      </c>
      <c r="T7240" t="n">
        <v>0</v>
      </c>
      <c r="U7240" t="n">
        <v>0</v>
      </c>
      <c r="V7240" s="2" t="inlineStr"/>
    </row>
    <row r="7241" ht="15" customHeight="1">
      <c r="A7241" t="inlineStr">
        <is>
          <t>A 28592-2023</t>
        </is>
      </c>
      <c r="B7241" t="inlineStr">
        <is>
          <t>avverkningsanmälan</t>
        </is>
      </c>
      <c r="C7241" t="inlineStr">
        <is>
          <t>Föryngringsavverkning</t>
        </is>
      </c>
      <c r="D7241" s="1" t="n">
        <v>45103</v>
      </c>
      <c r="E7241" s="1" t="n">
        <v>46319</v>
      </c>
      <c r="F7241" t="inlineStr">
        <is>
          <t>DALARNAS LÄN</t>
        </is>
      </c>
      <c r="G7241" t="inlineStr">
        <is>
          <t>LEKSAND</t>
        </is>
      </c>
      <c r="I7241" t="n">
        <v>0.5</v>
      </c>
      <c r="J7241" t="n">
        <v>0</v>
      </c>
      <c r="K7241" t="n">
        <v>0</v>
      </c>
      <c r="L7241" t="n">
        <v>0</v>
      </c>
      <c r="M7241" t="n">
        <v>0</v>
      </c>
      <c r="N7241" t="n">
        <v>0</v>
      </c>
      <c r="O7241" t="n">
        <v>0</v>
      </c>
      <c r="P7241" t="n">
        <v>0</v>
      </c>
      <c r="Q7241" t="n">
        <v>0</v>
      </c>
      <c r="R7241" t="n">
        <v>0</v>
      </c>
      <c r="S7241" t="n">
        <v>0</v>
      </c>
      <c r="T7241" t="n">
        <v>0</v>
      </c>
      <c r="U7241" t="n">
        <v>0</v>
      </c>
      <c r="V7241" s="2" t="inlineStr"/>
    </row>
    <row r="7242" ht="15" customHeight="1">
      <c r="A7242" t="inlineStr">
        <is>
          <t>A 36377-2026</t>
        </is>
      </c>
      <c r="B7242" t="inlineStr">
        <is>
          <t>avverkningsanmälan</t>
        </is>
      </c>
      <c r="C7242" t="inlineStr">
        <is>
          <t>Föryngringsavverkning</t>
        </is>
      </c>
      <c r="D7242" s="1" t="n">
        <v>46268</v>
      </c>
      <c r="E7242" s="1" t="n">
        <v>46319</v>
      </c>
      <c r="F7242" t="inlineStr">
        <is>
          <t>DALARNAS LÄN</t>
        </is>
      </c>
      <c r="G7242" t="inlineStr">
        <is>
          <t>VANSBRO</t>
        </is>
      </c>
      <c r="H7242" t="inlineStr">
        <is>
          <t>Kyrkan</t>
        </is>
      </c>
      <c r="I7242" t="n">
        <v>1</v>
      </c>
      <c r="J7242" t="n">
        <v>0</v>
      </c>
      <c r="K7242" t="n">
        <v>0</v>
      </c>
      <c r="L7242" t="n">
        <v>0</v>
      </c>
      <c r="M7242" t="n">
        <v>0</v>
      </c>
      <c r="N7242" t="n">
        <v>0</v>
      </c>
      <c r="O7242" t="n">
        <v>0</v>
      </c>
      <c r="P7242" t="n">
        <v>0</v>
      </c>
      <c r="Q7242" t="n">
        <v>0</v>
      </c>
      <c r="R7242" t="n">
        <v>0</v>
      </c>
      <c r="S7242" t="n">
        <v>0</v>
      </c>
      <c r="T7242" t="n">
        <v>0</v>
      </c>
      <c r="U7242" t="n">
        <v>0</v>
      </c>
      <c r="V7242" s="2" t="inlineStr"/>
    </row>
    <row r="7243" ht="15" customHeight="1">
      <c r="A7243" t="inlineStr">
        <is>
          <t>A 20237-2023</t>
        </is>
      </c>
      <c r="B7243" t="inlineStr">
        <is>
          <t>avverkningsanmälan</t>
        </is>
      </c>
      <c r="C7243" t="inlineStr">
        <is>
          <t>Föryngringsavverkning</t>
        </is>
      </c>
      <c r="D7243" s="1" t="n">
        <v>45055</v>
      </c>
      <c r="E7243" s="1" t="n">
        <v>46319</v>
      </c>
      <c r="F7243" t="inlineStr">
        <is>
          <t>DALARNAS LÄN</t>
        </is>
      </c>
      <c r="G7243" t="inlineStr">
        <is>
          <t>HEDEMORA</t>
        </is>
      </c>
      <c r="H7243" t="inlineStr">
        <is>
          <t>Bergvik skog väst AB</t>
        </is>
      </c>
      <c r="I7243" t="n">
        <v>2.4</v>
      </c>
      <c r="J7243" t="n">
        <v>0</v>
      </c>
      <c r="K7243" t="n">
        <v>0</v>
      </c>
      <c r="L7243" t="n">
        <v>0</v>
      </c>
      <c r="M7243" t="n">
        <v>0</v>
      </c>
      <c r="N7243" t="n">
        <v>0</v>
      </c>
      <c r="O7243" t="n">
        <v>0</v>
      </c>
      <c r="P7243" t="n">
        <v>0</v>
      </c>
      <c r="Q7243" t="n">
        <v>0</v>
      </c>
      <c r="R7243" t="n">
        <v>0</v>
      </c>
      <c r="S7243" t="n">
        <v>0</v>
      </c>
      <c r="T7243" t="n">
        <v>0</v>
      </c>
      <c r="U7243" t="n">
        <v>0</v>
      </c>
      <c r="V7243" s="2" t="inlineStr"/>
    </row>
    <row r="7244" ht="15" customHeight="1">
      <c r="A7244" t="inlineStr">
        <is>
          <t>A 2961-2026</t>
        </is>
      </c>
      <c r="B7244" t="inlineStr">
        <is>
          <t>avverkningsanmälan</t>
        </is>
      </c>
      <c r="C7244" t="inlineStr">
        <is>
          <t>Föryngringsavverkning</t>
        </is>
      </c>
      <c r="D7244" s="1" t="n">
        <v>46037</v>
      </c>
      <c r="E7244" s="1" t="n">
        <v>46319</v>
      </c>
      <c r="F7244" t="inlineStr">
        <is>
          <t>DALARNAS LÄN</t>
        </is>
      </c>
      <c r="G7244" t="inlineStr">
        <is>
          <t>FALUN</t>
        </is>
      </c>
      <c r="I7244" t="n">
        <v>5.6</v>
      </c>
      <c r="J7244" t="n">
        <v>0</v>
      </c>
      <c r="K7244" t="n">
        <v>0</v>
      </c>
      <c r="L7244" t="n">
        <v>0</v>
      </c>
      <c r="M7244" t="n">
        <v>0</v>
      </c>
      <c r="N7244" t="n">
        <v>0</v>
      </c>
      <c r="O7244" t="n">
        <v>0</v>
      </c>
      <c r="P7244" t="n">
        <v>0</v>
      </c>
      <c r="Q7244" t="n">
        <v>0</v>
      </c>
      <c r="R7244" t="n">
        <v>0</v>
      </c>
      <c r="S7244" t="n">
        <v>0</v>
      </c>
      <c r="T7244" t="n">
        <v>0</v>
      </c>
      <c r="U7244" t="n">
        <v>0</v>
      </c>
      <c r="V7244" s="2" t="inlineStr"/>
    </row>
    <row r="7245" ht="15" customHeight="1">
      <c r="A7245" t="inlineStr">
        <is>
          <t>A 2612-2026</t>
        </is>
      </c>
      <c r="B7245" t="inlineStr">
        <is>
          <t>avverkningsanmälan</t>
        </is>
      </c>
      <c r="C7245" t="inlineStr">
        <is>
          <t>Föryngringsavverkning</t>
        </is>
      </c>
      <c r="D7245" s="1" t="n">
        <v>46037</v>
      </c>
      <c r="E7245" s="1" t="n">
        <v>46319</v>
      </c>
      <c r="F7245" t="inlineStr">
        <is>
          <t>DALARNAS LÄN</t>
        </is>
      </c>
      <c r="G7245" t="inlineStr">
        <is>
          <t>FALUN</t>
        </is>
      </c>
      <c r="H7245" t="inlineStr">
        <is>
          <t>Bergvik skog väst AB</t>
        </is>
      </c>
      <c r="I7245" t="n">
        <v>6.3</v>
      </c>
      <c r="J7245" t="n">
        <v>0</v>
      </c>
      <c r="K7245" t="n">
        <v>0</v>
      </c>
      <c r="L7245" t="n">
        <v>0</v>
      </c>
      <c r="M7245" t="n">
        <v>0</v>
      </c>
      <c r="N7245" t="n">
        <v>0</v>
      </c>
      <c r="O7245" t="n">
        <v>0</v>
      </c>
      <c r="P7245" t="n">
        <v>0</v>
      </c>
      <c r="Q7245" t="n">
        <v>0</v>
      </c>
      <c r="R7245" t="n">
        <v>0</v>
      </c>
      <c r="S7245" t="n">
        <v>0</v>
      </c>
      <c r="T7245" t="n">
        <v>0</v>
      </c>
      <c r="U7245" t="n">
        <v>0</v>
      </c>
      <c r="V7245" s="2" t="inlineStr"/>
    </row>
    <row r="7246" ht="15" customHeight="1">
      <c r="A7246" t="inlineStr">
        <is>
          <t>A 12800-2026</t>
        </is>
      </c>
      <c r="B7246" t="inlineStr">
        <is>
          <t>avverkningsanmälan</t>
        </is>
      </c>
      <c r="C7246" t="inlineStr">
        <is>
          <t>Föryngringsavverkning</t>
        </is>
      </c>
      <c r="D7246" s="1" t="n">
        <v>46092</v>
      </c>
      <c r="E7246" s="1" t="n">
        <v>46319</v>
      </c>
      <c r="F7246" t="inlineStr">
        <is>
          <t>DALARNAS LÄN</t>
        </is>
      </c>
      <c r="G7246" t="inlineStr">
        <is>
          <t>ORSA</t>
        </is>
      </c>
      <c r="I7246" t="n">
        <v>1.6</v>
      </c>
      <c r="J7246" t="n">
        <v>0</v>
      </c>
      <c r="K7246" t="n">
        <v>0</v>
      </c>
      <c r="L7246" t="n">
        <v>0</v>
      </c>
      <c r="M7246" t="n">
        <v>0</v>
      </c>
      <c r="N7246" t="n">
        <v>0</v>
      </c>
      <c r="O7246" t="n">
        <v>0</v>
      </c>
      <c r="P7246" t="n">
        <v>0</v>
      </c>
      <c r="Q7246" t="n">
        <v>0</v>
      </c>
      <c r="R7246" t="n">
        <v>0</v>
      </c>
      <c r="S7246" t="n">
        <v>0</v>
      </c>
      <c r="T7246" t="n">
        <v>0</v>
      </c>
      <c r="U7246" t="n">
        <v>0</v>
      </c>
      <c r="V7246" s="2" t="inlineStr"/>
    </row>
    <row r="7247" ht="15" customHeight="1">
      <c r="A7247" t="inlineStr">
        <is>
          <t>A 13514-2026</t>
        </is>
      </c>
      <c r="B7247" t="inlineStr">
        <is>
          <t>avverkningsanmälan</t>
        </is>
      </c>
      <c r="C7247" t="inlineStr">
        <is>
          <t>Föryngringsavverkning</t>
        </is>
      </c>
      <c r="D7247" s="1" t="n">
        <v>46094</v>
      </c>
      <c r="E7247" s="1" t="n">
        <v>46319</v>
      </c>
      <c r="F7247" t="inlineStr">
        <is>
          <t>DALARNAS LÄN</t>
        </is>
      </c>
      <c r="G7247" t="inlineStr">
        <is>
          <t>FALUN</t>
        </is>
      </c>
      <c r="H7247" t="inlineStr">
        <is>
          <t>Bergvik skog väst AB</t>
        </is>
      </c>
      <c r="I7247" t="n">
        <v>17.2</v>
      </c>
      <c r="J7247" t="n">
        <v>0</v>
      </c>
      <c r="K7247" t="n">
        <v>0</v>
      </c>
      <c r="L7247" t="n">
        <v>0</v>
      </c>
      <c r="M7247" t="n">
        <v>0</v>
      </c>
      <c r="N7247" t="n">
        <v>0</v>
      </c>
      <c r="O7247" t="n">
        <v>0</v>
      </c>
      <c r="P7247" t="n">
        <v>0</v>
      </c>
      <c r="Q7247" t="n">
        <v>0</v>
      </c>
      <c r="R7247" t="n">
        <v>0</v>
      </c>
      <c r="S7247" t="n">
        <v>0</v>
      </c>
      <c r="T7247" t="n">
        <v>0</v>
      </c>
      <c r="U7247" t="n">
        <v>0</v>
      </c>
      <c r="V7247" s="2" t="inlineStr"/>
    </row>
    <row r="7248" ht="15" customHeight="1">
      <c r="A7248" t="inlineStr">
        <is>
          <t>A 36468-2026</t>
        </is>
      </c>
      <c r="B7248" t="inlineStr">
        <is>
          <t>avverkningsanmälan</t>
        </is>
      </c>
      <c r="C7248" t="inlineStr">
        <is>
          <t>Föryngringsavverkning</t>
        </is>
      </c>
      <c r="D7248" s="1" t="n">
        <v>46269</v>
      </c>
      <c r="E7248" s="1" t="n">
        <v>46319</v>
      </c>
      <c r="F7248" t="inlineStr">
        <is>
          <t>DALARNAS LÄN</t>
        </is>
      </c>
      <c r="G7248" t="inlineStr">
        <is>
          <t>ÄLVDALEN</t>
        </is>
      </c>
      <c r="I7248" t="n">
        <v>0.5</v>
      </c>
      <c r="J7248" t="n">
        <v>0</v>
      </c>
      <c r="K7248" t="n">
        <v>0</v>
      </c>
      <c r="L7248" t="n">
        <v>0</v>
      </c>
      <c r="M7248" t="n">
        <v>0</v>
      </c>
      <c r="N7248" t="n">
        <v>0</v>
      </c>
      <c r="O7248" t="n">
        <v>0</v>
      </c>
      <c r="P7248" t="n">
        <v>0</v>
      </c>
      <c r="Q7248" t="n">
        <v>0</v>
      </c>
      <c r="R7248" t="n">
        <v>0</v>
      </c>
      <c r="S7248" t="n">
        <v>0</v>
      </c>
      <c r="T7248" t="n">
        <v>0</v>
      </c>
      <c r="U7248" t="n">
        <v>0</v>
      </c>
      <c r="V7248" s="2" t="inlineStr"/>
    </row>
    <row r="7249" ht="15" customHeight="1">
      <c r="A7249" t="inlineStr">
        <is>
          <t>A 32224-2025</t>
        </is>
      </c>
      <c r="B7249" t="inlineStr">
        <is>
          <t>avverkningsanmälan</t>
        </is>
      </c>
      <c r="C7249" t="inlineStr">
        <is>
          <t>Föryngringsavverkning</t>
        </is>
      </c>
      <c r="D7249" s="1" t="n">
        <v>45835</v>
      </c>
      <c r="E7249" s="1" t="n">
        <v>46319</v>
      </c>
      <c r="F7249" t="inlineStr">
        <is>
          <t>DALARNAS LÄN</t>
        </is>
      </c>
      <c r="G7249" t="inlineStr">
        <is>
          <t>LUDVIKA</t>
        </is>
      </c>
      <c r="H7249" t="inlineStr">
        <is>
          <t>Bergvik skog väst AB</t>
        </is>
      </c>
      <c r="I7249" t="n">
        <v>1.4</v>
      </c>
      <c r="J7249" t="n">
        <v>0</v>
      </c>
      <c r="K7249" t="n">
        <v>0</v>
      </c>
      <c r="L7249" t="n">
        <v>0</v>
      </c>
      <c r="M7249" t="n">
        <v>0</v>
      </c>
      <c r="N7249" t="n">
        <v>0</v>
      </c>
      <c r="O7249" t="n">
        <v>0</v>
      </c>
      <c r="P7249" t="n">
        <v>0</v>
      </c>
      <c r="Q7249" t="n">
        <v>0</v>
      </c>
      <c r="R7249" t="n">
        <v>0</v>
      </c>
      <c r="S7249" t="n">
        <v>0</v>
      </c>
      <c r="T7249" t="n">
        <v>0</v>
      </c>
      <c r="U7249" t="n">
        <v>0</v>
      </c>
      <c r="V7249" s="2" t="inlineStr"/>
    </row>
    <row r="7250" ht="15" customHeight="1">
      <c r="A7250" t="inlineStr">
        <is>
          <t>A 42715-2024</t>
        </is>
      </c>
      <c r="B7250" t="inlineStr">
        <is>
          <t>avverkningsanmälan</t>
        </is>
      </c>
      <c r="C7250" t="inlineStr">
        <is>
          <t>Föryngringsavverkning</t>
        </is>
      </c>
      <c r="D7250" s="1" t="n">
        <v>45566</v>
      </c>
      <c r="E7250" s="1" t="n">
        <v>46319</v>
      </c>
      <c r="F7250" t="inlineStr">
        <is>
          <t>DALARNAS LÄN</t>
        </is>
      </c>
      <c r="G7250" t="inlineStr">
        <is>
          <t>GAGNEF</t>
        </is>
      </c>
      <c r="I7250" t="n">
        <v>1</v>
      </c>
      <c r="J7250" t="n">
        <v>0</v>
      </c>
      <c r="K7250" t="n">
        <v>0</v>
      </c>
      <c r="L7250" t="n">
        <v>0</v>
      </c>
      <c r="M7250" t="n">
        <v>0</v>
      </c>
      <c r="N7250" t="n">
        <v>0</v>
      </c>
      <c r="O7250" t="n">
        <v>0</v>
      </c>
      <c r="P7250" t="n">
        <v>0</v>
      </c>
      <c r="Q7250" t="n">
        <v>0</v>
      </c>
      <c r="R7250" t="n">
        <v>0</v>
      </c>
      <c r="S7250" t="n">
        <v>0</v>
      </c>
      <c r="T7250" t="n">
        <v>0</v>
      </c>
      <c r="U7250" t="n">
        <v>0</v>
      </c>
      <c r="V7250" s="2" t="inlineStr"/>
    </row>
    <row r="7251" ht="15" customHeight="1">
      <c r="A7251" t="inlineStr">
        <is>
          <t>A 42806-2024</t>
        </is>
      </c>
      <c r="B7251" t="inlineStr">
        <is>
          <t>avverkningsanmälan</t>
        </is>
      </c>
      <c r="C7251" t="inlineStr">
        <is>
          <t>Föryngringsavverkning</t>
        </is>
      </c>
      <c r="D7251" s="1" t="n">
        <v>45566</v>
      </c>
      <c r="E7251" s="1" t="n">
        <v>46319</v>
      </c>
      <c r="F7251" t="inlineStr">
        <is>
          <t>DALARNAS LÄN</t>
        </is>
      </c>
      <c r="G7251" t="inlineStr">
        <is>
          <t>SÄTER</t>
        </is>
      </c>
      <c r="I7251" t="n">
        <v>1.1</v>
      </c>
      <c r="J7251" t="n">
        <v>0</v>
      </c>
      <c r="K7251" t="n">
        <v>0</v>
      </c>
      <c r="L7251" t="n">
        <v>0</v>
      </c>
      <c r="M7251" t="n">
        <v>0</v>
      </c>
      <c r="N7251" t="n">
        <v>0</v>
      </c>
      <c r="O7251" t="n">
        <v>0</v>
      </c>
      <c r="P7251" t="n">
        <v>0</v>
      </c>
      <c r="Q7251" t="n">
        <v>0</v>
      </c>
      <c r="R7251" t="n">
        <v>0</v>
      </c>
      <c r="S7251" t="n">
        <v>0</v>
      </c>
      <c r="T7251" t="n">
        <v>0</v>
      </c>
      <c r="U7251" t="n">
        <v>0</v>
      </c>
      <c r="V7251" s="2" t="inlineStr"/>
    </row>
    <row r="7252" ht="15" customHeight="1">
      <c r="A7252" t="inlineStr">
        <is>
          <t>A 56767-2024</t>
        </is>
      </c>
      <c r="B7252" t="inlineStr">
        <is>
          <t>avverkningsanmälan</t>
        </is>
      </c>
      <c r="C7252" t="inlineStr">
        <is>
          <t>Föryngringsavverkning</t>
        </is>
      </c>
      <c r="D7252" s="1" t="n">
        <v>45628</v>
      </c>
      <c r="E7252" s="1" t="n">
        <v>46319</v>
      </c>
      <c r="F7252" t="inlineStr">
        <is>
          <t>DALARNAS LÄN</t>
        </is>
      </c>
      <c r="G7252" t="inlineStr">
        <is>
          <t>MORA</t>
        </is>
      </c>
      <c r="I7252" t="n">
        <v>5</v>
      </c>
      <c r="J7252" t="n">
        <v>0</v>
      </c>
      <c r="K7252" t="n">
        <v>0</v>
      </c>
      <c r="L7252" t="n">
        <v>0</v>
      </c>
      <c r="M7252" t="n">
        <v>0</v>
      </c>
      <c r="N7252" t="n">
        <v>0</v>
      </c>
      <c r="O7252" t="n">
        <v>0</v>
      </c>
      <c r="P7252" t="n">
        <v>0</v>
      </c>
      <c r="Q7252" t="n">
        <v>0</v>
      </c>
      <c r="R7252" t="n">
        <v>0</v>
      </c>
      <c r="S7252" t="n">
        <v>0</v>
      </c>
      <c r="T7252" t="n">
        <v>0</v>
      </c>
      <c r="U7252" t="n">
        <v>0</v>
      </c>
      <c r="V7252" s="2" t="inlineStr"/>
    </row>
    <row r="7253" ht="15" customHeight="1">
      <c r="A7253" t="inlineStr">
        <is>
          <t>A 24235-2025</t>
        </is>
      </c>
      <c r="B7253" t="inlineStr">
        <is>
          <t>avverkningsanmälan</t>
        </is>
      </c>
      <c r="C7253" t="inlineStr">
        <is>
          <t>Föryngringsavverkning</t>
        </is>
      </c>
      <c r="D7253" s="1" t="n">
        <v>45797</v>
      </c>
      <c r="E7253" s="1" t="n">
        <v>46319</v>
      </c>
      <c r="F7253" t="inlineStr">
        <is>
          <t>DALARNAS LÄN</t>
        </is>
      </c>
      <c r="G7253" t="inlineStr">
        <is>
          <t>ORSA</t>
        </is>
      </c>
      <c r="I7253" t="n">
        <v>3.1</v>
      </c>
      <c r="J7253" t="n">
        <v>0</v>
      </c>
      <c r="K7253" t="n">
        <v>0</v>
      </c>
      <c r="L7253" t="n">
        <v>0</v>
      </c>
      <c r="M7253" t="n">
        <v>0</v>
      </c>
      <c r="N7253" t="n">
        <v>0</v>
      </c>
      <c r="O7253" t="n">
        <v>0</v>
      </c>
      <c r="P7253" t="n">
        <v>0</v>
      </c>
      <c r="Q7253" t="n">
        <v>0</v>
      </c>
      <c r="R7253" t="n">
        <v>0</v>
      </c>
      <c r="S7253" t="n">
        <v>0</v>
      </c>
      <c r="T7253" t="n">
        <v>0</v>
      </c>
      <c r="U7253" t="n">
        <v>0</v>
      </c>
      <c r="V7253" s="2" t="inlineStr"/>
    </row>
    <row r="7254" ht="15" customHeight="1">
      <c r="A7254" t="inlineStr">
        <is>
          <t>A 60762-2022</t>
        </is>
      </c>
      <c r="B7254" t="inlineStr">
        <is>
          <t>avverkningsanmälan</t>
        </is>
      </c>
      <c r="C7254" t="inlineStr">
        <is>
          <t>Föryngringsavverkning</t>
        </is>
      </c>
      <c r="D7254" s="1" t="n">
        <v>44914</v>
      </c>
      <c r="E7254" s="1" t="n">
        <v>46319</v>
      </c>
      <c r="F7254" t="inlineStr">
        <is>
          <t>DALARNAS LÄN</t>
        </is>
      </c>
      <c r="G7254" t="inlineStr">
        <is>
          <t>SMEDJEBACKEN</t>
        </is>
      </c>
      <c r="I7254" t="n">
        <v>1.8</v>
      </c>
      <c r="J7254" t="n">
        <v>0</v>
      </c>
      <c r="K7254" t="n">
        <v>0</v>
      </c>
      <c r="L7254" t="n">
        <v>0</v>
      </c>
      <c r="M7254" t="n">
        <v>0</v>
      </c>
      <c r="N7254" t="n">
        <v>0</v>
      </c>
      <c r="O7254" t="n">
        <v>0</v>
      </c>
      <c r="P7254" t="n">
        <v>0</v>
      </c>
      <c r="Q7254" t="n">
        <v>0</v>
      </c>
      <c r="R7254" t="n">
        <v>0</v>
      </c>
      <c r="S7254" t="n">
        <v>0</v>
      </c>
      <c r="T7254" t="n">
        <v>0</v>
      </c>
      <c r="U7254" t="n">
        <v>0</v>
      </c>
      <c r="V7254" s="2" t="inlineStr"/>
    </row>
    <row r="7255" ht="15" customHeight="1">
      <c r="A7255" t="inlineStr">
        <is>
          <t>A 60764-2022</t>
        </is>
      </c>
      <c r="B7255" t="inlineStr">
        <is>
          <t>avverkningsanmälan</t>
        </is>
      </c>
      <c r="C7255" t="inlineStr">
        <is>
          <t>Föryngringsavverkning</t>
        </is>
      </c>
      <c r="D7255" s="1" t="n">
        <v>44914</v>
      </c>
      <c r="E7255" s="1" t="n">
        <v>46319</v>
      </c>
      <c r="F7255" t="inlineStr">
        <is>
          <t>DALARNAS LÄN</t>
        </is>
      </c>
      <c r="G7255" t="inlineStr">
        <is>
          <t>SMEDJEBACKEN</t>
        </is>
      </c>
      <c r="I7255" t="n">
        <v>2</v>
      </c>
      <c r="J7255" t="n">
        <v>0</v>
      </c>
      <c r="K7255" t="n">
        <v>0</v>
      </c>
      <c r="L7255" t="n">
        <v>0</v>
      </c>
      <c r="M7255" t="n">
        <v>0</v>
      </c>
      <c r="N7255" t="n">
        <v>0</v>
      </c>
      <c r="O7255" t="n">
        <v>0</v>
      </c>
      <c r="P7255" t="n">
        <v>0</v>
      </c>
      <c r="Q7255" t="n">
        <v>0</v>
      </c>
      <c r="R7255" t="n">
        <v>0</v>
      </c>
      <c r="S7255" t="n">
        <v>0</v>
      </c>
      <c r="T7255" t="n">
        <v>0</v>
      </c>
      <c r="U7255" t="n">
        <v>0</v>
      </c>
      <c r="V7255" s="2" t="inlineStr"/>
    </row>
    <row r="7256" ht="15" customHeight="1">
      <c r="A7256" t="inlineStr">
        <is>
          <t>A 18584-2023</t>
        </is>
      </c>
      <c r="B7256" t="inlineStr">
        <is>
          <t>avverkningsanmälan</t>
        </is>
      </c>
      <c r="C7256" t="inlineStr">
        <is>
          <t>Avverkning för annat ändamål</t>
        </is>
      </c>
      <c r="D7256" s="1" t="n">
        <v>45041</v>
      </c>
      <c r="E7256" s="1" t="n">
        <v>46319</v>
      </c>
      <c r="F7256" t="inlineStr">
        <is>
          <t>DALARNAS LÄN</t>
        </is>
      </c>
      <c r="G7256" t="inlineStr">
        <is>
          <t>MALUNG-SÄLEN</t>
        </is>
      </c>
      <c r="I7256" t="n">
        <v>1.3</v>
      </c>
      <c r="J7256" t="n">
        <v>0</v>
      </c>
      <c r="K7256" t="n">
        <v>0</v>
      </c>
      <c r="L7256" t="n">
        <v>0</v>
      </c>
      <c r="M7256" t="n">
        <v>0</v>
      </c>
      <c r="N7256" t="n">
        <v>0</v>
      </c>
      <c r="O7256" t="n">
        <v>0</v>
      </c>
      <c r="P7256" t="n">
        <v>0</v>
      </c>
      <c r="Q7256" t="n">
        <v>0</v>
      </c>
      <c r="R7256" t="n">
        <v>0</v>
      </c>
      <c r="S7256" t="n">
        <v>0</v>
      </c>
      <c r="T7256" t="n">
        <v>0</v>
      </c>
      <c r="U7256" t="n">
        <v>0</v>
      </c>
      <c r="V7256" s="2" t="inlineStr"/>
    </row>
    <row r="7257" ht="15" customHeight="1">
      <c r="A7257" t="inlineStr">
        <is>
          <t>A 3132-2025</t>
        </is>
      </c>
      <c r="B7257" t="inlineStr">
        <is>
          <t>avverkningsanmälan</t>
        </is>
      </c>
      <c r="C7257" t="inlineStr">
        <is>
          <t>Föryngringsavverkning</t>
        </is>
      </c>
      <c r="D7257" s="1" t="n">
        <v>45678</v>
      </c>
      <c r="E7257" s="1" t="n">
        <v>46319</v>
      </c>
      <c r="F7257" t="inlineStr">
        <is>
          <t>DALARNAS LÄN</t>
        </is>
      </c>
      <c r="G7257" t="inlineStr">
        <is>
          <t>FALUN</t>
        </is>
      </c>
      <c r="I7257" t="n">
        <v>1.7</v>
      </c>
      <c r="J7257" t="n">
        <v>0</v>
      </c>
      <c r="K7257" t="n">
        <v>0</v>
      </c>
      <c r="L7257" t="n">
        <v>0</v>
      </c>
      <c r="M7257" t="n">
        <v>0</v>
      </c>
      <c r="N7257" t="n">
        <v>0</v>
      </c>
      <c r="O7257" t="n">
        <v>0</v>
      </c>
      <c r="P7257" t="n">
        <v>0</v>
      </c>
      <c r="Q7257" t="n">
        <v>0</v>
      </c>
      <c r="R7257" t="n">
        <v>0</v>
      </c>
      <c r="S7257" t="n">
        <v>0</v>
      </c>
      <c r="T7257" t="n">
        <v>0</v>
      </c>
      <c r="U7257" t="n">
        <v>0</v>
      </c>
      <c r="V7257" s="2" t="inlineStr"/>
    </row>
    <row r="7258" ht="15" customHeight="1">
      <c r="A7258" t="inlineStr">
        <is>
          <t>A 43900-2024</t>
        </is>
      </c>
      <c r="B7258" t="inlineStr">
        <is>
          <t>avverkningsanmälan</t>
        </is>
      </c>
      <c r="C7258" t="inlineStr">
        <is>
          <t>Föryngringsavverkning</t>
        </is>
      </c>
      <c r="D7258" s="1" t="n">
        <v>45572</v>
      </c>
      <c r="E7258" s="1" t="n">
        <v>46319</v>
      </c>
      <c r="F7258" t="inlineStr">
        <is>
          <t>DALARNAS LÄN</t>
        </is>
      </c>
      <c r="G7258" t="inlineStr">
        <is>
          <t>ÄLVDALEN</t>
        </is>
      </c>
      <c r="H7258" t="inlineStr">
        <is>
          <t>Bergvik skog väst AB</t>
        </is>
      </c>
      <c r="I7258" t="n">
        <v>7.3</v>
      </c>
      <c r="J7258" t="n">
        <v>0</v>
      </c>
      <c r="K7258" t="n">
        <v>0</v>
      </c>
      <c r="L7258" t="n">
        <v>0</v>
      </c>
      <c r="M7258" t="n">
        <v>0</v>
      </c>
      <c r="N7258" t="n">
        <v>0</v>
      </c>
      <c r="O7258" t="n">
        <v>0</v>
      </c>
      <c r="P7258" t="n">
        <v>0</v>
      </c>
      <c r="Q7258" t="n">
        <v>0</v>
      </c>
      <c r="R7258" t="n">
        <v>0</v>
      </c>
      <c r="S7258" t="n">
        <v>0</v>
      </c>
      <c r="T7258" t="n">
        <v>0</v>
      </c>
      <c r="U7258" t="n">
        <v>0</v>
      </c>
      <c r="V7258" s="2" t="inlineStr"/>
    </row>
    <row r="7259" ht="15" customHeight="1">
      <c r="A7259" t="inlineStr">
        <is>
          <t>A 7817-2023</t>
        </is>
      </c>
      <c r="B7259" t="inlineStr">
        <is>
          <t>avverkningsanmälan</t>
        </is>
      </c>
      <c r="C7259" t="inlineStr">
        <is>
          <t>Föryngringsavverkning</t>
        </is>
      </c>
      <c r="D7259" s="1" t="n">
        <v>44973</v>
      </c>
      <c r="E7259" s="1" t="n">
        <v>46319</v>
      </c>
      <c r="F7259" t="inlineStr">
        <is>
          <t>DALARNAS LÄN</t>
        </is>
      </c>
      <c r="G7259" t="inlineStr">
        <is>
          <t>GAGNEF</t>
        </is>
      </c>
      <c r="I7259" t="n">
        <v>0.6</v>
      </c>
      <c r="J7259" t="n">
        <v>0</v>
      </c>
      <c r="K7259" t="n">
        <v>0</v>
      </c>
      <c r="L7259" t="n">
        <v>0</v>
      </c>
      <c r="M7259" t="n">
        <v>0</v>
      </c>
      <c r="N7259" t="n">
        <v>0</v>
      </c>
      <c r="O7259" t="n">
        <v>0</v>
      </c>
      <c r="P7259" t="n">
        <v>0</v>
      </c>
      <c r="Q7259" t="n">
        <v>0</v>
      </c>
      <c r="R7259" t="n">
        <v>0</v>
      </c>
      <c r="S7259" t="n">
        <v>0</v>
      </c>
      <c r="T7259" t="n">
        <v>0</v>
      </c>
      <c r="U7259" t="n">
        <v>0</v>
      </c>
      <c r="V7259" s="2" t="inlineStr"/>
    </row>
    <row r="7260" ht="15" customHeight="1">
      <c r="A7260" t="inlineStr">
        <is>
          <t>A 8122-2026</t>
        </is>
      </c>
      <c r="B7260" t="inlineStr">
        <is>
          <t>avverkningsanmälan</t>
        </is>
      </c>
      <c r="C7260" t="inlineStr">
        <is>
          <t>Föryngringsavverkning</t>
        </is>
      </c>
      <c r="D7260" s="1" t="n">
        <v>46063</v>
      </c>
      <c r="E7260" s="1" t="n">
        <v>46319</v>
      </c>
      <c r="F7260" t="inlineStr">
        <is>
          <t>DALARNAS LÄN</t>
        </is>
      </c>
      <c r="G7260" t="inlineStr">
        <is>
          <t>FALUN</t>
        </is>
      </c>
      <c r="I7260" t="n">
        <v>6.4</v>
      </c>
      <c r="J7260" t="n">
        <v>0</v>
      </c>
      <c r="K7260" t="n">
        <v>0</v>
      </c>
      <c r="L7260" t="n">
        <v>0</v>
      </c>
      <c r="M7260" t="n">
        <v>0</v>
      </c>
      <c r="N7260" t="n">
        <v>0</v>
      </c>
      <c r="O7260" t="n">
        <v>0</v>
      </c>
      <c r="P7260" t="n">
        <v>0</v>
      </c>
      <c r="Q7260" t="n">
        <v>0</v>
      </c>
      <c r="R7260" t="n">
        <v>0</v>
      </c>
      <c r="S7260" t="n">
        <v>0</v>
      </c>
      <c r="T7260" t="n">
        <v>0</v>
      </c>
      <c r="U7260" t="n">
        <v>0</v>
      </c>
      <c r="V7260" s="2" t="inlineStr"/>
    </row>
    <row r="7261" ht="15" customHeight="1">
      <c r="A7261" t="inlineStr">
        <is>
          <t>A 7775-2026</t>
        </is>
      </c>
      <c r="B7261" t="inlineStr">
        <is>
          <t>avverkningsanmälan</t>
        </is>
      </c>
      <c r="C7261" t="inlineStr">
        <is>
          <t>Föryngringsavverkning</t>
        </is>
      </c>
      <c r="D7261" s="1" t="n">
        <v>46062</v>
      </c>
      <c r="E7261" s="1" t="n">
        <v>46319</v>
      </c>
      <c r="F7261" t="inlineStr">
        <is>
          <t>DALARNAS LÄN</t>
        </is>
      </c>
      <c r="G7261" t="inlineStr">
        <is>
          <t>ORSA</t>
        </is>
      </c>
      <c r="I7261" t="n">
        <v>1.9</v>
      </c>
      <c r="J7261" t="n">
        <v>0</v>
      </c>
      <c r="K7261" t="n">
        <v>0</v>
      </c>
      <c r="L7261" t="n">
        <v>0</v>
      </c>
      <c r="M7261" t="n">
        <v>0</v>
      </c>
      <c r="N7261" t="n">
        <v>0</v>
      </c>
      <c r="O7261" t="n">
        <v>0</v>
      </c>
      <c r="P7261" t="n">
        <v>0</v>
      </c>
      <c r="Q7261" t="n">
        <v>0</v>
      </c>
      <c r="R7261" t="n">
        <v>0</v>
      </c>
      <c r="S7261" t="n">
        <v>0</v>
      </c>
      <c r="T7261" t="n">
        <v>0</v>
      </c>
      <c r="U7261" t="n">
        <v>0</v>
      </c>
      <c r="V7261" s="2" t="inlineStr"/>
    </row>
    <row r="7262" ht="15" customHeight="1">
      <c r="A7262" t="inlineStr">
        <is>
          <t>A 11598-2025</t>
        </is>
      </c>
      <c r="B7262" t="inlineStr">
        <is>
          <t>avverkningsanmälan</t>
        </is>
      </c>
      <c r="C7262" t="inlineStr">
        <is>
          <t>Föryngringsavverkning</t>
        </is>
      </c>
      <c r="D7262" s="1" t="n">
        <v>45727</v>
      </c>
      <c r="E7262" s="1" t="n">
        <v>46319</v>
      </c>
      <c r="F7262" t="inlineStr">
        <is>
          <t>DALARNAS LÄN</t>
        </is>
      </c>
      <c r="G7262" t="inlineStr">
        <is>
          <t>VANSBRO</t>
        </is>
      </c>
      <c r="I7262" t="n">
        <v>1.5</v>
      </c>
      <c r="J7262" t="n">
        <v>0</v>
      </c>
      <c r="K7262" t="n">
        <v>0</v>
      </c>
      <c r="L7262" t="n">
        <v>0</v>
      </c>
      <c r="M7262" t="n">
        <v>0</v>
      </c>
      <c r="N7262" t="n">
        <v>0</v>
      </c>
      <c r="O7262" t="n">
        <v>0</v>
      </c>
      <c r="P7262" t="n">
        <v>0</v>
      </c>
      <c r="Q7262" t="n">
        <v>0</v>
      </c>
      <c r="R7262" t="n">
        <v>0</v>
      </c>
      <c r="S7262" t="n">
        <v>0</v>
      </c>
      <c r="T7262" t="n">
        <v>0</v>
      </c>
      <c r="U7262" t="n">
        <v>0</v>
      </c>
      <c r="V7262" s="2" t="inlineStr"/>
    </row>
    <row r="7263" ht="15" customHeight="1">
      <c r="A7263" t="inlineStr">
        <is>
          <t>A 36065-2026</t>
        </is>
      </c>
      <c r="B7263" t="inlineStr">
        <is>
          <t>avverkningsanmälan</t>
        </is>
      </c>
      <c r="C7263" t="inlineStr">
        <is>
          <t>Föryngringsavverkning</t>
        </is>
      </c>
      <c r="D7263" s="1" t="n">
        <v>46267</v>
      </c>
      <c r="E7263" s="1" t="n">
        <v>46319</v>
      </c>
      <c r="F7263" t="inlineStr">
        <is>
          <t>DALARNAS LÄN</t>
        </is>
      </c>
      <c r="G7263" t="inlineStr">
        <is>
          <t>LUDVIKA</t>
        </is>
      </c>
      <c r="I7263" t="n">
        <v>8.5</v>
      </c>
      <c r="J7263" t="n">
        <v>0</v>
      </c>
      <c r="K7263" t="n">
        <v>0</v>
      </c>
      <c r="L7263" t="n">
        <v>0</v>
      </c>
      <c r="M7263" t="n">
        <v>0</v>
      </c>
      <c r="N7263" t="n">
        <v>0</v>
      </c>
      <c r="O7263" t="n">
        <v>0</v>
      </c>
      <c r="P7263" t="n">
        <v>0</v>
      </c>
      <c r="Q7263" t="n">
        <v>0</v>
      </c>
      <c r="R7263" t="n">
        <v>0</v>
      </c>
      <c r="S7263" t="n">
        <v>0</v>
      </c>
      <c r="T7263" t="n">
        <v>0</v>
      </c>
      <c r="U7263" t="n">
        <v>0</v>
      </c>
      <c r="V7263" s="2" t="inlineStr"/>
    </row>
    <row r="7264" ht="15" customHeight="1">
      <c r="A7264" t="inlineStr">
        <is>
          <t>A 26705-2025</t>
        </is>
      </c>
      <c r="B7264" t="inlineStr">
        <is>
          <t>avverkningsanmälan</t>
        </is>
      </c>
      <c r="C7264" t="inlineStr">
        <is>
          <t>Föryngringsavverkning</t>
        </is>
      </c>
      <c r="D7264" s="1" t="n">
        <v>45810</v>
      </c>
      <c r="E7264" s="1" t="n">
        <v>46319</v>
      </c>
      <c r="F7264" t="inlineStr">
        <is>
          <t>DALARNAS LÄN</t>
        </is>
      </c>
      <c r="G7264" t="inlineStr">
        <is>
          <t>HEDEMORA</t>
        </is>
      </c>
      <c r="I7264" t="n">
        <v>1.9</v>
      </c>
      <c r="J7264" t="n">
        <v>0</v>
      </c>
      <c r="K7264" t="n">
        <v>0</v>
      </c>
      <c r="L7264" t="n">
        <v>0</v>
      </c>
      <c r="M7264" t="n">
        <v>0</v>
      </c>
      <c r="N7264" t="n">
        <v>0</v>
      </c>
      <c r="O7264" t="n">
        <v>0</v>
      </c>
      <c r="P7264" t="n">
        <v>0</v>
      </c>
      <c r="Q7264" t="n">
        <v>0</v>
      </c>
      <c r="R7264" t="n">
        <v>0</v>
      </c>
      <c r="S7264" t="n">
        <v>0</v>
      </c>
      <c r="T7264" t="n">
        <v>0</v>
      </c>
      <c r="U7264" t="n">
        <v>0</v>
      </c>
      <c r="V7264" s="2" t="inlineStr"/>
    </row>
    <row r="7265" ht="15" customHeight="1">
      <c r="A7265" t="inlineStr">
        <is>
          <t>A 53968-2025</t>
        </is>
      </c>
      <c r="B7265" t="inlineStr">
        <is>
          <t>avverkningsanmälan</t>
        </is>
      </c>
      <c r="C7265" t="inlineStr">
        <is>
          <t>Föryngringsavverkning</t>
        </is>
      </c>
      <c r="D7265" s="1" t="n">
        <v>45961</v>
      </c>
      <c r="E7265" s="1" t="n">
        <v>46319</v>
      </c>
      <c r="F7265" t="inlineStr">
        <is>
          <t>DALARNAS LÄN</t>
        </is>
      </c>
      <c r="G7265" t="inlineStr">
        <is>
          <t>RÄTTVIK</t>
        </is>
      </c>
      <c r="H7265" t="inlineStr">
        <is>
          <t>Övriga statliga verk och myndigheter</t>
        </is>
      </c>
      <c r="I7265" t="n">
        <v>1</v>
      </c>
      <c r="J7265" t="n">
        <v>0</v>
      </c>
      <c r="K7265" t="n">
        <v>0</v>
      </c>
      <c r="L7265" t="n">
        <v>0</v>
      </c>
      <c r="M7265" t="n">
        <v>0</v>
      </c>
      <c r="N7265" t="n">
        <v>0</v>
      </c>
      <c r="O7265" t="n">
        <v>0</v>
      </c>
      <c r="P7265" t="n">
        <v>0</v>
      </c>
      <c r="Q7265" t="n">
        <v>0</v>
      </c>
      <c r="R7265" t="n">
        <v>0</v>
      </c>
      <c r="S7265" t="n">
        <v>0</v>
      </c>
      <c r="T7265" t="n">
        <v>0</v>
      </c>
      <c r="U7265" t="n">
        <v>0</v>
      </c>
      <c r="V7265" s="2" t="inlineStr"/>
    </row>
    <row r="7266" ht="15" customHeight="1">
      <c r="A7266" t="inlineStr">
        <is>
          <t>A 43401-2026</t>
        </is>
      </c>
      <c r="B7266" t="inlineStr">
        <is>
          <t>avverkningsanmälan</t>
        </is>
      </c>
      <c r="C7266" t="inlineStr">
        <is>
          <t>Föryngringsavverkning</t>
        </is>
      </c>
      <c r="D7266" s="1" t="n">
        <v>46314</v>
      </c>
      <c r="E7266" s="1" t="n">
        <v>46319</v>
      </c>
      <c r="F7266" t="inlineStr">
        <is>
          <t>DALARNAS LÄN</t>
        </is>
      </c>
      <c r="G7266" t="inlineStr">
        <is>
          <t>BORLÄNGE</t>
        </is>
      </c>
      <c r="I7266" t="n">
        <v>7.2</v>
      </c>
      <c r="J7266" t="n">
        <v>0</v>
      </c>
      <c r="K7266" t="n">
        <v>0</v>
      </c>
      <c r="L7266" t="n">
        <v>0</v>
      </c>
      <c r="M7266" t="n">
        <v>0</v>
      </c>
      <c r="N7266" t="n">
        <v>0</v>
      </c>
      <c r="O7266" t="n">
        <v>0</v>
      </c>
      <c r="P7266" t="n">
        <v>0</v>
      </c>
      <c r="Q7266" t="n">
        <v>0</v>
      </c>
      <c r="R7266" t="n">
        <v>0</v>
      </c>
      <c r="S7266" t="n">
        <v>0</v>
      </c>
      <c r="T7266" t="n">
        <v>0</v>
      </c>
      <c r="U7266" t="n">
        <v>0</v>
      </c>
      <c r="V7266" s="2" t="inlineStr"/>
    </row>
    <row r="7267" ht="15" customHeight="1">
      <c r="A7267" t="inlineStr">
        <is>
          <t>A 60306-2022</t>
        </is>
      </c>
      <c r="B7267" t="inlineStr">
        <is>
          <t>avverkningsanmälan</t>
        </is>
      </c>
      <c r="C7267" t="inlineStr">
        <is>
          <t>Föryngringsavverkning</t>
        </is>
      </c>
      <c r="D7267" s="1" t="n">
        <v>44910</v>
      </c>
      <c r="E7267" s="1" t="n">
        <v>46319</v>
      </c>
      <c r="F7267" t="inlineStr">
        <is>
          <t>DALARNAS LÄN</t>
        </is>
      </c>
      <c r="G7267" t="inlineStr">
        <is>
          <t>FALUN</t>
        </is>
      </c>
      <c r="I7267" t="n">
        <v>18.2</v>
      </c>
      <c r="J7267" t="n">
        <v>0</v>
      </c>
      <c r="K7267" t="n">
        <v>0</v>
      </c>
      <c r="L7267" t="n">
        <v>0</v>
      </c>
      <c r="M7267" t="n">
        <v>0</v>
      </c>
      <c r="N7267" t="n">
        <v>0</v>
      </c>
      <c r="O7267" t="n">
        <v>0</v>
      </c>
      <c r="P7267" t="n">
        <v>0</v>
      </c>
      <c r="Q7267" t="n">
        <v>0</v>
      </c>
      <c r="R7267" t="n">
        <v>0</v>
      </c>
      <c r="S7267" t="n">
        <v>0</v>
      </c>
      <c r="T7267" t="n">
        <v>0</v>
      </c>
      <c r="U7267" t="n">
        <v>0</v>
      </c>
      <c r="V7267" s="2" t="inlineStr"/>
    </row>
    <row r="7268" ht="15" customHeight="1">
      <c r="A7268" t="inlineStr">
        <is>
          <t>A 10957-2024</t>
        </is>
      </c>
      <c r="B7268" t="inlineStr">
        <is>
          <t>avverkningsanmälan</t>
        </is>
      </c>
      <c r="C7268" t="inlineStr">
        <is>
          <t>Föryngringsavverkning</t>
        </is>
      </c>
      <c r="D7268" s="1" t="n">
        <v>45370</v>
      </c>
      <c r="E7268" s="1" t="n">
        <v>46319</v>
      </c>
      <c r="F7268" t="inlineStr">
        <is>
          <t>DALARNAS LÄN</t>
        </is>
      </c>
      <c r="G7268" t="inlineStr">
        <is>
          <t>AVESTA</t>
        </is>
      </c>
      <c r="I7268" t="n">
        <v>3.3</v>
      </c>
      <c r="J7268" t="n">
        <v>0</v>
      </c>
      <c r="K7268" t="n">
        <v>0</v>
      </c>
      <c r="L7268" t="n">
        <v>0</v>
      </c>
      <c r="M7268" t="n">
        <v>0</v>
      </c>
      <c r="N7268" t="n">
        <v>0</v>
      </c>
      <c r="O7268" t="n">
        <v>0</v>
      </c>
      <c r="P7268" t="n">
        <v>0</v>
      </c>
      <c r="Q7268" t="n">
        <v>0</v>
      </c>
      <c r="R7268" t="n">
        <v>0</v>
      </c>
      <c r="S7268" t="n">
        <v>0</v>
      </c>
      <c r="T7268" t="n">
        <v>0</v>
      </c>
      <c r="U7268" t="n">
        <v>0</v>
      </c>
      <c r="V7268" s="2" t="inlineStr"/>
    </row>
    <row r="7269" ht="15" customHeight="1">
      <c r="A7269" t="inlineStr">
        <is>
          <t>A 348-2026</t>
        </is>
      </c>
      <c r="B7269" t="inlineStr">
        <is>
          <t>avverkningsanmälan</t>
        </is>
      </c>
      <c r="C7269" t="inlineStr">
        <is>
          <t>Föryngringsavverkning</t>
        </is>
      </c>
      <c r="D7269" s="1" t="n">
        <v>46027</v>
      </c>
      <c r="E7269" s="1" t="n">
        <v>46319</v>
      </c>
      <c r="F7269" t="inlineStr">
        <is>
          <t>DALARNAS LÄN</t>
        </is>
      </c>
      <c r="G7269" t="inlineStr">
        <is>
          <t>RÄTTVIK</t>
        </is>
      </c>
      <c r="I7269" t="n">
        <v>3.6</v>
      </c>
      <c r="J7269" t="n">
        <v>0</v>
      </c>
      <c r="K7269" t="n">
        <v>0</v>
      </c>
      <c r="L7269" t="n">
        <v>0</v>
      </c>
      <c r="M7269" t="n">
        <v>0</v>
      </c>
      <c r="N7269" t="n">
        <v>0</v>
      </c>
      <c r="O7269" t="n">
        <v>0</v>
      </c>
      <c r="P7269" t="n">
        <v>0</v>
      </c>
      <c r="Q7269" t="n">
        <v>0</v>
      </c>
      <c r="R7269" t="n">
        <v>0</v>
      </c>
      <c r="S7269" t="n">
        <v>0</v>
      </c>
      <c r="T7269" t="n">
        <v>0</v>
      </c>
      <c r="U7269" t="n">
        <v>0</v>
      </c>
      <c r="V7269" s="2" t="inlineStr"/>
    </row>
    <row r="7270" ht="15" customHeight="1">
      <c r="A7270" t="inlineStr">
        <is>
          <t>A 48834-2023</t>
        </is>
      </c>
      <c r="B7270" t="inlineStr">
        <is>
          <t>avverkningsanmälan</t>
        </is>
      </c>
      <c r="C7270" t="inlineStr">
        <is>
          <t>Föryngringsavverkning</t>
        </is>
      </c>
      <c r="D7270" s="1" t="n">
        <v>45209</v>
      </c>
      <c r="E7270" s="1" t="n">
        <v>46319</v>
      </c>
      <c r="F7270" t="inlineStr">
        <is>
          <t>DALARNAS LÄN</t>
        </is>
      </c>
      <c r="G7270" t="inlineStr">
        <is>
          <t>HEDEMORA</t>
        </is>
      </c>
      <c r="I7270" t="n">
        <v>1.9</v>
      </c>
      <c r="J7270" t="n">
        <v>0</v>
      </c>
      <c r="K7270" t="n">
        <v>0</v>
      </c>
      <c r="L7270" t="n">
        <v>0</v>
      </c>
      <c r="M7270" t="n">
        <v>0</v>
      </c>
      <c r="N7270" t="n">
        <v>0</v>
      </c>
      <c r="O7270" t="n">
        <v>0</v>
      </c>
      <c r="P7270" t="n">
        <v>0</v>
      </c>
      <c r="Q7270" t="n">
        <v>0</v>
      </c>
      <c r="R7270" t="n">
        <v>0</v>
      </c>
      <c r="S7270" t="n">
        <v>0</v>
      </c>
      <c r="T7270" t="n">
        <v>0</v>
      </c>
      <c r="U7270" t="n">
        <v>0</v>
      </c>
      <c r="V7270" s="2" t="inlineStr"/>
    </row>
    <row r="7271" ht="15" customHeight="1">
      <c r="A7271" t="inlineStr">
        <is>
          <t>A 3643-2024</t>
        </is>
      </c>
      <c r="B7271" t="inlineStr">
        <is>
          <t>avverkningsanmälan</t>
        </is>
      </c>
      <c r="C7271" t="inlineStr">
        <is>
          <t>Föryngringsavverkning</t>
        </is>
      </c>
      <c r="D7271" s="1" t="n">
        <v>45321</v>
      </c>
      <c r="E7271" s="1" t="n">
        <v>46319</v>
      </c>
      <c r="F7271" t="inlineStr">
        <is>
          <t>DALARNAS LÄN</t>
        </is>
      </c>
      <c r="G7271" t="inlineStr">
        <is>
          <t>RÄTTVIK</t>
        </is>
      </c>
      <c r="I7271" t="n">
        <v>0.2</v>
      </c>
      <c r="J7271" t="n">
        <v>0</v>
      </c>
      <c r="K7271" t="n">
        <v>0</v>
      </c>
      <c r="L7271" t="n">
        <v>0</v>
      </c>
      <c r="M7271" t="n">
        <v>0</v>
      </c>
      <c r="N7271" t="n">
        <v>0</v>
      </c>
      <c r="O7271" t="n">
        <v>0</v>
      </c>
      <c r="P7271" t="n">
        <v>0</v>
      </c>
      <c r="Q7271" t="n">
        <v>0</v>
      </c>
      <c r="R7271" t="n">
        <v>0</v>
      </c>
      <c r="S7271" t="n">
        <v>0</v>
      </c>
      <c r="T7271" t="n">
        <v>0</v>
      </c>
      <c r="U7271" t="n">
        <v>0</v>
      </c>
      <c r="V7271" s="2" t="inlineStr"/>
    </row>
    <row r="7272" ht="15" customHeight="1">
      <c r="A7272" t="inlineStr">
        <is>
          <t>A 39552-2024</t>
        </is>
      </c>
      <c r="B7272" t="inlineStr">
        <is>
          <t>avverkningsanmälan</t>
        </is>
      </c>
      <c r="C7272" t="inlineStr">
        <is>
          <t>Föryngringsavverkning</t>
        </is>
      </c>
      <c r="D7272" s="1" t="n">
        <v>45551</v>
      </c>
      <c r="E7272" s="1" t="n">
        <v>46319</v>
      </c>
      <c r="F7272" t="inlineStr">
        <is>
          <t>DALARNAS LÄN</t>
        </is>
      </c>
      <c r="G7272" t="inlineStr">
        <is>
          <t>HEDEMORA</t>
        </is>
      </c>
      <c r="H7272" t="inlineStr">
        <is>
          <t>Bergvik skog väst AB</t>
        </is>
      </c>
      <c r="I7272" t="n">
        <v>24.1</v>
      </c>
      <c r="J7272" t="n">
        <v>0</v>
      </c>
      <c r="K7272" t="n">
        <v>0</v>
      </c>
      <c r="L7272" t="n">
        <v>0</v>
      </c>
      <c r="M7272" t="n">
        <v>0</v>
      </c>
      <c r="N7272" t="n">
        <v>0</v>
      </c>
      <c r="O7272" t="n">
        <v>0</v>
      </c>
      <c r="P7272" t="n">
        <v>0</v>
      </c>
      <c r="Q7272" t="n">
        <v>0</v>
      </c>
      <c r="R7272" t="n">
        <v>0</v>
      </c>
      <c r="S7272" t="n">
        <v>0</v>
      </c>
      <c r="T7272" t="n">
        <v>0</v>
      </c>
      <c r="U7272" t="n">
        <v>0</v>
      </c>
      <c r="V7272" s="2" t="inlineStr"/>
    </row>
    <row r="7273" ht="15" customHeight="1">
      <c r="A7273" t="inlineStr">
        <is>
          <t>A 41959-2024</t>
        </is>
      </c>
      <c r="B7273" t="inlineStr">
        <is>
          <t>avverkningsanmälan</t>
        </is>
      </c>
      <c r="C7273" t="inlineStr">
        <is>
          <t>Föryngringsavverkning</t>
        </is>
      </c>
      <c r="D7273" s="1" t="n">
        <v>45561</v>
      </c>
      <c r="E7273" s="1" t="n">
        <v>46319</v>
      </c>
      <c r="F7273" t="inlineStr">
        <is>
          <t>DALARNAS LÄN</t>
        </is>
      </c>
      <c r="G7273" t="inlineStr">
        <is>
          <t>SÄTER</t>
        </is>
      </c>
      <c r="H7273" t="inlineStr">
        <is>
          <t>Bergvik skog väst AB</t>
        </is>
      </c>
      <c r="I7273" t="n">
        <v>2.1</v>
      </c>
      <c r="J7273" t="n">
        <v>0</v>
      </c>
      <c r="K7273" t="n">
        <v>0</v>
      </c>
      <c r="L7273" t="n">
        <v>0</v>
      </c>
      <c r="M7273" t="n">
        <v>0</v>
      </c>
      <c r="N7273" t="n">
        <v>0</v>
      </c>
      <c r="O7273" t="n">
        <v>0</v>
      </c>
      <c r="P7273" t="n">
        <v>0</v>
      </c>
      <c r="Q7273" t="n">
        <v>0</v>
      </c>
      <c r="R7273" t="n">
        <v>0</v>
      </c>
      <c r="S7273" t="n">
        <v>0</v>
      </c>
      <c r="T7273" t="n">
        <v>0</v>
      </c>
      <c r="U7273" t="n">
        <v>0</v>
      </c>
      <c r="V7273" s="2" t="inlineStr"/>
    </row>
    <row r="7274" ht="15" customHeight="1">
      <c r="A7274" t="inlineStr">
        <is>
          <t>A 56686-2022</t>
        </is>
      </c>
      <c r="B7274" t="inlineStr">
        <is>
          <t>avverkningsanmälan</t>
        </is>
      </c>
      <c r="C7274" t="inlineStr">
        <is>
          <t>Föryngringsavverkning</t>
        </is>
      </c>
      <c r="D7274" s="1" t="n">
        <v>44893</v>
      </c>
      <c r="E7274" s="1" t="n">
        <v>46319</v>
      </c>
      <c r="F7274" t="inlineStr">
        <is>
          <t>DALARNAS LÄN</t>
        </is>
      </c>
      <c r="G7274" t="inlineStr">
        <is>
          <t>LUDVIKA</t>
        </is>
      </c>
      <c r="I7274" t="n">
        <v>0.7</v>
      </c>
      <c r="J7274" t="n">
        <v>0</v>
      </c>
      <c r="K7274" t="n">
        <v>0</v>
      </c>
      <c r="L7274" t="n">
        <v>0</v>
      </c>
      <c r="M7274" t="n">
        <v>0</v>
      </c>
      <c r="N7274" t="n">
        <v>0</v>
      </c>
      <c r="O7274" t="n">
        <v>0</v>
      </c>
      <c r="P7274" t="n">
        <v>0</v>
      </c>
      <c r="Q7274" t="n">
        <v>0</v>
      </c>
      <c r="R7274" t="n">
        <v>0</v>
      </c>
      <c r="S7274" t="n">
        <v>0</v>
      </c>
      <c r="T7274" t="n">
        <v>0</v>
      </c>
      <c r="U7274" t="n">
        <v>0</v>
      </c>
      <c r="V7274" s="2" t="inlineStr"/>
    </row>
    <row r="7275" ht="15" customHeight="1">
      <c r="A7275" t="inlineStr">
        <is>
          <t>A 43392-2026</t>
        </is>
      </c>
      <c r="B7275" t="inlineStr">
        <is>
          <t>avverkningsanmälan</t>
        </is>
      </c>
      <c r="C7275" t="inlineStr">
        <is>
          <t>Föryngringsavverkning</t>
        </is>
      </c>
      <c r="D7275" s="1" t="n">
        <v>46314</v>
      </c>
      <c r="E7275" s="1" t="n">
        <v>46319</v>
      </c>
      <c r="F7275" t="inlineStr">
        <is>
          <t>DALARNAS LÄN</t>
        </is>
      </c>
      <c r="G7275" t="inlineStr">
        <is>
          <t>LUDVIKA</t>
        </is>
      </c>
      <c r="H7275" t="inlineStr">
        <is>
          <t>Bergvik skog väst AB</t>
        </is>
      </c>
      <c r="I7275" t="n">
        <v>4.3</v>
      </c>
      <c r="J7275" t="n">
        <v>0</v>
      </c>
      <c r="K7275" t="n">
        <v>0</v>
      </c>
      <c r="L7275" t="n">
        <v>0</v>
      </c>
      <c r="M7275" t="n">
        <v>0</v>
      </c>
      <c r="N7275" t="n">
        <v>0</v>
      </c>
      <c r="O7275" t="n">
        <v>0</v>
      </c>
      <c r="P7275" t="n">
        <v>0</v>
      </c>
      <c r="Q7275" t="n">
        <v>0</v>
      </c>
      <c r="R7275" t="n">
        <v>0</v>
      </c>
      <c r="S7275" t="n">
        <v>0</v>
      </c>
      <c r="T7275" t="n">
        <v>0</v>
      </c>
      <c r="U7275" t="n">
        <v>0</v>
      </c>
      <c r="V7275" s="2" t="inlineStr"/>
    </row>
    <row r="7276" ht="15" customHeight="1">
      <c r="A7276" t="inlineStr">
        <is>
          <t>A 43911-2024</t>
        </is>
      </c>
      <c r="B7276" t="inlineStr">
        <is>
          <t>avverkningsanmälan</t>
        </is>
      </c>
      <c r="C7276" t="inlineStr">
        <is>
          <t>Föryngringsavverkning</t>
        </is>
      </c>
      <c r="D7276" s="1" t="n">
        <v>45572</v>
      </c>
      <c r="E7276" s="1" t="n">
        <v>46319</v>
      </c>
      <c r="F7276" t="inlineStr">
        <is>
          <t>DALARNAS LÄN</t>
        </is>
      </c>
      <c r="G7276" t="inlineStr">
        <is>
          <t>GAGNEF</t>
        </is>
      </c>
      <c r="I7276" t="n">
        <v>1</v>
      </c>
      <c r="J7276" t="n">
        <v>0</v>
      </c>
      <c r="K7276" t="n">
        <v>0</v>
      </c>
      <c r="L7276" t="n">
        <v>0</v>
      </c>
      <c r="M7276" t="n">
        <v>0</v>
      </c>
      <c r="N7276" t="n">
        <v>0</v>
      </c>
      <c r="O7276" t="n">
        <v>0</v>
      </c>
      <c r="P7276" t="n">
        <v>0</v>
      </c>
      <c r="Q7276" t="n">
        <v>0</v>
      </c>
      <c r="R7276" t="n">
        <v>0</v>
      </c>
      <c r="S7276" t="n">
        <v>0</v>
      </c>
      <c r="T7276" t="n">
        <v>0</v>
      </c>
      <c r="U7276" t="n">
        <v>0</v>
      </c>
      <c r="V7276" s="2" t="inlineStr"/>
    </row>
    <row r="7277" ht="15" customHeight="1">
      <c r="A7277" t="inlineStr">
        <is>
          <t>A 43913-2024</t>
        </is>
      </c>
      <c r="B7277" t="inlineStr">
        <is>
          <t>avverkningsanmälan</t>
        </is>
      </c>
      <c r="C7277" t="inlineStr">
        <is>
          <t>Föryngringsavverkning</t>
        </is>
      </c>
      <c r="D7277" s="1" t="n">
        <v>45572</v>
      </c>
      <c r="E7277" s="1" t="n">
        <v>46319</v>
      </c>
      <c r="F7277" t="inlineStr">
        <is>
          <t>DALARNAS LÄN</t>
        </is>
      </c>
      <c r="G7277" t="inlineStr">
        <is>
          <t>GAGNEF</t>
        </is>
      </c>
      <c r="I7277" t="n">
        <v>1.5</v>
      </c>
      <c r="J7277" t="n">
        <v>0</v>
      </c>
      <c r="K7277" t="n">
        <v>0</v>
      </c>
      <c r="L7277" t="n">
        <v>0</v>
      </c>
      <c r="M7277" t="n">
        <v>0</v>
      </c>
      <c r="N7277" t="n">
        <v>0</v>
      </c>
      <c r="O7277" t="n">
        <v>0</v>
      </c>
      <c r="P7277" t="n">
        <v>0</v>
      </c>
      <c r="Q7277" t="n">
        <v>0</v>
      </c>
      <c r="R7277" t="n">
        <v>0</v>
      </c>
      <c r="S7277" t="n">
        <v>0</v>
      </c>
      <c r="T7277" t="n">
        <v>0</v>
      </c>
      <c r="U7277" t="n">
        <v>0</v>
      </c>
      <c r="V7277" s="2" t="inlineStr"/>
    </row>
    <row r="7278" ht="15" customHeight="1">
      <c r="A7278" t="inlineStr">
        <is>
          <t>A 43777-2026</t>
        </is>
      </c>
      <c r="B7278" t="inlineStr">
        <is>
          <t>avverkningsanmälan</t>
        </is>
      </c>
      <c r="C7278" t="inlineStr">
        <is>
          <t>Föryngringsavverkning</t>
        </is>
      </c>
      <c r="D7278" s="1" t="n">
        <v>46316</v>
      </c>
      <c r="E7278" s="1" t="n">
        <v>46319</v>
      </c>
      <c r="F7278" t="inlineStr">
        <is>
          <t>DALARNAS LÄN</t>
        </is>
      </c>
      <c r="G7278" t="inlineStr">
        <is>
          <t>LEKSAND</t>
        </is>
      </c>
      <c r="I7278" t="n">
        <v>1.3</v>
      </c>
      <c r="J7278" t="n">
        <v>0</v>
      </c>
      <c r="K7278" t="n">
        <v>0</v>
      </c>
      <c r="L7278" t="n">
        <v>0</v>
      </c>
      <c r="M7278" t="n">
        <v>0</v>
      </c>
      <c r="N7278" t="n">
        <v>0</v>
      </c>
      <c r="O7278" t="n">
        <v>0</v>
      </c>
      <c r="P7278" t="n">
        <v>0</v>
      </c>
      <c r="Q7278" t="n">
        <v>0</v>
      </c>
      <c r="R7278" t="n">
        <v>0</v>
      </c>
      <c r="S7278" t="n">
        <v>0</v>
      </c>
      <c r="T7278" t="n">
        <v>0</v>
      </c>
      <c r="U7278" t="n">
        <v>0</v>
      </c>
      <c r="V7278" s="2" t="inlineStr"/>
    </row>
    <row r="7279" ht="15" customHeight="1">
      <c r="A7279" t="inlineStr">
        <is>
          <t>A 7962-2026</t>
        </is>
      </c>
      <c r="B7279" t="inlineStr">
        <is>
          <t>avverkningsanmälan</t>
        </is>
      </c>
      <c r="C7279" t="inlineStr">
        <is>
          <t>Föryngringsavverkning</t>
        </is>
      </c>
      <c r="D7279" s="1" t="n">
        <v>46063</v>
      </c>
      <c r="E7279" s="1" t="n">
        <v>46319</v>
      </c>
      <c r="F7279" t="inlineStr">
        <is>
          <t>DALARNAS LÄN</t>
        </is>
      </c>
      <c r="G7279" t="inlineStr">
        <is>
          <t>FALUN</t>
        </is>
      </c>
      <c r="I7279" t="n">
        <v>2.3</v>
      </c>
      <c r="J7279" t="n">
        <v>0</v>
      </c>
      <c r="K7279" t="n">
        <v>0</v>
      </c>
      <c r="L7279" t="n">
        <v>0</v>
      </c>
      <c r="M7279" t="n">
        <v>0</v>
      </c>
      <c r="N7279" t="n">
        <v>0</v>
      </c>
      <c r="O7279" t="n">
        <v>0</v>
      </c>
      <c r="P7279" t="n">
        <v>0</v>
      </c>
      <c r="Q7279" t="n">
        <v>0</v>
      </c>
      <c r="R7279" t="n">
        <v>0</v>
      </c>
      <c r="S7279" t="n">
        <v>0</v>
      </c>
      <c r="T7279" t="n">
        <v>0</v>
      </c>
      <c r="U7279" t="n">
        <v>0</v>
      </c>
      <c r="V7279" s="2" t="inlineStr"/>
    </row>
    <row r="7280" ht="15" customHeight="1">
      <c r="A7280" t="inlineStr">
        <is>
          <t>A 44724-2024</t>
        </is>
      </c>
      <c r="B7280" t="inlineStr">
        <is>
          <t>avverkningsanmälan</t>
        </is>
      </c>
      <c r="C7280" t="inlineStr">
        <is>
          <t>Föryngringsavverkning</t>
        </is>
      </c>
      <c r="D7280" s="1" t="n">
        <v>45574</v>
      </c>
      <c r="E7280" s="1" t="n">
        <v>46319</v>
      </c>
      <c r="F7280" t="inlineStr">
        <is>
          <t>DALARNAS LÄN</t>
        </is>
      </c>
      <c r="G7280" t="inlineStr">
        <is>
          <t>SÄTER</t>
        </is>
      </c>
      <c r="H7280" t="inlineStr">
        <is>
          <t>Bergvik skog väst AB</t>
        </is>
      </c>
      <c r="I7280" t="n">
        <v>2</v>
      </c>
      <c r="J7280" t="n">
        <v>0</v>
      </c>
      <c r="K7280" t="n">
        <v>0</v>
      </c>
      <c r="L7280" t="n">
        <v>0</v>
      </c>
      <c r="M7280" t="n">
        <v>0</v>
      </c>
      <c r="N7280" t="n">
        <v>0</v>
      </c>
      <c r="O7280" t="n">
        <v>0</v>
      </c>
      <c r="P7280" t="n">
        <v>0</v>
      </c>
      <c r="Q7280" t="n">
        <v>0</v>
      </c>
      <c r="R7280" t="n">
        <v>0</v>
      </c>
      <c r="S7280" t="n">
        <v>0</v>
      </c>
      <c r="T7280" t="n">
        <v>0</v>
      </c>
      <c r="U7280" t="n">
        <v>0</v>
      </c>
      <c r="V7280" s="2" t="inlineStr"/>
    </row>
    <row r="7281" ht="15" customHeight="1">
      <c r="A7281" t="inlineStr">
        <is>
          <t>A 43861-2026</t>
        </is>
      </c>
      <c r="B7281" t="inlineStr">
        <is>
          <t>avverkningsanmälan</t>
        </is>
      </c>
      <c r="C7281" t="inlineStr">
        <is>
          <t>Föryngringsavverkning</t>
        </is>
      </c>
      <c r="D7281" s="1" t="n">
        <v>46316</v>
      </c>
      <c r="E7281" s="1" t="n">
        <v>46319</v>
      </c>
      <c r="F7281" t="inlineStr">
        <is>
          <t>DALARNAS LÄN</t>
        </is>
      </c>
      <c r="G7281" t="inlineStr">
        <is>
          <t>SMEDJEBACKEN</t>
        </is>
      </c>
      <c r="H7281" t="inlineStr">
        <is>
          <t>Sveaskog</t>
        </is>
      </c>
      <c r="I7281" t="n">
        <v>9.4</v>
      </c>
      <c r="J7281" t="n">
        <v>0</v>
      </c>
      <c r="K7281" t="n">
        <v>0</v>
      </c>
      <c r="L7281" t="n">
        <v>0</v>
      </c>
      <c r="M7281" t="n">
        <v>0</v>
      </c>
      <c r="N7281" t="n">
        <v>0</v>
      </c>
      <c r="O7281" t="n">
        <v>0</v>
      </c>
      <c r="P7281" t="n">
        <v>0</v>
      </c>
      <c r="Q7281" t="n">
        <v>0</v>
      </c>
      <c r="R7281" t="n">
        <v>0</v>
      </c>
      <c r="S7281" t="n">
        <v>0</v>
      </c>
      <c r="T7281" t="n">
        <v>0</v>
      </c>
      <c r="U7281" t="n">
        <v>0</v>
      </c>
      <c r="V7281" s="2" t="inlineStr"/>
    </row>
    <row r="7282" ht="15" customHeight="1">
      <c r="A7282" t="inlineStr">
        <is>
          <t>A 43864-2026</t>
        </is>
      </c>
      <c r="B7282" t="inlineStr">
        <is>
          <t>avverkningsanmälan</t>
        </is>
      </c>
      <c r="C7282" t="inlineStr">
        <is>
          <t>Föryngringsavverkning</t>
        </is>
      </c>
      <c r="D7282" s="1" t="n">
        <v>46316</v>
      </c>
      <c r="E7282" s="1" t="n">
        <v>46319</v>
      </c>
      <c r="F7282" t="inlineStr">
        <is>
          <t>DALARNAS LÄN</t>
        </is>
      </c>
      <c r="G7282" t="inlineStr">
        <is>
          <t>SMEDJEBACKEN</t>
        </is>
      </c>
      <c r="H7282" t="inlineStr">
        <is>
          <t>Sveaskog</t>
        </is>
      </c>
      <c r="I7282" t="n">
        <v>1.7</v>
      </c>
      <c r="J7282" t="n">
        <v>0</v>
      </c>
      <c r="K7282" t="n">
        <v>0</v>
      </c>
      <c r="L7282" t="n">
        <v>0</v>
      </c>
      <c r="M7282" t="n">
        <v>0</v>
      </c>
      <c r="N7282" t="n">
        <v>0</v>
      </c>
      <c r="O7282" t="n">
        <v>0</v>
      </c>
      <c r="P7282" t="n">
        <v>0</v>
      </c>
      <c r="Q7282" t="n">
        <v>0</v>
      </c>
      <c r="R7282" t="n">
        <v>0</v>
      </c>
      <c r="S7282" t="n">
        <v>0</v>
      </c>
      <c r="T7282" t="n">
        <v>0</v>
      </c>
      <c r="U7282" t="n">
        <v>0</v>
      </c>
      <c r="V7282" s="2" t="inlineStr"/>
    </row>
    <row r="7283" ht="15" customHeight="1">
      <c r="A7283" t="inlineStr">
        <is>
          <t>A 35892-2024</t>
        </is>
      </c>
      <c r="B7283" t="inlineStr">
        <is>
          <t>avverkningsanmälan</t>
        </is>
      </c>
      <c r="C7283" t="inlineStr">
        <is>
          <t>Föryngringsavverkning</t>
        </is>
      </c>
      <c r="D7283" s="1" t="n">
        <v>45533</v>
      </c>
      <c r="E7283" s="1" t="n">
        <v>46319</v>
      </c>
      <c r="F7283" t="inlineStr">
        <is>
          <t>DALARNAS LÄN</t>
        </is>
      </c>
      <c r="G7283" t="inlineStr">
        <is>
          <t>GAGNEF</t>
        </is>
      </c>
      <c r="I7283" t="n">
        <v>1.2</v>
      </c>
      <c r="J7283" t="n">
        <v>0</v>
      </c>
      <c r="K7283" t="n">
        <v>0</v>
      </c>
      <c r="L7283" t="n">
        <v>0</v>
      </c>
      <c r="M7283" t="n">
        <v>0</v>
      </c>
      <c r="N7283" t="n">
        <v>0</v>
      </c>
      <c r="O7283" t="n">
        <v>0</v>
      </c>
      <c r="P7283" t="n">
        <v>0</v>
      </c>
      <c r="Q7283" t="n">
        <v>0</v>
      </c>
      <c r="R7283" t="n">
        <v>0</v>
      </c>
      <c r="S7283" t="n">
        <v>0</v>
      </c>
      <c r="T7283" t="n">
        <v>0</v>
      </c>
      <c r="U7283" t="n">
        <v>0</v>
      </c>
      <c r="V7283" s="2" t="inlineStr"/>
    </row>
    <row r="7284" ht="15" customHeight="1">
      <c r="A7284" t="inlineStr">
        <is>
          <t>A 50186-2025</t>
        </is>
      </c>
      <c r="B7284" t="inlineStr">
        <is>
          <t>avverkningsanmälan</t>
        </is>
      </c>
      <c r="C7284" t="inlineStr">
        <is>
          <t>Föryngringsavverkning</t>
        </is>
      </c>
      <c r="D7284" s="1" t="n">
        <v>45943</v>
      </c>
      <c r="E7284" s="1" t="n">
        <v>46319</v>
      </c>
      <c r="F7284" t="inlineStr">
        <is>
          <t>DALARNAS LÄN</t>
        </is>
      </c>
      <c r="G7284" t="inlineStr">
        <is>
          <t>RÄTTVIK</t>
        </is>
      </c>
      <c r="I7284" t="n">
        <v>1.4</v>
      </c>
      <c r="J7284" t="n">
        <v>0</v>
      </c>
      <c r="K7284" t="n">
        <v>0</v>
      </c>
      <c r="L7284" t="n">
        <v>0</v>
      </c>
      <c r="M7284" t="n">
        <v>0</v>
      </c>
      <c r="N7284" t="n">
        <v>0</v>
      </c>
      <c r="O7284" t="n">
        <v>0</v>
      </c>
      <c r="P7284" t="n">
        <v>0</v>
      </c>
      <c r="Q7284" t="n">
        <v>0</v>
      </c>
      <c r="R7284" t="n">
        <v>0</v>
      </c>
      <c r="S7284" t="n">
        <v>0</v>
      </c>
      <c r="T7284" t="n">
        <v>0</v>
      </c>
      <c r="U7284" t="n">
        <v>0</v>
      </c>
      <c r="V7284" s="2" t="inlineStr"/>
    </row>
    <row r="7285" ht="15" customHeight="1">
      <c r="A7285" t="inlineStr">
        <is>
          <t>A 1200-2026</t>
        </is>
      </c>
      <c r="B7285" t="inlineStr">
        <is>
          <t>avverkningsanmälan</t>
        </is>
      </c>
      <c r="C7285" t="inlineStr">
        <is>
          <t>Föryngringsavverkning</t>
        </is>
      </c>
      <c r="D7285" s="1" t="n">
        <v>46031</v>
      </c>
      <c r="E7285" s="1" t="n">
        <v>46319</v>
      </c>
      <c r="F7285" t="inlineStr">
        <is>
          <t>DALARNAS LÄN</t>
        </is>
      </c>
      <c r="G7285" t="inlineStr">
        <is>
          <t>MALUNG-SÄLEN</t>
        </is>
      </c>
      <c r="I7285" t="n">
        <v>2.8</v>
      </c>
      <c r="J7285" t="n">
        <v>0</v>
      </c>
      <c r="K7285" t="n">
        <v>0</v>
      </c>
      <c r="L7285" t="n">
        <v>0</v>
      </c>
      <c r="M7285" t="n">
        <v>0</v>
      </c>
      <c r="N7285" t="n">
        <v>0</v>
      </c>
      <c r="O7285" t="n">
        <v>0</v>
      </c>
      <c r="P7285" t="n">
        <v>0</v>
      </c>
      <c r="Q7285" t="n">
        <v>0</v>
      </c>
      <c r="R7285" t="n">
        <v>0</v>
      </c>
      <c r="S7285" t="n">
        <v>0</v>
      </c>
      <c r="T7285" t="n">
        <v>0</v>
      </c>
      <c r="U7285" t="n">
        <v>0</v>
      </c>
      <c r="V7285" s="2" t="inlineStr"/>
    </row>
    <row r="7286" ht="15" customHeight="1">
      <c r="A7286" t="inlineStr">
        <is>
          <t>A 9106-2026</t>
        </is>
      </c>
      <c r="B7286" t="inlineStr">
        <is>
          <t>avverkningsanmälan</t>
        </is>
      </c>
      <c r="C7286" t="inlineStr">
        <is>
          <t>Föryngringsavverkning</t>
        </is>
      </c>
      <c r="D7286" s="1" t="n">
        <v>46069</v>
      </c>
      <c r="E7286" s="1" t="n">
        <v>46319</v>
      </c>
      <c r="F7286" t="inlineStr">
        <is>
          <t>DALARNAS LÄN</t>
        </is>
      </c>
      <c r="G7286" t="inlineStr">
        <is>
          <t>HEDEMORA</t>
        </is>
      </c>
      <c r="I7286" t="n">
        <v>1.4</v>
      </c>
      <c r="J7286" t="n">
        <v>0</v>
      </c>
      <c r="K7286" t="n">
        <v>0</v>
      </c>
      <c r="L7286" t="n">
        <v>0</v>
      </c>
      <c r="M7286" t="n">
        <v>0</v>
      </c>
      <c r="N7286" t="n">
        <v>0</v>
      </c>
      <c r="O7286" t="n">
        <v>0</v>
      </c>
      <c r="P7286" t="n">
        <v>0</v>
      </c>
      <c r="Q7286" t="n">
        <v>0</v>
      </c>
      <c r="R7286" t="n">
        <v>0</v>
      </c>
      <c r="S7286" t="n">
        <v>0</v>
      </c>
      <c r="T7286" t="n">
        <v>0</v>
      </c>
      <c r="U7286" t="n">
        <v>0</v>
      </c>
      <c r="V7286" s="2" t="inlineStr"/>
    </row>
    <row r="7287" ht="15" customHeight="1">
      <c r="A7287" t="inlineStr">
        <is>
          <t>A 2831-2026</t>
        </is>
      </c>
      <c r="B7287" t="inlineStr">
        <is>
          <t>avverkningsanmälan</t>
        </is>
      </c>
      <c r="C7287" t="inlineStr">
        <is>
          <t>Föryngringsavverkning</t>
        </is>
      </c>
      <c r="D7287" s="1" t="n">
        <v>46038</v>
      </c>
      <c r="E7287" s="1" t="n">
        <v>46319</v>
      </c>
      <c r="F7287" t="inlineStr">
        <is>
          <t>DALARNAS LÄN</t>
        </is>
      </c>
      <c r="G7287" t="inlineStr">
        <is>
          <t>BORLÄNGE</t>
        </is>
      </c>
      <c r="I7287" t="n">
        <v>11.5</v>
      </c>
      <c r="J7287" t="n">
        <v>0</v>
      </c>
      <c r="K7287" t="n">
        <v>0</v>
      </c>
      <c r="L7287" t="n">
        <v>0</v>
      </c>
      <c r="M7287" t="n">
        <v>0</v>
      </c>
      <c r="N7287" t="n">
        <v>0</v>
      </c>
      <c r="O7287" t="n">
        <v>0</v>
      </c>
      <c r="P7287" t="n">
        <v>0</v>
      </c>
      <c r="Q7287" t="n">
        <v>0</v>
      </c>
      <c r="R7287" t="n">
        <v>0</v>
      </c>
      <c r="S7287" t="n">
        <v>0</v>
      </c>
      <c r="T7287" t="n">
        <v>0</v>
      </c>
      <c r="U7287" t="n">
        <v>0</v>
      </c>
      <c r="V7287" s="2" t="inlineStr"/>
    </row>
    <row r="7288" ht="15" customHeight="1">
      <c r="A7288" t="inlineStr">
        <is>
          <t>A 9145-2025</t>
        </is>
      </c>
      <c r="B7288" t="inlineStr">
        <is>
          <t>avverkningsanmälan</t>
        </is>
      </c>
      <c r="C7288" t="inlineStr">
        <is>
          <t>Föryngringsavverkning</t>
        </is>
      </c>
      <c r="D7288" s="1" t="n">
        <v>45714</v>
      </c>
      <c r="E7288" s="1" t="n">
        <v>46319</v>
      </c>
      <c r="F7288" t="inlineStr">
        <is>
          <t>DALARNAS LÄN</t>
        </is>
      </c>
      <c r="G7288" t="inlineStr">
        <is>
          <t>VANSBRO</t>
        </is>
      </c>
      <c r="I7288" t="n">
        <v>4.6</v>
      </c>
      <c r="J7288" t="n">
        <v>0</v>
      </c>
      <c r="K7288" t="n">
        <v>0</v>
      </c>
      <c r="L7288" t="n">
        <v>0</v>
      </c>
      <c r="M7288" t="n">
        <v>0</v>
      </c>
      <c r="N7288" t="n">
        <v>0</v>
      </c>
      <c r="O7288" t="n">
        <v>0</v>
      </c>
      <c r="P7288" t="n">
        <v>0</v>
      </c>
      <c r="Q7288" t="n">
        <v>0</v>
      </c>
      <c r="R7288" t="n">
        <v>0</v>
      </c>
      <c r="S7288" t="n">
        <v>0</v>
      </c>
      <c r="T7288" t="n">
        <v>0</v>
      </c>
      <c r="U7288" t="n">
        <v>0</v>
      </c>
      <c r="V7288" s="2" t="inlineStr"/>
    </row>
    <row r="7289" ht="15" customHeight="1">
      <c r="A7289" t="inlineStr">
        <is>
          <t>A 36803-2026</t>
        </is>
      </c>
      <c r="B7289" t="inlineStr">
        <is>
          <t>avverkningsanmälan</t>
        </is>
      </c>
      <c r="C7289" t="inlineStr">
        <is>
          <t>Föryngringsavverkning</t>
        </is>
      </c>
      <c r="D7289" s="1" t="n">
        <v>46272</v>
      </c>
      <c r="E7289" s="1" t="n">
        <v>46319</v>
      </c>
      <c r="F7289" t="inlineStr">
        <is>
          <t>DALARNAS LÄN</t>
        </is>
      </c>
      <c r="G7289" t="inlineStr">
        <is>
          <t>FALUN</t>
        </is>
      </c>
      <c r="H7289" t="inlineStr">
        <is>
          <t>Bergvik skog väst AB</t>
        </is>
      </c>
      <c r="I7289" t="n">
        <v>0.8</v>
      </c>
      <c r="J7289" t="n">
        <v>0</v>
      </c>
      <c r="K7289" t="n">
        <v>0</v>
      </c>
      <c r="L7289" t="n">
        <v>0</v>
      </c>
      <c r="M7289" t="n">
        <v>0</v>
      </c>
      <c r="N7289" t="n">
        <v>0</v>
      </c>
      <c r="O7289" t="n">
        <v>0</v>
      </c>
      <c r="P7289" t="n">
        <v>0</v>
      </c>
      <c r="Q7289" t="n">
        <v>0</v>
      </c>
      <c r="R7289" t="n">
        <v>0</v>
      </c>
      <c r="S7289" t="n">
        <v>0</v>
      </c>
      <c r="T7289" t="n">
        <v>0</v>
      </c>
      <c r="U7289" t="n">
        <v>0</v>
      </c>
      <c r="V7289" s="2" t="inlineStr"/>
    </row>
    <row r="7290" ht="15" customHeight="1">
      <c r="A7290" t="inlineStr">
        <is>
          <t>A 36805-2026</t>
        </is>
      </c>
      <c r="B7290" t="inlineStr">
        <is>
          <t>avverkningsanmälan</t>
        </is>
      </c>
      <c r="C7290" t="inlineStr">
        <is>
          <t>Föryngringsavverkning</t>
        </is>
      </c>
      <c r="D7290" s="1" t="n">
        <v>46272</v>
      </c>
      <c r="E7290" s="1" t="n">
        <v>46319</v>
      </c>
      <c r="F7290" t="inlineStr">
        <is>
          <t>DALARNAS LÄN</t>
        </is>
      </c>
      <c r="G7290" t="inlineStr">
        <is>
          <t>MALUNG-SÄLEN</t>
        </is>
      </c>
      <c r="H7290" t="inlineStr">
        <is>
          <t>Bergvik skog öst AB</t>
        </is>
      </c>
      <c r="I7290" t="n">
        <v>2.9</v>
      </c>
      <c r="J7290" t="n">
        <v>0</v>
      </c>
      <c r="K7290" t="n">
        <v>0</v>
      </c>
      <c r="L7290" t="n">
        <v>0</v>
      </c>
      <c r="M7290" t="n">
        <v>0</v>
      </c>
      <c r="N7290" t="n">
        <v>0</v>
      </c>
      <c r="O7290" t="n">
        <v>0</v>
      </c>
      <c r="P7290" t="n">
        <v>0</v>
      </c>
      <c r="Q7290" t="n">
        <v>0</v>
      </c>
      <c r="R7290" t="n">
        <v>0</v>
      </c>
      <c r="S7290" t="n">
        <v>0</v>
      </c>
      <c r="T7290" t="n">
        <v>0</v>
      </c>
      <c r="U7290" t="n">
        <v>0</v>
      </c>
      <c r="V7290" s="2" t="inlineStr"/>
    </row>
    <row r="7291" ht="15" customHeight="1">
      <c r="A7291" t="inlineStr">
        <is>
          <t>A 36815-2026</t>
        </is>
      </c>
      <c r="B7291" t="inlineStr">
        <is>
          <t>avverkningsanmälan</t>
        </is>
      </c>
      <c r="C7291" t="inlineStr">
        <is>
          <t>Föryngringsavverkning</t>
        </is>
      </c>
      <c r="D7291" s="1" t="n">
        <v>46272</v>
      </c>
      <c r="E7291" s="1" t="n">
        <v>46319</v>
      </c>
      <c r="F7291" t="inlineStr">
        <is>
          <t>DALARNAS LÄN</t>
        </is>
      </c>
      <c r="G7291" t="inlineStr">
        <is>
          <t>ORSA</t>
        </is>
      </c>
      <c r="I7291" t="n">
        <v>0.6</v>
      </c>
      <c r="J7291" t="n">
        <v>0</v>
      </c>
      <c r="K7291" t="n">
        <v>0</v>
      </c>
      <c r="L7291" t="n">
        <v>0</v>
      </c>
      <c r="M7291" t="n">
        <v>0</v>
      </c>
      <c r="N7291" t="n">
        <v>0</v>
      </c>
      <c r="O7291" t="n">
        <v>0</v>
      </c>
      <c r="P7291" t="n">
        <v>0</v>
      </c>
      <c r="Q7291" t="n">
        <v>0</v>
      </c>
      <c r="R7291" t="n">
        <v>0</v>
      </c>
      <c r="S7291" t="n">
        <v>0</v>
      </c>
      <c r="T7291" t="n">
        <v>0</v>
      </c>
      <c r="U7291" t="n">
        <v>0</v>
      </c>
      <c r="V7291" s="2" t="inlineStr"/>
    </row>
    <row r="7292" ht="15" customHeight="1">
      <c r="A7292" t="inlineStr">
        <is>
          <t>A 20164-2026</t>
        </is>
      </c>
      <c r="B7292" t="inlineStr">
        <is>
          <t>avverkningsanmälan</t>
        </is>
      </c>
      <c r="C7292" t="inlineStr">
        <is>
          <t>Föryngringsavverkning</t>
        </is>
      </c>
      <c r="D7292" s="1" t="n">
        <v>46139</v>
      </c>
      <c r="E7292" s="1" t="n">
        <v>46319</v>
      </c>
      <c r="F7292" t="inlineStr">
        <is>
          <t>DALARNAS LÄN</t>
        </is>
      </c>
      <c r="G7292" t="inlineStr">
        <is>
          <t>LEKSAND</t>
        </is>
      </c>
      <c r="I7292" t="n">
        <v>0.5</v>
      </c>
      <c r="J7292" t="n">
        <v>0</v>
      </c>
      <c r="K7292" t="n">
        <v>0</v>
      </c>
      <c r="L7292" t="n">
        <v>0</v>
      </c>
      <c r="M7292" t="n">
        <v>0</v>
      </c>
      <c r="N7292" t="n">
        <v>0</v>
      </c>
      <c r="O7292" t="n">
        <v>0</v>
      </c>
      <c r="P7292" t="n">
        <v>0</v>
      </c>
      <c r="Q7292" t="n">
        <v>0</v>
      </c>
      <c r="R7292" t="n">
        <v>0</v>
      </c>
      <c r="S7292" t="n">
        <v>0</v>
      </c>
      <c r="T7292" t="n">
        <v>0</v>
      </c>
      <c r="U7292" t="n">
        <v>0</v>
      </c>
      <c r="V7292" s="2" t="inlineStr"/>
    </row>
    <row r="7293" ht="15" customHeight="1">
      <c r="A7293" t="inlineStr">
        <is>
          <t>A 43862-2026</t>
        </is>
      </c>
      <c r="B7293" t="inlineStr">
        <is>
          <t>avverkningsanmälan</t>
        </is>
      </c>
      <c r="C7293" t="inlineStr">
        <is>
          <t>Föryngringsavverkning</t>
        </is>
      </c>
      <c r="D7293" s="1" t="n">
        <v>46316</v>
      </c>
      <c r="E7293" s="1" t="n">
        <v>46319</v>
      </c>
      <c r="F7293" t="inlineStr">
        <is>
          <t>DALARNAS LÄN</t>
        </is>
      </c>
      <c r="G7293" t="inlineStr">
        <is>
          <t>SMEDJEBACKEN</t>
        </is>
      </c>
      <c r="H7293" t="inlineStr">
        <is>
          <t>Sveaskog</t>
        </is>
      </c>
      <c r="I7293" t="n">
        <v>5.6</v>
      </c>
      <c r="J7293" t="n">
        <v>0</v>
      </c>
      <c r="K7293" t="n">
        <v>0</v>
      </c>
      <c r="L7293" t="n">
        <v>0</v>
      </c>
      <c r="M7293" t="n">
        <v>0</v>
      </c>
      <c r="N7293" t="n">
        <v>0</v>
      </c>
      <c r="O7293" t="n">
        <v>0</v>
      </c>
      <c r="P7293" t="n">
        <v>0</v>
      </c>
      <c r="Q7293" t="n">
        <v>0</v>
      </c>
      <c r="R7293" t="n">
        <v>0</v>
      </c>
      <c r="S7293" t="n">
        <v>0</v>
      </c>
      <c r="T7293" t="n">
        <v>0</v>
      </c>
      <c r="U7293" t="n">
        <v>0</v>
      </c>
      <c r="V7293" s="2" t="inlineStr"/>
    </row>
    <row r="7294" ht="15" customHeight="1">
      <c r="A7294" t="inlineStr">
        <is>
          <t>A 43863-2026</t>
        </is>
      </c>
      <c r="B7294" t="inlineStr">
        <is>
          <t>avverkningsanmälan</t>
        </is>
      </c>
      <c r="C7294" t="inlineStr">
        <is>
          <t>Föryngringsavverkning</t>
        </is>
      </c>
      <c r="D7294" s="1" t="n">
        <v>46316</v>
      </c>
      <c r="E7294" s="1" t="n">
        <v>46319</v>
      </c>
      <c r="F7294" t="inlineStr">
        <is>
          <t>DALARNAS LÄN</t>
        </is>
      </c>
      <c r="G7294" t="inlineStr">
        <is>
          <t>SMEDJEBACKEN</t>
        </is>
      </c>
      <c r="H7294" t="inlineStr">
        <is>
          <t>Sveaskog</t>
        </is>
      </c>
      <c r="I7294" t="n">
        <v>3.9</v>
      </c>
      <c r="J7294" t="n">
        <v>0</v>
      </c>
      <c r="K7294" t="n">
        <v>0</v>
      </c>
      <c r="L7294" t="n">
        <v>0</v>
      </c>
      <c r="M7294" t="n">
        <v>0</v>
      </c>
      <c r="N7294" t="n">
        <v>0</v>
      </c>
      <c r="O7294" t="n">
        <v>0</v>
      </c>
      <c r="P7294" t="n">
        <v>0</v>
      </c>
      <c r="Q7294" t="n">
        <v>0</v>
      </c>
      <c r="R7294" t="n">
        <v>0</v>
      </c>
      <c r="S7294" t="n">
        <v>0</v>
      </c>
      <c r="T7294" t="n">
        <v>0</v>
      </c>
      <c r="U7294" t="n">
        <v>0</v>
      </c>
      <c r="V7294" s="2" t="inlineStr"/>
    </row>
    <row r="7295" ht="15" customHeight="1">
      <c r="A7295" t="inlineStr">
        <is>
          <t>A 15863-2023</t>
        </is>
      </c>
      <c r="B7295" t="inlineStr">
        <is>
          <t>avverkningsanmälan</t>
        </is>
      </c>
      <c r="C7295" t="inlineStr">
        <is>
          <t>Föryngringsavverkning</t>
        </is>
      </c>
      <c r="D7295" s="1" t="n">
        <v>45022</v>
      </c>
      <c r="E7295" s="1" t="n">
        <v>46319</v>
      </c>
      <c r="F7295" t="inlineStr">
        <is>
          <t>DALARNAS LÄN</t>
        </is>
      </c>
      <c r="G7295" t="inlineStr">
        <is>
          <t>HEDEMORA</t>
        </is>
      </c>
      <c r="H7295" t="inlineStr">
        <is>
          <t>Bergvik skog väst AB</t>
        </is>
      </c>
      <c r="I7295" t="n">
        <v>4.7</v>
      </c>
      <c r="J7295" t="n">
        <v>0</v>
      </c>
      <c r="K7295" t="n">
        <v>0</v>
      </c>
      <c r="L7295" t="n">
        <v>0</v>
      </c>
      <c r="M7295" t="n">
        <v>0</v>
      </c>
      <c r="N7295" t="n">
        <v>0</v>
      </c>
      <c r="O7295" t="n">
        <v>0</v>
      </c>
      <c r="P7295" t="n">
        <v>0</v>
      </c>
      <c r="Q7295" t="n">
        <v>0</v>
      </c>
      <c r="R7295" t="n">
        <v>0</v>
      </c>
      <c r="S7295" t="n">
        <v>0</v>
      </c>
      <c r="T7295" t="n">
        <v>0</v>
      </c>
      <c r="U7295" t="n">
        <v>0</v>
      </c>
      <c r="V7295" s="2" t="inlineStr"/>
    </row>
    <row r="7296" ht="15" customHeight="1">
      <c r="A7296" t="inlineStr">
        <is>
          <t>A 42802-2024</t>
        </is>
      </c>
      <c r="B7296" t="inlineStr">
        <is>
          <t>avverkningsanmälan</t>
        </is>
      </c>
      <c r="C7296" t="inlineStr">
        <is>
          <t>Föryngringsavverkning</t>
        </is>
      </c>
      <c r="D7296" s="1" t="n">
        <v>45566</v>
      </c>
      <c r="E7296" s="1" t="n">
        <v>46319</v>
      </c>
      <c r="F7296" t="inlineStr">
        <is>
          <t>DALARNAS LÄN</t>
        </is>
      </c>
      <c r="G7296" t="inlineStr">
        <is>
          <t>MALUNG-SÄLEN</t>
        </is>
      </c>
      <c r="I7296" t="n">
        <v>2.3</v>
      </c>
      <c r="J7296" t="n">
        <v>0</v>
      </c>
      <c r="K7296" t="n">
        <v>0</v>
      </c>
      <c r="L7296" t="n">
        <v>0</v>
      </c>
      <c r="M7296" t="n">
        <v>0</v>
      </c>
      <c r="N7296" t="n">
        <v>0</v>
      </c>
      <c r="O7296" t="n">
        <v>0</v>
      </c>
      <c r="P7296" t="n">
        <v>0</v>
      </c>
      <c r="Q7296" t="n">
        <v>0</v>
      </c>
      <c r="R7296" t="n">
        <v>0</v>
      </c>
      <c r="S7296" t="n">
        <v>0</v>
      </c>
      <c r="T7296" t="n">
        <v>0</v>
      </c>
      <c r="U7296" t="n">
        <v>0</v>
      </c>
      <c r="V7296" s="2" t="inlineStr"/>
    </row>
    <row r="7297" ht="15" customHeight="1">
      <c r="A7297" t="inlineStr">
        <is>
          <t>A 36795-2026</t>
        </is>
      </c>
      <c r="B7297" t="inlineStr">
        <is>
          <t>avverkningsanmälan</t>
        </is>
      </c>
      <c r="C7297" t="inlineStr">
        <is>
          <t>Föryngringsavverkning</t>
        </is>
      </c>
      <c r="D7297" s="1" t="n">
        <v>46272</v>
      </c>
      <c r="E7297" s="1" t="n">
        <v>46319</v>
      </c>
      <c r="F7297" t="inlineStr">
        <is>
          <t>DALARNAS LÄN</t>
        </is>
      </c>
      <c r="G7297" t="inlineStr">
        <is>
          <t>FALUN</t>
        </is>
      </c>
      <c r="H7297" t="inlineStr">
        <is>
          <t>Bergvik skog väst AB</t>
        </is>
      </c>
      <c r="I7297" t="n">
        <v>0.4</v>
      </c>
      <c r="J7297" t="n">
        <v>0</v>
      </c>
      <c r="K7297" t="n">
        <v>0</v>
      </c>
      <c r="L7297" t="n">
        <v>0</v>
      </c>
      <c r="M7297" t="n">
        <v>0</v>
      </c>
      <c r="N7297" t="n">
        <v>0</v>
      </c>
      <c r="O7297" t="n">
        <v>0</v>
      </c>
      <c r="P7297" t="n">
        <v>0</v>
      </c>
      <c r="Q7297" t="n">
        <v>0</v>
      </c>
      <c r="R7297" t="n">
        <v>0</v>
      </c>
      <c r="S7297" t="n">
        <v>0</v>
      </c>
      <c r="T7297" t="n">
        <v>0</v>
      </c>
      <c r="U7297" t="n">
        <v>0</v>
      </c>
      <c r="V7297" s="2" t="inlineStr"/>
    </row>
    <row r="7298" ht="15" customHeight="1">
      <c r="A7298" t="inlineStr">
        <is>
          <t>A 59108-2022</t>
        </is>
      </c>
      <c r="B7298" t="inlineStr">
        <is>
          <t>avverkningsanmälan</t>
        </is>
      </c>
      <c r="C7298" t="inlineStr">
        <is>
          <t>Föryngringsavverkning</t>
        </is>
      </c>
      <c r="D7298" s="1" t="n">
        <v>44904</v>
      </c>
      <c r="E7298" s="1" t="n">
        <v>46319</v>
      </c>
      <c r="F7298" t="inlineStr">
        <is>
          <t>DALARNAS LÄN</t>
        </is>
      </c>
      <c r="G7298" t="inlineStr">
        <is>
          <t>ÄLVDALEN</t>
        </is>
      </c>
      <c r="I7298" t="n">
        <v>1.3</v>
      </c>
      <c r="J7298" t="n">
        <v>0</v>
      </c>
      <c r="K7298" t="n">
        <v>0</v>
      </c>
      <c r="L7298" t="n">
        <v>0</v>
      </c>
      <c r="M7298" t="n">
        <v>0</v>
      </c>
      <c r="N7298" t="n">
        <v>0</v>
      </c>
      <c r="O7298" t="n">
        <v>0</v>
      </c>
      <c r="P7298" t="n">
        <v>0</v>
      </c>
      <c r="Q7298" t="n">
        <v>0</v>
      </c>
      <c r="R7298" t="n">
        <v>0</v>
      </c>
      <c r="S7298" t="n">
        <v>0</v>
      </c>
      <c r="T7298" t="n">
        <v>0</v>
      </c>
      <c r="U7298" t="n">
        <v>0</v>
      </c>
      <c r="V7298" s="2" t="inlineStr"/>
    </row>
    <row r="7299" ht="15" customHeight="1">
      <c r="A7299" t="inlineStr">
        <is>
          <t>A 1721-2026</t>
        </is>
      </c>
      <c r="B7299" t="inlineStr">
        <is>
          <t>avverkningsanmälan</t>
        </is>
      </c>
      <c r="C7299" t="inlineStr">
        <is>
          <t>Föryngringsavverkning</t>
        </is>
      </c>
      <c r="D7299" s="1" t="n">
        <v>46034</v>
      </c>
      <c r="E7299" s="1" t="n">
        <v>46319</v>
      </c>
      <c r="F7299" t="inlineStr">
        <is>
          <t>DALARNAS LÄN</t>
        </is>
      </c>
      <c r="G7299" t="inlineStr">
        <is>
          <t>HEDEMORA</t>
        </is>
      </c>
      <c r="I7299" t="n">
        <v>4.4</v>
      </c>
      <c r="J7299" t="n">
        <v>0</v>
      </c>
      <c r="K7299" t="n">
        <v>0</v>
      </c>
      <c r="L7299" t="n">
        <v>0</v>
      </c>
      <c r="M7299" t="n">
        <v>0</v>
      </c>
      <c r="N7299" t="n">
        <v>0</v>
      </c>
      <c r="O7299" t="n">
        <v>0</v>
      </c>
      <c r="P7299" t="n">
        <v>0</v>
      </c>
      <c r="Q7299" t="n">
        <v>0</v>
      </c>
      <c r="R7299" t="n">
        <v>0</v>
      </c>
      <c r="S7299" t="n">
        <v>0</v>
      </c>
      <c r="T7299" t="n">
        <v>0</v>
      </c>
      <c r="U7299" t="n">
        <v>0</v>
      </c>
      <c r="V7299" s="2" t="inlineStr"/>
    </row>
    <row r="7300" ht="15" customHeight="1">
      <c r="A7300" t="inlineStr">
        <is>
          <t>A 1781-2026</t>
        </is>
      </c>
      <c r="B7300" t="inlineStr">
        <is>
          <t>avverkningsanmälan</t>
        </is>
      </c>
      <c r="C7300" t="inlineStr">
        <is>
          <t>Föryngringsavverkning</t>
        </is>
      </c>
      <c r="D7300" s="1" t="n">
        <v>46031</v>
      </c>
      <c r="E7300" s="1" t="n">
        <v>46319</v>
      </c>
      <c r="F7300" t="inlineStr">
        <is>
          <t>DALARNAS LÄN</t>
        </is>
      </c>
      <c r="G7300" t="inlineStr">
        <is>
          <t>FALUN</t>
        </is>
      </c>
      <c r="I7300" t="n">
        <v>8.9</v>
      </c>
      <c r="J7300" t="n">
        <v>0</v>
      </c>
      <c r="K7300" t="n">
        <v>0</v>
      </c>
      <c r="L7300" t="n">
        <v>0</v>
      </c>
      <c r="M7300" t="n">
        <v>0</v>
      </c>
      <c r="N7300" t="n">
        <v>0</v>
      </c>
      <c r="O7300" t="n">
        <v>0</v>
      </c>
      <c r="P7300" t="n">
        <v>0</v>
      </c>
      <c r="Q7300" t="n">
        <v>0</v>
      </c>
      <c r="R7300" t="n">
        <v>0</v>
      </c>
      <c r="S7300" t="n">
        <v>0</v>
      </c>
      <c r="T7300" t="n">
        <v>0</v>
      </c>
      <c r="U7300" t="n">
        <v>0</v>
      </c>
      <c r="V7300" s="2" t="inlineStr"/>
    </row>
    <row r="7301" ht="15" customHeight="1">
      <c r="A7301" t="inlineStr">
        <is>
          <t>A 2742-2026</t>
        </is>
      </c>
      <c r="B7301" t="inlineStr">
        <is>
          <t>avverkningsanmälan</t>
        </is>
      </c>
      <c r="C7301" t="inlineStr">
        <is>
          <t>Föryngringsavverkning</t>
        </is>
      </c>
      <c r="D7301" s="1" t="n">
        <v>46038</v>
      </c>
      <c r="E7301" s="1" t="n">
        <v>46319</v>
      </c>
      <c r="F7301" t="inlineStr">
        <is>
          <t>DALARNAS LÄN</t>
        </is>
      </c>
      <c r="G7301" t="inlineStr">
        <is>
          <t>FALUN</t>
        </is>
      </c>
      <c r="I7301" t="n">
        <v>1.8</v>
      </c>
      <c r="J7301" t="n">
        <v>0</v>
      </c>
      <c r="K7301" t="n">
        <v>0</v>
      </c>
      <c r="L7301" t="n">
        <v>0</v>
      </c>
      <c r="M7301" t="n">
        <v>0</v>
      </c>
      <c r="N7301" t="n">
        <v>0</v>
      </c>
      <c r="O7301" t="n">
        <v>0</v>
      </c>
      <c r="P7301" t="n">
        <v>0</v>
      </c>
      <c r="Q7301" t="n">
        <v>0</v>
      </c>
      <c r="R7301" t="n">
        <v>0</v>
      </c>
      <c r="S7301" t="n">
        <v>0</v>
      </c>
      <c r="T7301" t="n">
        <v>0</v>
      </c>
      <c r="U7301" t="n">
        <v>0</v>
      </c>
      <c r="V7301" s="2" t="inlineStr"/>
    </row>
    <row r="7302" ht="15" customHeight="1">
      <c r="A7302" t="inlineStr">
        <is>
          <t>A 2213-2026</t>
        </is>
      </c>
      <c r="B7302" t="inlineStr">
        <is>
          <t>avverkningsanmälan</t>
        </is>
      </c>
      <c r="C7302" t="inlineStr">
        <is>
          <t>Föryngringsavverkning</t>
        </is>
      </c>
      <c r="D7302" s="1" t="n">
        <v>46036</v>
      </c>
      <c r="E7302" s="1" t="n">
        <v>46319</v>
      </c>
      <c r="F7302" t="inlineStr">
        <is>
          <t>DALARNAS LÄN</t>
        </is>
      </c>
      <c r="G7302" t="inlineStr">
        <is>
          <t>FALUN</t>
        </is>
      </c>
      <c r="I7302" t="n">
        <v>2.6</v>
      </c>
      <c r="J7302" t="n">
        <v>0</v>
      </c>
      <c r="K7302" t="n">
        <v>0</v>
      </c>
      <c r="L7302" t="n">
        <v>0</v>
      </c>
      <c r="M7302" t="n">
        <v>0</v>
      </c>
      <c r="N7302" t="n">
        <v>0</v>
      </c>
      <c r="O7302" t="n">
        <v>0</v>
      </c>
      <c r="P7302" t="n">
        <v>0</v>
      </c>
      <c r="Q7302" t="n">
        <v>0</v>
      </c>
      <c r="R7302" t="n">
        <v>0</v>
      </c>
      <c r="S7302" t="n">
        <v>0</v>
      </c>
      <c r="T7302" t="n">
        <v>0</v>
      </c>
      <c r="U7302" t="n">
        <v>0</v>
      </c>
      <c r="V7302" s="2" t="inlineStr"/>
    </row>
    <row r="7303" ht="15" customHeight="1">
      <c r="A7303" t="inlineStr">
        <is>
          <t>A 36711-2026</t>
        </is>
      </c>
      <c r="B7303" t="inlineStr">
        <is>
          <t>avverkningsanmälan</t>
        </is>
      </c>
      <c r="C7303" t="inlineStr">
        <is>
          <t>Föryngringsavverkning</t>
        </is>
      </c>
      <c r="D7303" s="1" t="n">
        <v>46272</v>
      </c>
      <c r="E7303" s="1" t="n">
        <v>46319</v>
      </c>
      <c r="F7303" t="inlineStr">
        <is>
          <t>DALARNAS LÄN</t>
        </is>
      </c>
      <c r="G7303" t="inlineStr">
        <is>
          <t>GAGNEF</t>
        </is>
      </c>
      <c r="I7303" t="n">
        <v>0.5</v>
      </c>
      <c r="J7303" t="n">
        <v>0</v>
      </c>
      <c r="K7303" t="n">
        <v>0</v>
      </c>
      <c r="L7303" t="n">
        <v>0</v>
      </c>
      <c r="M7303" t="n">
        <v>0</v>
      </c>
      <c r="N7303" t="n">
        <v>0</v>
      </c>
      <c r="O7303" t="n">
        <v>0</v>
      </c>
      <c r="P7303" t="n">
        <v>0</v>
      </c>
      <c r="Q7303" t="n">
        <v>0</v>
      </c>
      <c r="R7303" t="n">
        <v>0</v>
      </c>
      <c r="S7303" t="n">
        <v>0</v>
      </c>
      <c r="T7303" t="n">
        <v>0</v>
      </c>
      <c r="U7303" t="n">
        <v>0</v>
      </c>
      <c r="V7303" s="2" t="inlineStr"/>
    </row>
    <row r="7304" ht="15" customHeight="1">
      <c r="A7304" t="inlineStr">
        <is>
          <t>A 11138-2023</t>
        </is>
      </c>
      <c r="B7304" t="inlineStr">
        <is>
          <t>avverkningsanmälan</t>
        </is>
      </c>
      <c r="C7304" t="inlineStr">
        <is>
          <t>Föryngringsavverkning</t>
        </is>
      </c>
      <c r="D7304" s="1" t="n">
        <v>44992</v>
      </c>
      <c r="E7304" s="1" t="n">
        <v>46319</v>
      </c>
      <c r="F7304" t="inlineStr">
        <is>
          <t>DALARNAS LÄN</t>
        </is>
      </c>
      <c r="G7304" t="inlineStr">
        <is>
          <t>BORLÄNGE</t>
        </is>
      </c>
      <c r="I7304" t="n">
        <v>1.7</v>
      </c>
      <c r="J7304" t="n">
        <v>0</v>
      </c>
      <c r="K7304" t="n">
        <v>0</v>
      </c>
      <c r="L7304" t="n">
        <v>0</v>
      </c>
      <c r="M7304" t="n">
        <v>0</v>
      </c>
      <c r="N7304" t="n">
        <v>0</v>
      </c>
      <c r="O7304" t="n">
        <v>0</v>
      </c>
      <c r="P7304" t="n">
        <v>0</v>
      </c>
      <c r="Q7304" t="n">
        <v>0</v>
      </c>
      <c r="R7304" t="n">
        <v>0</v>
      </c>
      <c r="S7304" t="n">
        <v>0</v>
      </c>
      <c r="T7304" t="n">
        <v>0</v>
      </c>
      <c r="U7304" t="n">
        <v>0</v>
      </c>
      <c r="V7304" s="2" t="inlineStr"/>
    </row>
    <row r="7305" ht="15" customHeight="1">
      <c r="A7305" t="inlineStr">
        <is>
          <t>A 37762-2024</t>
        </is>
      </c>
      <c r="B7305" t="inlineStr">
        <is>
          <t>avverkningsanmälan</t>
        </is>
      </c>
      <c r="C7305" t="inlineStr">
        <is>
          <t>Föryngringsavverkning</t>
        </is>
      </c>
      <c r="D7305" s="1" t="n">
        <v>45541</v>
      </c>
      <c r="E7305" s="1" t="n">
        <v>46319</v>
      </c>
      <c r="F7305" t="inlineStr">
        <is>
          <t>DALARNAS LÄN</t>
        </is>
      </c>
      <c r="G7305" t="inlineStr">
        <is>
          <t>HEDEMORA</t>
        </is>
      </c>
      <c r="H7305" t="inlineStr">
        <is>
          <t>Sveaskog</t>
        </is>
      </c>
      <c r="I7305" t="n">
        <v>0.8</v>
      </c>
      <c r="J7305" t="n">
        <v>0</v>
      </c>
      <c r="K7305" t="n">
        <v>0</v>
      </c>
      <c r="L7305" t="n">
        <v>0</v>
      </c>
      <c r="M7305" t="n">
        <v>0</v>
      </c>
      <c r="N7305" t="n">
        <v>0</v>
      </c>
      <c r="O7305" t="n">
        <v>0</v>
      </c>
      <c r="P7305" t="n">
        <v>0</v>
      </c>
      <c r="Q7305" t="n">
        <v>0</v>
      </c>
      <c r="R7305" t="n">
        <v>0</v>
      </c>
      <c r="S7305" t="n">
        <v>0</v>
      </c>
      <c r="T7305" t="n">
        <v>0</v>
      </c>
      <c r="U7305" t="n">
        <v>0</v>
      </c>
      <c r="V7305" s="2" t="inlineStr"/>
    </row>
    <row r="7306" ht="15" customHeight="1">
      <c r="A7306" t="inlineStr">
        <is>
          <t>A 41616-2024</t>
        </is>
      </c>
      <c r="B7306" t="inlineStr">
        <is>
          <t>avverkningsanmälan</t>
        </is>
      </c>
      <c r="C7306" t="inlineStr">
        <is>
          <t>Föryngringsavverkning</t>
        </is>
      </c>
      <c r="D7306" s="1" t="n">
        <v>45560</v>
      </c>
      <c r="E7306" s="1" t="n">
        <v>46319</v>
      </c>
      <c r="F7306" t="inlineStr">
        <is>
          <t>DALARNAS LÄN</t>
        </is>
      </c>
      <c r="G7306" t="inlineStr">
        <is>
          <t>LUDVIKA</t>
        </is>
      </c>
      <c r="H7306" t="inlineStr">
        <is>
          <t>Bergvik skog väst AB</t>
        </is>
      </c>
      <c r="I7306" t="n">
        <v>4.4</v>
      </c>
      <c r="J7306" t="n">
        <v>0</v>
      </c>
      <c r="K7306" t="n">
        <v>0</v>
      </c>
      <c r="L7306" t="n">
        <v>0</v>
      </c>
      <c r="M7306" t="n">
        <v>0</v>
      </c>
      <c r="N7306" t="n">
        <v>0</v>
      </c>
      <c r="O7306" t="n">
        <v>0</v>
      </c>
      <c r="P7306" t="n">
        <v>0</v>
      </c>
      <c r="Q7306" t="n">
        <v>0</v>
      </c>
      <c r="R7306" t="n">
        <v>0</v>
      </c>
      <c r="S7306" t="n">
        <v>0</v>
      </c>
      <c r="T7306" t="n">
        <v>0</v>
      </c>
      <c r="U7306" t="n">
        <v>0</v>
      </c>
      <c r="V7306" s="2" t="inlineStr"/>
    </row>
    <row r="7307" ht="15" customHeight="1">
      <c r="A7307" t="inlineStr">
        <is>
          <t>A 42085-2024</t>
        </is>
      </c>
      <c r="B7307" t="inlineStr">
        <is>
          <t>avverkningsanmälan</t>
        </is>
      </c>
      <c r="C7307" t="inlineStr">
        <is>
          <t>Föryngringsavverkning</t>
        </is>
      </c>
      <c r="D7307" s="1" t="n">
        <v>45562</v>
      </c>
      <c r="E7307" s="1" t="n">
        <v>46319</v>
      </c>
      <c r="F7307" t="inlineStr">
        <is>
          <t>DALARNAS LÄN</t>
        </is>
      </c>
      <c r="G7307" t="inlineStr">
        <is>
          <t>MORA</t>
        </is>
      </c>
      <c r="I7307" t="n">
        <v>4.9</v>
      </c>
      <c r="J7307" t="n">
        <v>0</v>
      </c>
      <c r="K7307" t="n">
        <v>0</v>
      </c>
      <c r="L7307" t="n">
        <v>0</v>
      </c>
      <c r="M7307" t="n">
        <v>0</v>
      </c>
      <c r="N7307" t="n">
        <v>0</v>
      </c>
      <c r="O7307" t="n">
        <v>0</v>
      </c>
      <c r="P7307" t="n">
        <v>0</v>
      </c>
      <c r="Q7307" t="n">
        <v>0</v>
      </c>
      <c r="R7307" t="n">
        <v>0</v>
      </c>
      <c r="S7307" t="n">
        <v>0</v>
      </c>
      <c r="T7307" t="n">
        <v>0</v>
      </c>
      <c r="U7307" t="n">
        <v>0</v>
      </c>
      <c r="V7307" s="2" t="inlineStr"/>
    </row>
    <row r="7308" ht="15" customHeight="1">
      <c r="A7308" t="inlineStr">
        <is>
          <t>A 509-2026</t>
        </is>
      </c>
      <c r="B7308" t="inlineStr">
        <is>
          <t>avverkningsanmälan</t>
        </is>
      </c>
      <c r="C7308" t="inlineStr">
        <is>
          <t>Föryngringsavverkning</t>
        </is>
      </c>
      <c r="D7308" s="1" t="n">
        <v>46029</v>
      </c>
      <c r="E7308" s="1" t="n">
        <v>46319</v>
      </c>
      <c r="F7308" t="inlineStr">
        <is>
          <t>DALARNAS LÄN</t>
        </is>
      </c>
      <c r="G7308" t="inlineStr">
        <is>
          <t>RÄTTVIK</t>
        </is>
      </c>
      <c r="I7308" t="n">
        <v>2</v>
      </c>
      <c r="J7308" t="n">
        <v>0</v>
      </c>
      <c r="K7308" t="n">
        <v>0</v>
      </c>
      <c r="L7308" t="n">
        <v>0</v>
      </c>
      <c r="M7308" t="n">
        <v>0</v>
      </c>
      <c r="N7308" t="n">
        <v>0</v>
      </c>
      <c r="O7308" t="n">
        <v>0</v>
      </c>
      <c r="P7308" t="n">
        <v>0</v>
      </c>
      <c r="Q7308" t="n">
        <v>0</v>
      </c>
      <c r="R7308" t="n">
        <v>0</v>
      </c>
      <c r="S7308" t="n">
        <v>0</v>
      </c>
      <c r="T7308" t="n">
        <v>0</v>
      </c>
      <c r="U7308" t="n">
        <v>0</v>
      </c>
      <c r="V7308" s="2" t="inlineStr"/>
    </row>
    <row r="7309" ht="15" customHeight="1">
      <c r="A7309" t="inlineStr">
        <is>
          <t>A 3336-2026</t>
        </is>
      </c>
      <c r="B7309" t="inlineStr">
        <is>
          <t>avverkningsanmälan</t>
        </is>
      </c>
      <c r="C7309" t="inlineStr">
        <is>
          <t>Föryngringsavverkning</t>
        </is>
      </c>
      <c r="D7309" s="1" t="n">
        <v>46041</v>
      </c>
      <c r="E7309" s="1" t="n">
        <v>46319</v>
      </c>
      <c r="F7309" t="inlineStr">
        <is>
          <t>DALARNAS LÄN</t>
        </is>
      </c>
      <c r="G7309" t="inlineStr">
        <is>
          <t>FALUN</t>
        </is>
      </c>
      <c r="I7309" t="n">
        <v>3</v>
      </c>
      <c r="J7309" t="n">
        <v>0</v>
      </c>
      <c r="K7309" t="n">
        <v>0</v>
      </c>
      <c r="L7309" t="n">
        <v>0</v>
      </c>
      <c r="M7309" t="n">
        <v>0</v>
      </c>
      <c r="N7309" t="n">
        <v>0</v>
      </c>
      <c r="O7309" t="n">
        <v>0</v>
      </c>
      <c r="P7309" t="n">
        <v>0</v>
      </c>
      <c r="Q7309" t="n">
        <v>0</v>
      </c>
      <c r="R7309" t="n">
        <v>0</v>
      </c>
      <c r="S7309" t="n">
        <v>0</v>
      </c>
      <c r="T7309" t="n">
        <v>0</v>
      </c>
      <c r="U7309" t="n">
        <v>0</v>
      </c>
      <c r="V7309" s="2" t="inlineStr"/>
    </row>
    <row r="7310" ht="15" customHeight="1">
      <c r="A7310" t="inlineStr">
        <is>
          <t>A 32113-2024</t>
        </is>
      </c>
      <c r="B7310" t="inlineStr">
        <is>
          <t>avverkningsanmälan</t>
        </is>
      </c>
      <c r="C7310" t="inlineStr">
        <is>
          <t>Föryngringsavverkning</t>
        </is>
      </c>
      <c r="D7310" s="1" t="n">
        <v>45511</v>
      </c>
      <c r="E7310" s="1" t="n">
        <v>46319</v>
      </c>
      <c r="F7310" t="inlineStr">
        <is>
          <t>DALARNAS LÄN</t>
        </is>
      </c>
      <c r="G7310" t="inlineStr">
        <is>
          <t>AVESTA</t>
        </is>
      </c>
      <c r="I7310" t="n">
        <v>1.2</v>
      </c>
      <c r="J7310" t="n">
        <v>0</v>
      </c>
      <c r="K7310" t="n">
        <v>0</v>
      </c>
      <c r="L7310" t="n">
        <v>0</v>
      </c>
      <c r="M7310" t="n">
        <v>0</v>
      </c>
      <c r="N7310" t="n">
        <v>0</v>
      </c>
      <c r="O7310" t="n">
        <v>0</v>
      </c>
      <c r="P7310" t="n">
        <v>0</v>
      </c>
      <c r="Q7310" t="n">
        <v>0</v>
      </c>
      <c r="R7310" t="n">
        <v>0</v>
      </c>
      <c r="S7310" t="n">
        <v>0</v>
      </c>
      <c r="T7310" t="n">
        <v>0</v>
      </c>
      <c r="U7310" t="n">
        <v>0</v>
      </c>
      <c r="V7310" s="2" t="inlineStr"/>
    </row>
    <row r="7311" ht="15" customHeight="1">
      <c r="A7311" t="inlineStr">
        <is>
          <t>A 6943-2026</t>
        </is>
      </c>
      <c r="B7311" t="inlineStr">
        <is>
          <t>avverkningsanmälan</t>
        </is>
      </c>
      <c r="C7311" t="inlineStr">
        <is>
          <t>Föryngringsavverkning</t>
        </is>
      </c>
      <c r="D7311" s="1" t="n">
        <v>46056</v>
      </c>
      <c r="E7311" s="1" t="n">
        <v>46319</v>
      </c>
      <c r="F7311" t="inlineStr">
        <is>
          <t>DALARNAS LÄN</t>
        </is>
      </c>
      <c r="G7311" t="inlineStr">
        <is>
          <t>FALUN</t>
        </is>
      </c>
      <c r="H7311" t="inlineStr">
        <is>
          <t>Allmännings- och besparingsskogar</t>
        </is>
      </c>
      <c r="I7311" t="n">
        <v>22.5</v>
      </c>
      <c r="J7311" t="n">
        <v>0</v>
      </c>
      <c r="K7311" t="n">
        <v>0</v>
      </c>
      <c r="L7311" t="n">
        <v>0</v>
      </c>
      <c r="M7311" t="n">
        <v>0</v>
      </c>
      <c r="N7311" t="n">
        <v>0</v>
      </c>
      <c r="O7311" t="n">
        <v>0</v>
      </c>
      <c r="P7311" t="n">
        <v>0</v>
      </c>
      <c r="Q7311" t="n">
        <v>0</v>
      </c>
      <c r="R7311" t="n">
        <v>0</v>
      </c>
      <c r="S7311" t="n">
        <v>0</v>
      </c>
      <c r="T7311" t="n">
        <v>0</v>
      </c>
      <c r="U7311" t="n">
        <v>0</v>
      </c>
      <c r="V7311" s="2" t="inlineStr"/>
    </row>
    <row r="7312" ht="15" customHeight="1">
      <c r="A7312" t="inlineStr">
        <is>
          <t>A 48516-2024</t>
        </is>
      </c>
      <c r="B7312" t="inlineStr">
        <is>
          <t>avverkningsanmälan</t>
        </is>
      </c>
      <c r="C7312" t="inlineStr">
        <is>
          <t>Föryngringsavverkning</t>
        </is>
      </c>
      <c r="D7312" s="1" t="n">
        <v>45593</v>
      </c>
      <c r="E7312" s="1" t="n">
        <v>46319</v>
      </c>
      <c r="F7312" t="inlineStr">
        <is>
          <t>DALARNAS LÄN</t>
        </is>
      </c>
      <c r="G7312" t="inlineStr">
        <is>
          <t>ORSA</t>
        </is>
      </c>
      <c r="I7312" t="n">
        <v>3.3</v>
      </c>
      <c r="J7312" t="n">
        <v>0</v>
      </c>
      <c r="K7312" t="n">
        <v>0</v>
      </c>
      <c r="L7312" t="n">
        <v>0</v>
      </c>
      <c r="M7312" t="n">
        <v>0</v>
      </c>
      <c r="N7312" t="n">
        <v>0</v>
      </c>
      <c r="O7312" t="n">
        <v>0</v>
      </c>
      <c r="P7312" t="n">
        <v>0</v>
      </c>
      <c r="Q7312" t="n">
        <v>0</v>
      </c>
      <c r="R7312" t="n">
        <v>0</v>
      </c>
      <c r="S7312" t="n">
        <v>0</v>
      </c>
      <c r="T7312" t="n">
        <v>0</v>
      </c>
      <c r="U7312" t="n">
        <v>0</v>
      </c>
      <c r="V7312" s="2" t="inlineStr"/>
    </row>
    <row r="7313" ht="15" customHeight="1">
      <c r="A7313" t="inlineStr">
        <is>
          <t>A 5682-2026</t>
        </is>
      </c>
      <c r="B7313" t="inlineStr">
        <is>
          <t>avverkningsanmälan</t>
        </is>
      </c>
      <c r="C7313" t="inlineStr">
        <is>
          <t>Föryngringsavverkning</t>
        </is>
      </c>
      <c r="D7313" s="1" t="n">
        <v>46051</v>
      </c>
      <c r="E7313" s="1" t="n">
        <v>46319</v>
      </c>
      <c r="F7313" t="inlineStr">
        <is>
          <t>DALARNAS LÄN</t>
        </is>
      </c>
      <c r="G7313" t="inlineStr">
        <is>
          <t>GAGNEF</t>
        </is>
      </c>
      <c r="I7313" t="n">
        <v>1.3</v>
      </c>
      <c r="J7313" t="n">
        <v>0</v>
      </c>
      <c r="K7313" t="n">
        <v>0</v>
      </c>
      <c r="L7313" t="n">
        <v>0</v>
      </c>
      <c r="M7313" t="n">
        <v>0</v>
      </c>
      <c r="N7313" t="n">
        <v>0</v>
      </c>
      <c r="O7313" t="n">
        <v>0</v>
      </c>
      <c r="P7313" t="n">
        <v>0</v>
      </c>
      <c r="Q7313" t="n">
        <v>0</v>
      </c>
      <c r="R7313" t="n">
        <v>0</v>
      </c>
      <c r="S7313" t="n">
        <v>0</v>
      </c>
      <c r="T7313" t="n">
        <v>0</v>
      </c>
      <c r="U7313" t="n">
        <v>0</v>
      </c>
      <c r="V7313" s="2" t="inlineStr"/>
    </row>
    <row r="7314" ht="15" customHeight="1">
      <c r="A7314" t="inlineStr">
        <is>
          <t>A 4040-2026</t>
        </is>
      </c>
      <c r="B7314" t="inlineStr">
        <is>
          <t>avverkningsanmälan</t>
        </is>
      </c>
      <c r="C7314" t="inlineStr">
        <is>
          <t>Föryngringsavverkning</t>
        </is>
      </c>
      <c r="D7314" s="1" t="n">
        <v>46044</v>
      </c>
      <c r="E7314" s="1" t="n">
        <v>46319</v>
      </c>
      <c r="F7314" t="inlineStr">
        <is>
          <t>DALARNAS LÄN</t>
        </is>
      </c>
      <c r="G7314" t="inlineStr">
        <is>
          <t>ORSA</t>
        </is>
      </c>
      <c r="I7314" t="n">
        <v>4.3</v>
      </c>
      <c r="J7314" t="n">
        <v>0</v>
      </c>
      <c r="K7314" t="n">
        <v>0</v>
      </c>
      <c r="L7314" t="n">
        <v>0</v>
      </c>
      <c r="M7314" t="n">
        <v>0</v>
      </c>
      <c r="N7314" t="n">
        <v>0</v>
      </c>
      <c r="O7314" t="n">
        <v>0</v>
      </c>
      <c r="P7314" t="n">
        <v>0</v>
      </c>
      <c r="Q7314" t="n">
        <v>0</v>
      </c>
      <c r="R7314" t="n">
        <v>0</v>
      </c>
      <c r="S7314" t="n">
        <v>0</v>
      </c>
      <c r="T7314" t="n">
        <v>0</v>
      </c>
      <c r="U7314" t="n">
        <v>0</v>
      </c>
      <c r="V7314" s="2" t="inlineStr"/>
    </row>
    <row r="7315" ht="15" customHeight="1">
      <c r="A7315" t="inlineStr">
        <is>
          <t>A 33001-2023</t>
        </is>
      </c>
      <c r="B7315" t="inlineStr">
        <is>
          <t>avverkningsanmälan</t>
        </is>
      </c>
      <c r="C7315" t="inlineStr">
        <is>
          <t>Föryngringsavverkning</t>
        </is>
      </c>
      <c r="D7315" s="1" t="n">
        <v>45125</v>
      </c>
      <c r="E7315" s="1" t="n">
        <v>46319</v>
      </c>
      <c r="F7315" t="inlineStr">
        <is>
          <t>DALARNAS LÄN</t>
        </is>
      </c>
      <c r="G7315" t="inlineStr">
        <is>
          <t>LEKSAND</t>
        </is>
      </c>
      <c r="H7315" t="inlineStr">
        <is>
          <t>Bergvik skog väst AB</t>
        </is>
      </c>
      <c r="I7315" t="n">
        <v>3</v>
      </c>
      <c r="J7315" t="n">
        <v>0</v>
      </c>
      <c r="K7315" t="n">
        <v>0</v>
      </c>
      <c r="L7315" t="n">
        <v>0</v>
      </c>
      <c r="M7315" t="n">
        <v>0</v>
      </c>
      <c r="N7315" t="n">
        <v>0</v>
      </c>
      <c r="O7315" t="n">
        <v>0</v>
      </c>
      <c r="P7315" t="n">
        <v>0</v>
      </c>
      <c r="Q7315" t="n">
        <v>0</v>
      </c>
      <c r="R7315" t="n">
        <v>0</v>
      </c>
      <c r="S7315" t="n">
        <v>0</v>
      </c>
      <c r="T7315" t="n">
        <v>0</v>
      </c>
      <c r="U7315" t="n">
        <v>0</v>
      </c>
      <c r="V7315" s="2" t="inlineStr"/>
    </row>
    <row r="7316" ht="15" customHeight="1">
      <c r="A7316" t="inlineStr">
        <is>
          <t>A 43727-2026</t>
        </is>
      </c>
      <c r="B7316" t="inlineStr">
        <is>
          <t>avverkningsanmälan</t>
        </is>
      </c>
      <c r="C7316" t="inlineStr">
        <is>
          <t>Föryngringsavverkning</t>
        </is>
      </c>
      <c r="D7316" s="1" t="n">
        <v>46316</v>
      </c>
      <c r="E7316" s="1" t="n">
        <v>46319</v>
      </c>
      <c r="F7316" t="inlineStr">
        <is>
          <t>DALARNAS LÄN</t>
        </is>
      </c>
      <c r="G7316" t="inlineStr">
        <is>
          <t>ORSA</t>
        </is>
      </c>
      <c r="H7316" t="inlineStr">
        <is>
          <t>Allmännings- och besparingsskogar</t>
        </is>
      </c>
      <c r="I7316" t="n">
        <v>8.4</v>
      </c>
      <c r="J7316" t="n">
        <v>0</v>
      </c>
      <c r="K7316" t="n">
        <v>0</v>
      </c>
      <c r="L7316" t="n">
        <v>0</v>
      </c>
      <c r="M7316" t="n">
        <v>0</v>
      </c>
      <c r="N7316" t="n">
        <v>0</v>
      </c>
      <c r="O7316" t="n">
        <v>0</v>
      </c>
      <c r="P7316" t="n">
        <v>0</v>
      </c>
      <c r="Q7316" t="n">
        <v>0</v>
      </c>
      <c r="R7316" t="n">
        <v>0</v>
      </c>
      <c r="S7316" t="n">
        <v>0</v>
      </c>
      <c r="T7316" t="n">
        <v>0</v>
      </c>
      <c r="U7316" t="n">
        <v>0</v>
      </c>
      <c r="V7316" s="2" t="inlineStr"/>
    </row>
    <row r="7317" ht="15" customHeight="1">
      <c r="A7317" t="inlineStr">
        <is>
          <t>A 9430-2026</t>
        </is>
      </c>
      <c r="B7317" t="inlineStr">
        <is>
          <t>avverkningsanmälan</t>
        </is>
      </c>
      <c r="C7317" t="inlineStr">
        <is>
          <t>Föryngringsavverkning</t>
        </is>
      </c>
      <c r="D7317" s="1" t="n">
        <v>46071</v>
      </c>
      <c r="E7317" s="1" t="n">
        <v>46319</v>
      </c>
      <c r="F7317" t="inlineStr">
        <is>
          <t>DALARNAS LÄN</t>
        </is>
      </c>
      <c r="G7317" t="inlineStr">
        <is>
          <t>BORLÄNGE</t>
        </is>
      </c>
      <c r="H7317" t="inlineStr">
        <is>
          <t>Kommuner</t>
        </is>
      </c>
      <c r="I7317" t="n">
        <v>5.6</v>
      </c>
      <c r="J7317" t="n">
        <v>0</v>
      </c>
      <c r="K7317" t="n">
        <v>0</v>
      </c>
      <c r="L7317" t="n">
        <v>0</v>
      </c>
      <c r="M7317" t="n">
        <v>0</v>
      </c>
      <c r="N7317" t="n">
        <v>0</v>
      </c>
      <c r="O7317" t="n">
        <v>0</v>
      </c>
      <c r="P7317" t="n">
        <v>0</v>
      </c>
      <c r="Q7317" t="n">
        <v>0</v>
      </c>
      <c r="R7317" t="n">
        <v>0</v>
      </c>
      <c r="S7317" t="n">
        <v>0</v>
      </c>
      <c r="T7317" t="n">
        <v>0</v>
      </c>
      <c r="U7317" t="n">
        <v>0</v>
      </c>
      <c r="V7317" s="2" t="inlineStr"/>
    </row>
    <row r="7318" ht="15" customHeight="1">
      <c r="A7318" t="inlineStr">
        <is>
          <t>A 8970-2026</t>
        </is>
      </c>
      <c r="B7318" t="inlineStr">
        <is>
          <t>avverkningsanmälan</t>
        </is>
      </c>
      <c r="C7318" t="inlineStr">
        <is>
          <t>Föryngringsavverkning</t>
        </is>
      </c>
      <c r="D7318" s="1" t="n">
        <v>46069</v>
      </c>
      <c r="E7318" s="1" t="n">
        <v>46319</v>
      </c>
      <c r="F7318" t="inlineStr">
        <is>
          <t>DALARNAS LÄN</t>
        </is>
      </c>
      <c r="G7318" t="inlineStr">
        <is>
          <t>GAGNEF</t>
        </is>
      </c>
      <c r="I7318" t="n">
        <v>2.6</v>
      </c>
      <c r="J7318" t="n">
        <v>0</v>
      </c>
      <c r="K7318" t="n">
        <v>0</v>
      </c>
      <c r="L7318" t="n">
        <v>0</v>
      </c>
      <c r="M7318" t="n">
        <v>0</v>
      </c>
      <c r="N7318" t="n">
        <v>0</v>
      </c>
      <c r="O7318" t="n">
        <v>0</v>
      </c>
      <c r="P7318" t="n">
        <v>0</v>
      </c>
      <c r="Q7318" t="n">
        <v>0</v>
      </c>
      <c r="R7318" t="n">
        <v>0</v>
      </c>
      <c r="S7318" t="n">
        <v>0</v>
      </c>
      <c r="T7318" t="n">
        <v>0</v>
      </c>
      <c r="U7318" t="n">
        <v>0</v>
      </c>
      <c r="V7318" s="2" t="inlineStr"/>
    </row>
    <row r="7319" ht="15" customHeight="1">
      <c r="A7319" t="inlineStr">
        <is>
          <t>A 45040-2025</t>
        </is>
      </c>
      <c r="B7319" t="inlineStr">
        <is>
          <t>avverkningsanmälan</t>
        </is>
      </c>
      <c r="C7319" t="inlineStr">
        <is>
          <t>Föryngringsavverkning</t>
        </is>
      </c>
      <c r="D7319" s="1" t="n">
        <v>45918</v>
      </c>
      <c r="E7319" s="1" t="n">
        <v>46319</v>
      </c>
      <c r="F7319" t="inlineStr">
        <is>
          <t>DALARNAS LÄN</t>
        </is>
      </c>
      <c r="G7319" t="inlineStr">
        <is>
          <t>FALUN</t>
        </is>
      </c>
      <c r="I7319" t="n">
        <v>2.1</v>
      </c>
      <c r="J7319" t="n">
        <v>0</v>
      </c>
      <c r="K7319" t="n">
        <v>0</v>
      </c>
      <c r="L7319" t="n">
        <v>0</v>
      </c>
      <c r="M7319" t="n">
        <v>0</v>
      </c>
      <c r="N7319" t="n">
        <v>0</v>
      </c>
      <c r="O7319" t="n">
        <v>0</v>
      </c>
      <c r="P7319" t="n">
        <v>0</v>
      </c>
      <c r="Q7319" t="n">
        <v>0</v>
      </c>
      <c r="R7319" t="n">
        <v>0</v>
      </c>
      <c r="S7319" t="n">
        <v>0</v>
      </c>
      <c r="T7319" t="n">
        <v>0</v>
      </c>
      <c r="U7319" t="n">
        <v>0</v>
      </c>
      <c r="V7319" s="2" t="inlineStr"/>
    </row>
    <row r="7320" ht="15" customHeight="1">
      <c r="A7320" t="inlineStr">
        <is>
          <t>A 36705-2026</t>
        </is>
      </c>
      <c r="B7320" t="inlineStr">
        <is>
          <t>avverkningsanmälan</t>
        </is>
      </c>
      <c r="C7320" t="inlineStr">
        <is>
          <t>Föryngringsavverkning</t>
        </is>
      </c>
      <c r="D7320" s="1" t="n">
        <v>46272</v>
      </c>
      <c r="E7320" s="1" t="n">
        <v>46319</v>
      </c>
      <c r="F7320" t="inlineStr">
        <is>
          <t>DALARNAS LÄN</t>
        </is>
      </c>
      <c r="G7320" t="inlineStr">
        <is>
          <t>FALUN</t>
        </is>
      </c>
      <c r="H7320" t="inlineStr">
        <is>
          <t>Bergvik skog väst AB</t>
        </is>
      </c>
      <c r="I7320" t="n">
        <v>4.9</v>
      </c>
      <c r="J7320" t="n">
        <v>0</v>
      </c>
      <c r="K7320" t="n">
        <v>0</v>
      </c>
      <c r="L7320" t="n">
        <v>0</v>
      </c>
      <c r="M7320" t="n">
        <v>0</v>
      </c>
      <c r="N7320" t="n">
        <v>0</v>
      </c>
      <c r="O7320" t="n">
        <v>0</v>
      </c>
      <c r="P7320" t="n">
        <v>0</v>
      </c>
      <c r="Q7320" t="n">
        <v>0</v>
      </c>
      <c r="R7320" t="n">
        <v>0</v>
      </c>
      <c r="S7320" t="n">
        <v>0</v>
      </c>
      <c r="T7320" t="n">
        <v>0</v>
      </c>
      <c r="U7320" t="n">
        <v>0</v>
      </c>
      <c r="V7320" s="2" t="inlineStr"/>
    </row>
    <row r="7321" ht="15" customHeight="1">
      <c r="A7321" t="inlineStr">
        <is>
          <t>A 36710-2026</t>
        </is>
      </c>
      <c r="B7321" t="inlineStr">
        <is>
          <t>avverkningsanmälan</t>
        </is>
      </c>
      <c r="C7321" t="inlineStr">
        <is>
          <t>Föryngringsavverkning</t>
        </is>
      </c>
      <c r="D7321" s="1" t="n">
        <v>46272</v>
      </c>
      <c r="E7321" s="1" t="n">
        <v>46319</v>
      </c>
      <c r="F7321" t="inlineStr">
        <is>
          <t>DALARNAS LÄN</t>
        </is>
      </c>
      <c r="G7321" t="inlineStr">
        <is>
          <t>VANSBRO</t>
        </is>
      </c>
      <c r="H7321" t="inlineStr">
        <is>
          <t>Bergvik skog väst AB</t>
        </is>
      </c>
      <c r="I7321" t="n">
        <v>2.3</v>
      </c>
      <c r="J7321" t="n">
        <v>0</v>
      </c>
      <c r="K7321" t="n">
        <v>0</v>
      </c>
      <c r="L7321" t="n">
        <v>0</v>
      </c>
      <c r="M7321" t="n">
        <v>0</v>
      </c>
      <c r="N7321" t="n">
        <v>0</v>
      </c>
      <c r="O7321" t="n">
        <v>0</v>
      </c>
      <c r="P7321" t="n">
        <v>0</v>
      </c>
      <c r="Q7321" t="n">
        <v>0</v>
      </c>
      <c r="R7321" t="n">
        <v>0</v>
      </c>
      <c r="S7321" t="n">
        <v>0</v>
      </c>
      <c r="T7321" t="n">
        <v>0</v>
      </c>
      <c r="U7321" t="n">
        <v>0</v>
      </c>
      <c r="V7321" s="2" t="inlineStr"/>
    </row>
    <row r="7322" ht="15" customHeight="1">
      <c r="A7322" t="inlineStr">
        <is>
          <t>A 37971-2024</t>
        </is>
      </c>
      <c r="B7322" t="inlineStr">
        <is>
          <t>avverkningsanmälan</t>
        </is>
      </c>
      <c r="C7322" t="inlineStr">
        <is>
          <t>Föryngringsavverkning</t>
        </is>
      </c>
      <c r="D7322" s="1" t="n">
        <v>45544</v>
      </c>
      <c r="E7322" s="1" t="n">
        <v>46319</v>
      </c>
      <c r="F7322" t="inlineStr">
        <is>
          <t>DALARNAS LÄN</t>
        </is>
      </c>
      <c r="G7322" t="inlineStr">
        <is>
          <t>MORA</t>
        </is>
      </c>
      <c r="I7322" t="n">
        <v>2.3</v>
      </c>
      <c r="J7322" t="n">
        <v>0</v>
      </c>
      <c r="K7322" t="n">
        <v>0</v>
      </c>
      <c r="L7322" t="n">
        <v>0</v>
      </c>
      <c r="M7322" t="n">
        <v>0</v>
      </c>
      <c r="N7322" t="n">
        <v>0</v>
      </c>
      <c r="O7322" t="n">
        <v>0</v>
      </c>
      <c r="P7322" t="n">
        <v>0</v>
      </c>
      <c r="Q7322" t="n">
        <v>0</v>
      </c>
      <c r="R7322" t="n">
        <v>0</v>
      </c>
      <c r="S7322" t="n">
        <v>0</v>
      </c>
      <c r="T7322" t="n">
        <v>0</v>
      </c>
      <c r="U7322" t="n">
        <v>0</v>
      </c>
      <c r="V7322" s="2" t="inlineStr"/>
    </row>
    <row r="7323" ht="15" customHeight="1">
      <c r="A7323" t="inlineStr">
        <is>
          <t>A 41451-2024</t>
        </is>
      </c>
      <c r="B7323" t="inlineStr">
        <is>
          <t>avverkningsanmälan</t>
        </is>
      </c>
      <c r="C7323" t="inlineStr">
        <is>
          <t>Föryngringsavverkning</t>
        </is>
      </c>
      <c r="D7323" s="1" t="n">
        <v>45560</v>
      </c>
      <c r="E7323" s="1" t="n">
        <v>46319</v>
      </c>
      <c r="F7323" t="inlineStr">
        <is>
          <t>DALARNAS LÄN</t>
        </is>
      </c>
      <c r="G7323" t="inlineStr">
        <is>
          <t>RÄTTVIK</t>
        </is>
      </c>
      <c r="I7323" t="n">
        <v>1.6</v>
      </c>
      <c r="J7323" t="n">
        <v>0</v>
      </c>
      <c r="K7323" t="n">
        <v>0</v>
      </c>
      <c r="L7323" t="n">
        <v>0</v>
      </c>
      <c r="M7323" t="n">
        <v>0</v>
      </c>
      <c r="N7323" t="n">
        <v>0</v>
      </c>
      <c r="O7323" t="n">
        <v>0</v>
      </c>
      <c r="P7323" t="n">
        <v>0</v>
      </c>
      <c r="Q7323" t="n">
        <v>0</v>
      </c>
      <c r="R7323" t="n">
        <v>0</v>
      </c>
      <c r="S7323" t="n">
        <v>0</v>
      </c>
      <c r="T7323" t="n">
        <v>0</v>
      </c>
      <c r="U7323" t="n">
        <v>0</v>
      </c>
      <c r="V7323" s="2" t="inlineStr"/>
    </row>
    <row r="7324" ht="15" customHeight="1">
      <c r="A7324" t="inlineStr">
        <is>
          <t>A 20234-2026</t>
        </is>
      </c>
      <c r="B7324" t="inlineStr">
        <is>
          <t>avverkningsanmälan</t>
        </is>
      </c>
      <c r="C7324" t="inlineStr">
        <is>
          <t>Föryngringsavverkning</t>
        </is>
      </c>
      <c r="D7324" s="1" t="n">
        <v>46139</v>
      </c>
      <c r="E7324" s="1" t="n">
        <v>46319</v>
      </c>
      <c r="F7324" t="inlineStr">
        <is>
          <t>DALARNAS LÄN</t>
        </is>
      </c>
      <c r="G7324" t="inlineStr">
        <is>
          <t>RÄTTVIK</t>
        </is>
      </c>
      <c r="I7324" t="n">
        <v>8.699999999999999</v>
      </c>
      <c r="J7324" t="n">
        <v>0</v>
      </c>
      <c r="K7324" t="n">
        <v>0</v>
      </c>
      <c r="L7324" t="n">
        <v>0</v>
      </c>
      <c r="M7324" t="n">
        <v>0</v>
      </c>
      <c r="N7324" t="n">
        <v>0</v>
      </c>
      <c r="O7324" t="n">
        <v>0</v>
      </c>
      <c r="P7324" t="n">
        <v>0</v>
      </c>
      <c r="Q7324" t="n">
        <v>0</v>
      </c>
      <c r="R7324" t="n">
        <v>0</v>
      </c>
      <c r="S7324" t="n">
        <v>0</v>
      </c>
      <c r="T7324" t="n">
        <v>0</v>
      </c>
      <c r="U7324" t="n">
        <v>0</v>
      </c>
      <c r="V7324" s="2" t="inlineStr"/>
    </row>
    <row r="7325" ht="15" customHeight="1">
      <c r="A7325" t="inlineStr">
        <is>
          <t>A 36761-2026</t>
        </is>
      </c>
      <c r="B7325" t="inlineStr">
        <is>
          <t>avverkningsanmälan</t>
        </is>
      </c>
      <c r="C7325" t="inlineStr">
        <is>
          <t>Föryngringsavverkning</t>
        </is>
      </c>
      <c r="D7325" s="1" t="n">
        <v>46272</v>
      </c>
      <c r="E7325" s="1" t="n">
        <v>46319</v>
      </c>
      <c r="F7325" t="inlineStr">
        <is>
          <t>DALARNAS LÄN</t>
        </is>
      </c>
      <c r="G7325" t="inlineStr">
        <is>
          <t>MALUNG-SÄLEN</t>
        </is>
      </c>
      <c r="H7325" t="inlineStr">
        <is>
          <t>Bergvik skog öst AB</t>
        </is>
      </c>
      <c r="I7325" t="n">
        <v>1</v>
      </c>
      <c r="J7325" t="n">
        <v>0</v>
      </c>
      <c r="K7325" t="n">
        <v>0</v>
      </c>
      <c r="L7325" t="n">
        <v>0</v>
      </c>
      <c r="M7325" t="n">
        <v>0</v>
      </c>
      <c r="N7325" t="n">
        <v>0</v>
      </c>
      <c r="O7325" t="n">
        <v>0</v>
      </c>
      <c r="P7325" t="n">
        <v>0</v>
      </c>
      <c r="Q7325" t="n">
        <v>0</v>
      </c>
      <c r="R7325" t="n">
        <v>0</v>
      </c>
      <c r="S7325" t="n">
        <v>0</v>
      </c>
      <c r="T7325" t="n">
        <v>0</v>
      </c>
      <c r="U7325" t="n">
        <v>0</v>
      </c>
      <c r="V7325" s="2" t="inlineStr"/>
    </row>
    <row r="7326" ht="15" customHeight="1">
      <c r="A7326" t="inlineStr">
        <is>
          <t>A 1858-2026</t>
        </is>
      </c>
      <c r="B7326" t="inlineStr">
        <is>
          <t>avverkningsanmälan</t>
        </is>
      </c>
      <c r="C7326" t="inlineStr">
        <is>
          <t>Föryngringsavverkning</t>
        </is>
      </c>
      <c r="D7326" s="1" t="n">
        <v>46035</v>
      </c>
      <c r="E7326" s="1" t="n">
        <v>46319</v>
      </c>
      <c r="F7326" t="inlineStr">
        <is>
          <t>DALARNAS LÄN</t>
        </is>
      </c>
      <c r="G7326" t="inlineStr">
        <is>
          <t>RÄTTVIK</t>
        </is>
      </c>
      <c r="I7326" t="n">
        <v>4.7</v>
      </c>
      <c r="J7326" t="n">
        <v>0</v>
      </c>
      <c r="K7326" t="n">
        <v>0</v>
      </c>
      <c r="L7326" t="n">
        <v>0</v>
      </c>
      <c r="M7326" t="n">
        <v>0</v>
      </c>
      <c r="N7326" t="n">
        <v>0</v>
      </c>
      <c r="O7326" t="n">
        <v>0</v>
      </c>
      <c r="P7326" t="n">
        <v>0</v>
      </c>
      <c r="Q7326" t="n">
        <v>0</v>
      </c>
      <c r="R7326" t="n">
        <v>0</v>
      </c>
      <c r="S7326" t="n">
        <v>0</v>
      </c>
      <c r="T7326" t="n">
        <v>0</v>
      </c>
      <c r="U7326" t="n">
        <v>0</v>
      </c>
      <c r="V7326" s="2" t="inlineStr"/>
    </row>
    <row r="7327" ht="15" customHeight="1">
      <c r="A7327" t="inlineStr">
        <is>
          <t>A 5010-2023</t>
        </is>
      </c>
      <c r="B7327" t="inlineStr">
        <is>
          <t>avverkningsanmälan</t>
        </is>
      </c>
      <c r="C7327" t="inlineStr">
        <is>
          <t>Föryngringsavverkning</t>
        </is>
      </c>
      <c r="D7327" s="1" t="n">
        <v>44956</v>
      </c>
      <c r="E7327" s="1" t="n">
        <v>46319</v>
      </c>
      <c r="F7327" t="inlineStr">
        <is>
          <t>DALARNAS LÄN</t>
        </is>
      </c>
      <c r="G7327" t="inlineStr">
        <is>
          <t>HEDEMORA</t>
        </is>
      </c>
      <c r="H7327" t="inlineStr">
        <is>
          <t>Bergvik skog väst AB</t>
        </is>
      </c>
      <c r="I7327" t="n">
        <v>5</v>
      </c>
      <c r="J7327" t="n">
        <v>0</v>
      </c>
      <c r="K7327" t="n">
        <v>0</v>
      </c>
      <c r="L7327" t="n">
        <v>0</v>
      </c>
      <c r="M7327" t="n">
        <v>0</v>
      </c>
      <c r="N7327" t="n">
        <v>0</v>
      </c>
      <c r="O7327" t="n">
        <v>0</v>
      </c>
      <c r="P7327" t="n">
        <v>0</v>
      </c>
      <c r="Q7327" t="n">
        <v>0</v>
      </c>
      <c r="R7327" t="n">
        <v>0</v>
      </c>
      <c r="S7327" t="n">
        <v>0</v>
      </c>
      <c r="T7327" t="n">
        <v>0</v>
      </c>
      <c r="U7327" t="n">
        <v>0</v>
      </c>
      <c r="V7327" s="2" t="inlineStr"/>
    </row>
    <row r="7328" ht="15" customHeight="1">
      <c r="A7328" t="inlineStr">
        <is>
          <t>A 46943-2023</t>
        </is>
      </c>
      <c r="B7328" t="inlineStr">
        <is>
          <t>avverkningsanmälan</t>
        </is>
      </c>
      <c r="C7328" t="inlineStr">
        <is>
          <t>Föryngringsavverkning</t>
        </is>
      </c>
      <c r="D7328" s="1" t="n">
        <v>45201</v>
      </c>
      <c r="E7328" s="1" t="n">
        <v>46319</v>
      </c>
      <c r="F7328" t="inlineStr">
        <is>
          <t>DALARNAS LÄN</t>
        </is>
      </c>
      <c r="G7328" t="inlineStr">
        <is>
          <t>RÄTTVIK</t>
        </is>
      </c>
      <c r="I7328" t="n">
        <v>2.6</v>
      </c>
      <c r="J7328" t="n">
        <v>0</v>
      </c>
      <c r="K7328" t="n">
        <v>0</v>
      </c>
      <c r="L7328" t="n">
        <v>0</v>
      </c>
      <c r="M7328" t="n">
        <v>0</v>
      </c>
      <c r="N7328" t="n">
        <v>0</v>
      </c>
      <c r="O7328" t="n">
        <v>0</v>
      </c>
      <c r="P7328" t="n">
        <v>0</v>
      </c>
      <c r="Q7328" t="n">
        <v>0</v>
      </c>
      <c r="R7328" t="n">
        <v>0</v>
      </c>
      <c r="S7328" t="n">
        <v>0</v>
      </c>
      <c r="T7328" t="n">
        <v>0</v>
      </c>
      <c r="U7328" t="n">
        <v>0</v>
      </c>
      <c r="V7328" s="2" t="inlineStr"/>
    </row>
    <row r="7329" ht="15" customHeight="1">
      <c r="A7329" t="inlineStr">
        <is>
          <t>A 43125-2024</t>
        </is>
      </c>
      <c r="B7329" t="inlineStr">
        <is>
          <t>avverkningsanmälan</t>
        </is>
      </c>
      <c r="C7329" t="inlineStr">
        <is>
          <t>Föryngringsavverkning</t>
        </is>
      </c>
      <c r="D7329" s="1" t="n">
        <v>45567</v>
      </c>
      <c r="E7329" s="1" t="n">
        <v>46319</v>
      </c>
      <c r="F7329" t="inlineStr">
        <is>
          <t>DALARNAS LÄN</t>
        </is>
      </c>
      <c r="G7329" t="inlineStr">
        <is>
          <t>SÄTER</t>
        </is>
      </c>
      <c r="I7329" t="n">
        <v>2.8</v>
      </c>
      <c r="J7329" t="n">
        <v>0</v>
      </c>
      <c r="K7329" t="n">
        <v>0</v>
      </c>
      <c r="L7329" t="n">
        <v>0</v>
      </c>
      <c r="M7329" t="n">
        <v>0</v>
      </c>
      <c r="N7329" t="n">
        <v>0</v>
      </c>
      <c r="O7329" t="n">
        <v>0</v>
      </c>
      <c r="P7329" t="n">
        <v>0</v>
      </c>
      <c r="Q7329" t="n">
        <v>0</v>
      </c>
      <c r="R7329" t="n">
        <v>0</v>
      </c>
      <c r="S7329" t="n">
        <v>0</v>
      </c>
      <c r="T7329" t="n">
        <v>0</v>
      </c>
      <c r="U7329" t="n">
        <v>0</v>
      </c>
      <c r="V7329" s="2" t="inlineStr"/>
    </row>
    <row r="7330" ht="15" customHeight="1">
      <c r="A7330" t="inlineStr">
        <is>
          <t>A 35353-2024</t>
        </is>
      </c>
      <c r="B7330" t="inlineStr">
        <is>
          <t>avverkningsanmälan</t>
        </is>
      </c>
      <c r="C7330" t="inlineStr">
        <is>
          <t>Föryngringsavverkning</t>
        </is>
      </c>
      <c r="D7330" s="1" t="n">
        <v>45531</v>
      </c>
      <c r="E7330" s="1" t="n">
        <v>46319</v>
      </c>
      <c r="F7330" t="inlineStr">
        <is>
          <t>DALARNAS LÄN</t>
        </is>
      </c>
      <c r="G7330" t="inlineStr">
        <is>
          <t>LUDVIKA</t>
        </is>
      </c>
      <c r="H7330" t="inlineStr">
        <is>
          <t>Bergvik skog väst AB</t>
        </is>
      </c>
      <c r="I7330" t="n">
        <v>2</v>
      </c>
      <c r="J7330" t="n">
        <v>0</v>
      </c>
      <c r="K7330" t="n">
        <v>0</v>
      </c>
      <c r="L7330" t="n">
        <v>0</v>
      </c>
      <c r="M7330" t="n">
        <v>0</v>
      </c>
      <c r="N7330" t="n">
        <v>0</v>
      </c>
      <c r="O7330" t="n">
        <v>0</v>
      </c>
      <c r="P7330" t="n">
        <v>0</v>
      </c>
      <c r="Q7330" t="n">
        <v>0</v>
      </c>
      <c r="R7330" t="n">
        <v>0</v>
      </c>
      <c r="S7330" t="n">
        <v>0</v>
      </c>
      <c r="T7330" t="n">
        <v>0</v>
      </c>
      <c r="U7330" t="n">
        <v>0</v>
      </c>
      <c r="V7330" s="2" t="inlineStr"/>
    </row>
    <row r="7331" ht="15" customHeight="1">
      <c r="A7331" t="inlineStr">
        <is>
          <t>A 30804-2025</t>
        </is>
      </c>
      <c r="B7331" t="inlineStr">
        <is>
          <t>avverkningsanmälan</t>
        </is>
      </c>
      <c r="C7331" t="inlineStr">
        <is>
          <t>Föryngringsavverkning</t>
        </is>
      </c>
      <c r="D7331" s="1" t="n">
        <v>45831</v>
      </c>
      <c r="E7331" s="1" t="n">
        <v>46319</v>
      </c>
      <c r="F7331" t="inlineStr">
        <is>
          <t>DALARNAS LÄN</t>
        </is>
      </c>
      <c r="G7331" t="inlineStr">
        <is>
          <t>FALUN</t>
        </is>
      </c>
      <c r="I7331" t="n">
        <v>0.7</v>
      </c>
      <c r="J7331" t="n">
        <v>0</v>
      </c>
      <c r="K7331" t="n">
        <v>0</v>
      </c>
      <c r="L7331" t="n">
        <v>0</v>
      </c>
      <c r="M7331" t="n">
        <v>0</v>
      </c>
      <c r="N7331" t="n">
        <v>0</v>
      </c>
      <c r="O7331" t="n">
        <v>0</v>
      </c>
      <c r="P7331" t="n">
        <v>0</v>
      </c>
      <c r="Q7331" t="n">
        <v>0</v>
      </c>
      <c r="R7331" t="n">
        <v>0</v>
      </c>
      <c r="S7331" t="n">
        <v>0</v>
      </c>
      <c r="T7331" t="n">
        <v>0</v>
      </c>
      <c r="U7331" t="n">
        <v>0</v>
      </c>
      <c r="V7331" s="2" t="inlineStr"/>
    </row>
    <row r="7332" ht="15" customHeight="1">
      <c r="A7332" t="inlineStr">
        <is>
          <t>A 3444-2026</t>
        </is>
      </c>
      <c r="B7332" t="inlineStr">
        <is>
          <t>avverkningsanmälan</t>
        </is>
      </c>
      <c r="C7332" t="inlineStr">
        <is>
          <t>Föryngringsavverkning</t>
        </is>
      </c>
      <c r="D7332" s="1" t="n">
        <v>46042</v>
      </c>
      <c r="E7332" s="1" t="n">
        <v>46319</v>
      </c>
      <c r="F7332" t="inlineStr">
        <is>
          <t>DALARNAS LÄN</t>
        </is>
      </c>
      <c r="G7332" t="inlineStr">
        <is>
          <t>FALUN</t>
        </is>
      </c>
      <c r="I7332" t="n">
        <v>6.6</v>
      </c>
      <c r="J7332" t="n">
        <v>0</v>
      </c>
      <c r="K7332" t="n">
        <v>0</v>
      </c>
      <c r="L7332" t="n">
        <v>0</v>
      </c>
      <c r="M7332" t="n">
        <v>0</v>
      </c>
      <c r="N7332" t="n">
        <v>0</v>
      </c>
      <c r="O7332" t="n">
        <v>0</v>
      </c>
      <c r="P7332" t="n">
        <v>0</v>
      </c>
      <c r="Q7332" t="n">
        <v>0</v>
      </c>
      <c r="R7332" t="n">
        <v>0</v>
      </c>
      <c r="S7332" t="n">
        <v>0</v>
      </c>
      <c r="T7332" t="n">
        <v>0</v>
      </c>
      <c r="U7332" t="n">
        <v>0</v>
      </c>
      <c r="V7332" s="2" t="inlineStr"/>
    </row>
    <row r="7333" ht="15" customHeight="1">
      <c r="A7333" t="inlineStr">
        <is>
          <t>A 27018-2025</t>
        </is>
      </c>
      <c r="B7333" t="inlineStr">
        <is>
          <t>avverkningsanmälan</t>
        </is>
      </c>
      <c r="C7333" t="inlineStr">
        <is>
          <t>Föryngringsavverkning</t>
        </is>
      </c>
      <c r="D7333" s="1" t="n">
        <v>45811</v>
      </c>
      <c r="E7333" s="1" t="n">
        <v>46319</v>
      </c>
      <c r="F7333" t="inlineStr">
        <is>
          <t>DALARNAS LÄN</t>
        </is>
      </c>
      <c r="G7333" t="inlineStr">
        <is>
          <t>SÄTER</t>
        </is>
      </c>
      <c r="I7333" t="n">
        <v>1.2</v>
      </c>
      <c r="J7333" t="n">
        <v>0</v>
      </c>
      <c r="K7333" t="n">
        <v>0</v>
      </c>
      <c r="L7333" t="n">
        <v>0</v>
      </c>
      <c r="M7333" t="n">
        <v>0</v>
      </c>
      <c r="N7333" t="n">
        <v>0</v>
      </c>
      <c r="O7333" t="n">
        <v>0</v>
      </c>
      <c r="P7333" t="n">
        <v>0</v>
      </c>
      <c r="Q7333" t="n">
        <v>0</v>
      </c>
      <c r="R7333" t="n">
        <v>0</v>
      </c>
      <c r="S7333" t="n">
        <v>0</v>
      </c>
      <c r="T7333" t="n">
        <v>0</v>
      </c>
      <c r="U7333" t="n">
        <v>0</v>
      </c>
      <c r="V7333" s="2" t="inlineStr"/>
    </row>
    <row r="7334" ht="15" customHeight="1">
      <c r="A7334" t="inlineStr">
        <is>
          <t>A 1466-2026</t>
        </is>
      </c>
      <c r="B7334" t="inlineStr">
        <is>
          <t>avverkningsanmälan</t>
        </is>
      </c>
      <c r="C7334" t="inlineStr">
        <is>
          <t>Föryngringsavverkning</t>
        </is>
      </c>
      <c r="D7334" s="1" t="n">
        <v>46033</v>
      </c>
      <c r="E7334" s="1" t="n">
        <v>46319</v>
      </c>
      <c r="F7334" t="inlineStr">
        <is>
          <t>DALARNAS LÄN</t>
        </is>
      </c>
      <c r="G7334" t="inlineStr">
        <is>
          <t>RÄTTVIK</t>
        </is>
      </c>
      <c r="I7334" t="n">
        <v>2.1</v>
      </c>
      <c r="J7334" t="n">
        <v>0</v>
      </c>
      <c r="K7334" t="n">
        <v>0</v>
      </c>
      <c r="L7334" t="n">
        <v>0</v>
      </c>
      <c r="M7334" t="n">
        <v>0</v>
      </c>
      <c r="N7334" t="n">
        <v>0</v>
      </c>
      <c r="O7334" t="n">
        <v>0</v>
      </c>
      <c r="P7334" t="n">
        <v>0</v>
      </c>
      <c r="Q7334" t="n">
        <v>0</v>
      </c>
      <c r="R7334" t="n">
        <v>0</v>
      </c>
      <c r="S7334" t="n">
        <v>0</v>
      </c>
      <c r="T7334" t="n">
        <v>0</v>
      </c>
      <c r="U7334" t="n">
        <v>0</v>
      </c>
      <c r="V7334" s="2" t="inlineStr"/>
    </row>
    <row r="7335" ht="15" customHeight="1">
      <c r="A7335" t="inlineStr">
        <is>
          <t>A 43220-2024</t>
        </is>
      </c>
      <c r="B7335" t="inlineStr">
        <is>
          <t>avverkningsanmälan</t>
        </is>
      </c>
      <c r="C7335" t="inlineStr">
        <is>
          <t>Föryngringsavverkning</t>
        </is>
      </c>
      <c r="D7335" s="1" t="n">
        <v>45567</v>
      </c>
      <c r="E7335" s="1" t="n">
        <v>46319</v>
      </c>
      <c r="F7335" t="inlineStr">
        <is>
          <t>DALARNAS LÄN</t>
        </is>
      </c>
      <c r="G7335" t="inlineStr">
        <is>
          <t>LEKSAND</t>
        </is>
      </c>
      <c r="I7335" t="n">
        <v>0.9</v>
      </c>
      <c r="J7335" t="n">
        <v>0</v>
      </c>
      <c r="K7335" t="n">
        <v>0</v>
      </c>
      <c r="L7335" t="n">
        <v>0</v>
      </c>
      <c r="M7335" t="n">
        <v>0</v>
      </c>
      <c r="N7335" t="n">
        <v>0</v>
      </c>
      <c r="O7335" t="n">
        <v>0</v>
      </c>
      <c r="P7335" t="n">
        <v>0</v>
      </c>
      <c r="Q7335" t="n">
        <v>0</v>
      </c>
      <c r="R7335" t="n">
        <v>0</v>
      </c>
      <c r="S7335" t="n">
        <v>0</v>
      </c>
      <c r="T7335" t="n">
        <v>0</v>
      </c>
      <c r="U7335" t="n">
        <v>0</v>
      </c>
      <c r="V7335" s="2" t="inlineStr"/>
    </row>
    <row r="7336" ht="15" customHeight="1">
      <c r="A7336" t="inlineStr">
        <is>
          <t>A 1303-2026</t>
        </is>
      </c>
      <c r="B7336" t="inlineStr">
        <is>
          <t>avverkningsanmälan</t>
        </is>
      </c>
      <c r="C7336" t="inlineStr">
        <is>
          <t>Föryngringsavverkning</t>
        </is>
      </c>
      <c r="D7336" s="1" t="n">
        <v>46031</v>
      </c>
      <c r="E7336" s="1" t="n">
        <v>46319</v>
      </c>
      <c r="F7336" t="inlineStr">
        <is>
          <t>DALARNAS LÄN</t>
        </is>
      </c>
      <c r="G7336" t="inlineStr">
        <is>
          <t>FALUN</t>
        </is>
      </c>
      <c r="I7336" t="n">
        <v>3.5</v>
      </c>
      <c r="J7336" t="n">
        <v>0</v>
      </c>
      <c r="K7336" t="n">
        <v>0</v>
      </c>
      <c r="L7336" t="n">
        <v>0</v>
      </c>
      <c r="M7336" t="n">
        <v>0</v>
      </c>
      <c r="N7336" t="n">
        <v>0</v>
      </c>
      <c r="O7336" t="n">
        <v>0</v>
      </c>
      <c r="P7336" t="n">
        <v>0</v>
      </c>
      <c r="Q7336" t="n">
        <v>0</v>
      </c>
      <c r="R7336" t="n">
        <v>0</v>
      </c>
      <c r="S7336" t="n">
        <v>0</v>
      </c>
      <c r="T7336" t="n">
        <v>0</v>
      </c>
      <c r="U7336" t="n">
        <v>0</v>
      </c>
      <c r="V7336" s="2" t="inlineStr"/>
    </row>
    <row r="7337" ht="15" customHeight="1">
      <c r="A7337" t="inlineStr">
        <is>
          <t>A 44719-2024</t>
        </is>
      </c>
      <c r="B7337" t="inlineStr">
        <is>
          <t>avverkningsanmälan</t>
        </is>
      </c>
      <c r="C7337" t="inlineStr">
        <is>
          <t>Föryngringsavverkning</t>
        </is>
      </c>
      <c r="D7337" s="1" t="n">
        <v>45574</v>
      </c>
      <c r="E7337" s="1" t="n">
        <v>46319</v>
      </c>
      <c r="F7337" t="inlineStr">
        <is>
          <t>DALARNAS LÄN</t>
        </is>
      </c>
      <c r="G7337" t="inlineStr">
        <is>
          <t>SÄTER</t>
        </is>
      </c>
      <c r="H7337" t="inlineStr">
        <is>
          <t>Bergvik skog väst AB</t>
        </is>
      </c>
      <c r="I7337" t="n">
        <v>10.8</v>
      </c>
      <c r="J7337" t="n">
        <v>0</v>
      </c>
      <c r="K7337" t="n">
        <v>0</v>
      </c>
      <c r="L7337" t="n">
        <v>0</v>
      </c>
      <c r="M7337" t="n">
        <v>0</v>
      </c>
      <c r="N7337" t="n">
        <v>0</v>
      </c>
      <c r="O7337" t="n">
        <v>0</v>
      </c>
      <c r="P7337" t="n">
        <v>0</v>
      </c>
      <c r="Q7337" t="n">
        <v>0</v>
      </c>
      <c r="R7337" t="n">
        <v>0</v>
      </c>
      <c r="S7337" t="n">
        <v>0</v>
      </c>
      <c r="T7337" t="n">
        <v>0</v>
      </c>
      <c r="U7337" t="n">
        <v>0</v>
      </c>
      <c r="V7337" s="2" t="inlineStr"/>
    </row>
    <row r="7338" ht="15" customHeight="1">
      <c r="A7338" t="inlineStr">
        <is>
          <t>A 29697-2025</t>
        </is>
      </c>
      <c r="B7338" t="inlineStr">
        <is>
          <t>avverkningsanmälan</t>
        </is>
      </c>
      <c r="C7338" t="inlineStr">
        <is>
          <t>Föryngringsavverkning</t>
        </is>
      </c>
      <c r="D7338" s="1" t="n">
        <v>45825</v>
      </c>
      <c r="E7338" s="1" t="n">
        <v>46319</v>
      </c>
      <c r="F7338" t="inlineStr">
        <is>
          <t>DALARNAS LÄN</t>
        </is>
      </c>
      <c r="G7338" t="inlineStr">
        <is>
          <t>RÄTTVIK</t>
        </is>
      </c>
      <c r="I7338" t="n">
        <v>7.4</v>
      </c>
      <c r="J7338" t="n">
        <v>0</v>
      </c>
      <c r="K7338" t="n">
        <v>0</v>
      </c>
      <c r="L7338" t="n">
        <v>0</v>
      </c>
      <c r="M7338" t="n">
        <v>0</v>
      </c>
      <c r="N7338" t="n">
        <v>0</v>
      </c>
      <c r="O7338" t="n">
        <v>0</v>
      </c>
      <c r="P7338" t="n">
        <v>0</v>
      </c>
      <c r="Q7338" t="n">
        <v>0</v>
      </c>
      <c r="R7338" t="n">
        <v>0</v>
      </c>
      <c r="S7338" t="n">
        <v>0</v>
      </c>
      <c r="T7338" t="n">
        <v>0</v>
      </c>
      <c r="U7338" t="n">
        <v>0</v>
      </c>
      <c r="V7338" s="2" t="inlineStr"/>
    </row>
    <row r="7339" ht="15" customHeight="1">
      <c r="A7339" t="inlineStr">
        <is>
          <t>A 37023-2026</t>
        </is>
      </c>
      <c r="B7339" t="inlineStr">
        <is>
          <t>avverkningsanmälan</t>
        </is>
      </c>
      <c r="C7339" t="inlineStr">
        <is>
          <t>Föryngringsavverkning</t>
        </is>
      </c>
      <c r="D7339" s="1" t="n">
        <v>46273</v>
      </c>
      <c r="E7339" s="1" t="n">
        <v>46319</v>
      </c>
      <c r="F7339" t="inlineStr">
        <is>
          <t>DALARNAS LÄN</t>
        </is>
      </c>
      <c r="G7339" t="inlineStr">
        <is>
          <t>HEDEMORA</t>
        </is>
      </c>
      <c r="H7339" t="inlineStr">
        <is>
          <t>Bergvik skog väst AB</t>
        </is>
      </c>
      <c r="I7339" t="n">
        <v>4.8</v>
      </c>
      <c r="J7339" t="n">
        <v>0</v>
      </c>
      <c r="K7339" t="n">
        <v>0</v>
      </c>
      <c r="L7339" t="n">
        <v>0</v>
      </c>
      <c r="M7339" t="n">
        <v>0</v>
      </c>
      <c r="N7339" t="n">
        <v>0</v>
      </c>
      <c r="O7339" t="n">
        <v>0</v>
      </c>
      <c r="P7339" t="n">
        <v>0</v>
      </c>
      <c r="Q7339" t="n">
        <v>0</v>
      </c>
      <c r="R7339" t="n">
        <v>0</v>
      </c>
      <c r="S7339" t="n">
        <v>0</v>
      </c>
      <c r="T7339" t="n">
        <v>0</v>
      </c>
      <c r="U7339" t="n">
        <v>0</v>
      </c>
      <c r="V7339" s="2" t="inlineStr"/>
    </row>
    <row r="7340" ht="15" customHeight="1">
      <c r="A7340" t="inlineStr">
        <is>
          <t>A 60308-2024</t>
        </is>
      </c>
      <c r="B7340" t="inlineStr">
        <is>
          <t>avverkningsanmälan</t>
        </is>
      </c>
      <c r="C7340" t="inlineStr">
        <is>
          <t>Föryngringsavverkning</t>
        </is>
      </c>
      <c r="D7340" s="1" t="n">
        <v>45643</v>
      </c>
      <c r="E7340" s="1" t="n">
        <v>46319</v>
      </c>
      <c r="F7340" t="inlineStr">
        <is>
          <t>DALARNAS LÄN</t>
        </is>
      </c>
      <c r="G7340" t="inlineStr">
        <is>
          <t>GAGNEF</t>
        </is>
      </c>
      <c r="I7340" t="n">
        <v>2.7</v>
      </c>
      <c r="J7340" t="n">
        <v>0</v>
      </c>
      <c r="K7340" t="n">
        <v>0</v>
      </c>
      <c r="L7340" t="n">
        <v>0</v>
      </c>
      <c r="M7340" t="n">
        <v>0</v>
      </c>
      <c r="N7340" t="n">
        <v>0</v>
      </c>
      <c r="O7340" t="n">
        <v>0</v>
      </c>
      <c r="P7340" t="n">
        <v>0</v>
      </c>
      <c r="Q7340" t="n">
        <v>0</v>
      </c>
      <c r="R7340" t="n">
        <v>0</v>
      </c>
      <c r="S7340" t="n">
        <v>0</v>
      </c>
      <c r="T7340" t="n">
        <v>0</v>
      </c>
      <c r="U7340" t="n">
        <v>0</v>
      </c>
      <c r="V7340" s="2" t="inlineStr"/>
    </row>
    <row r="7341" ht="15" customHeight="1">
      <c r="A7341" t="inlineStr">
        <is>
          <t>A 12100-2026</t>
        </is>
      </c>
      <c r="B7341" t="inlineStr">
        <is>
          <t>avverkningsanmälan</t>
        </is>
      </c>
      <c r="C7341" t="inlineStr">
        <is>
          <t>Föryngringsavverkning</t>
        </is>
      </c>
      <c r="D7341" s="1" t="n">
        <v>46086</v>
      </c>
      <c r="E7341" s="1" t="n">
        <v>46319</v>
      </c>
      <c r="F7341" t="inlineStr">
        <is>
          <t>DALARNAS LÄN</t>
        </is>
      </c>
      <c r="G7341" t="inlineStr">
        <is>
          <t>FALUN</t>
        </is>
      </c>
      <c r="H7341" t="inlineStr">
        <is>
          <t>Bergvik skog väst AB</t>
        </is>
      </c>
      <c r="I7341" t="n">
        <v>2.5</v>
      </c>
      <c r="J7341" t="n">
        <v>0</v>
      </c>
      <c r="K7341" t="n">
        <v>0</v>
      </c>
      <c r="L7341" t="n">
        <v>0</v>
      </c>
      <c r="M7341" t="n">
        <v>0</v>
      </c>
      <c r="N7341" t="n">
        <v>0</v>
      </c>
      <c r="O7341" t="n">
        <v>0</v>
      </c>
      <c r="P7341" t="n">
        <v>0</v>
      </c>
      <c r="Q7341" t="n">
        <v>0</v>
      </c>
      <c r="R7341" t="n">
        <v>0</v>
      </c>
      <c r="S7341" t="n">
        <v>0</v>
      </c>
      <c r="T7341" t="n">
        <v>0</v>
      </c>
      <c r="U7341" t="n">
        <v>0</v>
      </c>
      <c r="V7341" s="2" t="inlineStr"/>
    </row>
    <row r="7342" ht="15" customHeight="1">
      <c r="A7342" t="inlineStr">
        <is>
          <t>A 24003-2024</t>
        </is>
      </c>
      <c r="B7342" t="inlineStr">
        <is>
          <t>avverkningsanmälan</t>
        </is>
      </c>
      <c r="C7342" t="inlineStr">
        <is>
          <t>Föryngringsavverkning</t>
        </is>
      </c>
      <c r="D7342" s="1" t="n">
        <v>45456</v>
      </c>
      <c r="E7342" s="1" t="n">
        <v>46319</v>
      </c>
      <c r="F7342" t="inlineStr">
        <is>
          <t>DALARNAS LÄN</t>
        </is>
      </c>
      <c r="G7342" t="inlineStr">
        <is>
          <t>LEKSAND</t>
        </is>
      </c>
      <c r="H7342" t="inlineStr">
        <is>
          <t>Bergvik skog väst AB</t>
        </is>
      </c>
      <c r="I7342" t="n">
        <v>3.2</v>
      </c>
      <c r="J7342" t="n">
        <v>0</v>
      </c>
      <c r="K7342" t="n">
        <v>0</v>
      </c>
      <c r="L7342" t="n">
        <v>0</v>
      </c>
      <c r="M7342" t="n">
        <v>0</v>
      </c>
      <c r="N7342" t="n">
        <v>0</v>
      </c>
      <c r="O7342" t="n">
        <v>0</v>
      </c>
      <c r="P7342" t="n">
        <v>0</v>
      </c>
      <c r="Q7342" t="n">
        <v>0</v>
      </c>
      <c r="R7342" t="n">
        <v>0</v>
      </c>
      <c r="S7342" t="n">
        <v>0</v>
      </c>
      <c r="T7342" t="n">
        <v>0</v>
      </c>
      <c r="U7342" t="n">
        <v>0</v>
      </c>
      <c r="V7342" s="2" t="inlineStr"/>
    </row>
    <row r="7343" ht="15" customHeight="1">
      <c r="A7343" t="inlineStr">
        <is>
          <t>A 20385-2026</t>
        </is>
      </c>
      <c r="B7343" t="inlineStr">
        <is>
          <t>avverkningsanmälan</t>
        </is>
      </c>
      <c r="C7343" t="inlineStr">
        <is>
          <t>Föryngringsavverkning</t>
        </is>
      </c>
      <c r="D7343" s="1" t="n">
        <v>46139</v>
      </c>
      <c r="E7343" s="1" t="n">
        <v>46319</v>
      </c>
      <c r="F7343" t="inlineStr">
        <is>
          <t>DALARNAS LÄN</t>
        </is>
      </c>
      <c r="G7343" t="inlineStr">
        <is>
          <t>HEDEMORA</t>
        </is>
      </c>
      <c r="H7343" t="inlineStr">
        <is>
          <t>Sveaskog</t>
        </is>
      </c>
      <c r="I7343" t="n">
        <v>15.4</v>
      </c>
      <c r="J7343" t="n">
        <v>0</v>
      </c>
      <c r="K7343" t="n">
        <v>0</v>
      </c>
      <c r="L7343" t="n">
        <v>0</v>
      </c>
      <c r="M7343" t="n">
        <v>0</v>
      </c>
      <c r="N7343" t="n">
        <v>0</v>
      </c>
      <c r="O7343" t="n">
        <v>0</v>
      </c>
      <c r="P7343" t="n">
        <v>0</v>
      </c>
      <c r="Q7343" t="n">
        <v>0</v>
      </c>
      <c r="R7343" t="n">
        <v>0</v>
      </c>
      <c r="S7343" t="n">
        <v>0</v>
      </c>
      <c r="T7343" t="n">
        <v>0</v>
      </c>
      <c r="U7343" t="n">
        <v>0</v>
      </c>
      <c r="V7343" s="2" t="inlineStr"/>
    </row>
    <row r="7344" ht="15" customHeight="1">
      <c r="A7344" t="inlineStr">
        <is>
          <t>A 34744-2025</t>
        </is>
      </c>
      <c r="B7344" t="inlineStr">
        <is>
          <t>avverkningsanmälan</t>
        </is>
      </c>
      <c r="C7344" t="inlineStr">
        <is>
          <t>Föryngringsavverkning</t>
        </is>
      </c>
      <c r="D7344" s="1" t="n">
        <v>45848</v>
      </c>
      <c r="E7344" s="1" t="n">
        <v>46319</v>
      </c>
      <c r="F7344" t="inlineStr">
        <is>
          <t>DALARNAS LÄN</t>
        </is>
      </c>
      <c r="G7344" t="inlineStr">
        <is>
          <t>ORSA</t>
        </is>
      </c>
      <c r="I7344" t="n">
        <v>1.7</v>
      </c>
      <c r="J7344" t="n">
        <v>0</v>
      </c>
      <c r="K7344" t="n">
        <v>0</v>
      </c>
      <c r="L7344" t="n">
        <v>0</v>
      </c>
      <c r="M7344" t="n">
        <v>0</v>
      </c>
      <c r="N7344" t="n">
        <v>0</v>
      </c>
      <c r="O7344" t="n">
        <v>0</v>
      </c>
      <c r="P7344" t="n">
        <v>0</v>
      </c>
      <c r="Q7344" t="n">
        <v>0</v>
      </c>
      <c r="R7344" t="n">
        <v>0</v>
      </c>
      <c r="S7344" t="n">
        <v>0</v>
      </c>
      <c r="T7344" t="n">
        <v>0</v>
      </c>
      <c r="U7344" t="n">
        <v>0</v>
      </c>
      <c r="V7344" s="2" t="inlineStr"/>
    </row>
    <row r="7345" ht="15" customHeight="1">
      <c r="A7345" t="inlineStr">
        <is>
          <t>A 40585-2025</t>
        </is>
      </c>
      <c r="B7345" t="inlineStr">
        <is>
          <t>avverkningsanmälan</t>
        </is>
      </c>
      <c r="C7345" t="inlineStr">
        <is>
          <t>Avverkning för annat ändamål</t>
        </is>
      </c>
      <c r="D7345" s="1" t="n">
        <v>45896</v>
      </c>
      <c r="E7345" s="1" t="n">
        <v>46319</v>
      </c>
      <c r="F7345" t="inlineStr">
        <is>
          <t>DALARNAS LÄN</t>
        </is>
      </c>
      <c r="G7345" t="inlineStr">
        <is>
          <t>FALUN</t>
        </is>
      </c>
      <c r="I7345" t="n">
        <v>0.7</v>
      </c>
      <c r="J7345" t="n">
        <v>0</v>
      </c>
      <c r="K7345" t="n">
        <v>0</v>
      </c>
      <c r="L7345" t="n">
        <v>0</v>
      </c>
      <c r="M7345" t="n">
        <v>0</v>
      </c>
      <c r="N7345" t="n">
        <v>0</v>
      </c>
      <c r="O7345" t="n">
        <v>0</v>
      </c>
      <c r="P7345" t="n">
        <v>0</v>
      </c>
      <c r="Q7345" t="n">
        <v>0</v>
      </c>
      <c r="R7345" t="n">
        <v>0</v>
      </c>
      <c r="S7345" t="n">
        <v>0</v>
      </c>
      <c r="T7345" t="n">
        <v>0</v>
      </c>
      <c r="U7345" t="n">
        <v>0</v>
      </c>
      <c r="V7345" s="2" t="inlineStr"/>
    </row>
    <row r="7346" ht="15" customHeight="1">
      <c r="A7346" t="inlineStr">
        <is>
          <t>A 2068-2026</t>
        </is>
      </c>
      <c r="B7346" t="inlineStr">
        <is>
          <t>avverkningsanmälan</t>
        </is>
      </c>
      <c r="C7346" t="inlineStr">
        <is>
          <t>Föryngringsavverkning</t>
        </is>
      </c>
      <c r="D7346" s="1" t="n">
        <v>46036</v>
      </c>
      <c r="E7346" s="1" t="n">
        <v>46319</v>
      </c>
      <c r="F7346" t="inlineStr">
        <is>
          <t>DALARNAS LÄN</t>
        </is>
      </c>
      <c r="G7346" t="inlineStr">
        <is>
          <t>LEKSAND</t>
        </is>
      </c>
      <c r="H7346" t="inlineStr">
        <is>
          <t>Övriga Aktiebolag</t>
        </is>
      </c>
      <c r="I7346" t="n">
        <v>15.5</v>
      </c>
      <c r="J7346" t="n">
        <v>0</v>
      </c>
      <c r="K7346" t="n">
        <v>0</v>
      </c>
      <c r="L7346" t="n">
        <v>0</v>
      </c>
      <c r="M7346" t="n">
        <v>0</v>
      </c>
      <c r="N7346" t="n">
        <v>0</v>
      </c>
      <c r="O7346" t="n">
        <v>0</v>
      </c>
      <c r="P7346" t="n">
        <v>0</v>
      </c>
      <c r="Q7346" t="n">
        <v>0</v>
      </c>
      <c r="R7346" t="n">
        <v>0</v>
      </c>
      <c r="S7346" t="n">
        <v>0</v>
      </c>
      <c r="T7346" t="n">
        <v>0</v>
      </c>
      <c r="U7346" t="n">
        <v>0</v>
      </c>
      <c r="V7346" s="2" t="inlineStr"/>
    </row>
    <row r="7347" ht="15" customHeight="1">
      <c r="A7347" t="inlineStr">
        <is>
          <t>A 56012-2023</t>
        </is>
      </c>
      <c r="B7347" t="inlineStr">
        <is>
          <t>avverkningsanmälan</t>
        </is>
      </c>
      <c r="C7347" t="inlineStr">
        <is>
          <t>Föryngringsavverkning</t>
        </is>
      </c>
      <c r="D7347" s="1" t="n">
        <v>45240</v>
      </c>
      <c r="E7347" s="1" t="n">
        <v>46319</v>
      </c>
      <c r="F7347" t="inlineStr">
        <is>
          <t>DALARNAS LÄN</t>
        </is>
      </c>
      <c r="G7347" t="inlineStr">
        <is>
          <t>MORA</t>
        </is>
      </c>
      <c r="I7347" t="n">
        <v>0.3</v>
      </c>
      <c r="J7347" t="n">
        <v>0</v>
      </c>
      <c r="K7347" t="n">
        <v>0</v>
      </c>
      <c r="L7347" t="n">
        <v>0</v>
      </c>
      <c r="M7347" t="n">
        <v>0</v>
      </c>
      <c r="N7347" t="n">
        <v>0</v>
      </c>
      <c r="O7347" t="n">
        <v>0</v>
      </c>
      <c r="P7347" t="n">
        <v>0</v>
      </c>
      <c r="Q7347" t="n">
        <v>0</v>
      </c>
      <c r="R7347" t="n">
        <v>0</v>
      </c>
      <c r="S7347" t="n">
        <v>0</v>
      </c>
      <c r="T7347" t="n">
        <v>0</v>
      </c>
      <c r="U7347" t="n">
        <v>0</v>
      </c>
      <c r="V7347" s="2" t="inlineStr"/>
    </row>
    <row r="7348" ht="15" customHeight="1">
      <c r="A7348" t="inlineStr">
        <is>
          <t>A 60718-2023</t>
        </is>
      </c>
      <c r="B7348" t="inlineStr">
        <is>
          <t>avverkningsanmälan</t>
        </is>
      </c>
      <c r="C7348" t="inlineStr">
        <is>
          <t>Föryngringsavverkning</t>
        </is>
      </c>
      <c r="D7348" s="1" t="n">
        <v>45260</v>
      </c>
      <c r="E7348" s="1" t="n">
        <v>46319</v>
      </c>
      <c r="F7348" t="inlineStr">
        <is>
          <t>DALARNAS LÄN</t>
        </is>
      </c>
      <c r="G7348" t="inlineStr">
        <is>
          <t>MORA</t>
        </is>
      </c>
      <c r="I7348" t="n">
        <v>2.6</v>
      </c>
      <c r="J7348" t="n">
        <v>0</v>
      </c>
      <c r="K7348" t="n">
        <v>0</v>
      </c>
      <c r="L7348" t="n">
        <v>0</v>
      </c>
      <c r="M7348" t="n">
        <v>0</v>
      </c>
      <c r="N7348" t="n">
        <v>0</v>
      </c>
      <c r="O7348" t="n">
        <v>0</v>
      </c>
      <c r="P7348" t="n">
        <v>0</v>
      </c>
      <c r="Q7348" t="n">
        <v>0</v>
      </c>
      <c r="R7348" t="n">
        <v>0</v>
      </c>
      <c r="S7348" t="n">
        <v>0</v>
      </c>
      <c r="T7348" t="n">
        <v>0</v>
      </c>
      <c r="U7348" t="n">
        <v>0</v>
      </c>
      <c r="V7348" s="2" t="inlineStr"/>
    </row>
    <row r="7349" ht="15" customHeight="1">
      <c r="A7349" t="inlineStr">
        <is>
          <t>A 28039-2023</t>
        </is>
      </c>
      <c r="B7349" t="inlineStr">
        <is>
          <t>avverkningsanmälan</t>
        </is>
      </c>
      <c r="C7349" t="inlineStr">
        <is>
          <t>Avverkning för annat ändamål</t>
        </is>
      </c>
      <c r="D7349" s="1" t="n">
        <v>45099</v>
      </c>
      <c r="E7349" s="1" t="n">
        <v>46319</v>
      </c>
      <c r="F7349" t="inlineStr">
        <is>
          <t>DALARNAS LÄN</t>
        </is>
      </c>
      <c r="G7349" t="inlineStr">
        <is>
          <t>BORLÄNGE</t>
        </is>
      </c>
      <c r="I7349" t="n">
        <v>0.4</v>
      </c>
      <c r="J7349" t="n">
        <v>0</v>
      </c>
      <c r="K7349" t="n">
        <v>0</v>
      </c>
      <c r="L7349" t="n">
        <v>0</v>
      </c>
      <c r="M7349" t="n">
        <v>0</v>
      </c>
      <c r="N7349" t="n">
        <v>0</v>
      </c>
      <c r="O7349" t="n">
        <v>0</v>
      </c>
      <c r="P7349" t="n">
        <v>0</v>
      </c>
      <c r="Q7349" t="n">
        <v>0</v>
      </c>
      <c r="R7349" t="n">
        <v>0</v>
      </c>
      <c r="S7349" t="n">
        <v>0</v>
      </c>
      <c r="T7349" t="n">
        <v>0</v>
      </c>
      <c r="U7349" t="n">
        <v>0</v>
      </c>
      <c r="V7349" s="2" t="inlineStr"/>
    </row>
    <row r="7350" ht="15" customHeight="1">
      <c r="A7350" t="inlineStr">
        <is>
          <t>A 61919-2024</t>
        </is>
      </c>
      <c r="B7350" t="inlineStr">
        <is>
          <t>avverkningsanmälan</t>
        </is>
      </c>
      <c r="C7350" t="inlineStr">
        <is>
          <t>Föryngringsavverkning</t>
        </is>
      </c>
      <c r="D7350" s="1" t="n">
        <v>45653</v>
      </c>
      <c r="E7350" s="1" t="n">
        <v>46319</v>
      </c>
      <c r="F7350" t="inlineStr">
        <is>
          <t>DALARNAS LÄN</t>
        </is>
      </c>
      <c r="G7350" t="inlineStr">
        <is>
          <t>RÄTTVIK</t>
        </is>
      </c>
      <c r="H7350" t="inlineStr">
        <is>
          <t>Kommuner</t>
        </is>
      </c>
      <c r="I7350" t="n">
        <v>2.1</v>
      </c>
      <c r="J7350" t="n">
        <v>0</v>
      </c>
      <c r="K7350" t="n">
        <v>0</v>
      </c>
      <c r="L7350" t="n">
        <v>0</v>
      </c>
      <c r="M7350" t="n">
        <v>0</v>
      </c>
      <c r="N7350" t="n">
        <v>0</v>
      </c>
      <c r="O7350" t="n">
        <v>0</v>
      </c>
      <c r="P7350" t="n">
        <v>0</v>
      </c>
      <c r="Q7350" t="n">
        <v>0</v>
      </c>
      <c r="R7350" t="n">
        <v>0</v>
      </c>
      <c r="S7350" t="n">
        <v>0</v>
      </c>
      <c r="T7350" t="n">
        <v>0</v>
      </c>
      <c r="U7350" t="n">
        <v>0</v>
      </c>
      <c r="V7350" s="2" t="inlineStr"/>
    </row>
    <row r="7351" ht="15" customHeight="1">
      <c r="A7351" t="inlineStr">
        <is>
          <t>A 57560-2024</t>
        </is>
      </c>
      <c r="B7351" t="inlineStr">
        <is>
          <t>avverkningsanmälan</t>
        </is>
      </c>
      <c r="C7351" t="inlineStr">
        <is>
          <t>Föryngringsavverkning</t>
        </is>
      </c>
      <c r="D7351" s="1" t="n">
        <v>45630</v>
      </c>
      <c r="E7351" s="1" t="n">
        <v>46319</v>
      </c>
      <c r="F7351" t="inlineStr">
        <is>
          <t>DALARNAS LÄN</t>
        </is>
      </c>
      <c r="G7351" t="inlineStr">
        <is>
          <t>ÄLVDALEN</t>
        </is>
      </c>
      <c r="I7351" t="n">
        <v>9.199999999999999</v>
      </c>
      <c r="J7351" t="n">
        <v>0</v>
      </c>
      <c r="K7351" t="n">
        <v>0</v>
      </c>
      <c r="L7351" t="n">
        <v>0</v>
      </c>
      <c r="M7351" t="n">
        <v>0</v>
      </c>
      <c r="N7351" t="n">
        <v>0</v>
      </c>
      <c r="O7351" t="n">
        <v>0</v>
      </c>
      <c r="P7351" t="n">
        <v>0</v>
      </c>
      <c r="Q7351" t="n">
        <v>0</v>
      </c>
      <c r="R7351" t="n">
        <v>0</v>
      </c>
      <c r="S7351" t="n">
        <v>0</v>
      </c>
      <c r="T7351" t="n">
        <v>0</v>
      </c>
      <c r="U7351" t="n">
        <v>0</v>
      </c>
      <c r="V7351" s="2" t="inlineStr"/>
    </row>
    <row r="7352" ht="15" customHeight="1">
      <c r="A7352" t="inlineStr">
        <is>
          <t>A 27936-2026</t>
        </is>
      </c>
      <c r="B7352" t="inlineStr">
        <is>
          <t>avverkningsanmälan</t>
        </is>
      </c>
      <c r="C7352" t="inlineStr">
        <is>
          <t>Föryngringsavverkning</t>
        </is>
      </c>
      <c r="D7352" s="1" t="n">
        <v>46191</v>
      </c>
      <c r="E7352" s="1" t="n">
        <v>46319</v>
      </c>
      <c r="F7352" t="inlineStr">
        <is>
          <t>DALARNAS LÄN</t>
        </is>
      </c>
      <c r="G7352" t="inlineStr">
        <is>
          <t>MORA</t>
        </is>
      </c>
      <c r="H7352" t="inlineStr">
        <is>
          <t>Bergvik skog väst AB</t>
        </is>
      </c>
      <c r="I7352" t="n">
        <v>10</v>
      </c>
      <c r="J7352" t="n">
        <v>0</v>
      </c>
      <c r="K7352" t="n">
        <v>0</v>
      </c>
      <c r="L7352" t="n">
        <v>0</v>
      </c>
      <c r="M7352" t="n">
        <v>0</v>
      </c>
      <c r="N7352" t="n">
        <v>0</v>
      </c>
      <c r="O7352" t="n">
        <v>0</v>
      </c>
      <c r="P7352" t="n">
        <v>0</v>
      </c>
      <c r="Q7352" t="n">
        <v>0</v>
      </c>
      <c r="R7352" t="n">
        <v>0</v>
      </c>
      <c r="S7352" t="n">
        <v>0</v>
      </c>
      <c r="T7352" t="n">
        <v>0</v>
      </c>
      <c r="U7352" t="n">
        <v>0</v>
      </c>
      <c r="V7352" s="2" t="inlineStr"/>
    </row>
    <row r="7353" ht="15" customHeight="1">
      <c r="A7353" t="inlineStr">
        <is>
          <t>A 33127-2026</t>
        </is>
      </c>
      <c r="B7353" t="inlineStr">
        <is>
          <t>avverkningsanmälan</t>
        </is>
      </c>
      <c r="C7353" t="inlineStr">
        <is>
          <t>Föryngringsavverkning</t>
        </is>
      </c>
      <c r="D7353" s="1" t="n">
        <v>46245</v>
      </c>
      <c r="E7353" s="1" t="n">
        <v>46319</v>
      </c>
      <c r="F7353" t="inlineStr">
        <is>
          <t>DALARNAS LÄN</t>
        </is>
      </c>
      <c r="G7353" t="inlineStr">
        <is>
          <t>BORLÄNGE</t>
        </is>
      </c>
      <c r="I7353" t="n">
        <v>0.4</v>
      </c>
      <c r="J7353" t="n">
        <v>0</v>
      </c>
      <c r="K7353" t="n">
        <v>0</v>
      </c>
      <c r="L7353" t="n">
        <v>0</v>
      </c>
      <c r="M7353" t="n">
        <v>0</v>
      </c>
      <c r="N7353" t="n">
        <v>0</v>
      </c>
      <c r="O7353" t="n">
        <v>0</v>
      </c>
      <c r="P7353" t="n">
        <v>0</v>
      </c>
      <c r="Q7353" t="n">
        <v>0</v>
      </c>
      <c r="R7353" t="n">
        <v>0</v>
      </c>
      <c r="S7353" t="n">
        <v>0</v>
      </c>
      <c r="T7353" t="n">
        <v>0</v>
      </c>
      <c r="U7353" t="n">
        <v>0</v>
      </c>
      <c r="V7353" s="2" t="inlineStr"/>
      <c r="Z7353">
        <f>HYPERLINK("https://klasma.github.io/Logging_2081/knärot/A 33127-2026 karta knärot.png", "A 33127-2026")</f>
        <v/>
      </c>
      <c r="AA7353">
        <f>HYPERLINK("https://klasma.github.io/Logging_2081/klagomål/A 33127-2026 FSC-klagomål.docx", "A 33127-2026")</f>
        <v/>
      </c>
      <c r="AB7353">
        <f>HYPERLINK("https://klasma.github.io/Logging_2081/klagomålsmail/A 33127-2026 FSC-klagomål mail.docx", "A 33127-2026")</f>
        <v/>
      </c>
      <c r="AC7353">
        <f>HYPERLINK("https://klasma.github.io/Logging_2081/tillsyn/A 33127-2026 tillsynsbegäran.docx", "A 33127-2026")</f>
        <v/>
      </c>
      <c r="AD7353">
        <f>HYPERLINK("https://klasma.github.io/Logging_2081/tillsynsmail/A 33127-2026 tillsynsbegäran mail.docx", "A 33127-2026")</f>
        <v/>
      </c>
    </row>
    <row r="7354" ht="15" customHeight="1">
      <c r="A7354" t="inlineStr">
        <is>
          <t>A 5272-2026</t>
        </is>
      </c>
      <c r="B7354" t="inlineStr">
        <is>
          <t>avverkningsanmälan</t>
        </is>
      </c>
      <c r="C7354" t="inlineStr">
        <is>
          <t>Föryngringsavverkning</t>
        </is>
      </c>
      <c r="D7354" s="1" t="n">
        <v>46050</v>
      </c>
      <c r="E7354" s="1" t="n">
        <v>46319</v>
      </c>
      <c r="F7354" t="inlineStr">
        <is>
          <t>DALARNAS LÄN</t>
        </is>
      </c>
      <c r="G7354" t="inlineStr">
        <is>
          <t>RÄTTVIK</t>
        </is>
      </c>
      <c r="I7354" t="n">
        <v>2.4</v>
      </c>
      <c r="J7354" t="n">
        <v>0</v>
      </c>
      <c r="K7354" t="n">
        <v>0</v>
      </c>
      <c r="L7354" t="n">
        <v>0</v>
      </c>
      <c r="M7354" t="n">
        <v>0</v>
      </c>
      <c r="N7354" t="n">
        <v>0</v>
      </c>
      <c r="O7354" t="n">
        <v>0</v>
      </c>
      <c r="P7354" t="n">
        <v>0</v>
      </c>
      <c r="Q7354" t="n">
        <v>0</v>
      </c>
      <c r="R7354" t="n">
        <v>0</v>
      </c>
      <c r="S7354" t="n">
        <v>0</v>
      </c>
      <c r="T7354" t="n">
        <v>0</v>
      </c>
      <c r="U7354" t="n">
        <v>0</v>
      </c>
      <c r="V7354" s="2" t="inlineStr"/>
    </row>
    <row r="7355" ht="15" customHeight="1">
      <c r="A7355" t="inlineStr">
        <is>
          <t>A 43728-2026</t>
        </is>
      </c>
      <c r="B7355" t="inlineStr">
        <is>
          <t>avverkningsanmälan</t>
        </is>
      </c>
      <c r="C7355" t="inlineStr">
        <is>
          <t>Föryngringsavverkning</t>
        </is>
      </c>
      <c r="D7355" s="1" t="n">
        <v>46316</v>
      </c>
      <c r="E7355" s="1" t="n">
        <v>46319</v>
      </c>
      <c r="F7355" t="inlineStr">
        <is>
          <t>DALARNAS LÄN</t>
        </is>
      </c>
      <c r="G7355" t="inlineStr">
        <is>
          <t>LEKSAND</t>
        </is>
      </c>
      <c r="I7355" t="n">
        <v>0.7</v>
      </c>
      <c r="J7355" t="n">
        <v>0</v>
      </c>
      <c r="K7355" t="n">
        <v>0</v>
      </c>
      <c r="L7355" t="n">
        <v>0</v>
      </c>
      <c r="M7355" t="n">
        <v>0</v>
      </c>
      <c r="N7355" t="n">
        <v>0</v>
      </c>
      <c r="O7355" t="n">
        <v>0</v>
      </c>
      <c r="P7355" t="n">
        <v>0</v>
      </c>
      <c r="Q7355" t="n">
        <v>0</v>
      </c>
      <c r="R7355" t="n">
        <v>0</v>
      </c>
      <c r="S7355" t="n">
        <v>0</v>
      </c>
      <c r="T7355" t="n">
        <v>0</v>
      </c>
      <c r="U7355" t="n">
        <v>0</v>
      </c>
      <c r="V7355" s="2" t="inlineStr"/>
    </row>
    <row r="7356" ht="15" customHeight="1">
      <c r="A7356" t="inlineStr">
        <is>
          <t>A 63723-2023</t>
        </is>
      </c>
      <c r="B7356" t="inlineStr">
        <is>
          <t>avverkningsanmälan</t>
        </is>
      </c>
      <c r="C7356" t="inlineStr">
        <is>
          <t>Föryngringsavverkning</t>
        </is>
      </c>
      <c r="D7356" s="1" t="n">
        <v>45276</v>
      </c>
      <c r="E7356" s="1" t="n">
        <v>46319</v>
      </c>
      <c r="F7356" t="inlineStr">
        <is>
          <t>DALARNAS LÄN</t>
        </is>
      </c>
      <c r="G7356" t="inlineStr">
        <is>
          <t>FALUN</t>
        </is>
      </c>
      <c r="I7356" t="n">
        <v>1.5</v>
      </c>
      <c r="J7356" t="n">
        <v>0</v>
      </c>
      <c r="K7356" t="n">
        <v>0</v>
      </c>
      <c r="L7356" t="n">
        <v>0</v>
      </c>
      <c r="M7356" t="n">
        <v>0</v>
      </c>
      <c r="N7356" t="n">
        <v>0</v>
      </c>
      <c r="O7356" t="n">
        <v>0</v>
      </c>
      <c r="P7356" t="n">
        <v>0</v>
      </c>
      <c r="Q7356" t="n">
        <v>0</v>
      </c>
      <c r="R7356" t="n">
        <v>0</v>
      </c>
      <c r="S7356" t="n">
        <v>0</v>
      </c>
      <c r="T7356" t="n">
        <v>0</v>
      </c>
      <c r="U7356" t="n">
        <v>0</v>
      </c>
      <c r="V7356" s="2" t="inlineStr"/>
    </row>
    <row r="7357" ht="15" customHeight="1">
      <c r="A7357" t="inlineStr">
        <is>
          <t>A 58892-2023</t>
        </is>
      </c>
      <c r="B7357" t="inlineStr">
        <is>
          <t>avverkningsanmälan</t>
        </is>
      </c>
      <c r="C7357" t="inlineStr">
        <is>
          <t>Föryngringsavverkning</t>
        </is>
      </c>
      <c r="D7357" s="1" t="n">
        <v>45252</v>
      </c>
      <c r="E7357" s="1" t="n">
        <v>46319</v>
      </c>
      <c r="F7357" t="inlineStr">
        <is>
          <t>DALARNAS LÄN</t>
        </is>
      </c>
      <c r="G7357" t="inlineStr">
        <is>
          <t>MORA</t>
        </is>
      </c>
      <c r="I7357" t="n">
        <v>2.2</v>
      </c>
      <c r="J7357" t="n">
        <v>0</v>
      </c>
      <c r="K7357" t="n">
        <v>0</v>
      </c>
      <c r="L7357" t="n">
        <v>0</v>
      </c>
      <c r="M7357" t="n">
        <v>0</v>
      </c>
      <c r="N7357" t="n">
        <v>0</v>
      </c>
      <c r="O7357" t="n">
        <v>0</v>
      </c>
      <c r="P7357" t="n">
        <v>0</v>
      </c>
      <c r="Q7357" t="n">
        <v>0</v>
      </c>
      <c r="R7357" t="n">
        <v>0</v>
      </c>
      <c r="S7357" t="n">
        <v>0</v>
      </c>
      <c r="T7357" t="n">
        <v>0</v>
      </c>
      <c r="U7357" t="n">
        <v>0</v>
      </c>
      <c r="V7357" s="2" t="inlineStr"/>
    </row>
    <row r="7358" ht="15" customHeight="1">
      <c r="A7358" t="inlineStr">
        <is>
          <t>A 1921-2026</t>
        </is>
      </c>
      <c r="B7358" t="inlineStr">
        <is>
          <t>avverkningsanmälan</t>
        </is>
      </c>
      <c r="C7358" t="inlineStr">
        <is>
          <t>Föryngringsavverkning</t>
        </is>
      </c>
      <c r="D7358" s="1" t="n">
        <v>46035</v>
      </c>
      <c r="E7358" s="1" t="n">
        <v>46319</v>
      </c>
      <c r="F7358" t="inlineStr">
        <is>
          <t>DALARNAS LÄN</t>
        </is>
      </c>
      <c r="G7358" t="inlineStr">
        <is>
          <t>BORLÄNGE</t>
        </is>
      </c>
      <c r="I7358" t="n">
        <v>3.1</v>
      </c>
      <c r="J7358" t="n">
        <v>0</v>
      </c>
      <c r="K7358" t="n">
        <v>0</v>
      </c>
      <c r="L7358" t="n">
        <v>0</v>
      </c>
      <c r="M7358" t="n">
        <v>0</v>
      </c>
      <c r="N7358" t="n">
        <v>0</v>
      </c>
      <c r="O7358" t="n">
        <v>0</v>
      </c>
      <c r="P7358" t="n">
        <v>0</v>
      </c>
      <c r="Q7358" t="n">
        <v>0</v>
      </c>
      <c r="R7358" t="n">
        <v>0</v>
      </c>
      <c r="S7358" t="n">
        <v>0</v>
      </c>
      <c r="T7358" t="n">
        <v>0</v>
      </c>
      <c r="U7358" t="n">
        <v>0</v>
      </c>
      <c r="V7358" s="2" t="inlineStr"/>
    </row>
    <row r="7359" ht="15" customHeight="1">
      <c r="A7359" t="inlineStr">
        <is>
          <t>A 37033-2026</t>
        </is>
      </c>
      <c r="B7359" t="inlineStr">
        <is>
          <t>avverkningsanmälan</t>
        </is>
      </c>
      <c r="C7359" t="inlineStr">
        <is>
          <t>Föryngringsavverkning</t>
        </is>
      </c>
      <c r="D7359" s="1" t="n">
        <v>46273</v>
      </c>
      <c r="E7359" s="1" t="n">
        <v>46319</v>
      </c>
      <c r="F7359" t="inlineStr">
        <is>
          <t>DALARNAS LÄN</t>
        </is>
      </c>
      <c r="G7359" t="inlineStr">
        <is>
          <t>LUDVIKA</t>
        </is>
      </c>
      <c r="H7359" t="inlineStr">
        <is>
          <t>Bergvik skog väst AB</t>
        </is>
      </c>
      <c r="I7359" t="n">
        <v>10.1</v>
      </c>
      <c r="J7359" t="n">
        <v>0</v>
      </c>
      <c r="K7359" t="n">
        <v>0</v>
      </c>
      <c r="L7359" t="n">
        <v>0</v>
      </c>
      <c r="M7359" t="n">
        <v>0</v>
      </c>
      <c r="N7359" t="n">
        <v>0</v>
      </c>
      <c r="O7359" t="n">
        <v>0</v>
      </c>
      <c r="P7359" t="n">
        <v>0</v>
      </c>
      <c r="Q7359" t="n">
        <v>0</v>
      </c>
      <c r="R7359" t="n">
        <v>0</v>
      </c>
      <c r="S7359" t="n">
        <v>0</v>
      </c>
      <c r="T7359" t="n">
        <v>0</v>
      </c>
      <c r="U7359" t="n">
        <v>0</v>
      </c>
      <c r="V7359" s="2" t="inlineStr"/>
    </row>
    <row r="7360" ht="15" customHeight="1">
      <c r="A7360" t="inlineStr">
        <is>
          <t>A 59679-2024</t>
        </is>
      </c>
      <c r="B7360" t="inlineStr">
        <is>
          <t>avverkningsanmälan</t>
        </is>
      </c>
      <c r="C7360" t="inlineStr">
        <is>
          <t>Föryngringsavverkning</t>
        </is>
      </c>
      <c r="D7360" s="1" t="n">
        <v>45639</v>
      </c>
      <c r="E7360" s="1" t="n">
        <v>46319</v>
      </c>
      <c r="F7360" t="inlineStr">
        <is>
          <t>DALARNAS LÄN</t>
        </is>
      </c>
      <c r="G7360" t="inlineStr">
        <is>
          <t>AVESTA</t>
        </is>
      </c>
      <c r="I7360" t="n">
        <v>1.1</v>
      </c>
      <c r="J7360" t="n">
        <v>0</v>
      </c>
      <c r="K7360" t="n">
        <v>0</v>
      </c>
      <c r="L7360" t="n">
        <v>0</v>
      </c>
      <c r="M7360" t="n">
        <v>0</v>
      </c>
      <c r="N7360" t="n">
        <v>0</v>
      </c>
      <c r="O7360" t="n">
        <v>0</v>
      </c>
      <c r="P7360" t="n">
        <v>0</v>
      </c>
      <c r="Q7360" t="n">
        <v>0</v>
      </c>
      <c r="R7360" t="n">
        <v>0</v>
      </c>
      <c r="S7360" t="n">
        <v>0</v>
      </c>
      <c r="T7360" t="n">
        <v>0</v>
      </c>
      <c r="U7360" t="n">
        <v>0</v>
      </c>
      <c r="V7360" s="2" t="inlineStr"/>
    </row>
    <row r="7361" ht="15" customHeight="1">
      <c r="A7361" t="inlineStr">
        <is>
          <t>A 2630-2025</t>
        </is>
      </c>
      <c r="B7361" t="inlineStr">
        <is>
          <t>avverkningsanmälan</t>
        </is>
      </c>
      <c r="C7361" t="inlineStr">
        <is>
          <t>Föryngringsavverkning</t>
        </is>
      </c>
      <c r="D7361" s="1" t="n">
        <v>45675</v>
      </c>
      <c r="E7361" s="1" t="n">
        <v>46319</v>
      </c>
      <c r="F7361" t="inlineStr">
        <is>
          <t>DALARNAS LÄN</t>
        </is>
      </c>
      <c r="G7361" t="inlineStr">
        <is>
          <t>LEKSAND</t>
        </is>
      </c>
      <c r="I7361" t="n">
        <v>1.6</v>
      </c>
      <c r="J7361" t="n">
        <v>0</v>
      </c>
      <c r="K7361" t="n">
        <v>0</v>
      </c>
      <c r="L7361" t="n">
        <v>0</v>
      </c>
      <c r="M7361" t="n">
        <v>0</v>
      </c>
      <c r="N7361" t="n">
        <v>0</v>
      </c>
      <c r="O7361" t="n">
        <v>0</v>
      </c>
      <c r="P7361" t="n">
        <v>0</v>
      </c>
      <c r="Q7361" t="n">
        <v>0</v>
      </c>
      <c r="R7361" t="n">
        <v>0</v>
      </c>
      <c r="S7361" t="n">
        <v>0</v>
      </c>
      <c r="T7361" t="n">
        <v>0</v>
      </c>
      <c r="U7361" t="n">
        <v>0</v>
      </c>
      <c r="V7361" s="2" t="inlineStr"/>
    </row>
    <row r="7362" ht="15" customHeight="1">
      <c r="A7362" t="inlineStr">
        <is>
          <t>A 21457-2025</t>
        </is>
      </c>
      <c r="B7362" t="inlineStr">
        <is>
          <t>avverkningsanmälan</t>
        </is>
      </c>
      <c r="C7362" t="inlineStr">
        <is>
          <t>Föryngringsavverkning</t>
        </is>
      </c>
      <c r="D7362" s="1" t="n">
        <v>45782</v>
      </c>
      <c r="E7362" s="1" t="n">
        <v>46319</v>
      </c>
      <c r="F7362" t="inlineStr">
        <is>
          <t>DALARNAS LÄN</t>
        </is>
      </c>
      <c r="G7362" t="inlineStr">
        <is>
          <t>LEKSAND</t>
        </is>
      </c>
      <c r="I7362" t="n">
        <v>1</v>
      </c>
      <c r="J7362" t="n">
        <v>0</v>
      </c>
      <c r="K7362" t="n">
        <v>0</v>
      </c>
      <c r="L7362" t="n">
        <v>0</v>
      </c>
      <c r="M7362" t="n">
        <v>0</v>
      </c>
      <c r="N7362" t="n">
        <v>0</v>
      </c>
      <c r="O7362" t="n">
        <v>0</v>
      </c>
      <c r="P7362" t="n">
        <v>0</v>
      </c>
      <c r="Q7362" t="n">
        <v>0</v>
      </c>
      <c r="R7362" t="n">
        <v>0</v>
      </c>
      <c r="S7362" t="n">
        <v>0</v>
      </c>
      <c r="T7362" t="n">
        <v>0</v>
      </c>
      <c r="U7362" t="n">
        <v>0</v>
      </c>
      <c r="V7362" s="2" t="inlineStr"/>
    </row>
    <row r="7363" ht="15" customHeight="1">
      <c r="A7363" t="inlineStr">
        <is>
          <t>A 35939-2025</t>
        </is>
      </c>
      <c r="B7363" t="inlineStr">
        <is>
          <t>avverkningsanmälan</t>
        </is>
      </c>
      <c r="C7363" t="inlineStr">
        <is>
          <t>Föryngringsavverkning</t>
        </is>
      </c>
      <c r="D7363" s="1" t="n">
        <v>45862</v>
      </c>
      <c r="E7363" s="1" t="n">
        <v>46319</v>
      </c>
      <c r="F7363" t="inlineStr">
        <is>
          <t>DALARNAS LÄN</t>
        </is>
      </c>
      <c r="G7363" t="inlineStr">
        <is>
          <t>ORSA</t>
        </is>
      </c>
      <c r="I7363" t="n">
        <v>5.6</v>
      </c>
      <c r="J7363" t="n">
        <v>0</v>
      </c>
      <c r="K7363" t="n">
        <v>0</v>
      </c>
      <c r="L7363" t="n">
        <v>0</v>
      </c>
      <c r="M7363" t="n">
        <v>0</v>
      </c>
      <c r="N7363" t="n">
        <v>0</v>
      </c>
      <c r="O7363" t="n">
        <v>0</v>
      </c>
      <c r="P7363" t="n">
        <v>0</v>
      </c>
      <c r="Q7363" t="n">
        <v>0</v>
      </c>
      <c r="R7363" t="n">
        <v>0</v>
      </c>
      <c r="S7363" t="n">
        <v>0</v>
      </c>
      <c r="T7363" t="n">
        <v>0</v>
      </c>
      <c r="U7363" t="n">
        <v>0</v>
      </c>
      <c r="V7363" s="2" t="inlineStr"/>
    </row>
    <row r="7364" ht="15" customHeight="1">
      <c r="A7364" t="inlineStr">
        <is>
          <t>A 7563-2026</t>
        </is>
      </c>
      <c r="B7364" t="inlineStr">
        <is>
          <t>avverkningsanmälan</t>
        </is>
      </c>
      <c r="C7364" t="inlineStr">
        <is>
          <t>Föryngringsavverkning</t>
        </is>
      </c>
      <c r="D7364" s="1" t="n">
        <v>46060</v>
      </c>
      <c r="E7364" s="1" t="n">
        <v>46319</v>
      </c>
      <c r="F7364" t="inlineStr">
        <is>
          <t>DALARNAS LÄN</t>
        </is>
      </c>
      <c r="G7364" t="inlineStr">
        <is>
          <t>BORLÄNGE</t>
        </is>
      </c>
      <c r="I7364" t="n">
        <v>1.2</v>
      </c>
      <c r="J7364" t="n">
        <v>0</v>
      </c>
      <c r="K7364" t="n">
        <v>0</v>
      </c>
      <c r="L7364" t="n">
        <v>0</v>
      </c>
      <c r="M7364" t="n">
        <v>0</v>
      </c>
      <c r="N7364" t="n">
        <v>0</v>
      </c>
      <c r="O7364" t="n">
        <v>0</v>
      </c>
      <c r="P7364" t="n">
        <v>0</v>
      </c>
      <c r="Q7364" t="n">
        <v>0</v>
      </c>
      <c r="R7364" t="n">
        <v>0</v>
      </c>
      <c r="S7364" t="n">
        <v>0</v>
      </c>
      <c r="T7364" t="n">
        <v>0</v>
      </c>
      <c r="U7364" t="n">
        <v>0</v>
      </c>
      <c r="V7364" s="2" t="inlineStr"/>
    </row>
    <row r="7365" ht="15" customHeight="1">
      <c r="A7365" t="inlineStr">
        <is>
          <t>A 43554-2026</t>
        </is>
      </c>
      <c r="B7365" t="inlineStr">
        <is>
          <t>avverkningsanmälan</t>
        </is>
      </c>
      <c r="C7365" t="inlineStr">
        <is>
          <t>Föryngringsavverkning</t>
        </is>
      </c>
      <c r="D7365" s="1" t="n">
        <v>46315</v>
      </c>
      <c r="E7365" s="1" t="n">
        <v>46319</v>
      </c>
      <c r="F7365" t="inlineStr">
        <is>
          <t>DALARNAS LÄN</t>
        </is>
      </c>
      <c r="G7365" t="inlineStr">
        <is>
          <t>HEDEMORA</t>
        </is>
      </c>
      <c r="I7365" t="n">
        <v>3.4</v>
      </c>
      <c r="J7365" t="n">
        <v>0</v>
      </c>
      <c r="K7365" t="n">
        <v>0</v>
      </c>
      <c r="L7365" t="n">
        <v>0</v>
      </c>
      <c r="M7365" t="n">
        <v>0</v>
      </c>
      <c r="N7365" t="n">
        <v>0</v>
      </c>
      <c r="O7365" t="n">
        <v>0</v>
      </c>
      <c r="P7365" t="n">
        <v>0</v>
      </c>
      <c r="Q7365" t="n">
        <v>0</v>
      </c>
      <c r="R7365" t="n">
        <v>0</v>
      </c>
      <c r="S7365" t="n">
        <v>0</v>
      </c>
      <c r="T7365" t="n">
        <v>0</v>
      </c>
      <c r="U7365" t="n">
        <v>0</v>
      </c>
      <c r="V7365" s="2" t="inlineStr"/>
    </row>
    <row r="7366" ht="15" customHeight="1">
      <c r="A7366" t="inlineStr">
        <is>
          <t>A 20455-2026</t>
        </is>
      </c>
      <c r="B7366" t="inlineStr">
        <is>
          <t>avverkningsanmälan</t>
        </is>
      </c>
      <c r="C7366" t="inlineStr">
        <is>
          <t>Föryngringsavverkning</t>
        </is>
      </c>
      <c r="D7366" s="1" t="n">
        <v>46140</v>
      </c>
      <c r="E7366" s="1" t="n">
        <v>46319</v>
      </c>
      <c r="F7366" t="inlineStr">
        <is>
          <t>DALARNAS LÄN</t>
        </is>
      </c>
      <c r="G7366" t="inlineStr">
        <is>
          <t>GAGNEF</t>
        </is>
      </c>
      <c r="I7366" t="n">
        <v>1</v>
      </c>
      <c r="J7366" t="n">
        <v>0</v>
      </c>
      <c r="K7366" t="n">
        <v>0</v>
      </c>
      <c r="L7366" t="n">
        <v>0</v>
      </c>
      <c r="M7366" t="n">
        <v>0</v>
      </c>
      <c r="N7366" t="n">
        <v>0</v>
      </c>
      <c r="O7366" t="n">
        <v>0</v>
      </c>
      <c r="P7366" t="n">
        <v>0</v>
      </c>
      <c r="Q7366" t="n">
        <v>0</v>
      </c>
      <c r="R7366" t="n">
        <v>0</v>
      </c>
      <c r="S7366" t="n">
        <v>0</v>
      </c>
      <c r="T7366" t="n">
        <v>0</v>
      </c>
      <c r="U7366" t="n">
        <v>0</v>
      </c>
      <c r="V7366" s="2" t="inlineStr"/>
    </row>
    <row r="7367" ht="15" customHeight="1">
      <c r="A7367" t="inlineStr">
        <is>
          <t>A 5992-2024</t>
        </is>
      </c>
      <c r="B7367" t="inlineStr">
        <is>
          <t>avverkningsanmälan</t>
        </is>
      </c>
      <c r="C7367" t="inlineStr">
        <is>
          <t>Föryngringsavverkning</t>
        </is>
      </c>
      <c r="D7367" s="1" t="n">
        <v>45336</v>
      </c>
      <c r="E7367" s="1" t="n">
        <v>46319</v>
      </c>
      <c r="F7367" t="inlineStr">
        <is>
          <t>DALARNAS LÄN</t>
        </is>
      </c>
      <c r="G7367" t="inlineStr">
        <is>
          <t>MALUNG-SÄLEN</t>
        </is>
      </c>
      <c r="I7367" t="n">
        <v>2.1</v>
      </c>
      <c r="J7367" t="n">
        <v>0</v>
      </c>
      <c r="K7367" t="n">
        <v>0</v>
      </c>
      <c r="L7367" t="n">
        <v>0</v>
      </c>
      <c r="M7367" t="n">
        <v>0</v>
      </c>
      <c r="N7367" t="n">
        <v>0</v>
      </c>
      <c r="O7367" t="n">
        <v>0</v>
      </c>
      <c r="P7367" t="n">
        <v>0</v>
      </c>
      <c r="Q7367" t="n">
        <v>0</v>
      </c>
      <c r="R7367" t="n">
        <v>0</v>
      </c>
      <c r="S7367" t="n">
        <v>0</v>
      </c>
      <c r="T7367" t="n">
        <v>0</v>
      </c>
      <c r="U7367" t="n">
        <v>0</v>
      </c>
      <c r="V7367" s="2" t="inlineStr"/>
    </row>
    <row r="7368" ht="15" customHeight="1">
      <c r="A7368" t="inlineStr">
        <is>
          <t>A 2600-2026</t>
        </is>
      </c>
      <c r="B7368" t="inlineStr">
        <is>
          <t>avverkningsanmälan</t>
        </is>
      </c>
      <c r="C7368" t="inlineStr">
        <is>
          <t>Föryngringsavverkning</t>
        </is>
      </c>
      <c r="D7368" s="1" t="n">
        <v>46037</v>
      </c>
      <c r="E7368" s="1" t="n">
        <v>46319</v>
      </c>
      <c r="F7368" t="inlineStr">
        <is>
          <t>DALARNAS LÄN</t>
        </is>
      </c>
      <c r="G7368" t="inlineStr">
        <is>
          <t>FALUN</t>
        </is>
      </c>
      <c r="I7368" t="n">
        <v>3.2</v>
      </c>
      <c r="J7368" t="n">
        <v>0</v>
      </c>
      <c r="K7368" t="n">
        <v>0</v>
      </c>
      <c r="L7368" t="n">
        <v>0</v>
      </c>
      <c r="M7368" t="n">
        <v>0</v>
      </c>
      <c r="N7368" t="n">
        <v>0</v>
      </c>
      <c r="O7368" t="n">
        <v>0</v>
      </c>
      <c r="P7368" t="n">
        <v>0</v>
      </c>
      <c r="Q7368" t="n">
        <v>0</v>
      </c>
      <c r="R7368" t="n">
        <v>0</v>
      </c>
      <c r="S7368" t="n">
        <v>0</v>
      </c>
      <c r="T7368" t="n">
        <v>0</v>
      </c>
      <c r="U7368" t="n">
        <v>0</v>
      </c>
      <c r="V7368" s="2" t="inlineStr"/>
    </row>
    <row r="7369" ht="15" customHeight="1">
      <c r="A7369" t="inlineStr">
        <is>
          <t>A 4915-2026</t>
        </is>
      </c>
      <c r="B7369" t="inlineStr">
        <is>
          <t>avverkningsanmälan</t>
        </is>
      </c>
      <c r="C7369" t="inlineStr">
        <is>
          <t>Föryngringsavverkning</t>
        </is>
      </c>
      <c r="D7369" s="1" t="n">
        <v>46045</v>
      </c>
      <c r="E7369" s="1" t="n">
        <v>46319</v>
      </c>
      <c r="F7369" t="inlineStr">
        <is>
          <t>DALARNAS LÄN</t>
        </is>
      </c>
      <c r="G7369" t="inlineStr">
        <is>
          <t>FALUN</t>
        </is>
      </c>
      <c r="I7369" t="n">
        <v>1.6</v>
      </c>
      <c r="J7369" t="n">
        <v>0</v>
      </c>
      <c r="K7369" t="n">
        <v>0</v>
      </c>
      <c r="L7369" t="n">
        <v>0</v>
      </c>
      <c r="M7369" t="n">
        <v>0</v>
      </c>
      <c r="N7369" t="n">
        <v>0</v>
      </c>
      <c r="O7369" t="n">
        <v>0</v>
      </c>
      <c r="P7369" t="n">
        <v>0</v>
      </c>
      <c r="Q7369" t="n">
        <v>0</v>
      </c>
      <c r="R7369" t="n">
        <v>0</v>
      </c>
      <c r="S7369" t="n">
        <v>0</v>
      </c>
      <c r="T7369" t="n">
        <v>0</v>
      </c>
      <c r="U7369" t="n">
        <v>0</v>
      </c>
      <c r="V7369" s="2" t="inlineStr"/>
    </row>
    <row r="7370" ht="15" customHeight="1">
      <c r="A7370" t="inlineStr">
        <is>
          <t>A 43684-2026</t>
        </is>
      </c>
      <c r="B7370" t="inlineStr">
        <is>
          <t>avverkningsanmälan</t>
        </is>
      </c>
      <c r="C7370" t="inlineStr">
        <is>
          <t>Föryngringsavverkning</t>
        </is>
      </c>
      <c r="D7370" s="1" t="n">
        <v>46316</v>
      </c>
      <c r="E7370" s="1" t="n">
        <v>46319</v>
      </c>
      <c r="F7370" t="inlineStr">
        <is>
          <t>DALARNAS LÄN</t>
        </is>
      </c>
      <c r="G7370" t="inlineStr">
        <is>
          <t>ORSA</t>
        </is>
      </c>
      <c r="H7370" t="inlineStr">
        <is>
          <t>Allmännings- och besparingsskogar</t>
        </is>
      </c>
      <c r="I7370" t="n">
        <v>8.1</v>
      </c>
      <c r="J7370" t="n">
        <v>0</v>
      </c>
      <c r="K7370" t="n">
        <v>0</v>
      </c>
      <c r="L7370" t="n">
        <v>0</v>
      </c>
      <c r="M7370" t="n">
        <v>0</v>
      </c>
      <c r="N7370" t="n">
        <v>0</v>
      </c>
      <c r="O7370" t="n">
        <v>0</v>
      </c>
      <c r="P7370" t="n">
        <v>0</v>
      </c>
      <c r="Q7370" t="n">
        <v>0</v>
      </c>
      <c r="R7370" t="n">
        <v>0</v>
      </c>
      <c r="S7370" t="n">
        <v>0</v>
      </c>
      <c r="T7370" t="n">
        <v>0</v>
      </c>
      <c r="U7370" t="n">
        <v>0</v>
      </c>
      <c r="V7370" s="2" t="inlineStr"/>
    </row>
    <row r="7371" ht="15" customHeight="1">
      <c r="A7371" t="inlineStr">
        <is>
          <t>A 6453-2026</t>
        </is>
      </c>
      <c r="B7371" t="inlineStr">
        <is>
          <t>avverkningsanmälan</t>
        </is>
      </c>
      <c r="C7371" t="inlineStr">
        <is>
          <t>Föryngringsavverkning</t>
        </is>
      </c>
      <c r="D7371" s="1" t="n">
        <v>46055</v>
      </c>
      <c r="E7371" s="1" t="n">
        <v>46319</v>
      </c>
      <c r="F7371" t="inlineStr">
        <is>
          <t>DALARNAS LÄN</t>
        </is>
      </c>
      <c r="G7371" t="inlineStr">
        <is>
          <t>FALUN</t>
        </is>
      </c>
      <c r="H7371" t="inlineStr">
        <is>
          <t>Bergvik skog väst AB</t>
        </is>
      </c>
      <c r="I7371" t="n">
        <v>2.6</v>
      </c>
      <c r="J7371" t="n">
        <v>0</v>
      </c>
      <c r="K7371" t="n">
        <v>0</v>
      </c>
      <c r="L7371" t="n">
        <v>0</v>
      </c>
      <c r="M7371" t="n">
        <v>0</v>
      </c>
      <c r="N7371" t="n">
        <v>0</v>
      </c>
      <c r="O7371" t="n">
        <v>0</v>
      </c>
      <c r="P7371" t="n">
        <v>0</v>
      </c>
      <c r="Q7371" t="n">
        <v>0</v>
      </c>
      <c r="R7371" t="n">
        <v>0</v>
      </c>
      <c r="S7371" t="n">
        <v>0</v>
      </c>
      <c r="T7371" t="n">
        <v>0</v>
      </c>
      <c r="U7371" t="n">
        <v>0</v>
      </c>
      <c r="V7371" s="2" t="inlineStr"/>
    </row>
    <row r="7372" ht="15" customHeight="1">
      <c r="A7372" t="inlineStr">
        <is>
          <t>A 43715-2026</t>
        </is>
      </c>
      <c r="B7372" t="inlineStr">
        <is>
          <t>avverkningsanmälan</t>
        </is>
      </c>
      <c r="C7372" t="inlineStr">
        <is>
          <t>Föryngringsavverkning</t>
        </is>
      </c>
      <c r="D7372" s="1" t="n">
        <v>46316</v>
      </c>
      <c r="E7372" s="1" t="n">
        <v>46319</v>
      </c>
      <c r="F7372" t="inlineStr">
        <is>
          <t>DALARNAS LÄN</t>
        </is>
      </c>
      <c r="G7372" t="inlineStr">
        <is>
          <t>ORSA</t>
        </is>
      </c>
      <c r="H7372" t="inlineStr">
        <is>
          <t>Bergvik skog öst AB</t>
        </is>
      </c>
      <c r="I7372" t="n">
        <v>3.7</v>
      </c>
      <c r="J7372" t="n">
        <v>0</v>
      </c>
      <c r="K7372" t="n">
        <v>0</v>
      </c>
      <c r="L7372" t="n">
        <v>0</v>
      </c>
      <c r="M7372" t="n">
        <v>0</v>
      </c>
      <c r="N7372" t="n">
        <v>0</v>
      </c>
      <c r="O7372" t="n">
        <v>0</v>
      </c>
      <c r="P7372" t="n">
        <v>0</v>
      </c>
      <c r="Q7372" t="n">
        <v>0</v>
      </c>
      <c r="R7372" t="n">
        <v>0</v>
      </c>
      <c r="S7372" t="n">
        <v>0</v>
      </c>
      <c r="T7372" t="n">
        <v>0</v>
      </c>
      <c r="U7372" t="n">
        <v>0</v>
      </c>
      <c r="V7372" s="2" t="inlineStr"/>
    </row>
    <row r="7373" ht="15" customHeight="1">
      <c r="A7373" t="inlineStr">
        <is>
          <t>A 19328-2026</t>
        </is>
      </c>
      <c r="B7373" t="inlineStr">
        <is>
          <t>avverkningsanmälan</t>
        </is>
      </c>
      <c r="C7373" t="inlineStr">
        <is>
          <t>Avverkning för annat ändamål</t>
        </is>
      </c>
      <c r="D7373" s="1" t="n">
        <v>46133</v>
      </c>
      <c r="E7373" s="1" t="n">
        <v>46319</v>
      </c>
      <c r="F7373" t="inlineStr">
        <is>
          <t>DALARNAS LÄN</t>
        </is>
      </c>
      <c r="G7373" t="inlineStr">
        <is>
          <t>MALUNG-SÄLEN</t>
        </is>
      </c>
      <c r="I7373" t="n">
        <v>3.1</v>
      </c>
      <c r="J7373" t="n">
        <v>0</v>
      </c>
      <c r="K7373" t="n">
        <v>0</v>
      </c>
      <c r="L7373" t="n">
        <v>0</v>
      </c>
      <c r="M7373" t="n">
        <v>0</v>
      </c>
      <c r="N7373" t="n">
        <v>0</v>
      </c>
      <c r="O7373" t="n">
        <v>0</v>
      </c>
      <c r="P7373" t="n">
        <v>0</v>
      </c>
      <c r="Q7373" t="n">
        <v>0</v>
      </c>
      <c r="R7373" t="n">
        <v>0</v>
      </c>
      <c r="S7373" t="n">
        <v>0</v>
      </c>
      <c r="T7373" t="n">
        <v>0</v>
      </c>
      <c r="U7373" t="n">
        <v>0</v>
      </c>
      <c r="V7373" s="2" t="inlineStr"/>
    </row>
    <row r="7374" ht="15" customHeight="1">
      <c r="A7374" t="inlineStr">
        <is>
          <t>A 49723-2023</t>
        </is>
      </c>
      <c r="B7374" t="inlineStr">
        <is>
          <t>avverkningsanmälan</t>
        </is>
      </c>
      <c r="C7374" t="inlineStr">
        <is>
          <t>Föryngringsavverkning</t>
        </is>
      </c>
      <c r="D7374" s="1" t="n">
        <v>45212</v>
      </c>
      <c r="E7374" s="1" t="n">
        <v>46319</v>
      </c>
      <c r="F7374" t="inlineStr">
        <is>
          <t>DALARNAS LÄN</t>
        </is>
      </c>
      <c r="G7374" t="inlineStr">
        <is>
          <t>ÄLVDALEN</t>
        </is>
      </c>
      <c r="H7374" t="inlineStr">
        <is>
          <t>Bergvik skog väst AB</t>
        </is>
      </c>
      <c r="I7374" t="n">
        <v>5</v>
      </c>
      <c r="J7374" t="n">
        <v>0</v>
      </c>
      <c r="K7374" t="n">
        <v>0</v>
      </c>
      <c r="L7374" t="n">
        <v>0</v>
      </c>
      <c r="M7374" t="n">
        <v>0</v>
      </c>
      <c r="N7374" t="n">
        <v>0</v>
      </c>
      <c r="O7374" t="n">
        <v>0</v>
      </c>
      <c r="P7374" t="n">
        <v>0</v>
      </c>
      <c r="Q7374" t="n">
        <v>0</v>
      </c>
      <c r="R7374" t="n">
        <v>0</v>
      </c>
      <c r="S7374" t="n">
        <v>0</v>
      </c>
      <c r="T7374" t="n">
        <v>0</v>
      </c>
      <c r="U7374" t="n">
        <v>0</v>
      </c>
      <c r="V7374" s="2" t="inlineStr"/>
    </row>
    <row r="7375" ht="15" customHeight="1">
      <c r="A7375" t="inlineStr">
        <is>
          <t>A 4827-2026</t>
        </is>
      </c>
      <c r="B7375" t="inlineStr">
        <is>
          <t>avverkningsanmälan</t>
        </is>
      </c>
      <c r="C7375" t="inlineStr">
        <is>
          <t>Föryngringsavverkning</t>
        </is>
      </c>
      <c r="D7375" s="1" t="n">
        <v>46048</v>
      </c>
      <c r="E7375" s="1" t="n">
        <v>46319</v>
      </c>
      <c r="F7375" t="inlineStr">
        <is>
          <t>DALARNAS LÄN</t>
        </is>
      </c>
      <c r="G7375" t="inlineStr">
        <is>
          <t>RÄTTVIK</t>
        </is>
      </c>
      <c r="I7375" t="n">
        <v>5.4</v>
      </c>
      <c r="J7375" t="n">
        <v>0</v>
      </c>
      <c r="K7375" t="n">
        <v>0</v>
      </c>
      <c r="L7375" t="n">
        <v>0</v>
      </c>
      <c r="M7375" t="n">
        <v>0</v>
      </c>
      <c r="N7375" t="n">
        <v>0</v>
      </c>
      <c r="O7375" t="n">
        <v>0</v>
      </c>
      <c r="P7375" t="n">
        <v>0</v>
      </c>
      <c r="Q7375" t="n">
        <v>0</v>
      </c>
      <c r="R7375" t="n">
        <v>0</v>
      </c>
      <c r="S7375" t="n">
        <v>0</v>
      </c>
      <c r="T7375" t="n">
        <v>0</v>
      </c>
      <c r="U7375" t="n">
        <v>0</v>
      </c>
      <c r="V7375" s="2" t="inlineStr"/>
    </row>
    <row r="7376" ht="15" customHeight="1">
      <c r="A7376" t="inlineStr">
        <is>
          <t>A 43903-2024</t>
        </is>
      </c>
      <c r="B7376" t="inlineStr">
        <is>
          <t>avverkningsanmälan</t>
        </is>
      </c>
      <c r="C7376" t="inlineStr">
        <is>
          <t>Föryngringsavverkning</t>
        </is>
      </c>
      <c r="D7376" s="1" t="n">
        <v>45572</v>
      </c>
      <c r="E7376" s="1" t="n">
        <v>46319</v>
      </c>
      <c r="F7376" t="inlineStr">
        <is>
          <t>DALARNAS LÄN</t>
        </is>
      </c>
      <c r="G7376" t="inlineStr">
        <is>
          <t>ÄLVDALEN</t>
        </is>
      </c>
      <c r="H7376" t="inlineStr">
        <is>
          <t>Bergvik skog väst AB</t>
        </is>
      </c>
      <c r="I7376" t="n">
        <v>0.7</v>
      </c>
      <c r="J7376" t="n">
        <v>0</v>
      </c>
      <c r="K7376" t="n">
        <v>0</v>
      </c>
      <c r="L7376" t="n">
        <v>0</v>
      </c>
      <c r="M7376" t="n">
        <v>0</v>
      </c>
      <c r="N7376" t="n">
        <v>0</v>
      </c>
      <c r="O7376" t="n">
        <v>0</v>
      </c>
      <c r="P7376" t="n">
        <v>0</v>
      </c>
      <c r="Q7376" t="n">
        <v>0</v>
      </c>
      <c r="R7376" t="n">
        <v>0</v>
      </c>
      <c r="S7376" t="n">
        <v>0</v>
      </c>
      <c r="T7376" t="n">
        <v>0</v>
      </c>
      <c r="U7376" t="n">
        <v>0</v>
      </c>
      <c r="V7376" s="2" t="inlineStr"/>
    </row>
    <row r="7377" ht="15" customHeight="1">
      <c r="A7377" t="inlineStr">
        <is>
          <t>A 20276-2026</t>
        </is>
      </c>
      <c r="B7377" t="inlineStr">
        <is>
          <t>avverkningsanmälan</t>
        </is>
      </c>
      <c r="C7377" t="inlineStr">
        <is>
          <t>Föryngringsavverkning</t>
        </is>
      </c>
      <c r="D7377" s="1" t="n">
        <v>46139</v>
      </c>
      <c r="E7377" s="1" t="n">
        <v>46319</v>
      </c>
      <c r="F7377" t="inlineStr">
        <is>
          <t>DALARNAS LÄN</t>
        </is>
      </c>
      <c r="G7377" t="inlineStr">
        <is>
          <t>RÄTTVIK</t>
        </is>
      </c>
      <c r="I7377" t="n">
        <v>9.699999999999999</v>
      </c>
      <c r="J7377" t="n">
        <v>0</v>
      </c>
      <c r="K7377" t="n">
        <v>0</v>
      </c>
      <c r="L7377" t="n">
        <v>0</v>
      </c>
      <c r="M7377" t="n">
        <v>0</v>
      </c>
      <c r="N7377" t="n">
        <v>0</v>
      </c>
      <c r="O7377" t="n">
        <v>0</v>
      </c>
      <c r="P7377" t="n">
        <v>0</v>
      </c>
      <c r="Q7377" t="n">
        <v>0</v>
      </c>
      <c r="R7377" t="n">
        <v>0</v>
      </c>
      <c r="S7377" t="n">
        <v>0</v>
      </c>
      <c r="T7377" t="n">
        <v>0</v>
      </c>
      <c r="U7377" t="n">
        <v>0</v>
      </c>
      <c r="V7377" s="2" t="inlineStr"/>
    </row>
    <row r="7378" ht="15" customHeight="1">
      <c r="A7378" t="inlineStr">
        <is>
          <t>A 4105-2026</t>
        </is>
      </c>
      <c r="B7378" t="inlineStr">
        <is>
          <t>avverkningsanmälan</t>
        </is>
      </c>
      <c r="C7378" t="inlineStr">
        <is>
          <t>Föryngringsavverkning</t>
        </is>
      </c>
      <c r="D7378" s="1" t="n">
        <v>46044</v>
      </c>
      <c r="E7378" s="1" t="n">
        <v>46319</v>
      </c>
      <c r="F7378" t="inlineStr">
        <is>
          <t>DALARNAS LÄN</t>
        </is>
      </c>
      <c r="G7378" t="inlineStr">
        <is>
          <t>GAGNEF</t>
        </is>
      </c>
      <c r="H7378" t="inlineStr">
        <is>
          <t>Bergvik skog väst AB</t>
        </is>
      </c>
      <c r="I7378" t="n">
        <v>5.5</v>
      </c>
      <c r="J7378" t="n">
        <v>0</v>
      </c>
      <c r="K7378" t="n">
        <v>0</v>
      </c>
      <c r="L7378" t="n">
        <v>0</v>
      </c>
      <c r="M7378" t="n">
        <v>0</v>
      </c>
      <c r="N7378" t="n">
        <v>0</v>
      </c>
      <c r="O7378" t="n">
        <v>0</v>
      </c>
      <c r="P7378" t="n">
        <v>0</v>
      </c>
      <c r="Q7378" t="n">
        <v>0</v>
      </c>
      <c r="R7378" t="n">
        <v>0</v>
      </c>
      <c r="S7378" t="n">
        <v>0</v>
      </c>
      <c r="T7378" t="n">
        <v>0</v>
      </c>
      <c r="U7378" t="n">
        <v>0</v>
      </c>
      <c r="V7378" s="2" t="inlineStr"/>
    </row>
    <row r="7379" ht="15" customHeight="1">
      <c r="A7379" t="inlineStr">
        <is>
          <t>A 5300-2026</t>
        </is>
      </c>
      <c r="B7379" t="inlineStr">
        <is>
          <t>avverkningsanmälan</t>
        </is>
      </c>
      <c r="C7379" t="inlineStr">
        <is>
          <t>Föryngringsavverkning</t>
        </is>
      </c>
      <c r="D7379" s="1" t="n">
        <v>46050</v>
      </c>
      <c r="E7379" s="1" t="n">
        <v>46319</v>
      </c>
      <c r="F7379" t="inlineStr">
        <is>
          <t>DALARNAS LÄN</t>
        </is>
      </c>
      <c r="G7379" t="inlineStr">
        <is>
          <t>FALUN</t>
        </is>
      </c>
      <c r="H7379" t="inlineStr">
        <is>
          <t>Bergvik skog väst AB</t>
        </is>
      </c>
      <c r="I7379" t="n">
        <v>19.4</v>
      </c>
      <c r="J7379" t="n">
        <v>0</v>
      </c>
      <c r="K7379" t="n">
        <v>0</v>
      </c>
      <c r="L7379" t="n">
        <v>0</v>
      </c>
      <c r="M7379" t="n">
        <v>0</v>
      </c>
      <c r="N7379" t="n">
        <v>0</v>
      </c>
      <c r="O7379" t="n">
        <v>0</v>
      </c>
      <c r="P7379" t="n">
        <v>0</v>
      </c>
      <c r="Q7379" t="n">
        <v>0</v>
      </c>
      <c r="R7379" t="n">
        <v>0</v>
      </c>
      <c r="S7379" t="n">
        <v>0</v>
      </c>
      <c r="T7379" t="n">
        <v>0</v>
      </c>
      <c r="U7379" t="n">
        <v>0</v>
      </c>
      <c r="V7379" s="2" t="inlineStr"/>
    </row>
    <row r="7380" ht="15" customHeight="1">
      <c r="A7380" t="inlineStr">
        <is>
          <t>A 7671-2026</t>
        </is>
      </c>
      <c r="B7380" t="inlineStr">
        <is>
          <t>avverkningsanmälan</t>
        </is>
      </c>
      <c r="C7380" t="inlineStr">
        <is>
          <t>Föryngringsavverkning</t>
        </is>
      </c>
      <c r="D7380" s="1" t="n">
        <v>46062</v>
      </c>
      <c r="E7380" s="1" t="n">
        <v>46319</v>
      </c>
      <c r="F7380" t="inlineStr">
        <is>
          <t>DALARNAS LÄN</t>
        </is>
      </c>
      <c r="G7380" t="inlineStr">
        <is>
          <t>RÄTTVIK</t>
        </is>
      </c>
      <c r="I7380" t="n">
        <v>1.7</v>
      </c>
      <c r="J7380" t="n">
        <v>0</v>
      </c>
      <c r="K7380" t="n">
        <v>0</v>
      </c>
      <c r="L7380" t="n">
        <v>0</v>
      </c>
      <c r="M7380" t="n">
        <v>0</v>
      </c>
      <c r="N7380" t="n">
        <v>0</v>
      </c>
      <c r="O7380" t="n">
        <v>0</v>
      </c>
      <c r="P7380" t="n">
        <v>0</v>
      </c>
      <c r="Q7380" t="n">
        <v>0</v>
      </c>
      <c r="R7380" t="n">
        <v>0</v>
      </c>
      <c r="S7380" t="n">
        <v>0</v>
      </c>
      <c r="T7380" t="n">
        <v>0</v>
      </c>
      <c r="U7380" t="n">
        <v>0</v>
      </c>
      <c r="V7380" s="2" t="inlineStr"/>
    </row>
    <row r="7381" ht="15" customHeight="1">
      <c r="A7381" t="inlineStr">
        <is>
          <t>A 1967-2026</t>
        </is>
      </c>
      <c r="B7381" t="inlineStr">
        <is>
          <t>avverkningsanmälan</t>
        </is>
      </c>
      <c r="C7381" t="inlineStr">
        <is>
          <t>Föryngringsavverkning</t>
        </is>
      </c>
      <c r="D7381" s="1" t="n">
        <v>46035</v>
      </c>
      <c r="E7381" s="1" t="n">
        <v>46319</v>
      </c>
      <c r="F7381" t="inlineStr">
        <is>
          <t>DALARNAS LÄN</t>
        </is>
      </c>
      <c r="G7381" t="inlineStr">
        <is>
          <t>ORSA</t>
        </is>
      </c>
      <c r="I7381" t="n">
        <v>6.3</v>
      </c>
      <c r="J7381" t="n">
        <v>0</v>
      </c>
      <c r="K7381" t="n">
        <v>0</v>
      </c>
      <c r="L7381" t="n">
        <v>0</v>
      </c>
      <c r="M7381" t="n">
        <v>0</v>
      </c>
      <c r="N7381" t="n">
        <v>0</v>
      </c>
      <c r="O7381" t="n">
        <v>0</v>
      </c>
      <c r="P7381" t="n">
        <v>0</v>
      </c>
      <c r="Q7381" t="n">
        <v>0</v>
      </c>
      <c r="R7381" t="n">
        <v>0</v>
      </c>
      <c r="S7381" t="n">
        <v>0</v>
      </c>
      <c r="T7381" t="n">
        <v>0</v>
      </c>
      <c r="U7381" t="n">
        <v>0</v>
      </c>
      <c r="V7381" s="2" t="inlineStr"/>
    </row>
    <row r="7382" ht="15" customHeight="1">
      <c r="A7382" t="inlineStr">
        <is>
          <t>A 43544-2026</t>
        </is>
      </c>
      <c r="B7382" t="inlineStr">
        <is>
          <t>avverkningsanmälan</t>
        </is>
      </c>
      <c r="C7382" t="inlineStr">
        <is>
          <t>Föryngringsavverkning</t>
        </is>
      </c>
      <c r="D7382" s="1" t="n">
        <v>46315</v>
      </c>
      <c r="E7382" s="1" t="n">
        <v>46319</v>
      </c>
      <c r="F7382" t="inlineStr">
        <is>
          <t>DALARNAS LÄN</t>
        </is>
      </c>
      <c r="G7382" t="inlineStr">
        <is>
          <t>LUDVIKA</t>
        </is>
      </c>
      <c r="H7382" t="inlineStr">
        <is>
          <t>Bergvik skog väst AB</t>
        </is>
      </c>
      <c r="I7382" t="n">
        <v>3.7</v>
      </c>
      <c r="J7382" t="n">
        <v>0</v>
      </c>
      <c r="K7382" t="n">
        <v>0</v>
      </c>
      <c r="L7382" t="n">
        <v>0</v>
      </c>
      <c r="M7382" t="n">
        <v>0</v>
      </c>
      <c r="N7382" t="n">
        <v>0</v>
      </c>
      <c r="O7382" t="n">
        <v>0</v>
      </c>
      <c r="P7382" t="n">
        <v>0</v>
      </c>
      <c r="Q7382" t="n">
        <v>0</v>
      </c>
      <c r="R7382" t="n">
        <v>0</v>
      </c>
      <c r="S7382" t="n">
        <v>0</v>
      </c>
      <c r="T7382" t="n">
        <v>0</v>
      </c>
      <c r="U7382" t="n">
        <v>0</v>
      </c>
      <c r="V7382" s="2" t="inlineStr"/>
    </row>
    <row r="7383" ht="15" customHeight="1">
      <c r="A7383" t="inlineStr">
        <is>
          <t>A 42106-2024</t>
        </is>
      </c>
      <c r="B7383" t="inlineStr">
        <is>
          <t>avverkningsanmälan</t>
        </is>
      </c>
      <c r="C7383" t="inlineStr">
        <is>
          <t>Föryngringsavverkning</t>
        </is>
      </c>
      <c r="D7383" s="1" t="n">
        <v>45562</v>
      </c>
      <c r="E7383" s="1" t="n">
        <v>46319</v>
      </c>
      <c r="F7383" t="inlineStr">
        <is>
          <t>DALARNAS LÄN</t>
        </is>
      </c>
      <c r="G7383" t="inlineStr">
        <is>
          <t>LUDVIKA</t>
        </is>
      </c>
      <c r="H7383" t="inlineStr">
        <is>
          <t>Bergvik skog väst AB</t>
        </is>
      </c>
      <c r="I7383" t="n">
        <v>6</v>
      </c>
      <c r="J7383" t="n">
        <v>0</v>
      </c>
      <c r="K7383" t="n">
        <v>0</v>
      </c>
      <c r="L7383" t="n">
        <v>0</v>
      </c>
      <c r="M7383" t="n">
        <v>0</v>
      </c>
      <c r="N7383" t="n">
        <v>0</v>
      </c>
      <c r="O7383" t="n">
        <v>0</v>
      </c>
      <c r="P7383" t="n">
        <v>0</v>
      </c>
      <c r="Q7383" t="n">
        <v>0</v>
      </c>
      <c r="R7383" t="n">
        <v>0</v>
      </c>
      <c r="S7383" t="n">
        <v>0</v>
      </c>
      <c r="T7383" t="n">
        <v>0</v>
      </c>
      <c r="U7383" t="n">
        <v>0</v>
      </c>
      <c r="V7383" s="2" t="inlineStr"/>
    </row>
    <row r="7384" ht="15" customHeight="1">
      <c r="A7384" t="inlineStr">
        <is>
          <t>A 12366-2026</t>
        </is>
      </c>
      <c r="B7384" t="inlineStr">
        <is>
          <t>avverkningsanmälan</t>
        </is>
      </c>
      <c r="C7384" t="inlineStr">
        <is>
          <t>Föryngringsavverkning</t>
        </is>
      </c>
      <c r="D7384" s="1" t="n">
        <v>46089</v>
      </c>
      <c r="E7384" s="1" t="n">
        <v>46319</v>
      </c>
      <c r="F7384" t="inlineStr">
        <is>
          <t>DALARNAS LÄN</t>
        </is>
      </c>
      <c r="G7384" t="inlineStr">
        <is>
          <t>FALUN</t>
        </is>
      </c>
      <c r="I7384" t="n">
        <v>1.9</v>
      </c>
      <c r="J7384" t="n">
        <v>0</v>
      </c>
      <c r="K7384" t="n">
        <v>0</v>
      </c>
      <c r="L7384" t="n">
        <v>0</v>
      </c>
      <c r="M7384" t="n">
        <v>0</v>
      </c>
      <c r="N7384" t="n">
        <v>0</v>
      </c>
      <c r="O7384" t="n">
        <v>0</v>
      </c>
      <c r="P7384" t="n">
        <v>0</v>
      </c>
      <c r="Q7384" t="n">
        <v>0</v>
      </c>
      <c r="R7384" t="n">
        <v>0</v>
      </c>
      <c r="S7384" t="n">
        <v>0</v>
      </c>
      <c r="T7384" t="n">
        <v>0</v>
      </c>
      <c r="U7384" t="n">
        <v>0</v>
      </c>
      <c r="V7384" s="2" t="inlineStr"/>
    </row>
    <row r="7385" ht="15" customHeight="1">
      <c r="A7385" t="inlineStr">
        <is>
          <t>A 35708-2025</t>
        </is>
      </c>
      <c r="B7385" t="inlineStr">
        <is>
          <t>avverkningsanmälan</t>
        </is>
      </c>
      <c r="C7385" t="inlineStr">
        <is>
          <t>Föryngringsavverkning</t>
        </is>
      </c>
      <c r="D7385" s="1" t="n">
        <v>45860</v>
      </c>
      <c r="E7385" s="1" t="n">
        <v>46319</v>
      </c>
      <c r="F7385" t="inlineStr">
        <is>
          <t>DALARNAS LÄN</t>
        </is>
      </c>
      <c r="G7385" t="inlineStr">
        <is>
          <t>LUDVIKA</t>
        </is>
      </c>
      <c r="H7385" t="inlineStr">
        <is>
          <t>Bergvik skog väst AB</t>
        </is>
      </c>
      <c r="I7385" t="n">
        <v>2.7</v>
      </c>
      <c r="J7385" t="n">
        <v>0</v>
      </c>
      <c r="K7385" t="n">
        <v>0</v>
      </c>
      <c r="L7385" t="n">
        <v>0</v>
      </c>
      <c r="M7385" t="n">
        <v>0</v>
      </c>
      <c r="N7385" t="n">
        <v>0</v>
      </c>
      <c r="O7385" t="n">
        <v>0</v>
      </c>
      <c r="P7385" t="n">
        <v>0</v>
      </c>
      <c r="Q7385" t="n">
        <v>0</v>
      </c>
      <c r="R7385" t="n">
        <v>0</v>
      </c>
      <c r="S7385" t="n">
        <v>0</v>
      </c>
      <c r="T7385" t="n">
        <v>0</v>
      </c>
      <c r="U7385" t="n">
        <v>0</v>
      </c>
      <c r="V7385" s="2" t="inlineStr"/>
    </row>
    <row r="7386" ht="15" customHeight="1">
      <c r="A7386" t="inlineStr">
        <is>
          <t>A 5767-2026</t>
        </is>
      </c>
      <c r="B7386" t="inlineStr">
        <is>
          <t>avverkningsanmälan</t>
        </is>
      </c>
      <c r="C7386" t="inlineStr">
        <is>
          <t>Föryngringsavverkning</t>
        </is>
      </c>
      <c r="D7386" s="1" t="n">
        <v>46051</v>
      </c>
      <c r="E7386" s="1" t="n">
        <v>46319</v>
      </c>
      <c r="F7386" t="inlineStr">
        <is>
          <t>DALARNAS LÄN</t>
        </is>
      </c>
      <c r="G7386" t="inlineStr">
        <is>
          <t>FALUN</t>
        </is>
      </c>
      <c r="I7386" t="n">
        <v>2.4</v>
      </c>
      <c r="J7386" t="n">
        <v>0</v>
      </c>
      <c r="K7386" t="n">
        <v>0</v>
      </c>
      <c r="L7386" t="n">
        <v>0</v>
      </c>
      <c r="M7386" t="n">
        <v>0</v>
      </c>
      <c r="N7386" t="n">
        <v>0</v>
      </c>
      <c r="O7386" t="n">
        <v>0</v>
      </c>
      <c r="P7386" t="n">
        <v>0</v>
      </c>
      <c r="Q7386" t="n">
        <v>0</v>
      </c>
      <c r="R7386" t="n">
        <v>0</v>
      </c>
      <c r="S7386" t="n">
        <v>0</v>
      </c>
      <c r="T7386" t="n">
        <v>0</v>
      </c>
      <c r="U7386" t="n">
        <v>0</v>
      </c>
      <c r="V7386" s="2" t="inlineStr"/>
    </row>
    <row r="7387" ht="15" customHeight="1">
      <c r="A7387" t="inlineStr">
        <is>
          <t>A 60740-2024</t>
        </is>
      </c>
      <c r="B7387" t="inlineStr">
        <is>
          <t>avverkningsanmälan</t>
        </is>
      </c>
      <c r="C7387" t="inlineStr">
        <is>
          <t>Avverkning för annat ändamål</t>
        </is>
      </c>
      <c r="D7387" s="1" t="n">
        <v>45644</v>
      </c>
      <c r="E7387" s="1" t="n">
        <v>46319</v>
      </c>
      <c r="F7387" t="inlineStr">
        <is>
          <t>DALARNAS LÄN</t>
        </is>
      </c>
      <c r="G7387" t="inlineStr">
        <is>
          <t>BORLÄNGE</t>
        </is>
      </c>
      <c r="I7387" t="n">
        <v>4.3</v>
      </c>
      <c r="J7387" t="n">
        <v>0</v>
      </c>
      <c r="K7387" t="n">
        <v>0</v>
      </c>
      <c r="L7387" t="n">
        <v>0</v>
      </c>
      <c r="M7387" t="n">
        <v>0</v>
      </c>
      <c r="N7387" t="n">
        <v>0</v>
      </c>
      <c r="O7387" t="n">
        <v>0</v>
      </c>
      <c r="P7387" t="n">
        <v>0</v>
      </c>
      <c r="Q7387" t="n">
        <v>0</v>
      </c>
      <c r="R7387" t="n">
        <v>0</v>
      </c>
      <c r="S7387" t="n">
        <v>0</v>
      </c>
      <c r="T7387" t="n">
        <v>0</v>
      </c>
      <c r="U7387" t="n">
        <v>0</v>
      </c>
      <c r="V7387" s="2" t="inlineStr"/>
    </row>
    <row r="7388" ht="15" customHeight="1">
      <c r="A7388" t="inlineStr">
        <is>
          <t>A 37020-2026</t>
        </is>
      </c>
      <c r="B7388" t="inlineStr">
        <is>
          <t>avverkningsanmälan</t>
        </is>
      </c>
      <c r="C7388" t="inlineStr">
        <is>
          <t>Föryngringsavverkning</t>
        </is>
      </c>
      <c r="D7388" s="1" t="n">
        <v>46273</v>
      </c>
      <c r="E7388" s="1" t="n">
        <v>46319</v>
      </c>
      <c r="F7388" t="inlineStr">
        <is>
          <t>DALARNAS LÄN</t>
        </is>
      </c>
      <c r="G7388" t="inlineStr">
        <is>
          <t>ORSA</t>
        </is>
      </c>
      <c r="H7388" t="inlineStr">
        <is>
          <t>Allmännings- och besparingsskogar</t>
        </is>
      </c>
      <c r="I7388" t="n">
        <v>3.4</v>
      </c>
      <c r="J7388" t="n">
        <v>0</v>
      </c>
      <c r="K7388" t="n">
        <v>0</v>
      </c>
      <c r="L7388" t="n">
        <v>0</v>
      </c>
      <c r="M7388" t="n">
        <v>0</v>
      </c>
      <c r="N7388" t="n">
        <v>0</v>
      </c>
      <c r="O7388" t="n">
        <v>0</v>
      </c>
      <c r="P7388" t="n">
        <v>0</v>
      </c>
      <c r="Q7388" t="n">
        <v>0</v>
      </c>
      <c r="R7388" t="n">
        <v>0</v>
      </c>
      <c r="S7388" t="n">
        <v>0</v>
      </c>
      <c r="T7388" t="n">
        <v>0</v>
      </c>
      <c r="U7388" t="n">
        <v>0</v>
      </c>
      <c r="V7388" s="2" t="inlineStr"/>
    </row>
    <row r="7389" ht="15" customHeight="1">
      <c r="A7389" t="inlineStr">
        <is>
          <t>A 53067-2024</t>
        </is>
      </c>
      <c r="B7389" t="inlineStr">
        <is>
          <t>avverkningsanmälan</t>
        </is>
      </c>
      <c r="C7389" t="inlineStr">
        <is>
          <t>Föryngringsavverkning</t>
        </is>
      </c>
      <c r="D7389" s="1" t="n">
        <v>45611</v>
      </c>
      <c r="E7389" s="1" t="n">
        <v>46319</v>
      </c>
      <c r="F7389" t="inlineStr">
        <is>
          <t>DALARNAS LÄN</t>
        </is>
      </c>
      <c r="G7389" t="inlineStr">
        <is>
          <t>FALUN</t>
        </is>
      </c>
      <c r="I7389" t="n">
        <v>0.9</v>
      </c>
      <c r="J7389" t="n">
        <v>0</v>
      </c>
      <c r="K7389" t="n">
        <v>0</v>
      </c>
      <c r="L7389" t="n">
        <v>0</v>
      </c>
      <c r="M7389" t="n">
        <v>0</v>
      </c>
      <c r="N7389" t="n">
        <v>0</v>
      </c>
      <c r="O7389" t="n">
        <v>0</v>
      </c>
      <c r="P7389" t="n">
        <v>0</v>
      </c>
      <c r="Q7389" t="n">
        <v>0</v>
      </c>
      <c r="R7389" t="n">
        <v>0</v>
      </c>
      <c r="S7389" t="n">
        <v>0</v>
      </c>
      <c r="T7389" t="n">
        <v>0</v>
      </c>
      <c r="U7389" t="n">
        <v>0</v>
      </c>
      <c r="V7389" s="2" t="inlineStr"/>
    </row>
    <row r="7390" ht="15" customHeight="1">
      <c r="A7390" t="inlineStr">
        <is>
          <t>A 37067-2026</t>
        </is>
      </c>
      <c r="B7390" t="inlineStr">
        <is>
          <t>avverkningsanmälan</t>
        </is>
      </c>
      <c r="C7390" t="inlineStr">
        <is>
          <t>Föryngringsavverkning</t>
        </is>
      </c>
      <c r="D7390" s="1" t="n">
        <v>46273</v>
      </c>
      <c r="E7390" s="1" t="n">
        <v>46319</v>
      </c>
      <c r="F7390" t="inlineStr">
        <is>
          <t>DALARNAS LÄN</t>
        </is>
      </c>
      <c r="G7390" t="inlineStr">
        <is>
          <t>RÄTTVIK</t>
        </is>
      </c>
      <c r="H7390" t="inlineStr">
        <is>
          <t>Sveaskog</t>
        </is>
      </c>
      <c r="I7390" t="n">
        <v>2.5</v>
      </c>
      <c r="J7390" t="n">
        <v>0</v>
      </c>
      <c r="K7390" t="n">
        <v>0</v>
      </c>
      <c r="L7390" t="n">
        <v>0</v>
      </c>
      <c r="M7390" t="n">
        <v>0</v>
      </c>
      <c r="N7390" t="n">
        <v>0</v>
      </c>
      <c r="O7390" t="n">
        <v>0</v>
      </c>
      <c r="P7390" t="n">
        <v>0</v>
      </c>
      <c r="Q7390" t="n">
        <v>0</v>
      </c>
      <c r="R7390" t="n">
        <v>0</v>
      </c>
      <c r="S7390" t="n">
        <v>0</v>
      </c>
      <c r="T7390" t="n">
        <v>0</v>
      </c>
      <c r="U7390" t="n">
        <v>0</v>
      </c>
      <c r="V7390" s="2" t="inlineStr"/>
    </row>
    <row r="7391" ht="15" customHeight="1">
      <c r="A7391" t="inlineStr">
        <is>
          <t>A 4162-2026</t>
        </is>
      </c>
      <c r="B7391" t="inlineStr">
        <is>
          <t>avverkningsanmälan</t>
        </is>
      </c>
      <c r="C7391" t="inlineStr">
        <is>
          <t>Föryngringsavverkning</t>
        </is>
      </c>
      <c r="D7391" s="1" t="n">
        <v>46044</v>
      </c>
      <c r="E7391" s="1" t="n">
        <v>46319</v>
      </c>
      <c r="F7391" t="inlineStr">
        <is>
          <t>DALARNAS LÄN</t>
        </is>
      </c>
      <c r="G7391" t="inlineStr">
        <is>
          <t>RÄTTVIK</t>
        </is>
      </c>
      <c r="I7391" t="n">
        <v>2.7</v>
      </c>
      <c r="J7391" t="n">
        <v>0</v>
      </c>
      <c r="K7391" t="n">
        <v>0</v>
      </c>
      <c r="L7391" t="n">
        <v>0</v>
      </c>
      <c r="M7391" t="n">
        <v>0</v>
      </c>
      <c r="N7391" t="n">
        <v>0</v>
      </c>
      <c r="O7391" t="n">
        <v>0</v>
      </c>
      <c r="P7391" t="n">
        <v>0</v>
      </c>
      <c r="Q7391" t="n">
        <v>0</v>
      </c>
      <c r="R7391" t="n">
        <v>0</v>
      </c>
      <c r="S7391" t="n">
        <v>0</v>
      </c>
      <c r="T7391" t="n">
        <v>0</v>
      </c>
      <c r="U7391" t="n">
        <v>0</v>
      </c>
      <c r="V7391" s="2" t="inlineStr"/>
    </row>
    <row r="7392" ht="15" customHeight="1">
      <c r="A7392" t="inlineStr">
        <is>
          <t>A 36695-2026</t>
        </is>
      </c>
      <c r="B7392" t="inlineStr">
        <is>
          <t>avverkningsanmälan</t>
        </is>
      </c>
      <c r="C7392" t="inlineStr">
        <is>
          <t>Föryngringsavverkning</t>
        </is>
      </c>
      <c r="D7392" s="1" t="n">
        <v>46272</v>
      </c>
      <c r="E7392" s="1" t="n">
        <v>46319</v>
      </c>
      <c r="F7392" t="inlineStr">
        <is>
          <t>DALARNAS LÄN</t>
        </is>
      </c>
      <c r="G7392" t="inlineStr">
        <is>
          <t>FALUN</t>
        </is>
      </c>
      <c r="H7392" t="inlineStr">
        <is>
          <t>Bergvik skog väst AB</t>
        </is>
      </c>
      <c r="I7392" t="n">
        <v>1.6</v>
      </c>
      <c r="J7392" t="n">
        <v>0</v>
      </c>
      <c r="K7392" t="n">
        <v>0</v>
      </c>
      <c r="L7392" t="n">
        <v>0</v>
      </c>
      <c r="M7392" t="n">
        <v>0</v>
      </c>
      <c r="N7392" t="n">
        <v>0</v>
      </c>
      <c r="O7392" t="n">
        <v>0</v>
      </c>
      <c r="P7392" t="n">
        <v>0</v>
      </c>
      <c r="Q7392" t="n">
        <v>0</v>
      </c>
      <c r="R7392" t="n">
        <v>0</v>
      </c>
      <c r="S7392" t="n">
        <v>0</v>
      </c>
      <c r="T7392" t="n">
        <v>0</v>
      </c>
      <c r="U7392" t="n">
        <v>0</v>
      </c>
      <c r="V7392" s="2" t="inlineStr"/>
    </row>
    <row r="7393" ht="15" customHeight="1">
      <c r="A7393" t="inlineStr">
        <is>
          <t>A 36706-2026</t>
        </is>
      </c>
      <c r="B7393" t="inlineStr">
        <is>
          <t>avverkningsanmälan</t>
        </is>
      </c>
      <c r="C7393" t="inlineStr">
        <is>
          <t>Föryngringsavverkning</t>
        </is>
      </c>
      <c r="D7393" s="1" t="n">
        <v>46272</v>
      </c>
      <c r="E7393" s="1" t="n">
        <v>46319</v>
      </c>
      <c r="F7393" t="inlineStr">
        <is>
          <t>DALARNAS LÄN</t>
        </is>
      </c>
      <c r="G7393" t="inlineStr">
        <is>
          <t>VANSBRO</t>
        </is>
      </c>
      <c r="H7393" t="inlineStr">
        <is>
          <t>Bergvik skog väst AB</t>
        </is>
      </c>
      <c r="I7393" t="n">
        <v>2.9</v>
      </c>
      <c r="J7393" t="n">
        <v>0</v>
      </c>
      <c r="K7393" t="n">
        <v>0</v>
      </c>
      <c r="L7393" t="n">
        <v>0</v>
      </c>
      <c r="M7393" t="n">
        <v>0</v>
      </c>
      <c r="N7393" t="n">
        <v>0</v>
      </c>
      <c r="O7393" t="n">
        <v>0</v>
      </c>
      <c r="P7393" t="n">
        <v>0</v>
      </c>
      <c r="Q7393" t="n">
        <v>0</v>
      </c>
      <c r="R7393" t="n">
        <v>0</v>
      </c>
      <c r="S7393" t="n">
        <v>0</v>
      </c>
      <c r="T7393" t="n">
        <v>0</v>
      </c>
      <c r="U7393" t="n">
        <v>0</v>
      </c>
      <c r="V7393" s="2" t="inlineStr"/>
    </row>
    <row r="7394" ht="15" customHeight="1">
      <c r="A7394" t="inlineStr">
        <is>
          <t>A 36719-2026</t>
        </is>
      </c>
      <c r="B7394" t="inlineStr">
        <is>
          <t>avverkningsanmälan</t>
        </is>
      </c>
      <c r="C7394" t="inlineStr">
        <is>
          <t>Föryngringsavverkning</t>
        </is>
      </c>
      <c r="D7394" s="1" t="n">
        <v>46272</v>
      </c>
      <c r="E7394" s="1" t="n">
        <v>46319</v>
      </c>
      <c r="F7394" t="inlineStr">
        <is>
          <t>DALARNAS LÄN</t>
        </is>
      </c>
      <c r="G7394" t="inlineStr">
        <is>
          <t>MALUNG-SÄLEN</t>
        </is>
      </c>
      <c r="H7394" t="inlineStr">
        <is>
          <t>Bergvik skog öst AB</t>
        </is>
      </c>
      <c r="I7394" t="n">
        <v>1.7</v>
      </c>
      <c r="J7394" t="n">
        <v>0</v>
      </c>
      <c r="K7394" t="n">
        <v>0</v>
      </c>
      <c r="L7394" t="n">
        <v>0</v>
      </c>
      <c r="M7394" t="n">
        <v>0</v>
      </c>
      <c r="N7394" t="n">
        <v>0</v>
      </c>
      <c r="O7394" t="n">
        <v>0</v>
      </c>
      <c r="P7394" t="n">
        <v>0</v>
      </c>
      <c r="Q7394" t="n">
        <v>0</v>
      </c>
      <c r="R7394" t="n">
        <v>0</v>
      </c>
      <c r="S7394" t="n">
        <v>0</v>
      </c>
      <c r="T7394" t="n">
        <v>0</v>
      </c>
      <c r="U7394" t="n">
        <v>0</v>
      </c>
      <c r="V7394" s="2" t="inlineStr"/>
    </row>
    <row r="7395" ht="15" customHeight="1">
      <c r="A7395" t="inlineStr">
        <is>
          <t>A 12582-2025</t>
        </is>
      </c>
      <c r="B7395" t="inlineStr">
        <is>
          <t>avverkningsanmälan</t>
        </is>
      </c>
      <c r="C7395" t="inlineStr">
        <is>
          <t>Föryngringsavverkning</t>
        </is>
      </c>
      <c r="D7395" s="1" t="n">
        <v>45732</v>
      </c>
      <c r="E7395" s="1" t="n">
        <v>46319</v>
      </c>
      <c r="F7395" t="inlineStr">
        <is>
          <t>DALARNAS LÄN</t>
        </is>
      </c>
      <c r="G7395" t="inlineStr">
        <is>
          <t>LEKSAND</t>
        </is>
      </c>
      <c r="I7395" t="n">
        <v>1.3</v>
      </c>
      <c r="J7395" t="n">
        <v>0</v>
      </c>
      <c r="K7395" t="n">
        <v>0</v>
      </c>
      <c r="L7395" t="n">
        <v>0</v>
      </c>
      <c r="M7395" t="n">
        <v>0</v>
      </c>
      <c r="N7395" t="n">
        <v>0</v>
      </c>
      <c r="O7395" t="n">
        <v>0</v>
      </c>
      <c r="P7395" t="n">
        <v>0</v>
      </c>
      <c r="Q7395" t="n">
        <v>0</v>
      </c>
      <c r="R7395" t="n">
        <v>0</v>
      </c>
      <c r="S7395" t="n">
        <v>0</v>
      </c>
      <c r="T7395" t="n">
        <v>0</v>
      </c>
      <c r="U7395" t="n">
        <v>0</v>
      </c>
      <c r="V7395" s="2" t="inlineStr"/>
    </row>
    <row r="7396" ht="15" customHeight="1">
      <c r="A7396" t="inlineStr">
        <is>
          <t>A 16157-2024</t>
        </is>
      </c>
      <c r="B7396" t="inlineStr">
        <is>
          <t>avverkningsanmälan</t>
        </is>
      </c>
      <c r="C7396" t="inlineStr">
        <is>
          <t>Föryngringsavverkning</t>
        </is>
      </c>
      <c r="D7396" s="1" t="n">
        <v>45406</v>
      </c>
      <c r="E7396" s="1" t="n">
        <v>46319</v>
      </c>
      <c r="F7396" t="inlineStr">
        <is>
          <t>DALARNAS LÄN</t>
        </is>
      </c>
      <c r="G7396" t="inlineStr">
        <is>
          <t>MALUNG-SÄLEN</t>
        </is>
      </c>
      <c r="I7396" t="n">
        <v>2.5</v>
      </c>
      <c r="J7396" t="n">
        <v>0</v>
      </c>
      <c r="K7396" t="n">
        <v>0</v>
      </c>
      <c r="L7396" t="n">
        <v>0</v>
      </c>
      <c r="M7396" t="n">
        <v>0</v>
      </c>
      <c r="N7396" t="n">
        <v>0</v>
      </c>
      <c r="O7396" t="n">
        <v>0</v>
      </c>
      <c r="P7396" t="n">
        <v>0</v>
      </c>
      <c r="Q7396" t="n">
        <v>0</v>
      </c>
      <c r="R7396" t="n">
        <v>0</v>
      </c>
      <c r="S7396" t="n">
        <v>0</v>
      </c>
      <c r="T7396" t="n">
        <v>0</v>
      </c>
      <c r="U7396" t="n">
        <v>0</v>
      </c>
      <c r="V7396" s="2" t="inlineStr"/>
    </row>
    <row r="7397" ht="15" customHeight="1">
      <c r="A7397" t="inlineStr">
        <is>
          <t>A 61871-2024</t>
        </is>
      </c>
      <c r="B7397" t="inlineStr">
        <is>
          <t>avverkningsanmälan</t>
        </is>
      </c>
      <c r="C7397" t="inlineStr">
        <is>
          <t>Föryngringsavverkning</t>
        </is>
      </c>
      <c r="D7397" s="1" t="n">
        <v>45651</v>
      </c>
      <c r="E7397" s="1" t="n">
        <v>46319</v>
      </c>
      <c r="F7397" t="inlineStr">
        <is>
          <t>DALARNAS LÄN</t>
        </is>
      </c>
      <c r="G7397" t="inlineStr">
        <is>
          <t>GAGNEF</t>
        </is>
      </c>
      <c r="H7397" t="inlineStr">
        <is>
          <t>Bergvik skog väst AB</t>
        </is>
      </c>
      <c r="I7397" t="n">
        <v>10</v>
      </c>
      <c r="J7397" t="n">
        <v>0</v>
      </c>
      <c r="K7397" t="n">
        <v>0</v>
      </c>
      <c r="L7397" t="n">
        <v>0</v>
      </c>
      <c r="M7397" t="n">
        <v>0</v>
      </c>
      <c r="N7397" t="n">
        <v>0</v>
      </c>
      <c r="O7397" t="n">
        <v>0</v>
      </c>
      <c r="P7397" t="n">
        <v>0</v>
      </c>
      <c r="Q7397" t="n">
        <v>0</v>
      </c>
      <c r="R7397" t="n">
        <v>0</v>
      </c>
      <c r="S7397" t="n">
        <v>0</v>
      </c>
      <c r="T7397" t="n">
        <v>0</v>
      </c>
      <c r="U7397" t="n">
        <v>0</v>
      </c>
      <c r="V7397" s="2" t="inlineStr"/>
    </row>
    <row r="7398" ht="15" customHeight="1">
      <c r="A7398" t="inlineStr">
        <is>
          <t>A 37036-2026</t>
        </is>
      </c>
      <c r="B7398" t="inlineStr">
        <is>
          <t>avverkningsanmälan</t>
        </is>
      </c>
      <c r="C7398" t="inlineStr">
        <is>
          <t>Föryngringsavverkning</t>
        </is>
      </c>
      <c r="D7398" s="1" t="n">
        <v>46273</v>
      </c>
      <c r="E7398" s="1" t="n">
        <v>46319</v>
      </c>
      <c r="F7398" t="inlineStr">
        <is>
          <t>DALARNAS LÄN</t>
        </is>
      </c>
      <c r="G7398" t="inlineStr">
        <is>
          <t>FALUN</t>
        </is>
      </c>
      <c r="I7398" t="n">
        <v>0.6</v>
      </c>
      <c r="J7398" t="n">
        <v>0</v>
      </c>
      <c r="K7398" t="n">
        <v>0</v>
      </c>
      <c r="L7398" t="n">
        <v>0</v>
      </c>
      <c r="M7398" t="n">
        <v>0</v>
      </c>
      <c r="N7398" t="n">
        <v>0</v>
      </c>
      <c r="O7398" t="n">
        <v>0</v>
      </c>
      <c r="P7398" t="n">
        <v>0</v>
      </c>
      <c r="Q7398" t="n">
        <v>0</v>
      </c>
      <c r="R7398" t="n">
        <v>0</v>
      </c>
      <c r="S7398" t="n">
        <v>0</v>
      </c>
      <c r="T7398" t="n">
        <v>0</v>
      </c>
      <c r="U7398" t="n">
        <v>0</v>
      </c>
      <c r="V7398" s="2" t="inlineStr"/>
    </row>
    <row r="7399" ht="15" customHeight="1">
      <c r="A7399" t="inlineStr">
        <is>
          <t>A 5885-2024</t>
        </is>
      </c>
      <c r="B7399" t="inlineStr">
        <is>
          <t>avverkningsanmälan</t>
        </is>
      </c>
      <c r="C7399" t="inlineStr">
        <is>
          <t>Föryngringsavverkning</t>
        </is>
      </c>
      <c r="D7399" s="1" t="n">
        <v>45335</v>
      </c>
      <c r="E7399" s="1" t="n">
        <v>46319</v>
      </c>
      <c r="F7399" t="inlineStr">
        <is>
          <t>DALARNAS LÄN</t>
        </is>
      </c>
      <c r="G7399" t="inlineStr">
        <is>
          <t>ÄLVDALEN</t>
        </is>
      </c>
      <c r="I7399" t="n">
        <v>0.8</v>
      </c>
      <c r="J7399" t="n">
        <v>0</v>
      </c>
      <c r="K7399" t="n">
        <v>0</v>
      </c>
      <c r="L7399" t="n">
        <v>0</v>
      </c>
      <c r="M7399" t="n">
        <v>0</v>
      </c>
      <c r="N7399" t="n">
        <v>0</v>
      </c>
      <c r="O7399" t="n">
        <v>0</v>
      </c>
      <c r="P7399" t="n">
        <v>0</v>
      </c>
      <c r="Q7399" t="n">
        <v>0</v>
      </c>
      <c r="R7399" t="n">
        <v>0</v>
      </c>
      <c r="S7399" t="n">
        <v>0</v>
      </c>
      <c r="T7399" t="n">
        <v>0</v>
      </c>
      <c r="U7399" t="n">
        <v>0</v>
      </c>
      <c r="V7399" s="2" t="inlineStr"/>
    </row>
    <row r="7400" ht="15" customHeight="1">
      <c r="A7400" t="inlineStr">
        <is>
          <t>A 28891-2025</t>
        </is>
      </c>
      <c r="B7400" t="inlineStr">
        <is>
          <t>avverkningsanmälan</t>
        </is>
      </c>
      <c r="C7400" t="inlineStr">
        <is>
          <t>Föryngringsavverkning</t>
        </is>
      </c>
      <c r="D7400" s="1" t="n">
        <v>45820</v>
      </c>
      <c r="E7400" s="1" t="n">
        <v>46319</v>
      </c>
      <c r="F7400" t="inlineStr">
        <is>
          <t>DALARNAS LÄN</t>
        </is>
      </c>
      <c r="G7400" t="inlineStr">
        <is>
          <t>BORLÄNGE</t>
        </is>
      </c>
      <c r="I7400" t="n">
        <v>2.2</v>
      </c>
      <c r="J7400" t="n">
        <v>0</v>
      </c>
      <c r="K7400" t="n">
        <v>0</v>
      </c>
      <c r="L7400" t="n">
        <v>0</v>
      </c>
      <c r="M7400" t="n">
        <v>0</v>
      </c>
      <c r="N7400" t="n">
        <v>0</v>
      </c>
      <c r="O7400" t="n">
        <v>0</v>
      </c>
      <c r="P7400" t="n">
        <v>0</v>
      </c>
      <c r="Q7400" t="n">
        <v>0</v>
      </c>
      <c r="R7400" t="n">
        <v>0</v>
      </c>
      <c r="S7400" t="n">
        <v>0</v>
      </c>
      <c r="T7400" t="n">
        <v>0</v>
      </c>
      <c r="U7400" t="n">
        <v>0</v>
      </c>
      <c r="V7400" s="2" t="inlineStr"/>
    </row>
    <row r="7401" ht="15" customHeight="1">
      <c r="A7401" t="inlineStr">
        <is>
          <t>A 4677-2026</t>
        </is>
      </c>
      <c r="B7401" t="inlineStr">
        <is>
          <t>avverkningsanmälan</t>
        </is>
      </c>
      <c r="C7401" t="inlineStr">
        <is>
          <t>Föryngringsavverkning</t>
        </is>
      </c>
      <c r="D7401" s="1" t="n">
        <v>46048</v>
      </c>
      <c r="E7401" s="1" t="n">
        <v>46319</v>
      </c>
      <c r="F7401" t="inlineStr">
        <is>
          <t>DALARNAS LÄN</t>
        </is>
      </c>
      <c r="G7401" t="inlineStr">
        <is>
          <t>RÄTTVIK</t>
        </is>
      </c>
      <c r="I7401" t="n">
        <v>1.7</v>
      </c>
      <c r="J7401" t="n">
        <v>0</v>
      </c>
      <c r="K7401" t="n">
        <v>0</v>
      </c>
      <c r="L7401" t="n">
        <v>0</v>
      </c>
      <c r="M7401" t="n">
        <v>0</v>
      </c>
      <c r="N7401" t="n">
        <v>0</v>
      </c>
      <c r="O7401" t="n">
        <v>0</v>
      </c>
      <c r="P7401" t="n">
        <v>0</v>
      </c>
      <c r="Q7401" t="n">
        <v>0</v>
      </c>
      <c r="R7401" t="n">
        <v>0</v>
      </c>
      <c r="S7401" t="n">
        <v>0</v>
      </c>
      <c r="T7401" t="n">
        <v>0</v>
      </c>
      <c r="U7401" t="n">
        <v>0</v>
      </c>
      <c r="V7401" s="2" t="inlineStr"/>
    </row>
    <row r="7402" ht="15" customHeight="1">
      <c r="A7402" t="inlineStr">
        <is>
          <t>A 37015-2026</t>
        </is>
      </c>
      <c r="B7402" t="inlineStr">
        <is>
          <t>avverkningsanmälan</t>
        </is>
      </c>
      <c r="C7402" t="inlineStr">
        <is>
          <t>Föryngringsavverkning</t>
        </is>
      </c>
      <c r="D7402" s="1" t="n">
        <v>46273</v>
      </c>
      <c r="E7402" s="1" t="n">
        <v>46319</v>
      </c>
      <c r="F7402" t="inlineStr">
        <is>
          <t>DALARNAS LÄN</t>
        </is>
      </c>
      <c r="G7402" t="inlineStr">
        <is>
          <t>LUDVIKA</t>
        </is>
      </c>
      <c r="H7402" t="inlineStr">
        <is>
          <t>Bergvik skog väst AB</t>
        </is>
      </c>
      <c r="I7402" t="n">
        <v>2.2</v>
      </c>
      <c r="J7402" t="n">
        <v>0</v>
      </c>
      <c r="K7402" t="n">
        <v>0</v>
      </c>
      <c r="L7402" t="n">
        <v>0</v>
      </c>
      <c r="M7402" t="n">
        <v>0</v>
      </c>
      <c r="N7402" t="n">
        <v>0</v>
      </c>
      <c r="O7402" t="n">
        <v>0</v>
      </c>
      <c r="P7402" t="n">
        <v>0</v>
      </c>
      <c r="Q7402" t="n">
        <v>0</v>
      </c>
      <c r="R7402" t="n">
        <v>0</v>
      </c>
      <c r="S7402" t="n">
        <v>0</v>
      </c>
      <c r="T7402" t="n">
        <v>0</v>
      </c>
      <c r="U7402" t="n">
        <v>0</v>
      </c>
      <c r="V7402" s="2" t="inlineStr"/>
    </row>
    <row r="7403" ht="15" customHeight="1">
      <c r="A7403" t="inlineStr">
        <is>
          <t>A 20511-2026</t>
        </is>
      </c>
      <c r="B7403" t="inlineStr">
        <is>
          <t>avverkningsanmälan</t>
        </is>
      </c>
      <c r="C7403" t="inlineStr">
        <is>
          <t>Föryngringsavverkning</t>
        </is>
      </c>
      <c r="D7403" s="1" t="n">
        <v>46140</v>
      </c>
      <c r="E7403" s="1" t="n">
        <v>46319</v>
      </c>
      <c r="F7403" t="inlineStr">
        <is>
          <t>DALARNAS LÄN</t>
        </is>
      </c>
      <c r="G7403" t="inlineStr">
        <is>
          <t>FALUN</t>
        </is>
      </c>
      <c r="H7403" t="inlineStr">
        <is>
          <t>Bergvik skog väst AB</t>
        </is>
      </c>
      <c r="I7403" t="n">
        <v>47.3</v>
      </c>
      <c r="J7403" t="n">
        <v>0</v>
      </c>
      <c r="K7403" t="n">
        <v>0</v>
      </c>
      <c r="L7403" t="n">
        <v>0</v>
      </c>
      <c r="M7403" t="n">
        <v>0</v>
      </c>
      <c r="N7403" t="n">
        <v>0</v>
      </c>
      <c r="O7403" t="n">
        <v>0</v>
      </c>
      <c r="P7403" t="n">
        <v>0</v>
      </c>
      <c r="Q7403" t="n">
        <v>0</v>
      </c>
      <c r="R7403" t="n">
        <v>0</v>
      </c>
      <c r="S7403" t="n">
        <v>0</v>
      </c>
      <c r="T7403" t="n">
        <v>0</v>
      </c>
      <c r="U7403" t="n">
        <v>0</v>
      </c>
      <c r="V7403" s="2" t="inlineStr"/>
    </row>
    <row r="7404" ht="15" customHeight="1">
      <c r="A7404" t="inlineStr">
        <is>
          <t>A 36703-2026</t>
        </is>
      </c>
      <c r="B7404" t="inlineStr">
        <is>
          <t>avverkningsanmälan</t>
        </is>
      </c>
      <c r="C7404" t="inlineStr">
        <is>
          <t>Föryngringsavverkning</t>
        </is>
      </c>
      <c r="D7404" s="1" t="n">
        <v>46272</v>
      </c>
      <c r="E7404" s="1" t="n">
        <v>46319</v>
      </c>
      <c r="F7404" t="inlineStr">
        <is>
          <t>DALARNAS LÄN</t>
        </is>
      </c>
      <c r="G7404" t="inlineStr">
        <is>
          <t>MALUNG-SÄLEN</t>
        </is>
      </c>
      <c r="H7404" t="inlineStr">
        <is>
          <t>Bergvik skog öst AB</t>
        </is>
      </c>
      <c r="I7404" t="n">
        <v>8.199999999999999</v>
      </c>
      <c r="J7404" t="n">
        <v>0</v>
      </c>
      <c r="K7404" t="n">
        <v>0</v>
      </c>
      <c r="L7404" t="n">
        <v>0</v>
      </c>
      <c r="M7404" t="n">
        <v>0</v>
      </c>
      <c r="N7404" t="n">
        <v>0</v>
      </c>
      <c r="O7404" t="n">
        <v>0</v>
      </c>
      <c r="P7404" t="n">
        <v>0</v>
      </c>
      <c r="Q7404" t="n">
        <v>0</v>
      </c>
      <c r="R7404" t="n">
        <v>0</v>
      </c>
      <c r="S7404" t="n">
        <v>0</v>
      </c>
      <c r="T7404" t="n">
        <v>0</v>
      </c>
      <c r="U7404" t="n">
        <v>0</v>
      </c>
      <c r="V7404" s="2" t="inlineStr"/>
    </row>
    <row r="7405" ht="15" customHeight="1">
      <c r="A7405" t="inlineStr">
        <is>
          <t>A 2284-2026</t>
        </is>
      </c>
      <c r="B7405" t="inlineStr">
        <is>
          <t>avverkningsanmälan</t>
        </is>
      </c>
      <c r="C7405" t="inlineStr">
        <is>
          <t>Föryngringsavverkning</t>
        </is>
      </c>
      <c r="D7405" s="1" t="n">
        <v>46036</v>
      </c>
      <c r="E7405" s="1" t="n">
        <v>46319</v>
      </c>
      <c r="F7405" t="inlineStr">
        <is>
          <t>DALARNAS LÄN</t>
        </is>
      </c>
      <c r="G7405" t="inlineStr">
        <is>
          <t>FALUN</t>
        </is>
      </c>
      <c r="I7405" t="n">
        <v>6</v>
      </c>
      <c r="J7405" t="n">
        <v>0</v>
      </c>
      <c r="K7405" t="n">
        <v>0</v>
      </c>
      <c r="L7405" t="n">
        <v>0</v>
      </c>
      <c r="M7405" t="n">
        <v>0</v>
      </c>
      <c r="N7405" t="n">
        <v>0</v>
      </c>
      <c r="O7405" t="n">
        <v>0</v>
      </c>
      <c r="P7405" t="n">
        <v>0</v>
      </c>
      <c r="Q7405" t="n">
        <v>0</v>
      </c>
      <c r="R7405" t="n">
        <v>0</v>
      </c>
      <c r="S7405" t="n">
        <v>0</v>
      </c>
      <c r="T7405" t="n">
        <v>0</v>
      </c>
      <c r="U7405" t="n">
        <v>0</v>
      </c>
      <c r="V7405" s="2" t="inlineStr"/>
    </row>
    <row r="7406" ht="15" customHeight="1">
      <c r="A7406" t="inlineStr">
        <is>
          <t>A 41800-2025</t>
        </is>
      </c>
      <c r="B7406" t="inlineStr">
        <is>
          <t>avverkningsanmälan</t>
        </is>
      </c>
      <c r="C7406" t="inlineStr">
        <is>
          <t>Föryngringsavverkning</t>
        </is>
      </c>
      <c r="D7406" s="1" t="n">
        <v>45902</v>
      </c>
      <c r="E7406" s="1" t="n">
        <v>46319</v>
      </c>
      <c r="F7406" t="inlineStr">
        <is>
          <t>DALARNAS LÄN</t>
        </is>
      </c>
      <c r="G7406" t="inlineStr">
        <is>
          <t>MALUNG-SÄLEN</t>
        </is>
      </c>
      <c r="H7406" t="inlineStr">
        <is>
          <t>Bergvik skog öst AB</t>
        </is>
      </c>
      <c r="I7406" t="n">
        <v>0.7</v>
      </c>
      <c r="J7406" t="n">
        <v>0</v>
      </c>
      <c r="K7406" t="n">
        <v>0</v>
      </c>
      <c r="L7406" t="n">
        <v>0</v>
      </c>
      <c r="M7406" t="n">
        <v>0</v>
      </c>
      <c r="N7406" t="n">
        <v>0</v>
      </c>
      <c r="O7406" t="n">
        <v>0</v>
      </c>
      <c r="P7406" t="n">
        <v>0</v>
      </c>
      <c r="Q7406" t="n">
        <v>0</v>
      </c>
      <c r="R7406" t="n">
        <v>0</v>
      </c>
      <c r="S7406" t="n">
        <v>0</v>
      </c>
      <c r="T7406" t="n">
        <v>0</v>
      </c>
      <c r="U7406" t="n">
        <v>0</v>
      </c>
      <c r="V7406" s="2" t="inlineStr"/>
    </row>
    <row r="7407" ht="15" customHeight="1">
      <c r="A7407" t="inlineStr">
        <is>
          <t>A 41828-2025</t>
        </is>
      </c>
      <c r="B7407" t="inlineStr">
        <is>
          <t>avverkningsanmälan</t>
        </is>
      </c>
      <c r="C7407" t="inlineStr">
        <is>
          <t>Föryngringsavverkning</t>
        </is>
      </c>
      <c r="D7407" s="1" t="n">
        <v>45902</v>
      </c>
      <c r="E7407" s="1" t="n">
        <v>46319</v>
      </c>
      <c r="F7407" t="inlineStr">
        <is>
          <t>DALARNAS LÄN</t>
        </is>
      </c>
      <c r="G7407" t="inlineStr">
        <is>
          <t>LUDVIKA</t>
        </is>
      </c>
      <c r="I7407" t="n">
        <v>1.7</v>
      </c>
      <c r="J7407" t="n">
        <v>0</v>
      </c>
      <c r="K7407" t="n">
        <v>0</v>
      </c>
      <c r="L7407" t="n">
        <v>0</v>
      </c>
      <c r="M7407" t="n">
        <v>0</v>
      </c>
      <c r="N7407" t="n">
        <v>0</v>
      </c>
      <c r="O7407" t="n">
        <v>0</v>
      </c>
      <c r="P7407" t="n">
        <v>0</v>
      </c>
      <c r="Q7407" t="n">
        <v>0</v>
      </c>
      <c r="R7407" t="n">
        <v>0</v>
      </c>
      <c r="S7407" t="n">
        <v>0</v>
      </c>
      <c r="T7407" t="n">
        <v>0</v>
      </c>
      <c r="U7407" t="n">
        <v>0</v>
      </c>
      <c r="V7407" s="2" t="inlineStr"/>
    </row>
    <row r="7408" ht="15" customHeight="1">
      <c r="A7408" t="inlineStr">
        <is>
          <t>A 20615-2025</t>
        </is>
      </c>
      <c r="B7408" t="inlineStr">
        <is>
          <t>avverkningsanmälan</t>
        </is>
      </c>
      <c r="C7408" t="inlineStr">
        <is>
          <t>Föryngringsavverkning</t>
        </is>
      </c>
      <c r="D7408" s="1" t="n">
        <v>45776</v>
      </c>
      <c r="E7408" s="1" t="n">
        <v>46319</v>
      </c>
      <c r="F7408" t="inlineStr">
        <is>
          <t>DALARNAS LÄN</t>
        </is>
      </c>
      <c r="G7408" t="inlineStr">
        <is>
          <t>RÄTTVIK</t>
        </is>
      </c>
      <c r="I7408" t="n">
        <v>2.3</v>
      </c>
      <c r="J7408" t="n">
        <v>0</v>
      </c>
      <c r="K7408" t="n">
        <v>0</v>
      </c>
      <c r="L7408" t="n">
        <v>0</v>
      </c>
      <c r="M7408" t="n">
        <v>0</v>
      </c>
      <c r="N7408" t="n">
        <v>0</v>
      </c>
      <c r="O7408" t="n">
        <v>0</v>
      </c>
      <c r="P7408" t="n">
        <v>0</v>
      </c>
      <c r="Q7408" t="n">
        <v>0</v>
      </c>
      <c r="R7408" t="n">
        <v>0</v>
      </c>
      <c r="S7408" t="n">
        <v>0</v>
      </c>
      <c r="T7408" t="n">
        <v>0</v>
      </c>
      <c r="U7408" t="n">
        <v>0</v>
      </c>
      <c r="V7408" s="2" t="inlineStr"/>
    </row>
    <row r="7409" ht="15" customHeight="1">
      <c r="A7409" t="inlineStr">
        <is>
          <t>A 20490-2026</t>
        </is>
      </c>
      <c r="B7409" t="inlineStr">
        <is>
          <t>avverkningsanmälan</t>
        </is>
      </c>
      <c r="C7409" t="inlineStr">
        <is>
          <t>Föryngringsavverkning</t>
        </is>
      </c>
      <c r="D7409" s="1" t="n">
        <v>46140</v>
      </c>
      <c r="E7409" s="1" t="n">
        <v>46319</v>
      </c>
      <c r="F7409" t="inlineStr">
        <is>
          <t>DALARNAS LÄN</t>
        </is>
      </c>
      <c r="G7409" t="inlineStr">
        <is>
          <t>SÄTER</t>
        </is>
      </c>
      <c r="I7409" t="n">
        <v>1.7</v>
      </c>
      <c r="J7409" t="n">
        <v>0</v>
      </c>
      <c r="K7409" t="n">
        <v>0</v>
      </c>
      <c r="L7409" t="n">
        <v>0</v>
      </c>
      <c r="M7409" t="n">
        <v>0</v>
      </c>
      <c r="N7409" t="n">
        <v>0</v>
      </c>
      <c r="O7409" t="n">
        <v>0</v>
      </c>
      <c r="P7409" t="n">
        <v>0</v>
      </c>
      <c r="Q7409" t="n">
        <v>0</v>
      </c>
      <c r="R7409" t="n">
        <v>0</v>
      </c>
      <c r="S7409" t="n">
        <v>0</v>
      </c>
      <c r="T7409" t="n">
        <v>0</v>
      </c>
      <c r="U7409" t="n">
        <v>0</v>
      </c>
      <c r="V7409" s="2" t="inlineStr"/>
    </row>
    <row r="7410" ht="15" customHeight="1">
      <c r="A7410" t="inlineStr">
        <is>
          <t>A 20491-2026</t>
        </is>
      </c>
      <c r="B7410" t="inlineStr">
        <is>
          <t>avverkningsanmälan</t>
        </is>
      </c>
      <c r="C7410" t="inlineStr">
        <is>
          <t>Föryngringsavverkning</t>
        </is>
      </c>
      <c r="D7410" s="1" t="n">
        <v>46140</v>
      </c>
      <c r="E7410" s="1" t="n">
        <v>46319</v>
      </c>
      <c r="F7410" t="inlineStr">
        <is>
          <t>DALARNAS LÄN</t>
        </is>
      </c>
      <c r="G7410" t="inlineStr">
        <is>
          <t>MORA</t>
        </is>
      </c>
      <c r="I7410" t="n">
        <v>1.4</v>
      </c>
      <c r="J7410" t="n">
        <v>0</v>
      </c>
      <c r="K7410" t="n">
        <v>0</v>
      </c>
      <c r="L7410" t="n">
        <v>0</v>
      </c>
      <c r="M7410" t="n">
        <v>0</v>
      </c>
      <c r="N7410" t="n">
        <v>0</v>
      </c>
      <c r="O7410" t="n">
        <v>0</v>
      </c>
      <c r="P7410" t="n">
        <v>0</v>
      </c>
      <c r="Q7410" t="n">
        <v>0</v>
      </c>
      <c r="R7410" t="n">
        <v>0</v>
      </c>
      <c r="S7410" t="n">
        <v>0</v>
      </c>
      <c r="T7410" t="n">
        <v>0</v>
      </c>
      <c r="U7410" t="n">
        <v>0</v>
      </c>
      <c r="V7410" s="2" t="inlineStr"/>
    </row>
    <row r="7411" ht="15" customHeight="1">
      <c r="A7411" t="inlineStr">
        <is>
          <t>A 10084-2026</t>
        </is>
      </c>
      <c r="B7411" t="inlineStr">
        <is>
          <t>avverkningsanmälan</t>
        </is>
      </c>
      <c r="C7411" t="inlineStr">
        <is>
          <t>Föryngringsavverkning</t>
        </is>
      </c>
      <c r="D7411" s="1" t="n">
        <v>46073</v>
      </c>
      <c r="E7411" s="1" t="n">
        <v>46319</v>
      </c>
      <c r="F7411" t="inlineStr">
        <is>
          <t>DALARNAS LÄN</t>
        </is>
      </c>
      <c r="G7411" t="inlineStr">
        <is>
          <t>FALUN</t>
        </is>
      </c>
      <c r="H7411" t="inlineStr">
        <is>
          <t>Bergvik skog väst AB</t>
        </is>
      </c>
      <c r="I7411" t="n">
        <v>1.6</v>
      </c>
      <c r="J7411" t="n">
        <v>0</v>
      </c>
      <c r="K7411" t="n">
        <v>0</v>
      </c>
      <c r="L7411" t="n">
        <v>0</v>
      </c>
      <c r="M7411" t="n">
        <v>0</v>
      </c>
      <c r="N7411" t="n">
        <v>0</v>
      </c>
      <c r="O7411" t="n">
        <v>0</v>
      </c>
      <c r="P7411" t="n">
        <v>0</v>
      </c>
      <c r="Q7411" t="n">
        <v>0</v>
      </c>
      <c r="R7411" t="n">
        <v>0</v>
      </c>
      <c r="S7411" t="n">
        <v>0</v>
      </c>
      <c r="T7411" t="n">
        <v>0</v>
      </c>
      <c r="U7411" t="n">
        <v>0</v>
      </c>
      <c r="V7411" s="2" t="inlineStr"/>
    </row>
    <row r="7412" ht="15" customHeight="1">
      <c r="A7412" t="inlineStr">
        <is>
          <t>A 19031-2026</t>
        </is>
      </c>
      <c r="B7412" t="inlineStr">
        <is>
          <t>avverkningsanmälan</t>
        </is>
      </c>
      <c r="C7412" t="inlineStr">
        <is>
          <t>Föryngringsavverkning</t>
        </is>
      </c>
      <c r="D7412" s="1" t="n">
        <v>46131</v>
      </c>
      <c r="E7412" s="1" t="n">
        <v>46319</v>
      </c>
      <c r="F7412" t="inlineStr">
        <is>
          <t>DALARNAS LÄN</t>
        </is>
      </c>
      <c r="G7412" t="inlineStr">
        <is>
          <t>FALUN</t>
        </is>
      </c>
      <c r="I7412" t="n">
        <v>1.1</v>
      </c>
      <c r="J7412" t="n">
        <v>0</v>
      </c>
      <c r="K7412" t="n">
        <v>0</v>
      </c>
      <c r="L7412" t="n">
        <v>0</v>
      </c>
      <c r="M7412" t="n">
        <v>0</v>
      </c>
      <c r="N7412" t="n">
        <v>0</v>
      </c>
      <c r="O7412" t="n">
        <v>0</v>
      </c>
      <c r="P7412" t="n">
        <v>0</v>
      </c>
      <c r="Q7412" t="n">
        <v>0</v>
      </c>
      <c r="R7412" t="n">
        <v>0</v>
      </c>
      <c r="S7412" t="n">
        <v>0</v>
      </c>
      <c r="T7412" t="n">
        <v>0</v>
      </c>
      <c r="U7412" t="n">
        <v>0</v>
      </c>
      <c r="V7412" s="2" t="inlineStr"/>
    </row>
    <row r="7413" ht="15" customHeight="1">
      <c r="A7413" t="inlineStr">
        <is>
          <t>A 105-2026</t>
        </is>
      </c>
      <c r="B7413" t="inlineStr">
        <is>
          <t>avverkningsanmälan</t>
        </is>
      </c>
      <c r="C7413" t="inlineStr">
        <is>
          <t>Föryngringsavverkning</t>
        </is>
      </c>
      <c r="D7413" s="1" t="n">
        <v>46024</v>
      </c>
      <c r="E7413" s="1" t="n">
        <v>46319</v>
      </c>
      <c r="F7413" t="inlineStr">
        <is>
          <t>DALARNAS LÄN</t>
        </is>
      </c>
      <c r="G7413" t="inlineStr">
        <is>
          <t>FALUN</t>
        </is>
      </c>
      <c r="I7413" t="n">
        <v>1.6</v>
      </c>
      <c r="J7413" t="n">
        <v>0</v>
      </c>
      <c r="K7413" t="n">
        <v>0</v>
      </c>
      <c r="L7413" t="n">
        <v>0</v>
      </c>
      <c r="M7413" t="n">
        <v>0</v>
      </c>
      <c r="N7413" t="n">
        <v>0</v>
      </c>
      <c r="O7413" t="n">
        <v>0</v>
      </c>
      <c r="P7413" t="n">
        <v>0</v>
      </c>
      <c r="Q7413" t="n">
        <v>0</v>
      </c>
      <c r="R7413" t="n">
        <v>0</v>
      </c>
      <c r="S7413" t="n">
        <v>0</v>
      </c>
      <c r="T7413" t="n">
        <v>0</v>
      </c>
      <c r="U7413" t="n">
        <v>0</v>
      </c>
      <c r="V7413" s="2" t="inlineStr"/>
    </row>
    <row r="7414" ht="15" customHeight="1">
      <c r="A7414" t="inlineStr">
        <is>
          <t>A 44384-2024</t>
        </is>
      </c>
      <c r="B7414" t="inlineStr">
        <is>
          <t>avverkningsanmälan</t>
        </is>
      </c>
      <c r="C7414" t="inlineStr">
        <is>
          <t>Föryngringsavverkning</t>
        </is>
      </c>
      <c r="D7414" s="1" t="n">
        <v>45573</v>
      </c>
      <c r="E7414" s="1" t="n">
        <v>46319</v>
      </c>
      <c r="F7414" t="inlineStr">
        <is>
          <t>DALARNAS LÄN</t>
        </is>
      </c>
      <c r="G7414" t="inlineStr">
        <is>
          <t>HEDEMORA</t>
        </is>
      </c>
      <c r="H7414" t="inlineStr">
        <is>
          <t>Bergvik skog väst AB</t>
        </is>
      </c>
      <c r="I7414" t="n">
        <v>9.800000000000001</v>
      </c>
      <c r="J7414" t="n">
        <v>0</v>
      </c>
      <c r="K7414" t="n">
        <v>0</v>
      </c>
      <c r="L7414" t="n">
        <v>0</v>
      </c>
      <c r="M7414" t="n">
        <v>0</v>
      </c>
      <c r="N7414" t="n">
        <v>0</v>
      </c>
      <c r="O7414" t="n">
        <v>0</v>
      </c>
      <c r="P7414" t="n">
        <v>0</v>
      </c>
      <c r="Q7414" t="n">
        <v>0</v>
      </c>
      <c r="R7414" t="n">
        <v>0</v>
      </c>
      <c r="S7414" t="n">
        <v>0</v>
      </c>
      <c r="T7414" t="n">
        <v>0</v>
      </c>
      <c r="U7414" t="n">
        <v>0</v>
      </c>
      <c r="V7414" s="2" t="inlineStr"/>
    </row>
    <row r="7415" ht="15" customHeight="1">
      <c r="A7415" t="inlineStr">
        <is>
          <t>A 44388-2024</t>
        </is>
      </c>
      <c r="B7415" t="inlineStr">
        <is>
          <t>avverkningsanmälan</t>
        </is>
      </c>
      <c r="C7415" t="inlineStr">
        <is>
          <t>Föryngringsavverkning</t>
        </is>
      </c>
      <c r="D7415" s="1" t="n">
        <v>45573</v>
      </c>
      <c r="E7415" s="1" t="n">
        <v>46319</v>
      </c>
      <c r="F7415" t="inlineStr">
        <is>
          <t>DALARNAS LÄN</t>
        </is>
      </c>
      <c r="G7415" t="inlineStr">
        <is>
          <t>HEDEMORA</t>
        </is>
      </c>
      <c r="H7415" t="inlineStr">
        <is>
          <t>Bergvik skog väst AB</t>
        </is>
      </c>
      <c r="I7415" t="n">
        <v>0.8</v>
      </c>
      <c r="J7415" t="n">
        <v>0</v>
      </c>
      <c r="K7415" t="n">
        <v>0</v>
      </c>
      <c r="L7415" t="n">
        <v>0</v>
      </c>
      <c r="M7415" t="n">
        <v>0</v>
      </c>
      <c r="N7415" t="n">
        <v>0</v>
      </c>
      <c r="O7415" t="n">
        <v>0</v>
      </c>
      <c r="P7415" t="n">
        <v>0</v>
      </c>
      <c r="Q7415" t="n">
        <v>0</v>
      </c>
      <c r="R7415" t="n">
        <v>0</v>
      </c>
      <c r="S7415" t="n">
        <v>0</v>
      </c>
      <c r="T7415" t="n">
        <v>0</v>
      </c>
      <c r="U7415" t="n">
        <v>0</v>
      </c>
      <c r="V7415" s="2" t="inlineStr"/>
    </row>
    <row r="7416" ht="15" customHeight="1">
      <c r="A7416" t="inlineStr">
        <is>
          <t>A 2674-2026</t>
        </is>
      </c>
      <c r="B7416" t="inlineStr">
        <is>
          <t>avverkningsanmälan</t>
        </is>
      </c>
      <c r="C7416" t="inlineStr">
        <is>
          <t>Föryngringsavverkning</t>
        </is>
      </c>
      <c r="D7416" s="1" t="n">
        <v>46037</v>
      </c>
      <c r="E7416" s="1" t="n">
        <v>46319</v>
      </c>
      <c r="F7416" t="inlineStr">
        <is>
          <t>DALARNAS LÄN</t>
        </is>
      </c>
      <c r="G7416" t="inlineStr">
        <is>
          <t>ÄLVDALEN</t>
        </is>
      </c>
      <c r="I7416" t="n">
        <v>1.1</v>
      </c>
      <c r="J7416" t="n">
        <v>0</v>
      </c>
      <c r="K7416" t="n">
        <v>0</v>
      </c>
      <c r="L7416" t="n">
        <v>0</v>
      </c>
      <c r="M7416" t="n">
        <v>0</v>
      </c>
      <c r="N7416" t="n">
        <v>0</v>
      </c>
      <c r="O7416" t="n">
        <v>0</v>
      </c>
      <c r="P7416" t="n">
        <v>0</v>
      </c>
      <c r="Q7416" t="n">
        <v>0</v>
      </c>
      <c r="R7416" t="n">
        <v>0</v>
      </c>
      <c r="S7416" t="n">
        <v>0</v>
      </c>
      <c r="T7416" t="n">
        <v>0</v>
      </c>
      <c r="U7416" t="n">
        <v>0</v>
      </c>
      <c r="V7416" s="2" t="inlineStr"/>
    </row>
    <row r="7417" ht="15" customHeight="1">
      <c r="A7417" t="inlineStr">
        <is>
          <t>A 36181-2024</t>
        </is>
      </c>
      <c r="B7417" t="inlineStr">
        <is>
          <t>avverkningsanmälan</t>
        </is>
      </c>
      <c r="C7417" t="inlineStr">
        <is>
          <t>Föryngringsavverkning</t>
        </is>
      </c>
      <c r="D7417" s="1" t="n">
        <v>45534</v>
      </c>
      <c r="E7417" s="1" t="n">
        <v>46319</v>
      </c>
      <c r="F7417" t="inlineStr">
        <is>
          <t>DALARNAS LÄN</t>
        </is>
      </c>
      <c r="G7417" t="inlineStr">
        <is>
          <t>MALUNG-SÄLEN</t>
        </is>
      </c>
      <c r="I7417" t="n">
        <v>3.4</v>
      </c>
      <c r="J7417" t="n">
        <v>0</v>
      </c>
      <c r="K7417" t="n">
        <v>0</v>
      </c>
      <c r="L7417" t="n">
        <v>0</v>
      </c>
      <c r="M7417" t="n">
        <v>0</v>
      </c>
      <c r="N7417" t="n">
        <v>0</v>
      </c>
      <c r="O7417" t="n">
        <v>0</v>
      </c>
      <c r="P7417" t="n">
        <v>0</v>
      </c>
      <c r="Q7417" t="n">
        <v>0</v>
      </c>
      <c r="R7417" t="n">
        <v>0</v>
      </c>
      <c r="S7417" t="n">
        <v>0</v>
      </c>
      <c r="T7417" t="n">
        <v>0</v>
      </c>
      <c r="U7417" t="n">
        <v>0</v>
      </c>
      <c r="V7417" s="2" t="inlineStr"/>
    </row>
    <row r="7418" ht="15" customHeight="1">
      <c r="A7418" t="inlineStr">
        <is>
          <t>A 36713-2026</t>
        </is>
      </c>
      <c r="B7418" t="inlineStr">
        <is>
          <t>avverkningsanmälan</t>
        </is>
      </c>
      <c r="C7418" t="inlineStr">
        <is>
          <t>Föryngringsavverkning</t>
        </is>
      </c>
      <c r="D7418" s="1" t="n">
        <v>46272</v>
      </c>
      <c r="E7418" s="1" t="n">
        <v>46319</v>
      </c>
      <c r="F7418" t="inlineStr">
        <is>
          <t>DALARNAS LÄN</t>
        </is>
      </c>
      <c r="G7418" t="inlineStr">
        <is>
          <t>VANSBRO</t>
        </is>
      </c>
      <c r="H7418" t="inlineStr">
        <is>
          <t>Bergvik skog väst AB</t>
        </is>
      </c>
      <c r="I7418" t="n">
        <v>1</v>
      </c>
      <c r="J7418" t="n">
        <v>0</v>
      </c>
      <c r="K7418" t="n">
        <v>0</v>
      </c>
      <c r="L7418" t="n">
        <v>0</v>
      </c>
      <c r="M7418" t="n">
        <v>0</v>
      </c>
      <c r="N7418" t="n">
        <v>0</v>
      </c>
      <c r="O7418" t="n">
        <v>0</v>
      </c>
      <c r="P7418" t="n">
        <v>0</v>
      </c>
      <c r="Q7418" t="n">
        <v>0</v>
      </c>
      <c r="R7418" t="n">
        <v>0</v>
      </c>
      <c r="S7418" t="n">
        <v>0</v>
      </c>
      <c r="T7418" t="n">
        <v>0</v>
      </c>
      <c r="U7418" t="n">
        <v>0</v>
      </c>
      <c r="V7418" s="2" t="inlineStr"/>
    </row>
    <row r="7419" ht="15" customHeight="1">
      <c r="A7419" t="inlineStr">
        <is>
          <t>A 36727-2026</t>
        </is>
      </c>
      <c r="B7419" t="inlineStr">
        <is>
          <t>avverkningsanmälan</t>
        </is>
      </c>
      <c r="C7419" t="inlineStr">
        <is>
          <t>Föryngringsavverkning</t>
        </is>
      </c>
      <c r="D7419" s="1" t="n">
        <v>46272</v>
      </c>
      <c r="E7419" s="1" t="n">
        <v>46319</v>
      </c>
      <c r="F7419" t="inlineStr">
        <is>
          <t>DALARNAS LÄN</t>
        </is>
      </c>
      <c r="G7419" t="inlineStr">
        <is>
          <t>FALUN</t>
        </is>
      </c>
      <c r="I7419" t="n">
        <v>1.3</v>
      </c>
      <c r="J7419" t="n">
        <v>0</v>
      </c>
      <c r="K7419" t="n">
        <v>0</v>
      </c>
      <c r="L7419" t="n">
        <v>0</v>
      </c>
      <c r="M7419" t="n">
        <v>0</v>
      </c>
      <c r="N7419" t="n">
        <v>0</v>
      </c>
      <c r="O7419" t="n">
        <v>0</v>
      </c>
      <c r="P7419" t="n">
        <v>0</v>
      </c>
      <c r="Q7419" t="n">
        <v>0</v>
      </c>
      <c r="R7419" t="n">
        <v>0</v>
      </c>
      <c r="S7419" t="n">
        <v>0</v>
      </c>
      <c r="T7419" t="n">
        <v>0</v>
      </c>
      <c r="U7419" t="n">
        <v>0</v>
      </c>
      <c r="V7419" s="2" t="inlineStr"/>
    </row>
    <row r="7420" ht="15" customHeight="1">
      <c r="A7420" t="inlineStr">
        <is>
          <t>A 8991-2026</t>
        </is>
      </c>
      <c r="B7420" t="inlineStr">
        <is>
          <t>avverkningsanmälan</t>
        </is>
      </c>
      <c r="C7420" t="inlineStr">
        <is>
          <t>Föryngringsavverkning</t>
        </is>
      </c>
      <c r="D7420" s="1" t="n">
        <v>46069</v>
      </c>
      <c r="E7420" s="1" t="n">
        <v>46319</v>
      </c>
      <c r="F7420" t="inlineStr">
        <is>
          <t>DALARNAS LÄN</t>
        </is>
      </c>
      <c r="G7420" t="inlineStr">
        <is>
          <t>SÄTER</t>
        </is>
      </c>
      <c r="I7420" t="n">
        <v>4.4</v>
      </c>
      <c r="J7420" t="n">
        <v>0</v>
      </c>
      <c r="K7420" t="n">
        <v>0</v>
      </c>
      <c r="L7420" t="n">
        <v>0</v>
      </c>
      <c r="M7420" t="n">
        <v>0</v>
      </c>
      <c r="N7420" t="n">
        <v>0</v>
      </c>
      <c r="O7420" t="n">
        <v>0</v>
      </c>
      <c r="P7420" t="n">
        <v>0</v>
      </c>
      <c r="Q7420" t="n">
        <v>0</v>
      </c>
      <c r="R7420" t="n">
        <v>0</v>
      </c>
      <c r="S7420" t="n">
        <v>0</v>
      </c>
      <c r="T7420" t="n">
        <v>0</v>
      </c>
      <c r="U7420" t="n">
        <v>0</v>
      </c>
      <c r="V7420" s="2" t="inlineStr"/>
    </row>
    <row r="7421" ht="15" customHeight="1">
      <c r="A7421" t="inlineStr">
        <is>
          <t>A 16388-2022</t>
        </is>
      </c>
      <c r="B7421" t="inlineStr">
        <is>
          <t>avverkningsanmälan</t>
        </is>
      </c>
      <c r="C7421" t="inlineStr">
        <is>
          <t>Föryngringsavverkning</t>
        </is>
      </c>
      <c r="D7421" s="1" t="n">
        <v>44671</v>
      </c>
      <c r="E7421" s="1" t="n">
        <v>46319</v>
      </c>
      <c r="F7421" t="inlineStr">
        <is>
          <t>DALARNAS LÄN</t>
        </is>
      </c>
      <c r="G7421" t="inlineStr">
        <is>
          <t>GAGNEF</t>
        </is>
      </c>
      <c r="I7421" t="n">
        <v>1.1</v>
      </c>
      <c r="J7421" t="n">
        <v>0</v>
      </c>
      <c r="K7421" t="n">
        <v>0</v>
      </c>
      <c r="L7421" t="n">
        <v>0</v>
      </c>
      <c r="M7421" t="n">
        <v>0</v>
      </c>
      <c r="N7421" t="n">
        <v>0</v>
      </c>
      <c r="O7421" t="n">
        <v>0</v>
      </c>
      <c r="P7421" t="n">
        <v>0</v>
      </c>
      <c r="Q7421" t="n">
        <v>0</v>
      </c>
      <c r="R7421" t="n">
        <v>0</v>
      </c>
      <c r="S7421" t="n">
        <v>0</v>
      </c>
      <c r="T7421" t="n">
        <v>0</v>
      </c>
      <c r="U7421" t="n">
        <v>0</v>
      </c>
      <c r="V7421" s="2" t="inlineStr"/>
    </row>
    <row r="7422" ht="15" customHeight="1">
      <c r="A7422" t="inlineStr">
        <is>
          <t>A 61541-2022</t>
        </is>
      </c>
      <c r="B7422" t="inlineStr">
        <is>
          <t>avverkningsanmälan</t>
        </is>
      </c>
      <c r="C7422" t="inlineStr">
        <is>
          <t>Föryngringsavverkning</t>
        </is>
      </c>
      <c r="D7422" s="1" t="n">
        <v>44916</v>
      </c>
      <c r="E7422" s="1" t="n">
        <v>46319</v>
      </c>
      <c r="F7422" t="inlineStr">
        <is>
          <t>DALARNAS LÄN</t>
        </is>
      </c>
      <c r="G7422" t="inlineStr">
        <is>
          <t>SMEDJEBACKEN</t>
        </is>
      </c>
      <c r="I7422" t="n">
        <v>1.3</v>
      </c>
      <c r="J7422" t="n">
        <v>0</v>
      </c>
      <c r="K7422" t="n">
        <v>0</v>
      </c>
      <c r="L7422" t="n">
        <v>0</v>
      </c>
      <c r="M7422" t="n">
        <v>0</v>
      </c>
      <c r="N7422" t="n">
        <v>0</v>
      </c>
      <c r="O7422" t="n">
        <v>0</v>
      </c>
      <c r="P7422" t="n">
        <v>0</v>
      </c>
      <c r="Q7422" t="n">
        <v>0</v>
      </c>
      <c r="R7422" t="n">
        <v>0</v>
      </c>
      <c r="S7422" t="n">
        <v>0</v>
      </c>
      <c r="T7422" t="n">
        <v>0</v>
      </c>
      <c r="U7422" t="n">
        <v>0</v>
      </c>
      <c r="V7422" s="2" t="inlineStr"/>
    </row>
    <row r="7423" ht="15" customHeight="1">
      <c r="A7423" t="inlineStr">
        <is>
          <t>A 43609-2026</t>
        </is>
      </c>
      <c r="B7423" t="inlineStr">
        <is>
          <t>avverkningsanmälan</t>
        </is>
      </c>
      <c r="C7423" t="inlineStr">
        <is>
          <t>Föryngringsavverkning</t>
        </is>
      </c>
      <c r="D7423" s="1" t="n">
        <v>46315</v>
      </c>
      <c r="E7423" s="1" t="n">
        <v>46319</v>
      </c>
      <c r="F7423" t="inlineStr">
        <is>
          <t>DALARNAS LÄN</t>
        </is>
      </c>
      <c r="G7423" t="inlineStr">
        <is>
          <t>VANSBRO</t>
        </is>
      </c>
      <c r="H7423" t="inlineStr">
        <is>
          <t>Bergvik skog öst AB</t>
        </is>
      </c>
      <c r="I7423" t="n">
        <v>1.2</v>
      </c>
      <c r="J7423" t="n">
        <v>0</v>
      </c>
      <c r="K7423" t="n">
        <v>0</v>
      </c>
      <c r="L7423" t="n">
        <v>0</v>
      </c>
      <c r="M7423" t="n">
        <v>0</v>
      </c>
      <c r="N7423" t="n">
        <v>0</v>
      </c>
      <c r="O7423" t="n">
        <v>0</v>
      </c>
      <c r="P7423" t="n">
        <v>0</v>
      </c>
      <c r="Q7423" t="n">
        <v>0</v>
      </c>
      <c r="R7423" t="n">
        <v>0</v>
      </c>
      <c r="S7423" t="n">
        <v>0</v>
      </c>
      <c r="T7423" t="n">
        <v>0</v>
      </c>
      <c r="U7423" t="n">
        <v>0</v>
      </c>
      <c r="V7423" s="2" t="inlineStr"/>
    </row>
    <row r="7424" ht="15" customHeight="1">
      <c r="A7424" t="inlineStr">
        <is>
          <t>A 20358-2026</t>
        </is>
      </c>
      <c r="B7424" t="inlineStr">
        <is>
          <t>avverkningsanmälan</t>
        </is>
      </c>
      <c r="C7424" t="inlineStr">
        <is>
          <t>Föryngringsavverkning</t>
        </is>
      </c>
      <c r="D7424" s="1" t="n">
        <v>46139</v>
      </c>
      <c r="E7424" s="1" t="n">
        <v>46319</v>
      </c>
      <c r="F7424" t="inlineStr">
        <is>
          <t>DALARNAS LÄN</t>
        </is>
      </c>
      <c r="G7424" t="inlineStr">
        <is>
          <t>FALUN</t>
        </is>
      </c>
      <c r="I7424" t="n">
        <v>2.7</v>
      </c>
      <c r="J7424" t="n">
        <v>0</v>
      </c>
      <c r="K7424" t="n">
        <v>0</v>
      </c>
      <c r="L7424" t="n">
        <v>0</v>
      </c>
      <c r="M7424" t="n">
        <v>0</v>
      </c>
      <c r="N7424" t="n">
        <v>0</v>
      </c>
      <c r="O7424" t="n">
        <v>0</v>
      </c>
      <c r="P7424" t="n">
        <v>0</v>
      </c>
      <c r="Q7424" t="n">
        <v>0</v>
      </c>
      <c r="R7424" t="n">
        <v>0</v>
      </c>
      <c r="S7424" t="n">
        <v>0</v>
      </c>
      <c r="T7424" t="n">
        <v>0</v>
      </c>
      <c r="U7424" t="n">
        <v>0</v>
      </c>
      <c r="V7424" s="2" t="inlineStr"/>
    </row>
    <row r="7425" ht="15" customHeight="1">
      <c r="A7425" t="inlineStr">
        <is>
          <t>A 43865-2026</t>
        </is>
      </c>
      <c r="B7425" t="inlineStr">
        <is>
          <t>avverkningsanmälan</t>
        </is>
      </c>
      <c r="C7425" t="inlineStr">
        <is>
          <t>Föryngringsavverkning</t>
        </is>
      </c>
      <c r="D7425" s="1" t="n">
        <v>46316</v>
      </c>
      <c r="E7425" s="1" t="n">
        <v>46319</v>
      </c>
      <c r="F7425" t="inlineStr">
        <is>
          <t>DALARNAS LÄN</t>
        </is>
      </c>
      <c r="G7425" t="inlineStr">
        <is>
          <t>SMEDJEBACKEN</t>
        </is>
      </c>
      <c r="H7425" t="inlineStr">
        <is>
          <t>Sveaskog</t>
        </is>
      </c>
      <c r="I7425" t="n">
        <v>17.4</v>
      </c>
      <c r="J7425" t="n">
        <v>0</v>
      </c>
      <c r="K7425" t="n">
        <v>0</v>
      </c>
      <c r="L7425" t="n">
        <v>0</v>
      </c>
      <c r="M7425" t="n">
        <v>0</v>
      </c>
      <c r="N7425" t="n">
        <v>0</v>
      </c>
      <c r="O7425" t="n">
        <v>0</v>
      </c>
      <c r="P7425" t="n">
        <v>0</v>
      </c>
      <c r="Q7425" t="n">
        <v>0</v>
      </c>
      <c r="R7425" t="n">
        <v>0</v>
      </c>
      <c r="S7425" t="n">
        <v>0</v>
      </c>
      <c r="T7425" t="n">
        <v>0</v>
      </c>
      <c r="U7425" t="n">
        <v>0</v>
      </c>
      <c r="V7425" s="2" t="inlineStr"/>
    </row>
    <row r="7426" ht="15" customHeight="1">
      <c r="A7426" t="inlineStr">
        <is>
          <t>A 43868-2026</t>
        </is>
      </c>
      <c r="B7426" t="inlineStr">
        <is>
          <t>avverkningsanmälan</t>
        </is>
      </c>
      <c r="C7426" t="inlineStr">
        <is>
          <t>Föryngringsavverkning</t>
        </is>
      </c>
      <c r="D7426" s="1" t="n">
        <v>46316</v>
      </c>
      <c r="E7426" s="1" t="n">
        <v>46319</v>
      </c>
      <c r="F7426" t="inlineStr">
        <is>
          <t>DALARNAS LÄN</t>
        </is>
      </c>
      <c r="G7426" t="inlineStr">
        <is>
          <t>SMEDJEBACKEN</t>
        </is>
      </c>
      <c r="H7426" t="inlineStr">
        <is>
          <t>Sveaskog</t>
        </is>
      </c>
      <c r="I7426" t="n">
        <v>3.8</v>
      </c>
      <c r="J7426" t="n">
        <v>0</v>
      </c>
      <c r="K7426" t="n">
        <v>0</v>
      </c>
      <c r="L7426" t="n">
        <v>0</v>
      </c>
      <c r="M7426" t="n">
        <v>0</v>
      </c>
      <c r="N7426" t="n">
        <v>0</v>
      </c>
      <c r="O7426" t="n">
        <v>0</v>
      </c>
      <c r="P7426" t="n">
        <v>0</v>
      </c>
      <c r="Q7426" t="n">
        <v>0</v>
      </c>
      <c r="R7426" t="n">
        <v>0</v>
      </c>
      <c r="S7426" t="n">
        <v>0</v>
      </c>
      <c r="T7426" t="n">
        <v>0</v>
      </c>
      <c r="U7426" t="n">
        <v>0</v>
      </c>
      <c r="V7426" s="2" t="inlineStr"/>
    </row>
    <row r="7427" ht="15" customHeight="1">
      <c r="A7427" t="inlineStr">
        <is>
          <t>A 11084-2026</t>
        </is>
      </c>
      <c r="B7427" t="inlineStr">
        <is>
          <t>avverkningsanmälan</t>
        </is>
      </c>
      <c r="C7427" t="inlineStr">
        <is>
          <t>Föryngringsavverkning</t>
        </is>
      </c>
      <c r="D7427" s="1" t="n">
        <v>46079</v>
      </c>
      <c r="E7427" s="1" t="n">
        <v>46319</v>
      </c>
      <c r="F7427" t="inlineStr">
        <is>
          <t>DALARNAS LÄN</t>
        </is>
      </c>
      <c r="G7427" t="inlineStr">
        <is>
          <t>ÄLVDALEN</t>
        </is>
      </c>
      <c r="I7427" t="n">
        <v>2.5</v>
      </c>
      <c r="J7427" t="n">
        <v>0</v>
      </c>
      <c r="K7427" t="n">
        <v>0</v>
      </c>
      <c r="L7427" t="n">
        <v>0</v>
      </c>
      <c r="M7427" t="n">
        <v>0</v>
      </c>
      <c r="N7427" t="n">
        <v>0</v>
      </c>
      <c r="O7427" t="n">
        <v>0</v>
      </c>
      <c r="P7427" t="n">
        <v>0</v>
      </c>
      <c r="Q7427" t="n">
        <v>0</v>
      </c>
      <c r="R7427" t="n">
        <v>0</v>
      </c>
      <c r="S7427" t="n">
        <v>0</v>
      </c>
      <c r="T7427" t="n">
        <v>0</v>
      </c>
      <c r="U7427" t="n">
        <v>0</v>
      </c>
      <c r="V7427" s="2" t="inlineStr"/>
    </row>
    <row r="7428" ht="15" customHeight="1">
      <c r="A7428" t="inlineStr">
        <is>
          <t>A 21754-2026</t>
        </is>
      </c>
      <c r="B7428" t="inlineStr">
        <is>
          <t>avverkningsanmälan</t>
        </is>
      </c>
      <c r="C7428" t="inlineStr">
        <is>
          <t>Föryngringsavverkning</t>
        </is>
      </c>
      <c r="D7428" s="1" t="n">
        <v>46149</v>
      </c>
      <c r="E7428" s="1" t="n">
        <v>46319</v>
      </c>
      <c r="F7428" t="inlineStr">
        <is>
          <t>DALARNAS LÄN</t>
        </is>
      </c>
      <c r="G7428" t="inlineStr">
        <is>
          <t>LEKSAND</t>
        </is>
      </c>
      <c r="H7428" t="inlineStr">
        <is>
          <t>Bergvik skog väst AB</t>
        </is>
      </c>
      <c r="I7428" t="n">
        <v>8.699999999999999</v>
      </c>
      <c r="J7428" t="n">
        <v>0</v>
      </c>
      <c r="K7428" t="n">
        <v>0</v>
      </c>
      <c r="L7428" t="n">
        <v>0</v>
      </c>
      <c r="M7428" t="n">
        <v>0</v>
      </c>
      <c r="N7428" t="n">
        <v>0</v>
      </c>
      <c r="O7428" t="n">
        <v>0</v>
      </c>
      <c r="P7428" t="n">
        <v>0</v>
      </c>
      <c r="Q7428" t="n">
        <v>0</v>
      </c>
      <c r="R7428" t="n">
        <v>0</v>
      </c>
      <c r="S7428" t="n">
        <v>0</v>
      </c>
      <c r="T7428" t="n">
        <v>0</v>
      </c>
      <c r="U7428" t="n">
        <v>0</v>
      </c>
      <c r="V7428" s="2" t="inlineStr"/>
    </row>
    <row r="7429" ht="15" customHeight="1">
      <c r="A7429" t="inlineStr">
        <is>
          <t>A 17498-2025</t>
        </is>
      </c>
      <c r="B7429" t="inlineStr">
        <is>
          <t>avverkningsanmälan</t>
        </is>
      </c>
      <c r="C7429" t="inlineStr">
        <is>
          <t>Föryngringsavverkning</t>
        </is>
      </c>
      <c r="D7429" s="1" t="n">
        <v>45757</v>
      </c>
      <c r="E7429" s="1" t="n">
        <v>46319</v>
      </c>
      <c r="F7429" t="inlineStr">
        <is>
          <t>DALARNAS LÄN</t>
        </is>
      </c>
      <c r="G7429" t="inlineStr">
        <is>
          <t>MALUNG-SÄLEN</t>
        </is>
      </c>
      <c r="I7429" t="n">
        <v>1.4</v>
      </c>
      <c r="J7429" t="n">
        <v>0</v>
      </c>
      <c r="K7429" t="n">
        <v>0</v>
      </c>
      <c r="L7429" t="n">
        <v>0</v>
      </c>
      <c r="M7429" t="n">
        <v>0</v>
      </c>
      <c r="N7429" t="n">
        <v>0</v>
      </c>
      <c r="O7429" t="n">
        <v>0</v>
      </c>
      <c r="P7429" t="n">
        <v>0</v>
      </c>
      <c r="Q7429" t="n">
        <v>0</v>
      </c>
      <c r="R7429" t="n">
        <v>0</v>
      </c>
      <c r="S7429" t="n">
        <v>0</v>
      </c>
      <c r="T7429" t="n">
        <v>0</v>
      </c>
      <c r="U7429" t="n">
        <v>0</v>
      </c>
      <c r="V7429" s="2" t="inlineStr"/>
    </row>
    <row r="7430" ht="15" customHeight="1">
      <c r="A7430" t="inlineStr">
        <is>
          <t>A 36869-2026</t>
        </is>
      </c>
      <c r="B7430" t="inlineStr">
        <is>
          <t>avverkningsanmälan</t>
        </is>
      </c>
      <c r="C7430" t="inlineStr">
        <is>
          <t>Föryngringsavverkning</t>
        </is>
      </c>
      <c r="D7430" s="1" t="n">
        <v>46272</v>
      </c>
      <c r="E7430" s="1" t="n">
        <v>46319</v>
      </c>
      <c r="F7430" t="inlineStr">
        <is>
          <t>DALARNAS LÄN</t>
        </is>
      </c>
      <c r="G7430" t="inlineStr">
        <is>
          <t>FALUN</t>
        </is>
      </c>
      <c r="I7430" t="n">
        <v>1.3</v>
      </c>
      <c r="J7430" t="n">
        <v>0</v>
      </c>
      <c r="K7430" t="n">
        <v>0</v>
      </c>
      <c r="L7430" t="n">
        <v>0</v>
      </c>
      <c r="M7430" t="n">
        <v>0</v>
      </c>
      <c r="N7430" t="n">
        <v>0</v>
      </c>
      <c r="O7430" t="n">
        <v>0</v>
      </c>
      <c r="P7430" t="n">
        <v>0</v>
      </c>
      <c r="Q7430" t="n">
        <v>0</v>
      </c>
      <c r="R7430" t="n">
        <v>0</v>
      </c>
      <c r="S7430" t="n">
        <v>0</v>
      </c>
      <c r="T7430" t="n">
        <v>0</v>
      </c>
      <c r="U7430" t="n">
        <v>0</v>
      </c>
      <c r="V7430" s="2" t="inlineStr"/>
    </row>
    <row r="7431" ht="15" customHeight="1">
      <c r="A7431" t="inlineStr">
        <is>
          <t>A 13063-2023</t>
        </is>
      </c>
      <c r="B7431" t="inlineStr">
        <is>
          <t>avverkningsanmälan</t>
        </is>
      </c>
      <c r="C7431" t="inlineStr">
        <is>
          <t>Föryngringsavverkning</t>
        </is>
      </c>
      <c r="D7431" s="1" t="n">
        <v>45001</v>
      </c>
      <c r="E7431" s="1" t="n">
        <v>46319</v>
      </c>
      <c r="F7431" t="inlineStr">
        <is>
          <t>DALARNAS LÄN</t>
        </is>
      </c>
      <c r="G7431" t="inlineStr">
        <is>
          <t>LEKSAND</t>
        </is>
      </c>
      <c r="I7431" t="n">
        <v>1</v>
      </c>
      <c r="J7431" t="n">
        <v>0</v>
      </c>
      <c r="K7431" t="n">
        <v>0</v>
      </c>
      <c r="L7431" t="n">
        <v>0</v>
      </c>
      <c r="M7431" t="n">
        <v>0</v>
      </c>
      <c r="N7431" t="n">
        <v>0</v>
      </c>
      <c r="O7431" t="n">
        <v>0</v>
      </c>
      <c r="P7431" t="n">
        <v>0</v>
      </c>
      <c r="Q7431" t="n">
        <v>0</v>
      </c>
      <c r="R7431" t="n">
        <v>0</v>
      </c>
      <c r="S7431" t="n">
        <v>0</v>
      </c>
      <c r="T7431" t="n">
        <v>0</v>
      </c>
      <c r="U7431" t="n">
        <v>0</v>
      </c>
      <c r="V7431" s="2" t="inlineStr"/>
    </row>
    <row r="7432" ht="15" customHeight="1">
      <c r="A7432" t="inlineStr">
        <is>
          <t>A 20298-2026</t>
        </is>
      </c>
      <c r="B7432" t="inlineStr">
        <is>
          <t>avverkningsanmälan</t>
        </is>
      </c>
      <c r="C7432" t="inlineStr">
        <is>
          <t>Föryngringsavverkning</t>
        </is>
      </c>
      <c r="D7432" s="1" t="n">
        <v>46139</v>
      </c>
      <c r="E7432" s="1" t="n">
        <v>46319</v>
      </c>
      <c r="F7432" t="inlineStr">
        <is>
          <t>DALARNAS LÄN</t>
        </is>
      </c>
      <c r="G7432" t="inlineStr">
        <is>
          <t>RÄTTVIK</t>
        </is>
      </c>
      <c r="I7432" t="n">
        <v>0.8</v>
      </c>
      <c r="J7432" t="n">
        <v>0</v>
      </c>
      <c r="K7432" t="n">
        <v>0</v>
      </c>
      <c r="L7432" t="n">
        <v>0</v>
      </c>
      <c r="M7432" t="n">
        <v>0</v>
      </c>
      <c r="N7432" t="n">
        <v>0</v>
      </c>
      <c r="O7432" t="n">
        <v>0</v>
      </c>
      <c r="P7432" t="n">
        <v>0</v>
      </c>
      <c r="Q7432" t="n">
        <v>0</v>
      </c>
      <c r="R7432" t="n">
        <v>0</v>
      </c>
      <c r="S7432" t="n">
        <v>0</v>
      </c>
      <c r="T7432" t="n">
        <v>0</v>
      </c>
      <c r="U7432" t="n">
        <v>0</v>
      </c>
      <c r="V7432" s="2" t="inlineStr"/>
    </row>
    <row r="7433" ht="15" customHeight="1">
      <c r="A7433" t="inlineStr">
        <is>
          <t>A 43519-2026</t>
        </is>
      </c>
      <c r="B7433" t="inlineStr">
        <is>
          <t>avverkningsanmälan</t>
        </is>
      </c>
      <c r="C7433" t="inlineStr">
        <is>
          <t>Föryngringsavverkning</t>
        </is>
      </c>
      <c r="D7433" s="1" t="n">
        <v>46315</v>
      </c>
      <c r="E7433" s="1" t="n">
        <v>46319</v>
      </c>
      <c r="F7433" t="inlineStr">
        <is>
          <t>DALARNAS LÄN</t>
        </is>
      </c>
      <c r="G7433" t="inlineStr">
        <is>
          <t>LUDVIKA</t>
        </is>
      </c>
      <c r="H7433" t="inlineStr">
        <is>
          <t>Bergvik skog väst AB</t>
        </is>
      </c>
      <c r="I7433" t="n">
        <v>9.800000000000001</v>
      </c>
      <c r="J7433" t="n">
        <v>0</v>
      </c>
      <c r="K7433" t="n">
        <v>0</v>
      </c>
      <c r="L7433" t="n">
        <v>0</v>
      </c>
      <c r="M7433" t="n">
        <v>0</v>
      </c>
      <c r="N7433" t="n">
        <v>0</v>
      </c>
      <c r="O7433" t="n">
        <v>0</v>
      </c>
      <c r="P7433" t="n">
        <v>0</v>
      </c>
      <c r="Q7433" t="n">
        <v>0</v>
      </c>
      <c r="R7433" t="n">
        <v>0</v>
      </c>
      <c r="S7433" t="n">
        <v>0</v>
      </c>
      <c r="T7433" t="n">
        <v>0</v>
      </c>
      <c r="U7433" t="n">
        <v>0</v>
      </c>
      <c r="V7433" s="2" t="inlineStr"/>
    </row>
    <row r="7434" ht="15" customHeight="1">
      <c r="A7434" t="inlineStr">
        <is>
          <t>A 24682-2026</t>
        </is>
      </c>
      <c r="B7434" t="inlineStr">
        <is>
          <t>avverkningsanmälan</t>
        </is>
      </c>
      <c r="C7434" t="inlineStr">
        <is>
          <t>Föryngringsavverkning</t>
        </is>
      </c>
      <c r="D7434" s="1" t="n">
        <v>46171</v>
      </c>
      <c r="E7434" s="1" t="n">
        <v>46319</v>
      </c>
      <c r="F7434" t="inlineStr">
        <is>
          <t>DALARNAS LÄN</t>
        </is>
      </c>
      <c r="G7434" t="inlineStr">
        <is>
          <t>LUDVIKA</t>
        </is>
      </c>
      <c r="I7434" t="n">
        <v>3.2</v>
      </c>
      <c r="J7434" t="n">
        <v>0</v>
      </c>
      <c r="K7434" t="n">
        <v>0</v>
      </c>
      <c r="L7434" t="n">
        <v>0</v>
      </c>
      <c r="M7434" t="n">
        <v>0</v>
      </c>
      <c r="N7434" t="n">
        <v>0</v>
      </c>
      <c r="O7434" t="n">
        <v>0</v>
      </c>
      <c r="P7434" t="n">
        <v>0</v>
      </c>
      <c r="Q7434" t="n">
        <v>0</v>
      </c>
      <c r="R7434" t="n">
        <v>0</v>
      </c>
      <c r="S7434" t="n">
        <v>0</v>
      </c>
      <c r="T7434" t="n">
        <v>0</v>
      </c>
      <c r="U7434" t="n">
        <v>0</v>
      </c>
      <c r="V7434" s="2" t="inlineStr"/>
    </row>
    <row r="7435" ht="15" customHeight="1">
      <c r="A7435" t="inlineStr">
        <is>
          <t>A 26814-2025</t>
        </is>
      </c>
      <c r="B7435" t="inlineStr">
        <is>
          <t>avverkningsanmälan</t>
        </is>
      </c>
      <c r="C7435" t="inlineStr">
        <is>
          <t>Föryngringsavverkning</t>
        </is>
      </c>
      <c r="D7435" s="1" t="n">
        <v>45810</v>
      </c>
      <c r="E7435" s="1" t="n">
        <v>46319</v>
      </c>
      <c r="F7435" t="inlineStr">
        <is>
          <t>DALARNAS LÄN</t>
        </is>
      </c>
      <c r="G7435" t="inlineStr">
        <is>
          <t>RÄTTVIK</t>
        </is>
      </c>
      <c r="I7435" t="n">
        <v>1.7</v>
      </c>
      <c r="J7435" t="n">
        <v>0</v>
      </c>
      <c r="K7435" t="n">
        <v>0</v>
      </c>
      <c r="L7435" t="n">
        <v>0</v>
      </c>
      <c r="M7435" t="n">
        <v>0</v>
      </c>
      <c r="N7435" t="n">
        <v>0</v>
      </c>
      <c r="O7435" t="n">
        <v>0</v>
      </c>
      <c r="P7435" t="n">
        <v>0</v>
      </c>
      <c r="Q7435" t="n">
        <v>0</v>
      </c>
      <c r="R7435" t="n">
        <v>0</v>
      </c>
      <c r="S7435" t="n">
        <v>0</v>
      </c>
      <c r="T7435" t="n">
        <v>0</v>
      </c>
      <c r="U7435" t="n">
        <v>0</v>
      </c>
      <c r="V7435" s="2" t="inlineStr"/>
    </row>
    <row r="7436" ht="15" customHeight="1">
      <c r="A7436" t="inlineStr">
        <is>
          <t>A 16542-2026</t>
        </is>
      </c>
      <c r="B7436" t="inlineStr">
        <is>
          <t>avverkningsanmälan</t>
        </is>
      </c>
      <c r="C7436" t="inlineStr">
        <is>
          <t>Föryngringsavverkning</t>
        </is>
      </c>
      <c r="D7436" s="1" t="n">
        <v>46112</v>
      </c>
      <c r="E7436" s="1" t="n">
        <v>46319</v>
      </c>
      <c r="F7436" t="inlineStr">
        <is>
          <t>DALARNAS LÄN</t>
        </is>
      </c>
      <c r="G7436" t="inlineStr">
        <is>
          <t>FALUN</t>
        </is>
      </c>
      <c r="I7436" t="n">
        <v>1.5</v>
      </c>
      <c r="J7436" t="n">
        <v>0</v>
      </c>
      <c r="K7436" t="n">
        <v>0</v>
      </c>
      <c r="L7436" t="n">
        <v>0</v>
      </c>
      <c r="M7436" t="n">
        <v>0</v>
      </c>
      <c r="N7436" t="n">
        <v>0</v>
      </c>
      <c r="O7436" t="n">
        <v>0</v>
      </c>
      <c r="P7436" t="n">
        <v>0</v>
      </c>
      <c r="Q7436" t="n">
        <v>0</v>
      </c>
      <c r="R7436" t="n">
        <v>0</v>
      </c>
      <c r="S7436" t="n">
        <v>0</v>
      </c>
      <c r="T7436" t="n">
        <v>0</v>
      </c>
      <c r="U7436" t="n">
        <v>0</v>
      </c>
      <c r="V7436" s="2" t="inlineStr"/>
    </row>
    <row r="7437" ht="15" customHeight="1">
      <c r="A7437" t="inlineStr">
        <is>
          <t>A 38746-2023</t>
        </is>
      </c>
      <c r="B7437" t="inlineStr">
        <is>
          <t>avverkningsanmälan</t>
        </is>
      </c>
      <c r="C7437" t="inlineStr">
        <is>
          <t>Föryngringsavverkning</t>
        </is>
      </c>
      <c r="D7437" s="1" t="n">
        <v>45163</v>
      </c>
      <c r="E7437" s="1" t="n">
        <v>46319</v>
      </c>
      <c r="F7437" t="inlineStr">
        <is>
          <t>DALARNAS LÄN</t>
        </is>
      </c>
      <c r="G7437" t="inlineStr">
        <is>
          <t>SMEDJEBACKEN</t>
        </is>
      </c>
      <c r="H7437" t="inlineStr">
        <is>
          <t>Sveaskog</t>
        </is>
      </c>
      <c r="I7437" t="n">
        <v>2.4</v>
      </c>
      <c r="J7437" t="n">
        <v>0</v>
      </c>
      <c r="K7437" t="n">
        <v>0</v>
      </c>
      <c r="L7437" t="n">
        <v>0</v>
      </c>
      <c r="M7437" t="n">
        <v>0</v>
      </c>
      <c r="N7437" t="n">
        <v>0</v>
      </c>
      <c r="O7437" t="n">
        <v>0</v>
      </c>
      <c r="P7437" t="n">
        <v>0</v>
      </c>
      <c r="Q7437" t="n">
        <v>0</v>
      </c>
      <c r="R7437" t="n">
        <v>0</v>
      </c>
      <c r="S7437" t="n">
        <v>0</v>
      </c>
      <c r="T7437" t="n">
        <v>0</v>
      </c>
      <c r="U7437" t="n">
        <v>0</v>
      </c>
      <c r="V7437" s="2" t="inlineStr"/>
    </row>
    <row r="7438" ht="15" customHeight="1">
      <c r="A7438" t="inlineStr">
        <is>
          <t>A 1422-2026</t>
        </is>
      </c>
      <c r="B7438" t="inlineStr">
        <is>
          <t>avverkningsanmälan</t>
        </is>
      </c>
      <c r="C7438" t="inlineStr">
        <is>
          <t>Föryngringsavverkning</t>
        </is>
      </c>
      <c r="D7438" s="1" t="n">
        <v>46031</v>
      </c>
      <c r="E7438" s="1" t="n">
        <v>46319</v>
      </c>
      <c r="F7438" t="inlineStr">
        <is>
          <t>DALARNAS LÄN</t>
        </is>
      </c>
      <c r="G7438" t="inlineStr">
        <is>
          <t>FALUN</t>
        </is>
      </c>
      <c r="I7438" t="n">
        <v>25.5</v>
      </c>
      <c r="J7438" t="n">
        <v>0</v>
      </c>
      <c r="K7438" t="n">
        <v>0</v>
      </c>
      <c r="L7438" t="n">
        <v>0</v>
      </c>
      <c r="M7438" t="n">
        <v>0</v>
      </c>
      <c r="N7438" t="n">
        <v>0</v>
      </c>
      <c r="O7438" t="n">
        <v>0</v>
      </c>
      <c r="P7438" t="n">
        <v>0</v>
      </c>
      <c r="Q7438" t="n">
        <v>0</v>
      </c>
      <c r="R7438" t="n">
        <v>0</v>
      </c>
      <c r="S7438" t="n">
        <v>0</v>
      </c>
      <c r="T7438" t="n">
        <v>0</v>
      </c>
      <c r="U7438" t="n">
        <v>0</v>
      </c>
      <c r="V7438" s="2" t="inlineStr"/>
    </row>
    <row r="7439" ht="15" customHeight="1">
      <c r="A7439" t="inlineStr">
        <is>
          <t>A 5648-2026</t>
        </is>
      </c>
      <c r="B7439" t="inlineStr">
        <is>
          <t>avverkningsanmälan</t>
        </is>
      </c>
      <c r="C7439" t="inlineStr">
        <is>
          <t>Föryngringsavverkning</t>
        </is>
      </c>
      <c r="D7439" s="1" t="n">
        <v>46051</v>
      </c>
      <c r="E7439" s="1" t="n">
        <v>46319</v>
      </c>
      <c r="F7439" t="inlineStr">
        <is>
          <t>DALARNAS LÄN</t>
        </is>
      </c>
      <c r="G7439" t="inlineStr">
        <is>
          <t>VANSBRO</t>
        </is>
      </c>
      <c r="I7439" t="n">
        <v>13.9</v>
      </c>
      <c r="J7439" t="n">
        <v>0</v>
      </c>
      <c r="K7439" t="n">
        <v>0</v>
      </c>
      <c r="L7439" t="n">
        <v>0</v>
      </c>
      <c r="M7439" t="n">
        <v>0</v>
      </c>
      <c r="N7439" t="n">
        <v>0</v>
      </c>
      <c r="O7439" t="n">
        <v>0</v>
      </c>
      <c r="P7439" t="n">
        <v>0</v>
      </c>
      <c r="Q7439" t="n">
        <v>0</v>
      </c>
      <c r="R7439" t="n">
        <v>0</v>
      </c>
      <c r="S7439" t="n">
        <v>0</v>
      </c>
      <c r="T7439" t="n">
        <v>0</v>
      </c>
      <c r="U7439" t="n">
        <v>0</v>
      </c>
      <c r="V7439" s="2" t="inlineStr"/>
    </row>
    <row r="7440" ht="15" customHeight="1">
      <c r="A7440" t="inlineStr">
        <is>
          <t>A 33168-2022</t>
        </is>
      </c>
      <c r="B7440" t="inlineStr">
        <is>
          <t>avverkningsanmälan</t>
        </is>
      </c>
      <c r="C7440" t="inlineStr">
        <is>
          <t>Föryngringsavverkning</t>
        </is>
      </c>
      <c r="D7440" s="1" t="n">
        <v>44785</v>
      </c>
      <c r="E7440" s="1" t="n">
        <v>46319</v>
      </c>
      <c r="F7440" t="inlineStr">
        <is>
          <t>DALARNAS LÄN</t>
        </is>
      </c>
      <c r="G7440" t="inlineStr">
        <is>
          <t>GAGNEF</t>
        </is>
      </c>
      <c r="H7440" t="inlineStr">
        <is>
          <t>Bergvik skog väst AB</t>
        </is>
      </c>
      <c r="I7440" t="n">
        <v>6.5</v>
      </c>
      <c r="J7440" t="n">
        <v>0</v>
      </c>
      <c r="K7440" t="n">
        <v>0</v>
      </c>
      <c r="L7440" t="n">
        <v>0</v>
      </c>
      <c r="M7440" t="n">
        <v>0</v>
      </c>
      <c r="N7440" t="n">
        <v>0</v>
      </c>
      <c r="O7440" t="n">
        <v>0</v>
      </c>
      <c r="P7440" t="n">
        <v>0</v>
      </c>
      <c r="Q7440" t="n">
        <v>0</v>
      </c>
      <c r="R7440" t="n">
        <v>0</v>
      </c>
      <c r="S7440" t="n">
        <v>0</v>
      </c>
      <c r="T7440" t="n">
        <v>0</v>
      </c>
      <c r="U7440" t="n">
        <v>0</v>
      </c>
      <c r="V7440" s="2" t="inlineStr"/>
    </row>
    <row r="7441" ht="15" customHeight="1">
      <c r="A7441" t="inlineStr">
        <is>
          <t>A 44537-2024</t>
        </is>
      </c>
      <c r="B7441" t="inlineStr">
        <is>
          <t>avverkningsanmälan</t>
        </is>
      </c>
      <c r="C7441" t="inlineStr">
        <is>
          <t>Föryngringsavverkning</t>
        </is>
      </c>
      <c r="D7441" s="1" t="n">
        <v>45574</v>
      </c>
      <c r="E7441" s="1" t="n">
        <v>46319</v>
      </c>
      <c r="F7441" t="inlineStr">
        <is>
          <t>DALARNAS LÄN</t>
        </is>
      </c>
      <c r="G7441" t="inlineStr">
        <is>
          <t>LUDVIKA</t>
        </is>
      </c>
      <c r="H7441" t="inlineStr">
        <is>
          <t>Bergvik skog väst AB</t>
        </is>
      </c>
      <c r="I7441" t="n">
        <v>1.1</v>
      </c>
      <c r="J7441" t="n">
        <v>0</v>
      </c>
      <c r="K7441" t="n">
        <v>0</v>
      </c>
      <c r="L7441" t="n">
        <v>0</v>
      </c>
      <c r="M7441" t="n">
        <v>0</v>
      </c>
      <c r="N7441" t="n">
        <v>0</v>
      </c>
      <c r="O7441" t="n">
        <v>0</v>
      </c>
      <c r="P7441" t="n">
        <v>0</v>
      </c>
      <c r="Q7441" t="n">
        <v>0</v>
      </c>
      <c r="R7441" t="n">
        <v>0</v>
      </c>
      <c r="S7441" t="n">
        <v>0</v>
      </c>
      <c r="T7441" t="n">
        <v>0</v>
      </c>
      <c r="U7441" t="n">
        <v>0</v>
      </c>
      <c r="V7441" s="2" t="inlineStr"/>
    </row>
    <row r="7442" ht="15" customHeight="1">
      <c r="A7442" t="inlineStr">
        <is>
          <t>A 37068-2026</t>
        </is>
      </c>
      <c r="B7442" t="inlineStr">
        <is>
          <t>avverkningsanmälan</t>
        </is>
      </c>
      <c r="C7442" t="inlineStr">
        <is>
          <t>Föryngringsavverkning</t>
        </is>
      </c>
      <c r="D7442" s="1" t="n">
        <v>46273</v>
      </c>
      <c r="E7442" s="1" t="n">
        <v>46319</v>
      </c>
      <c r="F7442" t="inlineStr">
        <is>
          <t>DALARNAS LÄN</t>
        </is>
      </c>
      <c r="G7442" t="inlineStr">
        <is>
          <t>FALUN</t>
        </is>
      </c>
      <c r="I7442" t="n">
        <v>2.4</v>
      </c>
      <c r="J7442" t="n">
        <v>0</v>
      </c>
      <c r="K7442" t="n">
        <v>0</v>
      </c>
      <c r="L7442" t="n">
        <v>0</v>
      </c>
      <c r="M7442" t="n">
        <v>0</v>
      </c>
      <c r="N7442" t="n">
        <v>0</v>
      </c>
      <c r="O7442" t="n">
        <v>0</v>
      </c>
      <c r="P7442" t="n">
        <v>0</v>
      </c>
      <c r="Q7442" t="n">
        <v>0</v>
      </c>
      <c r="R7442" t="n">
        <v>0</v>
      </c>
      <c r="S7442" t="n">
        <v>0</v>
      </c>
      <c r="T7442" t="n">
        <v>0</v>
      </c>
      <c r="U7442" t="n">
        <v>0</v>
      </c>
      <c r="V7442" s="2" t="inlineStr"/>
    </row>
    <row r="7443" ht="15" customHeight="1">
      <c r="A7443" t="inlineStr">
        <is>
          <t>A 37052-2026</t>
        </is>
      </c>
      <c r="B7443" t="inlineStr">
        <is>
          <t>avverkningsanmälan</t>
        </is>
      </c>
      <c r="C7443" t="inlineStr">
        <is>
          <t>Föryngringsavverkning</t>
        </is>
      </c>
      <c r="D7443" s="1" t="n">
        <v>46273</v>
      </c>
      <c r="E7443" s="1" t="n">
        <v>46319</v>
      </c>
      <c r="F7443" t="inlineStr">
        <is>
          <t>DALARNAS LÄN</t>
        </is>
      </c>
      <c r="G7443" t="inlineStr">
        <is>
          <t>LUDVIKA</t>
        </is>
      </c>
      <c r="I7443" t="n">
        <v>8.5</v>
      </c>
      <c r="J7443" t="n">
        <v>0</v>
      </c>
      <c r="K7443" t="n">
        <v>0</v>
      </c>
      <c r="L7443" t="n">
        <v>0</v>
      </c>
      <c r="M7443" t="n">
        <v>0</v>
      </c>
      <c r="N7443" t="n">
        <v>0</v>
      </c>
      <c r="O7443" t="n">
        <v>0</v>
      </c>
      <c r="P7443" t="n">
        <v>0</v>
      </c>
      <c r="Q7443" t="n">
        <v>0</v>
      </c>
      <c r="R7443" t="n">
        <v>0</v>
      </c>
      <c r="S7443" t="n">
        <v>0</v>
      </c>
      <c r="T7443" t="n">
        <v>0</v>
      </c>
      <c r="U7443" t="n">
        <v>0</v>
      </c>
      <c r="V7443" s="2" t="inlineStr"/>
    </row>
    <row r="7444" ht="15" customHeight="1">
      <c r="A7444" t="inlineStr">
        <is>
          <t>A 43866-2026</t>
        </is>
      </c>
      <c r="B7444" t="inlineStr">
        <is>
          <t>avverkningsanmälan</t>
        </is>
      </c>
      <c r="C7444" t="inlineStr">
        <is>
          <t>Föryngringsavverkning</t>
        </is>
      </c>
      <c r="D7444" s="1" t="n">
        <v>46316</v>
      </c>
      <c r="E7444" s="1" t="n">
        <v>46319</v>
      </c>
      <c r="F7444" t="inlineStr">
        <is>
          <t>DALARNAS LÄN</t>
        </is>
      </c>
      <c r="G7444" t="inlineStr">
        <is>
          <t>SMEDJEBACKEN</t>
        </is>
      </c>
      <c r="H7444" t="inlineStr">
        <is>
          <t>Sveaskog</t>
        </is>
      </c>
      <c r="I7444" t="n">
        <v>16.6</v>
      </c>
      <c r="J7444" t="n">
        <v>0</v>
      </c>
      <c r="K7444" t="n">
        <v>0</v>
      </c>
      <c r="L7444" t="n">
        <v>0</v>
      </c>
      <c r="M7444" t="n">
        <v>0</v>
      </c>
      <c r="N7444" t="n">
        <v>0</v>
      </c>
      <c r="O7444" t="n">
        <v>0</v>
      </c>
      <c r="P7444" t="n">
        <v>0</v>
      </c>
      <c r="Q7444" t="n">
        <v>0</v>
      </c>
      <c r="R7444" t="n">
        <v>0</v>
      </c>
      <c r="S7444" t="n">
        <v>0</v>
      </c>
      <c r="T7444" t="n">
        <v>0</v>
      </c>
      <c r="U7444" t="n">
        <v>0</v>
      </c>
      <c r="V7444" s="2" t="inlineStr"/>
    </row>
    <row r="7445" ht="15" customHeight="1">
      <c r="A7445" t="inlineStr">
        <is>
          <t>A 43867-2026</t>
        </is>
      </c>
      <c r="B7445" t="inlineStr">
        <is>
          <t>avverkningsanmälan</t>
        </is>
      </c>
      <c r="C7445" t="inlineStr">
        <is>
          <t>Föryngringsavverkning</t>
        </is>
      </c>
      <c r="D7445" s="1" t="n">
        <v>46316</v>
      </c>
      <c r="E7445" s="1" t="n">
        <v>46319</v>
      </c>
      <c r="F7445" t="inlineStr">
        <is>
          <t>DALARNAS LÄN</t>
        </is>
      </c>
      <c r="G7445" t="inlineStr">
        <is>
          <t>SMEDJEBACKEN</t>
        </is>
      </c>
      <c r="H7445" t="inlineStr">
        <is>
          <t>Sveaskog</t>
        </is>
      </c>
      <c r="I7445" t="n">
        <v>7.9</v>
      </c>
      <c r="J7445" t="n">
        <v>0</v>
      </c>
      <c r="K7445" t="n">
        <v>0</v>
      </c>
      <c r="L7445" t="n">
        <v>0</v>
      </c>
      <c r="M7445" t="n">
        <v>0</v>
      </c>
      <c r="N7445" t="n">
        <v>0</v>
      </c>
      <c r="O7445" t="n">
        <v>0</v>
      </c>
      <c r="P7445" t="n">
        <v>0</v>
      </c>
      <c r="Q7445" t="n">
        <v>0</v>
      </c>
      <c r="R7445" t="n">
        <v>0</v>
      </c>
      <c r="S7445" t="n">
        <v>0</v>
      </c>
      <c r="T7445" t="n">
        <v>0</v>
      </c>
      <c r="U7445" t="n">
        <v>0</v>
      </c>
      <c r="V7445" s="2" t="inlineStr"/>
    </row>
    <row r="7446" ht="15" customHeight="1">
      <c r="A7446" t="inlineStr">
        <is>
          <t>A 34103-2024</t>
        </is>
      </c>
      <c r="B7446" t="inlineStr">
        <is>
          <t>avverkningsanmälan</t>
        </is>
      </c>
      <c r="C7446" t="inlineStr">
        <is>
          <t>Föryngringsavverkning</t>
        </is>
      </c>
      <c r="D7446" s="1" t="n">
        <v>45523</v>
      </c>
      <c r="E7446" s="1" t="n">
        <v>46319</v>
      </c>
      <c r="F7446" t="inlineStr">
        <is>
          <t>DALARNAS LÄN</t>
        </is>
      </c>
      <c r="G7446" t="inlineStr">
        <is>
          <t>FALUN</t>
        </is>
      </c>
      <c r="I7446" t="n">
        <v>2.3</v>
      </c>
      <c r="J7446" t="n">
        <v>0</v>
      </c>
      <c r="K7446" t="n">
        <v>0</v>
      </c>
      <c r="L7446" t="n">
        <v>0</v>
      </c>
      <c r="M7446" t="n">
        <v>0</v>
      </c>
      <c r="N7446" t="n">
        <v>0</v>
      </c>
      <c r="O7446" t="n">
        <v>0</v>
      </c>
      <c r="P7446" t="n">
        <v>0</v>
      </c>
      <c r="Q7446" t="n">
        <v>0</v>
      </c>
      <c r="R7446" t="n">
        <v>0</v>
      </c>
      <c r="S7446" t="n">
        <v>0</v>
      </c>
      <c r="T7446" t="n">
        <v>0</v>
      </c>
      <c r="U7446" t="n">
        <v>0</v>
      </c>
      <c r="V7446" s="2" t="inlineStr"/>
    </row>
    <row r="7447" ht="15" customHeight="1">
      <c r="A7447" t="inlineStr">
        <is>
          <t>A 4744-2026</t>
        </is>
      </c>
      <c r="B7447" t="inlineStr">
        <is>
          <t>avverkningsanmälan</t>
        </is>
      </c>
      <c r="C7447" t="inlineStr">
        <is>
          <t>Föryngringsavverkning</t>
        </is>
      </c>
      <c r="D7447" s="1" t="n">
        <v>46048</v>
      </c>
      <c r="E7447" s="1" t="n">
        <v>46319</v>
      </c>
      <c r="F7447" t="inlineStr">
        <is>
          <t>DALARNAS LÄN</t>
        </is>
      </c>
      <c r="G7447" t="inlineStr">
        <is>
          <t>MORA</t>
        </is>
      </c>
      <c r="I7447" t="n">
        <v>15.8</v>
      </c>
      <c r="J7447" t="n">
        <v>0</v>
      </c>
      <c r="K7447" t="n">
        <v>0</v>
      </c>
      <c r="L7447" t="n">
        <v>0</v>
      </c>
      <c r="M7447" t="n">
        <v>0</v>
      </c>
      <c r="N7447" t="n">
        <v>0</v>
      </c>
      <c r="O7447" t="n">
        <v>0</v>
      </c>
      <c r="P7447" t="n">
        <v>0</v>
      </c>
      <c r="Q7447" t="n">
        <v>0</v>
      </c>
      <c r="R7447" t="n">
        <v>0</v>
      </c>
      <c r="S7447" t="n">
        <v>0</v>
      </c>
      <c r="T7447" t="n">
        <v>0</v>
      </c>
      <c r="U7447" t="n">
        <v>0</v>
      </c>
      <c r="V7447" s="2" t="inlineStr"/>
    </row>
    <row r="7448" ht="15" customHeight="1">
      <c r="A7448" t="inlineStr">
        <is>
          <t>A 13171-2022</t>
        </is>
      </c>
      <c r="B7448" t="inlineStr">
        <is>
          <t>avverkningsanmälan</t>
        </is>
      </c>
      <c r="C7448" t="inlineStr">
        <is>
          <t>Föryngringsavverkning</t>
        </is>
      </c>
      <c r="D7448" s="1" t="n">
        <v>44644</v>
      </c>
      <c r="E7448" s="1" t="n">
        <v>46319</v>
      </c>
      <c r="F7448" t="inlineStr">
        <is>
          <t>DALARNAS LÄN</t>
        </is>
      </c>
      <c r="G7448" t="inlineStr">
        <is>
          <t>RÄTTVIK</t>
        </is>
      </c>
      <c r="I7448" t="n">
        <v>0.9</v>
      </c>
      <c r="J7448" t="n">
        <v>0</v>
      </c>
      <c r="K7448" t="n">
        <v>0</v>
      </c>
      <c r="L7448" t="n">
        <v>0</v>
      </c>
      <c r="M7448" t="n">
        <v>0</v>
      </c>
      <c r="N7448" t="n">
        <v>0</v>
      </c>
      <c r="O7448" t="n">
        <v>0</v>
      </c>
      <c r="P7448" t="n">
        <v>0</v>
      </c>
      <c r="Q7448" t="n">
        <v>0</v>
      </c>
      <c r="R7448" t="n">
        <v>0</v>
      </c>
      <c r="S7448" t="n">
        <v>0</v>
      </c>
      <c r="T7448" t="n">
        <v>0</v>
      </c>
      <c r="U7448" t="n">
        <v>0</v>
      </c>
      <c r="V7448" s="2" t="inlineStr"/>
    </row>
    <row r="7449" ht="15" customHeight="1">
      <c r="A7449" t="inlineStr">
        <is>
          <t>A 4953-2025</t>
        </is>
      </c>
      <c r="B7449" t="inlineStr">
        <is>
          <t>avverkningsanmälan</t>
        </is>
      </c>
      <c r="C7449" t="inlineStr">
        <is>
          <t>Föryngringsavverkning</t>
        </is>
      </c>
      <c r="D7449" s="1" t="n">
        <v>45689</v>
      </c>
      <c r="E7449" s="1" t="n">
        <v>46319</v>
      </c>
      <c r="F7449" t="inlineStr">
        <is>
          <t>DALARNAS LÄN</t>
        </is>
      </c>
      <c r="G7449" t="inlineStr">
        <is>
          <t>VANSBRO</t>
        </is>
      </c>
      <c r="I7449" t="n">
        <v>4.2</v>
      </c>
      <c r="J7449" t="n">
        <v>0</v>
      </c>
      <c r="K7449" t="n">
        <v>0</v>
      </c>
      <c r="L7449" t="n">
        <v>0</v>
      </c>
      <c r="M7449" t="n">
        <v>0</v>
      </c>
      <c r="N7449" t="n">
        <v>0</v>
      </c>
      <c r="O7449" t="n">
        <v>0</v>
      </c>
      <c r="P7449" t="n">
        <v>0</v>
      </c>
      <c r="Q7449" t="n">
        <v>0</v>
      </c>
      <c r="R7449" t="n">
        <v>0</v>
      </c>
      <c r="S7449" t="n">
        <v>0</v>
      </c>
      <c r="T7449" t="n">
        <v>0</v>
      </c>
      <c r="U7449" t="n">
        <v>0</v>
      </c>
      <c r="V7449" s="2" t="inlineStr"/>
    </row>
    <row r="7450" ht="15" customHeight="1">
      <c r="A7450" t="inlineStr">
        <is>
          <t>A 10774-2024</t>
        </is>
      </c>
      <c r="B7450" t="inlineStr">
        <is>
          <t>avverkningsanmälan</t>
        </is>
      </c>
      <c r="C7450" t="inlineStr">
        <is>
          <t>Föryngringsavverkning</t>
        </is>
      </c>
      <c r="D7450" s="1" t="n">
        <v>45369</v>
      </c>
      <c r="E7450" s="1" t="n">
        <v>46319</v>
      </c>
      <c r="F7450" t="inlineStr">
        <is>
          <t>DALARNAS LÄN</t>
        </is>
      </c>
      <c r="G7450" t="inlineStr">
        <is>
          <t>BORLÄNGE</t>
        </is>
      </c>
      <c r="H7450" t="inlineStr">
        <is>
          <t>Bergvik skog väst AB</t>
        </is>
      </c>
      <c r="I7450" t="n">
        <v>1.3</v>
      </c>
      <c r="J7450" t="n">
        <v>0</v>
      </c>
      <c r="K7450" t="n">
        <v>0</v>
      </c>
      <c r="L7450" t="n">
        <v>0</v>
      </c>
      <c r="M7450" t="n">
        <v>0</v>
      </c>
      <c r="N7450" t="n">
        <v>0</v>
      </c>
      <c r="O7450" t="n">
        <v>0</v>
      </c>
      <c r="P7450" t="n">
        <v>0</v>
      </c>
      <c r="Q7450" t="n">
        <v>0</v>
      </c>
      <c r="R7450" t="n">
        <v>0</v>
      </c>
      <c r="S7450" t="n">
        <v>0</v>
      </c>
      <c r="T7450" t="n">
        <v>0</v>
      </c>
      <c r="U7450" t="n">
        <v>0</v>
      </c>
      <c r="V7450" s="2" t="inlineStr"/>
    </row>
    <row r="7451" ht="15" customHeight="1">
      <c r="A7451" t="inlineStr">
        <is>
          <t>A 49819-2025</t>
        </is>
      </c>
      <c r="B7451" t="inlineStr">
        <is>
          <t>avverkningsanmälan</t>
        </is>
      </c>
      <c r="C7451" t="inlineStr">
        <is>
          <t>Föryngringsavverkning</t>
        </is>
      </c>
      <c r="D7451" s="1" t="n">
        <v>45940</v>
      </c>
      <c r="E7451" s="1" t="n">
        <v>46319</v>
      </c>
      <c r="F7451" t="inlineStr">
        <is>
          <t>DALARNAS LÄN</t>
        </is>
      </c>
      <c r="G7451" t="inlineStr">
        <is>
          <t>VANSBRO</t>
        </is>
      </c>
      <c r="I7451" t="n">
        <v>1.7</v>
      </c>
      <c r="J7451" t="n">
        <v>0</v>
      </c>
      <c r="K7451" t="n">
        <v>0</v>
      </c>
      <c r="L7451" t="n">
        <v>0</v>
      </c>
      <c r="M7451" t="n">
        <v>0</v>
      </c>
      <c r="N7451" t="n">
        <v>0</v>
      </c>
      <c r="O7451" t="n">
        <v>0</v>
      </c>
      <c r="P7451" t="n">
        <v>0</v>
      </c>
      <c r="Q7451" t="n">
        <v>0</v>
      </c>
      <c r="R7451" t="n">
        <v>0</v>
      </c>
      <c r="S7451" t="n">
        <v>0</v>
      </c>
      <c r="T7451" t="n">
        <v>0</v>
      </c>
      <c r="U7451" t="n">
        <v>0</v>
      </c>
      <c r="V7451" s="2" t="inlineStr"/>
    </row>
    <row r="7452" ht="15" customHeight="1">
      <c r="A7452" t="inlineStr">
        <is>
          <t>A 43621-2026</t>
        </is>
      </c>
      <c r="B7452" t="inlineStr">
        <is>
          <t>avverkningsanmälan</t>
        </is>
      </c>
      <c r="C7452" t="inlineStr">
        <is>
          <t>Föryngringsavverkning</t>
        </is>
      </c>
      <c r="D7452" s="1" t="n">
        <v>46315</v>
      </c>
      <c r="E7452" s="1" t="n">
        <v>46319</v>
      </c>
      <c r="F7452" t="inlineStr">
        <is>
          <t>DALARNAS LÄN</t>
        </is>
      </c>
      <c r="G7452" t="inlineStr">
        <is>
          <t>RÄTTVIK</t>
        </is>
      </c>
      <c r="I7452" t="n">
        <v>1.3</v>
      </c>
      <c r="J7452" t="n">
        <v>0</v>
      </c>
      <c r="K7452" t="n">
        <v>0</v>
      </c>
      <c r="L7452" t="n">
        <v>0</v>
      </c>
      <c r="M7452" t="n">
        <v>0</v>
      </c>
      <c r="N7452" t="n">
        <v>0</v>
      </c>
      <c r="O7452" t="n">
        <v>0</v>
      </c>
      <c r="P7452" t="n">
        <v>0</v>
      </c>
      <c r="Q7452" t="n">
        <v>0</v>
      </c>
      <c r="R7452" t="n">
        <v>0</v>
      </c>
      <c r="S7452" t="n">
        <v>0</v>
      </c>
      <c r="T7452" t="n">
        <v>0</v>
      </c>
      <c r="U7452" t="n">
        <v>0</v>
      </c>
      <c r="V7452" s="2" t="inlineStr"/>
    </row>
    <row r="7453" ht="15" customHeight="1">
      <c r="A7453" t="inlineStr">
        <is>
          <t>A 30593-2025</t>
        </is>
      </c>
      <c r="B7453" t="inlineStr">
        <is>
          <t>avverkningsanmälan</t>
        </is>
      </c>
      <c r="C7453" t="inlineStr">
        <is>
          <t>Föryngringsavverkning</t>
        </is>
      </c>
      <c r="D7453" s="1" t="n">
        <v>45831</v>
      </c>
      <c r="E7453" s="1" t="n">
        <v>46319</v>
      </c>
      <c r="F7453" t="inlineStr">
        <is>
          <t>DALARNAS LÄN</t>
        </is>
      </c>
      <c r="G7453" t="inlineStr">
        <is>
          <t>FALUN</t>
        </is>
      </c>
      <c r="I7453" t="n">
        <v>2</v>
      </c>
      <c r="J7453" t="n">
        <v>0</v>
      </c>
      <c r="K7453" t="n">
        <v>0</v>
      </c>
      <c r="L7453" t="n">
        <v>0</v>
      </c>
      <c r="M7453" t="n">
        <v>0</v>
      </c>
      <c r="N7453" t="n">
        <v>0</v>
      </c>
      <c r="O7453" t="n">
        <v>0</v>
      </c>
      <c r="P7453" t="n">
        <v>0</v>
      </c>
      <c r="Q7453" t="n">
        <v>0</v>
      </c>
      <c r="R7453" t="n">
        <v>0</v>
      </c>
      <c r="S7453" t="n">
        <v>0</v>
      </c>
      <c r="T7453" t="n">
        <v>0</v>
      </c>
      <c r="U7453" t="n">
        <v>0</v>
      </c>
      <c r="V7453" s="2" t="inlineStr"/>
    </row>
    <row r="7454" ht="15" customHeight="1">
      <c r="A7454" t="inlineStr">
        <is>
          <t>A 33385-2025</t>
        </is>
      </c>
      <c r="B7454" t="inlineStr">
        <is>
          <t>avverkningsanmälan</t>
        </is>
      </c>
      <c r="C7454" t="inlineStr">
        <is>
          <t>Avverkning för annat ändamål</t>
        </is>
      </c>
      <c r="D7454" s="1" t="n">
        <v>45841</v>
      </c>
      <c r="E7454" s="1" t="n">
        <v>46319</v>
      </c>
      <c r="F7454" t="inlineStr">
        <is>
          <t>DALARNAS LÄN</t>
        </is>
      </c>
      <c r="G7454" t="inlineStr">
        <is>
          <t>RÄTTVIK</t>
        </is>
      </c>
      <c r="H7454" t="inlineStr">
        <is>
          <t>Sveaskog</t>
        </is>
      </c>
      <c r="I7454" t="n">
        <v>3.2</v>
      </c>
      <c r="J7454" t="n">
        <v>0</v>
      </c>
      <c r="K7454" t="n">
        <v>0</v>
      </c>
      <c r="L7454" t="n">
        <v>0</v>
      </c>
      <c r="M7454" t="n">
        <v>0</v>
      </c>
      <c r="N7454" t="n">
        <v>0</v>
      </c>
      <c r="O7454" t="n">
        <v>0</v>
      </c>
      <c r="P7454" t="n">
        <v>0</v>
      </c>
      <c r="Q7454" t="n">
        <v>0</v>
      </c>
      <c r="R7454" t="n">
        <v>0</v>
      </c>
      <c r="S7454" t="n">
        <v>0</v>
      </c>
      <c r="T7454" t="n">
        <v>0</v>
      </c>
      <c r="U7454" t="n">
        <v>0</v>
      </c>
      <c r="V7454" s="2" t="inlineStr"/>
    </row>
    <row r="7455" ht="15" customHeight="1">
      <c r="A7455" t="inlineStr">
        <is>
          <t>A 11514-2024</t>
        </is>
      </c>
      <c r="B7455" t="inlineStr">
        <is>
          <t>avverkningsanmälan</t>
        </is>
      </c>
      <c r="C7455" t="inlineStr">
        <is>
          <t>Föryngringsavverkning</t>
        </is>
      </c>
      <c r="D7455" s="1" t="n">
        <v>45372</v>
      </c>
      <c r="E7455" s="1" t="n">
        <v>46319</v>
      </c>
      <c r="F7455" t="inlineStr">
        <is>
          <t>DALARNAS LÄN</t>
        </is>
      </c>
      <c r="G7455" t="inlineStr">
        <is>
          <t>SMEDJEBACKEN</t>
        </is>
      </c>
      <c r="I7455" t="n">
        <v>1.4</v>
      </c>
      <c r="J7455" t="n">
        <v>0</v>
      </c>
      <c r="K7455" t="n">
        <v>0</v>
      </c>
      <c r="L7455" t="n">
        <v>0</v>
      </c>
      <c r="M7455" t="n">
        <v>0</v>
      </c>
      <c r="N7455" t="n">
        <v>0</v>
      </c>
      <c r="O7455" t="n">
        <v>0</v>
      </c>
      <c r="P7455" t="n">
        <v>0</v>
      </c>
      <c r="Q7455" t="n">
        <v>0</v>
      </c>
      <c r="R7455" t="n">
        <v>0</v>
      </c>
      <c r="S7455" t="n">
        <v>0</v>
      </c>
      <c r="T7455" t="n">
        <v>0</v>
      </c>
      <c r="U7455" t="n">
        <v>0</v>
      </c>
      <c r="V7455" s="2" t="inlineStr"/>
    </row>
    <row r="7456" ht="15" customHeight="1">
      <c r="A7456" t="inlineStr">
        <is>
          <t>A 6195-2023</t>
        </is>
      </c>
      <c r="B7456" t="inlineStr">
        <is>
          <t>avverkningsanmälan</t>
        </is>
      </c>
      <c r="C7456" t="inlineStr">
        <is>
          <t>Föryngringsavverkning</t>
        </is>
      </c>
      <c r="D7456" s="1" t="n">
        <v>44964</v>
      </c>
      <c r="E7456" s="1" t="n">
        <v>46319</v>
      </c>
      <c r="F7456" t="inlineStr">
        <is>
          <t>DALARNAS LÄN</t>
        </is>
      </c>
      <c r="G7456" t="inlineStr">
        <is>
          <t>RÄTTVIK</t>
        </is>
      </c>
      <c r="I7456" t="n">
        <v>0.3</v>
      </c>
      <c r="J7456" t="n">
        <v>0</v>
      </c>
      <c r="K7456" t="n">
        <v>0</v>
      </c>
      <c r="L7456" t="n">
        <v>0</v>
      </c>
      <c r="M7456" t="n">
        <v>0</v>
      </c>
      <c r="N7456" t="n">
        <v>0</v>
      </c>
      <c r="O7456" t="n">
        <v>0</v>
      </c>
      <c r="P7456" t="n">
        <v>0</v>
      </c>
      <c r="Q7456" t="n">
        <v>0</v>
      </c>
      <c r="R7456" t="n">
        <v>0</v>
      </c>
      <c r="S7456" t="n">
        <v>0</v>
      </c>
      <c r="T7456" t="n">
        <v>0</v>
      </c>
      <c r="U7456" t="n">
        <v>0</v>
      </c>
      <c r="V7456" s="2" t="inlineStr"/>
    </row>
    <row r="7457" ht="15" customHeight="1">
      <c r="A7457" t="inlineStr">
        <is>
          <t>A 35163-2023</t>
        </is>
      </c>
      <c r="B7457" t="inlineStr">
        <is>
          <t>avverkningsanmälan</t>
        </is>
      </c>
      <c r="C7457" t="inlineStr">
        <is>
          <t>Föryngringsavverkning</t>
        </is>
      </c>
      <c r="D7457" s="1" t="n">
        <v>45145</v>
      </c>
      <c r="E7457" s="1" t="n">
        <v>46319</v>
      </c>
      <c r="F7457" t="inlineStr">
        <is>
          <t>DALARNAS LÄN</t>
        </is>
      </c>
      <c r="G7457" t="inlineStr">
        <is>
          <t>SÄTER</t>
        </is>
      </c>
      <c r="I7457" t="n">
        <v>0.8</v>
      </c>
      <c r="J7457" t="n">
        <v>0</v>
      </c>
      <c r="K7457" t="n">
        <v>0</v>
      </c>
      <c r="L7457" t="n">
        <v>0</v>
      </c>
      <c r="M7457" t="n">
        <v>0</v>
      </c>
      <c r="N7457" t="n">
        <v>0</v>
      </c>
      <c r="O7457" t="n">
        <v>0</v>
      </c>
      <c r="P7457" t="n">
        <v>0</v>
      </c>
      <c r="Q7457" t="n">
        <v>0</v>
      </c>
      <c r="R7457" t="n">
        <v>0</v>
      </c>
      <c r="S7457" t="n">
        <v>0</v>
      </c>
      <c r="T7457" t="n">
        <v>0</v>
      </c>
      <c r="U7457" t="n">
        <v>0</v>
      </c>
      <c r="V7457" s="2" t="inlineStr"/>
    </row>
    <row r="7458" ht="15" customHeight="1">
      <c r="A7458" t="inlineStr">
        <is>
          <t>A 42704-2024</t>
        </is>
      </c>
      <c r="B7458" t="inlineStr">
        <is>
          <t>avverkningsanmälan</t>
        </is>
      </c>
      <c r="C7458" t="inlineStr">
        <is>
          <t>Föryngringsavverkning</t>
        </is>
      </c>
      <c r="D7458" s="1" t="n">
        <v>45566</v>
      </c>
      <c r="E7458" s="1" t="n">
        <v>46319</v>
      </c>
      <c r="F7458" t="inlineStr">
        <is>
          <t>DALARNAS LÄN</t>
        </is>
      </c>
      <c r="G7458" t="inlineStr">
        <is>
          <t>GAGNEF</t>
        </is>
      </c>
      <c r="I7458" t="n">
        <v>3.5</v>
      </c>
      <c r="J7458" t="n">
        <v>0</v>
      </c>
      <c r="K7458" t="n">
        <v>0</v>
      </c>
      <c r="L7458" t="n">
        <v>0</v>
      </c>
      <c r="M7458" t="n">
        <v>0</v>
      </c>
      <c r="N7458" t="n">
        <v>0</v>
      </c>
      <c r="O7458" t="n">
        <v>0</v>
      </c>
      <c r="P7458" t="n">
        <v>0</v>
      </c>
      <c r="Q7458" t="n">
        <v>0</v>
      </c>
      <c r="R7458" t="n">
        <v>0</v>
      </c>
      <c r="S7458" t="n">
        <v>0</v>
      </c>
      <c r="T7458" t="n">
        <v>0</v>
      </c>
      <c r="U7458" t="n">
        <v>0</v>
      </c>
      <c r="V7458" s="2" t="inlineStr"/>
    </row>
    <row r="7459" ht="15" customHeight="1">
      <c r="A7459" t="inlineStr">
        <is>
          <t>A 42713-2024</t>
        </is>
      </c>
      <c r="B7459" t="inlineStr">
        <is>
          <t>avverkningsanmälan</t>
        </is>
      </c>
      <c r="C7459" t="inlineStr">
        <is>
          <t>Föryngringsavverkning</t>
        </is>
      </c>
      <c r="D7459" s="1" t="n">
        <v>45566</v>
      </c>
      <c r="E7459" s="1" t="n">
        <v>46319</v>
      </c>
      <c r="F7459" t="inlineStr">
        <is>
          <t>DALARNAS LÄN</t>
        </is>
      </c>
      <c r="G7459" t="inlineStr">
        <is>
          <t>GAGNEF</t>
        </is>
      </c>
      <c r="I7459" t="n">
        <v>1.5</v>
      </c>
      <c r="J7459" t="n">
        <v>0</v>
      </c>
      <c r="K7459" t="n">
        <v>0</v>
      </c>
      <c r="L7459" t="n">
        <v>0</v>
      </c>
      <c r="M7459" t="n">
        <v>0</v>
      </c>
      <c r="N7459" t="n">
        <v>0</v>
      </c>
      <c r="O7459" t="n">
        <v>0</v>
      </c>
      <c r="P7459" t="n">
        <v>0</v>
      </c>
      <c r="Q7459" t="n">
        <v>0</v>
      </c>
      <c r="R7459" t="n">
        <v>0</v>
      </c>
      <c r="S7459" t="n">
        <v>0</v>
      </c>
      <c r="T7459" t="n">
        <v>0</v>
      </c>
      <c r="U7459" t="n">
        <v>0</v>
      </c>
      <c r="V7459" s="2" t="inlineStr"/>
    </row>
    <row r="7460" ht="15" customHeight="1">
      <c r="A7460" t="inlineStr">
        <is>
          <t>A 4817-2026</t>
        </is>
      </c>
      <c r="B7460" t="inlineStr">
        <is>
          <t>avverkningsanmälan</t>
        </is>
      </c>
      <c r="C7460" t="inlineStr">
        <is>
          <t>Föryngringsavverkning</t>
        </is>
      </c>
      <c r="D7460" s="1" t="n">
        <v>46048</v>
      </c>
      <c r="E7460" s="1" t="n">
        <v>46319</v>
      </c>
      <c r="F7460" t="inlineStr">
        <is>
          <t>DALARNAS LÄN</t>
        </is>
      </c>
      <c r="G7460" t="inlineStr">
        <is>
          <t>RÄTTVIK</t>
        </is>
      </c>
      <c r="I7460" t="n">
        <v>8.5</v>
      </c>
      <c r="J7460" t="n">
        <v>0</v>
      </c>
      <c r="K7460" t="n">
        <v>0</v>
      </c>
      <c r="L7460" t="n">
        <v>0</v>
      </c>
      <c r="M7460" t="n">
        <v>0</v>
      </c>
      <c r="N7460" t="n">
        <v>0</v>
      </c>
      <c r="O7460" t="n">
        <v>0</v>
      </c>
      <c r="P7460" t="n">
        <v>0</v>
      </c>
      <c r="Q7460" t="n">
        <v>0</v>
      </c>
      <c r="R7460" t="n">
        <v>0</v>
      </c>
      <c r="S7460" t="n">
        <v>0</v>
      </c>
      <c r="T7460" t="n">
        <v>0</v>
      </c>
      <c r="U7460" t="n">
        <v>0</v>
      </c>
      <c r="V7460" s="2" t="inlineStr"/>
    </row>
    <row r="7461" ht="15" customHeight="1">
      <c r="A7461" t="inlineStr">
        <is>
          <t>A 600-2026</t>
        </is>
      </c>
      <c r="B7461" t="inlineStr">
        <is>
          <t>avverkningsanmälan</t>
        </is>
      </c>
      <c r="C7461" t="inlineStr">
        <is>
          <t>Föryngringsavverkning</t>
        </is>
      </c>
      <c r="D7461" s="1" t="n">
        <v>46029</v>
      </c>
      <c r="E7461" s="1" t="n">
        <v>46319</v>
      </c>
      <c r="F7461" t="inlineStr">
        <is>
          <t>DALARNAS LÄN</t>
        </is>
      </c>
      <c r="G7461" t="inlineStr">
        <is>
          <t>RÄTTVIK</t>
        </is>
      </c>
      <c r="I7461" t="n">
        <v>2.2</v>
      </c>
      <c r="J7461" t="n">
        <v>0</v>
      </c>
      <c r="K7461" t="n">
        <v>0</v>
      </c>
      <c r="L7461" t="n">
        <v>0</v>
      </c>
      <c r="M7461" t="n">
        <v>0</v>
      </c>
      <c r="N7461" t="n">
        <v>0</v>
      </c>
      <c r="O7461" t="n">
        <v>0</v>
      </c>
      <c r="P7461" t="n">
        <v>0</v>
      </c>
      <c r="Q7461" t="n">
        <v>0</v>
      </c>
      <c r="R7461" t="n">
        <v>0</v>
      </c>
      <c r="S7461" t="n">
        <v>0</v>
      </c>
      <c r="T7461" t="n">
        <v>0</v>
      </c>
      <c r="U7461" t="n">
        <v>0</v>
      </c>
      <c r="V7461" s="2" t="inlineStr"/>
    </row>
    <row r="7462" ht="15" customHeight="1">
      <c r="A7462" t="inlineStr">
        <is>
          <t>A 43283-2025</t>
        </is>
      </c>
      <c r="B7462" t="inlineStr">
        <is>
          <t>avverkningsanmälan</t>
        </is>
      </c>
      <c r="C7462" t="inlineStr">
        <is>
          <t>Föryngringsavverkning</t>
        </is>
      </c>
      <c r="D7462" s="1" t="n">
        <v>45910</v>
      </c>
      <c r="E7462" s="1" t="n">
        <v>46319</v>
      </c>
      <c r="F7462" t="inlineStr">
        <is>
          <t>DALARNAS LÄN</t>
        </is>
      </c>
      <c r="G7462" t="inlineStr">
        <is>
          <t>AVESTA</t>
        </is>
      </c>
      <c r="I7462" t="n">
        <v>1.3</v>
      </c>
      <c r="J7462" t="n">
        <v>0</v>
      </c>
      <c r="K7462" t="n">
        <v>0</v>
      </c>
      <c r="L7462" t="n">
        <v>0</v>
      </c>
      <c r="M7462" t="n">
        <v>0</v>
      </c>
      <c r="N7462" t="n">
        <v>0</v>
      </c>
      <c r="O7462" t="n">
        <v>0</v>
      </c>
      <c r="P7462" t="n">
        <v>0</v>
      </c>
      <c r="Q7462" t="n">
        <v>0</v>
      </c>
      <c r="R7462" t="n">
        <v>0</v>
      </c>
      <c r="S7462" t="n">
        <v>0</v>
      </c>
      <c r="T7462" t="n">
        <v>0</v>
      </c>
      <c r="U7462" t="n">
        <v>0</v>
      </c>
      <c r="V7462" s="2" t="inlineStr"/>
    </row>
    <row r="7463" ht="15" customHeight="1">
      <c r="A7463" t="inlineStr">
        <is>
          <t>A 36444-2023</t>
        </is>
      </c>
      <c r="B7463" t="inlineStr">
        <is>
          <t>avverkningsanmälan</t>
        </is>
      </c>
      <c r="C7463" t="inlineStr">
        <is>
          <t>Föryngringsavverkning</t>
        </is>
      </c>
      <c r="D7463" s="1" t="n">
        <v>45152</v>
      </c>
      <c r="E7463" s="1" t="n">
        <v>46319</v>
      </c>
      <c r="F7463" t="inlineStr">
        <is>
          <t>DALARNAS LÄN</t>
        </is>
      </c>
      <c r="G7463" t="inlineStr">
        <is>
          <t>LEKSAND</t>
        </is>
      </c>
      <c r="I7463" t="n">
        <v>0.5</v>
      </c>
      <c r="J7463" t="n">
        <v>0</v>
      </c>
      <c r="K7463" t="n">
        <v>0</v>
      </c>
      <c r="L7463" t="n">
        <v>0</v>
      </c>
      <c r="M7463" t="n">
        <v>0</v>
      </c>
      <c r="N7463" t="n">
        <v>0</v>
      </c>
      <c r="O7463" t="n">
        <v>0</v>
      </c>
      <c r="P7463" t="n">
        <v>0</v>
      </c>
      <c r="Q7463" t="n">
        <v>0</v>
      </c>
      <c r="R7463" t="n">
        <v>0</v>
      </c>
      <c r="S7463" t="n">
        <v>0</v>
      </c>
      <c r="T7463" t="n">
        <v>0</v>
      </c>
      <c r="U7463" t="n">
        <v>0</v>
      </c>
      <c r="V7463" s="2" t="inlineStr"/>
    </row>
    <row r="7464" ht="15" customHeight="1">
      <c r="A7464" t="inlineStr">
        <is>
          <t>A 61698-2022</t>
        </is>
      </c>
      <c r="B7464" t="inlineStr">
        <is>
          <t>avverkningsanmälan</t>
        </is>
      </c>
      <c r="C7464" t="inlineStr">
        <is>
          <t>Föryngringsavverkning</t>
        </is>
      </c>
      <c r="D7464" s="1" t="n">
        <v>44917</v>
      </c>
      <c r="E7464" s="1" t="n">
        <v>46319</v>
      </c>
      <c r="F7464" t="inlineStr">
        <is>
          <t>DALARNAS LÄN</t>
        </is>
      </c>
      <c r="G7464" t="inlineStr">
        <is>
          <t>ORSA</t>
        </is>
      </c>
      <c r="H7464" t="inlineStr">
        <is>
          <t>Bergvik skog öst AB</t>
        </is>
      </c>
      <c r="I7464" t="n">
        <v>0.5</v>
      </c>
      <c r="J7464" t="n">
        <v>0</v>
      </c>
      <c r="K7464" t="n">
        <v>0</v>
      </c>
      <c r="L7464" t="n">
        <v>0</v>
      </c>
      <c r="M7464" t="n">
        <v>0</v>
      </c>
      <c r="N7464" t="n">
        <v>0</v>
      </c>
      <c r="O7464" t="n">
        <v>0</v>
      </c>
      <c r="P7464" t="n">
        <v>0</v>
      </c>
      <c r="Q7464" t="n">
        <v>0</v>
      </c>
      <c r="R7464" t="n">
        <v>0</v>
      </c>
      <c r="S7464" t="n">
        <v>0</v>
      </c>
      <c r="T7464" t="n">
        <v>0</v>
      </c>
      <c r="U7464" t="n">
        <v>0</v>
      </c>
      <c r="V7464" s="2" t="inlineStr"/>
    </row>
    <row r="7465" ht="15" customHeight="1">
      <c r="A7465" t="inlineStr">
        <is>
          <t>A 8563-2026</t>
        </is>
      </c>
      <c r="B7465" t="inlineStr">
        <is>
          <t>avverkningsanmälan</t>
        </is>
      </c>
      <c r="C7465" t="inlineStr">
        <is>
          <t>Föryngringsavverkning</t>
        </is>
      </c>
      <c r="D7465" s="1" t="n">
        <v>46065</v>
      </c>
      <c r="E7465" s="1" t="n">
        <v>46319</v>
      </c>
      <c r="F7465" t="inlineStr">
        <is>
          <t>DALARNAS LÄN</t>
        </is>
      </c>
      <c r="G7465" t="inlineStr">
        <is>
          <t>BORLÄNGE</t>
        </is>
      </c>
      <c r="H7465" t="inlineStr">
        <is>
          <t>Bergvik skog väst AB</t>
        </is>
      </c>
      <c r="I7465" t="n">
        <v>3</v>
      </c>
      <c r="J7465" t="n">
        <v>0</v>
      </c>
      <c r="K7465" t="n">
        <v>0</v>
      </c>
      <c r="L7465" t="n">
        <v>0</v>
      </c>
      <c r="M7465" t="n">
        <v>0</v>
      </c>
      <c r="N7465" t="n">
        <v>0</v>
      </c>
      <c r="O7465" t="n">
        <v>0</v>
      </c>
      <c r="P7465" t="n">
        <v>0</v>
      </c>
      <c r="Q7465" t="n">
        <v>0</v>
      </c>
      <c r="R7465" t="n">
        <v>0</v>
      </c>
      <c r="S7465" t="n">
        <v>0</v>
      </c>
      <c r="T7465" t="n">
        <v>0</v>
      </c>
      <c r="U7465" t="n">
        <v>0</v>
      </c>
      <c r="V7465" s="2" t="inlineStr"/>
    </row>
    <row r="7466" ht="15" customHeight="1">
      <c r="A7466" t="inlineStr">
        <is>
          <t>A 3345-2026</t>
        </is>
      </c>
      <c r="B7466" t="inlineStr">
        <is>
          <t>avverkningsanmälan</t>
        </is>
      </c>
      <c r="C7466" t="inlineStr">
        <is>
          <t>Föryngringsavverkning</t>
        </is>
      </c>
      <c r="D7466" s="1" t="n">
        <v>46041</v>
      </c>
      <c r="E7466" s="1" t="n">
        <v>46319</v>
      </c>
      <c r="F7466" t="inlineStr">
        <is>
          <t>DALARNAS LÄN</t>
        </is>
      </c>
      <c r="G7466" t="inlineStr">
        <is>
          <t>FALUN</t>
        </is>
      </c>
      <c r="I7466" t="n">
        <v>5.7</v>
      </c>
      <c r="J7466" t="n">
        <v>0</v>
      </c>
      <c r="K7466" t="n">
        <v>0</v>
      </c>
      <c r="L7466" t="n">
        <v>0</v>
      </c>
      <c r="M7466" t="n">
        <v>0</v>
      </c>
      <c r="N7466" t="n">
        <v>0</v>
      </c>
      <c r="O7466" t="n">
        <v>0</v>
      </c>
      <c r="P7466" t="n">
        <v>0</v>
      </c>
      <c r="Q7466" t="n">
        <v>0</v>
      </c>
      <c r="R7466" t="n">
        <v>0</v>
      </c>
      <c r="S7466" t="n">
        <v>0</v>
      </c>
      <c r="T7466" t="n">
        <v>0</v>
      </c>
      <c r="U7466" t="n">
        <v>0</v>
      </c>
      <c r="V7466" s="2" t="inlineStr"/>
    </row>
    <row r="7467" ht="15" customHeight="1">
      <c r="A7467" t="inlineStr">
        <is>
          <t>A 6028-2025</t>
        </is>
      </c>
      <c r="B7467" t="inlineStr">
        <is>
          <t>avverkningsanmälan</t>
        </is>
      </c>
      <c r="C7467" t="inlineStr">
        <is>
          <t>Föryngringsavverkning</t>
        </is>
      </c>
      <c r="D7467" s="1" t="n">
        <v>45695</v>
      </c>
      <c r="E7467" s="1" t="n">
        <v>46319</v>
      </c>
      <c r="F7467" t="inlineStr">
        <is>
          <t>DALARNAS LÄN</t>
        </is>
      </c>
      <c r="G7467" t="inlineStr">
        <is>
          <t>LEKSAND</t>
        </is>
      </c>
      <c r="I7467" t="n">
        <v>1.1</v>
      </c>
      <c r="J7467" t="n">
        <v>0</v>
      </c>
      <c r="K7467" t="n">
        <v>0</v>
      </c>
      <c r="L7467" t="n">
        <v>0</v>
      </c>
      <c r="M7467" t="n">
        <v>0</v>
      </c>
      <c r="N7467" t="n">
        <v>0</v>
      </c>
      <c r="O7467" t="n">
        <v>0</v>
      </c>
      <c r="P7467" t="n">
        <v>0</v>
      </c>
      <c r="Q7467" t="n">
        <v>0</v>
      </c>
      <c r="R7467" t="n">
        <v>0</v>
      </c>
      <c r="S7467" t="n">
        <v>0</v>
      </c>
      <c r="T7467" t="n">
        <v>0</v>
      </c>
      <c r="U7467" t="n">
        <v>0</v>
      </c>
      <c r="V7467" s="2" t="inlineStr"/>
    </row>
    <row r="7468" ht="15" customHeight="1">
      <c r="A7468" t="inlineStr">
        <is>
          <t>A 57740-2023</t>
        </is>
      </c>
      <c r="B7468" t="inlineStr">
        <is>
          <t>avverkningsanmälan</t>
        </is>
      </c>
      <c r="C7468" t="inlineStr">
        <is>
          <t>Föryngringsavverkning</t>
        </is>
      </c>
      <c r="D7468" s="1" t="n">
        <v>45243</v>
      </c>
      <c r="E7468" s="1" t="n">
        <v>46319</v>
      </c>
      <c r="F7468" t="inlineStr">
        <is>
          <t>DALARNAS LÄN</t>
        </is>
      </c>
      <c r="G7468" t="inlineStr">
        <is>
          <t>RÄTTVIK</t>
        </is>
      </c>
      <c r="I7468" t="n">
        <v>2.7</v>
      </c>
      <c r="J7468" t="n">
        <v>0</v>
      </c>
      <c r="K7468" t="n">
        <v>0</v>
      </c>
      <c r="L7468" t="n">
        <v>0</v>
      </c>
      <c r="M7468" t="n">
        <v>0</v>
      </c>
      <c r="N7468" t="n">
        <v>0</v>
      </c>
      <c r="O7468" t="n">
        <v>0</v>
      </c>
      <c r="P7468" t="n">
        <v>0</v>
      </c>
      <c r="Q7468" t="n">
        <v>0</v>
      </c>
      <c r="R7468" t="n">
        <v>0</v>
      </c>
      <c r="S7468" t="n">
        <v>0</v>
      </c>
      <c r="T7468" t="n">
        <v>0</v>
      </c>
      <c r="U7468" t="n">
        <v>0</v>
      </c>
      <c r="V7468" s="2" t="inlineStr"/>
    </row>
    <row r="7469" ht="15" customHeight="1">
      <c r="A7469" t="inlineStr">
        <is>
          <t>A 24203-2025</t>
        </is>
      </c>
      <c r="B7469" t="inlineStr">
        <is>
          <t>avverkningsanmälan</t>
        </is>
      </c>
      <c r="C7469" t="inlineStr">
        <is>
          <t>Föryngringsavverkning</t>
        </is>
      </c>
      <c r="D7469" s="1" t="n">
        <v>45797</v>
      </c>
      <c r="E7469" s="1" t="n">
        <v>46319</v>
      </c>
      <c r="F7469" t="inlineStr">
        <is>
          <t>DALARNAS LÄN</t>
        </is>
      </c>
      <c r="G7469" t="inlineStr">
        <is>
          <t>RÄTTVIK</t>
        </is>
      </c>
      <c r="I7469" t="n">
        <v>7.6</v>
      </c>
      <c r="J7469" t="n">
        <v>0</v>
      </c>
      <c r="K7469" t="n">
        <v>0</v>
      </c>
      <c r="L7469" t="n">
        <v>0</v>
      </c>
      <c r="M7469" t="n">
        <v>0</v>
      </c>
      <c r="N7469" t="n">
        <v>0</v>
      </c>
      <c r="O7469" t="n">
        <v>0</v>
      </c>
      <c r="P7469" t="n">
        <v>0</v>
      </c>
      <c r="Q7469" t="n">
        <v>0</v>
      </c>
      <c r="R7469" t="n">
        <v>0</v>
      </c>
      <c r="S7469" t="n">
        <v>0</v>
      </c>
      <c r="T7469" t="n">
        <v>0</v>
      </c>
      <c r="U7469" t="n">
        <v>0</v>
      </c>
      <c r="V7469" s="2" t="inlineStr"/>
    </row>
    <row r="7470" ht="15" customHeight="1">
      <c r="A7470" t="inlineStr">
        <is>
          <t>A 3751-2026</t>
        </is>
      </c>
      <c r="B7470" t="inlineStr">
        <is>
          <t>avverkningsanmälan</t>
        </is>
      </c>
      <c r="C7470" t="inlineStr">
        <is>
          <t>Föryngringsavverkning</t>
        </is>
      </c>
      <c r="D7470" s="1" t="n">
        <v>46043</v>
      </c>
      <c r="E7470" s="1" t="n">
        <v>46319</v>
      </c>
      <c r="F7470" t="inlineStr">
        <is>
          <t>DALARNAS LÄN</t>
        </is>
      </c>
      <c r="G7470" t="inlineStr">
        <is>
          <t>SÄTER</t>
        </is>
      </c>
      <c r="I7470" t="n">
        <v>1.5</v>
      </c>
      <c r="J7470" t="n">
        <v>0</v>
      </c>
      <c r="K7470" t="n">
        <v>0</v>
      </c>
      <c r="L7470" t="n">
        <v>0</v>
      </c>
      <c r="M7470" t="n">
        <v>0</v>
      </c>
      <c r="N7470" t="n">
        <v>0</v>
      </c>
      <c r="O7470" t="n">
        <v>0</v>
      </c>
      <c r="P7470" t="n">
        <v>0</v>
      </c>
      <c r="Q7470" t="n">
        <v>0</v>
      </c>
      <c r="R7470" t="n">
        <v>0</v>
      </c>
      <c r="S7470" t="n">
        <v>0</v>
      </c>
      <c r="T7470" t="n">
        <v>0</v>
      </c>
      <c r="U7470" t="n">
        <v>0</v>
      </c>
      <c r="V7470" s="2" t="inlineStr"/>
    </row>
    <row r="7471" ht="15" customHeight="1">
      <c r="A7471" t="inlineStr">
        <is>
          <t>A 63829-2025</t>
        </is>
      </c>
      <c r="B7471" t="inlineStr">
        <is>
          <t>avverkningsanmälan</t>
        </is>
      </c>
      <c r="C7471" t="inlineStr">
        <is>
          <t>Föryngringsavverkning</t>
        </is>
      </c>
      <c r="D7471" s="1" t="n">
        <v>46020</v>
      </c>
      <c r="E7471" s="1" t="n">
        <v>46319</v>
      </c>
      <c r="F7471" t="inlineStr">
        <is>
          <t>DALARNAS LÄN</t>
        </is>
      </c>
      <c r="G7471" t="inlineStr">
        <is>
          <t>HEDEMORA</t>
        </is>
      </c>
      <c r="I7471" t="n">
        <v>3.9</v>
      </c>
      <c r="J7471" t="n">
        <v>0</v>
      </c>
      <c r="K7471" t="n">
        <v>0</v>
      </c>
      <c r="L7471" t="n">
        <v>0</v>
      </c>
      <c r="M7471" t="n">
        <v>0</v>
      </c>
      <c r="N7471" t="n">
        <v>0</v>
      </c>
      <c r="O7471" t="n">
        <v>0</v>
      </c>
      <c r="P7471" t="n">
        <v>0</v>
      </c>
      <c r="Q7471" t="n">
        <v>0</v>
      </c>
      <c r="R7471" t="n">
        <v>0</v>
      </c>
      <c r="S7471" t="n">
        <v>0</v>
      </c>
      <c r="T7471" t="n">
        <v>0</v>
      </c>
      <c r="U7471" t="n">
        <v>0</v>
      </c>
      <c r="V7471" s="2" t="inlineStr"/>
    </row>
    <row r="7472" ht="15" customHeight="1">
      <c r="A7472" t="inlineStr">
        <is>
          <t>A 58473-2025</t>
        </is>
      </c>
      <c r="B7472" t="inlineStr">
        <is>
          <t>avverkningsanmälan</t>
        </is>
      </c>
      <c r="C7472" t="inlineStr">
        <is>
          <t>Föryngringsavverkning</t>
        </is>
      </c>
      <c r="D7472" s="1" t="n">
        <v>45985</v>
      </c>
      <c r="E7472" s="1" t="n">
        <v>46319</v>
      </c>
      <c r="F7472" t="inlineStr">
        <is>
          <t>DALARNAS LÄN</t>
        </is>
      </c>
      <c r="G7472" t="inlineStr">
        <is>
          <t>MORA</t>
        </is>
      </c>
      <c r="I7472" t="n">
        <v>2.3</v>
      </c>
      <c r="J7472" t="n">
        <v>0</v>
      </c>
      <c r="K7472" t="n">
        <v>0</v>
      </c>
      <c r="L7472" t="n">
        <v>0</v>
      </c>
      <c r="M7472" t="n">
        <v>0</v>
      </c>
      <c r="N7472" t="n">
        <v>0</v>
      </c>
      <c r="O7472" t="n">
        <v>0</v>
      </c>
      <c r="P7472" t="n">
        <v>0</v>
      </c>
      <c r="Q7472" t="n">
        <v>0</v>
      </c>
      <c r="R7472" t="n">
        <v>0</v>
      </c>
      <c r="S7472" t="n">
        <v>0</v>
      </c>
      <c r="T7472" t="n">
        <v>0</v>
      </c>
      <c r="U7472" t="n">
        <v>0</v>
      </c>
      <c r="V7472" s="2" t="inlineStr"/>
    </row>
    <row r="7473" ht="15" customHeight="1">
      <c r="A7473" t="inlineStr">
        <is>
          <t>A 56975-2023</t>
        </is>
      </c>
      <c r="B7473" t="inlineStr">
        <is>
          <t>avverkningsanmälan</t>
        </is>
      </c>
      <c r="C7473" t="inlineStr">
        <is>
          <t>Föryngringsavverkning</t>
        </is>
      </c>
      <c r="D7473" s="1" t="n">
        <v>45244</v>
      </c>
      <c r="E7473" s="1" t="n">
        <v>46319</v>
      </c>
      <c r="F7473" t="inlineStr">
        <is>
          <t>DALARNAS LÄN</t>
        </is>
      </c>
      <c r="G7473" t="inlineStr">
        <is>
          <t>ORSA</t>
        </is>
      </c>
      <c r="I7473" t="n">
        <v>1.6</v>
      </c>
      <c r="J7473" t="n">
        <v>0</v>
      </c>
      <c r="K7473" t="n">
        <v>0</v>
      </c>
      <c r="L7473" t="n">
        <v>0</v>
      </c>
      <c r="M7473" t="n">
        <v>0</v>
      </c>
      <c r="N7473" t="n">
        <v>0</v>
      </c>
      <c r="O7473" t="n">
        <v>0</v>
      </c>
      <c r="P7473" t="n">
        <v>0</v>
      </c>
      <c r="Q7473" t="n">
        <v>0</v>
      </c>
      <c r="R7473" t="n">
        <v>0</v>
      </c>
      <c r="S7473" t="n">
        <v>0</v>
      </c>
      <c r="T7473" t="n">
        <v>0</v>
      </c>
      <c r="U7473" t="n">
        <v>0</v>
      </c>
      <c r="V7473" s="2" t="inlineStr"/>
    </row>
    <row r="7474" ht="15" customHeight="1">
      <c r="A7474" t="inlineStr">
        <is>
          <t>A 8492-2025</t>
        </is>
      </c>
      <c r="B7474" t="inlineStr">
        <is>
          <t>avverkningsanmälan</t>
        </is>
      </c>
      <c r="C7474" t="inlineStr">
        <is>
          <t>Föryngringsavverkning</t>
        </is>
      </c>
      <c r="D7474" s="1" t="n">
        <v>45709</v>
      </c>
      <c r="E7474" s="1" t="n">
        <v>46319</v>
      </c>
      <c r="F7474" t="inlineStr">
        <is>
          <t>DALARNAS LÄN</t>
        </is>
      </c>
      <c r="G7474" t="inlineStr">
        <is>
          <t>ÄLVDALEN</t>
        </is>
      </c>
      <c r="I7474" t="n">
        <v>1.4</v>
      </c>
      <c r="J7474" t="n">
        <v>0</v>
      </c>
      <c r="K7474" t="n">
        <v>0</v>
      </c>
      <c r="L7474" t="n">
        <v>0</v>
      </c>
      <c r="M7474" t="n">
        <v>0</v>
      </c>
      <c r="N7474" t="n">
        <v>0</v>
      </c>
      <c r="O7474" t="n">
        <v>0</v>
      </c>
      <c r="P7474" t="n">
        <v>0</v>
      </c>
      <c r="Q7474" t="n">
        <v>0</v>
      </c>
      <c r="R7474" t="n">
        <v>0</v>
      </c>
      <c r="S7474" t="n">
        <v>0</v>
      </c>
      <c r="T7474" t="n">
        <v>0</v>
      </c>
      <c r="U7474" t="n">
        <v>0</v>
      </c>
      <c r="V7474" s="2" t="inlineStr"/>
    </row>
    <row r="7475" ht="15" customHeight="1">
      <c r="A7475" t="inlineStr">
        <is>
          <t>A 36831-2026</t>
        </is>
      </c>
      <c r="B7475" t="inlineStr">
        <is>
          <t>avverkningsanmälan</t>
        </is>
      </c>
      <c r="C7475" t="inlineStr">
        <is>
          <t>Föryngringsavverkning</t>
        </is>
      </c>
      <c r="D7475" s="1" t="n">
        <v>46272</v>
      </c>
      <c r="E7475" s="1" t="n">
        <v>46319</v>
      </c>
      <c r="F7475" t="inlineStr">
        <is>
          <t>DALARNAS LÄN</t>
        </is>
      </c>
      <c r="G7475" t="inlineStr">
        <is>
          <t>ORSA</t>
        </is>
      </c>
      <c r="I7475" t="n">
        <v>4.9</v>
      </c>
      <c r="J7475" t="n">
        <v>0</v>
      </c>
      <c r="K7475" t="n">
        <v>0</v>
      </c>
      <c r="L7475" t="n">
        <v>0</v>
      </c>
      <c r="M7475" t="n">
        <v>0</v>
      </c>
      <c r="N7475" t="n">
        <v>0</v>
      </c>
      <c r="O7475" t="n">
        <v>0</v>
      </c>
      <c r="P7475" t="n">
        <v>0</v>
      </c>
      <c r="Q7475" t="n">
        <v>0</v>
      </c>
      <c r="R7475" t="n">
        <v>0</v>
      </c>
      <c r="S7475" t="n">
        <v>0</v>
      </c>
      <c r="T7475" t="n">
        <v>0</v>
      </c>
      <c r="U7475" t="n">
        <v>0</v>
      </c>
      <c r="V7475" s="2" t="inlineStr"/>
    </row>
    <row r="7476" ht="15" customHeight="1">
      <c r="A7476" t="inlineStr">
        <is>
          <t>A 3226-2026</t>
        </is>
      </c>
      <c r="B7476" t="inlineStr">
        <is>
          <t>avverkningsanmälan</t>
        </is>
      </c>
      <c r="C7476" t="inlineStr">
        <is>
          <t>Föryngringsavverkning</t>
        </is>
      </c>
      <c r="D7476" s="1" t="n">
        <v>46041</v>
      </c>
      <c r="E7476" s="1" t="n">
        <v>46319</v>
      </c>
      <c r="F7476" t="inlineStr">
        <is>
          <t>DALARNAS LÄN</t>
        </is>
      </c>
      <c r="G7476" t="inlineStr">
        <is>
          <t>ORSA</t>
        </is>
      </c>
      <c r="I7476" t="n">
        <v>1.8</v>
      </c>
      <c r="J7476" t="n">
        <v>0</v>
      </c>
      <c r="K7476" t="n">
        <v>0</v>
      </c>
      <c r="L7476" t="n">
        <v>0</v>
      </c>
      <c r="M7476" t="n">
        <v>0</v>
      </c>
      <c r="N7476" t="n">
        <v>0</v>
      </c>
      <c r="O7476" t="n">
        <v>0</v>
      </c>
      <c r="P7476" t="n">
        <v>0</v>
      </c>
      <c r="Q7476" t="n">
        <v>0</v>
      </c>
      <c r="R7476" t="n">
        <v>0</v>
      </c>
      <c r="S7476" t="n">
        <v>0</v>
      </c>
      <c r="T7476" t="n">
        <v>0</v>
      </c>
      <c r="U7476" t="n">
        <v>0</v>
      </c>
      <c r="V7476" s="2" t="inlineStr"/>
    </row>
    <row r="7477" ht="15" customHeight="1">
      <c r="A7477" t="inlineStr">
        <is>
          <t>A 2890-2026</t>
        </is>
      </c>
      <c r="B7477" t="inlineStr">
        <is>
          <t>avverkningsanmälan</t>
        </is>
      </c>
      <c r="C7477" t="inlineStr">
        <is>
          <t>Föryngringsavverkning</t>
        </is>
      </c>
      <c r="D7477" s="1" t="n">
        <v>46037</v>
      </c>
      <c r="E7477" s="1" t="n">
        <v>46319</v>
      </c>
      <c r="F7477" t="inlineStr">
        <is>
          <t>DALARNAS LÄN</t>
        </is>
      </c>
      <c r="G7477" t="inlineStr">
        <is>
          <t>LUDVIKA</t>
        </is>
      </c>
      <c r="I7477" t="n">
        <v>3.5</v>
      </c>
      <c r="J7477" t="n">
        <v>0</v>
      </c>
      <c r="K7477" t="n">
        <v>0</v>
      </c>
      <c r="L7477" t="n">
        <v>0</v>
      </c>
      <c r="M7477" t="n">
        <v>0</v>
      </c>
      <c r="N7477" t="n">
        <v>0</v>
      </c>
      <c r="O7477" t="n">
        <v>0</v>
      </c>
      <c r="P7477" t="n">
        <v>0</v>
      </c>
      <c r="Q7477" t="n">
        <v>0</v>
      </c>
      <c r="R7477" t="n">
        <v>0</v>
      </c>
      <c r="S7477" t="n">
        <v>0</v>
      </c>
      <c r="T7477" t="n">
        <v>0</v>
      </c>
      <c r="U7477" t="n">
        <v>0</v>
      </c>
      <c r="V7477" s="2" t="inlineStr"/>
    </row>
    <row r="7478" ht="15" customHeight="1">
      <c r="A7478" t="inlineStr">
        <is>
          <t>A 21152-2023</t>
        </is>
      </c>
      <c r="B7478" t="inlineStr">
        <is>
          <t>avverkningsanmälan</t>
        </is>
      </c>
      <c r="C7478" t="inlineStr">
        <is>
          <t>Föryngringsavverkning</t>
        </is>
      </c>
      <c r="D7478" s="1" t="n">
        <v>45062</v>
      </c>
      <c r="E7478" s="1" t="n">
        <v>46319</v>
      </c>
      <c r="F7478" t="inlineStr">
        <is>
          <t>DALARNAS LÄN</t>
        </is>
      </c>
      <c r="G7478" t="inlineStr">
        <is>
          <t>LUDVIKA</t>
        </is>
      </c>
      <c r="H7478" t="inlineStr">
        <is>
          <t>Bergvik skog väst AB</t>
        </is>
      </c>
      <c r="I7478" t="n">
        <v>13.6</v>
      </c>
      <c r="J7478" t="n">
        <v>0</v>
      </c>
      <c r="K7478" t="n">
        <v>0</v>
      </c>
      <c r="L7478" t="n">
        <v>0</v>
      </c>
      <c r="M7478" t="n">
        <v>0</v>
      </c>
      <c r="N7478" t="n">
        <v>0</v>
      </c>
      <c r="O7478" t="n">
        <v>0</v>
      </c>
      <c r="P7478" t="n">
        <v>0</v>
      </c>
      <c r="Q7478" t="n">
        <v>0</v>
      </c>
      <c r="R7478" t="n">
        <v>0</v>
      </c>
      <c r="S7478" t="n">
        <v>0</v>
      </c>
      <c r="T7478" t="n">
        <v>0</v>
      </c>
      <c r="U7478" t="n">
        <v>0</v>
      </c>
      <c r="V7478" s="2" t="inlineStr"/>
    </row>
    <row r="7479" ht="15" customHeight="1">
      <c r="A7479" t="inlineStr">
        <is>
          <t>A 37000-2026</t>
        </is>
      </c>
      <c r="B7479" t="inlineStr">
        <is>
          <t>avverkningsanmälan</t>
        </is>
      </c>
      <c r="C7479" t="inlineStr">
        <is>
          <t>Föryngringsavverkning</t>
        </is>
      </c>
      <c r="D7479" s="1" t="n">
        <v>46273</v>
      </c>
      <c r="E7479" s="1" t="n">
        <v>46319</v>
      </c>
      <c r="F7479" t="inlineStr">
        <is>
          <t>DALARNAS LÄN</t>
        </is>
      </c>
      <c r="G7479" t="inlineStr">
        <is>
          <t>LUDVIKA</t>
        </is>
      </c>
      <c r="H7479" t="inlineStr">
        <is>
          <t>Bergvik skog väst AB</t>
        </is>
      </c>
      <c r="I7479" t="n">
        <v>1.9</v>
      </c>
      <c r="J7479" t="n">
        <v>0</v>
      </c>
      <c r="K7479" t="n">
        <v>0</v>
      </c>
      <c r="L7479" t="n">
        <v>0</v>
      </c>
      <c r="M7479" t="n">
        <v>0</v>
      </c>
      <c r="N7479" t="n">
        <v>0</v>
      </c>
      <c r="O7479" t="n">
        <v>0</v>
      </c>
      <c r="P7479" t="n">
        <v>0</v>
      </c>
      <c r="Q7479" t="n">
        <v>0</v>
      </c>
      <c r="R7479" t="n">
        <v>0</v>
      </c>
      <c r="S7479" t="n">
        <v>0</v>
      </c>
      <c r="T7479" t="n">
        <v>0</v>
      </c>
      <c r="U7479" t="n">
        <v>0</v>
      </c>
      <c r="V7479" s="2" t="inlineStr"/>
    </row>
    <row r="7480" ht="15" customHeight="1">
      <c r="A7480" t="inlineStr">
        <is>
          <t>A 43848-2026</t>
        </is>
      </c>
      <c r="B7480" t="inlineStr">
        <is>
          <t>avverkningsanmälan</t>
        </is>
      </c>
      <c r="C7480" t="inlineStr">
        <is>
          <t>Föryngringsavverkning</t>
        </is>
      </c>
      <c r="D7480" s="1" t="n">
        <v>46316</v>
      </c>
      <c r="E7480" s="1" t="n">
        <v>46319</v>
      </c>
      <c r="F7480" t="inlineStr">
        <is>
          <t>DALARNAS LÄN</t>
        </is>
      </c>
      <c r="G7480" t="inlineStr">
        <is>
          <t>BORLÄNGE</t>
        </is>
      </c>
      <c r="I7480" t="n">
        <v>0.9</v>
      </c>
      <c r="J7480" t="n">
        <v>0</v>
      </c>
      <c r="K7480" t="n">
        <v>0</v>
      </c>
      <c r="L7480" t="n">
        <v>0</v>
      </c>
      <c r="M7480" t="n">
        <v>0</v>
      </c>
      <c r="N7480" t="n">
        <v>0</v>
      </c>
      <c r="O7480" t="n">
        <v>0</v>
      </c>
      <c r="P7480" t="n">
        <v>0</v>
      </c>
      <c r="Q7480" t="n">
        <v>0</v>
      </c>
      <c r="R7480" t="n">
        <v>0</v>
      </c>
      <c r="S7480" t="n">
        <v>0</v>
      </c>
      <c r="T7480" t="n">
        <v>0</v>
      </c>
      <c r="U7480" t="n">
        <v>0</v>
      </c>
      <c r="V7480" s="2" t="inlineStr"/>
    </row>
    <row r="7481" ht="15" customHeight="1">
      <c r="A7481" t="inlineStr">
        <is>
          <t>A 12231-2026</t>
        </is>
      </c>
      <c r="B7481" t="inlineStr">
        <is>
          <t>avverkningsanmälan</t>
        </is>
      </c>
      <c r="C7481" t="inlineStr">
        <is>
          <t>Föryngringsavverkning</t>
        </is>
      </c>
      <c r="D7481" s="1" t="n">
        <v>46087</v>
      </c>
      <c r="E7481" s="1" t="n">
        <v>46319</v>
      </c>
      <c r="F7481" t="inlineStr">
        <is>
          <t>DALARNAS LÄN</t>
        </is>
      </c>
      <c r="G7481" t="inlineStr">
        <is>
          <t>FALUN</t>
        </is>
      </c>
      <c r="H7481" t="inlineStr">
        <is>
          <t>Bergvik skog väst AB</t>
        </is>
      </c>
      <c r="I7481" t="n">
        <v>1.3</v>
      </c>
      <c r="J7481" t="n">
        <v>0</v>
      </c>
      <c r="K7481" t="n">
        <v>0</v>
      </c>
      <c r="L7481" t="n">
        <v>0</v>
      </c>
      <c r="M7481" t="n">
        <v>0</v>
      </c>
      <c r="N7481" t="n">
        <v>0</v>
      </c>
      <c r="O7481" t="n">
        <v>0</v>
      </c>
      <c r="P7481" t="n">
        <v>0</v>
      </c>
      <c r="Q7481" t="n">
        <v>0</v>
      </c>
      <c r="R7481" t="n">
        <v>0</v>
      </c>
      <c r="S7481" t="n">
        <v>0</v>
      </c>
      <c r="T7481" t="n">
        <v>0</v>
      </c>
      <c r="U7481" t="n">
        <v>0</v>
      </c>
      <c r="V7481" s="2" t="inlineStr"/>
    </row>
    <row r="7482" ht="15" customHeight="1">
      <c r="A7482" t="inlineStr">
        <is>
          <t>A 56459-2022</t>
        </is>
      </c>
      <c r="B7482" t="inlineStr">
        <is>
          <t>avverkningsanmälan</t>
        </is>
      </c>
      <c r="C7482" t="inlineStr">
        <is>
          <t>Föryngringsavverkning</t>
        </is>
      </c>
      <c r="D7482" s="1" t="n">
        <v>44893</v>
      </c>
      <c r="E7482" s="1" t="n">
        <v>46319</v>
      </c>
      <c r="F7482" t="inlineStr">
        <is>
          <t>DALARNAS LÄN</t>
        </is>
      </c>
      <c r="G7482" t="inlineStr">
        <is>
          <t>RÄTTVIK</t>
        </is>
      </c>
      <c r="I7482" t="n">
        <v>1</v>
      </c>
      <c r="J7482" t="n">
        <v>0</v>
      </c>
      <c r="K7482" t="n">
        <v>0</v>
      </c>
      <c r="L7482" t="n">
        <v>0</v>
      </c>
      <c r="M7482" t="n">
        <v>0</v>
      </c>
      <c r="N7482" t="n">
        <v>0</v>
      </c>
      <c r="O7482" t="n">
        <v>0</v>
      </c>
      <c r="P7482" t="n">
        <v>0</v>
      </c>
      <c r="Q7482" t="n">
        <v>0</v>
      </c>
      <c r="R7482" t="n">
        <v>0</v>
      </c>
      <c r="S7482" t="n">
        <v>0</v>
      </c>
      <c r="T7482" t="n">
        <v>0</v>
      </c>
      <c r="U7482" t="n">
        <v>0</v>
      </c>
      <c r="V7482" s="2" t="inlineStr"/>
    </row>
    <row r="7483" ht="15" customHeight="1">
      <c r="A7483" t="inlineStr">
        <is>
          <t>A 4906-2026</t>
        </is>
      </c>
      <c r="B7483" t="inlineStr">
        <is>
          <t>avverkningsanmälan</t>
        </is>
      </c>
      <c r="C7483" t="inlineStr">
        <is>
          <t>Föryngringsavverkning</t>
        </is>
      </c>
      <c r="D7483" s="1" t="n">
        <v>46048</v>
      </c>
      <c r="E7483" s="1" t="n">
        <v>46319</v>
      </c>
      <c r="F7483" t="inlineStr">
        <is>
          <t>DALARNAS LÄN</t>
        </is>
      </c>
      <c r="G7483" t="inlineStr">
        <is>
          <t>MORA</t>
        </is>
      </c>
      <c r="I7483" t="n">
        <v>1.1</v>
      </c>
      <c r="J7483" t="n">
        <v>0</v>
      </c>
      <c r="K7483" t="n">
        <v>0</v>
      </c>
      <c r="L7483" t="n">
        <v>0</v>
      </c>
      <c r="M7483" t="n">
        <v>0</v>
      </c>
      <c r="N7483" t="n">
        <v>0</v>
      </c>
      <c r="O7483" t="n">
        <v>0</v>
      </c>
      <c r="P7483" t="n">
        <v>0</v>
      </c>
      <c r="Q7483" t="n">
        <v>0</v>
      </c>
      <c r="R7483" t="n">
        <v>0</v>
      </c>
      <c r="S7483" t="n">
        <v>0</v>
      </c>
      <c r="T7483" t="n">
        <v>0</v>
      </c>
      <c r="U7483" t="n">
        <v>0</v>
      </c>
      <c r="V7483" s="2" t="inlineStr"/>
    </row>
    <row r="7484" ht="15" customHeight="1">
      <c r="A7484" t="inlineStr">
        <is>
          <t>A 11537-2026</t>
        </is>
      </c>
      <c r="B7484" t="inlineStr">
        <is>
          <t>avverkningsanmälan</t>
        </is>
      </c>
      <c r="C7484" t="inlineStr">
        <is>
          <t>Föryngringsavverkning</t>
        </is>
      </c>
      <c r="D7484" s="1" t="n">
        <v>46083</v>
      </c>
      <c r="E7484" s="1" t="n">
        <v>46319</v>
      </c>
      <c r="F7484" t="inlineStr">
        <is>
          <t>DALARNAS LÄN</t>
        </is>
      </c>
      <c r="G7484" t="inlineStr">
        <is>
          <t>RÄTTVIK</t>
        </is>
      </c>
      <c r="I7484" t="n">
        <v>2.4</v>
      </c>
      <c r="J7484" t="n">
        <v>0</v>
      </c>
      <c r="K7484" t="n">
        <v>0</v>
      </c>
      <c r="L7484" t="n">
        <v>0</v>
      </c>
      <c r="M7484" t="n">
        <v>0</v>
      </c>
      <c r="N7484" t="n">
        <v>0</v>
      </c>
      <c r="O7484" t="n">
        <v>0</v>
      </c>
      <c r="P7484" t="n">
        <v>0</v>
      </c>
      <c r="Q7484" t="n">
        <v>0</v>
      </c>
      <c r="R7484" t="n">
        <v>0</v>
      </c>
      <c r="S7484" t="n">
        <v>0</v>
      </c>
      <c r="T7484" t="n">
        <v>0</v>
      </c>
      <c r="U7484" t="n">
        <v>0</v>
      </c>
      <c r="V7484" s="2" t="inlineStr"/>
    </row>
    <row r="7485" ht="15" customHeight="1">
      <c r="A7485" t="inlineStr">
        <is>
          <t>A 37366-2026</t>
        </is>
      </c>
      <c r="B7485" t="inlineStr">
        <is>
          <t>avverkningsanmälan</t>
        </is>
      </c>
      <c r="C7485" t="inlineStr">
        <is>
          <t>Föryngringsavverkning</t>
        </is>
      </c>
      <c r="D7485" s="1" t="n">
        <v>46275</v>
      </c>
      <c r="E7485" s="1" t="n">
        <v>46319</v>
      </c>
      <c r="F7485" t="inlineStr">
        <is>
          <t>DALARNAS LÄN</t>
        </is>
      </c>
      <c r="G7485" t="inlineStr">
        <is>
          <t>SMEDJEBACKEN</t>
        </is>
      </c>
      <c r="I7485" t="n">
        <v>1.6</v>
      </c>
      <c r="J7485" t="n">
        <v>0</v>
      </c>
      <c r="K7485" t="n">
        <v>0</v>
      </c>
      <c r="L7485" t="n">
        <v>0</v>
      </c>
      <c r="M7485" t="n">
        <v>0</v>
      </c>
      <c r="N7485" t="n">
        <v>0</v>
      </c>
      <c r="O7485" t="n">
        <v>0</v>
      </c>
      <c r="P7485" t="n">
        <v>0</v>
      </c>
      <c r="Q7485" t="n">
        <v>0</v>
      </c>
      <c r="R7485" t="n">
        <v>0</v>
      </c>
      <c r="S7485" t="n">
        <v>0</v>
      </c>
      <c r="T7485" t="n">
        <v>0</v>
      </c>
      <c r="U7485" t="n">
        <v>0</v>
      </c>
      <c r="V7485" s="2" t="inlineStr"/>
    </row>
    <row r="7486" ht="15" customHeight="1">
      <c r="A7486" t="inlineStr">
        <is>
          <t>A 169-2026</t>
        </is>
      </c>
      <c r="B7486" t="inlineStr">
        <is>
          <t>avverkningsanmälan</t>
        </is>
      </c>
      <c r="C7486" t="inlineStr">
        <is>
          <t>Föryngringsavverkning</t>
        </is>
      </c>
      <c r="D7486" s="1" t="n">
        <v>46025</v>
      </c>
      <c r="E7486" s="1" t="n">
        <v>46319</v>
      </c>
      <c r="F7486" t="inlineStr">
        <is>
          <t>DALARNAS LÄN</t>
        </is>
      </c>
      <c r="G7486" t="inlineStr">
        <is>
          <t>RÄTTVIK</t>
        </is>
      </c>
      <c r="I7486" t="n">
        <v>2.3</v>
      </c>
      <c r="J7486" t="n">
        <v>0</v>
      </c>
      <c r="K7486" t="n">
        <v>0</v>
      </c>
      <c r="L7486" t="n">
        <v>0</v>
      </c>
      <c r="M7486" t="n">
        <v>0</v>
      </c>
      <c r="N7486" t="n">
        <v>0</v>
      </c>
      <c r="O7486" t="n">
        <v>0</v>
      </c>
      <c r="P7486" t="n">
        <v>0</v>
      </c>
      <c r="Q7486" t="n">
        <v>0</v>
      </c>
      <c r="R7486" t="n">
        <v>0</v>
      </c>
      <c r="S7486" t="n">
        <v>0</v>
      </c>
      <c r="T7486" t="n">
        <v>0</v>
      </c>
      <c r="U7486" t="n">
        <v>0</v>
      </c>
      <c r="V7486" s="2" t="inlineStr"/>
    </row>
    <row r="7487" ht="15" customHeight="1">
      <c r="A7487" t="inlineStr">
        <is>
          <t>A 170-2026</t>
        </is>
      </c>
      <c r="B7487" t="inlineStr">
        <is>
          <t>avverkningsanmälan</t>
        </is>
      </c>
      <c r="C7487" t="inlineStr">
        <is>
          <t>Föryngringsavverkning</t>
        </is>
      </c>
      <c r="D7487" s="1" t="n">
        <v>46025</v>
      </c>
      <c r="E7487" s="1" t="n">
        <v>46319</v>
      </c>
      <c r="F7487" t="inlineStr">
        <is>
          <t>DALARNAS LÄN</t>
        </is>
      </c>
      <c r="G7487" t="inlineStr">
        <is>
          <t>RÄTTVIK</t>
        </is>
      </c>
      <c r="I7487" t="n">
        <v>13</v>
      </c>
      <c r="J7487" t="n">
        <v>0</v>
      </c>
      <c r="K7487" t="n">
        <v>0</v>
      </c>
      <c r="L7487" t="n">
        <v>0</v>
      </c>
      <c r="M7487" t="n">
        <v>0</v>
      </c>
      <c r="N7487" t="n">
        <v>0</v>
      </c>
      <c r="O7487" t="n">
        <v>0</v>
      </c>
      <c r="P7487" t="n">
        <v>0</v>
      </c>
      <c r="Q7487" t="n">
        <v>0</v>
      </c>
      <c r="R7487" t="n">
        <v>0</v>
      </c>
      <c r="S7487" t="n">
        <v>0</v>
      </c>
      <c r="T7487" t="n">
        <v>0</v>
      </c>
      <c r="U7487" t="n">
        <v>0</v>
      </c>
      <c r="V7487" s="2" t="inlineStr"/>
    </row>
    <row r="7488" ht="15" customHeight="1">
      <c r="A7488" t="inlineStr">
        <is>
          <t>A 1950-2026</t>
        </is>
      </c>
      <c r="B7488" t="inlineStr">
        <is>
          <t>avverkningsanmälan</t>
        </is>
      </c>
      <c r="C7488" t="inlineStr">
        <is>
          <t>Föryngringsavverkning</t>
        </is>
      </c>
      <c r="D7488" s="1" t="n">
        <v>46035</v>
      </c>
      <c r="E7488" s="1" t="n">
        <v>46319</v>
      </c>
      <c r="F7488" t="inlineStr">
        <is>
          <t>DALARNAS LÄN</t>
        </is>
      </c>
      <c r="G7488" t="inlineStr">
        <is>
          <t>LEKSAND</t>
        </is>
      </c>
      <c r="I7488" t="n">
        <v>5.3</v>
      </c>
      <c r="J7488" t="n">
        <v>0</v>
      </c>
      <c r="K7488" t="n">
        <v>0</v>
      </c>
      <c r="L7488" t="n">
        <v>0</v>
      </c>
      <c r="M7488" t="n">
        <v>0</v>
      </c>
      <c r="N7488" t="n">
        <v>0</v>
      </c>
      <c r="O7488" t="n">
        <v>0</v>
      </c>
      <c r="P7488" t="n">
        <v>0</v>
      </c>
      <c r="Q7488" t="n">
        <v>0</v>
      </c>
      <c r="R7488" t="n">
        <v>0</v>
      </c>
      <c r="S7488" t="n">
        <v>0</v>
      </c>
      <c r="T7488" t="n">
        <v>0</v>
      </c>
      <c r="U7488" t="n">
        <v>0</v>
      </c>
      <c r="V7488" s="2" t="inlineStr"/>
    </row>
    <row r="7489" ht="15" customHeight="1">
      <c r="A7489" t="inlineStr">
        <is>
          <t>A 37394-2026</t>
        </is>
      </c>
      <c r="B7489" t="inlineStr">
        <is>
          <t>avverkningsanmälan</t>
        </is>
      </c>
      <c r="C7489" t="inlineStr">
        <is>
          <t>Föryngringsavverkning</t>
        </is>
      </c>
      <c r="D7489" s="1" t="n">
        <v>46275</v>
      </c>
      <c r="E7489" s="1" t="n">
        <v>46319</v>
      </c>
      <c r="F7489" t="inlineStr">
        <is>
          <t>DALARNAS LÄN</t>
        </is>
      </c>
      <c r="G7489" t="inlineStr">
        <is>
          <t>ORSA</t>
        </is>
      </c>
      <c r="I7489" t="n">
        <v>5.2</v>
      </c>
      <c r="J7489" t="n">
        <v>0</v>
      </c>
      <c r="K7489" t="n">
        <v>0</v>
      </c>
      <c r="L7489" t="n">
        <v>0</v>
      </c>
      <c r="M7489" t="n">
        <v>0</v>
      </c>
      <c r="N7489" t="n">
        <v>0</v>
      </c>
      <c r="O7489" t="n">
        <v>0</v>
      </c>
      <c r="P7489" t="n">
        <v>0</v>
      </c>
      <c r="Q7489" t="n">
        <v>0</v>
      </c>
      <c r="R7489" t="n">
        <v>0</v>
      </c>
      <c r="S7489" t="n">
        <v>0</v>
      </c>
      <c r="T7489" t="n">
        <v>0</v>
      </c>
      <c r="U7489" t="n">
        <v>0</v>
      </c>
      <c r="V7489" s="2" t="inlineStr"/>
    </row>
    <row r="7490" ht="15" customHeight="1">
      <c r="A7490" t="inlineStr">
        <is>
          <t>A 8211-2026</t>
        </is>
      </c>
      <c r="B7490" t="inlineStr">
        <is>
          <t>avverkningsanmälan</t>
        </is>
      </c>
      <c r="C7490" t="inlineStr">
        <is>
          <t>Föryngringsavverkning</t>
        </is>
      </c>
      <c r="D7490" s="1" t="n">
        <v>46064</v>
      </c>
      <c r="E7490" s="1" t="n">
        <v>46319</v>
      </c>
      <c r="F7490" t="inlineStr">
        <is>
          <t>DALARNAS LÄN</t>
        </is>
      </c>
      <c r="G7490" t="inlineStr">
        <is>
          <t>LEKSAND</t>
        </is>
      </c>
      <c r="I7490" t="n">
        <v>4.9</v>
      </c>
      <c r="J7490" t="n">
        <v>0</v>
      </c>
      <c r="K7490" t="n">
        <v>0</v>
      </c>
      <c r="L7490" t="n">
        <v>0</v>
      </c>
      <c r="M7490" t="n">
        <v>0</v>
      </c>
      <c r="N7490" t="n">
        <v>0</v>
      </c>
      <c r="O7490" t="n">
        <v>0</v>
      </c>
      <c r="P7490" t="n">
        <v>0</v>
      </c>
      <c r="Q7490" t="n">
        <v>0</v>
      </c>
      <c r="R7490" t="n">
        <v>0</v>
      </c>
      <c r="S7490" t="n">
        <v>0</v>
      </c>
      <c r="T7490" t="n">
        <v>0</v>
      </c>
      <c r="U7490" t="n">
        <v>0</v>
      </c>
      <c r="V7490" s="2" t="inlineStr"/>
    </row>
    <row r="7491" ht="15" customHeight="1">
      <c r="A7491" t="inlineStr">
        <is>
          <t>A 8807-2026</t>
        </is>
      </c>
      <c r="B7491" t="inlineStr">
        <is>
          <t>avverkningsanmälan</t>
        </is>
      </c>
      <c r="C7491" t="inlineStr">
        <is>
          <t>Föryngringsavverkning</t>
        </is>
      </c>
      <c r="D7491" s="1" t="n">
        <v>46066</v>
      </c>
      <c r="E7491" s="1" t="n">
        <v>46319</v>
      </c>
      <c r="F7491" t="inlineStr">
        <is>
          <t>DALARNAS LÄN</t>
        </is>
      </c>
      <c r="G7491" t="inlineStr">
        <is>
          <t>ORSA</t>
        </is>
      </c>
      <c r="I7491" t="n">
        <v>1.2</v>
      </c>
      <c r="J7491" t="n">
        <v>0</v>
      </c>
      <c r="K7491" t="n">
        <v>0</v>
      </c>
      <c r="L7491" t="n">
        <v>0</v>
      </c>
      <c r="M7491" t="n">
        <v>0</v>
      </c>
      <c r="N7491" t="n">
        <v>0</v>
      </c>
      <c r="O7491" t="n">
        <v>0</v>
      </c>
      <c r="P7491" t="n">
        <v>0</v>
      </c>
      <c r="Q7491" t="n">
        <v>0</v>
      </c>
      <c r="R7491" t="n">
        <v>0</v>
      </c>
      <c r="S7491" t="n">
        <v>0</v>
      </c>
      <c r="T7491" t="n">
        <v>0</v>
      </c>
      <c r="U7491" t="n">
        <v>0</v>
      </c>
      <c r="V7491" s="2" t="inlineStr"/>
    </row>
    <row r="7492" ht="15" customHeight="1">
      <c r="A7492" t="inlineStr">
        <is>
          <t>A 4012-2026</t>
        </is>
      </c>
      <c r="B7492" t="inlineStr">
        <is>
          <t>avverkningsanmälan</t>
        </is>
      </c>
      <c r="C7492" t="inlineStr">
        <is>
          <t>Föryngringsavverkning</t>
        </is>
      </c>
      <c r="D7492" s="1" t="n">
        <v>46044</v>
      </c>
      <c r="E7492" s="1" t="n">
        <v>46319</v>
      </c>
      <c r="F7492" t="inlineStr">
        <is>
          <t>DALARNAS LÄN</t>
        </is>
      </c>
      <c r="G7492" t="inlineStr">
        <is>
          <t>FALUN</t>
        </is>
      </c>
      <c r="I7492" t="n">
        <v>3.2</v>
      </c>
      <c r="J7492" t="n">
        <v>0</v>
      </c>
      <c r="K7492" t="n">
        <v>0</v>
      </c>
      <c r="L7492" t="n">
        <v>0</v>
      </c>
      <c r="M7492" t="n">
        <v>0</v>
      </c>
      <c r="N7492" t="n">
        <v>0</v>
      </c>
      <c r="O7492" t="n">
        <v>0</v>
      </c>
      <c r="P7492" t="n">
        <v>0</v>
      </c>
      <c r="Q7492" t="n">
        <v>0</v>
      </c>
      <c r="R7492" t="n">
        <v>0</v>
      </c>
      <c r="S7492" t="n">
        <v>0</v>
      </c>
      <c r="T7492" t="n">
        <v>0</v>
      </c>
      <c r="U7492" t="n">
        <v>0</v>
      </c>
      <c r="V7492" s="2" t="inlineStr"/>
    </row>
    <row r="7493" ht="15" customHeight="1">
      <c r="A7493" t="inlineStr">
        <is>
          <t>A 58345-2024</t>
        </is>
      </c>
      <c r="B7493" t="inlineStr">
        <is>
          <t>avverkningsanmälan</t>
        </is>
      </c>
      <c r="C7493" t="inlineStr">
        <is>
          <t>Föryngringsavverkning</t>
        </is>
      </c>
      <c r="D7493" s="1" t="n">
        <v>45632</v>
      </c>
      <c r="E7493" s="1" t="n">
        <v>46319</v>
      </c>
      <c r="F7493" t="inlineStr">
        <is>
          <t>DALARNAS LÄN</t>
        </is>
      </c>
      <c r="G7493" t="inlineStr">
        <is>
          <t>MALUNG-SÄLEN</t>
        </is>
      </c>
      <c r="I7493" t="n">
        <v>1.5</v>
      </c>
      <c r="J7493" t="n">
        <v>0</v>
      </c>
      <c r="K7493" t="n">
        <v>0</v>
      </c>
      <c r="L7493" t="n">
        <v>0</v>
      </c>
      <c r="M7493" t="n">
        <v>0</v>
      </c>
      <c r="N7493" t="n">
        <v>0</v>
      </c>
      <c r="O7493" t="n">
        <v>0</v>
      </c>
      <c r="P7493" t="n">
        <v>0</v>
      </c>
      <c r="Q7493" t="n">
        <v>0</v>
      </c>
      <c r="R7493" t="n">
        <v>0</v>
      </c>
      <c r="S7493" t="n">
        <v>0</v>
      </c>
      <c r="T7493" t="n">
        <v>0</v>
      </c>
      <c r="U7493" t="n">
        <v>0</v>
      </c>
      <c r="V7493" s="2" t="inlineStr"/>
    </row>
    <row r="7494" ht="15" customHeight="1">
      <c r="A7494" t="inlineStr">
        <is>
          <t>A 425-2026</t>
        </is>
      </c>
      <c r="B7494" t="inlineStr">
        <is>
          <t>avverkningsanmälan</t>
        </is>
      </c>
      <c r="C7494" t="inlineStr">
        <is>
          <t>Föryngringsavverkning</t>
        </is>
      </c>
      <c r="D7494" s="1" t="n">
        <v>46029</v>
      </c>
      <c r="E7494" s="1" t="n">
        <v>46319</v>
      </c>
      <c r="F7494" t="inlineStr">
        <is>
          <t>DALARNAS LÄN</t>
        </is>
      </c>
      <c r="G7494" t="inlineStr">
        <is>
          <t>FALUN</t>
        </is>
      </c>
      <c r="I7494" t="n">
        <v>4.6</v>
      </c>
      <c r="J7494" t="n">
        <v>0</v>
      </c>
      <c r="K7494" t="n">
        <v>0</v>
      </c>
      <c r="L7494" t="n">
        <v>0</v>
      </c>
      <c r="M7494" t="n">
        <v>0</v>
      </c>
      <c r="N7494" t="n">
        <v>0</v>
      </c>
      <c r="O7494" t="n">
        <v>0</v>
      </c>
      <c r="P7494" t="n">
        <v>0</v>
      </c>
      <c r="Q7494" t="n">
        <v>0</v>
      </c>
      <c r="R7494" t="n">
        <v>0</v>
      </c>
      <c r="S7494" t="n">
        <v>0</v>
      </c>
      <c r="T7494" t="n">
        <v>0</v>
      </c>
      <c r="U7494" t="n">
        <v>0</v>
      </c>
      <c r="V7494" s="2" t="inlineStr"/>
    </row>
    <row r="7495" ht="15" customHeight="1">
      <c r="A7495" t="inlineStr">
        <is>
          <t>A 20303-2026</t>
        </is>
      </c>
      <c r="B7495" t="inlineStr">
        <is>
          <t>avverkningsanmälan</t>
        </is>
      </c>
      <c r="C7495" t="inlineStr">
        <is>
          <t>Föryngringsavverkning</t>
        </is>
      </c>
      <c r="D7495" s="1" t="n">
        <v>46139</v>
      </c>
      <c r="E7495" s="1" t="n">
        <v>46319</v>
      </c>
      <c r="F7495" t="inlineStr">
        <is>
          <t>DALARNAS LÄN</t>
        </is>
      </c>
      <c r="G7495" t="inlineStr">
        <is>
          <t>LEKSAND</t>
        </is>
      </c>
      <c r="I7495" t="n">
        <v>1.1</v>
      </c>
      <c r="J7495" t="n">
        <v>0</v>
      </c>
      <c r="K7495" t="n">
        <v>0</v>
      </c>
      <c r="L7495" t="n">
        <v>0</v>
      </c>
      <c r="M7495" t="n">
        <v>0</v>
      </c>
      <c r="N7495" t="n">
        <v>0</v>
      </c>
      <c r="O7495" t="n">
        <v>0</v>
      </c>
      <c r="P7495" t="n">
        <v>0</v>
      </c>
      <c r="Q7495" t="n">
        <v>0</v>
      </c>
      <c r="R7495" t="n">
        <v>0</v>
      </c>
      <c r="S7495" t="n">
        <v>0</v>
      </c>
      <c r="T7495" t="n">
        <v>0</v>
      </c>
      <c r="U7495" t="n">
        <v>0</v>
      </c>
      <c r="V7495" s="2" t="inlineStr"/>
    </row>
    <row r="7496" ht="15" customHeight="1">
      <c r="A7496" t="inlineStr">
        <is>
          <t>A 20306-2026</t>
        </is>
      </c>
      <c r="B7496" t="inlineStr">
        <is>
          <t>avverkningsanmälan</t>
        </is>
      </c>
      <c r="C7496" t="inlineStr">
        <is>
          <t>Föryngringsavverkning</t>
        </is>
      </c>
      <c r="D7496" s="1" t="n">
        <v>46139</v>
      </c>
      <c r="E7496" s="1" t="n">
        <v>46319</v>
      </c>
      <c r="F7496" t="inlineStr">
        <is>
          <t>DALARNAS LÄN</t>
        </is>
      </c>
      <c r="G7496" t="inlineStr">
        <is>
          <t>GAGNEF</t>
        </is>
      </c>
      <c r="I7496" t="n">
        <v>5.5</v>
      </c>
      <c r="J7496" t="n">
        <v>0</v>
      </c>
      <c r="K7496" t="n">
        <v>0</v>
      </c>
      <c r="L7496" t="n">
        <v>0</v>
      </c>
      <c r="M7496" t="n">
        <v>0</v>
      </c>
      <c r="N7496" t="n">
        <v>0</v>
      </c>
      <c r="O7496" t="n">
        <v>0</v>
      </c>
      <c r="P7496" t="n">
        <v>0</v>
      </c>
      <c r="Q7496" t="n">
        <v>0</v>
      </c>
      <c r="R7496" t="n">
        <v>0</v>
      </c>
      <c r="S7496" t="n">
        <v>0</v>
      </c>
      <c r="T7496" t="n">
        <v>0</v>
      </c>
      <c r="U7496" t="n">
        <v>0</v>
      </c>
      <c r="V7496" s="2" t="inlineStr"/>
    </row>
    <row r="7497" ht="15" customHeight="1">
      <c r="A7497" t="inlineStr">
        <is>
          <t>A 58412-2024</t>
        </is>
      </c>
      <c r="B7497" t="inlineStr">
        <is>
          <t>avverkningsanmälan</t>
        </is>
      </c>
      <c r="C7497" t="inlineStr">
        <is>
          <t>Föryngringsavverkning</t>
        </is>
      </c>
      <c r="D7497" s="1" t="n">
        <v>45634</v>
      </c>
      <c r="E7497" s="1" t="n">
        <v>46319</v>
      </c>
      <c r="F7497" t="inlineStr">
        <is>
          <t>DALARNAS LÄN</t>
        </is>
      </c>
      <c r="G7497" t="inlineStr">
        <is>
          <t>FALUN</t>
        </is>
      </c>
      <c r="I7497" t="n">
        <v>2</v>
      </c>
      <c r="J7497" t="n">
        <v>0</v>
      </c>
      <c r="K7497" t="n">
        <v>0</v>
      </c>
      <c r="L7497" t="n">
        <v>0</v>
      </c>
      <c r="M7497" t="n">
        <v>0</v>
      </c>
      <c r="N7497" t="n">
        <v>0</v>
      </c>
      <c r="O7497" t="n">
        <v>0</v>
      </c>
      <c r="P7497" t="n">
        <v>0</v>
      </c>
      <c r="Q7497" t="n">
        <v>0</v>
      </c>
      <c r="R7497" t="n">
        <v>0</v>
      </c>
      <c r="S7497" t="n">
        <v>0</v>
      </c>
      <c r="T7497" t="n">
        <v>0</v>
      </c>
      <c r="U7497" t="n">
        <v>0</v>
      </c>
      <c r="V7497" s="2" t="inlineStr"/>
    </row>
    <row r="7498" ht="15" customHeight="1">
      <c r="A7498" t="inlineStr">
        <is>
          <t>A 283-2026</t>
        </is>
      </c>
      <c r="B7498" t="inlineStr">
        <is>
          <t>avverkningsanmälan</t>
        </is>
      </c>
      <c r="C7498" t="inlineStr">
        <is>
          <t>Föryngringsavverkning</t>
        </is>
      </c>
      <c r="D7498" s="1" t="n">
        <v>46027</v>
      </c>
      <c r="E7498" s="1" t="n">
        <v>46319</v>
      </c>
      <c r="F7498" t="inlineStr">
        <is>
          <t>DALARNAS LÄN</t>
        </is>
      </c>
      <c r="G7498" t="inlineStr">
        <is>
          <t>FALUN</t>
        </is>
      </c>
      <c r="I7498" t="n">
        <v>1.1</v>
      </c>
      <c r="J7498" t="n">
        <v>0</v>
      </c>
      <c r="K7498" t="n">
        <v>0</v>
      </c>
      <c r="L7498" t="n">
        <v>0</v>
      </c>
      <c r="M7498" t="n">
        <v>0</v>
      </c>
      <c r="N7498" t="n">
        <v>0</v>
      </c>
      <c r="O7498" t="n">
        <v>0</v>
      </c>
      <c r="P7498" t="n">
        <v>0</v>
      </c>
      <c r="Q7498" t="n">
        <v>0</v>
      </c>
      <c r="R7498" t="n">
        <v>0</v>
      </c>
      <c r="S7498" t="n">
        <v>0</v>
      </c>
      <c r="T7498" t="n">
        <v>0</v>
      </c>
      <c r="U7498" t="n">
        <v>0</v>
      </c>
      <c r="V7498" s="2" t="inlineStr"/>
    </row>
    <row r="7499" ht="15" customHeight="1">
      <c r="A7499" t="inlineStr">
        <is>
          <t>A 44109-2026</t>
        </is>
      </c>
      <c r="B7499" t="inlineStr">
        <is>
          <t>avverkningsanmälan</t>
        </is>
      </c>
      <c r="C7499" t="inlineStr">
        <is>
          <t>Föryngringsavverkning</t>
        </is>
      </c>
      <c r="D7499" s="1" t="n">
        <v>46318</v>
      </c>
      <c r="E7499" s="1" t="n">
        <v>46319</v>
      </c>
      <c r="F7499" t="inlineStr">
        <is>
          <t>DALARNAS LÄN</t>
        </is>
      </c>
      <c r="G7499" t="inlineStr">
        <is>
          <t>FALUN</t>
        </is>
      </c>
      <c r="I7499" t="n">
        <v>1.9</v>
      </c>
      <c r="J7499" t="n">
        <v>0</v>
      </c>
      <c r="K7499" t="n">
        <v>0</v>
      </c>
      <c r="L7499" t="n">
        <v>0</v>
      </c>
      <c r="M7499" t="n">
        <v>0</v>
      </c>
      <c r="N7499" t="n">
        <v>0</v>
      </c>
      <c r="O7499" t="n">
        <v>0</v>
      </c>
      <c r="P7499" t="n">
        <v>0</v>
      </c>
      <c r="Q7499" t="n">
        <v>0</v>
      </c>
      <c r="R7499" t="n">
        <v>0</v>
      </c>
      <c r="S7499" t="n">
        <v>0</v>
      </c>
      <c r="T7499" t="n">
        <v>0</v>
      </c>
      <c r="U7499" t="n">
        <v>0</v>
      </c>
      <c r="V7499" s="2" t="inlineStr"/>
    </row>
    <row r="7500" ht="15" customHeight="1">
      <c r="A7500" t="inlineStr">
        <is>
          <t>A 43770-2024</t>
        </is>
      </c>
      <c r="B7500" t="inlineStr">
        <is>
          <t>avverkningsanmälan</t>
        </is>
      </c>
      <c r="C7500" t="inlineStr">
        <is>
          <t>Föryngringsavverkning</t>
        </is>
      </c>
      <c r="D7500" s="1" t="n">
        <v>45569</v>
      </c>
      <c r="E7500" s="1" t="n">
        <v>46319</v>
      </c>
      <c r="F7500" t="inlineStr">
        <is>
          <t>DALARNAS LÄN</t>
        </is>
      </c>
      <c r="G7500" t="inlineStr">
        <is>
          <t>SÄTER</t>
        </is>
      </c>
      <c r="I7500" t="n">
        <v>13.2</v>
      </c>
      <c r="J7500" t="n">
        <v>0</v>
      </c>
      <c r="K7500" t="n">
        <v>0</v>
      </c>
      <c r="L7500" t="n">
        <v>0</v>
      </c>
      <c r="M7500" t="n">
        <v>0</v>
      </c>
      <c r="N7500" t="n">
        <v>0</v>
      </c>
      <c r="O7500" t="n">
        <v>0</v>
      </c>
      <c r="P7500" t="n">
        <v>0</v>
      </c>
      <c r="Q7500" t="n">
        <v>0</v>
      </c>
      <c r="R7500" t="n">
        <v>0</v>
      </c>
      <c r="S7500" t="n">
        <v>0</v>
      </c>
      <c r="T7500" t="n">
        <v>0</v>
      </c>
      <c r="U7500" t="n">
        <v>0</v>
      </c>
      <c r="V7500" s="2" t="inlineStr"/>
    </row>
    <row r="7501" ht="15" customHeight="1">
      <c r="A7501" t="inlineStr">
        <is>
          <t>A 52358-2024</t>
        </is>
      </c>
      <c r="B7501" t="inlineStr">
        <is>
          <t>avverkningsanmälan</t>
        </is>
      </c>
      <c r="C7501" t="inlineStr">
        <is>
          <t>Föryngringsavverkning</t>
        </is>
      </c>
      <c r="D7501" s="1" t="n">
        <v>45609</v>
      </c>
      <c r="E7501" s="1" t="n">
        <v>46319</v>
      </c>
      <c r="F7501" t="inlineStr">
        <is>
          <t>DALARNAS LÄN</t>
        </is>
      </c>
      <c r="G7501" t="inlineStr">
        <is>
          <t>MALUNG-SÄLEN</t>
        </is>
      </c>
      <c r="H7501" t="inlineStr">
        <is>
          <t>Bergvik skog öst AB</t>
        </is>
      </c>
      <c r="I7501" t="n">
        <v>1.5</v>
      </c>
      <c r="J7501" t="n">
        <v>0</v>
      </c>
      <c r="K7501" t="n">
        <v>0</v>
      </c>
      <c r="L7501" t="n">
        <v>0</v>
      </c>
      <c r="M7501" t="n">
        <v>0</v>
      </c>
      <c r="N7501" t="n">
        <v>0</v>
      </c>
      <c r="O7501" t="n">
        <v>0</v>
      </c>
      <c r="P7501" t="n">
        <v>0</v>
      </c>
      <c r="Q7501" t="n">
        <v>0</v>
      </c>
      <c r="R7501" t="n">
        <v>0</v>
      </c>
      <c r="S7501" t="n">
        <v>0</v>
      </c>
      <c r="T7501" t="n">
        <v>0</v>
      </c>
      <c r="U7501" t="n">
        <v>0</v>
      </c>
      <c r="V7501" s="2" t="inlineStr"/>
    </row>
    <row r="7502" ht="15" customHeight="1">
      <c r="A7502" t="inlineStr">
        <is>
          <t>A 22957-2024</t>
        </is>
      </c>
      <c r="B7502" t="inlineStr">
        <is>
          <t>avverkningsanmälan</t>
        </is>
      </c>
      <c r="C7502" t="inlineStr">
        <is>
          <t>Föryngringsavverkning</t>
        </is>
      </c>
      <c r="D7502" s="1" t="n">
        <v>45449</v>
      </c>
      <c r="E7502" s="1" t="n">
        <v>46319</v>
      </c>
      <c r="F7502" t="inlineStr">
        <is>
          <t>DALARNAS LÄN</t>
        </is>
      </c>
      <c r="G7502" t="inlineStr">
        <is>
          <t>MALUNG-SÄLEN</t>
        </is>
      </c>
      <c r="I7502" t="n">
        <v>3.2</v>
      </c>
      <c r="J7502" t="n">
        <v>0</v>
      </c>
      <c r="K7502" t="n">
        <v>0</v>
      </c>
      <c r="L7502" t="n">
        <v>0</v>
      </c>
      <c r="M7502" t="n">
        <v>0</v>
      </c>
      <c r="N7502" t="n">
        <v>0</v>
      </c>
      <c r="O7502" t="n">
        <v>0</v>
      </c>
      <c r="P7502" t="n">
        <v>0</v>
      </c>
      <c r="Q7502" t="n">
        <v>0</v>
      </c>
      <c r="R7502" t="n">
        <v>0</v>
      </c>
      <c r="S7502" t="n">
        <v>0</v>
      </c>
      <c r="T7502" t="n">
        <v>0</v>
      </c>
      <c r="U7502" t="n">
        <v>0</v>
      </c>
      <c r="V7502" s="2" t="inlineStr"/>
    </row>
    <row r="7503" ht="15" customHeight="1">
      <c r="A7503" t="inlineStr">
        <is>
          <t>A 44141-2026</t>
        </is>
      </c>
      <c r="B7503" t="inlineStr">
        <is>
          <t>avverkningsanmälan</t>
        </is>
      </c>
      <c r="C7503" t="inlineStr">
        <is>
          <t>Föryngringsavverkning</t>
        </is>
      </c>
      <c r="D7503" s="1" t="n">
        <v>46318</v>
      </c>
      <c r="E7503" s="1" t="n">
        <v>46319</v>
      </c>
      <c r="F7503" t="inlineStr">
        <is>
          <t>DALARNAS LÄN</t>
        </is>
      </c>
      <c r="G7503" t="inlineStr">
        <is>
          <t>LUDVIKA</t>
        </is>
      </c>
      <c r="H7503" t="inlineStr">
        <is>
          <t>Bergvik skog väst AB</t>
        </is>
      </c>
      <c r="I7503" t="n">
        <v>12.9</v>
      </c>
      <c r="J7503" t="n">
        <v>0</v>
      </c>
      <c r="K7503" t="n">
        <v>0</v>
      </c>
      <c r="L7503" t="n">
        <v>0</v>
      </c>
      <c r="M7503" t="n">
        <v>0</v>
      </c>
      <c r="N7503" t="n">
        <v>0</v>
      </c>
      <c r="O7503" t="n">
        <v>0</v>
      </c>
      <c r="P7503" t="n">
        <v>0</v>
      </c>
      <c r="Q7503" t="n">
        <v>0</v>
      </c>
      <c r="R7503" t="n">
        <v>0</v>
      </c>
      <c r="S7503" t="n">
        <v>0</v>
      </c>
      <c r="T7503" t="n">
        <v>0</v>
      </c>
      <c r="U7503" t="n">
        <v>0</v>
      </c>
      <c r="V7503" s="2" t="inlineStr"/>
    </row>
    <row r="7504" ht="15" customHeight="1">
      <c r="A7504" t="inlineStr">
        <is>
          <t>A 64071-2025</t>
        </is>
      </c>
      <c r="B7504" t="inlineStr">
        <is>
          <t>avverkningsanmälan</t>
        </is>
      </c>
      <c r="C7504" t="inlineStr">
        <is>
          <t>Föryngringsavverkning</t>
        </is>
      </c>
      <c r="D7504" s="1" t="n">
        <v>46021</v>
      </c>
      <c r="E7504" s="1" t="n">
        <v>46319</v>
      </c>
      <c r="F7504" t="inlineStr">
        <is>
          <t>DALARNAS LÄN</t>
        </is>
      </c>
      <c r="G7504" t="inlineStr">
        <is>
          <t>VANSBRO</t>
        </is>
      </c>
      <c r="I7504" t="n">
        <v>4.2</v>
      </c>
      <c r="J7504" t="n">
        <v>0</v>
      </c>
      <c r="K7504" t="n">
        <v>0</v>
      </c>
      <c r="L7504" t="n">
        <v>0</v>
      </c>
      <c r="M7504" t="n">
        <v>0</v>
      </c>
      <c r="N7504" t="n">
        <v>0</v>
      </c>
      <c r="O7504" t="n">
        <v>0</v>
      </c>
      <c r="P7504" t="n">
        <v>0</v>
      </c>
      <c r="Q7504" t="n">
        <v>0</v>
      </c>
      <c r="R7504" t="n">
        <v>0</v>
      </c>
      <c r="S7504" t="n">
        <v>0</v>
      </c>
      <c r="T7504" t="n">
        <v>0</v>
      </c>
      <c r="U7504" t="n">
        <v>0</v>
      </c>
      <c r="V7504" s="2" t="inlineStr"/>
    </row>
    <row r="7505" ht="15" customHeight="1">
      <c r="A7505" t="inlineStr">
        <is>
          <t>A 47671-2024</t>
        </is>
      </c>
      <c r="B7505" t="inlineStr">
        <is>
          <t>avverkningsanmälan</t>
        </is>
      </c>
      <c r="C7505" t="inlineStr">
        <is>
          <t>Föryngringsavverkning</t>
        </is>
      </c>
      <c r="D7505" s="1" t="n">
        <v>45588</v>
      </c>
      <c r="E7505" s="1" t="n">
        <v>46319</v>
      </c>
      <c r="F7505" t="inlineStr">
        <is>
          <t>DALARNAS LÄN</t>
        </is>
      </c>
      <c r="G7505" t="inlineStr">
        <is>
          <t>LUDVIKA</t>
        </is>
      </c>
      <c r="I7505" t="n">
        <v>2.9</v>
      </c>
      <c r="J7505" t="n">
        <v>0</v>
      </c>
      <c r="K7505" t="n">
        <v>0</v>
      </c>
      <c r="L7505" t="n">
        <v>0</v>
      </c>
      <c r="M7505" t="n">
        <v>0</v>
      </c>
      <c r="N7505" t="n">
        <v>0</v>
      </c>
      <c r="O7505" t="n">
        <v>0</v>
      </c>
      <c r="P7505" t="n">
        <v>0</v>
      </c>
      <c r="Q7505" t="n">
        <v>0</v>
      </c>
      <c r="R7505" t="n">
        <v>0</v>
      </c>
      <c r="S7505" t="n">
        <v>0</v>
      </c>
      <c r="T7505" t="n">
        <v>0</v>
      </c>
      <c r="U7505" t="n">
        <v>0</v>
      </c>
      <c r="V7505" s="2" t="inlineStr"/>
    </row>
    <row r="7506" ht="15" customHeight="1">
      <c r="A7506" t="inlineStr">
        <is>
          <t>A 1421-2026</t>
        </is>
      </c>
      <c r="B7506" t="inlineStr">
        <is>
          <t>avverkningsanmälan</t>
        </is>
      </c>
      <c r="C7506" t="inlineStr">
        <is>
          <t>Föryngringsavverkning</t>
        </is>
      </c>
      <c r="D7506" s="1" t="n">
        <v>46031</v>
      </c>
      <c r="E7506" s="1" t="n">
        <v>46319</v>
      </c>
      <c r="F7506" t="inlineStr">
        <is>
          <t>DALARNAS LÄN</t>
        </is>
      </c>
      <c r="G7506" t="inlineStr">
        <is>
          <t>GAGNEF</t>
        </is>
      </c>
      <c r="I7506" t="n">
        <v>6.6</v>
      </c>
      <c r="J7506" t="n">
        <v>0</v>
      </c>
      <c r="K7506" t="n">
        <v>0</v>
      </c>
      <c r="L7506" t="n">
        <v>0</v>
      </c>
      <c r="M7506" t="n">
        <v>0</v>
      </c>
      <c r="N7506" t="n">
        <v>0</v>
      </c>
      <c r="O7506" t="n">
        <v>0</v>
      </c>
      <c r="P7506" t="n">
        <v>0</v>
      </c>
      <c r="Q7506" t="n">
        <v>0</v>
      </c>
      <c r="R7506" t="n">
        <v>0</v>
      </c>
      <c r="S7506" t="n">
        <v>0</v>
      </c>
      <c r="T7506" t="n">
        <v>0</v>
      </c>
      <c r="U7506" t="n">
        <v>0</v>
      </c>
      <c r="V7506" s="2" t="inlineStr"/>
    </row>
    <row r="7507" ht="15" customHeight="1">
      <c r="A7507" t="inlineStr">
        <is>
          <t>A 11681-2026</t>
        </is>
      </c>
      <c r="B7507" t="inlineStr">
        <is>
          <t>avverkningsanmälan</t>
        </is>
      </c>
      <c r="C7507" t="inlineStr">
        <is>
          <t>Föryngringsavverkning</t>
        </is>
      </c>
      <c r="D7507" s="1" t="n">
        <v>46084</v>
      </c>
      <c r="E7507" s="1" t="n">
        <v>46319</v>
      </c>
      <c r="F7507" t="inlineStr">
        <is>
          <t>DALARNAS LÄN</t>
        </is>
      </c>
      <c r="G7507" t="inlineStr">
        <is>
          <t>FALUN</t>
        </is>
      </c>
      <c r="H7507" t="inlineStr">
        <is>
          <t>Bergvik skog väst AB</t>
        </is>
      </c>
      <c r="I7507" t="n">
        <v>3.9</v>
      </c>
      <c r="J7507" t="n">
        <v>0</v>
      </c>
      <c r="K7507" t="n">
        <v>0</v>
      </c>
      <c r="L7507" t="n">
        <v>0</v>
      </c>
      <c r="M7507" t="n">
        <v>0</v>
      </c>
      <c r="N7507" t="n">
        <v>0</v>
      </c>
      <c r="O7507" t="n">
        <v>0</v>
      </c>
      <c r="P7507" t="n">
        <v>0</v>
      </c>
      <c r="Q7507" t="n">
        <v>0</v>
      </c>
      <c r="R7507" t="n">
        <v>0</v>
      </c>
      <c r="S7507" t="n">
        <v>0</v>
      </c>
      <c r="T7507" t="n">
        <v>0</v>
      </c>
      <c r="U7507" t="n">
        <v>0</v>
      </c>
      <c r="V7507" s="2" t="inlineStr"/>
    </row>
    <row r="7508" ht="15" customHeight="1">
      <c r="A7508" t="inlineStr">
        <is>
          <t>A 44021-2026</t>
        </is>
      </c>
      <c r="B7508" t="inlineStr">
        <is>
          <t>avverkningsanmälan</t>
        </is>
      </c>
      <c r="C7508" t="inlineStr">
        <is>
          <t>Föryngringsavverkning</t>
        </is>
      </c>
      <c r="D7508" s="1" t="n">
        <v>46317</v>
      </c>
      <c r="E7508" s="1" t="n">
        <v>46319</v>
      </c>
      <c r="F7508" t="inlineStr">
        <is>
          <t>DALARNAS LÄN</t>
        </is>
      </c>
      <c r="G7508" t="inlineStr">
        <is>
          <t>RÄTTVIK</t>
        </is>
      </c>
      <c r="I7508" t="n">
        <v>3.3</v>
      </c>
      <c r="J7508" t="n">
        <v>0</v>
      </c>
      <c r="K7508" t="n">
        <v>0</v>
      </c>
      <c r="L7508" t="n">
        <v>0</v>
      </c>
      <c r="M7508" t="n">
        <v>0</v>
      </c>
      <c r="N7508" t="n">
        <v>0</v>
      </c>
      <c r="O7508" t="n">
        <v>0</v>
      </c>
      <c r="P7508" t="n">
        <v>0</v>
      </c>
      <c r="Q7508" t="n">
        <v>0</v>
      </c>
      <c r="R7508" t="n">
        <v>0</v>
      </c>
      <c r="S7508" t="n">
        <v>0</v>
      </c>
      <c r="T7508" t="n">
        <v>0</v>
      </c>
      <c r="U7508" t="n">
        <v>0</v>
      </c>
      <c r="V7508" s="2" t="inlineStr"/>
    </row>
    <row r="7509" ht="15" customHeight="1">
      <c r="A7509" t="inlineStr">
        <is>
          <t>A 7454-2026</t>
        </is>
      </c>
      <c r="B7509" t="inlineStr">
        <is>
          <t>avverkningsanmälan</t>
        </is>
      </c>
      <c r="C7509" t="inlineStr">
        <is>
          <t>Föryngringsavverkning</t>
        </is>
      </c>
      <c r="D7509" s="1" t="n">
        <v>46058</v>
      </c>
      <c r="E7509" s="1" t="n">
        <v>46319</v>
      </c>
      <c r="F7509" t="inlineStr">
        <is>
          <t>DALARNAS LÄN</t>
        </is>
      </c>
      <c r="G7509" t="inlineStr">
        <is>
          <t>FALUN</t>
        </is>
      </c>
      <c r="H7509" t="inlineStr">
        <is>
          <t>Allmännings- och besparingsskogar</t>
        </is>
      </c>
      <c r="I7509" t="n">
        <v>9.6</v>
      </c>
      <c r="J7509" t="n">
        <v>0</v>
      </c>
      <c r="K7509" t="n">
        <v>0</v>
      </c>
      <c r="L7509" t="n">
        <v>0</v>
      </c>
      <c r="M7509" t="n">
        <v>0</v>
      </c>
      <c r="N7509" t="n">
        <v>0</v>
      </c>
      <c r="O7509" t="n">
        <v>0</v>
      </c>
      <c r="P7509" t="n">
        <v>0</v>
      </c>
      <c r="Q7509" t="n">
        <v>0</v>
      </c>
      <c r="R7509" t="n">
        <v>0</v>
      </c>
      <c r="S7509" t="n">
        <v>0</v>
      </c>
      <c r="T7509" t="n">
        <v>0</v>
      </c>
      <c r="U7509" t="n">
        <v>0</v>
      </c>
      <c r="V7509" s="2" t="inlineStr"/>
    </row>
    <row r="7510" ht="15" customHeight="1">
      <c r="A7510" t="inlineStr">
        <is>
          <t>A 47031-2024</t>
        </is>
      </c>
      <c r="B7510" t="inlineStr">
        <is>
          <t>avverkningsanmälan</t>
        </is>
      </c>
      <c r="C7510" t="inlineStr">
        <is>
          <t>Föryngringsavverkning</t>
        </is>
      </c>
      <c r="D7510" s="1" t="n">
        <v>45586</v>
      </c>
      <c r="E7510" s="1" t="n">
        <v>46319</v>
      </c>
      <c r="F7510" t="inlineStr">
        <is>
          <t>DALARNAS LÄN</t>
        </is>
      </c>
      <c r="G7510" t="inlineStr">
        <is>
          <t>RÄTTVIK</t>
        </is>
      </c>
      <c r="I7510" t="n">
        <v>2.3</v>
      </c>
      <c r="J7510" t="n">
        <v>0</v>
      </c>
      <c r="K7510" t="n">
        <v>0</v>
      </c>
      <c r="L7510" t="n">
        <v>0</v>
      </c>
      <c r="M7510" t="n">
        <v>0</v>
      </c>
      <c r="N7510" t="n">
        <v>0</v>
      </c>
      <c r="O7510" t="n">
        <v>0</v>
      </c>
      <c r="P7510" t="n">
        <v>0</v>
      </c>
      <c r="Q7510" t="n">
        <v>0</v>
      </c>
      <c r="R7510" t="n">
        <v>0</v>
      </c>
      <c r="S7510" t="n">
        <v>0</v>
      </c>
      <c r="T7510" t="n">
        <v>0</v>
      </c>
      <c r="U7510" t="n">
        <v>0</v>
      </c>
      <c r="V7510" s="2" t="inlineStr"/>
    </row>
    <row r="7511" ht="15" customHeight="1">
      <c r="A7511" t="inlineStr">
        <is>
          <t>A 5051-2026</t>
        </is>
      </c>
      <c r="B7511" t="inlineStr">
        <is>
          <t>avverkningsanmälan</t>
        </is>
      </c>
      <c r="C7511" t="inlineStr">
        <is>
          <t>Föryngringsavverkning</t>
        </is>
      </c>
      <c r="D7511" s="1" t="n">
        <v>46049</v>
      </c>
      <c r="E7511" s="1" t="n">
        <v>46319</v>
      </c>
      <c r="F7511" t="inlineStr">
        <is>
          <t>DALARNAS LÄN</t>
        </is>
      </c>
      <c r="G7511" t="inlineStr">
        <is>
          <t>RÄTTVIK</t>
        </is>
      </c>
      <c r="I7511" t="n">
        <v>1.1</v>
      </c>
      <c r="J7511" t="n">
        <v>0</v>
      </c>
      <c r="K7511" t="n">
        <v>0</v>
      </c>
      <c r="L7511" t="n">
        <v>0</v>
      </c>
      <c r="M7511" t="n">
        <v>0</v>
      </c>
      <c r="N7511" t="n">
        <v>0</v>
      </c>
      <c r="O7511" t="n">
        <v>0</v>
      </c>
      <c r="P7511" t="n">
        <v>0</v>
      </c>
      <c r="Q7511" t="n">
        <v>0</v>
      </c>
      <c r="R7511" t="n">
        <v>0</v>
      </c>
      <c r="S7511" t="n">
        <v>0</v>
      </c>
      <c r="T7511" t="n">
        <v>0</v>
      </c>
      <c r="U7511" t="n">
        <v>0</v>
      </c>
      <c r="V7511" s="2" t="inlineStr"/>
    </row>
    <row r="7512" ht="15" customHeight="1">
      <c r="A7512" t="inlineStr">
        <is>
          <t>A 44000-2026</t>
        </is>
      </c>
      <c r="B7512" t="inlineStr">
        <is>
          <t>avverkningsanmälan</t>
        </is>
      </c>
      <c r="C7512" t="inlineStr">
        <is>
          <t>Föryngringsavverkning</t>
        </is>
      </c>
      <c r="D7512" s="1" t="n">
        <v>46317</v>
      </c>
      <c r="E7512" s="1" t="n">
        <v>46319</v>
      </c>
      <c r="F7512" t="inlineStr">
        <is>
          <t>DALARNAS LÄN</t>
        </is>
      </c>
      <c r="G7512" t="inlineStr">
        <is>
          <t>ORSA</t>
        </is>
      </c>
      <c r="I7512" t="n">
        <v>0.7</v>
      </c>
      <c r="J7512" t="n">
        <v>0</v>
      </c>
      <c r="K7512" t="n">
        <v>0</v>
      </c>
      <c r="L7512" t="n">
        <v>0</v>
      </c>
      <c r="M7512" t="n">
        <v>0</v>
      </c>
      <c r="N7512" t="n">
        <v>0</v>
      </c>
      <c r="O7512" t="n">
        <v>0</v>
      </c>
      <c r="P7512" t="n">
        <v>0</v>
      </c>
      <c r="Q7512" t="n">
        <v>0</v>
      </c>
      <c r="R7512" t="n">
        <v>0</v>
      </c>
      <c r="S7512" t="n">
        <v>0</v>
      </c>
      <c r="T7512" t="n">
        <v>0</v>
      </c>
      <c r="U7512" t="n">
        <v>0</v>
      </c>
      <c r="V7512" s="2" t="inlineStr"/>
    </row>
    <row r="7513" ht="15" customHeight="1">
      <c r="A7513" t="inlineStr">
        <is>
          <t>A 20196-2026</t>
        </is>
      </c>
      <c r="B7513" t="inlineStr">
        <is>
          <t>avverkningsanmälan</t>
        </is>
      </c>
      <c r="C7513" t="inlineStr">
        <is>
          <t>Föryngringsavverkning</t>
        </is>
      </c>
      <c r="D7513" s="1" t="n">
        <v>46139</v>
      </c>
      <c r="E7513" s="1" t="n">
        <v>46319</v>
      </c>
      <c r="F7513" t="inlineStr">
        <is>
          <t>DALARNAS LÄN</t>
        </is>
      </c>
      <c r="G7513" t="inlineStr">
        <is>
          <t>FALUN</t>
        </is>
      </c>
      <c r="I7513" t="n">
        <v>3</v>
      </c>
      <c r="J7513" t="n">
        <v>0</v>
      </c>
      <c r="K7513" t="n">
        <v>0</v>
      </c>
      <c r="L7513" t="n">
        <v>0</v>
      </c>
      <c r="M7513" t="n">
        <v>0</v>
      </c>
      <c r="N7513" t="n">
        <v>0</v>
      </c>
      <c r="O7513" t="n">
        <v>0</v>
      </c>
      <c r="P7513" t="n">
        <v>0</v>
      </c>
      <c r="Q7513" t="n">
        <v>0</v>
      </c>
      <c r="R7513" t="n">
        <v>0</v>
      </c>
      <c r="S7513" t="n">
        <v>0</v>
      </c>
      <c r="T7513" t="n">
        <v>0</v>
      </c>
      <c r="U7513" t="n">
        <v>0</v>
      </c>
      <c r="V7513" s="2" t="inlineStr"/>
    </row>
    <row r="7514" ht="15" customHeight="1">
      <c r="A7514" t="inlineStr">
        <is>
          <t>A 14484-2024</t>
        </is>
      </c>
      <c r="B7514" t="inlineStr">
        <is>
          <t>avverkningsanmälan</t>
        </is>
      </c>
      <c r="C7514" t="inlineStr">
        <is>
          <t>Föryngringsavverkning</t>
        </is>
      </c>
      <c r="D7514" s="1" t="n">
        <v>45394</v>
      </c>
      <c r="E7514" s="1" t="n">
        <v>46319</v>
      </c>
      <c r="F7514" t="inlineStr">
        <is>
          <t>DALARNAS LÄN</t>
        </is>
      </c>
      <c r="G7514" t="inlineStr">
        <is>
          <t>FALUN</t>
        </is>
      </c>
      <c r="I7514" t="n">
        <v>1.5</v>
      </c>
      <c r="J7514" t="n">
        <v>0</v>
      </c>
      <c r="K7514" t="n">
        <v>0</v>
      </c>
      <c r="L7514" t="n">
        <v>0</v>
      </c>
      <c r="M7514" t="n">
        <v>0</v>
      </c>
      <c r="N7514" t="n">
        <v>0</v>
      </c>
      <c r="O7514" t="n">
        <v>0</v>
      </c>
      <c r="P7514" t="n">
        <v>0</v>
      </c>
      <c r="Q7514" t="n">
        <v>0</v>
      </c>
      <c r="R7514" t="n">
        <v>0</v>
      </c>
      <c r="S7514" t="n">
        <v>0</v>
      </c>
      <c r="T7514" t="n">
        <v>0</v>
      </c>
      <c r="U7514" t="n">
        <v>0</v>
      </c>
      <c r="V7514" s="2" t="inlineStr"/>
    </row>
    <row r="7515" ht="15" customHeight="1">
      <c r="A7515" t="inlineStr">
        <is>
          <t>A 57925-2024</t>
        </is>
      </c>
      <c r="B7515" t="inlineStr">
        <is>
          <t>avverkningsanmälan</t>
        </is>
      </c>
      <c r="C7515" t="inlineStr">
        <is>
          <t>Föryngringsavverkning</t>
        </is>
      </c>
      <c r="D7515" s="1" t="n">
        <v>45630</v>
      </c>
      <c r="E7515" s="1" t="n">
        <v>46319</v>
      </c>
      <c r="F7515" t="inlineStr">
        <is>
          <t>DALARNAS LÄN</t>
        </is>
      </c>
      <c r="G7515" t="inlineStr">
        <is>
          <t>LEKSAND</t>
        </is>
      </c>
      <c r="I7515" t="n">
        <v>1.1</v>
      </c>
      <c r="J7515" t="n">
        <v>0</v>
      </c>
      <c r="K7515" t="n">
        <v>0</v>
      </c>
      <c r="L7515" t="n">
        <v>0</v>
      </c>
      <c r="M7515" t="n">
        <v>0</v>
      </c>
      <c r="N7515" t="n">
        <v>0</v>
      </c>
      <c r="O7515" t="n">
        <v>0</v>
      </c>
      <c r="P7515" t="n">
        <v>0</v>
      </c>
      <c r="Q7515" t="n">
        <v>0</v>
      </c>
      <c r="R7515" t="n">
        <v>0</v>
      </c>
      <c r="S7515" t="n">
        <v>0</v>
      </c>
      <c r="T7515" t="n">
        <v>0</v>
      </c>
      <c r="U7515" t="n">
        <v>0</v>
      </c>
      <c r="V7515" s="2" t="inlineStr"/>
    </row>
    <row r="7516" ht="15" customHeight="1">
      <c r="A7516" t="inlineStr">
        <is>
          <t>A 31842-2025</t>
        </is>
      </c>
      <c r="B7516" t="inlineStr">
        <is>
          <t>avverkningsanmälan</t>
        </is>
      </c>
      <c r="C7516" t="inlineStr">
        <is>
          <t>Föryngringsavverkning</t>
        </is>
      </c>
      <c r="D7516" s="1" t="n">
        <v>45834</v>
      </c>
      <c r="E7516" s="1" t="n">
        <v>46319</v>
      </c>
      <c r="F7516" t="inlineStr">
        <is>
          <t>DALARNAS LÄN</t>
        </is>
      </c>
      <c r="G7516" t="inlineStr">
        <is>
          <t>MORA</t>
        </is>
      </c>
      <c r="I7516" t="n">
        <v>1.1</v>
      </c>
      <c r="J7516" t="n">
        <v>0</v>
      </c>
      <c r="K7516" t="n">
        <v>0</v>
      </c>
      <c r="L7516" t="n">
        <v>0</v>
      </c>
      <c r="M7516" t="n">
        <v>0</v>
      </c>
      <c r="N7516" t="n">
        <v>0</v>
      </c>
      <c r="O7516" t="n">
        <v>0</v>
      </c>
      <c r="P7516" t="n">
        <v>0</v>
      </c>
      <c r="Q7516" t="n">
        <v>0</v>
      </c>
      <c r="R7516" t="n">
        <v>0</v>
      </c>
      <c r="S7516" t="n">
        <v>0</v>
      </c>
      <c r="T7516" t="n">
        <v>0</v>
      </c>
      <c r="U7516" t="n">
        <v>0</v>
      </c>
      <c r="V7516" s="2" t="inlineStr"/>
    </row>
    <row r="7517" ht="15" customHeight="1">
      <c r="A7517" t="inlineStr">
        <is>
          <t>A 44195-2026</t>
        </is>
      </c>
      <c r="B7517" t="inlineStr">
        <is>
          <t>avverkningsanmälan</t>
        </is>
      </c>
      <c r="C7517" t="inlineStr">
        <is>
          <t>Avverkning för annat ändamål</t>
        </is>
      </c>
      <c r="D7517" s="1" t="n">
        <v>46315</v>
      </c>
      <c r="E7517" s="1" t="n">
        <v>46319</v>
      </c>
      <c r="F7517" t="inlineStr">
        <is>
          <t>DALARNAS LÄN</t>
        </is>
      </c>
      <c r="G7517" t="inlineStr">
        <is>
          <t>MALUNG-SÄLEN</t>
        </is>
      </c>
      <c r="H7517" t="inlineStr">
        <is>
          <t>Allmännings- och besparingsskogar</t>
        </is>
      </c>
      <c r="I7517" t="n">
        <v>0.3</v>
      </c>
      <c r="J7517" t="n">
        <v>0</v>
      </c>
      <c r="K7517" t="n">
        <v>0</v>
      </c>
      <c r="L7517" t="n">
        <v>0</v>
      </c>
      <c r="M7517" t="n">
        <v>0</v>
      </c>
      <c r="N7517" t="n">
        <v>0</v>
      </c>
      <c r="O7517" t="n">
        <v>0</v>
      </c>
      <c r="P7517" t="n">
        <v>0</v>
      </c>
      <c r="Q7517" t="n">
        <v>0</v>
      </c>
      <c r="R7517" t="n">
        <v>0</v>
      </c>
      <c r="S7517" t="n">
        <v>0</v>
      </c>
      <c r="T7517" t="n">
        <v>0</v>
      </c>
      <c r="U7517" t="n">
        <v>0</v>
      </c>
      <c r="V7517" s="2" t="inlineStr"/>
    </row>
    <row r="7518" ht="15" customHeight="1">
      <c r="A7518" t="inlineStr">
        <is>
          <t>A 20830-2026</t>
        </is>
      </c>
      <c r="B7518" t="inlineStr">
        <is>
          <t>avverkningsanmälan</t>
        </is>
      </c>
      <c r="C7518" t="inlineStr">
        <is>
          <t>Föryngringsavverkning</t>
        </is>
      </c>
      <c r="D7518" s="1" t="n">
        <v>46142</v>
      </c>
      <c r="E7518" s="1" t="n">
        <v>46319</v>
      </c>
      <c r="F7518" t="inlineStr">
        <is>
          <t>DALARNAS LÄN</t>
        </is>
      </c>
      <c r="G7518" t="inlineStr">
        <is>
          <t>FALUN</t>
        </is>
      </c>
      <c r="I7518" t="n">
        <v>2.2</v>
      </c>
      <c r="J7518" t="n">
        <v>0</v>
      </c>
      <c r="K7518" t="n">
        <v>0</v>
      </c>
      <c r="L7518" t="n">
        <v>0</v>
      </c>
      <c r="M7518" t="n">
        <v>0</v>
      </c>
      <c r="N7518" t="n">
        <v>0</v>
      </c>
      <c r="O7518" t="n">
        <v>0</v>
      </c>
      <c r="P7518" t="n">
        <v>0</v>
      </c>
      <c r="Q7518" t="n">
        <v>0</v>
      </c>
      <c r="R7518" t="n">
        <v>0</v>
      </c>
      <c r="S7518" t="n">
        <v>0</v>
      </c>
      <c r="T7518" t="n">
        <v>0</v>
      </c>
      <c r="U7518" t="n">
        <v>0</v>
      </c>
      <c r="V7518" s="2" t="inlineStr"/>
    </row>
    <row r="7519" ht="15" customHeight="1">
      <c r="A7519" t="inlineStr">
        <is>
          <t>A 44235-2026</t>
        </is>
      </c>
      <c r="B7519" t="inlineStr">
        <is>
          <t>avverkningsanmälan</t>
        </is>
      </c>
      <c r="C7519" t="inlineStr">
        <is>
          <t>Föryngringsavverkning</t>
        </is>
      </c>
      <c r="D7519" s="1" t="n">
        <v>46318</v>
      </c>
      <c r="E7519" s="1" t="n">
        <v>46319</v>
      </c>
      <c r="F7519" t="inlineStr">
        <is>
          <t>DALARNAS LÄN</t>
        </is>
      </c>
      <c r="G7519" t="inlineStr">
        <is>
          <t>LUDVIKA</t>
        </is>
      </c>
      <c r="H7519" t="inlineStr">
        <is>
          <t>Naturvårdsverket</t>
        </is>
      </c>
      <c r="I7519" t="n">
        <v>4.4</v>
      </c>
      <c r="J7519" t="n">
        <v>0</v>
      </c>
      <c r="K7519" t="n">
        <v>0</v>
      </c>
      <c r="L7519" t="n">
        <v>0</v>
      </c>
      <c r="M7519" t="n">
        <v>0</v>
      </c>
      <c r="N7519" t="n">
        <v>0</v>
      </c>
      <c r="O7519" t="n">
        <v>0</v>
      </c>
      <c r="P7519" t="n">
        <v>0</v>
      </c>
      <c r="Q7519" t="n">
        <v>0</v>
      </c>
      <c r="R7519" t="n">
        <v>0</v>
      </c>
      <c r="S7519" t="n">
        <v>0</v>
      </c>
      <c r="T7519" t="n">
        <v>0</v>
      </c>
      <c r="U7519" t="n">
        <v>0</v>
      </c>
      <c r="V7519" s="2" t="inlineStr"/>
    </row>
    <row r="7520" ht="15" customHeight="1">
      <c r="A7520" t="inlineStr">
        <is>
          <t>A 44238-2026</t>
        </is>
      </c>
      <c r="B7520" t="inlineStr">
        <is>
          <t>avverkningsanmälan</t>
        </is>
      </c>
      <c r="C7520" t="inlineStr">
        <is>
          <t>Föryngringsavverkning</t>
        </is>
      </c>
      <c r="D7520" s="1" t="n">
        <v>46318</v>
      </c>
      <c r="E7520" s="1" t="n">
        <v>46319</v>
      </c>
      <c r="F7520" t="inlineStr">
        <is>
          <t>DALARNAS LÄN</t>
        </is>
      </c>
      <c r="G7520" t="inlineStr">
        <is>
          <t>LUDVIKA</t>
        </is>
      </c>
      <c r="H7520" t="inlineStr">
        <is>
          <t>Bergvik skog väst AB</t>
        </is>
      </c>
      <c r="I7520" t="n">
        <v>15.9</v>
      </c>
      <c r="J7520" t="n">
        <v>0</v>
      </c>
      <c r="K7520" t="n">
        <v>0</v>
      </c>
      <c r="L7520" t="n">
        <v>0</v>
      </c>
      <c r="M7520" t="n">
        <v>0</v>
      </c>
      <c r="N7520" t="n">
        <v>0</v>
      </c>
      <c r="O7520" t="n">
        <v>0</v>
      </c>
      <c r="P7520" t="n">
        <v>0</v>
      </c>
      <c r="Q7520" t="n">
        <v>0</v>
      </c>
      <c r="R7520" t="n">
        <v>0</v>
      </c>
      <c r="S7520" t="n">
        <v>0</v>
      </c>
      <c r="T7520" t="n">
        <v>0</v>
      </c>
      <c r="U7520" t="n">
        <v>0</v>
      </c>
      <c r="V7520" s="2" t="inlineStr"/>
    </row>
    <row r="7521" ht="15" customHeight="1">
      <c r="A7521" t="inlineStr">
        <is>
          <t>A 20890-2026</t>
        </is>
      </c>
      <c r="B7521" t="inlineStr">
        <is>
          <t>avverkningsanmälan</t>
        </is>
      </c>
      <c r="C7521" t="inlineStr">
        <is>
          <t>Föryngringsavverkning</t>
        </is>
      </c>
      <c r="D7521" s="1" t="n">
        <v>46142</v>
      </c>
      <c r="E7521" s="1" t="n">
        <v>46319</v>
      </c>
      <c r="F7521" t="inlineStr">
        <is>
          <t>DALARNAS LÄN</t>
        </is>
      </c>
      <c r="G7521" t="inlineStr">
        <is>
          <t>FALUN</t>
        </is>
      </c>
      <c r="I7521" t="n">
        <v>15.7</v>
      </c>
      <c r="J7521" t="n">
        <v>0</v>
      </c>
      <c r="K7521" t="n">
        <v>0</v>
      </c>
      <c r="L7521" t="n">
        <v>0</v>
      </c>
      <c r="M7521" t="n">
        <v>0</v>
      </c>
      <c r="N7521" t="n">
        <v>0</v>
      </c>
      <c r="O7521" t="n">
        <v>0</v>
      </c>
      <c r="P7521" t="n">
        <v>0</v>
      </c>
      <c r="Q7521" t="n">
        <v>0</v>
      </c>
      <c r="R7521" t="n">
        <v>0</v>
      </c>
      <c r="S7521" t="n">
        <v>0</v>
      </c>
      <c r="T7521" t="n">
        <v>0</v>
      </c>
      <c r="U7521" t="n">
        <v>0</v>
      </c>
      <c r="V7521" s="2" t="inlineStr"/>
    </row>
    <row r="7522" ht="15" customHeight="1">
      <c r="A7522" t="inlineStr">
        <is>
          <t>A 20936-2026</t>
        </is>
      </c>
      <c r="B7522" t="inlineStr">
        <is>
          <t>avverkningsanmälan</t>
        </is>
      </c>
      <c r="C7522" t="inlineStr">
        <is>
          <t>Föryngringsavverkning</t>
        </is>
      </c>
      <c r="D7522" s="1" t="n">
        <v>46142</v>
      </c>
      <c r="E7522" s="1" t="n">
        <v>46319</v>
      </c>
      <c r="F7522" t="inlineStr">
        <is>
          <t>DALARNAS LÄN</t>
        </is>
      </c>
      <c r="G7522" t="inlineStr">
        <is>
          <t>FALUN</t>
        </is>
      </c>
      <c r="I7522" t="n">
        <v>45.9</v>
      </c>
      <c r="J7522" t="n">
        <v>0</v>
      </c>
      <c r="K7522" t="n">
        <v>0</v>
      </c>
      <c r="L7522" t="n">
        <v>0</v>
      </c>
      <c r="M7522" t="n">
        <v>0</v>
      </c>
      <c r="N7522" t="n">
        <v>0</v>
      </c>
      <c r="O7522" t="n">
        <v>0</v>
      </c>
      <c r="P7522" t="n">
        <v>0</v>
      </c>
      <c r="Q7522" t="n">
        <v>0</v>
      </c>
      <c r="R7522" t="n">
        <v>0</v>
      </c>
      <c r="S7522" t="n">
        <v>0</v>
      </c>
      <c r="T7522" t="n">
        <v>0</v>
      </c>
      <c r="U7522" t="n">
        <v>0</v>
      </c>
      <c r="V7522" s="2" t="inlineStr"/>
    </row>
    <row r="7523" ht="15" customHeight="1">
      <c r="A7523" t="inlineStr">
        <is>
          <t>A 22739-2022</t>
        </is>
      </c>
      <c r="B7523" t="inlineStr">
        <is>
          <t>avverkningsanmälan</t>
        </is>
      </c>
      <c r="C7523" t="inlineStr">
        <is>
          <t>Föryngringsavverkning</t>
        </is>
      </c>
      <c r="D7523" s="1" t="n">
        <v>44714</v>
      </c>
      <c r="E7523" s="1" t="n">
        <v>46319</v>
      </c>
      <c r="F7523" t="inlineStr">
        <is>
          <t>DALARNAS LÄN</t>
        </is>
      </c>
      <c r="G7523" t="inlineStr">
        <is>
          <t>FALUN</t>
        </is>
      </c>
      <c r="H7523" t="inlineStr">
        <is>
          <t>Kyrkan</t>
        </is>
      </c>
      <c r="I7523" t="n">
        <v>1.3</v>
      </c>
      <c r="J7523" t="n">
        <v>0</v>
      </c>
      <c r="K7523" t="n">
        <v>0</v>
      </c>
      <c r="L7523" t="n">
        <v>0</v>
      </c>
      <c r="M7523" t="n">
        <v>0</v>
      </c>
      <c r="N7523" t="n">
        <v>0</v>
      </c>
      <c r="O7523" t="n">
        <v>0</v>
      </c>
      <c r="P7523" t="n">
        <v>0</v>
      </c>
      <c r="Q7523" t="n">
        <v>0</v>
      </c>
      <c r="R7523" t="n">
        <v>0</v>
      </c>
      <c r="S7523" t="n">
        <v>0</v>
      </c>
      <c r="T7523" t="n">
        <v>0</v>
      </c>
      <c r="U7523" t="n">
        <v>0</v>
      </c>
      <c r="V7523" s="2" t="inlineStr"/>
    </row>
    <row r="7524" ht="15" customHeight="1">
      <c r="A7524" t="inlineStr">
        <is>
          <t>A 58842-2023</t>
        </is>
      </c>
      <c r="B7524" t="inlineStr">
        <is>
          <t>avverkningsanmälan</t>
        </is>
      </c>
      <c r="C7524" t="inlineStr">
        <is>
          <t>Föryngringsavverkning</t>
        </is>
      </c>
      <c r="D7524" s="1" t="n">
        <v>45252</v>
      </c>
      <c r="E7524" s="1" t="n">
        <v>46319</v>
      </c>
      <c r="F7524" t="inlineStr">
        <is>
          <t>DALARNAS LÄN</t>
        </is>
      </c>
      <c r="G7524" t="inlineStr">
        <is>
          <t>FALUN</t>
        </is>
      </c>
      <c r="I7524" t="n">
        <v>3.3</v>
      </c>
      <c r="J7524" t="n">
        <v>0</v>
      </c>
      <c r="K7524" t="n">
        <v>0</v>
      </c>
      <c r="L7524" t="n">
        <v>0</v>
      </c>
      <c r="M7524" t="n">
        <v>0</v>
      </c>
      <c r="N7524" t="n">
        <v>0</v>
      </c>
      <c r="O7524" t="n">
        <v>0</v>
      </c>
      <c r="P7524" t="n">
        <v>0</v>
      </c>
      <c r="Q7524" t="n">
        <v>0</v>
      </c>
      <c r="R7524" t="n">
        <v>0</v>
      </c>
      <c r="S7524" t="n">
        <v>0</v>
      </c>
      <c r="T7524" t="n">
        <v>0</v>
      </c>
      <c r="U7524" t="n">
        <v>0</v>
      </c>
      <c r="V7524" s="2" t="inlineStr"/>
    </row>
    <row r="7525" ht="15" customHeight="1">
      <c r="A7525" t="inlineStr">
        <is>
          <t>A 58864-2023</t>
        </is>
      </c>
      <c r="B7525" t="inlineStr">
        <is>
          <t>avverkningsanmälan</t>
        </is>
      </c>
      <c r="C7525" t="inlineStr">
        <is>
          <t>Föryngringsavverkning</t>
        </is>
      </c>
      <c r="D7525" s="1" t="n">
        <v>45252</v>
      </c>
      <c r="E7525" s="1" t="n">
        <v>46319</v>
      </c>
      <c r="F7525" t="inlineStr">
        <is>
          <t>DALARNAS LÄN</t>
        </is>
      </c>
      <c r="G7525" t="inlineStr">
        <is>
          <t>FALUN</t>
        </is>
      </c>
      <c r="I7525" t="n">
        <v>0.3</v>
      </c>
      <c r="J7525" t="n">
        <v>0</v>
      </c>
      <c r="K7525" t="n">
        <v>0</v>
      </c>
      <c r="L7525" t="n">
        <v>0</v>
      </c>
      <c r="M7525" t="n">
        <v>0</v>
      </c>
      <c r="N7525" t="n">
        <v>0</v>
      </c>
      <c r="O7525" t="n">
        <v>0</v>
      </c>
      <c r="P7525" t="n">
        <v>0</v>
      </c>
      <c r="Q7525" t="n">
        <v>0</v>
      </c>
      <c r="R7525" t="n">
        <v>0</v>
      </c>
      <c r="S7525" t="n">
        <v>0</v>
      </c>
      <c r="T7525" t="n">
        <v>0</v>
      </c>
      <c r="U7525" t="n">
        <v>0</v>
      </c>
      <c r="V7525" s="2" t="inlineStr"/>
    </row>
    <row r="7526" ht="15" customHeight="1">
      <c r="A7526" t="inlineStr">
        <is>
          <t>A 37250-2026</t>
        </is>
      </c>
      <c r="B7526" t="inlineStr">
        <is>
          <t>avverkningsanmälan</t>
        </is>
      </c>
      <c r="C7526" t="inlineStr">
        <is>
          <t>Föryngringsavverkning</t>
        </is>
      </c>
      <c r="D7526" s="1" t="n">
        <v>46274</v>
      </c>
      <c r="E7526" s="1" t="n">
        <v>46319</v>
      </c>
      <c r="F7526" t="inlineStr">
        <is>
          <t>DALARNAS LÄN</t>
        </is>
      </c>
      <c r="G7526" t="inlineStr">
        <is>
          <t>MORA</t>
        </is>
      </c>
      <c r="I7526" t="n">
        <v>1.3</v>
      </c>
      <c r="J7526" t="n">
        <v>0</v>
      </c>
      <c r="K7526" t="n">
        <v>0</v>
      </c>
      <c r="L7526" t="n">
        <v>0</v>
      </c>
      <c r="M7526" t="n">
        <v>0</v>
      </c>
      <c r="N7526" t="n">
        <v>0</v>
      </c>
      <c r="O7526" t="n">
        <v>0</v>
      </c>
      <c r="P7526" t="n">
        <v>0</v>
      </c>
      <c r="Q7526" t="n">
        <v>0</v>
      </c>
      <c r="R7526" t="n">
        <v>0</v>
      </c>
      <c r="S7526" t="n">
        <v>0</v>
      </c>
      <c r="T7526" t="n">
        <v>0</v>
      </c>
      <c r="U7526" t="n">
        <v>0</v>
      </c>
      <c r="V7526" s="2" t="inlineStr"/>
    </row>
    <row r="7527" ht="15" customHeight="1">
      <c r="A7527" t="inlineStr">
        <is>
          <t>A 20789-2026</t>
        </is>
      </c>
      <c r="B7527" t="inlineStr">
        <is>
          <t>avverkningsanmälan</t>
        </is>
      </c>
      <c r="C7527" t="inlineStr">
        <is>
          <t>Föryngringsavverkning</t>
        </is>
      </c>
      <c r="D7527" s="1" t="n">
        <v>46141</v>
      </c>
      <c r="E7527" s="1" t="n">
        <v>46319</v>
      </c>
      <c r="F7527" t="inlineStr">
        <is>
          <t>DALARNAS LÄN</t>
        </is>
      </c>
      <c r="G7527" t="inlineStr">
        <is>
          <t>LUDVIKA</t>
        </is>
      </c>
      <c r="H7527" t="inlineStr">
        <is>
          <t>Bergvik skog väst AB</t>
        </is>
      </c>
      <c r="I7527" t="n">
        <v>1.8</v>
      </c>
      <c r="J7527" t="n">
        <v>0</v>
      </c>
      <c r="K7527" t="n">
        <v>0</v>
      </c>
      <c r="L7527" t="n">
        <v>0</v>
      </c>
      <c r="M7527" t="n">
        <v>0</v>
      </c>
      <c r="N7527" t="n">
        <v>0</v>
      </c>
      <c r="O7527" t="n">
        <v>0</v>
      </c>
      <c r="P7527" t="n">
        <v>0</v>
      </c>
      <c r="Q7527" t="n">
        <v>0</v>
      </c>
      <c r="R7527" t="n">
        <v>0</v>
      </c>
      <c r="S7527" t="n">
        <v>0</v>
      </c>
      <c r="T7527" t="n">
        <v>0</v>
      </c>
      <c r="U7527" t="n">
        <v>0</v>
      </c>
      <c r="V7527" s="2" t="inlineStr"/>
    </row>
    <row r="7528" ht="15" customHeight="1">
      <c r="A7528" t="inlineStr">
        <is>
          <t>A 24663-2025</t>
        </is>
      </c>
      <c r="B7528" t="inlineStr">
        <is>
          <t>avverkningsanmälan</t>
        </is>
      </c>
      <c r="C7528" t="inlineStr">
        <is>
          <t>Avverkning för annat ändamål</t>
        </is>
      </c>
      <c r="D7528" s="1" t="n">
        <v>45792</v>
      </c>
      <c r="E7528" s="1" t="n">
        <v>46319</v>
      </c>
      <c r="F7528" t="inlineStr">
        <is>
          <t>DALARNAS LÄN</t>
        </is>
      </c>
      <c r="G7528" t="inlineStr">
        <is>
          <t>MALUNG-SÄLEN</t>
        </is>
      </c>
      <c r="I7528" t="n">
        <v>0.5</v>
      </c>
      <c r="J7528" t="n">
        <v>0</v>
      </c>
      <c r="K7528" t="n">
        <v>0</v>
      </c>
      <c r="L7528" t="n">
        <v>0</v>
      </c>
      <c r="M7528" t="n">
        <v>0</v>
      </c>
      <c r="N7528" t="n">
        <v>0</v>
      </c>
      <c r="O7528" t="n">
        <v>0</v>
      </c>
      <c r="P7528" t="n">
        <v>0</v>
      </c>
      <c r="Q7528" t="n">
        <v>0</v>
      </c>
      <c r="R7528" t="n">
        <v>0</v>
      </c>
      <c r="S7528" t="n">
        <v>0</v>
      </c>
      <c r="T7528" t="n">
        <v>0</v>
      </c>
      <c r="U7528" t="n">
        <v>0</v>
      </c>
      <c r="V7528" s="2" t="inlineStr"/>
    </row>
    <row r="7529" ht="15" customHeight="1">
      <c r="A7529" t="inlineStr">
        <is>
          <t>A 21794-2024</t>
        </is>
      </c>
      <c r="B7529" t="inlineStr">
        <is>
          <t>avverkningsanmälan</t>
        </is>
      </c>
      <c r="C7529" t="inlineStr">
        <is>
          <t>Föryngringsavverkning</t>
        </is>
      </c>
      <c r="D7529" s="1" t="n">
        <v>45442</v>
      </c>
      <c r="E7529" s="1" t="n">
        <v>46319</v>
      </c>
      <c r="F7529" t="inlineStr">
        <is>
          <t>DALARNAS LÄN</t>
        </is>
      </c>
      <c r="G7529" t="inlineStr">
        <is>
          <t>MALUNG-SÄLEN</t>
        </is>
      </c>
      <c r="I7529" t="n">
        <v>1.3</v>
      </c>
      <c r="J7529" t="n">
        <v>0</v>
      </c>
      <c r="K7529" t="n">
        <v>0</v>
      </c>
      <c r="L7529" t="n">
        <v>0</v>
      </c>
      <c r="M7529" t="n">
        <v>0</v>
      </c>
      <c r="N7529" t="n">
        <v>0</v>
      </c>
      <c r="O7529" t="n">
        <v>0</v>
      </c>
      <c r="P7529" t="n">
        <v>0</v>
      </c>
      <c r="Q7529" t="n">
        <v>0</v>
      </c>
      <c r="R7529" t="n">
        <v>0</v>
      </c>
      <c r="S7529" t="n">
        <v>0</v>
      </c>
      <c r="T7529" t="n">
        <v>0</v>
      </c>
      <c r="U7529" t="n">
        <v>0</v>
      </c>
      <c r="V7529" s="2" t="inlineStr"/>
    </row>
    <row r="7530" ht="15" customHeight="1">
      <c r="A7530" t="inlineStr">
        <is>
          <t>A 63788-2025</t>
        </is>
      </c>
      <c r="B7530" t="inlineStr">
        <is>
          <t>avverkningsanmälan</t>
        </is>
      </c>
      <c r="C7530" t="inlineStr">
        <is>
          <t>Föryngringsavverkning</t>
        </is>
      </c>
      <c r="D7530" s="1" t="n">
        <v>46019</v>
      </c>
      <c r="E7530" s="1" t="n">
        <v>46319</v>
      </c>
      <c r="F7530" t="inlineStr">
        <is>
          <t>DALARNAS LÄN</t>
        </is>
      </c>
      <c r="G7530" t="inlineStr">
        <is>
          <t>RÄTTVIK</t>
        </is>
      </c>
      <c r="I7530" t="n">
        <v>9.300000000000001</v>
      </c>
      <c r="J7530" t="n">
        <v>0</v>
      </c>
      <c r="K7530" t="n">
        <v>0</v>
      </c>
      <c r="L7530" t="n">
        <v>0</v>
      </c>
      <c r="M7530" t="n">
        <v>0</v>
      </c>
      <c r="N7530" t="n">
        <v>0</v>
      </c>
      <c r="O7530" t="n">
        <v>0</v>
      </c>
      <c r="P7530" t="n">
        <v>0</v>
      </c>
      <c r="Q7530" t="n">
        <v>0</v>
      </c>
      <c r="R7530" t="n">
        <v>0</v>
      </c>
      <c r="S7530" t="n">
        <v>0</v>
      </c>
      <c r="T7530" t="n">
        <v>0</v>
      </c>
      <c r="U7530" t="n">
        <v>0</v>
      </c>
      <c r="V7530" s="2" t="inlineStr"/>
    </row>
    <row r="7531" ht="15" customHeight="1">
      <c r="A7531" t="inlineStr">
        <is>
          <t>A 64077-2025</t>
        </is>
      </c>
      <c r="B7531" t="inlineStr">
        <is>
          <t>avverkningsanmälan</t>
        </is>
      </c>
      <c r="C7531" t="inlineStr">
        <is>
          <t>Föryngringsavverkning</t>
        </is>
      </c>
      <c r="D7531" s="1" t="n">
        <v>46021</v>
      </c>
      <c r="E7531" s="1" t="n">
        <v>46319</v>
      </c>
      <c r="F7531" t="inlineStr">
        <is>
          <t>DALARNAS LÄN</t>
        </is>
      </c>
      <c r="G7531" t="inlineStr">
        <is>
          <t>FALUN</t>
        </is>
      </c>
      <c r="I7531" t="n">
        <v>6.9</v>
      </c>
      <c r="J7531" t="n">
        <v>0</v>
      </c>
      <c r="K7531" t="n">
        <v>0</v>
      </c>
      <c r="L7531" t="n">
        <v>0</v>
      </c>
      <c r="M7531" t="n">
        <v>0</v>
      </c>
      <c r="N7531" t="n">
        <v>0</v>
      </c>
      <c r="O7531" t="n">
        <v>0</v>
      </c>
      <c r="P7531" t="n">
        <v>0</v>
      </c>
      <c r="Q7531" t="n">
        <v>0</v>
      </c>
      <c r="R7531" t="n">
        <v>0</v>
      </c>
      <c r="S7531" t="n">
        <v>0</v>
      </c>
      <c r="T7531" t="n">
        <v>0</v>
      </c>
      <c r="U7531" t="n">
        <v>0</v>
      </c>
      <c r="V7531" s="2" t="inlineStr"/>
    </row>
    <row r="7532" ht="15" customHeight="1">
      <c r="A7532" t="inlineStr">
        <is>
          <t>A 37474-2026</t>
        </is>
      </c>
      <c r="B7532" t="inlineStr">
        <is>
          <t>avverkningsanmälan</t>
        </is>
      </c>
      <c r="C7532" t="inlineStr">
        <is>
          <t>Föryngringsavverkning</t>
        </is>
      </c>
      <c r="D7532" s="1" t="n">
        <v>46275</v>
      </c>
      <c r="E7532" s="1" t="n">
        <v>46319</v>
      </c>
      <c r="F7532" t="inlineStr">
        <is>
          <t>DALARNAS LÄN</t>
        </is>
      </c>
      <c r="G7532" t="inlineStr">
        <is>
          <t>MALUNG-SÄLEN</t>
        </is>
      </c>
      <c r="H7532" t="inlineStr">
        <is>
          <t>Bergvik skog öst AB</t>
        </is>
      </c>
      <c r="I7532" t="n">
        <v>1.6</v>
      </c>
      <c r="J7532" t="n">
        <v>0</v>
      </c>
      <c r="K7532" t="n">
        <v>0</v>
      </c>
      <c r="L7532" t="n">
        <v>0</v>
      </c>
      <c r="M7532" t="n">
        <v>0</v>
      </c>
      <c r="N7532" t="n">
        <v>0</v>
      </c>
      <c r="O7532" t="n">
        <v>0</v>
      </c>
      <c r="P7532" t="n">
        <v>0</v>
      </c>
      <c r="Q7532" t="n">
        <v>0</v>
      </c>
      <c r="R7532" t="n">
        <v>0</v>
      </c>
      <c r="S7532" t="n">
        <v>0</v>
      </c>
      <c r="T7532" t="n">
        <v>0</v>
      </c>
      <c r="U7532" t="n">
        <v>0</v>
      </c>
      <c r="V7532" s="2" t="inlineStr"/>
    </row>
    <row r="7533" ht="15" customHeight="1">
      <c r="A7533" t="inlineStr">
        <is>
          <t>A 37499-2026</t>
        </is>
      </c>
      <c r="B7533" t="inlineStr">
        <is>
          <t>avverkningsanmälan</t>
        </is>
      </c>
      <c r="C7533" t="inlineStr">
        <is>
          <t>Föryngringsavverkning</t>
        </is>
      </c>
      <c r="D7533" s="1" t="n">
        <v>46275</v>
      </c>
      <c r="E7533" s="1" t="n">
        <v>46319</v>
      </c>
      <c r="F7533" t="inlineStr">
        <is>
          <t>DALARNAS LÄN</t>
        </is>
      </c>
      <c r="G7533" t="inlineStr">
        <is>
          <t>VANSBRO</t>
        </is>
      </c>
      <c r="H7533" t="inlineStr">
        <is>
          <t>Kyrkan</t>
        </is>
      </c>
      <c r="I7533" t="n">
        <v>0.9</v>
      </c>
      <c r="J7533" t="n">
        <v>0</v>
      </c>
      <c r="K7533" t="n">
        <v>0</v>
      </c>
      <c r="L7533" t="n">
        <v>0</v>
      </c>
      <c r="M7533" t="n">
        <v>0</v>
      </c>
      <c r="N7533" t="n">
        <v>0</v>
      </c>
      <c r="O7533" t="n">
        <v>0</v>
      </c>
      <c r="P7533" t="n">
        <v>0</v>
      </c>
      <c r="Q7533" t="n">
        <v>0</v>
      </c>
      <c r="R7533" t="n">
        <v>0</v>
      </c>
      <c r="S7533" t="n">
        <v>0</v>
      </c>
      <c r="T7533" t="n">
        <v>0</v>
      </c>
      <c r="U7533" t="n">
        <v>0</v>
      </c>
      <c r="V7533" s="2" t="inlineStr"/>
    </row>
    <row r="7534" ht="15" customHeight="1">
      <c r="A7534" t="inlineStr">
        <is>
          <t>A 44277-2026</t>
        </is>
      </c>
      <c r="B7534" t="inlineStr">
        <is>
          <t>avverkningsanmälan</t>
        </is>
      </c>
      <c r="C7534" t="inlineStr">
        <is>
          <t>Föryngringsavverkning</t>
        </is>
      </c>
      <c r="D7534" s="1" t="n">
        <v>46318</v>
      </c>
      <c r="E7534" s="1" t="n">
        <v>46319</v>
      </c>
      <c r="F7534" t="inlineStr">
        <is>
          <t>DALARNAS LÄN</t>
        </is>
      </c>
      <c r="G7534" t="inlineStr">
        <is>
          <t>ÄLVDALEN</t>
        </is>
      </c>
      <c r="I7534" t="n">
        <v>7.6</v>
      </c>
      <c r="J7534" t="n">
        <v>0</v>
      </c>
      <c r="K7534" t="n">
        <v>0</v>
      </c>
      <c r="L7534" t="n">
        <v>0</v>
      </c>
      <c r="M7534" t="n">
        <v>0</v>
      </c>
      <c r="N7534" t="n">
        <v>0</v>
      </c>
      <c r="O7534" t="n">
        <v>0</v>
      </c>
      <c r="P7534" t="n">
        <v>0</v>
      </c>
      <c r="Q7534" t="n">
        <v>0</v>
      </c>
      <c r="R7534" t="n">
        <v>0</v>
      </c>
      <c r="S7534" t="n">
        <v>0</v>
      </c>
      <c r="T7534" t="n">
        <v>0</v>
      </c>
      <c r="U7534" t="n">
        <v>0</v>
      </c>
      <c r="V7534" s="2" t="inlineStr"/>
    </row>
    <row r="7535" ht="15" customHeight="1">
      <c r="A7535" t="inlineStr">
        <is>
          <t>A 20817-2026</t>
        </is>
      </c>
      <c r="B7535" t="inlineStr">
        <is>
          <t>avverkningsanmälan</t>
        </is>
      </c>
      <c r="C7535" t="inlineStr">
        <is>
          <t>Föryngringsavverkning</t>
        </is>
      </c>
      <c r="D7535" s="1" t="n">
        <v>46141</v>
      </c>
      <c r="E7535" s="1" t="n">
        <v>46319</v>
      </c>
      <c r="F7535" t="inlineStr">
        <is>
          <t>DALARNAS LÄN</t>
        </is>
      </c>
      <c r="G7535" t="inlineStr">
        <is>
          <t>RÄTTVIK</t>
        </is>
      </c>
      <c r="I7535" t="n">
        <v>9.1</v>
      </c>
      <c r="J7535" t="n">
        <v>0</v>
      </c>
      <c r="K7535" t="n">
        <v>0</v>
      </c>
      <c r="L7535" t="n">
        <v>0</v>
      </c>
      <c r="M7535" t="n">
        <v>0</v>
      </c>
      <c r="N7535" t="n">
        <v>0</v>
      </c>
      <c r="O7535" t="n">
        <v>0</v>
      </c>
      <c r="P7535" t="n">
        <v>0</v>
      </c>
      <c r="Q7535" t="n">
        <v>0</v>
      </c>
      <c r="R7535" t="n">
        <v>0</v>
      </c>
      <c r="S7535" t="n">
        <v>0</v>
      </c>
      <c r="T7535" t="n">
        <v>0</v>
      </c>
      <c r="U7535" t="n">
        <v>0</v>
      </c>
      <c r="V7535" s="2" t="inlineStr"/>
    </row>
    <row r="7536" ht="15" customHeight="1">
      <c r="A7536" t="inlineStr">
        <is>
          <t>A 20818-2026</t>
        </is>
      </c>
      <c r="B7536" t="inlineStr">
        <is>
          <t>avverkningsanmälan</t>
        </is>
      </c>
      <c r="C7536" t="inlineStr">
        <is>
          <t>Föryngringsavverkning</t>
        </is>
      </c>
      <c r="D7536" s="1" t="n">
        <v>46141</v>
      </c>
      <c r="E7536" s="1" t="n">
        <v>46319</v>
      </c>
      <c r="F7536" t="inlineStr">
        <is>
          <t>DALARNAS LÄN</t>
        </is>
      </c>
      <c r="G7536" t="inlineStr">
        <is>
          <t>RÄTTVIK</t>
        </is>
      </c>
      <c r="I7536" t="n">
        <v>4.7</v>
      </c>
      <c r="J7536" t="n">
        <v>0</v>
      </c>
      <c r="K7536" t="n">
        <v>0</v>
      </c>
      <c r="L7536" t="n">
        <v>0</v>
      </c>
      <c r="M7536" t="n">
        <v>0</v>
      </c>
      <c r="N7536" t="n">
        <v>0</v>
      </c>
      <c r="O7536" t="n">
        <v>0</v>
      </c>
      <c r="P7536" t="n">
        <v>0</v>
      </c>
      <c r="Q7536" t="n">
        <v>0</v>
      </c>
      <c r="R7536" t="n">
        <v>0</v>
      </c>
      <c r="S7536" t="n">
        <v>0</v>
      </c>
      <c r="T7536" t="n">
        <v>0</v>
      </c>
      <c r="U7536" t="n">
        <v>0</v>
      </c>
      <c r="V7536" s="2" t="inlineStr"/>
    </row>
    <row r="7537" ht="15" customHeight="1">
      <c r="A7537" t="inlineStr">
        <is>
          <t>A 5871-2026</t>
        </is>
      </c>
      <c r="B7537" t="inlineStr">
        <is>
          <t>avverkningsanmälan</t>
        </is>
      </c>
      <c r="C7537" t="inlineStr">
        <is>
          <t>Föryngringsavverkning</t>
        </is>
      </c>
      <c r="D7537" s="1" t="n">
        <v>46052</v>
      </c>
      <c r="E7537" s="1" t="n">
        <v>46319</v>
      </c>
      <c r="F7537" t="inlineStr">
        <is>
          <t>DALARNAS LÄN</t>
        </is>
      </c>
      <c r="G7537" t="inlineStr">
        <is>
          <t>FALUN</t>
        </is>
      </c>
      <c r="I7537" t="n">
        <v>12.2</v>
      </c>
      <c r="J7537" t="n">
        <v>0</v>
      </c>
      <c r="K7537" t="n">
        <v>0</v>
      </c>
      <c r="L7537" t="n">
        <v>0</v>
      </c>
      <c r="M7537" t="n">
        <v>0</v>
      </c>
      <c r="N7537" t="n">
        <v>0</v>
      </c>
      <c r="O7537" t="n">
        <v>0</v>
      </c>
      <c r="P7537" t="n">
        <v>0</v>
      </c>
      <c r="Q7537" t="n">
        <v>0</v>
      </c>
      <c r="R7537" t="n">
        <v>0</v>
      </c>
      <c r="S7537" t="n">
        <v>0</v>
      </c>
      <c r="T7537" t="n">
        <v>0</v>
      </c>
      <c r="U7537" t="n">
        <v>0</v>
      </c>
      <c r="V7537" s="2" t="inlineStr"/>
    </row>
    <row r="7538" ht="15" customHeight="1">
      <c r="A7538" t="inlineStr">
        <is>
          <t>A 37591-2026</t>
        </is>
      </c>
      <c r="B7538" t="inlineStr">
        <is>
          <t>avverkningsanmälan</t>
        </is>
      </c>
      <c r="C7538" t="inlineStr">
        <is>
          <t>Avverkning för annat ändamål</t>
        </is>
      </c>
      <c r="D7538" s="1" t="n">
        <v>46276</v>
      </c>
      <c r="E7538" s="1" t="n">
        <v>46319</v>
      </c>
      <c r="F7538" t="inlineStr">
        <is>
          <t>DALARNAS LÄN</t>
        </is>
      </c>
      <c r="G7538" t="inlineStr">
        <is>
          <t>LEKSAND</t>
        </is>
      </c>
      <c r="I7538" t="n">
        <v>3.2</v>
      </c>
      <c r="J7538" t="n">
        <v>0</v>
      </c>
      <c r="K7538" t="n">
        <v>0</v>
      </c>
      <c r="L7538" t="n">
        <v>0</v>
      </c>
      <c r="M7538" t="n">
        <v>0</v>
      </c>
      <c r="N7538" t="n">
        <v>0</v>
      </c>
      <c r="O7538" t="n">
        <v>0</v>
      </c>
      <c r="P7538" t="n">
        <v>0</v>
      </c>
      <c r="Q7538" t="n">
        <v>0</v>
      </c>
      <c r="R7538" t="n">
        <v>0</v>
      </c>
      <c r="S7538" t="n">
        <v>0</v>
      </c>
      <c r="T7538" t="n">
        <v>0</v>
      </c>
      <c r="U7538" t="n">
        <v>0</v>
      </c>
      <c r="V7538" s="2" t="inlineStr"/>
    </row>
    <row r="7539" ht="15" customHeight="1">
      <c r="A7539" t="inlineStr">
        <is>
          <t>A 44249-2026</t>
        </is>
      </c>
      <c r="B7539" t="inlineStr">
        <is>
          <t>avverkningsanmälan</t>
        </is>
      </c>
      <c r="C7539" t="inlineStr">
        <is>
          <t>Föryngringsavverkning</t>
        </is>
      </c>
      <c r="D7539" s="1" t="n">
        <v>46318</v>
      </c>
      <c r="E7539" s="1" t="n">
        <v>46319</v>
      </c>
      <c r="F7539" t="inlineStr">
        <is>
          <t>DALARNAS LÄN</t>
        </is>
      </c>
      <c r="G7539" t="inlineStr">
        <is>
          <t>VANSBRO</t>
        </is>
      </c>
      <c r="H7539" t="inlineStr">
        <is>
          <t>Bergvik skog öst AB</t>
        </is>
      </c>
      <c r="I7539" t="n">
        <v>6</v>
      </c>
      <c r="J7539" t="n">
        <v>0</v>
      </c>
      <c r="K7539" t="n">
        <v>0</v>
      </c>
      <c r="L7539" t="n">
        <v>0</v>
      </c>
      <c r="M7539" t="n">
        <v>0</v>
      </c>
      <c r="N7539" t="n">
        <v>0</v>
      </c>
      <c r="O7539" t="n">
        <v>0</v>
      </c>
      <c r="P7539" t="n">
        <v>0</v>
      </c>
      <c r="Q7539" t="n">
        <v>0</v>
      </c>
      <c r="R7539" t="n">
        <v>0</v>
      </c>
      <c r="S7539" t="n">
        <v>0</v>
      </c>
      <c r="T7539" t="n">
        <v>0</v>
      </c>
      <c r="U7539" t="n">
        <v>0</v>
      </c>
      <c r="V7539" s="2" t="inlineStr"/>
    </row>
    <row r="7540" ht="15" customHeight="1">
      <c r="A7540" t="inlineStr">
        <is>
          <t>A 16155-2022</t>
        </is>
      </c>
      <c r="B7540" t="inlineStr">
        <is>
          <t>avverkningsanmälan</t>
        </is>
      </c>
      <c r="C7540" t="inlineStr">
        <is>
          <t>Föryngringsavverkning</t>
        </is>
      </c>
      <c r="D7540" s="1" t="n">
        <v>44666</v>
      </c>
      <c r="E7540" s="1" t="n">
        <v>46319</v>
      </c>
      <c r="F7540" t="inlineStr">
        <is>
          <t>DALARNAS LÄN</t>
        </is>
      </c>
      <c r="G7540" t="inlineStr">
        <is>
          <t>SMEDJEBACKEN</t>
        </is>
      </c>
      <c r="I7540" t="n">
        <v>0.9</v>
      </c>
      <c r="J7540" t="n">
        <v>0</v>
      </c>
      <c r="K7540" t="n">
        <v>0</v>
      </c>
      <c r="L7540" t="n">
        <v>0</v>
      </c>
      <c r="M7540" t="n">
        <v>0</v>
      </c>
      <c r="N7540" t="n">
        <v>0</v>
      </c>
      <c r="O7540" t="n">
        <v>0</v>
      </c>
      <c r="P7540" t="n">
        <v>0</v>
      </c>
      <c r="Q7540" t="n">
        <v>0</v>
      </c>
      <c r="R7540" t="n">
        <v>0</v>
      </c>
      <c r="S7540" t="n">
        <v>0</v>
      </c>
      <c r="T7540" t="n">
        <v>0</v>
      </c>
      <c r="U7540" t="n">
        <v>0</v>
      </c>
      <c r="V7540" s="2" t="inlineStr"/>
    </row>
    <row r="7541" ht="15" customHeight="1">
      <c r="A7541" t="inlineStr">
        <is>
          <t>A 8590-2026</t>
        </is>
      </c>
      <c r="B7541" t="inlineStr">
        <is>
          <t>avverkningsanmälan</t>
        </is>
      </c>
      <c r="C7541" t="inlineStr">
        <is>
          <t>Föryngringsavverkning</t>
        </is>
      </c>
      <c r="D7541" s="1" t="n">
        <v>46065</v>
      </c>
      <c r="E7541" s="1" t="n">
        <v>46319</v>
      </c>
      <c r="F7541" t="inlineStr">
        <is>
          <t>DALARNAS LÄN</t>
        </is>
      </c>
      <c r="G7541" t="inlineStr">
        <is>
          <t>FALUN</t>
        </is>
      </c>
      <c r="I7541" t="n">
        <v>9</v>
      </c>
      <c r="J7541" t="n">
        <v>0</v>
      </c>
      <c r="K7541" t="n">
        <v>0</v>
      </c>
      <c r="L7541" t="n">
        <v>0</v>
      </c>
      <c r="M7541" t="n">
        <v>0</v>
      </c>
      <c r="N7541" t="n">
        <v>0</v>
      </c>
      <c r="O7541" t="n">
        <v>0</v>
      </c>
      <c r="P7541" t="n">
        <v>0</v>
      </c>
      <c r="Q7541" t="n">
        <v>0</v>
      </c>
      <c r="R7541" t="n">
        <v>0</v>
      </c>
      <c r="S7541" t="n">
        <v>0</v>
      </c>
      <c r="T7541" t="n">
        <v>0</v>
      </c>
      <c r="U7541" t="n">
        <v>0</v>
      </c>
      <c r="V7541" s="2" t="inlineStr"/>
    </row>
    <row r="7542" ht="15" customHeight="1">
      <c r="A7542" t="inlineStr">
        <is>
          <t>A 44220-2026</t>
        </is>
      </c>
      <c r="B7542" t="inlineStr">
        <is>
          <t>avverkningsanmälan</t>
        </is>
      </c>
      <c r="C7542" t="inlineStr">
        <is>
          <t>Föryngringsavverkning</t>
        </is>
      </c>
      <c r="D7542" s="1" t="n">
        <v>46318</v>
      </c>
      <c r="E7542" s="1" t="n">
        <v>46319</v>
      </c>
      <c r="F7542" t="inlineStr">
        <is>
          <t>DALARNAS LÄN</t>
        </is>
      </c>
      <c r="G7542" t="inlineStr">
        <is>
          <t>ORSA</t>
        </is>
      </c>
      <c r="H7542" t="inlineStr">
        <is>
          <t>Bergvik skog öst AB</t>
        </is>
      </c>
      <c r="I7542" t="n">
        <v>0.9</v>
      </c>
      <c r="J7542" t="n">
        <v>0</v>
      </c>
      <c r="K7542" t="n">
        <v>0</v>
      </c>
      <c r="L7542" t="n">
        <v>0</v>
      </c>
      <c r="M7542" t="n">
        <v>0</v>
      </c>
      <c r="N7542" t="n">
        <v>0</v>
      </c>
      <c r="O7542" t="n">
        <v>0</v>
      </c>
      <c r="P7542" t="n">
        <v>0</v>
      </c>
      <c r="Q7542" t="n">
        <v>0</v>
      </c>
      <c r="R7542" t="n">
        <v>0</v>
      </c>
      <c r="S7542" t="n">
        <v>0</v>
      </c>
      <c r="T7542" t="n">
        <v>0</v>
      </c>
      <c r="U7542" t="n">
        <v>0</v>
      </c>
      <c r="V7542" s="2" t="inlineStr"/>
    </row>
    <row r="7543" ht="15" customHeight="1">
      <c r="A7543" t="inlineStr">
        <is>
          <t>A 46628-2024</t>
        </is>
      </c>
      <c r="B7543" t="inlineStr">
        <is>
          <t>avverkningsanmälan</t>
        </is>
      </c>
      <c r="C7543" t="inlineStr">
        <is>
          <t>Avverkning för annat ändamål</t>
        </is>
      </c>
      <c r="D7543" s="1" t="n">
        <v>45583</v>
      </c>
      <c r="E7543" s="1" t="n">
        <v>46319</v>
      </c>
      <c r="F7543" t="inlineStr">
        <is>
          <t>DALARNAS LÄN</t>
        </is>
      </c>
      <c r="G7543" t="inlineStr">
        <is>
          <t>LEKSAND</t>
        </is>
      </c>
      <c r="I7543" t="n">
        <v>0.2</v>
      </c>
      <c r="J7543" t="n">
        <v>0</v>
      </c>
      <c r="K7543" t="n">
        <v>0</v>
      </c>
      <c r="L7543" t="n">
        <v>0</v>
      </c>
      <c r="M7543" t="n">
        <v>0</v>
      </c>
      <c r="N7543" t="n">
        <v>0</v>
      </c>
      <c r="O7543" t="n">
        <v>0</v>
      </c>
      <c r="P7543" t="n">
        <v>0</v>
      </c>
      <c r="Q7543" t="n">
        <v>0</v>
      </c>
      <c r="R7543" t="n">
        <v>0</v>
      </c>
      <c r="S7543" t="n">
        <v>0</v>
      </c>
      <c r="T7543" t="n">
        <v>0</v>
      </c>
      <c r="U7543" t="n">
        <v>0</v>
      </c>
      <c r="V7543" s="2" t="inlineStr"/>
    </row>
    <row r="7544" ht="15" customHeight="1">
      <c r="A7544" t="inlineStr">
        <is>
          <t>A 47109-2024</t>
        </is>
      </c>
      <c r="B7544" t="inlineStr">
        <is>
          <t>avverkningsanmälan</t>
        </is>
      </c>
      <c r="C7544" t="inlineStr">
        <is>
          <t>Föryngringsavverkning</t>
        </is>
      </c>
      <c r="D7544" s="1" t="n">
        <v>45586</v>
      </c>
      <c r="E7544" s="1" t="n">
        <v>46319</v>
      </c>
      <c r="F7544" t="inlineStr">
        <is>
          <t>DALARNAS LÄN</t>
        </is>
      </c>
      <c r="G7544" t="inlineStr">
        <is>
          <t>BORLÄNGE</t>
        </is>
      </c>
      <c r="I7544" t="n">
        <v>1</v>
      </c>
      <c r="J7544" t="n">
        <v>0</v>
      </c>
      <c r="K7544" t="n">
        <v>0</v>
      </c>
      <c r="L7544" t="n">
        <v>0</v>
      </c>
      <c r="M7544" t="n">
        <v>0</v>
      </c>
      <c r="N7544" t="n">
        <v>0</v>
      </c>
      <c r="O7544" t="n">
        <v>0</v>
      </c>
      <c r="P7544" t="n">
        <v>0</v>
      </c>
      <c r="Q7544" t="n">
        <v>0</v>
      </c>
      <c r="R7544" t="n">
        <v>0</v>
      </c>
      <c r="S7544" t="n">
        <v>0</v>
      </c>
      <c r="T7544" t="n">
        <v>0</v>
      </c>
      <c r="U7544" t="n">
        <v>0</v>
      </c>
      <c r="V7544" s="2" t="inlineStr"/>
    </row>
    <row r="7545" ht="15" customHeight="1">
      <c r="A7545" t="inlineStr">
        <is>
          <t>A 713-2026</t>
        </is>
      </c>
      <c r="B7545" t="inlineStr">
        <is>
          <t>avverkningsanmälan</t>
        </is>
      </c>
      <c r="C7545" t="inlineStr">
        <is>
          <t>Föryngringsavverkning</t>
        </is>
      </c>
      <c r="D7545" s="1" t="n">
        <v>46029</v>
      </c>
      <c r="E7545" s="1" t="n">
        <v>46319</v>
      </c>
      <c r="F7545" t="inlineStr">
        <is>
          <t>DALARNAS LÄN</t>
        </is>
      </c>
      <c r="G7545" t="inlineStr">
        <is>
          <t>BORLÄNGE</t>
        </is>
      </c>
      <c r="I7545" t="n">
        <v>0.9</v>
      </c>
      <c r="J7545" t="n">
        <v>0</v>
      </c>
      <c r="K7545" t="n">
        <v>0</v>
      </c>
      <c r="L7545" t="n">
        <v>0</v>
      </c>
      <c r="M7545" t="n">
        <v>0</v>
      </c>
      <c r="N7545" t="n">
        <v>0</v>
      </c>
      <c r="O7545" t="n">
        <v>0</v>
      </c>
      <c r="P7545" t="n">
        <v>0</v>
      </c>
      <c r="Q7545" t="n">
        <v>0</v>
      </c>
      <c r="R7545" t="n">
        <v>0</v>
      </c>
      <c r="S7545" t="n">
        <v>0</v>
      </c>
      <c r="T7545" t="n">
        <v>0</v>
      </c>
      <c r="U7545" t="n">
        <v>0</v>
      </c>
      <c r="V7545" s="2" t="inlineStr"/>
    </row>
    <row r="7546" ht="15" customHeight="1">
      <c r="A7546" t="inlineStr">
        <is>
          <t>A 11468-2026</t>
        </is>
      </c>
      <c r="B7546" t="inlineStr">
        <is>
          <t>avverkningsanmälan</t>
        </is>
      </c>
      <c r="C7546" t="inlineStr">
        <is>
          <t>Föryngringsavverkning</t>
        </is>
      </c>
      <c r="D7546" s="1" t="n">
        <v>46083</v>
      </c>
      <c r="E7546" s="1" t="n">
        <v>46319</v>
      </c>
      <c r="F7546" t="inlineStr">
        <is>
          <t>DALARNAS LÄN</t>
        </is>
      </c>
      <c r="G7546" t="inlineStr">
        <is>
          <t>RÄTTVIK</t>
        </is>
      </c>
      <c r="I7546" t="n">
        <v>9.6</v>
      </c>
      <c r="J7546" t="n">
        <v>0</v>
      </c>
      <c r="K7546" t="n">
        <v>0</v>
      </c>
      <c r="L7546" t="n">
        <v>0</v>
      </c>
      <c r="M7546" t="n">
        <v>0</v>
      </c>
      <c r="N7546" t="n">
        <v>0</v>
      </c>
      <c r="O7546" t="n">
        <v>0</v>
      </c>
      <c r="P7546" t="n">
        <v>0</v>
      </c>
      <c r="Q7546" t="n">
        <v>0</v>
      </c>
      <c r="R7546" t="n">
        <v>0</v>
      </c>
      <c r="S7546" t="n">
        <v>0</v>
      </c>
      <c r="T7546" t="n">
        <v>0</v>
      </c>
      <c r="U7546" t="n">
        <v>0</v>
      </c>
      <c r="V7546" s="2" t="inlineStr"/>
    </row>
    <row r="7547" ht="15" customHeight="1">
      <c r="A7547" t="inlineStr">
        <is>
          <t>A 12330-2026</t>
        </is>
      </c>
      <c r="B7547" t="inlineStr">
        <is>
          <t>avverkningsanmälan</t>
        </is>
      </c>
      <c r="C7547" t="inlineStr">
        <is>
          <t>Föryngringsavverkning</t>
        </is>
      </c>
      <c r="D7547" s="1" t="n">
        <v>46087</v>
      </c>
      <c r="E7547" s="1" t="n">
        <v>46319</v>
      </c>
      <c r="F7547" t="inlineStr">
        <is>
          <t>DALARNAS LÄN</t>
        </is>
      </c>
      <c r="G7547" t="inlineStr">
        <is>
          <t>SÄTER</t>
        </is>
      </c>
      <c r="I7547" t="n">
        <v>1.8</v>
      </c>
      <c r="J7547" t="n">
        <v>0</v>
      </c>
      <c r="K7547" t="n">
        <v>0</v>
      </c>
      <c r="L7547" t="n">
        <v>0</v>
      </c>
      <c r="M7547" t="n">
        <v>0</v>
      </c>
      <c r="N7547" t="n">
        <v>0</v>
      </c>
      <c r="O7547" t="n">
        <v>0</v>
      </c>
      <c r="P7547" t="n">
        <v>0</v>
      </c>
      <c r="Q7547" t="n">
        <v>0</v>
      </c>
      <c r="R7547" t="n">
        <v>0</v>
      </c>
      <c r="S7547" t="n">
        <v>0</v>
      </c>
      <c r="T7547" t="n">
        <v>0</v>
      </c>
      <c r="U7547" t="n">
        <v>0</v>
      </c>
      <c r="V7547" s="2" t="inlineStr"/>
    </row>
    <row r="7548" ht="15" customHeight="1">
      <c r="A7548" t="inlineStr">
        <is>
          <t>A 53080-2024</t>
        </is>
      </c>
      <c r="B7548" t="inlineStr">
        <is>
          <t>avverkningsanmälan</t>
        </is>
      </c>
      <c r="C7548" t="inlineStr">
        <is>
          <t>Avverkning för att bevara och utveckla /försöksver</t>
        </is>
      </c>
      <c r="D7548" s="1" t="n">
        <v>45611</v>
      </c>
      <c r="E7548" s="1" t="n">
        <v>46319</v>
      </c>
      <c r="F7548" t="inlineStr">
        <is>
          <t>DALARNAS LÄN</t>
        </is>
      </c>
      <c r="G7548" t="inlineStr">
        <is>
          <t>RÄTTVIK</t>
        </is>
      </c>
      <c r="I7548" t="n">
        <v>5.1</v>
      </c>
      <c r="J7548" t="n">
        <v>0</v>
      </c>
      <c r="K7548" t="n">
        <v>0</v>
      </c>
      <c r="L7548" t="n">
        <v>0</v>
      </c>
      <c r="M7548" t="n">
        <v>0</v>
      </c>
      <c r="N7548" t="n">
        <v>0</v>
      </c>
      <c r="O7548" t="n">
        <v>0</v>
      </c>
      <c r="P7548" t="n">
        <v>0</v>
      </c>
      <c r="Q7548" t="n">
        <v>0</v>
      </c>
      <c r="R7548" t="n">
        <v>0</v>
      </c>
      <c r="S7548" t="n">
        <v>0</v>
      </c>
      <c r="T7548" t="n">
        <v>0</v>
      </c>
      <c r="U7548" t="n">
        <v>0</v>
      </c>
      <c r="V7548" s="2" t="inlineStr"/>
    </row>
    <row r="7549" ht="15" customHeight="1">
      <c r="A7549" t="inlineStr">
        <is>
          <t>A 37200-2026</t>
        </is>
      </c>
      <c r="B7549" t="inlineStr">
        <is>
          <t>avverkningsanmälan</t>
        </is>
      </c>
      <c r="C7549" t="inlineStr">
        <is>
          <t>Föryngringsavverkning</t>
        </is>
      </c>
      <c r="D7549" s="1" t="n">
        <v>46274</v>
      </c>
      <c r="E7549" s="1" t="n">
        <v>46319</v>
      </c>
      <c r="F7549" t="inlineStr">
        <is>
          <t>DALARNAS LÄN</t>
        </is>
      </c>
      <c r="G7549" t="inlineStr">
        <is>
          <t>RÄTTVIK</t>
        </is>
      </c>
      <c r="H7549" t="inlineStr">
        <is>
          <t>Bergvik skog väst AB</t>
        </is>
      </c>
      <c r="I7549" t="n">
        <v>1.7</v>
      </c>
      <c r="J7549" t="n">
        <v>0</v>
      </c>
      <c r="K7549" t="n">
        <v>0</v>
      </c>
      <c r="L7549" t="n">
        <v>0</v>
      </c>
      <c r="M7549" t="n">
        <v>0</v>
      </c>
      <c r="N7549" t="n">
        <v>0</v>
      </c>
      <c r="O7549" t="n">
        <v>0</v>
      </c>
      <c r="P7549" t="n">
        <v>0</v>
      </c>
      <c r="Q7549" t="n">
        <v>0</v>
      </c>
      <c r="R7549" t="n">
        <v>0</v>
      </c>
      <c r="S7549" t="n">
        <v>0</v>
      </c>
      <c r="T7549" t="n">
        <v>0</v>
      </c>
      <c r="U7549" t="n">
        <v>0</v>
      </c>
      <c r="V7549" s="2" t="inlineStr"/>
    </row>
    <row r="7550" ht="15" customHeight="1">
      <c r="A7550" t="inlineStr">
        <is>
          <t>A 20765-2026</t>
        </is>
      </c>
      <c r="B7550" t="inlineStr">
        <is>
          <t>avverkningsanmälan</t>
        </is>
      </c>
      <c r="C7550" t="inlineStr">
        <is>
          <t>Föryngringsavverkning</t>
        </is>
      </c>
      <c r="D7550" s="1" t="n">
        <v>46141</v>
      </c>
      <c r="E7550" s="1" t="n">
        <v>46319</v>
      </c>
      <c r="F7550" t="inlineStr">
        <is>
          <t>DALARNAS LÄN</t>
        </is>
      </c>
      <c r="G7550" t="inlineStr">
        <is>
          <t>FALUN</t>
        </is>
      </c>
      <c r="H7550" t="inlineStr">
        <is>
          <t>Bergvik skog väst AB</t>
        </is>
      </c>
      <c r="I7550" t="n">
        <v>1</v>
      </c>
      <c r="J7550" t="n">
        <v>0</v>
      </c>
      <c r="K7550" t="n">
        <v>0</v>
      </c>
      <c r="L7550" t="n">
        <v>0</v>
      </c>
      <c r="M7550" t="n">
        <v>0</v>
      </c>
      <c r="N7550" t="n">
        <v>0</v>
      </c>
      <c r="O7550" t="n">
        <v>0</v>
      </c>
      <c r="P7550" t="n">
        <v>0</v>
      </c>
      <c r="Q7550" t="n">
        <v>0</v>
      </c>
      <c r="R7550" t="n">
        <v>0</v>
      </c>
      <c r="S7550" t="n">
        <v>0</v>
      </c>
      <c r="T7550" t="n">
        <v>0</v>
      </c>
      <c r="U7550" t="n">
        <v>0</v>
      </c>
      <c r="V7550" s="2" t="inlineStr"/>
    </row>
    <row r="7551" ht="15" customHeight="1">
      <c r="A7551" t="inlineStr">
        <is>
          <t>A 1627-2026</t>
        </is>
      </c>
      <c r="B7551" t="inlineStr">
        <is>
          <t>avverkningsanmälan</t>
        </is>
      </c>
      <c r="C7551" t="inlineStr">
        <is>
          <t>Föryngringsavverkning</t>
        </is>
      </c>
      <c r="D7551" s="1" t="n">
        <v>46034</v>
      </c>
      <c r="E7551" s="1" t="n">
        <v>46319</v>
      </c>
      <c r="F7551" t="inlineStr">
        <is>
          <t>DALARNAS LÄN</t>
        </is>
      </c>
      <c r="G7551" t="inlineStr">
        <is>
          <t>FALUN</t>
        </is>
      </c>
      <c r="I7551" t="n">
        <v>11.6</v>
      </c>
      <c r="J7551" t="n">
        <v>0</v>
      </c>
      <c r="K7551" t="n">
        <v>0</v>
      </c>
      <c r="L7551" t="n">
        <v>0</v>
      </c>
      <c r="M7551" t="n">
        <v>0</v>
      </c>
      <c r="N7551" t="n">
        <v>0</v>
      </c>
      <c r="O7551" t="n">
        <v>0</v>
      </c>
      <c r="P7551" t="n">
        <v>0</v>
      </c>
      <c r="Q7551" t="n">
        <v>0</v>
      </c>
      <c r="R7551" t="n">
        <v>0</v>
      </c>
      <c r="S7551" t="n">
        <v>0</v>
      </c>
      <c r="T7551" t="n">
        <v>0</v>
      </c>
      <c r="U7551" t="n">
        <v>0</v>
      </c>
      <c r="V7551" s="2" t="inlineStr"/>
    </row>
    <row r="7552" ht="15" customHeight="1">
      <c r="A7552" t="inlineStr">
        <is>
          <t>A 10717-2026</t>
        </is>
      </c>
      <c r="B7552" t="inlineStr">
        <is>
          <t>avverkningsanmälan</t>
        </is>
      </c>
      <c r="C7552" t="inlineStr">
        <is>
          <t>Föryngringsavverkning</t>
        </is>
      </c>
      <c r="D7552" s="1" t="n">
        <v>46078</v>
      </c>
      <c r="E7552" s="1" t="n">
        <v>46319</v>
      </c>
      <c r="F7552" t="inlineStr">
        <is>
          <t>DALARNAS LÄN</t>
        </is>
      </c>
      <c r="G7552" t="inlineStr">
        <is>
          <t>FALUN</t>
        </is>
      </c>
      <c r="I7552" t="n">
        <v>1.4</v>
      </c>
      <c r="J7552" t="n">
        <v>0</v>
      </c>
      <c r="K7552" t="n">
        <v>0</v>
      </c>
      <c r="L7552" t="n">
        <v>0</v>
      </c>
      <c r="M7552" t="n">
        <v>0</v>
      </c>
      <c r="N7552" t="n">
        <v>0</v>
      </c>
      <c r="O7552" t="n">
        <v>0</v>
      </c>
      <c r="P7552" t="n">
        <v>0</v>
      </c>
      <c r="Q7552" t="n">
        <v>0</v>
      </c>
      <c r="R7552" t="n">
        <v>0</v>
      </c>
      <c r="S7552" t="n">
        <v>0</v>
      </c>
      <c r="T7552" t="n">
        <v>0</v>
      </c>
      <c r="U7552" t="n">
        <v>0</v>
      </c>
      <c r="V7552" s="2" t="inlineStr"/>
    </row>
    <row r="7553" ht="15" customHeight="1">
      <c r="A7553" t="inlineStr">
        <is>
          <t>A 43713-2025</t>
        </is>
      </c>
      <c r="B7553" t="inlineStr">
        <is>
          <t>avverkningsanmälan</t>
        </is>
      </c>
      <c r="C7553" t="inlineStr">
        <is>
          <t>Föryngringsavverkning</t>
        </is>
      </c>
      <c r="D7553" s="1" t="n">
        <v>45912</v>
      </c>
      <c r="E7553" s="1" t="n">
        <v>46319</v>
      </c>
      <c r="F7553" t="inlineStr">
        <is>
          <t>DALARNAS LÄN</t>
        </is>
      </c>
      <c r="G7553" t="inlineStr">
        <is>
          <t>GAGNEF</t>
        </is>
      </c>
      <c r="I7553" t="n">
        <v>1.2</v>
      </c>
      <c r="J7553" t="n">
        <v>0</v>
      </c>
      <c r="K7553" t="n">
        <v>0</v>
      </c>
      <c r="L7553" t="n">
        <v>0</v>
      </c>
      <c r="M7553" t="n">
        <v>0</v>
      </c>
      <c r="N7553" t="n">
        <v>0</v>
      </c>
      <c r="O7553" t="n">
        <v>0</v>
      </c>
      <c r="P7553" t="n">
        <v>0</v>
      </c>
      <c r="Q7553" t="n">
        <v>0</v>
      </c>
      <c r="R7553" t="n">
        <v>0</v>
      </c>
      <c r="S7553" t="n">
        <v>0</v>
      </c>
      <c r="T7553" t="n">
        <v>0</v>
      </c>
      <c r="U7553" t="n">
        <v>0</v>
      </c>
      <c r="V7553" s="2" t="inlineStr"/>
    </row>
    <row r="7554" ht="15" customHeight="1">
      <c r="A7554" t="inlineStr">
        <is>
          <t>A 5501-2026</t>
        </is>
      </c>
      <c r="B7554" t="inlineStr">
        <is>
          <t>avverkningsanmälan</t>
        </is>
      </c>
      <c r="C7554" t="inlineStr">
        <is>
          <t>Föryngringsavverkning</t>
        </is>
      </c>
      <c r="D7554" s="1" t="n">
        <v>46050</v>
      </c>
      <c r="E7554" s="1" t="n">
        <v>46319</v>
      </c>
      <c r="F7554" t="inlineStr">
        <is>
          <t>DALARNAS LÄN</t>
        </is>
      </c>
      <c r="G7554" t="inlineStr">
        <is>
          <t>FALUN</t>
        </is>
      </c>
      <c r="I7554" t="n">
        <v>1.6</v>
      </c>
      <c r="J7554" t="n">
        <v>0</v>
      </c>
      <c r="K7554" t="n">
        <v>0</v>
      </c>
      <c r="L7554" t="n">
        <v>0</v>
      </c>
      <c r="M7554" t="n">
        <v>0</v>
      </c>
      <c r="N7554" t="n">
        <v>0</v>
      </c>
      <c r="O7554" t="n">
        <v>0</v>
      </c>
      <c r="P7554" t="n">
        <v>0</v>
      </c>
      <c r="Q7554" t="n">
        <v>0</v>
      </c>
      <c r="R7554" t="n">
        <v>0</v>
      </c>
      <c r="S7554" t="n">
        <v>0</v>
      </c>
      <c r="T7554" t="n">
        <v>0</v>
      </c>
      <c r="U7554" t="n">
        <v>0</v>
      </c>
      <c r="V7554" s="2" t="inlineStr"/>
    </row>
    <row r="7555" ht="15" customHeight="1">
      <c r="A7555" t="inlineStr">
        <is>
          <t>A 15322-2025</t>
        </is>
      </c>
      <c r="B7555" t="inlineStr">
        <is>
          <t>avverkningsanmälan</t>
        </is>
      </c>
      <c r="C7555" t="inlineStr">
        <is>
          <t>Föryngringsavverkning</t>
        </is>
      </c>
      <c r="D7555" s="1" t="n">
        <v>45747</v>
      </c>
      <c r="E7555" s="1" t="n">
        <v>46319</v>
      </c>
      <c r="F7555" t="inlineStr">
        <is>
          <t>DALARNAS LÄN</t>
        </is>
      </c>
      <c r="G7555" t="inlineStr">
        <is>
          <t>SMEDJEBACKEN</t>
        </is>
      </c>
      <c r="I7555" t="n">
        <v>1.6</v>
      </c>
      <c r="J7555" t="n">
        <v>0</v>
      </c>
      <c r="K7555" t="n">
        <v>0</v>
      </c>
      <c r="L7555" t="n">
        <v>0</v>
      </c>
      <c r="M7555" t="n">
        <v>0</v>
      </c>
      <c r="N7555" t="n">
        <v>0</v>
      </c>
      <c r="O7555" t="n">
        <v>0</v>
      </c>
      <c r="P7555" t="n">
        <v>0</v>
      </c>
      <c r="Q7555" t="n">
        <v>0</v>
      </c>
      <c r="R7555" t="n">
        <v>0</v>
      </c>
      <c r="S7555" t="n">
        <v>0</v>
      </c>
      <c r="T7555" t="n">
        <v>0</v>
      </c>
      <c r="U7555" t="n">
        <v>0</v>
      </c>
      <c r="V7555" s="2" t="inlineStr"/>
    </row>
    <row r="7556" ht="15" customHeight="1">
      <c r="A7556" t="inlineStr">
        <is>
          <t>A 37435-2026</t>
        </is>
      </c>
      <c r="B7556" t="inlineStr">
        <is>
          <t>avverkningsanmälan</t>
        </is>
      </c>
      <c r="C7556" t="inlineStr">
        <is>
          <t>Föryngringsavverkning</t>
        </is>
      </c>
      <c r="D7556" s="1" t="n">
        <v>46275</v>
      </c>
      <c r="E7556" s="1" t="n">
        <v>46319</v>
      </c>
      <c r="F7556" t="inlineStr">
        <is>
          <t>DALARNAS LÄN</t>
        </is>
      </c>
      <c r="G7556" t="inlineStr">
        <is>
          <t>FALUN</t>
        </is>
      </c>
      <c r="I7556" t="n">
        <v>1.5</v>
      </c>
      <c r="J7556" t="n">
        <v>0</v>
      </c>
      <c r="K7556" t="n">
        <v>0</v>
      </c>
      <c r="L7556" t="n">
        <v>0</v>
      </c>
      <c r="M7556" t="n">
        <v>0</v>
      </c>
      <c r="N7556" t="n">
        <v>0</v>
      </c>
      <c r="O7556" t="n">
        <v>0</v>
      </c>
      <c r="P7556" t="n">
        <v>0</v>
      </c>
      <c r="Q7556" t="n">
        <v>0</v>
      </c>
      <c r="R7556" t="n">
        <v>0</v>
      </c>
      <c r="S7556" t="n">
        <v>0</v>
      </c>
      <c r="T7556" t="n">
        <v>0</v>
      </c>
      <c r="U7556" t="n">
        <v>0</v>
      </c>
      <c r="V7556" s="2" t="inlineStr"/>
    </row>
    <row r="7557" ht="15" customHeight="1">
      <c r="A7557" t="inlineStr">
        <is>
          <t>A 57055-2025</t>
        </is>
      </c>
      <c r="B7557" t="inlineStr">
        <is>
          <t>avverkningsanmälan</t>
        </is>
      </c>
      <c r="C7557" t="inlineStr">
        <is>
          <t>Föryngringsavverkning</t>
        </is>
      </c>
      <c r="D7557" s="1" t="n">
        <v>45979</v>
      </c>
      <c r="E7557" s="1" t="n">
        <v>46319</v>
      </c>
      <c r="F7557" t="inlineStr">
        <is>
          <t>DALARNAS LÄN</t>
        </is>
      </c>
      <c r="G7557" t="inlineStr">
        <is>
          <t>ORSA</t>
        </is>
      </c>
      <c r="I7557" t="n">
        <v>1.6</v>
      </c>
      <c r="J7557" t="n">
        <v>0</v>
      </c>
      <c r="K7557" t="n">
        <v>0</v>
      </c>
      <c r="L7557" t="n">
        <v>0</v>
      </c>
      <c r="M7557" t="n">
        <v>0</v>
      </c>
      <c r="N7557" t="n">
        <v>0</v>
      </c>
      <c r="O7557" t="n">
        <v>0</v>
      </c>
      <c r="P7557" t="n">
        <v>0</v>
      </c>
      <c r="Q7557" t="n">
        <v>0</v>
      </c>
      <c r="R7557" t="n">
        <v>0</v>
      </c>
      <c r="S7557" t="n">
        <v>0</v>
      </c>
      <c r="T7557" t="n">
        <v>0</v>
      </c>
      <c r="U7557" t="n">
        <v>0</v>
      </c>
      <c r="V7557" s="2" t="inlineStr"/>
    </row>
    <row r="7558" ht="15" customHeight="1">
      <c r="A7558" t="inlineStr">
        <is>
          <t>A 24903-2025</t>
        </is>
      </c>
      <c r="B7558" t="inlineStr">
        <is>
          <t>avverkningsanmälan</t>
        </is>
      </c>
      <c r="C7558" t="inlineStr">
        <is>
          <t>Föryngringsavverkning</t>
        </is>
      </c>
      <c r="D7558" s="1" t="n">
        <v>45799</v>
      </c>
      <c r="E7558" s="1" t="n">
        <v>46319</v>
      </c>
      <c r="F7558" t="inlineStr">
        <is>
          <t>DALARNAS LÄN</t>
        </is>
      </c>
      <c r="G7558" t="inlineStr">
        <is>
          <t>RÄTTVIK</t>
        </is>
      </c>
      <c r="I7558" t="n">
        <v>2.9</v>
      </c>
      <c r="J7558" t="n">
        <v>0</v>
      </c>
      <c r="K7558" t="n">
        <v>0</v>
      </c>
      <c r="L7558" t="n">
        <v>0</v>
      </c>
      <c r="M7558" t="n">
        <v>0</v>
      </c>
      <c r="N7558" t="n">
        <v>0</v>
      </c>
      <c r="O7558" t="n">
        <v>0</v>
      </c>
      <c r="P7558" t="n">
        <v>0</v>
      </c>
      <c r="Q7558" t="n">
        <v>0</v>
      </c>
      <c r="R7558" t="n">
        <v>0</v>
      </c>
      <c r="S7558" t="n">
        <v>0</v>
      </c>
      <c r="T7558" t="n">
        <v>0</v>
      </c>
      <c r="U7558" t="n">
        <v>0</v>
      </c>
      <c r="V7558" s="2" t="inlineStr"/>
    </row>
    <row r="7559" ht="15" customHeight="1">
      <c r="A7559" t="inlineStr">
        <is>
          <t>A 20633-2026</t>
        </is>
      </c>
      <c r="B7559" t="inlineStr">
        <is>
          <t>avverkningsanmälan</t>
        </is>
      </c>
      <c r="C7559" t="inlineStr">
        <is>
          <t>Föryngringsavverkning</t>
        </is>
      </c>
      <c r="D7559" s="1" t="n">
        <v>46141</v>
      </c>
      <c r="E7559" s="1" t="n">
        <v>46319</v>
      </c>
      <c r="F7559" t="inlineStr">
        <is>
          <t>DALARNAS LÄN</t>
        </is>
      </c>
      <c r="G7559" t="inlineStr">
        <is>
          <t>FALUN</t>
        </is>
      </c>
      <c r="H7559" t="inlineStr">
        <is>
          <t>Bergvik skog väst AB</t>
        </is>
      </c>
      <c r="I7559" t="n">
        <v>5</v>
      </c>
      <c r="J7559" t="n">
        <v>0</v>
      </c>
      <c r="K7559" t="n">
        <v>0</v>
      </c>
      <c r="L7559" t="n">
        <v>0</v>
      </c>
      <c r="M7559" t="n">
        <v>0</v>
      </c>
      <c r="N7559" t="n">
        <v>0</v>
      </c>
      <c r="O7559" t="n">
        <v>0</v>
      </c>
      <c r="P7559" t="n">
        <v>0</v>
      </c>
      <c r="Q7559" t="n">
        <v>0</v>
      </c>
      <c r="R7559" t="n">
        <v>0</v>
      </c>
      <c r="S7559" t="n">
        <v>0</v>
      </c>
      <c r="T7559" t="n">
        <v>0</v>
      </c>
      <c r="U7559" t="n">
        <v>0</v>
      </c>
      <c r="V7559" s="2" t="inlineStr"/>
    </row>
    <row r="7560" ht="15" customHeight="1">
      <c r="A7560" t="inlineStr">
        <is>
          <t>A 37230-2026</t>
        </is>
      </c>
      <c r="B7560" t="inlineStr">
        <is>
          <t>avverkningsanmälan</t>
        </is>
      </c>
      <c r="C7560" t="inlineStr">
        <is>
          <t>Föryngringsavverkning</t>
        </is>
      </c>
      <c r="D7560" s="1" t="n">
        <v>46274</v>
      </c>
      <c r="E7560" s="1" t="n">
        <v>46319</v>
      </c>
      <c r="F7560" t="inlineStr">
        <is>
          <t>DALARNAS LÄN</t>
        </is>
      </c>
      <c r="G7560" t="inlineStr">
        <is>
          <t>RÄTTVIK</t>
        </is>
      </c>
      <c r="H7560" t="inlineStr">
        <is>
          <t>Sveaskog</t>
        </is>
      </c>
      <c r="I7560" t="n">
        <v>7.6</v>
      </c>
      <c r="J7560" t="n">
        <v>0</v>
      </c>
      <c r="K7560" t="n">
        <v>0</v>
      </c>
      <c r="L7560" t="n">
        <v>0</v>
      </c>
      <c r="M7560" t="n">
        <v>0</v>
      </c>
      <c r="N7560" t="n">
        <v>0</v>
      </c>
      <c r="O7560" t="n">
        <v>0</v>
      </c>
      <c r="P7560" t="n">
        <v>0</v>
      </c>
      <c r="Q7560" t="n">
        <v>0</v>
      </c>
      <c r="R7560" t="n">
        <v>0</v>
      </c>
      <c r="S7560" t="n">
        <v>0</v>
      </c>
      <c r="T7560" t="n">
        <v>0</v>
      </c>
      <c r="U7560" t="n">
        <v>0</v>
      </c>
      <c r="V7560" s="2" t="inlineStr"/>
    </row>
    <row r="7561" ht="15" customHeight="1">
      <c r="A7561" t="inlineStr">
        <is>
          <t>A 20778-2026</t>
        </is>
      </c>
      <c r="B7561" t="inlineStr">
        <is>
          <t>avverkningsanmälan</t>
        </is>
      </c>
      <c r="C7561" t="inlineStr">
        <is>
          <t>Föryngringsavverkning</t>
        </is>
      </c>
      <c r="D7561" s="1" t="n">
        <v>46141</v>
      </c>
      <c r="E7561" s="1" t="n">
        <v>46319</v>
      </c>
      <c r="F7561" t="inlineStr">
        <is>
          <t>DALARNAS LÄN</t>
        </is>
      </c>
      <c r="G7561" t="inlineStr">
        <is>
          <t>LUDVIKA</t>
        </is>
      </c>
      <c r="H7561" t="inlineStr">
        <is>
          <t>Bergvik skog väst AB</t>
        </is>
      </c>
      <c r="I7561" t="n">
        <v>0.4</v>
      </c>
      <c r="J7561" t="n">
        <v>0</v>
      </c>
      <c r="K7561" t="n">
        <v>0</v>
      </c>
      <c r="L7561" t="n">
        <v>0</v>
      </c>
      <c r="M7561" t="n">
        <v>0</v>
      </c>
      <c r="N7561" t="n">
        <v>0</v>
      </c>
      <c r="O7561" t="n">
        <v>0</v>
      </c>
      <c r="P7561" t="n">
        <v>0</v>
      </c>
      <c r="Q7561" t="n">
        <v>0</v>
      </c>
      <c r="R7561" t="n">
        <v>0</v>
      </c>
      <c r="S7561" t="n">
        <v>0</v>
      </c>
      <c r="T7561" t="n">
        <v>0</v>
      </c>
      <c r="U7561" t="n">
        <v>0</v>
      </c>
      <c r="V7561" s="2" t="inlineStr"/>
    </row>
    <row r="7562" ht="15" customHeight="1">
      <c r="A7562" t="inlineStr">
        <is>
          <t>A 18666-2026</t>
        </is>
      </c>
      <c r="B7562" t="inlineStr">
        <is>
          <t>avverkningsanmälan</t>
        </is>
      </c>
      <c r="C7562" t="inlineStr">
        <is>
          <t>Föryngringsavverkning</t>
        </is>
      </c>
      <c r="D7562" s="1" t="n">
        <v>46128</v>
      </c>
      <c r="E7562" s="1" t="n">
        <v>46319</v>
      </c>
      <c r="F7562" t="inlineStr">
        <is>
          <t>DALARNAS LÄN</t>
        </is>
      </c>
      <c r="G7562" t="inlineStr">
        <is>
          <t>FALUN</t>
        </is>
      </c>
      <c r="H7562" t="inlineStr">
        <is>
          <t>Bergvik skog väst AB</t>
        </is>
      </c>
      <c r="I7562" t="n">
        <v>2</v>
      </c>
      <c r="J7562" t="n">
        <v>0</v>
      </c>
      <c r="K7562" t="n">
        <v>0</v>
      </c>
      <c r="L7562" t="n">
        <v>0</v>
      </c>
      <c r="M7562" t="n">
        <v>0</v>
      </c>
      <c r="N7562" t="n">
        <v>0</v>
      </c>
      <c r="O7562" t="n">
        <v>0</v>
      </c>
      <c r="P7562" t="n">
        <v>0</v>
      </c>
      <c r="Q7562" t="n">
        <v>0</v>
      </c>
      <c r="R7562" t="n">
        <v>0</v>
      </c>
      <c r="S7562" t="n">
        <v>0</v>
      </c>
      <c r="T7562" t="n">
        <v>0</v>
      </c>
      <c r="U7562" t="n">
        <v>0</v>
      </c>
      <c r="V7562" s="2" t="inlineStr"/>
    </row>
    <row r="7563" ht="15" customHeight="1">
      <c r="A7563" t="inlineStr">
        <is>
          <t>A 17313-2026</t>
        </is>
      </c>
      <c r="B7563" t="inlineStr">
        <is>
          <t>avverkningsanmälan</t>
        </is>
      </c>
      <c r="C7563" t="inlineStr">
        <is>
          <t>Föryngringsavverkning</t>
        </is>
      </c>
      <c r="D7563" s="1" t="n">
        <v>46119</v>
      </c>
      <c r="E7563" s="1" t="n">
        <v>46319</v>
      </c>
      <c r="F7563" t="inlineStr">
        <is>
          <t>DALARNAS LÄN</t>
        </is>
      </c>
      <c r="G7563" t="inlineStr">
        <is>
          <t>FALUN</t>
        </is>
      </c>
      <c r="I7563" t="n">
        <v>1.7</v>
      </c>
      <c r="J7563" t="n">
        <v>0</v>
      </c>
      <c r="K7563" t="n">
        <v>0</v>
      </c>
      <c r="L7563" t="n">
        <v>0</v>
      </c>
      <c r="M7563" t="n">
        <v>0</v>
      </c>
      <c r="N7563" t="n">
        <v>0</v>
      </c>
      <c r="O7563" t="n">
        <v>0</v>
      </c>
      <c r="P7563" t="n">
        <v>0</v>
      </c>
      <c r="Q7563" t="n">
        <v>0</v>
      </c>
      <c r="R7563" t="n">
        <v>0</v>
      </c>
      <c r="S7563" t="n">
        <v>0</v>
      </c>
      <c r="T7563" t="n">
        <v>0</v>
      </c>
      <c r="U7563" t="n">
        <v>0</v>
      </c>
      <c r="V7563" s="2" t="inlineStr"/>
    </row>
    <row r="7564" ht="15" customHeight="1">
      <c r="A7564" t="inlineStr">
        <is>
          <t>A 12740-2026</t>
        </is>
      </c>
      <c r="B7564" t="inlineStr">
        <is>
          <t>avverkningsanmälan</t>
        </is>
      </c>
      <c r="C7564" t="inlineStr">
        <is>
          <t>Föryngringsavverkning</t>
        </is>
      </c>
      <c r="D7564" s="1" t="n">
        <v>46091</v>
      </c>
      <c r="E7564" s="1" t="n">
        <v>46319</v>
      </c>
      <c r="F7564" t="inlineStr">
        <is>
          <t>DALARNAS LÄN</t>
        </is>
      </c>
      <c r="G7564" t="inlineStr">
        <is>
          <t>FALUN</t>
        </is>
      </c>
      <c r="I7564" t="n">
        <v>7.9</v>
      </c>
      <c r="J7564" t="n">
        <v>0</v>
      </c>
      <c r="K7564" t="n">
        <v>0</v>
      </c>
      <c r="L7564" t="n">
        <v>0</v>
      </c>
      <c r="M7564" t="n">
        <v>0</v>
      </c>
      <c r="N7564" t="n">
        <v>0</v>
      </c>
      <c r="O7564" t="n">
        <v>0</v>
      </c>
      <c r="P7564" t="n">
        <v>0</v>
      </c>
      <c r="Q7564" t="n">
        <v>0</v>
      </c>
      <c r="R7564" t="n">
        <v>0</v>
      </c>
      <c r="S7564" t="n">
        <v>0</v>
      </c>
      <c r="T7564" t="n">
        <v>0</v>
      </c>
      <c r="U7564" t="n">
        <v>0</v>
      </c>
      <c r="V7564" s="2" t="inlineStr"/>
    </row>
    <row r="7565" ht="15" customHeight="1">
      <c r="A7565" t="inlineStr">
        <is>
          <t>A 45163-2024</t>
        </is>
      </c>
      <c r="B7565" t="inlineStr">
        <is>
          <t>avverkningsanmälan</t>
        </is>
      </c>
      <c r="C7565" t="inlineStr">
        <is>
          <t>Avverkning för att bevara och utveckla /försöksver</t>
        </is>
      </c>
      <c r="D7565" s="1" t="n">
        <v>45575</v>
      </c>
      <c r="E7565" s="1" t="n">
        <v>46319</v>
      </c>
      <c r="F7565" t="inlineStr">
        <is>
          <t>DALARNAS LÄN</t>
        </is>
      </c>
      <c r="G7565" t="inlineStr">
        <is>
          <t>MALUNG-SÄLEN</t>
        </is>
      </c>
      <c r="I7565" t="n">
        <v>0.7</v>
      </c>
      <c r="J7565" t="n">
        <v>0</v>
      </c>
      <c r="K7565" t="n">
        <v>0</v>
      </c>
      <c r="L7565" t="n">
        <v>0</v>
      </c>
      <c r="M7565" t="n">
        <v>0</v>
      </c>
      <c r="N7565" t="n">
        <v>0</v>
      </c>
      <c r="O7565" t="n">
        <v>0</v>
      </c>
      <c r="P7565" t="n">
        <v>0</v>
      </c>
      <c r="Q7565" t="n">
        <v>0</v>
      </c>
      <c r="R7565" t="n">
        <v>0</v>
      </c>
      <c r="S7565" t="n">
        <v>0</v>
      </c>
      <c r="T7565" t="n">
        <v>0</v>
      </c>
      <c r="U7565" t="n">
        <v>0</v>
      </c>
      <c r="V7565" s="2" t="inlineStr"/>
    </row>
    <row r="7566" ht="15" customHeight="1">
      <c r="A7566" t="inlineStr">
        <is>
          <t>A 61502-2022</t>
        </is>
      </c>
      <c r="B7566" t="inlineStr">
        <is>
          <t>avverkningsanmälan</t>
        </is>
      </c>
      <c r="C7566" t="inlineStr">
        <is>
          <t>Föryngringsavverkning</t>
        </is>
      </c>
      <c r="D7566" s="1" t="n">
        <v>44916</v>
      </c>
      <c r="E7566" s="1" t="n">
        <v>46319</v>
      </c>
      <c r="F7566" t="inlineStr">
        <is>
          <t>DALARNAS LÄN</t>
        </is>
      </c>
      <c r="G7566" t="inlineStr">
        <is>
          <t>MALUNG-SÄLEN</t>
        </is>
      </c>
      <c r="I7566" t="n">
        <v>1</v>
      </c>
      <c r="J7566" t="n">
        <v>0</v>
      </c>
      <c r="K7566" t="n">
        <v>0</v>
      </c>
      <c r="L7566" t="n">
        <v>0</v>
      </c>
      <c r="M7566" t="n">
        <v>0</v>
      </c>
      <c r="N7566" t="n">
        <v>0</v>
      </c>
      <c r="O7566" t="n">
        <v>0</v>
      </c>
      <c r="P7566" t="n">
        <v>0</v>
      </c>
      <c r="Q7566" t="n">
        <v>0</v>
      </c>
      <c r="R7566" t="n">
        <v>0</v>
      </c>
      <c r="S7566" t="n">
        <v>0</v>
      </c>
      <c r="T7566" t="n">
        <v>0</v>
      </c>
      <c r="U7566" t="n">
        <v>0</v>
      </c>
      <c r="V7566" s="2" t="inlineStr"/>
    </row>
    <row r="7567" ht="15" customHeight="1">
      <c r="A7567" t="inlineStr">
        <is>
          <t>A 9141-2023</t>
        </is>
      </c>
      <c r="B7567" t="inlineStr">
        <is>
          <t>avverkningsanmälan</t>
        </is>
      </c>
      <c r="C7567" t="inlineStr">
        <is>
          <t>Föryngringsavverkning</t>
        </is>
      </c>
      <c r="D7567" s="1" t="n">
        <v>44974</v>
      </c>
      <c r="E7567" s="1" t="n">
        <v>46319</v>
      </c>
      <c r="F7567" t="inlineStr">
        <is>
          <t>DALARNAS LÄN</t>
        </is>
      </c>
      <c r="G7567" t="inlineStr">
        <is>
          <t>LEKSAND</t>
        </is>
      </c>
      <c r="I7567" t="n">
        <v>1.9</v>
      </c>
      <c r="J7567" t="n">
        <v>0</v>
      </c>
      <c r="K7567" t="n">
        <v>0</v>
      </c>
      <c r="L7567" t="n">
        <v>0</v>
      </c>
      <c r="M7567" t="n">
        <v>0</v>
      </c>
      <c r="N7567" t="n">
        <v>0</v>
      </c>
      <c r="O7567" t="n">
        <v>0</v>
      </c>
      <c r="P7567" t="n">
        <v>0</v>
      </c>
      <c r="Q7567" t="n">
        <v>0</v>
      </c>
      <c r="R7567" t="n">
        <v>0</v>
      </c>
      <c r="S7567" t="n">
        <v>0</v>
      </c>
      <c r="T7567" t="n">
        <v>0</v>
      </c>
      <c r="U7567" t="n">
        <v>0</v>
      </c>
      <c r="V7567" s="2" t="inlineStr"/>
    </row>
    <row r="7568" ht="15" customHeight="1">
      <c r="A7568" t="inlineStr">
        <is>
          <t>A 5762-2026</t>
        </is>
      </c>
      <c r="B7568" t="inlineStr">
        <is>
          <t>avverkningsanmälan</t>
        </is>
      </c>
      <c r="C7568" t="inlineStr">
        <is>
          <t>Föryngringsavverkning</t>
        </is>
      </c>
      <c r="D7568" s="1" t="n">
        <v>46051</v>
      </c>
      <c r="E7568" s="1" t="n">
        <v>46319</v>
      </c>
      <c r="F7568" t="inlineStr">
        <is>
          <t>DALARNAS LÄN</t>
        </is>
      </c>
      <c r="G7568" t="inlineStr">
        <is>
          <t>FALUN</t>
        </is>
      </c>
      <c r="I7568" t="n">
        <v>7</v>
      </c>
      <c r="J7568" t="n">
        <v>0</v>
      </c>
      <c r="K7568" t="n">
        <v>0</v>
      </c>
      <c r="L7568" t="n">
        <v>0</v>
      </c>
      <c r="M7568" t="n">
        <v>0</v>
      </c>
      <c r="N7568" t="n">
        <v>0</v>
      </c>
      <c r="O7568" t="n">
        <v>0</v>
      </c>
      <c r="P7568" t="n">
        <v>0</v>
      </c>
      <c r="Q7568" t="n">
        <v>0</v>
      </c>
      <c r="R7568" t="n">
        <v>0</v>
      </c>
      <c r="S7568" t="n">
        <v>0</v>
      </c>
      <c r="T7568" t="n">
        <v>0</v>
      </c>
      <c r="U7568" t="n">
        <v>0</v>
      </c>
      <c r="V7568" s="2" t="inlineStr"/>
    </row>
    <row r="7569" ht="15" customHeight="1">
      <c r="A7569" t="inlineStr">
        <is>
          <t>A 15330-2026</t>
        </is>
      </c>
      <c r="B7569" t="inlineStr">
        <is>
          <t>avverkningsanmälan</t>
        </is>
      </c>
      <c r="C7569" t="inlineStr">
        <is>
          <t>Föryngringsavverkning</t>
        </is>
      </c>
      <c r="D7569" s="1" t="n">
        <v>46105</v>
      </c>
      <c r="E7569" s="1" t="n">
        <v>46319</v>
      </c>
      <c r="F7569" t="inlineStr">
        <is>
          <t>DALARNAS LÄN</t>
        </is>
      </c>
      <c r="G7569" t="inlineStr">
        <is>
          <t>FALUN</t>
        </is>
      </c>
      <c r="H7569" t="inlineStr">
        <is>
          <t>Bergvik skog väst AB</t>
        </is>
      </c>
      <c r="I7569" t="n">
        <v>5.3</v>
      </c>
      <c r="J7569" t="n">
        <v>0</v>
      </c>
      <c r="K7569" t="n">
        <v>0</v>
      </c>
      <c r="L7569" t="n">
        <v>0</v>
      </c>
      <c r="M7569" t="n">
        <v>0</v>
      </c>
      <c r="N7569" t="n">
        <v>0</v>
      </c>
      <c r="O7569" t="n">
        <v>0</v>
      </c>
      <c r="P7569" t="n">
        <v>0</v>
      </c>
      <c r="Q7569" t="n">
        <v>0</v>
      </c>
      <c r="R7569" t="n">
        <v>0</v>
      </c>
      <c r="S7569" t="n">
        <v>0</v>
      </c>
      <c r="T7569" t="n">
        <v>0</v>
      </c>
      <c r="U7569" t="n">
        <v>0</v>
      </c>
      <c r="V7569" s="2" t="inlineStr"/>
    </row>
    <row r="7570" ht="15" customHeight="1">
      <c r="A7570" t="inlineStr">
        <is>
          <t>A 6667-2026</t>
        </is>
      </c>
      <c r="B7570" t="inlineStr">
        <is>
          <t>avverkningsanmälan</t>
        </is>
      </c>
      <c r="C7570" t="inlineStr">
        <is>
          <t>Föryngringsavverkning</t>
        </is>
      </c>
      <c r="D7570" s="1" t="n">
        <v>46056</v>
      </c>
      <c r="E7570" s="1" t="n">
        <v>46319</v>
      </c>
      <c r="F7570" t="inlineStr">
        <is>
          <t>DALARNAS LÄN</t>
        </is>
      </c>
      <c r="G7570" t="inlineStr">
        <is>
          <t>FALUN</t>
        </is>
      </c>
      <c r="I7570" t="n">
        <v>1.9</v>
      </c>
      <c r="J7570" t="n">
        <v>0</v>
      </c>
      <c r="K7570" t="n">
        <v>0</v>
      </c>
      <c r="L7570" t="n">
        <v>0</v>
      </c>
      <c r="M7570" t="n">
        <v>0</v>
      </c>
      <c r="N7570" t="n">
        <v>0</v>
      </c>
      <c r="O7570" t="n">
        <v>0</v>
      </c>
      <c r="P7570" t="n">
        <v>0</v>
      </c>
      <c r="Q7570" t="n">
        <v>0</v>
      </c>
      <c r="R7570" t="n">
        <v>0</v>
      </c>
      <c r="S7570" t="n">
        <v>0</v>
      </c>
      <c r="T7570" t="n">
        <v>0</v>
      </c>
      <c r="U7570" t="n">
        <v>0</v>
      </c>
      <c r="V7570" s="2" t="inlineStr"/>
    </row>
    <row r="7571" ht="15" customHeight="1">
      <c r="A7571" t="inlineStr">
        <is>
          <t>A 7851-2026</t>
        </is>
      </c>
      <c r="B7571" t="inlineStr">
        <is>
          <t>avverkningsanmälan</t>
        </is>
      </c>
      <c r="C7571" t="inlineStr">
        <is>
          <t>Föryngringsavverkning</t>
        </is>
      </c>
      <c r="D7571" s="1" t="n">
        <v>46062</v>
      </c>
      <c r="E7571" s="1" t="n">
        <v>46319</v>
      </c>
      <c r="F7571" t="inlineStr">
        <is>
          <t>DALARNAS LÄN</t>
        </is>
      </c>
      <c r="G7571" t="inlineStr">
        <is>
          <t>RÄTTVIK</t>
        </is>
      </c>
      <c r="I7571" t="n">
        <v>1.1</v>
      </c>
      <c r="J7571" t="n">
        <v>0</v>
      </c>
      <c r="K7571" t="n">
        <v>0</v>
      </c>
      <c r="L7571" t="n">
        <v>0</v>
      </c>
      <c r="M7571" t="n">
        <v>0</v>
      </c>
      <c r="N7571" t="n">
        <v>0</v>
      </c>
      <c r="O7571" t="n">
        <v>0</v>
      </c>
      <c r="P7571" t="n">
        <v>0</v>
      </c>
      <c r="Q7571" t="n">
        <v>0</v>
      </c>
      <c r="R7571" t="n">
        <v>0</v>
      </c>
      <c r="S7571" t="n">
        <v>0</v>
      </c>
      <c r="T7571" t="n">
        <v>0</v>
      </c>
      <c r="U7571" t="n">
        <v>0</v>
      </c>
      <c r="V7571" s="2" t="inlineStr"/>
    </row>
    <row r="7572" ht="15" customHeight="1">
      <c r="A7572" t="inlineStr">
        <is>
          <t>A 44200-2026</t>
        </is>
      </c>
      <c r="B7572" t="inlineStr">
        <is>
          <t>avverkningsanmälan</t>
        </is>
      </c>
      <c r="C7572" t="inlineStr">
        <is>
          <t>Föryngringsavverkning</t>
        </is>
      </c>
      <c r="D7572" s="1" t="n">
        <v>46318</v>
      </c>
      <c r="E7572" s="1" t="n">
        <v>46319</v>
      </c>
      <c r="F7572" t="inlineStr">
        <is>
          <t>DALARNAS LÄN</t>
        </is>
      </c>
      <c r="G7572" t="inlineStr">
        <is>
          <t>FALUN</t>
        </is>
      </c>
      <c r="I7572" t="n">
        <v>5.1</v>
      </c>
      <c r="J7572" t="n">
        <v>0</v>
      </c>
      <c r="K7572" t="n">
        <v>0</v>
      </c>
      <c r="L7572" t="n">
        <v>0</v>
      </c>
      <c r="M7572" t="n">
        <v>0</v>
      </c>
      <c r="N7572" t="n">
        <v>0</v>
      </c>
      <c r="O7572" t="n">
        <v>0</v>
      </c>
      <c r="P7572" t="n">
        <v>0</v>
      </c>
      <c r="Q7572" t="n">
        <v>0</v>
      </c>
      <c r="R7572" t="n">
        <v>0</v>
      </c>
      <c r="S7572" t="n">
        <v>0</v>
      </c>
      <c r="T7572" t="n">
        <v>0</v>
      </c>
      <c r="U7572" t="n">
        <v>0</v>
      </c>
      <c r="V7572" s="2" t="inlineStr"/>
    </row>
    <row r="7573" ht="15" customHeight="1">
      <c r="A7573" t="inlineStr">
        <is>
          <t>A 4129-2026</t>
        </is>
      </c>
      <c r="B7573" t="inlineStr">
        <is>
          <t>avverkningsanmälan</t>
        </is>
      </c>
      <c r="C7573" t="inlineStr">
        <is>
          <t>Föryngringsavverkning</t>
        </is>
      </c>
      <c r="D7573" s="1" t="n">
        <v>46044</v>
      </c>
      <c r="E7573" s="1" t="n">
        <v>46319</v>
      </c>
      <c r="F7573" t="inlineStr">
        <is>
          <t>DALARNAS LÄN</t>
        </is>
      </c>
      <c r="G7573" t="inlineStr">
        <is>
          <t>BORLÄNGE</t>
        </is>
      </c>
      <c r="H7573" t="inlineStr">
        <is>
          <t>Bergvik skog väst AB</t>
        </is>
      </c>
      <c r="I7573" t="n">
        <v>23.9</v>
      </c>
      <c r="J7573" t="n">
        <v>0</v>
      </c>
      <c r="K7573" t="n">
        <v>0</v>
      </c>
      <c r="L7573" t="n">
        <v>0</v>
      </c>
      <c r="M7573" t="n">
        <v>0</v>
      </c>
      <c r="N7573" t="n">
        <v>0</v>
      </c>
      <c r="O7573" t="n">
        <v>0</v>
      </c>
      <c r="P7573" t="n">
        <v>0</v>
      </c>
      <c r="Q7573" t="n">
        <v>0</v>
      </c>
      <c r="R7573" t="n">
        <v>0</v>
      </c>
      <c r="S7573" t="n">
        <v>0</v>
      </c>
      <c r="T7573" t="n">
        <v>0</v>
      </c>
      <c r="U7573" t="n">
        <v>0</v>
      </c>
      <c r="V7573" s="2" t="inlineStr"/>
    </row>
    <row r="7574" ht="15" customHeight="1">
      <c r="A7574" t="inlineStr">
        <is>
          <t>A 15087-2026</t>
        </is>
      </c>
      <c r="B7574" t="inlineStr">
        <is>
          <t>avverkningsanmälan</t>
        </is>
      </c>
      <c r="C7574" t="inlineStr">
        <is>
          <t>Föryngringsavverkning</t>
        </is>
      </c>
      <c r="D7574" s="1" t="n">
        <v>46105</v>
      </c>
      <c r="E7574" s="1" t="n">
        <v>46319</v>
      </c>
      <c r="F7574" t="inlineStr">
        <is>
          <t>DALARNAS LÄN</t>
        </is>
      </c>
      <c r="G7574" t="inlineStr">
        <is>
          <t>RÄTTVIK</t>
        </is>
      </c>
      <c r="H7574" t="inlineStr">
        <is>
          <t>Allmännings- och besparingsskogar</t>
        </is>
      </c>
      <c r="I7574" t="n">
        <v>42.9</v>
      </c>
      <c r="J7574" t="n">
        <v>0</v>
      </c>
      <c r="K7574" t="n">
        <v>0</v>
      </c>
      <c r="L7574" t="n">
        <v>0</v>
      </c>
      <c r="M7574" t="n">
        <v>0</v>
      </c>
      <c r="N7574" t="n">
        <v>0</v>
      </c>
      <c r="O7574" t="n">
        <v>0</v>
      </c>
      <c r="P7574" t="n">
        <v>0</v>
      </c>
      <c r="Q7574" t="n">
        <v>0</v>
      </c>
      <c r="R7574" t="n">
        <v>0</v>
      </c>
      <c r="S7574" t="n">
        <v>0</v>
      </c>
      <c r="T7574" t="n">
        <v>0</v>
      </c>
      <c r="U7574" t="n">
        <v>0</v>
      </c>
      <c r="V7574" s="2" t="inlineStr"/>
    </row>
    <row r="7575" ht="15" customHeight="1">
      <c r="A7575" t="inlineStr">
        <is>
          <t>A 20594-2025</t>
        </is>
      </c>
      <c r="B7575" t="inlineStr">
        <is>
          <t>avverkningsanmälan</t>
        </is>
      </c>
      <c r="C7575" t="inlineStr">
        <is>
          <t>Föryngringsavverkning</t>
        </is>
      </c>
      <c r="D7575" s="1" t="n">
        <v>45775</v>
      </c>
      <c r="E7575" s="1" t="n">
        <v>46319</v>
      </c>
      <c r="F7575" t="inlineStr">
        <is>
          <t>DALARNAS LÄN</t>
        </is>
      </c>
      <c r="G7575" t="inlineStr">
        <is>
          <t>MORA</t>
        </is>
      </c>
      <c r="I7575" t="n">
        <v>8.199999999999999</v>
      </c>
      <c r="J7575" t="n">
        <v>0</v>
      </c>
      <c r="K7575" t="n">
        <v>0</v>
      </c>
      <c r="L7575" t="n">
        <v>0</v>
      </c>
      <c r="M7575" t="n">
        <v>0</v>
      </c>
      <c r="N7575" t="n">
        <v>0</v>
      </c>
      <c r="O7575" t="n">
        <v>0</v>
      </c>
      <c r="P7575" t="n">
        <v>0</v>
      </c>
      <c r="Q7575" t="n">
        <v>0</v>
      </c>
      <c r="R7575" t="n">
        <v>0</v>
      </c>
      <c r="S7575" t="n">
        <v>0</v>
      </c>
      <c r="T7575" t="n">
        <v>0</v>
      </c>
      <c r="U7575" t="n">
        <v>0</v>
      </c>
      <c r="V7575" s="2" t="inlineStr"/>
    </row>
    <row r="7576" ht="15" customHeight="1">
      <c r="A7576" t="inlineStr">
        <is>
          <t>A 47201-2025</t>
        </is>
      </c>
      <c r="B7576" t="inlineStr">
        <is>
          <t>avverkningsanmälan</t>
        </is>
      </c>
      <c r="C7576" t="inlineStr">
        <is>
          <t>Föryngringsavverkning</t>
        </is>
      </c>
      <c r="D7576" s="1" t="n">
        <v>45930</v>
      </c>
      <c r="E7576" s="1" t="n">
        <v>46319</v>
      </c>
      <c r="F7576" t="inlineStr">
        <is>
          <t>DALARNAS LÄN</t>
        </is>
      </c>
      <c r="G7576" t="inlineStr">
        <is>
          <t>RÄTTVIK</t>
        </is>
      </c>
      <c r="I7576" t="n">
        <v>1.1</v>
      </c>
      <c r="J7576" t="n">
        <v>0</v>
      </c>
      <c r="K7576" t="n">
        <v>0</v>
      </c>
      <c r="L7576" t="n">
        <v>0</v>
      </c>
      <c r="M7576" t="n">
        <v>0</v>
      </c>
      <c r="N7576" t="n">
        <v>0</v>
      </c>
      <c r="O7576" t="n">
        <v>0</v>
      </c>
      <c r="P7576" t="n">
        <v>0</v>
      </c>
      <c r="Q7576" t="n">
        <v>0</v>
      </c>
      <c r="R7576" t="n">
        <v>0</v>
      </c>
      <c r="S7576" t="n">
        <v>0</v>
      </c>
      <c r="T7576" t="n">
        <v>0</v>
      </c>
      <c r="U7576" t="n">
        <v>0</v>
      </c>
      <c r="V7576" s="2" t="inlineStr"/>
    </row>
    <row r="7577" ht="15" customHeight="1">
      <c r="A7577" t="inlineStr">
        <is>
          <t>A 10462-2026</t>
        </is>
      </c>
      <c r="B7577" t="inlineStr">
        <is>
          <t>avverkningsanmälan</t>
        </is>
      </c>
      <c r="C7577" t="inlineStr">
        <is>
          <t>Föryngringsavverkning</t>
        </is>
      </c>
      <c r="D7577" s="1" t="n">
        <v>46077</v>
      </c>
      <c r="E7577" s="1" t="n">
        <v>46319</v>
      </c>
      <c r="F7577" t="inlineStr">
        <is>
          <t>DALARNAS LÄN</t>
        </is>
      </c>
      <c r="G7577" t="inlineStr">
        <is>
          <t>FALUN</t>
        </is>
      </c>
      <c r="I7577" t="n">
        <v>2.3</v>
      </c>
      <c r="J7577" t="n">
        <v>0</v>
      </c>
      <c r="K7577" t="n">
        <v>0</v>
      </c>
      <c r="L7577" t="n">
        <v>0</v>
      </c>
      <c r="M7577" t="n">
        <v>0</v>
      </c>
      <c r="N7577" t="n">
        <v>0</v>
      </c>
      <c r="O7577" t="n">
        <v>0</v>
      </c>
      <c r="P7577" t="n">
        <v>0</v>
      </c>
      <c r="Q7577" t="n">
        <v>0</v>
      </c>
      <c r="R7577" t="n">
        <v>0</v>
      </c>
      <c r="S7577" t="n">
        <v>0</v>
      </c>
      <c r="T7577" t="n">
        <v>0</v>
      </c>
      <c r="U7577" t="n">
        <v>0</v>
      </c>
      <c r="V7577" s="2" t="inlineStr"/>
    </row>
    <row r="7578" ht="15" customHeight="1">
      <c r="A7578" t="inlineStr">
        <is>
          <t>A 331-2026</t>
        </is>
      </c>
      <c r="B7578" t="inlineStr">
        <is>
          <t>avverkningsanmälan</t>
        </is>
      </c>
      <c r="C7578" t="inlineStr">
        <is>
          <t>Föryngringsavverkning</t>
        </is>
      </c>
      <c r="D7578" s="1" t="n">
        <v>46027</v>
      </c>
      <c r="E7578" s="1" t="n">
        <v>46319</v>
      </c>
      <c r="F7578" t="inlineStr">
        <is>
          <t>DALARNAS LÄN</t>
        </is>
      </c>
      <c r="G7578" t="inlineStr">
        <is>
          <t>FALUN</t>
        </is>
      </c>
      <c r="I7578" t="n">
        <v>1.2</v>
      </c>
      <c r="J7578" t="n">
        <v>0</v>
      </c>
      <c r="K7578" t="n">
        <v>0</v>
      </c>
      <c r="L7578" t="n">
        <v>0</v>
      </c>
      <c r="M7578" t="n">
        <v>0</v>
      </c>
      <c r="N7578" t="n">
        <v>0</v>
      </c>
      <c r="O7578" t="n">
        <v>0</v>
      </c>
      <c r="P7578" t="n">
        <v>0</v>
      </c>
      <c r="Q7578" t="n">
        <v>0</v>
      </c>
      <c r="R7578" t="n">
        <v>0</v>
      </c>
      <c r="S7578" t="n">
        <v>0</v>
      </c>
      <c r="T7578" t="n">
        <v>0</v>
      </c>
      <c r="U7578" t="n">
        <v>0</v>
      </c>
      <c r="V7578" s="2" t="inlineStr"/>
    </row>
    <row r="7579" ht="15" customHeight="1">
      <c r="A7579" t="inlineStr">
        <is>
          <t>A 3100-2026</t>
        </is>
      </c>
      <c r="B7579" t="inlineStr">
        <is>
          <t>avverkningsanmälan</t>
        </is>
      </c>
      <c r="C7579" t="inlineStr">
        <is>
          <t>Föryngringsavverkning</t>
        </is>
      </c>
      <c r="D7579" s="1" t="n">
        <v>46041</v>
      </c>
      <c r="E7579" s="1" t="n">
        <v>46319</v>
      </c>
      <c r="F7579" t="inlineStr">
        <is>
          <t>DALARNAS LÄN</t>
        </is>
      </c>
      <c r="G7579" t="inlineStr">
        <is>
          <t>FALUN</t>
        </is>
      </c>
      <c r="I7579" t="n">
        <v>2.6</v>
      </c>
      <c r="J7579" t="n">
        <v>0</v>
      </c>
      <c r="K7579" t="n">
        <v>0</v>
      </c>
      <c r="L7579" t="n">
        <v>0</v>
      </c>
      <c r="M7579" t="n">
        <v>0</v>
      </c>
      <c r="N7579" t="n">
        <v>0</v>
      </c>
      <c r="O7579" t="n">
        <v>0</v>
      </c>
      <c r="P7579" t="n">
        <v>0</v>
      </c>
      <c r="Q7579" t="n">
        <v>0</v>
      </c>
      <c r="R7579" t="n">
        <v>0</v>
      </c>
      <c r="S7579" t="n">
        <v>0</v>
      </c>
      <c r="T7579" t="n">
        <v>0</v>
      </c>
      <c r="U7579" t="n">
        <v>0</v>
      </c>
      <c r="V7579" s="2" t="inlineStr"/>
    </row>
    <row r="7580" ht="15" customHeight="1">
      <c r="A7580" t="inlineStr">
        <is>
          <t>A 20702-2026</t>
        </is>
      </c>
      <c r="B7580" t="inlineStr">
        <is>
          <t>avverkningsanmälan</t>
        </is>
      </c>
      <c r="C7580" t="inlineStr">
        <is>
          <t>Föryngringsavverkning</t>
        </is>
      </c>
      <c r="D7580" s="1" t="n">
        <v>46141</v>
      </c>
      <c r="E7580" s="1" t="n">
        <v>46319</v>
      </c>
      <c r="F7580" t="inlineStr">
        <is>
          <t>DALARNAS LÄN</t>
        </is>
      </c>
      <c r="G7580" t="inlineStr">
        <is>
          <t>RÄTTVIK</t>
        </is>
      </c>
      <c r="H7580" t="inlineStr">
        <is>
          <t>Bergvik skog väst AB</t>
        </is>
      </c>
      <c r="I7580" t="n">
        <v>0.4</v>
      </c>
      <c r="J7580" t="n">
        <v>0</v>
      </c>
      <c r="K7580" t="n">
        <v>0</v>
      </c>
      <c r="L7580" t="n">
        <v>0</v>
      </c>
      <c r="M7580" t="n">
        <v>0</v>
      </c>
      <c r="N7580" t="n">
        <v>0</v>
      </c>
      <c r="O7580" t="n">
        <v>0</v>
      </c>
      <c r="P7580" t="n">
        <v>0</v>
      </c>
      <c r="Q7580" t="n">
        <v>0</v>
      </c>
      <c r="R7580" t="n">
        <v>0</v>
      </c>
      <c r="S7580" t="n">
        <v>0</v>
      </c>
      <c r="T7580" t="n">
        <v>0</v>
      </c>
      <c r="U7580" t="n">
        <v>0</v>
      </c>
      <c r="V7580" s="2" t="inlineStr"/>
    </row>
    <row r="7581" ht="15" customHeight="1">
      <c r="A7581" t="inlineStr">
        <is>
          <t>A 20707-2026</t>
        </is>
      </c>
      <c r="B7581" t="inlineStr">
        <is>
          <t>avverkningsanmälan</t>
        </is>
      </c>
      <c r="C7581" t="inlineStr">
        <is>
          <t>Föryngringsavverkning</t>
        </is>
      </c>
      <c r="D7581" s="1" t="n">
        <v>46141</v>
      </c>
      <c r="E7581" s="1" t="n">
        <v>46319</v>
      </c>
      <c r="F7581" t="inlineStr">
        <is>
          <t>DALARNAS LÄN</t>
        </is>
      </c>
      <c r="G7581" t="inlineStr">
        <is>
          <t>SMEDJEBACKEN</t>
        </is>
      </c>
      <c r="I7581" t="n">
        <v>0.9</v>
      </c>
      <c r="J7581" t="n">
        <v>0</v>
      </c>
      <c r="K7581" t="n">
        <v>0</v>
      </c>
      <c r="L7581" t="n">
        <v>0</v>
      </c>
      <c r="M7581" t="n">
        <v>0</v>
      </c>
      <c r="N7581" t="n">
        <v>0</v>
      </c>
      <c r="O7581" t="n">
        <v>0</v>
      </c>
      <c r="P7581" t="n">
        <v>0</v>
      </c>
      <c r="Q7581" t="n">
        <v>0</v>
      </c>
      <c r="R7581" t="n">
        <v>0</v>
      </c>
      <c r="S7581" t="n">
        <v>0</v>
      </c>
      <c r="T7581" t="n">
        <v>0</v>
      </c>
      <c r="U7581" t="n">
        <v>0</v>
      </c>
      <c r="V7581" s="2" t="inlineStr"/>
    </row>
    <row r="7582" ht="15" customHeight="1">
      <c r="A7582" t="inlineStr">
        <is>
          <t>A 3816-2025</t>
        </is>
      </c>
      <c r="B7582" t="inlineStr">
        <is>
          <t>avverkningsanmälan</t>
        </is>
      </c>
      <c r="C7582" t="inlineStr">
        <is>
          <t>Föryngringsavverkning</t>
        </is>
      </c>
      <c r="D7582" s="1" t="n">
        <v>45681</v>
      </c>
      <c r="E7582" s="1" t="n">
        <v>46319</v>
      </c>
      <c r="F7582" t="inlineStr">
        <is>
          <t>DALARNAS LÄN</t>
        </is>
      </c>
      <c r="G7582" t="inlineStr">
        <is>
          <t>GAGNEF</t>
        </is>
      </c>
      <c r="I7582" t="n">
        <v>6.1</v>
      </c>
      <c r="J7582" t="n">
        <v>0</v>
      </c>
      <c r="K7582" t="n">
        <v>0</v>
      </c>
      <c r="L7582" t="n">
        <v>0</v>
      </c>
      <c r="M7582" t="n">
        <v>0</v>
      </c>
      <c r="N7582" t="n">
        <v>0</v>
      </c>
      <c r="O7582" t="n">
        <v>0</v>
      </c>
      <c r="P7582" t="n">
        <v>0</v>
      </c>
      <c r="Q7582" t="n">
        <v>0</v>
      </c>
      <c r="R7582" t="n">
        <v>0</v>
      </c>
      <c r="S7582" t="n">
        <v>0</v>
      </c>
      <c r="T7582" t="n">
        <v>0</v>
      </c>
      <c r="U7582" t="n">
        <v>0</v>
      </c>
      <c r="V7582" s="2" t="inlineStr"/>
    </row>
    <row r="7583" ht="15" customHeight="1">
      <c r="A7583" t="inlineStr">
        <is>
          <t>A 1628-2026</t>
        </is>
      </c>
      <c r="B7583" t="inlineStr">
        <is>
          <t>avverkningsanmälan</t>
        </is>
      </c>
      <c r="C7583" t="inlineStr">
        <is>
          <t>Föryngringsavverkning</t>
        </is>
      </c>
      <c r="D7583" s="1" t="n">
        <v>46034</v>
      </c>
      <c r="E7583" s="1" t="n">
        <v>46319</v>
      </c>
      <c r="F7583" t="inlineStr">
        <is>
          <t>DALARNAS LÄN</t>
        </is>
      </c>
      <c r="G7583" t="inlineStr">
        <is>
          <t>FALUN</t>
        </is>
      </c>
      <c r="I7583" t="n">
        <v>11.6</v>
      </c>
      <c r="J7583" t="n">
        <v>0</v>
      </c>
      <c r="K7583" t="n">
        <v>0</v>
      </c>
      <c r="L7583" t="n">
        <v>0</v>
      </c>
      <c r="M7583" t="n">
        <v>0</v>
      </c>
      <c r="N7583" t="n">
        <v>0</v>
      </c>
      <c r="O7583" t="n">
        <v>0</v>
      </c>
      <c r="P7583" t="n">
        <v>0</v>
      </c>
      <c r="Q7583" t="n">
        <v>0</v>
      </c>
      <c r="R7583" t="n">
        <v>0</v>
      </c>
      <c r="S7583" t="n">
        <v>0</v>
      </c>
      <c r="T7583" t="n">
        <v>0</v>
      </c>
      <c r="U7583" t="n">
        <v>0</v>
      </c>
      <c r="V7583" s="2" t="inlineStr"/>
    </row>
    <row r="7584" ht="15" customHeight="1">
      <c r="A7584" t="inlineStr">
        <is>
          <t>A 20831-2026</t>
        </is>
      </c>
      <c r="B7584" t="inlineStr">
        <is>
          <t>avverkningsanmälan</t>
        </is>
      </c>
      <c r="C7584" t="inlineStr">
        <is>
          <t>Föryngringsavverkning</t>
        </is>
      </c>
      <c r="D7584" s="1" t="n">
        <v>46142</v>
      </c>
      <c r="E7584" s="1" t="n">
        <v>46319</v>
      </c>
      <c r="F7584" t="inlineStr">
        <is>
          <t>DALARNAS LÄN</t>
        </is>
      </c>
      <c r="G7584" t="inlineStr">
        <is>
          <t>FALUN</t>
        </is>
      </c>
      <c r="I7584" t="n">
        <v>1.7</v>
      </c>
      <c r="J7584" t="n">
        <v>0</v>
      </c>
      <c r="K7584" t="n">
        <v>0</v>
      </c>
      <c r="L7584" t="n">
        <v>0</v>
      </c>
      <c r="M7584" t="n">
        <v>0</v>
      </c>
      <c r="N7584" t="n">
        <v>0</v>
      </c>
      <c r="O7584" t="n">
        <v>0</v>
      </c>
      <c r="P7584" t="n">
        <v>0</v>
      </c>
      <c r="Q7584" t="n">
        <v>0</v>
      </c>
      <c r="R7584" t="n">
        <v>0</v>
      </c>
      <c r="S7584" t="n">
        <v>0</v>
      </c>
      <c r="T7584" t="n">
        <v>0</v>
      </c>
      <c r="U7584" t="n">
        <v>0</v>
      </c>
      <c r="V7584" s="2" t="inlineStr"/>
    </row>
    <row r="7585" ht="15" customHeight="1">
      <c r="A7585" t="inlineStr">
        <is>
          <t>A 20652-2026</t>
        </is>
      </c>
      <c r="B7585" t="inlineStr">
        <is>
          <t>avverkningsanmälan</t>
        </is>
      </c>
      <c r="C7585" t="inlineStr">
        <is>
          <t>Föryngringsavverkning</t>
        </is>
      </c>
      <c r="D7585" s="1" t="n">
        <v>46141</v>
      </c>
      <c r="E7585" s="1" t="n">
        <v>46319</v>
      </c>
      <c r="F7585" t="inlineStr">
        <is>
          <t>DALARNAS LÄN</t>
        </is>
      </c>
      <c r="G7585" t="inlineStr">
        <is>
          <t>MORA</t>
        </is>
      </c>
      <c r="I7585" t="n">
        <v>3</v>
      </c>
      <c r="J7585" t="n">
        <v>0</v>
      </c>
      <c r="K7585" t="n">
        <v>0</v>
      </c>
      <c r="L7585" t="n">
        <v>0</v>
      </c>
      <c r="M7585" t="n">
        <v>0</v>
      </c>
      <c r="N7585" t="n">
        <v>0</v>
      </c>
      <c r="O7585" t="n">
        <v>0</v>
      </c>
      <c r="P7585" t="n">
        <v>0</v>
      </c>
      <c r="Q7585" t="n">
        <v>0</v>
      </c>
      <c r="R7585" t="n">
        <v>0</v>
      </c>
      <c r="S7585" t="n">
        <v>0</v>
      </c>
      <c r="T7585" t="n">
        <v>0</v>
      </c>
      <c r="U7585" t="n">
        <v>0</v>
      </c>
      <c r="V7585" s="2" t="inlineStr"/>
    </row>
    <row r="7586" ht="15" customHeight="1">
      <c r="A7586" t="inlineStr">
        <is>
          <t>A 2557-2026</t>
        </is>
      </c>
      <c r="B7586" t="inlineStr">
        <is>
          <t>avverkningsanmälan</t>
        </is>
      </c>
      <c r="C7586" t="inlineStr">
        <is>
          <t>Föryngringsavverkning</t>
        </is>
      </c>
      <c r="D7586" s="1" t="n">
        <v>46037</v>
      </c>
      <c r="E7586" s="1" t="n">
        <v>46319</v>
      </c>
      <c r="F7586" t="inlineStr">
        <is>
          <t>DALARNAS LÄN</t>
        </is>
      </c>
      <c r="G7586" t="inlineStr">
        <is>
          <t>FALUN</t>
        </is>
      </c>
      <c r="I7586" t="n">
        <v>17.4</v>
      </c>
      <c r="J7586" t="n">
        <v>0</v>
      </c>
      <c r="K7586" t="n">
        <v>0</v>
      </c>
      <c r="L7586" t="n">
        <v>0</v>
      </c>
      <c r="M7586" t="n">
        <v>0</v>
      </c>
      <c r="N7586" t="n">
        <v>0</v>
      </c>
      <c r="O7586" t="n">
        <v>0</v>
      </c>
      <c r="P7586" t="n">
        <v>0</v>
      </c>
      <c r="Q7586" t="n">
        <v>0</v>
      </c>
      <c r="R7586" t="n">
        <v>0</v>
      </c>
      <c r="S7586" t="n">
        <v>0</v>
      </c>
      <c r="T7586" t="n">
        <v>0</v>
      </c>
      <c r="U7586" t="n">
        <v>0</v>
      </c>
      <c r="V7586" s="2" t="inlineStr"/>
    </row>
    <row r="7587" ht="15" customHeight="1">
      <c r="A7587" t="inlineStr">
        <is>
          <t>A 2588-2026</t>
        </is>
      </c>
      <c r="B7587" t="inlineStr">
        <is>
          <t>avverkningsanmälan</t>
        </is>
      </c>
      <c r="C7587" t="inlineStr">
        <is>
          <t>Föryngringsavverkning</t>
        </is>
      </c>
      <c r="D7587" s="1" t="n">
        <v>46037</v>
      </c>
      <c r="E7587" s="1" t="n">
        <v>46319</v>
      </c>
      <c r="F7587" t="inlineStr">
        <is>
          <t>DALARNAS LÄN</t>
        </is>
      </c>
      <c r="G7587" t="inlineStr">
        <is>
          <t>FALUN</t>
        </is>
      </c>
      <c r="I7587" t="n">
        <v>4.6</v>
      </c>
      <c r="J7587" t="n">
        <v>0</v>
      </c>
      <c r="K7587" t="n">
        <v>0</v>
      </c>
      <c r="L7587" t="n">
        <v>0</v>
      </c>
      <c r="M7587" t="n">
        <v>0</v>
      </c>
      <c r="N7587" t="n">
        <v>0</v>
      </c>
      <c r="O7587" t="n">
        <v>0</v>
      </c>
      <c r="P7587" t="n">
        <v>0</v>
      </c>
      <c r="Q7587" t="n">
        <v>0</v>
      </c>
      <c r="R7587" t="n">
        <v>0</v>
      </c>
      <c r="S7587" t="n">
        <v>0</v>
      </c>
      <c r="T7587" t="n">
        <v>0</v>
      </c>
      <c r="U7587" t="n">
        <v>0</v>
      </c>
      <c r="V7587" s="2" t="inlineStr"/>
    </row>
    <row r="7588" ht="15" customHeight="1">
      <c r="A7588" t="inlineStr">
        <is>
          <t>A 2288-2026</t>
        </is>
      </c>
      <c r="B7588" t="inlineStr">
        <is>
          <t>avverkningsanmälan</t>
        </is>
      </c>
      <c r="C7588" t="inlineStr">
        <is>
          <t>Föryngringsavverkning</t>
        </is>
      </c>
      <c r="D7588" s="1" t="n">
        <v>46036</v>
      </c>
      <c r="E7588" s="1" t="n">
        <v>46319</v>
      </c>
      <c r="F7588" t="inlineStr">
        <is>
          <t>DALARNAS LÄN</t>
        </is>
      </c>
      <c r="G7588" t="inlineStr">
        <is>
          <t>FALUN</t>
        </is>
      </c>
      <c r="I7588" t="n">
        <v>2.5</v>
      </c>
      <c r="J7588" t="n">
        <v>0</v>
      </c>
      <c r="K7588" t="n">
        <v>0</v>
      </c>
      <c r="L7588" t="n">
        <v>0</v>
      </c>
      <c r="M7588" t="n">
        <v>0</v>
      </c>
      <c r="N7588" t="n">
        <v>0</v>
      </c>
      <c r="O7588" t="n">
        <v>0</v>
      </c>
      <c r="P7588" t="n">
        <v>0</v>
      </c>
      <c r="Q7588" t="n">
        <v>0</v>
      </c>
      <c r="R7588" t="n">
        <v>0</v>
      </c>
      <c r="S7588" t="n">
        <v>0</v>
      </c>
      <c r="T7588" t="n">
        <v>0</v>
      </c>
      <c r="U7588" t="n">
        <v>0</v>
      </c>
      <c r="V7588" s="2" t="inlineStr"/>
    </row>
    <row r="7589" ht="15" customHeight="1">
      <c r="A7589" t="inlineStr">
        <is>
          <t>A 3720-2023</t>
        </is>
      </c>
      <c r="B7589" t="inlineStr">
        <is>
          <t>avverkningsanmälan</t>
        </is>
      </c>
      <c r="C7589" t="inlineStr">
        <is>
          <t>Föryngringsavverkning</t>
        </is>
      </c>
      <c r="D7589" s="1" t="n">
        <v>44951</v>
      </c>
      <c r="E7589" s="1" t="n">
        <v>46319</v>
      </c>
      <c r="F7589" t="inlineStr">
        <is>
          <t>DALARNAS LÄN</t>
        </is>
      </c>
      <c r="G7589" t="inlineStr">
        <is>
          <t>ORSA</t>
        </is>
      </c>
      <c r="I7589" t="n">
        <v>0.9</v>
      </c>
      <c r="J7589" t="n">
        <v>0</v>
      </c>
      <c r="K7589" t="n">
        <v>0</v>
      </c>
      <c r="L7589" t="n">
        <v>0</v>
      </c>
      <c r="M7589" t="n">
        <v>0</v>
      </c>
      <c r="N7589" t="n">
        <v>0</v>
      </c>
      <c r="O7589" t="n">
        <v>0</v>
      </c>
      <c r="P7589" t="n">
        <v>0</v>
      </c>
      <c r="Q7589" t="n">
        <v>0</v>
      </c>
      <c r="R7589" t="n">
        <v>0</v>
      </c>
      <c r="S7589" t="n">
        <v>0</v>
      </c>
      <c r="T7589" t="n">
        <v>0</v>
      </c>
      <c r="U7589" t="n">
        <v>0</v>
      </c>
      <c r="V7589" s="2" t="inlineStr"/>
    </row>
    <row r="7590" ht="15" customHeight="1">
      <c r="A7590" t="inlineStr">
        <is>
          <t>A 47318-2023</t>
        </is>
      </c>
      <c r="B7590" t="inlineStr">
        <is>
          <t>avverkningsanmälan</t>
        </is>
      </c>
      <c r="C7590" t="inlineStr">
        <is>
          <t>Föryngringsavverkning</t>
        </is>
      </c>
      <c r="D7590" s="1" t="n">
        <v>45202</v>
      </c>
      <c r="E7590" s="1" t="n">
        <v>46319</v>
      </c>
      <c r="F7590" t="inlineStr">
        <is>
          <t>DALARNAS LÄN</t>
        </is>
      </c>
      <c r="G7590" t="inlineStr">
        <is>
          <t>BORLÄNGE</t>
        </is>
      </c>
      <c r="I7590" t="n">
        <v>0.9</v>
      </c>
      <c r="J7590" t="n">
        <v>0</v>
      </c>
      <c r="K7590" t="n">
        <v>0</v>
      </c>
      <c r="L7590" t="n">
        <v>0</v>
      </c>
      <c r="M7590" t="n">
        <v>0</v>
      </c>
      <c r="N7590" t="n">
        <v>0</v>
      </c>
      <c r="O7590" t="n">
        <v>0</v>
      </c>
      <c r="P7590" t="n">
        <v>0</v>
      </c>
      <c r="Q7590" t="n">
        <v>0</v>
      </c>
      <c r="R7590" t="n">
        <v>0</v>
      </c>
      <c r="S7590" t="n">
        <v>0</v>
      </c>
      <c r="T7590" t="n">
        <v>0</v>
      </c>
      <c r="U7590" t="n">
        <v>0</v>
      </c>
      <c r="V7590" s="2" t="inlineStr"/>
    </row>
    <row r="7591" ht="15" customHeight="1">
      <c r="A7591" t="inlineStr">
        <is>
          <t>A 37617-2026</t>
        </is>
      </c>
      <c r="B7591" t="inlineStr">
        <is>
          <t>avverkningsanmälan</t>
        </is>
      </c>
      <c r="C7591" t="inlineStr">
        <is>
          <t>Föryngringsavverkning</t>
        </is>
      </c>
      <c r="D7591" s="1" t="n">
        <v>46276</v>
      </c>
      <c r="E7591" s="1" t="n">
        <v>46319</v>
      </c>
      <c r="F7591" t="inlineStr">
        <is>
          <t>DALARNAS LÄN</t>
        </is>
      </c>
      <c r="G7591" t="inlineStr">
        <is>
          <t>RÄTTVIK</t>
        </is>
      </c>
      <c r="H7591" t="inlineStr">
        <is>
          <t>Sveaskog</t>
        </is>
      </c>
      <c r="I7591" t="n">
        <v>3.7</v>
      </c>
      <c r="J7591" t="n">
        <v>0</v>
      </c>
      <c r="K7591" t="n">
        <v>0</v>
      </c>
      <c r="L7591" t="n">
        <v>0</v>
      </c>
      <c r="M7591" t="n">
        <v>0</v>
      </c>
      <c r="N7591" t="n">
        <v>0</v>
      </c>
      <c r="O7591" t="n">
        <v>0</v>
      </c>
      <c r="P7591" t="n">
        <v>0</v>
      </c>
      <c r="Q7591" t="n">
        <v>0</v>
      </c>
      <c r="R7591" t="n">
        <v>0</v>
      </c>
      <c r="S7591" t="n">
        <v>0</v>
      </c>
      <c r="T7591" t="n">
        <v>0</v>
      </c>
      <c r="U7591" t="n">
        <v>0</v>
      </c>
      <c r="V7591" s="2" t="inlineStr"/>
    </row>
    <row r="7592" ht="15" customHeight="1">
      <c r="A7592" t="inlineStr">
        <is>
          <t>A 37551-2026</t>
        </is>
      </c>
      <c r="B7592" t="inlineStr">
        <is>
          <t>avverkningsanmälan</t>
        </is>
      </c>
      <c r="C7592" t="inlineStr">
        <is>
          <t>Föryngringsavverkning</t>
        </is>
      </c>
      <c r="D7592" s="1" t="n">
        <v>46276</v>
      </c>
      <c r="E7592" s="1" t="n">
        <v>46319</v>
      </c>
      <c r="F7592" t="inlineStr">
        <is>
          <t>DALARNAS LÄN</t>
        </is>
      </c>
      <c r="G7592" t="inlineStr">
        <is>
          <t>RÄTTVIK</t>
        </is>
      </c>
      <c r="H7592" t="inlineStr">
        <is>
          <t>Sveaskog</t>
        </is>
      </c>
      <c r="I7592" t="n">
        <v>5.6</v>
      </c>
      <c r="J7592" t="n">
        <v>0</v>
      </c>
      <c r="K7592" t="n">
        <v>0</v>
      </c>
      <c r="L7592" t="n">
        <v>0</v>
      </c>
      <c r="M7592" t="n">
        <v>0</v>
      </c>
      <c r="N7592" t="n">
        <v>0</v>
      </c>
      <c r="O7592" t="n">
        <v>0</v>
      </c>
      <c r="P7592" t="n">
        <v>0</v>
      </c>
      <c r="Q7592" t="n">
        <v>0</v>
      </c>
      <c r="R7592" t="n">
        <v>0</v>
      </c>
      <c r="S7592" t="n">
        <v>0</v>
      </c>
      <c r="T7592" t="n">
        <v>0</v>
      </c>
      <c r="U7592" t="n">
        <v>0</v>
      </c>
      <c r="V7592" s="2" t="inlineStr"/>
    </row>
    <row r="7593" ht="15" customHeight="1">
      <c r="A7593" t="inlineStr">
        <is>
          <t>A 16044-2025</t>
        </is>
      </c>
      <c r="B7593" t="inlineStr">
        <is>
          <t>avverkningsanmälan</t>
        </is>
      </c>
      <c r="C7593" t="inlineStr">
        <is>
          <t>Avverkning för annat ändamål</t>
        </is>
      </c>
      <c r="D7593" s="1" t="n">
        <v>45749</v>
      </c>
      <c r="E7593" s="1" t="n">
        <v>46319</v>
      </c>
      <c r="F7593" t="inlineStr">
        <is>
          <t>DALARNAS LÄN</t>
        </is>
      </c>
      <c r="G7593" t="inlineStr">
        <is>
          <t>MALUNG-SÄLEN</t>
        </is>
      </c>
      <c r="H7593" t="inlineStr">
        <is>
          <t>Kommuner</t>
        </is>
      </c>
      <c r="I7593" t="n">
        <v>2.2</v>
      </c>
      <c r="J7593" t="n">
        <v>0</v>
      </c>
      <c r="K7593" t="n">
        <v>0</v>
      </c>
      <c r="L7593" t="n">
        <v>0</v>
      </c>
      <c r="M7593" t="n">
        <v>0</v>
      </c>
      <c r="N7593" t="n">
        <v>0</v>
      </c>
      <c r="O7593" t="n">
        <v>0</v>
      </c>
      <c r="P7593" t="n">
        <v>0</v>
      </c>
      <c r="Q7593" t="n">
        <v>0</v>
      </c>
      <c r="R7593" t="n">
        <v>0</v>
      </c>
      <c r="S7593" t="n">
        <v>0</v>
      </c>
      <c r="T7593" t="n">
        <v>0</v>
      </c>
      <c r="U7593" t="n">
        <v>0</v>
      </c>
      <c r="V7593" s="2" t="inlineStr"/>
    </row>
    <row r="7594" ht="15" customHeight="1">
      <c r="A7594" t="inlineStr">
        <is>
          <t>A 46185-2024</t>
        </is>
      </c>
      <c r="B7594" t="inlineStr">
        <is>
          <t>avverkningsanmälan</t>
        </is>
      </c>
      <c r="C7594" t="inlineStr">
        <is>
          <t>Föryngringsavverkning</t>
        </is>
      </c>
      <c r="D7594" s="1" t="n">
        <v>45581</v>
      </c>
      <c r="E7594" s="1" t="n">
        <v>46319</v>
      </c>
      <c r="F7594" t="inlineStr">
        <is>
          <t>DALARNAS LÄN</t>
        </is>
      </c>
      <c r="G7594" t="inlineStr">
        <is>
          <t>LUDVIKA</t>
        </is>
      </c>
      <c r="H7594" t="inlineStr">
        <is>
          <t>Bergvik skog väst AB</t>
        </is>
      </c>
      <c r="I7594" t="n">
        <v>2</v>
      </c>
      <c r="J7594" t="n">
        <v>0</v>
      </c>
      <c r="K7594" t="n">
        <v>0</v>
      </c>
      <c r="L7594" t="n">
        <v>0</v>
      </c>
      <c r="M7594" t="n">
        <v>0</v>
      </c>
      <c r="N7594" t="n">
        <v>0</v>
      </c>
      <c r="O7594" t="n">
        <v>0</v>
      </c>
      <c r="P7594" t="n">
        <v>0</v>
      </c>
      <c r="Q7594" t="n">
        <v>0</v>
      </c>
      <c r="R7594" t="n">
        <v>0</v>
      </c>
      <c r="S7594" t="n">
        <v>0</v>
      </c>
      <c r="T7594" t="n">
        <v>0</v>
      </c>
      <c r="U7594" t="n">
        <v>0</v>
      </c>
      <c r="V7594" s="2" t="inlineStr"/>
    </row>
    <row r="7595" ht="15" customHeight="1">
      <c r="A7595" t="inlineStr">
        <is>
          <t>A 43610-2025</t>
        </is>
      </c>
      <c r="B7595" t="inlineStr">
        <is>
          <t>avverkningsanmälan</t>
        </is>
      </c>
      <c r="C7595" t="inlineStr">
        <is>
          <t>Föryngringsavverkning</t>
        </is>
      </c>
      <c r="D7595" s="1" t="n">
        <v>45911</v>
      </c>
      <c r="E7595" s="1" t="n">
        <v>46319</v>
      </c>
      <c r="F7595" t="inlineStr">
        <is>
          <t>DALARNAS LÄN</t>
        </is>
      </c>
      <c r="G7595" t="inlineStr">
        <is>
          <t>SÄTER</t>
        </is>
      </c>
      <c r="I7595" t="n">
        <v>2</v>
      </c>
      <c r="J7595" t="n">
        <v>0</v>
      </c>
      <c r="K7595" t="n">
        <v>0</v>
      </c>
      <c r="L7595" t="n">
        <v>0</v>
      </c>
      <c r="M7595" t="n">
        <v>0</v>
      </c>
      <c r="N7595" t="n">
        <v>0</v>
      </c>
      <c r="O7595" t="n">
        <v>0</v>
      </c>
      <c r="P7595" t="n">
        <v>0</v>
      </c>
      <c r="Q7595" t="n">
        <v>0</v>
      </c>
      <c r="R7595" t="n">
        <v>0</v>
      </c>
      <c r="S7595" t="n">
        <v>0</v>
      </c>
      <c r="T7595" t="n">
        <v>0</v>
      </c>
      <c r="U7595" t="n">
        <v>0</v>
      </c>
      <c r="V7595" s="2" t="inlineStr"/>
    </row>
    <row r="7596" ht="15" customHeight="1">
      <c r="A7596" t="inlineStr">
        <is>
          <t>A 11857-2023</t>
        </is>
      </c>
      <c r="B7596" t="inlineStr">
        <is>
          <t>avverkningsanmälan</t>
        </is>
      </c>
      <c r="C7596" t="inlineStr">
        <is>
          <t>Föryngringsavverkning</t>
        </is>
      </c>
      <c r="D7596" s="1" t="n">
        <v>44995</v>
      </c>
      <c r="E7596" s="1" t="n">
        <v>46319</v>
      </c>
      <c r="F7596" t="inlineStr">
        <is>
          <t>DALARNAS LÄN</t>
        </is>
      </c>
      <c r="G7596" t="inlineStr">
        <is>
          <t>MORA</t>
        </is>
      </c>
      <c r="I7596" t="n">
        <v>1</v>
      </c>
      <c r="J7596" t="n">
        <v>0</v>
      </c>
      <c r="K7596" t="n">
        <v>0</v>
      </c>
      <c r="L7596" t="n">
        <v>0</v>
      </c>
      <c r="M7596" t="n">
        <v>0</v>
      </c>
      <c r="N7596" t="n">
        <v>0</v>
      </c>
      <c r="O7596" t="n">
        <v>0</v>
      </c>
      <c r="P7596" t="n">
        <v>0</v>
      </c>
      <c r="Q7596" t="n">
        <v>0</v>
      </c>
      <c r="R7596" t="n">
        <v>0</v>
      </c>
      <c r="S7596" t="n">
        <v>0</v>
      </c>
      <c r="T7596" t="n">
        <v>0</v>
      </c>
      <c r="U7596" t="n">
        <v>0</v>
      </c>
      <c r="V7596" s="2" t="inlineStr"/>
    </row>
    <row r="7597" ht="15" customHeight="1">
      <c r="A7597" t="inlineStr">
        <is>
          <t>A 51400-2024</t>
        </is>
      </c>
      <c r="B7597" t="inlineStr">
        <is>
          <t>avverkningsanmälan</t>
        </is>
      </c>
      <c r="C7597" t="inlineStr">
        <is>
          <t>Föryngringsavverkning</t>
        </is>
      </c>
      <c r="D7597" s="1" t="n">
        <v>45604</v>
      </c>
      <c r="E7597" s="1" t="n">
        <v>46319</v>
      </c>
      <c r="F7597" t="inlineStr">
        <is>
          <t>DALARNAS LÄN</t>
        </is>
      </c>
      <c r="G7597" t="inlineStr">
        <is>
          <t>VANSBRO</t>
        </is>
      </c>
      <c r="I7597" t="n">
        <v>2</v>
      </c>
      <c r="J7597" t="n">
        <v>0</v>
      </c>
      <c r="K7597" t="n">
        <v>0</v>
      </c>
      <c r="L7597" t="n">
        <v>0</v>
      </c>
      <c r="M7597" t="n">
        <v>0</v>
      </c>
      <c r="N7597" t="n">
        <v>0</v>
      </c>
      <c r="O7597" t="n">
        <v>0</v>
      </c>
      <c r="P7597" t="n">
        <v>0</v>
      </c>
      <c r="Q7597" t="n">
        <v>0</v>
      </c>
      <c r="R7597" t="n">
        <v>0</v>
      </c>
      <c r="S7597" t="n">
        <v>0</v>
      </c>
      <c r="T7597" t="n">
        <v>0</v>
      </c>
      <c r="U7597" t="n">
        <v>0</v>
      </c>
      <c r="V7597" s="2" t="inlineStr"/>
    </row>
    <row r="7598" ht="15" customHeight="1">
      <c r="A7598" t="inlineStr">
        <is>
          <t>A 15672-2026</t>
        </is>
      </c>
      <c r="B7598" t="inlineStr">
        <is>
          <t>avverkningsanmälan</t>
        </is>
      </c>
      <c r="C7598" t="inlineStr">
        <is>
          <t>Föryngringsavverkning</t>
        </is>
      </c>
      <c r="D7598" s="1" t="n">
        <v>46106</v>
      </c>
      <c r="E7598" s="1" t="n">
        <v>46319</v>
      </c>
      <c r="F7598" t="inlineStr">
        <is>
          <t>DALARNAS LÄN</t>
        </is>
      </c>
      <c r="G7598" t="inlineStr">
        <is>
          <t>FALUN</t>
        </is>
      </c>
      <c r="I7598" t="n">
        <v>5.7</v>
      </c>
      <c r="J7598" t="n">
        <v>0</v>
      </c>
      <c r="K7598" t="n">
        <v>0</v>
      </c>
      <c r="L7598" t="n">
        <v>0</v>
      </c>
      <c r="M7598" t="n">
        <v>0</v>
      </c>
      <c r="N7598" t="n">
        <v>0</v>
      </c>
      <c r="O7598" t="n">
        <v>0</v>
      </c>
      <c r="P7598" t="n">
        <v>0</v>
      </c>
      <c r="Q7598" t="n">
        <v>0</v>
      </c>
      <c r="R7598" t="n">
        <v>0</v>
      </c>
      <c r="S7598" t="n">
        <v>0</v>
      </c>
      <c r="T7598" t="n">
        <v>0</v>
      </c>
      <c r="U7598" t="n">
        <v>0</v>
      </c>
      <c r="V7598" s="2" t="inlineStr"/>
    </row>
    <row r="7599" ht="15" customHeight="1">
      <c r="A7599" t="inlineStr">
        <is>
          <t>A 47936-2024</t>
        </is>
      </c>
      <c r="B7599" t="inlineStr">
        <is>
          <t>avverkningsanmälan</t>
        </is>
      </c>
      <c r="C7599" t="inlineStr">
        <is>
          <t>Föryngringsavverkning</t>
        </is>
      </c>
      <c r="D7599" s="1" t="n">
        <v>45589</v>
      </c>
      <c r="E7599" s="1" t="n">
        <v>46319</v>
      </c>
      <c r="F7599" t="inlineStr">
        <is>
          <t>DALARNAS LÄN</t>
        </is>
      </c>
      <c r="G7599" t="inlineStr">
        <is>
          <t>ÄLVDALEN</t>
        </is>
      </c>
      <c r="I7599" t="n">
        <v>1.5</v>
      </c>
      <c r="J7599" t="n">
        <v>0</v>
      </c>
      <c r="K7599" t="n">
        <v>0</v>
      </c>
      <c r="L7599" t="n">
        <v>0</v>
      </c>
      <c r="M7599" t="n">
        <v>0</v>
      </c>
      <c r="N7599" t="n">
        <v>0</v>
      </c>
      <c r="O7599" t="n">
        <v>0</v>
      </c>
      <c r="P7599" t="n">
        <v>0</v>
      </c>
      <c r="Q7599" t="n">
        <v>0</v>
      </c>
      <c r="R7599" t="n">
        <v>0</v>
      </c>
      <c r="S7599" t="n">
        <v>0</v>
      </c>
      <c r="T7599" t="n">
        <v>0</v>
      </c>
      <c r="U7599" t="n">
        <v>0</v>
      </c>
      <c r="V7599" s="2" t="inlineStr"/>
    </row>
    <row r="7600" ht="15" customHeight="1">
      <c r="A7600" t="inlineStr">
        <is>
          <t>A 20960-2026</t>
        </is>
      </c>
      <c r="B7600" t="inlineStr">
        <is>
          <t>avverkningsanmälan</t>
        </is>
      </c>
      <c r="C7600" t="inlineStr">
        <is>
          <t>Föryngringsavverkning</t>
        </is>
      </c>
      <c r="D7600" s="1" t="n">
        <v>46142</v>
      </c>
      <c r="E7600" s="1" t="n">
        <v>46319</v>
      </c>
      <c r="F7600" t="inlineStr">
        <is>
          <t>DALARNAS LÄN</t>
        </is>
      </c>
      <c r="G7600" t="inlineStr">
        <is>
          <t>FALUN</t>
        </is>
      </c>
      <c r="H7600" t="inlineStr">
        <is>
          <t>Bergvik skog väst AB</t>
        </is>
      </c>
      <c r="I7600" t="n">
        <v>6.2</v>
      </c>
      <c r="J7600" t="n">
        <v>0</v>
      </c>
      <c r="K7600" t="n">
        <v>0</v>
      </c>
      <c r="L7600" t="n">
        <v>0</v>
      </c>
      <c r="M7600" t="n">
        <v>0</v>
      </c>
      <c r="N7600" t="n">
        <v>0</v>
      </c>
      <c r="O7600" t="n">
        <v>0</v>
      </c>
      <c r="P7600" t="n">
        <v>0</v>
      </c>
      <c r="Q7600" t="n">
        <v>0</v>
      </c>
      <c r="R7600" t="n">
        <v>0</v>
      </c>
      <c r="S7600" t="n">
        <v>0</v>
      </c>
      <c r="T7600" t="n">
        <v>0</v>
      </c>
      <c r="U7600" t="n">
        <v>0</v>
      </c>
      <c r="V7600" s="2" t="inlineStr"/>
    </row>
    <row r="7601" ht="15" customHeight="1">
      <c r="A7601" t="inlineStr">
        <is>
          <t>A 20961-2026</t>
        </is>
      </c>
      <c r="B7601" t="inlineStr">
        <is>
          <t>avverkningsanmälan</t>
        </is>
      </c>
      <c r="C7601" t="inlineStr">
        <is>
          <t>Föryngringsavverkning</t>
        </is>
      </c>
      <c r="D7601" s="1" t="n">
        <v>46142</v>
      </c>
      <c r="E7601" s="1" t="n">
        <v>46319</v>
      </c>
      <c r="F7601" t="inlineStr">
        <is>
          <t>DALARNAS LÄN</t>
        </is>
      </c>
      <c r="G7601" t="inlineStr">
        <is>
          <t>FALUN</t>
        </is>
      </c>
      <c r="H7601" t="inlineStr">
        <is>
          <t>Bergvik skog väst AB</t>
        </is>
      </c>
      <c r="I7601" t="n">
        <v>1.9</v>
      </c>
      <c r="J7601" t="n">
        <v>0</v>
      </c>
      <c r="K7601" t="n">
        <v>0</v>
      </c>
      <c r="L7601" t="n">
        <v>0</v>
      </c>
      <c r="M7601" t="n">
        <v>0</v>
      </c>
      <c r="N7601" t="n">
        <v>0</v>
      </c>
      <c r="O7601" t="n">
        <v>0</v>
      </c>
      <c r="P7601" t="n">
        <v>0</v>
      </c>
      <c r="Q7601" t="n">
        <v>0</v>
      </c>
      <c r="R7601" t="n">
        <v>0</v>
      </c>
      <c r="S7601" t="n">
        <v>0</v>
      </c>
      <c r="T7601" t="n">
        <v>0</v>
      </c>
      <c r="U7601" t="n">
        <v>0</v>
      </c>
      <c r="V7601" s="2" t="inlineStr"/>
    </row>
    <row r="7602" ht="15" customHeight="1">
      <c r="A7602" t="inlineStr">
        <is>
          <t>A 1149-2026</t>
        </is>
      </c>
      <c r="B7602" t="inlineStr">
        <is>
          <t>avverkningsanmälan</t>
        </is>
      </c>
      <c r="C7602" t="inlineStr">
        <is>
          <t>Föryngringsavverkning</t>
        </is>
      </c>
      <c r="D7602" s="1" t="n">
        <v>46030</v>
      </c>
      <c r="E7602" s="1" t="n">
        <v>46319</v>
      </c>
      <c r="F7602" t="inlineStr">
        <is>
          <t>DALARNAS LÄN</t>
        </is>
      </c>
      <c r="G7602" t="inlineStr">
        <is>
          <t>LEKSAND</t>
        </is>
      </c>
      <c r="I7602" t="n">
        <v>11.7</v>
      </c>
      <c r="J7602" t="n">
        <v>0</v>
      </c>
      <c r="K7602" t="n">
        <v>0</v>
      </c>
      <c r="L7602" t="n">
        <v>0</v>
      </c>
      <c r="M7602" t="n">
        <v>0</v>
      </c>
      <c r="N7602" t="n">
        <v>0</v>
      </c>
      <c r="O7602" t="n">
        <v>0</v>
      </c>
      <c r="P7602" t="n">
        <v>0</v>
      </c>
      <c r="Q7602" t="n">
        <v>0</v>
      </c>
      <c r="R7602" t="n">
        <v>0</v>
      </c>
      <c r="S7602" t="n">
        <v>0</v>
      </c>
      <c r="T7602" t="n">
        <v>0</v>
      </c>
      <c r="U7602" t="n">
        <v>0</v>
      </c>
      <c r="V7602" s="2" t="inlineStr"/>
    </row>
    <row r="7603" ht="15" customHeight="1">
      <c r="A7603" t="inlineStr">
        <is>
          <t>A 15818-2024</t>
        </is>
      </c>
      <c r="B7603" t="inlineStr">
        <is>
          <t>avverkningsanmälan</t>
        </is>
      </c>
      <c r="C7603" t="inlineStr">
        <is>
          <t>Föryngringsavverkning</t>
        </is>
      </c>
      <c r="D7603" s="1" t="n">
        <v>45404</v>
      </c>
      <c r="E7603" s="1" t="n">
        <v>46319</v>
      </c>
      <c r="F7603" t="inlineStr">
        <is>
          <t>DALARNAS LÄN</t>
        </is>
      </c>
      <c r="G7603" t="inlineStr">
        <is>
          <t>MORA</t>
        </is>
      </c>
      <c r="I7603" t="n">
        <v>7</v>
      </c>
      <c r="J7603" t="n">
        <v>0</v>
      </c>
      <c r="K7603" t="n">
        <v>0</v>
      </c>
      <c r="L7603" t="n">
        <v>0</v>
      </c>
      <c r="M7603" t="n">
        <v>0</v>
      </c>
      <c r="N7603" t="n">
        <v>0</v>
      </c>
      <c r="O7603" t="n">
        <v>0</v>
      </c>
      <c r="P7603" t="n">
        <v>0</v>
      </c>
      <c r="Q7603" t="n">
        <v>0</v>
      </c>
      <c r="R7603" t="n">
        <v>0</v>
      </c>
      <c r="S7603" t="n">
        <v>0</v>
      </c>
      <c r="T7603" t="n">
        <v>0</v>
      </c>
      <c r="U7603" t="n">
        <v>0</v>
      </c>
      <c r="V7603" s="2" t="inlineStr"/>
    </row>
    <row r="7604" ht="15" customHeight="1">
      <c r="A7604" t="inlineStr">
        <is>
          <t>A 37541-2026</t>
        </is>
      </c>
      <c r="B7604" t="inlineStr">
        <is>
          <t>avverkningsanmälan</t>
        </is>
      </c>
      <c r="C7604" t="inlineStr">
        <is>
          <t>Föryngringsavverkning</t>
        </is>
      </c>
      <c r="D7604" s="1" t="n">
        <v>46276</v>
      </c>
      <c r="E7604" s="1" t="n">
        <v>46319</v>
      </c>
      <c r="F7604" t="inlineStr">
        <is>
          <t>DALARNAS LÄN</t>
        </is>
      </c>
      <c r="G7604" t="inlineStr">
        <is>
          <t>FALUN</t>
        </is>
      </c>
      <c r="I7604" t="n">
        <v>7.3</v>
      </c>
      <c r="J7604" t="n">
        <v>0</v>
      </c>
      <c r="K7604" t="n">
        <v>0</v>
      </c>
      <c r="L7604" t="n">
        <v>0</v>
      </c>
      <c r="M7604" t="n">
        <v>0</v>
      </c>
      <c r="N7604" t="n">
        <v>0</v>
      </c>
      <c r="O7604" t="n">
        <v>0</v>
      </c>
      <c r="P7604" t="n">
        <v>0</v>
      </c>
      <c r="Q7604" t="n">
        <v>0</v>
      </c>
      <c r="R7604" t="n">
        <v>0</v>
      </c>
      <c r="S7604" t="n">
        <v>0</v>
      </c>
      <c r="T7604" t="n">
        <v>0</v>
      </c>
      <c r="U7604" t="n">
        <v>0</v>
      </c>
      <c r="V7604" s="2" t="inlineStr"/>
    </row>
    <row r="7605" ht="15" customHeight="1">
      <c r="A7605" t="inlineStr">
        <is>
          <t>A 35103-2026</t>
        </is>
      </c>
      <c r="B7605" t="inlineStr">
        <is>
          <t>avverkningsanmälan</t>
        </is>
      </c>
      <c r="C7605" t="inlineStr">
        <is>
          <t>Föryngringsavverkning</t>
        </is>
      </c>
      <c r="D7605" s="1" t="n">
        <v>46260</v>
      </c>
      <c r="E7605" s="1" t="n">
        <v>46319</v>
      </c>
      <c r="F7605" t="inlineStr">
        <is>
          <t>DALARNAS LÄN</t>
        </is>
      </c>
      <c r="G7605" t="inlineStr">
        <is>
          <t>LUDVIKA</t>
        </is>
      </c>
      <c r="I7605" t="n">
        <v>1.1</v>
      </c>
      <c r="J7605" t="n">
        <v>0</v>
      </c>
      <c r="K7605" t="n">
        <v>0</v>
      </c>
      <c r="L7605" t="n">
        <v>0</v>
      </c>
      <c r="M7605" t="n">
        <v>0</v>
      </c>
      <c r="N7605" t="n">
        <v>0</v>
      </c>
      <c r="O7605" t="n">
        <v>0</v>
      </c>
      <c r="P7605" t="n">
        <v>0</v>
      </c>
      <c r="Q7605" t="n">
        <v>0</v>
      </c>
      <c r="R7605" t="n">
        <v>0</v>
      </c>
      <c r="S7605" t="n">
        <v>0</v>
      </c>
      <c r="T7605" t="n">
        <v>0</v>
      </c>
      <c r="U7605" t="n">
        <v>0</v>
      </c>
      <c r="V7605" s="2" t="inlineStr"/>
    </row>
    <row r="7606" ht="15" customHeight="1">
      <c r="A7606" t="inlineStr">
        <is>
          <t>A 37552-2026</t>
        </is>
      </c>
      <c r="B7606" t="inlineStr">
        <is>
          <t>avverkningsanmälan</t>
        </is>
      </c>
      <c r="C7606" t="inlineStr">
        <is>
          <t>Föryngringsavverkning</t>
        </is>
      </c>
      <c r="D7606" s="1" t="n">
        <v>46276</v>
      </c>
      <c r="E7606" s="1" t="n">
        <v>46319</v>
      </c>
      <c r="F7606" t="inlineStr">
        <is>
          <t>DALARNAS LÄN</t>
        </is>
      </c>
      <c r="G7606" t="inlineStr">
        <is>
          <t>RÄTTVIK</t>
        </is>
      </c>
      <c r="I7606" t="n">
        <v>0.5</v>
      </c>
      <c r="J7606" t="n">
        <v>0</v>
      </c>
      <c r="K7606" t="n">
        <v>0</v>
      </c>
      <c r="L7606" t="n">
        <v>0</v>
      </c>
      <c r="M7606" t="n">
        <v>0</v>
      </c>
      <c r="N7606" t="n">
        <v>0</v>
      </c>
      <c r="O7606" t="n">
        <v>0</v>
      </c>
      <c r="P7606" t="n">
        <v>0</v>
      </c>
      <c r="Q7606" t="n">
        <v>0</v>
      </c>
      <c r="R7606" t="n">
        <v>0</v>
      </c>
      <c r="S7606" t="n">
        <v>0</v>
      </c>
      <c r="T7606" t="n">
        <v>0</v>
      </c>
      <c r="U7606" t="n">
        <v>0</v>
      </c>
      <c r="V7606" s="2" t="inlineStr"/>
    </row>
    <row r="7607" ht="15" customHeight="1">
      <c r="A7607" t="inlineStr">
        <is>
          <t>A 20223-2026</t>
        </is>
      </c>
      <c r="B7607" t="inlineStr">
        <is>
          <t>avverkningsanmälan</t>
        </is>
      </c>
      <c r="C7607" t="inlineStr">
        <is>
          <t>Föryngringsavverkning</t>
        </is>
      </c>
      <c r="D7607" s="1" t="n">
        <v>46139</v>
      </c>
      <c r="E7607" s="1" t="n">
        <v>46319</v>
      </c>
      <c r="F7607" t="inlineStr">
        <is>
          <t>DALARNAS LÄN</t>
        </is>
      </c>
      <c r="G7607" t="inlineStr">
        <is>
          <t>FALUN</t>
        </is>
      </c>
      <c r="I7607" t="n">
        <v>58.1</v>
      </c>
      <c r="J7607" t="n">
        <v>0</v>
      </c>
      <c r="K7607" t="n">
        <v>0</v>
      </c>
      <c r="L7607" t="n">
        <v>0</v>
      </c>
      <c r="M7607" t="n">
        <v>0</v>
      </c>
      <c r="N7607" t="n">
        <v>0</v>
      </c>
      <c r="O7607" t="n">
        <v>0</v>
      </c>
      <c r="P7607" t="n">
        <v>0</v>
      </c>
      <c r="Q7607" t="n">
        <v>0</v>
      </c>
      <c r="R7607" t="n">
        <v>0</v>
      </c>
      <c r="S7607" t="n">
        <v>0</v>
      </c>
      <c r="T7607" t="n">
        <v>0</v>
      </c>
      <c r="U7607" t="n">
        <v>0</v>
      </c>
      <c r="V7607" s="2" t="inlineStr"/>
    </row>
    <row r="7608" ht="15" customHeight="1">
      <c r="A7608" t="inlineStr">
        <is>
          <t>A 10013-2024</t>
        </is>
      </c>
      <c r="B7608" t="inlineStr">
        <is>
          <t>avverkningsanmälan</t>
        </is>
      </c>
      <c r="C7608" t="inlineStr">
        <is>
          <t>Föryngringsavverkning</t>
        </is>
      </c>
      <c r="D7608" s="1" t="n">
        <v>45363</v>
      </c>
      <c r="E7608" s="1" t="n">
        <v>46319</v>
      </c>
      <c r="F7608" t="inlineStr">
        <is>
          <t>DALARNAS LÄN</t>
        </is>
      </c>
      <c r="G7608" t="inlineStr">
        <is>
          <t>VANSBRO</t>
        </is>
      </c>
      <c r="I7608" t="n">
        <v>6.6</v>
      </c>
      <c r="J7608" t="n">
        <v>0</v>
      </c>
      <c r="K7608" t="n">
        <v>0</v>
      </c>
      <c r="L7608" t="n">
        <v>0</v>
      </c>
      <c r="M7608" t="n">
        <v>0</v>
      </c>
      <c r="N7608" t="n">
        <v>0</v>
      </c>
      <c r="O7608" t="n">
        <v>0</v>
      </c>
      <c r="P7608" t="n">
        <v>0</v>
      </c>
      <c r="Q7608" t="n">
        <v>0</v>
      </c>
      <c r="R7608" t="n">
        <v>0</v>
      </c>
      <c r="S7608" t="n">
        <v>0</v>
      </c>
      <c r="T7608" t="n">
        <v>0</v>
      </c>
      <c r="U7608" t="n">
        <v>0</v>
      </c>
      <c r="V7608" s="2" t="inlineStr"/>
    </row>
    <row r="7609" ht="15" customHeight="1">
      <c r="A7609" t="inlineStr">
        <is>
          <t>A 37462-2026</t>
        </is>
      </c>
      <c r="B7609" t="inlineStr">
        <is>
          <t>avverkningsanmälan</t>
        </is>
      </c>
      <c r="C7609" t="inlineStr">
        <is>
          <t>Föryngringsavverkning</t>
        </is>
      </c>
      <c r="D7609" s="1" t="n">
        <v>46275</v>
      </c>
      <c r="E7609" s="1" t="n">
        <v>46319</v>
      </c>
      <c r="F7609" t="inlineStr">
        <is>
          <t>DALARNAS LÄN</t>
        </is>
      </c>
      <c r="G7609" t="inlineStr">
        <is>
          <t>MALUNG-SÄLEN</t>
        </is>
      </c>
      <c r="H7609" t="inlineStr">
        <is>
          <t>Bergvik skog öst AB</t>
        </is>
      </c>
      <c r="I7609" t="n">
        <v>2.3</v>
      </c>
      <c r="J7609" t="n">
        <v>0</v>
      </c>
      <c r="K7609" t="n">
        <v>0</v>
      </c>
      <c r="L7609" t="n">
        <v>0</v>
      </c>
      <c r="M7609" t="n">
        <v>0</v>
      </c>
      <c r="N7609" t="n">
        <v>0</v>
      </c>
      <c r="O7609" t="n">
        <v>0</v>
      </c>
      <c r="P7609" t="n">
        <v>0</v>
      </c>
      <c r="Q7609" t="n">
        <v>0</v>
      </c>
      <c r="R7609" t="n">
        <v>0</v>
      </c>
      <c r="S7609" t="n">
        <v>0</v>
      </c>
      <c r="T7609" t="n">
        <v>0</v>
      </c>
      <c r="U7609" t="n">
        <v>0</v>
      </c>
      <c r="V7609" s="2" t="inlineStr"/>
    </row>
    <row r="7610" ht="15" customHeight="1">
      <c r="A7610" t="inlineStr">
        <is>
          <t>A 20691-2026</t>
        </is>
      </c>
      <c r="B7610" t="inlineStr">
        <is>
          <t>avverkningsanmälan</t>
        </is>
      </c>
      <c r="C7610" t="inlineStr">
        <is>
          <t>Föryngringsavverkning</t>
        </is>
      </c>
      <c r="D7610" s="1" t="n">
        <v>46141</v>
      </c>
      <c r="E7610" s="1" t="n">
        <v>46319</v>
      </c>
      <c r="F7610" t="inlineStr">
        <is>
          <t>DALARNAS LÄN</t>
        </is>
      </c>
      <c r="G7610" t="inlineStr">
        <is>
          <t>RÄTTVIK</t>
        </is>
      </c>
      <c r="H7610" t="inlineStr">
        <is>
          <t>Bergvik skog väst AB</t>
        </is>
      </c>
      <c r="I7610" t="n">
        <v>1.2</v>
      </c>
      <c r="J7610" t="n">
        <v>0</v>
      </c>
      <c r="K7610" t="n">
        <v>0</v>
      </c>
      <c r="L7610" t="n">
        <v>0</v>
      </c>
      <c r="M7610" t="n">
        <v>0</v>
      </c>
      <c r="N7610" t="n">
        <v>0</v>
      </c>
      <c r="O7610" t="n">
        <v>0</v>
      </c>
      <c r="P7610" t="n">
        <v>0</v>
      </c>
      <c r="Q7610" t="n">
        <v>0</v>
      </c>
      <c r="R7610" t="n">
        <v>0</v>
      </c>
      <c r="S7610" t="n">
        <v>0</v>
      </c>
      <c r="T7610" t="n">
        <v>0</v>
      </c>
      <c r="U7610" t="n">
        <v>0</v>
      </c>
      <c r="V7610" s="2" t="inlineStr"/>
    </row>
    <row r="7611" ht="15" customHeight="1">
      <c r="A7611" t="inlineStr">
        <is>
          <t>A 20692-2026</t>
        </is>
      </c>
      <c r="B7611" t="inlineStr">
        <is>
          <t>avverkningsanmälan</t>
        </is>
      </c>
      <c r="C7611" t="inlineStr">
        <is>
          <t>Föryngringsavverkning</t>
        </is>
      </c>
      <c r="D7611" s="1" t="n">
        <v>46141</v>
      </c>
      <c r="E7611" s="1" t="n">
        <v>46319</v>
      </c>
      <c r="F7611" t="inlineStr">
        <is>
          <t>DALARNAS LÄN</t>
        </is>
      </c>
      <c r="G7611" t="inlineStr">
        <is>
          <t>RÄTTVIK</t>
        </is>
      </c>
      <c r="H7611" t="inlineStr">
        <is>
          <t>Bergvik skog väst AB</t>
        </is>
      </c>
      <c r="I7611" t="n">
        <v>0.8</v>
      </c>
      <c r="J7611" t="n">
        <v>0</v>
      </c>
      <c r="K7611" t="n">
        <v>0</v>
      </c>
      <c r="L7611" t="n">
        <v>0</v>
      </c>
      <c r="M7611" t="n">
        <v>0</v>
      </c>
      <c r="N7611" t="n">
        <v>0</v>
      </c>
      <c r="O7611" t="n">
        <v>0</v>
      </c>
      <c r="P7611" t="n">
        <v>0</v>
      </c>
      <c r="Q7611" t="n">
        <v>0</v>
      </c>
      <c r="R7611" t="n">
        <v>0</v>
      </c>
      <c r="S7611" t="n">
        <v>0</v>
      </c>
      <c r="T7611" t="n">
        <v>0</v>
      </c>
      <c r="U7611" t="n">
        <v>0</v>
      </c>
      <c r="V7611" s="2" t="inlineStr"/>
    </row>
    <row r="7612" ht="15" customHeight="1">
      <c r="A7612" t="inlineStr">
        <is>
          <t>A 37314-2026</t>
        </is>
      </c>
      <c r="B7612" t="inlineStr">
        <is>
          <t>avverkningsanmälan</t>
        </is>
      </c>
      <c r="C7612" t="inlineStr">
        <is>
          <t>Föryngringsavverkning</t>
        </is>
      </c>
      <c r="D7612" s="1" t="n">
        <v>46274</v>
      </c>
      <c r="E7612" s="1" t="n">
        <v>46319</v>
      </c>
      <c r="F7612" t="inlineStr">
        <is>
          <t>DALARNAS LÄN</t>
        </is>
      </c>
      <c r="G7612" t="inlineStr">
        <is>
          <t>MALUNG-SÄLEN</t>
        </is>
      </c>
      <c r="I7612" t="n">
        <v>4.6</v>
      </c>
      <c r="J7612" t="n">
        <v>0</v>
      </c>
      <c r="K7612" t="n">
        <v>0</v>
      </c>
      <c r="L7612" t="n">
        <v>0</v>
      </c>
      <c r="M7612" t="n">
        <v>0</v>
      </c>
      <c r="N7612" t="n">
        <v>0</v>
      </c>
      <c r="O7612" t="n">
        <v>0</v>
      </c>
      <c r="P7612" t="n">
        <v>0</v>
      </c>
      <c r="Q7612" t="n">
        <v>0</v>
      </c>
      <c r="R7612" t="n">
        <v>0</v>
      </c>
      <c r="S7612" t="n">
        <v>0</v>
      </c>
      <c r="T7612" t="n">
        <v>0</v>
      </c>
      <c r="U7612" t="n">
        <v>0</v>
      </c>
      <c r="V7612" s="2" t="inlineStr"/>
    </row>
    <row r="7613" ht="15" customHeight="1">
      <c r="A7613" t="inlineStr">
        <is>
          <t>A 2243-2026</t>
        </is>
      </c>
      <c r="B7613" t="inlineStr">
        <is>
          <t>avverkningsanmälan</t>
        </is>
      </c>
      <c r="C7613" t="inlineStr">
        <is>
          <t>Föryngringsavverkning</t>
        </is>
      </c>
      <c r="D7613" s="1" t="n">
        <v>46036</v>
      </c>
      <c r="E7613" s="1" t="n">
        <v>46319</v>
      </c>
      <c r="F7613" t="inlineStr">
        <is>
          <t>DALARNAS LÄN</t>
        </is>
      </c>
      <c r="G7613" t="inlineStr">
        <is>
          <t>SMEDJEBACKEN</t>
        </is>
      </c>
      <c r="I7613" t="n">
        <v>4.1</v>
      </c>
      <c r="J7613" t="n">
        <v>0</v>
      </c>
      <c r="K7613" t="n">
        <v>0</v>
      </c>
      <c r="L7613" t="n">
        <v>0</v>
      </c>
      <c r="M7613" t="n">
        <v>0</v>
      </c>
      <c r="N7613" t="n">
        <v>0</v>
      </c>
      <c r="O7613" t="n">
        <v>0</v>
      </c>
      <c r="P7613" t="n">
        <v>0</v>
      </c>
      <c r="Q7613" t="n">
        <v>0</v>
      </c>
      <c r="R7613" t="n">
        <v>0</v>
      </c>
      <c r="S7613" t="n">
        <v>0</v>
      </c>
      <c r="T7613" t="n">
        <v>0</v>
      </c>
      <c r="U7613" t="n">
        <v>0</v>
      </c>
      <c r="V7613" s="2" t="inlineStr"/>
    </row>
    <row r="7614" ht="15" customHeight="1">
      <c r="A7614" t="inlineStr">
        <is>
          <t>A 18708-2026</t>
        </is>
      </c>
      <c r="B7614" t="inlineStr">
        <is>
          <t>avverkningsanmälan</t>
        </is>
      </c>
      <c r="C7614" t="inlineStr">
        <is>
          <t>Föryngringsavverkning</t>
        </is>
      </c>
      <c r="D7614" s="1" t="n">
        <v>46128</v>
      </c>
      <c r="E7614" s="1" t="n">
        <v>46319</v>
      </c>
      <c r="F7614" t="inlineStr">
        <is>
          <t>DALARNAS LÄN</t>
        </is>
      </c>
      <c r="G7614" t="inlineStr">
        <is>
          <t>FALUN</t>
        </is>
      </c>
      <c r="I7614" t="n">
        <v>8</v>
      </c>
      <c r="J7614" t="n">
        <v>0</v>
      </c>
      <c r="K7614" t="n">
        <v>0</v>
      </c>
      <c r="L7614" t="n">
        <v>0</v>
      </c>
      <c r="M7614" t="n">
        <v>0</v>
      </c>
      <c r="N7614" t="n">
        <v>0</v>
      </c>
      <c r="O7614" t="n">
        <v>0</v>
      </c>
      <c r="P7614" t="n">
        <v>0</v>
      </c>
      <c r="Q7614" t="n">
        <v>0</v>
      </c>
      <c r="R7614" t="n">
        <v>0</v>
      </c>
      <c r="S7614" t="n">
        <v>0</v>
      </c>
      <c r="T7614" t="n">
        <v>0</v>
      </c>
      <c r="U7614" t="n">
        <v>0</v>
      </c>
      <c r="V7614" s="2" t="inlineStr"/>
    </row>
    <row r="7615" ht="15" customHeight="1">
      <c r="A7615" t="inlineStr">
        <is>
          <t>A 12232-2026</t>
        </is>
      </c>
      <c r="B7615" t="inlineStr">
        <is>
          <t>avverkningsanmälan</t>
        </is>
      </c>
      <c r="C7615" t="inlineStr">
        <is>
          <t>Föryngringsavverkning</t>
        </is>
      </c>
      <c r="D7615" s="1" t="n">
        <v>46087</v>
      </c>
      <c r="E7615" s="1" t="n">
        <v>46319</v>
      </c>
      <c r="F7615" t="inlineStr">
        <is>
          <t>DALARNAS LÄN</t>
        </is>
      </c>
      <c r="G7615" t="inlineStr">
        <is>
          <t>FALUN</t>
        </is>
      </c>
      <c r="I7615" t="n">
        <v>7.5</v>
      </c>
      <c r="J7615" t="n">
        <v>0</v>
      </c>
      <c r="K7615" t="n">
        <v>0</v>
      </c>
      <c r="L7615" t="n">
        <v>0</v>
      </c>
      <c r="M7615" t="n">
        <v>0</v>
      </c>
      <c r="N7615" t="n">
        <v>0</v>
      </c>
      <c r="O7615" t="n">
        <v>0</v>
      </c>
      <c r="P7615" t="n">
        <v>0</v>
      </c>
      <c r="Q7615" t="n">
        <v>0</v>
      </c>
      <c r="R7615" t="n">
        <v>0</v>
      </c>
      <c r="S7615" t="n">
        <v>0</v>
      </c>
      <c r="T7615" t="n">
        <v>0</v>
      </c>
      <c r="U7615" t="n">
        <v>0</v>
      </c>
      <c r="V7615" s="2" t="inlineStr"/>
    </row>
    <row r="7616" ht="15" customHeight="1">
      <c r="A7616" t="inlineStr">
        <is>
          <t>A 6318-2026</t>
        </is>
      </c>
      <c r="B7616" t="inlineStr">
        <is>
          <t>avverkningsanmälan</t>
        </is>
      </c>
      <c r="C7616" t="inlineStr">
        <is>
          <t>Föryngringsavverkning</t>
        </is>
      </c>
      <c r="D7616" s="1" t="n">
        <v>46051</v>
      </c>
      <c r="E7616" s="1" t="n">
        <v>46319</v>
      </c>
      <c r="F7616" t="inlineStr">
        <is>
          <t>DALARNAS LÄN</t>
        </is>
      </c>
      <c r="G7616" t="inlineStr">
        <is>
          <t>SÄTER</t>
        </is>
      </c>
      <c r="H7616" t="inlineStr">
        <is>
          <t>Kommuner</t>
        </is>
      </c>
      <c r="I7616" t="n">
        <v>42.6</v>
      </c>
      <c r="J7616" t="n">
        <v>0</v>
      </c>
      <c r="K7616" t="n">
        <v>0</v>
      </c>
      <c r="L7616" t="n">
        <v>0</v>
      </c>
      <c r="M7616" t="n">
        <v>0</v>
      </c>
      <c r="N7616" t="n">
        <v>0</v>
      </c>
      <c r="O7616" t="n">
        <v>0</v>
      </c>
      <c r="P7616" t="n">
        <v>0</v>
      </c>
      <c r="Q7616" t="n">
        <v>0</v>
      </c>
      <c r="R7616" t="n">
        <v>0</v>
      </c>
      <c r="S7616" t="n">
        <v>0</v>
      </c>
      <c r="T7616" t="n">
        <v>0</v>
      </c>
      <c r="U7616" t="n">
        <v>0</v>
      </c>
      <c r="V7616" s="2" t="inlineStr"/>
    </row>
    <row r="7617" ht="15" customHeight="1">
      <c r="A7617" t="inlineStr">
        <is>
          <t>A 37315-2026</t>
        </is>
      </c>
      <c r="B7617" t="inlineStr">
        <is>
          <t>avverkningsanmälan</t>
        </is>
      </c>
      <c r="C7617" t="inlineStr">
        <is>
          <t>Föryngringsavverkning</t>
        </is>
      </c>
      <c r="D7617" s="1" t="n">
        <v>46274</v>
      </c>
      <c r="E7617" s="1" t="n">
        <v>46319</v>
      </c>
      <c r="F7617" t="inlineStr">
        <is>
          <t>DALARNAS LÄN</t>
        </is>
      </c>
      <c r="G7617" t="inlineStr">
        <is>
          <t>MALUNG-SÄLEN</t>
        </is>
      </c>
      <c r="I7617" t="n">
        <v>0.7</v>
      </c>
      <c r="J7617" t="n">
        <v>0</v>
      </c>
      <c r="K7617" t="n">
        <v>0</v>
      </c>
      <c r="L7617" t="n">
        <v>0</v>
      </c>
      <c r="M7617" t="n">
        <v>0</v>
      </c>
      <c r="N7617" t="n">
        <v>0</v>
      </c>
      <c r="O7617" t="n">
        <v>0</v>
      </c>
      <c r="P7617" t="n">
        <v>0</v>
      </c>
      <c r="Q7617" t="n">
        <v>0</v>
      </c>
      <c r="R7617" t="n">
        <v>0</v>
      </c>
      <c r="S7617" t="n">
        <v>0</v>
      </c>
      <c r="T7617" t="n">
        <v>0</v>
      </c>
      <c r="U7617" t="n">
        <v>0</v>
      </c>
      <c r="V7617" s="2" t="inlineStr"/>
    </row>
    <row r="7618" ht="15" customHeight="1">
      <c r="A7618" t="inlineStr">
        <is>
          <t>A 37247-2026</t>
        </is>
      </c>
      <c r="B7618" t="inlineStr">
        <is>
          <t>avverkningsanmälan</t>
        </is>
      </c>
      <c r="C7618" t="inlineStr">
        <is>
          <t>Föryngringsavverkning</t>
        </is>
      </c>
      <c r="D7618" s="1" t="n">
        <v>46274</v>
      </c>
      <c r="E7618" s="1" t="n">
        <v>46319</v>
      </c>
      <c r="F7618" t="inlineStr">
        <is>
          <t>DALARNAS LÄN</t>
        </is>
      </c>
      <c r="G7618" t="inlineStr">
        <is>
          <t>VANSBRO</t>
        </is>
      </c>
      <c r="H7618" t="inlineStr">
        <is>
          <t>Bergvik skog öst AB</t>
        </is>
      </c>
      <c r="I7618" t="n">
        <v>2.6</v>
      </c>
      <c r="J7618" t="n">
        <v>0</v>
      </c>
      <c r="K7618" t="n">
        <v>0</v>
      </c>
      <c r="L7618" t="n">
        <v>0</v>
      </c>
      <c r="M7618" t="n">
        <v>0</v>
      </c>
      <c r="N7618" t="n">
        <v>0</v>
      </c>
      <c r="O7618" t="n">
        <v>0</v>
      </c>
      <c r="P7618" t="n">
        <v>0</v>
      </c>
      <c r="Q7618" t="n">
        <v>0</v>
      </c>
      <c r="R7618" t="n">
        <v>0</v>
      </c>
      <c r="S7618" t="n">
        <v>0</v>
      </c>
      <c r="T7618" t="n">
        <v>0</v>
      </c>
      <c r="U7618" t="n">
        <v>0</v>
      </c>
      <c r="V7618" s="2" t="inlineStr"/>
    </row>
    <row r="7619" ht="15" customHeight="1">
      <c r="A7619" t="inlineStr">
        <is>
          <t>A 45674-2024</t>
        </is>
      </c>
      <c r="B7619" t="inlineStr">
        <is>
          <t>avverkningsanmälan</t>
        </is>
      </c>
      <c r="C7619" t="inlineStr">
        <is>
          <t>Föryngringsavverkning</t>
        </is>
      </c>
      <c r="D7619" s="1" t="n">
        <v>45573</v>
      </c>
      <c r="E7619" s="1" t="n">
        <v>46319</v>
      </c>
      <c r="F7619" t="inlineStr">
        <is>
          <t>DALARNAS LÄN</t>
        </is>
      </c>
      <c r="G7619" t="inlineStr">
        <is>
          <t>MORA</t>
        </is>
      </c>
      <c r="I7619" t="n">
        <v>3.2</v>
      </c>
      <c r="J7619" t="n">
        <v>0</v>
      </c>
      <c r="K7619" t="n">
        <v>0</v>
      </c>
      <c r="L7619" t="n">
        <v>0</v>
      </c>
      <c r="M7619" t="n">
        <v>0</v>
      </c>
      <c r="N7619" t="n">
        <v>0</v>
      </c>
      <c r="O7619" t="n">
        <v>0</v>
      </c>
      <c r="P7619" t="n">
        <v>0</v>
      </c>
      <c r="Q7619" t="n">
        <v>0</v>
      </c>
      <c r="R7619" t="n">
        <v>0</v>
      </c>
      <c r="S7619" t="n">
        <v>0</v>
      </c>
      <c r="T7619" t="n">
        <v>0</v>
      </c>
      <c r="U7619" t="n">
        <v>0</v>
      </c>
      <c r="V7619" s="2" t="inlineStr"/>
    </row>
    <row r="7620" ht="15" customHeight="1">
      <c r="A7620" t="inlineStr">
        <is>
          <t>A 44226-2026</t>
        </is>
      </c>
      <c r="B7620" t="inlineStr">
        <is>
          <t>avverkningsanmälan</t>
        </is>
      </c>
      <c r="C7620" t="inlineStr">
        <is>
          <t>Föryngringsavverkning</t>
        </is>
      </c>
      <c r="D7620" s="1" t="n">
        <v>46318</v>
      </c>
      <c r="E7620" s="1" t="n">
        <v>46319</v>
      </c>
      <c r="F7620" t="inlineStr">
        <is>
          <t>DALARNAS LÄN</t>
        </is>
      </c>
      <c r="G7620" t="inlineStr">
        <is>
          <t>ÄLVDALEN</t>
        </is>
      </c>
      <c r="H7620" t="inlineStr">
        <is>
          <t>Allmännings- och besparingsskogar</t>
        </is>
      </c>
      <c r="I7620" t="n">
        <v>2.6</v>
      </c>
      <c r="J7620" t="n">
        <v>0</v>
      </c>
      <c r="K7620" t="n">
        <v>0</v>
      </c>
      <c r="L7620" t="n">
        <v>0</v>
      </c>
      <c r="M7620" t="n">
        <v>0</v>
      </c>
      <c r="N7620" t="n">
        <v>0</v>
      </c>
      <c r="O7620" t="n">
        <v>0</v>
      </c>
      <c r="P7620" t="n">
        <v>0</v>
      </c>
      <c r="Q7620" t="n">
        <v>0</v>
      </c>
      <c r="R7620" t="n">
        <v>0</v>
      </c>
      <c r="S7620" t="n">
        <v>0</v>
      </c>
      <c r="T7620" t="n">
        <v>0</v>
      </c>
      <c r="U7620" t="n">
        <v>0</v>
      </c>
      <c r="V7620" s="2" t="inlineStr"/>
    </row>
    <row r="7621" ht="15" customHeight="1">
      <c r="A7621" t="inlineStr">
        <is>
          <t>A 7656-2023</t>
        </is>
      </c>
      <c r="B7621" t="inlineStr">
        <is>
          <t>avverkningsanmälan</t>
        </is>
      </c>
      <c r="C7621" t="inlineStr">
        <is>
          <t>Föryngringsavverkning</t>
        </is>
      </c>
      <c r="D7621" s="1" t="n">
        <v>44972</v>
      </c>
      <c r="E7621" s="1" t="n">
        <v>46319</v>
      </c>
      <c r="F7621" t="inlineStr">
        <is>
          <t>DALARNAS LÄN</t>
        </is>
      </c>
      <c r="G7621" t="inlineStr">
        <is>
          <t>FALUN</t>
        </is>
      </c>
      <c r="I7621" t="n">
        <v>26.1</v>
      </c>
      <c r="J7621" t="n">
        <v>0</v>
      </c>
      <c r="K7621" t="n">
        <v>0</v>
      </c>
      <c r="L7621" t="n">
        <v>0</v>
      </c>
      <c r="M7621" t="n">
        <v>0</v>
      </c>
      <c r="N7621" t="n">
        <v>0</v>
      </c>
      <c r="O7621" t="n">
        <v>0</v>
      </c>
      <c r="P7621" t="n">
        <v>0</v>
      </c>
      <c r="Q7621" t="n">
        <v>0</v>
      </c>
      <c r="R7621" t="n">
        <v>0</v>
      </c>
      <c r="S7621" t="n">
        <v>0</v>
      </c>
      <c r="T7621" t="n">
        <v>0</v>
      </c>
      <c r="U7621" t="n">
        <v>0</v>
      </c>
      <c r="V7621" s="2" t="inlineStr"/>
    </row>
    <row r="7622" ht="15" customHeight="1">
      <c r="A7622" t="inlineStr">
        <is>
          <t>A 5045-2026</t>
        </is>
      </c>
      <c r="B7622" t="inlineStr">
        <is>
          <t>avverkningsanmälan</t>
        </is>
      </c>
      <c r="C7622" t="inlineStr">
        <is>
          <t>Föryngringsavverkning</t>
        </is>
      </c>
      <c r="D7622" s="1" t="n">
        <v>46049</v>
      </c>
      <c r="E7622" s="1" t="n">
        <v>46319</v>
      </c>
      <c r="F7622" t="inlineStr">
        <is>
          <t>DALARNAS LÄN</t>
        </is>
      </c>
      <c r="G7622" t="inlineStr">
        <is>
          <t>ORSA</t>
        </is>
      </c>
      <c r="I7622" t="n">
        <v>1.3</v>
      </c>
      <c r="J7622" t="n">
        <v>0</v>
      </c>
      <c r="K7622" t="n">
        <v>0</v>
      </c>
      <c r="L7622" t="n">
        <v>0</v>
      </c>
      <c r="M7622" t="n">
        <v>0</v>
      </c>
      <c r="N7622" t="n">
        <v>0</v>
      </c>
      <c r="O7622" t="n">
        <v>0</v>
      </c>
      <c r="P7622" t="n">
        <v>0</v>
      </c>
      <c r="Q7622" t="n">
        <v>0</v>
      </c>
      <c r="R7622" t="n">
        <v>0</v>
      </c>
      <c r="S7622" t="n">
        <v>0</v>
      </c>
      <c r="T7622" t="n">
        <v>0</v>
      </c>
      <c r="U7622" t="n">
        <v>0</v>
      </c>
      <c r="V7622" s="2" t="inlineStr"/>
    </row>
    <row r="7623" ht="15" customHeight="1">
      <c r="A7623" t="inlineStr">
        <is>
          <t>A 9408-2026</t>
        </is>
      </c>
      <c r="B7623" t="inlineStr">
        <is>
          <t>avverkningsanmälan</t>
        </is>
      </c>
      <c r="C7623" t="inlineStr">
        <is>
          <t>Föryngringsavverkning</t>
        </is>
      </c>
      <c r="D7623" s="1" t="n">
        <v>46071</v>
      </c>
      <c r="E7623" s="1" t="n">
        <v>46319</v>
      </c>
      <c r="F7623" t="inlineStr">
        <is>
          <t>DALARNAS LÄN</t>
        </is>
      </c>
      <c r="G7623" t="inlineStr">
        <is>
          <t>SÄTER</t>
        </is>
      </c>
      <c r="I7623" t="n">
        <v>2.3</v>
      </c>
      <c r="J7623" t="n">
        <v>0</v>
      </c>
      <c r="K7623" t="n">
        <v>0</v>
      </c>
      <c r="L7623" t="n">
        <v>0</v>
      </c>
      <c r="M7623" t="n">
        <v>0</v>
      </c>
      <c r="N7623" t="n">
        <v>0</v>
      </c>
      <c r="O7623" t="n">
        <v>0</v>
      </c>
      <c r="P7623" t="n">
        <v>0</v>
      </c>
      <c r="Q7623" t="n">
        <v>0</v>
      </c>
      <c r="R7623" t="n">
        <v>0</v>
      </c>
      <c r="S7623" t="n">
        <v>0</v>
      </c>
      <c r="T7623" t="n">
        <v>0</v>
      </c>
      <c r="U7623" t="n">
        <v>0</v>
      </c>
      <c r="V7623" s="2" t="inlineStr"/>
    </row>
    <row r="7624" ht="15" customHeight="1">
      <c r="A7624" t="inlineStr">
        <is>
          <t>A 62002-2024</t>
        </is>
      </c>
      <c r="B7624" t="inlineStr">
        <is>
          <t>avverkningsanmälan</t>
        </is>
      </c>
      <c r="C7624" t="inlineStr">
        <is>
          <t>Föryngringsavverkning</t>
        </is>
      </c>
      <c r="D7624" s="1" t="n">
        <v>45654</v>
      </c>
      <c r="E7624" s="1" t="n">
        <v>46319</v>
      </c>
      <c r="F7624" t="inlineStr">
        <is>
          <t>DALARNAS LÄN</t>
        </is>
      </c>
      <c r="G7624" t="inlineStr">
        <is>
          <t>MALUNG-SÄLEN</t>
        </is>
      </c>
      <c r="I7624" t="n">
        <v>5</v>
      </c>
      <c r="J7624" t="n">
        <v>0</v>
      </c>
      <c r="K7624" t="n">
        <v>0</v>
      </c>
      <c r="L7624" t="n">
        <v>0</v>
      </c>
      <c r="M7624" t="n">
        <v>0</v>
      </c>
      <c r="N7624" t="n">
        <v>0</v>
      </c>
      <c r="O7624" t="n">
        <v>0</v>
      </c>
      <c r="P7624" t="n">
        <v>0</v>
      </c>
      <c r="Q7624" t="n">
        <v>0</v>
      </c>
      <c r="R7624" t="n">
        <v>0</v>
      </c>
      <c r="S7624" t="n">
        <v>0</v>
      </c>
      <c r="T7624" t="n">
        <v>0</v>
      </c>
      <c r="U7624" t="n">
        <v>0</v>
      </c>
      <c r="V7624" s="2" t="inlineStr"/>
    </row>
    <row r="7625" ht="15" customHeight="1">
      <c r="A7625" t="inlineStr">
        <is>
          <t>A 37601-2026</t>
        </is>
      </c>
      <c r="B7625" t="inlineStr">
        <is>
          <t>avverkningsanmälan</t>
        </is>
      </c>
      <c r="C7625" t="inlineStr">
        <is>
          <t>Föryngringsavverkning</t>
        </is>
      </c>
      <c r="D7625" s="1" t="n">
        <v>46276</v>
      </c>
      <c r="E7625" s="1" t="n">
        <v>46319</v>
      </c>
      <c r="F7625" t="inlineStr">
        <is>
          <t>DALARNAS LÄN</t>
        </is>
      </c>
      <c r="G7625" t="inlineStr">
        <is>
          <t>ÄLVDALEN</t>
        </is>
      </c>
      <c r="H7625" t="inlineStr">
        <is>
          <t>Allmännings- och besparingsskogar</t>
        </is>
      </c>
      <c r="I7625" t="n">
        <v>9.1</v>
      </c>
      <c r="J7625" t="n">
        <v>0</v>
      </c>
      <c r="K7625" t="n">
        <v>0</v>
      </c>
      <c r="L7625" t="n">
        <v>0</v>
      </c>
      <c r="M7625" t="n">
        <v>0</v>
      </c>
      <c r="N7625" t="n">
        <v>0</v>
      </c>
      <c r="O7625" t="n">
        <v>0</v>
      </c>
      <c r="P7625" t="n">
        <v>0</v>
      </c>
      <c r="Q7625" t="n">
        <v>0</v>
      </c>
      <c r="R7625" t="n">
        <v>0</v>
      </c>
      <c r="S7625" t="n">
        <v>0</v>
      </c>
      <c r="T7625" t="n">
        <v>0</v>
      </c>
      <c r="U7625" t="n">
        <v>0</v>
      </c>
      <c r="V7625" s="2" t="inlineStr"/>
    </row>
    <row r="7626" ht="15" customHeight="1">
      <c r="A7626" t="inlineStr">
        <is>
          <t>A 37602-2026</t>
        </is>
      </c>
      <c r="B7626" t="inlineStr">
        <is>
          <t>avverkningsanmälan</t>
        </is>
      </c>
      <c r="C7626" t="inlineStr">
        <is>
          <t>Föryngringsavverkning</t>
        </is>
      </c>
      <c r="D7626" s="1" t="n">
        <v>46276</v>
      </c>
      <c r="E7626" s="1" t="n">
        <v>46319</v>
      </c>
      <c r="F7626" t="inlineStr">
        <is>
          <t>DALARNAS LÄN</t>
        </is>
      </c>
      <c r="G7626" t="inlineStr">
        <is>
          <t>ORSA</t>
        </is>
      </c>
      <c r="I7626" t="n">
        <v>0.7</v>
      </c>
      <c r="J7626" t="n">
        <v>0</v>
      </c>
      <c r="K7626" t="n">
        <v>0</v>
      </c>
      <c r="L7626" t="n">
        <v>0</v>
      </c>
      <c r="M7626" t="n">
        <v>0</v>
      </c>
      <c r="N7626" t="n">
        <v>0</v>
      </c>
      <c r="O7626" t="n">
        <v>0</v>
      </c>
      <c r="P7626" t="n">
        <v>0</v>
      </c>
      <c r="Q7626" t="n">
        <v>0</v>
      </c>
      <c r="R7626" t="n">
        <v>0</v>
      </c>
      <c r="S7626" t="n">
        <v>0</v>
      </c>
      <c r="T7626" t="n">
        <v>0</v>
      </c>
      <c r="U7626" t="n">
        <v>0</v>
      </c>
      <c r="V7626" s="2" t="inlineStr"/>
    </row>
    <row r="7627" ht="15" customHeight="1">
      <c r="A7627" t="inlineStr">
        <is>
          <t>A 15535-2023</t>
        </is>
      </c>
      <c r="B7627" t="inlineStr">
        <is>
          <t>avverkningsanmälan</t>
        </is>
      </c>
      <c r="C7627" t="inlineStr">
        <is>
          <t>Föryngringsavverkning</t>
        </is>
      </c>
      <c r="D7627" s="1" t="n">
        <v>45020</v>
      </c>
      <c r="E7627" s="1" t="n">
        <v>46319</v>
      </c>
      <c r="F7627" t="inlineStr">
        <is>
          <t>DALARNAS LÄN</t>
        </is>
      </c>
      <c r="G7627" t="inlineStr">
        <is>
          <t>FALUN</t>
        </is>
      </c>
      <c r="I7627" t="n">
        <v>3.6</v>
      </c>
      <c r="J7627" t="n">
        <v>0</v>
      </c>
      <c r="K7627" t="n">
        <v>0</v>
      </c>
      <c r="L7627" t="n">
        <v>0</v>
      </c>
      <c r="M7627" t="n">
        <v>0</v>
      </c>
      <c r="N7627" t="n">
        <v>0</v>
      </c>
      <c r="O7627" t="n">
        <v>0</v>
      </c>
      <c r="P7627" t="n">
        <v>0</v>
      </c>
      <c r="Q7627" t="n">
        <v>0</v>
      </c>
      <c r="R7627" t="n">
        <v>0</v>
      </c>
      <c r="S7627" t="n">
        <v>0</v>
      </c>
      <c r="T7627" t="n">
        <v>0</v>
      </c>
      <c r="U7627" t="n">
        <v>0</v>
      </c>
      <c r="V7627" s="2" t="inlineStr"/>
    </row>
    <row r="7628" ht="15" customHeight="1">
      <c r="A7628" t="inlineStr">
        <is>
          <t>A 14019-2026</t>
        </is>
      </c>
      <c r="B7628" t="inlineStr">
        <is>
          <t>avverkningsanmälan</t>
        </is>
      </c>
      <c r="C7628" t="inlineStr">
        <is>
          <t>Föryngringsavverkning</t>
        </is>
      </c>
      <c r="D7628" s="1" t="n">
        <v>46098</v>
      </c>
      <c r="E7628" s="1" t="n">
        <v>46319</v>
      </c>
      <c r="F7628" t="inlineStr">
        <is>
          <t>DALARNAS LÄN</t>
        </is>
      </c>
      <c r="G7628" t="inlineStr">
        <is>
          <t>SÄTER</t>
        </is>
      </c>
      <c r="I7628" t="n">
        <v>6</v>
      </c>
      <c r="J7628" t="n">
        <v>0</v>
      </c>
      <c r="K7628" t="n">
        <v>0</v>
      </c>
      <c r="L7628" t="n">
        <v>0</v>
      </c>
      <c r="M7628" t="n">
        <v>0</v>
      </c>
      <c r="N7628" t="n">
        <v>0</v>
      </c>
      <c r="O7628" t="n">
        <v>0</v>
      </c>
      <c r="P7628" t="n">
        <v>0</v>
      </c>
      <c r="Q7628" t="n">
        <v>0</v>
      </c>
      <c r="R7628" t="n">
        <v>0</v>
      </c>
      <c r="S7628" t="n">
        <v>0</v>
      </c>
      <c r="T7628" t="n">
        <v>0</v>
      </c>
      <c r="U7628" t="n">
        <v>0</v>
      </c>
      <c r="V7628" s="2" t="inlineStr"/>
    </row>
    <row r="7629" ht="15" customHeight="1">
      <c r="A7629" t="inlineStr">
        <is>
          <t>A 20889-2026</t>
        </is>
      </c>
      <c r="B7629" t="inlineStr">
        <is>
          <t>avverkningsanmälan</t>
        </is>
      </c>
      <c r="C7629" t="inlineStr">
        <is>
          <t>Föryngringsavverkning</t>
        </is>
      </c>
      <c r="D7629" s="1" t="n">
        <v>46142</v>
      </c>
      <c r="E7629" s="1" t="n">
        <v>46319</v>
      </c>
      <c r="F7629" t="inlineStr">
        <is>
          <t>DALARNAS LÄN</t>
        </is>
      </c>
      <c r="G7629" t="inlineStr">
        <is>
          <t>FALUN</t>
        </is>
      </c>
      <c r="I7629" t="n">
        <v>1.3</v>
      </c>
      <c r="J7629" t="n">
        <v>0</v>
      </c>
      <c r="K7629" t="n">
        <v>0</v>
      </c>
      <c r="L7629" t="n">
        <v>0</v>
      </c>
      <c r="M7629" t="n">
        <v>0</v>
      </c>
      <c r="N7629" t="n">
        <v>0</v>
      </c>
      <c r="O7629" t="n">
        <v>0</v>
      </c>
      <c r="P7629" t="n">
        <v>0</v>
      </c>
      <c r="Q7629" t="n">
        <v>0</v>
      </c>
      <c r="R7629" t="n">
        <v>0</v>
      </c>
      <c r="S7629" t="n">
        <v>0</v>
      </c>
      <c r="T7629" t="n">
        <v>0</v>
      </c>
      <c r="U7629" t="n">
        <v>0</v>
      </c>
      <c r="V7629" s="2" t="inlineStr"/>
    </row>
    <row r="7630" ht="15" customHeight="1">
      <c r="A7630" t="inlineStr">
        <is>
          <t>A 20891-2026</t>
        </is>
      </c>
      <c r="B7630" t="inlineStr">
        <is>
          <t>avverkningsanmälan</t>
        </is>
      </c>
      <c r="C7630" t="inlineStr">
        <is>
          <t>Föryngringsavverkning</t>
        </is>
      </c>
      <c r="D7630" s="1" t="n">
        <v>46142</v>
      </c>
      <c r="E7630" s="1" t="n">
        <v>46319</v>
      </c>
      <c r="F7630" t="inlineStr">
        <is>
          <t>DALARNAS LÄN</t>
        </is>
      </c>
      <c r="G7630" t="inlineStr">
        <is>
          <t>FALUN</t>
        </is>
      </c>
      <c r="I7630" t="n">
        <v>3.5</v>
      </c>
      <c r="J7630" t="n">
        <v>0</v>
      </c>
      <c r="K7630" t="n">
        <v>0</v>
      </c>
      <c r="L7630" t="n">
        <v>0</v>
      </c>
      <c r="M7630" t="n">
        <v>0</v>
      </c>
      <c r="N7630" t="n">
        <v>0</v>
      </c>
      <c r="O7630" t="n">
        <v>0</v>
      </c>
      <c r="P7630" t="n">
        <v>0</v>
      </c>
      <c r="Q7630" t="n">
        <v>0</v>
      </c>
      <c r="R7630" t="n">
        <v>0</v>
      </c>
      <c r="S7630" t="n">
        <v>0</v>
      </c>
      <c r="T7630" t="n">
        <v>0</v>
      </c>
      <c r="U7630" t="n">
        <v>0</v>
      </c>
      <c r="V7630" s="2" t="inlineStr"/>
    </row>
    <row r="7631" ht="15" customHeight="1">
      <c r="A7631" t="inlineStr">
        <is>
          <t>A 37651-2026</t>
        </is>
      </c>
      <c r="B7631" t="inlineStr">
        <is>
          <t>avverkningsanmälan</t>
        </is>
      </c>
      <c r="C7631" t="inlineStr">
        <is>
          <t>Föryngringsavverkning</t>
        </is>
      </c>
      <c r="D7631" s="1" t="n">
        <v>46276</v>
      </c>
      <c r="E7631" s="1" t="n">
        <v>46319</v>
      </c>
      <c r="F7631" t="inlineStr">
        <is>
          <t>DALARNAS LÄN</t>
        </is>
      </c>
      <c r="G7631" t="inlineStr">
        <is>
          <t>ORSA</t>
        </is>
      </c>
      <c r="I7631" t="n">
        <v>8.9</v>
      </c>
      <c r="J7631" t="n">
        <v>0</v>
      </c>
      <c r="K7631" t="n">
        <v>0</v>
      </c>
      <c r="L7631" t="n">
        <v>0</v>
      </c>
      <c r="M7631" t="n">
        <v>0</v>
      </c>
      <c r="N7631" t="n">
        <v>0</v>
      </c>
      <c r="O7631" t="n">
        <v>0</v>
      </c>
      <c r="P7631" t="n">
        <v>0</v>
      </c>
      <c r="Q7631" t="n">
        <v>0</v>
      </c>
      <c r="R7631" t="n">
        <v>0</v>
      </c>
      <c r="S7631" t="n">
        <v>0</v>
      </c>
      <c r="T7631" t="n">
        <v>0</v>
      </c>
      <c r="U7631" t="n">
        <v>0</v>
      </c>
      <c r="V7631" s="2" t="inlineStr"/>
    </row>
    <row r="7632" ht="15" customHeight="1">
      <c r="A7632" t="inlineStr">
        <is>
          <t>A 20899-2026</t>
        </is>
      </c>
      <c r="B7632" t="inlineStr">
        <is>
          <t>avverkningsanmälan</t>
        </is>
      </c>
      <c r="C7632" t="inlineStr">
        <is>
          <t>Föryngringsavverkning</t>
        </is>
      </c>
      <c r="D7632" s="1" t="n">
        <v>46142</v>
      </c>
      <c r="E7632" s="1" t="n">
        <v>46319</v>
      </c>
      <c r="F7632" t="inlineStr">
        <is>
          <t>DALARNAS LÄN</t>
        </is>
      </c>
      <c r="G7632" t="inlineStr">
        <is>
          <t>MALUNG-SÄLEN</t>
        </is>
      </c>
      <c r="H7632" t="inlineStr">
        <is>
          <t>Allmännings- och besparingsskogar</t>
        </is>
      </c>
      <c r="I7632" t="n">
        <v>0.8</v>
      </c>
      <c r="J7632" t="n">
        <v>0</v>
      </c>
      <c r="K7632" t="n">
        <v>0</v>
      </c>
      <c r="L7632" t="n">
        <v>0</v>
      </c>
      <c r="M7632" t="n">
        <v>0</v>
      </c>
      <c r="N7632" t="n">
        <v>0</v>
      </c>
      <c r="O7632" t="n">
        <v>0</v>
      </c>
      <c r="P7632" t="n">
        <v>0</v>
      </c>
      <c r="Q7632" t="n">
        <v>0</v>
      </c>
      <c r="R7632" t="n">
        <v>0</v>
      </c>
      <c r="S7632" t="n">
        <v>0</v>
      </c>
      <c r="T7632" t="n">
        <v>0</v>
      </c>
      <c r="U7632" t="n">
        <v>0</v>
      </c>
      <c r="V7632" s="2" t="inlineStr"/>
    </row>
    <row r="7633" ht="15" customHeight="1">
      <c r="A7633" t="inlineStr">
        <is>
          <t>A 20939-2026</t>
        </is>
      </c>
      <c r="B7633" t="inlineStr">
        <is>
          <t>avverkningsanmälan</t>
        </is>
      </c>
      <c r="C7633" t="inlineStr">
        <is>
          <t>Föryngringsavverkning</t>
        </is>
      </c>
      <c r="D7633" s="1" t="n">
        <v>46142</v>
      </c>
      <c r="E7633" s="1" t="n">
        <v>46319</v>
      </c>
      <c r="F7633" t="inlineStr">
        <is>
          <t>DALARNAS LÄN</t>
        </is>
      </c>
      <c r="G7633" t="inlineStr">
        <is>
          <t>RÄTTVIK</t>
        </is>
      </c>
      <c r="H7633" t="inlineStr">
        <is>
          <t>Sveaskog</t>
        </is>
      </c>
      <c r="I7633" t="n">
        <v>0.6</v>
      </c>
      <c r="J7633" t="n">
        <v>0</v>
      </c>
      <c r="K7633" t="n">
        <v>0</v>
      </c>
      <c r="L7633" t="n">
        <v>0</v>
      </c>
      <c r="M7633" t="n">
        <v>0</v>
      </c>
      <c r="N7633" t="n">
        <v>0</v>
      </c>
      <c r="O7633" t="n">
        <v>0</v>
      </c>
      <c r="P7633" t="n">
        <v>0</v>
      </c>
      <c r="Q7633" t="n">
        <v>0</v>
      </c>
      <c r="R7633" t="n">
        <v>0</v>
      </c>
      <c r="S7633" t="n">
        <v>0</v>
      </c>
      <c r="T7633" t="n">
        <v>0</v>
      </c>
      <c r="U7633" t="n">
        <v>0</v>
      </c>
      <c r="V7633" s="2" t="inlineStr"/>
    </row>
    <row r="7634" ht="15" customHeight="1">
      <c r="A7634" t="inlineStr">
        <is>
          <t>A 29771-2024</t>
        </is>
      </c>
      <c r="B7634" t="inlineStr">
        <is>
          <t>avverkningsanmälan</t>
        </is>
      </c>
      <c r="C7634" t="inlineStr">
        <is>
          <t>Föryngringsavverkning</t>
        </is>
      </c>
      <c r="D7634" s="1" t="n">
        <v>45485</v>
      </c>
      <c r="E7634" s="1" t="n">
        <v>46319</v>
      </c>
      <c r="F7634" t="inlineStr">
        <is>
          <t>DALARNAS LÄN</t>
        </is>
      </c>
      <c r="G7634" t="inlineStr">
        <is>
          <t>MALUNG-SÄLEN</t>
        </is>
      </c>
      <c r="H7634" t="inlineStr">
        <is>
          <t>Bergvik skog öst AB</t>
        </is>
      </c>
      <c r="I7634" t="n">
        <v>1.3</v>
      </c>
      <c r="J7634" t="n">
        <v>0</v>
      </c>
      <c r="K7634" t="n">
        <v>0</v>
      </c>
      <c r="L7634" t="n">
        <v>0</v>
      </c>
      <c r="M7634" t="n">
        <v>0</v>
      </c>
      <c r="N7634" t="n">
        <v>0</v>
      </c>
      <c r="O7634" t="n">
        <v>0</v>
      </c>
      <c r="P7634" t="n">
        <v>0</v>
      </c>
      <c r="Q7634" t="n">
        <v>0</v>
      </c>
      <c r="R7634" t="n">
        <v>0</v>
      </c>
      <c r="S7634" t="n">
        <v>0</v>
      </c>
      <c r="T7634" t="n">
        <v>0</v>
      </c>
      <c r="U7634" t="n">
        <v>0</v>
      </c>
      <c r="V7634" s="2" t="inlineStr"/>
    </row>
    <row r="7635" ht="15" customHeight="1">
      <c r="A7635" t="inlineStr">
        <is>
          <t>A 26837-2024</t>
        </is>
      </c>
      <c r="B7635" t="inlineStr">
        <is>
          <t>avverkningsanmälan</t>
        </is>
      </c>
      <c r="C7635" t="inlineStr">
        <is>
          <t>Föryngringsavverkning</t>
        </is>
      </c>
      <c r="D7635" s="1" t="n">
        <v>45470</v>
      </c>
      <c r="E7635" s="1" t="n">
        <v>46319</v>
      </c>
      <c r="F7635" t="inlineStr">
        <is>
          <t>DALARNAS LÄN</t>
        </is>
      </c>
      <c r="G7635" t="inlineStr">
        <is>
          <t>MALUNG-SÄLEN</t>
        </is>
      </c>
      <c r="H7635" t="inlineStr">
        <is>
          <t>Bergvik skog väst AB</t>
        </is>
      </c>
      <c r="I7635" t="n">
        <v>2.1</v>
      </c>
      <c r="J7635" t="n">
        <v>0</v>
      </c>
      <c r="K7635" t="n">
        <v>0</v>
      </c>
      <c r="L7635" t="n">
        <v>0</v>
      </c>
      <c r="M7635" t="n">
        <v>0</v>
      </c>
      <c r="N7635" t="n">
        <v>0</v>
      </c>
      <c r="O7635" t="n">
        <v>0</v>
      </c>
      <c r="P7635" t="n">
        <v>0</v>
      </c>
      <c r="Q7635" t="n">
        <v>0</v>
      </c>
      <c r="R7635" t="n">
        <v>0</v>
      </c>
      <c r="S7635" t="n">
        <v>0</v>
      </c>
      <c r="T7635" t="n">
        <v>0</v>
      </c>
      <c r="U7635" t="n">
        <v>0</v>
      </c>
      <c r="V7635" s="2" t="inlineStr"/>
    </row>
    <row r="7636" ht="15" customHeight="1">
      <c r="A7636" t="inlineStr">
        <is>
          <t>A 37502-2026</t>
        </is>
      </c>
      <c r="B7636" t="inlineStr">
        <is>
          <t>avverkningsanmälan</t>
        </is>
      </c>
      <c r="C7636" t="inlineStr">
        <is>
          <t>Föryngringsavverkning</t>
        </is>
      </c>
      <c r="D7636" s="1" t="n">
        <v>46275</v>
      </c>
      <c r="E7636" s="1" t="n">
        <v>46319</v>
      </c>
      <c r="F7636" t="inlineStr">
        <is>
          <t>DALARNAS LÄN</t>
        </is>
      </c>
      <c r="G7636" t="inlineStr">
        <is>
          <t>SÄTER</t>
        </is>
      </c>
      <c r="I7636" t="n">
        <v>0.9</v>
      </c>
      <c r="J7636" t="n">
        <v>0</v>
      </c>
      <c r="K7636" t="n">
        <v>0</v>
      </c>
      <c r="L7636" t="n">
        <v>0</v>
      </c>
      <c r="M7636" t="n">
        <v>0</v>
      </c>
      <c r="N7636" t="n">
        <v>0</v>
      </c>
      <c r="O7636" t="n">
        <v>0</v>
      </c>
      <c r="P7636" t="n">
        <v>0</v>
      </c>
      <c r="Q7636" t="n">
        <v>0</v>
      </c>
      <c r="R7636" t="n">
        <v>0</v>
      </c>
      <c r="S7636" t="n">
        <v>0</v>
      </c>
      <c r="T7636" t="n">
        <v>0</v>
      </c>
      <c r="U7636" t="n">
        <v>0</v>
      </c>
      <c r="V7636" s="2" t="inlineStr"/>
    </row>
    <row r="7637" ht="15" customHeight="1">
      <c r="A7637" t="inlineStr">
        <is>
          <t>A 37538-2026</t>
        </is>
      </c>
      <c r="B7637" t="inlineStr">
        <is>
          <t>avverkningsanmälan</t>
        </is>
      </c>
      <c r="C7637" t="inlineStr">
        <is>
          <t>Föryngringsavverkning</t>
        </is>
      </c>
      <c r="D7637" s="1" t="n">
        <v>46276</v>
      </c>
      <c r="E7637" s="1" t="n">
        <v>46319</v>
      </c>
      <c r="F7637" t="inlineStr">
        <is>
          <t>DALARNAS LÄN</t>
        </is>
      </c>
      <c r="G7637" t="inlineStr">
        <is>
          <t>FALUN</t>
        </is>
      </c>
      <c r="I7637" t="n">
        <v>1.1</v>
      </c>
      <c r="J7637" t="n">
        <v>0</v>
      </c>
      <c r="K7637" t="n">
        <v>0</v>
      </c>
      <c r="L7637" t="n">
        <v>0</v>
      </c>
      <c r="M7637" t="n">
        <v>0</v>
      </c>
      <c r="N7637" t="n">
        <v>0</v>
      </c>
      <c r="O7637" t="n">
        <v>0</v>
      </c>
      <c r="P7637" t="n">
        <v>0</v>
      </c>
      <c r="Q7637" t="n">
        <v>0</v>
      </c>
      <c r="R7637" t="n">
        <v>0</v>
      </c>
      <c r="S7637" t="n">
        <v>0</v>
      </c>
      <c r="T7637" t="n">
        <v>0</v>
      </c>
      <c r="U7637" t="n">
        <v>0</v>
      </c>
      <c r="V7637" s="2" t="inlineStr"/>
    </row>
    <row r="7638" ht="15" customHeight="1">
      <c r="A7638" t="inlineStr">
        <is>
          <t>A 32015-2024</t>
        </is>
      </c>
      <c r="B7638" t="inlineStr">
        <is>
          <t>avverkningsanmälan</t>
        </is>
      </c>
      <c r="C7638" t="inlineStr">
        <is>
          <t>Föryngringsavverkning</t>
        </is>
      </c>
      <c r="D7638" s="1" t="n">
        <v>45510</v>
      </c>
      <c r="E7638" s="1" t="n">
        <v>46319</v>
      </c>
      <c r="F7638" t="inlineStr">
        <is>
          <t>DALARNAS LÄN</t>
        </is>
      </c>
      <c r="G7638" t="inlineStr">
        <is>
          <t>MALUNG-SÄLEN</t>
        </is>
      </c>
      <c r="H7638" t="inlineStr">
        <is>
          <t>Bergvik skog väst AB</t>
        </is>
      </c>
      <c r="I7638" t="n">
        <v>4.7</v>
      </c>
      <c r="J7638" t="n">
        <v>0</v>
      </c>
      <c r="K7638" t="n">
        <v>0</v>
      </c>
      <c r="L7638" t="n">
        <v>0</v>
      </c>
      <c r="M7638" t="n">
        <v>0</v>
      </c>
      <c r="N7638" t="n">
        <v>0</v>
      </c>
      <c r="O7638" t="n">
        <v>0</v>
      </c>
      <c r="P7638" t="n">
        <v>0</v>
      </c>
      <c r="Q7638" t="n">
        <v>0</v>
      </c>
      <c r="R7638" t="n">
        <v>0</v>
      </c>
      <c r="S7638" t="n">
        <v>0</v>
      </c>
      <c r="T7638" t="n">
        <v>0</v>
      </c>
      <c r="U7638" t="n">
        <v>0</v>
      </c>
      <c r="V7638" s="2" t="inlineStr"/>
    </row>
    <row r="7639" ht="15" customHeight="1">
      <c r="A7639" t="inlineStr">
        <is>
          <t>A 64103-2025</t>
        </is>
      </c>
      <c r="B7639" t="inlineStr">
        <is>
          <t>avverkningsanmälan</t>
        </is>
      </c>
      <c r="C7639" t="inlineStr">
        <is>
          <t>Föryngringsavverkning</t>
        </is>
      </c>
      <c r="D7639" s="1" t="n">
        <v>46021</v>
      </c>
      <c r="E7639" s="1" t="n">
        <v>46319</v>
      </c>
      <c r="F7639" t="inlineStr">
        <is>
          <t>DALARNAS LÄN</t>
        </is>
      </c>
      <c r="G7639" t="inlineStr">
        <is>
          <t>FALUN</t>
        </is>
      </c>
      <c r="I7639" t="n">
        <v>4.9</v>
      </c>
      <c r="J7639" t="n">
        <v>0</v>
      </c>
      <c r="K7639" t="n">
        <v>0</v>
      </c>
      <c r="L7639" t="n">
        <v>0</v>
      </c>
      <c r="M7639" t="n">
        <v>0</v>
      </c>
      <c r="N7639" t="n">
        <v>0</v>
      </c>
      <c r="O7639" t="n">
        <v>0</v>
      </c>
      <c r="P7639" t="n">
        <v>0</v>
      </c>
      <c r="Q7639" t="n">
        <v>0</v>
      </c>
      <c r="R7639" t="n">
        <v>0</v>
      </c>
      <c r="S7639" t="n">
        <v>0</v>
      </c>
      <c r="T7639" t="n">
        <v>0</v>
      </c>
      <c r="U7639" t="n">
        <v>0</v>
      </c>
      <c r="V7639" s="2" t="inlineStr"/>
    </row>
    <row r="7640" ht="15" customHeight="1">
      <c r="A7640" t="inlineStr">
        <is>
          <t>A 20666-2026</t>
        </is>
      </c>
      <c r="B7640" t="inlineStr">
        <is>
          <t>avverkningsanmälan</t>
        </is>
      </c>
      <c r="C7640" t="inlineStr">
        <is>
          <t>Föryngringsavverkning</t>
        </is>
      </c>
      <c r="D7640" s="1" t="n">
        <v>46141</v>
      </c>
      <c r="E7640" s="1" t="n">
        <v>46319</v>
      </c>
      <c r="F7640" t="inlineStr">
        <is>
          <t>DALARNAS LÄN</t>
        </is>
      </c>
      <c r="G7640" t="inlineStr">
        <is>
          <t>LUDVIKA</t>
        </is>
      </c>
      <c r="H7640" t="inlineStr">
        <is>
          <t>Bergvik skog väst AB</t>
        </is>
      </c>
      <c r="I7640" t="n">
        <v>2.6</v>
      </c>
      <c r="J7640" t="n">
        <v>0</v>
      </c>
      <c r="K7640" t="n">
        <v>0</v>
      </c>
      <c r="L7640" t="n">
        <v>0</v>
      </c>
      <c r="M7640" t="n">
        <v>0</v>
      </c>
      <c r="N7640" t="n">
        <v>0</v>
      </c>
      <c r="O7640" t="n">
        <v>0</v>
      </c>
      <c r="P7640" t="n">
        <v>0</v>
      </c>
      <c r="Q7640" t="n">
        <v>0</v>
      </c>
      <c r="R7640" t="n">
        <v>0</v>
      </c>
      <c r="S7640" t="n">
        <v>0</v>
      </c>
      <c r="T7640" t="n">
        <v>0</v>
      </c>
      <c r="U7640" t="n">
        <v>0</v>
      </c>
      <c r="V7640" s="2" t="inlineStr"/>
    </row>
    <row r="7641" ht="15" customHeight="1">
      <c r="A7641" t="inlineStr">
        <is>
          <t>A 20677-2026</t>
        </is>
      </c>
      <c r="B7641" t="inlineStr">
        <is>
          <t>avverkningsanmälan</t>
        </is>
      </c>
      <c r="C7641" t="inlineStr">
        <is>
          <t>Föryngringsavverkning</t>
        </is>
      </c>
      <c r="D7641" s="1" t="n">
        <v>46141</v>
      </c>
      <c r="E7641" s="1" t="n">
        <v>46319</v>
      </c>
      <c r="F7641" t="inlineStr">
        <is>
          <t>DALARNAS LÄN</t>
        </is>
      </c>
      <c r="G7641" t="inlineStr">
        <is>
          <t>MORA</t>
        </is>
      </c>
      <c r="I7641" t="n">
        <v>1.7</v>
      </c>
      <c r="J7641" t="n">
        <v>0</v>
      </c>
      <c r="K7641" t="n">
        <v>0</v>
      </c>
      <c r="L7641" t="n">
        <v>0</v>
      </c>
      <c r="M7641" t="n">
        <v>0</v>
      </c>
      <c r="N7641" t="n">
        <v>0</v>
      </c>
      <c r="O7641" t="n">
        <v>0</v>
      </c>
      <c r="P7641" t="n">
        <v>0</v>
      </c>
      <c r="Q7641" t="n">
        <v>0</v>
      </c>
      <c r="R7641" t="n">
        <v>0</v>
      </c>
      <c r="S7641" t="n">
        <v>0</v>
      </c>
      <c r="T7641" t="n">
        <v>0</v>
      </c>
      <c r="U7641" t="n">
        <v>0</v>
      </c>
      <c r="V7641" s="2" t="inlineStr"/>
    </row>
    <row r="7642" ht="15" customHeight="1">
      <c r="A7642" t="inlineStr">
        <is>
          <t>A 28011-2025</t>
        </is>
      </c>
      <c r="B7642" t="inlineStr">
        <is>
          <t>avverkningsanmälan</t>
        </is>
      </c>
      <c r="C7642" t="inlineStr">
        <is>
          <t>Föryngringsavverkning</t>
        </is>
      </c>
      <c r="D7642" s="1" t="n">
        <v>45817</v>
      </c>
      <c r="E7642" s="1" t="n">
        <v>46319</v>
      </c>
      <c r="F7642" t="inlineStr">
        <is>
          <t>DALARNAS LÄN</t>
        </is>
      </c>
      <c r="G7642" t="inlineStr">
        <is>
          <t>VANSBRO</t>
        </is>
      </c>
      <c r="I7642" t="n">
        <v>15.8</v>
      </c>
      <c r="J7642" t="n">
        <v>0</v>
      </c>
      <c r="K7642" t="n">
        <v>0</v>
      </c>
      <c r="L7642" t="n">
        <v>0</v>
      </c>
      <c r="M7642" t="n">
        <v>0</v>
      </c>
      <c r="N7642" t="n">
        <v>0</v>
      </c>
      <c r="O7642" t="n">
        <v>0</v>
      </c>
      <c r="P7642" t="n">
        <v>0</v>
      </c>
      <c r="Q7642" t="n">
        <v>0</v>
      </c>
      <c r="R7642" t="n">
        <v>0</v>
      </c>
      <c r="S7642" t="n">
        <v>0</v>
      </c>
      <c r="T7642" t="n">
        <v>0</v>
      </c>
      <c r="U7642" t="n">
        <v>0</v>
      </c>
      <c r="V7642" s="2" t="inlineStr"/>
    </row>
    <row r="7643" ht="15" customHeight="1">
      <c r="A7643" t="inlineStr">
        <is>
          <t>A 41971-2025</t>
        </is>
      </c>
      <c r="B7643" t="inlineStr">
        <is>
          <t>avverkningsanmälan</t>
        </is>
      </c>
      <c r="C7643" t="inlineStr">
        <is>
          <t>Föryngringsavverkning</t>
        </is>
      </c>
      <c r="D7643" s="1" t="n">
        <v>45903</v>
      </c>
      <c r="E7643" s="1" t="n">
        <v>46319</v>
      </c>
      <c r="F7643" t="inlineStr">
        <is>
          <t>DALARNAS LÄN</t>
        </is>
      </c>
      <c r="G7643" t="inlineStr">
        <is>
          <t>ORSA</t>
        </is>
      </c>
      <c r="I7643" t="n">
        <v>15.8</v>
      </c>
      <c r="J7643" t="n">
        <v>0</v>
      </c>
      <c r="K7643" t="n">
        <v>0</v>
      </c>
      <c r="L7643" t="n">
        <v>0</v>
      </c>
      <c r="M7643" t="n">
        <v>0</v>
      </c>
      <c r="N7643" t="n">
        <v>0</v>
      </c>
      <c r="O7643" t="n">
        <v>0</v>
      </c>
      <c r="P7643" t="n">
        <v>0</v>
      </c>
      <c r="Q7643" t="n">
        <v>0</v>
      </c>
      <c r="R7643" t="n">
        <v>0</v>
      </c>
      <c r="S7643" t="n">
        <v>0</v>
      </c>
      <c r="T7643" t="n">
        <v>0</v>
      </c>
      <c r="U7643" t="n">
        <v>0</v>
      </c>
      <c r="V7643" s="2" t="inlineStr"/>
    </row>
    <row r="7644" ht="15" customHeight="1">
      <c r="A7644" t="inlineStr">
        <is>
          <t>A 4739-2026</t>
        </is>
      </c>
      <c r="B7644" t="inlineStr">
        <is>
          <t>avverkningsanmälan</t>
        </is>
      </c>
      <c r="C7644" t="inlineStr">
        <is>
          <t>Föryngringsavverkning</t>
        </is>
      </c>
      <c r="D7644" s="1" t="n">
        <v>46048</v>
      </c>
      <c r="E7644" s="1" t="n">
        <v>46319</v>
      </c>
      <c r="F7644" t="inlineStr">
        <is>
          <t>DALARNAS LÄN</t>
        </is>
      </c>
      <c r="G7644" t="inlineStr">
        <is>
          <t>FALUN</t>
        </is>
      </c>
      <c r="I7644" t="n">
        <v>3.3</v>
      </c>
      <c r="J7644" t="n">
        <v>0</v>
      </c>
      <c r="K7644" t="n">
        <v>0</v>
      </c>
      <c r="L7644" t="n">
        <v>0</v>
      </c>
      <c r="M7644" t="n">
        <v>0</v>
      </c>
      <c r="N7644" t="n">
        <v>0</v>
      </c>
      <c r="O7644" t="n">
        <v>0</v>
      </c>
      <c r="P7644" t="n">
        <v>0</v>
      </c>
      <c r="Q7644" t="n">
        <v>0</v>
      </c>
      <c r="R7644" t="n">
        <v>0</v>
      </c>
      <c r="S7644" t="n">
        <v>0</v>
      </c>
      <c r="T7644" t="n">
        <v>0</v>
      </c>
      <c r="U7644" t="n">
        <v>0</v>
      </c>
      <c r="V7644" s="2" t="inlineStr"/>
    </row>
    <row r="7645" ht="15" customHeight="1">
      <c r="A7645" t="inlineStr">
        <is>
          <t>A 5546-2026</t>
        </is>
      </c>
      <c r="B7645" t="inlineStr">
        <is>
          <t>avverkningsanmälan</t>
        </is>
      </c>
      <c r="C7645" t="inlineStr">
        <is>
          <t>Föryngringsavverkning</t>
        </is>
      </c>
      <c r="D7645" s="1" t="n">
        <v>46050</v>
      </c>
      <c r="E7645" s="1" t="n">
        <v>46319</v>
      </c>
      <c r="F7645" t="inlineStr">
        <is>
          <t>DALARNAS LÄN</t>
        </is>
      </c>
      <c r="G7645" t="inlineStr">
        <is>
          <t>FALUN</t>
        </is>
      </c>
      <c r="I7645" t="n">
        <v>7.7</v>
      </c>
      <c r="J7645" t="n">
        <v>0</v>
      </c>
      <c r="K7645" t="n">
        <v>0</v>
      </c>
      <c r="L7645" t="n">
        <v>0</v>
      </c>
      <c r="M7645" t="n">
        <v>0</v>
      </c>
      <c r="N7645" t="n">
        <v>0</v>
      </c>
      <c r="O7645" t="n">
        <v>0</v>
      </c>
      <c r="P7645" t="n">
        <v>0</v>
      </c>
      <c r="Q7645" t="n">
        <v>0</v>
      </c>
      <c r="R7645" t="n">
        <v>0</v>
      </c>
      <c r="S7645" t="n">
        <v>0</v>
      </c>
      <c r="T7645" t="n">
        <v>0</v>
      </c>
      <c r="U7645" t="n">
        <v>0</v>
      </c>
      <c r="V7645" s="2" t="inlineStr"/>
    </row>
    <row r="7646" ht="15" customHeight="1">
      <c r="A7646" t="inlineStr">
        <is>
          <t>A 37429-2026</t>
        </is>
      </c>
      <c r="B7646" t="inlineStr">
        <is>
          <t>avverkningsanmälan</t>
        </is>
      </c>
      <c r="C7646" t="inlineStr">
        <is>
          <t>Föryngringsavverkning</t>
        </is>
      </c>
      <c r="D7646" s="1" t="n">
        <v>46275</v>
      </c>
      <c r="E7646" s="1" t="n">
        <v>46319</v>
      </c>
      <c r="F7646" t="inlineStr">
        <is>
          <t>DALARNAS LÄN</t>
        </is>
      </c>
      <c r="G7646" t="inlineStr">
        <is>
          <t>SÄTER</t>
        </is>
      </c>
      <c r="I7646" t="n">
        <v>4.1</v>
      </c>
      <c r="J7646" t="n">
        <v>0</v>
      </c>
      <c r="K7646" t="n">
        <v>0</v>
      </c>
      <c r="L7646" t="n">
        <v>0</v>
      </c>
      <c r="M7646" t="n">
        <v>0</v>
      </c>
      <c r="N7646" t="n">
        <v>0</v>
      </c>
      <c r="O7646" t="n">
        <v>0</v>
      </c>
      <c r="P7646" t="n">
        <v>0</v>
      </c>
      <c r="Q7646" t="n">
        <v>0</v>
      </c>
      <c r="R7646" t="n">
        <v>0</v>
      </c>
      <c r="S7646" t="n">
        <v>0</v>
      </c>
      <c r="T7646" t="n">
        <v>0</v>
      </c>
      <c r="U7646" t="n">
        <v>0</v>
      </c>
      <c r="V7646" s="2" t="inlineStr"/>
    </row>
    <row r="7647" ht="15" customHeight="1">
      <c r="A7647" t="inlineStr">
        <is>
          <t>A 37433-2026</t>
        </is>
      </c>
      <c r="B7647" t="inlineStr">
        <is>
          <t>avverkningsanmälan</t>
        </is>
      </c>
      <c r="C7647" t="inlineStr">
        <is>
          <t>Föryngringsavverkning</t>
        </is>
      </c>
      <c r="D7647" s="1" t="n">
        <v>46275</v>
      </c>
      <c r="E7647" s="1" t="n">
        <v>46319</v>
      </c>
      <c r="F7647" t="inlineStr">
        <is>
          <t>DALARNAS LÄN</t>
        </is>
      </c>
      <c r="G7647" t="inlineStr">
        <is>
          <t>VANSBRO</t>
        </is>
      </c>
      <c r="H7647" t="inlineStr">
        <is>
          <t>Bergvik skog öst AB</t>
        </is>
      </c>
      <c r="I7647" t="n">
        <v>0.9</v>
      </c>
      <c r="J7647" t="n">
        <v>0</v>
      </c>
      <c r="K7647" t="n">
        <v>0</v>
      </c>
      <c r="L7647" t="n">
        <v>0</v>
      </c>
      <c r="M7647" t="n">
        <v>0</v>
      </c>
      <c r="N7647" t="n">
        <v>0</v>
      </c>
      <c r="O7647" t="n">
        <v>0</v>
      </c>
      <c r="P7647" t="n">
        <v>0</v>
      </c>
      <c r="Q7647" t="n">
        <v>0</v>
      </c>
      <c r="R7647" t="n">
        <v>0</v>
      </c>
      <c r="S7647" t="n">
        <v>0</v>
      </c>
      <c r="T7647" t="n">
        <v>0</v>
      </c>
      <c r="U7647" t="n">
        <v>0</v>
      </c>
      <c r="V7647" s="2" t="inlineStr"/>
    </row>
    <row r="7648" ht="15" customHeight="1">
      <c r="A7648" t="inlineStr">
        <is>
          <t>A 61890-2023</t>
        </is>
      </c>
      <c r="B7648" t="inlineStr">
        <is>
          <t>avverkningsanmälan</t>
        </is>
      </c>
      <c r="C7648" t="inlineStr">
        <is>
          <t>Föryngringsavverkning</t>
        </is>
      </c>
      <c r="D7648" s="1" t="n">
        <v>45266</v>
      </c>
      <c r="E7648" s="1" t="n">
        <v>46319</v>
      </c>
      <c r="F7648" t="inlineStr">
        <is>
          <t>DALARNAS LÄN</t>
        </is>
      </c>
      <c r="G7648" t="inlineStr">
        <is>
          <t>MALUNG-SÄLEN</t>
        </is>
      </c>
      <c r="I7648" t="n">
        <v>8.1</v>
      </c>
      <c r="J7648" t="n">
        <v>0</v>
      </c>
      <c r="K7648" t="n">
        <v>0</v>
      </c>
      <c r="L7648" t="n">
        <v>0</v>
      </c>
      <c r="M7648" t="n">
        <v>0</v>
      </c>
      <c r="N7648" t="n">
        <v>0</v>
      </c>
      <c r="O7648" t="n">
        <v>0</v>
      </c>
      <c r="P7648" t="n">
        <v>0</v>
      </c>
      <c r="Q7648" t="n">
        <v>0</v>
      </c>
      <c r="R7648" t="n">
        <v>0</v>
      </c>
      <c r="S7648" t="n">
        <v>0</v>
      </c>
      <c r="T7648" t="n">
        <v>0</v>
      </c>
      <c r="U7648" t="n">
        <v>0</v>
      </c>
      <c r="V7648" s="2" t="inlineStr"/>
    </row>
    <row r="7649" ht="15" customHeight="1">
      <c r="A7649" t="inlineStr">
        <is>
          <t>A 44196-2026</t>
        </is>
      </c>
      <c r="B7649" t="inlineStr">
        <is>
          <t>avverkningsanmälan</t>
        </is>
      </c>
      <c r="C7649" t="inlineStr">
        <is>
          <t>Föryngringsavverkning</t>
        </is>
      </c>
      <c r="D7649" s="1" t="n">
        <v>46318</v>
      </c>
      <c r="E7649" s="1" t="n">
        <v>46319</v>
      </c>
      <c r="F7649" t="inlineStr">
        <is>
          <t>DALARNAS LÄN</t>
        </is>
      </c>
      <c r="G7649" t="inlineStr">
        <is>
          <t>VANSBRO</t>
        </is>
      </c>
      <c r="I7649" t="n">
        <v>5.8</v>
      </c>
      <c r="J7649" t="n">
        <v>0</v>
      </c>
      <c r="K7649" t="n">
        <v>0</v>
      </c>
      <c r="L7649" t="n">
        <v>0</v>
      </c>
      <c r="M7649" t="n">
        <v>0</v>
      </c>
      <c r="N7649" t="n">
        <v>0</v>
      </c>
      <c r="O7649" t="n">
        <v>0</v>
      </c>
      <c r="P7649" t="n">
        <v>0</v>
      </c>
      <c r="Q7649" t="n">
        <v>0</v>
      </c>
      <c r="R7649" t="n">
        <v>0</v>
      </c>
      <c r="S7649" t="n">
        <v>0</v>
      </c>
      <c r="T7649" t="n">
        <v>0</v>
      </c>
      <c r="U7649" t="n">
        <v>0</v>
      </c>
      <c r="V7649" s="2" t="inlineStr"/>
    </row>
    <row r="7650" ht="15" customHeight="1">
      <c r="A7650" t="inlineStr">
        <is>
          <t>A 44198-2026</t>
        </is>
      </c>
      <c r="B7650" t="inlineStr">
        <is>
          <t>avverkningsanmälan</t>
        </is>
      </c>
      <c r="C7650" t="inlineStr">
        <is>
          <t>Föryngringsavverkning</t>
        </is>
      </c>
      <c r="D7650" s="1" t="n">
        <v>46318</v>
      </c>
      <c r="E7650" s="1" t="n">
        <v>46319</v>
      </c>
      <c r="F7650" t="inlineStr">
        <is>
          <t>DALARNAS LÄN</t>
        </is>
      </c>
      <c r="G7650" t="inlineStr">
        <is>
          <t>VANSBRO</t>
        </is>
      </c>
      <c r="H7650" t="inlineStr">
        <is>
          <t>Bergvik skog väst AB</t>
        </is>
      </c>
      <c r="I7650" t="n">
        <v>9</v>
      </c>
      <c r="J7650" t="n">
        <v>0</v>
      </c>
      <c r="K7650" t="n">
        <v>0</v>
      </c>
      <c r="L7650" t="n">
        <v>0</v>
      </c>
      <c r="M7650" t="n">
        <v>0</v>
      </c>
      <c r="N7650" t="n">
        <v>0</v>
      </c>
      <c r="O7650" t="n">
        <v>0</v>
      </c>
      <c r="P7650" t="n">
        <v>0</v>
      </c>
      <c r="Q7650" t="n">
        <v>0</v>
      </c>
      <c r="R7650" t="n">
        <v>0</v>
      </c>
      <c r="S7650" t="n">
        <v>0</v>
      </c>
      <c r="T7650" t="n">
        <v>0</v>
      </c>
      <c r="U7650" t="n">
        <v>0</v>
      </c>
      <c r="V7650" s="2" t="inlineStr"/>
    </row>
    <row r="7651" ht="15" customHeight="1">
      <c r="A7651" t="inlineStr">
        <is>
          <t>A 44213-2026</t>
        </is>
      </c>
      <c r="B7651" t="inlineStr">
        <is>
          <t>avverkningsanmälan</t>
        </is>
      </c>
      <c r="C7651" t="inlineStr">
        <is>
          <t>Föryngringsavverkning</t>
        </is>
      </c>
      <c r="D7651" s="1" t="n">
        <v>46318</v>
      </c>
      <c r="E7651" s="1" t="n">
        <v>46319</v>
      </c>
      <c r="F7651" t="inlineStr">
        <is>
          <t>DALARNAS LÄN</t>
        </is>
      </c>
      <c r="G7651" t="inlineStr">
        <is>
          <t>ÄLVDALEN</t>
        </is>
      </c>
      <c r="H7651" t="inlineStr">
        <is>
          <t>Allmännings- och besparingsskogar</t>
        </is>
      </c>
      <c r="I7651" t="n">
        <v>1.3</v>
      </c>
      <c r="J7651" t="n">
        <v>0</v>
      </c>
      <c r="K7651" t="n">
        <v>0</v>
      </c>
      <c r="L7651" t="n">
        <v>0</v>
      </c>
      <c r="M7651" t="n">
        <v>0</v>
      </c>
      <c r="N7651" t="n">
        <v>0</v>
      </c>
      <c r="O7651" t="n">
        <v>0</v>
      </c>
      <c r="P7651" t="n">
        <v>0</v>
      </c>
      <c r="Q7651" t="n">
        <v>0</v>
      </c>
      <c r="R7651" t="n">
        <v>0</v>
      </c>
      <c r="S7651" t="n">
        <v>0</v>
      </c>
      <c r="T7651" t="n">
        <v>0</v>
      </c>
      <c r="U7651" t="n">
        <v>0</v>
      </c>
      <c r="V7651" s="2" t="inlineStr"/>
    </row>
    <row r="7652" ht="15" customHeight="1">
      <c r="A7652" t="inlineStr">
        <is>
          <t>A 8211-2023</t>
        </is>
      </c>
      <c r="B7652" t="inlineStr">
        <is>
          <t>avverkningsanmälan</t>
        </is>
      </c>
      <c r="C7652" t="inlineStr">
        <is>
          <t>Föryngringsavverkning</t>
        </is>
      </c>
      <c r="D7652" s="1" t="n">
        <v>44974</v>
      </c>
      <c r="E7652" s="1" t="n">
        <v>46319</v>
      </c>
      <c r="F7652" t="inlineStr">
        <is>
          <t>DALARNAS LÄN</t>
        </is>
      </c>
      <c r="G7652" t="inlineStr">
        <is>
          <t>LEKSAND</t>
        </is>
      </c>
      <c r="I7652" t="n">
        <v>5.2</v>
      </c>
      <c r="J7652" t="n">
        <v>0</v>
      </c>
      <c r="K7652" t="n">
        <v>0</v>
      </c>
      <c r="L7652" t="n">
        <v>0</v>
      </c>
      <c r="M7652" t="n">
        <v>0</v>
      </c>
      <c r="N7652" t="n">
        <v>0</v>
      </c>
      <c r="O7652" t="n">
        <v>0</v>
      </c>
      <c r="P7652" t="n">
        <v>0</v>
      </c>
      <c r="Q7652" t="n">
        <v>0</v>
      </c>
      <c r="R7652" t="n">
        <v>0</v>
      </c>
      <c r="S7652" t="n">
        <v>0</v>
      </c>
      <c r="T7652" t="n">
        <v>0</v>
      </c>
      <c r="U7652" t="n">
        <v>0</v>
      </c>
      <c r="V7652" s="2" t="inlineStr"/>
    </row>
    <row r="7653" ht="15" customHeight="1">
      <c r="A7653" t="inlineStr">
        <is>
          <t>A 55472-2024</t>
        </is>
      </c>
      <c r="B7653" t="inlineStr">
        <is>
          <t>avverkningsanmälan</t>
        </is>
      </c>
      <c r="C7653" t="inlineStr">
        <is>
          <t>Föryngringsavverkning</t>
        </is>
      </c>
      <c r="D7653" s="1" t="n">
        <v>45622</v>
      </c>
      <c r="E7653" s="1" t="n">
        <v>46319</v>
      </c>
      <c r="F7653" t="inlineStr">
        <is>
          <t>DALARNAS LÄN</t>
        </is>
      </c>
      <c r="G7653" t="inlineStr">
        <is>
          <t>LUDVIKA</t>
        </is>
      </c>
      <c r="H7653" t="inlineStr">
        <is>
          <t>Naturvårdsverket</t>
        </is>
      </c>
      <c r="I7653" t="n">
        <v>1.5</v>
      </c>
      <c r="J7653" t="n">
        <v>0</v>
      </c>
      <c r="K7653" t="n">
        <v>0</v>
      </c>
      <c r="L7653" t="n">
        <v>0</v>
      </c>
      <c r="M7653" t="n">
        <v>0</v>
      </c>
      <c r="N7653" t="n">
        <v>0</v>
      </c>
      <c r="O7653" t="n">
        <v>0</v>
      </c>
      <c r="P7653" t="n">
        <v>0</v>
      </c>
      <c r="Q7653" t="n">
        <v>0</v>
      </c>
      <c r="R7653" t="n">
        <v>0</v>
      </c>
      <c r="S7653" t="n">
        <v>0</v>
      </c>
      <c r="T7653" t="n">
        <v>0</v>
      </c>
      <c r="U7653" t="n">
        <v>0</v>
      </c>
      <c r="V7653" s="2" t="inlineStr"/>
    </row>
    <row r="7654" ht="15" customHeight="1">
      <c r="A7654" t="inlineStr">
        <is>
          <t>A 55485-2024</t>
        </is>
      </c>
      <c r="B7654" t="inlineStr">
        <is>
          <t>avverkningsanmälan</t>
        </is>
      </c>
      <c r="C7654" t="inlineStr">
        <is>
          <t>Föryngringsavverkning</t>
        </is>
      </c>
      <c r="D7654" s="1" t="n">
        <v>45622</v>
      </c>
      <c r="E7654" s="1" t="n">
        <v>46319</v>
      </c>
      <c r="F7654" t="inlineStr">
        <is>
          <t>DALARNAS LÄN</t>
        </is>
      </c>
      <c r="G7654" t="inlineStr">
        <is>
          <t>LUDVIKA</t>
        </is>
      </c>
      <c r="H7654" t="inlineStr">
        <is>
          <t>Naturvårdsverket</t>
        </is>
      </c>
      <c r="I7654" t="n">
        <v>0.3</v>
      </c>
      <c r="J7654" t="n">
        <v>0</v>
      </c>
      <c r="K7654" t="n">
        <v>0</v>
      </c>
      <c r="L7654" t="n">
        <v>0</v>
      </c>
      <c r="M7654" t="n">
        <v>0</v>
      </c>
      <c r="N7654" t="n">
        <v>0</v>
      </c>
      <c r="O7654" t="n">
        <v>0</v>
      </c>
      <c r="P7654" t="n">
        <v>0</v>
      </c>
      <c r="Q7654" t="n">
        <v>0</v>
      </c>
      <c r="R7654" t="n">
        <v>0</v>
      </c>
      <c r="S7654" t="n">
        <v>0</v>
      </c>
      <c r="T7654" t="n">
        <v>0</v>
      </c>
      <c r="U7654" t="n">
        <v>0</v>
      </c>
      <c r="V7654" s="2" t="inlineStr"/>
    </row>
    <row r="7655" ht="15" customHeight="1">
      <c r="A7655" t="inlineStr">
        <is>
          <t>A 19415-2024</t>
        </is>
      </c>
      <c r="B7655" t="inlineStr">
        <is>
          <t>avverkningsanmälan</t>
        </is>
      </c>
      <c r="C7655" t="inlineStr">
        <is>
          <t>Föryngringsavverkning</t>
        </is>
      </c>
      <c r="D7655" s="1" t="n">
        <v>45429</v>
      </c>
      <c r="E7655" s="1" t="n">
        <v>46319</v>
      </c>
      <c r="F7655" t="inlineStr">
        <is>
          <t>DALARNAS LÄN</t>
        </is>
      </c>
      <c r="G7655" t="inlineStr">
        <is>
          <t>MALUNG-SÄLEN</t>
        </is>
      </c>
      <c r="H7655" t="inlineStr">
        <is>
          <t>Bergvik skog öst AB</t>
        </is>
      </c>
      <c r="I7655" t="n">
        <v>0.8</v>
      </c>
      <c r="J7655" t="n">
        <v>0</v>
      </c>
      <c r="K7655" t="n">
        <v>0</v>
      </c>
      <c r="L7655" t="n">
        <v>0</v>
      </c>
      <c r="M7655" t="n">
        <v>0</v>
      </c>
      <c r="N7655" t="n">
        <v>0</v>
      </c>
      <c r="O7655" t="n">
        <v>0</v>
      </c>
      <c r="P7655" t="n">
        <v>0</v>
      </c>
      <c r="Q7655" t="n">
        <v>0</v>
      </c>
      <c r="R7655" t="n">
        <v>0</v>
      </c>
      <c r="S7655" t="n">
        <v>0</v>
      </c>
      <c r="T7655" t="n">
        <v>0</v>
      </c>
      <c r="U7655" t="n">
        <v>0</v>
      </c>
      <c r="V7655" s="2" t="inlineStr"/>
    </row>
    <row r="7656" ht="15" customHeight="1">
      <c r="A7656" t="inlineStr">
        <is>
          <t>A 6541-2026</t>
        </is>
      </c>
      <c r="B7656" t="inlineStr">
        <is>
          <t>avverkningsanmälan</t>
        </is>
      </c>
      <c r="C7656" t="inlineStr">
        <is>
          <t>Föryngringsavverkning</t>
        </is>
      </c>
      <c r="D7656" s="1" t="n">
        <v>46056</v>
      </c>
      <c r="E7656" s="1" t="n">
        <v>46319</v>
      </c>
      <c r="F7656" t="inlineStr">
        <is>
          <t>DALARNAS LÄN</t>
        </is>
      </c>
      <c r="G7656" t="inlineStr">
        <is>
          <t>FALUN</t>
        </is>
      </c>
      <c r="I7656" t="n">
        <v>7.8</v>
      </c>
      <c r="J7656" t="n">
        <v>0</v>
      </c>
      <c r="K7656" t="n">
        <v>0</v>
      </c>
      <c r="L7656" t="n">
        <v>0</v>
      </c>
      <c r="M7656" t="n">
        <v>0</v>
      </c>
      <c r="N7656" t="n">
        <v>0</v>
      </c>
      <c r="O7656" t="n">
        <v>0</v>
      </c>
      <c r="P7656" t="n">
        <v>0</v>
      </c>
      <c r="Q7656" t="n">
        <v>0</v>
      </c>
      <c r="R7656" t="n">
        <v>0</v>
      </c>
      <c r="S7656" t="n">
        <v>0</v>
      </c>
      <c r="T7656" t="n">
        <v>0</v>
      </c>
      <c r="U7656" t="n">
        <v>0</v>
      </c>
      <c r="V7656" s="2" t="inlineStr"/>
    </row>
    <row r="7657" ht="15" customHeight="1">
      <c r="A7657" t="inlineStr">
        <is>
          <t>A 15147-2026</t>
        </is>
      </c>
      <c r="B7657" t="inlineStr">
        <is>
          <t>avverkningsanmälan</t>
        </is>
      </c>
      <c r="C7657" t="inlineStr">
        <is>
          <t>Föryngringsavverkning</t>
        </is>
      </c>
      <c r="D7657" s="1" t="n">
        <v>46104</v>
      </c>
      <c r="E7657" s="1" t="n">
        <v>46319</v>
      </c>
      <c r="F7657" t="inlineStr">
        <is>
          <t>DALARNAS LÄN</t>
        </is>
      </c>
      <c r="G7657" t="inlineStr">
        <is>
          <t>FALUN</t>
        </is>
      </c>
      <c r="H7657" t="inlineStr">
        <is>
          <t>Allmännings- och besparingsskogar</t>
        </is>
      </c>
      <c r="I7657" t="n">
        <v>7.8</v>
      </c>
      <c r="J7657" t="n">
        <v>0</v>
      </c>
      <c r="K7657" t="n">
        <v>0</v>
      </c>
      <c r="L7657" t="n">
        <v>0</v>
      </c>
      <c r="M7657" t="n">
        <v>0</v>
      </c>
      <c r="N7657" t="n">
        <v>0</v>
      </c>
      <c r="O7657" t="n">
        <v>0</v>
      </c>
      <c r="P7657" t="n">
        <v>0</v>
      </c>
      <c r="Q7657" t="n">
        <v>0</v>
      </c>
      <c r="R7657" t="n">
        <v>0</v>
      </c>
      <c r="S7657" t="n">
        <v>0</v>
      </c>
      <c r="T7657" t="n">
        <v>0</v>
      </c>
      <c r="U7657" t="n">
        <v>0</v>
      </c>
      <c r="V7657" s="2" t="inlineStr"/>
    </row>
    <row r="7658" ht="15" customHeight="1">
      <c r="A7658" t="inlineStr">
        <is>
          <t>A 4932-2026</t>
        </is>
      </c>
      <c r="B7658" t="inlineStr">
        <is>
          <t>avverkningsanmälan</t>
        </is>
      </c>
      <c r="C7658" t="inlineStr">
        <is>
          <t>Föryngringsavverkning</t>
        </is>
      </c>
      <c r="D7658" s="1" t="n">
        <v>46045</v>
      </c>
      <c r="E7658" s="1" t="n">
        <v>46319</v>
      </c>
      <c r="F7658" t="inlineStr">
        <is>
          <t>DALARNAS LÄN</t>
        </is>
      </c>
      <c r="G7658" t="inlineStr">
        <is>
          <t>FALUN</t>
        </is>
      </c>
      <c r="I7658" t="n">
        <v>4</v>
      </c>
      <c r="J7658" t="n">
        <v>0</v>
      </c>
      <c r="K7658" t="n">
        <v>0</v>
      </c>
      <c r="L7658" t="n">
        <v>0</v>
      </c>
      <c r="M7658" t="n">
        <v>0</v>
      </c>
      <c r="N7658" t="n">
        <v>0</v>
      </c>
      <c r="O7658" t="n">
        <v>0</v>
      </c>
      <c r="P7658" t="n">
        <v>0</v>
      </c>
      <c r="Q7658" t="n">
        <v>0</v>
      </c>
      <c r="R7658" t="n">
        <v>0</v>
      </c>
      <c r="S7658" t="n">
        <v>0</v>
      </c>
      <c r="T7658" t="n">
        <v>0</v>
      </c>
      <c r="U7658" t="n">
        <v>0</v>
      </c>
      <c r="V7658" s="2" t="inlineStr"/>
    </row>
    <row r="7659" ht="15" customHeight="1">
      <c r="A7659" t="inlineStr">
        <is>
          <t>A 44012-2026</t>
        </is>
      </c>
      <c r="B7659" t="inlineStr">
        <is>
          <t>avverkningsanmälan</t>
        </is>
      </c>
      <c r="C7659" t="inlineStr">
        <is>
          <t>Föryngringsavverkning</t>
        </is>
      </c>
      <c r="D7659" s="1" t="n">
        <v>46317</v>
      </c>
      <c r="E7659" s="1" t="n">
        <v>46319</v>
      </c>
      <c r="F7659" t="inlineStr">
        <is>
          <t>DALARNAS LÄN</t>
        </is>
      </c>
      <c r="G7659" t="inlineStr">
        <is>
          <t>MALUNG-SÄLEN</t>
        </is>
      </c>
      <c r="I7659" t="n">
        <v>1.3</v>
      </c>
      <c r="J7659" t="n">
        <v>0</v>
      </c>
      <c r="K7659" t="n">
        <v>0</v>
      </c>
      <c r="L7659" t="n">
        <v>0</v>
      </c>
      <c r="M7659" t="n">
        <v>0</v>
      </c>
      <c r="N7659" t="n">
        <v>0</v>
      </c>
      <c r="O7659" t="n">
        <v>0</v>
      </c>
      <c r="P7659" t="n">
        <v>0</v>
      </c>
      <c r="Q7659" t="n">
        <v>0</v>
      </c>
      <c r="R7659" t="n">
        <v>0</v>
      </c>
      <c r="S7659" t="n">
        <v>0</v>
      </c>
      <c r="T7659" t="n">
        <v>0</v>
      </c>
      <c r="U7659" t="n">
        <v>0</v>
      </c>
      <c r="V7659" s="2" t="inlineStr"/>
    </row>
    <row r="7660" ht="15" customHeight="1">
      <c r="A7660" t="inlineStr">
        <is>
          <t>A 3506-2026</t>
        </is>
      </c>
      <c r="B7660" t="inlineStr">
        <is>
          <t>avverkningsanmälan</t>
        </is>
      </c>
      <c r="C7660" t="inlineStr">
        <is>
          <t>Föryngringsavverkning</t>
        </is>
      </c>
      <c r="D7660" s="1" t="n">
        <v>46042</v>
      </c>
      <c r="E7660" s="1" t="n">
        <v>46319</v>
      </c>
      <c r="F7660" t="inlineStr">
        <is>
          <t>DALARNAS LÄN</t>
        </is>
      </c>
      <c r="G7660" t="inlineStr">
        <is>
          <t>BORLÄNGE</t>
        </is>
      </c>
      <c r="I7660" t="n">
        <v>9.199999999999999</v>
      </c>
      <c r="J7660" t="n">
        <v>0</v>
      </c>
      <c r="K7660" t="n">
        <v>0</v>
      </c>
      <c r="L7660" t="n">
        <v>0</v>
      </c>
      <c r="M7660" t="n">
        <v>0</v>
      </c>
      <c r="N7660" t="n">
        <v>0</v>
      </c>
      <c r="O7660" t="n">
        <v>0</v>
      </c>
      <c r="P7660" t="n">
        <v>0</v>
      </c>
      <c r="Q7660" t="n">
        <v>0</v>
      </c>
      <c r="R7660" t="n">
        <v>0</v>
      </c>
      <c r="S7660" t="n">
        <v>0</v>
      </c>
      <c r="T7660" t="n">
        <v>0</v>
      </c>
      <c r="U7660" t="n">
        <v>0</v>
      </c>
      <c r="V7660" s="2" t="inlineStr"/>
    </row>
    <row r="7661" ht="15" customHeight="1">
      <c r="A7661" t="inlineStr">
        <is>
          <t>A 4826-2026</t>
        </is>
      </c>
      <c r="B7661" t="inlineStr">
        <is>
          <t>avverkningsanmälan</t>
        </is>
      </c>
      <c r="C7661" t="inlineStr">
        <is>
          <t>Föryngringsavverkning</t>
        </is>
      </c>
      <c r="D7661" s="1" t="n">
        <v>46048</v>
      </c>
      <c r="E7661" s="1" t="n">
        <v>46319</v>
      </c>
      <c r="F7661" t="inlineStr">
        <is>
          <t>DALARNAS LÄN</t>
        </is>
      </c>
      <c r="G7661" t="inlineStr">
        <is>
          <t>GAGNEF</t>
        </is>
      </c>
      <c r="I7661" t="n">
        <v>8.699999999999999</v>
      </c>
      <c r="J7661" t="n">
        <v>0</v>
      </c>
      <c r="K7661" t="n">
        <v>0</v>
      </c>
      <c r="L7661" t="n">
        <v>0</v>
      </c>
      <c r="M7661" t="n">
        <v>0</v>
      </c>
      <c r="N7661" t="n">
        <v>0</v>
      </c>
      <c r="O7661" t="n">
        <v>0</v>
      </c>
      <c r="P7661" t="n">
        <v>0</v>
      </c>
      <c r="Q7661" t="n">
        <v>0</v>
      </c>
      <c r="R7661" t="n">
        <v>0</v>
      </c>
      <c r="S7661" t="n">
        <v>0</v>
      </c>
      <c r="T7661" t="n">
        <v>0</v>
      </c>
      <c r="U7661" t="n">
        <v>0</v>
      </c>
      <c r="V7661" s="2" t="inlineStr"/>
    </row>
    <row r="7662" ht="15" customHeight="1">
      <c r="A7662" t="inlineStr">
        <is>
          <t>A 20656-2026</t>
        </is>
      </c>
      <c r="B7662" t="inlineStr">
        <is>
          <t>avverkningsanmälan</t>
        </is>
      </c>
      <c r="C7662" t="inlineStr">
        <is>
          <t>Föryngringsavverkning</t>
        </is>
      </c>
      <c r="D7662" s="1" t="n">
        <v>46141</v>
      </c>
      <c r="E7662" s="1" t="n">
        <v>46319</v>
      </c>
      <c r="F7662" t="inlineStr">
        <is>
          <t>DALARNAS LÄN</t>
        </is>
      </c>
      <c r="G7662" t="inlineStr">
        <is>
          <t>MORA</t>
        </is>
      </c>
      <c r="I7662" t="n">
        <v>0.5</v>
      </c>
      <c r="J7662" t="n">
        <v>0</v>
      </c>
      <c r="K7662" t="n">
        <v>0</v>
      </c>
      <c r="L7662" t="n">
        <v>0</v>
      </c>
      <c r="M7662" t="n">
        <v>0</v>
      </c>
      <c r="N7662" t="n">
        <v>0</v>
      </c>
      <c r="O7662" t="n">
        <v>0</v>
      </c>
      <c r="P7662" t="n">
        <v>0</v>
      </c>
      <c r="Q7662" t="n">
        <v>0</v>
      </c>
      <c r="R7662" t="n">
        <v>0</v>
      </c>
      <c r="S7662" t="n">
        <v>0</v>
      </c>
      <c r="T7662" t="n">
        <v>0</v>
      </c>
      <c r="U7662" t="n">
        <v>0</v>
      </c>
      <c r="V7662" s="2" t="inlineStr"/>
    </row>
    <row r="7663" ht="15" customHeight="1">
      <c r="A7663" t="inlineStr">
        <is>
          <t>A 13571-2026</t>
        </is>
      </c>
      <c r="B7663" t="inlineStr">
        <is>
          <t>avverkningsanmälan</t>
        </is>
      </c>
      <c r="C7663" t="inlineStr">
        <is>
          <t>Föryngringsavverkning</t>
        </is>
      </c>
      <c r="D7663" s="1" t="n">
        <v>46095</v>
      </c>
      <c r="E7663" s="1" t="n">
        <v>46319</v>
      </c>
      <c r="F7663" t="inlineStr">
        <is>
          <t>DALARNAS LÄN</t>
        </is>
      </c>
      <c r="G7663" t="inlineStr">
        <is>
          <t>BORLÄNGE</t>
        </is>
      </c>
      <c r="I7663" t="n">
        <v>1.4</v>
      </c>
      <c r="J7663" t="n">
        <v>0</v>
      </c>
      <c r="K7663" t="n">
        <v>0</v>
      </c>
      <c r="L7663" t="n">
        <v>0</v>
      </c>
      <c r="M7663" t="n">
        <v>0</v>
      </c>
      <c r="N7663" t="n">
        <v>0</v>
      </c>
      <c r="O7663" t="n">
        <v>0</v>
      </c>
      <c r="P7663" t="n">
        <v>0</v>
      </c>
      <c r="Q7663" t="n">
        <v>0</v>
      </c>
      <c r="R7663" t="n">
        <v>0</v>
      </c>
      <c r="S7663" t="n">
        <v>0</v>
      </c>
      <c r="T7663" t="n">
        <v>0</v>
      </c>
      <c r="U7663" t="n">
        <v>0</v>
      </c>
      <c r="V7663" s="2" t="inlineStr"/>
    </row>
    <row r="7664" ht="15" customHeight="1">
      <c r="A7664" t="inlineStr">
        <is>
          <t>A 20888-2026</t>
        </is>
      </c>
      <c r="B7664" t="inlineStr">
        <is>
          <t>avverkningsanmälan</t>
        </is>
      </c>
      <c r="C7664" t="inlineStr">
        <is>
          <t>Föryngringsavverkning</t>
        </is>
      </c>
      <c r="D7664" s="1" t="n">
        <v>46142</v>
      </c>
      <c r="E7664" s="1" t="n">
        <v>46319</v>
      </c>
      <c r="F7664" t="inlineStr">
        <is>
          <t>DALARNAS LÄN</t>
        </is>
      </c>
      <c r="G7664" t="inlineStr">
        <is>
          <t>LUDVIKA</t>
        </is>
      </c>
      <c r="H7664" t="inlineStr">
        <is>
          <t>Bergvik skog väst AB</t>
        </is>
      </c>
      <c r="I7664" t="n">
        <v>2.1</v>
      </c>
      <c r="J7664" t="n">
        <v>0</v>
      </c>
      <c r="K7664" t="n">
        <v>0</v>
      </c>
      <c r="L7664" t="n">
        <v>0</v>
      </c>
      <c r="M7664" t="n">
        <v>0</v>
      </c>
      <c r="N7664" t="n">
        <v>0</v>
      </c>
      <c r="O7664" t="n">
        <v>0</v>
      </c>
      <c r="P7664" t="n">
        <v>0</v>
      </c>
      <c r="Q7664" t="n">
        <v>0</v>
      </c>
      <c r="R7664" t="n">
        <v>0</v>
      </c>
      <c r="S7664" t="n">
        <v>0</v>
      </c>
      <c r="T7664" t="n">
        <v>0</v>
      </c>
      <c r="U7664" t="n">
        <v>0</v>
      </c>
      <c r="V7664" s="2" t="inlineStr"/>
    </row>
    <row r="7665" ht="15" customHeight="1">
      <c r="A7665" t="inlineStr">
        <is>
          <t>A 6889-2026</t>
        </is>
      </c>
      <c r="B7665" t="inlineStr">
        <is>
          <t>avverkningsanmälan</t>
        </is>
      </c>
      <c r="C7665" t="inlineStr">
        <is>
          <t>Föryngringsavverkning</t>
        </is>
      </c>
      <c r="D7665" s="1" t="n">
        <v>46057</v>
      </c>
      <c r="E7665" s="1" t="n">
        <v>46319</v>
      </c>
      <c r="F7665" t="inlineStr">
        <is>
          <t>DALARNAS LÄN</t>
        </is>
      </c>
      <c r="G7665" t="inlineStr">
        <is>
          <t>FALUN</t>
        </is>
      </c>
      <c r="I7665" t="n">
        <v>5.9</v>
      </c>
      <c r="J7665" t="n">
        <v>0</v>
      </c>
      <c r="K7665" t="n">
        <v>0</v>
      </c>
      <c r="L7665" t="n">
        <v>0</v>
      </c>
      <c r="M7665" t="n">
        <v>0</v>
      </c>
      <c r="N7665" t="n">
        <v>0</v>
      </c>
      <c r="O7665" t="n">
        <v>0</v>
      </c>
      <c r="P7665" t="n">
        <v>0</v>
      </c>
      <c r="Q7665" t="n">
        <v>0</v>
      </c>
      <c r="R7665" t="n">
        <v>0</v>
      </c>
      <c r="S7665" t="n">
        <v>0</v>
      </c>
      <c r="T7665" t="n">
        <v>0</v>
      </c>
      <c r="U7665" t="n">
        <v>0</v>
      </c>
      <c r="V7665" s="2" t="inlineStr"/>
    </row>
    <row r="7666" ht="15" customHeight="1">
      <c r="A7666" t="inlineStr">
        <is>
          <t>A 20732-2026</t>
        </is>
      </c>
      <c r="B7666" t="inlineStr">
        <is>
          <t>avverkningsanmälan</t>
        </is>
      </c>
      <c r="C7666" t="inlineStr">
        <is>
          <t>Föryngringsavverkning</t>
        </is>
      </c>
      <c r="D7666" s="1" t="n">
        <v>46141</v>
      </c>
      <c r="E7666" s="1" t="n">
        <v>46319</v>
      </c>
      <c r="F7666" t="inlineStr">
        <is>
          <t>DALARNAS LÄN</t>
        </is>
      </c>
      <c r="G7666" t="inlineStr">
        <is>
          <t>VANSBRO</t>
        </is>
      </c>
      <c r="H7666" t="inlineStr">
        <is>
          <t>Bergvik skog öst AB</t>
        </is>
      </c>
      <c r="I7666" t="n">
        <v>6.7</v>
      </c>
      <c r="J7666" t="n">
        <v>0</v>
      </c>
      <c r="K7666" t="n">
        <v>0</v>
      </c>
      <c r="L7666" t="n">
        <v>0</v>
      </c>
      <c r="M7666" t="n">
        <v>0</v>
      </c>
      <c r="N7666" t="n">
        <v>0</v>
      </c>
      <c r="O7666" t="n">
        <v>0</v>
      </c>
      <c r="P7666" t="n">
        <v>0</v>
      </c>
      <c r="Q7666" t="n">
        <v>0</v>
      </c>
      <c r="R7666" t="n">
        <v>0</v>
      </c>
      <c r="S7666" t="n">
        <v>0</v>
      </c>
      <c r="T7666" t="n">
        <v>0</v>
      </c>
      <c r="U7666" t="n">
        <v>0</v>
      </c>
      <c r="V7666" s="2" t="inlineStr"/>
    </row>
    <row r="7667" ht="15" customHeight="1">
      <c r="A7667" t="inlineStr">
        <is>
          <t>A 45390-2024</t>
        </is>
      </c>
      <c r="B7667" t="inlineStr">
        <is>
          <t>avverkningsanmälan</t>
        </is>
      </c>
      <c r="C7667" t="inlineStr">
        <is>
          <t>Föryngringsavverkning</t>
        </is>
      </c>
      <c r="D7667" s="1" t="n">
        <v>45576</v>
      </c>
      <c r="E7667" s="1" t="n">
        <v>46319</v>
      </c>
      <c r="F7667" t="inlineStr">
        <is>
          <t>DALARNAS LÄN</t>
        </is>
      </c>
      <c r="G7667" t="inlineStr">
        <is>
          <t>MORA</t>
        </is>
      </c>
      <c r="H7667" t="inlineStr">
        <is>
          <t>Bergvik skog väst AB</t>
        </is>
      </c>
      <c r="I7667" t="n">
        <v>5.6</v>
      </c>
      <c r="J7667" t="n">
        <v>0</v>
      </c>
      <c r="K7667" t="n">
        <v>0</v>
      </c>
      <c r="L7667" t="n">
        <v>0</v>
      </c>
      <c r="M7667" t="n">
        <v>0</v>
      </c>
      <c r="N7667" t="n">
        <v>0</v>
      </c>
      <c r="O7667" t="n">
        <v>0</v>
      </c>
      <c r="P7667" t="n">
        <v>0</v>
      </c>
      <c r="Q7667" t="n">
        <v>0</v>
      </c>
      <c r="R7667" t="n">
        <v>0</v>
      </c>
      <c r="S7667" t="n">
        <v>0</v>
      </c>
      <c r="T7667" t="n">
        <v>0</v>
      </c>
      <c r="U7667" t="n">
        <v>0</v>
      </c>
      <c r="V7667" s="2" t="inlineStr"/>
    </row>
    <row r="7668" ht="15" customHeight="1">
      <c r="A7668" t="inlineStr">
        <is>
          <t>A 37593-2026</t>
        </is>
      </c>
      <c r="B7668" t="inlineStr">
        <is>
          <t>avverkningsanmälan</t>
        </is>
      </c>
      <c r="C7668" t="inlineStr">
        <is>
          <t>Föryngringsavverkning</t>
        </is>
      </c>
      <c r="D7668" s="1" t="n">
        <v>46276</v>
      </c>
      <c r="E7668" s="1" t="n">
        <v>46319</v>
      </c>
      <c r="F7668" t="inlineStr">
        <is>
          <t>DALARNAS LÄN</t>
        </is>
      </c>
      <c r="G7668" t="inlineStr">
        <is>
          <t>VANSBRO</t>
        </is>
      </c>
      <c r="H7668" t="inlineStr">
        <is>
          <t>Bergvik skog väst AB</t>
        </is>
      </c>
      <c r="I7668" t="n">
        <v>4.2</v>
      </c>
      <c r="J7668" t="n">
        <v>0</v>
      </c>
      <c r="K7668" t="n">
        <v>0</v>
      </c>
      <c r="L7668" t="n">
        <v>0</v>
      </c>
      <c r="M7668" t="n">
        <v>0</v>
      </c>
      <c r="N7668" t="n">
        <v>0</v>
      </c>
      <c r="O7668" t="n">
        <v>0</v>
      </c>
      <c r="P7668" t="n">
        <v>0</v>
      </c>
      <c r="Q7668" t="n">
        <v>0</v>
      </c>
      <c r="R7668" t="n">
        <v>0</v>
      </c>
      <c r="S7668" t="n">
        <v>0</v>
      </c>
      <c r="T7668" t="n">
        <v>0</v>
      </c>
      <c r="U7668" t="n">
        <v>0</v>
      </c>
      <c r="V7668" s="2" t="inlineStr"/>
    </row>
    <row r="7669" ht="15" customHeight="1">
      <c r="A7669" t="inlineStr">
        <is>
          <t>A 3589-2026</t>
        </is>
      </c>
      <c r="B7669" t="inlineStr">
        <is>
          <t>avverkningsanmälan</t>
        </is>
      </c>
      <c r="C7669" t="inlineStr">
        <is>
          <t>Föryngringsavverkning</t>
        </is>
      </c>
      <c r="D7669" s="1" t="n">
        <v>46042</v>
      </c>
      <c r="E7669" s="1" t="n">
        <v>46319</v>
      </c>
      <c r="F7669" t="inlineStr">
        <is>
          <t>DALARNAS LÄN</t>
        </is>
      </c>
      <c r="G7669" t="inlineStr">
        <is>
          <t>FALUN</t>
        </is>
      </c>
      <c r="I7669" t="n">
        <v>8.6</v>
      </c>
      <c r="J7669" t="n">
        <v>0</v>
      </c>
      <c r="K7669" t="n">
        <v>0</v>
      </c>
      <c r="L7669" t="n">
        <v>0</v>
      </c>
      <c r="M7669" t="n">
        <v>0</v>
      </c>
      <c r="N7669" t="n">
        <v>0</v>
      </c>
      <c r="O7669" t="n">
        <v>0</v>
      </c>
      <c r="P7669" t="n">
        <v>0</v>
      </c>
      <c r="Q7669" t="n">
        <v>0</v>
      </c>
      <c r="R7669" t="n">
        <v>0</v>
      </c>
      <c r="S7669" t="n">
        <v>0</v>
      </c>
      <c r="T7669" t="n">
        <v>0</v>
      </c>
      <c r="U7669" t="n">
        <v>0</v>
      </c>
      <c r="V7669" s="2" t="inlineStr"/>
    </row>
    <row r="7670" ht="15" customHeight="1">
      <c r="A7670" t="inlineStr">
        <is>
          <t>A 6794-2026</t>
        </is>
      </c>
      <c r="B7670" t="inlineStr">
        <is>
          <t>avverkningsanmälan</t>
        </is>
      </c>
      <c r="C7670" t="inlineStr">
        <is>
          <t>Föryngringsavverkning</t>
        </is>
      </c>
      <c r="D7670" s="1" t="n">
        <v>46057</v>
      </c>
      <c r="E7670" s="1" t="n">
        <v>46319</v>
      </c>
      <c r="F7670" t="inlineStr">
        <is>
          <t>DALARNAS LÄN</t>
        </is>
      </c>
      <c r="G7670" t="inlineStr">
        <is>
          <t>FALUN</t>
        </is>
      </c>
      <c r="I7670" t="n">
        <v>1.9</v>
      </c>
      <c r="J7670" t="n">
        <v>0</v>
      </c>
      <c r="K7670" t="n">
        <v>0</v>
      </c>
      <c r="L7670" t="n">
        <v>0</v>
      </c>
      <c r="M7670" t="n">
        <v>0</v>
      </c>
      <c r="N7670" t="n">
        <v>0</v>
      </c>
      <c r="O7670" t="n">
        <v>0</v>
      </c>
      <c r="P7670" t="n">
        <v>0</v>
      </c>
      <c r="Q7670" t="n">
        <v>0</v>
      </c>
      <c r="R7670" t="n">
        <v>0</v>
      </c>
      <c r="S7670" t="n">
        <v>0</v>
      </c>
      <c r="T7670" t="n">
        <v>0</v>
      </c>
      <c r="U7670" t="n">
        <v>0</v>
      </c>
      <c r="V7670" s="2" t="inlineStr"/>
    </row>
    <row r="7671" ht="15" customHeight="1">
      <c r="A7671" t="inlineStr">
        <is>
          <t>A 19230-2026</t>
        </is>
      </c>
      <c r="B7671" t="inlineStr">
        <is>
          <t>avverkningsanmälan</t>
        </is>
      </c>
      <c r="C7671" t="inlineStr">
        <is>
          <t>Föryngringsavverkning</t>
        </is>
      </c>
      <c r="D7671" s="1" t="n">
        <v>46132</v>
      </c>
      <c r="E7671" s="1" t="n">
        <v>46319</v>
      </c>
      <c r="F7671" t="inlineStr">
        <is>
          <t>DALARNAS LÄN</t>
        </is>
      </c>
      <c r="G7671" t="inlineStr">
        <is>
          <t>RÄTTVIK</t>
        </is>
      </c>
      <c r="H7671" t="inlineStr">
        <is>
          <t>Bergvik skog väst AB</t>
        </is>
      </c>
      <c r="I7671" t="n">
        <v>46.6</v>
      </c>
      <c r="J7671" t="n">
        <v>0</v>
      </c>
      <c r="K7671" t="n">
        <v>0</v>
      </c>
      <c r="L7671" t="n">
        <v>0</v>
      </c>
      <c r="M7671" t="n">
        <v>0</v>
      </c>
      <c r="N7671" t="n">
        <v>0</v>
      </c>
      <c r="O7671" t="n">
        <v>0</v>
      </c>
      <c r="P7671" t="n">
        <v>0</v>
      </c>
      <c r="Q7671" t="n">
        <v>0</v>
      </c>
      <c r="R7671" t="n">
        <v>0</v>
      </c>
      <c r="S7671" t="n">
        <v>0</v>
      </c>
      <c r="T7671" t="n">
        <v>0</v>
      </c>
      <c r="U7671" t="n">
        <v>0</v>
      </c>
      <c r="V7671" s="2" t="inlineStr"/>
    </row>
    <row r="7672" ht="15" customHeight="1">
      <c r="A7672" t="inlineStr">
        <is>
          <t>A 37596-2026</t>
        </is>
      </c>
      <c r="B7672" t="inlineStr">
        <is>
          <t>avverkningsanmälan</t>
        </is>
      </c>
      <c r="C7672" t="inlineStr">
        <is>
          <t>Föryngringsavverkning</t>
        </is>
      </c>
      <c r="D7672" s="1" t="n">
        <v>46276</v>
      </c>
      <c r="E7672" s="1" t="n">
        <v>46319</v>
      </c>
      <c r="F7672" t="inlineStr">
        <is>
          <t>DALARNAS LÄN</t>
        </is>
      </c>
      <c r="G7672" t="inlineStr">
        <is>
          <t>VANSBRO</t>
        </is>
      </c>
      <c r="H7672" t="inlineStr">
        <is>
          <t>Bergvik skog väst AB</t>
        </is>
      </c>
      <c r="I7672" t="n">
        <v>0.7</v>
      </c>
      <c r="J7672" t="n">
        <v>0</v>
      </c>
      <c r="K7672" t="n">
        <v>0</v>
      </c>
      <c r="L7672" t="n">
        <v>0</v>
      </c>
      <c r="M7672" t="n">
        <v>0</v>
      </c>
      <c r="N7672" t="n">
        <v>0</v>
      </c>
      <c r="O7672" t="n">
        <v>0</v>
      </c>
      <c r="P7672" t="n">
        <v>0</v>
      </c>
      <c r="Q7672" t="n">
        <v>0</v>
      </c>
      <c r="R7672" t="n">
        <v>0</v>
      </c>
      <c r="S7672" t="n">
        <v>0</v>
      </c>
      <c r="T7672" t="n">
        <v>0</v>
      </c>
      <c r="U7672" t="n">
        <v>0</v>
      </c>
      <c r="V7672" s="2" t="inlineStr"/>
    </row>
    <row r="7673" ht="15" customHeight="1">
      <c r="A7673" t="inlineStr">
        <is>
          <t>A 44121-2026</t>
        </is>
      </c>
      <c r="B7673" t="inlineStr">
        <is>
          <t>avverkningsanmälan</t>
        </is>
      </c>
      <c r="C7673" t="inlineStr">
        <is>
          <t>Föryngringsavverkning</t>
        </is>
      </c>
      <c r="D7673" s="1" t="n">
        <v>46318</v>
      </c>
      <c r="E7673" s="1" t="n">
        <v>46319</v>
      </c>
      <c r="F7673" t="inlineStr">
        <is>
          <t>DALARNAS LÄN</t>
        </is>
      </c>
      <c r="G7673" t="inlineStr">
        <is>
          <t>LUDVIKA</t>
        </is>
      </c>
      <c r="H7673" t="inlineStr">
        <is>
          <t>Bergvik skog väst AB</t>
        </is>
      </c>
      <c r="I7673" t="n">
        <v>0.6</v>
      </c>
      <c r="J7673" t="n">
        <v>0</v>
      </c>
      <c r="K7673" t="n">
        <v>0</v>
      </c>
      <c r="L7673" t="n">
        <v>0</v>
      </c>
      <c r="M7673" t="n">
        <v>0</v>
      </c>
      <c r="N7673" t="n">
        <v>0</v>
      </c>
      <c r="O7673" t="n">
        <v>0</v>
      </c>
      <c r="P7673" t="n">
        <v>0</v>
      </c>
      <c r="Q7673" t="n">
        <v>0</v>
      </c>
      <c r="R7673" t="n">
        <v>0</v>
      </c>
      <c r="S7673" t="n">
        <v>0</v>
      </c>
      <c r="T7673" t="n">
        <v>0</v>
      </c>
      <c r="U7673" t="n">
        <v>0</v>
      </c>
      <c r="V7673" s="2" t="inlineStr"/>
    </row>
    <row r="7674" ht="15" customHeight="1">
      <c r="A7674" t="inlineStr">
        <is>
          <t>A 44123-2026</t>
        </is>
      </c>
      <c r="B7674" t="inlineStr">
        <is>
          <t>avverkningsanmälan</t>
        </is>
      </c>
      <c r="C7674" t="inlineStr">
        <is>
          <t>Föryngringsavverkning</t>
        </is>
      </c>
      <c r="D7674" s="1" t="n">
        <v>46318</v>
      </c>
      <c r="E7674" s="1" t="n">
        <v>46319</v>
      </c>
      <c r="F7674" t="inlineStr">
        <is>
          <t>DALARNAS LÄN</t>
        </is>
      </c>
      <c r="G7674" t="inlineStr">
        <is>
          <t>LUDVIKA</t>
        </is>
      </c>
      <c r="H7674" t="inlineStr">
        <is>
          <t>Bergvik skog väst AB</t>
        </is>
      </c>
      <c r="I7674" t="n">
        <v>0.9</v>
      </c>
      <c r="J7674" t="n">
        <v>0</v>
      </c>
      <c r="K7674" t="n">
        <v>0</v>
      </c>
      <c r="L7674" t="n">
        <v>0</v>
      </c>
      <c r="M7674" t="n">
        <v>0</v>
      </c>
      <c r="N7674" t="n">
        <v>0</v>
      </c>
      <c r="O7674" t="n">
        <v>0</v>
      </c>
      <c r="P7674" t="n">
        <v>0</v>
      </c>
      <c r="Q7674" t="n">
        <v>0</v>
      </c>
      <c r="R7674" t="n">
        <v>0</v>
      </c>
      <c r="S7674" t="n">
        <v>0</v>
      </c>
      <c r="T7674" t="n">
        <v>0</v>
      </c>
      <c r="U7674" t="n">
        <v>0</v>
      </c>
      <c r="V7674" s="2" t="inlineStr"/>
    </row>
    <row r="7675" ht="15" customHeight="1">
      <c r="A7675" t="inlineStr">
        <is>
          <t>A 40659-2025</t>
        </is>
      </c>
      <c r="B7675" t="inlineStr">
        <is>
          <t>avverkningsanmälan</t>
        </is>
      </c>
      <c r="C7675" t="inlineStr">
        <is>
          <t>Föryngringsavverkning</t>
        </is>
      </c>
      <c r="D7675" s="1" t="n">
        <v>45896</v>
      </c>
      <c r="E7675" s="1" t="n">
        <v>46319</v>
      </c>
      <c r="F7675" t="inlineStr">
        <is>
          <t>DALARNAS LÄN</t>
        </is>
      </c>
      <c r="G7675" t="inlineStr">
        <is>
          <t>RÄTTVIK</t>
        </is>
      </c>
      <c r="I7675" t="n">
        <v>16.3</v>
      </c>
      <c r="J7675" t="n">
        <v>0</v>
      </c>
      <c r="K7675" t="n">
        <v>0</v>
      </c>
      <c r="L7675" t="n">
        <v>0</v>
      </c>
      <c r="M7675" t="n">
        <v>0</v>
      </c>
      <c r="N7675" t="n">
        <v>0</v>
      </c>
      <c r="O7675" t="n">
        <v>0</v>
      </c>
      <c r="P7675" t="n">
        <v>0</v>
      </c>
      <c r="Q7675" t="n">
        <v>0</v>
      </c>
      <c r="R7675" t="n">
        <v>0</v>
      </c>
      <c r="S7675" t="n">
        <v>0</v>
      </c>
      <c r="T7675" t="n">
        <v>0</v>
      </c>
      <c r="U7675" t="n">
        <v>0</v>
      </c>
      <c r="V7675" s="2" t="inlineStr"/>
    </row>
    <row r="7676" ht="15" customHeight="1">
      <c r="A7676" t="inlineStr">
        <is>
          <t>A 6007-2026</t>
        </is>
      </c>
      <c r="B7676" t="inlineStr">
        <is>
          <t>avverkningsanmälan</t>
        </is>
      </c>
      <c r="C7676" t="inlineStr">
        <is>
          <t>Föryngringsavverkning</t>
        </is>
      </c>
      <c r="D7676" s="1" t="n">
        <v>46052</v>
      </c>
      <c r="E7676" s="1" t="n">
        <v>46319</v>
      </c>
      <c r="F7676" t="inlineStr">
        <is>
          <t>DALARNAS LÄN</t>
        </is>
      </c>
      <c r="G7676" t="inlineStr">
        <is>
          <t>RÄTTVIK</t>
        </is>
      </c>
      <c r="H7676" t="inlineStr">
        <is>
          <t>Kyrkan</t>
        </is>
      </c>
      <c r="I7676" t="n">
        <v>1.1</v>
      </c>
      <c r="J7676" t="n">
        <v>0</v>
      </c>
      <c r="K7676" t="n">
        <v>0</v>
      </c>
      <c r="L7676" t="n">
        <v>0</v>
      </c>
      <c r="M7676" t="n">
        <v>0</v>
      </c>
      <c r="N7676" t="n">
        <v>0</v>
      </c>
      <c r="O7676" t="n">
        <v>0</v>
      </c>
      <c r="P7676" t="n">
        <v>0</v>
      </c>
      <c r="Q7676" t="n">
        <v>0</v>
      </c>
      <c r="R7676" t="n">
        <v>0</v>
      </c>
      <c r="S7676" t="n">
        <v>0</v>
      </c>
      <c r="T7676" t="n">
        <v>0</v>
      </c>
      <c r="U7676" t="n">
        <v>0</v>
      </c>
      <c r="V7676" s="2" t="inlineStr"/>
    </row>
    <row r="7677" ht="15" customHeight="1">
      <c r="A7677" t="inlineStr">
        <is>
          <t>A 37626-2026</t>
        </is>
      </c>
      <c r="B7677" t="inlineStr">
        <is>
          <t>avverkningsanmälan</t>
        </is>
      </c>
      <c r="C7677" t="inlineStr">
        <is>
          <t>Föryngringsavverkning</t>
        </is>
      </c>
      <c r="D7677" s="1" t="n">
        <v>46276</v>
      </c>
      <c r="E7677" s="1" t="n">
        <v>46319</v>
      </c>
      <c r="F7677" t="inlineStr">
        <is>
          <t>DALARNAS LÄN</t>
        </is>
      </c>
      <c r="G7677" t="inlineStr">
        <is>
          <t>LUDVIKA</t>
        </is>
      </c>
      <c r="I7677" t="n">
        <v>1.1</v>
      </c>
      <c r="J7677" t="n">
        <v>0</v>
      </c>
      <c r="K7677" t="n">
        <v>0</v>
      </c>
      <c r="L7677" t="n">
        <v>0</v>
      </c>
      <c r="M7677" t="n">
        <v>0</v>
      </c>
      <c r="N7677" t="n">
        <v>0</v>
      </c>
      <c r="O7677" t="n">
        <v>0</v>
      </c>
      <c r="P7677" t="n">
        <v>0</v>
      </c>
      <c r="Q7677" t="n">
        <v>0</v>
      </c>
      <c r="R7677" t="n">
        <v>0</v>
      </c>
      <c r="S7677" t="n">
        <v>0</v>
      </c>
      <c r="T7677" t="n">
        <v>0</v>
      </c>
      <c r="U7677" t="n">
        <v>0</v>
      </c>
      <c r="V7677" s="2" t="inlineStr"/>
    </row>
    <row r="7678" ht="15" customHeight="1">
      <c r="A7678" t="inlineStr">
        <is>
          <t>A 37632-2026</t>
        </is>
      </c>
      <c r="B7678" t="inlineStr">
        <is>
          <t>avverkningsanmälan</t>
        </is>
      </c>
      <c r="C7678" t="inlineStr">
        <is>
          <t>Föryngringsavverkning</t>
        </is>
      </c>
      <c r="D7678" s="1" t="n">
        <v>46276</v>
      </c>
      <c r="E7678" s="1" t="n">
        <v>46319</v>
      </c>
      <c r="F7678" t="inlineStr">
        <is>
          <t>DALARNAS LÄN</t>
        </is>
      </c>
      <c r="G7678" t="inlineStr">
        <is>
          <t>RÄTTVIK</t>
        </is>
      </c>
      <c r="H7678" t="inlineStr">
        <is>
          <t>Sveaskog</t>
        </is>
      </c>
      <c r="I7678" t="n">
        <v>5.9</v>
      </c>
      <c r="J7678" t="n">
        <v>0</v>
      </c>
      <c r="K7678" t="n">
        <v>0</v>
      </c>
      <c r="L7678" t="n">
        <v>0</v>
      </c>
      <c r="M7678" t="n">
        <v>0</v>
      </c>
      <c r="N7678" t="n">
        <v>0</v>
      </c>
      <c r="O7678" t="n">
        <v>0</v>
      </c>
      <c r="P7678" t="n">
        <v>0</v>
      </c>
      <c r="Q7678" t="n">
        <v>0</v>
      </c>
      <c r="R7678" t="n">
        <v>0</v>
      </c>
      <c r="S7678" t="n">
        <v>0</v>
      </c>
      <c r="T7678" t="n">
        <v>0</v>
      </c>
      <c r="U7678" t="n">
        <v>0</v>
      </c>
      <c r="V7678" s="2" t="inlineStr"/>
    </row>
    <row r="7679" ht="15" customHeight="1">
      <c r="A7679" t="inlineStr">
        <is>
          <t>A 2775-2023</t>
        </is>
      </c>
      <c r="B7679" t="inlineStr">
        <is>
          <t>avverkningsanmälan</t>
        </is>
      </c>
      <c r="C7679" t="inlineStr">
        <is>
          <t>Föryngringsavverkning</t>
        </is>
      </c>
      <c r="D7679" s="1" t="n">
        <v>44944</v>
      </c>
      <c r="E7679" s="1" t="n">
        <v>46319</v>
      </c>
      <c r="F7679" t="inlineStr">
        <is>
          <t>DALARNAS LÄN</t>
        </is>
      </c>
      <c r="G7679" t="inlineStr">
        <is>
          <t>RÄTTVIK</t>
        </is>
      </c>
      <c r="I7679" t="n">
        <v>1.3</v>
      </c>
      <c r="J7679" t="n">
        <v>0</v>
      </c>
      <c r="K7679" t="n">
        <v>0</v>
      </c>
      <c r="L7679" t="n">
        <v>0</v>
      </c>
      <c r="M7679" t="n">
        <v>0</v>
      </c>
      <c r="N7679" t="n">
        <v>0</v>
      </c>
      <c r="O7679" t="n">
        <v>0</v>
      </c>
      <c r="P7679" t="n">
        <v>0</v>
      </c>
      <c r="Q7679" t="n">
        <v>0</v>
      </c>
      <c r="R7679" t="n">
        <v>0</v>
      </c>
      <c r="S7679" t="n">
        <v>0</v>
      </c>
      <c r="T7679" t="n">
        <v>0</v>
      </c>
      <c r="U7679" t="n">
        <v>0</v>
      </c>
      <c r="V7679" s="2" t="inlineStr"/>
    </row>
    <row r="7680" ht="15" customHeight="1">
      <c r="A7680" t="inlineStr">
        <is>
          <t>A 15573-2026</t>
        </is>
      </c>
      <c r="B7680" t="inlineStr">
        <is>
          <t>avverkningsanmälan</t>
        </is>
      </c>
      <c r="C7680" t="inlineStr">
        <is>
          <t>Föryngringsavverkning</t>
        </is>
      </c>
      <c r="D7680" s="1" t="n">
        <v>46106</v>
      </c>
      <c r="E7680" s="1" t="n">
        <v>46319</v>
      </c>
      <c r="F7680" t="inlineStr">
        <is>
          <t>DALARNAS LÄN</t>
        </is>
      </c>
      <c r="G7680" t="inlineStr">
        <is>
          <t>RÄTTVIK</t>
        </is>
      </c>
      <c r="H7680" t="inlineStr">
        <is>
          <t>Bergvik skog väst AB</t>
        </is>
      </c>
      <c r="I7680" t="n">
        <v>20</v>
      </c>
      <c r="J7680" t="n">
        <v>0</v>
      </c>
      <c r="K7680" t="n">
        <v>0</v>
      </c>
      <c r="L7680" t="n">
        <v>0</v>
      </c>
      <c r="M7680" t="n">
        <v>0</v>
      </c>
      <c r="N7680" t="n">
        <v>0</v>
      </c>
      <c r="O7680" t="n">
        <v>0</v>
      </c>
      <c r="P7680" t="n">
        <v>0</v>
      </c>
      <c r="Q7680" t="n">
        <v>0</v>
      </c>
      <c r="R7680" t="n">
        <v>0</v>
      </c>
      <c r="S7680" t="n">
        <v>0</v>
      </c>
      <c r="T7680" t="n">
        <v>0</v>
      </c>
      <c r="U7680" t="n">
        <v>0</v>
      </c>
      <c r="V7680" s="2" t="inlineStr"/>
    </row>
    <row r="7681" ht="15" customHeight="1">
      <c r="A7681" t="inlineStr">
        <is>
          <t>A 37649-2026</t>
        </is>
      </c>
      <c r="B7681" t="inlineStr">
        <is>
          <t>avverkningsanmälan</t>
        </is>
      </c>
      <c r="C7681" t="inlineStr">
        <is>
          <t>Föryngringsavverkning</t>
        </is>
      </c>
      <c r="D7681" s="1" t="n">
        <v>46276</v>
      </c>
      <c r="E7681" s="1" t="n">
        <v>46319</v>
      </c>
      <c r="F7681" t="inlineStr">
        <is>
          <t>DALARNAS LÄN</t>
        </is>
      </c>
      <c r="G7681" t="inlineStr">
        <is>
          <t>ORSA</t>
        </is>
      </c>
      <c r="I7681" t="n">
        <v>3.4</v>
      </c>
      <c r="J7681" t="n">
        <v>0</v>
      </c>
      <c r="K7681" t="n">
        <v>0</v>
      </c>
      <c r="L7681" t="n">
        <v>0</v>
      </c>
      <c r="M7681" t="n">
        <v>0</v>
      </c>
      <c r="N7681" t="n">
        <v>0</v>
      </c>
      <c r="O7681" t="n">
        <v>0</v>
      </c>
      <c r="P7681" t="n">
        <v>0</v>
      </c>
      <c r="Q7681" t="n">
        <v>0</v>
      </c>
      <c r="R7681" t="n">
        <v>0</v>
      </c>
      <c r="S7681" t="n">
        <v>0</v>
      </c>
      <c r="T7681" t="n">
        <v>0</v>
      </c>
      <c r="U7681" t="n">
        <v>0</v>
      </c>
      <c r="V7681" s="2" t="inlineStr"/>
    </row>
    <row r="7682" ht="15" customHeight="1">
      <c r="A7682" t="inlineStr">
        <is>
          <t>A 43925-2026</t>
        </is>
      </c>
      <c r="B7682" t="inlineStr">
        <is>
          <t>avverkningsanmälan</t>
        </is>
      </c>
      <c r="C7682" t="inlineStr">
        <is>
          <t>Föryngringsavverkning</t>
        </is>
      </c>
      <c r="D7682" s="1" t="n">
        <v>46317</v>
      </c>
      <c r="E7682" s="1" t="n">
        <v>46319</v>
      </c>
      <c r="F7682" t="inlineStr">
        <is>
          <t>DALARNAS LÄN</t>
        </is>
      </c>
      <c r="G7682" t="inlineStr">
        <is>
          <t>BORLÄNGE</t>
        </is>
      </c>
      <c r="I7682" t="n">
        <v>0.7</v>
      </c>
      <c r="J7682" t="n">
        <v>0</v>
      </c>
      <c r="K7682" t="n">
        <v>0</v>
      </c>
      <c r="L7682" t="n">
        <v>0</v>
      </c>
      <c r="M7682" t="n">
        <v>0</v>
      </c>
      <c r="N7682" t="n">
        <v>0</v>
      </c>
      <c r="O7682" t="n">
        <v>0</v>
      </c>
      <c r="P7682" t="n">
        <v>0</v>
      </c>
      <c r="Q7682" t="n">
        <v>0</v>
      </c>
      <c r="R7682" t="n">
        <v>0</v>
      </c>
      <c r="S7682" t="n">
        <v>0</v>
      </c>
      <c r="T7682" t="n">
        <v>0</v>
      </c>
      <c r="U7682" t="n">
        <v>0</v>
      </c>
      <c r="V7682" s="2" t="inlineStr"/>
    </row>
    <row r="7683" ht="15" customHeight="1">
      <c r="A7683" t="inlineStr">
        <is>
          <t>A 20650-2026</t>
        </is>
      </c>
      <c r="B7683" t="inlineStr">
        <is>
          <t>avverkningsanmälan</t>
        </is>
      </c>
      <c r="C7683" t="inlineStr">
        <is>
          <t>Föryngringsavverkning</t>
        </is>
      </c>
      <c r="D7683" s="1" t="n">
        <v>46141</v>
      </c>
      <c r="E7683" s="1" t="n">
        <v>46319</v>
      </c>
      <c r="F7683" t="inlineStr">
        <is>
          <t>DALARNAS LÄN</t>
        </is>
      </c>
      <c r="G7683" t="inlineStr">
        <is>
          <t>MORA</t>
        </is>
      </c>
      <c r="I7683" t="n">
        <v>9.9</v>
      </c>
      <c r="J7683" t="n">
        <v>0</v>
      </c>
      <c r="K7683" t="n">
        <v>0</v>
      </c>
      <c r="L7683" t="n">
        <v>0</v>
      </c>
      <c r="M7683" t="n">
        <v>0</v>
      </c>
      <c r="N7683" t="n">
        <v>0</v>
      </c>
      <c r="O7683" t="n">
        <v>0</v>
      </c>
      <c r="P7683" t="n">
        <v>0</v>
      </c>
      <c r="Q7683" t="n">
        <v>0</v>
      </c>
      <c r="R7683" t="n">
        <v>0</v>
      </c>
      <c r="S7683" t="n">
        <v>0</v>
      </c>
      <c r="T7683" t="n">
        <v>0</v>
      </c>
      <c r="U7683" t="n">
        <v>0</v>
      </c>
      <c r="V7683" s="2" t="inlineStr"/>
    </row>
    <row r="7684" ht="15" customHeight="1">
      <c r="A7684" t="inlineStr">
        <is>
          <t>A 53127-2025</t>
        </is>
      </c>
      <c r="B7684" t="inlineStr">
        <is>
          <t>avverkningsanmälan</t>
        </is>
      </c>
      <c r="C7684" t="inlineStr">
        <is>
          <t>Föryngringsavverkning</t>
        </is>
      </c>
      <c r="D7684" s="1" t="n">
        <v>45957</v>
      </c>
      <c r="E7684" s="1" t="n">
        <v>46319</v>
      </c>
      <c r="F7684" t="inlineStr">
        <is>
          <t>DALARNAS LÄN</t>
        </is>
      </c>
      <c r="G7684" t="inlineStr">
        <is>
          <t>RÄTTVIK</t>
        </is>
      </c>
      <c r="I7684" t="n">
        <v>2.9</v>
      </c>
      <c r="J7684" t="n">
        <v>0</v>
      </c>
      <c r="K7684" t="n">
        <v>0</v>
      </c>
      <c r="L7684" t="n">
        <v>0</v>
      </c>
      <c r="M7684" t="n">
        <v>0</v>
      </c>
      <c r="N7684" t="n">
        <v>0</v>
      </c>
      <c r="O7684" t="n">
        <v>0</v>
      </c>
      <c r="P7684" t="n">
        <v>0</v>
      </c>
      <c r="Q7684" t="n">
        <v>0</v>
      </c>
      <c r="R7684" t="n">
        <v>0</v>
      </c>
      <c r="S7684" t="n">
        <v>0</v>
      </c>
      <c r="T7684" t="n">
        <v>0</v>
      </c>
      <c r="U7684" t="n">
        <v>0</v>
      </c>
      <c r="V7684" s="2" t="inlineStr"/>
    </row>
    <row r="7685" ht="15" customHeight="1">
      <c r="A7685" t="inlineStr">
        <is>
          <t>A 2611-2026</t>
        </is>
      </c>
      <c r="B7685" t="inlineStr">
        <is>
          <t>avverkningsanmälan</t>
        </is>
      </c>
      <c r="C7685" t="inlineStr">
        <is>
          <t>Föryngringsavverkning</t>
        </is>
      </c>
      <c r="D7685" s="1" t="n">
        <v>46037</v>
      </c>
      <c r="E7685" s="1" t="n">
        <v>46319</v>
      </c>
      <c r="F7685" t="inlineStr">
        <is>
          <t>DALARNAS LÄN</t>
        </is>
      </c>
      <c r="G7685" t="inlineStr">
        <is>
          <t>FALUN</t>
        </is>
      </c>
      <c r="H7685" t="inlineStr">
        <is>
          <t>Bergvik skog väst AB</t>
        </is>
      </c>
      <c r="I7685" t="n">
        <v>26.2</v>
      </c>
      <c r="J7685" t="n">
        <v>0</v>
      </c>
      <c r="K7685" t="n">
        <v>0</v>
      </c>
      <c r="L7685" t="n">
        <v>0</v>
      </c>
      <c r="M7685" t="n">
        <v>0</v>
      </c>
      <c r="N7685" t="n">
        <v>0</v>
      </c>
      <c r="O7685" t="n">
        <v>0</v>
      </c>
      <c r="P7685" t="n">
        <v>0</v>
      </c>
      <c r="Q7685" t="n">
        <v>0</v>
      </c>
      <c r="R7685" t="n">
        <v>0</v>
      </c>
      <c r="S7685" t="n">
        <v>0</v>
      </c>
      <c r="T7685" t="n">
        <v>0</v>
      </c>
      <c r="U7685" t="n">
        <v>0</v>
      </c>
      <c r="V7685" s="2" t="inlineStr"/>
    </row>
    <row r="7686" ht="15" customHeight="1">
      <c r="A7686" t="inlineStr">
        <is>
          <t>A 45355-2024</t>
        </is>
      </c>
      <c r="B7686" t="inlineStr">
        <is>
          <t>avverkningsanmälan</t>
        </is>
      </c>
      <c r="C7686" t="inlineStr">
        <is>
          <t>Föryngringsavverkning</t>
        </is>
      </c>
      <c r="D7686" s="1" t="n">
        <v>45576</v>
      </c>
      <c r="E7686" s="1" t="n">
        <v>46319</v>
      </c>
      <c r="F7686" t="inlineStr">
        <is>
          <t>DALARNAS LÄN</t>
        </is>
      </c>
      <c r="G7686" t="inlineStr">
        <is>
          <t>MORA</t>
        </is>
      </c>
      <c r="I7686" t="n">
        <v>1.4</v>
      </c>
      <c r="J7686" t="n">
        <v>0</v>
      </c>
      <c r="K7686" t="n">
        <v>0</v>
      </c>
      <c r="L7686" t="n">
        <v>0</v>
      </c>
      <c r="M7686" t="n">
        <v>0</v>
      </c>
      <c r="N7686" t="n">
        <v>0</v>
      </c>
      <c r="O7686" t="n">
        <v>0</v>
      </c>
      <c r="P7686" t="n">
        <v>0</v>
      </c>
      <c r="Q7686" t="n">
        <v>0</v>
      </c>
      <c r="R7686" t="n">
        <v>0</v>
      </c>
      <c r="S7686" t="n">
        <v>0</v>
      </c>
      <c r="T7686" t="n">
        <v>0</v>
      </c>
      <c r="U7686" t="n">
        <v>0</v>
      </c>
      <c r="V7686" s="2" t="inlineStr"/>
    </row>
    <row r="7687" ht="15" customHeight="1">
      <c r="A7687" t="inlineStr">
        <is>
          <t>A 16592-2023</t>
        </is>
      </c>
      <c r="B7687" t="inlineStr">
        <is>
          <t>avverkningsanmälan</t>
        </is>
      </c>
      <c r="C7687" t="inlineStr">
        <is>
          <t>Föryngringsavverkning</t>
        </is>
      </c>
      <c r="D7687" s="1" t="n">
        <v>45030</v>
      </c>
      <c r="E7687" s="1" t="n">
        <v>46319</v>
      </c>
      <c r="F7687" t="inlineStr">
        <is>
          <t>DALARNAS LÄN</t>
        </is>
      </c>
      <c r="G7687" t="inlineStr">
        <is>
          <t>LEKSAND</t>
        </is>
      </c>
      <c r="I7687" t="n">
        <v>11.5</v>
      </c>
      <c r="J7687" t="n">
        <v>0</v>
      </c>
      <c r="K7687" t="n">
        <v>0</v>
      </c>
      <c r="L7687" t="n">
        <v>0</v>
      </c>
      <c r="M7687" t="n">
        <v>0</v>
      </c>
      <c r="N7687" t="n">
        <v>0</v>
      </c>
      <c r="O7687" t="n">
        <v>0</v>
      </c>
      <c r="P7687" t="n">
        <v>0</v>
      </c>
      <c r="Q7687" t="n">
        <v>0</v>
      </c>
      <c r="R7687" t="n">
        <v>0</v>
      </c>
      <c r="S7687" t="n">
        <v>0</v>
      </c>
      <c r="T7687" t="n">
        <v>0</v>
      </c>
      <c r="U7687" t="n">
        <v>0</v>
      </c>
      <c r="V7687" s="2" t="inlineStr"/>
    </row>
    <row r="7688" ht="15" customHeight="1">
      <c r="A7688" t="inlineStr">
        <is>
          <t>A 2078-2026</t>
        </is>
      </c>
      <c r="B7688" t="inlineStr">
        <is>
          <t>avverkningsanmälan</t>
        </is>
      </c>
      <c r="C7688" t="inlineStr">
        <is>
          <t>Föryngringsavverkning</t>
        </is>
      </c>
      <c r="D7688" s="1" t="n">
        <v>46036</v>
      </c>
      <c r="E7688" s="1" t="n">
        <v>46319</v>
      </c>
      <c r="F7688" t="inlineStr">
        <is>
          <t>DALARNAS LÄN</t>
        </is>
      </c>
      <c r="G7688" t="inlineStr">
        <is>
          <t>RÄTTVIK</t>
        </is>
      </c>
      <c r="I7688" t="n">
        <v>4.8</v>
      </c>
      <c r="J7688" t="n">
        <v>0</v>
      </c>
      <c r="K7688" t="n">
        <v>0</v>
      </c>
      <c r="L7688" t="n">
        <v>0</v>
      </c>
      <c r="M7688" t="n">
        <v>0</v>
      </c>
      <c r="N7688" t="n">
        <v>0</v>
      </c>
      <c r="O7688" t="n">
        <v>0</v>
      </c>
      <c r="P7688" t="n">
        <v>0</v>
      </c>
      <c r="Q7688" t="n">
        <v>0</v>
      </c>
      <c r="R7688" t="n">
        <v>0</v>
      </c>
      <c r="S7688" t="n">
        <v>0</v>
      </c>
      <c r="T7688" t="n">
        <v>0</v>
      </c>
      <c r="U7688" t="n">
        <v>0</v>
      </c>
      <c r="V7688" s="2" t="inlineStr"/>
    </row>
    <row r="7689" ht="15" customHeight="1">
      <c r="A7689" t="inlineStr">
        <is>
          <t>A 49888-2023</t>
        </is>
      </c>
      <c r="B7689" t="inlineStr">
        <is>
          <t>avverkningsanmälan</t>
        </is>
      </c>
      <c r="C7689" t="inlineStr">
        <is>
          <t>Föryngringsavverkning</t>
        </is>
      </c>
      <c r="D7689" s="1" t="n">
        <v>45213</v>
      </c>
      <c r="E7689" s="1" t="n">
        <v>46319</v>
      </c>
      <c r="F7689" t="inlineStr">
        <is>
          <t>DALARNAS LÄN</t>
        </is>
      </c>
      <c r="G7689" t="inlineStr">
        <is>
          <t>BORLÄNGE</t>
        </is>
      </c>
      <c r="I7689" t="n">
        <v>0.9</v>
      </c>
      <c r="J7689" t="n">
        <v>0</v>
      </c>
      <c r="K7689" t="n">
        <v>0</v>
      </c>
      <c r="L7689" t="n">
        <v>0</v>
      </c>
      <c r="M7689" t="n">
        <v>0</v>
      </c>
      <c r="N7689" t="n">
        <v>0</v>
      </c>
      <c r="O7689" t="n">
        <v>0</v>
      </c>
      <c r="P7689" t="n">
        <v>0</v>
      </c>
      <c r="Q7689" t="n">
        <v>0</v>
      </c>
      <c r="R7689" t="n">
        <v>0</v>
      </c>
      <c r="S7689" t="n">
        <v>0</v>
      </c>
      <c r="T7689" t="n">
        <v>0</v>
      </c>
      <c r="U7689" t="n">
        <v>0</v>
      </c>
      <c r="V7689" s="2" t="inlineStr"/>
    </row>
    <row r="7690" ht="15" customHeight="1">
      <c r="A7690" t="inlineStr">
        <is>
          <t>A 9371-2026</t>
        </is>
      </c>
      <c r="B7690" t="inlineStr">
        <is>
          <t>avverkningsanmälan</t>
        </is>
      </c>
      <c r="C7690" t="inlineStr">
        <is>
          <t>Föryngringsavverkning</t>
        </is>
      </c>
      <c r="D7690" s="1" t="n">
        <v>46070</v>
      </c>
      <c r="E7690" s="1" t="n">
        <v>46319</v>
      </c>
      <c r="F7690" t="inlineStr">
        <is>
          <t>DALARNAS LÄN</t>
        </is>
      </c>
      <c r="G7690" t="inlineStr">
        <is>
          <t>RÄTTVIK</t>
        </is>
      </c>
      <c r="I7690" t="n">
        <v>1.4</v>
      </c>
      <c r="J7690" t="n">
        <v>0</v>
      </c>
      <c r="K7690" t="n">
        <v>0</v>
      </c>
      <c r="L7690" t="n">
        <v>0</v>
      </c>
      <c r="M7690" t="n">
        <v>0</v>
      </c>
      <c r="N7690" t="n">
        <v>0</v>
      </c>
      <c r="O7690" t="n">
        <v>0</v>
      </c>
      <c r="P7690" t="n">
        <v>0</v>
      </c>
      <c r="Q7690" t="n">
        <v>0</v>
      </c>
      <c r="R7690" t="n">
        <v>0</v>
      </c>
      <c r="S7690" t="n">
        <v>0</v>
      </c>
      <c r="T7690" t="n">
        <v>0</v>
      </c>
      <c r="U7690" t="n">
        <v>0</v>
      </c>
      <c r="V7690" s="2" t="inlineStr"/>
    </row>
    <row r="7691" ht="15" customHeight="1">
      <c r="A7691" t="inlineStr">
        <is>
          <t>A 53586-2023</t>
        </is>
      </c>
      <c r="B7691" t="inlineStr">
        <is>
          <t>avverkningsanmälan</t>
        </is>
      </c>
      <c r="C7691" t="inlineStr">
        <is>
          <t>Föryngringsavverkning</t>
        </is>
      </c>
      <c r="D7691" s="1" t="n">
        <v>45230</v>
      </c>
      <c r="E7691" s="1" t="n">
        <v>46319</v>
      </c>
      <c r="F7691" t="inlineStr">
        <is>
          <t>DALARNAS LÄN</t>
        </is>
      </c>
      <c r="G7691" t="inlineStr">
        <is>
          <t>HEDEMORA</t>
        </is>
      </c>
      <c r="I7691" t="n">
        <v>2.4</v>
      </c>
      <c r="J7691" t="n">
        <v>0</v>
      </c>
      <c r="K7691" t="n">
        <v>0</v>
      </c>
      <c r="L7691" t="n">
        <v>0</v>
      </c>
      <c r="M7691" t="n">
        <v>0</v>
      </c>
      <c r="N7691" t="n">
        <v>0</v>
      </c>
      <c r="O7691" t="n">
        <v>0</v>
      </c>
      <c r="P7691" t="n">
        <v>0</v>
      </c>
      <c r="Q7691" t="n">
        <v>0</v>
      </c>
      <c r="R7691" t="n">
        <v>0</v>
      </c>
      <c r="S7691" t="n">
        <v>0</v>
      </c>
      <c r="T7691" t="n">
        <v>0</v>
      </c>
      <c r="U7691" t="n">
        <v>0</v>
      </c>
      <c r="V7691" s="2" t="inlineStr"/>
    </row>
    <row r="7692" ht="15" customHeight="1">
      <c r="A7692" t="inlineStr">
        <is>
          <t>A 19756-2022</t>
        </is>
      </c>
      <c r="B7692" t="inlineStr">
        <is>
          <t>avverkningsanmälan</t>
        </is>
      </c>
      <c r="C7692" t="inlineStr">
        <is>
          <t>Föryngringsavverkning</t>
        </is>
      </c>
      <c r="D7692" s="1" t="n">
        <v>44694</v>
      </c>
      <c r="E7692" s="1" t="n">
        <v>46319</v>
      </c>
      <c r="F7692" t="inlineStr">
        <is>
          <t>DALARNAS LÄN</t>
        </is>
      </c>
      <c r="G7692" t="inlineStr">
        <is>
          <t>MORA</t>
        </is>
      </c>
      <c r="I7692" t="n">
        <v>1</v>
      </c>
      <c r="J7692" t="n">
        <v>0</v>
      </c>
      <c r="K7692" t="n">
        <v>0</v>
      </c>
      <c r="L7692" t="n">
        <v>0</v>
      </c>
      <c r="M7692" t="n">
        <v>0</v>
      </c>
      <c r="N7692" t="n">
        <v>0</v>
      </c>
      <c r="O7692" t="n">
        <v>0</v>
      </c>
      <c r="P7692" t="n">
        <v>0</v>
      </c>
      <c r="Q7692" t="n">
        <v>0</v>
      </c>
      <c r="R7692" t="n">
        <v>0</v>
      </c>
      <c r="S7692" t="n">
        <v>0</v>
      </c>
      <c r="T7692" t="n">
        <v>0</v>
      </c>
      <c r="U7692" t="n">
        <v>0</v>
      </c>
      <c r="V7692" s="2" t="inlineStr"/>
    </row>
    <row r="7693" ht="15" customHeight="1">
      <c r="A7693" t="inlineStr">
        <is>
          <t>A 20215-2026</t>
        </is>
      </c>
      <c r="B7693" t="inlineStr">
        <is>
          <t>avverkningsanmälan</t>
        </is>
      </c>
      <c r="C7693" t="inlineStr">
        <is>
          <t>Föryngringsavverkning</t>
        </is>
      </c>
      <c r="D7693" s="1" t="n">
        <v>46139</v>
      </c>
      <c r="E7693" s="1" t="n">
        <v>46319</v>
      </c>
      <c r="F7693" t="inlineStr">
        <is>
          <t>DALARNAS LÄN</t>
        </is>
      </c>
      <c r="G7693" t="inlineStr">
        <is>
          <t>FALUN</t>
        </is>
      </c>
      <c r="I7693" t="n">
        <v>5.9</v>
      </c>
      <c r="J7693" t="n">
        <v>0</v>
      </c>
      <c r="K7693" t="n">
        <v>0</v>
      </c>
      <c r="L7693" t="n">
        <v>0</v>
      </c>
      <c r="M7693" t="n">
        <v>0</v>
      </c>
      <c r="N7693" t="n">
        <v>0</v>
      </c>
      <c r="O7693" t="n">
        <v>0</v>
      </c>
      <c r="P7693" t="n">
        <v>0</v>
      </c>
      <c r="Q7693" t="n">
        <v>0</v>
      </c>
      <c r="R7693" t="n">
        <v>0</v>
      </c>
      <c r="S7693" t="n">
        <v>0</v>
      </c>
      <c r="T7693" t="n">
        <v>0</v>
      </c>
      <c r="U7693" t="n">
        <v>0</v>
      </c>
      <c r="V7693" s="2" t="inlineStr"/>
    </row>
    <row r="7694" ht="15" customHeight="1">
      <c r="A7694" t="inlineStr">
        <is>
          <t>A 41368-2023</t>
        </is>
      </c>
      <c r="B7694" t="inlineStr">
        <is>
          <t>avverkningsanmälan</t>
        </is>
      </c>
      <c r="C7694" t="inlineStr">
        <is>
          <t>Avverkning för annat ändamål</t>
        </is>
      </c>
      <c r="D7694" s="1" t="n">
        <v>45174</v>
      </c>
      <c r="E7694" s="1" t="n">
        <v>46319</v>
      </c>
      <c r="F7694" t="inlineStr">
        <is>
          <t>DALARNAS LÄN</t>
        </is>
      </c>
      <c r="G7694" t="inlineStr">
        <is>
          <t>GAGNEF</t>
        </is>
      </c>
      <c r="I7694" t="n">
        <v>0.2</v>
      </c>
      <c r="J7694" t="n">
        <v>0</v>
      </c>
      <c r="K7694" t="n">
        <v>0</v>
      </c>
      <c r="L7694" t="n">
        <v>0</v>
      </c>
      <c r="M7694" t="n">
        <v>0</v>
      </c>
      <c r="N7694" t="n">
        <v>0</v>
      </c>
      <c r="O7694" t="n">
        <v>0</v>
      </c>
      <c r="P7694" t="n">
        <v>0</v>
      </c>
      <c r="Q7694" t="n">
        <v>0</v>
      </c>
      <c r="R7694" t="n">
        <v>0</v>
      </c>
      <c r="S7694" t="n">
        <v>0</v>
      </c>
      <c r="T7694" t="n">
        <v>0</v>
      </c>
      <c r="U7694" t="n">
        <v>0</v>
      </c>
      <c r="V7694" s="2" t="inlineStr"/>
    </row>
    <row r="7695" ht="15" customHeight="1">
      <c r="A7695" t="inlineStr">
        <is>
          <t>A 9037-2026</t>
        </is>
      </c>
      <c r="B7695" t="inlineStr">
        <is>
          <t>avverkningsanmälan</t>
        </is>
      </c>
      <c r="C7695" t="inlineStr">
        <is>
          <t>Föryngringsavverkning</t>
        </is>
      </c>
      <c r="D7695" s="1" t="n">
        <v>46069</v>
      </c>
      <c r="E7695" s="1" t="n">
        <v>46319</v>
      </c>
      <c r="F7695" t="inlineStr">
        <is>
          <t>DALARNAS LÄN</t>
        </is>
      </c>
      <c r="G7695" t="inlineStr">
        <is>
          <t>FALUN</t>
        </is>
      </c>
      <c r="H7695" t="inlineStr">
        <is>
          <t>Bergvik skog väst AB</t>
        </is>
      </c>
      <c r="I7695" t="n">
        <v>27.8</v>
      </c>
      <c r="J7695" t="n">
        <v>0</v>
      </c>
      <c r="K7695" t="n">
        <v>0</v>
      </c>
      <c r="L7695" t="n">
        <v>0</v>
      </c>
      <c r="M7695" t="n">
        <v>0</v>
      </c>
      <c r="N7695" t="n">
        <v>0</v>
      </c>
      <c r="O7695" t="n">
        <v>0</v>
      </c>
      <c r="P7695" t="n">
        <v>0</v>
      </c>
      <c r="Q7695" t="n">
        <v>0</v>
      </c>
      <c r="R7695" t="n">
        <v>0</v>
      </c>
      <c r="S7695" t="n">
        <v>0</v>
      </c>
      <c r="T7695" t="n">
        <v>0</v>
      </c>
      <c r="U7695" t="n">
        <v>0</v>
      </c>
      <c r="V7695" s="2" t="inlineStr"/>
    </row>
    <row r="7696" ht="15" customHeight="1">
      <c r="A7696" t="inlineStr">
        <is>
          <t>A 2367-2026</t>
        </is>
      </c>
      <c r="B7696" t="inlineStr">
        <is>
          <t>avverkningsanmälan</t>
        </is>
      </c>
      <c r="C7696" t="inlineStr">
        <is>
          <t>Föryngringsavverkning</t>
        </is>
      </c>
      <c r="D7696" s="1" t="n">
        <v>46036</v>
      </c>
      <c r="E7696" s="1" t="n">
        <v>46319</v>
      </c>
      <c r="F7696" t="inlineStr">
        <is>
          <t>DALARNAS LÄN</t>
        </is>
      </c>
      <c r="G7696" t="inlineStr">
        <is>
          <t>FALUN</t>
        </is>
      </c>
      <c r="I7696" t="n">
        <v>1.3</v>
      </c>
      <c r="J7696" t="n">
        <v>0</v>
      </c>
      <c r="K7696" t="n">
        <v>0</v>
      </c>
      <c r="L7696" t="n">
        <v>0</v>
      </c>
      <c r="M7696" t="n">
        <v>0</v>
      </c>
      <c r="N7696" t="n">
        <v>0</v>
      </c>
      <c r="O7696" t="n">
        <v>0</v>
      </c>
      <c r="P7696" t="n">
        <v>0</v>
      </c>
      <c r="Q7696" t="n">
        <v>0</v>
      </c>
      <c r="R7696" t="n">
        <v>0</v>
      </c>
      <c r="S7696" t="n">
        <v>0</v>
      </c>
      <c r="T7696" t="n">
        <v>0</v>
      </c>
      <c r="U7696" t="n">
        <v>0</v>
      </c>
      <c r="V7696" s="2" t="inlineStr"/>
    </row>
    <row r="7697" ht="15" customHeight="1">
      <c r="A7697" t="inlineStr">
        <is>
          <t>A 20837-2026</t>
        </is>
      </c>
      <c r="B7697" t="inlineStr">
        <is>
          <t>avverkningsanmälan</t>
        </is>
      </c>
      <c r="C7697" t="inlineStr">
        <is>
          <t>Föryngringsavverkning</t>
        </is>
      </c>
      <c r="D7697" s="1" t="n">
        <v>46142</v>
      </c>
      <c r="E7697" s="1" t="n">
        <v>46319</v>
      </c>
      <c r="F7697" t="inlineStr">
        <is>
          <t>DALARNAS LÄN</t>
        </is>
      </c>
      <c r="G7697" t="inlineStr">
        <is>
          <t>MORA</t>
        </is>
      </c>
      <c r="I7697" t="n">
        <v>12.4</v>
      </c>
      <c r="J7697" t="n">
        <v>0</v>
      </c>
      <c r="K7697" t="n">
        <v>0</v>
      </c>
      <c r="L7697" t="n">
        <v>0</v>
      </c>
      <c r="M7697" t="n">
        <v>0</v>
      </c>
      <c r="N7697" t="n">
        <v>0</v>
      </c>
      <c r="O7697" t="n">
        <v>0</v>
      </c>
      <c r="P7697" t="n">
        <v>0</v>
      </c>
      <c r="Q7697" t="n">
        <v>0</v>
      </c>
      <c r="R7697" t="n">
        <v>0</v>
      </c>
      <c r="S7697" t="n">
        <v>0</v>
      </c>
      <c r="T7697" t="n">
        <v>0</v>
      </c>
      <c r="U7697" t="n">
        <v>0</v>
      </c>
      <c r="V7697" s="2" t="inlineStr"/>
    </row>
    <row r="7698" ht="15" customHeight="1">
      <c r="A7698" t="inlineStr">
        <is>
          <t>A 61195-2023</t>
        </is>
      </c>
      <c r="B7698" t="inlineStr">
        <is>
          <t>avverkningsanmälan</t>
        </is>
      </c>
      <c r="C7698" t="inlineStr">
        <is>
          <t>Föryngringsavverkning</t>
        </is>
      </c>
      <c r="D7698" s="1" t="n">
        <v>45264</v>
      </c>
      <c r="E7698" s="1" t="n">
        <v>46319</v>
      </c>
      <c r="F7698" t="inlineStr">
        <is>
          <t>DALARNAS LÄN</t>
        </is>
      </c>
      <c r="G7698" t="inlineStr">
        <is>
          <t>BORLÄNGE</t>
        </is>
      </c>
      <c r="I7698" t="n">
        <v>2.1</v>
      </c>
      <c r="J7698" t="n">
        <v>0</v>
      </c>
      <c r="K7698" t="n">
        <v>0</v>
      </c>
      <c r="L7698" t="n">
        <v>0</v>
      </c>
      <c r="M7698" t="n">
        <v>0</v>
      </c>
      <c r="N7698" t="n">
        <v>0</v>
      </c>
      <c r="O7698" t="n">
        <v>0</v>
      </c>
      <c r="P7698" t="n">
        <v>0</v>
      </c>
      <c r="Q7698" t="n">
        <v>0</v>
      </c>
      <c r="R7698" t="n">
        <v>0</v>
      </c>
      <c r="S7698" t="n">
        <v>0</v>
      </c>
      <c r="T7698" t="n">
        <v>0</v>
      </c>
      <c r="U7698" t="n">
        <v>0</v>
      </c>
      <c r="V7698" s="2" t="inlineStr"/>
    </row>
    <row r="7699" ht="15" customHeight="1">
      <c r="A7699" t="inlineStr">
        <is>
          <t>A 9131-2026</t>
        </is>
      </c>
      <c r="B7699" t="inlineStr">
        <is>
          <t>avverkningsanmälan</t>
        </is>
      </c>
      <c r="C7699" t="inlineStr">
        <is>
          <t>Föryngringsavverkning</t>
        </is>
      </c>
      <c r="D7699" s="1" t="n">
        <v>46069</v>
      </c>
      <c r="E7699" s="1" t="n">
        <v>46319</v>
      </c>
      <c r="F7699" t="inlineStr">
        <is>
          <t>DALARNAS LÄN</t>
        </is>
      </c>
      <c r="G7699" t="inlineStr">
        <is>
          <t>FALUN</t>
        </is>
      </c>
      <c r="I7699" t="n">
        <v>2.1</v>
      </c>
      <c r="J7699" t="n">
        <v>0</v>
      </c>
      <c r="K7699" t="n">
        <v>0</v>
      </c>
      <c r="L7699" t="n">
        <v>0</v>
      </c>
      <c r="M7699" t="n">
        <v>0</v>
      </c>
      <c r="N7699" t="n">
        <v>0</v>
      </c>
      <c r="O7699" t="n">
        <v>0</v>
      </c>
      <c r="P7699" t="n">
        <v>0</v>
      </c>
      <c r="Q7699" t="n">
        <v>0</v>
      </c>
      <c r="R7699" t="n">
        <v>0</v>
      </c>
      <c r="S7699" t="n">
        <v>0</v>
      </c>
      <c r="T7699" t="n">
        <v>0</v>
      </c>
      <c r="U7699" t="n">
        <v>0</v>
      </c>
      <c r="V7699" s="2" t="inlineStr"/>
    </row>
    <row r="7700" ht="15" customHeight="1">
      <c r="A7700" t="inlineStr">
        <is>
          <t>A 59209-2022</t>
        </is>
      </c>
      <c r="B7700" t="inlineStr">
        <is>
          <t>avverkningsanmälan</t>
        </is>
      </c>
      <c r="C7700" t="inlineStr">
        <is>
          <t>Föryngringsavverkning</t>
        </is>
      </c>
      <c r="D7700" s="1" t="n">
        <v>44904</v>
      </c>
      <c r="E7700" s="1" t="n">
        <v>46319</v>
      </c>
      <c r="F7700" t="inlineStr">
        <is>
          <t>DALARNAS LÄN</t>
        </is>
      </c>
      <c r="G7700" t="inlineStr">
        <is>
          <t>ÄLVDALEN</t>
        </is>
      </c>
      <c r="I7700" t="n">
        <v>2.6</v>
      </c>
      <c r="J7700" t="n">
        <v>0</v>
      </c>
      <c r="K7700" t="n">
        <v>0</v>
      </c>
      <c r="L7700" t="n">
        <v>0</v>
      </c>
      <c r="M7700" t="n">
        <v>0</v>
      </c>
      <c r="N7700" t="n">
        <v>0</v>
      </c>
      <c r="O7700" t="n">
        <v>0</v>
      </c>
      <c r="P7700" t="n">
        <v>0</v>
      </c>
      <c r="Q7700" t="n">
        <v>0</v>
      </c>
      <c r="R7700" t="n">
        <v>0</v>
      </c>
      <c r="S7700" t="n">
        <v>0</v>
      </c>
      <c r="T7700" t="n">
        <v>0</v>
      </c>
      <c r="U7700" t="n">
        <v>0</v>
      </c>
      <c r="V7700" s="2" t="inlineStr"/>
    </row>
    <row r="7701" ht="15" customHeight="1">
      <c r="A7701" t="inlineStr">
        <is>
          <t>A 20882-2026</t>
        </is>
      </c>
      <c r="B7701" t="inlineStr">
        <is>
          <t>avverkningsanmälan</t>
        </is>
      </c>
      <c r="C7701" t="inlineStr">
        <is>
          <t>Föryngringsavverkning</t>
        </is>
      </c>
      <c r="D7701" s="1" t="n">
        <v>46142</v>
      </c>
      <c r="E7701" s="1" t="n">
        <v>46319</v>
      </c>
      <c r="F7701" t="inlineStr">
        <is>
          <t>DALARNAS LÄN</t>
        </is>
      </c>
      <c r="G7701" t="inlineStr">
        <is>
          <t>LUDVIKA</t>
        </is>
      </c>
      <c r="H7701" t="inlineStr">
        <is>
          <t>Bergvik skog väst AB</t>
        </is>
      </c>
      <c r="I7701" t="n">
        <v>2.5</v>
      </c>
      <c r="J7701" t="n">
        <v>0</v>
      </c>
      <c r="K7701" t="n">
        <v>0</v>
      </c>
      <c r="L7701" t="n">
        <v>0</v>
      </c>
      <c r="M7701" t="n">
        <v>0</v>
      </c>
      <c r="N7701" t="n">
        <v>0</v>
      </c>
      <c r="O7701" t="n">
        <v>0</v>
      </c>
      <c r="P7701" t="n">
        <v>0</v>
      </c>
      <c r="Q7701" t="n">
        <v>0</v>
      </c>
      <c r="R7701" t="n">
        <v>0</v>
      </c>
      <c r="S7701" t="n">
        <v>0</v>
      </c>
      <c r="T7701" t="n">
        <v>0</v>
      </c>
      <c r="U7701" t="n">
        <v>0</v>
      </c>
      <c r="V7701" s="2" t="inlineStr"/>
    </row>
    <row r="7702" ht="15" customHeight="1">
      <c r="A7702" t="inlineStr">
        <is>
          <t>A 20189-2025</t>
        </is>
      </c>
      <c r="B7702" t="inlineStr">
        <is>
          <t>avverkningsanmälan</t>
        </is>
      </c>
      <c r="C7702" t="inlineStr">
        <is>
          <t>Föryngringsavverkning</t>
        </is>
      </c>
      <c r="D7702" s="1" t="n">
        <v>45772</v>
      </c>
      <c r="E7702" s="1" t="n">
        <v>46319</v>
      </c>
      <c r="F7702" t="inlineStr">
        <is>
          <t>DALARNAS LÄN</t>
        </is>
      </c>
      <c r="G7702" t="inlineStr">
        <is>
          <t>VANSBRO</t>
        </is>
      </c>
      <c r="I7702" t="n">
        <v>1.4</v>
      </c>
      <c r="J7702" t="n">
        <v>0</v>
      </c>
      <c r="K7702" t="n">
        <v>0</v>
      </c>
      <c r="L7702" t="n">
        <v>0</v>
      </c>
      <c r="M7702" t="n">
        <v>0</v>
      </c>
      <c r="N7702" t="n">
        <v>0</v>
      </c>
      <c r="O7702" t="n">
        <v>0</v>
      </c>
      <c r="P7702" t="n">
        <v>0</v>
      </c>
      <c r="Q7702" t="n">
        <v>0</v>
      </c>
      <c r="R7702" t="n">
        <v>0</v>
      </c>
      <c r="S7702" t="n">
        <v>0</v>
      </c>
      <c r="T7702" t="n">
        <v>0</v>
      </c>
      <c r="U7702" t="n">
        <v>0</v>
      </c>
      <c r="V7702" s="2" t="inlineStr"/>
    </row>
    <row r="7703" ht="15" customHeight="1">
      <c r="A7703" t="inlineStr">
        <is>
          <t>A 3859-2026</t>
        </is>
      </c>
      <c r="B7703" t="inlineStr">
        <is>
          <t>avverkningsanmälan</t>
        </is>
      </c>
      <c r="C7703" t="inlineStr">
        <is>
          <t>Föryngringsavverkning</t>
        </is>
      </c>
      <c r="D7703" s="1" t="n">
        <v>46043</v>
      </c>
      <c r="E7703" s="1" t="n">
        <v>46319</v>
      </c>
      <c r="F7703" t="inlineStr">
        <is>
          <t>DALARNAS LÄN</t>
        </is>
      </c>
      <c r="G7703" t="inlineStr">
        <is>
          <t>ÄLVDALEN</t>
        </is>
      </c>
      <c r="I7703" t="n">
        <v>1.4</v>
      </c>
      <c r="J7703" t="n">
        <v>0</v>
      </c>
      <c r="K7703" t="n">
        <v>0</v>
      </c>
      <c r="L7703" t="n">
        <v>0</v>
      </c>
      <c r="M7703" t="n">
        <v>0</v>
      </c>
      <c r="N7703" t="n">
        <v>0</v>
      </c>
      <c r="O7703" t="n">
        <v>0</v>
      </c>
      <c r="P7703" t="n">
        <v>0</v>
      </c>
      <c r="Q7703" t="n">
        <v>0</v>
      </c>
      <c r="R7703" t="n">
        <v>0</v>
      </c>
      <c r="S7703" t="n">
        <v>0</v>
      </c>
      <c r="T7703" t="n">
        <v>0</v>
      </c>
      <c r="U7703" t="n">
        <v>0</v>
      </c>
      <c r="V7703" s="2" t="inlineStr"/>
    </row>
    <row r="7704" ht="15" customHeight="1">
      <c r="A7704" t="inlineStr">
        <is>
          <t>A 5216-2025</t>
        </is>
      </c>
      <c r="B7704" t="inlineStr">
        <is>
          <t>avverkningsanmälan</t>
        </is>
      </c>
      <c r="C7704" t="inlineStr">
        <is>
          <t>Föryngringsavverkning</t>
        </is>
      </c>
      <c r="D7704" s="1" t="n">
        <v>45691</v>
      </c>
      <c r="E7704" s="1" t="n">
        <v>46319</v>
      </c>
      <c r="F7704" t="inlineStr">
        <is>
          <t>DALARNAS LÄN</t>
        </is>
      </c>
      <c r="G7704" t="inlineStr">
        <is>
          <t>MORA</t>
        </is>
      </c>
      <c r="I7704" t="n">
        <v>2.5</v>
      </c>
      <c r="J7704" t="n">
        <v>0</v>
      </c>
      <c r="K7704" t="n">
        <v>0</v>
      </c>
      <c r="L7704" t="n">
        <v>0</v>
      </c>
      <c r="M7704" t="n">
        <v>0</v>
      </c>
      <c r="N7704" t="n">
        <v>0</v>
      </c>
      <c r="O7704" t="n">
        <v>0</v>
      </c>
      <c r="P7704" t="n">
        <v>0</v>
      </c>
      <c r="Q7704" t="n">
        <v>0</v>
      </c>
      <c r="R7704" t="n">
        <v>0</v>
      </c>
      <c r="S7704" t="n">
        <v>0</v>
      </c>
      <c r="T7704" t="n">
        <v>0</v>
      </c>
      <c r="U7704" t="n">
        <v>0</v>
      </c>
      <c r="V7704" s="2" t="inlineStr"/>
    </row>
    <row r="7705" ht="15" customHeight="1">
      <c r="A7705" t="inlineStr">
        <is>
          <t>A 11007-2026</t>
        </is>
      </c>
      <c r="B7705" t="inlineStr">
        <is>
          <t>avverkningsanmälan</t>
        </is>
      </c>
      <c r="C7705" t="inlineStr">
        <is>
          <t>Föryngringsavverkning</t>
        </is>
      </c>
      <c r="D7705" s="1" t="n">
        <v>46079</v>
      </c>
      <c r="E7705" s="1" t="n">
        <v>46319</v>
      </c>
      <c r="F7705" t="inlineStr">
        <is>
          <t>DALARNAS LÄN</t>
        </is>
      </c>
      <c r="G7705" t="inlineStr">
        <is>
          <t>VANSBRO</t>
        </is>
      </c>
      <c r="H7705" t="inlineStr">
        <is>
          <t>Övriga statliga verk och myndigheter</t>
        </is>
      </c>
      <c r="I7705" t="n">
        <v>1.8</v>
      </c>
      <c r="J7705" t="n">
        <v>0</v>
      </c>
      <c r="K7705" t="n">
        <v>0</v>
      </c>
      <c r="L7705" t="n">
        <v>0</v>
      </c>
      <c r="M7705" t="n">
        <v>0</v>
      </c>
      <c r="N7705" t="n">
        <v>0</v>
      </c>
      <c r="O7705" t="n">
        <v>0</v>
      </c>
      <c r="P7705" t="n">
        <v>0</v>
      </c>
      <c r="Q7705" t="n">
        <v>0</v>
      </c>
      <c r="R7705" t="n">
        <v>0</v>
      </c>
      <c r="S7705" t="n">
        <v>0</v>
      </c>
      <c r="T7705" t="n">
        <v>0</v>
      </c>
      <c r="U7705" t="n">
        <v>0</v>
      </c>
      <c r="V7705" s="2" t="inlineStr"/>
    </row>
    <row r="7706" ht="15" customHeight="1">
      <c r="A7706" t="inlineStr">
        <is>
          <t>A 51115-2024</t>
        </is>
      </c>
      <c r="B7706" t="inlineStr">
        <is>
          <t>avverkningsanmälan</t>
        </is>
      </c>
      <c r="C7706" t="inlineStr">
        <is>
          <t>Avverkning för att bevara och utveckla /försöksver</t>
        </is>
      </c>
      <c r="D7706" s="1" t="n">
        <v>45603</v>
      </c>
      <c r="E7706" s="1" t="n">
        <v>46319</v>
      </c>
      <c r="F7706" t="inlineStr">
        <is>
          <t>DALARNAS LÄN</t>
        </is>
      </c>
      <c r="G7706" t="inlineStr">
        <is>
          <t>SMEDJEBACKEN</t>
        </is>
      </c>
      <c r="H7706" t="inlineStr">
        <is>
          <t>Sveaskog</t>
        </is>
      </c>
      <c r="I7706" t="n">
        <v>1.8</v>
      </c>
      <c r="J7706" t="n">
        <v>0</v>
      </c>
      <c r="K7706" t="n">
        <v>0</v>
      </c>
      <c r="L7706" t="n">
        <v>0</v>
      </c>
      <c r="M7706" t="n">
        <v>0</v>
      </c>
      <c r="N7706" t="n">
        <v>0</v>
      </c>
      <c r="O7706" t="n">
        <v>0</v>
      </c>
      <c r="P7706" t="n">
        <v>0</v>
      </c>
      <c r="Q7706" t="n">
        <v>0</v>
      </c>
      <c r="R7706" t="n">
        <v>0</v>
      </c>
      <c r="S7706" t="n">
        <v>0</v>
      </c>
      <c r="T7706" t="n">
        <v>0</v>
      </c>
      <c r="U7706" t="n">
        <v>0</v>
      </c>
      <c r="V7706" s="2" t="inlineStr"/>
    </row>
    <row r="7707" ht="15" customHeight="1">
      <c r="A7707" t="inlineStr">
        <is>
          <t>A 7683-2026</t>
        </is>
      </c>
      <c r="B7707" t="inlineStr">
        <is>
          <t>avverkningsanmälan</t>
        </is>
      </c>
      <c r="C7707" t="inlineStr">
        <is>
          <t>Föryngringsavverkning</t>
        </is>
      </c>
      <c r="D7707" s="1" t="n">
        <v>46062</v>
      </c>
      <c r="E7707" s="1" t="n">
        <v>46319</v>
      </c>
      <c r="F7707" t="inlineStr">
        <is>
          <t>DALARNAS LÄN</t>
        </is>
      </c>
      <c r="G7707" t="inlineStr">
        <is>
          <t>LUDVIKA</t>
        </is>
      </c>
      <c r="H7707" t="inlineStr">
        <is>
          <t>Bergvik skog väst AB</t>
        </is>
      </c>
      <c r="I7707" t="n">
        <v>1.7</v>
      </c>
      <c r="J7707" t="n">
        <v>0</v>
      </c>
      <c r="K7707" t="n">
        <v>0</v>
      </c>
      <c r="L7707" t="n">
        <v>0</v>
      </c>
      <c r="M7707" t="n">
        <v>0</v>
      </c>
      <c r="N7707" t="n">
        <v>0</v>
      </c>
      <c r="O7707" t="n">
        <v>0</v>
      </c>
      <c r="P7707" t="n">
        <v>0</v>
      </c>
      <c r="Q7707" t="n">
        <v>0</v>
      </c>
      <c r="R7707" t="n">
        <v>0</v>
      </c>
      <c r="S7707" t="n">
        <v>0</v>
      </c>
      <c r="T7707" t="n">
        <v>0</v>
      </c>
      <c r="U7707" t="n">
        <v>0</v>
      </c>
      <c r="V7707" s="2" t="inlineStr"/>
    </row>
    <row r="7708" ht="15" customHeight="1">
      <c r="A7708" t="inlineStr">
        <is>
          <t>A 2936-2026</t>
        </is>
      </c>
      <c r="B7708" t="inlineStr">
        <is>
          <t>avverkningsanmälan</t>
        </is>
      </c>
      <c r="C7708" t="inlineStr">
        <is>
          <t>Föryngringsavverkning</t>
        </is>
      </c>
      <c r="D7708" s="1" t="n">
        <v>46037</v>
      </c>
      <c r="E7708" s="1" t="n">
        <v>46319</v>
      </c>
      <c r="F7708" t="inlineStr">
        <is>
          <t>DALARNAS LÄN</t>
        </is>
      </c>
      <c r="G7708" t="inlineStr">
        <is>
          <t>FALUN</t>
        </is>
      </c>
      <c r="I7708" t="n">
        <v>2.5</v>
      </c>
      <c r="J7708" t="n">
        <v>0</v>
      </c>
      <c r="K7708" t="n">
        <v>0</v>
      </c>
      <c r="L7708" t="n">
        <v>0</v>
      </c>
      <c r="M7708" t="n">
        <v>0</v>
      </c>
      <c r="N7708" t="n">
        <v>0</v>
      </c>
      <c r="O7708" t="n">
        <v>0</v>
      </c>
      <c r="P7708" t="n">
        <v>0</v>
      </c>
      <c r="Q7708" t="n">
        <v>0</v>
      </c>
      <c r="R7708" t="n">
        <v>0</v>
      </c>
      <c r="S7708" t="n">
        <v>0</v>
      </c>
      <c r="T7708" t="n">
        <v>0</v>
      </c>
      <c r="U7708" t="n">
        <v>0</v>
      </c>
      <c r="V7708" s="2" t="inlineStr"/>
    </row>
    <row r="7709" ht="15" customHeight="1">
      <c r="A7709" t="inlineStr">
        <is>
          <t>A 37365-2026</t>
        </is>
      </c>
      <c r="B7709" t="inlineStr">
        <is>
          <t>avverkningsanmälan</t>
        </is>
      </c>
      <c r="C7709" t="inlineStr">
        <is>
          <t>Föryngringsavverkning</t>
        </is>
      </c>
      <c r="D7709" s="1" t="n">
        <v>46275</v>
      </c>
      <c r="E7709" s="1" t="n">
        <v>46319</v>
      </c>
      <c r="F7709" t="inlineStr">
        <is>
          <t>DALARNAS LÄN</t>
        </is>
      </c>
      <c r="G7709" t="inlineStr">
        <is>
          <t>ORSA</t>
        </is>
      </c>
      <c r="I7709" t="n">
        <v>1</v>
      </c>
      <c r="J7709" t="n">
        <v>0</v>
      </c>
      <c r="K7709" t="n">
        <v>0</v>
      </c>
      <c r="L7709" t="n">
        <v>0</v>
      </c>
      <c r="M7709" t="n">
        <v>0</v>
      </c>
      <c r="N7709" t="n">
        <v>0</v>
      </c>
      <c r="O7709" t="n">
        <v>0</v>
      </c>
      <c r="P7709" t="n">
        <v>0</v>
      </c>
      <c r="Q7709" t="n">
        <v>0</v>
      </c>
      <c r="R7709" t="n">
        <v>0</v>
      </c>
      <c r="S7709" t="n">
        <v>0</v>
      </c>
      <c r="T7709" t="n">
        <v>0</v>
      </c>
      <c r="U7709" t="n">
        <v>0</v>
      </c>
      <c r="V7709" s="2" t="inlineStr"/>
    </row>
    <row r="7710" ht="15" customHeight="1">
      <c r="A7710" t="inlineStr">
        <is>
          <t>A 53344-2023</t>
        </is>
      </c>
      <c r="B7710" t="inlineStr">
        <is>
          <t>avverkningsanmälan</t>
        </is>
      </c>
      <c r="C7710" t="inlineStr">
        <is>
          <t>Föryngringsavverkning</t>
        </is>
      </c>
      <c r="D7710" s="1" t="n">
        <v>45229</v>
      </c>
      <c r="E7710" s="1" t="n">
        <v>46319</v>
      </c>
      <c r="F7710" t="inlineStr">
        <is>
          <t>DALARNAS LÄN</t>
        </is>
      </c>
      <c r="G7710" t="inlineStr">
        <is>
          <t>MORA</t>
        </is>
      </c>
      <c r="I7710" t="n">
        <v>2.4</v>
      </c>
      <c r="J7710" t="n">
        <v>0</v>
      </c>
      <c r="K7710" t="n">
        <v>0</v>
      </c>
      <c r="L7710" t="n">
        <v>0</v>
      </c>
      <c r="M7710" t="n">
        <v>0</v>
      </c>
      <c r="N7710" t="n">
        <v>0</v>
      </c>
      <c r="O7710" t="n">
        <v>0</v>
      </c>
      <c r="P7710" t="n">
        <v>0</v>
      </c>
      <c r="Q7710" t="n">
        <v>0</v>
      </c>
      <c r="R7710" t="n">
        <v>0</v>
      </c>
      <c r="S7710" t="n">
        <v>0</v>
      </c>
      <c r="T7710" t="n">
        <v>0</v>
      </c>
      <c r="U7710" t="n">
        <v>0</v>
      </c>
      <c r="V7710" s="2" t="inlineStr"/>
    </row>
    <row r="7711" ht="15" customHeight="1">
      <c r="A7711" t="inlineStr">
        <is>
          <t>A 2505-2024</t>
        </is>
      </c>
      <c r="B7711" t="inlineStr">
        <is>
          <t>avverkningsanmälan</t>
        </is>
      </c>
      <c r="C7711" t="inlineStr">
        <is>
          <t>Föryngringsavverkning</t>
        </is>
      </c>
      <c r="D7711" s="1" t="n">
        <v>45313</v>
      </c>
      <c r="E7711" s="1" t="n">
        <v>46319</v>
      </c>
      <c r="F7711" t="inlineStr">
        <is>
          <t>DALARNAS LÄN</t>
        </is>
      </c>
      <c r="G7711" t="inlineStr">
        <is>
          <t>GAGNEF</t>
        </is>
      </c>
      <c r="I7711" t="n">
        <v>5.1</v>
      </c>
      <c r="J7711" t="n">
        <v>0</v>
      </c>
      <c r="K7711" t="n">
        <v>0</v>
      </c>
      <c r="L7711" t="n">
        <v>0</v>
      </c>
      <c r="M7711" t="n">
        <v>0</v>
      </c>
      <c r="N7711" t="n">
        <v>0</v>
      </c>
      <c r="O7711" t="n">
        <v>0</v>
      </c>
      <c r="P7711" t="n">
        <v>0</v>
      </c>
      <c r="Q7711" t="n">
        <v>0</v>
      </c>
      <c r="R7711" t="n">
        <v>0</v>
      </c>
      <c r="S7711" t="n">
        <v>0</v>
      </c>
      <c r="T7711" t="n">
        <v>0</v>
      </c>
      <c r="U7711" t="n">
        <v>0</v>
      </c>
      <c r="V7711" s="2" t="inlineStr"/>
    </row>
    <row r="7712" ht="15" customHeight="1">
      <c r="A7712" t="inlineStr">
        <is>
          <t>A 26940-2025</t>
        </is>
      </c>
      <c r="B7712" t="inlineStr">
        <is>
          <t>avverkningsanmälan</t>
        </is>
      </c>
      <c r="C7712" t="inlineStr">
        <is>
          <t>Föryngringsavverkning</t>
        </is>
      </c>
      <c r="D7712" s="1" t="n">
        <v>45811</v>
      </c>
      <c r="E7712" s="1" t="n">
        <v>46319</v>
      </c>
      <c r="F7712" t="inlineStr">
        <is>
          <t>DALARNAS LÄN</t>
        </is>
      </c>
      <c r="G7712" t="inlineStr">
        <is>
          <t>SÄTER</t>
        </is>
      </c>
      <c r="I7712" t="n">
        <v>2.3</v>
      </c>
      <c r="J7712" t="n">
        <v>0</v>
      </c>
      <c r="K7712" t="n">
        <v>0</v>
      </c>
      <c r="L7712" t="n">
        <v>0</v>
      </c>
      <c r="M7712" t="n">
        <v>0</v>
      </c>
      <c r="N7712" t="n">
        <v>0</v>
      </c>
      <c r="O7712" t="n">
        <v>0</v>
      </c>
      <c r="P7712" t="n">
        <v>0</v>
      </c>
      <c r="Q7712" t="n">
        <v>0</v>
      </c>
      <c r="R7712" t="n">
        <v>0</v>
      </c>
      <c r="S7712" t="n">
        <v>0</v>
      </c>
      <c r="T7712" t="n">
        <v>0</v>
      </c>
      <c r="U7712" t="n">
        <v>0</v>
      </c>
      <c r="V7712" s="2" t="inlineStr"/>
    </row>
    <row r="7713" ht="15" customHeight="1">
      <c r="A7713" t="inlineStr">
        <is>
          <t>A 4508-2026</t>
        </is>
      </c>
      <c r="B7713" t="inlineStr">
        <is>
          <t>avverkningsanmälan</t>
        </is>
      </c>
      <c r="C7713" t="inlineStr">
        <is>
          <t>Föryngringsavverkning</t>
        </is>
      </c>
      <c r="D7713" s="1" t="n">
        <v>46045</v>
      </c>
      <c r="E7713" s="1" t="n">
        <v>46319</v>
      </c>
      <c r="F7713" t="inlineStr">
        <is>
          <t>DALARNAS LÄN</t>
        </is>
      </c>
      <c r="G7713" t="inlineStr">
        <is>
          <t>FALUN</t>
        </is>
      </c>
      <c r="I7713" t="n">
        <v>1.8</v>
      </c>
      <c r="J7713" t="n">
        <v>0</v>
      </c>
      <c r="K7713" t="n">
        <v>0</v>
      </c>
      <c r="L7713" t="n">
        <v>0</v>
      </c>
      <c r="M7713" t="n">
        <v>0</v>
      </c>
      <c r="N7713" t="n">
        <v>0</v>
      </c>
      <c r="O7713" t="n">
        <v>0</v>
      </c>
      <c r="P7713" t="n">
        <v>0</v>
      </c>
      <c r="Q7713" t="n">
        <v>0</v>
      </c>
      <c r="R7713" t="n">
        <v>0</v>
      </c>
      <c r="S7713" t="n">
        <v>0</v>
      </c>
      <c r="T7713" t="n">
        <v>0</v>
      </c>
      <c r="U7713" t="n">
        <v>0</v>
      </c>
      <c r="V7713" s="2" t="inlineStr"/>
    </row>
    <row r="7714" ht="15" customHeight="1">
      <c r="A7714" t="inlineStr">
        <is>
          <t>A 4355-2025</t>
        </is>
      </c>
      <c r="B7714" t="inlineStr">
        <is>
          <t>avverkningsanmälan</t>
        </is>
      </c>
      <c r="C7714" t="inlineStr">
        <is>
          <t>Föryngringsavverkning</t>
        </is>
      </c>
      <c r="D7714" s="1" t="n">
        <v>45686</v>
      </c>
      <c r="E7714" s="1" t="n">
        <v>46319</v>
      </c>
      <c r="F7714" t="inlineStr">
        <is>
          <t>DALARNAS LÄN</t>
        </is>
      </c>
      <c r="G7714" t="inlineStr">
        <is>
          <t>RÄTTVIK</t>
        </is>
      </c>
      <c r="I7714" t="n">
        <v>2.5</v>
      </c>
      <c r="J7714" t="n">
        <v>0</v>
      </c>
      <c r="K7714" t="n">
        <v>0</v>
      </c>
      <c r="L7714" t="n">
        <v>0</v>
      </c>
      <c r="M7714" t="n">
        <v>0</v>
      </c>
      <c r="N7714" t="n">
        <v>0</v>
      </c>
      <c r="O7714" t="n">
        <v>0</v>
      </c>
      <c r="P7714" t="n">
        <v>0</v>
      </c>
      <c r="Q7714" t="n">
        <v>0</v>
      </c>
      <c r="R7714" t="n">
        <v>0</v>
      </c>
      <c r="S7714" t="n">
        <v>0</v>
      </c>
      <c r="T7714" t="n">
        <v>0</v>
      </c>
      <c r="U7714" t="n">
        <v>0</v>
      </c>
      <c r="V7714" s="2" t="inlineStr"/>
    </row>
    <row r="7715" ht="15" customHeight="1">
      <c r="A7715" t="inlineStr">
        <is>
          <t>A 33680-2025</t>
        </is>
      </c>
      <c r="B7715" t="inlineStr">
        <is>
          <t>avverkningsanmälan</t>
        </is>
      </c>
      <c r="C7715" t="inlineStr">
        <is>
          <t>Föryngringsavverkning</t>
        </is>
      </c>
      <c r="D7715" s="1" t="n">
        <v>45841</v>
      </c>
      <c r="E7715" s="1" t="n">
        <v>46319</v>
      </c>
      <c r="F7715" t="inlineStr">
        <is>
          <t>DALARNAS LÄN</t>
        </is>
      </c>
      <c r="G7715" t="inlineStr">
        <is>
          <t>MALUNG-SÄLEN</t>
        </is>
      </c>
      <c r="H7715" t="inlineStr">
        <is>
          <t>Bergvik skog väst AB</t>
        </is>
      </c>
      <c r="I7715" t="n">
        <v>19</v>
      </c>
      <c r="J7715" t="n">
        <v>0</v>
      </c>
      <c r="K7715" t="n">
        <v>0</v>
      </c>
      <c r="L7715" t="n">
        <v>0</v>
      </c>
      <c r="M7715" t="n">
        <v>0</v>
      </c>
      <c r="N7715" t="n">
        <v>0</v>
      </c>
      <c r="O7715" t="n">
        <v>0</v>
      </c>
      <c r="P7715" t="n">
        <v>0</v>
      </c>
      <c r="Q7715" t="n">
        <v>0</v>
      </c>
      <c r="R7715" t="n">
        <v>0</v>
      </c>
      <c r="S7715" t="n">
        <v>0</v>
      </c>
      <c r="T7715" t="n">
        <v>0</v>
      </c>
      <c r="U7715" t="n">
        <v>0</v>
      </c>
      <c r="V7715" s="2" t="inlineStr"/>
    </row>
    <row r="7716" ht="15" customHeight="1">
      <c r="A7716" t="inlineStr">
        <is>
          <t>A 46665-2023</t>
        </is>
      </c>
      <c r="B7716" t="inlineStr">
        <is>
          <t>avverkningsanmälan</t>
        </is>
      </c>
      <c r="C7716" t="inlineStr">
        <is>
          <t>Föryngringsavverkning</t>
        </is>
      </c>
      <c r="D7716" s="1" t="n">
        <v>45198</v>
      </c>
      <c r="E7716" s="1" t="n">
        <v>46319</v>
      </c>
      <c r="F7716" t="inlineStr">
        <is>
          <t>DALARNAS LÄN</t>
        </is>
      </c>
      <c r="G7716" t="inlineStr">
        <is>
          <t>LEKSAND</t>
        </is>
      </c>
      <c r="I7716" t="n">
        <v>0.6</v>
      </c>
      <c r="J7716" t="n">
        <v>0</v>
      </c>
      <c r="K7716" t="n">
        <v>0</v>
      </c>
      <c r="L7716" t="n">
        <v>0</v>
      </c>
      <c r="M7716" t="n">
        <v>0</v>
      </c>
      <c r="N7716" t="n">
        <v>0</v>
      </c>
      <c r="O7716" t="n">
        <v>0</v>
      </c>
      <c r="P7716" t="n">
        <v>0</v>
      </c>
      <c r="Q7716" t="n">
        <v>0</v>
      </c>
      <c r="R7716" t="n">
        <v>0</v>
      </c>
      <c r="S7716" t="n">
        <v>0</v>
      </c>
      <c r="T7716" t="n">
        <v>0</v>
      </c>
      <c r="U7716" t="n">
        <v>0</v>
      </c>
      <c r="V7716" s="2" t="inlineStr"/>
    </row>
    <row r="7717" ht="15" customHeight="1">
      <c r="A7717" t="inlineStr">
        <is>
          <t>A 60518-2023</t>
        </is>
      </c>
      <c r="B7717" t="inlineStr">
        <is>
          <t>avverkningsanmälan</t>
        </is>
      </c>
      <c r="C7717" t="inlineStr">
        <is>
          <t>Föryngringsavverkning</t>
        </is>
      </c>
      <c r="D7717" s="1" t="n">
        <v>45259</v>
      </c>
      <c r="E7717" s="1" t="n">
        <v>46319</v>
      </c>
      <c r="F7717" t="inlineStr">
        <is>
          <t>DALARNAS LÄN</t>
        </is>
      </c>
      <c r="G7717" t="inlineStr">
        <is>
          <t>BORLÄNGE</t>
        </is>
      </c>
      <c r="H7717" t="inlineStr">
        <is>
          <t>Bergvik skog väst AB</t>
        </is>
      </c>
      <c r="I7717" t="n">
        <v>1.4</v>
      </c>
      <c r="J7717" t="n">
        <v>0</v>
      </c>
      <c r="K7717" t="n">
        <v>0</v>
      </c>
      <c r="L7717" t="n">
        <v>0</v>
      </c>
      <c r="M7717" t="n">
        <v>0</v>
      </c>
      <c r="N7717" t="n">
        <v>0</v>
      </c>
      <c r="O7717" t="n">
        <v>0</v>
      </c>
      <c r="P7717" t="n">
        <v>0</v>
      </c>
      <c r="Q7717" t="n">
        <v>0</v>
      </c>
      <c r="R7717" t="n">
        <v>0</v>
      </c>
      <c r="S7717" t="n">
        <v>0</v>
      </c>
      <c r="T7717" t="n">
        <v>0</v>
      </c>
      <c r="U7717" t="n">
        <v>0</v>
      </c>
      <c r="V7717" s="2" t="inlineStr"/>
    </row>
    <row r="7718" ht="15" customHeight="1">
      <c r="A7718" t="inlineStr">
        <is>
          <t>A 11749-2026</t>
        </is>
      </c>
      <c r="B7718" t="inlineStr">
        <is>
          <t>avverkningsanmälan</t>
        </is>
      </c>
      <c r="C7718" t="inlineStr">
        <is>
          <t>Föryngringsavverkning</t>
        </is>
      </c>
      <c r="D7718" s="1" t="n">
        <v>46084</v>
      </c>
      <c r="E7718" s="1" t="n">
        <v>46319</v>
      </c>
      <c r="F7718" t="inlineStr">
        <is>
          <t>DALARNAS LÄN</t>
        </is>
      </c>
      <c r="G7718" t="inlineStr">
        <is>
          <t>RÄTTVIK</t>
        </is>
      </c>
      <c r="I7718" t="n">
        <v>3.3</v>
      </c>
      <c r="J7718" t="n">
        <v>0</v>
      </c>
      <c r="K7718" t="n">
        <v>0</v>
      </c>
      <c r="L7718" t="n">
        <v>0</v>
      </c>
      <c r="M7718" t="n">
        <v>0</v>
      </c>
      <c r="N7718" t="n">
        <v>0</v>
      </c>
      <c r="O7718" t="n">
        <v>0</v>
      </c>
      <c r="P7718" t="n">
        <v>0</v>
      </c>
      <c r="Q7718" t="n">
        <v>0</v>
      </c>
      <c r="R7718" t="n">
        <v>0</v>
      </c>
      <c r="S7718" t="n">
        <v>0</v>
      </c>
      <c r="T7718" t="n">
        <v>0</v>
      </c>
      <c r="U7718" t="n">
        <v>0</v>
      </c>
      <c r="V7718" s="2" t="inlineStr"/>
    </row>
    <row r="7719" ht="15" customHeight="1">
      <c r="A7719" t="inlineStr">
        <is>
          <t>A 5347-2025</t>
        </is>
      </c>
      <c r="B7719" t="inlineStr">
        <is>
          <t>avverkningsanmälan</t>
        </is>
      </c>
      <c r="C7719" t="inlineStr">
        <is>
          <t>Föryngringsavverkning</t>
        </is>
      </c>
      <c r="D7719" s="1" t="n">
        <v>45692</v>
      </c>
      <c r="E7719" s="1" t="n">
        <v>46319</v>
      </c>
      <c r="F7719" t="inlineStr">
        <is>
          <t>DALARNAS LÄN</t>
        </is>
      </c>
      <c r="G7719" t="inlineStr">
        <is>
          <t>GAGNEF</t>
        </is>
      </c>
      <c r="I7719" t="n">
        <v>1</v>
      </c>
      <c r="J7719" t="n">
        <v>0</v>
      </c>
      <c r="K7719" t="n">
        <v>0</v>
      </c>
      <c r="L7719" t="n">
        <v>0</v>
      </c>
      <c r="M7719" t="n">
        <v>0</v>
      </c>
      <c r="N7719" t="n">
        <v>0</v>
      </c>
      <c r="O7719" t="n">
        <v>0</v>
      </c>
      <c r="P7719" t="n">
        <v>0</v>
      </c>
      <c r="Q7719" t="n">
        <v>0</v>
      </c>
      <c r="R7719" t="n">
        <v>0</v>
      </c>
      <c r="S7719" t="n">
        <v>0</v>
      </c>
      <c r="T7719" t="n">
        <v>0</v>
      </c>
      <c r="U7719" t="n">
        <v>0</v>
      </c>
      <c r="V7719" s="2" t="inlineStr"/>
    </row>
    <row r="7720" ht="15" customHeight="1">
      <c r="A7720" t="inlineStr">
        <is>
          <t>A 40943-2024</t>
        </is>
      </c>
      <c r="B7720" t="inlineStr">
        <is>
          <t>avverkningsanmälan</t>
        </is>
      </c>
      <c r="C7720" t="inlineStr">
        <is>
          <t>Föryngringsavverkning</t>
        </is>
      </c>
      <c r="D7720" s="1" t="n">
        <v>45558</v>
      </c>
      <c r="E7720" s="1" t="n">
        <v>46319</v>
      </c>
      <c r="F7720" t="inlineStr">
        <is>
          <t>DALARNAS LÄN</t>
        </is>
      </c>
      <c r="G7720" t="inlineStr">
        <is>
          <t>SMEDJEBACKEN</t>
        </is>
      </c>
      <c r="H7720" t="inlineStr">
        <is>
          <t>Sveaskog</t>
        </is>
      </c>
      <c r="I7720" t="n">
        <v>0.5</v>
      </c>
      <c r="J7720" t="n">
        <v>0</v>
      </c>
      <c r="K7720" t="n">
        <v>0</v>
      </c>
      <c r="L7720" t="n">
        <v>0</v>
      </c>
      <c r="M7720" t="n">
        <v>0</v>
      </c>
      <c r="N7720" t="n">
        <v>0</v>
      </c>
      <c r="O7720" t="n">
        <v>0</v>
      </c>
      <c r="P7720" t="n">
        <v>0</v>
      </c>
      <c r="Q7720" t="n">
        <v>0</v>
      </c>
      <c r="R7720" t="n">
        <v>0</v>
      </c>
      <c r="S7720" t="n">
        <v>0</v>
      </c>
      <c r="T7720" t="n">
        <v>0</v>
      </c>
      <c r="U7720" t="n">
        <v>0</v>
      </c>
      <c r="V7720" s="2" t="inlineStr"/>
    </row>
    <row r="7721" ht="15" customHeight="1">
      <c r="A7721" t="inlineStr">
        <is>
          <t>A 4904-2026</t>
        </is>
      </c>
      <c r="B7721" t="inlineStr">
        <is>
          <t>avverkningsanmälan</t>
        </is>
      </c>
      <c r="C7721" t="inlineStr">
        <is>
          <t>Föryngringsavverkning</t>
        </is>
      </c>
      <c r="D7721" s="1" t="n">
        <v>46048</v>
      </c>
      <c r="E7721" s="1" t="n">
        <v>46319</v>
      </c>
      <c r="F7721" t="inlineStr">
        <is>
          <t>DALARNAS LÄN</t>
        </is>
      </c>
      <c r="G7721" t="inlineStr">
        <is>
          <t>FALUN</t>
        </is>
      </c>
      <c r="I7721" t="n">
        <v>1.7</v>
      </c>
      <c r="J7721" t="n">
        <v>0</v>
      </c>
      <c r="K7721" t="n">
        <v>0</v>
      </c>
      <c r="L7721" t="n">
        <v>0</v>
      </c>
      <c r="M7721" t="n">
        <v>0</v>
      </c>
      <c r="N7721" t="n">
        <v>0</v>
      </c>
      <c r="O7721" t="n">
        <v>0</v>
      </c>
      <c r="P7721" t="n">
        <v>0</v>
      </c>
      <c r="Q7721" t="n">
        <v>0</v>
      </c>
      <c r="R7721" t="n">
        <v>0</v>
      </c>
      <c r="S7721" t="n">
        <v>0</v>
      </c>
      <c r="T7721" t="n">
        <v>0</v>
      </c>
      <c r="U7721" t="n">
        <v>0</v>
      </c>
      <c r="V7721" s="2" t="inlineStr"/>
    </row>
    <row r="7722" ht="15" customHeight="1">
      <c r="A7722" t="inlineStr">
        <is>
          <t>A 64863-2021</t>
        </is>
      </c>
      <c r="B7722" t="inlineStr">
        <is>
          <t>avverkningsanmälan</t>
        </is>
      </c>
      <c r="C7722" t="inlineStr">
        <is>
          <t>Avverkning för annat ändamål</t>
        </is>
      </c>
      <c r="D7722" s="1" t="n">
        <v>44512</v>
      </c>
      <c r="E7722" s="1" t="n">
        <v>46319</v>
      </c>
      <c r="F7722" t="inlineStr">
        <is>
          <t>DALARNAS LÄN</t>
        </is>
      </c>
      <c r="G7722" t="inlineStr">
        <is>
          <t>MALUNG-SÄLEN</t>
        </is>
      </c>
      <c r="H7722" t="inlineStr">
        <is>
          <t>Allmännings- och besparingsskogar</t>
        </is>
      </c>
      <c r="I7722" t="n">
        <v>0.3</v>
      </c>
      <c r="J7722" t="n">
        <v>0</v>
      </c>
      <c r="K7722" t="n">
        <v>0</v>
      </c>
      <c r="L7722" t="n">
        <v>0</v>
      </c>
      <c r="M7722" t="n">
        <v>0</v>
      </c>
      <c r="N7722" t="n">
        <v>0</v>
      </c>
      <c r="O7722" t="n">
        <v>0</v>
      </c>
      <c r="P7722" t="n">
        <v>0</v>
      </c>
      <c r="Q7722" t="n">
        <v>0</v>
      </c>
      <c r="R7722" t="n">
        <v>0</v>
      </c>
      <c r="S7722" t="n">
        <v>0</v>
      </c>
      <c r="T7722" t="n">
        <v>0</v>
      </c>
      <c r="U7722" t="n">
        <v>0</v>
      </c>
      <c r="V7722" s="2" t="inlineStr"/>
    </row>
    <row r="7723" ht="15" customHeight="1">
      <c r="A7723" t="inlineStr">
        <is>
          <t>A 20649-2026</t>
        </is>
      </c>
      <c r="B7723" t="inlineStr">
        <is>
          <t>avverkningsanmälan</t>
        </is>
      </c>
      <c r="C7723" t="inlineStr">
        <is>
          <t>Föryngringsavverkning</t>
        </is>
      </c>
      <c r="D7723" s="1" t="n">
        <v>46141</v>
      </c>
      <c r="E7723" s="1" t="n">
        <v>46319</v>
      </c>
      <c r="F7723" t="inlineStr">
        <is>
          <t>DALARNAS LÄN</t>
        </is>
      </c>
      <c r="G7723" t="inlineStr">
        <is>
          <t>MORA</t>
        </is>
      </c>
      <c r="I7723" t="n">
        <v>2.2</v>
      </c>
      <c r="J7723" t="n">
        <v>0</v>
      </c>
      <c r="K7723" t="n">
        <v>0</v>
      </c>
      <c r="L7723" t="n">
        <v>0</v>
      </c>
      <c r="M7723" t="n">
        <v>0</v>
      </c>
      <c r="N7723" t="n">
        <v>0</v>
      </c>
      <c r="O7723" t="n">
        <v>0</v>
      </c>
      <c r="P7723" t="n">
        <v>0</v>
      </c>
      <c r="Q7723" t="n">
        <v>0</v>
      </c>
      <c r="R7723" t="n">
        <v>0</v>
      </c>
      <c r="S7723" t="n">
        <v>0</v>
      </c>
      <c r="T7723" t="n">
        <v>0</v>
      </c>
      <c r="U7723" t="n">
        <v>0</v>
      </c>
      <c r="V7723" s="2" t="inlineStr"/>
    </row>
    <row r="7724" ht="15" customHeight="1">
      <c r="A7724" t="inlineStr">
        <is>
          <t>A 20655-2026</t>
        </is>
      </c>
      <c r="B7724" t="inlineStr">
        <is>
          <t>avverkningsanmälan</t>
        </is>
      </c>
      <c r="C7724" t="inlineStr">
        <is>
          <t>Föryngringsavverkning</t>
        </is>
      </c>
      <c r="D7724" s="1" t="n">
        <v>46141</v>
      </c>
      <c r="E7724" s="1" t="n">
        <v>46319</v>
      </c>
      <c r="F7724" t="inlineStr">
        <is>
          <t>DALARNAS LÄN</t>
        </is>
      </c>
      <c r="G7724" t="inlineStr">
        <is>
          <t>MORA</t>
        </is>
      </c>
      <c r="I7724" t="n">
        <v>0.7</v>
      </c>
      <c r="J7724" t="n">
        <v>0</v>
      </c>
      <c r="K7724" t="n">
        <v>0</v>
      </c>
      <c r="L7724" t="n">
        <v>0</v>
      </c>
      <c r="M7724" t="n">
        <v>0</v>
      </c>
      <c r="N7724" t="n">
        <v>0</v>
      </c>
      <c r="O7724" t="n">
        <v>0</v>
      </c>
      <c r="P7724" t="n">
        <v>0</v>
      </c>
      <c r="Q7724" t="n">
        <v>0</v>
      </c>
      <c r="R7724" t="n">
        <v>0</v>
      </c>
      <c r="S7724" t="n">
        <v>0</v>
      </c>
      <c r="T7724" t="n">
        <v>0</v>
      </c>
      <c r="U7724" t="n">
        <v>0</v>
      </c>
      <c r="V7724" s="2" t="inlineStr"/>
    </row>
    <row r="7725" ht="15" customHeight="1">
      <c r="A7725" t="inlineStr">
        <is>
          <t>A 20657-2026</t>
        </is>
      </c>
      <c r="B7725" t="inlineStr">
        <is>
          <t>avverkningsanmälan</t>
        </is>
      </c>
      <c r="C7725" t="inlineStr">
        <is>
          <t>Föryngringsavverkning</t>
        </is>
      </c>
      <c r="D7725" s="1" t="n">
        <v>46141</v>
      </c>
      <c r="E7725" s="1" t="n">
        <v>46319</v>
      </c>
      <c r="F7725" t="inlineStr">
        <is>
          <t>DALARNAS LÄN</t>
        </is>
      </c>
      <c r="G7725" t="inlineStr">
        <is>
          <t>FALUN</t>
        </is>
      </c>
      <c r="I7725" t="n">
        <v>5.9</v>
      </c>
      <c r="J7725" t="n">
        <v>0</v>
      </c>
      <c r="K7725" t="n">
        <v>0</v>
      </c>
      <c r="L7725" t="n">
        <v>0</v>
      </c>
      <c r="M7725" t="n">
        <v>0</v>
      </c>
      <c r="N7725" t="n">
        <v>0</v>
      </c>
      <c r="O7725" t="n">
        <v>0</v>
      </c>
      <c r="P7725" t="n">
        <v>0</v>
      </c>
      <c r="Q7725" t="n">
        <v>0</v>
      </c>
      <c r="R7725" t="n">
        <v>0</v>
      </c>
      <c r="S7725" t="n">
        <v>0</v>
      </c>
      <c r="T7725" t="n">
        <v>0</v>
      </c>
      <c r="U7725" t="n">
        <v>0</v>
      </c>
      <c r="V7725" s="2" t="inlineStr"/>
    </row>
    <row r="7726" ht="15" customHeight="1">
      <c r="A7726" t="inlineStr">
        <is>
          <t>A 3172-2025</t>
        </is>
      </c>
      <c r="B7726" t="inlineStr">
        <is>
          <t>avverkningsanmälan</t>
        </is>
      </c>
      <c r="C7726" t="inlineStr">
        <is>
          <t>Föryngringsavverkning</t>
        </is>
      </c>
      <c r="D7726" s="1" t="n">
        <v>45679</v>
      </c>
      <c r="E7726" s="1" t="n">
        <v>46319</v>
      </c>
      <c r="F7726" t="inlineStr">
        <is>
          <t>DALARNAS LÄN</t>
        </is>
      </c>
      <c r="G7726" t="inlineStr">
        <is>
          <t>MALUNG-SÄLEN</t>
        </is>
      </c>
      <c r="I7726" t="n">
        <v>2.7</v>
      </c>
      <c r="J7726" t="n">
        <v>0</v>
      </c>
      <c r="K7726" t="n">
        <v>0</v>
      </c>
      <c r="L7726" t="n">
        <v>0</v>
      </c>
      <c r="M7726" t="n">
        <v>0</v>
      </c>
      <c r="N7726" t="n">
        <v>0</v>
      </c>
      <c r="O7726" t="n">
        <v>0</v>
      </c>
      <c r="P7726" t="n">
        <v>0</v>
      </c>
      <c r="Q7726" t="n">
        <v>0</v>
      </c>
      <c r="R7726" t="n">
        <v>0</v>
      </c>
      <c r="S7726" t="n">
        <v>0</v>
      </c>
      <c r="T7726" t="n">
        <v>0</v>
      </c>
      <c r="U7726" t="n">
        <v>0</v>
      </c>
      <c r="V7726" s="2" t="inlineStr"/>
    </row>
    <row r="7727" ht="15" customHeight="1">
      <c r="A7727" t="inlineStr">
        <is>
          <t>A 5519-2025</t>
        </is>
      </c>
      <c r="B7727" t="inlineStr">
        <is>
          <t>avverkningsanmälan</t>
        </is>
      </c>
      <c r="C7727" t="inlineStr">
        <is>
          <t>Föryngringsavverkning</t>
        </is>
      </c>
      <c r="D7727" s="1" t="n">
        <v>45693</v>
      </c>
      <c r="E7727" s="1" t="n">
        <v>46319</v>
      </c>
      <c r="F7727" t="inlineStr">
        <is>
          <t>DALARNAS LÄN</t>
        </is>
      </c>
      <c r="G7727" t="inlineStr">
        <is>
          <t>GAGNEF</t>
        </is>
      </c>
      <c r="I7727" t="n">
        <v>0.6</v>
      </c>
      <c r="J7727" t="n">
        <v>0</v>
      </c>
      <c r="K7727" t="n">
        <v>0</v>
      </c>
      <c r="L7727" t="n">
        <v>0</v>
      </c>
      <c r="M7727" t="n">
        <v>0</v>
      </c>
      <c r="N7727" t="n">
        <v>0</v>
      </c>
      <c r="O7727" t="n">
        <v>0</v>
      </c>
      <c r="P7727" t="n">
        <v>0</v>
      </c>
      <c r="Q7727" t="n">
        <v>0</v>
      </c>
      <c r="R7727" t="n">
        <v>0</v>
      </c>
      <c r="S7727" t="n">
        <v>0</v>
      </c>
      <c r="T7727" t="n">
        <v>0</v>
      </c>
      <c r="U7727" t="n">
        <v>0</v>
      </c>
      <c r="V7727" s="2" t="inlineStr"/>
    </row>
    <row r="7728" ht="15" customHeight="1">
      <c r="A7728" t="inlineStr">
        <is>
          <t>A 20718-2026</t>
        </is>
      </c>
      <c r="B7728" t="inlineStr">
        <is>
          <t>avverkningsanmälan</t>
        </is>
      </c>
      <c r="C7728" t="inlineStr">
        <is>
          <t>Föryngringsavverkning</t>
        </is>
      </c>
      <c r="D7728" s="1" t="n">
        <v>46141</v>
      </c>
      <c r="E7728" s="1" t="n">
        <v>46319</v>
      </c>
      <c r="F7728" t="inlineStr">
        <is>
          <t>DALARNAS LÄN</t>
        </is>
      </c>
      <c r="G7728" t="inlineStr">
        <is>
          <t>SMEDJEBACKEN</t>
        </is>
      </c>
      <c r="I7728" t="n">
        <v>0.6</v>
      </c>
      <c r="J7728" t="n">
        <v>0</v>
      </c>
      <c r="K7728" t="n">
        <v>0</v>
      </c>
      <c r="L7728" t="n">
        <v>0</v>
      </c>
      <c r="M7728" t="n">
        <v>0</v>
      </c>
      <c r="N7728" t="n">
        <v>0</v>
      </c>
      <c r="O7728" t="n">
        <v>0</v>
      </c>
      <c r="P7728" t="n">
        <v>0</v>
      </c>
      <c r="Q7728" t="n">
        <v>0</v>
      </c>
      <c r="R7728" t="n">
        <v>0</v>
      </c>
      <c r="S7728" t="n">
        <v>0</v>
      </c>
      <c r="T7728" t="n">
        <v>0</v>
      </c>
      <c r="U7728" t="n">
        <v>0</v>
      </c>
      <c r="V7728" s="2" t="inlineStr"/>
    </row>
    <row r="7729" ht="15" customHeight="1">
      <c r="A7729" t="inlineStr">
        <is>
          <t>A 59448-2022</t>
        </is>
      </c>
      <c r="B7729" t="inlineStr">
        <is>
          <t>avverkningsanmälan</t>
        </is>
      </c>
      <c r="C7729" t="inlineStr">
        <is>
          <t>Avverkning för annat ändamål</t>
        </is>
      </c>
      <c r="D7729" s="1" t="n">
        <v>44907</v>
      </c>
      <c r="E7729" s="1" t="n">
        <v>46319</v>
      </c>
      <c r="F7729" t="inlineStr">
        <is>
          <t>DALARNAS LÄN</t>
        </is>
      </c>
      <c r="G7729" t="inlineStr">
        <is>
          <t>MORA</t>
        </is>
      </c>
      <c r="I7729" t="n">
        <v>35.7</v>
      </c>
      <c r="J7729" t="n">
        <v>0</v>
      </c>
      <c r="K7729" t="n">
        <v>0</v>
      </c>
      <c r="L7729" t="n">
        <v>0</v>
      </c>
      <c r="M7729" t="n">
        <v>0</v>
      </c>
      <c r="N7729" t="n">
        <v>0</v>
      </c>
      <c r="O7729" t="n">
        <v>0</v>
      </c>
      <c r="P7729" t="n">
        <v>0</v>
      </c>
      <c r="Q7729" t="n">
        <v>0</v>
      </c>
      <c r="R7729" t="n">
        <v>0</v>
      </c>
      <c r="S7729" t="n">
        <v>0</v>
      </c>
      <c r="T7729" t="n">
        <v>0</v>
      </c>
      <c r="U7729" t="n">
        <v>0</v>
      </c>
      <c r="V7729" s="2" t="inlineStr"/>
    </row>
    <row r="7730" ht="15" customHeight="1">
      <c r="A7730" t="inlineStr">
        <is>
          <t>A 56745-2023</t>
        </is>
      </c>
      <c r="B7730" t="inlineStr">
        <is>
          <t>avverkningsanmälan</t>
        </is>
      </c>
      <c r="C7730" t="inlineStr">
        <is>
          <t>Föryngringsavverkning</t>
        </is>
      </c>
      <c r="D7730" s="1" t="n">
        <v>45244</v>
      </c>
      <c r="E7730" s="1" t="n">
        <v>46319</v>
      </c>
      <c r="F7730" t="inlineStr">
        <is>
          <t>DALARNAS LÄN</t>
        </is>
      </c>
      <c r="G7730" t="inlineStr">
        <is>
          <t>MALUNG-SÄLEN</t>
        </is>
      </c>
      <c r="I7730" t="n">
        <v>2</v>
      </c>
      <c r="J7730" t="n">
        <v>0</v>
      </c>
      <c r="K7730" t="n">
        <v>0</v>
      </c>
      <c r="L7730" t="n">
        <v>0</v>
      </c>
      <c r="M7730" t="n">
        <v>0</v>
      </c>
      <c r="N7730" t="n">
        <v>0</v>
      </c>
      <c r="O7730" t="n">
        <v>0</v>
      </c>
      <c r="P7730" t="n">
        <v>0</v>
      </c>
      <c r="Q7730" t="n">
        <v>0</v>
      </c>
      <c r="R7730" t="n">
        <v>0</v>
      </c>
      <c r="S7730" t="n">
        <v>0</v>
      </c>
      <c r="T7730" t="n">
        <v>0</v>
      </c>
      <c r="U7730" t="n">
        <v>0</v>
      </c>
      <c r="V7730" s="2" t="inlineStr"/>
    </row>
    <row r="7731" ht="15" customHeight="1">
      <c r="A7731" t="inlineStr">
        <is>
          <t>A 46670-2024</t>
        </is>
      </c>
      <c r="B7731" t="inlineStr">
        <is>
          <t>avverkningsanmälan</t>
        </is>
      </c>
      <c r="C7731" t="inlineStr">
        <is>
          <t>Föryngringsavverkning</t>
        </is>
      </c>
      <c r="D7731" s="1" t="n">
        <v>45583</v>
      </c>
      <c r="E7731" s="1" t="n">
        <v>46319</v>
      </c>
      <c r="F7731" t="inlineStr">
        <is>
          <t>DALARNAS LÄN</t>
        </is>
      </c>
      <c r="G7731" t="inlineStr">
        <is>
          <t>AVESTA</t>
        </is>
      </c>
      <c r="H7731" t="inlineStr">
        <is>
          <t>Sveaskog</t>
        </is>
      </c>
      <c r="I7731" t="n">
        <v>0.6</v>
      </c>
      <c r="J7731" t="n">
        <v>0</v>
      </c>
      <c r="K7731" t="n">
        <v>0</v>
      </c>
      <c r="L7731" t="n">
        <v>0</v>
      </c>
      <c r="M7731" t="n">
        <v>0</v>
      </c>
      <c r="N7731" t="n">
        <v>0</v>
      </c>
      <c r="O7731" t="n">
        <v>0</v>
      </c>
      <c r="P7731" t="n">
        <v>0</v>
      </c>
      <c r="Q7731" t="n">
        <v>0</v>
      </c>
      <c r="R7731" t="n">
        <v>0</v>
      </c>
      <c r="S7731" t="n">
        <v>0</v>
      </c>
      <c r="T7731" t="n">
        <v>0</v>
      </c>
      <c r="U7731" t="n">
        <v>0</v>
      </c>
      <c r="V7731" s="2" t="inlineStr"/>
    </row>
    <row r="7732" ht="15" customHeight="1">
      <c r="A7732" t="inlineStr">
        <is>
          <t>A 46676-2024</t>
        </is>
      </c>
      <c r="B7732" t="inlineStr">
        <is>
          <t>avverkningsanmälan</t>
        </is>
      </c>
      <c r="C7732" t="inlineStr">
        <is>
          <t>Föryngringsavverkning</t>
        </is>
      </c>
      <c r="D7732" s="1" t="n">
        <v>45583</v>
      </c>
      <c r="E7732" s="1" t="n">
        <v>46319</v>
      </c>
      <c r="F7732" t="inlineStr">
        <is>
          <t>DALARNAS LÄN</t>
        </is>
      </c>
      <c r="G7732" t="inlineStr">
        <is>
          <t>AVESTA</t>
        </is>
      </c>
      <c r="H7732" t="inlineStr">
        <is>
          <t>Sveaskog</t>
        </is>
      </c>
      <c r="I7732" t="n">
        <v>2.9</v>
      </c>
      <c r="J7732" t="n">
        <v>0</v>
      </c>
      <c r="K7732" t="n">
        <v>0</v>
      </c>
      <c r="L7732" t="n">
        <v>0</v>
      </c>
      <c r="M7732" t="n">
        <v>0</v>
      </c>
      <c r="N7732" t="n">
        <v>0</v>
      </c>
      <c r="O7732" t="n">
        <v>0</v>
      </c>
      <c r="P7732" t="n">
        <v>0</v>
      </c>
      <c r="Q7732" t="n">
        <v>0</v>
      </c>
      <c r="R7732" t="n">
        <v>0</v>
      </c>
      <c r="S7732" t="n">
        <v>0</v>
      </c>
      <c r="T7732" t="n">
        <v>0</v>
      </c>
      <c r="U7732" t="n">
        <v>0</v>
      </c>
      <c r="V7732" s="2" t="inlineStr"/>
    </row>
    <row r="7733" ht="15" customHeight="1">
      <c r="A7733" t="inlineStr">
        <is>
          <t>A 39187-2025</t>
        </is>
      </c>
      <c r="B7733" t="inlineStr">
        <is>
          <t>avverkningsanmälan</t>
        </is>
      </c>
      <c r="C7733" t="inlineStr">
        <is>
          <t>Föryngringsavverkning</t>
        </is>
      </c>
      <c r="D7733" s="1" t="n">
        <v>45888</v>
      </c>
      <c r="E7733" s="1" t="n">
        <v>46319</v>
      </c>
      <c r="F7733" t="inlineStr">
        <is>
          <t>DALARNAS LÄN</t>
        </is>
      </c>
      <c r="G7733" t="inlineStr">
        <is>
          <t>FALUN</t>
        </is>
      </c>
      <c r="I7733" t="n">
        <v>1</v>
      </c>
      <c r="J7733" t="n">
        <v>0</v>
      </c>
      <c r="K7733" t="n">
        <v>0</v>
      </c>
      <c r="L7733" t="n">
        <v>0</v>
      </c>
      <c r="M7733" t="n">
        <v>0</v>
      </c>
      <c r="N7733" t="n">
        <v>0</v>
      </c>
      <c r="O7733" t="n">
        <v>0</v>
      </c>
      <c r="P7733" t="n">
        <v>0</v>
      </c>
      <c r="Q7733" t="n">
        <v>0</v>
      </c>
      <c r="R7733" t="n">
        <v>0</v>
      </c>
      <c r="S7733" t="n">
        <v>0</v>
      </c>
      <c r="T7733" t="n">
        <v>0</v>
      </c>
      <c r="U7733" t="n">
        <v>0</v>
      </c>
      <c r="V7733" s="2" t="inlineStr"/>
    </row>
    <row r="7734" ht="15" customHeight="1">
      <c r="A7734" t="inlineStr">
        <is>
          <t>A 8488-2026</t>
        </is>
      </c>
      <c r="B7734" t="inlineStr">
        <is>
          <t>avverkningsanmälan</t>
        </is>
      </c>
      <c r="C7734" t="inlineStr">
        <is>
          <t>Föryngringsavverkning</t>
        </is>
      </c>
      <c r="D7734" s="1" t="n">
        <v>46065</v>
      </c>
      <c r="E7734" s="1" t="n">
        <v>46319</v>
      </c>
      <c r="F7734" t="inlineStr">
        <is>
          <t>DALARNAS LÄN</t>
        </is>
      </c>
      <c r="G7734" t="inlineStr">
        <is>
          <t>BORLÄNGE</t>
        </is>
      </c>
      <c r="H7734" t="inlineStr">
        <is>
          <t>Bergvik skog väst AB</t>
        </is>
      </c>
      <c r="I7734" t="n">
        <v>3.6</v>
      </c>
      <c r="J7734" t="n">
        <v>0</v>
      </c>
      <c r="K7734" t="n">
        <v>0</v>
      </c>
      <c r="L7734" t="n">
        <v>0</v>
      </c>
      <c r="M7734" t="n">
        <v>0</v>
      </c>
      <c r="N7734" t="n">
        <v>0</v>
      </c>
      <c r="O7734" t="n">
        <v>0</v>
      </c>
      <c r="P7734" t="n">
        <v>0</v>
      </c>
      <c r="Q7734" t="n">
        <v>0</v>
      </c>
      <c r="R7734" t="n">
        <v>0</v>
      </c>
      <c r="S7734" t="n">
        <v>0</v>
      </c>
      <c r="T7734" t="n">
        <v>0</v>
      </c>
      <c r="U7734" t="n">
        <v>0</v>
      </c>
      <c r="V7734" s="2" t="inlineStr"/>
    </row>
    <row r="7735" ht="15" customHeight="1">
      <c r="A7735" t="inlineStr">
        <is>
          <t>A 21027-2026</t>
        </is>
      </c>
      <c r="B7735" t="inlineStr">
        <is>
          <t>avverkningsanmälan</t>
        </is>
      </c>
      <c r="C7735" t="inlineStr">
        <is>
          <t>Föryngringsavverkning</t>
        </is>
      </c>
      <c r="D7735" s="1" t="n">
        <v>46146</v>
      </c>
      <c r="E7735" s="1" t="n">
        <v>46319</v>
      </c>
      <c r="F7735" t="inlineStr">
        <is>
          <t>DALARNAS LÄN</t>
        </is>
      </c>
      <c r="G7735" t="inlineStr">
        <is>
          <t>AVESTA</t>
        </is>
      </c>
      <c r="H7735" t="inlineStr">
        <is>
          <t>Sveaskog</t>
        </is>
      </c>
      <c r="I7735" t="n">
        <v>0.7</v>
      </c>
      <c r="J7735" t="n">
        <v>0</v>
      </c>
      <c r="K7735" t="n">
        <v>0</v>
      </c>
      <c r="L7735" t="n">
        <v>0</v>
      </c>
      <c r="M7735" t="n">
        <v>0</v>
      </c>
      <c r="N7735" t="n">
        <v>0</v>
      </c>
      <c r="O7735" t="n">
        <v>0</v>
      </c>
      <c r="P7735" t="n">
        <v>0</v>
      </c>
      <c r="Q7735" t="n">
        <v>0</v>
      </c>
      <c r="R7735" t="n">
        <v>0</v>
      </c>
      <c r="S7735" t="n">
        <v>0</v>
      </c>
      <c r="T7735" t="n">
        <v>0</v>
      </c>
      <c r="U7735" t="n">
        <v>0</v>
      </c>
      <c r="V7735" s="2" t="inlineStr"/>
    </row>
    <row r="7736" ht="15" customHeight="1">
      <c r="A7736" t="inlineStr">
        <is>
          <t>A 69059-2021</t>
        </is>
      </c>
      <c r="B7736" t="inlineStr">
        <is>
          <t>avverkningsanmälan</t>
        </is>
      </c>
      <c r="C7736" t="inlineStr">
        <is>
          <t>Föryngringsavverkning</t>
        </is>
      </c>
      <c r="D7736" s="1" t="n">
        <v>44529</v>
      </c>
      <c r="E7736" s="1" t="n">
        <v>46319</v>
      </c>
      <c r="F7736" t="inlineStr">
        <is>
          <t>DALARNAS LÄN</t>
        </is>
      </c>
      <c r="G7736" t="inlineStr">
        <is>
          <t>RÄTTVIK</t>
        </is>
      </c>
      <c r="I7736" t="n">
        <v>1</v>
      </c>
      <c r="J7736" t="n">
        <v>0</v>
      </c>
      <c r="K7736" t="n">
        <v>0</v>
      </c>
      <c r="L7736" t="n">
        <v>0</v>
      </c>
      <c r="M7736" t="n">
        <v>0</v>
      </c>
      <c r="N7736" t="n">
        <v>0</v>
      </c>
      <c r="O7736" t="n">
        <v>0</v>
      </c>
      <c r="P7736" t="n">
        <v>0</v>
      </c>
      <c r="Q7736" t="n">
        <v>0</v>
      </c>
      <c r="R7736" t="n">
        <v>0</v>
      </c>
      <c r="S7736" t="n">
        <v>0</v>
      </c>
      <c r="T7736" t="n">
        <v>0</v>
      </c>
      <c r="U7736" t="n">
        <v>0</v>
      </c>
      <c r="V7736" s="2" t="inlineStr"/>
    </row>
    <row r="7737" ht="15" customHeight="1">
      <c r="A7737" t="inlineStr">
        <is>
          <t>A 21041-2026</t>
        </is>
      </c>
      <c r="B7737" t="inlineStr">
        <is>
          <t>avverkningsanmälan</t>
        </is>
      </c>
      <c r="C7737" t="inlineStr">
        <is>
          <t>Föryngringsavverkning</t>
        </is>
      </c>
      <c r="D7737" s="1" t="n">
        <v>46146</v>
      </c>
      <c r="E7737" s="1" t="n">
        <v>46319</v>
      </c>
      <c r="F7737" t="inlineStr">
        <is>
          <t>DALARNAS LÄN</t>
        </is>
      </c>
      <c r="G7737" t="inlineStr">
        <is>
          <t>FALUN</t>
        </is>
      </c>
      <c r="I7737" t="n">
        <v>3.8</v>
      </c>
      <c r="J7737" t="n">
        <v>0</v>
      </c>
      <c r="K7737" t="n">
        <v>0</v>
      </c>
      <c r="L7737" t="n">
        <v>0</v>
      </c>
      <c r="M7737" t="n">
        <v>0</v>
      </c>
      <c r="N7737" t="n">
        <v>0</v>
      </c>
      <c r="O7737" t="n">
        <v>0</v>
      </c>
      <c r="P7737" t="n">
        <v>0</v>
      </c>
      <c r="Q7737" t="n">
        <v>0</v>
      </c>
      <c r="R7737" t="n">
        <v>0</v>
      </c>
      <c r="S7737" t="n">
        <v>0</v>
      </c>
      <c r="T7737" t="n">
        <v>0</v>
      </c>
      <c r="U7737" t="n">
        <v>0</v>
      </c>
      <c r="V7737" s="2" t="inlineStr"/>
    </row>
    <row r="7738" ht="15" customHeight="1">
      <c r="A7738" t="inlineStr">
        <is>
          <t>A 21107-2026</t>
        </is>
      </c>
      <c r="B7738" t="inlineStr">
        <is>
          <t>avverkningsanmälan</t>
        </is>
      </c>
      <c r="C7738" t="inlineStr">
        <is>
          <t>Föryngringsavverkning</t>
        </is>
      </c>
      <c r="D7738" s="1" t="n">
        <v>46146</v>
      </c>
      <c r="E7738" s="1" t="n">
        <v>46319</v>
      </c>
      <c r="F7738" t="inlineStr">
        <is>
          <t>DALARNAS LÄN</t>
        </is>
      </c>
      <c r="G7738" t="inlineStr">
        <is>
          <t>FALUN</t>
        </is>
      </c>
      <c r="H7738" t="inlineStr">
        <is>
          <t>Bergvik skog väst AB</t>
        </is>
      </c>
      <c r="I7738" t="n">
        <v>57.6</v>
      </c>
      <c r="J7738" t="n">
        <v>0</v>
      </c>
      <c r="K7738" t="n">
        <v>0</v>
      </c>
      <c r="L7738" t="n">
        <v>0</v>
      </c>
      <c r="M7738" t="n">
        <v>0</v>
      </c>
      <c r="N7738" t="n">
        <v>0</v>
      </c>
      <c r="O7738" t="n">
        <v>0</v>
      </c>
      <c r="P7738" t="n">
        <v>0</v>
      </c>
      <c r="Q7738" t="n">
        <v>0</v>
      </c>
      <c r="R7738" t="n">
        <v>0</v>
      </c>
      <c r="S7738" t="n">
        <v>0</v>
      </c>
      <c r="T7738" t="n">
        <v>0</v>
      </c>
      <c r="U7738" t="n">
        <v>0</v>
      </c>
      <c r="V7738" s="2" t="inlineStr"/>
    </row>
    <row r="7739" ht="15" customHeight="1">
      <c r="A7739" t="inlineStr">
        <is>
          <t>A 21121-2026</t>
        </is>
      </c>
      <c r="B7739" t="inlineStr">
        <is>
          <t>avverkningsanmälan</t>
        </is>
      </c>
      <c r="C7739" t="inlineStr">
        <is>
          <t>Föryngringsavverkning</t>
        </is>
      </c>
      <c r="D7739" s="1" t="n">
        <v>46146</v>
      </c>
      <c r="E7739" s="1" t="n">
        <v>46319</v>
      </c>
      <c r="F7739" t="inlineStr">
        <is>
          <t>DALARNAS LÄN</t>
        </is>
      </c>
      <c r="G7739" t="inlineStr">
        <is>
          <t>FALUN</t>
        </is>
      </c>
      <c r="I7739" t="n">
        <v>1.2</v>
      </c>
      <c r="J7739" t="n">
        <v>0</v>
      </c>
      <c r="K7739" t="n">
        <v>0</v>
      </c>
      <c r="L7739" t="n">
        <v>0</v>
      </c>
      <c r="M7739" t="n">
        <v>0</v>
      </c>
      <c r="N7739" t="n">
        <v>0</v>
      </c>
      <c r="O7739" t="n">
        <v>0</v>
      </c>
      <c r="P7739" t="n">
        <v>0</v>
      </c>
      <c r="Q7739" t="n">
        <v>0</v>
      </c>
      <c r="R7739" t="n">
        <v>0</v>
      </c>
      <c r="S7739" t="n">
        <v>0</v>
      </c>
      <c r="T7739" t="n">
        <v>0</v>
      </c>
      <c r="U7739" t="n">
        <v>0</v>
      </c>
      <c r="V7739" s="2" t="inlineStr"/>
    </row>
    <row r="7740" ht="15" customHeight="1">
      <c r="A7740" t="inlineStr">
        <is>
          <t>A 21124-2026</t>
        </is>
      </c>
      <c r="B7740" t="inlineStr">
        <is>
          <t>avverkningsanmälan</t>
        </is>
      </c>
      <c r="C7740" t="inlineStr">
        <is>
          <t>Föryngringsavverkning</t>
        </is>
      </c>
      <c r="D7740" s="1" t="n">
        <v>46146</v>
      </c>
      <c r="E7740" s="1" t="n">
        <v>46319</v>
      </c>
      <c r="F7740" t="inlineStr">
        <is>
          <t>DALARNAS LÄN</t>
        </is>
      </c>
      <c r="G7740" t="inlineStr">
        <is>
          <t>FALUN</t>
        </is>
      </c>
      <c r="I7740" t="n">
        <v>11.6</v>
      </c>
      <c r="J7740" t="n">
        <v>0</v>
      </c>
      <c r="K7740" t="n">
        <v>0</v>
      </c>
      <c r="L7740" t="n">
        <v>0</v>
      </c>
      <c r="M7740" t="n">
        <v>0</v>
      </c>
      <c r="N7740" t="n">
        <v>0</v>
      </c>
      <c r="O7740" t="n">
        <v>0</v>
      </c>
      <c r="P7740" t="n">
        <v>0</v>
      </c>
      <c r="Q7740" t="n">
        <v>0</v>
      </c>
      <c r="R7740" t="n">
        <v>0</v>
      </c>
      <c r="S7740" t="n">
        <v>0</v>
      </c>
      <c r="T7740" t="n">
        <v>0</v>
      </c>
      <c r="U7740" t="n">
        <v>0</v>
      </c>
      <c r="V7740" s="2" t="inlineStr"/>
    </row>
    <row r="7741" ht="15" customHeight="1">
      <c r="A7741" t="inlineStr">
        <is>
          <t>A 21127-2026</t>
        </is>
      </c>
      <c r="B7741" t="inlineStr">
        <is>
          <t>avverkningsanmälan</t>
        </is>
      </c>
      <c r="C7741" t="inlineStr">
        <is>
          <t>Föryngringsavverkning</t>
        </is>
      </c>
      <c r="D7741" s="1" t="n">
        <v>46146</v>
      </c>
      <c r="E7741" s="1" t="n">
        <v>46319</v>
      </c>
      <c r="F7741" t="inlineStr">
        <is>
          <t>DALARNAS LÄN</t>
        </is>
      </c>
      <c r="G7741" t="inlineStr">
        <is>
          <t>FALUN</t>
        </is>
      </c>
      <c r="I7741" t="n">
        <v>3</v>
      </c>
      <c r="J7741" t="n">
        <v>0</v>
      </c>
      <c r="K7741" t="n">
        <v>0</v>
      </c>
      <c r="L7741" t="n">
        <v>0</v>
      </c>
      <c r="M7741" t="n">
        <v>0</v>
      </c>
      <c r="N7741" t="n">
        <v>0</v>
      </c>
      <c r="O7741" t="n">
        <v>0</v>
      </c>
      <c r="P7741" t="n">
        <v>0</v>
      </c>
      <c r="Q7741" t="n">
        <v>0</v>
      </c>
      <c r="R7741" t="n">
        <v>0</v>
      </c>
      <c r="S7741" t="n">
        <v>0</v>
      </c>
      <c r="T7741" t="n">
        <v>0</v>
      </c>
      <c r="U7741" t="n">
        <v>0</v>
      </c>
      <c r="V7741" s="2" t="inlineStr"/>
    </row>
    <row r="7742" ht="15" customHeight="1">
      <c r="A7742" t="inlineStr">
        <is>
          <t>A 14538-2022</t>
        </is>
      </c>
      <c r="B7742" t="inlineStr">
        <is>
          <t>avverkningsanmälan</t>
        </is>
      </c>
      <c r="C7742" t="inlineStr">
        <is>
          <t>Föryngringsavverkning</t>
        </is>
      </c>
      <c r="D7742" s="1" t="n">
        <v>44655</v>
      </c>
      <c r="E7742" s="1" t="n">
        <v>46319</v>
      </c>
      <c r="F7742" t="inlineStr">
        <is>
          <t>DALARNAS LÄN</t>
        </is>
      </c>
      <c r="G7742" t="inlineStr">
        <is>
          <t>FALUN</t>
        </is>
      </c>
      <c r="I7742" t="n">
        <v>1.1</v>
      </c>
      <c r="J7742" t="n">
        <v>0</v>
      </c>
      <c r="K7742" t="n">
        <v>0</v>
      </c>
      <c r="L7742" t="n">
        <v>0</v>
      </c>
      <c r="M7742" t="n">
        <v>0</v>
      </c>
      <c r="N7742" t="n">
        <v>0</v>
      </c>
      <c r="O7742" t="n">
        <v>0</v>
      </c>
      <c r="P7742" t="n">
        <v>0</v>
      </c>
      <c r="Q7742" t="n">
        <v>0</v>
      </c>
      <c r="R7742" t="n">
        <v>0</v>
      </c>
      <c r="S7742" t="n">
        <v>0</v>
      </c>
      <c r="T7742" t="n">
        <v>0</v>
      </c>
      <c r="U7742" t="n">
        <v>0</v>
      </c>
      <c r="V7742" s="2" t="inlineStr"/>
    </row>
    <row r="7743" ht="15" customHeight="1">
      <c r="A7743" t="inlineStr">
        <is>
          <t>A 37644-2026</t>
        </is>
      </c>
      <c r="B7743" t="inlineStr">
        <is>
          <t>avverkningsanmälan</t>
        </is>
      </c>
      <c r="C7743" t="inlineStr">
        <is>
          <t>Föryngringsavverkning</t>
        </is>
      </c>
      <c r="D7743" s="1" t="n">
        <v>46276</v>
      </c>
      <c r="E7743" s="1" t="n">
        <v>46319</v>
      </c>
      <c r="F7743" t="inlineStr">
        <is>
          <t>DALARNAS LÄN</t>
        </is>
      </c>
      <c r="G7743" t="inlineStr">
        <is>
          <t>FALUN</t>
        </is>
      </c>
      <c r="I7743" t="n">
        <v>2.6</v>
      </c>
      <c r="J7743" t="n">
        <v>0</v>
      </c>
      <c r="K7743" t="n">
        <v>0</v>
      </c>
      <c r="L7743" t="n">
        <v>0</v>
      </c>
      <c r="M7743" t="n">
        <v>0</v>
      </c>
      <c r="N7743" t="n">
        <v>0</v>
      </c>
      <c r="O7743" t="n">
        <v>0</v>
      </c>
      <c r="P7743" t="n">
        <v>0</v>
      </c>
      <c r="Q7743" t="n">
        <v>0</v>
      </c>
      <c r="R7743" t="n">
        <v>0</v>
      </c>
      <c r="S7743" t="n">
        <v>0</v>
      </c>
      <c r="T7743" t="n">
        <v>0</v>
      </c>
      <c r="U7743" t="n">
        <v>0</v>
      </c>
      <c r="V7743" s="2" t="inlineStr"/>
    </row>
    <row r="7744" ht="15" customHeight="1">
      <c r="A7744" t="inlineStr">
        <is>
          <t>A 11212-2026</t>
        </is>
      </c>
      <c r="B7744" t="inlineStr">
        <is>
          <t>avverkningsanmälan</t>
        </is>
      </c>
      <c r="C7744" t="inlineStr">
        <is>
          <t>Föryngringsavverkning</t>
        </is>
      </c>
      <c r="D7744" s="1" t="n">
        <v>46080</v>
      </c>
      <c r="E7744" s="1" t="n">
        <v>46319</v>
      </c>
      <c r="F7744" t="inlineStr">
        <is>
          <t>DALARNAS LÄN</t>
        </is>
      </c>
      <c r="G7744" t="inlineStr">
        <is>
          <t>BORLÄNGE</t>
        </is>
      </c>
      <c r="I7744" t="n">
        <v>1.2</v>
      </c>
      <c r="J7744" t="n">
        <v>0</v>
      </c>
      <c r="K7744" t="n">
        <v>0</v>
      </c>
      <c r="L7744" t="n">
        <v>0</v>
      </c>
      <c r="M7744" t="n">
        <v>0</v>
      </c>
      <c r="N7744" t="n">
        <v>0</v>
      </c>
      <c r="O7744" t="n">
        <v>0</v>
      </c>
      <c r="P7744" t="n">
        <v>0</v>
      </c>
      <c r="Q7744" t="n">
        <v>0</v>
      </c>
      <c r="R7744" t="n">
        <v>0</v>
      </c>
      <c r="S7744" t="n">
        <v>0</v>
      </c>
      <c r="T7744" t="n">
        <v>0</v>
      </c>
      <c r="U7744" t="n">
        <v>0</v>
      </c>
      <c r="V7744" s="2" t="inlineStr"/>
    </row>
    <row r="7745" ht="15" customHeight="1">
      <c r="A7745" t="inlineStr">
        <is>
          <t>A 21511-2026</t>
        </is>
      </c>
      <c r="B7745" t="inlineStr">
        <is>
          <t>avverkningsanmälan</t>
        </is>
      </c>
      <c r="C7745" t="inlineStr">
        <is>
          <t>Föryngringsavverkning</t>
        </is>
      </c>
      <c r="D7745" s="1" t="n">
        <v>46146</v>
      </c>
      <c r="E7745" s="1" t="n">
        <v>46319</v>
      </c>
      <c r="F7745" t="inlineStr">
        <is>
          <t>DALARNAS LÄN</t>
        </is>
      </c>
      <c r="G7745" t="inlineStr">
        <is>
          <t>ORSA</t>
        </is>
      </c>
      <c r="I7745" t="n">
        <v>1.7</v>
      </c>
      <c r="J7745" t="n">
        <v>0</v>
      </c>
      <c r="K7745" t="n">
        <v>0</v>
      </c>
      <c r="L7745" t="n">
        <v>0</v>
      </c>
      <c r="M7745" t="n">
        <v>0</v>
      </c>
      <c r="N7745" t="n">
        <v>0</v>
      </c>
      <c r="O7745" t="n">
        <v>0</v>
      </c>
      <c r="P7745" t="n">
        <v>0</v>
      </c>
      <c r="Q7745" t="n">
        <v>0</v>
      </c>
      <c r="R7745" t="n">
        <v>0</v>
      </c>
      <c r="S7745" t="n">
        <v>0</v>
      </c>
      <c r="T7745" t="n">
        <v>0</v>
      </c>
      <c r="U7745" t="n">
        <v>0</v>
      </c>
      <c r="V7745" s="2" t="inlineStr"/>
    </row>
    <row r="7746" ht="15" customHeight="1">
      <c r="A7746" t="inlineStr">
        <is>
          <t>A 20400-2026</t>
        </is>
      </c>
      <c r="B7746" t="inlineStr">
        <is>
          <t>avverkningsanmälan</t>
        </is>
      </c>
      <c r="C7746" t="inlineStr">
        <is>
          <t>Föryngringsavverkning</t>
        </is>
      </c>
      <c r="D7746" s="1" t="n">
        <v>46139</v>
      </c>
      <c r="E7746" s="1" t="n">
        <v>46319</v>
      </c>
      <c r="F7746" t="inlineStr">
        <is>
          <t>DALARNAS LÄN</t>
        </is>
      </c>
      <c r="G7746" t="inlineStr">
        <is>
          <t>MORA</t>
        </is>
      </c>
      <c r="H7746" t="inlineStr">
        <is>
          <t>Bergvik skog öst AB</t>
        </is>
      </c>
      <c r="I7746" t="n">
        <v>3.8</v>
      </c>
      <c r="J7746" t="n">
        <v>0</v>
      </c>
      <c r="K7746" t="n">
        <v>0</v>
      </c>
      <c r="L7746" t="n">
        <v>0</v>
      </c>
      <c r="M7746" t="n">
        <v>0</v>
      </c>
      <c r="N7746" t="n">
        <v>0</v>
      </c>
      <c r="O7746" t="n">
        <v>0</v>
      </c>
      <c r="P7746" t="n">
        <v>0</v>
      </c>
      <c r="Q7746" t="n">
        <v>0</v>
      </c>
      <c r="R7746" t="n">
        <v>0</v>
      </c>
      <c r="S7746" t="n">
        <v>0</v>
      </c>
      <c r="T7746" t="n">
        <v>0</v>
      </c>
      <c r="U7746" t="n">
        <v>0</v>
      </c>
      <c r="V7746" s="2" t="inlineStr"/>
    </row>
    <row r="7747" ht="15" customHeight="1">
      <c r="A7747" t="inlineStr">
        <is>
          <t>A 18538-2026</t>
        </is>
      </c>
      <c r="B7747" t="inlineStr">
        <is>
          <t>avverkningsanmälan</t>
        </is>
      </c>
      <c r="C7747" t="inlineStr">
        <is>
          <t>Föryngringsavverkning</t>
        </is>
      </c>
      <c r="D7747" s="1" t="n">
        <v>46127</v>
      </c>
      <c r="E7747" s="1" t="n">
        <v>46319</v>
      </c>
      <c r="F7747" t="inlineStr">
        <is>
          <t>DALARNAS LÄN</t>
        </is>
      </c>
      <c r="G7747" t="inlineStr">
        <is>
          <t>SMEDJEBACKEN</t>
        </is>
      </c>
      <c r="I7747" t="n">
        <v>13.4</v>
      </c>
      <c r="J7747" t="n">
        <v>0</v>
      </c>
      <c r="K7747" t="n">
        <v>0</v>
      </c>
      <c r="L7747" t="n">
        <v>0</v>
      </c>
      <c r="M7747" t="n">
        <v>0</v>
      </c>
      <c r="N7747" t="n">
        <v>0</v>
      </c>
      <c r="O7747" t="n">
        <v>0</v>
      </c>
      <c r="P7747" t="n">
        <v>0</v>
      </c>
      <c r="Q7747" t="n">
        <v>0</v>
      </c>
      <c r="R7747" t="n">
        <v>0</v>
      </c>
      <c r="S7747" t="n">
        <v>0</v>
      </c>
      <c r="T7747" t="n">
        <v>0</v>
      </c>
      <c r="U7747" t="n">
        <v>0</v>
      </c>
      <c r="V7747" s="2" t="inlineStr"/>
    </row>
    <row r="7748" ht="15" customHeight="1">
      <c r="A7748" t="inlineStr">
        <is>
          <t>A 57797-2022</t>
        </is>
      </c>
      <c r="B7748" t="inlineStr">
        <is>
          <t>avverkningsanmälan</t>
        </is>
      </c>
      <c r="C7748" t="inlineStr">
        <is>
          <t>Föryngringsavverkning</t>
        </is>
      </c>
      <c r="D7748" s="1" t="n">
        <v>44897</v>
      </c>
      <c r="E7748" s="1" t="n">
        <v>46319</v>
      </c>
      <c r="F7748" t="inlineStr">
        <is>
          <t>DALARNAS LÄN</t>
        </is>
      </c>
      <c r="G7748" t="inlineStr">
        <is>
          <t>MORA</t>
        </is>
      </c>
      <c r="I7748" t="n">
        <v>3.1</v>
      </c>
      <c r="J7748" t="n">
        <v>0</v>
      </c>
      <c r="K7748" t="n">
        <v>0</v>
      </c>
      <c r="L7748" t="n">
        <v>0</v>
      </c>
      <c r="M7748" t="n">
        <v>0</v>
      </c>
      <c r="N7748" t="n">
        <v>0</v>
      </c>
      <c r="O7748" t="n">
        <v>0</v>
      </c>
      <c r="P7748" t="n">
        <v>0</v>
      </c>
      <c r="Q7748" t="n">
        <v>0</v>
      </c>
      <c r="R7748" t="n">
        <v>0</v>
      </c>
      <c r="S7748" t="n">
        <v>0</v>
      </c>
      <c r="T7748" t="n">
        <v>0</v>
      </c>
      <c r="U7748" t="n">
        <v>0</v>
      </c>
      <c r="V7748" s="2" t="inlineStr"/>
    </row>
    <row r="7749" ht="15" customHeight="1">
      <c r="A7749" t="inlineStr">
        <is>
          <t>A 37267-2026</t>
        </is>
      </c>
      <c r="B7749" t="inlineStr">
        <is>
          <t>avverkningsanmälan</t>
        </is>
      </c>
      <c r="C7749" t="inlineStr">
        <is>
          <t>Föryngringsavverkning</t>
        </is>
      </c>
      <c r="D7749" s="1" t="n">
        <v>46274</v>
      </c>
      <c r="E7749" s="1" t="n">
        <v>46319</v>
      </c>
      <c r="F7749" t="inlineStr">
        <is>
          <t>DALARNAS LÄN</t>
        </is>
      </c>
      <c r="G7749" t="inlineStr">
        <is>
          <t>MALUNG-SÄLEN</t>
        </is>
      </c>
      <c r="H7749" t="inlineStr">
        <is>
          <t>Bergvik skog öst AB</t>
        </is>
      </c>
      <c r="I7749" t="n">
        <v>3.4</v>
      </c>
      <c r="J7749" t="n">
        <v>0</v>
      </c>
      <c r="K7749" t="n">
        <v>0</v>
      </c>
      <c r="L7749" t="n">
        <v>0</v>
      </c>
      <c r="M7749" t="n">
        <v>0</v>
      </c>
      <c r="N7749" t="n">
        <v>0</v>
      </c>
      <c r="O7749" t="n">
        <v>0</v>
      </c>
      <c r="P7749" t="n">
        <v>0</v>
      </c>
      <c r="Q7749" t="n">
        <v>0</v>
      </c>
      <c r="R7749" t="n">
        <v>0</v>
      </c>
      <c r="S7749" t="n">
        <v>0</v>
      </c>
      <c r="T7749" t="n">
        <v>0</v>
      </c>
      <c r="U7749" t="n">
        <v>0</v>
      </c>
      <c r="V7749" s="2" t="inlineStr"/>
    </row>
    <row r="7750" ht="15" customHeight="1">
      <c r="A7750" t="inlineStr">
        <is>
          <t>A 37278-2026</t>
        </is>
      </c>
      <c r="B7750" t="inlineStr">
        <is>
          <t>avverkningsanmälan</t>
        </is>
      </c>
      <c r="C7750" t="inlineStr">
        <is>
          <t>Föryngringsavverkning</t>
        </is>
      </c>
      <c r="D7750" s="1" t="n">
        <v>46274</v>
      </c>
      <c r="E7750" s="1" t="n">
        <v>46319</v>
      </c>
      <c r="F7750" t="inlineStr">
        <is>
          <t>DALARNAS LÄN</t>
        </is>
      </c>
      <c r="G7750" t="inlineStr">
        <is>
          <t>RÄTTVIK</t>
        </is>
      </c>
      <c r="H7750" t="inlineStr">
        <is>
          <t>Sveaskog</t>
        </is>
      </c>
      <c r="I7750" t="n">
        <v>1.3</v>
      </c>
      <c r="J7750" t="n">
        <v>0</v>
      </c>
      <c r="K7750" t="n">
        <v>0</v>
      </c>
      <c r="L7750" t="n">
        <v>0</v>
      </c>
      <c r="M7750" t="n">
        <v>0</v>
      </c>
      <c r="N7750" t="n">
        <v>0</v>
      </c>
      <c r="O7750" t="n">
        <v>0</v>
      </c>
      <c r="P7750" t="n">
        <v>0</v>
      </c>
      <c r="Q7750" t="n">
        <v>0</v>
      </c>
      <c r="R7750" t="n">
        <v>0</v>
      </c>
      <c r="S7750" t="n">
        <v>0</v>
      </c>
      <c r="T7750" t="n">
        <v>0</v>
      </c>
      <c r="U7750" t="n">
        <v>0</v>
      </c>
      <c r="V7750" s="2" t="inlineStr"/>
    </row>
    <row r="7751" ht="15" customHeight="1">
      <c r="A7751" t="inlineStr">
        <is>
          <t>A 62287-2022</t>
        </is>
      </c>
      <c r="B7751" t="inlineStr">
        <is>
          <t>avverkningsanmälan</t>
        </is>
      </c>
      <c r="C7751" t="inlineStr">
        <is>
          <t>Avverkning för annat ändamål</t>
        </is>
      </c>
      <c r="D7751" s="1" t="n">
        <v>44923</v>
      </c>
      <c r="E7751" s="1" t="n">
        <v>46319</v>
      </c>
      <c r="F7751" t="inlineStr">
        <is>
          <t>DALARNAS LÄN</t>
        </is>
      </c>
      <c r="G7751" t="inlineStr">
        <is>
          <t>MALUNG-SÄLEN</t>
        </is>
      </c>
      <c r="I7751" t="n">
        <v>3</v>
      </c>
      <c r="J7751" t="n">
        <v>0</v>
      </c>
      <c r="K7751" t="n">
        <v>0</v>
      </c>
      <c r="L7751" t="n">
        <v>0</v>
      </c>
      <c r="M7751" t="n">
        <v>0</v>
      </c>
      <c r="N7751" t="n">
        <v>0</v>
      </c>
      <c r="O7751" t="n">
        <v>0</v>
      </c>
      <c r="P7751" t="n">
        <v>0</v>
      </c>
      <c r="Q7751" t="n">
        <v>0</v>
      </c>
      <c r="R7751" t="n">
        <v>0</v>
      </c>
      <c r="S7751" t="n">
        <v>0</v>
      </c>
      <c r="T7751" t="n">
        <v>0</v>
      </c>
      <c r="U7751" t="n">
        <v>0</v>
      </c>
      <c r="V7751" s="2" t="inlineStr"/>
    </row>
    <row r="7752" ht="15" customHeight="1">
      <c r="A7752" t="inlineStr">
        <is>
          <t>A 62288-2022</t>
        </is>
      </c>
      <c r="B7752" t="inlineStr">
        <is>
          <t>avverkningsanmälan</t>
        </is>
      </c>
      <c r="C7752" t="inlineStr">
        <is>
          <t>Föryngringsavverkning</t>
        </is>
      </c>
      <c r="D7752" s="1" t="n">
        <v>44923</v>
      </c>
      <c r="E7752" s="1" t="n">
        <v>46319</v>
      </c>
      <c r="F7752" t="inlineStr">
        <is>
          <t>DALARNAS LÄN</t>
        </is>
      </c>
      <c r="G7752" t="inlineStr">
        <is>
          <t>MALUNG-SÄLEN</t>
        </is>
      </c>
      <c r="I7752" t="n">
        <v>1</v>
      </c>
      <c r="J7752" t="n">
        <v>0</v>
      </c>
      <c r="K7752" t="n">
        <v>0</v>
      </c>
      <c r="L7752" t="n">
        <v>0</v>
      </c>
      <c r="M7752" t="n">
        <v>0</v>
      </c>
      <c r="N7752" t="n">
        <v>0</v>
      </c>
      <c r="O7752" t="n">
        <v>0</v>
      </c>
      <c r="P7752" t="n">
        <v>0</v>
      </c>
      <c r="Q7752" t="n">
        <v>0</v>
      </c>
      <c r="R7752" t="n">
        <v>0</v>
      </c>
      <c r="S7752" t="n">
        <v>0</v>
      </c>
      <c r="T7752" t="n">
        <v>0</v>
      </c>
      <c r="U7752" t="n">
        <v>0</v>
      </c>
      <c r="V7752" s="2" t="inlineStr"/>
    </row>
    <row r="7753" ht="15" customHeight="1">
      <c r="A7753" t="inlineStr">
        <is>
          <t>A 12646-2026</t>
        </is>
      </c>
      <c r="B7753" t="inlineStr">
        <is>
          <t>avverkningsanmälan</t>
        </is>
      </c>
      <c r="C7753" t="inlineStr">
        <is>
          <t>Föryngringsavverkning</t>
        </is>
      </c>
      <c r="D7753" s="1" t="n">
        <v>46091</v>
      </c>
      <c r="E7753" s="1" t="n">
        <v>46319</v>
      </c>
      <c r="F7753" t="inlineStr">
        <is>
          <t>DALARNAS LÄN</t>
        </is>
      </c>
      <c r="G7753" t="inlineStr">
        <is>
          <t>SÄTER</t>
        </is>
      </c>
      <c r="I7753" t="n">
        <v>2</v>
      </c>
      <c r="J7753" t="n">
        <v>0</v>
      </c>
      <c r="K7753" t="n">
        <v>0</v>
      </c>
      <c r="L7753" t="n">
        <v>0</v>
      </c>
      <c r="M7753" t="n">
        <v>0</v>
      </c>
      <c r="N7753" t="n">
        <v>0</v>
      </c>
      <c r="O7753" t="n">
        <v>0</v>
      </c>
      <c r="P7753" t="n">
        <v>0</v>
      </c>
      <c r="Q7753" t="n">
        <v>0</v>
      </c>
      <c r="R7753" t="n">
        <v>0</v>
      </c>
      <c r="S7753" t="n">
        <v>0</v>
      </c>
      <c r="T7753" t="n">
        <v>0</v>
      </c>
      <c r="U7753" t="n">
        <v>0</v>
      </c>
      <c r="V7753" s="2" t="inlineStr"/>
    </row>
    <row r="7754" ht="15" customHeight="1">
      <c r="A7754" t="inlineStr">
        <is>
          <t>A 4980-2026</t>
        </is>
      </c>
      <c r="B7754" t="inlineStr">
        <is>
          <t>avverkningsanmälan</t>
        </is>
      </c>
      <c r="C7754" t="inlineStr">
        <is>
          <t>Föryngringsavverkning</t>
        </is>
      </c>
      <c r="D7754" s="1" t="n">
        <v>46049</v>
      </c>
      <c r="E7754" s="1" t="n">
        <v>46319</v>
      </c>
      <c r="F7754" t="inlineStr">
        <is>
          <t>DALARNAS LÄN</t>
        </is>
      </c>
      <c r="G7754" t="inlineStr">
        <is>
          <t>FALUN</t>
        </is>
      </c>
      <c r="I7754" t="n">
        <v>1.5</v>
      </c>
      <c r="J7754" t="n">
        <v>0</v>
      </c>
      <c r="K7754" t="n">
        <v>0</v>
      </c>
      <c r="L7754" t="n">
        <v>0</v>
      </c>
      <c r="M7754" t="n">
        <v>0</v>
      </c>
      <c r="N7754" t="n">
        <v>0</v>
      </c>
      <c r="O7754" t="n">
        <v>0</v>
      </c>
      <c r="P7754" t="n">
        <v>0</v>
      </c>
      <c r="Q7754" t="n">
        <v>0</v>
      </c>
      <c r="R7754" t="n">
        <v>0</v>
      </c>
      <c r="S7754" t="n">
        <v>0</v>
      </c>
      <c r="T7754" t="n">
        <v>0</v>
      </c>
      <c r="U7754" t="n">
        <v>0</v>
      </c>
      <c r="V7754" s="2" t="inlineStr"/>
    </row>
    <row r="7755" ht="15" customHeight="1">
      <c r="A7755" t="inlineStr">
        <is>
          <t>A 44207-2026</t>
        </is>
      </c>
      <c r="B7755" t="inlineStr">
        <is>
          <t>avverkningsanmälan</t>
        </is>
      </c>
      <c r="C7755" t="inlineStr">
        <is>
          <t>Föryngringsavverkning</t>
        </is>
      </c>
      <c r="D7755" s="1" t="n">
        <v>46318</v>
      </c>
      <c r="E7755" s="1" t="n">
        <v>46319</v>
      </c>
      <c r="F7755" t="inlineStr">
        <is>
          <t>DALARNAS LÄN</t>
        </is>
      </c>
      <c r="G7755" t="inlineStr">
        <is>
          <t>FALUN</t>
        </is>
      </c>
      <c r="I7755" t="n">
        <v>6.9</v>
      </c>
      <c r="J7755" t="n">
        <v>0</v>
      </c>
      <c r="K7755" t="n">
        <v>0</v>
      </c>
      <c r="L7755" t="n">
        <v>0</v>
      </c>
      <c r="M7755" t="n">
        <v>0</v>
      </c>
      <c r="N7755" t="n">
        <v>0</v>
      </c>
      <c r="O7755" t="n">
        <v>0</v>
      </c>
      <c r="P7755" t="n">
        <v>0</v>
      </c>
      <c r="Q7755" t="n">
        <v>0</v>
      </c>
      <c r="R7755" t="n">
        <v>0</v>
      </c>
      <c r="S7755" t="n">
        <v>0</v>
      </c>
      <c r="T7755" t="n">
        <v>0</v>
      </c>
      <c r="U7755" t="n">
        <v>0</v>
      </c>
      <c r="V7755" s="2" t="inlineStr"/>
    </row>
    <row r="7756" ht="15" customHeight="1">
      <c r="A7756" t="inlineStr">
        <is>
          <t>A 21156-2026</t>
        </is>
      </c>
      <c r="B7756" t="inlineStr">
        <is>
          <t>avverkningsanmälan</t>
        </is>
      </c>
      <c r="C7756" t="inlineStr">
        <is>
          <t>Föryngringsavverkning</t>
        </is>
      </c>
      <c r="D7756" s="1" t="n">
        <v>46146</v>
      </c>
      <c r="E7756" s="1" t="n">
        <v>46319</v>
      </c>
      <c r="F7756" t="inlineStr">
        <is>
          <t>DALARNAS LÄN</t>
        </is>
      </c>
      <c r="G7756" t="inlineStr">
        <is>
          <t>RÄTTVIK</t>
        </is>
      </c>
      <c r="H7756" t="inlineStr">
        <is>
          <t>Sveaskog</t>
        </is>
      </c>
      <c r="I7756" t="n">
        <v>4.8</v>
      </c>
      <c r="J7756" t="n">
        <v>0</v>
      </c>
      <c r="K7756" t="n">
        <v>0</v>
      </c>
      <c r="L7756" t="n">
        <v>0</v>
      </c>
      <c r="M7756" t="n">
        <v>0</v>
      </c>
      <c r="N7756" t="n">
        <v>0</v>
      </c>
      <c r="O7756" t="n">
        <v>0</v>
      </c>
      <c r="P7756" t="n">
        <v>0</v>
      </c>
      <c r="Q7756" t="n">
        <v>0</v>
      </c>
      <c r="R7756" t="n">
        <v>0</v>
      </c>
      <c r="S7756" t="n">
        <v>0</v>
      </c>
      <c r="T7756" t="n">
        <v>0</v>
      </c>
      <c r="U7756" t="n">
        <v>0</v>
      </c>
      <c r="V7756" s="2" t="inlineStr"/>
    </row>
    <row r="7757" ht="15" customHeight="1">
      <c r="A7757" t="inlineStr">
        <is>
          <t>A 37308-2026</t>
        </is>
      </c>
      <c r="B7757" t="inlineStr">
        <is>
          <t>avverkningsanmälan</t>
        </is>
      </c>
      <c r="C7757" t="inlineStr">
        <is>
          <t>Föryngringsavverkning</t>
        </is>
      </c>
      <c r="D7757" s="1" t="n">
        <v>46274</v>
      </c>
      <c r="E7757" s="1" t="n">
        <v>46319</v>
      </c>
      <c r="F7757" t="inlineStr">
        <is>
          <t>DALARNAS LÄN</t>
        </is>
      </c>
      <c r="G7757" t="inlineStr">
        <is>
          <t>FALUN</t>
        </is>
      </c>
      <c r="I7757" t="n">
        <v>1.1</v>
      </c>
      <c r="J7757" t="n">
        <v>0</v>
      </c>
      <c r="K7757" t="n">
        <v>0</v>
      </c>
      <c r="L7757" t="n">
        <v>0</v>
      </c>
      <c r="M7757" t="n">
        <v>0</v>
      </c>
      <c r="N7757" t="n">
        <v>0</v>
      </c>
      <c r="O7757" t="n">
        <v>0</v>
      </c>
      <c r="P7757" t="n">
        <v>0</v>
      </c>
      <c r="Q7757" t="n">
        <v>0</v>
      </c>
      <c r="R7757" t="n">
        <v>0</v>
      </c>
      <c r="S7757" t="n">
        <v>0</v>
      </c>
      <c r="T7757" t="n">
        <v>0</v>
      </c>
      <c r="U7757" t="n">
        <v>0</v>
      </c>
      <c r="V7757" s="2" t="inlineStr"/>
    </row>
    <row r="7758" ht="15" customHeight="1">
      <c r="A7758" t="inlineStr">
        <is>
          <t>A 40286-2024</t>
        </is>
      </c>
      <c r="B7758" t="inlineStr">
        <is>
          <t>avverkningsanmälan</t>
        </is>
      </c>
      <c r="C7758" t="inlineStr">
        <is>
          <t>Föryngringsavverkning</t>
        </is>
      </c>
      <c r="D7758" s="1" t="n">
        <v>45554</v>
      </c>
      <c r="E7758" s="1" t="n">
        <v>46319</v>
      </c>
      <c r="F7758" t="inlineStr">
        <is>
          <t>DALARNAS LÄN</t>
        </is>
      </c>
      <c r="G7758" t="inlineStr">
        <is>
          <t>MORA</t>
        </is>
      </c>
      <c r="I7758" t="n">
        <v>0.4</v>
      </c>
      <c r="J7758" t="n">
        <v>0</v>
      </c>
      <c r="K7758" t="n">
        <v>0</v>
      </c>
      <c r="L7758" t="n">
        <v>0</v>
      </c>
      <c r="M7758" t="n">
        <v>0</v>
      </c>
      <c r="N7758" t="n">
        <v>0</v>
      </c>
      <c r="O7758" t="n">
        <v>0</v>
      </c>
      <c r="P7758" t="n">
        <v>0</v>
      </c>
      <c r="Q7758" t="n">
        <v>0</v>
      </c>
      <c r="R7758" t="n">
        <v>0</v>
      </c>
      <c r="S7758" t="n">
        <v>0</v>
      </c>
      <c r="T7758" t="n">
        <v>0</v>
      </c>
      <c r="U7758" t="n">
        <v>0</v>
      </c>
      <c r="V7758" s="2" t="inlineStr"/>
    </row>
    <row r="7759" ht="15" customHeight="1">
      <c r="A7759" t="inlineStr">
        <is>
          <t>A 17499-2025</t>
        </is>
      </c>
      <c r="B7759" t="inlineStr">
        <is>
          <t>avverkningsanmälan</t>
        </is>
      </c>
      <c r="C7759" t="inlineStr">
        <is>
          <t>Föryngringsavverkning</t>
        </is>
      </c>
      <c r="D7759" s="1" t="n">
        <v>45757</v>
      </c>
      <c r="E7759" s="1" t="n">
        <v>46319</v>
      </c>
      <c r="F7759" t="inlineStr">
        <is>
          <t>DALARNAS LÄN</t>
        </is>
      </c>
      <c r="G7759" t="inlineStr">
        <is>
          <t>MALUNG-SÄLEN</t>
        </is>
      </c>
      <c r="I7759" t="n">
        <v>3.1</v>
      </c>
      <c r="J7759" t="n">
        <v>0</v>
      </c>
      <c r="K7759" t="n">
        <v>0</v>
      </c>
      <c r="L7759" t="n">
        <v>0</v>
      </c>
      <c r="M7759" t="n">
        <v>0</v>
      </c>
      <c r="N7759" t="n">
        <v>0</v>
      </c>
      <c r="O7759" t="n">
        <v>0</v>
      </c>
      <c r="P7759" t="n">
        <v>0</v>
      </c>
      <c r="Q7759" t="n">
        <v>0</v>
      </c>
      <c r="R7759" t="n">
        <v>0</v>
      </c>
      <c r="S7759" t="n">
        <v>0</v>
      </c>
      <c r="T7759" t="n">
        <v>0</v>
      </c>
      <c r="U7759" t="n">
        <v>0</v>
      </c>
      <c r="V7759" s="2" t="inlineStr"/>
    </row>
    <row r="7760" ht="15" customHeight="1">
      <c r="A7760" t="inlineStr">
        <is>
          <t>A 21155-2026</t>
        </is>
      </c>
      <c r="B7760" t="inlineStr">
        <is>
          <t>avverkningsanmälan</t>
        </is>
      </c>
      <c r="C7760" t="inlineStr">
        <is>
          <t>Föryngringsavverkning</t>
        </is>
      </c>
      <c r="D7760" s="1" t="n">
        <v>46146</v>
      </c>
      <c r="E7760" s="1" t="n">
        <v>46319</v>
      </c>
      <c r="F7760" t="inlineStr">
        <is>
          <t>DALARNAS LÄN</t>
        </is>
      </c>
      <c r="G7760" t="inlineStr">
        <is>
          <t>FALUN</t>
        </is>
      </c>
      <c r="I7760" t="n">
        <v>5.6</v>
      </c>
      <c r="J7760" t="n">
        <v>0</v>
      </c>
      <c r="K7760" t="n">
        <v>0</v>
      </c>
      <c r="L7760" t="n">
        <v>0</v>
      </c>
      <c r="M7760" t="n">
        <v>0</v>
      </c>
      <c r="N7760" t="n">
        <v>0</v>
      </c>
      <c r="O7760" t="n">
        <v>0</v>
      </c>
      <c r="P7760" t="n">
        <v>0</v>
      </c>
      <c r="Q7760" t="n">
        <v>0</v>
      </c>
      <c r="R7760" t="n">
        <v>0</v>
      </c>
      <c r="S7760" t="n">
        <v>0</v>
      </c>
      <c r="T7760" t="n">
        <v>0</v>
      </c>
      <c r="U7760" t="n">
        <v>0</v>
      </c>
      <c r="V7760" s="2" t="inlineStr"/>
    </row>
    <row r="7761" ht="15" customHeight="1">
      <c r="A7761" t="inlineStr">
        <is>
          <t>A 37379-2026</t>
        </is>
      </c>
      <c r="B7761" t="inlineStr">
        <is>
          <t>avverkningsanmälan</t>
        </is>
      </c>
      <c r="C7761" t="inlineStr">
        <is>
          <t>Föryngringsavverkning</t>
        </is>
      </c>
      <c r="D7761" s="1" t="n">
        <v>46275</v>
      </c>
      <c r="E7761" s="1" t="n">
        <v>46319</v>
      </c>
      <c r="F7761" t="inlineStr">
        <is>
          <t>DALARNAS LÄN</t>
        </is>
      </c>
      <c r="G7761" t="inlineStr">
        <is>
          <t>MALUNG-SÄLEN</t>
        </is>
      </c>
      <c r="H7761" t="inlineStr">
        <is>
          <t>Allmännings- och besparingsskogar</t>
        </is>
      </c>
      <c r="I7761" t="n">
        <v>7</v>
      </c>
      <c r="J7761" t="n">
        <v>0</v>
      </c>
      <c r="K7761" t="n">
        <v>0</v>
      </c>
      <c r="L7761" t="n">
        <v>0</v>
      </c>
      <c r="M7761" t="n">
        <v>0</v>
      </c>
      <c r="N7761" t="n">
        <v>0</v>
      </c>
      <c r="O7761" t="n">
        <v>0</v>
      </c>
      <c r="P7761" t="n">
        <v>0</v>
      </c>
      <c r="Q7761" t="n">
        <v>0</v>
      </c>
      <c r="R7761" t="n">
        <v>0</v>
      </c>
      <c r="S7761" t="n">
        <v>0</v>
      </c>
      <c r="T7761" t="n">
        <v>0</v>
      </c>
      <c r="U7761" t="n">
        <v>0</v>
      </c>
      <c r="V7761" s="2" t="inlineStr"/>
    </row>
    <row r="7762" ht="15" customHeight="1">
      <c r="A7762" t="inlineStr">
        <is>
          <t>A 37443-2026</t>
        </is>
      </c>
      <c r="B7762" t="inlineStr">
        <is>
          <t>avverkningsanmälan</t>
        </is>
      </c>
      <c r="C7762" t="inlineStr">
        <is>
          <t>Föryngringsavverkning</t>
        </is>
      </c>
      <c r="D7762" s="1" t="n">
        <v>46275</v>
      </c>
      <c r="E7762" s="1" t="n">
        <v>46319</v>
      </c>
      <c r="F7762" t="inlineStr">
        <is>
          <t>DALARNAS LÄN</t>
        </is>
      </c>
      <c r="G7762" t="inlineStr">
        <is>
          <t>VANSBRO</t>
        </is>
      </c>
      <c r="H7762" t="inlineStr">
        <is>
          <t>Bergvik skog väst AB</t>
        </is>
      </c>
      <c r="I7762" t="n">
        <v>8</v>
      </c>
      <c r="J7762" t="n">
        <v>0</v>
      </c>
      <c r="K7762" t="n">
        <v>0</v>
      </c>
      <c r="L7762" t="n">
        <v>0</v>
      </c>
      <c r="M7762" t="n">
        <v>0</v>
      </c>
      <c r="N7762" t="n">
        <v>0</v>
      </c>
      <c r="O7762" t="n">
        <v>0</v>
      </c>
      <c r="P7762" t="n">
        <v>0</v>
      </c>
      <c r="Q7762" t="n">
        <v>0</v>
      </c>
      <c r="R7762" t="n">
        <v>0</v>
      </c>
      <c r="S7762" t="n">
        <v>0</v>
      </c>
      <c r="T7762" t="n">
        <v>0</v>
      </c>
      <c r="U7762" t="n">
        <v>0</v>
      </c>
      <c r="V7762" s="2" t="inlineStr"/>
    </row>
    <row r="7763" ht="15" customHeight="1">
      <c r="A7763" t="inlineStr">
        <is>
          <t>A 5763-2026</t>
        </is>
      </c>
      <c r="B7763" t="inlineStr">
        <is>
          <t>avverkningsanmälan</t>
        </is>
      </c>
      <c r="C7763" t="inlineStr">
        <is>
          <t>Föryngringsavverkning</t>
        </is>
      </c>
      <c r="D7763" s="1" t="n">
        <v>46051</v>
      </c>
      <c r="E7763" s="1" t="n">
        <v>46319</v>
      </c>
      <c r="F7763" t="inlineStr">
        <is>
          <t>DALARNAS LÄN</t>
        </is>
      </c>
      <c r="G7763" t="inlineStr">
        <is>
          <t>MORA</t>
        </is>
      </c>
      <c r="I7763" t="n">
        <v>0.3</v>
      </c>
      <c r="J7763" t="n">
        <v>0</v>
      </c>
      <c r="K7763" t="n">
        <v>0</v>
      </c>
      <c r="L7763" t="n">
        <v>0</v>
      </c>
      <c r="M7763" t="n">
        <v>0</v>
      </c>
      <c r="N7763" t="n">
        <v>0</v>
      </c>
      <c r="O7763" t="n">
        <v>0</v>
      </c>
      <c r="P7763" t="n">
        <v>0</v>
      </c>
      <c r="Q7763" t="n">
        <v>0</v>
      </c>
      <c r="R7763" t="n">
        <v>0</v>
      </c>
      <c r="S7763" t="n">
        <v>0</v>
      </c>
      <c r="T7763" t="n">
        <v>0</v>
      </c>
      <c r="U7763" t="n">
        <v>0</v>
      </c>
      <c r="V7763" s="2" t="inlineStr"/>
    </row>
    <row r="7764" ht="15" customHeight="1">
      <c r="A7764" t="inlineStr">
        <is>
          <t>A 21028-2026</t>
        </is>
      </c>
      <c r="B7764" t="inlineStr">
        <is>
          <t>avverkningsanmälan</t>
        </is>
      </c>
      <c r="C7764" t="inlineStr">
        <is>
          <t>Föryngringsavverkning</t>
        </is>
      </c>
      <c r="D7764" s="1" t="n">
        <v>46146</v>
      </c>
      <c r="E7764" s="1" t="n">
        <v>46319</v>
      </c>
      <c r="F7764" t="inlineStr">
        <is>
          <t>DALARNAS LÄN</t>
        </is>
      </c>
      <c r="G7764" t="inlineStr">
        <is>
          <t>AVESTA</t>
        </is>
      </c>
      <c r="H7764" t="inlineStr">
        <is>
          <t>Sveaskog</t>
        </is>
      </c>
      <c r="I7764" t="n">
        <v>3.3</v>
      </c>
      <c r="J7764" t="n">
        <v>0</v>
      </c>
      <c r="K7764" t="n">
        <v>0</v>
      </c>
      <c r="L7764" t="n">
        <v>0</v>
      </c>
      <c r="M7764" t="n">
        <v>0</v>
      </c>
      <c r="N7764" t="n">
        <v>0</v>
      </c>
      <c r="O7764" t="n">
        <v>0</v>
      </c>
      <c r="P7764" t="n">
        <v>0</v>
      </c>
      <c r="Q7764" t="n">
        <v>0</v>
      </c>
      <c r="R7764" t="n">
        <v>0</v>
      </c>
      <c r="S7764" t="n">
        <v>0</v>
      </c>
      <c r="T7764" t="n">
        <v>0</v>
      </c>
      <c r="U7764" t="n">
        <v>0</v>
      </c>
      <c r="V7764" s="2" t="inlineStr"/>
    </row>
    <row r="7765" ht="15" customHeight="1">
      <c r="A7765" t="inlineStr">
        <is>
          <t>A 21076-2026</t>
        </is>
      </c>
      <c r="B7765" t="inlineStr">
        <is>
          <t>avverkningsanmälan</t>
        </is>
      </c>
      <c r="C7765" t="inlineStr">
        <is>
          <t>Föryngringsavverkning</t>
        </is>
      </c>
      <c r="D7765" s="1" t="n">
        <v>46146</v>
      </c>
      <c r="E7765" s="1" t="n">
        <v>46319</v>
      </c>
      <c r="F7765" t="inlineStr">
        <is>
          <t>DALARNAS LÄN</t>
        </is>
      </c>
      <c r="G7765" t="inlineStr">
        <is>
          <t>FALUN</t>
        </is>
      </c>
      <c r="I7765" t="n">
        <v>1</v>
      </c>
      <c r="J7765" t="n">
        <v>0</v>
      </c>
      <c r="K7765" t="n">
        <v>0</v>
      </c>
      <c r="L7765" t="n">
        <v>0</v>
      </c>
      <c r="M7765" t="n">
        <v>0</v>
      </c>
      <c r="N7765" t="n">
        <v>0</v>
      </c>
      <c r="O7765" t="n">
        <v>0</v>
      </c>
      <c r="P7765" t="n">
        <v>0</v>
      </c>
      <c r="Q7765" t="n">
        <v>0</v>
      </c>
      <c r="R7765" t="n">
        <v>0</v>
      </c>
      <c r="S7765" t="n">
        <v>0</v>
      </c>
      <c r="T7765" t="n">
        <v>0</v>
      </c>
      <c r="U7765" t="n">
        <v>0</v>
      </c>
      <c r="V7765" s="2" t="inlineStr"/>
    </row>
    <row r="7766" ht="15" customHeight="1">
      <c r="A7766" t="inlineStr">
        <is>
          <t>A 17379-2025</t>
        </is>
      </c>
      <c r="B7766" t="inlineStr">
        <is>
          <t>avverkningsanmälan</t>
        </is>
      </c>
      <c r="C7766" t="inlineStr">
        <is>
          <t>Föryngringsavverkning</t>
        </is>
      </c>
      <c r="D7766" s="1" t="n">
        <v>45757</v>
      </c>
      <c r="E7766" s="1" t="n">
        <v>46319</v>
      </c>
      <c r="F7766" t="inlineStr">
        <is>
          <t>DALARNAS LÄN</t>
        </is>
      </c>
      <c r="G7766" t="inlineStr">
        <is>
          <t>RÄTTVIK</t>
        </is>
      </c>
      <c r="I7766" t="n">
        <v>2.5</v>
      </c>
      <c r="J7766" t="n">
        <v>0</v>
      </c>
      <c r="K7766" t="n">
        <v>0</v>
      </c>
      <c r="L7766" t="n">
        <v>0</v>
      </c>
      <c r="M7766" t="n">
        <v>0</v>
      </c>
      <c r="N7766" t="n">
        <v>0</v>
      </c>
      <c r="O7766" t="n">
        <v>0</v>
      </c>
      <c r="P7766" t="n">
        <v>0</v>
      </c>
      <c r="Q7766" t="n">
        <v>0</v>
      </c>
      <c r="R7766" t="n">
        <v>0</v>
      </c>
      <c r="S7766" t="n">
        <v>0</v>
      </c>
      <c r="T7766" t="n">
        <v>0</v>
      </c>
      <c r="U7766" t="n">
        <v>0</v>
      </c>
      <c r="V7766" s="2" t="inlineStr"/>
    </row>
    <row r="7767" ht="15" customHeight="1">
      <c r="A7767" t="inlineStr">
        <is>
          <t>A 37467-2026</t>
        </is>
      </c>
      <c r="B7767" t="inlineStr">
        <is>
          <t>avverkningsanmälan</t>
        </is>
      </c>
      <c r="C7767" t="inlineStr">
        <is>
          <t>Avverkning för annat ändamål</t>
        </is>
      </c>
      <c r="D7767" s="1" t="n">
        <v>46275</v>
      </c>
      <c r="E7767" s="1" t="n">
        <v>46319</v>
      </c>
      <c r="F7767" t="inlineStr">
        <is>
          <t>DALARNAS LÄN</t>
        </is>
      </c>
      <c r="G7767" t="inlineStr">
        <is>
          <t>VANSBRO</t>
        </is>
      </c>
      <c r="H7767" t="inlineStr">
        <is>
          <t>Kommuner</t>
        </is>
      </c>
      <c r="I7767" t="n">
        <v>6.9</v>
      </c>
      <c r="J7767" t="n">
        <v>0</v>
      </c>
      <c r="K7767" t="n">
        <v>0</v>
      </c>
      <c r="L7767" t="n">
        <v>0</v>
      </c>
      <c r="M7767" t="n">
        <v>0</v>
      </c>
      <c r="N7767" t="n">
        <v>0</v>
      </c>
      <c r="O7767" t="n">
        <v>0</v>
      </c>
      <c r="P7767" t="n">
        <v>0</v>
      </c>
      <c r="Q7767" t="n">
        <v>0</v>
      </c>
      <c r="R7767" t="n">
        <v>0</v>
      </c>
      <c r="S7767" t="n">
        <v>0</v>
      </c>
      <c r="T7767" t="n">
        <v>0</v>
      </c>
      <c r="U7767" t="n">
        <v>0</v>
      </c>
      <c r="V7767" s="2" t="inlineStr"/>
    </row>
    <row r="7768" ht="15" customHeight="1">
      <c r="A7768" t="inlineStr">
        <is>
          <t>A 21225-2026</t>
        </is>
      </c>
      <c r="B7768" t="inlineStr">
        <is>
          <t>avverkningsanmälan</t>
        </is>
      </c>
      <c r="C7768" t="inlineStr">
        <is>
          <t>Föryngringsavverkning</t>
        </is>
      </c>
      <c r="D7768" s="1" t="n">
        <v>46146</v>
      </c>
      <c r="E7768" s="1" t="n">
        <v>46319</v>
      </c>
      <c r="F7768" t="inlineStr">
        <is>
          <t>DALARNAS LÄN</t>
        </is>
      </c>
      <c r="G7768" t="inlineStr">
        <is>
          <t>ORSA</t>
        </is>
      </c>
      <c r="I7768" t="n">
        <v>4.6</v>
      </c>
      <c r="J7768" t="n">
        <v>0</v>
      </c>
      <c r="K7768" t="n">
        <v>0</v>
      </c>
      <c r="L7768" t="n">
        <v>0</v>
      </c>
      <c r="M7768" t="n">
        <v>0</v>
      </c>
      <c r="N7768" t="n">
        <v>0</v>
      </c>
      <c r="O7768" t="n">
        <v>0</v>
      </c>
      <c r="P7768" t="n">
        <v>0</v>
      </c>
      <c r="Q7768" t="n">
        <v>0</v>
      </c>
      <c r="R7768" t="n">
        <v>0</v>
      </c>
      <c r="S7768" t="n">
        <v>0</v>
      </c>
      <c r="T7768" t="n">
        <v>0</v>
      </c>
      <c r="U7768" t="n">
        <v>0</v>
      </c>
      <c r="V7768" s="2" t="inlineStr"/>
    </row>
    <row r="7769" ht="15" customHeight="1">
      <c r="A7769" t="inlineStr">
        <is>
          <t>A 4-2026</t>
        </is>
      </c>
      <c r="B7769" t="inlineStr">
        <is>
          <t>avverkningsanmälan</t>
        </is>
      </c>
      <c r="C7769" t="inlineStr">
        <is>
          <t>Föryngringsavverkning</t>
        </is>
      </c>
      <c r="D7769" s="1" t="n">
        <v>46023</v>
      </c>
      <c r="E7769" s="1" t="n">
        <v>46319</v>
      </c>
      <c r="F7769" t="inlineStr">
        <is>
          <t>DALARNAS LÄN</t>
        </is>
      </c>
      <c r="G7769" t="inlineStr">
        <is>
          <t>FALUN</t>
        </is>
      </c>
      <c r="I7769" t="n">
        <v>1.8</v>
      </c>
      <c r="J7769" t="n">
        <v>0</v>
      </c>
      <c r="K7769" t="n">
        <v>0</v>
      </c>
      <c r="L7769" t="n">
        <v>0</v>
      </c>
      <c r="M7769" t="n">
        <v>0</v>
      </c>
      <c r="N7769" t="n">
        <v>0</v>
      </c>
      <c r="O7769" t="n">
        <v>0</v>
      </c>
      <c r="P7769" t="n">
        <v>0</v>
      </c>
      <c r="Q7769" t="n">
        <v>0</v>
      </c>
      <c r="R7769" t="n">
        <v>0</v>
      </c>
      <c r="S7769" t="n">
        <v>0</v>
      </c>
      <c r="T7769" t="n">
        <v>0</v>
      </c>
      <c r="U7769" t="n">
        <v>0</v>
      </c>
      <c r="V7769" s="2" t="inlineStr"/>
    </row>
    <row r="7770" ht="15" customHeight="1">
      <c r="A7770" t="inlineStr">
        <is>
          <t>A 21075-2026</t>
        </is>
      </c>
      <c r="B7770" t="inlineStr">
        <is>
          <t>avverkningsanmälan</t>
        </is>
      </c>
      <c r="C7770" t="inlineStr">
        <is>
          <t>Föryngringsavverkning</t>
        </is>
      </c>
      <c r="D7770" s="1" t="n">
        <v>46146</v>
      </c>
      <c r="E7770" s="1" t="n">
        <v>46319</v>
      </c>
      <c r="F7770" t="inlineStr">
        <is>
          <t>DALARNAS LÄN</t>
        </is>
      </c>
      <c r="G7770" t="inlineStr">
        <is>
          <t>MALUNG-SÄLEN</t>
        </is>
      </c>
      <c r="H7770" t="inlineStr">
        <is>
          <t>Bergvik skog öst AB</t>
        </is>
      </c>
      <c r="I7770" t="n">
        <v>29.3</v>
      </c>
      <c r="J7770" t="n">
        <v>0</v>
      </c>
      <c r="K7770" t="n">
        <v>0</v>
      </c>
      <c r="L7770" t="n">
        <v>0</v>
      </c>
      <c r="M7770" t="n">
        <v>0</v>
      </c>
      <c r="N7770" t="n">
        <v>0</v>
      </c>
      <c r="O7770" t="n">
        <v>0</v>
      </c>
      <c r="P7770" t="n">
        <v>0</v>
      </c>
      <c r="Q7770" t="n">
        <v>0</v>
      </c>
      <c r="R7770" t="n">
        <v>0</v>
      </c>
      <c r="S7770" t="n">
        <v>0</v>
      </c>
      <c r="T7770" t="n">
        <v>0</v>
      </c>
      <c r="U7770" t="n">
        <v>0</v>
      </c>
      <c r="V7770" s="2" t="inlineStr"/>
    </row>
    <row r="7771" ht="15" customHeight="1">
      <c r="A7771" t="inlineStr">
        <is>
          <t>A 21077-2026</t>
        </is>
      </c>
      <c r="B7771" t="inlineStr">
        <is>
          <t>avverkningsanmälan</t>
        </is>
      </c>
      <c r="C7771" t="inlineStr">
        <is>
          <t>Föryngringsavverkning</t>
        </is>
      </c>
      <c r="D7771" s="1" t="n">
        <v>46146</v>
      </c>
      <c r="E7771" s="1" t="n">
        <v>46319</v>
      </c>
      <c r="F7771" t="inlineStr">
        <is>
          <t>DALARNAS LÄN</t>
        </is>
      </c>
      <c r="G7771" t="inlineStr">
        <is>
          <t>FALUN</t>
        </is>
      </c>
      <c r="I7771" t="n">
        <v>3.5</v>
      </c>
      <c r="J7771" t="n">
        <v>0</v>
      </c>
      <c r="K7771" t="n">
        <v>0</v>
      </c>
      <c r="L7771" t="n">
        <v>0</v>
      </c>
      <c r="M7771" t="n">
        <v>0</v>
      </c>
      <c r="N7771" t="n">
        <v>0</v>
      </c>
      <c r="O7771" t="n">
        <v>0</v>
      </c>
      <c r="P7771" t="n">
        <v>0</v>
      </c>
      <c r="Q7771" t="n">
        <v>0</v>
      </c>
      <c r="R7771" t="n">
        <v>0</v>
      </c>
      <c r="S7771" t="n">
        <v>0</v>
      </c>
      <c r="T7771" t="n">
        <v>0</v>
      </c>
      <c r="U7771" t="n">
        <v>0</v>
      </c>
      <c r="V7771" s="2" t="inlineStr"/>
    </row>
    <row r="7772" ht="15" customHeight="1">
      <c r="A7772" t="inlineStr">
        <is>
          <t>A 21110-2026</t>
        </is>
      </c>
      <c r="B7772" t="inlineStr">
        <is>
          <t>avverkningsanmälan</t>
        </is>
      </c>
      <c r="C7772" t="inlineStr">
        <is>
          <t>Föryngringsavverkning</t>
        </is>
      </c>
      <c r="D7772" s="1" t="n">
        <v>46146</v>
      </c>
      <c r="E7772" s="1" t="n">
        <v>46319</v>
      </c>
      <c r="F7772" t="inlineStr">
        <is>
          <t>DALARNAS LÄN</t>
        </is>
      </c>
      <c r="G7772" t="inlineStr">
        <is>
          <t>FALUN</t>
        </is>
      </c>
      <c r="I7772" t="n">
        <v>2.4</v>
      </c>
      <c r="J7772" t="n">
        <v>0</v>
      </c>
      <c r="K7772" t="n">
        <v>0</v>
      </c>
      <c r="L7772" t="n">
        <v>0</v>
      </c>
      <c r="M7772" t="n">
        <v>0</v>
      </c>
      <c r="N7772" t="n">
        <v>0</v>
      </c>
      <c r="O7772" t="n">
        <v>0</v>
      </c>
      <c r="P7772" t="n">
        <v>0</v>
      </c>
      <c r="Q7772" t="n">
        <v>0</v>
      </c>
      <c r="R7772" t="n">
        <v>0</v>
      </c>
      <c r="S7772" t="n">
        <v>0</v>
      </c>
      <c r="T7772" t="n">
        <v>0</v>
      </c>
      <c r="U7772" t="n">
        <v>0</v>
      </c>
      <c r="V7772" s="2" t="inlineStr"/>
    </row>
    <row r="7773" ht="15" customHeight="1">
      <c r="A7773" t="inlineStr">
        <is>
          <t>A 37447-2026</t>
        </is>
      </c>
      <c r="B7773" t="inlineStr">
        <is>
          <t>avverkningsanmälan</t>
        </is>
      </c>
      <c r="C7773" t="inlineStr">
        <is>
          <t>Föryngringsavverkning</t>
        </is>
      </c>
      <c r="D7773" s="1" t="n">
        <v>46275</v>
      </c>
      <c r="E7773" s="1" t="n">
        <v>46319</v>
      </c>
      <c r="F7773" t="inlineStr">
        <is>
          <t>DALARNAS LÄN</t>
        </is>
      </c>
      <c r="G7773" t="inlineStr">
        <is>
          <t>RÄTTVIK</t>
        </is>
      </c>
      <c r="H7773" t="inlineStr">
        <is>
          <t>Bergvik skog väst AB</t>
        </is>
      </c>
      <c r="I7773" t="n">
        <v>17.2</v>
      </c>
      <c r="J7773" t="n">
        <v>0</v>
      </c>
      <c r="K7773" t="n">
        <v>0</v>
      </c>
      <c r="L7773" t="n">
        <v>0</v>
      </c>
      <c r="M7773" t="n">
        <v>0</v>
      </c>
      <c r="N7773" t="n">
        <v>0</v>
      </c>
      <c r="O7773" t="n">
        <v>0</v>
      </c>
      <c r="P7773" t="n">
        <v>0</v>
      </c>
      <c r="Q7773" t="n">
        <v>0</v>
      </c>
      <c r="R7773" t="n">
        <v>0</v>
      </c>
      <c r="S7773" t="n">
        <v>0</v>
      </c>
      <c r="T7773" t="n">
        <v>0</v>
      </c>
      <c r="U7773" t="n">
        <v>0</v>
      </c>
      <c r="V7773" s="2" t="inlineStr"/>
    </row>
    <row r="7774" ht="15" customHeight="1">
      <c r="A7774" t="inlineStr">
        <is>
          <t>A 2019-2026</t>
        </is>
      </c>
      <c r="B7774" t="inlineStr">
        <is>
          <t>avverkningsanmälan</t>
        </is>
      </c>
      <c r="C7774" t="inlineStr">
        <is>
          <t>Föryngringsavverkning</t>
        </is>
      </c>
      <c r="D7774" s="1" t="n">
        <v>46035</v>
      </c>
      <c r="E7774" s="1" t="n">
        <v>46319</v>
      </c>
      <c r="F7774" t="inlineStr">
        <is>
          <t>DALARNAS LÄN</t>
        </is>
      </c>
      <c r="G7774" t="inlineStr">
        <is>
          <t>FALUN</t>
        </is>
      </c>
      <c r="I7774" t="n">
        <v>1.5</v>
      </c>
      <c r="J7774" t="n">
        <v>0</v>
      </c>
      <c r="K7774" t="n">
        <v>0</v>
      </c>
      <c r="L7774" t="n">
        <v>0</v>
      </c>
      <c r="M7774" t="n">
        <v>0</v>
      </c>
      <c r="N7774" t="n">
        <v>0</v>
      </c>
      <c r="O7774" t="n">
        <v>0</v>
      </c>
      <c r="P7774" t="n">
        <v>0</v>
      </c>
      <c r="Q7774" t="n">
        <v>0</v>
      </c>
      <c r="R7774" t="n">
        <v>0</v>
      </c>
      <c r="S7774" t="n">
        <v>0</v>
      </c>
      <c r="T7774" t="n">
        <v>0</v>
      </c>
      <c r="U7774" t="n">
        <v>0</v>
      </c>
      <c r="V7774" s="2" t="inlineStr"/>
    </row>
    <row r="7775" ht="15" customHeight="1">
      <c r="A7775" t="inlineStr">
        <is>
          <t>A 20634-2026</t>
        </is>
      </c>
      <c r="B7775" t="inlineStr">
        <is>
          <t>avverkningsanmälan</t>
        </is>
      </c>
      <c r="C7775" t="inlineStr">
        <is>
          <t>Föryngringsavverkning</t>
        </is>
      </c>
      <c r="D7775" s="1" t="n">
        <v>46141</v>
      </c>
      <c r="E7775" s="1" t="n">
        <v>46319</v>
      </c>
      <c r="F7775" t="inlineStr">
        <is>
          <t>DALARNAS LÄN</t>
        </is>
      </c>
      <c r="G7775" t="inlineStr">
        <is>
          <t>MORA</t>
        </is>
      </c>
      <c r="H7775" t="inlineStr">
        <is>
          <t>Bergvik skog öst AB</t>
        </is>
      </c>
      <c r="I7775" t="n">
        <v>0.9</v>
      </c>
      <c r="J7775" t="n">
        <v>0</v>
      </c>
      <c r="K7775" t="n">
        <v>0</v>
      </c>
      <c r="L7775" t="n">
        <v>0</v>
      </c>
      <c r="M7775" t="n">
        <v>0</v>
      </c>
      <c r="N7775" t="n">
        <v>0</v>
      </c>
      <c r="O7775" t="n">
        <v>0</v>
      </c>
      <c r="P7775" t="n">
        <v>0</v>
      </c>
      <c r="Q7775" t="n">
        <v>0</v>
      </c>
      <c r="R7775" t="n">
        <v>0</v>
      </c>
      <c r="S7775" t="n">
        <v>0</v>
      </c>
      <c r="T7775" t="n">
        <v>0</v>
      </c>
      <c r="U7775" t="n">
        <v>0</v>
      </c>
      <c r="V7775" s="2" t="inlineStr"/>
    </row>
    <row r="7776" ht="15" customHeight="1">
      <c r="A7776" t="inlineStr">
        <is>
          <t>A 17932-2026</t>
        </is>
      </c>
      <c r="B7776" t="inlineStr">
        <is>
          <t>avverkningsanmälan</t>
        </is>
      </c>
      <c r="C7776" t="inlineStr">
        <is>
          <t>Föryngringsavverkning</t>
        </is>
      </c>
      <c r="D7776" s="1" t="n">
        <v>46122</v>
      </c>
      <c r="E7776" s="1" t="n">
        <v>46319</v>
      </c>
      <c r="F7776" t="inlineStr">
        <is>
          <t>DALARNAS LÄN</t>
        </is>
      </c>
      <c r="G7776" t="inlineStr">
        <is>
          <t>FALUN</t>
        </is>
      </c>
      <c r="H7776" t="inlineStr">
        <is>
          <t>Bergvik skog väst AB</t>
        </is>
      </c>
      <c r="I7776" t="n">
        <v>2.1</v>
      </c>
      <c r="J7776" t="n">
        <v>0</v>
      </c>
      <c r="K7776" t="n">
        <v>0</v>
      </c>
      <c r="L7776" t="n">
        <v>0</v>
      </c>
      <c r="M7776" t="n">
        <v>0</v>
      </c>
      <c r="N7776" t="n">
        <v>0</v>
      </c>
      <c r="O7776" t="n">
        <v>0</v>
      </c>
      <c r="P7776" t="n">
        <v>0</v>
      </c>
      <c r="Q7776" t="n">
        <v>0</v>
      </c>
      <c r="R7776" t="n">
        <v>0</v>
      </c>
      <c r="S7776" t="n">
        <v>0</v>
      </c>
      <c r="T7776" t="n">
        <v>0</v>
      </c>
      <c r="U7776" t="n">
        <v>0</v>
      </c>
      <c r="V7776" s="2" t="inlineStr"/>
    </row>
    <row r="7777" ht="15" customHeight="1">
      <c r="A7777" t="inlineStr">
        <is>
          <t>A 19426-2025</t>
        </is>
      </c>
      <c r="B7777" t="inlineStr">
        <is>
          <t>avverkningsanmälan</t>
        </is>
      </c>
      <c r="C7777" t="inlineStr">
        <is>
          <t>Avverkning för annat ändamål</t>
        </is>
      </c>
      <c r="D7777" s="1" t="n">
        <v>45769</v>
      </c>
      <c r="E7777" s="1" t="n">
        <v>46319</v>
      </c>
      <c r="F7777" t="inlineStr">
        <is>
          <t>DALARNAS LÄN</t>
        </is>
      </c>
      <c r="G7777" t="inlineStr">
        <is>
          <t>FALUN</t>
        </is>
      </c>
      <c r="I7777" t="n">
        <v>0.1</v>
      </c>
      <c r="J7777" t="n">
        <v>0</v>
      </c>
      <c r="K7777" t="n">
        <v>0</v>
      </c>
      <c r="L7777" t="n">
        <v>0</v>
      </c>
      <c r="M7777" t="n">
        <v>0</v>
      </c>
      <c r="N7777" t="n">
        <v>0</v>
      </c>
      <c r="O7777" t="n">
        <v>0</v>
      </c>
      <c r="P7777" t="n">
        <v>0</v>
      </c>
      <c r="Q7777" t="n">
        <v>0</v>
      </c>
      <c r="R7777" t="n">
        <v>0</v>
      </c>
      <c r="S7777" t="n">
        <v>0</v>
      </c>
      <c r="T7777" t="n">
        <v>0</v>
      </c>
      <c r="U7777" t="n">
        <v>0</v>
      </c>
      <c r="V7777" s="2" t="inlineStr"/>
    </row>
    <row r="7778" ht="15" customHeight="1">
      <c r="A7778" t="inlineStr">
        <is>
          <t>A 21129-2026</t>
        </is>
      </c>
      <c r="B7778" t="inlineStr">
        <is>
          <t>avverkningsanmälan</t>
        </is>
      </c>
      <c r="C7778" t="inlineStr">
        <is>
          <t>Föryngringsavverkning</t>
        </is>
      </c>
      <c r="D7778" s="1" t="n">
        <v>46146</v>
      </c>
      <c r="E7778" s="1" t="n">
        <v>46319</v>
      </c>
      <c r="F7778" t="inlineStr">
        <is>
          <t>DALARNAS LÄN</t>
        </is>
      </c>
      <c r="G7778" t="inlineStr">
        <is>
          <t>FALUN</t>
        </is>
      </c>
      <c r="H7778" t="inlineStr">
        <is>
          <t>Bergvik skog väst AB</t>
        </is>
      </c>
      <c r="I7778" t="n">
        <v>0.6</v>
      </c>
      <c r="J7778" t="n">
        <v>0</v>
      </c>
      <c r="K7778" t="n">
        <v>0</v>
      </c>
      <c r="L7778" t="n">
        <v>0</v>
      </c>
      <c r="M7778" t="n">
        <v>0</v>
      </c>
      <c r="N7778" t="n">
        <v>0</v>
      </c>
      <c r="O7778" t="n">
        <v>0</v>
      </c>
      <c r="P7778" t="n">
        <v>0</v>
      </c>
      <c r="Q7778" t="n">
        <v>0</v>
      </c>
      <c r="R7778" t="n">
        <v>0</v>
      </c>
      <c r="S7778" t="n">
        <v>0</v>
      </c>
      <c r="T7778" t="n">
        <v>0</v>
      </c>
      <c r="U7778" t="n">
        <v>0</v>
      </c>
      <c r="V7778" s="2" t="inlineStr"/>
    </row>
    <row r="7779" ht="15" customHeight="1">
      <c r="A7779" t="inlineStr">
        <is>
          <t>A 6436-2022</t>
        </is>
      </c>
      <c r="B7779" t="inlineStr">
        <is>
          <t>avverkningsanmälan</t>
        </is>
      </c>
      <c r="C7779" t="inlineStr">
        <is>
          <t>Föryngringsavverkning</t>
        </is>
      </c>
      <c r="D7779" s="1" t="n">
        <v>44601</v>
      </c>
      <c r="E7779" s="1" t="n">
        <v>46319</v>
      </c>
      <c r="F7779" t="inlineStr">
        <is>
          <t>DALARNAS LÄN</t>
        </is>
      </c>
      <c r="G7779" t="inlineStr">
        <is>
          <t>BORLÄNGE</t>
        </is>
      </c>
      <c r="I7779" t="n">
        <v>4.2</v>
      </c>
      <c r="J7779" t="n">
        <v>0</v>
      </c>
      <c r="K7779" t="n">
        <v>0</v>
      </c>
      <c r="L7779" t="n">
        <v>0</v>
      </c>
      <c r="M7779" t="n">
        <v>0</v>
      </c>
      <c r="N7779" t="n">
        <v>0</v>
      </c>
      <c r="O7779" t="n">
        <v>0</v>
      </c>
      <c r="P7779" t="n">
        <v>0</v>
      </c>
      <c r="Q7779" t="n">
        <v>0</v>
      </c>
      <c r="R7779" t="n">
        <v>0</v>
      </c>
      <c r="S7779" t="n">
        <v>0</v>
      </c>
      <c r="T7779" t="n">
        <v>0</v>
      </c>
      <c r="U7779" t="n">
        <v>0</v>
      </c>
      <c r="V7779" s="2" t="inlineStr"/>
    </row>
    <row r="7780" ht="15" customHeight="1">
      <c r="A7780" t="inlineStr">
        <is>
          <t>A 6324-2026</t>
        </is>
      </c>
      <c r="B7780" t="inlineStr">
        <is>
          <t>avverkningsanmälan</t>
        </is>
      </c>
      <c r="C7780" t="inlineStr">
        <is>
          <t>Föryngringsavverkning</t>
        </is>
      </c>
      <c r="D7780" s="1" t="n">
        <v>46055</v>
      </c>
      <c r="E7780" s="1" t="n">
        <v>46319</v>
      </c>
      <c r="F7780" t="inlineStr">
        <is>
          <t>DALARNAS LÄN</t>
        </is>
      </c>
      <c r="G7780" t="inlineStr">
        <is>
          <t>BORLÄNGE</t>
        </is>
      </c>
      <c r="I7780" t="n">
        <v>2.5</v>
      </c>
      <c r="J7780" t="n">
        <v>0</v>
      </c>
      <c r="K7780" t="n">
        <v>0</v>
      </c>
      <c r="L7780" t="n">
        <v>0</v>
      </c>
      <c r="M7780" t="n">
        <v>0</v>
      </c>
      <c r="N7780" t="n">
        <v>0</v>
      </c>
      <c r="O7780" t="n">
        <v>0</v>
      </c>
      <c r="P7780" t="n">
        <v>0</v>
      </c>
      <c r="Q7780" t="n">
        <v>0</v>
      </c>
      <c r="R7780" t="n">
        <v>0</v>
      </c>
      <c r="S7780" t="n">
        <v>0</v>
      </c>
      <c r="T7780" t="n">
        <v>0</v>
      </c>
      <c r="U7780" t="n">
        <v>0</v>
      </c>
      <c r="V7780" s="2" t="inlineStr"/>
    </row>
    <row r="7781" ht="15" customHeight="1">
      <c r="A7781" t="inlineStr">
        <is>
          <t>A 48824-2023</t>
        </is>
      </c>
      <c r="B7781" t="inlineStr">
        <is>
          <t>avverkningsanmälan</t>
        </is>
      </c>
      <c r="C7781" t="inlineStr">
        <is>
          <t>Föryngringsavverkning</t>
        </is>
      </c>
      <c r="D7781" s="1" t="n">
        <v>45203</v>
      </c>
      <c r="E7781" s="1" t="n">
        <v>46319</v>
      </c>
      <c r="F7781" t="inlineStr">
        <is>
          <t>DALARNAS LÄN</t>
        </is>
      </c>
      <c r="G7781" t="inlineStr">
        <is>
          <t>MORA</t>
        </is>
      </c>
      <c r="I7781" t="n">
        <v>3.3</v>
      </c>
      <c r="J7781" t="n">
        <v>0</v>
      </c>
      <c r="K7781" t="n">
        <v>0</v>
      </c>
      <c r="L7781" t="n">
        <v>0</v>
      </c>
      <c r="M7781" t="n">
        <v>0</v>
      </c>
      <c r="N7781" t="n">
        <v>0</v>
      </c>
      <c r="O7781" t="n">
        <v>0</v>
      </c>
      <c r="P7781" t="n">
        <v>0</v>
      </c>
      <c r="Q7781" t="n">
        <v>0</v>
      </c>
      <c r="R7781" t="n">
        <v>0</v>
      </c>
      <c r="S7781" t="n">
        <v>0</v>
      </c>
      <c r="T7781" t="n">
        <v>0</v>
      </c>
      <c r="U7781" t="n">
        <v>0</v>
      </c>
      <c r="V7781" s="2" t="inlineStr"/>
    </row>
    <row r="7782" ht="15" customHeight="1">
      <c r="A7782" t="inlineStr">
        <is>
          <t>A 41047-2026</t>
        </is>
      </c>
      <c r="B7782" t="inlineStr">
        <is>
          <t>avverkningsanmälan</t>
        </is>
      </c>
      <c r="C7782" t="inlineStr">
        <is>
          <t>Föryngringsavverkning</t>
        </is>
      </c>
      <c r="D7782" s="1" t="n">
        <v>46299</v>
      </c>
      <c r="E7782" s="1" t="n">
        <v>46319</v>
      </c>
      <c r="F7782" t="inlineStr">
        <is>
          <t>DALARNAS LÄN</t>
        </is>
      </c>
      <c r="G7782" t="inlineStr">
        <is>
          <t>FALUN</t>
        </is>
      </c>
      <c r="I7782" t="n">
        <v>2.2</v>
      </c>
      <c r="J7782" t="n">
        <v>0</v>
      </c>
      <c r="K7782" t="n">
        <v>0</v>
      </c>
      <c r="L7782" t="n">
        <v>0</v>
      </c>
      <c r="M7782" t="n">
        <v>0</v>
      </c>
      <c r="N7782" t="n">
        <v>0</v>
      </c>
      <c r="O7782" t="n">
        <v>0</v>
      </c>
      <c r="P7782" t="n">
        <v>0</v>
      </c>
      <c r="Q7782" t="n">
        <v>0</v>
      </c>
      <c r="R7782" t="n">
        <v>0</v>
      </c>
      <c r="S7782" t="n">
        <v>0</v>
      </c>
      <c r="T7782" t="n">
        <v>0</v>
      </c>
      <c r="U7782" t="n">
        <v>0</v>
      </c>
      <c r="V7782" s="2" t="inlineStr"/>
    </row>
    <row r="7783" ht="15" customHeight="1">
      <c r="A7783" t="inlineStr">
        <is>
          <t>A 55624-2025</t>
        </is>
      </c>
      <c r="B7783" t="inlineStr">
        <is>
          <t>avverkningsanmälan</t>
        </is>
      </c>
      <c r="C7783" t="inlineStr">
        <is>
          <t>Föryngringsavverkning</t>
        </is>
      </c>
      <c r="D7783" s="1" t="n">
        <v>45972</v>
      </c>
      <c r="E7783" s="1" t="n">
        <v>46319</v>
      </c>
      <c r="F7783" t="inlineStr">
        <is>
          <t>DALARNAS LÄN</t>
        </is>
      </c>
      <c r="G7783" t="inlineStr">
        <is>
          <t>RÄTTVIK</t>
        </is>
      </c>
      <c r="I7783" t="n">
        <v>2.9</v>
      </c>
      <c r="J7783" t="n">
        <v>0</v>
      </c>
      <c r="K7783" t="n">
        <v>0</v>
      </c>
      <c r="L7783" t="n">
        <v>0</v>
      </c>
      <c r="M7783" t="n">
        <v>0</v>
      </c>
      <c r="N7783" t="n">
        <v>0</v>
      </c>
      <c r="O7783" t="n">
        <v>0</v>
      </c>
      <c r="P7783" t="n">
        <v>0</v>
      </c>
      <c r="Q7783" t="n">
        <v>0</v>
      </c>
      <c r="R7783" t="n">
        <v>0</v>
      </c>
      <c r="S7783" t="n">
        <v>0</v>
      </c>
      <c r="T7783" t="n">
        <v>0</v>
      </c>
      <c r="U7783" t="n">
        <v>0</v>
      </c>
      <c r="V7783" s="2" t="inlineStr"/>
    </row>
    <row r="7784" ht="15" customHeight="1">
      <c r="A7784" t="inlineStr">
        <is>
          <t>A 21177-2026</t>
        </is>
      </c>
      <c r="B7784" t="inlineStr">
        <is>
          <t>avverkningsanmälan</t>
        </is>
      </c>
      <c r="C7784" t="inlineStr">
        <is>
          <t>Föryngringsavverkning</t>
        </is>
      </c>
      <c r="D7784" s="1" t="n">
        <v>46146</v>
      </c>
      <c r="E7784" s="1" t="n">
        <v>46319</v>
      </c>
      <c r="F7784" t="inlineStr">
        <is>
          <t>DALARNAS LÄN</t>
        </is>
      </c>
      <c r="G7784" t="inlineStr">
        <is>
          <t>LEKSAND</t>
        </is>
      </c>
      <c r="I7784" t="n">
        <v>1.8</v>
      </c>
      <c r="J7784" t="n">
        <v>0</v>
      </c>
      <c r="K7784" t="n">
        <v>0</v>
      </c>
      <c r="L7784" t="n">
        <v>0</v>
      </c>
      <c r="M7784" t="n">
        <v>0</v>
      </c>
      <c r="N7784" t="n">
        <v>0</v>
      </c>
      <c r="O7784" t="n">
        <v>0</v>
      </c>
      <c r="P7784" t="n">
        <v>0</v>
      </c>
      <c r="Q7784" t="n">
        <v>0</v>
      </c>
      <c r="R7784" t="n">
        <v>0</v>
      </c>
      <c r="S7784" t="n">
        <v>0</v>
      </c>
      <c r="T7784" t="n">
        <v>0</v>
      </c>
      <c r="U7784" t="n">
        <v>0</v>
      </c>
      <c r="V7784" s="2" t="inlineStr"/>
    </row>
    <row r="7785" ht="15" customHeight="1">
      <c r="A7785" t="inlineStr">
        <is>
          <t>A 44261-2026</t>
        </is>
      </c>
      <c r="B7785" t="inlineStr">
        <is>
          <t>avverkningsanmälan</t>
        </is>
      </c>
      <c r="C7785" t="inlineStr">
        <is>
          <t>Föryngringsavverkning</t>
        </is>
      </c>
      <c r="D7785" s="1" t="n">
        <v>46318</v>
      </c>
      <c r="E7785" s="1" t="n">
        <v>46319</v>
      </c>
      <c r="F7785" t="inlineStr">
        <is>
          <t>DALARNAS LÄN</t>
        </is>
      </c>
      <c r="G7785" t="inlineStr">
        <is>
          <t>LUDVIKA</t>
        </is>
      </c>
      <c r="I7785" t="n">
        <v>5</v>
      </c>
      <c r="J7785" t="n">
        <v>0</v>
      </c>
      <c r="K7785" t="n">
        <v>0</v>
      </c>
      <c r="L7785" t="n">
        <v>0</v>
      </c>
      <c r="M7785" t="n">
        <v>0</v>
      </c>
      <c r="N7785" t="n">
        <v>0</v>
      </c>
      <c r="O7785" t="n">
        <v>0</v>
      </c>
      <c r="P7785" t="n">
        <v>0</v>
      </c>
      <c r="Q7785" t="n">
        <v>0</v>
      </c>
      <c r="R7785" t="n">
        <v>0</v>
      </c>
      <c r="S7785" t="n">
        <v>0</v>
      </c>
      <c r="T7785" t="n">
        <v>0</v>
      </c>
      <c r="U7785" t="n">
        <v>0</v>
      </c>
      <c r="V7785" s="2" t="inlineStr"/>
    </row>
    <row r="7786" ht="15" customHeight="1">
      <c r="A7786" t="inlineStr">
        <is>
          <t>A 21209-2026</t>
        </is>
      </c>
      <c r="B7786" t="inlineStr">
        <is>
          <t>avverkningsanmälan</t>
        </is>
      </c>
      <c r="C7786" t="inlineStr">
        <is>
          <t>Föryngringsavverkning</t>
        </is>
      </c>
      <c r="D7786" s="1" t="n">
        <v>46146</v>
      </c>
      <c r="E7786" s="1" t="n">
        <v>46319</v>
      </c>
      <c r="F7786" t="inlineStr">
        <is>
          <t>DALARNAS LÄN</t>
        </is>
      </c>
      <c r="G7786" t="inlineStr">
        <is>
          <t>MORA</t>
        </is>
      </c>
      <c r="I7786" t="n">
        <v>0.6</v>
      </c>
      <c r="J7786" t="n">
        <v>0</v>
      </c>
      <c r="K7786" t="n">
        <v>0</v>
      </c>
      <c r="L7786" t="n">
        <v>0</v>
      </c>
      <c r="M7786" t="n">
        <v>0</v>
      </c>
      <c r="N7786" t="n">
        <v>0</v>
      </c>
      <c r="O7786" t="n">
        <v>0</v>
      </c>
      <c r="P7786" t="n">
        <v>0</v>
      </c>
      <c r="Q7786" t="n">
        <v>0</v>
      </c>
      <c r="R7786" t="n">
        <v>0</v>
      </c>
      <c r="S7786" t="n">
        <v>0</v>
      </c>
      <c r="T7786" t="n">
        <v>0</v>
      </c>
      <c r="U7786" t="n">
        <v>0</v>
      </c>
      <c r="V7786" s="2" t="inlineStr"/>
    </row>
    <row r="7787" ht="15" customHeight="1">
      <c r="A7787" t="inlineStr">
        <is>
          <t>A 21215-2026</t>
        </is>
      </c>
      <c r="B7787" t="inlineStr">
        <is>
          <t>avverkningsanmälan</t>
        </is>
      </c>
      <c r="C7787" t="inlineStr">
        <is>
          <t>Föryngringsavverkning</t>
        </is>
      </c>
      <c r="D7787" s="1" t="n">
        <v>46146</v>
      </c>
      <c r="E7787" s="1" t="n">
        <v>46319</v>
      </c>
      <c r="F7787" t="inlineStr">
        <is>
          <t>DALARNAS LÄN</t>
        </is>
      </c>
      <c r="G7787" t="inlineStr">
        <is>
          <t>SMEDJEBACKEN</t>
        </is>
      </c>
      <c r="H7787" t="inlineStr">
        <is>
          <t>Bergvik skog väst AB</t>
        </is>
      </c>
      <c r="I7787" t="n">
        <v>4</v>
      </c>
      <c r="J7787" t="n">
        <v>0</v>
      </c>
      <c r="K7787" t="n">
        <v>0</v>
      </c>
      <c r="L7787" t="n">
        <v>0</v>
      </c>
      <c r="M7787" t="n">
        <v>0</v>
      </c>
      <c r="N7787" t="n">
        <v>0</v>
      </c>
      <c r="O7787" t="n">
        <v>0</v>
      </c>
      <c r="P7787" t="n">
        <v>0</v>
      </c>
      <c r="Q7787" t="n">
        <v>0</v>
      </c>
      <c r="R7787" t="n">
        <v>0</v>
      </c>
      <c r="S7787" t="n">
        <v>0</v>
      </c>
      <c r="T7787" t="n">
        <v>0</v>
      </c>
      <c r="U7787" t="n">
        <v>0</v>
      </c>
      <c r="V7787" s="2" t="inlineStr"/>
    </row>
    <row r="7788" ht="15" customHeight="1">
      <c r="A7788" t="inlineStr">
        <is>
          <t>A 21216-2026</t>
        </is>
      </c>
      <c r="B7788" t="inlineStr">
        <is>
          <t>avverkningsanmälan</t>
        </is>
      </c>
      <c r="C7788" t="inlineStr">
        <is>
          <t>Föryngringsavverkning</t>
        </is>
      </c>
      <c r="D7788" s="1" t="n">
        <v>46146</v>
      </c>
      <c r="E7788" s="1" t="n">
        <v>46319</v>
      </c>
      <c r="F7788" t="inlineStr">
        <is>
          <t>DALARNAS LÄN</t>
        </is>
      </c>
      <c r="G7788" t="inlineStr">
        <is>
          <t>SMEDJEBACKEN</t>
        </is>
      </c>
      <c r="H7788" t="inlineStr">
        <is>
          <t>Bergvik skog väst AB</t>
        </is>
      </c>
      <c r="I7788" t="n">
        <v>1.6</v>
      </c>
      <c r="J7788" t="n">
        <v>0</v>
      </c>
      <c r="K7788" t="n">
        <v>0</v>
      </c>
      <c r="L7788" t="n">
        <v>0</v>
      </c>
      <c r="M7788" t="n">
        <v>0</v>
      </c>
      <c r="N7788" t="n">
        <v>0</v>
      </c>
      <c r="O7788" t="n">
        <v>0</v>
      </c>
      <c r="P7788" t="n">
        <v>0</v>
      </c>
      <c r="Q7788" t="n">
        <v>0</v>
      </c>
      <c r="R7788" t="n">
        <v>0</v>
      </c>
      <c r="S7788" t="n">
        <v>0</v>
      </c>
      <c r="T7788" t="n">
        <v>0</v>
      </c>
      <c r="U7788" t="n">
        <v>0</v>
      </c>
      <c r="V7788" s="2" t="inlineStr"/>
    </row>
    <row r="7789" ht="15" customHeight="1">
      <c r="A7789" t="inlineStr">
        <is>
          <t>A 55172-2025</t>
        </is>
      </c>
      <c r="B7789" t="inlineStr">
        <is>
          <t>avverkningsanmälan</t>
        </is>
      </c>
      <c r="C7789" t="inlineStr">
        <is>
          <t>Föryngringsavverkning</t>
        </is>
      </c>
      <c r="D7789" s="1" t="n">
        <v>45968</v>
      </c>
      <c r="E7789" s="1" t="n">
        <v>46319</v>
      </c>
      <c r="F7789" t="inlineStr">
        <is>
          <t>DALARNAS LÄN</t>
        </is>
      </c>
      <c r="G7789" t="inlineStr">
        <is>
          <t>RÄTTVIK</t>
        </is>
      </c>
      <c r="I7789" t="n">
        <v>3.6</v>
      </c>
      <c r="J7789" t="n">
        <v>0</v>
      </c>
      <c r="K7789" t="n">
        <v>0</v>
      </c>
      <c r="L7789" t="n">
        <v>0</v>
      </c>
      <c r="M7789" t="n">
        <v>0</v>
      </c>
      <c r="N7789" t="n">
        <v>0</v>
      </c>
      <c r="O7789" t="n">
        <v>0</v>
      </c>
      <c r="P7789" t="n">
        <v>0</v>
      </c>
      <c r="Q7789" t="n">
        <v>0</v>
      </c>
      <c r="R7789" t="n">
        <v>0</v>
      </c>
      <c r="S7789" t="n">
        <v>0</v>
      </c>
      <c r="T7789" t="n">
        <v>0</v>
      </c>
      <c r="U7789" t="n">
        <v>0</v>
      </c>
      <c r="V7789" s="2" t="inlineStr"/>
    </row>
    <row r="7790" ht="15" customHeight="1">
      <c r="A7790" t="inlineStr">
        <is>
          <t>A 3083-2026</t>
        </is>
      </c>
      <c r="B7790" t="inlineStr">
        <is>
          <t>avverkningsanmälan</t>
        </is>
      </c>
      <c r="C7790" t="inlineStr">
        <is>
          <t>Föryngringsavverkning</t>
        </is>
      </c>
      <c r="D7790" s="1" t="n">
        <v>46040</v>
      </c>
      <c r="E7790" s="1" t="n">
        <v>46319</v>
      </c>
      <c r="F7790" t="inlineStr">
        <is>
          <t>DALARNAS LÄN</t>
        </is>
      </c>
      <c r="G7790" t="inlineStr">
        <is>
          <t>FALUN</t>
        </is>
      </c>
      <c r="I7790" t="n">
        <v>2.3</v>
      </c>
      <c r="J7790" t="n">
        <v>0</v>
      </c>
      <c r="K7790" t="n">
        <v>0</v>
      </c>
      <c r="L7790" t="n">
        <v>0</v>
      </c>
      <c r="M7790" t="n">
        <v>0</v>
      </c>
      <c r="N7790" t="n">
        <v>0</v>
      </c>
      <c r="O7790" t="n">
        <v>0</v>
      </c>
      <c r="P7790" t="n">
        <v>0</v>
      </c>
      <c r="Q7790" t="n">
        <v>0</v>
      </c>
      <c r="R7790" t="n">
        <v>0</v>
      </c>
      <c r="S7790" t="n">
        <v>0</v>
      </c>
      <c r="T7790" t="n">
        <v>0</v>
      </c>
      <c r="U7790" t="n">
        <v>0</v>
      </c>
      <c r="V7790" s="2" t="inlineStr"/>
    </row>
    <row r="7791" ht="15" customHeight="1">
      <c r="A7791" t="inlineStr">
        <is>
          <t>A 8212-2026</t>
        </is>
      </c>
      <c r="B7791" t="inlineStr">
        <is>
          <t>avverkningsanmälan</t>
        </is>
      </c>
      <c r="C7791" t="inlineStr">
        <is>
          <t>Föryngringsavverkning</t>
        </is>
      </c>
      <c r="D7791" s="1" t="n">
        <v>46064</v>
      </c>
      <c r="E7791" s="1" t="n">
        <v>46319</v>
      </c>
      <c r="F7791" t="inlineStr">
        <is>
          <t>DALARNAS LÄN</t>
        </is>
      </c>
      <c r="G7791" t="inlineStr">
        <is>
          <t>FALUN</t>
        </is>
      </c>
      <c r="H7791" t="inlineStr">
        <is>
          <t>Bergvik skog väst AB</t>
        </is>
      </c>
      <c r="I7791" t="n">
        <v>2.7</v>
      </c>
      <c r="J7791" t="n">
        <v>0</v>
      </c>
      <c r="K7791" t="n">
        <v>0</v>
      </c>
      <c r="L7791" t="n">
        <v>0</v>
      </c>
      <c r="M7791" t="n">
        <v>0</v>
      </c>
      <c r="N7791" t="n">
        <v>0</v>
      </c>
      <c r="O7791" t="n">
        <v>0</v>
      </c>
      <c r="P7791" t="n">
        <v>0</v>
      </c>
      <c r="Q7791" t="n">
        <v>0</v>
      </c>
      <c r="R7791" t="n">
        <v>0</v>
      </c>
      <c r="S7791" t="n">
        <v>0</v>
      </c>
      <c r="T7791" t="n">
        <v>0</v>
      </c>
      <c r="U7791" t="n">
        <v>0</v>
      </c>
      <c r="V7791" s="2" t="inlineStr"/>
    </row>
    <row r="7792" ht="15" customHeight="1">
      <c r="A7792" t="inlineStr">
        <is>
          <t>A 37359-2026</t>
        </is>
      </c>
      <c r="B7792" t="inlineStr">
        <is>
          <t>avverkningsanmälan</t>
        </is>
      </c>
      <c r="C7792" t="inlineStr">
        <is>
          <t>Föryngringsavverkning</t>
        </is>
      </c>
      <c r="D7792" s="1" t="n">
        <v>46275</v>
      </c>
      <c r="E7792" s="1" t="n">
        <v>46319</v>
      </c>
      <c r="F7792" t="inlineStr">
        <is>
          <t>DALARNAS LÄN</t>
        </is>
      </c>
      <c r="G7792" t="inlineStr">
        <is>
          <t>LUDVIKA</t>
        </is>
      </c>
      <c r="I7792" t="n">
        <v>1.7</v>
      </c>
      <c r="J7792" t="n">
        <v>0</v>
      </c>
      <c r="K7792" t="n">
        <v>0</v>
      </c>
      <c r="L7792" t="n">
        <v>0</v>
      </c>
      <c r="M7792" t="n">
        <v>0</v>
      </c>
      <c r="N7792" t="n">
        <v>0</v>
      </c>
      <c r="O7792" t="n">
        <v>0</v>
      </c>
      <c r="P7792" t="n">
        <v>0</v>
      </c>
      <c r="Q7792" t="n">
        <v>0</v>
      </c>
      <c r="R7792" t="n">
        <v>0</v>
      </c>
      <c r="S7792" t="n">
        <v>0</v>
      </c>
      <c r="T7792" t="n">
        <v>0</v>
      </c>
      <c r="U7792" t="n">
        <v>0</v>
      </c>
      <c r="V7792" s="2" t="inlineStr"/>
    </row>
    <row r="7793" ht="15" customHeight="1">
      <c r="A7793" t="inlineStr">
        <is>
          <t>A 14615-2024</t>
        </is>
      </c>
      <c r="B7793" t="inlineStr">
        <is>
          <t>avverkningsanmälan</t>
        </is>
      </c>
      <c r="C7793" t="inlineStr">
        <is>
          <t>Föryngringsavverkning</t>
        </is>
      </c>
      <c r="D7793" s="1" t="n">
        <v>45397</v>
      </c>
      <c r="E7793" s="1" t="n">
        <v>46319</v>
      </c>
      <c r="F7793" t="inlineStr">
        <is>
          <t>DALARNAS LÄN</t>
        </is>
      </c>
      <c r="G7793" t="inlineStr">
        <is>
          <t>LEKSAND</t>
        </is>
      </c>
      <c r="I7793" t="n">
        <v>0.4</v>
      </c>
      <c r="J7793" t="n">
        <v>0</v>
      </c>
      <c r="K7793" t="n">
        <v>0</v>
      </c>
      <c r="L7793" t="n">
        <v>0</v>
      </c>
      <c r="M7793" t="n">
        <v>0</v>
      </c>
      <c r="N7793" t="n">
        <v>0</v>
      </c>
      <c r="O7793" t="n">
        <v>0</v>
      </c>
      <c r="P7793" t="n">
        <v>0</v>
      </c>
      <c r="Q7793" t="n">
        <v>0</v>
      </c>
      <c r="R7793" t="n">
        <v>0</v>
      </c>
      <c r="S7793" t="n">
        <v>0</v>
      </c>
      <c r="T7793" t="n">
        <v>0</v>
      </c>
      <c r="U7793" t="n">
        <v>0</v>
      </c>
      <c r="V7793" s="2" t="inlineStr"/>
    </row>
    <row r="7794" ht="15" customHeight="1">
      <c r="A7794" t="inlineStr">
        <is>
          <t>A 37449-2026</t>
        </is>
      </c>
      <c r="B7794" t="inlineStr">
        <is>
          <t>avverkningsanmälan</t>
        </is>
      </c>
      <c r="C7794" t="inlineStr">
        <is>
          <t>Föryngringsavverkning</t>
        </is>
      </c>
      <c r="D7794" s="1" t="n">
        <v>46275</v>
      </c>
      <c r="E7794" s="1" t="n">
        <v>46319</v>
      </c>
      <c r="F7794" t="inlineStr">
        <is>
          <t>DALARNAS LÄN</t>
        </is>
      </c>
      <c r="G7794" t="inlineStr">
        <is>
          <t>RÄTTVIK</t>
        </is>
      </c>
      <c r="H7794" t="inlineStr">
        <is>
          <t>Bergvik skog väst AB</t>
        </is>
      </c>
      <c r="I7794" t="n">
        <v>2.5</v>
      </c>
      <c r="J7794" t="n">
        <v>0</v>
      </c>
      <c r="K7794" t="n">
        <v>0</v>
      </c>
      <c r="L7794" t="n">
        <v>0</v>
      </c>
      <c r="M7794" t="n">
        <v>0</v>
      </c>
      <c r="N7794" t="n">
        <v>0</v>
      </c>
      <c r="O7794" t="n">
        <v>0</v>
      </c>
      <c r="P7794" t="n">
        <v>0</v>
      </c>
      <c r="Q7794" t="n">
        <v>0</v>
      </c>
      <c r="R7794" t="n">
        <v>0</v>
      </c>
      <c r="S7794" t="n">
        <v>0</v>
      </c>
      <c r="T7794" t="n">
        <v>0</v>
      </c>
      <c r="U7794" t="n">
        <v>0</v>
      </c>
      <c r="V7794" s="2" t="inlineStr"/>
    </row>
    <row r="7795" ht="15" customHeight="1">
      <c r="A7795" t="inlineStr">
        <is>
          <t>A 43950-2026</t>
        </is>
      </c>
      <c r="B7795" t="inlineStr">
        <is>
          <t>avverkningsanmälan</t>
        </is>
      </c>
      <c r="C7795" t="inlineStr">
        <is>
          <t>Föryngringsavverkning</t>
        </is>
      </c>
      <c r="D7795" s="1" t="n">
        <v>46317</v>
      </c>
      <c r="E7795" s="1" t="n">
        <v>46319</v>
      </c>
      <c r="F7795" t="inlineStr">
        <is>
          <t>DALARNAS LÄN</t>
        </is>
      </c>
      <c r="G7795" t="inlineStr">
        <is>
          <t>ORSA</t>
        </is>
      </c>
      <c r="H7795" t="inlineStr">
        <is>
          <t>Kommuner</t>
        </is>
      </c>
      <c r="I7795" t="n">
        <v>0.9</v>
      </c>
      <c r="J7795" t="n">
        <v>0</v>
      </c>
      <c r="K7795" t="n">
        <v>0</v>
      </c>
      <c r="L7795" t="n">
        <v>0</v>
      </c>
      <c r="M7795" t="n">
        <v>0</v>
      </c>
      <c r="N7795" t="n">
        <v>0</v>
      </c>
      <c r="O7795" t="n">
        <v>0</v>
      </c>
      <c r="P7795" t="n">
        <v>0</v>
      </c>
      <c r="Q7795" t="n">
        <v>0</v>
      </c>
      <c r="R7795" t="n">
        <v>0</v>
      </c>
      <c r="S7795" t="n">
        <v>0</v>
      </c>
      <c r="T7795" t="n">
        <v>0</v>
      </c>
      <c r="U7795" t="n">
        <v>0</v>
      </c>
      <c r="V7795" s="2" t="inlineStr"/>
    </row>
    <row r="7796" ht="15" customHeight="1">
      <c r="A7796" t="inlineStr">
        <is>
          <t>A 21212-2026</t>
        </is>
      </c>
      <c r="B7796" t="inlineStr">
        <is>
          <t>avverkningsanmälan</t>
        </is>
      </c>
      <c r="C7796" t="inlineStr">
        <is>
          <t>Föryngringsavverkning</t>
        </is>
      </c>
      <c r="D7796" s="1" t="n">
        <v>46146</v>
      </c>
      <c r="E7796" s="1" t="n">
        <v>46319</v>
      </c>
      <c r="F7796" t="inlineStr">
        <is>
          <t>DALARNAS LÄN</t>
        </is>
      </c>
      <c r="G7796" t="inlineStr">
        <is>
          <t>FALUN</t>
        </is>
      </c>
      <c r="I7796" t="n">
        <v>2.2</v>
      </c>
      <c r="J7796" t="n">
        <v>0</v>
      </c>
      <c r="K7796" t="n">
        <v>0</v>
      </c>
      <c r="L7796" t="n">
        <v>0</v>
      </c>
      <c r="M7796" t="n">
        <v>0</v>
      </c>
      <c r="N7796" t="n">
        <v>0</v>
      </c>
      <c r="O7796" t="n">
        <v>0</v>
      </c>
      <c r="P7796" t="n">
        <v>0</v>
      </c>
      <c r="Q7796" t="n">
        <v>0</v>
      </c>
      <c r="R7796" t="n">
        <v>0</v>
      </c>
      <c r="S7796" t="n">
        <v>0</v>
      </c>
      <c r="T7796" t="n">
        <v>0</v>
      </c>
      <c r="U7796" t="n">
        <v>0</v>
      </c>
      <c r="V7796" s="2" t="inlineStr"/>
    </row>
    <row r="7797" ht="15" customHeight="1">
      <c r="A7797" t="inlineStr">
        <is>
          <t>A 21130-2026</t>
        </is>
      </c>
      <c r="B7797" t="inlineStr">
        <is>
          <t>avverkningsanmälan</t>
        </is>
      </c>
      <c r="C7797" t="inlineStr">
        <is>
          <t>Föryngringsavverkning</t>
        </is>
      </c>
      <c r="D7797" s="1" t="n">
        <v>46146</v>
      </c>
      <c r="E7797" s="1" t="n">
        <v>46319</v>
      </c>
      <c r="F7797" t="inlineStr">
        <is>
          <t>DALARNAS LÄN</t>
        </is>
      </c>
      <c r="G7797" t="inlineStr">
        <is>
          <t>FALUN</t>
        </is>
      </c>
      <c r="I7797" t="n">
        <v>1</v>
      </c>
      <c r="J7797" t="n">
        <v>0</v>
      </c>
      <c r="K7797" t="n">
        <v>0</v>
      </c>
      <c r="L7797" t="n">
        <v>0</v>
      </c>
      <c r="M7797" t="n">
        <v>0</v>
      </c>
      <c r="N7797" t="n">
        <v>0</v>
      </c>
      <c r="O7797" t="n">
        <v>0</v>
      </c>
      <c r="P7797" t="n">
        <v>0</v>
      </c>
      <c r="Q7797" t="n">
        <v>0</v>
      </c>
      <c r="R7797" t="n">
        <v>0</v>
      </c>
      <c r="S7797" t="n">
        <v>0</v>
      </c>
      <c r="T7797" t="n">
        <v>0</v>
      </c>
      <c r="U7797" t="n">
        <v>0</v>
      </c>
      <c r="V7797" s="2" t="inlineStr"/>
    </row>
    <row r="7798" ht="15" customHeight="1">
      <c r="A7798" t="inlineStr">
        <is>
          <t>A 12616-2026</t>
        </is>
      </c>
      <c r="B7798" t="inlineStr">
        <is>
          <t>avverkningsanmälan</t>
        </is>
      </c>
      <c r="C7798" t="inlineStr">
        <is>
          <t>Föryngringsavverkning</t>
        </is>
      </c>
      <c r="D7798" s="1" t="n">
        <v>46090</v>
      </c>
      <c r="E7798" s="1" t="n">
        <v>46319</v>
      </c>
      <c r="F7798" t="inlineStr">
        <is>
          <t>DALARNAS LÄN</t>
        </is>
      </c>
      <c r="G7798" t="inlineStr">
        <is>
          <t>FALUN</t>
        </is>
      </c>
      <c r="I7798" t="n">
        <v>2.9</v>
      </c>
      <c r="J7798" t="n">
        <v>0</v>
      </c>
      <c r="K7798" t="n">
        <v>0</v>
      </c>
      <c r="L7798" t="n">
        <v>0</v>
      </c>
      <c r="M7798" t="n">
        <v>0</v>
      </c>
      <c r="N7798" t="n">
        <v>0</v>
      </c>
      <c r="O7798" t="n">
        <v>0</v>
      </c>
      <c r="P7798" t="n">
        <v>0</v>
      </c>
      <c r="Q7798" t="n">
        <v>0</v>
      </c>
      <c r="R7798" t="n">
        <v>0</v>
      </c>
      <c r="S7798" t="n">
        <v>0</v>
      </c>
      <c r="T7798" t="n">
        <v>0</v>
      </c>
      <c r="U7798" t="n">
        <v>0</v>
      </c>
      <c r="V7798" s="2" t="inlineStr"/>
    </row>
    <row r="7799" ht="15" customHeight="1">
      <c r="A7799" t="inlineStr">
        <is>
          <t>A 46800-2025</t>
        </is>
      </c>
      <c r="B7799" t="inlineStr">
        <is>
          <t>avverkningsanmälan</t>
        </is>
      </c>
      <c r="C7799" t="inlineStr">
        <is>
          <t>Föryngringsavverkning</t>
        </is>
      </c>
      <c r="D7799" s="1" t="n">
        <v>45926</v>
      </c>
      <c r="E7799" s="1" t="n">
        <v>46319</v>
      </c>
      <c r="F7799" t="inlineStr">
        <is>
          <t>DALARNAS LÄN</t>
        </is>
      </c>
      <c r="G7799" t="inlineStr">
        <is>
          <t>ÄLVDALEN</t>
        </is>
      </c>
      <c r="H7799" t="inlineStr">
        <is>
          <t>Allmännings- och besparingsskogar</t>
        </is>
      </c>
      <c r="I7799" t="n">
        <v>0.8</v>
      </c>
      <c r="J7799" t="n">
        <v>0</v>
      </c>
      <c r="K7799" t="n">
        <v>0</v>
      </c>
      <c r="L7799" t="n">
        <v>0</v>
      </c>
      <c r="M7799" t="n">
        <v>0</v>
      </c>
      <c r="N7799" t="n">
        <v>0</v>
      </c>
      <c r="O7799" t="n">
        <v>0</v>
      </c>
      <c r="P7799" t="n">
        <v>0</v>
      </c>
      <c r="Q7799" t="n">
        <v>0</v>
      </c>
      <c r="R7799" t="n">
        <v>0</v>
      </c>
      <c r="S7799" t="n">
        <v>0</v>
      </c>
      <c r="T7799" t="n">
        <v>0</v>
      </c>
      <c r="U7799" t="n">
        <v>0</v>
      </c>
      <c r="V7799" s="2" t="inlineStr"/>
      <c r="X7799">
        <f>HYPERLINK("https://klasma.github.io/Logging_2039/kartor/A 46800-2025 karta.png", "A 46800-2025")</f>
        <v/>
      </c>
      <c r="Y7799">
        <f>HYPERLINK("https://klasma.github.io/Logging_2039/kartor_geotiff/A 46800-2025 georefererad karta.tif", "A 46800-2025")</f>
        <v/>
      </c>
      <c r="AA7799">
        <f>HYPERLINK("https://klasma.github.io/Logging_2039/klagomål/A 46800-2025 FSC-klagomål.docx", "A 46800-2025")</f>
        <v/>
      </c>
      <c r="AB7799">
        <f>HYPERLINK("https://klasma.github.io/Logging_2039/klagomålsmail/A 46800-2025 FSC-klagomål mail.docx", "A 46800-2025")</f>
        <v/>
      </c>
      <c r="AC7799">
        <f>HYPERLINK("https://klasma.github.io/Logging_2039/tillsyn/A 46800-2025 tillsynsbegäran.docx", "A 46800-2025")</f>
        <v/>
      </c>
      <c r="AD7799">
        <f>HYPERLINK("https://klasma.github.io/Logging_2039/tillsynsmail/A 46800-2025 tillsynsbegäran mail.docx", "A 46800-2025")</f>
        <v/>
      </c>
      <c r="AE7799">
        <f>HYPERLINK("https://klasma.github.io/Logging_2039/fåglar/A 46800-2025 prioriterade fågelarter.docx", "A 46800-2025")</f>
        <v/>
      </c>
    </row>
    <row r="7800" ht="15" customHeight="1">
      <c r="A7800" t="inlineStr">
        <is>
          <t>A 11003-2026</t>
        </is>
      </c>
      <c r="B7800" t="inlineStr">
        <is>
          <t>avverkningsanmälan</t>
        </is>
      </c>
      <c r="C7800" t="inlineStr">
        <is>
          <t>Föryngringsavverkning</t>
        </is>
      </c>
      <c r="D7800" s="1" t="n">
        <v>46079</v>
      </c>
      <c r="E7800" s="1" t="n">
        <v>46319</v>
      </c>
      <c r="F7800" t="inlineStr">
        <is>
          <t>DALARNAS LÄN</t>
        </is>
      </c>
      <c r="G7800" t="inlineStr">
        <is>
          <t>RÄTTVIK</t>
        </is>
      </c>
      <c r="I7800" t="n">
        <v>2.6</v>
      </c>
      <c r="J7800" t="n">
        <v>0</v>
      </c>
      <c r="K7800" t="n">
        <v>0</v>
      </c>
      <c r="L7800" t="n">
        <v>0</v>
      </c>
      <c r="M7800" t="n">
        <v>0</v>
      </c>
      <c r="N7800" t="n">
        <v>0</v>
      </c>
      <c r="O7800" t="n">
        <v>0</v>
      </c>
      <c r="P7800" t="n">
        <v>0</v>
      </c>
      <c r="Q7800" t="n">
        <v>0</v>
      </c>
      <c r="R7800" t="n">
        <v>0</v>
      </c>
      <c r="S7800" t="n">
        <v>0</v>
      </c>
      <c r="T7800" t="n">
        <v>0</v>
      </c>
      <c r="U7800" t="n">
        <v>0</v>
      </c>
      <c r="V7800" s="2" t="inlineStr"/>
    </row>
    <row r="7801" ht="15" customHeight="1">
      <c r="A7801" t="inlineStr">
        <is>
          <t>A 6613-2026</t>
        </is>
      </c>
      <c r="B7801" t="inlineStr">
        <is>
          <t>avverkningsanmälan</t>
        </is>
      </c>
      <c r="C7801" t="inlineStr">
        <is>
          <t>Föryngringsavverkning</t>
        </is>
      </c>
      <c r="D7801" s="1" t="n">
        <v>46056</v>
      </c>
      <c r="E7801" s="1" t="n">
        <v>46319</v>
      </c>
      <c r="F7801" t="inlineStr">
        <is>
          <t>DALARNAS LÄN</t>
        </is>
      </c>
      <c r="G7801" t="inlineStr">
        <is>
          <t>FALUN</t>
        </is>
      </c>
      <c r="I7801" t="n">
        <v>4.9</v>
      </c>
      <c r="J7801" t="n">
        <v>0</v>
      </c>
      <c r="K7801" t="n">
        <v>0</v>
      </c>
      <c r="L7801" t="n">
        <v>0</v>
      </c>
      <c r="M7801" t="n">
        <v>0</v>
      </c>
      <c r="N7801" t="n">
        <v>0</v>
      </c>
      <c r="O7801" t="n">
        <v>0</v>
      </c>
      <c r="P7801" t="n">
        <v>0</v>
      </c>
      <c r="Q7801" t="n">
        <v>0</v>
      </c>
      <c r="R7801" t="n">
        <v>0</v>
      </c>
      <c r="S7801" t="n">
        <v>0</v>
      </c>
      <c r="T7801" t="n">
        <v>0</v>
      </c>
      <c r="U7801" t="n">
        <v>0</v>
      </c>
      <c r="V7801" s="2" t="inlineStr"/>
    </row>
    <row r="7802" ht="15" customHeight="1">
      <c r="A7802" t="inlineStr">
        <is>
          <t>A 545-2026</t>
        </is>
      </c>
      <c r="B7802" t="inlineStr">
        <is>
          <t>avverkningsanmälan</t>
        </is>
      </c>
      <c r="C7802" t="inlineStr">
        <is>
          <t>Föryngringsavverkning</t>
        </is>
      </c>
      <c r="D7802" s="1" t="n">
        <v>46029</v>
      </c>
      <c r="E7802" s="1" t="n">
        <v>46319</v>
      </c>
      <c r="F7802" t="inlineStr">
        <is>
          <t>DALARNAS LÄN</t>
        </is>
      </c>
      <c r="G7802" t="inlineStr">
        <is>
          <t>MALUNG-SÄLEN</t>
        </is>
      </c>
      <c r="H7802" t="inlineStr">
        <is>
          <t>Allmännings- och besparingsskogar</t>
        </is>
      </c>
      <c r="I7802" t="n">
        <v>49.4</v>
      </c>
      <c r="J7802" t="n">
        <v>0</v>
      </c>
      <c r="K7802" t="n">
        <v>0</v>
      </c>
      <c r="L7802" t="n">
        <v>0</v>
      </c>
      <c r="M7802" t="n">
        <v>0</v>
      </c>
      <c r="N7802" t="n">
        <v>0</v>
      </c>
      <c r="O7802" t="n">
        <v>0</v>
      </c>
      <c r="P7802" t="n">
        <v>0</v>
      </c>
      <c r="Q7802" t="n">
        <v>0</v>
      </c>
      <c r="R7802" t="n">
        <v>0</v>
      </c>
      <c r="S7802" t="n">
        <v>0</v>
      </c>
      <c r="T7802" t="n">
        <v>0</v>
      </c>
      <c r="U7802" t="n">
        <v>0</v>
      </c>
      <c r="V7802" s="2" t="inlineStr"/>
    </row>
    <row r="7803" ht="15" customHeight="1">
      <c r="A7803" t="inlineStr">
        <is>
          <t>A 54219-2025</t>
        </is>
      </c>
      <c r="B7803" t="inlineStr">
        <is>
          <t>avverkningsanmälan</t>
        </is>
      </c>
      <c r="C7803" t="inlineStr">
        <is>
          <t>Föryngringsavverkning</t>
        </is>
      </c>
      <c r="D7803" s="1" t="n">
        <v>45964</v>
      </c>
      <c r="E7803" s="1" t="n">
        <v>46319</v>
      </c>
      <c r="F7803" t="inlineStr">
        <is>
          <t>DALARNAS LÄN</t>
        </is>
      </c>
      <c r="G7803" t="inlineStr">
        <is>
          <t>ÄLVDALEN</t>
        </is>
      </c>
      <c r="I7803" t="n">
        <v>11.5</v>
      </c>
      <c r="J7803" t="n">
        <v>0</v>
      </c>
      <c r="K7803" t="n">
        <v>0</v>
      </c>
      <c r="L7803" t="n">
        <v>0</v>
      </c>
      <c r="M7803" t="n">
        <v>0</v>
      </c>
      <c r="N7803" t="n">
        <v>0</v>
      </c>
      <c r="O7803" t="n">
        <v>0</v>
      </c>
      <c r="P7803" t="n">
        <v>0</v>
      </c>
      <c r="Q7803" t="n">
        <v>0</v>
      </c>
      <c r="R7803" t="n">
        <v>0</v>
      </c>
      <c r="S7803" t="n">
        <v>0</v>
      </c>
      <c r="T7803" t="n">
        <v>0</v>
      </c>
      <c r="U7803" t="n">
        <v>0</v>
      </c>
      <c r="V7803" s="2" t="inlineStr"/>
    </row>
    <row r="7804" ht="15" customHeight="1">
      <c r="A7804" t="inlineStr">
        <is>
          <t>A 37852-2024</t>
        </is>
      </c>
      <c r="B7804" t="inlineStr">
        <is>
          <t>avverkningsanmälan</t>
        </is>
      </c>
      <c r="C7804" t="inlineStr">
        <is>
          <t>Föryngringsavverkning</t>
        </is>
      </c>
      <c r="D7804" s="1" t="n">
        <v>45544</v>
      </c>
      <c r="E7804" s="1" t="n">
        <v>46319</v>
      </c>
      <c r="F7804" t="inlineStr">
        <is>
          <t>DALARNAS LÄN</t>
        </is>
      </c>
      <c r="G7804" t="inlineStr">
        <is>
          <t>ORSA</t>
        </is>
      </c>
      <c r="I7804" t="n">
        <v>0.7</v>
      </c>
      <c r="J7804" t="n">
        <v>0</v>
      </c>
      <c r="K7804" t="n">
        <v>0</v>
      </c>
      <c r="L7804" t="n">
        <v>0</v>
      </c>
      <c r="M7804" t="n">
        <v>0</v>
      </c>
      <c r="N7804" t="n">
        <v>0</v>
      </c>
      <c r="O7804" t="n">
        <v>0</v>
      </c>
      <c r="P7804" t="n">
        <v>0</v>
      </c>
      <c r="Q7804" t="n">
        <v>0</v>
      </c>
      <c r="R7804" t="n">
        <v>0</v>
      </c>
      <c r="S7804" t="n">
        <v>0</v>
      </c>
      <c r="T7804" t="n">
        <v>0</v>
      </c>
      <c r="U7804" t="n">
        <v>0</v>
      </c>
      <c r="V7804" s="2" t="inlineStr"/>
    </row>
    <row r="7805" ht="15" customHeight="1">
      <c r="A7805" t="inlineStr">
        <is>
          <t>A 37384-2026</t>
        </is>
      </c>
      <c r="B7805" t="inlineStr">
        <is>
          <t>avverkningsanmälan</t>
        </is>
      </c>
      <c r="C7805" t="inlineStr">
        <is>
          <t>Föryngringsavverkning</t>
        </is>
      </c>
      <c r="D7805" s="1" t="n">
        <v>46275</v>
      </c>
      <c r="E7805" s="1" t="n">
        <v>46319</v>
      </c>
      <c r="F7805" t="inlineStr">
        <is>
          <t>DALARNAS LÄN</t>
        </is>
      </c>
      <c r="G7805" t="inlineStr">
        <is>
          <t>AVESTA</t>
        </is>
      </c>
      <c r="I7805" t="n">
        <v>2.3</v>
      </c>
      <c r="J7805" t="n">
        <v>0</v>
      </c>
      <c r="K7805" t="n">
        <v>0</v>
      </c>
      <c r="L7805" t="n">
        <v>0</v>
      </c>
      <c r="M7805" t="n">
        <v>0</v>
      </c>
      <c r="N7805" t="n">
        <v>0</v>
      </c>
      <c r="O7805" t="n">
        <v>0</v>
      </c>
      <c r="P7805" t="n">
        <v>0</v>
      </c>
      <c r="Q7805" t="n">
        <v>0</v>
      </c>
      <c r="R7805" t="n">
        <v>0</v>
      </c>
      <c r="S7805" t="n">
        <v>0</v>
      </c>
      <c r="T7805" t="n">
        <v>0</v>
      </c>
      <c r="U7805" t="n">
        <v>0</v>
      </c>
      <c r="V7805" s="2" t="inlineStr"/>
    </row>
    <row r="7806" ht="15" customHeight="1">
      <c r="A7806" t="inlineStr">
        <is>
          <t>A 21185-2026</t>
        </is>
      </c>
      <c r="B7806" t="inlineStr">
        <is>
          <t>avverkningsanmälan</t>
        </is>
      </c>
      <c r="C7806" t="inlineStr">
        <is>
          <t>Föryngringsavverkning</t>
        </is>
      </c>
      <c r="D7806" s="1" t="n">
        <v>46146</v>
      </c>
      <c r="E7806" s="1" t="n">
        <v>46319</v>
      </c>
      <c r="F7806" t="inlineStr">
        <is>
          <t>DALARNAS LÄN</t>
        </is>
      </c>
      <c r="G7806" t="inlineStr">
        <is>
          <t>RÄTTVIK</t>
        </is>
      </c>
      <c r="I7806" t="n">
        <v>0.6</v>
      </c>
      <c r="J7806" t="n">
        <v>0</v>
      </c>
      <c r="K7806" t="n">
        <v>0</v>
      </c>
      <c r="L7806" t="n">
        <v>0</v>
      </c>
      <c r="M7806" t="n">
        <v>0</v>
      </c>
      <c r="N7806" t="n">
        <v>0</v>
      </c>
      <c r="O7806" t="n">
        <v>0</v>
      </c>
      <c r="P7806" t="n">
        <v>0</v>
      </c>
      <c r="Q7806" t="n">
        <v>0</v>
      </c>
      <c r="R7806" t="n">
        <v>0</v>
      </c>
      <c r="S7806" t="n">
        <v>0</v>
      </c>
      <c r="T7806" t="n">
        <v>0</v>
      </c>
      <c r="U7806" t="n">
        <v>0</v>
      </c>
      <c r="V7806" s="2" t="inlineStr"/>
    </row>
    <row r="7807" ht="15" customHeight="1">
      <c r="A7807" t="inlineStr">
        <is>
          <t>A 6455-2026</t>
        </is>
      </c>
      <c r="B7807" t="inlineStr">
        <is>
          <t>avverkningsanmälan</t>
        </is>
      </c>
      <c r="C7807" t="inlineStr">
        <is>
          <t>Föryngringsavverkning</t>
        </is>
      </c>
      <c r="D7807" s="1" t="n">
        <v>46055</v>
      </c>
      <c r="E7807" s="1" t="n">
        <v>46319</v>
      </c>
      <c r="F7807" t="inlineStr">
        <is>
          <t>DALARNAS LÄN</t>
        </is>
      </c>
      <c r="G7807" t="inlineStr">
        <is>
          <t>FALUN</t>
        </is>
      </c>
      <c r="I7807" t="n">
        <v>4.2</v>
      </c>
      <c r="J7807" t="n">
        <v>0</v>
      </c>
      <c r="K7807" t="n">
        <v>0</v>
      </c>
      <c r="L7807" t="n">
        <v>0</v>
      </c>
      <c r="M7807" t="n">
        <v>0</v>
      </c>
      <c r="N7807" t="n">
        <v>0</v>
      </c>
      <c r="O7807" t="n">
        <v>0</v>
      </c>
      <c r="P7807" t="n">
        <v>0</v>
      </c>
      <c r="Q7807" t="n">
        <v>0</v>
      </c>
      <c r="R7807" t="n">
        <v>0</v>
      </c>
      <c r="S7807" t="n">
        <v>0</v>
      </c>
      <c r="T7807" t="n">
        <v>0</v>
      </c>
      <c r="U7807" t="n">
        <v>0</v>
      </c>
      <c r="V7807" s="2" t="inlineStr"/>
    </row>
    <row r="7808" ht="15" customHeight="1">
      <c r="A7808" t="inlineStr">
        <is>
          <t>A 21414-2026</t>
        </is>
      </c>
      <c r="B7808" t="inlineStr">
        <is>
          <t>avverkningsanmälan</t>
        </is>
      </c>
      <c r="C7808" t="inlineStr">
        <is>
          <t>Föryngringsavverkning</t>
        </is>
      </c>
      <c r="D7808" s="1" t="n">
        <v>46148</v>
      </c>
      <c r="E7808" s="1" t="n">
        <v>46319</v>
      </c>
      <c r="F7808" t="inlineStr">
        <is>
          <t>DALARNAS LÄN</t>
        </is>
      </c>
      <c r="G7808" t="inlineStr">
        <is>
          <t>FALUN</t>
        </is>
      </c>
      <c r="I7808" t="n">
        <v>4.6</v>
      </c>
      <c r="J7808" t="n">
        <v>0</v>
      </c>
      <c r="K7808" t="n">
        <v>0</v>
      </c>
      <c r="L7808" t="n">
        <v>0</v>
      </c>
      <c r="M7808" t="n">
        <v>0</v>
      </c>
      <c r="N7808" t="n">
        <v>0</v>
      </c>
      <c r="O7808" t="n">
        <v>0</v>
      </c>
      <c r="P7808" t="n">
        <v>0</v>
      </c>
      <c r="Q7808" t="n">
        <v>0</v>
      </c>
      <c r="R7808" t="n">
        <v>0</v>
      </c>
      <c r="S7808" t="n">
        <v>0</v>
      </c>
      <c r="T7808" t="n">
        <v>0</v>
      </c>
      <c r="U7808" t="n">
        <v>0</v>
      </c>
      <c r="V7808" s="2" t="inlineStr"/>
    </row>
    <row r="7809" ht="15" customHeight="1">
      <c r="A7809" t="inlineStr">
        <is>
          <t>A 45377-2024</t>
        </is>
      </c>
      <c r="B7809" t="inlineStr">
        <is>
          <t>avverkningsanmälan</t>
        </is>
      </c>
      <c r="C7809" t="inlineStr">
        <is>
          <t>Föryngringsavverkning</t>
        </is>
      </c>
      <c r="D7809" s="1" t="n">
        <v>45576</v>
      </c>
      <c r="E7809" s="1" t="n">
        <v>46319</v>
      </c>
      <c r="F7809" t="inlineStr">
        <is>
          <t>DALARNAS LÄN</t>
        </is>
      </c>
      <c r="G7809" t="inlineStr">
        <is>
          <t>HEDEMORA</t>
        </is>
      </c>
      <c r="I7809" t="n">
        <v>1.4</v>
      </c>
      <c r="J7809" t="n">
        <v>0</v>
      </c>
      <c r="K7809" t="n">
        <v>0</v>
      </c>
      <c r="L7809" t="n">
        <v>0</v>
      </c>
      <c r="M7809" t="n">
        <v>0</v>
      </c>
      <c r="N7809" t="n">
        <v>0</v>
      </c>
      <c r="O7809" t="n">
        <v>0</v>
      </c>
      <c r="P7809" t="n">
        <v>0</v>
      </c>
      <c r="Q7809" t="n">
        <v>0</v>
      </c>
      <c r="R7809" t="n">
        <v>0</v>
      </c>
      <c r="S7809" t="n">
        <v>0</v>
      </c>
      <c r="T7809" t="n">
        <v>0</v>
      </c>
      <c r="U7809" t="n">
        <v>0</v>
      </c>
      <c r="V7809" s="2" t="inlineStr"/>
    </row>
    <row r="7810" ht="15" customHeight="1">
      <c r="A7810" t="inlineStr">
        <is>
          <t>A 20504-2023</t>
        </is>
      </c>
      <c r="B7810" t="inlineStr">
        <is>
          <t>avverkningsanmälan</t>
        </is>
      </c>
      <c r="C7810" t="inlineStr">
        <is>
          <t>Föryngringsavverkning</t>
        </is>
      </c>
      <c r="D7810" s="1" t="n">
        <v>45057</v>
      </c>
      <c r="E7810" s="1" t="n">
        <v>46319</v>
      </c>
      <c r="F7810" t="inlineStr">
        <is>
          <t>DALARNAS LÄN</t>
        </is>
      </c>
      <c r="G7810" t="inlineStr">
        <is>
          <t>MORA</t>
        </is>
      </c>
      <c r="H7810" t="inlineStr">
        <is>
          <t>Bergvik skog väst AB</t>
        </is>
      </c>
      <c r="I7810" t="n">
        <v>1.2</v>
      </c>
      <c r="J7810" t="n">
        <v>0</v>
      </c>
      <c r="K7810" t="n">
        <v>0</v>
      </c>
      <c r="L7810" t="n">
        <v>0</v>
      </c>
      <c r="M7810" t="n">
        <v>0</v>
      </c>
      <c r="N7810" t="n">
        <v>0</v>
      </c>
      <c r="O7810" t="n">
        <v>0</v>
      </c>
      <c r="P7810" t="n">
        <v>0</v>
      </c>
      <c r="Q7810" t="n">
        <v>0</v>
      </c>
      <c r="R7810" t="n">
        <v>0</v>
      </c>
      <c r="S7810" t="n">
        <v>0</v>
      </c>
      <c r="T7810" t="n">
        <v>0</v>
      </c>
      <c r="U7810" t="n">
        <v>0</v>
      </c>
      <c r="V7810" s="2" t="inlineStr"/>
    </row>
    <row r="7811" ht="15" customHeight="1">
      <c r="A7811" t="inlineStr">
        <is>
          <t>A 21412-2026</t>
        </is>
      </c>
      <c r="B7811" t="inlineStr">
        <is>
          <t>avverkningsanmälan</t>
        </is>
      </c>
      <c r="C7811" t="inlineStr">
        <is>
          <t>Föryngringsavverkning</t>
        </is>
      </c>
      <c r="D7811" s="1" t="n">
        <v>46148</v>
      </c>
      <c r="E7811" s="1" t="n">
        <v>46319</v>
      </c>
      <c r="F7811" t="inlineStr">
        <is>
          <t>DALARNAS LÄN</t>
        </is>
      </c>
      <c r="G7811" t="inlineStr">
        <is>
          <t>ÄLVDALEN</t>
        </is>
      </c>
      <c r="I7811" t="n">
        <v>4.1</v>
      </c>
      <c r="J7811" t="n">
        <v>0</v>
      </c>
      <c r="K7811" t="n">
        <v>0</v>
      </c>
      <c r="L7811" t="n">
        <v>0</v>
      </c>
      <c r="M7811" t="n">
        <v>0</v>
      </c>
      <c r="N7811" t="n">
        <v>0</v>
      </c>
      <c r="O7811" t="n">
        <v>0</v>
      </c>
      <c r="P7811" t="n">
        <v>0</v>
      </c>
      <c r="Q7811" t="n">
        <v>0</v>
      </c>
      <c r="R7811" t="n">
        <v>0</v>
      </c>
      <c r="S7811" t="n">
        <v>0</v>
      </c>
      <c r="T7811" t="n">
        <v>0</v>
      </c>
      <c r="U7811" t="n">
        <v>0</v>
      </c>
      <c r="V7811" s="2" t="inlineStr"/>
    </row>
    <row r="7812" ht="15" customHeight="1">
      <c r="A7812" t="inlineStr">
        <is>
          <t>A 21415-2026</t>
        </is>
      </c>
      <c r="B7812" t="inlineStr">
        <is>
          <t>avverkningsanmälan</t>
        </is>
      </c>
      <c r="C7812" t="inlineStr">
        <is>
          <t>Föryngringsavverkning</t>
        </is>
      </c>
      <c r="D7812" s="1" t="n">
        <v>46148</v>
      </c>
      <c r="E7812" s="1" t="n">
        <v>46319</v>
      </c>
      <c r="F7812" t="inlineStr">
        <is>
          <t>DALARNAS LÄN</t>
        </is>
      </c>
      <c r="G7812" t="inlineStr">
        <is>
          <t>FALUN</t>
        </is>
      </c>
      <c r="I7812" t="n">
        <v>0.6</v>
      </c>
      <c r="J7812" t="n">
        <v>0</v>
      </c>
      <c r="K7812" t="n">
        <v>0</v>
      </c>
      <c r="L7812" t="n">
        <v>0</v>
      </c>
      <c r="M7812" t="n">
        <v>0</v>
      </c>
      <c r="N7812" t="n">
        <v>0</v>
      </c>
      <c r="O7812" t="n">
        <v>0</v>
      </c>
      <c r="P7812" t="n">
        <v>0</v>
      </c>
      <c r="Q7812" t="n">
        <v>0</v>
      </c>
      <c r="R7812" t="n">
        <v>0</v>
      </c>
      <c r="S7812" t="n">
        <v>0</v>
      </c>
      <c r="T7812" t="n">
        <v>0</v>
      </c>
      <c r="U7812" t="n">
        <v>0</v>
      </c>
      <c r="V7812" s="2" t="inlineStr"/>
    </row>
    <row r="7813" ht="15" customHeight="1">
      <c r="A7813" t="inlineStr">
        <is>
          <t>A 21433-2026</t>
        </is>
      </c>
      <c r="B7813" t="inlineStr">
        <is>
          <t>avverkningsanmälan</t>
        </is>
      </c>
      <c r="C7813" t="inlineStr">
        <is>
          <t>Föryngringsavverkning</t>
        </is>
      </c>
      <c r="D7813" s="1" t="n">
        <v>46148</v>
      </c>
      <c r="E7813" s="1" t="n">
        <v>46319</v>
      </c>
      <c r="F7813" t="inlineStr">
        <is>
          <t>DALARNAS LÄN</t>
        </is>
      </c>
      <c r="G7813" t="inlineStr">
        <is>
          <t>ÄLVDALEN</t>
        </is>
      </c>
      <c r="I7813" t="n">
        <v>0.7</v>
      </c>
      <c r="J7813" t="n">
        <v>0</v>
      </c>
      <c r="K7813" t="n">
        <v>0</v>
      </c>
      <c r="L7813" t="n">
        <v>0</v>
      </c>
      <c r="M7813" t="n">
        <v>0</v>
      </c>
      <c r="N7813" t="n">
        <v>0</v>
      </c>
      <c r="O7813" t="n">
        <v>0</v>
      </c>
      <c r="P7813" t="n">
        <v>0</v>
      </c>
      <c r="Q7813" t="n">
        <v>0</v>
      </c>
      <c r="R7813" t="n">
        <v>0</v>
      </c>
      <c r="S7813" t="n">
        <v>0</v>
      </c>
      <c r="T7813" t="n">
        <v>0</v>
      </c>
      <c r="U7813" t="n">
        <v>0</v>
      </c>
      <c r="V7813" s="2" t="inlineStr"/>
    </row>
    <row r="7814" ht="15" customHeight="1">
      <c r="A7814" t="inlineStr">
        <is>
          <t>A 21456-2026</t>
        </is>
      </c>
      <c r="B7814" t="inlineStr">
        <is>
          <t>avverkningsanmälan</t>
        </is>
      </c>
      <c r="C7814" t="inlineStr">
        <is>
          <t>Föryngringsavverkning</t>
        </is>
      </c>
      <c r="D7814" s="1" t="n">
        <v>46148</v>
      </c>
      <c r="E7814" s="1" t="n">
        <v>46319</v>
      </c>
      <c r="F7814" t="inlineStr">
        <is>
          <t>DALARNAS LÄN</t>
        </is>
      </c>
      <c r="G7814" t="inlineStr">
        <is>
          <t>ÄLVDALEN</t>
        </is>
      </c>
      <c r="I7814" t="n">
        <v>1.2</v>
      </c>
      <c r="J7814" t="n">
        <v>0</v>
      </c>
      <c r="K7814" t="n">
        <v>0</v>
      </c>
      <c r="L7814" t="n">
        <v>0</v>
      </c>
      <c r="M7814" t="n">
        <v>0</v>
      </c>
      <c r="N7814" t="n">
        <v>0</v>
      </c>
      <c r="O7814" t="n">
        <v>0</v>
      </c>
      <c r="P7814" t="n">
        <v>0</v>
      </c>
      <c r="Q7814" t="n">
        <v>0</v>
      </c>
      <c r="R7814" t="n">
        <v>0</v>
      </c>
      <c r="S7814" t="n">
        <v>0</v>
      </c>
      <c r="T7814" t="n">
        <v>0</v>
      </c>
      <c r="U7814" t="n">
        <v>0</v>
      </c>
      <c r="V7814" s="2" t="inlineStr"/>
    </row>
    <row r="7815" ht="15" customHeight="1">
      <c r="A7815" t="inlineStr">
        <is>
          <t>A 21472-2026</t>
        </is>
      </c>
      <c r="B7815" t="inlineStr">
        <is>
          <t>avverkningsanmälan</t>
        </is>
      </c>
      <c r="C7815" t="inlineStr">
        <is>
          <t>Föryngringsavverkning</t>
        </is>
      </c>
      <c r="D7815" s="1" t="n">
        <v>46148</v>
      </c>
      <c r="E7815" s="1" t="n">
        <v>46319</v>
      </c>
      <c r="F7815" t="inlineStr">
        <is>
          <t>DALARNAS LÄN</t>
        </is>
      </c>
      <c r="G7815" t="inlineStr">
        <is>
          <t>LUDVIKA</t>
        </is>
      </c>
      <c r="H7815" t="inlineStr">
        <is>
          <t>Bergvik skog väst AB</t>
        </is>
      </c>
      <c r="I7815" t="n">
        <v>1.7</v>
      </c>
      <c r="J7815" t="n">
        <v>0</v>
      </c>
      <c r="K7815" t="n">
        <v>0</v>
      </c>
      <c r="L7815" t="n">
        <v>0</v>
      </c>
      <c r="M7815" t="n">
        <v>0</v>
      </c>
      <c r="N7815" t="n">
        <v>0</v>
      </c>
      <c r="O7815" t="n">
        <v>0</v>
      </c>
      <c r="P7815" t="n">
        <v>0</v>
      </c>
      <c r="Q7815" t="n">
        <v>0</v>
      </c>
      <c r="R7815" t="n">
        <v>0</v>
      </c>
      <c r="S7815" t="n">
        <v>0</v>
      </c>
      <c r="T7815" t="n">
        <v>0</v>
      </c>
      <c r="U7815" t="n">
        <v>0</v>
      </c>
      <c r="V7815" s="2" t="inlineStr"/>
    </row>
    <row r="7816" ht="15" customHeight="1">
      <c r="A7816" t="inlineStr">
        <is>
          <t>A 21497-2026</t>
        </is>
      </c>
      <c r="B7816" t="inlineStr">
        <is>
          <t>avverkningsanmälan</t>
        </is>
      </c>
      <c r="C7816" t="inlineStr">
        <is>
          <t>Föryngringsavverkning</t>
        </is>
      </c>
      <c r="D7816" s="1" t="n">
        <v>46148</v>
      </c>
      <c r="E7816" s="1" t="n">
        <v>46319</v>
      </c>
      <c r="F7816" t="inlineStr">
        <is>
          <t>DALARNAS LÄN</t>
        </is>
      </c>
      <c r="G7816" t="inlineStr">
        <is>
          <t>RÄTTVIK</t>
        </is>
      </c>
      <c r="H7816" t="inlineStr">
        <is>
          <t>Bergvik skog väst AB</t>
        </is>
      </c>
      <c r="I7816" t="n">
        <v>0.6</v>
      </c>
      <c r="J7816" t="n">
        <v>0</v>
      </c>
      <c r="K7816" t="n">
        <v>0</v>
      </c>
      <c r="L7816" t="n">
        <v>0</v>
      </c>
      <c r="M7816" t="n">
        <v>0</v>
      </c>
      <c r="N7816" t="n">
        <v>0</v>
      </c>
      <c r="O7816" t="n">
        <v>0</v>
      </c>
      <c r="P7816" t="n">
        <v>0</v>
      </c>
      <c r="Q7816" t="n">
        <v>0</v>
      </c>
      <c r="R7816" t="n">
        <v>0</v>
      </c>
      <c r="S7816" t="n">
        <v>0</v>
      </c>
      <c r="T7816" t="n">
        <v>0</v>
      </c>
      <c r="U7816" t="n">
        <v>0</v>
      </c>
      <c r="V7816" s="2" t="inlineStr"/>
    </row>
    <row r="7817" ht="15" customHeight="1">
      <c r="A7817" t="inlineStr">
        <is>
          <t>A 21499-2026</t>
        </is>
      </c>
      <c r="B7817" t="inlineStr">
        <is>
          <t>avverkningsanmälan</t>
        </is>
      </c>
      <c r="C7817" t="inlineStr">
        <is>
          <t>Föryngringsavverkning</t>
        </is>
      </c>
      <c r="D7817" s="1" t="n">
        <v>46148</v>
      </c>
      <c r="E7817" s="1" t="n">
        <v>46319</v>
      </c>
      <c r="F7817" t="inlineStr">
        <is>
          <t>DALARNAS LÄN</t>
        </is>
      </c>
      <c r="G7817" t="inlineStr">
        <is>
          <t>MORA</t>
        </is>
      </c>
      <c r="H7817" t="inlineStr">
        <is>
          <t>Bergvik skog öst AB</t>
        </is>
      </c>
      <c r="I7817" t="n">
        <v>1.8</v>
      </c>
      <c r="J7817" t="n">
        <v>0</v>
      </c>
      <c r="K7817" t="n">
        <v>0</v>
      </c>
      <c r="L7817" t="n">
        <v>0</v>
      </c>
      <c r="M7817" t="n">
        <v>0</v>
      </c>
      <c r="N7817" t="n">
        <v>0</v>
      </c>
      <c r="O7817" t="n">
        <v>0</v>
      </c>
      <c r="P7817" t="n">
        <v>0</v>
      </c>
      <c r="Q7817" t="n">
        <v>0</v>
      </c>
      <c r="R7817" t="n">
        <v>0</v>
      </c>
      <c r="S7817" t="n">
        <v>0</v>
      </c>
      <c r="T7817" t="n">
        <v>0</v>
      </c>
      <c r="U7817" t="n">
        <v>0</v>
      </c>
      <c r="V7817" s="2" t="inlineStr"/>
    </row>
    <row r="7818" ht="15" customHeight="1">
      <c r="A7818" t="inlineStr">
        <is>
          <t>A 21506-2026</t>
        </is>
      </c>
      <c r="B7818" t="inlineStr">
        <is>
          <t>avverkningsanmälan</t>
        </is>
      </c>
      <c r="C7818" t="inlineStr">
        <is>
          <t>Föryngringsavverkning</t>
        </is>
      </c>
      <c r="D7818" s="1" t="n">
        <v>46148</v>
      </c>
      <c r="E7818" s="1" t="n">
        <v>46319</v>
      </c>
      <c r="F7818" t="inlineStr">
        <is>
          <t>DALARNAS LÄN</t>
        </is>
      </c>
      <c r="G7818" t="inlineStr">
        <is>
          <t>MORA</t>
        </is>
      </c>
      <c r="H7818" t="inlineStr">
        <is>
          <t>Bergvik skog öst AB</t>
        </is>
      </c>
      <c r="I7818" t="n">
        <v>4.7</v>
      </c>
      <c r="J7818" t="n">
        <v>0</v>
      </c>
      <c r="K7818" t="n">
        <v>0</v>
      </c>
      <c r="L7818" t="n">
        <v>0</v>
      </c>
      <c r="M7818" t="n">
        <v>0</v>
      </c>
      <c r="N7818" t="n">
        <v>0</v>
      </c>
      <c r="O7818" t="n">
        <v>0</v>
      </c>
      <c r="P7818" t="n">
        <v>0</v>
      </c>
      <c r="Q7818" t="n">
        <v>0</v>
      </c>
      <c r="R7818" t="n">
        <v>0</v>
      </c>
      <c r="S7818" t="n">
        <v>0</v>
      </c>
      <c r="T7818" t="n">
        <v>0</v>
      </c>
      <c r="U7818" t="n">
        <v>0</v>
      </c>
      <c r="V7818" s="2" t="inlineStr"/>
    </row>
    <row r="7819" ht="15" customHeight="1">
      <c r="A7819" t="inlineStr">
        <is>
          <t>A 44595-2024</t>
        </is>
      </c>
      <c r="B7819" t="inlineStr">
        <is>
          <t>avverkningsanmälan</t>
        </is>
      </c>
      <c r="C7819" t="inlineStr">
        <is>
          <t>Föryngringsavverkning</t>
        </is>
      </c>
      <c r="D7819" s="1" t="n">
        <v>45574</v>
      </c>
      <c r="E7819" s="1" t="n">
        <v>46319</v>
      </c>
      <c r="F7819" t="inlineStr">
        <is>
          <t>DALARNAS LÄN</t>
        </is>
      </c>
      <c r="G7819" t="inlineStr">
        <is>
          <t>MORA</t>
        </is>
      </c>
      <c r="I7819" t="n">
        <v>0.8</v>
      </c>
      <c r="J7819" t="n">
        <v>0</v>
      </c>
      <c r="K7819" t="n">
        <v>0</v>
      </c>
      <c r="L7819" t="n">
        <v>0</v>
      </c>
      <c r="M7819" t="n">
        <v>0</v>
      </c>
      <c r="N7819" t="n">
        <v>0</v>
      </c>
      <c r="O7819" t="n">
        <v>0</v>
      </c>
      <c r="P7819" t="n">
        <v>0</v>
      </c>
      <c r="Q7819" t="n">
        <v>0</v>
      </c>
      <c r="R7819" t="n">
        <v>0</v>
      </c>
      <c r="S7819" t="n">
        <v>0</v>
      </c>
      <c r="T7819" t="n">
        <v>0</v>
      </c>
      <c r="U7819" t="n">
        <v>0</v>
      </c>
      <c r="V7819" s="2" t="inlineStr"/>
    </row>
    <row r="7820" ht="15" customHeight="1">
      <c r="A7820" t="inlineStr">
        <is>
          <t>A 8552-2023</t>
        </is>
      </c>
      <c r="B7820" t="inlineStr">
        <is>
          <t>avverkningsanmälan</t>
        </is>
      </c>
      <c r="C7820" t="inlineStr">
        <is>
          <t>Föryngringsavverkning</t>
        </is>
      </c>
      <c r="D7820" s="1" t="n">
        <v>44977</v>
      </c>
      <c r="E7820" s="1" t="n">
        <v>46319</v>
      </c>
      <c r="F7820" t="inlineStr">
        <is>
          <t>DALARNAS LÄN</t>
        </is>
      </c>
      <c r="G7820" t="inlineStr">
        <is>
          <t>RÄTTVIK</t>
        </is>
      </c>
      <c r="I7820" t="n">
        <v>2.4</v>
      </c>
      <c r="J7820" t="n">
        <v>0</v>
      </c>
      <c r="K7820" t="n">
        <v>0</v>
      </c>
      <c r="L7820" t="n">
        <v>0</v>
      </c>
      <c r="M7820" t="n">
        <v>0</v>
      </c>
      <c r="N7820" t="n">
        <v>0</v>
      </c>
      <c r="O7820" t="n">
        <v>0</v>
      </c>
      <c r="P7820" t="n">
        <v>0</v>
      </c>
      <c r="Q7820" t="n">
        <v>0</v>
      </c>
      <c r="R7820" t="n">
        <v>0</v>
      </c>
      <c r="S7820" t="n">
        <v>0</v>
      </c>
      <c r="T7820" t="n">
        <v>0</v>
      </c>
      <c r="U7820" t="n">
        <v>0</v>
      </c>
      <c r="V7820" s="2" t="inlineStr"/>
    </row>
    <row r="7821" ht="15" customHeight="1">
      <c r="A7821" t="inlineStr">
        <is>
          <t>A 21441-2026</t>
        </is>
      </c>
      <c r="B7821" t="inlineStr">
        <is>
          <t>avverkningsanmälan</t>
        </is>
      </c>
      <c r="C7821" t="inlineStr">
        <is>
          <t>Föryngringsavverkning</t>
        </is>
      </c>
      <c r="D7821" s="1" t="n">
        <v>46148</v>
      </c>
      <c r="E7821" s="1" t="n">
        <v>46319</v>
      </c>
      <c r="F7821" t="inlineStr">
        <is>
          <t>DALARNAS LÄN</t>
        </is>
      </c>
      <c r="G7821" t="inlineStr">
        <is>
          <t>FALUN</t>
        </is>
      </c>
      <c r="I7821" t="n">
        <v>1.7</v>
      </c>
      <c r="J7821" t="n">
        <v>0</v>
      </c>
      <c r="K7821" t="n">
        <v>0</v>
      </c>
      <c r="L7821" t="n">
        <v>0</v>
      </c>
      <c r="M7821" t="n">
        <v>0</v>
      </c>
      <c r="N7821" t="n">
        <v>0</v>
      </c>
      <c r="O7821" t="n">
        <v>0</v>
      </c>
      <c r="P7821" t="n">
        <v>0</v>
      </c>
      <c r="Q7821" t="n">
        <v>0</v>
      </c>
      <c r="R7821" t="n">
        <v>0</v>
      </c>
      <c r="S7821" t="n">
        <v>0</v>
      </c>
      <c r="T7821" t="n">
        <v>0</v>
      </c>
      <c r="U7821" t="n">
        <v>0</v>
      </c>
      <c r="V7821" s="2" t="inlineStr"/>
    </row>
    <row r="7822" ht="15" customHeight="1">
      <c r="A7822" t="inlineStr">
        <is>
          <t>A 21556-2026</t>
        </is>
      </c>
      <c r="B7822" t="inlineStr">
        <is>
          <t>avverkningsanmälan</t>
        </is>
      </c>
      <c r="C7822" t="inlineStr">
        <is>
          <t>Föryngringsavverkning</t>
        </is>
      </c>
      <c r="D7822" s="1" t="n">
        <v>46148</v>
      </c>
      <c r="E7822" s="1" t="n">
        <v>46319</v>
      </c>
      <c r="F7822" t="inlineStr">
        <is>
          <t>DALARNAS LÄN</t>
        </is>
      </c>
      <c r="G7822" t="inlineStr">
        <is>
          <t>MALUNG-SÄLEN</t>
        </is>
      </c>
      <c r="H7822" t="inlineStr">
        <is>
          <t>Bergvik skog öst AB</t>
        </is>
      </c>
      <c r="I7822" t="n">
        <v>12.6</v>
      </c>
      <c r="J7822" t="n">
        <v>0</v>
      </c>
      <c r="K7822" t="n">
        <v>0</v>
      </c>
      <c r="L7822" t="n">
        <v>0</v>
      </c>
      <c r="M7822" t="n">
        <v>0</v>
      </c>
      <c r="N7822" t="n">
        <v>0</v>
      </c>
      <c r="O7822" t="n">
        <v>0</v>
      </c>
      <c r="P7822" t="n">
        <v>0</v>
      </c>
      <c r="Q7822" t="n">
        <v>0</v>
      </c>
      <c r="R7822" t="n">
        <v>0</v>
      </c>
      <c r="S7822" t="n">
        <v>0</v>
      </c>
      <c r="T7822" t="n">
        <v>0</v>
      </c>
      <c r="U7822" t="n">
        <v>0</v>
      </c>
      <c r="V7822" s="2" t="inlineStr"/>
    </row>
    <row r="7823" ht="15" customHeight="1">
      <c r="A7823" t="inlineStr">
        <is>
          <t>A 5127-2026</t>
        </is>
      </c>
      <c r="B7823" t="inlineStr">
        <is>
          <t>avverkningsanmälan</t>
        </is>
      </c>
      <c r="C7823" t="inlineStr">
        <is>
          <t>Föryngringsavverkning</t>
        </is>
      </c>
      <c r="D7823" s="1" t="n">
        <v>46049</v>
      </c>
      <c r="E7823" s="1" t="n">
        <v>46319</v>
      </c>
      <c r="F7823" t="inlineStr">
        <is>
          <t>DALARNAS LÄN</t>
        </is>
      </c>
      <c r="G7823" t="inlineStr">
        <is>
          <t>BORLÄNGE</t>
        </is>
      </c>
      <c r="H7823" t="inlineStr">
        <is>
          <t>Bergvik skog väst AB</t>
        </is>
      </c>
      <c r="I7823" t="n">
        <v>4.3</v>
      </c>
      <c r="J7823" t="n">
        <v>0</v>
      </c>
      <c r="K7823" t="n">
        <v>0</v>
      </c>
      <c r="L7823" t="n">
        <v>0</v>
      </c>
      <c r="M7823" t="n">
        <v>0</v>
      </c>
      <c r="N7823" t="n">
        <v>0</v>
      </c>
      <c r="O7823" t="n">
        <v>0</v>
      </c>
      <c r="P7823" t="n">
        <v>0</v>
      </c>
      <c r="Q7823" t="n">
        <v>0</v>
      </c>
      <c r="R7823" t="n">
        <v>0</v>
      </c>
      <c r="S7823" t="n">
        <v>0</v>
      </c>
      <c r="T7823" t="n">
        <v>0</v>
      </c>
      <c r="U7823" t="n">
        <v>0</v>
      </c>
      <c r="V7823" s="2" t="inlineStr"/>
    </row>
    <row r="7824" ht="15" customHeight="1">
      <c r="A7824" t="inlineStr">
        <is>
          <t>A 21346-2026</t>
        </is>
      </c>
      <c r="B7824" t="inlineStr">
        <is>
          <t>avverkningsanmälan</t>
        </is>
      </c>
      <c r="C7824" t="inlineStr">
        <is>
          <t>Föryngringsavverkning</t>
        </is>
      </c>
      <c r="D7824" s="1" t="n">
        <v>46147</v>
      </c>
      <c r="E7824" s="1" t="n">
        <v>46319</v>
      </c>
      <c r="F7824" t="inlineStr">
        <is>
          <t>DALARNAS LÄN</t>
        </is>
      </c>
      <c r="G7824" t="inlineStr">
        <is>
          <t>FALUN</t>
        </is>
      </c>
      <c r="I7824" t="n">
        <v>2.5</v>
      </c>
      <c r="J7824" t="n">
        <v>0</v>
      </c>
      <c r="K7824" t="n">
        <v>0</v>
      </c>
      <c r="L7824" t="n">
        <v>0</v>
      </c>
      <c r="M7824" t="n">
        <v>0</v>
      </c>
      <c r="N7824" t="n">
        <v>0</v>
      </c>
      <c r="O7824" t="n">
        <v>0</v>
      </c>
      <c r="P7824" t="n">
        <v>0</v>
      </c>
      <c r="Q7824" t="n">
        <v>0</v>
      </c>
      <c r="R7824" t="n">
        <v>0</v>
      </c>
      <c r="S7824" t="n">
        <v>0</v>
      </c>
      <c r="T7824" t="n">
        <v>0</v>
      </c>
      <c r="U7824" t="n">
        <v>0</v>
      </c>
      <c r="V7824" s="2" t="inlineStr"/>
    </row>
    <row r="7825" ht="15" customHeight="1">
      <c r="A7825" t="inlineStr">
        <is>
          <t>A 8537-2023</t>
        </is>
      </c>
      <c r="B7825" t="inlineStr">
        <is>
          <t>avverkningsanmälan</t>
        </is>
      </c>
      <c r="C7825" t="inlineStr">
        <is>
          <t>Föryngringsavverkning</t>
        </is>
      </c>
      <c r="D7825" s="1" t="n">
        <v>44977</v>
      </c>
      <c r="E7825" s="1" t="n">
        <v>46319</v>
      </c>
      <c r="F7825" t="inlineStr">
        <is>
          <t>DALARNAS LÄN</t>
        </is>
      </c>
      <c r="G7825" t="inlineStr">
        <is>
          <t>RÄTTVIK</t>
        </is>
      </c>
      <c r="I7825" t="n">
        <v>4</v>
      </c>
      <c r="J7825" t="n">
        <v>0</v>
      </c>
      <c r="K7825" t="n">
        <v>0</v>
      </c>
      <c r="L7825" t="n">
        <v>0</v>
      </c>
      <c r="M7825" t="n">
        <v>0</v>
      </c>
      <c r="N7825" t="n">
        <v>0</v>
      </c>
      <c r="O7825" t="n">
        <v>0</v>
      </c>
      <c r="P7825" t="n">
        <v>0</v>
      </c>
      <c r="Q7825" t="n">
        <v>0</v>
      </c>
      <c r="R7825" t="n">
        <v>0</v>
      </c>
      <c r="S7825" t="n">
        <v>0</v>
      </c>
      <c r="T7825" t="n">
        <v>0</v>
      </c>
      <c r="U7825" t="n">
        <v>0</v>
      </c>
      <c r="V7825" s="2" t="inlineStr"/>
    </row>
    <row r="7826" ht="15" customHeight="1">
      <c r="A7826" t="inlineStr">
        <is>
          <t>A 8554-2023</t>
        </is>
      </c>
      <c r="B7826" t="inlineStr">
        <is>
          <t>avverkningsanmälan</t>
        </is>
      </c>
      <c r="C7826" t="inlineStr">
        <is>
          <t>Föryngringsavverkning</t>
        </is>
      </c>
      <c r="D7826" s="1" t="n">
        <v>44977</v>
      </c>
      <c r="E7826" s="1" t="n">
        <v>46319</v>
      </c>
      <c r="F7826" t="inlineStr">
        <is>
          <t>DALARNAS LÄN</t>
        </is>
      </c>
      <c r="G7826" t="inlineStr">
        <is>
          <t>BORLÄNGE</t>
        </is>
      </c>
      <c r="I7826" t="n">
        <v>2.4</v>
      </c>
      <c r="J7826" t="n">
        <v>0</v>
      </c>
      <c r="K7826" t="n">
        <v>0</v>
      </c>
      <c r="L7826" t="n">
        <v>0</v>
      </c>
      <c r="M7826" t="n">
        <v>0</v>
      </c>
      <c r="N7826" t="n">
        <v>0</v>
      </c>
      <c r="O7826" t="n">
        <v>0</v>
      </c>
      <c r="P7826" t="n">
        <v>0</v>
      </c>
      <c r="Q7826" t="n">
        <v>0</v>
      </c>
      <c r="R7826" t="n">
        <v>0</v>
      </c>
      <c r="S7826" t="n">
        <v>0</v>
      </c>
      <c r="T7826" t="n">
        <v>0</v>
      </c>
      <c r="U7826" t="n">
        <v>0</v>
      </c>
      <c r="V7826" s="2" t="inlineStr"/>
    </row>
    <row r="7827" ht="15" customHeight="1">
      <c r="A7827" t="inlineStr">
        <is>
          <t>A 45559-2024</t>
        </is>
      </c>
      <c r="B7827" t="inlineStr">
        <is>
          <t>avverkningsanmälan</t>
        </is>
      </c>
      <c r="C7827" t="inlineStr">
        <is>
          <t>Föryngringsavverkning</t>
        </is>
      </c>
      <c r="D7827" s="1" t="n">
        <v>45579</v>
      </c>
      <c r="E7827" s="1" t="n">
        <v>46319</v>
      </c>
      <c r="F7827" t="inlineStr">
        <is>
          <t>DALARNAS LÄN</t>
        </is>
      </c>
      <c r="G7827" t="inlineStr">
        <is>
          <t>LUDVIKA</t>
        </is>
      </c>
      <c r="I7827" t="n">
        <v>0.8</v>
      </c>
      <c r="J7827" t="n">
        <v>0</v>
      </c>
      <c r="K7827" t="n">
        <v>0</v>
      </c>
      <c r="L7827" t="n">
        <v>0</v>
      </c>
      <c r="M7827" t="n">
        <v>0</v>
      </c>
      <c r="N7827" t="n">
        <v>0</v>
      </c>
      <c r="O7827" t="n">
        <v>0</v>
      </c>
      <c r="P7827" t="n">
        <v>0</v>
      </c>
      <c r="Q7827" t="n">
        <v>0</v>
      </c>
      <c r="R7827" t="n">
        <v>0</v>
      </c>
      <c r="S7827" t="n">
        <v>0</v>
      </c>
      <c r="T7827" t="n">
        <v>0</v>
      </c>
      <c r="U7827" t="n">
        <v>0</v>
      </c>
      <c r="V7827" s="2" t="inlineStr"/>
    </row>
    <row r="7828" ht="15" customHeight="1">
      <c r="A7828" t="inlineStr">
        <is>
          <t>A 30889-2024</t>
        </is>
      </c>
      <c r="B7828" t="inlineStr">
        <is>
          <t>avverkningsanmälan</t>
        </is>
      </c>
      <c r="C7828" t="inlineStr">
        <is>
          <t>Föryngringsavverkning</t>
        </is>
      </c>
      <c r="D7828" s="1" t="n">
        <v>45498</v>
      </c>
      <c r="E7828" s="1" t="n">
        <v>46319</v>
      </c>
      <c r="F7828" t="inlineStr">
        <is>
          <t>DALARNAS LÄN</t>
        </is>
      </c>
      <c r="G7828" t="inlineStr">
        <is>
          <t>VANSBRO</t>
        </is>
      </c>
      <c r="H7828" t="inlineStr">
        <is>
          <t>Bergvik skog öst AB</t>
        </is>
      </c>
      <c r="I7828" t="n">
        <v>1.6</v>
      </c>
      <c r="J7828" t="n">
        <v>0</v>
      </c>
      <c r="K7828" t="n">
        <v>0</v>
      </c>
      <c r="L7828" t="n">
        <v>0</v>
      </c>
      <c r="M7828" t="n">
        <v>0</v>
      </c>
      <c r="N7828" t="n">
        <v>0</v>
      </c>
      <c r="O7828" t="n">
        <v>0</v>
      </c>
      <c r="P7828" t="n">
        <v>0</v>
      </c>
      <c r="Q7828" t="n">
        <v>0</v>
      </c>
      <c r="R7828" t="n">
        <v>0</v>
      </c>
      <c r="S7828" t="n">
        <v>0</v>
      </c>
      <c r="T7828" t="n">
        <v>0</v>
      </c>
      <c r="U7828" t="n">
        <v>0</v>
      </c>
      <c r="V7828" s="2" t="inlineStr"/>
    </row>
    <row r="7829" ht="15" customHeight="1">
      <c r="A7829" t="inlineStr">
        <is>
          <t>A 21493-2026</t>
        </is>
      </c>
      <c r="B7829" t="inlineStr">
        <is>
          <t>avverkningsanmälan</t>
        </is>
      </c>
      <c r="C7829" t="inlineStr">
        <is>
          <t>Föryngringsavverkning</t>
        </is>
      </c>
      <c r="D7829" s="1" t="n">
        <v>46148</v>
      </c>
      <c r="E7829" s="1" t="n">
        <v>46319</v>
      </c>
      <c r="F7829" t="inlineStr">
        <is>
          <t>DALARNAS LÄN</t>
        </is>
      </c>
      <c r="G7829" t="inlineStr">
        <is>
          <t>RÄTTVIK</t>
        </is>
      </c>
      <c r="H7829" t="inlineStr">
        <is>
          <t>Bergvik skog väst AB</t>
        </is>
      </c>
      <c r="I7829" t="n">
        <v>0.2</v>
      </c>
      <c r="J7829" t="n">
        <v>0</v>
      </c>
      <c r="K7829" t="n">
        <v>0</v>
      </c>
      <c r="L7829" t="n">
        <v>0</v>
      </c>
      <c r="M7829" t="n">
        <v>0</v>
      </c>
      <c r="N7829" t="n">
        <v>0</v>
      </c>
      <c r="O7829" t="n">
        <v>0</v>
      </c>
      <c r="P7829" t="n">
        <v>0</v>
      </c>
      <c r="Q7829" t="n">
        <v>0</v>
      </c>
      <c r="R7829" t="n">
        <v>0</v>
      </c>
      <c r="S7829" t="n">
        <v>0</v>
      </c>
      <c r="T7829" t="n">
        <v>0</v>
      </c>
      <c r="U7829" t="n">
        <v>0</v>
      </c>
      <c r="V7829" s="2" t="inlineStr"/>
    </row>
    <row r="7830" ht="15" customHeight="1">
      <c r="A7830" t="inlineStr">
        <is>
          <t>A 48702-2022</t>
        </is>
      </c>
      <c r="B7830" t="inlineStr">
        <is>
          <t>avverkningsanmälan</t>
        </is>
      </c>
      <c r="C7830" t="inlineStr">
        <is>
          <t>Föryngringsavverkning</t>
        </is>
      </c>
      <c r="D7830" s="1" t="n">
        <v>44859</v>
      </c>
      <c r="E7830" s="1" t="n">
        <v>46319</v>
      </c>
      <c r="F7830" t="inlineStr">
        <is>
          <t>DALARNAS LÄN</t>
        </is>
      </c>
      <c r="G7830" t="inlineStr">
        <is>
          <t>FALUN</t>
        </is>
      </c>
      <c r="I7830" t="n">
        <v>11.6</v>
      </c>
      <c r="J7830" t="n">
        <v>0</v>
      </c>
      <c r="K7830" t="n">
        <v>0</v>
      </c>
      <c r="L7830" t="n">
        <v>0</v>
      </c>
      <c r="M7830" t="n">
        <v>0</v>
      </c>
      <c r="N7830" t="n">
        <v>0</v>
      </c>
      <c r="O7830" t="n">
        <v>0</v>
      </c>
      <c r="P7830" t="n">
        <v>0</v>
      </c>
      <c r="Q7830" t="n">
        <v>0</v>
      </c>
      <c r="R7830" t="n">
        <v>0</v>
      </c>
      <c r="S7830" t="n">
        <v>0</v>
      </c>
      <c r="T7830" t="n">
        <v>0</v>
      </c>
      <c r="U7830" t="n">
        <v>0</v>
      </c>
      <c r="V7830" s="2" t="inlineStr"/>
    </row>
    <row r="7831" ht="15" customHeight="1">
      <c r="A7831" t="inlineStr">
        <is>
          <t>A 21492-2026</t>
        </is>
      </c>
      <c r="B7831" t="inlineStr">
        <is>
          <t>avverkningsanmälan</t>
        </is>
      </c>
      <c r="C7831" t="inlineStr">
        <is>
          <t>Föryngringsavverkning</t>
        </is>
      </c>
      <c r="D7831" s="1" t="n">
        <v>46148</v>
      </c>
      <c r="E7831" s="1" t="n">
        <v>46319</v>
      </c>
      <c r="F7831" t="inlineStr">
        <is>
          <t>DALARNAS LÄN</t>
        </is>
      </c>
      <c r="G7831" t="inlineStr">
        <is>
          <t>RÄTTVIK</t>
        </is>
      </c>
      <c r="H7831" t="inlineStr">
        <is>
          <t>Bergvik skog väst AB</t>
        </is>
      </c>
      <c r="I7831" t="n">
        <v>0.7</v>
      </c>
      <c r="J7831" t="n">
        <v>0</v>
      </c>
      <c r="K7831" t="n">
        <v>0</v>
      </c>
      <c r="L7831" t="n">
        <v>0</v>
      </c>
      <c r="M7831" t="n">
        <v>0</v>
      </c>
      <c r="N7831" t="n">
        <v>0</v>
      </c>
      <c r="O7831" t="n">
        <v>0</v>
      </c>
      <c r="P7831" t="n">
        <v>0</v>
      </c>
      <c r="Q7831" t="n">
        <v>0</v>
      </c>
      <c r="R7831" t="n">
        <v>0</v>
      </c>
      <c r="S7831" t="n">
        <v>0</v>
      </c>
      <c r="T7831" t="n">
        <v>0</v>
      </c>
      <c r="U7831" t="n">
        <v>0</v>
      </c>
      <c r="V7831" s="2" t="inlineStr"/>
    </row>
    <row r="7832" ht="15" customHeight="1">
      <c r="A7832" t="inlineStr">
        <is>
          <t>A 21496-2026</t>
        </is>
      </c>
      <c r="B7832" t="inlineStr">
        <is>
          <t>avverkningsanmälan</t>
        </is>
      </c>
      <c r="C7832" t="inlineStr">
        <is>
          <t>Föryngringsavverkning</t>
        </is>
      </c>
      <c r="D7832" s="1" t="n">
        <v>46148</v>
      </c>
      <c r="E7832" s="1" t="n">
        <v>46319</v>
      </c>
      <c r="F7832" t="inlineStr">
        <is>
          <t>DALARNAS LÄN</t>
        </is>
      </c>
      <c r="G7832" t="inlineStr">
        <is>
          <t>RÄTTVIK</t>
        </is>
      </c>
      <c r="H7832" t="inlineStr">
        <is>
          <t>Bergvik skog väst AB</t>
        </is>
      </c>
      <c r="I7832" t="n">
        <v>0.7</v>
      </c>
      <c r="J7832" t="n">
        <v>0</v>
      </c>
      <c r="K7832" t="n">
        <v>0</v>
      </c>
      <c r="L7832" t="n">
        <v>0</v>
      </c>
      <c r="M7832" t="n">
        <v>0</v>
      </c>
      <c r="N7832" t="n">
        <v>0</v>
      </c>
      <c r="O7832" t="n">
        <v>0</v>
      </c>
      <c r="P7832" t="n">
        <v>0</v>
      </c>
      <c r="Q7832" t="n">
        <v>0</v>
      </c>
      <c r="R7832" t="n">
        <v>0</v>
      </c>
      <c r="S7832" t="n">
        <v>0</v>
      </c>
      <c r="T7832" t="n">
        <v>0</v>
      </c>
      <c r="U7832" t="n">
        <v>0</v>
      </c>
      <c r="V7832" s="2" t="inlineStr"/>
    </row>
    <row r="7833" ht="15" customHeight="1">
      <c r="A7833" t="inlineStr">
        <is>
          <t>A 21502-2026</t>
        </is>
      </c>
      <c r="B7833" t="inlineStr">
        <is>
          <t>avverkningsanmälan</t>
        </is>
      </c>
      <c r="C7833" t="inlineStr">
        <is>
          <t>Föryngringsavverkning</t>
        </is>
      </c>
      <c r="D7833" s="1" t="n">
        <v>46148</v>
      </c>
      <c r="E7833" s="1" t="n">
        <v>46319</v>
      </c>
      <c r="F7833" t="inlineStr">
        <is>
          <t>DALARNAS LÄN</t>
        </is>
      </c>
      <c r="G7833" t="inlineStr">
        <is>
          <t>MORA</t>
        </is>
      </c>
      <c r="H7833" t="inlineStr">
        <is>
          <t>Bergvik skog öst AB</t>
        </is>
      </c>
      <c r="I7833" t="n">
        <v>5.1</v>
      </c>
      <c r="J7833" t="n">
        <v>0</v>
      </c>
      <c r="K7833" t="n">
        <v>0</v>
      </c>
      <c r="L7833" t="n">
        <v>0</v>
      </c>
      <c r="M7833" t="n">
        <v>0</v>
      </c>
      <c r="N7833" t="n">
        <v>0</v>
      </c>
      <c r="O7833" t="n">
        <v>0</v>
      </c>
      <c r="P7833" t="n">
        <v>0</v>
      </c>
      <c r="Q7833" t="n">
        <v>0</v>
      </c>
      <c r="R7833" t="n">
        <v>0</v>
      </c>
      <c r="S7833" t="n">
        <v>0</v>
      </c>
      <c r="T7833" t="n">
        <v>0</v>
      </c>
      <c r="U7833" t="n">
        <v>0</v>
      </c>
      <c r="V7833" s="2" t="inlineStr"/>
    </row>
    <row r="7834" ht="15" customHeight="1">
      <c r="A7834" t="inlineStr">
        <is>
          <t>A 6632-2023</t>
        </is>
      </c>
      <c r="B7834" t="inlineStr">
        <is>
          <t>avverkningsanmälan</t>
        </is>
      </c>
      <c r="C7834" t="inlineStr">
        <is>
          <t>Föryngringsavverkning</t>
        </is>
      </c>
      <c r="D7834" s="1" t="n">
        <v>44966</v>
      </c>
      <c r="E7834" s="1" t="n">
        <v>46319</v>
      </c>
      <c r="F7834" t="inlineStr">
        <is>
          <t>DALARNAS LÄN</t>
        </is>
      </c>
      <c r="G7834" t="inlineStr">
        <is>
          <t>VANSBRO</t>
        </is>
      </c>
      <c r="I7834" t="n">
        <v>0.8</v>
      </c>
      <c r="J7834" t="n">
        <v>0</v>
      </c>
      <c r="K7834" t="n">
        <v>0</v>
      </c>
      <c r="L7834" t="n">
        <v>0</v>
      </c>
      <c r="M7834" t="n">
        <v>0</v>
      </c>
      <c r="N7834" t="n">
        <v>0</v>
      </c>
      <c r="O7834" t="n">
        <v>0</v>
      </c>
      <c r="P7834" t="n">
        <v>0</v>
      </c>
      <c r="Q7834" t="n">
        <v>0</v>
      </c>
      <c r="R7834" t="n">
        <v>0</v>
      </c>
      <c r="S7834" t="n">
        <v>0</v>
      </c>
      <c r="T7834" t="n">
        <v>0</v>
      </c>
      <c r="U7834" t="n">
        <v>0</v>
      </c>
      <c r="V7834" s="2" t="inlineStr"/>
    </row>
    <row r="7835" ht="15" customHeight="1">
      <c r="A7835" t="inlineStr">
        <is>
          <t>A 21250-2026</t>
        </is>
      </c>
      <c r="B7835" t="inlineStr">
        <is>
          <t>avverkningsanmälan</t>
        </is>
      </c>
      <c r="C7835" t="inlineStr">
        <is>
          <t>Föryngringsavverkning</t>
        </is>
      </c>
      <c r="D7835" s="1" t="n">
        <v>46147</v>
      </c>
      <c r="E7835" s="1" t="n">
        <v>46319</v>
      </c>
      <c r="F7835" t="inlineStr">
        <is>
          <t>DALARNAS LÄN</t>
        </is>
      </c>
      <c r="G7835" t="inlineStr">
        <is>
          <t>LEKSAND</t>
        </is>
      </c>
      <c r="I7835" t="n">
        <v>0.6</v>
      </c>
      <c r="J7835" t="n">
        <v>0</v>
      </c>
      <c r="K7835" t="n">
        <v>0</v>
      </c>
      <c r="L7835" t="n">
        <v>0</v>
      </c>
      <c r="M7835" t="n">
        <v>0</v>
      </c>
      <c r="N7835" t="n">
        <v>0</v>
      </c>
      <c r="O7835" t="n">
        <v>0</v>
      </c>
      <c r="P7835" t="n">
        <v>0</v>
      </c>
      <c r="Q7835" t="n">
        <v>0</v>
      </c>
      <c r="R7835" t="n">
        <v>0</v>
      </c>
      <c r="S7835" t="n">
        <v>0</v>
      </c>
      <c r="T7835" t="n">
        <v>0</v>
      </c>
      <c r="U7835" t="n">
        <v>0</v>
      </c>
      <c r="V7835" s="2" t="inlineStr"/>
    </row>
    <row r="7836" ht="15" customHeight="1">
      <c r="A7836" t="inlineStr">
        <is>
          <t>A 21410-2026</t>
        </is>
      </c>
      <c r="B7836" t="inlineStr">
        <is>
          <t>avverkningsanmälan</t>
        </is>
      </c>
      <c r="C7836" t="inlineStr">
        <is>
          <t>Föryngringsavverkning</t>
        </is>
      </c>
      <c r="D7836" s="1" t="n">
        <v>46148</v>
      </c>
      <c r="E7836" s="1" t="n">
        <v>46319</v>
      </c>
      <c r="F7836" t="inlineStr">
        <is>
          <t>DALARNAS LÄN</t>
        </is>
      </c>
      <c r="G7836" t="inlineStr">
        <is>
          <t>FALUN</t>
        </is>
      </c>
      <c r="H7836" t="inlineStr">
        <is>
          <t>Bergvik skog väst AB</t>
        </is>
      </c>
      <c r="I7836" t="n">
        <v>6.9</v>
      </c>
      <c r="J7836" t="n">
        <v>0</v>
      </c>
      <c r="K7836" t="n">
        <v>0</v>
      </c>
      <c r="L7836" t="n">
        <v>0</v>
      </c>
      <c r="M7836" t="n">
        <v>0</v>
      </c>
      <c r="N7836" t="n">
        <v>0</v>
      </c>
      <c r="O7836" t="n">
        <v>0</v>
      </c>
      <c r="P7836" t="n">
        <v>0</v>
      </c>
      <c r="Q7836" t="n">
        <v>0</v>
      </c>
      <c r="R7836" t="n">
        <v>0</v>
      </c>
      <c r="S7836" t="n">
        <v>0</v>
      </c>
      <c r="T7836" t="n">
        <v>0</v>
      </c>
      <c r="U7836" t="n">
        <v>0</v>
      </c>
      <c r="V7836" s="2" t="inlineStr"/>
    </row>
    <row r="7837" ht="15" customHeight="1">
      <c r="A7837" t="inlineStr">
        <is>
          <t>A 21530-2026</t>
        </is>
      </c>
      <c r="B7837" t="inlineStr">
        <is>
          <t>avverkningsanmälan</t>
        </is>
      </c>
      <c r="C7837" t="inlineStr">
        <is>
          <t>Föryngringsavverkning</t>
        </is>
      </c>
      <c r="D7837" s="1" t="n">
        <v>46148</v>
      </c>
      <c r="E7837" s="1" t="n">
        <v>46319</v>
      </c>
      <c r="F7837" t="inlineStr">
        <is>
          <t>DALARNAS LÄN</t>
        </is>
      </c>
      <c r="G7837" t="inlineStr">
        <is>
          <t>ORSA</t>
        </is>
      </c>
      <c r="H7837" t="inlineStr">
        <is>
          <t>Bergvik skog öst AB</t>
        </is>
      </c>
      <c r="I7837" t="n">
        <v>1.1</v>
      </c>
      <c r="J7837" t="n">
        <v>0</v>
      </c>
      <c r="K7837" t="n">
        <v>0</v>
      </c>
      <c r="L7837" t="n">
        <v>0</v>
      </c>
      <c r="M7837" t="n">
        <v>0</v>
      </c>
      <c r="N7837" t="n">
        <v>0</v>
      </c>
      <c r="O7837" t="n">
        <v>0</v>
      </c>
      <c r="P7837" t="n">
        <v>0</v>
      </c>
      <c r="Q7837" t="n">
        <v>0</v>
      </c>
      <c r="R7837" t="n">
        <v>0</v>
      </c>
      <c r="S7837" t="n">
        <v>0</v>
      </c>
      <c r="T7837" t="n">
        <v>0</v>
      </c>
      <c r="U7837" t="n">
        <v>0</v>
      </c>
      <c r="V7837" s="2" t="inlineStr"/>
    </row>
    <row r="7838" ht="15" customHeight="1">
      <c r="A7838" t="inlineStr">
        <is>
          <t>A 21470-2026</t>
        </is>
      </c>
      <c r="B7838" t="inlineStr">
        <is>
          <t>avverkningsanmälan</t>
        </is>
      </c>
      <c r="C7838" t="inlineStr">
        <is>
          <t>Föryngringsavverkning</t>
        </is>
      </c>
      <c r="D7838" s="1" t="n">
        <v>46148</v>
      </c>
      <c r="E7838" s="1" t="n">
        <v>46319</v>
      </c>
      <c r="F7838" t="inlineStr">
        <is>
          <t>DALARNAS LÄN</t>
        </is>
      </c>
      <c r="G7838" t="inlineStr">
        <is>
          <t>RÄTTVIK</t>
        </is>
      </c>
      <c r="H7838" t="inlineStr">
        <is>
          <t>Bergvik skog väst AB</t>
        </is>
      </c>
      <c r="I7838" t="n">
        <v>2.9</v>
      </c>
      <c r="J7838" t="n">
        <v>0</v>
      </c>
      <c r="K7838" t="n">
        <v>0</v>
      </c>
      <c r="L7838" t="n">
        <v>0</v>
      </c>
      <c r="M7838" t="n">
        <v>0</v>
      </c>
      <c r="N7838" t="n">
        <v>0</v>
      </c>
      <c r="O7838" t="n">
        <v>0</v>
      </c>
      <c r="P7838" t="n">
        <v>0</v>
      </c>
      <c r="Q7838" t="n">
        <v>0</v>
      </c>
      <c r="R7838" t="n">
        <v>0</v>
      </c>
      <c r="S7838" t="n">
        <v>0</v>
      </c>
      <c r="T7838" t="n">
        <v>0</v>
      </c>
      <c r="U7838" t="n">
        <v>0</v>
      </c>
      <c r="V7838" s="2" t="inlineStr"/>
    </row>
    <row r="7839" ht="15" customHeight="1">
      <c r="A7839" t="inlineStr">
        <is>
          <t>A 21460-2026</t>
        </is>
      </c>
      <c r="B7839" t="inlineStr">
        <is>
          <t>avverkningsanmälan</t>
        </is>
      </c>
      <c r="C7839" t="inlineStr">
        <is>
          <t>Föryngringsavverkning</t>
        </is>
      </c>
      <c r="D7839" s="1" t="n">
        <v>46148</v>
      </c>
      <c r="E7839" s="1" t="n">
        <v>46319</v>
      </c>
      <c r="F7839" t="inlineStr">
        <is>
          <t>DALARNAS LÄN</t>
        </is>
      </c>
      <c r="G7839" t="inlineStr">
        <is>
          <t>FALUN</t>
        </is>
      </c>
      <c r="I7839" t="n">
        <v>1.6</v>
      </c>
      <c r="J7839" t="n">
        <v>0</v>
      </c>
      <c r="K7839" t="n">
        <v>0</v>
      </c>
      <c r="L7839" t="n">
        <v>0</v>
      </c>
      <c r="M7839" t="n">
        <v>0</v>
      </c>
      <c r="N7839" t="n">
        <v>0</v>
      </c>
      <c r="O7839" t="n">
        <v>0</v>
      </c>
      <c r="P7839" t="n">
        <v>0</v>
      </c>
      <c r="Q7839" t="n">
        <v>0</v>
      </c>
      <c r="R7839" t="n">
        <v>0</v>
      </c>
      <c r="S7839" t="n">
        <v>0</v>
      </c>
      <c r="T7839" t="n">
        <v>0</v>
      </c>
      <c r="U7839" t="n">
        <v>0</v>
      </c>
      <c r="V7839" s="2" t="inlineStr"/>
    </row>
    <row r="7840" ht="15" customHeight="1">
      <c r="A7840" t="inlineStr">
        <is>
          <t>A 21498-2026</t>
        </is>
      </c>
      <c r="B7840" t="inlineStr">
        <is>
          <t>avverkningsanmälan</t>
        </is>
      </c>
      <c r="C7840" t="inlineStr">
        <is>
          <t>Föryngringsavverkning</t>
        </is>
      </c>
      <c r="D7840" s="1" t="n">
        <v>46148</v>
      </c>
      <c r="E7840" s="1" t="n">
        <v>46319</v>
      </c>
      <c r="F7840" t="inlineStr">
        <is>
          <t>DALARNAS LÄN</t>
        </is>
      </c>
      <c r="G7840" t="inlineStr">
        <is>
          <t>MORA</t>
        </is>
      </c>
      <c r="H7840" t="inlineStr">
        <is>
          <t>Bergvik skog öst AB</t>
        </is>
      </c>
      <c r="I7840" t="n">
        <v>4</v>
      </c>
      <c r="J7840" t="n">
        <v>0</v>
      </c>
      <c r="K7840" t="n">
        <v>0</v>
      </c>
      <c r="L7840" t="n">
        <v>0</v>
      </c>
      <c r="M7840" t="n">
        <v>0</v>
      </c>
      <c r="N7840" t="n">
        <v>0</v>
      </c>
      <c r="O7840" t="n">
        <v>0</v>
      </c>
      <c r="P7840" t="n">
        <v>0</v>
      </c>
      <c r="Q7840" t="n">
        <v>0</v>
      </c>
      <c r="R7840" t="n">
        <v>0</v>
      </c>
      <c r="S7840" t="n">
        <v>0</v>
      </c>
      <c r="T7840" t="n">
        <v>0</v>
      </c>
      <c r="U7840" t="n">
        <v>0</v>
      </c>
      <c r="V7840" s="2" t="inlineStr"/>
    </row>
    <row r="7841" ht="15" customHeight="1">
      <c r="A7841" t="inlineStr">
        <is>
          <t>A 21544-2026</t>
        </is>
      </c>
      <c r="B7841" t="inlineStr">
        <is>
          <t>avverkningsanmälan</t>
        </is>
      </c>
      <c r="C7841" t="inlineStr">
        <is>
          <t>Föryngringsavverkning</t>
        </is>
      </c>
      <c r="D7841" s="1" t="n">
        <v>46148</v>
      </c>
      <c r="E7841" s="1" t="n">
        <v>46319</v>
      </c>
      <c r="F7841" t="inlineStr">
        <is>
          <t>DALARNAS LÄN</t>
        </is>
      </c>
      <c r="G7841" t="inlineStr">
        <is>
          <t>LEKSAND</t>
        </is>
      </c>
      <c r="H7841" t="inlineStr">
        <is>
          <t>Bergvik skog väst AB</t>
        </is>
      </c>
      <c r="I7841" t="n">
        <v>2.1</v>
      </c>
      <c r="J7841" t="n">
        <v>0</v>
      </c>
      <c r="K7841" t="n">
        <v>0</v>
      </c>
      <c r="L7841" t="n">
        <v>0</v>
      </c>
      <c r="M7841" t="n">
        <v>0</v>
      </c>
      <c r="N7841" t="n">
        <v>0</v>
      </c>
      <c r="O7841" t="n">
        <v>0</v>
      </c>
      <c r="P7841" t="n">
        <v>0</v>
      </c>
      <c r="Q7841" t="n">
        <v>0</v>
      </c>
      <c r="R7841" t="n">
        <v>0</v>
      </c>
      <c r="S7841" t="n">
        <v>0</v>
      </c>
      <c r="T7841" t="n">
        <v>0</v>
      </c>
      <c r="U7841" t="n">
        <v>0</v>
      </c>
      <c r="V7841" s="2" t="inlineStr"/>
    </row>
    <row r="7842" ht="15" customHeight="1">
      <c r="A7842" t="inlineStr">
        <is>
          <t>A 21516-2026</t>
        </is>
      </c>
      <c r="B7842" t="inlineStr">
        <is>
          <t>avverkningsanmälan</t>
        </is>
      </c>
      <c r="C7842" t="inlineStr">
        <is>
          <t>Föryngringsavverkning</t>
        </is>
      </c>
      <c r="D7842" s="1" t="n">
        <v>46148</v>
      </c>
      <c r="E7842" s="1" t="n">
        <v>46319</v>
      </c>
      <c r="F7842" t="inlineStr">
        <is>
          <t>DALARNAS LÄN</t>
        </is>
      </c>
      <c r="G7842" t="inlineStr">
        <is>
          <t>FALUN</t>
        </is>
      </c>
      <c r="I7842" t="n">
        <v>3.5</v>
      </c>
      <c r="J7842" t="n">
        <v>0</v>
      </c>
      <c r="K7842" t="n">
        <v>0</v>
      </c>
      <c r="L7842" t="n">
        <v>0</v>
      </c>
      <c r="M7842" t="n">
        <v>0</v>
      </c>
      <c r="N7842" t="n">
        <v>0</v>
      </c>
      <c r="O7842" t="n">
        <v>0</v>
      </c>
      <c r="P7842" t="n">
        <v>0</v>
      </c>
      <c r="Q7842" t="n">
        <v>0</v>
      </c>
      <c r="R7842" t="n">
        <v>0</v>
      </c>
      <c r="S7842" t="n">
        <v>0</v>
      </c>
      <c r="T7842" t="n">
        <v>0</v>
      </c>
      <c r="U7842" t="n">
        <v>0</v>
      </c>
      <c r="V7842" s="2" t="inlineStr"/>
    </row>
    <row r="7843" ht="15" customHeight="1">
      <c r="A7843" t="inlineStr">
        <is>
          <t>A 29810-2022</t>
        </is>
      </c>
      <c r="B7843" t="inlineStr">
        <is>
          <t>avverkningsanmälan</t>
        </is>
      </c>
      <c r="C7843" t="inlineStr">
        <is>
          <t>Avverkning för annat ändamål</t>
        </is>
      </c>
      <c r="D7843" s="1" t="n">
        <v>44755</v>
      </c>
      <c r="E7843" s="1" t="n">
        <v>46319</v>
      </c>
      <c r="F7843" t="inlineStr">
        <is>
          <t>DALARNAS LÄN</t>
        </is>
      </c>
      <c r="G7843" t="inlineStr">
        <is>
          <t>BORLÄNGE</t>
        </is>
      </c>
      <c r="I7843" t="n">
        <v>1.6</v>
      </c>
      <c r="J7843" t="n">
        <v>0</v>
      </c>
      <c r="K7843" t="n">
        <v>0</v>
      </c>
      <c r="L7843" t="n">
        <v>0</v>
      </c>
      <c r="M7843" t="n">
        <v>0</v>
      </c>
      <c r="N7843" t="n">
        <v>0</v>
      </c>
      <c r="O7843" t="n">
        <v>0</v>
      </c>
      <c r="P7843" t="n">
        <v>0</v>
      </c>
      <c r="Q7843" t="n">
        <v>0</v>
      </c>
      <c r="R7843" t="n">
        <v>0</v>
      </c>
      <c r="S7843" t="n">
        <v>0</v>
      </c>
      <c r="T7843" t="n">
        <v>0</v>
      </c>
      <c r="U7843" t="n">
        <v>0</v>
      </c>
      <c r="V7843" s="2" t="inlineStr"/>
    </row>
    <row r="7844" ht="15" customHeight="1">
      <c r="A7844" t="inlineStr">
        <is>
          <t>A 54289-2023</t>
        </is>
      </c>
      <c r="B7844" t="inlineStr">
        <is>
          <t>avverkningsanmälan</t>
        </is>
      </c>
      <c r="C7844" t="inlineStr">
        <is>
          <t>Föryngringsavverkning</t>
        </is>
      </c>
      <c r="D7844" s="1" t="n">
        <v>45232</v>
      </c>
      <c r="E7844" s="1" t="n">
        <v>46319</v>
      </c>
      <c r="F7844" t="inlineStr">
        <is>
          <t>DALARNAS LÄN</t>
        </is>
      </c>
      <c r="G7844" t="inlineStr">
        <is>
          <t>LEKSAND</t>
        </is>
      </c>
      <c r="I7844" t="n">
        <v>2</v>
      </c>
      <c r="J7844" t="n">
        <v>0</v>
      </c>
      <c r="K7844" t="n">
        <v>0</v>
      </c>
      <c r="L7844" t="n">
        <v>0</v>
      </c>
      <c r="M7844" t="n">
        <v>0</v>
      </c>
      <c r="N7844" t="n">
        <v>0</v>
      </c>
      <c r="O7844" t="n">
        <v>0</v>
      </c>
      <c r="P7844" t="n">
        <v>0</v>
      </c>
      <c r="Q7844" t="n">
        <v>0</v>
      </c>
      <c r="R7844" t="n">
        <v>0</v>
      </c>
      <c r="S7844" t="n">
        <v>0</v>
      </c>
      <c r="T7844" t="n">
        <v>0</v>
      </c>
      <c r="U7844" t="n">
        <v>0</v>
      </c>
      <c r="V7844" s="2" t="inlineStr"/>
    </row>
    <row r="7845" ht="15" customHeight="1">
      <c r="A7845" t="inlineStr">
        <is>
          <t>A 51973-2022</t>
        </is>
      </c>
      <c r="B7845" t="inlineStr">
        <is>
          <t>avverkningsanmälan</t>
        </is>
      </c>
      <c r="C7845" t="inlineStr">
        <is>
          <t>Föryngringsavverkning</t>
        </is>
      </c>
      <c r="D7845" s="1" t="n">
        <v>44872</v>
      </c>
      <c r="E7845" s="1" t="n">
        <v>46319</v>
      </c>
      <c r="F7845" t="inlineStr">
        <is>
          <t>DALARNAS LÄN</t>
        </is>
      </c>
      <c r="G7845" t="inlineStr">
        <is>
          <t>RÄTTVIK</t>
        </is>
      </c>
      <c r="I7845" t="n">
        <v>8</v>
      </c>
      <c r="J7845" t="n">
        <v>0</v>
      </c>
      <c r="K7845" t="n">
        <v>0</v>
      </c>
      <c r="L7845" t="n">
        <v>0</v>
      </c>
      <c r="M7845" t="n">
        <v>0</v>
      </c>
      <c r="N7845" t="n">
        <v>0</v>
      </c>
      <c r="O7845" t="n">
        <v>0</v>
      </c>
      <c r="P7845" t="n">
        <v>0</v>
      </c>
      <c r="Q7845" t="n">
        <v>0</v>
      </c>
      <c r="R7845" t="n">
        <v>0</v>
      </c>
      <c r="S7845" t="n">
        <v>0</v>
      </c>
      <c r="T7845" t="n">
        <v>0</v>
      </c>
      <c r="U7845" t="n">
        <v>0</v>
      </c>
      <c r="V7845" s="2" t="inlineStr"/>
    </row>
    <row r="7846" ht="15" customHeight="1">
      <c r="A7846" t="inlineStr">
        <is>
          <t>A 17357-2026</t>
        </is>
      </c>
      <c r="B7846" t="inlineStr">
        <is>
          <t>avverkningsanmälan</t>
        </is>
      </c>
      <c r="C7846" t="inlineStr">
        <is>
          <t>Föryngringsavverkning</t>
        </is>
      </c>
      <c r="D7846" s="1" t="n">
        <v>46119</v>
      </c>
      <c r="E7846" s="1" t="n">
        <v>46319</v>
      </c>
      <c r="F7846" t="inlineStr">
        <is>
          <t>DALARNAS LÄN</t>
        </is>
      </c>
      <c r="G7846" t="inlineStr">
        <is>
          <t>LEKSAND</t>
        </is>
      </c>
      <c r="I7846" t="n">
        <v>1.3</v>
      </c>
      <c r="J7846" t="n">
        <v>0</v>
      </c>
      <c r="K7846" t="n">
        <v>0</v>
      </c>
      <c r="L7846" t="n">
        <v>0</v>
      </c>
      <c r="M7846" t="n">
        <v>0</v>
      </c>
      <c r="N7846" t="n">
        <v>0</v>
      </c>
      <c r="O7846" t="n">
        <v>0</v>
      </c>
      <c r="P7846" t="n">
        <v>0</v>
      </c>
      <c r="Q7846" t="n">
        <v>0</v>
      </c>
      <c r="R7846" t="n">
        <v>0</v>
      </c>
      <c r="S7846" t="n">
        <v>0</v>
      </c>
      <c r="T7846" t="n">
        <v>0</v>
      </c>
      <c r="U7846" t="n">
        <v>0</v>
      </c>
      <c r="V7846" s="2" t="inlineStr"/>
    </row>
    <row r="7847" ht="15" customHeight="1">
      <c r="A7847" t="inlineStr">
        <is>
          <t>A 43566-2023</t>
        </is>
      </c>
      <c r="B7847" t="inlineStr">
        <is>
          <t>avverkningsanmälan</t>
        </is>
      </c>
      <c r="C7847" t="inlineStr">
        <is>
          <t>Föryngringsavverkning</t>
        </is>
      </c>
      <c r="D7847" s="1" t="n">
        <v>45184</v>
      </c>
      <c r="E7847" s="1" t="n">
        <v>46319</v>
      </c>
      <c r="F7847" t="inlineStr">
        <is>
          <t>DALARNAS LÄN</t>
        </is>
      </c>
      <c r="G7847" t="inlineStr">
        <is>
          <t>MORA</t>
        </is>
      </c>
      <c r="H7847" t="inlineStr">
        <is>
          <t>Bergvik skog väst AB</t>
        </is>
      </c>
      <c r="I7847" t="n">
        <v>4.3</v>
      </c>
      <c r="J7847" t="n">
        <v>0</v>
      </c>
      <c r="K7847" t="n">
        <v>0</v>
      </c>
      <c r="L7847" t="n">
        <v>0</v>
      </c>
      <c r="M7847" t="n">
        <v>0</v>
      </c>
      <c r="N7847" t="n">
        <v>0</v>
      </c>
      <c r="O7847" t="n">
        <v>0</v>
      </c>
      <c r="P7847" t="n">
        <v>0</v>
      </c>
      <c r="Q7847" t="n">
        <v>0</v>
      </c>
      <c r="R7847" t="n">
        <v>0</v>
      </c>
      <c r="S7847" t="n">
        <v>0</v>
      </c>
      <c r="T7847" t="n">
        <v>0</v>
      </c>
      <c r="U7847" t="n">
        <v>0</v>
      </c>
      <c r="V7847" s="2" t="inlineStr"/>
    </row>
    <row r="7848" ht="15" customHeight="1">
      <c r="A7848" t="inlineStr">
        <is>
          <t>A 51496-2023</t>
        </is>
      </c>
      <c r="B7848" t="inlineStr">
        <is>
          <t>avverkningsanmälan</t>
        </is>
      </c>
      <c r="C7848" t="inlineStr">
        <is>
          <t>Föryngringsavverkning</t>
        </is>
      </c>
      <c r="D7848" s="1" t="n">
        <v>45222</v>
      </c>
      <c r="E7848" s="1" t="n">
        <v>46319</v>
      </c>
      <c r="F7848" t="inlineStr">
        <is>
          <t>DALARNAS LÄN</t>
        </is>
      </c>
      <c r="G7848" t="inlineStr">
        <is>
          <t>GAGNEF</t>
        </is>
      </c>
      <c r="I7848" t="n">
        <v>1.4</v>
      </c>
      <c r="J7848" t="n">
        <v>0</v>
      </c>
      <c r="K7848" t="n">
        <v>0</v>
      </c>
      <c r="L7848" t="n">
        <v>0</v>
      </c>
      <c r="M7848" t="n">
        <v>0</v>
      </c>
      <c r="N7848" t="n">
        <v>0</v>
      </c>
      <c r="O7848" t="n">
        <v>0</v>
      </c>
      <c r="P7848" t="n">
        <v>0</v>
      </c>
      <c r="Q7848" t="n">
        <v>0</v>
      </c>
      <c r="R7848" t="n">
        <v>0</v>
      </c>
      <c r="S7848" t="n">
        <v>0</v>
      </c>
      <c r="T7848" t="n">
        <v>0</v>
      </c>
      <c r="U7848" t="n">
        <v>0</v>
      </c>
      <c r="V7848" s="2" t="inlineStr"/>
    </row>
    <row r="7849" ht="15" customHeight="1">
      <c r="A7849" t="inlineStr">
        <is>
          <t>A 36667-2023</t>
        </is>
      </c>
      <c r="B7849" t="inlineStr">
        <is>
          <t>avverkningsanmälan</t>
        </is>
      </c>
      <c r="C7849" t="inlineStr">
        <is>
          <t>Avverkning för att bevara och utveckla /försöksver</t>
        </is>
      </c>
      <c r="D7849" s="1" t="n">
        <v>45153</v>
      </c>
      <c r="E7849" s="1" t="n">
        <v>46319</v>
      </c>
      <c r="F7849" t="inlineStr">
        <is>
          <t>DALARNAS LÄN</t>
        </is>
      </c>
      <c r="G7849" t="inlineStr">
        <is>
          <t>SMEDJEBACKEN</t>
        </is>
      </c>
      <c r="H7849" t="inlineStr">
        <is>
          <t>Sveaskog</t>
        </is>
      </c>
      <c r="I7849" t="n">
        <v>2.9</v>
      </c>
      <c r="J7849" t="n">
        <v>0</v>
      </c>
      <c r="K7849" t="n">
        <v>0</v>
      </c>
      <c r="L7849" t="n">
        <v>0</v>
      </c>
      <c r="M7849" t="n">
        <v>0</v>
      </c>
      <c r="N7849" t="n">
        <v>0</v>
      </c>
      <c r="O7849" t="n">
        <v>0</v>
      </c>
      <c r="P7849" t="n">
        <v>0</v>
      </c>
      <c r="Q7849" t="n">
        <v>0</v>
      </c>
      <c r="R7849" t="n">
        <v>0</v>
      </c>
      <c r="S7849" t="n">
        <v>0</v>
      </c>
      <c r="T7849" t="n">
        <v>0</v>
      </c>
      <c r="U7849" t="n">
        <v>0</v>
      </c>
      <c r="V7849" s="2" t="inlineStr"/>
    </row>
    <row r="7850" ht="15" customHeight="1">
      <c r="A7850" t="inlineStr">
        <is>
          <t>A 61361-2024</t>
        </is>
      </c>
      <c r="B7850" t="inlineStr">
        <is>
          <t>avverkningsanmälan</t>
        </is>
      </c>
      <c r="C7850" t="inlineStr">
        <is>
          <t>Föryngringsavverkning</t>
        </is>
      </c>
      <c r="D7850" s="1" t="n">
        <v>45646</v>
      </c>
      <c r="E7850" s="1" t="n">
        <v>46319</v>
      </c>
      <c r="F7850" t="inlineStr">
        <is>
          <t>DALARNAS LÄN</t>
        </is>
      </c>
      <c r="G7850" t="inlineStr">
        <is>
          <t>MALUNG-SÄLEN</t>
        </is>
      </c>
      <c r="I7850" t="n">
        <v>9.4</v>
      </c>
      <c r="J7850" t="n">
        <v>0</v>
      </c>
      <c r="K7850" t="n">
        <v>0</v>
      </c>
      <c r="L7850" t="n">
        <v>0</v>
      </c>
      <c r="M7850" t="n">
        <v>0</v>
      </c>
      <c r="N7850" t="n">
        <v>0</v>
      </c>
      <c r="O7850" t="n">
        <v>0</v>
      </c>
      <c r="P7850" t="n">
        <v>0</v>
      </c>
      <c r="Q7850" t="n">
        <v>0</v>
      </c>
      <c r="R7850" t="n">
        <v>0</v>
      </c>
      <c r="S7850" t="n">
        <v>0</v>
      </c>
      <c r="T7850" t="n">
        <v>0</v>
      </c>
      <c r="U7850" t="n">
        <v>0</v>
      </c>
      <c r="V7850" s="2" t="inlineStr"/>
    </row>
    <row r="7851" ht="15" customHeight="1">
      <c r="A7851" t="inlineStr">
        <is>
          <t>A 61368-2024</t>
        </is>
      </c>
      <c r="B7851" t="inlineStr">
        <is>
          <t>avverkningsanmälan</t>
        </is>
      </c>
      <c r="C7851" t="inlineStr">
        <is>
          <t>Föryngringsavverkning</t>
        </is>
      </c>
      <c r="D7851" s="1" t="n">
        <v>45646</v>
      </c>
      <c r="E7851" s="1" t="n">
        <v>46319</v>
      </c>
      <c r="F7851" t="inlineStr">
        <is>
          <t>DALARNAS LÄN</t>
        </is>
      </c>
      <c r="G7851" t="inlineStr">
        <is>
          <t>MALUNG-SÄLEN</t>
        </is>
      </c>
      <c r="I7851" t="n">
        <v>6.1</v>
      </c>
      <c r="J7851" t="n">
        <v>0</v>
      </c>
      <c r="K7851" t="n">
        <v>0</v>
      </c>
      <c r="L7851" t="n">
        <v>0</v>
      </c>
      <c r="M7851" t="n">
        <v>0</v>
      </c>
      <c r="N7851" t="n">
        <v>0</v>
      </c>
      <c r="O7851" t="n">
        <v>0</v>
      </c>
      <c r="P7851" t="n">
        <v>0</v>
      </c>
      <c r="Q7851" t="n">
        <v>0</v>
      </c>
      <c r="R7851" t="n">
        <v>0</v>
      </c>
      <c r="S7851" t="n">
        <v>0</v>
      </c>
      <c r="T7851" t="n">
        <v>0</v>
      </c>
      <c r="U7851" t="n">
        <v>0</v>
      </c>
      <c r="V7851" s="2" t="inlineStr"/>
    </row>
    <row r="7852" ht="15" customHeight="1">
      <c r="A7852" t="inlineStr">
        <is>
          <t>A 61387-2024</t>
        </is>
      </c>
      <c r="B7852" t="inlineStr">
        <is>
          <t>avverkningsanmälan</t>
        </is>
      </c>
      <c r="C7852" t="inlineStr">
        <is>
          <t>Föryngringsavverkning</t>
        </is>
      </c>
      <c r="D7852" s="1" t="n">
        <v>45646</v>
      </c>
      <c r="E7852" s="1" t="n">
        <v>46319</v>
      </c>
      <c r="F7852" t="inlineStr">
        <is>
          <t>DALARNAS LÄN</t>
        </is>
      </c>
      <c r="G7852" t="inlineStr">
        <is>
          <t>FALUN</t>
        </is>
      </c>
      <c r="H7852" t="inlineStr">
        <is>
          <t>Bergvik skog väst AB</t>
        </is>
      </c>
      <c r="I7852" t="n">
        <v>16.6</v>
      </c>
      <c r="J7852" t="n">
        <v>0</v>
      </c>
      <c r="K7852" t="n">
        <v>0</v>
      </c>
      <c r="L7852" t="n">
        <v>0</v>
      </c>
      <c r="M7852" t="n">
        <v>0</v>
      </c>
      <c r="N7852" t="n">
        <v>0</v>
      </c>
      <c r="O7852" t="n">
        <v>0</v>
      </c>
      <c r="P7852" t="n">
        <v>0</v>
      </c>
      <c r="Q7852" t="n">
        <v>0</v>
      </c>
      <c r="R7852" t="n">
        <v>0</v>
      </c>
      <c r="S7852" t="n">
        <v>0</v>
      </c>
      <c r="T7852" t="n">
        <v>0</v>
      </c>
      <c r="U7852" t="n">
        <v>0</v>
      </c>
      <c r="V7852" s="2" t="inlineStr"/>
    </row>
    <row r="7853" ht="15" customHeight="1">
      <c r="A7853" t="inlineStr">
        <is>
          <t>A 4050-2026</t>
        </is>
      </c>
      <c r="B7853" t="inlineStr">
        <is>
          <t>avverkningsanmälan</t>
        </is>
      </c>
      <c r="C7853" t="inlineStr">
        <is>
          <t>Föryngringsavverkning</t>
        </is>
      </c>
      <c r="D7853" s="1" t="n">
        <v>46044</v>
      </c>
      <c r="E7853" s="1" t="n">
        <v>46319</v>
      </c>
      <c r="F7853" t="inlineStr">
        <is>
          <t>DALARNAS LÄN</t>
        </is>
      </c>
      <c r="G7853" t="inlineStr">
        <is>
          <t>SÄTER</t>
        </is>
      </c>
      <c r="I7853" t="n">
        <v>1.1</v>
      </c>
      <c r="J7853" t="n">
        <v>0</v>
      </c>
      <c r="K7853" t="n">
        <v>0</v>
      </c>
      <c r="L7853" t="n">
        <v>0</v>
      </c>
      <c r="M7853" t="n">
        <v>0</v>
      </c>
      <c r="N7853" t="n">
        <v>0</v>
      </c>
      <c r="O7853" t="n">
        <v>0</v>
      </c>
      <c r="P7853" t="n">
        <v>0</v>
      </c>
      <c r="Q7853" t="n">
        <v>0</v>
      </c>
      <c r="R7853" t="n">
        <v>0</v>
      </c>
      <c r="S7853" t="n">
        <v>0</v>
      </c>
      <c r="T7853" t="n">
        <v>0</v>
      </c>
      <c r="U7853" t="n">
        <v>0</v>
      </c>
      <c r="V7853" s="2" t="inlineStr"/>
    </row>
    <row r="7854" ht="15" customHeight="1">
      <c r="A7854" t="inlineStr">
        <is>
          <t>A 21561-2026</t>
        </is>
      </c>
      <c r="B7854" t="inlineStr">
        <is>
          <t>avverkningsanmälan</t>
        </is>
      </c>
      <c r="C7854" t="inlineStr">
        <is>
          <t>Föryngringsavverkning</t>
        </is>
      </c>
      <c r="D7854" s="1" t="n">
        <v>46148</v>
      </c>
      <c r="E7854" s="1" t="n">
        <v>46319</v>
      </c>
      <c r="F7854" t="inlineStr">
        <is>
          <t>DALARNAS LÄN</t>
        </is>
      </c>
      <c r="G7854" t="inlineStr">
        <is>
          <t>FALUN</t>
        </is>
      </c>
      <c r="H7854" t="inlineStr">
        <is>
          <t>Bergvik skog väst AB</t>
        </is>
      </c>
      <c r="I7854" t="n">
        <v>1.2</v>
      </c>
      <c r="J7854" t="n">
        <v>0</v>
      </c>
      <c r="K7854" t="n">
        <v>0</v>
      </c>
      <c r="L7854" t="n">
        <v>0</v>
      </c>
      <c r="M7854" t="n">
        <v>0</v>
      </c>
      <c r="N7854" t="n">
        <v>0</v>
      </c>
      <c r="O7854" t="n">
        <v>0</v>
      </c>
      <c r="P7854" t="n">
        <v>0</v>
      </c>
      <c r="Q7854" t="n">
        <v>0</v>
      </c>
      <c r="R7854" t="n">
        <v>0</v>
      </c>
      <c r="S7854" t="n">
        <v>0</v>
      </c>
      <c r="T7854" t="n">
        <v>0</v>
      </c>
      <c r="U7854" t="n">
        <v>0</v>
      </c>
      <c r="V7854" s="2" t="inlineStr"/>
    </row>
    <row r="7855" ht="15" customHeight="1">
      <c r="A7855" t="inlineStr">
        <is>
          <t>A 21391-2026</t>
        </is>
      </c>
      <c r="B7855" t="inlineStr">
        <is>
          <t>avverkningsanmälan</t>
        </is>
      </c>
      <c r="C7855" t="inlineStr">
        <is>
          <t>Föryngringsavverkning</t>
        </is>
      </c>
      <c r="D7855" s="1" t="n">
        <v>46147</v>
      </c>
      <c r="E7855" s="1" t="n">
        <v>46319</v>
      </c>
      <c r="F7855" t="inlineStr">
        <is>
          <t>DALARNAS LÄN</t>
        </is>
      </c>
      <c r="G7855" t="inlineStr">
        <is>
          <t>MORA</t>
        </is>
      </c>
      <c r="H7855" t="inlineStr">
        <is>
          <t>Bergvik skog öst AB</t>
        </is>
      </c>
      <c r="I7855" t="n">
        <v>1.2</v>
      </c>
      <c r="J7855" t="n">
        <v>0</v>
      </c>
      <c r="K7855" t="n">
        <v>0</v>
      </c>
      <c r="L7855" t="n">
        <v>0</v>
      </c>
      <c r="M7855" t="n">
        <v>0</v>
      </c>
      <c r="N7855" t="n">
        <v>0</v>
      </c>
      <c r="O7855" t="n">
        <v>0</v>
      </c>
      <c r="P7855" t="n">
        <v>0</v>
      </c>
      <c r="Q7855" t="n">
        <v>0</v>
      </c>
      <c r="R7855" t="n">
        <v>0</v>
      </c>
      <c r="S7855" t="n">
        <v>0</v>
      </c>
      <c r="T7855" t="n">
        <v>0</v>
      </c>
      <c r="U7855" t="n">
        <v>0</v>
      </c>
      <c r="V7855" s="2" t="inlineStr"/>
    </row>
    <row r="7856" ht="15" customHeight="1">
      <c r="A7856" t="inlineStr">
        <is>
          <t>A 21393-2026</t>
        </is>
      </c>
      <c r="B7856" t="inlineStr">
        <is>
          <t>avverkningsanmälan</t>
        </is>
      </c>
      <c r="C7856" t="inlineStr">
        <is>
          <t>Föryngringsavverkning</t>
        </is>
      </c>
      <c r="D7856" s="1" t="n">
        <v>46147</v>
      </c>
      <c r="E7856" s="1" t="n">
        <v>46319</v>
      </c>
      <c r="F7856" t="inlineStr">
        <is>
          <t>DALARNAS LÄN</t>
        </is>
      </c>
      <c r="G7856" t="inlineStr">
        <is>
          <t>MORA</t>
        </is>
      </c>
      <c r="H7856" t="inlineStr">
        <is>
          <t>Bergvik skog öst AB</t>
        </is>
      </c>
      <c r="I7856" t="n">
        <v>1.7</v>
      </c>
      <c r="J7856" t="n">
        <v>0</v>
      </c>
      <c r="K7856" t="n">
        <v>0</v>
      </c>
      <c r="L7856" t="n">
        <v>0</v>
      </c>
      <c r="M7856" t="n">
        <v>0</v>
      </c>
      <c r="N7856" t="n">
        <v>0</v>
      </c>
      <c r="O7856" t="n">
        <v>0</v>
      </c>
      <c r="P7856" t="n">
        <v>0</v>
      </c>
      <c r="Q7856" t="n">
        <v>0</v>
      </c>
      <c r="R7856" t="n">
        <v>0</v>
      </c>
      <c r="S7856" t="n">
        <v>0</v>
      </c>
      <c r="T7856" t="n">
        <v>0</v>
      </c>
      <c r="U7856" t="n">
        <v>0</v>
      </c>
      <c r="V7856" s="2" t="inlineStr"/>
    </row>
    <row r="7857" ht="15" customHeight="1">
      <c r="A7857" t="inlineStr">
        <is>
          <t>A 54493-2023</t>
        </is>
      </c>
      <c r="B7857" t="inlineStr">
        <is>
          <t>avverkningsanmälan</t>
        </is>
      </c>
      <c r="C7857" t="inlineStr">
        <is>
          <t>Föryngringsavverkning</t>
        </is>
      </c>
      <c r="D7857" s="1" t="n">
        <v>45233</v>
      </c>
      <c r="E7857" s="1" t="n">
        <v>46319</v>
      </c>
      <c r="F7857" t="inlineStr">
        <is>
          <t>DALARNAS LÄN</t>
        </is>
      </c>
      <c r="G7857" t="inlineStr">
        <is>
          <t>ÄLVDALEN</t>
        </is>
      </c>
      <c r="H7857" t="inlineStr">
        <is>
          <t>Allmännings- och besparingsskogar</t>
        </is>
      </c>
      <c r="I7857" t="n">
        <v>2</v>
      </c>
      <c r="J7857" t="n">
        <v>0</v>
      </c>
      <c r="K7857" t="n">
        <v>0</v>
      </c>
      <c r="L7857" t="n">
        <v>0</v>
      </c>
      <c r="M7857" t="n">
        <v>0</v>
      </c>
      <c r="N7857" t="n">
        <v>0</v>
      </c>
      <c r="O7857" t="n">
        <v>0</v>
      </c>
      <c r="P7857" t="n">
        <v>0</v>
      </c>
      <c r="Q7857" t="n">
        <v>0</v>
      </c>
      <c r="R7857" t="n">
        <v>0</v>
      </c>
      <c r="S7857" t="n">
        <v>0</v>
      </c>
      <c r="T7857" t="n">
        <v>0</v>
      </c>
      <c r="U7857" t="n">
        <v>0</v>
      </c>
      <c r="V7857" s="2" t="inlineStr"/>
    </row>
    <row r="7858" ht="15" customHeight="1">
      <c r="A7858" t="inlineStr">
        <is>
          <t>A 54519-2023</t>
        </is>
      </c>
      <c r="B7858" t="inlineStr">
        <is>
          <t>avverkningsanmälan</t>
        </is>
      </c>
      <c r="C7858" t="inlineStr">
        <is>
          <t>Föryngringsavverkning</t>
        </is>
      </c>
      <c r="D7858" s="1" t="n">
        <v>45233</v>
      </c>
      <c r="E7858" s="1" t="n">
        <v>46319</v>
      </c>
      <c r="F7858" t="inlineStr">
        <is>
          <t>DALARNAS LÄN</t>
        </is>
      </c>
      <c r="G7858" t="inlineStr">
        <is>
          <t>ORSA</t>
        </is>
      </c>
      <c r="H7858" t="inlineStr">
        <is>
          <t>Allmännings- och besparingsskogar</t>
        </is>
      </c>
      <c r="I7858" t="n">
        <v>0.5</v>
      </c>
      <c r="J7858" t="n">
        <v>0</v>
      </c>
      <c r="K7858" t="n">
        <v>0</v>
      </c>
      <c r="L7858" t="n">
        <v>0</v>
      </c>
      <c r="M7858" t="n">
        <v>0</v>
      </c>
      <c r="N7858" t="n">
        <v>0</v>
      </c>
      <c r="O7858" t="n">
        <v>0</v>
      </c>
      <c r="P7858" t="n">
        <v>0</v>
      </c>
      <c r="Q7858" t="n">
        <v>0</v>
      </c>
      <c r="R7858" t="n">
        <v>0</v>
      </c>
      <c r="S7858" t="n">
        <v>0</v>
      </c>
      <c r="T7858" t="n">
        <v>0</v>
      </c>
      <c r="U7858" t="n">
        <v>0</v>
      </c>
      <c r="V7858" s="2" t="inlineStr"/>
    </row>
    <row r="7859" ht="15" customHeight="1">
      <c r="A7859" t="inlineStr">
        <is>
          <t>A 54537-2023</t>
        </is>
      </c>
      <c r="B7859" t="inlineStr">
        <is>
          <t>avverkningsanmälan</t>
        </is>
      </c>
      <c r="C7859" t="inlineStr">
        <is>
          <t>Föryngringsavverkning</t>
        </is>
      </c>
      <c r="D7859" s="1" t="n">
        <v>45233</v>
      </c>
      <c r="E7859" s="1" t="n">
        <v>46319</v>
      </c>
      <c r="F7859" t="inlineStr">
        <is>
          <t>DALARNAS LÄN</t>
        </is>
      </c>
      <c r="G7859" t="inlineStr">
        <is>
          <t>FALUN</t>
        </is>
      </c>
      <c r="I7859" t="n">
        <v>0.7</v>
      </c>
      <c r="J7859" t="n">
        <v>0</v>
      </c>
      <c r="K7859" t="n">
        <v>0</v>
      </c>
      <c r="L7859" t="n">
        <v>0</v>
      </c>
      <c r="M7859" t="n">
        <v>0</v>
      </c>
      <c r="N7859" t="n">
        <v>0</v>
      </c>
      <c r="O7859" t="n">
        <v>0</v>
      </c>
      <c r="P7859" t="n">
        <v>0</v>
      </c>
      <c r="Q7859" t="n">
        <v>0</v>
      </c>
      <c r="R7859" t="n">
        <v>0</v>
      </c>
      <c r="S7859" t="n">
        <v>0</v>
      </c>
      <c r="T7859" t="n">
        <v>0</v>
      </c>
      <c r="U7859" t="n">
        <v>0</v>
      </c>
      <c r="V7859" s="2" t="inlineStr"/>
    </row>
    <row r="7860" ht="15" customHeight="1">
      <c r="A7860" t="inlineStr">
        <is>
          <t>A 37337-2023</t>
        </is>
      </c>
      <c r="B7860" t="inlineStr">
        <is>
          <t>avverkningsanmälan</t>
        </is>
      </c>
      <c r="C7860" t="inlineStr">
        <is>
          <t>Föryngringsavverkning</t>
        </is>
      </c>
      <c r="D7860" s="1" t="n">
        <v>45156</v>
      </c>
      <c r="E7860" s="1" t="n">
        <v>46319</v>
      </c>
      <c r="F7860" t="inlineStr">
        <is>
          <t>DALARNAS LÄN</t>
        </is>
      </c>
      <c r="G7860" t="inlineStr">
        <is>
          <t>FALUN</t>
        </is>
      </c>
      <c r="I7860" t="n">
        <v>1.4</v>
      </c>
      <c r="J7860" t="n">
        <v>0</v>
      </c>
      <c r="K7860" t="n">
        <v>0</v>
      </c>
      <c r="L7860" t="n">
        <v>0</v>
      </c>
      <c r="M7860" t="n">
        <v>0</v>
      </c>
      <c r="N7860" t="n">
        <v>0</v>
      </c>
      <c r="O7860" t="n">
        <v>0</v>
      </c>
      <c r="P7860" t="n">
        <v>0</v>
      </c>
      <c r="Q7860" t="n">
        <v>0</v>
      </c>
      <c r="R7860" t="n">
        <v>0</v>
      </c>
      <c r="S7860" t="n">
        <v>0</v>
      </c>
      <c r="T7860" t="n">
        <v>0</v>
      </c>
      <c r="U7860" t="n">
        <v>0</v>
      </c>
      <c r="V7860" s="2" t="inlineStr"/>
    </row>
    <row r="7861" ht="15" customHeight="1">
      <c r="A7861" t="inlineStr">
        <is>
          <t>A 19344-2025</t>
        </is>
      </c>
      <c r="B7861" t="inlineStr">
        <is>
          <t>avverkningsanmälan</t>
        </is>
      </c>
      <c r="C7861" t="inlineStr">
        <is>
          <t>Föryngringsavverkning</t>
        </is>
      </c>
      <c r="D7861" s="1" t="n">
        <v>45769</v>
      </c>
      <c r="E7861" s="1" t="n">
        <v>46319</v>
      </c>
      <c r="F7861" t="inlineStr">
        <is>
          <t>DALARNAS LÄN</t>
        </is>
      </c>
      <c r="G7861" t="inlineStr">
        <is>
          <t>GAGNEF</t>
        </is>
      </c>
      <c r="I7861" t="n">
        <v>3.4</v>
      </c>
      <c r="J7861" t="n">
        <v>0</v>
      </c>
      <c r="K7861" t="n">
        <v>0</v>
      </c>
      <c r="L7861" t="n">
        <v>0</v>
      </c>
      <c r="M7861" t="n">
        <v>0</v>
      </c>
      <c r="N7861" t="n">
        <v>0</v>
      </c>
      <c r="O7861" t="n">
        <v>0</v>
      </c>
      <c r="P7861" t="n">
        <v>0</v>
      </c>
      <c r="Q7861" t="n">
        <v>0</v>
      </c>
      <c r="R7861" t="n">
        <v>0</v>
      </c>
      <c r="S7861" t="n">
        <v>0</v>
      </c>
      <c r="T7861" t="n">
        <v>0</v>
      </c>
      <c r="U7861" t="n">
        <v>0</v>
      </c>
      <c r="V7861" s="2" t="inlineStr"/>
    </row>
    <row r="7862" ht="15" customHeight="1">
      <c r="A7862" t="inlineStr">
        <is>
          <t>A 21306-2026</t>
        </is>
      </c>
      <c r="B7862" t="inlineStr">
        <is>
          <t>avverkningsanmälan</t>
        </is>
      </c>
      <c r="C7862" t="inlineStr">
        <is>
          <t>Föryngringsavverkning</t>
        </is>
      </c>
      <c r="D7862" s="1" t="n">
        <v>46147</v>
      </c>
      <c r="E7862" s="1" t="n">
        <v>46319</v>
      </c>
      <c r="F7862" t="inlineStr">
        <is>
          <t>DALARNAS LÄN</t>
        </is>
      </c>
      <c r="G7862" t="inlineStr">
        <is>
          <t>FALUN</t>
        </is>
      </c>
      <c r="I7862" t="n">
        <v>1.2</v>
      </c>
      <c r="J7862" t="n">
        <v>0</v>
      </c>
      <c r="K7862" t="n">
        <v>0</v>
      </c>
      <c r="L7862" t="n">
        <v>0</v>
      </c>
      <c r="M7862" t="n">
        <v>0</v>
      </c>
      <c r="N7862" t="n">
        <v>0</v>
      </c>
      <c r="O7862" t="n">
        <v>0</v>
      </c>
      <c r="P7862" t="n">
        <v>0</v>
      </c>
      <c r="Q7862" t="n">
        <v>0</v>
      </c>
      <c r="R7862" t="n">
        <v>0</v>
      </c>
      <c r="S7862" t="n">
        <v>0</v>
      </c>
      <c r="T7862" t="n">
        <v>0</v>
      </c>
      <c r="U7862" t="n">
        <v>0</v>
      </c>
      <c r="V7862" s="2" t="inlineStr"/>
    </row>
    <row r="7863" ht="15" customHeight="1">
      <c r="A7863" t="inlineStr">
        <is>
          <t>A 28038-2025</t>
        </is>
      </c>
      <c r="B7863" t="inlineStr">
        <is>
          <t>avverkningsanmälan</t>
        </is>
      </c>
      <c r="C7863" t="inlineStr">
        <is>
          <t>Avverkning för annat ändamål</t>
        </is>
      </c>
      <c r="D7863" s="1" t="n">
        <v>45817</v>
      </c>
      <c r="E7863" s="1" t="n">
        <v>46319</v>
      </c>
      <c r="F7863" t="inlineStr">
        <is>
          <t>DALARNAS LÄN</t>
        </is>
      </c>
      <c r="G7863" t="inlineStr">
        <is>
          <t>MALUNG-SÄLEN</t>
        </is>
      </c>
      <c r="H7863" t="inlineStr">
        <is>
          <t>Kommuner</t>
        </is>
      </c>
      <c r="I7863" t="n">
        <v>1</v>
      </c>
      <c r="J7863" t="n">
        <v>0</v>
      </c>
      <c r="K7863" t="n">
        <v>0</v>
      </c>
      <c r="L7863" t="n">
        <v>0</v>
      </c>
      <c r="M7863" t="n">
        <v>0</v>
      </c>
      <c r="N7863" t="n">
        <v>0</v>
      </c>
      <c r="O7863" t="n">
        <v>0</v>
      </c>
      <c r="P7863" t="n">
        <v>0</v>
      </c>
      <c r="Q7863" t="n">
        <v>0</v>
      </c>
      <c r="R7863" t="n">
        <v>0</v>
      </c>
      <c r="S7863" t="n">
        <v>0</v>
      </c>
      <c r="T7863" t="n">
        <v>0</v>
      </c>
      <c r="U7863" t="n">
        <v>0</v>
      </c>
      <c r="V7863" s="2" t="inlineStr"/>
    </row>
    <row r="7864" ht="15" customHeight="1">
      <c r="A7864" t="inlineStr">
        <is>
          <t>A 21716-2026</t>
        </is>
      </c>
      <c r="B7864" t="inlineStr">
        <is>
          <t>avverkningsanmälan</t>
        </is>
      </c>
      <c r="C7864" t="inlineStr">
        <is>
          <t>Föryngringsavverkning</t>
        </is>
      </c>
      <c r="D7864" s="1" t="n">
        <v>46149</v>
      </c>
      <c r="E7864" s="1" t="n">
        <v>46319</v>
      </c>
      <c r="F7864" t="inlineStr">
        <is>
          <t>DALARNAS LÄN</t>
        </is>
      </c>
      <c r="G7864" t="inlineStr">
        <is>
          <t>ÄLVDALEN</t>
        </is>
      </c>
      <c r="H7864" t="inlineStr">
        <is>
          <t>Bergvik skog väst AB</t>
        </is>
      </c>
      <c r="I7864" t="n">
        <v>4.5</v>
      </c>
      <c r="J7864" t="n">
        <v>0</v>
      </c>
      <c r="K7864" t="n">
        <v>0</v>
      </c>
      <c r="L7864" t="n">
        <v>0</v>
      </c>
      <c r="M7864" t="n">
        <v>0</v>
      </c>
      <c r="N7864" t="n">
        <v>0</v>
      </c>
      <c r="O7864" t="n">
        <v>0</v>
      </c>
      <c r="P7864" t="n">
        <v>0</v>
      </c>
      <c r="Q7864" t="n">
        <v>0</v>
      </c>
      <c r="R7864" t="n">
        <v>0</v>
      </c>
      <c r="S7864" t="n">
        <v>0</v>
      </c>
      <c r="T7864" t="n">
        <v>0</v>
      </c>
      <c r="U7864" t="n">
        <v>0</v>
      </c>
      <c r="V7864" s="2" t="inlineStr"/>
    </row>
    <row r="7865" ht="15" customHeight="1">
      <c r="A7865" t="inlineStr">
        <is>
          <t>A 21724-2026</t>
        </is>
      </c>
      <c r="B7865" t="inlineStr">
        <is>
          <t>avverkningsanmälan</t>
        </is>
      </c>
      <c r="C7865" t="inlineStr">
        <is>
          <t>Föryngringsavverkning</t>
        </is>
      </c>
      <c r="D7865" s="1" t="n">
        <v>46149</v>
      </c>
      <c r="E7865" s="1" t="n">
        <v>46319</v>
      </c>
      <c r="F7865" t="inlineStr">
        <is>
          <t>DALARNAS LÄN</t>
        </is>
      </c>
      <c r="G7865" t="inlineStr">
        <is>
          <t>ÄLVDALEN</t>
        </is>
      </c>
      <c r="H7865" t="inlineStr">
        <is>
          <t>Bergvik skog väst AB</t>
        </is>
      </c>
      <c r="I7865" t="n">
        <v>2.1</v>
      </c>
      <c r="J7865" t="n">
        <v>0</v>
      </c>
      <c r="K7865" t="n">
        <v>0</v>
      </c>
      <c r="L7865" t="n">
        <v>0</v>
      </c>
      <c r="M7865" t="n">
        <v>0</v>
      </c>
      <c r="N7865" t="n">
        <v>0</v>
      </c>
      <c r="O7865" t="n">
        <v>0</v>
      </c>
      <c r="P7865" t="n">
        <v>0</v>
      </c>
      <c r="Q7865" t="n">
        <v>0</v>
      </c>
      <c r="R7865" t="n">
        <v>0</v>
      </c>
      <c r="S7865" t="n">
        <v>0</v>
      </c>
      <c r="T7865" t="n">
        <v>0</v>
      </c>
      <c r="U7865" t="n">
        <v>0</v>
      </c>
      <c r="V7865" s="2" t="inlineStr"/>
    </row>
    <row r="7866" ht="15" customHeight="1">
      <c r="A7866" t="inlineStr">
        <is>
          <t>A 21759-2026</t>
        </is>
      </c>
      <c r="B7866" t="inlineStr">
        <is>
          <t>avverkningsanmälan</t>
        </is>
      </c>
      <c r="C7866" t="inlineStr">
        <is>
          <t>Föryngringsavverkning</t>
        </is>
      </c>
      <c r="D7866" s="1" t="n">
        <v>46149</v>
      </c>
      <c r="E7866" s="1" t="n">
        <v>46319</v>
      </c>
      <c r="F7866" t="inlineStr">
        <is>
          <t>DALARNAS LÄN</t>
        </is>
      </c>
      <c r="G7866" t="inlineStr">
        <is>
          <t>MALUNG-SÄLEN</t>
        </is>
      </c>
      <c r="H7866" t="inlineStr">
        <is>
          <t>Bergvik skog väst AB</t>
        </is>
      </c>
      <c r="I7866" t="n">
        <v>0.7</v>
      </c>
      <c r="J7866" t="n">
        <v>0</v>
      </c>
      <c r="K7866" t="n">
        <v>0</v>
      </c>
      <c r="L7866" t="n">
        <v>0</v>
      </c>
      <c r="M7866" t="n">
        <v>0</v>
      </c>
      <c r="N7866" t="n">
        <v>0</v>
      </c>
      <c r="O7866" t="n">
        <v>0</v>
      </c>
      <c r="P7866" t="n">
        <v>0</v>
      </c>
      <c r="Q7866" t="n">
        <v>0</v>
      </c>
      <c r="R7866" t="n">
        <v>0</v>
      </c>
      <c r="S7866" t="n">
        <v>0</v>
      </c>
      <c r="T7866" t="n">
        <v>0</v>
      </c>
      <c r="U7866" t="n">
        <v>0</v>
      </c>
      <c r="V7866" s="2" t="inlineStr"/>
    </row>
    <row r="7867" ht="15" customHeight="1">
      <c r="A7867" t="inlineStr">
        <is>
          <t>A 21798-2026</t>
        </is>
      </c>
      <c r="B7867" t="inlineStr">
        <is>
          <t>avverkningsanmälan</t>
        </is>
      </c>
      <c r="C7867" t="inlineStr">
        <is>
          <t>Föryngringsavverkning</t>
        </is>
      </c>
      <c r="D7867" s="1" t="n">
        <v>46150</v>
      </c>
      <c r="E7867" s="1" t="n">
        <v>46319</v>
      </c>
      <c r="F7867" t="inlineStr">
        <is>
          <t>DALARNAS LÄN</t>
        </is>
      </c>
      <c r="G7867" t="inlineStr">
        <is>
          <t>LUDVIKA</t>
        </is>
      </c>
      <c r="H7867" t="inlineStr">
        <is>
          <t>Bergvik skog väst AB</t>
        </is>
      </c>
      <c r="I7867" t="n">
        <v>4.1</v>
      </c>
      <c r="J7867" t="n">
        <v>0</v>
      </c>
      <c r="K7867" t="n">
        <v>0</v>
      </c>
      <c r="L7867" t="n">
        <v>0</v>
      </c>
      <c r="M7867" t="n">
        <v>0</v>
      </c>
      <c r="N7867" t="n">
        <v>0</v>
      </c>
      <c r="O7867" t="n">
        <v>0</v>
      </c>
      <c r="P7867" t="n">
        <v>0</v>
      </c>
      <c r="Q7867" t="n">
        <v>0</v>
      </c>
      <c r="R7867" t="n">
        <v>0</v>
      </c>
      <c r="S7867" t="n">
        <v>0</v>
      </c>
      <c r="T7867" t="n">
        <v>0</v>
      </c>
      <c r="U7867" t="n">
        <v>0</v>
      </c>
      <c r="V7867" s="2" t="inlineStr"/>
    </row>
    <row r="7868" ht="15" customHeight="1">
      <c r="A7868" t="inlineStr">
        <is>
          <t>A 21829-2026</t>
        </is>
      </c>
      <c r="B7868" t="inlineStr">
        <is>
          <t>avverkningsanmälan</t>
        </is>
      </c>
      <c r="C7868" t="inlineStr">
        <is>
          <t>Föryngringsavverkning</t>
        </is>
      </c>
      <c r="D7868" s="1" t="n">
        <v>46150</v>
      </c>
      <c r="E7868" s="1" t="n">
        <v>46319</v>
      </c>
      <c r="F7868" t="inlineStr">
        <is>
          <t>DALARNAS LÄN</t>
        </is>
      </c>
      <c r="G7868" t="inlineStr">
        <is>
          <t>FALUN</t>
        </is>
      </c>
      <c r="I7868" t="n">
        <v>0.9</v>
      </c>
      <c r="J7868" t="n">
        <v>0</v>
      </c>
      <c r="K7868" t="n">
        <v>0</v>
      </c>
      <c r="L7868" t="n">
        <v>0</v>
      </c>
      <c r="M7868" t="n">
        <v>0</v>
      </c>
      <c r="N7868" t="n">
        <v>0</v>
      </c>
      <c r="O7868" t="n">
        <v>0</v>
      </c>
      <c r="P7868" t="n">
        <v>0</v>
      </c>
      <c r="Q7868" t="n">
        <v>0</v>
      </c>
      <c r="R7868" t="n">
        <v>0</v>
      </c>
      <c r="S7868" t="n">
        <v>0</v>
      </c>
      <c r="T7868" t="n">
        <v>0</v>
      </c>
      <c r="U7868" t="n">
        <v>0</v>
      </c>
      <c r="V7868" s="2" t="inlineStr"/>
    </row>
    <row r="7869" ht="15" customHeight="1">
      <c r="A7869" t="inlineStr">
        <is>
          <t>A 21830-2026</t>
        </is>
      </c>
      <c r="B7869" t="inlineStr">
        <is>
          <t>avverkningsanmälan</t>
        </is>
      </c>
      <c r="C7869" t="inlineStr">
        <is>
          <t>Föryngringsavverkning</t>
        </is>
      </c>
      <c r="D7869" s="1" t="n">
        <v>46150</v>
      </c>
      <c r="E7869" s="1" t="n">
        <v>46319</v>
      </c>
      <c r="F7869" t="inlineStr">
        <is>
          <t>DALARNAS LÄN</t>
        </is>
      </c>
      <c r="G7869" t="inlineStr">
        <is>
          <t>FALUN</t>
        </is>
      </c>
      <c r="I7869" t="n">
        <v>0.9</v>
      </c>
      <c r="J7869" t="n">
        <v>0</v>
      </c>
      <c r="K7869" t="n">
        <v>0</v>
      </c>
      <c r="L7869" t="n">
        <v>0</v>
      </c>
      <c r="M7869" t="n">
        <v>0</v>
      </c>
      <c r="N7869" t="n">
        <v>0</v>
      </c>
      <c r="O7869" t="n">
        <v>0</v>
      </c>
      <c r="P7869" t="n">
        <v>0</v>
      </c>
      <c r="Q7869" t="n">
        <v>0</v>
      </c>
      <c r="R7869" t="n">
        <v>0</v>
      </c>
      <c r="S7869" t="n">
        <v>0</v>
      </c>
      <c r="T7869" t="n">
        <v>0</v>
      </c>
      <c r="U7869" t="n">
        <v>0</v>
      </c>
      <c r="V7869" s="2" t="inlineStr"/>
    </row>
    <row r="7870" ht="15" customHeight="1">
      <c r="A7870" t="inlineStr">
        <is>
          <t>A 21900-2026</t>
        </is>
      </c>
      <c r="B7870" t="inlineStr">
        <is>
          <t>avverkningsanmälan</t>
        </is>
      </c>
      <c r="C7870" t="inlineStr">
        <is>
          <t>Föryngringsavverkning</t>
        </is>
      </c>
      <c r="D7870" s="1" t="n">
        <v>46150</v>
      </c>
      <c r="E7870" s="1" t="n">
        <v>46319</v>
      </c>
      <c r="F7870" t="inlineStr">
        <is>
          <t>DALARNAS LÄN</t>
        </is>
      </c>
      <c r="G7870" t="inlineStr">
        <is>
          <t>ORSA</t>
        </is>
      </c>
      <c r="H7870" t="inlineStr">
        <is>
          <t>Allmännings- och besparingsskogar</t>
        </is>
      </c>
      <c r="I7870" t="n">
        <v>11.8</v>
      </c>
      <c r="J7870" t="n">
        <v>0</v>
      </c>
      <c r="K7870" t="n">
        <v>0</v>
      </c>
      <c r="L7870" t="n">
        <v>0</v>
      </c>
      <c r="M7870" t="n">
        <v>0</v>
      </c>
      <c r="N7870" t="n">
        <v>0</v>
      </c>
      <c r="O7870" t="n">
        <v>0</v>
      </c>
      <c r="P7870" t="n">
        <v>0</v>
      </c>
      <c r="Q7870" t="n">
        <v>0</v>
      </c>
      <c r="R7870" t="n">
        <v>0</v>
      </c>
      <c r="S7870" t="n">
        <v>0</v>
      </c>
      <c r="T7870" t="n">
        <v>0</v>
      </c>
      <c r="U7870" t="n">
        <v>0</v>
      </c>
      <c r="V7870" s="2" t="inlineStr"/>
    </row>
    <row r="7871" ht="15" customHeight="1">
      <c r="A7871" t="inlineStr">
        <is>
          <t>A 21751-2026</t>
        </is>
      </c>
      <c r="B7871" t="inlineStr">
        <is>
          <t>avverkningsanmälan</t>
        </is>
      </c>
      <c r="C7871" t="inlineStr">
        <is>
          <t>Föryngringsavverkning</t>
        </is>
      </c>
      <c r="D7871" s="1" t="n">
        <v>46149</v>
      </c>
      <c r="E7871" s="1" t="n">
        <v>46319</v>
      </c>
      <c r="F7871" t="inlineStr">
        <is>
          <t>DALARNAS LÄN</t>
        </is>
      </c>
      <c r="G7871" t="inlineStr">
        <is>
          <t>LEKSAND</t>
        </is>
      </c>
      <c r="I7871" t="n">
        <v>0.8</v>
      </c>
      <c r="J7871" t="n">
        <v>0</v>
      </c>
      <c r="K7871" t="n">
        <v>0</v>
      </c>
      <c r="L7871" t="n">
        <v>0</v>
      </c>
      <c r="M7871" t="n">
        <v>0</v>
      </c>
      <c r="N7871" t="n">
        <v>0</v>
      </c>
      <c r="O7871" t="n">
        <v>0</v>
      </c>
      <c r="P7871" t="n">
        <v>0</v>
      </c>
      <c r="Q7871" t="n">
        <v>0</v>
      </c>
      <c r="R7871" t="n">
        <v>0</v>
      </c>
      <c r="S7871" t="n">
        <v>0</v>
      </c>
      <c r="T7871" t="n">
        <v>0</v>
      </c>
      <c r="U7871" t="n">
        <v>0</v>
      </c>
      <c r="V7871" s="2" t="inlineStr"/>
    </row>
    <row r="7872" ht="15" customHeight="1">
      <c r="A7872" t="inlineStr">
        <is>
          <t>A 21806-2026</t>
        </is>
      </c>
      <c r="B7872" t="inlineStr">
        <is>
          <t>avverkningsanmälan</t>
        </is>
      </c>
      <c r="C7872" t="inlineStr">
        <is>
          <t>Föryngringsavverkning</t>
        </is>
      </c>
      <c r="D7872" s="1" t="n">
        <v>46150</v>
      </c>
      <c r="E7872" s="1" t="n">
        <v>46319</v>
      </c>
      <c r="F7872" t="inlineStr">
        <is>
          <t>DALARNAS LÄN</t>
        </is>
      </c>
      <c r="G7872" t="inlineStr">
        <is>
          <t>SMEDJEBACKEN</t>
        </is>
      </c>
      <c r="I7872" t="n">
        <v>1</v>
      </c>
      <c r="J7872" t="n">
        <v>0</v>
      </c>
      <c r="K7872" t="n">
        <v>0</v>
      </c>
      <c r="L7872" t="n">
        <v>0</v>
      </c>
      <c r="M7872" t="n">
        <v>0</v>
      </c>
      <c r="N7872" t="n">
        <v>0</v>
      </c>
      <c r="O7872" t="n">
        <v>0</v>
      </c>
      <c r="P7872" t="n">
        <v>0</v>
      </c>
      <c r="Q7872" t="n">
        <v>0</v>
      </c>
      <c r="R7872" t="n">
        <v>0</v>
      </c>
      <c r="S7872" t="n">
        <v>0</v>
      </c>
      <c r="T7872" t="n">
        <v>0</v>
      </c>
      <c r="U7872" t="n">
        <v>0</v>
      </c>
      <c r="V7872" s="2" t="inlineStr"/>
    </row>
    <row r="7873" ht="15" customHeight="1">
      <c r="A7873" t="inlineStr">
        <is>
          <t>A 22925-2023</t>
        </is>
      </c>
      <c r="B7873" t="inlineStr">
        <is>
          <t>avverkningsanmälan</t>
        </is>
      </c>
      <c r="C7873" t="inlineStr">
        <is>
          <t>Föryngringsavverkning</t>
        </is>
      </c>
      <c r="D7873" s="1" t="n">
        <v>45072</v>
      </c>
      <c r="E7873" s="1" t="n">
        <v>46319</v>
      </c>
      <c r="F7873" t="inlineStr">
        <is>
          <t>DALARNAS LÄN</t>
        </is>
      </c>
      <c r="G7873" t="inlineStr">
        <is>
          <t>FALUN</t>
        </is>
      </c>
      <c r="I7873" t="n">
        <v>2.4</v>
      </c>
      <c r="J7873" t="n">
        <v>0</v>
      </c>
      <c r="K7873" t="n">
        <v>0</v>
      </c>
      <c r="L7873" t="n">
        <v>0</v>
      </c>
      <c r="M7873" t="n">
        <v>0</v>
      </c>
      <c r="N7873" t="n">
        <v>0</v>
      </c>
      <c r="O7873" t="n">
        <v>0</v>
      </c>
      <c r="P7873" t="n">
        <v>0</v>
      </c>
      <c r="Q7873" t="n">
        <v>0</v>
      </c>
      <c r="R7873" t="n">
        <v>0</v>
      </c>
      <c r="S7873" t="n">
        <v>0</v>
      </c>
      <c r="T7873" t="n">
        <v>0</v>
      </c>
      <c r="U7873" t="n">
        <v>0</v>
      </c>
      <c r="V7873" s="2" t="inlineStr"/>
    </row>
    <row r="7874" ht="15" customHeight="1">
      <c r="A7874" t="inlineStr">
        <is>
          <t>A 21824-2026</t>
        </is>
      </c>
      <c r="B7874" t="inlineStr">
        <is>
          <t>avverkningsanmälan</t>
        </is>
      </c>
      <c r="C7874" t="inlineStr">
        <is>
          <t>Föryngringsavverkning</t>
        </is>
      </c>
      <c r="D7874" s="1" t="n">
        <v>46150</v>
      </c>
      <c r="E7874" s="1" t="n">
        <v>46319</v>
      </c>
      <c r="F7874" t="inlineStr">
        <is>
          <t>DALARNAS LÄN</t>
        </is>
      </c>
      <c r="G7874" t="inlineStr">
        <is>
          <t>FALUN</t>
        </is>
      </c>
      <c r="I7874" t="n">
        <v>10.7</v>
      </c>
      <c r="J7874" t="n">
        <v>0</v>
      </c>
      <c r="K7874" t="n">
        <v>0</v>
      </c>
      <c r="L7874" t="n">
        <v>0</v>
      </c>
      <c r="M7874" t="n">
        <v>0</v>
      </c>
      <c r="N7874" t="n">
        <v>0</v>
      </c>
      <c r="O7874" t="n">
        <v>0</v>
      </c>
      <c r="P7874" t="n">
        <v>0</v>
      </c>
      <c r="Q7874" t="n">
        <v>0</v>
      </c>
      <c r="R7874" t="n">
        <v>0</v>
      </c>
      <c r="S7874" t="n">
        <v>0</v>
      </c>
      <c r="T7874" t="n">
        <v>0</v>
      </c>
      <c r="U7874" t="n">
        <v>0</v>
      </c>
      <c r="V7874" s="2" t="inlineStr"/>
    </row>
    <row r="7875" ht="15" customHeight="1">
      <c r="A7875" t="inlineStr">
        <is>
          <t>A 21594-2026</t>
        </is>
      </c>
      <c r="B7875" t="inlineStr">
        <is>
          <t>avverkningsanmälan</t>
        </is>
      </c>
      <c r="C7875" t="inlineStr">
        <is>
          <t>Föryngringsavverkning</t>
        </is>
      </c>
      <c r="D7875" s="1" t="n">
        <v>46149</v>
      </c>
      <c r="E7875" s="1" t="n">
        <v>46319</v>
      </c>
      <c r="F7875" t="inlineStr">
        <is>
          <t>DALARNAS LÄN</t>
        </is>
      </c>
      <c r="G7875" t="inlineStr">
        <is>
          <t>GAGNEF</t>
        </is>
      </c>
      <c r="H7875" t="inlineStr">
        <is>
          <t>Bergvik skog väst AB</t>
        </is>
      </c>
      <c r="I7875" t="n">
        <v>3</v>
      </c>
      <c r="J7875" t="n">
        <v>0</v>
      </c>
      <c r="K7875" t="n">
        <v>0</v>
      </c>
      <c r="L7875" t="n">
        <v>0</v>
      </c>
      <c r="M7875" t="n">
        <v>0</v>
      </c>
      <c r="N7875" t="n">
        <v>0</v>
      </c>
      <c r="O7875" t="n">
        <v>0</v>
      </c>
      <c r="P7875" t="n">
        <v>0</v>
      </c>
      <c r="Q7875" t="n">
        <v>0</v>
      </c>
      <c r="R7875" t="n">
        <v>0</v>
      </c>
      <c r="S7875" t="n">
        <v>0</v>
      </c>
      <c r="T7875" t="n">
        <v>0</v>
      </c>
      <c r="U7875" t="n">
        <v>0</v>
      </c>
      <c r="V7875" s="2" t="inlineStr"/>
    </row>
    <row r="7876" ht="15" customHeight="1">
      <c r="A7876" t="inlineStr">
        <is>
          <t>A 21627-2026</t>
        </is>
      </c>
      <c r="B7876" t="inlineStr">
        <is>
          <t>avverkningsanmälan</t>
        </is>
      </c>
      <c r="C7876" t="inlineStr">
        <is>
          <t>Föryngringsavverkning</t>
        </is>
      </c>
      <c r="D7876" s="1" t="n">
        <v>46149</v>
      </c>
      <c r="E7876" s="1" t="n">
        <v>46319</v>
      </c>
      <c r="F7876" t="inlineStr">
        <is>
          <t>DALARNAS LÄN</t>
        </is>
      </c>
      <c r="G7876" t="inlineStr">
        <is>
          <t>LEKSAND</t>
        </is>
      </c>
      <c r="H7876" t="inlineStr">
        <is>
          <t>Övriga Aktiebolag</t>
        </is>
      </c>
      <c r="I7876" t="n">
        <v>1.2</v>
      </c>
      <c r="J7876" t="n">
        <v>0</v>
      </c>
      <c r="K7876" t="n">
        <v>0</v>
      </c>
      <c r="L7876" t="n">
        <v>0</v>
      </c>
      <c r="M7876" t="n">
        <v>0</v>
      </c>
      <c r="N7876" t="n">
        <v>0</v>
      </c>
      <c r="O7876" t="n">
        <v>0</v>
      </c>
      <c r="P7876" t="n">
        <v>0</v>
      </c>
      <c r="Q7876" t="n">
        <v>0</v>
      </c>
      <c r="R7876" t="n">
        <v>0</v>
      </c>
      <c r="S7876" t="n">
        <v>0</v>
      </c>
      <c r="T7876" t="n">
        <v>0</v>
      </c>
      <c r="U7876" t="n">
        <v>0</v>
      </c>
      <c r="V7876" s="2" t="inlineStr"/>
    </row>
    <row r="7877" ht="15" customHeight="1">
      <c r="A7877" t="inlineStr">
        <is>
          <t>A 58840-2022</t>
        </is>
      </c>
      <c r="B7877" t="inlineStr">
        <is>
          <t>avverkningsanmälan</t>
        </is>
      </c>
      <c r="C7877" t="inlineStr">
        <is>
          <t>Föryngringsavverkning</t>
        </is>
      </c>
      <c r="D7877" s="1" t="n">
        <v>44903</v>
      </c>
      <c r="E7877" s="1" t="n">
        <v>46319</v>
      </c>
      <c r="F7877" t="inlineStr">
        <is>
          <t>DALARNAS LÄN</t>
        </is>
      </c>
      <c r="G7877" t="inlineStr">
        <is>
          <t>MALUNG-SÄLEN</t>
        </is>
      </c>
      <c r="I7877" t="n">
        <v>4</v>
      </c>
      <c r="J7877" t="n">
        <v>0</v>
      </c>
      <c r="K7877" t="n">
        <v>0</v>
      </c>
      <c r="L7877" t="n">
        <v>0</v>
      </c>
      <c r="M7877" t="n">
        <v>0</v>
      </c>
      <c r="N7877" t="n">
        <v>0</v>
      </c>
      <c r="O7877" t="n">
        <v>0</v>
      </c>
      <c r="P7877" t="n">
        <v>0</v>
      </c>
      <c r="Q7877" t="n">
        <v>0</v>
      </c>
      <c r="R7877" t="n">
        <v>0</v>
      </c>
      <c r="S7877" t="n">
        <v>0</v>
      </c>
      <c r="T7877" t="n">
        <v>0</v>
      </c>
      <c r="U7877" t="n">
        <v>0</v>
      </c>
      <c r="V7877" s="2" t="inlineStr"/>
    </row>
    <row r="7878" ht="15" customHeight="1">
      <c r="A7878" t="inlineStr">
        <is>
          <t>A 21795-2026</t>
        </is>
      </c>
      <c r="B7878" t="inlineStr">
        <is>
          <t>avverkningsanmälan</t>
        </is>
      </c>
      <c r="C7878" t="inlineStr">
        <is>
          <t>Föryngringsavverkning</t>
        </is>
      </c>
      <c r="D7878" s="1" t="n">
        <v>46150</v>
      </c>
      <c r="E7878" s="1" t="n">
        <v>46319</v>
      </c>
      <c r="F7878" t="inlineStr">
        <is>
          <t>DALARNAS LÄN</t>
        </is>
      </c>
      <c r="G7878" t="inlineStr">
        <is>
          <t>FALUN</t>
        </is>
      </c>
      <c r="H7878" t="inlineStr">
        <is>
          <t>Bergvik skog väst AB</t>
        </is>
      </c>
      <c r="I7878" t="n">
        <v>2.7</v>
      </c>
      <c r="J7878" t="n">
        <v>0</v>
      </c>
      <c r="K7878" t="n">
        <v>0</v>
      </c>
      <c r="L7878" t="n">
        <v>0</v>
      </c>
      <c r="M7878" t="n">
        <v>0</v>
      </c>
      <c r="N7878" t="n">
        <v>0</v>
      </c>
      <c r="O7878" t="n">
        <v>0</v>
      </c>
      <c r="P7878" t="n">
        <v>0</v>
      </c>
      <c r="Q7878" t="n">
        <v>0</v>
      </c>
      <c r="R7878" t="n">
        <v>0</v>
      </c>
      <c r="S7878" t="n">
        <v>0</v>
      </c>
      <c r="T7878" t="n">
        <v>0</v>
      </c>
      <c r="U7878" t="n">
        <v>0</v>
      </c>
      <c r="V7878" s="2" t="inlineStr"/>
    </row>
    <row r="7879" ht="15" customHeight="1">
      <c r="A7879" t="inlineStr">
        <is>
          <t>A 21713-2026</t>
        </is>
      </c>
      <c r="B7879" t="inlineStr">
        <is>
          <t>avverkningsanmälan</t>
        </is>
      </c>
      <c r="C7879" t="inlineStr">
        <is>
          <t>Föryngringsavverkning</t>
        </is>
      </c>
      <c r="D7879" s="1" t="n">
        <v>46149</v>
      </c>
      <c r="E7879" s="1" t="n">
        <v>46319</v>
      </c>
      <c r="F7879" t="inlineStr">
        <is>
          <t>DALARNAS LÄN</t>
        </is>
      </c>
      <c r="G7879" t="inlineStr">
        <is>
          <t>ÄLVDALEN</t>
        </is>
      </c>
      <c r="H7879" t="inlineStr">
        <is>
          <t>Bergvik skog väst AB</t>
        </is>
      </c>
      <c r="I7879" t="n">
        <v>2.9</v>
      </c>
      <c r="J7879" t="n">
        <v>0</v>
      </c>
      <c r="K7879" t="n">
        <v>0</v>
      </c>
      <c r="L7879" t="n">
        <v>0</v>
      </c>
      <c r="M7879" t="n">
        <v>0</v>
      </c>
      <c r="N7879" t="n">
        <v>0</v>
      </c>
      <c r="O7879" t="n">
        <v>0</v>
      </c>
      <c r="P7879" t="n">
        <v>0</v>
      </c>
      <c r="Q7879" t="n">
        <v>0</v>
      </c>
      <c r="R7879" t="n">
        <v>0</v>
      </c>
      <c r="S7879" t="n">
        <v>0</v>
      </c>
      <c r="T7879" t="n">
        <v>0</v>
      </c>
      <c r="U7879" t="n">
        <v>0</v>
      </c>
      <c r="V7879" s="2" t="inlineStr"/>
    </row>
    <row r="7880" ht="15" customHeight="1">
      <c r="A7880" t="inlineStr">
        <is>
          <t>A 13812-2023</t>
        </is>
      </c>
      <c r="B7880" t="inlineStr">
        <is>
          <t>avverkningsanmälan</t>
        </is>
      </c>
      <c r="C7880" t="inlineStr">
        <is>
          <t>Föryngringsavverkning</t>
        </is>
      </c>
      <c r="D7880" s="1" t="n">
        <v>45007</v>
      </c>
      <c r="E7880" s="1" t="n">
        <v>46319</v>
      </c>
      <c r="F7880" t="inlineStr">
        <is>
          <t>DALARNAS LÄN</t>
        </is>
      </c>
      <c r="G7880" t="inlineStr">
        <is>
          <t>MALUNG-SÄLEN</t>
        </is>
      </c>
      <c r="I7880" t="n">
        <v>18.7</v>
      </c>
      <c r="J7880" t="n">
        <v>0</v>
      </c>
      <c r="K7880" t="n">
        <v>0</v>
      </c>
      <c r="L7880" t="n">
        <v>0</v>
      </c>
      <c r="M7880" t="n">
        <v>0</v>
      </c>
      <c r="N7880" t="n">
        <v>0</v>
      </c>
      <c r="O7880" t="n">
        <v>0</v>
      </c>
      <c r="P7880" t="n">
        <v>0</v>
      </c>
      <c r="Q7880" t="n">
        <v>0</v>
      </c>
      <c r="R7880" t="n">
        <v>0</v>
      </c>
      <c r="S7880" t="n">
        <v>0</v>
      </c>
      <c r="T7880" t="n">
        <v>0</v>
      </c>
      <c r="U7880" t="n">
        <v>0</v>
      </c>
      <c r="V7880" s="2" t="inlineStr"/>
    </row>
    <row r="7881" ht="15" customHeight="1">
      <c r="A7881" t="inlineStr">
        <is>
          <t>A 21823-2026</t>
        </is>
      </c>
      <c r="B7881" t="inlineStr">
        <is>
          <t>avverkningsanmälan</t>
        </is>
      </c>
      <c r="C7881" t="inlineStr">
        <is>
          <t>Föryngringsavverkning</t>
        </is>
      </c>
      <c r="D7881" s="1" t="n">
        <v>46150</v>
      </c>
      <c r="E7881" s="1" t="n">
        <v>46319</v>
      </c>
      <c r="F7881" t="inlineStr">
        <is>
          <t>DALARNAS LÄN</t>
        </is>
      </c>
      <c r="G7881" t="inlineStr">
        <is>
          <t>FALUN</t>
        </is>
      </c>
      <c r="I7881" t="n">
        <v>0.9</v>
      </c>
      <c r="J7881" t="n">
        <v>0</v>
      </c>
      <c r="K7881" t="n">
        <v>0</v>
      </c>
      <c r="L7881" t="n">
        <v>0</v>
      </c>
      <c r="M7881" t="n">
        <v>0</v>
      </c>
      <c r="N7881" t="n">
        <v>0</v>
      </c>
      <c r="O7881" t="n">
        <v>0</v>
      </c>
      <c r="P7881" t="n">
        <v>0</v>
      </c>
      <c r="Q7881" t="n">
        <v>0</v>
      </c>
      <c r="R7881" t="n">
        <v>0</v>
      </c>
      <c r="S7881" t="n">
        <v>0</v>
      </c>
      <c r="T7881" t="n">
        <v>0</v>
      </c>
      <c r="U7881" t="n">
        <v>0</v>
      </c>
      <c r="V7881" s="2" t="inlineStr"/>
    </row>
    <row r="7882" ht="15" customHeight="1">
      <c r="A7882" t="inlineStr">
        <is>
          <t>A 21834-2026</t>
        </is>
      </c>
      <c r="B7882" t="inlineStr">
        <is>
          <t>avverkningsanmälan</t>
        </is>
      </c>
      <c r="C7882" t="inlineStr">
        <is>
          <t>Föryngringsavverkning</t>
        </is>
      </c>
      <c r="D7882" s="1" t="n">
        <v>46150</v>
      </c>
      <c r="E7882" s="1" t="n">
        <v>46319</v>
      </c>
      <c r="F7882" t="inlineStr">
        <is>
          <t>DALARNAS LÄN</t>
        </is>
      </c>
      <c r="G7882" t="inlineStr">
        <is>
          <t>FALUN</t>
        </is>
      </c>
      <c r="I7882" t="n">
        <v>0.5</v>
      </c>
      <c r="J7882" t="n">
        <v>0</v>
      </c>
      <c r="K7882" t="n">
        <v>0</v>
      </c>
      <c r="L7882" t="n">
        <v>0</v>
      </c>
      <c r="M7882" t="n">
        <v>0</v>
      </c>
      <c r="N7882" t="n">
        <v>0</v>
      </c>
      <c r="O7882" t="n">
        <v>0</v>
      </c>
      <c r="P7882" t="n">
        <v>0</v>
      </c>
      <c r="Q7882" t="n">
        <v>0</v>
      </c>
      <c r="R7882" t="n">
        <v>0</v>
      </c>
      <c r="S7882" t="n">
        <v>0</v>
      </c>
      <c r="T7882" t="n">
        <v>0</v>
      </c>
      <c r="U7882" t="n">
        <v>0</v>
      </c>
      <c r="V7882" s="2" t="inlineStr"/>
    </row>
    <row r="7883" ht="15" customHeight="1">
      <c r="A7883" t="inlineStr">
        <is>
          <t>A 21840-2026</t>
        </is>
      </c>
      <c r="B7883" t="inlineStr">
        <is>
          <t>avverkningsanmälan</t>
        </is>
      </c>
      <c r="C7883" t="inlineStr">
        <is>
          <t>Föryngringsavverkning</t>
        </is>
      </c>
      <c r="D7883" s="1" t="n">
        <v>46150</v>
      </c>
      <c r="E7883" s="1" t="n">
        <v>46319</v>
      </c>
      <c r="F7883" t="inlineStr">
        <is>
          <t>DALARNAS LÄN</t>
        </is>
      </c>
      <c r="G7883" t="inlineStr">
        <is>
          <t>SMEDJEBACKEN</t>
        </is>
      </c>
      <c r="H7883" t="inlineStr">
        <is>
          <t>Sveaskog</t>
        </is>
      </c>
      <c r="I7883" t="n">
        <v>0.9</v>
      </c>
      <c r="J7883" t="n">
        <v>0</v>
      </c>
      <c r="K7883" t="n">
        <v>0</v>
      </c>
      <c r="L7883" t="n">
        <v>0</v>
      </c>
      <c r="M7883" t="n">
        <v>0</v>
      </c>
      <c r="N7883" t="n">
        <v>0</v>
      </c>
      <c r="O7883" t="n">
        <v>0</v>
      </c>
      <c r="P7883" t="n">
        <v>0</v>
      </c>
      <c r="Q7883" t="n">
        <v>0</v>
      </c>
      <c r="R7883" t="n">
        <v>0</v>
      </c>
      <c r="S7883" t="n">
        <v>0</v>
      </c>
      <c r="T7883" t="n">
        <v>0</v>
      </c>
      <c r="U7883" t="n">
        <v>0</v>
      </c>
      <c r="V7883" s="2" t="inlineStr"/>
    </row>
    <row r="7884" ht="15" customHeight="1">
      <c r="A7884" t="inlineStr">
        <is>
          <t>A 21841-2026</t>
        </is>
      </c>
      <c r="B7884" t="inlineStr">
        <is>
          <t>avverkningsanmälan</t>
        </is>
      </c>
      <c r="C7884" t="inlineStr">
        <is>
          <t>Föryngringsavverkning</t>
        </is>
      </c>
      <c r="D7884" s="1" t="n">
        <v>46150</v>
      </c>
      <c r="E7884" s="1" t="n">
        <v>46319</v>
      </c>
      <c r="F7884" t="inlineStr">
        <is>
          <t>DALARNAS LÄN</t>
        </is>
      </c>
      <c r="G7884" t="inlineStr">
        <is>
          <t>SMEDJEBACKEN</t>
        </is>
      </c>
      <c r="H7884" t="inlineStr">
        <is>
          <t>Sveaskog</t>
        </is>
      </c>
      <c r="I7884" t="n">
        <v>3.6</v>
      </c>
      <c r="J7884" t="n">
        <v>0</v>
      </c>
      <c r="K7884" t="n">
        <v>0</v>
      </c>
      <c r="L7884" t="n">
        <v>0</v>
      </c>
      <c r="M7884" t="n">
        <v>0</v>
      </c>
      <c r="N7884" t="n">
        <v>0</v>
      </c>
      <c r="O7884" t="n">
        <v>0</v>
      </c>
      <c r="P7884" t="n">
        <v>0</v>
      </c>
      <c r="Q7884" t="n">
        <v>0</v>
      </c>
      <c r="R7884" t="n">
        <v>0</v>
      </c>
      <c r="S7884" t="n">
        <v>0</v>
      </c>
      <c r="T7884" t="n">
        <v>0</v>
      </c>
      <c r="U7884" t="n">
        <v>0</v>
      </c>
      <c r="V7884" s="2" t="inlineStr"/>
    </row>
    <row r="7885" ht="15" customHeight="1">
      <c r="A7885" t="inlineStr">
        <is>
          <t>A 24982-2023</t>
        </is>
      </c>
      <c r="B7885" t="inlineStr">
        <is>
          <t>avverkningsanmälan</t>
        </is>
      </c>
      <c r="C7885" t="inlineStr">
        <is>
          <t>Föryngringsavverkning</t>
        </is>
      </c>
      <c r="D7885" s="1" t="n">
        <v>45085</v>
      </c>
      <c r="E7885" s="1" t="n">
        <v>46319</v>
      </c>
      <c r="F7885" t="inlineStr">
        <is>
          <t>DALARNAS LÄN</t>
        </is>
      </c>
      <c r="G7885" t="inlineStr">
        <is>
          <t>VANSBRO</t>
        </is>
      </c>
      <c r="I7885" t="n">
        <v>1.1</v>
      </c>
      <c r="J7885" t="n">
        <v>0</v>
      </c>
      <c r="K7885" t="n">
        <v>0</v>
      </c>
      <c r="L7885" t="n">
        <v>0</v>
      </c>
      <c r="M7885" t="n">
        <v>0</v>
      </c>
      <c r="N7885" t="n">
        <v>0</v>
      </c>
      <c r="O7885" t="n">
        <v>0</v>
      </c>
      <c r="P7885" t="n">
        <v>0</v>
      </c>
      <c r="Q7885" t="n">
        <v>0</v>
      </c>
      <c r="R7885" t="n">
        <v>0</v>
      </c>
      <c r="S7885" t="n">
        <v>0</v>
      </c>
      <c r="T7885" t="n">
        <v>0</v>
      </c>
      <c r="U7885" t="n">
        <v>0</v>
      </c>
      <c r="V7885" s="2" t="inlineStr"/>
    </row>
    <row r="7886" ht="15" customHeight="1">
      <c r="A7886" t="inlineStr">
        <is>
          <t>A 21895-2026</t>
        </is>
      </c>
      <c r="B7886" t="inlineStr">
        <is>
          <t>avverkningsanmälan</t>
        </is>
      </c>
      <c r="C7886" t="inlineStr">
        <is>
          <t>Föryngringsavverkning</t>
        </is>
      </c>
      <c r="D7886" s="1" t="n">
        <v>46150</v>
      </c>
      <c r="E7886" s="1" t="n">
        <v>46319</v>
      </c>
      <c r="F7886" t="inlineStr">
        <is>
          <t>DALARNAS LÄN</t>
        </is>
      </c>
      <c r="G7886" t="inlineStr">
        <is>
          <t>FALUN</t>
        </is>
      </c>
      <c r="I7886" t="n">
        <v>6.3</v>
      </c>
      <c r="J7886" t="n">
        <v>0</v>
      </c>
      <c r="K7886" t="n">
        <v>0</v>
      </c>
      <c r="L7886" t="n">
        <v>0</v>
      </c>
      <c r="M7886" t="n">
        <v>0</v>
      </c>
      <c r="N7886" t="n">
        <v>0</v>
      </c>
      <c r="O7886" t="n">
        <v>0</v>
      </c>
      <c r="P7886" t="n">
        <v>0</v>
      </c>
      <c r="Q7886" t="n">
        <v>0</v>
      </c>
      <c r="R7886" t="n">
        <v>0</v>
      </c>
      <c r="S7886" t="n">
        <v>0</v>
      </c>
      <c r="T7886" t="n">
        <v>0</v>
      </c>
      <c r="U7886" t="n">
        <v>0</v>
      </c>
      <c r="V7886" s="2" t="inlineStr"/>
    </row>
    <row r="7887" ht="15" customHeight="1">
      <c r="A7887" t="inlineStr">
        <is>
          <t>A 26216-2023</t>
        </is>
      </c>
      <c r="B7887" t="inlineStr">
        <is>
          <t>avverkningsanmälan</t>
        </is>
      </c>
      <c r="C7887" t="inlineStr">
        <is>
          <t>Föryngringsavverkning</t>
        </is>
      </c>
      <c r="D7887" s="1" t="n">
        <v>45091</v>
      </c>
      <c r="E7887" s="1" t="n">
        <v>46319</v>
      </c>
      <c r="F7887" t="inlineStr">
        <is>
          <t>DALARNAS LÄN</t>
        </is>
      </c>
      <c r="G7887" t="inlineStr">
        <is>
          <t>BORLÄNGE</t>
        </is>
      </c>
      <c r="I7887" t="n">
        <v>6.2</v>
      </c>
      <c r="J7887" t="n">
        <v>0</v>
      </c>
      <c r="K7887" t="n">
        <v>0</v>
      </c>
      <c r="L7887" t="n">
        <v>0</v>
      </c>
      <c r="M7887" t="n">
        <v>0</v>
      </c>
      <c r="N7887" t="n">
        <v>0</v>
      </c>
      <c r="O7887" t="n">
        <v>0</v>
      </c>
      <c r="P7887" t="n">
        <v>0</v>
      </c>
      <c r="Q7887" t="n">
        <v>0</v>
      </c>
      <c r="R7887" t="n">
        <v>0</v>
      </c>
      <c r="S7887" t="n">
        <v>0</v>
      </c>
      <c r="T7887" t="n">
        <v>0</v>
      </c>
      <c r="U7887" t="n">
        <v>0</v>
      </c>
      <c r="V7887" s="2" t="inlineStr"/>
    </row>
    <row r="7888" ht="15" customHeight="1">
      <c r="A7888" t="inlineStr">
        <is>
          <t>A 21636-2026</t>
        </is>
      </c>
      <c r="B7888" t="inlineStr">
        <is>
          <t>avverkningsanmälan</t>
        </is>
      </c>
      <c r="C7888" t="inlineStr">
        <is>
          <t>Föryngringsavverkning</t>
        </is>
      </c>
      <c r="D7888" s="1" t="n">
        <v>46149</v>
      </c>
      <c r="E7888" s="1" t="n">
        <v>46319</v>
      </c>
      <c r="F7888" t="inlineStr">
        <is>
          <t>DALARNAS LÄN</t>
        </is>
      </c>
      <c r="G7888" t="inlineStr">
        <is>
          <t>FALUN</t>
        </is>
      </c>
      <c r="H7888" t="inlineStr">
        <is>
          <t>Bergvik skog väst AB</t>
        </is>
      </c>
      <c r="I7888" t="n">
        <v>7.7</v>
      </c>
      <c r="J7888" t="n">
        <v>0</v>
      </c>
      <c r="K7888" t="n">
        <v>0</v>
      </c>
      <c r="L7888" t="n">
        <v>0</v>
      </c>
      <c r="M7888" t="n">
        <v>0</v>
      </c>
      <c r="N7888" t="n">
        <v>0</v>
      </c>
      <c r="O7888" t="n">
        <v>0</v>
      </c>
      <c r="P7888" t="n">
        <v>0</v>
      </c>
      <c r="Q7888" t="n">
        <v>0</v>
      </c>
      <c r="R7888" t="n">
        <v>0</v>
      </c>
      <c r="S7888" t="n">
        <v>0</v>
      </c>
      <c r="T7888" t="n">
        <v>0</v>
      </c>
      <c r="U7888" t="n">
        <v>0</v>
      </c>
      <c r="V7888" s="2" t="inlineStr"/>
    </row>
    <row r="7889" ht="15" customHeight="1">
      <c r="A7889" t="inlineStr">
        <is>
          <t>A 21631-2026</t>
        </is>
      </c>
      <c r="B7889" t="inlineStr">
        <is>
          <t>avverkningsanmälan</t>
        </is>
      </c>
      <c r="C7889" t="inlineStr">
        <is>
          <t>Föryngringsavverkning</t>
        </is>
      </c>
      <c r="D7889" s="1" t="n">
        <v>46149</v>
      </c>
      <c r="E7889" s="1" t="n">
        <v>46319</v>
      </c>
      <c r="F7889" t="inlineStr">
        <is>
          <t>DALARNAS LÄN</t>
        </is>
      </c>
      <c r="G7889" t="inlineStr">
        <is>
          <t>SMEDJEBACKEN</t>
        </is>
      </c>
      <c r="H7889" t="inlineStr">
        <is>
          <t>Sveaskog</t>
        </is>
      </c>
      <c r="I7889" t="n">
        <v>4.9</v>
      </c>
      <c r="J7889" t="n">
        <v>0</v>
      </c>
      <c r="K7889" t="n">
        <v>0</v>
      </c>
      <c r="L7889" t="n">
        <v>0</v>
      </c>
      <c r="M7889" t="n">
        <v>0</v>
      </c>
      <c r="N7889" t="n">
        <v>0</v>
      </c>
      <c r="O7889" t="n">
        <v>0</v>
      </c>
      <c r="P7889" t="n">
        <v>0</v>
      </c>
      <c r="Q7889" t="n">
        <v>0</v>
      </c>
      <c r="R7889" t="n">
        <v>0</v>
      </c>
      <c r="S7889" t="n">
        <v>0</v>
      </c>
      <c r="T7889" t="n">
        <v>0</v>
      </c>
      <c r="U7889" t="n">
        <v>0</v>
      </c>
      <c r="V7889" s="2" t="inlineStr"/>
    </row>
    <row r="7890" ht="15" customHeight="1">
      <c r="A7890" t="inlineStr">
        <is>
          <t>A 13583-2022</t>
        </is>
      </c>
      <c r="B7890" t="inlineStr">
        <is>
          <t>avverkningsanmälan</t>
        </is>
      </c>
      <c r="C7890" t="inlineStr">
        <is>
          <t>Avverkning för annat ändamål</t>
        </is>
      </c>
      <c r="D7890" s="1" t="n">
        <v>44648</v>
      </c>
      <c r="E7890" s="1" t="n">
        <v>46319</v>
      </c>
      <c r="F7890" t="inlineStr">
        <is>
          <t>DALARNAS LÄN</t>
        </is>
      </c>
      <c r="G7890" t="inlineStr">
        <is>
          <t>FALUN</t>
        </is>
      </c>
      <c r="I7890" t="n">
        <v>1.6</v>
      </c>
      <c r="J7890" t="n">
        <v>0</v>
      </c>
      <c r="K7890" t="n">
        <v>0</v>
      </c>
      <c r="L7890" t="n">
        <v>0</v>
      </c>
      <c r="M7890" t="n">
        <v>0</v>
      </c>
      <c r="N7890" t="n">
        <v>0</v>
      </c>
      <c r="O7890" t="n">
        <v>0</v>
      </c>
      <c r="P7890" t="n">
        <v>0</v>
      </c>
      <c r="Q7890" t="n">
        <v>0</v>
      </c>
      <c r="R7890" t="n">
        <v>0</v>
      </c>
      <c r="S7890" t="n">
        <v>0</v>
      </c>
      <c r="T7890" t="n">
        <v>0</v>
      </c>
      <c r="U7890" t="n">
        <v>0</v>
      </c>
      <c r="V7890" s="2" t="inlineStr"/>
    </row>
    <row r="7891" ht="15" customHeight="1">
      <c r="A7891" t="inlineStr">
        <is>
          <t>A 60619-2022</t>
        </is>
      </c>
      <c r="B7891" t="inlineStr">
        <is>
          <t>avverkningsanmälan</t>
        </is>
      </c>
      <c r="C7891" t="inlineStr">
        <is>
          <t>Föryngringsavverkning</t>
        </is>
      </c>
      <c r="D7891" s="1" t="n">
        <v>44911</v>
      </c>
      <c r="E7891" s="1" t="n">
        <v>46319</v>
      </c>
      <c r="F7891" t="inlineStr">
        <is>
          <t>DALARNAS LÄN</t>
        </is>
      </c>
      <c r="G7891" t="inlineStr">
        <is>
          <t>RÄTTVIK</t>
        </is>
      </c>
      <c r="I7891" t="n">
        <v>0.8</v>
      </c>
      <c r="J7891" t="n">
        <v>0</v>
      </c>
      <c r="K7891" t="n">
        <v>0</v>
      </c>
      <c r="L7891" t="n">
        <v>0</v>
      </c>
      <c r="M7891" t="n">
        <v>0</v>
      </c>
      <c r="N7891" t="n">
        <v>0</v>
      </c>
      <c r="O7891" t="n">
        <v>0</v>
      </c>
      <c r="P7891" t="n">
        <v>0</v>
      </c>
      <c r="Q7891" t="n">
        <v>0</v>
      </c>
      <c r="R7891" t="n">
        <v>0</v>
      </c>
      <c r="S7891" t="n">
        <v>0</v>
      </c>
      <c r="T7891" t="n">
        <v>0</v>
      </c>
      <c r="U7891" t="n">
        <v>0</v>
      </c>
      <c r="V7891" s="2" t="inlineStr"/>
    </row>
    <row r="7892" ht="15" customHeight="1">
      <c r="A7892" t="inlineStr">
        <is>
          <t>A 22984-2022</t>
        </is>
      </c>
      <c r="B7892" t="inlineStr">
        <is>
          <t>avverkningsanmälan</t>
        </is>
      </c>
      <c r="C7892" t="inlineStr">
        <is>
          <t>Föryngringsavverkning</t>
        </is>
      </c>
      <c r="D7892" s="1" t="n">
        <v>44718</v>
      </c>
      <c r="E7892" s="1" t="n">
        <v>46319</v>
      </c>
      <c r="F7892" t="inlineStr">
        <is>
          <t>DALARNAS LÄN</t>
        </is>
      </c>
      <c r="G7892" t="inlineStr">
        <is>
          <t>SMEDJEBACKEN</t>
        </is>
      </c>
      <c r="I7892" t="n">
        <v>1.1</v>
      </c>
      <c r="J7892" t="n">
        <v>0</v>
      </c>
      <c r="K7892" t="n">
        <v>0</v>
      </c>
      <c r="L7892" t="n">
        <v>0</v>
      </c>
      <c r="M7892" t="n">
        <v>0</v>
      </c>
      <c r="N7892" t="n">
        <v>0</v>
      </c>
      <c r="O7892" t="n">
        <v>0</v>
      </c>
      <c r="P7892" t="n">
        <v>0</v>
      </c>
      <c r="Q7892" t="n">
        <v>0</v>
      </c>
      <c r="R7892" t="n">
        <v>0</v>
      </c>
      <c r="S7892" t="n">
        <v>0</v>
      </c>
      <c r="T7892" t="n">
        <v>0</v>
      </c>
      <c r="U7892" t="n">
        <v>0</v>
      </c>
      <c r="V7892" s="2" t="inlineStr"/>
    </row>
    <row r="7893" ht="15" customHeight="1">
      <c r="A7893" t="inlineStr">
        <is>
          <t>A 10261-2022</t>
        </is>
      </c>
      <c r="B7893" t="inlineStr">
        <is>
          <t>avverkningsanmälan</t>
        </is>
      </c>
      <c r="C7893" t="inlineStr">
        <is>
          <t>Föryngringsavverkning</t>
        </is>
      </c>
      <c r="D7893" s="1" t="n">
        <v>44622</v>
      </c>
      <c r="E7893" s="1" t="n">
        <v>46319</v>
      </c>
      <c r="F7893" t="inlineStr">
        <is>
          <t>DALARNAS LÄN</t>
        </is>
      </c>
      <c r="G7893" t="inlineStr">
        <is>
          <t>ORSA</t>
        </is>
      </c>
      <c r="I7893" t="n">
        <v>3.1</v>
      </c>
      <c r="J7893" t="n">
        <v>0</v>
      </c>
      <c r="K7893" t="n">
        <v>0</v>
      </c>
      <c r="L7893" t="n">
        <v>0</v>
      </c>
      <c r="M7893" t="n">
        <v>0</v>
      </c>
      <c r="N7893" t="n">
        <v>0</v>
      </c>
      <c r="O7893" t="n">
        <v>0</v>
      </c>
      <c r="P7893" t="n">
        <v>0</v>
      </c>
      <c r="Q7893" t="n">
        <v>0</v>
      </c>
      <c r="R7893" t="n">
        <v>0</v>
      </c>
      <c r="S7893" t="n">
        <v>0</v>
      </c>
      <c r="T7893" t="n">
        <v>0</v>
      </c>
      <c r="U7893" t="n">
        <v>0</v>
      </c>
      <c r="V7893" s="2" t="inlineStr"/>
    </row>
    <row r="7894" ht="15" customHeight="1">
      <c r="A7894" t="inlineStr">
        <is>
          <t>A 21632-2026</t>
        </is>
      </c>
      <c r="B7894" t="inlineStr">
        <is>
          <t>avverkningsanmälan</t>
        </is>
      </c>
      <c r="C7894" t="inlineStr">
        <is>
          <t>Föryngringsavverkning</t>
        </is>
      </c>
      <c r="D7894" s="1" t="n">
        <v>46149</v>
      </c>
      <c r="E7894" s="1" t="n">
        <v>46319</v>
      </c>
      <c r="F7894" t="inlineStr">
        <is>
          <t>DALARNAS LÄN</t>
        </is>
      </c>
      <c r="G7894" t="inlineStr">
        <is>
          <t>SMEDJEBACKEN</t>
        </is>
      </c>
      <c r="H7894" t="inlineStr">
        <is>
          <t>Sveaskog</t>
        </is>
      </c>
      <c r="I7894" t="n">
        <v>12</v>
      </c>
      <c r="J7894" t="n">
        <v>0</v>
      </c>
      <c r="K7894" t="n">
        <v>0</v>
      </c>
      <c r="L7894" t="n">
        <v>0</v>
      </c>
      <c r="M7894" t="n">
        <v>0</v>
      </c>
      <c r="N7894" t="n">
        <v>0</v>
      </c>
      <c r="O7894" t="n">
        <v>0</v>
      </c>
      <c r="P7894" t="n">
        <v>0</v>
      </c>
      <c r="Q7894" t="n">
        <v>0</v>
      </c>
      <c r="R7894" t="n">
        <v>0</v>
      </c>
      <c r="S7894" t="n">
        <v>0</v>
      </c>
      <c r="T7894" t="n">
        <v>0</v>
      </c>
      <c r="U7894" t="n">
        <v>0</v>
      </c>
      <c r="V7894" s="2" t="inlineStr"/>
    </row>
    <row r="7895" ht="15" customHeight="1">
      <c r="A7895" t="inlineStr">
        <is>
          <t>A 21635-2026</t>
        </is>
      </c>
      <c r="B7895" t="inlineStr">
        <is>
          <t>avverkningsanmälan</t>
        </is>
      </c>
      <c r="C7895" t="inlineStr">
        <is>
          <t>Föryngringsavverkning</t>
        </is>
      </c>
      <c r="D7895" s="1" t="n">
        <v>46149</v>
      </c>
      <c r="E7895" s="1" t="n">
        <v>46319</v>
      </c>
      <c r="F7895" t="inlineStr">
        <is>
          <t>DALARNAS LÄN</t>
        </is>
      </c>
      <c r="G7895" t="inlineStr">
        <is>
          <t>FALUN</t>
        </is>
      </c>
      <c r="I7895" t="n">
        <v>1.1</v>
      </c>
      <c r="J7895" t="n">
        <v>0</v>
      </c>
      <c r="K7895" t="n">
        <v>0</v>
      </c>
      <c r="L7895" t="n">
        <v>0</v>
      </c>
      <c r="M7895" t="n">
        <v>0</v>
      </c>
      <c r="N7895" t="n">
        <v>0</v>
      </c>
      <c r="O7895" t="n">
        <v>0</v>
      </c>
      <c r="P7895" t="n">
        <v>0</v>
      </c>
      <c r="Q7895" t="n">
        <v>0</v>
      </c>
      <c r="R7895" t="n">
        <v>0</v>
      </c>
      <c r="S7895" t="n">
        <v>0</v>
      </c>
      <c r="T7895" t="n">
        <v>0</v>
      </c>
      <c r="U7895" t="n">
        <v>0</v>
      </c>
      <c r="V7895" s="2" t="inlineStr"/>
    </row>
    <row r="7896" ht="15" customHeight="1">
      <c r="A7896" t="inlineStr">
        <is>
          <t>A 21872-2026</t>
        </is>
      </c>
      <c r="B7896" t="inlineStr">
        <is>
          <t>avverkningsanmälan</t>
        </is>
      </c>
      <c r="C7896" t="inlineStr">
        <is>
          <t>Föryngringsavverkning</t>
        </is>
      </c>
      <c r="D7896" s="1" t="n">
        <v>46150</v>
      </c>
      <c r="E7896" s="1" t="n">
        <v>46319</v>
      </c>
      <c r="F7896" t="inlineStr">
        <is>
          <t>DALARNAS LÄN</t>
        </is>
      </c>
      <c r="G7896" t="inlineStr">
        <is>
          <t>LUDVIKA</t>
        </is>
      </c>
      <c r="H7896" t="inlineStr">
        <is>
          <t>Bergvik skog väst AB</t>
        </is>
      </c>
      <c r="I7896" t="n">
        <v>1.2</v>
      </c>
      <c r="J7896" t="n">
        <v>0</v>
      </c>
      <c r="K7896" t="n">
        <v>0</v>
      </c>
      <c r="L7896" t="n">
        <v>0</v>
      </c>
      <c r="M7896" t="n">
        <v>0</v>
      </c>
      <c r="N7896" t="n">
        <v>0</v>
      </c>
      <c r="O7896" t="n">
        <v>0</v>
      </c>
      <c r="P7896" t="n">
        <v>0</v>
      </c>
      <c r="Q7896" t="n">
        <v>0</v>
      </c>
      <c r="R7896" t="n">
        <v>0</v>
      </c>
      <c r="S7896" t="n">
        <v>0</v>
      </c>
      <c r="T7896" t="n">
        <v>0</v>
      </c>
      <c r="U7896" t="n">
        <v>0</v>
      </c>
      <c r="V7896" s="2" t="inlineStr"/>
    </row>
    <row r="7897" ht="15" customHeight="1">
      <c r="A7897" t="inlineStr">
        <is>
          <t>A 21873-2026</t>
        </is>
      </c>
      <c r="B7897" t="inlineStr">
        <is>
          <t>avverkningsanmälan</t>
        </is>
      </c>
      <c r="C7897" t="inlineStr">
        <is>
          <t>Föryngringsavverkning</t>
        </is>
      </c>
      <c r="D7897" s="1" t="n">
        <v>46150</v>
      </c>
      <c r="E7897" s="1" t="n">
        <v>46319</v>
      </c>
      <c r="F7897" t="inlineStr">
        <is>
          <t>DALARNAS LÄN</t>
        </is>
      </c>
      <c r="G7897" t="inlineStr">
        <is>
          <t>FALUN</t>
        </is>
      </c>
      <c r="I7897" t="n">
        <v>3.6</v>
      </c>
      <c r="J7897" t="n">
        <v>0</v>
      </c>
      <c r="K7897" t="n">
        <v>0</v>
      </c>
      <c r="L7897" t="n">
        <v>0</v>
      </c>
      <c r="M7897" t="n">
        <v>0</v>
      </c>
      <c r="N7897" t="n">
        <v>0</v>
      </c>
      <c r="O7897" t="n">
        <v>0</v>
      </c>
      <c r="P7897" t="n">
        <v>0</v>
      </c>
      <c r="Q7897" t="n">
        <v>0</v>
      </c>
      <c r="R7897" t="n">
        <v>0</v>
      </c>
      <c r="S7897" t="n">
        <v>0</v>
      </c>
      <c r="T7897" t="n">
        <v>0</v>
      </c>
      <c r="U7897" t="n">
        <v>0</v>
      </c>
      <c r="V7897" s="2" t="inlineStr"/>
    </row>
    <row r="7898" ht="15" customHeight="1">
      <c r="A7898" t="inlineStr">
        <is>
          <t>A 21825-2026</t>
        </is>
      </c>
      <c r="B7898" t="inlineStr">
        <is>
          <t>avverkningsanmälan</t>
        </is>
      </c>
      <c r="C7898" t="inlineStr">
        <is>
          <t>Föryngringsavverkning</t>
        </is>
      </c>
      <c r="D7898" s="1" t="n">
        <v>46150</v>
      </c>
      <c r="E7898" s="1" t="n">
        <v>46319</v>
      </c>
      <c r="F7898" t="inlineStr">
        <is>
          <t>DALARNAS LÄN</t>
        </is>
      </c>
      <c r="G7898" t="inlineStr">
        <is>
          <t>FALUN</t>
        </is>
      </c>
      <c r="I7898" t="n">
        <v>1.1</v>
      </c>
      <c r="J7898" t="n">
        <v>0</v>
      </c>
      <c r="K7898" t="n">
        <v>0</v>
      </c>
      <c r="L7898" t="n">
        <v>0</v>
      </c>
      <c r="M7898" t="n">
        <v>0</v>
      </c>
      <c r="N7898" t="n">
        <v>0</v>
      </c>
      <c r="O7898" t="n">
        <v>0</v>
      </c>
      <c r="P7898" t="n">
        <v>0</v>
      </c>
      <c r="Q7898" t="n">
        <v>0</v>
      </c>
      <c r="R7898" t="n">
        <v>0</v>
      </c>
      <c r="S7898" t="n">
        <v>0</v>
      </c>
      <c r="T7898" t="n">
        <v>0</v>
      </c>
      <c r="U7898" t="n">
        <v>0</v>
      </c>
      <c r="V7898" s="2" t="inlineStr"/>
    </row>
    <row r="7899" ht="15" customHeight="1">
      <c r="A7899" t="inlineStr">
        <is>
          <t>A 19472-2026</t>
        </is>
      </c>
      <c r="B7899" t="inlineStr">
        <is>
          <t>avverkningsanmälan</t>
        </is>
      </c>
      <c r="C7899" t="inlineStr">
        <is>
          <t>Avverkning för annat ändamål</t>
        </is>
      </c>
      <c r="D7899" s="1" t="n">
        <v>46131</v>
      </c>
      <c r="E7899" s="1" t="n">
        <v>46319</v>
      </c>
      <c r="F7899" t="inlineStr">
        <is>
          <t>DALARNAS LÄN</t>
        </is>
      </c>
      <c r="G7899" t="inlineStr">
        <is>
          <t>BORLÄNGE</t>
        </is>
      </c>
      <c r="I7899" t="n">
        <v>0.9</v>
      </c>
      <c r="J7899" t="n">
        <v>0</v>
      </c>
      <c r="K7899" t="n">
        <v>0</v>
      </c>
      <c r="L7899" t="n">
        <v>0</v>
      </c>
      <c r="M7899" t="n">
        <v>0</v>
      </c>
      <c r="N7899" t="n">
        <v>0</v>
      </c>
      <c r="O7899" t="n">
        <v>0</v>
      </c>
      <c r="P7899" t="n">
        <v>0</v>
      </c>
      <c r="Q7899" t="n">
        <v>0</v>
      </c>
      <c r="R7899" t="n">
        <v>0</v>
      </c>
      <c r="S7899" t="n">
        <v>0</v>
      </c>
      <c r="T7899" t="n">
        <v>0</v>
      </c>
      <c r="U7899" t="n">
        <v>0</v>
      </c>
      <c r="V7899" s="2" t="inlineStr"/>
    </row>
    <row r="7900" ht="15" customHeight="1">
      <c r="A7900" t="inlineStr">
        <is>
          <t>A 21896-2026</t>
        </is>
      </c>
      <c r="B7900" t="inlineStr">
        <is>
          <t>avverkningsanmälan</t>
        </is>
      </c>
      <c r="C7900" t="inlineStr">
        <is>
          <t>Föryngringsavverkning</t>
        </is>
      </c>
      <c r="D7900" s="1" t="n">
        <v>46150</v>
      </c>
      <c r="E7900" s="1" t="n">
        <v>46319</v>
      </c>
      <c r="F7900" t="inlineStr">
        <is>
          <t>DALARNAS LÄN</t>
        </is>
      </c>
      <c r="G7900" t="inlineStr">
        <is>
          <t>FALUN</t>
        </is>
      </c>
      <c r="I7900" t="n">
        <v>0.8</v>
      </c>
      <c r="J7900" t="n">
        <v>0</v>
      </c>
      <c r="K7900" t="n">
        <v>0</v>
      </c>
      <c r="L7900" t="n">
        <v>0</v>
      </c>
      <c r="M7900" t="n">
        <v>0</v>
      </c>
      <c r="N7900" t="n">
        <v>0</v>
      </c>
      <c r="O7900" t="n">
        <v>0</v>
      </c>
      <c r="P7900" t="n">
        <v>0</v>
      </c>
      <c r="Q7900" t="n">
        <v>0</v>
      </c>
      <c r="R7900" t="n">
        <v>0</v>
      </c>
      <c r="S7900" t="n">
        <v>0</v>
      </c>
      <c r="T7900" t="n">
        <v>0</v>
      </c>
      <c r="U7900" t="n">
        <v>0</v>
      </c>
      <c r="V7900" s="2" t="inlineStr"/>
    </row>
    <row r="7901" ht="15" customHeight="1">
      <c r="A7901" t="inlineStr">
        <is>
          <t>A 21782-2026</t>
        </is>
      </c>
      <c r="B7901" t="inlineStr">
        <is>
          <t>avverkningsanmälan</t>
        </is>
      </c>
      <c r="C7901" t="inlineStr">
        <is>
          <t>Föryngringsavverkning</t>
        </is>
      </c>
      <c r="D7901" s="1" t="n">
        <v>46150</v>
      </c>
      <c r="E7901" s="1" t="n">
        <v>46319</v>
      </c>
      <c r="F7901" t="inlineStr">
        <is>
          <t>DALARNAS LÄN</t>
        </is>
      </c>
      <c r="G7901" t="inlineStr">
        <is>
          <t>FALUN</t>
        </is>
      </c>
      <c r="I7901" t="n">
        <v>1.3</v>
      </c>
      <c r="J7901" t="n">
        <v>0</v>
      </c>
      <c r="K7901" t="n">
        <v>0</v>
      </c>
      <c r="L7901" t="n">
        <v>0</v>
      </c>
      <c r="M7901" t="n">
        <v>0</v>
      </c>
      <c r="N7901" t="n">
        <v>0</v>
      </c>
      <c r="O7901" t="n">
        <v>0</v>
      </c>
      <c r="P7901" t="n">
        <v>0</v>
      </c>
      <c r="Q7901" t="n">
        <v>0</v>
      </c>
      <c r="R7901" t="n">
        <v>0</v>
      </c>
      <c r="S7901" t="n">
        <v>0</v>
      </c>
      <c r="T7901" t="n">
        <v>0</v>
      </c>
      <c r="U7901" t="n">
        <v>0</v>
      </c>
      <c r="V7901" s="2" t="inlineStr"/>
    </row>
    <row r="7902" ht="15" customHeight="1">
      <c r="A7902" t="inlineStr">
        <is>
          <t>A 21462-2026</t>
        </is>
      </c>
      <c r="B7902" t="inlineStr">
        <is>
          <t>avverkningsanmälan</t>
        </is>
      </c>
      <c r="C7902" t="inlineStr">
        <is>
          <t>Föryngringsavverkning</t>
        </is>
      </c>
      <c r="D7902" s="1" t="n">
        <v>46148</v>
      </c>
      <c r="E7902" s="1" t="n">
        <v>46319</v>
      </c>
      <c r="F7902" t="inlineStr">
        <is>
          <t>DALARNAS LÄN</t>
        </is>
      </c>
      <c r="G7902" t="inlineStr">
        <is>
          <t>LUDVIKA</t>
        </is>
      </c>
      <c r="H7902" t="inlineStr">
        <is>
          <t>Bergvik skog väst AB</t>
        </is>
      </c>
      <c r="I7902" t="n">
        <v>3.2</v>
      </c>
      <c r="J7902" t="n">
        <v>0</v>
      </c>
      <c r="K7902" t="n">
        <v>0</v>
      </c>
      <c r="L7902" t="n">
        <v>0</v>
      </c>
      <c r="M7902" t="n">
        <v>0</v>
      </c>
      <c r="N7902" t="n">
        <v>0</v>
      </c>
      <c r="O7902" t="n">
        <v>0</v>
      </c>
      <c r="P7902" t="n">
        <v>0</v>
      </c>
      <c r="Q7902" t="n">
        <v>0</v>
      </c>
      <c r="R7902" t="n">
        <v>0</v>
      </c>
      <c r="S7902" t="n">
        <v>0</v>
      </c>
      <c r="T7902" t="n">
        <v>0</v>
      </c>
      <c r="U7902" t="n">
        <v>0</v>
      </c>
      <c r="V7902" s="2" t="inlineStr"/>
    </row>
    <row r="7903" ht="15" customHeight="1">
      <c r="A7903" t="inlineStr">
        <is>
          <t>A 14931-2024</t>
        </is>
      </c>
      <c r="B7903" t="inlineStr">
        <is>
          <t>avverkningsanmälan</t>
        </is>
      </c>
      <c r="C7903" t="inlineStr">
        <is>
          <t>Föryngringsavverkning</t>
        </is>
      </c>
      <c r="D7903" s="1" t="n">
        <v>45398</v>
      </c>
      <c r="E7903" s="1" t="n">
        <v>46319</v>
      </c>
      <c r="F7903" t="inlineStr">
        <is>
          <t>DALARNAS LÄN</t>
        </is>
      </c>
      <c r="G7903" t="inlineStr">
        <is>
          <t>SÄTER</t>
        </is>
      </c>
      <c r="I7903" t="n">
        <v>1.6</v>
      </c>
      <c r="J7903" t="n">
        <v>0</v>
      </c>
      <c r="K7903" t="n">
        <v>0</v>
      </c>
      <c r="L7903" t="n">
        <v>0</v>
      </c>
      <c r="M7903" t="n">
        <v>0</v>
      </c>
      <c r="N7903" t="n">
        <v>0</v>
      </c>
      <c r="O7903" t="n">
        <v>0</v>
      </c>
      <c r="P7903" t="n">
        <v>0</v>
      </c>
      <c r="Q7903" t="n">
        <v>0</v>
      </c>
      <c r="R7903" t="n">
        <v>0</v>
      </c>
      <c r="S7903" t="n">
        <v>0</v>
      </c>
      <c r="T7903" t="n">
        <v>0</v>
      </c>
      <c r="U7903" t="n">
        <v>0</v>
      </c>
      <c r="V7903" s="2" t="inlineStr"/>
    </row>
    <row r="7904" ht="15" customHeight="1">
      <c r="A7904" t="inlineStr">
        <is>
          <t>A 21701-2026</t>
        </is>
      </c>
      <c r="B7904" t="inlineStr">
        <is>
          <t>avverkningsanmälan</t>
        </is>
      </c>
      <c r="C7904" t="inlineStr">
        <is>
          <t>Föryngringsavverkning</t>
        </is>
      </c>
      <c r="D7904" s="1" t="n">
        <v>46149</v>
      </c>
      <c r="E7904" s="1" t="n">
        <v>46319</v>
      </c>
      <c r="F7904" t="inlineStr">
        <is>
          <t>DALARNAS LÄN</t>
        </is>
      </c>
      <c r="G7904" t="inlineStr">
        <is>
          <t>FALUN</t>
        </is>
      </c>
      <c r="H7904" t="inlineStr">
        <is>
          <t>Bergvik skog väst AB</t>
        </is>
      </c>
      <c r="I7904" t="n">
        <v>3</v>
      </c>
      <c r="J7904" t="n">
        <v>0</v>
      </c>
      <c r="K7904" t="n">
        <v>0</v>
      </c>
      <c r="L7904" t="n">
        <v>0</v>
      </c>
      <c r="M7904" t="n">
        <v>0</v>
      </c>
      <c r="N7904" t="n">
        <v>0</v>
      </c>
      <c r="O7904" t="n">
        <v>0</v>
      </c>
      <c r="P7904" t="n">
        <v>0</v>
      </c>
      <c r="Q7904" t="n">
        <v>0</v>
      </c>
      <c r="R7904" t="n">
        <v>0</v>
      </c>
      <c r="S7904" t="n">
        <v>0</v>
      </c>
      <c r="T7904" t="n">
        <v>0</v>
      </c>
      <c r="U7904" t="n">
        <v>0</v>
      </c>
      <c r="V7904" s="2" t="inlineStr"/>
    </row>
    <row r="7905" ht="15" customHeight="1">
      <c r="A7905" t="inlineStr">
        <is>
          <t>A 21723-2026</t>
        </is>
      </c>
      <c r="B7905" t="inlineStr">
        <is>
          <t>avverkningsanmälan</t>
        </is>
      </c>
      <c r="C7905" t="inlineStr">
        <is>
          <t>Föryngringsavverkning</t>
        </is>
      </c>
      <c r="D7905" s="1" t="n">
        <v>46149</v>
      </c>
      <c r="E7905" s="1" t="n">
        <v>46319</v>
      </c>
      <c r="F7905" t="inlineStr">
        <is>
          <t>DALARNAS LÄN</t>
        </is>
      </c>
      <c r="G7905" t="inlineStr">
        <is>
          <t>RÄTTVIK</t>
        </is>
      </c>
      <c r="H7905" t="inlineStr">
        <is>
          <t>Bergvik skog väst AB</t>
        </is>
      </c>
      <c r="I7905" t="n">
        <v>0.9</v>
      </c>
      <c r="J7905" t="n">
        <v>0</v>
      </c>
      <c r="K7905" t="n">
        <v>0</v>
      </c>
      <c r="L7905" t="n">
        <v>0</v>
      </c>
      <c r="M7905" t="n">
        <v>0</v>
      </c>
      <c r="N7905" t="n">
        <v>0</v>
      </c>
      <c r="O7905" t="n">
        <v>0</v>
      </c>
      <c r="P7905" t="n">
        <v>0</v>
      </c>
      <c r="Q7905" t="n">
        <v>0</v>
      </c>
      <c r="R7905" t="n">
        <v>0</v>
      </c>
      <c r="S7905" t="n">
        <v>0</v>
      </c>
      <c r="T7905" t="n">
        <v>0</v>
      </c>
      <c r="U7905" t="n">
        <v>0</v>
      </c>
      <c r="V7905" s="2" t="inlineStr"/>
    </row>
    <row r="7906" ht="15" customHeight="1">
      <c r="A7906" t="inlineStr">
        <is>
          <t>A 21744-2026</t>
        </is>
      </c>
      <c r="B7906" t="inlineStr">
        <is>
          <t>avverkningsanmälan</t>
        </is>
      </c>
      <c r="C7906" t="inlineStr">
        <is>
          <t>Föryngringsavverkning</t>
        </is>
      </c>
      <c r="D7906" s="1" t="n">
        <v>46149</v>
      </c>
      <c r="E7906" s="1" t="n">
        <v>46319</v>
      </c>
      <c r="F7906" t="inlineStr">
        <is>
          <t>DALARNAS LÄN</t>
        </is>
      </c>
      <c r="G7906" t="inlineStr">
        <is>
          <t>VANSBRO</t>
        </is>
      </c>
      <c r="H7906" t="inlineStr">
        <is>
          <t>Bergvik skog öst AB</t>
        </is>
      </c>
      <c r="I7906" t="n">
        <v>2.1</v>
      </c>
      <c r="J7906" t="n">
        <v>0</v>
      </c>
      <c r="K7906" t="n">
        <v>0</v>
      </c>
      <c r="L7906" t="n">
        <v>0</v>
      </c>
      <c r="M7906" t="n">
        <v>0</v>
      </c>
      <c r="N7906" t="n">
        <v>0</v>
      </c>
      <c r="O7906" t="n">
        <v>0</v>
      </c>
      <c r="P7906" t="n">
        <v>0</v>
      </c>
      <c r="Q7906" t="n">
        <v>0</v>
      </c>
      <c r="R7906" t="n">
        <v>0</v>
      </c>
      <c r="S7906" t="n">
        <v>0</v>
      </c>
      <c r="T7906" t="n">
        <v>0</v>
      </c>
      <c r="U7906" t="n">
        <v>0</v>
      </c>
      <c r="V7906" s="2" t="inlineStr"/>
    </row>
    <row r="7907" ht="15" customHeight="1">
      <c r="A7907" t="inlineStr">
        <is>
          <t>A 15629-2022</t>
        </is>
      </c>
      <c r="B7907" t="inlineStr">
        <is>
          <t>avverkningsanmälan</t>
        </is>
      </c>
      <c r="C7907" t="inlineStr">
        <is>
          <t>Föryngringsavverkning</t>
        </is>
      </c>
      <c r="D7907" s="1" t="n">
        <v>44662</v>
      </c>
      <c r="E7907" s="1" t="n">
        <v>46319</v>
      </c>
      <c r="F7907" t="inlineStr">
        <is>
          <t>DALARNAS LÄN</t>
        </is>
      </c>
      <c r="G7907" t="inlineStr">
        <is>
          <t>GAGNEF</t>
        </is>
      </c>
      <c r="I7907" t="n">
        <v>2.8</v>
      </c>
      <c r="J7907" t="n">
        <v>0</v>
      </c>
      <c r="K7907" t="n">
        <v>0</v>
      </c>
      <c r="L7907" t="n">
        <v>0</v>
      </c>
      <c r="M7907" t="n">
        <v>0</v>
      </c>
      <c r="N7907" t="n">
        <v>0</v>
      </c>
      <c r="O7907" t="n">
        <v>0</v>
      </c>
      <c r="P7907" t="n">
        <v>0</v>
      </c>
      <c r="Q7907" t="n">
        <v>0</v>
      </c>
      <c r="R7907" t="n">
        <v>0</v>
      </c>
      <c r="S7907" t="n">
        <v>0</v>
      </c>
      <c r="T7907" t="n">
        <v>0</v>
      </c>
      <c r="U7907" t="n">
        <v>0</v>
      </c>
      <c r="V7907" s="2" t="inlineStr"/>
    </row>
    <row r="7908" ht="15" customHeight="1">
      <c r="A7908" t="inlineStr">
        <is>
          <t>A 24481-2023</t>
        </is>
      </c>
      <c r="B7908" t="inlineStr">
        <is>
          <t>avverkningsanmälan</t>
        </is>
      </c>
      <c r="C7908" t="inlineStr">
        <is>
          <t>Föryngringsavverkning</t>
        </is>
      </c>
      <c r="D7908" s="1" t="n">
        <v>45082</v>
      </c>
      <c r="E7908" s="1" t="n">
        <v>46319</v>
      </c>
      <c r="F7908" t="inlineStr">
        <is>
          <t>DALARNAS LÄN</t>
        </is>
      </c>
      <c r="G7908" t="inlineStr">
        <is>
          <t>VANSBRO</t>
        </is>
      </c>
      <c r="H7908" t="inlineStr">
        <is>
          <t>Bergvik skog väst AB</t>
        </is>
      </c>
      <c r="I7908" t="n">
        <v>1</v>
      </c>
      <c r="J7908" t="n">
        <v>0</v>
      </c>
      <c r="K7908" t="n">
        <v>0</v>
      </c>
      <c r="L7908" t="n">
        <v>0</v>
      </c>
      <c r="M7908" t="n">
        <v>0</v>
      </c>
      <c r="N7908" t="n">
        <v>0</v>
      </c>
      <c r="O7908" t="n">
        <v>0</v>
      </c>
      <c r="P7908" t="n">
        <v>0</v>
      </c>
      <c r="Q7908" t="n">
        <v>0</v>
      </c>
      <c r="R7908" t="n">
        <v>0</v>
      </c>
      <c r="S7908" t="n">
        <v>0</v>
      </c>
      <c r="T7908" t="n">
        <v>0</v>
      </c>
      <c r="U7908" t="n">
        <v>0</v>
      </c>
      <c r="V7908" s="2" t="inlineStr"/>
    </row>
    <row r="7909" ht="15" customHeight="1">
      <c r="A7909" t="inlineStr">
        <is>
          <t>A 21757-2026</t>
        </is>
      </c>
      <c r="B7909" t="inlineStr">
        <is>
          <t>avverkningsanmälan</t>
        </is>
      </c>
      <c r="C7909" t="inlineStr">
        <is>
          <t>Föryngringsavverkning</t>
        </is>
      </c>
      <c r="D7909" s="1" t="n">
        <v>46149</v>
      </c>
      <c r="E7909" s="1" t="n">
        <v>46319</v>
      </c>
      <c r="F7909" t="inlineStr">
        <is>
          <t>DALARNAS LÄN</t>
        </is>
      </c>
      <c r="G7909" t="inlineStr">
        <is>
          <t>MALUNG-SÄLEN</t>
        </is>
      </c>
      <c r="H7909" t="inlineStr">
        <is>
          <t>Bergvik skog väst AB</t>
        </is>
      </c>
      <c r="I7909" t="n">
        <v>24.4</v>
      </c>
      <c r="J7909" t="n">
        <v>0</v>
      </c>
      <c r="K7909" t="n">
        <v>0</v>
      </c>
      <c r="L7909" t="n">
        <v>0</v>
      </c>
      <c r="M7909" t="n">
        <v>0</v>
      </c>
      <c r="N7909" t="n">
        <v>0</v>
      </c>
      <c r="O7909" t="n">
        <v>0</v>
      </c>
      <c r="P7909" t="n">
        <v>0</v>
      </c>
      <c r="Q7909" t="n">
        <v>0</v>
      </c>
      <c r="R7909" t="n">
        <v>0</v>
      </c>
      <c r="S7909" t="n">
        <v>0</v>
      </c>
      <c r="T7909" t="n">
        <v>0</v>
      </c>
      <c r="U7909" t="n">
        <v>0</v>
      </c>
      <c r="V7909" s="2" t="inlineStr"/>
    </row>
    <row r="7910" ht="15" customHeight="1">
      <c r="A7910" t="inlineStr">
        <is>
          <t>A 53743-2024</t>
        </is>
      </c>
      <c r="B7910" t="inlineStr">
        <is>
          <t>avverkningsanmälan</t>
        </is>
      </c>
      <c r="C7910" t="inlineStr">
        <is>
          <t>Föryngringsavverkning</t>
        </is>
      </c>
      <c r="D7910" s="1" t="n">
        <v>45615</v>
      </c>
      <c r="E7910" s="1" t="n">
        <v>46319</v>
      </c>
      <c r="F7910" t="inlineStr">
        <is>
          <t>DALARNAS LÄN</t>
        </is>
      </c>
      <c r="G7910" t="inlineStr">
        <is>
          <t>MORA</t>
        </is>
      </c>
      <c r="I7910" t="n">
        <v>1.4</v>
      </c>
      <c r="J7910" t="n">
        <v>0</v>
      </c>
      <c r="K7910" t="n">
        <v>0</v>
      </c>
      <c r="L7910" t="n">
        <v>0</v>
      </c>
      <c r="M7910" t="n">
        <v>0</v>
      </c>
      <c r="N7910" t="n">
        <v>0</v>
      </c>
      <c r="O7910" t="n">
        <v>0</v>
      </c>
      <c r="P7910" t="n">
        <v>0</v>
      </c>
      <c r="Q7910" t="n">
        <v>0</v>
      </c>
      <c r="R7910" t="n">
        <v>0</v>
      </c>
      <c r="S7910" t="n">
        <v>0</v>
      </c>
      <c r="T7910" t="n">
        <v>0</v>
      </c>
      <c r="U7910" t="n">
        <v>0</v>
      </c>
      <c r="V7910" s="2" t="inlineStr"/>
    </row>
    <row r="7911" ht="15" customHeight="1">
      <c r="A7911" t="inlineStr">
        <is>
          <t>A 21837-2026</t>
        </is>
      </c>
      <c r="B7911" t="inlineStr">
        <is>
          <t>avverkningsanmälan</t>
        </is>
      </c>
      <c r="C7911" t="inlineStr">
        <is>
          <t>Föryngringsavverkning</t>
        </is>
      </c>
      <c r="D7911" s="1" t="n">
        <v>46150</v>
      </c>
      <c r="E7911" s="1" t="n">
        <v>46319</v>
      </c>
      <c r="F7911" t="inlineStr">
        <is>
          <t>DALARNAS LÄN</t>
        </is>
      </c>
      <c r="G7911" t="inlineStr">
        <is>
          <t>FALUN</t>
        </is>
      </c>
      <c r="I7911" t="n">
        <v>0.9</v>
      </c>
      <c r="J7911" t="n">
        <v>0</v>
      </c>
      <c r="K7911" t="n">
        <v>0</v>
      </c>
      <c r="L7911" t="n">
        <v>0</v>
      </c>
      <c r="M7911" t="n">
        <v>0</v>
      </c>
      <c r="N7911" t="n">
        <v>0</v>
      </c>
      <c r="O7911" t="n">
        <v>0</v>
      </c>
      <c r="P7911" t="n">
        <v>0</v>
      </c>
      <c r="Q7911" t="n">
        <v>0</v>
      </c>
      <c r="R7911" t="n">
        <v>0</v>
      </c>
      <c r="S7911" t="n">
        <v>0</v>
      </c>
      <c r="T7911" t="n">
        <v>0</v>
      </c>
      <c r="U7911" t="n">
        <v>0</v>
      </c>
      <c r="V7911" s="2" t="inlineStr"/>
    </row>
    <row r="7912" ht="15" customHeight="1">
      <c r="A7912" t="inlineStr">
        <is>
          <t>A 21822-2026</t>
        </is>
      </c>
      <c r="B7912" t="inlineStr">
        <is>
          <t>avverkningsanmälan</t>
        </is>
      </c>
      <c r="C7912" t="inlineStr">
        <is>
          <t>Föryngringsavverkning</t>
        </is>
      </c>
      <c r="D7912" s="1" t="n">
        <v>46150</v>
      </c>
      <c r="E7912" s="1" t="n">
        <v>46319</v>
      </c>
      <c r="F7912" t="inlineStr">
        <is>
          <t>DALARNAS LÄN</t>
        </is>
      </c>
      <c r="G7912" t="inlineStr">
        <is>
          <t>FALUN</t>
        </is>
      </c>
      <c r="I7912" t="n">
        <v>0.4</v>
      </c>
      <c r="J7912" t="n">
        <v>0</v>
      </c>
      <c r="K7912" t="n">
        <v>0</v>
      </c>
      <c r="L7912" t="n">
        <v>0</v>
      </c>
      <c r="M7912" t="n">
        <v>0</v>
      </c>
      <c r="N7912" t="n">
        <v>0</v>
      </c>
      <c r="O7912" t="n">
        <v>0</v>
      </c>
      <c r="P7912" t="n">
        <v>0</v>
      </c>
      <c r="Q7912" t="n">
        <v>0</v>
      </c>
      <c r="R7912" t="n">
        <v>0</v>
      </c>
      <c r="S7912" t="n">
        <v>0</v>
      </c>
      <c r="T7912" t="n">
        <v>0</v>
      </c>
      <c r="U7912" t="n">
        <v>0</v>
      </c>
      <c r="V7912" s="2" t="inlineStr"/>
    </row>
    <row r="7913" ht="15" customHeight="1">
      <c r="A7913" t="inlineStr">
        <is>
          <t>A 45476-2024</t>
        </is>
      </c>
      <c r="B7913" t="inlineStr">
        <is>
          <t>avverkningsanmälan</t>
        </is>
      </c>
      <c r="C7913" t="inlineStr">
        <is>
          <t>Föryngringsavverkning</t>
        </is>
      </c>
      <c r="D7913" s="1" t="n">
        <v>45576</v>
      </c>
      <c r="E7913" s="1" t="n">
        <v>46319</v>
      </c>
      <c r="F7913" t="inlineStr">
        <is>
          <t>DALARNAS LÄN</t>
        </is>
      </c>
      <c r="G7913" t="inlineStr">
        <is>
          <t>SÄTER</t>
        </is>
      </c>
      <c r="I7913" t="n">
        <v>1.2</v>
      </c>
      <c r="J7913" t="n">
        <v>0</v>
      </c>
      <c r="K7913" t="n">
        <v>0</v>
      </c>
      <c r="L7913" t="n">
        <v>0</v>
      </c>
      <c r="M7913" t="n">
        <v>0</v>
      </c>
      <c r="N7913" t="n">
        <v>0</v>
      </c>
      <c r="O7913" t="n">
        <v>0</v>
      </c>
      <c r="P7913" t="n">
        <v>0</v>
      </c>
      <c r="Q7913" t="n">
        <v>0</v>
      </c>
      <c r="R7913" t="n">
        <v>0</v>
      </c>
      <c r="S7913" t="n">
        <v>0</v>
      </c>
      <c r="T7913" t="n">
        <v>0</v>
      </c>
      <c r="U7913" t="n">
        <v>0</v>
      </c>
      <c r="V7913" s="2" t="inlineStr"/>
    </row>
    <row r="7914" ht="15" customHeight="1">
      <c r="A7914" t="inlineStr">
        <is>
          <t>A 36411-2025</t>
        </is>
      </c>
      <c r="B7914" t="inlineStr">
        <is>
          <t>avverkningsanmälan</t>
        </is>
      </c>
      <c r="C7914" t="inlineStr">
        <is>
          <t>Föryngringsavverkning</t>
        </is>
      </c>
      <c r="D7914" s="1" t="n">
        <v>45868</v>
      </c>
      <c r="E7914" s="1" t="n">
        <v>46319</v>
      </c>
      <c r="F7914" t="inlineStr">
        <is>
          <t>DALARNAS LÄN</t>
        </is>
      </c>
      <c r="G7914" t="inlineStr">
        <is>
          <t>FALUN</t>
        </is>
      </c>
      <c r="I7914" t="n">
        <v>10.7</v>
      </c>
      <c r="J7914" t="n">
        <v>0</v>
      </c>
      <c r="K7914" t="n">
        <v>0</v>
      </c>
      <c r="L7914" t="n">
        <v>0</v>
      </c>
      <c r="M7914" t="n">
        <v>0</v>
      </c>
      <c r="N7914" t="n">
        <v>0</v>
      </c>
      <c r="O7914" t="n">
        <v>0</v>
      </c>
      <c r="P7914" t="n">
        <v>0</v>
      </c>
      <c r="Q7914" t="n">
        <v>0</v>
      </c>
      <c r="R7914" t="n">
        <v>0</v>
      </c>
      <c r="S7914" t="n">
        <v>0</v>
      </c>
      <c r="T7914" t="n">
        <v>0</v>
      </c>
      <c r="U7914" t="n">
        <v>0</v>
      </c>
      <c r="V7914" s="2" t="inlineStr"/>
    </row>
    <row r="7915" ht="15" customHeight="1">
      <c r="A7915" t="inlineStr">
        <is>
          <t>A 29565-2022</t>
        </is>
      </c>
      <c r="B7915" t="inlineStr">
        <is>
          <t>avverkningsanmälan</t>
        </is>
      </c>
      <c r="C7915" t="inlineStr">
        <is>
          <t>Föryngringsavverkning</t>
        </is>
      </c>
      <c r="D7915" s="1" t="n">
        <v>44754</v>
      </c>
      <c r="E7915" s="1" t="n">
        <v>46319</v>
      </c>
      <c r="F7915" t="inlineStr">
        <is>
          <t>DALARNAS LÄN</t>
        </is>
      </c>
      <c r="G7915" t="inlineStr">
        <is>
          <t>ÄLVDALEN</t>
        </is>
      </c>
      <c r="I7915" t="n">
        <v>8.300000000000001</v>
      </c>
      <c r="J7915" t="n">
        <v>0</v>
      </c>
      <c r="K7915" t="n">
        <v>0</v>
      </c>
      <c r="L7915" t="n">
        <v>0</v>
      </c>
      <c r="M7915" t="n">
        <v>0</v>
      </c>
      <c r="N7915" t="n">
        <v>0</v>
      </c>
      <c r="O7915" t="n">
        <v>0</v>
      </c>
      <c r="P7915" t="n">
        <v>0</v>
      </c>
      <c r="Q7915" t="n">
        <v>0</v>
      </c>
      <c r="R7915" t="n">
        <v>0</v>
      </c>
      <c r="S7915" t="n">
        <v>0</v>
      </c>
      <c r="T7915" t="n">
        <v>0</v>
      </c>
      <c r="U7915" t="n">
        <v>0</v>
      </c>
      <c r="V7915" s="2" t="inlineStr"/>
    </row>
    <row r="7916" ht="15" customHeight="1">
      <c r="A7916" t="inlineStr">
        <is>
          <t>A 21936-2026</t>
        </is>
      </c>
      <c r="B7916" t="inlineStr">
        <is>
          <t>avverkningsanmälan</t>
        </is>
      </c>
      <c r="C7916" t="inlineStr">
        <is>
          <t>Föryngringsavverkning</t>
        </is>
      </c>
      <c r="D7916" s="1" t="n">
        <v>46150</v>
      </c>
      <c r="E7916" s="1" t="n">
        <v>46319</v>
      </c>
      <c r="F7916" t="inlineStr">
        <is>
          <t>DALARNAS LÄN</t>
        </is>
      </c>
      <c r="G7916" t="inlineStr">
        <is>
          <t>FALUN</t>
        </is>
      </c>
      <c r="I7916" t="n">
        <v>2.8</v>
      </c>
      <c r="J7916" t="n">
        <v>0</v>
      </c>
      <c r="K7916" t="n">
        <v>0</v>
      </c>
      <c r="L7916" t="n">
        <v>0</v>
      </c>
      <c r="M7916" t="n">
        <v>0</v>
      </c>
      <c r="N7916" t="n">
        <v>0</v>
      </c>
      <c r="O7916" t="n">
        <v>0</v>
      </c>
      <c r="P7916" t="n">
        <v>0</v>
      </c>
      <c r="Q7916" t="n">
        <v>0</v>
      </c>
      <c r="R7916" t="n">
        <v>0</v>
      </c>
      <c r="S7916" t="n">
        <v>0</v>
      </c>
      <c r="T7916" t="n">
        <v>0</v>
      </c>
      <c r="U7916" t="n">
        <v>0</v>
      </c>
      <c r="V7916" s="2" t="inlineStr"/>
    </row>
    <row r="7917" ht="15" customHeight="1">
      <c r="A7917" t="inlineStr">
        <is>
          <t>A 22026-2026</t>
        </is>
      </c>
      <c r="B7917" t="inlineStr">
        <is>
          <t>avverkningsanmälan</t>
        </is>
      </c>
      <c r="C7917" t="inlineStr">
        <is>
          <t>Föryngringsavverkning</t>
        </is>
      </c>
      <c r="D7917" s="1" t="n">
        <v>46153</v>
      </c>
      <c r="E7917" s="1" t="n">
        <v>46319</v>
      </c>
      <c r="F7917" t="inlineStr">
        <is>
          <t>DALARNAS LÄN</t>
        </is>
      </c>
      <c r="G7917" t="inlineStr">
        <is>
          <t>MALUNG-SÄLEN</t>
        </is>
      </c>
      <c r="I7917" t="n">
        <v>3.5</v>
      </c>
      <c r="J7917" t="n">
        <v>0</v>
      </c>
      <c r="K7917" t="n">
        <v>0</v>
      </c>
      <c r="L7917" t="n">
        <v>0</v>
      </c>
      <c r="M7917" t="n">
        <v>0</v>
      </c>
      <c r="N7917" t="n">
        <v>0</v>
      </c>
      <c r="O7917" t="n">
        <v>0</v>
      </c>
      <c r="P7917" t="n">
        <v>0</v>
      </c>
      <c r="Q7917" t="n">
        <v>0</v>
      </c>
      <c r="R7917" t="n">
        <v>0</v>
      </c>
      <c r="S7917" t="n">
        <v>0</v>
      </c>
      <c r="T7917" t="n">
        <v>0</v>
      </c>
      <c r="U7917" t="n">
        <v>0</v>
      </c>
      <c r="V7917" s="2" t="inlineStr"/>
    </row>
    <row r="7918" ht="15" customHeight="1">
      <c r="A7918" t="inlineStr">
        <is>
          <t>A 22028-2026</t>
        </is>
      </c>
      <c r="B7918" t="inlineStr">
        <is>
          <t>avverkningsanmälan</t>
        </is>
      </c>
      <c r="C7918" t="inlineStr">
        <is>
          <t>Föryngringsavverkning</t>
        </is>
      </c>
      <c r="D7918" s="1" t="n">
        <v>46153</v>
      </c>
      <c r="E7918" s="1" t="n">
        <v>46319</v>
      </c>
      <c r="F7918" t="inlineStr">
        <is>
          <t>DALARNAS LÄN</t>
        </is>
      </c>
      <c r="G7918" t="inlineStr">
        <is>
          <t>SÄTER</t>
        </is>
      </c>
      <c r="I7918" t="n">
        <v>10.1</v>
      </c>
      <c r="J7918" t="n">
        <v>0</v>
      </c>
      <c r="K7918" t="n">
        <v>0</v>
      </c>
      <c r="L7918" t="n">
        <v>0</v>
      </c>
      <c r="M7918" t="n">
        <v>0</v>
      </c>
      <c r="N7918" t="n">
        <v>0</v>
      </c>
      <c r="O7918" t="n">
        <v>0</v>
      </c>
      <c r="P7918" t="n">
        <v>0</v>
      </c>
      <c r="Q7918" t="n">
        <v>0</v>
      </c>
      <c r="R7918" t="n">
        <v>0</v>
      </c>
      <c r="S7918" t="n">
        <v>0</v>
      </c>
      <c r="T7918" t="n">
        <v>0</v>
      </c>
      <c r="U7918" t="n">
        <v>0</v>
      </c>
      <c r="V7918" s="2" t="inlineStr"/>
    </row>
    <row r="7919" ht="15" customHeight="1">
      <c r="A7919" t="inlineStr">
        <is>
          <t>A 14658-2026</t>
        </is>
      </c>
      <c r="B7919" t="inlineStr">
        <is>
          <t>avverkningsanmälan</t>
        </is>
      </c>
      <c r="C7919" t="inlineStr">
        <is>
          <t>Föryngringsavverkning</t>
        </is>
      </c>
      <c r="D7919" s="1" t="n">
        <v>46101</v>
      </c>
      <c r="E7919" s="1" t="n">
        <v>46319</v>
      </c>
      <c r="F7919" t="inlineStr">
        <is>
          <t>DALARNAS LÄN</t>
        </is>
      </c>
      <c r="G7919" t="inlineStr">
        <is>
          <t>FALUN</t>
        </is>
      </c>
      <c r="I7919" t="n">
        <v>4.1</v>
      </c>
      <c r="J7919" t="n">
        <v>0</v>
      </c>
      <c r="K7919" t="n">
        <v>0</v>
      </c>
      <c r="L7919" t="n">
        <v>0</v>
      </c>
      <c r="M7919" t="n">
        <v>0</v>
      </c>
      <c r="N7919" t="n">
        <v>0</v>
      </c>
      <c r="O7919" t="n">
        <v>0</v>
      </c>
      <c r="P7919" t="n">
        <v>0</v>
      </c>
      <c r="Q7919" t="n">
        <v>0</v>
      </c>
      <c r="R7919" t="n">
        <v>0</v>
      </c>
      <c r="S7919" t="n">
        <v>0</v>
      </c>
      <c r="T7919" t="n">
        <v>0</v>
      </c>
      <c r="U7919" t="n">
        <v>0</v>
      </c>
      <c r="V7919" s="2" t="inlineStr"/>
    </row>
    <row r="7920" ht="15" customHeight="1">
      <c r="A7920" t="inlineStr">
        <is>
          <t>A 3638-2024</t>
        </is>
      </c>
      <c r="B7920" t="inlineStr">
        <is>
          <t>avverkningsanmälan</t>
        </is>
      </c>
      <c r="C7920" t="inlineStr">
        <is>
          <t>Föryngringsavverkning</t>
        </is>
      </c>
      <c r="D7920" s="1" t="n">
        <v>45321</v>
      </c>
      <c r="E7920" s="1" t="n">
        <v>46319</v>
      </c>
      <c r="F7920" t="inlineStr">
        <is>
          <t>DALARNAS LÄN</t>
        </is>
      </c>
      <c r="G7920" t="inlineStr">
        <is>
          <t>RÄTTVIK</t>
        </is>
      </c>
      <c r="I7920" t="n">
        <v>0.5</v>
      </c>
      <c r="J7920" t="n">
        <v>0</v>
      </c>
      <c r="K7920" t="n">
        <v>0</v>
      </c>
      <c r="L7920" t="n">
        <v>0</v>
      </c>
      <c r="M7920" t="n">
        <v>0</v>
      </c>
      <c r="N7920" t="n">
        <v>0</v>
      </c>
      <c r="O7920" t="n">
        <v>0</v>
      </c>
      <c r="P7920" t="n">
        <v>0</v>
      </c>
      <c r="Q7920" t="n">
        <v>0</v>
      </c>
      <c r="R7920" t="n">
        <v>0</v>
      </c>
      <c r="S7920" t="n">
        <v>0</v>
      </c>
      <c r="T7920" t="n">
        <v>0</v>
      </c>
      <c r="U7920" t="n">
        <v>0</v>
      </c>
      <c r="V7920" s="2" t="inlineStr"/>
    </row>
    <row r="7921" ht="15" customHeight="1">
      <c r="A7921" t="inlineStr">
        <is>
          <t>A 16454-2026</t>
        </is>
      </c>
      <c r="B7921" t="inlineStr">
        <is>
          <t>avverkningsanmälan</t>
        </is>
      </c>
      <c r="C7921" t="inlineStr">
        <is>
          <t>Föryngringsavverkning</t>
        </is>
      </c>
      <c r="D7921" s="1" t="n">
        <v>46112</v>
      </c>
      <c r="E7921" s="1" t="n">
        <v>46319</v>
      </c>
      <c r="F7921" t="inlineStr">
        <is>
          <t>DALARNAS LÄN</t>
        </is>
      </c>
      <c r="G7921" t="inlineStr">
        <is>
          <t>FALUN</t>
        </is>
      </c>
      <c r="I7921" t="n">
        <v>6.8</v>
      </c>
      <c r="J7921" t="n">
        <v>0</v>
      </c>
      <c r="K7921" t="n">
        <v>0</v>
      </c>
      <c r="L7921" t="n">
        <v>0</v>
      </c>
      <c r="M7921" t="n">
        <v>0</v>
      </c>
      <c r="N7921" t="n">
        <v>0</v>
      </c>
      <c r="O7921" t="n">
        <v>0</v>
      </c>
      <c r="P7921" t="n">
        <v>0</v>
      </c>
      <c r="Q7921" t="n">
        <v>0</v>
      </c>
      <c r="R7921" t="n">
        <v>0</v>
      </c>
      <c r="S7921" t="n">
        <v>0</v>
      </c>
      <c r="T7921" t="n">
        <v>0</v>
      </c>
      <c r="U7921" t="n">
        <v>0</v>
      </c>
      <c r="V7921" s="2" t="inlineStr"/>
    </row>
    <row r="7922" ht="15" customHeight="1">
      <c r="A7922" t="inlineStr">
        <is>
          <t>A 26516-2022</t>
        </is>
      </c>
      <c r="B7922" t="inlineStr">
        <is>
          <t>avverkningsanmälan</t>
        </is>
      </c>
      <c r="C7922" t="inlineStr">
        <is>
          <t>Föryngringsavverkning</t>
        </is>
      </c>
      <c r="D7922" s="1" t="n">
        <v>44739</v>
      </c>
      <c r="E7922" s="1" t="n">
        <v>46319</v>
      </c>
      <c r="F7922" t="inlineStr">
        <is>
          <t>DALARNAS LÄN</t>
        </is>
      </c>
      <c r="G7922" t="inlineStr">
        <is>
          <t>AVESTA</t>
        </is>
      </c>
      <c r="I7922" t="n">
        <v>4</v>
      </c>
      <c r="J7922" t="n">
        <v>0</v>
      </c>
      <c r="K7922" t="n">
        <v>0</v>
      </c>
      <c r="L7922" t="n">
        <v>0</v>
      </c>
      <c r="M7922" t="n">
        <v>0</v>
      </c>
      <c r="N7922" t="n">
        <v>0</v>
      </c>
      <c r="O7922" t="n">
        <v>0</v>
      </c>
      <c r="P7922" t="n">
        <v>0</v>
      </c>
      <c r="Q7922" t="n">
        <v>0</v>
      </c>
      <c r="R7922" t="n">
        <v>0</v>
      </c>
      <c r="S7922" t="n">
        <v>0</v>
      </c>
      <c r="T7922" t="n">
        <v>0</v>
      </c>
      <c r="U7922" t="n">
        <v>0</v>
      </c>
      <c r="V7922" s="2" t="inlineStr"/>
    </row>
    <row r="7923" ht="15" customHeight="1">
      <c r="A7923" t="inlineStr">
        <is>
          <t>A 62505-2023</t>
        </is>
      </c>
      <c r="B7923" t="inlineStr">
        <is>
          <t>avverkningsanmälan</t>
        </is>
      </c>
      <c r="C7923" t="inlineStr">
        <is>
          <t>Föryngringsavverkning</t>
        </is>
      </c>
      <c r="D7923" s="1" t="n">
        <v>45267</v>
      </c>
      <c r="E7923" s="1" t="n">
        <v>46319</v>
      </c>
      <c r="F7923" t="inlineStr">
        <is>
          <t>DALARNAS LÄN</t>
        </is>
      </c>
      <c r="G7923" t="inlineStr">
        <is>
          <t>RÄTTVIK</t>
        </is>
      </c>
      <c r="I7923" t="n">
        <v>3</v>
      </c>
      <c r="J7923" t="n">
        <v>0</v>
      </c>
      <c r="K7923" t="n">
        <v>0</v>
      </c>
      <c r="L7923" t="n">
        <v>0</v>
      </c>
      <c r="M7923" t="n">
        <v>0</v>
      </c>
      <c r="N7923" t="n">
        <v>0</v>
      </c>
      <c r="O7923" t="n">
        <v>0</v>
      </c>
      <c r="P7923" t="n">
        <v>0</v>
      </c>
      <c r="Q7923" t="n">
        <v>0</v>
      </c>
      <c r="R7923" t="n">
        <v>0</v>
      </c>
      <c r="S7923" t="n">
        <v>0</v>
      </c>
      <c r="T7923" t="n">
        <v>0</v>
      </c>
      <c r="U7923" t="n">
        <v>0</v>
      </c>
      <c r="V7923" s="2" t="inlineStr"/>
    </row>
    <row r="7924" ht="15" customHeight="1">
      <c r="A7924" t="inlineStr">
        <is>
          <t>A 3078-2026</t>
        </is>
      </c>
      <c r="B7924" t="inlineStr">
        <is>
          <t>avverkningsanmälan</t>
        </is>
      </c>
      <c r="C7924" t="inlineStr">
        <is>
          <t>Föryngringsavverkning</t>
        </is>
      </c>
      <c r="D7924" s="1" t="n">
        <v>46040</v>
      </c>
      <c r="E7924" s="1" t="n">
        <v>46319</v>
      </c>
      <c r="F7924" t="inlineStr">
        <is>
          <t>DALARNAS LÄN</t>
        </is>
      </c>
      <c r="G7924" t="inlineStr">
        <is>
          <t>FALUN</t>
        </is>
      </c>
      <c r="I7924" t="n">
        <v>3.8</v>
      </c>
      <c r="J7924" t="n">
        <v>0</v>
      </c>
      <c r="K7924" t="n">
        <v>0</v>
      </c>
      <c r="L7924" t="n">
        <v>0</v>
      </c>
      <c r="M7924" t="n">
        <v>0</v>
      </c>
      <c r="N7924" t="n">
        <v>0</v>
      </c>
      <c r="O7924" t="n">
        <v>0</v>
      </c>
      <c r="P7924" t="n">
        <v>0</v>
      </c>
      <c r="Q7924" t="n">
        <v>0</v>
      </c>
      <c r="R7924" t="n">
        <v>0</v>
      </c>
      <c r="S7924" t="n">
        <v>0</v>
      </c>
      <c r="T7924" t="n">
        <v>0</v>
      </c>
      <c r="U7924" t="n">
        <v>0</v>
      </c>
      <c r="V7924" s="2" t="inlineStr"/>
    </row>
    <row r="7925" ht="15" customHeight="1">
      <c r="A7925" t="inlineStr">
        <is>
          <t>A 52432-2024</t>
        </is>
      </c>
      <c r="B7925" t="inlineStr">
        <is>
          <t>avverkningsanmälan</t>
        </is>
      </c>
      <c r="C7925" t="inlineStr">
        <is>
          <t>Föryngringsavverkning</t>
        </is>
      </c>
      <c r="D7925" s="1" t="n">
        <v>45608</v>
      </c>
      <c r="E7925" s="1" t="n">
        <v>46319</v>
      </c>
      <c r="F7925" t="inlineStr">
        <is>
          <t>DALARNAS LÄN</t>
        </is>
      </c>
      <c r="G7925" t="inlineStr">
        <is>
          <t>GAGNEF</t>
        </is>
      </c>
      <c r="I7925" t="n">
        <v>1.6</v>
      </c>
      <c r="J7925" t="n">
        <v>0</v>
      </c>
      <c r="K7925" t="n">
        <v>0</v>
      </c>
      <c r="L7925" t="n">
        <v>0</v>
      </c>
      <c r="M7925" t="n">
        <v>0</v>
      </c>
      <c r="N7925" t="n">
        <v>0</v>
      </c>
      <c r="O7925" t="n">
        <v>0</v>
      </c>
      <c r="P7925" t="n">
        <v>0</v>
      </c>
      <c r="Q7925" t="n">
        <v>0</v>
      </c>
      <c r="R7925" t="n">
        <v>0</v>
      </c>
      <c r="S7925" t="n">
        <v>0</v>
      </c>
      <c r="T7925" t="n">
        <v>0</v>
      </c>
      <c r="U7925" t="n">
        <v>0</v>
      </c>
      <c r="V7925" s="2" t="inlineStr"/>
    </row>
    <row r="7926" ht="15" customHeight="1">
      <c r="A7926" t="inlineStr">
        <is>
          <t>A 16655-2026</t>
        </is>
      </c>
      <c r="B7926" t="inlineStr">
        <is>
          <t>avverkningsanmälan</t>
        </is>
      </c>
      <c r="C7926" t="inlineStr">
        <is>
          <t>Föryngringsavverkning</t>
        </is>
      </c>
      <c r="D7926" s="1" t="n">
        <v>46112</v>
      </c>
      <c r="E7926" s="1" t="n">
        <v>46319</v>
      </c>
      <c r="F7926" t="inlineStr">
        <is>
          <t>DALARNAS LÄN</t>
        </is>
      </c>
      <c r="G7926" t="inlineStr">
        <is>
          <t>FALUN</t>
        </is>
      </c>
      <c r="I7926" t="n">
        <v>4.7</v>
      </c>
      <c r="J7926" t="n">
        <v>0</v>
      </c>
      <c r="K7926" t="n">
        <v>0</v>
      </c>
      <c r="L7926" t="n">
        <v>0</v>
      </c>
      <c r="M7926" t="n">
        <v>0</v>
      </c>
      <c r="N7926" t="n">
        <v>0</v>
      </c>
      <c r="O7926" t="n">
        <v>0</v>
      </c>
      <c r="P7926" t="n">
        <v>0</v>
      </c>
      <c r="Q7926" t="n">
        <v>0</v>
      </c>
      <c r="R7926" t="n">
        <v>0</v>
      </c>
      <c r="S7926" t="n">
        <v>0</v>
      </c>
      <c r="T7926" t="n">
        <v>0</v>
      </c>
      <c r="U7926" t="n">
        <v>0</v>
      </c>
      <c r="V7926" s="2" t="inlineStr"/>
    </row>
    <row r="7927" ht="15" customHeight="1">
      <c r="A7927" t="inlineStr">
        <is>
          <t>A 11295-2026</t>
        </is>
      </c>
      <c r="B7927" t="inlineStr">
        <is>
          <t>avverkningsanmälan</t>
        </is>
      </c>
      <c r="C7927" t="inlineStr">
        <is>
          <t>Föryngringsavverkning</t>
        </is>
      </c>
      <c r="D7927" s="1" t="n">
        <v>46080</v>
      </c>
      <c r="E7927" s="1" t="n">
        <v>46319</v>
      </c>
      <c r="F7927" t="inlineStr">
        <is>
          <t>DALARNAS LÄN</t>
        </is>
      </c>
      <c r="G7927" t="inlineStr">
        <is>
          <t>FALUN</t>
        </is>
      </c>
      <c r="I7927" t="n">
        <v>2.5</v>
      </c>
      <c r="J7927" t="n">
        <v>0</v>
      </c>
      <c r="K7927" t="n">
        <v>0</v>
      </c>
      <c r="L7927" t="n">
        <v>0</v>
      </c>
      <c r="M7927" t="n">
        <v>0</v>
      </c>
      <c r="N7927" t="n">
        <v>0</v>
      </c>
      <c r="O7927" t="n">
        <v>0</v>
      </c>
      <c r="P7927" t="n">
        <v>0</v>
      </c>
      <c r="Q7927" t="n">
        <v>0</v>
      </c>
      <c r="R7927" t="n">
        <v>0</v>
      </c>
      <c r="S7927" t="n">
        <v>0</v>
      </c>
      <c r="T7927" t="n">
        <v>0</v>
      </c>
      <c r="U7927" t="n">
        <v>0</v>
      </c>
      <c r="V7927" s="2" t="inlineStr"/>
    </row>
    <row r="7928" ht="15" customHeight="1">
      <c r="A7928" t="inlineStr">
        <is>
          <t>A 22365-2026</t>
        </is>
      </c>
      <c r="B7928" t="inlineStr">
        <is>
          <t>avverkningsanmälan</t>
        </is>
      </c>
      <c r="C7928" t="inlineStr">
        <is>
          <t>Föryngringsavverkning</t>
        </is>
      </c>
      <c r="D7928" s="1" t="n">
        <v>46154</v>
      </c>
      <c r="E7928" s="1" t="n">
        <v>46319</v>
      </c>
      <c r="F7928" t="inlineStr">
        <is>
          <t>DALARNAS LÄN</t>
        </is>
      </c>
      <c r="G7928" t="inlineStr">
        <is>
          <t>FALUN</t>
        </is>
      </c>
      <c r="I7928" t="n">
        <v>5.3</v>
      </c>
      <c r="J7928" t="n">
        <v>0</v>
      </c>
      <c r="K7928" t="n">
        <v>0</v>
      </c>
      <c r="L7928" t="n">
        <v>0</v>
      </c>
      <c r="M7928" t="n">
        <v>0</v>
      </c>
      <c r="N7928" t="n">
        <v>0</v>
      </c>
      <c r="O7928" t="n">
        <v>0</v>
      </c>
      <c r="P7928" t="n">
        <v>0</v>
      </c>
      <c r="Q7928" t="n">
        <v>0</v>
      </c>
      <c r="R7928" t="n">
        <v>0</v>
      </c>
      <c r="S7928" t="n">
        <v>0</v>
      </c>
      <c r="T7928" t="n">
        <v>0</v>
      </c>
      <c r="U7928" t="n">
        <v>0</v>
      </c>
      <c r="V7928" s="2" t="inlineStr"/>
    </row>
    <row r="7929" ht="15" customHeight="1">
      <c r="A7929" t="inlineStr">
        <is>
          <t>A 58686-2025</t>
        </is>
      </c>
      <c r="B7929" t="inlineStr">
        <is>
          <t>avverkningsanmälan</t>
        </is>
      </c>
      <c r="C7929" t="inlineStr">
        <is>
          <t>Föryngringsavverkning</t>
        </is>
      </c>
      <c r="D7929" s="1" t="n">
        <v>45986</v>
      </c>
      <c r="E7929" s="1" t="n">
        <v>46319</v>
      </c>
      <c r="F7929" t="inlineStr">
        <is>
          <t>DALARNAS LÄN</t>
        </is>
      </c>
      <c r="G7929" t="inlineStr">
        <is>
          <t>ORSA</t>
        </is>
      </c>
      <c r="I7929" t="n">
        <v>1.2</v>
      </c>
      <c r="J7929" t="n">
        <v>0</v>
      </c>
      <c r="K7929" t="n">
        <v>0</v>
      </c>
      <c r="L7929" t="n">
        <v>0</v>
      </c>
      <c r="M7929" t="n">
        <v>0</v>
      </c>
      <c r="N7929" t="n">
        <v>0</v>
      </c>
      <c r="O7929" t="n">
        <v>0</v>
      </c>
      <c r="P7929" t="n">
        <v>0</v>
      </c>
      <c r="Q7929" t="n">
        <v>0</v>
      </c>
      <c r="R7929" t="n">
        <v>0</v>
      </c>
      <c r="S7929" t="n">
        <v>0</v>
      </c>
      <c r="T7929" t="n">
        <v>0</v>
      </c>
      <c r="U7929" t="n">
        <v>0</v>
      </c>
      <c r="V7929" s="2" t="inlineStr"/>
    </row>
    <row r="7930" ht="15" customHeight="1">
      <c r="A7930" t="inlineStr">
        <is>
          <t>A 2502-2026</t>
        </is>
      </c>
      <c r="B7930" t="inlineStr">
        <is>
          <t>avverkningsanmälan</t>
        </is>
      </c>
      <c r="C7930" t="inlineStr">
        <is>
          <t>Föryngringsavverkning</t>
        </is>
      </c>
      <c r="D7930" s="1" t="n">
        <v>46037</v>
      </c>
      <c r="E7930" s="1" t="n">
        <v>46319</v>
      </c>
      <c r="F7930" t="inlineStr">
        <is>
          <t>DALARNAS LÄN</t>
        </is>
      </c>
      <c r="G7930" t="inlineStr">
        <is>
          <t>FALUN</t>
        </is>
      </c>
      <c r="I7930" t="n">
        <v>3.1</v>
      </c>
      <c r="J7930" t="n">
        <v>0</v>
      </c>
      <c r="K7930" t="n">
        <v>0</v>
      </c>
      <c r="L7930" t="n">
        <v>0</v>
      </c>
      <c r="M7930" t="n">
        <v>0</v>
      </c>
      <c r="N7930" t="n">
        <v>0</v>
      </c>
      <c r="O7930" t="n">
        <v>0</v>
      </c>
      <c r="P7930" t="n">
        <v>0</v>
      </c>
      <c r="Q7930" t="n">
        <v>0</v>
      </c>
      <c r="R7930" t="n">
        <v>0</v>
      </c>
      <c r="S7930" t="n">
        <v>0</v>
      </c>
      <c r="T7930" t="n">
        <v>0</v>
      </c>
      <c r="U7930" t="n">
        <v>0</v>
      </c>
      <c r="V7930" s="2" t="inlineStr"/>
    </row>
    <row r="7931" ht="15" customHeight="1">
      <c r="A7931" t="inlineStr">
        <is>
          <t>A 12988-2026</t>
        </is>
      </c>
      <c r="B7931" t="inlineStr">
        <is>
          <t>avverkningsanmälan</t>
        </is>
      </c>
      <c r="C7931" t="inlineStr">
        <is>
          <t>Föryngringsavverkning</t>
        </is>
      </c>
      <c r="D7931" s="1" t="n">
        <v>46092</v>
      </c>
      <c r="E7931" s="1" t="n">
        <v>46319</v>
      </c>
      <c r="F7931" t="inlineStr">
        <is>
          <t>DALARNAS LÄN</t>
        </is>
      </c>
      <c r="G7931" t="inlineStr">
        <is>
          <t>LEKSAND</t>
        </is>
      </c>
      <c r="I7931" t="n">
        <v>1.2</v>
      </c>
      <c r="J7931" t="n">
        <v>0</v>
      </c>
      <c r="K7931" t="n">
        <v>0</v>
      </c>
      <c r="L7931" t="n">
        <v>0</v>
      </c>
      <c r="M7931" t="n">
        <v>0</v>
      </c>
      <c r="N7931" t="n">
        <v>0</v>
      </c>
      <c r="O7931" t="n">
        <v>0</v>
      </c>
      <c r="P7931" t="n">
        <v>0</v>
      </c>
      <c r="Q7931" t="n">
        <v>0</v>
      </c>
      <c r="R7931" t="n">
        <v>0</v>
      </c>
      <c r="S7931" t="n">
        <v>0</v>
      </c>
      <c r="T7931" t="n">
        <v>0</v>
      </c>
      <c r="U7931" t="n">
        <v>0</v>
      </c>
      <c r="V7931" s="2" t="inlineStr"/>
    </row>
    <row r="7932" ht="15" customHeight="1">
      <c r="A7932" t="inlineStr">
        <is>
          <t>A 14745-2026</t>
        </is>
      </c>
      <c r="B7932" t="inlineStr">
        <is>
          <t>avverkningsanmälan</t>
        </is>
      </c>
      <c r="C7932" t="inlineStr">
        <is>
          <t>Föryngringsavverkning</t>
        </is>
      </c>
      <c r="D7932" s="1" t="n">
        <v>46101</v>
      </c>
      <c r="E7932" s="1" t="n">
        <v>46319</v>
      </c>
      <c r="F7932" t="inlineStr">
        <is>
          <t>DALARNAS LÄN</t>
        </is>
      </c>
      <c r="G7932" t="inlineStr">
        <is>
          <t>MORA</t>
        </is>
      </c>
      <c r="H7932" t="inlineStr">
        <is>
          <t>Bergvik skog öst AB</t>
        </is>
      </c>
      <c r="I7932" t="n">
        <v>10.9</v>
      </c>
      <c r="J7932" t="n">
        <v>0</v>
      </c>
      <c r="K7932" t="n">
        <v>0</v>
      </c>
      <c r="L7932" t="n">
        <v>0</v>
      </c>
      <c r="M7932" t="n">
        <v>0</v>
      </c>
      <c r="N7932" t="n">
        <v>0</v>
      </c>
      <c r="O7932" t="n">
        <v>0</v>
      </c>
      <c r="P7932" t="n">
        <v>0</v>
      </c>
      <c r="Q7932" t="n">
        <v>0</v>
      </c>
      <c r="R7932" t="n">
        <v>0</v>
      </c>
      <c r="S7932" t="n">
        <v>0</v>
      </c>
      <c r="T7932" t="n">
        <v>0</v>
      </c>
      <c r="U7932" t="n">
        <v>0</v>
      </c>
      <c r="V7932" s="2" t="inlineStr"/>
    </row>
    <row r="7933" ht="15" customHeight="1">
      <c r="A7933" t="inlineStr">
        <is>
          <t>A 15657-2026</t>
        </is>
      </c>
      <c r="B7933" t="inlineStr">
        <is>
          <t>avverkningsanmälan</t>
        </is>
      </c>
      <c r="C7933" t="inlineStr">
        <is>
          <t>Föryngringsavverkning</t>
        </is>
      </c>
      <c r="D7933" s="1" t="n">
        <v>46106</v>
      </c>
      <c r="E7933" s="1" t="n">
        <v>46319</v>
      </c>
      <c r="F7933" t="inlineStr">
        <is>
          <t>DALARNAS LÄN</t>
        </is>
      </c>
      <c r="G7933" t="inlineStr">
        <is>
          <t>ORSA</t>
        </is>
      </c>
      <c r="I7933" t="n">
        <v>1.6</v>
      </c>
      <c r="J7933" t="n">
        <v>0</v>
      </c>
      <c r="K7933" t="n">
        <v>0</v>
      </c>
      <c r="L7933" t="n">
        <v>0</v>
      </c>
      <c r="M7933" t="n">
        <v>0</v>
      </c>
      <c r="N7933" t="n">
        <v>0</v>
      </c>
      <c r="O7933" t="n">
        <v>0</v>
      </c>
      <c r="P7933" t="n">
        <v>0</v>
      </c>
      <c r="Q7933" t="n">
        <v>0</v>
      </c>
      <c r="R7933" t="n">
        <v>0</v>
      </c>
      <c r="S7933" t="n">
        <v>0</v>
      </c>
      <c r="T7933" t="n">
        <v>0</v>
      </c>
      <c r="U7933" t="n">
        <v>0</v>
      </c>
      <c r="V7933" s="2" t="inlineStr"/>
    </row>
    <row r="7934" ht="15" customHeight="1">
      <c r="A7934" t="inlineStr">
        <is>
          <t>A 25665-2025</t>
        </is>
      </c>
      <c r="B7934" t="inlineStr">
        <is>
          <t>avverkningsanmälan</t>
        </is>
      </c>
      <c r="C7934" t="inlineStr">
        <is>
          <t>Föryngringsavverkning</t>
        </is>
      </c>
      <c r="D7934" s="1" t="n">
        <v>45803</v>
      </c>
      <c r="E7934" s="1" t="n">
        <v>46319</v>
      </c>
      <c r="F7934" t="inlineStr">
        <is>
          <t>DALARNAS LÄN</t>
        </is>
      </c>
      <c r="G7934" t="inlineStr">
        <is>
          <t>AVESTA</t>
        </is>
      </c>
      <c r="I7934" t="n">
        <v>1.5</v>
      </c>
      <c r="J7934" t="n">
        <v>0</v>
      </c>
      <c r="K7934" t="n">
        <v>0</v>
      </c>
      <c r="L7934" t="n">
        <v>0</v>
      </c>
      <c r="M7934" t="n">
        <v>0</v>
      </c>
      <c r="N7934" t="n">
        <v>0</v>
      </c>
      <c r="O7934" t="n">
        <v>0</v>
      </c>
      <c r="P7934" t="n">
        <v>0</v>
      </c>
      <c r="Q7934" t="n">
        <v>0</v>
      </c>
      <c r="R7934" t="n">
        <v>0</v>
      </c>
      <c r="S7934" t="n">
        <v>0</v>
      </c>
      <c r="T7934" t="n">
        <v>0</v>
      </c>
      <c r="U7934" t="n">
        <v>0</v>
      </c>
      <c r="V7934" s="2" t="inlineStr"/>
    </row>
    <row r="7935" ht="15" customHeight="1">
      <c r="A7935" t="inlineStr">
        <is>
          <t>A 294-2026</t>
        </is>
      </c>
      <c r="B7935" t="inlineStr">
        <is>
          <t>avverkningsanmälan</t>
        </is>
      </c>
      <c r="C7935" t="inlineStr">
        <is>
          <t>Föryngringsavverkning</t>
        </is>
      </c>
      <c r="D7935" s="1" t="n">
        <v>46027</v>
      </c>
      <c r="E7935" s="1" t="n">
        <v>46319</v>
      </c>
      <c r="F7935" t="inlineStr">
        <is>
          <t>DALARNAS LÄN</t>
        </is>
      </c>
      <c r="G7935" t="inlineStr">
        <is>
          <t>FALUN</t>
        </is>
      </c>
      <c r="I7935" t="n">
        <v>7</v>
      </c>
      <c r="J7935" t="n">
        <v>0</v>
      </c>
      <c r="K7935" t="n">
        <v>0</v>
      </c>
      <c r="L7935" t="n">
        <v>0</v>
      </c>
      <c r="M7935" t="n">
        <v>0</v>
      </c>
      <c r="N7935" t="n">
        <v>0</v>
      </c>
      <c r="O7935" t="n">
        <v>0</v>
      </c>
      <c r="P7935" t="n">
        <v>0</v>
      </c>
      <c r="Q7935" t="n">
        <v>0</v>
      </c>
      <c r="R7935" t="n">
        <v>0</v>
      </c>
      <c r="S7935" t="n">
        <v>0</v>
      </c>
      <c r="T7935" t="n">
        <v>0</v>
      </c>
      <c r="U7935" t="n">
        <v>0</v>
      </c>
      <c r="V7935" s="2" t="inlineStr"/>
    </row>
    <row r="7936" ht="15" customHeight="1">
      <c r="A7936" t="inlineStr">
        <is>
          <t>A 2853-2026</t>
        </is>
      </c>
      <c r="B7936" t="inlineStr">
        <is>
          <t>avverkningsanmälan</t>
        </is>
      </c>
      <c r="C7936" t="inlineStr">
        <is>
          <t>Föryngringsavverkning</t>
        </is>
      </c>
      <c r="D7936" s="1" t="n">
        <v>46038</v>
      </c>
      <c r="E7936" s="1" t="n">
        <v>46319</v>
      </c>
      <c r="F7936" t="inlineStr">
        <is>
          <t>DALARNAS LÄN</t>
        </is>
      </c>
      <c r="G7936" t="inlineStr">
        <is>
          <t>LEKSAND</t>
        </is>
      </c>
      <c r="I7936" t="n">
        <v>1.4</v>
      </c>
      <c r="J7936" t="n">
        <v>0</v>
      </c>
      <c r="K7936" t="n">
        <v>0</v>
      </c>
      <c r="L7936" t="n">
        <v>0</v>
      </c>
      <c r="M7936" t="n">
        <v>0</v>
      </c>
      <c r="N7936" t="n">
        <v>0</v>
      </c>
      <c r="O7936" t="n">
        <v>0</v>
      </c>
      <c r="P7936" t="n">
        <v>0</v>
      </c>
      <c r="Q7936" t="n">
        <v>0</v>
      </c>
      <c r="R7936" t="n">
        <v>0</v>
      </c>
      <c r="S7936" t="n">
        <v>0</v>
      </c>
      <c r="T7936" t="n">
        <v>0</v>
      </c>
      <c r="U7936" t="n">
        <v>0</v>
      </c>
      <c r="V7936" s="2" t="inlineStr"/>
    </row>
    <row r="7937" ht="15" customHeight="1">
      <c r="A7937" t="inlineStr">
        <is>
          <t>A 6789-2026</t>
        </is>
      </c>
      <c r="B7937" t="inlineStr">
        <is>
          <t>avverkningsanmälan</t>
        </is>
      </c>
      <c r="C7937" t="inlineStr">
        <is>
          <t>Föryngringsavverkning</t>
        </is>
      </c>
      <c r="D7937" s="1" t="n">
        <v>46057</v>
      </c>
      <c r="E7937" s="1" t="n">
        <v>46319</v>
      </c>
      <c r="F7937" t="inlineStr">
        <is>
          <t>DALARNAS LÄN</t>
        </is>
      </c>
      <c r="G7937" t="inlineStr">
        <is>
          <t>FALUN</t>
        </is>
      </c>
      <c r="I7937" t="n">
        <v>1.9</v>
      </c>
      <c r="J7937" t="n">
        <v>0</v>
      </c>
      <c r="K7937" t="n">
        <v>0</v>
      </c>
      <c r="L7937" t="n">
        <v>0</v>
      </c>
      <c r="M7937" t="n">
        <v>0</v>
      </c>
      <c r="N7937" t="n">
        <v>0</v>
      </c>
      <c r="O7937" t="n">
        <v>0</v>
      </c>
      <c r="P7937" t="n">
        <v>0</v>
      </c>
      <c r="Q7937" t="n">
        <v>0</v>
      </c>
      <c r="R7937" t="n">
        <v>0</v>
      </c>
      <c r="S7937" t="n">
        <v>0</v>
      </c>
      <c r="T7937" t="n">
        <v>0</v>
      </c>
      <c r="U7937" t="n">
        <v>0</v>
      </c>
      <c r="V7937" s="2" t="inlineStr"/>
    </row>
    <row r="7938" ht="15" customHeight="1">
      <c r="A7938" t="inlineStr">
        <is>
          <t>A 45052-2024</t>
        </is>
      </c>
      <c r="B7938" t="inlineStr">
        <is>
          <t>avverkningsanmälan</t>
        </is>
      </c>
      <c r="C7938" t="inlineStr">
        <is>
          <t>Avverkning för annat ändamål</t>
        </is>
      </c>
      <c r="D7938" s="1" t="n">
        <v>45575</v>
      </c>
      <c r="E7938" s="1" t="n">
        <v>46319</v>
      </c>
      <c r="F7938" t="inlineStr">
        <is>
          <t>DALARNAS LÄN</t>
        </is>
      </c>
      <c r="G7938" t="inlineStr">
        <is>
          <t>RÄTTVIK</t>
        </is>
      </c>
      <c r="H7938" t="inlineStr">
        <is>
          <t>Bergvik skog väst AB</t>
        </is>
      </c>
      <c r="I7938" t="n">
        <v>2.1</v>
      </c>
      <c r="J7938" t="n">
        <v>0</v>
      </c>
      <c r="K7938" t="n">
        <v>0</v>
      </c>
      <c r="L7938" t="n">
        <v>0</v>
      </c>
      <c r="M7938" t="n">
        <v>0</v>
      </c>
      <c r="N7938" t="n">
        <v>0</v>
      </c>
      <c r="O7938" t="n">
        <v>0</v>
      </c>
      <c r="P7938" t="n">
        <v>0</v>
      </c>
      <c r="Q7938" t="n">
        <v>0</v>
      </c>
      <c r="R7938" t="n">
        <v>0</v>
      </c>
      <c r="S7938" t="n">
        <v>0</v>
      </c>
      <c r="T7938" t="n">
        <v>0</v>
      </c>
      <c r="U7938" t="n">
        <v>0</v>
      </c>
      <c r="V7938" s="2" t="inlineStr"/>
    </row>
    <row r="7939" ht="15" customHeight="1">
      <c r="A7939" t="inlineStr">
        <is>
          <t>A 11788-2026</t>
        </is>
      </c>
      <c r="B7939" t="inlineStr">
        <is>
          <t>avverkningsanmälan</t>
        </is>
      </c>
      <c r="C7939" t="inlineStr">
        <is>
          <t>Föryngringsavverkning</t>
        </is>
      </c>
      <c r="D7939" s="1" t="n">
        <v>46085</v>
      </c>
      <c r="E7939" s="1" t="n">
        <v>46319</v>
      </c>
      <c r="F7939" t="inlineStr">
        <is>
          <t>DALARNAS LÄN</t>
        </is>
      </c>
      <c r="G7939" t="inlineStr">
        <is>
          <t>RÄTTVIK</t>
        </is>
      </c>
      <c r="I7939" t="n">
        <v>2.5</v>
      </c>
      <c r="J7939" t="n">
        <v>0</v>
      </c>
      <c r="K7939" t="n">
        <v>0</v>
      </c>
      <c r="L7939" t="n">
        <v>0</v>
      </c>
      <c r="M7939" t="n">
        <v>0</v>
      </c>
      <c r="N7939" t="n">
        <v>0</v>
      </c>
      <c r="O7939" t="n">
        <v>0</v>
      </c>
      <c r="P7939" t="n">
        <v>0</v>
      </c>
      <c r="Q7939" t="n">
        <v>0</v>
      </c>
      <c r="R7939" t="n">
        <v>0</v>
      </c>
      <c r="S7939" t="n">
        <v>0</v>
      </c>
      <c r="T7939" t="n">
        <v>0</v>
      </c>
      <c r="U7939" t="n">
        <v>0</v>
      </c>
      <c r="V7939" s="2" t="inlineStr"/>
    </row>
    <row r="7940" ht="15" customHeight="1">
      <c r="A7940" t="inlineStr">
        <is>
          <t>A 12260-2026</t>
        </is>
      </c>
      <c r="B7940" t="inlineStr">
        <is>
          <t>avverkningsanmälan</t>
        </is>
      </c>
      <c r="C7940" t="inlineStr">
        <is>
          <t>Föryngringsavverkning</t>
        </is>
      </c>
      <c r="D7940" s="1" t="n">
        <v>46087</v>
      </c>
      <c r="E7940" s="1" t="n">
        <v>46319</v>
      </c>
      <c r="F7940" t="inlineStr">
        <is>
          <t>DALARNAS LÄN</t>
        </is>
      </c>
      <c r="G7940" t="inlineStr">
        <is>
          <t>FALUN</t>
        </is>
      </c>
      <c r="I7940" t="n">
        <v>23.9</v>
      </c>
      <c r="J7940" t="n">
        <v>0</v>
      </c>
      <c r="K7940" t="n">
        <v>0</v>
      </c>
      <c r="L7940" t="n">
        <v>0</v>
      </c>
      <c r="M7940" t="n">
        <v>0</v>
      </c>
      <c r="N7940" t="n">
        <v>0</v>
      </c>
      <c r="O7940" t="n">
        <v>0</v>
      </c>
      <c r="P7940" t="n">
        <v>0</v>
      </c>
      <c r="Q7940" t="n">
        <v>0</v>
      </c>
      <c r="R7940" t="n">
        <v>0</v>
      </c>
      <c r="S7940" t="n">
        <v>0</v>
      </c>
      <c r="T7940" t="n">
        <v>0</v>
      </c>
      <c r="U7940" t="n">
        <v>0</v>
      </c>
      <c r="V7940" s="2" t="inlineStr"/>
    </row>
    <row r="7941" ht="15" customHeight="1">
      <c r="A7941" t="inlineStr">
        <is>
          <t>A 22306-2026</t>
        </is>
      </c>
      <c r="B7941" t="inlineStr">
        <is>
          <t>avverkningsanmälan</t>
        </is>
      </c>
      <c r="C7941" t="inlineStr">
        <is>
          <t>Föryngringsavverkning</t>
        </is>
      </c>
      <c r="D7941" s="1" t="n">
        <v>46154</v>
      </c>
      <c r="E7941" s="1" t="n">
        <v>46319</v>
      </c>
      <c r="F7941" t="inlineStr">
        <is>
          <t>DALARNAS LÄN</t>
        </is>
      </c>
      <c r="G7941" t="inlineStr">
        <is>
          <t>ÄLVDALEN</t>
        </is>
      </c>
      <c r="I7941" t="n">
        <v>8.6</v>
      </c>
      <c r="J7941" t="n">
        <v>0</v>
      </c>
      <c r="K7941" t="n">
        <v>0</v>
      </c>
      <c r="L7941" t="n">
        <v>0</v>
      </c>
      <c r="M7941" t="n">
        <v>0</v>
      </c>
      <c r="N7941" t="n">
        <v>0</v>
      </c>
      <c r="O7941" t="n">
        <v>0</v>
      </c>
      <c r="P7941" t="n">
        <v>0</v>
      </c>
      <c r="Q7941" t="n">
        <v>0</v>
      </c>
      <c r="R7941" t="n">
        <v>0</v>
      </c>
      <c r="S7941" t="n">
        <v>0</v>
      </c>
      <c r="T7941" t="n">
        <v>0</v>
      </c>
      <c r="U7941" t="n">
        <v>0</v>
      </c>
      <c r="V7941" s="2" t="inlineStr"/>
    </row>
    <row r="7942" ht="15" customHeight="1">
      <c r="A7942" t="inlineStr">
        <is>
          <t>A 3585-2026</t>
        </is>
      </c>
      <c r="B7942" t="inlineStr">
        <is>
          <t>avverkningsanmälan</t>
        </is>
      </c>
      <c r="C7942" t="inlineStr">
        <is>
          <t>Föryngringsavverkning</t>
        </is>
      </c>
      <c r="D7942" s="1" t="n">
        <v>46042</v>
      </c>
      <c r="E7942" s="1" t="n">
        <v>46319</v>
      </c>
      <c r="F7942" t="inlineStr">
        <is>
          <t>DALARNAS LÄN</t>
        </is>
      </c>
      <c r="G7942" t="inlineStr">
        <is>
          <t>FALUN</t>
        </is>
      </c>
      <c r="I7942" t="n">
        <v>2.6</v>
      </c>
      <c r="J7942" t="n">
        <v>0</v>
      </c>
      <c r="K7942" t="n">
        <v>0</v>
      </c>
      <c r="L7942" t="n">
        <v>0</v>
      </c>
      <c r="M7942" t="n">
        <v>0</v>
      </c>
      <c r="N7942" t="n">
        <v>0</v>
      </c>
      <c r="O7942" t="n">
        <v>0</v>
      </c>
      <c r="P7942" t="n">
        <v>0</v>
      </c>
      <c r="Q7942" t="n">
        <v>0</v>
      </c>
      <c r="R7942" t="n">
        <v>0</v>
      </c>
      <c r="S7942" t="n">
        <v>0</v>
      </c>
      <c r="T7942" t="n">
        <v>0</v>
      </c>
      <c r="U7942" t="n">
        <v>0</v>
      </c>
      <c r="V7942" s="2" t="inlineStr"/>
    </row>
    <row r="7943" ht="15" customHeight="1">
      <c r="A7943" t="inlineStr">
        <is>
          <t>A 8588-2026</t>
        </is>
      </c>
      <c r="B7943" t="inlineStr">
        <is>
          <t>avverkningsanmälan</t>
        </is>
      </c>
      <c r="C7943" t="inlineStr">
        <is>
          <t>Föryngringsavverkning</t>
        </is>
      </c>
      <c r="D7943" s="1" t="n">
        <v>46065</v>
      </c>
      <c r="E7943" s="1" t="n">
        <v>46319</v>
      </c>
      <c r="F7943" t="inlineStr">
        <is>
          <t>DALARNAS LÄN</t>
        </is>
      </c>
      <c r="G7943" t="inlineStr">
        <is>
          <t>FALUN</t>
        </is>
      </c>
      <c r="H7943" t="inlineStr">
        <is>
          <t>Allmännings- och besparingsskogar</t>
        </is>
      </c>
      <c r="I7943" t="n">
        <v>17.4</v>
      </c>
      <c r="J7943" t="n">
        <v>0</v>
      </c>
      <c r="K7943" t="n">
        <v>0</v>
      </c>
      <c r="L7943" t="n">
        <v>0</v>
      </c>
      <c r="M7943" t="n">
        <v>0</v>
      </c>
      <c r="N7943" t="n">
        <v>0</v>
      </c>
      <c r="O7943" t="n">
        <v>0</v>
      </c>
      <c r="P7943" t="n">
        <v>0</v>
      </c>
      <c r="Q7943" t="n">
        <v>0</v>
      </c>
      <c r="R7943" t="n">
        <v>0</v>
      </c>
      <c r="S7943" t="n">
        <v>0</v>
      </c>
      <c r="T7943" t="n">
        <v>0</v>
      </c>
      <c r="U7943" t="n">
        <v>0</v>
      </c>
      <c r="V7943" s="2" t="inlineStr"/>
    </row>
    <row r="7944" ht="15" customHeight="1">
      <c r="A7944" t="inlineStr">
        <is>
          <t>A 8598-2026</t>
        </is>
      </c>
      <c r="B7944" t="inlineStr">
        <is>
          <t>avverkningsanmälan</t>
        </is>
      </c>
      <c r="C7944" t="inlineStr">
        <is>
          <t>Föryngringsavverkning</t>
        </is>
      </c>
      <c r="D7944" s="1" t="n">
        <v>46065</v>
      </c>
      <c r="E7944" s="1" t="n">
        <v>46319</v>
      </c>
      <c r="F7944" t="inlineStr">
        <is>
          <t>DALARNAS LÄN</t>
        </is>
      </c>
      <c r="G7944" t="inlineStr">
        <is>
          <t>FALUN</t>
        </is>
      </c>
      <c r="I7944" t="n">
        <v>1.1</v>
      </c>
      <c r="J7944" t="n">
        <v>0</v>
      </c>
      <c r="K7944" t="n">
        <v>0</v>
      </c>
      <c r="L7944" t="n">
        <v>0</v>
      </c>
      <c r="M7944" t="n">
        <v>0</v>
      </c>
      <c r="N7944" t="n">
        <v>0</v>
      </c>
      <c r="O7944" t="n">
        <v>0</v>
      </c>
      <c r="P7944" t="n">
        <v>0</v>
      </c>
      <c r="Q7944" t="n">
        <v>0</v>
      </c>
      <c r="R7944" t="n">
        <v>0</v>
      </c>
      <c r="S7944" t="n">
        <v>0</v>
      </c>
      <c r="T7944" t="n">
        <v>0</v>
      </c>
      <c r="U7944" t="n">
        <v>0</v>
      </c>
      <c r="V7944" s="2" t="inlineStr"/>
    </row>
    <row r="7945" ht="15" customHeight="1">
      <c r="A7945" t="inlineStr">
        <is>
          <t>A 60170-2025</t>
        </is>
      </c>
      <c r="B7945" t="inlineStr">
        <is>
          <t>avverkningsanmälan</t>
        </is>
      </c>
      <c r="C7945" t="inlineStr">
        <is>
          <t>Föryngringsavverkning</t>
        </is>
      </c>
      <c r="D7945" s="1" t="n">
        <v>45994</v>
      </c>
      <c r="E7945" s="1" t="n">
        <v>46319</v>
      </c>
      <c r="F7945" t="inlineStr">
        <is>
          <t>DALARNAS LÄN</t>
        </is>
      </c>
      <c r="G7945" t="inlineStr">
        <is>
          <t>LEKSAND</t>
        </is>
      </c>
      <c r="I7945" t="n">
        <v>1.3</v>
      </c>
      <c r="J7945" t="n">
        <v>0</v>
      </c>
      <c r="K7945" t="n">
        <v>0</v>
      </c>
      <c r="L7945" t="n">
        <v>0</v>
      </c>
      <c r="M7945" t="n">
        <v>0</v>
      </c>
      <c r="N7945" t="n">
        <v>0</v>
      </c>
      <c r="O7945" t="n">
        <v>0</v>
      </c>
      <c r="P7945" t="n">
        <v>0</v>
      </c>
      <c r="Q7945" t="n">
        <v>0</v>
      </c>
      <c r="R7945" t="n">
        <v>0</v>
      </c>
      <c r="S7945" t="n">
        <v>0</v>
      </c>
      <c r="T7945" t="n">
        <v>0</v>
      </c>
      <c r="U7945" t="n">
        <v>0</v>
      </c>
      <c r="V7945" s="2" t="inlineStr"/>
    </row>
    <row r="7946" ht="15" customHeight="1">
      <c r="A7946" t="inlineStr">
        <is>
          <t>A 37981-2024</t>
        </is>
      </c>
      <c r="B7946" t="inlineStr">
        <is>
          <t>avverkningsanmälan</t>
        </is>
      </c>
      <c r="C7946" t="inlineStr">
        <is>
          <t>Avverkning för annat ändamål</t>
        </is>
      </c>
      <c r="D7946" s="1" t="n">
        <v>45544</v>
      </c>
      <c r="E7946" s="1" t="n">
        <v>46319</v>
      </c>
      <c r="F7946" t="inlineStr">
        <is>
          <t>DALARNAS LÄN</t>
        </is>
      </c>
      <c r="G7946" t="inlineStr">
        <is>
          <t>ORSA</t>
        </is>
      </c>
      <c r="H7946" t="inlineStr">
        <is>
          <t>Allmännings- och besparingsskogar</t>
        </is>
      </c>
      <c r="I7946" t="n">
        <v>1.2</v>
      </c>
      <c r="J7946" t="n">
        <v>0</v>
      </c>
      <c r="K7946" t="n">
        <v>0</v>
      </c>
      <c r="L7946" t="n">
        <v>0</v>
      </c>
      <c r="M7946" t="n">
        <v>0</v>
      </c>
      <c r="N7946" t="n">
        <v>0</v>
      </c>
      <c r="O7946" t="n">
        <v>0</v>
      </c>
      <c r="P7946" t="n">
        <v>0</v>
      </c>
      <c r="Q7946" t="n">
        <v>0</v>
      </c>
      <c r="R7946" t="n">
        <v>0</v>
      </c>
      <c r="S7946" t="n">
        <v>0</v>
      </c>
      <c r="T7946" t="n">
        <v>0</v>
      </c>
      <c r="U7946" t="n">
        <v>0</v>
      </c>
      <c r="V7946" s="2" t="inlineStr"/>
    </row>
    <row r="7947" ht="15" customHeight="1">
      <c r="A7947" t="inlineStr">
        <is>
          <t>A 19674-2026</t>
        </is>
      </c>
      <c r="B7947" t="inlineStr">
        <is>
          <t>avverkningsanmälan</t>
        </is>
      </c>
      <c r="C7947" t="inlineStr">
        <is>
          <t>Föryngringsavverkning</t>
        </is>
      </c>
      <c r="D7947" s="1" t="n">
        <v>46134</v>
      </c>
      <c r="E7947" s="1" t="n">
        <v>46319</v>
      </c>
      <c r="F7947" t="inlineStr">
        <is>
          <t>DALARNAS LÄN</t>
        </is>
      </c>
      <c r="G7947" t="inlineStr">
        <is>
          <t>AVESTA</t>
        </is>
      </c>
      <c r="I7947" t="n">
        <v>1.6</v>
      </c>
      <c r="J7947" t="n">
        <v>0</v>
      </c>
      <c r="K7947" t="n">
        <v>0</v>
      </c>
      <c r="L7947" t="n">
        <v>0</v>
      </c>
      <c r="M7947" t="n">
        <v>0</v>
      </c>
      <c r="N7947" t="n">
        <v>0</v>
      </c>
      <c r="O7947" t="n">
        <v>0</v>
      </c>
      <c r="P7947" t="n">
        <v>0</v>
      </c>
      <c r="Q7947" t="n">
        <v>0</v>
      </c>
      <c r="R7947" t="n">
        <v>0</v>
      </c>
      <c r="S7947" t="n">
        <v>0</v>
      </c>
      <c r="T7947" t="n">
        <v>0</v>
      </c>
      <c r="U7947" t="n">
        <v>0</v>
      </c>
      <c r="V7947" s="2" t="inlineStr"/>
    </row>
    <row r="7948" ht="15" customHeight="1">
      <c r="A7948" t="inlineStr">
        <is>
          <t>A 2973-2023</t>
        </is>
      </c>
      <c r="B7948" t="inlineStr">
        <is>
          <t>avverkningsanmälan</t>
        </is>
      </c>
      <c r="C7948" t="inlineStr">
        <is>
          <t>Föryngringsavverkning</t>
        </is>
      </c>
      <c r="D7948" s="1" t="n">
        <v>44945</v>
      </c>
      <c r="E7948" s="1" t="n">
        <v>46319</v>
      </c>
      <c r="F7948" t="inlineStr">
        <is>
          <t>DALARNAS LÄN</t>
        </is>
      </c>
      <c r="G7948" t="inlineStr">
        <is>
          <t>FALUN</t>
        </is>
      </c>
      <c r="I7948" t="n">
        <v>1.9</v>
      </c>
      <c r="J7948" t="n">
        <v>0</v>
      </c>
      <c r="K7948" t="n">
        <v>0</v>
      </c>
      <c r="L7948" t="n">
        <v>0</v>
      </c>
      <c r="M7948" t="n">
        <v>0</v>
      </c>
      <c r="N7948" t="n">
        <v>0</v>
      </c>
      <c r="O7948" t="n">
        <v>0</v>
      </c>
      <c r="P7948" t="n">
        <v>0</v>
      </c>
      <c r="Q7948" t="n">
        <v>0</v>
      </c>
      <c r="R7948" t="n">
        <v>0</v>
      </c>
      <c r="S7948" t="n">
        <v>0</v>
      </c>
      <c r="T7948" t="n">
        <v>0</v>
      </c>
      <c r="U7948" t="n">
        <v>0</v>
      </c>
      <c r="V7948" s="2" t="inlineStr"/>
    </row>
    <row r="7949" ht="15" customHeight="1">
      <c r="A7949" t="inlineStr">
        <is>
          <t>A 50123-2024</t>
        </is>
      </c>
      <c r="B7949" t="inlineStr">
        <is>
          <t>avverkningsanmälan</t>
        </is>
      </c>
      <c r="C7949" t="inlineStr">
        <is>
          <t>Föryngringsavverkning</t>
        </is>
      </c>
      <c r="D7949" s="1" t="n">
        <v>45600</v>
      </c>
      <c r="E7949" s="1" t="n">
        <v>46319</v>
      </c>
      <c r="F7949" t="inlineStr">
        <is>
          <t>DALARNAS LÄN</t>
        </is>
      </c>
      <c r="G7949" t="inlineStr">
        <is>
          <t>FALUN</t>
        </is>
      </c>
      <c r="I7949" t="n">
        <v>1.7</v>
      </c>
      <c r="J7949" t="n">
        <v>0</v>
      </c>
      <c r="K7949" t="n">
        <v>0</v>
      </c>
      <c r="L7949" t="n">
        <v>0</v>
      </c>
      <c r="M7949" t="n">
        <v>0</v>
      </c>
      <c r="N7949" t="n">
        <v>0</v>
      </c>
      <c r="O7949" t="n">
        <v>0</v>
      </c>
      <c r="P7949" t="n">
        <v>0</v>
      </c>
      <c r="Q7949" t="n">
        <v>0</v>
      </c>
      <c r="R7949" t="n">
        <v>0</v>
      </c>
      <c r="S7949" t="n">
        <v>0</v>
      </c>
      <c r="T7949" t="n">
        <v>0</v>
      </c>
      <c r="U7949" t="n">
        <v>0</v>
      </c>
      <c r="V7949" s="2" t="inlineStr"/>
    </row>
    <row r="7950" ht="15" customHeight="1">
      <c r="A7950" t="inlineStr">
        <is>
          <t>A 8173-2026</t>
        </is>
      </c>
      <c r="B7950" t="inlineStr">
        <is>
          <t>avverkningsanmälan</t>
        </is>
      </c>
      <c r="C7950" t="inlineStr">
        <is>
          <t>Föryngringsavverkning</t>
        </is>
      </c>
      <c r="D7950" s="1" t="n">
        <v>46064</v>
      </c>
      <c r="E7950" s="1" t="n">
        <v>46319</v>
      </c>
      <c r="F7950" t="inlineStr">
        <is>
          <t>DALARNAS LÄN</t>
        </is>
      </c>
      <c r="G7950" t="inlineStr">
        <is>
          <t>RÄTTVIK</t>
        </is>
      </c>
      <c r="I7950" t="n">
        <v>1.3</v>
      </c>
      <c r="J7950" t="n">
        <v>0</v>
      </c>
      <c r="K7950" t="n">
        <v>0</v>
      </c>
      <c r="L7950" t="n">
        <v>0</v>
      </c>
      <c r="M7950" t="n">
        <v>0</v>
      </c>
      <c r="N7950" t="n">
        <v>0</v>
      </c>
      <c r="O7950" t="n">
        <v>0</v>
      </c>
      <c r="P7950" t="n">
        <v>0</v>
      </c>
      <c r="Q7950" t="n">
        <v>0</v>
      </c>
      <c r="R7950" t="n">
        <v>0</v>
      </c>
      <c r="S7950" t="n">
        <v>0</v>
      </c>
      <c r="T7950" t="n">
        <v>0</v>
      </c>
      <c r="U7950" t="n">
        <v>0</v>
      </c>
      <c r="V7950" s="2" t="inlineStr"/>
    </row>
    <row r="7951" ht="15" customHeight="1">
      <c r="A7951" t="inlineStr">
        <is>
          <t>A 1135-2026</t>
        </is>
      </c>
      <c r="B7951" t="inlineStr">
        <is>
          <t>avverkningsanmälan</t>
        </is>
      </c>
      <c r="C7951" t="inlineStr">
        <is>
          <t>Föryngringsavverkning</t>
        </is>
      </c>
      <c r="D7951" s="1" t="n">
        <v>46030</v>
      </c>
      <c r="E7951" s="1" t="n">
        <v>46319</v>
      </c>
      <c r="F7951" t="inlineStr">
        <is>
          <t>DALARNAS LÄN</t>
        </is>
      </c>
      <c r="G7951" t="inlineStr">
        <is>
          <t>FALUN</t>
        </is>
      </c>
      <c r="I7951" t="n">
        <v>4</v>
      </c>
      <c r="J7951" t="n">
        <v>0</v>
      </c>
      <c r="K7951" t="n">
        <v>0</v>
      </c>
      <c r="L7951" t="n">
        <v>0</v>
      </c>
      <c r="M7951" t="n">
        <v>0</v>
      </c>
      <c r="N7951" t="n">
        <v>0</v>
      </c>
      <c r="O7951" t="n">
        <v>0</v>
      </c>
      <c r="P7951" t="n">
        <v>0</v>
      </c>
      <c r="Q7951" t="n">
        <v>0</v>
      </c>
      <c r="R7951" t="n">
        <v>0</v>
      </c>
      <c r="S7951" t="n">
        <v>0</v>
      </c>
      <c r="T7951" t="n">
        <v>0</v>
      </c>
      <c r="U7951" t="n">
        <v>0</v>
      </c>
      <c r="V7951" s="2" t="inlineStr"/>
    </row>
    <row r="7952" ht="15" customHeight="1">
      <c r="A7952" t="inlineStr">
        <is>
          <t>A 1178-2026</t>
        </is>
      </c>
      <c r="B7952" t="inlineStr">
        <is>
          <t>avverkningsanmälan</t>
        </is>
      </c>
      <c r="C7952" t="inlineStr">
        <is>
          <t>Föryngringsavverkning</t>
        </is>
      </c>
      <c r="D7952" s="1" t="n">
        <v>46031</v>
      </c>
      <c r="E7952" s="1" t="n">
        <v>46319</v>
      </c>
      <c r="F7952" t="inlineStr">
        <is>
          <t>DALARNAS LÄN</t>
        </is>
      </c>
      <c r="G7952" t="inlineStr">
        <is>
          <t>FALUN</t>
        </is>
      </c>
      <c r="I7952" t="n">
        <v>2.8</v>
      </c>
      <c r="J7952" t="n">
        <v>0</v>
      </c>
      <c r="K7952" t="n">
        <v>0</v>
      </c>
      <c r="L7952" t="n">
        <v>0</v>
      </c>
      <c r="M7952" t="n">
        <v>0</v>
      </c>
      <c r="N7952" t="n">
        <v>0</v>
      </c>
      <c r="O7952" t="n">
        <v>0</v>
      </c>
      <c r="P7952" t="n">
        <v>0</v>
      </c>
      <c r="Q7952" t="n">
        <v>0</v>
      </c>
      <c r="R7952" t="n">
        <v>0</v>
      </c>
      <c r="S7952" t="n">
        <v>0</v>
      </c>
      <c r="T7952" t="n">
        <v>0</v>
      </c>
      <c r="U7952" t="n">
        <v>0</v>
      </c>
      <c r="V7952" s="2" t="inlineStr"/>
    </row>
    <row r="7953" ht="15" customHeight="1">
      <c r="A7953" t="inlineStr">
        <is>
          <t>A 15588-2026</t>
        </is>
      </c>
      <c r="B7953" t="inlineStr">
        <is>
          <t>avverkningsanmälan</t>
        </is>
      </c>
      <c r="C7953" t="inlineStr">
        <is>
          <t>Föryngringsavverkning</t>
        </is>
      </c>
      <c r="D7953" s="1" t="n">
        <v>46106</v>
      </c>
      <c r="E7953" s="1" t="n">
        <v>46319</v>
      </c>
      <c r="F7953" t="inlineStr">
        <is>
          <t>DALARNAS LÄN</t>
        </is>
      </c>
      <c r="G7953" t="inlineStr">
        <is>
          <t>RÄTTVIK</t>
        </is>
      </c>
      <c r="H7953" t="inlineStr">
        <is>
          <t>Bergvik skog väst AB</t>
        </is>
      </c>
      <c r="I7953" t="n">
        <v>1.9</v>
      </c>
      <c r="J7953" t="n">
        <v>0</v>
      </c>
      <c r="K7953" t="n">
        <v>0</v>
      </c>
      <c r="L7953" t="n">
        <v>0</v>
      </c>
      <c r="M7953" t="n">
        <v>0</v>
      </c>
      <c r="N7953" t="n">
        <v>0</v>
      </c>
      <c r="O7953" t="n">
        <v>0</v>
      </c>
      <c r="P7953" t="n">
        <v>0</v>
      </c>
      <c r="Q7953" t="n">
        <v>0</v>
      </c>
      <c r="R7953" t="n">
        <v>0</v>
      </c>
      <c r="S7953" t="n">
        <v>0</v>
      </c>
      <c r="T7953" t="n">
        <v>0</v>
      </c>
      <c r="U7953" t="n">
        <v>0</v>
      </c>
      <c r="V7953" s="2" t="inlineStr"/>
    </row>
    <row r="7954" ht="15" customHeight="1">
      <c r="A7954" t="inlineStr">
        <is>
          <t>A 2235-2026</t>
        </is>
      </c>
      <c r="B7954" t="inlineStr">
        <is>
          <t>avverkningsanmälan</t>
        </is>
      </c>
      <c r="C7954" t="inlineStr">
        <is>
          <t>Föryngringsavverkning</t>
        </is>
      </c>
      <c r="D7954" s="1" t="n">
        <v>46036</v>
      </c>
      <c r="E7954" s="1" t="n">
        <v>46319</v>
      </c>
      <c r="F7954" t="inlineStr">
        <is>
          <t>DALARNAS LÄN</t>
        </is>
      </c>
      <c r="G7954" t="inlineStr">
        <is>
          <t>FALUN</t>
        </is>
      </c>
      <c r="I7954" t="n">
        <v>3.6</v>
      </c>
      <c r="J7954" t="n">
        <v>0</v>
      </c>
      <c r="K7954" t="n">
        <v>0</v>
      </c>
      <c r="L7954" t="n">
        <v>0</v>
      </c>
      <c r="M7954" t="n">
        <v>0</v>
      </c>
      <c r="N7954" t="n">
        <v>0</v>
      </c>
      <c r="O7954" t="n">
        <v>0</v>
      </c>
      <c r="P7954" t="n">
        <v>0</v>
      </c>
      <c r="Q7954" t="n">
        <v>0</v>
      </c>
      <c r="R7954" t="n">
        <v>0</v>
      </c>
      <c r="S7954" t="n">
        <v>0</v>
      </c>
      <c r="T7954" t="n">
        <v>0</v>
      </c>
      <c r="U7954" t="n">
        <v>0</v>
      </c>
      <c r="V7954" s="2" t="inlineStr"/>
    </row>
    <row r="7955" ht="15" customHeight="1">
      <c r="A7955" t="inlineStr">
        <is>
          <t>A 14633-2024</t>
        </is>
      </c>
      <c r="B7955" t="inlineStr">
        <is>
          <t>avverkningsanmälan</t>
        </is>
      </c>
      <c r="C7955" t="inlineStr">
        <is>
          <t>Föryngringsavverkning</t>
        </is>
      </c>
      <c r="D7955" s="1" t="n">
        <v>45397</v>
      </c>
      <c r="E7955" s="1" t="n">
        <v>46319</v>
      </c>
      <c r="F7955" t="inlineStr">
        <is>
          <t>DALARNAS LÄN</t>
        </is>
      </c>
      <c r="G7955" t="inlineStr">
        <is>
          <t>RÄTTVIK</t>
        </is>
      </c>
      <c r="I7955" t="n">
        <v>2.1</v>
      </c>
      <c r="J7955" t="n">
        <v>0</v>
      </c>
      <c r="K7955" t="n">
        <v>0</v>
      </c>
      <c r="L7955" t="n">
        <v>0</v>
      </c>
      <c r="M7955" t="n">
        <v>0</v>
      </c>
      <c r="N7955" t="n">
        <v>0</v>
      </c>
      <c r="O7955" t="n">
        <v>0</v>
      </c>
      <c r="P7955" t="n">
        <v>0</v>
      </c>
      <c r="Q7955" t="n">
        <v>0</v>
      </c>
      <c r="R7955" t="n">
        <v>0</v>
      </c>
      <c r="S7955" t="n">
        <v>0</v>
      </c>
      <c r="T7955" t="n">
        <v>0</v>
      </c>
      <c r="U7955" t="n">
        <v>0</v>
      </c>
      <c r="V7955" s="2" t="inlineStr"/>
    </row>
    <row r="7956" ht="15" customHeight="1">
      <c r="A7956" t="inlineStr">
        <is>
          <t>A 4707-2026</t>
        </is>
      </c>
      <c r="B7956" t="inlineStr">
        <is>
          <t>avverkningsanmälan</t>
        </is>
      </c>
      <c r="C7956" t="inlineStr">
        <is>
          <t>Föryngringsavverkning</t>
        </is>
      </c>
      <c r="D7956" s="1" t="n">
        <v>46048</v>
      </c>
      <c r="E7956" s="1" t="n">
        <v>46319</v>
      </c>
      <c r="F7956" t="inlineStr">
        <is>
          <t>DALARNAS LÄN</t>
        </is>
      </c>
      <c r="G7956" t="inlineStr">
        <is>
          <t>RÄTTVIK</t>
        </is>
      </c>
      <c r="I7956" t="n">
        <v>1.3</v>
      </c>
      <c r="J7956" t="n">
        <v>0</v>
      </c>
      <c r="K7956" t="n">
        <v>0</v>
      </c>
      <c r="L7956" t="n">
        <v>0</v>
      </c>
      <c r="M7956" t="n">
        <v>0</v>
      </c>
      <c r="N7956" t="n">
        <v>0</v>
      </c>
      <c r="O7956" t="n">
        <v>0</v>
      </c>
      <c r="P7956" t="n">
        <v>0</v>
      </c>
      <c r="Q7956" t="n">
        <v>0</v>
      </c>
      <c r="R7956" t="n">
        <v>0</v>
      </c>
      <c r="S7956" t="n">
        <v>0</v>
      </c>
      <c r="T7956" t="n">
        <v>0</v>
      </c>
      <c r="U7956" t="n">
        <v>0</v>
      </c>
      <c r="V7956" s="2" t="inlineStr"/>
    </row>
    <row r="7957" ht="15" customHeight="1">
      <c r="A7957" t="inlineStr">
        <is>
          <t>A 21970-2026</t>
        </is>
      </c>
      <c r="B7957" t="inlineStr">
        <is>
          <t>avverkningsanmälan</t>
        </is>
      </c>
      <c r="C7957" t="inlineStr">
        <is>
          <t>Föryngringsavverkning</t>
        </is>
      </c>
      <c r="D7957" s="1" t="n">
        <v>46153</v>
      </c>
      <c r="E7957" s="1" t="n">
        <v>46319</v>
      </c>
      <c r="F7957" t="inlineStr">
        <is>
          <t>DALARNAS LÄN</t>
        </is>
      </c>
      <c r="G7957" t="inlineStr">
        <is>
          <t>FALUN</t>
        </is>
      </c>
      <c r="I7957" t="n">
        <v>3.3</v>
      </c>
      <c r="J7957" t="n">
        <v>0</v>
      </c>
      <c r="K7957" t="n">
        <v>0</v>
      </c>
      <c r="L7957" t="n">
        <v>0</v>
      </c>
      <c r="M7957" t="n">
        <v>0</v>
      </c>
      <c r="N7957" t="n">
        <v>0</v>
      </c>
      <c r="O7957" t="n">
        <v>0</v>
      </c>
      <c r="P7957" t="n">
        <v>0</v>
      </c>
      <c r="Q7957" t="n">
        <v>0</v>
      </c>
      <c r="R7957" t="n">
        <v>0</v>
      </c>
      <c r="S7957" t="n">
        <v>0</v>
      </c>
      <c r="T7957" t="n">
        <v>0</v>
      </c>
      <c r="U7957" t="n">
        <v>0</v>
      </c>
      <c r="V7957" s="2" t="inlineStr"/>
    </row>
    <row r="7958" ht="15" customHeight="1">
      <c r="A7958" t="inlineStr">
        <is>
          <t>A 21026-2022</t>
        </is>
      </c>
      <c r="B7958" t="inlineStr">
        <is>
          <t>avverkningsanmälan</t>
        </is>
      </c>
      <c r="C7958" t="inlineStr">
        <is>
          <t>Föryngringsavverkning</t>
        </is>
      </c>
      <c r="D7958" s="1" t="n">
        <v>44704</v>
      </c>
      <c r="E7958" s="1" t="n">
        <v>46319</v>
      </c>
      <c r="F7958" t="inlineStr">
        <is>
          <t>DALARNAS LÄN</t>
        </is>
      </c>
      <c r="G7958" t="inlineStr">
        <is>
          <t>BORLÄNGE</t>
        </is>
      </c>
      <c r="I7958" t="n">
        <v>5.3</v>
      </c>
      <c r="J7958" t="n">
        <v>0</v>
      </c>
      <c r="K7958" t="n">
        <v>0</v>
      </c>
      <c r="L7958" t="n">
        <v>0</v>
      </c>
      <c r="M7958" t="n">
        <v>0</v>
      </c>
      <c r="N7958" t="n">
        <v>0</v>
      </c>
      <c r="O7958" t="n">
        <v>0</v>
      </c>
      <c r="P7958" t="n">
        <v>0</v>
      </c>
      <c r="Q7958" t="n">
        <v>0</v>
      </c>
      <c r="R7958" t="n">
        <v>0</v>
      </c>
      <c r="S7958" t="n">
        <v>0</v>
      </c>
      <c r="T7958" t="n">
        <v>0</v>
      </c>
      <c r="U7958" t="n">
        <v>0</v>
      </c>
      <c r="V7958" s="2" t="inlineStr"/>
    </row>
    <row r="7959" ht="15" customHeight="1">
      <c r="A7959" t="inlineStr">
        <is>
          <t>A 13812-2026</t>
        </is>
      </c>
      <c r="B7959" t="inlineStr">
        <is>
          <t>avverkningsanmälan</t>
        </is>
      </c>
      <c r="C7959" t="inlineStr">
        <is>
          <t>Föryngringsavverkning</t>
        </is>
      </c>
      <c r="D7959" s="1" t="n">
        <v>46098</v>
      </c>
      <c r="E7959" s="1" t="n">
        <v>46319</v>
      </c>
      <c r="F7959" t="inlineStr">
        <is>
          <t>DALARNAS LÄN</t>
        </is>
      </c>
      <c r="G7959" t="inlineStr">
        <is>
          <t>FALUN</t>
        </is>
      </c>
      <c r="I7959" t="n">
        <v>4.8</v>
      </c>
      <c r="J7959" t="n">
        <v>0</v>
      </c>
      <c r="K7959" t="n">
        <v>0</v>
      </c>
      <c r="L7959" t="n">
        <v>0</v>
      </c>
      <c r="M7959" t="n">
        <v>0</v>
      </c>
      <c r="N7959" t="n">
        <v>0</v>
      </c>
      <c r="O7959" t="n">
        <v>0</v>
      </c>
      <c r="P7959" t="n">
        <v>0</v>
      </c>
      <c r="Q7959" t="n">
        <v>0</v>
      </c>
      <c r="R7959" t="n">
        <v>0</v>
      </c>
      <c r="S7959" t="n">
        <v>0</v>
      </c>
      <c r="T7959" t="n">
        <v>0</v>
      </c>
      <c r="U7959" t="n">
        <v>0</v>
      </c>
      <c r="V7959" s="2" t="inlineStr"/>
    </row>
    <row r="7960" ht="15" customHeight="1">
      <c r="A7960" t="inlineStr">
        <is>
          <t>A 7864-2024</t>
        </is>
      </c>
      <c r="B7960" t="inlineStr">
        <is>
          <t>avverkningsanmälan</t>
        </is>
      </c>
      <c r="C7960" t="inlineStr">
        <is>
          <t>Föryngringsavverkning</t>
        </is>
      </c>
      <c r="D7960" s="1" t="n">
        <v>45350</v>
      </c>
      <c r="E7960" s="1" t="n">
        <v>46319</v>
      </c>
      <c r="F7960" t="inlineStr">
        <is>
          <t>DALARNAS LÄN</t>
        </is>
      </c>
      <c r="G7960" t="inlineStr">
        <is>
          <t>VANSBRO</t>
        </is>
      </c>
      <c r="I7960" t="n">
        <v>2.7</v>
      </c>
      <c r="J7960" t="n">
        <v>0</v>
      </c>
      <c r="K7960" t="n">
        <v>0</v>
      </c>
      <c r="L7960" t="n">
        <v>0</v>
      </c>
      <c r="M7960" t="n">
        <v>0</v>
      </c>
      <c r="N7960" t="n">
        <v>0</v>
      </c>
      <c r="O7960" t="n">
        <v>0</v>
      </c>
      <c r="P7960" t="n">
        <v>0</v>
      </c>
      <c r="Q7960" t="n">
        <v>0</v>
      </c>
      <c r="R7960" t="n">
        <v>0</v>
      </c>
      <c r="S7960" t="n">
        <v>0</v>
      </c>
      <c r="T7960" t="n">
        <v>0</v>
      </c>
      <c r="U7960" t="n">
        <v>0</v>
      </c>
      <c r="V7960" s="2" t="inlineStr"/>
    </row>
    <row r="7961" ht="15" customHeight="1">
      <c r="A7961" t="inlineStr">
        <is>
          <t>A 35521-2023</t>
        </is>
      </c>
      <c r="B7961" t="inlineStr">
        <is>
          <t>avverkningsanmälan</t>
        </is>
      </c>
      <c r="C7961" t="inlineStr">
        <is>
          <t>Föryngringsavverkning</t>
        </is>
      </c>
      <c r="D7961" s="1" t="n">
        <v>45147</v>
      </c>
      <c r="E7961" s="1" t="n">
        <v>46319</v>
      </c>
      <c r="F7961" t="inlineStr">
        <is>
          <t>DALARNAS LÄN</t>
        </is>
      </c>
      <c r="G7961" t="inlineStr">
        <is>
          <t>MORA</t>
        </is>
      </c>
      <c r="I7961" t="n">
        <v>3.7</v>
      </c>
      <c r="J7961" t="n">
        <v>0</v>
      </c>
      <c r="K7961" t="n">
        <v>0</v>
      </c>
      <c r="L7961" t="n">
        <v>0</v>
      </c>
      <c r="M7961" t="n">
        <v>0</v>
      </c>
      <c r="N7961" t="n">
        <v>0</v>
      </c>
      <c r="O7961" t="n">
        <v>0</v>
      </c>
      <c r="P7961" t="n">
        <v>0</v>
      </c>
      <c r="Q7961" t="n">
        <v>0</v>
      </c>
      <c r="R7961" t="n">
        <v>0</v>
      </c>
      <c r="S7961" t="n">
        <v>0</v>
      </c>
      <c r="T7961" t="n">
        <v>0</v>
      </c>
      <c r="U7961" t="n">
        <v>0</v>
      </c>
      <c r="V7961" s="2" t="inlineStr"/>
    </row>
    <row r="7962" ht="15" customHeight="1">
      <c r="A7962" t="inlineStr">
        <is>
          <t>A 45207-2023</t>
        </is>
      </c>
      <c r="B7962" t="inlineStr">
        <is>
          <t>avverkningsanmälan</t>
        </is>
      </c>
      <c r="C7962" t="inlineStr">
        <is>
          <t>Avverkning för att bevara och utveckla /försöksver</t>
        </is>
      </c>
      <c r="D7962" s="1" t="n">
        <v>45191</v>
      </c>
      <c r="E7962" s="1" t="n">
        <v>46319</v>
      </c>
      <c r="F7962" t="inlineStr">
        <is>
          <t>DALARNAS LÄN</t>
        </is>
      </c>
      <c r="G7962" t="inlineStr">
        <is>
          <t>MALUNG-SÄLEN</t>
        </is>
      </c>
      <c r="I7962" t="n">
        <v>3.9</v>
      </c>
      <c r="J7962" t="n">
        <v>0</v>
      </c>
      <c r="K7962" t="n">
        <v>0</v>
      </c>
      <c r="L7962" t="n">
        <v>0</v>
      </c>
      <c r="M7962" t="n">
        <v>0</v>
      </c>
      <c r="N7962" t="n">
        <v>0</v>
      </c>
      <c r="O7962" t="n">
        <v>0</v>
      </c>
      <c r="P7962" t="n">
        <v>0</v>
      </c>
      <c r="Q7962" t="n">
        <v>0</v>
      </c>
      <c r="R7962" t="n">
        <v>0</v>
      </c>
      <c r="S7962" t="n">
        <v>0</v>
      </c>
      <c r="T7962" t="n">
        <v>0</v>
      </c>
      <c r="U7962" t="n">
        <v>0</v>
      </c>
      <c r="V7962" s="2" t="inlineStr"/>
    </row>
    <row r="7963" ht="15" customHeight="1">
      <c r="A7963" t="inlineStr">
        <is>
          <t>A 22225-2026</t>
        </is>
      </c>
      <c r="B7963" t="inlineStr">
        <is>
          <t>avverkningsanmälan</t>
        </is>
      </c>
      <c r="C7963" t="inlineStr">
        <is>
          <t>Föryngringsavverkning</t>
        </is>
      </c>
      <c r="D7963" s="1" t="n">
        <v>46153</v>
      </c>
      <c r="E7963" s="1" t="n">
        <v>46319</v>
      </c>
      <c r="F7963" t="inlineStr">
        <is>
          <t>DALARNAS LÄN</t>
        </is>
      </c>
      <c r="G7963" t="inlineStr">
        <is>
          <t>ÄLVDALEN</t>
        </is>
      </c>
      <c r="I7963" t="n">
        <v>1.2</v>
      </c>
      <c r="J7963" t="n">
        <v>0</v>
      </c>
      <c r="K7963" t="n">
        <v>0</v>
      </c>
      <c r="L7963" t="n">
        <v>0</v>
      </c>
      <c r="M7963" t="n">
        <v>0</v>
      </c>
      <c r="N7963" t="n">
        <v>0</v>
      </c>
      <c r="O7963" t="n">
        <v>0</v>
      </c>
      <c r="P7963" t="n">
        <v>0</v>
      </c>
      <c r="Q7963" t="n">
        <v>0</v>
      </c>
      <c r="R7963" t="n">
        <v>0</v>
      </c>
      <c r="S7963" t="n">
        <v>0</v>
      </c>
      <c r="T7963" t="n">
        <v>0</v>
      </c>
      <c r="U7963" t="n">
        <v>0</v>
      </c>
      <c r="V7963" s="2" t="inlineStr"/>
    </row>
    <row r="7964" ht="15" customHeight="1">
      <c r="A7964" t="inlineStr">
        <is>
          <t>A 19717-2026</t>
        </is>
      </c>
      <c r="B7964" t="inlineStr">
        <is>
          <t>avverkningsanmälan</t>
        </is>
      </c>
      <c r="C7964" t="inlineStr">
        <is>
          <t>Föryngringsavverkning</t>
        </is>
      </c>
      <c r="D7964" s="1" t="n">
        <v>46134</v>
      </c>
      <c r="E7964" s="1" t="n">
        <v>46319</v>
      </c>
      <c r="F7964" t="inlineStr">
        <is>
          <t>DALARNAS LÄN</t>
        </is>
      </c>
      <c r="G7964" t="inlineStr">
        <is>
          <t>FALUN</t>
        </is>
      </c>
      <c r="I7964" t="n">
        <v>3.1</v>
      </c>
      <c r="J7964" t="n">
        <v>0</v>
      </c>
      <c r="K7964" t="n">
        <v>0</v>
      </c>
      <c r="L7964" t="n">
        <v>0</v>
      </c>
      <c r="M7964" t="n">
        <v>0</v>
      </c>
      <c r="N7964" t="n">
        <v>0</v>
      </c>
      <c r="O7964" t="n">
        <v>0</v>
      </c>
      <c r="P7964" t="n">
        <v>0</v>
      </c>
      <c r="Q7964" t="n">
        <v>0</v>
      </c>
      <c r="R7964" t="n">
        <v>0</v>
      </c>
      <c r="S7964" t="n">
        <v>0</v>
      </c>
      <c r="T7964" t="n">
        <v>0</v>
      </c>
      <c r="U7964" t="n">
        <v>0</v>
      </c>
      <c r="V7964" s="2" t="inlineStr"/>
    </row>
    <row r="7965" ht="15" customHeight="1">
      <c r="A7965" t="inlineStr">
        <is>
          <t>A 22148-2026</t>
        </is>
      </c>
      <c r="B7965" t="inlineStr">
        <is>
          <t>avverkningsanmälan</t>
        </is>
      </c>
      <c r="C7965" t="inlineStr">
        <is>
          <t>Föryngringsavverkning</t>
        </is>
      </c>
      <c r="D7965" s="1" t="n">
        <v>46153</v>
      </c>
      <c r="E7965" s="1" t="n">
        <v>46319</v>
      </c>
      <c r="F7965" t="inlineStr">
        <is>
          <t>DALARNAS LÄN</t>
        </is>
      </c>
      <c r="G7965" t="inlineStr">
        <is>
          <t>SÄTER</t>
        </is>
      </c>
      <c r="I7965" t="n">
        <v>1.7</v>
      </c>
      <c r="J7965" t="n">
        <v>0</v>
      </c>
      <c r="K7965" t="n">
        <v>0</v>
      </c>
      <c r="L7965" t="n">
        <v>0</v>
      </c>
      <c r="M7965" t="n">
        <v>0</v>
      </c>
      <c r="N7965" t="n">
        <v>0</v>
      </c>
      <c r="O7965" t="n">
        <v>0</v>
      </c>
      <c r="P7965" t="n">
        <v>0</v>
      </c>
      <c r="Q7965" t="n">
        <v>0</v>
      </c>
      <c r="R7965" t="n">
        <v>0</v>
      </c>
      <c r="S7965" t="n">
        <v>0</v>
      </c>
      <c r="T7965" t="n">
        <v>0</v>
      </c>
      <c r="U7965" t="n">
        <v>0</v>
      </c>
      <c r="V7965" s="2" t="inlineStr"/>
    </row>
    <row r="7966" ht="15" customHeight="1">
      <c r="A7966" t="inlineStr">
        <is>
          <t>A 22174-2026</t>
        </is>
      </c>
      <c r="B7966" t="inlineStr">
        <is>
          <t>avverkningsanmälan</t>
        </is>
      </c>
      <c r="C7966" t="inlineStr">
        <is>
          <t>Föryngringsavverkning</t>
        </is>
      </c>
      <c r="D7966" s="1" t="n">
        <v>46153</v>
      </c>
      <c r="E7966" s="1" t="n">
        <v>46319</v>
      </c>
      <c r="F7966" t="inlineStr">
        <is>
          <t>DALARNAS LÄN</t>
        </is>
      </c>
      <c r="G7966" t="inlineStr">
        <is>
          <t>FALUN</t>
        </is>
      </c>
      <c r="H7966" t="inlineStr">
        <is>
          <t>Bergvik skog väst AB</t>
        </is>
      </c>
      <c r="I7966" t="n">
        <v>0.9</v>
      </c>
      <c r="J7966" t="n">
        <v>0</v>
      </c>
      <c r="K7966" t="n">
        <v>0</v>
      </c>
      <c r="L7966" t="n">
        <v>0</v>
      </c>
      <c r="M7966" t="n">
        <v>0</v>
      </c>
      <c r="N7966" t="n">
        <v>0</v>
      </c>
      <c r="O7966" t="n">
        <v>0</v>
      </c>
      <c r="P7966" t="n">
        <v>0</v>
      </c>
      <c r="Q7966" t="n">
        <v>0</v>
      </c>
      <c r="R7966" t="n">
        <v>0</v>
      </c>
      <c r="S7966" t="n">
        <v>0</v>
      </c>
      <c r="T7966" t="n">
        <v>0</v>
      </c>
      <c r="U7966" t="n">
        <v>0</v>
      </c>
      <c r="V7966" s="2" t="inlineStr"/>
    </row>
    <row r="7967" ht="15" customHeight="1">
      <c r="A7967" t="inlineStr">
        <is>
          <t>A 22188-2026</t>
        </is>
      </c>
      <c r="B7967" t="inlineStr">
        <is>
          <t>avverkningsanmälan</t>
        </is>
      </c>
      <c r="C7967" t="inlineStr">
        <is>
          <t>Föryngringsavverkning</t>
        </is>
      </c>
      <c r="D7967" s="1" t="n">
        <v>46153</v>
      </c>
      <c r="E7967" s="1" t="n">
        <v>46319</v>
      </c>
      <c r="F7967" t="inlineStr">
        <is>
          <t>DALARNAS LÄN</t>
        </is>
      </c>
      <c r="G7967" t="inlineStr">
        <is>
          <t>FALUN</t>
        </is>
      </c>
      <c r="H7967" t="inlineStr">
        <is>
          <t>Bergvik skog väst AB</t>
        </is>
      </c>
      <c r="I7967" t="n">
        <v>6.8</v>
      </c>
      <c r="J7967" t="n">
        <v>0</v>
      </c>
      <c r="K7967" t="n">
        <v>0</v>
      </c>
      <c r="L7967" t="n">
        <v>0</v>
      </c>
      <c r="M7967" t="n">
        <v>0</v>
      </c>
      <c r="N7967" t="n">
        <v>0</v>
      </c>
      <c r="O7967" t="n">
        <v>0</v>
      </c>
      <c r="P7967" t="n">
        <v>0</v>
      </c>
      <c r="Q7967" t="n">
        <v>0</v>
      </c>
      <c r="R7967" t="n">
        <v>0</v>
      </c>
      <c r="S7967" t="n">
        <v>0</v>
      </c>
      <c r="T7967" t="n">
        <v>0</v>
      </c>
      <c r="U7967" t="n">
        <v>0</v>
      </c>
      <c r="V7967" s="2" t="inlineStr"/>
    </row>
    <row r="7968" ht="15" customHeight="1">
      <c r="A7968" t="inlineStr">
        <is>
          <t>A 59995-2023</t>
        </is>
      </c>
      <c r="B7968" t="inlineStr">
        <is>
          <t>avverkningsanmälan</t>
        </is>
      </c>
      <c r="C7968" t="inlineStr">
        <is>
          <t>Föryngringsavverkning</t>
        </is>
      </c>
      <c r="D7968" s="1" t="n">
        <v>45254</v>
      </c>
      <c r="E7968" s="1" t="n">
        <v>46319</v>
      </c>
      <c r="F7968" t="inlineStr">
        <is>
          <t>DALARNAS LÄN</t>
        </is>
      </c>
      <c r="G7968" t="inlineStr">
        <is>
          <t>MORA</t>
        </is>
      </c>
      <c r="I7968" t="n">
        <v>1.2</v>
      </c>
      <c r="J7968" t="n">
        <v>0</v>
      </c>
      <c r="K7968" t="n">
        <v>0</v>
      </c>
      <c r="L7968" t="n">
        <v>0</v>
      </c>
      <c r="M7968" t="n">
        <v>0</v>
      </c>
      <c r="N7968" t="n">
        <v>0</v>
      </c>
      <c r="O7968" t="n">
        <v>0</v>
      </c>
      <c r="P7968" t="n">
        <v>0</v>
      </c>
      <c r="Q7968" t="n">
        <v>0</v>
      </c>
      <c r="R7968" t="n">
        <v>0</v>
      </c>
      <c r="S7968" t="n">
        <v>0</v>
      </c>
      <c r="T7968" t="n">
        <v>0</v>
      </c>
      <c r="U7968" t="n">
        <v>0</v>
      </c>
      <c r="V7968" s="2" t="inlineStr"/>
    </row>
    <row r="7969" ht="15" customHeight="1">
      <c r="A7969" t="inlineStr">
        <is>
          <t>A 17888-2026</t>
        </is>
      </c>
      <c r="B7969" t="inlineStr">
        <is>
          <t>avverkningsanmälan</t>
        </is>
      </c>
      <c r="C7969" t="inlineStr">
        <is>
          <t>Föryngringsavverkning</t>
        </is>
      </c>
      <c r="D7969" s="1" t="n">
        <v>46122</v>
      </c>
      <c r="E7969" s="1" t="n">
        <v>46319</v>
      </c>
      <c r="F7969" t="inlineStr">
        <is>
          <t>DALARNAS LÄN</t>
        </is>
      </c>
      <c r="G7969" t="inlineStr">
        <is>
          <t>FALUN</t>
        </is>
      </c>
      <c r="I7969" t="n">
        <v>6.3</v>
      </c>
      <c r="J7969" t="n">
        <v>0</v>
      </c>
      <c r="K7969" t="n">
        <v>0</v>
      </c>
      <c r="L7969" t="n">
        <v>0</v>
      </c>
      <c r="M7969" t="n">
        <v>0</v>
      </c>
      <c r="N7969" t="n">
        <v>0</v>
      </c>
      <c r="O7969" t="n">
        <v>0</v>
      </c>
      <c r="P7969" t="n">
        <v>0</v>
      </c>
      <c r="Q7969" t="n">
        <v>0</v>
      </c>
      <c r="R7969" t="n">
        <v>0</v>
      </c>
      <c r="S7969" t="n">
        <v>0</v>
      </c>
      <c r="T7969" t="n">
        <v>0</v>
      </c>
      <c r="U7969" t="n">
        <v>0</v>
      </c>
      <c r="V7969" s="2" t="inlineStr"/>
    </row>
    <row r="7970" ht="15" customHeight="1">
      <c r="A7970" t="inlineStr">
        <is>
          <t>A 12356-2023</t>
        </is>
      </c>
      <c r="B7970" t="inlineStr">
        <is>
          <t>avverkningsanmälan</t>
        </is>
      </c>
      <c r="C7970" t="inlineStr">
        <is>
          <t>Avverkning för annat ändamål</t>
        </is>
      </c>
      <c r="D7970" s="1" t="n">
        <v>44998</v>
      </c>
      <c r="E7970" s="1" t="n">
        <v>46319</v>
      </c>
      <c r="F7970" t="inlineStr">
        <is>
          <t>DALARNAS LÄN</t>
        </is>
      </c>
      <c r="G7970" t="inlineStr">
        <is>
          <t>LEKSAND</t>
        </is>
      </c>
      <c r="I7970" t="n">
        <v>1.6</v>
      </c>
      <c r="J7970" t="n">
        <v>0</v>
      </c>
      <c r="K7970" t="n">
        <v>0</v>
      </c>
      <c r="L7970" t="n">
        <v>0</v>
      </c>
      <c r="M7970" t="n">
        <v>0</v>
      </c>
      <c r="N7970" t="n">
        <v>0</v>
      </c>
      <c r="O7970" t="n">
        <v>0</v>
      </c>
      <c r="P7970" t="n">
        <v>0</v>
      </c>
      <c r="Q7970" t="n">
        <v>0</v>
      </c>
      <c r="R7970" t="n">
        <v>0</v>
      </c>
      <c r="S7970" t="n">
        <v>0</v>
      </c>
      <c r="T7970" t="n">
        <v>0</v>
      </c>
      <c r="U7970" t="n">
        <v>0</v>
      </c>
      <c r="V7970" s="2" t="inlineStr"/>
    </row>
    <row r="7971" ht="15" customHeight="1">
      <c r="A7971" t="inlineStr">
        <is>
          <t>A 40671-2023</t>
        </is>
      </c>
      <c r="B7971" t="inlineStr">
        <is>
          <t>avverkningsanmälan</t>
        </is>
      </c>
      <c r="C7971" t="inlineStr">
        <is>
          <t>Föryngringsavverkning</t>
        </is>
      </c>
      <c r="D7971" s="1" t="n">
        <v>45170</v>
      </c>
      <c r="E7971" s="1" t="n">
        <v>46319</v>
      </c>
      <c r="F7971" t="inlineStr">
        <is>
          <t>DALARNAS LÄN</t>
        </is>
      </c>
      <c r="G7971" t="inlineStr">
        <is>
          <t>SÄTER</t>
        </is>
      </c>
      <c r="I7971" t="n">
        <v>2.1</v>
      </c>
      <c r="J7971" t="n">
        <v>0</v>
      </c>
      <c r="K7971" t="n">
        <v>0</v>
      </c>
      <c r="L7971" t="n">
        <v>0</v>
      </c>
      <c r="M7971" t="n">
        <v>0</v>
      </c>
      <c r="N7971" t="n">
        <v>0</v>
      </c>
      <c r="O7971" t="n">
        <v>0</v>
      </c>
      <c r="P7971" t="n">
        <v>0</v>
      </c>
      <c r="Q7971" t="n">
        <v>0</v>
      </c>
      <c r="R7971" t="n">
        <v>0</v>
      </c>
      <c r="S7971" t="n">
        <v>0</v>
      </c>
      <c r="T7971" t="n">
        <v>0</v>
      </c>
      <c r="U7971" t="n">
        <v>0</v>
      </c>
      <c r="V7971" s="2" t="inlineStr"/>
    </row>
    <row r="7972" ht="15" customHeight="1">
      <c r="A7972" t="inlineStr">
        <is>
          <t>A 21972-2026</t>
        </is>
      </c>
      <c r="B7972" t="inlineStr">
        <is>
          <t>avverkningsanmälan</t>
        </is>
      </c>
      <c r="C7972" t="inlineStr">
        <is>
          <t>Föryngringsavverkning</t>
        </is>
      </c>
      <c r="D7972" s="1" t="n">
        <v>46153</v>
      </c>
      <c r="E7972" s="1" t="n">
        <v>46319</v>
      </c>
      <c r="F7972" t="inlineStr">
        <is>
          <t>DALARNAS LÄN</t>
        </is>
      </c>
      <c r="G7972" t="inlineStr">
        <is>
          <t>FALUN</t>
        </is>
      </c>
      <c r="I7972" t="n">
        <v>13.9</v>
      </c>
      <c r="J7972" t="n">
        <v>0</v>
      </c>
      <c r="K7972" t="n">
        <v>0</v>
      </c>
      <c r="L7972" t="n">
        <v>0</v>
      </c>
      <c r="M7972" t="n">
        <v>0</v>
      </c>
      <c r="N7972" t="n">
        <v>0</v>
      </c>
      <c r="O7972" t="n">
        <v>0</v>
      </c>
      <c r="P7972" t="n">
        <v>0</v>
      </c>
      <c r="Q7972" t="n">
        <v>0</v>
      </c>
      <c r="R7972" t="n">
        <v>0</v>
      </c>
      <c r="S7972" t="n">
        <v>0</v>
      </c>
      <c r="T7972" t="n">
        <v>0</v>
      </c>
      <c r="U7972" t="n">
        <v>0</v>
      </c>
      <c r="V7972" s="2" t="inlineStr"/>
    </row>
    <row r="7973" ht="15" customHeight="1">
      <c r="A7973" t="inlineStr">
        <is>
          <t>A 22299-2026</t>
        </is>
      </c>
      <c r="B7973" t="inlineStr">
        <is>
          <t>avverkningsanmälan</t>
        </is>
      </c>
      <c r="C7973" t="inlineStr">
        <is>
          <t>Föryngringsavverkning</t>
        </is>
      </c>
      <c r="D7973" s="1" t="n">
        <v>46154</v>
      </c>
      <c r="E7973" s="1" t="n">
        <v>46319</v>
      </c>
      <c r="F7973" t="inlineStr">
        <is>
          <t>DALARNAS LÄN</t>
        </is>
      </c>
      <c r="G7973" t="inlineStr">
        <is>
          <t>FALUN</t>
        </is>
      </c>
      <c r="I7973" t="n">
        <v>1.1</v>
      </c>
      <c r="J7973" t="n">
        <v>0</v>
      </c>
      <c r="K7973" t="n">
        <v>0</v>
      </c>
      <c r="L7973" t="n">
        <v>0</v>
      </c>
      <c r="M7973" t="n">
        <v>0</v>
      </c>
      <c r="N7973" t="n">
        <v>0</v>
      </c>
      <c r="O7973" t="n">
        <v>0</v>
      </c>
      <c r="P7973" t="n">
        <v>0</v>
      </c>
      <c r="Q7973" t="n">
        <v>0</v>
      </c>
      <c r="R7973" t="n">
        <v>0</v>
      </c>
      <c r="S7973" t="n">
        <v>0</v>
      </c>
      <c r="T7973" t="n">
        <v>0</v>
      </c>
      <c r="U7973" t="n">
        <v>0</v>
      </c>
      <c r="V7973" s="2" t="inlineStr"/>
    </row>
    <row r="7974" ht="15" customHeight="1">
      <c r="A7974" t="inlineStr">
        <is>
          <t>A 52857-2023</t>
        </is>
      </c>
      <c r="B7974" t="inlineStr">
        <is>
          <t>avverkningsanmälan</t>
        </is>
      </c>
      <c r="C7974" t="inlineStr">
        <is>
          <t>Föryngringsavverkning</t>
        </is>
      </c>
      <c r="D7974" s="1" t="n">
        <v>45226</v>
      </c>
      <c r="E7974" s="1" t="n">
        <v>46319</v>
      </c>
      <c r="F7974" t="inlineStr">
        <is>
          <t>DALARNAS LÄN</t>
        </is>
      </c>
      <c r="G7974" t="inlineStr">
        <is>
          <t>MALUNG-SÄLEN</t>
        </is>
      </c>
      <c r="H7974" t="inlineStr">
        <is>
          <t>Bergvik skog öst AB</t>
        </is>
      </c>
      <c r="I7974" t="n">
        <v>3.6</v>
      </c>
      <c r="J7974" t="n">
        <v>0</v>
      </c>
      <c r="K7974" t="n">
        <v>0</v>
      </c>
      <c r="L7974" t="n">
        <v>0</v>
      </c>
      <c r="M7974" t="n">
        <v>0</v>
      </c>
      <c r="N7974" t="n">
        <v>0</v>
      </c>
      <c r="O7974" t="n">
        <v>0</v>
      </c>
      <c r="P7974" t="n">
        <v>0</v>
      </c>
      <c r="Q7974" t="n">
        <v>0</v>
      </c>
      <c r="R7974" t="n">
        <v>0</v>
      </c>
      <c r="S7974" t="n">
        <v>0</v>
      </c>
      <c r="T7974" t="n">
        <v>0</v>
      </c>
      <c r="U7974" t="n">
        <v>0</v>
      </c>
      <c r="V7974" s="2" t="inlineStr"/>
    </row>
    <row r="7975" ht="15" customHeight="1">
      <c r="A7975" t="inlineStr">
        <is>
          <t>A 22368-2026</t>
        </is>
      </c>
      <c r="B7975" t="inlineStr">
        <is>
          <t>avverkningsanmälan</t>
        </is>
      </c>
      <c r="C7975" t="inlineStr">
        <is>
          <t>Föryngringsavverkning</t>
        </is>
      </c>
      <c r="D7975" s="1" t="n">
        <v>46154</v>
      </c>
      <c r="E7975" s="1" t="n">
        <v>46319</v>
      </c>
      <c r="F7975" t="inlineStr">
        <is>
          <t>DALARNAS LÄN</t>
        </is>
      </c>
      <c r="G7975" t="inlineStr">
        <is>
          <t>FALUN</t>
        </is>
      </c>
      <c r="I7975" t="n">
        <v>0.8</v>
      </c>
      <c r="J7975" t="n">
        <v>0</v>
      </c>
      <c r="K7975" t="n">
        <v>0</v>
      </c>
      <c r="L7975" t="n">
        <v>0</v>
      </c>
      <c r="M7975" t="n">
        <v>0</v>
      </c>
      <c r="N7975" t="n">
        <v>0</v>
      </c>
      <c r="O7975" t="n">
        <v>0</v>
      </c>
      <c r="P7975" t="n">
        <v>0</v>
      </c>
      <c r="Q7975" t="n">
        <v>0</v>
      </c>
      <c r="R7975" t="n">
        <v>0</v>
      </c>
      <c r="S7975" t="n">
        <v>0</v>
      </c>
      <c r="T7975" t="n">
        <v>0</v>
      </c>
      <c r="U7975" t="n">
        <v>0</v>
      </c>
      <c r="V7975" s="2" t="inlineStr"/>
    </row>
    <row r="7976" ht="15" customHeight="1">
      <c r="A7976" t="inlineStr">
        <is>
          <t>A 16715-2026</t>
        </is>
      </c>
      <c r="B7976" t="inlineStr">
        <is>
          <t>avverkningsanmälan</t>
        </is>
      </c>
      <c r="C7976" t="inlineStr">
        <is>
          <t>Föryngringsavverkning</t>
        </is>
      </c>
      <c r="D7976" s="1" t="n">
        <v>46113</v>
      </c>
      <c r="E7976" s="1" t="n">
        <v>46319</v>
      </c>
      <c r="F7976" t="inlineStr">
        <is>
          <t>DALARNAS LÄN</t>
        </is>
      </c>
      <c r="G7976" t="inlineStr">
        <is>
          <t>RÄTTVIK</t>
        </is>
      </c>
      <c r="H7976" t="inlineStr">
        <is>
          <t>Bergvik skog väst AB</t>
        </is>
      </c>
      <c r="I7976" t="n">
        <v>6</v>
      </c>
      <c r="J7976" t="n">
        <v>0</v>
      </c>
      <c r="K7976" t="n">
        <v>0</v>
      </c>
      <c r="L7976" t="n">
        <v>0</v>
      </c>
      <c r="M7976" t="n">
        <v>0</v>
      </c>
      <c r="N7976" t="n">
        <v>0</v>
      </c>
      <c r="O7976" t="n">
        <v>0</v>
      </c>
      <c r="P7976" t="n">
        <v>0</v>
      </c>
      <c r="Q7976" t="n">
        <v>0</v>
      </c>
      <c r="R7976" t="n">
        <v>0</v>
      </c>
      <c r="S7976" t="n">
        <v>0</v>
      </c>
      <c r="T7976" t="n">
        <v>0</v>
      </c>
      <c r="U7976" t="n">
        <v>0</v>
      </c>
      <c r="V7976" s="2" t="inlineStr"/>
    </row>
    <row r="7977" ht="15" customHeight="1">
      <c r="A7977" t="inlineStr">
        <is>
          <t>A 22405-2026</t>
        </is>
      </c>
      <c r="B7977" t="inlineStr">
        <is>
          <t>avverkningsanmälan</t>
        </is>
      </c>
      <c r="C7977" t="inlineStr">
        <is>
          <t>Föryngringsavverkning</t>
        </is>
      </c>
      <c r="D7977" s="1" t="n">
        <v>46154</v>
      </c>
      <c r="E7977" s="1" t="n">
        <v>46319</v>
      </c>
      <c r="F7977" t="inlineStr">
        <is>
          <t>DALARNAS LÄN</t>
        </is>
      </c>
      <c r="G7977" t="inlineStr">
        <is>
          <t>GAGNEF</t>
        </is>
      </c>
      <c r="I7977" t="n">
        <v>1.9</v>
      </c>
      <c r="J7977" t="n">
        <v>0</v>
      </c>
      <c r="K7977" t="n">
        <v>0</v>
      </c>
      <c r="L7977" t="n">
        <v>0</v>
      </c>
      <c r="M7977" t="n">
        <v>0</v>
      </c>
      <c r="N7977" t="n">
        <v>0</v>
      </c>
      <c r="O7977" t="n">
        <v>0</v>
      </c>
      <c r="P7977" t="n">
        <v>0</v>
      </c>
      <c r="Q7977" t="n">
        <v>0</v>
      </c>
      <c r="R7977" t="n">
        <v>0</v>
      </c>
      <c r="S7977" t="n">
        <v>0</v>
      </c>
      <c r="T7977" t="n">
        <v>0</v>
      </c>
      <c r="U7977" t="n">
        <v>0</v>
      </c>
      <c r="V7977" s="2" t="inlineStr"/>
    </row>
    <row r="7978" ht="15" customHeight="1">
      <c r="A7978" t="inlineStr">
        <is>
          <t>A 3651-2026</t>
        </is>
      </c>
      <c r="B7978" t="inlineStr">
        <is>
          <t>avverkningsanmälan</t>
        </is>
      </c>
      <c r="C7978" t="inlineStr">
        <is>
          <t>Föryngringsavverkning</t>
        </is>
      </c>
      <c r="D7978" s="1" t="n">
        <v>46043</v>
      </c>
      <c r="E7978" s="1" t="n">
        <v>46319</v>
      </c>
      <c r="F7978" t="inlineStr">
        <is>
          <t>DALARNAS LÄN</t>
        </is>
      </c>
      <c r="G7978" t="inlineStr">
        <is>
          <t>FALUN</t>
        </is>
      </c>
      <c r="I7978" t="n">
        <v>2.5</v>
      </c>
      <c r="J7978" t="n">
        <v>0</v>
      </c>
      <c r="K7978" t="n">
        <v>0</v>
      </c>
      <c r="L7978" t="n">
        <v>0</v>
      </c>
      <c r="M7978" t="n">
        <v>0</v>
      </c>
      <c r="N7978" t="n">
        <v>0</v>
      </c>
      <c r="O7978" t="n">
        <v>0</v>
      </c>
      <c r="P7978" t="n">
        <v>0</v>
      </c>
      <c r="Q7978" t="n">
        <v>0</v>
      </c>
      <c r="R7978" t="n">
        <v>0</v>
      </c>
      <c r="S7978" t="n">
        <v>0</v>
      </c>
      <c r="T7978" t="n">
        <v>0</v>
      </c>
      <c r="U7978" t="n">
        <v>0</v>
      </c>
      <c r="V7978" s="2" t="inlineStr"/>
    </row>
    <row r="7979" ht="15" customHeight="1">
      <c r="A7979" t="inlineStr">
        <is>
          <t>A 44017-2023</t>
        </is>
      </c>
      <c r="B7979" t="inlineStr">
        <is>
          <t>avverkningsanmälan</t>
        </is>
      </c>
      <c r="C7979" t="inlineStr">
        <is>
          <t>Föryngringsavverkning</t>
        </is>
      </c>
      <c r="D7979" s="1" t="n">
        <v>45182</v>
      </c>
      <c r="E7979" s="1" t="n">
        <v>46319</v>
      </c>
      <c r="F7979" t="inlineStr">
        <is>
          <t>DALARNAS LÄN</t>
        </is>
      </c>
      <c r="G7979" t="inlineStr">
        <is>
          <t>RÄTTVIK</t>
        </is>
      </c>
      <c r="I7979" t="n">
        <v>0.6</v>
      </c>
      <c r="J7979" t="n">
        <v>0</v>
      </c>
      <c r="K7979" t="n">
        <v>0</v>
      </c>
      <c r="L7979" t="n">
        <v>0</v>
      </c>
      <c r="M7979" t="n">
        <v>0</v>
      </c>
      <c r="N7979" t="n">
        <v>0</v>
      </c>
      <c r="O7979" t="n">
        <v>0</v>
      </c>
      <c r="P7979" t="n">
        <v>0</v>
      </c>
      <c r="Q7979" t="n">
        <v>0</v>
      </c>
      <c r="R7979" t="n">
        <v>0</v>
      </c>
      <c r="S7979" t="n">
        <v>0</v>
      </c>
      <c r="T7979" t="n">
        <v>0</v>
      </c>
      <c r="U7979" t="n">
        <v>0</v>
      </c>
      <c r="V7979" s="2" t="inlineStr"/>
    </row>
    <row r="7980" ht="15" customHeight="1">
      <c r="A7980" t="inlineStr">
        <is>
          <t>A 20931-2022</t>
        </is>
      </c>
      <c r="B7980" t="inlineStr">
        <is>
          <t>avverkningsanmälan</t>
        </is>
      </c>
      <c r="C7980" t="inlineStr">
        <is>
          <t>Avverkning för annat ändamål</t>
        </is>
      </c>
      <c r="D7980" s="1" t="n">
        <v>44701</v>
      </c>
      <c r="E7980" s="1" t="n">
        <v>46319</v>
      </c>
      <c r="F7980" t="inlineStr">
        <is>
          <t>DALARNAS LÄN</t>
        </is>
      </c>
      <c r="G7980" t="inlineStr">
        <is>
          <t>VANSBRO</t>
        </is>
      </c>
      <c r="I7980" t="n">
        <v>1.9</v>
      </c>
      <c r="J7980" t="n">
        <v>0</v>
      </c>
      <c r="K7980" t="n">
        <v>0</v>
      </c>
      <c r="L7980" t="n">
        <v>0</v>
      </c>
      <c r="M7980" t="n">
        <v>0</v>
      </c>
      <c r="N7980" t="n">
        <v>0</v>
      </c>
      <c r="O7980" t="n">
        <v>0</v>
      </c>
      <c r="P7980" t="n">
        <v>0</v>
      </c>
      <c r="Q7980" t="n">
        <v>0</v>
      </c>
      <c r="R7980" t="n">
        <v>0</v>
      </c>
      <c r="S7980" t="n">
        <v>0</v>
      </c>
      <c r="T7980" t="n">
        <v>0</v>
      </c>
      <c r="U7980" t="n">
        <v>0</v>
      </c>
      <c r="V7980" s="2" t="inlineStr"/>
    </row>
    <row r="7981" ht="15" customHeight="1">
      <c r="A7981" t="inlineStr">
        <is>
          <t>A 42998-2023</t>
        </is>
      </c>
      <c r="B7981" t="inlineStr">
        <is>
          <t>avverkningsanmälan</t>
        </is>
      </c>
      <c r="C7981" t="inlineStr">
        <is>
          <t>Avverkning för annat ändamål</t>
        </is>
      </c>
      <c r="D7981" s="1" t="n">
        <v>45182</v>
      </c>
      <c r="E7981" s="1" t="n">
        <v>46319</v>
      </c>
      <c r="F7981" t="inlineStr">
        <is>
          <t>DALARNAS LÄN</t>
        </is>
      </c>
      <c r="G7981" t="inlineStr">
        <is>
          <t>SÄTER</t>
        </is>
      </c>
      <c r="I7981" t="n">
        <v>2.1</v>
      </c>
      <c r="J7981" t="n">
        <v>0</v>
      </c>
      <c r="K7981" t="n">
        <v>0</v>
      </c>
      <c r="L7981" t="n">
        <v>0</v>
      </c>
      <c r="M7981" t="n">
        <v>0</v>
      </c>
      <c r="N7981" t="n">
        <v>0</v>
      </c>
      <c r="O7981" t="n">
        <v>0</v>
      </c>
      <c r="P7981" t="n">
        <v>0</v>
      </c>
      <c r="Q7981" t="n">
        <v>0</v>
      </c>
      <c r="R7981" t="n">
        <v>0</v>
      </c>
      <c r="S7981" t="n">
        <v>0</v>
      </c>
      <c r="T7981" t="n">
        <v>0</v>
      </c>
      <c r="U7981" t="n">
        <v>0</v>
      </c>
      <c r="V7981" s="2" t="inlineStr"/>
    </row>
    <row r="7982" ht="15" customHeight="1">
      <c r="A7982" t="inlineStr">
        <is>
          <t>A 22379-2026</t>
        </is>
      </c>
      <c r="B7982" t="inlineStr">
        <is>
          <t>avverkningsanmälan</t>
        </is>
      </c>
      <c r="C7982" t="inlineStr">
        <is>
          <t>Föryngringsavverkning</t>
        </is>
      </c>
      <c r="D7982" s="1" t="n">
        <v>46154</v>
      </c>
      <c r="E7982" s="1" t="n">
        <v>46319</v>
      </c>
      <c r="F7982" t="inlineStr">
        <is>
          <t>DALARNAS LÄN</t>
        </is>
      </c>
      <c r="G7982" t="inlineStr">
        <is>
          <t>VANSBRO</t>
        </is>
      </c>
      <c r="I7982" t="n">
        <v>2.9</v>
      </c>
      <c r="J7982" t="n">
        <v>0</v>
      </c>
      <c r="K7982" t="n">
        <v>0</v>
      </c>
      <c r="L7982" t="n">
        <v>0</v>
      </c>
      <c r="M7982" t="n">
        <v>0</v>
      </c>
      <c r="N7982" t="n">
        <v>0</v>
      </c>
      <c r="O7982" t="n">
        <v>0</v>
      </c>
      <c r="P7982" t="n">
        <v>0</v>
      </c>
      <c r="Q7982" t="n">
        <v>0</v>
      </c>
      <c r="R7982" t="n">
        <v>0</v>
      </c>
      <c r="S7982" t="n">
        <v>0</v>
      </c>
      <c r="T7982" t="n">
        <v>0</v>
      </c>
      <c r="U7982" t="n">
        <v>0</v>
      </c>
      <c r="V7982" s="2" t="inlineStr"/>
    </row>
    <row r="7983" ht="15" customHeight="1">
      <c r="A7983" t="inlineStr">
        <is>
          <t>A 22384-2026</t>
        </is>
      </c>
      <c r="B7983" t="inlineStr">
        <is>
          <t>avverkningsanmälan</t>
        </is>
      </c>
      <c r="C7983" t="inlineStr">
        <is>
          <t>Föryngringsavverkning</t>
        </is>
      </c>
      <c r="D7983" s="1" t="n">
        <v>46154</v>
      </c>
      <c r="E7983" s="1" t="n">
        <v>46319</v>
      </c>
      <c r="F7983" t="inlineStr">
        <is>
          <t>DALARNAS LÄN</t>
        </is>
      </c>
      <c r="G7983" t="inlineStr">
        <is>
          <t>VANSBRO</t>
        </is>
      </c>
      <c r="I7983" t="n">
        <v>1.5</v>
      </c>
      <c r="J7983" t="n">
        <v>0</v>
      </c>
      <c r="K7983" t="n">
        <v>0</v>
      </c>
      <c r="L7983" t="n">
        <v>0</v>
      </c>
      <c r="M7983" t="n">
        <v>0</v>
      </c>
      <c r="N7983" t="n">
        <v>0</v>
      </c>
      <c r="O7983" t="n">
        <v>0</v>
      </c>
      <c r="P7983" t="n">
        <v>0</v>
      </c>
      <c r="Q7983" t="n">
        <v>0</v>
      </c>
      <c r="R7983" t="n">
        <v>0</v>
      </c>
      <c r="S7983" t="n">
        <v>0</v>
      </c>
      <c r="T7983" t="n">
        <v>0</v>
      </c>
      <c r="U7983" t="n">
        <v>0</v>
      </c>
      <c r="V7983" s="2" t="inlineStr"/>
    </row>
    <row r="7984" ht="15" customHeight="1">
      <c r="A7984" t="inlineStr">
        <is>
          <t>A 22497-2026</t>
        </is>
      </c>
      <c r="B7984" t="inlineStr">
        <is>
          <t>avverkningsanmälan</t>
        </is>
      </c>
      <c r="C7984" t="inlineStr">
        <is>
          <t>Föryngringsavverkning</t>
        </is>
      </c>
      <c r="D7984" s="1" t="n">
        <v>46154</v>
      </c>
      <c r="E7984" s="1" t="n">
        <v>46319</v>
      </c>
      <c r="F7984" t="inlineStr">
        <is>
          <t>DALARNAS LÄN</t>
        </is>
      </c>
      <c r="G7984" t="inlineStr">
        <is>
          <t>ORSA</t>
        </is>
      </c>
      <c r="I7984" t="n">
        <v>0.8</v>
      </c>
      <c r="J7984" t="n">
        <v>0</v>
      </c>
      <c r="K7984" t="n">
        <v>0</v>
      </c>
      <c r="L7984" t="n">
        <v>0</v>
      </c>
      <c r="M7984" t="n">
        <v>0</v>
      </c>
      <c r="N7984" t="n">
        <v>0</v>
      </c>
      <c r="O7984" t="n">
        <v>0</v>
      </c>
      <c r="P7984" t="n">
        <v>0</v>
      </c>
      <c r="Q7984" t="n">
        <v>0</v>
      </c>
      <c r="R7984" t="n">
        <v>0</v>
      </c>
      <c r="S7984" t="n">
        <v>0</v>
      </c>
      <c r="T7984" t="n">
        <v>0</v>
      </c>
      <c r="U7984" t="n">
        <v>0</v>
      </c>
      <c r="V7984" s="2" t="inlineStr"/>
    </row>
    <row r="7985" ht="15" customHeight="1">
      <c r="A7985" t="inlineStr">
        <is>
          <t>A 43086-2023</t>
        </is>
      </c>
      <c r="B7985" t="inlineStr">
        <is>
          <t>avverkningsanmälan</t>
        </is>
      </c>
      <c r="C7985" t="inlineStr">
        <is>
          <t>Föryngringsavverkning</t>
        </is>
      </c>
      <c r="D7985" s="1" t="n">
        <v>45182</v>
      </c>
      <c r="E7985" s="1" t="n">
        <v>46319</v>
      </c>
      <c r="F7985" t="inlineStr">
        <is>
          <t>DALARNAS LÄN</t>
        </is>
      </c>
      <c r="G7985" t="inlineStr">
        <is>
          <t>AVESTA</t>
        </is>
      </c>
      <c r="I7985" t="n">
        <v>3.4</v>
      </c>
      <c r="J7985" t="n">
        <v>0</v>
      </c>
      <c r="K7985" t="n">
        <v>0</v>
      </c>
      <c r="L7985" t="n">
        <v>0</v>
      </c>
      <c r="M7985" t="n">
        <v>0</v>
      </c>
      <c r="N7985" t="n">
        <v>0</v>
      </c>
      <c r="O7985" t="n">
        <v>0</v>
      </c>
      <c r="P7985" t="n">
        <v>0</v>
      </c>
      <c r="Q7985" t="n">
        <v>0</v>
      </c>
      <c r="R7985" t="n">
        <v>0</v>
      </c>
      <c r="S7985" t="n">
        <v>0</v>
      </c>
      <c r="T7985" t="n">
        <v>0</v>
      </c>
      <c r="U7985" t="n">
        <v>0</v>
      </c>
      <c r="V7985" s="2" t="inlineStr"/>
    </row>
    <row r="7986" ht="15" customHeight="1">
      <c r="A7986" t="inlineStr">
        <is>
          <t>A 22204-2026</t>
        </is>
      </c>
      <c r="B7986" t="inlineStr">
        <is>
          <t>avverkningsanmälan</t>
        </is>
      </c>
      <c r="C7986" t="inlineStr">
        <is>
          <t>Föryngringsavverkning</t>
        </is>
      </c>
      <c r="D7986" s="1" t="n">
        <v>46153</v>
      </c>
      <c r="E7986" s="1" t="n">
        <v>46319</v>
      </c>
      <c r="F7986" t="inlineStr">
        <is>
          <t>DALARNAS LÄN</t>
        </is>
      </c>
      <c r="G7986" t="inlineStr">
        <is>
          <t>FALUN</t>
        </is>
      </c>
      <c r="H7986" t="inlineStr">
        <is>
          <t>Bergvik skog väst AB</t>
        </is>
      </c>
      <c r="I7986" t="n">
        <v>0.8</v>
      </c>
      <c r="J7986" t="n">
        <v>0</v>
      </c>
      <c r="K7986" t="n">
        <v>0</v>
      </c>
      <c r="L7986" t="n">
        <v>0</v>
      </c>
      <c r="M7986" t="n">
        <v>0</v>
      </c>
      <c r="N7986" t="n">
        <v>0</v>
      </c>
      <c r="O7986" t="n">
        <v>0</v>
      </c>
      <c r="P7986" t="n">
        <v>0</v>
      </c>
      <c r="Q7986" t="n">
        <v>0</v>
      </c>
      <c r="R7986" t="n">
        <v>0</v>
      </c>
      <c r="S7986" t="n">
        <v>0</v>
      </c>
      <c r="T7986" t="n">
        <v>0</v>
      </c>
      <c r="U7986" t="n">
        <v>0</v>
      </c>
      <c r="V7986" s="2" t="inlineStr"/>
    </row>
    <row r="7987" ht="15" customHeight="1">
      <c r="A7987" t="inlineStr">
        <is>
          <t>A 6953-2026</t>
        </is>
      </c>
      <c r="B7987" t="inlineStr">
        <is>
          <t>avverkningsanmälan</t>
        </is>
      </c>
      <c r="C7987" t="inlineStr">
        <is>
          <t>Föryngringsavverkning</t>
        </is>
      </c>
      <c r="D7987" s="1" t="n">
        <v>46056</v>
      </c>
      <c r="E7987" s="1" t="n">
        <v>46319</v>
      </c>
      <c r="F7987" t="inlineStr">
        <is>
          <t>DALARNAS LÄN</t>
        </is>
      </c>
      <c r="G7987" t="inlineStr">
        <is>
          <t>FALUN</t>
        </is>
      </c>
      <c r="H7987" t="inlineStr">
        <is>
          <t>Allmännings- och besparingsskogar</t>
        </is>
      </c>
      <c r="I7987" t="n">
        <v>2.4</v>
      </c>
      <c r="J7987" t="n">
        <v>0</v>
      </c>
      <c r="K7987" t="n">
        <v>0</v>
      </c>
      <c r="L7987" t="n">
        <v>0</v>
      </c>
      <c r="M7987" t="n">
        <v>0</v>
      </c>
      <c r="N7987" t="n">
        <v>0</v>
      </c>
      <c r="O7987" t="n">
        <v>0</v>
      </c>
      <c r="P7987" t="n">
        <v>0</v>
      </c>
      <c r="Q7987" t="n">
        <v>0</v>
      </c>
      <c r="R7987" t="n">
        <v>0</v>
      </c>
      <c r="S7987" t="n">
        <v>0</v>
      </c>
      <c r="T7987" t="n">
        <v>0</v>
      </c>
      <c r="U7987" t="n">
        <v>0</v>
      </c>
      <c r="V7987" s="2" t="inlineStr"/>
    </row>
    <row r="7988" ht="15" customHeight="1">
      <c r="A7988" t="inlineStr">
        <is>
          <t>A 13237-2026</t>
        </is>
      </c>
      <c r="B7988" t="inlineStr">
        <is>
          <t>avverkningsanmälan</t>
        </is>
      </c>
      <c r="C7988" t="inlineStr">
        <is>
          <t>Föryngringsavverkning</t>
        </is>
      </c>
      <c r="D7988" s="1" t="n">
        <v>46093</v>
      </c>
      <c r="E7988" s="1" t="n">
        <v>46319</v>
      </c>
      <c r="F7988" t="inlineStr">
        <is>
          <t>DALARNAS LÄN</t>
        </is>
      </c>
      <c r="G7988" t="inlineStr">
        <is>
          <t>FALUN</t>
        </is>
      </c>
      <c r="H7988" t="inlineStr">
        <is>
          <t>Bergvik skog väst AB</t>
        </is>
      </c>
      <c r="I7988" t="n">
        <v>0.9</v>
      </c>
      <c r="J7988" t="n">
        <v>0</v>
      </c>
      <c r="K7988" t="n">
        <v>0</v>
      </c>
      <c r="L7988" t="n">
        <v>0</v>
      </c>
      <c r="M7988" t="n">
        <v>0</v>
      </c>
      <c r="N7988" t="n">
        <v>0</v>
      </c>
      <c r="O7988" t="n">
        <v>0</v>
      </c>
      <c r="P7988" t="n">
        <v>0</v>
      </c>
      <c r="Q7988" t="n">
        <v>0</v>
      </c>
      <c r="R7988" t="n">
        <v>0</v>
      </c>
      <c r="S7988" t="n">
        <v>0</v>
      </c>
      <c r="T7988" t="n">
        <v>0</v>
      </c>
      <c r="U7988" t="n">
        <v>0</v>
      </c>
      <c r="V7988" s="2" t="inlineStr"/>
    </row>
    <row r="7989" ht="15" customHeight="1">
      <c r="A7989" t="inlineStr">
        <is>
          <t>A 1467-2026</t>
        </is>
      </c>
      <c r="B7989" t="inlineStr">
        <is>
          <t>avverkningsanmälan</t>
        </is>
      </c>
      <c r="C7989" t="inlineStr">
        <is>
          <t>Föryngringsavverkning</t>
        </is>
      </c>
      <c r="D7989" s="1" t="n">
        <v>46033</v>
      </c>
      <c r="E7989" s="1" t="n">
        <v>46319</v>
      </c>
      <c r="F7989" t="inlineStr">
        <is>
          <t>DALARNAS LÄN</t>
        </is>
      </c>
      <c r="G7989" t="inlineStr">
        <is>
          <t>FALUN</t>
        </is>
      </c>
      <c r="I7989" t="n">
        <v>1.1</v>
      </c>
      <c r="J7989" t="n">
        <v>0</v>
      </c>
      <c r="K7989" t="n">
        <v>0</v>
      </c>
      <c r="L7989" t="n">
        <v>0</v>
      </c>
      <c r="M7989" t="n">
        <v>0</v>
      </c>
      <c r="N7989" t="n">
        <v>0</v>
      </c>
      <c r="O7989" t="n">
        <v>0</v>
      </c>
      <c r="P7989" t="n">
        <v>0</v>
      </c>
      <c r="Q7989" t="n">
        <v>0</v>
      </c>
      <c r="R7989" t="n">
        <v>0</v>
      </c>
      <c r="S7989" t="n">
        <v>0</v>
      </c>
      <c r="T7989" t="n">
        <v>0</v>
      </c>
      <c r="U7989" t="n">
        <v>0</v>
      </c>
      <c r="V7989" s="2" t="inlineStr"/>
    </row>
    <row r="7990" ht="15" customHeight="1">
      <c r="A7990" t="inlineStr">
        <is>
          <t>A 1959-2026</t>
        </is>
      </c>
      <c r="B7990" t="inlineStr">
        <is>
          <t>avverkningsanmälan</t>
        </is>
      </c>
      <c r="C7990" t="inlineStr">
        <is>
          <t>Föryngringsavverkning</t>
        </is>
      </c>
      <c r="D7990" s="1" t="n">
        <v>46035</v>
      </c>
      <c r="E7990" s="1" t="n">
        <v>46319</v>
      </c>
      <c r="F7990" t="inlineStr">
        <is>
          <t>DALARNAS LÄN</t>
        </is>
      </c>
      <c r="G7990" t="inlineStr">
        <is>
          <t>FALUN</t>
        </is>
      </c>
      <c r="I7990" t="n">
        <v>0.9</v>
      </c>
      <c r="J7990" t="n">
        <v>0</v>
      </c>
      <c r="K7990" t="n">
        <v>0</v>
      </c>
      <c r="L7990" t="n">
        <v>0</v>
      </c>
      <c r="M7990" t="n">
        <v>0</v>
      </c>
      <c r="N7990" t="n">
        <v>0</v>
      </c>
      <c r="O7990" t="n">
        <v>0</v>
      </c>
      <c r="P7990" t="n">
        <v>0</v>
      </c>
      <c r="Q7990" t="n">
        <v>0</v>
      </c>
      <c r="R7990" t="n">
        <v>0</v>
      </c>
      <c r="S7990" t="n">
        <v>0</v>
      </c>
      <c r="T7990" t="n">
        <v>0</v>
      </c>
      <c r="U7990" t="n">
        <v>0</v>
      </c>
      <c r="V7990" s="2" t="inlineStr"/>
    </row>
    <row r="7991" ht="15" customHeight="1">
      <c r="A7991" t="inlineStr">
        <is>
          <t>A 2511-2026</t>
        </is>
      </c>
      <c r="B7991" t="inlineStr">
        <is>
          <t>avverkningsanmälan</t>
        </is>
      </c>
      <c r="C7991" t="inlineStr">
        <is>
          <t>Föryngringsavverkning</t>
        </is>
      </c>
      <c r="D7991" s="1" t="n">
        <v>46037</v>
      </c>
      <c r="E7991" s="1" t="n">
        <v>46319</v>
      </c>
      <c r="F7991" t="inlineStr">
        <is>
          <t>DALARNAS LÄN</t>
        </is>
      </c>
      <c r="G7991" t="inlineStr">
        <is>
          <t>FALUN</t>
        </is>
      </c>
      <c r="I7991" t="n">
        <v>23</v>
      </c>
      <c r="J7991" t="n">
        <v>0</v>
      </c>
      <c r="K7991" t="n">
        <v>0</v>
      </c>
      <c r="L7991" t="n">
        <v>0</v>
      </c>
      <c r="M7991" t="n">
        <v>0</v>
      </c>
      <c r="N7991" t="n">
        <v>0</v>
      </c>
      <c r="O7991" t="n">
        <v>0</v>
      </c>
      <c r="P7991" t="n">
        <v>0</v>
      </c>
      <c r="Q7991" t="n">
        <v>0</v>
      </c>
      <c r="R7991" t="n">
        <v>0</v>
      </c>
      <c r="S7991" t="n">
        <v>0</v>
      </c>
      <c r="T7991" t="n">
        <v>0</v>
      </c>
      <c r="U7991" t="n">
        <v>0</v>
      </c>
      <c r="V7991" s="2" t="inlineStr"/>
    </row>
    <row r="7992" ht="15" customHeight="1">
      <c r="A7992" t="inlineStr">
        <is>
          <t>A 43570-2023</t>
        </is>
      </c>
      <c r="B7992" t="inlineStr">
        <is>
          <t>avverkningsanmälan</t>
        </is>
      </c>
      <c r="C7992" t="inlineStr">
        <is>
          <t>Föryngringsavverkning</t>
        </is>
      </c>
      <c r="D7992" s="1" t="n">
        <v>45184</v>
      </c>
      <c r="E7992" s="1" t="n">
        <v>46319</v>
      </c>
      <c r="F7992" t="inlineStr">
        <is>
          <t>DALARNAS LÄN</t>
        </is>
      </c>
      <c r="G7992" t="inlineStr">
        <is>
          <t>VANSBRO</t>
        </is>
      </c>
      <c r="I7992" t="n">
        <v>6.8</v>
      </c>
      <c r="J7992" t="n">
        <v>0</v>
      </c>
      <c r="K7992" t="n">
        <v>0</v>
      </c>
      <c r="L7992" t="n">
        <v>0</v>
      </c>
      <c r="M7992" t="n">
        <v>0</v>
      </c>
      <c r="N7992" t="n">
        <v>0</v>
      </c>
      <c r="O7992" t="n">
        <v>0</v>
      </c>
      <c r="P7992" t="n">
        <v>0</v>
      </c>
      <c r="Q7992" t="n">
        <v>0</v>
      </c>
      <c r="R7992" t="n">
        <v>0</v>
      </c>
      <c r="S7992" t="n">
        <v>0</v>
      </c>
      <c r="T7992" t="n">
        <v>0</v>
      </c>
      <c r="U7992" t="n">
        <v>0</v>
      </c>
      <c r="V7992" s="2" t="inlineStr"/>
    </row>
    <row r="7993" ht="15" customHeight="1">
      <c r="A7993" t="inlineStr">
        <is>
          <t>A 17549-2026</t>
        </is>
      </c>
      <c r="B7993" t="inlineStr">
        <is>
          <t>avverkningsanmälan</t>
        </is>
      </c>
      <c r="C7993" t="inlineStr">
        <is>
          <t>Föryngringsavverkning</t>
        </is>
      </c>
      <c r="D7993" s="1" t="n">
        <v>46120</v>
      </c>
      <c r="E7993" s="1" t="n">
        <v>46319</v>
      </c>
      <c r="F7993" t="inlineStr">
        <is>
          <t>DALARNAS LÄN</t>
        </is>
      </c>
      <c r="G7993" t="inlineStr">
        <is>
          <t>FALUN</t>
        </is>
      </c>
      <c r="I7993" t="n">
        <v>2.1</v>
      </c>
      <c r="J7993" t="n">
        <v>0</v>
      </c>
      <c r="K7993" t="n">
        <v>0</v>
      </c>
      <c r="L7993" t="n">
        <v>0</v>
      </c>
      <c r="M7993" t="n">
        <v>0</v>
      </c>
      <c r="N7993" t="n">
        <v>0</v>
      </c>
      <c r="O7993" t="n">
        <v>0</v>
      </c>
      <c r="P7993" t="n">
        <v>0</v>
      </c>
      <c r="Q7993" t="n">
        <v>0</v>
      </c>
      <c r="R7993" t="n">
        <v>0</v>
      </c>
      <c r="S7993" t="n">
        <v>0</v>
      </c>
      <c r="T7993" t="n">
        <v>0</v>
      </c>
      <c r="U7993" t="n">
        <v>0</v>
      </c>
      <c r="V7993" s="2" t="inlineStr"/>
    </row>
    <row r="7994" ht="15" customHeight="1">
      <c r="A7994" t="inlineStr">
        <is>
          <t>A 6577-2026</t>
        </is>
      </c>
      <c r="B7994" t="inlineStr">
        <is>
          <t>avverkningsanmälan</t>
        </is>
      </c>
      <c r="C7994" t="inlineStr">
        <is>
          <t>Föryngringsavverkning</t>
        </is>
      </c>
      <c r="D7994" s="1" t="n">
        <v>46056</v>
      </c>
      <c r="E7994" s="1" t="n">
        <v>46319</v>
      </c>
      <c r="F7994" t="inlineStr">
        <is>
          <t>DALARNAS LÄN</t>
        </is>
      </c>
      <c r="G7994" t="inlineStr">
        <is>
          <t>FALUN</t>
        </is>
      </c>
      <c r="I7994" t="n">
        <v>1.5</v>
      </c>
      <c r="J7994" t="n">
        <v>0</v>
      </c>
      <c r="K7994" t="n">
        <v>0</v>
      </c>
      <c r="L7994" t="n">
        <v>0</v>
      </c>
      <c r="M7994" t="n">
        <v>0</v>
      </c>
      <c r="N7994" t="n">
        <v>0</v>
      </c>
      <c r="O7994" t="n">
        <v>0</v>
      </c>
      <c r="P7994" t="n">
        <v>0</v>
      </c>
      <c r="Q7994" t="n">
        <v>0</v>
      </c>
      <c r="R7994" t="n">
        <v>0</v>
      </c>
      <c r="S7994" t="n">
        <v>0</v>
      </c>
      <c r="T7994" t="n">
        <v>0</v>
      </c>
      <c r="U7994" t="n">
        <v>0</v>
      </c>
      <c r="V7994" s="2" t="inlineStr"/>
    </row>
    <row r="7995" ht="15" customHeight="1">
      <c r="A7995" t="inlineStr">
        <is>
          <t>A 21998-2026</t>
        </is>
      </c>
      <c r="B7995" t="inlineStr">
        <is>
          <t>avverkningsanmälan</t>
        </is>
      </c>
      <c r="C7995" t="inlineStr">
        <is>
          <t>Föryngringsavverkning</t>
        </is>
      </c>
      <c r="D7995" s="1" t="n">
        <v>46153</v>
      </c>
      <c r="E7995" s="1" t="n">
        <v>46319</v>
      </c>
      <c r="F7995" t="inlineStr">
        <is>
          <t>DALARNAS LÄN</t>
        </is>
      </c>
      <c r="G7995" t="inlineStr">
        <is>
          <t>BORLÄNGE</t>
        </is>
      </c>
      <c r="I7995" t="n">
        <v>1.1</v>
      </c>
      <c r="J7995" t="n">
        <v>0</v>
      </c>
      <c r="K7995" t="n">
        <v>0</v>
      </c>
      <c r="L7995" t="n">
        <v>0</v>
      </c>
      <c r="M7995" t="n">
        <v>0</v>
      </c>
      <c r="N7995" t="n">
        <v>0</v>
      </c>
      <c r="O7995" t="n">
        <v>0</v>
      </c>
      <c r="P7995" t="n">
        <v>0</v>
      </c>
      <c r="Q7995" t="n">
        <v>0</v>
      </c>
      <c r="R7995" t="n">
        <v>0</v>
      </c>
      <c r="S7995" t="n">
        <v>0</v>
      </c>
      <c r="T7995" t="n">
        <v>0</v>
      </c>
      <c r="U7995" t="n">
        <v>0</v>
      </c>
      <c r="V7995" s="2" t="inlineStr"/>
    </row>
    <row r="7996" ht="15" customHeight="1">
      <c r="A7996" t="inlineStr">
        <is>
          <t>A 14046-2025</t>
        </is>
      </c>
      <c r="B7996" t="inlineStr">
        <is>
          <t>avverkningsanmälan</t>
        </is>
      </c>
      <c r="C7996" t="inlineStr">
        <is>
          <t>Föryngringsavverkning</t>
        </is>
      </c>
      <c r="D7996" s="1" t="n">
        <v>45740</v>
      </c>
      <c r="E7996" s="1" t="n">
        <v>46319</v>
      </c>
      <c r="F7996" t="inlineStr">
        <is>
          <t>DALARNAS LÄN</t>
        </is>
      </c>
      <c r="G7996" t="inlineStr">
        <is>
          <t>LUDVIKA</t>
        </is>
      </c>
      <c r="I7996" t="n">
        <v>0.7</v>
      </c>
      <c r="J7996" t="n">
        <v>0</v>
      </c>
      <c r="K7996" t="n">
        <v>0</v>
      </c>
      <c r="L7996" t="n">
        <v>0</v>
      </c>
      <c r="M7996" t="n">
        <v>0</v>
      </c>
      <c r="N7996" t="n">
        <v>0</v>
      </c>
      <c r="O7996" t="n">
        <v>0</v>
      </c>
      <c r="P7996" t="n">
        <v>0</v>
      </c>
      <c r="Q7996" t="n">
        <v>0</v>
      </c>
      <c r="R7996" t="n">
        <v>0</v>
      </c>
      <c r="S7996" t="n">
        <v>0</v>
      </c>
      <c r="T7996" t="n">
        <v>0</v>
      </c>
      <c r="U7996" t="n">
        <v>0</v>
      </c>
      <c r="V7996" s="2" t="inlineStr"/>
    </row>
    <row r="7997" ht="15" customHeight="1">
      <c r="A7997" t="inlineStr">
        <is>
          <t>A 22261-2026</t>
        </is>
      </c>
      <c r="B7997" t="inlineStr">
        <is>
          <t>avverkningsanmälan</t>
        </is>
      </c>
      <c r="C7997" t="inlineStr">
        <is>
          <t>Föryngringsavverkning</t>
        </is>
      </c>
      <c r="D7997" s="1" t="n">
        <v>46154</v>
      </c>
      <c r="E7997" s="1" t="n">
        <v>46319</v>
      </c>
      <c r="F7997" t="inlineStr">
        <is>
          <t>DALARNAS LÄN</t>
        </is>
      </c>
      <c r="G7997" t="inlineStr">
        <is>
          <t>SÄTER</t>
        </is>
      </c>
      <c r="I7997" t="n">
        <v>9.6</v>
      </c>
      <c r="J7997" t="n">
        <v>0</v>
      </c>
      <c r="K7997" t="n">
        <v>0</v>
      </c>
      <c r="L7997" t="n">
        <v>0</v>
      </c>
      <c r="M7997" t="n">
        <v>0</v>
      </c>
      <c r="N7997" t="n">
        <v>0</v>
      </c>
      <c r="O7997" t="n">
        <v>0</v>
      </c>
      <c r="P7997" t="n">
        <v>0</v>
      </c>
      <c r="Q7997" t="n">
        <v>0</v>
      </c>
      <c r="R7997" t="n">
        <v>0</v>
      </c>
      <c r="S7997" t="n">
        <v>0</v>
      </c>
      <c r="T7997" t="n">
        <v>0</v>
      </c>
      <c r="U7997" t="n">
        <v>0</v>
      </c>
      <c r="V7997" s="2" t="inlineStr"/>
    </row>
    <row r="7998" ht="15" customHeight="1">
      <c r="A7998" t="inlineStr">
        <is>
          <t>A 58640-2023</t>
        </is>
      </c>
      <c r="B7998" t="inlineStr">
        <is>
          <t>avverkningsanmälan</t>
        </is>
      </c>
      <c r="C7998" t="inlineStr">
        <is>
          <t>Föryngringsavverkning</t>
        </is>
      </c>
      <c r="D7998" s="1" t="n">
        <v>45251</v>
      </c>
      <c r="E7998" s="1" t="n">
        <v>46319</v>
      </c>
      <c r="F7998" t="inlineStr">
        <is>
          <t>DALARNAS LÄN</t>
        </is>
      </c>
      <c r="G7998" t="inlineStr">
        <is>
          <t>BORLÄNGE</t>
        </is>
      </c>
      <c r="I7998" t="n">
        <v>1.2</v>
      </c>
      <c r="J7998" t="n">
        <v>0</v>
      </c>
      <c r="K7998" t="n">
        <v>0</v>
      </c>
      <c r="L7998" t="n">
        <v>0</v>
      </c>
      <c r="M7998" t="n">
        <v>0</v>
      </c>
      <c r="N7998" t="n">
        <v>0</v>
      </c>
      <c r="O7998" t="n">
        <v>0</v>
      </c>
      <c r="P7998" t="n">
        <v>0</v>
      </c>
      <c r="Q7998" t="n">
        <v>0</v>
      </c>
      <c r="R7998" t="n">
        <v>0</v>
      </c>
      <c r="S7998" t="n">
        <v>0</v>
      </c>
      <c r="T7998" t="n">
        <v>0</v>
      </c>
      <c r="U7998" t="n">
        <v>0</v>
      </c>
      <c r="V7998" s="2" t="inlineStr"/>
    </row>
    <row r="7999" ht="15" customHeight="1">
      <c r="A7999" t="inlineStr">
        <is>
          <t>A 40994-2024</t>
        </is>
      </c>
      <c r="B7999" t="inlineStr">
        <is>
          <t>avverkningsanmälan</t>
        </is>
      </c>
      <c r="C7999" t="inlineStr">
        <is>
          <t>Föryngringsavverkning</t>
        </is>
      </c>
      <c r="D7999" s="1" t="n">
        <v>45558</v>
      </c>
      <c r="E7999" s="1" t="n">
        <v>46319</v>
      </c>
      <c r="F7999" t="inlineStr">
        <is>
          <t>DALARNAS LÄN</t>
        </is>
      </c>
      <c r="G7999" t="inlineStr">
        <is>
          <t>RÄTTVIK</t>
        </is>
      </c>
      <c r="I7999" t="n">
        <v>3</v>
      </c>
      <c r="J7999" t="n">
        <v>0</v>
      </c>
      <c r="K7999" t="n">
        <v>0</v>
      </c>
      <c r="L7999" t="n">
        <v>0</v>
      </c>
      <c r="M7999" t="n">
        <v>0</v>
      </c>
      <c r="N7999" t="n">
        <v>0</v>
      </c>
      <c r="O7999" t="n">
        <v>0</v>
      </c>
      <c r="P7999" t="n">
        <v>0</v>
      </c>
      <c r="Q7999" t="n">
        <v>0</v>
      </c>
      <c r="R7999" t="n">
        <v>0</v>
      </c>
      <c r="S7999" t="n">
        <v>0</v>
      </c>
      <c r="T7999" t="n">
        <v>0</v>
      </c>
      <c r="U7999" t="n">
        <v>0</v>
      </c>
      <c r="V7999" s="2" t="inlineStr"/>
    </row>
    <row r="8000" ht="15" customHeight="1">
      <c r="A8000" t="inlineStr">
        <is>
          <t>A 37508-2025</t>
        </is>
      </c>
      <c r="B8000" t="inlineStr">
        <is>
          <t>avverkningsanmälan</t>
        </is>
      </c>
      <c r="C8000" t="inlineStr">
        <is>
          <t>Föryngringsavverkning</t>
        </is>
      </c>
      <c r="D8000" s="1" t="n">
        <v>45877</v>
      </c>
      <c r="E8000" s="1" t="n">
        <v>46319</v>
      </c>
      <c r="F8000" t="inlineStr">
        <is>
          <t>DALARNAS LÄN</t>
        </is>
      </c>
      <c r="G8000" t="inlineStr">
        <is>
          <t>LEKSAND</t>
        </is>
      </c>
      <c r="I8000" t="n">
        <v>1.3</v>
      </c>
      <c r="J8000" t="n">
        <v>0</v>
      </c>
      <c r="K8000" t="n">
        <v>0</v>
      </c>
      <c r="L8000" t="n">
        <v>0</v>
      </c>
      <c r="M8000" t="n">
        <v>0</v>
      </c>
      <c r="N8000" t="n">
        <v>0</v>
      </c>
      <c r="O8000" t="n">
        <v>0</v>
      </c>
      <c r="P8000" t="n">
        <v>0</v>
      </c>
      <c r="Q8000" t="n">
        <v>0</v>
      </c>
      <c r="R8000" t="n">
        <v>0</v>
      </c>
      <c r="S8000" t="n">
        <v>0</v>
      </c>
      <c r="T8000" t="n">
        <v>0</v>
      </c>
      <c r="U8000" t="n">
        <v>0</v>
      </c>
      <c r="V8000" s="2" t="inlineStr"/>
    </row>
    <row r="8001" ht="15" customHeight="1">
      <c r="A8001" t="inlineStr">
        <is>
          <t>A 43808-2023</t>
        </is>
      </c>
      <c r="B8001" t="inlineStr">
        <is>
          <t>avverkningsanmälan</t>
        </is>
      </c>
      <c r="C8001" t="inlineStr">
        <is>
          <t>Föryngringsavverkning</t>
        </is>
      </c>
      <c r="D8001" s="1" t="n">
        <v>45187</v>
      </c>
      <c r="E8001" s="1" t="n">
        <v>46319</v>
      </c>
      <c r="F8001" t="inlineStr">
        <is>
          <t>DALARNAS LÄN</t>
        </is>
      </c>
      <c r="G8001" t="inlineStr">
        <is>
          <t>MALUNG-SÄLEN</t>
        </is>
      </c>
      <c r="I8001" t="n">
        <v>9.300000000000001</v>
      </c>
      <c r="J8001" t="n">
        <v>0</v>
      </c>
      <c r="K8001" t="n">
        <v>0</v>
      </c>
      <c r="L8001" t="n">
        <v>0</v>
      </c>
      <c r="M8001" t="n">
        <v>0</v>
      </c>
      <c r="N8001" t="n">
        <v>0</v>
      </c>
      <c r="O8001" t="n">
        <v>0</v>
      </c>
      <c r="P8001" t="n">
        <v>0</v>
      </c>
      <c r="Q8001" t="n">
        <v>0</v>
      </c>
      <c r="R8001" t="n">
        <v>0</v>
      </c>
      <c r="S8001" t="n">
        <v>0</v>
      </c>
      <c r="T8001" t="n">
        <v>0</v>
      </c>
      <c r="U8001" t="n">
        <v>0</v>
      </c>
      <c r="V8001" s="2" t="inlineStr"/>
    </row>
    <row r="8002" ht="15" customHeight="1">
      <c r="A8002" t="inlineStr">
        <is>
          <t>A 43839-2023</t>
        </is>
      </c>
      <c r="B8002" t="inlineStr">
        <is>
          <t>avverkningsanmälan</t>
        </is>
      </c>
      <c r="C8002" t="inlineStr">
        <is>
          <t>Föryngringsavverkning</t>
        </is>
      </c>
      <c r="D8002" s="1" t="n">
        <v>45187</v>
      </c>
      <c r="E8002" s="1" t="n">
        <v>46319</v>
      </c>
      <c r="F8002" t="inlineStr">
        <is>
          <t>DALARNAS LÄN</t>
        </is>
      </c>
      <c r="G8002" t="inlineStr">
        <is>
          <t>LUDVIKA</t>
        </is>
      </c>
      <c r="H8002" t="inlineStr">
        <is>
          <t>Bergvik skog väst AB</t>
        </is>
      </c>
      <c r="I8002" t="n">
        <v>2</v>
      </c>
      <c r="J8002" t="n">
        <v>0</v>
      </c>
      <c r="K8002" t="n">
        <v>0</v>
      </c>
      <c r="L8002" t="n">
        <v>0</v>
      </c>
      <c r="M8002" t="n">
        <v>0</v>
      </c>
      <c r="N8002" t="n">
        <v>0</v>
      </c>
      <c r="O8002" t="n">
        <v>0</v>
      </c>
      <c r="P8002" t="n">
        <v>0</v>
      </c>
      <c r="Q8002" t="n">
        <v>0</v>
      </c>
      <c r="R8002" t="n">
        <v>0</v>
      </c>
      <c r="S8002" t="n">
        <v>0</v>
      </c>
      <c r="T8002" t="n">
        <v>0</v>
      </c>
      <c r="U8002" t="n">
        <v>0</v>
      </c>
      <c r="V8002" s="2" t="inlineStr"/>
    </row>
    <row r="8003" ht="15" customHeight="1">
      <c r="A8003" t="inlineStr">
        <is>
          <t>A 41046-2024</t>
        </is>
      </c>
      <c r="B8003" t="inlineStr">
        <is>
          <t>avverkningsanmälan</t>
        </is>
      </c>
      <c r="C8003" t="inlineStr">
        <is>
          <t>Föryngringsavverkning</t>
        </is>
      </c>
      <c r="D8003" s="1" t="n">
        <v>45559</v>
      </c>
      <c r="E8003" s="1" t="n">
        <v>46319</v>
      </c>
      <c r="F8003" t="inlineStr">
        <is>
          <t>DALARNAS LÄN</t>
        </is>
      </c>
      <c r="G8003" t="inlineStr">
        <is>
          <t>LEKSAND</t>
        </is>
      </c>
      <c r="I8003" t="n">
        <v>1.9</v>
      </c>
      <c r="J8003" t="n">
        <v>0</v>
      </c>
      <c r="K8003" t="n">
        <v>0</v>
      </c>
      <c r="L8003" t="n">
        <v>0</v>
      </c>
      <c r="M8003" t="n">
        <v>0</v>
      </c>
      <c r="N8003" t="n">
        <v>0</v>
      </c>
      <c r="O8003" t="n">
        <v>0</v>
      </c>
      <c r="P8003" t="n">
        <v>0</v>
      </c>
      <c r="Q8003" t="n">
        <v>0</v>
      </c>
      <c r="R8003" t="n">
        <v>0</v>
      </c>
      <c r="S8003" t="n">
        <v>0</v>
      </c>
      <c r="T8003" t="n">
        <v>0</v>
      </c>
      <c r="U8003" t="n">
        <v>0</v>
      </c>
      <c r="V8003" s="2" t="inlineStr"/>
    </row>
    <row r="8004" ht="15" customHeight="1">
      <c r="A8004" t="inlineStr">
        <is>
          <t>A 22056-2026</t>
        </is>
      </c>
      <c r="B8004" t="inlineStr">
        <is>
          <t>avverkningsanmälan</t>
        </is>
      </c>
      <c r="C8004" t="inlineStr">
        <is>
          <t>Föryngringsavverkning</t>
        </is>
      </c>
      <c r="D8004" s="1" t="n">
        <v>46153</v>
      </c>
      <c r="E8004" s="1" t="n">
        <v>46319</v>
      </c>
      <c r="F8004" t="inlineStr">
        <is>
          <t>DALARNAS LÄN</t>
        </is>
      </c>
      <c r="G8004" t="inlineStr">
        <is>
          <t>FALUN</t>
        </is>
      </c>
      <c r="I8004" t="n">
        <v>3.1</v>
      </c>
      <c r="J8004" t="n">
        <v>0</v>
      </c>
      <c r="K8004" t="n">
        <v>0</v>
      </c>
      <c r="L8004" t="n">
        <v>0</v>
      </c>
      <c r="M8004" t="n">
        <v>0</v>
      </c>
      <c r="N8004" t="n">
        <v>0</v>
      </c>
      <c r="O8004" t="n">
        <v>0</v>
      </c>
      <c r="P8004" t="n">
        <v>0</v>
      </c>
      <c r="Q8004" t="n">
        <v>0</v>
      </c>
      <c r="R8004" t="n">
        <v>0</v>
      </c>
      <c r="S8004" t="n">
        <v>0</v>
      </c>
      <c r="T8004" t="n">
        <v>0</v>
      </c>
      <c r="U8004" t="n">
        <v>0</v>
      </c>
      <c r="V8004" s="2" t="inlineStr"/>
    </row>
    <row r="8005" ht="15" customHeight="1">
      <c r="A8005" t="inlineStr">
        <is>
          <t>A 32666-2023</t>
        </is>
      </c>
      <c r="B8005" t="inlineStr">
        <is>
          <t>avverkningsanmälan</t>
        </is>
      </c>
      <c r="C8005" t="inlineStr">
        <is>
          <t>Föryngringsavverkning</t>
        </is>
      </c>
      <c r="D8005" s="1" t="n">
        <v>45121</v>
      </c>
      <c r="E8005" s="1" t="n">
        <v>46319</v>
      </c>
      <c r="F8005" t="inlineStr">
        <is>
          <t>DALARNAS LÄN</t>
        </is>
      </c>
      <c r="G8005" t="inlineStr">
        <is>
          <t>LEKSAND</t>
        </is>
      </c>
      <c r="I8005" t="n">
        <v>9.9</v>
      </c>
      <c r="J8005" t="n">
        <v>0</v>
      </c>
      <c r="K8005" t="n">
        <v>0</v>
      </c>
      <c r="L8005" t="n">
        <v>0</v>
      </c>
      <c r="M8005" t="n">
        <v>0</v>
      </c>
      <c r="N8005" t="n">
        <v>0</v>
      </c>
      <c r="O8005" t="n">
        <v>0</v>
      </c>
      <c r="P8005" t="n">
        <v>0</v>
      </c>
      <c r="Q8005" t="n">
        <v>0</v>
      </c>
      <c r="R8005" t="n">
        <v>0</v>
      </c>
      <c r="S8005" t="n">
        <v>0</v>
      </c>
      <c r="T8005" t="n">
        <v>0</v>
      </c>
      <c r="U8005" t="n">
        <v>0</v>
      </c>
      <c r="V8005" s="2" t="inlineStr"/>
    </row>
    <row r="8006" ht="15" customHeight="1">
      <c r="A8006" t="inlineStr">
        <is>
          <t>A 9841-2026</t>
        </is>
      </c>
      <c r="B8006" t="inlineStr">
        <is>
          <t>avverkningsanmälan</t>
        </is>
      </c>
      <c r="C8006" t="inlineStr">
        <is>
          <t>Föryngringsavverkning</t>
        </is>
      </c>
      <c r="D8006" s="1" t="n">
        <v>46072</v>
      </c>
      <c r="E8006" s="1" t="n">
        <v>46319</v>
      </c>
      <c r="F8006" t="inlineStr">
        <is>
          <t>DALARNAS LÄN</t>
        </is>
      </c>
      <c r="G8006" t="inlineStr">
        <is>
          <t>FALUN</t>
        </is>
      </c>
      <c r="I8006" t="n">
        <v>3</v>
      </c>
      <c r="J8006" t="n">
        <v>0</v>
      </c>
      <c r="K8006" t="n">
        <v>0</v>
      </c>
      <c r="L8006" t="n">
        <v>0</v>
      </c>
      <c r="M8006" t="n">
        <v>0</v>
      </c>
      <c r="N8006" t="n">
        <v>0</v>
      </c>
      <c r="O8006" t="n">
        <v>0</v>
      </c>
      <c r="P8006" t="n">
        <v>0</v>
      </c>
      <c r="Q8006" t="n">
        <v>0</v>
      </c>
      <c r="R8006" t="n">
        <v>0</v>
      </c>
      <c r="S8006" t="n">
        <v>0</v>
      </c>
      <c r="T8006" t="n">
        <v>0</v>
      </c>
      <c r="U8006" t="n">
        <v>0</v>
      </c>
      <c r="V8006" s="2" t="inlineStr"/>
    </row>
    <row r="8007" ht="15" customHeight="1">
      <c r="A8007" t="inlineStr">
        <is>
          <t>A 22114-2026</t>
        </is>
      </c>
      <c r="B8007" t="inlineStr">
        <is>
          <t>avverkningsanmälan</t>
        </is>
      </c>
      <c r="C8007" t="inlineStr">
        <is>
          <t>Föryngringsavverkning</t>
        </is>
      </c>
      <c r="D8007" s="1" t="n">
        <v>46153</v>
      </c>
      <c r="E8007" s="1" t="n">
        <v>46319</v>
      </c>
      <c r="F8007" t="inlineStr">
        <is>
          <t>DALARNAS LÄN</t>
        </is>
      </c>
      <c r="G8007" t="inlineStr">
        <is>
          <t>FALUN</t>
        </is>
      </c>
      <c r="H8007" t="inlineStr">
        <is>
          <t>Bergvik skog väst AB</t>
        </is>
      </c>
      <c r="I8007" t="n">
        <v>1.5</v>
      </c>
      <c r="J8007" t="n">
        <v>0</v>
      </c>
      <c r="K8007" t="n">
        <v>0</v>
      </c>
      <c r="L8007" t="n">
        <v>0</v>
      </c>
      <c r="M8007" t="n">
        <v>0</v>
      </c>
      <c r="N8007" t="n">
        <v>0</v>
      </c>
      <c r="O8007" t="n">
        <v>0</v>
      </c>
      <c r="P8007" t="n">
        <v>0</v>
      </c>
      <c r="Q8007" t="n">
        <v>0</v>
      </c>
      <c r="R8007" t="n">
        <v>0</v>
      </c>
      <c r="S8007" t="n">
        <v>0</v>
      </c>
      <c r="T8007" t="n">
        <v>0</v>
      </c>
      <c r="U8007" t="n">
        <v>0</v>
      </c>
      <c r="V8007" s="2" t="inlineStr"/>
    </row>
    <row r="8008" ht="15" customHeight="1">
      <c r="A8008" t="inlineStr">
        <is>
          <t>A 22397-2026</t>
        </is>
      </c>
      <c r="B8008" t="inlineStr">
        <is>
          <t>avverkningsanmälan</t>
        </is>
      </c>
      <c r="C8008" t="inlineStr">
        <is>
          <t>Föryngringsavverkning</t>
        </is>
      </c>
      <c r="D8008" s="1" t="n">
        <v>46154</v>
      </c>
      <c r="E8008" s="1" t="n">
        <v>46319</v>
      </c>
      <c r="F8008" t="inlineStr">
        <is>
          <t>DALARNAS LÄN</t>
        </is>
      </c>
      <c r="G8008" t="inlineStr">
        <is>
          <t>FALUN</t>
        </is>
      </c>
      <c r="H8008" t="inlineStr">
        <is>
          <t>Bergvik skog väst AB</t>
        </is>
      </c>
      <c r="I8008" t="n">
        <v>2.3</v>
      </c>
      <c r="J8008" t="n">
        <v>0</v>
      </c>
      <c r="K8008" t="n">
        <v>0</v>
      </c>
      <c r="L8008" t="n">
        <v>0</v>
      </c>
      <c r="M8008" t="n">
        <v>0</v>
      </c>
      <c r="N8008" t="n">
        <v>0</v>
      </c>
      <c r="O8008" t="n">
        <v>0</v>
      </c>
      <c r="P8008" t="n">
        <v>0</v>
      </c>
      <c r="Q8008" t="n">
        <v>0</v>
      </c>
      <c r="R8008" t="n">
        <v>0</v>
      </c>
      <c r="S8008" t="n">
        <v>0</v>
      </c>
      <c r="T8008" t="n">
        <v>0</v>
      </c>
      <c r="U8008" t="n">
        <v>0</v>
      </c>
      <c r="V8008" s="2" t="inlineStr"/>
    </row>
    <row r="8009" ht="15" customHeight="1">
      <c r="A8009" t="inlineStr">
        <is>
          <t>A 55972-2025</t>
        </is>
      </c>
      <c r="B8009" t="inlineStr">
        <is>
          <t>avverkningsanmälan</t>
        </is>
      </c>
      <c r="C8009" t="inlineStr">
        <is>
          <t>Föryngringsavverkning</t>
        </is>
      </c>
      <c r="D8009" s="1" t="n">
        <v>45973</v>
      </c>
      <c r="E8009" s="1" t="n">
        <v>46319</v>
      </c>
      <c r="F8009" t="inlineStr">
        <is>
          <t>DALARNAS LÄN</t>
        </is>
      </c>
      <c r="G8009" t="inlineStr">
        <is>
          <t>LUDVIKA</t>
        </is>
      </c>
      <c r="H8009" t="inlineStr">
        <is>
          <t>Bergvik skog väst AB</t>
        </is>
      </c>
      <c r="I8009" t="n">
        <v>3.9</v>
      </c>
      <c r="J8009" t="n">
        <v>0</v>
      </c>
      <c r="K8009" t="n">
        <v>0</v>
      </c>
      <c r="L8009" t="n">
        <v>0</v>
      </c>
      <c r="M8009" t="n">
        <v>0</v>
      </c>
      <c r="N8009" t="n">
        <v>0</v>
      </c>
      <c r="O8009" t="n">
        <v>0</v>
      </c>
      <c r="P8009" t="n">
        <v>0</v>
      </c>
      <c r="Q8009" t="n">
        <v>0</v>
      </c>
      <c r="R8009" t="n">
        <v>0</v>
      </c>
      <c r="S8009" t="n">
        <v>0</v>
      </c>
      <c r="T8009" t="n">
        <v>0</v>
      </c>
      <c r="U8009" t="n">
        <v>0</v>
      </c>
      <c r="V8009" s="2" t="inlineStr"/>
    </row>
    <row r="8010" ht="15" customHeight="1">
      <c r="A8010" t="inlineStr">
        <is>
          <t>A 30776-2023</t>
        </is>
      </c>
      <c r="B8010" t="inlineStr">
        <is>
          <t>avverkningsanmälan</t>
        </is>
      </c>
      <c r="C8010" t="inlineStr">
        <is>
          <t>Föryngringsavverkning</t>
        </is>
      </c>
      <c r="D8010" s="1" t="n">
        <v>45112</v>
      </c>
      <c r="E8010" s="1" t="n">
        <v>46319</v>
      </c>
      <c r="F8010" t="inlineStr">
        <is>
          <t>DALARNAS LÄN</t>
        </is>
      </c>
      <c r="G8010" t="inlineStr">
        <is>
          <t>RÄTTVIK</t>
        </is>
      </c>
      <c r="I8010" t="n">
        <v>0.5</v>
      </c>
      <c r="J8010" t="n">
        <v>0</v>
      </c>
      <c r="K8010" t="n">
        <v>0</v>
      </c>
      <c r="L8010" t="n">
        <v>0</v>
      </c>
      <c r="M8010" t="n">
        <v>0</v>
      </c>
      <c r="N8010" t="n">
        <v>0</v>
      </c>
      <c r="O8010" t="n">
        <v>0</v>
      </c>
      <c r="P8010" t="n">
        <v>0</v>
      </c>
      <c r="Q8010" t="n">
        <v>0</v>
      </c>
      <c r="R8010" t="n">
        <v>0</v>
      </c>
      <c r="S8010" t="n">
        <v>0</v>
      </c>
      <c r="T8010" t="n">
        <v>0</v>
      </c>
      <c r="U8010" t="n">
        <v>0</v>
      </c>
      <c r="V8010" s="2" t="inlineStr"/>
    </row>
    <row r="8011" ht="15" customHeight="1">
      <c r="A8011" t="inlineStr">
        <is>
          <t>A 51320-2024</t>
        </is>
      </c>
      <c r="B8011" t="inlineStr">
        <is>
          <t>avverkningsanmälan</t>
        </is>
      </c>
      <c r="C8011" t="inlineStr">
        <is>
          <t>Avverkning för annat ändamål</t>
        </is>
      </c>
      <c r="D8011" s="1" t="n">
        <v>45604</v>
      </c>
      <c r="E8011" s="1" t="n">
        <v>46319</v>
      </c>
      <c r="F8011" t="inlineStr">
        <is>
          <t>DALARNAS LÄN</t>
        </is>
      </c>
      <c r="G8011" t="inlineStr">
        <is>
          <t>SÄTER</t>
        </is>
      </c>
      <c r="I8011" t="n">
        <v>0.1</v>
      </c>
      <c r="J8011" t="n">
        <v>0</v>
      </c>
      <c r="K8011" t="n">
        <v>0</v>
      </c>
      <c r="L8011" t="n">
        <v>0</v>
      </c>
      <c r="M8011" t="n">
        <v>0</v>
      </c>
      <c r="N8011" t="n">
        <v>0</v>
      </c>
      <c r="O8011" t="n">
        <v>0</v>
      </c>
      <c r="P8011" t="n">
        <v>0</v>
      </c>
      <c r="Q8011" t="n">
        <v>0</v>
      </c>
      <c r="R8011" t="n">
        <v>0</v>
      </c>
      <c r="S8011" t="n">
        <v>0</v>
      </c>
      <c r="T8011" t="n">
        <v>0</v>
      </c>
      <c r="U8011" t="n">
        <v>0</v>
      </c>
      <c r="V8011" s="2" t="inlineStr"/>
    </row>
    <row r="8012" ht="15" customHeight="1">
      <c r="A8012" t="inlineStr">
        <is>
          <t>A 51324-2024</t>
        </is>
      </c>
      <c r="B8012" t="inlineStr">
        <is>
          <t>avverkningsanmälan</t>
        </is>
      </c>
      <c r="C8012" t="inlineStr">
        <is>
          <t>Avverkning för annat ändamål</t>
        </is>
      </c>
      <c r="D8012" s="1" t="n">
        <v>45604</v>
      </c>
      <c r="E8012" s="1" t="n">
        <v>46319</v>
      </c>
      <c r="F8012" t="inlineStr">
        <is>
          <t>DALARNAS LÄN</t>
        </is>
      </c>
      <c r="G8012" t="inlineStr">
        <is>
          <t>SÄTER</t>
        </is>
      </c>
      <c r="I8012" t="n">
        <v>0.3</v>
      </c>
      <c r="J8012" t="n">
        <v>0</v>
      </c>
      <c r="K8012" t="n">
        <v>0</v>
      </c>
      <c r="L8012" t="n">
        <v>0</v>
      </c>
      <c r="M8012" t="n">
        <v>0</v>
      </c>
      <c r="N8012" t="n">
        <v>0</v>
      </c>
      <c r="O8012" t="n">
        <v>0</v>
      </c>
      <c r="P8012" t="n">
        <v>0</v>
      </c>
      <c r="Q8012" t="n">
        <v>0</v>
      </c>
      <c r="R8012" t="n">
        <v>0</v>
      </c>
      <c r="S8012" t="n">
        <v>0</v>
      </c>
      <c r="T8012" t="n">
        <v>0</v>
      </c>
      <c r="U8012" t="n">
        <v>0</v>
      </c>
      <c r="V8012" s="2" t="inlineStr"/>
    </row>
    <row r="8013" ht="15" customHeight="1">
      <c r="A8013" t="inlineStr">
        <is>
          <t>A 51833-2025</t>
        </is>
      </c>
      <c r="B8013" t="inlineStr">
        <is>
          <t>avverkningsanmälan</t>
        </is>
      </c>
      <c r="C8013" t="inlineStr">
        <is>
          <t>Föryngringsavverkning</t>
        </is>
      </c>
      <c r="D8013" s="1" t="n">
        <v>45952</v>
      </c>
      <c r="E8013" s="1" t="n">
        <v>46319</v>
      </c>
      <c r="F8013" t="inlineStr">
        <is>
          <t>DALARNAS LÄN</t>
        </is>
      </c>
      <c r="G8013" t="inlineStr">
        <is>
          <t>RÄTTVIK</t>
        </is>
      </c>
      <c r="H8013" t="inlineStr">
        <is>
          <t>Bergvik skog väst AB</t>
        </is>
      </c>
      <c r="I8013" t="n">
        <v>1.4</v>
      </c>
      <c r="J8013" t="n">
        <v>0</v>
      </c>
      <c r="K8013" t="n">
        <v>0</v>
      </c>
      <c r="L8013" t="n">
        <v>0</v>
      </c>
      <c r="M8013" t="n">
        <v>0</v>
      </c>
      <c r="N8013" t="n">
        <v>0</v>
      </c>
      <c r="O8013" t="n">
        <v>0</v>
      </c>
      <c r="P8013" t="n">
        <v>0</v>
      </c>
      <c r="Q8013" t="n">
        <v>0</v>
      </c>
      <c r="R8013" t="n">
        <v>0</v>
      </c>
      <c r="S8013" t="n">
        <v>0</v>
      </c>
      <c r="T8013" t="n">
        <v>0</v>
      </c>
      <c r="U8013" t="n">
        <v>0</v>
      </c>
      <c r="V8013" s="2" t="inlineStr"/>
    </row>
    <row r="8014" ht="15" customHeight="1">
      <c r="A8014" t="inlineStr">
        <is>
          <t>A 14411-2026</t>
        </is>
      </c>
      <c r="B8014" t="inlineStr">
        <is>
          <t>avverkningsanmälan</t>
        </is>
      </c>
      <c r="C8014" t="inlineStr">
        <is>
          <t>Föryngringsavverkning</t>
        </is>
      </c>
      <c r="D8014" s="1" t="n">
        <v>46100</v>
      </c>
      <c r="E8014" s="1" t="n">
        <v>46319</v>
      </c>
      <c r="F8014" t="inlineStr">
        <is>
          <t>DALARNAS LÄN</t>
        </is>
      </c>
      <c r="G8014" t="inlineStr">
        <is>
          <t>FALUN</t>
        </is>
      </c>
      <c r="H8014" t="inlineStr">
        <is>
          <t>Bergvik skog väst AB</t>
        </is>
      </c>
      <c r="I8014" t="n">
        <v>14.5</v>
      </c>
      <c r="J8014" t="n">
        <v>0</v>
      </c>
      <c r="K8014" t="n">
        <v>0</v>
      </c>
      <c r="L8014" t="n">
        <v>0</v>
      </c>
      <c r="M8014" t="n">
        <v>0</v>
      </c>
      <c r="N8014" t="n">
        <v>0</v>
      </c>
      <c r="O8014" t="n">
        <v>0</v>
      </c>
      <c r="P8014" t="n">
        <v>0</v>
      </c>
      <c r="Q8014" t="n">
        <v>0</v>
      </c>
      <c r="R8014" t="n">
        <v>0</v>
      </c>
      <c r="S8014" t="n">
        <v>0</v>
      </c>
      <c r="T8014" t="n">
        <v>0</v>
      </c>
      <c r="U8014" t="n">
        <v>0</v>
      </c>
      <c r="V8014" s="2" t="inlineStr"/>
    </row>
    <row r="8015" ht="15" customHeight="1">
      <c r="A8015" t="inlineStr">
        <is>
          <t>A 2711-2026</t>
        </is>
      </c>
      <c r="B8015" t="inlineStr">
        <is>
          <t>avverkningsanmälan</t>
        </is>
      </c>
      <c r="C8015" t="inlineStr">
        <is>
          <t>Föryngringsavverkning</t>
        </is>
      </c>
      <c r="D8015" s="1" t="n">
        <v>46037</v>
      </c>
      <c r="E8015" s="1" t="n">
        <v>46319</v>
      </c>
      <c r="F8015" t="inlineStr">
        <is>
          <t>DALARNAS LÄN</t>
        </is>
      </c>
      <c r="G8015" t="inlineStr">
        <is>
          <t>FALUN</t>
        </is>
      </c>
      <c r="I8015" t="n">
        <v>1.8</v>
      </c>
      <c r="J8015" t="n">
        <v>0</v>
      </c>
      <c r="K8015" t="n">
        <v>0</v>
      </c>
      <c r="L8015" t="n">
        <v>0</v>
      </c>
      <c r="M8015" t="n">
        <v>0</v>
      </c>
      <c r="N8015" t="n">
        <v>0</v>
      </c>
      <c r="O8015" t="n">
        <v>0</v>
      </c>
      <c r="P8015" t="n">
        <v>0</v>
      </c>
      <c r="Q8015" t="n">
        <v>0</v>
      </c>
      <c r="R8015" t="n">
        <v>0</v>
      </c>
      <c r="S8015" t="n">
        <v>0</v>
      </c>
      <c r="T8015" t="n">
        <v>0</v>
      </c>
      <c r="U8015" t="n">
        <v>0</v>
      </c>
      <c r="V8015" s="2" t="inlineStr"/>
    </row>
    <row r="8016" ht="15" customHeight="1">
      <c r="A8016" t="inlineStr">
        <is>
          <t>A 56016-2024</t>
        </is>
      </c>
      <c r="B8016" t="inlineStr">
        <is>
          <t>avverkningsanmälan</t>
        </is>
      </c>
      <c r="C8016" t="inlineStr">
        <is>
          <t>Föryngringsavverkning</t>
        </is>
      </c>
      <c r="D8016" s="1" t="n">
        <v>45623</v>
      </c>
      <c r="E8016" s="1" t="n">
        <v>46319</v>
      </c>
      <c r="F8016" t="inlineStr">
        <is>
          <t>DALARNAS LÄN</t>
        </is>
      </c>
      <c r="G8016" t="inlineStr">
        <is>
          <t>LEKSAND</t>
        </is>
      </c>
      <c r="I8016" t="n">
        <v>6.1</v>
      </c>
      <c r="J8016" t="n">
        <v>0</v>
      </c>
      <c r="K8016" t="n">
        <v>0</v>
      </c>
      <c r="L8016" t="n">
        <v>0</v>
      </c>
      <c r="M8016" t="n">
        <v>0</v>
      </c>
      <c r="N8016" t="n">
        <v>0</v>
      </c>
      <c r="O8016" t="n">
        <v>0</v>
      </c>
      <c r="P8016" t="n">
        <v>0</v>
      </c>
      <c r="Q8016" t="n">
        <v>0</v>
      </c>
      <c r="R8016" t="n">
        <v>0</v>
      </c>
      <c r="S8016" t="n">
        <v>0</v>
      </c>
      <c r="T8016" t="n">
        <v>0</v>
      </c>
      <c r="U8016" t="n">
        <v>0</v>
      </c>
      <c r="V8016" s="2" t="inlineStr"/>
    </row>
    <row r="8017" ht="15" customHeight="1">
      <c r="A8017" t="inlineStr">
        <is>
          <t>A 4614-2026</t>
        </is>
      </c>
      <c r="B8017" t="inlineStr">
        <is>
          <t>avverkningsanmälan</t>
        </is>
      </c>
      <c r="C8017" t="inlineStr">
        <is>
          <t>Föryngringsavverkning</t>
        </is>
      </c>
      <c r="D8017" s="1" t="n">
        <v>46048</v>
      </c>
      <c r="E8017" s="1" t="n">
        <v>46319</v>
      </c>
      <c r="F8017" t="inlineStr">
        <is>
          <t>DALARNAS LÄN</t>
        </is>
      </c>
      <c r="G8017" t="inlineStr">
        <is>
          <t>FALUN</t>
        </is>
      </c>
      <c r="I8017" t="n">
        <v>2.9</v>
      </c>
      <c r="J8017" t="n">
        <v>0</v>
      </c>
      <c r="K8017" t="n">
        <v>0</v>
      </c>
      <c r="L8017" t="n">
        <v>0</v>
      </c>
      <c r="M8017" t="n">
        <v>0</v>
      </c>
      <c r="N8017" t="n">
        <v>0</v>
      </c>
      <c r="O8017" t="n">
        <v>0</v>
      </c>
      <c r="P8017" t="n">
        <v>0</v>
      </c>
      <c r="Q8017" t="n">
        <v>0</v>
      </c>
      <c r="R8017" t="n">
        <v>0</v>
      </c>
      <c r="S8017" t="n">
        <v>0</v>
      </c>
      <c r="T8017" t="n">
        <v>0</v>
      </c>
      <c r="U8017" t="n">
        <v>0</v>
      </c>
      <c r="V8017" s="2" t="inlineStr"/>
    </row>
    <row r="8018" ht="15" customHeight="1">
      <c r="A8018" t="inlineStr">
        <is>
          <t>A 11594-2023</t>
        </is>
      </c>
      <c r="B8018" t="inlineStr">
        <is>
          <t>avverkningsanmälan</t>
        </is>
      </c>
      <c r="C8018" t="inlineStr">
        <is>
          <t>Föryngringsavverkning</t>
        </is>
      </c>
      <c r="D8018" s="1" t="n">
        <v>44994</v>
      </c>
      <c r="E8018" s="1" t="n">
        <v>46319</v>
      </c>
      <c r="F8018" t="inlineStr">
        <is>
          <t>DALARNAS LÄN</t>
        </is>
      </c>
      <c r="G8018" t="inlineStr">
        <is>
          <t>MALUNG-SÄLEN</t>
        </is>
      </c>
      <c r="I8018" t="n">
        <v>3</v>
      </c>
      <c r="J8018" t="n">
        <v>0</v>
      </c>
      <c r="K8018" t="n">
        <v>0</v>
      </c>
      <c r="L8018" t="n">
        <v>0</v>
      </c>
      <c r="M8018" t="n">
        <v>0</v>
      </c>
      <c r="N8018" t="n">
        <v>0</v>
      </c>
      <c r="O8018" t="n">
        <v>0</v>
      </c>
      <c r="P8018" t="n">
        <v>0</v>
      </c>
      <c r="Q8018" t="n">
        <v>0</v>
      </c>
      <c r="R8018" t="n">
        <v>0</v>
      </c>
      <c r="S8018" t="n">
        <v>0</v>
      </c>
      <c r="T8018" t="n">
        <v>0</v>
      </c>
      <c r="U8018" t="n">
        <v>0</v>
      </c>
      <c r="V8018" s="2" t="inlineStr"/>
    </row>
    <row r="8019" ht="15" customHeight="1">
      <c r="A8019" t="inlineStr">
        <is>
          <t>A 38446-2025</t>
        </is>
      </c>
      <c r="B8019" t="inlineStr">
        <is>
          <t>avverkningsanmälan</t>
        </is>
      </c>
      <c r="C8019" t="inlineStr">
        <is>
          <t>Föryngringsavverkning</t>
        </is>
      </c>
      <c r="D8019" s="1" t="n">
        <v>45883</v>
      </c>
      <c r="E8019" s="1" t="n">
        <v>46319</v>
      </c>
      <c r="F8019" t="inlineStr">
        <is>
          <t>DALARNAS LÄN</t>
        </is>
      </c>
      <c r="G8019" t="inlineStr">
        <is>
          <t>LUDVIKA</t>
        </is>
      </c>
      <c r="I8019" t="n">
        <v>0.8</v>
      </c>
      <c r="J8019" t="n">
        <v>0</v>
      </c>
      <c r="K8019" t="n">
        <v>0</v>
      </c>
      <c r="L8019" t="n">
        <v>0</v>
      </c>
      <c r="M8019" t="n">
        <v>0</v>
      </c>
      <c r="N8019" t="n">
        <v>0</v>
      </c>
      <c r="O8019" t="n">
        <v>0</v>
      </c>
      <c r="P8019" t="n">
        <v>0</v>
      </c>
      <c r="Q8019" t="n">
        <v>0</v>
      </c>
      <c r="R8019" t="n">
        <v>0</v>
      </c>
      <c r="S8019" t="n">
        <v>0</v>
      </c>
      <c r="T8019" t="n">
        <v>0</v>
      </c>
      <c r="U8019" t="n">
        <v>0</v>
      </c>
      <c r="V8019" s="2" t="inlineStr"/>
    </row>
    <row r="8020" ht="15" customHeight="1">
      <c r="A8020" t="inlineStr">
        <is>
          <t>A 22113-2026</t>
        </is>
      </c>
      <c r="B8020" t="inlineStr">
        <is>
          <t>avverkningsanmälan</t>
        </is>
      </c>
      <c r="C8020" t="inlineStr">
        <is>
          <t>Föryngringsavverkning</t>
        </is>
      </c>
      <c r="D8020" s="1" t="n">
        <v>46153</v>
      </c>
      <c r="E8020" s="1" t="n">
        <v>46319</v>
      </c>
      <c r="F8020" t="inlineStr">
        <is>
          <t>DALARNAS LÄN</t>
        </is>
      </c>
      <c r="G8020" t="inlineStr">
        <is>
          <t>MORA</t>
        </is>
      </c>
      <c r="H8020" t="inlineStr">
        <is>
          <t>Bergvik skog väst AB</t>
        </is>
      </c>
      <c r="I8020" t="n">
        <v>4.6</v>
      </c>
      <c r="J8020" t="n">
        <v>0</v>
      </c>
      <c r="K8020" t="n">
        <v>0</v>
      </c>
      <c r="L8020" t="n">
        <v>0</v>
      </c>
      <c r="M8020" t="n">
        <v>0</v>
      </c>
      <c r="N8020" t="n">
        <v>0</v>
      </c>
      <c r="O8020" t="n">
        <v>0</v>
      </c>
      <c r="P8020" t="n">
        <v>0</v>
      </c>
      <c r="Q8020" t="n">
        <v>0</v>
      </c>
      <c r="R8020" t="n">
        <v>0</v>
      </c>
      <c r="S8020" t="n">
        <v>0</v>
      </c>
      <c r="T8020" t="n">
        <v>0</v>
      </c>
      <c r="U8020" t="n">
        <v>0</v>
      </c>
      <c r="V8020" s="2" t="inlineStr"/>
    </row>
    <row r="8021" ht="15" customHeight="1">
      <c r="A8021" t="inlineStr">
        <is>
          <t>A 15714-2026</t>
        </is>
      </c>
      <c r="B8021" t="inlineStr">
        <is>
          <t>avverkningsanmälan</t>
        </is>
      </c>
      <c r="C8021" t="inlineStr">
        <is>
          <t>Föryngringsavverkning</t>
        </is>
      </c>
      <c r="D8021" s="1" t="n">
        <v>46107</v>
      </c>
      <c r="E8021" s="1" t="n">
        <v>46319</v>
      </c>
      <c r="F8021" t="inlineStr">
        <is>
          <t>DALARNAS LÄN</t>
        </is>
      </c>
      <c r="G8021" t="inlineStr">
        <is>
          <t>FALUN</t>
        </is>
      </c>
      <c r="I8021" t="n">
        <v>6.3</v>
      </c>
      <c r="J8021" t="n">
        <v>0</v>
      </c>
      <c r="K8021" t="n">
        <v>0</v>
      </c>
      <c r="L8021" t="n">
        <v>0</v>
      </c>
      <c r="M8021" t="n">
        <v>0</v>
      </c>
      <c r="N8021" t="n">
        <v>0</v>
      </c>
      <c r="O8021" t="n">
        <v>0</v>
      </c>
      <c r="P8021" t="n">
        <v>0</v>
      </c>
      <c r="Q8021" t="n">
        <v>0</v>
      </c>
      <c r="R8021" t="n">
        <v>0</v>
      </c>
      <c r="S8021" t="n">
        <v>0</v>
      </c>
      <c r="T8021" t="n">
        <v>0</v>
      </c>
      <c r="U8021" t="n">
        <v>0</v>
      </c>
      <c r="V8021" s="2" t="inlineStr"/>
    </row>
    <row r="8022" ht="15" customHeight="1">
      <c r="A8022" t="inlineStr">
        <is>
          <t>A 6291-2026</t>
        </is>
      </c>
      <c r="B8022" t="inlineStr">
        <is>
          <t>avverkningsanmälan</t>
        </is>
      </c>
      <c r="C8022" t="inlineStr">
        <is>
          <t>Föryngringsavverkning</t>
        </is>
      </c>
      <c r="D8022" s="1" t="n">
        <v>46055</v>
      </c>
      <c r="E8022" s="1" t="n">
        <v>46319</v>
      </c>
      <c r="F8022" t="inlineStr">
        <is>
          <t>DALARNAS LÄN</t>
        </is>
      </c>
      <c r="G8022" t="inlineStr">
        <is>
          <t>RÄTTVIK</t>
        </is>
      </c>
      <c r="I8022" t="n">
        <v>4.2</v>
      </c>
      <c r="J8022" t="n">
        <v>0</v>
      </c>
      <c r="K8022" t="n">
        <v>0</v>
      </c>
      <c r="L8022" t="n">
        <v>0</v>
      </c>
      <c r="M8022" t="n">
        <v>0</v>
      </c>
      <c r="N8022" t="n">
        <v>0</v>
      </c>
      <c r="O8022" t="n">
        <v>0</v>
      </c>
      <c r="P8022" t="n">
        <v>0</v>
      </c>
      <c r="Q8022" t="n">
        <v>0</v>
      </c>
      <c r="R8022" t="n">
        <v>0</v>
      </c>
      <c r="S8022" t="n">
        <v>0</v>
      </c>
      <c r="T8022" t="n">
        <v>0</v>
      </c>
      <c r="U8022" t="n">
        <v>0</v>
      </c>
      <c r="V8022" s="2" t="inlineStr"/>
    </row>
    <row r="8023" ht="15" customHeight="1">
      <c r="A8023" t="inlineStr">
        <is>
          <t>A 9774-2026</t>
        </is>
      </c>
      <c r="B8023" t="inlineStr">
        <is>
          <t>avverkningsanmälan</t>
        </is>
      </c>
      <c r="C8023" t="inlineStr">
        <is>
          <t>Föryngringsavverkning</t>
        </is>
      </c>
      <c r="D8023" s="1" t="n">
        <v>46072</v>
      </c>
      <c r="E8023" s="1" t="n">
        <v>46319</v>
      </c>
      <c r="F8023" t="inlineStr">
        <is>
          <t>DALARNAS LÄN</t>
        </is>
      </c>
      <c r="G8023" t="inlineStr">
        <is>
          <t>FALUN</t>
        </is>
      </c>
      <c r="I8023" t="n">
        <v>5</v>
      </c>
      <c r="J8023" t="n">
        <v>0</v>
      </c>
      <c r="K8023" t="n">
        <v>0</v>
      </c>
      <c r="L8023" t="n">
        <v>0</v>
      </c>
      <c r="M8023" t="n">
        <v>0</v>
      </c>
      <c r="N8023" t="n">
        <v>0</v>
      </c>
      <c r="O8023" t="n">
        <v>0</v>
      </c>
      <c r="P8023" t="n">
        <v>0</v>
      </c>
      <c r="Q8023" t="n">
        <v>0</v>
      </c>
      <c r="R8023" t="n">
        <v>0</v>
      </c>
      <c r="S8023" t="n">
        <v>0</v>
      </c>
      <c r="T8023" t="n">
        <v>0</v>
      </c>
      <c r="U8023" t="n">
        <v>0</v>
      </c>
      <c r="V8023" s="2" t="inlineStr"/>
    </row>
    <row r="8024" ht="15" customHeight="1">
      <c r="A8024" t="inlineStr">
        <is>
          <t>A 41257-2024</t>
        </is>
      </c>
      <c r="B8024" t="inlineStr">
        <is>
          <t>avverkningsanmälan</t>
        </is>
      </c>
      <c r="C8024" t="inlineStr">
        <is>
          <t>Föryngringsavverkning</t>
        </is>
      </c>
      <c r="D8024" s="1" t="n">
        <v>45559</v>
      </c>
      <c r="E8024" s="1" t="n">
        <v>46319</v>
      </c>
      <c r="F8024" t="inlineStr">
        <is>
          <t>DALARNAS LÄN</t>
        </is>
      </c>
      <c r="G8024" t="inlineStr">
        <is>
          <t>BORLÄNGE</t>
        </is>
      </c>
      <c r="I8024" t="n">
        <v>2.8</v>
      </c>
      <c r="J8024" t="n">
        <v>0</v>
      </c>
      <c r="K8024" t="n">
        <v>0</v>
      </c>
      <c r="L8024" t="n">
        <v>0</v>
      </c>
      <c r="M8024" t="n">
        <v>0</v>
      </c>
      <c r="N8024" t="n">
        <v>0</v>
      </c>
      <c r="O8024" t="n">
        <v>0</v>
      </c>
      <c r="P8024" t="n">
        <v>0</v>
      </c>
      <c r="Q8024" t="n">
        <v>0</v>
      </c>
      <c r="R8024" t="n">
        <v>0</v>
      </c>
      <c r="S8024" t="n">
        <v>0</v>
      </c>
      <c r="T8024" t="n">
        <v>0</v>
      </c>
      <c r="U8024" t="n">
        <v>0</v>
      </c>
      <c r="V8024" s="2" t="inlineStr"/>
    </row>
    <row r="8025" ht="15" customHeight="1">
      <c r="A8025" t="inlineStr">
        <is>
          <t>A 41276-2024</t>
        </is>
      </c>
      <c r="B8025" t="inlineStr">
        <is>
          <t>avverkningsanmälan</t>
        </is>
      </c>
      <c r="C8025" t="inlineStr">
        <is>
          <t>Föryngringsavverkning</t>
        </is>
      </c>
      <c r="D8025" s="1" t="n">
        <v>45559</v>
      </c>
      <c r="E8025" s="1" t="n">
        <v>46319</v>
      </c>
      <c r="F8025" t="inlineStr">
        <is>
          <t>DALARNAS LÄN</t>
        </is>
      </c>
      <c r="G8025" t="inlineStr">
        <is>
          <t>BORLÄNGE</t>
        </is>
      </c>
      <c r="I8025" t="n">
        <v>0.8</v>
      </c>
      <c r="J8025" t="n">
        <v>0</v>
      </c>
      <c r="K8025" t="n">
        <v>0</v>
      </c>
      <c r="L8025" t="n">
        <v>0</v>
      </c>
      <c r="M8025" t="n">
        <v>0</v>
      </c>
      <c r="N8025" t="n">
        <v>0</v>
      </c>
      <c r="O8025" t="n">
        <v>0</v>
      </c>
      <c r="P8025" t="n">
        <v>0</v>
      </c>
      <c r="Q8025" t="n">
        <v>0</v>
      </c>
      <c r="R8025" t="n">
        <v>0</v>
      </c>
      <c r="S8025" t="n">
        <v>0</v>
      </c>
      <c r="T8025" t="n">
        <v>0</v>
      </c>
      <c r="U8025" t="n">
        <v>0</v>
      </c>
      <c r="V8025" s="2" t="inlineStr"/>
    </row>
    <row r="8026" ht="15" customHeight="1">
      <c r="A8026" t="inlineStr">
        <is>
          <t>A 4155-2023</t>
        </is>
      </c>
      <c r="B8026" t="inlineStr">
        <is>
          <t>avverkningsanmälan</t>
        </is>
      </c>
      <c r="C8026" t="inlineStr">
        <is>
          <t>Avverkning för annat ändamål</t>
        </is>
      </c>
      <c r="D8026" s="1" t="n">
        <v>44950</v>
      </c>
      <c r="E8026" s="1" t="n">
        <v>46319</v>
      </c>
      <c r="F8026" t="inlineStr">
        <is>
          <t>DALARNAS LÄN</t>
        </is>
      </c>
      <c r="G8026" t="inlineStr">
        <is>
          <t>SMEDJEBACKEN</t>
        </is>
      </c>
      <c r="I8026" t="n">
        <v>1.9</v>
      </c>
      <c r="J8026" t="n">
        <v>0</v>
      </c>
      <c r="K8026" t="n">
        <v>0</v>
      </c>
      <c r="L8026" t="n">
        <v>0</v>
      </c>
      <c r="M8026" t="n">
        <v>0</v>
      </c>
      <c r="N8026" t="n">
        <v>0</v>
      </c>
      <c r="O8026" t="n">
        <v>0</v>
      </c>
      <c r="P8026" t="n">
        <v>0</v>
      </c>
      <c r="Q8026" t="n">
        <v>0</v>
      </c>
      <c r="R8026" t="n">
        <v>0</v>
      </c>
      <c r="S8026" t="n">
        <v>0</v>
      </c>
      <c r="T8026" t="n">
        <v>0</v>
      </c>
      <c r="U8026" t="n">
        <v>0</v>
      </c>
      <c r="V8026" s="2" t="inlineStr"/>
    </row>
    <row r="8027" ht="15" customHeight="1">
      <c r="A8027" t="inlineStr">
        <is>
          <t>A 10864-2026</t>
        </is>
      </c>
      <c r="B8027" t="inlineStr">
        <is>
          <t>avverkningsanmälan</t>
        </is>
      </c>
      <c r="C8027" t="inlineStr">
        <is>
          <t>Föryngringsavverkning</t>
        </is>
      </c>
      <c r="D8027" s="1" t="n">
        <v>46078</v>
      </c>
      <c r="E8027" s="1" t="n">
        <v>46319</v>
      </c>
      <c r="F8027" t="inlineStr">
        <is>
          <t>DALARNAS LÄN</t>
        </is>
      </c>
      <c r="G8027" t="inlineStr">
        <is>
          <t>FALUN</t>
        </is>
      </c>
      <c r="H8027" t="inlineStr">
        <is>
          <t>Bergvik skog väst AB</t>
        </is>
      </c>
      <c r="I8027" t="n">
        <v>2.1</v>
      </c>
      <c r="J8027" t="n">
        <v>0</v>
      </c>
      <c r="K8027" t="n">
        <v>0</v>
      </c>
      <c r="L8027" t="n">
        <v>0</v>
      </c>
      <c r="M8027" t="n">
        <v>0</v>
      </c>
      <c r="N8027" t="n">
        <v>0</v>
      </c>
      <c r="O8027" t="n">
        <v>0</v>
      </c>
      <c r="P8027" t="n">
        <v>0</v>
      </c>
      <c r="Q8027" t="n">
        <v>0</v>
      </c>
      <c r="R8027" t="n">
        <v>0</v>
      </c>
      <c r="S8027" t="n">
        <v>0</v>
      </c>
      <c r="T8027" t="n">
        <v>0</v>
      </c>
      <c r="U8027" t="n">
        <v>0</v>
      </c>
      <c r="V8027" s="2" t="inlineStr"/>
    </row>
    <row r="8028" ht="15" customHeight="1">
      <c r="A8028" t="inlineStr">
        <is>
          <t>A 21946-2026</t>
        </is>
      </c>
      <c r="B8028" t="inlineStr">
        <is>
          <t>avverkningsanmälan</t>
        </is>
      </c>
      <c r="C8028" t="inlineStr">
        <is>
          <t>Föryngringsavverkning</t>
        </is>
      </c>
      <c r="D8028" s="1" t="n">
        <v>46151</v>
      </c>
      <c r="E8028" s="1" t="n">
        <v>46319</v>
      </c>
      <c r="F8028" t="inlineStr">
        <is>
          <t>DALARNAS LÄN</t>
        </is>
      </c>
      <c r="G8028" t="inlineStr">
        <is>
          <t>BORLÄNGE</t>
        </is>
      </c>
      <c r="I8028" t="n">
        <v>0.9</v>
      </c>
      <c r="J8028" t="n">
        <v>0</v>
      </c>
      <c r="K8028" t="n">
        <v>0</v>
      </c>
      <c r="L8028" t="n">
        <v>0</v>
      </c>
      <c r="M8028" t="n">
        <v>0</v>
      </c>
      <c r="N8028" t="n">
        <v>0</v>
      </c>
      <c r="O8028" t="n">
        <v>0</v>
      </c>
      <c r="P8028" t="n">
        <v>0</v>
      </c>
      <c r="Q8028" t="n">
        <v>0</v>
      </c>
      <c r="R8028" t="n">
        <v>0</v>
      </c>
      <c r="S8028" t="n">
        <v>0</v>
      </c>
      <c r="T8028" t="n">
        <v>0</v>
      </c>
      <c r="U8028" t="n">
        <v>0</v>
      </c>
      <c r="V8028" s="2" t="inlineStr"/>
    </row>
    <row r="8029" ht="15" customHeight="1">
      <c r="A8029" t="inlineStr">
        <is>
          <t>A 22069-2026</t>
        </is>
      </c>
      <c r="B8029" t="inlineStr">
        <is>
          <t>avverkningsanmälan</t>
        </is>
      </c>
      <c r="C8029" t="inlineStr">
        <is>
          <t>Föryngringsavverkning</t>
        </is>
      </c>
      <c r="D8029" s="1" t="n">
        <v>46153</v>
      </c>
      <c r="E8029" s="1" t="n">
        <v>46319</v>
      </c>
      <c r="F8029" t="inlineStr">
        <is>
          <t>DALARNAS LÄN</t>
        </is>
      </c>
      <c r="G8029" t="inlineStr">
        <is>
          <t>FALUN</t>
        </is>
      </c>
      <c r="I8029" t="n">
        <v>1.2</v>
      </c>
      <c r="J8029" t="n">
        <v>0</v>
      </c>
      <c r="K8029" t="n">
        <v>0</v>
      </c>
      <c r="L8029" t="n">
        <v>0</v>
      </c>
      <c r="M8029" t="n">
        <v>0</v>
      </c>
      <c r="N8029" t="n">
        <v>0</v>
      </c>
      <c r="O8029" t="n">
        <v>0</v>
      </c>
      <c r="P8029" t="n">
        <v>0</v>
      </c>
      <c r="Q8029" t="n">
        <v>0</v>
      </c>
      <c r="R8029" t="n">
        <v>0</v>
      </c>
      <c r="S8029" t="n">
        <v>0</v>
      </c>
      <c r="T8029" t="n">
        <v>0</v>
      </c>
      <c r="U8029" t="n">
        <v>0</v>
      </c>
      <c r="V8029" s="2" t="inlineStr"/>
    </row>
    <row r="8030" ht="15" customHeight="1">
      <c r="A8030" t="inlineStr">
        <is>
          <t>A 22374-2026</t>
        </is>
      </c>
      <c r="B8030" t="inlineStr">
        <is>
          <t>avverkningsanmälan</t>
        </is>
      </c>
      <c r="C8030" t="inlineStr">
        <is>
          <t>Föryngringsavverkning</t>
        </is>
      </c>
      <c r="D8030" s="1" t="n">
        <v>46154</v>
      </c>
      <c r="E8030" s="1" t="n">
        <v>46319</v>
      </c>
      <c r="F8030" t="inlineStr">
        <is>
          <t>DALARNAS LÄN</t>
        </is>
      </c>
      <c r="G8030" t="inlineStr">
        <is>
          <t>FALUN</t>
        </is>
      </c>
      <c r="I8030" t="n">
        <v>3.4</v>
      </c>
      <c r="J8030" t="n">
        <v>0</v>
      </c>
      <c r="K8030" t="n">
        <v>0</v>
      </c>
      <c r="L8030" t="n">
        <v>0</v>
      </c>
      <c r="M8030" t="n">
        <v>0</v>
      </c>
      <c r="N8030" t="n">
        <v>0</v>
      </c>
      <c r="O8030" t="n">
        <v>0</v>
      </c>
      <c r="P8030" t="n">
        <v>0</v>
      </c>
      <c r="Q8030" t="n">
        <v>0</v>
      </c>
      <c r="R8030" t="n">
        <v>0</v>
      </c>
      <c r="S8030" t="n">
        <v>0</v>
      </c>
      <c r="T8030" t="n">
        <v>0</v>
      </c>
      <c r="U8030" t="n">
        <v>0</v>
      </c>
      <c r="V8030" s="2" t="inlineStr"/>
    </row>
    <row r="8031" ht="15" customHeight="1">
      <c r="A8031" t="inlineStr">
        <is>
          <t>A 42089-2024</t>
        </is>
      </c>
      <c r="B8031" t="inlineStr">
        <is>
          <t>avverkningsanmälan</t>
        </is>
      </c>
      <c r="C8031" t="inlineStr">
        <is>
          <t>Föryngringsavverkning</t>
        </is>
      </c>
      <c r="D8031" s="1" t="n">
        <v>45562</v>
      </c>
      <c r="E8031" s="1" t="n">
        <v>46319</v>
      </c>
      <c r="F8031" t="inlineStr">
        <is>
          <t>DALARNAS LÄN</t>
        </is>
      </c>
      <c r="G8031" t="inlineStr">
        <is>
          <t>RÄTTVIK</t>
        </is>
      </c>
      <c r="I8031" t="n">
        <v>1.3</v>
      </c>
      <c r="J8031" t="n">
        <v>0</v>
      </c>
      <c r="K8031" t="n">
        <v>0</v>
      </c>
      <c r="L8031" t="n">
        <v>0</v>
      </c>
      <c r="M8031" t="n">
        <v>0</v>
      </c>
      <c r="N8031" t="n">
        <v>0</v>
      </c>
      <c r="O8031" t="n">
        <v>0</v>
      </c>
      <c r="P8031" t="n">
        <v>0</v>
      </c>
      <c r="Q8031" t="n">
        <v>0</v>
      </c>
      <c r="R8031" t="n">
        <v>0</v>
      </c>
      <c r="S8031" t="n">
        <v>0</v>
      </c>
      <c r="T8031" t="n">
        <v>0</v>
      </c>
      <c r="U8031" t="n">
        <v>0</v>
      </c>
      <c r="V8031" s="2" t="inlineStr"/>
    </row>
    <row r="8032" ht="15" customHeight="1">
      <c r="A8032" t="inlineStr">
        <is>
          <t>A 22382-2026</t>
        </is>
      </c>
      <c r="B8032" t="inlineStr">
        <is>
          <t>avverkningsanmälan</t>
        </is>
      </c>
      <c r="C8032" t="inlineStr">
        <is>
          <t>Föryngringsavverkning</t>
        </is>
      </c>
      <c r="D8032" s="1" t="n">
        <v>46154</v>
      </c>
      <c r="E8032" s="1" t="n">
        <v>46319</v>
      </c>
      <c r="F8032" t="inlineStr">
        <is>
          <t>DALARNAS LÄN</t>
        </is>
      </c>
      <c r="G8032" t="inlineStr">
        <is>
          <t>FALUN</t>
        </is>
      </c>
      <c r="I8032" t="n">
        <v>0.7</v>
      </c>
      <c r="J8032" t="n">
        <v>0</v>
      </c>
      <c r="K8032" t="n">
        <v>0</v>
      </c>
      <c r="L8032" t="n">
        <v>0</v>
      </c>
      <c r="M8032" t="n">
        <v>0</v>
      </c>
      <c r="N8032" t="n">
        <v>0</v>
      </c>
      <c r="O8032" t="n">
        <v>0</v>
      </c>
      <c r="P8032" t="n">
        <v>0</v>
      </c>
      <c r="Q8032" t="n">
        <v>0</v>
      </c>
      <c r="R8032" t="n">
        <v>0</v>
      </c>
      <c r="S8032" t="n">
        <v>0</v>
      </c>
      <c r="T8032" t="n">
        <v>0</v>
      </c>
      <c r="U8032" t="n">
        <v>0</v>
      </c>
      <c r="V8032" s="2" t="inlineStr"/>
    </row>
    <row r="8033" ht="15" customHeight="1">
      <c r="A8033" t="inlineStr">
        <is>
          <t>A 22429-2026</t>
        </is>
      </c>
      <c r="B8033" t="inlineStr">
        <is>
          <t>avverkningsanmälan</t>
        </is>
      </c>
      <c r="C8033" t="inlineStr">
        <is>
          <t>Föryngringsavverkning</t>
        </is>
      </c>
      <c r="D8033" s="1" t="n">
        <v>46154</v>
      </c>
      <c r="E8033" s="1" t="n">
        <v>46319</v>
      </c>
      <c r="F8033" t="inlineStr">
        <is>
          <t>DALARNAS LÄN</t>
        </is>
      </c>
      <c r="G8033" t="inlineStr">
        <is>
          <t>BORLÄNGE</t>
        </is>
      </c>
      <c r="I8033" t="n">
        <v>8.4</v>
      </c>
      <c r="J8033" t="n">
        <v>0</v>
      </c>
      <c r="K8033" t="n">
        <v>0</v>
      </c>
      <c r="L8033" t="n">
        <v>0</v>
      </c>
      <c r="M8033" t="n">
        <v>0</v>
      </c>
      <c r="N8033" t="n">
        <v>0</v>
      </c>
      <c r="O8033" t="n">
        <v>0</v>
      </c>
      <c r="P8033" t="n">
        <v>0</v>
      </c>
      <c r="Q8033" t="n">
        <v>0</v>
      </c>
      <c r="R8033" t="n">
        <v>0</v>
      </c>
      <c r="S8033" t="n">
        <v>0</v>
      </c>
      <c r="T8033" t="n">
        <v>0</v>
      </c>
      <c r="U8033" t="n">
        <v>0</v>
      </c>
      <c r="V8033" s="2" t="inlineStr"/>
    </row>
    <row r="8034" ht="15" customHeight="1">
      <c r="A8034" t="inlineStr">
        <is>
          <t>A 56136-2024</t>
        </is>
      </c>
      <c r="B8034" t="inlineStr">
        <is>
          <t>avverkningsanmälan</t>
        </is>
      </c>
      <c r="C8034" t="inlineStr">
        <is>
          <t>Föryngringsavverkning</t>
        </is>
      </c>
      <c r="D8034" s="1" t="n">
        <v>45624</v>
      </c>
      <c r="E8034" s="1" t="n">
        <v>46319</v>
      </c>
      <c r="F8034" t="inlineStr">
        <is>
          <t>DALARNAS LÄN</t>
        </is>
      </c>
      <c r="G8034" t="inlineStr">
        <is>
          <t>FALUN</t>
        </is>
      </c>
      <c r="I8034" t="n">
        <v>2.1</v>
      </c>
      <c r="J8034" t="n">
        <v>0</v>
      </c>
      <c r="K8034" t="n">
        <v>0</v>
      </c>
      <c r="L8034" t="n">
        <v>0</v>
      </c>
      <c r="M8034" t="n">
        <v>0</v>
      </c>
      <c r="N8034" t="n">
        <v>0</v>
      </c>
      <c r="O8034" t="n">
        <v>0</v>
      </c>
      <c r="P8034" t="n">
        <v>0</v>
      </c>
      <c r="Q8034" t="n">
        <v>0</v>
      </c>
      <c r="R8034" t="n">
        <v>0</v>
      </c>
      <c r="S8034" t="n">
        <v>0</v>
      </c>
      <c r="T8034" t="n">
        <v>0</v>
      </c>
      <c r="U8034" t="n">
        <v>0</v>
      </c>
      <c r="V8034" s="2" t="inlineStr"/>
    </row>
    <row r="8035" ht="15" customHeight="1">
      <c r="A8035" t="inlineStr">
        <is>
          <t>A 14995-2023</t>
        </is>
      </c>
      <c r="B8035" t="inlineStr">
        <is>
          <t>avverkningsanmälan</t>
        </is>
      </c>
      <c r="C8035" t="inlineStr">
        <is>
          <t>Föryngringsavverkning</t>
        </is>
      </c>
      <c r="D8035" s="1" t="n">
        <v>45015</v>
      </c>
      <c r="E8035" s="1" t="n">
        <v>46319</v>
      </c>
      <c r="F8035" t="inlineStr">
        <is>
          <t>DALARNAS LÄN</t>
        </is>
      </c>
      <c r="G8035" t="inlineStr">
        <is>
          <t>BORLÄNGE</t>
        </is>
      </c>
      <c r="I8035" t="n">
        <v>0.7</v>
      </c>
      <c r="J8035" t="n">
        <v>0</v>
      </c>
      <c r="K8035" t="n">
        <v>0</v>
      </c>
      <c r="L8035" t="n">
        <v>0</v>
      </c>
      <c r="M8035" t="n">
        <v>0</v>
      </c>
      <c r="N8035" t="n">
        <v>0</v>
      </c>
      <c r="O8035" t="n">
        <v>0</v>
      </c>
      <c r="P8035" t="n">
        <v>0</v>
      </c>
      <c r="Q8035" t="n">
        <v>0</v>
      </c>
      <c r="R8035" t="n">
        <v>0</v>
      </c>
      <c r="S8035" t="n">
        <v>0</v>
      </c>
      <c r="T8035" t="n">
        <v>0</v>
      </c>
      <c r="U8035" t="n">
        <v>0</v>
      </c>
      <c r="V8035" s="2" t="inlineStr"/>
    </row>
    <row r="8036" ht="15" customHeight="1">
      <c r="A8036" t="inlineStr">
        <is>
          <t>A 14511-2026</t>
        </is>
      </c>
      <c r="B8036" t="inlineStr">
        <is>
          <t>avverkningsanmälan</t>
        </is>
      </c>
      <c r="C8036" t="inlineStr">
        <is>
          <t>Föryngringsavverkning</t>
        </is>
      </c>
      <c r="D8036" s="1" t="n">
        <v>46100</v>
      </c>
      <c r="E8036" s="1" t="n">
        <v>46319</v>
      </c>
      <c r="F8036" t="inlineStr">
        <is>
          <t>DALARNAS LÄN</t>
        </is>
      </c>
      <c r="G8036" t="inlineStr">
        <is>
          <t>FALUN</t>
        </is>
      </c>
      <c r="I8036" t="n">
        <v>3.7</v>
      </c>
      <c r="J8036" t="n">
        <v>0</v>
      </c>
      <c r="K8036" t="n">
        <v>0</v>
      </c>
      <c r="L8036" t="n">
        <v>0</v>
      </c>
      <c r="M8036" t="n">
        <v>0</v>
      </c>
      <c r="N8036" t="n">
        <v>0</v>
      </c>
      <c r="O8036" t="n">
        <v>0</v>
      </c>
      <c r="P8036" t="n">
        <v>0</v>
      </c>
      <c r="Q8036" t="n">
        <v>0</v>
      </c>
      <c r="R8036" t="n">
        <v>0</v>
      </c>
      <c r="S8036" t="n">
        <v>0</v>
      </c>
      <c r="T8036" t="n">
        <v>0</v>
      </c>
      <c r="U8036" t="n">
        <v>0</v>
      </c>
      <c r="V8036" s="2" t="inlineStr"/>
    </row>
    <row r="8037" ht="15" customHeight="1">
      <c r="A8037" t="inlineStr">
        <is>
          <t>A 36988-2025</t>
        </is>
      </c>
      <c r="B8037" t="inlineStr">
        <is>
          <t>avverkningsanmälan</t>
        </is>
      </c>
      <c r="C8037" t="inlineStr">
        <is>
          <t>Föryngringsavverkning</t>
        </is>
      </c>
      <c r="D8037" s="1" t="n">
        <v>45874</v>
      </c>
      <c r="E8037" s="1" t="n">
        <v>46319</v>
      </c>
      <c r="F8037" t="inlineStr">
        <is>
          <t>DALARNAS LÄN</t>
        </is>
      </c>
      <c r="G8037" t="inlineStr">
        <is>
          <t>MALUNG-SÄLEN</t>
        </is>
      </c>
      <c r="I8037" t="n">
        <v>2.5</v>
      </c>
      <c r="J8037" t="n">
        <v>0</v>
      </c>
      <c r="K8037" t="n">
        <v>0</v>
      </c>
      <c r="L8037" t="n">
        <v>0</v>
      </c>
      <c r="M8037" t="n">
        <v>0</v>
      </c>
      <c r="N8037" t="n">
        <v>0</v>
      </c>
      <c r="O8037" t="n">
        <v>0</v>
      </c>
      <c r="P8037" t="n">
        <v>0</v>
      </c>
      <c r="Q8037" t="n">
        <v>0</v>
      </c>
      <c r="R8037" t="n">
        <v>0</v>
      </c>
      <c r="S8037" t="n">
        <v>0</v>
      </c>
      <c r="T8037" t="n">
        <v>0</v>
      </c>
      <c r="U8037" t="n">
        <v>0</v>
      </c>
      <c r="V8037" s="2" t="inlineStr"/>
    </row>
    <row r="8038" ht="15" customHeight="1">
      <c r="A8038" t="inlineStr">
        <is>
          <t>A 60421-2021</t>
        </is>
      </c>
      <c r="B8038" t="inlineStr">
        <is>
          <t>avverkningsanmälan</t>
        </is>
      </c>
      <c r="C8038" t="inlineStr">
        <is>
          <t>Avverkning för att bevara och utveckla /försöksver</t>
        </is>
      </c>
      <c r="D8038" s="1" t="n">
        <v>44496</v>
      </c>
      <c r="E8038" s="1" t="n">
        <v>46319</v>
      </c>
      <c r="F8038" t="inlineStr">
        <is>
          <t>DALARNAS LÄN</t>
        </is>
      </c>
      <c r="G8038" t="inlineStr">
        <is>
          <t>SMEDJEBACKEN</t>
        </is>
      </c>
      <c r="H8038" t="inlineStr">
        <is>
          <t>Sveaskog</t>
        </is>
      </c>
      <c r="I8038" t="n">
        <v>1.3</v>
      </c>
      <c r="J8038" t="n">
        <v>0</v>
      </c>
      <c r="K8038" t="n">
        <v>0</v>
      </c>
      <c r="L8038" t="n">
        <v>0</v>
      </c>
      <c r="M8038" t="n">
        <v>0</v>
      </c>
      <c r="N8038" t="n">
        <v>0</v>
      </c>
      <c r="O8038" t="n">
        <v>0</v>
      </c>
      <c r="P8038" t="n">
        <v>0</v>
      </c>
      <c r="Q8038" t="n">
        <v>0</v>
      </c>
      <c r="R8038" t="n">
        <v>0</v>
      </c>
      <c r="S8038" t="n">
        <v>0</v>
      </c>
      <c r="T8038" t="n">
        <v>0</v>
      </c>
      <c r="U8038" t="n">
        <v>0</v>
      </c>
      <c r="V8038" s="2" t="inlineStr"/>
    </row>
    <row r="8039" ht="15" customHeight="1">
      <c r="A8039" t="inlineStr">
        <is>
          <t>A 1436-2026</t>
        </is>
      </c>
      <c r="B8039" t="inlineStr">
        <is>
          <t>avverkningsanmälan</t>
        </is>
      </c>
      <c r="C8039" t="inlineStr">
        <is>
          <t>Föryngringsavverkning</t>
        </is>
      </c>
      <c r="D8039" s="1" t="n">
        <v>46032</v>
      </c>
      <c r="E8039" s="1" t="n">
        <v>46319</v>
      </c>
      <c r="F8039" t="inlineStr">
        <is>
          <t>DALARNAS LÄN</t>
        </is>
      </c>
      <c r="G8039" t="inlineStr">
        <is>
          <t>FALUN</t>
        </is>
      </c>
      <c r="I8039" t="n">
        <v>1</v>
      </c>
      <c r="J8039" t="n">
        <v>0</v>
      </c>
      <c r="K8039" t="n">
        <v>0</v>
      </c>
      <c r="L8039" t="n">
        <v>0</v>
      </c>
      <c r="M8039" t="n">
        <v>0</v>
      </c>
      <c r="N8039" t="n">
        <v>0</v>
      </c>
      <c r="O8039" t="n">
        <v>0</v>
      </c>
      <c r="P8039" t="n">
        <v>0</v>
      </c>
      <c r="Q8039" t="n">
        <v>0</v>
      </c>
      <c r="R8039" t="n">
        <v>0</v>
      </c>
      <c r="S8039" t="n">
        <v>0</v>
      </c>
      <c r="T8039" t="n">
        <v>0</v>
      </c>
      <c r="U8039" t="n">
        <v>0</v>
      </c>
      <c r="V8039" s="2" t="inlineStr"/>
    </row>
    <row r="8040" ht="15" customHeight="1">
      <c r="A8040" t="inlineStr">
        <is>
          <t>A 22295-2026</t>
        </is>
      </c>
      <c r="B8040" t="inlineStr">
        <is>
          <t>avverkningsanmälan</t>
        </is>
      </c>
      <c r="C8040" t="inlineStr">
        <is>
          <t>Föryngringsavverkning</t>
        </is>
      </c>
      <c r="D8040" s="1" t="n">
        <v>46154</v>
      </c>
      <c r="E8040" s="1" t="n">
        <v>46319</v>
      </c>
      <c r="F8040" t="inlineStr">
        <is>
          <t>DALARNAS LÄN</t>
        </is>
      </c>
      <c r="G8040" t="inlineStr">
        <is>
          <t>FALUN</t>
        </is>
      </c>
      <c r="I8040" t="n">
        <v>4.2</v>
      </c>
      <c r="J8040" t="n">
        <v>0</v>
      </c>
      <c r="K8040" t="n">
        <v>0</v>
      </c>
      <c r="L8040" t="n">
        <v>0</v>
      </c>
      <c r="M8040" t="n">
        <v>0</v>
      </c>
      <c r="N8040" t="n">
        <v>0</v>
      </c>
      <c r="O8040" t="n">
        <v>0</v>
      </c>
      <c r="P8040" t="n">
        <v>0</v>
      </c>
      <c r="Q8040" t="n">
        <v>0</v>
      </c>
      <c r="R8040" t="n">
        <v>0</v>
      </c>
      <c r="S8040" t="n">
        <v>0</v>
      </c>
      <c r="T8040" t="n">
        <v>0</v>
      </c>
      <c r="U8040" t="n">
        <v>0</v>
      </c>
      <c r="V8040" s="2" t="inlineStr"/>
    </row>
    <row r="8041" ht="15" customHeight="1">
      <c r="A8041" t="inlineStr">
        <is>
          <t>A 22322-2026</t>
        </is>
      </c>
      <c r="B8041" t="inlineStr">
        <is>
          <t>avverkningsanmälan</t>
        </is>
      </c>
      <c r="C8041" t="inlineStr">
        <is>
          <t>Föryngringsavverkning</t>
        </is>
      </c>
      <c r="D8041" s="1" t="n">
        <v>46154</v>
      </c>
      <c r="E8041" s="1" t="n">
        <v>46319</v>
      </c>
      <c r="F8041" t="inlineStr">
        <is>
          <t>DALARNAS LÄN</t>
        </is>
      </c>
      <c r="G8041" t="inlineStr">
        <is>
          <t>FALUN</t>
        </is>
      </c>
      <c r="I8041" t="n">
        <v>7.1</v>
      </c>
      <c r="J8041" t="n">
        <v>0</v>
      </c>
      <c r="K8041" t="n">
        <v>0</v>
      </c>
      <c r="L8041" t="n">
        <v>0</v>
      </c>
      <c r="M8041" t="n">
        <v>0</v>
      </c>
      <c r="N8041" t="n">
        <v>0</v>
      </c>
      <c r="O8041" t="n">
        <v>0</v>
      </c>
      <c r="P8041" t="n">
        <v>0</v>
      </c>
      <c r="Q8041" t="n">
        <v>0</v>
      </c>
      <c r="R8041" t="n">
        <v>0</v>
      </c>
      <c r="S8041" t="n">
        <v>0</v>
      </c>
      <c r="T8041" t="n">
        <v>0</v>
      </c>
      <c r="U8041" t="n">
        <v>0</v>
      </c>
      <c r="V8041" s="2" t="inlineStr"/>
    </row>
    <row r="8042" ht="15" customHeight="1">
      <c r="A8042" t="inlineStr">
        <is>
          <t>A 21992-2023</t>
        </is>
      </c>
      <c r="B8042" t="inlineStr">
        <is>
          <t>avverkningsanmälan</t>
        </is>
      </c>
      <c r="C8042" t="inlineStr">
        <is>
          <t>Föryngringsavverkning</t>
        </is>
      </c>
      <c r="D8042" s="1" t="n">
        <v>45068</v>
      </c>
      <c r="E8042" s="1" t="n">
        <v>46319</v>
      </c>
      <c r="F8042" t="inlineStr">
        <is>
          <t>DALARNAS LÄN</t>
        </is>
      </c>
      <c r="G8042" t="inlineStr">
        <is>
          <t>BORLÄNGE</t>
        </is>
      </c>
      <c r="I8042" t="n">
        <v>4.4</v>
      </c>
      <c r="J8042" t="n">
        <v>0</v>
      </c>
      <c r="K8042" t="n">
        <v>0</v>
      </c>
      <c r="L8042" t="n">
        <v>0</v>
      </c>
      <c r="M8042" t="n">
        <v>0</v>
      </c>
      <c r="N8042" t="n">
        <v>0</v>
      </c>
      <c r="O8042" t="n">
        <v>0</v>
      </c>
      <c r="P8042" t="n">
        <v>0</v>
      </c>
      <c r="Q8042" t="n">
        <v>0</v>
      </c>
      <c r="R8042" t="n">
        <v>0</v>
      </c>
      <c r="S8042" t="n">
        <v>0</v>
      </c>
      <c r="T8042" t="n">
        <v>0</v>
      </c>
      <c r="U8042" t="n">
        <v>0</v>
      </c>
      <c r="V8042" s="2" t="inlineStr"/>
    </row>
    <row r="8043" ht="15" customHeight="1">
      <c r="A8043" t="inlineStr">
        <is>
          <t>A 21696-2023</t>
        </is>
      </c>
      <c r="B8043" t="inlineStr">
        <is>
          <t>avverkningsanmälan</t>
        </is>
      </c>
      <c r="C8043" t="inlineStr">
        <is>
          <t>Föryngringsavverkning</t>
        </is>
      </c>
      <c r="D8043" s="1" t="n">
        <v>45063</v>
      </c>
      <c r="E8043" s="1" t="n">
        <v>46319</v>
      </c>
      <c r="F8043" t="inlineStr">
        <is>
          <t>DALARNAS LÄN</t>
        </is>
      </c>
      <c r="G8043" t="inlineStr">
        <is>
          <t>SÄTER</t>
        </is>
      </c>
      <c r="H8043" t="inlineStr">
        <is>
          <t>Kommuner</t>
        </is>
      </c>
      <c r="I8043" t="n">
        <v>4.5</v>
      </c>
      <c r="J8043" t="n">
        <v>0</v>
      </c>
      <c r="K8043" t="n">
        <v>0</v>
      </c>
      <c r="L8043" t="n">
        <v>0</v>
      </c>
      <c r="M8043" t="n">
        <v>0</v>
      </c>
      <c r="N8043" t="n">
        <v>0</v>
      </c>
      <c r="O8043" t="n">
        <v>0</v>
      </c>
      <c r="P8043" t="n">
        <v>0</v>
      </c>
      <c r="Q8043" t="n">
        <v>0</v>
      </c>
      <c r="R8043" t="n">
        <v>0</v>
      </c>
      <c r="S8043" t="n">
        <v>0</v>
      </c>
      <c r="T8043" t="n">
        <v>0</v>
      </c>
      <c r="U8043" t="n">
        <v>0</v>
      </c>
      <c r="V8043" s="2" t="inlineStr"/>
    </row>
    <row r="8044" ht="15" customHeight="1">
      <c r="A8044" t="inlineStr">
        <is>
          <t>A 10268-2024</t>
        </is>
      </c>
      <c r="B8044" t="inlineStr">
        <is>
          <t>avverkningsanmälan</t>
        </is>
      </c>
      <c r="C8044" t="inlineStr">
        <is>
          <t>Föryngringsavverkning</t>
        </is>
      </c>
      <c r="D8044" s="1" t="n">
        <v>45365</v>
      </c>
      <c r="E8044" s="1" t="n">
        <v>46319</v>
      </c>
      <c r="F8044" t="inlineStr">
        <is>
          <t>DALARNAS LÄN</t>
        </is>
      </c>
      <c r="G8044" t="inlineStr">
        <is>
          <t>FALUN</t>
        </is>
      </c>
      <c r="I8044" t="n">
        <v>1.8</v>
      </c>
      <c r="J8044" t="n">
        <v>0</v>
      </c>
      <c r="K8044" t="n">
        <v>0</v>
      </c>
      <c r="L8044" t="n">
        <v>0</v>
      </c>
      <c r="M8044" t="n">
        <v>0</v>
      </c>
      <c r="N8044" t="n">
        <v>0</v>
      </c>
      <c r="O8044" t="n">
        <v>0</v>
      </c>
      <c r="P8044" t="n">
        <v>0</v>
      </c>
      <c r="Q8044" t="n">
        <v>0</v>
      </c>
      <c r="R8044" t="n">
        <v>0</v>
      </c>
      <c r="S8044" t="n">
        <v>0</v>
      </c>
      <c r="T8044" t="n">
        <v>0</v>
      </c>
      <c r="U8044" t="n">
        <v>0</v>
      </c>
      <c r="V8044" s="2" t="inlineStr"/>
    </row>
    <row r="8045" ht="15" customHeight="1">
      <c r="A8045" t="inlineStr">
        <is>
          <t>A 2028-2026</t>
        </is>
      </c>
      <c r="B8045" t="inlineStr">
        <is>
          <t>avverkningsanmälan</t>
        </is>
      </c>
      <c r="C8045" t="inlineStr">
        <is>
          <t>Föryngringsavverkning</t>
        </is>
      </c>
      <c r="D8045" s="1" t="n">
        <v>46035</v>
      </c>
      <c r="E8045" s="1" t="n">
        <v>46319</v>
      </c>
      <c r="F8045" t="inlineStr">
        <is>
          <t>DALARNAS LÄN</t>
        </is>
      </c>
      <c r="G8045" t="inlineStr">
        <is>
          <t>FALUN</t>
        </is>
      </c>
      <c r="I8045" t="n">
        <v>3.2</v>
      </c>
      <c r="J8045" t="n">
        <v>0</v>
      </c>
      <c r="K8045" t="n">
        <v>0</v>
      </c>
      <c r="L8045" t="n">
        <v>0</v>
      </c>
      <c r="M8045" t="n">
        <v>0</v>
      </c>
      <c r="N8045" t="n">
        <v>0</v>
      </c>
      <c r="O8045" t="n">
        <v>0</v>
      </c>
      <c r="P8045" t="n">
        <v>0</v>
      </c>
      <c r="Q8045" t="n">
        <v>0</v>
      </c>
      <c r="R8045" t="n">
        <v>0</v>
      </c>
      <c r="S8045" t="n">
        <v>0</v>
      </c>
      <c r="T8045" t="n">
        <v>0</v>
      </c>
      <c r="U8045" t="n">
        <v>0</v>
      </c>
      <c r="V8045" s="2" t="inlineStr"/>
    </row>
    <row r="8046" ht="15" customHeight="1">
      <c r="A8046" t="inlineStr">
        <is>
          <t>A 57134-2022</t>
        </is>
      </c>
      <c r="B8046" t="inlineStr">
        <is>
          <t>avverkningsanmälan</t>
        </is>
      </c>
      <c r="C8046" t="inlineStr">
        <is>
          <t>Föryngringsavverkning</t>
        </is>
      </c>
      <c r="D8046" s="1" t="n">
        <v>44895</v>
      </c>
      <c r="E8046" s="1" t="n">
        <v>46319</v>
      </c>
      <c r="F8046" t="inlineStr">
        <is>
          <t>DALARNAS LÄN</t>
        </is>
      </c>
      <c r="G8046" t="inlineStr">
        <is>
          <t>GAGNEF</t>
        </is>
      </c>
      <c r="I8046" t="n">
        <v>3.5</v>
      </c>
      <c r="J8046" t="n">
        <v>0</v>
      </c>
      <c r="K8046" t="n">
        <v>0</v>
      </c>
      <c r="L8046" t="n">
        <v>0</v>
      </c>
      <c r="M8046" t="n">
        <v>0</v>
      </c>
      <c r="N8046" t="n">
        <v>0</v>
      </c>
      <c r="O8046" t="n">
        <v>0</v>
      </c>
      <c r="P8046" t="n">
        <v>0</v>
      </c>
      <c r="Q8046" t="n">
        <v>0</v>
      </c>
      <c r="R8046" t="n">
        <v>0</v>
      </c>
      <c r="S8046" t="n">
        <v>0</v>
      </c>
      <c r="T8046" t="n">
        <v>0</v>
      </c>
      <c r="U8046" t="n">
        <v>0</v>
      </c>
      <c r="V8046" s="2" t="inlineStr"/>
    </row>
    <row r="8047" ht="15" customHeight="1">
      <c r="A8047" t="inlineStr">
        <is>
          <t>A 22638-2026</t>
        </is>
      </c>
      <c r="B8047" t="inlineStr">
        <is>
          <t>avverkningsanmälan</t>
        </is>
      </c>
      <c r="C8047" t="inlineStr">
        <is>
          <t>Föryngringsavverkning</t>
        </is>
      </c>
      <c r="D8047" s="1" t="n">
        <v>46155</v>
      </c>
      <c r="E8047" s="1" t="n">
        <v>46319</v>
      </c>
      <c r="F8047" t="inlineStr">
        <is>
          <t>DALARNAS LÄN</t>
        </is>
      </c>
      <c r="G8047" t="inlineStr">
        <is>
          <t>RÄTTVIK</t>
        </is>
      </c>
      <c r="H8047" t="inlineStr">
        <is>
          <t>Bergvik skog väst AB</t>
        </is>
      </c>
      <c r="I8047" t="n">
        <v>0.9</v>
      </c>
      <c r="J8047" t="n">
        <v>0</v>
      </c>
      <c r="K8047" t="n">
        <v>0</v>
      </c>
      <c r="L8047" t="n">
        <v>0</v>
      </c>
      <c r="M8047" t="n">
        <v>0</v>
      </c>
      <c r="N8047" t="n">
        <v>0</v>
      </c>
      <c r="O8047" t="n">
        <v>0</v>
      </c>
      <c r="P8047" t="n">
        <v>0</v>
      </c>
      <c r="Q8047" t="n">
        <v>0</v>
      </c>
      <c r="R8047" t="n">
        <v>0</v>
      </c>
      <c r="S8047" t="n">
        <v>0</v>
      </c>
      <c r="T8047" t="n">
        <v>0</v>
      </c>
      <c r="U8047" t="n">
        <v>0</v>
      </c>
      <c r="V8047" s="2" t="inlineStr"/>
    </row>
    <row r="8048" ht="15" customHeight="1">
      <c r="A8048" t="inlineStr">
        <is>
          <t>A 22694-2026</t>
        </is>
      </c>
      <c r="B8048" t="inlineStr">
        <is>
          <t>avverkningsanmälan</t>
        </is>
      </c>
      <c r="C8048" t="inlineStr">
        <is>
          <t>Föryngringsavverkning</t>
        </is>
      </c>
      <c r="D8048" s="1" t="n">
        <v>46156</v>
      </c>
      <c r="E8048" s="1" t="n">
        <v>46319</v>
      </c>
      <c r="F8048" t="inlineStr">
        <is>
          <t>DALARNAS LÄN</t>
        </is>
      </c>
      <c r="G8048" t="inlineStr">
        <is>
          <t>FALUN</t>
        </is>
      </c>
      <c r="I8048" t="n">
        <v>10.2</v>
      </c>
      <c r="J8048" t="n">
        <v>0</v>
      </c>
      <c r="K8048" t="n">
        <v>0</v>
      </c>
      <c r="L8048" t="n">
        <v>0</v>
      </c>
      <c r="M8048" t="n">
        <v>0</v>
      </c>
      <c r="N8048" t="n">
        <v>0</v>
      </c>
      <c r="O8048" t="n">
        <v>0</v>
      </c>
      <c r="P8048" t="n">
        <v>0</v>
      </c>
      <c r="Q8048" t="n">
        <v>0</v>
      </c>
      <c r="R8048" t="n">
        <v>0</v>
      </c>
      <c r="S8048" t="n">
        <v>0</v>
      </c>
      <c r="T8048" t="n">
        <v>0</v>
      </c>
      <c r="U8048" t="n">
        <v>0</v>
      </c>
      <c r="V8048" s="2" t="inlineStr"/>
    </row>
    <row r="8049" ht="15" customHeight="1">
      <c r="A8049" t="inlineStr">
        <is>
          <t>A 4184-2026</t>
        </is>
      </c>
      <c r="B8049" t="inlineStr">
        <is>
          <t>avverkningsanmälan</t>
        </is>
      </c>
      <c r="C8049" t="inlineStr">
        <is>
          <t>Föryngringsavverkning</t>
        </is>
      </c>
      <c r="D8049" s="1" t="n">
        <v>46044</v>
      </c>
      <c r="E8049" s="1" t="n">
        <v>46319</v>
      </c>
      <c r="F8049" t="inlineStr">
        <is>
          <t>DALARNAS LÄN</t>
        </is>
      </c>
      <c r="G8049" t="inlineStr">
        <is>
          <t>LEKSAND</t>
        </is>
      </c>
      <c r="I8049" t="n">
        <v>6</v>
      </c>
      <c r="J8049" t="n">
        <v>0</v>
      </c>
      <c r="K8049" t="n">
        <v>0</v>
      </c>
      <c r="L8049" t="n">
        <v>0</v>
      </c>
      <c r="M8049" t="n">
        <v>0</v>
      </c>
      <c r="N8049" t="n">
        <v>0</v>
      </c>
      <c r="O8049" t="n">
        <v>0</v>
      </c>
      <c r="P8049" t="n">
        <v>0</v>
      </c>
      <c r="Q8049" t="n">
        <v>0</v>
      </c>
      <c r="R8049" t="n">
        <v>0</v>
      </c>
      <c r="S8049" t="n">
        <v>0</v>
      </c>
      <c r="T8049" t="n">
        <v>0</v>
      </c>
      <c r="U8049" t="n">
        <v>0</v>
      </c>
      <c r="V8049" s="2" t="inlineStr"/>
    </row>
    <row r="8050" ht="15" customHeight="1">
      <c r="A8050" t="inlineStr">
        <is>
          <t>A 6038-2026</t>
        </is>
      </c>
      <c r="B8050" t="inlineStr">
        <is>
          <t>avverkningsanmälan</t>
        </is>
      </c>
      <c r="C8050" t="inlineStr">
        <is>
          <t>Föryngringsavverkning</t>
        </is>
      </c>
      <c r="D8050" s="1" t="n">
        <v>46052</v>
      </c>
      <c r="E8050" s="1" t="n">
        <v>46319</v>
      </c>
      <c r="F8050" t="inlineStr">
        <is>
          <t>DALARNAS LÄN</t>
        </is>
      </c>
      <c r="G8050" t="inlineStr">
        <is>
          <t>LEKSAND</t>
        </is>
      </c>
      <c r="I8050" t="n">
        <v>5.1</v>
      </c>
      <c r="J8050" t="n">
        <v>0</v>
      </c>
      <c r="K8050" t="n">
        <v>0</v>
      </c>
      <c r="L8050" t="n">
        <v>0</v>
      </c>
      <c r="M8050" t="n">
        <v>0</v>
      </c>
      <c r="N8050" t="n">
        <v>0</v>
      </c>
      <c r="O8050" t="n">
        <v>0</v>
      </c>
      <c r="P8050" t="n">
        <v>0</v>
      </c>
      <c r="Q8050" t="n">
        <v>0</v>
      </c>
      <c r="R8050" t="n">
        <v>0</v>
      </c>
      <c r="S8050" t="n">
        <v>0</v>
      </c>
      <c r="T8050" t="n">
        <v>0</v>
      </c>
      <c r="U8050" t="n">
        <v>0</v>
      </c>
      <c r="V8050" s="2" t="inlineStr"/>
    </row>
    <row r="8051" ht="15" customHeight="1">
      <c r="A8051" t="inlineStr">
        <is>
          <t>A 21002-2026</t>
        </is>
      </c>
      <c r="B8051" t="inlineStr">
        <is>
          <t>avverkningsanmälan</t>
        </is>
      </c>
      <c r="C8051" t="inlineStr">
        <is>
          <t>Föryngringsavverkning</t>
        </is>
      </c>
      <c r="D8051" s="1" t="n">
        <v>46142</v>
      </c>
      <c r="E8051" s="1" t="n">
        <v>46319</v>
      </c>
      <c r="F8051" t="inlineStr">
        <is>
          <t>DALARNAS LÄN</t>
        </is>
      </c>
      <c r="G8051" t="inlineStr">
        <is>
          <t>LUDVIKA</t>
        </is>
      </c>
      <c r="H8051" t="inlineStr">
        <is>
          <t>Bergvik skog väst AB</t>
        </is>
      </c>
      <c r="I8051" t="n">
        <v>8.9</v>
      </c>
      <c r="J8051" t="n">
        <v>0</v>
      </c>
      <c r="K8051" t="n">
        <v>0</v>
      </c>
      <c r="L8051" t="n">
        <v>0</v>
      </c>
      <c r="M8051" t="n">
        <v>0</v>
      </c>
      <c r="N8051" t="n">
        <v>0</v>
      </c>
      <c r="O8051" t="n">
        <v>0</v>
      </c>
      <c r="P8051" t="n">
        <v>0</v>
      </c>
      <c r="Q8051" t="n">
        <v>0</v>
      </c>
      <c r="R8051" t="n">
        <v>0</v>
      </c>
      <c r="S8051" t="n">
        <v>0</v>
      </c>
      <c r="T8051" t="n">
        <v>0</v>
      </c>
      <c r="U8051" t="n">
        <v>0</v>
      </c>
      <c r="V8051" s="2" t="inlineStr"/>
    </row>
    <row r="8052" ht="15" customHeight="1">
      <c r="A8052" t="inlineStr">
        <is>
          <t>A 17147-2026</t>
        </is>
      </c>
      <c r="B8052" t="inlineStr">
        <is>
          <t>avverkningsanmälan</t>
        </is>
      </c>
      <c r="C8052" t="inlineStr">
        <is>
          <t>Föryngringsavverkning</t>
        </is>
      </c>
      <c r="D8052" s="1" t="n">
        <v>46114</v>
      </c>
      <c r="E8052" s="1" t="n">
        <v>46319</v>
      </c>
      <c r="F8052" t="inlineStr">
        <is>
          <t>DALARNAS LÄN</t>
        </is>
      </c>
      <c r="G8052" t="inlineStr">
        <is>
          <t>HEDEMORA</t>
        </is>
      </c>
      <c r="H8052" t="inlineStr">
        <is>
          <t>Sveaskog</t>
        </is>
      </c>
      <c r="I8052" t="n">
        <v>1.6</v>
      </c>
      <c r="J8052" t="n">
        <v>0</v>
      </c>
      <c r="K8052" t="n">
        <v>0</v>
      </c>
      <c r="L8052" t="n">
        <v>0</v>
      </c>
      <c r="M8052" t="n">
        <v>0</v>
      </c>
      <c r="N8052" t="n">
        <v>0</v>
      </c>
      <c r="O8052" t="n">
        <v>0</v>
      </c>
      <c r="P8052" t="n">
        <v>0</v>
      </c>
      <c r="Q8052" t="n">
        <v>0</v>
      </c>
      <c r="R8052" t="n">
        <v>0</v>
      </c>
      <c r="S8052" t="n">
        <v>0</v>
      </c>
      <c r="T8052" t="n">
        <v>0</v>
      </c>
      <c r="U8052" t="n">
        <v>0</v>
      </c>
      <c r="V8052" s="2" t="inlineStr"/>
    </row>
    <row r="8053" ht="15" customHeight="1">
      <c r="A8053" t="inlineStr">
        <is>
          <t>A 22579-2026</t>
        </is>
      </c>
      <c r="B8053" t="inlineStr">
        <is>
          <t>avverkningsanmälan</t>
        </is>
      </c>
      <c r="C8053" t="inlineStr">
        <is>
          <t>Föryngringsavverkning</t>
        </is>
      </c>
      <c r="D8053" s="1" t="n">
        <v>46155</v>
      </c>
      <c r="E8053" s="1" t="n">
        <v>46319</v>
      </c>
      <c r="F8053" t="inlineStr">
        <is>
          <t>DALARNAS LÄN</t>
        </is>
      </c>
      <c r="G8053" t="inlineStr">
        <is>
          <t>AVESTA</t>
        </is>
      </c>
      <c r="I8053" t="n">
        <v>0.8</v>
      </c>
      <c r="J8053" t="n">
        <v>0</v>
      </c>
      <c r="K8053" t="n">
        <v>0</v>
      </c>
      <c r="L8053" t="n">
        <v>0</v>
      </c>
      <c r="M8053" t="n">
        <v>0</v>
      </c>
      <c r="N8053" t="n">
        <v>0</v>
      </c>
      <c r="O8053" t="n">
        <v>0</v>
      </c>
      <c r="P8053" t="n">
        <v>0</v>
      </c>
      <c r="Q8053" t="n">
        <v>0</v>
      </c>
      <c r="R8053" t="n">
        <v>0</v>
      </c>
      <c r="S8053" t="n">
        <v>0</v>
      </c>
      <c r="T8053" t="n">
        <v>0</v>
      </c>
      <c r="U8053" t="n">
        <v>0</v>
      </c>
      <c r="V8053" s="2" t="inlineStr"/>
    </row>
    <row r="8054" ht="15" customHeight="1">
      <c r="A8054" t="inlineStr">
        <is>
          <t>A 22580-2026</t>
        </is>
      </c>
      <c r="B8054" t="inlineStr">
        <is>
          <t>avverkningsanmälan</t>
        </is>
      </c>
      <c r="C8054" t="inlineStr">
        <is>
          <t>Föryngringsavverkning</t>
        </is>
      </c>
      <c r="D8054" s="1" t="n">
        <v>46155</v>
      </c>
      <c r="E8054" s="1" t="n">
        <v>46319</v>
      </c>
      <c r="F8054" t="inlineStr">
        <is>
          <t>DALARNAS LÄN</t>
        </is>
      </c>
      <c r="G8054" t="inlineStr">
        <is>
          <t>LUDVIKA</t>
        </is>
      </c>
      <c r="I8054" t="n">
        <v>3.2</v>
      </c>
      <c r="J8054" t="n">
        <v>0</v>
      </c>
      <c r="K8054" t="n">
        <v>0</v>
      </c>
      <c r="L8054" t="n">
        <v>0</v>
      </c>
      <c r="M8054" t="n">
        <v>0</v>
      </c>
      <c r="N8054" t="n">
        <v>0</v>
      </c>
      <c r="O8054" t="n">
        <v>0</v>
      </c>
      <c r="P8054" t="n">
        <v>0</v>
      </c>
      <c r="Q8054" t="n">
        <v>0</v>
      </c>
      <c r="R8054" t="n">
        <v>0</v>
      </c>
      <c r="S8054" t="n">
        <v>0</v>
      </c>
      <c r="T8054" t="n">
        <v>0</v>
      </c>
      <c r="U8054" t="n">
        <v>0</v>
      </c>
      <c r="V8054" s="2" t="inlineStr"/>
    </row>
    <row r="8055" ht="15" customHeight="1">
      <c r="A8055" t="inlineStr">
        <is>
          <t>A 26452-2024</t>
        </is>
      </c>
      <c r="B8055" t="inlineStr">
        <is>
          <t>avverkningsanmälan</t>
        </is>
      </c>
      <c r="C8055" t="inlineStr">
        <is>
          <t>Föryngringsavverkning</t>
        </is>
      </c>
      <c r="D8055" s="1" t="n">
        <v>45469</v>
      </c>
      <c r="E8055" s="1" t="n">
        <v>46319</v>
      </c>
      <c r="F8055" t="inlineStr">
        <is>
          <t>DALARNAS LÄN</t>
        </is>
      </c>
      <c r="G8055" t="inlineStr">
        <is>
          <t>HEDEMORA</t>
        </is>
      </c>
      <c r="I8055" t="n">
        <v>2.3</v>
      </c>
      <c r="J8055" t="n">
        <v>0</v>
      </c>
      <c r="K8055" t="n">
        <v>0</v>
      </c>
      <c r="L8055" t="n">
        <v>0</v>
      </c>
      <c r="M8055" t="n">
        <v>0</v>
      </c>
      <c r="N8055" t="n">
        <v>0</v>
      </c>
      <c r="O8055" t="n">
        <v>0</v>
      </c>
      <c r="P8055" t="n">
        <v>0</v>
      </c>
      <c r="Q8055" t="n">
        <v>0</v>
      </c>
      <c r="R8055" t="n">
        <v>0</v>
      </c>
      <c r="S8055" t="n">
        <v>0</v>
      </c>
      <c r="T8055" t="n">
        <v>0</v>
      </c>
      <c r="U8055" t="n">
        <v>0</v>
      </c>
      <c r="V8055" s="2" t="inlineStr"/>
    </row>
    <row r="8056" ht="15" customHeight="1">
      <c r="A8056" t="inlineStr">
        <is>
          <t>A 22658-2026</t>
        </is>
      </c>
      <c r="B8056" t="inlineStr">
        <is>
          <t>avverkningsanmälan</t>
        </is>
      </c>
      <c r="C8056" t="inlineStr">
        <is>
          <t>Föryngringsavverkning</t>
        </is>
      </c>
      <c r="D8056" s="1" t="n">
        <v>46155</v>
      </c>
      <c r="E8056" s="1" t="n">
        <v>46319</v>
      </c>
      <c r="F8056" t="inlineStr">
        <is>
          <t>DALARNAS LÄN</t>
        </is>
      </c>
      <c r="G8056" t="inlineStr">
        <is>
          <t>FALUN</t>
        </is>
      </c>
      <c r="I8056" t="n">
        <v>10.2</v>
      </c>
      <c r="J8056" t="n">
        <v>0</v>
      </c>
      <c r="K8056" t="n">
        <v>0</v>
      </c>
      <c r="L8056" t="n">
        <v>0</v>
      </c>
      <c r="M8056" t="n">
        <v>0</v>
      </c>
      <c r="N8056" t="n">
        <v>0</v>
      </c>
      <c r="O8056" t="n">
        <v>0</v>
      </c>
      <c r="P8056" t="n">
        <v>0</v>
      </c>
      <c r="Q8056" t="n">
        <v>0</v>
      </c>
      <c r="R8056" t="n">
        <v>0</v>
      </c>
      <c r="S8056" t="n">
        <v>0</v>
      </c>
      <c r="T8056" t="n">
        <v>0</v>
      </c>
      <c r="U8056" t="n">
        <v>0</v>
      </c>
      <c r="V8056" s="2" t="inlineStr"/>
    </row>
    <row r="8057" ht="15" customHeight="1">
      <c r="A8057" t="inlineStr">
        <is>
          <t>A 22659-2026</t>
        </is>
      </c>
      <c r="B8057" t="inlineStr">
        <is>
          <t>avverkningsanmälan</t>
        </is>
      </c>
      <c r="C8057" t="inlineStr">
        <is>
          <t>Föryngringsavverkning</t>
        </is>
      </c>
      <c r="D8057" s="1" t="n">
        <v>46155</v>
      </c>
      <c r="E8057" s="1" t="n">
        <v>46319</v>
      </c>
      <c r="F8057" t="inlineStr">
        <is>
          <t>DALARNAS LÄN</t>
        </is>
      </c>
      <c r="G8057" t="inlineStr">
        <is>
          <t>LEKSAND</t>
        </is>
      </c>
      <c r="H8057" t="inlineStr">
        <is>
          <t>Bergvik skog väst AB</t>
        </is>
      </c>
      <c r="I8057" t="n">
        <v>0.9</v>
      </c>
      <c r="J8057" t="n">
        <v>0</v>
      </c>
      <c r="K8057" t="n">
        <v>0</v>
      </c>
      <c r="L8057" t="n">
        <v>0</v>
      </c>
      <c r="M8057" t="n">
        <v>0</v>
      </c>
      <c r="N8057" t="n">
        <v>0</v>
      </c>
      <c r="O8057" t="n">
        <v>0</v>
      </c>
      <c r="P8057" t="n">
        <v>0</v>
      </c>
      <c r="Q8057" t="n">
        <v>0</v>
      </c>
      <c r="R8057" t="n">
        <v>0</v>
      </c>
      <c r="S8057" t="n">
        <v>0</v>
      </c>
      <c r="T8057" t="n">
        <v>0</v>
      </c>
      <c r="U8057" t="n">
        <v>0</v>
      </c>
      <c r="V8057" s="2" t="inlineStr"/>
    </row>
    <row r="8058" ht="15" customHeight="1">
      <c r="A8058" t="inlineStr">
        <is>
          <t>A 23262-2024</t>
        </is>
      </c>
      <c r="B8058" t="inlineStr">
        <is>
          <t>avverkningsanmälan</t>
        </is>
      </c>
      <c r="C8058" t="inlineStr">
        <is>
          <t>Föryngringsavverkning</t>
        </is>
      </c>
      <c r="D8058" s="1" t="n">
        <v>45453</v>
      </c>
      <c r="E8058" s="1" t="n">
        <v>46319</v>
      </c>
      <c r="F8058" t="inlineStr">
        <is>
          <t>DALARNAS LÄN</t>
        </is>
      </c>
      <c r="G8058" t="inlineStr">
        <is>
          <t>SÄTER</t>
        </is>
      </c>
      <c r="I8058" t="n">
        <v>0.9</v>
      </c>
      <c r="J8058" t="n">
        <v>0</v>
      </c>
      <c r="K8058" t="n">
        <v>0</v>
      </c>
      <c r="L8058" t="n">
        <v>0</v>
      </c>
      <c r="M8058" t="n">
        <v>0</v>
      </c>
      <c r="N8058" t="n">
        <v>0</v>
      </c>
      <c r="O8058" t="n">
        <v>0</v>
      </c>
      <c r="P8058" t="n">
        <v>0</v>
      </c>
      <c r="Q8058" t="n">
        <v>0</v>
      </c>
      <c r="R8058" t="n">
        <v>0</v>
      </c>
      <c r="S8058" t="n">
        <v>0</v>
      </c>
      <c r="T8058" t="n">
        <v>0</v>
      </c>
      <c r="U8058" t="n">
        <v>0</v>
      </c>
      <c r="V8058" s="2" t="inlineStr"/>
    </row>
    <row r="8059" ht="15" customHeight="1">
      <c r="A8059" t="inlineStr">
        <is>
          <t>A 23308-2024</t>
        </is>
      </c>
      <c r="B8059" t="inlineStr">
        <is>
          <t>avverkningsanmälan</t>
        </is>
      </c>
      <c r="C8059" t="inlineStr">
        <is>
          <t>Föryngringsavverkning</t>
        </is>
      </c>
      <c r="D8059" s="1" t="n">
        <v>45453</v>
      </c>
      <c r="E8059" s="1" t="n">
        <v>46319</v>
      </c>
      <c r="F8059" t="inlineStr">
        <is>
          <t>DALARNAS LÄN</t>
        </is>
      </c>
      <c r="G8059" t="inlineStr">
        <is>
          <t>AVESTA</t>
        </is>
      </c>
      <c r="I8059" t="n">
        <v>3.5</v>
      </c>
      <c r="J8059" t="n">
        <v>0</v>
      </c>
      <c r="K8059" t="n">
        <v>0</v>
      </c>
      <c r="L8059" t="n">
        <v>0</v>
      </c>
      <c r="M8059" t="n">
        <v>0</v>
      </c>
      <c r="N8059" t="n">
        <v>0</v>
      </c>
      <c r="O8059" t="n">
        <v>0</v>
      </c>
      <c r="P8059" t="n">
        <v>0</v>
      </c>
      <c r="Q8059" t="n">
        <v>0</v>
      </c>
      <c r="R8059" t="n">
        <v>0</v>
      </c>
      <c r="S8059" t="n">
        <v>0</v>
      </c>
      <c r="T8059" t="n">
        <v>0</v>
      </c>
      <c r="U8059" t="n">
        <v>0</v>
      </c>
      <c r="V8059" s="2" t="inlineStr"/>
    </row>
    <row r="8060" ht="15" customHeight="1">
      <c r="A8060" t="inlineStr">
        <is>
          <t>A 23323-2024</t>
        </is>
      </c>
      <c r="B8060" t="inlineStr">
        <is>
          <t>avverkningsanmälan</t>
        </is>
      </c>
      <c r="C8060" t="inlineStr">
        <is>
          <t>Föryngringsavverkning</t>
        </is>
      </c>
      <c r="D8060" s="1" t="n">
        <v>45453</v>
      </c>
      <c r="E8060" s="1" t="n">
        <v>46319</v>
      </c>
      <c r="F8060" t="inlineStr">
        <is>
          <t>DALARNAS LÄN</t>
        </is>
      </c>
      <c r="G8060" t="inlineStr">
        <is>
          <t>FALUN</t>
        </is>
      </c>
      <c r="H8060" t="inlineStr">
        <is>
          <t>Övriga statliga verk och myndigheter</t>
        </is>
      </c>
      <c r="I8060" t="n">
        <v>2.2</v>
      </c>
      <c r="J8060" t="n">
        <v>0</v>
      </c>
      <c r="K8060" t="n">
        <v>0</v>
      </c>
      <c r="L8060" t="n">
        <v>0</v>
      </c>
      <c r="M8060" t="n">
        <v>0</v>
      </c>
      <c r="N8060" t="n">
        <v>0</v>
      </c>
      <c r="O8060" t="n">
        <v>0</v>
      </c>
      <c r="P8060" t="n">
        <v>0</v>
      </c>
      <c r="Q8060" t="n">
        <v>0</v>
      </c>
      <c r="R8060" t="n">
        <v>0</v>
      </c>
      <c r="S8060" t="n">
        <v>0</v>
      </c>
      <c r="T8060" t="n">
        <v>0</v>
      </c>
      <c r="U8060" t="n">
        <v>0</v>
      </c>
      <c r="V8060" s="2" t="inlineStr"/>
    </row>
    <row r="8061" ht="15" customHeight="1">
      <c r="A8061" t="inlineStr">
        <is>
          <t>A 39484-2025</t>
        </is>
      </c>
      <c r="B8061" t="inlineStr">
        <is>
          <t>avverkningsanmälan</t>
        </is>
      </c>
      <c r="C8061" t="inlineStr">
        <is>
          <t>Föryngringsavverkning</t>
        </is>
      </c>
      <c r="D8061" s="1" t="n">
        <v>45890</v>
      </c>
      <c r="E8061" s="1" t="n">
        <v>46319</v>
      </c>
      <c r="F8061" t="inlineStr">
        <is>
          <t>DALARNAS LÄN</t>
        </is>
      </c>
      <c r="G8061" t="inlineStr">
        <is>
          <t>VANSBRO</t>
        </is>
      </c>
      <c r="H8061" t="inlineStr">
        <is>
          <t>Bergvik skog väst AB</t>
        </is>
      </c>
      <c r="I8061" t="n">
        <v>3.1</v>
      </c>
      <c r="J8061" t="n">
        <v>0</v>
      </c>
      <c r="K8061" t="n">
        <v>0</v>
      </c>
      <c r="L8061" t="n">
        <v>0</v>
      </c>
      <c r="M8061" t="n">
        <v>0</v>
      </c>
      <c r="N8061" t="n">
        <v>0</v>
      </c>
      <c r="O8061" t="n">
        <v>0</v>
      </c>
      <c r="P8061" t="n">
        <v>0</v>
      </c>
      <c r="Q8061" t="n">
        <v>0</v>
      </c>
      <c r="R8061" t="n">
        <v>0</v>
      </c>
      <c r="S8061" t="n">
        <v>0</v>
      </c>
      <c r="T8061" t="n">
        <v>0</v>
      </c>
      <c r="U8061" t="n">
        <v>0</v>
      </c>
      <c r="V8061" s="2" t="inlineStr"/>
    </row>
    <row r="8062" ht="15" customHeight="1">
      <c r="A8062" t="inlineStr">
        <is>
          <t>A 40517-2025</t>
        </is>
      </c>
      <c r="B8062" t="inlineStr">
        <is>
          <t>avverkningsanmälan</t>
        </is>
      </c>
      <c r="C8062" t="inlineStr">
        <is>
          <t>Föryngringsavverkning</t>
        </is>
      </c>
      <c r="D8062" s="1" t="n">
        <v>45896</v>
      </c>
      <c r="E8062" s="1" t="n">
        <v>46319</v>
      </c>
      <c r="F8062" t="inlineStr">
        <is>
          <t>DALARNAS LÄN</t>
        </is>
      </c>
      <c r="G8062" t="inlineStr">
        <is>
          <t>LEKSAND</t>
        </is>
      </c>
      <c r="I8062" t="n">
        <v>1.6</v>
      </c>
      <c r="J8062" t="n">
        <v>0</v>
      </c>
      <c r="K8062" t="n">
        <v>0</v>
      </c>
      <c r="L8062" t="n">
        <v>0</v>
      </c>
      <c r="M8062" t="n">
        <v>0</v>
      </c>
      <c r="N8062" t="n">
        <v>0</v>
      </c>
      <c r="O8062" t="n">
        <v>0</v>
      </c>
      <c r="P8062" t="n">
        <v>0</v>
      </c>
      <c r="Q8062" t="n">
        <v>0</v>
      </c>
      <c r="R8062" t="n">
        <v>0</v>
      </c>
      <c r="S8062" t="n">
        <v>0</v>
      </c>
      <c r="T8062" t="n">
        <v>0</v>
      </c>
      <c r="U8062" t="n">
        <v>0</v>
      </c>
      <c r="V8062" s="2" t="inlineStr"/>
    </row>
    <row r="8063" ht="15" customHeight="1">
      <c r="A8063" t="inlineStr">
        <is>
          <t>A 22430-2026</t>
        </is>
      </c>
      <c r="B8063" t="inlineStr">
        <is>
          <t>avverkningsanmälan</t>
        </is>
      </c>
      <c r="C8063" t="inlineStr">
        <is>
          <t>Föryngringsavverkning</t>
        </is>
      </c>
      <c r="D8063" s="1" t="n">
        <v>46154</v>
      </c>
      <c r="E8063" s="1" t="n">
        <v>46319</v>
      </c>
      <c r="F8063" t="inlineStr">
        <is>
          <t>DALARNAS LÄN</t>
        </is>
      </c>
      <c r="G8063" t="inlineStr">
        <is>
          <t>FALUN</t>
        </is>
      </c>
      <c r="I8063" t="n">
        <v>1.2</v>
      </c>
      <c r="J8063" t="n">
        <v>0</v>
      </c>
      <c r="K8063" t="n">
        <v>0</v>
      </c>
      <c r="L8063" t="n">
        <v>0</v>
      </c>
      <c r="M8063" t="n">
        <v>0</v>
      </c>
      <c r="N8063" t="n">
        <v>0</v>
      </c>
      <c r="O8063" t="n">
        <v>0</v>
      </c>
      <c r="P8063" t="n">
        <v>0</v>
      </c>
      <c r="Q8063" t="n">
        <v>0</v>
      </c>
      <c r="R8063" t="n">
        <v>0</v>
      </c>
      <c r="S8063" t="n">
        <v>0</v>
      </c>
      <c r="T8063" t="n">
        <v>0</v>
      </c>
      <c r="U8063" t="n">
        <v>0</v>
      </c>
      <c r="V8063" s="2" t="inlineStr"/>
    </row>
    <row r="8064" ht="15" customHeight="1">
      <c r="A8064" t="inlineStr">
        <is>
          <t>A 64088-2023</t>
        </is>
      </c>
      <c r="B8064" t="inlineStr">
        <is>
          <t>avverkningsanmälan</t>
        </is>
      </c>
      <c r="C8064" t="inlineStr">
        <is>
          <t>Föryngringsavverkning</t>
        </is>
      </c>
      <c r="D8064" s="1" t="n">
        <v>45279</v>
      </c>
      <c r="E8064" s="1" t="n">
        <v>46319</v>
      </c>
      <c r="F8064" t="inlineStr">
        <is>
          <t>DALARNAS LÄN</t>
        </is>
      </c>
      <c r="G8064" t="inlineStr">
        <is>
          <t>MORA</t>
        </is>
      </c>
      <c r="I8064" t="n">
        <v>1</v>
      </c>
      <c r="J8064" t="n">
        <v>0</v>
      </c>
      <c r="K8064" t="n">
        <v>0</v>
      </c>
      <c r="L8064" t="n">
        <v>0</v>
      </c>
      <c r="M8064" t="n">
        <v>0</v>
      </c>
      <c r="N8064" t="n">
        <v>0</v>
      </c>
      <c r="O8064" t="n">
        <v>0</v>
      </c>
      <c r="P8064" t="n">
        <v>0</v>
      </c>
      <c r="Q8064" t="n">
        <v>0</v>
      </c>
      <c r="R8064" t="n">
        <v>0</v>
      </c>
      <c r="S8064" t="n">
        <v>0</v>
      </c>
      <c r="T8064" t="n">
        <v>0</v>
      </c>
      <c r="U8064" t="n">
        <v>0</v>
      </c>
      <c r="V8064" s="2" t="inlineStr"/>
    </row>
    <row r="8065" ht="15" customHeight="1">
      <c r="A8065" t="inlineStr">
        <is>
          <t>A 22477-2026</t>
        </is>
      </c>
      <c r="B8065" t="inlineStr">
        <is>
          <t>avverkningsanmälan</t>
        </is>
      </c>
      <c r="C8065" t="inlineStr">
        <is>
          <t>Föryngringsavverkning</t>
        </is>
      </c>
      <c r="D8065" s="1" t="n">
        <v>46155</v>
      </c>
      <c r="E8065" s="1" t="n">
        <v>46319</v>
      </c>
      <c r="F8065" t="inlineStr">
        <is>
          <t>DALARNAS LÄN</t>
        </is>
      </c>
      <c r="G8065" t="inlineStr">
        <is>
          <t>FALUN</t>
        </is>
      </c>
      <c r="I8065" t="n">
        <v>2.1</v>
      </c>
      <c r="J8065" t="n">
        <v>0</v>
      </c>
      <c r="K8065" t="n">
        <v>0</v>
      </c>
      <c r="L8065" t="n">
        <v>0</v>
      </c>
      <c r="M8065" t="n">
        <v>0</v>
      </c>
      <c r="N8065" t="n">
        <v>0</v>
      </c>
      <c r="O8065" t="n">
        <v>0</v>
      </c>
      <c r="P8065" t="n">
        <v>0</v>
      </c>
      <c r="Q8065" t="n">
        <v>0</v>
      </c>
      <c r="R8065" t="n">
        <v>0</v>
      </c>
      <c r="S8065" t="n">
        <v>0</v>
      </c>
      <c r="T8065" t="n">
        <v>0</v>
      </c>
      <c r="U8065" t="n">
        <v>0</v>
      </c>
      <c r="V8065" s="2" t="inlineStr"/>
    </row>
    <row r="8066" ht="15" customHeight="1">
      <c r="A8066" t="inlineStr">
        <is>
          <t>A 6896-2026</t>
        </is>
      </c>
      <c r="B8066" t="inlineStr">
        <is>
          <t>avverkningsanmälan</t>
        </is>
      </c>
      <c r="C8066" t="inlineStr">
        <is>
          <t>Föryngringsavverkning</t>
        </is>
      </c>
      <c r="D8066" s="1" t="n">
        <v>46057</v>
      </c>
      <c r="E8066" s="1" t="n">
        <v>46319</v>
      </c>
      <c r="F8066" t="inlineStr">
        <is>
          <t>DALARNAS LÄN</t>
        </is>
      </c>
      <c r="G8066" t="inlineStr">
        <is>
          <t>BORLÄNGE</t>
        </is>
      </c>
      <c r="I8066" t="n">
        <v>14.4</v>
      </c>
      <c r="J8066" t="n">
        <v>0</v>
      </c>
      <c r="K8066" t="n">
        <v>0</v>
      </c>
      <c r="L8066" t="n">
        <v>0</v>
      </c>
      <c r="M8066" t="n">
        <v>0</v>
      </c>
      <c r="N8066" t="n">
        <v>0</v>
      </c>
      <c r="O8066" t="n">
        <v>0</v>
      </c>
      <c r="P8066" t="n">
        <v>0</v>
      </c>
      <c r="Q8066" t="n">
        <v>0</v>
      </c>
      <c r="R8066" t="n">
        <v>0</v>
      </c>
      <c r="S8066" t="n">
        <v>0</v>
      </c>
      <c r="T8066" t="n">
        <v>0</v>
      </c>
      <c r="U8066" t="n">
        <v>0</v>
      </c>
      <c r="V8066" s="2" t="inlineStr"/>
    </row>
    <row r="8067" ht="15" customHeight="1">
      <c r="A8067" t="inlineStr">
        <is>
          <t>A 55961-2024</t>
        </is>
      </c>
      <c r="B8067" t="inlineStr">
        <is>
          <t>avverkningsanmälan</t>
        </is>
      </c>
      <c r="C8067" t="inlineStr">
        <is>
          <t>Föryngringsavverkning</t>
        </is>
      </c>
      <c r="D8067" s="1" t="n">
        <v>45623</v>
      </c>
      <c r="E8067" s="1" t="n">
        <v>46319</v>
      </c>
      <c r="F8067" t="inlineStr">
        <is>
          <t>DALARNAS LÄN</t>
        </is>
      </c>
      <c r="G8067" t="inlineStr">
        <is>
          <t>LUDVIKA</t>
        </is>
      </c>
      <c r="H8067" t="inlineStr">
        <is>
          <t>Bergvik skog väst AB</t>
        </is>
      </c>
      <c r="I8067" t="n">
        <v>1</v>
      </c>
      <c r="J8067" t="n">
        <v>0</v>
      </c>
      <c r="K8067" t="n">
        <v>0</v>
      </c>
      <c r="L8067" t="n">
        <v>0</v>
      </c>
      <c r="M8067" t="n">
        <v>0</v>
      </c>
      <c r="N8067" t="n">
        <v>0</v>
      </c>
      <c r="O8067" t="n">
        <v>0</v>
      </c>
      <c r="P8067" t="n">
        <v>0</v>
      </c>
      <c r="Q8067" t="n">
        <v>0</v>
      </c>
      <c r="R8067" t="n">
        <v>0</v>
      </c>
      <c r="S8067" t="n">
        <v>0</v>
      </c>
      <c r="T8067" t="n">
        <v>0</v>
      </c>
      <c r="U8067" t="n">
        <v>0</v>
      </c>
      <c r="V8067" s="2" t="inlineStr"/>
    </row>
    <row r="8068" ht="15" customHeight="1">
      <c r="A8068" t="inlineStr">
        <is>
          <t>A 16293-2025</t>
        </is>
      </c>
      <c r="B8068" t="inlineStr">
        <is>
          <t>avverkningsanmälan</t>
        </is>
      </c>
      <c r="C8068" t="inlineStr">
        <is>
          <t>Föryngringsavverkning</t>
        </is>
      </c>
      <c r="D8068" s="1" t="n">
        <v>45751</v>
      </c>
      <c r="E8068" s="1" t="n">
        <v>46319</v>
      </c>
      <c r="F8068" t="inlineStr">
        <is>
          <t>DALARNAS LÄN</t>
        </is>
      </c>
      <c r="G8068" t="inlineStr">
        <is>
          <t>LEKSAND</t>
        </is>
      </c>
      <c r="I8068" t="n">
        <v>1.2</v>
      </c>
      <c r="J8068" t="n">
        <v>0</v>
      </c>
      <c r="K8068" t="n">
        <v>0</v>
      </c>
      <c r="L8068" t="n">
        <v>0</v>
      </c>
      <c r="M8068" t="n">
        <v>0</v>
      </c>
      <c r="N8068" t="n">
        <v>0</v>
      </c>
      <c r="O8068" t="n">
        <v>0</v>
      </c>
      <c r="P8068" t="n">
        <v>0</v>
      </c>
      <c r="Q8068" t="n">
        <v>0</v>
      </c>
      <c r="R8068" t="n">
        <v>0</v>
      </c>
      <c r="S8068" t="n">
        <v>0</v>
      </c>
      <c r="T8068" t="n">
        <v>0</v>
      </c>
      <c r="U8068" t="n">
        <v>0</v>
      </c>
      <c r="V8068" s="2" t="inlineStr"/>
    </row>
    <row r="8069" ht="15" customHeight="1">
      <c r="A8069" t="inlineStr">
        <is>
          <t>A 3170-2025</t>
        </is>
      </c>
      <c r="B8069" t="inlineStr">
        <is>
          <t>avverkningsanmälan</t>
        </is>
      </c>
      <c r="C8069" t="inlineStr">
        <is>
          <t>Föryngringsavverkning</t>
        </is>
      </c>
      <c r="D8069" s="1" t="n">
        <v>45679</v>
      </c>
      <c r="E8069" s="1" t="n">
        <v>46319</v>
      </c>
      <c r="F8069" t="inlineStr">
        <is>
          <t>DALARNAS LÄN</t>
        </is>
      </c>
      <c r="G8069" t="inlineStr">
        <is>
          <t>LUDVIKA</t>
        </is>
      </c>
      <c r="I8069" t="n">
        <v>5.4</v>
      </c>
      <c r="J8069" t="n">
        <v>0</v>
      </c>
      <c r="K8069" t="n">
        <v>0</v>
      </c>
      <c r="L8069" t="n">
        <v>0</v>
      </c>
      <c r="M8069" t="n">
        <v>0</v>
      </c>
      <c r="N8069" t="n">
        <v>0</v>
      </c>
      <c r="O8069" t="n">
        <v>0</v>
      </c>
      <c r="P8069" t="n">
        <v>0</v>
      </c>
      <c r="Q8069" t="n">
        <v>0</v>
      </c>
      <c r="R8069" t="n">
        <v>0</v>
      </c>
      <c r="S8069" t="n">
        <v>0</v>
      </c>
      <c r="T8069" t="n">
        <v>0</v>
      </c>
      <c r="U8069" t="n">
        <v>0</v>
      </c>
      <c r="V8069" s="2" t="inlineStr"/>
    </row>
    <row r="8070" ht="15" customHeight="1">
      <c r="A8070" t="inlineStr">
        <is>
          <t>A 22624-2026</t>
        </is>
      </c>
      <c r="B8070" t="inlineStr">
        <is>
          <t>avverkningsanmälan</t>
        </is>
      </c>
      <c r="C8070" t="inlineStr">
        <is>
          <t>Föryngringsavverkning</t>
        </is>
      </c>
      <c r="D8070" s="1" t="n">
        <v>46155</v>
      </c>
      <c r="E8070" s="1" t="n">
        <v>46319</v>
      </c>
      <c r="F8070" t="inlineStr">
        <is>
          <t>DALARNAS LÄN</t>
        </is>
      </c>
      <c r="G8070" t="inlineStr">
        <is>
          <t>FALUN</t>
        </is>
      </c>
      <c r="I8070" t="n">
        <v>1.1</v>
      </c>
      <c r="J8070" t="n">
        <v>0</v>
      </c>
      <c r="K8070" t="n">
        <v>0</v>
      </c>
      <c r="L8070" t="n">
        <v>0</v>
      </c>
      <c r="M8070" t="n">
        <v>0</v>
      </c>
      <c r="N8070" t="n">
        <v>0</v>
      </c>
      <c r="O8070" t="n">
        <v>0</v>
      </c>
      <c r="P8070" t="n">
        <v>0</v>
      </c>
      <c r="Q8070" t="n">
        <v>0</v>
      </c>
      <c r="R8070" t="n">
        <v>0</v>
      </c>
      <c r="S8070" t="n">
        <v>0</v>
      </c>
      <c r="T8070" t="n">
        <v>0</v>
      </c>
      <c r="U8070" t="n">
        <v>0</v>
      </c>
      <c r="V8070" s="2" t="inlineStr"/>
    </row>
    <row r="8071" ht="15" customHeight="1">
      <c r="A8071" t="inlineStr">
        <is>
          <t>A 3728-2026</t>
        </is>
      </c>
      <c r="B8071" t="inlineStr">
        <is>
          <t>avverkningsanmälan</t>
        </is>
      </c>
      <c r="C8071" t="inlineStr">
        <is>
          <t>Föryngringsavverkning</t>
        </is>
      </c>
      <c r="D8071" s="1" t="n">
        <v>46043</v>
      </c>
      <c r="E8071" s="1" t="n">
        <v>46319</v>
      </c>
      <c r="F8071" t="inlineStr">
        <is>
          <t>DALARNAS LÄN</t>
        </is>
      </c>
      <c r="G8071" t="inlineStr">
        <is>
          <t>LEKSAND</t>
        </is>
      </c>
      <c r="I8071" t="n">
        <v>7</v>
      </c>
      <c r="J8071" t="n">
        <v>0</v>
      </c>
      <c r="K8071" t="n">
        <v>0</v>
      </c>
      <c r="L8071" t="n">
        <v>0</v>
      </c>
      <c r="M8071" t="n">
        <v>0</v>
      </c>
      <c r="N8071" t="n">
        <v>0</v>
      </c>
      <c r="O8071" t="n">
        <v>0</v>
      </c>
      <c r="P8071" t="n">
        <v>0</v>
      </c>
      <c r="Q8071" t="n">
        <v>0</v>
      </c>
      <c r="R8071" t="n">
        <v>0</v>
      </c>
      <c r="S8071" t="n">
        <v>0</v>
      </c>
      <c r="T8071" t="n">
        <v>0</v>
      </c>
      <c r="U8071" t="n">
        <v>0</v>
      </c>
      <c r="V8071" s="2" t="inlineStr"/>
    </row>
    <row r="8072" ht="15" customHeight="1">
      <c r="A8072" t="inlineStr">
        <is>
          <t>A 63312-2023</t>
        </is>
      </c>
      <c r="B8072" t="inlineStr">
        <is>
          <t>avverkningsanmälan</t>
        </is>
      </c>
      <c r="C8072" t="inlineStr">
        <is>
          <t>Föryngringsavverkning</t>
        </is>
      </c>
      <c r="D8072" s="1" t="n">
        <v>45274</v>
      </c>
      <c r="E8072" s="1" t="n">
        <v>46319</v>
      </c>
      <c r="F8072" t="inlineStr">
        <is>
          <t>DALARNAS LÄN</t>
        </is>
      </c>
      <c r="G8072" t="inlineStr">
        <is>
          <t>FALUN</t>
        </is>
      </c>
      <c r="I8072" t="n">
        <v>16.2</v>
      </c>
      <c r="J8072" t="n">
        <v>0</v>
      </c>
      <c r="K8072" t="n">
        <v>0</v>
      </c>
      <c r="L8072" t="n">
        <v>0</v>
      </c>
      <c r="M8072" t="n">
        <v>0</v>
      </c>
      <c r="N8072" t="n">
        <v>0</v>
      </c>
      <c r="O8072" t="n">
        <v>0</v>
      </c>
      <c r="P8072" t="n">
        <v>0</v>
      </c>
      <c r="Q8072" t="n">
        <v>0</v>
      </c>
      <c r="R8072" t="n">
        <v>0</v>
      </c>
      <c r="S8072" t="n">
        <v>0</v>
      </c>
      <c r="T8072" t="n">
        <v>0</v>
      </c>
      <c r="U8072" t="n">
        <v>0</v>
      </c>
      <c r="V8072" s="2" t="inlineStr"/>
    </row>
    <row r="8073" ht="15" customHeight="1">
      <c r="A8073" t="inlineStr">
        <is>
          <t>A 14903-2026</t>
        </is>
      </c>
      <c r="B8073" t="inlineStr">
        <is>
          <t>avverkningsanmälan</t>
        </is>
      </c>
      <c r="C8073" t="inlineStr">
        <is>
          <t>Föryngringsavverkning</t>
        </is>
      </c>
      <c r="D8073" s="1" t="n">
        <v>46104</v>
      </c>
      <c r="E8073" s="1" t="n">
        <v>46319</v>
      </c>
      <c r="F8073" t="inlineStr">
        <is>
          <t>DALARNAS LÄN</t>
        </is>
      </c>
      <c r="G8073" t="inlineStr">
        <is>
          <t>RÄTTVIK</t>
        </is>
      </c>
      <c r="I8073" t="n">
        <v>1.3</v>
      </c>
      <c r="J8073" t="n">
        <v>0</v>
      </c>
      <c r="K8073" t="n">
        <v>0</v>
      </c>
      <c r="L8073" t="n">
        <v>0</v>
      </c>
      <c r="M8073" t="n">
        <v>0</v>
      </c>
      <c r="N8073" t="n">
        <v>0</v>
      </c>
      <c r="O8073" t="n">
        <v>0</v>
      </c>
      <c r="P8073" t="n">
        <v>0</v>
      </c>
      <c r="Q8073" t="n">
        <v>0</v>
      </c>
      <c r="R8073" t="n">
        <v>0</v>
      </c>
      <c r="S8073" t="n">
        <v>0</v>
      </c>
      <c r="T8073" t="n">
        <v>0</v>
      </c>
      <c r="U8073" t="n">
        <v>0</v>
      </c>
      <c r="V8073" s="2" t="inlineStr"/>
    </row>
    <row r="8074" ht="15" customHeight="1">
      <c r="A8074" t="inlineStr">
        <is>
          <t>A 22715-2026</t>
        </is>
      </c>
      <c r="B8074" t="inlineStr">
        <is>
          <t>avverkningsanmälan</t>
        </is>
      </c>
      <c r="C8074" t="inlineStr">
        <is>
          <t>Föryngringsavverkning</t>
        </is>
      </c>
      <c r="D8074" s="1" t="n">
        <v>46156</v>
      </c>
      <c r="E8074" s="1" t="n">
        <v>46319</v>
      </c>
      <c r="F8074" t="inlineStr">
        <is>
          <t>DALARNAS LÄN</t>
        </is>
      </c>
      <c r="G8074" t="inlineStr">
        <is>
          <t>FALUN</t>
        </is>
      </c>
      <c r="H8074" t="inlineStr">
        <is>
          <t>Bergvik skog väst AB</t>
        </is>
      </c>
      <c r="I8074" t="n">
        <v>1.1</v>
      </c>
      <c r="J8074" t="n">
        <v>0</v>
      </c>
      <c r="K8074" t="n">
        <v>0</v>
      </c>
      <c r="L8074" t="n">
        <v>0</v>
      </c>
      <c r="M8074" t="n">
        <v>0</v>
      </c>
      <c r="N8074" t="n">
        <v>0</v>
      </c>
      <c r="O8074" t="n">
        <v>0</v>
      </c>
      <c r="P8074" t="n">
        <v>0</v>
      </c>
      <c r="Q8074" t="n">
        <v>0</v>
      </c>
      <c r="R8074" t="n">
        <v>0</v>
      </c>
      <c r="S8074" t="n">
        <v>0</v>
      </c>
      <c r="T8074" t="n">
        <v>0</v>
      </c>
      <c r="U8074" t="n">
        <v>0</v>
      </c>
      <c r="V8074" s="2" t="inlineStr"/>
    </row>
    <row r="8075" ht="15" customHeight="1">
      <c r="A8075" t="inlineStr">
        <is>
          <t>A 41324-2024</t>
        </is>
      </c>
      <c r="B8075" t="inlineStr">
        <is>
          <t>avverkningsanmälan</t>
        </is>
      </c>
      <c r="C8075" t="inlineStr">
        <is>
          <t>Föryngringsavverkning</t>
        </is>
      </c>
      <c r="D8075" s="1" t="n">
        <v>45559</v>
      </c>
      <c r="E8075" s="1" t="n">
        <v>46319</v>
      </c>
      <c r="F8075" t="inlineStr">
        <is>
          <t>DALARNAS LÄN</t>
        </is>
      </c>
      <c r="G8075" t="inlineStr">
        <is>
          <t>MALUNG-SÄLEN</t>
        </is>
      </c>
      <c r="I8075" t="n">
        <v>2.7</v>
      </c>
      <c r="J8075" t="n">
        <v>0</v>
      </c>
      <c r="K8075" t="n">
        <v>0</v>
      </c>
      <c r="L8075" t="n">
        <v>0</v>
      </c>
      <c r="M8075" t="n">
        <v>0</v>
      </c>
      <c r="N8075" t="n">
        <v>0</v>
      </c>
      <c r="O8075" t="n">
        <v>0</v>
      </c>
      <c r="P8075" t="n">
        <v>0</v>
      </c>
      <c r="Q8075" t="n">
        <v>0</v>
      </c>
      <c r="R8075" t="n">
        <v>0</v>
      </c>
      <c r="S8075" t="n">
        <v>0</v>
      </c>
      <c r="T8075" t="n">
        <v>0</v>
      </c>
      <c r="U8075" t="n">
        <v>0</v>
      </c>
      <c r="V8075" s="2" t="inlineStr"/>
    </row>
    <row r="8076" ht="15" customHeight="1">
      <c r="A8076" t="inlineStr">
        <is>
          <t>A 15243-2026</t>
        </is>
      </c>
      <c r="B8076" t="inlineStr">
        <is>
          <t>avverkningsanmälan</t>
        </is>
      </c>
      <c r="C8076" t="inlineStr">
        <is>
          <t>Föryngringsavverkning</t>
        </is>
      </c>
      <c r="D8076" s="1" t="n">
        <v>46105</v>
      </c>
      <c r="E8076" s="1" t="n">
        <v>46319</v>
      </c>
      <c r="F8076" t="inlineStr">
        <is>
          <t>DALARNAS LÄN</t>
        </is>
      </c>
      <c r="G8076" t="inlineStr">
        <is>
          <t>RÄTTVIK</t>
        </is>
      </c>
      <c r="H8076" t="inlineStr">
        <is>
          <t>Bergvik skog väst AB</t>
        </is>
      </c>
      <c r="I8076" t="n">
        <v>1.1</v>
      </c>
      <c r="J8076" t="n">
        <v>0</v>
      </c>
      <c r="K8076" t="n">
        <v>0</v>
      </c>
      <c r="L8076" t="n">
        <v>0</v>
      </c>
      <c r="M8076" t="n">
        <v>0</v>
      </c>
      <c r="N8076" t="n">
        <v>0</v>
      </c>
      <c r="O8076" t="n">
        <v>0</v>
      </c>
      <c r="P8076" t="n">
        <v>0</v>
      </c>
      <c r="Q8076" t="n">
        <v>0</v>
      </c>
      <c r="R8076" t="n">
        <v>0</v>
      </c>
      <c r="S8076" t="n">
        <v>0</v>
      </c>
      <c r="T8076" t="n">
        <v>0</v>
      </c>
      <c r="U8076" t="n">
        <v>0</v>
      </c>
      <c r="V8076" s="2" t="inlineStr"/>
    </row>
    <row r="8077" ht="15" customHeight="1">
      <c r="A8077" t="inlineStr">
        <is>
          <t>A 22699-2026</t>
        </is>
      </c>
      <c r="B8077" t="inlineStr">
        <is>
          <t>avverkningsanmälan</t>
        </is>
      </c>
      <c r="C8077" t="inlineStr">
        <is>
          <t>Föryngringsavverkning</t>
        </is>
      </c>
      <c r="D8077" s="1" t="n">
        <v>46156</v>
      </c>
      <c r="E8077" s="1" t="n">
        <v>46319</v>
      </c>
      <c r="F8077" t="inlineStr">
        <is>
          <t>DALARNAS LÄN</t>
        </is>
      </c>
      <c r="G8077" t="inlineStr">
        <is>
          <t>LEKSAND</t>
        </is>
      </c>
      <c r="I8077" t="n">
        <v>4</v>
      </c>
      <c r="J8077" t="n">
        <v>0</v>
      </c>
      <c r="K8077" t="n">
        <v>0</v>
      </c>
      <c r="L8077" t="n">
        <v>0</v>
      </c>
      <c r="M8077" t="n">
        <v>0</v>
      </c>
      <c r="N8077" t="n">
        <v>0</v>
      </c>
      <c r="O8077" t="n">
        <v>0</v>
      </c>
      <c r="P8077" t="n">
        <v>0</v>
      </c>
      <c r="Q8077" t="n">
        <v>0</v>
      </c>
      <c r="R8077" t="n">
        <v>0</v>
      </c>
      <c r="S8077" t="n">
        <v>0</v>
      </c>
      <c r="T8077" t="n">
        <v>0</v>
      </c>
      <c r="U8077" t="n">
        <v>0</v>
      </c>
      <c r="V8077" s="2" t="inlineStr"/>
    </row>
    <row r="8078" ht="15" customHeight="1">
      <c r="A8078" t="inlineStr">
        <is>
          <t>A 51860-2024</t>
        </is>
      </c>
      <c r="B8078" t="inlineStr">
        <is>
          <t>avverkningsanmälan</t>
        </is>
      </c>
      <c r="C8078" t="inlineStr">
        <is>
          <t>Föryngringsavverkning</t>
        </is>
      </c>
      <c r="D8078" s="1" t="n">
        <v>45607</v>
      </c>
      <c r="E8078" s="1" t="n">
        <v>46319</v>
      </c>
      <c r="F8078" t="inlineStr">
        <is>
          <t>DALARNAS LÄN</t>
        </is>
      </c>
      <c r="G8078" t="inlineStr">
        <is>
          <t>LEKSAND</t>
        </is>
      </c>
      <c r="H8078" t="inlineStr">
        <is>
          <t>Bergvik skog väst AB</t>
        </is>
      </c>
      <c r="I8078" t="n">
        <v>3.4</v>
      </c>
      <c r="J8078" t="n">
        <v>0</v>
      </c>
      <c r="K8078" t="n">
        <v>0</v>
      </c>
      <c r="L8078" t="n">
        <v>0</v>
      </c>
      <c r="M8078" t="n">
        <v>0</v>
      </c>
      <c r="N8078" t="n">
        <v>0</v>
      </c>
      <c r="O8078" t="n">
        <v>0</v>
      </c>
      <c r="P8078" t="n">
        <v>0</v>
      </c>
      <c r="Q8078" t="n">
        <v>0</v>
      </c>
      <c r="R8078" t="n">
        <v>0</v>
      </c>
      <c r="S8078" t="n">
        <v>0</v>
      </c>
      <c r="T8078" t="n">
        <v>0</v>
      </c>
      <c r="U8078" t="n">
        <v>0</v>
      </c>
      <c r="V8078" s="2" t="inlineStr"/>
    </row>
    <row r="8079" ht="15" customHeight="1">
      <c r="A8079" t="inlineStr">
        <is>
          <t>A 22582-2026</t>
        </is>
      </c>
      <c r="B8079" t="inlineStr">
        <is>
          <t>avverkningsanmälan</t>
        </is>
      </c>
      <c r="C8079" t="inlineStr">
        <is>
          <t>Föryngringsavverkning</t>
        </is>
      </c>
      <c r="D8079" s="1" t="n">
        <v>46155</v>
      </c>
      <c r="E8079" s="1" t="n">
        <v>46319</v>
      </c>
      <c r="F8079" t="inlineStr">
        <is>
          <t>DALARNAS LÄN</t>
        </is>
      </c>
      <c r="G8079" t="inlineStr">
        <is>
          <t>LEKSAND</t>
        </is>
      </c>
      <c r="H8079" t="inlineStr">
        <is>
          <t>Bergvik skog väst AB</t>
        </is>
      </c>
      <c r="I8079" t="n">
        <v>1.4</v>
      </c>
      <c r="J8079" t="n">
        <v>0</v>
      </c>
      <c r="K8079" t="n">
        <v>0</v>
      </c>
      <c r="L8079" t="n">
        <v>0</v>
      </c>
      <c r="M8079" t="n">
        <v>0</v>
      </c>
      <c r="N8079" t="n">
        <v>0</v>
      </c>
      <c r="O8079" t="n">
        <v>0</v>
      </c>
      <c r="P8079" t="n">
        <v>0</v>
      </c>
      <c r="Q8079" t="n">
        <v>0</v>
      </c>
      <c r="R8079" t="n">
        <v>0</v>
      </c>
      <c r="S8079" t="n">
        <v>0</v>
      </c>
      <c r="T8079" t="n">
        <v>0</v>
      </c>
      <c r="U8079" t="n">
        <v>0</v>
      </c>
      <c r="V8079" s="2" t="inlineStr"/>
    </row>
    <row r="8080" ht="15" customHeight="1">
      <c r="A8080" t="inlineStr">
        <is>
          <t>A 2469-2026</t>
        </is>
      </c>
      <c r="B8080" t="inlineStr">
        <is>
          <t>avverkningsanmälan</t>
        </is>
      </c>
      <c r="C8080" t="inlineStr">
        <is>
          <t>Föryngringsavverkning</t>
        </is>
      </c>
      <c r="D8080" s="1" t="n">
        <v>46037</v>
      </c>
      <c r="E8080" s="1" t="n">
        <v>46319</v>
      </c>
      <c r="F8080" t="inlineStr">
        <is>
          <t>DALARNAS LÄN</t>
        </is>
      </c>
      <c r="G8080" t="inlineStr">
        <is>
          <t>BORLÄNGE</t>
        </is>
      </c>
      <c r="I8080" t="n">
        <v>3.6</v>
      </c>
      <c r="J8080" t="n">
        <v>0</v>
      </c>
      <c r="K8080" t="n">
        <v>0</v>
      </c>
      <c r="L8080" t="n">
        <v>0</v>
      </c>
      <c r="M8080" t="n">
        <v>0</v>
      </c>
      <c r="N8080" t="n">
        <v>0</v>
      </c>
      <c r="O8080" t="n">
        <v>0</v>
      </c>
      <c r="P8080" t="n">
        <v>0</v>
      </c>
      <c r="Q8080" t="n">
        <v>0</v>
      </c>
      <c r="R8080" t="n">
        <v>0</v>
      </c>
      <c r="S8080" t="n">
        <v>0</v>
      </c>
      <c r="T8080" t="n">
        <v>0</v>
      </c>
      <c r="U8080" t="n">
        <v>0</v>
      </c>
      <c r="V8080" s="2" t="inlineStr"/>
    </row>
    <row r="8081" ht="15" customHeight="1">
      <c r="A8081" t="inlineStr">
        <is>
          <t>A 23568-2025</t>
        </is>
      </c>
      <c r="B8081" t="inlineStr">
        <is>
          <t>avverkningsanmälan</t>
        </is>
      </c>
      <c r="C8081" t="inlineStr">
        <is>
          <t>Föryngringsavverkning</t>
        </is>
      </c>
      <c r="D8081" s="1" t="n">
        <v>45792</v>
      </c>
      <c r="E8081" s="1" t="n">
        <v>46319</v>
      </c>
      <c r="F8081" t="inlineStr">
        <is>
          <t>DALARNAS LÄN</t>
        </is>
      </c>
      <c r="G8081" t="inlineStr">
        <is>
          <t>AVESTA</t>
        </is>
      </c>
      <c r="I8081" t="n">
        <v>3</v>
      </c>
      <c r="J8081" t="n">
        <v>0</v>
      </c>
      <c r="K8081" t="n">
        <v>0</v>
      </c>
      <c r="L8081" t="n">
        <v>0</v>
      </c>
      <c r="M8081" t="n">
        <v>0</v>
      </c>
      <c r="N8081" t="n">
        <v>0</v>
      </c>
      <c r="O8081" t="n">
        <v>0</v>
      </c>
      <c r="P8081" t="n">
        <v>0</v>
      </c>
      <c r="Q8081" t="n">
        <v>0</v>
      </c>
      <c r="R8081" t="n">
        <v>0</v>
      </c>
      <c r="S8081" t="n">
        <v>0</v>
      </c>
      <c r="T8081" t="n">
        <v>0</v>
      </c>
      <c r="U8081" t="n">
        <v>0</v>
      </c>
      <c r="V8081" s="2" t="inlineStr"/>
    </row>
    <row r="8082" ht="15" customHeight="1">
      <c r="A8082" t="inlineStr">
        <is>
          <t>A 43351-2022</t>
        </is>
      </c>
      <c r="B8082" t="inlineStr">
        <is>
          <t>avverkningsanmälan</t>
        </is>
      </c>
      <c r="C8082" t="inlineStr">
        <is>
          <t>Föryngringsavverkning</t>
        </is>
      </c>
      <c r="D8082" s="1" t="n">
        <v>44834</v>
      </c>
      <c r="E8082" s="1" t="n">
        <v>46319</v>
      </c>
      <c r="F8082" t="inlineStr">
        <is>
          <t>DALARNAS LÄN</t>
        </is>
      </c>
      <c r="G8082" t="inlineStr">
        <is>
          <t>SMEDJEBACKEN</t>
        </is>
      </c>
      <c r="H8082" t="inlineStr">
        <is>
          <t>Sveaskog</t>
        </is>
      </c>
      <c r="I8082" t="n">
        <v>1.2</v>
      </c>
      <c r="J8082" t="n">
        <v>0</v>
      </c>
      <c r="K8082" t="n">
        <v>0</v>
      </c>
      <c r="L8082" t="n">
        <v>0</v>
      </c>
      <c r="M8082" t="n">
        <v>0</v>
      </c>
      <c r="N8082" t="n">
        <v>0</v>
      </c>
      <c r="O8082" t="n">
        <v>0</v>
      </c>
      <c r="P8082" t="n">
        <v>0</v>
      </c>
      <c r="Q8082" t="n">
        <v>0</v>
      </c>
      <c r="R8082" t="n">
        <v>0</v>
      </c>
      <c r="S8082" t="n">
        <v>0</v>
      </c>
      <c r="T8082" t="n">
        <v>0</v>
      </c>
      <c r="U8082" t="n">
        <v>0</v>
      </c>
      <c r="V8082" s="2" t="inlineStr"/>
    </row>
    <row r="8083" ht="15" customHeight="1">
      <c r="A8083" t="inlineStr">
        <is>
          <t>A 16876-2025</t>
        </is>
      </c>
      <c r="B8083" t="inlineStr">
        <is>
          <t>avverkningsanmälan</t>
        </is>
      </c>
      <c r="C8083" t="inlineStr">
        <is>
          <t>Föryngringsavverkning</t>
        </is>
      </c>
      <c r="D8083" s="1" t="n">
        <v>45755</v>
      </c>
      <c r="E8083" s="1" t="n">
        <v>46319</v>
      </c>
      <c r="F8083" t="inlineStr">
        <is>
          <t>DALARNAS LÄN</t>
        </is>
      </c>
      <c r="G8083" t="inlineStr">
        <is>
          <t>RÄTTVIK</t>
        </is>
      </c>
      <c r="I8083" t="n">
        <v>1.2</v>
      </c>
      <c r="J8083" t="n">
        <v>0</v>
      </c>
      <c r="K8083" t="n">
        <v>0</v>
      </c>
      <c r="L8083" t="n">
        <v>0</v>
      </c>
      <c r="M8083" t="n">
        <v>0</v>
      </c>
      <c r="N8083" t="n">
        <v>0</v>
      </c>
      <c r="O8083" t="n">
        <v>0</v>
      </c>
      <c r="P8083" t="n">
        <v>0</v>
      </c>
      <c r="Q8083" t="n">
        <v>0</v>
      </c>
      <c r="R8083" t="n">
        <v>0</v>
      </c>
      <c r="S8083" t="n">
        <v>0</v>
      </c>
      <c r="T8083" t="n">
        <v>0</v>
      </c>
      <c r="U8083" t="n">
        <v>0</v>
      </c>
      <c r="V8083" s="2" t="inlineStr"/>
    </row>
    <row r="8084" ht="15" customHeight="1">
      <c r="A8084" t="inlineStr">
        <is>
          <t>A 9937-2024</t>
        </is>
      </c>
      <c r="B8084" t="inlineStr">
        <is>
          <t>avverkningsanmälan</t>
        </is>
      </c>
      <c r="C8084" t="inlineStr">
        <is>
          <t>Föryngringsavverkning</t>
        </is>
      </c>
      <c r="D8084" s="1" t="n">
        <v>45363</v>
      </c>
      <c r="E8084" s="1" t="n">
        <v>46319</v>
      </c>
      <c r="F8084" t="inlineStr">
        <is>
          <t>DALARNAS LÄN</t>
        </is>
      </c>
      <c r="G8084" t="inlineStr">
        <is>
          <t>RÄTTVIK</t>
        </is>
      </c>
      <c r="I8084" t="n">
        <v>5.9</v>
      </c>
      <c r="J8084" t="n">
        <v>0</v>
      </c>
      <c r="K8084" t="n">
        <v>0</v>
      </c>
      <c r="L8084" t="n">
        <v>0</v>
      </c>
      <c r="M8084" t="n">
        <v>0</v>
      </c>
      <c r="N8084" t="n">
        <v>0</v>
      </c>
      <c r="O8084" t="n">
        <v>0</v>
      </c>
      <c r="P8084" t="n">
        <v>0</v>
      </c>
      <c r="Q8084" t="n">
        <v>0</v>
      </c>
      <c r="R8084" t="n">
        <v>0</v>
      </c>
      <c r="S8084" t="n">
        <v>0</v>
      </c>
      <c r="T8084" t="n">
        <v>0</v>
      </c>
      <c r="U8084" t="n">
        <v>0</v>
      </c>
      <c r="V8084" s="2" t="inlineStr"/>
    </row>
    <row r="8085" ht="15" customHeight="1">
      <c r="A8085" t="inlineStr">
        <is>
          <t>A 17132-2026</t>
        </is>
      </c>
      <c r="B8085" t="inlineStr">
        <is>
          <t>avverkningsanmälan</t>
        </is>
      </c>
      <c r="C8085" t="inlineStr">
        <is>
          <t>Föryngringsavverkning</t>
        </is>
      </c>
      <c r="D8085" s="1" t="n">
        <v>46114</v>
      </c>
      <c r="E8085" s="1" t="n">
        <v>46319</v>
      </c>
      <c r="F8085" t="inlineStr">
        <is>
          <t>DALARNAS LÄN</t>
        </is>
      </c>
      <c r="G8085" t="inlineStr">
        <is>
          <t>FALUN</t>
        </is>
      </c>
      <c r="I8085" t="n">
        <v>20.1</v>
      </c>
      <c r="J8085" t="n">
        <v>0</v>
      </c>
      <c r="K8085" t="n">
        <v>0</v>
      </c>
      <c r="L8085" t="n">
        <v>0</v>
      </c>
      <c r="M8085" t="n">
        <v>0</v>
      </c>
      <c r="N8085" t="n">
        <v>0</v>
      </c>
      <c r="O8085" t="n">
        <v>0</v>
      </c>
      <c r="P8085" t="n">
        <v>0</v>
      </c>
      <c r="Q8085" t="n">
        <v>0</v>
      </c>
      <c r="R8085" t="n">
        <v>0</v>
      </c>
      <c r="S8085" t="n">
        <v>0</v>
      </c>
      <c r="T8085" t="n">
        <v>0</v>
      </c>
      <c r="U8085" t="n">
        <v>0</v>
      </c>
      <c r="V8085" s="2" t="inlineStr"/>
    </row>
    <row r="8086" ht="15" customHeight="1">
      <c r="A8086" t="inlineStr">
        <is>
          <t>A 17213-2026</t>
        </is>
      </c>
      <c r="B8086" t="inlineStr">
        <is>
          <t>avverkningsanmälan</t>
        </is>
      </c>
      <c r="C8086" t="inlineStr">
        <is>
          <t>Föryngringsavverkning</t>
        </is>
      </c>
      <c r="D8086" s="1" t="n">
        <v>46119</v>
      </c>
      <c r="E8086" s="1" t="n">
        <v>46319</v>
      </c>
      <c r="F8086" t="inlineStr">
        <is>
          <t>DALARNAS LÄN</t>
        </is>
      </c>
      <c r="G8086" t="inlineStr">
        <is>
          <t>FALUN</t>
        </is>
      </c>
      <c r="I8086" t="n">
        <v>4.9</v>
      </c>
      <c r="J8086" t="n">
        <v>0</v>
      </c>
      <c r="K8086" t="n">
        <v>0</v>
      </c>
      <c r="L8086" t="n">
        <v>0</v>
      </c>
      <c r="M8086" t="n">
        <v>0</v>
      </c>
      <c r="N8086" t="n">
        <v>0</v>
      </c>
      <c r="O8086" t="n">
        <v>0</v>
      </c>
      <c r="P8086" t="n">
        <v>0</v>
      </c>
      <c r="Q8086" t="n">
        <v>0</v>
      </c>
      <c r="R8086" t="n">
        <v>0</v>
      </c>
      <c r="S8086" t="n">
        <v>0</v>
      </c>
      <c r="T8086" t="n">
        <v>0</v>
      </c>
      <c r="U8086" t="n">
        <v>0</v>
      </c>
      <c r="V8086" s="2" t="inlineStr"/>
    </row>
    <row r="8087" ht="15" customHeight="1">
      <c r="A8087" t="inlineStr">
        <is>
          <t>A 22614-2026</t>
        </is>
      </c>
      <c r="B8087" t="inlineStr">
        <is>
          <t>avverkningsanmälan</t>
        </is>
      </c>
      <c r="C8087" t="inlineStr">
        <is>
          <t>Föryngringsavverkning</t>
        </is>
      </c>
      <c r="D8087" s="1" t="n">
        <v>46155</v>
      </c>
      <c r="E8087" s="1" t="n">
        <v>46319</v>
      </c>
      <c r="F8087" t="inlineStr">
        <is>
          <t>DALARNAS LÄN</t>
        </is>
      </c>
      <c r="G8087" t="inlineStr">
        <is>
          <t>FALUN</t>
        </is>
      </c>
      <c r="I8087" t="n">
        <v>4.1</v>
      </c>
      <c r="J8087" t="n">
        <v>0</v>
      </c>
      <c r="K8087" t="n">
        <v>0</v>
      </c>
      <c r="L8087" t="n">
        <v>0</v>
      </c>
      <c r="M8087" t="n">
        <v>0</v>
      </c>
      <c r="N8087" t="n">
        <v>0</v>
      </c>
      <c r="O8087" t="n">
        <v>0</v>
      </c>
      <c r="P8087" t="n">
        <v>0</v>
      </c>
      <c r="Q8087" t="n">
        <v>0</v>
      </c>
      <c r="R8087" t="n">
        <v>0</v>
      </c>
      <c r="S8087" t="n">
        <v>0</v>
      </c>
      <c r="T8087" t="n">
        <v>0</v>
      </c>
      <c r="U8087" t="n">
        <v>0</v>
      </c>
      <c r="V8087" s="2" t="inlineStr"/>
    </row>
    <row r="8088" ht="15" customHeight="1">
      <c r="A8088" t="inlineStr">
        <is>
          <t>A 22617-2026</t>
        </is>
      </c>
      <c r="B8088" t="inlineStr">
        <is>
          <t>avverkningsanmälan</t>
        </is>
      </c>
      <c r="C8088" t="inlineStr">
        <is>
          <t>Föryngringsavverkning</t>
        </is>
      </c>
      <c r="D8088" s="1" t="n">
        <v>46155</v>
      </c>
      <c r="E8088" s="1" t="n">
        <v>46319</v>
      </c>
      <c r="F8088" t="inlineStr">
        <is>
          <t>DALARNAS LÄN</t>
        </is>
      </c>
      <c r="G8088" t="inlineStr">
        <is>
          <t>FALUN</t>
        </is>
      </c>
      <c r="I8088" t="n">
        <v>3.9</v>
      </c>
      <c r="J8088" t="n">
        <v>0</v>
      </c>
      <c r="K8088" t="n">
        <v>0</v>
      </c>
      <c r="L8088" t="n">
        <v>0</v>
      </c>
      <c r="M8088" t="n">
        <v>0</v>
      </c>
      <c r="N8088" t="n">
        <v>0</v>
      </c>
      <c r="O8088" t="n">
        <v>0</v>
      </c>
      <c r="P8088" t="n">
        <v>0</v>
      </c>
      <c r="Q8088" t="n">
        <v>0</v>
      </c>
      <c r="R8088" t="n">
        <v>0</v>
      </c>
      <c r="S8088" t="n">
        <v>0</v>
      </c>
      <c r="T8088" t="n">
        <v>0</v>
      </c>
      <c r="U8088" t="n">
        <v>0</v>
      </c>
      <c r="V8088" s="2" t="inlineStr"/>
    </row>
    <row r="8089" ht="15" customHeight="1">
      <c r="A8089" t="inlineStr">
        <is>
          <t>A 22622-2026</t>
        </is>
      </c>
      <c r="B8089" t="inlineStr">
        <is>
          <t>avverkningsanmälan</t>
        </is>
      </c>
      <c r="C8089" t="inlineStr">
        <is>
          <t>Föryngringsavverkning</t>
        </is>
      </c>
      <c r="D8089" s="1" t="n">
        <v>46155</v>
      </c>
      <c r="E8089" s="1" t="n">
        <v>46319</v>
      </c>
      <c r="F8089" t="inlineStr">
        <is>
          <t>DALARNAS LÄN</t>
        </is>
      </c>
      <c r="G8089" t="inlineStr">
        <is>
          <t>FALUN</t>
        </is>
      </c>
      <c r="I8089" t="n">
        <v>0.7</v>
      </c>
      <c r="J8089" t="n">
        <v>0</v>
      </c>
      <c r="K8089" t="n">
        <v>0</v>
      </c>
      <c r="L8089" t="n">
        <v>0</v>
      </c>
      <c r="M8089" t="n">
        <v>0</v>
      </c>
      <c r="N8089" t="n">
        <v>0</v>
      </c>
      <c r="O8089" t="n">
        <v>0</v>
      </c>
      <c r="P8089" t="n">
        <v>0</v>
      </c>
      <c r="Q8089" t="n">
        <v>0</v>
      </c>
      <c r="R8089" t="n">
        <v>0</v>
      </c>
      <c r="S8089" t="n">
        <v>0</v>
      </c>
      <c r="T8089" t="n">
        <v>0</v>
      </c>
      <c r="U8089" t="n">
        <v>0</v>
      </c>
      <c r="V8089" s="2" t="inlineStr"/>
    </row>
    <row r="8090" ht="15" customHeight="1">
      <c r="A8090" t="inlineStr">
        <is>
          <t>A 22627-2026</t>
        </is>
      </c>
      <c r="B8090" t="inlineStr">
        <is>
          <t>avverkningsanmälan</t>
        </is>
      </c>
      <c r="C8090" t="inlineStr">
        <is>
          <t>Föryngringsavverkning</t>
        </is>
      </c>
      <c r="D8090" s="1" t="n">
        <v>46155</v>
      </c>
      <c r="E8090" s="1" t="n">
        <v>46319</v>
      </c>
      <c r="F8090" t="inlineStr">
        <is>
          <t>DALARNAS LÄN</t>
        </is>
      </c>
      <c r="G8090" t="inlineStr">
        <is>
          <t>SMEDJEBACKEN</t>
        </is>
      </c>
      <c r="H8090" t="inlineStr">
        <is>
          <t>Sveaskog</t>
        </is>
      </c>
      <c r="I8090" t="n">
        <v>7.1</v>
      </c>
      <c r="J8090" t="n">
        <v>0</v>
      </c>
      <c r="K8090" t="n">
        <v>0</v>
      </c>
      <c r="L8090" t="n">
        <v>0</v>
      </c>
      <c r="M8090" t="n">
        <v>0</v>
      </c>
      <c r="N8090" t="n">
        <v>0</v>
      </c>
      <c r="O8090" t="n">
        <v>0</v>
      </c>
      <c r="P8090" t="n">
        <v>0</v>
      </c>
      <c r="Q8090" t="n">
        <v>0</v>
      </c>
      <c r="R8090" t="n">
        <v>0</v>
      </c>
      <c r="S8090" t="n">
        <v>0</v>
      </c>
      <c r="T8090" t="n">
        <v>0</v>
      </c>
      <c r="U8090" t="n">
        <v>0</v>
      </c>
      <c r="V8090" s="2" t="inlineStr"/>
    </row>
    <row r="8091" ht="15" customHeight="1">
      <c r="A8091" t="inlineStr">
        <is>
          <t>A 22634-2026</t>
        </is>
      </c>
      <c r="B8091" t="inlineStr">
        <is>
          <t>avverkningsanmälan</t>
        </is>
      </c>
      <c r="C8091" t="inlineStr">
        <is>
          <t>Föryngringsavverkning</t>
        </is>
      </c>
      <c r="D8091" s="1" t="n">
        <v>46155</v>
      </c>
      <c r="E8091" s="1" t="n">
        <v>46319</v>
      </c>
      <c r="F8091" t="inlineStr">
        <is>
          <t>DALARNAS LÄN</t>
        </is>
      </c>
      <c r="G8091" t="inlineStr">
        <is>
          <t>FALUN</t>
        </is>
      </c>
      <c r="I8091" t="n">
        <v>2.3</v>
      </c>
      <c r="J8091" t="n">
        <v>0</v>
      </c>
      <c r="K8091" t="n">
        <v>0</v>
      </c>
      <c r="L8091" t="n">
        <v>0</v>
      </c>
      <c r="M8091" t="n">
        <v>0</v>
      </c>
      <c r="N8091" t="n">
        <v>0</v>
      </c>
      <c r="O8091" t="n">
        <v>0</v>
      </c>
      <c r="P8091" t="n">
        <v>0</v>
      </c>
      <c r="Q8091" t="n">
        <v>0</v>
      </c>
      <c r="R8091" t="n">
        <v>0</v>
      </c>
      <c r="S8091" t="n">
        <v>0</v>
      </c>
      <c r="T8091" t="n">
        <v>0</v>
      </c>
      <c r="U8091" t="n">
        <v>0</v>
      </c>
      <c r="V8091" s="2" t="inlineStr"/>
    </row>
    <row r="8092" ht="15" customHeight="1">
      <c r="A8092" t="inlineStr">
        <is>
          <t>A 22702-2026</t>
        </is>
      </c>
      <c r="B8092" t="inlineStr">
        <is>
          <t>avverkningsanmälan</t>
        </is>
      </c>
      <c r="C8092" t="inlineStr">
        <is>
          <t>Föryngringsavverkning</t>
        </is>
      </c>
      <c r="D8092" s="1" t="n">
        <v>46156</v>
      </c>
      <c r="E8092" s="1" t="n">
        <v>46319</v>
      </c>
      <c r="F8092" t="inlineStr">
        <is>
          <t>DALARNAS LÄN</t>
        </is>
      </c>
      <c r="G8092" t="inlineStr">
        <is>
          <t>LEKSAND</t>
        </is>
      </c>
      <c r="I8092" t="n">
        <v>1.2</v>
      </c>
      <c r="J8092" t="n">
        <v>0</v>
      </c>
      <c r="K8092" t="n">
        <v>0</v>
      </c>
      <c r="L8092" t="n">
        <v>0</v>
      </c>
      <c r="M8092" t="n">
        <v>0</v>
      </c>
      <c r="N8092" t="n">
        <v>0</v>
      </c>
      <c r="O8092" t="n">
        <v>0</v>
      </c>
      <c r="P8092" t="n">
        <v>0</v>
      </c>
      <c r="Q8092" t="n">
        <v>0</v>
      </c>
      <c r="R8092" t="n">
        <v>0</v>
      </c>
      <c r="S8092" t="n">
        <v>0</v>
      </c>
      <c r="T8092" t="n">
        <v>0</v>
      </c>
      <c r="U8092" t="n">
        <v>0</v>
      </c>
      <c r="V8092" s="2" t="inlineStr"/>
    </row>
    <row r="8093" ht="15" customHeight="1">
      <c r="A8093" t="inlineStr">
        <is>
          <t>A 22568-2026</t>
        </is>
      </c>
      <c r="B8093" t="inlineStr">
        <is>
          <t>avverkningsanmälan</t>
        </is>
      </c>
      <c r="C8093" t="inlineStr">
        <is>
          <t>Föryngringsavverkning</t>
        </is>
      </c>
      <c r="D8093" s="1" t="n">
        <v>46155</v>
      </c>
      <c r="E8093" s="1" t="n">
        <v>46319</v>
      </c>
      <c r="F8093" t="inlineStr">
        <is>
          <t>DALARNAS LÄN</t>
        </is>
      </c>
      <c r="G8093" t="inlineStr">
        <is>
          <t>MORA</t>
        </is>
      </c>
      <c r="H8093" t="inlineStr">
        <is>
          <t>Bergvik skog öst AB</t>
        </is>
      </c>
      <c r="I8093" t="n">
        <v>6.7</v>
      </c>
      <c r="J8093" t="n">
        <v>0</v>
      </c>
      <c r="K8093" t="n">
        <v>0</v>
      </c>
      <c r="L8093" t="n">
        <v>0</v>
      </c>
      <c r="M8093" t="n">
        <v>0</v>
      </c>
      <c r="N8093" t="n">
        <v>0</v>
      </c>
      <c r="O8093" t="n">
        <v>0</v>
      </c>
      <c r="P8093" t="n">
        <v>0</v>
      </c>
      <c r="Q8093" t="n">
        <v>0</v>
      </c>
      <c r="R8093" t="n">
        <v>0</v>
      </c>
      <c r="S8093" t="n">
        <v>0</v>
      </c>
      <c r="T8093" t="n">
        <v>0</v>
      </c>
      <c r="U8093" t="n">
        <v>0</v>
      </c>
      <c r="V8093" s="2" t="inlineStr"/>
    </row>
    <row r="8094" ht="15" customHeight="1">
      <c r="A8094" t="inlineStr">
        <is>
          <t>A 6971-2023</t>
        </is>
      </c>
      <c r="B8094" t="inlineStr">
        <is>
          <t>avverkningsanmälan</t>
        </is>
      </c>
      <c r="C8094" t="inlineStr">
        <is>
          <t>Föryngringsavverkning</t>
        </is>
      </c>
      <c r="D8094" s="1" t="n">
        <v>44967</v>
      </c>
      <c r="E8094" s="1" t="n">
        <v>46319</v>
      </c>
      <c r="F8094" t="inlineStr">
        <is>
          <t>DALARNAS LÄN</t>
        </is>
      </c>
      <c r="G8094" t="inlineStr">
        <is>
          <t>AVESTA</t>
        </is>
      </c>
      <c r="I8094" t="n">
        <v>5.5</v>
      </c>
      <c r="J8094" t="n">
        <v>0</v>
      </c>
      <c r="K8094" t="n">
        <v>0</v>
      </c>
      <c r="L8094" t="n">
        <v>0</v>
      </c>
      <c r="M8094" t="n">
        <v>0</v>
      </c>
      <c r="N8094" t="n">
        <v>0</v>
      </c>
      <c r="O8094" t="n">
        <v>0</v>
      </c>
      <c r="P8094" t="n">
        <v>0</v>
      </c>
      <c r="Q8094" t="n">
        <v>0</v>
      </c>
      <c r="R8094" t="n">
        <v>0</v>
      </c>
      <c r="S8094" t="n">
        <v>0</v>
      </c>
      <c r="T8094" t="n">
        <v>0</v>
      </c>
      <c r="U8094" t="n">
        <v>0</v>
      </c>
      <c r="V8094" s="2" t="inlineStr"/>
    </row>
    <row r="8095" ht="15" customHeight="1">
      <c r="A8095" t="inlineStr">
        <is>
          <t>A 22585-2026</t>
        </is>
      </c>
      <c r="B8095" t="inlineStr">
        <is>
          <t>avverkningsanmälan</t>
        </is>
      </c>
      <c r="C8095" t="inlineStr">
        <is>
          <t>Föryngringsavverkning</t>
        </is>
      </c>
      <c r="D8095" s="1" t="n">
        <v>46155</v>
      </c>
      <c r="E8095" s="1" t="n">
        <v>46319</v>
      </c>
      <c r="F8095" t="inlineStr">
        <is>
          <t>DALARNAS LÄN</t>
        </is>
      </c>
      <c r="G8095" t="inlineStr">
        <is>
          <t>LUDVIKA</t>
        </is>
      </c>
      <c r="H8095" t="inlineStr">
        <is>
          <t>Bergvik skog väst AB</t>
        </is>
      </c>
      <c r="I8095" t="n">
        <v>1</v>
      </c>
      <c r="J8095" t="n">
        <v>0</v>
      </c>
      <c r="K8095" t="n">
        <v>0</v>
      </c>
      <c r="L8095" t="n">
        <v>0</v>
      </c>
      <c r="M8095" t="n">
        <v>0</v>
      </c>
      <c r="N8095" t="n">
        <v>0</v>
      </c>
      <c r="O8095" t="n">
        <v>0</v>
      </c>
      <c r="P8095" t="n">
        <v>0</v>
      </c>
      <c r="Q8095" t="n">
        <v>0</v>
      </c>
      <c r="R8095" t="n">
        <v>0</v>
      </c>
      <c r="S8095" t="n">
        <v>0</v>
      </c>
      <c r="T8095" t="n">
        <v>0</v>
      </c>
      <c r="U8095" t="n">
        <v>0</v>
      </c>
      <c r="V8095" s="2" t="inlineStr"/>
    </row>
    <row r="8096" ht="15" customHeight="1">
      <c r="A8096" t="inlineStr">
        <is>
          <t>A 22586-2026</t>
        </is>
      </c>
      <c r="B8096" t="inlineStr">
        <is>
          <t>avverkningsanmälan</t>
        </is>
      </c>
      <c r="C8096" t="inlineStr">
        <is>
          <t>Föryngringsavverkning</t>
        </is>
      </c>
      <c r="D8096" s="1" t="n">
        <v>46155</v>
      </c>
      <c r="E8096" s="1" t="n">
        <v>46319</v>
      </c>
      <c r="F8096" t="inlineStr">
        <is>
          <t>DALARNAS LÄN</t>
        </is>
      </c>
      <c r="G8096" t="inlineStr">
        <is>
          <t>AVESTA</t>
        </is>
      </c>
      <c r="I8096" t="n">
        <v>2.9</v>
      </c>
      <c r="J8096" t="n">
        <v>0</v>
      </c>
      <c r="K8096" t="n">
        <v>0</v>
      </c>
      <c r="L8096" t="n">
        <v>0</v>
      </c>
      <c r="M8096" t="n">
        <v>0</v>
      </c>
      <c r="N8096" t="n">
        <v>0</v>
      </c>
      <c r="O8096" t="n">
        <v>0</v>
      </c>
      <c r="P8096" t="n">
        <v>0</v>
      </c>
      <c r="Q8096" t="n">
        <v>0</v>
      </c>
      <c r="R8096" t="n">
        <v>0</v>
      </c>
      <c r="S8096" t="n">
        <v>0</v>
      </c>
      <c r="T8096" t="n">
        <v>0</v>
      </c>
      <c r="U8096" t="n">
        <v>0</v>
      </c>
      <c r="V8096" s="2" t="inlineStr"/>
    </row>
    <row r="8097" ht="15" customHeight="1">
      <c r="A8097" t="inlineStr">
        <is>
          <t>A 32104-2025</t>
        </is>
      </c>
      <c r="B8097" t="inlineStr">
        <is>
          <t>avverkningsanmälan</t>
        </is>
      </c>
      <c r="C8097" t="inlineStr">
        <is>
          <t>Föryngringsavverkning</t>
        </is>
      </c>
      <c r="D8097" s="1" t="n">
        <v>45835</v>
      </c>
      <c r="E8097" s="1" t="n">
        <v>46319</v>
      </c>
      <c r="F8097" t="inlineStr">
        <is>
          <t>DALARNAS LÄN</t>
        </is>
      </c>
      <c r="G8097" t="inlineStr">
        <is>
          <t>LEKSAND</t>
        </is>
      </c>
      <c r="I8097" t="n">
        <v>3.1</v>
      </c>
      <c r="J8097" t="n">
        <v>0</v>
      </c>
      <c r="K8097" t="n">
        <v>0</v>
      </c>
      <c r="L8097" t="n">
        <v>0</v>
      </c>
      <c r="M8097" t="n">
        <v>0</v>
      </c>
      <c r="N8097" t="n">
        <v>0</v>
      </c>
      <c r="O8097" t="n">
        <v>0</v>
      </c>
      <c r="P8097" t="n">
        <v>0</v>
      </c>
      <c r="Q8097" t="n">
        <v>0</v>
      </c>
      <c r="R8097" t="n">
        <v>0</v>
      </c>
      <c r="S8097" t="n">
        <v>0</v>
      </c>
      <c r="T8097" t="n">
        <v>0</v>
      </c>
      <c r="U8097" t="n">
        <v>0</v>
      </c>
      <c r="V8097" s="2" t="inlineStr"/>
    </row>
    <row r="8098" ht="15" customHeight="1">
      <c r="A8098" t="inlineStr">
        <is>
          <t>A 7576-2024</t>
        </is>
      </c>
      <c r="B8098" t="inlineStr">
        <is>
          <t>avverkningsanmälan</t>
        </is>
      </c>
      <c r="C8098" t="inlineStr">
        <is>
          <t>Föryngringsavverkning</t>
        </is>
      </c>
      <c r="D8098" s="1" t="n">
        <v>45348</v>
      </c>
      <c r="E8098" s="1" t="n">
        <v>46319</v>
      </c>
      <c r="F8098" t="inlineStr">
        <is>
          <t>DALARNAS LÄN</t>
        </is>
      </c>
      <c r="G8098" t="inlineStr">
        <is>
          <t>ÄLVDALEN</t>
        </is>
      </c>
      <c r="I8098" t="n">
        <v>11.1</v>
      </c>
      <c r="J8098" t="n">
        <v>0</v>
      </c>
      <c r="K8098" t="n">
        <v>0</v>
      </c>
      <c r="L8098" t="n">
        <v>0</v>
      </c>
      <c r="M8098" t="n">
        <v>0</v>
      </c>
      <c r="N8098" t="n">
        <v>0</v>
      </c>
      <c r="O8098" t="n">
        <v>0</v>
      </c>
      <c r="P8098" t="n">
        <v>0</v>
      </c>
      <c r="Q8098" t="n">
        <v>0</v>
      </c>
      <c r="R8098" t="n">
        <v>0</v>
      </c>
      <c r="S8098" t="n">
        <v>0</v>
      </c>
      <c r="T8098" t="n">
        <v>0</v>
      </c>
      <c r="U8098" t="n">
        <v>0</v>
      </c>
      <c r="V8098" s="2" t="inlineStr"/>
    </row>
    <row r="8099" ht="15" customHeight="1">
      <c r="A8099" t="inlineStr">
        <is>
          <t>A 12363-2023</t>
        </is>
      </c>
      <c r="B8099" t="inlineStr">
        <is>
          <t>avverkningsanmälan</t>
        </is>
      </c>
      <c r="C8099" t="inlineStr">
        <is>
          <t>Föryngringsavverkning</t>
        </is>
      </c>
      <c r="D8099" s="1" t="n">
        <v>44998</v>
      </c>
      <c r="E8099" s="1" t="n">
        <v>46319</v>
      </c>
      <c r="F8099" t="inlineStr">
        <is>
          <t>DALARNAS LÄN</t>
        </is>
      </c>
      <c r="G8099" t="inlineStr">
        <is>
          <t>LEKSAND</t>
        </is>
      </c>
      <c r="I8099" t="n">
        <v>10</v>
      </c>
      <c r="J8099" t="n">
        <v>0</v>
      </c>
      <c r="K8099" t="n">
        <v>0</v>
      </c>
      <c r="L8099" t="n">
        <v>0</v>
      </c>
      <c r="M8099" t="n">
        <v>0</v>
      </c>
      <c r="N8099" t="n">
        <v>0</v>
      </c>
      <c r="O8099" t="n">
        <v>0</v>
      </c>
      <c r="P8099" t="n">
        <v>0</v>
      </c>
      <c r="Q8099" t="n">
        <v>0</v>
      </c>
      <c r="R8099" t="n">
        <v>0</v>
      </c>
      <c r="S8099" t="n">
        <v>0</v>
      </c>
      <c r="T8099" t="n">
        <v>0</v>
      </c>
      <c r="U8099" t="n">
        <v>0</v>
      </c>
      <c r="V8099" s="2" t="inlineStr"/>
    </row>
    <row r="8100" ht="15" customHeight="1">
      <c r="A8100" t="inlineStr">
        <is>
          <t>A 22464-2026</t>
        </is>
      </c>
      <c r="B8100" t="inlineStr">
        <is>
          <t>avverkningsanmälan</t>
        </is>
      </c>
      <c r="C8100" t="inlineStr">
        <is>
          <t>Föryngringsavverkning</t>
        </is>
      </c>
      <c r="D8100" s="1" t="n">
        <v>46155</v>
      </c>
      <c r="E8100" s="1" t="n">
        <v>46319</v>
      </c>
      <c r="F8100" t="inlineStr">
        <is>
          <t>DALARNAS LÄN</t>
        </is>
      </c>
      <c r="G8100" t="inlineStr">
        <is>
          <t>LUDVIKA</t>
        </is>
      </c>
      <c r="H8100" t="inlineStr">
        <is>
          <t>Bergvik skog väst AB</t>
        </is>
      </c>
      <c r="I8100" t="n">
        <v>9.800000000000001</v>
      </c>
      <c r="J8100" t="n">
        <v>0</v>
      </c>
      <c r="K8100" t="n">
        <v>0</v>
      </c>
      <c r="L8100" t="n">
        <v>0</v>
      </c>
      <c r="M8100" t="n">
        <v>0</v>
      </c>
      <c r="N8100" t="n">
        <v>0</v>
      </c>
      <c r="O8100" t="n">
        <v>0</v>
      </c>
      <c r="P8100" t="n">
        <v>0</v>
      </c>
      <c r="Q8100" t="n">
        <v>0</v>
      </c>
      <c r="R8100" t="n">
        <v>0</v>
      </c>
      <c r="S8100" t="n">
        <v>0</v>
      </c>
      <c r="T8100" t="n">
        <v>0</v>
      </c>
      <c r="U8100" t="n">
        <v>0</v>
      </c>
      <c r="V8100" s="2" t="inlineStr"/>
    </row>
    <row r="8101" ht="15" customHeight="1">
      <c r="A8101" t="inlineStr">
        <is>
          <t>A 22538-2026</t>
        </is>
      </c>
      <c r="B8101" t="inlineStr">
        <is>
          <t>avverkningsanmälan</t>
        </is>
      </c>
      <c r="C8101" t="inlineStr">
        <is>
          <t>Föryngringsavverkning</t>
        </is>
      </c>
      <c r="D8101" s="1" t="n">
        <v>46155</v>
      </c>
      <c r="E8101" s="1" t="n">
        <v>46319</v>
      </c>
      <c r="F8101" t="inlineStr">
        <is>
          <t>DALARNAS LÄN</t>
        </is>
      </c>
      <c r="G8101" t="inlineStr">
        <is>
          <t>LUDVIKA</t>
        </is>
      </c>
      <c r="H8101" t="inlineStr">
        <is>
          <t>Bergvik skog väst AB</t>
        </is>
      </c>
      <c r="I8101" t="n">
        <v>1.6</v>
      </c>
      <c r="J8101" t="n">
        <v>0</v>
      </c>
      <c r="K8101" t="n">
        <v>0</v>
      </c>
      <c r="L8101" t="n">
        <v>0</v>
      </c>
      <c r="M8101" t="n">
        <v>0</v>
      </c>
      <c r="N8101" t="n">
        <v>0</v>
      </c>
      <c r="O8101" t="n">
        <v>0</v>
      </c>
      <c r="P8101" t="n">
        <v>0</v>
      </c>
      <c r="Q8101" t="n">
        <v>0</v>
      </c>
      <c r="R8101" t="n">
        <v>0</v>
      </c>
      <c r="S8101" t="n">
        <v>0</v>
      </c>
      <c r="T8101" t="n">
        <v>0</v>
      </c>
      <c r="U8101" t="n">
        <v>0</v>
      </c>
      <c r="V8101" s="2" t="inlineStr"/>
    </row>
    <row r="8102" ht="15" customHeight="1">
      <c r="A8102" t="inlineStr">
        <is>
          <t>A 2275-2024</t>
        </is>
      </c>
      <c r="B8102" t="inlineStr">
        <is>
          <t>avverkningsanmälan</t>
        </is>
      </c>
      <c r="C8102" t="inlineStr">
        <is>
          <t>Avverkning för annat ändamål</t>
        </is>
      </c>
      <c r="D8102" s="1" t="n">
        <v>45310</v>
      </c>
      <c r="E8102" s="1" t="n">
        <v>46319</v>
      </c>
      <c r="F8102" t="inlineStr">
        <is>
          <t>DALARNAS LÄN</t>
        </is>
      </c>
      <c r="G8102" t="inlineStr">
        <is>
          <t>SMEDJEBACKEN</t>
        </is>
      </c>
      <c r="I8102" t="n">
        <v>0.6</v>
      </c>
      <c r="J8102" t="n">
        <v>0</v>
      </c>
      <c r="K8102" t="n">
        <v>0</v>
      </c>
      <c r="L8102" t="n">
        <v>0</v>
      </c>
      <c r="M8102" t="n">
        <v>0</v>
      </c>
      <c r="N8102" t="n">
        <v>0</v>
      </c>
      <c r="O8102" t="n">
        <v>0</v>
      </c>
      <c r="P8102" t="n">
        <v>0</v>
      </c>
      <c r="Q8102" t="n">
        <v>0</v>
      </c>
      <c r="R8102" t="n">
        <v>0</v>
      </c>
      <c r="S8102" t="n">
        <v>0</v>
      </c>
      <c r="T8102" t="n">
        <v>0</v>
      </c>
      <c r="U8102" t="n">
        <v>0</v>
      </c>
      <c r="V8102" s="2" t="inlineStr"/>
    </row>
    <row r="8103" ht="15" customHeight="1">
      <c r="A8103" t="inlineStr">
        <is>
          <t>A 22505-2026</t>
        </is>
      </c>
      <c r="B8103" t="inlineStr">
        <is>
          <t>avverkningsanmälan</t>
        </is>
      </c>
      <c r="C8103" t="inlineStr">
        <is>
          <t>Föryngringsavverkning</t>
        </is>
      </c>
      <c r="D8103" s="1" t="n">
        <v>46155</v>
      </c>
      <c r="E8103" s="1" t="n">
        <v>46319</v>
      </c>
      <c r="F8103" t="inlineStr">
        <is>
          <t>DALARNAS LÄN</t>
        </is>
      </c>
      <c r="G8103" t="inlineStr">
        <is>
          <t>FALUN</t>
        </is>
      </c>
      <c r="H8103" t="inlineStr">
        <is>
          <t>Bergvik skog väst AB</t>
        </is>
      </c>
      <c r="I8103" t="n">
        <v>2.4</v>
      </c>
      <c r="J8103" t="n">
        <v>0</v>
      </c>
      <c r="K8103" t="n">
        <v>0</v>
      </c>
      <c r="L8103" t="n">
        <v>0</v>
      </c>
      <c r="M8103" t="n">
        <v>0</v>
      </c>
      <c r="N8103" t="n">
        <v>0</v>
      </c>
      <c r="O8103" t="n">
        <v>0</v>
      </c>
      <c r="P8103" t="n">
        <v>0</v>
      </c>
      <c r="Q8103" t="n">
        <v>0</v>
      </c>
      <c r="R8103" t="n">
        <v>0</v>
      </c>
      <c r="S8103" t="n">
        <v>0</v>
      </c>
      <c r="T8103" t="n">
        <v>0</v>
      </c>
      <c r="U8103" t="n">
        <v>0</v>
      </c>
      <c r="V8103" s="2" t="inlineStr"/>
    </row>
    <row r="8104" ht="15" customHeight="1">
      <c r="A8104" t="inlineStr">
        <is>
          <t>A 322-2024</t>
        </is>
      </c>
      <c r="B8104" t="inlineStr">
        <is>
          <t>avverkningsanmälan</t>
        </is>
      </c>
      <c r="C8104" t="inlineStr">
        <is>
          <t>Föryngringsavverkning</t>
        </is>
      </c>
      <c r="D8104" s="1" t="n">
        <v>45295</v>
      </c>
      <c r="E8104" s="1" t="n">
        <v>46319</v>
      </c>
      <c r="F8104" t="inlineStr">
        <is>
          <t>DALARNAS LÄN</t>
        </is>
      </c>
      <c r="G8104" t="inlineStr">
        <is>
          <t>GAGNEF</t>
        </is>
      </c>
      <c r="I8104" t="n">
        <v>11.1</v>
      </c>
      <c r="J8104" t="n">
        <v>0</v>
      </c>
      <c r="K8104" t="n">
        <v>0</v>
      </c>
      <c r="L8104" t="n">
        <v>0</v>
      </c>
      <c r="M8104" t="n">
        <v>0</v>
      </c>
      <c r="N8104" t="n">
        <v>0</v>
      </c>
      <c r="O8104" t="n">
        <v>0</v>
      </c>
      <c r="P8104" t="n">
        <v>0</v>
      </c>
      <c r="Q8104" t="n">
        <v>0</v>
      </c>
      <c r="R8104" t="n">
        <v>0</v>
      </c>
      <c r="S8104" t="n">
        <v>0</v>
      </c>
      <c r="T8104" t="n">
        <v>0</v>
      </c>
      <c r="U8104" t="n">
        <v>0</v>
      </c>
      <c r="V8104" s="2" t="inlineStr"/>
    </row>
    <row r="8105" ht="15" customHeight="1">
      <c r="A8105" t="inlineStr">
        <is>
          <t>A 22616-2026</t>
        </is>
      </c>
      <c r="B8105" t="inlineStr">
        <is>
          <t>avverkningsanmälan</t>
        </is>
      </c>
      <c r="C8105" t="inlineStr">
        <is>
          <t>Föryngringsavverkning</t>
        </is>
      </c>
      <c r="D8105" s="1" t="n">
        <v>46155</v>
      </c>
      <c r="E8105" s="1" t="n">
        <v>46319</v>
      </c>
      <c r="F8105" t="inlineStr">
        <is>
          <t>DALARNAS LÄN</t>
        </is>
      </c>
      <c r="G8105" t="inlineStr">
        <is>
          <t>FALUN</t>
        </is>
      </c>
      <c r="I8105" t="n">
        <v>3.7</v>
      </c>
      <c r="J8105" t="n">
        <v>0</v>
      </c>
      <c r="K8105" t="n">
        <v>0</v>
      </c>
      <c r="L8105" t="n">
        <v>0</v>
      </c>
      <c r="M8105" t="n">
        <v>0</v>
      </c>
      <c r="N8105" t="n">
        <v>0</v>
      </c>
      <c r="O8105" t="n">
        <v>0</v>
      </c>
      <c r="P8105" t="n">
        <v>0</v>
      </c>
      <c r="Q8105" t="n">
        <v>0</v>
      </c>
      <c r="R8105" t="n">
        <v>0</v>
      </c>
      <c r="S8105" t="n">
        <v>0</v>
      </c>
      <c r="T8105" t="n">
        <v>0</v>
      </c>
      <c r="U8105" t="n">
        <v>0</v>
      </c>
      <c r="V8105" s="2" t="inlineStr"/>
    </row>
    <row r="8106" ht="15" customHeight="1">
      <c r="A8106" t="inlineStr">
        <is>
          <t>A 22515-2026</t>
        </is>
      </c>
      <c r="B8106" t="inlineStr">
        <is>
          <t>avverkningsanmälan</t>
        </is>
      </c>
      <c r="C8106" t="inlineStr">
        <is>
          <t>Föryngringsavverkning</t>
        </is>
      </c>
      <c r="D8106" s="1" t="n">
        <v>46155</v>
      </c>
      <c r="E8106" s="1" t="n">
        <v>46319</v>
      </c>
      <c r="F8106" t="inlineStr">
        <is>
          <t>DALARNAS LÄN</t>
        </is>
      </c>
      <c r="G8106" t="inlineStr">
        <is>
          <t>ORSA</t>
        </is>
      </c>
      <c r="H8106" t="inlineStr">
        <is>
          <t>Bergvik skog öst AB</t>
        </is>
      </c>
      <c r="I8106" t="n">
        <v>1.7</v>
      </c>
      <c r="J8106" t="n">
        <v>0</v>
      </c>
      <c r="K8106" t="n">
        <v>0</v>
      </c>
      <c r="L8106" t="n">
        <v>0</v>
      </c>
      <c r="M8106" t="n">
        <v>0</v>
      </c>
      <c r="N8106" t="n">
        <v>0</v>
      </c>
      <c r="O8106" t="n">
        <v>0</v>
      </c>
      <c r="P8106" t="n">
        <v>0</v>
      </c>
      <c r="Q8106" t="n">
        <v>0</v>
      </c>
      <c r="R8106" t="n">
        <v>0</v>
      </c>
      <c r="S8106" t="n">
        <v>0</v>
      </c>
      <c r="T8106" t="n">
        <v>0</v>
      </c>
      <c r="U8106" t="n">
        <v>0</v>
      </c>
      <c r="V8106" s="2" t="inlineStr"/>
    </row>
    <row r="8107" ht="15" customHeight="1">
      <c r="A8107" t="inlineStr">
        <is>
          <t>A 16843-2026</t>
        </is>
      </c>
      <c r="B8107" t="inlineStr">
        <is>
          <t>avverkningsanmälan</t>
        </is>
      </c>
      <c r="C8107" t="inlineStr">
        <is>
          <t>Föryngringsavverkning</t>
        </is>
      </c>
      <c r="D8107" s="1" t="n">
        <v>46113</v>
      </c>
      <c r="E8107" s="1" t="n">
        <v>46319</v>
      </c>
      <c r="F8107" t="inlineStr">
        <is>
          <t>DALARNAS LÄN</t>
        </is>
      </c>
      <c r="G8107" t="inlineStr">
        <is>
          <t>LUDVIKA</t>
        </is>
      </c>
      <c r="I8107" t="n">
        <v>3.9</v>
      </c>
      <c r="J8107" t="n">
        <v>0</v>
      </c>
      <c r="K8107" t="n">
        <v>0</v>
      </c>
      <c r="L8107" t="n">
        <v>0</v>
      </c>
      <c r="M8107" t="n">
        <v>0</v>
      </c>
      <c r="N8107" t="n">
        <v>0</v>
      </c>
      <c r="O8107" t="n">
        <v>0</v>
      </c>
      <c r="P8107" t="n">
        <v>0</v>
      </c>
      <c r="Q8107" t="n">
        <v>0</v>
      </c>
      <c r="R8107" t="n">
        <v>0</v>
      </c>
      <c r="S8107" t="n">
        <v>0</v>
      </c>
      <c r="T8107" t="n">
        <v>0</v>
      </c>
      <c r="U8107" t="n">
        <v>0</v>
      </c>
      <c r="V8107" s="2" t="inlineStr"/>
    </row>
    <row r="8108" ht="15" customHeight="1">
      <c r="A8108" t="inlineStr">
        <is>
          <t>A 20185-2025</t>
        </is>
      </c>
      <c r="B8108" t="inlineStr">
        <is>
          <t>avverkningsanmälan</t>
        </is>
      </c>
      <c r="C8108" t="inlineStr">
        <is>
          <t>Föryngringsavverkning</t>
        </is>
      </c>
      <c r="D8108" s="1" t="n">
        <v>45772</v>
      </c>
      <c r="E8108" s="1" t="n">
        <v>46319</v>
      </c>
      <c r="F8108" t="inlineStr">
        <is>
          <t>DALARNAS LÄN</t>
        </is>
      </c>
      <c r="G8108" t="inlineStr">
        <is>
          <t>VANSBRO</t>
        </is>
      </c>
      <c r="I8108" t="n">
        <v>0.9</v>
      </c>
      <c r="J8108" t="n">
        <v>0</v>
      </c>
      <c r="K8108" t="n">
        <v>0</v>
      </c>
      <c r="L8108" t="n">
        <v>0</v>
      </c>
      <c r="M8108" t="n">
        <v>0</v>
      </c>
      <c r="N8108" t="n">
        <v>0</v>
      </c>
      <c r="O8108" t="n">
        <v>0</v>
      </c>
      <c r="P8108" t="n">
        <v>0</v>
      </c>
      <c r="Q8108" t="n">
        <v>0</v>
      </c>
      <c r="R8108" t="n">
        <v>0</v>
      </c>
      <c r="S8108" t="n">
        <v>0</v>
      </c>
      <c r="T8108" t="n">
        <v>0</v>
      </c>
      <c r="U8108" t="n">
        <v>0</v>
      </c>
      <c r="V8108" s="2" t="inlineStr"/>
    </row>
    <row r="8109" ht="15" customHeight="1">
      <c r="A8109" t="inlineStr">
        <is>
          <t>A 25389-2022</t>
        </is>
      </c>
      <c r="B8109" t="inlineStr">
        <is>
          <t>avverkningsanmälan</t>
        </is>
      </c>
      <c r="C8109" t="inlineStr">
        <is>
          <t>Föryngringsavverkning</t>
        </is>
      </c>
      <c r="D8109" s="1" t="n">
        <v>44732</v>
      </c>
      <c r="E8109" s="1" t="n">
        <v>46319</v>
      </c>
      <c r="F8109" t="inlineStr">
        <is>
          <t>DALARNAS LÄN</t>
        </is>
      </c>
      <c r="G8109" t="inlineStr">
        <is>
          <t>BORLÄNGE</t>
        </is>
      </c>
      <c r="I8109" t="n">
        <v>0.9</v>
      </c>
      <c r="J8109" t="n">
        <v>0</v>
      </c>
      <c r="K8109" t="n">
        <v>0</v>
      </c>
      <c r="L8109" t="n">
        <v>0</v>
      </c>
      <c r="M8109" t="n">
        <v>0</v>
      </c>
      <c r="N8109" t="n">
        <v>0</v>
      </c>
      <c r="O8109" t="n">
        <v>0</v>
      </c>
      <c r="P8109" t="n">
        <v>0</v>
      </c>
      <c r="Q8109" t="n">
        <v>0</v>
      </c>
      <c r="R8109" t="n">
        <v>0</v>
      </c>
      <c r="S8109" t="n">
        <v>0</v>
      </c>
      <c r="T8109" t="n">
        <v>0</v>
      </c>
      <c r="U8109" t="n">
        <v>0</v>
      </c>
      <c r="V8109" s="2" t="inlineStr"/>
    </row>
    <row r="8110" ht="15" customHeight="1">
      <c r="A8110" t="inlineStr">
        <is>
          <t>A 22696-2026</t>
        </is>
      </c>
      <c r="B8110" t="inlineStr">
        <is>
          <t>avverkningsanmälan</t>
        </is>
      </c>
      <c r="C8110" t="inlineStr">
        <is>
          <t>Föryngringsavverkning</t>
        </is>
      </c>
      <c r="D8110" s="1" t="n">
        <v>46156</v>
      </c>
      <c r="E8110" s="1" t="n">
        <v>46319</v>
      </c>
      <c r="F8110" t="inlineStr">
        <is>
          <t>DALARNAS LÄN</t>
        </is>
      </c>
      <c r="G8110" t="inlineStr">
        <is>
          <t>FALUN</t>
        </is>
      </c>
      <c r="I8110" t="n">
        <v>0.5</v>
      </c>
      <c r="J8110" t="n">
        <v>0</v>
      </c>
      <c r="K8110" t="n">
        <v>0</v>
      </c>
      <c r="L8110" t="n">
        <v>0</v>
      </c>
      <c r="M8110" t="n">
        <v>0</v>
      </c>
      <c r="N8110" t="n">
        <v>0</v>
      </c>
      <c r="O8110" t="n">
        <v>0</v>
      </c>
      <c r="P8110" t="n">
        <v>0</v>
      </c>
      <c r="Q8110" t="n">
        <v>0</v>
      </c>
      <c r="R8110" t="n">
        <v>0</v>
      </c>
      <c r="S8110" t="n">
        <v>0</v>
      </c>
      <c r="T8110" t="n">
        <v>0</v>
      </c>
      <c r="U8110" t="n">
        <v>0</v>
      </c>
      <c r="V8110" s="2" t="inlineStr"/>
    </row>
    <row r="8111" ht="15" customHeight="1">
      <c r="A8111" t="inlineStr">
        <is>
          <t>A 22565-2026</t>
        </is>
      </c>
      <c r="B8111" t="inlineStr">
        <is>
          <t>avverkningsanmälan</t>
        </is>
      </c>
      <c r="C8111" t="inlineStr">
        <is>
          <t>Föryngringsavverkning</t>
        </is>
      </c>
      <c r="D8111" s="1" t="n">
        <v>46155</v>
      </c>
      <c r="E8111" s="1" t="n">
        <v>46319</v>
      </c>
      <c r="F8111" t="inlineStr">
        <is>
          <t>DALARNAS LÄN</t>
        </is>
      </c>
      <c r="G8111" t="inlineStr">
        <is>
          <t>FALUN</t>
        </is>
      </c>
      <c r="H8111" t="inlineStr">
        <is>
          <t>Bergvik skog väst AB</t>
        </is>
      </c>
      <c r="I8111" t="n">
        <v>0.6</v>
      </c>
      <c r="J8111" t="n">
        <v>0</v>
      </c>
      <c r="K8111" t="n">
        <v>0</v>
      </c>
      <c r="L8111" t="n">
        <v>0</v>
      </c>
      <c r="M8111" t="n">
        <v>0</v>
      </c>
      <c r="N8111" t="n">
        <v>0</v>
      </c>
      <c r="O8111" t="n">
        <v>0</v>
      </c>
      <c r="P8111" t="n">
        <v>0</v>
      </c>
      <c r="Q8111" t="n">
        <v>0</v>
      </c>
      <c r="R8111" t="n">
        <v>0</v>
      </c>
      <c r="S8111" t="n">
        <v>0</v>
      </c>
      <c r="T8111" t="n">
        <v>0</v>
      </c>
      <c r="U8111" t="n">
        <v>0</v>
      </c>
      <c r="V8111" s="2" t="inlineStr"/>
    </row>
    <row r="8112" ht="15" customHeight="1">
      <c r="A8112" t="inlineStr">
        <is>
          <t>A 22571-2026</t>
        </is>
      </c>
      <c r="B8112" t="inlineStr">
        <is>
          <t>avverkningsanmälan</t>
        </is>
      </c>
      <c r="C8112" t="inlineStr">
        <is>
          <t>Föryngringsavverkning</t>
        </is>
      </c>
      <c r="D8112" s="1" t="n">
        <v>46155</v>
      </c>
      <c r="E8112" s="1" t="n">
        <v>46319</v>
      </c>
      <c r="F8112" t="inlineStr">
        <is>
          <t>DALARNAS LÄN</t>
        </is>
      </c>
      <c r="G8112" t="inlineStr">
        <is>
          <t>AVESTA</t>
        </is>
      </c>
      <c r="I8112" t="n">
        <v>3.5</v>
      </c>
      <c r="J8112" t="n">
        <v>0</v>
      </c>
      <c r="K8112" t="n">
        <v>0</v>
      </c>
      <c r="L8112" t="n">
        <v>0</v>
      </c>
      <c r="M8112" t="n">
        <v>0</v>
      </c>
      <c r="N8112" t="n">
        <v>0</v>
      </c>
      <c r="O8112" t="n">
        <v>0</v>
      </c>
      <c r="P8112" t="n">
        <v>0</v>
      </c>
      <c r="Q8112" t="n">
        <v>0</v>
      </c>
      <c r="R8112" t="n">
        <v>0</v>
      </c>
      <c r="S8112" t="n">
        <v>0</v>
      </c>
      <c r="T8112" t="n">
        <v>0</v>
      </c>
      <c r="U8112" t="n">
        <v>0</v>
      </c>
      <c r="V8112" s="2" t="inlineStr"/>
    </row>
    <row r="8113" ht="15" customHeight="1">
      <c r="A8113" t="inlineStr">
        <is>
          <t>A 33163-2022</t>
        </is>
      </c>
      <c r="B8113" t="inlineStr">
        <is>
          <t>avverkningsanmälan</t>
        </is>
      </c>
      <c r="C8113" t="inlineStr">
        <is>
          <t>Föryngringsavverkning</t>
        </is>
      </c>
      <c r="D8113" s="1" t="n">
        <v>44785</v>
      </c>
      <c r="E8113" s="1" t="n">
        <v>46319</v>
      </c>
      <c r="F8113" t="inlineStr">
        <is>
          <t>DALARNAS LÄN</t>
        </is>
      </c>
      <c r="G8113" t="inlineStr">
        <is>
          <t>BORLÄNGE</t>
        </is>
      </c>
      <c r="I8113" t="n">
        <v>10</v>
      </c>
      <c r="J8113" t="n">
        <v>0</v>
      </c>
      <c r="K8113" t="n">
        <v>0</v>
      </c>
      <c r="L8113" t="n">
        <v>0</v>
      </c>
      <c r="M8113" t="n">
        <v>0</v>
      </c>
      <c r="N8113" t="n">
        <v>0</v>
      </c>
      <c r="O8113" t="n">
        <v>0</v>
      </c>
      <c r="P8113" t="n">
        <v>0</v>
      </c>
      <c r="Q8113" t="n">
        <v>0</v>
      </c>
      <c r="R8113" t="n">
        <v>0</v>
      </c>
      <c r="S8113" t="n">
        <v>0</v>
      </c>
      <c r="T8113" t="n">
        <v>0</v>
      </c>
      <c r="U8113" t="n">
        <v>0</v>
      </c>
      <c r="V8113" s="2" t="inlineStr"/>
    </row>
    <row r="8114" ht="15" customHeight="1">
      <c r="A8114" t="inlineStr">
        <is>
          <t>A 22775-2026</t>
        </is>
      </c>
      <c r="B8114" t="inlineStr">
        <is>
          <t>avverkningsanmälan</t>
        </is>
      </c>
      <c r="C8114" t="inlineStr">
        <is>
          <t>Avverkning för annat ändamål</t>
        </is>
      </c>
      <c r="D8114" s="1" t="n">
        <v>46157</v>
      </c>
      <c r="E8114" s="1" t="n">
        <v>46319</v>
      </c>
      <c r="F8114" t="inlineStr">
        <is>
          <t>DALARNAS LÄN</t>
        </is>
      </c>
      <c r="G8114" t="inlineStr">
        <is>
          <t>SMEDJEBACKEN</t>
        </is>
      </c>
      <c r="H8114" t="inlineStr">
        <is>
          <t>Sveaskog</t>
        </is>
      </c>
      <c r="I8114" t="n">
        <v>0.3</v>
      </c>
      <c r="J8114" t="n">
        <v>0</v>
      </c>
      <c r="K8114" t="n">
        <v>0</v>
      </c>
      <c r="L8114" t="n">
        <v>0</v>
      </c>
      <c r="M8114" t="n">
        <v>0</v>
      </c>
      <c r="N8114" t="n">
        <v>0</v>
      </c>
      <c r="O8114" t="n">
        <v>0</v>
      </c>
      <c r="P8114" t="n">
        <v>0</v>
      </c>
      <c r="Q8114" t="n">
        <v>0</v>
      </c>
      <c r="R8114" t="n">
        <v>0</v>
      </c>
      <c r="S8114" t="n">
        <v>0</v>
      </c>
      <c r="T8114" t="n">
        <v>0</v>
      </c>
      <c r="U8114" t="n">
        <v>0</v>
      </c>
      <c r="V8114" s="2" t="inlineStr"/>
    </row>
    <row r="8115" ht="15" customHeight="1">
      <c r="A8115" t="inlineStr">
        <is>
          <t>A 15020-2023</t>
        </is>
      </c>
      <c r="B8115" t="inlineStr">
        <is>
          <t>avverkningsanmälan</t>
        </is>
      </c>
      <c r="C8115" t="inlineStr">
        <is>
          <t>Föryngringsavverkning</t>
        </is>
      </c>
      <c r="D8115" s="1" t="n">
        <v>45015</v>
      </c>
      <c r="E8115" s="1" t="n">
        <v>46319</v>
      </c>
      <c r="F8115" t="inlineStr">
        <is>
          <t>DALARNAS LÄN</t>
        </is>
      </c>
      <c r="G8115" t="inlineStr">
        <is>
          <t>LEKSAND</t>
        </is>
      </c>
      <c r="I8115" t="n">
        <v>2.6</v>
      </c>
      <c r="J8115" t="n">
        <v>0</v>
      </c>
      <c r="K8115" t="n">
        <v>0</v>
      </c>
      <c r="L8115" t="n">
        <v>0</v>
      </c>
      <c r="M8115" t="n">
        <v>0</v>
      </c>
      <c r="N8115" t="n">
        <v>0</v>
      </c>
      <c r="O8115" t="n">
        <v>0</v>
      </c>
      <c r="P8115" t="n">
        <v>0</v>
      </c>
      <c r="Q8115" t="n">
        <v>0</v>
      </c>
      <c r="R8115" t="n">
        <v>0</v>
      </c>
      <c r="S8115" t="n">
        <v>0</v>
      </c>
      <c r="T8115" t="n">
        <v>0</v>
      </c>
      <c r="U8115" t="n">
        <v>0</v>
      </c>
      <c r="V8115" s="2" t="inlineStr"/>
    </row>
    <row r="8116" ht="15" customHeight="1">
      <c r="A8116" t="inlineStr">
        <is>
          <t>A 7173-2023</t>
        </is>
      </c>
      <c r="B8116" t="inlineStr">
        <is>
          <t>avverkningsanmälan</t>
        </is>
      </c>
      <c r="C8116" t="inlineStr">
        <is>
          <t>Föryngringsavverkning</t>
        </is>
      </c>
      <c r="D8116" s="1" t="n">
        <v>44970</v>
      </c>
      <c r="E8116" s="1" t="n">
        <v>46319</v>
      </c>
      <c r="F8116" t="inlineStr">
        <is>
          <t>DALARNAS LÄN</t>
        </is>
      </c>
      <c r="G8116" t="inlineStr">
        <is>
          <t>LUDVIKA</t>
        </is>
      </c>
      <c r="H8116" t="inlineStr">
        <is>
          <t>Övriga Aktiebolag</t>
        </is>
      </c>
      <c r="I8116" t="n">
        <v>1.2</v>
      </c>
      <c r="J8116" t="n">
        <v>0</v>
      </c>
      <c r="K8116" t="n">
        <v>0</v>
      </c>
      <c r="L8116" t="n">
        <v>0</v>
      </c>
      <c r="M8116" t="n">
        <v>0</v>
      </c>
      <c r="N8116" t="n">
        <v>0</v>
      </c>
      <c r="O8116" t="n">
        <v>0</v>
      </c>
      <c r="P8116" t="n">
        <v>0</v>
      </c>
      <c r="Q8116" t="n">
        <v>0</v>
      </c>
      <c r="R8116" t="n">
        <v>0</v>
      </c>
      <c r="S8116" t="n">
        <v>0</v>
      </c>
      <c r="T8116" t="n">
        <v>0</v>
      </c>
      <c r="U8116" t="n">
        <v>0</v>
      </c>
      <c r="V8116" s="2" t="inlineStr"/>
    </row>
    <row r="8117" ht="15" customHeight="1">
      <c r="A8117" t="inlineStr">
        <is>
          <t>A 22813-2026</t>
        </is>
      </c>
      <c r="B8117" t="inlineStr">
        <is>
          <t>avverkningsanmälan</t>
        </is>
      </c>
      <c r="C8117" t="inlineStr">
        <is>
          <t>Föryngringsavverkning</t>
        </is>
      </c>
      <c r="D8117" s="1" t="n">
        <v>46160</v>
      </c>
      <c r="E8117" s="1" t="n">
        <v>46319</v>
      </c>
      <c r="F8117" t="inlineStr">
        <is>
          <t>DALARNAS LÄN</t>
        </is>
      </c>
      <c r="G8117" t="inlineStr">
        <is>
          <t>LUDVIKA</t>
        </is>
      </c>
      <c r="H8117" t="inlineStr">
        <is>
          <t>Naturvårdsverket</t>
        </is>
      </c>
      <c r="I8117" t="n">
        <v>2</v>
      </c>
      <c r="J8117" t="n">
        <v>0</v>
      </c>
      <c r="K8117" t="n">
        <v>0</v>
      </c>
      <c r="L8117" t="n">
        <v>0</v>
      </c>
      <c r="M8117" t="n">
        <v>0</v>
      </c>
      <c r="N8117" t="n">
        <v>0</v>
      </c>
      <c r="O8117" t="n">
        <v>0</v>
      </c>
      <c r="P8117" t="n">
        <v>0</v>
      </c>
      <c r="Q8117" t="n">
        <v>0</v>
      </c>
      <c r="R8117" t="n">
        <v>0</v>
      </c>
      <c r="S8117" t="n">
        <v>0</v>
      </c>
      <c r="T8117" t="n">
        <v>0</v>
      </c>
      <c r="U8117" t="n">
        <v>0</v>
      </c>
      <c r="V8117" s="2" t="inlineStr"/>
    </row>
    <row r="8118" ht="15" customHeight="1">
      <c r="A8118" t="inlineStr">
        <is>
          <t>A 22820-2026</t>
        </is>
      </c>
      <c r="B8118" t="inlineStr">
        <is>
          <t>avverkningsanmälan</t>
        </is>
      </c>
      <c r="C8118" t="inlineStr">
        <is>
          <t>Föryngringsavverkning</t>
        </is>
      </c>
      <c r="D8118" s="1" t="n">
        <v>46160</v>
      </c>
      <c r="E8118" s="1" t="n">
        <v>46319</v>
      </c>
      <c r="F8118" t="inlineStr">
        <is>
          <t>DALARNAS LÄN</t>
        </is>
      </c>
      <c r="G8118" t="inlineStr">
        <is>
          <t>FALUN</t>
        </is>
      </c>
      <c r="H8118" t="inlineStr">
        <is>
          <t>Bergvik skog väst AB</t>
        </is>
      </c>
      <c r="I8118" t="n">
        <v>1</v>
      </c>
      <c r="J8118" t="n">
        <v>0</v>
      </c>
      <c r="K8118" t="n">
        <v>0</v>
      </c>
      <c r="L8118" t="n">
        <v>0</v>
      </c>
      <c r="M8118" t="n">
        <v>0</v>
      </c>
      <c r="N8118" t="n">
        <v>0</v>
      </c>
      <c r="O8118" t="n">
        <v>0</v>
      </c>
      <c r="P8118" t="n">
        <v>0</v>
      </c>
      <c r="Q8118" t="n">
        <v>0</v>
      </c>
      <c r="R8118" t="n">
        <v>0</v>
      </c>
      <c r="S8118" t="n">
        <v>0</v>
      </c>
      <c r="T8118" t="n">
        <v>0</v>
      </c>
      <c r="U8118" t="n">
        <v>0</v>
      </c>
      <c r="V8118" s="2" t="inlineStr"/>
    </row>
    <row r="8119" ht="15" customHeight="1">
      <c r="A8119" t="inlineStr">
        <is>
          <t>A 65249-2021</t>
        </is>
      </c>
      <c r="B8119" t="inlineStr">
        <is>
          <t>avverkningsanmälan</t>
        </is>
      </c>
      <c r="C8119" t="inlineStr">
        <is>
          <t>Föryngringsavverkning</t>
        </is>
      </c>
      <c r="D8119" s="1" t="n">
        <v>44515</v>
      </c>
      <c r="E8119" s="1" t="n">
        <v>46319</v>
      </c>
      <c r="F8119" t="inlineStr">
        <is>
          <t>DALARNAS LÄN</t>
        </is>
      </c>
      <c r="G8119" t="inlineStr">
        <is>
          <t>SMEDJEBACKEN</t>
        </is>
      </c>
      <c r="I8119" t="n">
        <v>0.9</v>
      </c>
      <c r="J8119" t="n">
        <v>0</v>
      </c>
      <c r="K8119" t="n">
        <v>0</v>
      </c>
      <c r="L8119" t="n">
        <v>0</v>
      </c>
      <c r="M8119" t="n">
        <v>0</v>
      </c>
      <c r="N8119" t="n">
        <v>0</v>
      </c>
      <c r="O8119" t="n">
        <v>0</v>
      </c>
      <c r="P8119" t="n">
        <v>0</v>
      </c>
      <c r="Q8119" t="n">
        <v>0</v>
      </c>
      <c r="R8119" t="n">
        <v>0</v>
      </c>
      <c r="S8119" t="n">
        <v>0</v>
      </c>
      <c r="T8119" t="n">
        <v>0</v>
      </c>
      <c r="U8119" t="n">
        <v>0</v>
      </c>
      <c r="V8119" s="2" t="inlineStr"/>
    </row>
    <row r="8120" ht="15" customHeight="1">
      <c r="A8120" t="inlineStr">
        <is>
          <t>A 57745-2024</t>
        </is>
      </c>
      <c r="B8120" t="inlineStr">
        <is>
          <t>avverkningsanmälan</t>
        </is>
      </c>
      <c r="C8120" t="inlineStr">
        <is>
          <t>Föryngringsavverkning</t>
        </is>
      </c>
      <c r="D8120" s="1" t="n">
        <v>45630</v>
      </c>
      <c r="E8120" s="1" t="n">
        <v>46319</v>
      </c>
      <c r="F8120" t="inlineStr">
        <is>
          <t>DALARNAS LÄN</t>
        </is>
      </c>
      <c r="G8120" t="inlineStr">
        <is>
          <t>HEDEMORA</t>
        </is>
      </c>
      <c r="I8120" t="n">
        <v>1.1</v>
      </c>
      <c r="J8120" t="n">
        <v>0</v>
      </c>
      <c r="K8120" t="n">
        <v>0</v>
      </c>
      <c r="L8120" t="n">
        <v>0</v>
      </c>
      <c r="M8120" t="n">
        <v>0</v>
      </c>
      <c r="N8120" t="n">
        <v>0</v>
      </c>
      <c r="O8120" t="n">
        <v>0</v>
      </c>
      <c r="P8120" t="n">
        <v>0</v>
      </c>
      <c r="Q8120" t="n">
        <v>0</v>
      </c>
      <c r="R8120" t="n">
        <v>0</v>
      </c>
      <c r="S8120" t="n">
        <v>0</v>
      </c>
      <c r="T8120" t="n">
        <v>0</v>
      </c>
      <c r="U8120" t="n">
        <v>0</v>
      </c>
      <c r="V8120" s="2" t="inlineStr"/>
    </row>
    <row r="8121" ht="15" customHeight="1">
      <c r="A8121" t="inlineStr">
        <is>
          <t>A 18714-2026</t>
        </is>
      </c>
      <c r="B8121" t="inlineStr">
        <is>
          <t>avverkningsanmälan</t>
        </is>
      </c>
      <c r="C8121" t="inlineStr">
        <is>
          <t>Föryngringsavverkning</t>
        </is>
      </c>
      <c r="D8121" s="1" t="n">
        <v>46128</v>
      </c>
      <c r="E8121" s="1" t="n">
        <v>46319</v>
      </c>
      <c r="F8121" t="inlineStr">
        <is>
          <t>DALARNAS LÄN</t>
        </is>
      </c>
      <c r="G8121" t="inlineStr">
        <is>
          <t>FALUN</t>
        </is>
      </c>
      <c r="H8121" t="inlineStr">
        <is>
          <t>Bergvik skog väst AB</t>
        </is>
      </c>
      <c r="I8121" t="n">
        <v>3.1</v>
      </c>
      <c r="J8121" t="n">
        <v>0</v>
      </c>
      <c r="K8121" t="n">
        <v>0</v>
      </c>
      <c r="L8121" t="n">
        <v>0</v>
      </c>
      <c r="M8121" t="n">
        <v>0</v>
      </c>
      <c r="N8121" t="n">
        <v>0</v>
      </c>
      <c r="O8121" t="n">
        <v>0</v>
      </c>
      <c r="P8121" t="n">
        <v>0</v>
      </c>
      <c r="Q8121" t="n">
        <v>0</v>
      </c>
      <c r="R8121" t="n">
        <v>0</v>
      </c>
      <c r="S8121" t="n">
        <v>0</v>
      </c>
      <c r="T8121" t="n">
        <v>0</v>
      </c>
      <c r="U8121" t="n">
        <v>0</v>
      </c>
      <c r="V8121" s="2" t="inlineStr"/>
    </row>
    <row r="8122" ht="15" customHeight="1">
      <c r="A8122" t="inlineStr">
        <is>
          <t>A 7601-2024</t>
        </is>
      </c>
      <c r="B8122" t="inlineStr">
        <is>
          <t>avverkningsanmälan</t>
        </is>
      </c>
      <c r="C8122" t="inlineStr">
        <is>
          <t>Föryngringsavverkning</t>
        </is>
      </c>
      <c r="D8122" s="1" t="n">
        <v>45348</v>
      </c>
      <c r="E8122" s="1" t="n">
        <v>46319</v>
      </c>
      <c r="F8122" t="inlineStr">
        <is>
          <t>DALARNAS LÄN</t>
        </is>
      </c>
      <c r="G8122" t="inlineStr">
        <is>
          <t>GAGNEF</t>
        </is>
      </c>
      <c r="I8122" t="n">
        <v>2</v>
      </c>
      <c r="J8122" t="n">
        <v>0</v>
      </c>
      <c r="K8122" t="n">
        <v>0</v>
      </c>
      <c r="L8122" t="n">
        <v>0</v>
      </c>
      <c r="M8122" t="n">
        <v>0</v>
      </c>
      <c r="N8122" t="n">
        <v>0</v>
      </c>
      <c r="O8122" t="n">
        <v>0</v>
      </c>
      <c r="P8122" t="n">
        <v>0</v>
      </c>
      <c r="Q8122" t="n">
        <v>0</v>
      </c>
      <c r="R8122" t="n">
        <v>0</v>
      </c>
      <c r="S8122" t="n">
        <v>0</v>
      </c>
      <c r="T8122" t="n">
        <v>0</v>
      </c>
      <c r="U8122" t="n">
        <v>0</v>
      </c>
      <c r="V8122" s="2" t="inlineStr"/>
    </row>
    <row r="8123" ht="15" customHeight="1">
      <c r="A8123" t="inlineStr">
        <is>
          <t>A 22805-2026</t>
        </is>
      </c>
      <c r="B8123" t="inlineStr">
        <is>
          <t>avverkningsanmälan</t>
        </is>
      </c>
      <c r="C8123" t="inlineStr">
        <is>
          <t>Föryngringsavverkning</t>
        </is>
      </c>
      <c r="D8123" s="1" t="n">
        <v>46159</v>
      </c>
      <c r="E8123" s="1" t="n">
        <v>46319</v>
      </c>
      <c r="F8123" t="inlineStr">
        <is>
          <t>DALARNAS LÄN</t>
        </is>
      </c>
      <c r="G8123" t="inlineStr">
        <is>
          <t>BORLÄNGE</t>
        </is>
      </c>
      <c r="I8123" t="n">
        <v>1.1</v>
      </c>
      <c r="J8123" t="n">
        <v>0</v>
      </c>
      <c r="K8123" t="n">
        <v>0</v>
      </c>
      <c r="L8123" t="n">
        <v>0</v>
      </c>
      <c r="M8123" t="n">
        <v>0</v>
      </c>
      <c r="N8123" t="n">
        <v>0</v>
      </c>
      <c r="O8123" t="n">
        <v>0</v>
      </c>
      <c r="P8123" t="n">
        <v>0</v>
      </c>
      <c r="Q8123" t="n">
        <v>0</v>
      </c>
      <c r="R8123" t="n">
        <v>0</v>
      </c>
      <c r="S8123" t="n">
        <v>0</v>
      </c>
      <c r="T8123" t="n">
        <v>0</v>
      </c>
      <c r="U8123" t="n">
        <v>0</v>
      </c>
      <c r="V8123" s="2" t="inlineStr"/>
    </row>
    <row r="8124" ht="15" customHeight="1">
      <c r="A8124" t="inlineStr">
        <is>
          <t>A 62315-2022</t>
        </is>
      </c>
      <c r="B8124" t="inlineStr">
        <is>
          <t>avverkningsanmälan</t>
        </is>
      </c>
      <c r="C8124" t="inlineStr">
        <is>
          <t>Föryngringsavverkning</t>
        </is>
      </c>
      <c r="D8124" s="1" t="n">
        <v>44916</v>
      </c>
      <c r="E8124" s="1" t="n">
        <v>46319</v>
      </c>
      <c r="F8124" t="inlineStr">
        <is>
          <t>DALARNAS LÄN</t>
        </is>
      </c>
      <c r="G8124" t="inlineStr">
        <is>
          <t>ÄLVDALEN</t>
        </is>
      </c>
      <c r="I8124" t="n">
        <v>2.1</v>
      </c>
      <c r="J8124" t="n">
        <v>0</v>
      </c>
      <c r="K8124" t="n">
        <v>0</v>
      </c>
      <c r="L8124" t="n">
        <v>0</v>
      </c>
      <c r="M8124" t="n">
        <v>0</v>
      </c>
      <c r="N8124" t="n">
        <v>0</v>
      </c>
      <c r="O8124" t="n">
        <v>0</v>
      </c>
      <c r="P8124" t="n">
        <v>0</v>
      </c>
      <c r="Q8124" t="n">
        <v>0</v>
      </c>
      <c r="R8124" t="n">
        <v>0</v>
      </c>
      <c r="S8124" t="n">
        <v>0</v>
      </c>
      <c r="T8124" t="n">
        <v>0</v>
      </c>
      <c r="U8124" t="n">
        <v>0</v>
      </c>
      <c r="V8124" s="2" t="inlineStr"/>
    </row>
    <row r="8125" ht="15" customHeight="1">
      <c r="A8125" t="inlineStr">
        <is>
          <t>A 62369-2022</t>
        </is>
      </c>
      <c r="B8125" t="inlineStr">
        <is>
          <t>avverkningsanmälan</t>
        </is>
      </c>
      <c r="C8125" t="inlineStr">
        <is>
          <t>Föryngringsavverkning</t>
        </is>
      </c>
      <c r="D8125" s="1" t="n">
        <v>44923</v>
      </c>
      <c r="E8125" s="1" t="n">
        <v>46319</v>
      </c>
      <c r="F8125" t="inlineStr">
        <is>
          <t>DALARNAS LÄN</t>
        </is>
      </c>
      <c r="G8125" t="inlineStr">
        <is>
          <t>MALUNG-SÄLEN</t>
        </is>
      </c>
      <c r="I8125" t="n">
        <v>7.1</v>
      </c>
      <c r="J8125" t="n">
        <v>0</v>
      </c>
      <c r="K8125" t="n">
        <v>0</v>
      </c>
      <c r="L8125" t="n">
        <v>0</v>
      </c>
      <c r="M8125" t="n">
        <v>0</v>
      </c>
      <c r="N8125" t="n">
        <v>0</v>
      </c>
      <c r="O8125" t="n">
        <v>0</v>
      </c>
      <c r="P8125" t="n">
        <v>0</v>
      </c>
      <c r="Q8125" t="n">
        <v>0</v>
      </c>
      <c r="R8125" t="n">
        <v>0</v>
      </c>
      <c r="S8125" t="n">
        <v>0</v>
      </c>
      <c r="T8125" t="n">
        <v>0</v>
      </c>
      <c r="U8125" t="n">
        <v>0</v>
      </c>
      <c r="V8125" s="2" t="inlineStr"/>
    </row>
    <row r="8126" ht="15" customHeight="1">
      <c r="A8126" t="inlineStr">
        <is>
          <t>A 3418-2024</t>
        </is>
      </c>
      <c r="B8126" t="inlineStr">
        <is>
          <t>avverkningsanmälan</t>
        </is>
      </c>
      <c r="C8126" t="inlineStr">
        <is>
          <t>Föryngringsavverkning</t>
        </is>
      </c>
      <c r="D8126" s="1" t="n">
        <v>45319</v>
      </c>
      <c r="E8126" s="1" t="n">
        <v>46319</v>
      </c>
      <c r="F8126" t="inlineStr">
        <is>
          <t>DALARNAS LÄN</t>
        </is>
      </c>
      <c r="G8126" t="inlineStr">
        <is>
          <t>SMEDJEBACKEN</t>
        </is>
      </c>
      <c r="I8126" t="n">
        <v>4.3</v>
      </c>
      <c r="J8126" t="n">
        <v>0</v>
      </c>
      <c r="K8126" t="n">
        <v>0</v>
      </c>
      <c r="L8126" t="n">
        <v>0</v>
      </c>
      <c r="M8126" t="n">
        <v>0</v>
      </c>
      <c r="N8126" t="n">
        <v>0</v>
      </c>
      <c r="O8126" t="n">
        <v>0</v>
      </c>
      <c r="P8126" t="n">
        <v>0</v>
      </c>
      <c r="Q8126" t="n">
        <v>0</v>
      </c>
      <c r="R8126" t="n">
        <v>0</v>
      </c>
      <c r="S8126" t="n">
        <v>0</v>
      </c>
      <c r="T8126" t="n">
        <v>0</v>
      </c>
      <c r="U8126" t="n">
        <v>0</v>
      </c>
      <c r="V8126" s="2" t="inlineStr"/>
    </row>
    <row r="8127" ht="15" customHeight="1">
      <c r="A8127" t="inlineStr">
        <is>
          <t>A 61872-2024</t>
        </is>
      </c>
      <c r="B8127" t="inlineStr">
        <is>
          <t>avverkningsanmälan</t>
        </is>
      </c>
      <c r="C8127" t="inlineStr">
        <is>
          <t>Föryngringsavverkning</t>
        </is>
      </c>
      <c r="D8127" s="1" t="n">
        <v>45651</v>
      </c>
      <c r="E8127" s="1" t="n">
        <v>46319</v>
      </c>
      <c r="F8127" t="inlineStr">
        <is>
          <t>DALARNAS LÄN</t>
        </is>
      </c>
      <c r="G8127" t="inlineStr">
        <is>
          <t>GAGNEF</t>
        </is>
      </c>
      <c r="I8127" t="n">
        <v>6.7</v>
      </c>
      <c r="J8127" t="n">
        <v>0</v>
      </c>
      <c r="K8127" t="n">
        <v>0</v>
      </c>
      <c r="L8127" t="n">
        <v>0</v>
      </c>
      <c r="M8127" t="n">
        <v>0</v>
      </c>
      <c r="N8127" t="n">
        <v>0</v>
      </c>
      <c r="O8127" t="n">
        <v>0</v>
      </c>
      <c r="P8127" t="n">
        <v>0</v>
      </c>
      <c r="Q8127" t="n">
        <v>0</v>
      </c>
      <c r="R8127" t="n">
        <v>0</v>
      </c>
      <c r="S8127" t="n">
        <v>0</v>
      </c>
      <c r="T8127" t="n">
        <v>0</v>
      </c>
      <c r="U8127" t="n">
        <v>0</v>
      </c>
      <c r="V8127" s="2" t="inlineStr"/>
    </row>
    <row r="8128" ht="15" customHeight="1">
      <c r="A8128" t="inlineStr">
        <is>
          <t>A 22741-2026</t>
        </is>
      </c>
      <c r="B8128" t="inlineStr">
        <is>
          <t>avverkningsanmälan</t>
        </is>
      </c>
      <c r="C8128" t="inlineStr">
        <is>
          <t>Föryngringsavverkning</t>
        </is>
      </c>
      <c r="D8128" s="1" t="n">
        <v>46157</v>
      </c>
      <c r="E8128" s="1" t="n">
        <v>46319</v>
      </c>
      <c r="F8128" t="inlineStr">
        <is>
          <t>DALARNAS LÄN</t>
        </is>
      </c>
      <c r="G8128" t="inlineStr">
        <is>
          <t>RÄTTVIK</t>
        </is>
      </c>
      <c r="I8128" t="n">
        <v>0.4</v>
      </c>
      <c r="J8128" t="n">
        <v>0</v>
      </c>
      <c r="K8128" t="n">
        <v>0</v>
      </c>
      <c r="L8128" t="n">
        <v>0</v>
      </c>
      <c r="M8128" t="n">
        <v>0</v>
      </c>
      <c r="N8128" t="n">
        <v>0</v>
      </c>
      <c r="O8128" t="n">
        <v>0</v>
      </c>
      <c r="P8128" t="n">
        <v>0</v>
      </c>
      <c r="Q8128" t="n">
        <v>0</v>
      </c>
      <c r="R8128" t="n">
        <v>0</v>
      </c>
      <c r="S8128" t="n">
        <v>0</v>
      </c>
      <c r="T8128" t="n">
        <v>0</v>
      </c>
      <c r="U8128" t="n">
        <v>0</v>
      </c>
      <c r="V8128" s="2" t="inlineStr"/>
    </row>
    <row r="8129" ht="15" customHeight="1">
      <c r="A8129" t="inlineStr">
        <is>
          <t>A 11712-2026</t>
        </is>
      </c>
      <c r="B8129" t="inlineStr">
        <is>
          <t>avverkningsanmälan</t>
        </is>
      </c>
      <c r="C8129" t="inlineStr">
        <is>
          <t>Föryngringsavverkning</t>
        </is>
      </c>
      <c r="D8129" s="1" t="n">
        <v>46084</v>
      </c>
      <c r="E8129" s="1" t="n">
        <v>46319</v>
      </c>
      <c r="F8129" t="inlineStr">
        <is>
          <t>DALARNAS LÄN</t>
        </is>
      </c>
      <c r="G8129" t="inlineStr">
        <is>
          <t>FALUN</t>
        </is>
      </c>
      <c r="H8129" t="inlineStr">
        <is>
          <t>Bergvik skog väst AB</t>
        </is>
      </c>
      <c r="I8129" t="n">
        <v>5.9</v>
      </c>
      <c r="J8129" t="n">
        <v>0</v>
      </c>
      <c r="K8129" t="n">
        <v>0</v>
      </c>
      <c r="L8129" t="n">
        <v>0</v>
      </c>
      <c r="M8129" t="n">
        <v>0</v>
      </c>
      <c r="N8129" t="n">
        <v>0</v>
      </c>
      <c r="O8129" t="n">
        <v>0</v>
      </c>
      <c r="P8129" t="n">
        <v>0</v>
      </c>
      <c r="Q8129" t="n">
        <v>0</v>
      </c>
      <c r="R8129" t="n">
        <v>0</v>
      </c>
      <c r="S8129" t="n">
        <v>0</v>
      </c>
      <c r="T8129" t="n">
        <v>0</v>
      </c>
      <c r="U8129" t="n">
        <v>0</v>
      </c>
      <c r="V8129" s="2" t="inlineStr"/>
    </row>
    <row r="8130" ht="15" customHeight="1">
      <c r="A8130" t="inlineStr">
        <is>
          <t>A 32770-2023</t>
        </is>
      </c>
      <c r="B8130" t="inlineStr">
        <is>
          <t>avverkningsanmälan</t>
        </is>
      </c>
      <c r="C8130" t="inlineStr">
        <is>
          <t>Avverkning för att bevara och utveckla /försöksver</t>
        </is>
      </c>
      <c r="D8130" s="1" t="n">
        <v>45123</v>
      </c>
      <c r="E8130" s="1" t="n">
        <v>46319</v>
      </c>
      <c r="F8130" t="inlineStr">
        <is>
          <t>DALARNAS LÄN</t>
        </is>
      </c>
      <c r="G8130" t="inlineStr">
        <is>
          <t>AVESTA</t>
        </is>
      </c>
      <c r="I8130" t="n">
        <v>5.6</v>
      </c>
      <c r="J8130" t="n">
        <v>0</v>
      </c>
      <c r="K8130" t="n">
        <v>0</v>
      </c>
      <c r="L8130" t="n">
        <v>0</v>
      </c>
      <c r="M8130" t="n">
        <v>0</v>
      </c>
      <c r="N8130" t="n">
        <v>0</v>
      </c>
      <c r="O8130" t="n">
        <v>0</v>
      </c>
      <c r="P8130" t="n">
        <v>0</v>
      </c>
      <c r="Q8130" t="n">
        <v>0</v>
      </c>
      <c r="R8130" t="n">
        <v>0</v>
      </c>
      <c r="S8130" t="n">
        <v>0</v>
      </c>
      <c r="T8130" t="n">
        <v>0</v>
      </c>
      <c r="U8130" t="n">
        <v>0</v>
      </c>
      <c r="V8130" s="2" t="inlineStr"/>
    </row>
    <row r="8131" ht="15" customHeight="1">
      <c r="A8131" t="inlineStr">
        <is>
          <t>A 22728-2026</t>
        </is>
      </c>
      <c r="B8131" t="inlineStr">
        <is>
          <t>avverkningsanmälan</t>
        </is>
      </c>
      <c r="C8131" t="inlineStr">
        <is>
          <t>Föryngringsavverkning</t>
        </is>
      </c>
      <c r="D8131" s="1" t="n">
        <v>46157</v>
      </c>
      <c r="E8131" s="1" t="n">
        <v>46319</v>
      </c>
      <c r="F8131" t="inlineStr">
        <is>
          <t>DALARNAS LÄN</t>
        </is>
      </c>
      <c r="G8131" t="inlineStr">
        <is>
          <t>ORSA</t>
        </is>
      </c>
      <c r="H8131" t="inlineStr">
        <is>
          <t>Allmännings- och besparingsskogar</t>
        </is>
      </c>
      <c r="I8131" t="n">
        <v>4</v>
      </c>
      <c r="J8131" t="n">
        <v>0</v>
      </c>
      <c r="K8131" t="n">
        <v>0</v>
      </c>
      <c r="L8131" t="n">
        <v>0</v>
      </c>
      <c r="M8131" t="n">
        <v>0</v>
      </c>
      <c r="N8131" t="n">
        <v>0</v>
      </c>
      <c r="O8131" t="n">
        <v>0</v>
      </c>
      <c r="P8131" t="n">
        <v>0</v>
      </c>
      <c r="Q8131" t="n">
        <v>0</v>
      </c>
      <c r="R8131" t="n">
        <v>0</v>
      </c>
      <c r="S8131" t="n">
        <v>0</v>
      </c>
      <c r="T8131" t="n">
        <v>0</v>
      </c>
      <c r="U8131" t="n">
        <v>0</v>
      </c>
      <c r="V8131" s="2" t="inlineStr"/>
    </row>
    <row r="8132" ht="15" customHeight="1">
      <c r="A8132" t="inlineStr">
        <is>
          <t>A 22953-2026</t>
        </is>
      </c>
      <c r="B8132" t="inlineStr">
        <is>
          <t>avverkningsanmälan</t>
        </is>
      </c>
      <c r="C8132" t="inlineStr">
        <is>
          <t>Föryngringsavverkning</t>
        </is>
      </c>
      <c r="D8132" s="1" t="n">
        <v>46160</v>
      </c>
      <c r="E8132" s="1" t="n">
        <v>46319</v>
      </c>
      <c r="F8132" t="inlineStr">
        <is>
          <t>DALARNAS LÄN</t>
        </is>
      </c>
      <c r="G8132" t="inlineStr">
        <is>
          <t>MORA</t>
        </is>
      </c>
      <c r="I8132" t="n">
        <v>2.4</v>
      </c>
      <c r="J8132" t="n">
        <v>0</v>
      </c>
      <c r="K8132" t="n">
        <v>0</v>
      </c>
      <c r="L8132" t="n">
        <v>0</v>
      </c>
      <c r="M8132" t="n">
        <v>0</v>
      </c>
      <c r="N8132" t="n">
        <v>0</v>
      </c>
      <c r="O8132" t="n">
        <v>0</v>
      </c>
      <c r="P8132" t="n">
        <v>0</v>
      </c>
      <c r="Q8132" t="n">
        <v>0</v>
      </c>
      <c r="R8132" t="n">
        <v>0</v>
      </c>
      <c r="S8132" t="n">
        <v>0</v>
      </c>
      <c r="T8132" t="n">
        <v>0</v>
      </c>
      <c r="U8132" t="n">
        <v>0</v>
      </c>
      <c r="V8132" s="2" t="inlineStr"/>
    </row>
    <row r="8133" ht="15" customHeight="1">
      <c r="A8133" t="inlineStr">
        <is>
          <t>A 59632-2023</t>
        </is>
      </c>
      <c r="B8133" t="inlineStr">
        <is>
          <t>avverkningsanmälan</t>
        </is>
      </c>
      <c r="C8133" t="inlineStr">
        <is>
          <t>Föryngringsavverkning</t>
        </is>
      </c>
      <c r="D8133" s="1" t="n">
        <v>45254</v>
      </c>
      <c r="E8133" s="1" t="n">
        <v>46319</v>
      </c>
      <c r="F8133" t="inlineStr">
        <is>
          <t>DALARNAS LÄN</t>
        </is>
      </c>
      <c r="G8133" t="inlineStr">
        <is>
          <t>HEDEMORA</t>
        </is>
      </c>
      <c r="I8133" t="n">
        <v>1.4</v>
      </c>
      <c r="J8133" t="n">
        <v>0</v>
      </c>
      <c r="K8133" t="n">
        <v>0</v>
      </c>
      <c r="L8133" t="n">
        <v>0</v>
      </c>
      <c r="M8133" t="n">
        <v>0</v>
      </c>
      <c r="N8133" t="n">
        <v>0</v>
      </c>
      <c r="O8133" t="n">
        <v>0</v>
      </c>
      <c r="P8133" t="n">
        <v>0</v>
      </c>
      <c r="Q8133" t="n">
        <v>0</v>
      </c>
      <c r="R8133" t="n">
        <v>0</v>
      </c>
      <c r="S8133" t="n">
        <v>0</v>
      </c>
      <c r="T8133" t="n">
        <v>0</v>
      </c>
      <c r="U8133" t="n">
        <v>0</v>
      </c>
      <c r="V8133" s="2" t="inlineStr"/>
    </row>
    <row r="8134" ht="15" customHeight="1">
      <c r="A8134" t="inlineStr">
        <is>
          <t>A 22763-2026</t>
        </is>
      </c>
      <c r="B8134" t="inlineStr">
        <is>
          <t>avverkningsanmälan</t>
        </is>
      </c>
      <c r="C8134" t="inlineStr">
        <is>
          <t>Föryngringsavverkning</t>
        </is>
      </c>
      <c r="D8134" s="1" t="n">
        <v>46157</v>
      </c>
      <c r="E8134" s="1" t="n">
        <v>46319</v>
      </c>
      <c r="F8134" t="inlineStr">
        <is>
          <t>DALARNAS LÄN</t>
        </is>
      </c>
      <c r="G8134" t="inlineStr">
        <is>
          <t>SMEDJEBACKEN</t>
        </is>
      </c>
      <c r="I8134" t="n">
        <v>2</v>
      </c>
      <c r="J8134" t="n">
        <v>0</v>
      </c>
      <c r="K8134" t="n">
        <v>0</v>
      </c>
      <c r="L8134" t="n">
        <v>0</v>
      </c>
      <c r="M8134" t="n">
        <v>0</v>
      </c>
      <c r="N8134" t="n">
        <v>0</v>
      </c>
      <c r="O8134" t="n">
        <v>0</v>
      </c>
      <c r="P8134" t="n">
        <v>0</v>
      </c>
      <c r="Q8134" t="n">
        <v>0</v>
      </c>
      <c r="R8134" t="n">
        <v>0</v>
      </c>
      <c r="S8134" t="n">
        <v>0</v>
      </c>
      <c r="T8134" t="n">
        <v>0</v>
      </c>
      <c r="U8134" t="n">
        <v>0</v>
      </c>
      <c r="V8134" s="2" t="inlineStr"/>
    </row>
    <row r="8135" ht="15" customHeight="1">
      <c r="A8135" t="inlineStr">
        <is>
          <t>A 22962-2026</t>
        </is>
      </c>
      <c r="B8135" t="inlineStr">
        <is>
          <t>avverkningsanmälan</t>
        </is>
      </c>
      <c r="C8135" t="inlineStr">
        <is>
          <t>Föryngringsavverkning</t>
        </is>
      </c>
      <c r="D8135" s="1" t="n">
        <v>46160</v>
      </c>
      <c r="E8135" s="1" t="n">
        <v>46319</v>
      </c>
      <c r="F8135" t="inlineStr">
        <is>
          <t>DALARNAS LÄN</t>
        </is>
      </c>
      <c r="G8135" t="inlineStr">
        <is>
          <t>MORA</t>
        </is>
      </c>
      <c r="H8135" t="inlineStr">
        <is>
          <t>Bergvik skog öst AB</t>
        </is>
      </c>
      <c r="I8135" t="n">
        <v>1.9</v>
      </c>
      <c r="J8135" t="n">
        <v>0</v>
      </c>
      <c r="K8135" t="n">
        <v>0</v>
      </c>
      <c r="L8135" t="n">
        <v>0</v>
      </c>
      <c r="M8135" t="n">
        <v>0</v>
      </c>
      <c r="N8135" t="n">
        <v>0</v>
      </c>
      <c r="O8135" t="n">
        <v>0</v>
      </c>
      <c r="P8135" t="n">
        <v>0</v>
      </c>
      <c r="Q8135" t="n">
        <v>0</v>
      </c>
      <c r="R8135" t="n">
        <v>0</v>
      </c>
      <c r="S8135" t="n">
        <v>0</v>
      </c>
      <c r="T8135" t="n">
        <v>0</v>
      </c>
      <c r="U8135" t="n">
        <v>0</v>
      </c>
      <c r="V8135" s="2" t="inlineStr"/>
    </row>
    <row r="8136" ht="15" customHeight="1">
      <c r="A8136" t="inlineStr">
        <is>
          <t>A 4954-2025</t>
        </is>
      </c>
      <c r="B8136" t="inlineStr">
        <is>
          <t>avverkningsanmälan</t>
        </is>
      </c>
      <c r="C8136" t="inlineStr">
        <is>
          <t>Föryngringsavverkning</t>
        </is>
      </c>
      <c r="D8136" s="1" t="n">
        <v>45689</v>
      </c>
      <c r="E8136" s="1" t="n">
        <v>46319</v>
      </c>
      <c r="F8136" t="inlineStr">
        <is>
          <t>DALARNAS LÄN</t>
        </is>
      </c>
      <c r="G8136" t="inlineStr">
        <is>
          <t>VANSBRO</t>
        </is>
      </c>
      <c r="I8136" t="n">
        <v>0.7</v>
      </c>
      <c r="J8136" t="n">
        <v>0</v>
      </c>
      <c r="K8136" t="n">
        <v>0</v>
      </c>
      <c r="L8136" t="n">
        <v>0</v>
      </c>
      <c r="M8136" t="n">
        <v>0</v>
      </c>
      <c r="N8136" t="n">
        <v>0</v>
      </c>
      <c r="O8136" t="n">
        <v>0</v>
      </c>
      <c r="P8136" t="n">
        <v>0</v>
      </c>
      <c r="Q8136" t="n">
        <v>0</v>
      </c>
      <c r="R8136" t="n">
        <v>0</v>
      </c>
      <c r="S8136" t="n">
        <v>0</v>
      </c>
      <c r="T8136" t="n">
        <v>0</v>
      </c>
      <c r="U8136" t="n">
        <v>0</v>
      </c>
      <c r="V8136" s="2" t="inlineStr"/>
    </row>
    <row r="8137" ht="15" customHeight="1">
      <c r="A8137" t="inlineStr">
        <is>
          <t>A 6337-2026</t>
        </is>
      </c>
      <c r="B8137" t="inlineStr">
        <is>
          <t>avverkningsanmälan</t>
        </is>
      </c>
      <c r="C8137" t="inlineStr">
        <is>
          <t>Föryngringsavverkning</t>
        </is>
      </c>
      <c r="D8137" s="1" t="n">
        <v>46055</v>
      </c>
      <c r="E8137" s="1" t="n">
        <v>46319</v>
      </c>
      <c r="F8137" t="inlineStr">
        <is>
          <t>DALARNAS LÄN</t>
        </is>
      </c>
      <c r="G8137" t="inlineStr">
        <is>
          <t>AVESTA</t>
        </is>
      </c>
      <c r="I8137" t="n">
        <v>2.2</v>
      </c>
      <c r="J8137" t="n">
        <v>0</v>
      </c>
      <c r="K8137" t="n">
        <v>0</v>
      </c>
      <c r="L8137" t="n">
        <v>0</v>
      </c>
      <c r="M8137" t="n">
        <v>0</v>
      </c>
      <c r="N8137" t="n">
        <v>0</v>
      </c>
      <c r="O8137" t="n">
        <v>0</v>
      </c>
      <c r="P8137" t="n">
        <v>0</v>
      </c>
      <c r="Q8137" t="n">
        <v>0</v>
      </c>
      <c r="R8137" t="n">
        <v>0</v>
      </c>
      <c r="S8137" t="n">
        <v>0</v>
      </c>
      <c r="T8137" t="n">
        <v>0</v>
      </c>
      <c r="U8137" t="n">
        <v>0</v>
      </c>
      <c r="V8137" s="2" t="inlineStr"/>
    </row>
    <row r="8138" ht="15" customHeight="1">
      <c r="A8138" t="inlineStr">
        <is>
          <t>A 22881-2026</t>
        </is>
      </c>
      <c r="B8138" t="inlineStr">
        <is>
          <t>avverkningsanmälan</t>
        </is>
      </c>
      <c r="C8138" t="inlineStr">
        <is>
          <t>Föryngringsavverkning</t>
        </is>
      </c>
      <c r="D8138" s="1" t="n">
        <v>46160</v>
      </c>
      <c r="E8138" s="1" t="n">
        <v>46319</v>
      </c>
      <c r="F8138" t="inlineStr">
        <is>
          <t>DALARNAS LÄN</t>
        </is>
      </c>
      <c r="G8138" t="inlineStr">
        <is>
          <t>FALUN</t>
        </is>
      </c>
      <c r="H8138" t="inlineStr">
        <is>
          <t>Bergvik skog väst AB</t>
        </is>
      </c>
      <c r="I8138" t="n">
        <v>2.1</v>
      </c>
      <c r="J8138" t="n">
        <v>0</v>
      </c>
      <c r="K8138" t="n">
        <v>0</v>
      </c>
      <c r="L8138" t="n">
        <v>0</v>
      </c>
      <c r="M8138" t="n">
        <v>0</v>
      </c>
      <c r="N8138" t="n">
        <v>0</v>
      </c>
      <c r="O8138" t="n">
        <v>0</v>
      </c>
      <c r="P8138" t="n">
        <v>0</v>
      </c>
      <c r="Q8138" t="n">
        <v>0</v>
      </c>
      <c r="R8138" t="n">
        <v>0</v>
      </c>
      <c r="S8138" t="n">
        <v>0</v>
      </c>
      <c r="T8138" t="n">
        <v>0</v>
      </c>
      <c r="U8138" t="n">
        <v>0</v>
      </c>
      <c r="V8138" s="2" t="inlineStr"/>
    </row>
    <row r="8139" ht="15" customHeight="1">
      <c r="A8139" t="inlineStr">
        <is>
          <t>A 6521-2023</t>
        </is>
      </c>
      <c r="B8139" t="inlineStr">
        <is>
          <t>avverkningsanmälan</t>
        </is>
      </c>
      <c r="C8139" t="inlineStr">
        <is>
          <t>Föryngringsavverkning</t>
        </is>
      </c>
      <c r="D8139" s="1" t="n">
        <v>44966</v>
      </c>
      <c r="E8139" s="1" t="n">
        <v>46319</v>
      </c>
      <c r="F8139" t="inlineStr">
        <is>
          <t>DALARNAS LÄN</t>
        </is>
      </c>
      <c r="G8139" t="inlineStr">
        <is>
          <t>AVESTA</t>
        </is>
      </c>
      <c r="I8139" t="n">
        <v>3.9</v>
      </c>
      <c r="J8139" t="n">
        <v>0</v>
      </c>
      <c r="K8139" t="n">
        <v>0</v>
      </c>
      <c r="L8139" t="n">
        <v>0</v>
      </c>
      <c r="M8139" t="n">
        <v>0</v>
      </c>
      <c r="N8139" t="n">
        <v>0</v>
      </c>
      <c r="O8139" t="n">
        <v>0</v>
      </c>
      <c r="P8139" t="n">
        <v>0</v>
      </c>
      <c r="Q8139" t="n">
        <v>0</v>
      </c>
      <c r="R8139" t="n">
        <v>0</v>
      </c>
      <c r="S8139" t="n">
        <v>0</v>
      </c>
      <c r="T8139" t="n">
        <v>0</v>
      </c>
      <c r="U8139" t="n">
        <v>0</v>
      </c>
      <c r="V8139" s="2" t="inlineStr"/>
    </row>
    <row r="8140" ht="15" customHeight="1">
      <c r="A8140" t="inlineStr">
        <is>
          <t>A 52816-2024</t>
        </is>
      </c>
      <c r="B8140" t="inlineStr">
        <is>
          <t>avverkningsanmälan</t>
        </is>
      </c>
      <c r="C8140" t="inlineStr">
        <is>
          <t>Föryngringsavverkning</t>
        </is>
      </c>
      <c r="D8140" s="1" t="n">
        <v>45610</v>
      </c>
      <c r="E8140" s="1" t="n">
        <v>46319</v>
      </c>
      <c r="F8140" t="inlineStr">
        <is>
          <t>DALARNAS LÄN</t>
        </is>
      </c>
      <c r="G8140" t="inlineStr">
        <is>
          <t>ORSA</t>
        </is>
      </c>
      <c r="H8140" t="inlineStr">
        <is>
          <t>Bergvik skog öst AB</t>
        </is>
      </c>
      <c r="I8140" t="n">
        <v>2.2</v>
      </c>
      <c r="J8140" t="n">
        <v>0</v>
      </c>
      <c r="K8140" t="n">
        <v>0</v>
      </c>
      <c r="L8140" t="n">
        <v>0</v>
      </c>
      <c r="M8140" t="n">
        <v>0</v>
      </c>
      <c r="N8140" t="n">
        <v>0</v>
      </c>
      <c r="O8140" t="n">
        <v>0</v>
      </c>
      <c r="P8140" t="n">
        <v>0</v>
      </c>
      <c r="Q8140" t="n">
        <v>0</v>
      </c>
      <c r="R8140" t="n">
        <v>0</v>
      </c>
      <c r="S8140" t="n">
        <v>0</v>
      </c>
      <c r="T8140" t="n">
        <v>0</v>
      </c>
      <c r="U8140" t="n">
        <v>0</v>
      </c>
      <c r="V8140" s="2" t="inlineStr"/>
    </row>
    <row r="8141" ht="15" customHeight="1">
      <c r="A8141" t="inlineStr">
        <is>
          <t>A 22829-2026</t>
        </is>
      </c>
      <c r="B8141" t="inlineStr">
        <is>
          <t>avverkningsanmälan</t>
        </is>
      </c>
      <c r="C8141" t="inlineStr">
        <is>
          <t>Föryngringsavverkning</t>
        </is>
      </c>
      <c r="D8141" s="1" t="n">
        <v>46160</v>
      </c>
      <c r="E8141" s="1" t="n">
        <v>46319</v>
      </c>
      <c r="F8141" t="inlineStr">
        <is>
          <t>DALARNAS LÄN</t>
        </is>
      </c>
      <c r="G8141" t="inlineStr">
        <is>
          <t>ORSA</t>
        </is>
      </c>
      <c r="I8141" t="n">
        <v>2.1</v>
      </c>
      <c r="J8141" t="n">
        <v>0</v>
      </c>
      <c r="K8141" t="n">
        <v>0</v>
      </c>
      <c r="L8141" t="n">
        <v>0</v>
      </c>
      <c r="M8141" t="n">
        <v>0</v>
      </c>
      <c r="N8141" t="n">
        <v>0</v>
      </c>
      <c r="O8141" t="n">
        <v>0</v>
      </c>
      <c r="P8141" t="n">
        <v>0</v>
      </c>
      <c r="Q8141" t="n">
        <v>0</v>
      </c>
      <c r="R8141" t="n">
        <v>0</v>
      </c>
      <c r="S8141" t="n">
        <v>0</v>
      </c>
      <c r="T8141" t="n">
        <v>0</v>
      </c>
      <c r="U8141" t="n">
        <v>0</v>
      </c>
      <c r="V8141" s="2" t="inlineStr"/>
    </row>
    <row r="8142" ht="15" customHeight="1">
      <c r="A8142" t="inlineStr">
        <is>
          <t>A 22961-2026</t>
        </is>
      </c>
      <c r="B8142" t="inlineStr">
        <is>
          <t>avverkningsanmälan</t>
        </is>
      </c>
      <c r="C8142" t="inlineStr">
        <is>
          <t>Föryngringsavverkning</t>
        </is>
      </c>
      <c r="D8142" s="1" t="n">
        <v>46160</v>
      </c>
      <c r="E8142" s="1" t="n">
        <v>46319</v>
      </c>
      <c r="F8142" t="inlineStr">
        <is>
          <t>DALARNAS LÄN</t>
        </is>
      </c>
      <c r="G8142" t="inlineStr">
        <is>
          <t>FALUN</t>
        </is>
      </c>
      <c r="H8142" t="inlineStr">
        <is>
          <t>Bergvik skog väst AB</t>
        </is>
      </c>
      <c r="I8142" t="n">
        <v>1.3</v>
      </c>
      <c r="J8142" t="n">
        <v>0</v>
      </c>
      <c r="K8142" t="n">
        <v>0</v>
      </c>
      <c r="L8142" t="n">
        <v>0</v>
      </c>
      <c r="M8142" t="n">
        <v>0</v>
      </c>
      <c r="N8142" t="n">
        <v>0</v>
      </c>
      <c r="O8142" t="n">
        <v>0</v>
      </c>
      <c r="P8142" t="n">
        <v>0</v>
      </c>
      <c r="Q8142" t="n">
        <v>0</v>
      </c>
      <c r="R8142" t="n">
        <v>0</v>
      </c>
      <c r="S8142" t="n">
        <v>0</v>
      </c>
      <c r="T8142" t="n">
        <v>0</v>
      </c>
      <c r="U8142" t="n">
        <v>0</v>
      </c>
      <c r="V8142" s="2" t="inlineStr"/>
    </row>
    <row r="8143" ht="15" customHeight="1">
      <c r="A8143" t="inlineStr">
        <is>
          <t>A 20448-2026</t>
        </is>
      </c>
      <c r="B8143" t="inlineStr">
        <is>
          <t>avverkningsanmälan</t>
        </is>
      </c>
      <c r="C8143" t="inlineStr">
        <is>
          <t>Föryngringsavverkning</t>
        </is>
      </c>
      <c r="D8143" s="1" t="n">
        <v>46140</v>
      </c>
      <c r="E8143" s="1" t="n">
        <v>46319</v>
      </c>
      <c r="F8143" t="inlineStr">
        <is>
          <t>DALARNAS LÄN</t>
        </is>
      </c>
      <c r="G8143" t="inlineStr">
        <is>
          <t>FALUN</t>
        </is>
      </c>
      <c r="H8143" t="inlineStr">
        <is>
          <t>Bergvik skog väst AB</t>
        </is>
      </c>
      <c r="I8143" t="n">
        <v>2.9</v>
      </c>
      <c r="J8143" t="n">
        <v>0</v>
      </c>
      <c r="K8143" t="n">
        <v>0</v>
      </c>
      <c r="L8143" t="n">
        <v>0</v>
      </c>
      <c r="M8143" t="n">
        <v>0</v>
      </c>
      <c r="N8143" t="n">
        <v>0</v>
      </c>
      <c r="O8143" t="n">
        <v>0</v>
      </c>
      <c r="P8143" t="n">
        <v>0</v>
      </c>
      <c r="Q8143" t="n">
        <v>0</v>
      </c>
      <c r="R8143" t="n">
        <v>0</v>
      </c>
      <c r="S8143" t="n">
        <v>0</v>
      </c>
      <c r="T8143" t="n">
        <v>0</v>
      </c>
      <c r="U8143" t="n">
        <v>0</v>
      </c>
      <c r="V8143" s="2" t="inlineStr"/>
    </row>
    <row r="8144" ht="15" customHeight="1">
      <c r="A8144" t="inlineStr">
        <is>
          <t>A 54423-2024</t>
        </is>
      </c>
      <c r="B8144" t="inlineStr">
        <is>
          <t>avverkningsanmälan</t>
        </is>
      </c>
      <c r="C8144" t="inlineStr">
        <is>
          <t>Föryngringsavverkning</t>
        </is>
      </c>
      <c r="D8144" s="1" t="n">
        <v>45617</v>
      </c>
      <c r="E8144" s="1" t="n">
        <v>46319</v>
      </c>
      <c r="F8144" t="inlineStr">
        <is>
          <t>DALARNAS LÄN</t>
        </is>
      </c>
      <c r="G8144" t="inlineStr">
        <is>
          <t>VANSBRO</t>
        </is>
      </c>
      <c r="H8144" t="inlineStr">
        <is>
          <t>Bergvik skog väst AB</t>
        </is>
      </c>
      <c r="I8144" t="n">
        <v>0.6</v>
      </c>
      <c r="J8144" t="n">
        <v>0</v>
      </c>
      <c r="K8144" t="n">
        <v>0</v>
      </c>
      <c r="L8144" t="n">
        <v>0</v>
      </c>
      <c r="M8144" t="n">
        <v>0</v>
      </c>
      <c r="N8144" t="n">
        <v>0</v>
      </c>
      <c r="O8144" t="n">
        <v>0</v>
      </c>
      <c r="P8144" t="n">
        <v>0</v>
      </c>
      <c r="Q8144" t="n">
        <v>0</v>
      </c>
      <c r="R8144" t="n">
        <v>0</v>
      </c>
      <c r="S8144" t="n">
        <v>0</v>
      </c>
      <c r="T8144" t="n">
        <v>0</v>
      </c>
      <c r="U8144" t="n">
        <v>0</v>
      </c>
      <c r="V8144" s="2" t="inlineStr"/>
    </row>
    <row r="8145" ht="15" customHeight="1">
      <c r="A8145" t="inlineStr">
        <is>
          <t>A 42517-2024</t>
        </is>
      </c>
      <c r="B8145" t="inlineStr">
        <is>
          <t>avverkningsanmälan</t>
        </is>
      </c>
      <c r="C8145" t="inlineStr">
        <is>
          <t>Föryngringsavverkning</t>
        </is>
      </c>
      <c r="D8145" s="1" t="n">
        <v>45565</v>
      </c>
      <c r="E8145" s="1" t="n">
        <v>46319</v>
      </c>
      <c r="F8145" t="inlineStr">
        <is>
          <t>DALARNAS LÄN</t>
        </is>
      </c>
      <c r="G8145" t="inlineStr">
        <is>
          <t>ORSA</t>
        </is>
      </c>
      <c r="I8145" t="n">
        <v>3</v>
      </c>
      <c r="J8145" t="n">
        <v>0</v>
      </c>
      <c r="K8145" t="n">
        <v>0</v>
      </c>
      <c r="L8145" t="n">
        <v>0</v>
      </c>
      <c r="M8145" t="n">
        <v>0</v>
      </c>
      <c r="N8145" t="n">
        <v>0</v>
      </c>
      <c r="O8145" t="n">
        <v>0</v>
      </c>
      <c r="P8145" t="n">
        <v>0</v>
      </c>
      <c r="Q8145" t="n">
        <v>0</v>
      </c>
      <c r="R8145" t="n">
        <v>0</v>
      </c>
      <c r="S8145" t="n">
        <v>0</v>
      </c>
      <c r="T8145" t="n">
        <v>0</v>
      </c>
      <c r="U8145" t="n">
        <v>0</v>
      </c>
      <c r="V8145" s="2" t="inlineStr"/>
    </row>
    <row r="8146" ht="15" customHeight="1">
      <c r="A8146" t="inlineStr">
        <is>
          <t>A 43515-2024</t>
        </is>
      </c>
      <c r="B8146" t="inlineStr">
        <is>
          <t>avverkningsanmälan</t>
        </is>
      </c>
      <c r="C8146" t="inlineStr">
        <is>
          <t>Föryngringsavverkning</t>
        </is>
      </c>
      <c r="D8146" s="1" t="n">
        <v>45569</v>
      </c>
      <c r="E8146" s="1" t="n">
        <v>46319</v>
      </c>
      <c r="F8146" t="inlineStr">
        <is>
          <t>DALARNAS LÄN</t>
        </is>
      </c>
      <c r="G8146" t="inlineStr">
        <is>
          <t>BORLÄNGE</t>
        </is>
      </c>
      <c r="I8146" t="n">
        <v>1.1</v>
      </c>
      <c r="J8146" t="n">
        <v>0</v>
      </c>
      <c r="K8146" t="n">
        <v>0</v>
      </c>
      <c r="L8146" t="n">
        <v>0</v>
      </c>
      <c r="M8146" t="n">
        <v>0</v>
      </c>
      <c r="N8146" t="n">
        <v>0</v>
      </c>
      <c r="O8146" t="n">
        <v>0</v>
      </c>
      <c r="P8146" t="n">
        <v>0</v>
      </c>
      <c r="Q8146" t="n">
        <v>0</v>
      </c>
      <c r="R8146" t="n">
        <v>0</v>
      </c>
      <c r="S8146" t="n">
        <v>0</v>
      </c>
      <c r="T8146" t="n">
        <v>0</v>
      </c>
      <c r="U8146" t="n">
        <v>0</v>
      </c>
      <c r="V8146" s="2" t="inlineStr"/>
    </row>
    <row r="8147" ht="15" customHeight="1">
      <c r="A8147" t="inlineStr">
        <is>
          <t>A 22000-2022</t>
        </is>
      </c>
      <c r="B8147" t="inlineStr">
        <is>
          <t>avverkningsanmälan</t>
        </is>
      </c>
      <c r="C8147" t="inlineStr">
        <is>
          <t>Föryngringsavverkning</t>
        </is>
      </c>
      <c r="D8147" s="1" t="n">
        <v>44711</v>
      </c>
      <c r="E8147" s="1" t="n">
        <v>46319</v>
      </c>
      <c r="F8147" t="inlineStr">
        <is>
          <t>DALARNAS LÄN</t>
        </is>
      </c>
      <c r="G8147" t="inlineStr">
        <is>
          <t>LUDVIKA</t>
        </is>
      </c>
      <c r="H8147" t="inlineStr">
        <is>
          <t>Bergvik skog väst AB</t>
        </is>
      </c>
      <c r="I8147" t="n">
        <v>2.1</v>
      </c>
      <c r="J8147" t="n">
        <v>0</v>
      </c>
      <c r="K8147" t="n">
        <v>0</v>
      </c>
      <c r="L8147" t="n">
        <v>0</v>
      </c>
      <c r="M8147" t="n">
        <v>0</v>
      </c>
      <c r="N8147" t="n">
        <v>0</v>
      </c>
      <c r="O8147" t="n">
        <v>0</v>
      </c>
      <c r="P8147" t="n">
        <v>0</v>
      </c>
      <c r="Q8147" t="n">
        <v>0</v>
      </c>
      <c r="R8147" t="n">
        <v>0</v>
      </c>
      <c r="S8147" t="n">
        <v>0</v>
      </c>
      <c r="T8147" t="n">
        <v>0</v>
      </c>
      <c r="U8147" t="n">
        <v>0</v>
      </c>
      <c r="V8147" s="2" t="inlineStr"/>
    </row>
    <row r="8148" ht="15" customHeight="1">
      <c r="A8148" t="inlineStr">
        <is>
          <t>A 52426-2024</t>
        </is>
      </c>
      <c r="B8148" t="inlineStr">
        <is>
          <t>avverkningsanmälan</t>
        </is>
      </c>
      <c r="C8148" t="inlineStr">
        <is>
          <t>Föryngringsavverkning</t>
        </is>
      </c>
      <c r="D8148" s="1" t="n">
        <v>45608</v>
      </c>
      <c r="E8148" s="1" t="n">
        <v>46319</v>
      </c>
      <c r="F8148" t="inlineStr">
        <is>
          <t>DALARNAS LÄN</t>
        </is>
      </c>
      <c r="G8148" t="inlineStr">
        <is>
          <t>GAGNEF</t>
        </is>
      </c>
      <c r="I8148" t="n">
        <v>2</v>
      </c>
      <c r="J8148" t="n">
        <v>0</v>
      </c>
      <c r="K8148" t="n">
        <v>0</v>
      </c>
      <c r="L8148" t="n">
        <v>0</v>
      </c>
      <c r="M8148" t="n">
        <v>0</v>
      </c>
      <c r="N8148" t="n">
        <v>0</v>
      </c>
      <c r="O8148" t="n">
        <v>0</v>
      </c>
      <c r="P8148" t="n">
        <v>0</v>
      </c>
      <c r="Q8148" t="n">
        <v>0</v>
      </c>
      <c r="R8148" t="n">
        <v>0</v>
      </c>
      <c r="S8148" t="n">
        <v>0</v>
      </c>
      <c r="T8148" t="n">
        <v>0</v>
      </c>
      <c r="U8148" t="n">
        <v>0</v>
      </c>
      <c r="V8148" s="2" t="inlineStr"/>
    </row>
    <row r="8149" ht="15" customHeight="1">
      <c r="A8149" t="inlineStr">
        <is>
          <t>A 22819-2026</t>
        </is>
      </c>
      <c r="B8149" t="inlineStr">
        <is>
          <t>avverkningsanmälan</t>
        </is>
      </c>
      <c r="C8149" t="inlineStr">
        <is>
          <t>Föryngringsavverkning</t>
        </is>
      </c>
      <c r="D8149" s="1" t="n">
        <v>46160</v>
      </c>
      <c r="E8149" s="1" t="n">
        <v>46319</v>
      </c>
      <c r="F8149" t="inlineStr">
        <is>
          <t>DALARNAS LÄN</t>
        </is>
      </c>
      <c r="G8149" t="inlineStr">
        <is>
          <t>MALUNG-SÄLEN</t>
        </is>
      </c>
      <c r="H8149" t="inlineStr">
        <is>
          <t>Bergvik skog öst AB</t>
        </is>
      </c>
      <c r="I8149" t="n">
        <v>5.2</v>
      </c>
      <c r="J8149" t="n">
        <v>0</v>
      </c>
      <c r="K8149" t="n">
        <v>0</v>
      </c>
      <c r="L8149" t="n">
        <v>0</v>
      </c>
      <c r="M8149" t="n">
        <v>0</v>
      </c>
      <c r="N8149" t="n">
        <v>0</v>
      </c>
      <c r="O8149" t="n">
        <v>0</v>
      </c>
      <c r="P8149" t="n">
        <v>0</v>
      </c>
      <c r="Q8149" t="n">
        <v>0</v>
      </c>
      <c r="R8149" t="n">
        <v>0</v>
      </c>
      <c r="S8149" t="n">
        <v>0</v>
      </c>
      <c r="T8149" t="n">
        <v>0</v>
      </c>
      <c r="U8149" t="n">
        <v>0</v>
      </c>
      <c r="V8149" s="2" t="inlineStr"/>
    </row>
    <row r="8150" ht="15" customHeight="1">
      <c r="A8150" t="inlineStr">
        <is>
          <t>A 22907-2026</t>
        </is>
      </c>
      <c r="B8150" t="inlineStr">
        <is>
          <t>avverkningsanmälan</t>
        </is>
      </c>
      <c r="C8150" t="inlineStr">
        <is>
          <t>Föryngringsavverkning</t>
        </is>
      </c>
      <c r="D8150" s="1" t="n">
        <v>46160</v>
      </c>
      <c r="E8150" s="1" t="n">
        <v>46319</v>
      </c>
      <c r="F8150" t="inlineStr">
        <is>
          <t>DALARNAS LÄN</t>
        </is>
      </c>
      <c r="G8150" t="inlineStr">
        <is>
          <t>FALUN</t>
        </is>
      </c>
      <c r="I8150" t="n">
        <v>1.3</v>
      </c>
      <c r="J8150" t="n">
        <v>0</v>
      </c>
      <c r="K8150" t="n">
        <v>0</v>
      </c>
      <c r="L8150" t="n">
        <v>0</v>
      </c>
      <c r="M8150" t="n">
        <v>0</v>
      </c>
      <c r="N8150" t="n">
        <v>0</v>
      </c>
      <c r="O8150" t="n">
        <v>0</v>
      </c>
      <c r="P8150" t="n">
        <v>0</v>
      </c>
      <c r="Q8150" t="n">
        <v>0</v>
      </c>
      <c r="R8150" t="n">
        <v>0</v>
      </c>
      <c r="S8150" t="n">
        <v>0</v>
      </c>
      <c r="T8150" t="n">
        <v>0</v>
      </c>
      <c r="U8150" t="n">
        <v>0</v>
      </c>
      <c r="V8150" s="2" t="inlineStr"/>
    </row>
    <row r="8151" ht="15" customHeight="1">
      <c r="A8151" t="inlineStr">
        <is>
          <t>A 23323-2023</t>
        </is>
      </c>
      <c r="B8151" t="inlineStr">
        <is>
          <t>avverkningsanmälan</t>
        </is>
      </c>
      <c r="C8151" t="inlineStr">
        <is>
          <t>Föryngringsavverkning</t>
        </is>
      </c>
      <c r="D8151" s="1" t="n">
        <v>45076</v>
      </c>
      <c r="E8151" s="1" t="n">
        <v>46319</v>
      </c>
      <c r="F8151" t="inlineStr">
        <is>
          <t>DALARNAS LÄN</t>
        </is>
      </c>
      <c r="G8151" t="inlineStr">
        <is>
          <t>LEKSAND</t>
        </is>
      </c>
      <c r="I8151" t="n">
        <v>1</v>
      </c>
      <c r="J8151" t="n">
        <v>0</v>
      </c>
      <c r="K8151" t="n">
        <v>0</v>
      </c>
      <c r="L8151" t="n">
        <v>0</v>
      </c>
      <c r="M8151" t="n">
        <v>0</v>
      </c>
      <c r="N8151" t="n">
        <v>0</v>
      </c>
      <c r="O8151" t="n">
        <v>0</v>
      </c>
      <c r="P8151" t="n">
        <v>0</v>
      </c>
      <c r="Q8151" t="n">
        <v>0</v>
      </c>
      <c r="R8151" t="n">
        <v>0</v>
      </c>
      <c r="S8151" t="n">
        <v>0</v>
      </c>
      <c r="T8151" t="n">
        <v>0</v>
      </c>
      <c r="U8151" t="n">
        <v>0</v>
      </c>
      <c r="V8151" s="2" t="inlineStr"/>
    </row>
    <row r="8152" ht="15" customHeight="1">
      <c r="A8152" t="inlineStr">
        <is>
          <t>A 572-2024</t>
        </is>
      </c>
      <c r="B8152" t="inlineStr">
        <is>
          <t>avverkningsanmälan</t>
        </is>
      </c>
      <c r="C8152" t="inlineStr">
        <is>
          <t>Föryngringsavverkning</t>
        </is>
      </c>
      <c r="D8152" s="1" t="n">
        <v>45299</v>
      </c>
      <c r="E8152" s="1" t="n">
        <v>46319</v>
      </c>
      <c r="F8152" t="inlineStr">
        <is>
          <t>DALARNAS LÄN</t>
        </is>
      </c>
      <c r="G8152" t="inlineStr">
        <is>
          <t>VANSBRO</t>
        </is>
      </c>
      <c r="I8152" t="n">
        <v>0.4</v>
      </c>
      <c r="J8152" t="n">
        <v>0</v>
      </c>
      <c r="K8152" t="n">
        <v>0</v>
      </c>
      <c r="L8152" t="n">
        <v>0</v>
      </c>
      <c r="M8152" t="n">
        <v>0</v>
      </c>
      <c r="N8152" t="n">
        <v>0</v>
      </c>
      <c r="O8152" t="n">
        <v>0</v>
      </c>
      <c r="P8152" t="n">
        <v>0</v>
      </c>
      <c r="Q8152" t="n">
        <v>0</v>
      </c>
      <c r="R8152" t="n">
        <v>0</v>
      </c>
      <c r="S8152" t="n">
        <v>0</v>
      </c>
      <c r="T8152" t="n">
        <v>0</v>
      </c>
      <c r="U8152" t="n">
        <v>0</v>
      </c>
      <c r="V8152" s="2" t="inlineStr"/>
    </row>
    <row r="8153" ht="15" customHeight="1">
      <c r="A8153" t="inlineStr">
        <is>
          <t>A 22882-2026</t>
        </is>
      </c>
      <c r="B8153" t="inlineStr">
        <is>
          <t>avverkningsanmälan</t>
        </is>
      </c>
      <c r="C8153" t="inlineStr">
        <is>
          <t>Föryngringsavverkning</t>
        </is>
      </c>
      <c r="D8153" s="1" t="n">
        <v>46157</v>
      </c>
      <c r="E8153" s="1" t="n">
        <v>46319</v>
      </c>
      <c r="F8153" t="inlineStr">
        <is>
          <t>DALARNAS LÄN</t>
        </is>
      </c>
      <c r="G8153" t="inlineStr">
        <is>
          <t>HEDEMORA</t>
        </is>
      </c>
      <c r="H8153" t="inlineStr">
        <is>
          <t>Bergvik skog väst AB</t>
        </is>
      </c>
      <c r="I8153" t="n">
        <v>0.6</v>
      </c>
      <c r="J8153" t="n">
        <v>0</v>
      </c>
      <c r="K8153" t="n">
        <v>0</v>
      </c>
      <c r="L8153" t="n">
        <v>0</v>
      </c>
      <c r="M8153" t="n">
        <v>0</v>
      </c>
      <c r="N8153" t="n">
        <v>0</v>
      </c>
      <c r="O8153" t="n">
        <v>0</v>
      </c>
      <c r="P8153" t="n">
        <v>0</v>
      </c>
      <c r="Q8153" t="n">
        <v>0</v>
      </c>
      <c r="R8153" t="n">
        <v>0</v>
      </c>
      <c r="S8153" t="n">
        <v>0</v>
      </c>
      <c r="T8153" t="n">
        <v>0</v>
      </c>
      <c r="U8153" t="n">
        <v>0</v>
      </c>
      <c r="V8153" s="2" t="inlineStr"/>
    </row>
    <row r="8154" ht="15" customHeight="1">
      <c r="A8154" t="inlineStr">
        <is>
          <t>A 45616-2024</t>
        </is>
      </c>
      <c r="B8154" t="inlineStr">
        <is>
          <t>avverkningsanmälan</t>
        </is>
      </c>
      <c r="C8154" t="inlineStr">
        <is>
          <t>Föryngringsavverkning</t>
        </is>
      </c>
      <c r="D8154" s="1" t="n">
        <v>45579</v>
      </c>
      <c r="E8154" s="1" t="n">
        <v>46319</v>
      </c>
      <c r="F8154" t="inlineStr">
        <is>
          <t>DALARNAS LÄN</t>
        </is>
      </c>
      <c r="G8154" t="inlineStr">
        <is>
          <t>MALUNG-SÄLEN</t>
        </is>
      </c>
      <c r="H8154" t="inlineStr">
        <is>
          <t>Bergvik skog väst AB</t>
        </is>
      </c>
      <c r="I8154" t="n">
        <v>3.4</v>
      </c>
      <c r="J8154" t="n">
        <v>0</v>
      </c>
      <c r="K8154" t="n">
        <v>0</v>
      </c>
      <c r="L8154" t="n">
        <v>0</v>
      </c>
      <c r="M8154" t="n">
        <v>0</v>
      </c>
      <c r="N8154" t="n">
        <v>0</v>
      </c>
      <c r="O8154" t="n">
        <v>0</v>
      </c>
      <c r="P8154" t="n">
        <v>0</v>
      </c>
      <c r="Q8154" t="n">
        <v>0</v>
      </c>
      <c r="R8154" t="n">
        <v>0</v>
      </c>
      <c r="S8154" t="n">
        <v>0</v>
      </c>
      <c r="T8154" t="n">
        <v>0</v>
      </c>
      <c r="U8154" t="n">
        <v>0</v>
      </c>
      <c r="V8154" s="2" t="inlineStr"/>
    </row>
    <row r="8155" ht="15" customHeight="1">
      <c r="A8155" t="inlineStr">
        <is>
          <t>A 5673-2023</t>
        </is>
      </c>
      <c r="B8155" t="inlineStr">
        <is>
          <t>avverkningsanmälan</t>
        </is>
      </c>
      <c r="C8155" t="inlineStr">
        <is>
          <t>Föryngringsavverkning</t>
        </is>
      </c>
      <c r="D8155" s="1" t="n">
        <v>44960</v>
      </c>
      <c r="E8155" s="1" t="n">
        <v>46319</v>
      </c>
      <c r="F8155" t="inlineStr">
        <is>
          <t>DALARNAS LÄN</t>
        </is>
      </c>
      <c r="G8155" t="inlineStr">
        <is>
          <t>LUDVIKA</t>
        </is>
      </c>
      <c r="H8155" t="inlineStr">
        <is>
          <t>Naturvårdsverket</t>
        </is>
      </c>
      <c r="I8155" t="n">
        <v>0.7</v>
      </c>
      <c r="J8155" t="n">
        <v>0</v>
      </c>
      <c r="K8155" t="n">
        <v>0</v>
      </c>
      <c r="L8155" t="n">
        <v>0</v>
      </c>
      <c r="M8155" t="n">
        <v>0</v>
      </c>
      <c r="N8155" t="n">
        <v>0</v>
      </c>
      <c r="O8155" t="n">
        <v>0</v>
      </c>
      <c r="P8155" t="n">
        <v>0</v>
      </c>
      <c r="Q8155" t="n">
        <v>0</v>
      </c>
      <c r="R8155" t="n">
        <v>0</v>
      </c>
      <c r="S8155" t="n">
        <v>0</v>
      </c>
      <c r="T8155" t="n">
        <v>0</v>
      </c>
      <c r="U8155" t="n">
        <v>0</v>
      </c>
      <c r="V8155" s="2" t="inlineStr"/>
    </row>
    <row r="8156" ht="15" customHeight="1">
      <c r="A8156" t="inlineStr">
        <is>
          <t>A 22830-2026</t>
        </is>
      </c>
      <c r="B8156" t="inlineStr">
        <is>
          <t>avverkningsanmälan</t>
        </is>
      </c>
      <c r="C8156" t="inlineStr">
        <is>
          <t>Föryngringsavverkning</t>
        </is>
      </c>
      <c r="D8156" s="1" t="n">
        <v>46160</v>
      </c>
      <c r="E8156" s="1" t="n">
        <v>46319</v>
      </c>
      <c r="F8156" t="inlineStr">
        <is>
          <t>DALARNAS LÄN</t>
        </is>
      </c>
      <c r="G8156" t="inlineStr">
        <is>
          <t>LUDVIKA</t>
        </is>
      </c>
      <c r="H8156" t="inlineStr">
        <is>
          <t>Bergvik skog väst AB</t>
        </is>
      </c>
      <c r="I8156" t="n">
        <v>3.4</v>
      </c>
      <c r="J8156" t="n">
        <v>0</v>
      </c>
      <c r="K8156" t="n">
        <v>0</v>
      </c>
      <c r="L8156" t="n">
        <v>0</v>
      </c>
      <c r="M8156" t="n">
        <v>0</v>
      </c>
      <c r="N8156" t="n">
        <v>0</v>
      </c>
      <c r="O8156" t="n">
        <v>0</v>
      </c>
      <c r="P8156" t="n">
        <v>0</v>
      </c>
      <c r="Q8156" t="n">
        <v>0</v>
      </c>
      <c r="R8156" t="n">
        <v>0</v>
      </c>
      <c r="S8156" t="n">
        <v>0</v>
      </c>
      <c r="T8156" t="n">
        <v>0</v>
      </c>
      <c r="U8156" t="n">
        <v>0</v>
      </c>
      <c r="V8156" s="2" t="inlineStr"/>
    </row>
    <row r="8157" ht="15" customHeight="1">
      <c r="A8157" t="inlineStr">
        <is>
          <t>A 22859-2026</t>
        </is>
      </c>
      <c r="B8157" t="inlineStr">
        <is>
          <t>avverkningsanmälan</t>
        </is>
      </c>
      <c r="C8157" t="inlineStr">
        <is>
          <t>Föryngringsavverkning</t>
        </is>
      </c>
      <c r="D8157" s="1" t="n">
        <v>46160</v>
      </c>
      <c r="E8157" s="1" t="n">
        <v>46319</v>
      </c>
      <c r="F8157" t="inlineStr">
        <is>
          <t>DALARNAS LÄN</t>
        </is>
      </c>
      <c r="G8157" t="inlineStr">
        <is>
          <t>MALUNG-SÄLEN</t>
        </is>
      </c>
      <c r="H8157" t="inlineStr">
        <is>
          <t>Bergvik skog öst AB</t>
        </is>
      </c>
      <c r="I8157" t="n">
        <v>6.7</v>
      </c>
      <c r="J8157" t="n">
        <v>0</v>
      </c>
      <c r="K8157" t="n">
        <v>0</v>
      </c>
      <c r="L8157" t="n">
        <v>0</v>
      </c>
      <c r="M8157" t="n">
        <v>0</v>
      </c>
      <c r="N8157" t="n">
        <v>0</v>
      </c>
      <c r="O8157" t="n">
        <v>0</v>
      </c>
      <c r="P8157" t="n">
        <v>0</v>
      </c>
      <c r="Q8157" t="n">
        <v>0</v>
      </c>
      <c r="R8157" t="n">
        <v>0</v>
      </c>
      <c r="S8157" t="n">
        <v>0</v>
      </c>
      <c r="T8157" t="n">
        <v>0</v>
      </c>
      <c r="U8157" t="n">
        <v>0</v>
      </c>
      <c r="V8157" s="2" t="inlineStr"/>
    </row>
    <row r="8158" ht="15" customHeight="1">
      <c r="A8158" t="inlineStr">
        <is>
          <t>A 10299-2024</t>
        </is>
      </c>
      <c r="B8158" t="inlineStr">
        <is>
          <t>avverkningsanmälan</t>
        </is>
      </c>
      <c r="C8158" t="inlineStr">
        <is>
          <t>Föryngringsavverkning</t>
        </is>
      </c>
      <c r="D8158" s="1" t="n">
        <v>45365</v>
      </c>
      <c r="E8158" s="1" t="n">
        <v>46319</v>
      </c>
      <c r="F8158" t="inlineStr">
        <is>
          <t>DALARNAS LÄN</t>
        </is>
      </c>
      <c r="G8158" t="inlineStr">
        <is>
          <t>LEKSAND</t>
        </is>
      </c>
      <c r="I8158" t="n">
        <v>3.6</v>
      </c>
      <c r="J8158" t="n">
        <v>0</v>
      </c>
      <c r="K8158" t="n">
        <v>0</v>
      </c>
      <c r="L8158" t="n">
        <v>0</v>
      </c>
      <c r="M8158" t="n">
        <v>0</v>
      </c>
      <c r="N8158" t="n">
        <v>0</v>
      </c>
      <c r="O8158" t="n">
        <v>0</v>
      </c>
      <c r="P8158" t="n">
        <v>0</v>
      </c>
      <c r="Q8158" t="n">
        <v>0</v>
      </c>
      <c r="R8158" t="n">
        <v>0</v>
      </c>
      <c r="S8158" t="n">
        <v>0</v>
      </c>
      <c r="T8158" t="n">
        <v>0</v>
      </c>
      <c r="U8158" t="n">
        <v>0</v>
      </c>
      <c r="V8158" s="2" t="inlineStr"/>
    </row>
    <row r="8159" ht="15" customHeight="1">
      <c r="A8159" t="inlineStr">
        <is>
          <t>A 56823-2024</t>
        </is>
      </c>
      <c r="B8159" t="inlineStr">
        <is>
          <t>avverkningsanmälan</t>
        </is>
      </c>
      <c r="C8159" t="inlineStr">
        <is>
          <t>Föryngringsavverkning</t>
        </is>
      </c>
      <c r="D8159" s="1" t="n">
        <v>45628</v>
      </c>
      <c r="E8159" s="1" t="n">
        <v>46319</v>
      </c>
      <c r="F8159" t="inlineStr">
        <is>
          <t>DALARNAS LÄN</t>
        </is>
      </c>
      <c r="G8159" t="inlineStr">
        <is>
          <t>SÄTER</t>
        </is>
      </c>
      <c r="I8159" t="n">
        <v>1.3</v>
      </c>
      <c r="J8159" t="n">
        <v>0</v>
      </c>
      <c r="K8159" t="n">
        <v>0</v>
      </c>
      <c r="L8159" t="n">
        <v>0</v>
      </c>
      <c r="M8159" t="n">
        <v>0</v>
      </c>
      <c r="N8159" t="n">
        <v>0</v>
      </c>
      <c r="O8159" t="n">
        <v>0</v>
      </c>
      <c r="P8159" t="n">
        <v>0</v>
      </c>
      <c r="Q8159" t="n">
        <v>0</v>
      </c>
      <c r="R8159" t="n">
        <v>0</v>
      </c>
      <c r="S8159" t="n">
        <v>0</v>
      </c>
      <c r="T8159" t="n">
        <v>0</v>
      </c>
      <c r="U8159" t="n">
        <v>0</v>
      </c>
      <c r="V8159" s="2" t="inlineStr"/>
    </row>
    <row r="8160" ht="15" customHeight="1">
      <c r="A8160" t="inlineStr">
        <is>
          <t>A 56831-2024</t>
        </is>
      </c>
      <c r="B8160" t="inlineStr">
        <is>
          <t>avverkningsanmälan</t>
        </is>
      </c>
      <c r="C8160" t="inlineStr">
        <is>
          <t>Föryngringsavverkning</t>
        </is>
      </c>
      <c r="D8160" s="1" t="n">
        <v>45628</v>
      </c>
      <c r="E8160" s="1" t="n">
        <v>46319</v>
      </c>
      <c r="F8160" t="inlineStr">
        <is>
          <t>DALARNAS LÄN</t>
        </is>
      </c>
      <c r="G8160" t="inlineStr">
        <is>
          <t>SÄTER</t>
        </is>
      </c>
      <c r="I8160" t="n">
        <v>2.5</v>
      </c>
      <c r="J8160" t="n">
        <v>0</v>
      </c>
      <c r="K8160" t="n">
        <v>0</v>
      </c>
      <c r="L8160" t="n">
        <v>0</v>
      </c>
      <c r="M8160" t="n">
        <v>0</v>
      </c>
      <c r="N8160" t="n">
        <v>0</v>
      </c>
      <c r="O8160" t="n">
        <v>0</v>
      </c>
      <c r="P8160" t="n">
        <v>0</v>
      </c>
      <c r="Q8160" t="n">
        <v>0</v>
      </c>
      <c r="R8160" t="n">
        <v>0</v>
      </c>
      <c r="S8160" t="n">
        <v>0</v>
      </c>
      <c r="T8160" t="n">
        <v>0</v>
      </c>
      <c r="U8160" t="n">
        <v>0</v>
      </c>
      <c r="V8160" s="2" t="inlineStr"/>
    </row>
    <row r="8161" ht="15" customHeight="1">
      <c r="A8161" t="inlineStr">
        <is>
          <t>A 10318-2024</t>
        </is>
      </c>
      <c r="B8161" t="inlineStr">
        <is>
          <t>avverkningsanmälan</t>
        </is>
      </c>
      <c r="C8161" t="inlineStr">
        <is>
          <t>Föryngringsavverkning</t>
        </is>
      </c>
      <c r="D8161" s="1" t="n">
        <v>45365</v>
      </c>
      <c r="E8161" s="1" t="n">
        <v>46319</v>
      </c>
      <c r="F8161" t="inlineStr">
        <is>
          <t>DALARNAS LÄN</t>
        </is>
      </c>
      <c r="G8161" t="inlineStr">
        <is>
          <t>FALUN</t>
        </is>
      </c>
      <c r="I8161" t="n">
        <v>1.2</v>
      </c>
      <c r="J8161" t="n">
        <v>0</v>
      </c>
      <c r="K8161" t="n">
        <v>0</v>
      </c>
      <c r="L8161" t="n">
        <v>0</v>
      </c>
      <c r="M8161" t="n">
        <v>0</v>
      </c>
      <c r="N8161" t="n">
        <v>0</v>
      </c>
      <c r="O8161" t="n">
        <v>0</v>
      </c>
      <c r="P8161" t="n">
        <v>0</v>
      </c>
      <c r="Q8161" t="n">
        <v>0</v>
      </c>
      <c r="R8161" t="n">
        <v>0</v>
      </c>
      <c r="S8161" t="n">
        <v>0</v>
      </c>
      <c r="T8161" t="n">
        <v>0</v>
      </c>
      <c r="U8161" t="n">
        <v>0</v>
      </c>
      <c r="V8161" s="2" t="inlineStr"/>
    </row>
    <row r="8162" ht="15" customHeight="1">
      <c r="A8162" t="inlineStr">
        <is>
          <t>A 28082-2023</t>
        </is>
      </c>
      <c r="B8162" t="inlineStr">
        <is>
          <t>avverkningsanmälan</t>
        </is>
      </c>
      <c r="C8162" t="inlineStr">
        <is>
          <t>Avverkning för annat ändamål</t>
        </is>
      </c>
      <c r="D8162" s="1" t="n">
        <v>45099</v>
      </c>
      <c r="E8162" s="1" t="n">
        <v>46319</v>
      </c>
      <c r="F8162" t="inlineStr">
        <is>
          <t>DALARNAS LÄN</t>
        </is>
      </c>
      <c r="G8162" t="inlineStr">
        <is>
          <t>ORSA</t>
        </is>
      </c>
      <c r="I8162" t="n">
        <v>0.4</v>
      </c>
      <c r="J8162" t="n">
        <v>0</v>
      </c>
      <c r="K8162" t="n">
        <v>0</v>
      </c>
      <c r="L8162" t="n">
        <v>0</v>
      </c>
      <c r="M8162" t="n">
        <v>0</v>
      </c>
      <c r="N8162" t="n">
        <v>0</v>
      </c>
      <c r="O8162" t="n">
        <v>0</v>
      </c>
      <c r="P8162" t="n">
        <v>0</v>
      </c>
      <c r="Q8162" t="n">
        <v>0</v>
      </c>
      <c r="R8162" t="n">
        <v>0</v>
      </c>
      <c r="S8162" t="n">
        <v>0</v>
      </c>
      <c r="T8162" t="n">
        <v>0</v>
      </c>
      <c r="U8162" t="n">
        <v>0</v>
      </c>
      <c r="V8162" s="2" t="inlineStr"/>
    </row>
    <row r="8163" ht="15" customHeight="1">
      <c r="A8163" t="inlineStr">
        <is>
          <t>A 56773-2023</t>
        </is>
      </c>
      <c r="B8163" t="inlineStr">
        <is>
          <t>avverkningsanmälan</t>
        </is>
      </c>
      <c r="C8163" t="inlineStr">
        <is>
          <t>Föryngringsavverkning</t>
        </is>
      </c>
      <c r="D8163" s="1" t="n">
        <v>45244</v>
      </c>
      <c r="E8163" s="1" t="n">
        <v>46319</v>
      </c>
      <c r="F8163" t="inlineStr">
        <is>
          <t>DALARNAS LÄN</t>
        </is>
      </c>
      <c r="G8163" t="inlineStr">
        <is>
          <t>VANSBRO</t>
        </is>
      </c>
      <c r="I8163" t="n">
        <v>0.6</v>
      </c>
      <c r="J8163" t="n">
        <v>0</v>
      </c>
      <c r="K8163" t="n">
        <v>0</v>
      </c>
      <c r="L8163" t="n">
        <v>0</v>
      </c>
      <c r="M8163" t="n">
        <v>0</v>
      </c>
      <c r="N8163" t="n">
        <v>0</v>
      </c>
      <c r="O8163" t="n">
        <v>0</v>
      </c>
      <c r="P8163" t="n">
        <v>0</v>
      </c>
      <c r="Q8163" t="n">
        <v>0</v>
      </c>
      <c r="R8163" t="n">
        <v>0</v>
      </c>
      <c r="S8163" t="n">
        <v>0</v>
      </c>
      <c r="T8163" t="n">
        <v>0</v>
      </c>
      <c r="U8163" t="n">
        <v>0</v>
      </c>
      <c r="V8163" s="2" t="inlineStr"/>
    </row>
    <row r="8164" ht="15" customHeight="1">
      <c r="A8164" t="inlineStr">
        <is>
          <t>A 55643-2024</t>
        </is>
      </c>
      <c r="B8164" t="inlineStr">
        <is>
          <t>avverkningsanmälan</t>
        </is>
      </c>
      <c r="C8164" t="inlineStr">
        <is>
          <t>Föryngringsavverkning</t>
        </is>
      </c>
      <c r="D8164" s="1" t="n">
        <v>45621</v>
      </c>
      <c r="E8164" s="1" t="n">
        <v>46319</v>
      </c>
      <c r="F8164" t="inlineStr">
        <is>
          <t>DALARNAS LÄN</t>
        </is>
      </c>
      <c r="G8164" t="inlineStr">
        <is>
          <t>LEKSAND</t>
        </is>
      </c>
      <c r="I8164" t="n">
        <v>1.7</v>
      </c>
      <c r="J8164" t="n">
        <v>0</v>
      </c>
      <c r="K8164" t="n">
        <v>0</v>
      </c>
      <c r="L8164" t="n">
        <v>0</v>
      </c>
      <c r="M8164" t="n">
        <v>0</v>
      </c>
      <c r="N8164" t="n">
        <v>0</v>
      </c>
      <c r="O8164" t="n">
        <v>0</v>
      </c>
      <c r="P8164" t="n">
        <v>0</v>
      </c>
      <c r="Q8164" t="n">
        <v>0</v>
      </c>
      <c r="R8164" t="n">
        <v>0</v>
      </c>
      <c r="S8164" t="n">
        <v>0</v>
      </c>
      <c r="T8164" t="n">
        <v>0</v>
      </c>
      <c r="U8164" t="n">
        <v>0</v>
      </c>
      <c r="V8164" s="2" t="inlineStr"/>
    </row>
    <row r="8165" ht="15" customHeight="1">
      <c r="A8165" t="inlineStr">
        <is>
          <t>A 45959-2024</t>
        </is>
      </c>
      <c r="B8165" t="inlineStr">
        <is>
          <t>avverkningsanmälan</t>
        </is>
      </c>
      <c r="C8165" t="inlineStr">
        <is>
          <t>Föryngringsavverkning</t>
        </is>
      </c>
      <c r="D8165" s="1" t="n">
        <v>45580</v>
      </c>
      <c r="E8165" s="1" t="n">
        <v>46319</v>
      </c>
      <c r="F8165" t="inlineStr">
        <is>
          <t>DALARNAS LÄN</t>
        </is>
      </c>
      <c r="G8165" t="inlineStr">
        <is>
          <t>BORLÄNGE</t>
        </is>
      </c>
      <c r="I8165" t="n">
        <v>0.9</v>
      </c>
      <c r="J8165" t="n">
        <v>0</v>
      </c>
      <c r="K8165" t="n">
        <v>0</v>
      </c>
      <c r="L8165" t="n">
        <v>0</v>
      </c>
      <c r="M8165" t="n">
        <v>0</v>
      </c>
      <c r="N8165" t="n">
        <v>0</v>
      </c>
      <c r="O8165" t="n">
        <v>0</v>
      </c>
      <c r="P8165" t="n">
        <v>0</v>
      </c>
      <c r="Q8165" t="n">
        <v>0</v>
      </c>
      <c r="R8165" t="n">
        <v>0</v>
      </c>
      <c r="S8165" t="n">
        <v>0</v>
      </c>
      <c r="T8165" t="n">
        <v>0</v>
      </c>
      <c r="U8165" t="n">
        <v>0</v>
      </c>
      <c r="V8165" s="2" t="inlineStr"/>
    </row>
    <row r="8166" ht="15" customHeight="1">
      <c r="A8166" t="inlineStr">
        <is>
          <t>A 56141-2024</t>
        </is>
      </c>
      <c r="B8166" t="inlineStr">
        <is>
          <t>avverkningsanmälan</t>
        </is>
      </c>
      <c r="C8166" t="inlineStr">
        <is>
          <t>Föryngringsavverkning</t>
        </is>
      </c>
      <c r="D8166" s="1" t="n">
        <v>45624</v>
      </c>
      <c r="E8166" s="1" t="n">
        <v>46319</v>
      </c>
      <c r="F8166" t="inlineStr">
        <is>
          <t>DALARNAS LÄN</t>
        </is>
      </c>
      <c r="G8166" t="inlineStr">
        <is>
          <t>FALUN</t>
        </is>
      </c>
      <c r="I8166" t="n">
        <v>1</v>
      </c>
      <c r="J8166" t="n">
        <v>0</v>
      </c>
      <c r="K8166" t="n">
        <v>0</v>
      </c>
      <c r="L8166" t="n">
        <v>0</v>
      </c>
      <c r="M8166" t="n">
        <v>0</v>
      </c>
      <c r="N8166" t="n">
        <v>0</v>
      </c>
      <c r="O8166" t="n">
        <v>0</v>
      </c>
      <c r="P8166" t="n">
        <v>0</v>
      </c>
      <c r="Q8166" t="n">
        <v>0</v>
      </c>
      <c r="R8166" t="n">
        <v>0</v>
      </c>
      <c r="S8166" t="n">
        <v>0</v>
      </c>
      <c r="T8166" t="n">
        <v>0</v>
      </c>
      <c r="U8166" t="n">
        <v>0</v>
      </c>
      <c r="V8166" s="2" t="inlineStr"/>
    </row>
    <row r="8167" ht="15" customHeight="1">
      <c r="A8167" t="inlineStr">
        <is>
          <t>A 56203-2024</t>
        </is>
      </c>
      <c r="B8167" t="inlineStr">
        <is>
          <t>avverkningsanmälan</t>
        </is>
      </c>
      <c r="C8167" t="inlineStr">
        <is>
          <t>Föryngringsavverkning</t>
        </is>
      </c>
      <c r="D8167" s="1" t="n">
        <v>45624</v>
      </c>
      <c r="E8167" s="1" t="n">
        <v>46319</v>
      </c>
      <c r="F8167" t="inlineStr">
        <is>
          <t>DALARNAS LÄN</t>
        </is>
      </c>
      <c r="G8167" t="inlineStr">
        <is>
          <t>LUDVIKA</t>
        </is>
      </c>
      <c r="I8167" t="n">
        <v>2.3</v>
      </c>
      <c r="J8167" t="n">
        <v>0</v>
      </c>
      <c r="K8167" t="n">
        <v>0</v>
      </c>
      <c r="L8167" t="n">
        <v>0</v>
      </c>
      <c r="M8167" t="n">
        <v>0</v>
      </c>
      <c r="N8167" t="n">
        <v>0</v>
      </c>
      <c r="O8167" t="n">
        <v>0</v>
      </c>
      <c r="P8167" t="n">
        <v>0</v>
      </c>
      <c r="Q8167" t="n">
        <v>0</v>
      </c>
      <c r="R8167" t="n">
        <v>0</v>
      </c>
      <c r="S8167" t="n">
        <v>0</v>
      </c>
      <c r="T8167" t="n">
        <v>0</v>
      </c>
      <c r="U8167" t="n">
        <v>0</v>
      </c>
      <c r="V8167" s="2" t="inlineStr"/>
    </row>
    <row r="8168" ht="15" customHeight="1">
      <c r="A8168" t="inlineStr">
        <is>
          <t>A 2710-2024</t>
        </is>
      </c>
      <c r="B8168" t="inlineStr">
        <is>
          <t>avverkningsanmälan</t>
        </is>
      </c>
      <c r="C8168" t="inlineStr">
        <is>
          <t>Föryngringsavverkning</t>
        </is>
      </c>
      <c r="D8168" s="1" t="n">
        <v>45314</v>
      </c>
      <c r="E8168" s="1" t="n">
        <v>46319</v>
      </c>
      <c r="F8168" t="inlineStr">
        <is>
          <t>DALARNAS LÄN</t>
        </is>
      </c>
      <c r="G8168" t="inlineStr">
        <is>
          <t>AVESTA</t>
        </is>
      </c>
      <c r="I8168" t="n">
        <v>2</v>
      </c>
      <c r="J8168" t="n">
        <v>0</v>
      </c>
      <c r="K8168" t="n">
        <v>0</v>
      </c>
      <c r="L8168" t="n">
        <v>0</v>
      </c>
      <c r="M8168" t="n">
        <v>0</v>
      </c>
      <c r="N8168" t="n">
        <v>0</v>
      </c>
      <c r="O8168" t="n">
        <v>0</v>
      </c>
      <c r="P8168" t="n">
        <v>0</v>
      </c>
      <c r="Q8168" t="n">
        <v>0</v>
      </c>
      <c r="R8168" t="n">
        <v>0</v>
      </c>
      <c r="S8168" t="n">
        <v>0</v>
      </c>
      <c r="T8168" t="n">
        <v>0</v>
      </c>
      <c r="U8168" t="n">
        <v>0</v>
      </c>
      <c r="V8168" s="2" t="inlineStr"/>
    </row>
    <row r="8169" ht="15" customHeight="1">
      <c r="A8169" t="inlineStr">
        <is>
          <t>A 2717-2024</t>
        </is>
      </c>
      <c r="B8169" t="inlineStr">
        <is>
          <t>avverkningsanmälan</t>
        </is>
      </c>
      <c r="C8169" t="inlineStr">
        <is>
          <t>Avverkning för att bevara och utveckla /försöksver</t>
        </is>
      </c>
      <c r="D8169" s="1" t="n">
        <v>45314</v>
      </c>
      <c r="E8169" s="1" t="n">
        <v>46319</v>
      </c>
      <c r="F8169" t="inlineStr">
        <is>
          <t>DALARNAS LÄN</t>
        </is>
      </c>
      <c r="G8169" t="inlineStr">
        <is>
          <t>ORSA</t>
        </is>
      </c>
      <c r="H8169" t="inlineStr">
        <is>
          <t>Bergvik skog öst AB</t>
        </is>
      </c>
      <c r="I8169" t="n">
        <v>0.4</v>
      </c>
      <c r="J8169" t="n">
        <v>0</v>
      </c>
      <c r="K8169" t="n">
        <v>0</v>
      </c>
      <c r="L8169" t="n">
        <v>0</v>
      </c>
      <c r="M8169" t="n">
        <v>0</v>
      </c>
      <c r="N8169" t="n">
        <v>0</v>
      </c>
      <c r="O8169" t="n">
        <v>0</v>
      </c>
      <c r="P8169" t="n">
        <v>0</v>
      </c>
      <c r="Q8169" t="n">
        <v>0</v>
      </c>
      <c r="R8169" t="n">
        <v>0</v>
      </c>
      <c r="S8169" t="n">
        <v>0</v>
      </c>
      <c r="T8169" t="n">
        <v>0</v>
      </c>
      <c r="U8169" t="n">
        <v>0</v>
      </c>
      <c r="V8169" s="2" t="inlineStr"/>
    </row>
    <row r="8170" ht="15" customHeight="1">
      <c r="A8170" t="inlineStr">
        <is>
          <t>A 2722-2024</t>
        </is>
      </c>
      <c r="B8170" t="inlineStr">
        <is>
          <t>avverkningsanmälan</t>
        </is>
      </c>
      <c r="C8170" t="inlineStr">
        <is>
          <t>Föryngringsavverkning</t>
        </is>
      </c>
      <c r="D8170" s="1" t="n">
        <v>45314</v>
      </c>
      <c r="E8170" s="1" t="n">
        <v>46319</v>
      </c>
      <c r="F8170" t="inlineStr">
        <is>
          <t>DALARNAS LÄN</t>
        </is>
      </c>
      <c r="G8170" t="inlineStr">
        <is>
          <t>RÄTTVIK</t>
        </is>
      </c>
      <c r="I8170" t="n">
        <v>5</v>
      </c>
      <c r="J8170" t="n">
        <v>0</v>
      </c>
      <c r="K8170" t="n">
        <v>0</v>
      </c>
      <c r="L8170" t="n">
        <v>0</v>
      </c>
      <c r="M8170" t="n">
        <v>0</v>
      </c>
      <c r="N8170" t="n">
        <v>0</v>
      </c>
      <c r="O8170" t="n">
        <v>0</v>
      </c>
      <c r="P8170" t="n">
        <v>0</v>
      </c>
      <c r="Q8170" t="n">
        <v>0</v>
      </c>
      <c r="R8170" t="n">
        <v>0</v>
      </c>
      <c r="S8170" t="n">
        <v>0</v>
      </c>
      <c r="T8170" t="n">
        <v>0</v>
      </c>
      <c r="U8170" t="n">
        <v>0</v>
      </c>
      <c r="V8170" s="2" t="inlineStr"/>
    </row>
    <row r="8171" ht="15" customHeight="1">
      <c r="A8171" t="inlineStr">
        <is>
          <t>A 13510-2023</t>
        </is>
      </c>
      <c r="B8171" t="inlineStr">
        <is>
          <t>avverkningsanmälan</t>
        </is>
      </c>
      <c r="C8171" t="inlineStr">
        <is>
          <t>Föryngringsavverkning</t>
        </is>
      </c>
      <c r="D8171" s="1" t="n">
        <v>45006</v>
      </c>
      <c r="E8171" s="1" t="n">
        <v>46319</v>
      </c>
      <c r="F8171" t="inlineStr">
        <is>
          <t>DALARNAS LÄN</t>
        </is>
      </c>
      <c r="G8171" t="inlineStr">
        <is>
          <t>SÄTER</t>
        </is>
      </c>
      <c r="I8171" t="n">
        <v>0.8</v>
      </c>
      <c r="J8171" t="n">
        <v>0</v>
      </c>
      <c r="K8171" t="n">
        <v>0</v>
      </c>
      <c r="L8171" t="n">
        <v>0</v>
      </c>
      <c r="M8171" t="n">
        <v>0</v>
      </c>
      <c r="N8171" t="n">
        <v>0</v>
      </c>
      <c r="O8171" t="n">
        <v>0</v>
      </c>
      <c r="P8171" t="n">
        <v>0</v>
      </c>
      <c r="Q8171" t="n">
        <v>0</v>
      </c>
      <c r="R8171" t="n">
        <v>0</v>
      </c>
      <c r="S8171" t="n">
        <v>0</v>
      </c>
      <c r="T8171" t="n">
        <v>0</v>
      </c>
      <c r="U8171" t="n">
        <v>0</v>
      </c>
      <c r="V8171" s="2" t="inlineStr"/>
    </row>
    <row r="8172" ht="15" customHeight="1">
      <c r="A8172" t="inlineStr">
        <is>
          <t>A 59893-2021</t>
        </is>
      </c>
      <c r="B8172" t="inlineStr">
        <is>
          <t>avverkningsanmälan</t>
        </is>
      </c>
      <c r="C8172" t="inlineStr">
        <is>
          <t>Föryngringsavverkning</t>
        </is>
      </c>
      <c r="D8172" s="1" t="n">
        <v>44494</v>
      </c>
      <c r="E8172" s="1" t="n">
        <v>46319</v>
      </c>
      <c r="F8172" t="inlineStr">
        <is>
          <t>DALARNAS LÄN</t>
        </is>
      </c>
      <c r="G8172" t="inlineStr">
        <is>
          <t>GAGNEF</t>
        </is>
      </c>
      <c r="I8172" t="n">
        <v>1.6</v>
      </c>
      <c r="J8172" t="n">
        <v>0</v>
      </c>
      <c r="K8172" t="n">
        <v>0</v>
      </c>
      <c r="L8172" t="n">
        <v>0</v>
      </c>
      <c r="M8172" t="n">
        <v>0</v>
      </c>
      <c r="N8172" t="n">
        <v>0</v>
      </c>
      <c r="O8172" t="n">
        <v>0</v>
      </c>
      <c r="P8172" t="n">
        <v>0</v>
      </c>
      <c r="Q8172" t="n">
        <v>0</v>
      </c>
      <c r="R8172" t="n">
        <v>0</v>
      </c>
      <c r="S8172" t="n">
        <v>0</v>
      </c>
      <c r="T8172" t="n">
        <v>0</v>
      </c>
      <c r="U8172" t="n">
        <v>0</v>
      </c>
      <c r="V8172" s="2" t="inlineStr"/>
    </row>
    <row r="8173" ht="15" customHeight="1">
      <c r="A8173" t="inlineStr">
        <is>
          <t>A 13633-2023</t>
        </is>
      </c>
      <c r="B8173" t="inlineStr">
        <is>
          <t>avverkningsanmälan</t>
        </is>
      </c>
      <c r="C8173" t="inlineStr">
        <is>
          <t>Föryngringsavverkning</t>
        </is>
      </c>
      <c r="D8173" s="1" t="n">
        <v>45006</v>
      </c>
      <c r="E8173" s="1" t="n">
        <v>46319</v>
      </c>
      <c r="F8173" t="inlineStr">
        <is>
          <t>DALARNAS LÄN</t>
        </is>
      </c>
      <c r="G8173" t="inlineStr">
        <is>
          <t>SMEDJEBACKEN</t>
        </is>
      </c>
      <c r="I8173" t="n">
        <v>1.9</v>
      </c>
      <c r="J8173" t="n">
        <v>0</v>
      </c>
      <c r="K8173" t="n">
        <v>0</v>
      </c>
      <c r="L8173" t="n">
        <v>0</v>
      </c>
      <c r="M8173" t="n">
        <v>0</v>
      </c>
      <c r="N8173" t="n">
        <v>0</v>
      </c>
      <c r="O8173" t="n">
        <v>0</v>
      </c>
      <c r="P8173" t="n">
        <v>0</v>
      </c>
      <c r="Q8173" t="n">
        <v>0</v>
      </c>
      <c r="R8173" t="n">
        <v>0</v>
      </c>
      <c r="S8173" t="n">
        <v>0</v>
      </c>
      <c r="T8173" t="n">
        <v>0</v>
      </c>
      <c r="U8173" t="n">
        <v>0</v>
      </c>
      <c r="V8173" s="2" t="inlineStr"/>
    </row>
    <row r="8174" ht="15" customHeight="1">
      <c r="A8174" t="inlineStr">
        <is>
          <t>A 3423-2024</t>
        </is>
      </c>
      <c r="B8174" t="inlineStr">
        <is>
          <t>avverkningsanmälan</t>
        </is>
      </c>
      <c r="C8174" t="inlineStr">
        <is>
          <t>Föryngringsavverkning</t>
        </is>
      </c>
      <c r="D8174" s="1" t="n">
        <v>45319</v>
      </c>
      <c r="E8174" s="1" t="n">
        <v>46319</v>
      </c>
      <c r="F8174" t="inlineStr">
        <is>
          <t>DALARNAS LÄN</t>
        </is>
      </c>
      <c r="G8174" t="inlineStr">
        <is>
          <t>SMEDJEBACKEN</t>
        </is>
      </c>
      <c r="I8174" t="n">
        <v>4.3</v>
      </c>
      <c r="J8174" t="n">
        <v>0</v>
      </c>
      <c r="K8174" t="n">
        <v>0</v>
      </c>
      <c r="L8174" t="n">
        <v>0</v>
      </c>
      <c r="M8174" t="n">
        <v>0</v>
      </c>
      <c r="N8174" t="n">
        <v>0</v>
      </c>
      <c r="O8174" t="n">
        <v>0</v>
      </c>
      <c r="P8174" t="n">
        <v>0</v>
      </c>
      <c r="Q8174" t="n">
        <v>0</v>
      </c>
      <c r="R8174" t="n">
        <v>0</v>
      </c>
      <c r="S8174" t="n">
        <v>0</v>
      </c>
      <c r="T8174" t="n">
        <v>0</v>
      </c>
      <c r="U8174" t="n">
        <v>0</v>
      </c>
      <c r="V8174" s="2" t="inlineStr"/>
    </row>
    <row r="8175" ht="15" customHeight="1">
      <c r="A8175" t="inlineStr">
        <is>
          <t>A 56887-2024</t>
        </is>
      </c>
      <c r="B8175" t="inlineStr">
        <is>
          <t>avverkningsanmälan</t>
        </is>
      </c>
      <c r="C8175" t="inlineStr">
        <is>
          <t>Föryngringsavverkning</t>
        </is>
      </c>
      <c r="D8175" s="1" t="n">
        <v>45628</v>
      </c>
      <c r="E8175" s="1" t="n">
        <v>46319</v>
      </c>
      <c r="F8175" t="inlineStr">
        <is>
          <t>DALARNAS LÄN</t>
        </is>
      </c>
      <c r="G8175" t="inlineStr">
        <is>
          <t>ORSA</t>
        </is>
      </c>
      <c r="H8175" t="inlineStr">
        <is>
          <t>Bergvik skog öst AB</t>
        </is>
      </c>
      <c r="I8175" t="n">
        <v>0.6</v>
      </c>
      <c r="J8175" t="n">
        <v>0</v>
      </c>
      <c r="K8175" t="n">
        <v>0</v>
      </c>
      <c r="L8175" t="n">
        <v>0</v>
      </c>
      <c r="M8175" t="n">
        <v>0</v>
      </c>
      <c r="N8175" t="n">
        <v>0</v>
      </c>
      <c r="O8175" t="n">
        <v>0</v>
      </c>
      <c r="P8175" t="n">
        <v>0</v>
      </c>
      <c r="Q8175" t="n">
        <v>0</v>
      </c>
      <c r="R8175" t="n">
        <v>0</v>
      </c>
      <c r="S8175" t="n">
        <v>0</v>
      </c>
      <c r="T8175" t="n">
        <v>0</v>
      </c>
      <c r="U8175" t="n">
        <v>0</v>
      </c>
      <c r="V8175" s="2" t="inlineStr"/>
    </row>
    <row r="8176" ht="15" customHeight="1">
      <c r="A8176" t="inlineStr">
        <is>
          <t>A 1790-2024</t>
        </is>
      </c>
      <c r="B8176" t="inlineStr">
        <is>
          <t>avverkningsanmälan</t>
        </is>
      </c>
      <c r="C8176" t="inlineStr">
        <is>
          <t>Föryngringsavverkning</t>
        </is>
      </c>
      <c r="D8176" s="1" t="n">
        <v>45307</v>
      </c>
      <c r="E8176" s="1" t="n">
        <v>46319</v>
      </c>
      <c r="F8176" t="inlineStr">
        <is>
          <t>DALARNAS LÄN</t>
        </is>
      </c>
      <c r="G8176" t="inlineStr">
        <is>
          <t>ÄLVDALEN</t>
        </is>
      </c>
      <c r="I8176" t="n">
        <v>1.9</v>
      </c>
      <c r="J8176" t="n">
        <v>0</v>
      </c>
      <c r="K8176" t="n">
        <v>0</v>
      </c>
      <c r="L8176" t="n">
        <v>0</v>
      </c>
      <c r="M8176" t="n">
        <v>0</v>
      </c>
      <c r="N8176" t="n">
        <v>0</v>
      </c>
      <c r="O8176" t="n">
        <v>0</v>
      </c>
      <c r="P8176" t="n">
        <v>0</v>
      </c>
      <c r="Q8176" t="n">
        <v>0</v>
      </c>
      <c r="R8176" t="n">
        <v>0</v>
      </c>
      <c r="S8176" t="n">
        <v>0</v>
      </c>
      <c r="T8176" t="n">
        <v>0</v>
      </c>
      <c r="U8176" t="n">
        <v>0</v>
      </c>
      <c r="V8176" s="2" t="inlineStr"/>
    </row>
    <row r="8177" ht="15" customHeight="1">
      <c r="A8177" t="inlineStr">
        <is>
          <t>A 1797-2024</t>
        </is>
      </c>
      <c r="B8177" t="inlineStr">
        <is>
          <t>avverkningsanmälan</t>
        </is>
      </c>
      <c r="C8177" t="inlineStr">
        <is>
          <t>Föryngringsavverkning</t>
        </is>
      </c>
      <c r="D8177" s="1" t="n">
        <v>45307</v>
      </c>
      <c r="E8177" s="1" t="n">
        <v>46319</v>
      </c>
      <c r="F8177" t="inlineStr">
        <is>
          <t>DALARNAS LÄN</t>
        </is>
      </c>
      <c r="G8177" t="inlineStr">
        <is>
          <t>RÄTTVIK</t>
        </is>
      </c>
      <c r="I8177" t="n">
        <v>1.2</v>
      </c>
      <c r="J8177" t="n">
        <v>0</v>
      </c>
      <c r="K8177" t="n">
        <v>0</v>
      </c>
      <c r="L8177" t="n">
        <v>0</v>
      </c>
      <c r="M8177" t="n">
        <v>0</v>
      </c>
      <c r="N8177" t="n">
        <v>0</v>
      </c>
      <c r="O8177" t="n">
        <v>0</v>
      </c>
      <c r="P8177" t="n">
        <v>0</v>
      </c>
      <c r="Q8177" t="n">
        <v>0</v>
      </c>
      <c r="R8177" t="n">
        <v>0</v>
      </c>
      <c r="S8177" t="n">
        <v>0</v>
      </c>
      <c r="T8177" t="n">
        <v>0</v>
      </c>
      <c r="U8177" t="n">
        <v>0</v>
      </c>
      <c r="V8177" s="2" t="inlineStr"/>
    </row>
    <row r="8178" ht="15" customHeight="1">
      <c r="A8178" t="inlineStr">
        <is>
          <t>A 58133-2024</t>
        </is>
      </c>
      <c r="B8178" t="inlineStr">
        <is>
          <t>avverkningsanmälan</t>
        </is>
      </c>
      <c r="C8178" t="inlineStr">
        <is>
          <t>Föryngringsavverkning</t>
        </is>
      </c>
      <c r="D8178" s="1" t="n">
        <v>45632</v>
      </c>
      <c r="E8178" s="1" t="n">
        <v>46319</v>
      </c>
      <c r="F8178" t="inlineStr">
        <is>
          <t>DALARNAS LÄN</t>
        </is>
      </c>
      <c r="G8178" t="inlineStr">
        <is>
          <t>FALUN</t>
        </is>
      </c>
      <c r="I8178" t="n">
        <v>1</v>
      </c>
      <c r="J8178" t="n">
        <v>0</v>
      </c>
      <c r="K8178" t="n">
        <v>0</v>
      </c>
      <c r="L8178" t="n">
        <v>0</v>
      </c>
      <c r="M8178" t="n">
        <v>0</v>
      </c>
      <c r="N8178" t="n">
        <v>0</v>
      </c>
      <c r="O8178" t="n">
        <v>0</v>
      </c>
      <c r="P8178" t="n">
        <v>0</v>
      </c>
      <c r="Q8178" t="n">
        <v>0</v>
      </c>
      <c r="R8178" t="n">
        <v>0</v>
      </c>
      <c r="S8178" t="n">
        <v>0</v>
      </c>
      <c r="T8178" t="n">
        <v>0</v>
      </c>
      <c r="U8178" t="n">
        <v>0</v>
      </c>
      <c r="V8178" s="2" t="inlineStr"/>
    </row>
    <row r="8179" ht="15" customHeight="1">
      <c r="A8179" t="inlineStr">
        <is>
          <t>A 42611-2022</t>
        </is>
      </c>
      <c r="B8179" t="inlineStr">
        <is>
          <t>avverkningsanmälan</t>
        </is>
      </c>
      <c r="C8179" t="inlineStr">
        <is>
          <t>Föryngringsavverkning</t>
        </is>
      </c>
      <c r="D8179" s="1" t="n">
        <v>44831</v>
      </c>
      <c r="E8179" s="1" t="n">
        <v>46319</v>
      </c>
      <c r="F8179" t="inlineStr">
        <is>
          <t>DALARNAS LÄN</t>
        </is>
      </c>
      <c r="G8179" t="inlineStr">
        <is>
          <t>MORA</t>
        </is>
      </c>
      <c r="I8179" t="n">
        <v>2.1</v>
      </c>
      <c r="J8179" t="n">
        <v>0</v>
      </c>
      <c r="K8179" t="n">
        <v>0</v>
      </c>
      <c r="L8179" t="n">
        <v>0</v>
      </c>
      <c r="M8179" t="n">
        <v>0</v>
      </c>
      <c r="N8179" t="n">
        <v>0</v>
      </c>
      <c r="O8179" t="n">
        <v>0</v>
      </c>
      <c r="P8179" t="n">
        <v>0</v>
      </c>
      <c r="Q8179" t="n">
        <v>0</v>
      </c>
      <c r="R8179" t="n">
        <v>0</v>
      </c>
      <c r="S8179" t="n">
        <v>0</v>
      </c>
      <c r="T8179" t="n">
        <v>0</v>
      </c>
      <c r="U8179" t="n">
        <v>0</v>
      </c>
      <c r="V8179" s="2" t="inlineStr"/>
    </row>
    <row r="8180" ht="15" customHeight="1">
      <c r="A8180" t="inlineStr">
        <is>
          <t>A 45963-2024</t>
        </is>
      </c>
      <c r="B8180" t="inlineStr">
        <is>
          <t>avverkningsanmälan</t>
        </is>
      </c>
      <c r="C8180" t="inlineStr">
        <is>
          <t>Föryngringsavverkning</t>
        </is>
      </c>
      <c r="D8180" s="1" t="n">
        <v>45580</v>
      </c>
      <c r="E8180" s="1" t="n">
        <v>46319</v>
      </c>
      <c r="F8180" t="inlineStr">
        <is>
          <t>DALARNAS LÄN</t>
        </is>
      </c>
      <c r="G8180" t="inlineStr">
        <is>
          <t>MALUNG-SÄLEN</t>
        </is>
      </c>
      <c r="I8180" t="n">
        <v>3.6</v>
      </c>
      <c r="J8180" t="n">
        <v>0</v>
      </c>
      <c r="K8180" t="n">
        <v>0</v>
      </c>
      <c r="L8180" t="n">
        <v>0</v>
      </c>
      <c r="M8180" t="n">
        <v>0</v>
      </c>
      <c r="N8180" t="n">
        <v>0</v>
      </c>
      <c r="O8180" t="n">
        <v>0</v>
      </c>
      <c r="P8180" t="n">
        <v>0</v>
      </c>
      <c r="Q8180" t="n">
        <v>0</v>
      </c>
      <c r="R8180" t="n">
        <v>0</v>
      </c>
      <c r="S8180" t="n">
        <v>0</v>
      </c>
      <c r="T8180" t="n">
        <v>0</v>
      </c>
      <c r="U8180" t="n">
        <v>0</v>
      </c>
      <c r="V8180" s="2" t="inlineStr"/>
    </row>
    <row r="8181" ht="15" customHeight="1">
      <c r="A8181" t="inlineStr">
        <is>
          <t>A 16118-2023</t>
        </is>
      </c>
      <c r="B8181" t="inlineStr">
        <is>
          <t>avverkningsanmälan</t>
        </is>
      </c>
      <c r="C8181" t="inlineStr">
        <is>
          <t>Föryngringsavverkning</t>
        </is>
      </c>
      <c r="D8181" s="1" t="n">
        <v>45027</v>
      </c>
      <c r="E8181" s="1" t="n">
        <v>46319</v>
      </c>
      <c r="F8181" t="inlineStr">
        <is>
          <t>DALARNAS LÄN</t>
        </is>
      </c>
      <c r="G8181" t="inlineStr">
        <is>
          <t>GAGNEF</t>
        </is>
      </c>
      <c r="I8181" t="n">
        <v>2.3</v>
      </c>
      <c r="J8181" t="n">
        <v>0</v>
      </c>
      <c r="K8181" t="n">
        <v>0</v>
      </c>
      <c r="L8181" t="n">
        <v>0</v>
      </c>
      <c r="M8181" t="n">
        <v>0</v>
      </c>
      <c r="N8181" t="n">
        <v>0</v>
      </c>
      <c r="O8181" t="n">
        <v>0</v>
      </c>
      <c r="P8181" t="n">
        <v>0</v>
      </c>
      <c r="Q8181" t="n">
        <v>0</v>
      </c>
      <c r="R8181" t="n">
        <v>0</v>
      </c>
      <c r="S8181" t="n">
        <v>0</v>
      </c>
      <c r="T8181" t="n">
        <v>0</v>
      </c>
      <c r="U8181" t="n">
        <v>0</v>
      </c>
      <c r="V8181" s="2" t="inlineStr"/>
    </row>
    <row r="8182" ht="15" customHeight="1">
      <c r="A8182" t="inlineStr">
        <is>
          <t>A 16137-2023</t>
        </is>
      </c>
      <c r="B8182" t="inlineStr">
        <is>
          <t>avverkningsanmälan</t>
        </is>
      </c>
      <c r="C8182" t="inlineStr">
        <is>
          <t>Föryngringsavverkning</t>
        </is>
      </c>
      <c r="D8182" s="1" t="n">
        <v>45027</v>
      </c>
      <c r="E8182" s="1" t="n">
        <v>46319</v>
      </c>
      <c r="F8182" t="inlineStr">
        <is>
          <t>DALARNAS LÄN</t>
        </is>
      </c>
      <c r="G8182" t="inlineStr">
        <is>
          <t>LEKSAND</t>
        </is>
      </c>
      <c r="I8182" t="n">
        <v>1.6</v>
      </c>
      <c r="J8182" t="n">
        <v>0</v>
      </c>
      <c r="K8182" t="n">
        <v>0</v>
      </c>
      <c r="L8182" t="n">
        <v>0</v>
      </c>
      <c r="M8182" t="n">
        <v>0</v>
      </c>
      <c r="N8182" t="n">
        <v>0</v>
      </c>
      <c r="O8182" t="n">
        <v>0</v>
      </c>
      <c r="P8182" t="n">
        <v>0</v>
      </c>
      <c r="Q8182" t="n">
        <v>0</v>
      </c>
      <c r="R8182" t="n">
        <v>0</v>
      </c>
      <c r="S8182" t="n">
        <v>0</v>
      </c>
      <c r="T8182" t="n">
        <v>0</v>
      </c>
      <c r="U8182" t="n">
        <v>0</v>
      </c>
      <c r="V8182" s="2" t="inlineStr"/>
    </row>
    <row r="8183" ht="15" customHeight="1">
      <c r="A8183" t="inlineStr">
        <is>
          <t>A 51043-2024</t>
        </is>
      </c>
      <c r="B8183" t="inlineStr">
        <is>
          <t>avverkningsanmälan</t>
        </is>
      </c>
      <c r="C8183" t="inlineStr">
        <is>
          <t>Föryngringsavverkning</t>
        </is>
      </c>
      <c r="D8183" s="1" t="n">
        <v>45603</v>
      </c>
      <c r="E8183" s="1" t="n">
        <v>46319</v>
      </c>
      <c r="F8183" t="inlineStr">
        <is>
          <t>DALARNAS LÄN</t>
        </is>
      </c>
      <c r="G8183" t="inlineStr">
        <is>
          <t>LUDVIKA</t>
        </is>
      </c>
      <c r="H8183" t="inlineStr">
        <is>
          <t>Bergvik skog väst AB</t>
        </is>
      </c>
      <c r="I8183" t="n">
        <v>17.9</v>
      </c>
      <c r="J8183" t="n">
        <v>0</v>
      </c>
      <c r="K8183" t="n">
        <v>0</v>
      </c>
      <c r="L8183" t="n">
        <v>0</v>
      </c>
      <c r="M8183" t="n">
        <v>0</v>
      </c>
      <c r="N8183" t="n">
        <v>0</v>
      </c>
      <c r="O8183" t="n">
        <v>0</v>
      </c>
      <c r="P8183" t="n">
        <v>0</v>
      </c>
      <c r="Q8183" t="n">
        <v>0</v>
      </c>
      <c r="R8183" t="n">
        <v>0</v>
      </c>
      <c r="S8183" t="n">
        <v>0</v>
      </c>
      <c r="T8183" t="n">
        <v>0</v>
      </c>
      <c r="U8183" t="n">
        <v>0</v>
      </c>
      <c r="V8183" s="2" t="inlineStr"/>
    </row>
    <row r="8184" ht="15" customHeight="1">
      <c r="A8184" t="inlineStr">
        <is>
          <t>A 59771-2021</t>
        </is>
      </c>
      <c r="B8184" t="inlineStr">
        <is>
          <t>avverkningsanmälan</t>
        </is>
      </c>
      <c r="C8184" t="inlineStr">
        <is>
          <t>Föryngringsavverkning</t>
        </is>
      </c>
      <c r="D8184" s="1" t="n">
        <v>44494</v>
      </c>
      <c r="E8184" s="1" t="n">
        <v>46319</v>
      </c>
      <c r="F8184" t="inlineStr">
        <is>
          <t>DALARNAS LÄN</t>
        </is>
      </c>
      <c r="G8184" t="inlineStr">
        <is>
          <t>BORLÄNGE</t>
        </is>
      </c>
      <c r="I8184" t="n">
        <v>1.3</v>
      </c>
      <c r="J8184" t="n">
        <v>0</v>
      </c>
      <c r="K8184" t="n">
        <v>0</v>
      </c>
      <c r="L8184" t="n">
        <v>0</v>
      </c>
      <c r="M8184" t="n">
        <v>0</v>
      </c>
      <c r="N8184" t="n">
        <v>0</v>
      </c>
      <c r="O8184" t="n">
        <v>0</v>
      </c>
      <c r="P8184" t="n">
        <v>0</v>
      </c>
      <c r="Q8184" t="n">
        <v>0</v>
      </c>
      <c r="R8184" t="n">
        <v>0</v>
      </c>
      <c r="S8184" t="n">
        <v>0</v>
      </c>
      <c r="T8184" t="n">
        <v>0</v>
      </c>
      <c r="U8184" t="n">
        <v>0</v>
      </c>
      <c r="V8184" s="2" t="inlineStr"/>
    </row>
    <row r="8185" ht="15" customHeight="1">
      <c r="A8185" t="inlineStr">
        <is>
          <t>A 59390-2024</t>
        </is>
      </c>
      <c r="B8185" t="inlineStr">
        <is>
          <t>avverkningsanmälan</t>
        </is>
      </c>
      <c r="C8185" t="inlineStr">
        <is>
          <t>Föryngringsavverkning</t>
        </is>
      </c>
      <c r="D8185" s="1" t="n">
        <v>45638</v>
      </c>
      <c r="E8185" s="1" t="n">
        <v>46319</v>
      </c>
      <c r="F8185" t="inlineStr">
        <is>
          <t>DALARNAS LÄN</t>
        </is>
      </c>
      <c r="G8185" t="inlineStr">
        <is>
          <t>SÄTER</t>
        </is>
      </c>
      <c r="I8185" t="n">
        <v>0.4</v>
      </c>
      <c r="J8185" t="n">
        <v>0</v>
      </c>
      <c r="K8185" t="n">
        <v>0</v>
      </c>
      <c r="L8185" t="n">
        <v>0</v>
      </c>
      <c r="M8185" t="n">
        <v>0</v>
      </c>
      <c r="N8185" t="n">
        <v>0</v>
      </c>
      <c r="O8185" t="n">
        <v>0</v>
      </c>
      <c r="P8185" t="n">
        <v>0</v>
      </c>
      <c r="Q8185" t="n">
        <v>0</v>
      </c>
      <c r="R8185" t="n">
        <v>0</v>
      </c>
      <c r="S8185" t="n">
        <v>0</v>
      </c>
      <c r="T8185" t="n">
        <v>0</v>
      </c>
      <c r="U8185" t="n">
        <v>0</v>
      </c>
      <c r="V8185" s="2" t="inlineStr"/>
    </row>
    <row r="8186" ht="15" customHeight="1">
      <c r="A8186" t="inlineStr">
        <is>
          <t>A 57217-2024</t>
        </is>
      </c>
      <c r="B8186" t="inlineStr">
        <is>
          <t>avverkningsanmälan</t>
        </is>
      </c>
      <c r="C8186" t="inlineStr">
        <is>
          <t>Föryngringsavverkning</t>
        </is>
      </c>
      <c r="D8186" s="1" t="n">
        <v>45629</v>
      </c>
      <c r="E8186" s="1" t="n">
        <v>46319</v>
      </c>
      <c r="F8186" t="inlineStr">
        <is>
          <t>DALARNAS LÄN</t>
        </is>
      </c>
      <c r="G8186" t="inlineStr">
        <is>
          <t>LUDVIKA</t>
        </is>
      </c>
      <c r="H8186" t="inlineStr">
        <is>
          <t>Bergvik skog väst AB</t>
        </is>
      </c>
      <c r="I8186" t="n">
        <v>17.3</v>
      </c>
      <c r="J8186" t="n">
        <v>0</v>
      </c>
      <c r="K8186" t="n">
        <v>0</v>
      </c>
      <c r="L8186" t="n">
        <v>0</v>
      </c>
      <c r="M8186" t="n">
        <v>0</v>
      </c>
      <c r="N8186" t="n">
        <v>0</v>
      </c>
      <c r="O8186" t="n">
        <v>0</v>
      </c>
      <c r="P8186" t="n">
        <v>0</v>
      </c>
      <c r="Q8186" t="n">
        <v>0</v>
      </c>
      <c r="R8186" t="n">
        <v>0</v>
      </c>
      <c r="S8186" t="n">
        <v>0</v>
      </c>
      <c r="T8186" t="n">
        <v>0</v>
      </c>
      <c r="U8186" t="n">
        <v>0</v>
      </c>
      <c r="V8186" s="2" t="inlineStr"/>
    </row>
    <row r="8187" ht="15" customHeight="1">
      <c r="A8187" t="inlineStr">
        <is>
          <t>A 55497-2024</t>
        </is>
      </c>
      <c r="B8187" t="inlineStr">
        <is>
          <t>avverkningsanmälan</t>
        </is>
      </c>
      <c r="C8187" t="inlineStr">
        <is>
          <t>Föryngringsavverkning</t>
        </is>
      </c>
      <c r="D8187" s="1" t="n">
        <v>45622</v>
      </c>
      <c r="E8187" s="1" t="n">
        <v>46319</v>
      </c>
      <c r="F8187" t="inlineStr">
        <is>
          <t>DALARNAS LÄN</t>
        </is>
      </c>
      <c r="G8187" t="inlineStr">
        <is>
          <t>SÄTER</t>
        </is>
      </c>
      <c r="I8187" t="n">
        <v>0.6</v>
      </c>
      <c r="J8187" t="n">
        <v>0</v>
      </c>
      <c r="K8187" t="n">
        <v>0</v>
      </c>
      <c r="L8187" t="n">
        <v>0</v>
      </c>
      <c r="M8187" t="n">
        <v>0</v>
      </c>
      <c r="N8187" t="n">
        <v>0</v>
      </c>
      <c r="O8187" t="n">
        <v>0</v>
      </c>
      <c r="P8187" t="n">
        <v>0</v>
      </c>
      <c r="Q8187" t="n">
        <v>0</v>
      </c>
      <c r="R8187" t="n">
        <v>0</v>
      </c>
      <c r="S8187" t="n">
        <v>0</v>
      </c>
      <c r="T8187" t="n">
        <v>0</v>
      </c>
      <c r="U8187" t="n">
        <v>0</v>
      </c>
      <c r="V8187" s="2" t="inlineStr"/>
    </row>
    <row r="8188" ht="15" customHeight="1">
      <c r="A8188" t="inlineStr">
        <is>
          <t>A 56283-2024</t>
        </is>
      </c>
      <c r="B8188" t="inlineStr">
        <is>
          <t>avverkningsanmälan</t>
        </is>
      </c>
      <c r="C8188" t="inlineStr">
        <is>
          <t>Föryngringsavverkning</t>
        </is>
      </c>
      <c r="D8188" s="1" t="n">
        <v>45624</v>
      </c>
      <c r="E8188" s="1" t="n">
        <v>46319</v>
      </c>
      <c r="F8188" t="inlineStr">
        <is>
          <t>DALARNAS LÄN</t>
        </is>
      </c>
      <c r="G8188" t="inlineStr">
        <is>
          <t>LEKSAND</t>
        </is>
      </c>
      <c r="I8188" t="n">
        <v>1.3</v>
      </c>
      <c r="J8188" t="n">
        <v>0</v>
      </c>
      <c r="K8188" t="n">
        <v>0</v>
      </c>
      <c r="L8188" t="n">
        <v>0</v>
      </c>
      <c r="M8188" t="n">
        <v>0</v>
      </c>
      <c r="N8188" t="n">
        <v>0</v>
      </c>
      <c r="O8188" t="n">
        <v>0</v>
      </c>
      <c r="P8188" t="n">
        <v>0</v>
      </c>
      <c r="Q8188" t="n">
        <v>0</v>
      </c>
      <c r="R8188" t="n">
        <v>0</v>
      </c>
      <c r="S8188" t="n">
        <v>0</v>
      </c>
      <c r="T8188" t="n">
        <v>0</v>
      </c>
      <c r="U8188" t="n">
        <v>0</v>
      </c>
      <c r="V8188" s="2" t="inlineStr"/>
    </row>
    <row r="8189" ht="15" customHeight="1">
      <c r="A8189" t="inlineStr">
        <is>
          <t>A 56299-2024</t>
        </is>
      </c>
      <c r="B8189" t="inlineStr">
        <is>
          <t>avverkningsanmälan</t>
        </is>
      </c>
      <c r="C8189" t="inlineStr">
        <is>
          <t>Föryngringsavverkning</t>
        </is>
      </c>
      <c r="D8189" s="1" t="n">
        <v>45624</v>
      </c>
      <c r="E8189" s="1" t="n">
        <v>46319</v>
      </c>
      <c r="F8189" t="inlineStr">
        <is>
          <t>DALARNAS LÄN</t>
        </is>
      </c>
      <c r="G8189" t="inlineStr">
        <is>
          <t>LEKSAND</t>
        </is>
      </c>
      <c r="I8189" t="n">
        <v>1.6</v>
      </c>
      <c r="J8189" t="n">
        <v>0</v>
      </c>
      <c r="K8189" t="n">
        <v>0</v>
      </c>
      <c r="L8189" t="n">
        <v>0</v>
      </c>
      <c r="M8189" t="n">
        <v>0</v>
      </c>
      <c r="N8189" t="n">
        <v>0</v>
      </c>
      <c r="O8189" t="n">
        <v>0</v>
      </c>
      <c r="P8189" t="n">
        <v>0</v>
      </c>
      <c r="Q8189" t="n">
        <v>0</v>
      </c>
      <c r="R8189" t="n">
        <v>0</v>
      </c>
      <c r="S8189" t="n">
        <v>0</v>
      </c>
      <c r="T8189" t="n">
        <v>0</v>
      </c>
      <c r="U8189" t="n">
        <v>0</v>
      </c>
      <c r="V8189" s="2" t="inlineStr"/>
    </row>
    <row r="8190" ht="15" customHeight="1">
      <c r="A8190" t="inlineStr">
        <is>
          <t>A 59445-2024</t>
        </is>
      </c>
      <c r="B8190" t="inlineStr">
        <is>
          <t>avverkningsanmälan</t>
        </is>
      </c>
      <c r="C8190" t="inlineStr">
        <is>
          <t>Föryngringsavverkning</t>
        </is>
      </c>
      <c r="D8190" s="1" t="n">
        <v>45638</v>
      </c>
      <c r="E8190" s="1" t="n">
        <v>46319</v>
      </c>
      <c r="F8190" t="inlineStr">
        <is>
          <t>DALARNAS LÄN</t>
        </is>
      </c>
      <c r="G8190" t="inlineStr">
        <is>
          <t>SÄTER</t>
        </is>
      </c>
      <c r="I8190" t="n">
        <v>0.7</v>
      </c>
      <c r="J8190" t="n">
        <v>0</v>
      </c>
      <c r="K8190" t="n">
        <v>0</v>
      </c>
      <c r="L8190" t="n">
        <v>0</v>
      </c>
      <c r="M8190" t="n">
        <v>0</v>
      </c>
      <c r="N8190" t="n">
        <v>0</v>
      </c>
      <c r="O8190" t="n">
        <v>0</v>
      </c>
      <c r="P8190" t="n">
        <v>0</v>
      </c>
      <c r="Q8190" t="n">
        <v>0</v>
      </c>
      <c r="R8190" t="n">
        <v>0</v>
      </c>
      <c r="S8190" t="n">
        <v>0</v>
      </c>
      <c r="T8190" t="n">
        <v>0</v>
      </c>
      <c r="U8190" t="n">
        <v>0</v>
      </c>
      <c r="V8190" s="2" t="inlineStr"/>
    </row>
    <row r="8191" ht="15" customHeight="1">
      <c r="A8191" t="inlineStr">
        <is>
          <t>A 44531-2024</t>
        </is>
      </c>
      <c r="B8191" t="inlineStr">
        <is>
          <t>avverkningsanmälan</t>
        </is>
      </c>
      <c r="C8191" t="inlineStr">
        <is>
          <t>Föryngringsavverkning</t>
        </is>
      </c>
      <c r="D8191" s="1" t="n">
        <v>45574</v>
      </c>
      <c r="E8191" s="1" t="n">
        <v>46319</v>
      </c>
      <c r="F8191" t="inlineStr">
        <is>
          <t>DALARNAS LÄN</t>
        </is>
      </c>
      <c r="G8191" t="inlineStr">
        <is>
          <t>FALUN</t>
        </is>
      </c>
      <c r="H8191" t="inlineStr">
        <is>
          <t>Bergvik skog väst AB</t>
        </is>
      </c>
      <c r="I8191" t="n">
        <v>2</v>
      </c>
      <c r="J8191" t="n">
        <v>0</v>
      </c>
      <c r="K8191" t="n">
        <v>0</v>
      </c>
      <c r="L8191" t="n">
        <v>0</v>
      </c>
      <c r="M8191" t="n">
        <v>0</v>
      </c>
      <c r="N8191" t="n">
        <v>0</v>
      </c>
      <c r="O8191" t="n">
        <v>0</v>
      </c>
      <c r="P8191" t="n">
        <v>0</v>
      </c>
      <c r="Q8191" t="n">
        <v>0</v>
      </c>
      <c r="R8191" t="n">
        <v>0</v>
      </c>
      <c r="S8191" t="n">
        <v>0</v>
      </c>
      <c r="T8191" t="n">
        <v>0</v>
      </c>
      <c r="U8191" t="n">
        <v>0</v>
      </c>
      <c r="V8191" s="2" t="inlineStr"/>
    </row>
    <row r="8192" ht="15" customHeight="1">
      <c r="A8192" t="inlineStr">
        <is>
          <t>A 58864-2024</t>
        </is>
      </c>
      <c r="B8192" t="inlineStr">
        <is>
          <t>avverkningsanmälan</t>
        </is>
      </c>
      <c r="C8192" t="inlineStr">
        <is>
          <t>Föryngringsavverkning</t>
        </is>
      </c>
      <c r="D8192" s="1" t="n">
        <v>45636</v>
      </c>
      <c r="E8192" s="1" t="n">
        <v>46319</v>
      </c>
      <c r="F8192" t="inlineStr">
        <is>
          <t>DALARNAS LÄN</t>
        </is>
      </c>
      <c r="G8192" t="inlineStr">
        <is>
          <t>SÄTER</t>
        </is>
      </c>
      <c r="I8192" t="n">
        <v>10.9</v>
      </c>
      <c r="J8192" t="n">
        <v>0</v>
      </c>
      <c r="K8192" t="n">
        <v>0</v>
      </c>
      <c r="L8192" t="n">
        <v>0</v>
      </c>
      <c r="M8192" t="n">
        <v>0</v>
      </c>
      <c r="N8192" t="n">
        <v>0</v>
      </c>
      <c r="O8192" t="n">
        <v>0</v>
      </c>
      <c r="P8192" t="n">
        <v>0</v>
      </c>
      <c r="Q8192" t="n">
        <v>0</v>
      </c>
      <c r="R8192" t="n">
        <v>0</v>
      </c>
      <c r="S8192" t="n">
        <v>0</v>
      </c>
      <c r="T8192" t="n">
        <v>0</v>
      </c>
      <c r="U8192" t="n">
        <v>0</v>
      </c>
      <c r="V8192" s="2" t="inlineStr"/>
    </row>
    <row r="8193" ht="15" customHeight="1">
      <c r="A8193" t="inlineStr">
        <is>
          <t>A 58871-2024</t>
        </is>
      </c>
      <c r="B8193" t="inlineStr">
        <is>
          <t>avverkningsanmälan</t>
        </is>
      </c>
      <c r="C8193" t="inlineStr">
        <is>
          <t>Föryngringsavverkning</t>
        </is>
      </c>
      <c r="D8193" s="1" t="n">
        <v>45636</v>
      </c>
      <c r="E8193" s="1" t="n">
        <v>46319</v>
      </c>
      <c r="F8193" t="inlineStr">
        <is>
          <t>DALARNAS LÄN</t>
        </is>
      </c>
      <c r="G8193" t="inlineStr">
        <is>
          <t>MALUNG-SÄLEN</t>
        </is>
      </c>
      <c r="I8193" t="n">
        <v>1.6</v>
      </c>
      <c r="J8193" t="n">
        <v>0</v>
      </c>
      <c r="K8193" t="n">
        <v>0</v>
      </c>
      <c r="L8193" t="n">
        <v>0</v>
      </c>
      <c r="M8193" t="n">
        <v>0</v>
      </c>
      <c r="N8193" t="n">
        <v>0</v>
      </c>
      <c r="O8193" t="n">
        <v>0</v>
      </c>
      <c r="P8193" t="n">
        <v>0</v>
      </c>
      <c r="Q8193" t="n">
        <v>0</v>
      </c>
      <c r="R8193" t="n">
        <v>0</v>
      </c>
      <c r="S8193" t="n">
        <v>0</v>
      </c>
      <c r="T8193" t="n">
        <v>0</v>
      </c>
      <c r="U8193" t="n">
        <v>0</v>
      </c>
      <c r="V8193" s="2" t="inlineStr"/>
    </row>
    <row r="8194" ht="15" customHeight="1">
      <c r="A8194" t="inlineStr">
        <is>
          <t>A 44574-2024</t>
        </is>
      </c>
      <c r="B8194" t="inlineStr">
        <is>
          <t>avverkningsanmälan</t>
        </is>
      </c>
      <c r="C8194" t="inlineStr">
        <is>
          <t>Föryngringsavverkning</t>
        </is>
      </c>
      <c r="D8194" s="1" t="n">
        <v>45574</v>
      </c>
      <c r="E8194" s="1" t="n">
        <v>46319</v>
      </c>
      <c r="F8194" t="inlineStr">
        <is>
          <t>DALARNAS LÄN</t>
        </is>
      </c>
      <c r="G8194" t="inlineStr">
        <is>
          <t>MALUNG-SÄLEN</t>
        </is>
      </c>
      <c r="H8194" t="inlineStr">
        <is>
          <t>Bergvik skog öst AB</t>
        </is>
      </c>
      <c r="I8194" t="n">
        <v>2.1</v>
      </c>
      <c r="J8194" t="n">
        <v>0</v>
      </c>
      <c r="K8194" t="n">
        <v>0</v>
      </c>
      <c r="L8194" t="n">
        <v>0</v>
      </c>
      <c r="M8194" t="n">
        <v>0</v>
      </c>
      <c r="N8194" t="n">
        <v>0</v>
      </c>
      <c r="O8194" t="n">
        <v>0</v>
      </c>
      <c r="P8194" t="n">
        <v>0</v>
      </c>
      <c r="Q8194" t="n">
        <v>0</v>
      </c>
      <c r="R8194" t="n">
        <v>0</v>
      </c>
      <c r="S8194" t="n">
        <v>0</v>
      </c>
      <c r="T8194" t="n">
        <v>0</v>
      </c>
      <c r="U8194" t="n">
        <v>0</v>
      </c>
      <c r="V8194" s="2" t="inlineStr"/>
    </row>
    <row r="8195" ht="15" customHeight="1">
      <c r="A8195" t="inlineStr">
        <is>
          <t>A 42513-2024</t>
        </is>
      </c>
      <c r="B8195" t="inlineStr">
        <is>
          <t>avverkningsanmälan</t>
        </is>
      </c>
      <c r="C8195" t="inlineStr">
        <is>
          <t>Föryngringsavverkning</t>
        </is>
      </c>
      <c r="D8195" s="1" t="n">
        <v>45565</v>
      </c>
      <c r="E8195" s="1" t="n">
        <v>46319</v>
      </c>
      <c r="F8195" t="inlineStr">
        <is>
          <t>DALARNAS LÄN</t>
        </is>
      </c>
      <c r="G8195" t="inlineStr">
        <is>
          <t>ORSA</t>
        </is>
      </c>
      <c r="I8195" t="n">
        <v>1.6</v>
      </c>
      <c r="J8195" t="n">
        <v>0</v>
      </c>
      <c r="K8195" t="n">
        <v>0</v>
      </c>
      <c r="L8195" t="n">
        <v>0</v>
      </c>
      <c r="M8195" t="n">
        <v>0</v>
      </c>
      <c r="N8195" t="n">
        <v>0</v>
      </c>
      <c r="O8195" t="n">
        <v>0</v>
      </c>
      <c r="P8195" t="n">
        <v>0</v>
      </c>
      <c r="Q8195" t="n">
        <v>0</v>
      </c>
      <c r="R8195" t="n">
        <v>0</v>
      </c>
      <c r="S8195" t="n">
        <v>0</v>
      </c>
      <c r="T8195" t="n">
        <v>0</v>
      </c>
      <c r="U8195" t="n">
        <v>0</v>
      </c>
      <c r="V8195" s="2" t="inlineStr"/>
    </row>
    <row r="8196" ht="15" customHeight="1">
      <c r="A8196" t="inlineStr">
        <is>
          <t>A 51209-2024</t>
        </is>
      </c>
      <c r="B8196" t="inlineStr">
        <is>
          <t>avverkningsanmälan</t>
        </is>
      </c>
      <c r="C8196" t="inlineStr">
        <is>
          <t>Föryngringsavverkning</t>
        </is>
      </c>
      <c r="D8196" s="1" t="n">
        <v>45603</v>
      </c>
      <c r="E8196" s="1" t="n">
        <v>46319</v>
      </c>
      <c r="F8196" t="inlineStr">
        <is>
          <t>DALARNAS LÄN</t>
        </is>
      </c>
      <c r="G8196" t="inlineStr">
        <is>
          <t>RÄTTVIK</t>
        </is>
      </c>
      <c r="I8196" t="n">
        <v>1.3</v>
      </c>
      <c r="J8196" t="n">
        <v>0</v>
      </c>
      <c r="K8196" t="n">
        <v>0</v>
      </c>
      <c r="L8196" t="n">
        <v>0</v>
      </c>
      <c r="M8196" t="n">
        <v>0</v>
      </c>
      <c r="N8196" t="n">
        <v>0</v>
      </c>
      <c r="O8196" t="n">
        <v>0</v>
      </c>
      <c r="P8196" t="n">
        <v>0</v>
      </c>
      <c r="Q8196" t="n">
        <v>0</v>
      </c>
      <c r="R8196" t="n">
        <v>0</v>
      </c>
      <c r="S8196" t="n">
        <v>0</v>
      </c>
      <c r="T8196" t="n">
        <v>0</v>
      </c>
      <c r="U8196" t="n">
        <v>0</v>
      </c>
      <c r="V8196" s="2" t="inlineStr"/>
    </row>
    <row r="8197" ht="15" customHeight="1">
      <c r="A8197" t="inlineStr">
        <is>
          <t>A 50533-2024</t>
        </is>
      </c>
      <c r="B8197" t="inlineStr">
        <is>
          <t>avverkningsanmälan</t>
        </is>
      </c>
      <c r="C8197" t="inlineStr">
        <is>
          <t>Föryngringsavverkning</t>
        </is>
      </c>
      <c r="D8197" s="1" t="n">
        <v>45601</v>
      </c>
      <c r="E8197" s="1" t="n">
        <v>46319</v>
      </c>
      <c r="F8197" t="inlineStr">
        <is>
          <t>DALARNAS LÄN</t>
        </is>
      </c>
      <c r="G8197" t="inlineStr">
        <is>
          <t>VANSBRO</t>
        </is>
      </c>
      <c r="I8197" t="n">
        <v>1.1</v>
      </c>
      <c r="J8197" t="n">
        <v>0</v>
      </c>
      <c r="K8197" t="n">
        <v>0</v>
      </c>
      <c r="L8197" t="n">
        <v>0</v>
      </c>
      <c r="M8197" t="n">
        <v>0</v>
      </c>
      <c r="N8197" t="n">
        <v>0</v>
      </c>
      <c r="O8197" t="n">
        <v>0</v>
      </c>
      <c r="P8197" t="n">
        <v>0</v>
      </c>
      <c r="Q8197" t="n">
        <v>0</v>
      </c>
      <c r="R8197" t="n">
        <v>0</v>
      </c>
      <c r="S8197" t="n">
        <v>0</v>
      </c>
      <c r="T8197" t="n">
        <v>0</v>
      </c>
      <c r="U8197" t="n">
        <v>0</v>
      </c>
      <c r="V8197" s="2" t="inlineStr"/>
    </row>
    <row r="8198" ht="15" customHeight="1">
      <c r="A8198" t="inlineStr">
        <is>
          <t>A 50536-2024</t>
        </is>
      </c>
      <c r="B8198" t="inlineStr">
        <is>
          <t>avverkningsanmälan</t>
        </is>
      </c>
      <c r="C8198" t="inlineStr">
        <is>
          <t>Föryngringsavverkning</t>
        </is>
      </c>
      <c r="D8198" s="1" t="n">
        <v>45601</v>
      </c>
      <c r="E8198" s="1" t="n">
        <v>46319</v>
      </c>
      <c r="F8198" t="inlineStr">
        <is>
          <t>DALARNAS LÄN</t>
        </is>
      </c>
      <c r="G8198" t="inlineStr">
        <is>
          <t>GAGNEF</t>
        </is>
      </c>
      <c r="I8198" t="n">
        <v>2.5</v>
      </c>
      <c r="J8198" t="n">
        <v>0</v>
      </c>
      <c r="K8198" t="n">
        <v>0</v>
      </c>
      <c r="L8198" t="n">
        <v>0</v>
      </c>
      <c r="M8198" t="n">
        <v>0</v>
      </c>
      <c r="N8198" t="n">
        <v>0</v>
      </c>
      <c r="O8198" t="n">
        <v>0</v>
      </c>
      <c r="P8198" t="n">
        <v>0</v>
      </c>
      <c r="Q8198" t="n">
        <v>0</v>
      </c>
      <c r="R8198" t="n">
        <v>0</v>
      </c>
      <c r="S8198" t="n">
        <v>0</v>
      </c>
      <c r="T8198" t="n">
        <v>0</v>
      </c>
      <c r="U8198" t="n">
        <v>0</v>
      </c>
      <c r="V8198" s="2" t="inlineStr"/>
    </row>
    <row r="8199" ht="15" customHeight="1">
      <c r="A8199" t="inlineStr">
        <is>
          <t>A 15416-2023</t>
        </is>
      </c>
      <c r="B8199" t="inlineStr">
        <is>
          <t>avverkningsanmälan</t>
        </is>
      </c>
      <c r="C8199" t="inlineStr">
        <is>
          <t>Föryngringsavverkning</t>
        </is>
      </c>
      <c r="D8199" s="1" t="n">
        <v>45019</v>
      </c>
      <c r="E8199" s="1" t="n">
        <v>46319</v>
      </c>
      <c r="F8199" t="inlineStr">
        <is>
          <t>DALARNAS LÄN</t>
        </is>
      </c>
      <c r="G8199" t="inlineStr">
        <is>
          <t>MORA</t>
        </is>
      </c>
      <c r="I8199" t="n">
        <v>2</v>
      </c>
      <c r="J8199" t="n">
        <v>0</v>
      </c>
      <c r="K8199" t="n">
        <v>0</v>
      </c>
      <c r="L8199" t="n">
        <v>0</v>
      </c>
      <c r="M8199" t="n">
        <v>0</v>
      </c>
      <c r="N8199" t="n">
        <v>0</v>
      </c>
      <c r="O8199" t="n">
        <v>0</v>
      </c>
      <c r="P8199" t="n">
        <v>0</v>
      </c>
      <c r="Q8199" t="n">
        <v>0</v>
      </c>
      <c r="R8199" t="n">
        <v>0</v>
      </c>
      <c r="S8199" t="n">
        <v>0</v>
      </c>
      <c r="T8199" t="n">
        <v>0</v>
      </c>
      <c r="U8199" t="n">
        <v>0</v>
      </c>
      <c r="V8199" s="2" t="inlineStr"/>
    </row>
    <row r="8200" ht="15" customHeight="1">
      <c r="A8200" t="inlineStr">
        <is>
          <t>A 53008-2024</t>
        </is>
      </c>
      <c r="B8200" t="inlineStr">
        <is>
          <t>avverkningsanmälan</t>
        </is>
      </c>
      <c r="C8200" t="inlineStr">
        <is>
          <t>Föryngringsavverkning</t>
        </is>
      </c>
      <c r="D8200" s="1" t="n">
        <v>45611</v>
      </c>
      <c r="E8200" s="1" t="n">
        <v>46319</v>
      </c>
      <c r="F8200" t="inlineStr">
        <is>
          <t>DALARNAS LÄN</t>
        </is>
      </c>
      <c r="G8200" t="inlineStr">
        <is>
          <t>FALUN</t>
        </is>
      </c>
      <c r="H8200" t="inlineStr">
        <is>
          <t>Bergvik skog väst AB</t>
        </is>
      </c>
      <c r="I8200" t="n">
        <v>0.9</v>
      </c>
      <c r="J8200" t="n">
        <v>0</v>
      </c>
      <c r="K8200" t="n">
        <v>0</v>
      </c>
      <c r="L8200" t="n">
        <v>0</v>
      </c>
      <c r="M8200" t="n">
        <v>0</v>
      </c>
      <c r="N8200" t="n">
        <v>0</v>
      </c>
      <c r="O8200" t="n">
        <v>0</v>
      </c>
      <c r="P8200" t="n">
        <v>0</v>
      </c>
      <c r="Q8200" t="n">
        <v>0</v>
      </c>
      <c r="R8200" t="n">
        <v>0</v>
      </c>
      <c r="S8200" t="n">
        <v>0</v>
      </c>
      <c r="T8200" t="n">
        <v>0</v>
      </c>
      <c r="U8200" t="n">
        <v>0</v>
      </c>
      <c r="V8200" s="2" t="inlineStr"/>
    </row>
    <row r="8201" ht="15" customHeight="1">
      <c r="A8201" t="inlineStr">
        <is>
          <t>A 29833-2023</t>
        </is>
      </c>
      <c r="B8201" t="inlineStr">
        <is>
          <t>avverkningsanmälan</t>
        </is>
      </c>
      <c r="C8201" t="inlineStr">
        <is>
          <t>Föryngringsavverkning</t>
        </is>
      </c>
      <c r="D8201" s="1" t="n">
        <v>45107</v>
      </c>
      <c r="E8201" s="1" t="n">
        <v>46319</v>
      </c>
      <c r="F8201" t="inlineStr">
        <is>
          <t>DALARNAS LÄN</t>
        </is>
      </c>
      <c r="G8201" t="inlineStr">
        <is>
          <t>SÄTER</t>
        </is>
      </c>
      <c r="I8201" t="n">
        <v>1.7</v>
      </c>
      <c r="J8201" t="n">
        <v>0</v>
      </c>
      <c r="K8201" t="n">
        <v>0</v>
      </c>
      <c r="L8201" t="n">
        <v>0</v>
      </c>
      <c r="M8201" t="n">
        <v>0</v>
      </c>
      <c r="N8201" t="n">
        <v>0</v>
      </c>
      <c r="O8201" t="n">
        <v>0</v>
      </c>
      <c r="P8201" t="n">
        <v>0</v>
      </c>
      <c r="Q8201" t="n">
        <v>0</v>
      </c>
      <c r="R8201" t="n">
        <v>0</v>
      </c>
      <c r="S8201" t="n">
        <v>0</v>
      </c>
      <c r="T8201" t="n">
        <v>0</v>
      </c>
      <c r="U8201" t="n">
        <v>0</v>
      </c>
      <c r="V8201" s="2" t="inlineStr"/>
    </row>
    <row r="8202" ht="15" customHeight="1">
      <c r="A8202" t="inlineStr">
        <is>
          <t>A 50681-2024</t>
        </is>
      </c>
      <c r="B8202" t="inlineStr">
        <is>
          <t>avverkningsanmälan</t>
        </is>
      </c>
      <c r="C8202" t="inlineStr">
        <is>
          <t>Avverkning för annat ändamål</t>
        </is>
      </c>
      <c r="D8202" s="1" t="n">
        <v>45602</v>
      </c>
      <c r="E8202" s="1" t="n">
        <v>46319</v>
      </c>
      <c r="F8202" t="inlineStr">
        <is>
          <t>DALARNAS LÄN</t>
        </is>
      </c>
      <c r="G8202" t="inlineStr">
        <is>
          <t>AVESTA</t>
        </is>
      </c>
      <c r="I8202" t="n">
        <v>0.8</v>
      </c>
      <c r="J8202" t="n">
        <v>0</v>
      </c>
      <c r="K8202" t="n">
        <v>0</v>
      </c>
      <c r="L8202" t="n">
        <v>0</v>
      </c>
      <c r="M8202" t="n">
        <v>0</v>
      </c>
      <c r="N8202" t="n">
        <v>0</v>
      </c>
      <c r="O8202" t="n">
        <v>0</v>
      </c>
      <c r="P8202" t="n">
        <v>0</v>
      </c>
      <c r="Q8202" t="n">
        <v>0</v>
      </c>
      <c r="R8202" t="n">
        <v>0</v>
      </c>
      <c r="S8202" t="n">
        <v>0</v>
      </c>
      <c r="T8202" t="n">
        <v>0</v>
      </c>
      <c r="U8202" t="n">
        <v>0</v>
      </c>
      <c r="V8202" s="2" t="inlineStr"/>
    </row>
    <row r="8203" ht="15" customHeight="1">
      <c r="A8203" t="inlineStr">
        <is>
          <t>A 56445-2024</t>
        </is>
      </c>
      <c r="B8203" t="inlineStr">
        <is>
          <t>avverkningsanmälan</t>
        </is>
      </c>
      <c r="C8203" t="inlineStr">
        <is>
          <t>Föryngringsavverkning</t>
        </is>
      </c>
      <c r="D8203" s="1" t="n">
        <v>45625</v>
      </c>
      <c r="E8203" s="1" t="n">
        <v>46319</v>
      </c>
      <c r="F8203" t="inlineStr">
        <is>
          <t>DALARNAS LÄN</t>
        </is>
      </c>
      <c r="G8203" t="inlineStr">
        <is>
          <t>LUDVIKA</t>
        </is>
      </c>
      <c r="I8203" t="n">
        <v>2.1</v>
      </c>
      <c r="J8203" t="n">
        <v>0</v>
      </c>
      <c r="K8203" t="n">
        <v>0</v>
      </c>
      <c r="L8203" t="n">
        <v>0</v>
      </c>
      <c r="M8203" t="n">
        <v>0</v>
      </c>
      <c r="N8203" t="n">
        <v>0</v>
      </c>
      <c r="O8203" t="n">
        <v>0</v>
      </c>
      <c r="P8203" t="n">
        <v>0</v>
      </c>
      <c r="Q8203" t="n">
        <v>0</v>
      </c>
      <c r="R8203" t="n">
        <v>0</v>
      </c>
      <c r="S8203" t="n">
        <v>0</v>
      </c>
      <c r="T8203" t="n">
        <v>0</v>
      </c>
      <c r="U8203" t="n">
        <v>0</v>
      </c>
      <c r="V8203" s="2" t="inlineStr"/>
    </row>
    <row r="8204" ht="15" customHeight="1">
      <c r="A8204" t="inlineStr">
        <is>
          <t>A 51468-2024</t>
        </is>
      </c>
      <c r="B8204" t="inlineStr">
        <is>
          <t>avverkningsanmälan</t>
        </is>
      </c>
      <c r="C8204" t="inlineStr">
        <is>
          <t>Föryngringsavverkning</t>
        </is>
      </c>
      <c r="D8204" s="1" t="n">
        <v>45604</v>
      </c>
      <c r="E8204" s="1" t="n">
        <v>46319</v>
      </c>
      <c r="F8204" t="inlineStr">
        <is>
          <t>DALARNAS LÄN</t>
        </is>
      </c>
      <c r="G8204" t="inlineStr">
        <is>
          <t>SÄTER</t>
        </is>
      </c>
      <c r="I8204" t="n">
        <v>1.2</v>
      </c>
      <c r="J8204" t="n">
        <v>0</v>
      </c>
      <c r="K8204" t="n">
        <v>0</v>
      </c>
      <c r="L8204" t="n">
        <v>0</v>
      </c>
      <c r="M8204" t="n">
        <v>0</v>
      </c>
      <c r="N8204" t="n">
        <v>0</v>
      </c>
      <c r="O8204" t="n">
        <v>0</v>
      </c>
      <c r="P8204" t="n">
        <v>0</v>
      </c>
      <c r="Q8204" t="n">
        <v>0</v>
      </c>
      <c r="R8204" t="n">
        <v>0</v>
      </c>
      <c r="S8204" t="n">
        <v>0</v>
      </c>
      <c r="T8204" t="n">
        <v>0</v>
      </c>
      <c r="U8204" t="n">
        <v>0</v>
      </c>
      <c r="V8204" s="2" t="inlineStr"/>
    </row>
    <row r="8205" ht="15" customHeight="1">
      <c r="A8205" t="inlineStr">
        <is>
          <t>A 25935-2023</t>
        </is>
      </c>
      <c r="B8205" t="inlineStr">
        <is>
          <t>avverkningsanmälan</t>
        </is>
      </c>
      <c r="C8205" t="inlineStr">
        <is>
          <t>Föryngringsavverkning</t>
        </is>
      </c>
      <c r="D8205" s="1" t="n">
        <v>45090</v>
      </c>
      <c r="E8205" s="1" t="n">
        <v>46319</v>
      </c>
      <c r="F8205" t="inlineStr">
        <is>
          <t>DALARNAS LÄN</t>
        </is>
      </c>
      <c r="G8205" t="inlineStr">
        <is>
          <t>MORA</t>
        </is>
      </c>
      <c r="I8205" t="n">
        <v>1.4</v>
      </c>
      <c r="J8205" t="n">
        <v>0</v>
      </c>
      <c r="K8205" t="n">
        <v>0</v>
      </c>
      <c r="L8205" t="n">
        <v>0</v>
      </c>
      <c r="M8205" t="n">
        <v>0</v>
      </c>
      <c r="N8205" t="n">
        <v>0</v>
      </c>
      <c r="O8205" t="n">
        <v>0</v>
      </c>
      <c r="P8205" t="n">
        <v>0</v>
      </c>
      <c r="Q8205" t="n">
        <v>0</v>
      </c>
      <c r="R8205" t="n">
        <v>0</v>
      </c>
      <c r="S8205" t="n">
        <v>0</v>
      </c>
      <c r="T8205" t="n">
        <v>0</v>
      </c>
      <c r="U8205" t="n">
        <v>0</v>
      </c>
      <c r="V8205" s="2" t="inlineStr"/>
    </row>
    <row r="8206" ht="15" customHeight="1">
      <c r="A8206" t="inlineStr">
        <is>
          <t>A 24426-2023</t>
        </is>
      </c>
      <c r="B8206" t="inlineStr">
        <is>
          <t>avverkningsanmälan</t>
        </is>
      </c>
      <c r="C8206" t="inlineStr">
        <is>
          <t>Föryngringsavverkning</t>
        </is>
      </c>
      <c r="D8206" s="1" t="n">
        <v>45082</v>
      </c>
      <c r="E8206" s="1" t="n">
        <v>46319</v>
      </c>
      <c r="F8206" t="inlineStr">
        <is>
          <t>DALARNAS LÄN</t>
        </is>
      </c>
      <c r="G8206" t="inlineStr">
        <is>
          <t>SMEDJEBACKEN</t>
        </is>
      </c>
      <c r="I8206" t="n">
        <v>2.7</v>
      </c>
      <c r="J8206" t="n">
        <v>0</v>
      </c>
      <c r="K8206" t="n">
        <v>0</v>
      </c>
      <c r="L8206" t="n">
        <v>0</v>
      </c>
      <c r="M8206" t="n">
        <v>0</v>
      </c>
      <c r="N8206" t="n">
        <v>0</v>
      </c>
      <c r="O8206" t="n">
        <v>0</v>
      </c>
      <c r="P8206" t="n">
        <v>0</v>
      </c>
      <c r="Q8206" t="n">
        <v>0</v>
      </c>
      <c r="R8206" t="n">
        <v>0</v>
      </c>
      <c r="S8206" t="n">
        <v>0</v>
      </c>
      <c r="T8206" t="n">
        <v>0</v>
      </c>
      <c r="U8206" t="n">
        <v>0</v>
      </c>
      <c r="V8206" s="2" t="inlineStr"/>
    </row>
    <row r="8207" ht="15" customHeight="1">
      <c r="A8207" t="inlineStr">
        <is>
          <t>A 28924-2024</t>
        </is>
      </c>
      <c r="B8207" t="inlineStr">
        <is>
          <t>avverkningsanmälan</t>
        </is>
      </c>
      <c r="C8207" t="inlineStr">
        <is>
          <t>Föryngringsavverkning</t>
        </is>
      </c>
      <c r="D8207" s="1" t="n">
        <v>45481</v>
      </c>
      <c r="E8207" s="1" t="n">
        <v>46319</v>
      </c>
      <c r="F8207" t="inlineStr">
        <is>
          <t>DALARNAS LÄN</t>
        </is>
      </c>
      <c r="G8207" t="inlineStr">
        <is>
          <t>VANSBRO</t>
        </is>
      </c>
      <c r="I8207" t="n">
        <v>1.1</v>
      </c>
      <c r="J8207" t="n">
        <v>0</v>
      </c>
      <c r="K8207" t="n">
        <v>0</v>
      </c>
      <c r="L8207" t="n">
        <v>0</v>
      </c>
      <c r="M8207" t="n">
        <v>0</v>
      </c>
      <c r="N8207" t="n">
        <v>0</v>
      </c>
      <c r="O8207" t="n">
        <v>0</v>
      </c>
      <c r="P8207" t="n">
        <v>0</v>
      </c>
      <c r="Q8207" t="n">
        <v>0</v>
      </c>
      <c r="R8207" t="n">
        <v>0</v>
      </c>
      <c r="S8207" t="n">
        <v>0</v>
      </c>
      <c r="T8207" t="n">
        <v>0</v>
      </c>
      <c r="U8207" t="n">
        <v>0</v>
      </c>
      <c r="V8207" s="2" t="inlineStr"/>
    </row>
    <row r="8208" ht="15" customHeight="1">
      <c r="A8208" t="inlineStr">
        <is>
          <t>A 63908-2021</t>
        </is>
      </c>
      <c r="B8208" t="inlineStr">
        <is>
          <t>avverkningsanmälan</t>
        </is>
      </c>
      <c r="C8208" t="inlineStr">
        <is>
          <t>Föryngringsavverkning</t>
        </is>
      </c>
      <c r="D8208" s="1" t="n">
        <v>44509</v>
      </c>
      <c r="E8208" s="1" t="n">
        <v>46319</v>
      </c>
      <c r="F8208" t="inlineStr">
        <is>
          <t>DALARNAS LÄN</t>
        </is>
      </c>
      <c r="G8208" t="inlineStr">
        <is>
          <t>HEDEMORA</t>
        </is>
      </c>
      <c r="I8208" t="n">
        <v>1.4</v>
      </c>
      <c r="J8208" t="n">
        <v>0</v>
      </c>
      <c r="K8208" t="n">
        <v>0</v>
      </c>
      <c r="L8208" t="n">
        <v>0</v>
      </c>
      <c r="M8208" t="n">
        <v>0</v>
      </c>
      <c r="N8208" t="n">
        <v>0</v>
      </c>
      <c r="O8208" t="n">
        <v>0</v>
      </c>
      <c r="P8208" t="n">
        <v>0</v>
      </c>
      <c r="Q8208" t="n">
        <v>0</v>
      </c>
      <c r="R8208" t="n">
        <v>0</v>
      </c>
      <c r="S8208" t="n">
        <v>0</v>
      </c>
      <c r="T8208" t="n">
        <v>0</v>
      </c>
      <c r="U8208" t="n">
        <v>0</v>
      </c>
      <c r="V8208" s="2" t="inlineStr"/>
    </row>
    <row r="8209" ht="15" customHeight="1">
      <c r="A8209" t="inlineStr">
        <is>
          <t>A 18805-2023</t>
        </is>
      </c>
      <c r="B8209" t="inlineStr">
        <is>
          <t>avverkningsanmälan</t>
        </is>
      </c>
      <c r="C8209" t="inlineStr">
        <is>
          <t>Föryngringsavverkning</t>
        </is>
      </c>
      <c r="D8209" s="1" t="n">
        <v>45044</v>
      </c>
      <c r="E8209" s="1" t="n">
        <v>46319</v>
      </c>
      <c r="F8209" t="inlineStr">
        <is>
          <t>DALARNAS LÄN</t>
        </is>
      </c>
      <c r="G8209" t="inlineStr">
        <is>
          <t>AVESTA</t>
        </is>
      </c>
      <c r="I8209" t="n">
        <v>1.1</v>
      </c>
      <c r="J8209" t="n">
        <v>0</v>
      </c>
      <c r="K8209" t="n">
        <v>0</v>
      </c>
      <c r="L8209" t="n">
        <v>0</v>
      </c>
      <c r="M8209" t="n">
        <v>0</v>
      </c>
      <c r="N8209" t="n">
        <v>0</v>
      </c>
      <c r="O8209" t="n">
        <v>0</v>
      </c>
      <c r="P8209" t="n">
        <v>0</v>
      </c>
      <c r="Q8209" t="n">
        <v>0</v>
      </c>
      <c r="R8209" t="n">
        <v>0</v>
      </c>
      <c r="S8209" t="n">
        <v>0</v>
      </c>
      <c r="T8209" t="n">
        <v>0</v>
      </c>
      <c r="U8209" t="n">
        <v>0</v>
      </c>
      <c r="V8209" s="2" t="inlineStr"/>
    </row>
    <row r="8210" ht="15" customHeight="1">
      <c r="A8210" t="inlineStr">
        <is>
          <t>A 918-2024</t>
        </is>
      </c>
      <c r="B8210" t="inlineStr">
        <is>
          <t>avverkningsanmälan</t>
        </is>
      </c>
      <c r="C8210" t="inlineStr">
        <is>
          <t>Föryngringsavverkning</t>
        </is>
      </c>
      <c r="D8210" s="1" t="n">
        <v>45301</v>
      </c>
      <c r="E8210" s="1" t="n">
        <v>46319</v>
      </c>
      <c r="F8210" t="inlineStr">
        <is>
          <t>DALARNAS LÄN</t>
        </is>
      </c>
      <c r="G8210" t="inlineStr">
        <is>
          <t>LUDVIKA</t>
        </is>
      </c>
      <c r="I8210" t="n">
        <v>6</v>
      </c>
      <c r="J8210" t="n">
        <v>0</v>
      </c>
      <c r="K8210" t="n">
        <v>0</v>
      </c>
      <c r="L8210" t="n">
        <v>0</v>
      </c>
      <c r="M8210" t="n">
        <v>0</v>
      </c>
      <c r="N8210" t="n">
        <v>0</v>
      </c>
      <c r="O8210" t="n">
        <v>0</v>
      </c>
      <c r="P8210" t="n">
        <v>0</v>
      </c>
      <c r="Q8210" t="n">
        <v>0</v>
      </c>
      <c r="R8210" t="n">
        <v>0</v>
      </c>
      <c r="S8210" t="n">
        <v>0</v>
      </c>
      <c r="T8210" t="n">
        <v>0</v>
      </c>
      <c r="U8210" t="n">
        <v>0</v>
      </c>
      <c r="V8210" s="2" t="inlineStr"/>
    </row>
    <row r="8211" ht="15" customHeight="1">
      <c r="A8211" t="inlineStr">
        <is>
          <t>A 57629-2022</t>
        </is>
      </c>
      <c r="B8211" t="inlineStr">
        <is>
          <t>avverkningsanmälan</t>
        </is>
      </c>
      <c r="C8211" t="inlineStr">
        <is>
          <t>Föryngringsavverkning</t>
        </is>
      </c>
      <c r="D8211" s="1" t="n">
        <v>44897</v>
      </c>
      <c r="E8211" s="1" t="n">
        <v>46319</v>
      </c>
      <c r="F8211" t="inlineStr">
        <is>
          <t>DALARNAS LÄN</t>
        </is>
      </c>
      <c r="G8211" t="inlineStr">
        <is>
          <t>SMEDJEBACKEN</t>
        </is>
      </c>
      <c r="H8211" t="inlineStr">
        <is>
          <t>Kyrkan</t>
        </is>
      </c>
      <c r="I8211" t="n">
        <v>1.6</v>
      </c>
      <c r="J8211" t="n">
        <v>0</v>
      </c>
      <c r="K8211" t="n">
        <v>0</v>
      </c>
      <c r="L8211" t="n">
        <v>0</v>
      </c>
      <c r="M8211" t="n">
        <v>0</v>
      </c>
      <c r="N8211" t="n">
        <v>0</v>
      </c>
      <c r="O8211" t="n">
        <v>0</v>
      </c>
      <c r="P8211" t="n">
        <v>0</v>
      </c>
      <c r="Q8211" t="n">
        <v>0</v>
      </c>
      <c r="R8211" t="n">
        <v>0</v>
      </c>
      <c r="S8211" t="n">
        <v>0</v>
      </c>
      <c r="T8211" t="n">
        <v>0</v>
      </c>
      <c r="U8211" t="n">
        <v>0</v>
      </c>
      <c r="V8211" s="2" t="inlineStr"/>
    </row>
    <row r="8212" ht="15" customHeight="1">
      <c r="A8212" t="inlineStr">
        <is>
          <t>A 7490-2023</t>
        </is>
      </c>
      <c r="B8212" t="inlineStr">
        <is>
          <t>avverkningsanmälan</t>
        </is>
      </c>
      <c r="C8212" t="inlineStr">
        <is>
          <t>Föryngringsavverkning</t>
        </is>
      </c>
      <c r="D8212" s="1" t="n">
        <v>44971</v>
      </c>
      <c r="E8212" s="1" t="n">
        <v>46319</v>
      </c>
      <c r="F8212" t="inlineStr">
        <is>
          <t>DALARNAS LÄN</t>
        </is>
      </c>
      <c r="G8212" t="inlineStr">
        <is>
          <t>AVESTA</t>
        </is>
      </c>
      <c r="I8212" t="n">
        <v>1.9</v>
      </c>
      <c r="J8212" t="n">
        <v>0</v>
      </c>
      <c r="K8212" t="n">
        <v>0</v>
      </c>
      <c r="L8212" t="n">
        <v>0</v>
      </c>
      <c r="M8212" t="n">
        <v>0</v>
      </c>
      <c r="N8212" t="n">
        <v>0</v>
      </c>
      <c r="O8212" t="n">
        <v>0</v>
      </c>
      <c r="P8212" t="n">
        <v>0</v>
      </c>
      <c r="Q8212" t="n">
        <v>0</v>
      </c>
      <c r="R8212" t="n">
        <v>0</v>
      </c>
      <c r="S8212" t="n">
        <v>0</v>
      </c>
      <c r="T8212" t="n">
        <v>0</v>
      </c>
      <c r="U8212" t="n">
        <v>0</v>
      </c>
      <c r="V8212" s="2" t="inlineStr"/>
    </row>
    <row r="8213" ht="15" customHeight="1">
      <c r="A8213" t="inlineStr">
        <is>
          <t>A 54423-2023</t>
        </is>
      </c>
      <c r="B8213" t="inlineStr">
        <is>
          <t>avverkningsanmälan</t>
        </is>
      </c>
      <c r="C8213" t="inlineStr">
        <is>
          <t>Föryngringsavverkning</t>
        </is>
      </c>
      <c r="D8213" s="1" t="n">
        <v>45233</v>
      </c>
      <c r="E8213" s="1" t="n">
        <v>46319</v>
      </c>
      <c r="F8213" t="inlineStr">
        <is>
          <t>DALARNAS LÄN</t>
        </is>
      </c>
      <c r="G8213" t="inlineStr">
        <is>
          <t>HEDEMORA</t>
        </is>
      </c>
      <c r="I8213" t="n">
        <v>3.4</v>
      </c>
      <c r="J8213" t="n">
        <v>0</v>
      </c>
      <c r="K8213" t="n">
        <v>0</v>
      </c>
      <c r="L8213" t="n">
        <v>0</v>
      </c>
      <c r="M8213" t="n">
        <v>0</v>
      </c>
      <c r="N8213" t="n">
        <v>0</v>
      </c>
      <c r="O8213" t="n">
        <v>0</v>
      </c>
      <c r="P8213" t="n">
        <v>0</v>
      </c>
      <c r="Q8213" t="n">
        <v>0</v>
      </c>
      <c r="R8213" t="n">
        <v>0</v>
      </c>
      <c r="S8213" t="n">
        <v>0</v>
      </c>
      <c r="T8213" t="n">
        <v>0</v>
      </c>
      <c r="U8213" t="n">
        <v>0</v>
      </c>
      <c r="V8213" s="2" t="inlineStr"/>
    </row>
    <row r="8214" ht="15" customHeight="1">
      <c r="A8214" t="inlineStr">
        <is>
          <t>A 59142-2024</t>
        </is>
      </c>
      <c r="B8214" t="inlineStr">
        <is>
          <t>avverkningsanmälan</t>
        </is>
      </c>
      <c r="C8214" t="inlineStr">
        <is>
          <t>Föryngringsavverkning</t>
        </is>
      </c>
      <c r="D8214" s="1" t="n">
        <v>45637</v>
      </c>
      <c r="E8214" s="1" t="n">
        <v>46319</v>
      </c>
      <c r="F8214" t="inlineStr">
        <is>
          <t>DALARNAS LÄN</t>
        </is>
      </c>
      <c r="G8214" t="inlineStr">
        <is>
          <t>VANSBRO</t>
        </is>
      </c>
      <c r="I8214" t="n">
        <v>0.9</v>
      </c>
      <c r="J8214" t="n">
        <v>0</v>
      </c>
      <c r="K8214" t="n">
        <v>0</v>
      </c>
      <c r="L8214" t="n">
        <v>0</v>
      </c>
      <c r="M8214" t="n">
        <v>0</v>
      </c>
      <c r="N8214" t="n">
        <v>0</v>
      </c>
      <c r="O8214" t="n">
        <v>0</v>
      </c>
      <c r="P8214" t="n">
        <v>0</v>
      </c>
      <c r="Q8214" t="n">
        <v>0</v>
      </c>
      <c r="R8214" t="n">
        <v>0</v>
      </c>
      <c r="S8214" t="n">
        <v>0</v>
      </c>
      <c r="T8214" t="n">
        <v>0</v>
      </c>
      <c r="U8214" t="n">
        <v>0</v>
      </c>
      <c r="V8214" s="2" t="inlineStr"/>
    </row>
    <row r="8215" ht="15" customHeight="1">
      <c r="A8215" t="inlineStr">
        <is>
          <t>A 53062-2024</t>
        </is>
      </c>
      <c r="B8215" t="inlineStr">
        <is>
          <t>avverkningsanmälan</t>
        </is>
      </c>
      <c r="C8215" t="inlineStr">
        <is>
          <t>Föryngringsavverkning</t>
        </is>
      </c>
      <c r="D8215" s="1" t="n">
        <v>45611</v>
      </c>
      <c r="E8215" s="1" t="n">
        <v>46319</v>
      </c>
      <c r="F8215" t="inlineStr">
        <is>
          <t>DALARNAS LÄN</t>
        </is>
      </c>
      <c r="G8215" t="inlineStr">
        <is>
          <t>FALUN</t>
        </is>
      </c>
      <c r="H8215" t="inlineStr">
        <is>
          <t>Bergvik skog väst AB</t>
        </is>
      </c>
      <c r="I8215" t="n">
        <v>1.4</v>
      </c>
      <c r="J8215" t="n">
        <v>0</v>
      </c>
      <c r="K8215" t="n">
        <v>0</v>
      </c>
      <c r="L8215" t="n">
        <v>0</v>
      </c>
      <c r="M8215" t="n">
        <v>0</v>
      </c>
      <c r="N8215" t="n">
        <v>0</v>
      </c>
      <c r="O8215" t="n">
        <v>0</v>
      </c>
      <c r="P8215" t="n">
        <v>0</v>
      </c>
      <c r="Q8215" t="n">
        <v>0</v>
      </c>
      <c r="R8215" t="n">
        <v>0</v>
      </c>
      <c r="S8215" t="n">
        <v>0</v>
      </c>
      <c r="T8215" t="n">
        <v>0</v>
      </c>
      <c r="U8215" t="n">
        <v>0</v>
      </c>
      <c r="V8215" s="2" t="inlineStr"/>
    </row>
    <row r="8216" ht="15" customHeight="1">
      <c r="A8216" t="inlineStr">
        <is>
          <t>A 53100-2024</t>
        </is>
      </c>
      <c r="B8216" t="inlineStr">
        <is>
          <t>avverkningsanmälan</t>
        </is>
      </c>
      <c r="C8216" t="inlineStr">
        <is>
          <t>Föryngringsavverkning</t>
        </is>
      </c>
      <c r="D8216" s="1" t="n">
        <v>45611</v>
      </c>
      <c r="E8216" s="1" t="n">
        <v>46319</v>
      </c>
      <c r="F8216" t="inlineStr">
        <is>
          <t>DALARNAS LÄN</t>
        </is>
      </c>
      <c r="G8216" t="inlineStr">
        <is>
          <t>AVESTA</t>
        </is>
      </c>
      <c r="H8216" t="inlineStr">
        <is>
          <t>Sveaskog</t>
        </is>
      </c>
      <c r="I8216" t="n">
        <v>3.6</v>
      </c>
      <c r="J8216" t="n">
        <v>0</v>
      </c>
      <c r="K8216" t="n">
        <v>0</v>
      </c>
      <c r="L8216" t="n">
        <v>0</v>
      </c>
      <c r="M8216" t="n">
        <v>0</v>
      </c>
      <c r="N8216" t="n">
        <v>0</v>
      </c>
      <c r="O8216" t="n">
        <v>0</v>
      </c>
      <c r="P8216" t="n">
        <v>0</v>
      </c>
      <c r="Q8216" t="n">
        <v>0</v>
      </c>
      <c r="R8216" t="n">
        <v>0</v>
      </c>
      <c r="S8216" t="n">
        <v>0</v>
      </c>
      <c r="T8216" t="n">
        <v>0</v>
      </c>
      <c r="U8216" t="n">
        <v>0</v>
      </c>
      <c r="V8216" s="2" t="inlineStr"/>
    </row>
    <row r="8217" ht="15" customHeight="1">
      <c r="A8217" t="inlineStr">
        <is>
          <t>A 33345-2024</t>
        </is>
      </c>
      <c r="B8217" t="inlineStr">
        <is>
          <t>avverkningsanmälan</t>
        </is>
      </c>
      <c r="C8217" t="inlineStr">
        <is>
          <t>Föryngringsavverkning</t>
        </is>
      </c>
      <c r="D8217" s="1" t="n">
        <v>45519</v>
      </c>
      <c r="E8217" s="1" t="n">
        <v>46319</v>
      </c>
      <c r="F8217" t="inlineStr">
        <is>
          <t>DALARNAS LÄN</t>
        </is>
      </c>
      <c r="G8217" t="inlineStr">
        <is>
          <t>LUDVIKA</t>
        </is>
      </c>
      <c r="I8217" t="n">
        <v>0.5</v>
      </c>
      <c r="J8217" t="n">
        <v>0</v>
      </c>
      <c r="K8217" t="n">
        <v>0</v>
      </c>
      <c r="L8217" t="n">
        <v>0</v>
      </c>
      <c r="M8217" t="n">
        <v>0</v>
      </c>
      <c r="N8217" t="n">
        <v>0</v>
      </c>
      <c r="O8217" t="n">
        <v>0</v>
      </c>
      <c r="P8217" t="n">
        <v>0</v>
      </c>
      <c r="Q8217" t="n">
        <v>0</v>
      </c>
      <c r="R8217" t="n">
        <v>0</v>
      </c>
      <c r="S8217" t="n">
        <v>0</v>
      </c>
      <c r="T8217" t="n">
        <v>0</v>
      </c>
      <c r="U8217" t="n">
        <v>0</v>
      </c>
      <c r="V8217" s="2" t="inlineStr"/>
    </row>
    <row r="8218" ht="15" customHeight="1">
      <c r="A8218" t="inlineStr">
        <is>
          <t>A 15393-2023</t>
        </is>
      </c>
      <c r="B8218" t="inlineStr">
        <is>
          <t>avverkningsanmälan</t>
        </is>
      </c>
      <c r="C8218" t="inlineStr">
        <is>
          <t>Avverkning för annat ändamål</t>
        </is>
      </c>
      <c r="D8218" s="1" t="n">
        <v>45016</v>
      </c>
      <c r="E8218" s="1" t="n">
        <v>46319</v>
      </c>
      <c r="F8218" t="inlineStr">
        <is>
          <t>DALARNAS LÄN</t>
        </is>
      </c>
      <c r="G8218" t="inlineStr">
        <is>
          <t>BORLÄNGE</t>
        </is>
      </c>
      <c r="I8218" t="n">
        <v>0.9</v>
      </c>
      <c r="J8218" t="n">
        <v>0</v>
      </c>
      <c r="K8218" t="n">
        <v>0</v>
      </c>
      <c r="L8218" t="n">
        <v>0</v>
      </c>
      <c r="M8218" t="n">
        <v>0</v>
      </c>
      <c r="N8218" t="n">
        <v>0</v>
      </c>
      <c r="O8218" t="n">
        <v>0</v>
      </c>
      <c r="P8218" t="n">
        <v>0</v>
      </c>
      <c r="Q8218" t="n">
        <v>0</v>
      </c>
      <c r="R8218" t="n">
        <v>0</v>
      </c>
      <c r="S8218" t="n">
        <v>0</v>
      </c>
      <c r="T8218" t="n">
        <v>0</v>
      </c>
      <c r="U8218" t="n">
        <v>0</v>
      </c>
      <c r="V8218" s="2" t="inlineStr"/>
    </row>
    <row r="8219" ht="15" customHeight="1">
      <c r="A8219" t="inlineStr">
        <is>
          <t>A 22234-2024</t>
        </is>
      </c>
      <c r="B8219" t="inlineStr">
        <is>
          <t>avverkningsanmälan</t>
        </is>
      </c>
      <c r="C8219" t="inlineStr">
        <is>
          <t>Föryngringsavverkning</t>
        </is>
      </c>
      <c r="D8219" s="1" t="n">
        <v>45446</v>
      </c>
      <c r="E8219" s="1" t="n">
        <v>46319</v>
      </c>
      <c r="F8219" t="inlineStr">
        <is>
          <t>DALARNAS LÄN</t>
        </is>
      </c>
      <c r="G8219" t="inlineStr">
        <is>
          <t>AVESTA</t>
        </is>
      </c>
      <c r="I8219" t="n">
        <v>0.6</v>
      </c>
      <c r="J8219" t="n">
        <v>0</v>
      </c>
      <c r="K8219" t="n">
        <v>0</v>
      </c>
      <c r="L8219" t="n">
        <v>0</v>
      </c>
      <c r="M8219" t="n">
        <v>0</v>
      </c>
      <c r="N8219" t="n">
        <v>0</v>
      </c>
      <c r="O8219" t="n">
        <v>0</v>
      </c>
      <c r="P8219" t="n">
        <v>0</v>
      </c>
      <c r="Q8219" t="n">
        <v>0</v>
      </c>
      <c r="R8219" t="n">
        <v>0</v>
      </c>
      <c r="S8219" t="n">
        <v>0</v>
      </c>
      <c r="T8219" t="n">
        <v>0</v>
      </c>
      <c r="U8219" t="n">
        <v>0</v>
      </c>
      <c r="V8219" s="2" t="inlineStr"/>
    </row>
    <row r="8220" ht="15" customHeight="1">
      <c r="A8220" t="inlineStr">
        <is>
          <t>A 48774-2024</t>
        </is>
      </c>
      <c r="B8220" t="inlineStr">
        <is>
          <t>avverkningsanmälan</t>
        </is>
      </c>
      <c r="C8220" t="inlineStr">
        <is>
          <t>Föryngringsavverkning</t>
        </is>
      </c>
      <c r="D8220" s="1" t="n">
        <v>45593</v>
      </c>
      <c r="E8220" s="1" t="n">
        <v>46319</v>
      </c>
      <c r="F8220" t="inlineStr">
        <is>
          <t>DALARNAS LÄN</t>
        </is>
      </c>
      <c r="G8220" t="inlineStr">
        <is>
          <t>LUDVIKA</t>
        </is>
      </c>
      <c r="H8220" t="inlineStr">
        <is>
          <t>Bergvik skog väst AB</t>
        </is>
      </c>
      <c r="I8220" t="n">
        <v>5.7</v>
      </c>
      <c r="J8220" t="n">
        <v>0</v>
      </c>
      <c r="K8220" t="n">
        <v>0</v>
      </c>
      <c r="L8220" t="n">
        <v>0</v>
      </c>
      <c r="M8220" t="n">
        <v>0</v>
      </c>
      <c r="N8220" t="n">
        <v>0</v>
      </c>
      <c r="O8220" t="n">
        <v>0</v>
      </c>
      <c r="P8220" t="n">
        <v>0</v>
      </c>
      <c r="Q8220" t="n">
        <v>0</v>
      </c>
      <c r="R8220" t="n">
        <v>0</v>
      </c>
      <c r="S8220" t="n">
        <v>0</v>
      </c>
      <c r="T8220" t="n">
        <v>0</v>
      </c>
      <c r="U8220" t="n">
        <v>0</v>
      </c>
      <c r="V8220" s="2" t="inlineStr"/>
    </row>
    <row r="8221" ht="15" customHeight="1">
      <c r="A8221" t="inlineStr">
        <is>
          <t>A 39336-2023</t>
        </is>
      </c>
      <c r="B8221" t="inlineStr">
        <is>
          <t>avverkningsanmälan</t>
        </is>
      </c>
      <c r="C8221" t="inlineStr">
        <is>
          <t>Föryngringsavverkning</t>
        </is>
      </c>
      <c r="D8221" s="1" t="n">
        <v>45166</v>
      </c>
      <c r="E8221" s="1" t="n">
        <v>46319</v>
      </c>
      <c r="F8221" t="inlineStr">
        <is>
          <t>DALARNAS LÄN</t>
        </is>
      </c>
      <c r="G8221" t="inlineStr">
        <is>
          <t>VANSBRO</t>
        </is>
      </c>
      <c r="I8221" t="n">
        <v>1.6</v>
      </c>
      <c r="J8221" t="n">
        <v>0</v>
      </c>
      <c r="K8221" t="n">
        <v>0</v>
      </c>
      <c r="L8221" t="n">
        <v>0</v>
      </c>
      <c r="M8221" t="n">
        <v>0</v>
      </c>
      <c r="N8221" t="n">
        <v>0</v>
      </c>
      <c r="O8221" t="n">
        <v>0</v>
      </c>
      <c r="P8221" t="n">
        <v>0</v>
      </c>
      <c r="Q8221" t="n">
        <v>0</v>
      </c>
      <c r="R8221" t="n">
        <v>0</v>
      </c>
      <c r="S8221" t="n">
        <v>0</v>
      </c>
      <c r="T8221" t="n">
        <v>0</v>
      </c>
      <c r="U8221" t="n">
        <v>0</v>
      </c>
      <c r="V8221" s="2" t="inlineStr"/>
    </row>
    <row r="8222" ht="15" customHeight="1">
      <c r="A8222" t="inlineStr">
        <is>
          <t>A 52526-2023</t>
        </is>
      </c>
      <c r="B8222" t="inlineStr">
        <is>
          <t>avverkningsanmälan</t>
        </is>
      </c>
      <c r="C8222" t="inlineStr">
        <is>
          <t>Föryngringsavverkning</t>
        </is>
      </c>
      <c r="D8222" s="1" t="n">
        <v>45225</v>
      </c>
      <c r="E8222" s="1" t="n">
        <v>46319</v>
      </c>
      <c r="F8222" t="inlineStr">
        <is>
          <t>DALARNAS LÄN</t>
        </is>
      </c>
      <c r="G8222" t="inlineStr">
        <is>
          <t>MALUNG-SÄLEN</t>
        </is>
      </c>
      <c r="H8222" t="inlineStr">
        <is>
          <t>Allmännings- och besparingsskogar</t>
        </is>
      </c>
      <c r="I8222" t="n">
        <v>13.7</v>
      </c>
      <c r="J8222" t="n">
        <v>0</v>
      </c>
      <c r="K8222" t="n">
        <v>0</v>
      </c>
      <c r="L8222" t="n">
        <v>0</v>
      </c>
      <c r="M8222" t="n">
        <v>0</v>
      </c>
      <c r="N8222" t="n">
        <v>0</v>
      </c>
      <c r="O8222" t="n">
        <v>0</v>
      </c>
      <c r="P8222" t="n">
        <v>0</v>
      </c>
      <c r="Q8222" t="n">
        <v>0</v>
      </c>
      <c r="R8222" t="n">
        <v>0</v>
      </c>
      <c r="S8222" t="n">
        <v>0</v>
      </c>
      <c r="T8222" t="n">
        <v>0</v>
      </c>
      <c r="U8222" t="n">
        <v>0</v>
      </c>
      <c r="V8222" s="2" t="inlineStr"/>
    </row>
    <row r="8223" ht="15" customHeight="1">
      <c r="A8223" t="inlineStr">
        <is>
          <t>A 2004-2025</t>
        </is>
      </c>
      <c r="B8223" t="inlineStr">
        <is>
          <t>avverkningsanmälan</t>
        </is>
      </c>
      <c r="C8223" t="inlineStr">
        <is>
          <t>Föryngringsavverkning</t>
        </is>
      </c>
      <c r="D8223" s="1" t="n">
        <v>45671</v>
      </c>
      <c r="E8223" s="1" t="n">
        <v>46319</v>
      </c>
      <c r="F8223" t="inlineStr">
        <is>
          <t>DALARNAS LÄN</t>
        </is>
      </c>
      <c r="G8223" t="inlineStr">
        <is>
          <t>RÄTTVIK</t>
        </is>
      </c>
      <c r="I8223" t="n">
        <v>0.7</v>
      </c>
      <c r="J8223" t="n">
        <v>0</v>
      </c>
      <c r="K8223" t="n">
        <v>0</v>
      </c>
      <c r="L8223" t="n">
        <v>0</v>
      </c>
      <c r="M8223" t="n">
        <v>0</v>
      </c>
      <c r="N8223" t="n">
        <v>0</v>
      </c>
      <c r="O8223" t="n">
        <v>0</v>
      </c>
      <c r="P8223" t="n">
        <v>0</v>
      </c>
      <c r="Q8223" t="n">
        <v>0</v>
      </c>
      <c r="R8223" t="n">
        <v>0</v>
      </c>
      <c r="S8223" t="n">
        <v>0</v>
      </c>
      <c r="T8223" t="n">
        <v>0</v>
      </c>
      <c r="U8223" t="n">
        <v>0</v>
      </c>
      <c r="V8223" s="2" t="inlineStr"/>
    </row>
    <row r="8224" ht="15" customHeight="1">
      <c r="A8224" t="inlineStr">
        <is>
          <t>A 2011-2025</t>
        </is>
      </c>
      <c r="B8224" t="inlineStr">
        <is>
          <t>avverkningsanmälan</t>
        </is>
      </c>
      <c r="C8224" t="inlineStr">
        <is>
          <t>Föryngringsavverkning</t>
        </is>
      </c>
      <c r="D8224" s="1" t="n">
        <v>45672</v>
      </c>
      <c r="E8224" s="1" t="n">
        <v>46319</v>
      </c>
      <c r="F8224" t="inlineStr">
        <is>
          <t>DALARNAS LÄN</t>
        </is>
      </c>
      <c r="G8224" t="inlineStr">
        <is>
          <t>RÄTTVIK</t>
        </is>
      </c>
      <c r="I8224" t="n">
        <v>2.6</v>
      </c>
      <c r="J8224" t="n">
        <v>0</v>
      </c>
      <c r="K8224" t="n">
        <v>0</v>
      </c>
      <c r="L8224" t="n">
        <v>0</v>
      </c>
      <c r="M8224" t="n">
        <v>0</v>
      </c>
      <c r="N8224" t="n">
        <v>0</v>
      </c>
      <c r="O8224" t="n">
        <v>0</v>
      </c>
      <c r="P8224" t="n">
        <v>0</v>
      </c>
      <c r="Q8224" t="n">
        <v>0</v>
      </c>
      <c r="R8224" t="n">
        <v>0</v>
      </c>
      <c r="S8224" t="n">
        <v>0</v>
      </c>
      <c r="T8224" t="n">
        <v>0</v>
      </c>
      <c r="U8224" t="n">
        <v>0</v>
      </c>
      <c r="V8224" s="2" t="inlineStr"/>
    </row>
    <row r="8225" ht="15" customHeight="1">
      <c r="A8225" t="inlineStr">
        <is>
          <t>A 24962-2024</t>
        </is>
      </c>
      <c r="B8225" t="inlineStr">
        <is>
          <t>avverkningsanmälan</t>
        </is>
      </c>
      <c r="C8225" t="inlineStr">
        <is>
          <t>Föryngringsavverkning</t>
        </is>
      </c>
      <c r="D8225" s="1" t="n">
        <v>45461</v>
      </c>
      <c r="E8225" s="1" t="n">
        <v>46319</v>
      </c>
      <c r="F8225" t="inlineStr">
        <is>
          <t>DALARNAS LÄN</t>
        </is>
      </c>
      <c r="G8225" t="inlineStr">
        <is>
          <t>MALUNG-SÄLEN</t>
        </is>
      </c>
      <c r="I8225" t="n">
        <v>1.1</v>
      </c>
      <c r="J8225" t="n">
        <v>0</v>
      </c>
      <c r="K8225" t="n">
        <v>0</v>
      </c>
      <c r="L8225" t="n">
        <v>0</v>
      </c>
      <c r="M8225" t="n">
        <v>0</v>
      </c>
      <c r="N8225" t="n">
        <v>0</v>
      </c>
      <c r="O8225" t="n">
        <v>0</v>
      </c>
      <c r="P8225" t="n">
        <v>0</v>
      </c>
      <c r="Q8225" t="n">
        <v>0</v>
      </c>
      <c r="R8225" t="n">
        <v>0</v>
      </c>
      <c r="S8225" t="n">
        <v>0</v>
      </c>
      <c r="T8225" t="n">
        <v>0</v>
      </c>
      <c r="U8225" t="n">
        <v>0</v>
      </c>
      <c r="V8225" s="2" t="inlineStr"/>
    </row>
    <row r="8226" ht="15" customHeight="1">
      <c r="A8226" t="inlineStr">
        <is>
          <t>A 59199-2024</t>
        </is>
      </c>
      <c r="B8226" t="inlineStr">
        <is>
          <t>avverkningsanmälan</t>
        </is>
      </c>
      <c r="C8226" t="inlineStr">
        <is>
          <t>Föryngringsavverkning</t>
        </is>
      </c>
      <c r="D8226" s="1" t="n">
        <v>45637</v>
      </c>
      <c r="E8226" s="1" t="n">
        <v>46319</v>
      </c>
      <c r="F8226" t="inlineStr">
        <is>
          <t>DALARNAS LÄN</t>
        </is>
      </c>
      <c r="G8226" t="inlineStr">
        <is>
          <t>LEKSAND</t>
        </is>
      </c>
      <c r="I8226" t="n">
        <v>5.4</v>
      </c>
      <c r="J8226" t="n">
        <v>0</v>
      </c>
      <c r="K8226" t="n">
        <v>0</v>
      </c>
      <c r="L8226" t="n">
        <v>0</v>
      </c>
      <c r="M8226" t="n">
        <v>0</v>
      </c>
      <c r="N8226" t="n">
        <v>0</v>
      </c>
      <c r="O8226" t="n">
        <v>0</v>
      </c>
      <c r="P8226" t="n">
        <v>0</v>
      </c>
      <c r="Q8226" t="n">
        <v>0</v>
      </c>
      <c r="R8226" t="n">
        <v>0</v>
      </c>
      <c r="S8226" t="n">
        <v>0</v>
      </c>
      <c r="T8226" t="n">
        <v>0</v>
      </c>
      <c r="U8226" t="n">
        <v>0</v>
      </c>
      <c r="V8226" s="2" t="inlineStr"/>
    </row>
    <row r="8227" ht="15" customHeight="1">
      <c r="A8227" t="inlineStr">
        <is>
          <t>A 16445-2024</t>
        </is>
      </c>
      <c r="B8227" t="inlineStr">
        <is>
          <t>avverkningsanmälan</t>
        </is>
      </c>
      <c r="C8227" t="inlineStr">
        <is>
          <t>Föryngringsavverkning</t>
        </is>
      </c>
      <c r="D8227" s="1" t="n">
        <v>45407</v>
      </c>
      <c r="E8227" s="1" t="n">
        <v>46319</v>
      </c>
      <c r="F8227" t="inlineStr">
        <is>
          <t>DALARNAS LÄN</t>
        </is>
      </c>
      <c r="G8227" t="inlineStr">
        <is>
          <t>SMEDJEBACKEN</t>
        </is>
      </c>
      <c r="I8227" t="n">
        <v>4.2</v>
      </c>
      <c r="J8227" t="n">
        <v>0</v>
      </c>
      <c r="K8227" t="n">
        <v>0</v>
      </c>
      <c r="L8227" t="n">
        <v>0</v>
      </c>
      <c r="M8227" t="n">
        <v>0</v>
      </c>
      <c r="N8227" t="n">
        <v>0</v>
      </c>
      <c r="O8227" t="n">
        <v>0</v>
      </c>
      <c r="P8227" t="n">
        <v>0</v>
      </c>
      <c r="Q8227" t="n">
        <v>0</v>
      </c>
      <c r="R8227" t="n">
        <v>0</v>
      </c>
      <c r="S8227" t="n">
        <v>0</v>
      </c>
      <c r="T8227" t="n">
        <v>0</v>
      </c>
      <c r="U8227" t="n">
        <v>0</v>
      </c>
      <c r="V8227" s="2" t="inlineStr"/>
    </row>
    <row r="8228" ht="15" customHeight="1">
      <c r="A8228" t="inlineStr">
        <is>
          <t>A 58422-2023</t>
        </is>
      </c>
      <c r="B8228" t="inlineStr">
        <is>
          <t>avverkningsanmälan</t>
        </is>
      </c>
      <c r="C8228" t="inlineStr">
        <is>
          <t>Föryngringsavverkning</t>
        </is>
      </c>
      <c r="D8228" s="1" t="n">
        <v>45246</v>
      </c>
      <c r="E8228" s="1" t="n">
        <v>46319</v>
      </c>
      <c r="F8228" t="inlineStr">
        <is>
          <t>DALARNAS LÄN</t>
        </is>
      </c>
      <c r="G8228" t="inlineStr">
        <is>
          <t>SMEDJEBACKEN</t>
        </is>
      </c>
      <c r="H8228" t="inlineStr">
        <is>
          <t>Bergvik skog väst AB</t>
        </is>
      </c>
      <c r="I8228" t="n">
        <v>0.8</v>
      </c>
      <c r="J8228" t="n">
        <v>0</v>
      </c>
      <c r="K8228" t="n">
        <v>0</v>
      </c>
      <c r="L8228" t="n">
        <v>0</v>
      </c>
      <c r="M8228" t="n">
        <v>0</v>
      </c>
      <c r="N8228" t="n">
        <v>0</v>
      </c>
      <c r="O8228" t="n">
        <v>0</v>
      </c>
      <c r="P8228" t="n">
        <v>0</v>
      </c>
      <c r="Q8228" t="n">
        <v>0</v>
      </c>
      <c r="R8228" t="n">
        <v>0</v>
      </c>
      <c r="S8228" t="n">
        <v>0</v>
      </c>
      <c r="T8228" t="n">
        <v>0</v>
      </c>
      <c r="U8228" t="n">
        <v>0</v>
      </c>
      <c r="V8228" s="2" t="inlineStr"/>
    </row>
    <row r="8229" ht="15" customHeight="1">
      <c r="A8229" t="inlineStr">
        <is>
          <t>A 50911-2024</t>
        </is>
      </c>
      <c r="B8229" t="inlineStr">
        <is>
          <t>avverkningsanmälan</t>
        </is>
      </c>
      <c r="C8229" t="inlineStr">
        <is>
          <t>Föryngringsavverkning</t>
        </is>
      </c>
      <c r="D8229" s="1" t="n">
        <v>45602</v>
      </c>
      <c r="E8229" s="1" t="n">
        <v>46319</v>
      </c>
      <c r="F8229" t="inlineStr">
        <is>
          <t>DALARNAS LÄN</t>
        </is>
      </c>
      <c r="G8229" t="inlineStr">
        <is>
          <t>MORA</t>
        </is>
      </c>
      <c r="I8229" t="n">
        <v>1.7</v>
      </c>
      <c r="J8229" t="n">
        <v>0</v>
      </c>
      <c r="K8229" t="n">
        <v>0</v>
      </c>
      <c r="L8229" t="n">
        <v>0</v>
      </c>
      <c r="M8229" t="n">
        <v>0</v>
      </c>
      <c r="N8229" t="n">
        <v>0</v>
      </c>
      <c r="O8229" t="n">
        <v>0</v>
      </c>
      <c r="P8229" t="n">
        <v>0</v>
      </c>
      <c r="Q8229" t="n">
        <v>0</v>
      </c>
      <c r="R8229" t="n">
        <v>0</v>
      </c>
      <c r="S8229" t="n">
        <v>0</v>
      </c>
      <c r="T8229" t="n">
        <v>0</v>
      </c>
      <c r="U8229" t="n">
        <v>0</v>
      </c>
      <c r="V8229" s="2" t="inlineStr"/>
    </row>
    <row r="8230" ht="15" customHeight="1">
      <c r="A8230" t="inlineStr">
        <is>
          <t>A 11087-2023</t>
        </is>
      </c>
      <c r="B8230" t="inlineStr">
        <is>
          <t>avverkningsanmälan</t>
        </is>
      </c>
      <c r="C8230" t="inlineStr">
        <is>
          <t>Föryngringsavverkning</t>
        </is>
      </c>
      <c r="D8230" s="1" t="n">
        <v>44992</v>
      </c>
      <c r="E8230" s="1" t="n">
        <v>46319</v>
      </c>
      <c r="F8230" t="inlineStr">
        <is>
          <t>DALARNAS LÄN</t>
        </is>
      </c>
      <c r="G8230" t="inlineStr">
        <is>
          <t>BORLÄNGE</t>
        </is>
      </c>
      <c r="I8230" t="n">
        <v>0.9</v>
      </c>
      <c r="J8230" t="n">
        <v>0</v>
      </c>
      <c r="K8230" t="n">
        <v>0</v>
      </c>
      <c r="L8230" t="n">
        <v>0</v>
      </c>
      <c r="M8230" t="n">
        <v>0</v>
      </c>
      <c r="N8230" t="n">
        <v>0</v>
      </c>
      <c r="O8230" t="n">
        <v>0</v>
      </c>
      <c r="P8230" t="n">
        <v>0</v>
      </c>
      <c r="Q8230" t="n">
        <v>0</v>
      </c>
      <c r="R8230" t="n">
        <v>0</v>
      </c>
      <c r="S8230" t="n">
        <v>0</v>
      </c>
      <c r="T8230" t="n">
        <v>0</v>
      </c>
      <c r="U8230" t="n">
        <v>0</v>
      </c>
      <c r="V8230" s="2" t="inlineStr"/>
    </row>
    <row r="8231" ht="15" customHeight="1">
      <c r="A8231" t="inlineStr">
        <is>
          <t>A 16836-2024</t>
        </is>
      </c>
      <c r="B8231" t="inlineStr">
        <is>
          <t>avverkningsanmälan</t>
        </is>
      </c>
      <c r="C8231" t="inlineStr">
        <is>
          <t>Föryngringsavverkning</t>
        </is>
      </c>
      <c r="D8231" s="1" t="n">
        <v>45411</v>
      </c>
      <c r="E8231" s="1" t="n">
        <v>46319</v>
      </c>
      <c r="F8231" t="inlineStr">
        <is>
          <t>DALARNAS LÄN</t>
        </is>
      </c>
      <c r="G8231" t="inlineStr">
        <is>
          <t>SÄTER</t>
        </is>
      </c>
      <c r="I8231" t="n">
        <v>0.6</v>
      </c>
      <c r="J8231" t="n">
        <v>0</v>
      </c>
      <c r="K8231" t="n">
        <v>0</v>
      </c>
      <c r="L8231" t="n">
        <v>0</v>
      </c>
      <c r="M8231" t="n">
        <v>0</v>
      </c>
      <c r="N8231" t="n">
        <v>0</v>
      </c>
      <c r="O8231" t="n">
        <v>0</v>
      </c>
      <c r="P8231" t="n">
        <v>0</v>
      </c>
      <c r="Q8231" t="n">
        <v>0</v>
      </c>
      <c r="R8231" t="n">
        <v>0</v>
      </c>
      <c r="S8231" t="n">
        <v>0</v>
      </c>
      <c r="T8231" t="n">
        <v>0</v>
      </c>
      <c r="U8231" t="n">
        <v>0</v>
      </c>
      <c r="V8231" s="2" t="inlineStr"/>
    </row>
    <row r="8232" ht="15" customHeight="1">
      <c r="A8232" t="inlineStr">
        <is>
          <t>A 35040-2023</t>
        </is>
      </c>
      <c r="B8232" t="inlineStr">
        <is>
          <t>avverkningsanmälan</t>
        </is>
      </c>
      <c r="C8232" t="inlineStr">
        <is>
          <t>Föryngringsavverkning</t>
        </is>
      </c>
      <c r="D8232" s="1" t="n">
        <v>45145</v>
      </c>
      <c r="E8232" s="1" t="n">
        <v>46319</v>
      </c>
      <c r="F8232" t="inlineStr">
        <is>
          <t>DALARNAS LÄN</t>
        </is>
      </c>
      <c r="G8232" t="inlineStr">
        <is>
          <t>MORA</t>
        </is>
      </c>
      <c r="I8232" t="n">
        <v>2.1</v>
      </c>
      <c r="J8232" t="n">
        <v>0</v>
      </c>
      <c r="K8232" t="n">
        <v>0</v>
      </c>
      <c r="L8232" t="n">
        <v>0</v>
      </c>
      <c r="M8232" t="n">
        <v>0</v>
      </c>
      <c r="N8232" t="n">
        <v>0</v>
      </c>
      <c r="O8232" t="n">
        <v>0</v>
      </c>
      <c r="P8232" t="n">
        <v>0</v>
      </c>
      <c r="Q8232" t="n">
        <v>0</v>
      </c>
      <c r="R8232" t="n">
        <v>0</v>
      </c>
      <c r="S8232" t="n">
        <v>0</v>
      </c>
      <c r="T8232" t="n">
        <v>0</v>
      </c>
      <c r="U8232" t="n">
        <v>0</v>
      </c>
      <c r="V8232" s="2" t="inlineStr"/>
    </row>
    <row r="8233" ht="15" customHeight="1">
      <c r="A8233" t="inlineStr">
        <is>
          <t>A 59673-2024</t>
        </is>
      </c>
      <c r="B8233" t="inlineStr">
        <is>
          <t>avverkningsanmälan</t>
        </is>
      </c>
      <c r="C8233" t="inlineStr">
        <is>
          <t>Föryngringsavverkning</t>
        </is>
      </c>
      <c r="D8233" s="1" t="n">
        <v>45639</v>
      </c>
      <c r="E8233" s="1" t="n">
        <v>46319</v>
      </c>
      <c r="F8233" t="inlineStr">
        <is>
          <t>DALARNAS LÄN</t>
        </is>
      </c>
      <c r="G8233" t="inlineStr">
        <is>
          <t>FALUN</t>
        </is>
      </c>
      <c r="I8233" t="n">
        <v>0.7</v>
      </c>
      <c r="J8233" t="n">
        <v>0</v>
      </c>
      <c r="K8233" t="n">
        <v>0</v>
      </c>
      <c r="L8233" t="n">
        <v>0</v>
      </c>
      <c r="M8233" t="n">
        <v>0</v>
      </c>
      <c r="N8233" t="n">
        <v>0</v>
      </c>
      <c r="O8233" t="n">
        <v>0</v>
      </c>
      <c r="P8233" t="n">
        <v>0</v>
      </c>
      <c r="Q8233" t="n">
        <v>0</v>
      </c>
      <c r="R8233" t="n">
        <v>0</v>
      </c>
      <c r="S8233" t="n">
        <v>0</v>
      </c>
      <c r="T8233" t="n">
        <v>0</v>
      </c>
      <c r="U8233" t="n">
        <v>0</v>
      </c>
      <c r="V8233" s="2" t="inlineStr"/>
    </row>
    <row r="8234" ht="15" customHeight="1">
      <c r="A8234" t="inlineStr">
        <is>
          <t>A 33310-2023</t>
        </is>
      </c>
      <c r="B8234" t="inlineStr">
        <is>
          <t>avverkningsanmälan</t>
        </is>
      </c>
      <c r="C8234" t="inlineStr">
        <is>
          <t>Föryngringsavverkning</t>
        </is>
      </c>
      <c r="D8234" s="1" t="n">
        <v>45127</v>
      </c>
      <c r="E8234" s="1" t="n">
        <v>46319</v>
      </c>
      <c r="F8234" t="inlineStr">
        <is>
          <t>DALARNAS LÄN</t>
        </is>
      </c>
      <c r="G8234" t="inlineStr">
        <is>
          <t>LEKSAND</t>
        </is>
      </c>
      <c r="I8234" t="n">
        <v>0.7</v>
      </c>
      <c r="J8234" t="n">
        <v>0</v>
      </c>
      <c r="K8234" t="n">
        <v>0</v>
      </c>
      <c r="L8234" t="n">
        <v>0</v>
      </c>
      <c r="M8234" t="n">
        <v>0</v>
      </c>
      <c r="N8234" t="n">
        <v>0</v>
      </c>
      <c r="O8234" t="n">
        <v>0</v>
      </c>
      <c r="P8234" t="n">
        <v>0</v>
      </c>
      <c r="Q8234" t="n">
        <v>0</v>
      </c>
      <c r="R8234" t="n">
        <v>0</v>
      </c>
      <c r="S8234" t="n">
        <v>0</v>
      </c>
      <c r="T8234" t="n">
        <v>0</v>
      </c>
      <c r="U8234" t="n">
        <v>0</v>
      </c>
      <c r="V8234" s="2" t="inlineStr"/>
    </row>
    <row r="8235" ht="15" customHeight="1">
      <c r="A8235" t="inlineStr">
        <is>
          <t>A 58036-2024</t>
        </is>
      </c>
      <c r="B8235" t="inlineStr">
        <is>
          <t>avverkningsanmälan</t>
        </is>
      </c>
      <c r="C8235" t="inlineStr">
        <is>
          <t>Föryngringsavverkning</t>
        </is>
      </c>
      <c r="D8235" s="1" t="n">
        <v>45631</v>
      </c>
      <c r="E8235" s="1" t="n">
        <v>46319</v>
      </c>
      <c r="F8235" t="inlineStr">
        <is>
          <t>DALARNAS LÄN</t>
        </is>
      </c>
      <c r="G8235" t="inlineStr">
        <is>
          <t>MORA</t>
        </is>
      </c>
      <c r="I8235" t="n">
        <v>1.6</v>
      </c>
      <c r="J8235" t="n">
        <v>0</v>
      </c>
      <c r="K8235" t="n">
        <v>0</v>
      </c>
      <c r="L8235" t="n">
        <v>0</v>
      </c>
      <c r="M8235" t="n">
        <v>0</v>
      </c>
      <c r="N8235" t="n">
        <v>0</v>
      </c>
      <c r="O8235" t="n">
        <v>0</v>
      </c>
      <c r="P8235" t="n">
        <v>0</v>
      </c>
      <c r="Q8235" t="n">
        <v>0</v>
      </c>
      <c r="R8235" t="n">
        <v>0</v>
      </c>
      <c r="S8235" t="n">
        <v>0</v>
      </c>
      <c r="T8235" t="n">
        <v>0</v>
      </c>
      <c r="U8235" t="n">
        <v>0</v>
      </c>
      <c r="V8235" s="2" t="inlineStr"/>
    </row>
    <row r="8236" ht="15" customHeight="1">
      <c r="A8236" t="inlineStr">
        <is>
          <t>A 32012-2023</t>
        </is>
      </c>
      <c r="B8236" t="inlineStr">
        <is>
          <t>avverkningsanmälan</t>
        </is>
      </c>
      <c r="C8236" t="inlineStr">
        <is>
          <t>Föryngringsavverkning</t>
        </is>
      </c>
      <c r="D8236" s="1" t="n">
        <v>45119</v>
      </c>
      <c r="E8236" s="1" t="n">
        <v>46319</v>
      </c>
      <c r="F8236" t="inlineStr">
        <is>
          <t>DALARNAS LÄN</t>
        </is>
      </c>
      <c r="G8236" t="inlineStr">
        <is>
          <t>RÄTTVIK</t>
        </is>
      </c>
      <c r="I8236" t="n">
        <v>3.5</v>
      </c>
      <c r="J8236" t="n">
        <v>0</v>
      </c>
      <c r="K8236" t="n">
        <v>0</v>
      </c>
      <c r="L8236" t="n">
        <v>0</v>
      </c>
      <c r="M8236" t="n">
        <v>0</v>
      </c>
      <c r="N8236" t="n">
        <v>0</v>
      </c>
      <c r="O8236" t="n">
        <v>0</v>
      </c>
      <c r="P8236" t="n">
        <v>0</v>
      </c>
      <c r="Q8236" t="n">
        <v>0</v>
      </c>
      <c r="R8236" t="n">
        <v>0</v>
      </c>
      <c r="S8236" t="n">
        <v>0</v>
      </c>
      <c r="T8236" t="n">
        <v>0</v>
      </c>
      <c r="U8236" t="n">
        <v>0</v>
      </c>
      <c r="V8236" s="2" t="inlineStr"/>
    </row>
    <row r="8237" ht="15" customHeight="1">
      <c r="A8237" t="inlineStr">
        <is>
          <t>A 56753-2023</t>
        </is>
      </c>
      <c r="B8237" t="inlineStr">
        <is>
          <t>avverkningsanmälan</t>
        </is>
      </c>
      <c r="C8237" t="inlineStr">
        <is>
          <t>Föryngringsavverkning</t>
        </is>
      </c>
      <c r="D8237" s="1" t="n">
        <v>45244</v>
      </c>
      <c r="E8237" s="1" t="n">
        <v>46319</v>
      </c>
      <c r="F8237" t="inlineStr">
        <is>
          <t>DALARNAS LÄN</t>
        </is>
      </c>
      <c r="G8237" t="inlineStr">
        <is>
          <t>LEKSAND</t>
        </is>
      </c>
      <c r="I8237" t="n">
        <v>0.5</v>
      </c>
      <c r="J8237" t="n">
        <v>0</v>
      </c>
      <c r="K8237" t="n">
        <v>0</v>
      </c>
      <c r="L8237" t="n">
        <v>0</v>
      </c>
      <c r="M8237" t="n">
        <v>0</v>
      </c>
      <c r="N8237" t="n">
        <v>0</v>
      </c>
      <c r="O8237" t="n">
        <v>0</v>
      </c>
      <c r="P8237" t="n">
        <v>0</v>
      </c>
      <c r="Q8237" t="n">
        <v>0</v>
      </c>
      <c r="R8237" t="n">
        <v>0</v>
      </c>
      <c r="S8237" t="n">
        <v>0</v>
      </c>
      <c r="T8237" t="n">
        <v>0</v>
      </c>
      <c r="U8237" t="n">
        <v>0</v>
      </c>
      <c r="V8237" s="2" t="inlineStr"/>
    </row>
    <row r="8238" ht="15" customHeight="1">
      <c r="A8238" t="inlineStr">
        <is>
          <t>A 29744-2023</t>
        </is>
      </c>
      <c r="B8238" t="inlineStr">
        <is>
          <t>avverkningsanmälan</t>
        </is>
      </c>
      <c r="C8238" t="inlineStr">
        <is>
          <t>Föryngringsavverkning</t>
        </is>
      </c>
      <c r="D8238" s="1" t="n">
        <v>45107</v>
      </c>
      <c r="E8238" s="1" t="n">
        <v>46319</v>
      </c>
      <c r="F8238" t="inlineStr">
        <is>
          <t>DALARNAS LÄN</t>
        </is>
      </c>
      <c r="G8238" t="inlineStr">
        <is>
          <t>RÄTTVIK</t>
        </is>
      </c>
      <c r="I8238" t="n">
        <v>2.6</v>
      </c>
      <c r="J8238" t="n">
        <v>0</v>
      </c>
      <c r="K8238" t="n">
        <v>0</v>
      </c>
      <c r="L8238" t="n">
        <v>0</v>
      </c>
      <c r="M8238" t="n">
        <v>0</v>
      </c>
      <c r="N8238" t="n">
        <v>0</v>
      </c>
      <c r="O8238" t="n">
        <v>0</v>
      </c>
      <c r="P8238" t="n">
        <v>0</v>
      </c>
      <c r="Q8238" t="n">
        <v>0</v>
      </c>
      <c r="R8238" t="n">
        <v>0</v>
      </c>
      <c r="S8238" t="n">
        <v>0</v>
      </c>
      <c r="T8238" t="n">
        <v>0</v>
      </c>
      <c r="U8238" t="n">
        <v>0</v>
      </c>
      <c r="V8238" s="2" t="inlineStr"/>
    </row>
    <row r="8239" ht="15" customHeight="1">
      <c r="A8239" t="inlineStr">
        <is>
          <t>A 33426-2024</t>
        </is>
      </c>
      <c r="B8239" t="inlineStr">
        <is>
          <t>avverkningsanmälan</t>
        </is>
      </c>
      <c r="C8239" t="inlineStr">
        <is>
          <t>Föryngringsavverkning</t>
        </is>
      </c>
      <c r="D8239" s="1" t="n">
        <v>45519</v>
      </c>
      <c r="E8239" s="1" t="n">
        <v>46319</v>
      </c>
      <c r="F8239" t="inlineStr">
        <is>
          <t>DALARNAS LÄN</t>
        </is>
      </c>
      <c r="G8239" t="inlineStr">
        <is>
          <t>MALUNG-SÄLEN</t>
        </is>
      </c>
      <c r="I8239" t="n">
        <v>1.6</v>
      </c>
      <c r="J8239" t="n">
        <v>0</v>
      </c>
      <c r="K8239" t="n">
        <v>0</v>
      </c>
      <c r="L8239" t="n">
        <v>0</v>
      </c>
      <c r="M8239" t="n">
        <v>0</v>
      </c>
      <c r="N8239" t="n">
        <v>0</v>
      </c>
      <c r="O8239" t="n">
        <v>0</v>
      </c>
      <c r="P8239" t="n">
        <v>0</v>
      </c>
      <c r="Q8239" t="n">
        <v>0</v>
      </c>
      <c r="R8239" t="n">
        <v>0</v>
      </c>
      <c r="S8239" t="n">
        <v>0</v>
      </c>
      <c r="T8239" t="n">
        <v>0</v>
      </c>
      <c r="U8239" t="n">
        <v>0</v>
      </c>
      <c r="V8239" s="2" t="inlineStr"/>
    </row>
    <row r="8240" ht="15" customHeight="1">
      <c r="A8240" t="inlineStr">
        <is>
          <t>A 59483-2024</t>
        </is>
      </c>
      <c r="B8240" t="inlineStr">
        <is>
          <t>avverkningsanmälan</t>
        </is>
      </c>
      <c r="C8240" t="inlineStr">
        <is>
          <t>Föryngringsavverkning</t>
        </is>
      </c>
      <c r="D8240" s="1" t="n">
        <v>45638</v>
      </c>
      <c r="E8240" s="1" t="n">
        <v>46319</v>
      </c>
      <c r="F8240" t="inlineStr">
        <is>
          <t>DALARNAS LÄN</t>
        </is>
      </c>
      <c r="G8240" t="inlineStr">
        <is>
          <t>ÄLVDALEN</t>
        </is>
      </c>
      <c r="H8240" t="inlineStr">
        <is>
          <t>Allmännings- och besparingsskogar</t>
        </is>
      </c>
      <c r="I8240" t="n">
        <v>6.9</v>
      </c>
      <c r="J8240" t="n">
        <v>0</v>
      </c>
      <c r="K8240" t="n">
        <v>0</v>
      </c>
      <c r="L8240" t="n">
        <v>0</v>
      </c>
      <c r="M8240" t="n">
        <v>0</v>
      </c>
      <c r="N8240" t="n">
        <v>0</v>
      </c>
      <c r="O8240" t="n">
        <v>0</v>
      </c>
      <c r="P8240" t="n">
        <v>0</v>
      </c>
      <c r="Q8240" t="n">
        <v>0</v>
      </c>
      <c r="R8240" t="n">
        <v>0</v>
      </c>
      <c r="S8240" t="n">
        <v>0</v>
      </c>
      <c r="T8240" t="n">
        <v>0</v>
      </c>
      <c r="U8240" t="n">
        <v>0</v>
      </c>
      <c r="V8240" s="2" t="inlineStr"/>
    </row>
    <row r="8241" ht="15" customHeight="1">
      <c r="A8241" t="inlineStr">
        <is>
          <t>A 21145-2023</t>
        </is>
      </c>
      <c r="B8241" t="inlineStr">
        <is>
          <t>avverkningsanmälan</t>
        </is>
      </c>
      <c r="C8241" t="inlineStr">
        <is>
          <t>Föryngringsavverkning</t>
        </is>
      </c>
      <c r="D8241" s="1" t="n">
        <v>45062</v>
      </c>
      <c r="E8241" s="1" t="n">
        <v>46319</v>
      </c>
      <c r="F8241" t="inlineStr">
        <is>
          <t>DALARNAS LÄN</t>
        </is>
      </c>
      <c r="G8241" t="inlineStr">
        <is>
          <t>LUDVIKA</t>
        </is>
      </c>
      <c r="H8241" t="inlineStr">
        <is>
          <t>Bergvik skog väst AB</t>
        </is>
      </c>
      <c r="I8241" t="n">
        <v>1.1</v>
      </c>
      <c r="J8241" t="n">
        <v>0</v>
      </c>
      <c r="K8241" t="n">
        <v>0</v>
      </c>
      <c r="L8241" t="n">
        <v>0</v>
      </c>
      <c r="M8241" t="n">
        <v>0</v>
      </c>
      <c r="N8241" t="n">
        <v>0</v>
      </c>
      <c r="O8241" t="n">
        <v>0</v>
      </c>
      <c r="P8241" t="n">
        <v>0</v>
      </c>
      <c r="Q8241" t="n">
        <v>0</v>
      </c>
      <c r="R8241" t="n">
        <v>0</v>
      </c>
      <c r="S8241" t="n">
        <v>0</v>
      </c>
      <c r="T8241" t="n">
        <v>0</v>
      </c>
      <c r="U8241" t="n">
        <v>0</v>
      </c>
      <c r="V8241" s="2" t="inlineStr"/>
    </row>
    <row r="8242" ht="15" customHeight="1">
      <c r="A8242" t="inlineStr">
        <is>
          <t>A 27420-2024</t>
        </is>
      </c>
      <c r="B8242" t="inlineStr">
        <is>
          <t>avverkningsanmälan</t>
        </is>
      </c>
      <c r="C8242" t="inlineStr">
        <is>
          <t>Föryngringsavverkning</t>
        </is>
      </c>
      <c r="D8242" s="1" t="n">
        <v>45474</v>
      </c>
      <c r="E8242" s="1" t="n">
        <v>46319</v>
      </c>
      <c r="F8242" t="inlineStr">
        <is>
          <t>DALARNAS LÄN</t>
        </is>
      </c>
      <c r="G8242" t="inlineStr">
        <is>
          <t>MORA</t>
        </is>
      </c>
      <c r="I8242" t="n">
        <v>7.3</v>
      </c>
      <c r="J8242" t="n">
        <v>0</v>
      </c>
      <c r="K8242" t="n">
        <v>0</v>
      </c>
      <c r="L8242" t="n">
        <v>0</v>
      </c>
      <c r="M8242" t="n">
        <v>0</v>
      </c>
      <c r="N8242" t="n">
        <v>0</v>
      </c>
      <c r="O8242" t="n">
        <v>0</v>
      </c>
      <c r="P8242" t="n">
        <v>0</v>
      </c>
      <c r="Q8242" t="n">
        <v>0</v>
      </c>
      <c r="R8242" t="n">
        <v>0</v>
      </c>
      <c r="S8242" t="n">
        <v>0</v>
      </c>
      <c r="T8242" t="n">
        <v>0</v>
      </c>
      <c r="U8242" t="n">
        <v>0</v>
      </c>
      <c r="V8242" s="2" t="inlineStr"/>
    </row>
    <row r="8243" ht="15" customHeight="1">
      <c r="A8243" t="inlineStr">
        <is>
          <t>A 47963-2023</t>
        </is>
      </c>
      <c r="B8243" t="inlineStr">
        <is>
          <t>avverkningsanmälan</t>
        </is>
      </c>
      <c r="C8243" t="inlineStr">
        <is>
          <t>Föryngringsavverkning</t>
        </is>
      </c>
      <c r="D8243" s="1" t="n">
        <v>45204</v>
      </c>
      <c r="E8243" s="1" t="n">
        <v>46319</v>
      </c>
      <c r="F8243" t="inlineStr">
        <is>
          <t>DALARNAS LÄN</t>
        </is>
      </c>
      <c r="G8243" t="inlineStr">
        <is>
          <t>MALUNG-SÄLEN</t>
        </is>
      </c>
      <c r="H8243" t="inlineStr">
        <is>
          <t>Bergvik skog öst AB</t>
        </is>
      </c>
      <c r="I8243" t="n">
        <v>0.3</v>
      </c>
      <c r="J8243" t="n">
        <v>0</v>
      </c>
      <c r="K8243" t="n">
        <v>0</v>
      </c>
      <c r="L8243" t="n">
        <v>0</v>
      </c>
      <c r="M8243" t="n">
        <v>0</v>
      </c>
      <c r="N8243" t="n">
        <v>0</v>
      </c>
      <c r="O8243" t="n">
        <v>0</v>
      </c>
      <c r="P8243" t="n">
        <v>0</v>
      </c>
      <c r="Q8243" t="n">
        <v>0</v>
      </c>
      <c r="R8243" t="n">
        <v>0</v>
      </c>
      <c r="S8243" t="n">
        <v>0</v>
      </c>
      <c r="T8243" t="n">
        <v>0</v>
      </c>
      <c r="U8243" t="n">
        <v>0</v>
      </c>
      <c r="V8243" s="2" t="inlineStr"/>
    </row>
    <row r="8244" ht="15" customHeight="1">
      <c r="A8244" t="inlineStr">
        <is>
          <t>A 24297-2024</t>
        </is>
      </c>
      <c r="B8244" t="inlineStr">
        <is>
          <t>avverkningsanmälan</t>
        </is>
      </c>
      <c r="C8244" t="inlineStr">
        <is>
          <t>Föryngringsavverkning</t>
        </is>
      </c>
      <c r="D8244" s="1" t="n">
        <v>45457</v>
      </c>
      <c r="E8244" s="1" t="n">
        <v>46319</v>
      </c>
      <c r="F8244" t="inlineStr">
        <is>
          <t>DALARNAS LÄN</t>
        </is>
      </c>
      <c r="G8244" t="inlineStr">
        <is>
          <t>FALUN</t>
        </is>
      </c>
      <c r="I8244" t="n">
        <v>0.4</v>
      </c>
      <c r="J8244" t="n">
        <v>0</v>
      </c>
      <c r="K8244" t="n">
        <v>0</v>
      </c>
      <c r="L8244" t="n">
        <v>0</v>
      </c>
      <c r="M8244" t="n">
        <v>0</v>
      </c>
      <c r="N8244" t="n">
        <v>0</v>
      </c>
      <c r="O8244" t="n">
        <v>0</v>
      </c>
      <c r="P8244" t="n">
        <v>0</v>
      </c>
      <c r="Q8244" t="n">
        <v>0</v>
      </c>
      <c r="R8244" t="n">
        <v>0</v>
      </c>
      <c r="S8244" t="n">
        <v>0</v>
      </c>
      <c r="T8244" t="n">
        <v>0</v>
      </c>
      <c r="U8244" t="n">
        <v>0</v>
      </c>
      <c r="V8244" s="2" t="inlineStr"/>
    </row>
    <row r="8245" ht="15" customHeight="1">
      <c r="A8245" t="inlineStr">
        <is>
          <t>A 9380-2023</t>
        </is>
      </c>
      <c r="B8245" t="inlineStr">
        <is>
          <t>avverkningsanmälan</t>
        </is>
      </c>
      <c r="C8245" t="inlineStr">
        <is>
          <t>Föryngringsavverkning</t>
        </is>
      </c>
      <c r="D8245" s="1" t="n">
        <v>44981</v>
      </c>
      <c r="E8245" s="1" t="n">
        <v>46319</v>
      </c>
      <c r="F8245" t="inlineStr">
        <is>
          <t>DALARNAS LÄN</t>
        </is>
      </c>
      <c r="G8245" t="inlineStr">
        <is>
          <t>MALUNG-SÄLEN</t>
        </is>
      </c>
      <c r="H8245" t="inlineStr">
        <is>
          <t>Bergvik skog öst AB</t>
        </is>
      </c>
      <c r="I8245" t="n">
        <v>5.1</v>
      </c>
      <c r="J8245" t="n">
        <v>0</v>
      </c>
      <c r="K8245" t="n">
        <v>0</v>
      </c>
      <c r="L8245" t="n">
        <v>0</v>
      </c>
      <c r="M8245" t="n">
        <v>0</v>
      </c>
      <c r="N8245" t="n">
        <v>0</v>
      </c>
      <c r="O8245" t="n">
        <v>0</v>
      </c>
      <c r="P8245" t="n">
        <v>0</v>
      </c>
      <c r="Q8245" t="n">
        <v>0</v>
      </c>
      <c r="R8245" t="n">
        <v>0</v>
      </c>
      <c r="S8245" t="n">
        <v>0</v>
      </c>
      <c r="T8245" t="n">
        <v>0</v>
      </c>
      <c r="U8245" t="n">
        <v>0</v>
      </c>
      <c r="V8245" s="2" t="inlineStr"/>
    </row>
    <row r="8246" ht="15" customHeight="1">
      <c r="A8246" t="inlineStr">
        <is>
          <t>A 57903-2024</t>
        </is>
      </c>
      <c r="B8246" t="inlineStr">
        <is>
          <t>avverkningsanmälan</t>
        </is>
      </c>
      <c r="C8246" t="inlineStr">
        <is>
          <t>Föryngringsavverkning</t>
        </is>
      </c>
      <c r="D8246" s="1" t="n">
        <v>45631</v>
      </c>
      <c r="E8246" s="1" t="n">
        <v>46319</v>
      </c>
      <c r="F8246" t="inlineStr">
        <is>
          <t>DALARNAS LÄN</t>
        </is>
      </c>
      <c r="G8246" t="inlineStr">
        <is>
          <t>VANSBRO</t>
        </is>
      </c>
      <c r="I8246" t="n">
        <v>1.2</v>
      </c>
      <c r="J8246" t="n">
        <v>0</v>
      </c>
      <c r="K8246" t="n">
        <v>0</v>
      </c>
      <c r="L8246" t="n">
        <v>0</v>
      </c>
      <c r="M8246" t="n">
        <v>0</v>
      </c>
      <c r="N8246" t="n">
        <v>0</v>
      </c>
      <c r="O8246" t="n">
        <v>0</v>
      </c>
      <c r="P8246" t="n">
        <v>0</v>
      </c>
      <c r="Q8246" t="n">
        <v>0</v>
      </c>
      <c r="R8246" t="n">
        <v>0</v>
      </c>
      <c r="S8246" t="n">
        <v>0</v>
      </c>
      <c r="T8246" t="n">
        <v>0</v>
      </c>
      <c r="U8246" t="n">
        <v>0</v>
      </c>
      <c r="V8246" s="2" t="inlineStr"/>
    </row>
    <row r="8247" ht="15" customHeight="1">
      <c r="A8247" t="inlineStr">
        <is>
          <t>A 2101-2025</t>
        </is>
      </c>
      <c r="B8247" t="inlineStr">
        <is>
          <t>avverkningsanmälan</t>
        </is>
      </c>
      <c r="C8247" t="inlineStr">
        <is>
          <t>Föryngringsavverkning</t>
        </is>
      </c>
      <c r="D8247" s="1" t="n">
        <v>45672</v>
      </c>
      <c r="E8247" s="1" t="n">
        <v>46319</v>
      </c>
      <c r="F8247" t="inlineStr">
        <is>
          <t>DALARNAS LÄN</t>
        </is>
      </c>
      <c r="G8247" t="inlineStr">
        <is>
          <t>RÄTTVIK</t>
        </is>
      </c>
      <c r="I8247" t="n">
        <v>0.7</v>
      </c>
      <c r="J8247" t="n">
        <v>0</v>
      </c>
      <c r="K8247" t="n">
        <v>0</v>
      </c>
      <c r="L8247" t="n">
        <v>0</v>
      </c>
      <c r="M8247" t="n">
        <v>0</v>
      </c>
      <c r="N8247" t="n">
        <v>0</v>
      </c>
      <c r="O8247" t="n">
        <v>0</v>
      </c>
      <c r="P8247" t="n">
        <v>0</v>
      </c>
      <c r="Q8247" t="n">
        <v>0</v>
      </c>
      <c r="R8247" t="n">
        <v>0</v>
      </c>
      <c r="S8247" t="n">
        <v>0</v>
      </c>
      <c r="T8247" t="n">
        <v>0</v>
      </c>
      <c r="U8247" t="n">
        <v>0</v>
      </c>
      <c r="V8247" s="2" t="inlineStr"/>
    </row>
    <row r="8248" ht="15" customHeight="1">
      <c r="A8248" t="inlineStr">
        <is>
          <t>A 2209-2025</t>
        </is>
      </c>
      <c r="B8248" t="inlineStr">
        <is>
          <t>avverkningsanmälan</t>
        </is>
      </c>
      <c r="C8248" t="inlineStr">
        <is>
          <t>Föryngringsavverkning</t>
        </is>
      </c>
      <c r="D8248" s="1" t="n">
        <v>45673</v>
      </c>
      <c r="E8248" s="1" t="n">
        <v>46319</v>
      </c>
      <c r="F8248" t="inlineStr">
        <is>
          <t>DALARNAS LÄN</t>
        </is>
      </c>
      <c r="G8248" t="inlineStr">
        <is>
          <t>MALUNG-SÄLEN</t>
        </is>
      </c>
      <c r="I8248" t="n">
        <v>1.2</v>
      </c>
      <c r="J8248" t="n">
        <v>0</v>
      </c>
      <c r="K8248" t="n">
        <v>0</v>
      </c>
      <c r="L8248" t="n">
        <v>0</v>
      </c>
      <c r="M8248" t="n">
        <v>0</v>
      </c>
      <c r="N8248" t="n">
        <v>0</v>
      </c>
      <c r="O8248" t="n">
        <v>0</v>
      </c>
      <c r="P8248" t="n">
        <v>0</v>
      </c>
      <c r="Q8248" t="n">
        <v>0</v>
      </c>
      <c r="R8248" t="n">
        <v>0</v>
      </c>
      <c r="S8248" t="n">
        <v>0</v>
      </c>
      <c r="T8248" t="n">
        <v>0</v>
      </c>
      <c r="U8248" t="n">
        <v>0</v>
      </c>
      <c r="V8248" s="2" t="inlineStr"/>
    </row>
    <row r="8249" ht="15" customHeight="1">
      <c r="A8249" t="inlineStr">
        <is>
          <t>A 11403-2023</t>
        </is>
      </c>
      <c r="B8249" t="inlineStr">
        <is>
          <t>avverkningsanmälan</t>
        </is>
      </c>
      <c r="C8249" t="inlineStr">
        <is>
          <t>Avverkning för annat ändamål</t>
        </is>
      </c>
      <c r="D8249" s="1" t="n">
        <v>44993</v>
      </c>
      <c r="E8249" s="1" t="n">
        <v>46319</v>
      </c>
      <c r="F8249" t="inlineStr">
        <is>
          <t>DALARNAS LÄN</t>
        </is>
      </c>
      <c r="G8249" t="inlineStr">
        <is>
          <t>LEKSAND</t>
        </is>
      </c>
      <c r="I8249" t="n">
        <v>0.1</v>
      </c>
      <c r="J8249" t="n">
        <v>0</v>
      </c>
      <c r="K8249" t="n">
        <v>0</v>
      </c>
      <c r="L8249" t="n">
        <v>0</v>
      </c>
      <c r="M8249" t="n">
        <v>0</v>
      </c>
      <c r="N8249" t="n">
        <v>0</v>
      </c>
      <c r="O8249" t="n">
        <v>0</v>
      </c>
      <c r="P8249" t="n">
        <v>0</v>
      </c>
      <c r="Q8249" t="n">
        <v>0</v>
      </c>
      <c r="R8249" t="n">
        <v>0</v>
      </c>
      <c r="S8249" t="n">
        <v>0</v>
      </c>
      <c r="T8249" t="n">
        <v>0</v>
      </c>
      <c r="U8249" t="n">
        <v>0</v>
      </c>
      <c r="V8249" s="2" t="inlineStr"/>
    </row>
    <row r="8250" ht="15" customHeight="1">
      <c r="A8250" t="inlineStr">
        <is>
          <t>A 49496-2024</t>
        </is>
      </c>
      <c r="B8250" t="inlineStr">
        <is>
          <t>avverkningsanmälan</t>
        </is>
      </c>
      <c r="C8250" t="inlineStr">
        <is>
          <t>Föryngringsavverkning</t>
        </is>
      </c>
      <c r="D8250" s="1" t="n">
        <v>45596</v>
      </c>
      <c r="E8250" s="1" t="n">
        <v>46319</v>
      </c>
      <c r="F8250" t="inlineStr">
        <is>
          <t>DALARNAS LÄN</t>
        </is>
      </c>
      <c r="G8250" t="inlineStr">
        <is>
          <t>RÄTTVIK</t>
        </is>
      </c>
      <c r="I8250" t="n">
        <v>0.5</v>
      </c>
      <c r="J8250" t="n">
        <v>0</v>
      </c>
      <c r="K8250" t="n">
        <v>0</v>
      </c>
      <c r="L8250" t="n">
        <v>0</v>
      </c>
      <c r="M8250" t="n">
        <v>0</v>
      </c>
      <c r="N8250" t="n">
        <v>0</v>
      </c>
      <c r="O8250" t="n">
        <v>0</v>
      </c>
      <c r="P8250" t="n">
        <v>0</v>
      </c>
      <c r="Q8250" t="n">
        <v>0</v>
      </c>
      <c r="R8250" t="n">
        <v>0</v>
      </c>
      <c r="S8250" t="n">
        <v>0</v>
      </c>
      <c r="T8250" t="n">
        <v>0</v>
      </c>
      <c r="U8250" t="n">
        <v>0</v>
      </c>
      <c r="V8250" s="2" t="inlineStr"/>
    </row>
    <row r="8251" ht="15" customHeight="1">
      <c r="A8251" t="inlineStr">
        <is>
          <t>A 61135-2024</t>
        </is>
      </c>
      <c r="B8251" t="inlineStr">
        <is>
          <t>avverkningsanmälan</t>
        </is>
      </c>
      <c r="C8251" t="inlineStr">
        <is>
          <t>Föryngringsavverkning</t>
        </is>
      </c>
      <c r="D8251" s="1" t="n">
        <v>45645</v>
      </c>
      <c r="E8251" s="1" t="n">
        <v>46319</v>
      </c>
      <c r="F8251" t="inlineStr">
        <is>
          <t>DALARNAS LÄN</t>
        </is>
      </c>
      <c r="G8251" t="inlineStr">
        <is>
          <t>RÄTTVIK</t>
        </is>
      </c>
      <c r="I8251" t="n">
        <v>1.9</v>
      </c>
      <c r="J8251" t="n">
        <v>0</v>
      </c>
      <c r="K8251" t="n">
        <v>0</v>
      </c>
      <c r="L8251" t="n">
        <v>0</v>
      </c>
      <c r="M8251" t="n">
        <v>0</v>
      </c>
      <c r="N8251" t="n">
        <v>0</v>
      </c>
      <c r="O8251" t="n">
        <v>0</v>
      </c>
      <c r="P8251" t="n">
        <v>0</v>
      </c>
      <c r="Q8251" t="n">
        <v>0</v>
      </c>
      <c r="R8251" t="n">
        <v>0</v>
      </c>
      <c r="S8251" t="n">
        <v>0</v>
      </c>
      <c r="T8251" t="n">
        <v>0</v>
      </c>
      <c r="U8251" t="n">
        <v>0</v>
      </c>
      <c r="V8251" s="2" t="inlineStr"/>
    </row>
    <row r="8252" ht="15" customHeight="1">
      <c r="A8252" t="inlineStr">
        <is>
          <t>A 22683-2022</t>
        </is>
      </c>
      <c r="B8252" t="inlineStr">
        <is>
          <t>avverkningsanmälan</t>
        </is>
      </c>
      <c r="C8252" t="inlineStr">
        <is>
          <t>Föryngringsavverkning</t>
        </is>
      </c>
      <c r="D8252" s="1" t="n">
        <v>44714</v>
      </c>
      <c r="E8252" s="1" t="n">
        <v>46319</v>
      </c>
      <c r="F8252" t="inlineStr">
        <is>
          <t>DALARNAS LÄN</t>
        </is>
      </c>
      <c r="G8252" t="inlineStr">
        <is>
          <t>LEKSAND</t>
        </is>
      </c>
      <c r="H8252" t="inlineStr">
        <is>
          <t>Bergvik skog väst AB</t>
        </is>
      </c>
      <c r="I8252" t="n">
        <v>3.4</v>
      </c>
      <c r="J8252" t="n">
        <v>0</v>
      </c>
      <c r="K8252" t="n">
        <v>0</v>
      </c>
      <c r="L8252" t="n">
        <v>0</v>
      </c>
      <c r="M8252" t="n">
        <v>0</v>
      </c>
      <c r="N8252" t="n">
        <v>0</v>
      </c>
      <c r="O8252" t="n">
        <v>0</v>
      </c>
      <c r="P8252" t="n">
        <v>0</v>
      </c>
      <c r="Q8252" t="n">
        <v>0</v>
      </c>
      <c r="R8252" t="n">
        <v>0</v>
      </c>
      <c r="S8252" t="n">
        <v>0</v>
      </c>
      <c r="T8252" t="n">
        <v>0</v>
      </c>
      <c r="U8252" t="n">
        <v>0</v>
      </c>
      <c r="V8252" s="2" t="inlineStr"/>
    </row>
    <row r="8253" ht="15" customHeight="1">
      <c r="A8253" t="inlineStr">
        <is>
          <t>A 51396-2022</t>
        </is>
      </c>
      <c r="B8253" t="inlineStr">
        <is>
          <t>avverkningsanmälan</t>
        </is>
      </c>
      <c r="C8253" t="inlineStr">
        <is>
          <t>Avverkning för annat ändamål</t>
        </is>
      </c>
      <c r="D8253" s="1" t="n">
        <v>44869</v>
      </c>
      <c r="E8253" s="1" t="n">
        <v>46319</v>
      </c>
      <c r="F8253" t="inlineStr">
        <is>
          <t>DALARNAS LÄN</t>
        </is>
      </c>
      <c r="G8253" t="inlineStr">
        <is>
          <t>VANSBRO</t>
        </is>
      </c>
      <c r="I8253" t="n">
        <v>1.6</v>
      </c>
      <c r="J8253" t="n">
        <v>0</v>
      </c>
      <c r="K8253" t="n">
        <v>0</v>
      </c>
      <c r="L8253" t="n">
        <v>0</v>
      </c>
      <c r="M8253" t="n">
        <v>0</v>
      </c>
      <c r="N8253" t="n">
        <v>0</v>
      </c>
      <c r="O8253" t="n">
        <v>0</v>
      </c>
      <c r="P8253" t="n">
        <v>0</v>
      </c>
      <c r="Q8253" t="n">
        <v>0</v>
      </c>
      <c r="R8253" t="n">
        <v>0</v>
      </c>
      <c r="S8253" t="n">
        <v>0</v>
      </c>
      <c r="T8253" t="n">
        <v>0</v>
      </c>
      <c r="U8253" t="n">
        <v>0</v>
      </c>
      <c r="V8253" s="2" t="inlineStr"/>
    </row>
    <row r="8254" ht="15" customHeight="1">
      <c r="A8254" t="inlineStr">
        <is>
          <t>A 55917-2022</t>
        </is>
      </c>
      <c r="B8254" t="inlineStr">
        <is>
          <t>avverkningsanmälan</t>
        </is>
      </c>
      <c r="C8254" t="inlineStr">
        <is>
          <t>Föryngringsavverkning</t>
        </is>
      </c>
      <c r="D8254" s="1" t="n">
        <v>44889</v>
      </c>
      <c r="E8254" s="1" t="n">
        <v>46319</v>
      </c>
      <c r="F8254" t="inlineStr">
        <is>
          <t>DALARNAS LÄN</t>
        </is>
      </c>
      <c r="G8254" t="inlineStr">
        <is>
          <t>FALUN</t>
        </is>
      </c>
      <c r="I8254" t="n">
        <v>1.2</v>
      </c>
      <c r="J8254" t="n">
        <v>0</v>
      </c>
      <c r="K8254" t="n">
        <v>0</v>
      </c>
      <c r="L8254" t="n">
        <v>0</v>
      </c>
      <c r="M8254" t="n">
        <v>0</v>
      </c>
      <c r="N8254" t="n">
        <v>0</v>
      </c>
      <c r="O8254" t="n">
        <v>0</v>
      </c>
      <c r="P8254" t="n">
        <v>0</v>
      </c>
      <c r="Q8254" t="n">
        <v>0</v>
      </c>
      <c r="R8254" t="n">
        <v>0</v>
      </c>
      <c r="S8254" t="n">
        <v>0</v>
      </c>
      <c r="T8254" t="n">
        <v>0</v>
      </c>
      <c r="U8254" t="n">
        <v>0</v>
      </c>
      <c r="V8254" s="2" t="inlineStr"/>
    </row>
    <row r="8255" ht="15" customHeight="1">
      <c r="A8255" t="inlineStr">
        <is>
          <t>A 3154-2025</t>
        </is>
      </c>
      <c r="B8255" t="inlineStr">
        <is>
          <t>avverkningsanmälan</t>
        </is>
      </c>
      <c r="C8255" t="inlineStr">
        <is>
          <t>Föryngringsavverkning</t>
        </is>
      </c>
      <c r="D8255" s="1" t="n">
        <v>45679</v>
      </c>
      <c r="E8255" s="1" t="n">
        <v>46319</v>
      </c>
      <c r="F8255" t="inlineStr">
        <is>
          <t>DALARNAS LÄN</t>
        </is>
      </c>
      <c r="G8255" t="inlineStr">
        <is>
          <t>RÄTTVIK</t>
        </is>
      </c>
      <c r="I8255" t="n">
        <v>0.5</v>
      </c>
      <c r="J8255" t="n">
        <v>0</v>
      </c>
      <c r="K8255" t="n">
        <v>0</v>
      </c>
      <c r="L8255" t="n">
        <v>0</v>
      </c>
      <c r="M8255" t="n">
        <v>0</v>
      </c>
      <c r="N8255" t="n">
        <v>0</v>
      </c>
      <c r="O8255" t="n">
        <v>0</v>
      </c>
      <c r="P8255" t="n">
        <v>0</v>
      </c>
      <c r="Q8255" t="n">
        <v>0</v>
      </c>
      <c r="R8255" t="n">
        <v>0</v>
      </c>
      <c r="S8255" t="n">
        <v>0</v>
      </c>
      <c r="T8255" t="n">
        <v>0</v>
      </c>
      <c r="U8255" t="n">
        <v>0</v>
      </c>
      <c r="V8255" s="2" t="inlineStr"/>
    </row>
    <row r="8256" ht="15" customHeight="1">
      <c r="A8256" t="inlineStr">
        <is>
          <t>A 53474-2024</t>
        </is>
      </c>
      <c r="B8256" t="inlineStr">
        <is>
          <t>avverkningsanmälan</t>
        </is>
      </c>
      <c r="C8256" t="inlineStr">
        <is>
          <t>Föryngringsavverkning</t>
        </is>
      </c>
      <c r="D8256" s="1" t="n">
        <v>45611</v>
      </c>
      <c r="E8256" s="1" t="n">
        <v>46319</v>
      </c>
      <c r="F8256" t="inlineStr">
        <is>
          <t>DALARNAS LÄN</t>
        </is>
      </c>
      <c r="G8256" t="inlineStr">
        <is>
          <t>SMEDJEBACKEN</t>
        </is>
      </c>
      <c r="I8256" t="n">
        <v>4.9</v>
      </c>
      <c r="J8256" t="n">
        <v>0</v>
      </c>
      <c r="K8256" t="n">
        <v>0</v>
      </c>
      <c r="L8256" t="n">
        <v>0</v>
      </c>
      <c r="M8256" t="n">
        <v>0</v>
      </c>
      <c r="N8256" t="n">
        <v>0</v>
      </c>
      <c r="O8256" t="n">
        <v>0</v>
      </c>
      <c r="P8256" t="n">
        <v>0</v>
      </c>
      <c r="Q8256" t="n">
        <v>0</v>
      </c>
      <c r="R8256" t="n">
        <v>0</v>
      </c>
      <c r="S8256" t="n">
        <v>0</v>
      </c>
      <c r="T8256" t="n">
        <v>0</v>
      </c>
      <c r="U8256" t="n">
        <v>0</v>
      </c>
      <c r="V8256" s="2" t="inlineStr"/>
    </row>
    <row r="8257" ht="15" customHeight="1">
      <c r="A8257" t="inlineStr">
        <is>
          <t>A 6846-2023</t>
        </is>
      </c>
      <c r="B8257" t="inlineStr">
        <is>
          <t>avverkningsanmälan</t>
        </is>
      </c>
      <c r="C8257" t="inlineStr">
        <is>
          <t>Föryngringsavverkning</t>
        </is>
      </c>
      <c r="D8257" s="1" t="n">
        <v>44967</v>
      </c>
      <c r="E8257" s="1" t="n">
        <v>46319</v>
      </c>
      <c r="F8257" t="inlineStr">
        <is>
          <t>DALARNAS LÄN</t>
        </is>
      </c>
      <c r="G8257" t="inlineStr">
        <is>
          <t>LEKSAND</t>
        </is>
      </c>
      <c r="H8257" t="inlineStr">
        <is>
          <t>Bergvik skog väst AB</t>
        </is>
      </c>
      <c r="I8257" t="n">
        <v>1</v>
      </c>
      <c r="J8257" t="n">
        <v>0</v>
      </c>
      <c r="K8257" t="n">
        <v>0</v>
      </c>
      <c r="L8257" t="n">
        <v>0</v>
      </c>
      <c r="M8257" t="n">
        <v>0</v>
      </c>
      <c r="N8257" t="n">
        <v>0</v>
      </c>
      <c r="O8257" t="n">
        <v>0</v>
      </c>
      <c r="P8257" t="n">
        <v>0</v>
      </c>
      <c r="Q8257" t="n">
        <v>0</v>
      </c>
      <c r="R8257" t="n">
        <v>0</v>
      </c>
      <c r="S8257" t="n">
        <v>0</v>
      </c>
      <c r="T8257" t="n">
        <v>0</v>
      </c>
      <c r="U8257" t="n">
        <v>0</v>
      </c>
      <c r="V8257" s="2" t="inlineStr"/>
    </row>
    <row r="8258" ht="15" customHeight="1">
      <c r="A8258" t="inlineStr">
        <is>
          <t>A 42346-2022</t>
        </is>
      </c>
      <c r="B8258" t="inlineStr">
        <is>
          <t>avverkningsanmälan</t>
        </is>
      </c>
      <c r="C8258" t="inlineStr">
        <is>
          <t>Föryngringsavverkning</t>
        </is>
      </c>
      <c r="D8258" s="1" t="n">
        <v>44831</v>
      </c>
      <c r="E8258" s="1" t="n">
        <v>46319</v>
      </c>
      <c r="F8258" t="inlineStr">
        <is>
          <t>DALARNAS LÄN</t>
        </is>
      </c>
      <c r="G8258" t="inlineStr">
        <is>
          <t>ORSA</t>
        </is>
      </c>
      <c r="I8258" t="n">
        <v>2.4</v>
      </c>
      <c r="J8258" t="n">
        <v>0</v>
      </c>
      <c r="K8258" t="n">
        <v>0</v>
      </c>
      <c r="L8258" t="n">
        <v>0</v>
      </c>
      <c r="M8258" t="n">
        <v>0</v>
      </c>
      <c r="N8258" t="n">
        <v>0</v>
      </c>
      <c r="O8258" t="n">
        <v>0</v>
      </c>
      <c r="P8258" t="n">
        <v>0</v>
      </c>
      <c r="Q8258" t="n">
        <v>0</v>
      </c>
      <c r="R8258" t="n">
        <v>0</v>
      </c>
      <c r="S8258" t="n">
        <v>0</v>
      </c>
      <c r="T8258" t="n">
        <v>0</v>
      </c>
      <c r="U8258" t="n">
        <v>0</v>
      </c>
      <c r="V8258" s="2" t="inlineStr"/>
    </row>
    <row r="8259" ht="15" customHeight="1">
      <c r="A8259" t="inlineStr">
        <is>
          <t>A 41212-2022</t>
        </is>
      </c>
      <c r="B8259" t="inlineStr">
        <is>
          <t>avverkningsanmälan</t>
        </is>
      </c>
      <c r="C8259" t="inlineStr">
        <is>
          <t>Föryngringsavverkning</t>
        </is>
      </c>
      <c r="D8259" s="1" t="n">
        <v>44826</v>
      </c>
      <c r="E8259" s="1" t="n">
        <v>46319</v>
      </c>
      <c r="F8259" t="inlineStr">
        <is>
          <t>DALARNAS LÄN</t>
        </is>
      </c>
      <c r="G8259" t="inlineStr">
        <is>
          <t>RÄTTVIK</t>
        </is>
      </c>
      <c r="I8259" t="n">
        <v>1.2</v>
      </c>
      <c r="J8259" t="n">
        <v>0</v>
      </c>
      <c r="K8259" t="n">
        <v>0</v>
      </c>
      <c r="L8259" t="n">
        <v>0</v>
      </c>
      <c r="M8259" t="n">
        <v>0</v>
      </c>
      <c r="N8259" t="n">
        <v>0</v>
      </c>
      <c r="O8259" t="n">
        <v>0</v>
      </c>
      <c r="P8259" t="n">
        <v>0</v>
      </c>
      <c r="Q8259" t="n">
        <v>0</v>
      </c>
      <c r="R8259" t="n">
        <v>0</v>
      </c>
      <c r="S8259" t="n">
        <v>0</v>
      </c>
      <c r="T8259" t="n">
        <v>0</v>
      </c>
      <c r="U8259" t="n">
        <v>0</v>
      </c>
      <c r="V8259" s="2" t="inlineStr"/>
    </row>
    <row r="8260" ht="15" customHeight="1">
      <c r="A8260" t="inlineStr">
        <is>
          <t>A 20482-2024</t>
        </is>
      </c>
      <c r="B8260" t="inlineStr">
        <is>
          <t>avverkningsanmälan</t>
        </is>
      </c>
      <c r="C8260" t="inlineStr">
        <is>
          <t>Avverkning för att bevara och utveckla /försöksver</t>
        </is>
      </c>
      <c r="D8260" s="1" t="n">
        <v>45435</v>
      </c>
      <c r="E8260" s="1" t="n">
        <v>46319</v>
      </c>
      <c r="F8260" t="inlineStr">
        <is>
          <t>DALARNAS LÄN</t>
        </is>
      </c>
      <c r="G8260" t="inlineStr">
        <is>
          <t>GAGNEF</t>
        </is>
      </c>
      <c r="I8260" t="n">
        <v>0.8</v>
      </c>
      <c r="J8260" t="n">
        <v>0</v>
      </c>
      <c r="K8260" t="n">
        <v>0</v>
      </c>
      <c r="L8260" t="n">
        <v>0</v>
      </c>
      <c r="M8260" t="n">
        <v>0</v>
      </c>
      <c r="N8260" t="n">
        <v>0</v>
      </c>
      <c r="O8260" t="n">
        <v>0</v>
      </c>
      <c r="P8260" t="n">
        <v>0</v>
      </c>
      <c r="Q8260" t="n">
        <v>0</v>
      </c>
      <c r="R8260" t="n">
        <v>0</v>
      </c>
      <c r="S8260" t="n">
        <v>0</v>
      </c>
      <c r="T8260" t="n">
        <v>0</v>
      </c>
      <c r="U8260" t="n">
        <v>0</v>
      </c>
      <c r="V8260" s="2" t="inlineStr"/>
    </row>
    <row r="8261" ht="15" customHeight="1">
      <c r="A8261" t="inlineStr">
        <is>
          <t>A 24889-2022</t>
        </is>
      </c>
      <c r="B8261" t="inlineStr">
        <is>
          <t>avverkningsanmälan</t>
        </is>
      </c>
      <c r="C8261" t="inlineStr">
        <is>
          <t>Föryngringsavverkning</t>
        </is>
      </c>
      <c r="D8261" s="1" t="n">
        <v>44728</v>
      </c>
      <c r="E8261" s="1" t="n">
        <v>46319</v>
      </c>
      <c r="F8261" t="inlineStr">
        <is>
          <t>DALARNAS LÄN</t>
        </is>
      </c>
      <c r="G8261" t="inlineStr">
        <is>
          <t>RÄTTVIK</t>
        </is>
      </c>
      <c r="H8261" t="inlineStr">
        <is>
          <t>Sveaskog</t>
        </is>
      </c>
      <c r="I8261" t="n">
        <v>3.3</v>
      </c>
      <c r="J8261" t="n">
        <v>0</v>
      </c>
      <c r="K8261" t="n">
        <v>0</v>
      </c>
      <c r="L8261" t="n">
        <v>0</v>
      </c>
      <c r="M8261" t="n">
        <v>0</v>
      </c>
      <c r="N8261" t="n">
        <v>0</v>
      </c>
      <c r="O8261" t="n">
        <v>0</v>
      </c>
      <c r="P8261" t="n">
        <v>0</v>
      </c>
      <c r="Q8261" t="n">
        <v>0</v>
      </c>
      <c r="R8261" t="n">
        <v>0</v>
      </c>
      <c r="S8261" t="n">
        <v>0</v>
      </c>
      <c r="T8261" t="n">
        <v>0</v>
      </c>
      <c r="U8261" t="n">
        <v>0</v>
      </c>
      <c r="V8261" s="2" t="inlineStr"/>
    </row>
    <row r="8262" ht="15" customHeight="1">
      <c r="A8262" t="inlineStr">
        <is>
          <t>A 59518-2022</t>
        </is>
      </c>
      <c r="B8262" t="inlineStr">
        <is>
          <t>avverkningsanmälan</t>
        </is>
      </c>
      <c r="C8262" t="inlineStr">
        <is>
          <t>Föryngringsavverkning</t>
        </is>
      </c>
      <c r="D8262" s="1" t="n">
        <v>44907</v>
      </c>
      <c r="E8262" s="1" t="n">
        <v>46319</v>
      </c>
      <c r="F8262" t="inlineStr">
        <is>
          <t>DALARNAS LÄN</t>
        </is>
      </c>
      <c r="G8262" t="inlineStr">
        <is>
          <t>RÄTTVIK</t>
        </is>
      </c>
      <c r="H8262" t="inlineStr">
        <is>
          <t>Övriga statliga verk och myndigheter</t>
        </is>
      </c>
      <c r="I8262" t="n">
        <v>1.5</v>
      </c>
      <c r="J8262" t="n">
        <v>0</v>
      </c>
      <c r="K8262" t="n">
        <v>0</v>
      </c>
      <c r="L8262" t="n">
        <v>0</v>
      </c>
      <c r="M8262" t="n">
        <v>0</v>
      </c>
      <c r="N8262" t="n">
        <v>0</v>
      </c>
      <c r="O8262" t="n">
        <v>0</v>
      </c>
      <c r="P8262" t="n">
        <v>0</v>
      </c>
      <c r="Q8262" t="n">
        <v>0</v>
      </c>
      <c r="R8262" t="n">
        <v>0</v>
      </c>
      <c r="S8262" t="n">
        <v>0</v>
      </c>
      <c r="T8262" t="n">
        <v>0</v>
      </c>
      <c r="U8262" t="n">
        <v>0</v>
      </c>
      <c r="V8262" s="2" t="inlineStr"/>
    </row>
    <row r="8263" ht="15" customHeight="1">
      <c r="A8263" t="inlineStr">
        <is>
          <t>A 24406-2024</t>
        </is>
      </c>
      <c r="B8263" t="inlineStr">
        <is>
          <t>avverkningsanmälan</t>
        </is>
      </c>
      <c r="C8263" t="inlineStr">
        <is>
          <t>Föryngringsavverkning</t>
        </is>
      </c>
      <c r="D8263" s="1" t="n">
        <v>45457</v>
      </c>
      <c r="E8263" s="1" t="n">
        <v>46319</v>
      </c>
      <c r="F8263" t="inlineStr">
        <is>
          <t>DALARNAS LÄN</t>
        </is>
      </c>
      <c r="G8263" t="inlineStr">
        <is>
          <t>AVESTA</t>
        </is>
      </c>
      <c r="I8263" t="n">
        <v>9.800000000000001</v>
      </c>
      <c r="J8263" t="n">
        <v>0</v>
      </c>
      <c r="K8263" t="n">
        <v>0</v>
      </c>
      <c r="L8263" t="n">
        <v>0</v>
      </c>
      <c r="M8263" t="n">
        <v>0</v>
      </c>
      <c r="N8263" t="n">
        <v>0</v>
      </c>
      <c r="O8263" t="n">
        <v>0</v>
      </c>
      <c r="P8263" t="n">
        <v>0</v>
      </c>
      <c r="Q8263" t="n">
        <v>0</v>
      </c>
      <c r="R8263" t="n">
        <v>0</v>
      </c>
      <c r="S8263" t="n">
        <v>0</v>
      </c>
      <c r="T8263" t="n">
        <v>0</v>
      </c>
      <c r="U8263" t="n">
        <v>0</v>
      </c>
      <c r="V8263" s="2" t="inlineStr"/>
    </row>
    <row r="8264" ht="15" customHeight="1">
      <c r="A8264" t="inlineStr">
        <is>
          <t>A 50682-2024</t>
        </is>
      </c>
      <c r="B8264" t="inlineStr">
        <is>
          <t>avverkningsanmälan</t>
        </is>
      </c>
      <c r="C8264" t="inlineStr">
        <is>
          <t>Avverkning för annat ändamål</t>
        </is>
      </c>
      <c r="D8264" s="1" t="n">
        <v>45602</v>
      </c>
      <c r="E8264" s="1" t="n">
        <v>46319</v>
      </c>
      <c r="F8264" t="inlineStr">
        <is>
          <t>DALARNAS LÄN</t>
        </is>
      </c>
      <c r="G8264" t="inlineStr">
        <is>
          <t>AVESTA</t>
        </is>
      </c>
      <c r="I8264" t="n">
        <v>0.7</v>
      </c>
      <c r="J8264" t="n">
        <v>0</v>
      </c>
      <c r="K8264" t="n">
        <v>0</v>
      </c>
      <c r="L8264" t="n">
        <v>0</v>
      </c>
      <c r="M8264" t="n">
        <v>0</v>
      </c>
      <c r="N8264" t="n">
        <v>0</v>
      </c>
      <c r="O8264" t="n">
        <v>0</v>
      </c>
      <c r="P8264" t="n">
        <v>0</v>
      </c>
      <c r="Q8264" t="n">
        <v>0</v>
      </c>
      <c r="R8264" t="n">
        <v>0</v>
      </c>
      <c r="S8264" t="n">
        <v>0</v>
      </c>
      <c r="T8264" t="n">
        <v>0</v>
      </c>
      <c r="U8264" t="n">
        <v>0</v>
      </c>
      <c r="V8264" s="2" t="inlineStr"/>
    </row>
    <row r="8265" ht="15" customHeight="1">
      <c r="A8265" t="inlineStr">
        <is>
          <t>A 52925-2024</t>
        </is>
      </c>
      <c r="B8265" t="inlineStr">
        <is>
          <t>avverkningsanmälan</t>
        </is>
      </c>
      <c r="C8265" t="inlineStr">
        <is>
          <t>Föryngringsavverkning</t>
        </is>
      </c>
      <c r="D8265" s="1" t="n">
        <v>45610</v>
      </c>
      <c r="E8265" s="1" t="n">
        <v>46319</v>
      </c>
      <c r="F8265" t="inlineStr">
        <is>
          <t>DALARNAS LÄN</t>
        </is>
      </c>
      <c r="G8265" t="inlineStr">
        <is>
          <t>ORSA</t>
        </is>
      </c>
      <c r="H8265" t="inlineStr">
        <is>
          <t>Allmännings- och besparingsskogar</t>
        </is>
      </c>
      <c r="I8265" t="n">
        <v>2.5</v>
      </c>
      <c r="J8265" t="n">
        <v>0</v>
      </c>
      <c r="K8265" t="n">
        <v>0</v>
      </c>
      <c r="L8265" t="n">
        <v>0</v>
      </c>
      <c r="M8265" t="n">
        <v>0</v>
      </c>
      <c r="N8265" t="n">
        <v>0</v>
      </c>
      <c r="O8265" t="n">
        <v>0</v>
      </c>
      <c r="P8265" t="n">
        <v>0</v>
      </c>
      <c r="Q8265" t="n">
        <v>0</v>
      </c>
      <c r="R8265" t="n">
        <v>0</v>
      </c>
      <c r="S8265" t="n">
        <v>0</v>
      </c>
      <c r="T8265" t="n">
        <v>0</v>
      </c>
      <c r="U8265" t="n">
        <v>0</v>
      </c>
      <c r="V8265" s="2" t="inlineStr"/>
    </row>
    <row r="8266" ht="15" customHeight="1">
      <c r="A8266" t="inlineStr">
        <is>
          <t>A 11875-2025</t>
        </is>
      </c>
      <c r="B8266" t="inlineStr">
        <is>
          <t>avverkningsanmälan</t>
        </is>
      </c>
      <c r="C8266" t="inlineStr">
        <is>
          <t>Föryngringsavverkning</t>
        </is>
      </c>
      <c r="D8266" s="1" t="n">
        <v>45728</v>
      </c>
      <c r="E8266" s="1" t="n">
        <v>46319</v>
      </c>
      <c r="F8266" t="inlineStr">
        <is>
          <t>DALARNAS LÄN</t>
        </is>
      </c>
      <c r="G8266" t="inlineStr">
        <is>
          <t>MALUNG-SÄLEN</t>
        </is>
      </c>
      <c r="I8266" t="n">
        <v>4.6</v>
      </c>
      <c r="J8266" t="n">
        <v>0</v>
      </c>
      <c r="K8266" t="n">
        <v>0</v>
      </c>
      <c r="L8266" t="n">
        <v>0</v>
      </c>
      <c r="M8266" t="n">
        <v>0</v>
      </c>
      <c r="N8266" t="n">
        <v>0</v>
      </c>
      <c r="O8266" t="n">
        <v>0</v>
      </c>
      <c r="P8266" t="n">
        <v>0</v>
      </c>
      <c r="Q8266" t="n">
        <v>0</v>
      </c>
      <c r="R8266" t="n">
        <v>0</v>
      </c>
      <c r="S8266" t="n">
        <v>0</v>
      </c>
      <c r="T8266" t="n">
        <v>0</v>
      </c>
      <c r="U8266" t="n">
        <v>0</v>
      </c>
      <c r="V8266" s="2" t="inlineStr"/>
    </row>
    <row r="8267" ht="15" customHeight="1">
      <c r="A8267" t="inlineStr">
        <is>
          <t>A 49060-2023</t>
        </is>
      </c>
      <c r="B8267" t="inlineStr">
        <is>
          <t>avverkningsanmälan</t>
        </is>
      </c>
      <c r="C8267" t="inlineStr">
        <is>
          <t>Föryngringsavverkning</t>
        </is>
      </c>
      <c r="D8267" s="1" t="n">
        <v>45210</v>
      </c>
      <c r="E8267" s="1" t="n">
        <v>46319</v>
      </c>
      <c r="F8267" t="inlineStr">
        <is>
          <t>DALARNAS LÄN</t>
        </is>
      </c>
      <c r="G8267" t="inlineStr">
        <is>
          <t>LUDVIKA</t>
        </is>
      </c>
      <c r="H8267" t="inlineStr">
        <is>
          <t>Naturvårdsverket</t>
        </is>
      </c>
      <c r="I8267" t="n">
        <v>0.8</v>
      </c>
      <c r="J8267" t="n">
        <v>0</v>
      </c>
      <c r="K8267" t="n">
        <v>0</v>
      </c>
      <c r="L8267" t="n">
        <v>0</v>
      </c>
      <c r="M8267" t="n">
        <v>0</v>
      </c>
      <c r="N8267" t="n">
        <v>0</v>
      </c>
      <c r="O8267" t="n">
        <v>0</v>
      </c>
      <c r="P8267" t="n">
        <v>0</v>
      </c>
      <c r="Q8267" t="n">
        <v>0</v>
      </c>
      <c r="R8267" t="n">
        <v>0</v>
      </c>
      <c r="S8267" t="n">
        <v>0</v>
      </c>
      <c r="T8267" t="n">
        <v>0</v>
      </c>
      <c r="U8267" t="n">
        <v>0</v>
      </c>
      <c r="V8267" s="2" t="inlineStr"/>
    </row>
    <row r="8268" ht="15" customHeight="1">
      <c r="A8268" t="inlineStr">
        <is>
          <t>A 440-2025</t>
        </is>
      </c>
      <c r="B8268" t="inlineStr">
        <is>
          <t>avverkningsanmälan</t>
        </is>
      </c>
      <c r="C8268" t="inlineStr">
        <is>
          <t>Föryngringsavverkning</t>
        </is>
      </c>
      <c r="D8268" s="1" t="n">
        <v>45664</v>
      </c>
      <c r="E8268" s="1" t="n">
        <v>46319</v>
      </c>
      <c r="F8268" t="inlineStr">
        <is>
          <t>DALARNAS LÄN</t>
        </is>
      </c>
      <c r="G8268" t="inlineStr">
        <is>
          <t>RÄTTVIK</t>
        </is>
      </c>
      <c r="I8268" t="n">
        <v>3.1</v>
      </c>
      <c r="J8268" t="n">
        <v>0</v>
      </c>
      <c r="K8268" t="n">
        <v>0</v>
      </c>
      <c r="L8268" t="n">
        <v>0</v>
      </c>
      <c r="M8268" t="n">
        <v>0</v>
      </c>
      <c r="N8268" t="n">
        <v>0</v>
      </c>
      <c r="O8268" t="n">
        <v>0</v>
      </c>
      <c r="P8268" t="n">
        <v>0</v>
      </c>
      <c r="Q8268" t="n">
        <v>0</v>
      </c>
      <c r="R8268" t="n">
        <v>0</v>
      </c>
      <c r="S8268" t="n">
        <v>0</v>
      </c>
      <c r="T8268" t="n">
        <v>0</v>
      </c>
      <c r="U8268" t="n">
        <v>0</v>
      </c>
      <c r="V8268" s="2" t="inlineStr"/>
    </row>
    <row r="8269" ht="15" customHeight="1">
      <c r="A8269" t="inlineStr">
        <is>
          <t>A 58920-2024</t>
        </is>
      </c>
      <c r="B8269" t="inlineStr">
        <is>
          <t>avverkningsanmälan</t>
        </is>
      </c>
      <c r="C8269" t="inlineStr">
        <is>
          <t>Föryngringsavverkning</t>
        </is>
      </c>
      <c r="D8269" s="1" t="n">
        <v>45636</v>
      </c>
      <c r="E8269" s="1" t="n">
        <v>46319</v>
      </c>
      <c r="F8269" t="inlineStr">
        <is>
          <t>DALARNAS LÄN</t>
        </is>
      </c>
      <c r="G8269" t="inlineStr">
        <is>
          <t>MALUNG-SÄLEN</t>
        </is>
      </c>
      <c r="I8269" t="n">
        <v>0.6</v>
      </c>
      <c r="J8269" t="n">
        <v>0</v>
      </c>
      <c r="K8269" t="n">
        <v>0</v>
      </c>
      <c r="L8269" t="n">
        <v>0</v>
      </c>
      <c r="M8269" t="n">
        <v>0</v>
      </c>
      <c r="N8269" t="n">
        <v>0</v>
      </c>
      <c r="O8269" t="n">
        <v>0</v>
      </c>
      <c r="P8269" t="n">
        <v>0</v>
      </c>
      <c r="Q8269" t="n">
        <v>0</v>
      </c>
      <c r="R8269" t="n">
        <v>0</v>
      </c>
      <c r="S8269" t="n">
        <v>0</v>
      </c>
      <c r="T8269" t="n">
        <v>0</v>
      </c>
      <c r="U8269" t="n">
        <v>0</v>
      </c>
      <c r="V8269" s="2" t="inlineStr"/>
    </row>
    <row r="8270" ht="15" customHeight="1">
      <c r="A8270" t="inlineStr">
        <is>
          <t>A 19316-2025</t>
        </is>
      </c>
      <c r="B8270" t="inlineStr">
        <is>
          <t>avverkningsanmälan</t>
        </is>
      </c>
      <c r="C8270" t="inlineStr">
        <is>
          <t>Föryngringsavverkning</t>
        </is>
      </c>
      <c r="D8270" s="1" t="n">
        <v>45769</v>
      </c>
      <c r="E8270" s="1" t="n">
        <v>46319</v>
      </c>
      <c r="F8270" t="inlineStr">
        <is>
          <t>DALARNAS LÄN</t>
        </is>
      </c>
      <c r="G8270" t="inlineStr">
        <is>
          <t>MALUNG-SÄLEN</t>
        </is>
      </c>
      <c r="I8270" t="n">
        <v>1.6</v>
      </c>
      <c r="J8270" t="n">
        <v>0</v>
      </c>
      <c r="K8270" t="n">
        <v>0</v>
      </c>
      <c r="L8270" t="n">
        <v>0</v>
      </c>
      <c r="M8270" t="n">
        <v>0</v>
      </c>
      <c r="N8270" t="n">
        <v>0</v>
      </c>
      <c r="O8270" t="n">
        <v>0</v>
      </c>
      <c r="P8270" t="n">
        <v>0</v>
      </c>
      <c r="Q8270" t="n">
        <v>0</v>
      </c>
      <c r="R8270" t="n">
        <v>0</v>
      </c>
      <c r="S8270" t="n">
        <v>0</v>
      </c>
      <c r="T8270" t="n">
        <v>0</v>
      </c>
      <c r="U8270" t="n">
        <v>0</v>
      </c>
      <c r="V8270" s="2" t="inlineStr"/>
    </row>
    <row r="8271" ht="15" customHeight="1">
      <c r="A8271" t="inlineStr">
        <is>
          <t>A 138-2025</t>
        </is>
      </c>
      <c r="B8271" t="inlineStr">
        <is>
          <t>avverkningsanmälan</t>
        </is>
      </c>
      <c r="C8271" t="inlineStr">
        <is>
          <t>Föryngringsavverkning</t>
        </is>
      </c>
      <c r="D8271" s="1" t="n">
        <v>45659</v>
      </c>
      <c r="E8271" s="1" t="n">
        <v>46319</v>
      </c>
      <c r="F8271" t="inlineStr">
        <is>
          <t>DALARNAS LÄN</t>
        </is>
      </c>
      <c r="G8271" t="inlineStr">
        <is>
          <t>MALUNG-SÄLEN</t>
        </is>
      </c>
      <c r="I8271" t="n">
        <v>1</v>
      </c>
      <c r="J8271" t="n">
        <v>0</v>
      </c>
      <c r="K8271" t="n">
        <v>0</v>
      </c>
      <c r="L8271" t="n">
        <v>0</v>
      </c>
      <c r="M8271" t="n">
        <v>0</v>
      </c>
      <c r="N8271" t="n">
        <v>0</v>
      </c>
      <c r="O8271" t="n">
        <v>0</v>
      </c>
      <c r="P8271" t="n">
        <v>0</v>
      </c>
      <c r="Q8271" t="n">
        <v>0</v>
      </c>
      <c r="R8271" t="n">
        <v>0</v>
      </c>
      <c r="S8271" t="n">
        <v>0</v>
      </c>
      <c r="T8271" t="n">
        <v>0</v>
      </c>
      <c r="U8271" t="n">
        <v>0</v>
      </c>
      <c r="V8271" s="2" t="inlineStr"/>
    </row>
    <row r="8272" ht="15" customHeight="1">
      <c r="A8272" t="inlineStr">
        <is>
          <t>A 143-2025</t>
        </is>
      </c>
      <c r="B8272" t="inlineStr">
        <is>
          <t>avverkningsanmälan</t>
        </is>
      </c>
      <c r="C8272" t="inlineStr">
        <is>
          <t>Föryngringsavverkning</t>
        </is>
      </c>
      <c r="D8272" s="1" t="n">
        <v>45659</v>
      </c>
      <c r="E8272" s="1" t="n">
        <v>46319</v>
      </c>
      <c r="F8272" t="inlineStr">
        <is>
          <t>DALARNAS LÄN</t>
        </is>
      </c>
      <c r="G8272" t="inlineStr">
        <is>
          <t>FALUN</t>
        </is>
      </c>
      <c r="I8272" t="n">
        <v>2.6</v>
      </c>
      <c r="J8272" t="n">
        <v>0</v>
      </c>
      <c r="K8272" t="n">
        <v>0</v>
      </c>
      <c r="L8272" t="n">
        <v>0</v>
      </c>
      <c r="M8272" t="n">
        <v>0</v>
      </c>
      <c r="N8272" t="n">
        <v>0</v>
      </c>
      <c r="O8272" t="n">
        <v>0</v>
      </c>
      <c r="P8272" t="n">
        <v>0</v>
      </c>
      <c r="Q8272" t="n">
        <v>0</v>
      </c>
      <c r="R8272" t="n">
        <v>0</v>
      </c>
      <c r="S8272" t="n">
        <v>0</v>
      </c>
      <c r="T8272" t="n">
        <v>0</v>
      </c>
      <c r="U8272" t="n">
        <v>0</v>
      </c>
      <c r="V8272" s="2" t="inlineStr"/>
    </row>
    <row r="8273" ht="15" customHeight="1">
      <c r="A8273" t="inlineStr">
        <is>
          <t>A 22843-2022</t>
        </is>
      </c>
      <c r="B8273" t="inlineStr">
        <is>
          <t>avverkningsanmälan</t>
        </is>
      </c>
      <c r="C8273" t="inlineStr">
        <is>
          <t>Föryngringsavverkning</t>
        </is>
      </c>
      <c r="D8273" s="1" t="n">
        <v>44715</v>
      </c>
      <c r="E8273" s="1" t="n">
        <v>46319</v>
      </c>
      <c r="F8273" t="inlineStr">
        <is>
          <t>DALARNAS LÄN</t>
        </is>
      </c>
      <c r="G8273" t="inlineStr">
        <is>
          <t>FALUN</t>
        </is>
      </c>
      <c r="I8273" t="n">
        <v>1.4</v>
      </c>
      <c r="J8273" t="n">
        <v>0</v>
      </c>
      <c r="K8273" t="n">
        <v>0</v>
      </c>
      <c r="L8273" t="n">
        <v>0</v>
      </c>
      <c r="M8273" t="n">
        <v>0</v>
      </c>
      <c r="N8273" t="n">
        <v>0</v>
      </c>
      <c r="O8273" t="n">
        <v>0</v>
      </c>
      <c r="P8273" t="n">
        <v>0</v>
      </c>
      <c r="Q8273" t="n">
        <v>0</v>
      </c>
      <c r="R8273" t="n">
        <v>0</v>
      </c>
      <c r="S8273" t="n">
        <v>0</v>
      </c>
      <c r="T8273" t="n">
        <v>0</v>
      </c>
      <c r="U8273" t="n">
        <v>0</v>
      </c>
      <c r="V8273" s="2" t="inlineStr"/>
    </row>
    <row r="8274" ht="15" customHeight="1">
      <c r="A8274" t="inlineStr">
        <is>
          <t>A 31332-2023</t>
        </is>
      </c>
      <c r="B8274" t="inlineStr">
        <is>
          <t>avverkningsanmälan</t>
        </is>
      </c>
      <c r="C8274" t="inlineStr">
        <is>
          <t>Föryngringsavverkning</t>
        </is>
      </c>
      <c r="D8274" s="1" t="n">
        <v>45114</v>
      </c>
      <c r="E8274" s="1" t="n">
        <v>46319</v>
      </c>
      <c r="F8274" t="inlineStr">
        <is>
          <t>DALARNAS LÄN</t>
        </is>
      </c>
      <c r="G8274" t="inlineStr">
        <is>
          <t>ÄLVDALEN</t>
        </is>
      </c>
      <c r="H8274" t="inlineStr">
        <is>
          <t>Övriga statliga verk och myndigheter</t>
        </is>
      </c>
      <c r="I8274" t="n">
        <v>0.5</v>
      </c>
      <c r="J8274" t="n">
        <v>0</v>
      </c>
      <c r="K8274" t="n">
        <v>0</v>
      </c>
      <c r="L8274" t="n">
        <v>0</v>
      </c>
      <c r="M8274" t="n">
        <v>0</v>
      </c>
      <c r="N8274" t="n">
        <v>0</v>
      </c>
      <c r="O8274" t="n">
        <v>0</v>
      </c>
      <c r="P8274" t="n">
        <v>0</v>
      </c>
      <c r="Q8274" t="n">
        <v>0</v>
      </c>
      <c r="R8274" t="n">
        <v>0</v>
      </c>
      <c r="S8274" t="n">
        <v>0</v>
      </c>
      <c r="T8274" t="n">
        <v>0</v>
      </c>
      <c r="U8274" t="n">
        <v>0</v>
      </c>
      <c r="V8274" s="2" t="inlineStr"/>
    </row>
    <row r="8275" ht="15" customHeight="1">
      <c r="A8275" t="inlineStr">
        <is>
          <t>A 37750-2023</t>
        </is>
      </c>
      <c r="B8275" t="inlineStr">
        <is>
          <t>avverkningsanmälan</t>
        </is>
      </c>
      <c r="C8275" t="inlineStr">
        <is>
          <t>Föryngringsavverkning</t>
        </is>
      </c>
      <c r="D8275" s="1" t="n">
        <v>45159</v>
      </c>
      <c r="E8275" s="1" t="n">
        <v>46319</v>
      </c>
      <c r="F8275" t="inlineStr">
        <is>
          <t>DALARNAS LÄN</t>
        </is>
      </c>
      <c r="G8275" t="inlineStr">
        <is>
          <t>FALUN</t>
        </is>
      </c>
      <c r="I8275" t="n">
        <v>20.2</v>
      </c>
      <c r="J8275" t="n">
        <v>0</v>
      </c>
      <c r="K8275" t="n">
        <v>0</v>
      </c>
      <c r="L8275" t="n">
        <v>0</v>
      </c>
      <c r="M8275" t="n">
        <v>0</v>
      </c>
      <c r="N8275" t="n">
        <v>0</v>
      </c>
      <c r="O8275" t="n">
        <v>0</v>
      </c>
      <c r="P8275" t="n">
        <v>0</v>
      </c>
      <c r="Q8275" t="n">
        <v>0</v>
      </c>
      <c r="R8275" t="n">
        <v>0</v>
      </c>
      <c r="S8275" t="n">
        <v>0</v>
      </c>
      <c r="T8275" t="n">
        <v>0</v>
      </c>
      <c r="U8275" t="n">
        <v>0</v>
      </c>
      <c r="V8275" s="2" t="inlineStr"/>
    </row>
    <row r="8276" ht="15" customHeight="1">
      <c r="A8276" t="inlineStr">
        <is>
          <t>A 12920-2022</t>
        </is>
      </c>
      <c r="B8276" t="inlineStr">
        <is>
          <t>avverkningsanmälan</t>
        </is>
      </c>
      <c r="C8276" t="inlineStr">
        <is>
          <t>Föryngringsavverkning</t>
        </is>
      </c>
      <c r="D8276" s="1" t="n">
        <v>44642</v>
      </c>
      <c r="E8276" s="1" t="n">
        <v>46319</v>
      </c>
      <c r="F8276" t="inlineStr">
        <is>
          <t>DALARNAS LÄN</t>
        </is>
      </c>
      <c r="G8276" t="inlineStr">
        <is>
          <t>MORA</t>
        </is>
      </c>
      <c r="I8276" t="n">
        <v>0.8</v>
      </c>
      <c r="J8276" t="n">
        <v>0</v>
      </c>
      <c r="K8276" t="n">
        <v>0</v>
      </c>
      <c r="L8276" t="n">
        <v>0</v>
      </c>
      <c r="M8276" t="n">
        <v>0</v>
      </c>
      <c r="N8276" t="n">
        <v>0</v>
      </c>
      <c r="O8276" t="n">
        <v>0</v>
      </c>
      <c r="P8276" t="n">
        <v>0</v>
      </c>
      <c r="Q8276" t="n">
        <v>0</v>
      </c>
      <c r="R8276" t="n">
        <v>0</v>
      </c>
      <c r="S8276" t="n">
        <v>0</v>
      </c>
      <c r="T8276" t="n">
        <v>0</v>
      </c>
      <c r="U8276" t="n">
        <v>0</v>
      </c>
      <c r="V8276" s="2" t="inlineStr"/>
    </row>
    <row r="8277" ht="15" customHeight="1">
      <c r="A8277" t="inlineStr">
        <is>
          <t>A 61188-2024</t>
        </is>
      </c>
      <c r="B8277" t="inlineStr">
        <is>
          <t>avverkningsanmälan</t>
        </is>
      </c>
      <c r="C8277" t="inlineStr">
        <is>
          <t>Avverkning för annat ändamål</t>
        </is>
      </c>
      <c r="D8277" s="1" t="n">
        <v>45645</v>
      </c>
      <c r="E8277" s="1" t="n">
        <v>46319</v>
      </c>
      <c r="F8277" t="inlineStr">
        <is>
          <t>DALARNAS LÄN</t>
        </is>
      </c>
      <c r="G8277" t="inlineStr">
        <is>
          <t>MORA</t>
        </is>
      </c>
      <c r="I8277" t="n">
        <v>1.6</v>
      </c>
      <c r="J8277" t="n">
        <v>0</v>
      </c>
      <c r="K8277" t="n">
        <v>0</v>
      </c>
      <c r="L8277" t="n">
        <v>0</v>
      </c>
      <c r="M8277" t="n">
        <v>0</v>
      </c>
      <c r="N8277" t="n">
        <v>0</v>
      </c>
      <c r="O8277" t="n">
        <v>0</v>
      </c>
      <c r="P8277" t="n">
        <v>0</v>
      </c>
      <c r="Q8277" t="n">
        <v>0</v>
      </c>
      <c r="R8277" t="n">
        <v>0</v>
      </c>
      <c r="S8277" t="n">
        <v>0</v>
      </c>
      <c r="T8277" t="n">
        <v>0</v>
      </c>
      <c r="U8277" t="n">
        <v>0</v>
      </c>
      <c r="V8277" s="2" t="inlineStr"/>
    </row>
    <row r="8278" ht="15" customHeight="1">
      <c r="A8278" t="inlineStr">
        <is>
          <t>A 8735-2025</t>
        </is>
      </c>
      <c r="B8278" t="inlineStr">
        <is>
          <t>avverkningsanmälan</t>
        </is>
      </c>
      <c r="C8278" t="inlineStr">
        <is>
          <t>Föryngringsavverkning</t>
        </is>
      </c>
      <c r="D8278" s="1" t="n">
        <v>45712</v>
      </c>
      <c r="E8278" s="1" t="n">
        <v>46319</v>
      </c>
      <c r="F8278" t="inlineStr">
        <is>
          <t>DALARNAS LÄN</t>
        </is>
      </c>
      <c r="G8278" t="inlineStr">
        <is>
          <t>MALUNG-SÄLEN</t>
        </is>
      </c>
      <c r="I8278" t="n">
        <v>2.5</v>
      </c>
      <c r="J8278" t="n">
        <v>0</v>
      </c>
      <c r="K8278" t="n">
        <v>0</v>
      </c>
      <c r="L8278" t="n">
        <v>0</v>
      </c>
      <c r="M8278" t="n">
        <v>0</v>
      </c>
      <c r="N8278" t="n">
        <v>0</v>
      </c>
      <c r="O8278" t="n">
        <v>0</v>
      </c>
      <c r="P8278" t="n">
        <v>0</v>
      </c>
      <c r="Q8278" t="n">
        <v>0</v>
      </c>
      <c r="R8278" t="n">
        <v>0</v>
      </c>
      <c r="S8278" t="n">
        <v>0</v>
      </c>
      <c r="T8278" t="n">
        <v>0</v>
      </c>
      <c r="U8278" t="n">
        <v>0</v>
      </c>
      <c r="V8278" s="2" t="inlineStr"/>
    </row>
    <row r="8279" ht="15" customHeight="1">
      <c r="A8279" t="inlineStr">
        <is>
          <t>A 21092-2023</t>
        </is>
      </c>
      <c r="B8279" t="inlineStr">
        <is>
          <t>avverkningsanmälan</t>
        </is>
      </c>
      <c r="C8279" t="inlineStr">
        <is>
          <t>Avverkning för annat ändamål</t>
        </is>
      </c>
      <c r="D8279" s="1" t="n">
        <v>45061</v>
      </c>
      <c r="E8279" s="1" t="n">
        <v>46319</v>
      </c>
      <c r="F8279" t="inlineStr">
        <is>
          <t>DALARNAS LÄN</t>
        </is>
      </c>
      <c r="G8279" t="inlineStr">
        <is>
          <t>HEDEMORA</t>
        </is>
      </c>
      <c r="H8279" t="inlineStr">
        <is>
          <t>Sveaskog</t>
        </is>
      </c>
      <c r="I8279" t="n">
        <v>0.1</v>
      </c>
      <c r="J8279" t="n">
        <v>0</v>
      </c>
      <c r="K8279" t="n">
        <v>0</v>
      </c>
      <c r="L8279" t="n">
        <v>0</v>
      </c>
      <c r="M8279" t="n">
        <v>0</v>
      </c>
      <c r="N8279" t="n">
        <v>0</v>
      </c>
      <c r="O8279" t="n">
        <v>0</v>
      </c>
      <c r="P8279" t="n">
        <v>0</v>
      </c>
      <c r="Q8279" t="n">
        <v>0</v>
      </c>
      <c r="R8279" t="n">
        <v>0</v>
      </c>
      <c r="S8279" t="n">
        <v>0</v>
      </c>
      <c r="T8279" t="n">
        <v>0</v>
      </c>
      <c r="U8279" t="n">
        <v>0</v>
      </c>
      <c r="V8279" s="2" t="inlineStr"/>
    </row>
    <row r="8280" ht="15" customHeight="1">
      <c r="A8280" t="inlineStr">
        <is>
          <t>A 60046-2024</t>
        </is>
      </c>
      <c r="B8280" t="inlineStr">
        <is>
          <t>avverkningsanmälan</t>
        </is>
      </c>
      <c r="C8280" t="inlineStr">
        <is>
          <t>Föryngringsavverkning</t>
        </is>
      </c>
      <c r="D8280" s="1" t="n">
        <v>45642</v>
      </c>
      <c r="E8280" s="1" t="n">
        <v>46319</v>
      </c>
      <c r="F8280" t="inlineStr">
        <is>
          <t>DALARNAS LÄN</t>
        </is>
      </c>
      <c r="G8280" t="inlineStr">
        <is>
          <t>MALUNG-SÄLEN</t>
        </is>
      </c>
      <c r="I8280" t="n">
        <v>3.7</v>
      </c>
      <c r="J8280" t="n">
        <v>0</v>
      </c>
      <c r="K8280" t="n">
        <v>0</v>
      </c>
      <c r="L8280" t="n">
        <v>0</v>
      </c>
      <c r="M8280" t="n">
        <v>0</v>
      </c>
      <c r="N8280" t="n">
        <v>0</v>
      </c>
      <c r="O8280" t="n">
        <v>0</v>
      </c>
      <c r="P8280" t="n">
        <v>0</v>
      </c>
      <c r="Q8280" t="n">
        <v>0</v>
      </c>
      <c r="R8280" t="n">
        <v>0</v>
      </c>
      <c r="S8280" t="n">
        <v>0</v>
      </c>
      <c r="T8280" t="n">
        <v>0</v>
      </c>
      <c r="U8280" t="n">
        <v>0</v>
      </c>
      <c r="V8280" s="2" t="inlineStr"/>
    </row>
    <row r="8281" ht="15" customHeight="1">
      <c r="A8281" t="inlineStr">
        <is>
          <t>A 57898-2024</t>
        </is>
      </c>
      <c r="B8281" t="inlineStr">
        <is>
          <t>avverkningsanmälan</t>
        </is>
      </c>
      <c r="C8281" t="inlineStr">
        <is>
          <t>Föryngringsavverkning</t>
        </is>
      </c>
      <c r="D8281" s="1" t="n">
        <v>45631</v>
      </c>
      <c r="E8281" s="1" t="n">
        <v>46319</v>
      </c>
      <c r="F8281" t="inlineStr">
        <is>
          <t>DALARNAS LÄN</t>
        </is>
      </c>
      <c r="G8281" t="inlineStr">
        <is>
          <t>BORLÄNGE</t>
        </is>
      </c>
      <c r="I8281" t="n">
        <v>1.5</v>
      </c>
      <c r="J8281" t="n">
        <v>0</v>
      </c>
      <c r="K8281" t="n">
        <v>0</v>
      </c>
      <c r="L8281" t="n">
        <v>0</v>
      </c>
      <c r="M8281" t="n">
        <v>0</v>
      </c>
      <c r="N8281" t="n">
        <v>0</v>
      </c>
      <c r="O8281" t="n">
        <v>0</v>
      </c>
      <c r="P8281" t="n">
        <v>0</v>
      </c>
      <c r="Q8281" t="n">
        <v>0</v>
      </c>
      <c r="R8281" t="n">
        <v>0</v>
      </c>
      <c r="S8281" t="n">
        <v>0</v>
      </c>
      <c r="T8281" t="n">
        <v>0</v>
      </c>
      <c r="U8281" t="n">
        <v>0</v>
      </c>
      <c r="V8281" s="2" t="inlineStr"/>
    </row>
    <row r="8282" ht="15" customHeight="1">
      <c r="A8282" t="inlineStr">
        <is>
          <t>A 57904-2024</t>
        </is>
      </c>
      <c r="B8282" t="inlineStr">
        <is>
          <t>avverkningsanmälan</t>
        </is>
      </c>
      <c r="C8282" t="inlineStr">
        <is>
          <t>Föryngringsavverkning</t>
        </is>
      </c>
      <c r="D8282" s="1" t="n">
        <v>45631</v>
      </c>
      <c r="E8282" s="1" t="n">
        <v>46319</v>
      </c>
      <c r="F8282" t="inlineStr">
        <is>
          <t>DALARNAS LÄN</t>
        </is>
      </c>
      <c r="G8282" t="inlineStr">
        <is>
          <t>VANSBRO</t>
        </is>
      </c>
      <c r="I8282" t="n">
        <v>2.3</v>
      </c>
      <c r="J8282" t="n">
        <v>0</v>
      </c>
      <c r="K8282" t="n">
        <v>0</v>
      </c>
      <c r="L8282" t="n">
        <v>0</v>
      </c>
      <c r="M8282" t="n">
        <v>0</v>
      </c>
      <c r="N8282" t="n">
        <v>0</v>
      </c>
      <c r="O8282" t="n">
        <v>0</v>
      </c>
      <c r="P8282" t="n">
        <v>0</v>
      </c>
      <c r="Q8282" t="n">
        <v>0</v>
      </c>
      <c r="R8282" t="n">
        <v>0</v>
      </c>
      <c r="S8282" t="n">
        <v>0</v>
      </c>
      <c r="T8282" t="n">
        <v>0</v>
      </c>
      <c r="U8282" t="n">
        <v>0</v>
      </c>
      <c r="V8282" s="2" t="inlineStr"/>
    </row>
    <row r="8283" ht="15" customHeight="1">
      <c r="A8283" t="inlineStr">
        <is>
          <t>A 6097-2025</t>
        </is>
      </c>
      <c r="B8283" t="inlineStr">
        <is>
          <t>avverkningsanmälan</t>
        </is>
      </c>
      <c r="C8283" t="inlineStr">
        <is>
          <t>Föryngringsavverkning</t>
        </is>
      </c>
      <c r="D8283" s="1" t="n">
        <v>45697</v>
      </c>
      <c r="E8283" s="1" t="n">
        <v>46319</v>
      </c>
      <c r="F8283" t="inlineStr">
        <is>
          <t>DALARNAS LÄN</t>
        </is>
      </c>
      <c r="G8283" t="inlineStr">
        <is>
          <t>ORSA</t>
        </is>
      </c>
      <c r="I8283" t="n">
        <v>11.1</v>
      </c>
      <c r="J8283" t="n">
        <v>0</v>
      </c>
      <c r="K8283" t="n">
        <v>0</v>
      </c>
      <c r="L8283" t="n">
        <v>0</v>
      </c>
      <c r="M8283" t="n">
        <v>0</v>
      </c>
      <c r="N8283" t="n">
        <v>0</v>
      </c>
      <c r="O8283" t="n">
        <v>0</v>
      </c>
      <c r="P8283" t="n">
        <v>0</v>
      </c>
      <c r="Q8283" t="n">
        <v>0</v>
      </c>
      <c r="R8283" t="n">
        <v>0</v>
      </c>
      <c r="S8283" t="n">
        <v>0</v>
      </c>
      <c r="T8283" t="n">
        <v>0</v>
      </c>
      <c r="U8283" t="n">
        <v>0</v>
      </c>
      <c r="V8283" s="2" t="inlineStr"/>
    </row>
    <row r="8284" ht="15" customHeight="1">
      <c r="A8284" t="inlineStr">
        <is>
          <t>A 58089-2024</t>
        </is>
      </c>
      <c r="B8284" t="inlineStr">
        <is>
          <t>avverkningsanmälan</t>
        </is>
      </c>
      <c r="C8284" t="inlineStr">
        <is>
          <t>Föryngringsavverkning</t>
        </is>
      </c>
      <c r="D8284" s="1" t="n">
        <v>45632</v>
      </c>
      <c r="E8284" s="1" t="n">
        <v>46319</v>
      </c>
      <c r="F8284" t="inlineStr">
        <is>
          <t>DALARNAS LÄN</t>
        </is>
      </c>
      <c r="G8284" t="inlineStr">
        <is>
          <t>MORA</t>
        </is>
      </c>
      <c r="I8284" t="n">
        <v>1.4</v>
      </c>
      <c r="J8284" t="n">
        <v>0</v>
      </c>
      <c r="K8284" t="n">
        <v>0</v>
      </c>
      <c r="L8284" t="n">
        <v>0</v>
      </c>
      <c r="M8284" t="n">
        <v>0</v>
      </c>
      <c r="N8284" t="n">
        <v>0</v>
      </c>
      <c r="O8284" t="n">
        <v>0</v>
      </c>
      <c r="P8284" t="n">
        <v>0</v>
      </c>
      <c r="Q8284" t="n">
        <v>0</v>
      </c>
      <c r="R8284" t="n">
        <v>0</v>
      </c>
      <c r="S8284" t="n">
        <v>0</v>
      </c>
      <c r="T8284" t="n">
        <v>0</v>
      </c>
      <c r="U8284" t="n">
        <v>0</v>
      </c>
      <c r="V8284" s="2" t="inlineStr"/>
    </row>
    <row r="8285" ht="15" customHeight="1">
      <c r="A8285" t="inlineStr">
        <is>
          <t>A 50241-2024</t>
        </is>
      </c>
      <c r="B8285" t="inlineStr">
        <is>
          <t>avverkningsanmälan</t>
        </is>
      </c>
      <c r="C8285" t="inlineStr">
        <is>
          <t>Föryngringsavverkning</t>
        </is>
      </c>
      <c r="D8285" s="1" t="n">
        <v>45600</v>
      </c>
      <c r="E8285" s="1" t="n">
        <v>46319</v>
      </c>
      <c r="F8285" t="inlineStr">
        <is>
          <t>DALARNAS LÄN</t>
        </is>
      </c>
      <c r="G8285" t="inlineStr">
        <is>
          <t>FALUN</t>
        </is>
      </c>
      <c r="H8285" t="inlineStr">
        <is>
          <t>Bergvik skog väst AB</t>
        </is>
      </c>
      <c r="I8285" t="n">
        <v>2.5</v>
      </c>
      <c r="J8285" t="n">
        <v>0</v>
      </c>
      <c r="K8285" t="n">
        <v>0</v>
      </c>
      <c r="L8285" t="n">
        <v>0</v>
      </c>
      <c r="M8285" t="n">
        <v>0</v>
      </c>
      <c r="N8285" t="n">
        <v>0</v>
      </c>
      <c r="O8285" t="n">
        <v>0</v>
      </c>
      <c r="P8285" t="n">
        <v>0</v>
      </c>
      <c r="Q8285" t="n">
        <v>0</v>
      </c>
      <c r="R8285" t="n">
        <v>0</v>
      </c>
      <c r="S8285" t="n">
        <v>0</v>
      </c>
      <c r="T8285" t="n">
        <v>0</v>
      </c>
      <c r="U8285" t="n">
        <v>0</v>
      </c>
      <c r="V8285" s="2" t="inlineStr"/>
    </row>
    <row r="8286" ht="15" customHeight="1">
      <c r="A8286" t="inlineStr">
        <is>
          <t>A 40101-2024</t>
        </is>
      </c>
      <c r="B8286" t="inlineStr">
        <is>
          <t>avverkningsanmälan</t>
        </is>
      </c>
      <c r="C8286" t="inlineStr">
        <is>
          <t>Föryngringsavverkning</t>
        </is>
      </c>
      <c r="D8286" s="1" t="n">
        <v>45554</v>
      </c>
      <c r="E8286" s="1" t="n">
        <v>46319</v>
      </c>
      <c r="F8286" t="inlineStr">
        <is>
          <t>DALARNAS LÄN</t>
        </is>
      </c>
      <c r="G8286" t="inlineStr">
        <is>
          <t>ORSA</t>
        </is>
      </c>
      <c r="I8286" t="n">
        <v>1.3</v>
      </c>
      <c r="J8286" t="n">
        <v>0</v>
      </c>
      <c r="K8286" t="n">
        <v>0</v>
      </c>
      <c r="L8286" t="n">
        <v>0</v>
      </c>
      <c r="M8286" t="n">
        <v>0</v>
      </c>
      <c r="N8286" t="n">
        <v>0</v>
      </c>
      <c r="O8286" t="n">
        <v>0</v>
      </c>
      <c r="P8286" t="n">
        <v>0</v>
      </c>
      <c r="Q8286" t="n">
        <v>0</v>
      </c>
      <c r="R8286" t="n">
        <v>0</v>
      </c>
      <c r="S8286" t="n">
        <v>0</v>
      </c>
      <c r="T8286" t="n">
        <v>0</v>
      </c>
      <c r="U8286" t="n">
        <v>0</v>
      </c>
      <c r="V8286" s="2" t="inlineStr"/>
    </row>
    <row r="8287" ht="15" customHeight="1">
      <c r="A8287" t="inlineStr">
        <is>
          <t>A 62398-2023</t>
        </is>
      </c>
      <c r="B8287" t="inlineStr">
        <is>
          <t>avverkningsanmälan</t>
        </is>
      </c>
      <c r="C8287" t="inlineStr">
        <is>
          <t>Föryngringsavverkning</t>
        </is>
      </c>
      <c r="D8287" s="1" t="n">
        <v>45268</v>
      </c>
      <c r="E8287" s="1" t="n">
        <v>46319</v>
      </c>
      <c r="F8287" t="inlineStr">
        <is>
          <t>DALARNAS LÄN</t>
        </is>
      </c>
      <c r="G8287" t="inlineStr">
        <is>
          <t>HEDEMORA</t>
        </is>
      </c>
      <c r="I8287" t="n">
        <v>2.1</v>
      </c>
      <c r="J8287" t="n">
        <v>0</v>
      </c>
      <c r="K8287" t="n">
        <v>0</v>
      </c>
      <c r="L8287" t="n">
        <v>0</v>
      </c>
      <c r="M8287" t="n">
        <v>0</v>
      </c>
      <c r="N8287" t="n">
        <v>0</v>
      </c>
      <c r="O8287" t="n">
        <v>0</v>
      </c>
      <c r="P8287" t="n">
        <v>0</v>
      </c>
      <c r="Q8287" t="n">
        <v>0</v>
      </c>
      <c r="R8287" t="n">
        <v>0</v>
      </c>
      <c r="S8287" t="n">
        <v>0</v>
      </c>
      <c r="T8287" t="n">
        <v>0</v>
      </c>
      <c r="U8287" t="n">
        <v>0</v>
      </c>
      <c r="V8287" s="2" t="inlineStr"/>
    </row>
    <row r="8288" ht="15" customHeight="1">
      <c r="A8288" t="inlineStr">
        <is>
          <t>A 59347-2024</t>
        </is>
      </c>
      <c r="B8288" t="inlineStr">
        <is>
          <t>avverkningsanmälan</t>
        </is>
      </c>
      <c r="C8288" t="inlineStr">
        <is>
          <t>Föryngringsavverkning</t>
        </is>
      </c>
      <c r="D8288" s="1" t="n">
        <v>45638</v>
      </c>
      <c r="E8288" s="1" t="n">
        <v>46319</v>
      </c>
      <c r="F8288" t="inlineStr">
        <is>
          <t>DALARNAS LÄN</t>
        </is>
      </c>
      <c r="G8288" t="inlineStr">
        <is>
          <t>LUDVIKA</t>
        </is>
      </c>
      <c r="I8288" t="n">
        <v>1</v>
      </c>
      <c r="J8288" t="n">
        <v>0</v>
      </c>
      <c r="K8288" t="n">
        <v>0</v>
      </c>
      <c r="L8288" t="n">
        <v>0</v>
      </c>
      <c r="M8288" t="n">
        <v>0</v>
      </c>
      <c r="N8288" t="n">
        <v>0</v>
      </c>
      <c r="O8288" t="n">
        <v>0</v>
      </c>
      <c r="P8288" t="n">
        <v>0</v>
      </c>
      <c r="Q8288" t="n">
        <v>0</v>
      </c>
      <c r="R8288" t="n">
        <v>0</v>
      </c>
      <c r="S8288" t="n">
        <v>0</v>
      </c>
      <c r="T8288" t="n">
        <v>0</v>
      </c>
      <c r="U8288" t="n">
        <v>0</v>
      </c>
      <c r="V8288" s="2" t="inlineStr"/>
    </row>
    <row r="8289" ht="15" customHeight="1">
      <c r="A8289" t="inlineStr">
        <is>
          <t>A 59357-2024</t>
        </is>
      </c>
      <c r="B8289" t="inlineStr">
        <is>
          <t>avverkningsanmälan</t>
        </is>
      </c>
      <c r="C8289" t="inlineStr">
        <is>
          <t>Föryngringsavverkning</t>
        </is>
      </c>
      <c r="D8289" s="1" t="n">
        <v>45638</v>
      </c>
      <c r="E8289" s="1" t="n">
        <v>46319</v>
      </c>
      <c r="F8289" t="inlineStr">
        <is>
          <t>DALARNAS LÄN</t>
        </is>
      </c>
      <c r="G8289" t="inlineStr">
        <is>
          <t>MALUNG-SÄLEN</t>
        </is>
      </c>
      <c r="I8289" t="n">
        <v>1.3</v>
      </c>
      <c r="J8289" t="n">
        <v>0</v>
      </c>
      <c r="K8289" t="n">
        <v>0</v>
      </c>
      <c r="L8289" t="n">
        <v>0</v>
      </c>
      <c r="M8289" t="n">
        <v>0</v>
      </c>
      <c r="N8289" t="n">
        <v>0</v>
      </c>
      <c r="O8289" t="n">
        <v>0</v>
      </c>
      <c r="P8289" t="n">
        <v>0</v>
      </c>
      <c r="Q8289" t="n">
        <v>0</v>
      </c>
      <c r="R8289" t="n">
        <v>0</v>
      </c>
      <c r="S8289" t="n">
        <v>0</v>
      </c>
      <c r="T8289" t="n">
        <v>0</v>
      </c>
      <c r="U8289" t="n">
        <v>0</v>
      </c>
      <c r="V8289" s="2" t="inlineStr"/>
    </row>
    <row r="8290" ht="15" customHeight="1">
      <c r="A8290" t="inlineStr">
        <is>
          <t>A 60843-2024</t>
        </is>
      </c>
      <c r="B8290" t="inlineStr">
        <is>
          <t>avverkningsanmälan</t>
        </is>
      </c>
      <c r="C8290" t="inlineStr">
        <is>
          <t>Föryngringsavverkning</t>
        </is>
      </c>
      <c r="D8290" s="1" t="n">
        <v>45644</v>
      </c>
      <c r="E8290" s="1" t="n">
        <v>46319</v>
      </c>
      <c r="F8290" t="inlineStr">
        <is>
          <t>DALARNAS LÄN</t>
        </is>
      </c>
      <c r="G8290" t="inlineStr">
        <is>
          <t>LUDVIKA</t>
        </is>
      </c>
      <c r="H8290" t="inlineStr">
        <is>
          <t>Bergvik skog väst AB</t>
        </is>
      </c>
      <c r="I8290" t="n">
        <v>3.4</v>
      </c>
      <c r="J8290" t="n">
        <v>0</v>
      </c>
      <c r="K8290" t="n">
        <v>0</v>
      </c>
      <c r="L8290" t="n">
        <v>0</v>
      </c>
      <c r="M8290" t="n">
        <v>0</v>
      </c>
      <c r="N8290" t="n">
        <v>0</v>
      </c>
      <c r="O8290" t="n">
        <v>0</v>
      </c>
      <c r="P8290" t="n">
        <v>0</v>
      </c>
      <c r="Q8290" t="n">
        <v>0</v>
      </c>
      <c r="R8290" t="n">
        <v>0</v>
      </c>
      <c r="S8290" t="n">
        <v>0</v>
      </c>
      <c r="T8290" t="n">
        <v>0</v>
      </c>
      <c r="U8290" t="n">
        <v>0</v>
      </c>
      <c r="V8290" s="2" t="inlineStr"/>
    </row>
    <row r="8291" ht="15" customHeight="1">
      <c r="A8291" t="inlineStr">
        <is>
          <t>A 2147-2025</t>
        </is>
      </c>
      <c r="B8291" t="inlineStr">
        <is>
          <t>avverkningsanmälan</t>
        </is>
      </c>
      <c r="C8291" t="inlineStr">
        <is>
          <t>Föryngringsavverkning</t>
        </is>
      </c>
      <c r="D8291" s="1" t="n">
        <v>45672</v>
      </c>
      <c r="E8291" s="1" t="n">
        <v>46319</v>
      </c>
      <c r="F8291" t="inlineStr">
        <is>
          <t>DALARNAS LÄN</t>
        </is>
      </c>
      <c r="G8291" t="inlineStr">
        <is>
          <t>VANSBRO</t>
        </is>
      </c>
      <c r="I8291" t="n">
        <v>3.6</v>
      </c>
      <c r="J8291" t="n">
        <v>0</v>
      </c>
      <c r="K8291" t="n">
        <v>0</v>
      </c>
      <c r="L8291" t="n">
        <v>0</v>
      </c>
      <c r="M8291" t="n">
        <v>0</v>
      </c>
      <c r="N8291" t="n">
        <v>0</v>
      </c>
      <c r="O8291" t="n">
        <v>0</v>
      </c>
      <c r="P8291" t="n">
        <v>0</v>
      </c>
      <c r="Q8291" t="n">
        <v>0</v>
      </c>
      <c r="R8291" t="n">
        <v>0</v>
      </c>
      <c r="S8291" t="n">
        <v>0</v>
      </c>
      <c r="T8291" t="n">
        <v>0</v>
      </c>
      <c r="U8291" t="n">
        <v>0</v>
      </c>
      <c r="V8291" s="2" t="inlineStr"/>
    </row>
    <row r="8292" ht="15" customHeight="1">
      <c r="A8292" t="inlineStr">
        <is>
          <t>A 56523-2024</t>
        </is>
      </c>
      <c r="B8292" t="inlineStr">
        <is>
          <t>avverkningsanmälan</t>
        </is>
      </c>
      <c r="C8292" t="inlineStr">
        <is>
          <t>Föryngringsavverkning</t>
        </is>
      </c>
      <c r="D8292" s="1" t="n">
        <v>45625</v>
      </c>
      <c r="E8292" s="1" t="n">
        <v>46319</v>
      </c>
      <c r="F8292" t="inlineStr">
        <is>
          <t>DALARNAS LÄN</t>
        </is>
      </c>
      <c r="G8292" t="inlineStr">
        <is>
          <t>RÄTTVIK</t>
        </is>
      </c>
      <c r="H8292" t="inlineStr">
        <is>
          <t>Bergvik skog öst AB</t>
        </is>
      </c>
      <c r="I8292" t="n">
        <v>2.5</v>
      </c>
      <c r="J8292" t="n">
        <v>0</v>
      </c>
      <c r="K8292" t="n">
        <v>0</v>
      </c>
      <c r="L8292" t="n">
        <v>0</v>
      </c>
      <c r="M8292" t="n">
        <v>0</v>
      </c>
      <c r="N8292" t="n">
        <v>0</v>
      </c>
      <c r="O8292" t="n">
        <v>0</v>
      </c>
      <c r="P8292" t="n">
        <v>0</v>
      </c>
      <c r="Q8292" t="n">
        <v>0</v>
      </c>
      <c r="R8292" t="n">
        <v>0</v>
      </c>
      <c r="S8292" t="n">
        <v>0</v>
      </c>
      <c r="T8292" t="n">
        <v>0</v>
      </c>
      <c r="U8292" t="n">
        <v>0</v>
      </c>
      <c r="V8292" s="2" t="inlineStr"/>
    </row>
    <row r="8293" ht="15" customHeight="1">
      <c r="A8293" t="inlineStr">
        <is>
          <t>A 50524-2024</t>
        </is>
      </c>
      <c r="B8293" t="inlineStr">
        <is>
          <t>avverkningsanmälan</t>
        </is>
      </c>
      <c r="C8293" t="inlineStr">
        <is>
          <t>Föryngringsavverkning</t>
        </is>
      </c>
      <c r="D8293" s="1" t="n">
        <v>45600</v>
      </c>
      <c r="E8293" s="1" t="n">
        <v>46319</v>
      </c>
      <c r="F8293" t="inlineStr">
        <is>
          <t>DALARNAS LÄN</t>
        </is>
      </c>
      <c r="G8293" t="inlineStr">
        <is>
          <t>SMEDJEBACKEN</t>
        </is>
      </c>
      <c r="I8293" t="n">
        <v>0.7</v>
      </c>
      <c r="J8293" t="n">
        <v>0</v>
      </c>
      <c r="K8293" t="n">
        <v>0</v>
      </c>
      <c r="L8293" t="n">
        <v>0</v>
      </c>
      <c r="M8293" t="n">
        <v>0</v>
      </c>
      <c r="N8293" t="n">
        <v>0</v>
      </c>
      <c r="O8293" t="n">
        <v>0</v>
      </c>
      <c r="P8293" t="n">
        <v>0</v>
      </c>
      <c r="Q8293" t="n">
        <v>0</v>
      </c>
      <c r="R8293" t="n">
        <v>0</v>
      </c>
      <c r="S8293" t="n">
        <v>0</v>
      </c>
      <c r="T8293" t="n">
        <v>0</v>
      </c>
      <c r="U8293" t="n">
        <v>0</v>
      </c>
      <c r="V8293" s="2" t="inlineStr"/>
    </row>
    <row r="8294" ht="15" customHeight="1">
      <c r="A8294" t="inlineStr">
        <is>
          <t>A 43240-2024</t>
        </is>
      </c>
      <c r="B8294" t="inlineStr">
        <is>
          <t>avverkningsanmälan</t>
        </is>
      </c>
      <c r="C8294" t="inlineStr">
        <is>
          <t>Föryngringsavverkning</t>
        </is>
      </c>
      <c r="D8294" s="1" t="n">
        <v>45568</v>
      </c>
      <c r="E8294" s="1" t="n">
        <v>46319</v>
      </c>
      <c r="F8294" t="inlineStr">
        <is>
          <t>DALARNAS LÄN</t>
        </is>
      </c>
      <c r="G8294" t="inlineStr">
        <is>
          <t>LUDVIKA</t>
        </is>
      </c>
      <c r="I8294" t="n">
        <v>0.9</v>
      </c>
      <c r="J8294" t="n">
        <v>0</v>
      </c>
      <c r="K8294" t="n">
        <v>0</v>
      </c>
      <c r="L8294" t="n">
        <v>0</v>
      </c>
      <c r="M8294" t="n">
        <v>0</v>
      </c>
      <c r="N8294" t="n">
        <v>0</v>
      </c>
      <c r="O8294" t="n">
        <v>0</v>
      </c>
      <c r="P8294" t="n">
        <v>0</v>
      </c>
      <c r="Q8294" t="n">
        <v>0</v>
      </c>
      <c r="R8294" t="n">
        <v>0</v>
      </c>
      <c r="S8294" t="n">
        <v>0</v>
      </c>
      <c r="T8294" t="n">
        <v>0</v>
      </c>
      <c r="U8294" t="n">
        <v>0</v>
      </c>
      <c r="V8294" s="2" t="inlineStr"/>
    </row>
    <row r="8295" ht="15" customHeight="1">
      <c r="A8295" t="inlineStr">
        <is>
          <t>A 58835-2024</t>
        </is>
      </c>
      <c r="B8295" t="inlineStr">
        <is>
          <t>avverkningsanmälan</t>
        </is>
      </c>
      <c r="C8295" t="inlineStr">
        <is>
          <t>Föryngringsavverkning</t>
        </is>
      </c>
      <c r="D8295" s="1" t="n">
        <v>45636</v>
      </c>
      <c r="E8295" s="1" t="n">
        <v>46319</v>
      </c>
      <c r="F8295" t="inlineStr">
        <is>
          <t>DALARNAS LÄN</t>
        </is>
      </c>
      <c r="G8295" t="inlineStr">
        <is>
          <t>RÄTTVIK</t>
        </is>
      </c>
      <c r="I8295" t="n">
        <v>2.6</v>
      </c>
      <c r="J8295" t="n">
        <v>0</v>
      </c>
      <c r="K8295" t="n">
        <v>0</v>
      </c>
      <c r="L8295" t="n">
        <v>0</v>
      </c>
      <c r="M8295" t="n">
        <v>0</v>
      </c>
      <c r="N8295" t="n">
        <v>0</v>
      </c>
      <c r="O8295" t="n">
        <v>0</v>
      </c>
      <c r="P8295" t="n">
        <v>0</v>
      </c>
      <c r="Q8295" t="n">
        <v>0</v>
      </c>
      <c r="R8295" t="n">
        <v>0</v>
      </c>
      <c r="S8295" t="n">
        <v>0</v>
      </c>
      <c r="T8295" t="n">
        <v>0</v>
      </c>
      <c r="U8295" t="n">
        <v>0</v>
      </c>
      <c r="V8295" s="2" t="inlineStr"/>
    </row>
    <row r="8296" ht="15" customHeight="1">
      <c r="A8296" t="inlineStr">
        <is>
          <t>A 17165-2023</t>
        </is>
      </c>
      <c r="B8296" t="inlineStr">
        <is>
          <t>avverkningsanmälan</t>
        </is>
      </c>
      <c r="C8296" t="inlineStr">
        <is>
          <t>Föryngringsavverkning</t>
        </is>
      </c>
      <c r="D8296" s="1" t="n">
        <v>45034</v>
      </c>
      <c r="E8296" s="1" t="n">
        <v>46319</v>
      </c>
      <c r="F8296" t="inlineStr">
        <is>
          <t>DALARNAS LÄN</t>
        </is>
      </c>
      <c r="G8296" t="inlineStr">
        <is>
          <t>MALUNG-SÄLEN</t>
        </is>
      </c>
      <c r="I8296" t="n">
        <v>5.1</v>
      </c>
      <c r="J8296" t="n">
        <v>0</v>
      </c>
      <c r="K8296" t="n">
        <v>0</v>
      </c>
      <c r="L8296" t="n">
        <v>0</v>
      </c>
      <c r="M8296" t="n">
        <v>0</v>
      </c>
      <c r="N8296" t="n">
        <v>0</v>
      </c>
      <c r="O8296" t="n">
        <v>0</v>
      </c>
      <c r="P8296" t="n">
        <v>0</v>
      </c>
      <c r="Q8296" t="n">
        <v>0</v>
      </c>
      <c r="R8296" t="n">
        <v>0</v>
      </c>
      <c r="S8296" t="n">
        <v>0</v>
      </c>
      <c r="T8296" t="n">
        <v>0</v>
      </c>
      <c r="U8296" t="n">
        <v>0</v>
      </c>
      <c r="V8296" s="2" t="inlineStr"/>
    </row>
    <row r="8297" ht="15" customHeight="1">
      <c r="A8297" t="inlineStr">
        <is>
          <t>A 17167-2023</t>
        </is>
      </c>
      <c r="B8297" t="inlineStr">
        <is>
          <t>avverkningsanmälan</t>
        </is>
      </c>
      <c r="C8297" t="inlineStr">
        <is>
          <t>Föryngringsavverkning</t>
        </is>
      </c>
      <c r="D8297" s="1" t="n">
        <v>45034</v>
      </c>
      <c r="E8297" s="1" t="n">
        <v>46319</v>
      </c>
      <c r="F8297" t="inlineStr">
        <is>
          <t>DALARNAS LÄN</t>
        </is>
      </c>
      <c r="G8297" t="inlineStr">
        <is>
          <t>MALUNG-SÄLEN</t>
        </is>
      </c>
      <c r="I8297" t="n">
        <v>9.699999999999999</v>
      </c>
      <c r="J8297" t="n">
        <v>0</v>
      </c>
      <c r="K8297" t="n">
        <v>0</v>
      </c>
      <c r="L8297" t="n">
        <v>0</v>
      </c>
      <c r="M8297" t="n">
        <v>0</v>
      </c>
      <c r="N8297" t="n">
        <v>0</v>
      </c>
      <c r="O8297" t="n">
        <v>0</v>
      </c>
      <c r="P8297" t="n">
        <v>0</v>
      </c>
      <c r="Q8297" t="n">
        <v>0</v>
      </c>
      <c r="R8297" t="n">
        <v>0</v>
      </c>
      <c r="S8297" t="n">
        <v>0</v>
      </c>
      <c r="T8297" t="n">
        <v>0</v>
      </c>
      <c r="U8297" t="n">
        <v>0</v>
      </c>
      <c r="V8297" s="2" t="inlineStr"/>
    </row>
    <row r="8298" ht="15" customHeight="1">
      <c r="A8298" t="inlineStr">
        <is>
          <t>A 57423-2024</t>
        </is>
      </c>
      <c r="B8298" t="inlineStr">
        <is>
          <t>avverkningsanmälan</t>
        </is>
      </c>
      <c r="C8298" t="inlineStr">
        <is>
          <t>Föryngringsavverkning</t>
        </is>
      </c>
      <c r="D8298" s="1" t="n">
        <v>45629</v>
      </c>
      <c r="E8298" s="1" t="n">
        <v>46319</v>
      </c>
      <c r="F8298" t="inlineStr">
        <is>
          <t>DALARNAS LÄN</t>
        </is>
      </c>
      <c r="G8298" t="inlineStr">
        <is>
          <t>MALUNG-SÄLEN</t>
        </is>
      </c>
      <c r="I8298" t="n">
        <v>5</v>
      </c>
      <c r="J8298" t="n">
        <v>0</v>
      </c>
      <c r="K8298" t="n">
        <v>0</v>
      </c>
      <c r="L8298" t="n">
        <v>0</v>
      </c>
      <c r="M8298" t="n">
        <v>0</v>
      </c>
      <c r="N8298" t="n">
        <v>0</v>
      </c>
      <c r="O8298" t="n">
        <v>0</v>
      </c>
      <c r="P8298" t="n">
        <v>0</v>
      </c>
      <c r="Q8298" t="n">
        <v>0</v>
      </c>
      <c r="R8298" t="n">
        <v>0</v>
      </c>
      <c r="S8298" t="n">
        <v>0</v>
      </c>
      <c r="T8298" t="n">
        <v>0</v>
      </c>
      <c r="U8298" t="n">
        <v>0</v>
      </c>
      <c r="V8298" s="2" t="inlineStr"/>
    </row>
    <row r="8299" ht="15" customHeight="1">
      <c r="A8299" t="inlineStr">
        <is>
          <t>A 36900-2022</t>
        </is>
      </c>
      <c r="B8299" t="inlineStr">
        <is>
          <t>avverkningsanmälan</t>
        </is>
      </c>
      <c r="C8299" t="inlineStr">
        <is>
          <t>Föryngringsavverkning</t>
        </is>
      </c>
      <c r="D8299" s="1" t="n">
        <v>44805</v>
      </c>
      <c r="E8299" s="1" t="n">
        <v>46319</v>
      </c>
      <c r="F8299" t="inlineStr">
        <is>
          <t>DALARNAS LÄN</t>
        </is>
      </c>
      <c r="G8299" t="inlineStr">
        <is>
          <t>HEDEMORA</t>
        </is>
      </c>
      <c r="H8299" t="inlineStr">
        <is>
          <t>Sveaskog</t>
        </is>
      </c>
      <c r="I8299" t="n">
        <v>2.9</v>
      </c>
      <c r="J8299" t="n">
        <v>0</v>
      </c>
      <c r="K8299" t="n">
        <v>0</v>
      </c>
      <c r="L8299" t="n">
        <v>0</v>
      </c>
      <c r="M8299" t="n">
        <v>0</v>
      </c>
      <c r="N8299" t="n">
        <v>0</v>
      </c>
      <c r="O8299" t="n">
        <v>0</v>
      </c>
      <c r="P8299" t="n">
        <v>0</v>
      </c>
      <c r="Q8299" t="n">
        <v>0</v>
      </c>
      <c r="R8299" t="n">
        <v>0</v>
      </c>
      <c r="S8299" t="n">
        <v>0</v>
      </c>
      <c r="T8299" t="n">
        <v>0</v>
      </c>
      <c r="U8299" t="n">
        <v>0</v>
      </c>
      <c r="V8299" s="2" t="inlineStr"/>
    </row>
    <row r="8300" ht="15" customHeight="1">
      <c r="A8300" t="inlineStr">
        <is>
          <t>A 29713-2022</t>
        </is>
      </c>
      <c r="B8300" t="inlineStr">
        <is>
          <t>avverkningsanmälan</t>
        </is>
      </c>
      <c r="C8300" t="inlineStr">
        <is>
          <t>Föryngringsavverkning</t>
        </is>
      </c>
      <c r="D8300" s="1" t="n">
        <v>44755</v>
      </c>
      <c r="E8300" s="1" t="n">
        <v>46319</v>
      </c>
      <c r="F8300" t="inlineStr">
        <is>
          <t>DALARNAS LÄN</t>
        </is>
      </c>
      <c r="G8300" t="inlineStr">
        <is>
          <t>ÄLVDALEN</t>
        </is>
      </c>
      <c r="I8300" t="n">
        <v>2.8</v>
      </c>
      <c r="J8300" t="n">
        <v>0</v>
      </c>
      <c r="K8300" t="n">
        <v>0</v>
      </c>
      <c r="L8300" t="n">
        <v>0</v>
      </c>
      <c r="M8300" t="n">
        <v>0</v>
      </c>
      <c r="N8300" t="n">
        <v>0</v>
      </c>
      <c r="O8300" t="n">
        <v>0</v>
      </c>
      <c r="P8300" t="n">
        <v>0</v>
      </c>
      <c r="Q8300" t="n">
        <v>0</v>
      </c>
      <c r="R8300" t="n">
        <v>0</v>
      </c>
      <c r="S8300" t="n">
        <v>0</v>
      </c>
      <c r="T8300" t="n">
        <v>0</v>
      </c>
      <c r="U8300" t="n">
        <v>0</v>
      </c>
      <c r="V8300" s="2" t="inlineStr"/>
    </row>
    <row r="8301" ht="15" customHeight="1">
      <c r="A8301" t="inlineStr">
        <is>
          <t>A 28549-2022</t>
        </is>
      </c>
      <c r="B8301" t="inlineStr">
        <is>
          <t>avverkningsanmälan</t>
        </is>
      </c>
      <c r="C8301" t="inlineStr">
        <is>
          <t>Avverkning för annat ändamål</t>
        </is>
      </c>
      <c r="D8301" s="1" t="n">
        <v>44748</v>
      </c>
      <c r="E8301" s="1" t="n">
        <v>46319</v>
      </c>
      <c r="F8301" t="inlineStr">
        <is>
          <t>DALARNAS LÄN</t>
        </is>
      </c>
      <c r="G8301" t="inlineStr">
        <is>
          <t>SÄTER</t>
        </is>
      </c>
      <c r="H8301" t="inlineStr">
        <is>
          <t>Bergvik skog väst AB</t>
        </is>
      </c>
      <c r="I8301" t="n">
        <v>2.1</v>
      </c>
      <c r="J8301" t="n">
        <v>0</v>
      </c>
      <c r="K8301" t="n">
        <v>0</v>
      </c>
      <c r="L8301" t="n">
        <v>0</v>
      </c>
      <c r="M8301" t="n">
        <v>0</v>
      </c>
      <c r="N8301" t="n">
        <v>0</v>
      </c>
      <c r="O8301" t="n">
        <v>0</v>
      </c>
      <c r="P8301" t="n">
        <v>0</v>
      </c>
      <c r="Q8301" t="n">
        <v>0</v>
      </c>
      <c r="R8301" t="n">
        <v>0</v>
      </c>
      <c r="S8301" t="n">
        <v>0</v>
      </c>
      <c r="T8301" t="n">
        <v>0</v>
      </c>
      <c r="U8301" t="n">
        <v>0</v>
      </c>
      <c r="V8301" s="2" t="inlineStr"/>
    </row>
    <row r="8302" ht="15" customHeight="1">
      <c r="A8302" t="inlineStr">
        <is>
          <t>A 43533-2023</t>
        </is>
      </c>
      <c r="B8302" t="inlineStr">
        <is>
          <t>avverkningsanmälan</t>
        </is>
      </c>
      <c r="C8302" t="inlineStr">
        <is>
          <t>Föryngringsavverkning</t>
        </is>
      </c>
      <c r="D8302" s="1" t="n">
        <v>45184</v>
      </c>
      <c r="E8302" s="1" t="n">
        <v>46319</v>
      </c>
      <c r="F8302" t="inlineStr">
        <is>
          <t>DALARNAS LÄN</t>
        </is>
      </c>
      <c r="G8302" t="inlineStr">
        <is>
          <t>MORA</t>
        </is>
      </c>
      <c r="H8302" t="inlineStr">
        <is>
          <t>Bergvik skog väst AB</t>
        </is>
      </c>
      <c r="I8302" t="n">
        <v>10.3</v>
      </c>
      <c r="J8302" t="n">
        <v>0</v>
      </c>
      <c r="K8302" t="n">
        <v>0</v>
      </c>
      <c r="L8302" t="n">
        <v>0</v>
      </c>
      <c r="M8302" t="n">
        <v>0</v>
      </c>
      <c r="N8302" t="n">
        <v>0</v>
      </c>
      <c r="O8302" t="n">
        <v>0</v>
      </c>
      <c r="P8302" t="n">
        <v>0</v>
      </c>
      <c r="Q8302" t="n">
        <v>0</v>
      </c>
      <c r="R8302" t="n">
        <v>0</v>
      </c>
      <c r="S8302" t="n">
        <v>0</v>
      </c>
      <c r="T8302" t="n">
        <v>0</v>
      </c>
      <c r="U8302" t="n">
        <v>0</v>
      </c>
      <c r="V8302" s="2" t="inlineStr"/>
    </row>
    <row r="8303" ht="15" customHeight="1">
      <c r="A8303" t="inlineStr">
        <is>
          <t>A 28249-2023</t>
        </is>
      </c>
      <c r="B8303" t="inlineStr">
        <is>
          <t>avverkningsanmälan</t>
        </is>
      </c>
      <c r="C8303" t="inlineStr">
        <is>
          <t>Föryngringsavverkning</t>
        </is>
      </c>
      <c r="D8303" s="1" t="n">
        <v>45099</v>
      </c>
      <c r="E8303" s="1" t="n">
        <v>46319</v>
      </c>
      <c r="F8303" t="inlineStr">
        <is>
          <t>DALARNAS LÄN</t>
        </is>
      </c>
      <c r="G8303" t="inlineStr">
        <is>
          <t>FALUN</t>
        </is>
      </c>
      <c r="H8303" t="inlineStr">
        <is>
          <t>Bergvik skog väst AB</t>
        </is>
      </c>
      <c r="I8303" t="n">
        <v>0.9</v>
      </c>
      <c r="J8303" t="n">
        <v>0</v>
      </c>
      <c r="K8303" t="n">
        <v>0</v>
      </c>
      <c r="L8303" t="n">
        <v>0</v>
      </c>
      <c r="M8303" t="n">
        <v>0</v>
      </c>
      <c r="N8303" t="n">
        <v>0</v>
      </c>
      <c r="O8303" t="n">
        <v>0</v>
      </c>
      <c r="P8303" t="n">
        <v>0</v>
      </c>
      <c r="Q8303" t="n">
        <v>0</v>
      </c>
      <c r="R8303" t="n">
        <v>0</v>
      </c>
      <c r="S8303" t="n">
        <v>0</v>
      </c>
      <c r="T8303" t="n">
        <v>0</v>
      </c>
      <c r="U8303" t="n">
        <v>0</v>
      </c>
      <c r="V8303" s="2" t="inlineStr"/>
    </row>
    <row r="8304" ht="15" customHeight="1">
      <c r="A8304" t="inlineStr">
        <is>
          <t>A 30998-2022</t>
        </is>
      </c>
      <c r="B8304" t="inlineStr">
        <is>
          <t>avverkningsanmälan</t>
        </is>
      </c>
      <c r="C8304" t="inlineStr">
        <is>
          <t>Föryngringsavverkning</t>
        </is>
      </c>
      <c r="D8304" s="1" t="n">
        <v>44768</v>
      </c>
      <c r="E8304" s="1" t="n">
        <v>46319</v>
      </c>
      <c r="F8304" t="inlineStr">
        <is>
          <t>DALARNAS LÄN</t>
        </is>
      </c>
      <c r="G8304" t="inlineStr">
        <is>
          <t>MORA</t>
        </is>
      </c>
      <c r="I8304" t="n">
        <v>1.7</v>
      </c>
      <c r="J8304" t="n">
        <v>0</v>
      </c>
      <c r="K8304" t="n">
        <v>0</v>
      </c>
      <c r="L8304" t="n">
        <v>0</v>
      </c>
      <c r="M8304" t="n">
        <v>0</v>
      </c>
      <c r="N8304" t="n">
        <v>0</v>
      </c>
      <c r="O8304" t="n">
        <v>0</v>
      </c>
      <c r="P8304" t="n">
        <v>0</v>
      </c>
      <c r="Q8304" t="n">
        <v>0</v>
      </c>
      <c r="R8304" t="n">
        <v>0</v>
      </c>
      <c r="S8304" t="n">
        <v>0</v>
      </c>
      <c r="T8304" t="n">
        <v>0</v>
      </c>
      <c r="U8304" t="n">
        <v>0</v>
      </c>
      <c r="V8304" s="2" t="inlineStr"/>
    </row>
    <row r="8305" ht="15" customHeight="1">
      <c r="A8305" t="inlineStr">
        <is>
          <t>A 11740-2025</t>
        </is>
      </c>
      <c r="B8305" t="inlineStr">
        <is>
          <t>avverkningsanmälan</t>
        </is>
      </c>
      <c r="C8305" t="inlineStr">
        <is>
          <t>Avverkning för annat ändamål</t>
        </is>
      </c>
      <c r="D8305" s="1" t="n">
        <v>45727</v>
      </c>
      <c r="E8305" s="1" t="n">
        <v>46319</v>
      </c>
      <c r="F8305" t="inlineStr">
        <is>
          <t>DALARNAS LÄN</t>
        </is>
      </c>
      <c r="G8305" t="inlineStr">
        <is>
          <t>LEKSAND</t>
        </is>
      </c>
      <c r="H8305" t="inlineStr">
        <is>
          <t>Övriga Aktiebolag</t>
        </is>
      </c>
      <c r="I8305" t="n">
        <v>1.3</v>
      </c>
      <c r="J8305" t="n">
        <v>0</v>
      </c>
      <c r="K8305" t="n">
        <v>0</v>
      </c>
      <c r="L8305" t="n">
        <v>0</v>
      </c>
      <c r="M8305" t="n">
        <v>0</v>
      </c>
      <c r="N8305" t="n">
        <v>0</v>
      </c>
      <c r="O8305" t="n">
        <v>0</v>
      </c>
      <c r="P8305" t="n">
        <v>0</v>
      </c>
      <c r="Q8305" t="n">
        <v>0</v>
      </c>
      <c r="R8305" t="n">
        <v>0</v>
      </c>
      <c r="S8305" t="n">
        <v>0</v>
      </c>
      <c r="T8305" t="n">
        <v>0</v>
      </c>
      <c r="U8305" t="n">
        <v>0</v>
      </c>
      <c r="V8305" s="2" t="inlineStr"/>
    </row>
    <row r="8306" ht="15" customHeight="1">
      <c r="A8306" t="inlineStr">
        <is>
          <t>A 61377-2021</t>
        </is>
      </c>
      <c r="B8306" t="inlineStr">
        <is>
          <t>avverkningsanmälan</t>
        </is>
      </c>
      <c r="C8306" t="inlineStr">
        <is>
          <t>Föryngringsavverkning</t>
        </is>
      </c>
      <c r="D8306" s="1" t="n">
        <v>44500</v>
      </c>
      <c r="E8306" s="1" t="n">
        <v>46319</v>
      </c>
      <c r="F8306" t="inlineStr">
        <is>
          <t>DALARNAS LÄN</t>
        </is>
      </c>
      <c r="G8306" t="inlineStr">
        <is>
          <t>FALUN</t>
        </is>
      </c>
      <c r="H8306" t="inlineStr">
        <is>
          <t>Bergvik skog väst AB</t>
        </is>
      </c>
      <c r="I8306" t="n">
        <v>1.3</v>
      </c>
      <c r="J8306" t="n">
        <v>0</v>
      </c>
      <c r="K8306" t="n">
        <v>0</v>
      </c>
      <c r="L8306" t="n">
        <v>0</v>
      </c>
      <c r="M8306" t="n">
        <v>0</v>
      </c>
      <c r="N8306" t="n">
        <v>0</v>
      </c>
      <c r="O8306" t="n">
        <v>0</v>
      </c>
      <c r="P8306" t="n">
        <v>0</v>
      </c>
      <c r="Q8306" t="n">
        <v>0</v>
      </c>
      <c r="R8306" t="n">
        <v>0</v>
      </c>
      <c r="S8306" t="n">
        <v>0</v>
      </c>
      <c r="T8306" t="n">
        <v>0</v>
      </c>
      <c r="U8306" t="n">
        <v>0</v>
      </c>
      <c r="V8306" s="2" t="inlineStr"/>
    </row>
    <row r="8307" ht="15" customHeight="1">
      <c r="A8307" t="inlineStr">
        <is>
          <t>A 627-2025</t>
        </is>
      </c>
      <c r="B8307" t="inlineStr">
        <is>
          <t>avverkningsanmälan</t>
        </is>
      </c>
      <c r="C8307" t="inlineStr">
        <is>
          <t>Föryngringsavverkning</t>
        </is>
      </c>
      <c r="D8307" s="1" t="n">
        <v>45660</v>
      </c>
      <c r="E8307" s="1" t="n">
        <v>46319</v>
      </c>
      <c r="F8307" t="inlineStr">
        <is>
          <t>DALARNAS LÄN</t>
        </is>
      </c>
      <c r="G8307" t="inlineStr">
        <is>
          <t>ÄLVDALEN</t>
        </is>
      </c>
      <c r="H8307" t="inlineStr">
        <is>
          <t>Allmännings- och besparingsskogar</t>
        </is>
      </c>
      <c r="I8307" t="n">
        <v>0.9</v>
      </c>
      <c r="J8307" t="n">
        <v>0</v>
      </c>
      <c r="K8307" t="n">
        <v>0</v>
      </c>
      <c r="L8307" t="n">
        <v>0</v>
      </c>
      <c r="M8307" t="n">
        <v>0</v>
      </c>
      <c r="N8307" t="n">
        <v>0</v>
      </c>
      <c r="O8307" t="n">
        <v>0</v>
      </c>
      <c r="P8307" t="n">
        <v>0</v>
      </c>
      <c r="Q8307" t="n">
        <v>0</v>
      </c>
      <c r="R8307" t="n">
        <v>0</v>
      </c>
      <c r="S8307" t="n">
        <v>0</v>
      </c>
      <c r="T8307" t="n">
        <v>0</v>
      </c>
      <c r="U8307" t="n">
        <v>0</v>
      </c>
      <c r="V8307" s="2" t="inlineStr"/>
    </row>
    <row r="8308" ht="15" customHeight="1">
      <c r="A8308" t="inlineStr">
        <is>
          <t>A 59643-2024</t>
        </is>
      </c>
      <c r="B8308" t="inlineStr">
        <is>
          <t>avverkningsanmälan</t>
        </is>
      </c>
      <c r="C8308" t="inlineStr">
        <is>
          <t>Föryngringsavverkning</t>
        </is>
      </c>
      <c r="D8308" s="1" t="n">
        <v>45639</v>
      </c>
      <c r="E8308" s="1" t="n">
        <v>46319</v>
      </c>
      <c r="F8308" t="inlineStr">
        <is>
          <t>DALARNAS LÄN</t>
        </is>
      </c>
      <c r="G8308" t="inlineStr">
        <is>
          <t>MALUNG-SÄLEN</t>
        </is>
      </c>
      <c r="I8308" t="n">
        <v>0.7</v>
      </c>
      <c r="J8308" t="n">
        <v>0</v>
      </c>
      <c r="K8308" t="n">
        <v>0</v>
      </c>
      <c r="L8308" t="n">
        <v>0</v>
      </c>
      <c r="M8308" t="n">
        <v>0</v>
      </c>
      <c r="N8308" t="n">
        <v>0</v>
      </c>
      <c r="O8308" t="n">
        <v>0</v>
      </c>
      <c r="P8308" t="n">
        <v>0</v>
      </c>
      <c r="Q8308" t="n">
        <v>0</v>
      </c>
      <c r="R8308" t="n">
        <v>0</v>
      </c>
      <c r="S8308" t="n">
        <v>0</v>
      </c>
      <c r="T8308" t="n">
        <v>0</v>
      </c>
      <c r="U8308" t="n">
        <v>0</v>
      </c>
      <c r="V8308" s="2" t="inlineStr"/>
    </row>
    <row r="8309" ht="15" customHeight="1">
      <c r="A8309" t="inlineStr">
        <is>
          <t>A 43238-2024</t>
        </is>
      </c>
      <c r="B8309" t="inlineStr">
        <is>
          <t>avverkningsanmälan</t>
        </is>
      </c>
      <c r="C8309" t="inlineStr">
        <is>
          <t>Föryngringsavverkning</t>
        </is>
      </c>
      <c r="D8309" s="1" t="n">
        <v>45567</v>
      </c>
      <c r="E8309" s="1" t="n">
        <v>46319</v>
      </c>
      <c r="F8309" t="inlineStr">
        <is>
          <t>DALARNAS LÄN</t>
        </is>
      </c>
      <c r="G8309" t="inlineStr">
        <is>
          <t>FALUN</t>
        </is>
      </c>
      <c r="I8309" t="n">
        <v>2.2</v>
      </c>
      <c r="J8309" t="n">
        <v>0</v>
      </c>
      <c r="K8309" t="n">
        <v>0</v>
      </c>
      <c r="L8309" t="n">
        <v>0</v>
      </c>
      <c r="M8309" t="n">
        <v>0</v>
      </c>
      <c r="N8309" t="n">
        <v>0</v>
      </c>
      <c r="O8309" t="n">
        <v>0</v>
      </c>
      <c r="P8309" t="n">
        <v>0</v>
      </c>
      <c r="Q8309" t="n">
        <v>0</v>
      </c>
      <c r="R8309" t="n">
        <v>0</v>
      </c>
      <c r="S8309" t="n">
        <v>0</v>
      </c>
      <c r="T8309" t="n">
        <v>0</v>
      </c>
      <c r="U8309" t="n">
        <v>0</v>
      </c>
      <c r="V8309" s="2" t="inlineStr"/>
    </row>
    <row r="8310" ht="15" customHeight="1">
      <c r="A8310" t="inlineStr">
        <is>
          <t>A 10817-2025</t>
        </is>
      </c>
      <c r="B8310" t="inlineStr">
        <is>
          <t>avverkningsanmälan</t>
        </is>
      </c>
      <c r="C8310" t="inlineStr">
        <is>
          <t>Föryngringsavverkning</t>
        </is>
      </c>
      <c r="D8310" s="1" t="n">
        <v>45722</v>
      </c>
      <c r="E8310" s="1" t="n">
        <v>46319</v>
      </c>
      <c r="F8310" t="inlineStr">
        <is>
          <t>DALARNAS LÄN</t>
        </is>
      </c>
      <c r="G8310" t="inlineStr">
        <is>
          <t>ÄLVDALEN</t>
        </is>
      </c>
      <c r="H8310" t="inlineStr">
        <is>
          <t>Kommuner</t>
        </is>
      </c>
      <c r="I8310" t="n">
        <v>0.7</v>
      </c>
      <c r="J8310" t="n">
        <v>0</v>
      </c>
      <c r="K8310" t="n">
        <v>0</v>
      </c>
      <c r="L8310" t="n">
        <v>0</v>
      </c>
      <c r="M8310" t="n">
        <v>0</v>
      </c>
      <c r="N8310" t="n">
        <v>0</v>
      </c>
      <c r="O8310" t="n">
        <v>0</v>
      </c>
      <c r="P8310" t="n">
        <v>0</v>
      </c>
      <c r="Q8310" t="n">
        <v>0</v>
      </c>
      <c r="R8310" t="n">
        <v>0</v>
      </c>
      <c r="S8310" t="n">
        <v>0</v>
      </c>
      <c r="T8310" t="n">
        <v>0</v>
      </c>
      <c r="U8310" t="n">
        <v>0</v>
      </c>
      <c r="V8310" s="2" t="inlineStr"/>
    </row>
    <row r="8311" ht="15" customHeight="1">
      <c r="A8311" t="inlineStr">
        <is>
          <t>A 10831-2025</t>
        </is>
      </c>
      <c r="B8311" t="inlineStr">
        <is>
          <t>avverkningsanmälan</t>
        </is>
      </c>
      <c r="C8311" t="inlineStr">
        <is>
          <t>Föryngringsavverkning</t>
        </is>
      </c>
      <c r="D8311" s="1" t="n">
        <v>45722</v>
      </c>
      <c r="E8311" s="1" t="n">
        <v>46319</v>
      </c>
      <c r="F8311" t="inlineStr">
        <is>
          <t>DALARNAS LÄN</t>
        </is>
      </c>
      <c r="G8311" t="inlineStr">
        <is>
          <t>ÄLVDALEN</t>
        </is>
      </c>
      <c r="H8311" t="inlineStr">
        <is>
          <t>Kommuner</t>
        </is>
      </c>
      <c r="I8311" t="n">
        <v>0.5</v>
      </c>
      <c r="J8311" t="n">
        <v>0</v>
      </c>
      <c r="K8311" t="n">
        <v>0</v>
      </c>
      <c r="L8311" t="n">
        <v>0</v>
      </c>
      <c r="M8311" t="n">
        <v>0</v>
      </c>
      <c r="N8311" t="n">
        <v>0</v>
      </c>
      <c r="O8311" t="n">
        <v>0</v>
      </c>
      <c r="P8311" t="n">
        <v>0</v>
      </c>
      <c r="Q8311" t="n">
        <v>0</v>
      </c>
      <c r="R8311" t="n">
        <v>0</v>
      </c>
      <c r="S8311" t="n">
        <v>0</v>
      </c>
      <c r="T8311" t="n">
        <v>0</v>
      </c>
      <c r="U8311" t="n">
        <v>0</v>
      </c>
      <c r="V8311" s="2" t="inlineStr"/>
    </row>
    <row r="8312" ht="15" customHeight="1">
      <c r="A8312" t="inlineStr">
        <is>
          <t>A 11589-2025</t>
        </is>
      </c>
      <c r="B8312" t="inlineStr">
        <is>
          <t>avverkningsanmälan</t>
        </is>
      </c>
      <c r="C8312" t="inlineStr">
        <is>
          <t>Föryngringsavverkning</t>
        </is>
      </c>
      <c r="D8312" s="1" t="n">
        <v>45727</v>
      </c>
      <c r="E8312" s="1" t="n">
        <v>46319</v>
      </c>
      <c r="F8312" t="inlineStr">
        <is>
          <t>DALARNAS LÄN</t>
        </is>
      </c>
      <c r="G8312" t="inlineStr">
        <is>
          <t>MALUNG-SÄLEN</t>
        </is>
      </c>
      <c r="I8312" t="n">
        <v>1.1</v>
      </c>
      <c r="J8312" t="n">
        <v>0</v>
      </c>
      <c r="K8312" t="n">
        <v>0</v>
      </c>
      <c r="L8312" t="n">
        <v>0</v>
      </c>
      <c r="M8312" t="n">
        <v>0</v>
      </c>
      <c r="N8312" t="n">
        <v>0</v>
      </c>
      <c r="O8312" t="n">
        <v>0</v>
      </c>
      <c r="P8312" t="n">
        <v>0</v>
      </c>
      <c r="Q8312" t="n">
        <v>0</v>
      </c>
      <c r="R8312" t="n">
        <v>0</v>
      </c>
      <c r="S8312" t="n">
        <v>0</v>
      </c>
      <c r="T8312" t="n">
        <v>0</v>
      </c>
      <c r="U8312" t="n">
        <v>0</v>
      </c>
      <c r="V8312" s="2" t="inlineStr"/>
    </row>
    <row r="8313" ht="15" customHeight="1">
      <c r="A8313" t="inlineStr">
        <is>
          <t>A 53643-2024</t>
        </is>
      </c>
      <c r="B8313" t="inlineStr">
        <is>
          <t>avverkningsanmälan</t>
        </is>
      </c>
      <c r="C8313" t="inlineStr">
        <is>
          <t>Föryngringsavverkning</t>
        </is>
      </c>
      <c r="D8313" s="1" t="n">
        <v>45614</v>
      </c>
      <c r="E8313" s="1" t="n">
        <v>46319</v>
      </c>
      <c r="F8313" t="inlineStr">
        <is>
          <t>DALARNAS LÄN</t>
        </is>
      </c>
      <c r="G8313" t="inlineStr">
        <is>
          <t>FALUN</t>
        </is>
      </c>
      <c r="I8313" t="n">
        <v>1</v>
      </c>
      <c r="J8313" t="n">
        <v>0</v>
      </c>
      <c r="K8313" t="n">
        <v>0</v>
      </c>
      <c r="L8313" t="n">
        <v>0</v>
      </c>
      <c r="M8313" t="n">
        <v>0</v>
      </c>
      <c r="N8313" t="n">
        <v>0</v>
      </c>
      <c r="O8313" t="n">
        <v>0</v>
      </c>
      <c r="P8313" t="n">
        <v>0</v>
      </c>
      <c r="Q8313" t="n">
        <v>0</v>
      </c>
      <c r="R8313" t="n">
        <v>0</v>
      </c>
      <c r="S8313" t="n">
        <v>0</v>
      </c>
      <c r="T8313" t="n">
        <v>0</v>
      </c>
      <c r="U8313" t="n">
        <v>0</v>
      </c>
      <c r="V8313" s="2" t="inlineStr"/>
    </row>
    <row r="8314" ht="15" customHeight="1">
      <c r="A8314" t="inlineStr">
        <is>
          <t>A 53666-2024</t>
        </is>
      </c>
      <c r="B8314" t="inlineStr">
        <is>
          <t>avverkningsanmälan</t>
        </is>
      </c>
      <c r="C8314" t="inlineStr">
        <is>
          <t>Föryngringsavverkning</t>
        </is>
      </c>
      <c r="D8314" s="1" t="n">
        <v>45615</v>
      </c>
      <c r="E8314" s="1" t="n">
        <v>46319</v>
      </c>
      <c r="F8314" t="inlineStr">
        <is>
          <t>DALARNAS LÄN</t>
        </is>
      </c>
      <c r="G8314" t="inlineStr">
        <is>
          <t>RÄTTVIK</t>
        </is>
      </c>
      <c r="I8314" t="n">
        <v>9.5</v>
      </c>
      <c r="J8314" t="n">
        <v>0</v>
      </c>
      <c r="K8314" t="n">
        <v>0</v>
      </c>
      <c r="L8314" t="n">
        <v>0</v>
      </c>
      <c r="M8314" t="n">
        <v>0</v>
      </c>
      <c r="N8314" t="n">
        <v>0</v>
      </c>
      <c r="O8314" t="n">
        <v>0</v>
      </c>
      <c r="P8314" t="n">
        <v>0</v>
      </c>
      <c r="Q8314" t="n">
        <v>0</v>
      </c>
      <c r="R8314" t="n">
        <v>0</v>
      </c>
      <c r="S8314" t="n">
        <v>0</v>
      </c>
      <c r="T8314" t="n">
        <v>0</v>
      </c>
      <c r="U8314" t="n">
        <v>0</v>
      </c>
      <c r="V8314" s="2" t="inlineStr"/>
    </row>
    <row r="8315" ht="15" customHeight="1">
      <c r="A8315" t="inlineStr">
        <is>
          <t>A 13339-2023</t>
        </is>
      </c>
      <c r="B8315" t="inlineStr">
        <is>
          <t>avverkningsanmälan</t>
        </is>
      </c>
      <c r="C8315" t="inlineStr">
        <is>
          <t>Föryngringsavverkning</t>
        </is>
      </c>
      <c r="D8315" s="1" t="n">
        <v>45005</v>
      </c>
      <c r="E8315" s="1" t="n">
        <v>46319</v>
      </c>
      <c r="F8315" t="inlineStr">
        <is>
          <t>DALARNAS LÄN</t>
        </is>
      </c>
      <c r="G8315" t="inlineStr">
        <is>
          <t>SÄTER</t>
        </is>
      </c>
      <c r="I8315" t="n">
        <v>8.6</v>
      </c>
      <c r="J8315" t="n">
        <v>0</v>
      </c>
      <c r="K8315" t="n">
        <v>0</v>
      </c>
      <c r="L8315" t="n">
        <v>0</v>
      </c>
      <c r="M8315" t="n">
        <v>0</v>
      </c>
      <c r="N8315" t="n">
        <v>0</v>
      </c>
      <c r="O8315" t="n">
        <v>0</v>
      </c>
      <c r="P8315" t="n">
        <v>0</v>
      </c>
      <c r="Q8315" t="n">
        <v>0</v>
      </c>
      <c r="R8315" t="n">
        <v>0</v>
      </c>
      <c r="S8315" t="n">
        <v>0</v>
      </c>
      <c r="T8315" t="n">
        <v>0</v>
      </c>
      <c r="U8315" t="n">
        <v>0</v>
      </c>
      <c r="V8315" s="2" t="inlineStr"/>
    </row>
    <row r="8316" ht="15" customHeight="1">
      <c r="A8316" t="inlineStr">
        <is>
          <t>A 7916-2023</t>
        </is>
      </c>
      <c r="B8316" t="inlineStr">
        <is>
          <t>avverkningsanmälan</t>
        </is>
      </c>
      <c r="C8316" t="inlineStr">
        <is>
          <t>Avverkning för annat ändamål</t>
        </is>
      </c>
      <c r="D8316" s="1" t="n">
        <v>44973</v>
      </c>
      <c r="E8316" s="1" t="n">
        <v>46319</v>
      </c>
      <c r="F8316" t="inlineStr">
        <is>
          <t>DALARNAS LÄN</t>
        </is>
      </c>
      <c r="G8316" t="inlineStr">
        <is>
          <t>FALUN</t>
        </is>
      </c>
      <c r="I8316" t="n">
        <v>22.8</v>
      </c>
      <c r="J8316" t="n">
        <v>0</v>
      </c>
      <c r="K8316" t="n">
        <v>0</v>
      </c>
      <c r="L8316" t="n">
        <v>0</v>
      </c>
      <c r="M8316" t="n">
        <v>0</v>
      </c>
      <c r="N8316" t="n">
        <v>0</v>
      </c>
      <c r="O8316" t="n">
        <v>0</v>
      </c>
      <c r="P8316" t="n">
        <v>0</v>
      </c>
      <c r="Q8316" t="n">
        <v>0</v>
      </c>
      <c r="R8316" t="n">
        <v>0</v>
      </c>
      <c r="S8316" t="n">
        <v>0</v>
      </c>
      <c r="T8316" t="n">
        <v>0</v>
      </c>
      <c r="U8316" t="n">
        <v>0</v>
      </c>
      <c r="V8316" s="2" t="inlineStr"/>
    </row>
    <row r="8317" ht="15" customHeight="1">
      <c r="A8317" t="inlineStr">
        <is>
          <t>A 359-2025</t>
        </is>
      </c>
      <c r="B8317" t="inlineStr">
        <is>
          <t>avverkningsanmälan</t>
        </is>
      </c>
      <c r="C8317" t="inlineStr">
        <is>
          <t>Föryngringsavverkning</t>
        </is>
      </c>
      <c r="D8317" s="1" t="n">
        <v>45659</v>
      </c>
      <c r="E8317" s="1" t="n">
        <v>46319</v>
      </c>
      <c r="F8317" t="inlineStr">
        <is>
          <t>DALARNAS LÄN</t>
        </is>
      </c>
      <c r="G8317" t="inlineStr">
        <is>
          <t>RÄTTVIK</t>
        </is>
      </c>
      <c r="I8317" t="n">
        <v>0.7</v>
      </c>
      <c r="J8317" t="n">
        <v>0</v>
      </c>
      <c r="K8317" t="n">
        <v>0</v>
      </c>
      <c r="L8317" t="n">
        <v>0</v>
      </c>
      <c r="M8317" t="n">
        <v>0</v>
      </c>
      <c r="N8317" t="n">
        <v>0</v>
      </c>
      <c r="O8317" t="n">
        <v>0</v>
      </c>
      <c r="P8317" t="n">
        <v>0</v>
      </c>
      <c r="Q8317" t="n">
        <v>0</v>
      </c>
      <c r="R8317" t="n">
        <v>0</v>
      </c>
      <c r="S8317" t="n">
        <v>0</v>
      </c>
      <c r="T8317" t="n">
        <v>0</v>
      </c>
      <c r="U8317" t="n">
        <v>0</v>
      </c>
      <c r="V8317" s="2" t="inlineStr"/>
    </row>
    <row r="8318" ht="15" customHeight="1">
      <c r="A8318" t="inlineStr">
        <is>
          <t>A 51608-2024</t>
        </is>
      </c>
      <c r="B8318" t="inlineStr">
        <is>
          <t>avverkningsanmälan</t>
        </is>
      </c>
      <c r="C8318" t="inlineStr">
        <is>
          <t>Föryngringsavverkning</t>
        </is>
      </c>
      <c r="D8318" s="1" t="n">
        <v>45604</v>
      </c>
      <c r="E8318" s="1" t="n">
        <v>46319</v>
      </c>
      <c r="F8318" t="inlineStr">
        <is>
          <t>DALARNAS LÄN</t>
        </is>
      </c>
      <c r="G8318" t="inlineStr">
        <is>
          <t>FALUN</t>
        </is>
      </c>
      <c r="H8318" t="inlineStr">
        <is>
          <t>Bergvik skog väst AB</t>
        </is>
      </c>
      <c r="I8318" t="n">
        <v>3</v>
      </c>
      <c r="J8318" t="n">
        <v>0</v>
      </c>
      <c r="K8318" t="n">
        <v>0</v>
      </c>
      <c r="L8318" t="n">
        <v>0</v>
      </c>
      <c r="M8318" t="n">
        <v>0</v>
      </c>
      <c r="N8318" t="n">
        <v>0</v>
      </c>
      <c r="O8318" t="n">
        <v>0</v>
      </c>
      <c r="P8318" t="n">
        <v>0</v>
      </c>
      <c r="Q8318" t="n">
        <v>0</v>
      </c>
      <c r="R8318" t="n">
        <v>0</v>
      </c>
      <c r="S8318" t="n">
        <v>0</v>
      </c>
      <c r="T8318" t="n">
        <v>0</v>
      </c>
      <c r="U8318" t="n">
        <v>0</v>
      </c>
      <c r="V8318" s="2" t="inlineStr"/>
    </row>
    <row r="8319" ht="15" customHeight="1">
      <c r="A8319" t="inlineStr">
        <is>
          <t>A 31788-2022</t>
        </is>
      </c>
      <c r="B8319" t="inlineStr">
        <is>
          <t>avverkningsanmälan</t>
        </is>
      </c>
      <c r="C8319" t="inlineStr">
        <is>
          <t>Föryngringsavverkning</t>
        </is>
      </c>
      <c r="D8319" s="1" t="n">
        <v>44776</v>
      </c>
      <c r="E8319" s="1" t="n">
        <v>46319</v>
      </c>
      <c r="F8319" t="inlineStr">
        <is>
          <t>DALARNAS LÄN</t>
        </is>
      </c>
      <c r="G8319" t="inlineStr">
        <is>
          <t>SMEDJEBACKEN</t>
        </is>
      </c>
      <c r="H8319" t="inlineStr">
        <is>
          <t>Bergvik skog väst AB</t>
        </is>
      </c>
      <c r="I8319" t="n">
        <v>3.9</v>
      </c>
      <c r="J8319" t="n">
        <v>0</v>
      </c>
      <c r="K8319" t="n">
        <v>0</v>
      </c>
      <c r="L8319" t="n">
        <v>0</v>
      </c>
      <c r="M8319" t="n">
        <v>0</v>
      </c>
      <c r="N8319" t="n">
        <v>0</v>
      </c>
      <c r="O8319" t="n">
        <v>0</v>
      </c>
      <c r="P8319" t="n">
        <v>0</v>
      </c>
      <c r="Q8319" t="n">
        <v>0</v>
      </c>
      <c r="R8319" t="n">
        <v>0</v>
      </c>
      <c r="S8319" t="n">
        <v>0</v>
      </c>
      <c r="T8319" t="n">
        <v>0</v>
      </c>
      <c r="U8319" t="n">
        <v>0</v>
      </c>
      <c r="V8319" s="2" t="inlineStr"/>
    </row>
    <row r="8320" ht="15" customHeight="1">
      <c r="A8320" t="inlineStr">
        <is>
          <t>A 32384-2022</t>
        </is>
      </c>
      <c r="B8320" t="inlineStr">
        <is>
          <t>avverkningsanmälan</t>
        </is>
      </c>
      <c r="C8320" t="inlineStr">
        <is>
          <t>Föryngringsavverkning</t>
        </is>
      </c>
      <c r="D8320" s="1" t="n">
        <v>44782</v>
      </c>
      <c r="E8320" s="1" t="n">
        <v>46319</v>
      </c>
      <c r="F8320" t="inlineStr">
        <is>
          <t>DALARNAS LÄN</t>
        </is>
      </c>
      <c r="G8320" t="inlineStr">
        <is>
          <t>SMEDJEBACKEN</t>
        </is>
      </c>
      <c r="I8320" t="n">
        <v>2.9</v>
      </c>
      <c r="J8320" t="n">
        <v>0</v>
      </c>
      <c r="K8320" t="n">
        <v>0</v>
      </c>
      <c r="L8320" t="n">
        <v>0</v>
      </c>
      <c r="M8320" t="n">
        <v>0</v>
      </c>
      <c r="N8320" t="n">
        <v>0</v>
      </c>
      <c r="O8320" t="n">
        <v>0</v>
      </c>
      <c r="P8320" t="n">
        <v>0</v>
      </c>
      <c r="Q8320" t="n">
        <v>0</v>
      </c>
      <c r="R8320" t="n">
        <v>0</v>
      </c>
      <c r="S8320" t="n">
        <v>0</v>
      </c>
      <c r="T8320" t="n">
        <v>0</v>
      </c>
      <c r="U8320" t="n">
        <v>0</v>
      </c>
      <c r="V8320" s="2" t="inlineStr"/>
    </row>
    <row r="8321" ht="15" customHeight="1">
      <c r="A8321" t="inlineStr">
        <is>
          <t>A 39974-2022</t>
        </is>
      </c>
      <c r="B8321" t="inlineStr">
        <is>
          <t>avverkningsanmälan</t>
        </is>
      </c>
      <c r="C8321" t="inlineStr">
        <is>
          <t>Föryngringsavverkning</t>
        </is>
      </c>
      <c r="D8321" s="1" t="n">
        <v>44820</v>
      </c>
      <c r="E8321" s="1" t="n">
        <v>46319</v>
      </c>
      <c r="F8321" t="inlineStr">
        <is>
          <t>DALARNAS LÄN</t>
        </is>
      </c>
      <c r="G8321" t="inlineStr">
        <is>
          <t>VANSBRO</t>
        </is>
      </c>
      <c r="I8321" t="n">
        <v>7.3</v>
      </c>
      <c r="J8321" t="n">
        <v>0</v>
      </c>
      <c r="K8321" t="n">
        <v>0</v>
      </c>
      <c r="L8321" t="n">
        <v>0</v>
      </c>
      <c r="M8321" t="n">
        <v>0</v>
      </c>
      <c r="N8321" t="n">
        <v>0</v>
      </c>
      <c r="O8321" t="n">
        <v>0</v>
      </c>
      <c r="P8321" t="n">
        <v>0</v>
      </c>
      <c r="Q8321" t="n">
        <v>0</v>
      </c>
      <c r="R8321" t="n">
        <v>0</v>
      </c>
      <c r="S8321" t="n">
        <v>0</v>
      </c>
      <c r="T8321" t="n">
        <v>0</v>
      </c>
      <c r="U8321" t="n">
        <v>0</v>
      </c>
      <c r="V8321" s="2" t="inlineStr"/>
    </row>
    <row r="8322" ht="15" customHeight="1">
      <c r="A8322" t="inlineStr">
        <is>
          <t>A 36040-2023</t>
        </is>
      </c>
      <c r="B8322" t="inlineStr">
        <is>
          <t>avverkningsanmälan</t>
        </is>
      </c>
      <c r="C8322" t="inlineStr">
        <is>
          <t>Föryngringsavverkning</t>
        </is>
      </c>
      <c r="D8322" s="1" t="n">
        <v>45148</v>
      </c>
      <c r="E8322" s="1" t="n">
        <v>46319</v>
      </c>
      <c r="F8322" t="inlineStr">
        <is>
          <t>DALARNAS LÄN</t>
        </is>
      </c>
      <c r="G8322" t="inlineStr">
        <is>
          <t>RÄTTVIK</t>
        </is>
      </c>
      <c r="I8322" t="n">
        <v>3.3</v>
      </c>
      <c r="J8322" t="n">
        <v>0</v>
      </c>
      <c r="K8322" t="n">
        <v>0</v>
      </c>
      <c r="L8322" t="n">
        <v>0</v>
      </c>
      <c r="M8322" t="n">
        <v>0</v>
      </c>
      <c r="N8322" t="n">
        <v>0</v>
      </c>
      <c r="O8322" t="n">
        <v>0</v>
      </c>
      <c r="P8322" t="n">
        <v>0</v>
      </c>
      <c r="Q8322" t="n">
        <v>0</v>
      </c>
      <c r="R8322" t="n">
        <v>0</v>
      </c>
      <c r="S8322" t="n">
        <v>0</v>
      </c>
      <c r="T8322" t="n">
        <v>0</v>
      </c>
      <c r="U8322" t="n">
        <v>0</v>
      </c>
      <c r="V8322" s="2" t="inlineStr"/>
    </row>
    <row r="8323" ht="15" customHeight="1">
      <c r="A8323" t="inlineStr">
        <is>
          <t>A 17157-2025</t>
        </is>
      </c>
      <c r="B8323" t="inlineStr">
        <is>
          <t>avverkningsanmälan</t>
        </is>
      </c>
      <c r="C8323" t="inlineStr">
        <is>
          <t>Föryngringsavverkning</t>
        </is>
      </c>
      <c r="D8323" s="1" t="n">
        <v>45756</v>
      </c>
      <c r="E8323" s="1" t="n">
        <v>46319</v>
      </c>
      <c r="F8323" t="inlineStr">
        <is>
          <t>DALARNAS LÄN</t>
        </is>
      </c>
      <c r="G8323" t="inlineStr">
        <is>
          <t>RÄTTVIK</t>
        </is>
      </c>
      <c r="I8323" t="n">
        <v>2</v>
      </c>
      <c r="J8323" t="n">
        <v>0</v>
      </c>
      <c r="K8323" t="n">
        <v>0</v>
      </c>
      <c r="L8323" t="n">
        <v>0</v>
      </c>
      <c r="M8323" t="n">
        <v>0</v>
      </c>
      <c r="N8323" t="n">
        <v>0</v>
      </c>
      <c r="O8323" t="n">
        <v>0</v>
      </c>
      <c r="P8323" t="n">
        <v>0</v>
      </c>
      <c r="Q8323" t="n">
        <v>0</v>
      </c>
      <c r="R8323" t="n">
        <v>0</v>
      </c>
      <c r="S8323" t="n">
        <v>0</v>
      </c>
      <c r="T8323" t="n">
        <v>0</v>
      </c>
      <c r="U8323" t="n">
        <v>0</v>
      </c>
      <c r="V8323" s="2" t="inlineStr"/>
    </row>
    <row r="8324" ht="15" customHeight="1">
      <c r="A8324" t="inlineStr">
        <is>
          <t>A 17164-2025</t>
        </is>
      </c>
      <c r="B8324" t="inlineStr">
        <is>
          <t>avverkningsanmälan</t>
        </is>
      </c>
      <c r="C8324" t="inlineStr">
        <is>
          <t>Föryngringsavverkning</t>
        </is>
      </c>
      <c r="D8324" s="1" t="n">
        <v>45756</v>
      </c>
      <c r="E8324" s="1" t="n">
        <v>46319</v>
      </c>
      <c r="F8324" t="inlineStr">
        <is>
          <t>DALARNAS LÄN</t>
        </is>
      </c>
      <c r="G8324" t="inlineStr">
        <is>
          <t>MORA</t>
        </is>
      </c>
      <c r="H8324" t="inlineStr">
        <is>
          <t>Bergvik skog öst AB</t>
        </is>
      </c>
      <c r="I8324" t="n">
        <v>0.3</v>
      </c>
      <c r="J8324" t="n">
        <v>0</v>
      </c>
      <c r="K8324" t="n">
        <v>0</v>
      </c>
      <c r="L8324" t="n">
        <v>0</v>
      </c>
      <c r="M8324" t="n">
        <v>0</v>
      </c>
      <c r="N8324" t="n">
        <v>0</v>
      </c>
      <c r="O8324" t="n">
        <v>0</v>
      </c>
      <c r="P8324" t="n">
        <v>0</v>
      </c>
      <c r="Q8324" t="n">
        <v>0</v>
      </c>
      <c r="R8324" t="n">
        <v>0</v>
      </c>
      <c r="S8324" t="n">
        <v>0</v>
      </c>
      <c r="T8324" t="n">
        <v>0</v>
      </c>
      <c r="U8324" t="n">
        <v>0</v>
      </c>
      <c r="V8324" s="2" t="inlineStr"/>
    </row>
    <row r="8325" ht="15" customHeight="1">
      <c r="A8325" t="inlineStr">
        <is>
          <t>A 47044-2023</t>
        </is>
      </c>
      <c r="B8325" t="inlineStr">
        <is>
          <t>avverkningsanmälan</t>
        </is>
      </c>
      <c r="C8325" t="inlineStr">
        <is>
          <t>Föryngringsavverkning</t>
        </is>
      </c>
      <c r="D8325" s="1" t="n">
        <v>45201</v>
      </c>
      <c r="E8325" s="1" t="n">
        <v>46319</v>
      </c>
      <c r="F8325" t="inlineStr">
        <is>
          <t>DALARNAS LÄN</t>
        </is>
      </c>
      <c r="G8325" t="inlineStr">
        <is>
          <t>SÄTER</t>
        </is>
      </c>
      <c r="I8325" t="n">
        <v>2.2</v>
      </c>
      <c r="J8325" t="n">
        <v>0</v>
      </c>
      <c r="K8325" t="n">
        <v>0</v>
      </c>
      <c r="L8325" t="n">
        <v>0</v>
      </c>
      <c r="M8325" t="n">
        <v>0</v>
      </c>
      <c r="N8325" t="n">
        <v>0</v>
      </c>
      <c r="O8325" t="n">
        <v>0</v>
      </c>
      <c r="P8325" t="n">
        <v>0</v>
      </c>
      <c r="Q8325" t="n">
        <v>0</v>
      </c>
      <c r="R8325" t="n">
        <v>0</v>
      </c>
      <c r="S8325" t="n">
        <v>0</v>
      </c>
      <c r="T8325" t="n">
        <v>0</v>
      </c>
      <c r="U8325" t="n">
        <v>0</v>
      </c>
      <c r="V8325" s="2" t="inlineStr"/>
    </row>
    <row r="8326" ht="15" customHeight="1">
      <c r="A8326" t="inlineStr">
        <is>
          <t>A 61663-2024</t>
        </is>
      </c>
      <c r="B8326" t="inlineStr">
        <is>
          <t>avverkningsanmälan</t>
        </is>
      </c>
      <c r="C8326" t="inlineStr">
        <is>
          <t>Föryngringsavverkning</t>
        </is>
      </c>
      <c r="D8326" s="1" t="n">
        <v>45646</v>
      </c>
      <c r="E8326" s="1" t="n">
        <v>46319</v>
      </c>
      <c r="F8326" t="inlineStr">
        <is>
          <t>DALARNAS LÄN</t>
        </is>
      </c>
      <c r="G8326" t="inlineStr">
        <is>
          <t>VANSBRO</t>
        </is>
      </c>
      <c r="I8326" t="n">
        <v>8.800000000000001</v>
      </c>
      <c r="J8326" t="n">
        <v>0</v>
      </c>
      <c r="K8326" t="n">
        <v>0</v>
      </c>
      <c r="L8326" t="n">
        <v>0</v>
      </c>
      <c r="M8326" t="n">
        <v>0</v>
      </c>
      <c r="N8326" t="n">
        <v>0</v>
      </c>
      <c r="O8326" t="n">
        <v>0</v>
      </c>
      <c r="P8326" t="n">
        <v>0</v>
      </c>
      <c r="Q8326" t="n">
        <v>0</v>
      </c>
      <c r="R8326" t="n">
        <v>0</v>
      </c>
      <c r="S8326" t="n">
        <v>0</v>
      </c>
      <c r="T8326" t="n">
        <v>0</v>
      </c>
      <c r="U8326" t="n">
        <v>0</v>
      </c>
      <c r="V8326" s="2" t="inlineStr"/>
    </row>
    <row r="8327" ht="15" customHeight="1">
      <c r="A8327" t="inlineStr">
        <is>
          <t>A 47081-2023</t>
        </is>
      </c>
      <c r="B8327" t="inlineStr">
        <is>
          <t>avverkningsanmälan</t>
        </is>
      </c>
      <c r="C8327" t="inlineStr">
        <is>
          <t>Föryngringsavverkning</t>
        </is>
      </c>
      <c r="D8327" s="1" t="n">
        <v>45201</v>
      </c>
      <c r="E8327" s="1" t="n">
        <v>46319</v>
      </c>
      <c r="F8327" t="inlineStr">
        <is>
          <t>DALARNAS LÄN</t>
        </is>
      </c>
      <c r="G8327" t="inlineStr">
        <is>
          <t>ÄLVDALEN</t>
        </is>
      </c>
      <c r="H8327" t="inlineStr">
        <is>
          <t>Bergvik skog väst AB</t>
        </is>
      </c>
      <c r="I8327" t="n">
        <v>1.2</v>
      </c>
      <c r="J8327" t="n">
        <v>0</v>
      </c>
      <c r="K8327" t="n">
        <v>0</v>
      </c>
      <c r="L8327" t="n">
        <v>0</v>
      </c>
      <c r="M8327" t="n">
        <v>0</v>
      </c>
      <c r="N8327" t="n">
        <v>0</v>
      </c>
      <c r="O8327" t="n">
        <v>0</v>
      </c>
      <c r="P8327" t="n">
        <v>0</v>
      </c>
      <c r="Q8327" t="n">
        <v>0</v>
      </c>
      <c r="R8327" t="n">
        <v>0</v>
      </c>
      <c r="S8327" t="n">
        <v>0</v>
      </c>
      <c r="T8327" t="n">
        <v>0</v>
      </c>
      <c r="U8327" t="n">
        <v>0</v>
      </c>
      <c r="V8327" s="2" t="inlineStr"/>
    </row>
    <row r="8328" ht="15" customHeight="1">
      <c r="A8328" t="inlineStr">
        <is>
          <t>A 23369-2023</t>
        </is>
      </c>
      <c r="B8328" t="inlineStr">
        <is>
          <t>avverkningsanmälan</t>
        </is>
      </c>
      <c r="C8328" t="inlineStr">
        <is>
          <t>Avverkning för annat ändamål</t>
        </is>
      </c>
      <c r="D8328" s="1" t="n">
        <v>45076</v>
      </c>
      <c r="E8328" s="1" t="n">
        <v>46319</v>
      </c>
      <c r="F8328" t="inlineStr">
        <is>
          <t>DALARNAS LÄN</t>
        </is>
      </c>
      <c r="G8328" t="inlineStr">
        <is>
          <t>ÄLVDALEN</t>
        </is>
      </c>
      <c r="I8328" t="n">
        <v>1.5</v>
      </c>
      <c r="J8328" t="n">
        <v>0</v>
      </c>
      <c r="K8328" t="n">
        <v>0</v>
      </c>
      <c r="L8328" t="n">
        <v>0</v>
      </c>
      <c r="M8328" t="n">
        <v>0</v>
      </c>
      <c r="N8328" t="n">
        <v>0</v>
      </c>
      <c r="O8328" t="n">
        <v>0</v>
      </c>
      <c r="P8328" t="n">
        <v>0</v>
      </c>
      <c r="Q8328" t="n">
        <v>0</v>
      </c>
      <c r="R8328" t="n">
        <v>0</v>
      </c>
      <c r="S8328" t="n">
        <v>0</v>
      </c>
      <c r="T8328" t="n">
        <v>0</v>
      </c>
      <c r="U8328" t="n">
        <v>0</v>
      </c>
      <c r="V8328" s="2" t="inlineStr"/>
    </row>
    <row r="8329" ht="15" customHeight="1">
      <c r="A8329" t="inlineStr">
        <is>
          <t>A 36231-2022</t>
        </is>
      </c>
      <c r="B8329" t="inlineStr">
        <is>
          <t>avverkningsanmälan</t>
        </is>
      </c>
      <c r="C8329" t="inlineStr">
        <is>
          <t>Föryngringsavverkning</t>
        </is>
      </c>
      <c r="D8329" s="1" t="n">
        <v>44803</v>
      </c>
      <c r="E8329" s="1" t="n">
        <v>46319</v>
      </c>
      <c r="F8329" t="inlineStr">
        <is>
          <t>DALARNAS LÄN</t>
        </is>
      </c>
      <c r="G8329" t="inlineStr">
        <is>
          <t>SMEDJEBACKEN</t>
        </is>
      </c>
      <c r="I8329" t="n">
        <v>5.7</v>
      </c>
      <c r="J8329" t="n">
        <v>0</v>
      </c>
      <c r="K8329" t="n">
        <v>0</v>
      </c>
      <c r="L8329" t="n">
        <v>0</v>
      </c>
      <c r="M8329" t="n">
        <v>0</v>
      </c>
      <c r="N8329" t="n">
        <v>0</v>
      </c>
      <c r="O8329" t="n">
        <v>0</v>
      </c>
      <c r="P8329" t="n">
        <v>0</v>
      </c>
      <c r="Q8329" t="n">
        <v>0</v>
      </c>
      <c r="R8329" t="n">
        <v>0</v>
      </c>
      <c r="S8329" t="n">
        <v>0</v>
      </c>
      <c r="T8329" t="n">
        <v>0</v>
      </c>
      <c r="U8329" t="n">
        <v>0</v>
      </c>
      <c r="V8329" s="2" t="inlineStr"/>
    </row>
    <row r="8330" ht="15" customHeight="1">
      <c r="A8330" t="inlineStr">
        <is>
          <t>A 23834-2024</t>
        </is>
      </c>
      <c r="B8330" t="inlineStr">
        <is>
          <t>avverkningsanmälan</t>
        </is>
      </c>
      <c r="C8330" t="inlineStr">
        <is>
          <t>Föryngringsavverkning</t>
        </is>
      </c>
      <c r="D8330" s="1" t="n">
        <v>45455</v>
      </c>
      <c r="E8330" s="1" t="n">
        <v>46319</v>
      </c>
      <c r="F8330" t="inlineStr">
        <is>
          <t>DALARNAS LÄN</t>
        </is>
      </c>
      <c r="G8330" t="inlineStr">
        <is>
          <t>AVESTA</t>
        </is>
      </c>
      <c r="H8330" t="inlineStr">
        <is>
          <t>Bergvik skog väst AB</t>
        </is>
      </c>
      <c r="I8330" t="n">
        <v>0.7</v>
      </c>
      <c r="J8330" t="n">
        <v>0</v>
      </c>
      <c r="K8330" t="n">
        <v>0</v>
      </c>
      <c r="L8330" t="n">
        <v>0</v>
      </c>
      <c r="M8330" t="n">
        <v>0</v>
      </c>
      <c r="N8330" t="n">
        <v>0</v>
      </c>
      <c r="O8330" t="n">
        <v>0</v>
      </c>
      <c r="P8330" t="n">
        <v>0</v>
      </c>
      <c r="Q8330" t="n">
        <v>0</v>
      </c>
      <c r="R8330" t="n">
        <v>0</v>
      </c>
      <c r="S8330" t="n">
        <v>0</v>
      </c>
      <c r="T8330" t="n">
        <v>0</v>
      </c>
      <c r="U8330" t="n">
        <v>0</v>
      </c>
      <c r="V8330" s="2" t="inlineStr"/>
    </row>
    <row r="8331" ht="15" customHeight="1">
      <c r="A8331" t="inlineStr">
        <is>
          <t>A 37774-2022</t>
        </is>
      </c>
      <c r="B8331" t="inlineStr">
        <is>
          <t>avverkningsanmälan</t>
        </is>
      </c>
      <c r="C8331" t="inlineStr">
        <is>
          <t>Föryngringsavverkning</t>
        </is>
      </c>
      <c r="D8331" s="1" t="n">
        <v>44810</v>
      </c>
      <c r="E8331" s="1" t="n">
        <v>46319</v>
      </c>
      <c r="F8331" t="inlineStr">
        <is>
          <t>DALARNAS LÄN</t>
        </is>
      </c>
      <c r="G8331" t="inlineStr">
        <is>
          <t>MORA</t>
        </is>
      </c>
      <c r="H8331" t="inlineStr">
        <is>
          <t>Bergvik skog väst AB</t>
        </is>
      </c>
      <c r="I8331" t="n">
        <v>8.5</v>
      </c>
      <c r="J8331" t="n">
        <v>0</v>
      </c>
      <c r="K8331" t="n">
        <v>0</v>
      </c>
      <c r="L8331" t="n">
        <v>0</v>
      </c>
      <c r="M8331" t="n">
        <v>0</v>
      </c>
      <c r="N8331" t="n">
        <v>0</v>
      </c>
      <c r="O8331" t="n">
        <v>0</v>
      </c>
      <c r="P8331" t="n">
        <v>0</v>
      </c>
      <c r="Q8331" t="n">
        <v>0</v>
      </c>
      <c r="R8331" t="n">
        <v>0</v>
      </c>
      <c r="S8331" t="n">
        <v>0</v>
      </c>
      <c r="T8331" t="n">
        <v>0</v>
      </c>
      <c r="U8331" t="n">
        <v>0</v>
      </c>
      <c r="V8331" s="2" t="inlineStr"/>
    </row>
    <row r="8332" ht="15" customHeight="1">
      <c r="A8332" t="inlineStr">
        <is>
          <t>A 25273-2022</t>
        </is>
      </c>
      <c r="B8332" t="inlineStr">
        <is>
          <t>avverkningsanmälan</t>
        </is>
      </c>
      <c r="C8332" t="inlineStr">
        <is>
          <t>Föryngringsavverkning</t>
        </is>
      </c>
      <c r="D8332" s="1" t="n">
        <v>44729</v>
      </c>
      <c r="E8332" s="1" t="n">
        <v>46319</v>
      </c>
      <c r="F8332" t="inlineStr">
        <is>
          <t>DALARNAS LÄN</t>
        </is>
      </c>
      <c r="G8332" t="inlineStr">
        <is>
          <t>LUDVIKA</t>
        </is>
      </c>
      <c r="H8332" t="inlineStr">
        <is>
          <t>Bergvik skog väst AB</t>
        </is>
      </c>
      <c r="I8332" t="n">
        <v>1.1</v>
      </c>
      <c r="J8332" t="n">
        <v>0</v>
      </c>
      <c r="K8332" t="n">
        <v>0</v>
      </c>
      <c r="L8332" t="n">
        <v>0</v>
      </c>
      <c r="M8332" t="n">
        <v>0</v>
      </c>
      <c r="N8332" t="n">
        <v>0</v>
      </c>
      <c r="O8332" t="n">
        <v>0</v>
      </c>
      <c r="P8332" t="n">
        <v>0</v>
      </c>
      <c r="Q8332" t="n">
        <v>0</v>
      </c>
      <c r="R8332" t="n">
        <v>0</v>
      </c>
      <c r="S8332" t="n">
        <v>0</v>
      </c>
      <c r="T8332" t="n">
        <v>0</v>
      </c>
      <c r="U8332" t="n">
        <v>0</v>
      </c>
      <c r="V8332" s="2" t="inlineStr"/>
    </row>
    <row r="8333" ht="15" customHeight="1">
      <c r="A8333" t="inlineStr">
        <is>
          <t>A 44491-2023</t>
        </is>
      </c>
      <c r="B8333" t="inlineStr">
        <is>
          <t>avverkningsanmälan</t>
        </is>
      </c>
      <c r="C8333" t="inlineStr">
        <is>
          <t>Föryngringsavverkning</t>
        </is>
      </c>
      <c r="D8333" s="1" t="n">
        <v>45183</v>
      </c>
      <c r="E8333" s="1" t="n">
        <v>46319</v>
      </c>
      <c r="F8333" t="inlineStr">
        <is>
          <t>DALARNAS LÄN</t>
        </is>
      </c>
      <c r="G8333" t="inlineStr">
        <is>
          <t>LEKSAND</t>
        </is>
      </c>
      <c r="I8333" t="n">
        <v>2.6</v>
      </c>
      <c r="J8333" t="n">
        <v>0</v>
      </c>
      <c r="K8333" t="n">
        <v>0</v>
      </c>
      <c r="L8333" t="n">
        <v>0</v>
      </c>
      <c r="M8333" t="n">
        <v>0</v>
      </c>
      <c r="N8333" t="n">
        <v>0</v>
      </c>
      <c r="O8333" t="n">
        <v>0</v>
      </c>
      <c r="P8333" t="n">
        <v>0</v>
      </c>
      <c r="Q8333" t="n">
        <v>0</v>
      </c>
      <c r="R8333" t="n">
        <v>0</v>
      </c>
      <c r="S8333" t="n">
        <v>0</v>
      </c>
      <c r="T8333" t="n">
        <v>0</v>
      </c>
      <c r="U8333" t="n">
        <v>0</v>
      </c>
      <c r="V8333" s="2" t="inlineStr"/>
    </row>
    <row r="8334" ht="15" customHeight="1">
      <c r="A8334" t="inlineStr">
        <is>
          <t>A 10048-2023</t>
        </is>
      </c>
      <c r="B8334" t="inlineStr">
        <is>
          <t>avverkningsanmälan</t>
        </is>
      </c>
      <c r="C8334" t="inlineStr">
        <is>
          <t>Föryngringsavverkning</t>
        </is>
      </c>
      <c r="D8334" s="1" t="n">
        <v>44985</v>
      </c>
      <c r="E8334" s="1" t="n">
        <v>46319</v>
      </c>
      <c r="F8334" t="inlineStr">
        <is>
          <t>DALARNAS LÄN</t>
        </is>
      </c>
      <c r="G8334" t="inlineStr">
        <is>
          <t>ORSA</t>
        </is>
      </c>
      <c r="I8334" t="n">
        <v>4.8</v>
      </c>
      <c r="J8334" t="n">
        <v>0</v>
      </c>
      <c r="K8334" t="n">
        <v>0</v>
      </c>
      <c r="L8334" t="n">
        <v>0</v>
      </c>
      <c r="M8334" t="n">
        <v>0</v>
      </c>
      <c r="N8334" t="n">
        <v>0</v>
      </c>
      <c r="O8334" t="n">
        <v>0</v>
      </c>
      <c r="P8334" t="n">
        <v>0</v>
      </c>
      <c r="Q8334" t="n">
        <v>0</v>
      </c>
      <c r="R8334" t="n">
        <v>0</v>
      </c>
      <c r="S8334" t="n">
        <v>0</v>
      </c>
      <c r="T8334" t="n">
        <v>0</v>
      </c>
      <c r="U8334" t="n">
        <v>0</v>
      </c>
      <c r="V8334" s="2" t="inlineStr"/>
    </row>
    <row r="8335" ht="15" customHeight="1">
      <c r="A8335" t="inlineStr">
        <is>
          <t>A 9719-2023</t>
        </is>
      </c>
      <c r="B8335" t="inlineStr">
        <is>
          <t>avverkningsanmälan</t>
        </is>
      </c>
      <c r="C8335" t="inlineStr">
        <is>
          <t>Föryngringsavverkning</t>
        </is>
      </c>
      <c r="D8335" s="1" t="n">
        <v>44978</v>
      </c>
      <c r="E8335" s="1" t="n">
        <v>46319</v>
      </c>
      <c r="F8335" t="inlineStr">
        <is>
          <t>DALARNAS LÄN</t>
        </is>
      </c>
      <c r="G8335" t="inlineStr">
        <is>
          <t>ÄLVDALEN</t>
        </is>
      </c>
      <c r="I8335" t="n">
        <v>20.2</v>
      </c>
      <c r="J8335" t="n">
        <v>0</v>
      </c>
      <c r="K8335" t="n">
        <v>0</v>
      </c>
      <c r="L8335" t="n">
        <v>0</v>
      </c>
      <c r="M8335" t="n">
        <v>0</v>
      </c>
      <c r="N8335" t="n">
        <v>0</v>
      </c>
      <c r="O8335" t="n">
        <v>0</v>
      </c>
      <c r="P8335" t="n">
        <v>0</v>
      </c>
      <c r="Q8335" t="n">
        <v>0</v>
      </c>
      <c r="R8335" t="n">
        <v>0</v>
      </c>
      <c r="S8335" t="n">
        <v>0</v>
      </c>
      <c r="T8335" t="n">
        <v>0</v>
      </c>
      <c r="U8335" t="n">
        <v>0</v>
      </c>
      <c r="V8335" s="2" t="inlineStr"/>
    </row>
    <row r="8336" ht="15" customHeight="1">
      <c r="A8336" t="inlineStr">
        <is>
          <t>A 40003-2022</t>
        </is>
      </c>
      <c r="B8336" t="inlineStr">
        <is>
          <t>avverkningsanmälan</t>
        </is>
      </c>
      <c r="C8336" t="inlineStr">
        <is>
          <t>Föryngringsavverkning</t>
        </is>
      </c>
      <c r="D8336" s="1" t="n">
        <v>44820</v>
      </c>
      <c r="E8336" s="1" t="n">
        <v>46319</v>
      </c>
      <c r="F8336" t="inlineStr">
        <is>
          <t>DALARNAS LÄN</t>
        </is>
      </c>
      <c r="G8336" t="inlineStr">
        <is>
          <t>ÄLVDALEN</t>
        </is>
      </c>
      <c r="I8336" t="n">
        <v>1.2</v>
      </c>
      <c r="J8336" t="n">
        <v>0</v>
      </c>
      <c r="K8336" t="n">
        <v>0</v>
      </c>
      <c r="L8336" t="n">
        <v>0</v>
      </c>
      <c r="M8336" t="n">
        <v>0</v>
      </c>
      <c r="N8336" t="n">
        <v>0</v>
      </c>
      <c r="O8336" t="n">
        <v>0</v>
      </c>
      <c r="P8336" t="n">
        <v>0</v>
      </c>
      <c r="Q8336" t="n">
        <v>0</v>
      </c>
      <c r="R8336" t="n">
        <v>0</v>
      </c>
      <c r="S8336" t="n">
        <v>0</v>
      </c>
      <c r="T8336" t="n">
        <v>0</v>
      </c>
      <c r="U8336" t="n">
        <v>0</v>
      </c>
      <c r="V8336" s="2" t="inlineStr"/>
    </row>
    <row r="8337" ht="15" customHeight="1">
      <c r="A8337" t="inlineStr">
        <is>
          <t>A 57416-2022</t>
        </is>
      </c>
      <c r="B8337" t="inlineStr">
        <is>
          <t>avverkningsanmälan</t>
        </is>
      </c>
      <c r="C8337" t="inlineStr">
        <is>
          <t>Föryngringsavverkning</t>
        </is>
      </c>
      <c r="D8337" s="1" t="n">
        <v>44896</v>
      </c>
      <c r="E8337" s="1" t="n">
        <v>46319</v>
      </c>
      <c r="F8337" t="inlineStr">
        <is>
          <t>DALARNAS LÄN</t>
        </is>
      </c>
      <c r="G8337" t="inlineStr">
        <is>
          <t>SÄTER</t>
        </is>
      </c>
      <c r="I8337" t="n">
        <v>0.8</v>
      </c>
      <c r="J8337" t="n">
        <v>0</v>
      </c>
      <c r="K8337" t="n">
        <v>0</v>
      </c>
      <c r="L8337" t="n">
        <v>0</v>
      </c>
      <c r="M8337" t="n">
        <v>0</v>
      </c>
      <c r="N8337" t="n">
        <v>0</v>
      </c>
      <c r="O8337" t="n">
        <v>0</v>
      </c>
      <c r="P8337" t="n">
        <v>0</v>
      </c>
      <c r="Q8337" t="n">
        <v>0</v>
      </c>
      <c r="R8337" t="n">
        <v>0</v>
      </c>
      <c r="S8337" t="n">
        <v>0</v>
      </c>
      <c r="T8337" t="n">
        <v>0</v>
      </c>
      <c r="U8337" t="n">
        <v>0</v>
      </c>
      <c r="V8337" s="2" t="inlineStr"/>
      <c r="Z8337">
        <f>HYPERLINK("https://klasma.github.io/Logging_2082/knärot/A 57416-2022 karta knärot.png", "A 57416-2022")</f>
        <v/>
      </c>
      <c r="AA8337">
        <f>HYPERLINK("https://klasma.github.io/Logging_2082/klagomål/A 57416-2022 FSC-klagomål.docx", "A 57416-2022")</f>
        <v/>
      </c>
      <c r="AB8337">
        <f>HYPERLINK("https://klasma.github.io/Logging_2082/klagomålsmail/A 57416-2022 FSC-klagomål mail.docx", "A 57416-2022")</f>
        <v/>
      </c>
      <c r="AC8337">
        <f>HYPERLINK("https://klasma.github.io/Logging_2082/tillsyn/A 57416-2022 tillsynsbegäran.docx", "A 57416-2022")</f>
        <v/>
      </c>
      <c r="AD8337">
        <f>HYPERLINK("https://klasma.github.io/Logging_2082/tillsynsmail/A 57416-2022 tillsynsbegäran mail.docx", "A 57416-2022")</f>
        <v/>
      </c>
    </row>
    <row r="8338" ht="15" customHeight="1">
      <c r="A8338" t="inlineStr">
        <is>
          <t>A 31031-2023</t>
        </is>
      </c>
      <c r="B8338" t="inlineStr">
        <is>
          <t>avverkningsanmälan</t>
        </is>
      </c>
      <c r="C8338" t="inlineStr">
        <is>
          <t>Föryngringsavverkning</t>
        </is>
      </c>
      <c r="D8338" s="1" t="n">
        <v>45113</v>
      </c>
      <c r="E8338" s="1" t="n">
        <v>46319</v>
      </c>
      <c r="F8338" t="inlineStr">
        <is>
          <t>DALARNAS LÄN</t>
        </is>
      </c>
      <c r="G8338" t="inlineStr">
        <is>
          <t>ORSA</t>
        </is>
      </c>
      <c r="H8338" t="inlineStr">
        <is>
          <t>Bergvik skog öst AB</t>
        </is>
      </c>
      <c r="I8338" t="n">
        <v>0.4</v>
      </c>
      <c r="J8338" t="n">
        <v>0</v>
      </c>
      <c r="K8338" t="n">
        <v>0</v>
      </c>
      <c r="L8338" t="n">
        <v>0</v>
      </c>
      <c r="M8338" t="n">
        <v>0</v>
      </c>
      <c r="N8338" t="n">
        <v>0</v>
      </c>
      <c r="O8338" t="n">
        <v>0</v>
      </c>
      <c r="P8338" t="n">
        <v>0</v>
      </c>
      <c r="Q8338" t="n">
        <v>0</v>
      </c>
      <c r="R8338" t="n">
        <v>0</v>
      </c>
      <c r="S8338" t="n">
        <v>0</v>
      </c>
      <c r="T8338" t="n">
        <v>0</v>
      </c>
      <c r="U8338" t="n">
        <v>0</v>
      </c>
      <c r="V8338" s="2" t="inlineStr"/>
    </row>
    <row r="8339" ht="15" customHeight="1">
      <c r="A8339" t="inlineStr">
        <is>
          <t>A 31077-2023</t>
        </is>
      </c>
      <c r="B8339" t="inlineStr">
        <is>
          <t>avverkningsanmälan</t>
        </is>
      </c>
      <c r="C8339" t="inlineStr">
        <is>
          <t>Föryngringsavverkning</t>
        </is>
      </c>
      <c r="D8339" s="1" t="n">
        <v>45113</v>
      </c>
      <c r="E8339" s="1" t="n">
        <v>46319</v>
      </c>
      <c r="F8339" t="inlineStr">
        <is>
          <t>DALARNAS LÄN</t>
        </is>
      </c>
      <c r="G8339" t="inlineStr">
        <is>
          <t>FALUN</t>
        </is>
      </c>
      <c r="I8339" t="n">
        <v>0.9</v>
      </c>
      <c r="J8339" t="n">
        <v>0</v>
      </c>
      <c r="K8339" t="n">
        <v>0</v>
      </c>
      <c r="L8339" t="n">
        <v>0</v>
      </c>
      <c r="M8339" t="n">
        <v>0</v>
      </c>
      <c r="N8339" t="n">
        <v>0</v>
      </c>
      <c r="O8339" t="n">
        <v>0</v>
      </c>
      <c r="P8339" t="n">
        <v>0</v>
      </c>
      <c r="Q8339" t="n">
        <v>0</v>
      </c>
      <c r="R8339" t="n">
        <v>0</v>
      </c>
      <c r="S8339" t="n">
        <v>0</v>
      </c>
      <c r="T8339" t="n">
        <v>0</v>
      </c>
      <c r="U8339" t="n">
        <v>0</v>
      </c>
      <c r="V8339" s="2" t="inlineStr"/>
    </row>
    <row r="8340" ht="15" customHeight="1">
      <c r="A8340" t="inlineStr">
        <is>
          <t>A 28388-2024</t>
        </is>
      </c>
      <c r="B8340" t="inlineStr">
        <is>
          <t>avverkningsanmälan</t>
        </is>
      </c>
      <c r="C8340" t="inlineStr">
        <is>
          <t>Föryngringsavverkning</t>
        </is>
      </c>
      <c r="D8340" s="1" t="n">
        <v>45477</v>
      </c>
      <c r="E8340" s="1" t="n">
        <v>46319</v>
      </c>
      <c r="F8340" t="inlineStr">
        <is>
          <t>DALARNAS LÄN</t>
        </is>
      </c>
      <c r="G8340" t="inlineStr">
        <is>
          <t>ORSA</t>
        </is>
      </c>
      <c r="H8340" t="inlineStr">
        <is>
          <t>Bergvik skog öst AB</t>
        </is>
      </c>
      <c r="I8340" t="n">
        <v>3.8</v>
      </c>
      <c r="J8340" t="n">
        <v>0</v>
      </c>
      <c r="K8340" t="n">
        <v>0</v>
      </c>
      <c r="L8340" t="n">
        <v>0</v>
      </c>
      <c r="M8340" t="n">
        <v>0</v>
      </c>
      <c r="N8340" t="n">
        <v>0</v>
      </c>
      <c r="O8340" t="n">
        <v>0</v>
      </c>
      <c r="P8340" t="n">
        <v>0</v>
      </c>
      <c r="Q8340" t="n">
        <v>0</v>
      </c>
      <c r="R8340" t="n">
        <v>0</v>
      </c>
      <c r="S8340" t="n">
        <v>0</v>
      </c>
      <c r="T8340" t="n">
        <v>0</v>
      </c>
      <c r="U8340" t="n">
        <v>0</v>
      </c>
      <c r="V8340" s="2" t="inlineStr"/>
    </row>
    <row r="8341" ht="15" customHeight="1">
      <c r="A8341" t="inlineStr">
        <is>
          <t>A 41052-2023</t>
        </is>
      </c>
      <c r="B8341" t="inlineStr">
        <is>
          <t>avverkningsanmälan</t>
        </is>
      </c>
      <c r="C8341" t="inlineStr">
        <is>
          <t>Föryngringsavverkning</t>
        </is>
      </c>
      <c r="D8341" s="1" t="n">
        <v>45173</v>
      </c>
      <c r="E8341" s="1" t="n">
        <v>46319</v>
      </c>
      <c r="F8341" t="inlineStr">
        <is>
          <t>DALARNAS LÄN</t>
        </is>
      </c>
      <c r="G8341" t="inlineStr">
        <is>
          <t>RÄTTVIK</t>
        </is>
      </c>
      <c r="I8341" t="n">
        <v>1.4</v>
      </c>
      <c r="J8341" t="n">
        <v>0</v>
      </c>
      <c r="K8341" t="n">
        <v>0</v>
      </c>
      <c r="L8341" t="n">
        <v>0</v>
      </c>
      <c r="M8341" t="n">
        <v>0</v>
      </c>
      <c r="N8341" t="n">
        <v>0</v>
      </c>
      <c r="O8341" t="n">
        <v>0</v>
      </c>
      <c r="P8341" t="n">
        <v>0</v>
      </c>
      <c r="Q8341" t="n">
        <v>0</v>
      </c>
      <c r="R8341" t="n">
        <v>0</v>
      </c>
      <c r="S8341" t="n">
        <v>0</v>
      </c>
      <c r="T8341" t="n">
        <v>0</v>
      </c>
      <c r="U8341" t="n">
        <v>0</v>
      </c>
      <c r="V8341" s="2" t="inlineStr"/>
    </row>
    <row r="8342" ht="15" customHeight="1">
      <c r="A8342" t="inlineStr">
        <is>
          <t>A 34673-2023</t>
        </is>
      </c>
      <c r="B8342" t="inlineStr">
        <is>
          <t>avverkningsanmälan</t>
        </is>
      </c>
      <c r="C8342" t="inlineStr">
        <is>
          <t>Föryngringsavverkning</t>
        </is>
      </c>
      <c r="D8342" s="1" t="n">
        <v>45140</v>
      </c>
      <c r="E8342" s="1" t="n">
        <v>46319</v>
      </c>
      <c r="F8342" t="inlineStr">
        <is>
          <t>DALARNAS LÄN</t>
        </is>
      </c>
      <c r="G8342" t="inlineStr">
        <is>
          <t>SMEDJEBACKEN</t>
        </is>
      </c>
      <c r="I8342" t="n">
        <v>10</v>
      </c>
      <c r="J8342" t="n">
        <v>0</v>
      </c>
      <c r="K8342" t="n">
        <v>0</v>
      </c>
      <c r="L8342" t="n">
        <v>0</v>
      </c>
      <c r="M8342" t="n">
        <v>0</v>
      </c>
      <c r="N8342" t="n">
        <v>0</v>
      </c>
      <c r="O8342" t="n">
        <v>0</v>
      </c>
      <c r="P8342" t="n">
        <v>0</v>
      </c>
      <c r="Q8342" t="n">
        <v>0</v>
      </c>
      <c r="R8342" t="n">
        <v>0</v>
      </c>
      <c r="S8342" t="n">
        <v>0</v>
      </c>
      <c r="T8342" t="n">
        <v>0</v>
      </c>
      <c r="U8342" t="n">
        <v>0</v>
      </c>
      <c r="V8342" s="2" t="inlineStr"/>
    </row>
    <row r="8343" ht="15" customHeight="1">
      <c r="A8343" t="inlineStr">
        <is>
          <t>A 63277-2021</t>
        </is>
      </c>
      <c r="B8343" t="inlineStr">
        <is>
          <t>avverkningsanmälan</t>
        </is>
      </c>
      <c r="C8343" t="inlineStr">
        <is>
          <t>Föryngringsavverkning</t>
        </is>
      </c>
      <c r="D8343" s="1" t="n">
        <v>44508</v>
      </c>
      <c r="E8343" s="1" t="n">
        <v>46319</v>
      </c>
      <c r="F8343" t="inlineStr">
        <is>
          <t>DALARNAS LÄN</t>
        </is>
      </c>
      <c r="G8343" t="inlineStr">
        <is>
          <t>MALUNG-SÄLEN</t>
        </is>
      </c>
      <c r="I8343" t="n">
        <v>1.6</v>
      </c>
      <c r="J8343" t="n">
        <v>0</v>
      </c>
      <c r="K8343" t="n">
        <v>0</v>
      </c>
      <c r="L8343" t="n">
        <v>0</v>
      </c>
      <c r="M8343" t="n">
        <v>0</v>
      </c>
      <c r="N8343" t="n">
        <v>0</v>
      </c>
      <c r="O8343" t="n">
        <v>0</v>
      </c>
      <c r="P8343" t="n">
        <v>0</v>
      </c>
      <c r="Q8343" t="n">
        <v>0</v>
      </c>
      <c r="R8343" t="n">
        <v>0</v>
      </c>
      <c r="S8343" t="n">
        <v>0</v>
      </c>
      <c r="T8343" t="n">
        <v>0</v>
      </c>
      <c r="U8343" t="n">
        <v>0</v>
      </c>
      <c r="V8343" s="2" t="inlineStr"/>
    </row>
    <row r="8344" ht="15" customHeight="1">
      <c r="A8344" t="inlineStr">
        <is>
          <t>A 33674-2023</t>
        </is>
      </c>
      <c r="B8344" t="inlineStr">
        <is>
          <t>avverkningsanmälan</t>
        </is>
      </c>
      <c r="C8344" t="inlineStr">
        <is>
          <t>Föryngringsavverkning</t>
        </is>
      </c>
      <c r="D8344" s="1" t="n">
        <v>45132</v>
      </c>
      <c r="E8344" s="1" t="n">
        <v>46319</v>
      </c>
      <c r="F8344" t="inlineStr">
        <is>
          <t>DALARNAS LÄN</t>
        </is>
      </c>
      <c r="G8344" t="inlineStr">
        <is>
          <t>LEKSAND</t>
        </is>
      </c>
      <c r="I8344" t="n">
        <v>0.6</v>
      </c>
      <c r="J8344" t="n">
        <v>0</v>
      </c>
      <c r="K8344" t="n">
        <v>0</v>
      </c>
      <c r="L8344" t="n">
        <v>0</v>
      </c>
      <c r="M8344" t="n">
        <v>0</v>
      </c>
      <c r="N8344" t="n">
        <v>0</v>
      </c>
      <c r="O8344" t="n">
        <v>0</v>
      </c>
      <c r="P8344" t="n">
        <v>0</v>
      </c>
      <c r="Q8344" t="n">
        <v>0</v>
      </c>
      <c r="R8344" t="n">
        <v>0</v>
      </c>
      <c r="S8344" t="n">
        <v>0</v>
      </c>
      <c r="T8344" t="n">
        <v>0</v>
      </c>
      <c r="U8344" t="n">
        <v>0</v>
      </c>
      <c r="V8344" s="2" t="inlineStr"/>
    </row>
    <row r="8345" ht="15" customHeight="1">
      <c r="A8345" t="inlineStr">
        <is>
          <t>A 48849-2022</t>
        </is>
      </c>
      <c r="B8345" t="inlineStr">
        <is>
          <t>avverkningsanmälan</t>
        </is>
      </c>
      <c r="C8345" t="inlineStr">
        <is>
          <t>Avverkning för annat ändamål</t>
        </is>
      </c>
      <c r="D8345" s="1" t="n">
        <v>44859</v>
      </c>
      <c r="E8345" s="1" t="n">
        <v>46319</v>
      </c>
      <c r="F8345" t="inlineStr">
        <is>
          <t>DALARNAS LÄN</t>
        </is>
      </c>
      <c r="G8345" t="inlineStr">
        <is>
          <t>ÄLVDALEN</t>
        </is>
      </c>
      <c r="H8345" t="inlineStr">
        <is>
          <t>Allmännings- och besparingsskogar</t>
        </is>
      </c>
      <c r="I8345" t="n">
        <v>2.4</v>
      </c>
      <c r="J8345" t="n">
        <v>0</v>
      </c>
      <c r="K8345" t="n">
        <v>0</v>
      </c>
      <c r="L8345" t="n">
        <v>0</v>
      </c>
      <c r="M8345" t="n">
        <v>0</v>
      </c>
      <c r="N8345" t="n">
        <v>0</v>
      </c>
      <c r="O8345" t="n">
        <v>0</v>
      </c>
      <c r="P8345" t="n">
        <v>0</v>
      </c>
      <c r="Q8345" t="n">
        <v>0</v>
      </c>
      <c r="R8345" t="n">
        <v>0</v>
      </c>
      <c r="S8345" t="n">
        <v>0</v>
      </c>
      <c r="T8345" t="n">
        <v>0</v>
      </c>
      <c r="U8345" t="n">
        <v>0</v>
      </c>
      <c r="V8345" s="2" t="inlineStr"/>
    </row>
    <row r="8346" ht="15" customHeight="1">
      <c r="A8346" t="inlineStr">
        <is>
          <t>A 48290-2023</t>
        </is>
      </c>
      <c r="B8346" t="inlineStr">
        <is>
          <t>avverkningsanmälan</t>
        </is>
      </c>
      <c r="C8346" t="inlineStr">
        <is>
          <t>Föryngringsavverkning</t>
        </is>
      </c>
      <c r="D8346" s="1" t="n">
        <v>45205</v>
      </c>
      <c r="E8346" s="1" t="n">
        <v>46319</v>
      </c>
      <c r="F8346" t="inlineStr">
        <is>
          <t>DALARNAS LÄN</t>
        </is>
      </c>
      <c r="G8346" t="inlineStr">
        <is>
          <t>RÄTTVIK</t>
        </is>
      </c>
      <c r="H8346" t="inlineStr">
        <is>
          <t>Bergvik skog väst AB</t>
        </is>
      </c>
      <c r="I8346" t="n">
        <v>1.3</v>
      </c>
      <c r="J8346" t="n">
        <v>0</v>
      </c>
      <c r="K8346" t="n">
        <v>0</v>
      </c>
      <c r="L8346" t="n">
        <v>0</v>
      </c>
      <c r="M8346" t="n">
        <v>0</v>
      </c>
      <c r="N8346" t="n">
        <v>0</v>
      </c>
      <c r="O8346" t="n">
        <v>0</v>
      </c>
      <c r="P8346" t="n">
        <v>0</v>
      </c>
      <c r="Q8346" t="n">
        <v>0</v>
      </c>
      <c r="R8346" t="n">
        <v>0</v>
      </c>
      <c r="S8346" t="n">
        <v>0</v>
      </c>
      <c r="T8346" t="n">
        <v>0</v>
      </c>
      <c r="U8346" t="n">
        <v>0</v>
      </c>
      <c r="V8346" s="2" t="inlineStr"/>
    </row>
    <row r="8347" ht="15" customHeight="1">
      <c r="A8347" t="inlineStr">
        <is>
          <t>A 47867-2022</t>
        </is>
      </c>
      <c r="B8347" t="inlineStr">
        <is>
          <t>avverkningsanmälan</t>
        </is>
      </c>
      <c r="C8347" t="inlineStr">
        <is>
          <t>Föryngringsavverkning</t>
        </is>
      </c>
      <c r="D8347" s="1" t="n">
        <v>44855</v>
      </c>
      <c r="E8347" s="1" t="n">
        <v>46319</v>
      </c>
      <c r="F8347" t="inlineStr">
        <is>
          <t>DALARNAS LÄN</t>
        </is>
      </c>
      <c r="G8347" t="inlineStr">
        <is>
          <t>AVESTA</t>
        </is>
      </c>
      <c r="I8347" t="n">
        <v>2.3</v>
      </c>
      <c r="J8347" t="n">
        <v>0</v>
      </c>
      <c r="K8347" t="n">
        <v>0</v>
      </c>
      <c r="L8347" t="n">
        <v>0</v>
      </c>
      <c r="M8347" t="n">
        <v>0</v>
      </c>
      <c r="N8347" t="n">
        <v>0</v>
      </c>
      <c r="O8347" t="n">
        <v>0</v>
      </c>
      <c r="P8347" t="n">
        <v>0</v>
      </c>
      <c r="Q8347" t="n">
        <v>0</v>
      </c>
      <c r="R8347" t="n">
        <v>0</v>
      </c>
      <c r="S8347" t="n">
        <v>0</v>
      </c>
      <c r="T8347" t="n">
        <v>0</v>
      </c>
      <c r="U8347" t="n">
        <v>0</v>
      </c>
      <c r="V8347" s="2" t="inlineStr"/>
    </row>
    <row r="8348" ht="15" customHeight="1">
      <c r="A8348" t="inlineStr">
        <is>
          <t>A 66673-2021</t>
        </is>
      </c>
      <c r="B8348" t="inlineStr">
        <is>
          <t>avverkningsanmälan</t>
        </is>
      </c>
      <c r="C8348" t="inlineStr">
        <is>
          <t>Föryngringsavverkning</t>
        </is>
      </c>
      <c r="D8348" s="1" t="n">
        <v>44519</v>
      </c>
      <c r="E8348" s="1" t="n">
        <v>46319</v>
      </c>
      <c r="F8348" t="inlineStr">
        <is>
          <t>DALARNAS LÄN</t>
        </is>
      </c>
      <c r="G8348" t="inlineStr">
        <is>
          <t>RÄTTVIK</t>
        </is>
      </c>
      <c r="I8348" t="n">
        <v>0.3</v>
      </c>
      <c r="J8348" t="n">
        <v>0</v>
      </c>
      <c r="K8348" t="n">
        <v>0</v>
      </c>
      <c r="L8348" t="n">
        <v>0</v>
      </c>
      <c r="M8348" t="n">
        <v>0</v>
      </c>
      <c r="N8348" t="n">
        <v>0</v>
      </c>
      <c r="O8348" t="n">
        <v>0</v>
      </c>
      <c r="P8348" t="n">
        <v>0</v>
      </c>
      <c r="Q8348" t="n">
        <v>0</v>
      </c>
      <c r="R8348" t="n">
        <v>0</v>
      </c>
      <c r="S8348" t="n">
        <v>0</v>
      </c>
      <c r="T8348" t="n">
        <v>0</v>
      </c>
      <c r="U8348" t="n">
        <v>0</v>
      </c>
      <c r="V8348" s="2" t="inlineStr"/>
    </row>
    <row r="8349" ht="15" customHeight="1">
      <c r="A8349" t="inlineStr">
        <is>
          <t>A 52572-2023</t>
        </is>
      </c>
      <c r="B8349" t="inlineStr">
        <is>
          <t>avverkningsanmälan</t>
        </is>
      </c>
      <c r="C8349" t="inlineStr">
        <is>
          <t>Föryngringsavverkning</t>
        </is>
      </c>
      <c r="D8349" s="1" t="n">
        <v>45225</v>
      </c>
      <c r="E8349" s="1" t="n">
        <v>46319</v>
      </c>
      <c r="F8349" t="inlineStr">
        <is>
          <t>DALARNAS LÄN</t>
        </is>
      </c>
      <c r="G8349" t="inlineStr">
        <is>
          <t>VANSBRO</t>
        </is>
      </c>
      <c r="H8349" t="inlineStr">
        <is>
          <t>Övriga statliga verk och myndigheter</t>
        </is>
      </c>
      <c r="I8349" t="n">
        <v>0.5</v>
      </c>
      <c r="J8349" t="n">
        <v>0</v>
      </c>
      <c r="K8349" t="n">
        <v>0</v>
      </c>
      <c r="L8349" t="n">
        <v>0</v>
      </c>
      <c r="M8349" t="n">
        <v>0</v>
      </c>
      <c r="N8349" t="n">
        <v>0</v>
      </c>
      <c r="O8349" t="n">
        <v>0</v>
      </c>
      <c r="P8349" t="n">
        <v>0</v>
      </c>
      <c r="Q8349" t="n">
        <v>0</v>
      </c>
      <c r="R8349" t="n">
        <v>0</v>
      </c>
      <c r="S8349" t="n">
        <v>0</v>
      </c>
      <c r="T8349" t="n">
        <v>0</v>
      </c>
      <c r="U8349" t="n">
        <v>0</v>
      </c>
      <c r="V8349" s="2" t="inlineStr"/>
    </row>
    <row r="8350" ht="15" customHeight="1">
      <c r="A8350" t="inlineStr">
        <is>
          <t>A 15340-2025</t>
        </is>
      </c>
      <c r="B8350" t="inlineStr">
        <is>
          <t>avverkningsanmälan</t>
        </is>
      </c>
      <c r="C8350" t="inlineStr">
        <is>
          <t>Föryngringsavverkning</t>
        </is>
      </c>
      <c r="D8350" s="1" t="n">
        <v>45747</v>
      </c>
      <c r="E8350" s="1" t="n">
        <v>46319</v>
      </c>
      <c r="F8350" t="inlineStr">
        <is>
          <t>DALARNAS LÄN</t>
        </is>
      </c>
      <c r="G8350" t="inlineStr">
        <is>
          <t>MALUNG-SÄLEN</t>
        </is>
      </c>
      <c r="I8350" t="n">
        <v>0.6</v>
      </c>
      <c r="J8350" t="n">
        <v>0</v>
      </c>
      <c r="K8350" t="n">
        <v>0</v>
      </c>
      <c r="L8350" t="n">
        <v>0</v>
      </c>
      <c r="M8350" t="n">
        <v>0</v>
      </c>
      <c r="N8350" t="n">
        <v>0</v>
      </c>
      <c r="O8350" t="n">
        <v>0</v>
      </c>
      <c r="P8350" t="n">
        <v>0</v>
      </c>
      <c r="Q8350" t="n">
        <v>0</v>
      </c>
      <c r="R8350" t="n">
        <v>0</v>
      </c>
      <c r="S8350" t="n">
        <v>0</v>
      </c>
      <c r="T8350" t="n">
        <v>0</v>
      </c>
      <c r="U8350" t="n">
        <v>0</v>
      </c>
      <c r="V8350" s="2" t="inlineStr"/>
    </row>
    <row r="8351" ht="15" customHeight="1">
      <c r="A8351" t="inlineStr">
        <is>
          <t>A 36169-2024</t>
        </is>
      </c>
      <c r="B8351" t="inlineStr">
        <is>
          <t>avverkningsanmälan</t>
        </is>
      </c>
      <c r="C8351" t="inlineStr">
        <is>
          <t>Föryngringsavverkning</t>
        </is>
      </c>
      <c r="D8351" s="1" t="n">
        <v>45534</v>
      </c>
      <c r="E8351" s="1" t="n">
        <v>46319</v>
      </c>
      <c r="F8351" t="inlineStr">
        <is>
          <t>DALARNAS LÄN</t>
        </is>
      </c>
      <c r="G8351" t="inlineStr">
        <is>
          <t>RÄTTVIK</t>
        </is>
      </c>
      <c r="I8351" t="n">
        <v>1.1</v>
      </c>
      <c r="J8351" t="n">
        <v>0</v>
      </c>
      <c r="K8351" t="n">
        <v>0</v>
      </c>
      <c r="L8351" t="n">
        <v>0</v>
      </c>
      <c r="M8351" t="n">
        <v>0</v>
      </c>
      <c r="N8351" t="n">
        <v>0</v>
      </c>
      <c r="O8351" t="n">
        <v>0</v>
      </c>
      <c r="P8351" t="n">
        <v>0</v>
      </c>
      <c r="Q8351" t="n">
        <v>0</v>
      </c>
      <c r="R8351" t="n">
        <v>0</v>
      </c>
      <c r="S8351" t="n">
        <v>0</v>
      </c>
      <c r="T8351" t="n">
        <v>0</v>
      </c>
      <c r="U8351" t="n">
        <v>0</v>
      </c>
      <c r="V8351" s="2" t="inlineStr"/>
    </row>
    <row r="8352" ht="15" customHeight="1">
      <c r="A8352" t="inlineStr">
        <is>
          <t>A 36214-2024</t>
        </is>
      </c>
      <c r="B8352" t="inlineStr">
        <is>
          <t>avverkningsanmälan</t>
        </is>
      </c>
      <c r="C8352" t="inlineStr">
        <is>
          <t>Föryngringsavverkning</t>
        </is>
      </c>
      <c r="D8352" s="1" t="n">
        <v>45534</v>
      </c>
      <c r="E8352" s="1" t="n">
        <v>46319</v>
      </c>
      <c r="F8352" t="inlineStr">
        <is>
          <t>DALARNAS LÄN</t>
        </is>
      </c>
      <c r="G8352" t="inlineStr">
        <is>
          <t>BORLÄNGE</t>
        </is>
      </c>
      <c r="I8352" t="n">
        <v>0.7</v>
      </c>
      <c r="J8352" t="n">
        <v>0</v>
      </c>
      <c r="K8352" t="n">
        <v>0</v>
      </c>
      <c r="L8352" t="n">
        <v>0</v>
      </c>
      <c r="M8352" t="n">
        <v>0</v>
      </c>
      <c r="N8352" t="n">
        <v>0</v>
      </c>
      <c r="O8352" t="n">
        <v>0</v>
      </c>
      <c r="P8352" t="n">
        <v>0</v>
      </c>
      <c r="Q8352" t="n">
        <v>0</v>
      </c>
      <c r="R8352" t="n">
        <v>0</v>
      </c>
      <c r="S8352" t="n">
        <v>0</v>
      </c>
      <c r="T8352" t="n">
        <v>0</v>
      </c>
      <c r="U8352" t="n">
        <v>0</v>
      </c>
      <c r="V8352" s="2" t="inlineStr"/>
    </row>
    <row r="8353" ht="15" customHeight="1">
      <c r="A8353" t="inlineStr">
        <is>
          <t>A 36217-2024</t>
        </is>
      </c>
      <c r="B8353" t="inlineStr">
        <is>
          <t>avverkningsanmälan</t>
        </is>
      </c>
      <c r="C8353" t="inlineStr">
        <is>
          <t>Föryngringsavverkning</t>
        </is>
      </c>
      <c r="D8353" s="1" t="n">
        <v>45534</v>
      </c>
      <c r="E8353" s="1" t="n">
        <v>46319</v>
      </c>
      <c r="F8353" t="inlineStr">
        <is>
          <t>DALARNAS LÄN</t>
        </is>
      </c>
      <c r="G8353" t="inlineStr">
        <is>
          <t>BORLÄNGE</t>
        </is>
      </c>
      <c r="I8353" t="n">
        <v>0.7</v>
      </c>
      <c r="J8353" t="n">
        <v>0</v>
      </c>
      <c r="K8353" t="n">
        <v>0</v>
      </c>
      <c r="L8353" t="n">
        <v>0</v>
      </c>
      <c r="M8353" t="n">
        <v>0</v>
      </c>
      <c r="N8353" t="n">
        <v>0</v>
      </c>
      <c r="O8353" t="n">
        <v>0</v>
      </c>
      <c r="P8353" t="n">
        <v>0</v>
      </c>
      <c r="Q8353" t="n">
        <v>0</v>
      </c>
      <c r="R8353" t="n">
        <v>0</v>
      </c>
      <c r="S8353" t="n">
        <v>0</v>
      </c>
      <c r="T8353" t="n">
        <v>0</v>
      </c>
      <c r="U8353" t="n">
        <v>0</v>
      </c>
      <c r="V8353" s="2" t="inlineStr"/>
    </row>
    <row r="8354" ht="15" customHeight="1">
      <c r="A8354" t="inlineStr">
        <is>
          <t>A 44034-2023</t>
        </is>
      </c>
      <c r="B8354" t="inlineStr">
        <is>
          <t>avverkningsanmälan</t>
        </is>
      </c>
      <c r="C8354" t="inlineStr">
        <is>
          <t>Avverkning för annat ändamål</t>
        </is>
      </c>
      <c r="D8354" s="1" t="n">
        <v>45188</v>
      </c>
      <c r="E8354" s="1" t="n">
        <v>46319</v>
      </c>
      <c r="F8354" t="inlineStr">
        <is>
          <t>DALARNAS LÄN</t>
        </is>
      </c>
      <c r="G8354" t="inlineStr">
        <is>
          <t>SMEDJEBACKEN</t>
        </is>
      </c>
      <c r="H8354" t="inlineStr">
        <is>
          <t>Sveaskog</t>
        </is>
      </c>
      <c r="I8354" t="n">
        <v>0.4</v>
      </c>
      <c r="J8354" t="n">
        <v>0</v>
      </c>
      <c r="K8354" t="n">
        <v>0</v>
      </c>
      <c r="L8354" t="n">
        <v>0</v>
      </c>
      <c r="M8354" t="n">
        <v>0</v>
      </c>
      <c r="N8354" t="n">
        <v>0</v>
      </c>
      <c r="O8354" t="n">
        <v>0</v>
      </c>
      <c r="P8354" t="n">
        <v>0</v>
      </c>
      <c r="Q8354" t="n">
        <v>0</v>
      </c>
      <c r="R8354" t="n">
        <v>0</v>
      </c>
      <c r="S8354" t="n">
        <v>0</v>
      </c>
      <c r="T8354" t="n">
        <v>0</v>
      </c>
      <c r="U8354" t="n">
        <v>0</v>
      </c>
      <c r="V8354" s="2" t="inlineStr"/>
    </row>
    <row r="8355" ht="15" customHeight="1">
      <c r="A8355" t="inlineStr">
        <is>
          <t>A 56388-2023</t>
        </is>
      </c>
      <c r="B8355" t="inlineStr">
        <is>
          <t>avverkningsanmälan</t>
        </is>
      </c>
      <c r="C8355" t="inlineStr">
        <is>
          <t>Föryngringsavverkning</t>
        </is>
      </c>
      <c r="D8355" s="1" t="n">
        <v>45243</v>
      </c>
      <c r="E8355" s="1" t="n">
        <v>46319</v>
      </c>
      <c r="F8355" t="inlineStr">
        <is>
          <t>DALARNAS LÄN</t>
        </is>
      </c>
      <c r="G8355" t="inlineStr">
        <is>
          <t>MALUNG-SÄLEN</t>
        </is>
      </c>
      <c r="I8355" t="n">
        <v>2.9</v>
      </c>
      <c r="J8355" t="n">
        <v>0</v>
      </c>
      <c r="K8355" t="n">
        <v>0</v>
      </c>
      <c r="L8355" t="n">
        <v>0</v>
      </c>
      <c r="M8355" t="n">
        <v>0</v>
      </c>
      <c r="N8355" t="n">
        <v>0</v>
      </c>
      <c r="O8355" t="n">
        <v>0</v>
      </c>
      <c r="P8355" t="n">
        <v>0</v>
      </c>
      <c r="Q8355" t="n">
        <v>0</v>
      </c>
      <c r="R8355" t="n">
        <v>0</v>
      </c>
      <c r="S8355" t="n">
        <v>0</v>
      </c>
      <c r="T8355" t="n">
        <v>0</v>
      </c>
      <c r="U8355" t="n">
        <v>0</v>
      </c>
      <c r="V8355" s="2" t="inlineStr"/>
    </row>
    <row r="8356" ht="15" customHeight="1">
      <c r="A8356" t="inlineStr">
        <is>
          <t>A 16135-2023</t>
        </is>
      </c>
      <c r="B8356" t="inlineStr">
        <is>
          <t>avverkningsanmälan</t>
        </is>
      </c>
      <c r="C8356" t="inlineStr">
        <is>
          <t>Föryngringsavverkning</t>
        </is>
      </c>
      <c r="D8356" s="1" t="n">
        <v>45027</v>
      </c>
      <c r="E8356" s="1" t="n">
        <v>46319</v>
      </c>
      <c r="F8356" t="inlineStr">
        <is>
          <t>DALARNAS LÄN</t>
        </is>
      </c>
      <c r="G8356" t="inlineStr">
        <is>
          <t>LEKSAND</t>
        </is>
      </c>
      <c r="I8356" t="n">
        <v>4.9</v>
      </c>
      <c r="J8356" t="n">
        <v>0</v>
      </c>
      <c r="K8356" t="n">
        <v>0</v>
      </c>
      <c r="L8356" t="n">
        <v>0</v>
      </c>
      <c r="M8356" t="n">
        <v>0</v>
      </c>
      <c r="N8356" t="n">
        <v>0</v>
      </c>
      <c r="O8356" t="n">
        <v>0</v>
      </c>
      <c r="P8356" t="n">
        <v>0</v>
      </c>
      <c r="Q8356" t="n">
        <v>0</v>
      </c>
      <c r="R8356" t="n">
        <v>0</v>
      </c>
      <c r="S8356" t="n">
        <v>0</v>
      </c>
      <c r="T8356" t="n">
        <v>0</v>
      </c>
      <c r="U8356" t="n">
        <v>0</v>
      </c>
      <c r="V8356" s="2" t="inlineStr"/>
    </row>
    <row r="8357" ht="15" customHeight="1">
      <c r="A8357" t="inlineStr">
        <is>
          <t>A 30198-2024</t>
        </is>
      </c>
      <c r="B8357" t="inlineStr">
        <is>
          <t>avverkningsanmälan</t>
        </is>
      </c>
      <c r="C8357" t="inlineStr">
        <is>
          <t>Föryngringsavverkning</t>
        </is>
      </c>
      <c r="D8357" s="1" t="n">
        <v>45490</v>
      </c>
      <c r="E8357" s="1" t="n">
        <v>46319</v>
      </c>
      <c r="F8357" t="inlineStr">
        <is>
          <t>DALARNAS LÄN</t>
        </is>
      </c>
      <c r="G8357" t="inlineStr">
        <is>
          <t>LEKSAND</t>
        </is>
      </c>
      <c r="I8357" t="n">
        <v>0.8</v>
      </c>
      <c r="J8357" t="n">
        <v>0</v>
      </c>
      <c r="K8357" t="n">
        <v>0</v>
      </c>
      <c r="L8357" t="n">
        <v>0</v>
      </c>
      <c r="M8357" t="n">
        <v>0</v>
      </c>
      <c r="N8357" t="n">
        <v>0</v>
      </c>
      <c r="O8357" t="n">
        <v>0</v>
      </c>
      <c r="P8357" t="n">
        <v>0</v>
      </c>
      <c r="Q8357" t="n">
        <v>0</v>
      </c>
      <c r="R8357" t="n">
        <v>0</v>
      </c>
      <c r="S8357" t="n">
        <v>0</v>
      </c>
      <c r="T8357" t="n">
        <v>0</v>
      </c>
      <c r="U8357" t="n">
        <v>0</v>
      </c>
      <c r="V8357" s="2" t="inlineStr"/>
    </row>
    <row r="8358" ht="15" customHeight="1">
      <c r="A8358" t="inlineStr">
        <is>
          <t>A 10373-2023</t>
        </is>
      </c>
      <c r="B8358" t="inlineStr">
        <is>
          <t>avverkningsanmälan</t>
        </is>
      </c>
      <c r="C8358" t="inlineStr">
        <is>
          <t>Föryngringsavverkning</t>
        </is>
      </c>
      <c r="D8358" s="1" t="n">
        <v>44987</v>
      </c>
      <c r="E8358" s="1" t="n">
        <v>46319</v>
      </c>
      <c r="F8358" t="inlineStr">
        <is>
          <t>DALARNAS LÄN</t>
        </is>
      </c>
      <c r="G8358" t="inlineStr">
        <is>
          <t>LEKSAND</t>
        </is>
      </c>
      <c r="I8358" t="n">
        <v>0.3</v>
      </c>
      <c r="J8358" t="n">
        <v>0</v>
      </c>
      <c r="K8358" t="n">
        <v>0</v>
      </c>
      <c r="L8358" t="n">
        <v>0</v>
      </c>
      <c r="M8358" t="n">
        <v>0</v>
      </c>
      <c r="N8358" t="n">
        <v>0</v>
      </c>
      <c r="O8358" t="n">
        <v>0</v>
      </c>
      <c r="P8358" t="n">
        <v>0</v>
      </c>
      <c r="Q8358" t="n">
        <v>0</v>
      </c>
      <c r="R8358" t="n">
        <v>0</v>
      </c>
      <c r="S8358" t="n">
        <v>0</v>
      </c>
      <c r="T8358" t="n">
        <v>0</v>
      </c>
      <c r="U8358" t="n">
        <v>0</v>
      </c>
      <c r="V8358" s="2" t="inlineStr"/>
    </row>
    <row r="8359" ht="15" customHeight="1">
      <c r="A8359" t="inlineStr">
        <is>
          <t>A 56536-2024</t>
        </is>
      </c>
      <c r="B8359" t="inlineStr">
        <is>
          <t>avverkningsanmälan</t>
        </is>
      </c>
      <c r="C8359" t="inlineStr">
        <is>
          <t>Föryngringsavverkning</t>
        </is>
      </c>
      <c r="D8359" s="1" t="n">
        <v>45625</v>
      </c>
      <c r="E8359" s="1" t="n">
        <v>46319</v>
      </c>
      <c r="F8359" t="inlineStr">
        <is>
          <t>DALARNAS LÄN</t>
        </is>
      </c>
      <c r="G8359" t="inlineStr">
        <is>
          <t>AVESTA</t>
        </is>
      </c>
      <c r="I8359" t="n">
        <v>0.7</v>
      </c>
      <c r="J8359" t="n">
        <v>0</v>
      </c>
      <c r="K8359" t="n">
        <v>0</v>
      </c>
      <c r="L8359" t="n">
        <v>0</v>
      </c>
      <c r="M8359" t="n">
        <v>0</v>
      </c>
      <c r="N8359" t="n">
        <v>0</v>
      </c>
      <c r="O8359" t="n">
        <v>0</v>
      </c>
      <c r="P8359" t="n">
        <v>0</v>
      </c>
      <c r="Q8359" t="n">
        <v>0</v>
      </c>
      <c r="R8359" t="n">
        <v>0</v>
      </c>
      <c r="S8359" t="n">
        <v>0</v>
      </c>
      <c r="T8359" t="n">
        <v>0</v>
      </c>
      <c r="U8359" t="n">
        <v>0</v>
      </c>
      <c r="V8359" s="2" t="inlineStr"/>
    </row>
    <row r="8360" ht="15" customHeight="1">
      <c r="A8360" t="inlineStr">
        <is>
          <t>A 5260-2025</t>
        </is>
      </c>
      <c r="B8360" t="inlineStr">
        <is>
          <t>avverkningsanmälan</t>
        </is>
      </c>
      <c r="C8360" t="inlineStr">
        <is>
          <t>Föryngringsavverkning</t>
        </is>
      </c>
      <c r="D8360" s="1" t="n">
        <v>45692</v>
      </c>
      <c r="E8360" s="1" t="n">
        <v>46319</v>
      </c>
      <c r="F8360" t="inlineStr">
        <is>
          <t>DALARNAS LÄN</t>
        </is>
      </c>
      <c r="G8360" t="inlineStr">
        <is>
          <t>BORLÄNGE</t>
        </is>
      </c>
      <c r="I8360" t="n">
        <v>0.7</v>
      </c>
      <c r="J8360" t="n">
        <v>0</v>
      </c>
      <c r="K8360" t="n">
        <v>0</v>
      </c>
      <c r="L8360" t="n">
        <v>0</v>
      </c>
      <c r="M8360" t="n">
        <v>0</v>
      </c>
      <c r="N8360" t="n">
        <v>0</v>
      </c>
      <c r="O8360" t="n">
        <v>0</v>
      </c>
      <c r="P8360" t="n">
        <v>0</v>
      </c>
      <c r="Q8360" t="n">
        <v>0</v>
      </c>
      <c r="R8360" t="n">
        <v>0</v>
      </c>
      <c r="S8360" t="n">
        <v>0</v>
      </c>
      <c r="T8360" t="n">
        <v>0</v>
      </c>
      <c r="U8360" t="n">
        <v>0</v>
      </c>
      <c r="V8360" s="2" t="inlineStr"/>
    </row>
    <row r="8361" ht="15" customHeight="1">
      <c r="A8361" t="inlineStr">
        <is>
          <t>A 5017-2025</t>
        </is>
      </c>
      <c r="B8361" t="inlineStr">
        <is>
          <t>avverkningsanmälan</t>
        </is>
      </c>
      <c r="C8361" t="inlineStr">
        <is>
          <t>Föryngringsavverkning</t>
        </is>
      </c>
      <c r="D8361" s="1" t="n">
        <v>45691</v>
      </c>
      <c r="E8361" s="1" t="n">
        <v>46319</v>
      </c>
      <c r="F8361" t="inlineStr">
        <is>
          <t>DALARNAS LÄN</t>
        </is>
      </c>
      <c r="G8361" t="inlineStr">
        <is>
          <t>VANSBRO</t>
        </is>
      </c>
      <c r="I8361" t="n">
        <v>2.2</v>
      </c>
      <c r="J8361" t="n">
        <v>0</v>
      </c>
      <c r="K8361" t="n">
        <v>0</v>
      </c>
      <c r="L8361" t="n">
        <v>0</v>
      </c>
      <c r="M8361" t="n">
        <v>0</v>
      </c>
      <c r="N8361" t="n">
        <v>0</v>
      </c>
      <c r="O8361" t="n">
        <v>0</v>
      </c>
      <c r="P8361" t="n">
        <v>0</v>
      </c>
      <c r="Q8361" t="n">
        <v>0</v>
      </c>
      <c r="R8361" t="n">
        <v>0</v>
      </c>
      <c r="S8361" t="n">
        <v>0</v>
      </c>
      <c r="T8361" t="n">
        <v>0</v>
      </c>
      <c r="U8361" t="n">
        <v>0</v>
      </c>
      <c r="V8361" s="2" t="inlineStr"/>
    </row>
    <row r="8362" ht="15" customHeight="1">
      <c r="A8362" t="inlineStr">
        <is>
          <t>A 5019-2025</t>
        </is>
      </c>
      <c r="B8362" t="inlineStr">
        <is>
          <t>avverkningsanmälan</t>
        </is>
      </c>
      <c r="C8362" t="inlineStr">
        <is>
          <t>Föryngringsavverkning</t>
        </is>
      </c>
      <c r="D8362" s="1" t="n">
        <v>45691</v>
      </c>
      <c r="E8362" s="1" t="n">
        <v>46319</v>
      </c>
      <c r="F8362" t="inlineStr">
        <is>
          <t>DALARNAS LÄN</t>
        </is>
      </c>
      <c r="G8362" t="inlineStr">
        <is>
          <t>VANSBRO</t>
        </is>
      </c>
      <c r="I8362" t="n">
        <v>0.5</v>
      </c>
      <c r="J8362" t="n">
        <v>0</v>
      </c>
      <c r="K8362" t="n">
        <v>0</v>
      </c>
      <c r="L8362" t="n">
        <v>0</v>
      </c>
      <c r="M8362" t="n">
        <v>0</v>
      </c>
      <c r="N8362" t="n">
        <v>0</v>
      </c>
      <c r="O8362" t="n">
        <v>0</v>
      </c>
      <c r="P8362" t="n">
        <v>0</v>
      </c>
      <c r="Q8362" t="n">
        <v>0</v>
      </c>
      <c r="R8362" t="n">
        <v>0</v>
      </c>
      <c r="S8362" t="n">
        <v>0</v>
      </c>
      <c r="T8362" t="n">
        <v>0</v>
      </c>
      <c r="U8362" t="n">
        <v>0</v>
      </c>
      <c r="V8362" s="2" t="inlineStr"/>
    </row>
    <row r="8363" ht="15" customHeight="1">
      <c r="A8363" t="inlineStr">
        <is>
          <t>A 27910-2023</t>
        </is>
      </c>
      <c r="B8363" t="inlineStr">
        <is>
          <t>avverkningsanmälan</t>
        </is>
      </c>
      <c r="C8363" t="inlineStr">
        <is>
          <t>Föryngringsavverkning</t>
        </is>
      </c>
      <c r="D8363" s="1" t="n">
        <v>45098</v>
      </c>
      <c r="E8363" s="1" t="n">
        <v>46319</v>
      </c>
      <c r="F8363" t="inlineStr">
        <is>
          <t>DALARNAS LÄN</t>
        </is>
      </c>
      <c r="G8363" t="inlineStr">
        <is>
          <t>SÄTER</t>
        </is>
      </c>
      <c r="I8363" t="n">
        <v>0.5</v>
      </c>
      <c r="J8363" t="n">
        <v>0</v>
      </c>
      <c r="K8363" t="n">
        <v>0</v>
      </c>
      <c r="L8363" t="n">
        <v>0</v>
      </c>
      <c r="M8363" t="n">
        <v>0</v>
      </c>
      <c r="N8363" t="n">
        <v>0</v>
      </c>
      <c r="O8363" t="n">
        <v>0</v>
      </c>
      <c r="P8363" t="n">
        <v>0</v>
      </c>
      <c r="Q8363" t="n">
        <v>0</v>
      </c>
      <c r="R8363" t="n">
        <v>0</v>
      </c>
      <c r="S8363" t="n">
        <v>0</v>
      </c>
      <c r="T8363" t="n">
        <v>0</v>
      </c>
      <c r="U8363" t="n">
        <v>0</v>
      </c>
      <c r="V8363" s="2" t="inlineStr"/>
    </row>
    <row r="8364" ht="15" customHeight="1">
      <c r="A8364" t="inlineStr">
        <is>
          <t>A 38440-2022</t>
        </is>
      </c>
      <c r="B8364" t="inlineStr">
        <is>
          <t>avverkningsanmälan</t>
        </is>
      </c>
      <c r="C8364" t="inlineStr">
        <is>
          <t>Föryngringsavverkning</t>
        </is>
      </c>
      <c r="D8364" s="1" t="n">
        <v>44813</v>
      </c>
      <c r="E8364" s="1" t="n">
        <v>46319</v>
      </c>
      <c r="F8364" t="inlineStr">
        <is>
          <t>DALARNAS LÄN</t>
        </is>
      </c>
      <c r="G8364" t="inlineStr">
        <is>
          <t>SMEDJEBACKEN</t>
        </is>
      </c>
      <c r="H8364" t="inlineStr">
        <is>
          <t>Bergvik skog väst AB</t>
        </is>
      </c>
      <c r="I8364" t="n">
        <v>2.4</v>
      </c>
      <c r="J8364" t="n">
        <v>0</v>
      </c>
      <c r="K8364" t="n">
        <v>0</v>
      </c>
      <c r="L8364" t="n">
        <v>0</v>
      </c>
      <c r="M8364" t="n">
        <v>0</v>
      </c>
      <c r="N8364" t="n">
        <v>0</v>
      </c>
      <c r="O8364" t="n">
        <v>0</v>
      </c>
      <c r="P8364" t="n">
        <v>0</v>
      </c>
      <c r="Q8364" t="n">
        <v>0</v>
      </c>
      <c r="R8364" t="n">
        <v>0</v>
      </c>
      <c r="S8364" t="n">
        <v>0</v>
      </c>
      <c r="T8364" t="n">
        <v>0</v>
      </c>
      <c r="U8364" t="n">
        <v>0</v>
      </c>
      <c r="V8364" s="2" t="inlineStr"/>
    </row>
    <row r="8365" ht="15" customHeight="1">
      <c r="A8365" t="inlineStr">
        <is>
          <t>A 4680-2023</t>
        </is>
      </c>
      <c r="B8365" t="inlineStr">
        <is>
          <t>avverkningsanmälan</t>
        </is>
      </c>
      <c r="C8365" t="inlineStr">
        <is>
          <t>Avverkning för att bevara och utveckla /försöksver</t>
        </is>
      </c>
      <c r="D8365" s="1" t="n">
        <v>44957</v>
      </c>
      <c r="E8365" s="1" t="n">
        <v>46319</v>
      </c>
      <c r="F8365" t="inlineStr">
        <is>
          <t>DALARNAS LÄN</t>
        </is>
      </c>
      <c r="G8365" t="inlineStr">
        <is>
          <t>VANSBRO</t>
        </is>
      </c>
      <c r="H8365" t="inlineStr">
        <is>
          <t>Bergvik skog öst AB</t>
        </is>
      </c>
      <c r="I8365" t="n">
        <v>3.6</v>
      </c>
      <c r="J8365" t="n">
        <v>0</v>
      </c>
      <c r="K8365" t="n">
        <v>0</v>
      </c>
      <c r="L8365" t="n">
        <v>0</v>
      </c>
      <c r="M8365" t="n">
        <v>0</v>
      </c>
      <c r="N8365" t="n">
        <v>0</v>
      </c>
      <c r="O8365" t="n">
        <v>0</v>
      </c>
      <c r="P8365" t="n">
        <v>0</v>
      </c>
      <c r="Q8365" t="n">
        <v>0</v>
      </c>
      <c r="R8365" t="n">
        <v>0</v>
      </c>
      <c r="S8365" t="n">
        <v>0</v>
      </c>
      <c r="T8365" t="n">
        <v>0</v>
      </c>
      <c r="U8365" t="n">
        <v>0</v>
      </c>
      <c r="V8365" s="2" t="inlineStr"/>
    </row>
    <row r="8366" ht="15" customHeight="1">
      <c r="A8366" t="inlineStr">
        <is>
          <t>A 41365-2023</t>
        </is>
      </c>
      <c r="B8366" t="inlineStr">
        <is>
          <t>avverkningsanmälan</t>
        </is>
      </c>
      <c r="C8366" t="inlineStr">
        <is>
          <t>Föryngringsavverkning</t>
        </is>
      </c>
      <c r="D8366" s="1" t="n">
        <v>45174</v>
      </c>
      <c r="E8366" s="1" t="n">
        <v>46319</v>
      </c>
      <c r="F8366" t="inlineStr">
        <is>
          <t>DALARNAS LÄN</t>
        </is>
      </c>
      <c r="G8366" t="inlineStr">
        <is>
          <t>GAGNEF</t>
        </is>
      </c>
      <c r="I8366" t="n">
        <v>0.8</v>
      </c>
      <c r="J8366" t="n">
        <v>0</v>
      </c>
      <c r="K8366" t="n">
        <v>0</v>
      </c>
      <c r="L8366" t="n">
        <v>0</v>
      </c>
      <c r="M8366" t="n">
        <v>0</v>
      </c>
      <c r="N8366" t="n">
        <v>0</v>
      </c>
      <c r="O8366" t="n">
        <v>0</v>
      </c>
      <c r="P8366" t="n">
        <v>0</v>
      </c>
      <c r="Q8366" t="n">
        <v>0</v>
      </c>
      <c r="R8366" t="n">
        <v>0</v>
      </c>
      <c r="S8366" t="n">
        <v>0</v>
      </c>
      <c r="T8366" t="n">
        <v>0</v>
      </c>
      <c r="U8366" t="n">
        <v>0</v>
      </c>
      <c r="V8366" s="2" t="inlineStr"/>
    </row>
    <row r="8367" ht="15" customHeight="1">
      <c r="A8367" t="inlineStr">
        <is>
          <t>A 5298-2023</t>
        </is>
      </c>
      <c r="B8367" t="inlineStr">
        <is>
          <t>avverkningsanmälan</t>
        </is>
      </c>
      <c r="C8367" t="inlineStr">
        <is>
          <t>Föryngringsavverkning</t>
        </is>
      </c>
      <c r="D8367" s="1" t="n">
        <v>44959</v>
      </c>
      <c r="E8367" s="1" t="n">
        <v>46319</v>
      </c>
      <c r="F8367" t="inlineStr">
        <is>
          <t>DALARNAS LÄN</t>
        </is>
      </c>
      <c r="G8367" t="inlineStr">
        <is>
          <t>MORA</t>
        </is>
      </c>
      <c r="H8367" t="inlineStr">
        <is>
          <t>Bergvik skog väst AB</t>
        </is>
      </c>
      <c r="I8367" t="n">
        <v>6.2</v>
      </c>
      <c r="J8367" t="n">
        <v>0</v>
      </c>
      <c r="K8367" t="n">
        <v>0</v>
      </c>
      <c r="L8367" t="n">
        <v>0</v>
      </c>
      <c r="M8367" t="n">
        <v>0</v>
      </c>
      <c r="N8367" t="n">
        <v>0</v>
      </c>
      <c r="O8367" t="n">
        <v>0</v>
      </c>
      <c r="P8367" t="n">
        <v>0</v>
      </c>
      <c r="Q8367" t="n">
        <v>0</v>
      </c>
      <c r="R8367" t="n">
        <v>0</v>
      </c>
      <c r="S8367" t="n">
        <v>0</v>
      </c>
      <c r="T8367" t="n">
        <v>0</v>
      </c>
      <c r="U8367" t="n">
        <v>0</v>
      </c>
      <c r="V8367" s="2" t="inlineStr"/>
    </row>
    <row r="8368" ht="15" customHeight="1">
      <c r="A8368" t="inlineStr">
        <is>
          <t>A 25441-2023</t>
        </is>
      </c>
      <c r="B8368" t="inlineStr">
        <is>
          <t>avverkningsanmälan</t>
        </is>
      </c>
      <c r="C8368" t="inlineStr">
        <is>
          <t>Föryngringsavverkning</t>
        </is>
      </c>
      <c r="D8368" s="1" t="n">
        <v>45089</v>
      </c>
      <c r="E8368" s="1" t="n">
        <v>46319</v>
      </c>
      <c r="F8368" t="inlineStr">
        <is>
          <t>DALARNAS LÄN</t>
        </is>
      </c>
      <c r="G8368" t="inlineStr">
        <is>
          <t>MALUNG-SÄLEN</t>
        </is>
      </c>
      <c r="H8368" t="inlineStr">
        <is>
          <t>Bergvik skog öst AB</t>
        </is>
      </c>
      <c r="I8368" t="n">
        <v>0.6</v>
      </c>
      <c r="J8368" t="n">
        <v>0</v>
      </c>
      <c r="K8368" t="n">
        <v>0</v>
      </c>
      <c r="L8368" t="n">
        <v>0</v>
      </c>
      <c r="M8368" t="n">
        <v>0</v>
      </c>
      <c r="N8368" t="n">
        <v>0</v>
      </c>
      <c r="O8368" t="n">
        <v>0</v>
      </c>
      <c r="P8368" t="n">
        <v>0</v>
      </c>
      <c r="Q8368" t="n">
        <v>0</v>
      </c>
      <c r="R8368" t="n">
        <v>0</v>
      </c>
      <c r="S8368" t="n">
        <v>0</v>
      </c>
      <c r="T8368" t="n">
        <v>0</v>
      </c>
      <c r="U8368" t="n">
        <v>0</v>
      </c>
      <c r="V8368" s="2" t="inlineStr"/>
    </row>
    <row r="8369" ht="15" customHeight="1">
      <c r="A8369" t="inlineStr">
        <is>
          <t>A 25463-2023</t>
        </is>
      </c>
      <c r="B8369" t="inlineStr">
        <is>
          <t>avverkningsanmälan</t>
        </is>
      </c>
      <c r="C8369" t="inlineStr">
        <is>
          <t>Föryngringsavverkning</t>
        </is>
      </c>
      <c r="D8369" s="1" t="n">
        <v>45082</v>
      </c>
      <c r="E8369" s="1" t="n">
        <v>46319</v>
      </c>
      <c r="F8369" t="inlineStr">
        <is>
          <t>DALARNAS LÄN</t>
        </is>
      </c>
      <c r="G8369" t="inlineStr">
        <is>
          <t>AVESTA</t>
        </is>
      </c>
      <c r="I8369" t="n">
        <v>1.5</v>
      </c>
      <c r="J8369" t="n">
        <v>0</v>
      </c>
      <c r="K8369" t="n">
        <v>0</v>
      </c>
      <c r="L8369" t="n">
        <v>0</v>
      </c>
      <c r="M8369" t="n">
        <v>0</v>
      </c>
      <c r="N8369" t="n">
        <v>0</v>
      </c>
      <c r="O8369" t="n">
        <v>0</v>
      </c>
      <c r="P8369" t="n">
        <v>0</v>
      </c>
      <c r="Q8369" t="n">
        <v>0</v>
      </c>
      <c r="R8369" t="n">
        <v>0</v>
      </c>
      <c r="S8369" t="n">
        <v>0</v>
      </c>
      <c r="T8369" t="n">
        <v>0</v>
      </c>
      <c r="U8369" t="n">
        <v>0</v>
      </c>
      <c r="V8369" s="2" t="inlineStr"/>
    </row>
    <row r="8370" ht="15" customHeight="1">
      <c r="A8370" t="inlineStr">
        <is>
          <t>A 2838-2022</t>
        </is>
      </c>
      <c r="B8370" t="inlineStr">
        <is>
          <t>avverkningsanmälan</t>
        </is>
      </c>
      <c r="C8370" t="inlineStr">
        <is>
          <t>Avverkning för annat ändamål</t>
        </is>
      </c>
      <c r="D8370" s="1" t="n">
        <v>44581</v>
      </c>
      <c r="E8370" s="1" t="n">
        <v>46319</v>
      </c>
      <c r="F8370" t="inlineStr">
        <is>
          <t>DALARNAS LÄN</t>
        </is>
      </c>
      <c r="G8370" t="inlineStr">
        <is>
          <t>LUDVIKA</t>
        </is>
      </c>
      <c r="H8370" t="inlineStr">
        <is>
          <t>Bergvik skog väst AB</t>
        </is>
      </c>
      <c r="I8370" t="n">
        <v>2</v>
      </c>
      <c r="J8370" t="n">
        <v>0</v>
      </c>
      <c r="K8370" t="n">
        <v>0</v>
      </c>
      <c r="L8370" t="n">
        <v>0</v>
      </c>
      <c r="M8370" t="n">
        <v>0</v>
      </c>
      <c r="N8370" t="n">
        <v>0</v>
      </c>
      <c r="O8370" t="n">
        <v>0</v>
      </c>
      <c r="P8370" t="n">
        <v>0</v>
      </c>
      <c r="Q8370" t="n">
        <v>0</v>
      </c>
      <c r="R8370" t="n">
        <v>0</v>
      </c>
      <c r="S8370" t="n">
        <v>0</v>
      </c>
      <c r="T8370" t="n">
        <v>0</v>
      </c>
      <c r="U8370" t="n">
        <v>0</v>
      </c>
      <c r="V8370" s="2" t="inlineStr"/>
    </row>
    <row r="8371" ht="15" customHeight="1">
      <c r="A8371" t="inlineStr">
        <is>
          <t>A 8538-2025</t>
        </is>
      </c>
      <c r="B8371" t="inlineStr">
        <is>
          <t>avverkningsanmälan</t>
        </is>
      </c>
      <c r="C8371" t="inlineStr">
        <is>
          <t>Föryngringsavverkning</t>
        </is>
      </c>
      <c r="D8371" s="1" t="n">
        <v>45709</v>
      </c>
      <c r="E8371" s="1" t="n">
        <v>46319</v>
      </c>
      <c r="F8371" t="inlineStr">
        <is>
          <t>DALARNAS LÄN</t>
        </is>
      </c>
      <c r="G8371" t="inlineStr">
        <is>
          <t>ÄLVDALEN</t>
        </is>
      </c>
      <c r="H8371" t="inlineStr">
        <is>
          <t>Allmännings- och besparingsskogar</t>
        </is>
      </c>
      <c r="I8371" t="n">
        <v>0.6</v>
      </c>
      <c r="J8371" t="n">
        <v>0</v>
      </c>
      <c r="K8371" t="n">
        <v>0</v>
      </c>
      <c r="L8371" t="n">
        <v>0</v>
      </c>
      <c r="M8371" t="n">
        <v>0</v>
      </c>
      <c r="N8371" t="n">
        <v>0</v>
      </c>
      <c r="O8371" t="n">
        <v>0</v>
      </c>
      <c r="P8371" t="n">
        <v>0</v>
      </c>
      <c r="Q8371" t="n">
        <v>0</v>
      </c>
      <c r="R8371" t="n">
        <v>0</v>
      </c>
      <c r="S8371" t="n">
        <v>0</v>
      </c>
      <c r="T8371" t="n">
        <v>0</v>
      </c>
      <c r="U8371" t="n">
        <v>0</v>
      </c>
      <c r="V8371" s="2" t="inlineStr"/>
    </row>
    <row r="8372" ht="15" customHeight="1">
      <c r="A8372" t="inlineStr">
        <is>
          <t>A 44679-2023</t>
        </is>
      </c>
      <c r="B8372" t="inlineStr">
        <is>
          <t>avverkningsanmälan</t>
        </is>
      </c>
      <c r="C8372" t="inlineStr">
        <is>
          <t>Föryngringsavverkning</t>
        </is>
      </c>
      <c r="D8372" s="1" t="n">
        <v>45189</v>
      </c>
      <c r="E8372" s="1" t="n">
        <v>46319</v>
      </c>
      <c r="F8372" t="inlineStr">
        <is>
          <t>DALARNAS LÄN</t>
        </is>
      </c>
      <c r="G8372" t="inlineStr">
        <is>
          <t>VANSBRO</t>
        </is>
      </c>
      <c r="I8372" t="n">
        <v>2.1</v>
      </c>
      <c r="J8372" t="n">
        <v>0</v>
      </c>
      <c r="K8372" t="n">
        <v>0</v>
      </c>
      <c r="L8372" t="n">
        <v>0</v>
      </c>
      <c r="M8372" t="n">
        <v>0</v>
      </c>
      <c r="N8372" t="n">
        <v>0</v>
      </c>
      <c r="O8372" t="n">
        <v>0</v>
      </c>
      <c r="P8372" t="n">
        <v>0</v>
      </c>
      <c r="Q8372" t="n">
        <v>0</v>
      </c>
      <c r="R8372" t="n">
        <v>0</v>
      </c>
      <c r="S8372" t="n">
        <v>0</v>
      </c>
      <c r="T8372" t="n">
        <v>0</v>
      </c>
      <c r="U8372" t="n">
        <v>0</v>
      </c>
      <c r="V8372" s="2" t="inlineStr"/>
    </row>
    <row r="8373" ht="15" customHeight="1">
      <c r="A8373" t="inlineStr">
        <is>
          <t>A 44116-2023</t>
        </is>
      </c>
      <c r="B8373" t="inlineStr">
        <is>
          <t>avverkningsanmälan</t>
        </is>
      </c>
      <c r="C8373" t="inlineStr">
        <is>
          <t>Föryngringsavverkning</t>
        </is>
      </c>
      <c r="D8373" s="1" t="n">
        <v>45188</v>
      </c>
      <c r="E8373" s="1" t="n">
        <v>46319</v>
      </c>
      <c r="F8373" t="inlineStr">
        <is>
          <t>DALARNAS LÄN</t>
        </is>
      </c>
      <c r="G8373" t="inlineStr">
        <is>
          <t>SMEDJEBACKEN</t>
        </is>
      </c>
      <c r="H8373" t="inlineStr">
        <is>
          <t>Bergvik skog väst AB</t>
        </is>
      </c>
      <c r="I8373" t="n">
        <v>1.6</v>
      </c>
      <c r="J8373" t="n">
        <v>0</v>
      </c>
      <c r="K8373" t="n">
        <v>0</v>
      </c>
      <c r="L8373" t="n">
        <v>0</v>
      </c>
      <c r="M8373" t="n">
        <v>0</v>
      </c>
      <c r="N8373" t="n">
        <v>0</v>
      </c>
      <c r="O8373" t="n">
        <v>0</v>
      </c>
      <c r="P8373" t="n">
        <v>0</v>
      </c>
      <c r="Q8373" t="n">
        <v>0</v>
      </c>
      <c r="R8373" t="n">
        <v>0</v>
      </c>
      <c r="S8373" t="n">
        <v>0</v>
      </c>
      <c r="T8373" t="n">
        <v>0</v>
      </c>
      <c r="U8373" t="n">
        <v>0</v>
      </c>
      <c r="V8373" s="2" t="inlineStr"/>
    </row>
    <row r="8374" ht="15" customHeight="1">
      <c r="A8374" t="inlineStr">
        <is>
          <t>A 7321-2025</t>
        </is>
      </c>
      <c r="B8374" t="inlineStr">
        <is>
          <t>avverkningsanmälan</t>
        </is>
      </c>
      <c r="C8374" t="inlineStr">
        <is>
          <t>Föryngringsavverkning</t>
        </is>
      </c>
      <c r="D8374" s="1" t="n">
        <v>45702</v>
      </c>
      <c r="E8374" s="1" t="n">
        <v>46319</v>
      </c>
      <c r="F8374" t="inlineStr">
        <is>
          <t>DALARNAS LÄN</t>
        </is>
      </c>
      <c r="G8374" t="inlineStr">
        <is>
          <t>AVESTA</t>
        </is>
      </c>
      <c r="I8374" t="n">
        <v>0.7</v>
      </c>
      <c r="J8374" t="n">
        <v>0</v>
      </c>
      <c r="K8374" t="n">
        <v>0</v>
      </c>
      <c r="L8374" t="n">
        <v>0</v>
      </c>
      <c r="M8374" t="n">
        <v>0</v>
      </c>
      <c r="N8374" t="n">
        <v>0</v>
      </c>
      <c r="O8374" t="n">
        <v>0</v>
      </c>
      <c r="P8374" t="n">
        <v>0</v>
      </c>
      <c r="Q8374" t="n">
        <v>0</v>
      </c>
      <c r="R8374" t="n">
        <v>0</v>
      </c>
      <c r="S8374" t="n">
        <v>0</v>
      </c>
      <c r="T8374" t="n">
        <v>0</v>
      </c>
      <c r="U8374" t="n">
        <v>0</v>
      </c>
      <c r="V8374" s="2" t="inlineStr"/>
    </row>
    <row r="8375" ht="15" customHeight="1">
      <c r="A8375" t="inlineStr">
        <is>
          <t>A 33566-2023</t>
        </is>
      </c>
      <c r="B8375" t="inlineStr">
        <is>
          <t>avverkningsanmälan</t>
        </is>
      </c>
      <c r="C8375" t="inlineStr">
        <is>
          <t>Föryngringsavverkning</t>
        </is>
      </c>
      <c r="D8375" s="1" t="n">
        <v>45131</v>
      </c>
      <c r="E8375" s="1" t="n">
        <v>46319</v>
      </c>
      <c r="F8375" t="inlineStr">
        <is>
          <t>DALARNAS LÄN</t>
        </is>
      </c>
      <c r="G8375" t="inlineStr">
        <is>
          <t>LEKSAND</t>
        </is>
      </c>
      <c r="I8375" t="n">
        <v>0.9</v>
      </c>
      <c r="J8375" t="n">
        <v>0</v>
      </c>
      <c r="K8375" t="n">
        <v>0</v>
      </c>
      <c r="L8375" t="n">
        <v>0</v>
      </c>
      <c r="M8375" t="n">
        <v>0</v>
      </c>
      <c r="N8375" t="n">
        <v>0</v>
      </c>
      <c r="O8375" t="n">
        <v>0</v>
      </c>
      <c r="P8375" t="n">
        <v>0</v>
      </c>
      <c r="Q8375" t="n">
        <v>0</v>
      </c>
      <c r="R8375" t="n">
        <v>0</v>
      </c>
      <c r="S8375" t="n">
        <v>0</v>
      </c>
      <c r="T8375" t="n">
        <v>0</v>
      </c>
      <c r="U8375" t="n">
        <v>0</v>
      </c>
      <c r="V8375" s="2" t="inlineStr"/>
    </row>
    <row r="8376" ht="15" customHeight="1">
      <c r="A8376" t="inlineStr">
        <is>
          <t>A 28321-2024</t>
        </is>
      </c>
      <c r="B8376" t="inlineStr">
        <is>
          <t>avverkningsanmälan</t>
        </is>
      </c>
      <c r="C8376" t="inlineStr">
        <is>
          <t>Föryngringsavverkning</t>
        </is>
      </c>
      <c r="D8376" s="1" t="n">
        <v>45477</v>
      </c>
      <c r="E8376" s="1" t="n">
        <v>46319</v>
      </c>
      <c r="F8376" t="inlineStr">
        <is>
          <t>DALARNAS LÄN</t>
        </is>
      </c>
      <c r="G8376" t="inlineStr">
        <is>
          <t>BORLÄNGE</t>
        </is>
      </c>
      <c r="I8376" t="n">
        <v>3.1</v>
      </c>
      <c r="J8376" t="n">
        <v>0</v>
      </c>
      <c r="K8376" t="n">
        <v>0</v>
      </c>
      <c r="L8376" t="n">
        <v>0</v>
      </c>
      <c r="M8376" t="n">
        <v>0</v>
      </c>
      <c r="N8376" t="n">
        <v>0</v>
      </c>
      <c r="O8376" t="n">
        <v>0</v>
      </c>
      <c r="P8376" t="n">
        <v>0</v>
      </c>
      <c r="Q8376" t="n">
        <v>0</v>
      </c>
      <c r="R8376" t="n">
        <v>0</v>
      </c>
      <c r="S8376" t="n">
        <v>0</v>
      </c>
      <c r="T8376" t="n">
        <v>0</v>
      </c>
      <c r="U8376" t="n">
        <v>0</v>
      </c>
      <c r="V8376" s="2" t="inlineStr"/>
    </row>
    <row r="8377" ht="15" customHeight="1">
      <c r="A8377" t="inlineStr">
        <is>
          <t>A 51975-2023</t>
        </is>
      </c>
      <c r="B8377" t="inlineStr">
        <is>
          <t>avverkningsanmälan</t>
        </is>
      </c>
      <c r="C8377" t="inlineStr">
        <is>
          <t>Föryngringsavverkning</t>
        </is>
      </c>
      <c r="D8377" s="1" t="n">
        <v>45219</v>
      </c>
      <c r="E8377" s="1" t="n">
        <v>46319</v>
      </c>
      <c r="F8377" t="inlineStr">
        <is>
          <t>DALARNAS LÄN</t>
        </is>
      </c>
      <c r="G8377" t="inlineStr">
        <is>
          <t>MALUNG-SÄLEN</t>
        </is>
      </c>
      <c r="I8377" t="n">
        <v>1</v>
      </c>
      <c r="J8377" t="n">
        <v>0</v>
      </c>
      <c r="K8377" t="n">
        <v>0</v>
      </c>
      <c r="L8377" t="n">
        <v>0</v>
      </c>
      <c r="M8377" t="n">
        <v>0</v>
      </c>
      <c r="N8377" t="n">
        <v>0</v>
      </c>
      <c r="O8377" t="n">
        <v>0</v>
      </c>
      <c r="P8377" t="n">
        <v>0</v>
      </c>
      <c r="Q8377" t="n">
        <v>0</v>
      </c>
      <c r="R8377" t="n">
        <v>0</v>
      </c>
      <c r="S8377" t="n">
        <v>0</v>
      </c>
      <c r="T8377" t="n">
        <v>0</v>
      </c>
      <c r="U8377" t="n">
        <v>0</v>
      </c>
      <c r="V8377" s="2" t="inlineStr"/>
    </row>
    <row r="8378" ht="15" customHeight="1">
      <c r="A8378" t="inlineStr">
        <is>
          <t>A 23974-2023</t>
        </is>
      </c>
      <c r="B8378" t="inlineStr">
        <is>
          <t>avverkningsanmälan</t>
        </is>
      </c>
      <c r="C8378" t="inlineStr">
        <is>
          <t>Föryngringsavverkning</t>
        </is>
      </c>
      <c r="D8378" s="1" t="n">
        <v>45078</v>
      </c>
      <c r="E8378" s="1" t="n">
        <v>46319</v>
      </c>
      <c r="F8378" t="inlineStr">
        <is>
          <t>DALARNAS LÄN</t>
        </is>
      </c>
      <c r="G8378" t="inlineStr">
        <is>
          <t>AVESTA</t>
        </is>
      </c>
      <c r="H8378" t="inlineStr">
        <is>
          <t>Sveaskog</t>
        </is>
      </c>
      <c r="I8378" t="n">
        <v>0.3</v>
      </c>
      <c r="J8378" t="n">
        <v>0</v>
      </c>
      <c r="K8378" t="n">
        <v>0</v>
      </c>
      <c r="L8378" t="n">
        <v>0</v>
      </c>
      <c r="M8378" t="n">
        <v>0</v>
      </c>
      <c r="N8378" t="n">
        <v>0</v>
      </c>
      <c r="O8378" t="n">
        <v>0</v>
      </c>
      <c r="P8378" t="n">
        <v>0</v>
      </c>
      <c r="Q8378" t="n">
        <v>0</v>
      </c>
      <c r="R8378" t="n">
        <v>0</v>
      </c>
      <c r="S8378" t="n">
        <v>0</v>
      </c>
      <c r="T8378" t="n">
        <v>0</v>
      </c>
      <c r="U8378" t="n">
        <v>0</v>
      </c>
      <c r="V8378" s="2" t="inlineStr"/>
    </row>
    <row r="8379" ht="15" customHeight="1">
      <c r="A8379" t="inlineStr">
        <is>
          <t>A 52354-2023</t>
        </is>
      </c>
      <c r="B8379" t="inlineStr">
        <is>
          <t>avverkningsanmälan</t>
        </is>
      </c>
      <c r="C8379" t="inlineStr">
        <is>
          <t>Föryngringsavverkning</t>
        </is>
      </c>
      <c r="D8379" s="1" t="n">
        <v>45224</v>
      </c>
      <c r="E8379" s="1" t="n">
        <v>46319</v>
      </c>
      <c r="F8379" t="inlineStr">
        <is>
          <t>DALARNAS LÄN</t>
        </is>
      </c>
      <c r="G8379" t="inlineStr">
        <is>
          <t>SMEDJEBACKEN</t>
        </is>
      </c>
      <c r="I8379" t="n">
        <v>14.9</v>
      </c>
      <c r="J8379" t="n">
        <v>0</v>
      </c>
      <c r="K8379" t="n">
        <v>0</v>
      </c>
      <c r="L8379" t="n">
        <v>0</v>
      </c>
      <c r="M8379" t="n">
        <v>0</v>
      </c>
      <c r="N8379" t="n">
        <v>0</v>
      </c>
      <c r="O8379" t="n">
        <v>0</v>
      </c>
      <c r="P8379" t="n">
        <v>0</v>
      </c>
      <c r="Q8379" t="n">
        <v>0</v>
      </c>
      <c r="R8379" t="n">
        <v>0</v>
      </c>
      <c r="S8379" t="n">
        <v>0</v>
      </c>
      <c r="T8379" t="n">
        <v>0</v>
      </c>
      <c r="U8379" t="n">
        <v>0</v>
      </c>
      <c r="V8379" s="2" t="inlineStr"/>
    </row>
    <row r="8380" ht="15" customHeight="1">
      <c r="A8380" t="inlineStr">
        <is>
          <t>A 42952-2023</t>
        </is>
      </c>
      <c r="B8380" t="inlineStr">
        <is>
          <t>avverkningsanmälan</t>
        </is>
      </c>
      <c r="C8380" t="inlineStr">
        <is>
          <t>Föryngringsavverkning</t>
        </is>
      </c>
      <c r="D8380" s="1" t="n">
        <v>45182</v>
      </c>
      <c r="E8380" s="1" t="n">
        <v>46319</v>
      </c>
      <c r="F8380" t="inlineStr">
        <is>
          <t>DALARNAS LÄN</t>
        </is>
      </c>
      <c r="G8380" t="inlineStr">
        <is>
          <t>FALUN</t>
        </is>
      </c>
      <c r="I8380" t="n">
        <v>0.6</v>
      </c>
      <c r="J8380" t="n">
        <v>0</v>
      </c>
      <c r="K8380" t="n">
        <v>0</v>
      </c>
      <c r="L8380" t="n">
        <v>0</v>
      </c>
      <c r="M8380" t="n">
        <v>0</v>
      </c>
      <c r="N8380" t="n">
        <v>0</v>
      </c>
      <c r="O8380" t="n">
        <v>0</v>
      </c>
      <c r="P8380" t="n">
        <v>0</v>
      </c>
      <c r="Q8380" t="n">
        <v>0</v>
      </c>
      <c r="R8380" t="n">
        <v>0</v>
      </c>
      <c r="S8380" t="n">
        <v>0</v>
      </c>
      <c r="T8380" t="n">
        <v>0</v>
      </c>
      <c r="U8380" t="n">
        <v>0</v>
      </c>
      <c r="V8380" s="2" t="inlineStr"/>
    </row>
    <row r="8381" ht="15" customHeight="1">
      <c r="A8381" t="inlineStr">
        <is>
          <t>A 40142-2022</t>
        </is>
      </c>
      <c r="B8381" t="inlineStr">
        <is>
          <t>avverkningsanmälan</t>
        </is>
      </c>
      <c r="C8381" t="inlineStr">
        <is>
          <t>Föryngringsavverkning</t>
        </is>
      </c>
      <c r="D8381" s="1" t="n">
        <v>44820</v>
      </c>
      <c r="E8381" s="1" t="n">
        <v>46319</v>
      </c>
      <c r="F8381" t="inlineStr">
        <is>
          <t>DALARNAS LÄN</t>
        </is>
      </c>
      <c r="G8381" t="inlineStr">
        <is>
          <t>LUDVIKA</t>
        </is>
      </c>
      <c r="H8381" t="inlineStr">
        <is>
          <t>Bergvik skog väst AB</t>
        </is>
      </c>
      <c r="I8381" t="n">
        <v>1.1</v>
      </c>
      <c r="J8381" t="n">
        <v>0</v>
      </c>
      <c r="K8381" t="n">
        <v>0</v>
      </c>
      <c r="L8381" t="n">
        <v>0</v>
      </c>
      <c r="M8381" t="n">
        <v>0</v>
      </c>
      <c r="N8381" t="n">
        <v>0</v>
      </c>
      <c r="O8381" t="n">
        <v>0</v>
      </c>
      <c r="P8381" t="n">
        <v>0</v>
      </c>
      <c r="Q8381" t="n">
        <v>0</v>
      </c>
      <c r="R8381" t="n">
        <v>0</v>
      </c>
      <c r="S8381" t="n">
        <v>0</v>
      </c>
      <c r="T8381" t="n">
        <v>0</v>
      </c>
      <c r="U8381" t="n">
        <v>0</v>
      </c>
      <c r="V8381" s="2" t="inlineStr"/>
    </row>
    <row r="8382" ht="15" customHeight="1">
      <c r="A8382" t="inlineStr">
        <is>
          <t>A 40151-2022</t>
        </is>
      </c>
      <c r="B8382" t="inlineStr">
        <is>
          <t>avverkningsanmälan</t>
        </is>
      </c>
      <c r="C8382" t="inlineStr">
        <is>
          <t>Föryngringsavverkning</t>
        </is>
      </c>
      <c r="D8382" s="1" t="n">
        <v>44820</v>
      </c>
      <c r="E8382" s="1" t="n">
        <v>46319</v>
      </c>
      <c r="F8382" t="inlineStr">
        <is>
          <t>DALARNAS LÄN</t>
        </is>
      </c>
      <c r="G8382" t="inlineStr">
        <is>
          <t>LUDVIKA</t>
        </is>
      </c>
      <c r="H8382" t="inlineStr">
        <is>
          <t>Bergvik skog väst AB</t>
        </is>
      </c>
      <c r="I8382" t="n">
        <v>0.8</v>
      </c>
      <c r="J8382" t="n">
        <v>0</v>
      </c>
      <c r="K8382" t="n">
        <v>0</v>
      </c>
      <c r="L8382" t="n">
        <v>0</v>
      </c>
      <c r="M8382" t="n">
        <v>0</v>
      </c>
      <c r="N8382" t="n">
        <v>0</v>
      </c>
      <c r="O8382" t="n">
        <v>0</v>
      </c>
      <c r="P8382" t="n">
        <v>0</v>
      </c>
      <c r="Q8382" t="n">
        <v>0</v>
      </c>
      <c r="R8382" t="n">
        <v>0</v>
      </c>
      <c r="S8382" t="n">
        <v>0</v>
      </c>
      <c r="T8382" t="n">
        <v>0</v>
      </c>
      <c r="U8382" t="n">
        <v>0</v>
      </c>
      <c r="V8382" s="2" t="inlineStr"/>
    </row>
    <row r="8383" ht="15" customHeight="1">
      <c r="A8383" t="inlineStr">
        <is>
          <t>A 37830-2024</t>
        </is>
      </c>
      <c r="B8383" t="inlineStr">
        <is>
          <t>avverkningsanmälan</t>
        </is>
      </c>
      <c r="C8383" t="inlineStr">
        <is>
          <t>Föryngringsavverkning</t>
        </is>
      </c>
      <c r="D8383" s="1" t="n">
        <v>45544</v>
      </c>
      <c r="E8383" s="1" t="n">
        <v>46319</v>
      </c>
      <c r="F8383" t="inlineStr">
        <is>
          <t>DALARNAS LÄN</t>
        </is>
      </c>
      <c r="G8383" t="inlineStr">
        <is>
          <t>ORSA</t>
        </is>
      </c>
      <c r="I8383" t="n">
        <v>0.8</v>
      </c>
      <c r="J8383" t="n">
        <v>0</v>
      </c>
      <c r="K8383" t="n">
        <v>0</v>
      </c>
      <c r="L8383" t="n">
        <v>0</v>
      </c>
      <c r="M8383" t="n">
        <v>0</v>
      </c>
      <c r="N8383" t="n">
        <v>0</v>
      </c>
      <c r="O8383" t="n">
        <v>0</v>
      </c>
      <c r="P8383" t="n">
        <v>0</v>
      </c>
      <c r="Q8383" t="n">
        <v>0</v>
      </c>
      <c r="R8383" t="n">
        <v>0</v>
      </c>
      <c r="S8383" t="n">
        <v>0</v>
      </c>
      <c r="T8383" t="n">
        <v>0</v>
      </c>
      <c r="U8383" t="n">
        <v>0</v>
      </c>
      <c r="V8383" s="2" t="inlineStr"/>
    </row>
    <row r="8384" ht="15" customHeight="1">
      <c r="A8384" t="inlineStr">
        <is>
          <t>A 8342-2025</t>
        </is>
      </c>
      <c r="B8384" t="inlineStr">
        <is>
          <t>avverkningsanmälan</t>
        </is>
      </c>
      <c r="C8384" t="inlineStr">
        <is>
          <t>Avverkning för annat ändamål</t>
        </is>
      </c>
      <c r="D8384" s="1" t="n">
        <v>45708</v>
      </c>
      <c r="E8384" s="1" t="n">
        <v>46319</v>
      </c>
      <c r="F8384" t="inlineStr">
        <is>
          <t>DALARNAS LÄN</t>
        </is>
      </c>
      <c r="G8384" t="inlineStr">
        <is>
          <t>HEDEMORA</t>
        </is>
      </c>
      <c r="I8384" t="n">
        <v>0.8</v>
      </c>
      <c r="J8384" t="n">
        <v>0</v>
      </c>
      <c r="K8384" t="n">
        <v>0</v>
      </c>
      <c r="L8384" t="n">
        <v>0</v>
      </c>
      <c r="M8384" t="n">
        <v>0</v>
      </c>
      <c r="N8384" t="n">
        <v>0</v>
      </c>
      <c r="O8384" t="n">
        <v>0</v>
      </c>
      <c r="P8384" t="n">
        <v>0</v>
      </c>
      <c r="Q8384" t="n">
        <v>0</v>
      </c>
      <c r="R8384" t="n">
        <v>0</v>
      </c>
      <c r="S8384" t="n">
        <v>0</v>
      </c>
      <c r="T8384" t="n">
        <v>0</v>
      </c>
      <c r="U8384" t="n">
        <v>0</v>
      </c>
      <c r="V8384" s="2" t="inlineStr"/>
    </row>
    <row r="8385" ht="15" customHeight="1">
      <c r="A8385" t="inlineStr">
        <is>
          <t>A 16870-2023</t>
        </is>
      </c>
      <c r="B8385" t="inlineStr">
        <is>
          <t>avverkningsanmälan</t>
        </is>
      </c>
      <c r="C8385" t="inlineStr">
        <is>
          <t>Föryngringsavverkning</t>
        </is>
      </c>
      <c r="D8385" s="1" t="n">
        <v>45033</v>
      </c>
      <c r="E8385" s="1" t="n">
        <v>46319</v>
      </c>
      <c r="F8385" t="inlineStr">
        <is>
          <t>DALARNAS LÄN</t>
        </is>
      </c>
      <c r="G8385" t="inlineStr">
        <is>
          <t>SMEDJEBACKEN</t>
        </is>
      </c>
      <c r="I8385" t="n">
        <v>1</v>
      </c>
      <c r="J8385" t="n">
        <v>0</v>
      </c>
      <c r="K8385" t="n">
        <v>0</v>
      </c>
      <c r="L8385" t="n">
        <v>0</v>
      </c>
      <c r="M8385" t="n">
        <v>0</v>
      </c>
      <c r="N8385" t="n">
        <v>0</v>
      </c>
      <c r="O8385" t="n">
        <v>0</v>
      </c>
      <c r="P8385" t="n">
        <v>0</v>
      </c>
      <c r="Q8385" t="n">
        <v>0</v>
      </c>
      <c r="R8385" t="n">
        <v>0</v>
      </c>
      <c r="S8385" t="n">
        <v>0</v>
      </c>
      <c r="T8385" t="n">
        <v>0</v>
      </c>
      <c r="U8385" t="n">
        <v>0</v>
      </c>
      <c r="V8385" s="2" t="inlineStr"/>
    </row>
    <row r="8386" ht="15" customHeight="1">
      <c r="A8386" t="inlineStr">
        <is>
          <t>A 15767-2023</t>
        </is>
      </c>
      <c r="B8386" t="inlineStr">
        <is>
          <t>avverkningsanmälan</t>
        </is>
      </c>
      <c r="C8386" t="inlineStr">
        <is>
          <t>Föryngringsavverkning</t>
        </is>
      </c>
      <c r="D8386" s="1" t="n">
        <v>45021</v>
      </c>
      <c r="E8386" s="1" t="n">
        <v>46319</v>
      </c>
      <c r="F8386" t="inlineStr">
        <is>
          <t>DALARNAS LÄN</t>
        </is>
      </c>
      <c r="G8386" t="inlineStr">
        <is>
          <t>RÄTTVIK</t>
        </is>
      </c>
      <c r="I8386" t="n">
        <v>1.9</v>
      </c>
      <c r="J8386" t="n">
        <v>0</v>
      </c>
      <c r="K8386" t="n">
        <v>0</v>
      </c>
      <c r="L8386" t="n">
        <v>0</v>
      </c>
      <c r="M8386" t="n">
        <v>0</v>
      </c>
      <c r="N8386" t="n">
        <v>0</v>
      </c>
      <c r="O8386" t="n">
        <v>0</v>
      </c>
      <c r="P8386" t="n">
        <v>0</v>
      </c>
      <c r="Q8386" t="n">
        <v>0</v>
      </c>
      <c r="R8386" t="n">
        <v>0</v>
      </c>
      <c r="S8386" t="n">
        <v>0</v>
      </c>
      <c r="T8386" t="n">
        <v>0</v>
      </c>
      <c r="U8386" t="n">
        <v>0</v>
      </c>
      <c r="V8386" s="2" t="inlineStr"/>
    </row>
    <row r="8387" ht="15" customHeight="1">
      <c r="A8387" t="inlineStr">
        <is>
          <t>A 45272-2022</t>
        </is>
      </c>
      <c r="B8387" t="inlineStr">
        <is>
          <t>avverkningsanmälan</t>
        </is>
      </c>
      <c r="C8387" t="inlineStr">
        <is>
          <t>Föryngringsavverkning</t>
        </is>
      </c>
      <c r="D8387" s="1" t="n">
        <v>44844</v>
      </c>
      <c r="E8387" s="1" t="n">
        <v>46319</v>
      </c>
      <c r="F8387" t="inlineStr">
        <is>
          <t>DALARNAS LÄN</t>
        </is>
      </c>
      <c r="G8387" t="inlineStr">
        <is>
          <t>ORSA</t>
        </is>
      </c>
      <c r="I8387" t="n">
        <v>0.3</v>
      </c>
      <c r="J8387" t="n">
        <v>0</v>
      </c>
      <c r="K8387" t="n">
        <v>0</v>
      </c>
      <c r="L8387" t="n">
        <v>0</v>
      </c>
      <c r="M8387" t="n">
        <v>0</v>
      </c>
      <c r="N8387" t="n">
        <v>0</v>
      </c>
      <c r="O8387" t="n">
        <v>0</v>
      </c>
      <c r="P8387" t="n">
        <v>0</v>
      </c>
      <c r="Q8387" t="n">
        <v>0</v>
      </c>
      <c r="R8387" t="n">
        <v>0</v>
      </c>
      <c r="S8387" t="n">
        <v>0</v>
      </c>
      <c r="T8387" t="n">
        <v>0</v>
      </c>
      <c r="U8387" t="n">
        <v>0</v>
      </c>
      <c r="V8387" s="2" t="inlineStr"/>
    </row>
    <row r="8388" ht="15" customHeight="1">
      <c r="A8388" t="inlineStr">
        <is>
          <t>A 8707-2023</t>
        </is>
      </c>
      <c r="B8388" t="inlineStr">
        <is>
          <t>avverkningsanmälan</t>
        </is>
      </c>
      <c r="C8388" t="inlineStr">
        <is>
          <t>Föryngringsavverkning</t>
        </is>
      </c>
      <c r="D8388" s="1" t="n">
        <v>44978</v>
      </c>
      <c r="E8388" s="1" t="n">
        <v>46319</v>
      </c>
      <c r="F8388" t="inlineStr">
        <is>
          <t>DALARNAS LÄN</t>
        </is>
      </c>
      <c r="G8388" t="inlineStr">
        <is>
          <t>MALUNG-SÄLEN</t>
        </is>
      </c>
      <c r="I8388" t="n">
        <v>2.3</v>
      </c>
      <c r="J8388" t="n">
        <v>0</v>
      </c>
      <c r="K8388" t="n">
        <v>0</v>
      </c>
      <c r="L8388" t="n">
        <v>0</v>
      </c>
      <c r="M8388" t="n">
        <v>0</v>
      </c>
      <c r="N8388" t="n">
        <v>0</v>
      </c>
      <c r="O8388" t="n">
        <v>0</v>
      </c>
      <c r="P8388" t="n">
        <v>0</v>
      </c>
      <c r="Q8388" t="n">
        <v>0</v>
      </c>
      <c r="R8388" t="n">
        <v>0</v>
      </c>
      <c r="S8388" t="n">
        <v>0</v>
      </c>
      <c r="T8388" t="n">
        <v>0</v>
      </c>
      <c r="U8388" t="n">
        <v>0</v>
      </c>
      <c r="V8388" s="2" t="inlineStr"/>
    </row>
    <row r="8389" ht="15" customHeight="1">
      <c r="A8389" t="inlineStr">
        <is>
          <t>A 31971-2024</t>
        </is>
      </c>
      <c r="B8389" t="inlineStr">
        <is>
          <t>avverkningsanmälan</t>
        </is>
      </c>
      <c r="C8389" t="inlineStr">
        <is>
          <t>Föryngringsavverkning</t>
        </is>
      </c>
      <c r="D8389" s="1" t="n">
        <v>45510</v>
      </c>
      <c r="E8389" s="1" t="n">
        <v>46319</v>
      </c>
      <c r="F8389" t="inlineStr">
        <is>
          <t>DALARNAS LÄN</t>
        </is>
      </c>
      <c r="G8389" t="inlineStr">
        <is>
          <t>LEKSAND</t>
        </is>
      </c>
      <c r="I8389" t="n">
        <v>0.7</v>
      </c>
      <c r="J8389" t="n">
        <v>0</v>
      </c>
      <c r="K8389" t="n">
        <v>0</v>
      </c>
      <c r="L8389" t="n">
        <v>0</v>
      </c>
      <c r="M8389" t="n">
        <v>0</v>
      </c>
      <c r="N8389" t="n">
        <v>0</v>
      </c>
      <c r="O8389" t="n">
        <v>0</v>
      </c>
      <c r="P8389" t="n">
        <v>0</v>
      </c>
      <c r="Q8389" t="n">
        <v>0</v>
      </c>
      <c r="R8389" t="n">
        <v>0</v>
      </c>
      <c r="S8389" t="n">
        <v>0</v>
      </c>
      <c r="T8389" t="n">
        <v>0</v>
      </c>
      <c r="U8389" t="n">
        <v>0</v>
      </c>
      <c r="V8389" s="2" t="inlineStr"/>
    </row>
    <row r="8390" ht="15" customHeight="1">
      <c r="A8390" t="inlineStr">
        <is>
          <t>A 4202-2025</t>
        </is>
      </c>
      <c r="B8390" t="inlineStr">
        <is>
          <t>avverkningsanmälan</t>
        </is>
      </c>
      <c r="C8390" t="inlineStr">
        <is>
          <t>Föryngringsavverkning</t>
        </is>
      </c>
      <c r="D8390" s="1" t="n">
        <v>45685</v>
      </c>
      <c r="E8390" s="1" t="n">
        <v>46319</v>
      </c>
      <c r="F8390" t="inlineStr">
        <is>
          <t>DALARNAS LÄN</t>
        </is>
      </c>
      <c r="G8390" t="inlineStr">
        <is>
          <t>ORSA</t>
        </is>
      </c>
      <c r="I8390" t="n">
        <v>0.9</v>
      </c>
      <c r="J8390" t="n">
        <v>0</v>
      </c>
      <c r="K8390" t="n">
        <v>0</v>
      </c>
      <c r="L8390" t="n">
        <v>0</v>
      </c>
      <c r="M8390" t="n">
        <v>0</v>
      </c>
      <c r="N8390" t="n">
        <v>0</v>
      </c>
      <c r="O8390" t="n">
        <v>0</v>
      </c>
      <c r="P8390" t="n">
        <v>0</v>
      </c>
      <c r="Q8390" t="n">
        <v>0</v>
      </c>
      <c r="R8390" t="n">
        <v>0</v>
      </c>
      <c r="S8390" t="n">
        <v>0</v>
      </c>
      <c r="T8390" t="n">
        <v>0</v>
      </c>
      <c r="U8390" t="n">
        <v>0</v>
      </c>
      <c r="V8390" s="2" t="inlineStr"/>
    </row>
    <row r="8391" ht="15" customHeight="1">
      <c r="A8391" t="inlineStr">
        <is>
          <t>A 4204-2025</t>
        </is>
      </c>
      <c r="B8391" t="inlineStr">
        <is>
          <t>avverkningsanmälan</t>
        </is>
      </c>
      <c r="C8391" t="inlineStr">
        <is>
          <t>Föryngringsavverkning</t>
        </is>
      </c>
      <c r="D8391" s="1" t="n">
        <v>45685</v>
      </c>
      <c r="E8391" s="1" t="n">
        <v>46319</v>
      </c>
      <c r="F8391" t="inlineStr">
        <is>
          <t>DALARNAS LÄN</t>
        </is>
      </c>
      <c r="G8391" t="inlineStr">
        <is>
          <t>ORSA</t>
        </is>
      </c>
      <c r="I8391" t="n">
        <v>1.8</v>
      </c>
      <c r="J8391" t="n">
        <v>0</v>
      </c>
      <c r="K8391" t="n">
        <v>0</v>
      </c>
      <c r="L8391" t="n">
        <v>0</v>
      </c>
      <c r="M8391" t="n">
        <v>0</v>
      </c>
      <c r="N8391" t="n">
        <v>0</v>
      </c>
      <c r="O8391" t="n">
        <v>0</v>
      </c>
      <c r="P8391" t="n">
        <v>0</v>
      </c>
      <c r="Q8391" t="n">
        <v>0</v>
      </c>
      <c r="R8391" t="n">
        <v>0</v>
      </c>
      <c r="S8391" t="n">
        <v>0</v>
      </c>
      <c r="T8391" t="n">
        <v>0</v>
      </c>
      <c r="U8391" t="n">
        <v>0</v>
      </c>
      <c r="V8391" s="2" t="inlineStr"/>
    </row>
    <row r="8392" ht="15" customHeight="1">
      <c r="A8392" t="inlineStr">
        <is>
          <t>A 30957-2023</t>
        </is>
      </c>
      <c r="B8392" t="inlineStr">
        <is>
          <t>avverkningsanmälan</t>
        </is>
      </c>
      <c r="C8392" t="inlineStr">
        <is>
          <t>Avverkning för annat ändamål</t>
        </is>
      </c>
      <c r="D8392" s="1" t="n">
        <v>45113</v>
      </c>
      <c r="E8392" s="1" t="n">
        <v>46319</v>
      </c>
      <c r="F8392" t="inlineStr">
        <is>
          <t>DALARNAS LÄN</t>
        </is>
      </c>
      <c r="G8392" t="inlineStr">
        <is>
          <t>GAGNEF</t>
        </is>
      </c>
      <c r="H8392" t="inlineStr">
        <is>
          <t>Bergvik skog väst AB</t>
        </is>
      </c>
      <c r="I8392" t="n">
        <v>0.5</v>
      </c>
      <c r="J8392" t="n">
        <v>0</v>
      </c>
      <c r="K8392" t="n">
        <v>0</v>
      </c>
      <c r="L8392" t="n">
        <v>0</v>
      </c>
      <c r="M8392" t="n">
        <v>0</v>
      </c>
      <c r="N8392" t="n">
        <v>0</v>
      </c>
      <c r="O8392" t="n">
        <v>0</v>
      </c>
      <c r="P8392" t="n">
        <v>0</v>
      </c>
      <c r="Q8392" t="n">
        <v>0</v>
      </c>
      <c r="R8392" t="n">
        <v>0</v>
      </c>
      <c r="S8392" t="n">
        <v>0</v>
      </c>
      <c r="T8392" t="n">
        <v>0</v>
      </c>
      <c r="U8392" t="n">
        <v>0</v>
      </c>
      <c r="V8392" s="2" t="inlineStr"/>
    </row>
    <row r="8393" ht="15" customHeight="1">
      <c r="A8393" t="inlineStr">
        <is>
          <t>A 59272-2024</t>
        </is>
      </c>
      <c r="B8393" t="inlineStr">
        <is>
          <t>avverkningsanmälan</t>
        </is>
      </c>
      <c r="C8393" t="inlineStr">
        <is>
          <t>Föryngringsavverkning</t>
        </is>
      </c>
      <c r="D8393" s="1" t="n">
        <v>45637</v>
      </c>
      <c r="E8393" s="1" t="n">
        <v>46319</v>
      </c>
      <c r="F8393" t="inlineStr">
        <is>
          <t>DALARNAS LÄN</t>
        </is>
      </c>
      <c r="G8393" t="inlineStr">
        <is>
          <t>RÄTTVIK</t>
        </is>
      </c>
      <c r="I8393" t="n">
        <v>0.6</v>
      </c>
      <c r="J8393" t="n">
        <v>0</v>
      </c>
      <c r="K8393" t="n">
        <v>0</v>
      </c>
      <c r="L8393" t="n">
        <v>0</v>
      </c>
      <c r="M8393" t="n">
        <v>0</v>
      </c>
      <c r="N8393" t="n">
        <v>0</v>
      </c>
      <c r="O8393" t="n">
        <v>0</v>
      </c>
      <c r="P8393" t="n">
        <v>0</v>
      </c>
      <c r="Q8393" t="n">
        <v>0</v>
      </c>
      <c r="R8393" t="n">
        <v>0</v>
      </c>
      <c r="S8393" t="n">
        <v>0</v>
      </c>
      <c r="T8393" t="n">
        <v>0</v>
      </c>
      <c r="U8393" t="n">
        <v>0</v>
      </c>
      <c r="V8393" s="2" t="inlineStr"/>
    </row>
    <row r="8394" ht="15" customHeight="1">
      <c r="A8394" t="inlineStr">
        <is>
          <t>A 55202-2023</t>
        </is>
      </c>
      <c r="B8394" t="inlineStr">
        <is>
          <t>avverkningsanmälan</t>
        </is>
      </c>
      <c r="C8394" t="inlineStr">
        <is>
          <t>Föryngringsavverkning</t>
        </is>
      </c>
      <c r="D8394" s="1" t="n">
        <v>45237</v>
      </c>
      <c r="E8394" s="1" t="n">
        <v>46319</v>
      </c>
      <c r="F8394" t="inlineStr">
        <is>
          <t>DALARNAS LÄN</t>
        </is>
      </c>
      <c r="G8394" t="inlineStr">
        <is>
          <t>MALUNG-SÄLEN</t>
        </is>
      </c>
      <c r="I8394" t="n">
        <v>1.3</v>
      </c>
      <c r="J8394" t="n">
        <v>0</v>
      </c>
      <c r="K8394" t="n">
        <v>0</v>
      </c>
      <c r="L8394" t="n">
        <v>0</v>
      </c>
      <c r="M8394" t="n">
        <v>0</v>
      </c>
      <c r="N8394" t="n">
        <v>0</v>
      </c>
      <c r="O8394" t="n">
        <v>0</v>
      </c>
      <c r="P8394" t="n">
        <v>0</v>
      </c>
      <c r="Q8394" t="n">
        <v>0</v>
      </c>
      <c r="R8394" t="n">
        <v>0</v>
      </c>
      <c r="S8394" t="n">
        <v>0</v>
      </c>
      <c r="T8394" t="n">
        <v>0</v>
      </c>
      <c r="U8394" t="n">
        <v>0</v>
      </c>
      <c r="V8394" s="2" t="inlineStr"/>
    </row>
    <row r="8395" ht="15" customHeight="1">
      <c r="A8395" t="inlineStr">
        <is>
          <t>A 19937-2022</t>
        </is>
      </c>
      <c r="B8395" t="inlineStr">
        <is>
          <t>avverkningsanmälan</t>
        </is>
      </c>
      <c r="C8395" t="inlineStr">
        <is>
          <t>Föryngringsavverkning</t>
        </is>
      </c>
      <c r="D8395" s="1" t="n">
        <v>44697</v>
      </c>
      <c r="E8395" s="1" t="n">
        <v>46319</v>
      </c>
      <c r="F8395" t="inlineStr">
        <is>
          <t>DALARNAS LÄN</t>
        </is>
      </c>
      <c r="G8395" t="inlineStr">
        <is>
          <t>MALUNG-SÄLEN</t>
        </is>
      </c>
      <c r="I8395" t="n">
        <v>12.7</v>
      </c>
      <c r="J8395" t="n">
        <v>0</v>
      </c>
      <c r="K8395" t="n">
        <v>0</v>
      </c>
      <c r="L8395" t="n">
        <v>0</v>
      </c>
      <c r="M8395" t="n">
        <v>0</v>
      </c>
      <c r="N8395" t="n">
        <v>0</v>
      </c>
      <c r="O8395" t="n">
        <v>0</v>
      </c>
      <c r="P8395" t="n">
        <v>0</v>
      </c>
      <c r="Q8395" t="n">
        <v>0</v>
      </c>
      <c r="R8395" t="n">
        <v>0</v>
      </c>
      <c r="S8395" t="n">
        <v>0</v>
      </c>
      <c r="T8395" t="n">
        <v>0</v>
      </c>
      <c r="U8395" t="n">
        <v>0</v>
      </c>
      <c r="V8395" s="2" t="inlineStr"/>
    </row>
    <row r="8396" ht="15" customHeight="1">
      <c r="A8396" t="inlineStr">
        <is>
          <t>A 35287-2024</t>
        </is>
      </c>
      <c r="B8396" t="inlineStr">
        <is>
          <t>avverkningsanmälan</t>
        </is>
      </c>
      <c r="C8396" t="inlineStr">
        <is>
          <t>Föryngringsavverkning</t>
        </is>
      </c>
      <c r="D8396" s="1" t="n">
        <v>45530</v>
      </c>
      <c r="E8396" s="1" t="n">
        <v>46319</v>
      </c>
      <c r="F8396" t="inlineStr">
        <is>
          <t>DALARNAS LÄN</t>
        </is>
      </c>
      <c r="G8396" t="inlineStr">
        <is>
          <t>MORA</t>
        </is>
      </c>
      <c r="I8396" t="n">
        <v>1</v>
      </c>
      <c r="J8396" t="n">
        <v>0</v>
      </c>
      <c r="K8396" t="n">
        <v>0</v>
      </c>
      <c r="L8396" t="n">
        <v>0</v>
      </c>
      <c r="M8396" t="n">
        <v>0</v>
      </c>
      <c r="N8396" t="n">
        <v>0</v>
      </c>
      <c r="O8396" t="n">
        <v>0</v>
      </c>
      <c r="P8396" t="n">
        <v>0</v>
      </c>
      <c r="Q8396" t="n">
        <v>0</v>
      </c>
      <c r="R8396" t="n">
        <v>0</v>
      </c>
      <c r="S8396" t="n">
        <v>0</v>
      </c>
      <c r="T8396" t="n">
        <v>0</v>
      </c>
      <c r="U8396" t="n">
        <v>0</v>
      </c>
      <c r="V8396" s="2" t="inlineStr"/>
    </row>
    <row r="8397" ht="15" customHeight="1">
      <c r="A8397" t="inlineStr">
        <is>
          <t>A 35288-2024</t>
        </is>
      </c>
      <c r="B8397" t="inlineStr">
        <is>
          <t>avverkningsanmälan</t>
        </is>
      </c>
      <c r="C8397" t="inlineStr">
        <is>
          <t>Föryngringsavverkning</t>
        </is>
      </c>
      <c r="D8397" s="1" t="n">
        <v>45530</v>
      </c>
      <c r="E8397" s="1" t="n">
        <v>46319</v>
      </c>
      <c r="F8397" t="inlineStr">
        <is>
          <t>DALARNAS LÄN</t>
        </is>
      </c>
      <c r="G8397" t="inlineStr">
        <is>
          <t>VANSBRO</t>
        </is>
      </c>
      <c r="I8397" t="n">
        <v>0.9</v>
      </c>
      <c r="J8397" t="n">
        <v>0</v>
      </c>
      <c r="K8397" t="n">
        <v>0</v>
      </c>
      <c r="L8397" t="n">
        <v>0</v>
      </c>
      <c r="M8397" t="n">
        <v>0</v>
      </c>
      <c r="N8397" t="n">
        <v>0</v>
      </c>
      <c r="O8397" t="n">
        <v>0</v>
      </c>
      <c r="P8397" t="n">
        <v>0</v>
      </c>
      <c r="Q8397" t="n">
        <v>0</v>
      </c>
      <c r="R8397" t="n">
        <v>0</v>
      </c>
      <c r="S8397" t="n">
        <v>0</v>
      </c>
      <c r="T8397" t="n">
        <v>0</v>
      </c>
      <c r="U8397" t="n">
        <v>0</v>
      </c>
      <c r="V8397" s="2" t="inlineStr"/>
    </row>
    <row r="8398" ht="15" customHeight="1">
      <c r="A8398" t="inlineStr">
        <is>
          <t>A 61546-2021</t>
        </is>
      </c>
      <c r="B8398" t="inlineStr">
        <is>
          <t>avverkningsanmälan</t>
        </is>
      </c>
      <c r="C8398" t="inlineStr">
        <is>
          <t>Föryngringsavverkning</t>
        </is>
      </c>
      <c r="D8398" s="1" t="n">
        <v>44501</v>
      </c>
      <c r="E8398" s="1" t="n">
        <v>46319</v>
      </c>
      <c r="F8398" t="inlineStr">
        <is>
          <t>DALARNAS LÄN</t>
        </is>
      </c>
      <c r="G8398" t="inlineStr">
        <is>
          <t>LEKSAND</t>
        </is>
      </c>
      <c r="I8398" t="n">
        <v>3</v>
      </c>
      <c r="J8398" t="n">
        <v>0</v>
      </c>
      <c r="K8398" t="n">
        <v>0</v>
      </c>
      <c r="L8398" t="n">
        <v>0</v>
      </c>
      <c r="M8398" t="n">
        <v>0</v>
      </c>
      <c r="N8398" t="n">
        <v>0</v>
      </c>
      <c r="O8398" t="n">
        <v>0</v>
      </c>
      <c r="P8398" t="n">
        <v>0</v>
      </c>
      <c r="Q8398" t="n">
        <v>0</v>
      </c>
      <c r="R8398" t="n">
        <v>0</v>
      </c>
      <c r="S8398" t="n">
        <v>0</v>
      </c>
      <c r="T8398" t="n">
        <v>0</v>
      </c>
      <c r="U8398" t="n">
        <v>0</v>
      </c>
      <c r="V8398" s="2" t="inlineStr"/>
    </row>
    <row r="8399" ht="15" customHeight="1">
      <c r="A8399" t="inlineStr">
        <is>
          <t>A 15833-2025</t>
        </is>
      </c>
      <c r="B8399" t="inlineStr">
        <is>
          <t>avverkningsanmälan</t>
        </is>
      </c>
      <c r="C8399" t="inlineStr">
        <is>
          <t>Föryngringsavverkning</t>
        </is>
      </c>
      <c r="D8399" s="1" t="n">
        <v>45748</v>
      </c>
      <c r="E8399" s="1" t="n">
        <v>46319</v>
      </c>
      <c r="F8399" t="inlineStr">
        <is>
          <t>DALARNAS LÄN</t>
        </is>
      </c>
      <c r="G8399" t="inlineStr">
        <is>
          <t>HEDEMORA</t>
        </is>
      </c>
      <c r="I8399" t="n">
        <v>0.4</v>
      </c>
      <c r="J8399" t="n">
        <v>0</v>
      </c>
      <c r="K8399" t="n">
        <v>0</v>
      </c>
      <c r="L8399" t="n">
        <v>0</v>
      </c>
      <c r="M8399" t="n">
        <v>0</v>
      </c>
      <c r="N8399" t="n">
        <v>0</v>
      </c>
      <c r="O8399" t="n">
        <v>0</v>
      </c>
      <c r="P8399" t="n">
        <v>0</v>
      </c>
      <c r="Q8399" t="n">
        <v>0</v>
      </c>
      <c r="R8399" t="n">
        <v>0</v>
      </c>
      <c r="S8399" t="n">
        <v>0</v>
      </c>
      <c r="T8399" t="n">
        <v>0</v>
      </c>
      <c r="U8399" t="n">
        <v>0</v>
      </c>
      <c r="V8399" s="2" t="inlineStr"/>
    </row>
    <row r="8400" ht="15" customHeight="1">
      <c r="A8400" t="inlineStr">
        <is>
          <t>A 18658-2025</t>
        </is>
      </c>
      <c r="B8400" t="inlineStr">
        <is>
          <t>avverkningsanmälan</t>
        </is>
      </c>
      <c r="C8400" t="inlineStr">
        <is>
          <t>Föryngringsavverkning</t>
        </is>
      </c>
      <c r="D8400" s="1" t="n">
        <v>45763</v>
      </c>
      <c r="E8400" s="1" t="n">
        <v>46319</v>
      </c>
      <c r="F8400" t="inlineStr">
        <is>
          <t>DALARNAS LÄN</t>
        </is>
      </c>
      <c r="G8400" t="inlineStr">
        <is>
          <t>VANSBRO</t>
        </is>
      </c>
      <c r="I8400" t="n">
        <v>2.7</v>
      </c>
      <c r="J8400" t="n">
        <v>0</v>
      </c>
      <c r="K8400" t="n">
        <v>0</v>
      </c>
      <c r="L8400" t="n">
        <v>0</v>
      </c>
      <c r="M8400" t="n">
        <v>0</v>
      </c>
      <c r="N8400" t="n">
        <v>0</v>
      </c>
      <c r="O8400" t="n">
        <v>0</v>
      </c>
      <c r="P8400" t="n">
        <v>0</v>
      </c>
      <c r="Q8400" t="n">
        <v>0</v>
      </c>
      <c r="R8400" t="n">
        <v>0</v>
      </c>
      <c r="S8400" t="n">
        <v>0</v>
      </c>
      <c r="T8400" t="n">
        <v>0</v>
      </c>
      <c r="U8400" t="n">
        <v>0</v>
      </c>
      <c r="V8400" s="2" t="inlineStr"/>
    </row>
    <row r="8401" ht="15" customHeight="1">
      <c r="A8401" t="inlineStr">
        <is>
          <t>A 18660-2025</t>
        </is>
      </c>
      <c r="B8401" t="inlineStr">
        <is>
          <t>avverkningsanmälan</t>
        </is>
      </c>
      <c r="C8401" t="inlineStr">
        <is>
          <t>Föryngringsavverkning</t>
        </is>
      </c>
      <c r="D8401" s="1" t="n">
        <v>45763</v>
      </c>
      <c r="E8401" s="1" t="n">
        <v>46319</v>
      </c>
      <c r="F8401" t="inlineStr">
        <is>
          <t>DALARNAS LÄN</t>
        </is>
      </c>
      <c r="G8401" t="inlineStr">
        <is>
          <t>MALUNG-SÄLEN</t>
        </is>
      </c>
      <c r="H8401" t="inlineStr">
        <is>
          <t>Bergvik skog öst AB</t>
        </is>
      </c>
      <c r="I8401" t="n">
        <v>2.6</v>
      </c>
      <c r="J8401" t="n">
        <v>0</v>
      </c>
      <c r="K8401" t="n">
        <v>0</v>
      </c>
      <c r="L8401" t="n">
        <v>0</v>
      </c>
      <c r="M8401" t="n">
        <v>0</v>
      </c>
      <c r="N8401" t="n">
        <v>0</v>
      </c>
      <c r="O8401" t="n">
        <v>0</v>
      </c>
      <c r="P8401" t="n">
        <v>0</v>
      </c>
      <c r="Q8401" t="n">
        <v>0</v>
      </c>
      <c r="R8401" t="n">
        <v>0</v>
      </c>
      <c r="S8401" t="n">
        <v>0</v>
      </c>
      <c r="T8401" t="n">
        <v>0</v>
      </c>
      <c r="U8401" t="n">
        <v>0</v>
      </c>
      <c r="V8401" s="2" t="inlineStr"/>
    </row>
    <row r="8402" ht="15" customHeight="1">
      <c r="A8402" t="inlineStr">
        <is>
          <t>A 7653-2025</t>
        </is>
      </c>
      <c r="B8402" t="inlineStr">
        <is>
          <t>avverkningsanmälan</t>
        </is>
      </c>
      <c r="C8402" t="inlineStr">
        <is>
          <t>Avverkning för annat ändamål</t>
        </is>
      </c>
      <c r="D8402" s="1" t="n">
        <v>45705</v>
      </c>
      <c r="E8402" s="1" t="n">
        <v>46319</v>
      </c>
      <c r="F8402" t="inlineStr">
        <is>
          <t>DALARNAS LÄN</t>
        </is>
      </c>
      <c r="G8402" t="inlineStr">
        <is>
          <t>LEKSAND</t>
        </is>
      </c>
      <c r="I8402" t="n">
        <v>0.8</v>
      </c>
      <c r="J8402" t="n">
        <v>0</v>
      </c>
      <c r="K8402" t="n">
        <v>0</v>
      </c>
      <c r="L8402" t="n">
        <v>0</v>
      </c>
      <c r="M8402" t="n">
        <v>0</v>
      </c>
      <c r="N8402" t="n">
        <v>0</v>
      </c>
      <c r="O8402" t="n">
        <v>0</v>
      </c>
      <c r="P8402" t="n">
        <v>0</v>
      </c>
      <c r="Q8402" t="n">
        <v>0</v>
      </c>
      <c r="R8402" t="n">
        <v>0</v>
      </c>
      <c r="S8402" t="n">
        <v>0</v>
      </c>
      <c r="T8402" t="n">
        <v>0</v>
      </c>
      <c r="U8402" t="n">
        <v>0</v>
      </c>
      <c r="V8402" s="2" t="inlineStr"/>
    </row>
    <row r="8403" ht="15" customHeight="1">
      <c r="A8403" t="inlineStr">
        <is>
          <t>A 28760-2024</t>
        </is>
      </c>
      <c r="B8403" t="inlineStr">
        <is>
          <t>avverkningsanmälan</t>
        </is>
      </c>
      <c r="C8403" t="inlineStr">
        <is>
          <t>Föryngringsavverkning</t>
        </is>
      </c>
      <c r="D8403" s="1" t="n">
        <v>45478</v>
      </c>
      <c r="E8403" s="1" t="n">
        <v>46319</v>
      </c>
      <c r="F8403" t="inlineStr">
        <is>
          <t>DALARNAS LÄN</t>
        </is>
      </c>
      <c r="G8403" t="inlineStr">
        <is>
          <t>SMEDJEBACKEN</t>
        </is>
      </c>
      <c r="H8403" t="inlineStr">
        <is>
          <t>Bergvik skog väst AB</t>
        </is>
      </c>
      <c r="I8403" t="n">
        <v>11</v>
      </c>
      <c r="J8403" t="n">
        <v>0</v>
      </c>
      <c r="K8403" t="n">
        <v>0</v>
      </c>
      <c r="L8403" t="n">
        <v>0</v>
      </c>
      <c r="M8403" t="n">
        <v>0</v>
      </c>
      <c r="N8403" t="n">
        <v>0</v>
      </c>
      <c r="O8403" t="n">
        <v>0</v>
      </c>
      <c r="P8403" t="n">
        <v>0</v>
      </c>
      <c r="Q8403" t="n">
        <v>0</v>
      </c>
      <c r="R8403" t="n">
        <v>0</v>
      </c>
      <c r="S8403" t="n">
        <v>0</v>
      </c>
      <c r="T8403" t="n">
        <v>0</v>
      </c>
      <c r="U8403" t="n">
        <v>0</v>
      </c>
      <c r="V8403" s="2" t="inlineStr"/>
    </row>
    <row r="8404" ht="15" customHeight="1">
      <c r="A8404" t="inlineStr">
        <is>
          <t>A 16334-2023</t>
        </is>
      </c>
      <c r="B8404" t="inlineStr">
        <is>
          <t>avverkningsanmälan</t>
        </is>
      </c>
      <c r="C8404" t="inlineStr">
        <is>
          <t>Föryngringsavverkning</t>
        </is>
      </c>
      <c r="D8404" s="1" t="n">
        <v>45028</v>
      </c>
      <c r="E8404" s="1" t="n">
        <v>46319</v>
      </c>
      <c r="F8404" t="inlineStr">
        <is>
          <t>DALARNAS LÄN</t>
        </is>
      </c>
      <c r="G8404" t="inlineStr">
        <is>
          <t>FALUN</t>
        </is>
      </c>
      <c r="I8404" t="n">
        <v>1.4</v>
      </c>
      <c r="J8404" t="n">
        <v>0</v>
      </c>
      <c r="K8404" t="n">
        <v>0</v>
      </c>
      <c r="L8404" t="n">
        <v>0</v>
      </c>
      <c r="M8404" t="n">
        <v>0</v>
      </c>
      <c r="N8404" t="n">
        <v>0</v>
      </c>
      <c r="O8404" t="n">
        <v>0</v>
      </c>
      <c r="P8404" t="n">
        <v>0</v>
      </c>
      <c r="Q8404" t="n">
        <v>0</v>
      </c>
      <c r="R8404" t="n">
        <v>0</v>
      </c>
      <c r="S8404" t="n">
        <v>0</v>
      </c>
      <c r="T8404" t="n">
        <v>0</v>
      </c>
      <c r="U8404" t="n">
        <v>0</v>
      </c>
      <c r="V8404" s="2" t="inlineStr"/>
    </row>
    <row r="8405" ht="15" customHeight="1">
      <c r="A8405" t="inlineStr">
        <is>
          <t>A 13965-2023</t>
        </is>
      </c>
      <c r="B8405" t="inlineStr">
        <is>
          <t>avverkningsanmälan</t>
        </is>
      </c>
      <c r="C8405" t="inlineStr">
        <is>
          <t>Föryngringsavverkning</t>
        </is>
      </c>
      <c r="D8405" s="1" t="n">
        <v>45008</v>
      </c>
      <c r="E8405" s="1" t="n">
        <v>46319</v>
      </c>
      <c r="F8405" t="inlineStr">
        <is>
          <t>DALARNAS LÄN</t>
        </is>
      </c>
      <c r="G8405" t="inlineStr">
        <is>
          <t>AVESTA</t>
        </is>
      </c>
      <c r="I8405" t="n">
        <v>4.2</v>
      </c>
      <c r="J8405" t="n">
        <v>0</v>
      </c>
      <c r="K8405" t="n">
        <v>0</v>
      </c>
      <c r="L8405" t="n">
        <v>0</v>
      </c>
      <c r="M8405" t="n">
        <v>0</v>
      </c>
      <c r="N8405" t="n">
        <v>0</v>
      </c>
      <c r="O8405" t="n">
        <v>0</v>
      </c>
      <c r="P8405" t="n">
        <v>0</v>
      </c>
      <c r="Q8405" t="n">
        <v>0</v>
      </c>
      <c r="R8405" t="n">
        <v>0</v>
      </c>
      <c r="S8405" t="n">
        <v>0</v>
      </c>
      <c r="T8405" t="n">
        <v>0</v>
      </c>
      <c r="U8405" t="n">
        <v>0</v>
      </c>
      <c r="V8405" s="2" t="inlineStr"/>
    </row>
    <row r="8406" ht="15" customHeight="1">
      <c r="A8406" t="inlineStr">
        <is>
          <t>A 7628-2025</t>
        </is>
      </c>
      <c r="B8406" t="inlineStr">
        <is>
          <t>avverkningsanmälan</t>
        </is>
      </c>
      <c r="C8406" t="inlineStr">
        <is>
          <t>Föryngringsavverkning</t>
        </is>
      </c>
      <c r="D8406" s="1" t="n">
        <v>45705</v>
      </c>
      <c r="E8406" s="1" t="n">
        <v>46319</v>
      </c>
      <c r="F8406" t="inlineStr">
        <is>
          <t>DALARNAS LÄN</t>
        </is>
      </c>
      <c r="G8406" t="inlineStr">
        <is>
          <t>ORSA</t>
        </is>
      </c>
      <c r="I8406" t="n">
        <v>1.8</v>
      </c>
      <c r="J8406" t="n">
        <v>0</v>
      </c>
      <c r="K8406" t="n">
        <v>0</v>
      </c>
      <c r="L8406" t="n">
        <v>0</v>
      </c>
      <c r="M8406" t="n">
        <v>0</v>
      </c>
      <c r="N8406" t="n">
        <v>0</v>
      </c>
      <c r="O8406" t="n">
        <v>0</v>
      </c>
      <c r="P8406" t="n">
        <v>0</v>
      </c>
      <c r="Q8406" t="n">
        <v>0</v>
      </c>
      <c r="R8406" t="n">
        <v>0</v>
      </c>
      <c r="S8406" t="n">
        <v>0</v>
      </c>
      <c r="T8406" t="n">
        <v>0</v>
      </c>
      <c r="U8406" t="n">
        <v>0</v>
      </c>
      <c r="V8406" s="2" t="inlineStr"/>
    </row>
    <row r="8407" ht="15" customHeight="1">
      <c r="A8407" t="inlineStr">
        <is>
          <t>A 41853-2023</t>
        </is>
      </c>
      <c r="B8407" t="inlineStr">
        <is>
          <t>avverkningsanmälan</t>
        </is>
      </c>
      <c r="C8407" t="inlineStr">
        <is>
          <t>Föryngringsavverkning</t>
        </is>
      </c>
      <c r="D8407" s="1" t="n">
        <v>45176</v>
      </c>
      <c r="E8407" s="1" t="n">
        <v>46319</v>
      </c>
      <c r="F8407" t="inlineStr">
        <is>
          <t>DALARNAS LÄN</t>
        </is>
      </c>
      <c r="G8407" t="inlineStr">
        <is>
          <t>LEKSAND</t>
        </is>
      </c>
      <c r="I8407" t="n">
        <v>1</v>
      </c>
      <c r="J8407" t="n">
        <v>0</v>
      </c>
      <c r="K8407" t="n">
        <v>0</v>
      </c>
      <c r="L8407" t="n">
        <v>0</v>
      </c>
      <c r="M8407" t="n">
        <v>0</v>
      </c>
      <c r="N8407" t="n">
        <v>0</v>
      </c>
      <c r="O8407" t="n">
        <v>0</v>
      </c>
      <c r="P8407" t="n">
        <v>0</v>
      </c>
      <c r="Q8407" t="n">
        <v>0</v>
      </c>
      <c r="R8407" t="n">
        <v>0</v>
      </c>
      <c r="S8407" t="n">
        <v>0</v>
      </c>
      <c r="T8407" t="n">
        <v>0</v>
      </c>
      <c r="U8407" t="n">
        <v>0</v>
      </c>
      <c r="V8407" s="2" t="inlineStr"/>
    </row>
    <row r="8408" ht="15" customHeight="1">
      <c r="A8408" t="inlineStr">
        <is>
          <t>A 52159-2023</t>
        </is>
      </c>
      <c r="B8408" t="inlineStr">
        <is>
          <t>avverkningsanmälan</t>
        </is>
      </c>
      <c r="C8408" t="inlineStr">
        <is>
          <t>Föryngringsavverkning</t>
        </is>
      </c>
      <c r="D8408" s="1" t="n">
        <v>45224</v>
      </c>
      <c r="E8408" s="1" t="n">
        <v>46319</v>
      </c>
      <c r="F8408" t="inlineStr">
        <is>
          <t>DALARNAS LÄN</t>
        </is>
      </c>
      <c r="G8408" t="inlineStr">
        <is>
          <t>GAGNEF</t>
        </is>
      </c>
      <c r="I8408" t="n">
        <v>1</v>
      </c>
      <c r="J8408" t="n">
        <v>0</v>
      </c>
      <c r="K8408" t="n">
        <v>0</v>
      </c>
      <c r="L8408" t="n">
        <v>0</v>
      </c>
      <c r="M8408" t="n">
        <v>0</v>
      </c>
      <c r="N8408" t="n">
        <v>0</v>
      </c>
      <c r="O8408" t="n">
        <v>0</v>
      </c>
      <c r="P8408" t="n">
        <v>0</v>
      </c>
      <c r="Q8408" t="n">
        <v>0</v>
      </c>
      <c r="R8408" t="n">
        <v>0</v>
      </c>
      <c r="S8408" t="n">
        <v>0</v>
      </c>
      <c r="T8408" t="n">
        <v>0</v>
      </c>
      <c r="U8408" t="n">
        <v>0</v>
      </c>
      <c r="V8408" s="2" t="inlineStr"/>
    </row>
    <row r="8409" ht="15" customHeight="1">
      <c r="A8409" t="inlineStr">
        <is>
          <t>A 51925-2023</t>
        </is>
      </c>
      <c r="B8409" t="inlineStr">
        <is>
          <t>avverkningsanmälan</t>
        </is>
      </c>
      <c r="C8409" t="inlineStr">
        <is>
          <t>Föryngringsavverkning</t>
        </is>
      </c>
      <c r="D8409" s="1" t="n">
        <v>45223</v>
      </c>
      <c r="E8409" s="1" t="n">
        <v>46319</v>
      </c>
      <c r="F8409" t="inlineStr">
        <is>
          <t>DALARNAS LÄN</t>
        </is>
      </c>
      <c r="G8409" t="inlineStr">
        <is>
          <t>RÄTTVIK</t>
        </is>
      </c>
      <c r="H8409" t="inlineStr">
        <is>
          <t>Bergvik skog väst AB</t>
        </is>
      </c>
      <c r="I8409" t="n">
        <v>4</v>
      </c>
      <c r="J8409" t="n">
        <v>0</v>
      </c>
      <c r="K8409" t="n">
        <v>0</v>
      </c>
      <c r="L8409" t="n">
        <v>0</v>
      </c>
      <c r="M8409" t="n">
        <v>0</v>
      </c>
      <c r="N8409" t="n">
        <v>0</v>
      </c>
      <c r="O8409" t="n">
        <v>0</v>
      </c>
      <c r="P8409" t="n">
        <v>0</v>
      </c>
      <c r="Q8409" t="n">
        <v>0</v>
      </c>
      <c r="R8409" t="n">
        <v>0</v>
      </c>
      <c r="S8409" t="n">
        <v>0</v>
      </c>
      <c r="T8409" t="n">
        <v>0</v>
      </c>
      <c r="U8409" t="n">
        <v>0</v>
      </c>
      <c r="V8409" s="2" t="inlineStr"/>
    </row>
    <row r="8410" ht="15" customHeight="1">
      <c r="A8410" t="inlineStr">
        <is>
          <t>A 40570-2022</t>
        </is>
      </c>
      <c r="B8410" t="inlineStr">
        <is>
          <t>avverkningsanmälan</t>
        </is>
      </c>
      <c r="C8410" t="inlineStr">
        <is>
          <t>Föryngringsavverkning</t>
        </is>
      </c>
      <c r="D8410" s="1" t="n">
        <v>44823</v>
      </c>
      <c r="E8410" s="1" t="n">
        <v>46319</v>
      </c>
      <c r="F8410" t="inlineStr">
        <is>
          <t>DALARNAS LÄN</t>
        </is>
      </c>
      <c r="G8410" t="inlineStr">
        <is>
          <t>RÄTTVIK</t>
        </is>
      </c>
      <c r="I8410" t="n">
        <v>5.1</v>
      </c>
      <c r="J8410" t="n">
        <v>0</v>
      </c>
      <c r="K8410" t="n">
        <v>0</v>
      </c>
      <c r="L8410" t="n">
        <v>0</v>
      </c>
      <c r="M8410" t="n">
        <v>0</v>
      </c>
      <c r="N8410" t="n">
        <v>0</v>
      </c>
      <c r="O8410" t="n">
        <v>0</v>
      </c>
      <c r="P8410" t="n">
        <v>0</v>
      </c>
      <c r="Q8410" t="n">
        <v>0</v>
      </c>
      <c r="R8410" t="n">
        <v>0</v>
      </c>
      <c r="S8410" t="n">
        <v>0</v>
      </c>
      <c r="T8410" t="n">
        <v>0</v>
      </c>
      <c r="U8410" t="n">
        <v>0</v>
      </c>
      <c r="V8410" s="2" t="inlineStr"/>
    </row>
    <row r="8411" ht="15" customHeight="1">
      <c r="A8411" t="inlineStr">
        <is>
          <t>A 4544-2025</t>
        </is>
      </c>
      <c r="B8411" t="inlineStr">
        <is>
          <t>avverkningsanmälan</t>
        </is>
      </c>
      <c r="C8411" t="inlineStr">
        <is>
          <t>Föryngringsavverkning</t>
        </is>
      </c>
      <c r="D8411" s="1" t="n">
        <v>45687</v>
      </c>
      <c r="E8411" s="1" t="n">
        <v>46319</v>
      </c>
      <c r="F8411" t="inlineStr">
        <is>
          <t>DALARNAS LÄN</t>
        </is>
      </c>
      <c r="G8411" t="inlineStr">
        <is>
          <t>LUDVIKA</t>
        </is>
      </c>
      <c r="I8411" t="n">
        <v>1.9</v>
      </c>
      <c r="J8411" t="n">
        <v>0</v>
      </c>
      <c r="K8411" t="n">
        <v>0</v>
      </c>
      <c r="L8411" t="n">
        <v>0</v>
      </c>
      <c r="M8411" t="n">
        <v>0</v>
      </c>
      <c r="N8411" t="n">
        <v>0</v>
      </c>
      <c r="O8411" t="n">
        <v>0</v>
      </c>
      <c r="P8411" t="n">
        <v>0</v>
      </c>
      <c r="Q8411" t="n">
        <v>0</v>
      </c>
      <c r="R8411" t="n">
        <v>0</v>
      </c>
      <c r="S8411" t="n">
        <v>0</v>
      </c>
      <c r="T8411" t="n">
        <v>0</v>
      </c>
      <c r="U8411" t="n">
        <v>0</v>
      </c>
      <c r="V8411" s="2" t="inlineStr"/>
    </row>
    <row r="8412" ht="15" customHeight="1">
      <c r="A8412" t="inlineStr">
        <is>
          <t>A 62080-2024</t>
        </is>
      </c>
      <c r="B8412" t="inlineStr">
        <is>
          <t>avverkningsanmälan</t>
        </is>
      </c>
      <c r="C8412" t="inlineStr">
        <is>
          <t>Föryngringsavverkning</t>
        </is>
      </c>
      <c r="D8412" s="1" t="n">
        <v>45656</v>
      </c>
      <c r="E8412" s="1" t="n">
        <v>46319</v>
      </c>
      <c r="F8412" t="inlineStr">
        <is>
          <t>DALARNAS LÄN</t>
        </is>
      </c>
      <c r="G8412" t="inlineStr">
        <is>
          <t>BORLÄNGE</t>
        </is>
      </c>
      <c r="I8412" t="n">
        <v>1.1</v>
      </c>
      <c r="J8412" t="n">
        <v>0</v>
      </c>
      <c r="K8412" t="n">
        <v>0</v>
      </c>
      <c r="L8412" t="n">
        <v>0</v>
      </c>
      <c r="M8412" t="n">
        <v>0</v>
      </c>
      <c r="N8412" t="n">
        <v>0</v>
      </c>
      <c r="O8412" t="n">
        <v>0</v>
      </c>
      <c r="P8412" t="n">
        <v>0</v>
      </c>
      <c r="Q8412" t="n">
        <v>0</v>
      </c>
      <c r="R8412" t="n">
        <v>0</v>
      </c>
      <c r="S8412" t="n">
        <v>0</v>
      </c>
      <c r="T8412" t="n">
        <v>0</v>
      </c>
      <c r="U8412" t="n">
        <v>0</v>
      </c>
      <c r="V8412" s="2" t="inlineStr"/>
    </row>
    <row r="8413" ht="15" customHeight="1">
      <c r="A8413" t="inlineStr">
        <is>
          <t>A 39982-2023</t>
        </is>
      </c>
      <c r="B8413" t="inlineStr">
        <is>
          <t>avverkningsanmälan</t>
        </is>
      </c>
      <c r="C8413" t="inlineStr">
        <is>
          <t>Föryngringsavverkning</t>
        </is>
      </c>
      <c r="D8413" s="1" t="n">
        <v>45168</v>
      </c>
      <c r="E8413" s="1" t="n">
        <v>46319</v>
      </c>
      <c r="F8413" t="inlineStr">
        <is>
          <t>DALARNAS LÄN</t>
        </is>
      </c>
      <c r="G8413" t="inlineStr">
        <is>
          <t>MALUNG-SÄLEN</t>
        </is>
      </c>
      <c r="I8413" t="n">
        <v>0.2</v>
      </c>
      <c r="J8413" t="n">
        <v>0</v>
      </c>
      <c r="K8413" t="n">
        <v>0</v>
      </c>
      <c r="L8413" t="n">
        <v>0</v>
      </c>
      <c r="M8413" t="n">
        <v>0</v>
      </c>
      <c r="N8413" t="n">
        <v>0</v>
      </c>
      <c r="O8413" t="n">
        <v>0</v>
      </c>
      <c r="P8413" t="n">
        <v>0</v>
      </c>
      <c r="Q8413" t="n">
        <v>0</v>
      </c>
      <c r="R8413" t="n">
        <v>0</v>
      </c>
      <c r="S8413" t="n">
        <v>0</v>
      </c>
      <c r="T8413" t="n">
        <v>0</v>
      </c>
      <c r="U8413" t="n">
        <v>0</v>
      </c>
      <c r="V8413" s="2" t="inlineStr"/>
    </row>
    <row r="8414" ht="15" customHeight="1">
      <c r="A8414" t="inlineStr">
        <is>
          <t>A 3196-2025</t>
        </is>
      </c>
      <c r="B8414" t="inlineStr">
        <is>
          <t>avverkningsanmälan</t>
        </is>
      </c>
      <c r="C8414" t="inlineStr">
        <is>
          <t>Föryngringsavverkning</t>
        </is>
      </c>
      <c r="D8414" s="1" t="n">
        <v>45679</v>
      </c>
      <c r="E8414" s="1" t="n">
        <v>46319</v>
      </c>
      <c r="F8414" t="inlineStr">
        <is>
          <t>DALARNAS LÄN</t>
        </is>
      </c>
      <c r="G8414" t="inlineStr">
        <is>
          <t>ÄLVDALEN</t>
        </is>
      </c>
      <c r="I8414" t="n">
        <v>5.2</v>
      </c>
      <c r="J8414" t="n">
        <v>0</v>
      </c>
      <c r="K8414" t="n">
        <v>0</v>
      </c>
      <c r="L8414" t="n">
        <v>0</v>
      </c>
      <c r="M8414" t="n">
        <v>0</v>
      </c>
      <c r="N8414" t="n">
        <v>0</v>
      </c>
      <c r="O8414" t="n">
        <v>0</v>
      </c>
      <c r="P8414" t="n">
        <v>0</v>
      </c>
      <c r="Q8414" t="n">
        <v>0</v>
      </c>
      <c r="R8414" t="n">
        <v>0</v>
      </c>
      <c r="S8414" t="n">
        <v>0</v>
      </c>
      <c r="T8414" t="n">
        <v>0</v>
      </c>
      <c r="U8414" t="n">
        <v>0</v>
      </c>
      <c r="V8414" s="2" t="inlineStr"/>
    </row>
    <row r="8415" ht="15" customHeight="1">
      <c r="A8415" t="inlineStr">
        <is>
          <t>A 4365-2025</t>
        </is>
      </c>
      <c r="B8415" t="inlineStr">
        <is>
          <t>avverkningsanmälan</t>
        </is>
      </c>
      <c r="C8415" t="inlineStr">
        <is>
          <t>Föryngringsavverkning</t>
        </is>
      </c>
      <c r="D8415" s="1" t="n">
        <v>45686</v>
      </c>
      <c r="E8415" s="1" t="n">
        <v>46319</v>
      </c>
      <c r="F8415" t="inlineStr">
        <is>
          <t>DALARNAS LÄN</t>
        </is>
      </c>
      <c r="G8415" t="inlineStr">
        <is>
          <t>RÄTTVIK</t>
        </is>
      </c>
      <c r="I8415" t="n">
        <v>0.7</v>
      </c>
      <c r="J8415" t="n">
        <v>0</v>
      </c>
      <c r="K8415" t="n">
        <v>0</v>
      </c>
      <c r="L8415" t="n">
        <v>0</v>
      </c>
      <c r="M8415" t="n">
        <v>0</v>
      </c>
      <c r="N8415" t="n">
        <v>0</v>
      </c>
      <c r="O8415" t="n">
        <v>0</v>
      </c>
      <c r="P8415" t="n">
        <v>0</v>
      </c>
      <c r="Q8415" t="n">
        <v>0</v>
      </c>
      <c r="R8415" t="n">
        <v>0</v>
      </c>
      <c r="S8415" t="n">
        <v>0</v>
      </c>
      <c r="T8415" t="n">
        <v>0</v>
      </c>
      <c r="U8415" t="n">
        <v>0</v>
      </c>
      <c r="V8415" s="2" t="inlineStr"/>
    </row>
    <row r="8416" ht="15" customHeight="1">
      <c r="A8416" t="inlineStr">
        <is>
          <t>A 18859-2025</t>
        </is>
      </c>
      <c r="B8416" t="inlineStr">
        <is>
          <t>avverkningsanmälan</t>
        </is>
      </c>
      <c r="C8416" t="inlineStr">
        <is>
          <t>Föryngringsavverkning</t>
        </is>
      </c>
      <c r="D8416" s="1" t="n">
        <v>45764</v>
      </c>
      <c r="E8416" s="1" t="n">
        <v>46319</v>
      </c>
      <c r="F8416" t="inlineStr">
        <is>
          <t>DALARNAS LÄN</t>
        </is>
      </c>
      <c r="G8416" t="inlineStr">
        <is>
          <t>VANSBRO</t>
        </is>
      </c>
      <c r="H8416" t="inlineStr">
        <is>
          <t>Bergvik skog väst AB</t>
        </is>
      </c>
      <c r="I8416" t="n">
        <v>0.6</v>
      </c>
      <c r="J8416" t="n">
        <v>0</v>
      </c>
      <c r="K8416" t="n">
        <v>0</v>
      </c>
      <c r="L8416" t="n">
        <v>0</v>
      </c>
      <c r="M8416" t="n">
        <v>0</v>
      </c>
      <c r="N8416" t="n">
        <v>0</v>
      </c>
      <c r="O8416" t="n">
        <v>0</v>
      </c>
      <c r="P8416" t="n">
        <v>0</v>
      </c>
      <c r="Q8416" t="n">
        <v>0</v>
      </c>
      <c r="R8416" t="n">
        <v>0</v>
      </c>
      <c r="S8416" t="n">
        <v>0</v>
      </c>
      <c r="T8416" t="n">
        <v>0</v>
      </c>
      <c r="U8416" t="n">
        <v>0</v>
      </c>
      <c r="V8416" s="2" t="inlineStr"/>
    </row>
    <row r="8417" ht="15" customHeight="1">
      <c r="A8417" t="inlineStr">
        <is>
          <t>A 47328-2023</t>
        </is>
      </c>
      <c r="B8417" t="inlineStr">
        <is>
          <t>avverkningsanmälan</t>
        </is>
      </c>
      <c r="C8417" t="inlineStr">
        <is>
          <t>Föryngringsavverkning</t>
        </is>
      </c>
      <c r="D8417" s="1" t="n">
        <v>45202</v>
      </c>
      <c r="E8417" s="1" t="n">
        <v>46319</v>
      </c>
      <c r="F8417" t="inlineStr">
        <is>
          <t>DALARNAS LÄN</t>
        </is>
      </c>
      <c r="G8417" t="inlineStr">
        <is>
          <t>FALUN</t>
        </is>
      </c>
      <c r="I8417" t="n">
        <v>2.2</v>
      </c>
      <c r="J8417" t="n">
        <v>0</v>
      </c>
      <c r="K8417" t="n">
        <v>0</v>
      </c>
      <c r="L8417" t="n">
        <v>0</v>
      </c>
      <c r="M8417" t="n">
        <v>0</v>
      </c>
      <c r="N8417" t="n">
        <v>0</v>
      </c>
      <c r="O8417" t="n">
        <v>0</v>
      </c>
      <c r="P8417" t="n">
        <v>0</v>
      </c>
      <c r="Q8417" t="n">
        <v>0</v>
      </c>
      <c r="R8417" t="n">
        <v>0</v>
      </c>
      <c r="S8417" t="n">
        <v>0</v>
      </c>
      <c r="T8417" t="n">
        <v>0</v>
      </c>
      <c r="U8417" t="n">
        <v>0</v>
      </c>
      <c r="V8417" s="2" t="inlineStr"/>
    </row>
    <row r="8418" ht="15" customHeight="1">
      <c r="A8418" t="inlineStr">
        <is>
          <t>A 18421-2025</t>
        </is>
      </c>
      <c r="B8418" t="inlineStr">
        <is>
          <t>avverkningsanmälan</t>
        </is>
      </c>
      <c r="C8418" t="inlineStr">
        <is>
          <t>Föryngringsavverkning</t>
        </is>
      </c>
      <c r="D8418" s="1" t="n">
        <v>45762</v>
      </c>
      <c r="E8418" s="1" t="n">
        <v>46319</v>
      </c>
      <c r="F8418" t="inlineStr">
        <is>
          <t>DALARNAS LÄN</t>
        </is>
      </c>
      <c r="G8418" t="inlineStr">
        <is>
          <t>LUDVIKA</t>
        </is>
      </c>
      <c r="I8418" t="n">
        <v>0.9</v>
      </c>
      <c r="J8418" t="n">
        <v>0</v>
      </c>
      <c r="K8418" t="n">
        <v>0</v>
      </c>
      <c r="L8418" t="n">
        <v>0</v>
      </c>
      <c r="M8418" t="n">
        <v>0</v>
      </c>
      <c r="N8418" t="n">
        <v>0</v>
      </c>
      <c r="O8418" t="n">
        <v>0</v>
      </c>
      <c r="P8418" t="n">
        <v>0</v>
      </c>
      <c r="Q8418" t="n">
        <v>0</v>
      </c>
      <c r="R8418" t="n">
        <v>0</v>
      </c>
      <c r="S8418" t="n">
        <v>0</v>
      </c>
      <c r="T8418" t="n">
        <v>0</v>
      </c>
      <c r="U8418" t="n">
        <v>0</v>
      </c>
      <c r="V8418" s="2" t="inlineStr"/>
    </row>
    <row r="8419" ht="15" customHeight="1">
      <c r="A8419" t="inlineStr">
        <is>
          <t>A 337-2025</t>
        </is>
      </c>
      <c r="B8419" t="inlineStr">
        <is>
          <t>avverkningsanmälan</t>
        </is>
      </c>
      <c r="C8419" t="inlineStr">
        <is>
          <t>Föryngringsavverkning</t>
        </is>
      </c>
      <c r="D8419" s="1" t="n">
        <v>45660</v>
      </c>
      <c r="E8419" s="1" t="n">
        <v>46319</v>
      </c>
      <c r="F8419" t="inlineStr">
        <is>
          <t>DALARNAS LÄN</t>
        </is>
      </c>
      <c r="G8419" t="inlineStr">
        <is>
          <t>GAGNEF</t>
        </is>
      </c>
      <c r="I8419" t="n">
        <v>2.2</v>
      </c>
      <c r="J8419" t="n">
        <v>0</v>
      </c>
      <c r="K8419" t="n">
        <v>0</v>
      </c>
      <c r="L8419" t="n">
        <v>0</v>
      </c>
      <c r="M8419" t="n">
        <v>0</v>
      </c>
      <c r="N8419" t="n">
        <v>0</v>
      </c>
      <c r="O8419" t="n">
        <v>0</v>
      </c>
      <c r="P8419" t="n">
        <v>0</v>
      </c>
      <c r="Q8419" t="n">
        <v>0</v>
      </c>
      <c r="R8419" t="n">
        <v>0</v>
      </c>
      <c r="S8419" t="n">
        <v>0</v>
      </c>
      <c r="T8419" t="n">
        <v>0</v>
      </c>
      <c r="U8419" t="n">
        <v>0</v>
      </c>
      <c r="V8419" s="2" t="inlineStr"/>
    </row>
    <row r="8420" ht="15" customHeight="1">
      <c r="A8420" t="inlineStr">
        <is>
          <t>A 44141-2022</t>
        </is>
      </c>
      <c r="B8420" t="inlineStr">
        <is>
          <t>avverkningsanmälan</t>
        </is>
      </c>
      <c r="C8420" t="inlineStr">
        <is>
          <t>Föryngringsavverkning</t>
        </is>
      </c>
      <c r="D8420" s="1" t="n">
        <v>44839</v>
      </c>
      <c r="E8420" s="1" t="n">
        <v>46319</v>
      </c>
      <c r="F8420" t="inlineStr">
        <is>
          <t>DALARNAS LÄN</t>
        </is>
      </c>
      <c r="G8420" t="inlineStr">
        <is>
          <t>AVESTA</t>
        </is>
      </c>
      <c r="I8420" t="n">
        <v>6.6</v>
      </c>
      <c r="J8420" t="n">
        <v>0</v>
      </c>
      <c r="K8420" t="n">
        <v>0</v>
      </c>
      <c r="L8420" t="n">
        <v>0</v>
      </c>
      <c r="M8420" t="n">
        <v>0</v>
      </c>
      <c r="N8420" t="n">
        <v>0</v>
      </c>
      <c r="O8420" t="n">
        <v>0</v>
      </c>
      <c r="P8420" t="n">
        <v>0</v>
      </c>
      <c r="Q8420" t="n">
        <v>0</v>
      </c>
      <c r="R8420" t="n">
        <v>0</v>
      </c>
      <c r="S8420" t="n">
        <v>0</v>
      </c>
      <c r="T8420" t="n">
        <v>0</v>
      </c>
      <c r="U8420" t="n">
        <v>0</v>
      </c>
      <c r="V8420" s="2" t="inlineStr"/>
    </row>
    <row r="8421" ht="15" customHeight="1">
      <c r="A8421" t="inlineStr">
        <is>
          <t>A 41439-2022</t>
        </is>
      </c>
      <c r="B8421" t="inlineStr">
        <is>
          <t>avverkningsanmälan</t>
        </is>
      </c>
      <c r="C8421" t="inlineStr">
        <is>
          <t>Föryngringsavverkning</t>
        </is>
      </c>
      <c r="D8421" s="1" t="n">
        <v>44826</v>
      </c>
      <c r="E8421" s="1" t="n">
        <v>46319</v>
      </c>
      <c r="F8421" t="inlineStr">
        <is>
          <t>DALARNAS LÄN</t>
        </is>
      </c>
      <c r="G8421" t="inlineStr">
        <is>
          <t>FALUN</t>
        </is>
      </c>
      <c r="I8421" t="n">
        <v>1.7</v>
      </c>
      <c r="J8421" t="n">
        <v>0</v>
      </c>
      <c r="K8421" t="n">
        <v>0</v>
      </c>
      <c r="L8421" t="n">
        <v>0</v>
      </c>
      <c r="M8421" t="n">
        <v>0</v>
      </c>
      <c r="N8421" t="n">
        <v>0</v>
      </c>
      <c r="O8421" t="n">
        <v>0</v>
      </c>
      <c r="P8421" t="n">
        <v>0</v>
      </c>
      <c r="Q8421" t="n">
        <v>0</v>
      </c>
      <c r="R8421" t="n">
        <v>0</v>
      </c>
      <c r="S8421" t="n">
        <v>0</v>
      </c>
      <c r="T8421" t="n">
        <v>0</v>
      </c>
      <c r="U8421" t="n">
        <v>0</v>
      </c>
      <c r="V8421" s="2" t="inlineStr"/>
    </row>
    <row r="8422" ht="15" customHeight="1">
      <c r="A8422" t="inlineStr">
        <is>
          <t>A 45091-2022</t>
        </is>
      </c>
      <c r="B8422" t="inlineStr">
        <is>
          <t>avverkningsanmälan</t>
        </is>
      </c>
      <c r="C8422" t="inlineStr">
        <is>
          <t>Föryngringsavverkning</t>
        </is>
      </c>
      <c r="D8422" s="1" t="n">
        <v>44842</v>
      </c>
      <c r="E8422" s="1" t="n">
        <v>46319</v>
      </c>
      <c r="F8422" t="inlineStr">
        <is>
          <t>DALARNAS LÄN</t>
        </is>
      </c>
      <c r="G8422" t="inlineStr">
        <is>
          <t>SMEDJEBACKEN</t>
        </is>
      </c>
      <c r="I8422" t="n">
        <v>0.9</v>
      </c>
      <c r="J8422" t="n">
        <v>0</v>
      </c>
      <c r="K8422" t="n">
        <v>0</v>
      </c>
      <c r="L8422" t="n">
        <v>0</v>
      </c>
      <c r="M8422" t="n">
        <v>0</v>
      </c>
      <c r="N8422" t="n">
        <v>0</v>
      </c>
      <c r="O8422" t="n">
        <v>0</v>
      </c>
      <c r="P8422" t="n">
        <v>0</v>
      </c>
      <c r="Q8422" t="n">
        <v>0</v>
      </c>
      <c r="R8422" t="n">
        <v>0</v>
      </c>
      <c r="S8422" t="n">
        <v>0</v>
      </c>
      <c r="T8422" t="n">
        <v>0</v>
      </c>
      <c r="U8422" t="n">
        <v>0</v>
      </c>
      <c r="V8422" s="2" t="inlineStr"/>
    </row>
    <row r="8423" ht="15" customHeight="1">
      <c r="A8423" t="inlineStr">
        <is>
          <t>A 19841-2025</t>
        </is>
      </c>
      <c r="B8423" t="inlineStr">
        <is>
          <t>avverkningsanmälan</t>
        </is>
      </c>
      <c r="C8423" t="inlineStr">
        <is>
          <t>Föryngringsavverkning</t>
        </is>
      </c>
      <c r="D8423" s="1" t="n">
        <v>45771</v>
      </c>
      <c r="E8423" s="1" t="n">
        <v>46319</v>
      </c>
      <c r="F8423" t="inlineStr">
        <is>
          <t>DALARNAS LÄN</t>
        </is>
      </c>
      <c r="G8423" t="inlineStr">
        <is>
          <t>RÄTTVIK</t>
        </is>
      </c>
      <c r="I8423" t="n">
        <v>3.3</v>
      </c>
      <c r="J8423" t="n">
        <v>0</v>
      </c>
      <c r="K8423" t="n">
        <v>0</v>
      </c>
      <c r="L8423" t="n">
        <v>0</v>
      </c>
      <c r="M8423" t="n">
        <v>0</v>
      </c>
      <c r="N8423" t="n">
        <v>0</v>
      </c>
      <c r="O8423" t="n">
        <v>0</v>
      </c>
      <c r="P8423" t="n">
        <v>0</v>
      </c>
      <c r="Q8423" t="n">
        <v>0</v>
      </c>
      <c r="R8423" t="n">
        <v>0</v>
      </c>
      <c r="S8423" t="n">
        <v>0</v>
      </c>
      <c r="T8423" t="n">
        <v>0</v>
      </c>
      <c r="U8423" t="n">
        <v>0</v>
      </c>
      <c r="V8423" s="2" t="inlineStr"/>
    </row>
    <row r="8424" ht="15" customHeight="1">
      <c r="A8424" t="inlineStr">
        <is>
          <t>A 26301-2023</t>
        </is>
      </c>
      <c r="B8424" t="inlineStr">
        <is>
          <t>avverkningsanmälan</t>
        </is>
      </c>
      <c r="C8424" t="inlineStr">
        <is>
          <t>Föryngringsavverkning</t>
        </is>
      </c>
      <c r="D8424" s="1" t="n">
        <v>45091</v>
      </c>
      <c r="E8424" s="1" t="n">
        <v>46319</v>
      </c>
      <c r="F8424" t="inlineStr">
        <is>
          <t>DALARNAS LÄN</t>
        </is>
      </c>
      <c r="G8424" t="inlineStr">
        <is>
          <t>ORSA</t>
        </is>
      </c>
      <c r="I8424" t="n">
        <v>1.7</v>
      </c>
      <c r="J8424" t="n">
        <v>0</v>
      </c>
      <c r="K8424" t="n">
        <v>0</v>
      </c>
      <c r="L8424" t="n">
        <v>0</v>
      </c>
      <c r="M8424" t="n">
        <v>0</v>
      </c>
      <c r="N8424" t="n">
        <v>0</v>
      </c>
      <c r="O8424" t="n">
        <v>0</v>
      </c>
      <c r="P8424" t="n">
        <v>0</v>
      </c>
      <c r="Q8424" t="n">
        <v>0</v>
      </c>
      <c r="R8424" t="n">
        <v>0</v>
      </c>
      <c r="S8424" t="n">
        <v>0</v>
      </c>
      <c r="T8424" t="n">
        <v>0</v>
      </c>
      <c r="U8424" t="n">
        <v>0</v>
      </c>
      <c r="V8424" s="2" t="inlineStr"/>
    </row>
    <row r="8425" ht="15" customHeight="1">
      <c r="A8425" t="inlineStr">
        <is>
          <t>A 3880-2025</t>
        </is>
      </c>
      <c r="B8425" t="inlineStr">
        <is>
          <t>avverkningsanmälan</t>
        </is>
      </c>
      <c r="C8425" t="inlineStr">
        <is>
          <t>Föryngringsavverkning</t>
        </is>
      </c>
      <c r="D8425" s="1" t="n">
        <v>45684</v>
      </c>
      <c r="E8425" s="1" t="n">
        <v>46319</v>
      </c>
      <c r="F8425" t="inlineStr">
        <is>
          <t>DALARNAS LÄN</t>
        </is>
      </c>
      <c r="G8425" t="inlineStr">
        <is>
          <t>MALUNG-SÄLEN</t>
        </is>
      </c>
      <c r="I8425" t="n">
        <v>7.1</v>
      </c>
      <c r="J8425" t="n">
        <v>0</v>
      </c>
      <c r="K8425" t="n">
        <v>0</v>
      </c>
      <c r="L8425" t="n">
        <v>0</v>
      </c>
      <c r="M8425" t="n">
        <v>0</v>
      </c>
      <c r="N8425" t="n">
        <v>0</v>
      </c>
      <c r="O8425" t="n">
        <v>0</v>
      </c>
      <c r="P8425" t="n">
        <v>0</v>
      </c>
      <c r="Q8425" t="n">
        <v>0</v>
      </c>
      <c r="R8425" t="n">
        <v>0</v>
      </c>
      <c r="S8425" t="n">
        <v>0</v>
      </c>
      <c r="T8425" t="n">
        <v>0</v>
      </c>
      <c r="U8425" t="n">
        <v>0</v>
      </c>
      <c r="V8425" s="2" t="inlineStr"/>
    </row>
    <row r="8426" ht="15" customHeight="1">
      <c r="A8426" t="inlineStr">
        <is>
          <t>A 19182-2023</t>
        </is>
      </c>
      <c r="B8426" t="inlineStr">
        <is>
          <t>avverkningsanmälan</t>
        </is>
      </c>
      <c r="C8426" t="inlineStr">
        <is>
          <t>Föryngringsavverkning</t>
        </is>
      </c>
      <c r="D8426" s="1" t="n">
        <v>45048</v>
      </c>
      <c r="E8426" s="1" t="n">
        <v>46319</v>
      </c>
      <c r="F8426" t="inlineStr">
        <is>
          <t>DALARNAS LÄN</t>
        </is>
      </c>
      <c r="G8426" t="inlineStr">
        <is>
          <t>ÄLVDALEN</t>
        </is>
      </c>
      <c r="I8426" t="n">
        <v>0.6</v>
      </c>
      <c r="J8426" t="n">
        <v>0</v>
      </c>
      <c r="K8426" t="n">
        <v>0</v>
      </c>
      <c r="L8426" t="n">
        <v>0</v>
      </c>
      <c r="M8426" t="n">
        <v>0</v>
      </c>
      <c r="N8426" t="n">
        <v>0</v>
      </c>
      <c r="O8426" t="n">
        <v>0</v>
      </c>
      <c r="P8426" t="n">
        <v>0</v>
      </c>
      <c r="Q8426" t="n">
        <v>0</v>
      </c>
      <c r="R8426" t="n">
        <v>0</v>
      </c>
      <c r="S8426" t="n">
        <v>0</v>
      </c>
      <c r="T8426" t="n">
        <v>0</v>
      </c>
      <c r="U8426" t="n">
        <v>0</v>
      </c>
      <c r="V8426" s="2" t="inlineStr"/>
    </row>
    <row r="8427" ht="15" customHeight="1">
      <c r="A8427" t="inlineStr">
        <is>
          <t>A 28090-2022</t>
        </is>
      </c>
      <c r="B8427" t="inlineStr">
        <is>
          <t>avverkningsanmälan</t>
        </is>
      </c>
      <c r="C8427" t="inlineStr">
        <is>
          <t>Föryngringsavverkning</t>
        </is>
      </c>
      <c r="D8427" s="1" t="n">
        <v>44746</v>
      </c>
      <c r="E8427" s="1" t="n">
        <v>46319</v>
      </c>
      <c r="F8427" t="inlineStr">
        <is>
          <t>DALARNAS LÄN</t>
        </is>
      </c>
      <c r="G8427" t="inlineStr">
        <is>
          <t>AVESTA</t>
        </is>
      </c>
      <c r="I8427" t="n">
        <v>1.1</v>
      </c>
      <c r="J8427" t="n">
        <v>0</v>
      </c>
      <c r="K8427" t="n">
        <v>0</v>
      </c>
      <c r="L8427" t="n">
        <v>0</v>
      </c>
      <c r="M8427" t="n">
        <v>0</v>
      </c>
      <c r="N8427" t="n">
        <v>0</v>
      </c>
      <c r="O8427" t="n">
        <v>0</v>
      </c>
      <c r="P8427" t="n">
        <v>0</v>
      </c>
      <c r="Q8427" t="n">
        <v>0</v>
      </c>
      <c r="R8427" t="n">
        <v>0</v>
      </c>
      <c r="S8427" t="n">
        <v>0</v>
      </c>
      <c r="T8427" t="n">
        <v>0</v>
      </c>
      <c r="U8427" t="n">
        <v>0</v>
      </c>
      <c r="V8427" s="2" t="inlineStr"/>
    </row>
    <row r="8428" ht="15" customHeight="1">
      <c r="A8428" t="inlineStr">
        <is>
          <t>A 5859-2025</t>
        </is>
      </c>
      <c r="B8428" t="inlineStr">
        <is>
          <t>avverkningsanmälan</t>
        </is>
      </c>
      <c r="C8428" t="inlineStr">
        <is>
          <t>Föryngringsavverkning</t>
        </is>
      </c>
      <c r="D8428" s="1" t="n">
        <v>45695</v>
      </c>
      <c r="E8428" s="1" t="n">
        <v>46319</v>
      </c>
      <c r="F8428" t="inlineStr">
        <is>
          <t>DALARNAS LÄN</t>
        </is>
      </c>
      <c r="G8428" t="inlineStr">
        <is>
          <t>GAGNEF</t>
        </is>
      </c>
      <c r="I8428" t="n">
        <v>0.5</v>
      </c>
      <c r="J8428" t="n">
        <v>0</v>
      </c>
      <c r="K8428" t="n">
        <v>0</v>
      </c>
      <c r="L8428" t="n">
        <v>0</v>
      </c>
      <c r="M8428" t="n">
        <v>0</v>
      </c>
      <c r="N8428" t="n">
        <v>0</v>
      </c>
      <c r="O8428" t="n">
        <v>0</v>
      </c>
      <c r="P8428" t="n">
        <v>0</v>
      </c>
      <c r="Q8428" t="n">
        <v>0</v>
      </c>
      <c r="R8428" t="n">
        <v>0</v>
      </c>
      <c r="S8428" t="n">
        <v>0</v>
      </c>
      <c r="T8428" t="n">
        <v>0</v>
      </c>
      <c r="U8428" t="n">
        <v>0</v>
      </c>
      <c r="V8428" s="2" t="inlineStr"/>
    </row>
    <row r="8429" ht="15" customHeight="1">
      <c r="A8429" t="inlineStr">
        <is>
          <t>A 62295-2023</t>
        </is>
      </c>
      <c r="B8429" t="inlineStr">
        <is>
          <t>avverkningsanmälan</t>
        </is>
      </c>
      <c r="C8429" t="inlineStr">
        <is>
          <t>Föryngringsavverkning</t>
        </is>
      </c>
      <c r="D8429" s="1" t="n">
        <v>45267</v>
      </c>
      <c r="E8429" s="1" t="n">
        <v>46319</v>
      </c>
      <c r="F8429" t="inlineStr">
        <is>
          <t>DALARNAS LÄN</t>
        </is>
      </c>
      <c r="G8429" t="inlineStr">
        <is>
          <t>LEKSAND</t>
        </is>
      </c>
      <c r="I8429" t="n">
        <v>2.5</v>
      </c>
      <c r="J8429" t="n">
        <v>0</v>
      </c>
      <c r="K8429" t="n">
        <v>0</v>
      </c>
      <c r="L8429" t="n">
        <v>0</v>
      </c>
      <c r="M8429" t="n">
        <v>0</v>
      </c>
      <c r="N8429" t="n">
        <v>0</v>
      </c>
      <c r="O8429" t="n">
        <v>0</v>
      </c>
      <c r="P8429" t="n">
        <v>0</v>
      </c>
      <c r="Q8429" t="n">
        <v>0</v>
      </c>
      <c r="R8429" t="n">
        <v>0</v>
      </c>
      <c r="S8429" t="n">
        <v>0</v>
      </c>
      <c r="T8429" t="n">
        <v>0</v>
      </c>
      <c r="U8429" t="n">
        <v>0</v>
      </c>
      <c r="V8429" s="2" t="inlineStr"/>
    </row>
    <row r="8430" ht="15" customHeight="1">
      <c r="A8430" t="inlineStr">
        <is>
          <t>A 12136-2025</t>
        </is>
      </c>
      <c r="B8430" t="inlineStr">
        <is>
          <t>avverkningsanmälan</t>
        </is>
      </c>
      <c r="C8430" t="inlineStr">
        <is>
          <t>Föryngringsavverkning</t>
        </is>
      </c>
      <c r="D8430" s="1" t="n">
        <v>45729</v>
      </c>
      <c r="E8430" s="1" t="n">
        <v>46319</v>
      </c>
      <c r="F8430" t="inlineStr">
        <is>
          <t>DALARNAS LÄN</t>
        </is>
      </c>
      <c r="G8430" t="inlineStr">
        <is>
          <t>HEDEMORA</t>
        </is>
      </c>
      <c r="I8430" t="n">
        <v>1.5</v>
      </c>
      <c r="J8430" t="n">
        <v>0</v>
      </c>
      <c r="K8430" t="n">
        <v>0</v>
      </c>
      <c r="L8430" t="n">
        <v>0</v>
      </c>
      <c r="M8430" t="n">
        <v>0</v>
      </c>
      <c r="N8430" t="n">
        <v>0</v>
      </c>
      <c r="O8430" t="n">
        <v>0</v>
      </c>
      <c r="P8430" t="n">
        <v>0</v>
      </c>
      <c r="Q8430" t="n">
        <v>0</v>
      </c>
      <c r="R8430" t="n">
        <v>0</v>
      </c>
      <c r="S8430" t="n">
        <v>0</v>
      </c>
      <c r="T8430" t="n">
        <v>0</v>
      </c>
      <c r="U8430" t="n">
        <v>0</v>
      </c>
      <c r="V8430" s="2" t="inlineStr"/>
    </row>
    <row r="8431" ht="15" customHeight="1">
      <c r="A8431" t="inlineStr">
        <is>
          <t>A 12145-2025</t>
        </is>
      </c>
      <c r="B8431" t="inlineStr">
        <is>
          <t>avverkningsanmälan</t>
        </is>
      </c>
      <c r="C8431" t="inlineStr">
        <is>
          <t>Föryngringsavverkning</t>
        </is>
      </c>
      <c r="D8431" s="1" t="n">
        <v>45729</v>
      </c>
      <c r="E8431" s="1" t="n">
        <v>46319</v>
      </c>
      <c r="F8431" t="inlineStr">
        <is>
          <t>DALARNAS LÄN</t>
        </is>
      </c>
      <c r="G8431" t="inlineStr">
        <is>
          <t>AVESTA</t>
        </is>
      </c>
      <c r="I8431" t="n">
        <v>1.3</v>
      </c>
      <c r="J8431" t="n">
        <v>0</v>
      </c>
      <c r="K8431" t="n">
        <v>0</v>
      </c>
      <c r="L8431" t="n">
        <v>0</v>
      </c>
      <c r="M8431" t="n">
        <v>0</v>
      </c>
      <c r="N8431" t="n">
        <v>0</v>
      </c>
      <c r="O8431" t="n">
        <v>0</v>
      </c>
      <c r="P8431" t="n">
        <v>0</v>
      </c>
      <c r="Q8431" t="n">
        <v>0</v>
      </c>
      <c r="R8431" t="n">
        <v>0</v>
      </c>
      <c r="S8431" t="n">
        <v>0</v>
      </c>
      <c r="T8431" t="n">
        <v>0</v>
      </c>
      <c r="U8431" t="n">
        <v>0</v>
      </c>
      <c r="V8431" s="2" t="inlineStr"/>
    </row>
    <row r="8432" ht="15" customHeight="1">
      <c r="A8432" t="inlineStr">
        <is>
          <t>A 6230-2024</t>
        </is>
      </c>
      <c r="B8432" t="inlineStr">
        <is>
          <t>avverkningsanmälan</t>
        </is>
      </c>
      <c r="C8432" t="inlineStr">
        <is>
          <t>Föryngringsavverkning</t>
        </is>
      </c>
      <c r="D8432" s="1" t="n">
        <v>45337</v>
      </c>
      <c r="E8432" s="1" t="n">
        <v>46319</v>
      </c>
      <c r="F8432" t="inlineStr">
        <is>
          <t>DALARNAS LÄN</t>
        </is>
      </c>
      <c r="G8432" t="inlineStr">
        <is>
          <t>ÄLVDALEN</t>
        </is>
      </c>
      <c r="I8432" t="n">
        <v>6.2</v>
      </c>
      <c r="J8432" t="n">
        <v>0</v>
      </c>
      <c r="K8432" t="n">
        <v>0</v>
      </c>
      <c r="L8432" t="n">
        <v>0</v>
      </c>
      <c r="M8432" t="n">
        <v>0</v>
      </c>
      <c r="N8432" t="n">
        <v>0</v>
      </c>
      <c r="O8432" t="n">
        <v>0</v>
      </c>
      <c r="P8432" t="n">
        <v>0</v>
      </c>
      <c r="Q8432" t="n">
        <v>0</v>
      </c>
      <c r="R8432" t="n">
        <v>0</v>
      </c>
      <c r="S8432" t="n">
        <v>0</v>
      </c>
      <c r="T8432" t="n">
        <v>0</v>
      </c>
      <c r="U8432" t="n">
        <v>0</v>
      </c>
      <c r="V8432" s="2" t="inlineStr"/>
    </row>
    <row r="8433" ht="15" customHeight="1">
      <c r="A8433" t="inlineStr">
        <is>
          <t>A 31085-2024</t>
        </is>
      </c>
      <c r="B8433" t="inlineStr">
        <is>
          <t>avverkningsanmälan</t>
        </is>
      </c>
      <c r="C8433" t="inlineStr">
        <is>
          <t>Föryngringsavverkning</t>
        </is>
      </c>
      <c r="D8433" s="1" t="n">
        <v>45502</v>
      </c>
      <c r="E8433" s="1" t="n">
        <v>46319</v>
      </c>
      <c r="F8433" t="inlineStr">
        <is>
          <t>DALARNAS LÄN</t>
        </is>
      </c>
      <c r="G8433" t="inlineStr">
        <is>
          <t>MORA</t>
        </is>
      </c>
      <c r="I8433" t="n">
        <v>1.6</v>
      </c>
      <c r="J8433" t="n">
        <v>0</v>
      </c>
      <c r="K8433" t="n">
        <v>0</v>
      </c>
      <c r="L8433" t="n">
        <v>0</v>
      </c>
      <c r="M8433" t="n">
        <v>0</v>
      </c>
      <c r="N8433" t="n">
        <v>0</v>
      </c>
      <c r="O8433" t="n">
        <v>0</v>
      </c>
      <c r="P8433" t="n">
        <v>0</v>
      </c>
      <c r="Q8433" t="n">
        <v>0</v>
      </c>
      <c r="R8433" t="n">
        <v>0</v>
      </c>
      <c r="S8433" t="n">
        <v>0</v>
      </c>
      <c r="T8433" t="n">
        <v>0</v>
      </c>
      <c r="U8433" t="n">
        <v>0</v>
      </c>
      <c r="V8433" s="2" t="inlineStr"/>
    </row>
    <row r="8434" ht="15" customHeight="1">
      <c r="A8434" t="inlineStr">
        <is>
          <t>A 33473-2022</t>
        </is>
      </c>
      <c r="B8434" t="inlineStr">
        <is>
          <t>avverkningsanmälan</t>
        </is>
      </c>
      <c r="C8434" t="inlineStr">
        <is>
          <t>Föryngringsavverkning</t>
        </is>
      </c>
      <c r="D8434" s="1" t="n">
        <v>44788</v>
      </c>
      <c r="E8434" s="1" t="n">
        <v>46319</v>
      </c>
      <c r="F8434" t="inlineStr">
        <is>
          <t>DALARNAS LÄN</t>
        </is>
      </c>
      <c r="G8434" t="inlineStr">
        <is>
          <t>SÄTER</t>
        </is>
      </c>
      <c r="I8434" t="n">
        <v>1.8</v>
      </c>
      <c r="J8434" t="n">
        <v>0</v>
      </c>
      <c r="K8434" t="n">
        <v>0</v>
      </c>
      <c r="L8434" t="n">
        <v>0</v>
      </c>
      <c r="M8434" t="n">
        <v>0</v>
      </c>
      <c r="N8434" t="n">
        <v>0</v>
      </c>
      <c r="O8434" t="n">
        <v>0</v>
      </c>
      <c r="P8434" t="n">
        <v>0</v>
      </c>
      <c r="Q8434" t="n">
        <v>0</v>
      </c>
      <c r="R8434" t="n">
        <v>0</v>
      </c>
      <c r="S8434" t="n">
        <v>0</v>
      </c>
      <c r="T8434" t="n">
        <v>0</v>
      </c>
      <c r="U8434" t="n">
        <v>0</v>
      </c>
      <c r="V8434" s="2" t="inlineStr"/>
    </row>
    <row r="8435" ht="15" customHeight="1">
      <c r="A8435" t="inlineStr">
        <is>
          <t>A 7519-2024</t>
        </is>
      </c>
      <c r="B8435" t="inlineStr">
        <is>
          <t>avverkningsanmälan</t>
        </is>
      </c>
      <c r="C8435" t="inlineStr">
        <is>
          <t>Föryngringsavverkning</t>
        </is>
      </c>
      <c r="D8435" s="1" t="n">
        <v>45348</v>
      </c>
      <c r="E8435" s="1" t="n">
        <v>46319</v>
      </c>
      <c r="F8435" t="inlineStr">
        <is>
          <t>DALARNAS LÄN</t>
        </is>
      </c>
      <c r="G8435" t="inlineStr">
        <is>
          <t>FALUN</t>
        </is>
      </c>
      <c r="I8435" t="n">
        <v>1.2</v>
      </c>
      <c r="J8435" t="n">
        <v>0</v>
      </c>
      <c r="K8435" t="n">
        <v>0</v>
      </c>
      <c r="L8435" t="n">
        <v>0</v>
      </c>
      <c r="M8435" t="n">
        <v>0</v>
      </c>
      <c r="N8435" t="n">
        <v>0</v>
      </c>
      <c r="O8435" t="n">
        <v>0</v>
      </c>
      <c r="P8435" t="n">
        <v>0</v>
      </c>
      <c r="Q8435" t="n">
        <v>0</v>
      </c>
      <c r="R8435" t="n">
        <v>0</v>
      </c>
      <c r="S8435" t="n">
        <v>0</v>
      </c>
      <c r="T8435" t="n">
        <v>0</v>
      </c>
      <c r="U8435" t="n">
        <v>0</v>
      </c>
      <c r="V8435" s="2" t="inlineStr"/>
    </row>
    <row r="8436" ht="15" customHeight="1">
      <c r="A8436" t="inlineStr">
        <is>
          <t>A 10771-2024</t>
        </is>
      </c>
      <c r="B8436" t="inlineStr">
        <is>
          <t>avverkningsanmälan</t>
        </is>
      </c>
      <c r="C8436" t="inlineStr">
        <is>
          <t>Avverkning för annat ändamål</t>
        </is>
      </c>
      <c r="D8436" s="1" t="n">
        <v>45369</v>
      </c>
      <c r="E8436" s="1" t="n">
        <v>46319</v>
      </c>
      <c r="F8436" t="inlineStr">
        <is>
          <t>DALARNAS LÄN</t>
        </is>
      </c>
      <c r="G8436" t="inlineStr">
        <is>
          <t>LEKSAND</t>
        </is>
      </c>
      <c r="I8436" t="n">
        <v>0.4</v>
      </c>
      <c r="J8436" t="n">
        <v>0</v>
      </c>
      <c r="K8436" t="n">
        <v>0</v>
      </c>
      <c r="L8436" t="n">
        <v>0</v>
      </c>
      <c r="M8436" t="n">
        <v>0</v>
      </c>
      <c r="N8436" t="n">
        <v>0</v>
      </c>
      <c r="O8436" t="n">
        <v>0</v>
      </c>
      <c r="P8436" t="n">
        <v>0</v>
      </c>
      <c r="Q8436" t="n">
        <v>0</v>
      </c>
      <c r="R8436" t="n">
        <v>0</v>
      </c>
      <c r="S8436" t="n">
        <v>0</v>
      </c>
      <c r="T8436" t="n">
        <v>0</v>
      </c>
      <c r="U8436" t="n">
        <v>0</v>
      </c>
      <c r="V8436" s="2" t="inlineStr"/>
    </row>
    <row r="8437" ht="15" customHeight="1">
      <c r="A8437" t="inlineStr">
        <is>
          <t>A 45373-2023</t>
        </is>
      </c>
      <c r="B8437" t="inlineStr">
        <is>
          <t>avverkningsanmälan</t>
        </is>
      </c>
      <c r="C8437" t="inlineStr">
        <is>
          <t>Föryngringsavverkning</t>
        </is>
      </c>
      <c r="D8437" s="1" t="n">
        <v>45193</v>
      </c>
      <c r="E8437" s="1" t="n">
        <v>46319</v>
      </c>
      <c r="F8437" t="inlineStr">
        <is>
          <t>DALARNAS LÄN</t>
        </is>
      </c>
      <c r="G8437" t="inlineStr">
        <is>
          <t>SMEDJEBACKEN</t>
        </is>
      </c>
      <c r="H8437" t="inlineStr">
        <is>
          <t>Sveaskog</t>
        </is>
      </c>
      <c r="I8437" t="n">
        <v>1.3</v>
      </c>
      <c r="J8437" t="n">
        <v>0</v>
      </c>
      <c r="K8437" t="n">
        <v>0</v>
      </c>
      <c r="L8437" t="n">
        <v>0</v>
      </c>
      <c r="M8437" t="n">
        <v>0</v>
      </c>
      <c r="N8437" t="n">
        <v>0</v>
      </c>
      <c r="O8437" t="n">
        <v>0</v>
      </c>
      <c r="P8437" t="n">
        <v>0</v>
      </c>
      <c r="Q8437" t="n">
        <v>0</v>
      </c>
      <c r="R8437" t="n">
        <v>0</v>
      </c>
      <c r="S8437" t="n">
        <v>0</v>
      </c>
      <c r="T8437" t="n">
        <v>0</v>
      </c>
      <c r="U8437" t="n">
        <v>0</v>
      </c>
      <c r="V8437" s="2" t="inlineStr"/>
    </row>
    <row r="8438" ht="15" customHeight="1">
      <c r="A8438" t="inlineStr">
        <is>
          <t>A 2756-2025</t>
        </is>
      </c>
      <c r="B8438" t="inlineStr">
        <is>
          <t>avverkningsanmälan</t>
        </is>
      </c>
      <c r="C8438" t="inlineStr">
        <is>
          <t>Avverkning för annat ändamål</t>
        </is>
      </c>
      <c r="D8438" s="1" t="n">
        <v>45677</v>
      </c>
      <c r="E8438" s="1" t="n">
        <v>46319</v>
      </c>
      <c r="F8438" t="inlineStr">
        <is>
          <t>DALARNAS LÄN</t>
        </is>
      </c>
      <c r="G8438" t="inlineStr">
        <is>
          <t>FALUN</t>
        </is>
      </c>
      <c r="I8438" t="n">
        <v>0.7</v>
      </c>
      <c r="J8438" t="n">
        <v>0</v>
      </c>
      <c r="K8438" t="n">
        <v>0</v>
      </c>
      <c r="L8438" t="n">
        <v>0</v>
      </c>
      <c r="M8438" t="n">
        <v>0</v>
      </c>
      <c r="N8438" t="n">
        <v>0</v>
      </c>
      <c r="O8438" t="n">
        <v>0</v>
      </c>
      <c r="P8438" t="n">
        <v>0</v>
      </c>
      <c r="Q8438" t="n">
        <v>0</v>
      </c>
      <c r="R8438" t="n">
        <v>0</v>
      </c>
      <c r="S8438" t="n">
        <v>0</v>
      </c>
      <c r="T8438" t="n">
        <v>0</v>
      </c>
      <c r="U8438" t="n">
        <v>0</v>
      </c>
      <c r="V8438" s="2" t="inlineStr"/>
    </row>
    <row r="8439" ht="15" customHeight="1">
      <c r="A8439" t="inlineStr">
        <is>
          <t>A 44071-2024</t>
        </is>
      </c>
      <c r="B8439" t="inlineStr">
        <is>
          <t>avverkningsanmälan</t>
        </is>
      </c>
      <c r="C8439" t="inlineStr">
        <is>
          <t>Föryngringsavverkning</t>
        </is>
      </c>
      <c r="D8439" s="1" t="n">
        <v>45572</v>
      </c>
      <c r="E8439" s="1" t="n">
        <v>46319</v>
      </c>
      <c r="F8439" t="inlineStr">
        <is>
          <t>DALARNAS LÄN</t>
        </is>
      </c>
      <c r="G8439" t="inlineStr">
        <is>
          <t>MORA</t>
        </is>
      </c>
      <c r="I8439" t="n">
        <v>4.5</v>
      </c>
      <c r="J8439" t="n">
        <v>0</v>
      </c>
      <c r="K8439" t="n">
        <v>0</v>
      </c>
      <c r="L8439" t="n">
        <v>0</v>
      </c>
      <c r="M8439" t="n">
        <v>0</v>
      </c>
      <c r="N8439" t="n">
        <v>0</v>
      </c>
      <c r="O8439" t="n">
        <v>0</v>
      </c>
      <c r="P8439" t="n">
        <v>0</v>
      </c>
      <c r="Q8439" t="n">
        <v>0</v>
      </c>
      <c r="R8439" t="n">
        <v>0</v>
      </c>
      <c r="S8439" t="n">
        <v>0</v>
      </c>
      <c r="T8439" t="n">
        <v>0</v>
      </c>
      <c r="U8439" t="n">
        <v>0</v>
      </c>
      <c r="V8439" s="2" t="inlineStr"/>
    </row>
    <row r="8440" ht="15" customHeight="1">
      <c r="A8440" t="inlineStr">
        <is>
          <t>A 49781-2023</t>
        </is>
      </c>
      <c r="B8440" t="inlineStr">
        <is>
          <t>avverkningsanmälan</t>
        </is>
      </c>
      <c r="C8440" t="inlineStr">
        <is>
          <t>Föryngringsavverkning</t>
        </is>
      </c>
      <c r="D8440" s="1" t="n">
        <v>45212</v>
      </c>
      <c r="E8440" s="1" t="n">
        <v>46319</v>
      </c>
      <c r="F8440" t="inlineStr">
        <is>
          <t>DALARNAS LÄN</t>
        </is>
      </c>
      <c r="G8440" t="inlineStr">
        <is>
          <t>ORSA</t>
        </is>
      </c>
      <c r="I8440" t="n">
        <v>0.9</v>
      </c>
      <c r="J8440" t="n">
        <v>0</v>
      </c>
      <c r="K8440" t="n">
        <v>0</v>
      </c>
      <c r="L8440" t="n">
        <v>0</v>
      </c>
      <c r="M8440" t="n">
        <v>0</v>
      </c>
      <c r="N8440" t="n">
        <v>0</v>
      </c>
      <c r="O8440" t="n">
        <v>0</v>
      </c>
      <c r="P8440" t="n">
        <v>0</v>
      </c>
      <c r="Q8440" t="n">
        <v>0</v>
      </c>
      <c r="R8440" t="n">
        <v>0</v>
      </c>
      <c r="S8440" t="n">
        <v>0</v>
      </c>
      <c r="T8440" t="n">
        <v>0</v>
      </c>
      <c r="U8440" t="n">
        <v>0</v>
      </c>
      <c r="V8440" s="2" t="inlineStr"/>
    </row>
    <row r="8441" ht="15" customHeight="1">
      <c r="A8441" t="inlineStr">
        <is>
          <t>A 49814-2023</t>
        </is>
      </c>
      <c r="B8441" t="inlineStr">
        <is>
          <t>avverkningsanmälan</t>
        </is>
      </c>
      <c r="C8441" t="inlineStr">
        <is>
          <t>Föryngringsavverkning</t>
        </is>
      </c>
      <c r="D8441" s="1" t="n">
        <v>45212</v>
      </c>
      <c r="E8441" s="1" t="n">
        <v>46319</v>
      </c>
      <c r="F8441" t="inlineStr">
        <is>
          <t>DALARNAS LÄN</t>
        </is>
      </c>
      <c r="G8441" t="inlineStr">
        <is>
          <t>ORSA</t>
        </is>
      </c>
      <c r="I8441" t="n">
        <v>0.7</v>
      </c>
      <c r="J8441" t="n">
        <v>0</v>
      </c>
      <c r="K8441" t="n">
        <v>0</v>
      </c>
      <c r="L8441" t="n">
        <v>0</v>
      </c>
      <c r="M8441" t="n">
        <v>0</v>
      </c>
      <c r="N8441" t="n">
        <v>0</v>
      </c>
      <c r="O8441" t="n">
        <v>0</v>
      </c>
      <c r="P8441" t="n">
        <v>0</v>
      </c>
      <c r="Q8441" t="n">
        <v>0</v>
      </c>
      <c r="R8441" t="n">
        <v>0</v>
      </c>
      <c r="S8441" t="n">
        <v>0</v>
      </c>
      <c r="T8441" t="n">
        <v>0</v>
      </c>
      <c r="U8441" t="n">
        <v>0</v>
      </c>
      <c r="V8441" s="2" t="inlineStr"/>
    </row>
    <row r="8442" ht="15" customHeight="1">
      <c r="A8442" t="inlineStr">
        <is>
          <t>A 49938-2023</t>
        </is>
      </c>
      <c r="B8442" t="inlineStr">
        <is>
          <t>avverkningsanmälan</t>
        </is>
      </c>
      <c r="C8442" t="inlineStr">
        <is>
          <t>Föryngringsavverkning</t>
        </is>
      </c>
      <c r="D8442" s="1" t="n">
        <v>45215</v>
      </c>
      <c r="E8442" s="1" t="n">
        <v>46319</v>
      </c>
      <c r="F8442" t="inlineStr">
        <is>
          <t>DALARNAS LÄN</t>
        </is>
      </c>
      <c r="G8442" t="inlineStr">
        <is>
          <t>BORLÄNGE</t>
        </is>
      </c>
      <c r="I8442" t="n">
        <v>2.4</v>
      </c>
      <c r="J8442" t="n">
        <v>0</v>
      </c>
      <c r="K8442" t="n">
        <v>0</v>
      </c>
      <c r="L8442" t="n">
        <v>0</v>
      </c>
      <c r="M8442" t="n">
        <v>0</v>
      </c>
      <c r="N8442" t="n">
        <v>0</v>
      </c>
      <c r="O8442" t="n">
        <v>0</v>
      </c>
      <c r="P8442" t="n">
        <v>0</v>
      </c>
      <c r="Q8442" t="n">
        <v>0</v>
      </c>
      <c r="R8442" t="n">
        <v>0</v>
      </c>
      <c r="S8442" t="n">
        <v>0</v>
      </c>
      <c r="T8442" t="n">
        <v>0</v>
      </c>
      <c r="U8442" t="n">
        <v>0</v>
      </c>
      <c r="V8442" s="2" t="inlineStr"/>
    </row>
    <row r="8443" ht="15" customHeight="1">
      <c r="A8443" t="inlineStr">
        <is>
          <t>A 49944-2023</t>
        </is>
      </c>
      <c r="B8443" t="inlineStr">
        <is>
          <t>avverkningsanmälan</t>
        </is>
      </c>
      <c r="C8443" t="inlineStr">
        <is>
          <t>Föryngringsavverkning</t>
        </is>
      </c>
      <c r="D8443" s="1" t="n">
        <v>45215</v>
      </c>
      <c r="E8443" s="1" t="n">
        <v>46319</v>
      </c>
      <c r="F8443" t="inlineStr">
        <is>
          <t>DALARNAS LÄN</t>
        </is>
      </c>
      <c r="G8443" t="inlineStr">
        <is>
          <t>RÄTTVIK</t>
        </is>
      </c>
      <c r="I8443" t="n">
        <v>0.8</v>
      </c>
      <c r="J8443" t="n">
        <v>0</v>
      </c>
      <c r="K8443" t="n">
        <v>0</v>
      </c>
      <c r="L8443" t="n">
        <v>0</v>
      </c>
      <c r="M8443" t="n">
        <v>0</v>
      </c>
      <c r="N8443" t="n">
        <v>0</v>
      </c>
      <c r="O8443" t="n">
        <v>0</v>
      </c>
      <c r="P8443" t="n">
        <v>0</v>
      </c>
      <c r="Q8443" t="n">
        <v>0</v>
      </c>
      <c r="R8443" t="n">
        <v>0</v>
      </c>
      <c r="S8443" t="n">
        <v>0</v>
      </c>
      <c r="T8443" t="n">
        <v>0</v>
      </c>
      <c r="U8443" t="n">
        <v>0</v>
      </c>
      <c r="V8443" s="2" t="inlineStr"/>
    </row>
    <row r="8444" ht="15" customHeight="1">
      <c r="A8444" t="inlineStr">
        <is>
          <t>A 30225-2023</t>
        </is>
      </c>
      <c r="B8444" t="inlineStr">
        <is>
          <t>avverkningsanmälan</t>
        </is>
      </c>
      <c r="C8444" t="inlineStr">
        <is>
          <t>Föryngringsavverkning</t>
        </is>
      </c>
      <c r="D8444" s="1" t="n">
        <v>45110</v>
      </c>
      <c r="E8444" s="1" t="n">
        <v>46319</v>
      </c>
      <c r="F8444" t="inlineStr">
        <is>
          <t>DALARNAS LÄN</t>
        </is>
      </c>
      <c r="G8444" t="inlineStr">
        <is>
          <t>ÄLVDALEN</t>
        </is>
      </c>
      <c r="H8444" t="inlineStr">
        <is>
          <t>Allmännings- och besparingsskogar</t>
        </is>
      </c>
      <c r="I8444" t="n">
        <v>0.6</v>
      </c>
      <c r="J8444" t="n">
        <v>0</v>
      </c>
      <c r="K8444" t="n">
        <v>0</v>
      </c>
      <c r="L8444" t="n">
        <v>0</v>
      </c>
      <c r="M8444" t="n">
        <v>0</v>
      </c>
      <c r="N8444" t="n">
        <v>0</v>
      </c>
      <c r="O8444" t="n">
        <v>0</v>
      </c>
      <c r="P8444" t="n">
        <v>0</v>
      </c>
      <c r="Q8444" t="n">
        <v>0</v>
      </c>
      <c r="R8444" t="n">
        <v>0</v>
      </c>
      <c r="S8444" t="n">
        <v>0</v>
      </c>
      <c r="T8444" t="n">
        <v>0</v>
      </c>
      <c r="U8444" t="n">
        <v>0</v>
      </c>
      <c r="V8444" s="2" t="inlineStr"/>
    </row>
    <row r="8445" ht="15" customHeight="1">
      <c r="A8445" t="inlineStr">
        <is>
          <t>A 46253-2023</t>
        </is>
      </c>
      <c r="B8445" t="inlineStr">
        <is>
          <t>avverkningsanmälan</t>
        </is>
      </c>
      <c r="C8445" t="inlineStr">
        <is>
          <t>Föryngringsavverkning</t>
        </is>
      </c>
      <c r="D8445" s="1" t="n">
        <v>45196</v>
      </c>
      <c r="E8445" s="1" t="n">
        <v>46319</v>
      </c>
      <c r="F8445" t="inlineStr">
        <is>
          <t>DALARNAS LÄN</t>
        </is>
      </c>
      <c r="G8445" t="inlineStr">
        <is>
          <t>AVESTA</t>
        </is>
      </c>
      <c r="H8445" t="inlineStr">
        <is>
          <t>Sveaskog</t>
        </is>
      </c>
      <c r="I8445" t="n">
        <v>6.8</v>
      </c>
      <c r="J8445" t="n">
        <v>0</v>
      </c>
      <c r="K8445" t="n">
        <v>0</v>
      </c>
      <c r="L8445" t="n">
        <v>0</v>
      </c>
      <c r="M8445" t="n">
        <v>0</v>
      </c>
      <c r="N8445" t="n">
        <v>0</v>
      </c>
      <c r="O8445" t="n">
        <v>0</v>
      </c>
      <c r="P8445" t="n">
        <v>0</v>
      </c>
      <c r="Q8445" t="n">
        <v>0</v>
      </c>
      <c r="R8445" t="n">
        <v>0</v>
      </c>
      <c r="S8445" t="n">
        <v>0</v>
      </c>
      <c r="T8445" t="n">
        <v>0</v>
      </c>
      <c r="U8445" t="n">
        <v>0</v>
      </c>
      <c r="V8445" s="2" t="inlineStr"/>
    </row>
    <row r="8446" ht="15" customHeight="1">
      <c r="A8446" t="inlineStr">
        <is>
          <t>A 46279-2023</t>
        </is>
      </c>
      <c r="B8446" t="inlineStr">
        <is>
          <t>avverkningsanmälan</t>
        </is>
      </c>
      <c r="C8446" t="inlineStr">
        <is>
          <t>Föryngringsavverkning</t>
        </is>
      </c>
      <c r="D8446" s="1" t="n">
        <v>45196</v>
      </c>
      <c r="E8446" s="1" t="n">
        <v>46319</v>
      </c>
      <c r="F8446" t="inlineStr">
        <is>
          <t>DALARNAS LÄN</t>
        </is>
      </c>
      <c r="G8446" t="inlineStr">
        <is>
          <t>AVESTA</t>
        </is>
      </c>
      <c r="H8446" t="inlineStr">
        <is>
          <t>Sveaskog</t>
        </is>
      </c>
      <c r="I8446" t="n">
        <v>2.5</v>
      </c>
      <c r="J8446" t="n">
        <v>0</v>
      </c>
      <c r="K8446" t="n">
        <v>0</v>
      </c>
      <c r="L8446" t="n">
        <v>0</v>
      </c>
      <c r="M8446" t="n">
        <v>0</v>
      </c>
      <c r="N8446" t="n">
        <v>0</v>
      </c>
      <c r="O8446" t="n">
        <v>0</v>
      </c>
      <c r="P8446" t="n">
        <v>0</v>
      </c>
      <c r="Q8446" t="n">
        <v>0</v>
      </c>
      <c r="R8446" t="n">
        <v>0</v>
      </c>
      <c r="S8446" t="n">
        <v>0</v>
      </c>
      <c r="T8446" t="n">
        <v>0</v>
      </c>
      <c r="U8446" t="n">
        <v>0</v>
      </c>
      <c r="V8446" s="2" t="inlineStr"/>
    </row>
    <row r="8447" ht="15" customHeight="1">
      <c r="A8447" t="inlineStr">
        <is>
          <t>A 63203-2023</t>
        </is>
      </c>
      <c r="B8447" t="inlineStr">
        <is>
          <t>avverkningsanmälan</t>
        </is>
      </c>
      <c r="C8447" t="inlineStr">
        <is>
          <t>Föryngringsavverkning</t>
        </is>
      </c>
      <c r="D8447" s="1" t="n">
        <v>45273</v>
      </c>
      <c r="E8447" s="1" t="n">
        <v>46319</v>
      </c>
      <c r="F8447" t="inlineStr">
        <is>
          <t>DALARNAS LÄN</t>
        </is>
      </c>
      <c r="G8447" t="inlineStr">
        <is>
          <t>GAGNEF</t>
        </is>
      </c>
      <c r="I8447" t="n">
        <v>3.2</v>
      </c>
      <c r="J8447" t="n">
        <v>0</v>
      </c>
      <c r="K8447" t="n">
        <v>0</v>
      </c>
      <c r="L8447" t="n">
        <v>0</v>
      </c>
      <c r="M8447" t="n">
        <v>0</v>
      </c>
      <c r="N8447" t="n">
        <v>0</v>
      </c>
      <c r="O8447" t="n">
        <v>0</v>
      </c>
      <c r="P8447" t="n">
        <v>0</v>
      </c>
      <c r="Q8447" t="n">
        <v>0</v>
      </c>
      <c r="R8447" t="n">
        <v>0</v>
      </c>
      <c r="S8447" t="n">
        <v>0</v>
      </c>
      <c r="T8447" t="n">
        <v>0</v>
      </c>
      <c r="U8447" t="n">
        <v>0</v>
      </c>
      <c r="V8447" s="2" t="inlineStr"/>
    </row>
    <row r="8448" ht="15" customHeight="1">
      <c r="A8448" t="inlineStr">
        <is>
          <t>A 48214-2023</t>
        </is>
      </c>
      <c r="B8448" t="inlineStr">
        <is>
          <t>avverkningsanmälan</t>
        </is>
      </c>
      <c r="C8448" t="inlineStr">
        <is>
          <t>Föryngringsavverkning</t>
        </is>
      </c>
      <c r="D8448" s="1" t="n">
        <v>45205</v>
      </c>
      <c r="E8448" s="1" t="n">
        <v>46319</v>
      </c>
      <c r="F8448" t="inlineStr">
        <is>
          <t>DALARNAS LÄN</t>
        </is>
      </c>
      <c r="G8448" t="inlineStr">
        <is>
          <t>SMEDJEBACKEN</t>
        </is>
      </c>
      <c r="I8448" t="n">
        <v>1.5</v>
      </c>
      <c r="J8448" t="n">
        <v>0</v>
      </c>
      <c r="K8448" t="n">
        <v>0</v>
      </c>
      <c r="L8448" t="n">
        <v>0</v>
      </c>
      <c r="M8448" t="n">
        <v>0</v>
      </c>
      <c r="N8448" t="n">
        <v>0</v>
      </c>
      <c r="O8448" t="n">
        <v>0</v>
      </c>
      <c r="P8448" t="n">
        <v>0</v>
      </c>
      <c r="Q8448" t="n">
        <v>0</v>
      </c>
      <c r="R8448" t="n">
        <v>0</v>
      </c>
      <c r="S8448" t="n">
        <v>0</v>
      </c>
      <c r="T8448" t="n">
        <v>0</v>
      </c>
      <c r="U8448" t="n">
        <v>0</v>
      </c>
      <c r="V8448" s="2" t="inlineStr"/>
    </row>
    <row r="8449" ht="15" customHeight="1">
      <c r="A8449" t="inlineStr">
        <is>
          <t>A 62193-2023</t>
        </is>
      </c>
      <c r="B8449" t="inlineStr">
        <is>
          <t>avverkningsanmälan</t>
        </is>
      </c>
      <c r="C8449" t="inlineStr">
        <is>
          <t>Föryngringsavverkning</t>
        </is>
      </c>
      <c r="D8449" s="1" t="n">
        <v>45267</v>
      </c>
      <c r="E8449" s="1" t="n">
        <v>46319</v>
      </c>
      <c r="F8449" t="inlineStr">
        <is>
          <t>DALARNAS LÄN</t>
        </is>
      </c>
      <c r="G8449" t="inlineStr">
        <is>
          <t>RÄTTVIK</t>
        </is>
      </c>
      <c r="I8449" t="n">
        <v>0.8</v>
      </c>
      <c r="J8449" t="n">
        <v>0</v>
      </c>
      <c r="K8449" t="n">
        <v>0</v>
      </c>
      <c r="L8449" t="n">
        <v>0</v>
      </c>
      <c r="M8449" t="n">
        <v>0</v>
      </c>
      <c r="N8449" t="n">
        <v>0</v>
      </c>
      <c r="O8449" t="n">
        <v>0</v>
      </c>
      <c r="P8449" t="n">
        <v>0</v>
      </c>
      <c r="Q8449" t="n">
        <v>0</v>
      </c>
      <c r="R8449" t="n">
        <v>0</v>
      </c>
      <c r="S8449" t="n">
        <v>0</v>
      </c>
      <c r="T8449" t="n">
        <v>0</v>
      </c>
      <c r="U8449" t="n">
        <v>0</v>
      </c>
      <c r="V8449" s="2" t="inlineStr"/>
    </row>
    <row r="8450" ht="15" customHeight="1">
      <c r="A8450" t="inlineStr">
        <is>
          <t>A 46834-2023</t>
        </is>
      </c>
      <c r="B8450" t="inlineStr">
        <is>
          <t>avverkningsanmälan</t>
        </is>
      </c>
      <c r="C8450" t="inlineStr">
        <is>
          <t>Föryngringsavverkning</t>
        </is>
      </c>
      <c r="D8450" s="1" t="n">
        <v>45199</v>
      </c>
      <c r="E8450" s="1" t="n">
        <v>46319</v>
      </c>
      <c r="F8450" t="inlineStr">
        <is>
          <t>DALARNAS LÄN</t>
        </is>
      </c>
      <c r="G8450" t="inlineStr">
        <is>
          <t>LEKSAND</t>
        </is>
      </c>
      <c r="I8450" t="n">
        <v>16.3</v>
      </c>
      <c r="J8450" t="n">
        <v>0</v>
      </c>
      <c r="K8450" t="n">
        <v>0</v>
      </c>
      <c r="L8450" t="n">
        <v>0</v>
      </c>
      <c r="M8450" t="n">
        <v>0</v>
      </c>
      <c r="N8450" t="n">
        <v>0</v>
      </c>
      <c r="O8450" t="n">
        <v>0</v>
      </c>
      <c r="P8450" t="n">
        <v>0</v>
      </c>
      <c r="Q8450" t="n">
        <v>0</v>
      </c>
      <c r="R8450" t="n">
        <v>0</v>
      </c>
      <c r="S8450" t="n">
        <v>0</v>
      </c>
      <c r="T8450" t="n">
        <v>0</v>
      </c>
      <c r="U8450" t="n">
        <v>0</v>
      </c>
      <c r="V8450" s="2" t="inlineStr"/>
    </row>
    <row r="8451" ht="15" customHeight="1">
      <c r="A8451" t="inlineStr">
        <is>
          <t>A 19071-2025</t>
        </is>
      </c>
      <c r="B8451" t="inlineStr">
        <is>
          <t>avverkningsanmälan</t>
        </is>
      </c>
      <c r="C8451" t="inlineStr">
        <is>
          <t>Föryngringsavverkning</t>
        </is>
      </c>
      <c r="D8451" s="1" t="n">
        <v>45765</v>
      </c>
      <c r="E8451" s="1" t="n">
        <v>46319</v>
      </c>
      <c r="F8451" t="inlineStr">
        <is>
          <t>DALARNAS LÄN</t>
        </is>
      </c>
      <c r="G8451" t="inlineStr">
        <is>
          <t>LUDVIKA</t>
        </is>
      </c>
      <c r="I8451" t="n">
        <v>4.6</v>
      </c>
      <c r="J8451" t="n">
        <v>0</v>
      </c>
      <c r="K8451" t="n">
        <v>0</v>
      </c>
      <c r="L8451" t="n">
        <v>0</v>
      </c>
      <c r="M8451" t="n">
        <v>0</v>
      </c>
      <c r="N8451" t="n">
        <v>0</v>
      </c>
      <c r="O8451" t="n">
        <v>0</v>
      </c>
      <c r="P8451" t="n">
        <v>0</v>
      </c>
      <c r="Q8451" t="n">
        <v>0</v>
      </c>
      <c r="R8451" t="n">
        <v>0</v>
      </c>
      <c r="S8451" t="n">
        <v>0</v>
      </c>
      <c r="T8451" t="n">
        <v>0</v>
      </c>
      <c r="U8451" t="n">
        <v>0</v>
      </c>
      <c r="V8451" s="2" t="inlineStr"/>
    </row>
    <row r="8452" ht="15" customHeight="1">
      <c r="A8452" t="inlineStr">
        <is>
          <t>A 54826-2023</t>
        </is>
      </c>
      <c r="B8452" t="inlineStr">
        <is>
          <t>avverkningsanmälan</t>
        </is>
      </c>
      <c r="C8452" t="inlineStr">
        <is>
          <t>Föryngringsavverkning</t>
        </is>
      </c>
      <c r="D8452" s="1" t="n">
        <v>45236</v>
      </c>
      <c r="E8452" s="1" t="n">
        <v>46319</v>
      </c>
      <c r="F8452" t="inlineStr">
        <is>
          <t>DALARNAS LÄN</t>
        </is>
      </c>
      <c r="G8452" t="inlineStr">
        <is>
          <t>SÄTER</t>
        </is>
      </c>
      <c r="I8452" t="n">
        <v>1.4</v>
      </c>
      <c r="J8452" t="n">
        <v>0</v>
      </c>
      <c r="K8452" t="n">
        <v>0</v>
      </c>
      <c r="L8452" t="n">
        <v>0</v>
      </c>
      <c r="M8452" t="n">
        <v>0</v>
      </c>
      <c r="N8452" t="n">
        <v>0</v>
      </c>
      <c r="O8452" t="n">
        <v>0</v>
      </c>
      <c r="P8452" t="n">
        <v>0</v>
      </c>
      <c r="Q8452" t="n">
        <v>0</v>
      </c>
      <c r="R8452" t="n">
        <v>0</v>
      </c>
      <c r="S8452" t="n">
        <v>0</v>
      </c>
      <c r="T8452" t="n">
        <v>0</v>
      </c>
      <c r="U8452" t="n">
        <v>0</v>
      </c>
      <c r="V8452" s="2" t="inlineStr"/>
    </row>
    <row r="8453" ht="15" customHeight="1">
      <c r="A8453" t="inlineStr">
        <is>
          <t>A 1982-2025</t>
        </is>
      </c>
      <c r="B8453" t="inlineStr">
        <is>
          <t>avverkningsanmälan</t>
        </is>
      </c>
      <c r="C8453" t="inlineStr">
        <is>
          <t>Föryngringsavverkning</t>
        </is>
      </c>
      <c r="D8453" s="1" t="n">
        <v>45672</v>
      </c>
      <c r="E8453" s="1" t="n">
        <v>46319</v>
      </c>
      <c r="F8453" t="inlineStr">
        <is>
          <t>DALARNAS LÄN</t>
        </is>
      </c>
      <c r="G8453" t="inlineStr">
        <is>
          <t>MALUNG-SÄLEN</t>
        </is>
      </c>
      <c r="I8453" t="n">
        <v>0.6</v>
      </c>
      <c r="J8453" t="n">
        <v>0</v>
      </c>
      <c r="K8453" t="n">
        <v>0</v>
      </c>
      <c r="L8453" t="n">
        <v>0</v>
      </c>
      <c r="M8453" t="n">
        <v>0</v>
      </c>
      <c r="N8453" t="n">
        <v>0</v>
      </c>
      <c r="O8453" t="n">
        <v>0</v>
      </c>
      <c r="P8453" t="n">
        <v>0</v>
      </c>
      <c r="Q8453" t="n">
        <v>0</v>
      </c>
      <c r="R8453" t="n">
        <v>0</v>
      </c>
      <c r="S8453" t="n">
        <v>0</v>
      </c>
      <c r="T8453" t="n">
        <v>0</v>
      </c>
      <c r="U8453" t="n">
        <v>0</v>
      </c>
      <c r="V8453" s="2" t="inlineStr"/>
    </row>
    <row r="8454" ht="15" customHeight="1">
      <c r="A8454" t="inlineStr">
        <is>
          <t>A 15277-2025</t>
        </is>
      </c>
      <c r="B8454" t="inlineStr">
        <is>
          <t>avverkningsanmälan</t>
        </is>
      </c>
      <c r="C8454" t="inlineStr">
        <is>
          <t>Föryngringsavverkning</t>
        </is>
      </c>
      <c r="D8454" s="1" t="n">
        <v>45744</v>
      </c>
      <c r="E8454" s="1" t="n">
        <v>46319</v>
      </c>
      <c r="F8454" t="inlineStr">
        <is>
          <t>DALARNAS LÄN</t>
        </is>
      </c>
      <c r="G8454" t="inlineStr">
        <is>
          <t>RÄTTVIK</t>
        </is>
      </c>
      <c r="I8454" t="n">
        <v>1</v>
      </c>
      <c r="J8454" t="n">
        <v>0</v>
      </c>
      <c r="K8454" t="n">
        <v>0</v>
      </c>
      <c r="L8454" t="n">
        <v>0</v>
      </c>
      <c r="M8454" t="n">
        <v>0</v>
      </c>
      <c r="N8454" t="n">
        <v>0</v>
      </c>
      <c r="O8454" t="n">
        <v>0</v>
      </c>
      <c r="P8454" t="n">
        <v>0</v>
      </c>
      <c r="Q8454" t="n">
        <v>0</v>
      </c>
      <c r="R8454" t="n">
        <v>0</v>
      </c>
      <c r="S8454" t="n">
        <v>0</v>
      </c>
      <c r="T8454" t="n">
        <v>0</v>
      </c>
      <c r="U8454" t="n">
        <v>0</v>
      </c>
      <c r="V8454" s="2" t="inlineStr"/>
    </row>
    <row r="8455" ht="15" customHeight="1">
      <c r="A8455" t="inlineStr">
        <is>
          <t>A 15318-2025</t>
        </is>
      </c>
      <c r="B8455" t="inlineStr">
        <is>
          <t>avverkningsanmälan</t>
        </is>
      </c>
      <c r="C8455" t="inlineStr">
        <is>
          <t>Föryngringsavverkning</t>
        </is>
      </c>
      <c r="D8455" s="1" t="n">
        <v>45747</v>
      </c>
      <c r="E8455" s="1" t="n">
        <v>46319</v>
      </c>
      <c r="F8455" t="inlineStr">
        <is>
          <t>DALARNAS LÄN</t>
        </is>
      </c>
      <c r="G8455" t="inlineStr">
        <is>
          <t>FALUN</t>
        </is>
      </c>
      <c r="I8455" t="n">
        <v>5.1</v>
      </c>
      <c r="J8455" t="n">
        <v>0</v>
      </c>
      <c r="K8455" t="n">
        <v>0</v>
      </c>
      <c r="L8455" t="n">
        <v>0</v>
      </c>
      <c r="M8455" t="n">
        <v>0</v>
      </c>
      <c r="N8455" t="n">
        <v>0</v>
      </c>
      <c r="O8455" t="n">
        <v>0</v>
      </c>
      <c r="P8455" t="n">
        <v>0</v>
      </c>
      <c r="Q8455" t="n">
        <v>0</v>
      </c>
      <c r="R8455" t="n">
        <v>0</v>
      </c>
      <c r="S8455" t="n">
        <v>0</v>
      </c>
      <c r="T8455" t="n">
        <v>0</v>
      </c>
      <c r="U8455" t="n">
        <v>0</v>
      </c>
      <c r="V8455" s="2" t="inlineStr"/>
    </row>
    <row r="8456" ht="15" customHeight="1">
      <c r="A8456" t="inlineStr">
        <is>
          <t>A 40870-2023</t>
        </is>
      </c>
      <c r="B8456" t="inlineStr">
        <is>
          <t>avverkningsanmälan</t>
        </is>
      </c>
      <c r="C8456" t="inlineStr">
        <is>
          <t>Föryngringsavverkning</t>
        </is>
      </c>
      <c r="D8456" s="1" t="n">
        <v>45173</v>
      </c>
      <c r="E8456" s="1" t="n">
        <v>46319</v>
      </c>
      <c r="F8456" t="inlineStr">
        <is>
          <t>DALARNAS LÄN</t>
        </is>
      </c>
      <c r="G8456" t="inlineStr">
        <is>
          <t>SMEDJEBACKEN</t>
        </is>
      </c>
      <c r="I8456" t="n">
        <v>1.5</v>
      </c>
      <c r="J8456" t="n">
        <v>0</v>
      </c>
      <c r="K8456" t="n">
        <v>0</v>
      </c>
      <c r="L8456" t="n">
        <v>0</v>
      </c>
      <c r="M8456" t="n">
        <v>0</v>
      </c>
      <c r="N8456" t="n">
        <v>0</v>
      </c>
      <c r="O8456" t="n">
        <v>0</v>
      </c>
      <c r="P8456" t="n">
        <v>0</v>
      </c>
      <c r="Q8456" t="n">
        <v>0</v>
      </c>
      <c r="R8456" t="n">
        <v>0</v>
      </c>
      <c r="S8456" t="n">
        <v>0</v>
      </c>
      <c r="T8456" t="n">
        <v>0</v>
      </c>
      <c r="U8456" t="n">
        <v>0</v>
      </c>
      <c r="V8456" s="2" t="inlineStr"/>
    </row>
    <row r="8457" ht="15" customHeight="1">
      <c r="A8457" t="inlineStr">
        <is>
          <t>A 21402-2023</t>
        </is>
      </c>
      <c r="B8457" t="inlineStr">
        <is>
          <t>avverkningsanmälan</t>
        </is>
      </c>
      <c r="C8457" t="inlineStr">
        <is>
          <t>Avverkning för annat ändamål</t>
        </is>
      </c>
      <c r="D8457" s="1" t="n">
        <v>45061</v>
      </c>
      <c r="E8457" s="1" t="n">
        <v>46319</v>
      </c>
      <c r="F8457" t="inlineStr">
        <is>
          <t>DALARNAS LÄN</t>
        </is>
      </c>
      <c r="G8457" t="inlineStr">
        <is>
          <t>LEKSAND</t>
        </is>
      </c>
      <c r="I8457" t="n">
        <v>0.7</v>
      </c>
      <c r="J8457" t="n">
        <v>0</v>
      </c>
      <c r="K8457" t="n">
        <v>0</v>
      </c>
      <c r="L8457" t="n">
        <v>0</v>
      </c>
      <c r="M8457" t="n">
        <v>0</v>
      </c>
      <c r="N8457" t="n">
        <v>0</v>
      </c>
      <c r="O8457" t="n">
        <v>0</v>
      </c>
      <c r="P8457" t="n">
        <v>0</v>
      </c>
      <c r="Q8457" t="n">
        <v>0</v>
      </c>
      <c r="R8457" t="n">
        <v>0</v>
      </c>
      <c r="S8457" t="n">
        <v>0</v>
      </c>
      <c r="T8457" t="n">
        <v>0</v>
      </c>
      <c r="U8457" t="n">
        <v>0</v>
      </c>
      <c r="V8457" s="2" t="inlineStr"/>
    </row>
    <row r="8458" ht="15" customHeight="1">
      <c r="A8458" t="inlineStr">
        <is>
          <t>A 21410-2023</t>
        </is>
      </c>
      <c r="B8458" t="inlineStr">
        <is>
          <t>avverkningsanmälan</t>
        </is>
      </c>
      <c r="C8458" t="inlineStr">
        <is>
          <t>Föryngringsavverkning</t>
        </is>
      </c>
      <c r="D8458" s="1" t="n">
        <v>45063</v>
      </c>
      <c r="E8458" s="1" t="n">
        <v>46319</v>
      </c>
      <c r="F8458" t="inlineStr">
        <is>
          <t>DALARNAS LÄN</t>
        </is>
      </c>
      <c r="G8458" t="inlineStr">
        <is>
          <t>MORA</t>
        </is>
      </c>
      <c r="I8458" t="n">
        <v>7</v>
      </c>
      <c r="J8458" t="n">
        <v>0</v>
      </c>
      <c r="K8458" t="n">
        <v>0</v>
      </c>
      <c r="L8458" t="n">
        <v>0</v>
      </c>
      <c r="M8458" t="n">
        <v>0</v>
      </c>
      <c r="N8458" t="n">
        <v>0</v>
      </c>
      <c r="O8458" t="n">
        <v>0</v>
      </c>
      <c r="P8458" t="n">
        <v>0</v>
      </c>
      <c r="Q8458" t="n">
        <v>0</v>
      </c>
      <c r="R8458" t="n">
        <v>0</v>
      </c>
      <c r="S8458" t="n">
        <v>0</v>
      </c>
      <c r="T8458" t="n">
        <v>0</v>
      </c>
      <c r="U8458" t="n">
        <v>0</v>
      </c>
      <c r="V8458" s="2" t="inlineStr"/>
    </row>
    <row r="8459" ht="15" customHeight="1">
      <c r="A8459" t="inlineStr">
        <is>
          <t>A 1492-2025</t>
        </is>
      </c>
      <c r="B8459" t="inlineStr">
        <is>
          <t>avverkningsanmälan</t>
        </is>
      </c>
      <c r="C8459" t="inlineStr">
        <is>
          <t>Föryngringsavverkning</t>
        </is>
      </c>
      <c r="D8459" s="1" t="n">
        <v>45670</v>
      </c>
      <c r="E8459" s="1" t="n">
        <v>46319</v>
      </c>
      <c r="F8459" t="inlineStr">
        <is>
          <t>DALARNAS LÄN</t>
        </is>
      </c>
      <c r="G8459" t="inlineStr">
        <is>
          <t>BORLÄNGE</t>
        </is>
      </c>
      <c r="I8459" t="n">
        <v>1.5</v>
      </c>
      <c r="J8459" t="n">
        <v>0</v>
      </c>
      <c r="K8459" t="n">
        <v>0</v>
      </c>
      <c r="L8459" t="n">
        <v>0</v>
      </c>
      <c r="M8459" t="n">
        <v>0</v>
      </c>
      <c r="N8459" t="n">
        <v>0</v>
      </c>
      <c r="O8459" t="n">
        <v>0</v>
      </c>
      <c r="P8459" t="n">
        <v>0</v>
      </c>
      <c r="Q8459" t="n">
        <v>0</v>
      </c>
      <c r="R8459" t="n">
        <v>0</v>
      </c>
      <c r="S8459" t="n">
        <v>0</v>
      </c>
      <c r="T8459" t="n">
        <v>0</v>
      </c>
      <c r="U8459" t="n">
        <v>0</v>
      </c>
      <c r="V8459" s="2" t="inlineStr"/>
    </row>
    <row r="8460" ht="15" customHeight="1">
      <c r="A8460" t="inlineStr">
        <is>
          <t>A 50333-2023</t>
        </is>
      </c>
      <c r="B8460" t="inlineStr">
        <is>
          <t>avverkningsanmälan</t>
        </is>
      </c>
      <c r="C8460" t="inlineStr">
        <is>
          <t>Avverkning för att bevara och utveckla /försöksver</t>
        </is>
      </c>
      <c r="D8460" s="1" t="n">
        <v>45216</v>
      </c>
      <c r="E8460" s="1" t="n">
        <v>46319</v>
      </c>
      <c r="F8460" t="inlineStr">
        <is>
          <t>DALARNAS LÄN</t>
        </is>
      </c>
      <c r="G8460" t="inlineStr">
        <is>
          <t>HEDEMORA</t>
        </is>
      </c>
      <c r="I8460" t="n">
        <v>1.1</v>
      </c>
      <c r="J8460" t="n">
        <v>0</v>
      </c>
      <c r="K8460" t="n">
        <v>0</v>
      </c>
      <c r="L8460" t="n">
        <v>0</v>
      </c>
      <c r="M8460" t="n">
        <v>0</v>
      </c>
      <c r="N8460" t="n">
        <v>0</v>
      </c>
      <c r="O8460" t="n">
        <v>0</v>
      </c>
      <c r="P8460" t="n">
        <v>0</v>
      </c>
      <c r="Q8460" t="n">
        <v>0</v>
      </c>
      <c r="R8460" t="n">
        <v>0</v>
      </c>
      <c r="S8460" t="n">
        <v>0</v>
      </c>
      <c r="T8460" t="n">
        <v>0</v>
      </c>
      <c r="U8460" t="n">
        <v>0</v>
      </c>
      <c r="V8460" s="2" t="inlineStr"/>
    </row>
    <row r="8461" ht="15" customHeight="1">
      <c r="A8461" t="inlineStr">
        <is>
          <t>A 46801-2022</t>
        </is>
      </c>
      <c r="B8461" t="inlineStr">
        <is>
          <t>avverkningsanmälan</t>
        </is>
      </c>
      <c r="C8461" t="inlineStr">
        <is>
          <t>Föryngringsavverkning</t>
        </is>
      </c>
      <c r="D8461" s="1" t="n">
        <v>44851</v>
      </c>
      <c r="E8461" s="1" t="n">
        <v>46319</v>
      </c>
      <c r="F8461" t="inlineStr">
        <is>
          <t>DALARNAS LÄN</t>
        </is>
      </c>
      <c r="G8461" t="inlineStr">
        <is>
          <t>MORA</t>
        </is>
      </c>
      <c r="I8461" t="n">
        <v>1.5</v>
      </c>
      <c r="J8461" t="n">
        <v>0</v>
      </c>
      <c r="K8461" t="n">
        <v>0</v>
      </c>
      <c r="L8461" t="n">
        <v>0</v>
      </c>
      <c r="M8461" t="n">
        <v>0</v>
      </c>
      <c r="N8461" t="n">
        <v>0</v>
      </c>
      <c r="O8461" t="n">
        <v>0</v>
      </c>
      <c r="P8461" t="n">
        <v>0</v>
      </c>
      <c r="Q8461" t="n">
        <v>0</v>
      </c>
      <c r="R8461" t="n">
        <v>0</v>
      </c>
      <c r="S8461" t="n">
        <v>0</v>
      </c>
      <c r="T8461" t="n">
        <v>0</v>
      </c>
      <c r="U8461" t="n">
        <v>0</v>
      </c>
      <c r="V8461" s="2" t="inlineStr"/>
    </row>
    <row r="8462" ht="15" customHeight="1">
      <c r="A8462" t="inlineStr">
        <is>
          <t>A 13327-2025</t>
        </is>
      </c>
      <c r="B8462" t="inlineStr">
        <is>
          <t>avverkningsanmälan</t>
        </is>
      </c>
      <c r="C8462" t="inlineStr">
        <is>
          <t>Föryngringsavverkning</t>
        </is>
      </c>
      <c r="D8462" s="1" t="n">
        <v>45735</v>
      </c>
      <c r="E8462" s="1" t="n">
        <v>46319</v>
      </c>
      <c r="F8462" t="inlineStr">
        <is>
          <t>DALARNAS LÄN</t>
        </is>
      </c>
      <c r="G8462" t="inlineStr">
        <is>
          <t>VANSBRO</t>
        </is>
      </c>
      <c r="H8462" t="inlineStr">
        <is>
          <t>Kommuner</t>
        </is>
      </c>
      <c r="I8462" t="n">
        <v>0.3</v>
      </c>
      <c r="J8462" t="n">
        <v>0</v>
      </c>
      <c r="K8462" t="n">
        <v>0</v>
      </c>
      <c r="L8462" t="n">
        <v>0</v>
      </c>
      <c r="M8462" t="n">
        <v>0</v>
      </c>
      <c r="N8462" t="n">
        <v>0</v>
      </c>
      <c r="O8462" t="n">
        <v>0</v>
      </c>
      <c r="P8462" t="n">
        <v>0</v>
      </c>
      <c r="Q8462" t="n">
        <v>0</v>
      </c>
      <c r="R8462" t="n">
        <v>0</v>
      </c>
      <c r="S8462" t="n">
        <v>0</v>
      </c>
      <c r="T8462" t="n">
        <v>0</v>
      </c>
      <c r="U8462" t="n">
        <v>0</v>
      </c>
      <c r="V8462" s="2" t="inlineStr"/>
    </row>
    <row r="8463" ht="15" customHeight="1">
      <c r="A8463" t="inlineStr">
        <is>
          <t>A 70140-2021</t>
        </is>
      </c>
      <c r="B8463" t="inlineStr">
        <is>
          <t>avverkningsanmälan</t>
        </is>
      </c>
      <c r="C8463" t="inlineStr">
        <is>
          <t>Föryngringsavverkning</t>
        </is>
      </c>
      <c r="D8463" s="1" t="n">
        <v>44533</v>
      </c>
      <c r="E8463" s="1" t="n">
        <v>46319</v>
      </c>
      <c r="F8463" t="inlineStr">
        <is>
          <t>DALARNAS LÄN</t>
        </is>
      </c>
      <c r="G8463" t="inlineStr">
        <is>
          <t>ÄLVDALEN</t>
        </is>
      </c>
      <c r="I8463" t="n">
        <v>2.5</v>
      </c>
      <c r="J8463" t="n">
        <v>0</v>
      </c>
      <c r="K8463" t="n">
        <v>0</v>
      </c>
      <c r="L8463" t="n">
        <v>0</v>
      </c>
      <c r="M8463" t="n">
        <v>0</v>
      </c>
      <c r="N8463" t="n">
        <v>0</v>
      </c>
      <c r="O8463" t="n">
        <v>0</v>
      </c>
      <c r="P8463" t="n">
        <v>0</v>
      </c>
      <c r="Q8463" t="n">
        <v>0</v>
      </c>
      <c r="R8463" t="n">
        <v>0</v>
      </c>
      <c r="S8463" t="n">
        <v>0</v>
      </c>
      <c r="T8463" t="n">
        <v>0</v>
      </c>
      <c r="U8463" t="n">
        <v>0</v>
      </c>
      <c r="V8463" s="2" t="inlineStr"/>
    </row>
    <row r="8464" ht="15" customHeight="1">
      <c r="A8464" t="inlineStr">
        <is>
          <t>A 70141-2021</t>
        </is>
      </c>
      <c r="B8464" t="inlineStr">
        <is>
          <t>avverkningsanmälan</t>
        </is>
      </c>
      <c r="C8464" t="inlineStr">
        <is>
          <t>Föryngringsavverkning</t>
        </is>
      </c>
      <c r="D8464" s="1" t="n">
        <v>44533</v>
      </c>
      <c r="E8464" s="1" t="n">
        <v>46319</v>
      </c>
      <c r="F8464" t="inlineStr">
        <is>
          <t>DALARNAS LÄN</t>
        </is>
      </c>
      <c r="G8464" t="inlineStr">
        <is>
          <t>MORA</t>
        </is>
      </c>
      <c r="I8464" t="n">
        <v>4.1</v>
      </c>
      <c r="J8464" t="n">
        <v>0</v>
      </c>
      <c r="K8464" t="n">
        <v>0</v>
      </c>
      <c r="L8464" t="n">
        <v>0</v>
      </c>
      <c r="M8464" t="n">
        <v>0</v>
      </c>
      <c r="N8464" t="n">
        <v>0</v>
      </c>
      <c r="O8464" t="n">
        <v>0</v>
      </c>
      <c r="P8464" t="n">
        <v>0</v>
      </c>
      <c r="Q8464" t="n">
        <v>0</v>
      </c>
      <c r="R8464" t="n">
        <v>0</v>
      </c>
      <c r="S8464" t="n">
        <v>0</v>
      </c>
      <c r="T8464" t="n">
        <v>0</v>
      </c>
      <c r="U8464" t="n">
        <v>0</v>
      </c>
      <c r="V8464" s="2" t="inlineStr"/>
    </row>
    <row r="8465" ht="15" customHeight="1">
      <c r="A8465" t="inlineStr">
        <is>
          <t>A 43142-2024</t>
        </is>
      </c>
      <c r="B8465" t="inlineStr">
        <is>
          <t>avverkningsanmälan</t>
        </is>
      </c>
      <c r="C8465" t="inlineStr">
        <is>
          <t>Föryngringsavverkning</t>
        </is>
      </c>
      <c r="D8465" s="1" t="n">
        <v>45567</v>
      </c>
      <c r="E8465" s="1" t="n">
        <v>46319</v>
      </c>
      <c r="F8465" t="inlineStr">
        <is>
          <t>DALARNAS LÄN</t>
        </is>
      </c>
      <c r="G8465" t="inlineStr">
        <is>
          <t>LEKSAND</t>
        </is>
      </c>
      <c r="H8465" t="inlineStr">
        <is>
          <t>Bergvik skog väst AB</t>
        </is>
      </c>
      <c r="I8465" t="n">
        <v>2.9</v>
      </c>
      <c r="J8465" t="n">
        <v>0</v>
      </c>
      <c r="K8465" t="n">
        <v>0</v>
      </c>
      <c r="L8465" t="n">
        <v>0</v>
      </c>
      <c r="M8465" t="n">
        <v>0</v>
      </c>
      <c r="N8465" t="n">
        <v>0</v>
      </c>
      <c r="O8465" t="n">
        <v>0</v>
      </c>
      <c r="P8465" t="n">
        <v>0</v>
      </c>
      <c r="Q8465" t="n">
        <v>0</v>
      </c>
      <c r="R8465" t="n">
        <v>0</v>
      </c>
      <c r="S8465" t="n">
        <v>0</v>
      </c>
      <c r="T8465" t="n">
        <v>0</v>
      </c>
      <c r="U8465" t="n">
        <v>0</v>
      </c>
      <c r="V8465" s="2" t="inlineStr"/>
    </row>
    <row r="8466" ht="15" customHeight="1">
      <c r="A8466" t="inlineStr">
        <is>
          <t>A 32031-2023</t>
        </is>
      </c>
      <c r="B8466" t="inlineStr">
        <is>
          <t>avverkningsanmälan</t>
        </is>
      </c>
      <c r="C8466" t="inlineStr">
        <is>
          <t>Avverkning för annat ändamål</t>
        </is>
      </c>
      <c r="D8466" s="1" t="n">
        <v>45107</v>
      </c>
      <c r="E8466" s="1" t="n">
        <v>46319</v>
      </c>
      <c r="F8466" t="inlineStr">
        <is>
          <t>DALARNAS LÄN</t>
        </is>
      </c>
      <c r="G8466" t="inlineStr">
        <is>
          <t>ÄLVDALEN</t>
        </is>
      </c>
      <c r="I8466" t="n">
        <v>2.7</v>
      </c>
      <c r="J8466" t="n">
        <v>0</v>
      </c>
      <c r="K8466" t="n">
        <v>0</v>
      </c>
      <c r="L8466" t="n">
        <v>0</v>
      </c>
      <c r="M8466" t="n">
        <v>0</v>
      </c>
      <c r="N8466" t="n">
        <v>0</v>
      </c>
      <c r="O8466" t="n">
        <v>0</v>
      </c>
      <c r="P8466" t="n">
        <v>0</v>
      </c>
      <c r="Q8466" t="n">
        <v>0</v>
      </c>
      <c r="R8466" t="n">
        <v>0</v>
      </c>
      <c r="S8466" t="n">
        <v>0</v>
      </c>
      <c r="T8466" t="n">
        <v>0</v>
      </c>
      <c r="U8466" t="n">
        <v>0</v>
      </c>
      <c r="V8466" s="2" t="inlineStr"/>
    </row>
    <row r="8467" ht="15" customHeight="1">
      <c r="A8467" t="inlineStr">
        <is>
          <t>A 32038-2023</t>
        </is>
      </c>
      <c r="B8467" t="inlineStr">
        <is>
          <t>avverkningsanmälan</t>
        </is>
      </c>
      <c r="C8467" t="inlineStr">
        <is>
          <t>Föryngringsavverkning</t>
        </is>
      </c>
      <c r="D8467" s="1" t="n">
        <v>45119</v>
      </c>
      <c r="E8467" s="1" t="n">
        <v>46319</v>
      </c>
      <c r="F8467" t="inlineStr">
        <is>
          <t>DALARNAS LÄN</t>
        </is>
      </c>
      <c r="G8467" t="inlineStr">
        <is>
          <t>MALUNG-SÄLEN</t>
        </is>
      </c>
      <c r="I8467" t="n">
        <v>0.7</v>
      </c>
      <c r="J8467" t="n">
        <v>0</v>
      </c>
      <c r="K8467" t="n">
        <v>0</v>
      </c>
      <c r="L8467" t="n">
        <v>0</v>
      </c>
      <c r="M8467" t="n">
        <v>0</v>
      </c>
      <c r="N8467" t="n">
        <v>0</v>
      </c>
      <c r="O8467" t="n">
        <v>0</v>
      </c>
      <c r="P8467" t="n">
        <v>0</v>
      </c>
      <c r="Q8467" t="n">
        <v>0</v>
      </c>
      <c r="R8467" t="n">
        <v>0</v>
      </c>
      <c r="S8467" t="n">
        <v>0</v>
      </c>
      <c r="T8467" t="n">
        <v>0</v>
      </c>
      <c r="U8467" t="n">
        <v>0</v>
      </c>
      <c r="V8467" s="2" t="inlineStr"/>
    </row>
    <row r="8468" ht="15" customHeight="1">
      <c r="A8468" t="inlineStr">
        <is>
          <t>A 40949-2023</t>
        </is>
      </c>
      <c r="B8468" t="inlineStr">
        <is>
          <t>avverkningsanmälan</t>
        </is>
      </c>
      <c r="C8468" t="inlineStr">
        <is>
          <t>Avverkning för annat ändamål</t>
        </is>
      </c>
      <c r="D8468" s="1" t="n">
        <v>45173</v>
      </c>
      <c r="E8468" s="1" t="n">
        <v>46319</v>
      </c>
      <c r="F8468" t="inlineStr">
        <is>
          <t>DALARNAS LÄN</t>
        </is>
      </c>
      <c r="G8468" t="inlineStr">
        <is>
          <t>MORA</t>
        </is>
      </c>
      <c r="H8468" t="inlineStr">
        <is>
          <t>Kyrkan</t>
        </is>
      </c>
      <c r="I8468" t="n">
        <v>0.5</v>
      </c>
      <c r="J8468" t="n">
        <v>0</v>
      </c>
      <c r="K8468" t="n">
        <v>0</v>
      </c>
      <c r="L8468" t="n">
        <v>0</v>
      </c>
      <c r="M8468" t="n">
        <v>0</v>
      </c>
      <c r="N8468" t="n">
        <v>0</v>
      </c>
      <c r="O8468" t="n">
        <v>0</v>
      </c>
      <c r="P8468" t="n">
        <v>0</v>
      </c>
      <c r="Q8468" t="n">
        <v>0</v>
      </c>
      <c r="R8468" t="n">
        <v>0</v>
      </c>
      <c r="S8468" t="n">
        <v>0</v>
      </c>
      <c r="T8468" t="n">
        <v>0</v>
      </c>
      <c r="U8468" t="n">
        <v>0</v>
      </c>
      <c r="V8468" s="2" t="inlineStr"/>
    </row>
    <row r="8469" ht="15" customHeight="1">
      <c r="A8469" t="inlineStr">
        <is>
          <t>A 31823-2024</t>
        </is>
      </c>
      <c r="B8469" t="inlineStr">
        <is>
          <t>avverkningsanmälan</t>
        </is>
      </c>
      <c r="C8469" t="inlineStr">
        <is>
          <t>Föryngringsavverkning</t>
        </is>
      </c>
      <c r="D8469" s="1" t="n">
        <v>45509</v>
      </c>
      <c r="E8469" s="1" t="n">
        <v>46319</v>
      </c>
      <c r="F8469" t="inlineStr">
        <is>
          <t>DALARNAS LÄN</t>
        </is>
      </c>
      <c r="G8469" t="inlineStr">
        <is>
          <t>MALUNG-SÄLEN</t>
        </is>
      </c>
      <c r="I8469" t="n">
        <v>1</v>
      </c>
      <c r="J8469" t="n">
        <v>0</v>
      </c>
      <c r="K8469" t="n">
        <v>0</v>
      </c>
      <c r="L8469" t="n">
        <v>0</v>
      </c>
      <c r="M8469" t="n">
        <v>0</v>
      </c>
      <c r="N8469" t="n">
        <v>0</v>
      </c>
      <c r="O8469" t="n">
        <v>0</v>
      </c>
      <c r="P8469" t="n">
        <v>0</v>
      </c>
      <c r="Q8469" t="n">
        <v>0</v>
      </c>
      <c r="R8469" t="n">
        <v>0</v>
      </c>
      <c r="S8469" t="n">
        <v>0</v>
      </c>
      <c r="T8469" t="n">
        <v>0</v>
      </c>
      <c r="U8469" t="n">
        <v>0</v>
      </c>
      <c r="V8469" s="2" t="inlineStr"/>
    </row>
    <row r="8470" ht="15" customHeight="1">
      <c r="A8470" t="inlineStr">
        <is>
          <t>A 66232-2021</t>
        </is>
      </c>
      <c r="B8470" t="inlineStr">
        <is>
          <t>avverkningsanmälan</t>
        </is>
      </c>
      <c r="C8470" t="inlineStr">
        <is>
          <t>Föryngringsavverkning</t>
        </is>
      </c>
      <c r="D8470" s="1" t="n">
        <v>44518</v>
      </c>
      <c r="E8470" s="1" t="n">
        <v>46319</v>
      </c>
      <c r="F8470" t="inlineStr">
        <is>
          <t>DALARNAS LÄN</t>
        </is>
      </c>
      <c r="G8470" t="inlineStr">
        <is>
          <t>MORA</t>
        </is>
      </c>
      <c r="I8470" t="n">
        <v>8.300000000000001</v>
      </c>
      <c r="J8470" t="n">
        <v>0</v>
      </c>
      <c r="K8470" t="n">
        <v>0</v>
      </c>
      <c r="L8470" t="n">
        <v>0</v>
      </c>
      <c r="M8470" t="n">
        <v>0</v>
      </c>
      <c r="N8470" t="n">
        <v>0</v>
      </c>
      <c r="O8470" t="n">
        <v>0</v>
      </c>
      <c r="P8470" t="n">
        <v>0</v>
      </c>
      <c r="Q8470" t="n">
        <v>0</v>
      </c>
      <c r="R8470" t="n">
        <v>0</v>
      </c>
      <c r="S8470" t="n">
        <v>0</v>
      </c>
      <c r="T8470" t="n">
        <v>0</v>
      </c>
      <c r="U8470" t="n">
        <v>0</v>
      </c>
      <c r="V8470" s="2" t="inlineStr"/>
    </row>
    <row r="8471" ht="15" customHeight="1">
      <c r="A8471" t="inlineStr">
        <is>
          <t>A 16858-2025</t>
        </is>
      </c>
      <c r="B8471" t="inlineStr">
        <is>
          <t>avverkningsanmälan</t>
        </is>
      </c>
      <c r="C8471" t="inlineStr">
        <is>
          <t>Avverkning för annat ändamål</t>
        </is>
      </c>
      <c r="D8471" s="1" t="n">
        <v>45751</v>
      </c>
      <c r="E8471" s="1" t="n">
        <v>46319</v>
      </c>
      <c r="F8471" t="inlineStr">
        <is>
          <t>DALARNAS LÄN</t>
        </is>
      </c>
      <c r="G8471" t="inlineStr">
        <is>
          <t>GAGNEF</t>
        </is>
      </c>
      <c r="I8471" t="n">
        <v>0.5</v>
      </c>
      <c r="J8471" t="n">
        <v>0</v>
      </c>
      <c r="K8471" t="n">
        <v>0</v>
      </c>
      <c r="L8471" t="n">
        <v>0</v>
      </c>
      <c r="M8471" t="n">
        <v>0</v>
      </c>
      <c r="N8471" t="n">
        <v>0</v>
      </c>
      <c r="O8471" t="n">
        <v>0</v>
      </c>
      <c r="P8471" t="n">
        <v>0</v>
      </c>
      <c r="Q8471" t="n">
        <v>0</v>
      </c>
      <c r="R8471" t="n">
        <v>0</v>
      </c>
      <c r="S8471" t="n">
        <v>0</v>
      </c>
      <c r="T8471" t="n">
        <v>0</v>
      </c>
      <c r="U8471" t="n">
        <v>0</v>
      </c>
      <c r="V8471" s="2" t="inlineStr"/>
    </row>
    <row r="8472" ht="15" customHeight="1">
      <c r="A8472" t="inlineStr">
        <is>
          <t>A 23667-2023</t>
        </is>
      </c>
      <c r="B8472" t="inlineStr">
        <is>
          <t>avverkningsanmälan</t>
        </is>
      </c>
      <c r="C8472" t="inlineStr">
        <is>
          <t>Föryngringsavverkning</t>
        </is>
      </c>
      <c r="D8472" s="1" t="n">
        <v>45077</v>
      </c>
      <c r="E8472" s="1" t="n">
        <v>46319</v>
      </c>
      <c r="F8472" t="inlineStr">
        <is>
          <t>DALARNAS LÄN</t>
        </is>
      </c>
      <c r="G8472" t="inlineStr">
        <is>
          <t>RÄTTVIK</t>
        </is>
      </c>
      <c r="I8472" t="n">
        <v>7</v>
      </c>
      <c r="J8472" t="n">
        <v>0</v>
      </c>
      <c r="K8472" t="n">
        <v>0</v>
      </c>
      <c r="L8472" t="n">
        <v>0</v>
      </c>
      <c r="M8472" t="n">
        <v>0</v>
      </c>
      <c r="N8472" t="n">
        <v>0</v>
      </c>
      <c r="O8472" t="n">
        <v>0</v>
      </c>
      <c r="P8472" t="n">
        <v>0</v>
      </c>
      <c r="Q8472" t="n">
        <v>0</v>
      </c>
      <c r="R8472" t="n">
        <v>0</v>
      </c>
      <c r="S8472" t="n">
        <v>0</v>
      </c>
      <c r="T8472" t="n">
        <v>0</v>
      </c>
      <c r="U8472" t="n">
        <v>0</v>
      </c>
      <c r="V8472" s="2" t="inlineStr"/>
    </row>
    <row r="8473" ht="15" customHeight="1">
      <c r="A8473" t="inlineStr">
        <is>
          <t>A 16522-2025</t>
        </is>
      </c>
      <c r="B8473" t="inlineStr">
        <is>
          <t>avverkningsanmälan</t>
        </is>
      </c>
      <c r="C8473" t="inlineStr">
        <is>
          <t>Avverkning för annat ändamål</t>
        </is>
      </c>
      <c r="D8473" s="1" t="n">
        <v>45751</v>
      </c>
      <c r="E8473" s="1" t="n">
        <v>46319</v>
      </c>
      <c r="F8473" t="inlineStr">
        <is>
          <t>DALARNAS LÄN</t>
        </is>
      </c>
      <c r="G8473" t="inlineStr">
        <is>
          <t>AVESTA</t>
        </is>
      </c>
      <c r="I8473" t="n">
        <v>0.3</v>
      </c>
      <c r="J8473" t="n">
        <v>0</v>
      </c>
      <c r="K8473" t="n">
        <v>0</v>
      </c>
      <c r="L8473" t="n">
        <v>0</v>
      </c>
      <c r="M8473" t="n">
        <v>0</v>
      </c>
      <c r="N8473" t="n">
        <v>0</v>
      </c>
      <c r="O8473" t="n">
        <v>0</v>
      </c>
      <c r="P8473" t="n">
        <v>0</v>
      </c>
      <c r="Q8473" t="n">
        <v>0</v>
      </c>
      <c r="R8473" t="n">
        <v>0</v>
      </c>
      <c r="S8473" t="n">
        <v>0</v>
      </c>
      <c r="T8473" t="n">
        <v>0</v>
      </c>
      <c r="U8473" t="n">
        <v>0</v>
      </c>
      <c r="V8473" s="2" t="inlineStr"/>
    </row>
    <row r="8474" ht="15" customHeight="1">
      <c r="A8474" t="inlineStr">
        <is>
          <t>A 61621-2022</t>
        </is>
      </c>
      <c r="B8474" t="inlineStr">
        <is>
          <t>avverkningsanmälan</t>
        </is>
      </c>
      <c r="C8474" t="inlineStr">
        <is>
          <t>Föryngringsavverkning</t>
        </is>
      </c>
      <c r="D8474" s="1" t="n">
        <v>44916</v>
      </c>
      <c r="E8474" s="1" t="n">
        <v>46319</v>
      </c>
      <c r="F8474" t="inlineStr">
        <is>
          <t>DALARNAS LÄN</t>
        </is>
      </c>
      <c r="G8474" t="inlineStr">
        <is>
          <t>LUDVIKA</t>
        </is>
      </c>
      <c r="H8474" t="inlineStr">
        <is>
          <t>Bergvik skog väst AB</t>
        </is>
      </c>
      <c r="I8474" t="n">
        <v>0.7</v>
      </c>
      <c r="J8474" t="n">
        <v>0</v>
      </c>
      <c r="K8474" t="n">
        <v>0</v>
      </c>
      <c r="L8474" t="n">
        <v>0</v>
      </c>
      <c r="M8474" t="n">
        <v>0</v>
      </c>
      <c r="N8474" t="n">
        <v>0</v>
      </c>
      <c r="O8474" t="n">
        <v>0</v>
      </c>
      <c r="P8474" t="n">
        <v>0</v>
      </c>
      <c r="Q8474" t="n">
        <v>0</v>
      </c>
      <c r="R8474" t="n">
        <v>0</v>
      </c>
      <c r="S8474" t="n">
        <v>0</v>
      </c>
      <c r="T8474" t="n">
        <v>0</v>
      </c>
      <c r="U8474" t="n">
        <v>0</v>
      </c>
      <c r="V8474" s="2" t="inlineStr"/>
    </row>
    <row r="8475" ht="15" customHeight="1">
      <c r="A8475" t="inlineStr">
        <is>
          <t>A 41682-2023</t>
        </is>
      </c>
      <c r="B8475" t="inlineStr">
        <is>
          <t>avverkningsanmälan</t>
        </is>
      </c>
      <c r="C8475" t="inlineStr">
        <is>
          <t>Föryngringsavverkning</t>
        </is>
      </c>
      <c r="D8475" s="1" t="n">
        <v>45176</v>
      </c>
      <c r="E8475" s="1" t="n">
        <v>46319</v>
      </c>
      <c r="F8475" t="inlineStr">
        <is>
          <t>DALARNAS LÄN</t>
        </is>
      </c>
      <c r="G8475" t="inlineStr">
        <is>
          <t>RÄTTVIK</t>
        </is>
      </c>
      <c r="H8475" t="inlineStr">
        <is>
          <t>Bergvik skog väst AB</t>
        </is>
      </c>
      <c r="I8475" t="n">
        <v>2.1</v>
      </c>
      <c r="J8475" t="n">
        <v>0</v>
      </c>
      <c r="K8475" t="n">
        <v>0</v>
      </c>
      <c r="L8475" t="n">
        <v>0</v>
      </c>
      <c r="M8475" t="n">
        <v>0</v>
      </c>
      <c r="N8475" t="n">
        <v>0</v>
      </c>
      <c r="O8475" t="n">
        <v>0</v>
      </c>
      <c r="P8475" t="n">
        <v>0</v>
      </c>
      <c r="Q8475" t="n">
        <v>0</v>
      </c>
      <c r="R8475" t="n">
        <v>0</v>
      </c>
      <c r="S8475" t="n">
        <v>0</v>
      </c>
      <c r="T8475" t="n">
        <v>0</v>
      </c>
      <c r="U8475" t="n">
        <v>0</v>
      </c>
      <c r="V8475" s="2" t="inlineStr"/>
    </row>
    <row r="8476" ht="15" customHeight="1">
      <c r="A8476" t="inlineStr">
        <is>
          <t>A 47673-2023</t>
        </is>
      </c>
      <c r="B8476" t="inlineStr">
        <is>
          <t>avverkningsanmälan</t>
        </is>
      </c>
      <c r="C8476" t="inlineStr">
        <is>
          <t>Föryngringsavverkning</t>
        </is>
      </c>
      <c r="D8476" s="1" t="n">
        <v>45203</v>
      </c>
      <c r="E8476" s="1" t="n">
        <v>46319</v>
      </c>
      <c r="F8476" t="inlineStr">
        <is>
          <t>DALARNAS LÄN</t>
        </is>
      </c>
      <c r="G8476" t="inlineStr">
        <is>
          <t>LEKSAND</t>
        </is>
      </c>
      <c r="I8476" t="n">
        <v>2</v>
      </c>
      <c r="J8476" t="n">
        <v>0</v>
      </c>
      <c r="K8476" t="n">
        <v>0</v>
      </c>
      <c r="L8476" t="n">
        <v>0</v>
      </c>
      <c r="M8476" t="n">
        <v>0</v>
      </c>
      <c r="N8476" t="n">
        <v>0</v>
      </c>
      <c r="O8476" t="n">
        <v>0</v>
      </c>
      <c r="P8476" t="n">
        <v>0</v>
      </c>
      <c r="Q8476" t="n">
        <v>0</v>
      </c>
      <c r="R8476" t="n">
        <v>0</v>
      </c>
      <c r="S8476" t="n">
        <v>0</v>
      </c>
      <c r="T8476" t="n">
        <v>0</v>
      </c>
      <c r="U8476" t="n">
        <v>0</v>
      </c>
      <c r="V8476" s="2" t="inlineStr"/>
    </row>
    <row r="8477" ht="15" customHeight="1">
      <c r="A8477" t="inlineStr">
        <is>
          <t>A 40953-2023</t>
        </is>
      </c>
      <c r="B8477" t="inlineStr">
        <is>
          <t>avverkningsanmälan</t>
        </is>
      </c>
      <c r="C8477" t="inlineStr">
        <is>
          <t>Föryngringsavverkning</t>
        </is>
      </c>
      <c r="D8477" s="1" t="n">
        <v>45173</v>
      </c>
      <c r="E8477" s="1" t="n">
        <v>46319</v>
      </c>
      <c r="F8477" t="inlineStr">
        <is>
          <t>DALARNAS LÄN</t>
        </is>
      </c>
      <c r="G8477" t="inlineStr">
        <is>
          <t>FALUN</t>
        </is>
      </c>
      <c r="I8477" t="n">
        <v>4</v>
      </c>
      <c r="J8477" t="n">
        <v>0</v>
      </c>
      <c r="K8477" t="n">
        <v>0</v>
      </c>
      <c r="L8477" t="n">
        <v>0</v>
      </c>
      <c r="M8477" t="n">
        <v>0</v>
      </c>
      <c r="N8477" t="n">
        <v>0</v>
      </c>
      <c r="O8477" t="n">
        <v>0</v>
      </c>
      <c r="P8477" t="n">
        <v>0</v>
      </c>
      <c r="Q8477" t="n">
        <v>0</v>
      </c>
      <c r="R8477" t="n">
        <v>0</v>
      </c>
      <c r="S8477" t="n">
        <v>0</v>
      </c>
      <c r="T8477" t="n">
        <v>0</v>
      </c>
      <c r="U8477" t="n">
        <v>0</v>
      </c>
      <c r="V8477" s="2" t="inlineStr"/>
    </row>
    <row r="8478" ht="15" customHeight="1">
      <c r="A8478" t="inlineStr">
        <is>
          <t>A 22270-2023</t>
        </is>
      </c>
      <c r="B8478" t="inlineStr">
        <is>
          <t>avverkningsanmälan</t>
        </is>
      </c>
      <c r="C8478" t="inlineStr">
        <is>
          <t>Föryngringsavverkning</t>
        </is>
      </c>
      <c r="D8478" s="1" t="n">
        <v>45070</v>
      </c>
      <c r="E8478" s="1" t="n">
        <v>46319</v>
      </c>
      <c r="F8478" t="inlineStr">
        <is>
          <t>DALARNAS LÄN</t>
        </is>
      </c>
      <c r="G8478" t="inlineStr">
        <is>
          <t>HEDEMORA</t>
        </is>
      </c>
      <c r="I8478" t="n">
        <v>1.8</v>
      </c>
      <c r="J8478" t="n">
        <v>0</v>
      </c>
      <c r="K8478" t="n">
        <v>0</v>
      </c>
      <c r="L8478" t="n">
        <v>0</v>
      </c>
      <c r="M8478" t="n">
        <v>0</v>
      </c>
      <c r="N8478" t="n">
        <v>0</v>
      </c>
      <c r="O8478" t="n">
        <v>0</v>
      </c>
      <c r="P8478" t="n">
        <v>0</v>
      </c>
      <c r="Q8478" t="n">
        <v>0</v>
      </c>
      <c r="R8478" t="n">
        <v>0</v>
      </c>
      <c r="S8478" t="n">
        <v>0</v>
      </c>
      <c r="T8478" t="n">
        <v>0</v>
      </c>
      <c r="U8478" t="n">
        <v>0</v>
      </c>
      <c r="V8478" s="2" t="inlineStr"/>
    </row>
    <row r="8479" ht="15" customHeight="1">
      <c r="A8479" t="inlineStr">
        <is>
          <t>A 51901-2023</t>
        </is>
      </c>
      <c r="B8479" t="inlineStr">
        <is>
          <t>avverkningsanmälan</t>
        </is>
      </c>
      <c r="C8479" t="inlineStr">
        <is>
          <t>Föryngringsavverkning</t>
        </is>
      </c>
      <c r="D8479" s="1" t="n">
        <v>45223</v>
      </c>
      <c r="E8479" s="1" t="n">
        <v>46319</v>
      </c>
      <c r="F8479" t="inlineStr">
        <is>
          <t>DALARNAS LÄN</t>
        </is>
      </c>
      <c r="G8479" t="inlineStr">
        <is>
          <t>MALUNG-SÄLEN</t>
        </is>
      </c>
      <c r="H8479" t="inlineStr">
        <is>
          <t>Bergvik skog öst AB</t>
        </is>
      </c>
      <c r="I8479" t="n">
        <v>1.1</v>
      </c>
      <c r="J8479" t="n">
        <v>0</v>
      </c>
      <c r="K8479" t="n">
        <v>0</v>
      </c>
      <c r="L8479" t="n">
        <v>0</v>
      </c>
      <c r="M8479" t="n">
        <v>0</v>
      </c>
      <c r="N8479" t="n">
        <v>0</v>
      </c>
      <c r="O8479" t="n">
        <v>0</v>
      </c>
      <c r="P8479" t="n">
        <v>0</v>
      </c>
      <c r="Q8479" t="n">
        <v>0</v>
      </c>
      <c r="R8479" t="n">
        <v>0</v>
      </c>
      <c r="S8479" t="n">
        <v>0</v>
      </c>
      <c r="T8479" t="n">
        <v>0</v>
      </c>
      <c r="U8479" t="n">
        <v>0</v>
      </c>
      <c r="V8479" s="2" t="inlineStr"/>
    </row>
    <row r="8480" ht="15" customHeight="1">
      <c r="A8480" t="inlineStr">
        <is>
          <t>A 3818-2025</t>
        </is>
      </c>
      <c r="B8480" t="inlineStr">
        <is>
          <t>avverkningsanmälan</t>
        </is>
      </c>
      <c r="C8480" t="inlineStr">
        <is>
          <t>Föryngringsavverkning</t>
        </is>
      </c>
      <c r="D8480" s="1" t="n">
        <v>45681</v>
      </c>
      <c r="E8480" s="1" t="n">
        <v>46319</v>
      </c>
      <c r="F8480" t="inlineStr">
        <is>
          <t>DALARNAS LÄN</t>
        </is>
      </c>
      <c r="G8480" t="inlineStr">
        <is>
          <t>GAGNEF</t>
        </is>
      </c>
      <c r="I8480" t="n">
        <v>0.6</v>
      </c>
      <c r="J8480" t="n">
        <v>0</v>
      </c>
      <c r="K8480" t="n">
        <v>0</v>
      </c>
      <c r="L8480" t="n">
        <v>0</v>
      </c>
      <c r="M8480" t="n">
        <v>0</v>
      </c>
      <c r="N8480" t="n">
        <v>0</v>
      </c>
      <c r="O8480" t="n">
        <v>0</v>
      </c>
      <c r="P8480" t="n">
        <v>0</v>
      </c>
      <c r="Q8480" t="n">
        <v>0</v>
      </c>
      <c r="R8480" t="n">
        <v>0</v>
      </c>
      <c r="S8480" t="n">
        <v>0</v>
      </c>
      <c r="T8480" t="n">
        <v>0</v>
      </c>
      <c r="U8480" t="n">
        <v>0</v>
      </c>
      <c r="V8480" s="2" t="inlineStr"/>
    </row>
    <row r="8481" ht="15" customHeight="1">
      <c r="A8481" t="inlineStr">
        <is>
          <t>A 3819-2025</t>
        </is>
      </c>
      <c r="B8481" t="inlineStr">
        <is>
          <t>avverkningsanmälan</t>
        </is>
      </c>
      <c r="C8481" t="inlineStr">
        <is>
          <t>Föryngringsavverkning</t>
        </is>
      </c>
      <c r="D8481" s="1" t="n">
        <v>45681</v>
      </c>
      <c r="E8481" s="1" t="n">
        <v>46319</v>
      </c>
      <c r="F8481" t="inlineStr">
        <is>
          <t>DALARNAS LÄN</t>
        </is>
      </c>
      <c r="G8481" t="inlineStr">
        <is>
          <t>GAGNEF</t>
        </is>
      </c>
      <c r="I8481" t="n">
        <v>0.9</v>
      </c>
      <c r="J8481" t="n">
        <v>0</v>
      </c>
      <c r="K8481" t="n">
        <v>0</v>
      </c>
      <c r="L8481" t="n">
        <v>0</v>
      </c>
      <c r="M8481" t="n">
        <v>0</v>
      </c>
      <c r="N8481" t="n">
        <v>0</v>
      </c>
      <c r="O8481" t="n">
        <v>0</v>
      </c>
      <c r="P8481" t="n">
        <v>0</v>
      </c>
      <c r="Q8481" t="n">
        <v>0</v>
      </c>
      <c r="R8481" t="n">
        <v>0</v>
      </c>
      <c r="S8481" t="n">
        <v>0</v>
      </c>
      <c r="T8481" t="n">
        <v>0</v>
      </c>
      <c r="U8481" t="n">
        <v>0</v>
      </c>
      <c r="V8481" s="2" t="inlineStr"/>
    </row>
    <row r="8482" ht="15" customHeight="1">
      <c r="A8482" t="inlineStr">
        <is>
          <t>A 23989-2023</t>
        </is>
      </c>
      <c r="B8482" t="inlineStr">
        <is>
          <t>avverkningsanmälan</t>
        </is>
      </c>
      <c r="C8482" t="inlineStr">
        <is>
          <t>Föryngringsavverkning</t>
        </is>
      </c>
      <c r="D8482" s="1" t="n">
        <v>45078</v>
      </c>
      <c r="E8482" s="1" t="n">
        <v>46319</v>
      </c>
      <c r="F8482" t="inlineStr">
        <is>
          <t>DALARNAS LÄN</t>
        </is>
      </c>
      <c r="G8482" t="inlineStr">
        <is>
          <t>MALUNG-SÄLEN</t>
        </is>
      </c>
      <c r="H8482" t="inlineStr">
        <is>
          <t>Bergvik skog öst AB</t>
        </is>
      </c>
      <c r="I8482" t="n">
        <v>0.5</v>
      </c>
      <c r="J8482" t="n">
        <v>0</v>
      </c>
      <c r="K8482" t="n">
        <v>0</v>
      </c>
      <c r="L8482" t="n">
        <v>0</v>
      </c>
      <c r="M8482" t="n">
        <v>0</v>
      </c>
      <c r="N8482" t="n">
        <v>0</v>
      </c>
      <c r="O8482" t="n">
        <v>0</v>
      </c>
      <c r="P8482" t="n">
        <v>0</v>
      </c>
      <c r="Q8482" t="n">
        <v>0</v>
      </c>
      <c r="R8482" t="n">
        <v>0</v>
      </c>
      <c r="S8482" t="n">
        <v>0</v>
      </c>
      <c r="T8482" t="n">
        <v>0</v>
      </c>
      <c r="U8482" t="n">
        <v>0</v>
      </c>
      <c r="V8482" s="2" t="inlineStr"/>
    </row>
    <row r="8483" ht="15" customHeight="1">
      <c r="A8483" t="inlineStr">
        <is>
          <t>A 11748-2025</t>
        </is>
      </c>
      <c r="B8483" t="inlineStr">
        <is>
          <t>avverkningsanmälan</t>
        </is>
      </c>
      <c r="C8483" t="inlineStr">
        <is>
          <t>Föryngringsavverkning</t>
        </is>
      </c>
      <c r="D8483" s="1" t="n">
        <v>45727</v>
      </c>
      <c r="E8483" s="1" t="n">
        <v>46319</v>
      </c>
      <c r="F8483" t="inlineStr">
        <is>
          <t>DALARNAS LÄN</t>
        </is>
      </c>
      <c r="G8483" t="inlineStr">
        <is>
          <t>FALUN</t>
        </is>
      </c>
      <c r="I8483" t="n">
        <v>0.9</v>
      </c>
      <c r="J8483" t="n">
        <v>0</v>
      </c>
      <c r="K8483" t="n">
        <v>0</v>
      </c>
      <c r="L8483" t="n">
        <v>0</v>
      </c>
      <c r="M8483" t="n">
        <v>0</v>
      </c>
      <c r="N8483" t="n">
        <v>0</v>
      </c>
      <c r="O8483" t="n">
        <v>0</v>
      </c>
      <c r="P8483" t="n">
        <v>0</v>
      </c>
      <c r="Q8483" t="n">
        <v>0</v>
      </c>
      <c r="R8483" t="n">
        <v>0</v>
      </c>
      <c r="S8483" t="n">
        <v>0</v>
      </c>
      <c r="T8483" t="n">
        <v>0</v>
      </c>
      <c r="U8483" t="n">
        <v>0</v>
      </c>
      <c r="V8483" s="2" t="inlineStr"/>
    </row>
    <row r="8484" ht="15" customHeight="1">
      <c r="A8484" t="inlineStr">
        <is>
          <t>A 33618-2022</t>
        </is>
      </c>
      <c r="B8484" t="inlineStr">
        <is>
          <t>avverkningsanmälan</t>
        </is>
      </c>
      <c r="C8484" t="inlineStr">
        <is>
          <t>Avverkning för annat ändamål</t>
        </is>
      </c>
      <c r="D8484" s="1" t="n">
        <v>44789</v>
      </c>
      <c r="E8484" s="1" t="n">
        <v>46319</v>
      </c>
      <c r="F8484" t="inlineStr">
        <is>
          <t>DALARNAS LÄN</t>
        </is>
      </c>
      <c r="G8484" t="inlineStr">
        <is>
          <t>MALUNG-SÄLEN</t>
        </is>
      </c>
      <c r="I8484" t="n">
        <v>1.6</v>
      </c>
      <c r="J8484" t="n">
        <v>0</v>
      </c>
      <c r="K8484" t="n">
        <v>0</v>
      </c>
      <c r="L8484" t="n">
        <v>0</v>
      </c>
      <c r="M8484" t="n">
        <v>0</v>
      </c>
      <c r="N8484" t="n">
        <v>0</v>
      </c>
      <c r="O8484" t="n">
        <v>0</v>
      </c>
      <c r="P8484" t="n">
        <v>0</v>
      </c>
      <c r="Q8484" t="n">
        <v>0</v>
      </c>
      <c r="R8484" t="n">
        <v>0</v>
      </c>
      <c r="S8484" t="n">
        <v>0</v>
      </c>
      <c r="T8484" t="n">
        <v>0</v>
      </c>
      <c r="U8484" t="n">
        <v>0</v>
      </c>
      <c r="V8484" s="2" t="inlineStr"/>
    </row>
    <row r="8485" ht="15" customHeight="1">
      <c r="A8485" t="inlineStr">
        <is>
          <t>A 16034-2023</t>
        </is>
      </c>
      <c r="B8485" t="inlineStr">
        <is>
          <t>avverkningsanmälan</t>
        </is>
      </c>
      <c r="C8485" t="inlineStr">
        <is>
          <t>Föryngringsavverkning</t>
        </is>
      </c>
      <c r="D8485" s="1" t="n">
        <v>45027</v>
      </c>
      <c r="E8485" s="1" t="n">
        <v>46319</v>
      </c>
      <c r="F8485" t="inlineStr">
        <is>
          <t>DALARNAS LÄN</t>
        </is>
      </c>
      <c r="G8485" t="inlineStr">
        <is>
          <t>MALUNG-SÄLEN</t>
        </is>
      </c>
      <c r="I8485" t="n">
        <v>9</v>
      </c>
      <c r="J8485" t="n">
        <v>0</v>
      </c>
      <c r="K8485" t="n">
        <v>0</v>
      </c>
      <c r="L8485" t="n">
        <v>0</v>
      </c>
      <c r="M8485" t="n">
        <v>0</v>
      </c>
      <c r="N8485" t="n">
        <v>0</v>
      </c>
      <c r="O8485" t="n">
        <v>0</v>
      </c>
      <c r="P8485" t="n">
        <v>0</v>
      </c>
      <c r="Q8485" t="n">
        <v>0</v>
      </c>
      <c r="R8485" t="n">
        <v>0</v>
      </c>
      <c r="S8485" t="n">
        <v>0</v>
      </c>
      <c r="T8485" t="n">
        <v>0</v>
      </c>
      <c r="U8485" t="n">
        <v>0</v>
      </c>
      <c r="V8485" s="2" t="inlineStr"/>
    </row>
    <row r="8486" ht="15" customHeight="1">
      <c r="A8486" t="inlineStr">
        <is>
          <t>A 4951-2025</t>
        </is>
      </c>
      <c r="B8486" t="inlineStr">
        <is>
          <t>avverkningsanmälan</t>
        </is>
      </c>
      <c r="C8486" t="inlineStr">
        <is>
          <t>Föryngringsavverkning</t>
        </is>
      </c>
      <c r="D8486" s="1" t="n">
        <v>45689</v>
      </c>
      <c r="E8486" s="1" t="n">
        <v>46319</v>
      </c>
      <c r="F8486" t="inlineStr">
        <is>
          <t>DALARNAS LÄN</t>
        </is>
      </c>
      <c r="G8486" t="inlineStr">
        <is>
          <t>VANSBRO</t>
        </is>
      </c>
      <c r="I8486" t="n">
        <v>4.5</v>
      </c>
      <c r="J8486" t="n">
        <v>0</v>
      </c>
      <c r="K8486" t="n">
        <v>0</v>
      </c>
      <c r="L8486" t="n">
        <v>0</v>
      </c>
      <c r="M8486" t="n">
        <v>0</v>
      </c>
      <c r="N8486" t="n">
        <v>0</v>
      </c>
      <c r="O8486" t="n">
        <v>0</v>
      </c>
      <c r="P8486" t="n">
        <v>0</v>
      </c>
      <c r="Q8486" t="n">
        <v>0</v>
      </c>
      <c r="R8486" t="n">
        <v>0</v>
      </c>
      <c r="S8486" t="n">
        <v>0</v>
      </c>
      <c r="T8486" t="n">
        <v>0</v>
      </c>
      <c r="U8486" t="n">
        <v>0</v>
      </c>
      <c r="V8486" s="2" t="inlineStr"/>
    </row>
    <row r="8487" ht="15" customHeight="1">
      <c r="A8487" t="inlineStr">
        <is>
          <t>A 4952-2025</t>
        </is>
      </c>
      <c r="B8487" t="inlineStr">
        <is>
          <t>avverkningsanmälan</t>
        </is>
      </c>
      <c r="C8487" t="inlineStr">
        <is>
          <t>Föryngringsavverkning</t>
        </is>
      </c>
      <c r="D8487" s="1" t="n">
        <v>45689</v>
      </c>
      <c r="E8487" s="1" t="n">
        <v>46319</v>
      </c>
      <c r="F8487" t="inlineStr">
        <is>
          <t>DALARNAS LÄN</t>
        </is>
      </c>
      <c r="G8487" t="inlineStr">
        <is>
          <t>VANSBRO</t>
        </is>
      </c>
      <c r="I8487" t="n">
        <v>4.2</v>
      </c>
      <c r="J8487" t="n">
        <v>0</v>
      </c>
      <c r="K8487" t="n">
        <v>0</v>
      </c>
      <c r="L8487" t="n">
        <v>0</v>
      </c>
      <c r="M8487" t="n">
        <v>0</v>
      </c>
      <c r="N8487" t="n">
        <v>0</v>
      </c>
      <c r="O8487" t="n">
        <v>0</v>
      </c>
      <c r="P8487" t="n">
        <v>0</v>
      </c>
      <c r="Q8487" t="n">
        <v>0</v>
      </c>
      <c r="R8487" t="n">
        <v>0</v>
      </c>
      <c r="S8487" t="n">
        <v>0</v>
      </c>
      <c r="T8487" t="n">
        <v>0</v>
      </c>
      <c r="U8487" t="n">
        <v>0</v>
      </c>
      <c r="V8487" s="2" t="inlineStr"/>
    </row>
    <row r="8488" ht="15" customHeight="1">
      <c r="A8488" t="inlineStr">
        <is>
          <t>A 53576-2023</t>
        </is>
      </c>
      <c r="B8488" t="inlineStr">
        <is>
          <t>avverkningsanmälan</t>
        </is>
      </c>
      <c r="C8488" t="inlineStr">
        <is>
          <t>Föryngringsavverkning</t>
        </is>
      </c>
      <c r="D8488" s="1" t="n">
        <v>45230</v>
      </c>
      <c r="E8488" s="1" t="n">
        <v>46319</v>
      </c>
      <c r="F8488" t="inlineStr">
        <is>
          <t>DALARNAS LÄN</t>
        </is>
      </c>
      <c r="G8488" t="inlineStr">
        <is>
          <t>HEDEMORA</t>
        </is>
      </c>
      <c r="I8488" t="n">
        <v>0.9</v>
      </c>
      <c r="J8488" t="n">
        <v>0</v>
      </c>
      <c r="K8488" t="n">
        <v>0</v>
      </c>
      <c r="L8488" t="n">
        <v>0</v>
      </c>
      <c r="M8488" t="n">
        <v>0</v>
      </c>
      <c r="N8488" t="n">
        <v>0</v>
      </c>
      <c r="O8488" t="n">
        <v>0</v>
      </c>
      <c r="P8488" t="n">
        <v>0</v>
      </c>
      <c r="Q8488" t="n">
        <v>0</v>
      </c>
      <c r="R8488" t="n">
        <v>0</v>
      </c>
      <c r="S8488" t="n">
        <v>0</v>
      </c>
      <c r="T8488" t="n">
        <v>0</v>
      </c>
      <c r="U8488" t="n">
        <v>0</v>
      </c>
      <c r="V8488" s="2" t="inlineStr"/>
    </row>
    <row r="8489" ht="15" customHeight="1">
      <c r="A8489" t="inlineStr">
        <is>
          <t>A 56715-2023</t>
        </is>
      </c>
      <c r="B8489" t="inlineStr">
        <is>
          <t>avverkningsanmälan</t>
        </is>
      </c>
      <c r="C8489" t="inlineStr">
        <is>
          <t>Föryngringsavverkning</t>
        </is>
      </c>
      <c r="D8489" s="1" t="n">
        <v>45244</v>
      </c>
      <c r="E8489" s="1" t="n">
        <v>46319</v>
      </c>
      <c r="F8489" t="inlineStr">
        <is>
          <t>DALARNAS LÄN</t>
        </is>
      </c>
      <c r="G8489" t="inlineStr">
        <is>
          <t>MALUNG-SÄLEN</t>
        </is>
      </c>
      <c r="I8489" t="n">
        <v>0.9</v>
      </c>
      <c r="J8489" t="n">
        <v>0</v>
      </c>
      <c r="K8489" t="n">
        <v>0</v>
      </c>
      <c r="L8489" t="n">
        <v>0</v>
      </c>
      <c r="M8489" t="n">
        <v>0</v>
      </c>
      <c r="N8489" t="n">
        <v>0</v>
      </c>
      <c r="O8489" t="n">
        <v>0</v>
      </c>
      <c r="P8489" t="n">
        <v>0</v>
      </c>
      <c r="Q8489" t="n">
        <v>0</v>
      </c>
      <c r="R8489" t="n">
        <v>0</v>
      </c>
      <c r="S8489" t="n">
        <v>0</v>
      </c>
      <c r="T8489" t="n">
        <v>0</v>
      </c>
      <c r="U8489" t="n">
        <v>0</v>
      </c>
      <c r="V8489" s="2" t="inlineStr"/>
    </row>
    <row r="8490" ht="15" customHeight="1">
      <c r="A8490" t="inlineStr">
        <is>
          <t>A 8496-2025</t>
        </is>
      </c>
      <c r="B8490" t="inlineStr">
        <is>
          <t>avverkningsanmälan</t>
        </is>
      </c>
      <c r="C8490" t="inlineStr">
        <is>
          <t>Föryngringsavverkning</t>
        </is>
      </c>
      <c r="D8490" s="1" t="n">
        <v>45709</v>
      </c>
      <c r="E8490" s="1" t="n">
        <v>46319</v>
      </c>
      <c r="F8490" t="inlineStr">
        <is>
          <t>DALARNAS LÄN</t>
        </is>
      </c>
      <c r="G8490" t="inlineStr">
        <is>
          <t>ÄLVDALEN</t>
        </is>
      </c>
      <c r="I8490" t="n">
        <v>1.4</v>
      </c>
      <c r="J8490" t="n">
        <v>0</v>
      </c>
      <c r="K8490" t="n">
        <v>0</v>
      </c>
      <c r="L8490" t="n">
        <v>0</v>
      </c>
      <c r="M8490" t="n">
        <v>0</v>
      </c>
      <c r="N8490" t="n">
        <v>0</v>
      </c>
      <c r="O8490" t="n">
        <v>0</v>
      </c>
      <c r="P8490" t="n">
        <v>0</v>
      </c>
      <c r="Q8490" t="n">
        <v>0</v>
      </c>
      <c r="R8490" t="n">
        <v>0</v>
      </c>
      <c r="S8490" t="n">
        <v>0</v>
      </c>
      <c r="T8490" t="n">
        <v>0</v>
      </c>
      <c r="U8490" t="n">
        <v>0</v>
      </c>
      <c r="V8490" s="2" t="inlineStr"/>
    </row>
    <row r="8491" ht="15" customHeight="1">
      <c r="A8491" t="inlineStr">
        <is>
          <t>A 55549-2023</t>
        </is>
      </c>
      <c r="B8491" t="inlineStr">
        <is>
          <t>avverkningsanmälan</t>
        </is>
      </c>
      <c r="C8491" t="inlineStr">
        <is>
          <t>Föryngringsavverkning</t>
        </is>
      </c>
      <c r="D8491" s="1" t="n">
        <v>45232</v>
      </c>
      <c r="E8491" s="1" t="n">
        <v>46319</v>
      </c>
      <c r="F8491" t="inlineStr">
        <is>
          <t>DALARNAS LÄN</t>
        </is>
      </c>
      <c r="G8491" t="inlineStr">
        <is>
          <t>AVESTA</t>
        </is>
      </c>
      <c r="I8491" t="n">
        <v>1.2</v>
      </c>
      <c r="J8491" t="n">
        <v>0</v>
      </c>
      <c r="K8491" t="n">
        <v>0</v>
      </c>
      <c r="L8491" t="n">
        <v>0</v>
      </c>
      <c r="M8491" t="n">
        <v>0</v>
      </c>
      <c r="N8491" t="n">
        <v>0</v>
      </c>
      <c r="O8491" t="n">
        <v>0</v>
      </c>
      <c r="P8491" t="n">
        <v>0</v>
      </c>
      <c r="Q8491" t="n">
        <v>0</v>
      </c>
      <c r="R8491" t="n">
        <v>0</v>
      </c>
      <c r="S8491" t="n">
        <v>0</v>
      </c>
      <c r="T8491" t="n">
        <v>0</v>
      </c>
      <c r="U8491" t="n">
        <v>0</v>
      </c>
      <c r="V8491" s="2" t="inlineStr"/>
    </row>
    <row r="8492" ht="15" customHeight="1">
      <c r="A8492" t="inlineStr">
        <is>
          <t>A 1775-2022</t>
        </is>
      </c>
      <c r="B8492" t="inlineStr">
        <is>
          <t>avverkningsanmälan</t>
        </is>
      </c>
      <c r="C8492" t="inlineStr">
        <is>
          <t>Föryngringsavverkning</t>
        </is>
      </c>
      <c r="D8492" s="1" t="n">
        <v>44574</v>
      </c>
      <c r="E8492" s="1" t="n">
        <v>46319</v>
      </c>
      <c r="F8492" t="inlineStr">
        <is>
          <t>DALARNAS LÄN</t>
        </is>
      </c>
      <c r="G8492" t="inlineStr">
        <is>
          <t>LEKSAND</t>
        </is>
      </c>
      <c r="I8492" t="n">
        <v>2</v>
      </c>
      <c r="J8492" t="n">
        <v>0</v>
      </c>
      <c r="K8492" t="n">
        <v>0</v>
      </c>
      <c r="L8492" t="n">
        <v>0</v>
      </c>
      <c r="M8492" t="n">
        <v>0</v>
      </c>
      <c r="N8492" t="n">
        <v>0</v>
      </c>
      <c r="O8492" t="n">
        <v>0</v>
      </c>
      <c r="P8492" t="n">
        <v>0</v>
      </c>
      <c r="Q8492" t="n">
        <v>0</v>
      </c>
      <c r="R8492" t="n">
        <v>0</v>
      </c>
      <c r="S8492" t="n">
        <v>0</v>
      </c>
      <c r="T8492" t="n">
        <v>0</v>
      </c>
      <c r="U8492" t="n">
        <v>0</v>
      </c>
      <c r="V8492" s="2" t="inlineStr"/>
    </row>
    <row r="8493" ht="15" customHeight="1">
      <c r="A8493" t="inlineStr">
        <is>
          <t>A 30994-2023</t>
        </is>
      </c>
      <c r="B8493" t="inlineStr">
        <is>
          <t>avverkningsanmälan</t>
        </is>
      </c>
      <c r="C8493" t="inlineStr">
        <is>
          <t>Föryngringsavverkning</t>
        </is>
      </c>
      <c r="D8493" s="1" t="n">
        <v>45113</v>
      </c>
      <c r="E8493" s="1" t="n">
        <v>46319</v>
      </c>
      <c r="F8493" t="inlineStr">
        <is>
          <t>DALARNAS LÄN</t>
        </is>
      </c>
      <c r="G8493" t="inlineStr">
        <is>
          <t>LEKSAND</t>
        </is>
      </c>
      <c r="I8493" t="n">
        <v>1.1</v>
      </c>
      <c r="J8493" t="n">
        <v>0</v>
      </c>
      <c r="K8493" t="n">
        <v>0</v>
      </c>
      <c r="L8493" t="n">
        <v>0</v>
      </c>
      <c r="M8493" t="n">
        <v>0</v>
      </c>
      <c r="N8493" t="n">
        <v>0</v>
      </c>
      <c r="O8493" t="n">
        <v>0</v>
      </c>
      <c r="P8493" t="n">
        <v>0</v>
      </c>
      <c r="Q8493" t="n">
        <v>0</v>
      </c>
      <c r="R8493" t="n">
        <v>0</v>
      </c>
      <c r="S8493" t="n">
        <v>0</v>
      </c>
      <c r="T8493" t="n">
        <v>0</v>
      </c>
      <c r="U8493" t="n">
        <v>0</v>
      </c>
      <c r="V8493" s="2" t="inlineStr"/>
    </row>
    <row r="8494" ht="15" customHeight="1">
      <c r="A8494" t="inlineStr">
        <is>
          <t>A 41366-2023</t>
        </is>
      </c>
      <c r="B8494" t="inlineStr">
        <is>
          <t>avverkningsanmälan</t>
        </is>
      </c>
      <c r="C8494" t="inlineStr">
        <is>
          <t>Föryngringsavverkning</t>
        </is>
      </c>
      <c r="D8494" s="1" t="n">
        <v>45174</v>
      </c>
      <c r="E8494" s="1" t="n">
        <v>46319</v>
      </c>
      <c r="F8494" t="inlineStr">
        <is>
          <t>DALARNAS LÄN</t>
        </is>
      </c>
      <c r="G8494" t="inlineStr">
        <is>
          <t>GAGNEF</t>
        </is>
      </c>
      <c r="I8494" t="n">
        <v>1.7</v>
      </c>
      <c r="J8494" t="n">
        <v>0</v>
      </c>
      <c r="K8494" t="n">
        <v>0</v>
      </c>
      <c r="L8494" t="n">
        <v>0</v>
      </c>
      <c r="M8494" t="n">
        <v>0</v>
      </c>
      <c r="N8494" t="n">
        <v>0</v>
      </c>
      <c r="O8494" t="n">
        <v>0</v>
      </c>
      <c r="P8494" t="n">
        <v>0</v>
      </c>
      <c r="Q8494" t="n">
        <v>0</v>
      </c>
      <c r="R8494" t="n">
        <v>0</v>
      </c>
      <c r="S8494" t="n">
        <v>0</v>
      </c>
      <c r="T8494" t="n">
        <v>0</v>
      </c>
      <c r="U8494" t="n">
        <v>0</v>
      </c>
      <c r="V8494" s="2" t="inlineStr"/>
    </row>
    <row r="8495" ht="15" customHeight="1">
      <c r="A8495" t="inlineStr">
        <is>
          <t>A 10078-2025</t>
        </is>
      </c>
      <c r="B8495" t="inlineStr">
        <is>
          <t>avverkningsanmälan</t>
        </is>
      </c>
      <c r="C8495" t="inlineStr">
        <is>
          <t>Föryngringsavverkning</t>
        </is>
      </c>
      <c r="D8495" s="1" t="n">
        <v>45719</v>
      </c>
      <c r="E8495" s="1" t="n">
        <v>46319</v>
      </c>
      <c r="F8495" t="inlineStr">
        <is>
          <t>DALARNAS LÄN</t>
        </is>
      </c>
      <c r="G8495" t="inlineStr">
        <is>
          <t>AVESTA</t>
        </is>
      </c>
      <c r="I8495" t="n">
        <v>0.6</v>
      </c>
      <c r="J8495" t="n">
        <v>0</v>
      </c>
      <c r="K8495" t="n">
        <v>0</v>
      </c>
      <c r="L8495" t="n">
        <v>0</v>
      </c>
      <c r="M8495" t="n">
        <v>0</v>
      </c>
      <c r="N8495" t="n">
        <v>0</v>
      </c>
      <c r="O8495" t="n">
        <v>0</v>
      </c>
      <c r="P8495" t="n">
        <v>0</v>
      </c>
      <c r="Q8495" t="n">
        <v>0</v>
      </c>
      <c r="R8495" t="n">
        <v>0</v>
      </c>
      <c r="S8495" t="n">
        <v>0</v>
      </c>
      <c r="T8495" t="n">
        <v>0</v>
      </c>
      <c r="U8495" t="n">
        <v>0</v>
      </c>
      <c r="V8495" s="2" t="inlineStr"/>
    </row>
    <row r="8496" ht="15" customHeight="1">
      <c r="A8496" t="inlineStr">
        <is>
          <t>A 27610-2024</t>
        </is>
      </c>
      <c r="B8496" t="inlineStr">
        <is>
          <t>avverkningsanmälan</t>
        </is>
      </c>
      <c r="C8496" t="inlineStr">
        <is>
          <t>Föryngringsavverkning</t>
        </is>
      </c>
      <c r="D8496" s="1" t="n">
        <v>45474</v>
      </c>
      <c r="E8496" s="1" t="n">
        <v>46319</v>
      </c>
      <c r="F8496" t="inlineStr">
        <is>
          <t>DALARNAS LÄN</t>
        </is>
      </c>
      <c r="G8496" t="inlineStr">
        <is>
          <t>HEDEMORA</t>
        </is>
      </c>
      <c r="H8496" t="inlineStr">
        <is>
          <t>Sveaskog</t>
        </is>
      </c>
      <c r="I8496" t="n">
        <v>1.8</v>
      </c>
      <c r="J8496" t="n">
        <v>0</v>
      </c>
      <c r="K8496" t="n">
        <v>0</v>
      </c>
      <c r="L8496" t="n">
        <v>0</v>
      </c>
      <c r="M8496" t="n">
        <v>0</v>
      </c>
      <c r="N8496" t="n">
        <v>0</v>
      </c>
      <c r="O8496" t="n">
        <v>0</v>
      </c>
      <c r="P8496" t="n">
        <v>0</v>
      </c>
      <c r="Q8496" t="n">
        <v>0</v>
      </c>
      <c r="R8496" t="n">
        <v>0</v>
      </c>
      <c r="S8496" t="n">
        <v>0</v>
      </c>
      <c r="T8496" t="n">
        <v>0</v>
      </c>
      <c r="U8496" t="n">
        <v>0</v>
      </c>
      <c r="V8496" s="2" t="inlineStr"/>
    </row>
    <row r="8497" ht="15" customHeight="1">
      <c r="A8497" t="inlineStr">
        <is>
          <t>A 12617-2022</t>
        </is>
      </c>
      <c r="B8497" t="inlineStr">
        <is>
          <t>avverkningsanmälan</t>
        </is>
      </c>
      <c r="C8497" t="inlineStr">
        <is>
          <t>Föryngringsavverkning</t>
        </is>
      </c>
      <c r="D8497" s="1" t="n">
        <v>44641</v>
      </c>
      <c r="E8497" s="1" t="n">
        <v>46319</v>
      </c>
      <c r="F8497" t="inlineStr">
        <is>
          <t>DALARNAS LÄN</t>
        </is>
      </c>
      <c r="G8497" t="inlineStr">
        <is>
          <t>RÄTTVIK</t>
        </is>
      </c>
      <c r="I8497" t="n">
        <v>0.6</v>
      </c>
      <c r="J8497" t="n">
        <v>0</v>
      </c>
      <c r="K8497" t="n">
        <v>0</v>
      </c>
      <c r="L8497" t="n">
        <v>0</v>
      </c>
      <c r="M8497" t="n">
        <v>0</v>
      </c>
      <c r="N8497" t="n">
        <v>0</v>
      </c>
      <c r="O8497" t="n">
        <v>0</v>
      </c>
      <c r="P8497" t="n">
        <v>0</v>
      </c>
      <c r="Q8497" t="n">
        <v>0</v>
      </c>
      <c r="R8497" t="n">
        <v>0</v>
      </c>
      <c r="S8497" t="n">
        <v>0</v>
      </c>
      <c r="T8497" t="n">
        <v>0</v>
      </c>
      <c r="U8497" t="n">
        <v>0</v>
      </c>
      <c r="V8497" s="2" t="inlineStr"/>
    </row>
    <row r="8498" ht="15" customHeight="1">
      <c r="A8498" t="inlineStr">
        <is>
          <t>A 10566-2025</t>
        </is>
      </c>
      <c r="B8498" t="inlineStr">
        <is>
          <t>avverkningsanmälan</t>
        </is>
      </c>
      <c r="C8498" t="inlineStr">
        <is>
          <t>Föryngringsavverkning</t>
        </is>
      </c>
      <c r="D8498" s="1" t="n">
        <v>45721</v>
      </c>
      <c r="E8498" s="1" t="n">
        <v>46319</v>
      </c>
      <c r="F8498" t="inlineStr">
        <is>
          <t>DALARNAS LÄN</t>
        </is>
      </c>
      <c r="G8498" t="inlineStr">
        <is>
          <t>AVESTA</t>
        </is>
      </c>
      <c r="H8498" t="inlineStr">
        <is>
          <t>Sveaskog</t>
        </is>
      </c>
      <c r="I8498" t="n">
        <v>1.1</v>
      </c>
      <c r="J8498" t="n">
        <v>0</v>
      </c>
      <c r="K8498" t="n">
        <v>0</v>
      </c>
      <c r="L8498" t="n">
        <v>0</v>
      </c>
      <c r="M8498" t="n">
        <v>0</v>
      </c>
      <c r="N8498" t="n">
        <v>0</v>
      </c>
      <c r="O8498" t="n">
        <v>0</v>
      </c>
      <c r="P8498" t="n">
        <v>0</v>
      </c>
      <c r="Q8498" t="n">
        <v>0</v>
      </c>
      <c r="R8498" t="n">
        <v>0</v>
      </c>
      <c r="S8498" t="n">
        <v>0</v>
      </c>
      <c r="T8498" t="n">
        <v>0</v>
      </c>
      <c r="U8498" t="n">
        <v>0</v>
      </c>
      <c r="V8498" s="2" t="inlineStr"/>
    </row>
    <row r="8499" ht="15" customHeight="1">
      <c r="A8499" t="inlineStr">
        <is>
          <t>A 22640-2023</t>
        </is>
      </c>
      <c r="B8499" t="inlineStr">
        <is>
          <t>avverkningsanmälan</t>
        </is>
      </c>
      <c r="C8499" t="inlineStr">
        <is>
          <t>Föryngringsavverkning</t>
        </is>
      </c>
      <c r="D8499" s="1" t="n">
        <v>45071</v>
      </c>
      <c r="E8499" s="1" t="n">
        <v>46319</v>
      </c>
      <c r="F8499" t="inlineStr">
        <is>
          <t>DALARNAS LÄN</t>
        </is>
      </c>
      <c r="G8499" t="inlineStr">
        <is>
          <t>MALUNG-SÄLEN</t>
        </is>
      </c>
      <c r="H8499" t="inlineStr">
        <is>
          <t>Bergvik skog öst AB</t>
        </is>
      </c>
      <c r="I8499" t="n">
        <v>1.8</v>
      </c>
      <c r="J8499" t="n">
        <v>0</v>
      </c>
      <c r="K8499" t="n">
        <v>0</v>
      </c>
      <c r="L8499" t="n">
        <v>0</v>
      </c>
      <c r="M8499" t="n">
        <v>0</v>
      </c>
      <c r="N8499" t="n">
        <v>0</v>
      </c>
      <c r="O8499" t="n">
        <v>0</v>
      </c>
      <c r="P8499" t="n">
        <v>0</v>
      </c>
      <c r="Q8499" t="n">
        <v>0</v>
      </c>
      <c r="R8499" t="n">
        <v>0</v>
      </c>
      <c r="S8499" t="n">
        <v>0</v>
      </c>
      <c r="T8499" t="n">
        <v>0</v>
      </c>
      <c r="U8499" t="n">
        <v>0</v>
      </c>
      <c r="V8499" s="2" t="inlineStr"/>
    </row>
    <row r="8500" ht="15" customHeight="1">
      <c r="A8500" t="inlineStr">
        <is>
          <t>A 69744-2021</t>
        </is>
      </c>
      <c r="B8500" t="inlineStr">
        <is>
          <t>avverkningsanmälan</t>
        </is>
      </c>
      <c r="C8500" t="inlineStr">
        <is>
          <t>Föryngringsavverkning</t>
        </is>
      </c>
      <c r="D8500" s="1" t="n">
        <v>44532</v>
      </c>
      <c r="E8500" s="1" t="n">
        <v>46319</v>
      </c>
      <c r="F8500" t="inlineStr">
        <is>
          <t>DALARNAS LÄN</t>
        </is>
      </c>
      <c r="G8500" t="inlineStr">
        <is>
          <t>SÄTER</t>
        </is>
      </c>
      <c r="H8500" t="inlineStr">
        <is>
          <t>Bergvik skog väst AB</t>
        </is>
      </c>
      <c r="I8500" t="n">
        <v>1.2</v>
      </c>
      <c r="J8500" t="n">
        <v>0</v>
      </c>
      <c r="K8500" t="n">
        <v>0</v>
      </c>
      <c r="L8500" t="n">
        <v>0</v>
      </c>
      <c r="M8500" t="n">
        <v>0</v>
      </c>
      <c r="N8500" t="n">
        <v>0</v>
      </c>
      <c r="O8500" t="n">
        <v>0</v>
      </c>
      <c r="P8500" t="n">
        <v>0</v>
      </c>
      <c r="Q8500" t="n">
        <v>0</v>
      </c>
      <c r="R8500" t="n">
        <v>0</v>
      </c>
      <c r="S8500" t="n">
        <v>0</v>
      </c>
      <c r="T8500" t="n">
        <v>0</v>
      </c>
      <c r="U8500" t="n">
        <v>0</v>
      </c>
      <c r="V8500" s="2" t="inlineStr"/>
    </row>
    <row r="8501" ht="15" customHeight="1">
      <c r="A8501" t="inlineStr">
        <is>
          <t>A 34272-2024</t>
        </is>
      </c>
      <c r="B8501" t="inlineStr">
        <is>
          <t>avverkningsanmälan</t>
        </is>
      </c>
      <c r="C8501" t="inlineStr">
        <is>
          <t>Föryngringsavverkning</t>
        </is>
      </c>
      <c r="D8501" s="1" t="n">
        <v>45524</v>
      </c>
      <c r="E8501" s="1" t="n">
        <v>46319</v>
      </c>
      <c r="F8501" t="inlineStr">
        <is>
          <t>DALARNAS LÄN</t>
        </is>
      </c>
      <c r="G8501" t="inlineStr">
        <is>
          <t>MORA</t>
        </is>
      </c>
      <c r="I8501" t="n">
        <v>1</v>
      </c>
      <c r="J8501" t="n">
        <v>0</v>
      </c>
      <c r="K8501" t="n">
        <v>0</v>
      </c>
      <c r="L8501" t="n">
        <v>0</v>
      </c>
      <c r="M8501" t="n">
        <v>0</v>
      </c>
      <c r="N8501" t="n">
        <v>0</v>
      </c>
      <c r="O8501" t="n">
        <v>0</v>
      </c>
      <c r="P8501" t="n">
        <v>0</v>
      </c>
      <c r="Q8501" t="n">
        <v>0</v>
      </c>
      <c r="R8501" t="n">
        <v>0</v>
      </c>
      <c r="S8501" t="n">
        <v>0</v>
      </c>
      <c r="T8501" t="n">
        <v>0</v>
      </c>
      <c r="U8501" t="n">
        <v>0</v>
      </c>
      <c r="V8501" s="2" t="inlineStr"/>
    </row>
    <row r="8502" ht="15" customHeight="1">
      <c r="A8502" t="inlineStr">
        <is>
          <t>A 13354-2025</t>
        </is>
      </c>
      <c r="B8502" t="inlineStr">
        <is>
          <t>avverkningsanmälan</t>
        </is>
      </c>
      <c r="C8502" t="inlineStr">
        <is>
          <t>Föryngringsavverkning</t>
        </is>
      </c>
      <c r="D8502" s="1" t="n">
        <v>45735</v>
      </c>
      <c r="E8502" s="1" t="n">
        <v>46319</v>
      </c>
      <c r="F8502" t="inlineStr">
        <is>
          <t>DALARNAS LÄN</t>
        </is>
      </c>
      <c r="G8502" t="inlineStr">
        <is>
          <t>SMEDJEBACKEN</t>
        </is>
      </c>
      <c r="I8502" t="n">
        <v>4.4</v>
      </c>
      <c r="J8502" t="n">
        <v>0</v>
      </c>
      <c r="K8502" t="n">
        <v>0</v>
      </c>
      <c r="L8502" t="n">
        <v>0</v>
      </c>
      <c r="M8502" t="n">
        <v>0</v>
      </c>
      <c r="N8502" t="n">
        <v>0</v>
      </c>
      <c r="O8502" t="n">
        <v>0</v>
      </c>
      <c r="P8502" t="n">
        <v>0</v>
      </c>
      <c r="Q8502" t="n">
        <v>0</v>
      </c>
      <c r="R8502" t="n">
        <v>0</v>
      </c>
      <c r="S8502" t="n">
        <v>0</v>
      </c>
      <c r="T8502" t="n">
        <v>0</v>
      </c>
      <c r="U8502" t="n">
        <v>0</v>
      </c>
      <c r="V8502" s="2" t="inlineStr"/>
    </row>
    <row r="8503" ht="15" customHeight="1">
      <c r="A8503" t="inlineStr">
        <is>
          <t>A 28131-2024</t>
        </is>
      </c>
      <c r="B8503" t="inlineStr">
        <is>
          <t>avverkningsanmälan</t>
        </is>
      </c>
      <c r="C8503" t="inlineStr">
        <is>
          <t>Föryngringsavverkning</t>
        </is>
      </c>
      <c r="D8503" s="1" t="n">
        <v>45476</v>
      </c>
      <c r="E8503" s="1" t="n">
        <v>46319</v>
      </c>
      <c r="F8503" t="inlineStr">
        <is>
          <t>DALARNAS LÄN</t>
        </is>
      </c>
      <c r="G8503" t="inlineStr">
        <is>
          <t>MORA</t>
        </is>
      </c>
      <c r="I8503" t="n">
        <v>0.8</v>
      </c>
      <c r="J8503" t="n">
        <v>0</v>
      </c>
      <c r="K8503" t="n">
        <v>0</v>
      </c>
      <c r="L8503" t="n">
        <v>0</v>
      </c>
      <c r="M8503" t="n">
        <v>0</v>
      </c>
      <c r="N8503" t="n">
        <v>0</v>
      </c>
      <c r="O8503" t="n">
        <v>0</v>
      </c>
      <c r="P8503" t="n">
        <v>0</v>
      </c>
      <c r="Q8503" t="n">
        <v>0</v>
      </c>
      <c r="R8503" t="n">
        <v>0</v>
      </c>
      <c r="S8503" t="n">
        <v>0</v>
      </c>
      <c r="T8503" t="n">
        <v>0</v>
      </c>
      <c r="U8503" t="n">
        <v>0</v>
      </c>
      <c r="V8503" s="2" t="inlineStr"/>
    </row>
    <row r="8504" ht="15" customHeight="1">
      <c r="A8504" t="inlineStr">
        <is>
          <t>A 28132-2024</t>
        </is>
      </c>
      <c r="B8504" t="inlineStr">
        <is>
          <t>avverkningsanmälan</t>
        </is>
      </c>
      <c r="C8504" t="inlineStr">
        <is>
          <t>Föryngringsavverkning</t>
        </is>
      </c>
      <c r="D8504" s="1" t="n">
        <v>45476</v>
      </c>
      <c r="E8504" s="1" t="n">
        <v>46319</v>
      </c>
      <c r="F8504" t="inlineStr">
        <is>
          <t>DALARNAS LÄN</t>
        </is>
      </c>
      <c r="G8504" t="inlineStr">
        <is>
          <t>MORA</t>
        </is>
      </c>
      <c r="I8504" t="n">
        <v>0.2</v>
      </c>
      <c r="J8504" t="n">
        <v>0</v>
      </c>
      <c r="K8504" t="n">
        <v>0</v>
      </c>
      <c r="L8504" t="n">
        <v>0</v>
      </c>
      <c r="M8504" t="n">
        <v>0</v>
      </c>
      <c r="N8504" t="n">
        <v>0</v>
      </c>
      <c r="O8504" t="n">
        <v>0</v>
      </c>
      <c r="P8504" t="n">
        <v>0</v>
      </c>
      <c r="Q8504" t="n">
        <v>0</v>
      </c>
      <c r="R8504" t="n">
        <v>0</v>
      </c>
      <c r="S8504" t="n">
        <v>0</v>
      </c>
      <c r="T8504" t="n">
        <v>0</v>
      </c>
      <c r="U8504" t="n">
        <v>0</v>
      </c>
      <c r="V8504" s="2" t="inlineStr"/>
    </row>
    <row r="8505" ht="15" customHeight="1">
      <c r="A8505" t="inlineStr">
        <is>
          <t>A 60189-2022</t>
        </is>
      </c>
      <c r="B8505" t="inlineStr">
        <is>
          <t>avverkningsanmälan</t>
        </is>
      </c>
      <c r="C8505" t="inlineStr">
        <is>
          <t>Föryngringsavverkning</t>
        </is>
      </c>
      <c r="D8505" s="1" t="n">
        <v>44910</v>
      </c>
      <c r="E8505" s="1" t="n">
        <v>46319</v>
      </c>
      <c r="F8505" t="inlineStr">
        <is>
          <t>DALARNAS LÄN</t>
        </is>
      </c>
      <c r="G8505" t="inlineStr">
        <is>
          <t>ORSA</t>
        </is>
      </c>
      <c r="H8505" t="inlineStr">
        <is>
          <t>Bergvik skog öst AB</t>
        </is>
      </c>
      <c r="I8505" t="n">
        <v>1.5</v>
      </c>
      <c r="J8505" t="n">
        <v>0</v>
      </c>
      <c r="K8505" t="n">
        <v>0</v>
      </c>
      <c r="L8505" t="n">
        <v>0</v>
      </c>
      <c r="M8505" t="n">
        <v>0</v>
      </c>
      <c r="N8505" t="n">
        <v>0</v>
      </c>
      <c r="O8505" t="n">
        <v>0</v>
      </c>
      <c r="P8505" t="n">
        <v>0</v>
      </c>
      <c r="Q8505" t="n">
        <v>0</v>
      </c>
      <c r="R8505" t="n">
        <v>0</v>
      </c>
      <c r="S8505" t="n">
        <v>0</v>
      </c>
      <c r="T8505" t="n">
        <v>0</v>
      </c>
      <c r="U8505" t="n">
        <v>0</v>
      </c>
      <c r="V8505" s="2" t="inlineStr"/>
    </row>
    <row r="8506" ht="15" customHeight="1">
      <c r="A8506" t="inlineStr">
        <is>
          <t>A 33898-2024</t>
        </is>
      </c>
      <c r="B8506" t="inlineStr">
        <is>
          <t>avverkningsanmälan</t>
        </is>
      </c>
      <c r="C8506" t="inlineStr">
        <is>
          <t>Föryngringsavverkning</t>
        </is>
      </c>
      <c r="D8506" s="1" t="n">
        <v>45523</v>
      </c>
      <c r="E8506" s="1" t="n">
        <v>46319</v>
      </c>
      <c r="F8506" t="inlineStr">
        <is>
          <t>DALARNAS LÄN</t>
        </is>
      </c>
      <c r="G8506" t="inlineStr">
        <is>
          <t>FALUN</t>
        </is>
      </c>
      <c r="H8506" t="inlineStr">
        <is>
          <t>Allmännings- och besparingsskogar</t>
        </is>
      </c>
      <c r="I8506" t="n">
        <v>6.8</v>
      </c>
      <c r="J8506" t="n">
        <v>0</v>
      </c>
      <c r="K8506" t="n">
        <v>0</v>
      </c>
      <c r="L8506" t="n">
        <v>0</v>
      </c>
      <c r="M8506" t="n">
        <v>0</v>
      </c>
      <c r="N8506" t="n">
        <v>0</v>
      </c>
      <c r="O8506" t="n">
        <v>0</v>
      </c>
      <c r="P8506" t="n">
        <v>0</v>
      </c>
      <c r="Q8506" t="n">
        <v>0</v>
      </c>
      <c r="R8506" t="n">
        <v>0</v>
      </c>
      <c r="S8506" t="n">
        <v>0</v>
      </c>
      <c r="T8506" t="n">
        <v>0</v>
      </c>
      <c r="U8506" t="n">
        <v>0</v>
      </c>
      <c r="V8506" s="2" t="inlineStr"/>
    </row>
    <row r="8507" ht="15" customHeight="1">
      <c r="A8507" t="inlineStr">
        <is>
          <t>A 21626-2023</t>
        </is>
      </c>
      <c r="B8507" t="inlineStr">
        <is>
          <t>avverkningsanmälan</t>
        </is>
      </c>
      <c r="C8507" t="inlineStr">
        <is>
          <t>Föryngringsavverkning</t>
        </is>
      </c>
      <c r="D8507" s="1" t="n">
        <v>45063</v>
      </c>
      <c r="E8507" s="1" t="n">
        <v>46319</v>
      </c>
      <c r="F8507" t="inlineStr">
        <is>
          <t>DALARNAS LÄN</t>
        </is>
      </c>
      <c r="G8507" t="inlineStr">
        <is>
          <t>SMEDJEBACKEN</t>
        </is>
      </c>
      <c r="H8507" t="inlineStr">
        <is>
          <t>Övriga Aktiebolag</t>
        </is>
      </c>
      <c r="I8507" t="n">
        <v>1.7</v>
      </c>
      <c r="J8507" t="n">
        <v>0</v>
      </c>
      <c r="K8507" t="n">
        <v>0</v>
      </c>
      <c r="L8507" t="n">
        <v>0</v>
      </c>
      <c r="M8507" t="n">
        <v>0</v>
      </c>
      <c r="N8507" t="n">
        <v>0</v>
      </c>
      <c r="O8507" t="n">
        <v>0</v>
      </c>
      <c r="P8507" t="n">
        <v>0</v>
      </c>
      <c r="Q8507" t="n">
        <v>0</v>
      </c>
      <c r="R8507" t="n">
        <v>0</v>
      </c>
      <c r="S8507" t="n">
        <v>0</v>
      </c>
      <c r="T8507" t="n">
        <v>0</v>
      </c>
      <c r="U8507" t="n">
        <v>0</v>
      </c>
      <c r="V8507" s="2" t="inlineStr"/>
    </row>
    <row r="8508" ht="15" customHeight="1">
      <c r="A8508" t="inlineStr">
        <is>
          <t>A 34009-2024</t>
        </is>
      </c>
      <c r="B8508" t="inlineStr">
        <is>
          <t>avverkningsanmälan</t>
        </is>
      </c>
      <c r="C8508" t="inlineStr">
        <is>
          <t>Föryngringsavverkning</t>
        </is>
      </c>
      <c r="D8508" s="1" t="n">
        <v>45523</v>
      </c>
      <c r="E8508" s="1" t="n">
        <v>46319</v>
      </c>
      <c r="F8508" t="inlineStr">
        <is>
          <t>DALARNAS LÄN</t>
        </is>
      </c>
      <c r="G8508" t="inlineStr">
        <is>
          <t>FALUN</t>
        </is>
      </c>
      <c r="H8508" t="inlineStr">
        <is>
          <t>Bergvik skog väst AB</t>
        </is>
      </c>
      <c r="I8508" t="n">
        <v>1.1</v>
      </c>
      <c r="J8508" t="n">
        <v>0</v>
      </c>
      <c r="K8508" t="n">
        <v>0</v>
      </c>
      <c r="L8508" t="n">
        <v>0</v>
      </c>
      <c r="M8508" t="n">
        <v>0</v>
      </c>
      <c r="N8508" t="n">
        <v>0</v>
      </c>
      <c r="O8508" t="n">
        <v>0</v>
      </c>
      <c r="P8508" t="n">
        <v>0</v>
      </c>
      <c r="Q8508" t="n">
        <v>0</v>
      </c>
      <c r="R8508" t="n">
        <v>0</v>
      </c>
      <c r="S8508" t="n">
        <v>0</v>
      </c>
      <c r="T8508" t="n">
        <v>0</v>
      </c>
      <c r="U8508" t="n">
        <v>0</v>
      </c>
      <c r="V8508" s="2" t="inlineStr"/>
    </row>
    <row r="8509" ht="15" customHeight="1">
      <c r="A8509" t="inlineStr">
        <is>
          <t>A 12847-2025</t>
        </is>
      </c>
      <c r="B8509" t="inlineStr">
        <is>
          <t>avverkningsanmälan</t>
        </is>
      </c>
      <c r="C8509" t="inlineStr">
        <is>
          <t>Föryngringsavverkning</t>
        </is>
      </c>
      <c r="D8509" s="1" t="n">
        <v>45733</v>
      </c>
      <c r="E8509" s="1" t="n">
        <v>46319</v>
      </c>
      <c r="F8509" t="inlineStr">
        <is>
          <t>DALARNAS LÄN</t>
        </is>
      </c>
      <c r="G8509" t="inlineStr">
        <is>
          <t>FALUN</t>
        </is>
      </c>
      <c r="I8509" t="n">
        <v>0.6</v>
      </c>
      <c r="J8509" t="n">
        <v>0</v>
      </c>
      <c r="K8509" t="n">
        <v>0</v>
      </c>
      <c r="L8509" t="n">
        <v>0</v>
      </c>
      <c r="M8509" t="n">
        <v>0</v>
      </c>
      <c r="N8509" t="n">
        <v>0</v>
      </c>
      <c r="O8509" t="n">
        <v>0</v>
      </c>
      <c r="P8509" t="n">
        <v>0</v>
      </c>
      <c r="Q8509" t="n">
        <v>0</v>
      </c>
      <c r="R8509" t="n">
        <v>0</v>
      </c>
      <c r="S8509" t="n">
        <v>0</v>
      </c>
      <c r="T8509" t="n">
        <v>0</v>
      </c>
      <c r="U8509" t="n">
        <v>0</v>
      </c>
      <c r="V8509" s="2" t="inlineStr"/>
    </row>
    <row r="8510" ht="15" customHeight="1">
      <c r="A8510" t="inlineStr">
        <is>
          <t>A 51480-2022</t>
        </is>
      </c>
      <c r="B8510" t="inlineStr">
        <is>
          <t>avverkningsanmälan</t>
        </is>
      </c>
      <c r="C8510" t="inlineStr">
        <is>
          <t>Föryngringsavverkning</t>
        </is>
      </c>
      <c r="D8510" s="1" t="n">
        <v>44869</v>
      </c>
      <c r="E8510" s="1" t="n">
        <v>46319</v>
      </c>
      <c r="F8510" t="inlineStr">
        <is>
          <t>DALARNAS LÄN</t>
        </is>
      </c>
      <c r="G8510" t="inlineStr">
        <is>
          <t>LEKSAND</t>
        </is>
      </c>
      <c r="H8510" t="inlineStr">
        <is>
          <t>Bergvik skog väst AB</t>
        </is>
      </c>
      <c r="I8510" t="n">
        <v>1.7</v>
      </c>
      <c r="J8510" t="n">
        <v>0</v>
      </c>
      <c r="K8510" t="n">
        <v>0</v>
      </c>
      <c r="L8510" t="n">
        <v>0</v>
      </c>
      <c r="M8510" t="n">
        <v>0</v>
      </c>
      <c r="N8510" t="n">
        <v>0</v>
      </c>
      <c r="O8510" t="n">
        <v>0</v>
      </c>
      <c r="P8510" t="n">
        <v>0</v>
      </c>
      <c r="Q8510" t="n">
        <v>0</v>
      </c>
      <c r="R8510" t="n">
        <v>0</v>
      </c>
      <c r="S8510" t="n">
        <v>0</v>
      </c>
      <c r="T8510" t="n">
        <v>0</v>
      </c>
      <c r="U8510" t="n">
        <v>0</v>
      </c>
      <c r="V8510" s="2" t="inlineStr"/>
    </row>
    <row r="8511" ht="15" customHeight="1">
      <c r="A8511" t="inlineStr">
        <is>
          <t>A 55534-2023</t>
        </is>
      </c>
      <c r="B8511" t="inlineStr">
        <is>
          <t>avverkningsanmälan</t>
        </is>
      </c>
      <c r="C8511" t="inlineStr">
        <is>
          <t>Föryngringsavverkning</t>
        </is>
      </c>
      <c r="D8511" s="1" t="n">
        <v>45238</v>
      </c>
      <c r="E8511" s="1" t="n">
        <v>46319</v>
      </c>
      <c r="F8511" t="inlineStr">
        <is>
          <t>DALARNAS LÄN</t>
        </is>
      </c>
      <c r="G8511" t="inlineStr">
        <is>
          <t>ORSA</t>
        </is>
      </c>
      <c r="I8511" t="n">
        <v>0.8</v>
      </c>
      <c r="J8511" t="n">
        <v>0</v>
      </c>
      <c r="K8511" t="n">
        <v>0</v>
      </c>
      <c r="L8511" t="n">
        <v>0</v>
      </c>
      <c r="M8511" t="n">
        <v>0</v>
      </c>
      <c r="N8511" t="n">
        <v>0</v>
      </c>
      <c r="O8511" t="n">
        <v>0</v>
      </c>
      <c r="P8511" t="n">
        <v>0</v>
      </c>
      <c r="Q8511" t="n">
        <v>0</v>
      </c>
      <c r="R8511" t="n">
        <v>0</v>
      </c>
      <c r="S8511" t="n">
        <v>0</v>
      </c>
      <c r="T8511" t="n">
        <v>0</v>
      </c>
      <c r="U8511" t="n">
        <v>0</v>
      </c>
      <c r="V8511" s="2" t="inlineStr"/>
    </row>
    <row r="8512" ht="15" customHeight="1">
      <c r="A8512" t="inlineStr">
        <is>
          <t>A 30844-2024</t>
        </is>
      </c>
      <c r="B8512" t="inlineStr">
        <is>
          <t>avverkningsanmälan</t>
        </is>
      </c>
      <c r="C8512" t="inlineStr">
        <is>
          <t>Avverkning för annat ändamål</t>
        </is>
      </c>
      <c r="D8512" s="1" t="n">
        <v>45497</v>
      </c>
      <c r="E8512" s="1" t="n">
        <v>46319</v>
      </c>
      <c r="F8512" t="inlineStr">
        <is>
          <t>DALARNAS LÄN</t>
        </is>
      </c>
      <c r="G8512" t="inlineStr">
        <is>
          <t>LUDVIKA</t>
        </is>
      </c>
      <c r="I8512" t="n">
        <v>1.1</v>
      </c>
      <c r="J8512" t="n">
        <v>0</v>
      </c>
      <c r="K8512" t="n">
        <v>0</v>
      </c>
      <c r="L8512" t="n">
        <v>0</v>
      </c>
      <c r="M8512" t="n">
        <v>0</v>
      </c>
      <c r="N8512" t="n">
        <v>0</v>
      </c>
      <c r="O8512" t="n">
        <v>0</v>
      </c>
      <c r="P8512" t="n">
        <v>0</v>
      </c>
      <c r="Q8512" t="n">
        <v>0</v>
      </c>
      <c r="R8512" t="n">
        <v>0</v>
      </c>
      <c r="S8512" t="n">
        <v>0</v>
      </c>
      <c r="T8512" t="n">
        <v>0</v>
      </c>
      <c r="U8512" t="n">
        <v>0</v>
      </c>
      <c r="V8512" s="2" t="inlineStr"/>
    </row>
    <row r="8513" ht="15" customHeight="1">
      <c r="A8513" t="inlineStr">
        <is>
          <t>A 29535-2023</t>
        </is>
      </c>
      <c r="B8513" t="inlineStr">
        <is>
          <t>avverkningsanmälan</t>
        </is>
      </c>
      <c r="C8513" t="inlineStr">
        <is>
          <t>Föryngringsavverkning</t>
        </is>
      </c>
      <c r="D8513" s="1" t="n">
        <v>45106</v>
      </c>
      <c r="E8513" s="1" t="n">
        <v>46319</v>
      </c>
      <c r="F8513" t="inlineStr">
        <is>
          <t>DALARNAS LÄN</t>
        </is>
      </c>
      <c r="G8513" t="inlineStr">
        <is>
          <t>LUDVIKA</t>
        </is>
      </c>
      <c r="I8513" t="n">
        <v>2.8</v>
      </c>
      <c r="J8513" t="n">
        <v>0</v>
      </c>
      <c r="K8513" t="n">
        <v>0</v>
      </c>
      <c r="L8513" t="n">
        <v>0</v>
      </c>
      <c r="M8513" t="n">
        <v>0</v>
      </c>
      <c r="N8513" t="n">
        <v>0</v>
      </c>
      <c r="O8513" t="n">
        <v>0</v>
      </c>
      <c r="P8513" t="n">
        <v>0</v>
      </c>
      <c r="Q8513" t="n">
        <v>0</v>
      </c>
      <c r="R8513" t="n">
        <v>0</v>
      </c>
      <c r="S8513" t="n">
        <v>0</v>
      </c>
      <c r="T8513" t="n">
        <v>0</v>
      </c>
      <c r="U8513" t="n">
        <v>0</v>
      </c>
      <c r="V8513" s="2" t="inlineStr"/>
    </row>
    <row r="8514" ht="15" customHeight="1">
      <c r="A8514" t="inlineStr">
        <is>
          <t>A 22677-2023</t>
        </is>
      </c>
      <c r="B8514" t="inlineStr">
        <is>
          <t>avverkningsanmälan</t>
        </is>
      </c>
      <c r="C8514" t="inlineStr">
        <is>
          <t>Föryngringsavverkning</t>
        </is>
      </c>
      <c r="D8514" s="1" t="n">
        <v>45071</v>
      </c>
      <c r="E8514" s="1" t="n">
        <v>46319</v>
      </c>
      <c r="F8514" t="inlineStr">
        <is>
          <t>DALARNAS LÄN</t>
        </is>
      </c>
      <c r="G8514" t="inlineStr">
        <is>
          <t>RÄTTVIK</t>
        </is>
      </c>
      <c r="I8514" t="n">
        <v>0.7</v>
      </c>
      <c r="J8514" t="n">
        <v>0</v>
      </c>
      <c r="K8514" t="n">
        <v>0</v>
      </c>
      <c r="L8514" t="n">
        <v>0</v>
      </c>
      <c r="M8514" t="n">
        <v>0</v>
      </c>
      <c r="N8514" t="n">
        <v>0</v>
      </c>
      <c r="O8514" t="n">
        <v>0</v>
      </c>
      <c r="P8514" t="n">
        <v>0</v>
      </c>
      <c r="Q8514" t="n">
        <v>0</v>
      </c>
      <c r="R8514" t="n">
        <v>0</v>
      </c>
      <c r="S8514" t="n">
        <v>0</v>
      </c>
      <c r="T8514" t="n">
        <v>0</v>
      </c>
      <c r="U8514" t="n">
        <v>0</v>
      </c>
      <c r="V8514" s="2" t="inlineStr"/>
    </row>
    <row r="8515" ht="15" customHeight="1">
      <c r="A8515" t="inlineStr">
        <is>
          <t>A 23586-2023</t>
        </is>
      </c>
      <c r="B8515" t="inlineStr">
        <is>
          <t>avverkningsanmälan</t>
        </is>
      </c>
      <c r="C8515" t="inlineStr">
        <is>
          <t>Föryngringsavverkning</t>
        </is>
      </c>
      <c r="D8515" s="1" t="n">
        <v>45077</v>
      </c>
      <c r="E8515" s="1" t="n">
        <v>46319</v>
      </c>
      <c r="F8515" t="inlineStr">
        <is>
          <t>DALARNAS LÄN</t>
        </is>
      </c>
      <c r="G8515" t="inlineStr">
        <is>
          <t>MORA</t>
        </is>
      </c>
      <c r="I8515" t="n">
        <v>9.199999999999999</v>
      </c>
      <c r="J8515" t="n">
        <v>0</v>
      </c>
      <c r="K8515" t="n">
        <v>0</v>
      </c>
      <c r="L8515" t="n">
        <v>0</v>
      </c>
      <c r="M8515" t="n">
        <v>0</v>
      </c>
      <c r="N8515" t="n">
        <v>0</v>
      </c>
      <c r="O8515" t="n">
        <v>0</v>
      </c>
      <c r="P8515" t="n">
        <v>0</v>
      </c>
      <c r="Q8515" t="n">
        <v>0</v>
      </c>
      <c r="R8515" t="n">
        <v>0</v>
      </c>
      <c r="S8515" t="n">
        <v>0</v>
      </c>
      <c r="T8515" t="n">
        <v>0</v>
      </c>
      <c r="U8515" t="n">
        <v>0</v>
      </c>
      <c r="V8515" s="2" t="inlineStr"/>
    </row>
    <row r="8516" ht="15" customHeight="1">
      <c r="A8516" t="inlineStr">
        <is>
          <t>A 13575-2025</t>
        </is>
      </c>
      <c r="B8516" t="inlineStr">
        <is>
          <t>avverkningsanmälan</t>
        </is>
      </c>
      <c r="C8516" t="inlineStr">
        <is>
          <t>Föryngringsavverkning</t>
        </is>
      </c>
      <c r="D8516" s="1" t="n">
        <v>45736</v>
      </c>
      <c r="E8516" s="1" t="n">
        <v>46319</v>
      </c>
      <c r="F8516" t="inlineStr">
        <is>
          <t>DALARNAS LÄN</t>
        </is>
      </c>
      <c r="G8516" t="inlineStr">
        <is>
          <t>ORSA</t>
        </is>
      </c>
      <c r="H8516" t="inlineStr">
        <is>
          <t>Bergvik skog öst AB</t>
        </is>
      </c>
      <c r="I8516" t="n">
        <v>0.5</v>
      </c>
      <c r="J8516" t="n">
        <v>0</v>
      </c>
      <c r="K8516" t="n">
        <v>0</v>
      </c>
      <c r="L8516" t="n">
        <v>0</v>
      </c>
      <c r="M8516" t="n">
        <v>0</v>
      </c>
      <c r="N8516" t="n">
        <v>0</v>
      </c>
      <c r="O8516" t="n">
        <v>0</v>
      </c>
      <c r="P8516" t="n">
        <v>0</v>
      </c>
      <c r="Q8516" t="n">
        <v>0</v>
      </c>
      <c r="R8516" t="n">
        <v>0</v>
      </c>
      <c r="S8516" t="n">
        <v>0</v>
      </c>
      <c r="T8516" t="n">
        <v>0</v>
      </c>
      <c r="U8516" t="n">
        <v>0</v>
      </c>
      <c r="V8516" s="2" t="inlineStr"/>
    </row>
    <row r="8517" ht="15" customHeight="1">
      <c r="A8517" t="inlineStr">
        <is>
          <t>A 18029-2025</t>
        </is>
      </c>
      <c r="B8517" t="inlineStr">
        <is>
          <t>avverkningsanmälan</t>
        </is>
      </c>
      <c r="C8517" t="inlineStr">
        <is>
          <t>Föryngringsavverkning</t>
        </is>
      </c>
      <c r="D8517" s="1" t="n">
        <v>45761</v>
      </c>
      <c r="E8517" s="1" t="n">
        <v>46319</v>
      </c>
      <c r="F8517" t="inlineStr">
        <is>
          <t>DALARNAS LÄN</t>
        </is>
      </c>
      <c r="G8517" t="inlineStr">
        <is>
          <t>MALUNG-SÄLEN</t>
        </is>
      </c>
      <c r="H8517" t="inlineStr">
        <is>
          <t>Övriga statliga verk och myndigheter</t>
        </is>
      </c>
      <c r="I8517" t="n">
        <v>1.2</v>
      </c>
      <c r="J8517" t="n">
        <v>0</v>
      </c>
      <c r="K8517" t="n">
        <v>0</v>
      </c>
      <c r="L8517" t="n">
        <v>0</v>
      </c>
      <c r="M8517" t="n">
        <v>0</v>
      </c>
      <c r="N8517" t="n">
        <v>0</v>
      </c>
      <c r="O8517" t="n">
        <v>0</v>
      </c>
      <c r="P8517" t="n">
        <v>0</v>
      </c>
      <c r="Q8517" t="n">
        <v>0</v>
      </c>
      <c r="R8517" t="n">
        <v>0</v>
      </c>
      <c r="S8517" t="n">
        <v>0</v>
      </c>
      <c r="T8517" t="n">
        <v>0</v>
      </c>
      <c r="U8517" t="n">
        <v>0</v>
      </c>
      <c r="V8517" s="2" t="inlineStr"/>
    </row>
    <row r="8518" ht="15" customHeight="1">
      <c r="A8518" t="inlineStr">
        <is>
          <t>A 30382-2023</t>
        </is>
      </c>
      <c r="B8518" t="inlineStr">
        <is>
          <t>avverkningsanmälan</t>
        </is>
      </c>
      <c r="C8518" t="inlineStr">
        <is>
          <t>Föryngringsavverkning</t>
        </is>
      </c>
      <c r="D8518" s="1" t="n">
        <v>45111</v>
      </c>
      <c r="E8518" s="1" t="n">
        <v>46319</v>
      </c>
      <c r="F8518" t="inlineStr">
        <is>
          <t>DALARNAS LÄN</t>
        </is>
      </c>
      <c r="G8518" t="inlineStr">
        <is>
          <t>ORSA</t>
        </is>
      </c>
      <c r="H8518" t="inlineStr">
        <is>
          <t>Bergvik skog öst AB</t>
        </is>
      </c>
      <c r="I8518" t="n">
        <v>1.4</v>
      </c>
      <c r="J8518" t="n">
        <v>0</v>
      </c>
      <c r="K8518" t="n">
        <v>0</v>
      </c>
      <c r="L8518" t="n">
        <v>0</v>
      </c>
      <c r="M8518" t="n">
        <v>0</v>
      </c>
      <c r="N8518" t="n">
        <v>0</v>
      </c>
      <c r="O8518" t="n">
        <v>0</v>
      </c>
      <c r="P8518" t="n">
        <v>0</v>
      </c>
      <c r="Q8518" t="n">
        <v>0</v>
      </c>
      <c r="R8518" t="n">
        <v>0</v>
      </c>
      <c r="S8518" t="n">
        <v>0</v>
      </c>
      <c r="T8518" t="n">
        <v>0</v>
      </c>
      <c r="U8518" t="n">
        <v>0</v>
      </c>
      <c r="V8518" s="2" t="inlineStr"/>
    </row>
    <row r="8519" ht="15" customHeight="1">
      <c r="A8519" t="inlineStr">
        <is>
          <t>A 30524-2024</t>
        </is>
      </c>
      <c r="B8519" t="inlineStr">
        <is>
          <t>avverkningsanmälan</t>
        </is>
      </c>
      <c r="C8519" t="inlineStr">
        <is>
          <t>Föryngringsavverkning</t>
        </is>
      </c>
      <c r="D8519" s="1" t="n">
        <v>45492</v>
      </c>
      <c r="E8519" s="1" t="n">
        <v>46319</v>
      </c>
      <c r="F8519" t="inlineStr">
        <is>
          <t>DALARNAS LÄN</t>
        </is>
      </c>
      <c r="G8519" t="inlineStr">
        <is>
          <t>AVESTA</t>
        </is>
      </c>
      <c r="H8519" t="inlineStr">
        <is>
          <t>Sveaskog</t>
        </is>
      </c>
      <c r="I8519" t="n">
        <v>8</v>
      </c>
      <c r="J8519" t="n">
        <v>0</v>
      </c>
      <c r="K8519" t="n">
        <v>0</v>
      </c>
      <c r="L8519" t="n">
        <v>0</v>
      </c>
      <c r="M8519" t="n">
        <v>0</v>
      </c>
      <c r="N8519" t="n">
        <v>0</v>
      </c>
      <c r="O8519" t="n">
        <v>0</v>
      </c>
      <c r="P8519" t="n">
        <v>0</v>
      </c>
      <c r="Q8519" t="n">
        <v>0</v>
      </c>
      <c r="R8519" t="n">
        <v>0</v>
      </c>
      <c r="S8519" t="n">
        <v>0</v>
      </c>
      <c r="T8519" t="n">
        <v>0</v>
      </c>
      <c r="U8519" t="n">
        <v>0</v>
      </c>
      <c r="V8519" s="2" t="inlineStr"/>
    </row>
    <row r="8520" ht="15" customHeight="1">
      <c r="A8520" t="inlineStr">
        <is>
          <t>A 15350-2022</t>
        </is>
      </c>
      <c r="B8520" t="inlineStr">
        <is>
          <t>avverkningsanmälan</t>
        </is>
      </c>
      <c r="C8520" t="inlineStr">
        <is>
          <t>Föryngringsavverkning</t>
        </is>
      </c>
      <c r="D8520" s="1" t="n">
        <v>44659</v>
      </c>
      <c r="E8520" s="1" t="n">
        <v>46319</v>
      </c>
      <c r="F8520" t="inlineStr">
        <is>
          <t>DALARNAS LÄN</t>
        </is>
      </c>
      <c r="G8520" t="inlineStr">
        <is>
          <t>SMEDJEBACKEN</t>
        </is>
      </c>
      <c r="I8520" t="n">
        <v>1.5</v>
      </c>
      <c r="J8520" t="n">
        <v>0</v>
      </c>
      <c r="K8520" t="n">
        <v>0</v>
      </c>
      <c r="L8520" t="n">
        <v>0</v>
      </c>
      <c r="M8520" t="n">
        <v>0</v>
      </c>
      <c r="N8520" t="n">
        <v>0</v>
      </c>
      <c r="O8520" t="n">
        <v>0</v>
      </c>
      <c r="P8520" t="n">
        <v>0</v>
      </c>
      <c r="Q8520" t="n">
        <v>0</v>
      </c>
      <c r="R8520" t="n">
        <v>0</v>
      </c>
      <c r="S8520" t="n">
        <v>0</v>
      </c>
      <c r="T8520" t="n">
        <v>0</v>
      </c>
      <c r="U8520" t="n">
        <v>0</v>
      </c>
      <c r="V8520" s="2" t="inlineStr"/>
    </row>
    <row r="8521" ht="15" customHeight="1">
      <c r="A8521" t="inlineStr">
        <is>
          <t>A 19299-2025</t>
        </is>
      </c>
      <c r="B8521" t="inlineStr">
        <is>
          <t>avverkningsanmälan</t>
        </is>
      </c>
      <c r="C8521" t="inlineStr">
        <is>
          <t>Föryngringsavverkning</t>
        </is>
      </c>
      <c r="D8521" s="1" t="n">
        <v>45769</v>
      </c>
      <c r="E8521" s="1" t="n">
        <v>46319</v>
      </c>
      <c r="F8521" t="inlineStr">
        <is>
          <t>DALARNAS LÄN</t>
        </is>
      </c>
      <c r="G8521" t="inlineStr">
        <is>
          <t>MALUNG-SÄLEN</t>
        </is>
      </c>
      <c r="I8521" t="n">
        <v>1.1</v>
      </c>
      <c r="J8521" t="n">
        <v>0</v>
      </c>
      <c r="K8521" t="n">
        <v>0</v>
      </c>
      <c r="L8521" t="n">
        <v>0</v>
      </c>
      <c r="M8521" t="n">
        <v>0</v>
      </c>
      <c r="N8521" t="n">
        <v>0</v>
      </c>
      <c r="O8521" t="n">
        <v>0</v>
      </c>
      <c r="P8521" t="n">
        <v>0</v>
      </c>
      <c r="Q8521" t="n">
        <v>0</v>
      </c>
      <c r="R8521" t="n">
        <v>0</v>
      </c>
      <c r="S8521" t="n">
        <v>0</v>
      </c>
      <c r="T8521" t="n">
        <v>0</v>
      </c>
      <c r="U8521" t="n">
        <v>0</v>
      </c>
      <c r="V8521" s="2" t="inlineStr"/>
    </row>
    <row r="8522" ht="15" customHeight="1">
      <c r="A8522" t="inlineStr">
        <is>
          <t>A 5644-2024</t>
        </is>
      </c>
      <c r="B8522" t="inlineStr">
        <is>
          <t>avverkningsanmälan</t>
        </is>
      </c>
      <c r="C8522" t="inlineStr">
        <is>
          <t>Avverkning för att bevara och utveckla /försöksver</t>
        </is>
      </c>
      <c r="D8522" s="1" t="n">
        <v>45334</v>
      </c>
      <c r="E8522" s="1" t="n">
        <v>46319</v>
      </c>
      <c r="F8522" t="inlineStr">
        <is>
          <t>DALARNAS LÄN</t>
        </is>
      </c>
      <c r="G8522" t="inlineStr">
        <is>
          <t>MORA</t>
        </is>
      </c>
      <c r="H8522" t="inlineStr">
        <is>
          <t>Bergvik skog väst AB</t>
        </is>
      </c>
      <c r="I8522" t="n">
        <v>0.6</v>
      </c>
      <c r="J8522" t="n">
        <v>0</v>
      </c>
      <c r="K8522" t="n">
        <v>0</v>
      </c>
      <c r="L8522" t="n">
        <v>0</v>
      </c>
      <c r="M8522" t="n">
        <v>0</v>
      </c>
      <c r="N8522" t="n">
        <v>0</v>
      </c>
      <c r="O8522" t="n">
        <v>0</v>
      </c>
      <c r="P8522" t="n">
        <v>0</v>
      </c>
      <c r="Q8522" t="n">
        <v>0</v>
      </c>
      <c r="R8522" t="n">
        <v>0</v>
      </c>
      <c r="S8522" t="n">
        <v>0</v>
      </c>
      <c r="T8522" t="n">
        <v>0</v>
      </c>
      <c r="U8522" t="n">
        <v>0</v>
      </c>
      <c r="V8522" s="2" t="inlineStr"/>
    </row>
    <row r="8523" ht="15" customHeight="1">
      <c r="A8523" t="inlineStr">
        <is>
          <t>A 43237-2024</t>
        </is>
      </c>
      <c r="B8523" t="inlineStr">
        <is>
          <t>avverkningsanmälan</t>
        </is>
      </c>
      <c r="C8523" t="inlineStr">
        <is>
          <t>Föryngringsavverkning</t>
        </is>
      </c>
      <c r="D8523" s="1" t="n">
        <v>45567</v>
      </c>
      <c r="E8523" s="1" t="n">
        <v>46319</v>
      </c>
      <c r="F8523" t="inlineStr">
        <is>
          <t>DALARNAS LÄN</t>
        </is>
      </c>
      <c r="G8523" t="inlineStr">
        <is>
          <t>LEKSAND</t>
        </is>
      </c>
      <c r="I8523" t="n">
        <v>0.8</v>
      </c>
      <c r="J8523" t="n">
        <v>0</v>
      </c>
      <c r="K8523" t="n">
        <v>0</v>
      </c>
      <c r="L8523" t="n">
        <v>0</v>
      </c>
      <c r="M8523" t="n">
        <v>0</v>
      </c>
      <c r="N8523" t="n">
        <v>0</v>
      </c>
      <c r="O8523" t="n">
        <v>0</v>
      </c>
      <c r="P8523" t="n">
        <v>0</v>
      </c>
      <c r="Q8523" t="n">
        <v>0</v>
      </c>
      <c r="R8523" t="n">
        <v>0</v>
      </c>
      <c r="S8523" t="n">
        <v>0</v>
      </c>
      <c r="T8523" t="n">
        <v>0</v>
      </c>
      <c r="U8523" t="n">
        <v>0</v>
      </c>
      <c r="V8523" s="2" t="inlineStr"/>
    </row>
    <row r="8524" ht="15" customHeight="1">
      <c r="A8524" t="inlineStr">
        <is>
          <t>A 44040-2024</t>
        </is>
      </c>
      <c r="B8524" t="inlineStr">
        <is>
          <t>avverkningsanmälan</t>
        </is>
      </c>
      <c r="C8524" t="inlineStr">
        <is>
          <t>Föryngringsavverkning</t>
        </is>
      </c>
      <c r="D8524" s="1" t="n">
        <v>45572</v>
      </c>
      <c r="E8524" s="1" t="n">
        <v>46319</v>
      </c>
      <c r="F8524" t="inlineStr">
        <is>
          <t>DALARNAS LÄN</t>
        </is>
      </c>
      <c r="G8524" t="inlineStr">
        <is>
          <t>GAGNEF</t>
        </is>
      </c>
      <c r="I8524" t="n">
        <v>5.1</v>
      </c>
      <c r="J8524" t="n">
        <v>0</v>
      </c>
      <c r="K8524" t="n">
        <v>0</v>
      </c>
      <c r="L8524" t="n">
        <v>0</v>
      </c>
      <c r="M8524" t="n">
        <v>0</v>
      </c>
      <c r="N8524" t="n">
        <v>0</v>
      </c>
      <c r="O8524" t="n">
        <v>0</v>
      </c>
      <c r="P8524" t="n">
        <v>0</v>
      </c>
      <c r="Q8524" t="n">
        <v>0</v>
      </c>
      <c r="R8524" t="n">
        <v>0</v>
      </c>
      <c r="S8524" t="n">
        <v>0</v>
      </c>
      <c r="T8524" t="n">
        <v>0</v>
      </c>
      <c r="U8524" t="n">
        <v>0</v>
      </c>
      <c r="V8524" s="2" t="inlineStr"/>
    </row>
    <row r="8525" ht="15" customHeight="1">
      <c r="A8525" t="inlineStr">
        <is>
          <t>A 14084-2023</t>
        </is>
      </c>
      <c r="B8525" t="inlineStr">
        <is>
          <t>avverkningsanmälan</t>
        </is>
      </c>
      <c r="C8525" t="inlineStr">
        <is>
          <t>Föryngringsavverkning</t>
        </is>
      </c>
      <c r="D8525" s="1" t="n">
        <v>45009</v>
      </c>
      <c r="E8525" s="1" t="n">
        <v>46319</v>
      </c>
      <c r="F8525" t="inlineStr">
        <is>
          <t>DALARNAS LÄN</t>
        </is>
      </c>
      <c r="G8525" t="inlineStr">
        <is>
          <t>AVESTA</t>
        </is>
      </c>
      <c r="I8525" t="n">
        <v>1.2</v>
      </c>
      <c r="J8525" t="n">
        <v>0</v>
      </c>
      <c r="K8525" t="n">
        <v>0</v>
      </c>
      <c r="L8525" t="n">
        <v>0</v>
      </c>
      <c r="M8525" t="n">
        <v>0</v>
      </c>
      <c r="N8525" t="n">
        <v>0</v>
      </c>
      <c r="O8525" t="n">
        <v>0</v>
      </c>
      <c r="P8525" t="n">
        <v>0</v>
      </c>
      <c r="Q8525" t="n">
        <v>0</v>
      </c>
      <c r="R8525" t="n">
        <v>0</v>
      </c>
      <c r="S8525" t="n">
        <v>0</v>
      </c>
      <c r="T8525" t="n">
        <v>0</v>
      </c>
      <c r="U8525" t="n">
        <v>0</v>
      </c>
      <c r="V8525" s="2" t="inlineStr"/>
    </row>
    <row r="8526" ht="15" customHeight="1">
      <c r="A8526" t="inlineStr">
        <is>
          <t>A 14090-2023</t>
        </is>
      </c>
      <c r="B8526" t="inlineStr">
        <is>
          <t>avverkningsanmälan</t>
        </is>
      </c>
      <c r="C8526" t="inlineStr">
        <is>
          <t>Föryngringsavverkning</t>
        </is>
      </c>
      <c r="D8526" s="1" t="n">
        <v>45009</v>
      </c>
      <c r="E8526" s="1" t="n">
        <v>46319</v>
      </c>
      <c r="F8526" t="inlineStr">
        <is>
          <t>DALARNAS LÄN</t>
        </is>
      </c>
      <c r="G8526" t="inlineStr">
        <is>
          <t>AVESTA</t>
        </is>
      </c>
      <c r="I8526" t="n">
        <v>0.6</v>
      </c>
      <c r="J8526" t="n">
        <v>0</v>
      </c>
      <c r="K8526" t="n">
        <v>0</v>
      </c>
      <c r="L8526" t="n">
        <v>0</v>
      </c>
      <c r="M8526" t="n">
        <v>0</v>
      </c>
      <c r="N8526" t="n">
        <v>0</v>
      </c>
      <c r="O8526" t="n">
        <v>0</v>
      </c>
      <c r="P8526" t="n">
        <v>0</v>
      </c>
      <c r="Q8526" t="n">
        <v>0</v>
      </c>
      <c r="R8526" t="n">
        <v>0</v>
      </c>
      <c r="S8526" t="n">
        <v>0</v>
      </c>
      <c r="T8526" t="n">
        <v>0</v>
      </c>
      <c r="U8526" t="n">
        <v>0</v>
      </c>
      <c r="V8526" s="2" t="inlineStr"/>
    </row>
    <row r="8527" ht="15" customHeight="1">
      <c r="A8527" t="inlineStr">
        <is>
          <t>A 40195-2022</t>
        </is>
      </c>
      <c r="B8527" t="inlineStr">
        <is>
          <t>avverkningsanmälan</t>
        </is>
      </c>
      <c r="C8527" t="inlineStr">
        <is>
          <t>Avverkning för annat ändamål</t>
        </is>
      </c>
      <c r="D8527" s="1" t="n">
        <v>44818</v>
      </c>
      <c r="E8527" s="1" t="n">
        <v>46319</v>
      </c>
      <c r="F8527" t="inlineStr">
        <is>
          <t>DALARNAS LÄN</t>
        </is>
      </c>
      <c r="G8527" t="inlineStr">
        <is>
          <t>RÄTTVIK</t>
        </is>
      </c>
      <c r="I8527" t="n">
        <v>0.9</v>
      </c>
      <c r="J8527" t="n">
        <v>0</v>
      </c>
      <c r="K8527" t="n">
        <v>0</v>
      </c>
      <c r="L8527" t="n">
        <v>0</v>
      </c>
      <c r="M8527" t="n">
        <v>0</v>
      </c>
      <c r="N8527" t="n">
        <v>0</v>
      </c>
      <c r="O8527" t="n">
        <v>0</v>
      </c>
      <c r="P8527" t="n">
        <v>0</v>
      </c>
      <c r="Q8527" t="n">
        <v>0</v>
      </c>
      <c r="R8527" t="n">
        <v>0</v>
      </c>
      <c r="S8527" t="n">
        <v>0</v>
      </c>
      <c r="T8527" t="n">
        <v>0</v>
      </c>
      <c r="U8527" t="n">
        <v>0</v>
      </c>
      <c r="V8527" s="2" t="inlineStr"/>
    </row>
    <row r="8528" ht="15" customHeight="1">
      <c r="A8528" t="inlineStr">
        <is>
          <t>A 34482-2022</t>
        </is>
      </c>
      <c r="B8528" t="inlineStr">
        <is>
          <t>avverkningsanmälan</t>
        </is>
      </c>
      <c r="C8528" t="inlineStr">
        <is>
          <t>Föryngringsavverkning</t>
        </is>
      </c>
      <c r="D8528" s="1" t="n">
        <v>44792</v>
      </c>
      <c r="E8528" s="1" t="n">
        <v>46319</v>
      </c>
      <c r="F8528" t="inlineStr">
        <is>
          <t>DALARNAS LÄN</t>
        </is>
      </c>
      <c r="G8528" t="inlineStr">
        <is>
          <t>LEKSAND</t>
        </is>
      </c>
      <c r="I8528" t="n">
        <v>2.6</v>
      </c>
      <c r="J8528" t="n">
        <v>0</v>
      </c>
      <c r="K8528" t="n">
        <v>0</v>
      </c>
      <c r="L8528" t="n">
        <v>0</v>
      </c>
      <c r="M8528" t="n">
        <v>0</v>
      </c>
      <c r="N8528" t="n">
        <v>0</v>
      </c>
      <c r="O8528" t="n">
        <v>0</v>
      </c>
      <c r="P8528" t="n">
        <v>0</v>
      </c>
      <c r="Q8528" t="n">
        <v>0</v>
      </c>
      <c r="R8528" t="n">
        <v>0</v>
      </c>
      <c r="S8528" t="n">
        <v>0</v>
      </c>
      <c r="T8528" t="n">
        <v>0</v>
      </c>
      <c r="U8528" t="n">
        <v>0</v>
      </c>
      <c r="V8528" s="2" t="inlineStr"/>
    </row>
    <row r="8529" ht="15" customHeight="1">
      <c r="A8529" t="inlineStr">
        <is>
          <t>A 17503-2025</t>
        </is>
      </c>
      <c r="B8529" t="inlineStr">
        <is>
          <t>avverkningsanmälan</t>
        </is>
      </c>
      <c r="C8529" t="inlineStr">
        <is>
          <t>Föryngringsavverkning</t>
        </is>
      </c>
      <c r="D8529" s="1" t="n">
        <v>45757</v>
      </c>
      <c r="E8529" s="1" t="n">
        <v>46319</v>
      </c>
      <c r="F8529" t="inlineStr">
        <is>
          <t>DALARNAS LÄN</t>
        </is>
      </c>
      <c r="G8529" t="inlineStr">
        <is>
          <t>ORSA</t>
        </is>
      </c>
      <c r="I8529" t="n">
        <v>0.8</v>
      </c>
      <c r="J8529" t="n">
        <v>0</v>
      </c>
      <c r="K8529" t="n">
        <v>0</v>
      </c>
      <c r="L8529" t="n">
        <v>0</v>
      </c>
      <c r="M8529" t="n">
        <v>0</v>
      </c>
      <c r="N8529" t="n">
        <v>0</v>
      </c>
      <c r="O8529" t="n">
        <v>0</v>
      </c>
      <c r="P8529" t="n">
        <v>0</v>
      </c>
      <c r="Q8529" t="n">
        <v>0</v>
      </c>
      <c r="R8529" t="n">
        <v>0</v>
      </c>
      <c r="S8529" t="n">
        <v>0</v>
      </c>
      <c r="T8529" t="n">
        <v>0</v>
      </c>
      <c r="U8529" t="n">
        <v>0</v>
      </c>
      <c r="V8529" s="2" t="inlineStr"/>
    </row>
    <row r="8530" ht="15" customHeight="1">
      <c r="A8530" t="inlineStr">
        <is>
          <t>A 20962-2024</t>
        </is>
      </c>
      <c r="B8530" t="inlineStr">
        <is>
          <t>avverkningsanmälan</t>
        </is>
      </c>
      <c r="C8530" t="inlineStr">
        <is>
          <t>Föryngringsavverkning</t>
        </is>
      </c>
      <c r="D8530" s="1" t="n">
        <v>45439</v>
      </c>
      <c r="E8530" s="1" t="n">
        <v>46319</v>
      </c>
      <c r="F8530" t="inlineStr">
        <is>
          <t>DALARNAS LÄN</t>
        </is>
      </c>
      <c r="G8530" t="inlineStr">
        <is>
          <t>MALUNG-SÄLEN</t>
        </is>
      </c>
      <c r="H8530" t="inlineStr">
        <is>
          <t>Bergvik skog öst AB</t>
        </is>
      </c>
      <c r="I8530" t="n">
        <v>3.5</v>
      </c>
      <c r="J8530" t="n">
        <v>0</v>
      </c>
      <c r="K8530" t="n">
        <v>0</v>
      </c>
      <c r="L8530" t="n">
        <v>0</v>
      </c>
      <c r="M8530" t="n">
        <v>0</v>
      </c>
      <c r="N8530" t="n">
        <v>0</v>
      </c>
      <c r="O8530" t="n">
        <v>0</v>
      </c>
      <c r="P8530" t="n">
        <v>0</v>
      </c>
      <c r="Q8530" t="n">
        <v>0</v>
      </c>
      <c r="R8530" t="n">
        <v>0</v>
      </c>
      <c r="S8530" t="n">
        <v>0</v>
      </c>
      <c r="T8530" t="n">
        <v>0</v>
      </c>
      <c r="U8530" t="n">
        <v>0</v>
      </c>
      <c r="V8530" s="2" t="inlineStr"/>
    </row>
    <row r="8531" ht="15" customHeight="1">
      <c r="A8531" t="inlineStr">
        <is>
          <t>A 30595-2023</t>
        </is>
      </c>
      <c r="B8531" t="inlineStr">
        <is>
          <t>avverkningsanmälan</t>
        </is>
      </c>
      <c r="C8531" t="inlineStr">
        <is>
          <t>Föryngringsavverkning</t>
        </is>
      </c>
      <c r="D8531" s="1" t="n">
        <v>45112</v>
      </c>
      <c r="E8531" s="1" t="n">
        <v>46319</v>
      </c>
      <c r="F8531" t="inlineStr">
        <is>
          <t>DALARNAS LÄN</t>
        </is>
      </c>
      <c r="G8531" t="inlineStr">
        <is>
          <t>LEKSAND</t>
        </is>
      </c>
      <c r="I8531" t="n">
        <v>1.1</v>
      </c>
      <c r="J8531" t="n">
        <v>0</v>
      </c>
      <c r="K8531" t="n">
        <v>0</v>
      </c>
      <c r="L8531" t="n">
        <v>0</v>
      </c>
      <c r="M8531" t="n">
        <v>0</v>
      </c>
      <c r="N8531" t="n">
        <v>0</v>
      </c>
      <c r="O8531" t="n">
        <v>0</v>
      </c>
      <c r="P8531" t="n">
        <v>0</v>
      </c>
      <c r="Q8531" t="n">
        <v>0</v>
      </c>
      <c r="R8531" t="n">
        <v>0</v>
      </c>
      <c r="S8531" t="n">
        <v>0</v>
      </c>
      <c r="T8531" t="n">
        <v>0</v>
      </c>
      <c r="U8531" t="n">
        <v>0</v>
      </c>
      <c r="V8531" s="2" t="inlineStr"/>
    </row>
    <row r="8532" ht="15" customHeight="1">
      <c r="A8532" t="inlineStr">
        <is>
          <t>A 8694-2023</t>
        </is>
      </c>
      <c r="B8532" t="inlineStr">
        <is>
          <t>avverkningsanmälan</t>
        </is>
      </c>
      <c r="C8532" t="inlineStr">
        <is>
          <t>Avverkning för annat ändamål</t>
        </is>
      </c>
      <c r="D8532" s="1" t="n">
        <v>44972</v>
      </c>
      <c r="E8532" s="1" t="n">
        <v>46319</v>
      </c>
      <c r="F8532" t="inlineStr">
        <is>
          <t>DALARNAS LÄN</t>
        </is>
      </c>
      <c r="G8532" t="inlineStr">
        <is>
          <t>VANSBRO</t>
        </is>
      </c>
      <c r="I8532" t="n">
        <v>2</v>
      </c>
      <c r="J8532" t="n">
        <v>0</v>
      </c>
      <c r="K8532" t="n">
        <v>0</v>
      </c>
      <c r="L8532" t="n">
        <v>0</v>
      </c>
      <c r="M8532" t="n">
        <v>0</v>
      </c>
      <c r="N8532" t="n">
        <v>0</v>
      </c>
      <c r="O8532" t="n">
        <v>0</v>
      </c>
      <c r="P8532" t="n">
        <v>0</v>
      </c>
      <c r="Q8532" t="n">
        <v>0</v>
      </c>
      <c r="R8532" t="n">
        <v>0</v>
      </c>
      <c r="S8532" t="n">
        <v>0</v>
      </c>
      <c r="T8532" t="n">
        <v>0</v>
      </c>
      <c r="U8532" t="n">
        <v>0</v>
      </c>
      <c r="V8532" s="2" t="inlineStr"/>
    </row>
    <row r="8533" ht="15" customHeight="1">
      <c r="A8533" t="inlineStr">
        <is>
          <t>A 33960-2023</t>
        </is>
      </c>
      <c r="B8533" t="inlineStr">
        <is>
          <t>avverkningsanmälan</t>
        </is>
      </c>
      <c r="C8533" t="inlineStr">
        <is>
          <t>Avverkning för annat ändamål</t>
        </is>
      </c>
      <c r="D8533" s="1" t="n">
        <v>45124</v>
      </c>
      <c r="E8533" s="1" t="n">
        <v>46319</v>
      </c>
      <c r="F8533" t="inlineStr">
        <is>
          <t>DALARNAS LÄN</t>
        </is>
      </c>
      <c r="G8533" t="inlineStr">
        <is>
          <t>SMEDJEBACKEN</t>
        </is>
      </c>
      <c r="I8533" t="n">
        <v>2.6</v>
      </c>
      <c r="J8533" t="n">
        <v>0</v>
      </c>
      <c r="K8533" t="n">
        <v>0</v>
      </c>
      <c r="L8533" t="n">
        <v>0</v>
      </c>
      <c r="M8533" t="n">
        <v>0</v>
      </c>
      <c r="N8533" t="n">
        <v>0</v>
      </c>
      <c r="O8533" t="n">
        <v>0</v>
      </c>
      <c r="P8533" t="n">
        <v>0</v>
      </c>
      <c r="Q8533" t="n">
        <v>0</v>
      </c>
      <c r="R8533" t="n">
        <v>0</v>
      </c>
      <c r="S8533" t="n">
        <v>0</v>
      </c>
      <c r="T8533" t="n">
        <v>0</v>
      </c>
      <c r="U8533" t="n">
        <v>0</v>
      </c>
      <c r="V8533" s="2" t="inlineStr"/>
    </row>
    <row r="8534" ht="15" customHeight="1">
      <c r="A8534" t="inlineStr">
        <is>
          <t>A 33972-2023</t>
        </is>
      </c>
      <c r="B8534" t="inlineStr">
        <is>
          <t>avverkningsanmälan</t>
        </is>
      </c>
      <c r="C8534" t="inlineStr">
        <is>
          <t>Föryngringsavverkning</t>
        </is>
      </c>
      <c r="D8534" s="1" t="n">
        <v>45134</v>
      </c>
      <c r="E8534" s="1" t="n">
        <v>46319</v>
      </c>
      <c r="F8534" t="inlineStr">
        <is>
          <t>DALARNAS LÄN</t>
        </is>
      </c>
      <c r="G8534" t="inlineStr">
        <is>
          <t>FALUN</t>
        </is>
      </c>
      <c r="I8534" t="n">
        <v>2.7</v>
      </c>
      <c r="J8534" t="n">
        <v>0</v>
      </c>
      <c r="K8534" t="n">
        <v>0</v>
      </c>
      <c r="L8534" t="n">
        <v>0</v>
      </c>
      <c r="M8534" t="n">
        <v>0</v>
      </c>
      <c r="N8534" t="n">
        <v>0</v>
      </c>
      <c r="O8534" t="n">
        <v>0</v>
      </c>
      <c r="P8534" t="n">
        <v>0</v>
      </c>
      <c r="Q8534" t="n">
        <v>0</v>
      </c>
      <c r="R8534" t="n">
        <v>0</v>
      </c>
      <c r="S8534" t="n">
        <v>0</v>
      </c>
      <c r="T8534" t="n">
        <v>0</v>
      </c>
      <c r="U8534" t="n">
        <v>0</v>
      </c>
      <c r="V8534" s="2" t="inlineStr"/>
    </row>
    <row r="8535" ht="15" customHeight="1">
      <c r="A8535" t="inlineStr">
        <is>
          <t>A 59736-2022</t>
        </is>
      </c>
      <c r="B8535" t="inlineStr">
        <is>
          <t>avverkningsanmälan</t>
        </is>
      </c>
      <c r="C8535" t="inlineStr">
        <is>
          <t>Föryngringsavverkning</t>
        </is>
      </c>
      <c r="D8535" s="1" t="n">
        <v>44908</v>
      </c>
      <c r="E8535" s="1" t="n">
        <v>46319</v>
      </c>
      <c r="F8535" t="inlineStr">
        <is>
          <t>DALARNAS LÄN</t>
        </is>
      </c>
      <c r="G8535" t="inlineStr">
        <is>
          <t>VANSBRO</t>
        </is>
      </c>
      <c r="I8535" t="n">
        <v>3</v>
      </c>
      <c r="J8535" t="n">
        <v>0</v>
      </c>
      <c r="K8535" t="n">
        <v>0</v>
      </c>
      <c r="L8535" t="n">
        <v>0</v>
      </c>
      <c r="M8535" t="n">
        <v>0</v>
      </c>
      <c r="N8535" t="n">
        <v>0</v>
      </c>
      <c r="O8535" t="n">
        <v>0</v>
      </c>
      <c r="P8535" t="n">
        <v>0</v>
      </c>
      <c r="Q8535" t="n">
        <v>0</v>
      </c>
      <c r="R8535" t="n">
        <v>0</v>
      </c>
      <c r="S8535" t="n">
        <v>0</v>
      </c>
      <c r="T8535" t="n">
        <v>0</v>
      </c>
      <c r="U8535" t="n">
        <v>0</v>
      </c>
      <c r="V8535" s="2" t="inlineStr"/>
    </row>
    <row r="8536" ht="15" customHeight="1">
      <c r="A8536" t="inlineStr">
        <is>
          <t>A 54932-2022</t>
        </is>
      </c>
      <c r="B8536" t="inlineStr">
        <is>
          <t>avverkningsanmälan</t>
        </is>
      </c>
      <c r="C8536" t="inlineStr">
        <is>
          <t>Föryngringsavverkning</t>
        </is>
      </c>
      <c r="D8536" s="1" t="n">
        <v>44881</v>
      </c>
      <c r="E8536" s="1" t="n">
        <v>46319</v>
      </c>
      <c r="F8536" t="inlineStr">
        <is>
          <t>DALARNAS LÄN</t>
        </is>
      </c>
      <c r="G8536" t="inlineStr">
        <is>
          <t>MALUNG-SÄLEN</t>
        </is>
      </c>
      <c r="I8536" t="n">
        <v>3.7</v>
      </c>
      <c r="J8536" t="n">
        <v>0</v>
      </c>
      <c r="K8536" t="n">
        <v>0</v>
      </c>
      <c r="L8536" t="n">
        <v>0</v>
      </c>
      <c r="M8536" t="n">
        <v>0</v>
      </c>
      <c r="N8536" t="n">
        <v>0</v>
      </c>
      <c r="O8536" t="n">
        <v>0</v>
      </c>
      <c r="P8536" t="n">
        <v>0</v>
      </c>
      <c r="Q8536" t="n">
        <v>0</v>
      </c>
      <c r="R8536" t="n">
        <v>0</v>
      </c>
      <c r="S8536" t="n">
        <v>0</v>
      </c>
      <c r="T8536" t="n">
        <v>0</v>
      </c>
      <c r="U8536" t="n">
        <v>0</v>
      </c>
      <c r="V8536" s="2" t="inlineStr"/>
    </row>
    <row r="8537" ht="15" customHeight="1">
      <c r="A8537" t="inlineStr">
        <is>
          <t>A 47572-2024</t>
        </is>
      </c>
      <c r="B8537" t="inlineStr">
        <is>
          <t>avverkningsanmälan</t>
        </is>
      </c>
      <c r="C8537" t="inlineStr">
        <is>
          <t>Föryngringsavverkning</t>
        </is>
      </c>
      <c r="D8537" s="1" t="n">
        <v>45587</v>
      </c>
      <c r="E8537" s="1" t="n">
        <v>46319</v>
      </c>
      <c r="F8537" t="inlineStr">
        <is>
          <t>DALARNAS LÄN</t>
        </is>
      </c>
      <c r="G8537" t="inlineStr">
        <is>
          <t>RÄTTVIK</t>
        </is>
      </c>
      <c r="I8537" t="n">
        <v>1.1</v>
      </c>
      <c r="J8537" t="n">
        <v>0</v>
      </c>
      <c r="K8537" t="n">
        <v>0</v>
      </c>
      <c r="L8537" t="n">
        <v>0</v>
      </c>
      <c r="M8537" t="n">
        <v>0</v>
      </c>
      <c r="N8537" t="n">
        <v>0</v>
      </c>
      <c r="O8537" t="n">
        <v>0</v>
      </c>
      <c r="P8537" t="n">
        <v>0</v>
      </c>
      <c r="Q8537" t="n">
        <v>0</v>
      </c>
      <c r="R8537" t="n">
        <v>0</v>
      </c>
      <c r="S8537" t="n">
        <v>0</v>
      </c>
      <c r="T8537" t="n">
        <v>0</v>
      </c>
      <c r="U8537" t="n">
        <v>0</v>
      </c>
      <c r="V8537" s="2" t="inlineStr"/>
    </row>
    <row r="8538" ht="15" customHeight="1">
      <c r="A8538" t="inlineStr">
        <is>
          <t>A 56943-2024</t>
        </is>
      </c>
      <c r="B8538" t="inlineStr">
        <is>
          <t>avverkningsanmälan</t>
        </is>
      </c>
      <c r="C8538" t="inlineStr">
        <is>
          <t>Föryngringsavverkning</t>
        </is>
      </c>
      <c r="D8538" s="1" t="n">
        <v>45625</v>
      </c>
      <c r="E8538" s="1" t="n">
        <v>46319</v>
      </c>
      <c r="F8538" t="inlineStr">
        <is>
          <t>DALARNAS LÄN</t>
        </is>
      </c>
      <c r="G8538" t="inlineStr">
        <is>
          <t>LEKSAND</t>
        </is>
      </c>
      <c r="I8538" t="n">
        <v>0.7</v>
      </c>
      <c r="J8538" t="n">
        <v>0</v>
      </c>
      <c r="K8538" t="n">
        <v>0</v>
      </c>
      <c r="L8538" t="n">
        <v>0</v>
      </c>
      <c r="M8538" t="n">
        <v>0</v>
      </c>
      <c r="N8538" t="n">
        <v>0</v>
      </c>
      <c r="O8538" t="n">
        <v>0</v>
      </c>
      <c r="P8538" t="n">
        <v>0</v>
      </c>
      <c r="Q8538" t="n">
        <v>0</v>
      </c>
      <c r="R8538" t="n">
        <v>0</v>
      </c>
      <c r="S8538" t="n">
        <v>0</v>
      </c>
      <c r="T8538" t="n">
        <v>0</v>
      </c>
      <c r="U8538" t="n">
        <v>0</v>
      </c>
      <c r="V8538" s="2" t="inlineStr"/>
    </row>
    <row r="8539" ht="15" customHeight="1">
      <c r="A8539" t="inlineStr">
        <is>
          <t>A 73377-2021</t>
        </is>
      </c>
      <c r="B8539" t="inlineStr">
        <is>
          <t>avverkningsanmälan</t>
        </is>
      </c>
      <c r="C8539" t="inlineStr">
        <is>
          <t>Föryngringsavverkning</t>
        </is>
      </c>
      <c r="D8539" s="1" t="n">
        <v>44551</v>
      </c>
      <c r="E8539" s="1" t="n">
        <v>46319</v>
      </c>
      <c r="F8539" t="inlineStr">
        <is>
          <t>DALARNAS LÄN</t>
        </is>
      </c>
      <c r="G8539" t="inlineStr">
        <is>
          <t>AVESTA</t>
        </is>
      </c>
      <c r="I8539" t="n">
        <v>1.6</v>
      </c>
      <c r="J8539" t="n">
        <v>0</v>
      </c>
      <c r="K8539" t="n">
        <v>0</v>
      </c>
      <c r="L8539" t="n">
        <v>0</v>
      </c>
      <c r="M8539" t="n">
        <v>0</v>
      </c>
      <c r="N8539" t="n">
        <v>0</v>
      </c>
      <c r="O8539" t="n">
        <v>0</v>
      </c>
      <c r="P8539" t="n">
        <v>0</v>
      </c>
      <c r="Q8539" t="n">
        <v>0</v>
      </c>
      <c r="R8539" t="n">
        <v>0</v>
      </c>
      <c r="S8539" t="n">
        <v>0</v>
      </c>
      <c r="T8539" t="n">
        <v>0</v>
      </c>
      <c r="U8539" t="n">
        <v>0</v>
      </c>
      <c r="V8539" s="2" t="inlineStr"/>
    </row>
    <row r="8540" ht="15" customHeight="1">
      <c r="A8540" t="inlineStr">
        <is>
          <t>A 3209-2022</t>
        </is>
      </c>
      <c r="B8540" t="inlineStr">
        <is>
          <t>avverkningsanmälan</t>
        </is>
      </c>
      <c r="C8540" t="inlineStr">
        <is>
          <t>Föryngringsavverkning</t>
        </is>
      </c>
      <c r="D8540" s="1" t="n">
        <v>44582</v>
      </c>
      <c r="E8540" s="1" t="n">
        <v>46319</v>
      </c>
      <c r="F8540" t="inlineStr">
        <is>
          <t>DALARNAS LÄN</t>
        </is>
      </c>
      <c r="G8540" t="inlineStr">
        <is>
          <t>FALUN</t>
        </is>
      </c>
      <c r="I8540" t="n">
        <v>0.7</v>
      </c>
      <c r="J8540" t="n">
        <v>0</v>
      </c>
      <c r="K8540" t="n">
        <v>0</v>
      </c>
      <c r="L8540" t="n">
        <v>0</v>
      </c>
      <c r="M8540" t="n">
        <v>0</v>
      </c>
      <c r="N8540" t="n">
        <v>0</v>
      </c>
      <c r="O8540" t="n">
        <v>0</v>
      </c>
      <c r="P8540" t="n">
        <v>0</v>
      </c>
      <c r="Q8540" t="n">
        <v>0</v>
      </c>
      <c r="R8540" t="n">
        <v>0</v>
      </c>
      <c r="S8540" t="n">
        <v>0</v>
      </c>
      <c r="T8540" t="n">
        <v>0</v>
      </c>
      <c r="U8540" t="n">
        <v>0</v>
      </c>
      <c r="V8540" s="2" t="inlineStr"/>
    </row>
    <row r="8541" ht="15" customHeight="1">
      <c r="A8541" t="inlineStr">
        <is>
          <t>A 60908-2023</t>
        </is>
      </c>
      <c r="B8541" t="inlineStr">
        <is>
          <t>avverkningsanmälan</t>
        </is>
      </c>
      <c r="C8541" t="inlineStr">
        <is>
          <t>Föryngringsavverkning</t>
        </is>
      </c>
      <c r="D8541" s="1" t="n">
        <v>45261</v>
      </c>
      <c r="E8541" s="1" t="n">
        <v>46319</v>
      </c>
      <c r="F8541" t="inlineStr">
        <is>
          <t>DALARNAS LÄN</t>
        </is>
      </c>
      <c r="G8541" t="inlineStr">
        <is>
          <t>BORLÄNGE</t>
        </is>
      </c>
      <c r="I8541" t="n">
        <v>1</v>
      </c>
      <c r="J8541" t="n">
        <v>0</v>
      </c>
      <c r="K8541" t="n">
        <v>0</v>
      </c>
      <c r="L8541" t="n">
        <v>0</v>
      </c>
      <c r="M8541" t="n">
        <v>0</v>
      </c>
      <c r="N8541" t="n">
        <v>0</v>
      </c>
      <c r="O8541" t="n">
        <v>0</v>
      </c>
      <c r="P8541" t="n">
        <v>0</v>
      </c>
      <c r="Q8541" t="n">
        <v>0</v>
      </c>
      <c r="R8541" t="n">
        <v>0</v>
      </c>
      <c r="S8541" t="n">
        <v>0</v>
      </c>
      <c r="T8541" t="n">
        <v>0</v>
      </c>
      <c r="U8541" t="n">
        <v>0</v>
      </c>
      <c r="V8541" s="2" t="inlineStr"/>
    </row>
    <row r="8542" ht="15" customHeight="1">
      <c r="A8542" t="inlineStr">
        <is>
          <t>A 60793-2022</t>
        </is>
      </c>
      <c r="B8542" t="inlineStr">
        <is>
          <t>avverkningsanmälan</t>
        </is>
      </c>
      <c r="C8542" t="inlineStr">
        <is>
          <t>Föryngringsavverkning</t>
        </is>
      </c>
      <c r="D8542" s="1" t="n">
        <v>44911</v>
      </c>
      <c r="E8542" s="1" t="n">
        <v>46319</v>
      </c>
      <c r="F8542" t="inlineStr">
        <is>
          <t>DALARNAS LÄN</t>
        </is>
      </c>
      <c r="G8542" t="inlineStr">
        <is>
          <t>ÄLVDALEN</t>
        </is>
      </c>
      <c r="I8542" t="n">
        <v>0.5</v>
      </c>
      <c r="J8542" t="n">
        <v>0</v>
      </c>
      <c r="K8542" t="n">
        <v>0</v>
      </c>
      <c r="L8542" t="n">
        <v>0</v>
      </c>
      <c r="M8542" t="n">
        <v>0</v>
      </c>
      <c r="N8542" t="n">
        <v>0</v>
      </c>
      <c r="O8542" t="n">
        <v>0</v>
      </c>
      <c r="P8542" t="n">
        <v>0</v>
      </c>
      <c r="Q8542" t="n">
        <v>0</v>
      </c>
      <c r="R8542" t="n">
        <v>0</v>
      </c>
      <c r="S8542" t="n">
        <v>0</v>
      </c>
      <c r="T8542" t="n">
        <v>0</v>
      </c>
      <c r="U8542" t="n">
        <v>0</v>
      </c>
      <c r="V8542" s="2" t="inlineStr"/>
    </row>
    <row r="8543" ht="15" customHeight="1">
      <c r="A8543" t="inlineStr">
        <is>
          <t>A 60803-2022</t>
        </is>
      </c>
      <c r="B8543" t="inlineStr">
        <is>
          <t>avverkningsanmälan</t>
        </is>
      </c>
      <c r="C8543" t="inlineStr">
        <is>
          <t>Föryngringsavverkning</t>
        </is>
      </c>
      <c r="D8543" s="1" t="n">
        <v>44914</v>
      </c>
      <c r="E8543" s="1" t="n">
        <v>46319</v>
      </c>
      <c r="F8543" t="inlineStr">
        <is>
          <t>DALARNAS LÄN</t>
        </is>
      </c>
      <c r="G8543" t="inlineStr">
        <is>
          <t>ORSA</t>
        </is>
      </c>
      <c r="I8543" t="n">
        <v>1.2</v>
      </c>
      <c r="J8543" t="n">
        <v>0</v>
      </c>
      <c r="K8543" t="n">
        <v>0</v>
      </c>
      <c r="L8543" t="n">
        <v>0</v>
      </c>
      <c r="M8543" t="n">
        <v>0</v>
      </c>
      <c r="N8543" t="n">
        <v>0</v>
      </c>
      <c r="O8543" t="n">
        <v>0</v>
      </c>
      <c r="P8543" t="n">
        <v>0</v>
      </c>
      <c r="Q8543" t="n">
        <v>0</v>
      </c>
      <c r="R8543" t="n">
        <v>0</v>
      </c>
      <c r="S8543" t="n">
        <v>0</v>
      </c>
      <c r="T8543" t="n">
        <v>0</v>
      </c>
      <c r="U8543" t="n">
        <v>0</v>
      </c>
      <c r="V8543" s="2" t="inlineStr"/>
    </row>
    <row r="8544" ht="15" customHeight="1">
      <c r="A8544" t="inlineStr">
        <is>
          <t>A 10573-2025</t>
        </is>
      </c>
      <c r="B8544" t="inlineStr">
        <is>
          <t>avverkningsanmälan</t>
        </is>
      </c>
      <c r="C8544" t="inlineStr">
        <is>
          <t>Föryngringsavverkning</t>
        </is>
      </c>
      <c r="D8544" s="1" t="n">
        <v>45721</v>
      </c>
      <c r="E8544" s="1" t="n">
        <v>46319</v>
      </c>
      <c r="F8544" t="inlineStr">
        <is>
          <t>DALARNAS LÄN</t>
        </is>
      </c>
      <c r="G8544" t="inlineStr">
        <is>
          <t>AVESTA</t>
        </is>
      </c>
      <c r="H8544" t="inlineStr">
        <is>
          <t>Sveaskog</t>
        </is>
      </c>
      <c r="I8544" t="n">
        <v>3.1</v>
      </c>
      <c r="J8544" t="n">
        <v>0</v>
      </c>
      <c r="K8544" t="n">
        <v>0</v>
      </c>
      <c r="L8544" t="n">
        <v>0</v>
      </c>
      <c r="M8544" t="n">
        <v>0</v>
      </c>
      <c r="N8544" t="n">
        <v>0</v>
      </c>
      <c r="O8544" t="n">
        <v>0</v>
      </c>
      <c r="P8544" t="n">
        <v>0</v>
      </c>
      <c r="Q8544" t="n">
        <v>0</v>
      </c>
      <c r="R8544" t="n">
        <v>0</v>
      </c>
      <c r="S8544" t="n">
        <v>0</v>
      </c>
      <c r="T8544" t="n">
        <v>0</v>
      </c>
      <c r="U8544" t="n">
        <v>0</v>
      </c>
      <c r="V8544" s="2" t="inlineStr"/>
    </row>
    <row r="8545" ht="15" customHeight="1">
      <c r="A8545" t="inlineStr">
        <is>
          <t>A 54257-2023</t>
        </is>
      </c>
      <c r="B8545" t="inlineStr">
        <is>
          <t>avverkningsanmälan</t>
        </is>
      </c>
      <c r="C8545" t="inlineStr">
        <is>
          <t>Föryngringsavverkning</t>
        </is>
      </c>
      <c r="D8545" s="1" t="n">
        <v>45232</v>
      </c>
      <c r="E8545" s="1" t="n">
        <v>46319</v>
      </c>
      <c r="F8545" t="inlineStr">
        <is>
          <t>DALARNAS LÄN</t>
        </is>
      </c>
      <c r="G8545" t="inlineStr">
        <is>
          <t>MORA</t>
        </is>
      </c>
      <c r="I8545" t="n">
        <v>4</v>
      </c>
      <c r="J8545" t="n">
        <v>0</v>
      </c>
      <c r="K8545" t="n">
        <v>0</v>
      </c>
      <c r="L8545" t="n">
        <v>0</v>
      </c>
      <c r="M8545" t="n">
        <v>0</v>
      </c>
      <c r="N8545" t="n">
        <v>0</v>
      </c>
      <c r="O8545" t="n">
        <v>0</v>
      </c>
      <c r="P8545" t="n">
        <v>0</v>
      </c>
      <c r="Q8545" t="n">
        <v>0</v>
      </c>
      <c r="R8545" t="n">
        <v>0</v>
      </c>
      <c r="S8545" t="n">
        <v>0</v>
      </c>
      <c r="T8545" t="n">
        <v>0</v>
      </c>
      <c r="U8545" t="n">
        <v>0</v>
      </c>
      <c r="V8545" s="2" t="inlineStr"/>
    </row>
    <row r="8546" ht="15" customHeight="1">
      <c r="A8546" t="inlineStr">
        <is>
          <t>A 68553-2021</t>
        </is>
      </c>
      <c r="B8546" t="inlineStr">
        <is>
          <t>avverkningsanmälan</t>
        </is>
      </c>
      <c r="C8546" t="inlineStr">
        <is>
          <t>Föryngringsavverkning</t>
        </is>
      </c>
      <c r="D8546" s="1" t="n">
        <v>44529</v>
      </c>
      <c r="E8546" s="1" t="n">
        <v>46319</v>
      </c>
      <c r="F8546" t="inlineStr">
        <is>
          <t>DALARNAS LÄN</t>
        </is>
      </c>
      <c r="G8546" t="inlineStr">
        <is>
          <t>HEDEMORA</t>
        </is>
      </c>
      <c r="I8546" t="n">
        <v>3</v>
      </c>
      <c r="J8546" t="n">
        <v>0</v>
      </c>
      <c r="K8546" t="n">
        <v>0</v>
      </c>
      <c r="L8546" t="n">
        <v>0</v>
      </c>
      <c r="M8546" t="n">
        <v>0</v>
      </c>
      <c r="N8546" t="n">
        <v>0</v>
      </c>
      <c r="O8546" t="n">
        <v>0</v>
      </c>
      <c r="P8546" t="n">
        <v>0</v>
      </c>
      <c r="Q8546" t="n">
        <v>0</v>
      </c>
      <c r="R8546" t="n">
        <v>0</v>
      </c>
      <c r="S8546" t="n">
        <v>0</v>
      </c>
      <c r="T8546" t="n">
        <v>0</v>
      </c>
      <c r="U8546" t="n">
        <v>0</v>
      </c>
      <c r="V8546" s="2" t="inlineStr"/>
    </row>
    <row r="8547" ht="15" customHeight="1">
      <c r="A8547" t="inlineStr">
        <is>
          <t>A 18573-2025</t>
        </is>
      </c>
      <c r="B8547" t="inlineStr">
        <is>
          <t>avverkningsanmälan</t>
        </is>
      </c>
      <c r="C8547" t="inlineStr">
        <is>
          <t>Föryngringsavverkning</t>
        </is>
      </c>
      <c r="D8547" s="1" t="n">
        <v>45763</v>
      </c>
      <c r="E8547" s="1" t="n">
        <v>46319</v>
      </c>
      <c r="F8547" t="inlineStr">
        <is>
          <t>DALARNAS LÄN</t>
        </is>
      </c>
      <c r="G8547" t="inlineStr">
        <is>
          <t>AVESTA</t>
        </is>
      </c>
      <c r="I8547" t="n">
        <v>2.2</v>
      </c>
      <c r="J8547" t="n">
        <v>0</v>
      </c>
      <c r="K8547" t="n">
        <v>0</v>
      </c>
      <c r="L8547" t="n">
        <v>0</v>
      </c>
      <c r="M8547" t="n">
        <v>0</v>
      </c>
      <c r="N8547" t="n">
        <v>0</v>
      </c>
      <c r="O8547" t="n">
        <v>0</v>
      </c>
      <c r="P8547" t="n">
        <v>0</v>
      </c>
      <c r="Q8547" t="n">
        <v>0</v>
      </c>
      <c r="R8547" t="n">
        <v>0</v>
      </c>
      <c r="S8547" t="n">
        <v>0</v>
      </c>
      <c r="T8547" t="n">
        <v>0</v>
      </c>
      <c r="U8547" t="n">
        <v>0</v>
      </c>
      <c r="V8547" s="2" t="inlineStr"/>
    </row>
    <row r="8548" ht="15" customHeight="1">
      <c r="A8548" t="inlineStr">
        <is>
          <t>A 37385-2022</t>
        </is>
      </c>
      <c r="B8548" t="inlineStr">
        <is>
          <t>avverkningsanmälan</t>
        </is>
      </c>
      <c r="C8548" t="inlineStr">
        <is>
          <t>Föryngringsavverkning</t>
        </is>
      </c>
      <c r="D8548" s="1" t="n">
        <v>44806</v>
      </c>
      <c r="E8548" s="1" t="n">
        <v>46319</v>
      </c>
      <c r="F8548" t="inlineStr">
        <is>
          <t>DALARNAS LÄN</t>
        </is>
      </c>
      <c r="G8548" t="inlineStr">
        <is>
          <t>MORA</t>
        </is>
      </c>
      <c r="I8548" t="n">
        <v>2.2</v>
      </c>
      <c r="J8548" t="n">
        <v>0</v>
      </c>
      <c r="K8548" t="n">
        <v>0</v>
      </c>
      <c r="L8548" t="n">
        <v>0</v>
      </c>
      <c r="M8548" t="n">
        <v>0</v>
      </c>
      <c r="N8548" t="n">
        <v>0</v>
      </c>
      <c r="O8548" t="n">
        <v>0</v>
      </c>
      <c r="P8548" t="n">
        <v>0</v>
      </c>
      <c r="Q8548" t="n">
        <v>0</v>
      </c>
      <c r="R8548" t="n">
        <v>0</v>
      </c>
      <c r="S8548" t="n">
        <v>0</v>
      </c>
      <c r="T8548" t="n">
        <v>0</v>
      </c>
      <c r="U8548" t="n">
        <v>0</v>
      </c>
      <c r="V8548" s="2" t="inlineStr"/>
    </row>
    <row r="8549" ht="15" customHeight="1">
      <c r="A8549" t="inlineStr">
        <is>
          <t>A 422-2023</t>
        </is>
      </c>
      <c r="B8549" t="inlineStr">
        <is>
          <t>avverkningsanmälan</t>
        </is>
      </c>
      <c r="C8549" t="inlineStr">
        <is>
          <t>Föryngringsavverkning</t>
        </is>
      </c>
      <c r="D8549" s="1" t="n">
        <v>44929</v>
      </c>
      <c r="E8549" s="1" t="n">
        <v>46319</v>
      </c>
      <c r="F8549" t="inlineStr">
        <is>
          <t>DALARNAS LÄN</t>
        </is>
      </c>
      <c r="G8549" t="inlineStr">
        <is>
          <t>BORLÄNGE</t>
        </is>
      </c>
      <c r="H8549" t="inlineStr">
        <is>
          <t>Bergvik skog väst AB</t>
        </is>
      </c>
      <c r="I8549" t="n">
        <v>0.4</v>
      </c>
      <c r="J8549" t="n">
        <v>0</v>
      </c>
      <c r="K8549" t="n">
        <v>0</v>
      </c>
      <c r="L8549" t="n">
        <v>0</v>
      </c>
      <c r="M8549" t="n">
        <v>0</v>
      </c>
      <c r="N8549" t="n">
        <v>0</v>
      </c>
      <c r="O8549" t="n">
        <v>0</v>
      </c>
      <c r="P8549" t="n">
        <v>0</v>
      </c>
      <c r="Q8549" t="n">
        <v>0</v>
      </c>
      <c r="R8549" t="n">
        <v>0</v>
      </c>
      <c r="S8549" t="n">
        <v>0</v>
      </c>
      <c r="T8549" t="n">
        <v>0</v>
      </c>
      <c r="U8549" t="n">
        <v>0</v>
      </c>
      <c r="V8549" s="2" t="inlineStr"/>
    </row>
    <row r="8550" ht="15" customHeight="1">
      <c r="A8550" t="inlineStr">
        <is>
          <t>A 490-2023</t>
        </is>
      </c>
      <c r="B8550" t="inlineStr">
        <is>
          <t>avverkningsanmälan</t>
        </is>
      </c>
      <c r="C8550" t="inlineStr">
        <is>
          <t>Föryngringsavverkning</t>
        </is>
      </c>
      <c r="D8550" s="1" t="n">
        <v>44930</v>
      </c>
      <c r="E8550" s="1" t="n">
        <v>46319</v>
      </c>
      <c r="F8550" t="inlineStr">
        <is>
          <t>DALARNAS LÄN</t>
        </is>
      </c>
      <c r="G8550" t="inlineStr">
        <is>
          <t>RÄTTVIK</t>
        </is>
      </c>
      <c r="I8550" t="n">
        <v>8.4</v>
      </c>
      <c r="J8550" t="n">
        <v>0</v>
      </c>
      <c r="K8550" t="n">
        <v>0</v>
      </c>
      <c r="L8550" t="n">
        <v>0</v>
      </c>
      <c r="M8550" t="n">
        <v>0</v>
      </c>
      <c r="N8550" t="n">
        <v>0</v>
      </c>
      <c r="O8550" t="n">
        <v>0</v>
      </c>
      <c r="P8550" t="n">
        <v>0</v>
      </c>
      <c r="Q8550" t="n">
        <v>0</v>
      </c>
      <c r="R8550" t="n">
        <v>0</v>
      </c>
      <c r="S8550" t="n">
        <v>0</v>
      </c>
      <c r="T8550" t="n">
        <v>0</v>
      </c>
      <c r="U8550" t="n">
        <v>0</v>
      </c>
      <c r="V8550" s="2" t="inlineStr"/>
    </row>
    <row r="8551" ht="15" customHeight="1">
      <c r="A8551" t="inlineStr">
        <is>
          <t>A 17600-2025</t>
        </is>
      </c>
      <c r="B8551" t="inlineStr">
        <is>
          <t>avverkningsanmälan</t>
        </is>
      </c>
      <c r="C8551" t="inlineStr">
        <is>
          <t>Föryngringsavverkning</t>
        </is>
      </c>
      <c r="D8551" s="1" t="n">
        <v>45757</v>
      </c>
      <c r="E8551" s="1" t="n">
        <v>46319</v>
      </c>
      <c r="F8551" t="inlineStr">
        <is>
          <t>DALARNAS LÄN</t>
        </is>
      </c>
      <c r="G8551" t="inlineStr">
        <is>
          <t>HEDEMORA</t>
        </is>
      </c>
      <c r="I8551" t="n">
        <v>1.4</v>
      </c>
      <c r="J8551" t="n">
        <v>0</v>
      </c>
      <c r="K8551" t="n">
        <v>0</v>
      </c>
      <c r="L8551" t="n">
        <v>0</v>
      </c>
      <c r="M8551" t="n">
        <v>0</v>
      </c>
      <c r="N8551" t="n">
        <v>0</v>
      </c>
      <c r="O8551" t="n">
        <v>0</v>
      </c>
      <c r="P8551" t="n">
        <v>0</v>
      </c>
      <c r="Q8551" t="n">
        <v>0</v>
      </c>
      <c r="R8551" t="n">
        <v>0</v>
      </c>
      <c r="S8551" t="n">
        <v>0</v>
      </c>
      <c r="T8551" t="n">
        <v>0</v>
      </c>
      <c r="U8551" t="n">
        <v>0</v>
      </c>
      <c r="V8551" s="2" t="inlineStr"/>
    </row>
    <row r="8552" ht="15" customHeight="1">
      <c r="A8552" t="inlineStr">
        <is>
          <t>A 51915-2022</t>
        </is>
      </c>
      <c r="B8552" t="inlineStr">
        <is>
          <t>avverkningsanmälan</t>
        </is>
      </c>
      <c r="C8552" t="inlineStr">
        <is>
          <t>Föryngringsavverkning</t>
        </is>
      </c>
      <c r="D8552" s="1" t="n">
        <v>44872</v>
      </c>
      <c r="E8552" s="1" t="n">
        <v>46319</v>
      </c>
      <c r="F8552" t="inlineStr">
        <is>
          <t>DALARNAS LÄN</t>
        </is>
      </c>
      <c r="G8552" t="inlineStr">
        <is>
          <t>ORSA</t>
        </is>
      </c>
      <c r="I8552" t="n">
        <v>0.7</v>
      </c>
      <c r="J8552" t="n">
        <v>0</v>
      </c>
      <c r="K8552" t="n">
        <v>0</v>
      </c>
      <c r="L8552" t="n">
        <v>0</v>
      </c>
      <c r="M8552" t="n">
        <v>0</v>
      </c>
      <c r="N8552" t="n">
        <v>0</v>
      </c>
      <c r="O8552" t="n">
        <v>0</v>
      </c>
      <c r="P8552" t="n">
        <v>0</v>
      </c>
      <c r="Q8552" t="n">
        <v>0</v>
      </c>
      <c r="R8552" t="n">
        <v>0</v>
      </c>
      <c r="S8552" t="n">
        <v>0</v>
      </c>
      <c r="T8552" t="n">
        <v>0</v>
      </c>
      <c r="U8552" t="n">
        <v>0</v>
      </c>
      <c r="V8552" s="2" t="inlineStr"/>
    </row>
    <row r="8553" ht="15" customHeight="1">
      <c r="A8553" t="inlineStr">
        <is>
          <t>A 16814-2024</t>
        </is>
      </c>
      <c r="B8553" t="inlineStr">
        <is>
          <t>avverkningsanmälan</t>
        </is>
      </c>
      <c r="C8553" t="inlineStr">
        <is>
          <t>Föryngringsavverkning</t>
        </is>
      </c>
      <c r="D8553" s="1" t="n">
        <v>45411</v>
      </c>
      <c r="E8553" s="1" t="n">
        <v>46319</v>
      </c>
      <c r="F8553" t="inlineStr">
        <is>
          <t>DALARNAS LÄN</t>
        </is>
      </c>
      <c r="G8553" t="inlineStr">
        <is>
          <t>LUDVIKA</t>
        </is>
      </c>
      <c r="H8553" t="inlineStr">
        <is>
          <t>Bergvik skog väst AB</t>
        </is>
      </c>
      <c r="I8553" t="n">
        <v>0.4</v>
      </c>
      <c r="J8553" t="n">
        <v>0</v>
      </c>
      <c r="K8553" t="n">
        <v>0</v>
      </c>
      <c r="L8553" t="n">
        <v>0</v>
      </c>
      <c r="M8553" t="n">
        <v>0</v>
      </c>
      <c r="N8553" t="n">
        <v>0</v>
      </c>
      <c r="O8553" t="n">
        <v>0</v>
      </c>
      <c r="P8553" t="n">
        <v>0</v>
      </c>
      <c r="Q8553" t="n">
        <v>0</v>
      </c>
      <c r="R8553" t="n">
        <v>0</v>
      </c>
      <c r="S8553" t="n">
        <v>0</v>
      </c>
      <c r="T8553" t="n">
        <v>0</v>
      </c>
      <c r="U8553" t="n">
        <v>0</v>
      </c>
      <c r="V8553" s="2" t="inlineStr"/>
    </row>
    <row r="8554" ht="15" customHeight="1">
      <c r="A8554" t="inlineStr">
        <is>
          <t>A 16843-2024</t>
        </is>
      </c>
      <c r="B8554" t="inlineStr">
        <is>
          <t>avverkningsanmälan</t>
        </is>
      </c>
      <c r="C8554" t="inlineStr">
        <is>
          <t>Föryngringsavverkning</t>
        </is>
      </c>
      <c r="D8554" s="1" t="n">
        <v>45411</v>
      </c>
      <c r="E8554" s="1" t="n">
        <v>46319</v>
      </c>
      <c r="F8554" t="inlineStr">
        <is>
          <t>DALARNAS LÄN</t>
        </is>
      </c>
      <c r="G8554" t="inlineStr">
        <is>
          <t>SÄTER</t>
        </is>
      </c>
      <c r="I8554" t="n">
        <v>2</v>
      </c>
      <c r="J8554" t="n">
        <v>0</v>
      </c>
      <c r="K8554" t="n">
        <v>0</v>
      </c>
      <c r="L8554" t="n">
        <v>0</v>
      </c>
      <c r="M8554" t="n">
        <v>0</v>
      </c>
      <c r="N8554" t="n">
        <v>0</v>
      </c>
      <c r="O8554" t="n">
        <v>0</v>
      </c>
      <c r="P8554" t="n">
        <v>0</v>
      </c>
      <c r="Q8554" t="n">
        <v>0</v>
      </c>
      <c r="R8554" t="n">
        <v>0</v>
      </c>
      <c r="S8554" t="n">
        <v>0</v>
      </c>
      <c r="T8554" t="n">
        <v>0</v>
      </c>
      <c r="U8554" t="n">
        <v>0</v>
      </c>
      <c r="V8554" s="2" t="inlineStr"/>
    </row>
    <row r="8555" ht="15" customHeight="1">
      <c r="A8555" t="inlineStr">
        <is>
          <t>A 12448-2023</t>
        </is>
      </c>
      <c r="B8555" t="inlineStr">
        <is>
          <t>avverkningsanmälan</t>
        </is>
      </c>
      <c r="C8555" t="inlineStr">
        <is>
          <t>Avverkning för annat ändamål</t>
        </is>
      </c>
      <c r="D8555" s="1" t="n">
        <v>44999</v>
      </c>
      <c r="E8555" s="1" t="n">
        <v>46319</v>
      </c>
      <c r="F8555" t="inlineStr">
        <is>
          <t>DALARNAS LÄN</t>
        </is>
      </c>
      <c r="G8555" t="inlineStr">
        <is>
          <t>BORLÄNGE</t>
        </is>
      </c>
      <c r="H8555" t="inlineStr">
        <is>
          <t>Bergvik skog väst AB</t>
        </is>
      </c>
      <c r="I8555" t="n">
        <v>0.7</v>
      </c>
      <c r="J8555" t="n">
        <v>0</v>
      </c>
      <c r="K8555" t="n">
        <v>0</v>
      </c>
      <c r="L8555" t="n">
        <v>0</v>
      </c>
      <c r="M8555" t="n">
        <v>0</v>
      </c>
      <c r="N8555" t="n">
        <v>0</v>
      </c>
      <c r="O8555" t="n">
        <v>0</v>
      </c>
      <c r="P8555" t="n">
        <v>0</v>
      </c>
      <c r="Q8555" t="n">
        <v>0</v>
      </c>
      <c r="R8555" t="n">
        <v>0</v>
      </c>
      <c r="S8555" t="n">
        <v>0</v>
      </c>
      <c r="T8555" t="n">
        <v>0</v>
      </c>
      <c r="U8555" t="n">
        <v>0</v>
      </c>
      <c r="V8555" s="2" t="inlineStr"/>
    </row>
    <row r="8556" ht="15" customHeight="1">
      <c r="A8556" t="inlineStr">
        <is>
          <t>A 14843-2023</t>
        </is>
      </c>
      <c r="B8556" t="inlineStr">
        <is>
          <t>avverkningsanmälan</t>
        </is>
      </c>
      <c r="C8556" t="inlineStr">
        <is>
          <t>Föryngringsavverkning</t>
        </is>
      </c>
      <c r="D8556" s="1" t="n">
        <v>45014</v>
      </c>
      <c r="E8556" s="1" t="n">
        <v>46319</v>
      </c>
      <c r="F8556" t="inlineStr">
        <is>
          <t>DALARNAS LÄN</t>
        </is>
      </c>
      <c r="G8556" t="inlineStr">
        <is>
          <t>SMEDJEBACKEN</t>
        </is>
      </c>
      <c r="I8556" t="n">
        <v>1.6</v>
      </c>
      <c r="J8556" t="n">
        <v>0</v>
      </c>
      <c r="K8556" t="n">
        <v>0</v>
      </c>
      <c r="L8556" t="n">
        <v>0</v>
      </c>
      <c r="M8556" t="n">
        <v>0</v>
      </c>
      <c r="N8556" t="n">
        <v>0</v>
      </c>
      <c r="O8556" t="n">
        <v>0</v>
      </c>
      <c r="P8556" t="n">
        <v>0</v>
      </c>
      <c r="Q8556" t="n">
        <v>0</v>
      </c>
      <c r="R8556" t="n">
        <v>0</v>
      </c>
      <c r="S8556" t="n">
        <v>0</v>
      </c>
      <c r="T8556" t="n">
        <v>0</v>
      </c>
      <c r="U8556" t="n">
        <v>0</v>
      </c>
      <c r="V8556" s="2" t="inlineStr"/>
    </row>
    <row r="8557" ht="15" customHeight="1">
      <c r="A8557" t="inlineStr">
        <is>
          <t>A 61217-2023</t>
        </is>
      </c>
      <c r="B8557" t="inlineStr">
        <is>
          <t>avverkningsanmälan</t>
        </is>
      </c>
      <c r="C8557" t="inlineStr">
        <is>
          <t>Föryngringsavverkning</t>
        </is>
      </c>
      <c r="D8557" s="1" t="n">
        <v>45264</v>
      </c>
      <c r="E8557" s="1" t="n">
        <v>46319</v>
      </c>
      <c r="F8557" t="inlineStr">
        <is>
          <t>DALARNAS LÄN</t>
        </is>
      </c>
      <c r="G8557" t="inlineStr">
        <is>
          <t>MORA</t>
        </is>
      </c>
      <c r="H8557" t="inlineStr">
        <is>
          <t>Allmännings- och besparingsskogar</t>
        </is>
      </c>
      <c r="I8557" t="n">
        <v>2</v>
      </c>
      <c r="J8557" t="n">
        <v>0</v>
      </c>
      <c r="K8557" t="n">
        <v>0</v>
      </c>
      <c r="L8557" t="n">
        <v>0</v>
      </c>
      <c r="M8557" t="n">
        <v>0</v>
      </c>
      <c r="N8557" t="n">
        <v>0</v>
      </c>
      <c r="O8557" t="n">
        <v>0</v>
      </c>
      <c r="P8557" t="n">
        <v>0</v>
      </c>
      <c r="Q8557" t="n">
        <v>0</v>
      </c>
      <c r="R8557" t="n">
        <v>0</v>
      </c>
      <c r="S8557" t="n">
        <v>0</v>
      </c>
      <c r="T8557" t="n">
        <v>0</v>
      </c>
      <c r="U8557" t="n">
        <v>0</v>
      </c>
      <c r="V8557" s="2" t="inlineStr"/>
    </row>
    <row r="8558" ht="15" customHeight="1">
      <c r="A8558" t="inlineStr">
        <is>
          <t>A 61218-2023</t>
        </is>
      </c>
      <c r="B8558" t="inlineStr">
        <is>
          <t>avverkningsanmälan</t>
        </is>
      </c>
      <c r="C8558" t="inlineStr">
        <is>
          <t>Föryngringsavverkning</t>
        </is>
      </c>
      <c r="D8558" s="1" t="n">
        <v>45264</v>
      </c>
      <c r="E8558" s="1" t="n">
        <v>46319</v>
      </c>
      <c r="F8558" t="inlineStr">
        <is>
          <t>DALARNAS LÄN</t>
        </is>
      </c>
      <c r="G8558" t="inlineStr">
        <is>
          <t>MORA</t>
        </is>
      </c>
      <c r="H8558" t="inlineStr">
        <is>
          <t>Allmännings- och besparingsskogar</t>
        </is>
      </c>
      <c r="I8558" t="n">
        <v>2.6</v>
      </c>
      <c r="J8558" t="n">
        <v>0</v>
      </c>
      <c r="K8558" t="n">
        <v>0</v>
      </c>
      <c r="L8558" t="n">
        <v>0</v>
      </c>
      <c r="M8558" t="n">
        <v>0</v>
      </c>
      <c r="N8558" t="n">
        <v>0</v>
      </c>
      <c r="O8558" t="n">
        <v>0</v>
      </c>
      <c r="P8558" t="n">
        <v>0</v>
      </c>
      <c r="Q8558" t="n">
        <v>0</v>
      </c>
      <c r="R8558" t="n">
        <v>0</v>
      </c>
      <c r="S8558" t="n">
        <v>0</v>
      </c>
      <c r="T8558" t="n">
        <v>0</v>
      </c>
      <c r="U8558" t="n">
        <v>0</v>
      </c>
      <c r="V8558" s="2" t="inlineStr"/>
    </row>
    <row r="8559" ht="15" customHeight="1">
      <c r="A8559" t="inlineStr">
        <is>
          <t>A 52977-2022</t>
        </is>
      </c>
      <c r="B8559" t="inlineStr">
        <is>
          <t>avverkningsanmälan</t>
        </is>
      </c>
      <c r="C8559" t="inlineStr">
        <is>
          <t>Föryngringsavverkning</t>
        </is>
      </c>
      <c r="D8559" s="1" t="n">
        <v>44875</v>
      </c>
      <c r="E8559" s="1" t="n">
        <v>46319</v>
      </c>
      <c r="F8559" t="inlineStr">
        <is>
          <t>DALARNAS LÄN</t>
        </is>
      </c>
      <c r="G8559" t="inlineStr">
        <is>
          <t>LEKSAND</t>
        </is>
      </c>
      <c r="I8559" t="n">
        <v>1.5</v>
      </c>
      <c r="J8559" t="n">
        <v>0</v>
      </c>
      <c r="K8559" t="n">
        <v>0</v>
      </c>
      <c r="L8559" t="n">
        <v>0</v>
      </c>
      <c r="M8559" t="n">
        <v>0</v>
      </c>
      <c r="N8559" t="n">
        <v>0</v>
      </c>
      <c r="O8559" t="n">
        <v>0</v>
      </c>
      <c r="P8559" t="n">
        <v>0</v>
      </c>
      <c r="Q8559" t="n">
        <v>0</v>
      </c>
      <c r="R8559" t="n">
        <v>0</v>
      </c>
      <c r="S8559" t="n">
        <v>0</v>
      </c>
      <c r="T8559" t="n">
        <v>0</v>
      </c>
      <c r="U8559" t="n">
        <v>0</v>
      </c>
      <c r="V8559" s="2" t="inlineStr"/>
    </row>
    <row r="8560" ht="15" customHeight="1">
      <c r="A8560" t="inlineStr">
        <is>
          <t>A 43641-2022</t>
        </is>
      </c>
      <c r="B8560" t="inlineStr">
        <is>
          <t>avverkningsanmälan</t>
        </is>
      </c>
      <c r="C8560" t="inlineStr">
        <is>
          <t>Föryngringsavverkning</t>
        </is>
      </c>
      <c r="D8560" s="1" t="n">
        <v>44837</v>
      </c>
      <c r="E8560" s="1" t="n">
        <v>46319</v>
      </c>
      <c r="F8560" t="inlineStr">
        <is>
          <t>DALARNAS LÄN</t>
        </is>
      </c>
      <c r="G8560" t="inlineStr">
        <is>
          <t>MORA</t>
        </is>
      </c>
      <c r="I8560" t="n">
        <v>1.8</v>
      </c>
      <c r="J8560" t="n">
        <v>0</v>
      </c>
      <c r="K8560" t="n">
        <v>0</v>
      </c>
      <c r="L8560" t="n">
        <v>0</v>
      </c>
      <c r="M8560" t="n">
        <v>0</v>
      </c>
      <c r="N8560" t="n">
        <v>0</v>
      </c>
      <c r="O8560" t="n">
        <v>0</v>
      </c>
      <c r="P8560" t="n">
        <v>0</v>
      </c>
      <c r="Q8560" t="n">
        <v>0</v>
      </c>
      <c r="R8560" t="n">
        <v>0</v>
      </c>
      <c r="S8560" t="n">
        <v>0</v>
      </c>
      <c r="T8560" t="n">
        <v>0</v>
      </c>
      <c r="U8560" t="n">
        <v>0</v>
      </c>
      <c r="V8560" s="2" t="inlineStr"/>
    </row>
    <row r="8561" ht="15" customHeight="1">
      <c r="A8561" t="inlineStr">
        <is>
          <t>A 43650-2022</t>
        </is>
      </c>
      <c r="B8561" t="inlineStr">
        <is>
          <t>avverkningsanmälan</t>
        </is>
      </c>
      <c r="C8561" t="inlineStr">
        <is>
          <t>Föryngringsavverkning</t>
        </is>
      </c>
      <c r="D8561" s="1" t="n">
        <v>44837</v>
      </c>
      <c r="E8561" s="1" t="n">
        <v>46319</v>
      </c>
      <c r="F8561" t="inlineStr">
        <is>
          <t>DALARNAS LÄN</t>
        </is>
      </c>
      <c r="G8561" t="inlineStr">
        <is>
          <t>BORLÄNGE</t>
        </is>
      </c>
      <c r="I8561" t="n">
        <v>1.1</v>
      </c>
      <c r="J8561" t="n">
        <v>0</v>
      </c>
      <c r="K8561" t="n">
        <v>0</v>
      </c>
      <c r="L8561" t="n">
        <v>0</v>
      </c>
      <c r="M8561" t="n">
        <v>0</v>
      </c>
      <c r="N8561" t="n">
        <v>0</v>
      </c>
      <c r="O8561" t="n">
        <v>0</v>
      </c>
      <c r="P8561" t="n">
        <v>0</v>
      </c>
      <c r="Q8561" t="n">
        <v>0</v>
      </c>
      <c r="R8561" t="n">
        <v>0</v>
      </c>
      <c r="S8561" t="n">
        <v>0</v>
      </c>
      <c r="T8561" t="n">
        <v>0</v>
      </c>
      <c r="U8561" t="n">
        <v>0</v>
      </c>
      <c r="V8561" s="2" t="inlineStr"/>
    </row>
    <row r="8562" ht="15" customHeight="1">
      <c r="A8562" t="inlineStr">
        <is>
          <t>A 25921-2024</t>
        </is>
      </c>
      <c r="B8562" t="inlineStr">
        <is>
          <t>avverkningsanmälan</t>
        </is>
      </c>
      <c r="C8562" t="inlineStr">
        <is>
          <t>Föryngringsavverkning</t>
        </is>
      </c>
      <c r="D8562" s="1" t="n">
        <v>45467</v>
      </c>
      <c r="E8562" s="1" t="n">
        <v>46319</v>
      </c>
      <c r="F8562" t="inlineStr">
        <is>
          <t>DALARNAS LÄN</t>
        </is>
      </c>
      <c r="G8562" t="inlineStr">
        <is>
          <t>LEKSAND</t>
        </is>
      </c>
      <c r="I8562" t="n">
        <v>2.8</v>
      </c>
      <c r="J8562" t="n">
        <v>0</v>
      </c>
      <c r="K8562" t="n">
        <v>0</v>
      </c>
      <c r="L8562" t="n">
        <v>0</v>
      </c>
      <c r="M8562" t="n">
        <v>0</v>
      </c>
      <c r="N8562" t="n">
        <v>0</v>
      </c>
      <c r="O8562" t="n">
        <v>0</v>
      </c>
      <c r="P8562" t="n">
        <v>0</v>
      </c>
      <c r="Q8562" t="n">
        <v>0</v>
      </c>
      <c r="R8562" t="n">
        <v>0</v>
      </c>
      <c r="S8562" t="n">
        <v>0</v>
      </c>
      <c r="T8562" t="n">
        <v>0</v>
      </c>
      <c r="U8562" t="n">
        <v>0</v>
      </c>
      <c r="V8562" s="2" t="inlineStr"/>
    </row>
    <row r="8563" ht="15" customHeight="1">
      <c r="A8563" t="inlineStr">
        <is>
          <t>A 31959-2024</t>
        </is>
      </c>
      <c r="B8563" t="inlineStr">
        <is>
          <t>avverkningsanmälan</t>
        </is>
      </c>
      <c r="C8563" t="inlineStr">
        <is>
          <t>Föryngringsavverkning</t>
        </is>
      </c>
      <c r="D8563" s="1" t="n">
        <v>45510</v>
      </c>
      <c r="E8563" s="1" t="n">
        <v>46319</v>
      </c>
      <c r="F8563" t="inlineStr">
        <is>
          <t>DALARNAS LÄN</t>
        </is>
      </c>
      <c r="G8563" t="inlineStr">
        <is>
          <t>AVESTA</t>
        </is>
      </c>
      <c r="I8563" t="n">
        <v>1.4</v>
      </c>
      <c r="J8563" t="n">
        <v>0</v>
      </c>
      <c r="K8563" t="n">
        <v>0</v>
      </c>
      <c r="L8563" t="n">
        <v>0</v>
      </c>
      <c r="M8563" t="n">
        <v>0</v>
      </c>
      <c r="N8563" t="n">
        <v>0</v>
      </c>
      <c r="O8563" t="n">
        <v>0</v>
      </c>
      <c r="P8563" t="n">
        <v>0</v>
      </c>
      <c r="Q8563" t="n">
        <v>0</v>
      </c>
      <c r="R8563" t="n">
        <v>0</v>
      </c>
      <c r="S8563" t="n">
        <v>0</v>
      </c>
      <c r="T8563" t="n">
        <v>0</v>
      </c>
      <c r="U8563" t="n">
        <v>0</v>
      </c>
      <c r="V8563" s="2" t="inlineStr"/>
    </row>
    <row r="8564" ht="15" customHeight="1">
      <c r="A8564" t="inlineStr">
        <is>
          <t>A 28029-2023</t>
        </is>
      </c>
      <c r="B8564" t="inlineStr">
        <is>
          <t>avverkningsanmälan</t>
        </is>
      </c>
      <c r="C8564" t="inlineStr">
        <is>
          <t>Avverkning för annat ändamål</t>
        </is>
      </c>
      <c r="D8564" s="1" t="n">
        <v>45099</v>
      </c>
      <c r="E8564" s="1" t="n">
        <v>46319</v>
      </c>
      <c r="F8564" t="inlineStr">
        <is>
          <t>DALARNAS LÄN</t>
        </is>
      </c>
      <c r="G8564" t="inlineStr">
        <is>
          <t>HEDEMORA</t>
        </is>
      </c>
      <c r="I8564" t="n">
        <v>0.6</v>
      </c>
      <c r="J8564" t="n">
        <v>0</v>
      </c>
      <c r="K8564" t="n">
        <v>0</v>
      </c>
      <c r="L8564" t="n">
        <v>0</v>
      </c>
      <c r="M8564" t="n">
        <v>0</v>
      </c>
      <c r="N8564" t="n">
        <v>0</v>
      </c>
      <c r="O8564" t="n">
        <v>0</v>
      </c>
      <c r="P8564" t="n">
        <v>0</v>
      </c>
      <c r="Q8564" t="n">
        <v>0</v>
      </c>
      <c r="R8564" t="n">
        <v>0</v>
      </c>
      <c r="S8564" t="n">
        <v>0</v>
      </c>
      <c r="T8564" t="n">
        <v>0</v>
      </c>
      <c r="U8564" t="n">
        <v>0</v>
      </c>
      <c r="V8564" s="2" t="inlineStr"/>
    </row>
    <row r="8565" ht="15" customHeight="1">
      <c r="A8565" t="inlineStr">
        <is>
          <t>A 58972-2023</t>
        </is>
      </c>
      <c r="B8565" t="inlineStr">
        <is>
          <t>avverkningsanmälan</t>
        </is>
      </c>
      <c r="C8565" t="inlineStr">
        <is>
          <t>Föryngringsavverkning</t>
        </is>
      </c>
      <c r="D8565" s="1" t="n">
        <v>45252</v>
      </c>
      <c r="E8565" s="1" t="n">
        <v>46319</v>
      </c>
      <c r="F8565" t="inlineStr">
        <is>
          <t>DALARNAS LÄN</t>
        </is>
      </c>
      <c r="G8565" t="inlineStr">
        <is>
          <t>MORA</t>
        </is>
      </c>
      <c r="I8565" t="n">
        <v>0.5</v>
      </c>
      <c r="J8565" t="n">
        <v>0</v>
      </c>
      <c r="K8565" t="n">
        <v>0</v>
      </c>
      <c r="L8565" t="n">
        <v>0</v>
      </c>
      <c r="M8565" t="n">
        <v>0</v>
      </c>
      <c r="N8565" t="n">
        <v>0</v>
      </c>
      <c r="O8565" t="n">
        <v>0</v>
      </c>
      <c r="P8565" t="n">
        <v>0</v>
      </c>
      <c r="Q8565" t="n">
        <v>0</v>
      </c>
      <c r="R8565" t="n">
        <v>0</v>
      </c>
      <c r="S8565" t="n">
        <v>0</v>
      </c>
      <c r="T8565" t="n">
        <v>0</v>
      </c>
      <c r="U8565" t="n">
        <v>0</v>
      </c>
      <c r="V8565" s="2" t="inlineStr"/>
    </row>
    <row r="8566" ht="15" customHeight="1">
      <c r="A8566" t="inlineStr">
        <is>
          <t>A 58171-2024</t>
        </is>
      </c>
      <c r="B8566" t="inlineStr">
        <is>
          <t>avverkningsanmälan</t>
        </is>
      </c>
      <c r="C8566" t="inlineStr">
        <is>
          <t>Föryngringsavverkning</t>
        </is>
      </c>
      <c r="D8566" s="1" t="n">
        <v>45632</v>
      </c>
      <c r="E8566" s="1" t="n">
        <v>46319</v>
      </c>
      <c r="F8566" t="inlineStr">
        <is>
          <t>DALARNAS LÄN</t>
        </is>
      </c>
      <c r="G8566" t="inlineStr">
        <is>
          <t>MORA</t>
        </is>
      </c>
      <c r="I8566" t="n">
        <v>0.5</v>
      </c>
      <c r="J8566" t="n">
        <v>0</v>
      </c>
      <c r="K8566" t="n">
        <v>0</v>
      </c>
      <c r="L8566" t="n">
        <v>0</v>
      </c>
      <c r="M8566" t="n">
        <v>0</v>
      </c>
      <c r="N8566" t="n">
        <v>0</v>
      </c>
      <c r="O8566" t="n">
        <v>0</v>
      </c>
      <c r="P8566" t="n">
        <v>0</v>
      </c>
      <c r="Q8566" t="n">
        <v>0</v>
      </c>
      <c r="R8566" t="n">
        <v>0</v>
      </c>
      <c r="S8566" t="n">
        <v>0</v>
      </c>
      <c r="T8566" t="n">
        <v>0</v>
      </c>
      <c r="U8566" t="n">
        <v>0</v>
      </c>
      <c r="V8566" s="2" t="inlineStr"/>
    </row>
    <row r="8567" ht="15" customHeight="1">
      <c r="A8567" t="inlineStr">
        <is>
          <t>A 34125-2023</t>
        </is>
      </c>
      <c r="B8567" t="inlineStr">
        <is>
          <t>avverkningsanmälan</t>
        </is>
      </c>
      <c r="C8567" t="inlineStr">
        <is>
          <t>Föryngringsavverkning</t>
        </is>
      </c>
      <c r="D8567" s="1" t="n">
        <v>45135</v>
      </c>
      <c r="E8567" s="1" t="n">
        <v>46319</v>
      </c>
      <c r="F8567" t="inlineStr">
        <is>
          <t>DALARNAS LÄN</t>
        </is>
      </c>
      <c r="G8567" t="inlineStr">
        <is>
          <t>ORSA</t>
        </is>
      </c>
      <c r="I8567" t="n">
        <v>2.7</v>
      </c>
      <c r="J8567" t="n">
        <v>0</v>
      </c>
      <c r="K8567" t="n">
        <v>0</v>
      </c>
      <c r="L8567" t="n">
        <v>0</v>
      </c>
      <c r="M8567" t="n">
        <v>0</v>
      </c>
      <c r="N8567" t="n">
        <v>0</v>
      </c>
      <c r="O8567" t="n">
        <v>0</v>
      </c>
      <c r="P8567" t="n">
        <v>0</v>
      </c>
      <c r="Q8567" t="n">
        <v>0</v>
      </c>
      <c r="R8567" t="n">
        <v>0</v>
      </c>
      <c r="S8567" t="n">
        <v>0</v>
      </c>
      <c r="T8567" t="n">
        <v>0</v>
      </c>
      <c r="U8567" t="n">
        <v>0</v>
      </c>
      <c r="V8567" s="2" t="inlineStr"/>
    </row>
    <row r="8568" ht="15" customHeight="1">
      <c r="A8568" t="inlineStr">
        <is>
          <t>A 28892-2022</t>
        </is>
      </c>
      <c r="B8568" t="inlineStr">
        <is>
          <t>avverkningsanmälan</t>
        </is>
      </c>
      <c r="C8568" t="inlineStr">
        <is>
          <t>Föryngringsavverkning</t>
        </is>
      </c>
      <c r="D8568" s="1" t="n">
        <v>44749</v>
      </c>
      <c r="E8568" s="1" t="n">
        <v>46319</v>
      </c>
      <c r="F8568" t="inlineStr">
        <is>
          <t>DALARNAS LÄN</t>
        </is>
      </c>
      <c r="G8568" t="inlineStr">
        <is>
          <t>LEKSAND</t>
        </is>
      </c>
      <c r="H8568" t="inlineStr">
        <is>
          <t>Bergvik skog väst AB</t>
        </is>
      </c>
      <c r="I8568" t="n">
        <v>9.1</v>
      </c>
      <c r="J8568" t="n">
        <v>0</v>
      </c>
      <c r="K8568" t="n">
        <v>0</v>
      </c>
      <c r="L8568" t="n">
        <v>0</v>
      </c>
      <c r="M8568" t="n">
        <v>0</v>
      </c>
      <c r="N8568" t="n">
        <v>0</v>
      </c>
      <c r="O8568" t="n">
        <v>0</v>
      </c>
      <c r="P8568" t="n">
        <v>0</v>
      </c>
      <c r="Q8568" t="n">
        <v>0</v>
      </c>
      <c r="R8568" t="n">
        <v>0</v>
      </c>
      <c r="S8568" t="n">
        <v>0</v>
      </c>
      <c r="T8568" t="n">
        <v>0</v>
      </c>
      <c r="U8568" t="n">
        <v>0</v>
      </c>
      <c r="V8568" s="2" t="inlineStr"/>
    </row>
    <row r="8569" ht="15" customHeight="1">
      <c r="A8569" t="inlineStr">
        <is>
          <t>A 18112-2022</t>
        </is>
      </c>
      <c r="B8569" t="inlineStr">
        <is>
          <t>avverkningsanmälan</t>
        </is>
      </c>
      <c r="C8569" t="inlineStr">
        <is>
          <t>Föryngringsavverkning</t>
        </is>
      </c>
      <c r="D8569" s="1" t="n">
        <v>44684</v>
      </c>
      <c r="E8569" s="1" t="n">
        <v>46319</v>
      </c>
      <c r="F8569" t="inlineStr">
        <is>
          <t>DALARNAS LÄN</t>
        </is>
      </c>
      <c r="G8569" t="inlineStr">
        <is>
          <t>AVESTA</t>
        </is>
      </c>
      <c r="I8569" t="n">
        <v>1</v>
      </c>
      <c r="J8569" t="n">
        <v>0</v>
      </c>
      <c r="K8569" t="n">
        <v>0</v>
      </c>
      <c r="L8569" t="n">
        <v>0</v>
      </c>
      <c r="M8569" t="n">
        <v>0</v>
      </c>
      <c r="N8569" t="n">
        <v>0</v>
      </c>
      <c r="O8569" t="n">
        <v>0</v>
      </c>
      <c r="P8569" t="n">
        <v>0</v>
      </c>
      <c r="Q8569" t="n">
        <v>0</v>
      </c>
      <c r="R8569" t="n">
        <v>0</v>
      </c>
      <c r="S8569" t="n">
        <v>0</v>
      </c>
      <c r="T8569" t="n">
        <v>0</v>
      </c>
      <c r="U8569" t="n">
        <v>0</v>
      </c>
      <c r="V8569" s="2" t="inlineStr"/>
    </row>
    <row r="8570" ht="15" customHeight="1">
      <c r="A8570" t="inlineStr">
        <is>
          <t>A 42332-2023</t>
        </is>
      </c>
      <c r="B8570" t="inlineStr">
        <is>
          <t>avverkningsanmälan</t>
        </is>
      </c>
      <c r="C8570" t="inlineStr">
        <is>
          <t>Föryngringsavverkning</t>
        </is>
      </c>
      <c r="D8570" s="1" t="n">
        <v>45175</v>
      </c>
      <c r="E8570" s="1" t="n">
        <v>46319</v>
      </c>
      <c r="F8570" t="inlineStr">
        <is>
          <t>DALARNAS LÄN</t>
        </is>
      </c>
      <c r="G8570" t="inlineStr">
        <is>
          <t>ÄLVDALEN</t>
        </is>
      </c>
      <c r="I8570" t="n">
        <v>2.7</v>
      </c>
      <c r="J8570" t="n">
        <v>0</v>
      </c>
      <c r="K8570" t="n">
        <v>0</v>
      </c>
      <c r="L8570" t="n">
        <v>0</v>
      </c>
      <c r="M8570" t="n">
        <v>0</v>
      </c>
      <c r="N8570" t="n">
        <v>0</v>
      </c>
      <c r="O8570" t="n">
        <v>0</v>
      </c>
      <c r="P8570" t="n">
        <v>0</v>
      </c>
      <c r="Q8570" t="n">
        <v>0</v>
      </c>
      <c r="R8570" t="n">
        <v>0</v>
      </c>
      <c r="S8570" t="n">
        <v>0</v>
      </c>
      <c r="T8570" t="n">
        <v>0</v>
      </c>
      <c r="U8570" t="n">
        <v>0</v>
      </c>
      <c r="V8570" s="2" t="inlineStr"/>
    </row>
    <row r="8571" ht="15" customHeight="1">
      <c r="A8571" t="inlineStr">
        <is>
          <t>A 29485-2022</t>
        </is>
      </c>
      <c r="B8571" t="inlineStr">
        <is>
          <t>avverkningsanmälan</t>
        </is>
      </c>
      <c r="C8571" t="inlineStr">
        <is>
          <t>Föryngringsavverkning</t>
        </is>
      </c>
      <c r="D8571" s="1" t="n">
        <v>44753</v>
      </c>
      <c r="E8571" s="1" t="n">
        <v>46319</v>
      </c>
      <c r="F8571" t="inlineStr">
        <is>
          <t>DALARNAS LÄN</t>
        </is>
      </c>
      <c r="G8571" t="inlineStr">
        <is>
          <t>ORSA</t>
        </is>
      </c>
      <c r="I8571" t="n">
        <v>1.2</v>
      </c>
      <c r="J8571" t="n">
        <v>0</v>
      </c>
      <c r="K8571" t="n">
        <v>0</v>
      </c>
      <c r="L8571" t="n">
        <v>0</v>
      </c>
      <c r="M8571" t="n">
        <v>0</v>
      </c>
      <c r="N8571" t="n">
        <v>0</v>
      </c>
      <c r="O8571" t="n">
        <v>0</v>
      </c>
      <c r="P8571" t="n">
        <v>0</v>
      </c>
      <c r="Q8571" t="n">
        <v>0</v>
      </c>
      <c r="R8571" t="n">
        <v>0</v>
      </c>
      <c r="S8571" t="n">
        <v>0</v>
      </c>
      <c r="T8571" t="n">
        <v>0</v>
      </c>
      <c r="U8571" t="n">
        <v>0</v>
      </c>
      <c r="V8571" s="2" t="inlineStr"/>
    </row>
    <row r="8572" ht="15" customHeight="1">
      <c r="A8572" t="inlineStr">
        <is>
          <t>A 2614-2023</t>
        </is>
      </c>
      <c r="B8572" t="inlineStr">
        <is>
          <t>avverkningsanmälan</t>
        </is>
      </c>
      <c r="C8572" t="inlineStr">
        <is>
          <t>Föryngringsavverkning</t>
        </is>
      </c>
      <c r="D8572" s="1" t="n">
        <v>44942</v>
      </c>
      <c r="E8572" s="1" t="n">
        <v>46319</v>
      </c>
      <c r="F8572" t="inlineStr">
        <is>
          <t>DALARNAS LÄN</t>
        </is>
      </c>
      <c r="G8572" t="inlineStr">
        <is>
          <t>LUDVIKA</t>
        </is>
      </c>
      <c r="I8572" t="n">
        <v>13.1</v>
      </c>
      <c r="J8572" t="n">
        <v>0</v>
      </c>
      <c r="K8572" t="n">
        <v>0</v>
      </c>
      <c r="L8572" t="n">
        <v>0</v>
      </c>
      <c r="M8572" t="n">
        <v>0</v>
      </c>
      <c r="N8572" t="n">
        <v>0</v>
      </c>
      <c r="O8572" t="n">
        <v>0</v>
      </c>
      <c r="P8572" t="n">
        <v>0</v>
      </c>
      <c r="Q8572" t="n">
        <v>0</v>
      </c>
      <c r="R8572" t="n">
        <v>0</v>
      </c>
      <c r="S8572" t="n">
        <v>0</v>
      </c>
      <c r="T8572" t="n">
        <v>0</v>
      </c>
      <c r="U8572" t="n">
        <v>0</v>
      </c>
      <c r="V8572" s="2" t="inlineStr"/>
    </row>
    <row r="8573" ht="15" customHeight="1">
      <c r="A8573" t="inlineStr">
        <is>
          <t>A 19355-2025</t>
        </is>
      </c>
      <c r="B8573" t="inlineStr">
        <is>
          <t>avverkningsanmälan</t>
        </is>
      </c>
      <c r="C8573" t="inlineStr">
        <is>
          <t>Föryngringsavverkning</t>
        </is>
      </c>
      <c r="D8573" s="1" t="n">
        <v>45769</v>
      </c>
      <c r="E8573" s="1" t="n">
        <v>46319</v>
      </c>
      <c r="F8573" t="inlineStr">
        <is>
          <t>DALARNAS LÄN</t>
        </is>
      </c>
      <c r="G8573" t="inlineStr">
        <is>
          <t>MALUNG-SÄLEN</t>
        </is>
      </c>
      <c r="I8573" t="n">
        <v>2.4</v>
      </c>
      <c r="J8573" t="n">
        <v>0</v>
      </c>
      <c r="K8573" t="n">
        <v>0</v>
      </c>
      <c r="L8573" t="n">
        <v>0</v>
      </c>
      <c r="M8573" t="n">
        <v>0</v>
      </c>
      <c r="N8573" t="n">
        <v>0</v>
      </c>
      <c r="O8573" t="n">
        <v>0</v>
      </c>
      <c r="P8573" t="n">
        <v>0</v>
      </c>
      <c r="Q8573" t="n">
        <v>0</v>
      </c>
      <c r="R8573" t="n">
        <v>0</v>
      </c>
      <c r="S8573" t="n">
        <v>0</v>
      </c>
      <c r="T8573" t="n">
        <v>0</v>
      </c>
      <c r="U8573" t="n">
        <v>0</v>
      </c>
      <c r="V8573" s="2" t="inlineStr"/>
    </row>
    <row r="8574" ht="15" customHeight="1">
      <c r="A8574" t="inlineStr">
        <is>
          <t>A 13236-2022</t>
        </is>
      </c>
      <c r="B8574" t="inlineStr">
        <is>
          <t>avverkningsanmälan</t>
        </is>
      </c>
      <c r="C8574" t="inlineStr">
        <is>
          <t>Föryngringsavverkning</t>
        </is>
      </c>
      <c r="D8574" s="1" t="n">
        <v>44644</v>
      </c>
      <c r="E8574" s="1" t="n">
        <v>46319</v>
      </c>
      <c r="F8574" t="inlineStr">
        <is>
          <t>DALARNAS LÄN</t>
        </is>
      </c>
      <c r="G8574" t="inlineStr">
        <is>
          <t>ORSA</t>
        </is>
      </c>
      <c r="I8574" t="n">
        <v>0.5</v>
      </c>
      <c r="J8574" t="n">
        <v>0</v>
      </c>
      <c r="K8574" t="n">
        <v>0</v>
      </c>
      <c r="L8574" t="n">
        <v>0</v>
      </c>
      <c r="M8574" t="n">
        <v>0</v>
      </c>
      <c r="N8574" t="n">
        <v>0</v>
      </c>
      <c r="O8574" t="n">
        <v>0</v>
      </c>
      <c r="P8574" t="n">
        <v>0</v>
      </c>
      <c r="Q8574" t="n">
        <v>0</v>
      </c>
      <c r="R8574" t="n">
        <v>0</v>
      </c>
      <c r="S8574" t="n">
        <v>0</v>
      </c>
      <c r="T8574" t="n">
        <v>0</v>
      </c>
      <c r="U8574" t="n">
        <v>0</v>
      </c>
      <c r="V8574" s="2" t="inlineStr"/>
    </row>
    <row r="8575" ht="15" customHeight="1">
      <c r="A8575" t="inlineStr">
        <is>
          <t>A 24477-2023</t>
        </is>
      </c>
      <c r="B8575" t="inlineStr">
        <is>
          <t>avverkningsanmälan</t>
        </is>
      </c>
      <c r="C8575" t="inlineStr">
        <is>
          <t>Föryngringsavverkning</t>
        </is>
      </c>
      <c r="D8575" s="1" t="n">
        <v>45077</v>
      </c>
      <c r="E8575" s="1" t="n">
        <v>46319</v>
      </c>
      <c r="F8575" t="inlineStr">
        <is>
          <t>DALARNAS LÄN</t>
        </is>
      </c>
      <c r="G8575" t="inlineStr">
        <is>
          <t>MALUNG-SÄLEN</t>
        </is>
      </c>
      <c r="I8575" t="n">
        <v>4.7</v>
      </c>
      <c r="J8575" t="n">
        <v>0</v>
      </c>
      <c r="K8575" t="n">
        <v>0</v>
      </c>
      <c r="L8575" t="n">
        <v>0</v>
      </c>
      <c r="M8575" t="n">
        <v>0</v>
      </c>
      <c r="N8575" t="n">
        <v>0</v>
      </c>
      <c r="O8575" t="n">
        <v>0</v>
      </c>
      <c r="P8575" t="n">
        <v>0</v>
      </c>
      <c r="Q8575" t="n">
        <v>0</v>
      </c>
      <c r="R8575" t="n">
        <v>0</v>
      </c>
      <c r="S8575" t="n">
        <v>0</v>
      </c>
      <c r="T8575" t="n">
        <v>0</v>
      </c>
      <c r="U8575" t="n">
        <v>0</v>
      </c>
      <c r="V8575" s="2" t="inlineStr"/>
    </row>
    <row r="8576" ht="15" customHeight="1">
      <c r="A8576" t="inlineStr">
        <is>
          <t>A 61809-2022</t>
        </is>
      </c>
      <c r="B8576" t="inlineStr">
        <is>
          <t>avverkningsanmälan</t>
        </is>
      </c>
      <c r="C8576" t="inlineStr">
        <is>
          <t>Föryngringsavverkning</t>
        </is>
      </c>
      <c r="D8576" s="1" t="n">
        <v>44917</v>
      </c>
      <c r="E8576" s="1" t="n">
        <v>46319</v>
      </c>
      <c r="F8576" t="inlineStr">
        <is>
          <t>DALARNAS LÄN</t>
        </is>
      </c>
      <c r="G8576" t="inlineStr">
        <is>
          <t>BORLÄNGE</t>
        </is>
      </c>
      <c r="H8576" t="inlineStr">
        <is>
          <t>Bergvik skog väst AB</t>
        </is>
      </c>
      <c r="I8576" t="n">
        <v>0.3</v>
      </c>
      <c r="J8576" t="n">
        <v>0</v>
      </c>
      <c r="K8576" t="n">
        <v>0</v>
      </c>
      <c r="L8576" t="n">
        <v>0</v>
      </c>
      <c r="M8576" t="n">
        <v>0</v>
      </c>
      <c r="N8576" t="n">
        <v>0</v>
      </c>
      <c r="O8576" t="n">
        <v>0</v>
      </c>
      <c r="P8576" t="n">
        <v>0</v>
      </c>
      <c r="Q8576" t="n">
        <v>0</v>
      </c>
      <c r="R8576" t="n">
        <v>0</v>
      </c>
      <c r="S8576" t="n">
        <v>0</v>
      </c>
      <c r="T8576" t="n">
        <v>0</v>
      </c>
      <c r="U8576" t="n">
        <v>0</v>
      </c>
      <c r="V8576" s="2" t="inlineStr"/>
    </row>
    <row r="8577" ht="15" customHeight="1">
      <c r="A8577" t="inlineStr">
        <is>
          <t>A 320-2023</t>
        </is>
      </c>
      <c r="B8577" t="inlineStr">
        <is>
          <t>avverkningsanmälan</t>
        </is>
      </c>
      <c r="C8577" t="inlineStr">
        <is>
          <t>Föryngringsavverkning</t>
        </is>
      </c>
      <c r="D8577" s="1" t="n">
        <v>44929</v>
      </c>
      <c r="E8577" s="1" t="n">
        <v>46319</v>
      </c>
      <c r="F8577" t="inlineStr">
        <is>
          <t>DALARNAS LÄN</t>
        </is>
      </c>
      <c r="G8577" t="inlineStr">
        <is>
          <t>LEKSAND</t>
        </is>
      </c>
      <c r="H8577" t="inlineStr">
        <is>
          <t>Övriga Aktiebolag</t>
        </is>
      </c>
      <c r="I8577" t="n">
        <v>5.4</v>
      </c>
      <c r="J8577" t="n">
        <v>0</v>
      </c>
      <c r="K8577" t="n">
        <v>0</v>
      </c>
      <c r="L8577" t="n">
        <v>0</v>
      </c>
      <c r="M8577" t="n">
        <v>0</v>
      </c>
      <c r="N8577" t="n">
        <v>0</v>
      </c>
      <c r="O8577" t="n">
        <v>0</v>
      </c>
      <c r="P8577" t="n">
        <v>0</v>
      </c>
      <c r="Q8577" t="n">
        <v>0</v>
      </c>
      <c r="R8577" t="n">
        <v>0</v>
      </c>
      <c r="S8577" t="n">
        <v>0</v>
      </c>
      <c r="T8577" t="n">
        <v>0</v>
      </c>
      <c r="U8577" t="n">
        <v>0</v>
      </c>
      <c r="V8577" s="2" t="inlineStr"/>
    </row>
    <row r="8578" ht="15" customHeight="1">
      <c r="A8578" t="inlineStr">
        <is>
          <t>A 59177-2023</t>
        </is>
      </c>
      <c r="B8578" t="inlineStr">
        <is>
          <t>avverkningsanmälan</t>
        </is>
      </c>
      <c r="C8578" t="inlineStr">
        <is>
          <t>Föryngringsavverkning</t>
        </is>
      </c>
      <c r="D8578" s="1" t="n">
        <v>45253</v>
      </c>
      <c r="E8578" s="1" t="n">
        <v>46319</v>
      </c>
      <c r="F8578" t="inlineStr">
        <is>
          <t>DALARNAS LÄN</t>
        </is>
      </c>
      <c r="G8578" t="inlineStr">
        <is>
          <t>ÄLVDALEN</t>
        </is>
      </c>
      <c r="I8578" t="n">
        <v>0.6</v>
      </c>
      <c r="J8578" t="n">
        <v>0</v>
      </c>
      <c r="K8578" t="n">
        <v>0</v>
      </c>
      <c r="L8578" t="n">
        <v>0</v>
      </c>
      <c r="M8578" t="n">
        <v>0</v>
      </c>
      <c r="N8578" t="n">
        <v>0</v>
      </c>
      <c r="O8578" t="n">
        <v>0</v>
      </c>
      <c r="P8578" t="n">
        <v>0</v>
      </c>
      <c r="Q8578" t="n">
        <v>0</v>
      </c>
      <c r="R8578" t="n">
        <v>0</v>
      </c>
      <c r="S8578" t="n">
        <v>0</v>
      </c>
      <c r="T8578" t="n">
        <v>0</v>
      </c>
      <c r="U8578" t="n">
        <v>0</v>
      </c>
      <c r="V8578" s="2" t="inlineStr"/>
    </row>
    <row r="8579" ht="15" customHeight="1">
      <c r="A8579" t="inlineStr">
        <is>
          <t>A 59182-2023</t>
        </is>
      </c>
      <c r="B8579" t="inlineStr">
        <is>
          <t>avverkningsanmälan</t>
        </is>
      </c>
      <c r="C8579" t="inlineStr">
        <is>
          <t>Föryngringsavverkning</t>
        </is>
      </c>
      <c r="D8579" s="1" t="n">
        <v>45253</v>
      </c>
      <c r="E8579" s="1" t="n">
        <v>46319</v>
      </c>
      <c r="F8579" t="inlineStr">
        <is>
          <t>DALARNAS LÄN</t>
        </is>
      </c>
      <c r="G8579" t="inlineStr">
        <is>
          <t>MORA</t>
        </is>
      </c>
      <c r="I8579" t="n">
        <v>3.3</v>
      </c>
      <c r="J8579" t="n">
        <v>0</v>
      </c>
      <c r="K8579" t="n">
        <v>0</v>
      </c>
      <c r="L8579" t="n">
        <v>0</v>
      </c>
      <c r="M8579" t="n">
        <v>0</v>
      </c>
      <c r="N8579" t="n">
        <v>0</v>
      </c>
      <c r="O8579" t="n">
        <v>0</v>
      </c>
      <c r="P8579" t="n">
        <v>0</v>
      </c>
      <c r="Q8579" t="n">
        <v>0</v>
      </c>
      <c r="R8579" t="n">
        <v>0</v>
      </c>
      <c r="S8579" t="n">
        <v>0</v>
      </c>
      <c r="T8579" t="n">
        <v>0</v>
      </c>
      <c r="U8579" t="n">
        <v>0</v>
      </c>
      <c r="V8579" s="2" t="inlineStr"/>
    </row>
    <row r="8580" ht="15" customHeight="1">
      <c r="A8580" t="inlineStr">
        <is>
          <t>A 62380-2021</t>
        </is>
      </c>
      <c r="B8580" t="inlineStr">
        <is>
          <t>avverkningsanmälan</t>
        </is>
      </c>
      <c r="C8580" t="inlineStr">
        <is>
          <t>Föryngringsavverkning</t>
        </is>
      </c>
      <c r="D8580" s="1" t="n">
        <v>44503</v>
      </c>
      <c r="E8580" s="1" t="n">
        <v>46319</v>
      </c>
      <c r="F8580" t="inlineStr">
        <is>
          <t>DALARNAS LÄN</t>
        </is>
      </c>
      <c r="G8580" t="inlineStr">
        <is>
          <t>SMEDJEBACKEN</t>
        </is>
      </c>
      <c r="I8580" t="n">
        <v>10.4</v>
      </c>
      <c r="J8580" t="n">
        <v>0</v>
      </c>
      <c r="K8580" t="n">
        <v>0</v>
      </c>
      <c r="L8580" t="n">
        <v>0</v>
      </c>
      <c r="M8580" t="n">
        <v>0</v>
      </c>
      <c r="N8580" t="n">
        <v>0</v>
      </c>
      <c r="O8580" t="n">
        <v>0</v>
      </c>
      <c r="P8580" t="n">
        <v>0</v>
      </c>
      <c r="Q8580" t="n">
        <v>0</v>
      </c>
      <c r="R8580" t="n">
        <v>0</v>
      </c>
      <c r="S8580" t="n">
        <v>0</v>
      </c>
      <c r="T8580" t="n">
        <v>0</v>
      </c>
      <c r="U8580" t="n">
        <v>0</v>
      </c>
      <c r="V8580" s="2" t="inlineStr"/>
    </row>
    <row r="8581" ht="15" customHeight="1">
      <c r="A8581" t="inlineStr">
        <is>
          <t>A 17828-2023</t>
        </is>
      </c>
      <c r="B8581" t="inlineStr">
        <is>
          <t>avverkningsanmälan</t>
        </is>
      </c>
      <c r="C8581" t="inlineStr">
        <is>
          <t>Föryngringsavverkning</t>
        </is>
      </c>
      <c r="D8581" s="1" t="n">
        <v>45037</v>
      </c>
      <c r="E8581" s="1" t="n">
        <v>46319</v>
      </c>
      <c r="F8581" t="inlineStr">
        <is>
          <t>DALARNAS LÄN</t>
        </is>
      </c>
      <c r="G8581" t="inlineStr">
        <is>
          <t>MALUNG-SÄLEN</t>
        </is>
      </c>
      <c r="I8581" t="n">
        <v>3</v>
      </c>
      <c r="J8581" t="n">
        <v>0</v>
      </c>
      <c r="K8581" t="n">
        <v>0</v>
      </c>
      <c r="L8581" t="n">
        <v>0</v>
      </c>
      <c r="M8581" t="n">
        <v>0</v>
      </c>
      <c r="N8581" t="n">
        <v>0</v>
      </c>
      <c r="O8581" t="n">
        <v>0</v>
      </c>
      <c r="P8581" t="n">
        <v>0</v>
      </c>
      <c r="Q8581" t="n">
        <v>0</v>
      </c>
      <c r="R8581" t="n">
        <v>0</v>
      </c>
      <c r="S8581" t="n">
        <v>0</v>
      </c>
      <c r="T8581" t="n">
        <v>0</v>
      </c>
      <c r="U8581" t="n">
        <v>0</v>
      </c>
      <c r="V8581" s="2" t="inlineStr"/>
    </row>
    <row r="8582" ht="15" customHeight="1">
      <c r="A8582" t="inlineStr">
        <is>
          <t>A 56315-2022</t>
        </is>
      </c>
      <c r="B8582" t="inlineStr">
        <is>
          <t>avverkningsanmälan</t>
        </is>
      </c>
      <c r="C8582" t="inlineStr">
        <is>
          <t>Föryngringsavverkning</t>
        </is>
      </c>
      <c r="D8582" s="1" t="n">
        <v>44890</v>
      </c>
      <c r="E8582" s="1" t="n">
        <v>46319</v>
      </c>
      <c r="F8582" t="inlineStr">
        <is>
          <t>DALARNAS LÄN</t>
        </is>
      </c>
      <c r="G8582" t="inlineStr">
        <is>
          <t>SMEDJEBACKEN</t>
        </is>
      </c>
      <c r="H8582" t="inlineStr">
        <is>
          <t>Kyrkan</t>
        </is>
      </c>
      <c r="I8582" t="n">
        <v>0.8</v>
      </c>
      <c r="J8582" t="n">
        <v>0</v>
      </c>
      <c r="K8582" t="n">
        <v>0</v>
      </c>
      <c r="L8582" t="n">
        <v>0</v>
      </c>
      <c r="M8582" t="n">
        <v>0</v>
      </c>
      <c r="N8582" t="n">
        <v>0</v>
      </c>
      <c r="O8582" t="n">
        <v>0</v>
      </c>
      <c r="P8582" t="n">
        <v>0</v>
      </c>
      <c r="Q8582" t="n">
        <v>0</v>
      </c>
      <c r="R8582" t="n">
        <v>0</v>
      </c>
      <c r="S8582" t="n">
        <v>0</v>
      </c>
      <c r="T8582" t="n">
        <v>0</v>
      </c>
      <c r="U8582" t="n">
        <v>0</v>
      </c>
      <c r="V8582" s="2" t="inlineStr"/>
    </row>
    <row r="8583" ht="15" customHeight="1">
      <c r="A8583" t="inlineStr">
        <is>
          <t>A 51080-2024</t>
        </is>
      </c>
      <c r="B8583" t="inlineStr">
        <is>
          <t>avverkningsanmälan</t>
        </is>
      </c>
      <c r="C8583" t="inlineStr">
        <is>
          <t>Föryngringsavverkning</t>
        </is>
      </c>
      <c r="D8583" s="1" t="n">
        <v>45603</v>
      </c>
      <c r="E8583" s="1" t="n">
        <v>46319</v>
      </c>
      <c r="F8583" t="inlineStr">
        <is>
          <t>DALARNAS LÄN</t>
        </is>
      </c>
      <c r="G8583" t="inlineStr">
        <is>
          <t>LUDVIKA</t>
        </is>
      </c>
      <c r="H8583" t="inlineStr">
        <is>
          <t>Naturvårdsverket</t>
        </is>
      </c>
      <c r="I8583" t="n">
        <v>0.8</v>
      </c>
      <c r="J8583" t="n">
        <v>0</v>
      </c>
      <c r="K8583" t="n">
        <v>0</v>
      </c>
      <c r="L8583" t="n">
        <v>0</v>
      </c>
      <c r="M8583" t="n">
        <v>0</v>
      </c>
      <c r="N8583" t="n">
        <v>0</v>
      </c>
      <c r="O8583" t="n">
        <v>0</v>
      </c>
      <c r="P8583" t="n">
        <v>0</v>
      </c>
      <c r="Q8583" t="n">
        <v>0</v>
      </c>
      <c r="R8583" t="n">
        <v>0</v>
      </c>
      <c r="S8583" t="n">
        <v>0</v>
      </c>
      <c r="T8583" t="n">
        <v>0</v>
      </c>
      <c r="U8583" t="n">
        <v>0</v>
      </c>
      <c r="V8583" s="2" t="inlineStr"/>
    </row>
    <row r="8584" ht="15" customHeight="1">
      <c r="A8584" t="inlineStr">
        <is>
          <t>A 53333-2024</t>
        </is>
      </c>
      <c r="B8584" t="inlineStr">
        <is>
          <t>avverkningsanmälan</t>
        </is>
      </c>
      <c r="C8584" t="inlineStr">
        <is>
          <t>Föryngringsavverkning</t>
        </is>
      </c>
      <c r="D8584" s="1" t="n">
        <v>45614</v>
      </c>
      <c r="E8584" s="1" t="n">
        <v>46319</v>
      </c>
      <c r="F8584" t="inlineStr">
        <is>
          <t>DALARNAS LÄN</t>
        </is>
      </c>
      <c r="G8584" t="inlineStr">
        <is>
          <t>MALUNG-SÄLEN</t>
        </is>
      </c>
      <c r="I8584" t="n">
        <v>0.6</v>
      </c>
      <c r="J8584" t="n">
        <v>0</v>
      </c>
      <c r="K8584" t="n">
        <v>0</v>
      </c>
      <c r="L8584" t="n">
        <v>0</v>
      </c>
      <c r="M8584" t="n">
        <v>0</v>
      </c>
      <c r="N8584" t="n">
        <v>0</v>
      </c>
      <c r="O8584" t="n">
        <v>0</v>
      </c>
      <c r="P8584" t="n">
        <v>0</v>
      </c>
      <c r="Q8584" t="n">
        <v>0</v>
      </c>
      <c r="R8584" t="n">
        <v>0</v>
      </c>
      <c r="S8584" t="n">
        <v>0</v>
      </c>
      <c r="T8584" t="n">
        <v>0</v>
      </c>
      <c r="U8584" t="n">
        <v>0</v>
      </c>
      <c r="V8584" s="2" t="inlineStr"/>
    </row>
    <row r="8585" ht="15" customHeight="1">
      <c r="A8585" t="inlineStr">
        <is>
          <t>A 45047-2024</t>
        </is>
      </c>
      <c r="B8585" t="inlineStr">
        <is>
          <t>avverkningsanmälan</t>
        </is>
      </c>
      <c r="C8585" t="inlineStr">
        <is>
          <t>Avverkning för annat ändamål</t>
        </is>
      </c>
      <c r="D8585" s="1" t="n">
        <v>45575</v>
      </c>
      <c r="E8585" s="1" t="n">
        <v>46319</v>
      </c>
      <c r="F8585" t="inlineStr">
        <is>
          <t>DALARNAS LÄN</t>
        </is>
      </c>
      <c r="G8585" t="inlineStr">
        <is>
          <t>RÄTTVIK</t>
        </is>
      </c>
      <c r="H8585" t="inlineStr">
        <is>
          <t>Bergvik skog väst AB</t>
        </is>
      </c>
      <c r="I8585" t="n">
        <v>1.5</v>
      </c>
      <c r="J8585" t="n">
        <v>0</v>
      </c>
      <c r="K8585" t="n">
        <v>0</v>
      </c>
      <c r="L8585" t="n">
        <v>0</v>
      </c>
      <c r="M8585" t="n">
        <v>0</v>
      </c>
      <c r="N8585" t="n">
        <v>0</v>
      </c>
      <c r="O8585" t="n">
        <v>0</v>
      </c>
      <c r="P8585" t="n">
        <v>0</v>
      </c>
      <c r="Q8585" t="n">
        <v>0</v>
      </c>
      <c r="R8585" t="n">
        <v>0</v>
      </c>
      <c r="S8585" t="n">
        <v>0</v>
      </c>
      <c r="T8585" t="n">
        <v>0</v>
      </c>
      <c r="U8585" t="n">
        <v>0</v>
      </c>
      <c r="V8585" s="2" t="inlineStr"/>
    </row>
    <row r="8586" ht="15" customHeight="1">
      <c r="A8586" t="inlineStr">
        <is>
          <t>A 501-2024</t>
        </is>
      </c>
      <c r="B8586" t="inlineStr">
        <is>
          <t>avverkningsanmälan</t>
        </is>
      </c>
      <c r="C8586" t="inlineStr">
        <is>
          <t>Föryngringsavverkning</t>
        </is>
      </c>
      <c r="D8586" s="1" t="n">
        <v>45299</v>
      </c>
      <c r="E8586" s="1" t="n">
        <v>46319</v>
      </c>
      <c r="F8586" t="inlineStr">
        <is>
          <t>DALARNAS LÄN</t>
        </is>
      </c>
      <c r="G8586" t="inlineStr">
        <is>
          <t>MORA</t>
        </is>
      </c>
      <c r="I8586" t="n">
        <v>2.5</v>
      </c>
      <c r="J8586" t="n">
        <v>0</v>
      </c>
      <c r="K8586" t="n">
        <v>0</v>
      </c>
      <c r="L8586" t="n">
        <v>0</v>
      </c>
      <c r="M8586" t="n">
        <v>0</v>
      </c>
      <c r="N8586" t="n">
        <v>0</v>
      </c>
      <c r="O8586" t="n">
        <v>0</v>
      </c>
      <c r="P8586" t="n">
        <v>0</v>
      </c>
      <c r="Q8586" t="n">
        <v>0</v>
      </c>
      <c r="R8586" t="n">
        <v>0</v>
      </c>
      <c r="S8586" t="n">
        <v>0</v>
      </c>
      <c r="T8586" t="n">
        <v>0</v>
      </c>
      <c r="U8586" t="n">
        <v>0</v>
      </c>
      <c r="V8586" s="2" t="inlineStr"/>
    </row>
    <row r="8587" ht="15" customHeight="1">
      <c r="A8587" t="inlineStr">
        <is>
          <t>A 64327-2023</t>
        </is>
      </c>
      <c r="B8587" t="inlineStr">
        <is>
          <t>avverkningsanmälan</t>
        </is>
      </c>
      <c r="C8587" t="inlineStr">
        <is>
          <t>Föryngringsavverkning</t>
        </is>
      </c>
      <c r="D8587" s="1" t="n">
        <v>45280</v>
      </c>
      <c r="E8587" s="1" t="n">
        <v>46319</v>
      </c>
      <c r="F8587" t="inlineStr">
        <is>
          <t>DALARNAS LÄN</t>
        </is>
      </c>
      <c r="G8587" t="inlineStr">
        <is>
          <t>MORA</t>
        </is>
      </c>
      <c r="I8587" t="n">
        <v>0.8</v>
      </c>
      <c r="J8587" t="n">
        <v>0</v>
      </c>
      <c r="K8587" t="n">
        <v>0</v>
      </c>
      <c r="L8587" t="n">
        <v>0</v>
      </c>
      <c r="M8587" t="n">
        <v>0</v>
      </c>
      <c r="N8587" t="n">
        <v>0</v>
      </c>
      <c r="O8587" t="n">
        <v>0</v>
      </c>
      <c r="P8587" t="n">
        <v>0</v>
      </c>
      <c r="Q8587" t="n">
        <v>0</v>
      </c>
      <c r="R8587" t="n">
        <v>0</v>
      </c>
      <c r="S8587" t="n">
        <v>0</v>
      </c>
      <c r="T8587" t="n">
        <v>0</v>
      </c>
      <c r="U8587" t="n">
        <v>0</v>
      </c>
      <c r="V8587" s="2" t="inlineStr"/>
    </row>
    <row r="8588" ht="15" customHeight="1">
      <c r="A8588" t="inlineStr">
        <is>
          <t>A 24181-2023</t>
        </is>
      </c>
      <c r="B8588" t="inlineStr">
        <is>
          <t>avverkningsanmälan</t>
        </is>
      </c>
      <c r="C8588" t="inlineStr">
        <is>
          <t>Föryngringsavverkning</t>
        </is>
      </c>
      <c r="D8588" s="1" t="n">
        <v>45079</v>
      </c>
      <c r="E8588" s="1" t="n">
        <v>46319</v>
      </c>
      <c r="F8588" t="inlineStr">
        <is>
          <t>DALARNAS LÄN</t>
        </is>
      </c>
      <c r="G8588" t="inlineStr">
        <is>
          <t>BORLÄNGE</t>
        </is>
      </c>
      <c r="I8588" t="n">
        <v>1</v>
      </c>
      <c r="J8588" t="n">
        <v>0</v>
      </c>
      <c r="K8588" t="n">
        <v>0</v>
      </c>
      <c r="L8588" t="n">
        <v>0</v>
      </c>
      <c r="M8588" t="n">
        <v>0</v>
      </c>
      <c r="N8588" t="n">
        <v>0</v>
      </c>
      <c r="O8588" t="n">
        <v>0</v>
      </c>
      <c r="P8588" t="n">
        <v>0</v>
      </c>
      <c r="Q8588" t="n">
        <v>0</v>
      </c>
      <c r="R8588" t="n">
        <v>0</v>
      </c>
      <c r="S8588" t="n">
        <v>0</v>
      </c>
      <c r="T8588" t="n">
        <v>0</v>
      </c>
      <c r="U8588" t="n">
        <v>0</v>
      </c>
      <c r="V8588" s="2" t="inlineStr"/>
    </row>
    <row r="8589" ht="15" customHeight="1">
      <c r="A8589" t="inlineStr">
        <is>
          <t>A 25296-2022</t>
        </is>
      </c>
      <c r="B8589" t="inlineStr">
        <is>
          <t>avverkningsanmälan</t>
        </is>
      </c>
      <c r="C8589" t="inlineStr">
        <is>
          <t>Föryngringsavverkning</t>
        </is>
      </c>
      <c r="D8589" s="1" t="n">
        <v>44730</v>
      </c>
      <c r="E8589" s="1" t="n">
        <v>46319</v>
      </c>
      <c r="F8589" t="inlineStr">
        <is>
          <t>DALARNAS LÄN</t>
        </is>
      </c>
      <c r="G8589" t="inlineStr">
        <is>
          <t>LUDVIKA</t>
        </is>
      </c>
      <c r="H8589" t="inlineStr">
        <is>
          <t>Bergvik skog väst AB</t>
        </is>
      </c>
      <c r="I8589" t="n">
        <v>1.1</v>
      </c>
      <c r="J8589" t="n">
        <v>0</v>
      </c>
      <c r="K8589" t="n">
        <v>0</v>
      </c>
      <c r="L8589" t="n">
        <v>0</v>
      </c>
      <c r="M8589" t="n">
        <v>0</v>
      </c>
      <c r="N8589" t="n">
        <v>0</v>
      </c>
      <c r="O8589" t="n">
        <v>0</v>
      </c>
      <c r="P8589" t="n">
        <v>0</v>
      </c>
      <c r="Q8589" t="n">
        <v>0</v>
      </c>
      <c r="R8589" t="n">
        <v>0</v>
      </c>
      <c r="S8589" t="n">
        <v>0</v>
      </c>
      <c r="T8589" t="n">
        <v>0</v>
      </c>
      <c r="U8589" t="n">
        <v>0</v>
      </c>
      <c r="V8589" s="2" t="inlineStr"/>
    </row>
    <row r="8590" ht="15" customHeight="1">
      <c r="A8590" t="inlineStr">
        <is>
          <t>A 53139-2023</t>
        </is>
      </c>
      <c r="B8590" t="inlineStr">
        <is>
          <t>avverkningsanmälan</t>
        </is>
      </c>
      <c r="C8590" t="inlineStr">
        <is>
          <t>Föryngringsavverkning</t>
        </is>
      </c>
      <c r="D8590" s="1" t="n">
        <v>45229</v>
      </c>
      <c r="E8590" s="1" t="n">
        <v>46319</v>
      </c>
      <c r="F8590" t="inlineStr">
        <is>
          <t>DALARNAS LÄN</t>
        </is>
      </c>
      <c r="G8590" t="inlineStr">
        <is>
          <t>SMEDJEBACKEN</t>
        </is>
      </c>
      <c r="H8590" t="inlineStr">
        <is>
          <t>Övriga Aktiebolag</t>
        </is>
      </c>
      <c r="I8590" t="n">
        <v>13.8</v>
      </c>
      <c r="J8590" t="n">
        <v>0</v>
      </c>
      <c r="K8590" t="n">
        <v>0</v>
      </c>
      <c r="L8590" t="n">
        <v>0</v>
      </c>
      <c r="M8590" t="n">
        <v>0</v>
      </c>
      <c r="N8590" t="n">
        <v>0</v>
      </c>
      <c r="O8590" t="n">
        <v>0</v>
      </c>
      <c r="P8590" t="n">
        <v>0</v>
      </c>
      <c r="Q8590" t="n">
        <v>0</v>
      </c>
      <c r="R8590" t="n">
        <v>0</v>
      </c>
      <c r="S8590" t="n">
        <v>0</v>
      </c>
      <c r="T8590" t="n">
        <v>0</v>
      </c>
      <c r="U8590" t="n">
        <v>0</v>
      </c>
      <c r="V8590" s="2" t="inlineStr"/>
    </row>
    <row r="8591" ht="15" customHeight="1">
      <c r="A8591" t="inlineStr">
        <is>
          <t>A 13772-2025</t>
        </is>
      </c>
      <c r="B8591" t="inlineStr">
        <is>
          <t>avverkningsanmälan</t>
        </is>
      </c>
      <c r="C8591" t="inlineStr">
        <is>
          <t>Föryngringsavverkning</t>
        </is>
      </c>
      <c r="D8591" s="1" t="n">
        <v>45737</v>
      </c>
      <c r="E8591" s="1" t="n">
        <v>46319</v>
      </c>
      <c r="F8591" t="inlineStr">
        <is>
          <t>DALARNAS LÄN</t>
        </is>
      </c>
      <c r="G8591" t="inlineStr">
        <is>
          <t>RÄTTVIK</t>
        </is>
      </c>
      <c r="I8591" t="n">
        <v>3.1</v>
      </c>
      <c r="J8591" t="n">
        <v>0</v>
      </c>
      <c r="K8591" t="n">
        <v>0</v>
      </c>
      <c r="L8591" t="n">
        <v>0</v>
      </c>
      <c r="M8591" t="n">
        <v>0</v>
      </c>
      <c r="N8591" t="n">
        <v>0</v>
      </c>
      <c r="O8591" t="n">
        <v>0</v>
      </c>
      <c r="P8591" t="n">
        <v>0</v>
      </c>
      <c r="Q8591" t="n">
        <v>0</v>
      </c>
      <c r="R8591" t="n">
        <v>0</v>
      </c>
      <c r="S8591" t="n">
        <v>0</v>
      </c>
      <c r="T8591" t="n">
        <v>0</v>
      </c>
      <c r="U8591" t="n">
        <v>0</v>
      </c>
      <c r="V8591" s="2" t="inlineStr"/>
    </row>
    <row r="8592" ht="15" customHeight="1">
      <c r="A8592" t="inlineStr">
        <is>
          <t>A 17494-2025</t>
        </is>
      </c>
      <c r="B8592" t="inlineStr">
        <is>
          <t>avverkningsanmälan</t>
        </is>
      </c>
      <c r="C8592" t="inlineStr">
        <is>
          <t>Föryngringsavverkning</t>
        </is>
      </c>
      <c r="D8592" s="1" t="n">
        <v>45757</v>
      </c>
      <c r="E8592" s="1" t="n">
        <v>46319</v>
      </c>
      <c r="F8592" t="inlineStr">
        <is>
          <t>DALARNAS LÄN</t>
        </is>
      </c>
      <c r="G8592" t="inlineStr">
        <is>
          <t>MORA</t>
        </is>
      </c>
      <c r="I8592" t="n">
        <v>5.3</v>
      </c>
      <c r="J8592" t="n">
        <v>0</v>
      </c>
      <c r="K8592" t="n">
        <v>0</v>
      </c>
      <c r="L8592" t="n">
        <v>0</v>
      </c>
      <c r="M8592" t="n">
        <v>0</v>
      </c>
      <c r="N8592" t="n">
        <v>0</v>
      </c>
      <c r="O8592" t="n">
        <v>0</v>
      </c>
      <c r="P8592" t="n">
        <v>0</v>
      </c>
      <c r="Q8592" t="n">
        <v>0</v>
      </c>
      <c r="R8592" t="n">
        <v>0</v>
      </c>
      <c r="S8592" t="n">
        <v>0</v>
      </c>
      <c r="T8592" t="n">
        <v>0</v>
      </c>
      <c r="U8592" t="n">
        <v>0</v>
      </c>
      <c r="V8592" s="2" t="inlineStr"/>
    </row>
    <row r="8593" ht="15" customHeight="1">
      <c r="A8593" t="inlineStr">
        <is>
          <t>A 17500-2025</t>
        </is>
      </c>
      <c r="B8593" t="inlineStr">
        <is>
          <t>avverkningsanmälan</t>
        </is>
      </c>
      <c r="C8593" t="inlineStr">
        <is>
          <t>Föryngringsavverkning</t>
        </is>
      </c>
      <c r="D8593" s="1" t="n">
        <v>45757</v>
      </c>
      <c r="E8593" s="1" t="n">
        <v>46319</v>
      </c>
      <c r="F8593" t="inlineStr">
        <is>
          <t>DALARNAS LÄN</t>
        </is>
      </c>
      <c r="G8593" t="inlineStr">
        <is>
          <t>ORSA</t>
        </is>
      </c>
      <c r="I8593" t="n">
        <v>1.9</v>
      </c>
      <c r="J8593" t="n">
        <v>0</v>
      </c>
      <c r="K8593" t="n">
        <v>0</v>
      </c>
      <c r="L8593" t="n">
        <v>0</v>
      </c>
      <c r="M8593" t="n">
        <v>0</v>
      </c>
      <c r="N8593" t="n">
        <v>0</v>
      </c>
      <c r="O8593" t="n">
        <v>0</v>
      </c>
      <c r="P8593" t="n">
        <v>0</v>
      </c>
      <c r="Q8593" t="n">
        <v>0</v>
      </c>
      <c r="R8593" t="n">
        <v>0</v>
      </c>
      <c r="S8593" t="n">
        <v>0</v>
      </c>
      <c r="T8593" t="n">
        <v>0</v>
      </c>
      <c r="U8593" t="n">
        <v>0</v>
      </c>
      <c r="V8593" s="2" t="inlineStr"/>
    </row>
    <row r="8594" ht="15" customHeight="1">
      <c r="A8594" t="inlineStr">
        <is>
          <t>A 17507-2025</t>
        </is>
      </c>
      <c r="B8594" t="inlineStr">
        <is>
          <t>avverkningsanmälan</t>
        </is>
      </c>
      <c r="C8594" t="inlineStr">
        <is>
          <t>Föryngringsavverkning</t>
        </is>
      </c>
      <c r="D8594" s="1" t="n">
        <v>45757</v>
      </c>
      <c r="E8594" s="1" t="n">
        <v>46319</v>
      </c>
      <c r="F8594" t="inlineStr">
        <is>
          <t>DALARNAS LÄN</t>
        </is>
      </c>
      <c r="G8594" t="inlineStr">
        <is>
          <t>FALUN</t>
        </is>
      </c>
      <c r="H8594" t="inlineStr">
        <is>
          <t>Bergvik skog väst AB</t>
        </is>
      </c>
      <c r="I8594" t="n">
        <v>11.2</v>
      </c>
      <c r="J8594" t="n">
        <v>0</v>
      </c>
      <c r="K8594" t="n">
        <v>0</v>
      </c>
      <c r="L8594" t="n">
        <v>0</v>
      </c>
      <c r="M8594" t="n">
        <v>0</v>
      </c>
      <c r="N8594" t="n">
        <v>0</v>
      </c>
      <c r="O8594" t="n">
        <v>0</v>
      </c>
      <c r="P8594" t="n">
        <v>0</v>
      </c>
      <c r="Q8594" t="n">
        <v>0</v>
      </c>
      <c r="R8594" t="n">
        <v>0</v>
      </c>
      <c r="S8594" t="n">
        <v>0</v>
      </c>
      <c r="T8594" t="n">
        <v>0</v>
      </c>
      <c r="U8594" t="n">
        <v>0</v>
      </c>
      <c r="V8594" s="2" t="inlineStr"/>
    </row>
    <row r="8595" ht="15" customHeight="1">
      <c r="A8595" t="inlineStr">
        <is>
          <t>A 59346-2024</t>
        </is>
      </c>
      <c r="B8595" t="inlineStr">
        <is>
          <t>avverkningsanmälan</t>
        </is>
      </c>
      <c r="C8595" t="inlineStr">
        <is>
          <t>Föryngringsavverkning</t>
        </is>
      </c>
      <c r="D8595" s="1" t="n">
        <v>45637</v>
      </c>
      <c r="E8595" s="1" t="n">
        <v>46319</v>
      </c>
      <c r="F8595" t="inlineStr">
        <is>
          <t>DALARNAS LÄN</t>
        </is>
      </c>
      <c r="G8595" t="inlineStr">
        <is>
          <t>LUDVIKA</t>
        </is>
      </c>
      <c r="I8595" t="n">
        <v>0.5</v>
      </c>
      <c r="J8595" t="n">
        <v>0</v>
      </c>
      <c r="K8595" t="n">
        <v>0</v>
      </c>
      <c r="L8595" t="n">
        <v>0</v>
      </c>
      <c r="M8595" t="n">
        <v>0</v>
      </c>
      <c r="N8595" t="n">
        <v>0</v>
      </c>
      <c r="O8595" t="n">
        <v>0</v>
      </c>
      <c r="P8595" t="n">
        <v>0</v>
      </c>
      <c r="Q8595" t="n">
        <v>0</v>
      </c>
      <c r="R8595" t="n">
        <v>0</v>
      </c>
      <c r="S8595" t="n">
        <v>0</v>
      </c>
      <c r="T8595" t="n">
        <v>0</v>
      </c>
      <c r="U8595" t="n">
        <v>0</v>
      </c>
      <c r="V8595" s="2" t="inlineStr"/>
    </row>
    <row r="8596" ht="15" customHeight="1">
      <c r="A8596" t="inlineStr">
        <is>
          <t>A 55290-2022</t>
        </is>
      </c>
      <c r="B8596" t="inlineStr">
        <is>
          <t>avverkningsanmälan</t>
        </is>
      </c>
      <c r="C8596" t="inlineStr">
        <is>
          <t>Föryngringsavverkning</t>
        </is>
      </c>
      <c r="D8596" s="1" t="n">
        <v>44887</v>
      </c>
      <c r="E8596" s="1" t="n">
        <v>46319</v>
      </c>
      <c r="F8596" t="inlineStr">
        <is>
          <t>DALARNAS LÄN</t>
        </is>
      </c>
      <c r="G8596" t="inlineStr">
        <is>
          <t>FALUN</t>
        </is>
      </c>
      <c r="I8596" t="n">
        <v>4.7</v>
      </c>
      <c r="J8596" t="n">
        <v>0</v>
      </c>
      <c r="K8596" t="n">
        <v>0</v>
      </c>
      <c r="L8596" t="n">
        <v>0</v>
      </c>
      <c r="M8596" t="n">
        <v>0</v>
      </c>
      <c r="N8596" t="n">
        <v>0</v>
      </c>
      <c r="O8596" t="n">
        <v>0</v>
      </c>
      <c r="P8596" t="n">
        <v>0</v>
      </c>
      <c r="Q8596" t="n">
        <v>0</v>
      </c>
      <c r="R8596" t="n">
        <v>0</v>
      </c>
      <c r="S8596" t="n">
        <v>0</v>
      </c>
      <c r="T8596" t="n">
        <v>0</v>
      </c>
      <c r="U8596" t="n">
        <v>0</v>
      </c>
      <c r="V8596" s="2" t="inlineStr"/>
    </row>
    <row r="8597" ht="15" customHeight="1">
      <c r="A8597" t="inlineStr">
        <is>
          <t>A 28451-2023</t>
        </is>
      </c>
      <c r="B8597" t="inlineStr">
        <is>
          <t>avverkningsanmälan</t>
        </is>
      </c>
      <c r="C8597" t="inlineStr">
        <is>
          <t>Föryngringsavverkning</t>
        </is>
      </c>
      <c r="D8597" s="1" t="n">
        <v>45103</v>
      </c>
      <c r="E8597" s="1" t="n">
        <v>46319</v>
      </c>
      <c r="F8597" t="inlineStr">
        <is>
          <t>DALARNAS LÄN</t>
        </is>
      </c>
      <c r="G8597" t="inlineStr">
        <is>
          <t>ORSA</t>
        </is>
      </c>
      <c r="I8597" t="n">
        <v>0.5</v>
      </c>
      <c r="J8597" t="n">
        <v>0</v>
      </c>
      <c r="K8597" t="n">
        <v>0</v>
      </c>
      <c r="L8597" t="n">
        <v>0</v>
      </c>
      <c r="M8597" t="n">
        <v>0</v>
      </c>
      <c r="N8597" t="n">
        <v>0</v>
      </c>
      <c r="O8597" t="n">
        <v>0</v>
      </c>
      <c r="P8597" t="n">
        <v>0</v>
      </c>
      <c r="Q8597" t="n">
        <v>0</v>
      </c>
      <c r="R8597" t="n">
        <v>0</v>
      </c>
      <c r="S8597" t="n">
        <v>0</v>
      </c>
      <c r="T8597" t="n">
        <v>0</v>
      </c>
      <c r="U8597" t="n">
        <v>0</v>
      </c>
      <c r="V8597" s="2" t="inlineStr"/>
    </row>
    <row r="8598" ht="15" customHeight="1">
      <c r="A8598" t="inlineStr">
        <is>
          <t>A 57390-2022</t>
        </is>
      </c>
      <c r="B8598" t="inlineStr">
        <is>
          <t>avverkningsanmälan</t>
        </is>
      </c>
      <c r="C8598" t="inlineStr">
        <is>
          <t>Föryngringsavverkning</t>
        </is>
      </c>
      <c r="D8598" s="1" t="n">
        <v>44896</v>
      </c>
      <c r="E8598" s="1" t="n">
        <v>46319</v>
      </c>
      <c r="F8598" t="inlineStr">
        <is>
          <t>DALARNAS LÄN</t>
        </is>
      </c>
      <c r="G8598" t="inlineStr">
        <is>
          <t>SMEDJEBACKEN</t>
        </is>
      </c>
      <c r="I8598" t="n">
        <v>1.7</v>
      </c>
      <c r="J8598" t="n">
        <v>0</v>
      </c>
      <c r="K8598" t="n">
        <v>0</v>
      </c>
      <c r="L8598" t="n">
        <v>0</v>
      </c>
      <c r="M8598" t="n">
        <v>0</v>
      </c>
      <c r="N8598" t="n">
        <v>0</v>
      </c>
      <c r="O8598" t="n">
        <v>0</v>
      </c>
      <c r="P8598" t="n">
        <v>0</v>
      </c>
      <c r="Q8598" t="n">
        <v>0</v>
      </c>
      <c r="R8598" t="n">
        <v>0</v>
      </c>
      <c r="S8598" t="n">
        <v>0</v>
      </c>
      <c r="T8598" t="n">
        <v>0</v>
      </c>
      <c r="U8598" t="n">
        <v>0</v>
      </c>
      <c r="V8598" s="2" t="inlineStr"/>
    </row>
    <row r="8599" ht="15" customHeight="1">
      <c r="A8599" t="inlineStr">
        <is>
          <t>A 15989-2024</t>
        </is>
      </c>
      <c r="B8599" t="inlineStr">
        <is>
          <t>avverkningsanmälan</t>
        </is>
      </c>
      <c r="C8599" t="inlineStr">
        <is>
          <t>Föryngringsavverkning</t>
        </is>
      </c>
      <c r="D8599" s="1" t="n">
        <v>45405</v>
      </c>
      <c r="E8599" s="1" t="n">
        <v>46319</v>
      </c>
      <c r="F8599" t="inlineStr">
        <is>
          <t>DALARNAS LÄN</t>
        </is>
      </c>
      <c r="G8599" t="inlineStr">
        <is>
          <t>BORLÄNGE</t>
        </is>
      </c>
      <c r="I8599" t="n">
        <v>0.8</v>
      </c>
      <c r="J8599" t="n">
        <v>0</v>
      </c>
      <c r="K8599" t="n">
        <v>0</v>
      </c>
      <c r="L8599" t="n">
        <v>0</v>
      </c>
      <c r="M8599" t="n">
        <v>0</v>
      </c>
      <c r="N8599" t="n">
        <v>0</v>
      </c>
      <c r="O8599" t="n">
        <v>0</v>
      </c>
      <c r="P8599" t="n">
        <v>0</v>
      </c>
      <c r="Q8599" t="n">
        <v>0</v>
      </c>
      <c r="R8599" t="n">
        <v>0</v>
      </c>
      <c r="S8599" t="n">
        <v>0</v>
      </c>
      <c r="T8599" t="n">
        <v>0</v>
      </c>
      <c r="U8599" t="n">
        <v>0</v>
      </c>
      <c r="V8599" s="2" t="inlineStr"/>
    </row>
    <row r="8600" ht="15" customHeight="1">
      <c r="A8600" t="inlineStr">
        <is>
          <t>A 58018-2022</t>
        </is>
      </c>
      <c r="B8600" t="inlineStr">
        <is>
          <t>avverkningsanmälan</t>
        </is>
      </c>
      <c r="C8600" t="inlineStr">
        <is>
          <t>Föryngringsavverkning</t>
        </is>
      </c>
      <c r="D8600" s="1" t="n">
        <v>44900</v>
      </c>
      <c r="E8600" s="1" t="n">
        <v>46319</v>
      </c>
      <c r="F8600" t="inlineStr">
        <is>
          <t>DALARNAS LÄN</t>
        </is>
      </c>
      <c r="G8600" t="inlineStr">
        <is>
          <t>HEDEMORA</t>
        </is>
      </c>
      <c r="I8600" t="n">
        <v>3.6</v>
      </c>
      <c r="J8600" t="n">
        <v>0</v>
      </c>
      <c r="K8600" t="n">
        <v>0</v>
      </c>
      <c r="L8600" t="n">
        <v>0</v>
      </c>
      <c r="M8600" t="n">
        <v>0</v>
      </c>
      <c r="N8600" t="n">
        <v>0</v>
      </c>
      <c r="O8600" t="n">
        <v>0</v>
      </c>
      <c r="P8600" t="n">
        <v>0</v>
      </c>
      <c r="Q8600" t="n">
        <v>0</v>
      </c>
      <c r="R8600" t="n">
        <v>0</v>
      </c>
      <c r="S8600" t="n">
        <v>0</v>
      </c>
      <c r="T8600" t="n">
        <v>0</v>
      </c>
      <c r="U8600" t="n">
        <v>0</v>
      </c>
      <c r="V8600" s="2" t="inlineStr"/>
    </row>
    <row r="8601" ht="15" customHeight="1">
      <c r="A8601" t="inlineStr">
        <is>
          <t>A 23896-2024</t>
        </is>
      </c>
      <c r="B8601" t="inlineStr">
        <is>
          <t>avverkningsanmälan</t>
        </is>
      </c>
      <c r="C8601" t="inlineStr">
        <is>
          <t>Avverkning för annat ändamål</t>
        </is>
      </c>
      <c r="D8601" s="1" t="n">
        <v>45455</v>
      </c>
      <c r="E8601" s="1" t="n">
        <v>46319</v>
      </c>
      <c r="F8601" t="inlineStr">
        <is>
          <t>DALARNAS LÄN</t>
        </is>
      </c>
      <c r="G8601" t="inlineStr">
        <is>
          <t>LEKSAND</t>
        </is>
      </c>
      <c r="H8601" t="inlineStr">
        <is>
          <t>Övriga Aktiebolag</t>
        </is>
      </c>
      <c r="I8601" t="n">
        <v>0.9</v>
      </c>
      <c r="J8601" t="n">
        <v>0</v>
      </c>
      <c r="K8601" t="n">
        <v>0</v>
      </c>
      <c r="L8601" t="n">
        <v>0</v>
      </c>
      <c r="M8601" t="n">
        <v>0</v>
      </c>
      <c r="N8601" t="n">
        <v>0</v>
      </c>
      <c r="O8601" t="n">
        <v>0</v>
      </c>
      <c r="P8601" t="n">
        <v>0</v>
      </c>
      <c r="Q8601" t="n">
        <v>0</v>
      </c>
      <c r="R8601" t="n">
        <v>0</v>
      </c>
      <c r="S8601" t="n">
        <v>0</v>
      </c>
      <c r="T8601" t="n">
        <v>0</v>
      </c>
      <c r="U8601" t="n">
        <v>0</v>
      </c>
      <c r="V8601" s="2" t="inlineStr"/>
    </row>
    <row r="8602" ht="15" customHeight="1">
      <c r="A8602" t="inlineStr">
        <is>
          <t>A 58958-2022</t>
        </is>
      </c>
      <c r="B8602" t="inlineStr">
        <is>
          <t>avverkningsanmälan</t>
        </is>
      </c>
      <c r="C8602" t="inlineStr">
        <is>
          <t>Föryngringsavverkning</t>
        </is>
      </c>
      <c r="D8602" s="1" t="n">
        <v>44903</v>
      </c>
      <c r="E8602" s="1" t="n">
        <v>46319</v>
      </c>
      <c r="F8602" t="inlineStr">
        <is>
          <t>DALARNAS LÄN</t>
        </is>
      </c>
      <c r="G8602" t="inlineStr">
        <is>
          <t>MORA</t>
        </is>
      </c>
      <c r="I8602" t="n">
        <v>1.1</v>
      </c>
      <c r="J8602" t="n">
        <v>0</v>
      </c>
      <c r="K8602" t="n">
        <v>0</v>
      </c>
      <c r="L8602" t="n">
        <v>0</v>
      </c>
      <c r="M8602" t="n">
        <v>0</v>
      </c>
      <c r="N8602" t="n">
        <v>0</v>
      </c>
      <c r="O8602" t="n">
        <v>0</v>
      </c>
      <c r="P8602" t="n">
        <v>0</v>
      </c>
      <c r="Q8602" t="n">
        <v>0</v>
      </c>
      <c r="R8602" t="n">
        <v>0</v>
      </c>
      <c r="S8602" t="n">
        <v>0</v>
      </c>
      <c r="T8602" t="n">
        <v>0</v>
      </c>
      <c r="U8602" t="n">
        <v>0</v>
      </c>
      <c r="V8602" s="2" t="inlineStr"/>
    </row>
    <row r="8603" ht="15" customHeight="1">
      <c r="A8603" t="inlineStr">
        <is>
          <t>A 58094-2022</t>
        </is>
      </c>
      <c r="B8603" t="inlineStr">
        <is>
          <t>avverkningsanmälan</t>
        </is>
      </c>
      <c r="C8603" t="inlineStr">
        <is>
          <t>Föryngringsavverkning</t>
        </is>
      </c>
      <c r="D8603" s="1" t="n">
        <v>44900</v>
      </c>
      <c r="E8603" s="1" t="n">
        <v>46319</v>
      </c>
      <c r="F8603" t="inlineStr">
        <is>
          <t>DALARNAS LÄN</t>
        </is>
      </c>
      <c r="G8603" t="inlineStr">
        <is>
          <t>AVESTA</t>
        </is>
      </c>
      <c r="I8603" t="n">
        <v>0.8</v>
      </c>
      <c r="J8603" t="n">
        <v>0</v>
      </c>
      <c r="K8603" t="n">
        <v>0</v>
      </c>
      <c r="L8603" t="n">
        <v>0</v>
      </c>
      <c r="M8603" t="n">
        <v>0</v>
      </c>
      <c r="N8603" t="n">
        <v>0</v>
      </c>
      <c r="O8603" t="n">
        <v>0</v>
      </c>
      <c r="P8603" t="n">
        <v>0</v>
      </c>
      <c r="Q8603" t="n">
        <v>0</v>
      </c>
      <c r="R8603" t="n">
        <v>0</v>
      </c>
      <c r="S8603" t="n">
        <v>0</v>
      </c>
      <c r="T8603" t="n">
        <v>0</v>
      </c>
      <c r="U8603" t="n">
        <v>0</v>
      </c>
      <c r="V8603" s="2" t="inlineStr"/>
    </row>
    <row r="8604" ht="15" customHeight="1">
      <c r="A8604" t="inlineStr">
        <is>
          <t>A 8429-2024</t>
        </is>
      </c>
      <c r="B8604" t="inlineStr">
        <is>
          <t>avverkningsanmälan</t>
        </is>
      </c>
      <c r="C8604" t="inlineStr">
        <is>
          <t>Avverkning för annat ändamål</t>
        </is>
      </c>
      <c r="D8604" s="1" t="n">
        <v>45353</v>
      </c>
      <c r="E8604" s="1" t="n">
        <v>46319</v>
      </c>
      <c r="F8604" t="inlineStr">
        <is>
          <t>DALARNAS LÄN</t>
        </is>
      </c>
      <c r="G8604" t="inlineStr">
        <is>
          <t>ORSA</t>
        </is>
      </c>
      <c r="I8604" t="n">
        <v>0.3</v>
      </c>
      <c r="J8604" t="n">
        <v>0</v>
      </c>
      <c r="K8604" t="n">
        <v>0</v>
      </c>
      <c r="L8604" t="n">
        <v>0</v>
      </c>
      <c r="M8604" t="n">
        <v>0</v>
      </c>
      <c r="N8604" t="n">
        <v>0</v>
      </c>
      <c r="O8604" t="n">
        <v>0</v>
      </c>
      <c r="P8604" t="n">
        <v>0</v>
      </c>
      <c r="Q8604" t="n">
        <v>0</v>
      </c>
      <c r="R8604" t="n">
        <v>0</v>
      </c>
      <c r="S8604" t="n">
        <v>0</v>
      </c>
      <c r="T8604" t="n">
        <v>0</v>
      </c>
      <c r="U8604" t="n">
        <v>0</v>
      </c>
      <c r="V8604" s="2" t="inlineStr"/>
    </row>
    <row r="8605" ht="15" customHeight="1">
      <c r="A8605" t="inlineStr">
        <is>
          <t>A 26598-2023</t>
        </is>
      </c>
      <c r="B8605" t="inlineStr">
        <is>
          <t>avverkningsanmälan</t>
        </is>
      </c>
      <c r="C8605" t="inlineStr">
        <is>
          <t>Föryngringsavverkning</t>
        </is>
      </c>
      <c r="D8605" s="1" t="n">
        <v>45092</v>
      </c>
      <c r="E8605" s="1" t="n">
        <v>46319</v>
      </c>
      <c r="F8605" t="inlineStr">
        <is>
          <t>DALARNAS LÄN</t>
        </is>
      </c>
      <c r="G8605" t="inlineStr">
        <is>
          <t>FALUN</t>
        </is>
      </c>
      <c r="I8605" t="n">
        <v>0.7</v>
      </c>
      <c r="J8605" t="n">
        <v>0</v>
      </c>
      <c r="K8605" t="n">
        <v>0</v>
      </c>
      <c r="L8605" t="n">
        <v>0</v>
      </c>
      <c r="M8605" t="n">
        <v>0</v>
      </c>
      <c r="N8605" t="n">
        <v>0</v>
      </c>
      <c r="O8605" t="n">
        <v>0</v>
      </c>
      <c r="P8605" t="n">
        <v>0</v>
      </c>
      <c r="Q8605" t="n">
        <v>0</v>
      </c>
      <c r="R8605" t="n">
        <v>0</v>
      </c>
      <c r="S8605" t="n">
        <v>0</v>
      </c>
      <c r="T8605" t="n">
        <v>0</v>
      </c>
      <c r="U8605" t="n">
        <v>0</v>
      </c>
      <c r="V8605" s="2" t="inlineStr"/>
    </row>
    <row r="8606" ht="15" customHeight="1">
      <c r="A8606" t="inlineStr">
        <is>
          <t>A 29188-2023</t>
        </is>
      </c>
      <c r="B8606" t="inlineStr">
        <is>
          <t>avverkningsanmälan</t>
        </is>
      </c>
      <c r="C8606" t="inlineStr">
        <is>
          <t>Föryngringsavverkning</t>
        </is>
      </c>
      <c r="D8606" s="1" t="n">
        <v>45105</v>
      </c>
      <c r="E8606" s="1" t="n">
        <v>46319</v>
      </c>
      <c r="F8606" t="inlineStr">
        <is>
          <t>DALARNAS LÄN</t>
        </is>
      </c>
      <c r="G8606" t="inlineStr">
        <is>
          <t>MORA</t>
        </is>
      </c>
      <c r="I8606" t="n">
        <v>0.8</v>
      </c>
      <c r="J8606" t="n">
        <v>0</v>
      </c>
      <c r="K8606" t="n">
        <v>0</v>
      </c>
      <c r="L8606" t="n">
        <v>0</v>
      </c>
      <c r="M8606" t="n">
        <v>0</v>
      </c>
      <c r="N8606" t="n">
        <v>0</v>
      </c>
      <c r="O8606" t="n">
        <v>0</v>
      </c>
      <c r="P8606" t="n">
        <v>0</v>
      </c>
      <c r="Q8606" t="n">
        <v>0</v>
      </c>
      <c r="R8606" t="n">
        <v>0</v>
      </c>
      <c r="S8606" t="n">
        <v>0</v>
      </c>
      <c r="T8606" t="n">
        <v>0</v>
      </c>
      <c r="U8606" t="n">
        <v>0</v>
      </c>
      <c r="V8606" s="2" t="inlineStr"/>
    </row>
    <row r="8607" ht="15" customHeight="1">
      <c r="A8607" t="inlineStr">
        <is>
          <t>A 28578-2023</t>
        </is>
      </c>
      <c r="B8607" t="inlineStr">
        <is>
          <t>avverkningsanmälan</t>
        </is>
      </c>
      <c r="C8607" t="inlineStr">
        <is>
          <t>Föryngringsavverkning</t>
        </is>
      </c>
      <c r="D8607" s="1" t="n">
        <v>45103</v>
      </c>
      <c r="E8607" s="1" t="n">
        <v>46319</v>
      </c>
      <c r="F8607" t="inlineStr">
        <is>
          <t>DALARNAS LÄN</t>
        </is>
      </c>
      <c r="G8607" t="inlineStr">
        <is>
          <t>LEKSAND</t>
        </is>
      </c>
      <c r="I8607" t="n">
        <v>4.4</v>
      </c>
      <c r="J8607" t="n">
        <v>0</v>
      </c>
      <c r="K8607" t="n">
        <v>0</v>
      </c>
      <c r="L8607" t="n">
        <v>0</v>
      </c>
      <c r="M8607" t="n">
        <v>0</v>
      </c>
      <c r="N8607" t="n">
        <v>0</v>
      </c>
      <c r="O8607" t="n">
        <v>0</v>
      </c>
      <c r="P8607" t="n">
        <v>0</v>
      </c>
      <c r="Q8607" t="n">
        <v>0</v>
      </c>
      <c r="R8607" t="n">
        <v>0</v>
      </c>
      <c r="S8607" t="n">
        <v>0</v>
      </c>
      <c r="T8607" t="n">
        <v>0</v>
      </c>
      <c r="U8607" t="n">
        <v>0</v>
      </c>
      <c r="V8607" s="2" t="inlineStr"/>
    </row>
    <row r="8608" ht="15" customHeight="1">
      <c r="A8608" t="inlineStr">
        <is>
          <t>A 61288-2022</t>
        </is>
      </c>
      <c r="B8608" t="inlineStr">
        <is>
          <t>avverkningsanmälan</t>
        </is>
      </c>
      <c r="C8608" t="inlineStr">
        <is>
          <t>Föryngringsavverkning</t>
        </is>
      </c>
      <c r="D8608" s="1" t="n">
        <v>44915</v>
      </c>
      <c r="E8608" s="1" t="n">
        <v>46319</v>
      </c>
      <c r="F8608" t="inlineStr">
        <is>
          <t>DALARNAS LÄN</t>
        </is>
      </c>
      <c r="G8608" t="inlineStr">
        <is>
          <t>LEKSAND</t>
        </is>
      </c>
      <c r="I8608" t="n">
        <v>1.7</v>
      </c>
      <c r="J8608" t="n">
        <v>0</v>
      </c>
      <c r="K8608" t="n">
        <v>0</v>
      </c>
      <c r="L8608" t="n">
        <v>0</v>
      </c>
      <c r="M8608" t="n">
        <v>0</v>
      </c>
      <c r="N8608" t="n">
        <v>0</v>
      </c>
      <c r="O8608" t="n">
        <v>0</v>
      </c>
      <c r="P8608" t="n">
        <v>0</v>
      </c>
      <c r="Q8608" t="n">
        <v>0</v>
      </c>
      <c r="R8608" t="n">
        <v>0</v>
      </c>
      <c r="S8608" t="n">
        <v>0</v>
      </c>
      <c r="T8608" t="n">
        <v>0</v>
      </c>
      <c r="U8608" t="n">
        <v>0</v>
      </c>
      <c r="V8608" s="2" t="inlineStr"/>
    </row>
    <row r="8609" ht="15" customHeight="1">
      <c r="A8609" t="inlineStr">
        <is>
          <t>A 20936-2023</t>
        </is>
      </c>
      <c r="B8609" t="inlineStr">
        <is>
          <t>avverkningsanmälan</t>
        </is>
      </c>
      <c r="C8609" t="inlineStr">
        <is>
          <t>Föryngringsavverkning</t>
        </is>
      </c>
      <c r="D8609" s="1" t="n">
        <v>45061</v>
      </c>
      <c r="E8609" s="1" t="n">
        <v>46319</v>
      </c>
      <c r="F8609" t="inlineStr">
        <is>
          <t>DALARNAS LÄN</t>
        </is>
      </c>
      <c r="G8609" t="inlineStr">
        <is>
          <t>LEKSAND</t>
        </is>
      </c>
      <c r="I8609" t="n">
        <v>0.3</v>
      </c>
      <c r="J8609" t="n">
        <v>0</v>
      </c>
      <c r="K8609" t="n">
        <v>0</v>
      </c>
      <c r="L8609" t="n">
        <v>0</v>
      </c>
      <c r="M8609" t="n">
        <v>0</v>
      </c>
      <c r="N8609" t="n">
        <v>0</v>
      </c>
      <c r="O8609" t="n">
        <v>0</v>
      </c>
      <c r="P8609" t="n">
        <v>0</v>
      </c>
      <c r="Q8609" t="n">
        <v>0</v>
      </c>
      <c r="R8609" t="n">
        <v>0</v>
      </c>
      <c r="S8609" t="n">
        <v>0</v>
      </c>
      <c r="T8609" t="n">
        <v>0</v>
      </c>
      <c r="U8609" t="n">
        <v>0</v>
      </c>
      <c r="V8609" s="2" t="inlineStr"/>
    </row>
    <row r="8610" ht="15" customHeight="1">
      <c r="A8610" t="inlineStr">
        <is>
          <t>A 29360-2023</t>
        </is>
      </c>
      <c r="B8610" t="inlineStr">
        <is>
          <t>avverkningsanmälan</t>
        </is>
      </c>
      <c r="C8610" t="inlineStr">
        <is>
          <t>Föryngringsavverkning</t>
        </is>
      </c>
      <c r="D8610" s="1" t="n">
        <v>45106</v>
      </c>
      <c r="E8610" s="1" t="n">
        <v>46319</v>
      </c>
      <c r="F8610" t="inlineStr">
        <is>
          <t>DALARNAS LÄN</t>
        </is>
      </c>
      <c r="G8610" t="inlineStr">
        <is>
          <t>RÄTTVIK</t>
        </is>
      </c>
      <c r="I8610" t="n">
        <v>0.9</v>
      </c>
      <c r="J8610" t="n">
        <v>0</v>
      </c>
      <c r="K8610" t="n">
        <v>0</v>
      </c>
      <c r="L8610" t="n">
        <v>0</v>
      </c>
      <c r="M8610" t="n">
        <v>0</v>
      </c>
      <c r="N8610" t="n">
        <v>0</v>
      </c>
      <c r="O8610" t="n">
        <v>0</v>
      </c>
      <c r="P8610" t="n">
        <v>0</v>
      </c>
      <c r="Q8610" t="n">
        <v>0</v>
      </c>
      <c r="R8610" t="n">
        <v>0</v>
      </c>
      <c r="S8610" t="n">
        <v>0</v>
      </c>
      <c r="T8610" t="n">
        <v>0</v>
      </c>
      <c r="U8610" t="n">
        <v>0</v>
      </c>
      <c r="V8610" s="2" t="inlineStr"/>
    </row>
    <row r="8611" ht="15" customHeight="1">
      <c r="A8611" t="inlineStr">
        <is>
          <t>A 442-2024</t>
        </is>
      </c>
      <c r="B8611" t="inlineStr">
        <is>
          <t>avverkningsanmälan</t>
        </is>
      </c>
      <c r="C8611" t="inlineStr">
        <is>
          <t>Föryngringsavverkning</t>
        </is>
      </c>
      <c r="D8611" s="1" t="n">
        <v>45296</v>
      </c>
      <c r="E8611" s="1" t="n">
        <v>46319</v>
      </c>
      <c r="F8611" t="inlineStr">
        <is>
          <t>DALARNAS LÄN</t>
        </is>
      </c>
      <c r="G8611" t="inlineStr">
        <is>
          <t>MORA</t>
        </is>
      </c>
      <c r="I8611" t="n">
        <v>0.5</v>
      </c>
      <c r="J8611" t="n">
        <v>0</v>
      </c>
      <c r="K8611" t="n">
        <v>0</v>
      </c>
      <c r="L8611" t="n">
        <v>0</v>
      </c>
      <c r="M8611" t="n">
        <v>0</v>
      </c>
      <c r="N8611" t="n">
        <v>0</v>
      </c>
      <c r="O8611" t="n">
        <v>0</v>
      </c>
      <c r="P8611" t="n">
        <v>0</v>
      </c>
      <c r="Q8611" t="n">
        <v>0</v>
      </c>
      <c r="R8611" t="n">
        <v>0</v>
      </c>
      <c r="S8611" t="n">
        <v>0</v>
      </c>
      <c r="T8611" t="n">
        <v>0</v>
      </c>
      <c r="U8611" t="n">
        <v>0</v>
      </c>
      <c r="V8611" s="2" t="inlineStr"/>
    </row>
    <row r="8612" ht="15" customHeight="1">
      <c r="A8612" t="inlineStr">
        <is>
          <t>A 16351-2025</t>
        </is>
      </c>
      <c r="B8612" t="inlineStr">
        <is>
          <t>avverkningsanmälan</t>
        </is>
      </c>
      <c r="C8612" t="inlineStr">
        <is>
          <t>Föryngringsavverkning</t>
        </is>
      </c>
      <c r="D8612" s="1" t="n">
        <v>45751</v>
      </c>
      <c r="E8612" s="1" t="n">
        <v>46319</v>
      </c>
      <c r="F8612" t="inlineStr">
        <is>
          <t>DALARNAS LÄN</t>
        </is>
      </c>
      <c r="G8612" t="inlineStr">
        <is>
          <t>SMEDJEBACKEN</t>
        </is>
      </c>
      <c r="I8612" t="n">
        <v>1.3</v>
      </c>
      <c r="J8612" t="n">
        <v>0</v>
      </c>
      <c r="K8612" t="n">
        <v>0</v>
      </c>
      <c r="L8612" t="n">
        <v>0</v>
      </c>
      <c r="M8612" t="n">
        <v>0</v>
      </c>
      <c r="N8612" t="n">
        <v>0</v>
      </c>
      <c r="O8612" t="n">
        <v>0</v>
      </c>
      <c r="P8612" t="n">
        <v>0</v>
      </c>
      <c r="Q8612" t="n">
        <v>0</v>
      </c>
      <c r="R8612" t="n">
        <v>0</v>
      </c>
      <c r="S8612" t="n">
        <v>0</v>
      </c>
      <c r="T8612" t="n">
        <v>0</v>
      </c>
      <c r="U8612" t="n">
        <v>0</v>
      </c>
      <c r="V8612" s="2" t="inlineStr"/>
    </row>
    <row r="8613" ht="15" customHeight="1">
      <c r="A8613" t="inlineStr">
        <is>
          <t>A 28155-2023</t>
        </is>
      </c>
      <c r="B8613" t="inlineStr">
        <is>
          <t>avverkningsanmälan</t>
        </is>
      </c>
      <c r="C8613" t="inlineStr">
        <is>
          <t>Föryngringsavverkning</t>
        </is>
      </c>
      <c r="D8613" s="1" t="n">
        <v>45099</v>
      </c>
      <c r="E8613" s="1" t="n">
        <v>46319</v>
      </c>
      <c r="F8613" t="inlineStr">
        <is>
          <t>DALARNAS LÄN</t>
        </is>
      </c>
      <c r="G8613" t="inlineStr">
        <is>
          <t>ORSA</t>
        </is>
      </c>
      <c r="H8613" t="inlineStr">
        <is>
          <t>Bergvik skog öst AB</t>
        </is>
      </c>
      <c r="I8613" t="n">
        <v>7.8</v>
      </c>
      <c r="J8613" t="n">
        <v>0</v>
      </c>
      <c r="K8613" t="n">
        <v>0</v>
      </c>
      <c r="L8613" t="n">
        <v>0</v>
      </c>
      <c r="M8613" t="n">
        <v>0</v>
      </c>
      <c r="N8613" t="n">
        <v>0</v>
      </c>
      <c r="O8613" t="n">
        <v>0</v>
      </c>
      <c r="P8613" t="n">
        <v>0</v>
      </c>
      <c r="Q8613" t="n">
        <v>0</v>
      </c>
      <c r="R8613" t="n">
        <v>0</v>
      </c>
      <c r="S8613" t="n">
        <v>0</v>
      </c>
      <c r="T8613" t="n">
        <v>0</v>
      </c>
      <c r="U8613" t="n">
        <v>0</v>
      </c>
      <c r="V8613" s="2" t="inlineStr"/>
    </row>
    <row r="8614" ht="15" customHeight="1">
      <c r="A8614" t="inlineStr">
        <is>
          <t>A 28157-2023</t>
        </is>
      </c>
      <c r="B8614" t="inlineStr">
        <is>
          <t>avverkningsanmälan</t>
        </is>
      </c>
      <c r="C8614" t="inlineStr">
        <is>
          <t>Föryngringsavverkning</t>
        </is>
      </c>
      <c r="D8614" s="1" t="n">
        <v>45099</v>
      </c>
      <c r="E8614" s="1" t="n">
        <v>46319</v>
      </c>
      <c r="F8614" t="inlineStr">
        <is>
          <t>DALARNAS LÄN</t>
        </is>
      </c>
      <c r="G8614" t="inlineStr">
        <is>
          <t>LUDVIKA</t>
        </is>
      </c>
      <c r="H8614" t="inlineStr">
        <is>
          <t>Bergvik skog väst AB</t>
        </is>
      </c>
      <c r="I8614" t="n">
        <v>0.8</v>
      </c>
      <c r="J8614" t="n">
        <v>0</v>
      </c>
      <c r="K8614" t="n">
        <v>0</v>
      </c>
      <c r="L8614" t="n">
        <v>0</v>
      </c>
      <c r="M8614" t="n">
        <v>0</v>
      </c>
      <c r="N8614" t="n">
        <v>0</v>
      </c>
      <c r="O8614" t="n">
        <v>0</v>
      </c>
      <c r="P8614" t="n">
        <v>0</v>
      </c>
      <c r="Q8614" t="n">
        <v>0</v>
      </c>
      <c r="R8614" t="n">
        <v>0</v>
      </c>
      <c r="S8614" t="n">
        <v>0</v>
      </c>
      <c r="T8614" t="n">
        <v>0</v>
      </c>
      <c r="U8614" t="n">
        <v>0</v>
      </c>
      <c r="V8614" s="2" t="inlineStr"/>
    </row>
    <row r="8615" ht="15" customHeight="1">
      <c r="A8615" t="inlineStr">
        <is>
          <t>A 29050-2023</t>
        </is>
      </c>
      <c r="B8615" t="inlineStr">
        <is>
          <t>avverkningsanmälan</t>
        </is>
      </c>
      <c r="C8615" t="inlineStr">
        <is>
          <t>Avverkning för annat ändamål</t>
        </is>
      </c>
      <c r="D8615" s="1" t="n">
        <v>45104</v>
      </c>
      <c r="E8615" s="1" t="n">
        <v>46319</v>
      </c>
      <c r="F8615" t="inlineStr">
        <is>
          <t>DALARNAS LÄN</t>
        </is>
      </c>
      <c r="G8615" t="inlineStr">
        <is>
          <t>HEDEMORA</t>
        </is>
      </c>
      <c r="H8615" t="inlineStr">
        <is>
          <t>Sveaskog</t>
        </is>
      </c>
      <c r="I8615" t="n">
        <v>1.3</v>
      </c>
      <c r="J8615" t="n">
        <v>0</v>
      </c>
      <c r="K8615" t="n">
        <v>0</v>
      </c>
      <c r="L8615" t="n">
        <v>0</v>
      </c>
      <c r="M8615" t="n">
        <v>0</v>
      </c>
      <c r="N8615" t="n">
        <v>0</v>
      </c>
      <c r="O8615" t="n">
        <v>0</v>
      </c>
      <c r="P8615" t="n">
        <v>0</v>
      </c>
      <c r="Q8615" t="n">
        <v>0</v>
      </c>
      <c r="R8615" t="n">
        <v>0</v>
      </c>
      <c r="S8615" t="n">
        <v>0</v>
      </c>
      <c r="T8615" t="n">
        <v>0</v>
      </c>
      <c r="U8615" t="n">
        <v>0</v>
      </c>
      <c r="V8615" s="2" t="inlineStr"/>
    </row>
    <row r="8616" ht="15" customHeight="1">
      <c r="A8616" t="inlineStr">
        <is>
          <t>A 29084-2023</t>
        </is>
      </c>
      <c r="B8616" t="inlineStr">
        <is>
          <t>avverkningsanmälan</t>
        </is>
      </c>
      <c r="C8616" t="inlineStr">
        <is>
          <t>Föryngringsavverkning</t>
        </is>
      </c>
      <c r="D8616" s="1" t="n">
        <v>45105</v>
      </c>
      <c r="E8616" s="1" t="n">
        <v>46319</v>
      </c>
      <c r="F8616" t="inlineStr">
        <is>
          <t>DALARNAS LÄN</t>
        </is>
      </c>
      <c r="G8616" t="inlineStr">
        <is>
          <t>FALUN</t>
        </is>
      </c>
      <c r="I8616" t="n">
        <v>1.7</v>
      </c>
      <c r="J8616" t="n">
        <v>0</v>
      </c>
      <c r="K8616" t="n">
        <v>0</v>
      </c>
      <c r="L8616" t="n">
        <v>0</v>
      </c>
      <c r="M8616" t="n">
        <v>0</v>
      </c>
      <c r="N8616" t="n">
        <v>0</v>
      </c>
      <c r="O8616" t="n">
        <v>0</v>
      </c>
      <c r="P8616" t="n">
        <v>0</v>
      </c>
      <c r="Q8616" t="n">
        <v>0</v>
      </c>
      <c r="R8616" t="n">
        <v>0</v>
      </c>
      <c r="S8616" t="n">
        <v>0</v>
      </c>
      <c r="T8616" t="n">
        <v>0</v>
      </c>
      <c r="U8616" t="n">
        <v>0</v>
      </c>
      <c r="V8616" s="2" t="inlineStr"/>
    </row>
    <row r="8617" ht="15" customHeight="1">
      <c r="A8617" t="inlineStr">
        <is>
          <t>A 29141-2023</t>
        </is>
      </c>
      <c r="B8617" t="inlineStr">
        <is>
          <t>avverkningsanmälan</t>
        </is>
      </c>
      <c r="C8617" t="inlineStr">
        <is>
          <t>Föryngringsavverkning</t>
        </is>
      </c>
      <c r="D8617" s="1" t="n">
        <v>45105</v>
      </c>
      <c r="E8617" s="1" t="n">
        <v>46319</v>
      </c>
      <c r="F8617" t="inlineStr">
        <is>
          <t>DALARNAS LÄN</t>
        </is>
      </c>
      <c r="G8617" t="inlineStr">
        <is>
          <t>RÄTTVIK</t>
        </is>
      </c>
      <c r="I8617" t="n">
        <v>1.4</v>
      </c>
      <c r="J8617" t="n">
        <v>0</v>
      </c>
      <c r="K8617" t="n">
        <v>0</v>
      </c>
      <c r="L8617" t="n">
        <v>0</v>
      </c>
      <c r="M8617" t="n">
        <v>0</v>
      </c>
      <c r="N8617" t="n">
        <v>0</v>
      </c>
      <c r="O8617" t="n">
        <v>0</v>
      </c>
      <c r="P8617" t="n">
        <v>0</v>
      </c>
      <c r="Q8617" t="n">
        <v>0</v>
      </c>
      <c r="R8617" t="n">
        <v>0</v>
      </c>
      <c r="S8617" t="n">
        <v>0</v>
      </c>
      <c r="T8617" t="n">
        <v>0</v>
      </c>
      <c r="U8617" t="n">
        <v>0</v>
      </c>
      <c r="V8617" s="2" t="inlineStr"/>
    </row>
    <row r="8618" ht="15" customHeight="1">
      <c r="A8618" t="inlineStr">
        <is>
          <t>A 63929-2023</t>
        </is>
      </c>
      <c r="B8618" t="inlineStr">
        <is>
          <t>avverkningsanmälan</t>
        </is>
      </c>
      <c r="C8618" t="inlineStr">
        <is>
          <t>Föryngringsavverkning</t>
        </is>
      </c>
      <c r="D8618" s="1" t="n">
        <v>45278</v>
      </c>
      <c r="E8618" s="1" t="n">
        <v>46319</v>
      </c>
      <c r="F8618" t="inlineStr">
        <is>
          <t>DALARNAS LÄN</t>
        </is>
      </c>
      <c r="G8618" t="inlineStr">
        <is>
          <t>HEDEMORA</t>
        </is>
      </c>
      <c r="I8618" t="n">
        <v>0.4</v>
      </c>
      <c r="J8618" t="n">
        <v>0</v>
      </c>
      <c r="K8618" t="n">
        <v>0</v>
      </c>
      <c r="L8618" t="n">
        <v>0</v>
      </c>
      <c r="M8618" t="n">
        <v>0</v>
      </c>
      <c r="N8618" t="n">
        <v>0</v>
      </c>
      <c r="O8618" t="n">
        <v>0</v>
      </c>
      <c r="P8618" t="n">
        <v>0</v>
      </c>
      <c r="Q8618" t="n">
        <v>0</v>
      </c>
      <c r="R8618" t="n">
        <v>0</v>
      </c>
      <c r="S8618" t="n">
        <v>0</v>
      </c>
      <c r="T8618" t="n">
        <v>0</v>
      </c>
      <c r="U8618" t="n">
        <v>0</v>
      </c>
      <c r="V8618" s="2" t="inlineStr"/>
    </row>
    <row r="8619" ht="15" customHeight="1">
      <c r="A8619" t="inlineStr">
        <is>
          <t>A 51567-2023</t>
        </is>
      </c>
      <c r="B8619" t="inlineStr">
        <is>
          <t>avverkningsanmälan</t>
        </is>
      </c>
      <c r="C8619" t="inlineStr">
        <is>
          <t>Föryngringsavverkning</t>
        </is>
      </c>
      <c r="D8619" s="1" t="n">
        <v>45222</v>
      </c>
      <c r="E8619" s="1" t="n">
        <v>46319</v>
      </c>
      <c r="F8619" t="inlineStr">
        <is>
          <t>DALARNAS LÄN</t>
        </is>
      </c>
      <c r="G8619" t="inlineStr">
        <is>
          <t>ORSA</t>
        </is>
      </c>
      <c r="I8619" t="n">
        <v>0.7</v>
      </c>
      <c r="J8619" t="n">
        <v>0</v>
      </c>
      <c r="K8619" t="n">
        <v>0</v>
      </c>
      <c r="L8619" t="n">
        <v>0</v>
      </c>
      <c r="M8619" t="n">
        <v>0</v>
      </c>
      <c r="N8619" t="n">
        <v>0</v>
      </c>
      <c r="O8619" t="n">
        <v>0</v>
      </c>
      <c r="P8619" t="n">
        <v>0</v>
      </c>
      <c r="Q8619" t="n">
        <v>0</v>
      </c>
      <c r="R8619" t="n">
        <v>0</v>
      </c>
      <c r="S8619" t="n">
        <v>0</v>
      </c>
      <c r="T8619" t="n">
        <v>0</v>
      </c>
      <c r="U8619" t="n">
        <v>0</v>
      </c>
      <c r="V8619" s="2" t="inlineStr"/>
    </row>
    <row r="8620" ht="15" customHeight="1">
      <c r="A8620" t="inlineStr">
        <is>
          <t>A 51606-2023</t>
        </is>
      </c>
      <c r="B8620" t="inlineStr">
        <is>
          <t>avverkningsanmälan</t>
        </is>
      </c>
      <c r="C8620" t="inlineStr">
        <is>
          <t>Föryngringsavverkning</t>
        </is>
      </c>
      <c r="D8620" s="1" t="n">
        <v>45222</v>
      </c>
      <c r="E8620" s="1" t="n">
        <v>46319</v>
      </c>
      <c r="F8620" t="inlineStr">
        <is>
          <t>DALARNAS LÄN</t>
        </is>
      </c>
      <c r="G8620" t="inlineStr">
        <is>
          <t>VANSBRO</t>
        </is>
      </c>
      <c r="H8620" t="inlineStr">
        <is>
          <t>Bergvik skog väst AB</t>
        </is>
      </c>
      <c r="I8620" t="n">
        <v>4</v>
      </c>
      <c r="J8620" t="n">
        <v>0</v>
      </c>
      <c r="K8620" t="n">
        <v>0</v>
      </c>
      <c r="L8620" t="n">
        <v>0</v>
      </c>
      <c r="M8620" t="n">
        <v>0</v>
      </c>
      <c r="N8620" t="n">
        <v>0</v>
      </c>
      <c r="O8620" t="n">
        <v>0</v>
      </c>
      <c r="P8620" t="n">
        <v>0</v>
      </c>
      <c r="Q8620" t="n">
        <v>0</v>
      </c>
      <c r="R8620" t="n">
        <v>0</v>
      </c>
      <c r="S8620" t="n">
        <v>0</v>
      </c>
      <c r="T8620" t="n">
        <v>0</v>
      </c>
      <c r="U8620" t="n">
        <v>0</v>
      </c>
      <c r="V8620" s="2" t="inlineStr"/>
    </row>
    <row r="8621" ht="15" customHeight="1">
      <c r="A8621" t="inlineStr">
        <is>
          <t>A 34077-2022</t>
        </is>
      </c>
      <c r="B8621" t="inlineStr">
        <is>
          <t>avverkningsanmälan</t>
        </is>
      </c>
      <c r="C8621" t="inlineStr">
        <is>
          <t>Föryngringsavverkning</t>
        </is>
      </c>
      <c r="D8621" s="1" t="n">
        <v>44791</v>
      </c>
      <c r="E8621" s="1" t="n">
        <v>46319</v>
      </c>
      <c r="F8621" t="inlineStr">
        <is>
          <t>DALARNAS LÄN</t>
        </is>
      </c>
      <c r="G8621" t="inlineStr">
        <is>
          <t>MALUNG-SÄLEN</t>
        </is>
      </c>
      <c r="H8621" t="inlineStr">
        <is>
          <t>Bergvik skog öst AB</t>
        </is>
      </c>
      <c r="I8621" t="n">
        <v>2.4</v>
      </c>
      <c r="J8621" t="n">
        <v>0</v>
      </c>
      <c r="K8621" t="n">
        <v>0</v>
      </c>
      <c r="L8621" t="n">
        <v>0</v>
      </c>
      <c r="M8621" t="n">
        <v>0</v>
      </c>
      <c r="N8621" t="n">
        <v>0</v>
      </c>
      <c r="O8621" t="n">
        <v>0</v>
      </c>
      <c r="P8621" t="n">
        <v>0</v>
      </c>
      <c r="Q8621" t="n">
        <v>0</v>
      </c>
      <c r="R8621" t="n">
        <v>0</v>
      </c>
      <c r="S8621" t="n">
        <v>0</v>
      </c>
      <c r="T8621" t="n">
        <v>0</v>
      </c>
      <c r="U8621" t="n">
        <v>0</v>
      </c>
      <c r="V8621" s="2" t="inlineStr"/>
    </row>
    <row r="8622" ht="15" customHeight="1">
      <c r="A8622" t="inlineStr">
        <is>
          <t>A 61507-2023</t>
        </is>
      </c>
      <c r="B8622" t="inlineStr">
        <is>
          <t>avverkningsanmälan</t>
        </is>
      </c>
      <c r="C8622" t="inlineStr">
        <is>
          <t>Föryngringsavverkning</t>
        </is>
      </c>
      <c r="D8622" s="1" t="n">
        <v>45265</v>
      </c>
      <c r="E8622" s="1" t="n">
        <v>46319</v>
      </c>
      <c r="F8622" t="inlineStr">
        <is>
          <t>DALARNAS LÄN</t>
        </is>
      </c>
      <c r="G8622" t="inlineStr">
        <is>
          <t>LUDVIKA</t>
        </is>
      </c>
      <c r="I8622" t="n">
        <v>3</v>
      </c>
      <c r="J8622" t="n">
        <v>0</v>
      </c>
      <c r="K8622" t="n">
        <v>0</v>
      </c>
      <c r="L8622" t="n">
        <v>0</v>
      </c>
      <c r="M8622" t="n">
        <v>0</v>
      </c>
      <c r="N8622" t="n">
        <v>0</v>
      </c>
      <c r="O8622" t="n">
        <v>0</v>
      </c>
      <c r="P8622" t="n">
        <v>0</v>
      </c>
      <c r="Q8622" t="n">
        <v>0</v>
      </c>
      <c r="R8622" t="n">
        <v>0</v>
      </c>
      <c r="S8622" t="n">
        <v>0</v>
      </c>
      <c r="T8622" t="n">
        <v>0</v>
      </c>
      <c r="U8622" t="n">
        <v>0</v>
      </c>
      <c r="V8622" s="2" t="inlineStr"/>
    </row>
    <row r="8623" ht="15" customHeight="1">
      <c r="A8623" t="inlineStr">
        <is>
          <t>A 984-2024</t>
        </is>
      </c>
      <c r="B8623" t="inlineStr">
        <is>
          <t>avverkningsanmälan</t>
        </is>
      </c>
      <c r="C8623" t="inlineStr">
        <is>
          <t>Föryngringsavverkning</t>
        </is>
      </c>
      <c r="D8623" s="1" t="n">
        <v>45301</v>
      </c>
      <c r="E8623" s="1" t="n">
        <v>46319</v>
      </c>
      <c r="F8623" t="inlineStr">
        <is>
          <t>DALARNAS LÄN</t>
        </is>
      </c>
      <c r="G8623" t="inlineStr">
        <is>
          <t>MALUNG-SÄLEN</t>
        </is>
      </c>
      <c r="I8623" t="n">
        <v>1.4</v>
      </c>
      <c r="J8623" t="n">
        <v>0</v>
      </c>
      <c r="K8623" t="n">
        <v>0</v>
      </c>
      <c r="L8623" t="n">
        <v>0</v>
      </c>
      <c r="M8623" t="n">
        <v>0</v>
      </c>
      <c r="N8623" t="n">
        <v>0</v>
      </c>
      <c r="O8623" t="n">
        <v>0</v>
      </c>
      <c r="P8623" t="n">
        <v>0</v>
      </c>
      <c r="Q8623" t="n">
        <v>0</v>
      </c>
      <c r="R8623" t="n">
        <v>0</v>
      </c>
      <c r="S8623" t="n">
        <v>0</v>
      </c>
      <c r="T8623" t="n">
        <v>0</v>
      </c>
      <c r="U8623" t="n">
        <v>0</v>
      </c>
      <c r="V8623" s="2" t="inlineStr"/>
    </row>
    <row r="8624" ht="15" customHeight="1">
      <c r="A8624" t="inlineStr">
        <is>
          <t>A 47839-2022</t>
        </is>
      </c>
      <c r="B8624" t="inlineStr">
        <is>
          <t>avverkningsanmälan</t>
        </is>
      </c>
      <c r="C8624" t="inlineStr">
        <is>
          <t>Föryngringsavverkning</t>
        </is>
      </c>
      <c r="D8624" s="1" t="n">
        <v>44855</v>
      </c>
      <c r="E8624" s="1" t="n">
        <v>46319</v>
      </c>
      <c r="F8624" t="inlineStr">
        <is>
          <t>DALARNAS LÄN</t>
        </is>
      </c>
      <c r="G8624" t="inlineStr">
        <is>
          <t>SMEDJEBACKEN</t>
        </is>
      </c>
      <c r="H8624" t="inlineStr">
        <is>
          <t>Sveaskog</t>
        </is>
      </c>
      <c r="I8624" t="n">
        <v>6.1</v>
      </c>
      <c r="J8624" t="n">
        <v>0</v>
      </c>
      <c r="K8624" t="n">
        <v>0</v>
      </c>
      <c r="L8624" t="n">
        <v>0</v>
      </c>
      <c r="M8624" t="n">
        <v>0</v>
      </c>
      <c r="N8624" t="n">
        <v>0</v>
      </c>
      <c r="O8624" t="n">
        <v>0</v>
      </c>
      <c r="P8624" t="n">
        <v>0</v>
      </c>
      <c r="Q8624" t="n">
        <v>0</v>
      </c>
      <c r="R8624" t="n">
        <v>0</v>
      </c>
      <c r="S8624" t="n">
        <v>0</v>
      </c>
      <c r="T8624" t="n">
        <v>0</v>
      </c>
      <c r="U8624" t="n">
        <v>0</v>
      </c>
      <c r="V8624" s="2" t="inlineStr"/>
    </row>
    <row r="8625" ht="15" customHeight="1">
      <c r="A8625" t="inlineStr">
        <is>
          <t>A 58484-2023</t>
        </is>
      </c>
      <c r="B8625" t="inlineStr">
        <is>
          <t>avverkningsanmälan</t>
        </is>
      </c>
      <c r="C8625" t="inlineStr">
        <is>
          <t>Föryngringsavverkning</t>
        </is>
      </c>
      <c r="D8625" s="1" t="n">
        <v>45251</v>
      </c>
      <c r="E8625" s="1" t="n">
        <v>46319</v>
      </c>
      <c r="F8625" t="inlineStr">
        <is>
          <t>DALARNAS LÄN</t>
        </is>
      </c>
      <c r="G8625" t="inlineStr">
        <is>
          <t>RÄTTVIK</t>
        </is>
      </c>
      <c r="I8625" t="n">
        <v>2.9</v>
      </c>
      <c r="J8625" t="n">
        <v>0</v>
      </c>
      <c r="K8625" t="n">
        <v>0</v>
      </c>
      <c r="L8625" t="n">
        <v>0</v>
      </c>
      <c r="M8625" t="n">
        <v>0</v>
      </c>
      <c r="N8625" t="n">
        <v>0</v>
      </c>
      <c r="O8625" t="n">
        <v>0</v>
      </c>
      <c r="P8625" t="n">
        <v>0</v>
      </c>
      <c r="Q8625" t="n">
        <v>0</v>
      </c>
      <c r="R8625" t="n">
        <v>0</v>
      </c>
      <c r="S8625" t="n">
        <v>0</v>
      </c>
      <c r="T8625" t="n">
        <v>0</v>
      </c>
      <c r="U8625" t="n">
        <v>0</v>
      </c>
      <c r="V8625" s="2" t="inlineStr"/>
    </row>
    <row r="8626" ht="15" customHeight="1">
      <c r="A8626" t="inlineStr">
        <is>
          <t>A 6767-2024</t>
        </is>
      </c>
      <c r="B8626" t="inlineStr">
        <is>
          <t>avverkningsanmälan</t>
        </is>
      </c>
      <c r="C8626" t="inlineStr">
        <is>
          <t>Föryngringsavverkning</t>
        </is>
      </c>
      <c r="D8626" s="1" t="n">
        <v>45342</v>
      </c>
      <c r="E8626" s="1" t="n">
        <v>46319</v>
      </c>
      <c r="F8626" t="inlineStr">
        <is>
          <t>DALARNAS LÄN</t>
        </is>
      </c>
      <c r="G8626" t="inlineStr">
        <is>
          <t>SÄTER</t>
        </is>
      </c>
      <c r="I8626" t="n">
        <v>1.3</v>
      </c>
      <c r="J8626" t="n">
        <v>0</v>
      </c>
      <c r="K8626" t="n">
        <v>0</v>
      </c>
      <c r="L8626" t="n">
        <v>0</v>
      </c>
      <c r="M8626" t="n">
        <v>0</v>
      </c>
      <c r="N8626" t="n">
        <v>0</v>
      </c>
      <c r="O8626" t="n">
        <v>0</v>
      </c>
      <c r="P8626" t="n">
        <v>0</v>
      </c>
      <c r="Q8626" t="n">
        <v>0</v>
      </c>
      <c r="R8626" t="n">
        <v>0</v>
      </c>
      <c r="S8626" t="n">
        <v>0</v>
      </c>
      <c r="T8626" t="n">
        <v>0</v>
      </c>
      <c r="U8626" t="n">
        <v>0</v>
      </c>
      <c r="V8626" s="2" t="inlineStr"/>
    </row>
    <row r="8627" ht="15" customHeight="1">
      <c r="A8627" t="inlineStr">
        <is>
          <t>A 36415-2024</t>
        </is>
      </c>
      <c r="B8627" t="inlineStr">
        <is>
          <t>avverkningsanmälan</t>
        </is>
      </c>
      <c r="C8627" t="inlineStr">
        <is>
          <t>Föryngringsavverkning</t>
        </is>
      </c>
      <c r="D8627" s="1" t="n">
        <v>45536</v>
      </c>
      <c r="E8627" s="1" t="n">
        <v>46319</v>
      </c>
      <c r="F8627" t="inlineStr">
        <is>
          <t>DALARNAS LÄN</t>
        </is>
      </c>
      <c r="G8627" t="inlineStr">
        <is>
          <t>RÄTTVIK</t>
        </is>
      </c>
      <c r="I8627" t="n">
        <v>3</v>
      </c>
      <c r="J8627" t="n">
        <v>0</v>
      </c>
      <c r="K8627" t="n">
        <v>0</v>
      </c>
      <c r="L8627" t="n">
        <v>0</v>
      </c>
      <c r="M8627" t="n">
        <v>0</v>
      </c>
      <c r="N8627" t="n">
        <v>0</v>
      </c>
      <c r="O8627" t="n">
        <v>0</v>
      </c>
      <c r="P8627" t="n">
        <v>0</v>
      </c>
      <c r="Q8627" t="n">
        <v>0</v>
      </c>
      <c r="R8627" t="n">
        <v>0</v>
      </c>
      <c r="S8627" t="n">
        <v>0</v>
      </c>
      <c r="T8627" t="n">
        <v>0</v>
      </c>
      <c r="U8627" t="n">
        <v>0</v>
      </c>
      <c r="V8627" s="2" t="inlineStr"/>
    </row>
    <row r="8628" ht="15" customHeight="1">
      <c r="A8628" t="inlineStr">
        <is>
          <t>A 36422-2024</t>
        </is>
      </c>
      <c r="B8628" t="inlineStr">
        <is>
          <t>avverkningsanmälan</t>
        </is>
      </c>
      <c r="C8628" t="inlineStr">
        <is>
          <t>Föryngringsavverkning</t>
        </is>
      </c>
      <c r="D8628" s="1" t="n">
        <v>45536</v>
      </c>
      <c r="E8628" s="1" t="n">
        <v>46319</v>
      </c>
      <c r="F8628" t="inlineStr">
        <is>
          <t>DALARNAS LÄN</t>
        </is>
      </c>
      <c r="G8628" t="inlineStr">
        <is>
          <t>BORLÄNGE</t>
        </is>
      </c>
      <c r="I8628" t="n">
        <v>12.8</v>
      </c>
      <c r="J8628" t="n">
        <v>0</v>
      </c>
      <c r="K8628" t="n">
        <v>0</v>
      </c>
      <c r="L8628" t="n">
        <v>0</v>
      </c>
      <c r="M8628" t="n">
        <v>0</v>
      </c>
      <c r="N8628" t="n">
        <v>0</v>
      </c>
      <c r="O8628" t="n">
        <v>0</v>
      </c>
      <c r="P8628" t="n">
        <v>0</v>
      </c>
      <c r="Q8628" t="n">
        <v>0</v>
      </c>
      <c r="R8628" t="n">
        <v>0</v>
      </c>
      <c r="S8628" t="n">
        <v>0</v>
      </c>
      <c r="T8628" t="n">
        <v>0</v>
      </c>
      <c r="U8628" t="n">
        <v>0</v>
      </c>
      <c r="V8628" s="2" t="inlineStr"/>
    </row>
    <row r="8629" ht="15" customHeight="1">
      <c r="A8629" t="inlineStr">
        <is>
          <t>A 18050-2023</t>
        </is>
      </c>
      <c r="B8629" t="inlineStr">
        <is>
          <t>avverkningsanmälan</t>
        </is>
      </c>
      <c r="C8629" t="inlineStr">
        <is>
          <t>Föryngringsavverkning</t>
        </is>
      </c>
      <c r="D8629" s="1" t="n">
        <v>45040</v>
      </c>
      <c r="E8629" s="1" t="n">
        <v>46319</v>
      </c>
      <c r="F8629" t="inlineStr">
        <is>
          <t>DALARNAS LÄN</t>
        </is>
      </c>
      <c r="G8629" t="inlineStr">
        <is>
          <t>FALUN</t>
        </is>
      </c>
      <c r="I8629" t="n">
        <v>4.7</v>
      </c>
      <c r="J8629" t="n">
        <v>0</v>
      </c>
      <c r="K8629" t="n">
        <v>0</v>
      </c>
      <c r="L8629" t="n">
        <v>0</v>
      </c>
      <c r="M8629" t="n">
        <v>0</v>
      </c>
      <c r="N8629" t="n">
        <v>0</v>
      </c>
      <c r="O8629" t="n">
        <v>0</v>
      </c>
      <c r="P8629" t="n">
        <v>0</v>
      </c>
      <c r="Q8629" t="n">
        <v>0</v>
      </c>
      <c r="R8629" t="n">
        <v>0</v>
      </c>
      <c r="S8629" t="n">
        <v>0</v>
      </c>
      <c r="T8629" t="n">
        <v>0</v>
      </c>
      <c r="U8629" t="n">
        <v>0</v>
      </c>
      <c r="V8629" s="2" t="inlineStr"/>
    </row>
    <row r="8630" ht="15" customHeight="1">
      <c r="A8630" t="inlineStr">
        <is>
          <t>A 33627-2024</t>
        </is>
      </c>
      <c r="B8630" t="inlineStr">
        <is>
          <t>avverkningsanmälan</t>
        </is>
      </c>
      <c r="C8630" t="inlineStr">
        <is>
          <t>Föryngringsavverkning</t>
        </is>
      </c>
      <c r="D8630" s="1" t="n">
        <v>45520</v>
      </c>
      <c r="E8630" s="1" t="n">
        <v>46319</v>
      </c>
      <c r="F8630" t="inlineStr">
        <is>
          <t>DALARNAS LÄN</t>
        </is>
      </c>
      <c r="G8630" t="inlineStr">
        <is>
          <t>MORA</t>
        </is>
      </c>
      <c r="I8630" t="n">
        <v>1.1</v>
      </c>
      <c r="J8630" t="n">
        <v>0</v>
      </c>
      <c r="K8630" t="n">
        <v>0</v>
      </c>
      <c r="L8630" t="n">
        <v>0</v>
      </c>
      <c r="M8630" t="n">
        <v>0</v>
      </c>
      <c r="N8630" t="n">
        <v>0</v>
      </c>
      <c r="O8630" t="n">
        <v>0</v>
      </c>
      <c r="P8630" t="n">
        <v>0</v>
      </c>
      <c r="Q8630" t="n">
        <v>0</v>
      </c>
      <c r="R8630" t="n">
        <v>0</v>
      </c>
      <c r="S8630" t="n">
        <v>0</v>
      </c>
      <c r="T8630" t="n">
        <v>0</v>
      </c>
      <c r="U8630" t="n">
        <v>0</v>
      </c>
      <c r="V8630" s="2" t="inlineStr"/>
    </row>
    <row r="8631" ht="15" customHeight="1">
      <c r="A8631" t="inlineStr">
        <is>
          <t>A 9351-2025</t>
        </is>
      </c>
      <c r="B8631" t="inlineStr">
        <is>
          <t>avverkningsanmälan</t>
        </is>
      </c>
      <c r="C8631" t="inlineStr">
        <is>
          <t>Avverkning för annat ändamål</t>
        </is>
      </c>
      <c r="D8631" s="1" t="n">
        <v>45714</v>
      </c>
      <c r="E8631" s="1" t="n">
        <v>46319</v>
      </c>
      <c r="F8631" t="inlineStr">
        <is>
          <t>DALARNAS LÄN</t>
        </is>
      </c>
      <c r="G8631" t="inlineStr">
        <is>
          <t>MALUNG-SÄLEN</t>
        </is>
      </c>
      <c r="I8631" t="n">
        <v>1.2</v>
      </c>
      <c r="J8631" t="n">
        <v>0</v>
      </c>
      <c r="K8631" t="n">
        <v>0</v>
      </c>
      <c r="L8631" t="n">
        <v>0</v>
      </c>
      <c r="M8631" t="n">
        <v>0</v>
      </c>
      <c r="N8631" t="n">
        <v>0</v>
      </c>
      <c r="O8631" t="n">
        <v>0</v>
      </c>
      <c r="P8631" t="n">
        <v>0</v>
      </c>
      <c r="Q8631" t="n">
        <v>0</v>
      </c>
      <c r="R8631" t="n">
        <v>0</v>
      </c>
      <c r="S8631" t="n">
        <v>0</v>
      </c>
      <c r="T8631" t="n">
        <v>0</v>
      </c>
      <c r="U8631" t="n">
        <v>0</v>
      </c>
      <c r="V8631" s="2" t="inlineStr"/>
    </row>
    <row r="8632" ht="15" customHeight="1">
      <c r="A8632" t="inlineStr">
        <is>
          <t>A 52116-2022</t>
        </is>
      </c>
      <c r="B8632" t="inlineStr">
        <is>
          <t>avverkningsanmälan</t>
        </is>
      </c>
      <c r="C8632" t="inlineStr">
        <is>
          <t>Föryngringsavverkning</t>
        </is>
      </c>
      <c r="D8632" s="1" t="n">
        <v>44873</v>
      </c>
      <c r="E8632" s="1" t="n">
        <v>46319</v>
      </c>
      <c r="F8632" t="inlineStr">
        <is>
          <t>DALARNAS LÄN</t>
        </is>
      </c>
      <c r="G8632" t="inlineStr">
        <is>
          <t>FALUN</t>
        </is>
      </c>
      <c r="I8632" t="n">
        <v>3.3</v>
      </c>
      <c r="J8632" t="n">
        <v>0</v>
      </c>
      <c r="K8632" t="n">
        <v>0</v>
      </c>
      <c r="L8632" t="n">
        <v>0</v>
      </c>
      <c r="M8632" t="n">
        <v>0</v>
      </c>
      <c r="N8632" t="n">
        <v>0</v>
      </c>
      <c r="O8632" t="n">
        <v>0</v>
      </c>
      <c r="P8632" t="n">
        <v>0</v>
      </c>
      <c r="Q8632" t="n">
        <v>0</v>
      </c>
      <c r="R8632" t="n">
        <v>0</v>
      </c>
      <c r="S8632" t="n">
        <v>0</v>
      </c>
      <c r="T8632" t="n">
        <v>0</v>
      </c>
      <c r="U8632" t="n">
        <v>0</v>
      </c>
      <c r="V8632" s="2" t="inlineStr"/>
    </row>
    <row r="8633" ht="15" customHeight="1">
      <c r="A8633" t="inlineStr">
        <is>
          <t>A 37785-2024</t>
        </is>
      </c>
      <c r="B8633" t="inlineStr">
        <is>
          <t>avverkningsanmälan</t>
        </is>
      </c>
      <c r="C8633" t="inlineStr">
        <is>
          <t>Föryngringsavverkning</t>
        </is>
      </c>
      <c r="D8633" s="1" t="n">
        <v>45542</v>
      </c>
      <c r="E8633" s="1" t="n">
        <v>46319</v>
      </c>
      <c r="F8633" t="inlineStr">
        <is>
          <t>DALARNAS LÄN</t>
        </is>
      </c>
      <c r="G8633" t="inlineStr">
        <is>
          <t>BORLÄNGE</t>
        </is>
      </c>
      <c r="I8633" t="n">
        <v>0.9</v>
      </c>
      <c r="J8633" t="n">
        <v>0</v>
      </c>
      <c r="K8633" t="n">
        <v>0</v>
      </c>
      <c r="L8633" t="n">
        <v>0</v>
      </c>
      <c r="M8633" t="n">
        <v>0</v>
      </c>
      <c r="N8633" t="n">
        <v>0</v>
      </c>
      <c r="O8633" t="n">
        <v>0</v>
      </c>
      <c r="P8633" t="n">
        <v>0</v>
      </c>
      <c r="Q8633" t="n">
        <v>0</v>
      </c>
      <c r="R8633" t="n">
        <v>0</v>
      </c>
      <c r="S8633" t="n">
        <v>0</v>
      </c>
      <c r="T8633" t="n">
        <v>0</v>
      </c>
      <c r="U8633" t="n">
        <v>0</v>
      </c>
      <c r="V8633" s="2" t="inlineStr"/>
    </row>
    <row r="8634" ht="15" customHeight="1">
      <c r="A8634" t="inlineStr">
        <is>
          <t>A 17619-2025</t>
        </is>
      </c>
      <c r="B8634" t="inlineStr">
        <is>
          <t>avverkningsanmälan</t>
        </is>
      </c>
      <c r="C8634" t="inlineStr">
        <is>
          <t>Föryngringsavverkning</t>
        </is>
      </c>
      <c r="D8634" s="1" t="n">
        <v>45757</v>
      </c>
      <c r="E8634" s="1" t="n">
        <v>46319</v>
      </c>
      <c r="F8634" t="inlineStr">
        <is>
          <t>DALARNAS LÄN</t>
        </is>
      </c>
      <c r="G8634" t="inlineStr">
        <is>
          <t>MALUNG-SÄLEN</t>
        </is>
      </c>
      <c r="I8634" t="n">
        <v>3.7</v>
      </c>
      <c r="J8634" t="n">
        <v>0</v>
      </c>
      <c r="K8634" t="n">
        <v>0</v>
      </c>
      <c r="L8634" t="n">
        <v>0</v>
      </c>
      <c r="M8634" t="n">
        <v>0</v>
      </c>
      <c r="N8634" t="n">
        <v>0</v>
      </c>
      <c r="O8634" t="n">
        <v>0</v>
      </c>
      <c r="P8634" t="n">
        <v>0</v>
      </c>
      <c r="Q8634" t="n">
        <v>0</v>
      </c>
      <c r="R8634" t="n">
        <v>0</v>
      </c>
      <c r="S8634" t="n">
        <v>0</v>
      </c>
      <c r="T8634" t="n">
        <v>0</v>
      </c>
      <c r="U8634" t="n">
        <v>0</v>
      </c>
      <c r="V8634" s="2" t="inlineStr"/>
    </row>
    <row r="8635" ht="15" customHeight="1">
      <c r="A8635" t="inlineStr">
        <is>
          <t>A 52026-2023</t>
        </is>
      </c>
      <c r="B8635" t="inlineStr">
        <is>
          <t>avverkningsanmälan</t>
        </is>
      </c>
      <c r="C8635" t="inlineStr">
        <is>
          <t>Föryngringsavverkning</t>
        </is>
      </c>
      <c r="D8635" s="1" t="n">
        <v>45223</v>
      </c>
      <c r="E8635" s="1" t="n">
        <v>46319</v>
      </c>
      <c r="F8635" t="inlineStr">
        <is>
          <t>DALARNAS LÄN</t>
        </is>
      </c>
      <c r="G8635" t="inlineStr">
        <is>
          <t>FALUN</t>
        </is>
      </c>
      <c r="I8635" t="n">
        <v>0.6</v>
      </c>
      <c r="J8635" t="n">
        <v>0</v>
      </c>
      <c r="K8635" t="n">
        <v>0</v>
      </c>
      <c r="L8635" t="n">
        <v>0</v>
      </c>
      <c r="M8635" t="n">
        <v>0</v>
      </c>
      <c r="N8635" t="n">
        <v>0</v>
      </c>
      <c r="O8635" t="n">
        <v>0</v>
      </c>
      <c r="P8635" t="n">
        <v>0</v>
      </c>
      <c r="Q8635" t="n">
        <v>0</v>
      </c>
      <c r="R8635" t="n">
        <v>0</v>
      </c>
      <c r="S8635" t="n">
        <v>0</v>
      </c>
      <c r="T8635" t="n">
        <v>0</v>
      </c>
      <c r="U8635" t="n">
        <v>0</v>
      </c>
      <c r="V8635" s="2" t="inlineStr"/>
    </row>
    <row r="8636" ht="15" customHeight="1">
      <c r="A8636" t="inlineStr">
        <is>
          <t>A 43981-2022</t>
        </is>
      </c>
      <c r="B8636" t="inlineStr">
        <is>
          <t>avverkningsanmälan</t>
        </is>
      </c>
      <c r="C8636" t="inlineStr">
        <is>
          <t>Föryngringsavverkning</t>
        </is>
      </c>
      <c r="D8636" s="1" t="n">
        <v>44837</v>
      </c>
      <c r="E8636" s="1" t="n">
        <v>46319</v>
      </c>
      <c r="F8636" t="inlineStr">
        <is>
          <t>DALARNAS LÄN</t>
        </is>
      </c>
      <c r="G8636" t="inlineStr">
        <is>
          <t>MALUNG-SÄLEN</t>
        </is>
      </c>
      <c r="H8636" t="inlineStr">
        <is>
          <t>Kommuner</t>
        </is>
      </c>
      <c r="I8636" t="n">
        <v>2.5</v>
      </c>
      <c r="J8636" t="n">
        <v>0</v>
      </c>
      <c r="K8636" t="n">
        <v>0</v>
      </c>
      <c r="L8636" t="n">
        <v>0</v>
      </c>
      <c r="M8636" t="n">
        <v>0</v>
      </c>
      <c r="N8636" t="n">
        <v>0</v>
      </c>
      <c r="O8636" t="n">
        <v>0</v>
      </c>
      <c r="P8636" t="n">
        <v>0</v>
      </c>
      <c r="Q8636" t="n">
        <v>0</v>
      </c>
      <c r="R8636" t="n">
        <v>0</v>
      </c>
      <c r="S8636" t="n">
        <v>0</v>
      </c>
      <c r="T8636" t="n">
        <v>0</v>
      </c>
      <c r="U8636" t="n">
        <v>0</v>
      </c>
      <c r="V8636" s="2" t="inlineStr"/>
    </row>
    <row r="8637" ht="15" customHeight="1">
      <c r="A8637" t="inlineStr">
        <is>
          <t>A 17336-2025</t>
        </is>
      </c>
      <c r="B8637" t="inlineStr">
        <is>
          <t>avverkningsanmälan</t>
        </is>
      </c>
      <c r="C8637" t="inlineStr">
        <is>
          <t>Föryngringsavverkning</t>
        </is>
      </c>
      <c r="D8637" s="1" t="n">
        <v>45756</v>
      </c>
      <c r="E8637" s="1" t="n">
        <v>46319</v>
      </c>
      <c r="F8637" t="inlineStr">
        <is>
          <t>DALARNAS LÄN</t>
        </is>
      </c>
      <c r="G8637" t="inlineStr">
        <is>
          <t>FALUN</t>
        </is>
      </c>
      <c r="I8637" t="n">
        <v>3.2</v>
      </c>
      <c r="J8637" t="n">
        <v>0</v>
      </c>
      <c r="K8637" t="n">
        <v>0</v>
      </c>
      <c r="L8637" t="n">
        <v>0</v>
      </c>
      <c r="M8637" t="n">
        <v>0</v>
      </c>
      <c r="N8637" t="n">
        <v>0</v>
      </c>
      <c r="O8637" t="n">
        <v>0</v>
      </c>
      <c r="P8637" t="n">
        <v>0</v>
      </c>
      <c r="Q8637" t="n">
        <v>0</v>
      </c>
      <c r="R8637" t="n">
        <v>0</v>
      </c>
      <c r="S8637" t="n">
        <v>0</v>
      </c>
      <c r="T8637" t="n">
        <v>0</v>
      </c>
      <c r="U8637" t="n">
        <v>0</v>
      </c>
      <c r="V8637" s="2" t="inlineStr"/>
    </row>
    <row r="8638" ht="15" customHeight="1">
      <c r="A8638" t="inlineStr">
        <is>
          <t>A 36524-2022</t>
        </is>
      </c>
      <c r="B8638" t="inlineStr">
        <is>
          <t>avverkningsanmälan</t>
        </is>
      </c>
      <c r="C8638" t="inlineStr">
        <is>
          <t>Föryngringsavverkning</t>
        </is>
      </c>
      <c r="D8638" s="1" t="n">
        <v>44804</v>
      </c>
      <c r="E8638" s="1" t="n">
        <v>46319</v>
      </c>
      <c r="F8638" t="inlineStr">
        <is>
          <t>DALARNAS LÄN</t>
        </is>
      </c>
      <c r="G8638" t="inlineStr">
        <is>
          <t>RÄTTVIK</t>
        </is>
      </c>
      <c r="I8638" t="n">
        <v>1</v>
      </c>
      <c r="J8638" t="n">
        <v>0</v>
      </c>
      <c r="K8638" t="n">
        <v>0</v>
      </c>
      <c r="L8638" t="n">
        <v>0</v>
      </c>
      <c r="M8638" t="n">
        <v>0</v>
      </c>
      <c r="N8638" t="n">
        <v>0</v>
      </c>
      <c r="O8638" t="n">
        <v>0</v>
      </c>
      <c r="P8638" t="n">
        <v>0</v>
      </c>
      <c r="Q8638" t="n">
        <v>0</v>
      </c>
      <c r="R8638" t="n">
        <v>0</v>
      </c>
      <c r="S8638" t="n">
        <v>0</v>
      </c>
      <c r="T8638" t="n">
        <v>0</v>
      </c>
      <c r="U8638" t="n">
        <v>0</v>
      </c>
      <c r="V8638" s="2" t="inlineStr"/>
    </row>
    <row r="8639" ht="15" customHeight="1">
      <c r="A8639" t="inlineStr">
        <is>
          <t>A 17377-2025</t>
        </is>
      </c>
      <c r="B8639" t="inlineStr">
        <is>
          <t>avverkningsanmälan</t>
        </is>
      </c>
      <c r="C8639" t="inlineStr">
        <is>
          <t>Föryngringsavverkning</t>
        </is>
      </c>
      <c r="D8639" s="1" t="n">
        <v>45756</v>
      </c>
      <c r="E8639" s="1" t="n">
        <v>46319</v>
      </c>
      <c r="F8639" t="inlineStr">
        <is>
          <t>DALARNAS LÄN</t>
        </is>
      </c>
      <c r="G8639" t="inlineStr">
        <is>
          <t>LEKSAND</t>
        </is>
      </c>
      <c r="I8639" t="n">
        <v>0.9</v>
      </c>
      <c r="J8639" t="n">
        <v>0</v>
      </c>
      <c r="K8639" t="n">
        <v>0</v>
      </c>
      <c r="L8639" t="n">
        <v>0</v>
      </c>
      <c r="M8639" t="n">
        <v>0</v>
      </c>
      <c r="N8639" t="n">
        <v>0</v>
      </c>
      <c r="O8639" t="n">
        <v>0</v>
      </c>
      <c r="P8639" t="n">
        <v>0</v>
      </c>
      <c r="Q8639" t="n">
        <v>0</v>
      </c>
      <c r="R8639" t="n">
        <v>0</v>
      </c>
      <c r="S8639" t="n">
        <v>0</v>
      </c>
      <c r="T8639" t="n">
        <v>0</v>
      </c>
      <c r="U8639" t="n">
        <v>0</v>
      </c>
      <c r="V8639" s="2" t="inlineStr"/>
    </row>
    <row r="8640" ht="15" customHeight="1">
      <c r="A8640" t="inlineStr">
        <is>
          <t>A 17681-2025</t>
        </is>
      </c>
      <c r="B8640" t="inlineStr">
        <is>
          <t>avverkningsanmälan</t>
        </is>
      </c>
      <c r="C8640" t="inlineStr">
        <is>
          <t>Föryngringsavverkning</t>
        </is>
      </c>
      <c r="D8640" s="1" t="n">
        <v>45758</v>
      </c>
      <c r="E8640" s="1" t="n">
        <v>46319</v>
      </c>
      <c r="F8640" t="inlineStr">
        <is>
          <t>DALARNAS LÄN</t>
        </is>
      </c>
      <c r="G8640" t="inlineStr">
        <is>
          <t>SMEDJEBACKEN</t>
        </is>
      </c>
      <c r="I8640" t="n">
        <v>1.7</v>
      </c>
      <c r="J8640" t="n">
        <v>0</v>
      </c>
      <c r="K8640" t="n">
        <v>0</v>
      </c>
      <c r="L8640" t="n">
        <v>0</v>
      </c>
      <c r="M8640" t="n">
        <v>0</v>
      </c>
      <c r="N8640" t="n">
        <v>0</v>
      </c>
      <c r="O8640" t="n">
        <v>0</v>
      </c>
      <c r="P8640" t="n">
        <v>0</v>
      </c>
      <c r="Q8640" t="n">
        <v>0</v>
      </c>
      <c r="R8640" t="n">
        <v>0</v>
      </c>
      <c r="S8640" t="n">
        <v>0</v>
      </c>
      <c r="T8640" t="n">
        <v>0</v>
      </c>
      <c r="U8640" t="n">
        <v>0</v>
      </c>
      <c r="V8640" s="2" t="inlineStr"/>
    </row>
    <row r="8641" ht="15" customHeight="1">
      <c r="A8641" t="inlineStr">
        <is>
          <t>A 29362-2023</t>
        </is>
      </c>
      <c r="B8641" t="inlineStr">
        <is>
          <t>avverkningsanmälan</t>
        </is>
      </c>
      <c r="C8641" t="inlineStr">
        <is>
          <t>Föryngringsavverkning</t>
        </is>
      </c>
      <c r="D8641" s="1" t="n">
        <v>45106</v>
      </c>
      <c r="E8641" s="1" t="n">
        <v>46319</v>
      </c>
      <c r="F8641" t="inlineStr">
        <is>
          <t>DALARNAS LÄN</t>
        </is>
      </c>
      <c r="G8641" t="inlineStr">
        <is>
          <t>MALUNG-SÄLEN</t>
        </is>
      </c>
      <c r="H8641" t="inlineStr">
        <is>
          <t>Övriga statliga verk och myndigheter</t>
        </is>
      </c>
      <c r="I8641" t="n">
        <v>2.3</v>
      </c>
      <c r="J8641" t="n">
        <v>0</v>
      </c>
      <c r="K8641" t="n">
        <v>0</v>
      </c>
      <c r="L8641" t="n">
        <v>0</v>
      </c>
      <c r="M8641" t="n">
        <v>0</v>
      </c>
      <c r="N8641" t="n">
        <v>0</v>
      </c>
      <c r="O8641" t="n">
        <v>0</v>
      </c>
      <c r="P8641" t="n">
        <v>0</v>
      </c>
      <c r="Q8641" t="n">
        <v>0</v>
      </c>
      <c r="R8641" t="n">
        <v>0</v>
      </c>
      <c r="S8641" t="n">
        <v>0</v>
      </c>
      <c r="T8641" t="n">
        <v>0</v>
      </c>
      <c r="U8641" t="n">
        <v>0</v>
      </c>
      <c r="V8641" s="2" t="inlineStr"/>
    </row>
    <row r="8642" ht="15" customHeight="1">
      <c r="A8642" t="inlineStr">
        <is>
          <t>A 61269-2022</t>
        </is>
      </c>
      <c r="B8642" t="inlineStr">
        <is>
          <t>avverkningsanmälan</t>
        </is>
      </c>
      <c r="C8642" t="inlineStr">
        <is>
          <t>Föryngringsavverkning</t>
        </is>
      </c>
      <c r="D8642" s="1" t="n">
        <v>44909</v>
      </c>
      <c r="E8642" s="1" t="n">
        <v>46319</v>
      </c>
      <c r="F8642" t="inlineStr">
        <is>
          <t>DALARNAS LÄN</t>
        </is>
      </c>
      <c r="G8642" t="inlineStr">
        <is>
          <t>LEKSAND</t>
        </is>
      </c>
      <c r="I8642" t="n">
        <v>4.2</v>
      </c>
      <c r="J8642" t="n">
        <v>0</v>
      </c>
      <c r="K8642" t="n">
        <v>0</v>
      </c>
      <c r="L8642" t="n">
        <v>0</v>
      </c>
      <c r="M8642" t="n">
        <v>0</v>
      </c>
      <c r="N8642" t="n">
        <v>0</v>
      </c>
      <c r="O8642" t="n">
        <v>0</v>
      </c>
      <c r="P8642" t="n">
        <v>0</v>
      </c>
      <c r="Q8642" t="n">
        <v>0</v>
      </c>
      <c r="R8642" t="n">
        <v>0</v>
      </c>
      <c r="S8642" t="n">
        <v>0</v>
      </c>
      <c r="T8642" t="n">
        <v>0</v>
      </c>
      <c r="U8642" t="n">
        <v>0</v>
      </c>
      <c r="V8642" s="2" t="inlineStr"/>
    </row>
    <row r="8643" ht="15" customHeight="1">
      <c r="A8643" t="inlineStr">
        <is>
          <t>A 61293-2022</t>
        </is>
      </c>
      <c r="B8643" t="inlineStr">
        <is>
          <t>avverkningsanmälan</t>
        </is>
      </c>
      <c r="C8643" t="inlineStr">
        <is>
          <t>Avverkning för att bevara och utveckla /försöksver</t>
        </is>
      </c>
      <c r="D8643" s="1" t="n">
        <v>44915</v>
      </c>
      <c r="E8643" s="1" t="n">
        <v>46319</v>
      </c>
      <c r="F8643" t="inlineStr">
        <is>
          <t>DALARNAS LÄN</t>
        </is>
      </c>
      <c r="G8643" t="inlineStr">
        <is>
          <t>MORA</t>
        </is>
      </c>
      <c r="I8643" t="n">
        <v>0.3</v>
      </c>
      <c r="J8643" t="n">
        <v>0</v>
      </c>
      <c r="K8643" t="n">
        <v>0</v>
      </c>
      <c r="L8643" t="n">
        <v>0</v>
      </c>
      <c r="M8643" t="n">
        <v>0</v>
      </c>
      <c r="N8643" t="n">
        <v>0</v>
      </c>
      <c r="O8643" t="n">
        <v>0</v>
      </c>
      <c r="P8643" t="n">
        <v>0</v>
      </c>
      <c r="Q8643" t="n">
        <v>0</v>
      </c>
      <c r="R8643" t="n">
        <v>0</v>
      </c>
      <c r="S8643" t="n">
        <v>0</v>
      </c>
      <c r="T8643" t="n">
        <v>0</v>
      </c>
      <c r="U8643" t="n">
        <v>0</v>
      </c>
      <c r="V8643" s="2" t="inlineStr"/>
    </row>
    <row r="8644" ht="15" customHeight="1">
      <c r="A8644" t="inlineStr">
        <is>
          <t>A 6047-2023</t>
        </is>
      </c>
      <c r="B8644" t="inlineStr">
        <is>
          <t>avverkningsanmälan</t>
        </is>
      </c>
      <c r="C8644" t="inlineStr">
        <is>
          <t>Avverkning för annat ändamål</t>
        </is>
      </c>
      <c r="D8644" s="1" t="n">
        <v>44964</v>
      </c>
      <c r="E8644" s="1" t="n">
        <v>46319</v>
      </c>
      <c r="F8644" t="inlineStr">
        <is>
          <t>DALARNAS LÄN</t>
        </is>
      </c>
      <c r="G8644" t="inlineStr">
        <is>
          <t>ORSA</t>
        </is>
      </c>
      <c r="H8644" t="inlineStr">
        <is>
          <t>Bergvik skog öst AB</t>
        </is>
      </c>
      <c r="I8644" t="n">
        <v>0.2</v>
      </c>
      <c r="J8644" t="n">
        <v>0</v>
      </c>
      <c r="K8644" t="n">
        <v>0</v>
      </c>
      <c r="L8644" t="n">
        <v>0</v>
      </c>
      <c r="M8644" t="n">
        <v>0</v>
      </c>
      <c r="N8644" t="n">
        <v>0</v>
      </c>
      <c r="O8644" t="n">
        <v>0</v>
      </c>
      <c r="P8644" t="n">
        <v>0</v>
      </c>
      <c r="Q8644" t="n">
        <v>0</v>
      </c>
      <c r="R8644" t="n">
        <v>0</v>
      </c>
      <c r="S8644" t="n">
        <v>0</v>
      </c>
      <c r="T8644" t="n">
        <v>0</v>
      </c>
      <c r="U8644" t="n">
        <v>0</v>
      </c>
      <c r="V8644" s="2" t="inlineStr"/>
    </row>
    <row r="8645" ht="15" customHeight="1">
      <c r="A8645" t="inlineStr">
        <is>
          <t>A 33384-2022</t>
        </is>
      </c>
      <c r="B8645" t="inlineStr">
        <is>
          <t>avverkningsanmälan</t>
        </is>
      </c>
      <c r="C8645" t="inlineStr">
        <is>
          <t>Föryngringsavverkning</t>
        </is>
      </c>
      <c r="D8645" s="1" t="n">
        <v>44788</v>
      </c>
      <c r="E8645" s="1" t="n">
        <v>46319</v>
      </c>
      <c r="F8645" t="inlineStr">
        <is>
          <t>DALARNAS LÄN</t>
        </is>
      </c>
      <c r="G8645" t="inlineStr">
        <is>
          <t>ORSA</t>
        </is>
      </c>
      <c r="H8645" t="inlineStr">
        <is>
          <t>Bergvik skog öst AB</t>
        </is>
      </c>
      <c r="I8645" t="n">
        <v>0.7</v>
      </c>
      <c r="J8645" t="n">
        <v>0</v>
      </c>
      <c r="K8645" t="n">
        <v>0</v>
      </c>
      <c r="L8645" t="n">
        <v>0</v>
      </c>
      <c r="M8645" t="n">
        <v>0</v>
      </c>
      <c r="N8645" t="n">
        <v>0</v>
      </c>
      <c r="O8645" t="n">
        <v>0</v>
      </c>
      <c r="P8645" t="n">
        <v>0</v>
      </c>
      <c r="Q8645" t="n">
        <v>0</v>
      </c>
      <c r="R8645" t="n">
        <v>0</v>
      </c>
      <c r="S8645" t="n">
        <v>0</v>
      </c>
      <c r="T8645" t="n">
        <v>0</v>
      </c>
      <c r="U8645" t="n">
        <v>0</v>
      </c>
      <c r="V8645" s="2" t="inlineStr"/>
    </row>
    <row r="8646" ht="15" customHeight="1">
      <c r="A8646" t="inlineStr">
        <is>
          <t>A 60360-2023</t>
        </is>
      </c>
      <c r="B8646" t="inlineStr">
        <is>
          <t>avverkningsanmälan</t>
        </is>
      </c>
      <c r="C8646" t="inlineStr">
        <is>
          <t>Föryngringsavverkning</t>
        </is>
      </c>
      <c r="D8646" s="1" t="n">
        <v>45259</v>
      </c>
      <c r="E8646" s="1" t="n">
        <v>46319</v>
      </c>
      <c r="F8646" t="inlineStr">
        <is>
          <t>DALARNAS LÄN</t>
        </is>
      </c>
      <c r="G8646" t="inlineStr">
        <is>
          <t>MORA</t>
        </is>
      </c>
      <c r="I8646" t="n">
        <v>2.9</v>
      </c>
      <c r="J8646" t="n">
        <v>0</v>
      </c>
      <c r="K8646" t="n">
        <v>0</v>
      </c>
      <c r="L8646" t="n">
        <v>0</v>
      </c>
      <c r="M8646" t="n">
        <v>0</v>
      </c>
      <c r="N8646" t="n">
        <v>0</v>
      </c>
      <c r="O8646" t="n">
        <v>0</v>
      </c>
      <c r="P8646" t="n">
        <v>0</v>
      </c>
      <c r="Q8646" t="n">
        <v>0</v>
      </c>
      <c r="R8646" t="n">
        <v>0</v>
      </c>
      <c r="S8646" t="n">
        <v>0</v>
      </c>
      <c r="T8646" t="n">
        <v>0</v>
      </c>
      <c r="U8646" t="n">
        <v>0</v>
      </c>
      <c r="V8646" s="2" t="inlineStr"/>
    </row>
    <row r="8647" ht="15" customHeight="1">
      <c r="A8647" t="inlineStr">
        <is>
          <t>A 18139-2025</t>
        </is>
      </c>
      <c r="B8647" t="inlineStr">
        <is>
          <t>avverkningsanmälan</t>
        </is>
      </c>
      <c r="C8647" t="inlineStr">
        <is>
          <t>Föryngringsavverkning</t>
        </is>
      </c>
      <c r="D8647" s="1" t="n">
        <v>45761</v>
      </c>
      <c r="E8647" s="1" t="n">
        <v>46319</v>
      </c>
      <c r="F8647" t="inlineStr">
        <is>
          <t>DALARNAS LÄN</t>
        </is>
      </c>
      <c r="G8647" t="inlineStr">
        <is>
          <t>MORA</t>
        </is>
      </c>
      <c r="H8647" t="inlineStr">
        <is>
          <t>Bergvik skog öst AB</t>
        </is>
      </c>
      <c r="I8647" t="n">
        <v>3</v>
      </c>
      <c r="J8647" t="n">
        <v>0</v>
      </c>
      <c r="K8647" t="n">
        <v>0</v>
      </c>
      <c r="L8647" t="n">
        <v>0</v>
      </c>
      <c r="M8647" t="n">
        <v>0</v>
      </c>
      <c r="N8647" t="n">
        <v>0</v>
      </c>
      <c r="O8647" t="n">
        <v>0</v>
      </c>
      <c r="P8647" t="n">
        <v>0</v>
      </c>
      <c r="Q8647" t="n">
        <v>0</v>
      </c>
      <c r="R8647" t="n">
        <v>0</v>
      </c>
      <c r="S8647" t="n">
        <v>0</v>
      </c>
      <c r="T8647" t="n">
        <v>0</v>
      </c>
      <c r="U8647" t="n">
        <v>0</v>
      </c>
      <c r="V8647" s="2" t="inlineStr"/>
    </row>
    <row r="8648" ht="15" customHeight="1">
      <c r="A8648" t="inlineStr">
        <is>
          <t>A 53817-2023</t>
        </is>
      </c>
      <c r="B8648" t="inlineStr">
        <is>
          <t>avverkningsanmälan</t>
        </is>
      </c>
      <c r="C8648" t="inlineStr">
        <is>
          <t>Föryngringsavverkning</t>
        </is>
      </c>
      <c r="D8648" s="1" t="n">
        <v>45231</v>
      </c>
      <c r="E8648" s="1" t="n">
        <v>46319</v>
      </c>
      <c r="F8648" t="inlineStr">
        <is>
          <t>DALARNAS LÄN</t>
        </is>
      </c>
      <c r="G8648" t="inlineStr">
        <is>
          <t>LEKSAND</t>
        </is>
      </c>
      <c r="I8648" t="n">
        <v>1.2</v>
      </c>
      <c r="J8648" t="n">
        <v>0</v>
      </c>
      <c r="K8648" t="n">
        <v>0</v>
      </c>
      <c r="L8648" t="n">
        <v>0</v>
      </c>
      <c r="M8648" t="n">
        <v>0</v>
      </c>
      <c r="N8648" t="n">
        <v>0</v>
      </c>
      <c r="O8648" t="n">
        <v>0</v>
      </c>
      <c r="P8648" t="n">
        <v>0</v>
      </c>
      <c r="Q8648" t="n">
        <v>0</v>
      </c>
      <c r="R8648" t="n">
        <v>0</v>
      </c>
      <c r="S8648" t="n">
        <v>0</v>
      </c>
      <c r="T8648" t="n">
        <v>0</v>
      </c>
      <c r="U8648" t="n">
        <v>0</v>
      </c>
      <c r="V8648" s="2" t="inlineStr"/>
    </row>
    <row r="8649" ht="15" customHeight="1">
      <c r="A8649" t="inlineStr">
        <is>
          <t>A 25499-2024</t>
        </is>
      </c>
      <c r="B8649" t="inlineStr">
        <is>
          <t>avverkningsanmälan</t>
        </is>
      </c>
      <c r="C8649" t="inlineStr">
        <is>
          <t>Föryngringsavverkning</t>
        </is>
      </c>
      <c r="D8649" s="1" t="n">
        <v>45463</v>
      </c>
      <c r="E8649" s="1" t="n">
        <v>46319</v>
      </c>
      <c r="F8649" t="inlineStr">
        <is>
          <t>DALARNAS LÄN</t>
        </is>
      </c>
      <c r="G8649" t="inlineStr">
        <is>
          <t>MORA</t>
        </is>
      </c>
      <c r="I8649" t="n">
        <v>0.8</v>
      </c>
      <c r="J8649" t="n">
        <v>0</v>
      </c>
      <c r="K8649" t="n">
        <v>0</v>
      </c>
      <c r="L8649" t="n">
        <v>0</v>
      </c>
      <c r="M8649" t="n">
        <v>0</v>
      </c>
      <c r="N8649" t="n">
        <v>0</v>
      </c>
      <c r="O8649" t="n">
        <v>0</v>
      </c>
      <c r="P8649" t="n">
        <v>0</v>
      </c>
      <c r="Q8649" t="n">
        <v>0</v>
      </c>
      <c r="R8649" t="n">
        <v>0</v>
      </c>
      <c r="S8649" t="n">
        <v>0</v>
      </c>
      <c r="T8649" t="n">
        <v>0</v>
      </c>
      <c r="U8649" t="n">
        <v>0</v>
      </c>
      <c r="V8649" s="2" t="inlineStr"/>
    </row>
    <row r="8650" ht="15" customHeight="1">
      <c r="A8650" t="inlineStr">
        <is>
          <t>A 30985-2023</t>
        </is>
      </c>
      <c r="B8650" t="inlineStr">
        <is>
          <t>avverkningsanmälan</t>
        </is>
      </c>
      <c r="C8650" t="inlineStr">
        <is>
          <t>Föryngringsavverkning</t>
        </is>
      </c>
      <c r="D8650" s="1" t="n">
        <v>45113</v>
      </c>
      <c r="E8650" s="1" t="n">
        <v>46319</v>
      </c>
      <c r="F8650" t="inlineStr">
        <is>
          <t>DALARNAS LÄN</t>
        </is>
      </c>
      <c r="G8650" t="inlineStr">
        <is>
          <t>ÄLVDALEN</t>
        </is>
      </c>
      <c r="H8650" t="inlineStr">
        <is>
          <t>Allmännings- och besparingsskogar</t>
        </is>
      </c>
      <c r="I8650" t="n">
        <v>2.9</v>
      </c>
      <c r="J8650" t="n">
        <v>0</v>
      </c>
      <c r="K8650" t="n">
        <v>0</v>
      </c>
      <c r="L8650" t="n">
        <v>0</v>
      </c>
      <c r="M8650" t="n">
        <v>0</v>
      </c>
      <c r="N8650" t="n">
        <v>0</v>
      </c>
      <c r="O8650" t="n">
        <v>0</v>
      </c>
      <c r="P8650" t="n">
        <v>0</v>
      </c>
      <c r="Q8650" t="n">
        <v>0</v>
      </c>
      <c r="R8650" t="n">
        <v>0</v>
      </c>
      <c r="S8650" t="n">
        <v>0</v>
      </c>
      <c r="T8650" t="n">
        <v>0</v>
      </c>
      <c r="U8650" t="n">
        <v>0</v>
      </c>
      <c r="V8650" s="2" t="inlineStr"/>
    </row>
    <row r="8651" ht="15" customHeight="1">
      <c r="A8651" t="inlineStr">
        <is>
          <t>A 41933-2024</t>
        </is>
      </c>
      <c r="B8651" t="inlineStr">
        <is>
          <t>avverkningsanmälan</t>
        </is>
      </c>
      <c r="C8651" t="inlineStr">
        <is>
          <t>Föryngringsavverkning</t>
        </is>
      </c>
      <c r="D8651" s="1" t="n">
        <v>45561</v>
      </c>
      <c r="E8651" s="1" t="n">
        <v>46319</v>
      </c>
      <c r="F8651" t="inlineStr">
        <is>
          <t>DALARNAS LÄN</t>
        </is>
      </c>
      <c r="G8651" t="inlineStr">
        <is>
          <t>FALUN</t>
        </is>
      </c>
      <c r="I8651" t="n">
        <v>0.6</v>
      </c>
      <c r="J8651" t="n">
        <v>0</v>
      </c>
      <c r="K8651" t="n">
        <v>0</v>
      </c>
      <c r="L8651" t="n">
        <v>0</v>
      </c>
      <c r="M8651" t="n">
        <v>0</v>
      </c>
      <c r="N8651" t="n">
        <v>0</v>
      </c>
      <c r="O8651" t="n">
        <v>0</v>
      </c>
      <c r="P8651" t="n">
        <v>0</v>
      </c>
      <c r="Q8651" t="n">
        <v>0</v>
      </c>
      <c r="R8651" t="n">
        <v>0</v>
      </c>
      <c r="S8651" t="n">
        <v>0</v>
      </c>
      <c r="T8651" t="n">
        <v>0</v>
      </c>
      <c r="U8651" t="n">
        <v>0</v>
      </c>
      <c r="V8651" s="2" t="inlineStr"/>
    </row>
    <row r="8652" ht="15" customHeight="1">
      <c r="A8652" t="inlineStr">
        <is>
          <t>A 41961-2024</t>
        </is>
      </c>
      <c r="B8652" t="inlineStr">
        <is>
          <t>avverkningsanmälan</t>
        </is>
      </c>
      <c r="C8652" t="inlineStr">
        <is>
          <t>Föryngringsavverkning</t>
        </is>
      </c>
      <c r="D8652" s="1" t="n">
        <v>45561</v>
      </c>
      <c r="E8652" s="1" t="n">
        <v>46319</v>
      </c>
      <c r="F8652" t="inlineStr">
        <is>
          <t>DALARNAS LÄN</t>
        </is>
      </c>
      <c r="G8652" t="inlineStr">
        <is>
          <t>SÄTER</t>
        </is>
      </c>
      <c r="H8652" t="inlineStr">
        <is>
          <t>Bergvik skog väst AB</t>
        </is>
      </c>
      <c r="I8652" t="n">
        <v>0.4</v>
      </c>
      <c r="J8652" t="n">
        <v>0</v>
      </c>
      <c r="K8652" t="n">
        <v>0</v>
      </c>
      <c r="L8652" t="n">
        <v>0</v>
      </c>
      <c r="M8652" t="n">
        <v>0</v>
      </c>
      <c r="N8652" t="n">
        <v>0</v>
      </c>
      <c r="O8652" t="n">
        <v>0</v>
      </c>
      <c r="P8652" t="n">
        <v>0</v>
      </c>
      <c r="Q8652" t="n">
        <v>0</v>
      </c>
      <c r="R8652" t="n">
        <v>0</v>
      </c>
      <c r="S8652" t="n">
        <v>0</v>
      </c>
      <c r="T8652" t="n">
        <v>0</v>
      </c>
      <c r="U8652" t="n">
        <v>0</v>
      </c>
      <c r="V8652" s="2" t="inlineStr"/>
    </row>
    <row r="8653" ht="15" customHeight="1">
      <c r="A8653" t="inlineStr">
        <is>
          <t>A 28633-2023</t>
        </is>
      </c>
      <c r="B8653" t="inlineStr">
        <is>
          <t>avverkningsanmälan</t>
        </is>
      </c>
      <c r="C8653" t="inlineStr">
        <is>
          <t>Föryngringsavverkning</t>
        </is>
      </c>
      <c r="D8653" s="1" t="n">
        <v>45103</v>
      </c>
      <c r="E8653" s="1" t="n">
        <v>46319</v>
      </c>
      <c r="F8653" t="inlineStr">
        <is>
          <t>DALARNAS LÄN</t>
        </is>
      </c>
      <c r="G8653" t="inlineStr">
        <is>
          <t>LEKSAND</t>
        </is>
      </c>
      <c r="H8653" t="inlineStr">
        <is>
          <t>Bergvik skog väst AB</t>
        </is>
      </c>
      <c r="I8653" t="n">
        <v>0.5</v>
      </c>
      <c r="J8653" t="n">
        <v>0</v>
      </c>
      <c r="K8653" t="n">
        <v>0</v>
      </c>
      <c r="L8653" t="n">
        <v>0</v>
      </c>
      <c r="M8653" t="n">
        <v>0</v>
      </c>
      <c r="N8653" t="n">
        <v>0</v>
      </c>
      <c r="O8653" t="n">
        <v>0</v>
      </c>
      <c r="P8653" t="n">
        <v>0</v>
      </c>
      <c r="Q8653" t="n">
        <v>0</v>
      </c>
      <c r="R8653" t="n">
        <v>0</v>
      </c>
      <c r="S8653" t="n">
        <v>0</v>
      </c>
      <c r="T8653" t="n">
        <v>0</v>
      </c>
      <c r="U8653" t="n">
        <v>0</v>
      </c>
      <c r="V8653" s="2" t="inlineStr"/>
    </row>
    <row r="8654" ht="15" customHeight="1">
      <c r="A8654" t="inlineStr">
        <is>
          <t>A 20006-2023</t>
        </is>
      </c>
      <c r="B8654" t="inlineStr">
        <is>
          <t>avverkningsanmälan</t>
        </is>
      </c>
      <c r="C8654" t="inlineStr">
        <is>
          <t>Föryngringsavverkning</t>
        </is>
      </c>
      <c r="D8654" s="1" t="n">
        <v>45054</v>
      </c>
      <c r="E8654" s="1" t="n">
        <v>46319</v>
      </c>
      <c r="F8654" t="inlineStr">
        <is>
          <t>DALARNAS LÄN</t>
        </is>
      </c>
      <c r="G8654" t="inlineStr">
        <is>
          <t>FALUN</t>
        </is>
      </c>
      <c r="I8654" t="n">
        <v>0.6</v>
      </c>
      <c r="J8654" t="n">
        <v>0</v>
      </c>
      <c r="K8654" t="n">
        <v>0</v>
      </c>
      <c r="L8654" t="n">
        <v>0</v>
      </c>
      <c r="M8654" t="n">
        <v>0</v>
      </c>
      <c r="N8654" t="n">
        <v>0</v>
      </c>
      <c r="O8654" t="n">
        <v>0</v>
      </c>
      <c r="P8654" t="n">
        <v>0</v>
      </c>
      <c r="Q8654" t="n">
        <v>0</v>
      </c>
      <c r="R8654" t="n">
        <v>0</v>
      </c>
      <c r="S8654" t="n">
        <v>0</v>
      </c>
      <c r="T8654" t="n">
        <v>0</v>
      </c>
      <c r="U8654" t="n">
        <v>0</v>
      </c>
      <c r="V8654" s="2" t="inlineStr"/>
    </row>
    <row r="8655" ht="15" customHeight="1">
      <c r="A8655" t="inlineStr">
        <is>
          <t>A 2745-2025</t>
        </is>
      </c>
      <c r="B8655" t="inlineStr">
        <is>
          <t>avverkningsanmälan</t>
        </is>
      </c>
      <c r="C8655" t="inlineStr">
        <is>
          <t>Föryngringsavverkning</t>
        </is>
      </c>
      <c r="D8655" s="1" t="n">
        <v>45677</v>
      </c>
      <c r="E8655" s="1" t="n">
        <v>46319</v>
      </c>
      <c r="F8655" t="inlineStr">
        <is>
          <t>DALARNAS LÄN</t>
        </is>
      </c>
      <c r="G8655" t="inlineStr">
        <is>
          <t>FALUN</t>
        </is>
      </c>
      <c r="I8655" t="n">
        <v>2.6</v>
      </c>
      <c r="J8655" t="n">
        <v>0</v>
      </c>
      <c r="K8655" t="n">
        <v>0</v>
      </c>
      <c r="L8655" t="n">
        <v>0</v>
      </c>
      <c r="M8655" t="n">
        <v>0</v>
      </c>
      <c r="N8655" t="n">
        <v>0</v>
      </c>
      <c r="O8655" t="n">
        <v>0</v>
      </c>
      <c r="P8655" t="n">
        <v>0</v>
      </c>
      <c r="Q8655" t="n">
        <v>0</v>
      </c>
      <c r="R8655" t="n">
        <v>0</v>
      </c>
      <c r="S8655" t="n">
        <v>0</v>
      </c>
      <c r="T8655" t="n">
        <v>0</v>
      </c>
      <c r="U8655" t="n">
        <v>0</v>
      </c>
      <c r="V8655" s="2" t="inlineStr"/>
    </row>
    <row r="8656" ht="15" customHeight="1">
      <c r="A8656" t="inlineStr">
        <is>
          <t>A 16491-2025</t>
        </is>
      </c>
      <c r="B8656" t="inlineStr">
        <is>
          <t>avverkningsanmälan</t>
        </is>
      </c>
      <c r="C8656" t="inlineStr">
        <is>
          <t>Föryngringsavverkning</t>
        </is>
      </c>
      <c r="D8656" s="1" t="n">
        <v>45751</v>
      </c>
      <c r="E8656" s="1" t="n">
        <v>46319</v>
      </c>
      <c r="F8656" t="inlineStr">
        <is>
          <t>DALARNAS LÄN</t>
        </is>
      </c>
      <c r="G8656" t="inlineStr">
        <is>
          <t>FALUN</t>
        </is>
      </c>
      <c r="H8656" t="inlineStr">
        <is>
          <t>Övriga statliga verk och myndigheter</t>
        </is>
      </c>
      <c r="I8656" t="n">
        <v>6.5</v>
      </c>
      <c r="J8656" t="n">
        <v>0</v>
      </c>
      <c r="K8656" t="n">
        <v>0</v>
      </c>
      <c r="L8656" t="n">
        <v>0</v>
      </c>
      <c r="M8656" t="n">
        <v>0</v>
      </c>
      <c r="N8656" t="n">
        <v>0</v>
      </c>
      <c r="O8656" t="n">
        <v>0</v>
      </c>
      <c r="P8656" t="n">
        <v>0</v>
      </c>
      <c r="Q8656" t="n">
        <v>0</v>
      </c>
      <c r="R8656" t="n">
        <v>0</v>
      </c>
      <c r="S8656" t="n">
        <v>0</v>
      </c>
      <c r="T8656" t="n">
        <v>0</v>
      </c>
      <c r="U8656" t="n">
        <v>0</v>
      </c>
      <c r="V8656" s="2" t="inlineStr"/>
    </row>
    <row r="8657" ht="15" customHeight="1">
      <c r="A8657" t="inlineStr">
        <is>
          <t>A 7172-2025</t>
        </is>
      </c>
      <c r="B8657" t="inlineStr">
        <is>
          <t>avverkningsanmälan</t>
        </is>
      </c>
      <c r="C8657" t="inlineStr">
        <is>
          <t>Föryngringsavverkning</t>
        </is>
      </c>
      <c r="D8657" s="1" t="n">
        <v>45702</v>
      </c>
      <c r="E8657" s="1" t="n">
        <v>46319</v>
      </c>
      <c r="F8657" t="inlineStr">
        <is>
          <t>DALARNAS LÄN</t>
        </is>
      </c>
      <c r="G8657" t="inlineStr">
        <is>
          <t>HEDEMORA</t>
        </is>
      </c>
      <c r="I8657" t="n">
        <v>0.8</v>
      </c>
      <c r="J8657" t="n">
        <v>0</v>
      </c>
      <c r="K8657" t="n">
        <v>0</v>
      </c>
      <c r="L8657" t="n">
        <v>0</v>
      </c>
      <c r="M8657" t="n">
        <v>0</v>
      </c>
      <c r="N8657" t="n">
        <v>0</v>
      </c>
      <c r="O8657" t="n">
        <v>0</v>
      </c>
      <c r="P8657" t="n">
        <v>0</v>
      </c>
      <c r="Q8657" t="n">
        <v>0</v>
      </c>
      <c r="R8657" t="n">
        <v>0</v>
      </c>
      <c r="S8657" t="n">
        <v>0</v>
      </c>
      <c r="T8657" t="n">
        <v>0</v>
      </c>
      <c r="U8657" t="n">
        <v>0</v>
      </c>
      <c r="V8657" s="2" t="inlineStr"/>
    </row>
    <row r="8658" ht="15" customHeight="1">
      <c r="A8658" t="inlineStr">
        <is>
          <t>A 14938-2023</t>
        </is>
      </c>
      <c r="B8658" t="inlineStr">
        <is>
          <t>avverkningsanmälan</t>
        </is>
      </c>
      <c r="C8658" t="inlineStr">
        <is>
          <t>Föryngringsavverkning</t>
        </is>
      </c>
      <c r="D8658" s="1" t="n">
        <v>45015</v>
      </c>
      <c r="E8658" s="1" t="n">
        <v>46319</v>
      </c>
      <c r="F8658" t="inlineStr">
        <is>
          <t>DALARNAS LÄN</t>
        </is>
      </c>
      <c r="G8658" t="inlineStr">
        <is>
          <t>ÄLVDALEN</t>
        </is>
      </c>
      <c r="I8658" t="n">
        <v>1.8</v>
      </c>
      <c r="J8658" t="n">
        <v>0</v>
      </c>
      <c r="K8658" t="n">
        <v>0</v>
      </c>
      <c r="L8658" t="n">
        <v>0</v>
      </c>
      <c r="M8658" t="n">
        <v>0</v>
      </c>
      <c r="N8658" t="n">
        <v>0</v>
      </c>
      <c r="O8658" t="n">
        <v>0</v>
      </c>
      <c r="P8658" t="n">
        <v>0</v>
      </c>
      <c r="Q8658" t="n">
        <v>0</v>
      </c>
      <c r="R8658" t="n">
        <v>0</v>
      </c>
      <c r="S8658" t="n">
        <v>0</v>
      </c>
      <c r="T8658" t="n">
        <v>0</v>
      </c>
      <c r="U8658" t="n">
        <v>0</v>
      </c>
      <c r="V8658" s="2" t="inlineStr"/>
    </row>
    <row r="8659" ht="15" customHeight="1">
      <c r="A8659" t="inlineStr">
        <is>
          <t>A 14943-2023</t>
        </is>
      </c>
      <c r="B8659" t="inlineStr">
        <is>
          <t>avverkningsanmälan</t>
        </is>
      </c>
      <c r="C8659" t="inlineStr">
        <is>
          <t>Föryngringsavverkning</t>
        </is>
      </c>
      <c r="D8659" s="1" t="n">
        <v>45015</v>
      </c>
      <c r="E8659" s="1" t="n">
        <v>46319</v>
      </c>
      <c r="F8659" t="inlineStr">
        <is>
          <t>DALARNAS LÄN</t>
        </is>
      </c>
      <c r="G8659" t="inlineStr">
        <is>
          <t>LEKSAND</t>
        </is>
      </c>
      <c r="I8659" t="n">
        <v>1.7</v>
      </c>
      <c r="J8659" t="n">
        <v>0</v>
      </c>
      <c r="K8659" t="n">
        <v>0</v>
      </c>
      <c r="L8659" t="n">
        <v>0</v>
      </c>
      <c r="M8659" t="n">
        <v>0</v>
      </c>
      <c r="N8659" t="n">
        <v>0</v>
      </c>
      <c r="O8659" t="n">
        <v>0</v>
      </c>
      <c r="P8659" t="n">
        <v>0</v>
      </c>
      <c r="Q8659" t="n">
        <v>0</v>
      </c>
      <c r="R8659" t="n">
        <v>0</v>
      </c>
      <c r="S8659" t="n">
        <v>0</v>
      </c>
      <c r="T8659" t="n">
        <v>0</v>
      </c>
      <c r="U8659" t="n">
        <v>0</v>
      </c>
      <c r="V8659" s="2" t="inlineStr"/>
    </row>
    <row r="8660" ht="15" customHeight="1">
      <c r="A8660" t="inlineStr">
        <is>
          <t>A 41840-2024</t>
        </is>
      </c>
      <c r="B8660" t="inlineStr">
        <is>
          <t>avverkningsanmälan</t>
        </is>
      </c>
      <c r="C8660" t="inlineStr">
        <is>
          <t>Föryngringsavverkning</t>
        </is>
      </c>
      <c r="D8660" s="1" t="n">
        <v>45561</v>
      </c>
      <c r="E8660" s="1" t="n">
        <v>46319</v>
      </c>
      <c r="F8660" t="inlineStr">
        <is>
          <t>DALARNAS LÄN</t>
        </is>
      </c>
      <c r="G8660" t="inlineStr">
        <is>
          <t>LEKSAND</t>
        </is>
      </c>
      <c r="I8660" t="n">
        <v>0.4</v>
      </c>
      <c r="J8660" t="n">
        <v>0</v>
      </c>
      <c r="K8660" t="n">
        <v>0</v>
      </c>
      <c r="L8660" t="n">
        <v>0</v>
      </c>
      <c r="M8660" t="n">
        <v>0</v>
      </c>
      <c r="N8660" t="n">
        <v>0</v>
      </c>
      <c r="O8660" t="n">
        <v>0</v>
      </c>
      <c r="P8660" t="n">
        <v>0</v>
      </c>
      <c r="Q8660" t="n">
        <v>0</v>
      </c>
      <c r="R8660" t="n">
        <v>0</v>
      </c>
      <c r="S8660" t="n">
        <v>0</v>
      </c>
      <c r="T8660" t="n">
        <v>0</v>
      </c>
      <c r="U8660" t="n">
        <v>0</v>
      </c>
      <c r="V8660" s="2" t="inlineStr"/>
    </row>
    <row r="8661" ht="15" customHeight="1">
      <c r="A8661" t="inlineStr">
        <is>
          <t>A 33140-2024</t>
        </is>
      </c>
      <c r="B8661" t="inlineStr">
        <is>
          <t>avverkningsanmälan</t>
        </is>
      </c>
      <c r="C8661" t="inlineStr">
        <is>
          <t>Föryngringsavverkning</t>
        </is>
      </c>
      <c r="D8661" s="1" t="n">
        <v>45518</v>
      </c>
      <c r="E8661" s="1" t="n">
        <v>46319</v>
      </c>
      <c r="F8661" t="inlineStr">
        <is>
          <t>DALARNAS LÄN</t>
        </is>
      </c>
      <c r="G8661" t="inlineStr">
        <is>
          <t>RÄTTVIK</t>
        </is>
      </c>
      <c r="I8661" t="n">
        <v>0.7</v>
      </c>
      <c r="J8661" t="n">
        <v>0</v>
      </c>
      <c r="K8661" t="n">
        <v>0</v>
      </c>
      <c r="L8661" t="n">
        <v>0</v>
      </c>
      <c r="M8661" t="n">
        <v>0</v>
      </c>
      <c r="N8661" t="n">
        <v>0</v>
      </c>
      <c r="O8661" t="n">
        <v>0</v>
      </c>
      <c r="P8661" t="n">
        <v>0</v>
      </c>
      <c r="Q8661" t="n">
        <v>0</v>
      </c>
      <c r="R8661" t="n">
        <v>0</v>
      </c>
      <c r="S8661" t="n">
        <v>0</v>
      </c>
      <c r="T8661" t="n">
        <v>0</v>
      </c>
      <c r="U8661" t="n">
        <v>0</v>
      </c>
      <c r="V8661" s="2" t="inlineStr"/>
    </row>
    <row r="8662" ht="15" customHeight="1">
      <c r="A8662" t="inlineStr">
        <is>
          <t>A 33143-2024</t>
        </is>
      </c>
      <c r="B8662" t="inlineStr">
        <is>
          <t>avverkningsanmälan</t>
        </is>
      </c>
      <c r="C8662" t="inlineStr">
        <is>
          <t>Avverkning för att bevara och utveckla /försöksver</t>
        </is>
      </c>
      <c r="D8662" s="1" t="n">
        <v>45518</v>
      </c>
      <c r="E8662" s="1" t="n">
        <v>46319</v>
      </c>
      <c r="F8662" t="inlineStr">
        <is>
          <t>DALARNAS LÄN</t>
        </is>
      </c>
      <c r="G8662" t="inlineStr">
        <is>
          <t>LEKSAND</t>
        </is>
      </c>
      <c r="I8662" t="n">
        <v>0.6</v>
      </c>
      <c r="J8662" t="n">
        <v>0</v>
      </c>
      <c r="K8662" t="n">
        <v>0</v>
      </c>
      <c r="L8662" t="n">
        <v>0</v>
      </c>
      <c r="M8662" t="n">
        <v>0</v>
      </c>
      <c r="N8662" t="n">
        <v>0</v>
      </c>
      <c r="O8662" t="n">
        <v>0</v>
      </c>
      <c r="P8662" t="n">
        <v>0</v>
      </c>
      <c r="Q8662" t="n">
        <v>0</v>
      </c>
      <c r="R8662" t="n">
        <v>0</v>
      </c>
      <c r="S8662" t="n">
        <v>0</v>
      </c>
      <c r="T8662" t="n">
        <v>0</v>
      </c>
      <c r="U8662" t="n">
        <v>0</v>
      </c>
      <c r="V8662" s="2" t="inlineStr"/>
    </row>
    <row r="8663" ht="15" customHeight="1">
      <c r="A8663" t="inlineStr">
        <is>
          <t>A 14680-2023</t>
        </is>
      </c>
      <c r="B8663" t="inlineStr">
        <is>
          <t>avverkningsanmälan</t>
        </is>
      </c>
      <c r="C8663" t="inlineStr">
        <is>
          <t>Föryngringsavverkning</t>
        </is>
      </c>
      <c r="D8663" s="1" t="n">
        <v>45014</v>
      </c>
      <c r="E8663" s="1" t="n">
        <v>46319</v>
      </c>
      <c r="F8663" t="inlineStr">
        <is>
          <t>DALARNAS LÄN</t>
        </is>
      </c>
      <c r="G8663" t="inlineStr">
        <is>
          <t>ORSA</t>
        </is>
      </c>
      <c r="I8663" t="n">
        <v>4.2</v>
      </c>
      <c r="J8663" t="n">
        <v>0</v>
      </c>
      <c r="K8663" t="n">
        <v>0</v>
      </c>
      <c r="L8663" t="n">
        <v>0</v>
      </c>
      <c r="M8663" t="n">
        <v>0</v>
      </c>
      <c r="N8663" t="n">
        <v>0</v>
      </c>
      <c r="O8663" t="n">
        <v>0</v>
      </c>
      <c r="P8663" t="n">
        <v>0</v>
      </c>
      <c r="Q8663" t="n">
        <v>0</v>
      </c>
      <c r="R8663" t="n">
        <v>0</v>
      </c>
      <c r="S8663" t="n">
        <v>0</v>
      </c>
      <c r="T8663" t="n">
        <v>0</v>
      </c>
      <c r="U8663" t="n">
        <v>0</v>
      </c>
      <c r="V8663" s="2" t="inlineStr"/>
    </row>
    <row r="8664" ht="15" customHeight="1">
      <c r="A8664" t="inlineStr">
        <is>
          <t>A 16026-2025</t>
        </is>
      </c>
      <c r="B8664" t="inlineStr">
        <is>
          <t>avverkningsanmälan</t>
        </is>
      </c>
      <c r="C8664" t="inlineStr">
        <is>
          <t>Föryngringsavverkning</t>
        </is>
      </c>
      <c r="D8664" s="1" t="n">
        <v>45749</v>
      </c>
      <c r="E8664" s="1" t="n">
        <v>46319</v>
      </c>
      <c r="F8664" t="inlineStr">
        <is>
          <t>DALARNAS LÄN</t>
        </is>
      </c>
      <c r="G8664" t="inlineStr">
        <is>
          <t>MALUNG-SÄLEN</t>
        </is>
      </c>
      <c r="I8664" t="n">
        <v>2.8</v>
      </c>
      <c r="J8664" t="n">
        <v>0</v>
      </c>
      <c r="K8664" t="n">
        <v>0</v>
      </c>
      <c r="L8664" t="n">
        <v>0</v>
      </c>
      <c r="M8664" t="n">
        <v>0</v>
      </c>
      <c r="N8664" t="n">
        <v>0</v>
      </c>
      <c r="O8664" t="n">
        <v>0</v>
      </c>
      <c r="P8664" t="n">
        <v>0</v>
      </c>
      <c r="Q8664" t="n">
        <v>0</v>
      </c>
      <c r="R8664" t="n">
        <v>0</v>
      </c>
      <c r="S8664" t="n">
        <v>0</v>
      </c>
      <c r="T8664" t="n">
        <v>0</v>
      </c>
      <c r="U8664" t="n">
        <v>0</v>
      </c>
      <c r="V8664" s="2" t="inlineStr"/>
    </row>
    <row r="8665" ht="15" customHeight="1">
      <c r="A8665" t="inlineStr">
        <is>
          <t>A 61405-2023</t>
        </is>
      </c>
      <c r="B8665" t="inlineStr">
        <is>
          <t>avverkningsanmälan</t>
        </is>
      </c>
      <c r="C8665" t="inlineStr">
        <is>
          <t>Föryngringsavverkning</t>
        </is>
      </c>
      <c r="D8665" s="1" t="n">
        <v>45264</v>
      </c>
      <c r="E8665" s="1" t="n">
        <v>46319</v>
      </c>
      <c r="F8665" t="inlineStr">
        <is>
          <t>DALARNAS LÄN</t>
        </is>
      </c>
      <c r="G8665" t="inlineStr">
        <is>
          <t>MORA</t>
        </is>
      </c>
      <c r="I8665" t="n">
        <v>0.4</v>
      </c>
      <c r="J8665" t="n">
        <v>0</v>
      </c>
      <c r="K8665" t="n">
        <v>0</v>
      </c>
      <c r="L8665" t="n">
        <v>0</v>
      </c>
      <c r="M8665" t="n">
        <v>0</v>
      </c>
      <c r="N8665" t="n">
        <v>0</v>
      </c>
      <c r="O8665" t="n">
        <v>0</v>
      </c>
      <c r="P8665" t="n">
        <v>0</v>
      </c>
      <c r="Q8665" t="n">
        <v>0</v>
      </c>
      <c r="R8665" t="n">
        <v>0</v>
      </c>
      <c r="S8665" t="n">
        <v>0</v>
      </c>
      <c r="T8665" t="n">
        <v>0</v>
      </c>
      <c r="U8665" t="n">
        <v>0</v>
      </c>
      <c r="V8665" s="2" t="inlineStr"/>
    </row>
    <row r="8666" ht="15" customHeight="1">
      <c r="A8666" t="inlineStr">
        <is>
          <t>A 33367-2023</t>
        </is>
      </c>
      <c r="B8666" t="inlineStr">
        <is>
          <t>avverkningsanmälan</t>
        </is>
      </c>
      <c r="C8666" t="inlineStr">
        <is>
          <t>Föryngringsavverkning</t>
        </is>
      </c>
      <c r="D8666" s="1" t="n">
        <v>45128</v>
      </c>
      <c r="E8666" s="1" t="n">
        <v>46319</v>
      </c>
      <c r="F8666" t="inlineStr">
        <is>
          <t>DALARNAS LÄN</t>
        </is>
      </c>
      <c r="G8666" t="inlineStr">
        <is>
          <t>MALUNG-SÄLEN</t>
        </is>
      </c>
      <c r="H8666" t="inlineStr">
        <is>
          <t>Kommuner</t>
        </is>
      </c>
      <c r="I8666" t="n">
        <v>1.2</v>
      </c>
      <c r="J8666" t="n">
        <v>0</v>
      </c>
      <c r="K8666" t="n">
        <v>0</v>
      </c>
      <c r="L8666" t="n">
        <v>0</v>
      </c>
      <c r="M8666" t="n">
        <v>0</v>
      </c>
      <c r="N8666" t="n">
        <v>0</v>
      </c>
      <c r="O8666" t="n">
        <v>0</v>
      </c>
      <c r="P8666" t="n">
        <v>0</v>
      </c>
      <c r="Q8666" t="n">
        <v>0</v>
      </c>
      <c r="R8666" t="n">
        <v>0</v>
      </c>
      <c r="S8666" t="n">
        <v>0</v>
      </c>
      <c r="T8666" t="n">
        <v>0</v>
      </c>
      <c r="U8666" t="n">
        <v>0</v>
      </c>
      <c r="V8666" s="2" t="inlineStr"/>
    </row>
    <row r="8667" ht="15" customHeight="1">
      <c r="A8667" t="inlineStr">
        <is>
          <t>A 30400-2024</t>
        </is>
      </c>
      <c r="B8667" t="inlineStr">
        <is>
          <t>avverkningsanmälan</t>
        </is>
      </c>
      <c r="C8667" t="inlineStr">
        <is>
          <t>Föryngringsavverkning</t>
        </is>
      </c>
      <c r="D8667" s="1" t="n">
        <v>45491</v>
      </c>
      <c r="E8667" s="1" t="n">
        <v>46319</v>
      </c>
      <c r="F8667" t="inlineStr">
        <is>
          <t>DALARNAS LÄN</t>
        </is>
      </c>
      <c r="G8667" t="inlineStr">
        <is>
          <t>MALUNG-SÄLEN</t>
        </is>
      </c>
      <c r="I8667" t="n">
        <v>3.8</v>
      </c>
      <c r="J8667" t="n">
        <v>0</v>
      </c>
      <c r="K8667" t="n">
        <v>0</v>
      </c>
      <c r="L8667" t="n">
        <v>0</v>
      </c>
      <c r="M8667" t="n">
        <v>0</v>
      </c>
      <c r="N8667" t="n">
        <v>0</v>
      </c>
      <c r="O8667" t="n">
        <v>0</v>
      </c>
      <c r="P8667" t="n">
        <v>0</v>
      </c>
      <c r="Q8667" t="n">
        <v>0</v>
      </c>
      <c r="R8667" t="n">
        <v>0</v>
      </c>
      <c r="S8667" t="n">
        <v>0</v>
      </c>
      <c r="T8667" t="n">
        <v>0</v>
      </c>
      <c r="U8667" t="n">
        <v>0</v>
      </c>
      <c r="V8667" s="2" t="inlineStr"/>
    </row>
    <row r="8668" ht="15" customHeight="1">
      <c r="A8668" t="inlineStr">
        <is>
          <t>A 34003-2024</t>
        </is>
      </c>
      <c r="B8668" t="inlineStr">
        <is>
          <t>avverkningsanmälan</t>
        </is>
      </c>
      <c r="C8668" t="inlineStr">
        <is>
          <t>Föryngringsavverkning</t>
        </is>
      </c>
      <c r="D8668" s="1" t="n">
        <v>45523</v>
      </c>
      <c r="E8668" s="1" t="n">
        <v>46319</v>
      </c>
      <c r="F8668" t="inlineStr">
        <is>
          <t>DALARNAS LÄN</t>
        </is>
      </c>
      <c r="G8668" t="inlineStr">
        <is>
          <t>FALUN</t>
        </is>
      </c>
      <c r="H8668" t="inlineStr">
        <is>
          <t>Bergvik skog väst AB</t>
        </is>
      </c>
      <c r="I8668" t="n">
        <v>1.1</v>
      </c>
      <c r="J8668" t="n">
        <v>0</v>
      </c>
      <c r="K8668" t="n">
        <v>0</v>
      </c>
      <c r="L8668" t="n">
        <v>0</v>
      </c>
      <c r="M8668" t="n">
        <v>0</v>
      </c>
      <c r="N8668" t="n">
        <v>0</v>
      </c>
      <c r="O8668" t="n">
        <v>0</v>
      </c>
      <c r="P8668" t="n">
        <v>0</v>
      </c>
      <c r="Q8668" t="n">
        <v>0</v>
      </c>
      <c r="R8668" t="n">
        <v>0</v>
      </c>
      <c r="S8668" t="n">
        <v>0</v>
      </c>
      <c r="T8668" t="n">
        <v>0</v>
      </c>
      <c r="U8668" t="n">
        <v>0</v>
      </c>
      <c r="V8668" s="2" t="inlineStr"/>
    </row>
    <row r="8669" ht="15" customHeight="1">
      <c r="A8669" t="inlineStr">
        <is>
          <t>A 57475-2022</t>
        </is>
      </c>
      <c r="B8669" t="inlineStr">
        <is>
          <t>avverkningsanmälan</t>
        </is>
      </c>
      <c r="C8669" t="inlineStr">
        <is>
          <t>Föryngringsavverkning</t>
        </is>
      </c>
      <c r="D8669" s="1" t="n">
        <v>44896</v>
      </c>
      <c r="E8669" s="1" t="n">
        <v>46319</v>
      </c>
      <c r="F8669" t="inlineStr">
        <is>
          <t>DALARNAS LÄN</t>
        </is>
      </c>
      <c r="G8669" t="inlineStr">
        <is>
          <t>MORA</t>
        </is>
      </c>
      <c r="I8669" t="n">
        <v>5.7</v>
      </c>
      <c r="J8669" t="n">
        <v>0</v>
      </c>
      <c r="K8669" t="n">
        <v>0</v>
      </c>
      <c r="L8669" t="n">
        <v>0</v>
      </c>
      <c r="M8669" t="n">
        <v>0</v>
      </c>
      <c r="N8669" t="n">
        <v>0</v>
      </c>
      <c r="O8669" t="n">
        <v>0</v>
      </c>
      <c r="P8669" t="n">
        <v>0</v>
      </c>
      <c r="Q8669" t="n">
        <v>0</v>
      </c>
      <c r="R8669" t="n">
        <v>0</v>
      </c>
      <c r="S8669" t="n">
        <v>0</v>
      </c>
      <c r="T8669" t="n">
        <v>0</v>
      </c>
      <c r="U8669" t="n">
        <v>0</v>
      </c>
      <c r="V8669" s="2" t="inlineStr"/>
    </row>
    <row r="8670" ht="15" customHeight="1">
      <c r="A8670" t="inlineStr">
        <is>
          <t>A 60265-2021</t>
        </is>
      </c>
      <c r="B8670" t="inlineStr">
        <is>
          <t>avverkningsanmälan</t>
        </is>
      </c>
      <c r="C8670" t="inlineStr">
        <is>
          <t>Föryngringsavverkning</t>
        </is>
      </c>
      <c r="D8670" s="1" t="n">
        <v>44495</v>
      </c>
      <c r="E8670" s="1" t="n">
        <v>46319</v>
      </c>
      <c r="F8670" t="inlineStr">
        <is>
          <t>DALARNAS LÄN</t>
        </is>
      </c>
      <c r="G8670" t="inlineStr">
        <is>
          <t>ÄLVDALEN</t>
        </is>
      </c>
      <c r="H8670" t="inlineStr">
        <is>
          <t>Allmännings- och besparingsskogar</t>
        </is>
      </c>
      <c r="I8670" t="n">
        <v>10</v>
      </c>
      <c r="J8670" t="n">
        <v>0</v>
      </c>
      <c r="K8670" t="n">
        <v>0</v>
      </c>
      <c r="L8670" t="n">
        <v>0</v>
      </c>
      <c r="M8670" t="n">
        <v>0</v>
      </c>
      <c r="N8670" t="n">
        <v>0</v>
      </c>
      <c r="O8670" t="n">
        <v>0</v>
      </c>
      <c r="P8670" t="n">
        <v>0</v>
      </c>
      <c r="Q8670" t="n">
        <v>0</v>
      </c>
      <c r="R8670" t="n">
        <v>0</v>
      </c>
      <c r="S8670" t="n">
        <v>0</v>
      </c>
      <c r="T8670" t="n">
        <v>0</v>
      </c>
      <c r="U8670" t="n">
        <v>0</v>
      </c>
      <c r="V8670" s="2" t="inlineStr"/>
    </row>
    <row r="8671" ht="15" customHeight="1">
      <c r="A8671" t="inlineStr">
        <is>
          <t>A 37024-2023</t>
        </is>
      </c>
      <c r="B8671" t="inlineStr">
        <is>
          <t>avverkningsanmälan</t>
        </is>
      </c>
      <c r="C8671" t="inlineStr">
        <is>
          <t>Föryngringsavverkning</t>
        </is>
      </c>
      <c r="D8671" s="1" t="n">
        <v>45154</v>
      </c>
      <c r="E8671" s="1" t="n">
        <v>46319</v>
      </c>
      <c r="F8671" t="inlineStr">
        <is>
          <t>DALARNAS LÄN</t>
        </is>
      </c>
      <c r="G8671" t="inlineStr">
        <is>
          <t>SMEDJEBACKEN</t>
        </is>
      </c>
      <c r="I8671" t="n">
        <v>3.2</v>
      </c>
      <c r="J8671" t="n">
        <v>0</v>
      </c>
      <c r="K8671" t="n">
        <v>0</v>
      </c>
      <c r="L8671" t="n">
        <v>0</v>
      </c>
      <c r="M8671" t="n">
        <v>0</v>
      </c>
      <c r="N8671" t="n">
        <v>0</v>
      </c>
      <c r="O8671" t="n">
        <v>0</v>
      </c>
      <c r="P8671" t="n">
        <v>0</v>
      </c>
      <c r="Q8671" t="n">
        <v>0</v>
      </c>
      <c r="R8671" t="n">
        <v>0</v>
      </c>
      <c r="S8671" t="n">
        <v>0</v>
      </c>
      <c r="T8671" t="n">
        <v>0</v>
      </c>
      <c r="U8671" t="n">
        <v>0</v>
      </c>
      <c r="V8671" s="2" t="inlineStr"/>
    </row>
    <row r="8672" ht="15" customHeight="1">
      <c r="A8672" t="inlineStr">
        <is>
          <t>A 42894-2024</t>
        </is>
      </c>
      <c r="B8672" t="inlineStr">
        <is>
          <t>avverkningsanmälan</t>
        </is>
      </c>
      <c r="C8672" t="inlineStr">
        <is>
          <t>Föryngringsavverkning</t>
        </is>
      </c>
      <c r="D8672" s="1" t="n">
        <v>45566</v>
      </c>
      <c r="E8672" s="1" t="n">
        <v>46319</v>
      </c>
      <c r="F8672" t="inlineStr">
        <is>
          <t>DALARNAS LÄN</t>
        </is>
      </c>
      <c r="G8672" t="inlineStr">
        <is>
          <t>HEDEMORA</t>
        </is>
      </c>
      <c r="H8672" t="inlineStr">
        <is>
          <t>Sveaskog</t>
        </is>
      </c>
      <c r="I8672" t="n">
        <v>2.2</v>
      </c>
      <c r="J8672" t="n">
        <v>0</v>
      </c>
      <c r="K8672" t="n">
        <v>0</v>
      </c>
      <c r="L8672" t="n">
        <v>0</v>
      </c>
      <c r="M8672" t="n">
        <v>0</v>
      </c>
      <c r="N8672" t="n">
        <v>0</v>
      </c>
      <c r="O8672" t="n">
        <v>0</v>
      </c>
      <c r="P8672" t="n">
        <v>0</v>
      </c>
      <c r="Q8672" t="n">
        <v>0</v>
      </c>
      <c r="R8672" t="n">
        <v>0</v>
      </c>
      <c r="S8672" t="n">
        <v>0</v>
      </c>
      <c r="T8672" t="n">
        <v>0</v>
      </c>
      <c r="U8672" t="n">
        <v>0</v>
      </c>
      <c r="V8672" s="2" t="inlineStr"/>
    </row>
    <row r="8673" ht="15" customHeight="1">
      <c r="A8673" t="inlineStr">
        <is>
          <t>A 62470-2022</t>
        </is>
      </c>
      <c r="B8673" t="inlineStr">
        <is>
          <t>avverkningsanmälan</t>
        </is>
      </c>
      <c r="C8673" t="inlineStr">
        <is>
          <t>Föryngringsavverkning</t>
        </is>
      </c>
      <c r="D8673" s="1" t="n">
        <v>44924</v>
      </c>
      <c r="E8673" s="1" t="n">
        <v>46319</v>
      </c>
      <c r="F8673" t="inlineStr">
        <is>
          <t>DALARNAS LÄN</t>
        </is>
      </c>
      <c r="G8673" t="inlineStr">
        <is>
          <t>SÄTER</t>
        </is>
      </c>
      <c r="H8673" t="inlineStr">
        <is>
          <t>Kommuner</t>
        </is>
      </c>
      <c r="I8673" t="n">
        <v>5.4</v>
      </c>
      <c r="J8673" t="n">
        <v>0</v>
      </c>
      <c r="K8673" t="n">
        <v>0</v>
      </c>
      <c r="L8673" t="n">
        <v>0</v>
      </c>
      <c r="M8673" t="n">
        <v>0</v>
      </c>
      <c r="N8673" t="n">
        <v>0</v>
      </c>
      <c r="O8673" t="n">
        <v>0</v>
      </c>
      <c r="P8673" t="n">
        <v>0</v>
      </c>
      <c r="Q8673" t="n">
        <v>0</v>
      </c>
      <c r="R8673" t="n">
        <v>0</v>
      </c>
      <c r="S8673" t="n">
        <v>0</v>
      </c>
      <c r="T8673" t="n">
        <v>0</v>
      </c>
      <c r="U8673" t="n">
        <v>0</v>
      </c>
      <c r="V8673" s="2" t="inlineStr"/>
    </row>
    <row r="8674" ht="15" customHeight="1">
      <c r="A8674" t="inlineStr">
        <is>
          <t>A 72039-2021</t>
        </is>
      </c>
      <c r="B8674" t="inlineStr">
        <is>
          <t>avverkningsanmälan</t>
        </is>
      </c>
      <c r="C8674" t="inlineStr">
        <is>
          <t>Föryngringsavverkning</t>
        </is>
      </c>
      <c r="D8674" s="1" t="n">
        <v>44540</v>
      </c>
      <c r="E8674" s="1" t="n">
        <v>46319</v>
      </c>
      <c r="F8674" t="inlineStr">
        <is>
          <t>DALARNAS LÄN</t>
        </is>
      </c>
      <c r="G8674" t="inlineStr">
        <is>
          <t>MALUNG-SÄLEN</t>
        </is>
      </c>
      <c r="H8674" t="inlineStr">
        <is>
          <t>Allmännings- och besparingsskogar</t>
        </is>
      </c>
      <c r="I8674" t="n">
        <v>10.2</v>
      </c>
      <c r="J8674" t="n">
        <v>0</v>
      </c>
      <c r="K8674" t="n">
        <v>0</v>
      </c>
      <c r="L8674" t="n">
        <v>0</v>
      </c>
      <c r="M8674" t="n">
        <v>0</v>
      </c>
      <c r="N8674" t="n">
        <v>0</v>
      </c>
      <c r="O8674" t="n">
        <v>0</v>
      </c>
      <c r="P8674" t="n">
        <v>0</v>
      </c>
      <c r="Q8674" t="n">
        <v>0</v>
      </c>
      <c r="R8674" t="n">
        <v>0</v>
      </c>
      <c r="S8674" t="n">
        <v>0</v>
      </c>
      <c r="T8674" t="n">
        <v>0</v>
      </c>
      <c r="U8674" t="n">
        <v>0</v>
      </c>
      <c r="V8674" s="2" t="inlineStr"/>
    </row>
    <row r="8675" ht="15" customHeight="1">
      <c r="A8675" t="inlineStr">
        <is>
          <t>A 47633-2022</t>
        </is>
      </c>
      <c r="B8675" t="inlineStr">
        <is>
          <t>avverkningsanmälan</t>
        </is>
      </c>
      <c r="C8675" t="inlineStr">
        <is>
          <t>Föryngringsavverkning</t>
        </is>
      </c>
      <c r="D8675" s="1" t="n">
        <v>44854</v>
      </c>
      <c r="E8675" s="1" t="n">
        <v>46319</v>
      </c>
      <c r="F8675" t="inlineStr">
        <is>
          <t>DALARNAS LÄN</t>
        </is>
      </c>
      <c r="G8675" t="inlineStr">
        <is>
          <t>FALUN</t>
        </is>
      </c>
      <c r="I8675" t="n">
        <v>4.1</v>
      </c>
      <c r="J8675" t="n">
        <v>0</v>
      </c>
      <c r="K8675" t="n">
        <v>0</v>
      </c>
      <c r="L8675" t="n">
        <v>0</v>
      </c>
      <c r="M8675" t="n">
        <v>0</v>
      </c>
      <c r="N8675" t="n">
        <v>0</v>
      </c>
      <c r="O8675" t="n">
        <v>0</v>
      </c>
      <c r="P8675" t="n">
        <v>0</v>
      </c>
      <c r="Q8675" t="n">
        <v>0</v>
      </c>
      <c r="R8675" t="n">
        <v>0</v>
      </c>
      <c r="S8675" t="n">
        <v>0</v>
      </c>
      <c r="T8675" t="n">
        <v>0</v>
      </c>
      <c r="U8675" t="n">
        <v>0</v>
      </c>
      <c r="V8675" s="2" t="inlineStr"/>
    </row>
    <row r="8676" ht="15" customHeight="1">
      <c r="A8676" t="inlineStr">
        <is>
          <t>A 58832-2022</t>
        </is>
      </c>
      <c r="B8676" t="inlineStr">
        <is>
          <t>avverkningsanmälan</t>
        </is>
      </c>
      <c r="C8676" t="inlineStr">
        <is>
          <t>Föryngringsavverkning</t>
        </is>
      </c>
      <c r="D8676" s="1" t="n">
        <v>44903</v>
      </c>
      <c r="E8676" s="1" t="n">
        <v>46319</v>
      </c>
      <c r="F8676" t="inlineStr">
        <is>
          <t>DALARNAS LÄN</t>
        </is>
      </c>
      <c r="G8676" t="inlineStr">
        <is>
          <t>MALUNG-SÄLEN</t>
        </is>
      </c>
      <c r="I8676" t="n">
        <v>1.7</v>
      </c>
      <c r="J8676" t="n">
        <v>0</v>
      </c>
      <c r="K8676" t="n">
        <v>0</v>
      </c>
      <c r="L8676" t="n">
        <v>0</v>
      </c>
      <c r="M8676" t="n">
        <v>0</v>
      </c>
      <c r="N8676" t="n">
        <v>0</v>
      </c>
      <c r="O8676" t="n">
        <v>0</v>
      </c>
      <c r="P8676" t="n">
        <v>0</v>
      </c>
      <c r="Q8676" t="n">
        <v>0</v>
      </c>
      <c r="R8676" t="n">
        <v>0</v>
      </c>
      <c r="S8676" t="n">
        <v>0</v>
      </c>
      <c r="T8676" t="n">
        <v>0</v>
      </c>
      <c r="U8676" t="n">
        <v>0</v>
      </c>
      <c r="V8676" s="2" t="inlineStr"/>
    </row>
    <row r="8677" ht="15" customHeight="1">
      <c r="A8677" t="inlineStr">
        <is>
          <t>A 3742-2024</t>
        </is>
      </c>
      <c r="B8677" t="inlineStr">
        <is>
          <t>avverkningsanmälan</t>
        </is>
      </c>
      <c r="C8677" t="inlineStr">
        <is>
          <t>Föryngringsavverkning</t>
        </is>
      </c>
      <c r="D8677" s="1" t="n">
        <v>45321</v>
      </c>
      <c r="E8677" s="1" t="n">
        <v>46319</v>
      </c>
      <c r="F8677" t="inlineStr">
        <is>
          <t>DALARNAS LÄN</t>
        </is>
      </c>
      <c r="G8677" t="inlineStr">
        <is>
          <t>RÄTTVIK</t>
        </is>
      </c>
      <c r="I8677" t="n">
        <v>0.5</v>
      </c>
      <c r="J8677" t="n">
        <v>0</v>
      </c>
      <c r="K8677" t="n">
        <v>0</v>
      </c>
      <c r="L8677" t="n">
        <v>0</v>
      </c>
      <c r="M8677" t="n">
        <v>0</v>
      </c>
      <c r="N8677" t="n">
        <v>0</v>
      </c>
      <c r="O8677" t="n">
        <v>0</v>
      </c>
      <c r="P8677" t="n">
        <v>0</v>
      </c>
      <c r="Q8677" t="n">
        <v>0</v>
      </c>
      <c r="R8677" t="n">
        <v>0</v>
      </c>
      <c r="S8677" t="n">
        <v>0</v>
      </c>
      <c r="T8677" t="n">
        <v>0</v>
      </c>
      <c r="U8677" t="n">
        <v>0</v>
      </c>
      <c r="V8677" s="2" t="inlineStr"/>
    </row>
    <row r="8678" ht="15" customHeight="1">
      <c r="A8678" t="inlineStr">
        <is>
          <t>A 40021-2023</t>
        </is>
      </c>
      <c r="B8678" t="inlineStr">
        <is>
          <t>avverkningsanmälan</t>
        </is>
      </c>
      <c r="C8678" t="inlineStr">
        <is>
          <t>Föryngringsavverkning</t>
        </is>
      </c>
      <c r="D8678" s="1" t="n">
        <v>45167</v>
      </c>
      <c r="E8678" s="1" t="n">
        <v>46319</v>
      </c>
      <c r="F8678" t="inlineStr">
        <is>
          <t>DALARNAS LÄN</t>
        </is>
      </c>
      <c r="G8678" t="inlineStr">
        <is>
          <t>RÄTTVIK</t>
        </is>
      </c>
      <c r="I8678" t="n">
        <v>1.1</v>
      </c>
      <c r="J8678" t="n">
        <v>0</v>
      </c>
      <c r="K8678" t="n">
        <v>0</v>
      </c>
      <c r="L8678" t="n">
        <v>0</v>
      </c>
      <c r="M8678" t="n">
        <v>0</v>
      </c>
      <c r="N8678" t="n">
        <v>0</v>
      </c>
      <c r="O8678" t="n">
        <v>0</v>
      </c>
      <c r="P8678" t="n">
        <v>0</v>
      </c>
      <c r="Q8678" t="n">
        <v>0</v>
      </c>
      <c r="R8678" t="n">
        <v>0</v>
      </c>
      <c r="S8678" t="n">
        <v>0</v>
      </c>
      <c r="T8678" t="n">
        <v>0</v>
      </c>
      <c r="U8678" t="n">
        <v>0</v>
      </c>
      <c r="V8678" s="2" t="inlineStr"/>
    </row>
    <row r="8679" ht="15" customHeight="1">
      <c r="A8679" t="inlineStr">
        <is>
          <t>A 45706-2024</t>
        </is>
      </c>
      <c r="B8679" t="inlineStr">
        <is>
          <t>avverkningsanmälan</t>
        </is>
      </c>
      <c r="C8679" t="inlineStr">
        <is>
          <t>Föryngringsavverkning</t>
        </is>
      </c>
      <c r="D8679" s="1" t="n">
        <v>45579</v>
      </c>
      <c r="E8679" s="1" t="n">
        <v>46319</v>
      </c>
      <c r="F8679" t="inlineStr">
        <is>
          <t>DALARNAS LÄN</t>
        </is>
      </c>
      <c r="G8679" t="inlineStr">
        <is>
          <t>GAGNEF</t>
        </is>
      </c>
      <c r="I8679" t="n">
        <v>0.2</v>
      </c>
      <c r="J8679" t="n">
        <v>0</v>
      </c>
      <c r="K8679" t="n">
        <v>0</v>
      </c>
      <c r="L8679" t="n">
        <v>0</v>
      </c>
      <c r="M8679" t="n">
        <v>0</v>
      </c>
      <c r="N8679" t="n">
        <v>0</v>
      </c>
      <c r="O8679" t="n">
        <v>0</v>
      </c>
      <c r="P8679" t="n">
        <v>0</v>
      </c>
      <c r="Q8679" t="n">
        <v>0</v>
      </c>
      <c r="R8679" t="n">
        <v>0</v>
      </c>
      <c r="S8679" t="n">
        <v>0</v>
      </c>
      <c r="T8679" t="n">
        <v>0</v>
      </c>
      <c r="U8679" t="n">
        <v>0</v>
      </c>
      <c r="V8679" s="2" t="inlineStr"/>
    </row>
    <row r="8680" ht="15" customHeight="1">
      <c r="A8680" t="inlineStr">
        <is>
          <t>A 35005-2024</t>
        </is>
      </c>
      <c r="B8680" t="inlineStr">
        <is>
          <t>avverkningsanmälan</t>
        </is>
      </c>
      <c r="C8680" t="inlineStr">
        <is>
          <t>Föryngringsavverkning</t>
        </is>
      </c>
      <c r="D8680" s="1" t="n">
        <v>45527</v>
      </c>
      <c r="E8680" s="1" t="n">
        <v>46319</v>
      </c>
      <c r="F8680" t="inlineStr">
        <is>
          <t>DALARNAS LÄN</t>
        </is>
      </c>
      <c r="G8680" t="inlineStr">
        <is>
          <t>SÄTER</t>
        </is>
      </c>
      <c r="I8680" t="n">
        <v>1.8</v>
      </c>
      <c r="J8680" t="n">
        <v>0</v>
      </c>
      <c r="K8680" t="n">
        <v>0</v>
      </c>
      <c r="L8680" t="n">
        <v>0</v>
      </c>
      <c r="M8680" t="n">
        <v>0</v>
      </c>
      <c r="N8680" t="n">
        <v>0</v>
      </c>
      <c r="O8680" t="n">
        <v>0</v>
      </c>
      <c r="P8680" t="n">
        <v>0</v>
      </c>
      <c r="Q8680" t="n">
        <v>0</v>
      </c>
      <c r="R8680" t="n">
        <v>0</v>
      </c>
      <c r="S8680" t="n">
        <v>0</v>
      </c>
      <c r="T8680" t="n">
        <v>0</v>
      </c>
      <c r="U8680" t="n">
        <v>0</v>
      </c>
      <c r="V8680" s="2" t="inlineStr"/>
    </row>
    <row r="8681" ht="15" customHeight="1">
      <c r="A8681" t="inlineStr">
        <is>
          <t>A 5196-2024</t>
        </is>
      </c>
      <c r="B8681" t="inlineStr">
        <is>
          <t>avverkningsanmälan</t>
        </is>
      </c>
      <c r="C8681" t="inlineStr">
        <is>
          <t>Föryngringsavverkning</t>
        </is>
      </c>
      <c r="D8681" s="1" t="n">
        <v>45330</v>
      </c>
      <c r="E8681" s="1" t="n">
        <v>46319</v>
      </c>
      <c r="F8681" t="inlineStr">
        <is>
          <t>DALARNAS LÄN</t>
        </is>
      </c>
      <c r="G8681" t="inlineStr">
        <is>
          <t>SÄTER</t>
        </is>
      </c>
      <c r="I8681" t="n">
        <v>2.4</v>
      </c>
      <c r="J8681" t="n">
        <v>0</v>
      </c>
      <c r="K8681" t="n">
        <v>0</v>
      </c>
      <c r="L8681" t="n">
        <v>0</v>
      </c>
      <c r="M8681" t="n">
        <v>0</v>
      </c>
      <c r="N8681" t="n">
        <v>0</v>
      </c>
      <c r="O8681" t="n">
        <v>0</v>
      </c>
      <c r="P8681" t="n">
        <v>0</v>
      </c>
      <c r="Q8681" t="n">
        <v>0</v>
      </c>
      <c r="R8681" t="n">
        <v>0</v>
      </c>
      <c r="S8681" t="n">
        <v>0</v>
      </c>
      <c r="T8681" t="n">
        <v>0</v>
      </c>
      <c r="U8681" t="n">
        <v>0</v>
      </c>
      <c r="V8681" s="2" t="inlineStr"/>
    </row>
    <row r="8682" ht="15" customHeight="1">
      <c r="A8682" t="inlineStr">
        <is>
          <t>A 7914-2024</t>
        </is>
      </c>
      <c r="B8682" t="inlineStr">
        <is>
          <t>avverkningsanmälan</t>
        </is>
      </c>
      <c r="C8682" t="inlineStr">
        <is>
          <t>Föryngringsavverkning</t>
        </is>
      </c>
      <c r="D8682" s="1" t="n">
        <v>45350</v>
      </c>
      <c r="E8682" s="1" t="n">
        <v>46319</v>
      </c>
      <c r="F8682" t="inlineStr">
        <is>
          <t>DALARNAS LÄN</t>
        </is>
      </c>
      <c r="G8682" t="inlineStr">
        <is>
          <t>HEDEMORA</t>
        </is>
      </c>
      <c r="I8682" t="n">
        <v>4.1</v>
      </c>
      <c r="J8682" t="n">
        <v>0</v>
      </c>
      <c r="K8682" t="n">
        <v>0</v>
      </c>
      <c r="L8682" t="n">
        <v>0</v>
      </c>
      <c r="M8682" t="n">
        <v>0</v>
      </c>
      <c r="N8682" t="n">
        <v>0</v>
      </c>
      <c r="O8682" t="n">
        <v>0</v>
      </c>
      <c r="P8682" t="n">
        <v>0</v>
      </c>
      <c r="Q8682" t="n">
        <v>0</v>
      </c>
      <c r="R8682" t="n">
        <v>0</v>
      </c>
      <c r="S8682" t="n">
        <v>0</v>
      </c>
      <c r="T8682" t="n">
        <v>0</v>
      </c>
      <c r="U8682" t="n">
        <v>0</v>
      </c>
      <c r="V8682" s="2" t="inlineStr"/>
    </row>
    <row r="8683" ht="15" customHeight="1">
      <c r="A8683" t="inlineStr">
        <is>
          <t>A 61533-2021</t>
        </is>
      </c>
      <c r="B8683" t="inlineStr">
        <is>
          <t>avverkningsanmälan</t>
        </is>
      </c>
      <c r="C8683" t="inlineStr">
        <is>
          <t>Föryngringsavverkning</t>
        </is>
      </c>
      <c r="D8683" s="1" t="n">
        <v>44501</v>
      </c>
      <c r="E8683" s="1" t="n">
        <v>46319</v>
      </c>
      <c r="F8683" t="inlineStr">
        <is>
          <t>DALARNAS LÄN</t>
        </is>
      </c>
      <c r="G8683" t="inlineStr">
        <is>
          <t>HEDEMORA</t>
        </is>
      </c>
      <c r="I8683" t="n">
        <v>1.6</v>
      </c>
      <c r="J8683" t="n">
        <v>0</v>
      </c>
      <c r="K8683" t="n">
        <v>0</v>
      </c>
      <c r="L8683" t="n">
        <v>0</v>
      </c>
      <c r="M8683" t="n">
        <v>0</v>
      </c>
      <c r="N8683" t="n">
        <v>0</v>
      </c>
      <c r="O8683" t="n">
        <v>0</v>
      </c>
      <c r="P8683" t="n">
        <v>0</v>
      </c>
      <c r="Q8683" t="n">
        <v>0</v>
      </c>
      <c r="R8683" t="n">
        <v>0</v>
      </c>
      <c r="S8683" t="n">
        <v>0</v>
      </c>
      <c r="T8683" t="n">
        <v>0</v>
      </c>
      <c r="U8683" t="n">
        <v>0</v>
      </c>
      <c r="V8683" s="2" t="inlineStr"/>
    </row>
    <row r="8684" ht="15" customHeight="1">
      <c r="A8684" t="inlineStr">
        <is>
          <t>A 31886-2023</t>
        </is>
      </c>
      <c r="B8684" t="inlineStr">
        <is>
          <t>avverkningsanmälan</t>
        </is>
      </c>
      <c r="C8684" t="inlineStr">
        <is>
          <t>Föryngringsavverkning</t>
        </is>
      </c>
      <c r="D8684" s="1" t="n">
        <v>45118</v>
      </c>
      <c r="E8684" s="1" t="n">
        <v>46319</v>
      </c>
      <c r="F8684" t="inlineStr">
        <is>
          <t>DALARNAS LÄN</t>
        </is>
      </c>
      <c r="G8684" t="inlineStr">
        <is>
          <t>MALUNG-SÄLEN</t>
        </is>
      </c>
      <c r="I8684" t="n">
        <v>4.2</v>
      </c>
      <c r="J8684" t="n">
        <v>0</v>
      </c>
      <c r="K8684" t="n">
        <v>0</v>
      </c>
      <c r="L8684" t="n">
        <v>0</v>
      </c>
      <c r="M8684" t="n">
        <v>0</v>
      </c>
      <c r="N8684" t="n">
        <v>0</v>
      </c>
      <c r="O8684" t="n">
        <v>0</v>
      </c>
      <c r="P8684" t="n">
        <v>0</v>
      </c>
      <c r="Q8684" t="n">
        <v>0</v>
      </c>
      <c r="R8684" t="n">
        <v>0</v>
      </c>
      <c r="S8684" t="n">
        <v>0</v>
      </c>
      <c r="T8684" t="n">
        <v>0</v>
      </c>
      <c r="U8684" t="n">
        <v>0</v>
      </c>
      <c r="V8684" s="2" t="inlineStr"/>
    </row>
    <row r="8685" ht="15" customHeight="1">
      <c r="A8685" t="inlineStr">
        <is>
          <t>A 46396-2024</t>
        </is>
      </c>
      <c r="B8685" t="inlineStr">
        <is>
          <t>avverkningsanmälan</t>
        </is>
      </c>
      <c r="C8685" t="inlineStr">
        <is>
          <t>Föryngringsavverkning</t>
        </is>
      </c>
      <c r="D8685" s="1" t="n">
        <v>45582</v>
      </c>
      <c r="E8685" s="1" t="n">
        <v>46319</v>
      </c>
      <c r="F8685" t="inlineStr">
        <is>
          <t>DALARNAS LÄN</t>
        </is>
      </c>
      <c r="G8685" t="inlineStr">
        <is>
          <t>SMEDJEBACKEN</t>
        </is>
      </c>
      <c r="H8685" t="inlineStr">
        <is>
          <t>Bergvik skog väst AB</t>
        </is>
      </c>
      <c r="I8685" t="n">
        <v>10.2</v>
      </c>
      <c r="J8685" t="n">
        <v>0</v>
      </c>
      <c r="K8685" t="n">
        <v>0</v>
      </c>
      <c r="L8685" t="n">
        <v>0</v>
      </c>
      <c r="M8685" t="n">
        <v>0</v>
      </c>
      <c r="N8685" t="n">
        <v>0</v>
      </c>
      <c r="O8685" t="n">
        <v>0</v>
      </c>
      <c r="P8685" t="n">
        <v>0</v>
      </c>
      <c r="Q8685" t="n">
        <v>0</v>
      </c>
      <c r="R8685" t="n">
        <v>0</v>
      </c>
      <c r="S8685" t="n">
        <v>0</v>
      </c>
      <c r="T8685" t="n">
        <v>0</v>
      </c>
      <c r="U8685" t="n">
        <v>0</v>
      </c>
      <c r="V8685" s="2" t="inlineStr"/>
    </row>
    <row r="8686" ht="15" customHeight="1">
      <c r="A8686" t="inlineStr">
        <is>
          <t>A 17202-2023</t>
        </is>
      </c>
      <c r="B8686" t="inlineStr">
        <is>
          <t>avverkningsanmälan</t>
        </is>
      </c>
      <c r="C8686" t="inlineStr">
        <is>
          <t>Föryngringsavverkning</t>
        </is>
      </c>
      <c r="D8686" s="1" t="n">
        <v>45034</v>
      </c>
      <c r="E8686" s="1" t="n">
        <v>46319</v>
      </c>
      <c r="F8686" t="inlineStr">
        <is>
          <t>DALARNAS LÄN</t>
        </is>
      </c>
      <c r="G8686" t="inlineStr">
        <is>
          <t>FALUN</t>
        </is>
      </c>
      <c r="I8686" t="n">
        <v>1.2</v>
      </c>
      <c r="J8686" t="n">
        <v>0</v>
      </c>
      <c r="K8686" t="n">
        <v>0</v>
      </c>
      <c r="L8686" t="n">
        <v>0</v>
      </c>
      <c r="M8686" t="n">
        <v>0</v>
      </c>
      <c r="N8686" t="n">
        <v>0</v>
      </c>
      <c r="O8686" t="n">
        <v>0</v>
      </c>
      <c r="P8686" t="n">
        <v>0</v>
      </c>
      <c r="Q8686" t="n">
        <v>0</v>
      </c>
      <c r="R8686" t="n">
        <v>0</v>
      </c>
      <c r="S8686" t="n">
        <v>0</v>
      </c>
      <c r="T8686" t="n">
        <v>0</v>
      </c>
      <c r="U8686" t="n">
        <v>0</v>
      </c>
      <c r="V8686" s="2" t="inlineStr"/>
    </row>
    <row r="8687" ht="15" customHeight="1">
      <c r="A8687" t="inlineStr">
        <is>
          <t>A 5477-2023</t>
        </is>
      </c>
      <c r="B8687" t="inlineStr">
        <is>
          <t>avverkningsanmälan</t>
        </is>
      </c>
      <c r="C8687" t="inlineStr">
        <is>
          <t>Föryngringsavverkning</t>
        </is>
      </c>
      <c r="D8687" s="1" t="n">
        <v>44960</v>
      </c>
      <c r="E8687" s="1" t="n">
        <v>46319</v>
      </c>
      <c r="F8687" t="inlineStr">
        <is>
          <t>DALARNAS LÄN</t>
        </is>
      </c>
      <c r="G8687" t="inlineStr">
        <is>
          <t>VANSBRO</t>
        </is>
      </c>
      <c r="I8687" t="n">
        <v>0.5</v>
      </c>
      <c r="J8687" t="n">
        <v>0</v>
      </c>
      <c r="K8687" t="n">
        <v>0</v>
      </c>
      <c r="L8687" t="n">
        <v>0</v>
      </c>
      <c r="M8687" t="n">
        <v>0</v>
      </c>
      <c r="N8687" t="n">
        <v>0</v>
      </c>
      <c r="O8687" t="n">
        <v>0</v>
      </c>
      <c r="P8687" t="n">
        <v>0</v>
      </c>
      <c r="Q8687" t="n">
        <v>0</v>
      </c>
      <c r="R8687" t="n">
        <v>0</v>
      </c>
      <c r="S8687" t="n">
        <v>0</v>
      </c>
      <c r="T8687" t="n">
        <v>0</v>
      </c>
      <c r="U8687" t="n">
        <v>0</v>
      </c>
      <c r="V8687" s="2" t="inlineStr"/>
    </row>
    <row r="8688" ht="15" customHeight="1">
      <c r="A8688" t="inlineStr">
        <is>
          <t>A 34497-2023</t>
        </is>
      </c>
      <c r="B8688" t="inlineStr">
        <is>
          <t>avverkningsanmälan</t>
        </is>
      </c>
      <c r="C8688" t="inlineStr">
        <is>
          <t>Föryngringsavverkning</t>
        </is>
      </c>
      <c r="D8688" s="1" t="n">
        <v>45140</v>
      </c>
      <c r="E8688" s="1" t="n">
        <v>46319</v>
      </c>
      <c r="F8688" t="inlineStr">
        <is>
          <t>DALARNAS LÄN</t>
        </is>
      </c>
      <c r="G8688" t="inlineStr">
        <is>
          <t>SÄTER</t>
        </is>
      </c>
      <c r="I8688" t="n">
        <v>1.5</v>
      </c>
      <c r="J8688" t="n">
        <v>0</v>
      </c>
      <c r="K8688" t="n">
        <v>0</v>
      </c>
      <c r="L8688" t="n">
        <v>0</v>
      </c>
      <c r="M8688" t="n">
        <v>0</v>
      </c>
      <c r="N8688" t="n">
        <v>0</v>
      </c>
      <c r="O8688" t="n">
        <v>0</v>
      </c>
      <c r="P8688" t="n">
        <v>0</v>
      </c>
      <c r="Q8688" t="n">
        <v>0</v>
      </c>
      <c r="R8688" t="n">
        <v>0</v>
      </c>
      <c r="S8688" t="n">
        <v>0</v>
      </c>
      <c r="T8688" t="n">
        <v>0</v>
      </c>
      <c r="U8688" t="n">
        <v>0</v>
      </c>
      <c r="V8688" s="2" t="inlineStr"/>
    </row>
    <row r="8689" ht="15" customHeight="1">
      <c r="A8689" t="inlineStr">
        <is>
          <t>A 5826-2023</t>
        </is>
      </c>
      <c r="B8689" t="inlineStr">
        <is>
          <t>avverkningsanmälan</t>
        </is>
      </c>
      <c r="C8689" t="inlineStr">
        <is>
          <t>Föryngringsavverkning</t>
        </is>
      </c>
      <c r="D8689" s="1" t="n">
        <v>44963</v>
      </c>
      <c r="E8689" s="1" t="n">
        <v>46319</v>
      </c>
      <c r="F8689" t="inlineStr">
        <is>
          <t>DALARNAS LÄN</t>
        </is>
      </c>
      <c r="G8689" t="inlineStr">
        <is>
          <t>ÄLVDALEN</t>
        </is>
      </c>
      <c r="I8689" t="n">
        <v>1.7</v>
      </c>
      <c r="J8689" t="n">
        <v>0</v>
      </c>
      <c r="K8689" t="n">
        <v>0</v>
      </c>
      <c r="L8689" t="n">
        <v>0</v>
      </c>
      <c r="M8689" t="n">
        <v>0</v>
      </c>
      <c r="N8689" t="n">
        <v>0</v>
      </c>
      <c r="O8689" t="n">
        <v>0</v>
      </c>
      <c r="P8689" t="n">
        <v>0</v>
      </c>
      <c r="Q8689" t="n">
        <v>0</v>
      </c>
      <c r="R8689" t="n">
        <v>0</v>
      </c>
      <c r="S8689" t="n">
        <v>0</v>
      </c>
      <c r="T8689" t="n">
        <v>0</v>
      </c>
      <c r="U8689" t="n">
        <v>0</v>
      </c>
      <c r="V8689" s="2" t="inlineStr"/>
    </row>
    <row r="8690" ht="15" customHeight="1">
      <c r="A8690" t="inlineStr">
        <is>
          <t>A 17209-2025</t>
        </is>
      </c>
      <c r="B8690" t="inlineStr">
        <is>
          <t>avverkningsanmälan</t>
        </is>
      </c>
      <c r="C8690" t="inlineStr">
        <is>
          <t>Föryngringsavverkning</t>
        </is>
      </c>
      <c r="D8690" s="1" t="n">
        <v>45756</v>
      </c>
      <c r="E8690" s="1" t="n">
        <v>46319</v>
      </c>
      <c r="F8690" t="inlineStr">
        <is>
          <t>DALARNAS LÄN</t>
        </is>
      </c>
      <c r="G8690" t="inlineStr">
        <is>
          <t>MALUNG-SÄLEN</t>
        </is>
      </c>
      <c r="H8690" t="inlineStr">
        <is>
          <t>Bergvik skog öst AB</t>
        </is>
      </c>
      <c r="I8690" t="n">
        <v>1.7</v>
      </c>
      <c r="J8690" t="n">
        <v>0</v>
      </c>
      <c r="K8690" t="n">
        <v>0</v>
      </c>
      <c r="L8690" t="n">
        <v>0</v>
      </c>
      <c r="M8690" t="n">
        <v>0</v>
      </c>
      <c r="N8690" t="n">
        <v>0</v>
      </c>
      <c r="O8690" t="n">
        <v>0</v>
      </c>
      <c r="P8690" t="n">
        <v>0</v>
      </c>
      <c r="Q8690" t="n">
        <v>0</v>
      </c>
      <c r="R8690" t="n">
        <v>0</v>
      </c>
      <c r="S8690" t="n">
        <v>0</v>
      </c>
      <c r="T8690" t="n">
        <v>0</v>
      </c>
      <c r="U8690" t="n">
        <v>0</v>
      </c>
      <c r="V8690" s="2" t="inlineStr"/>
    </row>
    <row r="8691" ht="15" customHeight="1">
      <c r="A8691" t="inlineStr">
        <is>
          <t>A 17280-2025</t>
        </is>
      </c>
      <c r="B8691" t="inlineStr">
        <is>
          <t>avverkningsanmälan</t>
        </is>
      </c>
      <c r="C8691" t="inlineStr">
        <is>
          <t>Föryngringsavverkning</t>
        </is>
      </c>
      <c r="D8691" s="1" t="n">
        <v>45756</v>
      </c>
      <c r="E8691" s="1" t="n">
        <v>46319</v>
      </c>
      <c r="F8691" t="inlineStr">
        <is>
          <t>DALARNAS LÄN</t>
        </is>
      </c>
      <c r="G8691" t="inlineStr">
        <is>
          <t>MORA</t>
        </is>
      </c>
      <c r="I8691" t="n">
        <v>2.1</v>
      </c>
      <c r="J8691" t="n">
        <v>0</v>
      </c>
      <c r="K8691" t="n">
        <v>0</v>
      </c>
      <c r="L8691" t="n">
        <v>0</v>
      </c>
      <c r="M8691" t="n">
        <v>0</v>
      </c>
      <c r="N8691" t="n">
        <v>0</v>
      </c>
      <c r="O8691" t="n">
        <v>0</v>
      </c>
      <c r="P8691" t="n">
        <v>0</v>
      </c>
      <c r="Q8691" t="n">
        <v>0</v>
      </c>
      <c r="R8691" t="n">
        <v>0</v>
      </c>
      <c r="S8691" t="n">
        <v>0</v>
      </c>
      <c r="T8691" t="n">
        <v>0</v>
      </c>
      <c r="U8691" t="n">
        <v>0</v>
      </c>
      <c r="V8691" s="2" t="inlineStr"/>
    </row>
    <row r="8692" ht="15" customHeight="1">
      <c r="A8692" t="inlineStr">
        <is>
          <t>A 14892-2024</t>
        </is>
      </c>
      <c r="B8692" t="inlineStr">
        <is>
          <t>avverkningsanmälan</t>
        </is>
      </c>
      <c r="C8692" t="inlineStr">
        <is>
          <t>Föryngringsavverkning</t>
        </is>
      </c>
      <c r="D8692" s="1" t="n">
        <v>45398</v>
      </c>
      <c r="E8692" s="1" t="n">
        <v>46319</v>
      </c>
      <c r="F8692" t="inlineStr">
        <is>
          <t>DALARNAS LÄN</t>
        </is>
      </c>
      <c r="G8692" t="inlineStr">
        <is>
          <t>RÄTTVIK</t>
        </is>
      </c>
      <c r="I8692" t="n">
        <v>2.7</v>
      </c>
      <c r="J8692" t="n">
        <v>0</v>
      </c>
      <c r="K8692" t="n">
        <v>0</v>
      </c>
      <c r="L8692" t="n">
        <v>0</v>
      </c>
      <c r="M8692" t="n">
        <v>0</v>
      </c>
      <c r="N8692" t="n">
        <v>0</v>
      </c>
      <c r="O8692" t="n">
        <v>0</v>
      </c>
      <c r="P8692" t="n">
        <v>0</v>
      </c>
      <c r="Q8692" t="n">
        <v>0</v>
      </c>
      <c r="R8692" t="n">
        <v>0</v>
      </c>
      <c r="S8692" t="n">
        <v>0</v>
      </c>
      <c r="T8692" t="n">
        <v>0</v>
      </c>
      <c r="U8692" t="n">
        <v>0</v>
      </c>
      <c r="V8692" s="2" t="inlineStr"/>
    </row>
    <row r="8693" ht="15" customHeight="1">
      <c r="A8693" t="inlineStr">
        <is>
          <t>A 57208-2023</t>
        </is>
      </c>
      <c r="B8693" t="inlineStr">
        <is>
          <t>avverkningsanmälan</t>
        </is>
      </c>
      <c r="C8693" t="inlineStr">
        <is>
          <t>Föryngringsavverkning</t>
        </is>
      </c>
      <c r="D8693" s="1" t="n">
        <v>45245</v>
      </c>
      <c r="E8693" s="1" t="n">
        <v>46319</v>
      </c>
      <c r="F8693" t="inlineStr">
        <is>
          <t>DALARNAS LÄN</t>
        </is>
      </c>
      <c r="G8693" t="inlineStr">
        <is>
          <t>RÄTTVIK</t>
        </is>
      </c>
      <c r="I8693" t="n">
        <v>0.6</v>
      </c>
      <c r="J8693" t="n">
        <v>0</v>
      </c>
      <c r="K8693" t="n">
        <v>0</v>
      </c>
      <c r="L8693" t="n">
        <v>0</v>
      </c>
      <c r="M8693" t="n">
        <v>0</v>
      </c>
      <c r="N8693" t="n">
        <v>0</v>
      </c>
      <c r="O8693" t="n">
        <v>0</v>
      </c>
      <c r="P8693" t="n">
        <v>0</v>
      </c>
      <c r="Q8693" t="n">
        <v>0</v>
      </c>
      <c r="R8693" t="n">
        <v>0</v>
      </c>
      <c r="S8693" t="n">
        <v>0</v>
      </c>
      <c r="T8693" t="n">
        <v>0</v>
      </c>
      <c r="U8693" t="n">
        <v>0</v>
      </c>
      <c r="V8693" s="2" t="inlineStr"/>
    </row>
    <row r="8694" ht="15" customHeight="1">
      <c r="A8694" t="inlineStr">
        <is>
          <t>A 471-2025</t>
        </is>
      </c>
      <c r="B8694" t="inlineStr">
        <is>
          <t>avverkningsanmälan</t>
        </is>
      </c>
      <c r="C8694" t="inlineStr">
        <is>
          <t>Föryngringsavverkning</t>
        </is>
      </c>
      <c r="D8694" s="1" t="n">
        <v>45664</v>
      </c>
      <c r="E8694" s="1" t="n">
        <v>46319</v>
      </c>
      <c r="F8694" t="inlineStr">
        <is>
          <t>DALARNAS LÄN</t>
        </is>
      </c>
      <c r="G8694" t="inlineStr">
        <is>
          <t>LEKSAND</t>
        </is>
      </c>
      <c r="I8694" t="n">
        <v>1.3</v>
      </c>
      <c r="J8694" t="n">
        <v>0</v>
      </c>
      <c r="K8694" t="n">
        <v>0</v>
      </c>
      <c r="L8694" t="n">
        <v>0</v>
      </c>
      <c r="M8694" t="n">
        <v>0</v>
      </c>
      <c r="N8694" t="n">
        <v>0</v>
      </c>
      <c r="O8694" t="n">
        <v>0</v>
      </c>
      <c r="P8694" t="n">
        <v>0</v>
      </c>
      <c r="Q8694" t="n">
        <v>0</v>
      </c>
      <c r="R8694" t="n">
        <v>0</v>
      </c>
      <c r="S8694" t="n">
        <v>0</v>
      </c>
      <c r="T8694" t="n">
        <v>0</v>
      </c>
      <c r="U8694" t="n">
        <v>0</v>
      </c>
      <c r="V8694" s="2" t="inlineStr"/>
    </row>
    <row r="8695" ht="15" customHeight="1">
      <c r="A8695" t="inlineStr">
        <is>
          <t>A 58343-2023</t>
        </is>
      </c>
      <c r="B8695" t="inlineStr">
        <is>
          <t>avverkningsanmälan</t>
        </is>
      </c>
      <c r="C8695" t="inlineStr">
        <is>
          <t>Föryngringsavverkning</t>
        </is>
      </c>
      <c r="D8695" s="1" t="n">
        <v>45250</v>
      </c>
      <c r="E8695" s="1" t="n">
        <v>46319</v>
      </c>
      <c r="F8695" t="inlineStr">
        <is>
          <t>DALARNAS LÄN</t>
        </is>
      </c>
      <c r="G8695" t="inlineStr">
        <is>
          <t>FALUN</t>
        </is>
      </c>
      <c r="I8695" t="n">
        <v>1.9</v>
      </c>
      <c r="J8695" t="n">
        <v>0</v>
      </c>
      <c r="K8695" t="n">
        <v>0</v>
      </c>
      <c r="L8695" t="n">
        <v>0</v>
      </c>
      <c r="M8695" t="n">
        <v>0</v>
      </c>
      <c r="N8695" t="n">
        <v>0</v>
      </c>
      <c r="O8695" t="n">
        <v>0</v>
      </c>
      <c r="P8695" t="n">
        <v>0</v>
      </c>
      <c r="Q8695" t="n">
        <v>0</v>
      </c>
      <c r="R8695" t="n">
        <v>0</v>
      </c>
      <c r="S8695" t="n">
        <v>0</v>
      </c>
      <c r="T8695" t="n">
        <v>0</v>
      </c>
      <c r="U8695" t="n">
        <v>0</v>
      </c>
      <c r="V8695" s="2" t="inlineStr"/>
    </row>
    <row r="8696" ht="15" customHeight="1">
      <c r="A8696" t="inlineStr">
        <is>
          <t>A 58388-2023</t>
        </is>
      </c>
      <c r="B8696" t="inlineStr">
        <is>
          <t>avverkningsanmälan</t>
        </is>
      </c>
      <c r="C8696" t="inlineStr">
        <is>
          <t>Föryngringsavverkning</t>
        </is>
      </c>
      <c r="D8696" s="1" t="n">
        <v>45250</v>
      </c>
      <c r="E8696" s="1" t="n">
        <v>46319</v>
      </c>
      <c r="F8696" t="inlineStr">
        <is>
          <t>DALARNAS LÄN</t>
        </is>
      </c>
      <c r="G8696" t="inlineStr">
        <is>
          <t>FALUN</t>
        </is>
      </c>
      <c r="I8696" t="n">
        <v>0.7</v>
      </c>
      <c r="J8696" t="n">
        <v>0</v>
      </c>
      <c r="K8696" t="n">
        <v>0</v>
      </c>
      <c r="L8696" t="n">
        <v>0</v>
      </c>
      <c r="M8696" t="n">
        <v>0</v>
      </c>
      <c r="N8696" t="n">
        <v>0</v>
      </c>
      <c r="O8696" t="n">
        <v>0</v>
      </c>
      <c r="P8696" t="n">
        <v>0</v>
      </c>
      <c r="Q8696" t="n">
        <v>0</v>
      </c>
      <c r="R8696" t="n">
        <v>0</v>
      </c>
      <c r="S8696" t="n">
        <v>0</v>
      </c>
      <c r="T8696" t="n">
        <v>0</v>
      </c>
      <c r="U8696" t="n">
        <v>0</v>
      </c>
      <c r="V8696" s="2" t="inlineStr"/>
    </row>
    <row r="8697" ht="15" customHeight="1">
      <c r="A8697" t="inlineStr">
        <is>
          <t>A 45601-2023</t>
        </is>
      </c>
      <c r="B8697" t="inlineStr">
        <is>
          <t>avverkningsanmälan</t>
        </is>
      </c>
      <c r="C8697" t="inlineStr">
        <is>
          <t>Föryngringsavverkning</t>
        </is>
      </c>
      <c r="D8697" s="1" t="n">
        <v>45194</v>
      </c>
      <c r="E8697" s="1" t="n">
        <v>46319</v>
      </c>
      <c r="F8697" t="inlineStr">
        <is>
          <t>DALARNAS LÄN</t>
        </is>
      </c>
      <c r="G8697" t="inlineStr">
        <is>
          <t>MALUNG-SÄLEN</t>
        </is>
      </c>
      <c r="I8697" t="n">
        <v>0.4</v>
      </c>
      <c r="J8697" t="n">
        <v>0</v>
      </c>
      <c r="K8697" t="n">
        <v>0</v>
      </c>
      <c r="L8697" t="n">
        <v>0</v>
      </c>
      <c r="M8697" t="n">
        <v>0</v>
      </c>
      <c r="N8697" t="n">
        <v>0</v>
      </c>
      <c r="O8697" t="n">
        <v>0</v>
      </c>
      <c r="P8697" t="n">
        <v>0</v>
      </c>
      <c r="Q8697" t="n">
        <v>0</v>
      </c>
      <c r="R8697" t="n">
        <v>0</v>
      </c>
      <c r="S8697" t="n">
        <v>0</v>
      </c>
      <c r="T8697" t="n">
        <v>0</v>
      </c>
      <c r="U8697" t="n">
        <v>0</v>
      </c>
      <c r="V8697" s="2" t="inlineStr"/>
    </row>
    <row r="8698" ht="15" customHeight="1">
      <c r="A8698" t="inlineStr">
        <is>
          <t>A 30253-2023</t>
        </is>
      </c>
      <c r="B8698" t="inlineStr">
        <is>
          <t>avverkningsanmälan</t>
        </is>
      </c>
      <c r="C8698" t="inlineStr">
        <is>
          <t>Föryngringsavverkning</t>
        </is>
      </c>
      <c r="D8698" s="1" t="n">
        <v>45110</v>
      </c>
      <c r="E8698" s="1" t="n">
        <v>46319</v>
      </c>
      <c r="F8698" t="inlineStr">
        <is>
          <t>DALARNAS LÄN</t>
        </is>
      </c>
      <c r="G8698" t="inlineStr">
        <is>
          <t>BORLÄNGE</t>
        </is>
      </c>
      <c r="I8698" t="n">
        <v>1</v>
      </c>
      <c r="J8698" t="n">
        <v>0</v>
      </c>
      <c r="K8698" t="n">
        <v>0</v>
      </c>
      <c r="L8698" t="n">
        <v>0</v>
      </c>
      <c r="M8698" t="n">
        <v>0</v>
      </c>
      <c r="N8698" t="n">
        <v>0</v>
      </c>
      <c r="O8698" t="n">
        <v>0</v>
      </c>
      <c r="P8698" t="n">
        <v>0</v>
      </c>
      <c r="Q8698" t="n">
        <v>0</v>
      </c>
      <c r="R8698" t="n">
        <v>0</v>
      </c>
      <c r="S8698" t="n">
        <v>0</v>
      </c>
      <c r="T8698" t="n">
        <v>0</v>
      </c>
      <c r="U8698" t="n">
        <v>0</v>
      </c>
      <c r="V8698" s="2" t="inlineStr"/>
    </row>
    <row r="8699" ht="15" customHeight="1">
      <c r="A8699" t="inlineStr">
        <is>
          <t>A 57533-2022</t>
        </is>
      </c>
      <c r="B8699" t="inlineStr">
        <is>
          <t>avverkningsanmälan</t>
        </is>
      </c>
      <c r="C8699" t="inlineStr">
        <is>
          <t>Föryngringsavverkning</t>
        </is>
      </c>
      <c r="D8699" s="1" t="n">
        <v>44896</v>
      </c>
      <c r="E8699" s="1" t="n">
        <v>46319</v>
      </c>
      <c r="F8699" t="inlineStr">
        <is>
          <t>DALARNAS LÄN</t>
        </is>
      </c>
      <c r="G8699" t="inlineStr">
        <is>
          <t>ORSA</t>
        </is>
      </c>
      <c r="H8699" t="inlineStr">
        <is>
          <t>Bergvik skog öst AB</t>
        </is>
      </c>
      <c r="I8699" t="n">
        <v>2.2</v>
      </c>
      <c r="J8699" t="n">
        <v>0</v>
      </c>
      <c r="K8699" t="n">
        <v>0</v>
      </c>
      <c r="L8699" t="n">
        <v>0</v>
      </c>
      <c r="M8699" t="n">
        <v>0</v>
      </c>
      <c r="N8699" t="n">
        <v>0</v>
      </c>
      <c r="O8699" t="n">
        <v>0</v>
      </c>
      <c r="P8699" t="n">
        <v>0</v>
      </c>
      <c r="Q8699" t="n">
        <v>0</v>
      </c>
      <c r="R8699" t="n">
        <v>0</v>
      </c>
      <c r="S8699" t="n">
        <v>0</v>
      </c>
      <c r="T8699" t="n">
        <v>0</v>
      </c>
      <c r="U8699" t="n">
        <v>0</v>
      </c>
      <c r="V8699" s="2" t="inlineStr"/>
    </row>
    <row r="8700" ht="15" customHeight="1">
      <c r="A8700" t="inlineStr">
        <is>
          <t>A 65104-2023</t>
        </is>
      </c>
      <c r="B8700" t="inlineStr">
        <is>
          <t>avverkningsanmälan</t>
        </is>
      </c>
      <c r="C8700" t="inlineStr">
        <is>
          <t>Föryngringsavverkning</t>
        </is>
      </c>
      <c r="D8700" s="1" t="n">
        <v>45288</v>
      </c>
      <c r="E8700" s="1" t="n">
        <v>46319</v>
      </c>
      <c r="F8700" t="inlineStr">
        <is>
          <t>DALARNAS LÄN</t>
        </is>
      </c>
      <c r="G8700" t="inlineStr">
        <is>
          <t>LUDVIKA</t>
        </is>
      </c>
      <c r="I8700" t="n">
        <v>1.3</v>
      </c>
      <c r="J8700" t="n">
        <v>0</v>
      </c>
      <c r="K8700" t="n">
        <v>0</v>
      </c>
      <c r="L8700" t="n">
        <v>0</v>
      </c>
      <c r="M8700" t="n">
        <v>0</v>
      </c>
      <c r="N8700" t="n">
        <v>0</v>
      </c>
      <c r="O8700" t="n">
        <v>0</v>
      </c>
      <c r="P8700" t="n">
        <v>0</v>
      </c>
      <c r="Q8700" t="n">
        <v>0</v>
      </c>
      <c r="R8700" t="n">
        <v>0</v>
      </c>
      <c r="S8700" t="n">
        <v>0</v>
      </c>
      <c r="T8700" t="n">
        <v>0</v>
      </c>
      <c r="U8700" t="n">
        <v>0</v>
      </c>
      <c r="V8700" s="2" t="inlineStr"/>
    </row>
    <row r="8701" ht="15" customHeight="1">
      <c r="A8701" t="inlineStr">
        <is>
          <t>A 1967-2025</t>
        </is>
      </c>
      <c r="B8701" t="inlineStr">
        <is>
          <t>avverkningsanmälan</t>
        </is>
      </c>
      <c r="C8701" t="inlineStr">
        <is>
          <t>Föryngringsavverkning</t>
        </is>
      </c>
      <c r="D8701" s="1" t="n">
        <v>45672</v>
      </c>
      <c r="E8701" s="1" t="n">
        <v>46319</v>
      </c>
      <c r="F8701" t="inlineStr">
        <is>
          <t>DALARNAS LÄN</t>
        </is>
      </c>
      <c r="G8701" t="inlineStr">
        <is>
          <t>MALUNG-SÄLEN</t>
        </is>
      </c>
      <c r="I8701" t="n">
        <v>0.9</v>
      </c>
      <c r="J8701" t="n">
        <v>0</v>
      </c>
      <c r="K8701" t="n">
        <v>0</v>
      </c>
      <c r="L8701" t="n">
        <v>0</v>
      </c>
      <c r="M8701" t="n">
        <v>0</v>
      </c>
      <c r="N8701" t="n">
        <v>0</v>
      </c>
      <c r="O8701" t="n">
        <v>0</v>
      </c>
      <c r="P8701" t="n">
        <v>0</v>
      </c>
      <c r="Q8701" t="n">
        <v>0</v>
      </c>
      <c r="R8701" t="n">
        <v>0</v>
      </c>
      <c r="S8701" t="n">
        <v>0</v>
      </c>
      <c r="T8701" t="n">
        <v>0</v>
      </c>
      <c r="U8701" t="n">
        <v>0</v>
      </c>
      <c r="V8701" s="2" t="inlineStr"/>
    </row>
    <row r="8702" ht="15" customHeight="1">
      <c r="A8702" t="inlineStr">
        <is>
          <t>A 9314-2024</t>
        </is>
      </c>
      <c r="B8702" t="inlineStr">
        <is>
          <t>avverkningsanmälan</t>
        </is>
      </c>
      <c r="C8702" t="inlineStr">
        <is>
          <t>Föryngringsavverkning</t>
        </is>
      </c>
      <c r="D8702" s="1" t="n">
        <v>45358</v>
      </c>
      <c r="E8702" s="1" t="n">
        <v>46319</v>
      </c>
      <c r="F8702" t="inlineStr">
        <is>
          <t>DALARNAS LÄN</t>
        </is>
      </c>
      <c r="G8702" t="inlineStr">
        <is>
          <t>HEDEMORA</t>
        </is>
      </c>
      <c r="I8702" t="n">
        <v>1.4</v>
      </c>
      <c r="J8702" t="n">
        <v>0</v>
      </c>
      <c r="K8702" t="n">
        <v>0</v>
      </c>
      <c r="L8702" t="n">
        <v>0</v>
      </c>
      <c r="M8702" t="n">
        <v>0</v>
      </c>
      <c r="N8702" t="n">
        <v>0</v>
      </c>
      <c r="O8702" t="n">
        <v>0</v>
      </c>
      <c r="P8702" t="n">
        <v>0</v>
      </c>
      <c r="Q8702" t="n">
        <v>0</v>
      </c>
      <c r="R8702" t="n">
        <v>0</v>
      </c>
      <c r="S8702" t="n">
        <v>0</v>
      </c>
      <c r="T8702" t="n">
        <v>0</v>
      </c>
      <c r="U8702" t="n">
        <v>0</v>
      </c>
      <c r="V8702" s="2" t="inlineStr"/>
    </row>
    <row r="8703" ht="15" customHeight="1">
      <c r="A8703" t="inlineStr">
        <is>
          <t>A 9148-2023</t>
        </is>
      </c>
      <c r="B8703" t="inlineStr">
        <is>
          <t>avverkningsanmälan</t>
        </is>
      </c>
      <c r="C8703" t="inlineStr">
        <is>
          <t>Föryngringsavverkning</t>
        </is>
      </c>
      <c r="D8703" s="1" t="n">
        <v>44980</v>
      </c>
      <c r="E8703" s="1" t="n">
        <v>46319</v>
      </c>
      <c r="F8703" t="inlineStr">
        <is>
          <t>DALARNAS LÄN</t>
        </is>
      </c>
      <c r="G8703" t="inlineStr">
        <is>
          <t>AVESTA</t>
        </is>
      </c>
      <c r="I8703" t="n">
        <v>4.6</v>
      </c>
      <c r="J8703" t="n">
        <v>0</v>
      </c>
      <c r="K8703" t="n">
        <v>0</v>
      </c>
      <c r="L8703" t="n">
        <v>0</v>
      </c>
      <c r="M8703" t="n">
        <v>0</v>
      </c>
      <c r="N8703" t="n">
        <v>0</v>
      </c>
      <c r="O8703" t="n">
        <v>0</v>
      </c>
      <c r="P8703" t="n">
        <v>0</v>
      </c>
      <c r="Q8703" t="n">
        <v>0</v>
      </c>
      <c r="R8703" t="n">
        <v>0</v>
      </c>
      <c r="S8703" t="n">
        <v>0</v>
      </c>
      <c r="T8703" t="n">
        <v>0</v>
      </c>
      <c r="U8703" t="n">
        <v>0</v>
      </c>
      <c r="V8703" s="2" t="inlineStr"/>
    </row>
    <row r="8704" ht="15" customHeight="1">
      <c r="A8704" t="inlineStr">
        <is>
          <t>A 1005-2022</t>
        </is>
      </c>
      <c r="B8704" t="inlineStr">
        <is>
          <t>avverkningsanmälan</t>
        </is>
      </c>
      <c r="C8704" t="inlineStr">
        <is>
          <t>Föryngringsavverkning</t>
        </is>
      </c>
      <c r="D8704" s="1" t="n">
        <v>44571</v>
      </c>
      <c r="E8704" s="1" t="n">
        <v>46319</v>
      </c>
      <c r="F8704" t="inlineStr">
        <is>
          <t>DALARNAS LÄN</t>
        </is>
      </c>
      <c r="G8704" t="inlineStr">
        <is>
          <t>RÄTTVIK</t>
        </is>
      </c>
      <c r="I8704" t="n">
        <v>2.7</v>
      </c>
      <c r="J8704" t="n">
        <v>0</v>
      </c>
      <c r="K8704" t="n">
        <v>0</v>
      </c>
      <c r="L8704" t="n">
        <v>0</v>
      </c>
      <c r="M8704" t="n">
        <v>0</v>
      </c>
      <c r="N8704" t="n">
        <v>0</v>
      </c>
      <c r="O8704" t="n">
        <v>0</v>
      </c>
      <c r="P8704" t="n">
        <v>0</v>
      </c>
      <c r="Q8704" t="n">
        <v>0</v>
      </c>
      <c r="R8704" t="n">
        <v>0</v>
      </c>
      <c r="S8704" t="n">
        <v>0</v>
      </c>
      <c r="T8704" t="n">
        <v>0</v>
      </c>
      <c r="U8704" t="n">
        <v>0</v>
      </c>
      <c r="V8704" s="2" t="inlineStr"/>
    </row>
    <row r="8705" ht="15" customHeight="1">
      <c r="A8705" t="inlineStr">
        <is>
          <t>A 7116-2024</t>
        </is>
      </c>
      <c r="B8705" t="inlineStr">
        <is>
          <t>avverkningsanmälan</t>
        </is>
      </c>
      <c r="C8705" t="inlineStr">
        <is>
          <t>Avverkning för annat ändamål</t>
        </is>
      </c>
      <c r="D8705" s="1" t="n">
        <v>45343</v>
      </c>
      <c r="E8705" s="1" t="n">
        <v>46319</v>
      </c>
      <c r="F8705" t="inlineStr">
        <is>
          <t>DALARNAS LÄN</t>
        </is>
      </c>
      <c r="G8705" t="inlineStr">
        <is>
          <t>MORA</t>
        </is>
      </c>
      <c r="I8705" t="n">
        <v>0.3</v>
      </c>
      <c r="J8705" t="n">
        <v>0</v>
      </c>
      <c r="K8705" t="n">
        <v>0</v>
      </c>
      <c r="L8705" t="n">
        <v>0</v>
      </c>
      <c r="M8705" t="n">
        <v>0</v>
      </c>
      <c r="N8705" t="n">
        <v>0</v>
      </c>
      <c r="O8705" t="n">
        <v>0</v>
      </c>
      <c r="P8705" t="n">
        <v>0</v>
      </c>
      <c r="Q8705" t="n">
        <v>0</v>
      </c>
      <c r="R8705" t="n">
        <v>0</v>
      </c>
      <c r="S8705" t="n">
        <v>0</v>
      </c>
      <c r="T8705" t="n">
        <v>0</v>
      </c>
      <c r="U8705" t="n">
        <v>0</v>
      </c>
      <c r="V8705" s="2" t="inlineStr"/>
    </row>
    <row r="8706" ht="15" customHeight="1">
      <c r="A8706" t="inlineStr">
        <is>
          <t>A 11105-2023</t>
        </is>
      </c>
      <c r="B8706" t="inlineStr">
        <is>
          <t>avverkningsanmälan</t>
        </is>
      </c>
      <c r="C8706" t="inlineStr">
        <is>
          <t>Föryngringsavverkning</t>
        </is>
      </c>
      <c r="D8706" s="1" t="n">
        <v>44992</v>
      </c>
      <c r="E8706" s="1" t="n">
        <v>46319</v>
      </c>
      <c r="F8706" t="inlineStr">
        <is>
          <t>DALARNAS LÄN</t>
        </is>
      </c>
      <c r="G8706" t="inlineStr">
        <is>
          <t>BORLÄNGE</t>
        </is>
      </c>
      <c r="I8706" t="n">
        <v>0.5</v>
      </c>
      <c r="J8706" t="n">
        <v>0</v>
      </c>
      <c r="K8706" t="n">
        <v>0</v>
      </c>
      <c r="L8706" t="n">
        <v>0</v>
      </c>
      <c r="M8706" t="n">
        <v>0</v>
      </c>
      <c r="N8706" t="n">
        <v>0</v>
      </c>
      <c r="O8706" t="n">
        <v>0</v>
      </c>
      <c r="P8706" t="n">
        <v>0</v>
      </c>
      <c r="Q8706" t="n">
        <v>0</v>
      </c>
      <c r="R8706" t="n">
        <v>0</v>
      </c>
      <c r="S8706" t="n">
        <v>0</v>
      </c>
      <c r="T8706" t="n">
        <v>0</v>
      </c>
      <c r="U8706" t="n">
        <v>0</v>
      </c>
      <c r="V8706" s="2" t="inlineStr"/>
    </row>
    <row r="8707" ht="15" customHeight="1">
      <c r="A8707" t="inlineStr">
        <is>
          <t>A 11128-2023</t>
        </is>
      </c>
      <c r="B8707" t="inlineStr">
        <is>
          <t>avverkningsanmälan</t>
        </is>
      </c>
      <c r="C8707" t="inlineStr">
        <is>
          <t>Avverkning för annat ändamål</t>
        </is>
      </c>
      <c r="D8707" s="1" t="n">
        <v>44992</v>
      </c>
      <c r="E8707" s="1" t="n">
        <v>46319</v>
      </c>
      <c r="F8707" t="inlineStr">
        <is>
          <t>DALARNAS LÄN</t>
        </is>
      </c>
      <c r="G8707" t="inlineStr">
        <is>
          <t>LEKSAND</t>
        </is>
      </c>
      <c r="I8707" t="n">
        <v>1.5</v>
      </c>
      <c r="J8707" t="n">
        <v>0</v>
      </c>
      <c r="K8707" t="n">
        <v>0</v>
      </c>
      <c r="L8707" t="n">
        <v>0</v>
      </c>
      <c r="M8707" t="n">
        <v>0</v>
      </c>
      <c r="N8707" t="n">
        <v>0</v>
      </c>
      <c r="O8707" t="n">
        <v>0</v>
      </c>
      <c r="P8707" t="n">
        <v>0</v>
      </c>
      <c r="Q8707" t="n">
        <v>0</v>
      </c>
      <c r="R8707" t="n">
        <v>0</v>
      </c>
      <c r="S8707" t="n">
        <v>0</v>
      </c>
      <c r="T8707" t="n">
        <v>0</v>
      </c>
      <c r="U8707" t="n">
        <v>0</v>
      </c>
      <c r="V8707" s="2" t="inlineStr"/>
    </row>
    <row r="8708" ht="15" customHeight="1">
      <c r="A8708" t="inlineStr">
        <is>
          <t>A 60024-2023</t>
        </is>
      </c>
      <c r="B8708" t="inlineStr">
        <is>
          <t>avverkningsanmälan</t>
        </is>
      </c>
      <c r="C8708" t="inlineStr">
        <is>
          <t>Föryngringsavverkning</t>
        </is>
      </c>
      <c r="D8708" s="1" t="n">
        <v>45258</v>
      </c>
      <c r="E8708" s="1" t="n">
        <v>46319</v>
      </c>
      <c r="F8708" t="inlineStr">
        <is>
          <t>DALARNAS LÄN</t>
        </is>
      </c>
      <c r="G8708" t="inlineStr">
        <is>
          <t>LEKSAND</t>
        </is>
      </c>
      <c r="I8708" t="n">
        <v>4.2</v>
      </c>
      <c r="J8708" t="n">
        <v>0</v>
      </c>
      <c r="K8708" t="n">
        <v>0</v>
      </c>
      <c r="L8708" t="n">
        <v>0</v>
      </c>
      <c r="M8708" t="n">
        <v>0</v>
      </c>
      <c r="N8708" t="n">
        <v>0</v>
      </c>
      <c r="O8708" t="n">
        <v>0</v>
      </c>
      <c r="P8708" t="n">
        <v>0</v>
      </c>
      <c r="Q8708" t="n">
        <v>0</v>
      </c>
      <c r="R8708" t="n">
        <v>0</v>
      </c>
      <c r="S8708" t="n">
        <v>0</v>
      </c>
      <c r="T8708" t="n">
        <v>0</v>
      </c>
      <c r="U8708" t="n">
        <v>0</v>
      </c>
      <c r="V8708" s="2" t="inlineStr"/>
    </row>
    <row r="8709" ht="15" customHeight="1">
      <c r="A8709" t="inlineStr">
        <is>
          <t>A 8430-2024</t>
        </is>
      </c>
      <c r="B8709" t="inlineStr">
        <is>
          <t>avverkningsanmälan</t>
        </is>
      </c>
      <c r="C8709" t="inlineStr">
        <is>
          <t>Föryngringsavverkning</t>
        </is>
      </c>
      <c r="D8709" s="1" t="n">
        <v>45353</v>
      </c>
      <c r="E8709" s="1" t="n">
        <v>46319</v>
      </c>
      <c r="F8709" t="inlineStr">
        <is>
          <t>DALARNAS LÄN</t>
        </is>
      </c>
      <c r="G8709" t="inlineStr">
        <is>
          <t>ORSA</t>
        </is>
      </c>
      <c r="I8709" t="n">
        <v>14.4</v>
      </c>
      <c r="J8709" t="n">
        <v>0</v>
      </c>
      <c r="K8709" t="n">
        <v>0</v>
      </c>
      <c r="L8709" t="n">
        <v>0</v>
      </c>
      <c r="M8709" t="n">
        <v>0</v>
      </c>
      <c r="N8709" t="n">
        <v>0</v>
      </c>
      <c r="O8709" t="n">
        <v>0</v>
      </c>
      <c r="P8709" t="n">
        <v>0</v>
      </c>
      <c r="Q8709" t="n">
        <v>0</v>
      </c>
      <c r="R8709" t="n">
        <v>0</v>
      </c>
      <c r="S8709" t="n">
        <v>0</v>
      </c>
      <c r="T8709" t="n">
        <v>0</v>
      </c>
      <c r="U8709" t="n">
        <v>0</v>
      </c>
      <c r="V8709" s="2" t="inlineStr"/>
    </row>
    <row r="8710" ht="15" customHeight="1">
      <c r="A8710" t="inlineStr">
        <is>
          <t>A 11274-2024</t>
        </is>
      </c>
      <c r="B8710" t="inlineStr">
        <is>
          <t>avverkningsanmälan</t>
        </is>
      </c>
      <c r="C8710" t="inlineStr">
        <is>
          <t>Föryngringsavverkning</t>
        </is>
      </c>
      <c r="D8710" s="1" t="n">
        <v>45371</v>
      </c>
      <c r="E8710" s="1" t="n">
        <v>46319</v>
      </c>
      <c r="F8710" t="inlineStr">
        <is>
          <t>DALARNAS LÄN</t>
        </is>
      </c>
      <c r="G8710" t="inlineStr">
        <is>
          <t>VANSBRO</t>
        </is>
      </c>
      <c r="I8710" t="n">
        <v>1.3</v>
      </c>
      <c r="J8710" t="n">
        <v>0</v>
      </c>
      <c r="K8710" t="n">
        <v>0</v>
      </c>
      <c r="L8710" t="n">
        <v>0</v>
      </c>
      <c r="M8710" t="n">
        <v>0</v>
      </c>
      <c r="N8710" t="n">
        <v>0</v>
      </c>
      <c r="O8710" t="n">
        <v>0</v>
      </c>
      <c r="P8710" t="n">
        <v>0</v>
      </c>
      <c r="Q8710" t="n">
        <v>0</v>
      </c>
      <c r="R8710" t="n">
        <v>0</v>
      </c>
      <c r="S8710" t="n">
        <v>0</v>
      </c>
      <c r="T8710" t="n">
        <v>0</v>
      </c>
      <c r="U8710" t="n">
        <v>0</v>
      </c>
      <c r="V8710" s="2" t="inlineStr"/>
    </row>
    <row r="8711" ht="15" customHeight="1">
      <c r="A8711" t="inlineStr">
        <is>
          <t>A 9837-2024</t>
        </is>
      </c>
      <c r="B8711" t="inlineStr">
        <is>
          <t>avverkningsanmälan</t>
        </is>
      </c>
      <c r="C8711" t="inlineStr">
        <is>
          <t>Föryngringsavverkning</t>
        </is>
      </c>
      <c r="D8711" s="1" t="n">
        <v>45363</v>
      </c>
      <c r="E8711" s="1" t="n">
        <v>46319</v>
      </c>
      <c r="F8711" t="inlineStr">
        <is>
          <t>DALARNAS LÄN</t>
        </is>
      </c>
      <c r="G8711" t="inlineStr">
        <is>
          <t>FALUN</t>
        </is>
      </c>
      <c r="I8711" t="n">
        <v>2.3</v>
      </c>
      <c r="J8711" t="n">
        <v>0</v>
      </c>
      <c r="K8711" t="n">
        <v>0</v>
      </c>
      <c r="L8711" t="n">
        <v>0</v>
      </c>
      <c r="M8711" t="n">
        <v>0</v>
      </c>
      <c r="N8711" t="n">
        <v>0</v>
      </c>
      <c r="O8711" t="n">
        <v>0</v>
      </c>
      <c r="P8711" t="n">
        <v>0</v>
      </c>
      <c r="Q8711" t="n">
        <v>0</v>
      </c>
      <c r="R8711" t="n">
        <v>0</v>
      </c>
      <c r="S8711" t="n">
        <v>0</v>
      </c>
      <c r="T8711" t="n">
        <v>0</v>
      </c>
      <c r="U8711" t="n">
        <v>0</v>
      </c>
      <c r="V8711" s="2" t="inlineStr"/>
    </row>
    <row r="8712" ht="15" customHeight="1">
      <c r="A8712" t="inlineStr">
        <is>
          <t>A 11859-2024</t>
        </is>
      </c>
      <c r="B8712" t="inlineStr">
        <is>
          <t>avverkningsanmälan</t>
        </is>
      </c>
      <c r="C8712" t="inlineStr">
        <is>
          <t>Föryngringsavverkning</t>
        </is>
      </c>
      <c r="D8712" s="1" t="n">
        <v>45376</v>
      </c>
      <c r="E8712" s="1" t="n">
        <v>46319</v>
      </c>
      <c r="F8712" t="inlineStr">
        <is>
          <t>DALARNAS LÄN</t>
        </is>
      </c>
      <c r="G8712" t="inlineStr">
        <is>
          <t>LEKSAND</t>
        </is>
      </c>
      <c r="I8712" t="n">
        <v>2.1</v>
      </c>
      <c r="J8712" t="n">
        <v>0</v>
      </c>
      <c r="K8712" t="n">
        <v>0</v>
      </c>
      <c r="L8712" t="n">
        <v>0</v>
      </c>
      <c r="M8712" t="n">
        <v>0</v>
      </c>
      <c r="N8712" t="n">
        <v>0</v>
      </c>
      <c r="O8712" t="n">
        <v>0</v>
      </c>
      <c r="P8712" t="n">
        <v>0</v>
      </c>
      <c r="Q8712" t="n">
        <v>0</v>
      </c>
      <c r="R8712" t="n">
        <v>0</v>
      </c>
      <c r="S8712" t="n">
        <v>0</v>
      </c>
      <c r="T8712" t="n">
        <v>0</v>
      </c>
      <c r="U8712" t="n">
        <v>0</v>
      </c>
      <c r="V8712" s="2" t="inlineStr"/>
    </row>
    <row r="8713" ht="15" customHeight="1">
      <c r="A8713" t="inlineStr">
        <is>
          <t>A 13479-2024</t>
        </is>
      </c>
      <c r="B8713" t="inlineStr">
        <is>
          <t>avverkningsanmälan</t>
        </is>
      </c>
      <c r="C8713" t="inlineStr">
        <is>
          <t>Föryngringsavverkning</t>
        </is>
      </c>
      <c r="D8713" s="1" t="n">
        <v>45387</v>
      </c>
      <c r="E8713" s="1" t="n">
        <v>46319</v>
      </c>
      <c r="F8713" t="inlineStr">
        <is>
          <t>DALARNAS LÄN</t>
        </is>
      </c>
      <c r="G8713" t="inlineStr">
        <is>
          <t>MORA</t>
        </is>
      </c>
      <c r="I8713" t="n">
        <v>1.4</v>
      </c>
      <c r="J8713" t="n">
        <v>0</v>
      </c>
      <c r="K8713" t="n">
        <v>0</v>
      </c>
      <c r="L8713" t="n">
        <v>0</v>
      </c>
      <c r="M8713" t="n">
        <v>0</v>
      </c>
      <c r="N8713" t="n">
        <v>0</v>
      </c>
      <c r="O8713" t="n">
        <v>0</v>
      </c>
      <c r="P8713" t="n">
        <v>0</v>
      </c>
      <c r="Q8713" t="n">
        <v>0</v>
      </c>
      <c r="R8713" t="n">
        <v>0</v>
      </c>
      <c r="S8713" t="n">
        <v>0</v>
      </c>
      <c r="T8713" t="n">
        <v>0</v>
      </c>
      <c r="U8713" t="n">
        <v>0</v>
      </c>
      <c r="V8713" s="2" t="inlineStr"/>
    </row>
    <row r="8714" ht="15" customHeight="1">
      <c r="A8714" t="inlineStr">
        <is>
          <t>A 62133-2023</t>
        </is>
      </c>
      <c r="B8714" t="inlineStr">
        <is>
          <t>avverkningsanmälan</t>
        </is>
      </c>
      <c r="C8714" t="inlineStr">
        <is>
          <t>Föryngringsavverkning</t>
        </is>
      </c>
      <c r="D8714" s="1" t="n">
        <v>45267</v>
      </c>
      <c r="E8714" s="1" t="n">
        <v>46319</v>
      </c>
      <c r="F8714" t="inlineStr">
        <is>
          <t>DALARNAS LÄN</t>
        </is>
      </c>
      <c r="G8714" t="inlineStr">
        <is>
          <t>LEKSAND</t>
        </is>
      </c>
      <c r="I8714" t="n">
        <v>1.3</v>
      </c>
      <c r="J8714" t="n">
        <v>0</v>
      </c>
      <c r="K8714" t="n">
        <v>0</v>
      </c>
      <c r="L8714" t="n">
        <v>0</v>
      </c>
      <c r="M8714" t="n">
        <v>0</v>
      </c>
      <c r="N8714" t="n">
        <v>0</v>
      </c>
      <c r="O8714" t="n">
        <v>0</v>
      </c>
      <c r="P8714" t="n">
        <v>0</v>
      </c>
      <c r="Q8714" t="n">
        <v>0</v>
      </c>
      <c r="R8714" t="n">
        <v>0</v>
      </c>
      <c r="S8714" t="n">
        <v>0</v>
      </c>
      <c r="T8714" t="n">
        <v>0</v>
      </c>
      <c r="U8714" t="n">
        <v>0</v>
      </c>
      <c r="V8714" s="2" t="inlineStr"/>
    </row>
    <row r="8715" ht="15" customHeight="1">
      <c r="A8715" t="inlineStr">
        <is>
          <t>A 41812-2024</t>
        </is>
      </c>
      <c r="B8715" t="inlineStr">
        <is>
          <t>avverkningsanmälan</t>
        </is>
      </c>
      <c r="C8715" t="inlineStr">
        <is>
          <t>Föryngringsavverkning</t>
        </is>
      </c>
      <c r="D8715" s="1" t="n">
        <v>45561</v>
      </c>
      <c r="E8715" s="1" t="n">
        <v>46319</v>
      </c>
      <c r="F8715" t="inlineStr">
        <is>
          <t>DALARNAS LÄN</t>
        </is>
      </c>
      <c r="G8715" t="inlineStr">
        <is>
          <t>MORA</t>
        </is>
      </c>
      <c r="I8715" t="n">
        <v>2.2</v>
      </c>
      <c r="J8715" t="n">
        <v>0</v>
      </c>
      <c r="K8715" t="n">
        <v>0</v>
      </c>
      <c r="L8715" t="n">
        <v>0</v>
      </c>
      <c r="M8715" t="n">
        <v>0</v>
      </c>
      <c r="N8715" t="n">
        <v>0</v>
      </c>
      <c r="O8715" t="n">
        <v>0</v>
      </c>
      <c r="P8715" t="n">
        <v>0</v>
      </c>
      <c r="Q8715" t="n">
        <v>0</v>
      </c>
      <c r="R8715" t="n">
        <v>0</v>
      </c>
      <c r="S8715" t="n">
        <v>0</v>
      </c>
      <c r="T8715" t="n">
        <v>0</v>
      </c>
      <c r="U8715" t="n">
        <v>0</v>
      </c>
      <c r="V8715" s="2" t="inlineStr"/>
    </row>
    <row r="8716" ht="15" customHeight="1">
      <c r="A8716" t="inlineStr">
        <is>
          <t>A 41832-2024</t>
        </is>
      </c>
      <c r="B8716" t="inlineStr">
        <is>
          <t>avverkningsanmälan</t>
        </is>
      </c>
      <c r="C8716" t="inlineStr">
        <is>
          <t>Föryngringsavverkning</t>
        </is>
      </c>
      <c r="D8716" s="1" t="n">
        <v>45561</v>
      </c>
      <c r="E8716" s="1" t="n">
        <v>46319</v>
      </c>
      <c r="F8716" t="inlineStr">
        <is>
          <t>DALARNAS LÄN</t>
        </is>
      </c>
      <c r="G8716" t="inlineStr">
        <is>
          <t>ORSA</t>
        </is>
      </c>
      <c r="I8716" t="n">
        <v>0.5</v>
      </c>
      <c r="J8716" t="n">
        <v>0</v>
      </c>
      <c r="K8716" t="n">
        <v>0</v>
      </c>
      <c r="L8716" t="n">
        <v>0</v>
      </c>
      <c r="M8716" t="n">
        <v>0</v>
      </c>
      <c r="N8716" t="n">
        <v>0</v>
      </c>
      <c r="O8716" t="n">
        <v>0</v>
      </c>
      <c r="P8716" t="n">
        <v>0</v>
      </c>
      <c r="Q8716" t="n">
        <v>0</v>
      </c>
      <c r="R8716" t="n">
        <v>0</v>
      </c>
      <c r="S8716" t="n">
        <v>0</v>
      </c>
      <c r="T8716" t="n">
        <v>0</v>
      </c>
      <c r="U8716" t="n">
        <v>0</v>
      </c>
      <c r="V8716" s="2" t="inlineStr"/>
    </row>
    <row r="8717" ht="15" customHeight="1">
      <c r="A8717" t="inlineStr">
        <is>
          <t>A 49951-2022</t>
        </is>
      </c>
      <c r="B8717" t="inlineStr">
        <is>
          <t>avverkningsanmälan</t>
        </is>
      </c>
      <c r="C8717" t="inlineStr">
        <is>
          <t>Föryngringsavverkning</t>
        </is>
      </c>
      <c r="D8717" s="1" t="n">
        <v>44865</v>
      </c>
      <c r="E8717" s="1" t="n">
        <v>46319</v>
      </c>
      <c r="F8717" t="inlineStr">
        <is>
          <t>DALARNAS LÄN</t>
        </is>
      </c>
      <c r="G8717" t="inlineStr">
        <is>
          <t>LUDVIKA</t>
        </is>
      </c>
      <c r="H8717" t="inlineStr">
        <is>
          <t>Bergvik skog väst AB</t>
        </is>
      </c>
      <c r="I8717" t="n">
        <v>1.5</v>
      </c>
      <c r="J8717" t="n">
        <v>0</v>
      </c>
      <c r="K8717" t="n">
        <v>0</v>
      </c>
      <c r="L8717" t="n">
        <v>0</v>
      </c>
      <c r="M8717" t="n">
        <v>0</v>
      </c>
      <c r="N8717" t="n">
        <v>0</v>
      </c>
      <c r="O8717" t="n">
        <v>0</v>
      </c>
      <c r="P8717" t="n">
        <v>0</v>
      </c>
      <c r="Q8717" t="n">
        <v>0</v>
      </c>
      <c r="R8717" t="n">
        <v>0</v>
      </c>
      <c r="S8717" t="n">
        <v>0</v>
      </c>
      <c r="T8717" t="n">
        <v>0</v>
      </c>
      <c r="U8717" t="n">
        <v>0</v>
      </c>
      <c r="V8717" s="2" t="inlineStr"/>
    </row>
    <row r="8718" ht="15" customHeight="1">
      <c r="A8718" t="inlineStr">
        <is>
          <t>A 58485-2023</t>
        </is>
      </c>
      <c r="B8718" t="inlineStr">
        <is>
          <t>avverkningsanmälan</t>
        </is>
      </c>
      <c r="C8718" t="inlineStr">
        <is>
          <t>Föryngringsavverkning</t>
        </is>
      </c>
      <c r="D8718" s="1" t="n">
        <v>45251</v>
      </c>
      <c r="E8718" s="1" t="n">
        <v>46319</v>
      </c>
      <c r="F8718" t="inlineStr">
        <is>
          <t>DALARNAS LÄN</t>
        </is>
      </c>
      <c r="G8718" t="inlineStr">
        <is>
          <t>RÄTTVIK</t>
        </is>
      </c>
      <c r="I8718" t="n">
        <v>4.8</v>
      </c>
      <c r="J8718" t="n">
        <v>0</v>
      </c>
      <c r="K8718" t="n">
        <v>0</v>
      </c>
      <c r="L8718" t="n">
        <v>0</v>
      </c>
      <c r="M8718" t="n">
        <v>0</v>
      </c>
      <c r="N8718" t="n">
        <v>0</v>
      </c>
      <c r="O8718" t="n">
        <v>0</v>
      </c>
      <c r="P8718" t="n">
        <v>0</v>
      </c>
      <c r="Q8718" t="n">
        <v>0</v>
      </c>
      <c r="R8718" t="n">
        <v>0</v>
      </c>
      <c r="S8718" t="n">
        <v>0</v>
      </c>
      <c r="T8718" t="n">
        <v>0</v>
      </c>
      <c r="U8718" t="n">
        <v>0</v>
      </c>
      <c r="V8718" s="2" t="inlineStr"/>
    </row>
    <row r="8719" ht="15" customHeight="1">
      <c r="A8719" t="inlineStr">
        <is>
          <t>A 73099-2021</t>
        </is>
      </c>
      <c r="B8719" t="inlineStr">
        <is>
          <t>avverkningsanmälan</t>
        </is>
      </c>
      <c r="C8719" t="inlineStr">
        <is>
          <t>Föryngringsavverkning</t>
        </is>
      </c>
      <c r="D8719" s="1" t="n">
        <v>44546</v>
      </c>
      <c r="E8719" s="1" t="n">
        <v>46319</v>
      </c>
      <c r="F8719" t="inlineStr">
        <is>
          <t>DALARNAS LÄN</t>
        </is>
      </c>
      <c r="G8719" t="inlineStr">
        <is>
          <t>HEDEMORA</t>
        </is>
      </c>
      <c r="I8719" t="n">
        <v>4.5</v>
      </c>
      <c r="J8719" t="n">
        <v>0</v>
      </c>
      <c r="K8719" t="n">
        <v>0</v>
      </c>
      <c r="L8719" t="n">
        <v>0</v>
      </c>
      <c r="M8719" t="n">
        <v>0</v>
      </c>
      <c r="N8719" t="n">
        <v>0</v>
      </c>
      <c r="O8719" t="n">
        <v>0</v>
      </c>
      <c r="P8719" t="n">
        <v>0</v>
      </c>
      <c r="Q8719" t="n">
        <v>0</v>
      </c>
      <c r="R8719" t="n">
        <v>0</v>
      </c>
      <c r="S8719" t="n">
        <v>0</v>
      </c>
      <c r="T8719" t="n">
        <v>0</v>
      </c>
      <c r="U8719" t="n">
        <v>0</v>
      </c>
      <c r="V8719" s="2" t="inlineStr"/>
    </row>
    <row r="8720" ht="15" customHeight="1">
      <c r="A8720" t="inlineStr">
        <is>
          <t>A 30987-2023</t>
        </is>
      </c>
      <c r="B8720" t="inlineStr">
        <is>
          <t>avverkningsanmälan</t>
        </is>
      </c>
      <c r="C8720" t="inlineStr">
        <is>
          <t>Föryngringsavverkning</t>
        </is>
      </c>
      <c r="D8720" s="1" t="n">
        <v>45113</v>
      </c>
      <c r="E8720" s="1" t="n">
        <v>46319</v>
      </c>
      <c r="F8720" t="inlineStr">
        <is>
          <t>DALARNAS LÄN</t>
        </is>
      </c>
      <c r="G8720" t="inlineStr">
        <is>
          <t>ÄLVDALEN</t>
        </is>
      </c>
      <c r="H8720" t="inlineStr">
        <is>
          <t>Allmännings- och besparingsskogar</t>
        </is>
      </c>
      <c r="I8720" t="n">
        <v>3.8</v>
      </c>
      <c r="J8720" t="n">
        <v>0</v>
      </c>
      <c r="K8720" t="n">
        <v>0</v>
      </c>
      <c r="L8720" t="n">
        <v>0</v>
      </c>
      <c r="M8720" t="n">
        <v>0</v>
      </c>
      <c r="N8720" t="n">
        <v>0</v>
      </c>
      <c r="O8720" t="n">
        <v>0</v>
      </c>
      <c r="P8720" t="n">
        <v>0</v>
      </c>
      <c r="Q8720" t="n">
        <v>0</v>
      </c>
      <c r="R8720" t="n">
        <v>0</v>
      </c>
      <c r="S8720" t="n">
        <v>0</v>
      </c>
      <c r="T8720" t="n">
        <v>0</v>
      </c>
      <c r="U8720" t="n">
        <v>0</v>
      </c>
      <c r="V8720" s="2" t="inlineStr"/>
    </row>
    <row r="8721" ht="15" customHeight="1">
      <c r="A8721" t="inlineStr">
        <is>
          <t>A 31084-2023</t>
        </is>
      </c>
      <c r="B8721" t="inlineStr">
        <is>
          <t>avverkningsanmälan</t>
        </is>
      </c>
      <c r="C8721" t="inlineStr">
        <is>
          <t>Föryngringsavverkning</t>
        </is>
      </c>
      <c r="D8721" s="1" t="n">
        <v>45113</v>
      </c>
      <c r="E8721" s="1" t="n">
        <v>46319</v>
      </c>
      <c r="F8721" t="inlineStr">
        <is>
          <t>DALARNAS LÄN</t>
        </is>
      </c>
      <c r="G8721" t="inlineStr">
        <is>
          <t>FALUN</t>
        </is>
      </c>
      <c r="I8721" t="n">
        <v>1.4</v>
      </c>
      <c r="J8721" t="n">
        <v>0</v>
      </c>
      <c r="K8721" t="n">
        <v>0</v>
      </c>
      <c r="L8721" t="n">
        <v>0</v>
      </c>
      <c r="M8721" t="n">
        <v>0</v>
      </c>
      <c r="N8721" t="n">
        <v>0</v>
      </c>
      <c r="O8721" t="n">
        <v>0</v>
      </c>
      <c r="P8721" t="n">
        <v>0</v>
      </c>
      <c r="Q8721" t="n">
        <v>0</v>
      </c>
      <c r="R8721" t="n">
        <v>0</v>
      </c>
      <c r="S8721" t="n">
        <v>0</v>
      </c>
      <c r="T8721" t="n">
        <v>0</v>
      </c>
      <c r="U8721" t="n">
        <v>0</v>
      </c>
      <c r="V8721" s="2" t="inlineStr"/>
    </row>
    <row r="8722" ht="15" customHeight="1">
      <c r="A8722" t="inlineStr">
        <is>
          <t>A 66670-2021</t>
        </is>
      </c>
      <c r="B8722" t="inlineStr">
        <is>
          <t>avverkningsanmälan</t>
        </is>
      </c>
      <c r="C8722" t="inlineStr">
        <is>
          <t>Föryngringsavverkning</t>
        </is>
      </c>
      <c r="D8722" s="1" t="n">
        <v>44519</v>
      </c>
      <c r="E8722" s="1" t="n">
        <v>46319</v>
      </c>
      <c r="F8722" t="inlineStr">
        <is>
          <t>DALARNAS LÄN</t>
        </is>
      </c>
      <c r="G8722" t="inlineStr">
        <is>
          <t>RÄTTVIK</t>
        </is>
      </c>
      <c r="I8722" t="n">
        <v>0.6</v>
      </c>
      <c r="J8722" t="n">
        <v>0</v>
      </c>
      <c r="K8722" t="n">
        <v>0</v>
      </c>
      <c r="L8722" t="n">
        <v>0</v>
      </c>
      <c r="M8722" t="n">
        <v>0</v>
      </c>
      <c r="N8722" t="n">
        <v>0</v>
      </c>
      <c r="O8722" t="n">
        <v>0</v>
      </c>
      <c r="P8722" t="n">
        <v>0</v>
      </c>
      <c r="Q8722" t="n">
        <v>0</v>
      </c>
      <c r="R8722" t="n">
        <v>0</v>
      </c>
      <c r="S8722" t="n">
        <v>0</v>
      </c>
      <c r="T8722" t="n">
        <v>0</v>
      </c>
      <c r="U8722" t="n">
        <v>0</v>
      </c>
      <c r="V8722" s="2" t="inlineStr"/>
    </row>
    <row r="8723" ht="15" customHeight="1">
      <c r="A8723" t="inlineStr">
        <is>
          <t>A 44896-2024</t>
        </is>
      </c>
      <c r="B8723" t="inlineStr">
        <is>
          <t>avverkningsanmälan</t>
        </is>
      </c>
      <c r="C8723" t="inlineStr">
        <is>
          <t>Föryngringsavverkning</t>
        </is>
      </c>
      <c r="D8723" s="1" t="n">
        <v>45575</v>
      </c>
      <c r="E8723" s="1" t="n">
        <v>46319</v>
      </c>
      <c r="F8723" t="inlineStr">
        <is>
          <t>DALARNAS LÄN</t>
        </is>
      </c>
      <c r="G8723" t="inlineStr">
        <is>
          <t>BORLÄNGE</t>
        </is>
      </c>
      <c r="I8723" t="n">
        <v>0.9</v>
      </c>
      <c r="J8723" t="n">
        <v>0</v>
      </c>
      <c r="K8723" t="n">
        <v>0</v>
      </c>
      <c r="L8723" t="n">
        <v>0</v>
      </c>
      <c r="M8723" t="n">
        <v>0</v>
      </c>
      <c r="N8723" t="n">
        <v>0</v>
      </c>
      <c r="O8723" t="n">
        <v>0</v>
      </c>
      <c r="P8723" t="n">
        <v>0</v>
      </c>
      <c r="Q8723" t="n">
        <v>0</v>
      </c>
      <c r="R8723" t="n">
        <v>0</v>
      </c>
      <c r="S8723" t="n">
        <v>0</v>
      </c>
      <c r="T8723" t="n">
        <v>0</v>
      </c>
      <c r="U8723" t="n">
        <v>0</v>
      </c>
      <c r="V8723" s="2" t="inlineStr"/>
    </row>
    <row r="8724" ht="15" customHeight="1">
      <c r="A8724" t="inlineStr">
        <is>
          <t>A 6039-2023</t>
        </is>
      </c>
      <c r="B8724" t="inlineStr">
        <is>
          <t>avverkningsanmälan</t>
        </is>
      </c>
      <c r="C8724" t="inlineStr">
        <is>
          <t>Föryngringsavverkning</t>
        </is>
      </c>
      <c r="D8724" s="1" t="n">
        <v>44959</v>
      </c>
      <c r="E8724" s="1" t="n">
        <v>46319</v>
      </c>
      <c r="F8724" t="inlineStr">
        <is>
          <t>DALARNAS LÄN</t>
        </is>
      </c>
      <c r="G8724" t="inlineStr">
        <is>
          <t>LEKSAND</t>
        </is>
      </c>
      <c r="I8724" t="n">
        <v>1.3</v>
      </c>
      <c r="J8724" t="n">
        <v>0</v>
      </c>
      <c r="K8724" t="n">
        <v>0</v>
      </c>
      <c r="L8724" t="n">
        <v>0</v>
      </c>
      <c r="M8724" t="n">
        <v>0</v>
      </c>
      <c r="N8724" t="n">
        <v>0</v>
      </c>
      <c r="O8724" t="n">
        <v>0</v>
      </c>
      <c r="P8724" t="n">
        <v>0</v>
      </c>
      <c r="Q8724" t="n">
        <v>0</v>
      </c>
      <c r="R8724" t="n">
        <v>0</v>
      </c>
      <c r="S8724" t="n">
        <v>0</v>
      </c>
      <c r="T8724" t="n">
        <v>0</v>
      </c>
      <c r="U8724" t="n">
        <v>0</v>
      </c>
      <c r="V8724" s="2" t="inlineStr"/>
    </row>
    <row r="8725" ht="15" customHeight="1">
      <c r="A8725" t="inlineStr">
        <is>
          <t>A 5186-2024</t>
        </is>
      </c>
      <c r="B8725" t="inlineStr">
        <is>
          <t>avverkningsanmälan</t>
        </is>
      </c>
      <c r="C8725" t="inlineStr">
        <is>
          <t>Föryngringsavverkning</t>
        </is>
      </c>
      <c r="D8725" s="1" t="n">
        <v>45330</v>
      </c>
      <c r="E8725" s="1" t="n">
        <v>46319</v>
      </c>
      <c r="F8725" t="inlineStr">
        <is>
          <t>DALARNAS LÄN</t>
        </is>
      </c>
      <c r="G8725" t="inlineStr">
        <is>
          <t>AVESTA</t>
        </is>
      </c>
      <c r="I8725" t="n">
        <v>3.8</v>
      </c>
      <c r="J8725" t="n">
        <v>0</v>
      </c>
      <c r="K8725" t="n">
        <v>0</v>
      </c>
      <c r="L8725" t="n">
        <v>0</v>
      </c>
      <c r="M8725" t="n">
        <v>0</v>
      </c>
      <c r="N8725" t="n">
        <v>0</v>
      </c>
      <c r="O8725" t="n">
        <v>0</v>
      </c>
      <c r="P8725" t="n">
        <v>0</v>
      </c>
      <c r="Q8725" t="n">
        <v>0</v>
      </c>
      <c r="R8725" t="n">
        <v>0</v>
      </c>
      <c r="S8725" t="n">
        <v>0</v>
      </c>
      <c r="T8725" t="n">
        <v>0</v>
      </c>
      <c r="U8725" t="n">
        <v>0</v>
      </c>
      <c r="V8725" s="2" t="inlineStr"/>
    </row>
    <row r="8726" ht="15" customHeight="1">
      <c r="A8726" t="inlineStr">
        <is>
          <t>A 36427-2023</t>
        </is>
      </c>
      <c r="B8726" t="inlineStr">
        <is>
          <t>avverkningsanmälan</t>
        </is>
      </c>
      <c r="C8726" t="inlineStr">
        <is>
          <t>Föryngringsavverkning</t>
        </is>
      </c>
      <c r="D8726" s="1" t="n">
        <v>45152</v>
      </c>
      <c r="E8726" s="1" t="n">
        <v>46319</v>
      </c>
      <c r="F8726" t="inlineStr">
        <is>
          <t>DALARNAS LÄN</t>
        </is>
      </c>
      <c r="G8726" t="inlineStr">
        <is>
          <t>ORSA</t>
        </is>
      </c>
      <c r="H8726" t="inlineStr">
        <is>
          <t>Bergvik skog öst AB</t>
        </is>
      </c>
      <c r="I8726" t="n">
        <v>1.2</v>
      </c>
      <c r="J8726" t="n">
        <v>0</v>
      </c>
      <c r="K8726" t="n">
        <v>0</v>
      </c>
      <c r="L8726" t="n">
        <v>0</v>
      </c>
      <c r="M8726" t="n">
        <v>0</v>
      </c>
      <c r="N8726" t="n">
        <v>0</v>
      </c>
      <c r="O8726" t="n">
        <v>0</v>
      </c>
      <c r="P8726" t="n">
        <v>0</v>
      </c>
      <c r="Q8726" t="n">
        <v>0</v>
      </c>
      <c r="R8726" t="n">
        <v>0</v>
      </c>
      <c r="S8726" t="n">
        <v>0</v>
      </c>
      <c r="T8726" t="n">
        <v>0</v>
      </c>
      <c r="U8726" t="n">
        <v>0</v>
      </c>
      <c r="V8726" s="2" t="inlineStr"/>
    </row>
    <row r="8727" ht="15" customHeight="1">
      <c r="A8727" t="inlineStr">
        <is>
          <t>A 60031-2022</t>
        </is>
      </c>
      <c r="B8727" t="inlineStr">
        <is>
          <t>avverkningsanmälan</t>
        </is>
      </c>
      <c r="C8727" t="inlineStr">
        <is>
          <t>Avverkning för annat ändamål</t>
        </is>
      </c>
      <c r="D8727" s="1" t="n">
        <v>44909</v>
      </c>
      <c r="E8727" s="1" t="n">
        <v>46319</v>
      </c>
      <c r="F8727" t="inlineStr">
        <is>
          <t>DALARNAS LÄN</t>
        </is>
      </c>
      <c r="G8727" t="inlineStr">
        <is>
          <t>VANSBRO</t>
        </is>
      </c>
      <c r="I8727" t="n">
        <v>0.1</v>
      </c>
      <c r="J8727" t="n">
        <v>0</v>
      </c>
      <c r="K8727" t="n">
        <v>0</v>
      </c>
      <c r="L8727" t="n">
        <v>0</v>
      </c>
      <c r="M8727" t="n">
        <v>0</v>
      </c>
      <c r="N8727" t="n">
        <v>0</v>
      </c>
      <c r="O8727" t="n">
        <v>0</v>
      </c>
      <c r="P8727" t="n">
        <v>0</v>
      </c>
      <c r="Q8727" t="n">
        <v>0</v>
      </c>
      <c r="R8727" t="n">
        <v>0</v>
      </c>
      <c r="S8727" t="n">
        <v>0</v>
      </c>
      <c r="T8727" t="n">
        <v>0</v>
      </c>
      <c r="U8727" t="n">
        <v>0</v>
      </c>
      <c r="V8727" s="2" t="inlineStr"/>
    </row>
    <row r="8728" ht="15" customHeight="1">
      <c r="A8728" t="inlineStr">
        <is>
          <t>A 57947-2023</t>
        </is>
      </c>
      <c r="B8728" t="inlineStr">
        <is>
          <t>avverkningsanmälan</t>
        </is>
      </c>
      <c r="C8728" t="inlineStr">
        <is>
          <t>Föryngringsavverkning</t>
        </is>
      </c>
      <c r="D8728" s="1" t="n">
        <v>45247</v>
      </c>
      <c r="E8728" s="1" t="n">
        <v>46319</v>
      </c>
      <c r="F8728" t="inlineStr">
        <is>
          <t>DALARNAS LÄN</t>
        </is>
      </c>
      <c r="G8728" t="inlineStr">
        <is>
          <t>VANSBRO</t>
        </is>
      </c>
      <c r="I8728" t="n">
        <v>0.5</v>
      </c>
      <c r="J8728" t="n">
        <v>0</v>
      </c>
      <c r="K8728" t="n">
        <v>0</v>
      </c>
      <c r="L8728" t="n">
        <v>0</v>
      </c>
      <c r="M8728" t="n">
        <v>0</v>
      </c>
      <c r="N8728" t="n">
        <v>0</v>
      </c>
      <c r="O8728" t="n">
        <v>0</v>
      </c>
      <c r="P8728" t="n">
        <v>0</v>
      </c>
      <c r="Q8728" t="n">
        <v>0</v>
      </c>
      <c r="R8728" t="n">
        <v>0</v>
      </c>
      <c r="S8728" t="n">
        <v>0</v>
      </c>
      <c r="T8728" t="n">
        <v>0</v>
      </c>
      <c r="U8728" t="n">
        <v>0</v>
      </c>
      <c r="V8728" s="2" t="inlineStr"/>
    </row>
    <row r="8729" ht="15" customHeight="1">
      <c r="A8729" t="inlineStr">
        <is>
          <t>A 22517-2024</t>
        </is>
      </c>
      <c r="B8729" t="inlineStr">
        <is>
          <t>avverkningsanmälan</t>
        </is>
      </c>
      <c r="C8729" t="inlineStr">
        <is>
          <t>Föryngringsavverkning</t>
        </is>
      </c>
      <c r="D8729" s="1" t="n">
        <v>45447</v>
      </c>
      <c r="E8729" s="1" t="n">
        <v>46319</v>
      </c>
      <c r="F8729" t="inlineStr">
        <is>
          <t>DALARNAS LÄN</t>
        </is>
      </c>
      <c r="G8729" t="inlineStr">
        <is>
          <t>LEKSAND</t>
        </is>
      </c>
      <c r="I8729" t="n">
        <v>0.4</v>
      </c>
      <c r="J8729" t="n">
        <v>0</v>
      </c>
      <c r="K8729" t="n">
        <v>0</v>
      </c>
      <c r="L8729" t="n">
        <v>0</v>
      </c>
      <c r="M8729" t="n">
        <v>0</v>
      </c>
      <c r="N8729" t="n">
        <v>0</v>
      </c>
      <c r="O8729" t="n">
        <v>0</v>
      </c>
      <c r="P8729" t="n">
        <v>0</v>
      </c>
      <c r="Q8729" t="n">
        <v>0</v>
      </c>
      <c r="R8729" t="n">
        <v>0</v>
      </c>
      <c r="S8729" t="n">
        <v>0</v>
      </c>
      <c r="T8729" t="n">
        <v>0</v>
      </c>
      <c r="U8729" t="n">
        <v>0</v>
      </c>
      <c r="V8729" s="2" t="inlineStr"/>
    </row>
    <row r="8730" ht="15" customHeight="1">
      <c r="A8730" t="inlineStr">
        <is>
          <t>A 60465-2023</t>
        </is>
      </c>
      <c r="B8730" t="inlineStr">
        <is>
          <t>avverkningsanmälan</t>
        </is>
      </c>
      <c r="C8730" t="inlineStr">
        <is>
          <t>Föryngringsavverkning</t>
        </is>
      </c>
      <c r="D8730" s="1" t="n">
        <v>45259</v>
      </c>
      <c r="E8730" s="1" t="n">
        <v>46319</v>
      </c>
      <c r="F8730" t="inlineStr">
        <is>
          <t>DALARNAS LÄN</t>
        </is>
      </c>
      <c r="G8730" t="inlineStr">
        <is>
          <t>MORA</t>
        </is>
      </c>
      <c r="I8730" t="n">
        <v>1.3</v>
      </c>
      <c r="J8730" t="n">
        <v>0</v>
      </c>
      <c r="K8730" t="n">
        <v>0</v>
      </c>
      <c r="L8730" t="n">
        <v>0</v>
      </c>
      <c r="M8730" t="n">
        <v>0</v>
      </c>
      <c r="N8730" t="n">
        <v>0</v>
      </c>
      <c r="O8730" t="n">
        <v>0</v>
      </c>
      <c r="P8730" t="n">
        <v>0</v>
      </c>
      <c r="Q8730" t="n">
        <v>0</v>
      </c>
      <c r="R8730" t="n">
        <v>0</v>
      </c>
      <c r="S8730" t="n">
        <v>0</v>
      </c>
      <c r="T8730" t="n">
        <v>0</v>
      </c>
      <c r="U8730" t="n">
        <v>0</v>
      </c>
      <c r="V8730" s="2" t="inlineStr"/>
    </row>
    <row r="8731" ht="15" customHeight="1">
      <c r="A8731" t="inlineStr">
        <is>
          <t>A 52437-2024</t>
        </is>
      </c>
      <c r="B8731" t="inlineStr">
        <is>
          <t>avverkningsanmälan</t>
        </is>
      </c>
      <c r="C8731" t="inlineStr">
        <is>
          <t>Föryngringsavverkning</t>
        </is>
      </c>
      <c r="D8731" s="1" t="n">
        <v>45608</v>
      </c>
      <c r="E8731" s="1" t="n">
        <v>46319</v>
      </c>
      <c r="F8731" t="inlineStr">
        <is>
          <t>DALARNAS LÄN</t>
        </is>
      </c>
      <c r="G8731" t="inlineStr">
        <is>
          <t>GAGNEF</t>
        </is>
      </c>
      <c r="I8731" t="n">
        <v>1</v>
      </c>
      <c r="J8731" t="n">
        <v>0</v>
      </c>
      <c r="K8731" t="n">
        <v>0</v>
      </c>
      <c r="L8731" t="n">
        <v>0</v>
      </c>
      <c r="M8731" t="n">
        <v>0</v>
      </c>
      <c r="N8731" t="n">
        <v>0</v>
      </c>
      <c r="O8731" t="n">
        <v>0</v>
      </c>
      <c r="P8731" t="n">
        <v>0</v>
      </c>
      <c r="Q8731" t="n">
        <v>0</v>
      </c>
      <c r="R8731" t="n">
        <v>0</v>
      </c>
      <c r="S8731" t="n">
        <v>0</v>
      </c>
      <c r="T8731" t="n">
        <v>0</v>
      </c>
      <c r="U8731" t="n">
        <v>0</v>
      </c>
      <c r="V8731" s="2" t="inlineStr"/>
    </row>
    <row r="8732" ht="15" customHeight="1">
      <c r="A8732" t="inlineStr">
        <is>
          <t>A 29820-2023</t>
        </is>
      </c>
      <c r="B8732" t="inlineStr">
        <is>
          <t>avverkningsanmälan</t>
        </is>
      </c>
      <c r="C8732" t="inlineStr">
        <is>
          <t>Föryngringsavverkning</t>
        </is>
      </c>
      <c r="D8732" s="1" t="n">
        <v>45107</v>
      </c>
      <c r="E8732" s="1" t="n">
        <v>46319</v>
      </c>
      <c r="F8732" t="inlineStr">
        <is>
          <t>DALARNAS LÄN</t>
        </is>
      </c>
      <c r="G8732" t="inlineStr">
        <is>
          <t>SMEDJEBACKEN</t>
        </is>
      </c>
      <c r="I8732" t="n">
        <v>0.8</v>
      </c>
      <c r="J8732" t="n">
        <v>0</v>
      </c>
      <c r="K8732" t="n">
        <v>0</v>
      </c>
      <c r="L8732" t="n">
        <v>0</v>
      </c>
      <c r="M8732" t="n">
        <v>0</v>
      </c>
      <c r="N8732" t="n">
        <v>0</v>
      </c>
      <c r="O8732" t="n">
        <v>0</v>
      </c>
      <c r="P8732" t="n">
        <v>0</v>
      </c>
      <c r="Q8732" t="n">
        <v>0</v>
      </c>
      <c r="R8732" t="n">
        <v>0</v>
      </c>
      <c r="S8732" t="n">
        <v>0</v>
      </c>
      <c r="T8732" t="n">
        <v>0</v>
      </c>
      <c r="U8732" t="n">
        <v>0</v>
      </c>
      <c r="V8732" s="2" t="inlineStr"/>
    </row>
    <row r="8733" ht="15" customHeight="1">
      <c r="A8733" t="inlineStr">
        <is>
          <t>A 52801-2023</t>
        </is>
      </c>
      <c r="B8733" t="inlineStr">
        <is>
          <t>avverkningsanmälan</t>
        </is>
      </c>
      <c r="C8733" t="inlineStr">
        <is>
          <t>Föryngringsavverkning</t>
        </is>
      </c>
      <c r="D8733" s="1" t="n">
        <v>45219</v>
      </c>
      <c r="E8733" s="1" t="n">
        <v>46319</v>
      </c>
      <c r="F8733" t="inlineStr">
        <is>
          <t>DALARNAS LÄN</t>
        </is>
      </c>
      <c r="G8733" t="inlineStr">
        <is>
          <t>LEKSAND</t>
        </is>
      </c>
      <c r="I8733" t="n">
        <v>4.9</v>
      </c>
      <c r="J8733" t="n">
        <v>0</v>
      </c>
      <c r="K8733" t="n">
        <v>0</v>
      </c>
      <c r="L8733" t="n">
        <v>0</v>
      </c>
      <c r="M8733" t="n">
        <v>0</v>
      </c>
      <c r="N8733" t="n">
        <v>0</v>
      </c>
      <c r="O8733" t="n">
        <v>0</v>
      </c>
      <c r="P8733" t="n">
        <v>0</v>
      </c>
      <c r="Q8733" t="n">
        <v>0</v>
      </c>
      <c r="R8733" t="n">
        <v>0</v>
      </c>
      <c r="S8733" t="n">
        <v>0</v>
      </c>
      <c r="T8733" t="n">
        <v>0</v>
      </c>
      <c r="U8733" t="n">
        <v>0</v>
      </c>
      <c r="V8733" s="2" t="inlineStr"/>
    </row>
    <row r="8734" ht="15" customHeight="1">
      <c r="A8734" t="inlineStr">
        <is>
          <t>A 14986-2024</t>
        </is>
      </c>
      <c r="B8734" t="inlineStr">
        <is>
          <t>avverkningsanmälan</t>
        </is>
      </c>
      <c r="C8734" t="inlineStr">
        <is>
          <t>Föryngringsavverkning</t>
        </is>
      </c>
      <c r="D8734" s="1" t="n">
        <v>45399</v>
      </c>
      <c r="E8734" s="1" t="n">
        <v>46319</v>
      </c>
      <c r="F8734" t="inlineStr">
        <is>
          <t>DALARNAS LÄN</t>
        </is>
      </c>
      <c r="G8734" t="inlineStr">
        <is>
          <t>LUDVIKA</t>
        </is>
      </c>
      <c r="H8734" t="inlineStr">
        <is>
          <t>Bergvik skog väst AB</t>
        </is>
      </c>
      <c r="I8734" t="n">
        <v>0.7</v>
      </c>
      <c r="J8734" t="n">
        <v>0</v>
      </c>
      <c r="K8734" t="n">
        <v>0</v>
      </c>
      <c r="L8734" t="n">
        <v>0</v>
      </c>
      <c r="M8734" t="n">
        <v>0</v>
      </c>
      <c r="N8734" t="n">
        <v>0</v>
      </c>
      <c r="O8734" t="n">
        <v>0</v>
      </c>
      <c r="P8734" t="n">
        <v>0</v>
      </c>
      <c r="Q8734" t="n">
        <v>0</v>
      </c>
      <c r="R8734" t="n">
        <v>0</v>
      </c>
      <c r="S8734" t="n">
        <v>0</v>
      </c>
      <c r="T8734" t="n">
        <v>0</v>
      </c>
      <c r="U8734" t="n">
        <v>0</v>
      </c>
      <c r="V8734" s="2" t="inlineStr"/>
    </row>
    <row r="8735" ht="15" customHeight="1">
      <c r="A8735" t="inlineStr">
        <is>
          <t>A 33676-2023</t>
        </is>
      </c>
      <c r="B8735" t="inlineStr">
        <is>
          <t>avverkningsanmälan</t>
        </is>
      </c>
      <c r="C8735" t="inlineStr">
        <is>
          <t>Föryngringsavverkning</t>
        </is>
      </c>
      <c r="D8735" s="1" t="n">
        <v>45132</v>
      </c>
      <c r="E8735" s="1" t="n">
        <v>46319</v>
      </c>
      <c r="F8735" t="inlineStr">
        <is>
          <t>DALARNAS LÄN</t>
        </is>
      </c>
      <c r="G8735" t="inlineStr">
        <is>
          <t>MORA</t>
        </is>
      </c>
      <c r="H8735" t="inlineStr">
        <is>
          <t>Bergvik skog öst AB</t>
        </is>
      </c>
      <c r="I8735" t="n">
        <v>2.7</v>
      </c>
      <c r="J8735" t="n">
        <v>0</v>
      </c>
      <c r="K8735" t="n">
        <v>0</v>
      </c>
      <c r="L8735" t="n">
        <v>0</v>
      </c>
      <c r="M8735" t="n">
        <v>0</v>
      </c>
      <c r="N8735" t="n">
        <v>0</v>
      </c>
      <c r="O8735" t="n">
        <v>0</v>
      </c>
      <c r="P8735" t="n">
        <v>0</v>
      </c>
      <c r="Q8735" t="n">
        <v>0</v>
      </c>
      <c r="R8735" t="n">
        <v>0</v>
      </c>
      <c r="S8735" t="n">
        <v>0</v>
      </c>
      <c r="T8735" t="n">
        <v>0</v>
      </c>
      <c r="U8735" t="n">
        <v>0</v>
      </c>
      <c r="V8735" s="2" t="inlineStr"/>
    </row>
    <row r="8736" ht="15" customHeight="1">
      <c r="A8736" t="inlineStr">
        <is>
          <t>A 45768-2023</t>
        </is>
      </c>
      <c r="B8736" t="inlineStr">
        <is>
          <t>avverkningsanmälan</t>
        </is>
      </c>
      <c r="C8736" t="inlineStr">
        <is>
          <t>Avverkning för annat ändamål</t>
        </is>
      </c>
      <c r="D8736" s="1" t="n">
        <v>45195</v>
      </c>
      <c r="E8736" s="1" t="n">
        <v>46319</v>
      </c>
      <c r="F8736" t="inlineStr">
        <is>
          <t>DALARNAS LÄN</t>
        </is>
      </c>
      <c r="G8736" t="inlineStr">
        <is>
          <t>LEKSAND</t>
        </is>
      </c>
      <c r="I8736" t="n">
        <v>0.4</v>
      </c>
      <c r="J8736" t="n">
        <v>0</v>
      </c>
      <c r="K8736" t="n">
        <v>0</v>
      </c>
      <c r="L8736" t="n">
        <v>0</v>
      </c>
      <c r="M8736" t="n">
        <v>0</v>
      </c>
      <c r="N8736" t="n">
        <v>0</v>
      </c>
      <c r="O8736" t="n">
        <v>0</v>
      </c>
      <c r="P8736" t="n">
        <v>0</v>
      </c>
      <c r="Q8736" t="n">
        <v>0</v>
      </c>
      <c r="R8736" t="n">
        <v>0</v>
      </c>
      <c r="S8736" t="n">
        <v>0</v>
      </c>
      <c r="T8736" t="n">
        <v>0</v>
      </c>
      <c r="U8736" t="n">
        <v>0</v>
      </c>
      <c r="V8736" s="2" t="inlineStr"/>
    </row>
    <row r="8737" ht="15" customHeight="1">
      <c r="A8737" t="inlineStr">
        <is>
          <t>A 55882-2023</t>
        </is>
      </c>
      <c r="B8737" t="inlineStr">
        <is>
          <t>avverkningsanmälan</t>
        </is>
      </c>
      <c r="C8737" t="inlineStr">
        <is>
          <t>Föryngringsavverkning</t>
        </is>
      </c>
      <c r="D8737" s="1" t="n">
        <v>45239</v>
      </c>
      <c r="E8737" s="1" t="n">
        <v>46319</v>
      </c>
      <c r="F8737" t="inlineStr">
        <is>
          <t>DALARNAS LÄN</t>
        </is>
      </c>
      <c r="G8737" t="inlineStr">
        <is>
          <t>HEDEMORA</t>
        </is>
      </c>
      <c r="H8737" t="inlineStr">
        <is>
          <t>Sveaskog</t>
        </is>
      </c>
      <c r="I8737" t="n">
        <v>5.2</v>
      </c>
      <c r="J8737" t="n">
        <v>0</v>
      </c>
      <c r="K8737" t="n">
        <v>0</v>
      </c>
      <c r="L8737" t="n">
        <v>0</v>
      </c>
      <c r="M8737" t="n">
        <v>0</v>
      </c>
      <c r="N8737" t="n">
        <v>0</v>
      </c>
      <c r="O8737" t="n">
        <v>0</v>
      </c>
      <c r="P8737" t="n">
        <v>0</v>
      </c>
      <c r="Q8737" t="n">
        <v>0</v>
      </c>
      <c r="R8737" t="n">
        <v>0</v>
      </c>
      <c r="S8737" t="n">
        <v>0</v>
      </c>
      <c r="T8737" t="n">
        <v>0</v>
      </c>
      <c r="U8737" t="n">
        <v>0</v>
      </c>
      <c r="V8737" s="2" t="inlineStr"/>
    </row>
    <row r="8738" ht="15" customHeight="1">
      <c r="A8738" t="inlineStr">
        <is>
          <t>A 62793-2023</t>
        </is>
      </c>
      <c r="B8738" t="inlineStr">
        <is>
          <t>avverkningsanmälan</t>
        </is>
      </c>
      <c r="C8738" t="inlineStr">
        <is>
          <t>Föryngringsavverkning</t>
        </is>
      </c>
      <c r="D8738" s="1" t="n">
        <v>45271</v>
      </c>
      <c r="E8738" s="1" t="n">
        <v>46319</v>
      </c>
      <c r="F8738" t="inlineStr">
        <is>
          <t>DALARNAS LÄN</t>
        </is>
      </c>
      <c r="G8738" t="inlineStr">
        <is>
          <t>MALUNG-SÄLEN</t>
        </is>
      </c>
      <c r="I8738" t="n">
        <v>1.3</v>
      </c>
      <c r="J8738" t="n">
        <v>0</v>
      </c>
      <c r="K8738" t="n">
        <v>0</v>
      </c>
      <c r="L8738" t="n">
        <v>0</v>
      </c>
      <c r="M8738" t="n">
        <v>0</v>
      </c>
      <c r="N8738" t="n">
        <v>0</v>
      </c>
      <c r="O8738" t="n">
        <v>0</v>
      </c>
      <c r="P8738" t="n">
        <v>0</v>
      </c>
      <c r="Q8738" t="n">
        <v>0</v>
      </c>
      <c r="R8738" t="n">
        <v>0</v>
      </c>
      <c r="S8738" t="n">
        <v>0</v>
      </c>
      <c r="T8738" t="n">
        <v>0</v>
      </c>
      <c r="U8738" t="n">
        <v>0</v>
      </c>
      <c r="V8738" s="2" t="inlineStr"/>
    </row>
    <row r="8739" ht="15" customHeight="1">
      <c r="A8739" t="inlineStr">
        <is>
          <t>A 29193-2023</t>
        </is>
      </c>
      <c r="B8739" t="inlineStr">
        <is>
          <t>avverkningsanmälan</t>
        </is>
      </c>
      <c r="C8739" t="inlineStr">
        <is>
          <t>Föryngringsavverkning</t>
        </is>
      </c>
      <c r="D8739" s="1" t="n">
        <v>45105</v>
      </c>
      <c r="E8739" s="1" t="n">
        <v>46319</v>
      </c>
      <c r="F8739" t="inlineStr">
        <is>
          <t>DALARNAS LÄN</t>
        </is>
      </c>
      <c r="G8739" t="inlineStr">
        <is>
          <t>MORA</t>
        </is>
      </c>
      <c r="I8739" t="n">
        <v>0.4</v>
      </c>
      <c r="J8739" t="n">
        <v>0</v>
      </c>
      <c r="K8739" t="n">
        <v>0</v>
      </c>
      <c r="L8739" t="n">
        <v>0</v>
      </c>
      <c r="M8739" t="n">
        <v>0</v>
      </c>
      <c r="N8739" t="n">
        <v>0</v>
      </c>
      <c r="O8739" t="n">
        <v>0</v>
      </c>
      <c r="P8739" t="n">
        <v>0</v>
      </c>
      <c r="Q8739" t="n">
        <v>0</v>
      </c>
      <c r="R8739" t="n">
        <v>0</v>
      </c>
      <c r="S8739" t="n">
        <v>0</v>
      </c>
      <c r="T8739" t="n">
        <v>0</v>
      </c>
      <c r="U8739" t="n">
        <v>0</v>
      </c>
      <c r="V8739" s="2" t="inlineStr"/>
    </row>
    <row r="8740" ht="15" customHeight="1">
      <c r="A8740" t="inlineStr">
        <is>
          <t>A 33945-2022</t>
        </is>
      </c>
      <c r="B8740" t="inlineStr">
        <is>
          <t>avverkningsanmälan</t>
        </is>
      </c>
      <c r="C8740" t="inlineStr">
        <is>
          <t>Föryngringsavverkning</t>
        </is>
      </c>
      <c r="D8740" s="1" t="n">
        <v>44790</v>
      </c>
      <c r="E8740" s="1" t="n">
        <v>46319</v>
      </c>
      <c r="F8740" t="inlineStr">
        <is>
          <t>DALARNAS LÄN</t>
        </is>
      </c>
      <c r="G8740" t="inlineStr">
        <is>
          <t>ORSA</t>
        </is>
      </c>
      <c r="H8740" t="inlineStr">
        <is>
          <t>Bergvik skog öst AB</t>
        </is>
      </c>
      <c r="I8740" t="n">
        <v>1.9</v>
      </c>
      <c r="J8740" t="n">
        <v>0</v>
      </c>
      <c r="K8740" t="n">
        <v>0</v>
      </c>
      <c r="L8740" t="n">
        <v>0</v>
      </c>
      <c r="M8740" t="n">
        <v>0</v>
      </c>
      <c r="N8740" t="n">
        <v>0</v>
      </c>
      <c r="O8740" t="n">
        <v>0</v>
      </c>
      <c r="P8740" t="n">
        <v>0</v>
      </c>
      <c r="Q8740" t="n">
        <v>0</v>
      </c>
      <c r="R8740" t="n">
        <v>0</v>
      </c>
      <c r="S8740" t="n">
        <v>0</v>
      </c>
      <c r="T8740" t="n">
        <v>0</v>
      </c>
      <c r="U8740" t="n">
        <v>0</v>
      </c>
      <c r="V8740" s="2" t="inlineStr"/>
    </row>
    <row r="8741" ht="15" customHeight="1">
      <c r="A8741" t="inlineStr">
        <is>
          <t>A 50885-2023</t>
        </is>
      </c>
      <c r="B8741" t="inlineStr">
        <is>
          <t>avverkningsanmälan</t>
        </is>
      </c>
      <c r="C8741" t="inlineStr">
        <is>
          <t>Föryngringsavverkning</t>
        </is>
      </c>
      <c r="D8741" s="1" t="n">
        <v>45218</v>
      </c>
      <c r="E8741" s="1" t="n">
        <v>46319</v>
      </c>
      <c r="F8741" t="inlineStr">
        <is>
          <t>DALARNAS LÄN</t>
        </is>
      </c>
      <c r="G8741" t="inlineStr">
        <is>
          <t>HEDEMORA</t>
        </is>
      </c>
      <c r="I8741" t="n">
        <v>0.7</v>
      </c>
      <c r="J8741" t="n">
        <v>0</v>
      </c>
      <c r="K8741" t="n">
        <v>0</v>
      </c>
      <c r="L8741" t="n">
        <v>0</v>
      </c>
      <c r="M8741" t="n">
        <v>0</v>
      </c>
      <c r="N8741" t="n">
        <v>0</v>
      </c>
      <c r="O8741" t="n">
        <v>0</v>
      </c>
      <c r="P8741" t="n">
        <v>0</v>
      </c>
      <c r="Q8741" t="n">
        <v>0</v>
      </c>
      <c r="R8741" t="n">
        <v>0</v>
      </c>
      <c r="S8741" t="n">
        <v>0</v>
      </c>
      <c r="T8741" t="n">
        <v>0</v>
      </c>
      <c r="U8741" t="n">
        <v>0</v>
      </c>
      <c r="V8741" s="2" t="inlineStr"/>
    </row>
    <row r="8742" ht="15" customHeight="1">
      <c r="A8742" t="inlineStr">
        <is>
          <t>A 63499-2023</t>
        </is>
      </c>
      <c r="B8742" t="inlineStr">
        <is>
          <t>avverkningsanmälan</t>
        </is>
      </c>
      <c r="C8742" t="inlineStr">
        <is>
          <t>Föryngringsavverkning</t>
        </is>
      </c>
      <c r="D8742" s="1" t="n">
        <v>45274</v>
      </c>
      <c r="E8742" s="1" t="n">
        <v>46319</v>
      </c>
      <c r="F8742" t="inlineStr">
        <is>
          <t>DALARNAS LÄN</t>
        </is>
      </c>
      <c r="G8742" t="inlineStr">
        <is>
          <t>FALUN</t>
        </is>
      </c>
      <c r="I8742" t="n">
        <v>8.5</v>
      </c>
      <c r="J8742" t="n">
        <v>0</v>
      </c>
      <c r="K8742" t="n">
        <v>0</v>
      </c>
      <c r="L8742" t="n">
        <v>0</v>
      </c>
      <c r="M8742" t="n">
        <v>0</v>
      </c>
      <c r="N8742" t="n">
        <v>0</v>
      </c>
      <c r="O8742" t="n">
        <v>0</v>
      </c>
      <c r="P8742" t="n">
        <v>0</v>
      </c>
      <c r="Q8742" t="n">
        <v>0</v>
      </c>
      <c r="R8742" t="n">
        <v>0</v>
      </c>
      <c r="S8742" t="n">
        <v>0</v>
      </c>
      <c r="T8742" t="n">
        <v>0</v>
      </c>
      <c r="U8742" t="n">
        <v>0</v>
      </c>
      <c r="V8742" s="2" t="inlineStr"/>
    </row>
    <row r="8743" ht="15" customHeight="1">
      <c r="A8743" t="inlineStr">
        <is>
          <t>A 65056-2023</t>
        </is>
      </c>
      <c r="B8743" t="inlineStr">
        <is>
          <t>avverkningsanmälan</t>
        </is>
      </c>
      <c r="C8743" t="inlineStr">
        <is>
          <t>Föryngringsavverkning</t>
        </is>
      </c>
      <c r="D8743" s="1" t="n">
        <v>45287</v>
      </c>
      <c r="E8743" s="1" t="n">
        <v>46319</v>
      </c>
      <c r="F8743" t="inlineStr">
        <is>
          <t>DALARNAS LÄN</t>
        </is>
      </c>
      <c r="G8743" t="inlineStr">
        <is>
          <t>FALUN</t>
        </is>
      </c>
      <c r="I8743" t="n">
        <v>7.2</v>
      </c>
      <c r="J8743" t="n">
        <v>0</v>
      </c>
      <c r="K8743" t="n">
        <v>0</v>
      </c>
      <c r="L8743" t="n">
        <v>0</v>
      </c>
      <c r="M8743" t="n">
        <v>0</v>
      </c>
      <c r="N8743" t="n">
        <v>0</v>
      </c>
      <c r="O8743" t="n">
        <v>0</v>
      </c>
      <c r="P8743" t="n">
        <v>0</v>
      </c>
      <c r="Q8743" t="n">
        <v>0</v>
      </c>
      <c r="R8743" t="n">
        <v>0</v>
      </c>
      <c r="S8743" t="n">
        <v>0</v>
      </c>
      <c r="T8743" t="n">
        <v>0</v>
      </c>
      <c r="U8743" t="n">
        <v>0</v>
      </c>
      <c r="V8743" s="2" t="inlineStr"/>
    </row>
    <row r="8744" ht="15" customHeight="1">
      <c r="A8744" t="inlineStr">
        <is>
          <t>A 65057-2023</t>
        </is>
      </c>
      <c r="B8744" t="inlineStr">
        <is>
          <t>avverkningsanmälan</t>
        </is>
      </c>
      <c r="C8744" t="inlineStr">
        <is>
          <t>Föryngringsavverkning</t>
        </is>
      </c>
      <c r="D8744" s="1" t="n">
        <v>45287</v>
      </c>
      <c r="E8744" s="1" t="n">
        <v>46319</v>
      </c>
      <c r="F8744" t="inlineStr">
        <is>
          <t>DALARNAS LÄN</t>
        </is>
      </c>
      <c r="G8744" t="inlineStr">
        <is>
          <t>HEDEMORA</t>
        </is>
      </c>
      <c r="I8744" t="n">
        <v>1.8</v>
      </c>
      <c r="J8744" t="n">
        <v>0</v>
      </c>
      <c r="K8744" t="n">
        <v>0</v>
      </c>
      <c r="L8744" t="n">
        <v>0</v>
      </c>
      <c r="M8744" t="n">
        <v>0</v>
      </c>
      <c r="N8744" t="n">
        <v>0</v>
      </c>
      <c r="O8744" t="n">
        <v>0</v>
      </c>
      <c r="P8744" t="n">
        <v>0</v>
      </c>
      <c r="Q8744" t="n">
        <v>0</v>
      </c>
      <c r="R8744" t="n">
        <v>0</v>
      </c>
      <c r="S8744" t="n">
        <v>0</v>
      </c>
      <c r="T8744" t="n">
        <v>0</v>
      </c>
      <c r="U8744" t="n">
        <v>0</v>
      </c>
      <c r="V8744" s="2" t="inlineStr"/>
    </row>
    <row r="8745" ht="15" customHeight="1">
      <c r="A8745" t="inlineStr">
        <is>
          <t>A 41306-2024</t>
        </is>
      </c>
      <c r="B8745" t="inlineStr">
        <is>
          <t>avverkningsanmälan</t>
        </is>
      </c>
      <c r="C8745" t="inlineStr">
        <is>
          <t>Föryngringsavverkning</t>
        </is>
      </c>
      <c r="D8745" s="1" t="n">
        <v>45559</v>
      </c>
      <c r="E8745" s="1" t="n">
        <v>46319</v>
      </c>
      <c r="F8745" t="inlineStr">
        <is>
          <t>DALARNAS LÄN</t>
        </is>
      </c>
      <c r="G8745" t="inlineStr">
        <is>
          <t>LEKSAND</t>
        </is>
      </c>
      <c r="I8745" t="n">
        <v>0.5</v>
      </c>
      <c r="J8745" t="n">
        <v>0</v>
      </c>
      <c r="K8745" t="n">
        <v>0</v>
      </c>
      <c r="L8745" t="n">
        <v>0</v>
      </c>
      <c r="M8745" t="n">
        <v>0</v>
      </c>
      <c r="N8745" t="n">
        <v>0</v>
      </c>
      <c r="O8745" t="n">
        <v>0</v>
      </c>
      <c r="P8745" t="n">
        <v>0</v>
      </c>
      <c r="Q8745" t="n">
        <v>0</v>
      </c>
      <c r="R8745" t="n">
        <v>0</v>
      </c>
      <c r="S8745" t="n">
        <v>0</v>
      </c>
      <c r="T8745" t="n">
        <v>0</v>
      </c>
      <c r="U8745" t="n">
        <v>0</v>
      </c>
      <c r="V8745" s="2" t="inlineStr"/>
    </row>
    <row r="8746" ht="15" customHeight="1">
      <c r="A8746" t="inlineStr">
        <is>
          <t>A 28559-2024</t>
        </is>
      </c>
      <c r="B8746" t="inlineStr">
        <is>
          <t>avverkningsanmälan</t>
        </is>
      </c>
      <c r="C8746" t="inlineStr">
        <is>
          <t>Föryngringsavverkning</t>
        </is>
      </c>
      <c r="D8746" s="1" t="n">
        <v>45478</v>
      </c>
      <c r="E8746" s="1" t="n">
        <v>46319</v>
      </c>
      <c r="F8746" t="inlineStr">
        <is>
          <t>DALARNAS LÄN</t>
        </is>
      </c>
      <c r="G8746" t="inlineStr">
        <is>
          <t>GAGNEF</t>
        </is>
      </c>
      <c r="I8746" t="n">
        <v>0.6</v>
      </c>
      <c r="J8746" t="n">
        <v>0</v>
      </c>
      <c r="K8746" t="n">
        <v>0</v>
      </c>
      <c r="L8746" t="n">
        <v>0</v>
      </c>
      <c r="M8746" t="n">
        <v>0</v>
      </c>
      <c r="N8746" t="n">
        <v>0</v>
      </c>
      <c r="O8746" t="n">
        <v>0</v>
      </c>
      <c r="P8746" t="n">
        <v>0</v>
      </c>
      <c r="Q8746" t="n">
        <v>0</v>
      </c>
      <c r="R8746" t="n">
        <v>0</v>
      </c>
      <c r="S8746" t="n">
        <v>0</v>
      </c>
      <c r="T8746" t="n">
        <v>0</v>
      </c>
      <c r="U8746" t="n">
        <v>0</v>
      </c>
      <c r="V8746" s="2" t="inlineStr"/>
    </row>
    <row r="8747" ht="15" customHeight="1">
      <c r="A8747" t="inlineStr">
        <is>
          <t>A 16585-2023</t>
        </is>
      </c>
      <c r="B8747" t="inlineStr">
        <is>
          <t>avverkningsanmälan</t>
        </is>
      </c>
      <c r="C8747" t="inlineStr">
        <is>
          <t>Föryngringsavverkning</t>
        </is>
      </c>
      <c r="D8747" s="1" t="n">
        <v>45030</v>
      </c>
      <c r="E8747" s="1" t="n">
        <v>46319</v>
      </c>
      <c r="F8747" t="inlineStr">
        <is>
          <t>DALARNAS LÄN</t>
        </is>
      </c>
      <c r="G8747" t="inlineStr">
        <is>
          <t>ORSA</t>
        </is>
      </c>
      <c r="I8747" t="n">
        <v>1</v>
      </c>
      <c r="J8747" t="n">
        <v>0</v>
      </c>
      <c r="K8747" t="n">
        <v>0</v>
      </c>
      <c r="L8747" t="n">
        <v>0</v>
      </c>
      <c r="M8747" t="n">
        <v>0</v>
      </c>
      <c r="N8747" t="n">
        <v>0</v>
      </c>
      <c r="O8747" t="n">
        <v>0</v>
      </c>
      <c r="P8747" t="n">
        <v>0</v>
      </c>
      <c r="Q8747" t="n">
        <v>0</v>
      </c>
      <c r="R8747" t="n">
        <v>0</v>
      </c>
      <c r="S8747" t="n">
        <v>0</v>
      </c>
      <c r="T8747" t="n">
        <v>0</v>
      </c>
      <c r="U8747" t="n">
        <v>0</v>
      </c>
      <c r="V8747" s="2" t="inlineStr"/>
    </row>
    <row r="8748" ht="15" customHeight="1">
      <c r="A8748" t="inlineStr">
        <is>
          <t>A 25168-2024</t>
        </is>
      </c>
      <c r="B8748" t="inlineStr">
        <is>
          <t>avverkningsanmälan</t>
        </is>
      </c>
      <c r="C8748" t="inlineStr">
        <is>
          <t>Föryngringsavverkning</t>
        </is>
      </c>
      <c r="D8748" s="1" t="n">
        <v>45462</v>
      </c>
      <c r="E8748" s="1" t="n">
        <v>46319</v>
      </c>
      <c r="F8748" t="inlineStr">
        <is>
          <t>DALARNAS LÄN</t>
        </is>
      </c>
      <c r="G8748" t="inlineStr">
        <is>
          <t>MALUNG-SÄLEN</t>
        </is>
      </c>
      <c r="I8748" t="n">
        <v>0.8</v>
      </c>
      <c r="J8748" t="n">
        <v>0</v>
      </c>
      <c r="K8748" t="n">
        <v>0</v>
      </c>
      <c r="L8748" t="n">
        <v>0</v>
      </c>
      <c r="M8748" t="n">
        <v>0</v>
      </c>
      <c r="N8748" t="n">
        <v>0</v>
      </c>
      <c r="O8748" t="n">
        <v>0</v>
      </c>
      <c r="P8748" t="n">
        <v>0</v>
      </c>
      <c r="Q8748" t="n">
        <v>0</v>
      </c>
      <c r="R8748" t="n">
        <v>0</v>
      </c>
      <c r="S8748" t="n">
        <v>0</v>
      </c>
      <c r="T8748" t="n">
        <v>0</v>
      </c>
      <c r="U8748" t="n">
        <v>0</v>
      </c>
      <c r="V8748" s="2" t="inlineStr"/>
    </row>
    <row r="8749" ht="15" customHeight="1">
      <c r="A8749" t="inlineStr">
        <is>
          <t>A 47343-2024</t>
        </is>
      </c>
      <c r="B8749" t="inlineStr">
        <is>
          <t>avverkningsanmälan</t>
        </is>
      </c>
      <c r="C8749" t="inlineStr">
        <is>
          <t>Föryngringsavverkning</t>
        </is>
      </c>
      <c r="D8749" s="1" t="n">
        <v>45587</v>
      </c>
      <c r="E8749" s="1" t="n">
        <v>46319</v>
      </c>
      <c r="F8749" t="inlineStr">
        <is>
          <t>DALARNAS LÄN</t>
        </is>
      </c>
      <c r="G8749" t="inlineStr">
        <is>
          <t>FALUN</t>
        </is>
      </c>
      <c r="I8749" t="n">
        <v>1</v>
      </c>
      <c r="J8749" t="n">
        <v>0</v>
      </c>
      <c r="K8749" t="n">
        <v>0</v>
      </c>
      <c r="L8749" t="n">
        <v>0</v>
      </c>
      <c r="M8749" t="n">
        <v>0</v>
      </c>
      <c r="N8749" t="n">
        <v>0</v>
      </c>
      <c r="O8749" t="n">
        <v>0</v>
      </c>
      <c r="P8749" t="n">
        <v>0</v>
      </c>
      <c r="Q8749" t="n">
        <v>0</v>
      </c>
      <c r="R8749" t="n">
        <v>0</v>
      </c>
      <c r="S8749" t="n">
        <v>0</v>
      </c>
      <c r="T8749" t="n">
        <v>0</v>
      </c>
      <c r="U8749" t="n">
        <v>0</v>
      </c>
      <c r="V8749" s="2" t="inlineStr"/>
    </row>
    <row r="8750" ht="15" customHeight="1">
      <c r="A8750" t="inlineStr">
        <is>
          <t>A 33829-2024</t>
        </is>
      </c>
      <c r="B8750" t="inlineStr">
        <is>
          <t>avverkningsanmälan</t>
        </is>
      </c>
      <c r="C8750" t="inlineStr">
        <is>
          <t>Föryngringsavverkning</t>
        </is>
      </c>
      <c r="D8750" s="1" t="n">
        <v>45520</v>
      </c>
      <c r="E8750" s="1" t="n">
        <v>46319</v>
      </c>
      <c r="F8750" t="inlineStr">
        <is>
          <t>DALARNAS LÄN</t>
        </is>
      </c>
      <c r="G8750" t="inlineStr">
        <is>
          <t>VANSBRO</t>
        </is>
      </c>
      <c r="I8750" t="n">
        <v>0.7</v>
      </c>
      <c r="J8750" t="n">
        <v>0</v>
      </c>
      <c r="K8750" t="n">
        <v>0</v>
      </c>
      <c r="L8750" t="n">
        <v>0</v>
      </c>
      <c r="M8750" t="n">
        <v>0</v>
      </c>
      <c r="N8750" t="n">
        <v>0</v>
      </c>
      <c r="O8750" t="n">
        <v>0</v>
      </c>
      <c r="P8750" t="n">
        <v>0</v>
      </c>
      <c r="Q8750" t="n">
        <v>0</v>
      </c>
      <c r="R8750" t="n">
        <v>0</v>
      </c>
      <c r="S8750" t="n">
        <v>0</v>
      </c>
      <c r="T8750" t="n">
        <v>0</v>
      </c>
      <c r="U8750" t="n">
        <v>0</v>
      </c>
      <c r="V8750" s="2" t="inlineStr"/>
    </row>
    <row r="8751" ht="15" customHeight="1">
      <c r="A8751" t="inlineStr">
        <is>
          <t>A 33838-2024</t>
        </is>
      </c>
      <c r="B8751" t="inlineStr">
        <is>
          <t>avverkningsanmälan</t>
        </is>
      </c>
      <c r="C8751" t="inlineStr">
        <is>
          <t>Föryngringsavverkning</t>
        </is>
      </c>
      <c r="D8751" s="1" t="n">
        <v>45520</v>
      </c>
      <c r="E8751" s="1" t="n">
        <v>46319</v>
      </c>
      <c r="F8751" t="inlineStr">
        <is>
          <t>DALARNAS LÄN</t>
        </is>
      </c>
      <c r="G8751" t="inlineStr">
        <is>
          <t>RÄTTVIK</t>
        </is>
      </c>
      <c r="H8751" t="inlineStr">
        <is>
          <t>Sveaskog</t>
        </is>
      </c>
      <c r="I8751" t="n">
        <v>0.7</v>
      </c>
      <c r="J8751" t="n">
        <v>0</v>
      </c>
      <c r="K8751" t="n">
        <v>0</v>
      </c>
      <c r="L8751" t="n">
        <v>0</v>
      </c>
      <c r="M8751" t="n">
        <v>0</v>
      </c>
      <c r="N8751" t="n">
        <v>0</v>
      </c>
      <c r="O8751" t="n">
        <v>0</v>
      </c>
      <c r="P8751" t="n">
        <v>0</v>
      </c>
      <c r="Q8751" t="n">
        <v>0</v>
      </c>
      <c r="R8751" t="n">
        <v>0</v>
      </c>
      <c r="S8751" t="n">
        <v>0</v>
      </c>
      <c r="T8751" t="n">
        <v>0</v>
      </c>
      <c r="U8751" t="n">
        <v>0</v>
      </c>
      <c r="V8751" s="2" t="inlineStr"/>
    </row>
    <row r="8752" ht="15" customHeight="1">
      <c r="A8752" t="inlineStr">
        <is>
          <t>A 11046-2022</t>
        </is>
      </c>
      <c r="B8752" t="inlineStr">
        <is>
          <t>avverkningsanmälan</t>
        </is>
      </c>
      <c r="C8752" t="inlineStr">
        <is>
          <t>Föryngringsavverkning</t>
        </is>
      </c>
      <c r="D8752" s="1" t="n">
        <v>44628</v>
      </c>
      <c r="E8752" s="1" t="n">
        <v>46319</v>
      </c>
      <c r="F8752" t="inlineStr">
        <is>
          <t>DALARNAS LÄN</t>
        </is>
      </c>
      <c r="G8752" t="inlineStr">
        <is>
          <t>HEDEMORA</t>
        </is>
      </c>
      <c r="H8752" t="inlineStr">
        <is>
          <t>Bergvik skog väst AB</t>
        </is>
      </c>
      <c r="I8752" t="n">
        <v>1</v>
      </c>
      <c r="J8752" t="n">
        <v>0</v>
      </c>
      <c r="K8752" t="n">
        <v>0</v>
      </c>
      <c r="L8752" t="n">
        <v>0</v>
      </c>
      <c r="M8752" t="n">
        <v>0</v>
      </c>
      <c r="N8752" t="n">
        <v>0</v>
      </c>
      <c r="O8752" t="n">
        <v>0</v>
      </c>
      <c r="P8752" t="n">
        <v>0</v>
      </c>
      <c r="Q8752" t="n">
        <v>0</v>
      </c>
      <c r="R8752" t="n">
        <v>0</v>
      </c>
      <c r="S8752" t="n">
        <v>0</v>
      </c>
      <c r="T8752" t="n">
        <v>0</v>
      </c>
      <c r="U8752" t="n">
        <v>0</v>
      </c>
      <c r="V8752" s="2" t="inlineStr"/>
    </row>
    <row r="8753" ht="15" customHeight="1">
      <c r="A8753" t="inlineStr">
        <is>
          <t>A 36652-2024</t>
        </is>
      </c>
      <c r="B8753" t="inlineStr">
        <is>
          <t>avverkningsanmälan</t>
        </is>
      </c>
      <c r="C8753" t="inlineStr">
        <is>
          <t>Föryngringsavverkning</t>
        </is>
      </c>
      <c r="D8753" s="1" t="n">
        <v>45537</v>
      </c>
      <c r="E8753" s="1" t="n">
        <v>46319</v>
      </c>
      <c r="F8753" t="inlineStr">
        <is>
          <t>DALARNAS LÄN</t>
        </is>
      </c>
      <c r="G8753" t="inlineStr">
        <is>
          <t>FALUN</t>
        </is>
      </c>
      <c r="H8753" t="inlineStr">
        <is>
          <t>Bergvik skog väst AB</t>
        </is>
      </c>
      <c r="I8753" t="n">
        <v>2.4</v>
      </c>
      <c r="J8753" t="n">
        <v>0</v>
      </c>
      <c r="K8753" t="n">
        <v>0</v>
      </c>
      <c r="L8753" t="n">
        <v>0</v>
      </c>
      <c r="M8753" t="n">
        <v>0</v>
      </c>
      <c r="N8753" t="n">
        <v>0</v>
      </c>
      <c r="O8753" t="n">
        <v>0</v>
      </c>
      <c r="P8753" t="n">
        <v>0</v>
      </c>
      <c r="Q8753" t="n">
        <v>0</v>
      </c>
      <c r="R8753" t="n">
        <v>0</v>
      </c>
      <c r="S8753" t="n">
        <v>0</v>
      </c>
      <c r="T8753" t="n">
        <v>0</v>
      </c>
      <c r="U8753" t="n">
        <v>0</v>
      </c>
      <c r="V8753" s="2" t="inlineStr"/>
    </row>
    <row r="8754" ht="15" customHeight="1">
      <c r="A8754" t="inlineStr">
        <is>
          <t>A 36450-2023</t>
        </is>
      </c>
      <c r="B8754" t="inlineStr">
        <is>
          <t>avverkningsanmälan</t>
        </is>
      </c>
      <c r="C8754" t="inlineStr">
        <is>
          <t>Föryngringsavverkning</t>
        </is>
      </c>
      <c r="D8754" s="1" t="n">
        <v>45152</v>
      </c>
      <c r="E8754" s="1" t="n">
        <v>46319</v>
      </c>
      <c r="F8754" t="inlineStr">
        <is>
          <t>DALARNAS LÄN</t>
        </is>
      </c>
      <c r="G8754" t="inlineStr">
        <is>
          <t>LEKSAND</t>
        </is>
      </c>
      <c r="I8754" t="n">
        <v>2.4</v>
      </c>
      <c r="J8754" t="n">
        <v>0</v>
      </c>
      <c r="K8754" t="n">
        <v>0</v>
      </c>
      <c r="L8754" t="n">
        <v>0</v>
      </c>
      <c r="M8754" t="n">
        <v>0</v>
      </c>
      <c r="N8754" t="n">
        <v>0</v>
      </c>
      <c r="O8754" t="n">
        <v>0</v>
      </c>
      <c r="P8754" t="n">
        <v>0</v>
      </c>
      <c r="Q8754" t="n">
        <v>0</v>
      </c>
      <c r="R8754" t="n">
        <v>0</v>
      </c>
      <c r="S8754" t="n">
        <v>0</v>
      </c>
      <c r="T8754" t="n">
        <v>0</v>
      </c>
      <c r="U8754" t="n">
        <v>0</v>
      </c>
      <c r="V8754" s="2" t="inlineStr"/>
    </row>
    <row r="8755" ht="15" customHeight="1">
      <c r="A8755" t="inlineStr">
        <is>
          <t>A 35261-2024</t>
        </is>
      </c>
      <c r="B8755" t="inlineStr">
        <is>
          <t>avverkningsanmälan</t>
        </is>
      </c>
      <c r="C8755" t="inlineStr">
        <is>
          <t>Föryngringsavverkning</t>
        </is>
      </c>
      <c r="D8755" s="1" t="n">
        <v>45530</v>
      </c>
      <c r="E8755" s="1" t="n">
        <v>46319</v>
      </c>
      <c r="F8755" t="inlineStr">
        <is>
          <t>DALARNAS LÄN</t>
        </is>
      </c>
      <c r="G8755" t="inlineStr">
        <is>
          <t>MALUNG-SÄLEN</t>
        </is>
      </c>
      <c r="I8755" t="n">
        <v>1.8</v>
      </c>
      <c r="J8755" t="n">
        <v>0</v>
      </c>
      <c r="K8755" t="n">
        <v>0</v>
      </c>
      <c r="L8755" t="n">
        <v>0</v>
      </c>
      <c r="M8755" t="n">
        <v>0</v>
      </c>
      <c r="N8755" t="n">
        <v>0</v>
      </c>
      <c r="O8755" t="n">
        <v>0</v>
      </c>
      <c r="P8755" t="n">
        <v>0</v>
      </c>
      <c r="Q8755" t="n">
        <v>0</v>
      </c>
      <c r="R8755" t="n">
        <v>0</v>
      </c>
      <c r="S8755" t="n">
        <v>0</v>
      </c>
      <c r="T8755" t="n">
        <v>0</v>
      </c>
      <c r="U8755" t="n">
        <v>0</v>
      </c>
      <c r="V8755" s="2" t="inlineStr"/>
    </row>
    <row r="8756" ht="15" customHeight="1">
      <c r="A8756" t="inlineStr">
        <is>
          <t>A 35299-2024</t>
        </is>
      </c>
      <c r="B8756" t="inlineStr">
        <is>
          <t>avverkningsanmälan</t>
        </is>
      </c>
      <c r="C8756" t="inlineStr">
        <is>
          <t>Avverkning för att bevara och utveckla /försöksver</t>
        </is>
      </c>
      <c r="D8756" s="1" t="n">
        <v>45530</v>
      </c>
      <c r="E8756" s="1" t="n">
        <v>46319</v>
      </c>
      <c r="F8756" t="inlineStr">
        <is>
          <t>DALARNAS LÄN</t>
        </is>
      </c>
      <c r="G8756" t="inlineStr">
        <is>
          <t>VANSBRO</t>
        </is>
      </c>
      <c r="I8756" t="n">
        <v>1.8</v>
      </c>
      <c r="J8756" t="n">
        <v>0</v>
      </c>
      <c r="K8756" t="n">
        <v>0</v>
      </c>
      <c r="L8756" t="n">
        <v>0</v>
      </c>
      <c r="M8756" t="n">
        <v>0</v>
      </c>
      <c r="N8756" t="n">
        <v>0</v>
      </c>
      <c r="O8756" t="n">
        <v>0</v>
      </c>
      <c r="P8756" t="n">
        <v>0</v>
      </c>
      <c r="Q8756" t="n">
        <v>0</v>
      </c>
      <c r="R8756" t="n">
        <v>0</v>
      </c>
      <c r="S8756" t="n">
        <v>0</v>
      </c>
      <c r="T8756" t="n">
        <v>0</v>
      </c>
      <c r="U8756" t="n">
        <v>0</v>
      </c>
      <c r="V8756" s="2" t="inlineStr"/>
    </row>
    <row r="8757" ht="15" customHeight="1">
      <c r="A8757" t="inlineStr">
        <is>
          <t>A 18412-2024</t>
        </is>
      </c>
      <c r="B8757" t="inlineStr">
        <is>
          <t>avverkningsanmälan</t>
        </is>
      </c>
      <c r="C8757" t="inlineStr">
        <is>
          <t>Föryngringsavverkning</t>
        </is>
      </c>
      <c r="D8757" s="1" t="n">
        <v>45425</v>
      </c>
      <c r="E8757" s="1" t="n">
        <v>46319</v>
      </c>
      <c r="F8757" t="inlineStr">
        <is>
          <t>DALARNAS LÄN</t>
        </is>
      </c>
      <c r="G8757" t="inlineStr">
        <is>
          <t>GAGNEF</t>
        </is>
      </c>
      <c r="I8757" t="n">
        <v>2.9</v>
      </c>
      <c r="J8757" t="n">
        <v>0</v>
      </c>
      <c r="K8757" t="n">
        <v>0</v>
      </c>
      <c r="L8757" t="n">
        <v>0</v>
      </c>
      <c r="M8757" t="n">
        <v>0</v>
      </c>
      <c r="N8757" t="n">
        <v>0</v>
      </c>
      <c r="O8757" t="n">
        <v>0</v>
      </c>
      <c r="P8757" t="n">
        <v>0</v>
      </c>
      <c r="Q8757" t="n">
        <v>0</v>
      </c>
      <c r="R8757" t="n">
        <v>0</v>
      </c>
      <c r="S8757" t="n">
        <v>0</v>
      </c>
      <c r="T8757" t="n">
        <v>0</v>
      </c>
      <c r="U8757" t="n">
        <v>0</v>
      </c>
      <c r="V8757" s="2" t="inlineStr"/>
    </row>
    <row r="8758" ht="15" customHeight="1">
      <c r="A8758" t="inlineStr">
        <is>
          <t>A 18487-2024</t>
        </is>
      </c>
      <c r="B8758" t="inlineStr">
        <is>
          <t>avverkningsanmälan</t>
        </is>
      </c>
      <c r="C8758" t="inlineStr">
        <is>
          <t>Föryngringsavverkning</t>
        </is>
      </c>
      <c r="D8758" s="1" t="n">
        <v>45425</v>
      </c>
      <c r="E8758" s="1" t="n">
        <v>46319</v>
      </c>
      <c r="F8758" t="inlineStr">
        <is>
          <t>DALARNAS LÄN</t>
        </is>
      </c>
      <c r="G8758" t="inlineStr">
        <is>
          <t>RÄTTVIK</t>
        </is>
      </c>
      <c r="H8758" t="inlineStr">
        <is>
          <t>Sveaskog</t>
        </is>
      </c>
      <c r="I8758" t="n">
        <v>1.9</v>
      </c>
      <c r="J8758" t="n">
        <v>0</v>
      </c>
      <c r="K8758" t="n">
        <v>0</v>
      </c>
      <c r="L8758" t="n">
        <v>0</v>
      </c>
      <c r="M8758" t="n">
        <v>0</v>
      </c>
      <c r="N8758" t="n">
        <v>0</v>
      </c>
      <c r="O8758" t="n">
        <v>0</v>
      </c>
      <c r="P8758" t="n">
        <v>0</v>
      </c>
      <c r="Q8758" t="n">
        <v>0</v>
      </c>
      <c r="R8758" t="n">
        <v>0</v>
      </c>
      <c r="S8758" t="n">
        <v>0</v>
      </c>
      <c r="T8758" t="n">
        <v>0</v>
      </c>
      <c r="U8758" t="n">
        <v>0</v>
      </c>
      <c r="V8758" s="2" t="inlineStr"/>
    </row>
    <row r="8759" ht="15" customHeight="1">
      <c r="A8759" t="inlineStr">
        <is>
          <t>A 26430-2024</t>
        </is>
      </c>
      <c r="B8759" t="inlineStr">
        <is>
          <t>avverkningsanmälan</t>
        </is>
      </c>
      <c r="C8759" t="inlineStr">
        <is>
          <t>Föryngringsavverkning</t>
        </is>
      </c>
      <c r="D8759" s="1" t="n">
        <v>45469</v>
      </c>
      <c r="E8759" s="1" t="n">
        <v>46319</v>
      </c>
      <c r="F8759" t="inlineStr">
        <is>
          <t>DALARNAS LÄN</t>
        </is>
      </c>
      <c r="G8759" t="inlineStr">
        <is>
          <t>SMEDJEBACKEN</t>
        </is>
      </c>
      <c r="H8759" t="inlineStr">
        <is>
          <t>Bergvik skog väst AB</t>
        </is>
      </c>
      <c r="I8759" t="n">
        <v>0.9</v>
      </c>
      <c r="J8759" t="n">
        <v>0</v>
      </c>
      <c r="K8759" t="n">
        <v>0</v>
      </c>
      <c r="L8759" t="n">
        <v>0</v>
      </c>
      <c r="M8759" t="n">
        <v>0</v>
      </c>
      <c r="N8759" t="n">
        <v>0</v>
      </c>
      <c r="O8759" t="n">
        <v>0</v>
      </c>
      <c r="P8759" t="n">
        <v>0</v>
      </c>
      <c r="Q8759" t="n">
        <v>0</v>
      </c>
      <c r="R8759" t="n">
        <v>0</v>
      </c>
      <c r="S8759" t="n">
        <v>0</v>
      </c>
      <c r="T8759" t="n">
        <v>0</v>
      </c>
      <c r="U8759" t="n">
        <v>0</v>
      </c>
      <c r="V8759" s="2" t="inlineStr"/>
    </row>
    <row r="8760" ht="15" customHeight="1">
      <c r="A8760" t="inlineStr">
        <is>
          <t>A 6371-2022</t>
        </is>
      </c>
      <c r="B8760" t="inlineStr">
        <is>
          <t>avverkningsanmälan</t>
        </is>
      </c>
      <c r="C8760" t="inlineStr">
        <is>
          <t>Föryngringsavverkning</t>
        </is>
      </c>
      <c r="D8760" s="1" t="n">
        <v>44600</v>
      </c>
      <c r="E8760" s="1" t="n">
        <v>46319</v>
      </c>
      <c r="F8760" t="inlineStr">
        <is>
          <t>DALARNAS LÄN</t>
        </is>
      </c>
      <c r="G8760" t="inlineStr">
        <is>
          <t>MORA</t>
        </is>
      </c>
      <c r="I8760" t="n">
        <v>4.6</v>
      </c>
      <c r="J8760" t="n">
        <v>0</v>
      </c>
      <c r="K8760" t="n">
        <v>0</v>
      </c>
      <c r="L8760" t="n">
        <v>0</v>
      </c>
      <c r="M8760" t="n">
        <v>0</v>
      </c>
      <c r="N8760" t="n">
        <v>0</v>
      </c>
      <c r="O8760" t="n">
        <v>0</v>
      </c>
      <c r="P8760" t="n">
        <v>0</v>
      </c>
      <c r="Q8760" t="n">
        <v>0</v>
      </c>
      <c r="R8760" t="n">
        <v>0</v>
      </c>
      <c r="S8760" t="n">
        <v>0</v>
      </c>
      <c r="T8760" t="n">
        <v>0</v>
      </c>
      <c r="U8760" t="n">
        <v>0</v>
      </c>
      <c r="V8760" s="2" t="inlineStr"/>
    </row>
    <row r="8761" ht="15" customHeight="1">
      <c r="A8761" t="inlineStr">
        <is>
          <t>A 2377-2024</t>
        </is>
      </c>
      <c r="B8761" t="inlineStr">
        <is>
          <t>avverkningsanmälan</t>
        </is>
      </c>
      <c r="C8761" t="inlineStr">
        <is>
          <t>Föryngringsavverkning</t>
        </is>
      </c>
      <c r="D8761" s="1" t="n">
        <v>45310</v>
      </c>
      <c r="E8761" s="1" t="n">
        <v>46319</v>
      </c>
      <c r="F8761" t="inlineStr">
        <is>
          <t>DALARNAS LÄN</t>
        </is>
      </c>
      <c r="G8761" t="inlineStr">
        <is>
          <t>ÄLVDALEN</t>
        </is>
      </c>
      <c r="I8761" t="n">
        <v>1.5</v>
      </c>
      <c r="J8761" t="n">
        <v>0</v>
      </c>
      <c r="K8761" t="n">
        <v>0</v>
      </c>
      <c r="L8761" t="n">
        <v>0</v>
      </c>
      <c r="M8761" t="n">
        <v>0</v>
      </c>
      <c r="N8761" t="n">
        <v>0</v>
      </c>
      <c r="O8761" t="n">
        <v>0</v>
      </c>
      <c r="P8761" t="n">
        <v>0</v>
      </c>
      <c r="Q8761" t="n">
        <v>0</v>
      </c>
      <c r="R8761" t="n">
        <v>0</v>
      </c>
      <c r="S8761" t="n">
        <v>0</v>
      </c>
      <c r="T8761" t="n">
        <v>0</v>
      </c>
      <c r="U8761" t="n">
        <v>0</v>
      </c>
      <c r="V8761" s="2" t="inlineStr"/>
    </row>
    <row r="8762" ht="15" customHeight="1">
      <c r="A8762" t="inlineStr">
        <is>
          <t>A 2384-2024</t>
        </is>
      </c>
      <c r="B8762" t="inlineStr">
        <is>
          <t>avverkningsanmälan</t>
        </is>
      </c>
      <c r="C8762" t="inlineStr">
        <is>
          <t>Föryngringsavverkning</t>
        </is>
      </c>
      <c r="D8762" s="1" t="n">
        <v>45310</v>
      </c>
      <c r="E8762" s="1" t="n">
        <v>46319</v>
      </c>
      <c r="F8762" t="inlineStr">
        <is>
          <t>DALARNAS LÄN</t>
        </is>
      </c>
      <c r="G8762" t="inlineStr">
        <is>
          <t>ÄLVDALEN</t>
        </is>
      </c>
      <c r="I8762" t="n">
        <v>2.7</v>
      </c>
      <c r="J8762" t="n">
        <v>0</v>
      </c>
      <c r="K8762" t="n">
        <v>0</v>
      </c>
      <c r="L8762" t="n">
        <v>0</v>
      </c>
      <c r="M8762" t="n">
        <v>0</v>
      </c>
      <c r="N8762" t="n">
        <v>0</v>
      </c>
      <c r="O8762" t="n">
        <v>0</v>
      </c>
      <c r="P8762" t="n">
        <v>0</v>
      </c>
      <c r="Q8762" t="n">
        <v>0</v>
      </c>
      <c r="R8762" t="n">
        <v>0</v>
      </c>
      <c r="S8762" t="n">
        <v>0</v>
      </c>
      <c r="T8762" t="n">
        <v>0</v>
      </c>
      <c r="U8762" t="n">
        <v>0</v>
      </c>
      <c r="V8762" s="2" t="inlineStr"/>
    </row>
    <row r="8763" ht="15" customHeight="1">
      <c r="A8763" t="inlineStr">
        <is>
          <t>A 3737-2023</t>
        </is>
      </c>
      <c r="B8763" t="inlineStr">
        <is>
          <t>avverkningsanmälan</t>
        </is>
      </c>
      <c r="C8763" t="inlineStr">
        <is>
          <t>Föryngringsavverkning</t>
        </is>
      </c>
      <c r="D8763" s="1" t="n">
        <v>44951</v>
      </c>
      <c r="E8763" s="1" t="n">
        <v>46319</v>
      </c>
      <c r="F8763" t="inlineStr">
        <is>
          <t>DALARNAS LÄN</t>
        </is>
      </c>
      <c r="G8763" t="inlineStr">
        <is>
          <t>LEKSAND</t>
        </is>
      </c>
      <c r="I8763" t="n">
        <v>3.1</v>
      </c>
      <c r="J8763" t="n">
        <v>0</v>
      </c>
      <c r="K8763" t="n">
        <v>0</v>
      </c>
      <c r="L8763" t="n">
        <v>0</v>
      </c>
      <c r="M8763" t="n">
        <v>0</v>
      </c>
      <c r="N8763" t="n">
        <v>0</v>
      </c>
      <c r="O8763" t="n">
        <v>0</v>
      </c>
      <c r="P8763" t="n">
        <v>0</v>
      </c>
      <c r="Q8763" t="n">
        <v>0</v>
      </c>
      <c r="R8763" t="n">
        <v>0</v>
      </c>
      <c r="S8763" t="n">
        <v>0</v>
      </c>
      <c r="T8763" t="n">
        <v>0</v>
      </c>
      <c r="U8763" t="n">
        <v>0</v>
      </c>
      <c r="V8763" s="2" t="inlineStr"/>
    </row>
    <row r="8764" ht="15" customHeight="1">
      <c r="A8764" t="inlineStr">
        <is>
          <t>A 72178-2021</t>
        </is>
      </c>
      <c r="B8764" t="inlineStr">
        <is>
          <t>avverkningsanmälan</t>
        </is>
      </c>
      <c r="C8764" t="inlineStr">
        <is>
          <t>Föryngringsavverkning</t>
        </is>
      </c>
      <c r="D8764" s="1" t="n">
        <v>44544</v>
      </c>
      <c r="E8764" s="1" t="n">
        <v>46319</v>
      </c>
      <c r="F8764" t="inlineStr">
        <is>
          <t>DALARNAS LÄN</t>
        </is>
      </c>
      <c r="G8764" t="inlineStr">
        <is>
          <t>RÄTTVIK</t>
        </is>
      </c>
      <c r="I8764" t="n">
        <v>0.9</v>
      </c>
      <c r="J8764" t="n">
        <v>0</v>
      </c>
      <c r="K8764" t="n">
        <v>0</v>
      </c>
      <c r="L8764" t="n">
        <v>0</v>
      </c>
      <c r="M8764" t="n">
        <v>0</v>
      </c>
      <c r="N8764" t="n">
        <v>0</v>
      </c>
      <c r="O8764" t="n">
        <v>0</v>
      </c>
      <c r="P8764" t="n">
        <v>0</v>
      </c>
      <c r="Q8764" t="n">
        <v>0</v>
      </c>
      <c r="R8764" t="n">
        <v>0</v>
      </c>
      <c r="S8764" t="n">
        <v>0</v>
      </c>
      <c r="T8764" t="n">
        <v>0</v>
      </c>
      <c r="U8764" t="n">
        <v>0</v>
      </c>
      <c r="V8764" s="2" t="inlineStr"/>
    </row>
    <row r="8765" ht="15" customHeight="1">
      <c r="A8765" t="inlineStr">
        <is>
          <t>A 12069-2023</t>
        </is>
      </c>
      <c r="B8765" t="inlineStr">
        <is>
          <t>avverkningsanmälan</t>
        </is>
      </c>
      <c r="C8765" t="inlineStr">
        <is>
          <t>Föryngringsavverkning</t>
        </is>
      </c>
      <c r="D8765" s="1" t="n">
        <v>44997</v>
      </c>
      <c r="E8765" s="1" t="n">
        <v>46319</v>
      </c>
      <c r="F8765" t="inlineStr">
        <is>
          <t>DALARNAS LÄN</t>
        </is>
      </c>
      <c r="G8765" t="inlineStr">
        <is>
          <t>RÄTTVIK</t>
        </is>
      </c>
      <c r="I8765" t="n">
        <v>1.5</v>
      </c>
      <c r="J8765" t="n">
        <v>0</v>
      </c>
      <c r="K8765" t="n">
        <v>0</v>
      </c>
      <c r="L8765" t="n">
        <v>0</v>
      </c>
      <c r="M8765" t="n">
        <v>0</v>
      </c>
      <c r="N8765" t="n">
        <v>0</v>
      </c>
      <c r="O8765" t="n">
        <v>0</v>
      </c>
      <c r="P8765" t="n">
        <v>0</v>
      </c>
      <c r="Q8765" t="n">
        <v>0</v>
      </c>
      <c r="R8765" t="n">
        <v>0</v>
      </c>
      <c r="S8765" t="n">
        <v>0</v>
      </c>
      <c r="T8765" t="n">
        <v>0</v>
      </c>
      <c r="U8765" t="n">
        <v>0</v>
      </c>
      <c r="V8765" s="2" t="inlineStr"/>
    </row>
    <row r="8766" ht="15" customHeight="1">
      <c r="A8766" t="inlineStr">
        <is>
          <t>A 40832-2024</t>
        </is>
      </c>
      <c r="B8766" t="inlineStr">
        <is>
          <t>avverkningsanmälan</t>
        </is>
      </c>
      <c r="C8766" t="inlineStr">
        <is>
          <t>Föryngringsavverkning</t>
        </is>
      </c>
      <c r="D8766" s="1" t="n">
        <v>45558</v>
      </c>
      <c r="E8766" s="1" t="n">
        <v>46319</v>
      </c>
      <c r="F8766" t="inlineStr">
        <is>
          <t>DALARNAS LÄN</t>
        </is>
      </c>
      <c r="G8766" t="inlineStr">
        <is>
          <t>FALUN</t>
        </is>
      </c>
      <c r="H8766" t="inlineStr">
        <is>
          <t>Bergvik skog väst AB</t>
        </is>
      </c>
      <c r="I8766" t="n">
        <v>2.9</v>
      </c>
      <c r="J8766" t="n">
        <v>0</v>
      </c>
      <c r="K8766" t="n">
        <v>0</v>
      </c>
      <c r="L8766" t="n">
        <v>0</v>
      </c>
      <c r="M8766" t="n">
        <v>0</v>
      </c>
      <c r="N8766" t="n">
        <v>0</v>
      </c>
      <c r="O8766" t="n">
        <v>0</v>
      </c>
      <c r="P8766" t="n">
        <v>0</v>
      </c>
      <c r="Q8766" t="n">
        <v>0</v>
      </c>
      <c r="R8766" t="n">
        <v>0</v>
      </c>
      <c r="S8766" t="n">
        <v>0</v>
      </c>
      <c r="T8766" t="n">
        <v>0</v>
      </c>
      <c r="U8766" t="n">
        <v>0</v>
      </c>
      <c r="V8766" s="2" t="inlineStr"/>
    </row>
    <row r="8767" ht="15" customHeight="1">
      <c r="A8767" t="inlineStr">
        <is>
          <t>A 5883-2024</t>
        </is>
      </c>
      <c r="B8767" t="inlineStr">
        <is>
          <t>avverkningsanmälan</t>
        </is>
      </c>
      <c r="C8767" t="inlineStr">
        <is>
          <t>Föryngringsavverkning</t>
        </is>
      </c>
      <c r="D8767" s="1" t="n">
        <v>45335</v>
      </c>
      <c r="E8767" s="1" t="n">
        <v>46319</v>
      </c>
      <c r="F8767" t="inlineStr">
        <is>
          <t>DALARNAS LÄN</t>
        </is>
      </c>
      <c r="G8767" t="inlineStr">
        <is>
          <t>ÄLVDALEN</t>
        </is>
      </c>
      <c r="I8767" t="n">
        <v>12</v>
      </c>
      <c r="J8767" t="n">
        <v>0</v>
      </c>
      <c r="K8767" t="n">
        <v>0</v>
      </c>
      <c r="L8767" t="n">
        <v>0</v>
      </c>
      <c r="M8767" t="n">
        <v>0</v>
      </c>
      <c r="N8767" t="n">
        <v>0</v>
      </c>
      <c r="O8767" t="n">
        <v>0</v>
      </c>
      <c r="P8767" t="n">
        <v>0</v>
      </c>
      <c r="Q8767" t="n">
        <v>0</v>
      </c>
      <c r="R8767" t="n">
        <v>0</v>
      </c>
      <c r="S8767" t="n">
        <v>0</v>
      </c>
      <c r="T8767" t="n">
        <v>0</v>
      </c>
      <c r="U8767" t="n">
        <v>0</v>
      </c>
      <c r="V8767" s="2" t="inlineStr"/>
    </row>
    <row r="8768" ht="15" customHeight="1">
      <c r="A8768" t="inlineStr">
        <is>
          <t>A 64093-2023</t>
        </is>
      </c>
      <c r="B8768" t="inlineStr">
        <is>
          <t>avverkningsanmälan</t>
        </is>
      </c>
      <c r="C8768" t="inlineStr">
        <is>
          <t>Föryngringsavverkning</t>
        </is>
      </c>
      <c r="D8768" s="1" t="n">
        <v>45279</v>
      </c>
      <c r="E8768" s="1" t="n">
        <v>46319</v>
      </c>
      <c r="F8768" t="inlineStr">
        <is>
          <t>DALARNAS LÄN</t>
        </is>
      </c>
      <c r="G8768" t="inlineStr">
        <is>
          <t>MORA</t>
        </is>
      </c>
      <c r="I8768" t="n">
        <v>0.9</v>
      </c>
      <c r="J8768" t="n">
        <v>0</v>
      </c>
      <c r="K8768" t="n">
        <v>0</v>
      </c>
      <c r="L8768" t="n">
        <v>0</v>
      </c>
      <c r="M8768" t="n">
        <v>0</v>
      </c>
      <c r="N8768" t="n">
        <v>0</v>
      </c>
      <c r="O8768" t="n">
        <v>0</v>
      </c>
      <c r="P8768" t="n">
        <v>0</v>
      </c>
      <c r="Q8768" t="n">
        <v>0</v>
      </c>
      <c r="R8768" t="n">
        <v>0</v>
      </c>
      <c r="S8768" t="n">
        <v>0</v>
      </c>
      <c r="T8768" t="n">
        <v>0</v>
      </c>
      <c r="U8768" t="n">
        <v>0</v>
      </c>
      <c r="V8768" s="2" t="inlineStr"/>
    </row>
    <row r="8769" ht="15" customHeight="1">
      <c r="A8769" t="inlineStr">
        <is>
          <t>A 17834-2023</t>
        </is>
      </c>
      <c r="B8769" t="inlineStr">
        <is>
          <t>avverkningsanmälan</t>
        </is>
      </c>
      <c r="C8769" t="inlineStr">
        <is>
          <t>Föryngringsavverkning</t>
        </is>
      </c>
      <c r="D8769" s="1" t="n">
        <v>45037</v>
      </c>
      <c r="E8769" s="1" t="n">
        <v>46319</v>
      </c>
      <c r="F8769" t="inlineStr">
        <is>
          <t>DALARNAS LÄN</t>
        </is>
      </c>
      <c r="G8769" t="inlineStr">
        <is>
          <t>SMEDJEBACKEN</t>
        </is>
      </c>
      <c r="I8769" t="n">
        <v>1</v>
      </c>
      <c r="J8769" t="n">
        <v>0</v>
      </c>
      <c r="K8769" t="n">
        <v>0</v>
      </c>
      <c r="L8769" t="n">
        <v>0</v>
      </c>
      <c r="M8769" t="n">
        <v>0</v>
      </c>
      <c r="N8769" t="n">
        <v>0</v>
      </c>
      <c r="O8769" t="n">
        <v>0</v>
      </c>
      <c r="P8769" t="n">
        <v>0</v>
      </c>
      <c r="Q8769" t="n">
        <v>0</v>
      </c>
      <c r="R8769" t="n">
        <v>0</v>
      </c>
      <c r="S8769" t="n">
        <v>0</v>
      </c>
      <c r="T8769" t="n">
        <v>0</v>
      </c>
      <c r="U8769" t="n">
        <v>0</v>
      </c>
      <c r="V8769" s="2" t="inlineStr"/>
    </row>
    <row r="8770" ht="15" customHeight="1">
      <c r="A8770" t="inlineStr">
        <is>
          <t>A 47802-2024</t>
        </is>
      </c>
      <c r="B8770" t="inlineStr">
        <is>
          <t>avverkningsanmälan</t>
        </is>
      </c>
      <c r="C8770" t="inlineStr">
        <is>
          <t>Föryngringsavverkning</t>
        </is>
      </c>
      <c r="D8770" s="1" t="n">
        <v>45588</v>
      </c>
      <c r="E8770" s="1" t="n">
        <v>46319</v>
      </c>
      <c r="F8770" t="inlineStr">
        <is>
          <t>DALARNAS LÄN</t>
        </is>
      </c>
      <c r="G8770" t="inlineStr">
        <is>
          <t>RÄTTVIK</t>
        </is>
      </c>
      <c r="H8770" t="inlineStr">
        <is>
          <t>Bergvik skog väst AB</t>
        </is>
      </c>
      <c r="I8770" t="n">
        <v>0.4</v>
      </c>
      <c r="J8770" t="n">
        <v>0</v>
      </c>
      <c r="K8770" t="n">
        <v>0</v>
      </c>
      <c r="L8770" t="n">
        <v>0</v>
      </c>
      <c r="M8770" t="n">
        <v>0</v>
      </c>
      <c r="N8770" t="n">
        <v>0</v>
      </c>
      <c r="O8770" t="n">
        <v>0</v>
      </c>
      <c r="P8770" t="n">
        <v>0</v>
      </c>
      <c r="Q8770" t="n">
        <v>0</v>
      </c>
      <c r="R8770" t="n">
        <v>0</v>
      </c>
      <c r="S8770" t="n">
        <v>0</v>
      </c>
      <c r="T8770" t="n">
        <v>0</v>
      </c>
      <c r="U8770" t="n">
        <v>0</v>
      </c>
      <c r="V8770" s="2" t="inlineStr"/>
    </row>
    <row r="8771" ht="15" customHeight="1">
      <c r="A8771" t="inlineStr">
        <is>
          <t>A 38947-2023</t>
        </is>
      </c>
      <c r="B8771" t="inlineStr">
        <is>
          <t>avverkningsanmälan</t>
        </is>
      </c>
      <c r="C8771" t="inlineStr">
        <is>
          <t>Föryngringsavverkning</t>
        </is>
      </c>
      <c r="D8771" s="1" t="n">
        <v>45163</v>
      </c>
      <c r="E8771" s="1" t="n">
        <v>46319</v>
      </c>
      <c r="F8771" t="inlineStr">
        <is>
          <t>DALARNAS LÄN</t>
        </is>
      </c>
      <c r="G8771" t="inlineStr">
        <is>
          <t>HEDEMORA</t>
        </is>
      </c>
      <c r="H8771" t="inlineStr">
        <is>
          <t>Sveaskog</t>
        </is>
      </c>
      <c r="I8771" t="n">
        <v>0.9</v>
      </c>
      <c r="J8771" t="n">
        <v>0</v>
      </c>
      <c r="K8771" t="n">
        <v>0</v>
      </c>
      <c r="L8771" t="n">
        <v>0</v>
      </c>
      <c r="M8771" t="n">
        <v>0</v>
      </c>
      <c r="N8771" t="n">
        <v>0</v>
      </c>
      <c r="O8771" t="n">
        <v>0</v>
      </c>
      <c r="P8771" t="n">
        <v>0</v>
      </c>
      <c r="Q8771" t="n">
        <v>0</v>
      </c>
      <c r="R8771" t="n">
        <v>0</v>
      </c>
      <c r="S8771" t="n">
        <v>0</v>
      </c>
      <c r="T8771" t="n">
        <v>0</v>
      </c>
      <c r="U8771" t="n">
        <v>0</v>
      </c>
      <c r="V8771" s="2" t="inlineStr"/>
    </row>
    <row r="8772" ht="15" customHeight="1">
      <c r="A8772" t="inlineStr">
        <is>
          <t>A 62566-2023</t>
        </is>
      </c>
      <c r="B8772" t="inlineStr">
        <is>
          <t>avverkningsanmälan</t>
        </is>
      </c>
      <c r="C8772" t="inlineStr">
        <is>
          <t>Föryngringsavverkning</t>
        </is>
      </c>
      <c r="D8772" s="1" t="n">
        <v>45269</v>
      </c>
      <c r="E8772" s="1" t="n">
        <v>46319</v>
      </c>
      <c r="F8772" t="inlineStr">
        <is>
          <t>DALARNAS LÄN</t>
        </is>
      </c>
      <c r="G8772" t="inlineStr">
        <is>
          <t>AVESTA</t>
        </is>
      </c>
      <c r="I8772" t="n">
        <v>0.5</v>
      </c>
      <c r="J8772" t="n">
        <v>0</v>
      </c>
      <c r="K8772" t="n">
        <v>0</v>
      </c>
      <c r="L8772" t="n">
        <v>0</v>
      </c>
      <c r="M8772" t="n">
        <v>0</v>
      </c>
      <c r="N8772" t="n">
        <v>0</v>
      </c>
      <c r="O8772" t="n">
        <v>0</v>
      </c>
      <c r="P8772" t="n">
        <v>0</v>
      </c>
      <c r="Q8772" t="n">
        <v>0</v>
      </c>
      <c r="R8772" t="n">
        <v>0</v>
      </c>
      <c r="S8772" t="n">
        <v>0</v>
      </c>
      <c r="T8772" t="n">
        <v>0</v>
      </c>
      <c r="U8772" t="n">
        <v>0</v>
      </c>
      <c r="V8772" s="2" t="inlineStr"/>
    </row>
    <row r="8773" ht="15" customHeight="1">
      <c r="A8773" t="inlineStr">
        <is>
          <t>A 37710-2023</t>
        </is>
      </c>
      <c r="B8773" t="inlineStr">
        <is>
          <t>avverkningsanmälan</t>
        </is>
      </c>
      <c r="C8773" t="inlineStr">
        <is>
          <t>Föryngringsavverkning</t>
        </is>
      </c>
      <c r="D8773" s="1" t="n">
        <v>45159</v>
      </c>
      <c r="E8773" s="1" t="n">
        <v>46319</v>
      </c>
      <c r="F8773" t="inlineStr">
        <is>
          <t>DALARNAS LÄN</t>
        </is>
      </c>
      <c r="G8773" t="inlineStr">
        <is>
          <t>MORA</t>
        </is>
      </c>
      <c r="I8773" t="n">
        <v>1.9</v>
      </c>
      <c r="J8773" t="n">
        <v>0</v>
      </c>
      <c r="K8773" t="n">
        <v>0</v>
      </c>
      <c r="L8773" t="n">
        <v>0</v>
      </c>
      <c r="M8773" t="n">
        <v>0</v>
      </c>
      <c r="N8773" t="n">
        <v>0</v>
      </c>
      <c r="O8773" t="n">
        <v>0</v>
      </c>
      <c r="P8773" t="n">
        <v>0</v>
      </c>
      <c r="Q8773" t="n">
        <v>0</v>
      </c>
      <c r="R8773" t="n">
        <v>0</v>
      </c>
      <c r="S8773" t="n">
        <v>0</v>
      </c>
      <c r="T8773" t="n">
        <v>0</v>
      </c>
      <c r="U8773" t="n">
        <v>0</v>
      </c>
      <c r="V8773" s="2" t="inlineStr"/>
    </row>
    <row r="8774" ht="15" customHeight="1">
      <c r="A8774" t="inlineStr">
        <is>
          <t>A 13983-2024</t>
        </is>
      </c>
      <c r="B8774" t="inlineStr">
        <is>
          <t>avverkningsanmälan</t>
        </is>
      </c>
      <c r="C8774" t="inlineStr">
        <is>
          <t>Avverkning för annat ändamål</t>
        </is>
      </c>
      <c r="D8774" s="1" t="n">
        <v>45392</v>
      </c>
      <c r="E8774" s="1" t="n">
        <v>46319</v>
      </c>
      <c r="F8774" t="inlineStr">
        <is>
          <t>DALARNAS LÄN</t>
        </is>
      </c>
      <c r="G8774" t="inlineStr">
        <is>
          <t>BORLÄNGE</t>
        </is>
      </c>
      <c r="I8774" t="n">
        <v>2</v>
      </c>
      <c r="J8774" t="n">
        <v>0</v>
      </c>
      <c r="K8774" t="n">
        <v>0</v>
      </c>
      <c r="L8774" t="n">
        <v>0</v>
      </c>
      <c r="M8774" t="n">
        <v>0</v>
      </c>
      <c r="N8774" t="n">
        <v>0</v>
      </c>
      <c r="O8774" t="n">
        <v>0</v>
      </c>
      <c r="P8774" t="n">
        <v>0</v>
      </c>
      <c r="Q8774" t="n">
        <v>0</v>
      </c>
      <c r="R8774" t="n">
        <v>0</v>
      </c>
      <c r="S8774" t="n">
        <v>0</v>
      </c>
      <c r="T8774" t="n">
        <v>0</v>
      </c>
      <c r="U8774" t="n">
        <v>0</v>
      </c>
      <c r="V8774" s="2" t="inlineStr"/>
    </row>
    <row r="8775" ht="15" customHeight="1">
      <c r="A8775" t="inlineStr">
        <is>
          <t>A 43694-2024</t>
        </is>
      </c>
      <c r="B8775" t="inlineStr">
        <is>
          <t>avverkningsanmälan</t>
        </is>
      </c>
      <c r="C8775" t="inlineStr">
        <is>
          <t>Föryngringsavverkning</t>
        </is>
      </c>
      <c r="D8775" s="1" t="n">
        <v>45569</v>
      </c>
      <c r="E8775" s="1" t="n">
        <v>46319</v>
      </c>
      <c r="F8775" t="inlineStr">
        <is>
          <t>DALARNAS LÄN</t>
        </is>
      </c>
      <c r="G8775" t="inlineStr">
        <is>
          <t>LUDVIKA</t>
        </is>
      </c>
      <c r="H8775" t="inlineStr">
        <is>
          <t>Bergvik skog väst AB</t>
        </is>
      </c>
      <c r="I8775" t="n">
        <v>0.8</v>
      </c>
      <c r="J8775" t="n">
        <v>0</v>
      </c>
      <c r="K8775" t="n">
        <v>0</v>
      </c>
      <c r="L8775" t="n">
        <v>0</v>
      </c>
      <c r="M8775" t="n">
        <v>0</v>
      </c>
      <c r="N8775" t="n">
        <v>0</v>
      </c>
      <c r="O8775" t="n">
        <v>0</v>
      </c>
      <c r="P8775" t="n">
        <v>0</v>
      </c>
      <c r="Q8775" t="n">
        <v>0</v>
      </c>
      <c r="R8775" t="n">
        <v>0</v>
      </c>
      <c r="S8775" t="n">
        <v>0</v>
      </c>
      <c r="T8775" t="n">
        <v>0</v>
      </c>
      <c r="U8775" t="n">
        <v>0</v>
      </c>
      <c r="V8775" s="2" t="inlineStr"/>
    </row>
    <row r="8776" ht="15" customHeight="1">
      <c r="A8776" t="inlineStr">
        <is>
          <t>A 63079-2021</t>
        </is>
      </c>
      <c r="B8776" t="inlineStr">
        <is>
          <t>avverkningsanmälan</t>
        </is>
      </c>
      <c r="C8776" t="inlineStr">
        <is>
          <t>Föryngringsavverkning</t>
        </is>
      </c>
      <c r="D8776" s="1" t="n">
        <v>44505</v>
      </c>
      <c r="E8776" s="1" t="n">
        <v>46319</v>
      </c>
      <c r="F8776" t="inlineStr">
        <is>
          <t>DALARNAS LÄN</t>
        </is>
      </c>
      <c r="G8776" t="inlineStr">
        <is>
          <t>ÄLVDALEN</t>
        </is>
      </c>
      <c r="H8776" t="inlineStr">
        <is>
          <t>Bergvik skog väst AB</t>
        </is>
      </c>
      <c r="I8776" t="n">
        <v>4</v>
      </c>
      <c r="J8776" t="n">
        <v>0</v>
      </c>
      <c r="K8776" t="n">
        <v>0</v>
      </c>
      <c r="L8776" t="n">
        <v>0</v>
      </c>
      <c r="M8776" t="n">
        <v>0</v>
      </c>
      <c r="N8776" t="n">
        <v>0</v>
      </c>
      <c r="O8776" t="n">
        <v>0</v>
      </c>
      <c r="P8776" t="n">
        <v>0</v>
      </c>
      <c r="Q8776" t="n">
        <v>0</v>
      </c>
      <c r="R8776" t="n">
        <v>0</v>
      </c>
      <c r="S8776" t="n">
        <v>0</v>
      </c>
      <c r="T8776" t="n">
        <v>0</v>
      </c>
      <c r="U8776" t="n">
        <v>0</v>
      </c>
      <c r="V8776" s="2" t="inlineStr"/>
    </row>
    <row r="8777" ht="15" customHeight="1">
      <c r="A8777" t="inlineStr">
        <is>
          <t>A 24732-2023</t>
        </is>
      </c>
      <c r="B8777" t="inlineStr">
        <is>
          <t>avverkningsanmälan</t>
        </is>
      </c>
      <c r="C8777" t="inlineStr">
        <is>
          <t>Föryngringsavverkning</t>
        </is>
      </c>
      <c r="D8777" s="1" t="n">
        <v>45084</v>
      </c>
      <c r="E8777" s="1" t="n">
        <v>46319</v>
      </c>
      <c r="F8777" t="inlineStr">
        <is>
          <t>DALARNAS LÄN</t>
        </is>
      </c>
      <c r="G8777" t="inlineStr">
        <is>
          <t>FALUN</t>
        </is>
      </c>
      <c r="I8777" t="n">
        <v>0.3</v>
      </c>
      <c r="J8777" t="n">
        <v>0</v>
      </c>
      <c r="K8777" t="n">
        <v>0</v>
      </c>
      <c r="L8777" t="n">
        <v>0</v>
      </c>
      <c r="M8777" t="n">
        <v>0</v>
      </c>
      <c r="N8777" t="n">
        <v>0</v>
      </c>
      <c r="O8777" t="n">
        <v>0</v>
      </c>
      <c r="P8777" t="n">
        <v>0</v>
      </c>
      <c r="Q8777" t="n">
        <v>0</v>
      </c>
      <c r="R8777" t="n">
        <v>0</v>
      </c>
      <c r="S8777" t="n">
        <v>0</v>
      </c>
      <c r="T8777" t="n">
        <v>0</v>
      </c>
      <c r="U8777" t="n">
        <v>0</v>
      </c>
      <c r="V8777" s="2" t="inlineStr"/>
    </row>
    <row r="8778" ht="15" customHeight="1">
      <c r="A8778" t="inlineStr">
        <is>
          <t>A 31389-2024</t>
        </is>
      </c>
      <c r="B8778" t="inlineStr">
        <is>
          <t>avverkningsanmälan</t>
        </is>
      </c>
      <c r="C8778" t="inlineStr">
        <is>
          <t>Föryngringsavverkning</t>
        </is>
      </c>
      <c r="D8778" s="1" t="n">
        <v>45505</v>
      </c>
      <c r="E8778" s="1" t="n">
        <v>46319</v>
      </c>
      <c r="F8778" t="inlineStr">
        <is>
          <t>DALARNAS LÄN</t>
        </is>
      </c>
      <c r="G8778" t="inlineStr">
        <is>
          <t>AVESTA</t>
        </is>
      </c>
      <c r="I8778" t="n">
        <v>4</v>
      </c>
      <c r="J8778" t="n">
        <v>0</v>
      </c>
      <c r="K8778" t="n">
        <v>0</v>
      </c>
      <c r="L8778" t="n">
        <v>0</v>
      </c>
      <c r="M8778" t="n">
        <v>0</v>
      </c>
      <c r="N8778" t="n">
        <v>0</v>
      </c>
      <c r="O8778" t="n">
        <v>0</v>
      </c>
      <c r="P8778" t="n">
        <v>0</v>
      </c>
      <c r="Q8778" t="n">
        <v>0</v>
      </c>
      <c r="R8778" t="n">
        <v>0</v>
      </c>
      <c r="S8778" t="n">
        <v>0</v>
      </c>
      <c r="T8778" t="n">
        <v>0</v>
      </c>
      <c r="U8778" t="n">
        <v>0</v>
      </c>
      <c r="V8778" s="2" t="inlineStr"/>
    </row>
    <row r="8779" ht="15" customHeight="1">
      <c r="A8779" t="inlineStr">
        <is>
          <t>A 31395-2024</t>
        </is>
      </c>
      <c r="B8779" t="inlineStr">
        <is>
          <t>avverkningsanmälan</t>
        </is>
      </c>
      <c r="C8779" t="inlineStr">
        <is>
          <t>Föryngringsavverkning</t>
        </is>
      </c>
      <c r="D8779" s="1" t="n">
        <v>45505</v>
      </c>
      <c r="E8779" s="1" t="n">
        <v>46319</v>
      </c>
      <c r="F8779" t="inlineStr">
        <is>
          <t>DALARNAS LÄN</t>
        </is>
      </c>
      <c r="G8779" t="inlineStr">
        <is>
          <t>MORA</t>
        </is>
      </c>
      <c r="H8779" t="inlineStr">
        <is>
          <t>Bergvik skog öst AB</t>
        </is>
      </c>
      <c r="I8779" t="n">
        <v>1.1</v>
      </c>
      <c r="J8779" t="n">
        <v>0</v>
      </c>
      <c r="K8779" t="n">
        <v>0</v>
      </c>
      <c r="L8779" t="n">
        <v>0</v>
      </c>
      <c r="M8779" t="n">
        <v>0</v>
      </c>
      <c r="N8779" t="n">
        <v>0</v>
      </c>
      <c r="O8779" t="n">
        <v>0</v>
      </c>
      <c r="P8779" t="n">
        <v>0</v>
      </c>
      <c r="Q8779" t="n">
        <v>0</v>
      </c>
      <c r="R8779" t="n">
        <v>0</v>
      </c>
      <c r="S8779" t="n">
        <v>0</v>
      </c>
      <c r="T8779" t="n">
        <v>0</v>
      </c>
      <c r="U8779" t="n">
        <v>0</v>
      </c>
      <c r="V8779" s="2" t="inlineStr"/>
    </row>
    <row r="8780" ht="15" customHeight="1">
      <c r="A8780" t="inlineStr">
        <is>
          <t>A 74324-2021</t>
        </is>
      </c>
      <c r="B8780" t="inlineStr">
        <is>
          <t>avverkningsanmälan</t>
        </is>
      </c>
      <c r="C8780" t="inlineStr">
        <is>
          <t>Föryngringsavverkning</t>
        </is>
      </c>
      <c r="D8780" s="1" t="n">
        <v>44558</v>
      </c>
      <c r="E8780" s="1" t="n">
        <v>46319</v>
      </c>
      <c r="F8780" t="inlineStr">
        <is>
          <t>DALARNAS LÄN</t>
        </is>
      </c>
      <c r="G8780" t="inlineStr">
        <is>
          <t>ÄLVDALEN</t>
        </is>
      </c>
      <c r="I8780" t="n">
        <v>1.2</v>
      </c>
      <c r="J8780" t="n">
        <v>0</v>
      </c>
      <c r="K8780" t="n">
        <v>0</v>
      </c>
      <c r="L8780" t="n">
        <v>0</v>
      </c>
      <c r="M8780" t="n">
        <v>0</v>
      </c>
      <c r="N8780" t="n">
        <v>0</v>
      </c>
      <c r="O8780" t="n">
        <v>0</v>
      </c>
      <c r="P8780" t="n">
        <v>0</v>
      </c>
      <c r="Q8780" t="n">
        <v>0</v>
      </c>
      <c r="R8780" t="n">
        <v>0</v>
      </c>
      <c r="S8780" t="n">
        <v>0</v>
      </c>
      <c r="T8780" t="n">
        <v>0</v>
      </c>
      <c r="U8780" t="n">
        <v>0</v>
      </c>
      <c r="V8780" s="2" t="inlineStr"/>
    </row>
    <row r="8781" ht="15" customHeight="1">
      <c r="A8781" t="inlineStr">
        <is>
          <t>A 11678-2023</t>
        </is>
      </c>
      <c r="B8781" t="inlineStr">
        <is>
          <t>avverkningsanmälan</t>
        </is>
      </c>
      <c r="C8781" t="inlineStr">
        <is>
          <t>Avverkning för annat ändamål</t>
        </is>
      </c>
      <c r="D8781" s="1" t="n">
        <v>44994</v>
      </c>
      <c r="E8781" s="1" t="n">
        <v>46319</v>
      </c>
      <c r="F8781" t="inlineStr">
        <is>
          <t>DALARNAS LÄN</t>
        </is>
      </c>
      <c r="G8781" t="inlineStr">
        <is>
          <t>LEKSAND</t>
        </is>
      </c>
      <c r="I8781" t="n">
        <v>0.9</v>
      </c>
      <c r="J8781" t="n">
        <v>0</v>
      </c>
      <c r="K8781" t="n">
        <v>0</v>
      </c>
      <c r="L8781" t="n">
        <v>0</v>
      </c>
      <c r="M8781" t="n">
        <v>0</v>
      </c>
      <c r="N8781" t="n">
        <v>0</v>
      </c>
      <c r="O8781" t="n">
        <v>0</v>
      </c>
      <c r="P8781" t="n">
        <v>0</v>
      </c>
      <c r="Q8781" t="n">
        <v>0</v>
      </c>
      <c r="R8781" t="n">
        <v>0</v>
      </c>
      <c r="S8781" t="n">
        <v>0</v>
      </c>
      <c r="T8781" t="n">
        <v>0</v>
      </c>
      <c r="U8781" t="n">
        <v>0</v>
      </c>
      <c r="V8781" s="2" t="inlineStr"/>
    </row>
    <row r="8782" ht="15" customHeight="1">
      <c r="A8782" t="inlineStr">
        <is>
          <t>A 4375-2024</t>
        </is>
      </c>
      <c r="B8782" t="inlineStr">
        <is>
          <t>avverkningsanmälan</t>
        </is>
      </c>
      <c r="C8782" t="inlineStr">
        <is>
          <t>Föryngringsavverkning</t>
        </is>
      </c>
      <c r="D8782" s="1" t="n">
        <v>45326</v>
      </c>
      <c r="E8782" s="1" t="n">
        <v>46319</v>
      </c>
      <c r="F8782" t="inlineStr">
        <is>
          <t>DALARNAS LÄN</t>
        </is>
      </c>
      <c r="G8782" t="inlineStr">
        <is>
          <t>GAGNEF</t>
        </is>
      </c>
      <c r="I8782" t="n">
        <v>9.300000000000001</v>
      </c>
      <c r="J8782" t="n">
        <v>0</v>
      </c>
      <c r="K8782" t="n">
        <v>0</v>
      </c>
      <c r="L8782" t="n">
        <v>0</v>
      </c>
      <c r="M8782" t="n">
        <v>0</v>
      </c>
      <c r="N8782" t="n">
        <v>0</v>
      </c>
      <c r="O8782" t="n">
        <v>0</v>
      </c>
      <c r="P8782" t="n">
        <v>0</v>
      </c>
      <c r="Q8782" t="n">
        <v>0</v>
      </c>
      <c r="R8782" t="n">
        <v>0</v>
      </c>
      <c r="S8782" t="n">
        <v>0</v>
      </c>
      <c r="T8782" t="n">
        <v>0</v>
      </c>
      <c r="U8782" t="n">
        <v>0</v>
      </c>
      <c r="V8782" s="2" t="inlineStr"/>
    </row>
    <row r="8783" ht="15" customHeight="1">
      <c r="A8783" t="inlineStr">
        <is>
          <t>A 41611-2024</t>
        </is>
      </c>
      <c r="B8783" t="inlineStr">
        <is>
          <t>avverkningsanmälan</t>
        </is>
      </c>
      <c r="C8783" t="inlineStr">
        <is>
          <t>Föryngringsavverkning</t>
        </is>
      </c>
      <c r="D8783" s="1" t="n">
        <v>45560</v>
      </c>
      <c r="E8783" s="1" t="n">
        <v>46319</v>
      </c>
      <c r="F8783" t="inlineStr">
        <is>
          <t>DALARNAS LÄN</t>
        </is>
      </c>
      <c r="G8783" t="inlineStr">
        <is>
          <t>FALUN</t>
        </is>
      </c>
      <c r="I8783" t="n">
        <v>1.9</v>
      </c>
      <c r="J8783" t="n">
        <v>0</v>
      </c>
      <c r="K8783" t="n">
        <v>0</v>
      </c>
      <c r="L8783" t="n">
        <v>0</v>
      </c>
      <c r="M8783" t="n">
        <v>0</v>
      </c>
      <c r="N8783" t="n">
        <v>0</v>
      </c>
      <c r="O8783" t="n">
        <v>0</v>
      </c>
      <c r="P8783" t="n">
        <v>0</v>
      </c>
      <c r="Q8783" t="n">
        <v>0</v>
      </c>
      <c r="R8783" t="n">
        <v>0</v>
      </c>
      <c r="S8783" t="n">
        <v>0</v>
      </c>
      <c r="T8783" t="n">
        <v>0</v>
      </c>
      <c r="U8783" t="n">
        <v>0</v>
      </c>
      <c r="V8783" s="2" t="inlineStr"/>
    </row>
    <row r="8784" ht="15" customHeight="1">
      <c r="A8784" t="inlineStr">
        <is>
          <t>A 13288-2023</t>
        </is>
      </c>
      <c r="B8784" t="inlineStr">
        <is>
          <t>avverkningsanmälan</t>
        </is>
      </c>
      <c r="C8784" t="inlineStr">
        <is>
          <t>Föryngringsavverkning</t>
        </is>
      </c>
      <c r="D8784" s="1" t="n">
        <v>45004</v>
      </c>
      <c r="E8784" s="1" t="n">
        <v>46319</v>
      </c>
      <c r="F8784" t="inlineStr">
        <is>
          <t>DALARNAS LÄN</t>
        </is>
      </c>
      <c r="G8784" t="inlineStr">
        <is>
          <t>LEKSAND</t>
        </is>
      </c>
      <c r="I8784" t="n">
        <v>1.3</v>
      </c>
      <c r="J8784" t="n">
        <v>0</v>
      </c>
      <c r="K8784" t="n">
        <v>0</v>
      </c>
      <c r="L8784" t="n">
        <v>0</v>
      </c>
      <c r="M8784" t="n">
        <v>0</v>
      </c>
      <c r="N8784" t="n">
        <v>0</v>
      </c>
      <c r="O8784" t="n">
        <v>0</v>
      </c>
      <c r="P8784" t="n">
        <v>0</v>
      </c>
      <c r="Q8784" t="n">
        <v>0</v>
      </c>
      <c r="R8784" t="n">
        <v>0</v>
      </c>
      <c r="S8784" t="n">
        <v>0</v>
      </c>
      <c r="T8784" t="n">
        <v>0</v>
      </c>
      <c r="U8784" t="n">
        <v>0</v>
      </c>
      <c r="V8784" s="2" t="inlineStr"/>
    </row>
    <row r="8785" ht="15" customHeight="1">
      <c r="A8785" t="inlineStr">
        <is>
          <t>A 13062-2023</t>
        </is>
      </c>
      <c r="B8785" t="inlineStr">
        <is>
          <t>avverkningsanmälan</t>
        </is>
      </c>
      <c r="C8785" t="inlineStr">
        <is>
          <t>Avverkning för att bevara och utveckla /försöksver</t>
        </is>
      </c>
      <c r="D8785" s="1" t="n">
        <v>45002</v>
      </c>
      <c r="E8785" s="1" t="n">
        <v>46319</v>
      </c>
      <c r="F8785" t="inlineStr">
        <is>
          <t>DALARNAS LÄN</t>
        </is>
      </c>
      <c r="G8785" t="inlineStr">
        <is>
          <t>VANSBRO</t>
        </is>
      </c>
      <c r="H8785" t="inlineStr">
        <is>
          <t>Övriga statliga verk och myndigheter</t>
        </is>
      </c>
      <c r="I8785" t="n">
        <v>6.1</v>
      </c>
      <c r="J8785" t="n">
        <v>0</v>
      </c>
      <c r="K8785" t="n">
        <v>0</v>
      </c>
      <c r="L8785" t="n">
        <v>0</v>
      </c>
      <c r="M8785" t="n">
        <v>0</v>
      </c>
      <c r="N8785" t="n">
        <v>0</v>
      </c>
      <c r="O8785" t="n">
        <v>0</v>
      </c>
      <c r="P8785" t="n">
        <v>0</v>
      </c>
      <c r="Q8785" t="n">
        <v>0</v>
      </c>
      <c r="R8785" t="n">
        <v>0</v>
      </c>
      <c r="S8785" t="n">
        <v>0</v>
      </c>
      <c r="T8785" t="n">
        <v>0</v>
      </c>
      <c r="U8785" t="n">
        <v>0</v>
      </c>
      <c r="V8785" s="2" t="inlineStr"/>
    </row>
    <row r="8786" ht="15" customHeight="1">
      <c r="A8786" t="inlineStr">
        <is>
          <t>A 55965-2022</t>
        </is>
      </c>
      <c r="B8786" t="inlineStr">
        <is>
          <t>avverkningsanmälan</t>
        </is>
      </c>
      <c r="C8786" t="inlineStr">
        <is>
          <t>Föryngringsavverkning</t>
        </is>
      </c>
      <c r="D8786" s="1" t="n">
        <v>44889</v>
      </c>
      <c r="E8786" s="1" t="n">
        <v>46319</v>
      </c>
      <c r="F8786" t="inlineStr">
        <is>
          <t>DALARNAS LÄN</t>
        </is>
      </c>
      <c r="G8786" t="inlineStr">
        <is>
          <t>RÄTTVIK</t>
        </is>
      </c>
      <c r="I8786" t="n">
        <v>0.5</v>
      </c>
      <c r="J8786" t="n">
        <v>0</v>
      </c>
      <c r="K8786" t="n">
        <v>0</v>
      </c>
      <c r="L8786" t="n">
        <v>0</v>
      </c>
      <c r="M8786" t="n">
        <v>0</v>
      </c>
      <c r="N8786" t="n">
        <v>0</v>
      </c>
      <c r="O8786" t="n">
        <v>0</v>
      </c>
      <c r="P8786" t="n">
        <v>0</v>
      </c>
      <c r="Q8786" t="n">
        <v>0</v>
      </c>
      <c r="R8786" t="n">
        <v>0</v>
      </c>
      <c r="S8786" t="n">
        <v>0</v>
      </c>
      <c r="T8786" t="n">
        <v>0</v>
      </c>
      <c r="U8786" t="n">
        <v>0</v>
      </c>
      <c r="V8786" s="2" t="inlineStr"/>
    </row>
    <row r="8787" ht="15" customHeight="1">
      <c r="A8787" t="inlineStr">
        <is>
          <t>A 11869-2024</t>
        </is>
      </c>
      <c r="B8787" t="inlineStr">
        <is>
          <t>avverkningsanmälan</t>
        </is>
      </c>
      <c r="C8787" t="inlineStr">
        <is>
          <t>Föryngringsavverkning</t>
        </is>
      </c>
      <c r="D8787" s="1" t="n">
        <v>45376</v>
      </c>
      <c r="E8787" s="1" t="n">
        <v>46319</v>
      </c>
      <c r="F8787" t="inlineStr">
        <is>
          <t>DALARNAS LÄN</t>
        </is>
      </c>
      <c r="G8787" t="inlineStr">
        <is>
          <t>LEKSAND</t>
        </is>
      </c>
      <c r="I8787" t="n">
        <v>0.5</v>
      </c>
      <c r="J8787" t="n">
        <v>0</v>
      </c>
      <c r="K8787" t="n">
        <v>0</v>
      </c>
      <c r="L8787" t="n">
        <v>0</v>
      </c>
      <c r="M8787" t="n">
        <v>0</v>
      </c>
      <c r="N8787" t="n">
        <v>0</v>
      </c>
      <c r="O8787" t="n">
        <v>0</v>
      </c>
      <c r="P8787" t="n">
        <v>0</v>
      </c>
      <c r="Q8787" t="n">
        <v>0</v>
      </c>
      <c r="R8787" t="n">
        <v>0</v>
      </c>
      <c r="S8787" t="n">
        <v>0</v>
      </c>
      <c r="T8787" t="n">
        <v>0</v>
      </c>
      <c r="U8787" t="n">
        <v>0</v>
      </c>
      <c r="V8787" s="2" t="inlineStr"/>
    </row>
    <row r="8788" ht="15" customHeight="1">
      <c r="A8788" t="inlineStr">
        <is>
          <t>A 19469-2024</t>
        </is>
      </c>
      <c r="B8788" t="inlineStr">
        <is>
          <t>avverkningsanmälan</t>
        </is>
      </c>
      <c r="C8788" t="inlineStr">
        <is>
          <t>Föryngringsavverkning</t>
        </is>
      </c>
      <c r="D8788" s="1" t="n">
        <v>45429</v>
      </c>
      <c r="E8788" s="1" t="n">
        <v>46319</v>
      </c>
      <c r="F8788" t="inlineStr">
        <is>
          <t>DALARNAS LÄN</t>
        </is>
      </c>
      <c r="G8788" t="inlineStr">
        <is>
          <t>SMEDJEBACKEN</t>
        </is>
      </c>
      <c r="H8788" t="inlineStr">
        <is>
          <t>Sveaskog</t>
        </is>
      </c>
      <c r="I8788" t="n">
        <v>2.4</v>
      </c>
      <c r="J8788" t="n">
        <v>0</v>
      </c>
      <c r="K8788" t="n">
        <v>0</v>
      </c>
      <c r="L8788" t="n">
        <v>0</v>
      </c>
      <c r="M8788" t="n">
        <v>0</v>
      </c>
      <c r="N8788" t="n">
        <v>0</v>
      </c>
      <c r="O8788" t="n">
        <v>0</v>
      </c>
      <c r="P8788" t="n">
        <v>0</v>
      </c>
      <c r="Q8788" t="n">
        <v>0</v>
      </c>
      <c r="R8788" t="n">
        <v>0</v>
      </c>
      <c r="S8788" t="n">
        <v>0</v>
      </c>
      <c r="T8788" t="n">
        <v>0</v>
      </c>
      <c r="U8788" t="n">
        <v>0</v>
      </c>
      <c r="V8788" s="2" t="inlineStr"/>
    </row>
    <row r="8789" ht="15" customHeight="1">
      <c r="A8789" t="inlineStr">
        <is>
          <t>A 62622-2022</t>
        </is>
      </c>
      <c r="B8789" t="inlineStr">
        <is>
          <t>avverkningsanmälan</t>
        </is>
      </c>
      <c r="C8789" t="inlineStr">
        <is>
          <t>Föryngringsavverkning</t>
        </is>
      </c>
      <c r="D8789" s="1" t="n">
        <v>44925</v>
      </c>
      <c r="E8789" s="1" t="n">
        <v>46319</v>
      </c>
      <c r="F8789" t="inlineStr">
        <is>
          <t>DALARNAS LÄN</t>
        </is>
      </c>
      <c r="G8789" t="inlineStr">
        <is>
          <t>VANSBRO</t>
        </is>
      </c>
      <c r="H8789" t="inlineStr">
        <is>
          <t>Bergvik skog väst AB</t>
        </is>
      </c>
      <c r="I8789" t="n">
        <v>1.3</v>
      </c>
      <c r="J8789" t="n">
        <v>0</v>
      </c>
      <c r="K8789" t="n">
        <v>0</v>
      </c>
      <c r="L8789" t="n">
        <v>0</v>
      </c>
      <c r="M8789" t="n">
        <v>0</v>
      </c>
      <c r="N8789" t="n">
        <v>0</v>
      </c>
      <c r="O8789" t="n">
        <v>0</v>
      </c>
      <c r="P8789" t="n">
        <v>0</v>
      </c>
      <c r="Q8789" t="n">
        <v>0</v>
      </c>
      <c r="R8789" t="n">
        <v>0</v>
      </c>
      <c r="S8789" t="n">
        <v>0</v>
      </c>
      <c r="T8789" t="n">
        <v>0</v>
      </c>
      <c r="U8789" t="n">
        <v>0</v>
      </c>
      <c r="V8789" s="2" t="inlineStr"/>
    </row>
    <row r="8790" ht="15" customHeight="1">
      <c r="A8790" t="inlineStr">
        <is>
          <t>A 37838-2024</t>
        </is>
      </c>
      <c r="B8790" t="inlineStr">
        <is>
          <t>avverkningsanmälan</t>
        </is>
      </c>
      <c r="C8790" t="inlineStr">
        <is>
          <t>Föryngringsavverkning</t>
        </is>
      </c>
      <c r="D8790" s="1" t="n">
        <v>45544</v>
      </c>
      <c r="E8790" s="1" t="n">
        <v>46319</v>
      </c>
      <c r="F8790" t="inlineStr">
        <is>
          <t>DALARNAS LÄN</t>
        </is>
      </c>
      <c r="G8790" t="inlineStr">
        <is>
          <t>ORSA</t>
        </is>
      </c>
      <c r="I8790" t="n">
        <v>2.9</v>
      </c>
      <c r="J8790" t="n">
        <v>0</v>
      </c>
      <c r="K8790" t="n">
        <v>0</v>
      </c>
      <c r="L8790" t="n">
        <v>0</v>
      </c>
      <c r="M8790" t="n">
        <v>0</v>
      </c>
      <c r="N8790" t="n">
        <v>0</v>
      </c>
      <c r="O8790" t="n">
        <v>0</v>
      </c>
      <c r="P8790" t="n">
        <v>0</v>
      </c>
      <c r="Q8790" t="n">
        <v>0</v>
      </c>
      <c r="R8790" t="n">
        <v>0</v>
      </c>
      <c r="S8790" t="n">
        <v>0</v>
      </c>
      <c r="T8790" t="n">
        <v>0</v>
      </c>
      <c r="U8790" t="n">
        <v>0</v>
      </c>
      <c r="V8790" s="2" t="inlineStr"/>
    </row>
    <row r="8791" ht="15" customHeight="1">
      <c r="A8791" t="inlineStr">
        <is>
          <t>A 28248-2024</t>
        </is>
      </c>
      <c r="B8791" t="inlineStr">
        <is>
          <t>avverkningsanmälan</t>
        </is>
      </c>
      <c r="C8791" t="inlineStr">
        <is>
          <t>Föryngringsavverkning</t>
        </is>
      </c>
      <c r="D8791" s="1" t="n">
        <v>45477</v>
      </c>
      <c r="E8791" s="1" t="n">
        <v>46319</v>
      </c>
      <c r="F8791" t="inlineStr">
        <is>
          <t>DALARNAS LÄN</t>
        </is>
      </c>
      <c r="G8791" t="inlineStr">
        <is>
          <t>SMEDJEBACKEN</t>
        </is>
      </c>
      <c r="H8791" t="inlineStr">
        <is>
          <t>Sveaskog</t>
        </is>
      </c>
      <c r="I8791" t="n">
        <v>1.6</v>
      </c>
      <c r="J8791" t="n">
        <v>0</v>
      </c>
      <c r="K8791" t="n">
        <v>0</v>
      </c>
      <c r="L8791" t="n">
        <v>0</v>
      </c>
      <c r="M8791" t="n">
        <v>0</v>
      </c>
      <c r="N8791" t="n">
        <v>0</v>
      </c>
      <c r="O8791" t="n">
        <v>0</v>
      </c>
      <c r="P8791" t="n">
        <v>0</v>
      </c>
      <c r="Q8791" t="n">
        <v>0</v>
      </c>
      <c r="R8791" t="n">
        <v>0</v>
      </c>
      <c r="S8791" t="n">
        <v>0</v>
      </c>
      <c r="T8791" t="n">
        <v>0</v>
      </c>
      <c r="U8791" t="n">
        <v>0</v>
      </c>
      <c r="V8791" s="2" t="inlineStr"/>
    </row>
    <row r="8792" ht="15" customHeight="1">
      <c r="A8792" t="inlineStr">
        <is>
          <t>A 22596-2024</t>
        </is>
      </c>
      <c r="B8792" t="inlineStr">
        <is>
          <t>avverkningsanmälan</t>
        </is>
      </c>
      <c r="C8792" t="inlineStr">
        <is>
          <t>Föryngringsavverkning</t>
        </is>
      </c>
      <c r="D8792" s="1" t="n">
        <v>45447</v>
      </c>
      <c r="E8792" s="1" t="n">
        <v>46319</v>
      </c>
      <c r="F8792" t="inlineStr">
        <is>
          <t>DALARNAS LÄN</t>
        </is>
      </c>
      <c r="G8792" t="inlineStr">
        <is>
          <t>GAGNEF</t>
        </is>
      </c>
      <c r="I8792" t="n">
        <v>1.7</v>
      </c>
      <c r="J8792" t="n">
        <v>0</v>
      </c>
      <c r="K8792" t="n">
        <v>0</v>
      </c>
      <c r="L8792" t="n">
        <v>0</v>
      </c>
      <c r="M8792" t="n">
        <v>0</v>
      </c>
      <c r="N8792" t="n">
        <v>0</v>
      </c>
      <c r="O8792" t="n">
        <v>0</v>
      </c>
      <c r="P8792" t="n">
        <v>0</v>
      </c>
      <c r="Q8792" t="n">
        <v>0</v>
      </c>
      <c r="R8792" t="n">
        <v>0</v>
      </c>
      <c r="S8792" t="n">
        <v>0</v>
      </c>
      <c r="T8792" t="n">
        <v>0</v>
      </c>
      <c r="U8792" t="n">
        <v>0</v>
      </c>
      <c r="V8792" s="2" t="inlineStr"/>
    </row>
    <row r="8793" ht="15" customHeight="1">
      <c r="A8793" t="inlineStr">
        <is>
          <t>A 50778-2024</t>
        </is>
      </c>
      <c r="B8793" t="inlineStr">
        <is>
          <t>avverkningsanmälan</t>
        </is>
      </c>
      <c r="C8793" t="inlineStr">
        <is>
          <t>Föryngringsavverkning</t>
        </is>
      </c>
      <c r="D8793" s="1" t="n">
        <v>45601</v>
      </c>
      <c r="E8793" s="1" t="n">
        <v>46319</v>
      </c>
      <c r="F8793" t="inlineStr">
        <is>
          <t>DALARNAS LÄN</t>
        </is>
      </c>
      <c r="G8793" t="inlineStr">
        <is>
          <t>SMEDJEBACKEN</t>
        </is>
      </c>
      <c r="H8793" t="inlineStr">
        <is>
          <t>Bergvik skog väst AB</t>
        </is>
      </c>
      <c r="I8793" t="n">
        <v>14.8</v>
      </c>
      <c r="J8793" t="n">
        <v>0</v>
      </c>
      <c r="K8793" t="n">
        <v>0</v>
      </c>
      <c r="L8793" t="n">
        <v>0</v>
      </c>
      <c r="M8793" t="n">
        <v>0</v>
      </c>
      <c r="N8793" t="n">
        <v>0</v>
      </c>
      <c r="O8793" t="n">
        <v>0</v>
      </c>
      <c r="P8793" t="n">
        <v>0</v>
      </c>
      <c r="Q8793" t="n">
        <v>0</v>
      </c>
      <c r="R8793" t="n">
        <v>0</v>
      </c>
      <c r="S8793" t="n">
        <v>0</v>
      </c>
      <c r="T8793" t="n">
        <v>0</v>
      </c>
      <c r="U8793" t="n">
        <v>0</v>
      </c>
      <c r="V8793" s="2" t="inlineStr"/>
    </row>
    <row r="8794" ht="15" customHeight="1">
      <c r="A8794" t="inlineStr">
        <is>
          <t>A 27520-2023</t>
        </is>
      </c>
      <c r="B8794" t="inlineStr">
        <is>
          <t>avverkningsanmälan</t>
        </is>
      </c>
      <c r="C8794" t="inlineStr">
        <is>
          <t>Föryngringsavverkning</t>
        </is>
      </c>
      <c r="D8794" s="1" t="n">
        <v>45097</v>
      </c>
      <c r="E8794" s="1" t="n">
        <v>46319</v>
      </c>
      <c r="F8794" t="inlineStr">
        <is>
          <t>DALARNAS LÄN</t>
        </is>
      </c>
      <c r="G8794" t="inlineStr">
        <is>
          <t>LEKSAND</t>
        </is>
      </c>
      <c r="I8794" t="n">
        <v>0.7</v>
      </c>
      <c r="J8794" t="n">
        <v>0</v>
      </c>
      <c r="K8794" t="n">
        <v>0</v>
      </c>
      <c r="L8794" t="n">
        <v>0</v>
      </c>
      <c r="M8794" t="n">
        <v>0</v>
      </c>
      <c r="N8794" t="n">
        <v>0</v>
      </c>
      <c r="O8794" t="n">
        <v>0</v>
      </c>
      <c r="P8794" t="n">
        <v>0</v>
      </c>
      <c r="Q8794" t="n">
        <v>0</v>
      </c>
      <c r="R8794" t="n">
        <v>0</v>
      </c>
      <c r="S8794" t="n">
        <v>0</v>
      </c>
      <c r="T8794" t="n">
        <v>0</v>
      </c>
      <c r="U8794" t="n">
        <v>0</v>
      </c>
      <c r="V8794" s="2" t="inlineStr"/>
    </row>
    <row r="8795" ht="15" customHeight="1">
      <c r="A8795" t="inlineStr">
        <is>
          <t>A 29420-2023</t>
        </is>
      </c>
      <c r="B8795" t="inlineStr">
        <is>
          <t>avverkningsanmälan</t>
        </is>
      </c>
      <c r="C8795" t="inlineStr">
        <is>
          <t>Föryngringsavverkning</t>
        </is>
      </c>
      <c r="D8795" s="1" t="n">
        <v>45106</v>
      </c>
      <c r="E8795" s="1" t="n">
        <v>46319</v>
      </c>
      <c r="F8795" t="inlineStr">
        <is>
          <t>DALARNAS LÄN</t>
        </is>
      </c>
      <c r="G8795" t="inlineStr">
        <is>
          <t>SMEDJEBACKEN</t>
        </is>
      </c>
      <c r="I8795" t="n">
        <v>1.6</v>
      </c>
      <c r="J8795" t="n">
        <v>0</v>
      </c>
      <c r="K8795" t="n">
        <v>0</v>
      </c>
      <c r="L8795" t="n">
        <v>0</v>
      </c>
      <c r="M8795" t="n">
        <v>0</v>
      </c>
      <c r="N8795" t="n">
        <v>0</v>
      </c>
      <c r="O8795" t="n">
        <v>0</v>
      </c>
      <c r="P8795" t="n">
        <v>0</v>
      </c>
      <c r="Q8795" t="n">
        <v>0</v>
      </c>
      <c r="R8795" t="n">
        <v>0</v>
      </c>
      <c r="S8795" t="n">
        <v>0</v>
      </c>
      <c r="T8795" t="n">
        <v>0</v>
      </c>
      <c r="U8795" t="n">
        <v>0</v>
      </c>
      <c r="V8795" s="2" t="inlineStr"/>
    </row>
    <row r="8796" ht="15" customHeight="1">
      <c r="A8796" t="inlineStr">
        <is>
          <t>A 30169-2023</t>
        </is>
      </c>
      <c r="B8796" t="inlineStr">
        <is>
          <t>avverkningsanmälan</t>
        </is>
      </c>
      <c r="C8796" t="inlineStr">
        <is>
          <t>Föryngringsavverkning</t>
        </is>
      </c>
      <c r="D8796" s="1" t="n">
        <v>45110</v>
      </c>
      <c r="E8796" s="1" t="n">
        <v>46319</v>
      </c>
      <c r="F8796" t="inlineStr">
        <is>
          <t>DALARNAS LÄN</t>
        </is>
      </c>
      <c r="G8796" t="inlineStr">
        <is>
          <t>LEKSAND</t>
        </is>
      </c>
      <c r="I8796" t="n">
        <v>1.1</v>
      </c>
      <c r="J8796" t="n">
        <v>0</v>
      </c>
      <c r="K8796" t="n">
        <v>0</v>
      </c>
      <c r="L8796" t="n">
        <v>0</v>
      </c>
      <c r="M8796" t="n">
        <v>0</v>
      </c>
      <c r="N8796" t="n">
        <v>0</v>
      </c>
      <c r="O8796" t="n">
        <v>0</v>
      </c>
      <c r="P8796" t="n">
        <v>0</v>
      </c>
      <c r="Q8796" t="n">
        <v>0</v>
      </c>
      <c r="R8796" t="n">
        <v>0</v>
      </c>
      <c r="S8796" t="n">
        <v>0</v>
      </c>
      <c r="T8796" t="n">
        <v>0</v>
      </c>
      <c r="U8796" t="n">
        <v>0</v>
      </c>
      <c r="V8796" s="2" t="inlineStr"/>
    </row>
    <row r="8797" ht="15" customHeight="1">
      <c r="A8797" t="inlineStr">
        <is>
          <t>A 50366-2023</t>
        </is>
      </c>
      <c r="B8797" t="inlineStr">
        <is>
          <t>avverkningsanmälan</t>
        </is>
      </c>
      <c r="C8797" t="inlineStr">
        <is>
          <t>Föryngringsavverkning</t>
        </is>
      </c>
      <c r="D8797" s="1" t="n">
        <v>45216</v>
      </c>
      <c r="E8797" s="1" t="n">
        <v>46319</v>
      </c>
      <c r="F8797" t="inlineStr">
        <is>
          <t>DALARNAS LÄN</t>
        </is>
      </c>
      <c r="G8797" t="inlineStr">
        <is>
          <t>SÄTER</t>
        </is>
      </c>
      <c r="I8797" t="n">
        <v>0.7</v>
      </c>
      <c r="J8797" t="n">
        <v>0</v>
      </c>
      <c r="K8797" t="n">
        <v>0</v>
      </c>
      <c r="L8797" t="n">
        <v>0</v>
      </c>
      <c r="M8797" t="n">
        <v>0</v>
      </c>
      <c r="N8797" t="n">
        <v>0</v>
      </c>
      <c r="O8797" t="n">
        <v>0</v>
      </c>
      <c r="P8797" t="n">
        <v>0</v>
      </c>
      <c r="Q8797" t="n">
        <v>0</v>
      </c>
      <c r="R8797" t="n">
        <v>0</v>
      </c>
      <c r="S8797" t="n">
        <v>0</v>
      </c>
      <c r="T8797" t="n">
        <v>0</v>
      </c>
      <c r="U8797" t="n">
        <v>0</v>
      </c>
      <c r="V8797" s="2" t="inlineStr"/>
    </row>
    <row r="8798" ht="15" customHeight="1">
      <c r="A8798" t="inlineStr">
        <is>
          <t>A 37952-2024</t>
        </is>
      </c>
      <c r="B8798" t="inlineStr">
        <is>
          <t>avverkningsanmälan</t>
        </is>
      </c>
      <c r="C8798" t="inlineStr">
        <is>
          <t>Föryngringsavverkning</t>
        </is>
      </c>
      <c r="D8798" s="1" t="n">
        <v>45544</v>
      </c>
      <c r="E8798" s="1" t="n">
        <v>46319</v>
      </c>
      <c r="F8798" t="inlineStr">
        <is>
          <t>DALARNAS LÄN</t>
        </is>
      </c>
      <c r="G8798" t="inlineStr">
        <is>
          <t>LEKSAND</t>
        </is>
      </c>
      <c r="I8798" t="n">
        <v>1</v>
      </c>
      <c r="J8798" t="n">
        <v>0</v>
      </c>
      <c r="K8798" t="n">
        <v>0</v>
      </c>
      <c r="L8798" t="n">
        <v>0</v>
      </c>
      <c r="M8798" t="n">
        <v>0</v>
      </c>
      <c r="N8798" t="n">
        <v>0</v>
      </c>
      <c r="O8798" t="n">
        <v>0</v>
      </c>
      <c r="P8798" t="n">
        <v>0</v>
      </c>
      <c r="Q8798" t="n">
        <v>0</v>
      </c>
      <c r="R8798" t="n">
        <v>0</v>
      </c>
      <c r="S8798" t="n">
        <v>0</v>
      </c>
      <c r="T8798" t="n">
        <v>0</v>
      </c>
      <c r="U8798" t="n">
        <v>0</v>
      </c>
      <c r="V8798" s="2" t="inlineStr"/>
    </row>
    <row r="8799" ht="15" customHeight="1">
      <c r="A8799" t="inlineStr">
        <is>
          <t>A 37034-2024</t>
        </is>
      </c>
      <c r="B8799" t="inlineStr">
        <is>
          <t>avverkningsanmälan</t>
        </is>
      </c>
      <c r="C8799" t="inlineStr">
        <is>
          <t>Föryngringsavverkning</t>
        </is>
      </c>
      <c r="D8799" s="1" t="n">
        <v>45539</v>
      </c>
      <c r="E8799" s="1" t="n">
        <v>46319</v>
      </c>
      <c r="F8799" t="inlineStr">
        <is>
          <t>DALARNAS LÄN</t>
        </is>
      </c>
      <c r="G8799" t="inlineStr">
        <is>
          <t>RÄTTVIK</t>
        </is>
      </c>
      <c r="I8799" t="n">
        <v>4.3</v>
      </c>
      <c r="J8799" t="n">
        <v>0</v>
      </c>
      <c r="K8799" t="n">
        <v>0</v>
      </c>
      <c r="L8799" t="n">
        <v>0</v>
      </c>
      <c r="M8799" t="n">
        <v>0</v>
      </c>
      <c r="N8799" t="n">
        <v>0</v>
      </c>
      <c r="O8799" t="n">
        <v>0</v>
      </c>
      <c r="P8799" t="n">
        <v>0</v>
      </c>
      <c r="Q8799" t="n">
        <v>0</v>
      </c>
      <c r="R8799" t="n">
        <v>0</v>
      </c>
      <c r="S8799" t="n">
        <v>0</v>
      </c>
      <c r="T8799" t="n">
        <v>0</v>
      </c>
      <c r="U8799" t="n">
        <v>0</v>
      </c>
      <c r="V8799" s="2" t="inlineStr"/>
    </row>
    <row r="8800" ht="15" customHeight="1">
      <c r="A8800" t="inlineStr">
        <is>
          <t>A 37050-2024</t>
        </is>
      </c>
      <c r="B8800" t="inlineStr">
        <is>
          <t>avverkningsanmälan</t>
        </is>
      </c>
      <c r="C8800" t="inlineStr">
        <is>
          <t>Föryngringsavverkning</t>
        </is>
      </c>
      <c r="D8800" s="1" t="n">
        <v>45539</v>
      </c>
      <c r="E8800" s="1" t="n">
        <v>46319</v>
      </c>
      <c r="F8800" t="inlineStr">
        <is>
          <t>DALARNAS LÄN</t>
        </is>
      </c>
      <c r="G8800" t="inlineStr">
        <is>
          <t>RÄTTVIK</t>
        </is>
      </c>
      <c r="I8800" t="n">
        <v>0.5</v>
      </c>
      <c r="J8800" t="n">
        <v>0</v>
      </c>
      <c r="K8800" t="n">
        <v>0</v>
      </c>
      <c r="L8800" t="n">
        <v>0</v>
      </c>
      <c r="M8800" t="n">
        <v>0</v>
      </c>
      <c r="N8800" t="n">
        <v>0</v>
      </c>
      <c r="O8800" t="n">
        <v>0</v>
      </c>
      <c r="P8800" t="n">
        <v>0</v>
      </c>
      <c r="Q8800" t="n">
        <v>0</v>
      </c>
      <c r="R8800" t="n">
        <v>0</v>
      </c>
      <c r="S8800" t="n">
        <v>0</v>
      </c>
      <c r="T8800" t="n">
        <v>0</v>
      </c>
      <c r="U8800" t="n">
        <v>0</v>
      </c>
      <c r="V8800" s="2" t="inlineStr"/>
    </row>
    <row r="8801" ht="15" customHeight="1">
      <c r="A8801" t="inlineStr">
        <is>
          <t>A 52238-2024</t>
        </is>
      </c>
      <c r="B8801" t="inlineStr">
        <is>
          <t>avverkningsanmälan</t>
        </is>
      </c>
      <c r="C8801" t="inlineStr">
        <is>
          <t>Föryngringsavverkning</t>
        </is>
      </c>
      <c r="D8801" s="1" t="n">
        <v>45608</v>
      </c>
      <c r="E8801" s="1" t="n">
        <v>46319</v>
      </c>
      <c r="F8801" t="inlineStr">
        <is>
          <t>DALARNAS LÄN</t>
        </is>
      </c>
      <c r="G8801" t="inlineStr">
        <is>
          <t>MALUNG-SÄLEN</t>
        </is>
      </c>
      <c r="I8801" t="n">
        <v>3.7</v>
      </c>
      <c r="J8801" t="n">
        <v>0</v>
      </c>
      <c r="K8801" t="n">
        <v>0</v>
      </c>
      <c r="L8801" t="n">
        <v>0</v>
      </c>
      <c r="M8801" t="n">
        <v>0</v>
      </c>
      <c r="N8801" t="n">
        <v>0</v>
      </c>
      <c r="O8801" t="n">
        <v>0</v>
      </c>
      <c r="P8801" t="n">
        <v>0</v>
      </c>
      <c r="Q8801" t="n">
        <v>0</v>
      </c>
      <c r="R8801" t="n">
        <v>0</v>
      </c>
      <c r="S8801" t="n">
        <v>0</v>
      </c>
      <c r="T8801" t="n">
        <v>0</v>
      </c>
      <c r="U8801" t="n">
        <v>0</v>
      </c>
      <c r="V8801" s="2" t="inlineStr"/>
    </row>
    <row r="8802" ht="15" customHeight="1">
      <c r="A8802" t="inlineStr">
        <is>
          <t>A 38055-2024</t>
        </is>
      </c>
      <c r="B8802" t="inlineStr">
        <is>
          <t>avverkningsanmälan</t>
        </is>
      </c>
      <c r="C8802" t="inlineStr">
        <is>
          <t>Föryngringsavverkning</t>
        </is>
      </c>
      <c r="D8802" s="1" t="n">
        <v>45544</v>
      </c>
      <c r="E8802" s="1" t="n">
        <v>46319</v>
      </c>
      <c r="F8802" t="inlineStr">
        <is>
          <t>DALARNAS LÄN</t>
        </is>
      </c>
      <c r="G8802" t="inlineStr">
        <is>
          <t>MORA</t>
        </is>
      </c>
      <c r="I8802" t="n">
        <v>0.7</v>
      </c>
      <c r="J8802" t="n">
        <v>0</v>
      </c>
      <c r="K8802" t="n">
        <v>0</v>
      </c>
      <c r="L8802" t="n">
        <v>0</v>
      </c>
      <c r="M8802" t="n">
        <v>0</v>
      </c>
      <c r="N8802" t="n">
        <v>0</v>
      </c>
      <c r="O8802" t="n">
        <v>0</v>
      </c>
      <c r="P8802" t="n">
        <v>0</v>
      </c>
      <c r="Q8802" t="n">
        <v>0</v>
      </c>
      <c r="R8802" t="n">
        <v>0</v>
      </c>
      <c r="S8802" t="n">
        <v>0</v>
      </c>
      <c r="T8802" t="n">
        <v>0</v>
      </c>
      <c r="U8802" t="n">
        <v>0</v>
      </c>
      <c r="V8802" s="2" t="inlineStr"/>
    </row>
    <row r="8803" ht="15" customHeight="1">
      <c r="A8803" t="inlineStr">
        <is>
          <t>A 41538-2024</t>
        </is>
      </c>
      <c r="B8803" t="inlineStr">
        <is>
          <t>avverkningsanmälan</t>
        </is>
      </c>
      <c r="C8803" t="inlineStr">
        <is>
          <t>Föryngringsavverkning</t>
        </is>
      </c>
      <c r="D8803" s="1" t="n">
        <v>45560</v>
      </c>
      <c r="E8803" s="1" t="n">
        <v>46319</v>
      </c>
      <c r="F8803" t="inlineStr">
        <is>
          <t>DALARNAS LÄN</t>
        </is>
      </c>
      <c r="G8803" t="inlineStr">
        <is>
          <t>FALUN</t>
        </is>
      </c>
      <c r="H8803" t="inlineStr">
        <is>
          <t>Bergvik skog väst AB</t>
        </is>
      </c>
      <c r="I8803" t="n">
        <v>2.1</v>
      </c>
      <c r="J8803" t="n">
        <v>0</v>
      </c>
      <c r="K8803" t="n">
        <v>0</v>
      </c>
      <c r="L8803" t="n">
        <v>0</v>
      </c>
      <c r="M8803" t="n">
        <v>0</v>
      </c>
      <c r="N8803" t="n">
        <v>0</v>
      </c>
      <c r="O8803" t="n">
        <v>0</v>
      </c>
      <c r="P8803" t="n">
        <v>0</v>
      </c>
      <c r="Q8803" t="n">
        <v>0</v>
      </c>
      <c r="R8803" t="n">
        <v>0</v>
      </c>
      <c r="S8803" t="n">
        <v>0</v>
      </c>
      <c r="T8803" t="n">
        <v>0</v>
      </c>
      <c r="U8803" t="n">
        <v>0</v>
      </c>
      <c r="V8803" s="2" t="inlineStr"/>
    </row>
    <row r="8804" ht="15" customHeight="1">
      <c r="A8804" t="inlineStr">
        <is>
          <t>A 5486-2023</t>
        </is>
      </c>
      <c r="B8804" t="inlineStr">
        <is>
          <t>avverkningsanmälan</t>
        </is>
      </c>
      <c r="C8804" t="inlineStr">
        <is>
          <t>Föryngringsavverkning</t>
        </is>
      </c>
      <c r="D8804" s="1" t="n">
        <v>44957</v>
      </c>
      <c r="E8804" s="1" t="n">
        <v>46319</v>
      </c>
      <c r="F8804" t="inlineStr">
        <is>
          <t>DALARNAS LÄN</t>
        </is>
      </c>
      <c r="G8804" t="inlineStr">
        <is>
          <t>MORA</t>
        </is>
      </c>
      <c r="I8804" t="n">
        <v>3.2</v>
      </c>
      <c r="J8804" t="n">
        <v>0</v>
      </c>
      <c r="K8804" t="n">
        <v>0</v>
      </c>
      <c r="L8804" t="n">
        <v>0</v>
      </c>
      <c r="M8804" t="n">
        <v>0</v>
      </c>
      <c r="N8804" t="n">
        <v>0</v>
      </c>
      <c r="O8804" t="n">
        <v>0</v>
      </c>
      <c r="P8804" t="n">
        <v>0</v>
      </c>
      <c r="Q8804" t="n">
        <v>0</v>
      </c>
      <c r="R8804" t="n">
        <v>0</v>
      </c>
      <c r="S8804" t="n">
        <v>0</v>
      </c>
      <c r="T8804" t="n">
        <v>0</v>
      </c>
      <c r="U8804" t="n">
        <v>0</v>
      </c>
      <c r="V8804" s="2" t="inlineStr"/>
    </row>
    <row r="8805" ht="15" customHeight="1">
      <c r="A8805" t="inlineStr">
        <is>
          <t>A 37186-2024</t>
        </is>
      </c>
      <c r="B8805" t="inlineStr">
        <is>
          <t>avverkningsanmälan</t>
        </is>
      </c>
      <c r="C8805" t="inlineStr">
        <is>
          <t>Föryngringsavverkning</t>
        </is>
      </c>
      <c r="D8805" s="1" t="n">
        <v>45539</v>
      </c>
      <c r="E8805" s="1" t="n">
        <v>46319</v>
      </c>
      <c r="F8805" t="inlineStr">
        <is>
          <t>DALARNAS LÄN</t>
        </is>
      </c>
      <c r="G8805" t="inlineStr">
        <is>
          <t>MALUNG-SÄLEN</t>
        </is>
      </c>
      <c r="H8805" t="inlineStr">
        <is>
          <t>Kommuner</t>
        </is>
      </c>
      <c r="I8805" t="n">
        <v>0.6</v>
      </c>
      <c r="J8805" t="n">
        <v>0</v>
      </c>
      <c r="K8805" t="n">
        <v>0</v>
      </c>
      <c r="L8805" t="n">
        <v>0</v>
      </c>
      <c r="M8805" t="n">
        <v>0</v>
      </c>
      <c r="N8805" t="n">
        <v>0</v>
      </c>
      <c r="O8805" t="n">
        <v>0</v>
      </c>
      <c r="P8805" t="n">
        <v>0</v>
      </c>
      <c r="Q8805" t="n">
        <v>0</v>
      </c>
      <c r="R8805" t="n">
        <v>0</v>
      </c>
      <c r="S8805" t="n">
        <v>0</v>
      </c>
      <c r="T8805" t="n">
        <v>0</v>
      </c>
      <c r="U8805" t="n">
        <v>0</v>
      </c>
      <c r="V8805" s="2" t="inlineStr"/>
    </row>
    <row r="8806" ht="15" customHeight="1">
      <c r="A8806" t="inlineStr">
        <is>
          <t>A 3352-2024</t>
        </is>
      </c>
      <c r="B8806" t="inlineStr">
        <is>
          <t>avverkningsanmälan</t>
        </is>
      </c>
      <c r="C8806" t="inlineStr">
        <is>
          <t>Föryngringsavverkning</t>
        </is>
      </c>
      <c r="D8806" s="1" t="n">
        <v>45317</v>
      </c>
      <c r="E8806" s="1" t="n">
        <v>46319</v>
      </c>
      <c r="F8806" t="inlineStr">
        <is>
          <t>DALARNAS LÄN</t>
        </is>
      </c>
      <c r="G8806" t="inlineStr">
        <is>
          <t>LEKSAND</t>
        </is>
      </c>
      <c r="I8806" t="n">
        <v>1.2</v>
      </c>
      <c r="J8806" t="n">
        <v>0</v>
      </c>
      <c r="K8806" t="n">
        <v>0</v>
      </c>
      <c r="L8806" t="n">
        <v>0</v>
      </c>
      <c r="M8806" t="n">
        <v>0</v>
      </c>
      <c r="N8806" t="n">
        <v>0</v>
      </c>
      <c r="O8806" t="n">
        <v>0</v>
      </c>
      <c r="P8806" t="n">
        <v>0</v>
      </c>
      <c r="Q8806" t="n">
        <v>0</v>
      </c>
      <c r="R8806" t="n">
        <v>0</v>
      </c>
      <c r="S8806" t="n">
        <v>0</v>
      </c>
      <c r="T8806" t="n">
        <v>0</v>
      </c>
      <c r="U8806" t="n">
        <v>0</v>
      </c>
      <c r="V8806" s="2" t="inlineStr"/>
    </row>
    <row r="8807" ht="15" customHeight="1">
      <c r="A8807" t="inlineStr">
        <is>
          <t>A 1694-2023</t>
        </is>
      </c>
      <c r="B8807" t="inlineStr">
        <is>
          <t>avverkningsanmälan</t>
        </is>
      </c>
      <c r="C8807" t="inlineStr">
        <is>
          <t>Föryngringsavverkning</t>
        </is>
      </c>
      <c r="D8807" s="1" t="n">
        <v>44938</v>
      </c>
      <c r="E8807" s="1" t="n">
        <v>46319</v>
      </c>
      <c r="F8807" t="inlineStr">
        <is>
          <t>DALARNAS LÄN</t>
        </is>
      </c>
      <c r="G8807" t="inlineStr">
        <is>
          <t>MALUNG-SÄLEN</t>
        </is>
      </c>
      <c r="I8807" t="n">
        <v>7.8</v>
      </c>
      <c r="J8807" t="n">
        <v>0</v>
      </c>
      <c r="K8807" t="n">
        <v>0</v>
      </c>
      <c r="L8807" t="n">
        <v>0</v>
      </c>
      <c r="M8807" t="n">
        <v>0</v>
      </c>
      <c r="N8807" t="n">
        <v>0</v>
      </c>
      <c r="O8807" t="n">
        <v>0</v>
      </c>
      <c r="P8807" t="n">
        <v>0</v>
      </c>
      <c r="Q8807" t="n">
        <v>0</v>
      </c>
      <c r="R8807" t="n">
        <v>0</v>
      </c>
      <c r="S8807" t="n">
        <v>0</v>
      </c>
      <c r="T8807" t="n">
        <v>0</v>
      </c>
      <c r="U8807" t="n">
        <v>0</v>
      </c>
      <c r="V8807" s="2" t="inlineStr"/>
    </row>
    <row r="8808" ht="15" customHeight="1">
      <c r="A8808" t="inlineStr">
        <is>
          <t>A 36024-2023</t>
        </is>
      </c>
      <c r="B8808" t="inlineStr">
        <is>
          <t>avverkningsanmälan</t>
        </is>
      </c>
      <c r="C8808" t="inlineStr">
        <is>
          <t>Föryngringsavverkning</t>
        </is>
      </c>
      <c r="D8808" s="1" t="n">
        <v>45149</v>
      </c>
      <c r="E8808" s="1" t="n">
        <v>46319</v>
      </c>
      <c r="F8808" t="inlineStr">
        <is>
          <t>DALARNAS LÄN</t>
        </is>
      </c>
      <c r="G8808" t="inlineStr">
        <is>
          <t>MALUNG-SÄLEN</t>
        </is>
      </c>
      <c r="H8808" t="inlineStr">
        <is>
          <t>Bergvik skog öst AB</t>
        </is>
      </c>
      <c r="I8808" t="n">
        <v>1.8</v>
      </c>
      <c r="J8808" t="n">
        <v>0</v>
      </c>
      <c r="K8808" t="n">
        <v>0</v>
      </c>
      <c r="L8808" t="n">
        <v>0</v>
      </c>
      <c r="M8808" t="n">
        <v>0</v>
      </c>
      <c r="N8808" t="n">
        <v>0</v>
      </c>
      <c r="O8808" t="n">
        <v>0</v>
      </c>
      <c r="P8808" t="n">
        <v>0</v>
      </c>
      <c r="Q8808" t="n">
        <v>0</v>
      </c>
      <c r="R8808" t="n">
        <v>0</v>
      </c>
      <c r="S8808" t="n">
        <v>0</v>
      </c>
      <c r="T8808" t="n">
        <v>0</v>
      </c>
      <c r="U8808" t="n">
        <v>0</v>
      </c>
      <c r="V8808" s="2" t="inlineStr"/>
    </row>
    <row r="8809" ht="15" customHeight="1">
      <c r="A8809" t="inlineStr">
        <is>
          <t>A 28934-2023</t>
        </is>
      </c>
      <c r="B8809" t="inlineStr">
        <is>
          <t>avverkningsanmälan</t>
        </is>
      </c>
      <c r="C8809" t="inlineStr">
        <is>
          <t>Föryngringsavverkning</t>
        </is>
      </c>
      <c r="D8809" s="1" t="n">
        <v>45104</v>
      </c>
      <c r="E8809" s="1" t="n">
        <v>46319</v>
      </c>
      <c r="F8809" t="inlineStr">
        <is>
          <t>DALARNAS LÄN</t>
        </is>
      </c>
      <c r="G8809" t="inlineStr">
        <is>
          <t>MORA</t>
        </is>
      </c>
      <c r="I8809" t="n">
        <v>8.800000000000001</v>
      </c>
      <c r="J8809" t="n">
        <v>0</v>
      </c>
      <c r="K8809" t="n">
        <v>0</v>
      </c>
      <c r="L8809" t="n">
        <v>0</v>
      </c>
      <c r="M8809" t="n">
        <v>0</v>
      </c>
      <c r="N8809" t="n">
        <v>0</v>
      </c>
      <c r="O8809" t="n">
        <v>0</v>
      </c>
      <c r="P8809" t="n">
        <v>0</v>
      </c>
      <c r="Q8809" t="n">
        <v>0</v>
      </c>
      <c r="R8809" t="n">
        <v>0</v>
      </c>
      <c r="S8809" t="n">
        <v>0</v>
      </c>
      <c r="T8809" t="n">
        <v>0</v>
      </c>
      <c r="U8809" t="n">
        <v>0</v>
      </c>
      <c r="V8809" s="2" t="inlineStr"/>
    </row>
    <row r="8810" ht="15" customHeight="1">
      <c r="A8810" t="inlineStr">
        <is>
          <t>A 18386-2024</t>
        </is>
      </c>
      <c r="B8810" t="inlineStr">
        <is>
          <t>avverkningsanmälan</t>
        </is>
      </c>
      <c r="C8810" t="inlineStr">
        <is>
          <t>Föryngringsavverkning</t>
        </is>
      </c>
      <c r="D8810" s="1" t="n">
        <v>45424</v>
      </c>
      <c r="E8810" s="1" t="n">
        <v>46319</v>
      </c>
      <c r="F8810" t="inlineStr">
        <is>
          <t>DALARNAS LÄN</t>
        </is>
      </c>
      <c r="G8810" t="inlineStr">
        <is>
          <t>SMEDJEBACKEN</t>
        </is>
      </c>
      <c r="H8810" t="inlineStr">
        <is>
          <t>Sveaskog</t>
        </is>
      </c>
      <c r="I8810" t="n">
        <v>1.1</v>
      </c>
      <c r="J8810" t="n">
        <v>0</v>
      </c>
      <c r="K8810" t="n">
        <v>0</v>
      </c>
      <c r="L8810" t="n">
        <v>0</v>
      </c>
      <c r="M8810" t="n">
        <v>0</v>
      </c>
      <c r="N8810" t="n">
        <v>0</v>
      </c>
      <c r="O8810" t="n">
        <v>0</v>
      </c>
      <c r="P8810" t="n">
        <v>0</v>
      </c>
      <c r="Q8810" t="n">
        <v>0</v>
      </c>
      <c r="R8810" t="n">
        <v>0</v>
      </c>
      <c r="S8810" t="n">
        <v>0</v>
      </c>
      <c r="T8810" t="n">
        <v>0</v>
      </c>
      <c r="U8810" t="n">
        <v>0</v>
      </c>
      <c r="V8810" s="2" t="inlineStr"/>
    </row>
    <row r="8811" ht="15" customHeight="1">
      <c r="A8811" t="inlineStr">
        <is>
          <t>A 36423-2024</t>
        </is>
      </c>
      <c r="B8811" t="inlineStr">
        <is>
          <t>avverkningsanmälan</t>
        </is>
      </c>
      <c r="C8811" t="inlineStr">
        <is>
          <t>Föryngringsavverkning</t>
        </is>
      </c>
      <c r="D8811" s="1" t="n">
        <v>45536</v>
      </c>
      <c r="E8811" s="1" t="n">
        <v>46319</v>
      </c>
      <c r="F8811" t="inlineStr">
        <is>
          <t>DALARNAS LÄN</t>
        </is>
      </c>
      <c r="G8811" t="inlineStr">
        <is>
          <t>BORLÄNGE</t>
        </is>
      </c>
      <c r="I8811" t="n">
        <v>1.5</v>
      </c>
      <c r="J8811" t="n">
        <v>0</v>
      </c>
      <c r="K8811" t="n">
        <v>0</v>
      </c>
      <c r="L8811" t="n">
        <v>0</v>
      </c>
      <c r="M8811" t="n">
        <v>0</v>
      </c>
      <c r="N8811" t="n">
        <v>0</v>
      </c>
      <c r="O8811" t="n">
        <v>0</v>
      </c>
      <c r="P8811" t="n">
        <v>0</v>
      </c>
      <c r="Q8811" t="n">
        <v>0</v>
      </c>
      <c r="R8811" t="n">
        <v>0</v>
      </c>
      <c r="S8811" t="n">
        <v>0</v>
      </c>
      <c r="T8811" t="n">
        <v>0</v>
      </c>
      <c r="U8811" t="n">
        <v>0</v>
      </c>
      <c r="V8811" s="2" t="inlineStr"/>
    </row>
    <row r="8812" ht="15" customHeight="1">
      <c r="A8812" t="inlineStr">
        <is>
          <t>A 36459-2024</t>
        </is>
      </c>
      <c r="B8812" t="inlineStr">
        <is>
          <t>avverkningsanmälan</t>
        </is>
      </c>
      <c r="C8812" t="inlineStr">
        <is>
          <t>Föryngringsavverkning</t>
        </is>
      </c>
      <c r="D8812" s="1" t="n">
        <v>45537</v>
      </c>
      <c r="E8812" s="1" t="n">
        <v>46319</v>
      </c>
      <c r="F8812" t="inlineStr">
        <is>
          <t>DALARNAS LÄN</t>
        </is>
      </c>
      <c r="G8812" t="inlineStr">
        <is>
          <t>RÄTTVIK</t>
        </is>
      </c>
      <c r="I8812" t="n">
        <v>6</v>
      </c>
      <c r="J8812" t="n">
        <v>0</v>
      </c>
      <c r="K8812" t="n">
        <v>0</v>
      </c>
      <c r="L8812" t="n">
        <v>0</v>
      </c>
      <c r="M8812" t="n">
        <v>0</v>
      </c>
      <c r="N8812" t="n">
        <v>0</v>
      </c>
      <c r="O8812" t="n">
        <v>0</v>
      </c>
      <c r="P8812" t="n">
        <v>0</v>
      </c>
      <c r="Q8812" t="n">
        <v>0</v>
      </c>
      <c r="R8812" t="n">
        <v>0</v>
      </c>
      <c r="S8812" t="n">
        <v>0</v>
      </c>
      <c r="T8812" t="n">
        <v>0</v>
      </c>
      <c r="U8812" t="n">
        <v>0</v>
      </c>
      <c r="V8812" s="2" t="inlineStr"/>
    </row>
    <row r="8813" ht="15" customHeight="1">
      <c r="A8813" t="inlineStr">
        <is>
          <t>A 18197-2023</t>
        </is>
      </c>
      <c r="B8813" t="inlineStr">
        <is>
          <t>avverkningsanmälan</t>
        </is>
      </c>
      <c r="C8813" t="inlineStr">
        <is>
          <t>Föryngringsavverkning</t>
        </is>
      </c>
      <c r="D8813" s="1" t="n">
        <v>45040</v>
      </c>
      <c r="E8813" s="1" t="n">
        <v>46319</v>
      </c>
      <c r="F8813" t="inlineStr">
        <is>
          <t>DALARNAS LÄN</t>
        </is>
      </c>
      <c r="G8813" t="inlineStr">
        <is>
          <t>AVESTA</t>
        </is>
      </c>
      <c r="I8813" t="n">
        <v>1.8</v>
      </c>
      <c r="J8813" t="n">
        <v>0</v>
      </c>
      <c r="K8813" t="n">
        <v>0</v>
      </c>
      <c r="L8813" t="n">
        <v>0</v>
      </c>
      <c r="M8813" t="n">
        <v>0</v>
      </c>
      <c r="N8813" t="n">
        <v>0</v>
      </c>
      <c r="O8813" t="n">
        <v>0</v>
      </c>
      <c r="P8813" t="n">
        <v>0</v>
      </c>
      <c r="Q8813" t="n">
        <v>0</v>
      </c>
      <c r="R8813" t="n">
        <v>0</v>
      </c>
      <c r="S8813" t="n">
        <v>0</v>
      </c>
      <c r="T8813" t="n">
        <v>0</v>
      </c>
      <c r="U8813" t="n">
        <v>0</v>
      </c>
      <c r="V8813" s="2" t="inlineStr"/>
    </row>
    <row r="8814" ht="15" customHeight="1">
      <c r="A8814" t="inlineStr">
        <is>
          <t>A 13994-2024</t>
        </is>
      </c>
      <c r="B8814" t="inlineStr">
        <is>
          <t>avverkningsanmälan</t>
        </is>
      </c>
      <c r="C8814" t="inlineStr">
        <is>
          <t>Föryngringsavverkning</t>
        </is>
      </c>
      <c r="D8814" s="1" t="n">
        <v>45392</v>
      </c>
      <c r="E8814" s="1" t="n">
        <v>46319</v>
      </c>
      <c r="F8814" t="inlineStr">
        <is>
          <t>DALARNAS LÄN</t>
        </is>
      </c>
      <c r="G8814" t="inlineStr">
        <is>
          <t>RÄTTVIK</t>
        </is>
      </c>
      <c r="I8814" t="n">
        <v>1.4</v>
      </c>
      <c r="J8814" t="n">
        <v>0</v>
      </c>
      <c r="K8814" t="n">
        <v>0</v>
      </c>
      <c r="L8814" t="n">
        <v>0</v>
      </c>
      <c r="M8814" t="n">
        <v>0</v>
      </c>
      <c r="N8814" t="n">
        <v>0</v>
      </c>
      <c r="O8814" t="n">
        <v>0</v>
      </c>
      <c r="P8814" t="n">
        <v>0</v>
      </c>
      <c r="Q8814" t="n">
        <v>0</v>
      </c>
      <c r="R8814" t="n">
        <v>0</v>
      </c>
      <c r="S8814" t="n">
        <v>0</v>
      </c>
      <c r="T8814" t="n">
        <v>0</v>
      </c>
      <c r="U8814" t="n">
        <v>0</v>
      </c>
      <c r="V8814" s="2" t="inlineStr"/>
    </row>
    <row r="8815" ht="15" customHeight="1">
      <c r="A8815" t="inlineStr">
        <is>
          <t>A 1305-2022</t>
        </is>
      </c>
      <c r="B8815" t="inlineStr">
        <is>
          <t>avverkningsanmälan</t>
        </is>
      </c>
      <c r="C8815" t="inlineStr">
        <is>
          <t>Föryngringsavverkning</t>
        </is>
      </c>
      <c r="D8815" s="1" t="n">
        <v>44572</v>
      </c>
      <c r="E8815" s="1" t="n">
        <v>46319</v>
      </c>
      <c r="F8815" t="inlineStr">
        <is>
          <t>DALARNAS LÄN</t>
        </is>
      </c>
      <c r="G8815" t="inlineStr">
        <is>
          <t>SÄTER</t>
        </is>
      </c>
      <c r="I8815" t="n">
        <v>6.6</v>
      </c>
      <c r="J8815" t="n">
        <v>0</v>
      </c>
      <c r="K8815" t="n">
        <v>0</v>
      </c>
      <c r="L8815" t="n">
        <v>0</v>
      </c>
      <c r="M8815" t="n">
        <v>0</v>
      </c>
      <c r="N8815" t="n">
        <v>0</v>
      </c>
      <c r="O8815" t="n">
        <v>0</v>
      </c>
      <c r="P8815" t="n">
        <v>0</v>
      </c>
      <c r="Q8815" t="n">
        <v>0</v>
      </c>
      <c r="R8815" t="n">
        <v>0</v>
      </c>
      <c r="S8815" t="n">
        <v>0</v>
      </c>
      <c r="T8815" t="n">
        <v>0</v>
      </c>
      <c r="U8815" t="n">
        <v>0</v>
      </c>
      <c r="V8815" s="2" t="inlineStr"/>
    </row>
    <row r="8816" ht="15" customHeight="1">
      <c r="A8816" t="inlineStr">
        <is>
          <t>A 32894-2023</t>
        </is>
      </c>
      <c r="B8816" t="inlineStr">
        <is>
          <t>avverkningsanmälan</t>
        </is>
      </c>
      <c r="C8816" t="inlineStr">
        <is>
          <t>Föryngringsavverkning</t>
        </is>
      </c>
      <c r="D8816" s="1" t="n">
        <v>45124</v>
      </c>
      <c r="E8816" s="1" t="n">
        <v>46319</v>
      </c>
      <c r="F8816" t="inlineStr">
        <is>
          <t>DALARNAS LÄN</t>
        </is>
      </c>
      <c r="G8816" t="inlineStr">
        <is>
          <t>RÄTTVIK</t>
        </is>
      </c>
      <c r="I8816" t="n">
        <v>4.3</v>
      </c>
      <c r="J8816" t="n">
        <v>0</v>
      </c>
      <c r="K8816" t="n">
        <v>0</v>
      </c>
      <c r="L8816" t="n">
        <v>0</v>
      </c>
      <c r="M8816" t="n">
        <v>0</v>
      </c>
      <c r="N8816" t="n">
        <v>0</v>
      </c>
      <c r="O8816" t="n">
        <v>0</v>
      </c>
      <c r="P8816" t="n">
        <v>0</v>
      </c>
      <c r="Q8816" t="n">
        <v>0</v>
      </c>
      <c r="R8816" t="n">
        <v>0</v>
      </c>
      <c r="S8816" t="n">
        <v>0</v>
      </c>
      <c r="T8816" t="n">
        <v>0</v>
      </c>
      <c r="U8816" t="n">
        <v>0</v>
      </c>
      <c r="V8816" s="2" t="inlineStr"/>
    </row>
    <row r="8817" ht="15" customHeight="1">
      <c r="A8817" t="inlineStr">
        <is>
          <t>A 60138-2023</t>
        </is>
      </c>
      <c r="B8817" t="inlineStr">
        <is>
          <t>avverkningsanmälan</t>
        </is>
      </c>
      <c r="C8817" t="inlineStr">
        <is>
          <t>Föryngringsavverkning</t>
        </is>
      </c>
      <c r="D8817" s="1" t="n">
        <v>45258</v>
      </c>
      <c r="E8817" s="1" t="n">
        <v>46319</v>
      </c>
      <c r="F8817" t="inlineStr">
        <is>
          <t>DALARNAS LÄN</t>
        </is>
      </c>
      <c r="G8817" t="inlineStr">
        <is>
          <t>LUDVIKA</t>
        </is>
      </c>
      <c r="I8817" t="n">
        <v>1.3</v>
      </c>
      <c r="J8817" t="n">
        <v>0</v>
      </c>
      <c r="K8817" t="n">
        <v>0</v>
      </c>
      <c r="L8817" t="n">
        <v>0</v>
      </c>
      <c r="M8817" t="n">
        <v>0</v>
      </c>
      <c r="N8817" t="n">
        <v>0</v>
      </c>
      <c r="O8817" t="n">
        <v>0</v>
      </c>
      <c r="P8817" t="n">
        <v>0</v>
      </c>
      <c r="Q8817" t="n">
        <v>0</v>
      </c>
      <c r="R8817" t="n">
        <v>0</v>
      </c>
      <c r="S8817" t="n">
        <v>0</v>
      </c>
      <c r="T8817" t="n">
        <v>0</v>
      </c>
      <c r="U8817" t="n">
        <v>0</v>
      </c>
      <c r="V8817" s="2" t="inlineStr"/>
    </row>
    <row r="8818" ht="15" customHeight="1">
      <c r="A8818" t="inlineStr">
        <is>
          <t>A 15851-2024</t>
        </is>
      </c>
      <c r="B8818" t="inlineStr">
        <is>
          <t>avverkningsanmälan</t>
        </is>
      </c>
      <c r="C8818" t="inlineStr">
        <is>
          <t>Föryngringsavverkning</t>
        </is>
      </c>
      <c r="D8818" s="1" t="n">
        <v>45404</v>
      </c>
      <c r="E8818" s="1" t="n">
        <v>46319</v>
      </c>
      <c r="F8818" t="inlineStr">
        <is>
          <t>DALARNAS LÄN</t>
        </is>
      </c>
      <c r="G8818" t="inlineStr">
        <is>
          <t>LUDVIKA</t>
        </is>
      </c>
      <c r="I8818" t="n">
        <v>5.2</v>
      </c>
      <c r="J8818" t="n">
        <v>0</v>
      </c>
      <c r="K8818" t="n">
        <v>0</v>
      </c>
      <c r="L8818" t="n">
        <v>0</v>
      </c>
      <c r="M8818" t="n">
        <v>0</v>
      </c>
      <c r="N8818" t="n">
        <v>0</v>
      </c>
      <c r="O8818" t="n">
        <v>0</v>
      </c>
      <c r="P8818" t="n">
        <v>0</v>
      </c>
      <c r="Q8818" t="n">
        <v>0</v>
      </c>
      <c r="R8818" t="n">
        <v>0</v>
      </c>
      <c r="S8818" t="n">
        <v>0</v>
      </c>
      <c r="T8818" t="n">
        <v>0</v>
      </c>
      <c r="U8818" t="n">
        <v>0</v>
      </c>
      <c r="V8818" s="2" t="inlineStr"/>
    </row>
    <row r="8819" ht="15" customHeight="1">
      <c r="A8819" t="inlineStr">
        <is>
          <t>A 10983-2023</t>
        </is>
      </c>
      <c r="B8819" t="inlineStr">
        <is>
          <t>avverkningsanmälan</t>
        </is>
      </c>
      <c r="C8819" t="inlineStr">
        <is>
          <t>Föryngringsavverkning</t>
        </is>
      </c>
      <c r="D8819" s="1" t="n">
        <v>44991</v>
      </c>
      <c r="E8819" s="1" t="n">
        <v>46319</v>
      </c>
      <c r="F8819" t="inlineStr">
        <is>
          <t>DALARNAS LÄN</t>
        </is>
      </c>
      <c r="G8819" t="inlineStr">
        <is>
          <t>RÄTTVIK</t>
        </is>
      </c>
      <c r="I8819" t="n">
        <v>1.3</v>
      </c>
      <c r="J8819" t="n">
        <v>0</v>
      </c>
      <c r="K8819" t="n">
        <v>0</v>
      </c>
      <c r="L8819" t="n">
        <v>0</v>
      </c>
      <c r="M8819" t="n">
        <v>0</v>
      </c>
      <c r="N8819" t="n">
        <v>0</v>
      </c>
      <c r="O8819" t="n">
        <v>0</v>
      </c>
      <c r="P8819" t="n">
        <v>0</v>
      </c>
      <c r="Q8819" t="n">
        <v>0</v>
      </c>
      <c r="R8819" t="n">
        <v>0</v>
      </c>
      <c r="S8819" t="n">
        <v>0</v>
      </c>
      <c r="T8819" t="n">
        <v>0</v>
      </c>
      <c r="U8819" t="n">
        <v>0</v>
      </c>
      <c r="V8819" s="2" t="inlineStr"/>
    </row>
    <row r="8820" ht="15" customHeight="1">
      <c r="A8820" t="inlineStr">
        <is>
          <t>A 11004-2023</t>
        </is>
      </c>
      <c r="B8820" t="inlineStr">
        <is>
          <t>avverkningsanmälan</t>
        </is>
      </c>
      <c r="C8820" t="inlineStr">
        <is>
          <t>Föryngringsavverkning</t>
        </is>
      </c>
      <c r="D8820" s="1" t="n">
        <v>44986</v>
      </c>
      <c r="E8820" s="1" t="n">
        <v>46319</v>
      </c>
      <c r="F8820" t="inlineStr">
        <is>
          <t>DALARNAS LÄN</t>
        </is>
      </c>
      <c r="G8820" t="inlineStr">
        <is>
          <t>LEKSAND</t>
        </is>
      </c>
      <c r="I8820" t="n">
        <v>1.3</v>
      </c>
      <c r="J8820" t="n">
        <v>0</v>
      </c>
      <c r="K8820" t="n">
        <v>0</v>
      </c>
      <c r="L8820" t="n">
        <v>0</v>
      </c>
      <c r="M8820" t="n">
        <v>0</v>
      </c>
      <c r="N8820" t="n">
        <v>0</v>
      </c>
      <c r="O8820" t="n">
        <v>0</v>
      </c>
      <c r="P8820" t="n">
        <v>0</v>
      </c>
      <c r="Q8820" t="n">
        <v>0</v>
      </c>
      <c r="R8820" t="n">
        <v>0</v>
      </c>
      <c r="S8820" t="n">
        <v>0</v>
      </c>
      <c r="T8820" t="n">
        <v>0</v>
      </c>
      <c r="U8820" t="n">
        <v>0</v>
      </c>
      <c r="V8820" s="2" t="inlineStr"/>
    </row>
    <row r="8821" ht="15" customHeight="1">
      <c r="A8821" t="inlineStr">
        <is>
          <t>A 646-2022</t>
        </is>
      </c>
      <c r="B8821" t="inlineStr">
        <is>
          <t>avverkningsanmälan</t>
        </is>
      </c>
      <c r="C8821" t="inlineStr">
        <is>
          <t>Föryngringsavverkning</t>
        </is>
      </c>
      <c r="D8821" s="1" t="n">
        <v>44568</v>
      </c>
      <c r="E8821" s="1" t="n">
        <v>46319</v>
      </c>
      <c r="F8821" t="inlineStr">
        <is>
          <t>DALARNAS LÄN</t>
        </is>
      </c>
      <c r="G8821" t="inlineStr">
        <is>
          <t>SMEDJEBACKEN</t>
        </is>
      </c>
      <c r="I8821" t="n">
        <v>2.2</v>
      </c>
      <c r="J8821" t="n">
        <v>0</v>
      </c>
      <c r="K8821" t="n">
        <v>0</v>
      </c>
      <c r="L8821" t="n">
        <v>0</v>
      </c>
      <c r="M8821" t="n">
        <v>0</v>
      </c>
      <c r="N8821" t="n">
        <v>0</v>
      </c>
      <c r="O8821" t="n">
        <v>0</v>
      </c>
      <c r="P8821" t="n">
        <v>0</v>
      </c>
      <c r="Q8821" t="n">
        <v>0</v>
      </c>
      <c r="R8821" t="n">
        <v>0</v>
      </c>
      <c r="S8821" t="n">
        <v>0</v>
      </c>
      <c r="T8821" t="n">
        <v>0</v>
      </c>
      <c r="U8821" t="n">
        <v>0</v>
      </c>
      <c r="V8821" s="2" t="inlineStr"/>
    </row>
    <row r="8822" ht="15" customHeight="1">
      <c r="A8822" t="inlineStr">
        <is>
          <t>A 2262-2024</t>
        </is>
      </c>
      <c r="B8822" t="inlineStr">
        <is>
          <t>avverkningsanmälan</t>
        </is>
      </c>
      <c r="C8822" t="inlineStr">
        <is>
          <t>Föryngringsavverkning</t>
        </is>
      </c>
      <c r="D8822" s="1" t="n">
        <v>45310</v>
      </c>
      <c r="E8822" s="1" t="n">
        <v>46319</v>
      </c>
      <c r="F8822" t="inlineStr">
        <is>
          <t>DALARNAS LÄN</t>
        </is>
      </c>
      <c r="G8822" t="inlineStr">
        <is>
          <t>RÄTTVIK</t>
        </is>
      </c>
      <c r="I8822" t="n">
        <v>0.2</v>
      </c>
      <c r="J8822" t="n">
        <v>0</v>
      </c>
      <c r="K8822" t="n">
        <v>0</v>
      </c>
      <c r="L8822" t="n">
        <v>0</v>
      </c>
      <c r="M8822" t="n">
        <v>0</v>
      </c>
      <c r="N8822" t="n">
        <v>0</v>
      </c>
      <c r="O8822" t="n">
        <v>0</v>
      </c>
      <c r="P8822" t="n">
        <v>0</v>
      </c>
      <c r="Q8822" t="n">
        <v>0</v>
      </c>
      <c r="R8822" t="n">
        <v>0</v>
      </c>
      <c r="S8822" t="n">
        <v>0</v>
      </c>
      <c r="T8822" t="n">
        <v>0</v>
      </c>
      <c r="U8822" t="n">
        <v>0</v>
      </c>
      <c r="V8822" s="2" t="inlineStr"/>
    </row>
    <row r="8823" ht="15" customHeight="1">
      <c r="A8823" t="inlineStr">
        <is>
          <t>A 27244-2023</t>
        </is>
      </c>
      <c r="B8823" t="inlineStr">
        <is>
          <t>avverkningsanmälan</t>
        </is>
      </c>
      <c r="C8823" t="inlineStr">
        <is>
          <t>Föryngringsavverkning</t>
        </is>
      </c>
      <c r="D8823" s="1" t="n">
        <v>45096</v>
      </c>
      <c r="E8823" s="1" t="n">
        <v>46319</v>
      </c>
      <c r="F8823" t="inlineStr">
        <is>
          <t>DALARNAS LÄN</t>
        </is>
      </c>
      <c r="G8823" t="inlineStr">
        <is>
          <t>LEKSAND</t>
        </is>
      </c>
      <c r="I8823" t="n">
        <v>5</v>
      </c>
      <c r="J8823" t="n">
        <v>0</v>
      </c>
      <c r="K8823" t="n">
        <v>0</v>
      </c>
      <c r="L8823" t="n">
        <v>0</v>
      </c>
      <c r="M8823" t="n">
        <v>0</v>
      </c>
      <c r="N8823" t="n">
        <v>0</v>
      </c>
      <c r="O8823" t="n">
        <v>0</v>
      </c>
      <c r="P8823" t="n">
        <v>0</v>
      </c>
      <c r="Q8823" t="n">
        <v>0</v>
      </c>
      <c r="R8823" t="n">
        <v>0</v>
      </c>
      <c r="S8823" t="n">
        <v>0</v>
      </c>
      <c r="T8823" t="n">
        <v>0</v>
      </c>
      <c r="U8823" t="n">
        <v>0</v>
      </c>
      <c r="V8823" s="2" t="inlineStr"/>
    </row>
    <row r="8824" ht="15" customHeight="1">
      <c r="A8824" t="inlineStr">
        <is>
          <t>A 30123-2023</t>
        </is>
      </c>
      <c r="B8824" t="inlineStr">
        <is>
          <t>avverkningsanmälan</t>
        </is>
      </c>
      <c r="C8824" t="inlineStr">
        <is>
          <t>Föryngringsavverkning</t>
        </is>
      </c>
      <c r="D8824" s="1" t="n">
        <v>45110</v>
      </c>
      <c r="E8824" s="1" t="n">
        <v>46319</v>
      </c>
      <c r="F8824" t="inlineStr">
        <is>
          <t>DALARNAS LÄN</t>
        </is>
      </c>
      <c r="G8824" t="inlineStr">
        <is>
          <t>LUDVIKA</t>
        </is>
      </c>
      <c r="I8824" t="n">
        <v>1.9</v>
      </c>
      <c r="J8824" t="n">
        <v>0</v>
      </c>
      <c r="K8824" t="n">
        <v>0</v>
      </c>
      <c r="L8824" t="n">
        <v>0</v>
      </c>
      <c r="M8824" t="n">
        <v>0</v>
      </c>
      <c r="N8824" t="n">
        <v>0</v>
      </c>
      <c r="O8824" t="n">
        <v>0</v>
      </c>
      <c r="P8824" t="n">
        <v>0</v>
      </c>
      <c r="Q8824" t="n">
        <v>0</v>
      </c>
      <c r="R8824" t="n">
        <v>0</v>
      </c>
      <c r="S8824" t="n">
        <v>0</v>
      </c>
      <c r="T8824" t="n">
        <v>0</v>
      </c>
      <c r="U8824" t="n">
        <v>0</v>
      </c>
      <c r="V8824" s="2" t="inlineStr"/>
    </row>
    <row r="8825" ht="15" customHeight="1">
      <c r="A8825" t="inlineStr">
        <is>
          <t>A 36089-2023</t>
        </is>
      </c>
      <c r="B8825" t="inlineStr">
        <is>
          <t>avverkningsanmälan</t>
        </is>
      </c>
      <c r="C8825" t="inlineStr">
        <is>
          <t>Föryngringsavverkning</t>
        </is>
      </c>
      <c r="D8825" s="1" t="n">
        <v>45149</v>
      </c>
      <c r="E8825" s="1" t="n">
        <v>46319</v>
      </c>
      <c r="F8825" t="inlineStr">
        <is>
          <t>DALARNAS LÄN</t>
        </is>
      </c>
      <c r="G8825" t="inlineStr">
        <is>
          <t>ORSA</t>
        </is>
      </c>
      <c r="H8825" t="inlineStr">
        <is>
          <t>Allmännings- och besparingsskogar</t>
        </is>
      </c>
      <c r="I8825" t="n">
        <v>1.2</v>
      </c>
      <c r="J8825" t="n">
        <v>0</v>
      </c>
      <c r="K8825" t="n">
        <v>0</v>
      </c>
      <c r="L8825" t="n">
        <v>0</v>
      </c>
      <c r="M8825" t="n">
        <v>0</v>
      </c>
      <c r="N8825" t="n">
        <v>0</v>
      </c>
      <c r="O8825" t="n">
        <v>0</v>
      </c>
      <c r="P8825" t="n">
        <v>0</v>
      </c>
      <c r="Q8825" t="n">
        <v>0</v>
      </c>
      <c r="R8825" t="n">
        <v>0</v>
      </c>
      <c r="S8825" t="n">
        <v>0</v>
      </c>
      <c r="T8825" t="n">
        <v>0</v>
      </c>
      <c r="U8825" t="n">
        <v>0</v>
      </c>
      <c r="V8825" s="2" t="inlineStr"/>
    </row>
    <row r="8826" ht="15" customHeight="1">
      <c r="A8826" t="inlineStr">
        <is>
          <t>A 6262-2023</t>
        </is>
      </c>
      <c r="B8826" t="inlineStr">
        <is>
          <t>avverkningsanmälan</t>
        </is>
      </c>
      <c r="C8826" t="inlineStr">
        <is>
          <t>Avverkning för annat ändamål</t>
        </is>
      </c>
      <c r="D8826" s="1" t="n">
        <v>44963</v>
      </c>
      <c r="E8826" s="1" t="n">
        <v>46319</v>
      </c>
      <c r="F8826" t="inlineStr">
        <is>
          <t>DALARNAS LÄN</t>
        </is>
      </c>
      <c r="G8826" t="inlineStr">
        <is>
          <t>AVESTA</t>
        </is>
      </c>
      <c r="I8826" t="n">
        <v>2</v>
      </c>
      <c r="J8826" t="n">
        <v>0</v>
      </c>
      <c r="K8826" t="n">
        <v>0</v>
      </c>
      <c r="L8826" t="n">
        <v>0</v>
      </c>
      <c r="M8826" t="n">
        <v>0</v>
      </c>
      <c r="N8826" t="n">
        <v>0</v>
      </c>
      <c r="O8826" t="n">
        <v>0</v>
      </c>
      <c r="P8826" t="n">
        <v>0</v>
      </c>
      <c r="Q8826" t="n">
        <v>0</v>
      </c>
      <c r="R8826" t="n">
        <v>0</v>
      </c>
      <c r="S8826" t="n">
        <v>0</v>
      </c>
      <c r="T8826" t="n">
        <v>0</v>
      </c>
      <c r="U8826" t="n">
        <v>0</v>
      </c>
      <c r="V8826" s="2" t="inlineStr"/>
    </row>
    <row r="8827" ht="15" customHeight="1">
      <c r="A8827" t="inlineStr">
        <is>
          <t>A 48223-2024</t>
        </is>
      </c>
      <c r="B8827" t="inlineStr">
        <is>
          <t>avverkningsanmälan</t>
        </is>
      </c>
      <c r="C8827" t="inlineStr">
        <is>
          <t>Föryngringsavverkning</t>
        </is>
      </c>
      <c r="D8827" s="1" t="n">
        <v>45590</v>
      </c>
      <c r="E8827" s="1" t="n">
        <v>46319</v>
      </c>
      <c r="F8827" t="inlineStr">
        <is>
          <t>DALARNAS LÄN</t>
        </is>
      </c>
      <c r="G8827" t="inlineStr">
        <is>
          <t>RÄTTVIK</t>
        </is>
      </c>
      <c r="H8827" t="inlineStr">
        <is>
          <t>Bergvik skog väst AB</t>
        </is>
      </c>
      <c r="I8827" t="n">
        <v>1.6</v>
      </c>
      <c r="J8827" t="n">
        <v>0</v>
      </c>
      <c r="K8827" t="n">
        <v>0</v>
      </c>
      <c r="L8827" t="n">
        <v>0</v>
      </c>
      <c r="M8827" t="n">
        <v>0</v>
      </c>
      <c r="N8827" t="n">
        <v>0</v>
      </c>
      <c r="O8827" t="n">
        <v>0</v>
      </c>
      <c r="P8827" t="n">
        <v>0</v>
      </c>
      <c r="Q8827" t="n">
        <v>0</v>
      </c>
      <c r="R8827" t="n">
        <v>0</v>
      </c>
      <c r="S8827" t="n">
        <v>0</v>
      </c>
      <c r="T8827" t="n">
        <v>0</v>
      </c>
      <c r="U8827" t="n">
        <v>0</v>
      </c>
      <c r="V8827" s="2" t="inlineStr"/>
    </row>
    <row r="8828" ht="15" customHeight="1">
      <c r="A8828" t="inlineStr">
        <is>
          <t>A 42943-2024</t>
        </is>
      </c>
      <c r="B8828" t="inlineStr">
        <is>
          <t>avverkningsanmälan</t>
        </is>
      </c>
      <c r="C8828" t="inlineStr">
        <is>
          <t>Föryngringsavverkning</t>
        </is>
      </c>
      <c r="D8828" s="1" t="n">
        <v>45567</v>
      </c>
      <c r="E8828" s="1" t="n">
        <v>46319</v>
      </c>
      <c r="F8828" t="inlineStr">
        <is>
          <t>DALARNAS LÄN</t>
        </is>
      </c>
      <c r="G8828" t="inlineStr">
        <is>
          <t>MORA</t>
        </is>
      </c>
      <c r="I8828" t="n">
        <v>0.5</v>
      </c>
      <c r="J8828" t="n">
        <v>0</v>
      </c>
      <c r="K8828" t="n">
        <v>0</v>
      </c>
      <c r="L8828" t="n">
        <v>0</v>
      </c>
      <c r="M8828" t="n">
        <v>0</v>
      </c>
      <c r="N8828" t="n">
        <v>0</v>
      </c>
      <c r="O8828" t="n">
        <v>0</v>
      </c>
      <c r="P8828" t="n">
        <v>0</v>
      </c>
      <c r="Q8828" t="n">
        <v>0</v>
      </c>
      <c r="R8828" t="n">
        <v>0</v>
      </c>
      <c r="S8828" t="n">
        <v>0</v>
      </c>
      <c r="T8828" t="n">
        <v>0</v>
      </c>
      <c r="U8828" t="n">
        <v>0</v>
      </c>
      <c r="V8828" s="2" t="inlineStr"/>
    </row>
    <row r="8829" ht="15" customHeight="1">
      <c r="A8829" t="inlineStr">
        <is>
          <t>A 43011-2024</t>
        </is>
      </c>
      <c r="B8829" t="inlineStr">
        <is>
          <t>avverkningsanmälan</t>
        </is>
      </c>
      <c r="C8829" t="inlineStr">
        <is>
          <t>Föryngringsavverkning</t>
        </is>
      </c>
      <c r="D8829" s="1" t="n">
        <v>45567</v>
      </c>
      <c r="E8829" s="1" t="n">
        <v>46319</v>
      </c>
      <c r="F8829" t="inlineStr">
        <is>
          <t>DALARNAS LÄN</t>
        </is>
      </c>
      <c r="G8829" t="inlineStr">
        <is>
          <t>RÄTTVIK</t>
        </is>
      </c>
      <c r="I8829" t="n">
        <v>0.4</v>
      </c>
      <c r="J8829" t="n">
        <v>0</v>
      </c>
      <c r="K8829" t="n">
        <v>0</v>
      </c>
      <c r="L8829" t="n">
        <v>0</v>
      </c>
      <c r="M8829" t="n">
        <v>0</v>
      </c>
      <c r="N8829" t="n">
        <v>0</v>
      </c>
      <c r="O8829" t="n">
        <v>0</v>
      </c>
      <c r="P8829" t="n">
        <v>0</v>
      </c>
      <c r="Q8829" t="n">
        <v>0</v>
      </c>
      <c r="R8829" t="n">
        <v>0</v>
      </c>
      <c r="S8829" t="n">
        <v>0</v>
      </c>
      <c r="T8829" t="n">
        <v>0</v>
      </c>
      <c r="U8829" t="n">
        <v>0</v>
      </c>
      <c r="V8829" s="2" t="inlineStr"/>
    </row>
    <row r="8830" ht="15" customHeight="1">
      <c r="A8830" t="inlineStr">
        <is>
          <t>A 27609-2024</t>
        </is>
      </c>
      <c r="B8830" t="inlineStr">
        <is>
          <t>avverkningsanmälan</t>
        </is>
      </c>
      <c r="C8830" t="inlineStr">
        <is>
          <t>Föryngringsavverkning</t>
        </is>
      </c>
      <c r="D8830" s="1" t="n">
        <v>45474</v>
      </c>
      <c r="E8830" s="1" t="n">
        <v>46319</v>
      </c>
      <c r="F8830" t="inlineStr">
        <is>
          <t>DALARNAS LÄN</t>
        </is>
      </c>
      <c r="G8830" t="inlineStr">
        <is>
          <t>HEDEMORA</t>
        </is>
      </c>
      <c r="H8830" t="inlineStr">
        <is>
          <t>Sveaskog</t>
        </is>
      </c>
      <c r="I8830" t="n">
        <v>1.9</v>
      </c>
      <c r="J8830" t="n">
        <v>0</v>
      </c>
      <c r="K8830" t="n">
        <v>0</v>
      </c>
      <c r="L8830" t="n">
        <v>0</v>
      </c>
      <c r="M8830" t="n">
        <v>0</v>
      </c>
      <c r="N8830" t="n">
        <v>0</v>
      </c>
      <c r="O8830" t="n">
        <v>0</v>
      </c>
      <c r="P8830" t="n">
        <v>0</v>
      </c>
      <c r="Q8830" t="n">
        <v>0</v>
      </c>
      <c r="R8830" t="n">
        <v>0</v>
      </c>
      <c r="S8830" t="n">
        <v>0</v>
      </c>
      <c r="T8830" t="n">
        <v>0</v>
      </c>
      <c r="U8830" t="n">
        <v>0</v>
      </c>
      <c r="V8830" s="2" t="inlineStr"/>
    </row>
    <row r="8831" ht="15" customHeight="1">
      <c r="A8831" t="inlineStr">
        <is>
          <t>A 34835-2023</t>
        </is>
      </c>
      <c r="B8831" t="inlineStr">
        <is>
          <t>avverkningsanmälan</t>
        </is>
      </c>
      <c r="C8831" t="inlineStr">
        <is>
          <t>Föryngringsavverkning</t>
        </is>
      </c>
      <c r="D8831" s="1" t="n">
        <v>45141</v>
      </c>
      <c r="E8831" s="1" t="n">
        <v>46319</v>
      </c>
      <c r="F8831" t="inlineStr">
        <is>
          <t>DALARNAS LÄN</t>
        </is>
      </c>
      <c r="G8831" t="inlineStr">
        <is>
          <t>ÄLVDALEN</t>
        </is>
      </c>
      <c r="I8831" t="n">
        <v>3.4</v>
      </c>
      <c r="J8831" t="n">
        <v>0</v>
      </c>
      <c r="K8831" t="n">
        <v>0</v>
      </c>
      <c r="L8831" t="n">
        <v>0</v>
      </c>
      <c r="M8831" t="n">
        <v>0</v>
      </c>
      <c r="N8831" t="n">
        <v>0</v>
      </c>
      <c r="O8831" t="n">
        <v>0</v>
      </c>
      <c r="P8831" t="n">
        <v>0</v>
      </c>
      <c r="Q8831" t="n">
        <v>0</v>
      </c>
      <c r="R8831" t="n">
        <v>0</v>
      </c>
      <c r="S8831" t="n">
        <v>0</v>
      </c>
      <c r="T8831" t="n">
        <v>0</v>
      </c>
      <c r="U8831" t="n">
        <v>0</v>
      </c>
      <c r="V8831" s="2" t="inlineStr"/>
    </row>
    <row r="8832" ht="15" customHeight="1">
      <c r="A8832" t="inlineStr">
        <is>
          <t>A 62342-2023</t>
        </is>
      </c>
      <c r="B8832" t="inlineStr">
        <is>
          <t>avverkningsanmälan</t>
        </is>
      </c>
      <c r="C8832" t="inlineStr">
        <is>
          <t>Föryngringsavverkning</t>
        </is>
      </c>
      <c r="D8832" s="1" t="n">
        <v>45267</v>
      </c>
      <c r="E8832" s="1" t="n">
        <v>46319</v>
      </c>
      <c r="F8832" t="inlineStr">
        <is>
          <t>DALARNAS LÄN</t>
        </is>
      </c>
      <c r="G8832" t="inlineStr">
        <is>
          <t>ORSA</t>
        </is>
      </c>
      <c r="I8832" t="n">
        <v>2.5</v>
      </c>
      <c r="J8832" t="n">
        <v>0</v>
      </c>
      <c r="K8832" t="n">
        <v>0</v>
      </c>
      <c r="L8832" t="n">
        <v>0</v>
      </c>
      <c r="M8832" t="n">
        <v>0</v>
      </c>
      <c r="N8832" t="n">
        <v>0</v>
      </c>
      <c r="O8832" t="n">
        <v>0</v>
      </c>
      <c r="P8832" t="n">
        <v>0</v>
      </c>
      <c r="Q8832" t="n">
        <v>0</v>
      </c>
      <c r="R8832" t="n">
        <v>0</v>
      </c>
      <c r="S8832" t="n">
        <v>0</v>
      </c>
      <c r="T8832" t="n">
        <v>0</v>
      </c>
      <c r="U8832" t="n">
        <v>0</v>
      </c>
      <c r="V8832" s="2" t="inlineStr"/>
    </row>
    <row r="8833" ht="15" customHeight="1">
      <c r="A8833" t="inlineStr">
        <is>
          <t>A 27679-2024</t>
        </is>
      </c>
      <c r="B8833" t="inlineStr">
        <is>
          <t>avverkningsanmälan</t>
        </is>
      </c>
      <c r="C8833" t="inlineStr">
        <is>
          <t>Föryngringsavverkning</t>
        </is>
      </c>
      <c r="D8833" s="1" t="n">
        <v>45475</v>
      </c>
      <c r="E8833" s="1" t="n">
        <v>46319</v>
      </c>
      <c r="F8833" t="inlineStr">
        <is>
          <t>DALARNAS LÄN</t>
        </is>
      </c>
      <c r="G8833" t="inlineStr">
        <is>
          <t>FALUN</t>
        </is>
      </c>
      <c r="H8833" t="inlineStr">
        <is>
          <t>Bergvik skog väst AB</t>
        </is>
      </c>
      <c r="I8833" t="n">
        <v>2.9</v>
      </c>
      <c r="J8833" t="n">
        <v>0</v>
      </c>
      <c r="K8833" t="n">
        <v>0</v>
      </c>
      <c r="L8833" t="n">
        <v>0</v>
      </c>
      <c r="M8833" t="n">
        <v>0</v>
      </c>
      <c r="N8833" t="n">
        <v>0</v>
      </c>
      <c r="O8833" t="n">
        <v>0</v>
      </c>
      <c r="P8833" t="n">
        <v>0</v>
      </c>
      <c r="Q8833" t="n">
        <v>0</v>
      </c>
      <c r="R8833" t="n">
        <v>0</v>
      </c>
      <c r="S8833" t="n">
        <v>0</v>
      </c>
      <c r="T8833" t="n">
        <v>0</v>
      </c>
      <c r="U8833" t="n">
        <v>0</v>
      </c>
      <c r="V8833" s="2" t="inlineStr"/>
    </row>
    <row r="8834" ht="15" customHeight="1">
      <c r="A8834" t="inlineStr">
        <is>
          <t>A 60625-2023</t>
        </is>
      </c>
      <c r="B8834" t="inlineStr">
        <is>
          <t>avverkningsanmälan</t>
        </is>
      </c>
      <c r="C8834" t="inlineStr">
        <is>
          <t>Föryngringsavverkning</t>
        </is>
      </c>
      <c r="D8834" s="1" t="n">
        <v>45260</v>
      </c>
      <c r="E8834" s="1" t="n">
        <v>46319</v>
      </c>
      <c r="F8834" t="inlineStr">
        <is>
          <t>DALARNAS LÄN</t>
        </is>
      </c>
      <c r="G8834" t="inlineStr">
        <is>
          <t>BORLÄNGE</t>
        </is>
      </c>
      <c r="I8834" t="n">
        <v>1</v>
      </c>
      <c r="J8834" t="n">
        <v>0</v>
      </c>
      <c r="K8834" t="n">
        <v>0</v>
      </c>
      <c r="L8834" t="n">
        <v>0</v>
      </c>
      <c r="M8834" t="n">
        <v>0</v>
      </c>
      <c r="N8834" t="n">
        <v>0</v>
      </c>
      <c r="O8834" t="n">
        <v>0</v>
      </c>
      <c r="P8834" t="n">
        <v>0</v>
      </c>
      <c r="Q8834" t="n">
        <v>0</v>
      </c>
      <c r="R8834" t="n">
        <v>0</v>
      </c>
      <c r="S8834" t="n">
        <v>0</v>
      </c>
      <c r="T8834" t="n">
        <v>0</v>
      </c>
      <c r="U8834" t="n">
        <v>0</v>
      </c>
      <c r="V8834" s="2" t="inlineStr"/>
    </row>
    <row r="8835" ht="15" customHeight="1">
      <c r="A8835" t="inlineStr">
        <is>
          <t>A 27080-2024</t>
        </is>
      </c>
      <c r="B8835" t="inlineStr">
        <is>
          <t>avverkningsanmälan</t>
        </is>
      </c>
      <c r="C8835" t="inlineStr">
        <is>
          <t>Föryngringsavverkning</t>
        </is>
      </c>
      <c r="D8835" s="1" t="n">
        <v>45471</v>
      </c>
      <c r="E8835" s="1" t="n">
        <v>46319</v>
      </c>
      <c r="F8835" t="inlineStr">
        <is>
          <t>DALARNAS LÄN</t>
        </is>
      </c>
      <c r="G8835" t="inlineStr">
        <is>
          <t>VANSBRO</t>
        </is>
      </c>
      <c r="I8835" t="n">
        <v>0.7</v>
      </c>
      <c r="J8835" t="n">
        <v>0</v>
      </c>
      <c r="K8835" t="n">
        <v>0</v>
      </c>
      <c r="L8835" t="n">
        <v>0</v>
      </c>
      <c r="M8835" t="n">
        <v>0</v>
      </c>
      <c r="N8835" t="n">
        <v>0</v>
      </c>
      <c r="O8835" t="n">
        <v>0</v>
      </c>
      <c r="P8835" t="n">
        <v>0</v>
      </c>
      <c r="Q8835" t="n">
        <v>0</v>
      </c>
      <c r="R8835" t="n">
        <v>0</v>
      </c>
      <c r="S8835" t="n">
        <v>0</v>
      </c>
      <c r="T8835" t="n">
        <v>0</v>
      </c>
      <c r="U8835" t="n">
        <v>0</v>
      </c>
      <c r="V8835" s="2" t="inlineStr"/>
    </row>
    <row r="8836" ht="15" customHeight="1">
      <c r="A8836" t="inlineStr">
        <is>
          <t>A 4489-2022</t>
        </is>
      </c>
      <c r="B8836" t="inlineStr">
        <is>
          <t>avverkningsanmälan</t>
        </is>
      </c>
      <c r="C8836" t="inlineStr">
        <is>
          <t>Föryngringsavverkning</t>
        </is>
      </c>
      <c r="D8836" s="1" t="n">
        <v>44589</v>
      </c>
      <c r="E8836" s="1" t="n">
        <v>46319</v>
      </c>
      <c r="F8836" t="inlineStr">
        <is>
          <t>DALARNAS LÄN</t>
        </is>
      </c>
      <c r="G8836" t="inlineStr">
        <is>
          <t>MORA</t>
        </is>
      </c>
      <c r="I8836" t="n">
        <v>0.7</v>
      </c>
      <c r="J8836" t="n">
        <v>0</v>
      </c>
      <c r="K8836" t="n">
        <v>0</v>
      </c>
      <c r="L8836" t="n">
        <v>0</v>
      </c>
      <c r="M8836" t="n">
        <v>0</v>
      </c>
      <c r="N8836" t="n">
        <v>0</v>
      </c>
      <c r="O8836" t="n">
        <v>0</v>
      </c>
      <c r="P8836" t="n">
        <v>0</v>
      </c>
      <c r="Q8836" t="n">
        <v>0</v>
      </c>
      <c r="R8836" t="n">
        <v>0</v>
      </c>
      <c r="S8836" t="n">
        <v>0</v>
      </c>
      <c r="T8836" t="n">
        <v>0</v>
      </c>
      <c r="U8836" t="n">
        <v>0</v>
      </c>
      <c r="V8836" s="2" t="inlineStr"/>
    </row>
    <row r="8837" ht="15" customHeight="1">
      <c r="A8837" t="inlineStr">
        <is>
          <t>A 44572-2024</t>
        </is>
      </c>
      <c r="B8837" t="inlineStr">
        <is>
          <t>avverkningsanmälan</t>
        </is>
      </c>
      <c r="C8837" t="inlineStr">
        <is>
          <t>Föryngringsavverkning</t>
        </is>
      </c>
      <c r="D8837" s="1" t="n">
        <v>45574</v>
      </c>
      <c r="E8837" s="1" t="n">
        <v>46319</v>
      </c>
      <c r="F8837" t="inlineStr">
        <is>
          <t>DALARNAS LÄN</t>
        </is>
      </c>
      <c r="G8837" t="inlineStr">
        <is>
          <t>GAGNEF</t>
        </is>
      </c>
      <c r="I8837" t="n">
        <v>0.8</v>
      </c>
      <c r="J8837" t="n">
        <v>0</v>
      </c>
      <c r="K8837" t="n">
        <v>0</v>
      </c>
      <c r="L8837" t="n">
        <v>0</v>
      </c>
      <c r="M8837" t="n">
        <v>0</v>
      </c>
      <c r="N8837" t="n">
        <v>0</v>
      </c>
      <c r="O8837" t="n">
        <v>0</v>
      </c>
      <c r="P8837" t="n">
        <v>0</v>
      </c>
      <c r="Q8837" t="n">
        <v>0</v>
      </c>
      <c r="R8837" t="n">
        <v>0</v>
      </c>
      <c r="S8837" t="n">
        <v>0</v>
      </c>
      <c r="T8837" t="n">
        <v>0</v>
      </c>
      <c r="U8837" t="n">
        <v>0</v>
      </c>
      <c r="V8837" s="2" t="inlineStr"/>
    </row>
    <row r="8838" ht="15" customHeight="1">
      <c r="A8838" t="inlineStr">
        <is>
          <t>A 54842-2023</t>
        </is>
      </c>
      <c r="B8838" t="inlineStr">
        <is>
          <t>avverkningsanmälan</t>
        </is>
      </c>
      <c r="C8838" t="inlineStr">
        <is>
          <t>Föryngringsavverkning</t>
        </is>
      </c>
      <c r="D8838" s="1" t="n">
        <v>45236</v>
      </c>
      <c r="E8838" s="1" t="n">
        <v>46319</v>
      </c>
      <c r="F8838" t="inlineStr">
        <is>
          <t>DALARNAS LÄN</t>
        </is>
      </c>
      <c r="G8838" t="inlineStr">
        <is>
          <t>MALUNG-SÄLEN</t>
        </is>
      </c>
      <c r="I8838" t="n">
        <v>2</v>
      </c>
      <c r="J8838" t="n">
        <v>0</v>
      </c>
      <c r="K8838" t="n">
        <v>0</v>
      </c>
      <c r="L8838" t="n">
        <v>0</v>
      </c>
      <c r="M8838" t="n">
        <v>0</v>
      </c>
      <c r="N8838" t="n">
        <v>0</v>
      </c>
      <c r="O8838" t="n">
        <v>0</v>
      </c>
      <c r="P8838" t="n">
        <v>0</v>
      </c>
      <c r="Q8838" t="n">
        <v>0</v>
      </c>
      <c r="R8838" t="n">
        <v>0</v>
      </c>
      <c r="S8838" t="n">
        <v>0</v>
      </c>
      <c r="T8838" t="n">
        <v>0</v>
      </c>
      <c r="U8838" t="n">
        <v>0</v>
      </c>
      <c r="V8838" s="2" t="inlineStr"/>
    </row>
    <row r="8839" ht="15" customHeight="1">
      <c r="A8839" t="inlineStr">
        <is>
          <t>A 5418-2025</t>
        </is>
      </c>
      <c r="B8839" t="inlineStr">
        <is>
          <t>avverkningsanmälan</t>
        </is>
      </c>
      <c r="C8839" t="inlineStr">
        <is>
          <t>Föryngringsavverkning</t>
        </is>
      </c>
      <c r="D8839" s="1" t="n">
        <v>45692</v>
      </c>
      <c r="E8839" s="1" t="n">
        <v>46319</v>
      </c>
      <c r="F8839" t="inlineStr">
        <is>
          <t>DALARNAS LÄN</t>
        </is>
      </c>
      <c r="G8839" t="inlineStr">
        <is>
          <t>MORA</t>
        </is>
      </c>
      <c r="I8839" t="n">
        <v>0.9</v>
      </c>
      <c r="J8839" t="n">
        <v>0</v>
      </c>
      <c r="K8839" t="n">
        <v>0</v>
      </c>
      <c r="L8839" t="n">
        <v>0</v>
      </c>
      <c r="M8839" t="n">
        <v>0</v>
      </c>
      <c r="N8839" t="n">
        <v>0</v>
      </c>
      <c r="O8839" t="n">
        <v>0</v>
      </c>
      <c r="P8839" t="n">
        <v>0</v>
      </c>
      <c r="Q8839" t="n">
        <v>0</v>
      </c>
      <c r="R8839" t="n">
        <v>0</v>
      </c>
      <c r="S8839" t="n">
        <v>0</v>
      </c>
      <c r="T8839" t="n">
        <v>0</v>
      </c>
      <c r="U8839" t="n">
        <v>0</v>
      </c>
      <c r="V8839" s="2" t="inlineStr"/>
    </row>
    <row r="8840" ht="15" customHeight="1">
      <c r="A8840" t="inlineStr">
        <is>
          <t>A 19842-2025</t>
        </is>
      </c>
      <c r="B8840" t="inlineStr">
        <is>
          <t>avverkningsanmälan</t>
        </is>
      </c>
      <c r="C8840" t="inlineStr">
        <is>
          <t>Föryngringsavverkning</t>
        </is>
      </c>
      <c r="D8840" s="1" t="n">
        <v>45771</v>
      </c>
      <c r="E8840" s="1" t="n">
        <v>46319</v>
      </c>
      <c r="F8840" t="inlineStr">
        <is>
          <t>DALARNAS LÄN</t>
        </is>
      </c>
      <c r="G8840" t="inlineStr">
        <is>
          <t>MORA</t>
        </is>
      </c>
      <c r="I8840" t="n">
        <v>1.9</v>
      </c>
      <c r="J8840" t="n">
        <v>0</v>
      </c>
      <c r="K8840" t="n">
        <v>0</v>
      </c>
      <c r="L8840" t="n">
        <v>0</v>
      </c>
      <c r="M8840" t="n">
        <v>0</v>
      </c>
      <c r="N8840" t="n">
        <v>0</v>
      </c>
      <c r="O8840" t="n">
        <v>0</v>
      </c>
      <c r="P8840" t="n">
        <v>0</v>
      </c>
      <c r="Q8840" t="n">
        <v>0</v>
      </c>
      <c r="R8840" t="n">
        <v>0</v>
      </c>
      <c r="S8840" t="n">
        <v>0</v>
      </c>
      <c r="T8840" t="n">
        <v>0</v>
      </c>
      <c r="U8840" t="n">
        <v>0</v>
      </c>
      <c r="V8840" s="2" t="inlineStr"/>
    </row>
    <row r="8841" ht="15" customHeight="1">
      <c r="A8841" t="inlineStr">
        <is>
          <t>A 56279-2023</t>
        </is>
      </c>
      <c r="B8841" t="inlineStr">
        <is>
          <t>avverkningsanmälan</t>
        </is>
      </c>
      <c r="C8841" t="inlineStr">
        <is>
          <t>Föryngringsavverkning</t>
        </is>
      </c>
      <c r="D8841" s="1" t="n">
        <v>45241</v>
      </c>
      <c r="E8841" s="1" t="n">
        <v>46319</v>
      </c>
      <c r="F8841" t="inlineStr">
        <is>
          <t>DALARNAS LÄN</t>
        </is>
      </c>
      <c r="G8841" t="inlineStr">
        <is>
          <t>FALUN</t>
        </is>
      </c>
      <c r="H8841" t="inlineStr">
        <is>
          <t>Bergvik skog väst AB</t>
        </is>
      </c>
      <c r="I8841" t="n">
        <v>1.4</v>
      </c>
      <c r="J8841" t="n">
        <v>0</v>
      </c>
      <c r="K8841" t="n">
        <v>0</v>
      </c>
      <c r="L8841" t="n">
        <v>0</v>
      </c>
      <c r="M8841" t="n">
        <v>0</v>
      </c>
      <c r="N8841" t="n">
        <v>0</v>
      </c>
      <c r="O8841" t="n">
        <v>0</v>
      </c>
      <c r="P8841" t="n">
        <v>0</v>
      </c>
      <c r="Q8841" t="n">
        <v>0</v>
      </c>
      <c r="R8841" t="n">
        <v>0</v>
      </c>
      <c r="S8841" t="n">
        <v>0</v>
      </c>
      <c r="T8841" t="n">
        <v>0</v>
      </c>
      <c r="U8841" t="n">
        <v>0</v>
      </c>
      <c r="V8841" s="2" t="inlineStr"/>
    </row>
    <row r="8842" ht="15" customHeight="1">
      <c r="A8842" t="inlineStr">
        <is>
          <t>A 16413-2024</t>
        </is>
      </c>
      <c r="B8842" t="inlineStr">
        <is>
          <t>avverkningsanmälan</t>
        </is>
      </c>
      <c r="C8842" t="inlineStr">
        <is>
          <t>Avverkning för annat ändamål</t>
        </is>
      </c>
      <c r="D8842" s="1" t="n">
        <v>45407</v>
      </c>
      <c r="E8842" s="1" t="n">
        <v>46319</v>
      </c>
      <c r="F8842" t="inlineStr">
        <is>
          <t>DALARNAS LÄN</t>
        </is>
      </c>
      <c r="G8842" t="inlineStr">
        <is>
          <t>HEDEMORA</t>
        </is>
      </c>
      <c r="H8842" t="inlineStr">
        <is>
          <t>Sveaskog</t>
        </is>
      </c>
      <c r="I8842" t="n">
        <v>0.4</v>
      </c>
      <c r="J8842" t="n">
        <v>0</v>
      </c>
      <c r="K8842" t="n">
        <v>0</v>
      </c>
      <c r="L8842" t="n">
        <v>0</v>
      </c>
      <c r="M8842" t="n">
        <v>0</v>
      </c>
      <c r="N8842" t="n">
        <v>0</v>
      </c>
      <c r="O8842" t="n">
        <v>0</v>
      </c>
      <c r="P8842" t="n">
        <v>0</v>
      </c>
      <c r="Q8842" t="n">
        <v>0</v>
      </c>
      <c r="R8842" t="n">
        <v>0</v>
      </c>
      <c r="S8842" t="n">
        <v>0</v>
      </c>
      <c r="T8842" t="n">
        <v>0</v>
      </c>
      <c r="U8842" t="n">
        <v>0</v>
      </c>
      <c r="V8842" s="2" t="inlineStr"/>
    </row>
    <row r="8843" ht="15" customHeight="1">
      <c r="A8843" t="inlineStr">
        <is>
          <t>A 70046-2021</t>
        </is>
      </c>
      <c r="B8843" t="inlineStr">
        <is>
          <t>avverkningsanmälan</t>
        </is>
      </c>
      <c r="C8843" t="inlineStr">
        <is>
          <t>Föryngringsavverkning</t>
        </is>
      </c>
      <c r="D8843" s="1" t="n">
        <v>44533</v>
      </c>
      <c r="E8843" s="1" t="n">
        <v>46319</v>
      </c>
      <c r="F8843" t="inlineStr">
        <is>
          <t>DALARNAS LÄN</t>
        </is>
      </c>
      <c r="G8843" t="inlineStr">
        <is>
          <t>LUDVIKA</t>
        </is>
      </c>
      <c r="H8843" t="inlineStr">
        <is>
          <t>Bergvik skog väst AB</t>
        </is>
      </c>
      <c r="I8843" t="n">
        <v>1.4</v>
      </c>
      <c r="J8843" t="n">
        <v>0</v>
      </c>
      <c r="K8843" t="n">
        <v>0</v>
      </c>
      <c r="L8843" t="n">
        <v>0</v>
      </c>
      <c r="M8843" t="n">
        <v>0</v>
      </c>
      <c r="N8843" t="n">
        <v>0</v>
      </c>
      <c r="O8843" t="n">
        <v>0</v>
      </c>
      <c r="P8843" t="n">
        <v>0</v>
      </c>
      <c r="Q8843" t="n">
        <v>0</v>
      </c>
      <c r="R8843" t="n">
        <v>0</v>
      </c>
      <c r="S8843" t="n">
        <v>0</v>
      </c>
      <c r="T8843" t="n">
        <v>0</v>
      </c>
      <c r="U8843" t="n">
        <v>0</v>
      </c>
      <c r="V8843" s="2" t="inlineStr"/>
    </row>
    <row r="8844" ht="15" customHeight="1">
      <c r="A8844" t="inlineStr">
        <is>
          <t>A 48589-2024</t>
        </is>
      </c>
      <c r="B8844" t="inlineStr">
        <is>
          <t>avverkningsanmälan</t>
        </is>
      </c>
      <c r="C8844" t="inlineStr">
        <is>
          <t>Föryngringsavverkning</t>
        </is>
      </c>
      <c r="D8844" s="1" t="n">
        <v>45593</v>
      </c>
      <c r="E8844" s="1" t="n">
        <v>46319</v>
      </c>
      <c r="F8844" t="inlineStr">
        <is>
          <t>DALARNAS LÄN</t>
        </is>
      </c>
      <c r="G8844" t="inlineStr">
        <is>
          <t>FALUN</t>
        </is>
      </c>
      <c r="I8844" t="n">
        <v>1.2</v>
      </c>
      <c r="J8844" t="n">
        <v>0</v>
      </c>
      <c r="K8844" t="n">
        <v>0</v>
      </c>
      <c r="L8844" t="n">
        <v>0</v>
      </c>
      <c r="M8844" t="n">
        <v>0</v>
      </c>
      <c r="N8844" t="n">
        <v>0</v>
      </c>
      <c r="O8844" t="n">
        <v>0</v>
      </c>
      <c r="P8844" t="n">
        <v>0</v>
      </c>
      <c r="Q8844" t="n">
        <v>0</v>
      </c>
      <c r="R8844" t="n">
        <v>0</v>
      </c>
      <c r="S8844" t="n">
        <v>0</v>
      </c>
      <c r="T8844" t="n">
        <v>0</v>
      </c>
      <c r="U8844" t="n">
        <v>0</v>
      </c>
      <c r="V8844" s="2" t="inlineStr"/>
    </row>
    <row r="8845" ht="15" customHeight="1">
      <c r="A8845" t="inlineStr">
        <is>
          <t>A 42677-2024</t>
        </is>
      </c>
      <c r="B8845" t="inlineStr">
        <is>
          <t>avverkningsanmälan</t>
        </is>
      </c>
      <c r="C8845" t="inlineStr">
        <is>
          <t>Föryngringsavverkning</t>
        </is>
      </c>
      <c r="D8845" s="1" t="n">
        <v>45566</v>
      </c>
      <c r="E8845" s="1" t="n">
        <v>46319</v>
      </c>
      <c r="F8845" t="inlineStr">
        <is>
          <t>DALARNAS LÄN</t>
        </is>
      </c>
      <c r="G8845" t="inlineStr">
        <is>
          <t>GAGNEF</t>
        </is>
      </c>
      <c r="I8845" t="n">
        <v>0.9</v>
      </c>
      <c r="J8845" t="n">
        <v>0</v>
      </c>
      <c r="K8845" t="n">
        <v>0</v>
      </c>
      <c r="L8845" t="n">
        <v>0</v>
      </c>
      <c r="M8845" t="n">
        <v>0</v>
      </c>
      <c r="N8845" t="n">
        <v>0</v>
      </c>
      <c r="O8845" t="n">
        <v>0</v>
      </c>
      <c r="P8845" t="n">
        <v>0</v>
      </c>
      <c r="Q8845" t="n">
        <v>0</v>
      </c>
      <c r="R8845" t="n">
        <v>0</v>
      </c>
      <c r="S8845" t="n">
        <v>0</v>
      </c>
      <c r="T8845" t="n">
        <v>0</v>
      </c>
      <c r="U8845" t="n">
        <v>0</v>
      </c>
      <c r="V8845" s="2" t="inlineStr"/>
    </row>
    <row r="8846" ht="15" customHeight="1">
      <c r="A8846" t="inlineStr">
        <is>
          <t>A 18134-2025</t>
        </is>
      </c>
      <c r="B8846" t="inlineStr">
        <is>
          <t>avverkningsanmälan</t>
        </is>
      </c>
      <c r="C8846" t="inlineStr">
        <is>
          <t>Föryngringsavverkning</t>
        </is>
      </c>
      <c r="D8846" s="1" t="n">
        <v>45761</v>
      </c>
      <c r="E8846" s="1" t="n">
        <v>46319</v>
      </c>
      <c r="F8846" t="inlineStr">
        <is>
          <t>DALARNAS LÄN</t>
        </is>
      </c>
      <c r="G8846" t="inlineStr">
        <is>
          <t>MORA</t>
        </is>
      </c>
      <c r="H8846" t="inlineStr">
        <is>
          <t>Bergvik skog öst AB</t>
        </is>
      </c>
      <c r="I8846" t="n">
        <v>0.9</v>
      </c>
      <c r="J8846" t="n">
        <v>0</v>
      </c>
      <c r="K8846" t="n">
        <v>0</v>
      </c>
      <c r="L8846" t="n">
        <v>0</v>
      </c>
      <c r="M8846" t="n">
        <v>0</v>
      </c>
      <c r="N8846" t="n">
        <v>0</v>
      </c>
      <c r="O8846" t="n">
        <v>0</v>
      </c>
      <c r="P8846" t="n">
        <v>0</v>
      </c>
      <c r="Q8846" t="n">
        <v>0</v>
      </c>
      <c r="R8846" t="n">
        <v>0</v>
      </c>
      <c r="S8846" t="n">
        <v>0</v>
      </c>
      <c r="T8846" t="n">
        <v>0</v>
      </c>
      <c r="U8846" t="n">
        <v>0</v>
      </c>
      <c r="V8846" s="2" t="inlineStr"/>
    </row>
    <row r="8847" ht="15" customHeight="1">
      <c r="A8847" t="inlineStr">
        <is>
          <t>A 49493-2024</t>
        </is>
      </c>
      <c r="B8847" t="inlineStr">
        <is>
          <t>avverkningsanmälan</t>
        </is>
      </c>
      <c r="C8847" t="inlineStr">
        <is>
          <t>Föryngringsavverkning</t>
        </is>
      </c>
      <c r="D8847" s="1" t="n">
        <v>45596</v>
      </c>
      <c r="E8847" s="1" t="n">
        <v>46319</v>
      </c>
      <c r="F8847" t="inlineStr">
        <is>
          <t>DALARNAS LÄN</t>
        </is>
      </c>
      <c r="G8847" t="inlineStr">
        <is>
          <t>RÄTTVIK</t>
        </is>
      </c>
      <c r="I8847" t="n">
        <v>0.6</v>
      </c>
      <c r="J8847" t="n">
        <v>0</v>
      </c>
      <c r="K8847" t="n">
        <v>0</v>
      </c>
      <c r="L8847" t="n">
        <v>0</v>
      </c>
      <c r="M8847" t="n">
        <v>0</v>
      </c>
      <c r="N8847" t="n">
        <v>0</v>
      </c>
      <c r="O8847" t="n">
        <v>0</v>
      </c>
      <c r="P8847" t="n">
        <v>0</v>
      </c>
      <c r="Q8847" t="n">
        <v>0</v>
      </c>
      <c r="R8847" t="n">
        <v>0</v>
      </c>
      <c r="S8847" t="n">
        <v>0</v>
      </c>
      <c r="T8847" t="n">
        <v>0</v>
      </c>
      <c r="U8847" t="n">
        <v>0</v>
      </c>
      <c r="V8847" s="2" t="inlineStr"/>
    </row>
    <row r="8848" ht="15" customHeight="1">
      <c r="A8848" t="inlineStr">
        <is>
          <t>A 52903-2024</t>
        </is>
      </c>
      <c r="B8848" t="inlineStr">
        <is>
          <t>avverkningsanmälan</t>
        </is>
      </c>
      <c r="C8848" t="inlineStr">
        <is>
          <t>Föryngringsavverkning</t>
        </is>
      </c>
      <c r="D8848" s="1" t="n">
        <v>45610</v>
      </c>
      <c r="E8848" s="1" t="n">
        <v>46319</v>
      </c>
      <c r="F8848" t="inlineStr">
        <is>
          <t>DALARNAS LÄN</t>
        </is>
      </c>
      <c r="G8848" t="inlineStr">
        <is>
          <t>ORSA</t>
        </is>
      </c>
      <c r="I8848" t="n">
        <v>1.3</v>
      </c>
      <c r="J8848" t="n">
        <v>0</v>
      </c>
      <c r="K8848" t="n">
        <v>0</v>
      </c>
      <c r="L8848" t="n">
        <v>0</v>
      </c>
      <c r="M8848" t="n">
        <v>0</v>
      </c>
      <c r="N8848" t="n">
        <v>0</v>
      </c>
      <c r="O8848" t="n">
        <v>0</v>
      </c>
      <c r="P8848" t="n">
        <v>0</v>
      </c>
      <c r="Q8848" t="n">
        <v>0</v>
      </c>
      <c r="R8848" t="n">
        <v>0</v>
      </c>
      <c r="S8848" t="n">
        <v>0</v>
      </c>
      <c r="T8848" t="n">
        <v>0</v>
      </c>
      <c r="U8848" t="n">
        <v>0</v>
      </c>
      <c r="V8848" s="2" t="inlineStr"/>
    </row>
    <row r="8849" ht="15" customHeight="1">
      <c r="A8849" t="inlineStr">
        <is>
          <t>A 39918-2024</t>
        </is>
      </c>
      <c r="B8849" t="inlineStr">
        <is>
          <t>avverkningsanmälan</t>
        </is>
      </c>
      <c r="C8849" t="inlineStr">
        <is>
          <t>Föryngringsavverkning</t>
        </is>
      </c>
      <c r="D8849" s="1" t="n">
        <v>45553</v>
      </c>
      <c r="E8849" s="1" t="n">
        <v>46319</v>
      </c>
      <c r="F8849" t="inlineStr">
        <is>
          <t>DALARNAS LÄN</t>
        </is>
      </c>
      <c r="G8849" t="inlineStr">
        <is>
          <t>FALUN</t>
        </is>
      </c>
      <c r="H8849" t="inlineStr">
        <is>
          <t>Bergvik skog väst AB</t>
        </is>
      </c>
      <c r="I8849" t="n">
        <v>1.8</v>
      </c>
      <c r="J8849" t="n">
        <v>0</v>
      </c>
      <c r="K8849" t="n">
        <v>0</v>
      </c>
      <c r="L8849" t="n">
        <v>0</v>
      </c>
      <c r="M8849" t="n">
        <v>0</v>
      </c>
      <c r="N8849" t="n">
        <v>0</v>
      </c>
      <c r="O8849" t="n">
        <v>0</v>
      </c>
      <c r="P8849" t="n">
        <v>0</v>
      </c>
      <c r="Q8849" t="n">
        <v>0</v>
      </c>
      <c r="R8849" t="n">
        <v>0</v>
      </c>
      <c r="S8849" t="n">
        <v>0</v>
      </c>
      <c r="T8849" t="n">
        <v>0</v>
      </c>
      <c r="U8849" t="n">
        <v>0</v>
      </c>
      <c r="V8849" s="2" t="inlineStr"/>
    </row>
    <row r="8850" ht="15" customHeight="1">
      <c r="A8850" t="inlineStr">
        <is>
          <t>A 39924-2024</t>
        </is>
      </c>
      <c r="B8850" t="inlineStr">
        <is>
          <t>avverkningsanmälan</t>
        </is>
      </c>
      <c r="C8850" t="inlineStr">
        <is>
          <t>Föryngringsavverkning</t>
        </is>
      </c>
      <c r="D8850" s="1" t="n">
        <v>45553</v>
      </c>
      <c r="E8850" s="1" t="n">
        <v>46319</v>
      </c>
      <c r="F8850" t="inlineStr">
        <is>
          <t>DALARNAS LÄN</t>
        </is>
      </c>
      <c r="G8850" t="inlineStr">
        <is>
          <t>FALUN</t>
        </is>
      </c>
      <c r="H8850" t="inlineStr">
        <is>
          <t>Bergvik skog väst AB</t>
        </is>
      </c>
      <c r="I8850" t="n">
        <v>1.6</v>
      </c>
      <c r="J8850" t="n">
        <v>0</v>
      </c>
      <c r="K8850" t="n">
        <v>0</v>
      </c>
      <c r="L8850" t="n">
        <v>0</v>
      </c>
      <c r="M8850" t="n">
        <v>0</v>
      </c>
      <c r="N8850" t="n">
        <v>0</v>
      </c>
      <c r="O8850" t="n">
        <v>0</v>
      </c>
      <c r="P8850" t="n">
        <v>0</v>
      </c>
      <c r="Q8850" t="n">
        <v>0</v>
      </c>
      <c r="R8850" t="n">
        <v>0</v>
      </c>
      <c r="S8850" t="n">
        <v>0</v>
      </c>
      <c r="T8850" t="n">
        <v>0</v>
      </c>
      <c r="U8850" t="n">
        <v>0</v>
      </c>
      <c r="V8850" s="2" t="inlineStr"/>
    </row>
    <row r="8851" ht="15" customHeight="1">
      <c r="A8851" t="inlineStr">
        <is>
          <t>A 847-2025</t>
        </is>
      </c>
      <c r="B8851" t="inlineStr">
        <is>
          <t>avverkningsanmälan</t>
        </is>
      </c>
      <c r="C8851" t="inlineStr">
        <is>
          <t>Föryngringsavverkning</t>
        </is>
      </c>
      <c r="D8851" s="1" t="n">
        <v>45665</v>
      </c>
      <c r="E8851" s="1" t="n">
        <v>46319</v>
      </c>
      <c r="F8851" t="inlineStr">
        <is>
          <t>DALARNAS LÄN</t>
        </is>
      </c>
      <c r="G8851" t="inlineStr">
        <is>
          <t>SÄTER</t>
        </is>
      </c>
      <c r="I8851" t="n">
        <v>1.2</v>
      </c>
      <c r="J8851" t="n">
        <v>0</v>
      </c>
      <c r="K8851" t="n">
        <v>0</v>
      </c>
      <c r="L8851" t="n">
        <v>0</v>
      </c>
      <c r="M8851" t="n">
        <v>0</v>
      </c>
      <c r="N8851" t="n">
        <v>0</v>
      </c>
      <c r="O8851" t="n">
        <v>0</v>
      </c>
      <c r="P8851" t="n">
        <v>0</v>
      </c>
      <c r="Q8851" t="n">
        <v>0</v>
      </c>
      <c r="R8851" t="n">
        <v>0</v>
      </c>
      <c r="S8851" t="n">
        <v>0</v>
      </c>
      <c r="T8851" t="n">
        <v>0</v>
      </c>
      <c r="U8851" t="n">
        <v>0</v>
      </c>
      <c r="V8851" s="2" t="inlineStr"/>
    </row>
    <row r="8852" ht="15" customHeight="1">
      <c r="A8852" t="inlineStr">
        <is>
          <t>A 19470-2024</t>
        </is>
      </c>
      <c r="B8852" t="inlineStr">
        <is>
          <t>avverkningsanmälan</t>
        </is>
      </c>
      <c r="C8852" t="inlineStr">
        <is>
          <t>Föryngringsavverkning</t>
        </is>
      </c>
      <c r="D8852" s="1" t="n">
        <v>45429</v>
      </c>
      <c r="E8852" s="1" t="n">
        <v>46319</v>
      </c>
      <c r="F8852" t="inlineStr">
        <is>
          <t>DALARNAS LÄN</t>
        </is>
      </c>
      <c r="G8852" t="inlineStr">
        <is>
          <t>SMEDJEBACKEN</t>
        </is>
      </c>
      <c r="H8852" t="inlineStr">
        <is>
          <t>Sveaskog</t>
        </is>
      </c>
      <c r="I8852" t="n">
        <v>1</v>
      </c>
      <c r="J8852" t="n">
        <v>0</v>
      </c>
      <c r="K8852" t="n">
        <v>0</v>
      </c>
      <c r="L8852" t="n">
        <v>0</v>
      </c>
      <c r="M8852" t="n">
        <v>0</v>
      </c>
      <c r="N8852" t="n">
        <v>0</v>
      </c>
      <c r="O8852" t="n">
        <v>0</v>
      </c>
      <c r="P8852" t="n">
        <v>0</v>
      </c>
      <c r="Q8852" t="n">
        <v>0</v>
      </c>
      <c r="R8852" t="n">
        <v>0</v>
      </c>
      <c r="S8852" t="n">
        <v>0</v>
      </c>
      <c r="T8852" t="n">
        <v>0</v>
      </c>
      <c r="U8852" t="n">
        <v>0</v>
      </c>
      <c r="V8852" s="2" t="inlineStr"/>
    </row>
    <row r="8853" ht="15" customHeight="1">
      <c r="A8853" t="inlineStr">
        <is>
          <t>A 19473-2024</t>
        </is>
      </c>
      <c r="B8853" t="inlineStr">
        <is>
          <t>avverkningsanmälan</t>
        </is>
      </c>
      <c r="C8853" t="inlineStr">
        <is>
          <t>Föryngringsavverkning</t>
        </is>
      </c>
      <c r="D8853" s="1" t="n">
        <v>45429</v>
      </c>
      <c r="E8853" s="1" t="n">
        <v>46319</v>
      </c>
      <c r="F8853" t="inlineStr">
        <is>
          <t>DALARNAS LÄN</t>
        </is>
      </c>
      <c r="G8853" t="inlineStr">
        <is>
          <t>HEDEMORA</t>
        </is>
      </c>
      <c r="I8853" t="n">
        <v>2.5</v>
      </c>
      <c r="J8853" t="n">
        <v>0</v>
      </c>
      <c r="K8853" t="n">
        <v>0</v>
      </c>
      <c r="L8853" t="n">
        <v>0</v>
      </c>
      <c r="M8853" t="n">
        <v>0</v>
      </c>
      <c r="N8853" t="n">
        <v>0</v>
      </c>
      <c r="O8853" t="n">
        <v>0</v>
      </c>
      <c r="P8853" t="n">
        <v>0</v>
      </c>
      <c r="Q8853" t="n">
        <v>0</v>
      </c>
      <c r="R8853" t="n">
        <v>0</v>
      </c>
      <c r="S8853" t="n">
        <v>0</v>
      </c>
      <c r="T8853" t="n">
        <v>0</v>
      </c>
      <c r="U8853" t="n">
        <v>0</v>
      </c>
      <c r="V8853" s="2" t="inlineStr"/>
    </row>
    <row r="8854" ht="15" customHeight="1">
      <c r="A8854" t="inlineStr">
        <is>
          <t>A 54243-2024</t>
        </is>
      </c>
      <c r="B8854" t="inlineStr">
        <is>
          <t>avverkningsanmälan</t>
        </is>
      </c>
      <c r="C8854" t="inlineStr">
        <is>
          <t>Avverkning för att bevara och utveckla /försöksver</t>
        </is>
      </c>
      <c r="D8854" s="1" t="n">
        <v>45616</v>
      </c>
      <c r="E8854" s="1" t="n">
        <v>46319</v>
      </c>
      <c r="F8854" t="inlineStr">
        <is>
          <t>DALARNAS LÄN</t>
        </is>
      </c>
      <c r="G8854" t="inlineStr">
        <is>
          <t>RÄTTVIK</t>
        </is>
      </c>
      <c r="I8854" t="n">
        <v>0.5</v>
      </c>
      <c r="J8854" t="n">
        <v>0</v>
      </c>
      <c r="K8854" t="n">
        <v>0</v>
      </c>
      <c r="L8854" t="n">
        <v>0</v>
      </c>
      <c r="M8854" t="n">
        <v>0</v>
      </c>
      <c r="N8854" t="n">
        <v>0</v>
      </c>
      <c r="O8854" t="n">
        <v>0</v>
      </c>
      <c r="P8854" t="n">
        <v>0</v>
      </c>
      <c r="Q8854" t="n">
        <v>0</v>
      </c>
      <c r="R8854" t="n">
        <v>0</v>
      </c>
      <c r="S8854" t="n">
        <v>0</v>
      </c>
      <c r="T8854" t="n">
        <v>0</v>
      </c>
      <c r="U8854" t="n">
        <v>0</v>
      </c>
      <c r="V8854" s="2" t="inlineStr"/>
    </row>
    <row r="8855" ht="15" customHeight="1">
      <c r="A8855" t="inlineStr">
        <is>
          <t>A 54300-2024</t>
        </is>
      </c>
      <c r="B8855" t="inlineStr">
        <is>
          <t>avverkningsanmälan</t>
        </is>
      </c>
      <c r="C8855" t="inlineStr">
        <is>
          <t>Avverkning för annat ändamål</t>
        </is>
      </c>
      <c r="D8855" s="1" t="n">
        <v>45617</v>
      </c>
      <c r="E8855" s="1" t="n">
        <v>46319</v>
      </c>
      <c r="F8855" t="inlineStr">
        <is>
          <t>DALARNAS LÄN</t>
        </is>
      </c>
      <c r="G8855" t="inlineStr">
        <is>
          <t>RÄTTVIK</t>
        </is>
      </c>
      <c r="I8855" t="n">
        <v>0.4</v>
      </c>
      <c r="J8855" t="n">
        <v>0</v>
      </c>
      <c r="K8855" t="n">
        <v>0</v>
      </c>
      <c r="L8855" t="n">
        <v>0</v>
      </c>
      <c r="M8855" t="n">
        <v>0</v>
      </c>
      <c r="N8855" t="n">
        <v>0</v>
      </c>
      <c r="O8855" t="n">
        <v>0</v>
      </c>
      <c r="P8855" t="n">
        <v>0</v>
      </c>
      <c r="Q8855" t="n">
        <v>0</v>
      </c>
      <c r="R8855" t="n">
        <v>0</v>
      </c>
      <c r="S8855" t="n">
        <v>0</v>
      </c>
      <c r="T8855" t="n">
        <v>0</v>
      </c>
      <c r="U8855" t="n">
        <v>0</v>
      </c>
      <c r="V8855" s="2" t="inlineStr"/>
    </row>
    <row r="8856" ht="15" customHeight="1">
      <c r="A8856" t="inlineStr">
        <is>
          <t>A 58572-2024</t>
        </is>
      </c>
      <c r="B8856" t="inlineStr">
        <is>
          <t>avverkningsanmälan</t>
        </is>
      </c>
      <c r="C8856" t="inlineStr">
        <is>
          <t>Föryngringsavverkning</t>
        </is>
      </c>
      <c r="D8856" s="1" t="n">
        <v>45632</v>
      </c>
      <c r="E8856" s="1" t="n">
        <v>46319</v>
      </c>
      <c r="F8856" t="inlineStr">
        <is>
          <t>DALARNAS LÄN</t>
        </is>
      </c>
      <c r="G8856" t="inlineStr">
        <is>
          <t>RÄTTVIK</t>
        </is>
      </c>
      <c r="I8856" t="n">
        <v>5.8</v>
      </c>
      <c r="J8856" t="n">
        <v>0</v>
      </c>
      <c r="K8856" t="n">
        <v>0</v>
      </c>
      <c r="L8856" t="n">
        <v>0</v>
      </c>
      <c r="M8856" t="n">
        <v>0</v>
      </c>
      <c r="N8856" t="n">
        <v>0</v>
      </c>
      <c r="O8856" t="n">
        <v>0</v>
      </c>
      <c r="P8856" t="n">
        <v>0</v>
      </c>
      <c r="Q8856" t="n">
        <v>0</v>
      </c>
      <c r="R8856" t="n">
        <v>0</v>
      </c>
      <c r="S8856" t="n">
        <v>0</v>
      </c>
      <c r="T8856" t="n">
        <v>0</v>
      </c>
      <c r="U8856" t="n">
        <v>0</v>
      </c>
      <c r="V8856" s="2" t="inlineStr"/>
    </row>
    <row r="8857" ht="15" customHeight="1">
      <c r="A8857" t="inlineStr">
        <is>
          <t>A 67310-2021</t>
        </is>
      </c>
      <c r="B8857" t="inlineStr">
        <is>
          <t>avverkningsanmälan</t>
        </is>
      </c>
      <c r="C8857" t="inlineStr">
        <is>
          <t>Föryngringsavverkning</t>
        </is>
      </c>
      <c r="D8857" s="1" t="n">
        <v>44523</v>
      </c>
      <c r="E8857" s="1" t="n">
        <v>46319</v>
      </c>
      <c r="F8857" t="inlineStr">
        <is>
          <t>DALARNAS LÄN</t>
        </is>
      </c>
      <c r="G8857" t="inlineStr">
        <is>
          <t>MALUNG-SÄLEN</t>
        </is>
      </c>
      <c r="H8857" t="inlineStr">
        <is>
          <t>Kyrkan</t>
        </is>
      </c>
      <c r="I8857" t="n">
        <v>0.5</v>
      </c>
      <c r="J8857" t="n">
        <v>0</v>
      </c>
      <c r="K8857" t="n">
        <v>0</v>
      </c>
      <c r="L8857" t="n">
        <v>0</v>
      </c>
      <c r="M8857" t="n">
        <v>0</v>
      </c>
      <c r="N8857" t="n">
        <v>0</v>
      </c>
      <c r="O8857" t="n">
        <v>0</v>
      </c>
      <c r="P8857" t="n">
        <v>0</v>
      </c>
      <c r="Q8857" t="n">
        <v>0</v>
      </c>
      <c r="R8857" t="n">
        <v>0</v>
      </c>
      <c r="S8857" t="n">
        <v>0</v>
      </c>
      <c r="T8857" t="n">
        <v>0</v>
      </c>
      <c r="U8857" t="n">
        <v>0</v>
      </c>
      <c r="V8857" s="2" t="inlineStr"/>
    </row>
    <row r="8858" ht="15" customHeight="1">
      <c r="A8858" t="inlineStr">
        <is>
          <t>A 61347-2023</t>
        </is>
      </c>
      <c r="B8858" t="inlineStr">
        <is>
          <t>avverkningsanmälan</t>
        </is>
      </c>
      <c r="C8858" t="inlineStr">
        <is>
          <t>Föryngringsavverkning</t>
        </is>
      </c>
      <c r="D8858" s="1" t="n">
        <v>45264</v>
      </c>
      <c r="E8858" s="1" t="n">
        <v>46319</v>
      </c>
      <c r="F8858" t="inlineStr">
        <is>
          <t>DALARNAS LÄN</t>
        </is>
      </c>
      <c r="G8858" t="inlineStr">
        <is>
          <t>RÄTTVIK</t>
        </is>
      </c>
      <c r="I8858" t="n">
        <v>0.6</v>
      </c>
      <c r="J8858" t="n">
        <v>0</v>
      </c>
      <c r="K8858" t="n">
        <v>0</v>
      </c>
      <c r="L8858" t="n">
        <v>0</v>
      </c>
      <c r="M8858" t="n">
        <v>0</v>
      </c>
      <c r="N8858" t="n">
        <v>0</v>
      </c>
      <c r="O8858" t="n">
        <v>0</v>
      </c>
      <c r="P8858" t="n">
        <v>0</v>
      </c>
      <c r="Q8858" t="n">
        <v>0</v>
      </c>
      <c r="R8858" t="n">
        <v>0</v>
      </c>
      <c r="S8858" t="n">
        <v>0</v>
      </c>
      <c r="T8858" t="n">
        <v>0</v>
      </c>
      <c r="U8858" t="n">
        <v>0</v>
      </c>
      <c r="V8858" s="2" t="inlineStr"/>
    </row>
    <row r="8859" ht="15" customHeight="1">
      <c r="A8859" t="inlineStr">
        <is>
          <t>A 61357-2023</t>
        </is>
      </c>
      <c r="B8859" t="inlineStr">
        <is>
          <t>avverkningsanmälan</t>
        </is>
      </c>
      <c r="C8859" t="inlineStr">
        <is>
          <t>Föryngringsavverkning</t>
        </is>
      </c>
      <c r="D8859" s="1" t="n">
        <v>45264</v>
      </c>
      <c r="E8859" s="1" t="n">
        <v>46319</v>
      </c>
      <c r="F8859" t="inlineStr">
        <is>
          <t>DALARNAS LÄN</t>
        </is>
      </c>
      <c r="G8859" t="inlineStr">
        <is>
          <t>RÄTTVIK</t>
        </is>
      </c>
      <c r="I8859" t="n">
        <v>0.5</v>
      </c>
      <c r="J8859" t="n">
        <v>0</v>
      </c>
      <c r="K8859" t="n">
        <v>0</v>
      </c>
      <c r="L8859" t="n">
        <v>0</v>
      </c>
      <c r="M8859" t="n">
        <v>0</v>
      </c>
      <c r="N8859" t="n">
        <v>0</v>
      </c>
      <c r="O8859" t="n">
        <v>0</v>
      </c>
      <c r="P8859" t="n">
        <v>0</v>
      </c>
      <c r="Q8859" t="n">
        <v>0</v>
      </c>
      <c r="R8859" t="n">
        <v>0</v>
      </c>
      <c r="S8859" t="n">
        <v>0</v>
      </c>
      <c r="T8859" t="n">
        <v>0</v>
      </c>
      <c r="U8859" t="n">
        <v>0</v>
      </c>
      <c r="V8859" s="2" t="inlineStr"/>
    </row>
    <row r="8860" ht="15" customHeight="1">
      <c r="A8860" t="inlineStr">
        <is>
          <t>A 34186-2023</t>
        </is>
      </c>
      <c r="B8860" t="inlineStr">
        <is>
          <t>avverkningsanmälan</t>
        </is>
      </c>
      <c r="C8860" t="inlineStr">
        <is>
          <t>Föryngringsavverkning</t>
        </is>
      </c>
      <c r="D8860" s="1" t="n">
        <v>45138</v>
      </c>
      <c r="E8860" s="1" t="n">
        <v>46319</v>
      </c>
      <c r="F8860" t="inlineStr">
        <is>
          <t>DALARNAS LÄN</t>
        </is>
      </c>
      <c r="G8860" t="inlineStr">
        <is>
          <t>AVESTA</t>
        </is>
      </c>
      <c r="I8860" t="n">
        <v>8.5</v>
      </c>
      <c r="J8860" t="n">
        <v>0</v>
      </c>
      <c r="K8860" t="n">
        <v>0</v>
      </c>
      <c r="L8860" t="n">
        <v>0</v>
      </c>
      <c r="M8860" t="n">
        <v>0</v>
      </c>
      <c r="N8860" t="n">
        <v>0</v>
      </c>
      <c r="O8860" t="n">
        <v>0</v>
      </c>
      <c r="P8860" t="n">
        <v>0</v>
      </c>
      <c r="Q8860" t="n">
        <v>0</v>
      </c>
      <c r="R8860" t="n">
        <v>0</v>
      </c>
      <c r="S8860" t="n">
        <v>0</v>
      </c>
      <c r="T8860" t="n">
        <v>0</v>
      </c>
      <c r="U8860" t="n">
        <v>0</v>
      </c>
      <c r="V8860" s="2" t="inlineStr"/>
    </row>
    <row r="8861" ht="15" customHeight="1">
      <c r="A8861" t="inlineStr">
        <is>
          <t>A 32560-2024</t>
        </is>
      </c>
      <c r="B8861" t="inlineStr">
        <is>
          <t>avverkningsanmälan</t>
        </is>
      </c>
      <c r="C8861" t="inlineStr">
        <is>
          <t>Föryngringsavverkning</t>
        </is>
      </c>
      <c r="D8861" s="1" t="n">
        <v>45513</v>
      </c>
      <c r="E8861" s="1" t="n">
        <v>46319</v>
      </c>
      <c r="F8861" t="inlineStr">
        <is>
          <t>DALARNAS LÄN</t>
        </is>
      </c>
      <c r="G8861" t="inlineStr">
        <is>
          <t>RÄTTVIK</t>
        </is>
      </c>
      <c r="H8861" t="inlineStr">
        <is>
          <t>Sveaskog</t>
        </is>
      </c>
      <c r="I8861" t="n">
        <v>1.3</v>
      </c>
      <c r="J8861" t="n">
        <v>0</v>
      </c>
      <c r="K8861" t="n">
        <v>0</v>
      </c>
      <c r="L8861" t="n">
        <v>0</v>
      </c>
      <c r="M8861" t="n">
        <v>0</v>
      </c>
      <c r="N8861" t="n">
        <v>0</v>
      </c>
      <c r="O8861" t="n">
        <v>0</v>
      </c>
      <c r="P8861" t="n">
        <v>0</v>
      </c>
      <c r="Q8861" t="n">
        <v>0</v>
      </c>
      <c r="R8861" t="n">
        <v>0</v>
      </c>
      <c r="S8861" t="n">
        <v>0</v>
      </c>
      <c r="T8861" t="n">
        <v>0</v>
      </c>
      <c r="U8861" t="n">
        <v>0</v>
      </c>
      <c r="V8861" s="2" t="inlineStr"/>
    </row>
    <row r="8862" ht="15" customHeight="1">
      <c r="A8862" t="inlineStr">
        <is>
          <t>A 41275-2023</t>
        </is>
      </c>
      <c r="B8862" t="inlineStr">
        <is>
          <t>avverkningsanmälan</t>
        </is>
      </c>
      <c r="C8862" t="inlineStr">
        <is>
          <t>Föryngringsavverkning</t>
        </is>
      </c>
      <c r="D8862" s="1" t="n">
        <v>45174</v>
      </c>
      <c r="E8862" s="1" t="n">
        <v>46319</v>
      </c>
      <c r="F8862" t="inlineStr">
        <is>
          <t>DALARNAS LÄN</t>
        </is>
      </c>
      <c r="G8862" t="inlineStr">
        <is>
          <t>FALUN</t>
        </is>
      </c>
      <c r="I8862" t="n">
        <v>2.4</v>
      </c>
      <c r="J8862" t="n">
        <v>0</v>
      </c>
      <c r="K8862" t="n">
        <v>0</v>
      </c>
      <c r="L8862" t="n">
        <v>0</v>
      </c>
      <c r="M8862" t="n">
        <v>0</v>
      </c>
      <c r="N8862" t="n">
        <v>0</v>
      </c>
      <c r="O8862" t="n">
        <v>0</v>
      </c>
      <c r="P8862" t="n">
        <v>0</v>
      </c>
      <c r="Q8862" t="n">
        <v>0</v>
      </c>
      <c r="R8862" t="n">
        <v>0</v>
      </c>
      <c r="S8862" t="n">
        <v>0</v>
      </c>
      <c r="T8862" t="n">
        <v>0</v>
      </c>
      <c r="U8862" t="n">
        <v>0</v>
      </c>
      <c r="V8862" s="2" t="inlineStr"/>
    </row>
    <row r="8863" ht="15" customHeight="1">
      <c r="A8863" t="inlineStr">
        <is>
          <t>A 41869-2023</t>
        </is>
      </c>
      <c r="B8863" t="inlineStr">
        <is>
          <t>avverkningsanmälan</t>
        </is>
      </c>
      <c r="C8863" t="inlineStr">
        <is>
          <t>Avverkning för annat ändamål</t>
        </is>
      </c>
      <c r="D8863" s="1" t="n">
        <v>45176</v>
      </c>
      <c r="E8863" s="1" t="n">
        <v>46319</v>
      </c>
      <c r="F8863" t="inlineStr">
        <is>
          <t>DALARNAS LÄN</t>
        </is>
      </c>
      <c r="G8863" t="inlineStr">
        <is>
          <t>RÄTTVIK</t>
        </is>
      </c>
      <c r="I8863" t="n">
        <v>0.2</v>
      </c>
      <c r="J8863" t="n">
        <v>0</v>
      </c>
      <c r="K8863" t="n">
        <v>0</v>
      </c>
      <c r="L8863" t="n">
        <v>0</v>
      </c>
      <c r="M8863" t="n">
        <v>0</v>
      </c>
      <c r="N8863" t="n">
        <v>0</v>
      </c>
      <c r="O8863" t="n">
        <v>0</v>
      </c>
      <c r="P8863" t="n">
        <v>0</v>
      </c>
      <c r="Q8863" t="n">
        <v>0</v>
      </c>
      <c r="R8863" t="n">
        <v>0</v>
      </c>
      <c r="S8863" t="n">
        <v>0</v>
      </c>
      <c r="T8863" t="n">
        <v>0</v>
      </c>
      <c r="U8863" t="n">
        <v>0</v>
      </c>
      <c r="V8863" s="2" t="inlineStr"/>
    </row>
    <row r="8864" ht="15" customHeight="1">
      <c r="A8864" t="inlineStr">
        <is>
          <t>A 16051-2023</t>
        </is>
      </c>
      <c r="B8864" t="inlineStr">
        <is>
          <t>avverkningsanmälan</t>
        </is>
      </c>
      <c r="C8864" t="inlineStr">
        <is>
          <t>Föryngringsavverkning</t>
        </is>
      </c>
      <c r="D8864" s="1" t="n">
        <v>45027</v>
      </c>
      <c r="E8864" s="1" t="n">
        <v>46319</v>
      </c>
      <c r="F8864" t="inlineStr">
        <is>
          <t>DALARNAS LÄN</t>
        </is>
      </c>
      <c r="G8864" t="inlineStr">
        <is>
          <t>LEKSAND</t>
        </is>
      </c>
      <c r="I8864" t="n">
        <v>0.7</v>
      </c>
      <c r="J8864" t="n">
        <v>0</v>
      </c>
      <c r="K8864" t="n">
        <v>0</v>
      </c>
      <c r="L8864" t="n">
        <v>0</v>
      </c>
      <c r="M8864" t="n">
        <v>0</v>
      </c>
      <c r="N8864" t="n">
        <v>0</v>
      </c>
      <c r="O8864" t="n">
        <v>0</v>
      </c>
      <c r="P8864" t="n">
        <v>0</v>
      </c>
      <c r="Q8864" t="n">
        <v>0</v>
      </c>
      <c r="R8864" t="n">
        <v>0</v>
      </c>
      <c r="S8864" t="n">
        <v>0</v>
      </c>
      <c r="T8864" t="n">
        <v>0</v>
      </c>
      <c r="U8864" t="n">
        <v>0</v>
      </c>
      <c r="V8864" s="2" t="inlineStr"/>
    </row>
    <row r="8865" ht="15" customHeight="1">
      <c r="A8865" t="inlineStr">
        <is>
          <t>A 53146-2023</t>
        </is>
      </c>
      <c r="B8865" t="inlineStr">
        <is>
          <t>avverkningsanmälan</t>
        </is>
      </c>
      <c r="C8865" t="inlineStr">
        <is>
          <t>Föryngringsavverkning</t>
        </is>
      </c>
      <c r="D8865" s="1" t="n">
        <v>45229</v>
      </c>
      <c r="E8865" s="1" t="n">
        <v>46319</v>
      </c>
      <c r="F8865" t="inlineStr">
        <is>
          <t>DALARNAS LÄN</t>
        </is>
      </c>
      <c r="G8865" t="inlineStr">
        <is>
          <t>MALUNG-SÄLEN</t>
        </is>
      </c>
      <c r="H8865" t="inlineStr">
        <is>
          <t>Övriga statliga verk och myndigheter</t>
        </is>
      </c>
      <c r="I8865" t="n">
        <v>0.3</v>
      </c>
      <c r="J8865" t="n">
        <v>0</v>
      </c>
      <c r="K8865" t="n">
        <v>0</v>
      </c>
      <c r="L8865" t="n">
        <v>0</v>
      </c>
      <c r="M8865" t="n">
        <v>0</v>
      </c>
      <c r="N8865" t="n">
        <v>0</v>
      </c>
      <c r="O8865" t="n">
        <v>0</v>
      </c>
      <c r="P8865" t="n">
        <v>0</v>
      </c>
      <c r="Q8865" t="n">
        <v>0</v>
      </c>
      <c r="R8865" t="n">
        <v>0</v>
      </c>
      <c r="S8865" t="n">
        <v>0</v>
      </c>
      <c r="T8865" t="n">
        <v>0</v>
      </c>
      <c r="U8865" t="n">
        <v>0</v>
      </c>
      <c r="V8865" s="2" t="inlineStr"/>
    </row>
    <row r="8866" ht="15" customHeight="1">
      <c r="A8866" t="inlineStr">
        <is>
          <t>A 15174-2024</t>
        </is>
      </c>
      <c r="B8866" t="inlineStr">
        <is>
          <t>avverkningsanmälan</t>
        </is>
      </c>
      <c r="C8866" t="inlineStr">
        <is>
          <t>Föryngringsavverkning</t>
        </is>
      </c>
      <c r="D8866" s="1" t="n">
        <v>45400</v>
      </c>
      <c r="E8866" s="1" t="n">
        <v>46319</v>
      </c>
      <c r="F8866" t="inlineStr">
        <is>
          <t>DALARNAS LÄN</t>
        </is>
      </c>
      <c r="G8866" t="inlineStr">
        <is>
          <t>FALUN</t>
        </is>
      </c>
      <c r="I8866" t="n">
        <v>1.3</v>
      </c>
      <c r="J8866" t="n">
        <v>0</v>
      </c>
      <c r="K8866" t="n">
        <v>0</v>
      </c>
      <c r="L8866" t="n">
        <v>0</v>
      </c>
      <c r="M8866" t="n">
        <v>0</v>
      </c>
      <c r="N8866" t="n">
        <v>0</v>
      </c>
      <c r="O8866" t="n">
        <v>0</v>
      </c>
      <c r="P8866" t="n">
        <v>0</v>
      </c>
      <c r="Q8866" t="n">
        <v>0</v>
      </c>
      <c r="R8866" t="n">
        <v>0</v>
      </c>
      <c r="S8866" t="n">
        <v>0</v>
      </c>
      <c r="T8866" t="n">
        <v>0</v>
      </c>
      <c r="U8866" t="n">
        <v>0</v>
      </c>
      <c r="V8866" s="2" t="inlineStr"/>
    </row>
    <row r="8867" ht="15" customHeight="1">
      <c r="A8867" t="inlineStr">
        <is>
          <t>A 17051-2023</t>
        </is>
      </c>
      <c r="B8867" t="inlineStr">
        <is>
          <t>avverkningsanmälan</t>
        </is>
      </c>
      <c r="C8867" t="inlineStr">
        <is>
          <t>Föryngringsavverkning</t>
        </is>
      </c>
      <c r="D8867" s="1" t="n">
        <v>45034</v>
      </c>
      <c r="E8867" s="1" t="n">
        <v>46319</v>
      </c>
      <c r="F8867" t="inlineStr">
        <is>
          <t>DALARNAS LÄN</t>
        </is>
      </c>
      <c r="G8867" t="inlineStr">
        <is>
          <t>ÄLVDALEN</t>
        </is>
      </c>
      <c r="I8867" t="n">
        <v>4.2</v>
      </c>
      <c r="J8867" t="n">
        <v>0</v>
      </c>
      <c r="K8867" t="n">
        <v>0</v>
      </c>
      <c r="L8867" t="n">
        <v>0</v>
      </c>
      <c r="M8867" t="n">
        <v>0</v>
      </c>
      <c r="N8867" t="n">
        <v>0</v>
      </c>
      <c r="O8867" t="n">
        <v>0</v>
      </c>
      <c r="P8867" t="n">
        <v>0</v>
      </c>
      <c r="Q8867" t="n">
        <v>0</v>
      </c>
      <c r="R8867" t="n">
        <v>0</v>
      </c>
      <c r="S8867" t="n">
        <v>0</v>
      </c>
      <c r="T8867" t="n">
        <v>0</v>
      </c>
      <c r="U8867" t="n">
        <v>0</v>
      </c>
      <c r="V8867" s="2" t="inlineStr"/>
    </row>
    <row r="8868" ht="15" customHeight="1">
      <c r="A8868" t="inlineStr">
        <is>
          <t>A 46428-2024</t>
        </is>
      </c>
      <c r="B8868" t="inlineStr">
        <is>
          <t>avverkningsanmälan</t>
        </is>
      </c>
      <c r="C8868" t="inlineStr">
        <is>
          <t>Föryngringsavverkning</t>
        </is>
      </c>
      <c r="D8868" s="1" t="n">
        <v>45582</v>
      </c>
      <c r="E8868" s="1" t="n">
        <v>46319</v>
      </c>
      <c r="F8868" t="inlineStr">
        <is>
          <t>DALARNAS LÄN</t>
        </is>
      </c>
      <c r="G8868" t="inlineStr">
        <is>
          <t>RÄTTVIK</t>
        </is>
      </c>
      <c r="I8868" t="n">
        <v>0.6</v>
      </c>
      <c r="J8868" t="n">
        <v>0</v>
      </c>
      <c r="K8868" t="n">
        <v>0</v>
      </c>
      <c r="L8868" t="n">
        <v>0</v>
      </c>
      <c r="M8868" t="n">
        <v>0</v>
      </c>
      <c r="N8868" t="n">
        <v>0</v>
      </c>
      <c r="O8868" t="n">
        <v>0</v>
      </c>
      <c r="P8868" t="n">
        <v>0</v>
      </c>
      <c r="Q8868" t="n">
        <v>0</v>
      </c>
      <c r="R8868" t="n">
        <v>0</v>
      </c>
      <c r="S8868" t="n">
        <v>0</v>
      </c>
      <c r="T8868" t="n">
        <v>0</v>
      </c>
      <c r="U8868" t="n">
        <v>0</v>
      </c>
      <c r="V8868" s="2" t="inlineStr"/>
    </row>
    <row r="8869" ht="15" customHeight="1">
      <c r="A8869" t="inlineStr">
        <is>
          <t>A 43563-2024</t>
        </is>
      </c>
      <c r="B8869" t="inlineStr">
        <is>
          <t>avverkningsanmälan</t>
        </is>
      </c>
      <c r="C8869" t="inlineStr">
        <is>
          <t>Föryngringsavverkning</t>
        </is>
      </c>
      <c r="D8869" s="1" t="n">
        <v>45569</v>
      </c>
      <c r="E8869" s="1" t="n">
        <v>46319</v>
      </c>
      <c r="F8869" t="inlineStr">
        <is>
          <t>DALARNAS LÄN</t>
        </is>
      </c>
      <c r="G8869" t="inlineStr">
        <is>
          <t>RÄTTVIK</t>
        </is>
      </c>
      <c r="I8869" t="n">
        <v>2.1</v>
      </c>
      <c r="J8869" t="n">
        <v>0</v>
      </c>
      <c r="K8869" t="n">
        <v>0</v>
      </c>
      <c r="L8869" t="n">
        <v>0</v>
      </c>
      <c r="M8869" t="n">
        <v>0</v>
      </c>
      <c r="N8869" t="n">
        <v>0</v>
      </c>
      <c r="O8869" t="n">
        <v>0</v>
      </c>
      <c r="P8869" t="n">
        <v>0</v>
      </c>
      <c r="Q8869" t="n">
        <v>0</v>
      </c>
      <c r="R8869" t="n">
        <v>0</v>
      </c>
      <c r="S8869" t="n">
        <v>0</v>
      </c>
      <c r="T8869" t="n">
        <v>0</v>
      </c>
      <c r="U8869" t="n">
        <v>0</v>
      </c>
      <c r="V8869" s="2" t="inlineStr"/>
    </row>
    <row r="8870" ht="15" customHeight="1">
      <c r="A8870" t="inlineStr">
        <is>
          <t>A 41604-2023</t>
        </is>
      </c>
      <c r="B8870" t="inlineStr">
        <is>
          <t>avverkningsanmälan</t>
        </is>
      </c>
      <c r="C8870" t="inlineStr">
        <is>
          <t>Föryngringsavverkning</t>
        </is>
      </c>
      <c r="D8870" s="1" t="n">
        <v>45175</v>
      </c>
      <c r="E8870" s="1" t="n">
        <v>46319</v>
      </c>
      <c r="F8870" t="inlineStr">
        <is>
          <t>DALARNAS LÄN</t>
        </is>
      </c>
      <c r="G8870" t="inlineStr">
        <is>
          <t>FALUN</t>
        </is>
      </c>
      <c r="I8870" t="n">
        <v>1.6</v>
      </c>
      <c r="J8870" t="n">
        <v>0</v>
      </c>
      <c r="K8870" t="n">
        <v>0</v>
      </c>
      <c r="L8870" t="n">
        <v>0</v>
      </c>
      <c r="M8870" t="n">
        <v>0</v>
      </c>
      <c r="N8870" t="n">
        <v>0</v>
      </c>
      <c r="O8870" t="n">
        <v>0</v>
      </c>
      <c r="P8870" t="n">
        <v>0</v>
      </c>
      <c r="Q8870" t="n">
        <v>0</v>
      </c>
      <c r="R8870" t="n">
        <v>0</v>
      </c>
      <c r="S8870" t="n">
        <v>0</v>
      </c>
      <c r="T8870" t="n">
        <v>0</v>
      </c>
      <c r="U8870" t="n">
        <v>0</v>
      </c>
      <c r="V8870" s="2" t="inlineStr"/>
    </row>
    <row r="8871" ht="15" customHeight="1">
      <c r="A8871" t="inlineStr">
        <is>
          <t>A 16733-2024</t>
        </is>
      </c>
      <c r="B8871" t="inlineStr">
        <is>
          <t>avverkningsanmälan</t>
        </is>
      </c>
      <c r="C8871" t="inlineStr">
        <is>
          <t>Föryngringsavverkning</t>
        </is>
      </c>
      <c r="D8871" s="1" t="n">
        <v>45410</v>
      </c>
      <c r="E8871" s="1" t="n">
        <v>46319</v>
      </c>
      <c r="F8871" t="inlineStr">
        <is>
          <t>DALARNAS LÄN</t>
        </is>
      </c>
      <c r="G8871" t="inlineStr">
        <is>
          <t>MORA</t>
        </is>
      </c>
      <c r="I8871" t="n">
        <v>6.3</v>
      </c>
      <c r="J8871" t="n">
        <v>0</v>
      </c>
      <c r="K8871" t="n">
        <v>0</v>
      </c>
      <c r="L8871" t="n">
        <v>0</v>
      </c>
      <c r="M8871" t="n">
        <v>0</v>
      </c>
      <c r="N8871" t="n">
        <v>0</v>
      </c>
      <c r="O8871" t="n">
        <v>0</v>
      </c>
      <c r="P8871" t="n">
        <v>0</v>
      </c>
      <c r="Q8871" t="n">
        <v>0</v>
      </c>
      <c r="R8871" t="n">
        <v>0</v>
      </c>
      <c r="S8871" t="n">
        <v>0</v>
      </c>
      <c r="T8871" t="n">
        <v>0</v>
      </c>
      <c r="U8871" t="n">
        <v>0</v>
      </c>
      <c r="V8871" s="2" t="inlineStr"/>
    </row>
    <row r="8872" ht="15" customHeight="1">
      <c r="A8872" t="inlineStr">
        <is>
          <t>A 68330-2021</t>
        </is>
      </c>
      <c r="B8872" t="inlineStr">
        <is>
          <t>avverkningsanmälan</t>
        </is>
      </c>
      <c r="C8872" t="inlineStr">
        <is>
          <t>Föryngringsavverkning</t>
        </is>
      </c>
      <c r="D8872" s="1" t="n">
        <v>44527</v>
      </c>
      <c r="E8872" s="1" t="n">
        <v>46319</v>
      </c>
      <c r="F8872" t="inlineStr">
        <is>
          <t>DALARNAS LÄN</t>
        </is>
      </c>
      <c r="G8872" t="inlineStr">
        <is>
          <t>GAGNEF</t>
        </is>
      </c>
      <c r="I8872" t="n">
        <v>4.1</v>
      </c>
      <c r="J8872" t="n">
        <v>0</v>
      </c>
      <c r="K8872" t="n">
        <v>0</v>
      </c>
      <c r="L8872" t="n">
        <v>0</v>
      </c>
      <c r="M8872" t="n">
        <v>0</v>
      </c>
      <c r="N8872" t="n">
        <v>0</v>
      </c>
      <c r="O8872" t="n">
        <v>0</v>
      </c>
      <c r="P8872" t="n">
        <v>0</v>
      </c>
      <c r="Q8872" t="n">
        <v>0</v>
      </c>
      <c r="R8872" t="n">
        <v>0</v>
      </c>
      <c r="S8872" t="n">
        <v>0</v>
      </c>
      <c r="T8872" t="n">
        <v>0</v>
      </c>
      <c r="U8872" t="n">
        <v>0</v>
      </c>
      <c r="V8872" s="2" t="inlineStr"/>
    </row>
    <row r="8873" ht="15" customHeight="1">
      <c r="A8873" t="inlineStr">
        <is>
          <t>A 41435-2023</t>
        </is>
      </c>
      <c r="B8873" t="inlineStr">
        <is>
          <t>avverkningsanmälan</t>
        </is>
      </c>
      <c r="C8873" t="inlineStr">
        <is>
          <t>Föryngringsavverkning</t>
        </is>
      </c>
      <c r="D8873" s="1" t="n">
        <v>45170</v>
      </c>
      <c r="E8873" s="1" t="n">
        <v>46319</v>
      </c>
      <c r="F8873" t="inlineStr">
        <is>
          <t>DALARNAS LÄN</t>
        </is>
      </c>
      <c r="G8873" t="inlineStr">
        <is>
          <t>HEDEMORA</t>
        </is>
      </c>
      <c r="I8873" t="n">
        <v>2.9</v>
      </c>
      <c r="J8873" t="n">
        <v>0</v>
      </c>
      <c r="K8873" t="n">
        <v>0</v>
      </c>
      <c r="L8873" t="n">
        <v>0</v>
      </c>
      <c r="M8873" t="n">
        <v>0</v>
      </c>
      <c r="N8873" t="n">
        <v>0</v>
      </c>
      <c r="O8873" t="n">
        <v>0</v>
      </c>
      <c r="P8873" t="n">
        <v>0</v>
      </c>
      <c r="Q8873" t="n">
        <v>0</v>
      </c>
      <c r="R8873" t="n">
        <v>0</v>
      </c>
      <c r="S8873" t="n">
        <v>0</v>
      </c>
      <c r="T8873" t="n">
        <v>0</v>
      </c>
      <c r="U8873" t="n">
        <v>0</v>
      </c>
      <c r="V8873" s="2" t="inlineStr"/>
    </row>
    <row r="8874" ht="15" customHeight="1">
      <c r="A8874" t="inlineStr">
        <is>
          <t>A 53159-2024</t>
        </is>
      </c>
      <c r="B8874" t="inlineStr">
        <is>
          <t>avverkningsanmälan</t>
        </is>
      </c>
      <c r="C8874" t="inlineStr">
        <is>
          <t>Föryngringsavverkning</t>
        </is>
      </c>
      <c r="D8874" s="1" t="n">
        <v>45611</v>
      </c>
      <c r="E8874" s="1" t="n">
        <v>46319</v>
      </c>
      <c r="F8874" t="inlineStr">
        <is>
          <t>DALARNAS LÄN</t>
        </is>
      </c>
      <c r="G8874" t="inlineStr">
        <is>
          <t>MORA</t>
        </is>
      </c>
      <c r="I8874" t="n">
        <v>3.3</v>
      </c>
      <c r="J8874" t="n">
        <v>0</v>
      </c>
      <c r="K8874" t="n">
        <v>0</v>
      </c>
      <c r="L8874" t="n">
        <v>0</v>
      </c>
      <c r="M8874" t="n">
        <v>0</v>
      </c>
      <c r="N8874" t="n">
        <v>0</v>
      </c>
      <c r="O8874" t="n">
        <v>0</v>
      </c>
      <c r="P8874" t="n">
        <v>0</v>
      </c>
      <c r="Q8874" t="n">
        <v>0</v>
      </c>
      <c r="R8874" t="n">
        <v>0</v>
      </c>
      <c r="S8874" t="n">
        <v>0</v>
      </c>
      <c r="T8874" t="n">
        <v>0</v>
      </c>
      <c r="U8874" t="n">
        <v>0</v>
      </c>
      <c r="V8874" s="2" t="inlineStr"/>
    </row>
    <row r="8875" ht="15" customHeight="1">
      <c r="A8875" t="inlineStr">
        <is>
          <t>A 54312-2024</t>
        </is>
      </c>
      <c r="B8875" t="inlineStr">
        <is>
          <t>avverkningsanmälan</t>
        </is>
      </c>
      <c r="C8875" t="inlineStr">
        <is>
          <t>Föryngringsavverkning</t>
        </is>
      </c>
      <c r="D8875" s="1" t="n">
        <v>45617</v>
      </c>
      <c r="E8875" s="1" t="n">
        <v>46319</v>
      </c>
      <c r="F8875" t="inlineStr">
        <is>
          <t>DALARNAS LÄN</t>
        </is>
      </c>
      <c r="G8875" t="inlineStr">
        <is>
          <t>HEDEMORA</t>
        </is>
      </c>
      <c r="H8875" t="inlineStr">
        <is>
          <t>Bergvik skog väst AB</t>
        </is>
      </c>
      <c r="I8875" t="n">
        <v>13.9</v>
      </c>
      <c r="J8875" t="n">
        <v>0</v>
      </c>
      <c r="K8875" t="n">
        <v>0</v>
      </c>
      <c r="L8875" t="n">
        <v>0</v>
      </c>
      <c r="M8875" t="n">
        <v>0</v>
      </c>
      <c r="N8875" t="n">
        <v>0</v>
      </c>
      <c r="O8875" t="n">
        <v>0</v>
      </c>
      <c r="P8875" t="n">
        <v>0</v>
      </c>
      <c r="Q8875" t="n">
        <v>0</v>
      </c>
      <c r="R8875" t="n">
        <v>0</v>
      </c>
      <c r="S8875" t="n">
        <v>0</v>
      </c>
      <c r="T8875" t="n">
        <v>0</v>
      </c>
      <c r="U8875" t="n">
        <v>0</v>
      </c>
      <c r="V8875" s="2" t="inlineStr"/>
    </row>
    <row r="8876" ht="15" customHeight="1">
      <c r="A8876" t="inlineStr">
        <is>
          <t>A 19275-2024</t>
        </is>
      </c>
      <c r="B8876" t="inlineStr">
        <is>
          <t>avverkningsanmälan</t>
        </is>
      </c>
      <c r="C8876" t="inlineStr">
        <is>
          <t>Avverkning för annat ändamål</t>
        </is>
      </c>
      <c r="D8876" s="1" t="n">
        <v>45428</v>
      </c>
      <c r="E8876" s="1" t="n">
        <v>46319</v>
      </c>
      <c r="F8876" t="inlineStr">
        <is>
          <t>DALARNAS LÄN</t>
        </is>
      </c>
      <c r="G8876" t="inlineStr">
        <is>
          <t>MALUNG-SÄLEN</t>
        </is>
      </c>
      <c r="I8876" t="n">
        <v>0.4</v>
      </c>
      <c r="J8876" t="n">
        <v>0</v>
      </c>
      <c r="K8876" t="n">
        <v>0</v>
      </c>
      <c r="L8876" t="n">
        <v>0</v>
      </c>
      <c r="M8876" t="n">
        <v>0</v>
      </c>
      <c r="N8876" t="n">
        <v>0</v>
      </c>
      <c r="O8876" t="n">
        <v>0</v>
      </c>
      <c r="P8876" t="n">
        <v>0</v>
      </c>
      <c r="Q8876" t="n">
        <v>0</v>
      </c>
      <c r="R8876" t="n">
        <v>0</v>
      </c>
      <c r="S8876" t="n">
        <v>0</v>
      </c>
      <c r="T8876" t="n">
        <v>0</v>
      </c>
      <c r="U8876" t="n">
        <v>0</v>
      </c>
      <c r="V8876" s="2" t="inlineStr"/>
    </row>
    <row r="8877" ht="15" customHeight="1">
      <c r="A8877" t="inlineStr">
        <is>
          <t>A 24132-2023</t>
        </is>
      </c>
      <c r="B8877" t="inlineStr">
        <is>
          <t>avverkningsanmälan</t>
        </is>
      </c>
      <c r="C8877" t="inlineStr">
        <is>
          <t>Föryngringsavverkning</t>
        </is>
      </c>
      <c r="D8877" s="1" t="n">
        <v>45079</v>
      </c>
      <c r="E8877" s="1" t="n">
        <v>46319</v>
      </c>
      <c r="F8877" t="inlineStr">
        <is>
          <t>DALARNAS LÄN</t>
        </is>
      </c>
      <c r="G8877" t="inlineStr">
        <is>
          <t>MALUNG-SÄLEN</t>
        </is>
      </c>
      <c r="I8877" t="n">
        <v>2.3</v>
      </c>
      <c r="J8877" t="n">
        <v>0</v>
      </c>
      <c r="K8877" t="n">
        <v>0</v>
      </c>
      <c r="L8877" t="n">
        <v>0</v>
      </c>
      <c r="M8877" t="n">
        <v>0</v>
      </c>
      <c r="N8877" t="n">
        <v>0</v>
      </c>
      <c r="O8877" t="n">
        <v>0</v>
      </c>
      <c r="P8877" t="n">
        <v>0</v>
      </c>
      <c r="Q8877" t="n">
        <v>0</v>
      </c>
      <c r="R8877" t="n">
        <v>0</v>
      </c>
      <c r="S8877" t="n">
        <v>0</v>
      </c>
      <c r="T8877" t="n">
        <v>0</v>
      </c>
      <c r="U8877" t="n">
        <v>0</v>
      </c>
      <c r="V8877" s="2" t="inlineStr"/>
    </row>
    <row r="8878" ht="15" customHeight="1">
      <c r="A8878" t="inlineStr">
        <is>
          <t>A 29635-2024</t>
        </is>
      </c>
      <c r="B8878" t="inlineStr">
        <is>
          <t>avverkningsanmälan</t>
        </is>
      </c>
      <c r="C8878" t="inlineStr">
        <is>
          <t>Föryngringsavverkning</t>
        </is>
      </c>
      <c r="D8878" s="1" t="n">
        <v>45484</v>
      </c>
      <c r="E8878" s="1" t="n">
        <v>46319</v>
      </c>
      <c r="F8878" t="inlineStr">
        <is>
          <t>DALARNAS LÄN</t>
        </is>
      </c>
      <c r="G8878" t="inlineStr">
        <is>
          <t>SÄTER</t>
        </is>
      </c>
      <c r="I8878" t="n">
        <v>1.1</v>
      </c>
      <c r="J8878" t="n">
        <v>0</v>
      </c>
      <c r="K8878" t="n">
        <v>0</v>
      </c>
      <c r="L8878" t="n">
        <v>0</v>
      </c>
      <c r="M8878" t="n">
        <v>0</v>
      </c>
      <c r="N8878" t="n">
        <v>0</v>
      </c>
      <c r="O8878" t="n">
        <v>0</v>
      </c>
      <c r="P8878" t="n">
        <v>0</v>
      </c>
      <c r="Q8878" t="n">
        <v>0</v>
      </c>
      <c r="R8878" t="n">
        <v>0</v>
      </c>
      <c r="S8878" t="n">
        <v>0</v>
      </c>
      <c r="T8878" t="n">
        <v>0</v>
      </c>
      <c r="U8878" t="n">
        <v>0</v>
      </c>
      <c r="V8878" s="2" t="inlineStr"/>
    </row>
    <row r="8879" ht="15" customHeight="1">
      <c r="A8879" t="inlineStr">
        <is>
          <t>A 2579-2022</t>
        </is>
      </c>
      <c r="B8879" t="inlineStr">
        <is>
          <t>avverkningsanmälan</t>
        </is>
      </c>
      <c r="C8879" t="inlineStr">
        <is>
          <t>Föryngringsavverkning</t>
        </is>
      </c>
      <c r="D8879" s="1" t="n">
        <v>44580</v>
      </c>
      <c r="E8879" s="1" t="n">
        <v>46319</v>
      </c>
      <c r="F8879" t="inlineStr">
        <is>
          <t>DALARNAS LÄN</t>
        </is>
      </c>
      <c r="G8879" t="inlineStr">
        <is>
          <t>LEKSAND</t>
        </is>
      </c>
      <c r="I8879" t="n">
        <v>0.3</v>
      </c>
      <c r="J8879" t="n">
        <v>0</v>
      </c>
      <c r="K8879" t="n">
        <v>0</v>
      </c>
      <c r="L8879" t="n">
        <v>0</v>
      </c>
      <c r="M8879" t="n">
        <v>0</v>
      </c>
      <c r="N8879" t="n">
        <v>0</v>
      </c>
      <c r="O8879" t="n">
        <v>0</v>
      </c>
      <c r="P8879" t="n">
        <v>0</v>
      </c>
      <c r="Q8879" t="n">
        <v>0</v>
      </c>
      <c r="R8879" t="n">
        <v>0</v>
      </c>
      <c r="S8879" t="n">
        <v>0</v>
      </c>
      <c r="T8879" t="n">
        <v>0</v>
      </c>
      <c r="U8879" t="n">
        <v>0</v>
      </c>
      <c r="V8879" s="2" t="inlineStr"/>
    </row>
    <row r="8880" ht="15" customHeight="1">
      <c r="A8880" t="inlineStr">
        <is>
          <t>A 21973-2024</t>
        </is>
      </c>
      <c r="B8880" t="inlineStr">
        <is>
          <t>avverkningsanmälan</t>
        </is>
      </c>
      <c r="C8880" t="inlineStr">
        <is>
          <t>Föryngringsavverkning</t>
        </is>
      </c>
      <c r="D8880" s="1" t="n">
        <v>45443</v>
      </c>
      <c r="E8880" s="1" t="n">
        <v>46319</v>
      </c>
      <c r="F8880" t="inlineStr">
        <is>
          <t>DALARNAS LÄN</t>
        </is>
      </c>
      <c r="G8880" t="inlineStr">
        <is>
          <t>VANSBRO</t>
        </is>
      </c>
      <c r="H8880" t="inlineStr">
        <is>
          <t>Bergvik skog väst AB</t>
        </is>
      </c>
      <c r="I8880" t="n">
        <v>0.9</v>
      </c>
      <c r="J8880" t="n">
        <v>0</v>
      </c>
      <c r="K8880" t="n">
        <v>0</v>
      </c>
      <c r="L8880" t="n">
        <v>0</v>
      </c>
      <c r="M8880" t="n">
        <v>0</v>
      </c>
      <c r="N8880" t="n">
        <v>0</v>
      </c>
      <c r="O8880" t="n">
        <v>0</v>
      </c>
      <c r="P8880" t="n">
        <v>0</v>
      </c>
      <c r="Q8880" t="n">
        <v>0</v>
      </c>
      <c r="R8880" t="n">
        <v>0</v>
      </c>
      <c r="S8880" t="n">
        <v>0</v>
      </c>
      <c r="T8880" t="n">
        <v>0</v>
      </c>
      <c r="U8880" t="n">
        <v>0</v>
      </c>
      <c r="V8880" s="2" t="inlineStr"/>
    </row>
    <row r="8881" ht="15" customHeight="1">
      <c r="A8881" t="inlineStr">
        <is>
          <t>A 59411-2024</t>
        </is>
      </c>
      <c r="B8881" t="inlineStr">
        <is>
          <t>avverkningsanmälan</t>
        </is>
      </c>
      <c r="C8881" t="inlineStr">
        <is>
          <t>Föryngringsavverkning</t>
        </is>
      </c>
      <c r="D8881" s="1" t="n">
        <v>45638</v>
      </c>
      <c r="E8881" s="1" t="n">
        <v>46319</v>
      </c>
      <c r="F8881" t="inlineStr">
        <is>
          <t>DALARNAS LÄN</t>
        </is>
      </c>
      <c r="G8881" t="inlineStr">
        <is>
          <t>ORSA</t>
        </is>
      </c>
      <c r="I8881" t="n">
        <v>1.4</v>
      </c>
      <c r="J8881" t="n">
        <v>0</v>
      </c>
      <c r="K8881" t="n">
        <v>0</v>
      </c>
      <c r="L8881" t="n">
        <v>0</v>
      </c>
      <c r="M8881" t="n">
        <v>0</v>
      </c>
      <c r="N8881" t="n">
        <v>0</v>
      </c>
      <c r="O8881" t="n">
        <v>0</v>
      </c>
      <c r="P8881" t="n">
        <v>0</v>
      </c>
      <c r="Q8881" t="n">
        <v>0</v>
      </c>
      <c r="R8881" t="n">
        <v>0</v>
      </c>
      <c r="S8881" t="n">
        <v>0</v>
      </c>
      <c r="T8881" t="n">
        <v>0</v>
      </c>
      <c r="U8881" t="n">
        <v>0</v>
      </c>
      <c r="V8881" s="2" t="inlineStr"/>
    </row>
    <row r="8882" ht="15" customHeight="1">
      <c r="A8882" t="inlineStr">
        <is>
          <t>A 59414-2024</t>
        </is>
      </c>
      <c r="B8882" t="inlineStr">
        <is>
          <t>avverkningsanmälan</t>
        </is>
      </c>
      <c r="C8882" t="inlineStr">
        <is>
          <t>Föryngringsavverkning</t>
        </is>
      </c>
      <c r="D8882" s="1" t="n">
        <v>45638</v>
      </c>
      <c r="E8882" s="1" t="n">
        <v>46319</v>
      </c>
      <c r="F8882" t="inlineStr">
        <is>
          <t>DALARNAS LÄN</t>
        </is>
      </c>
      <c r="G8882" t="inlineStr">
        <is>
          <t>ORSA</t>
        </is>
      </c>
      <c r="I8882" t="n">
        <v>0.8</v>
      </c>
      <c r="J8882" t="n">
        <v>0</v>
      </c>
      <c r="K8882" t="n">
        <v>0</v>
      </c>
      <c r="L8882" t="n">
        <v>0</v>
      </c>
      <c r="M8882" t="n">
        <v>0</v>
      </c>
      <c r="N8882" t="n">
        <v>0</v>
      </c>
      <c r="O8882" t="n">
        <v>0</v>
      </c>
      <c r="P8882" t="n">
        <v>0</v>
      </c>
      <c r="Q8882" t="n">
        <v>0</v>
      </c>
      <c r="R8882" t="n">
        <v>0</v>
      </c>
      <c r="S8882" t="n">
        <v>0</v>
      </c>
      <c r="T8882" t="n">
        <v>0</v>
      </c>
      <c r="U8882" t="n">
        <v>0</v>
      </c>
      <c r="V8882" s="2" t="inlineStr"/>
    </row>
    <row r="8883" ht="15" customHeight="1">
      <c r="A8883" t="inlineStr">
        <is>
          <t>A 15495-2024</t>
        </is>
      </c>
      <c r="B8883" t="inlineStr">
        <is>
          <t>avverkningsanmälan</t>
        </is>
      </c>
      <c r="C8883" t="inlineStr">
        <is>
          <t>Föryngringsavverkning</t>
        </is>
      </c>
      <c r="D8883" s="1" t="n">
        <v>45401</v>
      </c>
      <c r="E8883" s="1" t="n">
        <v>46319</v>
      </c>
      <c r="F8883" t="inlineStr">
        <is>
          <t>DALARNAS LÄN</t>
        </is>
      </c>
      <c r="G8883" t="inlineStr">
        <is>
          <t>BORLÄNGE</t>
        </is>
      </c>
      <c r="I8883" t="n">
        <v>3</v>
      </c>
      <c r="J8883" t="n">
        <v>0</v>
      </c>
      <c r="K8883" t="n">
        <v>0</v>
      </c>
      <c r="L8883" t="n">
        <v>0</v>
      </c>
      <c r="M8883" t="n">
        <v>0</v>
      </c>
      <c r="N8883" t="n">
        <v>0</v>
      </c>
      <c r="O8883" t="n">
        <v>0</v>
      </c>
      <c r="P8883" t="n">
        <v>0</v>
      </c>
      <c r="Q8883" t="n">
        <v>0</v>
      </c>
      <c r="R8883" t="n">
        <v>0</v>
      </c>
      <c r="S8883" t="n">
        <v>0</v>
      </c>
      <c r="T8883" t="n">
        <v>0</v>
      </c>
      <c r="U8883" t="n">
        <v>0</v>
      </c>
      <c r="V8883" s="2" t="inlineStr"/>
    </row>
    <row r="8884" ht="15" customHeight="1">
      <c r="A8884" t="inlineStr">
        <is>
          <t>A 49395-2024</t>
        </is>
      </c>
      <c r="B8884" t="inlineStr">
        <is>
          <t>avverkningsanmälan</t>
        </is>
      </c>
      <c r="C8884" t="inlineStr">
        <is>
          <t>Föryngringsavverkning</t>
        </is>
      </c>
      <c r="D8884" s="1" t="n">
        <v>45595</v>
      </c>
      <c r="E8884" s="1" t="n">
        <v>46319</v>
      </c>
      <c r="F8884" t="inlineStr">
        <is>
          <t>DALARNAS LÄN</t>
        </is>
      </c>
      <c r="G8884" t="inlineStr">
        <is>
          <t>LEKSAND</t>
        </is>
      </c>
      <c r="I8884" t="n">
        <v>0.7</v>
      </c>
      <c r="J8884" t="n">
        <v>0</v>
      </c>
      <c r="K8884" t="n">
        <v>0</v>
      </c>
      <c r="L8884" t="n">
        <v>0</v>
      </c>
      <c r="M8884" t="n">
        <v>0</v>
      </c>
      <c r="N8884" t="n">
        <v>0</v>
      </c>
      <c r="O8884" t="n">
        <v>0</v>
      </c>
      <c r="P8884" t="n">
        <v>0</v>
      </c>
      <c r="Q8884" t="n">
        <v>0</v>
      </c>
      <c r="R8884" t="n">
        <v>0</v>
      </c>
      <c r="S8884" t="n">
        <v>0</v>
      </c>
      <c r="T8884" t="n">
        <v>0</v>
      </c>
      <c r="U8884" t="n">
        <v>0</v>
      </c>
      <c r="V8884" s="2" t="inlineStr"/>
    </row>
    <row r="8885" ht="15" customHeight="1">
      <c r="A8885" t="inlineStr">
        <is>
          <t>A 37120-2024</t>
        </is>
      </c>
      <c r="B8885" t="inlineStr">
        <is>
          <t>avverkningsanmälan</t>
        </is>
      </c>
      <c r="C8885" t="inlineStr">
        <is>
          <t>Föryngringsavverkning</t>
        </is>
      </c>
      <c r="D8885" s="1" t="n">
        <v>45539</v>
      </c>
      <c r="E8885" s="1" t="n">
        <v>46319</v>
      </c>
      <c r="F8885" t="inlineStr">
        <is>
          <t>DALARNAS LÄN</t>
        </is>
      </c>
      <c r="G8885" t="inlineStr">
        <is>
          <t>RÄTTVIK</t>
        </is>
      </c>
      <c r="I8885" t="n">
        <v>13.6</v>
      </c>
      <c r="J8885" t="n">
        <v>0</v>
      </c>
      <c r="K8885" t="n">
        <v>0</v>
      </c>
      <c r="L8885" t="n">
        <v>0</v>
      </c>
      <c r="M8885" t="n">
        <v>0</v>
      </c>
      <c r="N8885" t="n">
        <v>0</v>
      </c>
      <c r="O8885" t="n">
        <v>0</v>
      </c>
      <c r="P8885" t="n">
        <v>0</v>
      </c>
      <c r="Q8885" t="n">
        <v>0</v>
      </c>
      <c r="R8885" t="n">
        <v>0</v>
      </c>
      <c r="S8885" t="n">
        <v>0</v>
      </c>
      <c r="T8885" t="n">
        <v>0</v>
      </c>
      <c r="U8885" t="n">
        <v>0</v>
      </c>
      <c r="V8885" s="2" t="inlineStr"/>
    </row>
    <row r="8886" ht="15" customHeight="1">
      <c r="A8886" t="inlineStr">
        <is>
          <t>A 37131-2024</t>
        </is>
      </c>
      <c r="B8886" t="inlineStr">
        <is>
          <t>avverkningsanmälan</t>
        </is>
      </c>
      <c r="C8886" t="inlineStr">
        <is>
          <t>Föryngringsavverkning</t>
        </is>
      </c>
      <c r="D8886" s="1" t="n">
        <v>45539</v>
      </c>
      <c r="E8886" s="1" t="n">
        <v>46319</v>
      </c>
      <c r="F8886" t="inlineStr">
        <is>
          <t>DALARNAS LÄN</t>
        </is>
      </c>
      <c r="G8886" t="inlineStr">
        <is>
          <t>RÄTTVIK</t>
        </is>
      </c>
      <c r="I8886" t="n">
        <v>1.1</v>
      </c>
      <c r="J8886" t="n">
        <v>0</v>
      </c>
      <c r="K8886" t="n">
        <v>0</v>
      </c>
      <c r="L8886" t="n">
        <v>0</v>
      </c>
      <c r="M8886" t="n">
        <v>0</v>
      </c>
      <c r="N8886" t="n">
        <v>0</v>
      </c>
      <c r="O8886" t="n">
        <v>0</v>
      </c>
      <c r="P8886" t="n">
        <v>0</v>
      </c>
      <c r="Q8886" t="n">
        <v>0</v>
      </c>
      <c r="R8886" t="n">
        <v>0</v>
      </c>
      <c r="S8886" t="n">
        <v>0</v>
      </c>
      <c r="T8886" t="n">
        <v>0</v>
      </c>
      <c r="U8886" t="n">
        <v>0</v>
      </c>
      <c r="V8886" s="2" t="inlineStr"/>
    </row>
    <row r="8887" ht="15" customHeight="1">
      <c r="A8887" t="inlineStr">
        <is>
          <t>A 69624-2021</t>
        </is>
      </c>
      <c r="B8887" t="inlineStr">
        <is>
          <t>avverkningsanmälan</t>
        </is>
      </c>
      <c r="C8887" t="inlineStr">
        <is>
          <t>Föryngringsavverkning</t>
        </is>
      </c>
      <c r="D8887" s="1" t="n">
        <v>44532</v>
      </c>
      <c r="E8887" s="1" t="n">
        <v>46319</v>
      </c>
      <c r="F8887" t="inlineStr">
        <is>
          <t>DALARNAS LÄN</t>
        </is>
      </c>
      <c r="G8887" t="inlineStr">
        <is>
          <t>HEDEMORA</t>
        </is>
      </c>
      <c r="I8887" t="n">
        <v>0.4</v>
      </c>
      <c r="J8887" t="n">
        <v>0</v>
      </c>
      <c r="K8887" t="n">
        <v>0</v>
      </c>
      <c r="L8887" t="n">
        <v>0</v>
      </c>
      <c r="M8887" t="n">
        <v>0</v>
      </c>
      <c r="N8887" t="n">
        <v>0</v>
      </c>
      <c r="O8887" t="n">
        <v>0</v>
      </c>
      <c r="P8887" t="n">
        <v>0</v>
      </c>
      <c r="Q8887" t="n">
        <v>0</v>
      </c>
      <c r="R8887" t="n">
        <v>0</v>
      </c>
      <c r="S8887" t="n">
        <v>0</v>
      </c>
      <c r="T8887" t="n">
        <v>0</v>
      </c>
      <c r="U8887" t="n">
        <v>0</v>
      </c>
      <c r="V8887" s="2" t="inlineStr"/>
    </row>
    <row r="8888" ht="15" customHeight="1">
      <c r="A8888" t="inlineStr">
        <is>
          <t>A 19979-2025</t>
        </is>
      </c>
      <c r="B8888" t="inlineStr">
        <is>
          <t>avverkningsanmälan</t>
        </is>
      </c>
      <c r="C8888" t="inlineStr">
        <is>
          <t>Föryngringsavverkning</t>
        </is>
      </c>
      <c r="D8888" s="1" t="n">
        <v>45771</v>
      </c>
      <c r="E8888" s="1" t="n">
        <v>46319</v>
      </c>
      <c r="F8888" t="inlineStr">
        <is>
          <t>DALARNAS LÄN</t>
        </is>
      </c>
      <c r="G8888" t="inlineStr">
        <is>
          <t>SÄTER</t>
        </is>
      </c>
      <c r="I8888" t="n">
        <v>1.2</v>
      </c>
      <c r="J8888" t="n">
        <v>0</v>
      </c>
      <c r="K8888" t="n">
        <v>0</v>
      </c>
      <c r="L8888" t="n">
        <v>0</v>
      </c>
      <c r="M8888" t="n">
        <v>0</v>
      </c>
      <c r="N8888" t="n">
        <v>0</v>
      </c>
      <c r="O8888" t="n">
        <v>0</v>
      </c>
      <c r="P8888" t="n">
        <v>0</v>
      </c>
      <c r="Q8888" t="n">
        <v>0</v>
      </c>
      <c r="R8888" t="n">
        <v>0</v>
      </c>
      <c r="S8888" t="n">
        <v>0</v>
      </c>
      <c r="T8888" t="n">
        <v>0</v>
      </c>
      <c r="U8888" t="n">
        <v>0</v>
      </c>
      <c r="V8888" s="2" t="inlineStr"/>
    </row>
    <row r="8889" ht="15" customHeight="1">
      <c r="A8889" t="inlineStr">
        <is>
          <t>A 10401-2023</t>
        </is>
      </c>
      <c r="B8889" t="inlineStr">
        <is>
          <t>avverkningsanmälan</t>
        </is>
      </c>
      <c r="C8889" t="inlineStr">
        <is>
          <t>Föryngringsavverkning</t>
        </is>
      </c>
      <c r="D8889" s="1" t="n">
        <v>44987</v>
      </c>
      <c r="E8889" s="1" t="n">
        <v>46319</v>
      </c>
      <c r="F8889" t="inlineStr">
        <is>
          <t>DALARNAS LÄN</t>
        </is>
      </c>
      <c r="G8889" t="inlineStr">
        <is>
          <t>SMEDJEBACKEN</t>
        </is>
      </c>
      <c r="H8889" t="inlineStr">
        <is>
          <t>Kommuner</t>
        </is>
      </c>
      <c r="I8889" t="n">
        <v>2.1</v>
      </c>
      <c r="J8889" t="n">
        <v>0</v>
      </c>
      <c r="K8889" t="n">
        <v>0</v>
      </c>
      <c r="L8889" t="n">
        <v>0</v>
      </c>
      <c r="M8889" t="n">
        <v>0</v>
      </c>
      <c r="N8889" t="n">
        <v>0</v>
      </c>
      <c r="O8889" t="n">
        <v>0</v>
      </c>
      <c r="P8889" t="n">
        <v>0</v>
      </c>
      <c r="Q8889" t="n">
        <v>0</v>
      </c>
      <c r="R8889" t="n">
        <v>0</v>
      </c>
      <c r="S8889" t="n">
        <v>0</v>
      </c>
      <c r="T8889" t="n">
        <v>0</v>
      </c>
      <c r="U8889" t="n">
        <v>0</v>
      </c>
      <c r="V8889" s="2" t="inlineStr"/>
    </row>
    <row r="8890" ht="15" customHeight="1">
      <c r="A8890" t="inlineStr">
        <is>
          <t>A 41144-2023</t>
        </is>
      </c>
      <c r="B8890" t="inlineStr">
        <is>
          <t>avverkningsanmälan</t>
        </is>
      </c>
      <c r="C8890" t="inlineStr">
        <is>
          <t>Föryngringsavverkning</t>
        </is>
      </c>
      <c r="D8890" s="1" t="n">
        <v>45173</v>
      </c>
      <c r="E8890" s="1" t="n">
        <v>46319</v>
      </c>
      <c r="F8890" t="inlineStr">
        <is>
          <t>DALARNAS LÄN</t>
        </is>
      </c>
      <c r="G8890" t="inlineStr">
        <is>
          <t>FALUN</t>
        </is>
      </c>
      <c r="I8890" t="n">
        <v>2</v>
      </c>
      <c r="J8890" t="n">
        <v>0</v>
      </c>
      <c r="K8890" t="n">
        <v>0</v>
      </c>
      <c r="L8890" t="n">
        <v>0</v>
      </c>
      <c r="M8890" t="n">
        <v>0</v>
      </c>
      <c r="N8890" t="n">
        <v>0</v>
      </c>
      <c r="O8890" t="n">
        <v>0</v>
      </c>
      <c r="P8890" t="n">
        <v>0</v>
      </c>
      <c r="Q8890" t="n">
        <v>0</v>
      </c>
      <c r="R8890" t="n">
        <v>0</v>
      </c>
      <c r="S8890" t="n">
        <v>0</v>
      </c>
      <c r="T8890" t="n">
        <v>0</v>
      </c>
      <c r="U8890" t="n">
        <v>0</v>
      </c>
      <c r="V8890" s="2" t="inlineStr"/>
    </row>
    <row r="8891" ht="15" customHeight="1">
      <c r="A8891" t="inlineStr">
        <is>
          <t>A 31530-2023</t>
        </is>
      </c>
      <c r="B8891" t="inlineStr">
        <is>
          <t>avverkningsanmälan</t>
        </is>
      </c>
      <c r="C8891" t="inlineStr">
        <is>
          <t>Föryngringsavverkning</t>
        </is>
      </c>
      <c r="D8891" s="1" t="n">
        <v>45116</v>
      </c>
      <c r="E8891" s="1" t="n">
        <v>46319</v>
      </c>
      <c r="F8891" t="inlineStr">
        <is>
          <t>DALARNAS LÄN</t>
        </is>
      </c>
      <c r="G8891" t="inlineStr">
        <is>
          <t>BORLÄNGE</t>
        </is>
      </c>
      <c r="I8891" t="n">
        <v>10</v>
      </c>
      <c r="J8891" t="n">
        <v>0</v>
      </c>
      <c r="K8891" t="n">
        <v>0</v>
      </c>
      <c r="L8891" t="n">
        <v>0</v>
      </c>
      <c r="M8891" t="n">
        <v>0</v>
      </c>
      <c r="N8891" t="n">
        <v>0</v>
      </c>
      <c r="O8891" t="n">
        <v>0</v>
      </c>
      <c r="P8891" t="n">
        <v>0</v>
      </c>
      <c r="Q8891" t="n">
        <v>0</v>
      </c>
      <c r="R8891" t="n">
        <v>0</v>
      </c>
      <c r="S8891" t="n">
        <v>0</v>
      </c>
      <c r="T8891" t="n">
        <v>0</v>
      </c>
      <c r="U8891" t="n">
        <v>0</v>
      </c>
      <c r="V8891" s="2" t="inlineStr"/>
    </row>
    <row r="8892" ht="15" customHeight="1">
      <c r="A8892" t="inlineStr">
        <is>
          <t>A 55122-2024</t>
        </is>
      </c>
      <c r="B8892" t="inlineStr">
        <is>
          <t>avverkningsanmälan</t>
        </is>
      </c>
      <c r="C8892" t="inlineStr">
        <is>
          <t>Föryngringsavverkning</t>
        </is>
      </c>
      <c r="D8892" s="1" t="n">
        <v>45618</v>
      </c>
      <c r="E8892" s="1" t="n">
        <v>46319</v>
      </c>
      <c r="F8892" t="inlineStr">
        <is>
          <t>DALARNAS LÄN</t>
        </is>
      </c>
      <c r="G8892" t="inlineStr">
        <is>
          <t>RÄTTVIK</t>
        </is>
      </c>
      <c r="I8892" t="n">
        <v>0.7</v>
      </c>
      <c r="J8892" t="n">
        <v>0</v>
      </c>
      <c r="K8892" t="n">
        <v>0</v>
      </c>
      <c r="L8892" t="n">
        <v>0</v>
      </c>
      <c r="M8892" t="n">
        <v>0</v>
      </c>
      <c r="N8892" t="n">
        <v>0</v>
      </c>
      <c r="O8892" t="n">
        <v>0</v>
      </c>
      <c r="P8892" t="n">
        <v>0</v>
      </c>
      <c r="Q8892" t="n">
        <v>0</v>
      </c>
      <c r="R8892" t="n">
        <v>0</v>
      </c>
      <c r="S8892" t="n">
        <v>0</v>
      </c>
      <c r="T8892" t="n">
        <v>0</v>
      </c>
      <c r="U8892" t="n">
        <v>0</v>
      </c>
      <c r="V8892" s="2" t="inlineStr"/>
    </row>
    <row r="8893" ht="15" customHeight="1">
      <c r="A8893" t="inlineStr">
        <is>
          <t>A 47071-2023</t>
        </is>
      </c>
      <c r="B8893" t="inlineStr">
        <is>
          <t>avverkningsanmälan</t>
        </is>
      </c>
      <c r="C8893" t="inlineStr">
        <is>
          <t>Föryngringsavverkning</t>
        </is>
      </c>
      <c r="D8893" s="1" t="n">
        <v>45201</v>
      </c>
      <c r="E8893" s="1" t="n">
        <v>46319</v>
      </c>
      <c r="F8893" t="inlineStr">
        <is>
          <t>DALARNAS LÄN</t>
        </is>
      </c>
      <c r="G8893" t="inlineStr">
        <is>
          <t>ÄLVDALEN</t>
        </is>
      </c>
      <c r="H8893" t="inlineStr">
        <is>
          <t>Bergvik skog väst AB</t>
        </is>
      </c>
      <c r="I8893" t="n">
        <v>2.6</v>
      </c>
      <c r="J8893" t="n">
        <v>0</v>
      </c>
      <c r="K8893" t="n">
        <v>0</v>
      </c>
      <c r="L8893" t="n">
        <v>0</v>
      </c>
      <c r="M8893" t="n">
        <v>0</v>
      </c>
      <c r="N8893" t="n">
        <v>0</v>
      </c>
      <c r="O8893" t="n">
        <v>0</v>
      </c>
      <c r="P8893" t="n">
        <v>0</v>
      </c>
      <c r="Q8893" t="n">
        <v>0</v>
      </c>
      <c r="R8893" t="n">
        <v>0</v>
      </c>
      <c r="S8893" t="n">
        <v>0</v>
      </c>
      <c r="T8893" t="n">
        <v>0</v>
      </c>
      <c r="U8893" t="n">
        <v>0</v>
      </c>
      <c r="V8893" s="2" t="inlineStr"/>
    </row>
    <row r="8894" ht="15" customHeight="1">
      <c r="A8894" t="inlineStr">
        <is>
          <t>A 49969-2024</t>
        </is>
      </c>
      <c r="B8894" t="inlineStr">
        <is>
          <t>avverkningsanmälan</t>
        </is>
      </c>
      <c r="C8894" t="inlineStr">
        <is>
          <t>Föryngringsavverkning</t>
        </is>
      </c>
      <c r="D8894" s="1" t="n">
        <v>45597</v>
      </c>
      <c r="E8894" s="1" t="n">
        <v>46319</v>
      </c>
      <c r="F8894" t="inlineStr">
        <is>
          <t>DALARNAS LÄN</t>
        </is>
      </c>
      <c r="G8894" t="inlineStr">
        <is>
          <t>FALUN</t>
        </is>
      </c>
      <c r="H8894" t="inlineStr">
        <is>
          <t>Bergvik skog väst AB</t>
        </is>
      </c>
      <c r="I8894" t="n">
        <v>4.9</v>
      </c>
      <c r="J8894" t="n">
        <v>0</v>
      </c>
      <c r="K8894" t="n">
        <v>0</v>
      </c>
      <c r="L8894" t="n">
        <v>0</v>
      </c>
      <c r="M8894" t="n">
        <v>0</v>
      </c>
      <c r="N8894" t="n">
        <v>0</v>
      </c>
      <c r="O8894" t="n">
        <v>0</v>
      </c>
      <c r="P8894" t="n">
        <v>0</v>
      </c>
      <c r="Q8894" t="n">
        <v>0</v>
      </c>
      <c r="R8894" t="n">
        <v>0</v>
      </c>
      <c r="S8894" t="n">
        <v>0</v>
      </c>
      <c r="T8894" t="n">
        <v>0</v>
      </c>
      <c r="U8894" t="n">
        <v>0</v>
      </c>
      <c r="V8894" s="2" t="inlineStr"/>
    </row>
    <row r="8895" ht="15" customHeight="1">
      <c r="A8895" t="inlineStr">
        <is>
          <t>A 53640-2024</t>
        </is>
      </c>
      <c r="B8895" t="inlineStr">
        <is>
          <t>avverkningsanmälan</t>
        </is>
      </c>
      <c r="C8895" t="inlineStr">
        <is>
          <t>Föryngringsavverkning</t>
        </is>
      </c>
      <c r="D8895" s="1" t="n">
        <v>45614</v>
      </c>
      <c r="E8895" s="1" t="n">
        <v>46319</v>
      </c>
      <c r="F8895" t="inlineStr">
        <is>
          <t>DALARNAS LÄN</t>
        </is>
      </c>
      <c r="G8895" t="inlineStr">
        <is>
          <t>FALUN</t>
        </is>
      </c>
      <c r="I8895" t="n">
        <v>3.9</v>
      </c>
      <c r="J8895" t="n">
        <v>0</v>
      </c>
      <c r="K8895" t="n">
        <v>0</v>
      </c>
      <c r="L8895" t="n">
        <v>0</v>
      </c>
      <c r="M8895" t="n">
        <v>0</v>
      </c>
      <c r="N8895" t="n">
        <v>0</v>
      </c>
      <c r="O8895" t="n">
        <v>0</v>
      </c>
      <c r="P8895" t="n">
        <v>0</v>
      </c>
      <c r="Q8895" t="n">
        <v>0</v>
      </c>
      <c r="R8895" t="n">
        <v>0</v>
      </c>
      <c r="S8895" t="n">
        <v>0</v>
      </c>
      <c r="T8895" t="n">
        <v>0</v>
      </c>
      <c r="U8895" t="n">
        <v>0</v>
      </c>
      <c r="V8895" s="2" t="inlineStr"/>
    </row>
    <row r="8896" ht="15" customHeight="1">
      <c r="A8896" t="inlineStr">
        <is>
          <t>A 63925-2023</t>
        </is>
      </c>
      <c r="B8896" t="inlineStr">
        <is>
          <t>avverkningsanmälan</t>
        </is>
      </c>
      <c r="C8896" t="inlineStr">
        <is>
          <t>Föryngringsavverkning</t>
        </is>
      </c>
      <c r="D8896" s="1" t="n">
        <v>45278</v>
      </c>
      <c r="E8896" s="1" t="n">
        <v>46319</v>
      </c>
      <c r="F8896" t="inlineStr">
        <is>
          <t>DALARNAS LÄN</t>
        </is>
      </c>
      <c r="G8896" t="inlineStr">
        <is>
          <t>HEDEMORA</t>
        </is>
      </c>
      <c r="I8896" t="n">
        <v>5.2</v>
      </c>
      <c r="J8896" t="n">
        <v>0</v>
      </c>
      <c r="K8896" t="n">
        <v>0</v>
      </c>
      <c r="L8896" t="n">
        <v>0</v>
      </c>
      <c r="M8896" t="n">
        <v>0</v>
      </c>
      <c r="N8896" t="n">
        <v>0</v>
      </c>
      <c r="O8896" t="n">
        <v>0</v>
      </c>
      <c r="P8896" t="n">
        <v>0</v>
      </c>
      <c r="Q8896" t="n">
        <v>0</v>
      </c>
      <c r="R8896" t="n">
        <v>0</v>
      </c>
      <c r="S8896" t="n">
        <v>0</v>
      </c>
      <c r="T8896" t="n">
        <v>0</v>
      </c>
      <c r="U8896" t="n">
        <v>0</v>
      </c>
      <c r="V8896" s="2" t="inlineStr"/>
    </row>
    <row r="8897" ht="15" customHeight="1">
      <c r="A8897" t="inlineStr">
        <is>
          <t>A 50003-2024</t>
        </is>
      </c>
      <c r="B8897" t="inlineStr">
        <is>
          <t>avverkningsanmälan</t>
        </is>
      </c>
      <c r="C8897" t="inlineStr">
        <is>
          <t>Föryngringsavverkning</t>
        </is>
      </c>
      <c r="D8897" s="1" t="n">
        <v>45598</v>
      </c>
      <c r="E8897" s="1" t="n">
        <v>46319</v>
      </c>
      <c r="F8897" t="inlineStr">
        <is>
          <t>DALARNAS LÄN</t>
        </is>
      </c>
      <c r="G8897" t="inlineStr">
        <is>
          <t>AVESTA</t>
        </is>
      </c>
      <c r="H8897" t="inlineStr">
        <is>
          <t>Sveaskog</t>
        </is>
      </c>
      <c r="I8897" t="n">
        <v>1.6</v>
      </c>
      <c r="J8897" t="n">
        <v>0</v>
      </c>
      <c r="K8897" t="n">
        <v>0</v>
      </c>
      <c r="L8897" t="n">
        <v>0</v>
      </c>
      <c r="M8897" t="n">
        <v>0</v>
      </c>
      <c r="N8897" t="n">
        <v>0</v>
      </c>
      <c r="O8897" t="n">
        <v>0</v>
      </c>
      <c r="P8897" t="n">
        <v>0</v>
      </c>
      <c r="Q8897" t="n">
        <v>0</v>
      </c>
      <c r="R8897" t="n">
        <v>0</v>
      </c>
      <c r="S8897" t="n">
        <v>0</v>
      </c>
      <c r="T8897" t="n">
        <v>0</v>
      </c>
      <c r="U8897" t="n">
        <v>0</v>
      </c>
      <c r="V8897" s="2" t="inlineStr"/>
    </row>
    <row r="8898" ht="15" customHeight="1">
      <c r="A8898" t="inlineStr">
        <is>
          <t>A 62314-2022</t>
        </is>
      </c>
      <c r="B8898" t="inlineStr">
        <is>
          <t>avverkningsanmälan</t>
        </is>
      </c>
      <c r="C8898" t="inlineStr">
        <is>
          <t>Föryngringsavverkning</t>
        </is>
      </c>
      <c r="D8898" s="1" t="n">
        <v>44916</v>
      </c>
      <c r="E8898" s="1" t="n">
        <v>46319</v>
      </c>
      <c r="F8898" t="inlineStr">
        <is>
          <t>DALARNAS LÄN</t>
        </is>
      </c>
      <c r="G8898" t="inlineStr">
        <is>
          <t>ÄLVDALEN</t>
        </is>
      </c>
      <c r="I8898" t="n">
        <v>2.7</v>
      </c>
      <c r="J8898" t="n">
        <v>0</v>
      </c>
      <c r="K8898" t="n">
        <v>0</v>
      </c>
      <c r="L8898" t="n">
        <v>0</v>
      </c>
      <c r="M8898" t="n">
        <v>0</v>
      </c>
      <c r="N8898" t="n">
        <v>0</v>
      </c>
      <c r="O8898" t="n">
        <v>0</v>
      </c>
      <c r="P8898" t="n">
        <v>0</v>
      </c>
      <c r="Q8898" t="n">
        <v>0</v>
      </c>
      <c r="R8898" t="n">
        <v>0</v>
      </c>
      <c r="S8898" t="n">
        <v>0</v>
      </c>
      <c r="T8898" t="n">
        <v>0</v>
      </c>
      <c r="U8898" t="n">
        <v>0</v>
      </c>
      <c r="V8898" s="2" t="inlineStr"/>
    </row>
    <row r="8899" ht="15" customHeight="1">
      <c r="A8899" t="inlineStr">
        <is>
          <t>A 43981-2024</t>
        </is>
      </c>
      <c r="B8899" t="inlineStr">
        <is>
          <t>avverkningsanmälan</t>
        </is>
      </c>
      <c r="C8899" t="inlineStr">
        <is>
          <t>Föryngringsavverkning</t>
        </is>
      </c>
      <c r="D8899" s="1" t="n">
        <v>45572</v>
      </c>
      <c r="E8899" s="1" t="n">
        <v>46319</v>
      </c>
      <c r="F8899" t="inlineStr">
        <is>
          <t>DALARNAS LÄN</t>
        </is>
      </c>
      <c r="G8899" t="inlineStr">
        <is>
          <t>LUDVIKA</t>
        </is>
      </c>
      <c r="H8899" t="inlineStr">
        <is>
          <t>Bergvik skog väst AB</t>
        </is>
      </c>
      <c r="I8899" t="n">
        <v>8.199999999999999</v>
      </c>
      <c r="J8899" t="n">
        <v>0</v>
      </c>
      <c r="K8899" t="n">
        <v>0</v>
      </c>
      <c r="L8899" t="n">
        <v>0</v>
      </c>
      <c r="M8899" t="n">
        <v>0</v>
      </c>
      <c r="N8899" t="n">
        <v>0</v>
      </c>
      <c r="O8899" t="n">
        <v>0</v>
      </c>
      <c r="P8899" t="n">
        <v>0</v>
      </c>
      <c r="Q8899" t="n">
        <v>0</v>
      </c>
      <c r="R8899" t="n">
        <v>0</v>
      </c>
      <c r="S8899" t="n">
        <v>0</v>
      </c>
      <c r="T8899" t="n">
        <v>0</v>
      </c>
      <c r="U8899" t="n">
        <v>0</v>
      </c>
      <c r="V8899" s="2" t="inlineStr"/>
    </row>
    <row r="8900" ht="15" customHeight="1">
      <c r="A8900" t="inlineStr">
        <is>
          <t>A 6881-2024</t>
        </is>
      </c>
      <c r="B8900" t="inlineStr">
        <is>
          <t>avverkningsanmälan</t>
        </is>
      </c>
      <c r="C8900" t="inlineStr">
        <is>
          <t>Föryngringsavverkning</t>
        </is>
      </c>
      <c r="D8900" s="1" t="n">
        <v>45342</v>
      </c>
      <c r="E8900" s="1" t="n">
        <v>46319</v>
      </c>
      <c r="F8900" t="inlineStr">
        <is>
          <t>DALARNAS LÄN</t>
        </is>
      </c>
      <c r="G8900" t="inlineStr">
        <is>
          <t>HEDEMORA</t>
        </is>
      </c>
      <c r="I8900" t="n">
        <v>2.5</v>
      </c>
      <c r="J8900" t="n">
        <v>0</v>
      </c>
      <c r="K8900" t="n">
        <v>0</v>
      </c>
      <c r="L8900" t="n">
        <v>0</v>
      </c>
      <c r="M8900" t="n">
        <v>0</v>
      </c>
      <c r="N8900" t="n">
        <v>0</v>
      </c>
      <c r="O8900" t="n">
        <v>0</v>
      </c>
      <c r="P8900" t="n">
        <v>0</v>
      </c>
      <c r="Q8900" t="n">
        <v>0</v>
      </c>
      <c r="R8900" t="n">
        <v>0</v>
      </c>
      <c r="S8900" t="n">
        <v>0</v>
      </c>
      <c r="T8900" t="n">
        <v>0</v>
      </c>
      <c r="U8900" t="n">
        <v>0</v>
      </c>
      <c r="V8900" s="2" t="inlineStr"/>
    </row>
    <row r="8901" ht="15" customHeight="1">
      <c r="A8901" t="inlineStr">
        <is>
          <t>A 46674-2024</t>
        </is>
      </c>
      <c r="B8901" t="inlineStr">
        <is>
          <t>avverkningsanmälan</t>
        </is>
      </c>
      <c r="C8901" t="inlineStr">
        <is>
          <t>Föryngringsavverkning</t>
        </is>
      </c>
      <c r="D8901" s="1" t="n">
        <v>45583</v>
      </c>
      <c r="E8901" s="1" t="n">
        <v>46319</v>
      </c>
      <c r="F8901" t="inlineStr">
        <is>
          <t>DALARNAS LÄN</t>
        </is>
      </c>
      <c r="G8901" t="inlineStr">
        <is>
          <t>AVESTA</t>
        </is>
      </c>
      <c r="H8901" t="inlineStr">
        <is>
          <t>Sveaskog</t>
        </is>
      </c>
      <c r="I8901" t="n">
        <v>2.6</v>
      </c>
      <c r="J8901" t="n">
        <v>0</v>
      </c>
      <c r="K8901" t="n">
        <v>0</v>
      </c>
      <c r="L8901" t="n">
        <v>0</v>
      </c>
      <c r="M8901" t="n">
        <v>0</v>
      </c>
      <c r="N8901" t="n">
        <v>0</v>
      </c>
      <c r="O8901" t="n">
        <v>0</v>
      </c>
      <c r="P8901" t="n">
        <v>0</v>
      </c>
      <c r="Q8901" t="n">
        <v>0</v>
      </c>
      <c r="R8901" t="n">
        <v>0</v>
      </c>
      <c r="S8901" t="n">
        <v>0</v>
      </c>
      <c r="T8901" t="n">
        <v>0</v>
      </c>
      <c r="U8901" t="n">
        <v>0</v>
      </c>
      <c r="V8901" s="2" t="inlineStr"/>
    </row>
    <row r="8902" ht="15" customHeight="1">
      <c r="A8902" t="inlineStr">
        <is>
          <t>A 15684-2024</t>
        </is>
      </c>
      <c r="B8902" t="inlineStr">
        <is>
          <t>avverkningsanmälan</t>
        </is>
      </c>
      <c r="C8902" t="inlineStr">
        <is>
          <t>Föryngringsavverkning</t>
        </is>
      </c>
      <c r="D8902" s="1" t="n">
        <v>45404</v>
      </c>
      <c r="E8902" s="1" t="n">
        <v>46319</v>
      </c>
      <c r="F8902" t="inlineStr">
        <is>
          <t>DALARNAS LÄN</t>
        </is>
      </c>
      <c r="G8902" t="inlineStr">
        <is>
          <t>GAGNEF</t>
        </is>
      </c>
      <c r="I8902" t="n">
        <v>1.8</v>
      </c>
      <c r="J8902" t="n">
        <v>0</v>
      </c>
      <c r="K8902" t="n">
        <v>0</v>
      </c>
      <c r="L8902" t="n">
        <v>0</v>
      </c>
      <c r="M8902" t="n">
        <v>0</v>
      </c>
      <c r="N8902" t="n">
        <v>0</v>
      </c>
      <c r="O8902" t="n">
        <v>0</v>
      </c>
      <c r="P8902" t="n">
        <v>0</v>
      </c>
      <c r="Q8902" t="n">
        <v>0</v>
      </c>
      <c r="R8902" t="n">
        <v>0</v>
      </c>
      <c r="S8902" t="n">
        <v>0</v>
      </c>
      <c r="T8902" t="n">
        <v>0</v>
      </c>
      <c r="U8902" t="n">
        <v>0</v>
      </c>
      <c r="V8902" s="2" t="inlineStr"/>
    </row>
    <row r="8903" ht="15" customHeight="1">
      <c r="A8903" t="inlineStr">
        <is>
          <t>A 30039-2024</t>
        </is>
      </c>
      <c r="B8903" t="inlineStr">
        <is>
          <t>avverkningsanmälan</t>
        </is>
      </c>
      <c r="C8903" t="inlineStr">
        <is>
          <t>Föryngringsavverkning</t>
        </is>
      </c>
      <c r="D8903" s="1" t="n">
        <v>45488</v>
      </c>
      <c r="E8903" s="1" t="n">
        <v>46319</v>
      </c>
      <c r="F8903" t="inlineStr">
        <is>
          <t>DALARNAS LÄN</t>
        </is>
      </c>
      <c r="G8903" t="inlineStr">
        <is>
          <t>LUDVIKA</t>
        </is>
      </c>
      <c r="I8903" t="n">
        <v>1.3</v>
      </c>
      <c r="J8903" t="n">
        <v>0</v>
      </c>
      <c r="K8903" t="n">
        <v>0</v>
      </c>
      <c r="L8903" t="n">
        <v>0</v>
      </c>
      <c r="M8903" t="n">
        <v>0</v>
      </c>
      <c r="N8903" t="n">
        <v>0</v>
      </c>
      <c r="O8903" t="n">
        <v>0</v>
      </c>
      <c r="P8903" t="n">
        <v>0</v>
      </c>
      <c r="Q8903" t="n">
        <v>0</v>
      </c>
      <c r="R8903" t="n">
        <v>0</v>
      </c>
      <c r="S8903" t="n">
        <v>0</v>
      </c>
      <c r="T8903" t="n">
        <v>0</v>
      </c>
      <c r="U8903" t="n">
        <v>0</v>
      </c>
      <c r="V8903" s="2" t="inlineStr"/>
    </row>
    <row r="8904" ht="15" customHeight="1">
      <c r="A8904" t="inlineStr">
        <is>
          <t>A 9836-2022</t>
        </is>
      </c>
      <c r="B8904" t="inlineStr">
        <is>
          <t>avverkningsanmälan</t>
        </is>
      </c>
      <c r="C8904" t="inlineStr">
        <is>
          <t>Föryngringsavverkning</t>
        </is>
      </c>
      <c r="D8904" s="1" t="n">
        <v>44620</v>
      </c>
      <c r="E8904" s="1" t="n">
        <v>46319</v>
      </c>
      <c r="F8904" t="inlineStr">
        <is>
          <t>DALARNAS LÄN</t>
        </is>
      </c>
      <c r="G8904" t="inlineStr">
        <is>
          <t>ORSA</t>
        </is>
      </c>
      <c r="I8904" t="n">
        <v>1</v>
      </c>
      <c r="J8904" t="n">
        <v>0</v>
      </c>
      <c r="K8904" t="n">
        <v>0</v>
      </c>
      <c r="L8904" t="n">
        <v>0</v>
      </c>
      <c r="M8904" t="n">
        <v>0</v>
      </c>
      <c r="N8904" t="n">
        <v>0</v>
      </c>
      <c r="O8904" t="n">
        <v>0</v>
      </c>
      <c r="P8904" t="n">
        <v>0</v>
      </c>
      <c r="Q8904" t="n">
        <v>0</v>
      </c>
      <c r="R8904" t="n">
        <v>0</v>
      </c>
      <c r="S8904" t="n">
        <v>0</v>
      </c>
      <c r="T8904" t="n">
        <v>0</v>
      </c>
      <c r="U8904" t="n">
        <v>0</v>
      </c>
      <c r="V8904" s="2" t="inlineStr"/>
    </row>
    <row r="8905" ht="15" customHeight="1">
      <c r="A8905" t="inlineStr">
        <is>
          <t>A 38863-2023</t>
        </is>
      </c>
      <c r="B8905" t="inlineStr">
        <is>
          <t>avverkningsanmälan</t>
        </is>
      </c>
      <c r="C8905" t="inlineStr">
        <is>
          <t>Avverkning för annat ändamål</t>
        </is>
      </c>
      <c r="D8905" s="1" t="n">
        <v>45163</v>
      </c>
      <c r="E8905" s="1" t="n">
        <v>46319</v>
      </c>
      <c r="F8905" t="inlineStr">
        <is>
          <t>DALARNAS LÄN</t>
        </is>
      </c>
      <c r="G8905" t="inlineStr">
        <is>
          <t>BORLÄNGE</t>
        </is>
      </c>
      <c r="I8905" t="n">
        <v>0.3</v>
      </c>
      <c r="J8905" t="n">
        <v>0</v>
      </c>
      <c r="K8905" t="n">
        <v>0</v>
      </c>
      <c r="L8905" t="n">
        <v>0</v>
      </c>
      <c r="M8905" t="n">
        <v>0</v>
      </c>
      <c r="N8905" t="n">
        <v>0</v>
      </c>
      <c r="O8905" t="n">
        <v>0</v>
      </c>
      <c r="P8905" t="n">
        <v>0</v>
      </c>
      <c r="Q8905" t="n">
        <v>0</v>
      </c>
      <c r="R8905" t="n">
        <v>0</v>
      </c>
      <c r="S8905" t="n">
        <v>0</v>
      </c>
      <c r="T8905" t="n">
        <v>0</v>
      </c>
      <c r="U8905" t="n">
        <v>0</v>
      </c>
      <c r="V8905" s="2" t="inlineStr"/>
    </row>
    <row r="8906" ht="15" customHeight="1">
      <c r="A8906" t="inlineStr">
        <is>
          <t>A 38868-2023</t>
        </is>
      </c>
      <c r="B8906" t="inlineStr">
        <is>
          <t>avverkningsanmälan</t>
        </is>
      </c>
      <c r="C8906" t="inlineStr">
        <is>
          <t>Avverkning för annat ändamål</t>
        </is>
      </c>
      <c r="D8906" s="1" t="n">
        <v>45163</v>
      </c>
      <c r="E8906" s="1" t="n">
        <v>46319</v>
      </c>
      <c r="F8906" t="inlineStr">
        <is>
          <t>DALARNAS LÄN</t>
        </is>
      </c>
      <c r="G8906" t="inlineStr">
        <is>
          <t>BORLÄNGE</t>
        </is>
      </c>
      <c r="I8906" t="n">
        <v>0.7</v>
      </c>
      <c r="J8906" t="n">
        <v>0</v>
      </c>
      <c r="K8906" t="n">
        <v>0</v>
      </c>
      <c r="L8906" t="n">
        <v>0</v>
      </c>
      <c r="M8906" t="n">
        <v>0</v>
      </c>
      <c r="N8906" t="n">
        <v>0</v>
      </c>
      <c r="O8906" t="n">
        <v>0</v>
      </c>
      <c r="P8906" t="n">
        <v>0</v>
      </c>
      <c r="Q8906" t="n">
        <v>0</v>
      </c>
      <c r="R8906" t="n">
        <v>0</v>
      </c>
      <c r="S8906" t="n">
        <v>0</v>
      </c>
      <c r="T8906" t="n">
        <v>0</v>
      </c>
      <c r="U8906" t="n">
        <v>0</v>
      </c>
      <c r="V8906" s="2" t="inlineStr"/>
    </row>
    <row r="8907" ht="15" customHeight="1">
      <c r="A8907" t="inlineStr">
        <is>
          <t>A 48634-2024</t>
        </is>
      </c>
      <c r="B8907" t="inlineStr">
        <is>
          <t>avverkningsanmälan</t>
        </is>
      </c>
      <c r="C8907" t="inlineStr">
        <is>
          <t>Föryngringsavverkning</t>
        </is>
      </c>
      <c r="D8907" s="1" t="n">
        <v>45593</v>
      </c>
      <c r="E8907" s="1" t="n">
        <v>46319</v>
      </c>
      <c r="F8907" t="inlineStr">
        <is>
          <t>DALARNAS LÄN</t>
        </is>
      </c>
      <c r="G8907" t="inlineStr">
        <is>
          <t>SMEDJEBACKEN</t>
        </is>
      </c>
      <c r="H8907" t="inlineStr">
        <is>
          <t>Bergvik skog väst AB</t>
        </is>
      </c>
      <c r="I8907" t="n">
        <v>8.699999999999999</v>
      </c>
      <c r="J8907" t="n">
        <v>0</v>
      </c>
      <c r="K8907" t="n">
        <v>0</v>
      </c>
      <c r="L8907" t="n">
        <v>0</v>
      </c>
      <c r="M8907" t="n">
        <v>0</v>
      </c>
      <c r="N8907" t="n">
        <v>0</v>
      </c>
      <c r="O8907" t="n">
        <v>0</v>
      </c>
      <c r="P8907" t="n">
        <v>0</v>
      </c>
      <c r="Q8907" t="n">
        <v>0</v>
      </c>
      <c r="R8907" t="n">
        <v>0</v>
      </c>
      <c r="S8907" t="n">
        <v>0</v>
      </c>
      <c r="T8907" t="n">
        <v>0</v>
      </c>
      <c r="U8907" t="n">
        <v>0</v>
      </c>
      <c r="V8907" s="2" t="inlineStr"/>
    </row>
    <row r="8908" ht="15" customHeight="1">
      <c r="A8908" t="inlineStr">
        <is>
          <t>A 47751-2024</t>
        </is>
      </c>
      <c r="B8908" t="inlineStr">
        <is>
          <t>avverkningsanmälan</t>
        </is>
      </c>
      <c r="C8908" t="inlineStr">
        <is>
          <t>Föryngringsavverkning</t>
        </is>
      </c>
      <c r="D8908" s="1" t="n">
        <v>45588</v>
      </c>
      <c r="E8908" s="1" t="n">
        <v>46319</v>
      </c>
      <c r="F8908" t="inlineStr">
        <is>
          <t>DALARNAS LÄN</t>
        </is>
      </c>
      <c r="G8908" t="inlineStr">
        <is>
          <t>ÄLVDALEN</t>
        </is>
      </c>
      <c r="I8908" t="n">
        <v>0.6</v>
      </c>
      <c r="J8908" t="n">
        <v>0</v>
      </c>
      <c r="K8908" t="n">
        <v>0</v>
      </c>
      <c r="L8908" t="n">
        <v>0</v>
      </c>
      <c r="M8908" t="n">
        <v>0</v>
      </c>
      <c r="N8908" t="n">
        <v>0</v>
      </c>
      <c r="O8908" t="n">
        <v>0</v>
      </c>
      <c r="P8908" t="n">
        <v>0</v>
      </c>
      <c r="Q8908" t="n">
        <v>0</v>
      </c>
      <c r="R8908" t="n">
        <v>0</v>
      </c>
      <c r="S8908" t="n">
        <v>0</v>
      </c>
      <c r="T8908" t="n">
        <v>0</v>
      </c>
      <c r="U8908" t="n">
        <v>0</v>
      </c>
      <c r="V8908" s="2" t="inlineStr"/>
    </row>
    <row r="8909" ht="15" customHeight="1">
      <c r="A8909" t="inlineStr">
        <is>
          <t>A 11416-2022</t>
        </is>
      </c>
      <c r="B8909" t="inlineStr">
        <is>
          <t>avverkningsanmälan</t>
        </is>
      </c>
      <c r="C8909" t="inlineStr">
        <is>
          <t>Föryngringsavverkning</t>
        </is>
      </c>
      <c r="D8909" s="1" t="n">
        <v>44630</v>
      </c>
      <c r="E8909" s="1" t="n">
        <v>46319</v>
      </c>
      <c r="F8909" t="inlineStr">
        <is>
          <t>DALARNAS LÄN</t>
        </is>
      </c>
      <c r="G8909" t="inlineStr">
        <is>
          <t>SÄTER</t>
        </is>
      </c>
      <c r="I8909" t="n">
        <v>10.1</v>
      </c>
      <c r="J8909" t="n">
        <v>0</v>
      </c>
      <c r="K8909" t="n">
        <v>0</v>
      </c>
      <c r="L8909" t="n">
        <v>0</v>
      </c>
      <c r="M8909" t="n">
        <v>0</v>
      </c>
      <c r="N8909" t="n">
        <v>0</v>
      </c>
      <c r="O8909" t="n">
        <v>0</v>
      </c>
      <c r="P8909" t="n">
        <v>0</v>
      </c>
      <c r="Q8909" t="n">
        <v>0</v>
      </c>
      <c r="R8909" t="n">
        <v>0</v>
      </c>
      <c r="S8909" t="n">
        <v>0</v>
      </c>
      <c r="T8909" t="n">
        <v>0</v>
      </c>
      <c r="U8909" t="n">
        <v>0</v>
      </c>
      <c r="V8909" s="2" t="inlineStr"/>
    </row>
    <row r="8910" ht="15" customHeight="1">
      <c r="A8910" t="inlineStr">
        <is>
          <t>A 15610-2024</t>
        </is>
      </c>
      <c r="B8910" t="inlineStr">
        <is>
          <t>avverkningsanmälan</t>
        </is>
      </c>
      <c r="C8910" t="inlineStr">
        <is>
          <t>Föryngringsavverkning</t>
        </is>
      </c>
      <c r="D8910" s="1" t="n">
        <v>45401</v>
      </c>
      <c r="E8910" s="1" t="n">
        <v>46319</v>
      </c>
      <c r="F8910" t="inlineStr">
        <is>
          <t>DALARNAS LÄN</t>
        </is>
      </c>
      <c r="G8910" t="inlineStr">
        <is>
          <t>FALUN</t>
        </is>
      </c>
      <c r="I8910" t="n">
        <v>5.2</v>
      </c>
      <c r="J8910" t="n">
        <v>0</v>
      </c>
      <c r="K8910" t="n">
        <v>0</v>
      </c>
      <c r="L8910" t="n">
        <v>0</v>
      </c>
      <c r="M8910" t="n">
        <v>0</v>
      </c>
      <c r="N8910" t="n">
        <v>0</v>
      </c>
      <c r="O8910" t="n">
        <v>0</v>
      </c>
      <c r="P8910" t="n">
        <v>0</v>
      </c>
      <c r="Q8910" t="n">
        <v>0</v>
      </c>
      <c r="R8910" t="n">
        <v>0</v>
      </c>
      <c r="S8910" t="n">
        <v>0</v>
      </c>
      <c r="T8910" t="n">
        <v>0</v>
      </c>
      <c r="U8910" t="n">
        <v>0</v>
      </c>
      <c r="V8910" s="2" t="inlineStr"/>
    </row>
    <row r="8911" ht="15" customHeight="1">
      <c r="A8911" t="inlineStr">
        <is>
          <t>A 38700-2023</t>
        </is>
      </c>
      <c r="B8911" t="inlineStr">
        <is>
          <t>avverkningsanmälan</t>
        </is>
      </c>
      <c r="C8911" t="inlineStr">
        <is>
          <t>Föryngringsavverkning</t>
        </is>
      </c>
      <c r="D8911" s="1" t="n">
        <v>45163</v>
      </c>
      <c r="E8911" s="1" t="n">
        <v>46319</v>
      </c>
      <c r="F8911" t="inlineStr">
        <is>
          <t>DALARNAS LÄN</t>
        </is>
      </c>
      <c r="G8911" t="inlineStr">
        <is>
          <t>SÄTER</t>
        </is>
      </c>
      <c r="I8911" t="n">
        <v>2.5</v>
      </c>
      <c r="J8911" t="n">
        <v>0</v>
      </c>
      <c r="K8911" t="n">
        <v>0</v>
      </c>
      <c r="L8911" t="n">
        <v>0</v>
      </c>
      <c r="M8911" t="n">
        <v>0</v>
      </c>
      <c r="N8911" t="n">
        <v>0</v>
      </c>
      <c r="O8911" t="n">
        <v>0</v>
      </c>
      <c r="P8911" t="n">
        <v>0</v>
      </c>
      <c r="Q8911" t="n">
        <v>0</v>
      </c>
      <c r="R8911" t="n">
        <v>0</v>
      </c>
      <c r="S8911" t="n">
        <v>0</v>
      </c>
      <c r="T8911" t="n">
        <v>0</v>
      </c>
      <c r="U8911" t="n">
        <v>0</v>
      </c>
      <c r="V8911" s="2" t="inlineStr"/>
    </row>
    <row r="8912" ht="15" customHeight="1">
      <c r="A8912" t="inlineStr">
        <is>
          <t>A 38767-2023</t>
        </is>
      </c>
      <c r="B8912" t="inlineStr">
        <is>
          <t>avverkningsanmälan</t>
        </is>
      </c>
      <c r="C8912" t="inlineStr">
        <is>
          <t>Föryngringsavverkning</t>
        </is>
      </c>
      <c r="D8912" s="1" t="n">
        <v>45163</v>
      </c>
      <c r="E8912" s="1" t="n">
        <v>46319</v>
      </c>
      <c r="F8912" t="inlineStr">
        <is>
          <t>DALARNAS LÄN</t>
        </is>
      </c>
      <c r="G8912" t="inlineStr">
        <is>
          <t>SMEDJEBACKEN</t>
        </is>
      </c>
      <c r="H8912" t="inlineStr">
        <is>
          <t>Sveaskog</t>
        </is>
      </c>
      <c r="I8912" t="n">
        <v>6.5</v>
      </c>
      <c r="J8912" t="n">
        <v>0</v>
      </c>
      <c r="K8912" t="n">
        <v>0</v>
      </c>
      <c r="L8912" t="n">
        <v>0</v>
      </c>
      <c r="M8912" t="n">
        <v>0</v>
      </c>
      <c r="N8912" t="n">
        <v>0</v>
      </c>
      <c r="O8912" t="n">
        <v>0</v>
      </c>
      <c r="P8912" t="n">
        <v>0</v>
      </c>
      <c r="Q8912" t="n">
        <v>0</v>
      </c>
      <c r="R8912" t="n">
        <v>0</v>
      </c>
      <c r="S8912" t="n">
        <v>0</v>
      </c>
      <c r="T8912" t="n">
        <v>0</v>
      </c>
      <c r="U8912" t="n">
        <v>0</v>
      </c>
      <c r="V8912" s="2" t="inlineStr"/>
    </row>
    <row r="8913" ht="15" customHeight="1">
      <c r="A8913" t="inlineStr">
        <is>
          <t>A 6106-2022</t>
        </is>
      </c>
      <c r="B8913" t="inlineStr">
        <is>
          <t>avverkningsanmälan</t>
        </is>
      </c>
      <c r="C8913" t="inlineStr">
        <is>
          <t>Föryngringsavverkning</t>
        </is>
      </c>
      <c r="D8913" s="1" t="n">
        <v>44599</v>
      </c>
      <c r="E8913" s="1" t="n">
        <v>46319</v>
      </c>
      <c r="F8913" t="inlineStr">
        <is>
          <t>DALARNAS LÄN</t>
        </is>
      </c>
      <c r="G8913" t="inlineStr">
        <is>
          <t>MALUNG-SÄLEN</t>
        </is>
      </c>
      <c r="I8913" t="n">
        <v>9</v>
      </c>
      <c r="J8913" t="n">
        <v>0</v>
      </c>
      <c r="K8913" t="n">
        <v>0</v>
      </c>
      <c r="L8913" t="n">
        <v>0</v>
      </c>
      <c r="M8913" t="n">
        <v>0</v>
      </c>
      <c r="N8913" t="n">
        <v>0</v>
      </c>
      <c r="O8913" t="n">
        <v>0</v>
      </c>
      <c r="P8913" t="n">
        <v>0</v>
      </c>
      <c r="Q8913" t="n">
        <v>0</v>
      </c>
      <c r="R8913" t="n">
        <v>0</v>
      </c>
      <c r="S8913" t="n">
        <v>0</v>
      </c>
      <c r="T8913" t="n">
        <v>0</v>
      </c>
      <c r="U8913" t="n">
        <v>0</v>
      </c>
      <c r="V8913" s="2" t="inlineStr"/>
    </row>
    <row r="8914" ht="15" customHeight="1">
      <c r="A8914" t="inlineStr">
        <is>
          <t>A 25024-2023</t>
        </is>
      </c>
      <c r="B8914" t="inlineStr">
        <is>
          <t>avverkningsanmälan</t>
        </is>
      </c>
      <c r="C8914" t="inlineStr">
        <is>
          <t>Föryngringsavverkning</t>
        </is>
      </c>
      <c r="D8914" s="1" t="n">
        <v>45085</v>
      </c>
      <c r="E8914" s="1" t="n">
        <v>46319</v>
      </c>
      <c r="F8914" t="inlineStr">
        <is>
          <t>DALARNAS LÄN</t>
        </is>
      </c>
      <c r="G8914" t="inlineStr">
        <is>
          <t>GAGNEF</t>
        </is>
      </c>
      <c r="I8914" t="n">
        <v>0.5</v>
      </c>
      <c r="J8914" t="n">
        <v>0</v>
      </c>
      <c r="K8914" t="n">
        <v>0</v>
      </c>
      <c r="L8914" t="n">
        <v>0</v>
      </c>
      <c r="M8914" t="n">
        <v>0</v>
      </c>
      <c r="N8914" t="n">
        <v>0</v>
      </c>
      <c r="O8914" t="n">
        <v>0</v>
      </c>
      <c r="P8914" t="n">
        <v>0</v>
      </c>
      <c r="Q8914" t="n">
        <v>0</v>
      </c>
      <c r="R8914" t="n">
        <v>0</v>
      </c>
      <c r="S8914" t="n">
        <v>0</v>
      </c>
      <c r="T8914" t="n">
        <v>0</v>
      </c>
      <c r="U8914" t="n">
        <v>0</v>
      </c>
      <c r="V8914" s="2" t="inlineStr"/>
    </row>
    <row r="8915" ht="15" customHeight="1">
      <c r="A8915" t="inlineStr">
        <is>
          <t>A 59633-2021</t>
        </is>
      </c>
      <c r="B8915" t="inlineStr">
        <is>
          <t>avverkningsanmälan</t>
        </is>
      </c>
      <c r="C8915" t="inlineStr">
        <is>
          <t>Föryngringsavverkning</t>
        </is>
      </c>
      <c r="D8915" s="1" t="n">
        <v>44493</v>
      </c>
      <c r="E8915" s="1" t="n">
        <v>46319</v>
      </c>
      <c r="F8915" t="inlineStr">
        <is>
          <t>DALARNAS LÄN</t>
        </is>
      </c>
      <c r="G8915" t="inlineStr">
        <is>
          <t>BORLÄNGE</t>
        </is>
      </c>
      <c r="I8915" t="n">
        <v>3.6</v>
      </c>
      <c r="J8915" t="n">
        <v>0</v>
      </c>
      <c r="K8915" t="n">
        <v>0</v>
      </c>
      <c r="L8915" t="n">
        <v>0</v>
      </c>
      <c r="M8915" t="n">
        <v>0</v>
      </c>
      <c r="N8915" t="n">
        <v>0</v>
      </c>
      <c r="O8915" t="n">
        <v>0</v>
      </c>
      <c r="P8915" t="n">
        <v>0</v>
      </c>
      <c r="Q8915" t="n">
        <v>0</v>
      </c>
      <c r="R8915" t="n">
        <v>0</v>
      </c>
      <c r="S8915" t="n">
        <v>0</v>
      </c>
      <c r="T8915" t="n">
        <v>0</v>
      </c>
      <c r="U8915" t="n">
        <v>0</v>
      </c>
      <c r="V8915" s="2" t="inlineStr"/>
    </row>
    <row r="8916" ht="15" customHeight="1">
      <c r="A8916" t="inlineStr">
        <is>
          <t>A 2865-2022</t>
        </is>
      </c>
      <c r="B8916" t="inlineStr">
        <is>
          <t>avverkningsanmälan</t>
        </is>
      </c>
      <c r="C8916" t="inlineStr">
        <is>
          <t>Föryngringsavverkning</t>
        </is>
      </c>
      <c r="D8916" s="1" t="n">
        <v>44581</v>
      </c>
      <c r="E8916" s="1" t="n">
        <v>46319</v>
      </c>
      <c r="F8916" t="inlineStr">
        <is>
          <t>DALARNAS LÄN</t>
        </is>
      </c>
      <c r="G8916" t="inlineStr">
        <is>
          <t>MORA</t>
        </is>
      </c>
      <c r="I8916" t="n">
        <v>2</v>
      </c>
      <c r="J8916" t="n">
        <v>0</v>
      </c>
      <c r="K8916" t="n">
        <v>0</v>
      </c>
      <c r="L8916" t="n">
        <v>0</v>
      </c>
      <c r="M8916" t="n">
        <v>0</v>
      </c>
      <c r="N8916" t="n">
        <v>0</v>
      </c>
      <c r="O8916" t="n">
        <v>0</v>
      </c>
      <c r="P8916" t="n">
        <v>0</v>
      </c>
      <c r="Q8916" t="n">
        <v>0</v>
      </c>
      <c r="R8916" t="n">
        <v>0</v>
      </c>
      <c r="S8916" t="n">
        <v>0</v>
      </c>
      <c r="T8916" t="n">
        <v>0</v>
      </c>
      <c r="U8916" t="n">
        <v>0</v>
      </c>
      <c r="V8916" s="2" t="inlineStr"/>
    </row>
    <row r="8917" ht="15" customHeight="1">
      <c r="A8917" t="inlineStr">
        <is>
          <t>A 11897-2023</t>
        </is>
      </c>
      <c r="B8917" t="inlineStr">
        <is>
          <t>avverkningsanmälan</t>
        </is>
      </c>
      <c r="C8917" t="inlineStr">
        <is>
          <t>Föryngringsavverkning</t>
        </is>
      </c>
      <c r="D8917" s="1" t="n">
        <v>44995</v>
      </c>
      <c r="E8917" s="1" t="n">
        <v>46319</v>
      </c>
      <c r="F8917" t="inlineStr">
        <is>
          <t>DALARNAS LÄN</t>
        </is>
      </c>
      <c r="G8917" t="inlineStr">
        <is>
          <t>FALUN</t>
        </is>
      </c>
      <c r="I8917" t="n">
        <v>0.8</v>
      </c>
      <c r="J8917" t="n">
        <v>0</v>
      </c>
      <c r="K8917" t="n">
        <v>0</v>
      </c>
      <c r="L8917" t="n">
        <v>0</v>
      </c>
      <c r="M8917" t="n">
        <v>0</v>
      </c>
      <c r="N8917" t="n">
        <v>0</v>
      </c>
      <c r="O8917" t="n">
        <v>0</v>
      </c>
      <c r="P8917" t="n">
        <v>0</v>
      </c>
      <c r="Q8917" t="n">
        <v>0</v>
      </c>
      <c r="R8917" t="n">
        <v>0</v>
      </c>
      <c r="S8917" t="n">
        <v>0</v>
      </c>
      <c r="T8917" t="n">
        <v>0</v>
      </c>
      <c r="U8917" t="n">
        <v>0</v>
      </c>
      <c r="V8917" s="2" t="inlineStr"/>
    </row>
    <row r="8918" ht="15" customHeight="1">
      <c r="A8918" t="inlineStr">
        <is>
          <t>A 65176-2021</t>
        </is>
      </c>
      <c r="B8918" t="inlineStr">
        <is>
          <t>avverkningsanmälan</t>
        </is>
      </c>
      <c r="C8918" t="inlineStr">
        <is>
          <t>Föryngringsavverkning</t>
        </is>
      </c>
      <c r="D8918" s="1" t="n">
        <v>44515</v>
      </c>
      <c r="E8918" s="1" t="n">
        <v>46319</v>
      </c>
      <c r="F8918" t="inlineStr">
        <is>
          <t>DALARNAS LÄN</t>
        </is>
      </c>
      <c r="G8918" t="inlineStr">
        <is>
          <t>RÄTTVIK</t>
        </is>
      </c>
      <c r="I8918" t="n">
        <v>1.5</v>
      </c>
      <c r="J8918" t="n">
        <v>0</v>
      </c>
      <c r="K8918" t="n">
        <v>0</v>
      </c>
      <c r="L8918" t="n">
        <v>0</v>
      </c>
      <c r="M8918" t="n">
        <v>0</v>
      </c>
      <c r="N8918" t="n">
        <v>0</v>
      </c>
      <c r="O8918" t="n">
        <v>0</v>
      </c>
      <c r="P8918" t="n">
        <v>0</v>
      </c>
      <c r="Q8918" t="n">
        <v>0</v>
      </c>
      <c r="R8918" t="n">
        <v>0</v>
      </c>
      <c r="S8918" t="n">
        <v>0</v>
      </c>
      <c r="T8918" t="n">
        <v>0</v>
      </c>
      <c r="U8918" t="n">
        <v>0</v>
      </c>
      <c r="V8918" s="2" t="inlineStr"/>
    </row>
    <row r="8919" ht="15" customHeight="1">
      <c r="A8919" t="inlineStr">
        <is>
          <t>A 32352-2023</t>
        </is>
      </c>
      <c r="B8919" t="inlineStr">
        <is>
          <t>avverkningsanmälan</t>
        </is>
      </c>
      <c r="C8919" t="inlineStr">
        <is>
          <t>Föryngringsavverkning</t>
        </is>
      </c>
      <c r="D8919" s="1" t="n">
        <v>45120</v>
      </c>
      <c r="E8919" s="1" t="n">
        <v>46319</v>
      </c>
      <c r="F8919" t="inlineStr">
        <is>
          <t>DALARNAS LÄN</t>
        </is>
      </c>
      <c r="G8919" t="inlineStr">
        <is>
          <t>ÄLVDALEN</t>
        </is>
      </c>
      <c r="I8919" t="n">
        <v>2</v>
      </c>
      <c r="J8919" t="n">
        <v>0</v>
      </c>
      <c r="K8919" t="n">
        <v>0</v>
      </c>
      <c r="L8919" t="n">
        <v>0</v>
      </c>
      <c r="M8919" t="n">
        <v>0</v>
      </c>
      <c r="N8919" t="n">
        <v>0</v>
      </c>
      <c r="O8919" t="n">
        <v>0</v>
      </c>
      <c r="P8919" t="n">
        <v>0</v>
      </c>
      <c r="Q8919" t="n">
        <v>0</v>
      </c>
      <c r="R8919" t="n">
        <v>0</v>
      </c>
      <c r="S8919" t="n">
        <v>0</v>
      </c>
      <c r="T8919" t="n">
        <v>0</v>
      </c>
      <c r="U8919" t="n">
        <v>0</v>
      </c>
      <c r="V8919" s="2" t="inlineStr"/>
    </row>
    <row r="8920" ht="15" customHeight="1">
      <c r="A8920" t="inlineStr">
        <is>
          <t>A 33317-2023</t>
        </is>
      </c>
      <c r="B8920" t="inlineStr">
        <is>
          <t>avverkningsanmälan</t>
        </is>
      </c>
      <c r="C8920" t="inlineStr">
        <is>
          <t>Föryngringsavverkning</t>
        </is>
      </c>
      <c r="D8920" s="1" t="n">
        <v>45127</v>
      </c>
      <c r="E8920" s="1" t="n">
        <v>46319</v>
      </c>
      <c r="F8920" t="inlineStr">
        <is>
          <t>DALARNAS LÄN</t>
        </is>
      </c>
      <c r="G8920" t="inlineStr">
        <is>
          <t>LEKSAND</t>
        </is>
      </c>
      <c r="I8920" t="n">
        <v>2.7</v>
      </c>
      <c r="J8920" t="n">
        <v>0</v>
      </c>
      <c r="K8920" t="n">
        <v>0</v>
      </c>
      <c r="L8920" t="n">
        <v>0</v>
      </c>
      <c r="M8920" t="n">
        <v>0</v>
      </c>
      <c r="N8920" t="n">
        <v>0</v>
      </c>
      <c r="O8920" t="n">
        <v>0</v>
      </c>
      <c r="P8920" t="n">
        <v>0</v>
      </c>
      <c r="Q8920" t="n">
        <v>0</v>
      </c>
      <c r="R8920" t="n">
        <v>0</v>
      </c>
      <c r="S8920" t="n">
        <v>0</v>
      </c>
      <c r="T8920" t="n">
        <v>0</v>
      </c>
      <c r="U8920" t="n">
        <v>0</v>
      </c>
      <c r="V8920" s="2" t="inlineStr"/>
    </row>
    <row r="8921" ht="15" customHeight="1">
      <c r="A8921" t="inlineStr">
        <is>
          <t>A 36172-2024</t>
        </is>
      </c>
      <c r="B8921" t="inlineStr">
        <is>
          <t>avverkningsanmälan</t>
        </is>
      </c>
      <c r="C8921" t="inlineStr">
        <is>
          <t>Föryngringsavverkning</t>
        </is>
      </c>
      <c r="D8921" s="1" t="n">
        <v>45534</v>
      </c>
      <c r="E8921" s="1" t="n">
        <v>46319</v>
      </c>
      <c r="F8921" t="inlineStr">
        <is>
          <t>DALARNAS LÄN</t>
        </is>
      </c>
      <c r="G8921" t="inlineStr">
        <is>
          <t>RÄTTVIK</t>
        </is>
      </c>
      <c r="I8921" t="n">
        <v>3.2</v>
      </c>
      <c r="J8921" t="n">
        <v>0</v>
      </c>
      <c r="K8921" t="n">
        <v>0</v>
      </c>
      <c r="L8921" t="n">
        <v>0</v>
      </c>
      <c r="M8921" t="n">
        <v>0</v>
      </c>
      <c r="N8921" t="n">
        <v>0</v>
      </c>
      <c r="O8921" t="n">
        <v>0</v>
      </c>
      <c r="P8921" t="n">
        <v>0</v>
      </c>
      <c r="Q8921" t="n">
        <v>0</v>
      </c>
      <c r="R8921" t="n">
        <v>0</v>
      </c>
      <c r="S8921" t="n">
        <v>0</v>
      </c>
      <c r="T8921" t="n">
        <v>0</v>
      </c>
      <c r="U8921" t="n">
        <v>0</v>
      </c>
      <c r="V8921" s="2" t="inlineStr"/>
    </row>
    <row r="8922" ht="15" customHeight="1">
      <c r="A8922" t="inlineStr">
        <is>
          <t>A 17850-2025</t>
        </is>
      </c>
      <c r="B8922" t="inlineStr">
        <is>
          <t>avverkningsanmälan</t>
        </is>
      </c>
      <c r="C8922" t="inlineStr">
        <is>
          <t>Föryngringsavverkning</t>
        </is>
      </c>
      <c r="D8922" s="1" t="n">
        <v>45758</v>
      </c>
      <c r="E8922" s="1" t="n">
        <v>46319</v>
      </c>
      <c r="F8922" t="inlineStr">
        <is>
          <t>DALARNAS LÄN</t>
        </is>
      </c>
      <c r="G8922" t="inlineStr">
        <is>
          <t>ORSA</t>
        </is>
      </c>
      <c r="I8922" t="n">
        <v>2</v>
      </c>
      <c r="J8922" t="n">
        <v>0</v>
      </c>
      <c r="K8922" t="n">
        <v>0</v>
      </c>
      <c r="L8922" t="n">
        <v>0</v>
      </c>
      <c r="M8922" t="n">
        <v>0</v>
      </c>
      <c r="N8922" t="n">
        <v>0</v>
      </c>
      <c r="O8922" t="n">
        <v>0</v>
      </c>
      <c r="P8922" t="n">
        <v>0</v>
      </c>
      <c r="Q8922" t="n">
        <v>0</v>
      </c>
      <c r="R8922" t="n">
        <v>0</v>
      </c>
      <c r="S8922" t="n">
        <v>0</v>
      </c>
      <c r="T8922" t="n">
        <v>0</v>
      </c>
      <c r="U8922" t="n">
        <v>0</v>
      </c>
      <c r="V8922" s="2" t="inlineStr"/>
    </row>
    <row r="8923" ht="15" customHeight="1">
      <c r="A8923" t="inlineStr">
        <is>
          <t>A 32995-2023</t>
        </is>
      </c>
      <c r="B8923" t="inlineStr">
        <is>
          <t>avverkningsanmälan</t>
        </is>
      </c>
      <c r="C8923" t="inlineStr">
        <is>
          <t>Föryngringsavverkning</t>
        </is>
      </c>
      <c r="D8923" s="1" t="n">
        <v>45113</v>
      </c>
      <c r="E8923" s="1" t="n">
        <v>46319</v>
      </c>
      <c r="F8923" t="inlineStr">
        <is>
          <t>DALARNAS LÄN</t>
        </is>
      </c>
      <c r="G8923" t="inlineStr">
        <is>
          <t>LUDVIKA</t>
        </is>
      </c>
      <c r="H8923" t="inlineStr">
        <is>
          <t>Kommuner</t>
        </is>
      </c>
      <c r="I8923" t="n">
        <v>5.8</v>
      </c>
      <c r="J8923" t="n">
        <v>0</v>
      </c>
      <c r="K8923" t="n">
        <v>0</v>
      </c>
      <c r="L8923" t="n">
        <v>0</v>
      </c>
      <c r="M8923" t="n">
        <v>0</v>
      </c>
      <c r="N8923" t="n">
        <v>0</v>
      </c>
      <c r="O8923" t="n">
        <v>0</v>
      </c>
      <c r="P8923" t="n">
        <v>0</v>
      </c>
      <c r="Q8923" t="n">
        <v>0</v>
      </c>
      <c r="R8923" t="n">
        <v>0</v>
      </c>
      <c r="S8923" t="n">
        <v>0</v>
      </c>
      <c r="T8923" t="n">
        <v>0</v>
      </c>
      <c r="U8923" t="n">
        <v>0</v>
      </c>
      <c r="V8923" s="2" t="inlineStr"/>
    </row>
    <row r="8924" ht="15" customHeight="1">
      <c r="A8924" t="inlineStr">
        <is>
          <t>A 8823-2024</t>
        </is>
      </c>
      <c r="B8924" t="inlineStr">
        <is>
          <t>avverkningsanmälan</t>
        </is>
      </c>
      <c r="C8924" t="inlineStr">
        <is>
          <t>Avverkning för annat ändamål</t>
        </is>
      </c>
      <c r="D8924" s="1" t="n">
        <v>45355</v>
      </c>
      <c r="E8924" s="1" t="n">
        <v>46319</v>
      </c>
      <c r="F8924" t="inlineStr">
        <is>
          <t>DALARNAS LÄN</t>
        </is>
      </c>
      <c r="G8924" t="inlineStr">
        <is>
          <t>MALUNG-SÄLEN</t>
        </is>
      </c>
      <c r="I8924" t="n">
        <v>1</v>
      </c>
      <c r="J8924" t="n">
        <v>0</v>
      </c>
      <c r="K8924" t="n">
        <v>0</v>
      </c>
      <c r="L8924" t="n">
        <v>0</v>
      </c>
      <c r="M8924" t="n">
        <v>0</v>
      </c>
      <c r="N8924" t="n">
        <v>0</v>
      </c>
      <c r="O8924" t="n">
        <v>0</v>
      </c>
      <c r="P8924" t="n">
        <v>0</v>
      </c>
      <c r="Q8924" t="n">
        <v>0</v>
      </c>
      <c r="R8924" t="n">
        <v>0</v>
      </c>
      <c r="S8924" t="n">
        <v>0</v>
      </c>
      <c r="T8924" t="n">
        <v>0</v>
      </c>
      <c r="U8924" t="n">
        <v>0</v>
      </c>
      <c r="V8924" s="2" t="inlineStr"/>
    </row>
    <row r="8925" ht="15" customHeight="1">
      <c r="A8925" t="inlineStr">
        <is>
          <t>A 8825-2024</t>
        </is>
      </c>
      <c r="B8925" t="inlineStr">
        <is>
          <t>avverkningsanmälan</t>
        </is>
      </c>
      <c r="C8925" t="inlineStr">
        <is>
          <t>Avverkning för annat ändamål</t>
        </is>
      </c>
      <c r="D8925" s="1" t="n">
        <v>45355</v>
      </c>
      <c r="E8925" s="1" t="n">
        <v>46319</v>
      </c>
      <c r="F8925" t="inlineStr">
        <is>
          <t>DALARNAS LÄN</t>
        </is>
      </c>
      <c r="G8925" t="inlineStr">
        <is>
          <t>MALUNG-SÄLEN</t>
        </is>
      </c>
      <c r="I8925" t="n">
        <v>0.1</v>
      </c>
      <c r="J8925" t="n">
        <v>0</v>
      </c>
      <c r="K8925" t="n">
        <v>0</v>
      </c>
      <c r="L8925" t="n">
        <v>0</v>
      </c>
      <c r="M8925" t="n">
        <v>0</v>
      </c>
      <c r="N8925" t="n">
        <v>0</v>
      </c>
      <c r="O8925" t="n">
        <v>0</v>
      </c>
      <c r="P8925" t="n">
        <v>0</v>
      </c>
      <c r="Q8925" t="n">
        <v>0</v>
      </c>
      <c r="R8925" t="n">
        <v>0</v>
      </c>
      <c r="S8925" t="n">
        <v>0</v>
      </c>
      <c r="T8925" t="n">
        <v>0</v>
      </c>
      <c r="U8925" t="n">
        <v>0</v>
      </c>
      <c r="V8925" s="2" t="inlineStr"/>
    </row>
    <row r="8926" ht="15" customHeight="1">
      <c r="A8926" t="inlineStr">
        <is>
          <t>A 38977-2024</t>
        </is>
      </c>
      <c r="B8926" t="inlineStr">
        <is>
          <t>avverkningsanmälan</t>
        </is>
      </c>
      <c r="C8926" t="inlineStr">
        <is>
          <t>Föryngringsavverkning</t>
        </is>
      </c>
      <c r="D8926" s="1" t="n">
        <v>45548</v>
      </c>
      <c r="E8926" s="1" t="n">
        <v>46319</v>
      </c>
      <c r="F8926" t="inlineStr">
        <is>
          <t>DALARNAS LÄN</t>
        </is>
      </c>
      <c r="G8926" t="inlineStr">
        <is>
          <t>MALUNG-SÄLEN</t>
        </is>
      </c>
      <c r="I8926" t="n">
        <v>3.7</v>
      </c>
      <c r="J8926" t="n">
        <v>0</v>
      </c>
      <c r="K8926" t="n">
        <v>0</v>
      </c>
      <c r="L8926" t="n">
        <v>0</v>
      </c>
      <c r="M8926" t="n">
        <v>0</v>
      </c>
      <c r="N8926" t="n">
        <v>0</v>
      </c>
      <c r="O8926" t="n">
        <v>0</v>
      </c>
      <c r="P8926" t="n">
        <v>0</v>
      </c>
      <c r="Q8926" t="n">
        <v>0</v>
      </c>
      <c r="R8926" t="n">
        <v>0</v>
      </c>
      <c r="S8926" t="n">
        <v>0</v>
      </c>
      <c r="T8926" t="n">
        <v>0</v>
      </c>
      <c r="U8926" t="n">
        <v>0</v>
      </c>
      <c r="V8926" s="2" t="inlineStr"/>
    </row>
    <row r="8927" ht="15" customHeight="1">
      <c r="A8927" t="inlineStr">
        <is>
          <t>A 50153-2024</t>
        </is>
      </c>
      <c r="B8927" t="inlineStr">
        <is>
          <t>avverkningsanmälan</t>
        </is>
      </c>
      <c r="C8927" t="inlineStr">
        <is>
          <t>Föryngringsavverkning</t>
        </is>
      </c>
      <c r="D8927" s="1" t="n">
        <v>45600</v>
      </c>
      <c r="E8927" s="1" t="n">
        <v>46319</v>
      </c>
      <c r="F8927" t="inlineStr">
        <is>
          <t>DALARNAS LÄN</t>
        </is>
      </c>
      <c r="G8927" t="inlineStr">
        <is>
          <t>RÄTTVIK</t>
        </is>
      </c>
      <c r="I8927" t="n">
        <v>9.800000000000001</v>
      </c>
      <c r="J8927" t="n">
        <v>0</v>
      </c>
      <c r="K8927" t="n">
        <v>0</v>
      </c>
      <c r="L8927" t="n">
        <v>0</v>
      </c>
      <c r="M8927" t="n">
        <v>0</v>
      </c>
      <c r="N8927" t="n">
        <v>0</v>
      </c>
      <c r="O8927" t="n">
        <v>0</v>
      </c>
      <c r="P8927" t="n">
        <v>0</v>
      </c>
      <c r="Q8927" t="n">
        <v>0</v>
      </c>
      <c r="R8927" t="n">
        <v>0</v>
      </c>
      <c r="S8927" t="n">
        <v>0</v>
      </c>
      <c r="T8927" t="n">
        <v>0</v>
      </c>
      <c r="U8927" t="n">
        <v>0</v>
      </c>
      <c r="V8927" s="2" t="inlineStr"/>
    </row>
    <row r="8928" ht="15" customHeight="1">
      <c r="A8928" t="inlineStr">
        <is>
          <t>A 50714-2024</t>
        </is>
      </c>
      <c r="B8928" t="inlineStr">
        <is>
          <t>avverkningsanmälan</t>
        </is>
      </c>
      <c r="C8928" t="inlineStr">
        <is>
          <t>Föryngringsavverkning</t>
        </is>
      </c>
      <c r="D8928" s="1" t="n">
        <v>45602</v>
      </c>
      <c r="E8928" s="1" t="n">
        <v>46319</v>
      </c>
      <c r="F8928" t="inlineStr">
        <is>
          <t>DALARNAS LÄN</t>
        </is>
      </c>
      <c r="G8928" t="inlineStr">
        <is>
          <t>LUDVIKA</t>
        </is>
      </c>
      <c r="I8928" t="n">
        <v>0.8</v>
      </c>
      <c r="J8928" t="n">
        <v>0</v>
      </c>
      <c r="K8928" t="n">
        <v>0</v>
      </c>
      <c r="L8928" t="n">
        <v>0</v>
      </c>
      <c r="M8928" t="n">
        <v>0</v>
      </c>
      <c r="N8928" t="n">
        <v>0</v>
      </c>
      <c r="O8928" t="n">
        <v>0</v>
      </c>
      <c r="P8928" t="n">
        <v>0</v>
      </c>
      <c r="Q8928" t="n">
        <v>0</v>
      </c>
      <c r="R8928" t="n">
        <v>0</v>
      </c>
      <c r="S8928" t="n">
        <v>0</v>
      </c>
      <c r="T8928" t="n">
        <v>0</v>
      </c>
      <c r="U8928" t="n">
        <v>0</v>
      </c>
      <c r="V8928" s="2" t="inlineStr"/>
    </row>
    <row r="8929" ht="15" customHeight="1">
      <c r="A8929" t="inlineStr">
        <is>
          <t>A 5802-2025</t>
        </is>
      </c>
      <c r="B8929" t="inlineStr">
        <is>
          <t>avverkningsanmälan</t>
        </is>
      </c>
      <c r="C8929" t="inlineStr">
        <is>
          <t>Föryngringsavverkning</t>
        </is>
      </c>
      <c r="D8929" s="1" t="n">
        <v>45694</v>
      </c>
      <c r="E8929" s="1" t="n">
        <v>46319</v>
      </c>
      <c r="F8929" t="inlineStr">
        <is>
          <t>DALARNAS LÄN</t>
        </is>
      </c>
      <c r="G8929" t="inlineStr">
        <is>
          <t>BORLÄNGE</t>
        </is>
      </c>
      <c r="I8929" t="n">
        <v>0.6</v>
      </c>
      <c r="J8929" t="n">
        <v>0</v>
      </c>
      <c r="K8929" t="n">
        <v>0</v>
      </c>
      <c r="L8929" t="n">
        <v>0</v>
      </c>
      <c r="M8929" t="n">
        <v>0</v>
      </c>
      <c r="N8929" t="n">
        <v>0</v>
      </c>
      <c r="O8929" t="n">
        <v>0</v>
      </c>
      <c r="P8929" t="n">
        <v>0</v>
      </c>
      <c r="Q8929" t="n">
        <v>0</v>
      </c>
      <c r="R8929" t="n">
        <v>0</v>
      </c>
      <c r="S8929" t="n">
        <v>0</v>
      </c>
      <c r="T8929" t="n">
        <v>0</v>
      </c>
      <c r="U8929" t="n">
        <v>0</v>
      </c>
      <c r="V8929" s="2" t="inlineStr"/>
    </row>
    <row r="8930" ht="15" customHeight="1">
      <c r="A8930" t="inlineStr">
        <is>
          <t>A 74196-2021</t>
        </is>
      </c>
      <c r="B8930" t="inlineStr">
        <is>
          <t>avverkningsanmälan</t>
        </is>
      </c>
      <c r="C8930" t="inlineStr">
        <is>
          <t>Föryngringsavverkning</t>
        </is>
      </c>
      <c r="D8930" s="1" t="n">
        <v>44558</v>
      </c>
      <c r="E8930" s="1" t="n">
        <v>46319</v>
      </c>
      <c r="F8930" t="inlineStr">
        <is>
          <t>DALARNAS LÄN</t>
        </is>
      </c>
      <c r="G8930" t="inlineStr">
        <is>
          <t>FALUN</t>
        </is>
      </c>
      <c r="I8930" t="n">
        <v>2.7</v>
      </c>
      <c r="J8930" t="n">
        <v>0</v>
      </c>
      <c r="K8930" t="n">
        <v>0</v>
      </c>
      <c r="L8930" t="n">
        <v>0</v>
      </c>
      <c r="M8930" t="n">
        <v>0</v>
      </c>
      <c r="N8930" t="n">
        <v>0</v>
      </c>
      <c r="O8930" t="n">
        <v>0</v>
      </c>
      <c r="P8930" t="n">
        <v>0</v>
      </c>
      <c r="Q8930" t="n">
        <v>0</v>
      </c>
      <c r="R8930" t="n">
        <v>0</v>
      </c>
      <c r="S8930" t="n">
        <v>0</v>
      </c>
      <c r="T8930" t="n">
        <v>0</v>
      </c>
      <c r="U8930" t="n">
        <v>0</v>
      </c>
      <c r="V8930" s="2" t="inlineStr"/>
    </row>
    <row r="8931" ht="15" customHeight="1">
      <c r="A8931" t="inlineStr">
        <is>
          <t>A 55058-2024</t>
        </is>
      </c>
      <c r="B8931" t="inlineStr">
        <is>
          <t>avverkningsanmälan</t>
        </is>
      </c>
      <c r="C8931" t="inlineStr">
        <is>
          <t>Föryngringsavverkning</t>
        </is>
      </c>
      <c r="D8931" s="1" t="n">
        <v>45621</v>
      </c>
      <c r="E8931" s="1" t="n">
        <v>46319</v>
      </c>
      <c r="F8931" t="inlineStr">
        <is>
          <t>DALARNAS LÄN</t>
        </is>
      </c>
      <c r="G8931" t="inlineStr">
        <is>
          <t>MALUNG-SÄLEN</t>
        </is>
      </c>
      <c r="I8931" t="n">
        <v>3.5</v>
      </c>
      <c r="J8931" t="n">
        <v>0</v>
      </c>
      <c r="K8931" t="n">
        <v>0</v>
      </c>
      <c r="L8931" t="n">
        <v>0</v>
      </c>
      <c r="M8931" t="n">
        <v>0</v>
      </c>
      <c r="N8931" t="n">
        <v>0</v>
      </c>
      <c r="O8931" t="n">
        <v>0</v>
      </c>
      <c r="P8931" t="n">
        <v>0</v>
      </c>
      <c r="Q8931" t="n">
        <v>0</v>
      </c>
      <c r="R8931" t="n">
        <v>0</v>
      </c>
      <c r="S8931" t="n">
        <v>0</v>
      </c>
      <c r="T8931" t="n">
        <v>0</v>
      </c>
      <c r="U8931" t="n">
        <v>0</v>
      </c>
      <c r="V8931" s="2" t="inlineStr"/>
    </row>
    <row r="8932" ht="15" customHeight="1">
      <c r="A8932" t="inlineStr">
        <is>
          <t>A 32930-2024</t>
        </is>
      </c>
      <c r="B8932" t="inlineStr">
        <is>
          <t>avverkningsanmälan</t>
        </is>
      </c>
      <c r="C8932" t="inlineStr">
        <is>
          <t>Föryngringsavverkning</t>
        </is>
      </c>
      <c r="D8932" s="1" t="n">
        <v>45517</v>
      </c>
      <c r="E8932" s="1" t="n">
        <v>46319</v>
      </c>
      <c r="F8932" t="inlineStr">
        <is>
          <t>DALARNAS LÄN</t>
        </is>
      </c>
      <c r="G8932" t="inlineStr">
        <is>
          <t>MALUNG-SÄLEN</t>
        </is>
      </c>
      <c r="I8932" t="n">
        <v>9.4</v>
      </c>
      <c r="J8932" t="n">
        <v>0</v>
      </c>
      <c r="K8932" t="n">
        <v>0</v>
      </c>
      <c r="L8932" t="n">
        <v>0</v>
      </c>
      <c r="M8932" t="n">
        <v>0</v>
      </c>
      <c r="N8932" t="n">
        <v>0</v>
      </c>
      <c r="O8932" t="n">
        <v>0</v>
      </c>
      <c r="P8932" t="n">
        <v>0</v>
      </c>
      <c r="Q8932" t="n">
        <v>0</v>
      </c>
      <c r="R8932" t="n">
        <v>0</v>
      </c>
      <c r="S8932" t="n">
        <v>0</v>
      </c>
      <c r="T8932" t="n">
        <v>0</v>
      </c>
      <c r="U8932" t="n">
        <v>0</v>
      </c>
      <c r="V8932" s="2" t="inlineStr"/>
    </row>
    <row r="8933" ht="15" customHeight="1">
      <c r="A8933" t="inlineStr">
        <is>
          <t>A 141-2025</t>
        </is>
      </c>
      <c r="B8933" t="inlineStr">
        <is>
          <t>avverkningsanmälan</t>
        </is>
      </c>
      <c r="C8933" t="inlineStr">
        <is>
          <t>Föryngringsavverkning</t>
        </is>
      </c>
      <c r="D8933" s="1" t="n">
        <v>45659</v>
      </c>
      <c r="E8933" s="1" t="n">
        <v>46319</v>
      </c>
      <c r="F8933" t="inlineStr">
        <is>
          <t>DALARNAS LÄN</t>
        </is>
      </c>
      <c r="G8933" t="inlineStr">
        <is>
          <t>FALUN</t>
        </is>
      </c>
      <c r="I8933" t="n">
        <v>1.9</v>
      </c>
      <c r="J8933" t="n">
        <v>0</v>
      </c>
      <c r="K8933" t="n">
        <v>0</v>
      </c>
      <c r="L8933" t="n">
        <v>0</v>
      </c>
      <c r="M8933" t="n">
        <v>0</v>
      </c>
      <c r="N8933" t="n">
        <v>0</v>
      </c>
      <c r="O8933" t="n">
        <v>0</v>
      </c>
      <c r="P8933" t="n">
        <v>0</v>
      </c>
      <c r="Q8933" t="n">
        <v>0</v>
      </c>
      <c r="R8933" t="n">
        <v>0</v>
      </c>
      <c r="S8933" t="n">
        <v>0</v>
      </c>
      <c r="T8933" t="n">
        <v>0</v>
      </c>
      <c r="U8933" t="n">
        <v>0</v>
      </c>
      <c r="V8933" s="2" t="inlineStr"/>
    </row>
    <row r="8934" ht="15" customHeight="1">
      <c r="A8934" t="inlineStr">
        <is>
          <t>A 41433-2024</t>
        </is>
      </c>
      <c r="B8934" t="inlineStr">
        <is>
          <t>avverkningsanmälan</t>
        </is>
      </c>
      <c r="C8934" t="inlineStr">
        <is>
          <t>Föryngringsavverkning</t>
        </is>
      </c>
      <c r="D8934" s="1" t="n">
        <v>45560</v>
      </c>
      <c r="E8934" s="1" t="n">
        <v>46319</v>
      </c>
      <c r="F8934" t="inlineStr">
        <is>
          <t>DALARNAS LÄN</t>
        </is>
      </c>
      <c r="G8934" t="inlineStr">
        <is>
          <t>MALUNG-SÄLEN</t>
        </is>
      </c>
      <c r="H8934" t="inlineStr">
        <is>
          <t>Bergvik skog öst AB</t>
        </is>
      </c>
      <c r="I8934" t="n">
        <v>2.1</v>
      </c>
      <c r="J8934" t="n">
        <v>0</v>
      </c>
      <c r="K8934" t="n">
        <v>0</v>
      </c>
      <c r="L8934" t="n">
        <v>0</v>
      </c>
      <c r="M8934" t="n">
        <v>0</v>
      </c>
      <c r="N8934" t="n">
        <v>0</v>
      </c>
      <c r="O8934" t="n">
        <v>0</v>
      </c>
      <c r="P8934" t="n">
        <v>0</v>
      </c>
      <c r="Q8934" t="n">
        <v>0</v>
      </c>
      <c r="R8934" t="n">
        <v>0</v>
      </c>
      <c r="S8934" t="n">
        <v>0</v>
      </c>
      <c r="T8934" t="n">
        <v>0</v>
      </c>
      <c r="U8934" t="n">
        <v>0</v>
      </c>
      <c r="V8934" s="2" t="inlineStr"/>
    </row>
    <row r="8935" ht="15" customHeight="1">
      <c r="A8935" t="inlineStr">
        <is>
          <t>A 32854-2023</t>
        </is>
      </c>
      <c r="B8935" t="inlineStr">
        <is>
          <t>avverkningsanmälan</t>
        </is>
      </c>
      <c r="C8935" t="inlineStr">
        <is>
          <t>Föryngringsavverkning</t>
        </is>
      </c>
      <c r="D8935" s="1" t="n">
        <v>45112</v>
      </c>
      <c r="E8935" s="1" t="n">
        <v>46319</v>
      </c>
      <c r="F8935" t="inlineStr">
        <is>
          <t>DALARNAS LÄN</t>
        </is>
      </c>
      <c r="G8935" t="inlineStr">
        <is>
          <t>LUDVIKA</t>
        </is>
      </c>
      <c r="H8935" t="inlineStr">
        <is>
          <t>Kommuner</t>
        </is>
      </c>
      <c r="I8935" t="n">
        <v>2</v>
      </c>
      <c r="J8935" t="n">
        <v>0</v>
      </c>
      <c r="K8935" t="n">
        <v>0</v>
      </c>
      <c r="L8935" t="n">
        <v>0</v>
      </c>
      <c r="M8935" t="n">
        <v>0</v>
      </c>
      <c r="N8935" t="n">
        <v>0</v>
      </c>
      <c r="O8935" t="n">
        <v>0</v>
      </c>
      <c r="P8935" t="n">
        <v>0</v>
      </c>
      <c r="Q8935" t="n">
        <v>0</v>
      </c>
      <c r="R8935" t="n">
        <v>0</v>
      </c>
      <c r="S8935" t="n">
        <v>0</v>
      </c>
      <c r="T8935" t="n">
        <v>0</v>
      </c>
      <c r="U8935" t="n">
        <v>0</v>
      </c>
      <c r="V8935" s="2" t="inlineStr"/>
    </row>
    <row r="8936" ht="15" customHeight="1">
      <c r="A8936" t="inlineStr">
        <is>
          <t>A 16888-2024</t>
        </is>
      </c>
      <c r="B8936" t="inlineStr">
        <is>
          <t>avverkningsanmälan</t>
        </is>
      </c>
      <c r="C8936" t="inlineStr">
        <is>
          <t>Föryngringsavverkning</t>
        </is>
      </c>
      <c r="D8936" s="1" t="n">
        <v>45411</v>
      </c>
      <c r="E8936" s="1" t="n">
        <v>46319</v>
      </c>
      <c r="F8936" t="inlineStr">
        <is>
          <t>DALARNAS LÄN</t>
        </is>
      </c>
      <c r="G8936" t="inlineStr">
        <is>
          <t>FALUN</t>
        </is>
      </c>
      <c r="H8936" t="inlineStr">
        <is>
          <t>Bergvik skog väst AB</t>
        </is>
      </c>
      <c r="I8936" t="n">
        <v>6.1</v>
      </c>
      <c r="J8936" t="n">
        <v>0</v>
      </c>
      <c r="K8936" t="n">
        <v>0</v>
      </c>
      <c r="L8936" t="n">
        <v>0</v>
      </c>
      <c r="M8936" t="n">
        <v>0</v>
      </c>
      <c r="N8936" t="n">
        <v>0</v>
      </c>
      <c r="O8936" t="n">
        <v>0</v>
      </c>
      <c r="P8936" t="n">
        <v>0</v>
      </c>
      <c r="Q8936" t="n">
        <v>0</v>
      </c>
      <c r="R8936" t="n">
        <v>0</v>
      </c>
      <c r="S8936" t="n">
        <v>0</v>
      </c>
      <c r="T8936" t="n">
        <v>0</v>
      </c>
      <c r="U8936" t="n">
        <v>0</v>
      </c>
      <c r="V8936" s="2" t="inlineStr"/>
    </row>
    <row r="8937" ht="15" customHeight="1">
      <c r="A8937" t="inlineStr">
        <is>
          <t>A 63952-2021</t>
        </is>
      </c>
      <c r="B8937" t="inlineStr">
        <is>
          <t>avverkningsanmälan</t>
        </is>
      </c>
      <c r="C8937" t="inlineStr">
        <is>
          <t>Föryngringsavverkning</t>
        </is>
      </c>
      <c r="D8937" s="1" t="n">
        <v>44509</v>
      </c>
      <c r="E8937" s="1" t="n">
        <v>46319</v>
      </c>
      <c r="F8937" t="inlineStr">
        <is>
          <t>DALARNAS LÄN</t>
        </is>
      </c>
      <c r="G8937" t="inlineStr">
        <is>
          <t>GAGNEF</t>
        </is>
      </c>
      <c r="I8937" t="n">
        <v>1.7</v>
      </c>
      <c r="J8937" t="n">
        <v>0</v>
      </c>
      <c r="K8937" t="n">
        <v>0</v>
      </c>
      <c r="L8937" t="n">
        <v>0</v>
      </c>
      <c r="M8937" t="n">
        <v>0</v>
      </c>
      <c r="N8937" t="n">
        <v>0</v>
      </c>
      <c r="O8937" t="n">
        <v>0</v>
      </c>
      <c r="P8937" t="n">
        <v>0</v>
      </c>
      <c r="Q8937" t="n">
        <v>0</v>
      </c>
      <c r="R8937" t="n">
        <v>0</v>
      </c>
      <c r="S8937" t="n">
        <v>0</v>
      </c>
      <c r="T8937" t="n">
        <v>0</v>
      </c>
      <c r="U8937" t="n">
        <v>0</v>
      </c>
      <c r="V8937" s="2" t="inlineStr"/>
    </row>
    <row r="8938" ht="15" customHeight="1">
      <c r="A8938" t="inlineStr">
        <is>
          <t>A 10995-2024</t>
        </is>
      </c>
      <c r="B8938" t="inlineStr">
        <is>
          <t>avverkningsanmälan</t>
        </is>
      </c>
      <c r="C8938" t="inlineStr">
        <is>
          <t>Föryngringsavverkning</t>
        </is>
      </c>
      <c r="D8938" s="1" t="n">
        <v>45370</v>
      </c>
      <c r="E8938" s="1" t="n">
        <v>46319</v>
      </c>
      <c r="F8938" t="inlineStr">
        <is>
          <t>DALARNAS LÄN</t>
        </is>
      </c>
      <c r="G8938" t="inlineStr">
        <is>
          <t>GAGNEF</t>
        </is>
      </c>
      <c r="I8938" t="n">
        <v>2.4</v>
      </c>
      <c r="J8938" t="n">
        <v>0</v>
      </c>
      <c r="K8938" t="n">
        <v>0</v>
      </c>
      <c r="L8938" t="n">
        <v>0</v>
      </c>
      <c r="M8938" t="n">
        <v>0</v>
      </c>
      <c r="N8938" t="n">
        <v>0</v>
      </c>
      <c r="O8938" t="n">
        <v>0</v>
      </c>
      <c r="P8938" t="n">
        <v>0</v>
      </c>
      <c r="Q8938" t="n">
        <v>0</v>
      </c>
      <c r="R8938" t="n">
        <v>0</v>
      </c>
      <c r="S8938" t="n">
        <v>0</v>
      </c>
      <c r="T8938" t="n">
        <v>0</v>
      </c>
      <c r="U8938" t="n">
        <v>0</v>
      </c>
      <c r="V8938" s="2" t="inlineStr"/>
    </row>
    <row r="8939" ht="15" customHeight="1">
      <c r="A8939" t="inlineStr">
        <is>
          <t>A 51994-2023</t>
        </is>
      </c>
      <c r="B8939" t="inlineStr">
        <is>
          <t>avverkningsanmälan</t>
        </is>
      </c>
      <c r="C8939" t="inlineStr">
        <is>
          <t>Föryngringsavverkning</t>
        </is>
      </c>
      <c r="D8939" s="1" t="n">
        <v>45223</v>
      </c>
      <c r="E8939" s="1" t="n">
        <v>46319</v>
      </c>
      <c r="F8939" t="inlineStr">
        <is>
          <t>DALARNAS LÄN</t>
        </is>
      </c>
      <c r="G8939" t="inlineStr">
        <is>
          <t>ORSA</t>
        </is>
      </c>
      <c r="I8939" t="n">
        <v>10.7</v>
      </c>
      <c r="J8939" t="n">
        <v>0</v>
      </c>
      <c r="K8939" t="n">
        <v>0</v>
      </c>
      <c r="L8939" t="n">
        <v>0</v>
      </c>
      <c r="M8939" t="n">
        <v>0</v>
      </c>
      <c r="N8939" t="n">
        <v>0</v>
      </c>
      <c r="O8939" t="n">
        <v>0</v>
      </c>
      <c r="P8939" t="n">
        <v>0</v>
      </c>
      <c r="Q8939" t="n">
        <v>0</v>
      </c>
      <c r="R8939" t="n">
        <v>0</v>
      </c>
      <c r="S8939" t="n">
        <v>0</v>
      </c>
      <c r="T8939" t="n">
        <v>0</v>
      </c>
      <c r="U8939" t="n">
        <v>0</v>
      </c>
      <c r="V8939" s="2" t="inlineStr"/>
    </row>
    <row r="8940" ht="15" customHeight="1">
      <c r="A8940" t="inlineStr">
        <is>
          <t>A 72284-2021</t>
        </is>
      </c>
      <c r="B8940" t="inlineStr">
        <is>
          <t>avverkningsanmälan</t>
        </is>
      </c>
      <c r="C8940" t="inlineStr">
        <is>
          <t>Avverkning för annat ändamål</t>
        </is>
      </c>
      <c r="D8940" s="1" t="n">
        <v>44545</v>
      </c>
      <c r="E8940" s="1" t="n">
        <v>46319</v>
      </c>
      <c r="F8940" t="inlineStr">
        <is>
          <t>DALARNAS LÄN</t>
        </is>
      </c>
      <c r="G8940" t="inlineStr">
        <is>
          <t>ORSA</t>
        </is>
      </c>
      <c r="I8940" t="n">
        <v>0.5</v>
      </c>
      <c r="J8940" t="n">
        <v>0</v>
      </c>
      <c r="K8940" t="n">
        <v>0</v>
      </c>
      <c r="L8940" t="n">
        <v>0</v>
      </c>
      <c r="M8940" t="n">
        <v>0</v>
      </c>
      <c r="N8940" t="n">
        <v>0</v>
      </c>
      <c r="O8940" t="n">
        <v>0</v>
      </c>
      <c r="P8940" t="n">
        <v>0</v>
      </c>
      <c r="Q8940" t="n">
        <v>0</v>
      </c>
      <c r="R8940" t="n">
        <v>0</v>
      </c>
      <c r="S8940" t="n">
        <v>0</v>
      </c>
      <c r="T8940" t="n">
        <v>0</v>
      </c>
      <c r="U8940" t="n">
        <v>0</v>
      </c>
      <c r="V8940" s="2" t="inlineStr"/>
    </row>
    <row r="8941" ht="15" customHeight="1">
      <c r="A8941" t="inlineStr">
        <is>
          <t>A 51859-2023</t>
        </is>
      </c>
      <c r="B8941" t="inlineStr">
        <is>
          <t>avverkningsanmälan</t>
        </is>
      </c>
      <c r="C8941" t="inlineStr">
        <is>
          <t>Föryngringsavverkning</t>
        </is>
      </c>
      <c r="D8941" s="1" t="n">
        <v>45223</v>
      </c>
      <c r="E8941" s="1" t="n">
        <v>46319</v>
      </c>
      <c r="F8941" t="inlineStr">
        <is>
          <t>DALARNAS LÄN</t>
        </is>
      </c>
      <c r="G8941" t="inlineStr">
        <is>
          <t>BORLÄNGE</t>
        </is>
      </c>
      <c r="I8941" t="n">
        <v>0.3</v>
      </c>
      <c r="J8941" t="n">
        <v>0</v>
      </c>
      <c r="K8941" t="n">
        <v>0</v>
      </c>
      <c r="L8941" t="n">
        <v>0</v>
      </c>
      <c r="M8941" t="n">
        <v>0</v>
      </c>
      <c r="N8941" t="n">
        <v>0</v>
      </c>
      <c r="O8941" t="n">
        <v>0</v>
      </c>
      <c r="P8941" t="n">
        <v>0</v>
      </c>
      <c r="Q8941" t="n">
        <v>0</v>
      </c>
      <c r="R8941" t="n">
        <v>0</v>
      </c>
      <c r="S8941" t="n">
        <v>0</v>
      </c>
      <c r="T8941" t="n">
        <v>0</v>
      </c>
      <c r="U8941" t="n">
        <v>0</v>
      </c>
      <c r="V8941" s="2" t="inlineStr"/>
    </row>
    <row r="8942" ht="15" customHeight="1">
      <c r="A8942" t="inlineStr">
        <is>
          <t>A 5520-2024</t>
        </is>
      </c>
      <c r="B8942" t="inlineStr">
        <is>
          <t>avverkningsanmälan</t>
        </is>
      </c>
      <c r="C8942" t="inlineStr">
        <is>
          <t>Föryngringsavverkning</t>
        </is>
      </c>
      <c r="D8942" s="1" t="n">
        <v>45334</v>
      </c>
      <c r="E8942" s="1" t="n">
        <v>46319</v>
      </c>
      <c r="F8942" t="inlineStr">
        <is>
          <t>DALARNAS LÄN</t>
        </is>
      </c>
      <c r="G8942" t="inlineStr">
        <is>
          <t>RÄTTVIK</t>
        </is>
      </c>
      <c r="I8942" t="n">
        <v>0.9</v>
      </c>
      <c r="J8942" t="n">
        <v>0</v>
      </c>
      <c r="K8942" t="n">
        <v>0</v>
      </c>
      <c r="L8942" t="n">
        <v>0</v>
      </c>
      <c r="M8942" t="n">
        <v>0</v>
      </c>
      <c r="N8942" t="n">
        <v>0</v>
      </c>
      <c r="O8942" t="n">
        <v>0</v>
      </c>
      <c r="P8942" t="n">
        <v>0</v>
      </c>
      <c r="Q8942" t="n">
        <v>0</v>
      </c>
      <c r="R8942" t="n">
        <v>0</v>
      </c>
      <c r="S8942" t="n">
        <v>0</v>
      </c>
      <c r="T8942" t="n">
        <v>0</v>
      </c>
      <c r="U8942" t="n">
        <v>0</v>
      </c>
      <c r="V8942" s="2" t="inlineStr"/>
    </row>
    <row r="8943" ht="15" customHeight="1">
      <c r="A8943" t="inlineStr">
        <is>
          <t>A 5085-2024</t>
        </is>
      </c>
      <c r="B8943" t="inlineStr">
        <is>
          <t>avverkningsanmälan</t>
        </is>
      </c>
      <c r="C8943" t="inlineStr">
        <is>
          <t>Föryngringsavverkning</t>
        </is>
      </c>
      <c r="D8943" s="1" t="n">
        <v>45330</v>
      </c>
      <c r="E8943" s="1" t="n">
        <v>46319</v>
      </c>
      <c r="F8943" t="inlineStr">
        <is>
          <t>DALARNAS LÄN</t>
        </is>
      </c>
      <c r="G8943" t="inlineStr">
        <is>
          <t>FALUN</t>
        </is>
      </c>
      <c r="I8943" t="n">
        <v>2</v>
      </c>
      <c r="J8943" t="n">
        <v>0</v>
      </c>
      <c r="K8943" t="n">
        <v>0</v>
      </c>
      <c r="L8943" t="n">
        <v>0</v>
      </c>
      <c r="M8943" t="n">
        <v>0</v>
      </c>
      <c r="N8943" t="n">
        <v>0</v>
      </c>
      <c r="O8943" t="n">
        <v>0</v>
      </c>
      <c r="P8943" t="n">
        <v>0</v>
      </c>
      <c r="Q8943" t="n">
        <v>0</v>
      </c>
      <c r="R8943" t="n">
        <v>0</v>
      </c>
      <c r="S8943" t="n">
        <v>0</v>
      </c>
      <c r="T8943" t="n">
        <v>0</v>
      </c>
      <c r="U8943" t="n">
        <v>0</v>
      </c>
      <c r="V8943" s="2" t="inlineStr"/>
    </row>
    <row r="8944" ht="15" customHeight="1">
      <c r="A8944" t="inlineStr">
        <is>
          <t>A 4928-2024</t>
        </is>
      </c>
      <c r="B8944" t="inlineStr">
        <is>
          <t>avverkningsanmälan</t>
        </is>
      </c>
      <c r="C8944" t="inlineStr">
        <is>
          <t>Föryngringsavverkning</t>
        </is>
      </c>
      <c r="D8944" s="1" t="n">
        <v>45329</v>
      </c>
      <c r="E8944" s="1" t="n">
        <v>46319</v>
      </c>
      <c r="F8944" t="inlineStr">
        <is>
          <t>DALARNAS LÄN</t>
        </is>
      </c>
      <c r="G8944" t="inlineStr">
        <is>
          <t>FALUN</t>
        </is>
      </c>
      <c r="I8944" t="n">
        <v>0.2</v>
      </c>
      <c r="J8944" t="n">
        <v>0</v>
      </c>
      <c r="K8944" t="n">
        <v>0</v>
      </c>
      <c r="L8944" t="n">
        <v>0</v>
      </c>
      <c r="M8944" t="n">
        <v>0</v>
      </c>
      <c r="N8944" t="n">
        <v>0</v>
      </c>
      <c r="O8944" t="n">
        <v>0</v>
      </c>
      <c r="P8944" t="n">
        <v>0</v>
      </c>
      <c r="Q8944" t="n">
        <v>0</v>
      </c>
      <c r="R8944" t="n">
        <v>0</v>
      </c>
      <c r="S8944" t="n">
        <v>0</v>
      </c>
      <c r="T8944" t="n">
        <v>0</v>
      </c>
      <c r="U8944" t="n">
        <v>0</v>
      </c>
      <c r="V8944" s="2" t="inlineStr"/>
    </row>
    <row r="8945" ht="15" customHeight="1">
      <c r="A8945" t="inlineStr">
        <is>
          <t>A 60788-2024</t>
        </is>
      </c>
      <c r="B8945" t="inlineStr">
        <is>
          <t>avverkningsanmälan</t>
        </is>
      </c>
      <c r="C8945" t="inlineStr">
        <is>
          <t>Föryngringsavverkning</t>
        </is>
      </c>
      <c r="D8945" s="1" t="n">
        <v>45644</v>
      </c>
      <c r="E8945" s="1" t="n">
        <v>46319</v>
      </c>
      <c r="F8945" t="inlineStr">
        <is>
          <t>DALARNAS LÄN</t>
        </is>
      </c>
      <c r="G8945" t="inlineStr">
        <is>
          <t>LUDVIKA</t>
        </is>
      </c>
      <c r="I8945" t="n">
        <v>1.9</v>
      </c>
      <c r="J8945" t="n">
        <v>0</v>
      </c>
      <c r="K8945" t="n">
        <v>0</v>
      </c>
      <c r="L8945" t="n">
        <v>0</v>
      </c>
      <c r="M8945" t="n">
        <v>0</v>
      </c>
      <c r="N8945" t="n">
        <v>0</v>
      </c>
      <c r="O8945" t="n">
        <v>0</v>
      </c>
      <c r="P8945" t="n">
        <v>0</v>
      </c>
      <c r="Q8945" t="n">
        <v>0</v>
      </c>
      <c r="R8945" t="n">
        <v>0</v>
      </c>
      <c r="S8945" t="n">
        <v>0</v>
      </c>
      <c r="T8945" t="n">
        <v>0</v>
      </c>
      <c r="U8945" t="n">
        <v>0</v>
      </c>
      <c r="V8945" s="2" t="inlineStr"/>
    </row>
    <row r="8946" ht="15" customHeight="1">
      <c r="A8946" t="inlineStr">
        <is>
          <t>A 47979-2023</t>
        </is>
      </c>
      <c r="B8946" t="inlineStr">
        <is>
          <t>avverkningsanmälan</t>
        </is>
      </c>
      <c r="C8946" t="inlineStr">
        <is>
          <t>Föryngringsavverkning</t>
        </is>
      </c>
      <c r="D8946" s="1" t="n">
        <v>45204</v>
      </c>
      <c r="E8946" s="1" t="n">
        <v>46319</v>
      </c>
      <c r="F8946" t="inlineStr">
        <is>
          <t>DALARNAS LÄN</t>
        </is>
      </c>
      <c r="G8946" t="inlineStr">
        <is>
          <t>MALUNG-SÄLEN</t>
        </is>
      </c>
      <c r="H8946" t="inlineStr">
        <is>
          <t>Bergvik skog öst AB</t>
        </is>
      </c>
      <c r="I8946" t="n">
        <v>0.6</v>
      </c>
      <c r="J8946" t="n">
        <v>0</v>
      </c>
      <c r="K8946" t="n">
        <v>0</v>
      </c>
      <c r="L8946" t="n">
        <v>0</v>
      </c>
      <c r="M8946" t="n">
        <v>0</v>
      </c>
      <c r="N8946" t="n">
        <v>0</v>
      </c>
      <c r="O8946" t="n">
        <v>0</v>
      </c>
      <c r="P8946" t="n">
        <v>0</v>
      </c>
      <c r="Q8946" t="n">
        <v>0</v>
      </c>
      <c r="R8946" t="n">
        <v>0</v>
      </c>
      <c r="S8946" t="n">
        <v>0</v>
      </c>
      <c r="T8946" t="n">
        <v>0</v>
      </c>
      <c r="U8946" t="n">
        <v>0</v>
      </c>
      <c r="V8946" s="2" t="inlineStr"/>
    </row>
    <row r="8947" ht="15" customHeight="1">
      <c r="A8947" t="inlineStr">
        <is>
          <t>A 44546-2024</t>
        </is>
      </c>
      <c r="B8947" t="inlineStr">
        <is>
          <t>avverkningsanmälan</t>
        </is>
      </c>
      <c r="C8947" t="inlineStr">
        <is>
          <t>Föryngringsavverkning</t>
        </is>
      </c>
      <c r="D8947" s="1" t="n">
        <v>45574</v>
      </c>
      <c r="E8947" s="1" t="n">
        <v>46319</v>
      </c>
      <c r="F8947" t="inlineStr">
        <is>
          <t>DALARNAS LÄN</t>
        </is>
      </c>
      <c r="G8947" t="inlineStr">
        <is>
          <t>GAGNEF</t>
        </is>
      </c>
      <c r="I8947" t="n">
        <v>1.2</v>
      </c>
      <c r="J8947" t="n">
        <v>0</v>
      </c>
      <c r="K8947" t="n">
        <v>0</v>
      </c>
      <c r="L8947" t="n">
        <v>0</v>
      </c>
      <c r="M8947" t="n">
        <v>0</v>
      </c>
      <c r="N8947" t="n">
        <v>0</v>
      </c>
      <c r="O8947" t="n">
        <v>0</v>
      </c>
      <c r="P8947" t="n">
        <v>0</v>
      </c>
      <c r="Q8947" t="n">
        <v>0</v>
      </c>
      <c r="R8947" t="n">
        <v>0</v>
      </c>
      <c r="S8947" t="n">
        <v>0</v>
      </c>
      <c r="T8947" t="n">
        <v>0</v>
      </c>
      <c r="U8947" t="n">
        <v>0</v>
      </c>
      <c r="V8947" s="2" t="inlineStr"/>
    </row>
    <row r="8948" ht="15" customHeight="1">
      <c r="A8948" t="inlineStr">
        <is>
          <t>A 13185-2022</t>
        </is>
      </c>
      <c r="B8948" t="inlineStr">
        <is>
          <t>avverkningsanmälan</t>
        </is>
      </c>
      <c r="C8948" t="inlineStr">
        <is>
          <t>Föryngringsavverkning</t>
        </is>
      </c>
      <c r="D8948" s="1" t="n">
        <v>44644</v>
      </c>
      <c r="E8948" s="1" t="n">
        <v>46319</v>
      </c>
      <c r="F8948" t="inlineStr">
        <is>
          <t>DALARNAS LÄN</t>
        </is>
      </c>
      <c r="G8948" t="inlineStr">
        <is>
          <t>ORSA</t>
        </is>
      </c>
      <c r="I8948" t="n">
        <v>0.6</v>
      </c>
      <c r="J8948" t="n">
        <v>0</v>
      </c>
      <c r="K8948" t="n">
        <v>0</v>
      </c>
      <c r="L8948" t="n">
        <v>0</v>
      </c>
      <c r="M8948" t="n">
        <v>0</v>
      </c>
      <c r="N8948" t="n">
        <v>0</v>
      </c>
      <c r="O8948" t="n">
        <v>0</v>
      </c>
      <c r="P8948" t="n">
        <v>0</v>
      </c>
      <c r="Q8948" t="n">
        <v>0</v>
      </c>
      <c r="R8948" t="n">
        <v>0</v>
      </c>
      <c r="S8948" t="n">
        <v>0</v>
      </c>
      <c r="T8948" t="n">
        <v>0</v>
      </c>
      <c r="U8948" t="n">
        <v>0</v>
      </c>
      <c r="V8948" s="2" t="inlineStr"/>
    </row>
    <row r="8949" ht="15" customHeight="1">
      <c r="A8949" t="inlineStr">
        <is>
          <t>A 44240-2023</t>
        </is>
      </c>
      <c r="B8949" t="inlineStr">
        <is>
          <t>avverkningsanmälan</t>
        </is>
      </c>
      <c r="C8949" t="inlineStr">
        <is>
          <t>Föryngringsavverkning</t>
        </is>
      </c>
      <c r="D8949" s="1" t="n">
        <v>45188</v>
      </c>
      <c r="E8949" s="1" t="n">
        <v>46319</v>
      </c>
      <c r="F8949" t="inlineStr">
        <is>
          <t>DALARNAS LÄN</t>
        </is>
      </c>
      <c r="G8949" t="inlineStr">
        <is>
          <t>BORLÄNGE</t>
        </is>
      </c>
      <c r="I8949" t="n">
        <v>0.9</v>
      </c>
      <c r="J8949" t="n">
        <v>0</v>
      </c>
      <c r="K8949" t="n">
        <v>0</v>
      </c>
      <c r="L8949" t="n">
        <v>0</v>
      </c>
      <c r="M8949" t="n">
        <v>0</v>
      </c>
      <c r="N8949" t="n">
        <v>0</v>
      </c>
      <c r="O8949" t="n">
        <v>0</v>
      </c>
      <c r="P8949" t="n">
        <v>0</v>
      </c>
      <c r="Q8949" t="n">
        <v>0</v>
      </c>
      <c r="R8949" t="n">
        <v>0</v>
      </c>
      <c r="S8949" t="n">
        <v>0</v>
      </c>
      <c r="T8949" t="n">
        <v>0</v>
      </c>
      <c r="U8949" t="n">
        <v>0</v>
      </c>
      <c r="V8949" s="2" t="inlineStr"/>
    </row>
    <row r="8950" ht="15" customHeight="1">
      <c r="A8950" t="inlineStr">
        <is>
          <t>A 29344-2024</t>
        </is>
      </c>
      <c r="B8950" t="inlineStr">
        <is>
          <t>avverkningsanmälan</t>
        </is>
      </c>
      <c r="C8950" t="inlineStr">
        <is>
          <t>Föryngringsavverkning</t>
        </is>
      </c>
      <c r="D8950" s="1" t="n">
        <v>45483</v>
      </c>
      <c r="E8950" s="1" t="n">
        <v>46319</v>
      </c>
      <c r="F8950" t="inlineStr">
        <is>
          <t>DALARNAS LÄN</t>
        </is>
      </c>
      <c r="G8950" t="inlineStr">
        <is>
          <t>MALUNG-SÄLEN</t>
        </is>
      </c>
      <c r="I8950" t="n">
        <v>0.8</v>
      </c>
      <c r="J8950" t="n">
        <v>0</v>
      </c>
      <c r="K8950" t="n">
        <v>0</v>
      </c>
      <c r="L8950" t="n">
        <v>0</v>
      </c>
      <c r="M8950" t="n">
        <v>0</v>
      </c>
      <c r="N8950" t="n">
        <v>0</v>
      </c>
      <c r="O8950" t="n">
        <v>0</v>
      </c>
      <c r="P8950" t="n">
        <v>0</v>
      </c>
      <c r="Q8950" t="n">
        <v>0</v>
      </c>
      <c r="R8950" t="n">
        <v>0</v>
      </c>
      <c r="S8950" t="n">
        <v>0</v>
      </c>
      <c r="T8950" t="n">
        <v>0</v>
      </c>
      <c r="U8950" t="n">
        <v>0</v>
      </c>
      <c r="V8950" s="2" t="inlineStr"/>
    </row>
    <row r="8951" ht="15" customHeight="1">
      <c r="A8951" t="inlineStr">
        <is>
          <t>A 47877-2023</t>
        </is>
      </c>
      <c r="B8951" t="inlineStr">
        <is>
          <t>avverkningsanmälan</t>
        </is>
      </c>
      <c r="C8951" t="inlineStr">
        <is>
          <t>Föryngringsavverkning</t>
        </is>
      </c>
      <c r="D8951" s="1" t="n">
        <v>45204</v>
      </c>
      <c r="E8951" s="1" t="n">
        <v>46319</v>
      </c>
      <c r="F8951" t="inlineStr">
        <is>
          <t>DALARNAS LÄN</t>
        </is>
      </c>
      <c r="G8951" t="inlineStr">
        <is>
          <t>ÄLVDALEN</t>
        </is>
      </c>
      <c r="I8951" t="n">
        <v>4.8</v>
      </c>
      <c r="J8951" t="n">
        <v>0</v>
      </c>
      <c r="K8951" t="n">
        <v>0</v>
      </c>
      <c r="L8951" t="n">
        <v>0</v>
      </c>
      <c r="M8951" t="n">
        <v>0</v>
      </c>
      <c r="N8951" t="n">
        <v>0</v>
      </c>
      <c r="O8951" t="n">
        <v>0</v>
      </c>
      <c r="P8951" t="n">
        <v>0</v>
      </c>
      <c r="Q8951" t="n">
        <v>0</v>
      </c>
      <c r="R8951" t="n">
        <v>0</v>
      </c>
      <c r="S8951" t="n">
        <v>0</v>
      </c>
      <c r="T8951" t="n">
        <v>0</v>
      </c>
      <c r="U8951" t="n">
        <v>0</v>
      </c>
      <c r="V8951" s="2" t="inlineStr"/>
    </row>
    <row r="8952" ht="15" customHeight="1">
      <c r="A8952" t="inlineStr">
        <is>
          <t>A 13940-2023</t>
        </is>
      </c>
      <c r="B8952" t="inlineStr">
        <is>
          <t>avverkningsanmälan</t>
        </is>
      </c>
      <c r="C8952" t="inlineStr">
        <is>
          <t>Föryngringsavverkning</t>
        </is>
      </c>
      <c r="D8952" s="1" t="n">
        <v>45008</v>
      </c>
      <c r="E8952" s="1" t="n">
        <v>46319</v>
      </c>
      <c r="F8952" t="inlineStr">
        <is>
          <t>DALARNAS LÄN</t>
        </is>
      </c>
      <c r="G8952" t="inlineStr">
        <is>
          <t>AVESTA</t>
        </is>
      </c>
      <c r="I8952" t="n">
        <v>0.9</v>
      </c>
      <c r="J8952" t="n">
        <v>0</v>
      </c>
      <c r="K8952" t="n">
        <v>0</v>
      </c>
      <c r="L8952" t="n">
        <v>0</v>
      </c>
      <c r="M8952" t="n">
        <v>0</v>
      </c>
      <c r="N8952" t="n">
        <v>0</v>
      </c>
      <c r="O8952" t="n">
        <v>0</v>
      </c>
      <c r="P8952" t="n">
        <v>0</v>
      </c>
      <c r="Q8952" t="n">
        <v>0</v>
      </c>
      <c r="R8952" t="n">
        <v>0</v>
      </c>
      <c r="S8952" t="n">
        <v>0</v>
      </c>
      <c r="T8952" t="n">
        <v>0</v>
      </c>
      <c r="U8952" t="n">
        <v>0</v>
      </c>
      <c r="V8952" s="2" t="inlineStr"/>
    </row>
    <row r="8953" ht="15" customHeight="1">
      <c r="A8953" t="inlineStr">
        <is>
          <t>A 27962-2024</t>
        </is>
      </c>
      <c r="B8953" t="inlineStr">
        <is>
          <t>avverkningsanmälan</t>
        </is>
      </c>
      <c r="C8953" t="inlineStr">
        <is>
          <t>Föryngringsavverkning</t>
        </is>
      </c>
      <c r="D8953" s="1" t="n">
        <v>45476</v>
      </c>
      <c r="E8953" s="1" t="n">
        <v>46319</v>
      </c>
      <c r="F8953" t="inlineStr">
        <is>
          <t>DALARNAS LÄN</t>
        </is>
      </c>
      <c r="G8953" t="inlineStr">
        <is>
          <t>RÄTTVIK</t>
        </is>
      </c>
      <c r="I8953" t="n">
        <v>1.3</v>
      </c>
      <c r="J8953" t="n">
        <v>0</v>
      </c>
      <c r="K8953" t="n">
        <v>0</v>
      </c>
      <c r="L8953" t="n">
        <v>0</v>
      </c>
      <c r="M8953" t="n">
        <v>0</v>
      </c>
      <c r="N8953" t="n">
        <v>0</v>
      </c>
      <c r="O8953" t="n">
        <v>0</v>
      </c>
      <c r="P8953" t="n">
        <v>0</v>
      </c>
      <c r="Q8953" t="n">
        <v>0</v>
      </c>
      <c r="R8953" t="n">
        <v>0</v>
      </c>
      <c r="S8953" t="n">
        <v>0</v>
      </c>
      <c r="T8953" t="n">
        <v>0</v>
      </c>
      <c r="U8953" t="n">
        <v>0</v>
      </c>
      <c r="V8953" s="2" t="inlineStr"/>
    </row>
    <row r="8954" ht="15" customHeight="1">
      <c r="A8954" t="inlineStr">
        <is>
          <t>A 46454-2024</t>
        </is>
      </c>
      <c r="B8954" t="inlineStr">
        <is>
          <t>avverkningsanmälan</t>
        </is>
      </c>
      <c r="C8954" t="inlineStr">
        <is>
          <t>Föryngringsavverkning</t>
        </is>
      </c>
      <c r="D8954" s="1" t="n">
        <v>45582</v>
      </c>
      <c r="E8954" s="1" t="n">
        <v>46319</v>
      </c>
      <c r="F8954" t="inlineStr">
        <is>
          <t>DALARNAS LÄN</t>
        </is>
      </c>
      <c r="G8954" t="inlineStr">
        <is>
          <t>ORSA</t>
        </is>
      </c>
      <c r="H8954" t="inlineStr">
        <is>
          <t>Övriga statliga verk och myndigheter</t>
        </is>
      </c>
      <c r="I8954" t="n">
        <v>1</v>
      </c>
      <c r="J8954" t="n">
        <v>0</v>
      </c>
      <c r="K8954" t="n">
        <v>0</v>
      </c>
      <c r="L8954" t="n">
        <v>0</v>
      </c>
      <c r="M8954" t="n">
        <v>0</v>
      </c>
      <c r="N8954" t="n">
        <v>0</v>
      </c>
      <c r="O8954" t="n">
        <v>0</v>
      </c>
      <c r="P8954" t="n">
        <v>0</v>
      </c>
      <c r="Q8954" t="n">
        <v>0</v>
      </c>
      <c r="R8954" t="n">
        <v>0</v>
      </c>
      <c r="S8954" t="n">
        <v>0</v>
      </c>
      <c r="T8954" t="n">
        <v>0</v>
      </c>
      <c r="U8954" t="n">
        <v>0</v>
      </c>
      <c r="V8954" s="2" t="inlineStr"/>
    </row>
    <row r="8955" ht="15" customHeight="1">
      <c r="A8955" t="inlineStr">
        <is>
          <t>A 50685-2023</t>
        </is>
      </c>
      <c r="B8955" t="inlineStr">
        <is>
          <t>avverkningsanmälan</t>
        </is>
      </c>
      <c r="C8955" t="inlineStr">
        <is>
          <t>Föryngringsavverkning</t>
        </is>
      </c>
      <c r="D8955" s="1" t="n">
        <v>45210</v>
      </c>
      <c r="E8955" s="1" t="n">
        <v>46319</v>
      </c>
      <c r="F8955" t="inlineStr">
        <is>
          <t>DALARNAS LÄN</t>
        </is>
      </c>
      <c r="G8955" t="inlineStr">
        <is>
          <t>MORA</t>
        </is>
      </c>
      <c r="I8955" t="n">
        <v>1.7</v>
      </c>
      <c r="J8955" t="n">
        <v>0</v>
      </c>
      <c r="K8955" t="n">
        <v>0</v>
      </c>
      <c r="L8955" t="n">
        <v>0</v>
      </c>
      <c r="M8955" t="n">
        <v>0</v>
      </c>
      <c r="N8955" t="n">
        <v>0</v>
      </c>
      <c r="O8955" t="n">
        <v>0</v>
      </c>
      <c r="P8955" t="n">
        <v>0</v>
      </c>
      <c r="Q8955" t="n">
        <v>0</v>
      </c>
      <c r="R8955" t="n">
        <v>0</v>
      </c>
      <c r="S8955" t="n">
        <v>0</v>
      </c>
      <c r="T8955" t="n">
        <v>0</v>
      </c>
      <c r="U8955" t="n">
        <v>0</v>
      </c>
      <c r="V8955" s="2" t="inlineStr"/>
    </row>
    <row r="8956" ht="15" customHeight="1">
      <c r="A8956" t="inlineStr">
        <is>
          <t>A 59667-2024</t>
        </is>
      </c>
      <c r="B8956" t="inlineStr">
        <is>
          <t>avverkningsanmälan</t>
        </is>
      </c>
      <c r="C8956" t="inlineStr">
        <is>
          <t>Föryngringsavverkning</t>
        </is>
      </c>
      <c r="D8956" s="1" t="n">
        <v>45639</v>
      </c>
      <c r="E8956" s="1" t="n">
        <v>46319</v>
      </c>
      <c r="F8956" t="inlineStr">
        <is>
          <t>DALARNAS LÄN</t>
        </is>
      </c>
      <c r="G8956" t="inlineStr">
        <is>
          <t>LUDVIKA</t>
        </is>
      </c>
      <c r="H8956" t="inlineStr">
        <is>
          <t>Bergvik skog väst AB</t>
        </is>
      </c>
      <c r="I8956" t="n">
        <v>1.6</v>
      </c>
      <c r="J8956" t="n">
        <v>0</v>
      </c>
      <c r="K8956" t="n">
        <v>0</v>
      </c>
      <c r="L8956" t="n">
        <v>0</v>
      </c>
      <c r="M8956" t="n">
        <v>0</v>
      </c>
      <c r="N8956" t="n">
        <v>0</v>
      </c>
      <c r="O8956" t="n">
        <v>0</v>
      </c>
      <c r="P8956" t="n">
        <v>0</v>
      </c>
      <c r="Q8956" t="n">
        <v>0</v>
      </c>
      <c r="R8956" t="n">
        <v>0</v>
      </c>
      <c r="S8956" t="n">
        <v>0</v>
      </c>
      <c r="T8956" t="n">
        <v>0</v>
      </c>
      <c r="U8956" t="n">
        <v>0</v>
      </c>
      <c r="V8956" s="2" t="inlineStr"/>
    </row>
    <row r="8957" ht="15" customHeight="1">
      <c r="A8957" t="inlineStr">
        <is>
          <t>A 6654-2024</t>
        </is>
      </c>
      <c r="B8957" t="inlineStr">
        <is>
          <t>avverkningsanmälan</t>
        </is>
      </c>
      <c r="C8957" t="inlineStr">
        <is>
          <t>Föryngringsavverkning</t>
        </is>
      </c>
      <c r="D8957" s="1" t="n">
        <v>45341</v>
      </c>
      <c r="E8957" s="1" t="n">
        <v>46319</v>
      </c>
      <c r="F8957" t="inlineStr">
        <is>
          <t>DALARNAS LÄN</t>
        </is>
      </c>
      <c r="G8957" t="inlineStr">
        <is>
          <t>BORLÄNGE</t>
        </is>
      </c>
      <c r="I8957" t="n">
        <v>0.8</v>
      </c>
      <c r="J8957" t="n">
        <v>0</v>
      </c>
      <c r="K8957" t="n">
        <v>0</v>
      </c>
      <c r="L8957" t="n">
        <v>0</v>
      </c>
      <c r="M8957" t="n">
        <v>0</v>
      </c>
      <c r="N8957" t="n">
        <v>0</v>
      </c>
      <c r="O8957" t="n">
        <v>0</v>
      </c>
      <c r="P8957" t="n">
        <v>0</v>
      </c>
      <c r="Q8957" t="n">
        <v>0</v>
      </c>
      <c r="R8957" t="n">
        <v>0</v>
      </c>
      <c r="S8957" t="n">
        <v>0</v>
      </c>
      <c r="T8957" t="n">
        <v>0</v>
      </c>
      <c r="U8957" t="n">
        <v>0</v>
      </c>
      <c r="V8957" s="2" t="inlineStr"/>
    </row>
    <row r="8958" ht="15" customHeight="1">
      <c r="A8958" t="inlineStr">
        <is>
          <t>A 16833-2023</t>
        </is>
      </c>
      <c r="B8958" t="inlineStr">
        <is>
          <t>avverkningsanmälan</t>
        </is>
      </c>
      <c r="C8958" t="inlineStr">
        <is>
          <t>Föryngringsavverkning</t>
        </is>
      </c>
      <c r="D8958" s="1" t="n">
        <v>45033</v>
      </c>
      <c r="E8958" s="1" t="n">
        <v>46319</v>
      </c>
      <c r="F8958" t="inlineStr">
        <is>
          <t>DALARNAS LÄN</t>
        </is>
      </c>
      <c r="G8958" t="inlineStr">
        <is>
          <t>RÄTTVIK</t>
        </is>
      </c>
      <c r="I8958" t="n">
        <v>1.2</v>
      </c>
      <c r="J8958" t="n">
        <v>0</v>
      </c>
      <c r="K8958" t="n">
        <v>0</v>
      </c>
      <c r="L8958" t="n">
        <v>0</v>
      </c>
      <c r="M8958" t="n">
        <v>0</v>
      </c>
      <c r="N8958" t="n">
        <v>0</v>
      </c>
      <c r="O8958" t="n">
        <v>0</v>
      </c>
      <c r="P8958" t="n">
        <v>0</v>
      </c>
      <c r="Q8958" t="n">
        <v>0</v>
      </c>
      <c r="R8958" t="n">
        <v>0</v>
      </c>
      <c r="S8958" t="n">
        <v>0</v>
      </c>
      <c r="T8958" t="n">
        <v>0</v>
      </c>
      <c r="U8958" t="n">
        <v>0</v>
      </c>
      <c r="V8958" s="2" t="inlineStr"/>
    </row>
    <row r="8959" ht="15" customHeight="1">
      <c r="A8959" t="inlineStr">
        <is>
          <t>A 863-2022</t>
        </is>
      </c>
      <c r="B8959" t="inlineStr">
        <is>
          <t>avverkningsanmälan</t>
        </is>
      </c>
      <c r="C8959" t="inlineStr">
        <is>
          <t>Föryngringsavverkning</t>
        </is>
      </c>
      <c r="D8959" s="1" t="n">
        <v>44571</v>
      </c>
      <c r="E8959" s="1" t="n">
        <v>46319</v>
      </c>
      <c r="F8959" t="inlineStr">
        <is>
          <t>DALARNAS LÄN</t>
        </is>
      </c>
      <c r="G8959" t="inlineStr">
        <is>
          <t>AVESTA</t>
        </is>
      </c>
      <c r="I8959" t="n">
        <v>2.3</v>
      </c>
      <c r="J8959" t="n">
        <v>0</v>
      </c>
      <c r="K8959" t="n">
        <v>0</v>
      </c>
      <c r="L8959" t="n">
        <v>0</v>
      </c>
      <c r="M8959" t="n">
        <v>0</v>
      </c>
      <c r="N8959" t="n">
        <v>0</v>
      </c>
      <c r="O8959" t="n">
        <v>0</v>
      </c>
      <c r="P8959" t="n">
        <v>0</v>
      </c>
      <c r="Q8959" t="n">
        <v>0</v>
      </c>
      <c r="R8959" t="n">
        <v>0</v>
      </c>
      <c r="S8959" t="n">
        <v>0</v>
      </c>
      <c r="T8959" t="n">
        <v>0</v>
      </c>
      <c r="U8959" t="n">
        <v>0</v>
      </c>
      <c r="V8959" s="2" t="inlineStr"/>
    </row>
    <row r="8960" ht="15" customHeight="1">
      <c r="A8960" t="inlineStr">
        <is>
          <t>A 52572-2024</t>
        </is>
      </c>
      <c r="B8960" t="inlineStr">
        <is>
          <t>avverkningsanmälan</t>
        </is>
      </c>
      <c r="C8960" t="inlineStr">
        <is>
          <t>Föryngringsavverkning</t>
        </is>
      </c>
      <c r="D8960" s="1" t="n">
        <v>45609</v>
      </c>
      <c r="E8960" s="1" t="n">
        <v>46319</v>
      </c>
      <c r="F8960" t="inlineStr">
        <is>
          <t>DALARNAS LÄN</t>
        </is>
      </c>
      <c r="G8960" t="inlineStr">
        <is>
          <t>LEKSAND</t>
        </is>
      </c>
      <c r="I8960" t="n">
        <v>0.7</v>
      </c>
      <c r="J8960" t="n">
        <v>0</v>
      </c>
      <c r="K8960" t="n">
        <v>0</v>
      </c>
      <c r="L8960" t="n">
        <v>0</v>
      </c>
      <c r="M8960" t="n">
        <v>0</v>
      </c>
      <c r="N8960" t="n">
        <v>0</v>
      </c>
      <c r="O8960" t="n">
        <v>0</v>
      </c>
      <c r="P8960" t="n">
        <v>0</v>
      </c>
      <c r="Q8960" t="n">
        <v>0</v>
      </c>
      <c r="R8960" t="n">
        <v>0</v>
      </c>
      <c r="S8960" t="n">
        <v>0</v>
      </c>
      <c r="T8960" t="n">
        <v>0</v>
      </c>
      <c r="U8960" t="n">
        <v>0</v>
      </c>
      <c r="V8960" s="2" t="inlineStr"/>
    </row>
    <row r="8961" ht="15" customHeight="1">
      <c r="A8961" t="inlineStr">
        <is>
          <t>A 52649-2024</t>
        </is>
      </c>
      <c r="B8961" t="inlineStr">
        <is>
          <t>avverkningsanmälan</t>
        </is>
      </c>
      <c r="C8961" t="inlineStr">
        <is>
          <t>Föryngringsavverkning</t>
        </is>
      </c>
      <c r="D8961" s="1" t="n">
        <v>45610</v>
      </c>
      <c r="E8961" s="1" t="n">
        <v>46319</v>
      </c>
      <c r="F8961" t="inlineStr">
        <is>
          <t>DALARNAS LÄN</t>
        </is>
      </c>
      <c r="G8961" t="inlineStr">
        <is>
          <t>ORSA</t>
        </is>
      </c>
      <c r="I8961" t="n">
        <v>1.3</v>
      </c>
      <c r="J8961" t="n">
        <v>0</v>
      </c>
      <c r="K8961" t="n">
        <v>0</v>
      </c>
      <c r="L8961" t="n">
        <v>0</v>
      </c>
      <c r="M8961" t="n">
        <v>0</v>
      </c>
      <c r="N8961" t="n">
        <v>0</v>
      </c>
      <c r="O8961" t="n">
        <v>0</v>
      </c>
      <c r="P8961" t="n">
        <v>0</v>
      </c>
      <c r="Q8961" t="n">
        <v>0</v>
      </c>
      <c r="R8961" t="n">
        <v>0</v>
      </c>
      <c r="S8961" t="n">
        <v>0</v>
      </c>
      <c r="T8961" t="n">
        <v>0</v>
      </c>
      <c r="U8961" t="n">
        <v>0</v>
      </c>
      <c r="V8961" s="2" t="inlineStr"/>
    </row>
    <row r="8962" ht="15" customHeight="1">
      <c r="A8962" t="inlineStr">
        <is>
          <t>A 43964-2024</t>
        </is>
      </c>
      <c r="B8962" t="inlineStr">
        <is>
          <t>avverkningsanmälan</t>
        </is>
      </c>
      <c r="C8962" t="inlineStr">
        <is>
          <t>Föryngringsavverkning</t>
        </is>
      </c>
      <c r="D8962" s="1" t="n">
        <v>45572</v>
      </c>
      <c r="E8962" s="1" t="n">
        <v>46319</v>
      </c>
      <c r="F8962" t="inlineStr">
        <is>
          <t>DALARNAS LÄN</t>
        </is>
      </c>
      <c r="G8962" t="inlineStr">
        <is>
          <t>MORA</t>
        </is>
      </c>
      <c r="I8962" t="n">
        <v>0.9</v>
      </c>
      <c r="J8962" t="n">
        <v>0</v>
      </c>
      <c r="K8962" t="n">
        <v>0</v>
      </c>
      <c r="L8962" t="n">
        <v>0</v>
      </c>
      <c r="M8962" t="n">
        <v>0</v>
      </c>
      <c r="N8962" t="n">
        <v>0</v>
      </c>
      <c r="O8962" t="n">
        <v>0</v>
      </c>
      <c r="P8962" t="n">
        <v>0</v>
      </c>
      <c r="Q8962" t="n">
        <v>0</v>
      </c>
      <c r="R8962" t="n">
        <v>0</v>
      </c>
      <c r="S8962" t="n">
        <v>0</v>
      </c>
      <c r="T8962" t="n">
        <v>0</v>
      </c>
      <c r="U8962" t="n">
        <v>0</v>
      </c>
      <c r="V8962" s="2" t="inlineStr"/>
    </row>
    <row r="8963" ht="15" customHeight="1">
      <c r="A8963" t="inlineStr">
        <is>
          <t>A 33107-2023</t>
        </is>
      </c>
      <c r="B8963" t="inlineStr">
        <is>
          <t>avverkningsanmälan</t>
        </is>
      </c>
      <c r="C8963" t="inlineStr">
        <is>
          <t>Föryngringsavverkning</t>
        </is>
      </c>
      <c r="D8963" s="1" t="n">
        <v>45114</v>
      </c>
      <c r="E8963" s="1" t="n">
        <v>46319</v>
      </c>
      <c r="F8963" t="inlineStr">
        <is>
          <t>DALARNAS LÄN</t>
        </is>
      </c>
      <c r="G8963" t="inlineStr">
        <is>
          <t>ÄLVDALEN</t>
        </is>
      </c>
      <c r="I8963" t="n">
        <v>0.9</v>
      </c>
      <c r="J8963" t="n">
        <v>0</v>
      </c>
      <c r="K8963" t="n">
        <v>0</v>
      </c>
      <c r="L8963" t="n">
        <v>0</v>
      </c>
      <c r="M8963" t="n">
        <v>0</v>
      </c>
      <c r="N8963" t="n">
        <v>0</v>
      </c>
      <c r="O8963" t="n">
        <v>0</v>
      </c>
      <c r="P8963" t="n">
        <v>0</v>
      </c>
      <c r="Q8963" t="n">
        <v>0</v>
      </c>
      <c r="R8963" t="n">
        <v>0</v>
      </c>
      <c r="S8963" t="n">
        <v>0</v>
      </c>
      <c r="T8963" t="n">
        <v>0</v>
      </c>
      <c r="U8963" t="n">
        <v>0</v>
      </c>
      <c r="V8963" s="2" t="inlineStr"/>
    </row>
    <row r="8964" ht="15" customHeight="1">
      <c r="A8964" t="inlineStr">
        <is>
          <t>A 713-2022</t>
        </is>
      </c>
      <c r="B8964" t="inlineStr">
        <is>
          <t>avverkningsanmälan</t>
        </is>
      </c>
      <c r="C8964" t="inlineStr">
        <is>
          <t>Avverkning för annat ändamål</t>
        </is>
      </c>
      <c r="D8964" s="1" t="n">
        <v>44568</v>
      </c>
      <c r="E8964" s="1" t="n">
        <v>46319</v>
      </c>
      <c r="F8964" t="inlineStr">
        <is>
          <t>DALARNAS LÄN</t>
        </is>
      </c>
      <c r="G8964" t="inlineStr">
        <is>
          <t>ÄLVDALEN</t>
        </is>
      </c>
      <c r="I8964" t="n">
        <v>1.6</v>
      </c>
      <c r="J8964" t="n">
        <v>0</v>
      </c>
      <c r="K8964" t="n">
        <v>0</v>
      </c>
      <c r="L8964" t="n">
        <v>0</v>
      </c>
      <c r="M8964" t="n">
        <v>0</v>
      </c>
      <c r="N8964" t="n">
        <v>0</v>
      </c>
      <c r="O8964" t="n">
        <v>0</v>
      </c>
      <c r="P8964" t="n">
        <v>0</v>
      </c>
      <c r="Q8964" t="n">
        <v>0</v>
      </c>
      <c r="R8964" t="n">
        <v>0</v>
      </c>
      <c r="S8964" t="n">
        <v>0</v>
      </c>
      <c r="T8964" t="n">
        <v>0</v>
      </c>
      <c r="U8964" t="n">
        <v>0</v>
      </c>
      <c r="V8964" s="2" t="inlineStr"/>
    </row>
    <row r="8965" ht="15" customHeight="1">
      <c r="A8965" t="inlineStr">
        <is>
          <t>A 12851-2023</t>
        </is>
      </c>
      <c r="B8965" t="inlineStr">
        <is>
          <t>avverkningsanmälan</t>
        </is>
      </c>
      <c r="C8965" t="inlineStr">
        <is>
          <t>Föryngringsavverkning</t>
        </is>
      </c>
      <c r="D8965" s="1" t="n">
        <v>45001</v>
      </c>
      <c r="E8965" s="1" t="n">
        <v>46319</v>
      </c>
      <c r="F8965" t="inlineStr">
        <is>
          <t>DALARNAS LÄN</t>
        </is>
      </c>
      <c r="G8965" t="inlineStr">
        <is>
          <t>LEKSAND</t>
        </is>
      </c>
      <c r="I8965" t="n">
        <v>1.9</v>
      </c>
      <c r="J8965" t="n">
        <v>0</v>
      </c>
      <c r="K8965" t="n">
        <v>0</v>
      </c>
      <c r="L8965" t="n">
        <v>0</v>
      </c>
      <c r="M8965" t="n">
        <v>0</v>
      </c>
      <c r="N8965" t="n">
        <v>0</v>
      </c>
      <c r="O8965" t="n">
        <v>0</v>
      </c>
      <c r="P8965" t="n">
        <v>0</v>
      </c>
      <c r="Q8965" t="n">
        <v>0</v>
      </c>
      <c r="R8965" t="n">
        <v>0</v>
      </c>
      <c r="S8965" t="n">
        <v>0</v>
      </c>
      <c r="T8965" t="n">
        <v>0</v>
      </c>
      <c r="U8965" t="n">
        <v>0</v>
      </c>
      <c r="V8965" s="2" t="inlineStr"/>
    </row>
    <row r="8966" ht="15" customHeight="1">
      <c r="A8966" t="inlineStr">
        <is>
          <t>A 19295-2024</t>
        </is>
      </c>
      <c r="B8966" t="inlineStr">
        <is>
          <t>avverkningsanmälan</t>
        </is>
      </c>
      <c r="C8966" t="inlineStr">
        <is>
          <t>Föryngringsavverkning</t>
        </is>
      </c>
      <c r="D8966" s="1" t="n">
        <v>45428</v>
      </c>
      <c r="E8966" s="1" t="n">
        <v>46319</v>
      </c>
      <c r="F8966" t="inlineStr">
        <is>
          <t>DALARNAS LÄN</t>
        </is>
      </c>
      <c r="G8966" t="inlineStr">
        <is>
          <t>LEKSAND</t>
        </is>
      </c>
      <c r="I8966" t="n">
        <v>1.6</v>
      </c>
      <c r="J8966" t="n">
        <v>0</v>
      </c>
      <c r="K8966" t="n">
        <v>0</v>
      </c>
      <c r="L8966" t="n">
        <v>0</v>
      </c>
      <c r="M8966" t="n">
        <v>0</v>
      </c>
      <c r="N8966" t="n">
        <v>0</v>
      </c>
      <c r="O8966" t="n">
        <v>0</v>
      </c>
      <c r="P8966" t="n">
        <v>0</v>
      </c>
      <c r="Q8966" t="n">
        <v>0</v>
      </c>
      <c r="R8966" t="n">
        <v>0</v>
      </c>
      <c r="S8966" t="n">
        <v>0</v>
      </c>
      <c r="T8966" t="n">
        <v>0</v>
      </c>
      <c r="U8966" t="n">
        <v>0</v>
      </c>
      <c r="V8966" s="2" t="inlineStr"/>
    </row>
    <row r="8967" ht="15" customHeight="1">
      <c r="A8967" t="inlineStr">
        <is>
          <t>A 59478-2024</t>
        </is>
      </c>
      <c r="B8967" t="inlineStr">
        <is>
          <t>avverkningsanmälan</t>
        </is>
      </c>
      <c r="C8967" t="inlineStr">
        <is>
          <t>Föryngringsavverkning</t>
        </is>
      </c>
      <c r="D8967" s="1" t="n">
        <v>45638</v>
      </c>
      <c r="E8967" s="1" t="n">
        <v>46319</v>
      </c>
      <c r="F8967" t="inlineStr">
        <is>
          <t>DALARNAS LÄN</t>
        </is>
      </c>
      <c r="G8967" t="inlineStr">
        <is>
          <t>ÄLVDALEN</t>
        </is>
      </c>
      <c r="H8967" t="inlineStr">
        <is>
          <t>Allmännings- och besparingsskogar</t>
        </is>
      </c>
      <c r="I8967" t="n">
        <v>6.9</v>
      </c>
      <c r="J8967" t="n">
        <v>0</v>
      </c>
      <c r="K8967" t="n">
        <v>0</v>
      </c>
      <c r="L8967" t="n">
        <v>0</v>
      </c>
      <c r="M8967" t="n">
        <v>0</v>
      </c>
      <c r="N8967" t="n">
        <v>0</v>
      </c>
      <c r="O8967" t="n">
        <v>0</v>
      </c>
      <c r="P8967" t="n">
        <v>0</v>
      </c>
      <c r="Q8967" t="n">
        <v>0</v>
      </c>
      <c r="R8967" t="n">
        <v>0</v>
      </c>
      <c r="S8967" t="n">
        <v>0</v>
      </c>
      <c r="T8967" t="n">
        <v>0</v>
      </c>
      <c r="U8967" t="n">
        <v>0</v>
      </c>
      <c r="V8967" s="2" t="inlineStr"/>
    </row>
    <row r="8968" ht="15" customHeight="1">
      <c r="A8968" t="inlineStr">
        <is>
          <t>A 73002-2021</t>
        </is>
      </c>
      <c r="B8968" t="inlineStr">
        <is>
          <t>avverkningsanmälan</t>
        </is>
      </c>
      <c r="C8968" t="inlineStr">
        <is>
          <t>Föryngringsavverkning</t>
        </is>
      </c>
      <c r="D8968" s="1" t="n">
        <v>44550</v>
      </c>
      <c r="E8968" s="1" t="n">
        <v>46319</v>
      </c>
      <c r="F8968" t="inlineStr">
        <is>
          <t>DALARNAS LÄN</t>
        </is>
      </c>
      <c r="G8968" t="inlineStr">
        <is>
          <t>BORLÄNGE</t>
        </is>
      </c>
      <c r="I8968" t="n">
        <v>1.4</v>
      </c>
      <c r="J8968" t="n">
        <v>0</v>
      </c>
      <c r="K8968" t="n">
        <v>0</v>
      </c>
      <c r="L8968" t="n">
        <v>0</v>
      </c>
      <c r="M8968" t="n">
        <v>0</v>
      </c>
      <c r="N8968" t="n">
        <v>0</v>
      </c>
      <c r="O8968" t="n">
        <v>0</v>
      </c>
      <c r="P8968" t="n">
        <v>0</v>
      </c>
      <c r="Q8968" t="n">
        <v>0</v>
      </c>
      <c r="R8968" t="n">
        <v>0</v>
      </c>
      <c r="S8968" t="n">
        <v>0</v>
      </c>
      <c r="T8968" t="n">
        <v>0</v>
      </c>
      <c r="U8968" t="n">
        <v>0</v>
      </c>
      <c r="V8968" s="2" t="inlineStr"/>
    </row>
    <row r="8969" ht="15" customHeight="1">
      <c r="A8969" t="inlineStr">
        <is>
          <t>A 3-2022</t>
        </is>
      </c>
      <c r="B8969" t="inlineStr">
        <is>
          <t>avverkningsanmälan</t>
        </is>
      </c>
      <c r="C8969" t="inlineStr">
        <is>
          <t>Föryngringsavverkning</t>
        </is>
      </c>
      <c r="D8969" s="1" t="n">
        <v>44562</v>
      </c>
      <c r="E8969" s="1" t="n">
        <v>46319</v>
      </c>
      <c r="F8969" t="inlineStr">
        <is>
          <t>DALARNAS LÄN</t>
        </is>
      </c>
      <c r="G8969" t="inlineStr">
        <is>
          <t>RÄTTVIK</t>
        </is>
      </c>
      <c r="I8969" t="n">
        <v>1.3</v>
      </c>
      <c r="J8969" t="n">
        <v>0</v>
      </c>
      <c r="K8969" t="n">
        <v>0</v>
      </c>
      <c r="L8969" t="n">
        <v>0</v>
      </c>
      <c r="M8969" t="n">
        <v>0</v>
      </c>
      <c r="N8969" t="n">
        <v>0</v>
      </c>
      <c r="O8969" t="n">
        <v>0</v>
      </c>
      <c r="P8969" t="n">
        <v>0</v>
      </c>
      <c r="Q8969" t="n">
        <v>0</v>
      </c>
      <c r="R8969" t="n">
        <v>0</v>
      </c>
      <c r="S8969" t="n">
        <v>0</v>
      </c>
      <c r="T8969" t="n">
        <v>0</v>
      </c>
      <c r="U8969" t="n">
        <v>0</v>
      </c>
      <c r="V8969" s="2" t="inlineStr"/>
    </row>
    <row r="8970" ht="15" customHeight="1">
      <c r="A8970" t="inlineStr">
        <is>
          <t>A 43592-2023</t>
        </is>
      </c>
      <c r="B8970" t="inlineStr">
        <is>
          <t>avverkningsanmälan</t>
        </is>
      </c>
      <c r="C8970" t="inlineStr">
        <is>
          <t>Föryngringsavverkning</t>
        </is>
      </c>
      <c r="D8970" s="1" t="n">
        <v>45181</v>
      </c>
      <c r="E8970" s="1" t="n">
        <v>46319</v>
      </c>
      <c r="F8970" t="inlineStr">
        <is>
          <t>DALARNAS LÄN</t>
        </is>
      </c>
      <c r="G8970" t="inlineStr">
        <is>
          <t>RÄTTVIK</t>
        </is>
      </c>
      <c r="I8970" t="n">
        <v>3.5</v>
      </c>
      <c r="J8970" t="n">
        <v>0</v>
      </c>
      <c r="K8970" t="n">
        <v>0</v>
      </c>
      <c r="L8970" t="n">
        <v>0</v>
      </c>
      <c r="M8970" t="n">
        <v>0</v>
      </c>
      <c r="N8970" t="n">
        <v>0</v>
      </c>
      <c r="O8970" t="n">
        <v>0</v>
      </c>
      <c r="P8970" t="n">
        <v>0</v>
      </c>
      <c r="Q8970" t="n">
        <v>0</v>
      </c>
      <c r="R8970" t="n">
        <v>0</v>
      </c>
      <c r="S8970" t="n">
        <v>0</v>
      </c>
      <c r="T8970" t="n">
        <v>0</v>
      </c>
      <c r="U8970" t="n">
        <v>0</v>
      </c>
      <c r="V8970" s="2" t="inlineStr"/>
    </row>
    <row r="8971" ht="15" customHeight="1">
      <c r="A8971" t="inlineStr">
        <is>
          <t>A 2906-2022</t>
        </is>
      </c>
      <c r="B8971" t="inlineStr">
        <is>
          <t>avverkningsanmälan</t>
        </is>
      </c>
      <c r="C8971" t="inlineStr">
        <is>
          <t>Avverkning för annat ändamål</t>
        </is>
      </c>
      <c r="D8971" s="1" t="n">
        <v>44581</v>
      </c>
      <c r="E8971" s="1" t="n">
        <v>46319</v>
      </c>
      <c r="F8971" t="inlineStr">
        <is>
          <t>DALARNAS LÄN</t>
        </is>
      </c>
      <c r="G8971" t="inlineStr">
        <is>
          <t>FALUN</t>
        </is>
      </c>
      <c r="I8971" t="n">
        <v>0.5</v>
      </c>
      <c r="J8971" t="n">
        <v>0</v>
      </c>
      <c r="K8971" t="n">
        <v>0</v>
      </c>
      <c r="L8971" t="n">
        <v>0</v>
      </c>
      <c r="M8971" t="n">
        <v>0</v>
      </c>
      <c r="N8971" t="n">
        <v>0</v>
      </c>
      <c r="O8971" t="n">
        <v>0</v>
      </c>
      <c r="P8971" t="n">
        <v>0</v>
      </c>
      <c r="Q8971" t="n">
        <v>0</v>
      </c>
      <c r="R8971" t="n">
        <v>0</v>
      </c>
      <c r="S8971" t="n">
        <v>0</v>
      </c>
      <c r="T8971" t="n">
        <v>0</v>
      </c>
      <c r="U8971" t="n">
        <v>0</v>
      </c>
      <c r="V8971" s="2" t="inlineStr"/>
    </row>
    <row r="8972" ht="15" customHeight="1">
      <c r="A8972" t="inlineStr">
        <is>
          <t>A 1479-2025</t>
        </is>
      </c>
      <c r="B8972" t="inlineStr">
        <is>
          <t>avverkningsanmälan</t>
        </is>
      </c>
      <c r="C8972" t="inlineStr">
        <is>
          <t>Föryngringsavverkning</t>
        </is>
      </c>
      <c r="D8972" s="1" t="n">
        <v>45670</v>
      </c>
      <c r="E8972" s="1" t="n">
        <v>46319</v>
      </c>
      <c r="F8972" t="inlineStr">
        <is>
          <t>DALARNAS LÄN</t>
        </is>
      </c>
      <c r="G8972" t="inlineStr">
        <is>
          <t>GAGNEF</t>
        </is>
      </c>
      <c r="I8972" t="n">
        <v>5.5</v>
      </c>
      <c r="J8972" t="n">
        <v>0</v>
      </c>
      <c r="K8972" t="n">
        <v>0</v>
      </c>
      <c r="L8972" t="n">
        <v>0</v>
      </c>
      <c r="M8972" t="n">
        <v>0</v>
      </c>
      <c r="N8972" t="n">
        <v>0</v>
      </c>
      <c r="O8972" t="n">
        <v>0</v>
      </c>
      <c r="P8972" t="n">
        <v>0</v>
      </c>
      <c r="Q8972" t="n">
        <v>0</v>
      </c>
      <c r="R8972" t="n">
        <v>0</v>
      </c>
      <c r="S8972" t="n">
        <v>0</v>
      </c>
      <c r="T8972" t="n">
        <v>0</v>
      </c>
      <c r="U8972" t="n">
        <v>0</v>
      </c>
      <c r="V8972" s="2" t="inlineStr"/>
    </row>
    <row r="8973" ht="15" customHeight="1">
      <c r="A8973" t="inlineStr">
        <is>
          <t>A 1481-2025</t>
        </is>
      </c>
      <c r="B8973" t="inlineStr">
        <is>
          <t>avverkningsanmälan</t>
        </is>
      </c>
      <c r="C8973" t="inlineStr">
        <is>
          <t>Föryngringsavverkning</t>
        </is>
      </c>
      <c r="D8973" s="1" t="n">
        <v>45670</v>
      </c>
      <c r="E8973" s="1" t="n">
        <v>46319</v>
      </c>
      <c r="F8973" t="inlineStr">
        <is>
          <t>DALARNAS LÄN</t>
        </is>
      </c>
      <c r="G8973" t="inlineStr">
        <is>
          <t>GAGNEF</t>
        </is>
      </c>
      <c r="I8973" t="n">
        <v>0.6</v>
      </c>
      <c r="J8973" t="n">
        <v>0</v>
      </c>
      <c r="K8973" t="n">
        <v>0</v>
      </c>
      <c r="L8973" t="n">
        <v>0</v>
      </c>
      <c r="M8973" t="n">
        <v>0</v>
      </c>
      <c r="N8973" t="n">
        <v>0</v>
      </c>
      <c r="O8973" t="n">
        <v>0</v>
      </c>
      <c r="P8973" t="n">
        <v>0</v>
      </c>
      <c r="Q8973" t="n">
        <v>0</v>
      </c>
      <c r="R8973" t="n">
        <v>0</v>
      </c>
      <c r="S8973" t="n">
        <v>0</v>
      </c>
      <c r="T8973" t="n">
        <v>0</v>
      </c>
      <c r="U8973" t="n">
        <v>0</v>
      </c>
      <c r="V8973" s="2" t="inlineStr"/>
    </row>
    <row r="8974" ht="15" customHeight="1">
      <c r="A8974" t="inlineStr">
        <is>
          <t>A 17583-2023</t>
        </is>
      </c>
      <c r="B8974" t="inlineStr">
        <is>
          <t>avverkningsanmälan</t>
        </is>
      </c>
      <c r="C8974" t="inlineStr">
        <is>
          <t>Föryngringsavverkning</t>
        </is>
      </c>
      <c r="D8974" s="1" t="n">
        <v>45036</v>
      </c>
      <c r="E8974" s="1" t="n">
        <v>46319</v>
      </c>
      <c r="F8974" t="inlineStr">
        <is>
          <t>DALARNAS LÄN</t>
        </is>
      </c>
      <c r="G8974" t="inlineStr">
        <is>
          <t>MALUNG-SÄLEN</t>
        </is>
      </c>
      <c r="I8974" t="n">
        <v>2</v>
      </c>
      <c r="J8974" t="n">
        <v>0</v>
      </c>
      <c r="K8974" t="n">
        <v>0</v>
      </c>
      <c r="L8974" t="n">
        <v>0</v>
      </c>
      <c r="M8974" t="n">
        <v>0</v>
      </c>
      <c r="N8974" t="n">
        <v>0</v>
      </c>
      <c r="O8974" t="n">
        <v>0</v>
      </c>
      <c r="P8974" t="n">
        <v>0</v>
      </c>
      <c r="Q8974" t="n">
        <v>0</v>
      </c>
      <c r="R8974" t="n">
        <v>0</v>
      </c>
      <c r="S8974" t="n">
        <v>0</v>
      </c>
      <c r="T8974" t="n">
        <v>0</v>
      </c>
      <c r="U8974" t="n">
        <v>0</v>
      </c>
      <c r="V8974" s="2" t="inlineStr"/>
    </row>
    <row r="8975" ht="15" customHeight="1">
      <c r="A8975" t="inlineStr">
        <is>
          <t>A 43704-2024</t>
        </is>
      </c>
      <c r="B8975" t="inlineStr">
        <is>
          <t>avverkningsanmälan</t>
        </is>
      </c>
      <c r="C8975" t="inlineStr">
        <is>
          <t>Föryngringsavverkning</t>
        </is>
      </c>
      <c r="D8975" s="1" t="n">
        <v>45569</v>
      </c>
      <c r="E8975" s="1" t="n">
        <v>46319</v>
      </c>
      <c r="F8975" t="inlineStr">
        <is>
          <t>DALARNAS LÄN</t>
        </is>
      </c>
      <c r="G8975" t="inlineStr">
        <is>
          <t>LUDVIKA</t>
        </is>
      </c>
      <c r="H8975" t="inlineStr">
        <is>
          <t>Bergvik skog väst AB</t>
        </is>
      </c>
      <c r="I8975" t="n">
        <v>4.4</v>
      </c>
      <c r="J8975" t="n">
        <v>0</v>
      </c>
      <c r="K8975" t="n">
        <v>0</v>
      </c>
      <c r="L8975" t="n">
        <v>0</v>
      </c>
      <c r="M8975" t="n">
        <v>0</v>
      </c>
      <c r="N8975" t="n">
        <v>0</v>
      </c>
      <c r="O8975" t="n">
        <v>0</v>
      </c>
      <c r="P8975" t="n">
        <v>0</v>
      </c>
      <c r="Q8975" t="n">
        <v>0</v>
      </c>
      <c r="R8975" t="n">
        <v>0</v>
      </c>
      <c r="S8975" t="n">
        <v>0</v>
      </c>
      <c r="T8975" t="n">
        <v>0</v>
      </c>
      <c r="U8975" t="n">
        <v>0</v>
      </c>
      <c r="V8975" s="2" t="inlineStr"/>
    </row>
    <row r="8976" ht="15" customHeight="1">
      <c r="A8976" t="inlineStr">
        <is>
          <t>A 8473-2022</t>
        </is>
      </c>
      <c r="B8976" t="inlineStr">
        <is>
          <t>avverkningsanmälan</t>
        </is>
      </c>
      <c r="C8976" t="inlineStr">
        <is>
          <t>Föryngringsavverkning</t>
        </is>
      </c>
      <c r="D8976" s="1" t="n">
        <v>44613</v>
      </c>
      <c r="E8976" s="1" t="n">
        <v>46319</v>
      </c>
      <c r="F8976" t="inlineStr">
        <is>
          <t>DALARNAS LÄN</t>
        </is>
      </c>
      <c r="G8976" t="inlineStr">
        <is>
          <t>BORLÄNGE</t>
        </is>
      </c>
      <c r="I8976" t="n">
        <v>2.4</v>
      </c>
      <c r="J8976" t="n">
        <v>0</v>
      </c>
      <c r="K8976" t="n">
        <v>0</v>
      </c>
      <c r="L8976" t="n">
        <v>0</v>
      </c>
      <c r="M8976" t="n">
        <v>0</v>
      </c>
      <c r="N8976" t="n">
        <v>0</v>
      </c>
      <c r="O8976" t="n">
        <v>0</v>
      </c>
      <c r="P8976" t="n">
        <v>0</v>
      </c>
      <c r="Q8976" t="n">
        <v>0</v>
      </c>
      <c r="R8976" t="n">
        <v>0</v>
      </c>
      <c r="S8976" t="n">
        <v>0</v>
      </c>
      <c r="T8976" t="n">
        <v>0</v>
      </c>
      <c r="U8976" t="n">
        <v>0</v>
      </c>
      <c r="V8976" s="2" t="inlineStr"/>
    </row>
    <row r="8977" ht="15" customHeight="1">
      <c r="A8977" t="inlineStr">
        <is>
          <t>A 60301-2024</t>
        </is>
      </c>
      <c r="B8977" t="inlineStr">
        <is>
          <t>avverkningsanmälan</t>
        </is>
      </c>
      <c r="C8977" t="inlineStr">
        <is>
          <t>Föryngringsavverkning</t>
        </is>
      </c>
      <c r="D8977" s="1" t="n">
        <v>45643</v>
      </c>
      <c r="E8977" s="1" t="n">
        <v>46319</v>
      </c>
      <c r="F8977" t="inlineStr">
        <is>
          <t>DALARNAS LÄN</t>
        </is>
      </c>
      <c r="G8977" t="inlineStr">
        <is>
          <t>BORLÄNGE</t>
        </is>
      </c>
      <c r="I8977" t="n">
        <v>0.6</v>
      </c>
      <c r="J8977" t="n">
        <v>0</v>
      </c>
      <c r="K8977" t="n">
        <v>0</v>
      </c>
      <c r="L8977" t="n">
        <v>0</v>
      </c>
      <c r="M8977" t="n">
        <v>0</v>
      </c>
      <c r="N8977" t="n">
        <v>0</v>
      </c>
      <c r="O8977" t="n">
        <v>0</v>
      </c>
      <c r="P8977" t="n">
        <v>0</v>
      </c>
      <c r="Q8977" t="n">
        <v>0</v>
      </c>
      <c r="R8977" t="n">
        <v>0</v>
      </c>
      <c r="S8977" t="n">
        <v>0</v>
      </c>
      <c r="T8977" t="n">
        <v>0</v>
      </c>
      <c r="U8977" t="n">
        <v>0</v>
      </c>
      <c r="V8977" s="2" t="inlineStr"/>
    </row>
    <row r="8978" ht="15" customHeight="1">
      <c r="A8978" t="inlineStr">
        <is>
          <t>A 36005-2023</t>
        </is>
      </c>
      <c r="B8978" t="inlineStr">
        <is>
          <t>avverkningsanmälan</t>
        </is>
      </c>
      <c r="C8978" t="inlineStr">
        <is>
          <t>Föryngringsavverkning</t>
        </is>
      </c>
      <c r="D8978" s="1" t="n">
        <v>45148</v>
      </c>
      <c r="E8978" s="1" t="n">
        <v>46319</v>
      </c>
      <c r="F8978" t="inlineStr">
        <is>
          <t>DALARNAS LÄN</t>
        </is>
      </c>
      <c r="G8978" t="inlineStr">
        <is>
          <t>GAGNEF</t>
        </is>
      </c>
      <c r="I8978" t="n">
        <v>1.2</v>
      </c>
      <c r="J8978" t="n">
        <v>0</v>
      </c>
      <c r="K8978" t="n">
        <v>0</v>
      </c>
      <c r="L8978" t="n">
        <v>0</v>
      </c>
      <c r="M8978" t="n">
        <v>0</v>
      </c>
      <c r="N8978" t="n">
        <v>0</v>
      </c>
      <c r="O8978" t="n">
        <v>0</v>
      </c>
      <c r="P8978" t="n">
        <v>0</v>
      </c>
      <c r="Q8978" t="n">
        <v>0</v>
      </c>
      <c r="R8978" t="n">
        <v>0</v>
      </c>
      <c r="S8978" t="n">
        <v>0</v>
      </c>
      <c r="T8978" t="n">
        <v>0</v>
      </c>
      <c r="U8978" t="n">
        <v>0</v>
      </c>
      <c r="V8978" s="2" t="inlineStr"/>
    </row>
    <row r="8979" ht="15" customHeight="1">
      <c r="A8979" t="inlineStr">
        <is>
          <t>A 22938-2023</t>
        </is>
      </c>
      <c r="B8979" t="inlineStr">
        <is>
          <t>avverkningsanmälan</t>
        </is>
      </c>
      <c r="C8979" t="inlineStr">
        <is>
          <t>Föryngringsavverkning</t>
        </is>
      </c>
      <c r="D8979" s="1" t="n">
        <v>45072</v>
      </c>
      <c r="E8979" s="1" t="n">
        <v>46319</v>
      </c>
      <c r="F8979" t="inlineStr">
        <is>
          <t>DALARNAS LÄN</t>
        </is>
      </c>
      <c r="G8979" t="inlineStr">
        <is>
          <t>FALUN</t>
        </is>
      </c>
      <c r="I8979" t="n">
        <v>2.5</v>
      </c>
      <c r="J8979" t="n">
        <v>0</v>
      </c>
      <c r="K8979" t="n">
        <v>0</v>
      </c>
      <c r="L8979" t="n">
        <v>0</v>
      </c>
      <c r="M8979" t="n">
        <v>0</v>
      </c>
      <c r="N8979" t="n">
        <v>0</v>
      </c>
      <c r="O8979" t="n">
        <v>0</v>
      </c>
      <c r="P8979" t="n">
        <v>0</v>
      </c>
      <c r="Q8979" t="n">
        <v>0</v>
      </c>
      <c r="R8979" t="n">
        <v>0</v>
      </c>
      <c r="S8979" t="n">
        <v>0</v>
      </c>
      <c r="T8979" t="n">
        <v>0</v>
      </c>
      <c r="U8979" t="n">
        <v>0</v>
      </c>
      <c r="V8979" s="2" t="inlineStr"/>
    </row>
    <row r="8980" ht="15" customHeight="1">
      <c r="A8980" t="inlineStr">
        <is>
          <t>A 9781-2024</t>
        </is>
      </c>
      <c r="B8980" t="inlineStr">
        <is>
          <t>avverkningsanmälan</t>
        </is>
      </c>
      <c r="C8980" t="inlineStr">
        <is>
          <t>Föryngringsavverkning</t>
        </is>
      </c>
      <c r="D8980" s="1" t="n">
        <v>45362</v>
      </c>
      <c r="E8980" s="1" t="n">
        <v>46319</v>
      </c>
      <c r="F8980" t="inlineStr">
        <is>
          <t>DALARNAS LÄN</t>
        </is>
      </c>
      <c r="G8980" t="inlineStr">
        <is>
          <t>LEKSAND</t>
        </is>
      </c>
      <c r="I8980" t="n">
        <v>1.1</v>
      </c>
      <c r="J8980" t="n">
        <v>0</v>
      </c>
      <c r="K8980" t="n">
        <v>0</v>
      </c>
      <c r="L8980" t="n">
        <v>0</v>
      </c>
      <c r="M8980" t="n">
        <v>0</v>
      </c>
      <c r="N8980" t="n">
        <v>0</v>
      </c>
      <c r="O8980" t="n">
        <v>0</v>
      </c>
      <c r="P8980" t="n">
        <v>0</v>
      </c>
      <c r="Q8980" t="n">
        <v>0</v>
      </c>
      <c r="R8980" t="n">
        <v>0</v>
      </c>
      <c r="S8980" t="n">
        <v>0</v>
      </c>
      <c r="T8980" t="n">
        <v>0</v>
      </c>
      <c r="U8980" t="n">
        <v>0</v>
      </c>
      <c r="V8980" s="2" t="inlineStr"/>
    </row>
    <row r="8981" ht="15" customHeight="1">
      <c r="A8981" t="inlineStr">
        <is>
          <t>A 22663-2023</t>
        </is>
      </c>
      <c r="B8981" t="inlineStr">
        <is>
          <t>avverkningsanmälan</t>
        </is>
      </c>
      <c r="C8981" t="inlineStr">
        <is>
          <t>Föryngringsavverkning</t>
        </is>
      </c>
      <c r="D8981" s="1" t="n">
        <v>45071</v>
      </c>
      <c r="E8981" s="1" t="n">
        <v>46319</v>
      </c>
      <c r="F8981" t="inlineStr">
        <is>
          <t>DALARNAS LÄN</t>
        </is>
      </c>
      <c r="G8981" t="inlineStr">
        <is>
          <t>FALUN</t>
        </is>
      </c>
      <c r="I8981" t="n">
        <v>2</v>
      </c>
      <c r="J8981" t="n">
        <v>0</v>
      </c>
      <c r="K8981" t="n">
        <v>0</v>
      </c>
      <c r="L8981" t="n">
        <v>0</v>
      </c>
      <c r="M8981" t="n">
        <v>0</v>
      </c>
      <c r="N8981" t="n">
        <v>0</v>
      </c>
      <c r="O8981" t="n">
        <v>0</v>
      </c>
      <c r="P8981" t="n">
        <v>0</v>
      </c>
      <c r="Q8981" t="n">
        <v>0</v>
      </c>
      <c r="R8981" t="n">
        <v>0</v>
      </c>
      <c r="S8981" t="n">
        <v>0</v>
      </c>
      <c r="T8981" t="n">
        <v>0</v>
      </c>
      <c r="U8981" t="n">
        <v>0</v>
      </c>
      <c r="V8981" s="2" t="inlineStr"/>
    </row>
    <row r="8982" ht="15" customHeight="1">
      <c r="A8982" t="inlineStr">
        <is>
          <t>A 31116-2023</t>
        </is>
      </c>
      <c r="B8982" t="inlineStr">
        <is>
          <t>avverkningsanmälan</t>
        </is>
      </c>
      <c r="C8982" t="inlineStr">
        <is>
          <t>Föryngringsavverkning</t>
        </is>
      </c>
      <c r="D8982" s="1" t="n">
        <v>45103</v>
      </c>
      <c r="E8982" s="1" t="n">
        <v>46319</v>
      </c>
      <c r="F8982" t="inlineStr">
        <is>
          <t>DALARNAS LÄN</t>
        </is>
      </c>
      <c r="G8982" t="inlineStr">
        <is>
          <t>AVESTA</t>
        </is>
      </c>
      <c r="H8982" t="inlineStr">
        <is>
          <t>Bergvik skog väst AB</t>
        </is>
      </c>
      <c r="I8982" t="n">
        <v>37.2</v>
      </c>
      <c r="J8982" t="n">
        <v>0</v>
      </c>
      <c r="K8982" t="n">
        <v>0</v>
      </c>
      <c r="L8982" t="n">
        <v>0</v>
      </c>
      <c r="M8982" t="n">
        <v>0</v>
      </c>
      <c r="N8982" t="n">
        <v>0</v>
      </c>
      <c r="O8982" t="n">
        <v>0</v>
      </c>
      <c r="P8982" t="n">
        <v>0</v>
      </c>
      <c r="Q8982" t="n">
        <v>0</v>
      </c>
      <c r="R8982" t="n">
        <v>0</v>
      </c>
      <c r="S8982" t="n">
        <v>0</v>
      </c>
      <c r="T8982" t="n">
        <v>0</v>
      </c>
      <c r="U8982" t="n">
        <v>0</v>
      </c>
      <c r="V8982" s="2" t="inlineStr"/>
    </row>
    <row r="8983" ht="15" customHeight="1">
      <c r="A8983" t="inlineStr">
        <is>
          <t>A 760-2025</t>
        </is>
      </c>
      <c r="B8983" t="inlineStr">
        <is>
          <t>avverkningsanmälan</t>
        </is>
      </c>
      <c r="C8983" t="inlineStr">
        <is>
          <t>Föryngringsavverkning</t>
        </is>
      </c>
      <c r="D8983" s="1" t="n">
        <v>45665</v>
      </c>
      <c r="E8983" s="1" t="n">
        <v>46319</v>
      </c>
      <c r="F8983" t="inlineStr">
        <is>
          <t>DALARNAS LÄN</t>
        </is>
      </c>
      <c r="G8983" t="inlineStr">
        <is>
          <t>ÄLVDALEN</t>
        </is>
      </c>
      <c r="I8983" t="n">
        <v>1.5</v>
      </c>
      <c r="J8983" t="n">
        <v>0</v>
      </c>
      <c r="K8983" t="n">
        <v>0</v>
      </c>
      <c r="L8983" t="n">
        <v>0</v>
      </c>
      <c r="M8983" t="n">
        <v>0</v>
      </c>
      <c r="N8983" t="n">
        <v>0</v>
      </c>
      <c r="O8983" t="n">
        <v>0</v>
      </c>
      <c r="P8983" t="n">
        <v>0</v>
      </c>
      <c r="Q8983" t="n">
        <v>0</v>
      </c>
      <c r="R8983" t="n">
        <v>0</v>
      </c>
      <c r="S8983" t="n">
        <v>0</v>
      </c>
      <c r="T8983" t="n">
        <v>0</v>
      </c>
      <c r="U8983" t="n">
        <v>0</v>
      </c>
      <c r="V8983" s="2" t="inlineStr"/>
    </row>
    <row r="8984" ht="15" customHeight="1">
      <c r="A8984" t="inlineStr">
        <is>
          <t>A 777-2025</t>
        </is>
      </c>
      <c r="B8984" t="inlineStr">
        <is>
          <t>avverkningsanmälan</t>
        </is>
      </c>
      <c r="C8984" t="inlineStr">
        <is>
          <t>Föryngringsavverkning</t>
        </is>
      </c>
      <c r="D8984" s="1" t="n">
        <v>45665</v>
      </c>
      <c r="E8984" s="1" t="n">
        <v>46319</v>
      </c>
      <c r="F8984" t="inlineStr">
        <is>
          <t>DALARNAS LÄN</t>
        </is>
      </c>
      <c r="G8984" t="inlineStr">
        <is>
          <t>ÄLVDALEN</t>
        </is>
      </c>
      <c r="I8984" t="n">
        <v>2.4</v>
      </c>
      <c r="J8984" t="n">
        <v>0</v>
      </c>
      <c r="K8984" t="n">
        <v>0</v>
      </c>
      <c r="L8984" t="n">
        <v>0</v>
      </c>
      <c r="M8984" t="n">
        <v>0</v>
      </c>
      <c r="N8984" t="n">
        <v>0</v>
      </c>
      <c r="O8984" t="n">
        <v>0</v>
      </c>
      <c r="P8984" t="n">
        <v>0</v>
      </c>
      <c r="Q8984" t="n">
        <v>0</v>
      </c>
      <c r="R8984" t="n">
        <v>0</v>
      </c>
      <c r="S8984" t="n">
        <v>0</v>
      </c>
      <c r="T8984" t="n">
        <v>0</v>
      </c>
      <c r="U8984" t="n">
        <v>0</v>
      </c>
      <c r="V8984" s="2" t="inlineStr"/>
    </row>
    <row r="8985" ht="15" customHeight="1">
      <c r="A8985" t="inlineStr">
        <is>
          <t>A 12125-2024</t>
        </is>
      </c>
      <c r="B8985" t="inlineStr">
        <is>
          <t>avverkningsanmälan</t>
        </is>
      </c>
      <c r="C8985" t="inlineStr">
        <is>
          <t>Avverkning för annat ändamål</t>
        </is>
      </c>
      <c r="D8985" s="1" t="n">
        <v>45377</v>
      </c>
      <c r="E8985" s="1" t="n">
        <v>46319</v>
      </c>
      <c r="F8985" t="inlineStr">
        <is>
          <t>DALARNAS LÄN</t>
        </is>
      </c>
      <c r="G8985" t="inlineStr">
        <is>
          <t>SMEDJEBACKEN</t>
        </is>
      </c>
      <c r="I8985" t="n">
        <v>0.6</v>
      </c>
      <c r="J8985" t="n">
        <v>0</v>
      </c>
      <c r="K8985" t="n">
        <v>0</v>
      </c>
      <c r="L8985" t="n">
        <v>0</v>
      </c>
      <c r="M8985" t="n">
        <v>0</v>
      </c>
      <c r="N8985" t="n">
        <v>0</v>
      </c>
      <c r="O8985" t="n">
        <v>0</v>
      </c>
      <c r="P8985" t="n">
        <v>0</v>
      </c>
      <c r="Q8985" t="n">
        <v>0</v>
      </c>
      <c r="R8985" t="n">
        <v>0</v>
      </c>
      <c r="S8985" t="n">
        <v>0</v>
      </c>
      <c r="T8985" t="n">
        <v>0</v>
      </c>
      <c r="U8985" t="n">
        <v>0</v>
      </c>
      <c r="V8985" s="2" t="inlineStr"/>
    </row>
    <row r="8986" ht="15" customHeight="1">
      <c r="A8986" t="inlineStr">
        <is>
          <t>A 39511-2024</t>
        </is>
      </c>
      <c r="B8986" t="inlineStr">
        <is>
          <t>avverkningsanmälan</t>
        </is>
      </c>
      <c r="C8986" t="inlineStr">
        <is>
          <t>Föryngringsavverkning</t>
        </is>
      </c>
      <c r="D8986" s="1" t="n">
        <v>45551</v>
      </c>
      <c r="E8986" s="1" t="n">
        <v>46319</v>
      </c>
      <c r="F8986" t="inlineStr">
        <is>
          <t>DALARNAS LÄN</t>
        </is>
      </c>
      <c r="G8986" t="inlineStr">
        <is>
          <t>MORA</t>
        </is>
      </c>
      <c r="I8986" t="n">
        <v>1.2</v>
      </c>
      <c r="J8986" t="n">
        <v>0</v>
      </c>
      <c r="K8986" t="n">
        <v>0</v>
      </c>
      <c r="L8986" t="n">
        <v>0</v>
      </c>
      <c r="M8986" t="n">
        <v>0</v>
      </c>
      <c r="N8986" t="n">
        <v>0</v>
      </c>
      <c r="O8986" t="n">
        <v>0</v>
      </c>
      <c r="P8986" t="n">
        <v>0</v>
      </c>
      <c r="Q8986" t="n">
        <v>0</v>
      </c>
      <c r="R8986" t="n">
        <v>0</v>
      </c>
      <c r="S8986" t="n">
        <v>0</v>
      </c>
      <c r="T8986" t="n">
        <v>0</v>
      </c>
      <c r="U8986" t="n">
        <v>0</v>
      </c>
      <c r="V8986" s="2" t="inlineStr"/>
    </row>
    <row r="8987" ht="15" customHeight="1">
      <c r="A8987" t="inlineStr">
        <is>
          <t>A 63648-2023</t>
        </is>
      </c>
      <c r="B8987" t="inlineStr">
        <is>
          <t>avverkningsanmälan</t>
        </is>
      </c>
      <c r="C8987" t="inlineStr">
        <is>
          <t>Föryngringsavverkning</t>
        </is>
      </c>
      <c r="D8987" s="1" t="n">
        <v>45275</v>
      </c>
      <c r="E8987" s="1" t="n">
        <v>46319</v>
      </c>
      <c r="F8987" t="inlineStr">
        <is>
          <t>DALARNAS LÄN</t>
        </is>
      </c>
      <c r="G8987" t="inlineStr">
        <is>
          <t>GAGNEF</t>
        </is>
      </c>
      <c r="I8987" t="n">
        <v>0.3</v>
      </c>
      <c r="J8987" t="n">
        <v>0</v>
      </c>
      <c r="K8987" t="n">
        <v>0</v>
      </c>
      <c r="L8987" t="n">
        <v>0</v>
      </c>
      <c r="M8987" t="n">
        <v>0</v>
      </c>
      <c r="N8987" t="n">
        <v>0</v>
      </c>
      <c r="O8987" t="n">
        <v>0</v>
      </c>
      <c r="P8987" t="n">
        <v>0</v>
      </c>
      <c r="Q8987" t="n">
        <v>0</v>
      </c>
      <c r="R8987" t="n">
        <v>0</v>
      </c>
      <c r="S8987" t="n">
        <v>0</v>
      </c>
      <c r="T8987" t="n">
        <v>0</v>
      </c>
      <c r="U8987" t="n">
        <v>0</v>
      </c>
      <c r="V8987" s="2" t="inlineStr"/>
    </row>
    <row r="8988" ht="15" customHeight="1">
      <c r="A8988" t="inlineStr">
        <is>
          <t>A 37681-2024</t>
        </is>
      </c>
      <c r="B8988" t="inlineStr">
        <is>
          <t>avverkningsanmälan</t>
        </is>
      </c>
      <c r="C8988" t="inlineStr">
        <is>
          <t>Föryngringsavverkning</t>
        </is>
      </c>
      <c r="D8988" s="1" t="n">
        <v>45541</v>
      </c>
      <c r="E8988" s="1" t="n">
        <v>46319</v>
      </c>
      <c r="F8988" t="inlineStr">
        <is>
          <t>DALARNAS LÄN</t>
        </is>
      </c>
      <c r="G8988" t="inlineStr">
        <is>
          <t>MALUNG-SÄLEN</t>
        </is>
      </c>
      <c r="H8988" t="inlineStr">
        <is>
          <t>Bergvik skog öst AB</t>
        </is>
      </c>
      <c r="I8988" t="n">
        <v>4.9</v>
      </c>
      <c r="J8988" t="n">
        <v>0</v>
      </c>
      <c r="K8988" t="n">
        <v>0</v>
      </c>
      <c r="L8988" t="n">
        <v>0</v>
      </c>
      <c r="M8988" t="n">
        <v>0</v>
      </c>
      <c r="N8988" t="n">
        <v>0</v>
      </c>
      <c r="O8988" t="n">
        <v>0</v>
      </c>
      <c r="P8988" t="n">
        <v>0</v>
      </c>
      <c r="Q8988" t="n">
        <v>0</v>
      </c>
      <c r="R8988" t="n">
        <v>0</v>
      </c>
      <c r="S8988" t="n">
        <v>0</v>
      </c>
      <c r="T8988" t="n">
        <v>0</v>
      </c>
      <c r="U8988" t="n">
        <v>0</v>
      </c>
      <c r="V8988" s="2" t="inlineStr"/>
    </row>
    <row r="8989" ht="15" customHeight="1">
      <c r="A8989" t="inlineStr">
        <is>
          <t>A 37709-2024</t>
        </is>
      </c>
      <c r="B8989" t="inlineStr">
        <is>
          <t>avverkningsanmälan</t>
        </is>
      </c>
      <c r="C8989" t="inlineStr">
        <is>
          <t>Föryngringsavverkning</t>
        </is>
      </c>
      <c r="D8989" s="1" t="n">
        <v>45541</v>
      </c>
      <c r="E8989" s="1" t="n">
        <v>46319</v>
      </c>
      <c r="F8989" t="inlineStr">
        <is>
          <t>DALARNAS LÄN</t>
        </is>
      </c>
      <c r="G8989" t="inlineStr">
        <is>
          <t>FALUN</t>
        </is>
      </c>
      <c r="I8989" t="n">
        <v>0.4</v>
      </c>
      <c r="J8989" t="n">
        <v>0</v>
      </c>
      <c r="K8989" t="n">
        <v>0</v>
      </c>
      <c r="L8989" t="n">
        <v>0</v>
      </c>
      <c r="M8989" t="n">
        <v>0</v>
      </c>
      <c r="N8989" t="n">
        <v>0</v>
      </c>
      <c r="O8989" t="n">
        <v>0</v>
      </c>
      <c r="P8989" t="n">
        <v>0</v>
      </c>
      <c r="Q8989" t="n">
        <v>0</v>
      </c>
      <c r="R8989" t="n">
        <v>0</v>
      </c>
      <c r="S8989" t="n">
        <v>0</v>
      </c>
      <c r="T8989" t="n">
        <v>0</v>
      </c>
      <c r="U8989" t="n">
        <v>0</v>
      </c>
      <c r="V8989" s="2" t="inlineStr"/>
    </row>
    <row r="8990" ht="15" customHeight="1">
      <c r="A8990" t="inlineStr">
        <is>
          <t>A 39531-2024</t>
        </is>
      </c>
      <c r="B8990" t="inlineStr">
        <is>
          <t>avverkningsanmälan</t>
        </is>
      </c>
      <c r="C8990" t="inlineStr">
        <is>
          <t>Föryngringsavverkning</t>
        </is>
      </c>
      <c r="D8990" s="1" t="n">
        <v>45551</v>
      </c>
      <c r="E8990" s="1" t="n">
        <v>46319</v>
      </c>
      <c r="F8990" t="inlineStr">
        <is>
          <t>DALARNAS LÄN</t>
        </is>
      </c>
      <c r="G8990" t="inlineStr">
        <is>
          <t>HEDEMORA</t>
        </is>
      </c>
      <c r="H8990" t="inlineStr">
        <is>
          <t>Bergvik skog väst AB</t>
        </is>
      </c>
      <c r="I8990" t="n">
        <v>1.9</v>
      </c>
      <c r="J8990" t="n">
        <v>0</v>
      </c>
      <c r="K8990" t="n">
        <v>0</v>
      </c>
      <c r="L8990" t="n">
        <v>0</v>
      </c>
      <c r="M8990" t="n">
        <v>0</v>
      </c>
      <c r="N8990" t="n">
        <v>0</v>
      </c>
      <c r="O8990" t="n">
        <v>0</v>
      </c>
      <c r="P8990" t="n">
        <v>0</v>
      </c>
      <c r="Q8990" t="n">
        <v>0</v>
      </c>
      <c r="R8990" t="n">
        <v>0</v>
      </c>
      <c r="S8990" t="n">
        <v>0</v>
      </c>
      <c r="T8990" t="n">
        <v>0</v>
      </c>
      <c r="U8990" t="n">
        <v>0</v>
      </c>
      <c r="V8990" s="2" t="inlineStr"/>
    </row>
    <row r="8991" ht="15" customHeight="1">
      <c r="A8991" t="inlineStr">
        <is>
          <t>A 40230-2023</t>
        </is>
      </c>
      <c r="B8991" t="inlineStr">
        <is>
          <t>avverkningsanmälan</t>
        </is>
      </c>
      <c r="C8991" t="inlineStr">
        <is>
          <t>Föryngringsavverkning</t>
        </is>
      </c>
      <c r="D8991" s="1" t="n">
        <v>45169</v>
      </c>
      <c r="E8991" s="1" t="n">
        <v>46319</v>
      </c>
      <c r="F8991" t="inlineStr">
        <is>
          <t>DALARNAS LÄN</t>
        </is>
      </c>
      <c r="G8991" t="inlineStr">
        <is>
          <t>LEKSAND</t>
        </is>
      </c>
      <c r="I8991" t="n">
        <v>0.5</v>
      </c>
      <c r="J8991" t="n">
        <v>0</v>
      </c>
      <c r="K8991" t="n">
        <v>0</v>
      </c>
      <c r="L8991" t="n">
        <v>0</v>
      </c>
      <c r="M8991" t="n">
        <v>0</v>
      </c>
      <c r="N8991" t="n">
        <v>0</v>
      </c>
      <c r="O8991" t="n">
        <v>0</v>
      </c>
      <c r="P8991" t="n">
        <v>0</v>
      </c>
      <c r="Q8991" t="n">
        <v>0</v>
      </c>
      <c r="R8991" t="n">
        <v>0</v>
      </c>
      <c r="S8991" t="n">
        <v>0</v>
      </c>
      <c r="T8991" t="n">
        <v>0</v>
      </c>
      <c r="U8991" t="n">
        <v>0</v>
      </c>
      <c r="V8991" s="2" t="inlineStr"/>
    </row>
    <row r="8992" ht="15" customHeight="1">
      <c r="A8992" t="inlineStr">
        <is>
          <t>A 40344-2023</t>
        </is>
      </c>
      <c r="B8992" t="inlineStr">
        <is>
          <t>avverkningsanmälan</t>
        </is>
      </c>
      <c r="C8992" t="inlineStr">
        <is>
          <t>Föryngringsavverkning</t>
        </is>
      </c>
      <c r="D8992" s="1" t="n">
        <v>45168</v>
      </c>
      <c r="E8992" s="1" t="n">
        <v>46319</v>
      </c>
      <c r="F8992" t="inlineStr">
        <is>
          <t>DALARNAS LÄN</t>
        </is>
      </c>
      <c r="G8992" t="inlineStr">
        <is>
          <t>RÄTTVIK</t>
        </is>
      </c>
      <c r="I8992" t="n">
        <v>1.3</v>
      </c>
      <c r="J8992" t="n">
        <v>0</v>
      </c>
      <c r="K8992" t="n">
        <v>0</v>
      </c>
      <c r="L8992" t="n">
        <v>0</v>
      </c>
      <c r="M8992" t="n">
        <v>0</v>
      </c>
      <c r="N8992" t="n">
        <v>0</v>
      </c>
      <c r="O8992" t="n">
        <v>0</v>
      </c>
      <c r="P8992" t="n">
        <v>0</v>
      </c>
      <c r="Q8992" t="n">
        <v>0</v>
      </c>
      <c r="R8992" t="n">
        <v>0</v>
      </c>
      <c r="S8992" t="n">
        <v>0</v>
      </c>
      <c r="T8992" t="n">
        <v>0</v>
      </c>
      <c r="U8992" t="n">
        <v>0</v>
      </c>
      <c r="V8992" s="2" t="inlineStr"/>
    </row>
    <row r="8993" ht="15" customHeight="1">
      <c r="A8993" t="inlineStr">
        <is>
          <t>A 56834-2024</t>
        </is>
      </c>
      <c r="B8993" t="inlineStr">
        <is>
          <t>avverkningsanmälan</t>
        </is>
      </c>
      <c r="C8993" t="inlineStr">
        <is>
          <t>Avverkning för att bevara och utveckla /försöksver</t>
        </is>
      </c>
      <c r="D8993" s="1" t="n">
        <v>45628</v>
      </c>
      <c r="E8993" s="1" t="n">
        <v>46319</v>
      </c>
      <c r="F8993" t="inlineStr">
        <is>
          <t>DALARNAS LÄN</t>
        </is>
      </c>
      <c r="G8993" t="inlineStr">
        <is>
          <t>MORA</t>
        </is>
      </c>
      <c r="I8993" t="n">
        <v>0.4</v>
      </c>
      <c r="J8993" t="n">
        <v>0</v>
      </c>
      <c r="K8993" t="n">
        <v>0</v>
      </c>
      <c r="L8993" t="n">
        <v>0</v>
      </c>
      <c r="M8993" t="n">
        <v>0</v>
      </c>
      <c r="N8993" t="n">
        <v>0</v>
      </c>
      <c r="O8993" t="n">
        <v>0</v>
      </c>
      <c r="P8993" t="n">
        <v>0</v>
      </c>
      <c r="Q8993" t="n">
        <v>0</v>
      </c>
      <c r="R8993" t="n">
        <v>0</v>
      </c>
      <c r="S8993" t="n">
        <v>0</v>
      </c>
      <c r="T8993" t="n">
        <v>0</v>
      </c>
      <c r="U8993" t="n">
        <v>0</v>
      </c>
      <c r="V8993" s="2" t="inlineStr"/>
    </row>
    <row r="8994" ht="15" customHeight="1">
      <c r="A8994" t="inlineStr">
        <is>
          <t>A 20008-2023</t>
        </is>
      </c>
      <c r="B8994" t="inlineStr">
        <is>
          <t>avverkningsanmälan</t>
        </is>
      </c>
      <c r="C8994" t="inlineStr">
        <is>
          <t>Föryngringsavverkning</t>
        </is>
      </c>
      <c r="D8994" s="1" t="n">
        <v>45054</v>
      </c>
      <c r="E8994" s="1" t="n">
        <v>46319</v>
      </c>
      <c r="F8994" t="inlineStr">
        <is>
          <t>DALARNAS LÄN</t>
        </is>
      </c>
      <c r="G8994" t="inlineStr">
        <is>
          <t>BORLÄNGE</t>
        </is>
      </c>
      <c r="I8994" t="n">
        <v>0.5</v>
      </c>
      <c r="J8994" t="n">
        <v>0</v>
      </c>
      <c r="K8994" t="n">
        <v>0</v>
      </c>
      <c r="L8994" t="n">
        <v>0</v>
      </c>
      <c r="M8994" t="n">
        <v>0</v>
      </c>
      <c r="N8994" t="n">
        <v>0</v>
      </c>
      <c r="O8994" t="n">
        <v>0</v>
      </c>
      <c r="P8994" t="n">
        <v>0</v>
      </c>
      <c r="Q8994" t="n">
        <v>0</v>
      </c>
      <c r="R8994" t="n">
        <v>0</v>
      </c>
      <c r="S8994" t="n">
        <v>0</v>
      </c>
      <c r="T8994" t="n">
        <v>0</v>
      </c>
      <c r="U8994" t="n">
        <v>0</v>
      </c>
      <c r="V8994" s="2" t="inlineStr"/>
    </row>
    <row r="8995" ht="15" customHeight="1">
      <c r="A8995" t="inlineStr">
        <is>
          <t>A 20021-2023</t>
        </is>
      </c>
      <c r="B8995" t="inlineStr">
        <is>
          <t>avverkningsanmälan</t>
        </is>
      </c>
      <c r="C8995" t="inlineStr">
        <is>
          <t>Föryngringsavverkning</t>
        </is>
      </c>
      <c r="D8995" s="1" t="n">
        <v>45054</v>
      </c>
      <c r="E8995" s="1" t="n">
        <v>46319</v>
      </c>
      <c r="F8995" t="inlineStr">
        <is>
          <t>DALARNAS LÄN</t>
        </is>
      </c>
      <c r="G8995" t="inlineStr">
        <is>
          <t>MALUNG-SÄLEN</t>
        </is>
      </c>
      <c r="I8995" t="n">
        <v>2.5</v>
      </c>
      <c r="J8995" t="n">
        <v>0</v>
      </c>
      <c r="K8995" t="n">
        <v>0</v>
      </c>
      <c r="L8995" t="n">
        <v>0</v>
      </c>
      <c r="M8995" t="n">
        <v>0</v>
      </c>
      <c r="N8995" t="n">
        <v>0</v>
      </c>
      <c r="O8995" t="n">
        <v>0</v>
      </c>
      <c r="P8995" t="n">
        <v>0</v>
      </c>
      <c r="Q8995" t="n">
        <v>0</v>
      </c>
      <c r="R8995" t="n">
        <v>0</v>
      </c>
      <c r="S8995" t="n">
        <v>0</v>
      </c>
      <c r="T8995" t="n">
        <v>0</v>
      </c>
      <c r="U8995" t="n">
        <v>0</v>
      </c>
      <c r="V8995" s="2" t="inlineStr"/>
    </row>
    <row r="8996" ht="15" customHeight="1">
      <c r="A8996" t="inlineStr">
        <is>
          <t>A 56642-2024</t>
        </is>
      </c>
      <c r="B8996" t="inlineStr">
        <is>
          <t>avverkningsanmälan</t>
        </is>
      </c>
      <c r="C8996" t="inlineStr">
        <is>
          <t>Föryngringsavverkning</t>
        </is>
      </c>
      <c r="D8996" s="1" t="n">
        <v>45625</v>
      </c>
      <c r="E8996" s="1" t="n">
        <v>46319</v>
      </c>
      <c r="F8996" t="inlineStr">
        <is>
          <t>DALARNAS LÄN</t>
        </is>
      </c>
      <c r="G8996" t="inlineStr">
        <is>
          <t>FALUN</t>
        </is>
      </c>
      <c r="I8996" t="n">
        <v>2.6</v>
      </c>
      <c r="J8996" t="n">
        <v>0</v>
      </c>
      <c r="K8996" t="n">
        <v>0</v>
      </c>
      <c r="L8996" t="n">
        <v>0</v>
      </c>
      <c r="M8996" t="n">
        <v>0</v>
      </c>
      <c r="N8996" t="n">
        <v>0</v>
      </c>
      <c r="O8996" t="n">
        <v>0</v>
      </c>
      <c r="P8996" t="n">
        <v>0</v>
      </c>
      <c r="Q8996" t="n">
        <v>0</v>
      </c>
      <c r="R8996" t="n">
        <v>0</v>
      </c>
      <c r="S8996" t="n">
        <v>0</v>
      </c>
      <c r="T8996" t="n">
        <v>0</v>
      </c>
      <c r="U8996" t="n">
        <v>0</v>
      </c>
      <c r="V8996" s="2" t="inlineStr"/>
    </row>
    <row r="8997" ht="15" customHeight="1">
      <c r="A8997" t="inlineStr">
        <is>
          <t>A 37586-2024</t>
        </is>
      </c>
      <c r="B8997" t="inlineStr">
        <is>
          <t>avverkningsanmälan</t>
        </is>
      </c>
      <c r="C8997" t="inlineStr">
        <is>
          <t>Föryngringsavverkning</t>
        </is>
      </c>
      <c r="D8997" s="1" t="n">
        <v>45541</v>
      </c>
      <c r="E8997" s="1" t="n">
        <v>46319</v>
      </c>
      <c r="F8997" t="inlineStr">
        <is>
          <t>DALARNAS LÄN</t>
        </is>
      </c>
      <c r="G8997" t="inlineStr">
        <is>
          <t>LUDVIKA</t>
        </is>
      </c>
      <c r="H8997" t="inlineStr">
        <is>
          <t>Bergvik skog väst AB</t>
        </is>
      </c>
      <c r="I8997" t="n">
        <v>0.6</v>
      </c>
      <c r="J8997" t="n">
        <v>0</v>
      </c>
      <c r="K8997" t="n">
        <v>0</v>
      </c>
      <c r="L8997" t="n">
        <v>0</v>
      </c>
      <c r="M8997" t="n">
        <v>0</v>
      </c>
      <c r="N8997" t="n">
        <v>0</v>
      </c>
      <c r="O8997" t="n">
        <v>0</v>
      </c>
      <c r="P8997" t="n">
        <v>0</v>
      </c>
      <c r="Q8997" t="n">
        <v>0</v>
      </c>
      <c r="R8997" t="n">
        <v>0</v>
      </c>
      <c r="S8997" t="n">
        <v>0</v>
      </c>
      <c r="T8997" t="n">
        <v>0</v>
      </c>
      <c r="U8997" t="n">
        <v>0</v>
      </c>
      <c r="V8997" s="2" t="inlineStr"/>
    </row>
    <row r="8998" ht="15" customHeight="1">
      <c r="A8998" t="inlineStr">
        <is>
          <t>A 39819-2024</t>
        </is>
      </c>
      <c r="B8998" t="inlineStr">
        <is>
          <t>avverkningsanmälan</t>
        </is>
      </c>
      <c r="C8998" t="inlineStr">
        <is>
          <t>Föryngringsavverkning</t>
        </is>
      </c>
      <c r="D8998" s="1" t="n">
        <v>45553</v>
      </c>
      <c r="E8998" s="1" t="n">
        <v>46319</v>
      </c>
      <c r="F8998" t="inlineStr">
        <is>
          <t>DALARNAS LÄN</t>
        </is>
      </c>
      <c r="G8998" t="inlineStr">
        <is>
          <t>LEKSAND</t>
        </is>
      </c>
      <c r="H8998" t="inlineStr">
        <is>
          <t>Bergvik skog väst AB</t>
        </is>
      </c>
      <c r="I8998" t="n">
        <v>3.7</v>
      </c>
      <c r="J8998" t="n">
        <v>0</v>
      </c>
      <c r="K8998" t="n">
        <v>0</v>
      </c>
      <c r="L8998" t="n">
        <v>0</v>
      </c>
      <c r="M8998" t="n">
        <v>0</v>
      </c>
      <c r="N8998" t="n">
        <v>0</v>
      </c>
      <c r="O8998" t="n">
        <v>0</v>
      </c>
      <c r="P8998" t="n">
        <v>0</v>
      </c>
      <c r="Q8998" t="n">
        <v>0</v>
      </c>
      <c r="R8998" t="n">
        <v>0</v>
      </c>
      <c r="S8998" t="n">
        <v>0</v>
      </c>
      <c r="T8998" t="n">
        <v>0</v>
      </c>
      <c r="U8998" t="n">
        <v>0</v>
      </c>
      <c r="V8998" s="2" t="inlineStr"/>
    </row>
    <row r="8999" ht="15" customHeight="1">
      <c r="A8999" t="inlineStr">
        <is>
          <t>A 40994-2024</t>
        </is>
      </c>
      <c r="B8999" t="inlineStr">
        <is>
          <t>avverkningsanmälan</t>
        </is>
      </c>
      <c r="C8999" t="inlineStr">
        <is>
          <t>Föryngringsavverkning</t>
        </is>
      </c>
      <c r="D8999" s="1" t="n">
        <v>45558</v>
      </c>
      <c r="E8999" s="1" t="n">
        <v>46319</v>
      </c>
      <c r="F8999" t="inlineStr">
        <is>
          <t>DALARNAS LÄN</t>
        </is>
      </c>
      <c r="G8999" t="inlineStr">
        <is>
          <t>RÄTTVIK</t>
        </is>
      </c>
      <c r="I8999" t="n">
        <v>2.3</v>
      </c>
      <c r="J8999" t="n">
        <v>0</v>
      </c>
      <c r="K8999" t="n">
        <v>0</v>
      </c>
      <c r="L8999" t="n">
        <v>0</v>
      </c>
      <c r="M8999" t="n">
        <v>0</v>
      </c>
      <c r="N8999" t="n">
        <v>0</v>
      </c>
      <c r="O8999" t="n">
        <v>0</v>
      </c>
      <c r="P8999" t="n">
        <v>0</v>
      </c>
      <c r="Q8999" t="n">
        <v>0</v>
      </c>
      <c r="R8999" t="n">
        <v>0</v>
      </c>
      <c r="S8999" t="n">
        <v>0</v>
      </c>
      <c r="T8999" t="n">
        <v>0</v>
      </c>
      <c r="U8999" t="n">
        <v>0</v>
      </c>
      <c r="V8999" s="2" t="inlineStr"/>
    </row>
    <row r="9000" ht="15" customHeight="1">
      <c r="A9000" t="inlineStr">
        <is>
          <t>A 13209-2022</t>
        </is>
      </c>
      <c r="B9000" t="inlineStr">
        <is>
          <t>avverkningsanmälan</t>
        </is>
      </c>
      <c r="C9000" t="inlineStr">
        <is>
          <t>Föryngringsavverkning</t>
        </is>
      </c>
      <c r="D9000" s="1" t="n">
        <v>44644</v>
      </c>
      <c r="E9000" s="1" t="n">
        <v>46319</v>
      </c>
      <c r="F9000" t="inlineStr">
        <is>
          <t>DALARNAS LÄN</t>
        </is>
      </c>
      <c r="G9000" t="inlineStr">
        <is>
          <t>ORSA</t>
        </is>
      </c>
      <c r="I9000" t="n">
        <v>0.5</v>
      </c>
      <c r="J9000" t="n">
        <v>0</v>
      </c>
      <c r="K9000" t="n">
        <v>0</v>
      </c>
      <c r="L9000" t="n">
        <v>0</v>
      </c>
      <c r="M9000" t="n">
        <v>0</v>
      </c>
      <c r="N9000" t="n">
        <v>0</v>
      </c>
      <c r="O9000" t="n">
        <v>0</v>
      </c>
      <c r="P9000" t="n">
        <v>0</v>
      </c>
      <c r="Q9000" t="n">
        <v>0</v>
      </c>
      <c r="R9000" t="n">
        <v>0</v>
      </c>
      <c r="S9000" t="n">
        <v>0</v>
      </c>
      <c r="T9000" t="n">
        <v>0</v>
      </c>
      <c r="U9000" t="n">
        <v>0</v>
      </c>
      <c r="V9000" s="2" t="inlineStr"/>
    </row>
    <row r="9001" ht="15" customHeight="1">
      <c r="A9001" t="inlineStr">
        <is>
          <t>A 5420-2024</t>
        </is>
      </c>
      <c r="B9001" t="inlineStr">
        <is>
          <t>avverkningsanmälan</t>
        </is>
      </c>
      <c r="C9001" t="inlineStr">
        <is>
          <t>Avverkning för annat ändamål</t>
        </is>
      </c>
      <c r="D9001" s="1" t="n">
        <v>45331</v>
      </c>
      <c r="E9001" s="1" t="n">
        <v>46319</v>
      </c>
      <c r="F9001" t="inlineStr">
        <is>
          <t>DALARNAS LÄN</t>
        </is>
      </c>
      <c r="G9001" t="inlineStr">
        <is>
          <t>VANSBRO</t>
        </is>
      </c>
      <c r="I9001" t="n">
        <v>1</v>
      </c>
      <c r="J9001" t="n">
        <v>0</v>
      </c>
      <c r="K9001" t="n">
        <v>0</v>
      </c>
      <c r="L9001" t="n">
        <v>0</v>
      </c>
      <c r="M9001" t="n">
        <v>0</v>
      </c>
      <c r="N9001" t="n">
        <v>0</v>
      </c>
      <c r="O9001" t="n">
        <v>0</v>
      </c>
      <c r="P9001" t="n">
        <v>0</v>
      </c>
      <c r="Q9001" t="n">
        <v>0</v>
      </c>
      <c r="R9001" t="n">
        <v>0</v>
      </c>
      <c r="S9001" t="n">
        <v>0</v>
      </c>
      <c r="T9001" t="n">
        <v>0</v>
      </c>
      <c r="U9001" t="n">
        <v>0</v>
      </c>
      <c r="V9001" s="2" t="inlineStr"/>
    </row>
    <row r="9002" ht="15" customHeight="1">
      <c r="A9002" t="inlineStr">
        <is>
          <t>A 55551-2024</t>
        </is>
      </c>
      <c r="B9002" t="inlineStr">
        <is>
          <t>avverkningsanmälan</t>
        </is>
      </c>
      <c r="C9002" t="inlineStr">
        <is>
          <t>Föryngringsavverkning</t>
        </is>
      </c>
      <c r="D9002" s="1" t="n">
        <v>45622</v>
      </c>
      <c r="E9002" s="1" t="n">
        <v>46319</v>
      </c>
      <c r="F9002" t="inlineStr">
        <is>
          <t>DALARNAS LÄN</t>
        </is>
      </c>
      <c r="G9002" t="inlineStr">
        <is>
          <t>LUDVIKA</t>
        </is>
      </c>
      <c r="H9002" t="inlineStr">
        <is>
          <t>Bergvik skog väst AB</t>
        </is>
      </c>
      <c r="I9002" t="n">
        <v>6.2</v>
      </c>
      <c r="J9002" t="n">
        <v>0</v>
      </c>
      <c r="K9002" t="n">
        <v>0</v>
      </c>
      <c r="L9002" t="n">
        <v>0</v>
      </c>
      <c r="M9002" t="n">
        <v>0</v>
      </c>
      <c r="N9002" t="n">
        <v>0</v>
      </c>
      <c r="O9002" t="n">
        <v>0</v>
      </c>
      <c r="P9002" t="n">
        <v>0</v>
      </c>
      <c r="Q9002" t="n">
        <v>0</v>
      </c>
      <c r="R9002" t="n">
        <v>0</v>
      </c>
      <c r="S9002" t="n">
        <v>0</v>
      </c>
      <c r="T9002" t="n">
        <v>0</v>
      </c>
      <c r="U9002" t="n">
        <v>0</v>
      </c>
      <c r="V9002" s="2" t="inlineStr"/>
    </row>
    <row r="9003" ht="15" customHeight="1">
      <c r="A9003" t="inlineStr">
        <is>
          <t>A 74322-2021</t>
        </is>
      </c>
      <c r="B9003" t="inlineStr">
        <is>
          <t>avverkningsanmälan</t>
        </is>
      </c>
      <c r="C9003" t="inlineStr">
        <is>
          <t>Föryngringsavverkning</t>
        </is>
      </c>
      <c r="D9003" s="1" t="n">
        <v>44558</v>
      </c>
      <c r="E9003" s="1" t="n">
        <v>46319</v>
      </c>
      <c r="F9003" t="inlineStr">
        <is>
          <t>DALARNAS LÄN</t>
        </is>
      </c>
      <c r="G9003" t="inlineStr">
        <is>
          <t>ÄLVDALEN</t>
        </is>
      </c>
      <c r="I9003" t="n">
        <v>1.2</v>
      </c>
      <c r="J9003" t="n">
        <v>0</v>
      </c>
      <c r="K9003" t="n">
        <v>0</v>
      </c>
      <c r="L9003" t="n">
        <v>0</v>
      </c>
      <c r="M9003" t="n">
        <v>0</v>
      </c>
      <c r="N9003" t="n">
        <v>0</v>
      </c>
      <c r="O9003" t="n">
        <v>0</v>
      </c>
      <c r="P9003" t="n">
        <v>0</v>
      </c>
      <c r="Q9003" t="n">
        <v>0</v>
      </c>
      <c r="R9003" t="n">
        <v>0</v>
      </c>
      <c r="S9003" t="n">
        <v>0</v>
      </c>
      <c r="T9003" t="n">
        <v>0</v>
      </c>
      <c r="U9003" t="n">
        <v>0</v>
      </c>
      <c r="V9003" s="2" t="inlineStr"/>
    </row>
    <row r="9004" ht="15" customHeight="1">
      <c r="A9004" t="inlineStr">
        <is>
          <t>A 8068-2024</t>
        </is>
      </c>
      <c r="B9004" t="inlineStr">
        <is>
          <t>avverkningsanmälan</t>
        </is>
      </c>
      <c r="C9004" t="inlineStr">
        <is>
          <t>Föryngringsavverkning</t>
        </is>
      </c>
      <c r="D9004" s="1" t="n">
        <v>45351</v>
      </c>
      <c r="E9004" s="1" t="n">
        <v>46319</v>
      </c>
      <c r="F9004" t="inlineStr">
        <is>
          <t>DALARNAS LÄN</t>
        </is>
      </c>
      <c r="G9004" t="inlineStr">
        <is>
          <t>MORA</t>
        </is>
      </c>
      <c r="I9004" t="n">
        <v>6.4</v>
      </c>
      <c r="J9004" t="n">
        <v>0</v>
      </c>
      <c r="K9004" t="n">
        <v>0</v>
      </c>
      <c r="L9004" t="n">
        <v>0</v>
      </c>
      <c r="M9004" t="n">
        <v>0</v>
      </c>
      <c r="N9004" t="n">
        <v>0</v>
      </c>
      <c r="O9004" t="n">
        <v>0</v>
      </c>
      <c r="P9004" t="n">
        <v>0</v>
      </c>
      <c r="Q9004" t="n">
        <v>0</v>
      </c>
      <c r="R9004" t="n">
        <v>0</v>
      </c>
      <c r="S9004" t="n">
        <v>0</v>
      </c>
      <c r="T9004" t="n">
        <v>0</v>
      </c>
      <c r="U9004" t="n">
        <v>0</v>
      </c>
      <c r="V9004" s="2" t="inlineStr"/>
    </row>
    <row r="9005" ht="15" customHeight="1">
      <c r="A9005" t="inlineStr">
        <is>
          <t>A 30414-2024</t>
        </is>
      </c>
      <c r="B9005" t="inlineStr">
        <is>
          <t>avverkningsanmälan</t>
        </is>
      </c>
      <c r="C9005" t="inlineStr">
        <is>
          <t>Föryngringsavverkning</t>
        </is>
      </c>
      <c r="D9005" s="1" t="n">
        <v>45491</v>
      </c>
      <c r="E9005" s="1" t="n">
        <v>46319</v>
      </c>
      <c r="F9005" t="inlineStr">
        <is>
          <t>DALARNAS LÄN</t>
        </is>
      </c>
      <c r="G9005" t="inlineStr">
        <is>
          <t>ÄLVDALEN</t>
        </is>
      </c>
      <c r="I9005" t="n">
        <v>0.7</v>
      </c>
      <c r="J9005" t="n">
        <v>0</v>
      </c>
      <c r="K9005" t="n">
        <v>0</v>
      </c>
      <c r="L9005" t="n">
        <v>0</v>
      </c>
      <c r="M9005" t="n">
        <v>0</v>
      </c>
      <c r="N9005" t="n">
        <v>0</v>
      </c>
      <c r="O9005" t="n">
        <v>0</v>
      </c>
      <c r="P9005" t="n">
        <v>0</v>
      </c>
      <c r="Q9005" t="n">
        <v>0</v>
      </c>
      <c r="R9005" t="n">
        <v>0</v>
      </c>
      <c r="S9005" t="n">
        <v>0</v>
      </c>
      <c r="T9005" t="n">
        <v>0</v>
      </c>
      <c r="U9005" t="n">
        <v>0</v>
      </c>
      <c r="V9005" s="2" t="inlineStr"/>
    </row>
    <row r="9006" ht="15" customHeight="1">
      <c r="A9006" t="inlineStr">
        <is>
          <t>A 31000-2024</t>
        </is>
      </c>
      <c r="B9006" t="inlineStr">
        <is>
          <t>avverkningsanmälan</t>
        </is>
      </c>
      <c r="C9006" t="inlineStr">
        <is>
          <t>Föryngringsavverkning</t>
        </is>
      </c>
      <c r="D9006" s="1" t="n">
        <v>45499</v>
      </c>
      <c r="E9006" s="1" t="n">
        <v>46319</v>
      </c>
      <c r="F9006" t="inlineStr">
        <is>
          <t>DALARNAS LÄN</t>
        </is>
      </c>
      <c r="G9006" t="inlineStr">
        <is>
          <t>AVESTA</t>
        </is>
      </c>
      <c r="H9006" t="inlineStr">
        <is>
          <t>Sveaskog</t>
        </is>
      </c>
      <c r="I9006" t="n">
        <v>2.2</v>
      </c>
      <c r="J9006" t="n">
        <v>0</v>
      </c>
      <c r="K9006" t="n">
        <v>0</v>
      </c>
      <c r="L9006" t="n">
        <v>0</v>
      </c>
      <c r="M9006" t="n">
        <v>0</v>
      </c>
      <c r="N9006" t="n">
        <v>0</v>
      </c>
      <c r="O9006" t="n">
        <v>0</v>
      </c>
      <c r="P9006" t="n">
        <v>0</v>
      </c>
      <c r="Q9006" t="n">
        <v>0</v>
      </c>
      <c r="R9006" t="n">
        <v>0</v>
      </c>
      <c r="S9006" t="n">
        <v>0</v>
      </c>
      <c r="T9006" t="n">
        <v>0</v>
      </c>
      <c r="U9006" t="n">
        <v>0</v>
      </c>
      <c r="V9006" s="2" t="inlineStr"/>
    </row>
    <row r="9007" ht="15" customHeight="1">
      <c r="A9007" t="inlineStr">
        <is>
          <t>A 60588-2024</t>
        </is>
      </c>
      <c r="B9007" t="inlineStr">
        <is>
          <t>avverkningsanmälan</t>
        </is>
      </c>
      <c r="C9007" t="inlineStr">
        <is>
          <t>Föryngringsavverkning</t>
        </is>
      </c>
      <c r="D9007" s="1" t="n">
        <v>45644</v>
      </c>
      <c r="E9007" s="1" t="n">
        <v>46319</v>
      </c>
      <c r="F9007" t="inlineStr">
        <is>
          <t>DALARNAS LÄN</t>
        </is>
      </c>
      <c r="G9007" t="inlineStr">
        <is>
          <t>RÄTTVIK</t>
        </is>
      </c>
      <c r="I9007" t="n">
        <v>1.8</v>
      </c>
      <c r="J9007" t="n">
        <v>0</v>
      </c>
      <c r="K9007" t="n">
        <v>0</v>
      </c>
      <c r="L9007" t="n">
        <v>0</v>
      </c>
      <c r="M9007" t="n">
        <v>0</v>
      </c>
      <c r="N9007" t="n">
        <v>0</v>
      </c>
      <c r="O9007" t="n">
        <v>0</v>
      </c>
      <c r="P9007" t="n">
        <v>0</v>
      </c>
      <c r="Q9007" t="n">
        <v>0</v>
      </c>
      <c r="R9007" t="n">
        <v>0</v>
      </c>
      <c r="S9007" t="n">
        <v>0</v>
      </c>
      <c r="T9007" t="n">
        <v>0</v>
      </c>
      <c r="U9007" t="n">
        <v>0</v>
      </c>
      <c r="V9007" s="2" t="inlineStr"/>
    </row>
    <row r="9008" ht="15" customHeight="1">
      <c r="A9008" t="inlineStr">
        <is>
          <t>A 60655-2024</t>
        </is>
      </c>
      <c r="B9008" t="inlineStr">
        <is>
          <t>avverkningsanmälan</t>
        </is>
      </c>
      <c r="C9008" t="inlineStr">
        <is>
          <t>Föryngringsavverkning</t>
        </is>
      </c>
      <c r="D9008" s="1" t="n">
        <v>45644</v>
      </c>
      <c r="E9008" s="1" t="n">
        <v>46319</v>
      </c>
      <c r="F9008" t="inlineStr">
        <is>
          <t>DALARNAS LÄN</t>
        </is>
      </c>
      <c r="G9008" t="inlineStr">
        <is>
          <t>SÄTER</t>
        </is>
      </c>
      <c r="I9008" t="n">
        <v>1.7</v>
      </c>
      <c r="J9008" t="n">
        <v>0</v>
      </c>
      <c r="K9008" t="n">
        <v>0</v>
      </c>
      <c r="L9008" t="n">
        <v>0</v>
      </c>
      <c r="M9008" t="n">
        <v>0</v>
      </c>
      <c r="N9008" t="n">
        <v>0</v>
      </c>
      <c r="O9008" t="n">
        <v>0</v>
      </c>
      <c r="P9008" t="n">
        <v>0</v>
      </c>
      <c r="Q9008" t="n">
        <v>0</v>
      </c>
      <c r="R9008" t="n">
        <v>0</v>
      </c>
      <c r="S9008" t="n">
        <v>0</v>
      </c>
      <c r="T9008" t="n">
        <v>0</v>
      </c>
      <c r="U9008" t="n">
        <v>0</v>
      </c>
      <c r="V9008" s="2" t="inlineStr"/>
    </row>
    <row r="9009" ht="15" customHeight="1">
      <c r="A9009" t="inlineStr">
        <is>
          <t>A 35943-2023</t>
        </is>
      </c>
      <c r="B9009" t="inlineStr">
        <is>
          <t>avverkningsanmälan</t>
        </is>
      </c>
      <c r="C9009" t="inlineStr">
        <is>
          <t>Avverkning för annat ändamål</t>
        </is>
      </c>
      <c r="D9009" s="1" t="n">
        <v>45148</v>
      </c>
      <c r="E9009" s="1" t="n">
        <v>46319</v>
      </c>
      <c r="F9009" t="inlineStr">
        <is>
          <t>DALARNAS LÄN</t>
        </is>
      </c>
      <c r="G9009" t="inlineStr">
        <is>
          <t>FALUN</t>
        </is>
      </c>
      <c r="I9009" t="n">
        <v>0.5</v>
      </c>
      <c r="J9009" t="n">
        <v>0</v>
      </c>
      <c r="K9009" t="n">
        <v>0</v>
      </c>
      <c r="L9009" t="n">
        <v>0</v>
      </c>
      <c r="M9009" t="n">
        <v>0</v>
      </c>
      <c r="N9009" t="n">
        <v>0</v>
      </c>
      <c r="O9009" t="n">
        <v>0</v>
      </c>
      <c r="P9009" t="n">
        <v>0</v>
      </c>
      <c r="Q9009" t="n">
        <v>0</v>
      </c>
      <c r="R9009" t="n">
        <v>0</v>
      </c>
      <c r="S9009" t="n">
        <v>0</v>
      </c>
      <c r="T9009" t="n">
        <v>0</v>
      </c>
      <c r="U9009" t="n">
        <v>0</v>
      </c>
      <c r="V9009" s="2" t="inlineStr"/>
    </row>
    <row r="9010" ht="15" customHeight="1">
      <c r="A9010" t="inlineStr">
        <is>
          <t>A 29438-2023</t>
        </is>
      </c>
      <c r="B9010" t="inlineStr">
        <is>
          <t>avverkningsanmälan</t>
        </is>
      </c>
      <c r="C9010" t="inlineStr">
        <is>
          <t>Avverkning för att bevara och utveckla /försöksver</t>
        </is>
      </c>
      <c r="D9010" s="1" t="n">
        <v>45106</v>
      </c>
      <c r="E9010" s="1" t="n">
        <v>46319</v>
      </c>
      <c r="F9010" t="inlineStr">
        <is>
          <t>DALARNAS LÄN</t>
        </is>
      </c>
      <c r="G9010" t="inlineStr">
        <is>
          <t>SMEDJEBACKEN</t>
        </is>
      </c>
      <c r="H9010" t="inlineStr">
        <is>
          <t>Sveaskog</t>
        </is>
      </c>
      <c r="I9010" t="n">
        <v>1.5</v>
      </c>
      <c r="J9010" t="n">
        <v>0</v>
      </c>
      <c r="K9010" t="n">
        <v>0</v>
      </c>
      <c r="L9010" t="n">
        <v>0</v>
      </c>
      <c r="M9010" t="n">
        <v>0</v>
      </c>
      <c r="N9010" t="n">
        <v>0</v>
      </c>
      <c r="O9010" t="n">
        <v>0</v>
      </c>
      <c r="P9010" t="n">
        <v>0</v>
      </c>
      <c r="Q9010" t="n">
        <v>0</v>
      </c>
      <c r="R9010" t="n">
        <v>0</v>
      </c>
      <c r="S9010" t="n">
        <v>0</v>
      </c>
      <c r="T9010" t="n">
        <v>0</v>
      </c>
      <c r="U9010" t="n">
        <v>0</v>
      </c>
      <c r="V9010" s="2" t="inlineStr"/>
    </row>
    <row r="9011" ht="15" customHeight="1">
      <c r="A9011" t="inlineStr">
        <is>
          <t>A 52100-2024</t>
        </is>
      </c>
      <c r="B9011" t="inlineStr">
        <is>
          <t>avverkningsanmälan</t>
        </is>
      </c>
      <c r="C9011" t="inlineStr">
        <is>
          <t>Avverkning för annat ändamål</t>
        </is>
      </c>
      <c r="D9011" s="1" t="n">
        <v>45608</v>
      </c>
      <c r="E9011" s="1" t="n">
        <v>46319</v>
      </c>
      <c r="F9011" t="inlineStr">
        <is>
          <t>DALARNAS LÄN</t>
        </is>
      </c>
      <c r="G9011" t="inlineStr">
        <is>
          <t>LEKSAND</t>
        </is>
      </c>
      <c r="I9011" t="n">
        <v>1.9</v>
      </c>
      <c r="J9011" t="n">
        <v>0</v>
      </c>
      <c r="K9011" t="n">
        <v>0</v>
      </c>
      <c r="L9011" t="n">
        <v>0</v>
      </c>
      <c r="M9011" t="n">
        <v>0</v>
      </c>
      <c r="N9011" t="n">
        <v>0</v>
      </c>
      <c r="O9011" t="n">
        <v>0</v>
      </c>
      <c r="P9011" t="n">
        <v>0</v>
      </c>
      <c r="Q9011" t="n">
        <v>0</v>
      </c>
      <c r="R9011" t="n">
        <v>0</v>
      </c>
      <c r="S9011" t="n">
        <v>0</v>
      </c>
      <c r="T9011" t="n">
        <v>0</v>
      </c>
      <c r="U9011" t="n">
        <v>0</v>
      </c>
      <c r="V9011" s="2" t="inlineStr"/>
    </row>
    <row r="9012" ht="15" customHeight="1">
      <c r="A9012" t="inlineStr">
        <is>
          <t>A 19197-2023</t>
        </is>
      </c>
      <c r="B9012" t="inlineStr">
        <is>
          <t>avverkningsanmälan</t>
        </is>
      </c>
      <c r="C9012" t="inlineStr">
        <is>
          <t>Föryngringsavverkning</t>
        </is>
      </c>
      <c r="D9012" s="1" t="n">
        <v>45048</v>
      </c>
      <c r="E9012" s="1" t="n">
        <v>46319</v>
      </c>
      <c r="F9012" t="inlineStr">
        <is>
          <t>DALARNAS LÄN</t>
        </is>
      </c>
      <c r="G9012" t="inlineStr">
        <is>
          <t>GAGNEF</t>
        </is>
      </c>
      <c r="I9012" t="n">
        <v>0.5</v>
      </c>
      <c r="J9012" t="n">
        <v>0</v>
      </c>
      <c r="K9012" t="n">
        <v>0</v>
      </c>
      <c r="L9012" t="n">
        <v>0</v>
      </c>
      <c r="M9012" t="n">
        <v>0</v>
      </c>
      <c r="N9012" t="n">
        <v>0</v>
      </c>
      <c r="O9012" t="n">
        <v>0</v>
      </c>
      <c r="P9012" t="n">
        <v>0</v>
      </c>
      <c r="Q9012" t="n">
        <v>0</v>
      </c>
      <c r="R9012" t="n">
        <v>0</v>
      </c>
      <c r="S9012" t="n">
        <v>0</v>
      </c>
      <c r="T9012" t="n">
        <v>0</v>
      </c>
      <c r="U9012" t="n">
        <v>0</v>
      </c>
      <c r="V9012" s="2" t="inlineStr"/>
    </row>
    <row r="9013" ht="15" customHeight="1">
      <c r="A9013" t="inlineStr">
        <is>
          <t>A 56510-2024</t>
        </is>
      </c>
      <c r="B9013" t="inlineStr">
        <is>
          <t>avverkningsanmälan</t>
        </is>
      </c>
      <c r="C9013" t="inlineStr">
        <is>
          <t>Avverkning för att bevara och utveckla /försöksver</t>
        </is>
      </c>
      <c r="D9013" s="1" t="n">
        <v>45625</v>
      </c>
      <c r="E9013" s="1" t="n">
        <v>46319</v>
      </c>
      <c r="F9013" t="inlineStr">
        <is>
          <t>DALARNAS LÄN</t>
        </is>
      </c>
      <c r="G9013" t="inlineStr">
        <is>
          <t>SMEDJEBACKEN</t>
        </is>
      </c>
      <c r="H9013" t="inlineStr">
        <is>
          <t>Sveaskog</t>
        </is>
      </c>
      <c r="I9013" t="n">
        <v>2.4</v>
      </c>
      <c r="J9013" t="n">
        <v>0</v>
      </c>
      <c r="K9013" t="n">
        <v>0</v>
      </c>
      <c r="L9013" t="n">
        <v>0</v>
      </c>
      <c r="M9013" t="n">
        <v>0</v>
      </c>
      <c r="N9013" t="n">
        <v>0</v>
      </c>
      <c r="O9013" t="n">
        <v>0</v>
      </c>
      <c r="P9013" t="n">
        <v>0</v>
      </c>
      <c r="Q9013" t="n">
        <v>0</v>
      </c>
      <c r="R9013" t="n">
        <v>0</v>
      </c>
      <c r="S9013" t="n">
        <v>0</v>
      </c>
      <c r="T9013" t="n">
        <v>0</v>
      </c>
      <c r="U9013" t="n">
        <v>0</v>
      </c>
      <c r="V9013" s="2" t="inlineStr"/>
    </row>
    <row r="9014" ht="15" customHeight="1">
      <c r="A9014" t="inlineStr">
        <is>
          <t>A 56587-2024</t>
        </is>
      </c>
      <c r="B9014" t="inlineStr">
        <is>
          <t>avverkningsanmälan</t>
        </is>
      </c>
      <c r="C9014" t="inlineStr">
        <is>
          <t>Föryngringsavverkning</t>
        </is>
      </c>
      <c r="D9014" s="1" t="n">
        <v>45625</v>
      </c>
      <c r="E9014" s="1" t="n">
        <v>46319</v>
      </c>
      <c r="F9014" t="inlineStr">
        <is>
          <t>DALARNAS LÄN</t>
        </is>
      </c>
      <c r="G9014" t="inlineStr">
        <is>
          <t>FALUN</t>
        </is>
      </c>
      <c r="H9014" t="inlineStr">
        <is>
          <t>Bergvik skog väst AB</t>
        </is>
      </c>
      <c r="I9014" t="n">
        <v>2.9</v>
      </c>
      <c r="J9014" t="n">
        <v>0</v>
      </c>
      <c r="K9014" t="n">
        <v>0</v>
      </c>
      <c r="L9014" t="n">
        <v>0</v>
      </c>
      <c r="M9014" t="n">
        <v>0</v>
      </c>
      <c r="N9014" t="n">
        <v>0</v>
      </c>
      <c r="O9014" t="n">
        <v>0</v>
      </c>
      <c r="P9014" t="n">
        <v>0</v>
      </c>
      <c r="Q9014" t="n">
        <v>0</v>
      </c>
      <c r="R9014" t="n">
        <v>0</v>
      </c>
      <c r="S9014" t="n">
        <v>0</v>
      </c>
      <c r="T9014" t="n">
        <v>0</v>
      </c>
      <c r="U9014" t="n">
        <v>0</v>
      </c>
      <c r="V9014" s="2" t="inlineStr"/>
    </row>
    <row r="9015" ht="15" customHeight="1">
      <c r="A9015" t="inlineStr">
        <is>
          <t>A 31726-2024</t>
        </is>
      </c>
      <c r="B9015" t="inlineStr">
        <is>
          <t>avverkningsanmälan</t>
        </is>
      </c>
      <c r="C9015" t="inlineStr">
        <is>
          <t>Föryngringsavverkning</t>
        </is>
      </c>
      <c r="D9015" s="1" t="n">
        <v>45509</v>
      </c>
      <c r="E9015" s="1" t="n">
        <v>46319</v>
      </c>
      <c r="F9015" t="inlineStr">
        <is>
          <t>DALARNAS LÄN</t>
        </is>
      </c>
      <c r="G9015" t="inlineStr">
        <is>
          <t>LEKSAND</t>
        </is>
      </c>
      <c r="I9015" t="n">
        <v>1.1</v>
      </c>
      <c r="J9015" t="n">
        <v>0</v>
      </c>
      <c r="K9015" t="n">
        <v>0</v>
      </c>
      <c r="L9015" t="n">
        <v>0</v>
      </c>
      <c r="M9015" t="n">
        <v>0</v>
      </c>
      <c r="N9015" t="n">
        <v>0</v>
      </c>
      <c r="O9015" t="n">
        <v>0</v>
      </c>
      <c r="P9015" t="n">
        <v>0</v>
      </c>
      <c r="Q9015" t="n">
        <v>0</v>
      </c>
      <c r="R9015" t="n">
        <v>0</v>
      </c>
      <c r="S9015" t="n">
        <v>0</v>
      </c>
      <c r="T9015" t="n">
        <v>0</v>
      </c>
      <c r="U9015" t="n">
        <v>0</v>
      </c>
      <c r="V9015" s="2" t="inlineStr"/>
    </row>
    <row r="9016" ht="15" customHeight="1">
      <c r="A9016" t="inlineStr">
        <is>
          <t>A 44520-2023</t>
        </is>
      </c>
      <c r="B9016" t="inlineStr">
        <is>
          <t>avverkningsanmälan</t>
        </is>
      </c>
      <c r="C9016" t="inlineStr">
        <is>
          <t>Föryngringsavverkning</t>
        </is>
      </c>
      <c r="D9016" s="1" t="n">
        <v>45189</v>
      </c>
      <c r="E9016" s="1" t="n">
        <v>46319</v>
      </c>
      <c r="F9016" t="inlineStr">
        <is>
          <t>DALARNAS LÄN</t>
        </is>
      </c>
      <c r="G9016" t="inlineStr">
        <is>
          <t>LUDVIKA</t>
        </is>
      </c>
      <c r="I9016" t="n">
        <v>0.7</v>
      </c>
      <c r="J9016" t="n">
        <v>0</v>
      </c>
      <c r="K9016" t="n">
        <v>0</v>
      </c>
      <c r="L9016" t="n">
        <v>0</v>
      </c>
      <c r="M9016" t="n">
        <v>0</v>
      </c>
      <c r="N9016" t="n">
        <v>0</v>
      </c>
      <c r="O9016" t="n">
        <v>0</v>
      </c>
      <c r="P9016" t="n">
        <v>0</v>
      </c>
      <c r="Q9016" t="n">
        <v>0</v>
      </c>
      <c r="R9016" t="n">
        <v>0</v>
      </c>
      <c r="S9016" t="n">
        <v>0</v>
      </c>
      <c r="T9016" t="n">
        <v>0</v>
      </c>
      <c r="U9016" t="n">
        <v>0</v>
      </c>
      <c r="V9016" s="2" t="inlineStr"/>
    </row>
    <row r="9017" ht="15" customHeight="1">
      <c r="A9017" t="inlineStr">
        <is>
          <t>A 45045-2023</t>
        </is>
      </c>
      <c r="B9017" t="inlineStr">
        <is>
          <t>avverkningsanmälan</t>
        </is>
      </c>
      <c r="C9017" t="inlineStr">
        <is>
          <t>Föryngringsavverkning</t>
        </is>
      </c>
      <c r="D9017" s="1" t="n">
        <v>45191</v>
      </c>
      <c r="E9017" s="1" t="n">
        <v>46319</v>
      </c>
      <c r="F9017" t="inlineStr">
        <is>
          <t>DALARNAS LÄN</t>
        </is>
      </c>
      <c r="G9017" t="inlineStr">
        <is>
          <t>LUDVIKA</t>
        </is>
      </c>
      <c r="H9017" t="inlineStr">
        <is>
          <t>Sveaskog</t>
        </is>
      </c>
      <c r="I9017" t="n">
        <v>3.2</v>
      </c>
      <c r="J9017" t="n">
        <v>0</v>
      </c>
      <c r="K9017" t="n">
        <v>0</v>
      </c>
      <c r="L9017" t="n">
        <v>0</v>
      </c>
      <c r="M9017" t="n">
        <v>0</v>
      </c>
      <c r="N9017" t="n">
        <v>0</v>
      </c>
      <c r="O9017" t="n">
        <v>0</v>
      </c>
      <c r="P9017" t="n">
        <v>0</v>
      </c>
      <c r="Q9017" t="n">
        <v>0</v>
      </c>
      <c r="R9017" t="n">
        <v>0</v>
      </c>
      <c r="S9017" t="n">
        <v>0</v>
      </c>
      <c r="T9017" t="n">
        <v>0</v>
      </c>
      <c r="U9017" t="n">
        <v>0</v>
      </c>
      <c r="V9017" s="2" t="inlineStr"/>
    </row>
    <row r="9018" ht="15" customHeight="1">
      <c r="A9018" t="inlineStr">
        <is>
          <t>A 56350-2024</t>
        </is>
      </c>
      <c r="B9018" t="inlineStr">
        <is>
          <t>avverkningsanmälan</t>
        </is>
      </c>
      <c r="C9018" t="inlineStr">
        <is>
          <t>Föryngringsavverkning</t>
        </is>
      </c>
      <c r="D9018" s="1" t="n">
        <v>45624</v>
      </c>
      <c r="E9018" s="1" t="n">
        <v>46319</v>
      </c>
      <c r="F9018" t="inlineStr">
        <is>
          <t>DALARNAS LÄN</t>
        </is>
      </c>
      <c r="G9018" t="inlineStr">
        <is>
          <t>BORLÄNGE</t>
        </is>
      </c>
      <c r="I9018" t="n">
        <v>2.8</v>
      </c>
      <c r="J9018" t="n">
        <v>0</v>
      </c>
      <c r="K9018" t="n">
        <v>0</v>
      </c>
      <c r="L9018" t="n">
        <v>0</v>
      </c>
      <c r="M9018" t="n">
        <v>0</v>
      </c>
      <c r="N9018" t="n">
        <v>0</v>
      </c>
      <c r="O9018" t="n">
        <v>0</v>
      </c>
      <c r="P9018" t="n">
        <v>0</v>
      </c>
      <c r="Q9018" t="n">
        <v>0</v>
      </c>
      <c r="R9018" t="n">
        <v>0</v>
      </c>
      <c r="S9018" t="n">
        <v>0</v>
      </c>
      <c r="T9018" t="n">
        <v>0</v>
      </c>
      <c r="U9018" t="n">
        <v>0</v>
      </c>
      <c r="V9018" s="2" t="inlineStr"/>
    </row>
    <row r="9019" ht="15" customHeight="1">
      <c r="A9019" t="inlineStr">
        <is>
          <t>A 45114-2023</t>
        </is>
      </c>
      <c r="B9019" t="inlineStr">
        <is>
          <t>avverkningsanmälan</t>
        </is>
      </c>
      <c r="C9019" t="inlineStr">
        <is>
          <t>Föryngringsavverkning</t>
        </is>
      </c>
      <c r="D9019" s="1" t="n">
        <v>45191</v>
      </c>
      <c r="E9019" s="1" t="n">
        <v>46319</v>
      </c>
      <c r="F9019" t="inlineStr">
        <is>
          <t>DALARNAS LÄN</t>
        </is>
      </c>
      <c r="G9019" t="inlineStr">
        <is>
          <t>SMEDJEBACKEN</t>
        </is>
      </c>
      <c r="H9019" t="inlineStr">
        <is>
          <t>Sveaskog</t>
        </is>
      </c>
      <c r="I9019" t="n">
        <v>3.4</v>
      </c>
      <c r="J9019" t="n">
        <v>0</v>
      </c>
      <c r="K9019" t="n">
        <v>0</v>
      </c>
      <c r="L9019" t="n">
        <v>0</v>
      </c>
      <c r="M9019" t="n">
        <v>0</v>
      </c>
      <c r="N9019" t="n">
        <v>0</v>
      </c>
      <c r="O9019" t="n">
        <v>0</v>
      </c>
      <c r="P9019" t="n">
        <v>0</v>
      </c>
      <c r="Q9019" t="n">
        <v>0</v>
      </c>
      <c r="R9019" t="n">
        <v>0</v>
      </c>
      <c r="S9019" t="n">
        <v>0</v>
      </c>
      <c r="T9019" t="n">
        <v>0</v>
      </c>
      <c r="U9019" t="n">
        <v>0</v>
      </c>
      <c r="V9019" s="2" t="inlineStr"/>
    </row>
    <row r="9020" ht="15" customHeight="1">
      <c r="A9020" t="inlineStr">
        <is>
          <t>A 12704-2022</t>
        </is>
      </c>
      <c r="B9020" t="inlineStr">
        <is>
          <t>avverkningsanmälan</t>
        </is>
      </c>
      <c r="C9020" t="inlineStr">
        <is>
          <t>Föryngringsavverkning</t>
        </is>
      </c>
      <c r="D9020" s="1" t="n">
        <v>44641</v>
      </c>
      <c r="E9020" s="1" t="n">
        <v>46319</v>
      </c>
      <c r="F9020" t="inlineStr">
        <is>
          <t>DALARNAS LÄN</t>
        </is>
      </c>
      <c r="G9020" t="inlineStr">
        <is>
          <t>ORSA</t>
        </is>
      </c>
      <c r="I9020" t="n">
        <v>2.4</v>
      </c>
      <c r="J9020" t="n">
        <v>0</v>
      </c>
      <c r="K9020" t="n">
        <v>0</v>
      </c>
      <c r="L9020" t="n">
        <v>0</v>
      </c>
      <c r="M9020" t="n">
        <v>0</v>
      </c>
      <c r="N9020" t="n">
        <v>0</v>
      </c>
      <c r="O9020" t="n">
        <v>0</v>
      </c>
      <c r="P9020" t="n">
        <v>0</v>
      </c>
      <c r="Q9020" t="n">
        <v>0</v>
      </c>
      <c r="R9020" t="n">
        <v>0</v>
      </c>
      <c r="S9020" t="n">
        <v>0</v>
      </c>
      <c r="T9020" t="n">
        <v>0</v>
      </c>
      <c r="U9020" t="n">
        <v>0</v>
      </c>
      <c r="V9020" s="2" t="inlineStr"/>
    </row>
    <row r="9021" ht="15" customHeight="1">
      <c r="A9021" t="inlineStr">
        <is>
          <t>A 50258-2024</t>
        </is>
      </c>
      <c r="B9021" t="inlineStr">
        <is>
          <t>avverkningsanmälan</t>
        </is>
      </c>
      <c r="C9021" t="inlineStr">
        <is>
          <t>Föryngringsavverkning</t>
        </is>
      </c>
      <c r="D9021" s="1" t="n">
        <v>45600</v>
      </c>
      <c r="E9021" s="1" t="n">
        <v>46319</v>
      </c>
      <c r="F9021" t="inlineStr">
        <is>
          <t>DALARNAS LÄN</t>
        </is>
      </c>
      <c r="G9021" t="inlineStr">
        <is>
          <t>VANSBRO</t>
        </is>
      </c>
      <c r="H9021" t="inlineStr">
        <is>
          <t>Bergvik skog öst AB</t>
        </is>
      </c>
      <c r="I9021" t="n">
        <v>45.8</v>
      </c>
      <c r="J9021" t="n">
        <v>0</v>
      </c>
      <c r="K9021" t="n">
        <v>0</v>
      </c>
      <c r="L9021" t="n">
        <v>0</v>
      </c>
      <c r="M9021" t="n">
        <v>0</v>
      </c>
      <c r="N9021" t="n">
        <v>0</v>
      </c>
      <c r="O9021" t="n">
        <v>0</v>
      </c>
      <c r="P9021" t="n">
        <v>0</v>
      </c>
      <c r="Q9021" t="n">
        <v>0</v>
      </c>
      <c r="R9021" t="n">
        <v>0</v>
      </c>
      <c r="S9021" t="n">
        <v>0</v>
      </c>
      <c r="T9021" t="n">
        <v>0</v>
      </c>
      <c r="U9021" t="n">
        <v>0</v>
      </c>
      <c r="V9021" s="2" t="inlineStr"/>
    </row>
    <row r="9022" ht="15" customHeight="1">
      <c r="A9022" t="inlineStr">
        <is>
          <t>A 15635-2022</t>
        </is>
      </c>
      <c r="B9022" t="inlineStr">
        <is>
          <t>avverkningsanmälan</t>
        </is>
      </c>
      <c r="C9022" t="inlineStr">
        <is>
          <t>Föryngringsavverkning</t>
        </is>
      </c>
      <c r="D9022" s="1" t="n">
        <v>44662</v>
      </c>
      <c r="E9022" s="1" t="n">
        <v>46319</v>
      </c>
      <c r="F9022" t="inlineStr">
        <is>
          <t>DALARNAS LÄN</t>
        </is>
      </c>
      <c r="G9022" t="inlineStr">
        <is>
          <t>HEDEMORA</t>
        </is>
      </c>
      <c r="H9022" t="inlineStr">
        <is>
          <t>Bergvik skog väst AB</t>
        </is>
      </c>
      <c r="I9022" t="n">
        <v>2.3</v>
      </c>
      <c r="J9022" t="n">
        <v>0</v>
      </c>
      <c r="K9022" t="n">
        <v>0</v>
      </c>
      <c r="L9022" t="n">
        <v>0</v>
      </c>
      <c r="M9022" t="n">
        <v>0</v>
      </c>
      <c r="N9022" t="n">
        <v>0</v>
      </c>
      <c r="O9022" t="n">
        <v>0</v>
      </c>
      <c r="P9022" t="n">
        <v>0</v>
      </c>
      <c r="Q9022" t="n">
        <v>0</v>
      </c>
      <c r="R9022" t="n">
        <v>0</v>
      </c>
      <c r="S9022" t="n">
        <v>0</v>
      </c>
      <c r="T9022" t="n">
        <v>0</v>
      </c>
      <c r="U9022" t="n">
        <v>0</v>
      </c>
      <c r="V9022" s="2" t="inlineStr"/>
    </row>
    <row r="9023" ht="15" customHeight="1">
      <c r="A9023" t="inlineStr">
        <is>
          <t>A 55510-2024</t>
        </is>
      </c>
      <c r="B9023" t="inlineStr">
        <is>
          <t>avverkningsanmälan</t>
        </is>
      </c>
      <c r="C9023" t="inlineStr">
        <is>
          <t>Föryngringsavverkning</t>
        </is>
      </c>
      <c r="D9023" s="1" t="n">
        <v>45622</v>
      </c>
      <c r="E9023" s="1" t="n">
        <v>46319</v>
      </c>
      <c r="F9023" t="inlineStr">
        <is>
          <t>DALARNAS LÄN</t>
        </is>
      </c>
      <c r="G9023" t="inlineStr">
        <is>
          <t>LUDVIKA</t>
        </is>
      </c>
      <c r="H9023" t="inlineStr">
        <is>
          <t>Naturvårdsverket</t>
        </is>
      </c>
      <c r="I9023" t="n">
        <v>3.8</v>
      </c>
      <c r="J9023" t="n">
        <v>0</v>
      </c>
      <c r="K9023" t="n">
        <v>0</v>
      </c>
      <c r="L9023" t="n">
        <v>0</v>
      </c>
      <c r="M9023" t="n">
        <v>0</v>
      </c>
      <c r="N9023" t="n">
        <v>0</v>
      </c>
      <c r="O9023" t="n">
        <v>0</v>
      </c>
      <c r="P9023" t="n">
        <v>0</v>
      </c>
      <c r="Q9023" t="n">
        <v>0</v>
      </c>
      <c r="R9023" t="n">
        <v>0</v>
      </c>
      <c r="S9023" t="n">
        <v>0</v>
      </c>
      <c r="T9023" t="n">
        <v>0</v>
      </c>
      <c r="U9023" t="n">
        <v>0</v>
      </c>
      <c r="V9023" s="2" t="inlineStr"/>
    </row>
    <row r="9024" ht="15" customHeight="1">
      <c r="A9024" t="inlineStr">
        <is>
          <t>A 24729-2023</t>
        </is>
      </c>
      <c r="B9024" t="inlineStr">
        <is>
          <t>avverkningsanmälan</t>
        </is>
      </c>
      <c r="C9024" t="inlineStr">
        <is>
          <t>Föryngringsavverkning</t>
        </is>
      </c>
      <c r="D9024" s="1" t="n">
        <v>45084</v>
      </c>
      <c r="E9024" s="1" t="n">
        <v>46319</v>
      </c>
      <c r="F9024" t="inlineStr">
        <is>
          <t>DALARNAS LÄN</t>
        </is>
      </c>
      <c r="G9024" t="inlineStr">
        <is>
          <t>FALUN</t>
        </is>
      </c>
      <c r="I9024" t="n">
        <v>0.3</v>
      </c>
      <c r="J9024" t="n">
        <v>0</v>
      </c>
      <c r="K9024" t="n">
        <v>0</v>
      </c>
      <c r="L9024" t="n">
        <v>0</v>
      </c>
      <c r="M9024" t="n">
        <v>0</v>
      </c>
      <c r="N9024" t="n">
        <v>0</v>
      </c>
      <c r="O9024" t="n">
        <v>0</v>
      </c>
      <c r="P9024" t="n">
        <v>0</v>
      </c>
      <c r="Q9024" t="n">
        <v>0</v>
      </c>
      <c r="R9024" t="n">
        <v>0</v>
      </c>
      <c r="S9024" t="n">
        <v>0</v>
      </c>
      <c r="T9024" t="n">
        <v>0</v>
      </c>
      <c r="U9024" t="n">
        <v>0</v>
      </c>
      <c r="V9024" s="2" t="inlineStr"/>
    </row>
    <row r="9025" ht="15" customHeight="1">
      <c r="A9025" t="inlineStr">
        <is>
          <t>A 49045-2024</t>
        </is>
      </c>
      <c r="B9025" t="inlineStr">
        <is>
          <t>avverkningsanmälan</t>
        </is>
      </c>
      <c r="C9025" t="inlineStr">
        <is>
          <t>Föryngringsavverkning</t>
        </is>
      </c>
      <c r="D9025" s="1" t="n">
        <v>45594</v>
      </c>
      <c r="E9025" s="1" t="n">
        <v>46319</v>
      </c>
      <c r="F9025" t="inlineStr">
        <is>
          <t>DALARNAS LÄN</t>
        </is>
      </c>
      <c r="G9025" t="inlineStr">
        <is>
          <t>LUDVIKA</t>
        </is>
      </c>
      <c r="H9025" t="inlineStr">
        <is>
          <t>Naturvårdsverket</t>
        </is>
      </c>
      <c r="I9025" t="n">
        <v>2</v>
      </c>
      <c r="J9025" t="n">
        <v>0</v>
      </c>
      <c r="K9025" t="n">
        <v>0</v>
      </c>
      <c r="L9025" t="n">
        <v>0</v>
      </c>
      <c r="M9025" t="n">
        <v>0</v>
      </c>
      <c r="N9025" t="n">
        <v>0</v>
      </c>
      <c r="O9025" t="n">
        <v>0</v>
      </c>
      <c r="P9025" t="n">
        <v>0</v>
      </c>
      <c r="Q9025" t="n">
        <v>0</v>
      </c>
      <c r="R9025" t="n">
        <v>0</v>
      </c>
      <c r="S9025" t="n">
        <v>0</v>
      </c>
      <c r="T9025" t="n">
        <v>0</v>
      </c>
      <c r="U9025" t="n">
        <v>0</v>
      </c>
      <c r="V9025" s="2" t="inlineStr"/>
    </row>
    <row r="9026" ht="15" customHeight="1">
      <c r="A9026" t="inlineStr">
        <is>
          <t>A 52059-2024</t>
        </is>
      </c>
      <c r="B9026" t="inlineStr">
        <is>
          <t>avverkningsanmälan</t>
        </is>
      </c>
      <c r="C9026" t="inlineStr">
        <is>
          <t>Föryngringsavverkning</t>
        </is>
      </c>
      <c r="D9026" s="1" t="n">
        <v>45608</v>
      </c>
      <c r="E9026" s="1" t="n">
        <v>46319</v>
      </c>
      <c r="F9026" t="inlineStr">
        <is>
          <t>DALARNAS LÄN</t>
        </is>
      </c>
      <c r="G9026" t="inlineStr">
        <is>
          <t>LEKSAND</t>
        </is>
      </c>
      <c r="I9026" t="n">
        <v>0.8</v>
      </c>
      <c r="J9026" t="n">
        <v>0</v>
      </c>
      <c r="K9026" t="n">
        <v>0</v>
      </c>
      <c r="L9026" t="n">
        <v>0</v>
      </c>
      <c r="M9026" t="n">
        <v>0</v>
      </c>
      <c r="N9026" t="n">
        <v>0</v>
      </c>
      <c r="O9026" t="n">
        <v>0</v>
      </c>
      <c r="P9026" t="n">
        <v>0</v>
      </c>
      <c r="Q9026" t="n">
        <v>0</v>
      </c>
      <c r="R9026" t="n">
        <v>0</v>
      </c>
      <c r="S9026" t="n">
        <v>0</v>
      </c>
      <c r="T9026" t="n">
        <v>0</v>
      </c>
      <c r="U9026" t="n">
        <v>0</v>
      </c>
      <c r="V9026" s="2" t="inlineStr"/>
    </row>
    <row r="9027" ht="15" customHeight="1">
      <c r="A9027" t="inlineStr">
        <is>
          <t>A 12992-2022</t>
        </is>
      </c>
      <c r="B9027" t="inlineStr">
        <is>
          <t>avverkningsanmälan</t>
        </is>
      </c>
      <c r="C9027" t="inlineStr">
        <is>
          <t>Avverkning för att bevara och utveckla /försöksver</t>
        </is>
      </c>
      <c r="D9027" s="1" t="n">
        <v>44643</v>
      </c>
      <c r="E9027" s="1" t="n">
        <v>46319</v>
      </c>
      <c r="F9027" t="inlineStr">
        <is>
          <t>DALARNAS LÄN</t>
        </is>
      </c>
      <c r="G9027" t="inlineStr">
        <is>
          <t>LEKSAND</t>
        </is>
      </c>
      <c r="I9027" t="n">
        <v>1.5</v>
      </c>
      <c r="J9027" t="n">
        <v>0</v>
      </c>
      <c r="K9027" t="n">
        <v>0</v>
      </c>
      <c r="L9027" t="n">
        <v>0</v>
      </c>
      <c r="M9027" t="n">
        <v>0</v>
      </c>
      <c r="N9027" t="n">
        <v>0</v>
      </c>
      <c r="O9027" t="n">
        <v>0</v>
      </c>
      <c r="P9027" t="n">
        <v>0</v>
      </c>
      <c r="Q9027" t="n">
        <v>0</v>
      </c>
      <c r="R9027" t="n">
        <v>0</v>
      </c>
      <c r="S9027" t="n">
        <v>0</v>
      </c>
      <c r="T9027" t="n">
        <v>0</v>
      </c>
      <c r="U9027" t="n">
        <v>0</v>
      </c>
      <c r="V9027" s="2" t="inlineStr"/>
    </row>
    <row r="9028" ht="15" customHeight="1">
      <c r="A9028" t="inlineStr">
        <is>
          <t>A 46620-2023</t>
        </is>
      </c>
      <c r="B9028" t="inlineStr">
        <is>
          <t>avverkningsanmälan</t>
        </is>
      </c>
      <c r="C9028" t="inlineStr">
        <is>
          <t>Föryngringsavverkning</t>
        </is>
      </c>
      <c r="D9028" s="1" t="n">
        <v>45198</v>
      </c>
      <c r="E9028" s="1" t="n">
        <v>46319</v>
      </c>
      <c r="F9028" t="inlineStr">
        <is>
          <t>DALARNAS LÄN</t>
        </is>
      </c>
      <c r="G9028" t="inlineStr">
        <is>
          <t>LUDVIKA</t>
        </is>
      </c>
      <c r="H9028" t="inlineStr">
        <is>
          <t>Bergvik skog väst AB</t>
        </is>
      </c>
      <c r="I9028" t="n">
        <v>1.1</v>
      </c>
      <c r="J9028" t="n">
        <v>0</v>
      </c>
      <c r="K9028" t="n">
        <v>0</v>
      </c>
      <c r="L9028" t="n">
        <v>0</v>
      </c>
      <c r="M9028" t="n">
        <v>0</v>
      </c>
      <c r="N9028" t="n">
        <v>0</v>
      </c>
      <c r="O9028" t="n">
        <v>0</v>
      </c>
      <c r="P9028" t="n">
        <v>0</v>
      </c>
      <c r="Q9028" t="n">
        <v>0</v>
      </c>
      <c r="R9028" t="n">
        <v>0</v>
      </c>
      <c r="S9028" t="n">
        <v>0</v>
      </c>
      <c r="T9028" t="n">
        <v>0</v>
      </c>
      <c r="U9028" t="n">
        <v>0</v>
      </c>
      <c r="V9028" s="2" t="inlineStr"/>
    </row>
    <row r="9029" ht="15" customHeight="1">
      <c r="A9029" t="inlineStr">
        <is>
          <t>A 31034-2024</t>
        </is>
      </c>
      <c r="B9029" t="inlineStr">
        <is>
          <t>avverkningsanmälan</t>
        </is>
      </c>
      <c r="C9029" t="inlineStr">
        <is>
          <t>Föryngringsavverkning</t>
        </is>
      </c>
      <c r="D9029" s="1" t="n">
        <v>45501</v>
      </c>
      <c r="E9029" s="1" t="n">
        <v>46319</v>
      </c>
      <c r="F9029" t="inlineStr">
        <is>
          <t>DALARNAS LÄN</t>
        </is>
      </c>
      <c r="G9029" t="inlineStr">
        <is>
          <t>SMEDJEBACKEN</t>
        </is>
      </c>
      <c r="I9029" t="n">
        <v>0.5</v>
      </c>
      <c r="J9029" t="n">
        <v>0</v>
      </c>
      <c r="K9029" t="n">
        <v>0</v>
      </c>
      <c r="L9029" t="n">
        <v>0</v>
      </c>
      <c r="M9029" t="n">
        <v>0</v>
      </c>
      <c r="N9029" t="n">
        <v>0</v>
      </c>
      <c r="O9029" t="n">
        <v>0</v>
      </c>
      <c r="P9029" t="n">
        <v>0</v>
      </c>
      <c r="Q9029" t="n">
        <v>0</v>
      </c>
      <c r="R9029" t="n">
        <v>0</v>
      </c>
      <c r="S9029" t="n">
        <v>0</v>
      </c>
      <c r="T9029" t="n">
        <v>0</v>
      </c>
      <c r="U9029" t="n">
        <v>0</v>
      </c>
      <c r="V9029" s="2" t="inlineStr"/>
    </row>
    <row r="9030" ht="15" customHeight="1">
      <c r="A9030" t="inlineStr">
        <is>
          <t>A 28613-2022</t>
        </is>
      </c>
      <c r="B9030" t="inlineStr">
        <is>
          <t>avverkningsanmälan</t>
        </is>
      </c>
      <c r="C9030" t="inlineStr">
        <is>
          <t>Föryngringsavverkning</t>
        </is>
      </c>
      <c r="D9030" s="1" t="n">
        <v>44748</v>
      </c>
      <c r="E9030" s="1" t="n">
        <v>46319</v>
      </c>
      <c r="F9030" t="inlineStr">
        <is>
          <t>DALARNAS LÄN</t>
        </is>
      </c>
      <c r="G9030" t="inlineStr">
        <is>
          <t>SMEDJEBACKEN</t>
        </is>
      </c>
      <c r="I9030" t="n">
        <v>0.9</v>
      </c>
      <c r="J9030" t="n">
        <v>0</v>
      </c>
      <c r="K9030" t="n">
        <v>0</v>
      </c>
      <c r="L9030" t="n">
        <v>0</v>
      </c>
      <c r="M9030" t="n">
        <v>0</v>
      </c>
      <c r="N9030" t="n">
        <v>0</v>
      </c>
      <c r="O9030" t="n">
        <v>0</v>
      </c>
      <c r="P9030" t="n">
        <v>0</v>
      </c>
      <c r="Q9030" t="n">
        <v>0</v>
      </c>
      <c r="R9030" t="n">
        <v>0</v>
      </c>
      <c r="S9030" t="n">
        <v>0</v>
      </c>
      <c r="T9030" t="n">
        <v>0</v>
      </c>
      <c r="U9030" t="n">
        <v>0</v>
      </c>
      <c r="V9030" s="2" t="inlineStr"/>
    </row>
    <row r="9031" ht="15" customHeight="1">
      <c r="A9031" t="inlineStr">
        <is>
          <t>A 31112-2024</t>
        </is>
      </c>
      <c r="B9031" t="inlineStr">
        <is>
          <t>avverkningsanmälan</t>
        </is>
      </c>
      <c r="C9031" t="inlineStr">
        <is>
          <t>Föryngringsavverkning</t>
        </is>
      </c>
      <c r="D9031" s="1" t="n">
        <v>45502</v>
      </c>
      <c r="E9031" s="1" t="n">
        <v>46319</v>
      </c>
      <c r="F9031" t="inlineStr">
        <is>
          <t>DALARNAS LÄN</t>
        </is>
      </c>
      <c r="G9031" t="inlineStr">
        <is>
          <t>MORA</t>
        </is>
      </c>
      <c r="I9031" t="n">
        <v>0.6</v>
      </c>
      <c r="J9031" t="n">
        <v>0</v>
      </c>
      <c r="K9031" t="n">
        <v>0</v>
      </c>
      <c r="L9031" t="n">
        <v>0</v>
      </c>
      <c r="M9031" t="n">
        <v>0</v>
      </c>
      <c r="N9031" t="n">
        <v>0</v>
      </c>
      <c r="O9031" t="n">
        <v>0</v>
      </c>
      <c r="P9031" t="n">
        <v>0</v>
      </c>
      <c r="Q9031" t="n">
        <v>0</v>
      </c>
      <c r="R9031" t="n">
        <v>0</v>
      </c>
      <c r="S9031" t="n">
        <v>0</v>
      </c>
      <c r="T9031" t="n">
        <v>0</v>
      </c>
      <c r="U9031" t="n">
        <v>0</v>
      </c>
      <c r="V9031" s="2" t="inlineStr"/>
    </row>
    <row r="9032" ht="15" customHeight="1">
      <c r="A9032" t="inlineStr">
        <is>
          <t>A 44205-2023</t>
        </is>
      </c>
      <c r="B9032" t="inlineStr">
        <is>
          <t>avverkningsanmälan</t>
        </is>
      </c>
      <c r="C9032" t="inlineStr">
        <is>
          <t>Föryngringsavverkning</t>
        </is>
      </c>
      <c r="D9032" s="1" t="n">
        <v>45188</v>
      </c>
      <c r="E9032" s="1" t="n">
        <v>46319</v>
      </c>
      <c r="F9032" t="inlineStr">
        <is>
          <t>DALARNAS LÄN</t>
        </is>
      </c>
      <c r="G9032" t="inlineStr">
        <is>
          <t>MORA</t>
        </is>
      </c>
      <c r="I9032" t="n">
        <v>0.7</v>
      </c>
      <c r="J9032" t="n">
        <v>0</v>
      </c>
      <c r="K9032" t="n">
        <v>0</v>
      </c>
      <c r="L9032" t="n">
        <v>0</v>
      </c>
      <c r="M9032" t="n">
        <v>0</v>
      </c>
      <c r="N9032" t="n">
        <v>0</v>
      </c>
      <c r="O9032" t="n">
        <v>0</v>
      </c>
      <c r="P9032" t="n">
        <v>0</v>
      </c>
      <c r="Q9032" t="n">
        <v>0</v>
      </c>
      <c r="R9032" t="n">
        <v>0</v>
      </c>
      <c r="S9032" t="n">
        <v>0</v>
      </c>
      <c r="T9032" t="n">
        <v>0</v>
      </c>
      <c r="U9032" t="n">
        <v>0</v>
      </c>
      <c r="V9032" s="2" t="inlineStr"/>
    </row>
    <row r="9033" ht="15" customHeight="1">
      <c r="A9033" t="inlineStr">
        <is>
          <t>A 9065-2025</t>
        </is>
      </c>
      <c r="B9033" t="inlineStr">
        <is>
          <t>avverkningsanmälan</t>
        </is>
      </c>
      <c r="C9033" t="inlineStr">
        <is>
          <t>Föryngringsavverkning</t>
        </is>
      </c>
      <c r="D9033" s="1" t="n">
        <v>45713</v>
      </c>
      <c r="E9033" s="1" t="n">
        <v>46319</v>
      </c>
      <c r="F9033" t="inlineStr">
        <is>
          <t>DALARNAS LÄN</t>
        </is>
      </c>
      <c r="G9033" t="inlineStr">
        <is>
          <t>MALUNG-SÄLEN</t>
        </is>
      </c>
      <c r="I9033" t="n">
        <v>4</v>
      </c>
      <c r="J9033" t="n">
        <v>0</v>
      </c>
      <c r="K9033" t="n">
        <v>0</v>
      </c>
      <c r="L9033" t="n">
        <v>0</v>
      </c>
      <c r="M9033" t="n">
        <v>0</v>
      </c>
      <c r="N9033" t="n">
        <v>0</v>
      </c>
      <c r="O9033" t="n">
        <v>0</v>
      </c>
      <c r="P9033" t="n">
        <v>0</v>
      </c>
      <c r="Q9033" t="n">
        <v>0</v>
      </c>
      <c r="R9033" t="n">
        <v>0</v>
      </c>
      <c r="S9033" t="n">
        <v>0</v>
      </c>
      <c r="T9033" t="n">
        <v>0</v>
      </c>
      <c r="U9033" t="n">
        <v>0</v>
      </c>
      <c r="V9033" s="2" t="inlineStr"/>
    </row>
    <row r="9034" ht="15" customHeight="1">
      <c r="A9034" t="inlineStr">
        <is>
          <t>A 11712-2025</t>
        </is>
      </c>
      <c r="B9034" t="inlineStr">
        <is>
          <t>avverkningsanmälan</t>
        </is>
      </c>
      <c r="C9034" t="inlineStr">
        <is>
          <t>Föryngringsavverkning</t>
        </is>
      </c>
      <c r="D9034" s="1" t="n">
        <v>45727</v>
      </c>
      <c r="E9034" s="1" t="n">
        <v>46319</v>
      </c>
      <c r="F9034" t="inlineStr">
        <is>
          <t>DALARNAS LÄN</t>
        </is>
      </c>
      <c r="G9034" t="inlineStr">
        <is>
          <t>LEKSAND</t>
        </is>
      </c>
      <c r="I9034" t="n">
        <v>6</v>
      </c>
      <c r="J9034" t="n">
        <v>0</v>
      </c>
      <c r="K9034" t="n">
        <v>0</v>
      </c>
      <c r="L9034" t="n">
        <v>0</v>
      </c>
      <c r="M9034" t="n">
        <v>0</v>
      </c>
      <c r="N9034" t="n">
        <v>0</v>
      </c>
      <c r="O9034" t="n">
        <v>0</v>
      </c>
      <c r="P9034" t="n">
        <v>0</v>
      </c>
      <c r="Q9034" t="n">
        <v>0</v>
      </c>
      <c r="R9034" t="n">
        <v>0</v>
      </c>
      <c r="S9034" t="n">
        <v>0</v>
      </c>
      <c r="T9034" t="n">
        <v>0</v>
      </c>
      <c r="U9034" t="n">
        <v>0</v>
      </c>
      <c r="V9034" s="2" t="inlineStr"/>
    </row>
    <row r="9035" ht="15" customHeight="1">
      <c r="A9035" t="inlineStr">
        <is>
          <t>A 40435-2024</t>
        </is>
      </c>
      <c r="B9035" t="inlineStr">
        <is>
          <t>avverkningsanmälan</t>
        </is>
      </c>
      <c r="C9035" t="inlineStr">
        <is>
          <t>Föryngringsavverkning</t>
        </is>
      </c>
      <c r="D9035" s="1" t="n">
        <v>45555</v>
      </c>
      <c r="E9035" s="1" t="n">
        <v>46319</v>
      </c>
      <c r="F9035" t="inlineStr">
        <is>
          <t>DALARNAS LÄN</t>
        </is>
      </c>
      <c r="G9035" t="inlineStr">
        <is>
          <t>RÄTTVIK</t>
        </is>
      </c>
      <c r="I9035" t="n">
        <v>0.6</v>
      </c>
      <c r="J9035" t="n">
        <v>0</v>
      </c>
      <c r="K9035" t="n">
        <v>0</v>
      </c>
      <c r="L9035" t="n">
        <v>0</v>
      </c>
      <c r="M9035" t="n">
        <v>0</v>
      </c>
      <c r="N9035" t="n">
        <v>0</v>
      </c>
      <c r="O9035" t="n">
        <v>0</v>
      </c>
      <c r="P9035" t="n">
        <v>0</v>
      </c>
      <c r="Q9035" t="n">
        <v>0</v>
      </c>
      <c r="R9035" t="n">
        <v>0</v>
      </c>
      <c r="S9035" t="n">
        <v>0</v>
      </c>
      <c r="T9035" t="n">
        <v>0</v>
      </c>
      <c r="U9035" t="n">
        <v>0</v>
      </c>
      <c r="V9035" s="2" t="inlineStr"/>
    </row>
    <row r="9036" ht="15" customHeight="1">
      <c r="A9036" t="inlineStr">
        <is>
          <t>A 53029-2024</t>
        </is>
      </c>
      <c r="B9036" t="inlineStr">
        <is>
          <t>avverkningsanmälan</t>
        </is>
      </c>
      <c r="C9036" t="inlineStr">
        <is>
          <t>Föryngringsavverkning</t>
        </is>
      </c>
      <c r="D9036" s="1" t="n">
        <v>45611</v>
      </c>
      <c r="E9036" s="1" t="n">
        <v>46319</v>
      </c>
      <c r="F9036" t="inlineStr">
        <is>
          <t>DALARNAS LÄN</t>
        </is>
      </c>
      <c r="G9036" t="inlineStr">
        <is>
          <t>FALUN</t>
        </is>
      </c>
      <c r="I9036" t="n">
        <v>3.2</v>
      </c>
      <c r="J9036" t="n">
        <v>0</v>
      </c>
      <c r="K9036" t="n">
        <v>0</v>
      </c>
      <c r="L9036" t="n">
        <v>0</v>
      </c>
      <c r="M9036" t="n">
        <v>0</v>
      </c>
      <c r="N9036" t="n">
        <v>0</v>
      </c>
      <c r="O9036" t="n">
        <v>0</v>
      </c>
      <c r="P9036" t="n">
        <v>0</v>
      </c>
      <c r="Q9036" t="n">
        <v>0</v>
      </c>
      <c r="R9036" t="n">
        <v>0</v>
      </c>
      <c r="S9036" t="n">
        <v>0</v>
      </c>
      <c r="T9036" t="n">
        <v>0</v>
      </c>
      <c r="U9036" t="n">
        <v>0</v>
      </c>
      <c r="V9036" s="2" t="inlineStr"/>
    </row>
    <row r="9037" ht="15" customHeight="1">
      <c r="A9037" t="inlineStr">
        <is>
          <t>A 48057-2024</t>
        </is>
      </c>
      <c r="B9037" t="inlineStr">
        <is>
          <t>avverkningsanmälan</t>
        </is>
      </c>
      <c r="C9037" t="inlineStr">
        <is>
          <t>Föryngringsavverkning</t>
        </is>
      </c>
      <c r="D9037" s="1" t="n">
        <v>45589</v>
      </c>
      <c r="E9037" s="1" t="n">
        <v>46319</v>
      </c>
      <c r="F9037" t="inlineStr">
        <is>
          <t>DALARNAS LÄN</t>
        </is>
      </c>
      <c r="G9037" t="inlineStr">
        <is>
          <t>SMEDJEBACKEN</t>
        </is>
      </c>
      <c r="I9037" t="n">
        <v>1.3</v>
      </c>
      <c r="J9037" t="n">
        <v>0</v>
      </c>
      <c r="K9037" t="n">
        <v>0</v>
      </c>
      <c r="L9037" t="n">
        <v>0</v>
      </c>
      <c r="M9037" t="n">
        <v>0</v>
      </c>
      <c r="N9037" t="n">
        <v>0</v>
      </c>
      <c r="O9037" t="n">
        <v>0</v>
      </c>
      <c r="P9037" t="n">
        <v>0</v>
      </c>
      <c r="Q9037" t="n">
        <v>0</v>
      </c>
      <c r="R9037" t="n">
        <v>0</v>
      </c>
      <c r="S9037" t="n">
        <v>0</v>
      </c>
      <c r="T9037" t="n">
        <v>0</v>
      </c>
      <c r="U9037" t="n">
        <v>0</v>
      </c>
      <c r="V9037" s="2" t="inlineStr"/>
    </row>
    <row r="9038" ht="15" customHeight="1">
      <c r="A9038" t="inlineStr">
        <is>
          <t>A 37770-2023</t>
        </is>
      </c>
      <c r="B9038" t="inlineStr">
        <is>
          <t>avverkningsanmälan</t>
        </is>
      </c>
      <c r="C9038" t="inlineStr">
        <is>
          <t>Föryngringsavverkning</t>
        </is>
      </c>
      <c r="D9038" s="1" t="n">
        <v>45159</v>
      </c>
      <c r="E9038" s="1" t="n">
        <v>46319</v>
      </c>
      <c r="F9038" t="inlineStr">
        <is>
          <t>DALARNAS LÄN</t>
        </is>
      </c>
      <c r="G9038" t="inlineStr">
        <is>
          <t>ORSA</t>
        </is>
      </c>
      <c r="I9038" t="n">
        <v>2.6</v>
      </c>
      <c r="J9038" t="n">
        <v>0</v>
      </c>
      <c r="K9038" t="n">
        <v>0</v>
      </c>
      <c r="L9038" t="n">
        <v>0</v>
      </c>
      <c r="M9038" t="n">
        <v>0</v>
      </c>
      <c r="N9038" t="n">
        <v>0</v>
      </c>
      <c r="O9038" t="n">
        <v>0</v>
      </c>
      <c r="P9038" t="n">
        <v>0</v>
      </c>
      <c r="Q9038" t="n">
        <v>0</v>
      </c>
      <c r="R9038" t="n">
        <v>0</v>
      </c>
      <c r="S9038" t="n">
        <v>0</v>
      </c>
      <c r="T9038" t="n">
        <v>0</v>
      </c>
      <c r="U9038" t="n">
        <v>0</v>
      </c>
      <c r="V9038" s="2" t="inlineStr"/>
    </row>
    <row r="9039" ht="15" customHeight="1">
      <c r="A9039" t="inlineStr">
        <is>
          <t>A 51847-2024</t>
        </is>
      </c>
      <c r="B9039" t="inlineStr">
        <is>
          <t>avverkningsanmälan</t>
        </is>
      </c>
      <c r="C9039" t="inlineStr">
        <is>
          <t>Föryngringsavverkning</t>
        </is>
      </c>
      <c r="D9039" s="1" t="n">
        <v>45604</v>
      </c>
      <c r="E9039" s="1" t="n">
        <v>46319</v>
      </c>
      <c r="F9039" t="inlineStr">
        <is>
          <t>DALARNAS LÄN</t>
        </is>
      </c>
      <c r="G9039" t="inlineStr">
        <is>
          <t>SÄTER</t>
        </is>
      </c>
      <c r="H9039" t="inlineStr">
        <is>
          <t>Bergvik skog väst AB</t>
        </is>
      </c>
      <c r="I9039" t="n">
        <v>2</v>
      </c>
      <c r="J9039" t="n">
        <v>0</v>
      </c>
      <c r="K9039" t="n">
        <v>0</v>
      </c>
      <c r="L9039" t="n">
        <v>0</v>
      </c>
      <c r="M9039" t="n">
        <v>0</v>
      </c>
      <c r="N9039" t="n">
        <v>0</v>
      </c>
      <c r="O9039" t="n">
        <v>0</v>
      </c>
      <c r="P9039" t="n">
        <v>0</v>
      </c>
      <c r="Q9039" t="n">
        <v>0</v>
      </c>
      <c r="R9039" t="n">
        <v>0</v>
      </c>
      <c r="S9039" t="n">
        <v>0</v>
      </c>
      <c r="T9039" t="n">
        <v>0</v>
      </c>
      <c r="U9039" t="n">
        <v>0</v>
      </c>
      <c r="V9039" s="2" t="inlineStr"/>
    </row>
    <row r="9040" ht="15" customHeight="1">
      <c r="A9040" t="inlineStr">
        <is>
          <t>A 55893-2024</t>
        </is>
      </c>
      <c r="B9040" t="inlineStr">
        <is>
          <t>avverkningsanmälan</t>
        </is>
      </c>
      <c r="C9040" t="inlineStr">
        <is>
          <t>Föryngringsavverkning</t>
        </is>
      </c>
      <c r="D9040" s="1" t="n">
        <v>45623</v>
      </c>
      <c r="E9040" s="1" t="n">
        <v>46319</v>
      </c>
      <c r="F9040" t="inlineStr">
        <is>
          <t>DALARNAS LÄN</t>
        </is>
      </c>
      <c r="G9040" t="inlineStr">
        <is>
          <t>RÄTTVIK</t>
        </is>
      </c>
      <c r="I9040" t="n">
        <v>0.9</v>
      </c>
      <c r="J9040" t="n">
        <v>0</v>
      </c>
      <c r="K9040" t="n">
        <v>0</v>
      </c>
      <c r="L9040" t="n">
        <v>0</v>
      </c>
      <c r="M9040" t="n">
        <v>0</v>
      </c>
      <c r="N9040" t="n">
        <v>0</v>
      </c>
      <c r="O9040" t="n">
        <v>0</v>
      </c>
      <c r="P9040" t="n">
        <v>0</v>
      </c>
      <c r="Q9040" t="n">
        <v>0</v>
      </c>
      <c r="R9040" t="n">
        <v>0</v>
      </c>
      <c r="S9040" t="n">
        <v>0</v>
      </c>
      <c r="T9040" t="n">
        <v>0</v>
      </c>
      <c r="U9040" t="n">
        <v>0</v>
      </c>
      <c r="V9040" s="2" t="inlineStr"/>
    </row>
    <row r="9041" ht="15" customHeight="1">
      <c r="A9041" t="inlineStr">
        <is>
          <t>A 7916-2024</t>
        </is>
      </c>
      <c r="B9041" t="inlineStr">
        <is>
          <t>avverkningsanmälan</t>
        </is>
      </c>
      <c r="C9041" t="inlineStr">
        <is>
          <t>Föryngringsavverkning</t>
        </is>
      </c>
      <c r="D9041" s="1" t="n">
        <v>45350</v>
      </c>
      <c r="E9041" s="1" t="n">
        <v>46319</v>
      </c>
      <c r="F9041" t="inlineStr">
        <is>
          <t>DALARNAS LÄN</t>
        </is>
      </c>
      <c r="G9041" t="inlineStr">
        <is>
          <t>HEDEMORA</t>
        </is>
      </c>
      <c r="I9041" t="n">
        <v>5.8</v>
      </c>
      <c r="J9041" t="n">
        <v>0</v>
      </c>
      <c r="K9041" t="n">
        <v>0</v>
      </c>
      <c r="L9041" t="n">
        <v>0</v>
      </c>
      <c r="M9041" t="n">
        <v>0</v>
      </c>
      <c r="N9041" t="n">
        <v>0</v>
      </c>
      <c r="O9041" t="n">
        <v>0</v>
      </c>
      <c r="P9041" t="n">
        <v>0</v>
      </c>
      <c r="Q9041" t="n">
        <v>0</v>
      </c>
      <c r="R9041" t="n">
        <v>0</v>
      </c>
      <c r="S9041" t="n">
        <v>0</v>
      </c>
      <c r="T9041" t="n">
        <v>0</v>
      </c>
      <c r="U9041" t="n">
        <v>0</v>
      </c>
      <c r="V9041" s="2" t="inlineStr"/>
    </row>
    <row r="9042" ht="15" customHeight="1">
      <c r="A9042" t="inlineStr">
        <is>
          <t>A 61202-2024</t>
        </is>
      </c>
      <c r="B9042" t="inlineStr">
        <is>
          <t>avverkningsanmälan</t>
        </is>
      </c>
      <c r="C9042" t="inlineStr">
        <is>
          <t>Föryngringsavverkning</t>
        </is>
      </c>
      <c r="D9042" s="1" t="n">
        <v>45645</v>
      </c>
      <c r="E9042" s="1" t="n">
        <v>46319</v>
      </c>
      <c r="F9042" t="inlineStr">
        <is>
          <t>DALARNAS LÄN</t>
        </is>
      </c>
      <c r="G9042" t="inlineStr">
        <is>
          <t>MALUNG-SÄLEN</t>
        </is>
      </c>
      <c r="I9042" t="n">
        <v>1.3</v>
      </c>
      <c r="J9042" t="n">
        <v>0</v>
      </c>
      <c r="K9042" t="n">
        <v>0</v>
      </c>
      <c r="L9042" t="n">
        <v>0</v>
      </c>
      <c r="M9042" t="n">
        <v>0</v>
      </c>
      <c r="N9042" t="n">
        <v>0</v>
      </c>
      <c r="O9042" t="n">
        <v>0</v>
      </c>
      <c r="P9042" t="n">
        <v>0</v>
      </c>
      <c r="Q9042" t="n">
        <v>0</v>
      </c>
      <c r="R9042" t="n">
        <v>0</v>
      </c>
      <c r="S9042" t="n">
        <v>0</v>
      </c>
      <c r="T9042" t="n">
        <v>0</v>
      </c>
      <c r="U9042" t="n">
        <v>0</v>
      </c>
      <c r="V9042" s="2" t="inlineStr"/>
    </row>
    <row r="9043" ht="15" customHeight="1">
      <c r="A9043" t="inlineStr">
        <is>
          <t>A 51135-2024</t>
        </is>
      </c>
      <c r="B9043" t="inlineStr">
        <is>
          <t>avverkningsanmälan</t>
        </is>
      </c>
      <c r="C9043" t="inlineStr">
        <is>
          <t>Föryngringsavverkning</t>
        </is>
      </c>
      <c r="D9043" s="1" t="n">
        <v>45603</v>
      </c>
      <c r="E9043" s="1" t="n">
        <v>46319</v>
      </c>
      <c r="F9043" t="inlineStr">
        <is>
          <t>DALARNAS LÄN</t>
        </is>
      </c>
      <c r="G9043" t="inlineStr">
        <is>
          <t>FALUN</t>
        </is>
      </c>
      <c r="H9043" t="inlineStr">
        <is>
          <t>Bergvik skog väst AB</t>
        </is>
      </c>
      <c r="I9043" t="n">
        <v>1.3</v>
      </c>
      <c r="J9043" t="n">
        <v>0</v>
      </c>
      <c r="K9043" t="n">
        <v>0</v>
      </c>
      <c r="L9043" t="n">
        <v>0</v>
      </c>
      <c r="M9043" t="n">
        <v>0</v>
      </c>
      <c r="N9043" t="n">
        <v>0</v>
      </c>
      <c r="O9043" t="n">
        <v>0</v>
      </c>
      <c r="P9043" t="n">
        <v>0</v>
      </c>
      <c r="Q9043" t="n">
        <v>0</v>
      </c>
      <c r="R9043" t="n">
        <v>0</v>
      </c>
      <c r="S9043" t="n">
        <v>0</v>
      </c>
      <c r="T9043" t="n">
        <v>0</v>
      </c>
      <c r="U9043" t="n">
        <v>0</v>
      </c>
      <c r="V9043" s="2" t="inlineStr"/>
    </row>
    <row r="9044" ht="15" customHeight="1">
      <c r="A9044" t="inlineStr">
        <is>
          <t>A 27559-2023</t>
        </is>
      </c>
      <c r="B9044" t="inlineStr">
        <is>
          <t>avverkningsanmälan</t>
        </is>
      </c>
      <c r="C9044" t="inlineStr">
        <is>
          <t>Föryngringsavverkning</t>
        </is>
      </c>
      <c r="D9044" s="1" t="n">
        <v>45097</v>
      </c>
      <c r="E9044" s="1" t="n">
        <v>46319</v>
      </c>
      <c r="F9044" t="inlineStr">
        <is>
          <t>DALARNAS LÄN</t>
        </is>
      </c>
      <c r="G9044" t="inlineStr">
        <is>
          <t>MALUNG-SÄLEN</t>
        </is>
      </c>
      <c r="I9044" t="n">
        <v>5.3</v>
      </c>
      <c r="J9044" t="n">
        <v>0</v>
      </c>
      <c r="K9044" t="n">
        <v>0</v>
      </c>
      <c r="L9044" t="n">
        <v>0</v>
      </c>
      <c r="M9044" t="n">
        <v>0</v>
      </c>
      <c r="N9044" t="n">
        <v>0</v>
      </c>
      <c r="O9044" t="n">
        <v>0</v>
      </c>
      <c r="P9044" t="n">
        <v>0</v>
      </c>
      <c r="Q9044" t="n">
        <v>0</v>
      </c>
      <c r="R9044" t="n">
        <v>0</v>
      </c>
      <c r="S9044" t="n">
        <v>0</v>
      </c>
      <c r="T9044" t="n">
        <v>0</v>
      </c>
      <c r="U9044" t="n">
        <v>0</v>
      </c>
      <c r="V9044" s="2" t="inlineStr"/>
    </row>
    <row r="9045" ht="15" customHeight="1">
      <c r="A9045" t="inlineStr">
        <is>
          <t>A 60015-2024</t>
        </is>
      </c>
      <c r="B9045" t="inlineStr">
        <is>
          <t>avverkningsanmälan</t>
        </is>
      </c>
      <c r="C9045" t="inlineStr">
        <is>
          <t>Föryngringsavverkning</t>
        </is>
      </c>
      <c r="D9045" s="1" t="n">
        <v>45642</v>
      </c>
      <c r="E9045" s="1" t="n">
        <v>46319</v>
      </c>
      <c r="F9045" t="inlineStr">
        <is>
          <t>DALARNAS LÄN</t>
        </is>
      </c>
      <c r="G9045" t="inlineStr">
        <is>
          <t>MALUNG-SÄLEN</t>
        </is>
      </c>
      <c r="I9045" t="n">
        <v>1.9</v>
      </c>
      <c r="J9045" t="n">
        <v>0</v>
      </c>
      <c r="K9045" t="n">
        <v>0</v>
      </c>
      <c r="L9045" t="n">
        <v>0</v>
      </c>
      <c r="M9045" t="n">
        <v>0</v>
      </c>
      <c r="N9045" t="n">
        <v>0</v>
      </c>
      <c r="O9045" t="n">
        <v>0</v>
      </c>
      <c r="P9045" t="n">
        <v>0</v>
      </c>
      <c r="Q9045" t="n">
        <v>0</v>
      </c>
      <c r="R9045" t="n">
        <v>0</v>
      </c>
      <c r="S9045" t="n">
        <v>0</v>
      </c>
      <c r="T9045" t="n">
        <v>0</v>
      </c>
      <c r="U9045" t="n">
        <v>0</v>
      </c>
      <c r="V9045" s="2" t="inlineStr"/>
    </row>
    <row r="9046" ht="15" customHeight="1">
      <c r="A9046" t="inlineStr">
        <is>
          <t>A 18214-2024</t>
        </is>
      </c>
      <c r="B9046" t="inlineStr">
        <is>
          <t>avverkningsanmälan</t>
        </is>
      </c>
      <c r="C9046" t="inlineStr">
        <is>
          <t>Föryngringsavverkning</t>
        </is>
      </c>
      <c r="D9046" s="1" t="n">
        <v>45420</v>
      </c>
      <c r="E9046" s="1" t="n">
        <v>46319</v>
      </c>
      <c r="F9046" t="inlineStr">
        <is>
          <t>DALARNAS LÄN</t>
        </is>
      </c>
      <c r="G9046" t="inlineStr">
        <is>
          <t>MORA</t>
        </is>
      </c>
      <c r="I9046" t="n">
        <v>1</v>
      </c>
      <c r="J9046" t="n">
        <v>0</v>
      </c>
      <c r="K9046" t="n">
        <v>0</v>
      </c>
      <c r="L9046" t="n">
        <v>0</v>
      </c>
      <c r="M9046" t="n">
        <v>0</v>
      </c>
      <c r="N9046" t="n">
        <v>0</v>
      </c>
      <c r="O9046" t="n">
        <v>0</v>
      </c>
      <c r="P9046" t="n">
        <v>0</v>
      </c>
      <c r="Q9046" t="n">
        <v>0</v>
      </c>
      <c r="R9046" t="n">
        <v>0</v>
      </c>
      <c r="S9046" t="n">
        <v>0</v>
      </c>
      <c r="T9046" t="n">
        <v>0</v>
      </c>
      <c r="U9046" t="n">
        <v>0</v>
      </c>
      <c r="V9046" s="2" t="inlineStr"/>
    </row>
    <row r="9047" ht="15" customHeight="1">
      <c r="A9047" t="inlineStr">
        <is>
          <t>A 1505-2025</t>
        </is>
      </c>
      <c r="B9047" t="inlineStr">
        <is>
          <t>avverkningsanmälan</t>
        </is>
      </c>
      <c r="C9047" t="inlineStr">
        <is>
          <t>Föryngringsavverkning</t>
        </is>
      </c>
      <c r="D9047" s="1" t="n">
        <v>45670</v>
      </c>
      <c r="E9047" s="1" t="n">
        <v>46319</v>
      </c>
      <c r="F9047" t="inlineStr">
        <is>
          <t>DALARNAS LÄN</t>
        </is>
      </c>
      <c r="G9047" t="inlineStr">
        <is>
          <t>SMEDJEBACKEN</t>
        </is>
      </c>
      <c r="H9047" t="inlineStr">
        <is>
          <t>Sveaskog</t>
        </is>
      </c>
      <c r="I9047" t="n">
        <v>1.1</v>
      </c>
      <c r="J9047" t="n">
        <v>0</v>
      </c>
      <c r="K9047" t="n">
        <v>0</v>
      </c>
      <c r="L9047" t="n">
        <v>0</v>
      </c>
      <c r="M9047" t="n">
        <v>0</v>
      </c>
      <c r="N9047" t="n">
        <v>0</v>
      </c>
      <c r="O9047" t="n">
        <v>0</v>
      </c>
      <c r="P9047" t="n">
        <v>0</v>
      </c>
      <c r="Q9047" t="n">
        <v>0</v>
      </c>
      <c r="R9047" t="n">
        <v>0</v>
      </c>
      <c r="S9047" t="n">
        <v>0</v>
      </c>
      <c r="T9047" t="n">
        <v>0</v>
      </c>
      <c r="U9047" t="n">
        <v>0</v>
      </c>
      <c r="V9047" s="2" t="inlineStr"/>
    </row>
    <row r="9048" ht="15" customHeight="1">
      <c r="A9048" t="inlineStr">
        <is>
          <t>A 46959-2023</t>
        </is>
      </c>
      <c r="B9048" t="inlineStr">
        <is>
          <t>avverkningsanmälan</t>
        </is>
      </c>
      <c r="C9048" t="inlineStr">
        <is>
          <t>Föryngringsavverkning</t>
        </is>
      </c>
      <c r="D9048" s="1" t="n">
        <v>45201</v>
      </c>
      <c r="E9048" s="1" t="n">
        <v>46319</v>
      </c>
      <c r="F9048" t="inlineStr">
        <is>
          <t>DALARNAS LÄN</t>
        </is>
      </c>
      <c r="G9048" t="inlineStr">
        <is>
          <t>FALUN</t>
        </is>
      </c>
      <c r="I9048" t="n">
        <v>2.2</v>
      </c>
      <c r="J9048" t="n">
        <v>0</v>
      </c>
      <c r="K9048" t="n">
        <v>0</v>
      </c>
      <c r="L9048" t="n">
        <v>0</v>
      </c>
      <c r="M9048" t="n">
        <v>0</v>
      </c>
      <c r="N9048" t="n">
        <v>0</v>
      </c>
      <c r="O9048" t="n">
        <v>0</v>
      </c>
      <c r="P9048" t="n">
        <v>0</v>
      </c>
      <c r="Q9048" t="n">
        <v>0</v>
      </c>
      <c r="R9048" t="n">
        <v>0</v>
      </c>
      <c r="S9048" t="n">
        <v>0</v>
      </c>
      <c r="T9048" t="n">
        <v>0</v>
      </c>
      <c r="U9048" t="n">
        <v>0</v>
      </c>
      <c r="V9048" s="2" t="inlineStr"/>
    </row>
    <row r="9049" ht="15" customHeight="1">
      <c r="A9049" t="inlineStr">
        <is>
          <t>A 13000-2022</t>
        </is>
      </c>
      <c r="B9049" t="inlineStr">
        <is>
          <t>avverkningsanmälan</t>
        </is>
      </c>
      <c r="C9049" t="inlineStr">
        <is>
          <t>Föryngringsavverkning</t>
        </is>
      </c>
      <c r="D9049" s="1" t="n">
        <v>44643</v>
      </c>
      <c r="E9049" s="1" t="n">
        <v>46319</v>
      </c>
      <c r="F9049" t="inlineStr">
        <is>
          <t>DALARNAS LÄN</t>
        </is>
      </c>
      <c r="G9049" t="inlineStr">
        <is>
          <t>ÄLVDALEN</t>
        </is>
      </c>
      <c r="H9049" t="inlineStr">
        <is>
          <t>Sveaskog</t>
        </is>
      </c>
      <c r="I9049" t="n">
        <v>1.6</v>
      </c>
      <c r="J9049" t="n">
        <v>0</v>
      </c>
      <c r="K9049" t="n">
        <v>0</v>
      </c>
      <c r="L9049" t="n">
        <v>0</v>
      </c>
      <c r="M9049" t="n">
        <v>0</v>
      </c>
      <c r="N9049" t="n">
        <v>0</v>
      </c>
      <c r="O9049" t="n">
        <v>0</v>
      </c>
      <c r="P9049" t="n">
        <v>0</v>
      </c>
      <c r="Q9049" t="n">
        <v>0</v>
      </c>
      <c r="R9049" t="n">
        <v>0</v>
      </c>
      <c r="S9049" t="n">
        <v>0</v>
      </c>
      <c r="T9049" t="n">
        <v>0</v>
      </c>
      <c r="U9049" t="n">
        <v>0</v>
      </c>
      <c r="V9049" s="2" t="inlineStr"/>
    </row>
    <row r="9050" ht="15" customHeight="1">
      <c r="A9050" t="inlineStr">
        <is>
          <t>A 44803-2023</t>
        </is>
      </c>
      <c r="B9050" t="inlineStr">
        <is>
          <t>avverkningsanmälan</t>
        </is>
      </c>
      <c r="C9050" t="inlineStr">
        <is>
          <t>Föryngringsavverkning</t>
        </is>
      </c>
      <c r="D9050" s="1" t="n">
        <v>45190</v>
      </c>
      <c r="E9050" s="1" t="n">
        <v>46319</v>
      </c>
      <c r="F9050" t="inlineStr">
        <is>
          <t>DALARNAS LÄN</t>
        </is>
      </c>
      <c r="G9050" t="inlineStr">
        <is>
          <t>SÄTER</t>
        </is>
      </c>
      <c r="I9050" t="n">
        <v>1.4</v>
      </c>
      <c r="J9050" t="n">
        <v>0</v>
      </c>
      <c r="K9050" t="n">
        <v>0</v>
      </c>
      <c r="L9050" t="n">
        <v>0</v>
      </c>
      <c r="M9050" t="n">
        <v>0</v>
      </c>
      <c r="N9050" t="n">
        <v>0</v>
      </c>
      <c r="O9050" t="n">
        <v>0</v>
      </c>
      <c r="P9050" t="n">
        <v>0</v>
      </c>
      <c r="Q9050" t="n">
        <v>0</v>
      </c>
      <c r="R9050" t="n">
        <v>0</v>
      </c>
      <c r="S9050" t="n">
        <v>0</v>
      </c>
      <c r="T9050" t="n">
        <v>0</v>
      </c>
      <c r="U9050" t="n">
        <v>0</v>
      </c>
      <c r="V9050" s="2" t="inlineStr"/>
    </row>
    <row r="9051" ht="15" customHeight="1">
      <c r="A9051" t="inlineStr">
        <is>
          <t>A 49800-2024</t>
        </is>
      </c>
      <c r="B9051" t="inlineStr">
        <is>
          <t>avverkningsanmälan</t>
        </is>
      </c>
      <c r="C9051" t="inlineStr">
        <is>
          <t>Föryngringsavverkning</t>
        </is>
      </c>
      <c r="D9051" s="1" t="n">
        <v>45597</v>
      </c>
      <c r="E9051" s="1" t="n">
        <v>46319</v>
      </c>
      <c r="F9051" t="inlineStr">
        <is>
          <t>DALARNAS LÄN</t>
        </is>
      </c>
      <c r="G9051" t="inlineStr">
        <is>
          <t>MALUNG-SÄLEN</t>
        </is>
      </c>
      <c r="I9051" t="n">
        <v>7.9</v>
      </c>
      <c r="J9051" t="n">
        <v>0</v>
      </c>
      <c r="K9051" t="n">
        <v>0</v>
      </c>
      <c r="L9051" t="n">
        <v>0</v>
      </c>
      <c r="M9051" t="n">
        <v>0</v>
      </c>
      <c r="N9051" t="n">
        <v>0</v>
      </c>
      <c r="O9051" t="n">
        <v>0</v>
      </c>
      <c r="P9051" t="n">
        <v>0</v>
      </c>
      <c r="Q9051" t="n">
        <v>0</v>
      </c>
      <c r="R9051" t="n">
        <v>0</v>
      </c>
      <c r="S9051" t="n">
        <v>0</v>
      </c>
      <c r="T9051" t="n">
        <v>0</v>
      </c>
      <c r="U9051" t="n">
        <v>0</v>
      </c>
      <c r="V9051" s="2" t="inlineStr"/>
    </row>
    <row r="9052" ht="15" customHeight="1">
      <c r="A9052" t="inlineStr">
        <is>
          <t>A 23339-2024</t>
        </is>
      </c>
      <c r="B9052" t="inlineStr">
        <is>
          <t>avverkningsanmälan</t>
        </is>
      </c>
      <c r="C9052" t="inlineStr">
        <is>
          <t>Föryngringsavverkning</t>
        </is>
      </c>
      <c r="D9052" s="1" t="n">
        <v>45453</v>
      </c>
      <c r="E9052" s="1" t="n">
        <v>46319</v>
      </c>
      <c r="F9052" t="inlineStr">
        <is>
          <t>DALARNAS LÄN</t>
        </is>
      </c>
      <c r="G9052" t="inlineStr">
        <is>
          <t>ORSA</t>
        </is>
      </c>
      <c r="I9052" t="n">
        <v>3.8</v>
      </c>
      <c r="J9052" t="n">
        <v>0</v>
      </c>
      <c r="K9052" t="n">
        <v>0</v>
      </c>
      <c r="L9052" t="n">
        <v>0</v>
      </c>
      <c r="M9052" t="n">
        <v>0</v>
      </c>
      <c r="N9052" t="n">
        <v>0</v>
      </c>
      <c r="O9052" t="n">
        <v>0</v>
      </c>
      <c r="P9052" t="n">
        <v>0</v>
      </c>
      <c r="Q9052" t="n">
        <v>0</v>
      </c>
      <c r="R9052" t="n">
        <v>0</v>
      </c>
      <c r="S9052" t="n">
        <v>0</v>
      </c>
      <c r="T9052" t="n">
        <v>0</v>
      </c>
      <c r="U9052" t="n">
        <v>0</v>
      </c>
      <c r="V9052" s="2" t="inlineStr"/>
    </row>
    <row r="9053" ht="15" customHeight="1">
      <c r="A9053" t="inlineStr">
        <is>
          <t>A 23999-2024</t>
        </is>
      </c>
      <c r="B9053" t="inlineStr">
        <is>
          <t>avverkningsanmälan</t>
        </is>
      </c>
      <c r="C9053" t="inlineStr">
        <is>
          <t>Föryngringsavverkning</t>
        </is>
      </c>
      <c r="D9053" s="1" t="n">
        <v>45456</v>
      </c>
      <c r="E9053" s="1" t="n">
        <v>46319</v>
      </c>
      <c r="F9053" t="inlineStr">
        <is>
          <t>DALARNAS LÄN</t>
        </is>
      </c>
      <c r="G9053" t="inlineStr">
        <is>
          <t>ÄLVDALEN</t>
        </is>
      </c>
      <c r="I9053" t="n">
        <v>1</v>
      </c>
      <c r="J9053" t="n">
        <v>0</v>
      </c>
      <c r="K9053" t="n">
        <v>0</v>
      </c>
      <c r="L9053" t="n">
        <v>0</v>
      </c>
      <c r="M9053" t="n">
        <v>0</v>
      </c>
      <c r="N9053" t="n">
        <v>0</v>
      </c>
      <c r="O9053" t="n">
        <v>0</v>
      </c>
      <c r="P9053" t="n">
        <v>0</v>
      </c>
      <c r="Q9053" t="n">
        <v>0</v>
      </c>
      <c r="R9053" t="n">
        <v>0</v>
      </c>
      <c r="S9053" t="n">
        <v>0</v>
      </c>
      <c r="T9053" t="n">
        <v>0</v>
      </c>
      <c r="U9053" t="n">
        <v>0</v>
      </c>
      <c r="V9053" s="2" t="inlineStr"/>
    </row>
    <row r="9054" ht="15" customHeight="1">
      <c r="A9054" t="inlineStr">
        <is>
          <t>A 24002-2024</t>
        </is>
      </c>
      <c r="B9054" t="inlineStr">
        <is>
          <t>avverkningsanmälan</t>
        </is>
      </c>
      <c r="C9054" t="inlineStr">
        <is>
          <t>Föryngringsavverkning</t>
        </is>
      </c>
      <c r="D9054" s="1" t="n">
        <v>45456</v>
      </c>
      <c r="E9054" s="1" t="n">
        <v>46319</v>
      </c>
      <c r="F9054" t="inlineStr">
        <is>
          <t>DALARNAS LÄN</t>
        </is>
      </c>
      <c r="G9054" t="inlineStr">
        <is>
          <t>ÄLVDALEN</t>
        </is>
      </c>
      <c r="I9054" t="n">
        <v>1</v>
      </c>
      <c r="J9054" t="n">
        <v>0</v>
      </c>
      <c r="K9054" t="n">
        <v>0</v>
      </c>
      <c r="L9054" t="n">
        <v>0</v>
      </c>
      <c r="M9054" t="n">
        <v>0</v>
      </c>
      <c r="N9054" t="n">
        <v>0</v>
      </c>
      <c r="O9054" t="n">
        <v>0</v>
      </c>
      <c r="P9054" t="n">
        <v>0</v>
      </c>
      <c r="Q9054" t="n">
        <v>0</v>
      </c>
      <c r="R9054" t="n">
        <v>0</v>
      </c>
      <c r="S9054" t="n">
        <v>0</v>
      </c>
      <c r="T9054" t="n">
        <v>0</v>
      </c>
      <c r="U9054" t="n">
        <v>0</v>
      </c>
      <c r="V9054" s="2" t="inlineStr"/>
    </row>
    <row r="9055" ht="15" customHeight="1">
      <c r="A9055" t="inlineStr">
        <is>
          <t>A 40642-2023</t>
        </is>
      </c>
      <c r="B9055" t="inlineStr">
        <is>
          <t>avverkningsanmälan</t>
        </is>
      </c>
      <c r="C9055" t="inlineStr">
        <is>
          <t>Föryngringsavverkning</t>
        </is>
      </c>
      <c r="D9055" s="1" t="n">
        <v>45169</v>
      </c>
      <c r="E9055" s="1" t="n">
        <v>46319</v>
      </c>
      <c r="F9055" t="inlineStr">
        <is>
          <t>DALARNAS LÄN</t>
        </is>
      </c>
      <c r="G9055" t="inlineStr">
        <is>
          <t>LEKSAND</t>
        </is>
      </c>
      <c r="I9055" t="n">
        <v>1.9</v>
      </c>
      <c r="J9055" t="n">
        <v>0</v>
      </c>
      <c r="K9055" t="n">
        <v>0</v>
      </c>
      <c r="L9055" t="n">
        <v>0</v>
      </c>
      <c r="M9055" t="n">
        <v>0</v>
      </c>
      <c r="N9055" t="n">
        <v>0</v>
      </c>
      <c r="O9055" t="n">
        <v>0</v>
      </c>
      <c r="P9055" t="n">
        <v>0</v>
      </c>
      <c r="Q9055" t="n">
        <v>0</v>
      </c>
      <c r="R9055" t="n">
        <v>0</v>
      </c>
      <c r="S9055" t="n">
        <v>0</v>
      </c>
      <c r="T9055" t="n">
        <v>0</v>
      </c>
      <c r="U9055" t="n">
        <v>0</v>
      </c>
      <c r="V9055" s="2" t="inlineStr"/>
    </row>
    <row r="9056" ht="15" customHeight="1">
      <c r="A9056" t="inlineStr">
        <is>
          <t>A 22772-2023</t>
        </is>
      </c>
      <c r="B9056" t="inlineStr">
        <is>
          <t>avverkningsanmälan</t>
        </is>
      </c>
      <c r="C9056" t="inlineStr">
        <is>
          <t>Föryngringsavverkning</t>
        </is>
      </c>
      <c r="D9056" s="1" t="n">
        <v>45072</v>
      </c>
      <c r="E9056" s="1" t="n">
        <v>46319</v>
      </c>
      <c r="F9056" t="inlineStr">
        <is>
          <t>DALARNAS LÄN</t>
        </is>
      </c>
      <c r="G9056" t="inlineStr">
        <is>
          <t>MALUNG-SÄLEN</t>
        </is>
      </c>
      <c r="H9056" t="inlineStr">
        <is>
          <t>Bergvik skog öst AB</t>
        </is>
      </c>
      <c r="I9056" t="n">
        <v>1.2</v>
      </c>
      <c r="J9056" t="n">
        <v>0</v>
      </c>
      <c r="K9056" t="n">
        <v>0</v>
      </c>
      <c r="L9056" t="n">
        <v>0</v>
      </c>
      <c r="M9056" t="n">
        <v>0</v>
      </c>
      <c r="N9056" t="n">
        <v>0</v>
      </c>
      <c r="O9056" t="n">
        <v>0</v>
      </c>
      <c r="P9056" t="n">
        <v>0</v>
      </c>
      <c r="Q9056" t="n">
        <v>0</v>
      </c>
      <c r="R9056" t="n">
        <v>0</v>
      </c>
      <c r="S9056" t="n">
        <v>0</v>
      </c>
      <c r="T9056" t="n">
        <v>0</v>
      </c>
      <c r="U9056" t="n">
        <v>0</v>
      </c>
      <c r="V9056" s="2" t="inlineStr"/>
    </row>
    <row r="9057" ht="15" customHeight="1">
      <c r="A9057" t="inlineStr">
        <is>
          <t>A 52944-2024</t>
        </is>
      </c>
      <c r="B9057" t="inlineStr">
        <is>
          <t>avverkningsanmälan</t>
        </is>
      </c>
      <c r="C9057" t="inlineStr">
        <is>
          <t>Föryngringsavverkning</t>
        </is>
      </c>
      <c r="D9057" s="1" t="n">
        <v>45610</v>
      </c>
      <c r="E9057" s="1" t="n">
        <v>46319</v>
      </c>
      <c r="F9057" t="inlineStr">
        <is>
          <t>DALARNAS LÄN</t>
        </is>
      </c>
      <c r="G9057" t="inlineStr">
        <is>
          <t>HEDEMORA</t>
        </is>
      </c>
      <c r="H9057" t="inlineStr">
        <is>
          <t>Sveaskog</t>
        </is>
      </c>
      <c r="I9057" t="n">
        <v>1.5</v>
      </c>
      <c r="J9057" t="n">
        <v>0</v>
      </c>
      <c r="K9057" t="n">
        <v>0</v>
      </c>
      <c r="L9057" t="n">
        <v>0</v>
      </c>
      <c r="M9057" t="n">
        <v>0</v>
      </c>
      <c r="N9057" t="n">
        <v>0</v>
      </c>
      <c r="O9057" t="n">
        <v>0</v>
      </c>
      <c r="P9057" t="n">
        <v>0</v>
      </c>
      <c r="Q9057" t="n">
        <v>0</v>
      </c>
      <c r="R9057" t="n">
        <v>0</v>
      </c>
      <c r="S9057" t="n">
        <v>0</v>
      </c>
      <c r="T9057" t="n">
        <v>0</v>
      </c>
      <c r="U9057" t="n">
        <v>0</v>
      </c>
      <c r="V9057" s="2" t="inlineStr"/>
    </row>
    <row r="9058" ht="15" customHeight="1">
      <c r="A9058" t="inlineStr">
        <is>
          <t>A 18974-2024</t>
        </is>
      </c>
      <c r="B9058" t="inlineStr">
        <is>
          <t>avverkningsanmälan</t>
        </is>
      </c>
      <c r="C9058" t="inlineStr">
        <is>
          <t>Föryngringsavverkning</t>
        </is>
      </c>
      <c r="D9058" s="1" t="n">
        <v>45427</v>
      </c>
      <c r="E9058" s="1" t="n">
        <v>46319</v>
      </c>
      <c r="F9058" t="inlineStr">
        <is>
          <t>DALARNAS LÄN</t>
        </is>
      </c>
      <c r="G9058" t="inlineStr">
        <is>
          <t>SÄTER</t>
        </is>
      </c>
      <c r="I9058" t="n">
        <v>0.8</v>
      </c>
      <c r="J9058" t="n">
        <v>0</v>
      </c>
      <c r="K9058" t="n">
        <v>0</v>
      </c>
      <c r="L9058" t="n">
        <v>0</v>
      </c>
      <c r="M9058" t="n">
        <v>0</v>
      </c>
      <c r="N9058" t="n">
        <v>0</v>
      </c>
      <c r="O9058" t="n">
        <v>0</v>
      </c>
      <c r="P9058" t="n">
        <v>0</v>
      </c>
      <c r="Q9058" t="n">
        <v>0</v>
      </c>
      <c r="R9058" t="n">
        <v>0</v>
      </c>
      <c r="S9058" t="n">
        <v>0</v>
      </c>
      <c r="T9058" t="n">
        <v>0</v>
      </c>
      <c r="U9058" t="n">
        <v>0</v>
      </c>
      <c r="V9058" s="2" t="inlineStr"/>
    </row>
    <row r="9059" ht="15" customHeight="1">
      <c r="A9059" t="inlineStr">
        <is>
          <t>A 19033-2024</t>
        </is>
      </c>
      <c r="B9059" t="inlineStr">
        <is>
          <t>avverkningsanmälan</t>
        </is>
      </c>
      <c r="C9059" t="inlineStr">
        <is>
          <t>Föryngringsavverkning</t>
        </is>
      </c>
      <c r="D9059" s="1" t="n">
        <v>45427</v>
      </c>
      <c r="E9059" s="1" t="n">
        <v>46319</v>
      </c>
      <c r="F9059" t="inlineStr">
        <is>
          <t>DALARNAS LÄN</t>
        </is>
      </c>
      <c r="G9059" t="inlineStr">
        <is>
          <t>GAGNEF</t>
        </is>
      </c>
      <c r="I9059" t="n">
        <v>7.2</v>
      </c>
      <c r="J9059" t="n">
        <v>0</v>
      </c>
      <c r="K9059" t="n">
        <v>0</v>
      </c>
      <c r="L9059" t="n">
        <v>0</v>
      </c>
      <c r="M9059" t="n">
        <v>0</v>
      </c>
      <c r="N9059" t="n">
        <v>0</v>
      </c>
      <c r="O9059" t="n">
        <v>0</v>
      </c>
      <c r="P9059" t="n">
        <v>0</v>
      </c>
      <c r="Q9059" t="n">
        <v>0</v>
      </c>
      <c r="R9059" t="n">
        <v>0</v>
      </c>
      <c r="S9059" t="n">
        <v>0</v>
      </c>
      <c r="T9059" t="n">
        <v>0</v>
      </c>
      <c r="U9059" t="n">
        <v>0</v>
      </c>
      <c r="V9059" s="2" t="inlineStr"/>
    </row>
    <row r="9060" ht="15" customHeight="1">
      <c r="A9060" t="inlineStr">
        <is>
          <t>A 47854-2023</t>
        </is>
      </c>
      <c r="B9060" t="inlineStr">
        <is>
          <t>avverkningsanmälan</t>
        </is>
      </c>
      <c r="C9060" t="inlineStr">
        <is>
          <t>Föryngringsavverkning</t>
        </is>
      </c>
      <c r="D9060" s="1" t="n">
        <v>45198</v>
      </c>
      <c r="E9060" s="1" t="n">
        <v>46319</v>
      </c>
      <c r="F9060" t="inlineStr">
        <is>
          <t>DALARNAS LÄN</t>
        </is>
      </c>
      <c r="G9060" t="inlineStr">
        <is>
          <t>LEKSAND</t>
        </is>
      </c>
      <c r="I9060" t="n">
        <v>1</v>
      </c>
      <c r="J9060" t="n">
        <v>0</v>
      </c>
      <c r="K9060" t="n">
        <v>0</v>
      </c>
      <c r="L9060" t="n">
        <v>0</v>
      </c>
      <c r="M9060" t="n">
        <v>0</v>
      </c>
      <c r="N9060" t="n">
        <v>0</v>
      </c>
      <c r="O9060" t="n">
        <v>0</v>
      </c>
      <c r="P9060" t="n">
        <v>0</v>
      </c>
      <c r="Q9060" t="n">
        <v>0</v>
      </c>
      <c r="R9060" t="n">
        <v>0</v>
      </c>
      <c r="S9060" t="n">
        <v>0</v>
      </c>
      <c r="T9060" t="n">
        <v>0</v>
      </c>
      <c r="U9060" t="n">
        <v>0</v>
      </c>
      <c r="V9060" s="2" t="inlineStr"/>
    </row>
    <row r="9061" ht="15" customHeight="1">
      <c r="A9061" t="inlineStr">
        <is>
          <t>A 47513-2023</t>
        </is>
      </c>
      <c r="B9061" t="inlineStr">
        <is>
          <t>avverkningsanmälan</t>
        </is>
      </c>
      <c r="C9061" t="inlineStr">
        <is>
          <t>Föryngringsavverkning</t>
        </is>
      </c>
      <c r="D9061" s="1" t="n">
        <v>45203</v>
      </c>
      <c r="E9061" s="1" t="n">
        <v>46319</v>
      </c>
      <c r="F9061" t="inlineStr">
        <is>
          <t>DALARNAS LÄN</t>
        </is>
      </c>
      <c r="G9061" t="inlineStr">
        <is>
          <t>MALUNG-SÄLEN</t>
        </is>
      </c>
      <c r="I9061" t="n">
        <v>3</v>
      </c>
      <c r="J9061" t="n">
        <v>0</v>
      </c>
      <c r="K9061" t="n">
        <v>0</v>
      </c>
      <c r="L9061" t="n">
        <v>0</v>
      </c>
      <c r="M9061" t="n">
        <v>0</v>
      </c>
      <c r="N9061" t="n">
        <v>0</v>
      </c>
      <c r="O9061" t="n">
        <v>0</v>
      </c>
      <c r="P9061" t="n">
        <v>0</v>
      </c>
      <c r="Q9061" t="n">
        <v>0</v>
      </c>
      <c r="R9061" t="n">
        <v>0</v>
      </c>
      <c r="S9061" t="n">
        <v>0</v>
      </c>
      <c r="T9061" t="n">
        <v>0</v>
      </c>
      <c r="U9061" t="n">
        <v>0</v>
      </c>
      <c r="V9061" s="2" t="inlineStr"/>
    </row>
    <row r="9062" ht="15" customHeight="1">
      <c r="A9062" t="inlineStr">
        <is>
          <t>A 32602-2023</t>
        </is>
      </c>
      <c r="B9062" t="inlineStr">
        <is>
          <t>avverkningsanmälan</t>
        </is>
      </c>
      <c r="C9062" t="inlineStr">
        <is>
          <t>Föryngringsavverkning</t>
        </is>
      </c>
      <c r="D9062" s="1" t="n">
        <v>45121</v>
      </c>
      <c r="E9062" s="1" t="n">
        <v>46319</v>
      </c>
      <c r="F9062" t="inlineStr">
        <is>
          <t>DALARNAS LÄN</t>
        </is>
      </c>
      <c r="G9062" t="inlineStr">
        <is>
          <t>MALUNG-SÄLEN</t>
        </is>
      </c>
      <c r="H9062" t="inlineStr">
        <is>
          <t>Bergvik skog öst AB</t>
        </is>
      </c>
      <c r="I9062" t="n">
        <v>0.4</v>
      </c>
      <c r="J9062" t="n">
        <v>0</v>
      </c>
      <c r="K9062" t="n">
        <v>0</v>
      </c>
      <c r="L9062" t="n">
        <v>0</v>
      </c>
      <c r="M9062" t="n">
        <v>0</v>
      </c>
      <c r="N9062" t="n">
        <v>0</v>
      </c>
      <c r="O9062" t="n">
        <v>0</v>
      </c>
      <c r="P9062" t="n">
        <v>0</v>
      </c>
      <c r="Q9062" t="n">
        <v>0</v>
      </c>
      <c r="R9062" t="n">
        <v>0</v>
      </c>
      <c r="S9062" t="n">
        <v>0</v>
      </c>
      <c r="T9062" t="n">
        <v>0</v>
      </c>
      <c r="U9062" t="n">
        <v>0</v>
      </c>
      <c r="V9062" s="2" t="inlineStr"/>
    </row>
    <row r="9063" ht="15" customHeight="1">
      <c r="A9063" t="inlineStr">
        <is>
          <t>A 21697-2023</t>
        </is>
      </c>
      <c r="B9063" t="inlineStr">
        <is>
          <t>avverkningsanmälan</t>
        </is>
      </c>
      <c r="C9063" t="inlineStr">
        <is>
          <t>Föryngringsavverkning</t>
        </is>
      </c>
      <c r="D9063" s="1" t="n">
        <v>45063</v>
      </c>
      <c r="E9063" s="1" t="n">
        <v>46319</v>
      </c>
      <c r="F9063" t="inlineStr">
        <is>
          <t>DALARNAS LÄN</t>
        </is>
      </c>
      <c r="G9063" t="inlineStr">
        <is>
          <t>SÄTER</t>
        </is>
      </c>
      <c r="H9063" t="inlineStr">
        <is>
          <t>Kommuner</t>
        </is>
      </c>
      <c r="I9063" t="n">
        <v>1.9</v>
      </c>
      <c r="J9063" t="n">
        <v>0</v>
      </c>
      <c r="K9063" t="n">
        <v>0</v>
      </c>
      <c r="L9063" t="n">
        <v>0</v>
      </c>
      <c r="M9063" t="n">
        <v>0</v>
      </c>
      <c r="N9063" t="n">
        <v>0</v>
      </c>
      <c r="O9063" t="n">
        <v>0</v>
      </c>
      <c r="P9063" t="n">
        <v>0</v>
      </c>
      <c r="Q9063" t="n">
        <v>0</v>
      </c>
      <c r="R9063" t="n">
        <v>0</v>
      </c>
      <c r="S9063" t="n">
        <v>0</v>
      </c>
      <c r="T9063" t="n">
        <v>0</v>
      </c>
      <c r="U9063" t="n">
        <v>0</v>
      </c>
      <c r="V9063" s="2" t="inlineStr"/>
    </row>
    <row r="9064" ht="15" customHeight="1">
      <c r="A9064" t="inlineStr">
        <is>
          <t>A 8126-2024</t>
        </is>
      </c>
      <c r="B9064" t="inlineStr">
        <is>
          <t>avverkningsanmälan</t>
        </is>
      </c>
      <c r="C9064" t="inlineStr">
        <is>
          <t>Föryngringsavverkning</t>
        </is>
      </c>
      <c r="D9064" s="1" t="n">
        <v>45351</v>
      </c>
      <c r="E9064" s="1" t="n">
        <v>46319</v>
      </c>
      <c r="F9064" t="inlineStr">
        <is>
          <t>DALARNAS LÄN</t>
        </is>
      </c>
      <c r="G9064" t="inlineStr">
        <is>
          <t>RÄTTVIK</t>
        </is>
      </c>
      <c r="I9064" t="n">
        <v>4.3</v>
      </c>
      <c r="J9064" t="n">
        <v>0</v>
      </c>
      <c r="K9064" t="n">
        <v>0</v>
      </c>
      <c r="L9064" t="n">
        <v>0</v>
      </c>
      <c r="M9064" t="n">
        <v>0</v>
      </c>
      <c r="N9064" t="n">
        <v>0</v>
      </c>
      <c r="O9064" t="n">
        <v>0</v>
      </c>
      <c r="P9064" t="n">
        <v>0</v>
      </c>
      <c r="Q9064" t="n">
        <v>0</v>
      </c>
      <c r="R9064" t="n">
        <v>0</v>
      </c>
      <c r="S9064" t="n">
        <v>0</v>
      </c>
      <c r="T9064" t="n">
        <v>0</v>
      </c>
      <c r="U9064" t="n">
        <v>0</v>
      </c>
      <c r="V9064" s="2" t="inlineStr"/>
    </row>
    <row r="9065" ht="15" customHeight="1">
      <c r="A9065" t="inlineStr">
        <is>
          <t>A 23899-2023</t>
        </is>
      </c>
      <c r="B9065" t="inlineStr">
        <is>
          <t>avverkningsanmälan</t>
        </is>
      </c>
      <c r="C9065" t="inlineStr">
        <is>
          <t>Föryngringsavverkning</t>
        </is>
      </c>
      <c r="D9065" s="1" t="n">
        <v>45078</v>
      </c>
      <c r="E9065" s="1" t="n">
        <v>46319</v>
      </c>
      <c r="F9065" t="inlineStr">
        <is>
          <t>DALARNAS LÄN</t>
        </is>
      </c>
      <c r="G9065" t="inlineStr">
        <is>
          <t>VANSBRO</t>
        </is>
      </c>
      <c r="I9065" t="n">
        <v>3</v>
      </c>
      <c r="J9065" t="n">
        <v>0</v>
      </c>
      <c r="K9065" t="n">
        <v>0</v>
      </c>
      <c r="L9065" t="n">
        <v>0</v>
      </c>
      <c r="M9065" t="n">
        <v>0</v>
      </c>
      <c r="N9065" t="n">
        <v>0</v>
      </c>
      <c r="O9065" t="n">
        <v>0</v>
      </c>
      <c r="P9065" t="n">
        <v>0</v>
      </c>
      <c r="Q9065" t="n">
        <v>0</v>
      </c>
      <c r="R9065" t="n">
        <v>0</v>
      </c>
      <c r="S9065" t="n">
        <v>0</v>
      </c>
      <c r="T9065" t="n">
        <v>0</v>
      </c>
      <c r="U9065" t="n">
        <v>0</v>
      </c>
      <c r="V9065" s="2" t="inlineStr"/>
    </row>
    <row r="9066" ht="15" customHeight="1">
      <c r="A9066" t="inlineStr">
        <is>
          <t>A 39136-2023</t>
        </is>
      </c>
      <c r="B9066" t="inlineStr">
        <is>
          <t>avverkningsanmälan</t>
        </is>
      </c>
      <c r="C9066" t="inlineStr">
        <is>
          <t>Avverkning för annat ändamål</t>
        </is>
      </c>
      <c r="D9066" s="1" t="n">
        <v>45165</v>
      </c>
      <c r="E9066" s="1" t="n">
        <v>46319</v>
      </c>
      <c r="F9066" t="inlineStr">
        <is>
          <t>DALARNAS LÄN</t>
        </is>
      </c>
      <c r="G9066" t="inlineStr">
        <is>
          <t>LEKSAND</t>
        </is>
      </c>
      <c r="I9066" t="n">
        <v>0.3</v>
      </c>
      <c r="J9066" t="n">
        <v>0</v>
      </c>
      <c r="K9066" t="n">
        <v>0</v>
      </c>
      <c r="L9066" t="n">
        <v>0</v>
      </c>
      <c r="M9066" t="n">
        <v>0</v>
      </c>
      <c r="N9066" t="n">
        <v>0</v>
      </c>
      <c r="O9066" t="n">
        <v>0</v>
      </c>
      <c r="P9066" t="n">
        <v>0</v>
      </c>
      <c r="Q9066" t="n">
        <v>0</v>
      </c>
      <c r="R9066" t="n">
        <v>0</v>
      </c>
      <c r="S9066" t="n">
        <v>0</v>
      </c>
      <c r="T9066" t="n">
        <v>0</v>
      </c>
      <c r="U9066" t="n">
        <v>0</v>
      </c>
      <c r="V9066" s="2" t="inlineStr"/>
    </row>
    <row r="9067" ht="15" customHeight="1">
      <c r="A9067" t="inlineStr">
        <is>
          <t>A 61758-2024</t>
        </is>
      </c>
      <c r="B9067" t="inlineStr">
        <is>
          <t>avverkningsanmälan</t>
        </is>
      </c>
      <c r="C9067" t="inlineStr">
        <is>
          <t>Föryngringsavverkning</t>
        </is>
      </c>
      <c r="D9067" s="1" t="n">
        <v>45649</v>
      </c>
      <c r="E9067" s="1" t="n">
        <v>46319</v>
      </c>
      <c r="F9067" t="inlineStr">
        <is>
          <t>DALARNAS LÄN</t>
        </is>
      </c>
      <c r="G9067" t="inlineStr">
        <is>
          <t>AVESTA</t>
        </is>
      </c>
      <c r="I9067" t="n">
        <v>7.1</v>
      </c>
      <c r="J9067" t="n">
        <v>0</v>
      </c>
      <c r="K9067" t="n">
        <v>0</v>
      </c>
      <c r="L9067" t="n">
        <v>0</v>
      </c>
      <c r="M9067" t="n">
        <v>0</v>
      </c>
      <c r="N9067" t="n">
        <v>0</v>
      </c>
      <c r="O9067" t="n">
        <v>0</v>
      </c>
      <c r="P9067" t="n">
        <v>0</v>
      </c>
      <c r="Q9067" t="n">
        <v>0</v>
      </c>
      <c r="R9067" t="n">
        <v>0</v>
      </c>
      <c r="S9067" t="n">
        <v>0</v>
      </c>
      <c r="T9067" t="n">
        <v>0</v>
      </c>
      <c r="U9067" t="n">
        <v>0</v>
      </c>
      <c r="V9067" s="2" t="inlineStr"/>
    </row>
    <row r="9068" ht="15" customHeight="1">
      <c r="A9068" t="inlineStr">
        <is>
          <t>A 5311-2025</t>
        </is>
      </c>
      <c r="B9068" t="inlineStr">
        <is>
          <t>avverkningsanmälan</t>
        </is>
      </c>
      <c r="C9068" t="inlineStr">
        <is>
          <t>Föryngringsavverkning</t>
        </is>
      </c>
      <c r="D9068" s="1" t="n">
        <v>45692</v>
      </c>
      <c r="E9068" s="1" t="n">
        <v>46319</v>
      </c>
      <c r="F9068" t="inlineStr">
        <is>
          <t>DALARNAS LÄN</t>
        </is>
      </c>
      <c r="G9068" t="inlineStr">
        <is>
          <t>FALUN</t>
        </is>
      </c>
      <c r="I9068" t="n">
        <v>5</v>
      </c>
      <c r="J9068" t="n">
        <v>0</v>
      </c>
      <c r="K9068" t="n">
        <v>0</v>
      </c>
      <c r="L9068" t="n">
        <v>0</v>
      </c>
      <c r="M9068" t="n">
        <v>0</v>
      </c>
      <c r="N9068" t="n">
        <v>0</v>
      </c>
      <c r="O9068" t="n">
        <v>0</v>
      </c>
      <c r="P9068" t="n">
        <v>0</v>
      </c>
      <c r="Q9068" t="n">
        <v>0</v>
      </c>
      <c r="R9068" t="n">
        <v>0</v>
      </c>
      <c r="S9068" t="n">
        <v>0</v>
      </c>
      <c r="T9068" t="n">
        <v>0</v>
      </c>
      <c r="U9068" t="n">
        <v>0</v>
      </c>
      <c r="V9068" s="2" t="inlineStr"/>
    </row>
    <row r="9069" ht="15" customHeight="1">
      <c r="A9069" t="inlineStr">
        <is>
          <t>A 2722-2025</t>
        </is>
      </c>
      <c r="B9069" t="inlineStr">
        <is>
          <t>avverkningsanmälan</t>
        </is>
      </c>
      <c r="C9069" t="inlineStr">
        <is>
          <t>Föryngringsavverkning</t>
        </is>
      </c>
      <c r="D9069" s="1" t="n">
        <v>45677</v>
      </c>
      <c r="E9069" s="1" t="n">
        <v>46319</v>
      </c>
      <c r="F9069" t="inlineStr">
        <is>
          <t>DALARNAS LÄN</t>
        </is>
      </c>
      <c r="G9069" t="inlineStr">
        <is>
          <t>MALUNG-SÄLEN</t>
        </is>
      </c>
      <c r="I9069" t="n">
        <v>1.6</v>
      </c>
      <c r="J9069" t="n">
        <v>0</v>
      </c>
      <c r="K9069" t="n">
        <v>0</v>
      </c>
      <c r="L9069" t="n">
        <v>0</v>
      </c>
      <c r="M9069" t="n">
        <v>0</v>
      </c>
      <c r="N9069" t="n">
        <v>0</v>
      </c>
      <c r="O9069" t="n">
        <v>0</v>
      </c>
      <c r="P9069" t="n">
        <v>0</v>
      </c>
      <c r="Q9069" t="n">
        <v>0</v>
      </c>
      <c r="R9069" t="n">
        <v>0</v>
      </c>
      <c r="S9069" t="n">
        <v>0</v>
      </c>
      <c r="T9069" t="n">
        <v>0</v>
      </c>
      <c r="U9069" t="n">
        <v>0</v>
      </c>
      <c r="V9069" s="2" t="inlineStr"/>
    </row>
    <row r="9070" ht="15" customHeight="1">
      <c r="A9070" t="inlineStr">
        <is>
          <t>A 2734-2025</t>
        </is>
      </c>
      <c r="B9070" t="inlineStr">
        <is>
          <t>avverkningsanmälan</t>
        </is>
      </c>
      <c r="C9070" t="inlineStr">
        <is>
          <t>Föryngringsavverkning</t>
        </is>
      </c>
      <c r="D9070" s="1" t="n">
        <v>45677</v>
      </c>
      <c r="E9070" s="1" t="n">
        <v>46319</v>
      </c>
      <c r="F9070" t="inlineStr">
        <is>
          <t>DALARNAS LÄN</t>
        </is>
      </c>
      <c r="G9070" t="inlineStr">
        <is>
          <t>RÄTTVIK</t>
        </is>
      </c>
      <c r="I9070" t="n">
        <v>0.8</v>
      </c>
      <c r="J9070" t="n">
        <v>0</v>
      </c>
      <c r="K9070" t="n">
        <v>0</v>
      </c>
      <c r="L9070" t="n">
        <v>0</v>
      </c>
      <c r="M9070" t="n">
        <v>0</v>
      </c>
      <c r="N9070" t="n">
        <v>0</v>
      </c>
      <c r="O9070" t="n">
        <v>0</v>
      </c>
      <c r="P9070" t="n">
        <v>0</v>
      </c>
      <c r="Q9070" t="n">
        <v>0</v>
      </c>
      <c r="R9070" t="n">
        <v>0</v>
      </c>
      <c r="S9070" t="n">
        <v>0</v>
      </c>
      <c r="T9070" t="n">
        <v>0</v>
      </c>
      <c r="U9070" t="n">
        <v>0</v>
      </c>
      <c r="V9070" s="2" t="inlineStr"/>
    </row>
    <row r="9071" ht="15" customHeight="1">
      <c r="A9071" t="inlineStr">
        <is>
          <t>A 43915-2024</t>
        </is>
      </c>
      <c r="B9071" t="inlineStr">
        <is>
          <t>avverkningsanmälan</t>
        </is>
      </c>
      <c r="C9071" t="inlineStr">
        <is>
          <t>Föryngringsavverkning</t>
        </is>
      </c>
      <c r="D9071" s="1" t="n">
        <v>45572</v>
      </c>
      <c r="E9071" s="1" t="n">
        <v>46319</v>
      </c>
      <c r="F9071" t="inlineStr">
        <is>
          <t>DALARNAS LÄN</t>
        </is>
      </c>
      <c r="G9071" t="inlineStr">
        <is>
          <t>GAGNEF</t>
        </is>
      </c>
      <c r="I9071" t="n">
        <v>3.5</v>
      </c>
      <c r="J9071" t="n">
        <v>0</v>
      </c>
      <c r="K9071" t="n">
        <v>0</v>
      </c>
      <c r="L9071" t="n">
        <v>0</v>
      </c>
      <c r="M9071" t="n">
        <v>0</v>
      </c>
      <c r="N9071" t="n">
        <v>0</v>
      </c>
      <c r="O9071" t="n">
        <v>0</v>
      </c>
      <c r="P9071" t="n">
        <v>0</v>
      </c>
      <c r="Q9071" t="n">
        <v>0</v>
      </c>
      <c r="R9071" t="n">
        <v>0</v>
      </c>
      <c r="S9071" t="n">
        <v>0</v>
      </c>
      <c r="T9071" t="n">
        <v>0</v>
      </c>
      <c r="U9071" t="n">
        <v>0</v>
      </c>
      <c r="V9071" s="2" t="inlineStr"/>
    </row>
    <row r="9072" ht="15" customHeight="1">
      <c r="A9072" t="inlineStr">
        <is>
          <t>A 51958-2024</t>
        </is>
      </c>
      <c r="B9072" t="inlineStr">
        <is>
          <t>avverkningsanmälan</t>
        </is>
      </c>
      <c r="C9072" t="inlineStr">
        <is>
          <t>Föryngringsavverkning</t>
        </is>
      </c>
      <c r="D9072" s="1" t="n">
        <v>45607</v>
      </c>
      <c r="E9072" s="1" t="n">
        <v>46319</v>
      </c>
      <c r="F9072" t="inlineStr">
        <is>
          <t>DALARNAS LÄN</t>
        </is>
      </c>
      <c r="G9072" t="inlineStr">
        <is>
          <t>FALUN</t>
        </is>
      </c>
      <c r="H9072" t="inlineStr">
        <is>
          <t>Bergvik skog väst AB</t>
        </is>
      </c>
      <c r="I9072" t="n">
        <v>1.4</v>
      </c>
      <c r="J9072" t="n">
        <v>0</v>
      </c>
      <c r="K9072" t="n">
        <v>0</v>
      </c>
      <c r="L9072" t="n">
        <v>0</v>
      </c>
      <c r="M9072" t="n">
        <v>0</v>
      </c>
      <c r="N9072" t="n">
        <v>0</v>
      </c>
      <c r="O9072" t="n">
        <v>0</v>
      </c>
      <c r="P9072" t="n">
        <v>0</v>
      </c>
      <c r="Q9072" t="n">
        <v>0</v>
      </c>
      <c r="R9072" t="n">
        <v>0</v>
      </c>
      <c r="S9072" t="n">
        <v>0</v>
      </c>
      <c r="T9072" t="n">
        <v>0</v>
      </c>
      <c r="U9072" t="n">
        <v>0</v>
      </c>
      <c r="V9072" s="2" t="inlineStr"/>
    </row>
    <row r="9073" ht="15" customHeight="1">
      <c r="A9073" t="inlineStr">
        <is>
          <t>A 3990-2025</t>
        </is>
      </c>
      <c r="B9073" t="inlineStr">
        <is>
          <t>avverkningsanmälan</t>
        </is>
      </c>
      <c r="C9073" t="inlineStr">
        <is>
          <t>Föryngringsavverkning</t>
        </is>
      </c>
      <c r="D9073" s="1" t="n">
        <v>45684</v>
      </c>
      <c r="E9073" s="1" t="n">
        <v>46319</v>
      </c>
      <c r="F9073" t="inlineStr">
        <is>
          <t>DALARNAS LÄN</t>
        </is>
      </c>
      <c r="G9073" t="inlineStr">
        <is>
          <t>AVESTA</t>
        </is>
      </c>
      <c r="I9073" t="n">
        <v>0.8</v>
      </c>
      <c r="J9073" t="n">
        <v>0</v>
      </c>
      <c r="K9073" t="n">
        <v>0</v>
      </c>
      <c r="L9073" t="n">
        <v>0</v>
      </c>
      <c r="M9073" t="n">
        <v>0</v>
      </c>
      <c r="N9073" t="n">
        <v>0</v>
      </c>
      <c r="O9073" t="n">
        <v>0</v>
      </c>
      <c r="P9073" t="n">
        <v>0</v>
      </c>
      <c r="Q9073" t="n">
        <v>0</v>
      </c>
      <c r="R9073" t="n">
        <v>0</v>
      </c>
      <c r="S9073" t="n">
        <v>0</v>
      </c>
      <c r="T9073" t="n">
        <v>0</v>
      </c>
      <c r="U9073" t="n">
        <v>0</v>
      </c>
      <c r="V9073" s="2" t="inlineStr"/>
    </row>
    <row r="9074" ht="15" customHeight="1">
      <c r="A9074" t="inlineStr">
        <is>
          <t>A 56481-2024</t>
        </is>
      </c>
      <c r="B9074" t="inlineStr">
        <is>
          <t>avverkningsanmälan</t>
        </is>
      </c>
      <c r="C9074" t="inlineStr">
        <is>
          <t>Föryngringsavverkning</t>
        </is>
      </c>
      <c r="D9074" s="1" t="n">
        <v>45625</v>
      </c>
      <c r="E9074" s="1" t="n">
        <v>46319</v>
      </c>
      <c r="F9074" t="inlineStr">
        <is>
          <t>DALARNAS LÄN</t>
        </is>
      </c>
      <c r="G9074" t="inlineStr">
        <is>
          <t>FALUN</t>
        </is>
      </c>
      <c r="H9074" t="inlineStr">
        <is>
          <t>Bergvik skog väst AB</t>
        </is>
      </c>
      <c r="I9074" t="n">
        <v>8.199999999999999</v>
      </c>
      <c r="J9074" t="n">
        <v>0</v>
      </c>
      <c r="K9074" t="n">
        <v>0</v>
      </c>
      <c r="L9074" t="n">
        <v>0</v>
      </c>
      <c r="M9074" t="n">
        <v>0</v>
      </c>
      <c r="N9074" t="n">
        <v>0</v>
      </c>
      <c r="O9074" t="n">
        <v>0</v>
      </c>
      <c r="P9074" t="n">
        <v>0</v>
      </c>
      <c r="Q9074" t="n">
        <v>0</v>
      </c>
      <c r="R9074" t="n">
        <v>0</v>
      </c>
      <c r="S9074" t="n">
        <v>0</v>
      </c>
      <c r="T9074" t="n">
        <v>0</v>
      </c>
      <c r="U9074" t="n">
        <v>0</v>
      </c>
      <c r="V9074" s="2" t="inlineStr"/>
    </row>
    <row r="9075" ht="15" customHeight="1">
      <c r="A9075" t="inlineStr">
        <is>
          <t>A 43729-2023</t>
        </is>
      </c>
      <c r="B9075" t="inlineStr">
        <is>
          <t>avverkningsanmälan</t>
        </is>
      </c>
      <c r="C9075" t="inlineStr">
        <is>
          <t>Föryngringsavverkning</t>
        </is>
      </c>
      <c r="D9075" s="1" t="n">
        <v>45187</v>
      </c>
      <c r="E9075" s="1" t="n">
        <v>46319</v>
      </c>
      <c r="F9075" t="inlineStr">
        <is>
          <t>DALARNAS LÄN</t>
        </is>
      </c>
      <c r="G9075" t="inlineStr">
        <is>
          <t>RÄTTVIK</t>
        </is>
      </c>
      <c r="I9075" t="n">
        <v>1.8</v>
      </c>
      <c r="J9075" t="n">
        <v>0</v>
      </c>
      <c r="K9075" t="n">
        <v>0</v>
      </c>
      <c r="L9075" t="n">
        <v>0</v>
      </c>
      <c r="M9075" t="n">
        <v>0</v>
      </c>
      <c r="N9075" t="n">
        <v>0</v>
      </c>
      <c r="O9075" t="n">
        <v>0</v>
      </c>
      <c r="P9075" t="n">
        <v>0</v>
      </c>
      <c r="Q9075" t="n">
        <v>0</v>
      </c>
      <c r="R9075" t="n">
        <v>0</v>
      </c>
      <c r="S9075" t="n">
        <v>0</v>
      </c>
      <c r="T9075" t="n">
        <v>0</v>
      </c>
      <c r="U9075" t="n">
        <v>0</v>
      </c>
      <c r="V9075" s="2" t="inlineStr"/>
    </row>
    <row r="9076" ht="15" customHeight="1">
      <c r="A9076" t="inlineStr">
        <is>
          <t>A 11485-2024</t>
        </is>
      </c>
      <c r="B9076" t="inlineStr">
        <is>
          <t>avverkningsanmälan</t>
        </is>
      </c>
      <c r="C9076" t="inlineStr">
        <is>
          <t>Avverkning för annat ändamål</t>
        </is>
      </c>
      <c r="D9076" s="1" t="n">
        <v>45372</v>
      </c>
      <c r="E9076" s="1" t="n">
        <v>46319</v>
      </c>
      <c r="F9076" t="inlineStr">
        <is>
          <t>DALARNAS LÄN</t>
        </is>
      </c>
      <c r="G9076" t="inlineStr">
        <is>
          <t>VANSBRO</t>
        </is>
      </c>
      <c r="I9076" t="n">
        <v>1.3</v>
      </c>
      <c r="J9076" t="n">
        <v>0</v>
      </c>
      <c r="K9076" t="n">
        <v>0</v>
      </c>
      <c r="L9076" t="n">
        <v>0</v>
      </c>
      <c r="M9076" t="n">
        <v>0</v>
      </c>
      <c r="N9076" t="n">
        <v>0</v>
      </c>
      <c r="O9076" t="n">
        <v>0</v>
      </c>
      <c r="P9076" t="n">
        <v>0</v>
      </c>
      <c r="Q9076" t="n">
        <v>0</v>
      </c>
      <c r="R9076" t="n">
        <v>0</v>
      </c>
      <c r="S9076" t="n">
        <v>0</v>
      </c>
      <c r="T9076" t="n">
        <v>0</v>
      </c>
      <c r="U9076" t="n">
        <v>0</v>
      </c>
      <c r="V9076" s="2" t="inlineStr"/>
    </row>
    <row r="9077" ht="15" customHeight="1">
      <c r="A9077" t="inlineStr">
        <is>
          <t>A 16174-2023</t>
        </is>
      </c>
      <c r="B9077" t="inlineStr">
        <is>
          <t>avverkningsanmälan</t>
        </is>
      </c>
      <c r="C9077" t="inlineStr">
        <is>
          <t>Avverkning för att bevara och utveckla /försöksver</t>
        </is>
      </c>
      <c r="D9077" s="1" t="n">
        <v>45027</v>
      </c>
      <c r="E9077" s="1" t="n">
        <v>46319</v>
      </c>
      <c r="F9077" t="inlineStr">
        <is>
          <t>DALARNAS LÄN</t>
        </is>
      </c>
      <c r="G9077" t="inlineStr">
        <is>
          <t>GAGNEF</t>
        </is>
      </c>
      <c r="I9077" t="n">
        <v>0.7</v>
      </c>
      <c r="J9077" t="n">
        <v>0</v>
      </c>
      <c r="K9077" t="n">
        <v>0</v>
      </c>
      <c r="L9077" t="n">
        <v>0</v>
      </c>
      <c r="M9077" t="n">
        <v>0</v>
      </c>
      <c r="N9077" t="n">
        <v>0</v>
      </c>
      <c r="O9077" t="n">
        <v>0</v>
      </c>
      <c r="P9077" t="n">
        <v>0</v>
      </c>
      <c r="Q9077" t="n">
        <v>0</v>
      </c>
      <c r="R9077" t="n">
        <v>0</v>
      </c>
      <c r="S9077" t="n">
        <v>0</v>
      </c>
      <c r="T9077" t="n">
        <v>0</v>
      </c>
      <c r="U9077" t="n">
        <v>0</v>
      </c>
      <c r="V9077" s="2" t="inlineStr"/>
    </row>
    <row r="9078" ht="15" customHeight="1">
      <c r="A9078" t="inlineStr">
        <is>
          <t>A 44469-2024</t>
        </is>
      </c>
      <c r="B9078" t="inlineStr">
        <is>
          <t>avverkningsanmälan</t>
        </is>
      </c>
      <c r="C9078" t="inlineStr">
        <is>
          <t>Föryngringsavverkning</t>
        </is>
      </c>
      <c r="D9078" s="1" t="n">
        <v>45574</v>
      </c>
      <c r="E9078" s="1" t="n">
        <v>46319</v>
      </c>
      <c r="F9078" t="inlineStr">
        <is>
          <t>DALARNAS LÄN</t>
        </is>
      </c>
      <c r="G9078" t="inlineStr">
        <is>
          <t>LEKSAND</t>
        </is>
      </c>
      <c r="I9078" t="n">
        <v>2</v>
      </c>
      <c r="J9078" t="n">
        <v>0</v>
      </c>
      <c r="K9078" t="n">
        <v>0</v>
      </c>
      <c r="L9078" t="n">
        <v>0</v>
      </c>
      <c r="M9078" t="n">
        <v>0</v>
      </c>
      <c r="N9078" t="n">
        <v>0</v>
      </c>
      <c r="O9078" t="n">
        <v>0</v>
      </c>
      <c r="P9078" t="n">
        <v>0</v>
      </c>
      <c r="Q9078" t="n">
        <v>0</v>
      </c>
      <c r="R9078" t="n">
        <v>0</v>
      </c>
      <c r="S9078" t="n">
        <v>0</v>
      </c>
      <c r="T9078" t="n">
        <v>0</v>
      </c>
      <c r="U9078" t="n">
        <v>0</v>
      </c>
      <c r="V9078" s="2" t="inlineStr"/>
    </row>
    <row r="9079" ht="15" customHeight="1">
      <c r="A9079" t="inlineStr">
        <is>
          <t>A 32301-2024</t>
        </is>
      </c>
      <c r="B9079" t="inlineStr">
        <is>
          <t>avverkningsanmälan</t>
        </is>
      </c>
      <c r="C9079" t="inlineStr">
        <is>
          <t>Föryngringsavverkning</t>
        </is>
      </c>
      <c r="D9079" s="1" t="n">
        <v>45512</v>
      </c>
      <c r="E9079" s="1" t="n">
        <v>46319</v>
      </c>
      <c r="F9079" t="inlineStr">
        <is>
          <t>DALARNAS LÄN</t>
        </is>
      </c>
      <c r="G9079" t="inlineStr">
        <is>
          <t>LUDVIKA</t>
        </is>
      </c>
      <c r="H9079" t="inlineStr">
        <is>
          <t>Bergvik skog väst AB</t>
        </is>
      </c>
      <c r="I9079" t="n">
        <v>2.8</v>
      </c>
      <c r="J9079" t="n">
        <v>0</v>
      </c>
      <c r="K9079" t="n">
        <v>0</v>
      </c>
      <c r="L9079" t="n">
        <v>0</v>
      </c>
      <c r="M9079" t="n">
        <v>0</v>
      </c>
      <c r="N9079" t="n">
        <v>0</v>
      </c>
      <c r="O9079" t="n">
        <v>0</v>
      </c>
      <c r="P9079" t="n">
        <v>0</v>
      </c>
      <c r="Q9079" t="n">
        <v>0</v>
      </c>
      <c r="R9079" t="n">
        <v>0</v>
      </c>
      <c r="S9079" t="n">
        <v>0</v>
      </c>
      <c r="T9079" t="n">
        <v>0</v>
      </c>
      <c r="U9079" t="n">
        <v>0</v>
      </c>
      <c r="V9079" s="2" t="inlineStr"/>
    </row>
    <row r="9080" ht="15" customHeight="1">
      <c r="A9080" t="inlineStr">
        <is>
          <t>A 13744-2025</t>
        </is>
      </c>
      <c r="B9080" t="inlineStr">
        <is>
          <t>avverkningsanmälan</t>
        </is>
      </c>
      <c r="C9080" t="inlineStr">
        <is>
          <t>Föryngringsavverkning</t>
        </is>
      </c>
      <c r="D9080" s="1" t="n">
        <v>45737</v>
      </c>
      <c r="E9080" s="1" t="n">
        <v>46319</v>
      </c>
      <c r="F9080" t="inlineStr">
        <is>
          <t>DALARNAS LÄN</t>
        </is>
      </c>
      <c r="G9080" t="inlineStr">
        <is>
          <t>RÄTTVIK</t>
        </is>
      </c>
      <c r="I9080" t="n">
        <v>0.7</v>
      </c>
      <c r="J9080" t="n">
        <v>0</v>
      </c>
      <c r="K9080" t="n">
        <v>0</v>
      </c>
      <c r="L9080" t="n">
        <v>0</v>
      </c>
      <c r="M9080" t="n">
        <v>0</v>
      </c>
      <c r="N9080" t="n">
        <v>0</v>
      </c>
      <c r="O9080" t="n">
        <v>0</v>
      </c>
      <c r="P9080" t="n">
        <v>0</v>
      </c>
      <c r="Q9080" t="n">
        <v>0</v>
      </c>
      <c r="R9080" t="n">
        <v>0</v>
      </c>
      <c r="S9080" t="n">
        <v>0</v>
      </c>
      <c r="T9080" t="n">
        <v>0</v>
      </c>
      <c r="U9080" t="n">
        <v>0</v>
      </c>
      <c r="V9080" s="2" t="inlineStr"/>
    </row>
    <row r="9081" ht="15" customHeight="1">
      <c r="A9081" t="inlineStr">
        <is>
          <t>A 52293-2024</t>
        </is>
      </c>
      <c r="B9081" t="inlineStr">
        <is>
          <t>avverkningsanmälan</t>
        </is>
      </c>
      <c r="C9081" t="inlineStr">
        <is>
          <t>Föryngringsavverkning</t>
        </is>
      </c>
      <c r="D9081" s="1" t="n">
        <v>45608</v>
      </c>
      <c r="E9081" s="1" t="n">
        <v>46319</v>
      </c>
      <c r="F9081" t="inlineStr">
        <is>
          <t>DALARNAS LÄN</t>
        </is>
      </c>
      <c r="G9081" t="inlineStr">
        <is>
          <t>LEKSAND</t>
        </is>
      </c>
      <c r="I9081" t="n">
        <v>1.6</v>
      </c>
      <c r="J9081" t="n">
        <v>0</v>
      </c>
      <c r="K9081" t="n">
        <v>0</v>
      </c>
      <c r="L9081" t="n">
        <v>0</v>
      </c>
      <c r="M9081" t="n">
        <v>0</v>
      </c>
      <c r="N9081" t="n">
        <v>0</v>
      </c>
      <c r="O9081" t="n">
        <v>0</v>
      </c>
      <c r="P9081" t="n">
        <v>0</v>
      </c>
      <c r="Q9081" t="n">
        <v>0</v>
      </c>
      <c r="R9081" t="n">
        <v>0</v>
      </c>
      <c r="S9081" t="n">
        <v>0</v>
      </c>
      <c r="T9081" t="n">
        <v>0</v>
      </c>
      <c r="U9081" t="n">
        <v>0</v>
      </c>
      <c r="V9081" s="2" t="inlineStr"/>
    </row>
    <row r="9082" ht="15" customHeight="1">
      <c r="A9082" t="inlineStr">
        <is>
          <t>A 12133-2025</t>
        </is>
      </c>
      <c r="B9082" t="inlineStr">
        <is>
          <t>avverkningsanmälan</t>
        </is>
      </c>
      <c r="C9082" t="inlineStr">
        <is>
          <t>Föryngringsavverkning</t>
        </is>
      </c>
      <c r="D9082" s="1" t="n">
        <v>45729</v>
      </c>
      <c r="E9082" s="1" t="n">
        <v>46319</v>
      </c>
      <c r="F9082" t="inlineStr">
        <is>
          <t>DALARNAS LÄN</t>
        </is>
      </c>
      <c r="G9082" t="inlineStr">
        <is>
          <t>HEDEMORA</t>
        </is>
      </c>
      <c r="I9082" t="n">
        <v>4.8</v>
      </c>
      <c r="J9082" t="n">
        <v>0</v>
      </c>
      <c r="K9082" t="n">
        <v>0</v>
      </c>
      <c r="L9082" t="n">
        <v>0</v>
      </c>
      <c r="M9082" t="n">
        <v>0</v>
      </c>
      <c r="N9082" t="n">
        <v>0</v>
      </c>
      <c r="O9082" t="n">
        <v>0</v>
      </c>
      <c r="P9082" t="n">
        <v>0</v>
      </c>
      <c r="Q9082" t="n">
        <v>0</v>
      </c>
      <c r="R9082" t="n">
        <v>0</v>
      </c>
      <c r="S9082" t="n">
        <v>0</v>
      </c>
      <c r="T9082" t="n">
        <v>0</v>
      </c>
      <c r="U9082" t="n">
        <v>0</v>
      </c>
      <c r="V9082" s="2" t="inlineStr"/>
    </row>
    <row r="9083" ht="15" customHeight="1">
      <c r="A9083" t="inlineStr">
        <is>
          <t>A 46876-2023</t>
        </is>
      </c>
      <c r="B9083" t="inlineStr">
        <is>
          <t>avverkningsanmälan</t>
        </is>
      </c>
      <c r="C9083" t="inlineStr">
        <is>
          <t>Föryngringsavverkning</t>
        </is>
      </c>
      <c r="D9083" s="1" t="n">
        <v>45200</v>
      </c>
      <c r="E9083" s="1" t="n">
        <v>46319</v>
      </c>
      <c r="F9083" t="inlineStr">
        <is>
          <t>DALARNAS LÄN</t>
        </is>
      </c>
      <c r="G9083" t="inlineStr">
        <is>
          <t>LEKSAND</t>
        </is>
      </c>
      <c r="I9083" t="n">
        <v>2.4</v>
      </c>
      <c r="J9083" t="n">
        <v>0</v>
      </c>
      <c r="K9083" t="n">
        <v>0</v>
      </c>
      <c r="L9083" t="n">
        <v>0</v>
      </c>
      <c r="M9083" t="n">
        <v>0</v>
      </c>
      <c r="N9083" t="n">
        <v>0</v>
      </c>
      <c r="O9083" t="n">
        <v>0</v>
      </c>
      <c r="P9083" t="n">
        <v>0</v>
      </c>
      <c r="Q9083" t="n">
        <v>0</v>
      </c>
      <c r="R9083" t="n">
        <v>0</v>
      </c>
      <c r="S9083" t="n">
        <v>0</v>
      </c>
      <c r="T9083" t="n">
        <v>0</v>
      </c>
      <c r="U9083" t="n">
        <v>0</v>
      </c>
      <c r="V9083" s="2" t="inlineStr"/>
    </row>
    <row r="9084" ht="15" customHeight="1">
      <c r="A9084" t="inlineStr">
        <is>
          <t>A 46905-2023</t>
        </is>
      </c>
      <c r="B9084" t="inlineStr">
        <is>
          <t>avverkningsanmälan</t>
        </is>
      </c>
      <c r="C9084" t="inlineStr">
        <is>
          <t>Föryngringsavverkning</t>
        </is>
      </c>
      <c r="D9084" s="1" t="n">
        <v>45201</v>
      </c>
      <c r="E9084" s="1" t="n">
        <v>46319</v>
      </c>
      <c r="F9084" t="inlineStr">
        <is>
          <t>DALARNAS LÄN</t>
        </is>
      </c>
      <c r="G9084" t="inlineStr">
        <is>
          <t>RÄTTVIK</t>
        </is>
      </c>
      <c r="I9084" t="n">
        <v>1.8</v>
      </c>
      <c r="J9084" t="n">
        <v>0</v>
      </c>
      <c r="K9084" t="n">
        <v>0</v>
      </c>
      <c r="L9084" t="n">
        <v>0</v>
      </c>
      <c r="M9084" t="n">
        <v>0</v>
      </c>
      <c r="N9084" t="n">
        <v>0</v>
      </c>
      <c r="O9084" t="n">
        <v>0</v>
      </c>
      <c r="P9084" t="n">
        <v>0</v>
      </c>
      <c r="Q9084" t="n">
        <v>0</v>
      </c>
      <c r="R9084" t="n">
        <v>0</v>
      </c>
      <c r="S9084" t="n">
        <v>0</v>
      </c>
      <c r="T9084" t="n">
        <v>0</v>
      </c>
      <c r="U9084" t="n">
        <v>0</v>
      </c>
      <c r="V9084" s="2" t="inlineStr"/>
    </row>
    <row r="9085" ht="15" customHeight="1">
      <c r="A9085" t="inlineStr">
        <is>
          <t>A 50695-2023</t>
        </is>
      </c>
      <c r="B9085" t="inlineStr">
        <is>
          <t>avverkningsanmälan</t>
        </is>
      </c>
      <c r="C9085" t="inlineStr">
        <is>
          <t>Föryngringsavverkning</t>
        </is>
      </c>
      <c r="D9085" s="1" t="n">
        <v>45217</v>
      </c>
      <c r="E9085" s="1" t="n">
        <v>46319</v>
      </c>
      <c r="F9085" t="inlineStr">
        <is>
          <t>DALARNAS LÄN</t>
        </is>
      </c>
      <c r="G9085" t="inlineStr">
        <is>
          <t>RÄTTVIK</t>
        </is>
      </c>
      <c r="I9085" t="n">
        <v>0.4</v>
      </c>
      <c r="J9085" t="n">
        <v>0</v>
      </c>
      <c r="K9085" t="n">
        <v>0</v>
      </c>
      <c r="L9085" t="n">
        <v>0</v>
      </c>
      <c r="M9085" t="n">
        <v>0</v>
      </c>
      <c r="N9085" t="n">
        <v>0</v>
      </c>
      <c r="O9085" t="n">
        <v>0</v>
      </c>
      <c r="P9085" t="n">
        <v>0</v>
      </c>
      <c r="Q9085" t="n">
        <v>0</v>
      </c>
      <c r="R9085" t="n">
        <v>0</v>
      </c>
      <c r="S9085" t="n">
        <v>0</v>
      </c>
      <c r="T9085" t="n">
        <v>0</v>
      </c>
      <c r="U9085" t="n">
        <v>0</v>
      </c>
      <c r="V9085" s="2" t="inlineStr"/>
    </row>
    <row r="9086" ht="15" customHeight="1">
      <c r="A9086" t="inlineStr">
        <is>
          <t>A 23416-2023</t>
        </is>
      </c>
      <c r="B9086" t="inlineStr">
        <is>
          <t>avverkningsanmälan</t>
        </is>
      </c>
      <c r="C9086" t="inlineStr">
        <is>
          <t>Föryngringsavverkning</t>
        </is>
      </c>
      <c r="D9086" s="1" t="n">
        <v>45076</v>
      </c>
      <c r="E9086" s="1" t="n">
        <v>46319</v>
      </c>
      <c r="F9086" t="inlineStr">
        <is>
          <t>DALARNAS LÄN</t>
        </is>
      </c>
      <c r="G9086" t="inlineStr">
        <is>
          <t>BORLÄNGE</t>
        </is>
      </c>
      <c r="I9086" t="n">
        <v>0.6</v>
      </c>
      <c r="J9086" t="n">
        <v>0</v>
      </c>
      <c r="K9086" t="n">
        <v>0</v>
      </c>
      <c r="L9086" t="n">
        <v>0</v>
      </c>
      <c r="M9086" t="n">
        <v>0</v>
      </c>
      <c r="N9086" t="n">
        <v>0</v>
      </c>
      <c r="O9086" t="n">
        <v>0</v>
      </c>
      <c r="P9086" t="n">
        <v>0</v>
      </c>
      <c r="Q9086" t="n">
        <v>0</v>
      </c>
      <c r="R9086" t="n">
        <v>0</v>
      </c>
      <c r="S9086" t="n">
        <v>0</v>
      </c>
      <c r="T9086" t="n">
        <v>0</v>
      </c>
      <c r="U9086" t="n">
        <v>0</v>
      </c>
      <c r="V9086" s="2" t="inlineStr"/>
    </row>
    <row r="9087" ht="15" customHeight="1">
      <c r="A9087" t="inlineStr">
        <is>
          <t>A 23422-2023</t>
        </is>
      </c>
      <c r="B9087" t="inlineStr">
        <is>
          <t>avverkningsanmälan</t>
        </is>
      </c>
      <c r="C9087" t="inlineStr">
        <is>
          <t>Föryngringsavverkning</t>
        </is>
      </c>
      <c r="D9087" s="1" t="n">
        <v>45072</v>
      </c>
      <c r="E9087" s="1" t="n">
        <v>46319</v>
      </c>
      <c r="F9087" t="inlineStr">
        <is>
          <t>DALARNAS LÄN</t>
        </is>
      </c>
      <c r="G9087" t="inlineStr">
        <is>
          <t>MALUNG-SÄLEN</t>
        </is>
      </c>
      <c r="I9087" t="n">
        <v>9.4</v>
      </c>
      <c r="J9087" t="n">
        <v>0</v>
      </c>
      <c r="K9087" t="n">
        <v>0</v>
      </c>
      <c r="L9087" t="n">
        <v>0</v>
      </c>
      <c r="M9087" t="n">
        <v>0</v>
      </c>
      <c r="N9087" t="n">
        <v>0</v>
      </c>
      <c r="O9087" t="n">
        <v>0</v>
      </c>
      <c r="P9087" t="n">
        <v>0</v>
      </c>
      <c r="Q9087" t="n">
        <v>0</v>
      </c>
      <c r="R9087" t="n">
        <v>0</v>
      </c>
      <c r="S9087" t="n">
        <v>0</v>
      </c>
      <c r="T9087" t="n">
        <v>0</v>
      </c>
      <c r="U9087" t="n">
        <v>0</v>
      </c>
      <c r="V9087" s="2" t="inlineStr"/>
    </row>
    <row r="9088" ht="15" customHeight="1">
      <c r="A9088" t="inlineStr">
        <is>
          <t>A 46287-2023</t>
        </is>
      </c>
      <c r="B9088" t="inlineStr">
        <is>
          <t>avverkningsanmälan</t>
        </is>
      </c>
      <c r="C9088" t="inlineStr">
        <is>
          <t>Föryngringsavverkning</t>
        </is>
      </c>
      <c r="D9088" s="1" t="n">
        <v>45197</v>
      </c>
      <c r="E9088" s="1" t="n">
        <v>46319</v>
      </c>
      <c r="F9088" t="inlineStr">
        <is>
          <t>DALARNAS LÄN</t>
        </is>
      </c>
      <c r="G9088" t="inlineStr">
        <is>
          <t>MALUNG-SÄLEN</t>
        </is>
      </c>
      <c r="I9088" t="n">
        <v>1.8</v>
      </c>
      <c r="J9088" t="n">
        <v>0</v>
      </c>
      <c r="K9088" t="n">
        <v>0</v>
      </c>
      <c r="L9088" t="n">
        <v>0</v>
      </c>
      <c r="M9088" t="n">
        <v>0</v>
      </c>
      <c r="N9088" t="n">
        <v>0</v>
      </c>
      <c r="O9088" t="n">
        <v>0</v>
      </c>
      <c r="P9088" t="n">
        <v>0</v>
      </c>
      <c r="Q9088" t="n">
        <v>0</v>
      </c>
      <c r="R9088" t="n">
        <v>0</v>
      </c>
      <c r="S9088" t="n">
        <v>0</v>
      </c>
      <c r="T9088" t="n">
        <v>0</v>
      </c>
      <c r="U9088" t="n">
        <v>0</v>
      </c>
      <c r="V9088" s="2" t="inlineStr"/>
    </row>
    <row r="9089" ht="15" customHeight="1">
      <c r="A9089" t="inlineStr">
        <is>
          <t>A 48156-2023</t>
        </is>
      </c>
      <c r="B9089" t="inlineStr">
        <is>
          <t>avverkningsanmälan</t>
        </is>
      </c>
      <c r="C9089" t="inlineStr">
        <is>
          <t>Föryngringsavverkning</t>
        </is>
      </c>
      <c r="D9089" s="1" t="n">
        <v>45201</v>
      </c>
      <c r="E9089" s="1" t="n">
        <v>46319</v>
      </c>
      <c r="F9089" t="inlineStr">
        <is>
          <t>DALARNAS LÄN</t>
        </is>
      </c>
      <c r="G9089" t="inlineStr">
        <is>
          <t>MALUNG-SÄLEN</t>
        </is>
      </c>
      <c r="I9089" t="n">
        <v>1.5</v>
      </c>
      <c r="J9089" t="n">
        <v>0</v>
      </c>
      <c r="K9089" t="n">
        <v>0</v>
      </c>
      <c r="L9089" t="n">
        <v>0</v>
      </c>
      <c r="M9089" t="n">
        <v>0</v>
      </c>
      <c r="N9089" t="n">
        <v>0</v>
      </c>
      <c r="O9089" t="n">
        <v>0</v>
      </c>
      <c r="P9089" t="n">
        <v>0</v>
      </c>
      <c r="Q9089" t="n">
        <v>0</v>
      </c>
      <c r="R9089" t="n">
        <v>0</v>
      </c>
      <c r="S9089" t="n">
        <v>0</v>
      </c>
      <c r="T9089" t="n">
        <v>0</v>
      </c>
      <c r="U9089" t="n">
        <v>0</v>
      </c>
      <c r="V9089" s="2" t="inlineStr"/>
    </row>
    <row r="9090" ht="15" customHeight="1">
      <c r="A9090" t="inlineStr">
        <is>
          <t>A 46152-2023</t>
        </is>
      </c>
      <c r="B9090" t="inlineStr">
        <is>
          <t>avverkningsanmälan</t>
        </is>
      </c>
      <c r="C9090" t="inlineStr">
        <is>
          <t>Föryngringsavverkning</t>
        </is>
      </c>
      <c r="D9090" s="1" t="n">
        <v>45196</v>
      </c>
      <c r="E9090" s="1" t="n">
        <v>46319</v>
      </c>
      <c r="F9090" t="inlineStr">
        <is>
          <t>DALARNAS LÄN</t>
        </is>
      </c>
      <c r="G9090" t="inlineStr">
        <is>
          <t>MORA</t>
        </is>
      </c>
      <c r="I9090" t="n">
        <v>2</v>
      </c>
      <c r="J9090" t="n">
        <v>0</v>
      </c>
      <c r="K9090" t="n">
        <v>0</v>
      </c>
      <c r="L9090" t="n">
        <v>0</v>
      </c>
      <c r="M9090" t="n">
        <v>0</v>
      </c>
      <c r="N9090" t="n">
        <v>0</v>
      </c>
      <c r="O9090" t="n">
        <v>0</v>
      </c>
      <c r="P9090" t="n">
        <v>0</v>
      </c>
      <c r="Q9090" t="n">
        <v>0</v>
      </c>
      <c r="R9090" t="n">
        <v>0</v>
      </c>
      <c r="S9090" t="n">
        <v>0</v>
      </c>
      <c r="T9090" t="n">
        <v>0</v>
      </c>
      <c r="U9090" t="n">
        <v>0</v>
      </c>
      <c r="V9090" s="2" t="inlineStr"/>
    </row>
    <row r="9091" ht="15" customHeight="1">
      <c r="A9091" t="inlineStr">
        <is>
          <t>A 19162-2022</t>
        </is>
      </c>
      <c r="B9091" t="inlineStr">
        <is>
          <t>avverkningsanmälan</t>
        </is>
      </c>
      <c r="C9091" t="inlineStr">
        <is>
          <t>Föryngringsavverkning</t>
        </is>
      </c>
      <c r="D9091" s="1" t="n">
        <v>44691</v>
      </c>
      <c r="E9091" s="1" t="n">
        <v>46319</v>
      </c>
      <c r="F9091" t="inlineStr">
        <is>
          <t>DALARNAS LÄN</t>
        </is>
      </c>
      <c r="G9091" t="inlineStr">
        <is>
          <t>SÄTER</t>
        </is>
      </c>
      <c r="I9091" t="n">
        <v>1.7</v>
      </c>
      <c r="J9091" t="n">
        <v>0</v>
      </c>
      <c r="K9091" t="n">
        <v>0</v>
      </c>
      <c r="L9091" t="n">
        <v>0</v>
      </c>
      <c r="M9091" t="n">
        <v>0</v>
      </c>
      <c r="N9091" t="n">
        <v>0</v>
      </c>
      <c r="O9091" t="n">
        <v>0</v>
      </c>
      <c r="P9091" t="n">
        <v>0</v>
      </c>
      <c r="Q9091" t="n">
        <v>0</v>
      </c>
      <c r="R9091" t="n">
        <v>0</v>
      </c>
      <c r="S9091" t="n">
        <v>0</v>
      </c>
      <c r="T9091" t="n">
        <v>0</v>
      </c>
      <c r="U9091" t="n">
        <v>0</v>
      </c>
      <c r="V9091" s="2" t="inlineStr"/>
    </row>
    <row r="9092" ht="15" customHeight="1">
      <c r="A9092" t="inlineStr">
        <is>
          <t>A 55462-2024</t>
        </is>
      </c>
      <c r="B9092" t="inlineStr">
        <is>
          <t>avverkningsanmälan</t>
        </is>
      </c>
      <c r="C9092" t="inlineStr">
        <is>
          <t>Föryngringsavverkning</t>
        </is>
      </c>
      <c r="D9092" s="1" t="n">
        <v>45622</v>
      </c>
      <c r="E9092" s="1" t="n">
        <v>46319</v>
      </c>
      <c r="F9092" t="inlineStr">
        <is>
          <t>DALARNAS LÄN</t>
        </is>
      </c>
      <c r="G9092" t="inlineStr">
        <is>
          <t>LUDVIKA</t>
        </is>
      </c>
      <c r="H9092" t="inlineStr">
        <is>
          <t>Naturvårdsverket</t>
        </is>
      </c>
      <c r="I9092" t="n">
        <v>2.6</v>
      </c>
      <c r="J9092" t="n">
        <v>0</v>
      </c>
      <c r="K9092" t="n">
        <v>0</v>
      </c>
      <c r="L9092" t="n">
        <v>0</v>
      </c>
      <c r="M9092" t="n">
        <v>0</v>
      </c>
      <c r="N9092" t="n">
        <v>0</v>
      </c>
      <c r="O9092" t="n">
        <v>0</v>
      </c>
      <c r="P9092" t="n">
        <v>0</v>
      </c>
      <c r="Q9092" t="n">
        <v>0</v>
      </c>
      <c r="R9092" t="n">
        <v>0</v>
      </c>
      <c r="S9092" t="n">
        <v>0</v>
      </c>
      <c r="T9092" t="n">
        <v>0</v>
      </c>
      <c r="U9092" t="n">
        <v>0</v>
      </c>
      <c r="V9092" s="2" t="inlineStr"/>
    </row>
    <row r="9093" ht="15" customHeight="1">
      <c r="A9093" t="inlineStr">
        <is>
          <t>A 55474-2024</t>
        </is>
      </c>
      <c r="B9093" t="inlineStr">
        <is>
          <t>avverkningsanmälan</t>
        </is>
      </c>
      <c r="C9093" t="inlineStr">
        <is>
          <t>Föryngringsavverkning</t>
        </is>
      </c>
      <c r="D9093" s="1" t="n">
        <v>45622</v>
      </c>
      <c r="E9093" s="1" t="n">
        <v>46319</v>
      </c>
      <c r="F9093" t="inlineStr">
        <is>
          <t>DALARNAS LÄN</t>
        </is>
      </c>
      <c r="G9093" t="inlineStr">
        <is>
          <t>LUDVIKA</t>
        </is>
      </c>
      <c r="H9093" t="inlineStr">
        <is>
          <t>Naturvårdsverket</t>
        </is>
      </c>
      <c r="I9093" t="n">
        <v>2.4</v>
      </c>
      <c r="J9093" t="n">
        <v>0</v>
      </c>
      <c r="K9093" t="n">
        <v>0</v>
      </c>
      <c r="L9093" t="n">
        <v>0</v>
      </c>
      <c r="M9093" t="n">
        <v>0</v>
      </c>
      <c r="N9093" t="n">
        <v>0</v>
      </c>
      <c r="O9093" t="n">
        <v>0</v>
      </c>
      <c r="P9093" t="n">
        <v>0</v>
      </c>
      <c r="Q9093" t="n">
        <v>0</v>
      </c>
      <c r="R9093" t="n">
        <v>0</v>
      </c>
      <c r="S9093" t="n">
        <v>0</v>
      </c>
      <c r="T9093" t="n">
        <v>0</v>
      </c>
      <c r="U9093" t="n">
        <v>0</v>
      </c>
      <c r="V9093" s="2" t="inlineStr"/>
    </row>
    <row r="9094" ht="15" customHeight="1">
      <c r="A9094" t="inlineStr">
        <is>
          <t>A 18419-2022</t>
        </is>
      </c>
      <c r="B9094" t="inlineStr">
        <is>
          <t>avverkningsanmälan</t>
        </is>
      </c>
      <c r="C9094" t="inlineStr">
        <is>
          <t>Föryngringsavverkning</t>
        </is>
      </c>
      <c r="D9094" s="1" t="n">
        <v>44686</v>
      </c>
      <c r="E9094" s="1" t="n">
        <v>46319</v>
      </c>
      <c r="F9094" t="inlineStr">
        <is>
          <t>DALARNAS LÄN</t>
        </is>
      </c>
      <c r="G9094" t="inlineStr">
        <is>
          <t>SMEDJEBACKEN</t>
        </is>
      </c>
      <c r="I9094" t="n">
        <v>0.7</v>
      </c>
      <c r="J9094" t="n">
        <v>0</v>
      </c>
      <c r="K9094" t="n">
        <v>0</v>
      </c>
      <c r="L9094" t="n">
        <v>0</v>
      </c>
      <c r="M9094" t="n">
        <v>0</v>
      </c>
      <c r="N9094" t="n">
        <v>0</v>
      </c>
      <c r="O9094" t="n">
        <v>0</v>
      </c>
      <c r="P9094" t="n">
        <v>0</v>
      </c>
      <c r="Q9094" t="n">
        <v>0</v>
      </c>
      <c r="R9094" t="n">
        <v>0</v>
      </c>
      <c r="S9094" t="n">
        <v>0</v>
      </c>
      <c r="T9094" t="n">
        <v>0</v>
      </c>
      <c r="U9094" t="n">
        <v>0</v>
      </c>
      <c r="V9094" s="2" t="inlineStr"/>
    </row>
    <row r="9095" ht="15" customHeight="1">
      <c r="A9095" t="inlineStr">
        <is>
          <t>A 56110-2024</t>
        </is>
      </c>
      <c r="B9095" t="inlineStr">
        <is>
          <t>avverkningsanmälan</t>
        </is>
      </c>
      <c r="C9095" t="inlineStr">
        <is>
          <t>Föryngringsavverkning</t>
        </is>
      </c>
      <c r="D9095" s="1" t="n">
        <v>45624</v>
      </c>
      <c r="E9095" s="1" t="n">
        <v>46319</v>
      </c>
      <c r="F9095" t="inlineStr">
        <is>
          <t>DALARNAS LÄN</t>
        </is>
      </c>
      <c r="G9095" t="inlineStr">
        <is>
          <t>MALUNG-SÄLEN</t>
        </is>
      </c>
      <c r="I9095" t="n">
        <v>3.9</v>
      </c>
      <c r="J9095" t="n">
        <v>0</v>
      </c>
      <c r="K9095" t="n">
        <v>0</v>
      </c>
      <c r="L9095" t="n">
        <v>0</v>
      </c>
      <c r="M9095" t="n">
        <v>0</v>
      </c>
      <c r="N9095" t="n">
        <v>0</v>
      </c>
      <c r="O9095" t="n">
        <v>0</v>
      </c>
      <c r="P9095" t="n">
        <v>0</v>
      </c>
      <c r="Q9095" t="n">
        <v>0</v>
      </c>
      <c r="R9095" t="n">
        <v>0</v>
      </c>
      <c r="S9095" t="n">
        <v>0</v>
      </c>
      <c r="T9095" t="n">
        <v>0</v>
      </c>
      <c r="U9095" t="n">
        <v>0</v>
      </c>
      <c r="V9095" s="2" t="inlineStr"/>
    </row>
    <row r="9096" ht="15" customHeight="1">
      <c r="A9096" t="inlineStr">
        <is>
          <t>A 9196-2025</t>
        </is>
      </c>
      <c r="B9096" t="inlineStr">
        <is>
          <t>avverkningsanmälan</t>
        </is>
      </c>
      <c r="C9096" t="inlineStr">
        <is>
          <t>Föryngringsavverkning</t>
        </is>
      </c>
      <c r="D9096" s="1" t="n">
        <v>45714</v>
      </c>
      <c r="E9096" s="1" t="n">
        <v>46319</v>
      </c>
      <c r="F9096" t="inlineStr">
        <is>
          <t>DALARNAS LÄN</t>
        </is>
      </c>
      <c r="G9096" t="inlineStr">
        <is>
          <t>MALUNG-SÄLEN</t>
        </is>
      </c>
      <c r="I9096" t="n">
        <v>0.8</v>
      </c>
      <c r="J9096" t="n">
        <v>0</v>
      </c>
      <c r="K9096" t="n">
        <v>0</v>
      </c>
      <c r="L9096" t="n">
        <v>0</v>
      </c>
      <c r="M9096" t="n">
        <v>0</v>
      </c>
      <c r="N9096" t="n">
        <v>0</v>
      </c>
      <c r="O9096" t="n">
        <v>0</v>
      </c>
      <c r="P9096" t="n">
        <v>0</v>
      </c>
      <c r="Q9096" t="n">
        <v>0</v>
      </c>
      <c r="R9096" t="n">
        <v>0</v>
      </c>
      <c r="S9096" t="n">
        <v>0</v>
      </c>
      <c r="T9096" t="n">
        <v>0</v>
      </c>
      <c r="U9096" t="n">
        <v>0</v>
      </c>
      <c r="V9096" s="2" t="inlineStr"/>
    </row>
    <row r="9097" ht="15" customHeight="1">
      <c r="A9097" t="inlineStr">
        <is>
          <t>A 9786-2025</t>
        </is>
      </c>
      <c r="B9097" t="inlineStr">
        <is>
          <t>avverkningsanmälan</t>
        </is>
      </c>
      <c r="C9097" t="inlineStr">
        <is>
          <t>Föryngringsavverkning</t>
        </is>
      </c>
      <c r="D9097" s="1" t="n">
        <v>45715</v>
      </c>
      <c r="E9097" s="1" t="n">
        <v>46319</v>
      </c>
      <c r="F9097" t="inlineStr">
        <is>
          <t>DALARNAS LÄN</t>
        </is>
      </c>
      <c r="G9097" t="inlineStr">
        <is>
          <t>AVESTA</t>
        </is>
      </c>
      <c r="I9097" t="n">
        <v>0.4</v>
      </c>
      <c r="J9097" t="n">
        <v>0</v>
      </c>
      <c r="K9097" t="n">
        <v>0</v>
      </c>
      <c r="L9097" t="n">
        <v>0</v>
      </c>
      <c r="M9097" t="n">
        <v>0</v>
      </c>
      <c r="N9097" t="n">
        <v>0</v>
      </c>
      <c r="O9097" t="n">
        <v>0</v>
      </c>
      <c r="P9097" t="n">
        <v>0</v>
      </c>
      <c r="Q9097" t="n">
        <v>0</v>
      </c>
      <c r="R9097" t="n">
        <v>0</v>
      </c>
      <c r="S9097" t="n">
        <v>0</v>
      </c>
      <c r="T9097" t="n">
        <v>0</v>
      </c>
      <c r="U9097" t="n">
        <v>0</v>
      </c>
      <c r="V9097" s="2" t="inlineStr"/>
    </row>
    <row r="9098" ht="15" customHeight="1">
      <c r="A9098" t="inlineStr">
        <is>
          <t>A 36855-2022</t>
        </is>
      </c>
      <c r="B9098" t="inlineStr">
        <is>
          <t>avverkningsanmälan</t>
        </is>
      </c>
      <c r="C9098" t="inlineStr">
        <is>
          <t>Föryngringsavverkning</t>
        </is>
      </c>
      <c r="D9098" s="1" t="n">
        <v>44805</v>
      </c>
      <c r="E9098" s="1" t="n">
        <v>46319</v>
      </c>
      <c r="F9098" t="inlineStr">
        <is>
          <t>DALARNAS LÄN</t>
        </is>
      </c>
      <c r="G9098" t="inlineStr">
        <is>
          <t>VANSBRO</t>
        </is>
      </c>
      <c r="H9098" t="inlineStr">
        <is>
          <t>Bergvik skog väst AB</t>
        </is>
      </c>
      <c r="I9098" t="n">
        <v>5.6</v>
      </c>
      <c r="J9098" t="n">
        <v>0</v>
      </c>
      <c r="K9098" t="n">
        <v>0</v>
      </c>
      <c r="L9098" t="n">
        <v>0</v>
      </c>
      <c r="M9098" t="n">
        <v>0</v>
      </c>
      <c r="N9098" t="n">
        <v>0</v>
      </c>
      <c r="O9098" t="n">
        <v>0</v>
      </c>
      <c r="P9098" t="n">
        <v>0</v>
      </c>
      <c r="Q9098" t="n">
        <v>0</v>
      </c>
      <c r="R9098" t="n">
        <v>0</v>
      </c>
      <c r="S9098" t="n">
        <v>0</v>
      </c>
      <c r="T9098" t="n">
        <v>0</v>
      </c>
      <c r="U9098" t="n">
        <v>0</v>
      </c>
      <c r="V9098" s="2" t="inlineStr"/>
    </row>
    <row r="9099" ht="15" customHeight="1">
      <c r="A9099" t="inlineStr">
        <is>
          <t>A 28134-2023</t>
        </is>
      </c>
      <c r="B9099" t="inlineStr">
        <is>
          <t>avverkningsanmälan</t>
        </is>
      </c>
      <c r="C9099" t="inlineStr">
        <is>
          <t>Föryngringsavverkning</t>
        </is>
      </c>
      <c r="D9099" s="1" t="n">
        <v>45099</v>
      </c>
      <c r="E9099" s="1" t="n">
        <v>46319</v>
      </c>
      <c r="F9099" t="inlineStr">
        <is>
          <t>DALARNAS LÄN</t>
        </is>
      </c>
      <c r="G9099" t="inlineStr">
        <is>
          <t>LUDVIKA</t>
        </is>
      </c>
      <c r="H9099" t="inlineStr">
        <is>
          <t>Bergvik skog väst AB</t>
        </is>
      </c>
      <c r="I9099" t="n">
        <v>0.7</v>
      </c>
      <c r="J9099" t="n">
        <v>0</v>
      </c>
      <c r="K9099" t="n">
        <v>0</v>
      </c>
      <c r="L9099" t="n">
        <v>0</v>
      </c>
      <c r="M9099" t="n">
        <v>0</v>
      </c>
      <c r="N9099" t="n">
        <v>0</v>
      </c>
      <c r="O9099" t="n">
        <v>0</v>
      </c>
      <c r="P9099" t="n">
        <v>0</v>
      </c>
      <c r="Q9099" t="n">
        <v>0</v>
      </c>
      <c r="R9099" t="n">
        <v>0</v>
      </c>
      <c r="S9099" t="n">
        <v>0</v>
      </c>
      <c r="T9099" t="n">
        <v>0</v>
      </c>
      <c r="U9099" t="n">
        <v>0</v>
      </c>
      <c r="V9099" s="2" t="inlineStr"/>
    </row>
    <row r="9100" ht="15" customHeight="1">
      <c r="A9100" t="inlineStr">
        <is>
          <t>A 40181-2023</t>
        </is>
      </c>
      <c r="B9100" t="inlineStr">
        <is>
          <t>avverkningsanmälan</t>
        </is>
      </c>
      <c r="C9100" t="inlineStr">
        <is>
          <t>Föryngringsavverkning</t>
        </is>
      </c>
      <c r="D9100" s="1" t="n">
        <v>45169</v>
      </c>
      <c r="E9100" s="1" t="n">
        <v>46319</v>
      </c>
      <c r="F9100" t="inlineStr">
        <is>
          <t>DALARNAS LÄN</t>
        </is>
      </c>
      <c r="G9100" t="inlineStr">
        <is>
          <t>LEKSAND</t>
        </is>
      </c>
      <c r="I9100" t="n">
        <v>2.8</v>
      </c>
      <c r="J9100" t="n">
        <v>0</v>
      </c>
      <c r="K9100" t="n">
        <v>0</v>
      </c>
      <c r="L9100" t="n">
        <v>0</v>
      </c>
      <c r="M9100" t="n">
        <v>0</v>
      </c>
      <c r="N9100" t="n">
        <v>0</v>
      </c>
      <c r="O9100" t="n">
        <v>0</v>
      </c>
      <c r="P9100" t="n">
        <v>0</v>
      </c>
      <c r="Q9100" t="n">
        <v>0</v>
      </c>
      <c r="R9100" t="n">
        <v>0</v>
      </c>
      <c r="S9100" t="n">
        <v>0</v>
      </c>
      <c r="T9100" t="n">
        <v>0</v>
      </c>
      <c r="U9100" t="n">
        <v>0</v>
      </c>
      <c r="V9100" s="2" t="inlineStr"/>
    </row>
    <row r="9101" ht="15" customHeight="1">
      <c r="A9101" t="inlineStr">
        <is>
          <t>A 45608-2023</t>
        </is>
      </c>
      <c r="B9101" t="inlineStr">
        <is>
          <t>avverkningsanmälan</t>
        </is>
      </c>
      <c r="C9101" t="inlineStr">
        <is>
          <t>Föryngringsavverkning</t>
        </is>
      </c>
      <c r="D9101" s="1" t="n">
        <v>45194</v>
      </c>
      <c r="E9101" s="1" t="n">
        <v>46319</v>
      </c>
      <c r="F9101" t="inlineStr">
        <is>
          <t>DALARNAS LÄN</t>
        </is>
      </c>
      <c r="G9101" t="inlineStr">
        <is>
          <t>VANSBRO</t>
        </is>
      </c>
      <c r="I9101" t="n">
        <v>2.5</v>
      </c>
      <c r="J9101" t="n">
        <v>0</v>
      </c>
      <c r="K9101" t="n">
        <v>0</v>
      </c>
      <c r="L9101" t="n">
        <v>0</v>
      </c>
      <c r="M9101" t="n">
        <v>0</v>
      </c>
      <c r="N9101" t="n">
        <v>0</v>
      </c>
      <c r="O9101" t="n">
        <v>0</v>
      </c>
      <c r="P9101" t="n">
        <v>0</v>
      </c>
      <c r="Q9101" t="n">
        <v>0</v>
      </c>
      <c r="R9101" t="n">
        <v>0</v>
      </c>
      <c r="S9101" t="n">
        <v>0</v>
      </c>
      <c r="T9101" t="n">
        <v>0</v>
      </c>
      <c r="U9101" t="n">
        <v>0</v>
      </c>
      <c r="V9101" s="2" t="inlineStr"/>
    </row>
    <row r="9102" ht="15" customHeight="1">
      <c r="A9102" t="inlineStr">
        <is>
          <t>A 56803-2024</t>
        </is>
      </c>
      <c r="B9102" t="inlineStr">
        <is>
          <t>avverkningsanmälan</t>
        </is>
      </c>
      <c r="C9102" t="inlineStr">
        <is>
          <t>Föryngringsavverkning</t>
        </is>
      </c>
      <c r="D9102" s="1" t="n">
        <v>45628</v>
      </c>
      <c r="E9102" s="1" t="n">
        <v>46319</v>
      </c>
      <c r="F9102" t="inlineStr">
        <is>
          <t>DALARNAS LÄN</t>
        </is>
      </c>
      <c r="G9102" t="inlineStr">
        <is>
          <t>ORSA</t>
        </is>
      </c>
      <c r="I9102" t="n">
        <v>1.4</v>
      </c>
      <c r="J9102" t="n">
        <v>0</v>
      </c>
      <c r="K9102" t="n">
        <v>0</v>
      </c>
      <c r="L9102" t="n">
        <v>0</v>
      </c>
      <c r="M9102" t="n">
        <v>0</v>
      </c>
      <c r="N9102" t="n">
        <v>0</v>
      </c>
      <c r="O9102" t="n">
        <v>0</v>
      </c>
      <c r="P9102" t="n">
        <v>0</v>
      </c>
      <c r="Q9102" t="n">
        <v>0</v>
      </c>
      <c r="R9102" t="n">
        <v>0</v>
      </c>
      <c r="S9102" t="n">
        <v>0</v>
      </c>
      <c r="T9102" t="n">
        <v>0</v>
      </c>
      <c r="U9102" t="n">
        <v>0</v>
      </c>
      <c r="V9102" s="2" t="inlineStr"/>
    </row>
    <row r="9103" ht="15" customHeight="1">
      <c r="A9103" t="inlineStr">
        <is>
          <t>A 9659-2025</t>
        </is>
      </c>
      <c r="B9103" t="inlineStr">
        <is>
          <t>avverkningsanmälan</t>
        </is>
      </c>
      <c r="C9103" t="inlineStr">
        <is>
          <t>Föryngringsavverkning</t>
        </is>
      </c>
      <c r="D9103" s="1" t="n">
        <v>45716</v>
      </c>
      <c r="E9103" s="1" t="n">
        <v>46319</v>
      </c>
      <c r="F9103" t="inlineStr">
        <is>
          <t>DALARNAS LÄN</t>
        </is>
      </c>
      <c r="G9103" t="inlineStr">
        <is>
          <t>FALUN</t>
        </is>
      </c>
      <c r="I9103" t="n">
        <v>1.4</v>
      </c>
      <c r="J9103" t="n">
        <v>0</v>
      </c>
      <c r="K9103" t="n">
        <v>0</v>
      </c>
      <c r="L9103" t="n">
        <v>0</v>
      </c>
      <c r="M9103" t="n">
        <v>0</v>
      </c>
      <c r="N9103" t="n">
        <v>0</v>
      </c>
      <c r="O9103" t="n">
        <v>0</v>
      </c>
      <c r="P9103" t="n">
        <v>0</v>
      </c>
      <c r="Q9103" t="n">
        <v>0</v>
      </c>
      <c r="R9103" t="n">
        <v>0</v>
      </c>
      <c r="S9103" t="n">
        <v>0</v>
      </c>
      <c r="T9103" t="n">
        <v>0</v>
      </c>
      <c r="U9103" t="n">
        <v>0</v>
      </c>
      <c r="V9103" s="2" t="inlineStr"/>
    </row>
    <row r="9104" ht="15" customHeight="1">
      <c r="A9104" t="inlineStr">
        <is>
          <t>A 54082-2023</t>
        </is>
      </c>
      <c r="B9104" t="inlineStr">
        <is>
          <t>avverkningsanmälan</t>
        </is>
      </c>
      <c r="C9104" t="inlineStr">
        <is>
          <t>Föryngringsavverkning</t>
        </is>
      </c>
      <c r="D9104" s="1" t="n">
        <v>45232</v>
      </c>
      <c r="E9104" s="1" t="n">
        <v>46319</v>
      </c>
      <c r="F9104" t="inlineStr">
        <is>
          <t>DALARNAS LÄN</t>
        </is>
      </c>
      <c r="G9104" t="inlineStr">
        <is>
          <t>FALUN</t>
        </is>
      </c>
      <c r="I9104" t="n">
        <v>2.1</v>
      </c>
      <c r="J9104" t="n">
        <v>0</v>
      </c>
      <c r="K9104" t="n">
        <v>0</v>
      </c>
      <c r="L9104" t="n">
        <v>0</v>
      </c>
      <c r="M9104" t="n">
        <v>0</v>
      </c>
      <c r="N9104" t="n">
        <v>0</v>
      </c>
      <c r="O9104" t="n">
        <v>0</v>
      </c>
      <c r="P9104" t="n">
        <v>0</v>
      </c>
      <c r="Q9104" t="n">
        <v>0</v>
      </c>
      <c r="R9104" t="n">
        <v>0</v>
      </c>
      <c r="S9104" t="n">
        <v>0</v>
      </c>
      <c r="T9104" t="n">
        <v>0</v>
      </c>
      <c r="U9104" t="n">
        <v>0</v>
      </c>
      <c r="V9104" s="2" t="inlineStr"/>
    </row>
    <row r="9105" ht="15" customHeight="1">
      <c r="A9105" t="inlineStr">
        <is>
          <t>A 42035-2022</t>
        </is>
      </c>
      <c r="B9105" t="inlineStr">
        <is>
          <t>avverkningsanmälan</t>
        </is>
      </c>
      <c r="C9105" t="inlineStr">
        <is>
          <t>Föryngringsavverkning</t>
        </is>
      </c>
      <c r="D9105" s="1" t="n">
        <v>44830</v>
      </c>
      <c r="E9105" s="1" t="n">
        <v>46319</v>
      </c>
      <c r="F9105" t="inlineStr">
        <is>
          <t>DALARNAS LÄN</t>
        </is>
      </c>
      <c r="G9105" t="inlineStr">
        <is>
          <t>MORA</t>
        </is>
      </c>
      <c r="I9105" t="n">
        <v>2.7</v>
      </c>
      <c r="J9105" t="n">
        <v>0</v>
      </c>
      <c r="K9105" t="n">
        <v>0</v>
      </c>
      <c r="L9105" t="n">
        <v>0</v>
      </c>
      <c r="M9105" t="n">
        <v>0</v>
      </c>
      <c r="N9105" t="n">
        <v>0</v>
      </c>
      <c r="O9105" t="n">
        <v>0</v>
      </c>
      <c r="P9105" t="n">
        <v>0</v>
      </c>
      <c r="Q9105" t="n">
        <v>0</v>
      </c>
      <c r="R9105" t="n">
        <v>0</v>
      </c>
      <c r="S9105" t="n">
        <v>0</v>
      </c>
      <c r="T9105" t="n">
        <v>0</v>
      </c>
      <c r="U9105" t="n">
        <v>0</v>
      </c>
      <c r="V9105" s="2" t="inlineStr"/>
    </row>
    <row r="9106" ht="15" customHeight="1">
      <c r="A9106" t="inlineStr">
        <is>
          <t>A 54874-2023</t>
        </is>
      </c>
      <c r="B9106" t="inlineStr">
        <is>
          <t>avverkningsanmälan</t>
        </is>
      </c>
      <c r="C9106" t="inlineStr">
        <is>
          <t>Avverkning för annat ändamål</t>
        </is>
      </c>
      <c r="D9106" s="1" t="n">
        <v>45236</v>
      </c>
      <c r="E9106" s="1" t="n">
        <v>46319</v>
      </c>
      <c r="F9106" t="inlineStr">
        <is>
          <t>DALARNAS LÄN</t>
        </is>
      </c>
      <c r="G9106" t="inlineStr">
        <is>
          <t>MALUNG-SÄLEN</t>
        </is>
      </c>
      <c r="H9106" t="inlineStr">
        <is>
          <t>Kommuner</t>
        </is>
      </c>
      <c r="I9106" t="n">
        <v>2.4</v>
      </c>
      <c r="J9106" t="n">
        <v>0</v>
      </c>
      <c r="K9106" t="n">
        <v>0</v>
      </c>
      <c r="L9106" t="n">
        <v>0</v>
      </c>
      <c r="M9106" t="n">
        <v>0</v>
      </c>
      <c r="N9106" t="n">
        <v>0</v>
      </c>
      <c r="O9106" t="n">
        <v>0</v>
      </c>
      <c r="P9106" t="n">
        <v>0</v>
      </c>
      <c r="Q9106" t="n">
        <v>0</v>
      </c>
      <c r="R9106" t="n">
        <v>0</v>
      </c>
      <c r="S9106" t="n">
        <v>0</v>
      </c>
      <c r="T9106" t="n">
        <v>0</v>
      </c>
      <c r="U9106" t="n">
        <v>0</v>
      </c>
      <c r="V9106" s="2" t="inlineStr"/>
    </row>
    <row r="9107" ht="15" customHeight="1">
      <c r="A9107" t="inlineStr">
        <is>
          <t>A 51858-2023</t>
        </is>
      </c>
      <c r="B9107" t="inlineStr">
        <is>
          <t>avverkningsanmälan</t>
        </is>
      </c>
      <c r="C9107" t="inlineStr">
        <is>
          <t>Föryngringsavverkning</t>
        </is>
      </c>
      <c r="D9107" s="1" t="n">
        <v>45223</v>
      </c>
      <c r="E9107" s="1" t="n">
        <v>46319</v>
      </c>
      <c r="F9107" t="inlineStr">
        <is>
          <t>DALARNAS LÄN</t>
        </is>
      </c>
      <c r="G9107" t="inlineStr">
        <is>
          <t>BORLÄNGE</t>
        </is>
      </c>
      <c r="I9107" t="n">
        <v>3.8</v>
      </c>
      <c r="J9107" t="n">
        <v>0</v>
      </c>
      <c r="K9107" t="n">
        <v>0</v>
      </c>
      <c r="L9107" t="n">
        <v>0</v>
      </c>
      <c r="M9107" t="n">
        <v>0</v>
      </c>
      <c r="N9107" t="n">
        <v>0</v>
      </c>
      <c r="O9107" t="n">
        <v>0</v>
      </c>
      <c r="P9107" t="n">
        <v>0</v>
      </c>
      <c r="Q9107" t="n">
        <v>0</v>
      </c>
      <c r="R9107" t="n">
        <v>0</v>
      </c>
      <c r="S9107" t="n">
        <v>0</v>
      </c>
      <c r="T9107" t="n">
        <v>0</v>
      </c>
      <c r="U9107" t="n">
        <v>0</v>
      </c>
      <c r="V9107" s="2" t="inlineStr"/>
    </row>
    <row r="9108" ht="15" customHeight="1">
      <c r="A9108" t="inlineStr">
        <is>
          <t>A 51872-2023</t>
        </is>
      </c>
      <c r="B9108" t="inlineStr">
        <is>
          <t>avverkningsanmälan</t>
        </is>
      </c>
      <c r="C9108" t="inlineStr">
        <is>
          <t>Föryngringsavverkning</t>
        </is>
      </c>
      <c r="D9108" s="1" t="n">
        <v>45223</v>
      </c>
      <c r="E9108" s="1" t="n">
        <v>46319</v>
      </c>
      <c r="F9108" t="inlineStr">
        <is>
          <t>DALARNAS LÄN</t>
        </is>
      </c>
      <c r="G9108" t="inlineStr">
        <is>
          <t>RÄTTVIK</t>
        </is>
      </c>
      <c r="I9108" t="n">
        <v>1.3</v>
      </c>
      <c r="J9108" t="n">
        <v>0</v>
      </c>
      <c r="K9108" t="n">
        <v>0</v>
      </c>
      <c r="L9108" t="n">
        <v>0</v>
      </c>
      <c r="M9108" t="n">
        <v>0</v>
      </c>
      <c r="N9108" t="n">
        <v>0</v>
      </c>
      <c r="O9108" t="n">
        <v>0</v>
      </c>
      <c r="P9108" t="n">
        <v>0</v>
      </c>
      <c r="Q9108" t="n">
        <v>0</v>
      </c>
      <c r="R9108" t="n">
        <v>0</v>
      </c>
      <c r="S9108" t="n">
        <v>0</v>
      </c>
      <c r="T9108" t="n">
        <v>0</v>
      </c>
      <c r="U9108" t="n">
        <v>0</v>
      </c>
      <c r="V9108" s="2" t="inlineStr"/>
    </row>
    <row r="9109" ht="15" customHeight="1">
      <c r="A9109" t="inlineStr">
        <is>
          <t>A 54420-2024</t>
        </is>
      </c>
      <c r="B9109" t="inlineStr">
        <is>
          <t>avverkningsanmälan</t>
        </is>
      </c>
      <c r="C9109" t="inlineStr">
        <is>
          <t>Avverkning för annat ändamål</t>
        </is>
      </c>
      <c r="D9109" s="1" t="n">
        <v>45617</v>
      </c>
      <c r="E9109" s="1" t="n">
        <v>46319</v>
      </c>
      <c r="F9109" t="inlineStr">
        <is>
          <t>DALARNAS LÄN</t>
        </is>
      </c>
      <c r="G9109" t="inlineStr">
        <is>
          <t>BORLÄNGE</t>
        </is>
      </c>
      <c r="I9109" t="n">
        <v>0.3</v>
      </c>
      <c r="J9109" t="n">
        <v>0</v>
      </c>
      <c r="K9109" t="n">
        <v>0</v>
      </c>
      <c r="L9109" t="n">
        <v>0</v>
      </c>
      <c r="M9109" t="n">
        <v>0</v>
      </c>
      <c r="N9109" t="n">
        <v>0</v>
      </c>
      <c r="O9109" t="n">
        <v>0</v>
      </c>
      <c r="P9109" t="n">
        <v>0</v>
      </c>
      <c r="Q9109" t="n">
        <v>0</v>
      </c>
      <c r="R9109" t="n">
        <v>0</v>
      </c>
      <c r="S9109" t="n">
        <v>0</v>
      </c>
      <c r="T9109" t="n">
        <v>0</v>
      </c>
      <c r="U9109" t="n">
        <v>0</v>
      </c>
      <c r="V9109" s="2" t="inlineStr"/>
    </row>
    <row r="9110" ht="15" customHeight="1">
      <c r="A9110" t="inlineStr">
        <is>
          <t>A 15759-2024</t>
        </is>
      </c>
      <c r="B9110" t="inlineStr">
        <is>
          <t>avverkningsanmälan</t>
        </is>
      </c>
      <c r="C9110" t="inlineStr">
        <is>
          <t>Föryngringsavverkning</t>
        </is>
      </c>
      <c r="D9110" s="1" t="n">
        <v>45404</v>
      </c>
      <c r="E9110" s="1" t="n">
        <v>46319</v>
      </c>
      <c r="F9110" t="inlineStr">
        <is>
          <t>DALARNAS LÄN</t>
        </is>
      </c>
      <c r="G9110" t="inlineStr">
        <is>
          <t>ÄLVDALEN</t>
        </is>
      </c>
      <c r="I9110" t="n">
        <v>1.4</v>
      </c>
      <c r="J9110" t="n">
        <v>0</v>
      </c>
      <c r="K9110" t="n">
        <v>0</v>
      </c>
      <c r="L9110" t="n">
        <v>0</v>
      </c>
      <c r="M9110" t="n">
        <v>0</v>
      </c>
      <c r="N9110" t="n">
        <v>0</v>
      </c>
      <c r="O9110" t="n">
        <v>0</v>
      </c>
      <c r="P9110" t="n">
        <v>0</v>
      </c>
      <c r="Q9110" t="n">
        <v>0</v>
      </c>
      <c r="R9110" t="n">
        <v>0</v>
      </c>
      <c r="S9110" t="n">
        <v>0</v>
      </c>
      <c r="T9110" t="n">
        <v>0</v>
      </c>
      <c r="U9110" t="n">
        <v>0</v>
      </c>
      <c r="V9110" s="2" t="inlineStr"/>
    </row>
    <row r="9111" ht="15" customHeight="1">
      <c r="A9111" t="inlineStr">
        <is>
          <t>A 26480-2023</t>
        </is>
      </c>
      <c r="B9111" t="inlineStr">
        <is>
          <t>avverkningsanmälan</t>
        </is>
      </c>
      <c r="C9111" t="inlineStr">
        <is>
          <t>Avverkning för annat ändamål</t>
        </is>
      </c>
      <c r="D9111" s="1" t="n">
        <v>45092</v>
      </c>
      <c r="E9111" s="1" t="n">
        <v>46319</v>
      </c>
      <c r="F9111" t="inlineStr">
        <is>
          <t>DALARNAS LÄN</t>
        </is>
      </c>
      <c r="G9111" t="inlineStr">
        <is>
          <t>SMEDJEBACKEN</t>
        </is>
      </c>
      <c r="H9111" t="inlineStr">
        <is>
          <t>Sveaskog</t>
        </is>
      </c>
      <c r="I9111" t="n">
        <v>0.8</v>
      </c>
      <c r="J9111" t="n">
        <v>0</v>
      </c>
      <c r="K9111" t="n">
        <v>0</v>
      </c>
      <c r="L9111" t="n">
        <v>0</v>
      </c>
      <c r="M9111" t="n">
        <v>0</v>
      </c>
      <c r="N9111" t="n">
        <v>0</v>
      </c>
      <c r="O9111" t="n">
        <v>0</v>
      </c>
      <c r="P9111" t="n">
        <v>0</v>
      </c>
      <c r="Q9111" t="n">
        <v>0</v>
      </c>
      <c r="R9111" t="n">
        <v>0</v>
      </c>
      <c r="S9111" t="n">
        <v>0</v>
      </c>
      <c r="T9111" t="n">
        <v>0</v>
      </c>
      <c r="U9111" t="n">
        <v>0</v>
      </c>
      <c r="V9111" s="2" t="inlineStr"/>
    </row>
    <row r="9112" ht="15" customHeight="1">
      <c r="A9112" t="inlineStr">
        <is>
          <t>A 1267-2025</t>
        </is>
      </c>
      <c r="B9112" t="inlineStr">
        <is>
          <t>avverkningsanmälan</t>
        </is>
      </c>
      <c r="C9112" t="inlineStr">
        <is>
          <t>Avverkning för annat ändamål</t>
        </is>
      </c>
      <c r="D9112" s="1" t="n">
        <v>45667</v>
      </c>
      <c r="E9112" s="1" t="n">
        <v>46319</v>
      </c>
      <c r="F9112" t="inlineStr">
        <is>
          <t>DALARNAS LÄN</t>
        </is>
      </c>
      <c r="G9112" t="inlineStr">
        <is>
          <t>LEKSAND</t>
        </is>
      </c>
      <c r="I9112" t="n">
        <v>0.8</v>
      </c>
      <c r="J9112" t="n">
        <v>0</v>
      </c>
      <c r="K9112" t="n">
        <v>0</v>
      </c>
      <c r="L9112" t="n">
        <v>0</v>
      </c>
      <c r="M9112" t="n">
        <v>0</v>
      </c>
      <c r="N9112" t="n">
        <v>0</v>
      </c>
      <c r="O9112" t="n">
        <v>0</v>
      </c>
      <c r="P9112" t="n">
        <v>0</v>
      </c>
      <c r="Q9112" t="n">
        <v>0</v>
      </c>
      <c r="R9112" t="n">
        <v>0</v>
      </c>
      <c r="S9112" t="n">
        <v>0</v>
      </c>
      <c r="T9112" t="n">
        <v>0</v>
      </c>
      <c r="U9112" t="n">
        <v>0</v>
      </c>
      <c r="V9112" s="2" t="inlineStr"/>
    </row>
    <row r="9113" ht="15" customHeight="1">
      <c r="A9113" t="inlineStr">
        <is>
          <t>A 1307-2025</t>
        </is>
      </c>
      <c r="B9113" t="inlineStr">
        <is>
          <t>avverkningsanmälan</t>
        </is>
      </c>
      <c r="C9113" t="inlineStr">
        <is>
          <t>Föryngringsavverkning</t>
        </is>
      </c>
      <c r="D9113" s="1" t="n">
        <v>45667</v>
      </c>
      <c r="E9113" s="1" t="n">
        <v>46319</v>
      </c>
      <c r="F9113" t="inlineStr">
        <is>
          <t>DALARNAS LÄN</t>
        </is>
      </c>
      <c r="G9113" t="inlineStr">
        <is>
          <t>FALUN</t>
        </is>
      </c>
      <c r="I9113" t="n">
        <v>2.5</v>
      </c>
      <c r="J9113" t="n">
        <v>0</v>
      </c>
      <c r="K9113" t="n">
        <v>0</v>
      </c>
      <c r="L9113" t="n">
        <v>0</v>
      </c>
      <c r="M9113" t="n">
        <v>0</v>
      </c>
      <c r="N9113" t="n">
        <v>0</v>
      </c>
      <c r="O9113" t="n">
        <v>0</v>
      </c>
      <c r="P9113" t="n">
        <v>0</v>
      </c>
      <c r="Q9113" t="n">
        <v>0</v>
      </c>
      <c r="R9113" t="n">
        <v>0</v>
      </c>
      <c r="S9113" t="n">
        <v>0</v>
      </c>
      <c r="T9113" t="n">
        <v>0</v>
      </c>
      <c r="U9113" t="n">
        <v>0</v>
      </c>
      <c r="V9113" s="2" t="inlineStr"/>
    </row>
    <row r="9114" ht="15" customHeight="1">
      <c r="A9114" t="inlineStr">
        <is>
          <t>A 56768-2024</t>
        </is>
      </c>
      <c r="B9114" t="inlineStr">
        <is>
          <t>avverkningsanmälan</t>
        </is>
      </c>
      <c r="C9114" t="inlineStr">
        <is>
          <t>Föryngringsavverkning</t>
        </is>
      </c>
      <c r="D9114" s="1" t="n">
        <v>45628</v>
      </c>
      <c r="E9114" s="1" t="n">
        <v>46319</v>
      </c>
      <c r="F9114" t="inlineStr">
        <is>
          <t>DALARNAS LÄN</t>
        </is>
      </c>
      <c r="G9114" t="inlineStr">
        <is>
          <t>FALUN</t>
        </is>
      </c>
      <c r="I9114" t="n">
        <v>0.9</v>
      </c>
      <c r="J9114" t="n">
        <v>0</v>
      </c>
      <c r="K9114" t="n">
        <v>0</v>
      </c>
      <c r="L9114" t="n">
        <v>0</v>
      </c>
      <c r="M9114" t="n">
        <v>0</v>
      </c>
      <c r="N9114" t="n">
        <v>0</v>
      </c>
      <c r="O9114" t="n">
        <v>0</v>
      </c>
      <c r="P9114" t="n">
        <v>0</v>
      </c>
      <c r="Q9114" t="n">
        <v>0</v>
      </c>
      <c r="R9114" t="n">
        <v>0</v>
      </c>
      <c r="S9114" t="n">
        <v>0</v>
      </c>
      <c r="T9114" t="n">
        <v>0</v>
      </c>
      <c r="U9114" t="n">
        <v>0</v>
      </c>
      <c r="V9114" s="2" t="inlineStr"/>
    </row>
    <row r="9115" ht="15" customHeight="1">
      <c r="A9115" t="inlineStr">
        <is>
          <t>A 26752-2023</t>
        </is>
      </c>
      <c r="B9115" t="inlineStr">
        <is>
          <t>avverkningsanmälan</t>
        </is>
      </c>
      <c r="C9115" t="inlineStr">
        <is>
          <t>Föryngringsavverkning</t>
        </is>
      </c>
      <c r="D9115" s="1" t="n">
        <v>45093</v>
      </c>
      <c r="E9115" s="1" t="n">
        <v>46319</v>
      </c>
      <c r="F9115" t="inlineStr">
        <is>
          <t>DALARNAS LÄN</t>
        </is>
      </c>
      <c r="G9115" t="inlineStr">
        <is>
          <t>MALUNG-SÄLEN</t>
        </is>
      </c>
      <c r="I9115" t="n">
        <v>0.7</v>
      </c>
      <c r="J9115" t="n">
        <v>0</v>
      </c>
      <c r="K9115" t="n">
        <v>0</v>
      </c>
      <c r="L9115" t="n">
        <v>0</v>
      </c>
      <c r="M9115" t="n">
        <v>0</v>
      </c>
      <c r="N9115" t="n">
        <v>0</v>
      </c>
      <c r="O9115" t="n">
        <v>0</v>
      </c>
      <c r="P9115" t="n">
        <v>0</v>
      </c>
      <c r="Q9115" t="n">
        <v>0</v>
      </c>
      <c r="R9115" t="n">
        <v>0</v>
      </c>
      <c r="S9115" t="n">
        <v>0</v>
      </c>
      <c r="T9115" t="n">
        <v>0</v>
      </c>
      <c r="U9115" t="n">
        <v>0</v>
      </c>
      <c r="V9115" s="2" t="inlineStr"/>
    </row>
    <row r="9116" ht="15" customHeight="1">
      <c r="A9116" t="inlineStr">
        <is>
          <t>A 8309-2022</t>
        </is>
      </c>
      <c r="B9116" t="inlineStr">
        <is>
          <t>avverkningsanmälan</t>
        </is>
      </c>
      <c r="C9116" t="inlineStr">
        <is>
          <t>Föryngringsavverkning</t>
        </is>
      </c>
      <c r="D9116" s="1" t="n">
        <v>44610</v>
      </c>
      <c r="E9116" s="1" t="n">
        <v>46319</v>
      </c>
      <c r="F9116" t="inlineStr">
        <is>
          <t>DALARNAS LÄN</t>
        </is>
      </c>
      <c r="G9116" t="inlineStr">
        <is>
          <t>BORLÄNGE</t>
        </is>
      </c>
      <c r="I9116" t="n">
        <v>2.8</v>
      </c>
      <c r="J9116" t="n">
        <v>0</v>
      </c>
      <c r="K9116" t="n">
        <v>0</v>
      </c>
      <c r="L9116" t="n">
        <v>0</v>
      </c>
      <c r="M9116" t="n">
        <v>0</v>
      </c>
      <c r="N9116" t="n">
        <v>0</v>
      </c>
      <c r="O9116" t="n">
        <v>0</v>
      </c>
      <c r="P9116" t="n">
        <v>0</v>
      </c>
      <c r="Q9116" t="n">
        <v>0</v>
      </c>
      <c r="R9116" t="n">
        <v>0</v>
      </c>
      <c r="S9116" t="n">
        <v>0</v>
      </c>
      <c r="T9116" t="n">
        <v>0</v>
      </c>
      <c r="U9116" t="n">
        <v>0</v>
      </c>
      <c r="V9116" s="2" t="inlineStr"/>
    </row>
    <row r="9117" ht="15" customHeight="1">
      <c r="A9117" t="inlineStr">
        <is>
          <t>A 16395-2025</t>
        </is>
      </c>
      <c r="B9117" t="inlineStr">
        <is>
          <t>avverkningsanmälan</t>
        </is>
      </c>
      <c r="C9117" t="inlineStr">
        <is>
          <t>Föryngringsavverkning</t>
        </is>
      </c>
      <c r="D9117" s="1" t="n">
        <v>45751</v>
      </c>
      <c r="E9117" s="1" t="n">
        <v>46319</v>
      </c>
      <c r="F9117" t="inlineStr">
        <is>
          <t>DALARNAS LÄN</t>
        </is>
      </c>
      <c r="G9117" t="inlineStr">
        <is>
          <t>SMEDJEBACKEN</t>
        </is>
      </c>
      <c r="I9117" t="n">
        <v>1.1</v>
      </c>
      <c r="J9117" t="n">
        <v>0</v>
      </c>
      <c r="K9117" t="n">
        <v>0</v>
      </c>
      <c r="L9117" t="n">
        <v>0</v>
      </c>
      <c r="M9117" t="n">
        <v>0</v>
      </c>
      <c r="N9117" t="n">
        <v>0</v>
      </c>
      <c r="O9117" t="n">
        <v>0</v>
      </c>
      <c r="P9117" t="n">
        <v>0</v>
      </c>
      <c r="Q9117" t="n">
        <v>0</v>
      </c>
      <c r="R9117" t="n">
        <v>0</v>
      </c>
      <c r="S9117" t="n">
        <v>0</v>
      </c>
      <c r="T9117" t="n">
        <v>0</v>
      </c>
      <c r="U9117" t="n">
        <v>0</v>
      </c>
      <c r="V9117" s="2" t="inlineStr"/>
    </row>
    <row r="9118" ht="15" customHeight="1">
      <c r="A9118" t="inlineStr">
        <is>
          <t>A 42230-2023</t>
        </is>
      </c>
      <c r="B9118" t="inlineStr">
        <is>
          <t>avverkningsanmälan</t>
        </is>
      </c>
      <c r="C9118" t="inlineStr">
        <is>
          <t>Föryngringsavverkning</t>
        </is>
      </c>
      <c r="D9118" s="1" t="n">
        <v>45180</v>
      </c>
      <c r="E9118" s="1" t="n">
        <v>46319</v>
      </c>
      <c r="F9118" t="inlineStr">
        <is>
          <t>DALARNAS LÄN</t>
        </is>
      </c>
      <c r="G9118" t="inlineStr">
        <is>
          <t>LEKSAND</t>
        </is>
      </c>
      <c r="I9118" t="n">
        <v>0.6</v>
      </c>
      <c r="J9118" t="n">
        <v>0</v>
      </c>
      <c r="K9118" t="n">
        <v>0</v>
      </c>
      <c r="L9118" t="n">
        <v>0</v>
      </c>
      <c r="M9118" t="n">
        <v>0</v>
      </c>
      <c r="N9118" t="n">
        <v>0</v>
      </c>
      <c r="O9118" t="n">
        <v>0</v>
      </c>
      <c r="P9118" t="n">
        <v>0</v>
      </c>
      <c r="Q9118" t="n">
        <v>0</v>
      </c>
      <c r="R9118" t="n">
        <v>0</v>
      </c>
      <c r="S9118" t="n">
        <v>0</v>
      </c>
      <c r="T9118" t="n">
        <v>0</v>
      </c>
      <c r="U9118" t="n">
        <v>0</v>
      </c>
      <c r="V9118" s="2" t="inlineStr"/>
    </row>
    <row r="9119" ht="15" customHeight="1">
      <c r="A9119" t="inlineStr">
        <is>
          <t>A 4417-2025</t>
        </is>
      </c>
      <c r="B9119" t="inlineStr">
        <is>
          <t>avverkningsanmälan</t>
        </is>
      </c>
      <c r="C9119" t="inlineStr">
        <is>
          <t>Föryngringsavverkning</t>
        </is>
      </c>
      <c r="D9119" s="1" t="n">
        <v>45686</v>
      </c>
      <c r="E9119" s="1" t="n">
        <v>46319</v>
      </c>
      <c r="F9119" t="inlineStr">
        <is>
          <t>DALARNAS LÄN</t>
        </is>
      </c>
      <c r="G9119" t="inlineStr">
        <is>
          <t>RÄTTVIK</t>
        </is>
      </c>
      <c r="I9119" t="n">
        <v>2</v>
      </c>
      <c r="J9119" t="n">
        <v>0</v>
      </c>
      <c r="K9119" t="n">
        <v>0</v>
      </c>
      <c r="L9119" t="n">
        <v>0</v>
      </c>
      <c r="M9119" t="n">
        <v>0</v>
      </c>
      <c r="N9119" t="n">
        <v>0</v>
      </c>
      <c r="O9119" t="n">
        <v>0</v>
      </c>
      <c r="P9119" t="n">
        <v>0</v>
      </c>
      <c r="Q9119" t="n">
        <v>0</v>
      </c>
      <c r="R9119" t="n">
        <v>0</v>
      </c>
      <c r="S9119" t="n">
        <v>0</v>
      </c>
      <c r="T9119" t="n">
        <v>0</v>
      </c>
      <c r="U9119" t="n">
        <v>0</v>
      </c>
      <c r="V9119" s="2" t="inlineStr"/>
    </row>
    <row r="9120" ht="15" customHeight="1">
      <c r="A9120" t="inlineStr">
        <is>
          <t>A 4550-2025</t>
        </is>
      </c>
      <c r="B9120" t="inlineStr">
        <is>
          <t>avverkningsanmälan</t>
        </is>
      </c>
      <c r="C9120" t="inlineStr">
        <is>
          <t>Föryngringsavverkning</t>
        </is>
      </c>
      <c r="D9120" s="1" t="n">
        <v>45687</v>
      </c>
      <c r="E9120" s="1" t="n">
        <v>46319</v>
      </c>
      <c r="F9120" t="inlineStr">
        <is>
          <t>DALARNAS LÄN</t>
        </is>
      </c>
      <c r="G9120" t="inlineStr">
        <is>
          <t>LUDVIKA</t>
        </is>
      </c>
      <c r="I9120" t="n">
        <v>0.8</v>
      </c>
      <c r="J9120" t="n">
        <v>0</v>
      </c>
      <c r="K9120" t="n">
        <v>0</v>
      </c>
      <c r="L9120" t="n">
        <v>0</v>
      </c>
      <c r="M9120" t="n">
        <v>0</v>
      </c>
      <c r="N9120" t="n">
        <v>0</v>
      </c>
      <c r="O9120" t="n">
        <v>0</v>
      </c>
      <c r="P9120" t="n">
        <v>0</v>
      </c>
      <c r="Q9120" t="n">
        <v>0</v>
      </c>
      <c r="R9120" t="n">
        <v>0</v>
      </c>
      <c r="S9120" t="n">
        <v>0</v>
      </c>
      <c r="T9120" t="n">
        <v>0</v>
      </c>
      <c r="U9120" t="n">
        <v>0</v>
      </c>
      <c r="V9120" s="2" t="inlineStr"/>
    </row>
    <row r="9121" ht="15" customHeight="1">
      <c r="A9121" t="inlineStr">
        <is>
          <t>A 16192-2022</t>
        </is>
      </c>
      <c r="B9121" t="inlineStr">
        <is>
          <t>avverkningsanmälan</t>
        </is>
      </c>
      <c r="C9121" t="inlineStr">
        <is>
          <t>Föryngringsavverkning</t>
        </is>
      </c>
      <c r="D9121" s="1" t="n">
        <v>44669</v>
      </c>
      <c r="E9121" s="1" t="n">
        <v>46319</v>
      </c>
      <c r="F9121" t="inlineStr">
        <is>
          <t>DALARNAS LÄN</t>
        </is>
      </c>
      <c r="G9121" t="inlineStr">
        <is>
          <t>GAGNEF</t>
        </is>
      </c>
      <c r="H9121" t="inlineStr">
        <is>
          <t>Bergvik skog väst AB</t>
        </is>
      </c>
      <c r="I9121" t="n">
        <v>1.4</v>
      </c>
      <c r="J9121" t="n">
        <v>0</v>
      </c>
      <c r="K9121" t="n">
        <v>0</v>
      </c>
      <c r="L9121" t="n">
        <v>0</v>
      </c>
      <c r="M9121" t="n">
        <v>0</v>
      </c>
      <c r="N9121" t="n">
        <v>0</v>
      </c>
      <c r="O9121" t="n">
        <v>0</v>
      </c>
      <c r="P9121" t="n">
        <v>0</v>
      </c>
      <c r="Q9121" t="n">
        <v>0</v>
      </c>
      <c r="R9121" t="n">
        <v>0</v>
      </c>
      <c r="S9121" t="n">
        <v>0</v>
      </c>
      <c r="T9121" t="n">
        <v>0</v>
      </c>
      <c r="U9121" t="n">
        <v>0</v>
      </c>
      <c r="V9121" s="2" t="inlineStr"/>
    </row>
    <row r="9122" ht="15" customHeight="1">
      <c r="A9122" t="inlineStr">
        <is>
          <t>A 13639-2022</t>
        </is>
      </c>
      <c r="B9122" t="inlineStr">
        <is>
          <t>avverkningsanmälan</t>
        </is>
      </c>
      <c r="C9122" t="inlineStr">
        <is>
          <t>Föryngringsavverkning</t>
        </is>
      </c>
      <c r="D9122" s="1" t="n">
        <v>44648</v>
      </c>
      <c r="E9122" s="1" t="n">
        <v>46319</v>
      </c>
      <c r="F9122" t="inlineStr">
        <is>
          <t>DALARNAS LÄN</t>
        </is>
      </c>
      <c r="G9122" t="inlineStr">
        <is>
          <t>VANSBRO</t>
        </is>
      </c>
      <c r="I9122" t="n">
        <v>2</v>
      </c>
      <c r="J9122" t="n">
        <v>0</v>
      </c>
      <c r="K9122" t="n">
        <v>0</v>
      </c>
      <c r="L9122" t="n">
        <v>0</v>
      </c>
      <c r="M9122" t="n">
        <v>0</v>
      </c>
      <c r="N9122" t="n">
        <v>0</v>
      </c>
      <c r="O9122" t="n">
        <v>0</v>
      </c>
      <c r="P9122" t="n">
        <v>0</v>
      </c>
      <c r="Q9122" t="n">
        <v>0</v>
      </c>
      <c r="R9122" t="n">
        <v>0</v>
      </c>
      <c r="S9122" t="n">
        <v>0</v>
      </c>
      <c r="T9122" t="n">
        <v>0</v>
      </c>
      <c r="U9122" t="n">
        <v>0</v>
      </c>
      <c r="V9122" s="2" t="inlineStr"/>
    </row>
    <row r="9123" ht="15" customHeight="1">
      <c r="A9123" t="inlineStr">
        <is>
          <t>A 5980-2025</t>
        </is>
      </c>
      <c r="B9123" t="inlineStr">
        <is>
          <t>avverkningsanmälan</t>
        </is>
      </c>
      <c r="C9123" t="inlineStr">
        <is>
          <t>Föryngringsavverkning</t>
        </is>
      </c>
      <c r="D9123" s="1" t="n">
        <v>45695</v>
      </c>
      <c r="E9123" s="1" t="n">
        <v>46319</v>
      </c>
      <c r="F9123" t="inlineStr">
        <is>
          <t>DALARNAS LÄN</t>
        </is>
      </c>
      <c r="G9123" t="inlineStr">
        <is>
          <t>MORA</t>
        </is>
      </c>
      <c r="I9123" t="n">
        <v>2.7</v>
      </c>
      <c r="J9123" t="n">
        <v>0</v>
      </c>
      <c r="K9123" t="n">
        <v>0</v>
      </c>
      <c r="L9123" t="n">
        <v>0</v>
      </c>
      <c r="M9123" t="n">
        <v>0</v>
      </c>
      <c r="N9123" t="n">
        <v>0</v>
      </c>
      <c r="O9123" t="n">
        <v>0</v>
      </c>
      <c r="P9123" t="n">
        <v>0</v>
      </c>
      <c r="Q9123" t="n">
        <v>0</v>
      </c>
      <c r="R9123" t="n">
        <v>0</v>
      </c>
      <c r="S9123" t="n">
        <v>0</v>
      </c>
      <c r="T9123" t="n">
        <v>0</v>
      </c>
      <c r="U9123" t="n">
        <v>0</v>
      </c>
      <c r="V9123" s="2" t="inlineStr"/>
    </row>
    <row r="9124" ht="15" customHeight="1">
      <c r="A9124" t="inlineStr">
        <is>
          <t>A 39849-2023</t>
        </is>
      </c>
      <c r="B9124" t="inlineStr">
        <is>
          <t>avverkningsanmälan</t>
        </is>
      </c>
      <c r="C9124" t="inlineStr">
        <is>
          <t>Föryngringsavverkning</t>
        </is>
      </c>
      <c r="D9124" s="1" t="n">
        <v>45168</v>
      </c>
      <c r="E9124" s="1" t="n">
        <v>46319</v>
      </c>
      <c r="F9124" t="inlineStr">
        <is>
          <t>DALARNAS LÄN</t>
        </is>
      </c>
      <c r="G9124" t="inlineStr">
        <is>
          <t>LUDVIKA</t>
        </is>
      </c>
      <c r="H9124" t="inlineStr">
        <is>
          <t>Bergvik skog väst AB</t>
        </is>
      </c>
      <c r="I9124" t="n">
        <v>0.7</v>
      </c>
      <c r="J9124" t="n">
        <v>0</v>
      </c>
      <c r="K9124" t="n">
        <v>0</v>
      </c>
      <c r="L9124" t="n">
        <v>0</v>
      </c>
      <c r="M9124" t="n">
        <v>0</v>
      </c>
      <c r="N9124" t="n">
        <v>0</v>
      </c>
      <c r="O9124" t="n">
        <v>0</v>
      </c>
      <c r="P9124" t="n">
        <v>0</v>
      </c>
      <c r="Q9124" t="n">
        <v>0</v>
      </c>
      <c r="R9124" t="n">
        <v>0</v>
      </c>
      <c r="S9124" t="n">
        <v>0</v>
      </c>
      <c r="T9124" t="n">
        <v>0</v>
      </c>
      <c r="U9124" t="n">
        <v>0</v>
      </c>
      <c r="V9124" s="2" t="inlineStr"/>
    </row>
    <row r="9125" ht="15" customHeight="1">
      <c r="A9125" t="inlineStr">
        <is>
          <t>A 43187-2024</t>
        </is>
      </c>
      <c r="B9125" t="inlineStr">
        <is>
          <t>avverkningsanmälan</t>
        </is>
      </c>
      <c r="C9125" t="inlineStr">
        <is>
          <t>Avverkning för annat ändamål</t>
        </is>
      </c>
      <c r="D9125" s="1" t="n">
        <v>45567</v>
      </c>
      <c r="E9125" s="1" t="n">
        <v>46319</v>
      </c>
      <c r="F9125" t="inlineStr">
        <is>
          <t>DALARNAS LÄN</t>
        </is>
      </c>
      <c r="G9125" t="inlineStr">
        <is>
          <t>FALUN</t>
        </is>
      </c>
      <c r="I9125" t="n">
        <v>0.2</v>
      </c>
      <c r="J9125" t="n">
        <v>0</v>
      </c>
      <c r="K9125" t="n">
        <v>0</v>
      </c>
      <c r="L9125" t="n">
        <v>0</v>
      </c>
      <c r="M9125" t="n">
        <v>0</v>
      </c>
      <c r="N9125" t="n">
        <v>0</v>
      </c>
      <c r="O9125" t="n">
        <v>0</v>
      </c>
      <c r="P9125" t="n">
        <v>0</v>
      </c>
      <c r="Q9125" t="n">
        <v>0</v>
      </c>
      <c r="R9125" t="n">
        <v>0</v>
      </c>
      <c r="S9125" t="n">
        <v>0</v>
      </c>
      <c r="T9125" t="n">
        <v>0</v>
      </c>
      <c r="U9125" t="n">
        <v>0</v>
      </c>
      <c r="V9125" s="2" t="inlineStr"/>
    </row>
    <row r="9126" ht="15" customHeight="1">
      <c r="A9126" t="inlineStr">
        <is>
          <t>A 41542-2024</t>
        </is>
      </c>
      <c r="B9126" t="inlineStr">
        <is>
          <t>avverkningsanmälan</t>
        </is>
      </c>
      <c r="C9126" t="inlineStr">
        <is>
          <t>Föryngringsavverkning</t>
        </is>
      </c>
      <c r="D9126" s="1" t="n">
        <v>45560</v>
      </c>
      <c r="E9126" s="1" t="n">
        <v>46319</v>
      </c>
      <c r="F9126" t="inlineStr">
        <is>
          <t>DALARNAS LÄN</t>
        </is>
      </c>
      <c r="G9126" t="inlineStr">
        <is>
          <t>RÄTTVIK</t>
        </is>
      </c>
      <c r="I9126" t="n">
        <v>0.6</v>
      </c>
      <c r="J9126" t="n">
        <v>0</v>
      </c>
      <c r="K9126" t="n">
        <v>0</v>
      </c>
      <c r="L9126" t="n">
        <v>0</v>
      </c>
      <c r="M9126" t="n">
        <v>0</v>
      </c>
      <c r="N9126" t="n">
        <v>0</v>
      </c>
      <c r="O9126" t="n">
        <v>0</v>
      </c>
      <c r="P9126" t="n">
        <v>0</v>
      </c>
      <c r="Q9126" t="n">
        <v>0</v>
      </c>
      <c r="R9126" t="n">
        <v>0</v>
      </c>
      <c r="S9126" t="n">
        <v>0</v>
      </c>
      <c r="T9126" t="n">
        <v>0</v>
      </c>
      <c r="U9126" t="n">
        <v>0</v>
      </c>
      <c r="V9126" s="2" t="inlineStr"/>
    </row>
    <row r="9127" ht="15" customHeight="1">
      <c r="A9127" t="inlineStr">
        <is>
          <t>A 9599-2022</t>
        </is>
      </c>
      <c r="B9127" t="inlineStr">
        <is>
          <t>avverkningsanmälan</t>
        </is>
      </c>
      <c r="C9127" t="inlineStr">
        <is>
          <t>Föryngringsavverkning</t>
        </is>
      </c>
      <c r="D9127" s="1" t="n">
        <v>44617</v>
      </c>
      <c r="E9127" s="1" t="n">
        <v>46319</v>
      </c>
      <c r="F9127" t="inlineStr">
        <is>
          <t>DALARNAS LÄN</t>
        </is>
      </c>
      <c r="G9127" t="inlineStr">
        <is>
          <t>MORA</t>
        </is>
      </c>
      <c r="I9127" t="n">
        <v>2.1</v>
      </c>
      <c r="J9127" t="n">
        <v>0</v>
      </c>
      <c r="K9127" t="n">
        <v>0</v>
      </c>
      <c r="L9127" t="n">
        <v>0</v>
      </c>
      <c r="M9127" t="n">
        <v>0</v>
      </c>
      <c r="N9127" t="n">
        <v>0</v>
      </c>
      <c r="O9127" t="n">
        <v>0</v>
      </c>
      <c r="P9127" t="n">
        <v>0</v>
      </c>
      <c r="Q9127" t="n">
        <v>0</v>
      </c>
      <c r="R9127" t="n">
        <v>0</v>
      </c>
      <c r="S9127" t="n">
        <v>0</v>
      </c>
      <c r="T9127" t="n">
        <v>0</v>
      </c>
      <c r="U9127" t="n">
        <v>0</v>
      </c>
      <c r="V9127" s="2" t="inlineStr"/>
    </row>
    <row r="9128" ht="15" customHeight="1">
      <c r="A9128" t="inlineStr">
        <is>
          <t>A 36494-2022</t>
        </is>
      </c>
      <c r="B9128" t="inlineStr">
        <is>
          <t>avverkningsanmälan</t>
        </is>
      </c>
      <c r="C9128" t="inlineStr">
        <is>
          <t>Föryngringsavverkning</t>
        </is>
      </c>
      <c r="D9128" s="1" t="n">
        <v>44804</v>
      </c>
      <c r="E9128" s="1" t="n">
        <v>46319</v>
      </c>
      <c r="F9128" t="inlineStr">
        <is>
          <t>DALARNAS LÄN</t>
        </is>
      </c>
      <c r="G9128" t="inlineStr">
        <is>
          <t>MALUNG-SÄLEN</t>
        </is>
      </c>
      <c r="I9128" t="n">
        <v>3.7</v>
      </c>
      <c r="J9128" t="n">
        <v>0</v>
      </c>
      <c r="K9128" t="n">
        <v>0</v>
      </c>
      <c r="L9128" t="n">
        <v>0</v>
      </c>
      <c r="M9128" t="n">
        <v>0</v>
      </c>
      <c r="N9128" t="n">
        <v>0</v>
      </c>
      <c r="O9128" t="n">
        <v>0</v>
      </c>
      <c r="P9128" t="n">
        <v>0</v>
      </c>
      <c r="Q9128" t="n">
        <v>0</v>
      </c>
      <c r="R9128" t="n">
        <v>0</v>
      </c>
      <c r="S9128" t="n">
        <v>0</v>
      </c>
      <c r="T9128" t="n">
        <v>0</v>
      </c>
      <c r="U9128" t="n">
        <v>0</v>
      </c>
      <c r="V9128" s="2" t="inlineStr"/>
    </row>
    <row r="9129" ht="15" customHeight="1">
      <c r="A9129" t="inlineStr">
        <is>
          <t>A 47957-2023</t>
        </is>
      </c>
      <c r="B9129" t="inlineStr">
        <is>
          <t>avverkningsanmälan</t>
        </is>
      </c>
      <c r="C9129" t="inlineStr">
        <is>
          <t>Föryngringsavverkning</t>
        </is>
      </c>
      <c r="D9129" s="1" t="n">
        <v>45204</v>
      </c>
      <c r="E9129" s="1" t="n">
        <v>46319</v>
      </c>
      <c r="F9129" t="inlineStr">
        <is>
          <t>DALARNAS LÄN</t>
        </is>
      </c>
      <c r="G9129" t="inlineStr">
        <is>
          <t>MALUNG-SÄLEN</t>
        </is>
      </c>
      <c r="H9129" t="inlineStr">
        <is>
          <t>Bergvik skog öst AB</t>
        </is>
      </c>
      <c r="I9129" t="n">
        <v>3</v>
      </c>
      <c r="J9129" t="n">
        <v>0</v>
      </c>
      <c r="K9129" t="n">
        <v>0</v>
      </c>
      <c r="L9129" t="n">
        <v>0</v>
      </c>
      <c r="M9129" t="n">
        <v>0</v>
      </c>
      <c r="N9129" t="n">
        <v>0</v>
      </c>
      <c r="O9129" t="n">
        <v>0</v>
      </c>
      <c r="P9129" t="n">
        <v>0</v>
      </c>
      <c r="Q9129" t="n">
        <v>0</v>
      </c>
      <c r="R9129" t="n">
        <v>0</v>
      </c>
      <c r="S9129" t="n">
        <v>0</v>
      </c>
      <c r="T9129" t="n">
        <v>0</v>
      </c>
      <c r="U9129" t="n">
        <v>0</v>
      </c>
      <c r="V9129" s="2" t="inlineStr"/>
    </row>
    <row r="9130" ht="15" customHeight="1">
      <c r="A9130" t="inlineStr">
        <is>
          <t>A 48589-2023</t>
        </is>
      </c>
      <c r="B9130" t="inlineStr">
        <is>
          <t>avverkningsanmälan</t>
        </is>
      </c>
      <c r="C9130" t="inlineStr">
        <is>
          <t>Föryngringsavverkning</t>
        </is>
      </c>
      <c r="D9130" s="1" t="n">
        <v>45208</v>
      </c>
      <c r="E9130" s="1" t="n">
        <v>46319</v>
      </c>
      <c r="F9130" t="inlineStr">
        <is>
          <t>DALARNAS LÄN</t>
        </is>
      </c>
      <c r="G9130" t="inlineStr">
        <is>
          <t>LUDVIKA</t>
        </is>
      </c>
      <c r="H9130" t="inlineStr">
        <is>
          <t>Naturvårdsverket</t>
        </is>
      </c>
      <c r="I9130" t="n">
        <v>0.7</v>
      </c>
      <c r="J9130" t="n">
        <v>0</v>
      </c>
      <c r="K9130" t="n">
        <v>0</v>
      </c>
      <c r="L9130" t="n">
        <v>0</v>
      </c>
      <c r="M9130" t="n">
        <v>0</v>
      </c>
      <c r="N9130" t="n">
        <v>0</v>
      </c>
      <c r="O9130" t="n">
        <v>0</v>
      </c>
      <c r="P9130" t="n">
        <v>0</v>
      </c>
      <c r="Q9130" t="n">
        <v>0</v>
      </c>
      <c r="R9130" t="n">
        <v>0</v>
      </c>
      <c r="S9130" t="n">
        <v>0</v>
      </c>
      <c r="T9130" t="n">
        <v>0</v>
      </c>
      <c r="U9130" t="n">
        <v>0</v>
      </c>
      <c r="V9130" s="2" t="inlineStr"/>
    </row>
    <row r="9131" ht="15" customHeight="1">
      <c r="A9131" t="inlineStr">
        <is>
          <t>A 48606-2023</t>
        </is>
      </c>
      <c r="B9131" t="inlineStr">
        <is>
          <t>avverkningsanmälan</t>
        </is>
      </c>
      <c r="C9131" t="inlineStr">
        <is>
          <t>Föryngringsavverkning</t>
        </is>
      </c>
      <c r="D9131" s="1" t="n">
        <v>45208</v>
      </c>
      <c r="E9131" s="1" t="n">
        <v>46319</v>
      </c>
      <c r="F9131" t="inlineStr">
        <is>
          <t>DALARNAS LÄN</t>
        </is>
      </c>
      <c r="G9131" t="inlineStr">
        <is>
          <t>BORLÄNGE</t>
        </is>
      </c>
      <c r="I9131" t="n">
        <v>3.4</v>
      </c>
      <c r="J9131" t="n">
        <v>0</v>
      </c>
      <c r="K9131" t="n">
        <v>0</v>
      </c>
      <c r="L9131" t="n">
        <v>0</v>
      </c>
      <c r="M9131" t="n">
        <v>0</v>
      </c>
      <c r="N9131" t="n">
        <v>0</v>
      </c>
      <c r="O9131" t="n">
        <v>0</v>
      </c>
      <c r="P9131" t="n">
        <v>0</v>
      </c>
      <c r="Q9131" t="n">
        <v>0</v>
      </c>
      <c r="R9131" t="n">
        <v>0</v>
      </c>
      <c r="S9131" t="n">
        <v>0</v>
      </c>
      <c r="T9131" t="n">
        <v>0</v>
      </c>
      <c r="U9131" t="n">
        <v>0</v>
      </c>
      <c r="V9131" s="2" t="inlineStr"/>
    </row>
    <row r="9132" ht="15" customHeight="1">
      <c r="A9132" t="inlineStr">
        <is>
          <t>A 53984-2023</t>
        </is>
      </c>
      <c r="B9132" t="inlineStr">
        <is>
          <t>avverkningsanmälan</t>
        </is>
      </c>
      <c r="C9132" t="inlineStr">
        <is>
          <t>Föryngringsavverkning</t>
        </is>
      </c>
      <c r="D9132" s="1" t="n">
        <v>45231</v>
      </c>
      <c r="E9132" s="1" t="n">
        <v>46319</v>
      </c>
      <c r="F9132" t="inlineStr">
        <is>
          <t>DALARNAS LÄN</t>
        </is>
      </c>
      <c r="G9132" t="inlineStr">
        <is>
          <t>MALUNG-SÄLEN</t>
        </is>
      </c>
      <c r="I9132" t="n">
        <v>2.4</v>
      </c>
      <c r="J9132" t="n">
        <v>0</v>
      </c>
      <c r="K9132" t="n">
        <v>0</v>
      </c>
      <c r="L9132" t="n">
        <v>0</v>
      </c>
      <c r="M9132" t="n">
        <v>0</v>
      </c>
      <c r="N9132" t="n">
        <v>0</v>
      </c>
      <c r="O9132" t="n">
        <v>0</v>
      </c>
      <c r="P9132" t="n">
        <v>0</v>
      </c>
      <c r="Q9132" t="n">
        <v>0</v>
      </c>
      <c r="R9132" t="n">
        <v>0</v>
      </c>
      <c r="S9132" t="n">
        <v>0</v>
      </c>
      <c r="T9132" t="n">
        <v>0</v>
      </c>
      <c r="U9132" t="n">
        <v>0</v>
      </c>
      <c r="V9132" s="2" t="inlineStr"/>
    </row>
    <row r="9133" ht="15" customHeight="1">
      <c r="A9133" t="inlineStr">
        <is>
          <t>A 51883-2024</t>
        </is>
      </c>
      <c r="B9133" t="inlineStr">
        <is>
          <t>avverkningsanmälan</t>
        </is>
      </c>
      <c r="C9133" t="inlineStr">
        <is>
          <t>Föryngringsavverkning</t>
        </is>
      </c>
      <c r="D9133" s="1" t="n">
        <v>45607</v>
      </c>
      <c r="E9133" s="1" t="n">
        <v>46319</v>
      </c>
      <c r="F9133" t="inlineStr">
        <is>
          <t>DALARNAS LÄN</t>
        </is>
      </c>
      <c r="G9133" t="inlineStr">
        <is>
          <t>MORA</t>
        </is>
      </c>
      <c r="I9133" t="n">
        <v>0.2</v>
      </c>
      <c r="J9133" t="n">
        <v>0</v>
      </c>
      <c r="K9133" t="n">
        <v>0</v>
      </c>
      <c r="L9133" t="n">
        <v>0</v>
      </c>
      <c r="M9133" t="n">
        <v>0</v>
      </c>
      <c r="N9133" t="n">
        <v>0</v>
      </c>
      <c r="O9133" t="n">
        <v>0</v>
      </c>
      <c r="P9133" t="n">
        <v>0</v>
      </c>
      <c r="Q9133" t="n">
        <v>0</v>
      </c>
      <c r="R9133" t="n">
        <v>0</v>
      </c>
      <c r="S9133" t="n">
        <v>0</v>
      </c>
      <c r="T9133" t="n">
        <v>0</v>
      </c>
      <c r="U9133" t="n">
        <v>0</v>
      </c>
      <c r="V9133" s="2" t="inlineStr"/>
    </row>
    <row r="9134" ht="15" customHeight="1">
      <c r="A9134" t="inlineStr">
        <is>
          <t>A 53090-2024</t>
        </is>
      </c>
      <c r="B9134" t="inlineStr">
        <is>
          <t>avverkningsanmälan</t>
        </is>
      </c>
      <c r="C9134" t="inlineStr">
        <is>
          <t>Föryngringsavverkning</t>
        </is>
      </c>
      <c r="D9134" s="1" t="n">
        <v>45611</v>
      </c>
      <c r="E9134" s="1" t="n">
        <v>46319</v>
      </c>
      <c r="F9134" t="inlineStr">
        <is>
          <t>DALARNAS LÄN</t>
        </is>
      </c>
      <c r="G9134" t="inlineStr">
        <is>
          <t>FALUN</t>
        </is>
      </c>
      <c r="H9134" t="inlineStr">
        <is>
          <t>Bergvik skog väst AB</t>
        </is>
      </c>
      <c r="I9134" t="n">
        <v>8.300000000000001</v>
      </c>
      <c r="J9134" t="n">
        <v>0</v>
      </c>
      <c r="K9134" t="n">
        <v>0</v>
      </c>
      <c r="L9134" t="n">
        <v>0</v>
      </c>
      <c r="M9134" t="n">
        <v>0</v>
      </c>
      <c r="N9134" t="n">
        <v>0</v>
      </c>
      <c r="O9134" t="n">
        <v>0</v>
      </c>
      <c r="P9134" t="n">
        <v>0</v>
      </c>
      <c r="Q9134" t="n">
        <v>0</v>
      </c>
      <c r="R9134" t="n">
        <v>0</v>
      </c>
      <c r="S9134" t="n">
        <v>0</v>
      </c>
      <c r="T9134" t="n">
        <v>0</v>
      </c>
      <c r="U9134" t="n">
        <v>0</v>
      </c>
      <c r="V9134" s="2" t="inlineStr"/>
    </row>
    <row r="9135" ht="15" customHeight="1">
      <c r="A9135" t="inlineStr">
        <is>
          <t>A 27885-2023</t>
        </is>
      </c>
      <c r="B9135" t="inlineStr">
        <is>
          <t>avverkningsanmälan</t>
        </is>
      </c>
      <c r="C9135" t="inlineStr">
        <is>
          <t>Föryngringsavverkning</t>
        </is>
      </c>
      <c r="D9135" s="1" t="n">
        <v>45098</v>
      </c>
      <c r="E9135" s="1" t="n">
        <v>46319</v>
      </c>
      <c r="F9135" t="inlineStr">
        <is>
          <t>DALARNAS LÄN</t>
        </is>
      </c>
      <c r="G9135" t="inlineStr">
        <is>
          <t>FALUN</t>
        </is>
      </c>
      <c r="I9135" t="n">
        <v>1.2</v>
      </c>
      <c r="J9135" t="n">
        <v>0</v>
      </c>
      <c r="K9135" t="n">
        <v>0</v>
      </c>
      <c r="L9135" t="n">
        <v>0</v>
      </c>
      <c r="M9135" t="n">
        <v>0</v>
      </c>
      <c r="N9135" t="n">
        <v>0</v>
      </c>
      <c r="O9135" t="n">
        <v>0</v>
      </c>
      <c r="P9135" t="n">
        <v>0</v>
      </c>
      <c r="Q9135" t="n">
        <v>0</v>
      </c>
      <c r="R9135" t="n">
        <v>0</v>
      </c>
      <c r="S9135" t="n">
        <v>0</v>
      </c>
      <c r="T9135" t="n">
        <v>0</v>
      </c>
      <c r="U9135" t="n">
        <v>0</v>
      </c>
      <c r="V9135" s="2" t="inlineStr"/>
    </row>
    <row r="9136" ht="15" customHeight="1">
      <c r="A9136" t="inlineStr">
        <is>
          <t>A 54414-2024</t>
        </is>
      </c>
      <c r="B9136" t="inlineStr">
        <is>
          <t>avverkningsanmälan</t>
        </is>
      </c>
      <c r="C9136" t="inlineStr">
        <is>
          <t>Avverkning för annat ändamål</t>
        </is>
      </c>
      <c r="D9136" s="1" t="n">
        <v>45617</v>
      </c>
      <c r="E9136" s="1" t="n">
        <v>46319</v>
      </c>
      <c r="F9136" t="inlineStr">
        <is>
          <t>DALARNAS LÄN</t>
        </is>
      </c>
      <c r="G9136" t="inlineStr">
        <is>
          <t>BORLÄNGE</t>
        </is>
      </c>
      <c r="H9136" t="inlineStr">
        <is>
          <t>Bergvik skog väst AB</t>
        </is>
      </c>
      <c r="I9136" t="n">
        <v>1.3</v>
      </c>
      <c r="J9136" t="n">
        <v>0</v>
      </c>
      <c r="K9136" t="n">
        <v>0</v>
      </c>
      <c r="L9136" t="n">
        <v>0</v>
      </c>
      <c r="M9136" t="n">
        <v>0</v>
      </c>
      <c r="N9136" t="n">
        <v>0</v>
      </c>
      <c r="O9136" t="n">
        <v>0</v>
      </c>
      <c r="P9136" t="n">
        <v>0</v>
      </c>
      <c r="Q9136" t="n">
        <v>0</v>
      </c>
      <c r="R9136" t="n">
        <v>0</v>
      </c>
      <c r="S9136" t="n">
        <v>0</v>
      </c>
      <c r="T9136" t="n">
        <v>0</v>
      </c>
      <c r="U9136" t="n">
        <v>0</v>
      </c>
      <c r="V9136" s="2" t="inlineStr"/>
    </row>
    <row r="9137" ht="15" customHeight="1">
      <c r="A9137" t="inlineStr">
        <is>
          <t>A 8759-2022</t>
        </is>
      </c>
      <c r="B9137" t="inlineStr">
        <is>
          <t>avverkningsanmälan</t>
        </is>
      </c>
      <c r="C9137" t="inlineStr">
        <is>
          <t>Föryngringsavverkning</t>
        </is>
      </c>
      <c r="D9137" s="1" t="n">
        <v>44613</v>
      </c>
      <c r="E9137" s="1" t="n">
        <v>46319</v>
      </c>
      <c r="F9137" t="inlineStr">
        <is>
          <t>DALARNAS LÄN</t>
        </is>
      </c>
      <c r="G9137" t="inlineStr">
        <is>
          <t>AVESTA</t>
        </is>
      </c>
      <c r="I9137" t="n">
        <v>12.9</v>
      </c>
      <c r="J9137" t="n">
        <v>0</v>
      </c>
      <c r="K9137" t="n">
        <v>0</v>
      </c>
      <c r="L9137" t="n">
        <v>0</v>
      </c>
      <c r="M9137" t="n">
        <v>0</v>
      </c>
      <c r="N9137" t="n">
        <v>0</v>
      </c>
      <c r="O9137" t="n">
        <v>0</v>
      </c>
      <c r="P9137" t="n">
        <v>0</v>
      </c>
      <c r="Q9137" t="n">
        <v>0</v>
      </c>
      <c r="R9137" t="n">
        <v>0</v>
      </c>
      <c r="S9137" t="n">
        <v>0</v>
      </c>
      <c r="T9137" t="n">
        <v>0</v>
      </c>
      <c r="U9137" t="n">
        <v>0</v>
      </c>
      <c r="V9137" s="2" t="inlineStr"/>
    </row>
    <row r="9138" ht="15" customHeight="1">
      <c r="A9138" t="inlineStr">
        <is>
          <t>A 53273-2022</t>
        </is>
      </c>
      <c r="B9138" t="inlineStr">
        <is>
          <t>avverkningsanmälan</t>
        </is>
      </c>
      <c r="C9138" t="inlineStr">
        <is>
          <t>Föryngringsavverkning</t>
        </is>
      </c>
      <c r="D9138" s="1" t="n">
        <v>44876</v>
      </c>
      <c r="E9138" s="1" t="n">
        <v>46319</v>
      </c>
      <c r="F9138" t="inlineStr">
        <is>
          <t>DALARNAS LÄN</t>
        </is>
      </c>
      <c r="G9138" t="inlineStr">
        <is>
          <t>SMEDJEBACKEN</t>
        </is>
      </c>
      <c r="I9138" t="n">
        <v>1.9</v>
      </c>
      <c r="J9138" t="n">
        <v>0</v>
      </c>
      <c r="K9138" t="n">
        <v>0</v>
      </c>
      <c r="L9138" t="n">
        <v>0</v>
      </c>
      <c r="M9138" t="n">
        <v>0</v>
      </c>
      <c r="N9138" t="n">
        <v>0</v>
      </c>
      <c r="O9138" t="n">
        <v>0</v>
      </c>
      <c r="P9138" t="n">
        <v>0</v>
      </c>
      <c r="Q9138" t="n">
        <v>0</v>
      </c>
      <c r="R9138" t="n">
        <v>0</v>
      </c>
      <c r="S9138" t="n">
        <v>0</v>
      </c>
      <c r="T9138" t="n">
        <v>0</v>
      </c>
      <c r="U9138" t="n">
        <v>0</v>
      </c>
      <c r="V9138" s="2" t="inlineStr"/>
    </row>
    <row r="9139" ht="15" customHeight="1">
      <c r="A9139" t="inlineStr">
        <is>
          <t>A 33673-2022</t>
        </is>
      </c>
      <c r="B9139" t="inlineStr">
        <is>
          <t>avverkningsanmälan</t>
        </is>
      </c>
      <c r="C9139" t="inlineStr">
        <is>
          <t>Föryngringsavverkning</t>
        </is>
      </c>
      <c r="D9139" s="1" t="n">
        <v>44789</v>
      </c>
      <c r="E9139" s="1" t="n">
        <v>46319</v>
      </c>
      <c r="F9139" t="inlineStr">
        <is>
          <t>DALARNAS LÄN</t>
        </is>
      </c>
      <c r="G9139" t="inlineStr">
        <is>
          <t>LUDVIKA</t>
        </is>
      </c>
      <c r="I9139" t="n">
        <v>1.5</v>
      </c>
      <c r="J9139" t="n">
        <v>0</v>
      </c>
      <c r="K9139" t="n">
        <v>0</v>
      </c>
      <c r="L9139" t="n">
        <v>0</v>
      </c>
      <c r="M9139" t="n">
        <v>0</v>
      </c>
      <c r="N9139" t="n">
        <v>0</v>
      </c>
      <c r="O9139" t="n">
        <v>0</v>
      </c>
      <c r="P9139" t="n">
        <v>0</v>
      </c>
      <c r="Q9139" t="n">
        <v>0</v>
      </c>
      <c r="R9139" t="n">
        <v>0</v>
      </c>
      <c r="S9139" t="n">
        <v>0</v>
      </c>
      <c r="T9139" t="n">
        <v>0</v>
      </c>
      <c r="U9139" t="n">
        <v>0</v>
      </c>
      <c r="V9139" s="2" t="inlineStr"/>
    </row>
    <row r="9140" ht="15" customHeight="1">
      <c r="A9140" t="inlineStr">
        <is>
          <t>A 53717-2024</t>
        </is>
      </c>
      <c r="B9140" t="inlineStr">
        <is>
          <t>avverkningsanmälan</t>
        </is>
      </c>
      <c r="C9140" t="inlineStr">
        <is>
          <t>Föryngringsavverkning</t>
        </is>
      </c>
      <c r="D9140" s="1" t="n">
        <v>45615</v>
      </c>
      <c r="E9140" s="1" t="n">
        <v>46319</v>
      </c>
      <c r="F9140" t="inlineStr">
        <is>
          <t>DALARNAS LÄN</t>
        </is>
      </c>
      <c r="G9140" t="inlineStr">
        <is>
          <t>ORSA</t>
        </is>
      </c>
      <c r="I9140" t="n">
        <v>1.5</v>
      </c>
      <c r="J9140" t="n">
        <v>0</v>
      </c>
      <c r="K9140" t="n">
        <v>0</v>
      </c>
      <c r="L9140" t="n">
        <v>0</v>
      </c>
      <c r="M9140" t="n">
        <v>0</v>
      </c>
      <c r="N9140" t="n">
        <v>0</v>
      </c>
      <c r="O9140" t="n">
        <v>0</v>
      </c>
      <c r="P9140" t="n">
        <v>0</v>
      </c>
      <c r="Q9140" t="n">
        <v>0</v>
      </c>
      <c r="R9140" t="n">
        <v>0</v>
      </c>
      <c r="S9140" t="n">
        <v>0</v>
      </c>
      <c r="T9140" t="n">
        <v>0</v>
      </c>
      <c r="U9140" t="n">
        <v>0</v>
      </c>
      <c r="V9140" s="2" t="inlineStr"/>
    </row>
    <row r="9141" ht="15" customHeight="1">
      <c r="A9141" t="inlineStr">
        <is>
          <t>A 2098-2025</t>
        </is>
      </c>
      <c r="B9141" t="inlineStr">
        <is>
          <t>avverkningsanmälan</t>
        </is>
      </c>
      <c r="C9141" t="inlineStr">
        <is>
          <t>Föryngringsavverkning</t>
        </is>
      </c>
      <c r="D9141" s="1" t="n">
        <v>45672</v>
      </c>
      <c r="E9141" s="1" t="n">
        <v>46319</v>
      </c>
      <c r="F9141" t="inlineStr">
        <is>
          <t>DALARNAS LÄN</t>
        </is>
      </c>
      <c r="G9141" t="inlineStr">
        <is>
          <t>RÄTTVIK</t>
        </is>
      </c>
      <c r="I9141" t="n">
        <v>1</v>
      </c>
      <c r="J9141" t="n">
        <v>0</v>
      </c>
      <c r="K9141" t="n">
        <v>0</v>
      </c>
      <c r="L9141" t="n">
        <v>0</v>
      </c>
      <c r="M9141" t="n">
        <v>0</v>
      </c>
      <c r="N9141" t="n">
        <v>0</v>
      </c>
      <c r="O9141" t="n">
        <v>0</v>
      </c>
      <c r="P9141" t="n">
        <v>0</v>
      </c>
      <c r="Q9141" t="n">
        <v>0</v>
      </c>
      <c r="R9141" t="n">
        <v>0</v>
      </c>
      <c r="S9141" t="n">
        <v>0</v>
      </c>
      <c r="T9141" t="n">
        <v>0</v>
      </c>
      <c r="U9141" t="n">
        <v>0</v>
      </c>
      <c r="V9141" s="2" t="inlineStr"/>
    </row>
    <row r="9142" ht="15" customHeight="1">
      <c r="A9142" t="inlineStr">
        <is>
          <t>A 921-2025</t>
        </is>
      </c>
      <c r="B9142" t="inlineStr">
        <is>
          <t>avverkningsanmälan</t>
        </is>
      </c>
      <c r="C9142" t="inlineStr">
        <is>
          <t>Avverkning för annat ändamål</t>
        </is>
      </c>
      <c r="D9142" s="1" t="n">
        <v>45665</v>
      </c>
      <c r="E9142" s="1" t="n">
        <v>46319</v>
      </c>
      <c r="F9142" t="inlineStr">
        <is>
          <t>DALARNAS LÄN</t>
        </is>
      </c>
      <c r="G9142" t="inlineStr">
        <is>
          <t>VANSBRO</t>
        </is>
      </c>
      <c r="I9142" t="n">
        <v>1.3</v>
      </c>
      <c r="J9142" t="n">
        <v>0</v>
      </c>
      <c r="K9142" t="n">
        <v>0</v>
      </c>
      <c r="L9142" t="n">
        <v>0</v>
      </c>
      <c r="M9142" t="n">
        <v>0</v>
      </c>
      <c r="N9142" t="n">
        <v>0</v>
      </c>
      <c r="O9142" t="n">
        <v>0</v>
      </c>
      <c r="P9142" t="n">
        <v>0</v>
      </c>
      <c r="Q9142" t="n">
        <v>0</v>
      </c>
      <c r="R9142" t="n">
        <v>0</v>
      </c>
      <c r="S9142" t="n">
        <v>0</v>
      </c>
      <c r="T9142" t="n">
        <v>0</v>
      </c>
      <c r="U9142" t="n">
        <v>0</v>
      </c>
      <c r="V9142" s="2" t="inlineStr"/>
    </row>
    <row r="9143" ht="15" customHeight="1">
      <c r="A9143" t="inlineStr">
        <is>
          <t>A 950-2025</t>
        </is>
      </c>
      <c r="B9143" t="inlineStr">
        <is>
          <t>avverkningsanmälan</t>
        </is>
      </c>
      <c r="C9143" t="inlineStr">
        <is>
          <t>Föryngringsavverkning</t>
        </is>
      </c>
      <c r="D9143" s="1" t="n">
        <v>45666</v>
      </c>
      <c r="E9143" s="1" t="n">
        <v>46319</v>
      </c>
      <c r="F9143" t="inlineStr">
        <is>
          <t>DALARNAS LÄN</t>
        </is>
      </c>
      <c r="G9143" t="inlineStr">
        <is>
          <t>RÄTTVIK</t>
        </is>
      </c>
      <c r="I9143" t="n">
        <v>1</v>
      </c>
      <c r="J9143" t="n">
        <v>0</v>
      </c>
      <c r="K9143" t="n">
        <v>0</v>
      </c>
      <c r="L9143" t="n">
        <v>0</v>
      </c>
      <c r="M9143" t="n">
        <v>0</v>
      </c>
      <c r="N9143" t="n">
        <v>0</v>
      </c>
      <c r="O9143" t="n">
        <v>0</v>
      </c>
      <c r="P9143" t="n">
        <v>0</v>
      </c>
      <c r="Q9143" t="n">
        <v>0</v>
      </c>
      <c r="R9143" t="n">
        <v>0</v>
      </c>
      <c r="S9143" t="n">
        <v>0</v>
      </c>
      <c r="T9143" t="n">
        <v>0</v>
      </c>
      <c r="U9143" t="n">
        <v>0</v>
      </c>
      <c r="V9143" s="2" t="inlineStr"/>
    </row>
    <row r="9144" ht="15" customHeight="1">
      <c r="A9144" t="inlineStr">
        <is>
          <t>A 18306-2025</t>
        </is>
      </c>
      <c r="B9144" t="inlineStr">
        <is>
          <t>avverkningsanmälan</t>
        </is>
      </c>
      <c r="C9144" t="inlineStr">
        <is>
          <t>Föryngringsavverkning</t>
        </is>
      </c>
      <c r="D9144" s="1" t="n">
        <v>45762</v>
      </c>
      <c r="E9144" s="1" t="n">
        <v>46319</v>
      </c>
      <c r="F9144" t="inlineStr">
        <is>
          <t>DALARNAS LÄN</t>
        </is>
      </c>
      <c r="G9144" t="inlineStr">
        <is>
          <t>VANSBRO</t>
        </is>
      </c>
      <c r="H9144" t="inlineStr">
        <is>
          <t>Bergvik skog väst AB</t>
        </is>
      </c>
      <c r="I9144" t="n">
        <v>2.4</v>
      </c>
      <c r="J9144" t="n">
        <v>0</v>
      </c>
      <c r="K9144" t="n">
        <v>0</v>
      </c>
      <c r="L9144" t="n">
        <v>0</v>
      </c>
      <c r="M9144" t="n">
        <v>0</v>
      </c>
      <c r="N9144" t="n">
        <v>0</v>
      </c>
      <c r="O9144" t="n">
        <v>0</v>
      </c>
      <c r="P9144" t="n">
        <v>0</v>
      </c>
      <c r="Q9144" t="n">
        <v>0</v>
      </c>
      <c r="R9144" t="n">
        <v>0</v>
      </c>
      <c r="S9144" t="n">
        <v>0</v>
      </c>
      <c r="T9144" t="n">
        <v>0</v>
      </c>
      <c r="U9144" t="n">
        <v>0</v>
      </c>
      <c r="V9144" s="2" t="inlineStr"/>
    </row>
    <row r="9145" ht="15" customHeight="1">
      <c r="A9145" t="inlineStr">
        <is>
          <t>A 39437-2023</t>
        </is>
      </c>
      <c r="B9145" t="inlineStr">
        <is>
          <t>avverkningsanmälan</t>
        </is>
      </c>
      <c r="C9145" t="inlineStr">
        <is>
          <t>Föryngringsavverkning</t>
        </is>
      </c>
      <c r="D9145" s="1" t="n">
        <v>45166</v>
      </c>
      <c r="E9145" s="1" t="n">
        <v>46319</v>
      </c>
      <c r="F9145" t="inlineStr">
        <is>
          <t>DALARNAS LÄN</t>
        </is>
      </c>
      <c r="G9145" t="inlineStr">
        <is>
          <t>LUDVIKA</t>
        </is>
      </c>
      <c r="H9145" t="inlineStr">
        <is>
          <t>Bergvik skog väst AB</t>
        </is>
      </c>
      <c r="I9145" t="n">
        <v>2</v>
      </c>
      <c r="J9145" t="n">
        <v>0</v>
      </c>
      <c r="K9145" t="n">
        <v>0</v>
      </c>
      <c r="L9145" t="n">
        <v>0</v>
      </c>
      <c r="M9145" t="n">
        <v>0</v>
      </c>
      <c r="N9145" t="n">
        <v>0</v>
      </c>
      <c r="O9145" t="n">
        <v>0</v>
      </c>
      <c r="P9145" t="n">
        <v>0</v>
      </c>
      <c r="Q9145" t="n">
        <v>0</v>
      </c>
      <c r="R9145" t="n">
        <v>0</v>
      </c>
      <c r="S9145" t="n">
        <v>0</v>
      </c>
      <c r="T9145" t="n">
        <v>0</v>
      </c>
      <c r="U9145" t="n">
        <v>0</v>
      </c>
      <c r="V9145" s="2" t="inlineStr"/>
    </row>
    <row r="9146" ht="15" customHeight="1">
      <c r="A9146" t="inlineStr">
        <is>
          <t>A 56222-2023</t>
        </is>
      </c>
      <c r="B9146" t="inlineStr">
        <is>
          <t>avverkningsanmälan</t>
        </is>
      </c>
      <c r="C9146" t="inlineStr">
        <is>
          <t>Föryngringsavverkning</t>
        </is>
      </c>
      <c r="D9146" s="1" t="n">
        <v>45240</v>
      </c>
      <c r="E9146" s="1" t="n">
        <v>46319</v>
      </c>
      <c r="F9146" t="inlineStr">
        <is>
          <t>DALARNAS LÄN</t>
        </is>
      </c>
      <c r="G9146" t="inlineStr">
        <is>
          <t>ÄLVDALEN</t>
        </is>
      </c>
      <c r="H9146" t="inlineStr">
        <is>
          <t>Övriga Aktiebolag</t>
        </is>
      </c>
      <c r="I9146" t="n">
        <v>3.2</v>
      </c>
      <c r="J9146" t="n">
        <v>0</v>
      </c>
      <c r="K9146" t="n">
        <v>0</v>
      </c>
      <c r="L9146" t="n">
        <v>0</v>
      </c>
      <c r="M9146" t="n">
        <v>0</v>
      </c>
      <c r="N9146" t="n">
        <v>0</v>
      </c>
      <c r="O9146" t="n">
        <v>0</v>
      </c>
      <c r="P9146" t="n">
        <v>0</v>
      </c>
      <c r="Q9146" t="n">
        <v>0</v>
      </c>
      <c r="R9146" t="n">
        <v>0</v>
      </c>
      <c r="S9146" t="n">
        <v>0</v>
      </c>
      <c r="T9146" t="n">
        <v>0</v>
      </c>
      <c r="U9146" t="n">
        <v>0</v>
      </c>
      <c r="V9146" s="2" t="inlineStr"/>
    </row>
    <row r="9147" ht="15" customHeight="1">
      <c r="A9147" t="inlineStr">
        <is>
          <t>A 56224-2023</t>
        </is>
      </c>
      <c r="B9147" t="inlineStr">
        <is>
          <t>avverkningsanmälan</t>
        </is>
      </c>
      <c r="C9147" t="inlineStr">
        <is>
          <t>Föryngringsavverkning</t>
        </is>
      </c>
      <c r="D9147" s="1" t="n">
        <v>45240</v>
      </c>
      <c r="E9147" s="1" t="n">
        <v>46319</v>
      </c>
      <c r="F9147" t="inlineStr">
        <is>
          <t>DALARNAS LÄN</t>
        </is>
      </c>
      <c r="G9147" t="inlineStr">
        <is>
          <t>ÄLVDALEN</t>
        </is>
      </c>
      <c r="H9147" t="inlineStr">
        <is>
          <t>Övriga Aktiebolag</t>
        </is>
      </c>
      <c r="I9147" t="n">
        <v>10.9</v>
      </c>
      <c r="J9147" t="n">
        <v>0</v>
      </c>
      <c r="K9147" t="n">
        <v>0</v>
      </c>
      <c r="L9147" t="n">
        <v>0</v>
      </c>
      <c r="M9147" t="n">
        <v>0</v>
      </c>
      <c r="N9147" t="n">
        <v>0</v>
      </c>
      <c r="O9147" t="n">
        <v>0</v>
      </c>
      <c r="P9147" t="n">
        <v>0</v>
      </c>
      <c r="Q9147" t="n">
        <v>0</v>
      </c>
      <c r="R9147" t="n">
        <v>0</v>
      </c>
      <c r="S9147" t="n">
        <v>0</v>
      </c>
      <c r="T9147" t="n">
        <v>0</v>
      </c>
      <c r="U9147" t="n">
        <v>0</v>
      </c>
      <c r="V9147" s="2" t="inlineStr"/>
    </row>
    <row r="9148" ht="15" customHeight="1">
      <c r="A9148" t="inlineStr">
        <is>
          <t>A 12464-2022</t>
        </is>
      </c>
      <c r="B9148" t="inlineStr">
        <is>
          <t>avverkningsanmälan</t>
        </is>
      </c>
      <c r="C9148" t="inlineStr">
        <is>
          <t>Föryngringsavverkning</t>
        </is>
      </c>
      <c r="D9148" s="1" t="n">
        <v>44638</v>
      </c>
      <c r="E9148" s="1" t="n">
        <v>46319</v>
      </c>
      <c r="F9148" t="inlineStr">
        <is>
          <t>DALARNAS LÄN</t>
        </is>
      </c>
      <c r="G9148" t="inlineStr">
        <is>
          <t>RÄTTVIK</t>
        </is>
      </c>
      <c r="I9148" t="n">
        <v>1.4</v>
      </c>
      <c r="J9148" t="n">
        <v>0</v>
      </c>
      <c r="K9148" t="n">
        <v>0</v>
      </c>
      <c r="L9148" t="n">
        <v>0</v>
      </c>
      <c r="M9148" t="n">
        <v>0</v>
      </c>
      <c r="N9148" t="n">
        <v>0</v>
      </c>
      <c r="O9148" t="n">
        <v>0</v>
      </c>
      <c r="P9148" t="n">
        <v>0</v>
      </c>
      <c r="Q9148" t="n">
        <v>0</v>
      </c>
      <c r="R9148" t="n">
        <v>0</v>
      </c>
      <c r="S9148" t="n">
        <v>0</v>
      </c>
      <c r="T9148" t="n">
        <v>0</v>
      </c>
      <c r="U9148" t="n">
        <v>0</v>
      </c>
      <c r="V9148" s="2" t="inlineStr"/>
    </row>
    <row r="9149" ht="15" customHeight="1">
      <c r="A9149" t="inlineStr">
        <is>
          <t>A 25172-2022</t>
        </is>
      </c>
      <c r="B9149" t="inlineStr">
        <is>
          <t>avverkningsanmälan</t>
        </is>
      </c>
      <c r="C9149" t="inlineStr">
        <is>
          <t>Föryngringsavverkning</t>
        </is>
      </c>
      <c r="D9149" s="1" t="n">
        <v>44729</v>
      </c>
      <c r="E9149" s="1" t="n">
        <v>46319</v>
      </c>
      <c r="F9149" t="inlineStr">
        <is>
          <t>DALARNAS LÄN</t>
        </is>
      </c>
      <c r="G9149" t="inlineStr">
        <is>
          <t>ORSA</t>
        </is>
      </c>
      <c r="H9149" t="inlineStr">
        <is>
          <t>Bergvik skog öst AB</t>
        </is>
      </c>
      <c r="I9149" t="n">
        <v>3.6</v>
      </c>
      <c r="J9149" t="n">
        <v>0</v>
      </c>
      <c r="K9149" t="n">
        <v>0</v>
      </c>
      <c r="L9149" t="n">
        <v>0</v>
      </c>
      <c r="M9149" t="n">
        <v>0</v>
      </c>
      <c r="N9149" t="n">
        <v>0</v>
      </c>
      <c r="O9149" t="n">
        <v>0</v>
      </c>
      <c r="P9149" t="n">
        <v>0</v>
      </c>
      <c r="Q9149" t="n">
        <v>0</v>
      </c>
      <c r="R9149" t="n">
        <v>0</v>
      </c>
      <c r="S9149" t="n">
        <v>0</v>
      </c>
      <c r="T9149" t="n">
        <v>0</v>
      </c>
      <c r="U9149" t="n">
        <v>0</v>
      </c>
      <c r="V9149" s="2" t="inlineStr"/>
    </row>
    <row r="9150" ht="15" customHeight="1">
      <c r="A9150" t="inlineStr">
        <is>
          <t>A 26009-2022</t>
        </is>
      </c>
      <c r="B9150" t="inlineStr">
        <is>
          <t>avverkningsanmälan</t>
        </is>
      </c>
      <c r="C9150" t="inlineStr">
        <is>
          <t>Avverkning för att bevara och utveckla /försöksver</t>
        </is>
      </c>
      <c r="D9150" s="1" t="n">
        <v>44734</v>
      </c>
      <c r="E9150" s="1" t="n">
        <v>46319</v>
      </c>
      <c r="F9150" t="inlineStr">
        <is>
          <t>DALARNAS LÄN</t>
        </is>
      </c>
      <c r="G9150" t="inlineStr">
        <is>
          <t>SMEDJEBACKEN</t>
        </is>
      </c>
      <c r="H9150" t="inlineStr">
        <is>
          <t>Sveaskog</t>
        </is>
      </c>
      <c r="I9150" t="n">
        <v>2</v>
      </c>
      <c r="J9150" t="n">
        <v>0</v>
      </c>
      <c r="K9150" t="n">
        <v>0</v>
      </c>
      <c r="L9150" t="n">
        <v>0</v>
      </c>
      <c r="M9150" t="n">
        <v>0</v>
      </c>
      <c r="N9150" t="n">
        <v>0</v>
      </c>
      <c r="O9150" t="n">
        <v>0</v>
      </c>
      <c r="P9150" t="n">
        <v>0</v>
      </c>
      <c r="Q9150" t="n">
        <v>0</v>
      </c>
      <c r="R9150" t="n">
        <v>0</v>
      </c>
      <c r="S9150" t="n">
        <v>0</v>
      </c>
      <c r="T9150" t="n">
        <v>0</v>
      </c>
      <c r="U9150" t="n">
        <v>0</v>
      </c>
      <c r="V9150" s="2" t="inlineStr"/>
    </row>
    <row r="9151" ht="15" customHeight="1">
      <c r="A9151" t="inlineStr">
        <is>
          <t>A 19179-2024</t>
        </is>
      </c>
      <c r="B9151" t="inlineStr">
        <is>
          <t>avverkningsanmälan</t>
        </is>
      </c>
      <c r="C9151" t="inlineStr">
        <is>
          <t>Föryngringsavverkning</t>
        </is>
      </c>
      <c r="D9151" s="1" t="n">
        <v>45428</v>
      </c>
      <c r="E9151" s="1" t="n">
        <v>46319</v>
      </c>
      <c r="F9151" t="inlineStr">
        <is>
          <t>DALARNAS LÄN</t>
        </is>
      </c>
      <c r="G9151" t="inlineStr">
        <is>
          <t>SMEDJEBACKEN</t>
        </is>
      </c>
      <c r="I9151" t="n">
        <v>3.3</v>
      </c>
      <c r="J9151" t="n">
        <v>0</v>
      </c>
      <c r="K9151" t="n">
        <v>0</v>
      </c>
      <c r="L9151" t="n">
        <v>0</v>
      </c>
      <c r="M9151" t="n">
        <v>0</v>
      </c>
      <c r="N9151" t="n">
        <v>0</v>
      </c>
      <c r="O9151" t="n">
        <v>0</v>
      </c>
      <c r="P9151" t="n">
        <v>0</v>
      </c>
      <c r="Q9151" t="n">
        <v>0</v>
      </c>
      <c r="R9151" t="n">
        <v>0</v>
      </c>
      <c r="S9151" t="n">
        <v>0</v>
      </c>
      <c r="T9151" t="n">
        <v>0</v>
      </c>
      <c r="U9151" t="n">
        <v>0</v>
      </c>
      <c r="V9151" s="2" t="inlineStr"/>
    </row>
    <row r="9152" ht="15" customHeight="1">
      <c r="A9152" t="inlineStr">
        <is>
          <t>A 8045-2024</t>
        </is>
      </c>
      <c r="B9152" t="inlineStr">
        <is>
          <t>avverkningsanmälan</t>
        </is>
      </c>
      <c r="C9152" t="inlineStr">
        <is>
          <t>Föryngringsavverkning</t>
        </is>
      </c>
      <c r="D9152" s="1" t="n">
        <v>45351</v>
      </c>
      <c r="E9152" s="1" t="n">
        <v>46319</v>
      </c>
      <c r="F9152" t="inlineStr">
        <is>
          <t>DALARNAS LÄN</t>
        </is>
      </c>
      <c r="G9152" t="inlineStr">
        <is>
          <t>LEKSAND</t>
        </is>
      </c>
      <c r="I9152" t="n">
        <v>6.7</v>
      </c>
      <c r="J9152" t="n">
        <v>0</v>
      </c>
      <c r="K9152" t="n">
        <v>0</v>
      </c>
      <c r="L9152" t="n">
        <v>0</v>
      </c>
      <c r="M9152" t="n">
        <v>0</v>
      </c>
      <c r="N9152" t="n">
        <v>0</v>
      </c>
      <c r="O9152" t="n">
        <v>0</v>
      </c>
      <c r="P9152" t="n">
        <v>0</v>
      </c>
      <c r="Q9152" t="n">
        <v>0</v>
      </c>
      <c r="R9152" t="n">
        <v>0</v>
      </c>
      <c r="S9152" t="n">
        <v>0</v>
      </c>
      <c r="T9152" t="n">
        <v>0</v>
      </c>
      <c r="U9152" t="n">
        <v>0</v>
      </c>
      <c r="V9152" s="2" t="inlineStr"/>
    </row>
    <row r="9153" ht="15" customHeight="1">
      <c r="A9153" t="inlineStr">
        <is>
          <t>A 19903-2022</t>
        </is>
      </c>
      <c r="B9153" t="inlineStr">
        <is>
          <t>avverkningsanmälan</t>
        </is>
      </c>
      <c r="C9153" t="inlineStr">
        <is>
          <t>Avverkning för annat ändamål</t>
        </is>
      </c>
      <c r="D9153" s="1" t="n">
        <v>44697</v>
      </c>
      <c r="E9153" s="1" t="n">
        <v>46319</v>
      </c>
      <c r="F9153" t="inlineStr">
        <is>
          <t>DALARNAS LÄN</t>
        </is>
      </c>
      <c r="G9153" t="inlineStr">
        <is>
          <t>FALUN</t>
        </is>
      </c>
      <c r="I9153" t="n">
        <v>3.2</v>
      </c>
      <c r="J9153" t="n">
        <v>0</v>
      </c>
      <c r="K9153" t="n">
        <v>0</v>
      </c>
      <c r="L9153" t="n">
        <v>0</v>
      </c>
      <c r="M9153" t="n">
        <v>0</v>
      </c>
      <c r="N9153" t="n">
        <v>0</v>
      </c>
      <c r="O9153" t="n">
        <v>0</v>
      </c>
      <c r="P9153" t="n">
        <v>0</v>
      </c>
      <c r="Q9153" t="n">
        <v>0</v>
      </c>
      <c r="R9153" t="n">
        <v>0</v>
      </c>
      <c r="S9153" t="n">
        <v>0</v>
      </c>
      <c r="T9153" t="n">
        <v>0</v>
      </c>
      <c r="U9153" t="n">
        <v>0</v>
      </c>
      <c r="V9153" s="2" t="inlineStr"/>
    </row>
    <row r="9154" ht="15" customHeight="1">
      <c r="A9154" t="inlineStr">
        <is>
          <t>A 57424-2024</t>
        </is>
      </c>
      <c r="B9154" t="inlineStr">
        <is>
          <t>avverkningsanmälan</t>
        </is>
      </c>
      <c r="C9154" t="inlineStr">
        <is>
          <t>Föryngringsavverkning</t>
        </is>
      </c>
      <c r="D9154" s="1" t="n">
        <v>45629</v>
      </c>
      <c r="E9154" s="1" t="n">
        <v>46319</v>
      </c>
      <c r="F9154" t="inlineStr">
        <is>
          <t>DALARNAS LÄN</t>
        </is>
      </c>
      <c r="G9154" t="inlineStr">
        <is>
          <t>MALUNG-SÄLEN</t>
        </is>
      </c>
      <c r="I9154" t="n">
        <v>0.6</v>
      </c>
      <c r="J9154" t="n">
        <v>0</v>
      </c>
      <c r="K9154" t="n">
        <v>0</v>
      </c>
      <c r="L9154" t="n">
        <v>0</v>
      </c>
      <c r="M9154" t="n">
        <v>0</v>
      </c>
      <c r="N9154" t="n">
        <v>0</v>
      </c>
      <c r="O9154" t="n">
        <v>0</v>
      </c>
      <c r="P9154" t="n">
        <v>0</v>
      </c>
      <c r="Q9154" t="n">
        <v>0</v>
      </c>
      <c r="R9154" t="n">
        <v>0</v>
      </c>
      <c r="S9154" t="n">
        <v>0</v>
      </c>
      <c r="T9154" t="n">
        <v>0</v>
      </c>
      <c r="U9154" t="n">
        <v>0</v>
      </c>
      <c r="V9154" s="2" t="inlineStr"/>
    </row>
    <row r="9155" ht="15" customHeight="1">
      <c r="A9155" t="inlineStr">
        <is>
          <t>A 38627-2023</t>
        </is>
      </c>
      <c r="B9155" t="inlineStr">
        <is>
          <t>avverkningsanmälan</t>
        </is>
      </c>
      <c r="C9155" t="inlineStr">
        <is>
          <t>Föryngringsavverkning</t>
        </is>
      </c>
      <c r="D9155" s="1" t="n">
        <v>45162</v>
      </c>
      <c r="E9155" s="1" t="n">
        <v>46319</v>
      </c>
      <c r="F9155" t="inlineStr">
        <is>
          <t>DALARNAS LÄN</t>
        </is>
      </c>
      <c r="G9155" t="inlineStr">
        <is>
          <t>MORA</t>
        </is>
      </c>
      <c r="I9155" t="n">
        <v>6.5</v>
      </c>
      <c r="J9155" t="n">
        <v>0</v>
      </c>
      <c r="K9155" t="n">
        <v>0</v>
      </c>
      <c r="L9155" t="n">
        <v>0</v>
      </c>
      <c r="M9155" t="n">
        <v>0</v>
      </c>
      <c r="N9155" t="n">
        <v>0</v>
      </c>
      <c r="O9155" t="n">
        <v>0</v>
      </c>
      <c r="P9155" t="n">
        <v>0</v>
      </c>
      <c r="Q9155" t="n">
        <v>0</v>
      </c>
      <c r="R9155" t="n">
        <v>0</v>
      </c>
      <c r="S9155" t="n">
        <v>0</v>
      </c>
      <c r="T9155" t="n">
        <v>0</v>
      </c>
      <c r="U9155" t="n">
        <v>0</v>
      </c>
      <c r="V9155" s="2" t="inlineStr"/>
    </row>
    <row r="9156" ht="15" customHeight="1">
      <c r="A9156" t="inlineStr">
        <is>
          <t>A 16637-2025</t>
        </is>
      </c>
      <c r="B9156" t="inlineStr">
        <is>
          <t>avverkningsanmälan</t>
        </is>
      </c>
      <c r="C9156" t="inlineStr">
        <is>
          <t>Föryngringsavverkning</t>
        </is>
      </c>
      <c r="D9156" s="1" t="n">
        <v>45754</v>
      </c>
      <c r="E9156" s="1" t="n">
        <v>46319</v>
      </c>
      <c r="F9156" t="inlineStr">
        <is>
          <t>DALARNAS LÄN</t>
        </is>
      </c>
      <c r="G9156" t="inlineStr">
        <is>
          <t>MORA</t>
        </is>
      </c>
      <c r="I9156" t="n">
        <v>1.1</v>
      </c>
      <c r="J9156" t="n">
        <v>0</v>
      </c>
      <c r="K9156" t="n">
        <v>0</v>
      </c>
      <c r="L9156" t="n">
        <v>0</v>
      </c>
      <c r="M9156" t="n">
        <v>0</v>
      </c>
      <c r="N9156" t="n">
        <v>0</v>
      </c>
      <c r="O9156" t="n">
        <v>0</v>
      </c>
      <c r="P9156" t="n">
        <v>0</v>
      </c>
      <c r="Q9156" t="n">
        <v>0</v>
      </c>
      <c r="R9156" t="n">
        <v>0</v>
      </c>
      <c r="S9156" t="n">
        <v>0</v>
      </c>
      <c r="T9156" t="n">
        <v>0</v>
      </c>
      <c r="U9156" t="n">
        <v>0</v>
      </c>
      <c r="V9156" s="2" t="inlineStr"/>
    </row>
    <row r="9157" ht="15" customHeight="1">
      <c r="A9157" t="inlineStr">
        <is>
          <t>A 986-2025</t>
        </is>
      </c>
      <c r="B9157" t="inlineStr">
        <is>
          <t>avverkningsanmälan</t>
        </is>
      </c>
      <c r="C9157" t="inlineStr">
        <is>
          <t>Föryngringsavverkning</t>
        </is>
      </c>
      <c r="D9157" s="1" t="n">
        <v>45666</v>
      </c>
      <c r="E9157" s="1" t="n">
        <v>46319</v>
      </c>
      <c r="F9157" t="inlineStr">
        <is>
          <t>DALARNAS LÄN</t>
        </is>
      </c>
      <c r="G9157" t="inlineStr">
        <is>
          <t>ORSA</t>
        </is>
      </c>
      <c r="I9157" t="n">
        <v>5.7</v>
      </c>
      <c r="J9157" t="n">
        <v>0</v>
      </c>
      <c r="K9157" t="n">
        <v>0</v>
      </c>
      <c r="L9157" t="n">
        <v>0</v>
      </c>
      <c r="M9157" t="n">
        <v>0</v>
      </c>
      <c r="N9157" t="n">
        <v>0</v>
      </c>
      <c r="O9157" t="n">
        <v>0</v>
      </c>
      <c r="P9157" t="n">
        <v>0</v>
      </c>
      <c r="Q9157" t="n">
        <v>0</v>
      </c>
      <c r="R9157" t="n">
        <v>0</v>
      </c>
      <c r="S9157" t="n">
        <v>0</v>
      </c>
      <c r="T9157" t="n">
        <v>0</v>
      </c>
      <c r="U9157" t="n">
        <v>0</v>
      </c>
      <c r="V9157" s="2" t="inlineStr"/>
    </row>
    <row r="9158" ht="15" customHeight="1">
      <c r="A9158" t="inlineStr">
        <is>
          <t>A 48570-2022</t>
        </is>
      </c>
      <c r="B9158" t="inlineStr">
        <is>
          <t>avverkningsanmälan</t>
        </is>
      </c>
      <c r="C9158" t="inlineStr">
        <is>
          <t>Föryngringsavverkning</t>
        </is>
      </c>
      <c r="D9158" s="1" t="n">
        <v>44859</v>
      </c>
      <c r="E9158" s="1" t="n">
        <v>46319</v>
      </c>
      <c r="F9158" t="inlineStr">
        <is>
          <t>DALARNAS LÄN</t>
        </is>
      </c>
      <c r="G9158" t="inlineStr">
        <is>
          <t>MORA</t>
        </is>
      </c>
      <c r="I9158" t="n">
        <v>6.2</v>
      </c>
      <c r="J9158" t="n">
        <v>0</v>
      </c>
      <c r="K9158" t="n">
        <v>0</v>
      </c>
      <c r="L9158" t="n">
        <v>0</v>
      </c>
      <c r="M9158" t="n">
        <v>0</v>
      </c>
      <c r="N9158" t="n">
        <v>0</v>
      </c>
      <c r="O9158" t="n">
        <v>0</v>
      </c>
      <c r="P9158" t="n">
        <v>0</v>
      </c>
      <c r="Q9158" t="n">
        <v>0</v>
      </c>
      <c r="R9158" t="n">
        <v>0</v>
      </c>
      <c r="S9158" t="n">
        <v>0</v>
      </c>
      <c r="T9158" t="n">
        <v>0</v>
      </c>
      <c r="U9158" t="n">
        <v>0</v>
      </c>
      <c r="V9158" s="2" t="inlineStr"/>
    </row>
    <row r="9159" ht="15" customHeight="1">
      <c r="A9159" t="inlineStr">
        <is>
          <t>A 49991-2023</t>
        </is>
      </c>
      <c r="B9159" t="inlineStr">
        <is>
          <t>avverkningsanmälan</t>
        </is>
      </c>
      <c r="C9159" t="inlineStr">
        <is>
          <t>Föryngringsavverkning</t>
        </is>
      </c>
      <c r="D9159" s="1" t="n">
        <v>45215</v>
      </c>
      <c r="E9159" s="1" t="n">
        <v>46319</v>
      </c>
      <c r="F9159" t="inlineStr">
        <is>
          <t>DALARNAS LÄN</t>
        </is>
      </c>
      <c r="G9159" t="inlineStr">
        <is>
          <t>MORA</t>
        </is>
      </c>
      <c r="I9159" t="n">
        <v>1.8</v>
      </c>
      <c r="J9159" t="n">
        <v>0</v>
      </c>
      <c r="K9159" t="n">
        <v>0</v>
      </c>
      <c r="L9159" t="n">
        <v>0</v>
      </c>
      <c r="M9159" t="n">
        <v>0</v>
      </c>
      <c r="N9159" t="n">
        <v>0</v>
      </c>
      <c r="O9159" t="n">
        <v>0</v>
      </c>
      <c r="P9159" t="n">
        <v>0</v>
      </c>
      <c r="Q9159" t="n">
        <v>0</v>
      </c>
      <c r="R9159" t="n">
        <v>0</v>
      </c>
      <c r="S9159" t="n">
        <v>0</v>
      </c>
      <c r="T9159" t="n">
        <v>0</v>
      </c>
      <c r="U9159" t="n">
        <v>0</v>
      </c>
      <c r="V9159" s="2" t="inlineStr"/>
    </row>
    <row r="9160" ht="15" customHeight="1">
      <c r="A9160" t="inlineStr">
        <is>
          <t>A 42953-2022</t>
        </is>
      </c>
      <c r="B9160" t="inlineStr">
        <is>
          <t>avverkningsanmälan</t>
        </is>
      </c>
      <c r="C9160" t="inlineStr">
        <is>
          <t>Föryngringsavverkning</t>
        </is>
      </c>
      <c r="D9160" s="1" t="n">
        <v>44833</v>
      </c>
      <c r="E9160" s="1" t="n">
        <v>46319</v>
      </c>
      <c r="F9160" t="inlineStr">
        <is>
          <t>DALARNAS LÄN</t>
        </is>
      </c>
      <c r="G9160" t="inlineStr">
        <is>
          <t>FALUN</t>
        </is>
      </c>
      <c r="I9160" t="n">
        <v>4.3</v>
      </c>
      <c r="J9160" t="n">
        <v>0</v>
      </c>
      <c r="K9160" t="n">
        <v>0</v>
      </c>
      <c r="L9160" t="n">
        <v>0</v>
      </c>
      <c r="M9160" t="n">
        <v>0</v>
      </c>
      <c r="N9160" t="n">
        <v>0</v>
      </c>
      <c r="O9160" t="n">
        <v>0</v>
      </c>
      <c r="P9160" t="n">
        <v>0</v>
      </c>
      <c r="Q9160" t="n">
        <v>0</v>
      </c>
      <c r="R9160" t="n">
        <v>0</v>
      </c>
      <c r="S9160" t="n">
        <v>0</v>
      </c>
      <c r="T9160" t="n">
        <v>0</v>
      </c>
      <c r="U9160" t="n">
        <v>0</v>
      </c>
      <c r="V9160" s="2" t="inlineStr"/>
    </row>
    <row r="9161" ht="15" customHeight="1">
      <c r="A9161" t="inlineStr">
        <is>
          <t>A 56988-2023</t>
        </is>
      </c>
      <c r="B9161" t="inlineStr">
        <is>
          <t>avverkningsanmälan</t>
        </is>
      </c>
      <c r="C9161" t="inlineStr">
        <is>
          <t>Föryngringsavverkning</t>
        </is>
      </c>
      <c r="D9161" s="1" t="n">
        <v>45244</v>
      </c>
      <c r="E9161" s="1" t="n">
        <v>46319</v>
      </c>
      <c r="F9161" t="inlineStr">
        <is>
          <t>DALARNAS LÄN</t>
        </is>
      </c>
      <c r="G9161" t="inlineStr">
        <is>
          <t>VANSBRO</t>
        </is>
      </c>
      <c r="I9161" t="n">
        <v>2.7</v>
      </c>
      <c r="J9161" t="n">
        <v>0</v>
      </c>
      <c r="K9161" t="n">
        <v>0</v>
      </c>
      <c r="L9161" t="n">
        <v>0</v>
      </c>
      <c r="M9161" t="n">
        <v>0</v>
      </c>
      <c r="N9161" t="n">
        <v>0</v>
      </c>
      <c r="O9161" t="n">
        <v>0</v>
      </c>
      <c r="P9161" t="n">
        <v>0</v>
      </c>
      <c r="Q9161" t="n">
        <v>0</v>
      </c>
      <c r="R9161" t="n">
        <v>0</v>
      </c>
      <c r="S9161" t="n">
        <v>0</v>
      </c>
      <c r="T9161" t="n">
        <v>0</v>
      </c>
      <c r="U9161" t="n">
        <v>0</v>
      </c>
      <c r="V9161" s="2" t="inlineStr"/>
    </row>
    <row r="9162" ht="15" customHeight="1">
      <c r="A9162" t="inlineStr">
        <is>
          <t>A 57013-2023</t>
        </is>
      </c>
      <c r="B9162" t="inlineStr">
        <is>
          <t>avverkningsanmälan</t>
        </is>
      </c>
      <c r="C9162" t="inlineStr">
        <is>
          <t>Avverkning för annat ändamål</t>
        </is>
      </c>
      <c r="D9162" s="1" t="n">
        <v>45244</v>
      </c>
      <c r="E9162" s="1" t="n">
        <v>46319</v>
      </c>
      <c r="F9162" t="inlineStr">
        <is>
          <t>DALARNAS LÄN</t>
        </is>
      </c>
      <c r="G9162" t="inlineStr">
        <is>
          <t>LEKSAND</t>
        </is>
      </c>
      <c r="I9162" t="n">
        <v>1</v>
      </c>
      <c r="J9162" t="n">
        <v>0</v>
      </c>
      <c r="K9162" t="n">
        <v>0</v>
      </c>
      <c r="L9162" t="n">
        <v>0</v>
      </c>
      <c r="M9162" t="n">
        <v>0</v>
      </c>
      <c r="N9162" t="n">
        <v>0</v>
      </c>
      <c r="O9162" t="n">
        <v>0</v>
      </c>
      <c r="P9162" t="n">
        <v>0</v>
      </c>
      <c r="Q9162" t="n">
        <v>0</v>
      </c>
      <c r="R9162" t="n">
        <v>0</v>
      </c>
      <c r="S9162" t="n">
        <v>0</v>
      </c>
      <c r="T9162" t="n">
        <v>0</v>
      </c>
      <c r="U9162" t="n">
        <v>0</v>
      </c>
      <c r="V9162" s="2" t="inlineStr"/>
    </row>
    <row r="9163" ht="15" customHeight="1">
      <c r="A9163" t="inlineStr">
        <is>
          <t>A 35699-2023</t>
        </is>
      </c>
      <c r="B9163" t="inlineStr">
        <is>
          <t>avverkningsanmälan</t>
        </is>
      </c>
      <c r="C9163" t="inlineStr">
        <is>
          <t>Föryngringsavverkning</t>
        </is>
      </c>
      <c r="D9163" s="1" t="n">
        <v>45147</v>
      </c>
      <c r="E9163" s="1" t="n">
        <v>46319</v>
      </c>
      <c r="F9163" t="inlineStr">
        <is>
          <t>DALARNAS LÄN</t>
        </is>
      </c>
      <c r="G9163" t="inlineStr">
        <is>
          <t>VANSBRO</t>
        </is>
      </c>
      <c r="I9163" t="n">
        <v>0.3</v>
      </c>
      <c r="J9163" t="n">
        <v>0</v>
      </c>
      <c r="K9163" t="n">
        <v>0</v>
      </c>
      <c r="L9163" t="n">
        <v>0</v>
      </c>
      <c r="M9163" t="n">
        <v>0</v>
      </c>
      <c r="N9163" t="n">
        <v>0</v>
      </c>
      <c r="O9163" t="n">
        <v>0</v>
      </c>
      <c r="P9163" t="n">
        <v>0</v>
      </c>
      <c r="Q9163" t="n">
        <v>0</v>
      </c>
      <c r="R9163" t="n">
        <v>0</v>
      </c>
      <c r="S9163" t="n">
        <v>0</v>
      </c>
      <c r="T9163" t="n">
        <v>0</v>
      </c>
      <c r="U9163" t="n">
        <v>0</v>
      </c>
      <c r="V9163" s="2" t="inlineStr"/>
    </row>
    <row r="9164" ht="15" customHeight="1">
      <c r="A9164" t="inlineStr">
        <is>
          <t>A 20328-2025</t>
        </is>
      </c>
      <c r="B9164" t="inlineStr">
        <is>
          <t>avverkningsanmälan</t>
        </is>
      </c>
      <c r="C9164" t="inlineStr">
        <is>
          <t>Föryngringsavverkning</t>
        </is>
      </c>
      <c r="D9164" s="1" t="n">
        <v>45775</v>
      </c>
      <c r="E9164" s="1" t="n">
        <v>46319</v>
      </c>
      <c r="F9164" t="inlineStr">
        <is>
          <t>DALARNAS LÄN</t>
        </is>
      </c>
      <c r="G9164" t="inlineStr">
        <is>
          <t>MALUNG-SÄLEN</t>
        </is>
      </c>
      <c r="I9164" t="n">
        <v>0.7</v>
      </c>
      <c r="J9164" t="n">
        <v>0</v>
      </c>
      <c r="K9164" t="n">
        <v>0</v>
      </c>
      <c r="L9164" t="n">
        <v>0</v>
      </c>
      <c r="M9164" t="n">
        <v>0</v>
      </c>
      <c r="N9164" t="n">
        <v>0</v>
      </c>
      <c r="O9164" t="n">
        <v>0</v>
      </c>
      <c r="P9164" t="n">
        <v>0</v>
      </c>
      <c r="Q9164" t="n">
        <v>0</v>
      </c>
      <c r="R9164" t="n">
        <v>0</v>
      </c>
      <c r="S9164" t="n">
        <v>0</v>
      </c>
      <c r="T9164" t="n">
        <v>0</v>
      </c>
      <c r="U9164" t="n">
        <v>0</v>
      </c>
      <c r="V9164" s="2" t="inlineStr"/>
    </row>
    <row r="9165" ht="15" customHeight="1">
      <c r="A9165" t="inlineStr">
        <is>
          <t>A 46631-2023</t>
        </is>
      </c>
      <c r="B9165" t="inlineStr">
        <is>
          <t>avverkningsanmälan</t>
        </is>
      </c>
      <c r="C9165" t="inlineStr">
        <is>
          <t>Föryngringsavverkning</t>
        </is>
      </c>
      <c r="D9165" s="1" t="n">
        <v>45198</v>
      </c>
      <c r="E9165" s="1" t="n">
        <v>46319</v>
      </c>
      <c r="F9165" t="inlineStr">
        <is>
          <t>DALARNAS LÄN</t>
        </is>
      </c>
      <c r="G9165" t="inlineStr">
        <is>
          <t>MALUNG-SÄLEN</t>
        </is>
      </c>
      <c r="H9165" t="inlineStr">
        <is>
          <t>Allmännings- och besparingsskogar</t>
        </is>
      </c>
      <c r="I9165" t="n">
        <v>1.1</v>
      </c>
      <c r="J9165" t="n">
        <v>0</v>
      </c>
      <c r="K9165" t="n">
        <v>0</v>
      </c>
      <c r="L9165" t="n">
        <v>0</v>
      </c>
      <c r="M9165" t="n">
        <v>0</v>
      </c>
      <c r="N9165" t="n">
        <v>0</v>
      </c>
      <c r="O9165" t="n">
        <v>0</v>
      </c>
      <c r="P9165" t="n">
        <v>0</v>
      </c>
      <c r="Q9165" t="n">
        <v>0</v>
      </c>
      <c r="R9165" t="n">
        <v>0</v>
      </c>
      <c r="S9165" t="n">
        <v>0</v>
      </c>
      <c r="T9165" t="n">
        <v>0</v>
      </c>
      <c r="U9165" t="n">
        <v>0</v>
      </c>
      <c r="V9165" s="2" t="inlineStr"/>
    </row>
    <row r="9166" ht="15" customHeight="1">
      <c r="A9166" t="inlineStr">
        <is>
          <t>A 21741-2022</t>
        </is>
      </c>
      <c r="B9166" t="inlineStr">
        <is>
          <t>avverkningsanmälan</t>
        </is>
      </c>
      <c r="C9166" t="inlineStr">
        <is>
          <t>Föryngringsavverkning</t>
        </is>
      </c>
      <c r="D9166" s="1" t="n">
        <v>44708</v>
      </c>
      <c r="E9166" s="1" t="n">
        <v>46319</v>
      </c>
      <c r="F9166" t="inlineStr">
        <is>
          <t>DALARNAS LÄN</t>
        </is>
      </c>
      <c r="G9166" t="inlineStr">
        <is>
          <t>LUDVIKA</t>
        </is>
      </c>
      <c r="H9166" t="inlineStr">
        <is>
          <t>Bergvik skog väst AB</t>
        </is>
      </c>
      <c r="I9166" t="n">
        <v>2.7</v>
      </c>
      <c r="J9166" t="n">
        <v>0</v>
      </c>
      <c r="K9166" t="n">
        <v>0</v>
      </c>
      <c r="L9166" t="n">
        <v>0</v>
      </c>
      <c r="M9166" t="n">
        <v>0</v>
      </c>
      <c r="N9166" t="n">
        <v>0</v>
      </c>
      <c r="O9166" t="n">
        <v>0</v>
      </c>
      <c r="P9166" t="n">
        <v>0</v>
      </c>
      <c r="Q9166" t="n">
        <v>0</v>
      </c>
      <c r="R9166" t="n">
        <v>0</v>
      </c>
      <c r="S9166" t="n">
        <v>0</v>
      </c>
      <c r="T9166" t="n">
        <v>0</v>
      </c>
      <c r="U9166" t="n">
        <v>0</v>
      </c>
      <c r="V9166" s="2" t="inlineStr"/>
    </row>
    <row r="9167" ht="15" customHeight="1">
      <c r="A9167" t="inlineStr">
        <is>
          <t>A 37832-2023</t>
        </is>
      </c>
      <c r="B9167" t="inlineStr">
        <is>
          <t>avverkningsanmälan</t>
        </is>
      </c>
      <c r="C9167" t="inlineStr">
        <is>
          <t>Föryngringsavverkning</t>
        </is>
      </c>
      <c r="D9167" s="1" t="n">
        <v>45160</v>
      </c>
      <c r="E9167" s="1" t="n">
        <v>46319</v>
      </c>
      <c r="F9167" t="inlineStr">
        <is>
          <t>DALARNAS LÄN</t>
        </is>
      </c>
      <c r="G9167" t="inlineStr">
        <is>
          <t>LEKSAND</t>
        </is>
      </c>
      <c r="I9167" t="n">
        <v>2</v>
      </c>
      <c r="J9167" t="n">
        <v>0</v>
      </c>
      <c r="K9167" t="n">
        <v>0</v>
      </c>
      <c r="L9167" t="n">
        <v>0</v>
      </c>
      <c r="M9167" t="n">
        <v>0</v>
      </c>
      <c r="N9167" t="n">
        <v>0</v>
      </c>
      <c r="O9167" t="n">
        <v>0</v>
      </c>
      <c r="P9167" t="n">
        <v>0</v>
      </c>
      <c r="Q9167" t="n">
        <v>0</v>
      </c>
      <c r="R9167" t="n">
        <v>0</v>
      </c>
      <c r="S9167" t="n">
        <v>0</v>
      </c>
      <c r="T9167" t="n">
        <v>0</v>
      </c>
      <c r="U9167" t="n">
        <v>0</v>
      </c>
      <c r="V9167" s="2" t="inlineStr"/>
    </row>
    <row r="9168" ht="15" customHeight="1">
      <c r="A9168" t="inlineStr">
        <is>
          <t>A 20401-2022</t>
        </is>
      </c>
      <c r="B9168" t="inlineStr">
        <is>
          <t>avverkningsanmälan</t>
        </is>
      </c>
      <c r="C9168" t="inlineStr">
        <is>
          <t>Föryngringsavverkning</t>
        </is>
      </c>
      <c r="D9168" s="1" t="n">
        <v>44699</v>
      </c>
      <c r="E9168" s="1" t="n">
        <v>46319</v>
      </c>
      <c r="F9168" t="inlineStr">
        <is>
          <t>DALARNAS LÄN</t>
        </is>
      </c>
      <c r="G9168" t="inlineStr">
        <is>
          <t>MORA</t>
        </is>
      </c>
      <c r="I9168" t="n">
        <v>3.2</v>
      </c>
      <c r="J9168" t="n">
        <v>0</v>
      </c>
      <c r="K9168" t="n">
        <v>0</v>
      </c>
      <c r="L9168" t="n">
        <v>0</v>
      </c>
      <c r="M9168" t="n">
        <v>0</v>
      </c>
      <c r="N9168" t="n">
        <v>0</v>
      </c>
      <c r="O9168" t="n">
        <v>0</v>
      </c>
      <c r="P9168" t="n">
        <v>0</v>
      </c>
      <c r="Q9168" t="n">
        <v>0</v>
      </c>
      <c r="R9168" t="n">
        <v>0</v>
      </c>
      <c r="S9168" t="n">
        <v>0</v>
      </c>
      <c r="T9168" t="n">
        <v>0</v>
      </c>
      <c r="U9168" t="n">
        <v>0</v>
      </c>
      <c r="V9168" s="2" t="inlineStr"/>
    </row>
    <row r="9169" ht="15" customHeight="1">
      <c r="A9169" t="inlineStr">
        <is>
          <t>A 35903-2023</t>
        </is>
      </c>
      <c r="B9169" t="inlineStr">
        <is>
          <t>avverkningsanmälan</t>
        </is>
      </c>
      <c r="C9169" t="inlineStr">
        <is>
          <t>Föryngringsavverkning</t>
        </is>
      </c>
      <c r="D9169" s="1" t="n">
        <v>45148</v>
      </c>
      <c r="E9169" s="1" t="n">
        <v>46319</v>
      </c>
      <c r="F9169" t="inlineStr">
        <is>
          <t>DALARNAS LÄN</t>
        </is>
      </c>
      <c r="G9169" t="inlineStr">
        <is>
          <t>FALUN</t>
        </is>
      </c>
      <c r="H9169" t="inlineStr">
        <is>
          <t>Bergvik skog väst AB</t>
        </is>
      </c>
      <c r="I9169" t="n">
        <v>2.4</v>
      </c>
      <c r="J9169" t="n">
        <v>0</v>
      </c>
      <c r="K9169" t="n">
        <v>0</v>
      </c>
      <c r="L9169" t="n">
        <v>0</v>
      </c>
      <c r="M9169" t="n">
        <v>0</v>
      </c>
      <c r="N9169" t="n">
        <v>0</v>
      </c>
      <c r="O9169" t="n">
        <v>0</v>
      </c>
      <c r="P9169" t="n">
        <v>0</v>
      </c>
      <c r="Q9169" t="n">
        <v>0</v>
      </c>
      <c r="R9169" t="n">
        <v>0</v>
      </c>
      <c r="S9169" t="n">
        <v>0</v>
      </c>
      <c r="T9169" t="n">
        <v>0</v>
      </c>
      <c r="U9169" t="n">
        <v>0</v>
      </c>
      <c r="V9169" s="2" t="inlineStr"/>
    </row>
    <row r="9170" ht="15" customHeight="1">
      <c r="A9170" t="inlineStr">
        <is>
          <t>A 29846-2023</t>
        </is>
      </c>
      <c r="B9170" t="inlineStr">
        <is>
          <t>avverkningsanmälan</t>
        </is>
      </c>
      <c r="C9170" t="inlineStr">
        <is>
          <t>Föryngringsavverkning</t>
        </is>
      </c>
      <c r="D9170" s="1" t="n">
        <v>45107</v>
      </c>
      <c r="E9170" s="1" t="n">
        <v>46319</v>
      </c>
      <c r="F9170" t="inlineStr">
        <is>
          <t>DALARNAS LÄN</t>
        </is>
      </c>
      <c r="G9170" t="inlineStr">
        <is>
          <t>SÄTER</t>
        </is>
      </c>
      <c r="I9170" t="n">
        <v>0.8</v>
      </c>
      <c r="J9170" t="n">
        <v>0</v>
      </c>
      <c r="K9170" t="n">
        <v>0</v>
      </c>
      <c r="L9170" t="n">
        <v>0</v>
      </c>
      <c r="M9170" t="n">
        <v>0</v>
      </c>
      <c r="N9170" t="n">
        <v>0</v>
      </c>
      <c r="O9170" t="n">
        <v>0</v>
      </c>
      <c r="P9170" t="n">
        <v>0</v>
      </c>
      <c r="Q9170" t="n">
        <v>0</v>
      </c>
      <c r="R9170" t="n">
        <v>0</v>
      </c>
      <c r="S9170" t="n">
        <v>0</v>
      </c>
      <c r="T9170" t="n">
        <v>0</v>
      </c>
      <c r="U9170" t="n">
        <v>0</v>
      </c>
      <c r="V9170" s="2" t="inlineStr"/>
    </row>
    <row r="9171" ht="15" customHeight="1">
      <c r="A9171" t="inlineStr">
        <is>
          <t>A 18120-2025</t>
        </is>
      </c>
      <c r="B9171" t="inlineStr">
        <is>
          <t>avverkningsanmälan</t>
        </is>
      </c>
      <c r="C9171" t="inlineStr">
        <is>
          <t>Föryngringsavverkning</t>
        </is>
      </c>
      <c r="D9171" s="1" t="n">
        <v>45761</v>
      </c>
      <c r="E9171" s="1" t="n">
        <v>46319</v>
      </c>
      <c r="F9171" t="inlineStr">
        <is>
          <t>DALARNAS LÄN</t>
        </is>
      </c>
      <c r="G9171" t="inlineStr">
        <is>
          <t>MORA</t>
        </is>
      </c>
      <c r="H9171" t="inlineStr">
        <is>
          <t>Bergvik skog väst AB</t>
        </is>
      </c>
      <c r="I9171" t="n">
        <v>6.4</v>
      </c>
      <c r="J9171" t="n">
        <v>0</v>
      </c>
      <c r="K9171" t="n">
        <v>0</v>
      </c>
      <c r="L9171" t="n">
        <v>0</v>
      </c>
      <c r="M9171" t="n">
        <v>0</v>
      </c>
      <c r="N9171" t="n">
        <v>0</v>
      </c>
      <c r="O9171" t="n">
        <v>0</v>
      </c>
      <c r="P9171" t="n">
        <v>0</v>
      </c>
      <c r="Q9171" t="n">
        <v>0</v>
      </c>
      <c r="R9171" t="n">
        <v>0</v>
      </c>
      <c r="S9171" t="n">
        <v>0</v>
      </c>
      <c r="T9171" t="n">
        <v>0</v>
      </c>
      <c r="U9171" t="n">
        <v>0</v>
      </c>
      <c r="V9171" s="2" t="inlineStr"/>
    </row>
    <row r="9172" ht="15" customHeight="1">
      <c r="A9172" t="inlineStr">
        <is>
          <t>A 18127-2025</t>
        </is>
      </c>
      <c r="B9172" t="inlineStr">
        <is>
          <t>avverkningsanmälan</t>
        </is>
      </c>
      <c r="C9172" t="inlineStr">
        <is>
          <t>Föryngringsavverkning</t>
        </is>
      </c>
      <c r="D9172" s="1" t="n">
        <v>45761</v>
      </c>
      <c r="E9172" s="1" t="n">
        <v>46319</v>
      </c>
      <c r="F9172" t="inlineStr">
        <is>
          <t>DALARNAS LÄN</t>
        </is>
      </c>
      <c r="G9172" t="inlineStr">
        <is>
          <t>MORA</t>
        </is>
      </c>
      <c r="H9172" t="inlineStr">
        <is>
          <t>Bergvik skog öst AB</t>
        </is>
      </c>
      <c r="I9172" t="n">
        <v>0.6</v>
      </c>
      <c r="J9172" t="n">
        <v>0</v>
      </c>
      <c r="K9172" t="n">
        <v>0</v>
      </c>
      <c r="L9172" t="n">
        <v>0</v>
      </c>
      <c r="M9172" t="n">
        <v>0</v>
      </c>
      <c r="N9172" t="n">
        <v>0</v>
      </c>
      <c r="O9172" t="n">
        <v>0</v>
      </c>
      <c r="P9172" t="n">
        <v>0</v>
      </c>
      <c r="Q9172" t="n">
        <v>0</v>
      </c>
      <c r="R9172" t="n">
        <v>0</v>
      </c>
      <c r="S9172" t="n">
        <v>0</v>
      </c>
      <c r="T9172" t="n">
        <v>0</v>
      </c>
      <c r="U9172" t="n">
        <v>0</v>
      </c>
      <c r="V9172" s="2" t="inlineStr"/>
    </row>
    <row r="9173" ht="15" customHeight="1">
      <c r="A9173" t="inlineStr">
        <is>
          <t>A 54310-2023</t>
        </is>
      </c>
      <c r="B9173" t="inlineStr">
        <is>
          <t>avverkningsanmälan</t>
        </is>
      </c>
      <c r="C9173" t="inlineStr">
        <is>
          <t>Föryngringsavverkning</t>
        </is>
      </c>
      <c r="D9173" s="1" t="n">
        <v>45232</v>
      </c>
      <c r="E9173" s="1" t="n">
        <v>46319</v>
      </c>
      <c r="F9173" t="inlineStr">
        <is>
          <t>DALARNAS LÄN</t>
        </is>
      </c>
      <c r="G9173" t="inlineStr">
        <is>
          <t>SÄTER</t>
        </is>
      </c>
      <c r="I9173" t="n">
        <v>1.9</v>
      </c>
      <c r="J9173" t="n">
        <v>0</v>
      </c>
      <c r="K9173" t="n">
        <v>0</v>
      </c>
      <c r="L9173" t="n">
        <v>0</v>
      </c>
      <c r="M9173" t="n">
        <v>0</v>
      </c>
      <c r="N9173" t="n">
        <v>0</v>
      </c>
      <c r="O9173" t="n">
        <v>0</v>
      </c>
      <c r="P9173" t="n">
        <v>0</v>
      </c>
      <c r="Q9173" t="n">
        <v>0</v>
      </c>
      <c r="R9173" t="n">
        <v>0</v>
      </c>
      <c r="S9173" t="n">
        <v>0</v>
      </c>
      <c r="T9173" t="n">
        <v>0</v>
      </c>
      <c r="U9173" t="n">
        <v>0</v>
      </c>
      <c r="V9173" s="2" t="inlineStr"/>
    </row>
    <row r="9174" ht="15" customHeight="1">
      <c r="A9174" t="inlineStr">
        <is>
          <t>A 18724-2022</t>
        </is>
      </c>
      <c r="B9174" t="inlineStr">
        <is>
          <t>avverkningsanmälan</t>
        </is>
      </c>
      <c r="C9174" t="inlineStr">
        <is>
          <t>Föryngringsavverkning</t>
        </is>
      </c>
      <c r="D9174" s="1" t="n">
        <v>44687</v>
      </c>
      <c r="E9174" s="1" t="n">
        <v>46319</v>
      </c>
      <c r="F9174" t="inlineStr">
        <is>
          <t>DALARNAS LÄN</t>
        </is>
      </c>
      <c r="G9174" t="inlineStr">
        <is>
          <t>LUDVIKA</t>
        </is>
      </c>
      <c r="I9174" t="n">
        <v>4.3</v>
      </c>
      <c r="J9174" t="n">
        <v>0</v>
      </c>
      <c r="K9174" t="n">
        <v>0</v>
      </c>
      <c r="L9174" t="n">
        <v>0</v>
      </c>
      <c r="M9174" t="n">
        <v>0</v>
      </c>
      <c r="N9174" t="n">
        <v>0</v>
      </c>
      <c r="O9174" t="n">
        <v>0</v>
      </c>
      <c r="P9174" t="n">
        <v>0</v>
      </c>
      <c r="Q9174" t="n">
        <v>0</v>
      </c>
      <c r="R9174" t="n">
        <v>0</v>
      </c>
      <c r="S9174" t="n">
        <v>0</v>
      </c>
      <c r="T9174" t="n">
        <v>0</v>
      </c>
      <c r="U9174" t="n">
        <v>0</v>
      </c>
      <c r="V9174" s="2" t="inlineStr"/>
    </row>
    <row r="9175" ht="15" customHeight="1">
      <c r="A9175" t="inlineStr">
        <is>
          <t>A 38754-2023</t>
        </is>
      </c>
      <c r="B9175" t="inlineStr">
        <is>
          <t>avverkningsanmälan</t>
        </is>
      </c>
      <c r="C9175" t="inlineStr">
        <is>
          <t>Avverkning för annat ändamål</t>
        </is>
      </c>
      <c r="D9175" s="1" t="n">
        <v>45163</v>
      </c>
      <c r="E9175" s="1" t="n">
        <v>46319</v>
      </c>
      <c r="F9175" t="inlineStr">
        <is>
          <t>DALARNAS LÄN</t>
        </is>
      </c>
      <c r="G9175" t="inlineStr">
        <is>
          <t>BORLÄNGE</t>
        </is>
      </c>
      <c r="I9175" t="n">
        <v>0.6</v>
      </c>
      <c r="J9175" t="n">
        <v>0</v>
      </c>
      <c r="K9175" t="n">
        <v>0</v>
      </c>
      <c r="L9175" t="n">
        <v>0</v>
      </c>
      <c r="M9175" t="n">
        <v>0</v>
      </c>
      <c r="N9175" t="n">
        <v>0</v>
      </c>
      <c r="O9175" t="n">
        <v>0</v>
      </c>
      <c r="P9175" t="n">
        <v>0</v>
      </c>
      <c r="Q9175" t="n">
        <v>0</v>
      </c>
      <c r="R9175" t="n">
        <v>0</v>
      </c>
      <c r="S9175" t="n">
        <v>0</v>
      </c>
      <c r="T9175" t="n">
        <v>0</v>
      </c>
      <c r="U9175" t="n">
        <v>0</v>
      </c>
      <c r="V9175" s="2" t="inlineStr"/>
    </row>
    <row r="9176" ht="15" customHeight="1">
      <c r="A9176" t="inlineStr">
        <is>
          <t>A 25887-2023</t>
        </is>
      </c>
      <c r="B9176" t="inlineStr">
        <is>
          <t>avverkningsanmälan</t>
        </is>
      </c>
      <c r="C9176" t="inlineStr">
        <is>
          <t>Föryngringsavverkning</t>
        </is>
      </c>
      <c r="D9176" s="1" t="n">
        <v>45090</v>
      </c>
      <c r="E9176" s="1" t="n">
        <v>46319</v>
      </c>
      <c r="F9176" t="inlineStr">
        <is>
          <t>DALARNAS LÄN</t>
        </is>
      </c>
      <c r="G9176" t="inlineStr">
        <is>
          <t>MORA</t>
        </is>
      </c>
      <c r="I9176" t="n">
        <v>1</v>
      </c>
      <c r="J9176" t="n">
        <v>0</v>
      </c>
      <c r="K9176" t="n">
        <v>0</v>
      </c>
      <c r="L9176" t="n">
        <v>0</v>
      </c>
      <c r="M9176" t="n">
        <v>0</v>
      </c>
      <c r="N9176" t="n">
        <v>0</v>
      </c>
      <c r="O9176" t="n">
        <v>0</v>
      </c>
      <c r="P9176" t="n">
        <v>0</v>
      </c>
      <c r="Q9176" t="n">
        <v>0</v>
      </c>
      <c r="R9176" t="n">
        <v>0</v>
      </c>
      <c r="S9176" t="n">
        <v>0</v>
      </c>
      <c r="T9176" t="n">
        <v>0</v>
      </c>
      <c r="U9176" t="n">
        <v>0</v>
      </c>
      <c r="V9176" s="2" t="inlineStr"/>
    </row>
    <row r="9177" ht="15" customHeight="1">
      <c r="A9177" t="inlineStr">
        <is>
          <t>A 25891-2023</t>
        </is>
      </c>
      <c r="B9177" t="inlineStr">
        <is>
          <t>avverkningsanmälan</t>
        </is>
      </c>
      <c r="C9177" t="inlineStr">
        <is>
          <t>Föryngringsavverkning</t>
        </is>
      </c>
      <c r="D9177" s="1" t="n">
        <v>45085</v>
      </c>
      <c r="E9177" s="1" t="n">
        <v>46319</v>
      </c>
      <c r="F9177" t="inlineStr">
        <is>
          <t>DALARNAS LÄN</t>
        </is>
      </c>
      <c r="G9177" t="inlineStr">
        <is>
          <t>RÄTTVIK</t>
        </is>
      </c>
      <c r="I9177" t="n">
        <v>0.8</v>
      </c>
      <c r="J9177" t="n">
        <v>0</v>
      </c>
      <c r="K9177" t="n">
        <v>0</v>
      </c>
      <c r="L9177" t="n">
        <v>0</v>
      </c>
      <c r="M9177" t="n">
        <v>0</v>
      </c>
      <c r="N9177" t="n">
        <v>0</v>
      </c>
      <c r="O9177" t="n">
        <v>0</v>
      </c>
      <c r="P9177" t="n">
        <v>0</v>
      </c>
      <c r="Q9177" t="n">
        <v>0</v>
      </c>
      <c r="R9177" t="n">
        <v>0</v>
      </c>
      <c r="S9177" t="n">
        <v>0</v>
      </c>
      <c r="T9177" t="n">
        <v>0</v>
      </c>
      <c r="U9177" t="n">
        <v>0</v>
      </c>
      <c r="V9177" s="2" t="inlineStr"/>
    </row>
    <row r="9178" ht="15" customHeight="1">
      <c r="A9178" t="inlineStr">
        <is>
          <t>A 49480-2023</t>
        </is>
      </c>
      <c r="B9178" t="inlineStr">
        <is>
          <t>avverkningsanmälan</t>
        </is>
      </c>
      <c r="C9178" t="inlineStr">
        <is>
          <t>Föryngringsavverkning</t>
        </is>
      </c>
      <c r="D9178" s="1" t="n">
        <v>45211</v>
      </c>
      <c r="E9178" s="1" t="n">
        <v>46319</v>
      </c>
      <c r="F9178" t="inlineStr">
        <is>
          <t>DALARNAS LÄN</t>
        </is>
      </c>
      <c r="G9178" t="inlineStr">
        <is>
          <t>MALUNG-SÄLEN</t>
        </is>
      </c>
      <c r="I9178" t="n">
        <v>3.2</v>
      </c>
      <c r="J9178" t="n">
        <v>0</v>
      </c>
      <c r="K9178" t="n">
        <v>0</v>
      </c>
      <c r="L9178" t="n">
        <v>0</v>
      </c>
      <c r="M9178" t="n">
        <v>0</v>
      </c>
      <c r="N9178" t="n">
        <v>0</v>
      </c>
      <c r="O9178" t="n">
        <v>0</v>
      </c>
      <c r="P9178" t="n">
        <v>0</v>
      </c>
      <c r="Q9178" t="n">
        <v>0</v>
      </c>
      <c r="R9178" t="n">
        <v>0</v>
      </c>
      <c r="S9178" t="n">
        <v>0</v>
      </c>
      <c r="T9178" t="n">
        <v>0</v>
      </c>
      <c r="U9178" t="n">
        <v>0</v>
      </c>
      <c r="V9178" s="2" t="inlineStr"/>
    </row>
    <row r="9179" ht="15" customHeight="1">
      <c r="A9179" t="inlineStr">
        <is>
          <t>A 30458-2023</t>
        </is>
      </c>
      <c r="B9179" t="inlineStr">
        <is>
          <t>avverkningsanmälan</t>
        </is>
      </c>
      <c r="C9179" t="inlineStr">
        <is>
          <t>Föryngringsavverkning</t>
        </is>
      </c>
      <c r="D9179" s="1" t="n">
        <v>45111</v>
      </c>
      <c r="E9179" s="1" t="n">
        <v>46319</v>
      </c>
      <c r="F9179" t="inlineStr">
        <is>
          <t>DALARNAS LÄN</t>
        </is>
      </c>
      <c r="G9179" t="inlineStr">
        <is>
          <t>ORSA</t>
        </is>
      </c>
      <c r="H9179" t="inlineStr">
        <is>
          <t>Bergvik skog öst AB</t>
        </is>
      </c>
      <c r="I9179" t="n">
        <v>1.1</v>
      </c>
      <c r="J9179" t="n">
        <v>0</v>
      </c>
      <c r="K9179" t="n">
        <v>0</v>
      </c>
      <c r="L9179" t="n">
        <v>0</v>
      </c>
      <c r="M9179" t="n">
        <v>0</v>
      </c>
      <c r="N9179" t="n">
        <v>0</v>
      </c>
      <c r="O9179" t="n">
        <v>0</v>
      </c>
      <c r="P9179" t="n">
        <v>0</v>
      </c>
      <c r="Q9179" t="n">
        <v>0</v>
      </c>
      <c r="R9179" t="n">
        <v>0</v>
      </c>
      <c r="S9179" t="n">
        <v>0</v>
      </c>
      <c r="T9179" t="n">
        <v>0</v>
      </c>
      <c r="U9179" t="n">
        <v>0</v>
      </c>
      <c r="V9179" s="2" t="inlineStr"/>
    </row>
    <row r="9180" ht="15" customHeight="1">
      <c r="A9180" t="inlineStr">
        <is>
          <t>A 49114-2023</t>
        </is>
      </c>
      <c r="B9180" t="inlineStr">
        <is>
          <t>avverkningsanmälan</t>
        </is>
      </c>
      <c r="C9180" t="inlineStr">
        <is>
          <t>Föryngringsavverkning</t>
        </is>
      </c>
      <c r="D9180" s="1" t="n">
        <v>45210</v>
      </c>
      <c r="E9180" s="1" t="n">
        <v>46319</v>
      </c>
      <c r="F9180" t="inlineStr">
        <is>
          <t>DALARNAS LÄN</t>
        </is>
      </c>
      <c r="G9180" t="inlineStr">
        <is>
          <t>LUDVIKA</t>
        </is>
      </c>
      <c r="H9180" t="inlineStr">
        <is>
          <t>Naturvårdsverket</t>
        </is>
      </c>
      <c r="I9180" t="n">
        <v>4</v>
      </c>
      <c r="J9180" t="n">
        <v>0</v>
      </c>
      <c r="K9180" t="n">
        <v>0</v>
      </c>
      <c r="L9180" t="n">
        <v>0</v>
      </c>
      <c r="M9180" t="n">
        <v>0</v>
      </c>
      <c r="N9180" t="n">
        <v>0</v>
      </c>
      <c r="O9180" t="n">
        <v>0</v>
      </c>
      <c r="P9180" t="n">
        <v>0</v>
      </c>
      <c r="Q9180" t="n">
        <v>0</v>
      </c>
      <c r="R9180" t="n">
        <v>0</v>
      </c>
      <c r="S9180" t="n">
        <v>0</v>
      </c>
      <c r="T9180" t="n">
        <v>0</v>
      </c>
      <c r="U9180" t="n">
        <v>0</v>
      </c>
      <c r="V9180" s="2" t="inlineStr"/>
    </row>
    <row r="9181" ht="15" customHeight="1">
      <c r="A9181" t="inlineStr">
        <is>
          <t>A 42238-2023</t>
        </is>
      </c>
      <c r="B9181" t="inlineStr">
        <is>
          <t>avverkningsanmälan</t>
        </is>
      </c>
      <c r="C9181" t="inlineStr">
        <is>
          <t>Föryngringsavverkning</t>
        </is>
      </c>
      <c r="D9181" s="1" t="n">
        <v>45180</v>
      </c>
      <c r="E9181" s="1" t="n">
        <v>46319</v>
      </c>
      <c r="F9181" t="inlineStr">
        <is>
          <t>DALARNAS LÄN</t>
        </is>
      </c>
      <c r="G9181" t="inlineStr">
        <is>
          <t>ORSA</t>
        </is>
      </c>
      <c r="H9181" t="inlineStr">
        <is>
          <t>Allmännings- och besparingsskogar</t>
        </is>
      </c>
      <c r="I9181" t="n">
        <v>0.5</v>
      </c>
      <c r="J9181" t="n">
        <v>0</v>
      </c>
      <c r="K9181" t="n">
        <v>0</v>
      </c>
      <c r="L9181" t="n">
        <v>0</v>
      </c>
      <c r="M9181" t="n">
        <v>0</v>
      </c>
      <c r="N9181" t="n">
        <v>0</v>
      </c>
      <c r="O9181" t="n">
        <v>0</v>
      </c>
      <c r="P9181" t="n">
        <v>0</v>
      </c>
      <c r="Q9181" t="n">
        <v>0</v>
      </c>
      <c r="R9181" t="n">
        <v>0</v>
      </c>
      <c r="S9181" t="n">
        <v>0</v>
      </c>
      <c r="T9181" t="n">
        <v>0</v>
      </c>
      <c r="U9181" t="n">
        <v>0</v>
      </c>
      <c r="V9181" s="2" t="inlineStr"/>
    </row>
    <row r="9182" ht="15" customHeight="1">
      <c r="A9182" t="inlineStr">
        <is>
          <t>A 12334-2022</t>
        </is>
      </c>
      <c r="B9182" t="inlineStr">
        <is>
          <t>avverkningsanmälan</t>
        </is>
      </c>
      <c r="C9182" t="inlineStr">
        <is>
          <t>Avverkning för annat ändamål</t>
        </is>
      </c>
      <c r="D9182" s="1" t="n">
        <v>44637</v>
      </c>
      <c r="E9182" s="1" t="n">
        <v>46319</v>
      </c>
      <c r="F9182" t="inlineStr">
        <is>
          <t>DALARNAS LÄN</t>
        </is>
      </c>
      <c r="G9182" t="inlineStr">
        <is>
          <t>RÄTTVIK</t>
        </is>
      </c>
      <c r="I9182" t="n">
        <v>0.9</v>
      </c>
      <c r="J9182" t="n">
        <v>0</v>
      </c>
      <c r="K9182" t="n">
        <v>0</v>
      </c>
      <c r="L9182" t="n">
        <v>0</v>
      </c>
      <c r="M9182" t="n">
        <v>0</v>
      </c>
      <c r="N9182" t="n">
        <v>0</v>
      </c>
      <c r="O9182" t="n">
        <v>0</v>
      </c>
      <c r="P9182" t="n">
        <v>0</v>
      </c>
      <c r="Q9182" t="n">
        <v>0</v>
      </c>
      <c r="R9182" t="n">
        <v>0</v>
      </c>
      <c r="S9182" t="n">
        <v>0</v>
      </c>
      <c r="T9182" t="n">
        <v>0</v>
      </c>
      <c r="U9182" t="n">
        <v>0</v>
      </c>
      <c r="V9182" s="2" t="inlineStr"/>
    </row>
    <row r="9183" ht="15" customHeight="1">
      <c r="A9183" t="inlineStr">
        <is>
          <t>A 45060-2022</t>
        </is>
      </c>
      <c r="B9183" t="inlineStr">
        <is>
          <t>avverkningsanmälan</t>
        </is>
      </c>
      <c r="C9183" t="inlineStr">
        <is>
          <t>Föryngringsavverkning</t>
        </is>
      </c>
      <c r="D9183" s="1" t="n">
        <v>44841</v>
      </c>
      <c r="E9183" s="1" t="n">
        <v>46319</v>
      </c>
      <c r="F9183" t="inlineStr">
        <is>
          <t>DALARNAS LÄN</t>
        </is>
      </c>
      <c r="G9183" t="inlineStr">
        <is>
          <t>LUDVIKA</t>
        </is>
      </c>
      <c r="I9183" t="n">
        <v>1.1</v>
      </c>
      <c r="J9183" t="n">
        <v>0</v>
      </c>
      <c r="K9183" t="n">
        <v>0</v>
      </c>
      <c r="L9183" t="n">
        <v>0</v>
      </c>
      <c r="M9183" t="n">
        <v>0</v>
      </c>
      <c r="N9183" t="n">
        <v>0</v>
      </c>
      <c r="O9183" t="n">
        <v>0</v>
      </c>
      <c r="P9183" t="n">
        <v>0</v>
      </c>
      <c r="Q9183" t="n">
        <v>0</v>
      </c>
      <c r="R9183" t="n">
        <v>0</v>
      </c>
      <c r="S9183" t="n">
        <v>0</v>
      </c>
      <c r="T9183" t="n">
        <v>0</v>
      </c>
      <c r="U9183" t="n">
        <v>0</v>
      </c>
      <c r="V9183" s="2" t="inlineStr"/>
    </row>
    <row r="9184" ht="15" customHeight="1">
      <c r="A9184" t="inlineStr">
        <is>
          <t>A 20544-2025</t>
        </is>
      </c>
      <c r="B9184" t="inlineStr">
        <is>
          <t>avverkningsanmälan</t>
        </is>
      </c>
      <c r="C9184" t="inlineStr">
        <is>
          <t>Föryngringsavverkning</t>
        </is>
      </c>
      <c r="D9184" s="1" t="n">
        <v>45775</v>
      </c>
      <c r="E9184" s="1" t="n">
        <v>46319</v>
      </c>
      <c r="F9184" t="inlineStr">
        <is>
          <t>DALARNAS LÄN</t>
        </is>
      </c>
      <c r="G9184" t="inlineStr">
        <is>
          <t>MORA</t>
        </is>
      </c>
      <c r="I9184" t="n">
        <v>3.6</v>
      </c>
      <c r="J9184" t="n">
        <v>0</v>
      </c>
      <c r="K9184" t="n">
        <v>0</v>
      </c>
      <c r="L9184" t="n">
        <v>0</v>
      </c>
      <c r="M9184" t="n">
        <v>0</v>
      </c>
      <c r="N9184" t="n">
        <v>0</v>
      </c>
      <c r="O9184" t="n">
        <v>0</v>
      </c>
      <c r="P9184" t="n">
        <v>0</v>
      </c>
      <c r="Q9184" t="n">
        <v>0</v>
      </c>
      <c r="R9184" t="n">
        <v>0</v>
      </c>
      <c r="S9184" t="n">
        <v>0</v>
      </c>
      <c r="T9184" t="n">
        <v>0</v>
      </c>
      <c r="U9184" t="n">
        <v>0</v>
      </c>
      <c r="V9184" s="2" t="inlineStr"/>
    </row>
    <row r="9185" ht="15" customHeight="1">
      <c r="A9185" t="inlineStr">
        <is>
          <t>A 56225-2023</t>
        </is>
      </c>
      <c r="B9185" t="inlineStr">
        <is>
          <t>avverkningsanmälan</t>
        </is>
      </c>
      <c r="C9185" t="inlineStr">
        <is>
          <t>Föryngringsavverkning</t>
        </is>
      </c>
      <c r="D9185" s="1" t="n">
        <v>45240</v>
      </c>
      <c r="E9185" s="1" t="n">
        <v>46319</v>
      </c>
      <c r="F9185" t="inlineStr">
        <is>
          <t>DALARNAS LÄN</t>
        </is>
      </c>
      <c r="G9185" t="inlineStr">
        <is>
          <t>SÄTER</t>
        </is>
      </c>
      <c r="I9185" t="n">
        <v>4.8</v>
      </c>
      <c r="J9185" t="n">
        <v>0</v>
      </c>
      <c r="K9185" t="n">
        <v>0</v>
      </c>
      <c r="L9185" t="n">
        <v>0</v>
      </c>
      <c r="M9185" t="n">
        <v>0</v>
      </c>
      <c r="N9185" t="n">
        <v>0</v>
      </c>
      <c r="O9185" t="n">
        <v>0</v>
      </c>
      <c r="P9185" t="n">
        <v>0</v>
      </c>
      <c r="Q9185" t="n">
        <v>0</v>
      </c>
      <c r="R9185" t="n">
        <v>0</v>
      </c>
      <c r="S9185" t="n">
        <v>0</v>
      </c>
      <c r="T9185" t="n">
        <v>0</v>
      </c>
      <c r="U9185" t="n">
        <v>0</v>
      </c>
      <c r="V9185" s="2" t="inlineStr"/>
    </row>
    <row r="9186" ht="15" customHeight="1">
      <c r="A9186" t="inlineStr">
        <is>
          <t>A 54206-2023</t>
        </is>
      </c>
      <c r="B9186" t="inlineStr">
        <is>
          <t>avverkningsanmälan</t>
        </is>
      </c>
      <c r="C9186" t="inlineStr">
        <is>
          <t>Föryngringsavverkning</t>
        </is>
      </c>
      <c r="D9186" s="1" t="n">
        <v>45225</v>
      </c>
      <c r="E9186" s="1" t="n">
        <v>46319</v>
      </c>
      <c r="F9186" t="inlineStr">
        <is>
          <t>DALARNAS LÄN</t>
        </is>
      </c>
      <c r="G9186" t="inlineStr">
        <is>
          <t>RÄTTVIK</t>
        </is>
      </c>
      <c r="I9186" t="n">
        <v>1.8</v>
      </c>
      <c r="J9186" t="n">
        <v>0</v>
      </c>
      <c r="K9186" t="n">
        <v>0</v>
      </c>
      <c r="L9186" t="n">
        <v>0</v>
      </c>
      <c r="M9186" t="n">
        <v>0</v>
      </c>
      <c r="N9186" t="n">
        <v>0</v>
      </c>
      <c r="O9186" t="n">
        <v>0</v>
      </c>
      <c r="P9186" t="n">
        <v>0</v>
      </c>
      <c r="Q9186" t="n">
        <v>0</v>
      </c>
      <c r="R9186" t="n">
        <v>0</v>
      </c>
      <c r="S9186" t="n">
        <v>0</v>
      </c>
      <c r="T9186" t="n">
        <v>0</v>
      </c>
      <c r="U9186" t="n">
        <v>0</v>
      </c>
      <c r="V9186" s="2" t="inlineStr"/>
    </row>
    <row r="9187" ht="15" customHeight="1">
      <c r="A9187" t="inlineStr">
        <is>
          <t>A 6604-2025</t>
        </is>
      </c>
      <c r="B9187" t="inlineStr">
        <is>
          <t>avverkningsanmälan</t>
        </is>
      </c>
      <c r="C9187" t="inlineStr">
        <is>
          <t>Föryngringsavverkning</t>
        </is>
      </c>
      <c r="D9187" s="1" t="n">
        <v>45700</v>
      </c>
      <c r="E9187" s="1" t="n">
        <v>46319</v>
      </c>
      <c r="F9187" t="inlineStr">
        <is>
          <t>DALARNAS LÄN</t>
        </is>
      </c>
      <c r="G9187" t="inlineStr">
        <is>
          <t>SMEDJEBACKEN</t>
        </is>
      </c>
      <c r="I9187" t="n">
        <v>0.6</v>
      </c>
      <c r="J9187" t="n">
        <v>0</v>
      </c>
      <c r="K9187" t="n">
        <v>0</v>
      </c>
      <c r="L9187" t="n">
        <v>0</v>
      </c>
      <c r="M9187" t="n">
        <v>0</v>
      </c>
      <c r="N9187" t="n">
        <v>0</v>
      </c>
      <c r="O9187" t="n">
        <v>0</v>
      </c>
      <c r="P9187" t="n">
        <v>0</v>
      </c>
      <c r="Q9187" t="n">
        <v>0</v>
      </c>
      <c r="R9187" t="n">
        <v>0</v>
      </c>
      <c r="S9187" t="n">
        <v>0</v>
      </c>
      <c r="T9187" t="n">
        <v>0</v>
      </c>
      <c r="U9187" t="n">
        <v>0</v>
      </c>
      <c r="V9187" s="2" t="inlineStr"/>
    </row>
    <row r="9188" ht="15" customHeight="1">
      <c r="A9188" t="inlineStr">
        <is>
          <t>A 6643-2025</t>
        </is>
      </c>
      <c r="B9188" t="inlineStr">
        <is>
          <t>avverkningsanmälan</t>
        </is>
      </c>
      <c r="C9188" t="inlineStr">
        <is>
          <t>Föryngringsavverkning</t>
        </is>
      </c>
      <c r="D9188" s="1" t="n">
        <v>45700</v>
      </c>
      <c r="E9188" s="1" t="n">
        <v>46319</v>
      </c>
      <c r="F9188" t="inlineStr">
        <is>
          <t>DALARNAS LÄN</t>
        </is>
      </c>
      <c r="G9188" t="inlineStr">
        <is>
          <t>VANSBRO</t>
        </is>
      </c>
      <c r="I9188" t="n">
        <v>3</v>
      </c>
      <c r="J9188" t="n">
        <v>0</v>
      </c>
      <c r="K9188" t="n">
        <v>0</v>
      </c>
      <c r="L9188" t="n">
        <v>0</v>
      </c>
      <c r="M9188" t="n">
        <v>0</v>
      </c>
      <c r="N9188" t="n">
        <v>0</v>
      </c>
      <c r="O9188" t="n">
        <v>0</v>
      </c>
      <c r="P9188" t="n">
        <v>0</v>
      </c>
      <c r="Q9188" t="n">
        <v>0</v>
      </c>
      <c r="R9188" t="n">
        <v>0</v>
      </c>
      <c r="S9188" t="n">
        <v>0</v>
      </c>
      <c r="T9188" t="n">
        <v>0</v>
      </c>
      <c r="U9188" t="n">
        <v>0</v>
      </c>
      <c r="V9188" s="2" t="inlineStr"/>
    </row>
    <row r="9189" ht="15" customHeight="1">
      <c r="A9189" t="inlineStr">
        <is>
          <t>A 45478-2022</t>
        </is>
      </c>
      <c r="B9189" t="inlineStr">
        <is>
          <t>avverkningsanmälan</t>
        </is>
      </c>
      <c r="C9189" t="inlineStr">
        <is>
          <t>Föryngringsavverkning</t>
        </is>
      </c>
      <c r="D9189" s="1" t="n">
        <v>44845</v>
      </c>
      <c r="E9189" s="1" t="n">
        <v>46319</v>
      </c>
      <c r="F9189" t="inlineStr">
        <is>
          <t>DALARNAS LÄN</t>
        </is>
      </c>
      <c r="G9189" t="inlineStr">
        <is>
          <t>SMEDJEBACKEN</t>
        </is>
      </c>
      <c r="I9189" t="n">
        <v>1</v>
      </c>
      <c r="J9189" t="n">
        <v>0</v>
      </c>
      <c r="K9189" t="n">
        <v>0</v>
      </c>
      <c r="L9189" t="n">
        <v>0</v>
      </c>
      <c r="M9189" t="n">
        <v>0</v>
      </c>
      <c r="N9189" t="n">
        <v>0</v>
      </c>
      <c r="O9189" t="n">
        <v>0</v>
      </c>
      <c r="P9189" t="n">
        <v>0</v>
      </c>
      <c r="Q9189" t="n">
        <v>0</v>
      </c>
      <c r="R9189" t="n">
        <v>0</v>
      </c>
      <c r="S9189" t="n">
        <v>0</v>
      </c>
      <c r="T9189" t="n">
        <v>0</v>
      </c>
      <c r="U9189" t="n">
        <v>0</v>
      </c>
      <c r="V9189" s="2" t="inlineStr"/>
    </row>
    <row r="9190" ht="15" customHeight="1">
      <c r="A9190" t="inlineStr">
        <is>
          <t>A 17161-2022</t>
        </is>
      </c>
      <c r="B9190" t="inlineStr">
        <is>
          <t>avverkningsanmälan</t>
        </is>
      </c>
      <c r="C9190" t="inlineStr">
        <is>
          <t>Föryngringsavverkning</t>
        </is>
      </c>
      <c r="D9190" s="1" t="n">
        <v>44677</v>
      </c>
      <c r="E9190" s="1" t="n">
        <v>46319</v>
      </c>
      <c r="F9190" t="inlineStr">
        <is>
          <t>DALARNAS LÄN</t>
        </is>
      </c>
      <c r="G9190" t="inlineStr">
        <is>
          <t>MALUNG-SÄLEN</t>
        </is>
      </c>
      <c r="H9190" t="inlineStr">
        <is>
          <t>Bergvik skog öst AB</t>
        </is>
      </c>
      <c r="I9190" t="n">
        <v>1.2</v>
      </c>
      <c r="J9190" t="n">
        <v>0</v>
      </c>
      <c r="K9190" t="n">
        <v>0</v>
      </c>
      <c r="L9190" t="n">
        <v>0</v>
      </c>
      <c r="M9190" t="n">
        <v>0</v>
      </c>
      <c r="N9190" t="n">
        <v>0</v>
      </c>
      <c r="O9190" t="n">
        <v>0</v>
      </c>
      <c r="P9190" t="n">
        <v>0</v>
      </c>
      <c r="Q9190" t="n">
        <v>0</v>
      </c>
      <c r="R9190" t="n">
        <v>0</v>
      </c>
      <c r="S9190" t="n">
        <v>0</v>
      </c>
      <c r="T9190" t="n">
        <v>0</v>
      </c>
      <c r="U9190" t="n">
        <v>0</v>
      </c>
      <c r="V9190" s="2" t="inlineStr"/>
    </row>
    <row r="9191" ht="15" customHeight="1">
      <c r="A9191" t="inlineStr">
        <is>
          <t>A 34674-2023</t>
        </is>
      </c>
      <c r="B9191" t="inlineStr">
        <is>
          <t>avverkningsanmälan</t>
        </is>
      </c>
      <c r="C9191" t="inlineStr">
        <is>
          <t>Föryngringsavverkning</t>
        </is>
      </c>
      <c r="D9191" s="1" t="n">
        <v>45140</v>
      </c>
      <c r="E9191" s="1" t="n">
        <v>46319</v>
      </c>
      <c r="F9191" t="inlineStr">
        <is>
          <t>DALARNAS LÄN</t>
        </is>
      </c>
      <c r="G9191" t="inlineStr">
        <is>
          <t>BORLÄNGE</t>
        </is>
      </c>
      <c r="I9191" t="n">
        <v>0.6</v>
      </c>
      <c r="J9191" t="n">
        <v>0</v>
      </c>
      <c r="K9191" t="n">
        <v>0</v>
      </c>
      <c r="L9191" t="n">
        <v>0</v>
      </c>
      <c r="M9191" t="n">
        <v>0</v>
      </c>
      <c r="N9191" t="n">
        <v>0</v>
      </c>
      <c r="O9191" t="n">
        <v>0</v>
      </c>
      <c r="P9191" t="n">
        <v>0</v>
      </c>
      <c r="Q9191" t="n">
        <v>0</v>
      </c>
      <c r="R9191" t="n">
        <v>0</v>
      </c>
      <c r="S9191" t="n">
        <v>0</v>
      </c>
      <c r="T9191" t="n">
        <v>0</v>
      </c>
      <c r="U9191" t="n">
        <v>0</v>
      </c>
      <c r="V9191" s="2" t="inlineStr"/>
    </row>
    <row r="9192" ht="15" customHeight="1">
      <c r="A9192" t="inlineStr">
        <is>
          <t>A 16768-2025</t>
        </is>
      </c>
      <c r="B9192" t="inlineStr">
        <is>
          <t>avverkningsanmälan</t>
        </is>
      </c>
      <c r="C9192" t="inlineStr">
        <is>
          <t>Föryngringsavverkning</t>
        </is>
      </c>
      <c r="D9192" s="1" t="n">
        <v>45754</v>
      </c>
      <c r="E9192" s="1" t="n">
        <v>46319</v>
      </c>
      <c r="F9192" t="inlineStr">
        <is>
          <t>DALARNAS LÄN</t>
        </is>
      </c>
      <c r="G9192" t="inlineStr">
        <is>
          <t>LUDVIKA</t>
        </is>
      </c>
      <c r="H9192" t="inlineStr">
        <is>
          <t>Naturvårdsverket</t>
        </is>
      </c>
      <c r="I9192" t="n">
        <v>4.8</v>
      </c>
      <c r="J9192" t="n">
        <v>0</v>
      </c>
      <c r="K9192" t="n">
        <v>0</v>
      </c>
      <c r="L9192" t="n">
        <v>0</v>
      </c>
      <c r="M9192" t="n">
        <v>0</v>
      </c>
      <c r="N9192" t="n">
        <v>0</v>
      </c>
      <c r="O9192" t="n">
        <v>0</v>
      </c>
      <c r="P9192" t="n">
        <v>0</v>
      </c>
      <c r="Q9192" t="n">
        <v>0</v>
      </c>
      <c r="R9192" t="n">
        <v>0</v>
      </c>
      <c r="S9192" t="n">
        <v>0</v>
      </c>
      <c r="T9192" t="n">
        <v>0</v>
      </c>
      <c r="U9192" t="n">
        <v>0</v>
      </c>
      <c r="V9192" s="2" t="inlineStr"/>
    </row>
    <row r="9193" ht="15" customHeight="1">
      <c r="A9193" t="inlineStr">
        <is>
          <t>A 55542-2023</t>
        </is>
      </c>
      <c r="B9193" t="inlineStr">
        <is>
          <t>avverkningsanmälan</t>
        </is>
      </c>
      <c r="C9193" t="inlineStr">
        <is>
          <t>Föryngringsavverkning</t>
        </is>
      </c>
      <c r="D9193" s="1" t="n">
        <v>45238</v>
      </c>
      <c r="E9193" s="1" t="n">
        <v>46319</v>
      </c>
      <c r="F9193" t="inlineStr">
        <is>
          <t>DALARNAS LÄN</t>
        </is>
      </c>
      <c r="G9193" t="inlineStr">
        <is>
          <t>FALUN</t>
        </is>
      </c>
      <c r="I9193" t="n">
        <v>0.9</v>
      </c>
      <c r="J9193" t="n">
        <v>0</v>
      </c>
      <c r="K9193" t="n">
        <v>0</v>
      </c>
      <c r="L9193" t="n">
        <v>0</v>
      </c>
      <c r="M9193" t="n">
        <v>0</v>
      </c>
      <c r="N9193" t="n">
        <v>0</v>
      </c>
      <c r="O9193" t="n">
        <v>0</v>
      </c>
      <c r="P9193" t="n">
        <v>0</v>
      </c>
      <c r="Q9193" t="n">
        <v>0</v>
      </c>
      <c r="R9193" t="n">
        <v>0</v>
      </c>
      <c r="S9193" t="n">
        <v>0</v>
      </c>
      <c r="T9193" t="n">
        <v>0</v>
      </c>
      <c r="U9193" t="n">
        <v>0</v>
      </c>
      <c r="V9193" s="2" t="inlineStr"/>
    </row>
    <row r="9194" ht="15" customHeight="1">
      <c r="A9194" t="inlineStr">
        <is>
          <t>A 56557-2024</t>
        </is>
      </c>
      <c r="B9194" t="inlineStr">
        <is>
          <t>avverkningsanmälan</t>
        </is>
      </c>
      <c r="C9194" t="inlineStr">
        <is>
          <t>Föryngringsavverkning</t>
        </is>
      </c>
      <c r="D9194" s="1" t="n">
        <v>45625</v>
      </c>
      <c r="E9194" s="1" t="n">
        <v>46319</v>
      </c>
      <c r="F9194" t="inlineStr">
        <is>
          <t>DALARNAS LÄN</t>
        </is>
      </c>
      <c r="G9194" t="inlineStr">
        <is>
          <t>FALUN</t>
        </is>
      </c>
      <c r="H9194" t="inlineStr">
        <is>
          <t>Bergvik skog väst AB</t>
        </is>
      </c>
      <c r="I9194" t="n">
        <v>15.8</v>
      </c>
      <c r="J9194" t="n">
        <v>0</v>
      </c>
      <c r="K9194" t="n">
        <v>0</v>
      </c>
      <c r="L9194" t="n">
        <v>0</v>
      </c>
      <c r="M9194" t="n">
        <v>0</v>
      </c>
      <c r="N9194" t="n">
        <v>0</v>
      </c>
      <c r="O9194" t="n">
        <v>0</v>
      </c>
      <c r="P9194" t="n">
        <v>0</v>
      </c>
      <c r="Q9194" t="n">
        <v>0</v>
      </c>
      <c r="R9194" t="n">
        <v>0</v>
      </c>
      <c r="S9194" t="n">
        <v>0</v>
      </c>
      <c r="T9194" t="n">
        <v>0</v>
      </c>
      <c r="U9194" t="n">
        <v>0</v>
      </c>
      <c r="V9194" s="2" t="inlineStr"/>
    </row>
    <row r="9195" ht="15" customHeight="1">
      <c r="A9195" t="inlineStr">
        <is>
          <t>A 55307-2024</t>
        </is>
      </c>
      <c r="B9195" t="inlineStr">
        <is>
          <t>avverkningsanmälan</t>
        </is>
      </c>
      <c r="C9195" t="inlineStr">
        <is>
          <t>Föryngringsavverkning</t>
        </is>
      </c>
      <c r="D9195" s="1" t="n">
        <v>45621</v>
      </c>
      <c r="E9195" s="1" t="n">
        <v>46319</v>
      </c>
      <c r="F9195" t="inlineStr">
        <is>
          <t>DALARNAS LÄN</t>
        </is>
      </c>
      <c r="G9195" t="inlineStr">
        <is>
          <t>MALUNG-SÄLEN</t>
        </is>
      </c>
      <c r="I9195" t="n">
        <v>0.9</v>
      </c>
      <c r="J9195" t="n">
        <v>0</v>
      </c>
      <c r="K9195" t="n">
        <v>0</v>
      </c>
      <c r="L9195" t="n">
        <v>0</v>
      </c>
      <c r="M9195" t="n">
        <v>0</v>
      </c>
      <c r="N9195" t="n">
        <v>0</v>
      </c>
      <c r="O9195" t="n">
        <v>0</v>
      </c>
      <c r="P9195" t="n">
        <v>0</v>
      </c>
      <c r="Q9195" t="n">
        <v>0</v>
      </c>
      <c r="R9195" t="n">
        <v>0</v>
      </c>
      <c r="S9195" t="n">
        <v>0</v>
      </c>
      <c r="T9195" t="n">
        <v>0</v>
      </c>
      <c r="U9195" t="n">
        <v>0</v>
      </c>
      <c r="V9195" s="2" t="inlineStr"/>
    </row>
    <row r="9196" ht="15" customHeight="1">
      <c r="A9196" t="inlineStr">
        <is>
          <t>A 4738-2025</t>
        </is>
      </c>
      <c r="B9196" t="inlineStr">
        <is>
          <t>avverkningsanmälan</t>
        </is>
      </c>
      <c r="C9196" t="inlineStr">
        <is>
          <t>Avverkning för annat ändamål</t>
        </is>
      </c>
      <c r="D9196" s="1" t="n">
        <v>45688</v>
      </c>
      <c r="E9196" s="1" t="n">
        <v>46319</v>
      </c>
      <c r="F9196" t="inlineStr">
        <is>
          <t>DALARNAS LÄN</t>
        </is>
      </c>
      <c r="G9196" t="inlineStr">
        <is>
          <t>ORSA</t>
        </is>
      </c>
      <c r="I9196" t="n">
        <v>3.7</v>
      </c>
      <c r="J9196" t="n">
        <v>0</v>
      </c>
      <c r="K9196" t="n">
        <v>0</v>
      </c>
      <c r="L9196" t="n">
        <v>0</v>
      </c>
      <c r="M9196" t="n">
        <v>0</v>
      </c>
      <c r="N9196" t="n">
        <v>0</v>
      </c>
      <c r="O9196" t="n">
        <v>0</v>
      </c>
      <c r="P9196" t="n">
        <v>0</v>
      </c>
      <c r="Q9196" t="n">
        <v>0</v>
      </c>
      <c r="R9196" t="n">
        <v>0</v>
      </c>
      <c r="S9196" t="n">
        <v>0</v>
      </c>
      <c r="T9196" t="n">
        <v>0</v>
      </c>
      <c r="U9196" t="n">
        <v>0</v>
      </c>
      <c r="V9196" s="2" t="inlineStr"/>
    </row>
    <row r="9197" ht="15" customHeight="1">
      <c r="A9197" t="inlineStr">
        <is>
          <t>A 36740-2023</t>
        </is>
      </c>
      <c r="B9197" t="inlineStr">
        <is>
          <t>avverkningsanmälan</t>
        </is>
      </c>
      <c r="C9197" t="inlineStr">
        <is>
          <t>Avverkning för annat ändamål</t>
        </is>
      </c>
      <c r="D9197" s="1" t="n">
        <v>45153</v>
      </c>
      <c r="E9197" s="1" t="n">
        <v>46319</v>
      </c>
      <c r="F9197" t="inlineStr">
        <is>
          <t>DALARNAS LÄN</t>
        </is>
      </c>
      <c r="G9197" t="inlineStr">
        <is>
          <t>MORA</t>
        </is>
      </c>
      <c r="I9197" t="n">
        <v>0.2</v>
      </c>
      <c r="J9197" t="n">
        <v>0</v>
      </c>
      <c r="K9197" t="n">
        <v>0</v>
      </c>
      <c r="L9197" t="n">
        <v>0</v>
      </c>
      <c r="M9197" t="n">
        <v>0</v>
      </c>
      <c r="N9197" t="n">
        <v>0</v>
      </c>
      <c r="O9197" t="n">
        <v>0</v>
      </c>
      <c r="P9197" t="n">
        <v>0</v>
      </c>
      <c r="Q9197" t="n">
        <v>0</v>
      </c>
      <c r="R9197" t="n">
        <v>0</v>
      </c>
      <c r="S9197" t="n">
        <v>0</v>
      </c>
      <c r="T9197" t="n">
        <v>0</v>
      </c>
      <c r="U9197" t="n">
        <v>0</v>
      </c>
      <c r="V9197" s="2" t="inlineStr"/>
    </row>
    <row r="9198" ht="15" customHeight="1">
      <c r="A9198" t="inlineStr">
        <is>
          <t>A 36847-2023</t>
        </is>
      </c>
      <c r="B9198" t="inlineStr">
        <is>
          <t>avverkningsanmälan</t>
        </is>
      </c>
      <c r="C9198" t="inlineStr">
        <is>
          <t>Föryngringsavverkning</t>
        </is>
      </c>
      <c r="D9198" s="1" t="n">
        <v>45154</v>
      </c>
      <c r="E9198" s="1" t="n">
        <v>46319</v>
      </c>
      <c r="F9198" t="inlineStr">
        <is>
          <t>DALARNAS LÄN</t>
        </is>
      </c>
      <c r="G9198" t="inlineStr">
        <is>
          <t>SÄTER</t>
        </is>
      </c>
      <c r="I9198" t="n">
        <v>1</v>
      </c>
      <c r="J9198" t="n">
        <v>0</v>
      </c>
      <c r="K9198" t="n">
        <v>0</v>
      </c>
      <c r="L9198" t="n">
        <v>0</v>
      </c>
      <c r="M9198" t="n">
        <v>0</v>
      </c>
      <c r="N9198" t="n">
        <v>0</v>
      </c>
      <c r="O9198" t="n">
        <v>0</v>
      </c>
      <c r="P9198" t="n">
        <v>0</v>
      </c>
      <c r="Q9198" t="n">
        <v>0</v>
      </c>
      <c r="R9198" t="n">
        <v>0</v>
      </c>
      <c r="S9198" t="n">
        <v>0</v>
      </c>
      <c r="T9198" t="n">
        <v>0</v>
      </c>
      <c r="U9198" t="n">
        <v>0</v>
      </c>
      <c r="V9198" s="2" t="inlineStr"/>
    </row>
    <row r="9199" ht="15" customHeight="1">
      <c r="A9199" t="inlineStr">
        <is>
          <t>A 61054-2024</t>
        </is>
      </c>
      <c r="B9199" t="inlineStr">
        <is>
          <t>avverkningsanmälan</t>
        </is>
      </c>
      <c r="C9199" t="inlineStr">
        <is>
          <t>Föryngringsavverkning</t>
        </is>
      </c>
      <c r="D9199" s="1" t="n">
        <v>45645</v>
      </c>
      <c r="E9199" s="1" t="n">
        <v>46319</v>
      </c>
      <c r="F9199" t="inlineStr">
        <is>
          <t>DALARNAS LÄN</t>
        </is>
      </c>
      <c r="G9199" t="inlineStr">
        <is>
          <t>LUDVIKA</t>
        </is>
      </c>
      <c r="H9199" t="inlineStr">
        <is>
          <t>Bergvik skog väst AB</t>
        </is>
      </c>
      <c r="I9199" t="n">
        <v>0.9</v>
      </c>
      <c r="J9199" t="n">
        <v>0</v>
      </c>
      <c r="K9199" t="n">
        <v>0</v>
      </c>
      <c r="L9199" t="n">
        <v>0</v>
      </c>
      <c r="M9199" t="n">
        <v>0</v>
      </c>
      <c r="N9199" t="n">
        <v>0</v>
      </c>
      <c r="O9199" t="n">
        <v>0</v>
      </c>
      <c r="P9199" t="n">
        <v>0</v>
      </c>
      <c r="Q9199" t="n">
        <v>0</v>
      </c>
      <c r="R9199" t="n">
        <v>0</v>
      </c>
      <c r="S9199" t="n">
        <v>0</v>
      </c>
      <c r="T9199" t="n">
        <v>0</v>
      </c>
      <c r="U9199" t="n">
        <v>0</v>
      </c>
      <c r="V9199" s="2" t="inlineStr"/>
    </row>
    <row r="9200" ht="15" customHeight="1">
      <c r="A9200" t="inlineStr">
        <is>
          <t>A 39367-2023</t>
        </is>
      </c>
      <c r="B9200" t="inlineStr">
        <is>
          <t>avverkningsanmälan</t>
        </is>
      </c>
      <c r="C9200" t="inlineStr">
        <is>
          <t>Föryngringsavverkning</t>
        </is>
      </c>
      <c r="D9200" s="1" t="n">
        <v>45166</v>
      </c>
      <c r="E9200" s="1" t="n">
        <v>46319</v>
      </c>
      <c r="F9200" t="inlineStr">
        <is>
          <t>DALARNAS LÄN</t>
        </is>
      </c>
      <c r="G9200" t="inlineStr">
        <is>
          <t>GAGNEF</t>
        </is>
      </c>
      <c r="H9200" t="inlineStr">
        <is>
          <t>Bergvik skog väst AB</t>
        </is>
      </c>
      <c r="I9200" t="n">
        <v>2.4</v>
      </c>
      <c r="J9200" t="n">
        <v>0</v>
      </c>
      <c r="K9200" t="n">
        <v>0</v>
      </c>
      <c r="L9200" t="n">
        <v>0</v>
      </c>
      <c r="M9200" t="n">
        <v>0</v>
      </c>
      <c r="N9200" t="n">
        <v>0</v>
      </c>
      <c r="O9200" t="n">
        <v>0</v>
      </c>
      <c r="P9200" t="n">
        <v>0</v>
      </c>
      <c r="Q9200" t="n">
        <v>0</v>
      </c>
      <c r="R9200" t="n">
        <v>0</v>
      </c>
      <c r="S9200" t="n">
        <v>0</v>
      </c>
      <c r="T9200" t="n">
        <v>0</v>
      </c>
      <c r="U9200" t="n">
        <v>0</v>
      </c>
      <c r="V9200" s="2" t="inlineStr"/>
    </row>
    <row r="9201" ht="15" customHeight="1">
      <c r="A9201" t="inlineStr">
        <is>
          <t>A 48246-2023</t>
        </is>
      </c>
      <c r="B9201" t="inlineStr">
        <is>
          <t>avverkningsanmälan</t>
        </is>
      </c>
      <c r="C9201" t="inlineStr">
        <is>
          <t>Föryngringsavverkning</t>
        </is>
      </c>
      <c r="D9201" s="1" t="n">
        <v>45205</v>
      </c>
      <c r="E9201" s="1" t="n">
        <v>46319</v>
      </c>
      <c r="F9201" t="inlineStr">
        <is>
          <t>DALARNAS LÄN</t>
        </is>
      </c>
      <c r="G9201" t="inlineStr">
        <is>
          <t>FALUN</t>
        </is>
      </c>
      <c r="I9201" t="n">
        <v>4.5</v>
      </c>
      <c r="J9201" t="n">
        <v>0</v>
      </c>
      <c r="K9201" t="n">
        <v>0</v>
      </c>
      <c r="L9201" t="n">
        <v>0</v>
      </c>
      <c r="M9201" t="n">
        <v>0</v>
      </c>
      <c r="N9201" t="n">
        <v>0</v>
      </c>
      <c r="O9201" t="n">
        <v>0</v>
      </c>
      <c r="P9201" t="n">
        <v>0</v>
      </c>
      <c r="Q9201" t="n">
        <v>0</v>
      </c>
      <c r="R9201" t="n">
        <v>0</v>
      </c>
      <c r="S9201" t="n">
        <v>0</v>
      </c>
      <c r="T9201" t="n">
        <v>0</v>
      </c>
      <c r="U9201" t="n">
        <v>0</v>
      </c>
      <c r="V9201" s="2" t="inlineStr"/>
    </row>
    <row r="9202" ht="15" customHeight="1">
      <c r="A9202" t="inlineStr">
        <is>
          <t>A 10513-2025</t>
        </is>
      </c>
      <c r="B9202" t="inlineStr">
        <is>
          <t>avverkningsanmälan</t>
        </is>
      </c>
      <c r="C9202" t="inlineStr">
        <is>
          <t>Föryngringsavverkning</t>
        </is>
      </c>
      <c r="D9202" s="1" t="n">
        <v>45721</v>
      </c>
      <c r="E9202" s="1" t="n">
        <v>46319</v>
      </c>
      <c r="F9202" t="inlineStr">
        <is>
          <t>DALARNAS LÄN</t>
        </is>
      </c>
      <c r="G9202" t="inlineStr">
        <is>
          <t>RÄTTVIK</t>
        </is>
      </c>
      <c r="I9202" t="n">
        <v>1.6</v>
      </c>
      <c r="J9202" t="n">
        <v>0</v>
      </c>
      <c r="K9202" t="n">
        <v>0</v>
      </c>
      <c r="L9202" t="n">
        <v>0</v>
      </c>
      <c r="M9202" t="n">
        <v>0</v>
      </c>
      <c r="N9202" t="n">
        <v>0</v>
      </c>
      <c r="O9202" t="n">
        <v>0</v>
      </c>
      <c r="P9202" t="n">
        <v>0</v>
      </c>
      <c r="Q9202" t="n">
        <v>0</v>
      </c>
      <c r="R9202" t="n">
        <v>0</v>
      </c>
      <c r="S9202" t="n">
        <v>0</v>
      </c>
      <c r="T9202" t="n">
        <v>0</v>
      </c>
      <c r="U9202" t="n">
        <v>0</v>
      </c>
      <c r="V9202" s="2" t="inlineStr"/>
    </row>
    <row r="9203" ht="15" customHeight="1">
      <c r="A9203" t="inlineStr">
        <is>
          <t>A 49203-2023</t>
        </is>
      </c>
      <c r="B9203" t="inlineStr">
        <is>
          <t>avverkningsanmälan</t>
        </is>
      </c>
      <c r="C9203" t="inlineStr">
        <is>
          <t>Föryngringsavverkning</t>
        </is>
      </c>
      <c r="D9203" s="1" t="n">
        <v>45210</v>
      </c>
      <c r="E9203" s="1" t="n">
        <v>46319</v>
      </c>
      <c r="F9203" t="inlineStr">
        <is>
          <t>DALARNAS LÄN</t>
        </is>
      </c>
      <c r="G9203" t="inlineStr">
        <is>
          <t>ÄLVDALEN</t>
        </is>
      </c>
      <c r="H9203" t="inlineStr">
        <is>
          <t>Bergvik skog väst AB</t>
        </is>
      </c>
      <c r="I9203" t="n">
        <v>18.2</v>
      </c>
      <c r="J9203" t="n">
        <v>0</v>
      </c>
      <c r="K9203" t="n">
        <v>0</v>
      </c>
      <c r="L9203" t="n">
        <v>0</v>
      </c>
      <c r="M9203" t="n">
        <v>0</v>
      </c>
      <c r="N9203" t="n">
        <v>0</v>
      </c>
      <c r="O9203" t="n">
        <v>0</v>
      </c>
      <c r="P9203" t="n">
        <v>0</v>
      </c>
      <c r="Q9203" t="n">
        <v>0</v>
      </c>
      <c r="R9203" t="n">
        <v>0</v>
      </c>
      <c r="S9203" t="n">
        <v>0</v>
      </c>
      <c r="T9203" t="n">
        <v>0</v>
      </c>
      <c r="U9203" t="n">
        <v>0</v>
      </c>
      <c r="V9203" s="2" t="inlineStr"/>
    </row>
    <row r="9204" ht="15" customHeight="1">
      <c r="A9204" t="inlineStr">
        <is>
          <t>A 14193-2022</t>
        </is>
      </c>
      <c r="B9204" t="inlineStr">
        <is>
          <t>avverkningsanmälan</t>
        </is>
      </c>
      <c r="C9204" t="inlineStr">
        <is>
          <t>Föryngringsavverkning</t>
        </is>
      </c>
      <c r="D9204" s="1" t="n">
        <v>44651</v>
      </c>
      <c r="E9204" s="1" t="n">
        <v>46319</v>
      </c>
      <c r="F9204" t="inlineStr">
        <is>
          <t>DALARNAS LÄN</t>
        </is>
      </c>
      <c r="G9204" t="inlineStr">
        <is>
          <t>RÄTTVIK</t>
        </is>
      </c>
      <c r="I9204" t="n">
        <v>2.3</v>
      </c>
      <c r="J9204" t="n">
        <v>0</v>
      </c>
      <c r="K9204" t="n">
        <v>0</v>
      </c>
      <c r="L9204" t="n">
        <v>0</v>
      </c>
      <c r="M9204" t="n">
        <v>0</v>
      </c>
      <c r="N9204" t="n">
        <v>0</v>
      </c>
      <c r="O9204" t="n">
        <v>0</v>
      </c>
      <c r="P9204" t="n">
        <v>0</v>
      </c>
      <c r="Q9204" t="n">
        <v>0</v>
      </c>
      <c r="R9204" t="n">
        <v>0</v>
      </c>
      <c r="S9204" t="n">
        <v>0</v>
      </c>
      <c r="T9204" t="n">
        <v>0</v>
      </c>
      <c r="U9204" t="n">
        <v>0</v>
      </c>
      <c r="V9204" s="2" t="inlineStr"/>
    </row>
    <row r="9205" ht="15" customHeight="1">
      <c r="A9205" t="inlineStr">
        <is>
          <t>A 44729-2024</t>
        </is>
      </c>
      <c r="B9205" t="inlineStr">
        <is>
          <t>avverkningsanmälan</t>
        </is>
      </c>
      <c r="C9205" t="inlineStr">
        <is>
          <t>Föryngringsavverkning</t>
        </is>
      </c>
      <c r="D9205" s="1" t="n">
        <v>45574</v>
      </c>
      <c r="E9205" s="1" t="n">
        <v>46319</v>
      </c>
      <c r="F9205" t="inlineStr">
        <is>
          <t>DALARNAS LÄN</t>
        </is>
      </c>
      <c r="G9205" t="inlineStr">
        <is>
          <t>SÄTER</t>
        </is>
      </c>
      <c r="H9205" t="inlineStr">
        <is>
          <t>Bergvik skog väst AB</t>
        </is>
      </c>
      <c r="I9205" t="n">
        <v>0.4</v>
      </c>
      <c r="J9205" t="n">
        <v>0</v>
      </c>
      <c r="K9205" t="n">
        <v>0</v>
      </c>
      <c r="L9205" t="n">
        <v>0</v>
      </c>
      <c r="M9205" t="n">
        <v>0</v>
      </c>
      <c r="N9205" t="n">
        <v>0</v>
      </c>
      <c r="O9205" t="n">
        <v>0</v>
      </c>
      <c r="P9205" t="n">
        <v>0</v>
      </c>
      <c r="Q9205" t="n">
        <v>0</v>
      </c>
      <c r="R9205" t="n">
        <v>0</v>
      </c>
      <c r="S9205" t="n">
        <v>0</v>
      </c>
      <c r="T9205" t="n">
        <v>0</v>
      </c>
      <c r="U9205" t="n">
        <v>0</v>
      </c>
      <c r="V9205" s="2" t="inlineStr"/>
    </row>
    <row r="9206" ht="15" customHeight="1">
      <c r="A9206" t="inlineStr">
        <is>
          <t>A 7534-2025</t>
        </is>
      </c>
      <c r="B9206" t="inlineStr">
        <is>
          <t>avverkningsanmälan</t>
        </is>
      </c>
      <c r="C9206" t="inlineStr">
        <is>
          <t>Föryngringsavverkning</t>
        </is>
      </c>
      <c r="D9206" s="1" t="n">
        <v>45705</v>
      </c>
      <c r="E9206" s="1" t="n">
        <v>46319</v>
      </c>
      <c r="F9206" t="inlineStr">
        <is>
          <t>DALARNAS LÄN</t>
        </is>
      </c>
      <c r="G9206" t="inlineStr">
        <is>
          <t>ORSA</t>
        </is>
      </c>
      <c r="I9206" t="n">
        <v>1.1</v>
      </c>
      <c r="J9206" t="n">
        <v>0</v>
      </c>
      <c r="K9206" t="n">
        <v>0</v>
      </c>
      <c r="L9206" t="n">
        <v>0</v>
      </c>
      <c r="M9206" t="n">
        <v>0</v>
      </c>
      <c r="N9206" t="n">
        <v>0</v>
      </c>
      <c r="O9206" t="n">
        <v>0</v>
      </c>
      <c r="P9206" t="n">
        <v>0</v>
      </c>
      <c r="Q9206" t="n">
        <v>0</v>
      </c>
      <c r="R9206" t="n">
        <v>0</v>
      </c>
      <c r="S9206" t="n">
        <v>0</v>
      </c>
      <c r="T9206" t="n">
        <v>0</v>
      </c>
      <c r="U9206" t="n">
        <v>0</v>
      </c>
      <c r="V9206" s="2" t="inlineStr"/>
    </row>
    <row r="9207" ht="15" customHeight="1">
      <c r="A9207" t="inlineStr">
        <is>
          <t>A 17951-2022</t>
        </is>
      </c>
      <c r="B9207" t="inlineStr">
        <is>
          <t>avverkningsanmälan</t>
        </is>
      </c>
      <c r="C9207" t="inlineStr">
        <is>
          <t>Föryngringsavverkning</t>
        </is>
      </c>
      <c r="D9207" s="1" t="n">
        <v>44683</v>
      </c>
      <c r="E9207" s="1" t="n">
        <v>46319</v>
      </c>
      <c r="F9207" t="inlineStr">
        <is>
          <t>DALARNAS LÄN</t>
        </is>
      </c>
      <c r="G9207" t="inlineStr">
        <is>
          <t>SMEDJEBACKEN</t>
        </is>
      </c>
      <c r="I9207" t="n">
        <v>1</v>
      </c>
      <c r="J9207" t="n">
        <v>0</v>
      </c>
      <c r="K9207" t="n">
        <v>0</v>
      </c>
      <c r="L9207" t="n">
        <v>0</v>
      </c>
      <c r="M9207" t="n">
        <v>0</v>
      </c>
      <c r="N9207" t="n">
        <v>0</v>
      </c>
      <c r="O9207" t="n">
        <v>0</v>
      </c>
      <c r="P9207" t="n">
        <v>0</v>
      </c>
      <c r="Q9207" t="n">
        <v>0</v>
      </c>
      <c r="R9207" t="n">
        <v>0</v>
      </c>
      <c r="S9207" t="n">
        <v>0</v>
      </c>
      <c r="T9207" t="n">
        <v>0</v>
      </c>
      <c r="U9207" t="n">
        <v>0</v>
      </c>
      <c r="V9207" s="2" t="inlineStr"/>
    </row>
    <row r="9208" ht="15" customHeight="1">
      <c r="A9208" t="inlineStr">
        <is>
          <t>A 17956-2022</t>
        </is>
      </c>
      <c r="B9208" t="inlineStr">
        <is>
          <t>avverkningsanmälan</t>
        </is>
      </c>
      <c r="C9208" t="inlineStr">
        <is>
          <t>Föryngringsavverkning</t>
        </is>
      </c>
      <c r="D9208" s="1" t="n">
        <v>44683</v>
      </c>
      <c r="E9208" s="1" t="n">
        <v>46319</v>
      </c>
      <c r="F9208" t="inlineStr">
        <is>
          <t>DALARNAS LÄN</t>
        </is>
      </c>
      <c r="G9208" t="inlineStr">
        <is>
          <t>SMEDJEBACKEN</t>
        </is>
      </c>
      <c r="I9208" t="n">
        <v>2.6</v>
      </c>
      <c r="J9208" t="n">
        <v>0</v>
      </c>
      <c r="K9208" t="n">
        <v>0</v>
      </c>
      <c r="L9208" t="n">
        <v>0</v>
      </c>
      <c r="M9208" t="n">
        <v>0</v>
      </c>
      <c r="N9208" t="n">
        <v>0</v>
      </c>
      <c r="O9208" t="n">
        <v>0</v>
      </c>
      <c r="P9208" t="n">
        <v>0</v>
      </c>
      <c r="Q9208" t="n">
        <v>0</v>
      </c>
      <c r="R9208" t="n">
        <v>0</v>
      </c>
      <c r="S9208" t="n">
        <v>0</v>
      </c>
      <c r="T9208" t="n">
        <v>0</v>
      </c>
      <c r="U9208" t="n">
        <v>0</v>
      </c>
      <c r="V9208" s="2" t="inlineStr"/>
    </row>
    <row r="9209" ht="15" customHeight="1">
      <c r="A9209" t="inlineStr">
        <is>
          <t>A 9790-2022</t>
        </is>
      </c>
      <c r="B9209" t="inlineStr">
        <is>
          <t>avverkningsanmälan</t>
        </is>
      </c>
      <c r="C9209" t="inlineStr">
        <is>
          <t>Avverkning för annat ändamål</t>
        </is>
      </c>
      <c r="D9209" s="1" t="n">
        <v>44617</v>
      </c>
      <c r="E9209" s="1" t="n">
        <v>46319</v>
      </c>
      <c r="F9209" t="inlineStr">
        <is>
          <t>DALARNAS LÄN</t>
        </is>
      </c>
      <c r="G9209" t="inlineStr">
        <is>
          <t>SMEDJEBACKEN</t>
        </is>
      </c>
      <c r="I9209" t="n">
        <v>1.7</v>
      </c>
      <c r="J9209" t="n">
        <v>0</v>
      </c>
      <c r="K9209" t="n">
        <v>0</v>
      </c>
      <c r="L9209" t="n">
        <v>0</v>
      </c>
      <c r="M9209" t="n">
        <v>0</v>
      </c>
      <c r="N9209" t="n">
        <v>0</v>
      </c>
      <c r="O9209" t="n">
        <v>0</v>
      </c>
      <c r="P9209" t="n">
        <v>0</v>
      </c>
      <c r="Q9209" t="n">
        <v>0</v>
      </c>
      <c r="R9209" t="n">
        <v>0</v>
      </c>
      <c r="S9209" t="n">
        <v>0</v>
      </c>
      <c r="T9209" t="n">
        <v>0</v>
      </c>
      <c r="U9209" t="n">
        <v>0</v>
      </c>
      <c r="V9209" s="2" t="inlineStr"/>
    </row>
    <row r="9210" ht="15" customHeight="1">
      <c r="A9210" t="inlineStr">
        <is>
          <t>A 55638-2024</t>
        </is>
      </c>
      <c r="B9210" t="inlineStr">
        <is>
          <t>avverkningsanmälan</t>
        </is>
      </c>
      <c r="C9210" t="inlineStr">
        <is>
          <t>Föryngringsavverkning</t>
        </is>
      </c>
      <c r="D9210" s="1" t="n">
        <v>45622</v>
      </c>
      <c r="E9210" s="1" t="n">
        <v>46319</v>
      </c>
      <c r="F9210" t="inlineStr">
        <is>
          <t>DALARNAS LÄN</t>
        </is>
      </c>
      <c r="G9210" t="inlineStr">
        <is>
          <t>MALUNG-SÄLEN</t>
        </is>
      </c>
      <c r="H9210" t="inlineStr">
        <is>
          <t>Bergvik skog öst AB</t>
        </is>
      </c>
      <c r="I9210" t="n">
        <v>6.5</v>
      </c>
      <c r="J9210" t="n">
        <v>0</v>
      </c>
      <c r="K9210" t="n">
        <v>0</v>
      </c>
      <c r="L9210" t="n">
        <v>0</v>
      </c>
      <c r="M9210" t="n">
        <v>0</v>
      </c>
      <c r="N9210" t="n">
        <v>0</v>
      </c>
      <c r="O9210" t="n">
        <v>0</v>
      </c>
      <c r="P9210" t="n">
        <v>0</v>
      </c>
      <c r="Q9210" t="n">
        <v>0</v>
      </c>
      <c r="R9210" t="n">
        <v>0</v>
      </c>
      <c r="S9210" t="n">
        <v>0</v>
      </c>
      <c r="T9210" t="n">
        <v>0</v>
      </c>
      <c r="U9210" t="n">
        <v>0</v>
      </c>
      <c r="V9210" s="2" t="inlineStr"/>
    </row>
    <row r="9211" ht="15" customHeight="1">
      <c r="A9211" t="inlineStr">
        <is>
          <t>A 55650-2024</t>
        </is>
      </c>
      <c r="B9211" t="inlineStr">
        <is>
          <t>avverkningsanmälan</t>
        </is>
      </c>
      <c r="C9211" t="inlineStr">
        <is>
          <t>Föryngringsavverkning</t>
        </is>
      </c>
      <c r="D9211" s="1" t="n">
        <v>45622</v>
      </c>
      <c r="E9211" s="1" t="n">
        <v>46319</v>
      </c>
      <c r="F9211" t="inlineStr">
        <is>
          <t>DALARNAS LÄN</t>
        </is>
      </c>
      <c r="G9211" t="inlineStr">
        <is>
          <t>SÄTER</t>
        </is>
      </c>
      <c r="I9211" t="n">
        <v>0.7</v>
      </c>
      <c r="J9211" t="n">
        <v>0</v>
      </c>
      <c r="K9211" t="n">
        <v>0</v>
      </c>
      <c r="L9211" t="n">
        <v>0</v>
      </c>
      <c r="M9211" t="n">
        <v>0</v>
      </c>
      <c r="N9211" t="n">
        <v>0</v>
      </c>
      <c r="O9211" t="n">
        <v>0</v>
      </c>
      <c r="P9211" t="n">
        <v>0</v>
      </c>
      <c r="Q9211" t="n">
        <v>0</v>
      </c>
      <c r="R9211" t="n">
        <v>0</v>
      </c>
      <c r="S9211" t="n">
        <v>0</v>
      </c>
      <c r="T9211" t="n">
        <v>0</v>
      </c>
      <c r="U9211" t="n">
        <v>0</v>
      </c>
      <c r="V9211" s="2" t="inlineStr"/>
    </row>
    <row r="9212" ht="15" customHeight="1">
      <c r="A9212" t="inlineStr">
        <is>
          <t>A 7052-2025</t>
        </is>
      </c>
      <c r="B9212" t="inlineStr">
        <is>
          <t>avverkningsanmälan</t>
        </is>
      </c>
      <c r="C9212" t="inlineStr">
        <is>
          <t>Föryngringsavverkning</t>
        </is>
      </c>
      <c r="D9212" s="1" t="n">
        <v>45701</v>
      </c>
      <c r="E9212" s="1" t="n">
        <v>46319</v>
      </c>
      <c r="F9212" t="inlineStr">
        <is>
          <t>DALARNAS LÄN</t>
        </is>
      </c>
      <c r="G9212" t="inlineStr">
        <is>
          <t>HEDEMORA</t>
        </is>
      </c>
      <c r="I9212" t="n">
        <v>0.9</v>
      </c>
      <c r="J9212" t="n">
        <v>0</v>
      </c>
      <c r="K9212" t="n">
        <v>0</v>
      </c>
      <c r="L9212" t="n">
        <v>0</v>
      </c>
      <c r="M9212" t="n">
        <v>0</v>
      </c>
      <c r="N9212" t="n">
        <v>0</v>
      </c>
      <c r="O9212" t="n">
        <v>0</v>
      </c>
      <c r="P9212" t="n">
        <v>0</v>
      </c>
      <c r="Q9212" t="n">
        <v>0</v>
      </c>
      <c r="R9212" t="n">
        <v>0</v>
      </c>
      <c r="S9212" t="n">
        <v>0</v>
      </c>
      <c r="T9212" t="n">
        <v>0</v>
      </c>
      <c r="U9212" t="n">
        <v>0</v>
      </c>
      <c r="V9212" s="2" t="inlineStr"/>
    </row>
    <row r="9213" ht="15" customHeight="1">
      <c r="A9213" t="inlineStr">
        <is>
          <t>A 6675-2025</t>
        </is>
      </c>
      <c r="B9213" t="inlineStr">
        <is>
          <t>avverkningsanmälan</t>
        </is>
      </c>
      <c r="C9213" t="inlineStr">
        <is>
          <t>Föryngringsavverkning</t>
        </is>
      </c>
      <c r="D9213" s="1" t="n">
        <v>45700</v>
      </c>
      <c r="E9213" s="1" t="n">
        <v>46319</v>
      </c>
      <c r="F9213" t="inlineStr">
        <is>
          <t>DALARNAS LÄN</t>
        </is>
      </c>
      <c r="G9213" t="inlineStr">
        <is>
          <t>ÄLVDALEN</t>
        </is>
      </c>
      <c r="H9213" t="inlineStr">
        <is>
          <t>Allmännings- och besparingsskogar</t>
        </is>
      </c>
      <c r="I9213" t="n">
        <v>1.2</v>
      </c>
      <c r="J9213" t="n">
        <v>0</v>
      </c>
      <c r="K9213" t="n">
        <v>0</v>
      </c>
      <c r="L9213" t="n">
        <v>0</v>
      </c>
      <c r="M9213" t="n">
        <v>0</v>
      </c>
      <c r="N9213" t="n">
        <v>0</v>
      </c>
      <c r="O9213" t="n">
        <v>0</v>
      </c>
      <c r="P9213" t="n">
        <v>0</v>
      </c>
      <c r="Q9213" t="n">
        <v>0</v>
      </c>
      <c r="R9213" t="n">
        <v>0</v>
      </c>
      <c r="S9213" t="n">
        <v>0</v>
      </c>
      <c r="T9213" t="n">
        <v>0</v>
      </c>
      <c r="U9213" t="n">
        <v>0</v>
      </c>
      <c r="V9213" s="2" t="inlineStr"/>
    </row>
    <row r="9214" ht="15" customHeight="1">
      <c r="A9214" t="inlineStr">
        <is>
          <t>A 60042-2024</t>
        </is>
      </c>
      <c r="B9214" t="inlineStr">
        <is>
          <t>avverkningsanmälan</t>
        </is>
      </c>
      <c r="C9214" t="inlineStr">
        <is>
          <t>Föryngringsavverkning</t>
        </is>
      </c>
      <c r="D9214" s="1" t="n">
        <v>45642</v>
      </c>
      <c r="E9214" s="1" t="n">
        <v>46319</v>
      </c>
      <c r="F9214" t="inlineStr">
        <is>
          <t>DALARNAS LÄN</t>
        </is>
      </c>
      <c r="G9214" t="inlineStr">
        <is>
          <t>MALUNG-SÄLEN</t>
        </is>
      </c>
      <c r="I9214" t="n">
        <v>2.3</v>
      </c>
      <c r="J9214" t="n">
        <v>0</v>
      </c>
      <c r="K9214" t="n">
        <v>0</v>
      </c>
      <c r="L9214" t="n">
        <v>0</v>
      </c>
      <c r="M9214" t="n">
        <v>0</v>
      </c>
      <c r="N9214" t="n">
        <v>0</v>
      </c>
      <c r="O9214" t="n">
        <v>0</v>
      </c>
      <c r="P9214" t="n">
        <v>0</v>
      </c>
      <c r="Q9214" t="n">
        <v>0</v>
      </c>
      <c r="R9214" t="n">
        <v>0</v>
      </c>
      <c r="S9214" t="n">
        <v>0</v>
      </c>
      <c r="T9214" t="n">
        <v>0</v>
      </c>
      <c r="U9214" t="n">
        <v>0</v>
      </c>
      <c r="V9214" s="2" t="inlineStr"/>
    </row>
    <row r="9215" ht="15" customHeight="1">
      <c r="A9215" t="inlineStr">
        <is>
          <t>A 60063-2024</t>
        </is>
      </c>
      <c r="B9215" t="inlineStr">
        <is>
          <t>avverkningsanmälan</t>
        </is>
      </c>
      <c r="C9215" t="inlineStr">
        <is>
          <t>Föryngringsavverkning</t>
        </is>
      </c>
      <c r="D9215" s="1" t="n">
        <v>45642</v>
      </c>
      <c r="E9215" s="1" t="n">
        <v>46319</v>
      </c>
      <c r="F9215" t="inlineStr">
        <is>
          <t>DALARNAS LÄN</t>
        </is>
      </c>
      <c r="G9215" t="inlineStr">
        <is>
          <t>MALUNG-SÄLEN</t>
        </is>
      </c>
      <c r="I9215" t="n">
        <v>3.8</v>
      </c>
      <c r="J9215" t="n">
        <v>0</v>
      </c>
      <c r="K9215" t="n">
        <v>0</v>
      </c>
      <c r="L9215" t="n">
        <v>0</v>
      </c>
      <c r="M9215" t="n">
        <v>0</v>
      </c>
      <c r="N9215" t="n">
        <v>0</v>
      </c>
      <c r="O9215" t="n">
        <v>0</v>
      </c>
      <c r="P9215" t="n">
        <v>0</v>
      </c>
      <c r="Q9215" t="n">
        <v>0</v>
      </c>
      <c r="R9215" t="n">
        <v>0</v>
      </c>
      <c r="S9215" t="n">
        <v>0</v>
      </c>
      <c r="T9215" t="n">
        <v>0</v>
      </c>
      <c r="U9215" t="n">
        <v>0</v>
      </c>
      <c r="V9215" s="2" t="inlineStr"/>
    </row>
    <row r="9216" ht="15" customHeight="1">
      <c r="A9216" t="inlineStr">
        <is>
          <t>A 43419-2024</t>
        </is>
      </c>
      <c r="B9216" t="inlineStr">
        <is>
          <t>avverkningsanmälan</t>
        </is>
      </c>
      <c r="C9216" t="inlineStr">
        <is>
          <t>Avverkning för annat ändamål</t>
        </is>
      </c>
      <c r="D9216" s="1" t="n">
        <v>45568</v>
      </c>
      <c r="E9216" s="1" t="n">
        <v>46319</v>
      </c>
      <c r="F9216" t="inlineStr">
        <is>
          <t>DALARNAS LÄN</t>
        </is>
      </c>
      <c r="G9216" t="inlineStr">
        <is>
          <t>LEKSAND</t>
        </is>
      </c>
      <c r="I9216" t="n">
        <v>0.4</v>
      </c>
      <c r="J9216" t="n">
        <v>0</v>
      </c>
      <c r="K9216" t="n">
        <v>0</v>
      </c>
      <c r="L9216" t="n">
        <v>0</v>
      </c>
      <c r="M9216" t="n">
        <v>0</v>
      </c>
      <c r="N9216" t="n">
        <v>0</v>
      </c>
      <c r="O9216" t="n">
        <v>0</v>
      </c>
      <c r="P9216" t="n">
        <v>0</v>
      </c>
      <c r="Q9216" t="n">
        <v>0</v>
      </c>
      <c r="R9216" t="n">
        <v>0</v>
      </c>
      <c r="S9216" t="n">
        <v>0</v>
      </c>
      <c r="T9216" t="n">
        <v>0</v>
      </c>
      <c r="U9216" t="n">
        <v>0</v>
      </c>
      <c r="V9216" s="2" t="inlineStr"/>
    </row>
    <row r="9217" ht="15" customHeight="1">
      <c r="A9217" t="inlineStr">
        <is>
          <t>A 41642-2023</t>
        </is>
      </c>
      <c r="B9217" t="inlineStr">
        <is>
          <t>avverkningsanmälan</t>
        </is>
      </c>
      <c r="C9217" t="inlineStr">
        <is>
          <t>Föryngringsavverkning</t>
        </is>
      </c>
      <c r="D9217" s="1" t="n">
        <v>45175</v>
      </c>
      <c r="E9217" s="1" t="n">
        <v>46319</v>
      </c>
      <c r="F9217" t="inlineStr">
        <is>
          <t>DALARNAS LÄN</t>
        </is>
      </c>
      <c r="G9217" t="inlineStr">
        <is>
          <t>HEDEMORA</t>
        </is>
      </c>
      <c r="I9217" t="n">
        <v>2.8</v>
      </c>
      <c r="J9217" t="n">
        <v>0</v>
      </c>
      <c r="K9217" t="n">
        <v>0</v>
      </c>
      <c r="L9217" t="n">
        <v>0</v>
      </c>
      <c r="M9217" t="n">
        <v>0</v>
      </c>
      <c r="N9217" t="n">
        <v>0</v>
      </c>
      <c r="O9217" t="n">
        <v>0</v>
      </c>
      <c r="P9217" t="n">
        <v>0</v>
      </c>
      <c r="Q9217" t="n">
        <v>0</v>
      </c>
      <c r="R9217" t="n">
        <v>0</v>
      </c>
      <c r="S9217" t="n">
        <v>0</v>
      </c>
      <c r="T9217" t="n">
        <v>0</v>
      </c>
      <c r="U9217" t="n">
        <v>0</v>
      </c>
      <c r="V9217" s="2" t="inlineStr"/>
    </row>
    <row r="9218" ht="15" customHeight="1">
      <c r="A9218" t="inlineStr">
        <is>
          <t>A 24827-2022</t>
        </is>
      </c>
      <c r="B9218" t="inlineStr">
        <is>
          <t>avverkningsanmälan</t>
        </is>
      </c>
      <c r="C9218" t="inlineStr">
        <is>
          <t>Föryngringsavverkning</t>
        </is>
      </c>
      <c r="D9218" s="1" t="n">
        <v>44728</v>
      </c>
      <c r="E9218" s="1" t="n">
        <v>46319</v>
      </c>
      <c r="F9218" t="inlineStr">
        <is>
          <t>DALARNAS LÄN</t>
        </is>
      </c>
      <c r="G9218" t="inlineStr">
        <is>
          <t>VANSBRO</t>
        </is>
      </c>
      <c r="H9218" t="inlineStr">
        <is>
          <t>Bergvik skog öst AB</t>
        </is>
      </c>
      <c r="I9218" t="n">
        <v>0.7</v>
      </c>
      <c r="J9218" t="n">
        <v>0</v>
      </c>
      <c r="K9218" t="n">
        <v>0</v>
      </c>
      <c r="L9218" t="n">
        <v>0</v>
      </c>
      <c r="M9218" t="n">
        <v>0</v>
      </c>
      <c r="N9218" t="n">
        <v>0</v>
      </c>
      <c r="O9218" t="n">
        <v>0</v>
      </c>
      <c r="P9218" t="n">
        <v>0</v>
      </c>
      <c r="Q9218" t="n">
        <v>0</v>
      </c>
      <c r="R9218" t="n">
        <v>0</v>
      </c>
      <c r="S9218" t="n">
        <v>0</v>
      </c>
      <c r="T9218" t="n">
        <v>0</v>
      </c>
      <c r="U9218" t="n">
        <v>0</v>
      </c>
      <c r="V9218" s="2" t="inlineStr"/>
    </row>
    <row r="9219" ht="15" customHeight="1">
      <c r="A9219" t="inlineStr">
        <is>
          <t>A 24839-2022</t>
        </is>
      </c>
      <c r="B9219" t="inlineStr">
        <is>
          <t>avverkningsanmälan</t>
        </is>
      </c>
      <c r="C9219" t="inlineStr">
        <is>
          <t>Föryngringsavverkning</t>
        </is>
      </c>
      <c r="D9219" s="1" t="n">
        <v>44728</v>
      </c>
      <c r="E9219" s="1" t="n">
        <v>46319</v>
      </c>
      <c r="F9219" t="inlineStr">
        <is>
          <t>DALARNAS LÄN</t>
        </is>
      </c>
      <c r="G9219" t="inlineStr">
        <is>
          <t>VANSBRO</t>
        </is>
      </c>
      <c r="H9219" t="inlineStr">
        <is>
          <t>Bergvik skog öst AB</t>
        </is>
      </c>
      <c r="I9219" t="n">
        <v>2.2</v>
      </c>
      <c r="J9219" t="n">
        <v>0</v>
      </c>
      <c r="K9219" t="n">
        <v>0</v>
      </c>
      <c r="L9219" t="n">
        <v>0</v>
      </c>
      <c r="M9219" t="n">
        <v>0</v>
      </c>
      <c r="N9219" t="n">
        <v>0</v>
      </c>
      <c r="O9219" t="n">
        <v>0</v>
      </c>
      <c r="P9219" t="n">
        <v>0</v>
      </c>
      <c r="Q9219" t="n">
        <v>0</v>
      </c>
      <c r="R9219" t="n">
        <v>0</v>
      </c>
      <c r="S9219" t="n">
        <v>0</v>
      </c>
      <c r="T9219" t="n">
        <v>0</v>
      </c>
      <c r="U9219" t="n">
        <v>0</v>
      </c>
      <c r="V9219" s="2" t="inlineStr"/>
    </row>
    <row r="9220" ht="15" customHeight="1">
      <c r="A9220" t="inlineStr">
        <is>
          <t>A 31026-2023</t>
        </is>
      </c>
      <c r="B9220" t="inlineStr">
        <is>
          <t>avverkningsanmälan</t>
        </is>
      </c>
      <c r="C9220" t="inlineStr">
        <is>
          <t>Föryngringsavverkning</t>
        </is>
      </c>
      <c r="D9220" s="1" t="n">
        <v>45113</v>
      </c>
      <c r="E9220" s="1" t="n">
        <v>46319</v>
      </c>
      <c r="F9220" t="inlineStr">
        <is>
          <t>DALARNAS LÄN</t>
        </is>
      </c>
      <c r="G9220" t="inlineStr">
        <is>
          <t>ORSA</t>
        </is>
      </c>
      <c r="H9220" t="inlineStr">
        <is>
          <t>Bergvik skog öst AB</t>
        </is>
      </c>
      <c r="I9220" t="n">
        <v>0.5</v>
      </c>
      <c r="J9220" t="n">
        <v>0</v>
      </c>
      <c r="K9220" t="n">
        <v>0</v>
      </c>
      <c r="L9220" t="n">
        <v>0</v>
      </c>
      <c r="M9220" t="n">
        <v>0</v>
      </c>
      <c r="N9220" t="n">
        <v>0</v>
      </c>
      <c r="O9220" t="n">
        <v>0</v>
      </c>
      <c r="P9220" t="n">
        <v>0</v>
      </c>
      <c r="Q9220" t="n">
        <v>0</v>
      </c>
      <c r="R9220" t="n">
        <v>0</v>
      </c>
      <c r="S9220" t="n">
        <v>0</v>
      </c>
      <c r="T9220" t="n">
        <v>0</v>
      </c>
      <c r="U9220" t="n">
        <v>0</v>
      </c>
      <c r="V9220" s="2" t="inlineStr"/>
    </row>
    <row r="9221" ht="15" customHeight="1">
      <c r="A9221" t="inlineStr">
        <is>
          <t>A 56818-2023</t>
        </is>
      </c>
      <c r="B9221" t="inlineStr">
        <is>
          <t>avverkningsanmälan</t>
        </is>
      </c>
      <c r="C9221" t="inlineStr">
        <is>
          <t>Föryngringsavverkning</t>
        </is>
      </c>
      <c r="D9221" s="1" t="n">
        <v>45244</v>
      </c>
      <c r="E9221" s="1" t="n">
        <v>46319</v>
      </c>
      <c r="F9221" t="inlineStr">
        <is>
          <t>DALARNAS LÄN</t>
        </is>
      </c>
      <c r="G9221" t="inlineStr">
        <is>
          <t>LUDVIKA</t>
        </is>
      </c>
      <c r="I9221" t="n">
        <v>1.4</v>
      </c>
      <c r="J9221" t="n">
        <v>0</v>
      </c>
      <c r="K9221" t="n">
        <v>0</v>
      </c>
      <c r="L9221" t="n">
        <v>0</v>
      </c>
      <c r="M9221" t="n">
        <v>0</v>
      </c>
      <c r="N9221" t="n">
        <v>0</v>
      </c>
      <c r="O9221" t="n">
        <v>0</v>
      </c>
      <c r="P9221" t="n">
        <v>0</v>
      </c>
      <c r="Q9221" t="n">
        <v>0</v>
      </c>
      <c r="R9221" t="n">
        <v>0</v>
      </c>
      <c r="S9221" t="n">
        <v>0</v>
      </c>
      <c r="T9221" t="n">
        <v>0</v>
      </c>
      <c r="U9221" t="n">
        <v>0</v>
      </c>
      <c r="V9221" s="2" t="inlineStr"/>
    </row>
    <row r="9222" ht="15" customHeight="1">
      <c r="A9222" t="inlineStr">
        <is>
          <t>A 8785-2022</t>
        </is>
      </c>
      <c r="B9222" t="inlineStr">
        <is>
          <t>avverkningsanmälan</t>
        </is>
      </c>
      <c r="C9222" t="inlineStr">
        <is>
          <t>Föryngringsavverkning</t>
        </is>
      </c>
      <c r="D9222" s="1" t="n">
        <v>44614</v>
      </c>
      <c r="E9222" s="1" t="n">
        <v>46319</v>
      </c>
      <c r="F9222" t="inlineStr">
        <is>
          <t>DALARNAS LÄN</t>
        </is>
      </c>
      <c r="G9222" t="inlineStr">
        <is>
          <t>AVESTA</t>
        </is>
      </c>
      <c r="I9222" t="n">
        <v>2.3</v>
      </c>
      <c r="J9222" t="n">
        <v>0</v>
      </c>
      <c r="K9222" t="n">
        <v>0</v>
      </c>
      <c r="L9222" t="n">
        <v>0</v>
      </c>
      <c r="M9222" t="n">
        <v>0</v>
      </c>
      <c r="N9222" t="n">
        <v>0</v>
      </c>
      <c r="O9222" t="n">
        <v>0</v>
      </c>
      <c r="P9222" t="n">
        <v>0</v>
      </c>
      <c r="Q9222" t="n">
        <v>0</v>
      </c>
      <c r="R9222" t="n">
        <v>0</v>
      </c>
      <c r="S9222" t="n">
        <v>0</v>
      </c>
      <c r="T9222" t="n">
        <v>0</v>
      </c>
      <c r="U9222" t="n">
        <v>0</v>
      </c>
      <c r="V9222" s="2" t="inlineStr"/>
    </row>
    <row r="9223" ht="15" customHeight="1">
      <c r="A9223" t="inlineStr">
        <is>
          <t>A 1594-2025</t>
        </is>
      </c>
      <c r="B9223" t="inlineStr">
        <is>
          <t>avverkningsanmälan</t>
        </is>
      </c>
      <c r="C9223" t="inlineStr">
        <is>
          <t>Föryngringsavverkning</t>
        </is>
      </c>
      <c r="D9223" s="1" t="n">
        <v>45670</v>
      </c>
      <c r="E9223" s="1" t="n">
        <v>46319</v>
      </c>
      <c r="F9223" t="inlineStr">
        <is>
          <t>DALARNAS LÄN</t>
        </is>
      </c>
      <c r="G9223" t="inlineStr">
        <is>
          <t>SÄTER</t>
        </is>
      </c>
      <c r="I9223" t="n">
        <v>0.7</v>
      </c>
      <c r="J9223" t="n">
        <v>0</v>
      </c>
      <c r="K9223" t="n">
        <v>0</v>
      </c>
      <c r="L9223" t="n">
        <v>0</v>
      </c>
      <c r="M9223" t="n">
        <v>0</v>
      </c>
      <c r="N9223" t="n">
        <v>0</v>
      </c>
      <c r="O9223" t="n">
        <v>0</v>
      </c>
      <c r="P9223" t="n">
        <v>0</v>
      </c>
      <c r="Q9223" t="n">
        <v>0</v>
      </c>
      <c r="R9223" t="n">
        <v>0</v>
      </c>
      <c r="S9223" t="n">
        <v>0</v>
      </c>
      <c r="T9223" t="n">
        <v>0</v>
      </c>
      <c r="U9223" t="n">
        <v>0</v>
      </c>
      <c r="V9223" s="2" t="inlineStr"/>
    </row>
    <row r="9224" ht="15" customHeight="1">
      <c r="A9224" t="inlineStr">
        <is>
          <t>A 39595-2023</t>
        </is>
      </c>
      <c r="B9224" t="inlineStr">
        <is>
          <t>avverkningsanmälan</t>
        </is>
      </c>
      <c r="C9224" t="inlineStr">
        <is>
          <t>Föryngringsavverkning</t>
        </is>
      </c>
      <c r="D9224" s="1" t="n">
        <v>45167</v>
      </c>
      <c r="E9224" s="1" t="n">
        <v>46319</v>
      </c>
      <c r="F9224" t="inlineStr">
        <is>
          <t>DALARNAS LÄN</t>
        </is>
      </c>
      <c r="G9224" t="inlineStr">
        <is>
          <t>LEKSAND</t>
        </is>
      </c>
      <c r="I9224" t="n">
        <v>0.9</v>
      </c>
      <c r="J9224" t="n">
        <v>0</v>
      </c>
      <c r="K9224" t="n">
        <v>0</v>
      </c>
      <c r="L9224" t="n">
        <v>0</v>
      </c>
      <c r="M9224" t="n">
        <v>0</v>
      </c>
      <c r="N9224" t="n">
        <v>0</v>
      </c>
      <c r="O9224" t="n">
        <v>0</v>
      </c>
      <c r="P9224" t="n">
        <v>0</v>
      </c>
      <c r="Q9224" t="n">
        <v>0</v>
      </c>
      <c r="R9224" t="n">
        <v>0</v>
      </c>
      <c r="S9224" t="n">
        <v>0</v>
      </c>
      <c r="T9224" t="n">
        <v>0</v>
      </c>
      <c r="U9224" t="n">
        <v>0</v>
      </c>
      <c r="V9224" s="2" t="inlineStr"/>
    </row>
    <row r="9225" ht="15" customHeight="1">
      <c r="A9225" t="inlineStr">
        <is>
          <t>A 43254-2023</t>
        </is>
      </c>
      <c r="B9225" t="inlineStr">
        <is>
          <t>avverkningsanmälan</t>
        </is>
      </c>
      <c r="C9225" t="inlineStr">
        <is>
          <t>Föryngringsavverkning</t>
        </is>
      </c>
      <c r="D9225" s="1" t="n">
        <v>45183</v>
      </c>
      <c r="E9225" s="1" t="n">
        <v>46319</v>
      </c>
      <c r="F9225" t="inlineStr">
        <is>
          <t>DALARNAS LÄN</t>
        </is>
      </c>
      <c r="G9225" t="inlineStr">
        <is>
          <t>VANSBRO</t>
        </is>
      </c>
      <c r="H9225" t="inlineStr">
        <is>
          <t>Bergvik skog öst AB</t>
        </is>
      </c>
      <c r="I9225" t="n">
        <v>0.8</v>
      </c>
      <c r="J9225" t="n">
        <v>0</v>
      </c>
      <c r="K9225" t="n">
        <v>0</v>
      </c>
      <c r="L9225" t="n">
        <v>0</v>
      </c>
      <c r="M9225" t="n">
        <v>0</v>
      </c>
      <c r="N9225" t="n">
        <v>0</v>
      </c>
      <c r="O9225" t="n">
        <v>0</v>
      </c>
      <c r="P9225" t="n">
        <v>0</v>
      </c>
      <c r="Q9225" t="n">
        <v>0</v>
      </c>
      <c r="R9225" t="n">
        <v>0</v>
      </c>
      <c r="S9225" t="n">
        <v>0</v>
      </c>
      <c r="T9225" t="n">
        <v>0</v>
      </c>
      <c r="U9225" t="n">
        <v>0</v>
      </c>
      <c r="V9225" s="2" t="inlineStr"/>
    </row>
    <row r="9226" ht="15" customHeight="1">
      <c r="A9226" t="inlineStr">
        <is>
          <t>A 43258-2023</t>
        </is>
      </c>
      <c r="B9226" t="inlineStr">
        <is>
          <t>avverkningsanmälan</t>
        </is>
      </c>
      <c r="C9226" t="inlineStr">
        <is>
          <t>Föryngringsavverkning</t>
        </is>
      </c>
      <c r="D9226" s="1" t="n">
        <v>45183</v>
      </c>
      <c r="E9226" s="1" t="n">
        <v>46319</v>
      </c>
      <c r="F9226" t="inlineStr">
        <is>
          <t>DALARNAS LÄN</t>
        </is>
      </c>
      <c r="G9226" t="inlineStr">
        <is>
          <t>VANSBRO</t>
        </is>
      </c>
      <c r="H9226" t="inlineStr">
        <is>
          <t>Bergvik skog öst AB</t>
        </is>
      </c>
      <c r="I9226" t="n">
        <v>1.7</v>
      </c>
      <c r="J9226" t="n">
        <v>0</v>
      </c>
      <c r="K9226" t="n">
        <v>0</v>
      </c>
      <c r="L9226" t="n">
        <v>0</v>
      </c>
      <c r="M9226" t="n">
        <v>0</v>
      </c>
      <c r="N9226" t="n">
        <v>0</v>
      </c>
      <c r="O9226" t="n">
        <v>0</v>
      </c>
      <c r="P9226" t="n">
        <v>0</v>
      </c>
      <c r="Q9226" t="n">
        <v>0</v>
      </c>
      <c r="R9226" t="n">
        <v>0</v>
      </c>
      <c r="S9226" t="n">
        <v>0</v>
      </c>
      <c r="T9226" t="n">
        <v>0</v>
      </c>
      <c r="U9226" t="n">
        <v>0</v>
      </c>
      <c r="V9226" s="2" t="inlineStr"/>
    </row>
    <row r="9227" ht="15" customHeight="1">
      <c r="A9227" t="inlineStr">
        <is>
          <t>A 17510-2022</t>
        </is>
      </c>
      <c r="B9227" t="inlineStr">
        <is>
          <t>avverkningsanmälan</t>
        </is>
      </c>
      <c r="C9227" t="inlineStr">
        <is>
          <t>Föryngringsavverkning</t>
        </is>
      </c>
      <c r="D9227" s="1" t="n">
        <v>44679</v>
      </c>
      <c r="E9227" s="1" t="n">
        <v>46319</v>
      </c>
      <c r="F9227" t="inlineStr">
        <is>
          <t>DALARNAS LÄN</t>
        </is>
      </c>
      <c r="G9227" t="inlineStr">
        <is>
          <t>BORLÄNGE</t>
        </is>
      </c>
      <c r="H9227" t="inlineStr">
        <is>
          <t>Kommuner</t>
        </is>
      </c>
      <c r="I9227" t="n">
        <v>1.1</v>
      </c>
      <c r="J9227" t="n">
        <v>0</v>
      </c>
      <c r="K9227" t="n">
        <v>0</v>
      </c>
      <c r="L9227" t="n">
        <v>0</v>
      </c>
      <c r="M9227" t="n">
        <v>0</v>
      </c>
      <c r="N9227" t="n">
        <v>0</v>
      </c>
      <c r="O9227" t="n">
        <v>0</v>
      </c>
      <c r="P9227" t="n">
        <v>0</v>
      </c>
      <c r="Q9227" t="n">
        <v>0</v>
      </c>
      <c r="R9227" t="n">
        <v>0</v>
      </c>
      <c r="S9227" t="n">
        <v>0</v>
      </c>
      <c r="T9227" t="n">
        <v>0</v>
      </c>
      <c r="U9227" t="n">
        <v>0</v>
      </c>
      <c r="V9227" s="2" t="inlineStr"/>
    </row>
    <row r="9228" ht="15" customHeight="1">
      <c r="A9228" t="inlineStr">
        <is>
          <t>A 24640-2024</t>
        </is>
      </c>
      <c r="B9228" t="inlineStr">
        <is>
          <t>avverkningsanmälan</t>
        </is>
      </c>
      <c r="C9228" t="inlineStr">
        <is>
          <t>Föryngringsavverkning</t>
        </is>
      </c>
      <c r="D9228" s="1" t="n">
        <v>45460</v>
      </c>
      <c r="E9228" s="1" t="n">
        <v>46319</v>
      </c>
      <c r="F9228" t="inlineStr">
        <is>
          <t>DALARNAS LÄN</t>
        </is>
      </c>
      <c r="G9228" t="inlineStr">
        <is>
          <t>FALUN</t>
        </is>
      </c>
      <c r="I9228" t="n">
        <v>1.1</v>
      </c>
      <c r="J9228" t="n">
        <v>0</v>
      </c>
      <c r="K9228" t="n">
        <v>0</v>
      </c>
      <c r="L9228" t="n">
        <v>0</v>
      </c>
      <c r="M9228" t="n">
        <v>0</v>
      </c>
      <c r="N9228" t="n">
        <v>0</v>
      </c>
      <c r="O9228" t="n">
        <v>0</v>
      </c>
      <c r="P9228" t="n">
        <v>0</v>
      </c>
      <c r="Q9228" t="n">
        <v>0</v>
      </c>
      <c r="R9228" t="n">
        <v>0</v>
      </c>
      <c r="S9228" t="n">
        <v>0</v>
      </c>
      <c r="T9228" t="n">
        <v>0</v>
      </c>
      <c r="U9228" t="n">
        <v>0</v>
      </c>
      <c r="V9228" s="2" t="inlineStr"/>
    </row>
    <row r="9229" ht="15" customHeight="1">
      <c r="A9229" t="inlineStr">
        <is>
          <t>A 23747-2024</t>
        </is>
      </c>
      <c r="B9229" t="inlineStr">
        <is>
          <t>avverkningsanmälan</t>
        </is>
      </c>
      <c r="C9229" t="inlineStr">
        <is>
          <t>Föryngringsavverkning</t>
        </is>
      </c>
      <c r="D9229" s="1" t="n">
        <v>45455</v>
      </c>
      <c r="E9229" s="1" t="n">
        <v>46319</v>
      </c>
      <c r="F9229" t="inlineStr">
        <is>
          <t>DALARNAS LÄN</t>
        </is>
      </c>
      <c r="G9229" t="inlineStr">
        <is>
          <t>RÄTTVIK</t>
        </is>
      </c>
      <c r="H9229" t="inlineStr">
        <is>
          <t>Allmännings- och besparingsskogar</t>
        </is>
      </c>
      <c r="I9229" t="n">
        <v>0.8</v>
      </c>
      <c r="J9229" t="n">
        <v>0</v>
      </c>
      <c r="K9229" t="n">
        <v>0</v>
      </c>
      <c r="L9229" t="n">
        <v>0</v>
      </c>
      <c r="M9229" t="n">
        <v>0</v>
      </c>
      <c r="N9229" t="n">
        <v>0</v>
      </c>
      <c r="O9229" t="n">
        <v>0</v>
      </c>
      <c r="P9229" t="n">
        <v>0</v>
      </c>
      <c r="Q9229" t="n">
        <v>0</v>
      </c>
      <c r="R9229" t="n">
        <v>0</v>
      </c>
      <c r="S9229" t="n">
        <v>0</v>
      </c>
      <c r="T9229" t="n">
        <v>0</v>
      </c>
      <c r="U9229" t="n">
        <v>0</v>
      </c>
      <c r="V9229" s="2" t="inlineStr"/>
    </row>
    <row r="9230" ht="15" customHeight="1">
      <c r="A9230" t="inlineStr">
        <is>
          <t>A 17606-2024</t>
        </is>
      </c>
      <c r="B9230" t="inlineStr">
        <is>
          <t>avverkningsanmälan</t>
        </is>
      </c>
      <c r="C9230" t="inlineStr">
        <is>
          <t>Föryngringsavverkning</t>
        </is>
      </c>
      <c r="D9230" s="1" t="n">
        <v>45415</v>
      </c>
      <c r="E9230" s="1" t="n">
        <v>46319</v>
      </c>
      <c r="F9230" t="inlineStr">
        <is>
          <t>DALARNAS LÄN</t>
        </is>
      </c>
      <c r="G9230" t="inlineStr">
        <is>
          <t>LEKSAND</t>
        </is>
      </c>
      <c r="I9230" t="n">
        <v>0.6</v>
      </c>
      <c r="J9230" t="n">
        <v>0</v>
      </c>
      <c r="K9230" t="n">
        <v>0</v>
      </c>
      <c r="L9230" t="n">
        <v>0</v>
      </c>
      <c r="M9230" t="n">
        <v>0</v>
      </c>
      <c r="N9230" t="n">
        <v>0</v>
      </c>
      <c r="O9230" t="n">
        <v>0</v>
      </c>
      <c r="P9230" t="n">
        <v>0</v>
      </c>
      <c r="Q9230" t="n">
        <v>0</v>
      </c>
      <c r="R9230" t="n">
        <v>0</v>
      </c>
      <c r="S9230" t="n">
        <v>0</v>
      </c>
      <c r="T9230" t="n">
        <v>0</v>
      </c>
      <c r="U9230" t="n">
        <v>0</v>
      </c>
      <c r="V9230" s="2" t="inlineStr"/>
    </row>
    <row r="9231" ht="15" customHeight="1">
      <c r="A9231" t="inlineStr">
        <is>
          <t>A 5583-2025</t>
        </is>
      </c>
      <c r="B9231" t="inlineStr">
        <is>
          <t>avverkningsanmälan</t>
        </is>
      </c>
      <c r="C9231" t="inlineStr">
        <is>
          <t>Föryngringsavverkning</t>
        </is>
      </c>
      <c r="D9231" s="1" t="n">
        <v>45693</v>
      </c>
      <c r="E9231" s="1" t="n">
        <v>46319</v>
      </c>
      <c r="F9231" t="inlineStr">
        <is>
          <t>DALARNAS LÄN</t>
        </is>
      </c>
      <c r="G9231" t="inlineStr">
        <is>
          <t>ÄLVDALEN</t>
        </is>
      </c>
      <c r="I9231" t="n">
        <v>0.9</v>
      </c>
      <c r="J9231" t="n">
        <v>0</v>
      </c>
      <c r="K9231" t="n">
        <v>0</v>
      </c>
      <c r="L9231" t="n">
        <v>0</v>
      </c>
      <c r="M9231" t="n">
        <v>0</v>
      </c>
      <c r="N9231" t="n">
        <v>0</v>
      </c>
      <c r="O9231" t="n">
        <v>0</v>
      </c>
      <c r="P9231" t="n">
        <v>0</v>
      </c>
      <c r="Q9231" t="n">
        <v>0</v>
      </c>
      <c r="R9231" t="n">
        <v>0</v>
      </c>
      <c r="S9231" t="n">
        <v>0</v>
      </c>
      <c r="T9231" t="n">
        <v>0</v>
      </c>
      <c r="U9231" t="n">
        <v>0</v>
      </c>
      <c r="V9231" s="2" t="inlineStr"/>
    </row>
    <row r="9232" ht="15" customHeight="1">
      <c r="A9232" t="inlineStr">
        <is>
          <t>A 24009-2024</t>
        </is>
      </c>
      <c r="B9232" t="inlineStr">
        <is>
          <t>avverkningsanmälan</t>
        </is>
      </c>
      <c r="C9232" t="inlineStr">
        <is>
          <t>Föryngringsavverkning</t>
        </is>
      </c>
      <c r="D9232" s="1" t="n">
        <v>45456</v>
      </c>
      <c r="E9232" s="1" t="n">
        <v>46319</v>
      </c>
      <c r="F9232" t="inlineStr">
        <is>
          <t>DALARNAS LÄN</t>
        </is>
      </c>
      <c r="G9232" t="inlineStr">
        <is>
          <t>ÄLVDALEN</t>
        </is>
      </c>
      <c r="I9232" t="n">
        <v>1.1</v>
      </c>
      <c r="J9232" t="n">
        <v>0</v>
      </c>
      <c r="K9232" t="n">
        <v>0</v>
      </c>
      <c r="L9232" t="n">
        <v>0</v>
      </c>
      <c r="M9232" t="n">
        <v>0</v>
      </c>
      <c r="N9232" t="n">
        <v>0</v>
      </c>
      <c r="O9232" t="n">
        <v>0</v>
      </c>
      <c r="P9232" t="n">
        <v>0</v>
      </c>
      <c r="Q9232" t="n">
        <v>0</v>
      </c>
      <c r="R9232" t="n">
        <v>0</v>
      </c>
      <c r="S9232" t="n">
        <v>0</v>
      </c>
      <c r="T9232" t="n">
        <v>0</v>
      </c>
      <c r="U9232" t="n">
        <v>0</v>
      </c>
      <c r="V9232" s="2" t="inlineStr"/>
    </row>
    <row r="9233" ht="15" customHeight="1">
      <c r="A9233" t="inlineStr">
        <is>
          <t>A 35381-2024</t>
        </is>
      </c>
      <c r="B9233" t="inlineStr">
        <is>
          <t>avverkningsanmälan</t>
        </is>
      </c>
      <c r="C9233" t="inlineStr">
        <is>
          <t>Föryngringsavverkning</t>
        </is>
      </c>
      <c r="D9233" s="1" t="n">
        <v>45531</v>
      </c>
      <c r="E9233" s="1" t="n">
        <v>46319</v>
      </c>
      <c r="F9233" t="inlineStr">
        <is>
          <t>DALARNAS LÄN</t>
        </is>
      </c>
      <c r="G9233" t="inlineStr">
        <is>
          <t>MORA</t>
        </is>
      </c>
      <c r="I9233" t="n">
        <v>3.7</v>
      </c>
      <c r="J9233" t="n">
        <v>0</v>
      </c>
      <c r="K9233" t="n">
        <v>0</v>
      </c>
      <c r="L9233" t="n">
        <v>0</v>
      </c>
      <c r="M9233" t="n">
        <v>0</v>
      </c>
      <c r="N9233" t="n">
        <v>0</v>
      </c>
      <c r="O9233" t="n">
        <v>0</v>
      </c>
      <c r="P9233" t="n">
        <v>0</v>
      </c>
      <c r="Q9233" t="n">
        <v>0</v>
      </c>
      <c r="R9233" t="n">
        <v>0</v>
      </c>
      <c r="S9233" t="n">
        <v>0</v>
      </c>
      <c r="T9233" t="n">
        <v>0</v>
      </c>
      <c r="U9233" t="n">
        <v>0</v>
      </c>
      <c r="V9233" s="2" t="inlineStr"/>
    </row>
    <row r="9234" ht="15" customHeight="1">
      <c r="A9234" t="inlineStr">
        <is>
          <t>A 29468-2022</t>
        </is>
      </c>
      <c r="B9234" t="inlineStr">
        <is>
          <t>avverkningsanmälan</t>
        </is>
      </c>
      <c r="C9234" t="inlineStr">
        <is>
          <t>Föryngringsavverkning</t>
        </is>
      </c>
      <c r="D9234" s="1" t="n">
        <v>44753</v>
      </c>
      <c r="E9234" s="1" t="n">
        <v>46319</v>
      </c>
      <c r="F9234" t="inlineStr">
        <is>
          <t>DALARNAS LÄN</t>
        </is>
      </c>
      <c r="G9234" t="inlineStr">
        <is>
          <t>AVESTA</t>
        </is>
      </c>
      <c r="I9234" t="n">
        <v>1</v>
      </c>
      <c r="J9234" t="n">
        <v>0</v>
      </c>
      <c r="K9234" t="n">
        <v>0</v>
      </c>
      <c r="L9234" t="n">
        <v>0</v>
      </c>
      <c r="M9234" t="n">
        <v>0</v>
      </c>
      <c r="N9234" t="n">
        <v>0</v>
      </c>
      <c r="O9234" t="n">
        <v>0</v>
      </c>
      <c r="P9234" t="n">
        <v>0</v>
      </c>
      <c r="Q9234" t="n">
        <v>0</v>
      </c>
      <c r="R9234" t="n">
        <v>0</v>
      </c>
      <c r="S9234" t="n">
        <v>0</v>
      </c>
      <c r="T9234" t="n">
        <v>0</v>
      </c>
      <c r="U9234" t="n">
        <v>0</v>
      </c>
      <c r="V9234" s="2" t="inlineStr"/>
    </row>
    <row r="9235" ht="15" customHeight="1">
      <c r="A9235" t="inlineStr">
        <is>
          <t>A 42530-2023</t>
        </is>
      </c>
      <c r="B9235" t="inlineStr">
        <is>
          <t>avverkningsanmälan</t>
        </is>
      </c>
      <c r="C9235" t="inlineStr">
        <is>
          <t>Föryngringsavverkning</t>
        </is>
      </c>
      <c r="D9235" s="1" t="n">
        <v>45176</v>
      </c>
      <c r="E9235" s="1" t="n">
        <v>46319</v>
      </c>
      <c r="F9235" t="inlineStr">
        <is>
          <t>DALARNAS LÄN</t>
        </is>
      </c>
      <c r="G9235" t="inlineStr">
        <is>
          <t>RÄTTVIK</t>
        </is>
      </c>
      <c r="I9235" t="n">
        <v>9</v>
      </c>
      <c r="J9235" t="n">
        <v>0</v>
      </c>
      <c r="K9235" t="n">
        <v>0</v>
      </c>
      <c r="L9235" t="n">
        <v>0</v>
      </c>
      <c r="M9235" t="n">
        <v>0</v>
      </c>
      <c r="N9235" t="n">
        <v>0</v>
      </c>
      <c r="O9235" t="n">
        <v>0</v>
      </c>
      <c r="P9235" t="n">
        <v>0</v>
      </c>
      <c r="Q9235" t="n">
        <v>0</v>
      </c>
      <c r="R9235" t="n">
        <v>0</v>
      </c>
      <c r="S9235" t="n">
        <v>0</v>
      </c>
      <c r="T9235" t="n">
        <v>0</v>
      </c>
      <c r="U9235" t="n">
        <v>0</v>
      </c>
      <c r="V9235" s="2" t="inlineStr"/>
    </row>
    <row r="9236" ht="15" customHeight="1">
      <c r="A9236" t="inlineStr">
        <is>
          <t>A 27495-2022</t>
        </is>
      </c>
      <c r="B9236" t="inlineStr">
        <is>
          <t>avverkningsanmälan</t>
        </is>
      </c>
      <c r="C9236" t="inlineStr">
        <is>
          <t>Föryngringsavverkning</t>
        </is>
      </c>
      <c r="D9236" s="1" t="n">
        <v>44742</v>
      </c>
      <c r="E9236" s="1" t="n">
        <v>46319</v>
      </c>
      <c r="F9236" t="inlineStr">
        <is>
          <t>DALARNAS LÄN</t>
        </is>
      </c>
      <c r="G9236" t="inlineStr">
        <is>
          <t>FALUN</t>
        </is>
      </c>
      <c r="H9236" t="inlineStr">
        <is>
          <t>Kyrkan</t>
        </is>
      </c>
      <c r="I9236" t="n">
        <v>1.7</v>
      </c>
      <c r="J9236" t="n">
        <v>0</v>
      </c>
      <c r="K9236" t="n">
        <v>0</v>
      </c>
      <c r="L9236" t="n">
        <v>0</v>
      </c>
      <c r="M9236" t="n">
        <v>0</v>
      </c>
      <c r="N9236" t="n">
        <v>0</v>
      </c>
      <c r="O9236" t="n">
        <v>0</v>
      </c>
      <c r="P9236" t="n">
        <v>0</v>
      </c>
      <c r="Q9236" t="n">
        <v>0</v>
      </c>
      <c r="R9236" t="n">
        <v>0</v>
      </c>
      <c r="S9236" t="n">
        <v>0</v>
      </c>
      <c r="T9236" t="n">
        <v>0</v>
      </c>
      <c r="U9236" t="n">
        <v>0</v>
      </c>
      <c r="V9236" s="2" t="inlineStr"/>
    </row>
    <row r="9237" ht="15" customHeight="1">
      <c r="A9237" t="inlineStr">
        <is>
          <t>A 45197-2023</t>
        </is>
      </c>
      <c r="B9237" t="inlineStr">
        <is>
          <t>avverkningsanmälan</t>
        </is>
      </c>
      <c r="C9237" t="inlineStr">
        <is>
          <t>Föryngringsavverkning</t>
        </is>
      </c>
      <c r="D9237" s="1" t="n">
        <v>45191</v>
      </c>
      <c r="E9237" s="1" t="n">
        <v>46319</v>
      </c>
      <c r="F9237" t="inlineStr">
        <is>
          <t>DALARNAS LÄN</t>
        </is>
      </c>
      <c r="G9237" t="inlineStr">
        <is>
          <t>MALUNG-SÄLEN</t>
        </is>
      </c>
      <c r="I9237" t="n">
        <v>1.6</v>
      </c>
      <c r="J9237" t="n">
        <v>0</v>
      </c>
      <c r="K9237" t="n">
        <v>0</v>
      </c>
      <c r="L9237" t="n">
        <v>0</v>
      </c>
      <c r="M9237" t="n">
        <v>0</v>
      </c>
      <c r="N9237" t="n">
        <v>0</v>
      </c>
      <c r="O9237" t="n">
        <v>0</v>
      </c>
      <c r="P9237" t="n">
        <v>0</v>
      </c>
      <c r="Q9237" t="n">
        <v>0</v>
      </c>
      <c r="R9237" t="n">
        <v>0</v>
      </c>
      <c r="S9237" t="n">
        <v>0</v>
      </c>
      <c r="T9237" t="n">
        <v>0</v>
      </c>
      <c r="U9237" t="n">
        <v>0</v>
      </c>
      <c r="V9237" s="2" t="inlineStr"/>
    </row>
    <row r="9238" ht="15" customHeight="1">
      <c r="A9238" t="inlineStr">
        <is>
          <t>A 15817-2024</t>
        </is>
      </c>
      <c r="B9238" t="inlineStr">
        <is>
          <t>avverkningsanmälan</t>
        </is>
      </c>
      <c r="C9238" t="inlineStr">
        <is>
          <t>Föryngringsavverkning</t>
        </is>
      </c>
      <c r="D9238" s="1" t="n">
        <v>45404</v>
      </c>
      <c r="E9238" s="1" t="n">
        <v>46319</v>
      </c>
      <c r="F9238" t="inlineStr">
        <is>
          <t>DALARNAS LÄN</t>
        </is>
      </c>
      <c r="G9238" t="inlineStr">
        <is>
          <t>MORA</t>
        </is>
      </c>
      <c r="I9238" t="n">
        <v>8.300000000000001</v>
      </c>
      <c r="J9238" t="n">
        <v>0</v>
      </c>
      <c r="K9238" t="n">
        <v>0</v>
      </c>
      <c r="L9238" t="n">
        <v>0</v>
      </c>
      <c r="M9238" t="n">
        <v>0</v>
      </c>
      <c r="N9238" t="n">
        <v>0</v>
      </c>
      <c r="O9238" t="n">
        <v>0</v>
      </c>
      <c r="P9238" t="n">
        <v>0</v>
      </c>
      <c r="Q9238" t="n">
        <v>0</v>
      </c>
      <c r="R9238" t="n">
        <v>0</v>
      </c>
      <c r="S9238" t="n">
        <v>0</v>
      </c>
      <c r="T9238" t="n">
        <v>0</v>
      </c>
      <c r="U9238" t="n">
        <v>0</v>
      </c>
      <c r="V9238" s="2" t="inlineStr"/>
    </row>
    <row r="9239" ht="15" customHeight="1">
      <c r="A9239" t="inlineStr">
        <is>
          <t>A 61054-2023</t>
        </is>
      </c>
      <c r="B9239" t="inlineStr">
        <is>
          <t>avverkningsanmälan</t>
        </is>
      </c>
      <c r="C9239" t="inlineStr">
        <is>
          <t>Föryngringsavverkning</t>
        </is>
      </c>
      <c r="D9239" s="1" t="n">
        <v>45261</v>
      </c>
      <c r="E9239" s="1" t="n">
        <v>46319</v>
      </c>
      <c r="F9239" t="inlineStr">
        <is>
          <t>DALARNAS LÄN</t>
        </is>
      </c>
      <c r="G9239" t="inlineStr">
        <is>
          <t>LEKSAND</t>
        </is>
      </c>
      <c r="I9239" t="n">
        <v>0.4</v>
      </c>
      <c r="J9239" t="n">
        <v>0</v>
      </c>
      <c r="K9239" t="n">
        <v>0</v>
      </c>
      <c r="L9239" t="n">
        <v>0</v>
      </c>
      <c r="M9239" t="n">
        <v>0</v>
      </c>
      <c r="N9239" t="n">
        <v>0</v>
      </c>
      <c r="O9239" t="n">
        <v>0</v>
      </c>
      <c r="P9239" t="n">
        <v>0</v>
      </c>
      <c r="Q9239" t="n">
        <v>0</v>
      </c>
      <c r="R9239" t="n">
        <v>0</v>
      </c>
      <c r="S9239" t="n">
        <v>0</v>
      </c>
      <c r="T9239" t="n">
        <v>0</v>
      </c>
      <c r="U9239" t="n">
        <v>0</v>
      </c>
      <c r="V9239" s="2" t="inlineStr"/>
    </row>
    <row r="9240" ht="15" customHeight="1">
      <c r="A9240" t="inlineStr">
        <is>
          <t>A 61056-2023</t>
        </is>
      </c>
      <c r="B9240" t="inlineStr">
        <is>
          <t>avverkningsanmälan</t>
        </is>
      </c>
      <c r="C9240" t="inlineStr">
        <is>
          <t>Föryngringsavverkning</t>
        </is>
      </c>
      <c r="D9240" s="1" t="n">
        <v>45261</v>
      </c>
      <c r="E9240" s="1" t="n">
        <v>46319</v>
      </c>
      <c r="F9240" t="inlineStr">
        <is>
          <t>DALARNAS LÄN</t>
        </is>
      </c>
      <c r="G9240" t="inlineStr">
        <is>
          <t>LEKSAND</t>
        </is>
      </c>
      <c r="I9240" t="n">
        <v>0.3</v>
      </c>
      <c r="J9240" t="n">
        <v>0</v>
      </c>
      <c r="K9240" t="n">
        <v>0</v>
      </c>
      <c r="L9240" t="n">
        <v>0</v>
      </c>
      <c r="M9240" t="n">
        <v>0</v>
      </c>
      <c r="N9240" t="n">
        <v>0</v>
      </c>
      <c r="O9240" t="n">
        <v>0</v>
      </c>
      <c r="P9240" t="n">
        <v>0</v>
      </c>
      <c r="Q9240" t="n">
        <v>0</v>
      </c>
      <c r="R9240" t="n">
        <v>0</v>
      </c>
      <c r="S9240" t="n">
        <v>0</v>
      </c>
      <c r="T9240" t="n">
        <v>0</v>
      </c>
      <c r="U9240" t="n">
        <v>0</v>
      </c>
      <c r="V9240" s="2" t="inlineStr"/>
    </row>
    <row r="9241" ht="15" customHeight="1">
      <c r="A9241" t="inlineStr">
        <is>
          <t>A 37392-2023</t>
        </is>
      </c>
      <c r="B9241" t="inlineStr">
        <is>
          <t>avverkningsanmälan</t>
        </is>
      </c>
      <c r="C9241" t="inlineStr">
        <is>
          <t>Föryngringsavverkning</t>
        </is>
      </c>
      <c r="D9241" s="1" t="n">
        <v>45156</v>
      </c>
      <c r="E9241" s="1" t="n">
        <v>46319</v>
      </c>
      <c r="F9241" t="inlineStr">
        <is>
          <t>DALARNAS LÄN</t>
        </is>
      </c>
      <c r="G9241" t="inlineStr">
        <is>
          <t>LUDVIKA</t>
        </is>
      </c>
      <c r="I9241" t="n">
        <v>0.5</v>
      </c>
      <c r="J9241" t="n">
        <v>0</v>
      </c>
      <c r="K9241" t="n">
        <v>0</v>
      </c>
      <c r="L9241" t="n">
        <v>0</v>
      </c>
      <c r="M9241" t="n">
        <v>0</v>
      </c>
      <c r="N9241" t="n">
        <v>0</v>
      </c>
      <c r="O9241" t="n">
        <v>0</v>
      </c>
      <c r="P9241" t="n">
        <v>0</v>
      </c>
      <c r="Q9241" t="n">
        <v>0</v>
      </c>
      <c r="R9241" t="n">
        <v>0</v>
      </c>
      <c r="S9241" t="n">
        <v>0</v>
      </c>
      <c r="T9241" t="n">
        <v>0</v>
      </c>
      <c r="U9241" t="n">
        <v>0</v>
      </c>
      <c r="V9241" s="2" t="inlineStr"/>
    </row>
    <row r="9242" ht="15" customHeight="1">
      <c r="A9242" t="inlineStr">
        <is>
          <t>A 4414-2025</t>
        </is>
      </c>
      <c r="B9242" t="inlineStr">
        <is>
          <t>avverkningsanmälan</t>
        </is>
      </c>
      <c r="C9242" t="inlineStr">
        <is>
          <t>Föryngringsavverkning</t>
        </is>
      </c>
      <c r="D9242" s="1" t="n">
        <v>45686</v>
      </c>
      <c r="E9242" s="1" t="n">
        <v>46319</v>
      </c>
      <c r="F9242" t="inlineStr">
        <is>
          <t>DALARNAS LÄN</t>
        </is>
      </c>
      <c r="G9242" t="inlineStr">
        <is>
          <t>RÄTTVIK</t>
        </is>
      </c>
      <c r="I9242" t="n">
        <v>1.7</v>
      </c>
      <c r="J9242" t="n">
        <v>0</v>
      </c>
      <c r="K9242" t="n">
        <v>0</v>
      </c>
      <c r="L9242" t="n">
        <v>0</v>
      </c>
      <c r="M9242" t="n">
        <v>0</v>
      </c>
      <c r="N9242" t="n">
        <v>0</v>
      </c>
      <c r="O9242" t="n">
        <v>0</v>
      </c>
      <c r="P9242" t="n">
        <v>0</v>
      </c>
      <c r="Q9242" t="n">
        <v>0</v>
      </c>
      <c r="R9242" t="n">
        <v>0</v>
      </c>
      <c r="S9242" t="n">
        <v>0</v>
      </c>
      <c r="T9242" t="n">
        <v>0</v>
      </c>
      <c r="U9242" t="n">
        <v>0</v>
      </c>
      <c r="V9242" s="2" t="inlineStr"/>
    </row>
    <row r="9243" ht="15" customHeight="1">
      <c r="A9243" t="inlineStr">
        <is>
          <t>A 59345-2023</t>
        </is>
      </c>
      <c r="B9243" t="inlineStr">
        <is>
          <t>avverkningsanmälan</t>
        </is>
      </c>
      <c r="C9243" t="inlineStr">
        <is>
          <t>Föryngringsavverkning</t>
        </is>
      </c>
      <c r="D9243" s="1" t="n">
        <v>45253</v>
      </c>
      <c r="E9243" s="1" t="n">
        <v>46319</v>
      </c>
      <c r="F9243" t="inlineStr">
        <is>
          <t>DALARNAS LÄN</t>
        </is>
      </c>
      <c r="G9243" t="inlineStr">
        <is>
          <t>RÄTTVIK</t>
        </is>
      </c>
      <c r="I9243" t="n">
        <v>0.6</v>
      </c>
      <c r="J9243" t="n">
        <v>0</v>
      </c>
      <c r="K9243" t="n">
        <v>0</v>
      </c>
      <c r="L9243" t="n">
        <v>0</v>
      </c>
      <c r="M9243" t="n">
        <v>0</v>
      </c>
      <c r="N9243" t="n">
        <v>0</v>
      </c>
      <c r="O9243" t="n">
        <v>0</v>
      </c>
      <c r="P9243" t="n">
        <v>0</v>
      </c>
      <c r="Q9243" t="n">
        <v>0</v>
      </c>
      <c r="R9243" t="n">
        <v>0</v>
      </c>
      <c r="S9243" t="n">
        <v>0</v>
      </c>
      <c r="T9243" t="n">
        <v>0</v>
      </c>
      <c r="U9243" t="n">
        <v>0</v>
      </c>
      <c r="V9243" s="2" t="inlineStr"/>
    </row>
    <row r="9244" ht="15" customHeight="1">
      <c r="A9244" t="inlineStr">
        <is>
          <t>A 46754-2023</t>
        </is>
      </c>
      <c r="B9244" t="inlineStr">
        <is>
          <t>avverkningsanmälan</t>
        </is>
      </c>
      <c r="C9244" t="inlineStr">
        <is>
          <t>Avverkning för annat ändamål</t>
        </is>
      </c>
      <c r="D9244" s="1" t="n">
        <v>45198</v>
      </c>
      <c r="E9244" s="1" t="n">
        <v>46319</v>
      </c>
      <c r="F9244" t="inlineStr">
        <is>
          <t>DALARNAS LÄN</t>
        </is>
      </c>
      <c r="G9244" t="inlineStr">
        <is>
          <t>SMEDJEBACKEN</t>
        </is>
      </c>
      <c r="H9244" t="inlineStr">
        <is>
          <t>Sveaskog</t>
        </is>
      </c>
      <c r="I9244" t="n">
        <v>0.4</v>
      </c>
      <c r="J9244" t="n">
        <v>0</v>
      </c>
      <c r="K9244" t="n">
        <v>0</v>
      </c>
      <c r="L9244" t="n">
        <v>0</v>
      </c>
      <c r="M9244" t="n">
        <v>0</v>
      </c>
      <c r="N9244" t="n">
        <v>0</v>
      </c>
      <c r="O9244" t="n">
        <v>0</v>
      </c>
      <c r="P9244" t="n">
        <v>0</v>
      </c>
      <c r="Q9244" t="n">
        <v>0</v>
      </c>
      <c r="R9244" t="n">
        <v>0</v>
      </c>
      <c r="S9244" t="n">
        <v>0</v>
      </c>
      <c r="T9244" t="n">
        <v>0</v>
      </c>
      <c r="U9244" t="n">
        <v>0</v>
      </c>
      <c r="V9244" s="2" t="inlineStr"/>
    </row>
    <row r="9245" ht="15" customHeight="1">
      <c r="A9245" t="inlineStr">
        <is>
          <t>A 46755-2023</t>
        </is>
      </c>
      <c r="B9245" t="inlineStr">
        <is>
          <t>avverkningsanmälan</t>
        </is>
      </c>
      <c r="C9245" t="inlineStr">
        <is>
          <t>Föryngringsavverkning</t>
        </is>
      </c>
      <c r="D9245" s="1" t="n">
        <v>45198</v>
      </c>
      <c r="E9245" s="1" t="n">
        <v>46319</v>
      </c>
      <c r="F9245" t="inlineStr">
        <is>
          <t>DALARNAS LÄN</t>
        </is>
      </c>
      <c r="G9245" t="inlineStr">
        <is>
          <t>MORA</t>
        </is>
      </c>
      <c r="I9245" t="n">
        <v>0.6</v>
      </c>
      <c r="J9245" t="n">
        <v>0</v>
      </c>
      <c r="K9245" t="n">
        <v>0</v>
      </c>
      <c r="L9245" t="n">
        <v>0</v>
      </c>
      <c r="M9245" t="n">
        <v>0</v>
      </c>
      <c r="N9245" t="n">
        <v>0</v>
      </c>
      <c r="O9245" t="n">
        <v>0</v>
      </c>
      <c r="P9245" t="n">
        <v>0</v>
      </c>
      <c r="Q9245" t="n">
        <v>0</v>
      </c>
      <c r="R9245" t="n">
        <v>0</v>
      </c>
      <c r="S9245" t="n">
        <v>0</v>
      </c>
      <c r="T9245" t="n">
        <v>0</v>
      </c>
      <c r="U9245" t="n">
        <v>0</v>
      </c>
      <c r="V9245" s="2" t="inlineStr"/>
    </row>
    <row r="9246" ht="15" customHeight="1">
      <c r="A9246" t="inlineStr">
        <is>
          <t>A 41946-2023</t>
        </is>
      </c>
      <c r="B9246" t="inlineStr">
        <is>
          <t>avverkningsanmälan</t>
        </is>
      </c>
      <c r="C9246" t="inlineStr">
        <is>
          <t>Föryngringsavverkning</t>
        </is>
      </c>
      <c r="D9246" s="1" t="n">
        <v>45177</v>
      </c>
      <c r="E9246" s="1" t="n">
        <v>46319</v>
      </c>
      <c r="F9246" t="inlineStr">
        <is>
          <t>DALARNAS LÄN</t>
        </is>
      </c>
      <c r="G9246" t="inlineStr">
        <is>
          <t>MALUNG-SÄLEN</t>
        </is>
      </c>
      <c r="I9246" t="n">
        <v>1.5</v>
      </c>
      <c r="J9246" t="n">
        <v>0</v>
      </c>
      <c r="K9246" t="n">
        <v>0</v>
      </c>
      <c r="L9246" t="n">
        <v>0</v>
      </c>
      <c r="M9246" t="n">
        <v>0</v>
      </c>
      <c r="N9246" t="n">
        <v>0</v>
      </c>
      <c r="O9246" t="n">
        <v>0</v>
      </c>
      <c r="P9246" t="n">
        <v>0</v>
      </c>
      <c r="Q9246" t="n">
        <v>0</v>
      </c>
      <c r="R9246" t="n">
        <v>0</v>
      </c>
      <c r="S9246" t="n">
        <v>0</v>
      </c>
      <c r="T9246" t="n">
        <v>0</v>
      </c>
      <c r="U9246" t="n">
        <v>0</v>
      </c>
      <c r="V9246" s="2" t="inlineStr"/>
    </row>
    <row r="9247" ht="15" customHeight="1">
      <c r="A9247" t="inlineStr">
        <is>
          <t>A 53820-2023</t>
        </is>
      </c>
      <c r="B9247" t="inlineStr">
        <is>
          <t>avverkningsanmälan</t>
        </is>
      </c>
      <c r="C9247" t="inlineStr">
        <is>
          <t>Föryngringsavverkning</t>
        </is>
      </c>
      <c r="D9247" s="1" t="n">
        <v>45231</v>
      </c>
      <c r="E9247" s="1" t="n">
        <v>46319</v>
      </c>
      <c r="F9247" t="inlineStr">
        <is>
          <t>DALARNAS LÄN</t>
        </is>
      </c>
      <c r="G9247" t="inlineStr">
        <is>
          <t>AVESTA</t>
        </is>
      </c>
      <c r="I9247" t="n">
        <v>1.2</v>
      </c>
      <c r="J9247" t="n">
        <v>0</v>
      </c>
      <c r="K9247" t="n">
        <v>0</v>
      </c>
      <c r="L9247" t="n">
        <v>0</v>
      </c>
      <c r="M9247" t="n">
        <v>0</v>
      </c>
      <c r="N9247" t="n">
        <v>0</v>
      </c>
      <c r="O9247" t="n">
        <v>0</v>
      </c>
      <c r="P9247" t="n">
        <v>0</v>
      </c>
      <c r="Q9247" t="n">
        <v>0</v>
      </c>
      <c r="R9247" t="n">
        <v>0</v>
      </c>
      <c r="S9247" t="n">
        <v>0</v>
      </c>
      <c r="T9247" t="n">
        <v>0</v>
      </c>
      <c r="U9247" t="n">
        <v>0</v>
      </c>
      <c r="V9247" s="2" t="inlineStr"/>
    </row>
    <row r="9248" ht="15" customHeight="1">
      <c r="A9248" t="inlineStr">
        <is>
          <t>A 17222-2025</t>
        </is>
      </c>
      <c r="B9248" t="inlineStr">
        <is>
          <t>avverkningsanmälan</t>
        </is>
      </c>
      <c r="C9248" t="inlineStr">
        <is>
          <t>Föryngringsavverkning</t>
        </is>
      </c>
      <c r="D9248" s="1" t="n">
        <v>45756</v>
      </c>
      <c r="E9248" s="1" t="n">
        <v>46319</v>
      </c>
      <c r="F9248" t="inlineStr">
        <is>
          <t>DALARNAS LÄN</t>
        </is>
      </c>
      <c r="G9248" t="inlineStr">
        <is>
          <t>HEDEMORA</t>
        </is>
      </c>
      <c r="I9248" t="n">
        <v>0.5</v>
      </c>
      <c r="J9248" t="n">
        <v>0</v>
      </c>
      <c r="K9248" t="n">
        <v>0</v>
      </c>
      <c r="L9248" t="n">
        <v>0</v>
      </c>
      <c r="M9248" t="n">
        <v>0</v>
      </c>
      <c r="N9248" t="n">
        <v>0</v>
      </c>
      <c r="O9248" t="n">
        <v>0</v>
      </c>
      <c r="P9248" t="n">
        <v>0</v>
      </c>
      <c r="Q9248" t="n">
        <v>0</v>
      </c>
      <c r="R9248" t="n">
        <v>0</v>
      </c>
      <c r="S9248" t="n">
        <v>0</v>
      </c>
      <c r="T9248" t="n">
        <v>0</v>
      </c>
      <c r="U9248" t="n">
        <v>0</v>
      </c>
      <c r="V9248" s="2" t="inlineStr"/>
    </row>
    <row r="9249" ht="15" customHeight="1">
      <c r="A9249" t="inlineStr">
        <is>
          <t>A 18888-2022</t>
        </is>
      </c>
      <c r="B9249" t="inlineStr">
        <is>
          <t>avverkningsanmälan</t>
        </is>
      </c>
      <c r="C9249" t="inlineStr">
        <is>
          <t>Föryngringsavverkning</t>
        </is>
      </c>
      <c r="D9249" s="1" t="n">
        <v>44690</v>
      </c>
      <c r="E9249" s="1" t="n">
        <v>46319</v>
      </c>
      <c r="F9249" t="inlineStr">
        <is>
          <t>DALARNAS LÄN</t>
        </is>
      </c>
      <c r="G9249" t="inlineStr">
        <is>
          <t>SÄTER</t>
        </is>
      </c>
      <c r="I9249" t="n">
        <v>1.1</v>
      </c>
      <c r="J9249" t="n">
        <v>0</v>
      </c>
      <c r="K9249" t="n">
        <v>0</v>
      </c>
      <c r="L9249" t="n">
        <v>0</v>
      </c>
      <c r="M9249" t="n">
        <v>0</v>
      </c>
      <c r="N9249" t="n">
        <v>0</v>
      </c>
      <c r="O9249" t="n">
        <v>0</v>
      </c>
      <c r="P9249" t="n">
        <v>0</v>
      </c>
      <c r="Q9249" t="n">
        <v>0</v>
      </c>
      <c r="R9249" t="n">
        <v>0</v>
      </c>
      <c r="S9249" t="n">
        <v>0</v>
      </c>
      <c r="T9249" t="n">
        <v>0</v>
      </c>
      <c r="U9249" t="n">
        <v>0</v>
      </c>
      <c r="V9249" s="2" t="inlineStr"/>
    </row>
    <row r="9250" ht="15" customHeight="1">
      <c r="A9250" t="inlineStr">
        <is>
          <t>A 51208-2023</t>
        </is>
      </c>
      <c r="B9250" t="inlineStr">
        <is>
          <t>avverkningsanmälan</t>
        </is>
      </c>
      <c r="C9250" t="inlineStr">
        <is>
          <t>Föryngringsavverkning</t>
        </is>
      </c>
      <c r="D9250" s="1" t="n">
        <v>45219</v>
      </c>
      <c r="E9250" s="1" t="n">
        <v>46319</v>
      </c>
      <c r="F9250" t="inlineStr">
        <is>
          <t>DALARNAS LÄN</t>
        </is>
      </c>
      <c r="G9250" t="inlineStr">
        <is>
          <t>LUDVIKA</t>
        </is>
      </c>
      <c r="H9250" t="inlineStr">
        <is>
          <t>Bergvik skog väst AB</t>
        </is>
      </c>
      <c r="I9250" t="n">
        <v>1.1</v>
      </c>
      <c r="J9250" t="n">
        <v>0</v>
      </c>
      <c r="K9250" t="n">
        <v>0</v>
      </c>
      <c r="L9250" t="n">
        <v>0</v>
      </c>
      <c r="M9250" t="n">
        <v>0</v>
      </c>
      <c r="N9250" t="n">
        <v>0</v>
      </c>
      <c r="O9250" t="n">
        <v>0</v>
      </c>
      <c r="P9250" t="n">
        <v>0</v>
      </c>
      <c r="Q9250" t="n">
        <v>0</v>
      </c>
      <c r="R9250" t="n">
        <v>0</v>
      </c>
      <c r="S9250" t="n">
        <v>0</v>
      </c>
      <c r="T9250" t="n">
        <v>0</v>
      </c>
      <c r="U9250" t="n">
        <v>0</v>
      </c>
      <c r="V9250" s="2" t="inlineStr"/>
    </row>
    <row r="9251" ht="15" customHeight="1">
      <c r="A9251" t="inlineStr">
        <is>
          <t>A 59206-2023</t>
        </is>
      </c>
      <c r="B9251" t="inlineStr">
        <is>
          <t>avverkningsanmälan</t>
        </is>
      </c>
      <c r="C9251" t="inlineStr">
        <is>
          <t>Föryngringsavverkning</t>
        </is>
      </c>
      <c r="D9251" s="1" t="n">
        <v>45253</v>
      </c>
      <c r="E9251" s="1" t="n">
        <v>46319</v>
      </c>
      <c r="F9251" t="inlineStr">
        <is>
          <t>DALARNAS LÄN</t>
        </is>
      </c>
      <c r="G9251" t="inlineStr">
        <is>
          <t>LUDVIKA</t>
        </is>
      </c>
      <c r="H9251" t="inlineStr">
        <is>
          <t>Bergvik skog väst AB</t>
        </is>
      </c>
      <c r="I9251" t="n">
        <v>2.2</v>
      </c>
      <c r="J9251" t="n">
        <v>0</v>
      </c>
      <c r="K9251" t="n">
        <v>0</v>
      </c>
      <c r="L9251" t="n">
        <v>0</v>
      </c>
      <c r="M9251" t="n">
        <v>0</v>
      </c>
      <c r="N9251" t="n">
        <v>0</v>
      </c>
      <c r="O9251" t="n">
        <v>0</v>
      </c>
      <c r="P9251" t="n">
        <v>0</v>
      </c>
      <c r="Q9251" t="n">
        <v>0</v>
      </c>
      <c r="R9251" t="n">
        <v>0</v>
      </c>
      <c r="S9251" t="n">
        <v>0</v>
      </c>
      <c r="T9251" t="n">
        <v>0</v>
      </c>
      <c r="U9251" t="n">
        <v>0</v>
      </c>
      <c r="V9251" s="2" t="inlineStr"/>
    </row>
    <row r="9252" ht="15" customHeight="1">
      <c r="A9252" t="inlineStr">
        <is>
          <t>A 59232-2023</t>
        </is>
      </c>
      <c r="B9252" t="inlineStr">
        <is>
          <t>avverkningsanmälan</t>
        </is>
      </c>
      <c r="C9252" t="inlineStr">
        <is>
          <t>Föryngringsavverkning</t>
        </is>
      </c>
      <c r="D9252" s="1" t="n">
        <v>45253</v>
      </c>
      <c r="E9252" s="1" t="n">
        <v>46319</v>
      </c>
      <c r="F9252" t="inlineStr">
        <is>
          <t>DALARNAS LÄN</t>
        </is>
      </c>
      <c r="G9252" t="inlineStr">
        <is>
          <t>HEDEMORA</t>
        </is>
      </c>
      <c r="I9252" t="n">
        <v>3.7</v>
      </c>
      <c r="J9252" t="n">
        <v>0</v>
      </c>
      <c r="K9252" t="n">
        <v>0</v>
      </c>
      <c r="L9252" t="n">
        <v>0</v>
      </c>
      <c r="M9252" t="n">
        <v>0</v>
      </c>
      <c r="N9252" t="n">
        <v>0</v>
      </c>
      <c r="O9252" t="n">
        <v>0</v>
      </c>
      <c r="P9252" t="n">
        <v>0</v>
      </c>
      <c r="Q9252" t="n">
        <v>0</v>
      </c>
      <c r="R9252" t="n">
        <v>0</v>
      </c>
      <c r="S9252" t="n">
        <v>0</v>
      </c>
      <c r="T9252" t="n">
        <v>0</v>
      </c>
      <c r="U9252" t="n">
        <v>0</v>
      </c>
      <c r="V9252" s="2" t="inlineStr"/>
    </row>
    <row r="9253" ht="15" customHeight="1">
      <c r="A9253" t="inlineStr">
        <is>
          <t>A 59351-2023</t>
        </is>
      </c>
      <c r="B9253" t="inlineStr">
        <is>
          <t>avverkningsanmälan</t>
        </is>
      </c>
      <c r="C9253" t="inlineStr">
        <is>
          <t>Föryngringsavverkning</t>
        </is>
      </c>
      <c r="D9253" s="1" t="n">
        <v>45253</v>
      </c>
      <c r="E9253" s="1" t="n">
        <v>46319</v>
      </c>
      <c r="F9253" t="inlineStr">
        <is>
          <t>DALARNAS LÄN</t>
        </is>
      </c>
      <c r="G9253" t="inlineStr">
        <is>
          <t>LUDVIKA</t>
        </is>
      </c>
      <c r="H9253" t="inlineStr">
        <is>
          <t>Bergvik skog väst AB</t>
        </is>
      </c>
      <c r="I9253" t="n">
        <v>0.9</v>
      </c>
      <c r="J9253" t="n">
        <v>0</v>
      </c>
      <c r="K9253" t="n">
        <v>0</v>
      </c>
      <c r="L9253" t="n">
        <v>0</v>
      </c>
      <c r="M9253" t="n">
        <v>0</v>
      </c>
      <c r="N9253" t="n">
        <v>0</v>
      </c>
      <c r="O9253" t="n">
        <v>0</v>
      </c>
      <c r="P9253" t="n">
        <v>0</v>
      </c>
      <c r="Q9253" t="n">
        <v>0</v>
      </c>
      <c r="R9253" t="n">
        <v>0</v>
      </c>
      <c r="S9253" t="n">
        <v>0</v>
      </c>
      <c r="T9253" t="n">
        <v>0</v>
      </c>
      <c r="U9253" t="n">
        <v>0</v>
      </c>
      <c r="V9253" s="2" t="inlineStr"/>
    </row>
    <row r="9254" ht="15" customHeight="1">
      <c r="A9254" t="inlineStr">
        <is>
          <t>A 57474-2023</t>
        </is>
      </c>
      <c r="B9254" t="inlineStr">
        <is>
          <t>avverkningsanmälan</t>
        </is>
      </c>
      <c r="C9254" t="inlineStr">
        <is>
          <t>Föryngringsavverkning</t>
        </is>
      </c>
      <c r="D9254" s="1" t="n">
        <v>45246</v>
      </c>
      <c r="E9254" s="1" t="n">
        <v>46319</v>
      </c>
      <c r="F9254" t="inlineStr">
        <is>
          <t>DALARNAS LÄN</t>
        </is>
      </c>
      <c r="G9254" t="inlineStr">
        <is>
          <t>MALUNG-SÄLEN</t>
        </is>
      </c>
      <c r="I9254" t="n">
        <v>1.9</v>
      </c>
      <c r="J9254" t="n">
        <v>0</v>
      </c>
      <c r="K9254" t="n">
        <v>0</v>
      </c>
      <c r="L9254" t="n">
        <v>0</v>
      </c>
      <c r="M9254" t="n">
        <v>0</v>
      </c>
      <c r="N9254" t="n">
        <v>0</v>
      </c>
      <c r="O9254" t="n">
        <v>0</v>
      </c>
      <c r="P9254" t="n">
        <v>0</v>
      </c>
      <c r="Q9254" t="n">
        <v>0</v>
      </c>
      <c r="R9254" t="n">
        <v>0</v>
      </c>
      <c r="S9254" t="n">
        <v>0</v>
      </c>
      <c r="T9254" t="n">
        <v>0</v>
      </c>
      <c r="U9254" t="n">
        <v>0</v>
      </c>
      <c r="V9254" s="2" t="inlineStr"/>
    </row>
    <row r="9255" ht="15" customHeight="1">
      <c r="A9255" t="inlineStr">
        <is>
          <t>A 6177-2025</t>
        </is>
      </c>
      <c r="B9255" t="inlineStr">
        <is>
          <t>avverkningsanmälan</t>
        </is>
      </c>
      <c r="C9255" t="inlineStr">
        <is>
          <t>Föryngringsavverkning</t>
        </is>
      </c>
      <c r="D9255" s="1" t="n">
        <v>45698</v>
      </c>
      <c r="E9255" s="1" t="n">
        <v>46319</v>
      </c>
      <c r="F9255" t="inlineStr">
        <is>
          <t>DALARNAS LÄN</t>
        </is>
      </c>
      <c r="G9255" t="inlineStr">
        <is>
          <t>SMEDJEBACKEN</t>
        </is>
      </c>
      <c r="I9255" t="n">
        <v>3.1</v>
      </c>
      <c r="J9255" t="n">
        <v>0</v>
      </c>
      <c r="K9255" t="n">
        <v>0</v>
      </c>
      <c r="L9255" t="n">
        <v>0</v>
      </c>
      <c r="M9255" t="n">
        <v>0</v>
      </c>
      <c r="N9255" t="n">
        <v>0</v>
      </c>
      <c r="O9255" t="n">
        <v>0</v>
      </c>
      <c r="P9255" t="n">
        <v>0</v>
      </c>
      <c r="Q9255" t="n">
        <v>0</v>
      </c>
      <c r="R9255" t="n">
        <v>0</v>
      </c>
      <c r="S9255" t="n">
        <v>0</v>
      </c>
      <c r="T9255" t="n">
        <v>0</v>
      </c>
      <c r="U9255" t="n">
        <v>0</v>
      </c>
      <c r="V9255" s="2" t="inlineStr"/>
    </row>
    <row r="9256" ht="15" customHeight="1">
      <c r="A9256" t="inlineStr">
        <is>
          <t>A 51287-2023</t>
        </is>
      </c>
      <c r="B9256" t="inlineStr">
        <is>
          <t>avverkningsanmälan</t>
        </is>
      </c>
      <c r="C9256" t="inlineStr">
        <is>
          <t>Föryngringsavverkning</t>
        </is>
      </c>
      <c r="D9256" s="1" t="n">
        <v>45219</v>
      </c>
      <c r="E9256" s="1" t="n">
        <v>46319</v>
      </c>
      <c r="F9256" t="inlineStr">
        <is>
          <t>DALARNAS LÄN</t>
        </is>
      </c>
      <c r="G9256" t="inlineStr">
        <is>
          <t>GAGNEF</t>
        </is>
      </c>
      <c r="I9256" t="n">
        <v>1</v>
      </c>
      <c r="J9256" t="n">
        <v>0</v>
      </c>
      <c r="K9256" t="n">
        <v>0</v>
      </c>
      <c r="L9256" t="n">
        <v>0</v>
      </c>
      <c r="M9256" t="n">
        <v>0</v>
      </c>
      <c r="N9256" t="n">
        <v>0</v>
      </c>
      <c r="O9256" t="n">
        <v>0</v>
      </c>
      <c r="P9256" t="n">
        <v>0</v>
      </c>
      <c r="Q9256" t="n">
        <v>0</v>
      </c>
      <c r="R9256" t="n">
        <v>0</v>
      </c>
      <c r="S9256" t="n">
        <v>0</v>
      </c>
      <c r="T9256" t="n">
        <v>0</v>
      </c>
      <c r="U9256" t="n">
        <v>0</v>
      </c>
      <c r="V9256" s="2" t="inlineStr"/>
    </row>
    <row r="9257" ht="15" customHeight="1">
      <c r="A9257" t="inlineStr">
        <is>
          <t>A 58363-2023</t>
        </is>
      </c>
      <c r="B9257" t="inlineStr">
        <is>
          <t>avverkningsanmälan</t>
        </is>
      </c>
      <c r="C9257" t="inlineStr">
        <is>
          <t>Föryngringsavverkning</t>
        </is>
      </c>
      <c r="D9257" s="1" t="n">
        <v>45245</v>
      </c>
      <c r="E9257" s="1" t="n">
        <v>46319</v>
      </c>
      <c r="F9257" t="inlineStr">
        <is>
          <t>DALARNAS LÄN</t>
        </is>
      </c>
      <c r="G9257" t="inlineStr">
        <is>
          <t>MALUNG-SÄLEN</t>
        </is>
      </c>
      <c r="I9257" t="n">
        <v>3.6</v>
      </c>
      <c r="J9257" t="n">
        <v>0</v>
      </c>
      <c r="K9257" t="n">
        <v>0</v>
      </c>
      <c r="L9257" t="n">
        <v>0</v>
      </c>
      <c r="M9257" t="n">
        <v>0</v>
      </c>
      <c r="N9257" t="n">
        <v>0</v>
      </c>
      <c r="O9257" t="n">
        <v>0</v>
      </c>
      <c r="P9257" t="n">
        <v>0</v>
      </c>
      <c r="Q9257" t="n">
        <v>0</v>
      </c>
      <c r="R9257" t="n">
        <v>0</v>
      </c>
      <c r="S9257" t="n">
        <v>0</v>
      </c>
      <c r="T9257" t="n">
        <v>0</v>
      </c>
      <c r="U9257" t="n">
        <v>0</v>
      </c>
      <c r="V9257" s="2" t="inlineStr"/>
    </row>
    <row r="9258" ht="15" customHeight="1">
      <c r="A9258" t="inlineStr">
        <is>
          <t>A 63371-2023</t>
        </is>
      </c>
      <c r="B9258" t="inlineStr">
        <is>
          <t>avverkningsanmälan</t>
        </is>
      </c>
      <c r="C9258" t="inlineStr">
        <is>
          <t>Föryngringsavverkning</t>
        </is>
      </c>
      <c r="D9258" s="1" t="n">
        <v>45274</v>
      </c>
      <c r="E9258" s="1" t="n">
        <v>46319</v>
      </c>
      <c r="F9258" t="inlineStr">
        <is>
          <t>DALARNAS LÄN</t>
        </is>
      </c>
      <c r="G9258" t="inlineStr">
        <is>
          <t>ORSA</t>
        </is>
      </c>
      <c r="I9258" t="n">
        <v>1.3</v>
      </c>
      <c r="J9258" t="n">
        <v>0</v>
      </c>
      <c r="K9258" t="n">
        <v>0</v>
      </c>
      <c r="L9258" t="n">
        <v>0</v>
      </c>
      <c r="M9258" t="n">
        <v>0</v>
      </c>
      <c r="N9258" t="n">
        <v>0</v>
      </c>
      <c r="O9258" t="n">
        <v>0</v>
      </c>
      <c r="P9258" t="n">
        <v>0</v>
      </c>
      <c r="Q9258" t="n">
        <v>0</v>
      </c>
      <c r="R9258" t="n">
        <v>0</v>
      </c>
      <c r="S9258" t="n">
        <v>0</v>
      </c>
      <c r="T9258" t="n">
        <v>0</v>
      </c>
      <c r="U9258" t="n">
        <v>0</v>
      </c>
      <c r="V9258" s="2" t="inlineStr"/>
    </row>
    <row r="9259" ht="15" customHeight="1">
      <c r="A9259" t="inlineStr">
        <is>
          <t>A 63434-2023</t>
        </is>
      </c>
      <c r="B9259" t="inlineStr">
        <is>
          <t>avverkningsanmälan</t>
        </is>
      </c>
      <c r="C9259" t="inlineStr">
        <is>
          <t>Föryngringsavverkning</t>
        </is>
      </c>
      <c r="D9259" s="1" t="n">
        <v>45274</v>
      </c>
      <c r="E9259" s="1" t="n">
        <v>46319</v>
      </c>
      <c r="F9259" t="inlineStr">
        <is>
          <t>DALARNAS LÄN</t>
        </is>
      </c>
      <c r="G9259" t="inlineStr">
        <is>
          <t>AVESTA</t>
        </is>
      </c>
      <c r="I9259" t="n">
        <v>2.7</v>
      </c>
      <c r="J9259" t="n">
        <v>0</v>
      </c>
      <c r="K9259" t="n">
        <v>0</v>
      </c>
      <c r="L9259" t="n">
        <v>0</v>
      </c>
      <c r="M9259" t="n">
        <v>0</v>
      </c>
      <c r="N9259" t="n">
        <v>0</v>
      </c>
      <c r="O9259" t="n">
        <v>0</v>
      </c>
      <c r="P9259" t="n">
        <v>0</v>
      </c>
      <c r="Q9259" t="n">
        <v>0</v>
      </c>
      <c r="R9259" t="n">
        <v>0</v>
      </c>
      <c r="S9259" t="n">
        <v>0</v>
      </c>
      <c r="T9259" t="n">
        <v>0</v>
      </c>
      <c r="U9259" t="n">
        <v>0</v>
      </c>
      <c r="V9259" s="2" t="inlineStr"/>
    </row>
    <row r="9260" ht="15" customHeight="1">
      <c r="A9260" t="inlineStr">
        <is>
          <t>A 22022-2022</t>
        </is>
      </c>
      <c r="B9260" t="inlineStr">
        <is>
          <t>avverkningsanmälan</t>
        </is>
      </c>
      <c r="C9260" t="inlineStr">
        <is>
          <t>Föryngringsavverkning</t>
        </is>
      </c>
      <c r="D9260" s="1" t="n">
        <v>44711</v>
      </c>
      <c r="E9260" s="1" t="n">
        <v>46319</v>
      </c>
      <c r="F9260" t="inlineStr">
        <is>
          <t>DALARNAS LÄN</t>
        </is>
      </c>
      <c r="G9260" t="inlineStr">
        <is>
          <t>ORSA</t>
        </is>
      </c>
      <c r="H9260" t="inlineStr">
        <is>
          <t>Bergvik skog öst AB</t>
        </is>
      </c>
      <c r="I9260" t="n">
        <v>1.9</v>
      </c>
      <c r="J9260" t="n">
        <v>0</v>
      </c>
      <c r="K9260" t="n">
        <v>0</v>
      </c>
      <c r="L9260" t="n">
        <v>0</v>
      </c>
      <c r="M9260" t="n">
        <v>0</v>
      </c>
      <c r="N9260" t="n">
        <v>0</v>
      </c>
      <c r="O9260" t="n">
        <v>0</v>
      </c>
      <c r="P9260" t="n">
        <v>0</v>
      </c>
      <c r="Q9260" t="n">
        <v>0</v>
      </c>
      <c r="R9260" t="n">
        <v>0</v>
      </c>
      <c r="S9260" t="n">
        <v>0</v>
      </c>
      <c r="T9260" t="n">
        <v>0</v>
      </c>
      <c r="U9260" t="n">
        <v>0</v>
      </c>
      <c r="V9260" s="2" t="inlineStr"/>
    </row>
    <row r="9261" ht="15" customHeight="1">
      <c r="A9261" t="inlineStr">
        <is>
          <t>A 38737-2023</t>
        </is>
      </c>
      <c r="B9261" t="inlineStr">
        <is>
          <t>avverkningsanmälan</t>
        </is>
      </c>
      <c r="C9261" t="inlineStr">
        <is>
          <t>Föryngringsavverkning</t>
        </is>
      </c>
      <c r="D9261" s="1" t="n">
        <v>45161</v>
      </c>
      <c r="E9261" s="1" t="n">
        <v>46319</v>
      </c>
      <c r="F9261" t="inlineStr">
        <is>
          <t>DALARNAS LÄN</t>
        </is>
      </c>
      <c r="G9261" t="inlineStr">
        <is>
          <t>RÄTTVIK</t>
        </is>
      </c>
      <c r="H9261" t="inlineStr">
        <is>
          <t>Kommuner</t>
        </is>
      </c>
      <c r="I9261" t="n">
        <v>4.9</v>
      </c>
      <c r="J9261" t="n">
        <v>0</v>
      </c>
      <c r="K9261" t="n">
        <v>0</v>
      </c>
      <c r="L9261" t="n">
        <v>0</v>
      </c>
      <c r="M9261" t="n">
        <v>0</v>
      </c>
      <c r="N9261" t="n">
        <v>0</v>
      </c>
      <c r="O9261" t="n">
        <v>0</v>
      </c>
      <c r="P9261" t="n">
        <v>0</v>
      </c>
      <c r="Q9261" t="n">
        <v>0</v>
      </c>
      <c r="R9261" t="n">
        <v>0</v>
      </c>
      <c r="S9261" t="n">
        <v>0</v>
      </c>
      <c r="T9261" t="n">
        <v>0</v>
      </c>
      <c r="U9261" t="n">
        <v>0</v>
      </c>
      <c r="V9261" s="2" t="inlineStr"/>
    </row>
    <row r="9262" ht="15" customHeight="1">
      <c r="A9262" t="inlineStr">
        <is>
          <t>A 7894-2025</t>
        </is>
      </c>
      <c r="B9262" t="inlineStr">
        <is>
          <t>avverkningsanmälan</t>
        </is>
      </c>
      <c r="C9262" t="inlineStr">
        <is>
          <t>Föryngringsavverkning</t>
        </is>
      </c>
      <c r="D9262" s="1" t="n">
        <v>45707</v>
      </c>
      <c r="E9262" s="1" t="n">
        <v>46319</v>
      </c>
      <c r="F9262" t="inlineStr">
        <is>
          <t>DALARNAS LÄN</t>
        </is>
      </c>
      <c r="G9262" t="inlineStr">
        <is>
          <t>LEKSAND</t>
        </is>
      </c>
      <c r="I9262" t="n">
        <v>1.6</v>
      </c>
      <c r="J9262" t="n">
        <v>0</v>
      </c>
      <c r="K9262" t="n">
        <v>0</v>
      </c>
      <c r="L9262" t="n">
        <v>0</v>
      </c>
      <c r="M9262" t="n">
        <v>0</v>
      </c>
      <c r="N9262" t="n">
        <v>0</v>
      </c>
      <c r="O9262" t="n">
        <v>0</v>
      </c>
      <c r="P9262" t="n">
        <v>0</v>
      </c>
      <c r="Q9262" t="n">
        <v>0</v>
      </c>
      <c r="R9262" t="n">
        <v>0</v>
      </c>
      <c r="S9262" t="n">
        <v>0</v>
      </c>
      <c r="T9262" t="n">
        <v>0</v>
      </c>
      <c r="U9262" t="n">
        <v>0</v>
      </c>
      <c r="V9262" s="2" t="inlineStr"/>
    </row>
    <row r="9263" ht="15" customHeight="1">
      <c r="A9263" t="inlineStr">
        <is>
          <t>A 20623-2022</t>
        </is>
      </c>
      <c r="B9263" t="inlineStr">
        <is>
          <t>avverkningsanmälan</t>
        </is>
      </c>
      <c r="C9263" t="inlineStr">
        <is>
          <t>Föryngringsavverkning</t>
        </is>
      </c>
      <c r="D9263" s="1" t="n">
        <v>44700</v>
      </c>
      <c r="E9263" s="1" t="n">
        <v>46319</v>
      </c>
      <c r="F9263" t="inlineStr">
        <is>
          <t>DALARNAS LÄN</t>
        </is>
      </c>
      <c r="G9263" t="inlineStr">
        <is>
          <t>SMEDJEBACKEN</t>
        </is>
      </c>
      <c r="I9263" t="n">
        <v>0.8</v>
      </c>
      <c r="J9263" t="n">
        <v>0</v>
      </c>
      <c r="K9263" t="n">
        <v>0</v>
      </c>
      <c r="L9263" t="n">
        <v>0</v>
      </c>
      <c r="M9263" t="n">
        <v>0</v>
      </c>
      <c r="N9263" t="n">
        <v>0</v>
      </c>
      <c r="O9263" t="n">
        <v>0</v>
      </c>
      <c r="P9263" t="n">
        <v>0</v>
      </c>
      <c r="Q9263" t="n">
        <v>0</v>
      </c>
      <c r="R9263" t="n">
        <v>0</v>
      </c>
      <c r="S9263" t="n">
        <v>0</v>
      </c>
      <c r="T9263" t="n">
        <v>0</v>
      </c>
      <c r="U9263" t="n">
        <v>0</v>
      </c>
      <c r="V9263" s="2" t="inlineStr"/>
    </row>
    <row r="9264" ht="15" customHeight="1">
      <c r="A9264" t="inlineStr">
        <is>
          <t>A 44201-2023</t>
        </is>
      </c>
      <c r="B9264" t="inlineStr">
        <is>
          <t>avverkningsanmälan</t>
        </is>
      </c>
      <c r="C9264" t="inlineStr">
        <is>
          <t>Föryngringsavverkning</t>
        </is>
      </c>
      <c r="D9264" s="1" t="n">
        <v>45188</v>
      </c>
      <c r="E9264" s="1" t="n">
        <v>46319</v>
      </c>
      <c r="F9264" t="inlineStr">
        <is>
          <t>DALARNAS LÄN</t>
        </is>
      </c>
      <c r="G9264" t="inlineStr">
        <is>
          <t>MORA</t>
        </is>
      </c>
      <c r="I9264" t="n">
        <v>0.6</v>
      </c>
      <c r="J9264" t="n">
        <v>0</v>
      </c>
      <c r="K9264" t="n">
        <v>0</v>
      </c>
      <c r="L9264" t="n">
        <v>0</v>
      </c>
      <c r="M9264" t="n">
        <v>0</v>
      </c>
      <c r="N9264" t="n">
        <v>0</v>
      </c>
      <c r="O9264" t="n">
        <v>0</v>
      </c>
      <c r="P9264" t="n">
        <v>0</v>
      </c>
      <c r="Q9264" t="n">
        <v>0</v>
      </c>
      <c r="R9264" t="n">
        <v>0</v>
      </c>
      <c r="S9264" t="n">
        <v>0</v>
      </c>
      <c r="T9264" t="n">
        <v>0</v>
      </c>
      <c r="U9264" t="n">
        <v>0</v>
      </c>
      <c r="V9264" s="2" t="inlineStr"/>
    </row>
    <row r="9265" ht="15" customHeight="1">
      <c r="A9265" t="inlineStr">
        <is>
          <t>A 15816-2025</t>
        </is>
      </c>
      <c r="B9265" t="inlineStr">
        <is>
          <t>avverkningsanmälan</t>
        </is>
      </c>
      <c r="C9265" t="inlineStr">
        <is>
          <t>Föryngringsavverkning</t>
        </is>
      </c>
      <c r="D9265" s="1" t="n">
        <v>45748</v>
      </c>
      <c r="E9265" s="1" t="n">
        <v>46319</v>
      </c>
      <c r="F9265" t="inlineStr">
        <is>
          <t>DALARNAS LÄN</t>
        </is>
      </c>
      <c r="G9265" t="inlineStr">
        <is>
          <t>FALUN</t>
        </is>
      </c>
      <c r="I9265" t="n">
        <v>3.3</v>
      </c>
      <c r="J9265" t="n">
        <v>0</v>
      </c>
      <c r="K9265" t="n">
        <v>0</v>
      </c>
      <c r="L9265" t="n">
        <v>0</v>
      </c>
      <c r="M9265" t="n">
        <v>0</v>
      </c>
      <c r="N9265" t="n">
        <v>0</v>
      </c>
      <c r="O9265" t="n">
        <v>0</v>
      </c>
      <c r="P9265" t="n">
        <v>0</v>
      </c>
      <c r="Q9265" t="n">
        <v>0</v>
      </c>
      <c r="R9265" t="n">
        <v>0</v>
      </c>
      <c r="S9265" t="n">
        <v>0</v>
      </c>
      <c r="T9265" t="n">
        <v>0</v>
      </c>
      <c r="U9265" t="n">
        <v>0</v>
      </c>
      <c r="V9265" s="2" t="inlineStr"/>
    </row>
    <row r="9266" ht="15" customHeight="1">
      <c r="A9266" t="inlineStr">
        <is>
          <t>A 58877-2023</t>
        </is>
      </c>
      <c r="B9266" t="inlineStr">
        <is>
          <t>avverkningsanmälan</t>
        </is>
      </c>
      <c r="C9266" t="inlineStr">
        <is>
          <t>Föryngringsavverkning</t>
        </is>
      </c>
      <c r="D9266" s="1" t="n">
        <v>45252</v>
      </c>
      <c r="E9266" s="1" t="n">
        <v>46319</v>
      </c>
      <c r="F9266" t="inlineStr">
        <is>
          <t>DALARNAS LÄN</t>
        </is>
      </c>
      <c r="G9266" t="inlineStr">
        <is>
          <t>LEKSAND</t>
        </is>
      </c>
      <c r="I9266" t="n">
        <v>1.9</v>
      </c>
      <c r="J9266" t="n">
        <v>0</v>
      </c>
      <c r="K9266" t="n">
        <v>0</v>
      </c>
      <c r="L9266" t="n">
        <v>0</v>
      </c>
      <c r="M9266" t="n">
        <v>0</v>
      </c>
      <c r="N9266" t="n">
        <v>0</v>
      </c>
      <c r="O9266" t="n">
        <v>0</v>
      </c>
      <c r="P9266" t="n">
        <v>0</v>
      </c>
      <c r="Q9266" t="n">
        <v>0</v>
      </c>
      <c r="R9266" t="n">
        <v>0</v>
      </c>
      <c r="S9266" t="n">
        <v>0</v>
      </c>
      <c r="T9266" t="n">
        <v>0</v>
      </c>
      <c r="U9266" t="n">
        <v>0</v>
      </c>
      <c r="V9266" s="2" t="inlineStr"/>
    </row>
    <row r="9267" ht="15" customHeight="1">
      <c r="A9267" t="inlineStr">
        <is>
          <t>A 63540-2023</t>
        </is>
      </c>
      <c r="B9267" t="inlineStr">
        <is>
          <t>avverkningsanmälan</t>
        </is>
      </c>
      <c r="C9267" t="inlineStr">
        <is>
          <t>Föryngringsavverkning</t>
        </is>
      </c>
      <c r="D9267" s="1" t="n">
        <v>45275</v>
      </c>
      <c r="E9267" s="1" t="n">
        <v>46319</v>
      </c>
      <c r="F9267" t="inlineStr">
        <is>
          <t>DALARNAS LÄN</t>
        </is>
      </c>
      <c r="G9267" t="inlineStr">
        <is>
          <t>RÄTTVIK</t>
        </is>
      </c>
      <c r="I9267" t="n">
        <v>3.1</v>
      </c>
      <c r="J9267" t="n">
        <v>0</v>
      </c>
      <c r="K9267" t="n">
        <v>0</v>
      </c>
      <c r="L9267" t="n">
        <v>0</v>
      </c>
      <c r="M9267" t="n">
        <v>0</v>
      </c>
      <c r="N9267" t="n">
        <v>0</v>
      </c>
      <c r="O9267" t="n">
        <v>0</v>
      </c>
      <c r="P9267" t="n">
        <v>0</v>
      </c>
      <c r="Q9267" t="n">
        <v>0</v>
      </c>
      <c r="R9267" t="n">
        <v>0</v>
      </c>
      <c r="S9267" t="n">
        <v>0</v>
      </c>
      <c r="T9267" t="n">
        <v>0</v>
      </c>
      <c r="U9267" t="n">
        <v>0</v>
      </c>
      <c r="V9267" s="2" t="inlineStr"/>
    </row>
    <row r="9268" ht="15" customHeight="1">
      <c r="A9268" t="inlineStr">
        <is>
          <t>A 17455-2022</t>
        </is>
      </c>
      <c r="B9268" t="inlineStr">
        <is>
          <t>avverkningsanmälan</t>
        </is>
      </c>
      <c r="C9268" t="inlineStr">
        <is>
          <t>Föryngringsavverkning</t>
        </is>
      </c>
      <c r="D9268" s="1" t="n">
        <v>44679</v>
      </c>
      <c r="E9268" s="1" t="n">
        <v>46319</v>
      </c>
      <c r="F9268" t="inlineStr">
        <is>
          <t>DALARNAS LÄN</t>
        </is>
      </c>
      <c r="G9268" t="inlineStr">
        <is>
          <t>LEKSAND</t>
        </is>
      </c>
      <c r="H9268" t="inlineStr">
        <is>
          <t>Bergvik skog väst AB</t>
        </is>
      </c>
      <c r="I9268" t="n">
        <v>1.8</v>
      </c>
      <c r="J9268" t="n">
        <v>0</v>
      </c>
      <c r="K9268" t="n">
        <v>0</v>
      </c>
      <c r="L9268" t="n">
        <v>0</v>
      </c>
      <c r="M9268" t="n">
        <v>0</v>
      </c>
      <c r="N9268" t="n">
        <v>0</v>
      </c>
      <c r="O9268" t="n">
        <v>0</v>
      </c>
      <c r="P9268" t="n">
        <v>0</v>
      </c>
      <c r="Q9268" t="n">
        <v>0</v>
      </c>
      <c r="R9268" t="n">
        <v>0</v>
      </c>
      <c r="S9268" t="n">
        <v>0</v>
      </c>
      <c r="T9268" t="n">
        <v>0</v>
      </c>
      <c r="U9268" t="n">
        <v>0</v>
      </c>
      <c r="V9268" s="2" t="inlineStr"/>
    </row>
    <row r="9269" ht="15" customHeight="1">
      <c r="A9269" t="inlineStr">
        <is>
          <t>A 60040-2023</t>
        </is>
      </c>
      <c r="B9269" t="inlineStr">
        <is>
          <t>avverkningsanmälan</t>
        </is>
      </c>
      <c r="C9269" t="inlineStr">
        <is>
          <t>Föryngringsavverkning</t>
        </is>
      </c>
      <c r="D9269" s="1" t="n">
        <v>45256</v>
      </c>
      <c r="E9269" s="1" t="n">
        <v>46319</v>
      </c>
      <c r="F9269" t="inlineStr">
        <is>
          <t>DALARNAS LÄN</t>
        </is>
      </c>
      <c r="G9269" t="inlineStr">
        <is>
          <t>LEKSAND</t>
        </is>
      </c>
      <c r="I9269" t="n">
        <v>0.9</v>
      </c>
      <c r="J9269" t="n">
        <v>0</v>
      </c>
      <c r="K9269" t="n">
        <v>0</v>
      </c>
      <c r="L9269" t="n">
        <v>0</v>
      </c>
      <c r="M9269" t="n">
        <v>0</v>
      </c>
      <c r="N9269" t="n">
        <v>0</v>
      </c>
      <c r="O9269" t="n">
        <v>0</v>
      </c>
      <c r="P9269" t="n">
        <v>0</v>
      </c>
      <c r="Q9269" t="n">
        <v>0</v>
      </c>
      <c r="R9269" t="n">
        <v>0</v>
      </c>
      <c r="S9269" t="n">
        <v>0</v>
      </c>
      <c r="T9269" t="n">
        <v>0</v>
      </c>
      <c r="U9269" t="n">
        <v>0</v>
      </c>
      <c r="V9269" s="2" t="inlineStr"/>
    </row>
    <row r="9270" ht="15" customHeight="1">
      <c r="A9270" t="inlineStr">
        <is>
          <t>A 33100-2023</t>
        </is>
      </c>
      <c r="B9270" t="inlineStr">
        <is>
          <t>avverkningsanmälan</t>
        </is>
      </c>
      <c r="C9270" t="inlineStr">
        <is>
          <t>Föryngringsavverkning</t>
        </is>
      </c>
      <c r="D9270" s="1" t="n">
        <v>45114</v>
      </c>
      <c r="E9270" s="1" t="n">
        <v>46319</v>
      </c>
      <c r="F9270" t="inlineStr">
        <is>
          <t>DALARNAS LÄN</t>
        </is>
      </c>
      <c r="G9270" t="inlineStr">
        <is>
          <t>ÄLVDALEN</t>
        </is>
      </c>
      <c r="I9270" t="n">
        <v>0.5</v>
      </c>
      <c r="J9270" t="n">
        <v>0</v>
      </c>
      <c r="K9270" t="n">
        <v>0</v>
      </c>
      <c r="L9270" t="n">
        <v>0</v>
      </c>
      <c r="M9270" t="n">
        <v>0</v>
      </c>
      <c r="N9270" t="n">
        <v>0</v>
      </c>
      <c r="O9270" t="n">
        <v>0</v>
      </c>
      <c r="P9270" t="n">
        <v>0</v>
      </c>
      <c r="Q9270" t="n">
        <v>0</v>
      </c>
      <c r="R9270" t="n">
        <v>0</v>
      </c>
      <c r="S9270" t="n">
        <v>0</v>
      </c>
      <c r="T9270" t="n">
        <v>0</v>
      </c>
      <c r="U9270" t="n">
        <v>0</v>
      </c>
      <c r="V9270" s="2" t="inlineStr"/>
    </row>
    <row r="9271" ht="15" customHeight="1">
      <c r="A9271" t="inlineStr">
        <is>
          <t>A 33306-2023</t>
        </is>
      </c>
      <c r="B9271" t="inlineStr">
        <is>
          <t>avverkningsanmälan</t>
        </is>
      </c>
      <c r="C9271" t="inlineStr">
        <is>
          <t>Föryngringsavverkning</t>
        </is>
      </c>
      <c r="D9271" s="1" t="n">
        <v>45127</v>
      </c>
      <c r="E9271" s="1" t="n">
        <v>46319</v>
      </c>
      <c r="F9271" t="inlineStr">
        <is>
          <t>DALARNAS LÄN</t>
        </is>
      </c>
      <c r="G9271" t="inlineStr">
        <is>
          <t>LEKSAND</t>
        </is>
      </c>
      <c r="I9271" t="n">
        <v>2.2</v>
      </c>
      <c r="J9271" t="n">
        <v>0</v>
      </c>
      <c r="K9271" t="n">
        <v>0</v>
      </c>
      <c r="L9271" t="n">
        <v>0</v>
      </c>
      <c r="M9271" t="n">
        <v>0</v>
      </c>
      <c r="N9271" t="n">
        <v>0</v>
      </c>
      <c r="O9271" t="n">
        <v>0</v>
      </c>
      <c r="P9271" t="n">
        <v>0</v>
      </c>
      <c r="Q9271" t="n">
        <v>0</v>
      </c>
      <c r="R9271" t="n">
        <v>0</v>
      </c>
      <c r="S9271" t="n">
        <v>0</v>
      </c>
      <c r="T9271" t="n">
        <v>0</v>
      </c>
      <c r="U9271" t="n">
        <v>0</v>
      </c>
      <c r="V9271" s="2" t="inlineStr"/>
    </row>
    <row r="9272" ht="15" customHeight="1">
      <c r="A9272" t="inlineStr">
        <is>
          <t>A 33316-2023</t>
        </is>
      </c>
      <c r="B9272" t="inlineStr">
        <is>
          <t>avverkningsanmälan</t>
        </is>
      </c>
      <c r="C9272" t="inlineStr">
        <is>
          <t>Föryngringsavverkning</t>
        </is>
      </c>
      <c r="D9272" s="1" t="n">
        <v>45127</v>
      </c>
      <c r="E9272" s="1" t="n">
        <v>46319</v>
      </c>
      <c r="F9272" t="inlineStr">
        <is>
          <t>DALARNAS LÄN</t>
        </is>
      </c>
      <c r="G9272" t="inlineStr">
        <is>
          <t>LEKSAND</t>
        </is>
      </c>
      <c r="I9272" t="n">
        <v>8.9</v>
      </c>
      <c r="J9272" t="n">
        <v>0</v>
      </c>
      <c r="K9272" t="n">
        <v>0</v>
      </c>
      <c r="L9272" t="n">
        <v>0</v>
      </c>
      <c r="M9272" t="n">
        <v>0</v>
      </c>
      <c r="N9272" t="n">
        <v>0</v>
      </c>
      <c r="O9272" t="n">
        <v>0</v>
      </c>
      <c r="P9272" t="n">
        <v>0</v>
      </c>
      <c r="Q9272" t="n">
        <v>0</v>
      </c>
      <c r="R9272" t="n">
        <v>0</v>
      </c>
      <c r="S9272" t="n">
        <v>0</v>
      </c>
      <c r="T9272" t="n">
        <v>0</v>
      </c>
      <c r="U9272" t="n">
        <v>0</v>
      </c>
      <c r="V9272" s="2" t="inlineStr"/>
    </row>
    <row r="9273" ht="15" customHeight="1">
      <c r="A9273" t="inlineStr">
        <is>
          <t>A 13568-2024</t>
        </is>
      </c>
      <c r="B9273" t="inlineStr">
        <is>
          <t>avverkningsanmälan</t>
        </is>
      </c>
      <c r="C9273" t="inlineStr">
        <is>
          <t>Avverkning för annat ändamål</t>
        </is>
      </c>
      <c r="D9273" s="1" t="n">
        <v>45389</v>
      </c>
      <c r="E9273" s="1" t="n">
        <v>46319</v>
      </c>
      <c r="F9273" t="inlineStr">
        <is>
          <t>DALARNAS LÄN</t>
        </is>
      </c>
      <c r="G9273" t="inlineStr">
        <is>
          <t>FALUN</t>
        </is>
      </c>
      <c r="I9273" t="n">
        <v>0.7</v>
      </c>
      <c r="J9273" t="n">
        <v>0</v>
      </c>
      <c r="K9273" t="n">
        <v>0</v>
      </c>
      <c r="L9273" t="n">
        <v>0</v>
      </c>
      <c r="M9273" t="n">
        <v>0</v>
      </c>
      <c r="N9273" t="n">
        <v>0</v>
      </c>
      <c r="O9273" t="n">
        <v>0</v>
      </c>
      <c r="P9273" t="n">
        <v>0</v>
      </c>
      <c r="Q9273" t="n">
        <v>0</v>
      </c>
      <c r="R9273" t="n">
        <v>0</v>
      </c>
      <c r="S9273" t="n">
        <v>0</v>
      </c>
      <c r="T9273" t="n">
        <v>0</v>
      </c>
      <c r="U9273" t="n">
        <v>0</v>
      </c>
      <c r="V9273" s="2" t="inlineStr"/>
    </row>
    <row r="9274" ht="15" customHeight="1">
      <c r="A9274" t="inlineStr">
        <is>
          <t>A 20198-2025</t>
        </is>
      </c>
      <c r="B9274" t="inlineStr">
        <is>
          <t>avverkningsanmälan</t>
        </is>
      </c>
      <c r="C9274" t="inlineStr">
        <is>
          <t>Föryngringsavverkning</t>
        </is>
      </c>
      <c r="D9274" s="1" t="n">
        <v>45772</v>
      </c>
      <c r="E9274" s="1" t="n">
        <v>46319</v>
      </c>
      <c r="F9274" t="inlineStr">
        <is>
          <t>DALARNAS LÄN</t>
        </is>
      </c>
      <c r="G9274" t="inlineStr">
        <is>
          <t>RÄTTVIK</t>
        </is>
      </c>
      <c r="H9274" t="inlineStr">
        <is>
          <t>Sveaskog</t>
        </is>
      </c>
      <c r="I9274" t="n">
        <v>2.2</v>
      </c>
      <c r="J9274" t="n">
        <v>0</v>
      </c>
      <c r="K9274" t="n">
        <v>0</v>
      </c>
      <c r="L9274" t="n">
        <v>0</v>
      </c>
      <c r="M9274" t="n">
        <v>0</v>
      </c>
      <c r="N9274" t="n">
        <v>0</v>
      </c>
      <c r="O9274" t="n">
        <v>0</v>
      </c>
      <c r="P9274" t="n">
        <v>0</v>
      </c>
      <c r="Q9274" t="n">
        <v>0</v>
      </c>
      <c r="R9274" t="n">
        <v>0</v>
      </c>
      <c r="S9274" t="n">
        <v>0</v>
      </c>
      <c r="T9274" t="n">
        <v>0</v>
      </c>
      <c r="U9274" t="n">
        <v>0</v>
      </c>
      <c r="V9274" s="2" t="inlineStr"/>
    </row>
    <row r="9275" ht="15" customHeight="1">
      <c r="A9275" t="inlineStr">
        <is>
          <t>A 51563-2023</t>
        </is>
      </c>
      <c r="B9275" t="inlineStr">
        <is>
          <t>avverkningsanmälan</t>
        </is>
      </c>
      <c r="C9275" t="inlineStr">
        <is>
          <t>Föryngringsavverkning</t>
        </is>
      </c>
      <c r="D9275" s="1" t="n">
        <v>45222</v>
      </c>
      <c r="E9275" s="1" t="n">
        <v>46319</v>
      </c>
      <c r="F9275" t="inlineStr">
        <is>
          <t>DALARNAS LÄN</t>
        </is>
      </c>
      <c r="G9275" t="inlineStr">
        <is>
          <t>ORSA</t>
        </is>
      </c>
      <c r="I9275" t="n">
        <v>0.5</v>
      </c>
      <c r="J9275" t="n">
        <v>0</v>
      </c>
      <c r="K9275" t="n">
        <v>0</v>
      </c>
      <c r="L9275" t="n">
        <v>0</v>
      </c>
      <c r="M9275" t="n">
        <v>0</v>
      </c>
      <c r="N9275" t="n">
        <v>0</v>
      </c>
      <c r="O9275" t="n">
        <v>0</v>
      </c>
      <c r="P9275" t="n">
        <v>0</v>
      </c>
      <c r="Q9275" t="n">
        <v>0</v>
      </c>
      <c r="R9275" t="n">
        <v>0</v>
      </c>
      <c r="S9275" t="n">
        <v>0</v>
      </c>
      <c r="T9275" t="n">
        <v>0</v>
      </c>
      <c r="U9275" t="n">
        <v>0</v>
      </c>
      <c r="V9275" s="2" t="inlineStr"/>
    </row>
    <row r="9276" ht="15" customHeight="1">
      <c r="A9276" t="inlineStr">
        <is>
          <t>A 823-2025</t>
        </is>
      </c>
      <c r="B9276" t="inlineStr">
        <is>
          <t>avverkningsanmälan</t>
        </is>
      </c>
      <c r="C9276" t="inlineStr">
        <is>
          <t>Föryngringsavverkning</t>
        </is>
      </c>
      <c r="D9276" s="1" t="n">
        <v>45665</v>
      </c>
      <c r="E9276" s="1" t="n">
        <v>46319</v>
      </c>
      <c r="F9276" t="inlineStr">
        <is>
          <t>DALARNAS LÄN</t>
        </is>
      </c>
      <c r="G9276" t="inlineStr">
        <is>
          <t>VANSBRO</t>
        </is>
      </c>
      <c r="H9276" t="inlineStr">
        <is>
          <t>Bergvik skog väst AB</t>
        </is>
      </c>
      <c r="I9276" t="n">
        <v>2.9</v>
      </c>
      <c r="J9276" t="n">
        <v>0</v>
      </c>
      <c r="K9276" t="n">
        <v>0</v>
      </c>
      <c r="L9276" t="n">
        <v>0</v>
      </c>
      <c r="M9276" t="n">
        <v>0</v>
      </c>
      <c r="N9276" t="n">
        <v>0</v>
      </c>
      <c r="O9276" t="n">
        <v>0</v>
      </c>
      <c r="P9276" t="n">
        <v>0</v>
      </c>
      <c r="Q9276" t="n">
        <v>0</v>
      </c>
      <c r="R9276" t="n">
        <v>0</v>
      </c>
      <c r="S9276" t="n">
        <v>0</v>
      </c>
      <c r="T9276" t="n">
        <v>0</v>
      </c>
      <c r="U9276" t="n">
        <v>0</v>
      </c>
      <c r="V9276" s="2" t="inlineStr"/>
    </row>
    <row r="9277" ht="15" customHeight="1">
      <c r="A9277" t="inlineStr">
        <is>
          <t>A 41583-2023</t>
        </is>
      </c>
      <c r="B9277" t="inlineStr">
        <is>
          <t>avverkningsanmälan</t>
        </is>
      </c>
      <c r="C9277" t="inlineStr">
        <is>
          <t>Föryngringsavverkning</t>
        </is>
      </c>
      <c r="D9277" s="1" t="n">
        <v>45175</v>
      </c>
      <c r="E9277" s="1" t="n">
        <v>46319</v>
      </c>
      <c r="F9277" t="inlineStr">
        <is>
          <t>DALARNAS LÄN</t>
        </is>
      </c>
      <c r="G9277" t="inlineStr">
        <is>
          <t>MALUNG-SÄLEN</t>
        </is>
      </c>
      <c r="I9277" t="n">
        <v>1.9</v>
      </c>
      <c r="J9277" t="n">
        <v>0</v>
      </c>
      <c r="K9277" t="n">
        <v>0</v>
      </c>
      <c r="L9277" t="n">
        <v>0</v>
      </c>
      <c r="M9277" t="n">
        <v>0</v>
      </c>
      <c r="N9277" t="n">
        <v>0</v>
      </c>
      <c r="O9277" t="n">
        <v>0</v>
      </c>
      <c r="P9277" t="n">
        <v>0</v>
      </c>
      <c r="Q9277" t="n">
        <v>0</v>
      </c>
      <c r="R9277" t="n">
        <v>0</v>
      </c>
      <c r="S9277" t="n">
        <v>0</v>
      </c>
      <c r="T9277" t="n">
        <v>0</v>
      </c>
      <c r="U9277" t="n">
        <v>0</v>
      </c>
      <c r="V9277" s="2" t="inlineStr"/>
    </row>
    <row r="9278" ht="15" customHeight="1">
      <c r="A9278" t="inlineStr">
        <is>
          <t>A 58375-2023</t>
        </is>
      </c>
      <c r="B9278" t="inlineStr">
        <is>
          <t>avverkningsanmälan</t>
        </is>
      </c>
      <c r="C9278" t="inlineStr">
        <is>
          <t>Föryngringsavverkning</t>
        </is>
      </c>
      <c r="D9278" s="1" t="n">
        <v>45245</v>
      </c>
      <c r="E9278" s="1" t="n">
        <v>46319</v>
      </c>
      <c r="F9278" t="inlineStr">
        <is>
          <t>DALARNAS LÄN</t>
        </is>
      </c>
      <c r="G9278" t="inlineStr">
        <is>
          <t>MALUNG-SÄLEN</t>
        </is>
      </c>
      <c r="I9278" t="n">
        <v>3.1</v>
      </c>
      <c r="J9278" t="n">
        <v>0</v>
      </c>
      <c r="K9278" t="n">
        <v>0</v>
      </c>
      <c r="L9278" t="n">
        <v>0</v>
      </c>
      <c r="M9278" t="n">
        <v>0</v>
      </c>
      <c r="N9278" t="n">
        <v>0</v>
      </c>
      <c r="O9278" t="n">
        <v>0</v>
      </c>
      <c r="P9278" t="n">
        <v>0</v>
      </c>
      <c r="Q9278" t="n">
        <v>0</v>
      </c>
      <c r="R9278" t="n">
        <v>0</v>
      </c>
      <c r="S9278" t="n">
        <v>0</v>
      </c>
      <c r="T9278" t="n">
        <v>0</v>
      </c>
      <c r="U9278" t="n">
        <v>0</v>
      </c>
      <c r="V9278" s="2" t="inlineStr"/>
    </row>
    <row r="9279" ht="15" customHeight="1">
      <c r="A9279" t="inlineStr">
        <is>
          <t>A 45779-2023</t>
        </is>
      </c>
      <c r="B9279" t="inlineStr">
        <is>
          <t>avverkningsanmälan</t>
        </is>
      </c>
      <c r="C9279" t="inlineStr">
        <is>
          <t>Avverkning för att bevara och utveckla /försöksver</t>
        </is>
      </c>
      <c r="D9279" s="1" t="n">
        <v>45188</v>
      </c>
      <c r="E9279" s="1" t="n">
        <v>46319</v>
      </c>
      <c r="F9279" t="inlineStr">
        <is>
          <t>DALARNAS LÄN</t>
        </is>
      </c>
      <c r="G9279" t="inlineStr">
        <is>
          <t>MALUNG-SÄLEN</t>
        </is>
      </c>
      <c r="I9279" t="n">
        <v>2.8</v>
      </c>
      <c r="J9279" t="n">
        <v>0</v>
      </c>
      <c r="K9279" t="n">
        <v>0</v>
      </c>
      <c r="L9279" t="n">
        <v>0</v>
      </c>
      <c r="M9279" t="n">
        <v>0</v>
      </c>
      <c r="N9279" t="n">
        <v>0</v>
      </c>
      <c r="O9279" t="n">
        <v>0</v>
      </c>
      <c r="P9279" t="n">
        <v>0</v>
      </c>
      <c r="Q9279" t="n">
        <v>0</v>
      </c>
      <c r="R9279" t="n">
        <v>0</v>
      </c>
      <c r="S9279" t="n">
        <v>0</v>
      </c>
      <c r="T9279" t="n">
        <v>0</v>
      </c>
      <c r="U9279" t="n">
        <v>0</v>
      </c>
      <c r="V9279" s="2" t="inlineStr"/>
    </row>
    <row r="9280" ht="15" customHeight="1">
      <c r="A9280" t="inlineStr">
        <is>
          <t>A 45780-2023</t>
        </is>
      </c>
      <c r="B9280" t="inlineStr">
        <is>
          <t>avverkningsanmälan</t>
        </is>
      </c>
      <c r="C9280" t="inlineStr">
        <is>
          <t>Föryngringsavverkning</t>
        </is>
      </c>
      <c r="D9280" s="1" t="n">
        <v>45188</v>
      </c>
      <c r="E9280" s="1" t="n">
        <v>46319</v>
      </c>
      <c r="F9280" t="inlineStr">
        <is>
          <t>DALARNAS LÄN</t>
        </is>
      </c>
      <c r="G9280" t="inlineStr">
        <is>
          <t>MALUNG-SÄLEN</t>
        </is>
      </c>
      <c r="I9280" t="n">
        <v>1.3</v>
      </c>
      <c r="J9280" t="n">
        <v>0</v>
      </c>
      <c r="K9280" t="n">
        <v>0</v>
      </c>
      <c r="L9280" t="n">
        <v>0</v>
      </c>
      <c r="M9280" t="n">
        <v>0</v>
      </c>
      <c r="N9280" t="n">
        <v>0</v>
      </c>
      <c r="O9280" t="n">
        <v>0</v>
      </c>
      <c r="P9280" t="n">
        <v>0</v>
      </c>
      <c r="Q9280" t="n">
        <v>0</v>
      </c>
      <c r="R9280" t="n">
        <v>0</v>
      </c>
      <c r="S9280" t="n">
        <v>0</v>
      </c>
      <c r="T9280" t="n">
        <v>0</v>
      </c>
      <c r="U9280" t="n">
        <v>0</v>
      </c>
      <c r="V9280" s="2" t="inlineStr"/>
    </row>
    <row r="9281" ht="15" customHeight="1">
      <c r="A9281" t="inlineStr">
        <is>
          <t>A 18956-2025</t>
        </is>
      </c>
      <c r="B9281" t="inlineStr">
        <is>
          <t>avverkningsanmälan</t>
        </is>
      </c>
      <c r="C9281" t="inlineStr">
        <is>
          <t>Föryngringsavverkning</t>
        </is>
      </c>
      <c r="D9281" s="1" t="n">
        <v>45764</v>
      </c>
      <c r="E9281" s="1" t="n">
        <v>46319</v>
      </c>
      <c r="F9281" t="inlineStr">
        <is>
          <t>DALARNAS LÄN</t>
        </is>
      </c>
      <c r="G9281" t="inlineStr">
        <is>
          <t>GAGNEF</t>
        </is>
      </c>
      <c r="I9281" t="n">
        <v>1.4</v>
      </c>
      <c r="J9281" t="n">
        <v>0</v>
      </c>
      <c r="K9281" t="n">
        <v>0</v>
      </c>
      <c r="L9281" t="n">
        <v>0</v>
      </c>
      <c r="M9281" t="n">
        <v>0</v>
      </c>
      <c r="N9281" t="n">
        <v>0</v>
      </c>
      <c r="O9281" t="n">
        <v>0</v>
      </c>
      <c r="P9281" t="n">
        <v>0</v>
      </c>
      <c r="Q9281" t="n">
        <v>0</v>
      </c>
      <c r="R9281" t="n">
        <v>0</v>
      </c>
      <c r="S9281" t="n">
        <v>0</v>
      </c>
      <c r="T9281" t="n">
        <v>0</v>
      </c>
      <c r="U9281" t="n">
        <v>0</v>
      </c>
      <c r="V9281" s="2" t="inlineStr"/>
    </row>
    <row r="9282" ht="15" customHeight="1">
      <c r="A9282" t="inlineStr">
        <is>
          <t>A 25496-2024</t>
        </is>
      </c>
      <c r="B9282" t="inlineStr">
        <is>
          <t>avverkningsanmälan</t>
        </is>
      </c>
      <c r="C9282" t="inlineStr">
        <is>
          <t>Föryngringsavverkning</t>
        </is>
      </c>
      <c r="D9282" s="1" t="n">
        <v>45463</v>
      </c>
      <c r="E9282" s="1" t="n">
        <v>46319</v>
      </c>
      <c r="F9282" t="inlineStr">
        <is>
          <t>DALARNAS LÄN</t>
        </is>
      </c>
      <c r="G9282" t="inlineStr">
        <is>
          <t>VANSBRO</t>
        </is>
      </c>
      <c r="I9282" t="n">
        <v>4.7</v>
      </c>
      <c r="J9282" t="n">
        <v>0</v>
      </c>
      <c r="K9282" t="n">
        <v>0</v>
      </c>
      <c r="L9282" t="n">
        <v>0</v>
      </c>
      <c r="M9282" t="n">
        <v>0</v>
      </c>
      <c r="N9282" t="n">
        <v>0</v>
      </c>
      <c r="O9282" t="n">
        <v>0</v>
      </c>
      <c r="P9282" t="n">
        <v>0</v>
      </c>
      <c r="Q9282" t="n">
        <v>0</v>
      </c>
      <c r="R9282" t="n">
        <v>0</v>
      </c>
      <c r="S9282" t="n">
        <v>0</v>
      </c>
      <c r="T9282" t="n">
        <v>0</v>
      </c>
      <c r="U9282" t="n">
        <v>0</v>
      </c>
      <c r="V9282" s="2" t="inlineStr"/>
    </row>
    <row r="9283" ht="15" customHeight="1">
      <c r="A9283" t="inlineStr">
        <is>
          <t>A 29758-2023</t>
        </is>
      </c>
      <c r="B9283" t="inlineStr">
        <is>
          <t>avverkningsanmälan</t>
        </is>
      </c>
      <c r="C9283" t="inlineStr">
        <is>
          <t>Föryngringsavverkning</t>
        </is>
      </c>
      <c r="D9283" s="1" t="n">
        <v>45107</v>
      </c>
      <c r="E9283" s="1" t="n">
        <v>46319</v>
      </c>
      <c r="F9283" t="inlineStr">
        <is>
          <t>DALARNAS LÄN</t>
        </is>
      </c>
      <c r="G9283" t="inlineStr">
        <is>
          <t>RÄTTVIK</t>
        </is>
      </c>
      <c r="I9283" t="n">
        <v>1.8</v>
      </c>
      <c r="J9283" t="n">
        <v>0</v>
      </c>
      <c r="K9283" t="n">
        <v>0</v>
      </c>
      <c r="L9283" t="n">
        <v>0</v>
      </c>
      <c r="M9283" t="n">
        <v>0</v>
      </c>
      <c r="N9283" t="n">
        <v>0</v>
      </c>
      <c r="O9283" t="n">
        <v>0</v>
      </c>
      <c r="P9283" t="n">
        <v>0</v>
      </c>
      <c r="Q9283" t="n">
        <v>0</v>
      </c>
      <c r="R9283" t="n">
        <v>0</v>
      </c>
      <c r="S9283" t="n">
        <v>0</v>
      </c>
      <c r="T9283" t="n">
        <v>0</v>
      </c>
      <c r="U9283" t="n">
        <v>0</v>
      </c>
      <c r="V9283" s="2" t="inlineStr"/>
    </row>
    <row r="9284" ht="15" customHeight="1">
      <c r="A9284" t="inlineStr">
        <is>
          <t>A 38440-2023</t>
        </is>
      </c>
      <c r="B9284" t="inlineStr">
        <is>
          <t>avverkningsanmälan</t>
        </is>
      </c>
      <c r="C9284" t="inlineStr">
        <is>
          <t>Föryngringsavverkning</t>
        </is>
      </c>
      <c r="D9284" s="1" t="n">
        <v>45162</v>
      </c>
      <c r="E9284" s="1" t="n">
        <v>46319</v>
      </c>
      <c r="F9284" t="inlineStr">
        <is>
          <t>DALARNAS LÄN</t>
        </is>
      </c>
      <c r="G9284" t="inlineStr">
        <is>
          <t>SMEDJEBACKEN</t>
        </is>
      </c>
      <c r="I9284" t="n">
        <v>7.3</v>
      </c>
      <c r="J9284" t="n">
        <v>0</v>
      </c>
      <c r="K9284" t="n">
        <v>0</v>
      </c>
      <c r="L9284" t="n">
        <v>0</v>
      </c>
      <c r="M9284" t="n">
        <v>0</v>
      </c>
      <c r="N9284" t="n">
        <v>0</v>
      </c>
      <c r="O9284" t="n">
        <v>0</v>
      </c>
      <c r="P9284" t="n">
        <v>0</v>
      </c>
      <c r="Q9284" t="n">
        <v>0</v>
      </c>
      <c r="R9284" t="n">
        <v>0</v>
      </c>
      <c r="S9284" t="n">
        <v>0</v>
      </c>
      <c r="T9284" t="n">
        <v>0</v>
      </c>
      <c r="U9284" t="n">
        <v>0</v>
      </c>
      <c r="V9284" s="2" t="inlineStr"/>
    </row>
    <row r="9285" ht="15" customHeight="1">
      <c r="A9285" t="inlineStr">
        <is>
          <t>A 38441-2023</t>
        </is>
      </c>
      <c r="B9285" t="inlineStr">
        <is>
          <t>avverkningsanmälan</t>
        </is>
      </c>
      <c r="C9285" t="inlineStr">
        <is>
          <t>Föryngringsavverkning</t>
        </is>
      </c>
      <c r="D9285" s="1" t="n">
        <v>45162</v>
      </c>
      <c r="E9285" s="1" t="n">
        <v>46319</v>
      </c>
      <c r="F9285" t="inlineStr">
        <is>
          <t>DALARNAS LÄN</t>
        </is>
      </c>
      <c r="G9285" t="inlineStr">
        <is>
          <t>AVESTA</t>
        </is>
      </c>
      <c r="I9285" t="n">
        <v>1.5</v>
      </c>
      <c r="J9285" t="n">
        <v>0</v>
      </c>
      <c r="K9285" t="n">
        <v>0</v>
      </c>
      <c r="L9285" t="n">
        <v>0</v>
      </c>
      <c r="M9285" t="n">
        <v>0</v>
      </c>
      <c r="N9285" t="n">
        <v>0</v>
      </c>
      <c r="O9285" t="n">
        <v>0</v>
      </c>
      <c r="P9285" t="n">
        <v>0</v>
      </c>
      <c r="Q9285" t="n">
        <v>0</v>
      </c>
      <c r="R9285" t="n">
        <v>0</v>
      </c>
      <c r="S9285" t="n">
        <v>0</v>
      </c>
      <c r="T9285" t="n">
        <v>0</v>
      </c>
      <c r="U9285" t="n">
        <v>0</v>
      </c>
      <c r="V9285" s="2" t="inlineStr"/>
    </row>
    <row r="9286" ht="15" customHeight="1">
      <c r="A9286" t="inlineStr">
        <is>
          <t>A 32261-2022</t>
        </is>
      </c>
      <c r="B9286" t="inlineStr">
        <is>
          <t>avverkningsanmälan</t>
        </is>
      </c>
      <c r="C9286" t="inlineStr">
        <is>
          <t>Föryngringsavverkning</t>
        </is>
      </c>
      <c r="D9286" s="1" t="n">
        <v>44781</v>
      </c>
      <c r="E9286" s="1" t="n">
        <v>46319</v>
      </c>
      <c r="F9286" t="inlineStr">
        <is>
          <t>DALARNAS LÄN</t>
        </is>
      </c>
      <c r="G9286" t="inlineStr">
        <is>
          <t>MORA</t>
        </is>
      </c>
      <c r="I9286" t="n">
        <v>2.7</v>
      </c>
      <c r="J9286" t="n">
        <v>0</v>
      </c>
      <c r="K9286" t="n">
        <v>0</v>
      </c>
      <c r="L9286" t="n">
        <v>0</v>
      </c>
      <c r="M9286" t="n">
        <v>0</v>
      </c>
      <c r="N9286" t="n">
        <v>0</v>
      </c>
      <c r="O9286" t="n">
        <v>0</v>
      </c>
      <c r="P9286" t="n">
        <v>0</v>
      </c>
      <c r="Q9286" t="n">
        <v>0</v>
      </c>
      <c r="R9286" t="n">
        <v>0</v>
      </c>
      <c r="S9286" t="n">
        <v>0</v>
      </c>
      <c r="T9286" t="n">
        <v>0</v>
      </c>
      <c r="U9286" t="n">
        <v>0</v>
      </c>
      <c r="V9286" s="2" t="inlineStr"/>
    </row>
    <row r="9287" ht="15" customHeight="1">
      <c r="A9287" t="inlineStr">
        <is>
          <t>A 18293-2024</t>
        </is>
      </c>
      <c r="B9287" t="inlineStr">
        <is>
          <t>avverkningsanmälan</t>
        </is>
      </c>
      <c r="C9287" t="inlineStr">
        <is>
          <t>Föryngringsavverkning</t>
        </is>
      </c>
      <c r="D9287" s="1" t="n">
        <v>45422</v>
      </c>
      <c r="E9287" s="1" t="n">
        <v>46319</v>
      </c>
      <c r="F9287" t="inlineStr">
        <is>
          <t>DALARNAS LÄN</t>
        </is>
      </c>
      <c r="G9287" t="inlineStr">
        <is>
          <t>RÄTTVIK</t>
        </is>
      </c>
      <c r="H9287" t="inlineStr">
        <is>
          <t>Allmännings- och besparingsskogar</t>
        </is>
      </c>
      <c r="I9287" t="n">
        <v>1.2</v>
      </c>
      <c r="J9287" t="n">
        <v>0</v>
      </c>
      <c r="K9287" t="n">
        <v>0</v>
      </c>
      <c r="L9287" t="n">
        <v>0</v>
      </c>
      <c r="M9287" t="n">
        <v>0</v>
      </c>
      <c r="N9287" t="n">
        <v>0</v>
      </c>
      <c r="O9287" t="n">
        <v>0</v>
      </c>
      <c r="P9287" t="n">
        <v>0</v>
      </c>
      <c r="Q9287" t="n">
        <v>0</v>
      </c>
      <c r="R9287" t="n">
        <v>0</v>
      </c>
      <c r="S9287" t="n">
        <v>0</v>
      </c>
      <c r="T9287" t="n">
        <v>0</v>
      </c>
      <c r="U9287" t="n">
        <v>0</v>
      </c>
      <c r="V9287" s="2" t="inlineStr"/>
    </row>
    <row r="9288" ht="15" customHeight="1">
      <c r="A9288" t="inlineStr">
        <is>
          <t>A 22681-2022</t>
        </is>
      </c>
      <c r="B9288" t="inlineStr">
        <is>
          <t>avverkningsanmälan</t>
        </is>
      </c>
      <c r="C9288" t="inlineStr">
        <is>
          <t>Föryngringsavverkning</t>
        </is>
      </c>
      <c r="D9288" s="1" t="n">
        <v>44714</v>
      </c>
      <c r="E9288" s="1" t="n">
        <v>46319</v>
      </c>
      <c r="F9288" t="inlineStr">
        <is>
          <t>DALARNAS LÄN</t>
        </is>
      </c>
      <c r="G9288" t="inlineStr">
        <is>
          <t>LEKSAND</t>
        </is>
      </c>
      <c r="H9288" t="inlineStr">
        <is>
          <t>Bergvik skog väst AB</t>
        </is>
      </c>
      <c r="I9288" t="n">
        <v>2.8</v>
      </c>
      <c r="J9288" t="n">
        <v>0</v>
      </c>
      <c r="K9288" t="n">
        <v>0</v>
      </c>
      <c r="L9288" t="n">
        <v>0</v>
      </c>
      <c r="M9288" t="n">
        <v>0</v>
      </c>
      <c r="N9288" t="n">
        <v>0</v>
      </c>
      <c r="O9288" t="n">
        <v>0</v>
      </c>
      <c r="P9288" t="n">
        <v>0</v>
      </c>
      <c r="Q9288" t="n">
        <v>0</v>
      </c>
      <c r="R9288" t="n">
        <v>0</v>
      </c>
      <c r="S9288" t="n">
        <v>0</v>
      </c>
      <c r="T9288" t="n">
        <v>0</v>
      </c>
      <c r="U9288" t="n">
        <v>0</v>
      </c>
      <c r="V9288" s="2" t="inlineStr"/>
    </row>
    <row r="9289" ht="15" customHeight="1">
      <c r="A9289" t="inlineStr">
        <is>
          <t>A 46656-2023</t>
        </is>
      </c>
      <c r="B9289" t="inlineStr">
        <is>
          <t>avverkningsanmälan</t>
        </is>
      </c>
      <c r="C9289" t="inlineStr">
        <is>
          <t>Föryngringsavverkning</t>
        </is>
      </c>
      <c r="D9289" s="1" t="n">
        <v>45198</v>
      </c>
      <c r="E9289" s="1" t="n">
        <v>46319</v>
      </c>
      <c r="F9289" t="inlineStr">
        <is>
          <t>DALARNAS LÄN</t>
        </is>
      </c>
      <c r="G9289" t="inlineStr">
        <is>
          <t>LUDVIKA</t>
        </is>
      </c>
      <c r="H9289" t="inlineStr">
        <is>
          <t>Bergvik skog väst AB</t>
        </is>
      </c>
      <c r="I9289" t="n">
        <v>2.1</v>
      </c>
      <c r="J9289" t="n">
        <v>0</v>
      </c>
      <c r="K9289" t="n">
        <v>0</v>
      </c>
      <c r="L9289" t="n">
        <v>0</v>
      </c>
      <c r="M9289" t="n">
        <v>0</v>
      </c>
      <c r="N9289" t="n">
        <v>0</v>
      </c>
      <c r="O9289" t="n">
        <v>0</v>
      </c>
      <c r="P9289" t="n">
        <v>0</v>
      </c>
      <c r="Q9289" t="n">
        <v>0</v>
      </c>
      <c r="R9289" t="n">
        <v>0</v>
      </c>
      <c r="S9289" t="n">
        <v>0</v>
      </c>
      <c r="T9289" t="n">
        <v>0</v>
      </c>
      <c r="U9289" t="n">
        <v>0</v>
      </c>
      <c r="V9289" s="2" t="inlineStr"/>
    </row>
    <row r="9290" ht="15" customHeight="1">
      <c r="A9290" t="inlineStr">
        <is>
          <t>A 45589-2023</t>
        </is>
      </c>
      <c r="B9290" t="inlineStr">
        <is>
          <t>avverkningsanmälan</t>
        </is>
      </c>
      <c r="C9290" t="inlineStr">
        <is>
          <t>Föryngringsavverkning</t>
        </is>
      </c>
      <c r="D9290" s="1" t="n">
        <v>45194</v>
      </c>
      <c r="E9290" s="1" t="n">
        <v>46319</v>
      </c>
      <c r="F9290" t="inlineStr">
        <is>
          <t>DALARNAS LÄN</t>
        </is>
      </c>
      <c r="G9290" t="inlineStr">
        <is>
          <t>HEDEMORA</t>
        </is>
      </c>
      <c r="I9290" t="n">
        <v>0.7</v>
      </c>
      <c r="J9290" t="n">
        <v>0</v>
      </c>
      <c r="K9290" t="n">
        <v>0</v>
      </c>
      <c r="L9290" t="n">
        <v>0</v>
      </c>
      <c r="M9290" t="n">
        <v>0</v>
      </c>
      <c r="N9290" t="n">
        <v>0</v>
      </c>
      <c r="O9290" t="n">
        <v>0</v>
      </c>
      <c r="P9290" t="n">
        <v>0</v>
      </c>
      <c r="Q9290" t="n">
        <v>0</v>
      </c>
      <c r="R9290" t="n">
        <v>0</v>
      </c>
      <c r="S9290" t="n">
        <v>0</v>
      </c>
      <c r="T9290" t="n">
        <v>0</v>
      </c>
      <c r="U9290" t="n">
        <v>0</v>
      </c>
      <c r="V9290" s="2" t="inlineStr"/>
    </row>
    <row r="9291" ht="15" customHeight="1">
      <c r="A9291" t="inlineStr">
        <is>
          <t>A 45596-2023</t>
        </is>
      </c>
      <c r="B9291" t="inlineStr">
        <is>
          <t>avverkningsanmälan</t>
        </is>
      </c>
      <c r="C9291" t="inlineStr">
        <is>
          <t>Föryngringsavverkning</t>
        </is>
      </c>
      <c r="D9291" s="1" t="n">
        <v>45194</v>
      </c>
      <c r="E9291" s="1" t="n">
        <v>46319</v>
      </c>
      <c r="F9291" t="inlineStr">
        <is>
          <t>DALARNAS LÄN</t>
        </is>
      </c>
      <c r="G9291" t="inlineStr">
        <is>
          <t>GAGNEF</t>
        </is>
      </c>
      <c r="I9291" t="n">
        <v>4.7</v>
      </c>
      <c r="J9291" t="n">
        <v>0</v>
      </c>
      <c r="K9291" t="n">
        <v>0</v>
      </c>
      <c r="L9291" t="n">
        <v>0</v>
      </c>
      <c r="M9291" t="n">
        <v>0</v>
      </c>
      <c r="N9291" t="n">
        <v>0</v>
      </c>
      <c r="O9291" t="n">
        <v>0</v>
      </c>
      <c r="P9291" t="n">
        <v>0</v>
      </c>
      <c r="Q9291" t="n">
        <v>0</v>
      </c>
      <c r="R9291" t="n">
        <v>0</v>
      </c>
      <c r="S9291" t="n">
        <v>0</v>
      </c>
      <c r="T9291" t="n">
        <v>0</v>
      </c>
      <c r="U9291" t="n">
        <v>0</v>
      </c>
      <c r="V9291" s="2" t="inlineStr"/>
    </row>
    <row r="9292" ht="15" customHeight="1">
      <c r="A9292" t="inlineStr">
        <is>
          <t>A 41416-2023</t>
        </is>
      </c>
      <c r="B9292" t="inlineStr">
        <is>
          <t>avverkningsanmälan</t>
        </is>
      </c>
      <c r="C9292" t="inlineStr">
        <is>
          <t>Föryngringsavverkning</t>
        </is>
      </c>
      <c r="D9292" s="1" t="n">
        <v>45175</v>
      </c>
      <c r="E9292" s="1" t="n">
        <v>46319</v>
      </c>
      <c r="F9292" t="inlineStr">
        <is>
          <t>DALARNAS LÄN</t>
        </is>
      </c>
      <c r="G9292" t="inlineStr">
        <is>
          <t>MALUNG-SÄLEN</t>
        </is>
      </c>
      <c r="I9292" t="n">
        <v>2.7</v>
      </c>
      <c r="J9292" t="n">
        <v>0</v>
      </c>
      <c r="K9292" t="n">
        <v>0</v>
      </c>
      <c r="L9292" t="n">
        <v>0</v>
      </c>
      <c r="M9292" t="n">
        <v>0</v>
      </c>
      <c r="N9292" t="n">
        <v>0</v>
      </c>
      <c r="O9292" t="n">
        <v>0</v>
      </c>
      <c r="P9292" t="n">
        <v>0</v>
      </c>
      <c r="Q9292" t="n">
        <v>0</v>
      </c>
      <c r="R9292" t="n">
        <v>0</v>
      </c>
      <c r="S9292" t="n">
        <v>0</v>
      </c>
      <c r="T9292" t="n">
        <v>0</v>
      </c>
      <c r="U9292" t="n">
        <v>0</v>
      </c>
      <c r="V9292" s="2" t="inlineStr"/>
    </row>
    <row r="9293" ht="15" customHeight="1">
      <c r="A9293" t="inlineStr">
        <is>
          <t>A 24617-2022</t>
        </is>
      </c>
      <c r="B9293" t="inlineStr">
        <is>
          <t>avverkningsanmälan</t>
        </is>
      </c>
      <c r="C9293" t="inlineStr">
        <is>
          <t>Föryngringsavverkning</t>
        </is>
      </c>
      <c r="D9293" s="1" t="n">
        <v>44727</v>
      </c>
      <c r="E9293" s="1" t="n">
        <v>46319</v>
      </c>
      <c r="F9293" t="inlineStr">
        <is>
          <t>DALARNAS LÄN</t>
        </is>
      </c>
      <c r="G9293" t="inlineStr">
        <is>
          <t>SÄTER</t>
        </is>
      </c>
      <c r="I9293" t="n">
        <v>0.8</v>
      </c>
      <c r="J9293" t="n">
        <v>0</v>
      </c>
      <c r="K9293" t="n">
        <v>0</v>
      </c>
      <c r="L9293" t="n">
        <v>0</v>
      </c>
      <c r="M9293" t="n">
        <v>0</v>
      </c>
      <c r="N9293" t="n">
        <v>0</v>
      </c>
      <c r="O9293" t="n">
        <v>0</v>
      </c>
      <c r="P9293" t="n">
        <v>0</v>
      </c>
      <c r="Q9293" t="n">
        <v>0</v>
      </c>
      <c r="R9293" t="n">
        <v>0</v>
      </c>
      <c r="S9293" t="n">
        <v>0</v>
      </c>
      <c r="T9293" t="n">
        <v>0</v>
      </c>
      <c r="U9293" t="n">
        <v>0</v>
      </c>
      <c r="V9293" s="2" t="inlineStr"/>
    </row>
    <row r="9294" ht="15" customHeight="1">
      <c r="A9294" t="inlineStr">
        <is>
          <t>A 48683-2023</t>
        </is>
      </c>
      <c r="B9294" t="inlineStr">
        <is>
          <t>avverkningsanmälan</t>
        </is>
      </c>
      <c r="C9294" t="inlineStr">
        <is>
          <t>Föryngringsavverkning</t>
        </is>
      </c>
      <c r="D9294" s="1" t="n">
        <v>45208</v>
      </c>
      <c r="E9294" s="1" t="n">
        <v>46319</v>
      </c>
      <c r="F9294" t="inlineStr">
        <is>
          <t>DALARNAS LÄN</t>
        </is>
      </c>
      <c r="G9294" t="inlineStr">
        <is>
          <t>LUDVIKA</t>
        </is>
      </c>
      <c r="I9294" t="n">
        <v>1.3</v>
      </c>
      <c r="J9294" t="n">
        <v>0</v>
      </c>
      <c r="K9294" t="n">
        <v>0</v>
      </c>
      <c r="L9294" t="n">
        <v>0</v>
      </c>
      <c r="M9294" t="n">
        <v>0</v>
      </c>
      <c r="N9294" t="n">
        <v>0</v>
      </c>
      <c r="O9294" t="n">
        <v>0</v>
      </c>
      <c r="P9294" t="n">
        <v>0</v>
      </c>
      <c r="Q9294" t="n">
        <v>0</v>
      </c>
      <c r="R9294" t="n">
        <v>0</v>
      </c>
      <c r="S9294" t="n">
        <v>0</v>
      </c>
      <c r="T9294" t="n">
        <v>0</v>
      </c>
      <c r="U9294" t="n">
        <v>0</v>
      </c>
      <c r="V9294" s="2" t="inlineStr"/>
    </row>
    <row r="9295" ht="15" customHeight="1">
      <c r="A9295" t="inlineStr">
        <is>
          <t>A 48825-2023</t>
        </is>
      </c>
      <c r="B9295" t="inlineStr">
        <is>
          <t>avverkningsanmälan</t>
        </is>
      </c>
      <c r="C9295" t="inlineStr">
        <is>
          <t>Föryngringsavverkning</t>
        </is>
      </c>
      <c r="D9295" s="1" t="n">
        <v>45203</v>
      </c>
      <c r="E9295" s="1" t="n">
        <v>46319</v>
      </c>
      <c r="F9295" t="inlineStr">
        <is>
          <t>DALARNAS LÄN</t>
        </is>
      </c>
      <c r="G9295" t="inlineStr">
        <is>
          <t>MORA</t>
        </is>
      </c>
      <c r="I9295" t="n">
        <v>7.9</v>
      </c>
      <c r="J9295" t="n">
        <v>0</v>
      </c>
      <c r="K9295" t="n">
        <v>0</v>
      </c>
      <c r="L9295" t="n">
        <v>0</v>
      </c>
      <c r="M9295" t="n">
        <v>0</v>
      </c>
      <c r="N9295" t="n">
        <v>0</v>
      </c>
      <c r="O9295" t="n">
        <v>0</v>
      </c>
      <c r="P9295" t="n">
        <v>0</v>
      </c>
      <c r="Q9295" t="n">
        <v>0</v>
      </c>
      <c r="R9295" t="n">
        <v>0</v>
      </c>
      <c r="S9295" t="n">
        <v>0</v>
      </c>
      <c r="T9295" t="n">
        <v>0</v>
      </c>
      <c r="U9295" t="n">
        <v>0</v>
      </c>
      <c r="V9295" s="2" t="inlineStr"/>
    </row>
    <row r="9296" ht="15" customHeight="1">
      <c r="A9296" t="inlineStr">
        <is>
          <t>A 40290-2023</t>
        </is>
      </c>
      <c r="B9296" t="inlineStr">
        <is>
          <t>avverkningsanmälan</t>
        </is>
      </c>
      <c r="C9296" t="inlineStr">
        <is>
          <t>Föryngringsavverkning</t>
        </is>
      </c>
      <c r="D9296" s="1" t="n">
        <v>45169</v>
      </c>
      <c r="E9296" s="1" t="n">
        <v>46319</v>
      </c>
      <c r="F9296" t="inlineStr">
        <is>
          <t>DALARNAS LÄN</t>
        </is>
      </c>
      <c r="G9296" t="inlineStr">
        <is>
          <t>VANSBRO</t>
        </is>
      </c>
      <c r="I9296" t="n">
        <v>1.6</v>
      </c>
      <c r="J9296" t="n">
        <v>0</v>
      </c>
      <c r="K9296" t="n">
        <v>0</v>
      </c>
      <c r="L9296" t="n">
        <v>0</v>
      </c>
      <c r="M9296" t="n">
        <v>0</v>
      </c>
      <c r="N9296" t="n">
        <v>0</v>
      </c>
      <c r="O9296" t="n">
        <v>0</v>
      </c>
      <c r="P9296" t="n">
        <v>0</v>
      </c>
      <c r="Q9296" t="n">
        <v>0</v>
      </c>
      <c r="R9296" t="n">
        <v>0</v>
      </c>
      <c r="S9296" t="n">
        <v>0</v>
      </c>
      <c r="T9296" t="n">
        <v>0</v>
      </c>
      <c r="U9296" t="n">
        <v>0</v>
      </c>
      <c r="V9296" s="2" t="inlineStr"/>
    </row>
    <row r="9297" ht="15" customHeight="1">
      <c r="A9297" t="inlineStr">
        <is>
          <t>A 40313-2023</t>
        </is>
      </c>
      <c r="B9297" t="inlineStr">
        <is>
          <t>avverkningsanmälan</t>
        </is>
      </c>
      <c r="C9297" t="inlineStr">
        <is>
          <t>Föryngringsavverkning</t>
        </is>
      </c>
      <c r="D9297" s="1" t="n">
        <v>45168</v>
      </c>
      <c r="E9297" s="1" t="n">
        <v>46319</v>
      </c>
      <c r="F9297" t="inlineStr">
        <is>
          <t>DALARNAS LÄN</t>
        </is>
      </c>
      <c r="G9297" t="inlineStr">
        <is>
          <t>RÄTTVIK</t>
        </is>
      </c>
      <c r="I9297" t="n">
        <v>1.3</v>
      </c>
      <c r="J9297" t="n">
        <v>0</v>
      </c>
      <c r="K9297" t="n">
        <v>0</v>
      </c>
      <c r="L9297" t="n">
        <v>0</v>
      </c>
      <c r="M9297" t="n">
        <v>0</v>
      </c>
      <c r="N9297" t="n">
        <v>0</v>
      </c>
      <c r="O9297" t="n">
        <v>0</v>
      </c>
      <c r="P9297" t="n">
        <v>0</v>
      </c>
      <c r="Q9297" t="n">
        <v>0</v>
      </c>
      <c r="R9297" t="n">
        <v>0</v>
      </c>
      <c r="S9297" t="n">
        <v>0</v>
      </c>
      <c r="T9297" t="n">
        <v>0</v>
      </c>
      <c r="U9297" t="n">
        <v>0</v>
      </c>
      <c r="V9297" s="2" t="inlineStr"/>
    </row>
    <row r="9298" ht="15" customHeight="1">
      <c r="A9298" t="inlineStr">
        <is>
          <t>A 30196-2023</t>
        </is>
      </c>
      <c r="B9298" t="inlineStr">
        <is>
          <t>avverkningsanmälan</t>
        </is>
      </c>
      <c r="C9298" t="inlineStr">
        <is>
          <t>Avverkning för att bevara och utveckla /försöksver</t>
        </is>
      </c>
      <c r="D9298" s="1" t="n">
        <v>45110</v>
      </c>
      <c r="E9298" s="1" t="n">
        <v>46319</v>
      </c>
      <c r="F9298" t="inlineStr">
        <is>
          <t>DALARNAS LÄN</t>
        </is>
      </c>
      <c r="G9298" t="inlineStr">
        <is>
          <t>LEKSAND</t>
        </is>
      </c>
      <c r="I9298" t="n">
        <v>1.2</v>
      </c>
      <c r="J9298" t="n">
        <v>0</v>
      </c>
      <c r="K9298" t="n">
        <v>0</v>
      </c>
      <c r="L9298" t="n">
        <v>0</v>
      </c>
      <c r="M9298" t="n">
        <v>0</v>
      </c>
      <c r="N9298" t="n">
        <v>0</v>
      </c>
      <c r="O9298" t="n">
        <v>0</v>
      </c>
      <c r="P9298" t="n">
        <v>0</v>
      </c>
      <c r="Q9298" t="n">
        <v>0</v>
      </c>
      <c r="R9298" t="n">
        <v>0</v>
      </c>
      <c r="S9298" t="n">
        <v>0</v>
      </c>
      <c r="T9298" t="n">
        <v>0</v>
      </c>
      <c r="U9298" t="n">
        <v>0</v>
      </c>
      <c r="V9298" s="2" t="inlineStr"/>
    </row>
    <row r="9299" ht="15" customHeight="1">
      <c r="A9299" t="inlineStr">
        <is>
          <t>A 52507-2023</t>
        </is>
      </c>
      <c r="B9299" t="inlineStr">
        <is>
          <t>avverkningsanmälan</t>
        </is>
      </c>
      <c r="C9299" t="inlineStr">
        <is>
          <t>Föryngringsavverkning</t>
        </is>
      </c>
      <c r="D9299" s="1" t="n">
        <v>45225</v>
      </c>
      <c r="E9299" s="1" t="n">
        <v>46319</v>
      </c>
      <c r="F9299" t="inlineStr">
        <is>
          <t>DALARNAS LÄN</t>
        </is>
      </c>
      <c r="G9299" t="inlineStr">
        <is>
          <t>MALUNG-SÄLEN</t>
        </is>
      </c>
      <c r="I9299" t="n">
        <v>2.5</v>
      </c>
      <c r="J9299" t="n">
        <v>0</v>
      </c>
      <c r="K9299" t="n">
        <v>0</v>
      </c>
      <c r="L9299" t="n">
        <v>0</v>
      </c>
      <c r="M9299" t="n">
        <v>0</v>
      </c>
      <c r="N9299" t="n">
        <v>0</v>
      </c>
      <c r="O9299" t="n">
        <v>0</v>
      </c>
      <c r="P9299" t="n">
        <v>0</v>
      </c>
      <c r="Q9299" t="n">
        <v>0</v>
      </c>
      <c r="R9299" t="n">
        <v>0</v>
      </c>
      <c r="S9299" t="n">
        <v>0</v>
      </c>
      <c r="T9299" t="n">
        <v>0</v>
      </c>
      <c r="U9299" t="n">
        <v>0</v>
      </c>
      <c r="V9299" s="2" t="inlineStr"/>
    </row>
    <row r="9300" ht="15" customHeight="1">
      <c r="A9300" t="inlineStr">
        <is>
          <t>A 51251-2023</t>
        </is>
      </c>
      <c r="B9300" t="inlineStr">
        <is>
          <t>avverkningsanmälan</t>
        </is>
      </c>
      <c r="C9300" t="inlineStr">
        <is>
          <t>Föryngringsavverkning</t>
        </is>
      </c>
      <c r="D9300" s="1" t="n">
        <v>45219</v>
      </c>
      <c r="E9300" s="1" t="n">
        <v>46319</v>
      </c>
      <c r="F9300" t="inlineStr">
        <is>
          <t>DALARNAS LÄN</t>
        </is>
      </c>
      <c r="G9300" t="inlineStr">
        <is>
          <t>GAGNEF</t>
        </is>
      </c>
      <c r="I9300" t="n">
        <v>2.2</v>
      </c>
      <c r="J9300" t="n">
        <v>0</v>
      </c>
      <c r="K9300" t="n">
        <v>0</v>
      </c>
      <c r="L9300" t="n">
        <v>0</v>
      </c>
      <c r="M9300" t="n">
        <v>0</v>
      </c>
      <c r="N9300" t="n">
        <v>0</v>
      </c>
      <c r="O9300" t="n">
        <v>0</v>
      </c>
      <c r="P9300" t="n">
        <v>0</v>
      </c>
      <c r="Q9300" t="n">
        <v>0</v>
      </c>
      <c r="R9300" t="n">
        <v>0</v>
      </c>
      <c r="S9300" t="n">
        <v>0</v>
      </c>
      <c r="T9300" t="n">
        <v>0</v>
      </c>
      <c r="U9300" t="n">
        <v>0</v>
      </c>
      <c r="V9300" s="2" t="inlineStr"/>
    </row>
    <row r="9301" ht="15" customHeight="1">
      <c r="A9301" t="inlineStr">
        <is>
          <t>A 46315-2023</t>
        </is>
      </c>
      <c r="B9301" t="inlineStr">
        <is>
          <t>avverkningsanmälan</t>
        </is>
      </c>
      <c r="C9301" t="inlineStr">
        <is>
          <t>Föryngringsavverkning</t>
        </is>
      </c>
      <c r="D9301" s="1" t="n">
        <v>45191</v>
      </c>
      <c r="E9301" s="1" t="n">
        <v>46319</v>
      </c>
      <c r="F9301" t="inlineStr">
        <is>
          <t>DALARNAS LÄN</t>
        </is>
      </c>
      <c r="G9301" t="inlineStr">
        <is>
          <t>AVESTA</t>
        </is>
      </c>
      <c r="H9301" t="inlineStr">
        <is>
          <t>Bergvik skog väst AB</t>
        </is>
      </c>
      <c r="I9301" t="n">
        <v>12.2</v>
      </c>
      <c r="J9301" t="n">
        <v>0</v>
      </c>
      <c r="K9301" t="n">
        <v>0</v>
      </c>
      <c r="L9301" t="n">
        <v>0</v>
      </c>
      <c r="M9301" t="n">
        <v>0</v>
      </c>
      <c r="N9301" t="n">
        <v>0</v>
      </c>
      <c r="O9301" t="n">
        <v>0</v>
      </c>
      <c r="P9301" t="n">
        <v>0</v>
      </c>
      <c r="Q9301" t="n">
        <v>0</v>
      </c>
      <c r="R9301" t="n">
        <v>0</v>
      </c>
      <c r="S9301" t="n">
        <v>0</v>
      </c>
      <c r="T9301" t="n">
        <v>0</v>
      </c>
      <c r="U9301" t="n">
        <v>0</v>
      </c>
      <c r="V9301" s="2" t="inlineStr"/>
    </row>
    <row r="9302" ht="15" customHeight="1">
      <c r="A9302" t="inlineStr">
        <is>
          <t>A 46446-2023</t>
        </is>
      </c>
      <c r="B9302" t="inlineStr">
        <is>
          <t>avverkningsanmälan</t>
        </is>
      </c>
      <c r="C9302" t="inlineStr">
        <is>
          <t>Föryngringsavverkning</t>
        </is>
      </c>
      <c r="D9302" s="1" t="n">
        <v>45197</v>
      </c>
      <c r="E9302" s="1" t="n">
        <v>46319</v>
      </c>
      <c r="F9302" t="inlineStr">
        <is>
          <t>DALARNAS LÄN</t>
        </is>
      </c>
      <c r="G9302" t="inlineStr">
        <is>
          <t>LEKSAND</t>
        </is>
      </c>
      <c r="I9302" t="n">
        <v>1</v>
      </c>
      <c r="J9302" t="n">
        <v>0</v>
      </c>
      <c r="K9302" t="n">
        <v>0</v>
      </c>
      <c r="L9302" t="n">
        <v>0</v>
      </c>
      <c r="M9302" t="n">
        <v>0</v>
      </c>
      <c r="N9302" t="n">
        <v>0</v>
      </c>
      <c r="O9302" t="n">
        <v>0</v>
      </c>
      <c r="P9302" t="n">
        <v>0</v>
      </c>
      <c r="Q9302" t="n">
        <v>0</v>
      </c>
      <c r="R9302" t="n">
        <v>0</v>
      </c>
      <c r="S9302" t="n">
        <v>0</v>
      </c>
      <c r="T9302" t="n">
        <v>0</v>
      </c>
      <c r="U9302" t="n">
        <v>0</v>
      </c>
      <c r="V9302" s="2" t="inlineStr"/>
    </row>
    <row r="9303" ht="15" customHeight="1">
      <c r="A9303" t="inlineStr">
        <is>
          <t>A 58234-2023</t>
        </is>
      </c>
      <c r="B9303" t="inlineStr">
        <is>
          <t>avverkningsanmälan</t>
        </is>
      </c>
      <c r="C9303" t="inlineStr">
        <is>
          <t>Avverkning för att bevara och utveckla /försöksver</t>
        </is>
      </c>
      <c r="D9303" s="1" t="n">
        <v>45250</v>
      </c>
      <c r="E9303" s="1" t="n">
        <v>46319</v>
      </c>
      <c r="F9303" t="inlineStr">
        <is>
          <t>DALARNAS LÄN</t>
        </is>
      </c>
      <c r="G9303" t="inlineStr">
        <is>
          <t>SMEDJEBACKEN</t>
        </is>
      </c>
      <c r="I9303" t="n">
        <v>2.3</v>
      </c>
      <c r="J9303" t="n">
        <v>0</v>
      </c>
      <c r="K9303" t="n">
        <v>0</v>
      </c>
      <c r="L9303" t="n">
        <v>0</v>
      </c>
      <c r="M9303" t="n">
        <v>0</v>
      </c>
      <c r="N9303" t="n">
        <v>0</v>
      </c>
      <c r="O9303" t="n">
        <v>0</v>
      </c>
      <c r="P9303" t="n">
        <v>0</v>
      </c>
      <c r="Q9303" t="n">
        <v>0</v>
      </c>
      <c r="R9303" t="n">
        <v>0</v>
      </c>
      <c r="S9303" t="n">
        <v>0</v>
      </c>
      <c r="T9303" t="n">
        <v>0</v>
      </c>
      <c r="U9303" t="n">
        <v>0</v>
      </c>
      <c r="V9303" s="2" t="inlineStr"/>
    </row>
    <row r="9304" ht="15" customHeight="1">
      <c r="A9304" t="inlineStr">
        <is>
          <t>A 40654-2022</t>
        </is>
      </c>
      <c r="B9304" t="inlineStr">
        <is>
          <t>avverkningsanmälan</t>
        </is>
      </c>
      <c r="C9304" t="inlineStr">
        <is>
          <t>Föryngringsavverkning</t>
        </is>
      </c>
      <c r="D9304" s="1" t="n">
        <v>44824</v>
      </c>
      <c r="E9304" s="1" t="n">
        <v>46319</v>
      </c>
      <c r="F9304" t="inlineStr">
        <is>
          <t>DALARNAS LÄN</t>
        </is>
      </c>
      <c r="G9304" t="inlineStr">
        <is>
          <t>BORLÄNGE</t>
        </is>
      </c>
      <c r="I9304" t="n">
        <v>5.3</v>
      </c>
      <c r="J9304" t="n">
        <v>0</v>
      </c>
      <c r="K9304" t="n">
        <v>0</v>
      </c>
      <c r="L9304" t="n">
        <v>0</v>
      </c>
      <c r="M9304" t="n">
        <v>0</v>
      </c>
      <c r="N9304" t="n">
        <v>0</v>
      </c>
      <c r="O9304" t="n">
        <v>0</v>
      </c>
      <c r="P9304" t="n">
        <v>0</v>
      </c>
      <c r="Q9304" t="n">
        <v>0</v>
      </c>
      <c r="R9304" t="n">
        <v>0</v>
      </c>
      <c r="S9304" t="n">
        <v>0</v>
      </c>
      <c r="T9304" t="n">
        <v>0</v>
      </c>
      <c r="U9304" t="n">
        <v>0</v>
      </c>
      <c r="V9304" s="2" t="inlineStr"/>
    </row>
    <row r="9305" ht="15" customHeight="1">
      <c r="A9305" t="inlineStr">
        <is>
          <t>A 48459-2023</t>
        </is>
      </c>
      <c r="B9305" t="inlineStr">
        <is>
          <t>avverkningsanmälan</t>
        </is>
      </c>
      <c r="C9305" t="inlineStr">
        <is>
          <t>Föryngringsavverkning</t>
        </is>
      </c>
      <c r="D9305" s="1" t="n">
        <v>45206</v>
      </c>
      <c r="E9305" s="1" t="n">
        <v>46319</v>
      </c>
      <c r="F9305" t="inlineStr">
        <is>
          <t>DALARNAS LÄN</t>
        </is>
      </c>
      <c r="G9305" t="inlineStr">
        <is>
          <t>SMEDJEBACKEN</t>
        </is>
      </c>
      <c r="H9305" t="inlineStr">
        <is>
          <t>Sveaskog</t>
        </is>
      </c>
      <c r="I9305" t="n">
        <v>5.2</v>
      </c>
      <c r="J9305" t="n">
        <v>0</v>
      </c>
      <c r="K9305" t="n">
        <v>0</v>
      </c>
      <c r="L9305" t="n">
        <v>0</v>
      </c>
      <c r="M9305" t="n">
        <v>0</v>
      </c>
      <c r="N9305" t="n">
        <v>0</v>
      </c>
      <c r="O9305" t="n">
        <v>0</v>
      </c>
      <c r="P9305" t="n">
        <v>0</v>
      </c>
      <c r="Q9305" t="n">
        <v>0</v>
      </c>
      <c r="R9305" t="n">
        <v>0</v>
      </c>
      <c r="S9305" t="n">
        <v>0</v>
      </c>
      <c r="T9305" t="n">
        <v>0</v>
      </c>
      <c r="U9305" t="n">
        <v>0</v>
      </c>
      <c r="V9305" s="2" t="inlineStr"/>
    </row>
    <row r="9306" ht="15" customHeight="1">
      <c r="A9306" t="inlineStr">
        <is>
          <t>A 48530-2023</t>
        </is>
      </c>
      <c r="B9306" t="inlineStr">
        <is>
          <t>avverkningsanmälan</t>
        </is>
      </c>
      <c r="C9306" t="inlineStr">
        <is>
          <t>Föryngringsavverkning</t>
        </is>
      </c>
      <c r="D9306" s="1" t="n">
        <v>45208</v>
      </c>
      <c r="E9306" s="1" t="n">
        <v>46319</v>
      </c>
      <c r="F9306" t="inlineStr">
        <is>
          <t>DALARNAS LÄN</t>
        </is>
      </c>
      <c r="G9306" t="inlineStr">
        <is>
          <t>SMEDJEBACKEN</t>
        </is>
      </c>
      <c r="I9306" t="n">
        <v>2.2</v>
      </c>
      <c r="J9306" t="n">
        <v>0</v>
      </c>
      <c r="K9306" t="n">
        <v>0</v>
      </c>
      <c r="L9306" t="n">
        <v>0</v>
      </c>
      <c r="M9306" t="n">
        <v>0</v>
      </c>
      <c r="N9306" t="n">
        <v>0</v>
      </c>
      <c r="O9306" t="n">
        <v>0</v>
      </c>
      <c r="P9306" t="n">
        <v>0</v>
      </c>
      <c r="Q9306" t="n">
        <v>0</v>
      </c>
      <c r="R9306" t="n">
        <v>0</v>
      </c>
      <c r="S9306" t="n">
        <v>0</v>
      </c>
      <c r="T9306" t="n">
        <v>0</v>
      </c>
      <c r="U9306" t="n">
        <v>0</v>
      </c>
      <c r="V9306" s="2" t="inlineStr"/>
    </row>
    <row r="9307" ht="15" customHeight="1">
      <c r="A9307" t="inlineStr">
        <is>
          <t>A 25396-2024</t>
        </is>
      </c>
      <c r="B9307" t="inlineStr">
        <is>
          <t>avverkningsanmälan</t>
        </is>
      </c>
      <c r="C9307" t="inlineStr">
        <is>
          <t>Föryngringsavverkning</t>
        </is>
      </c>
      <c r="D9307" s="1" t="n">
        <v>45463</v>
      </c>
      <c r="E9307" s="1" t="n">
        <v>46319</v>
      </c>
      <c r="F9307" t="inlineStr">
        <is>
          <t>DALARNAS LÄN</t>
        </is>
      </c>
      <c r="G9307" t="inlineStr">
        <is>
          <t>SMEDJEBACKEN</t>
        </is>
      </c>
      <c r="I9307" t="n">
        <v>0.5</v>
      </c>
      <c r="J9307" t="n">
        <v>0</v>
      </c>
      <c r="K9307" t="n">
        <v>0</v>
      </c>
      <c r="L9307" t="n">
        <v>0</v>
      </c>
      <c r="M9307" t="n">
        <v>0</v>
      </c>
      <c r="N9307" t="n">
        <v>0</v>
      </c>
      <c r="O9307" t="n">
        <v>0</v>
      </c>
      <c r="P9307" t="n">
        <v>0</v>
      </c>
      <c r="Q9307" t="n">
        <v>0</v>
      </c>
      <c r="R9307" t="n">
        <v>0</v>
      </c>
      <c r="S9307" t="n">
        <v>0</v>
      </c>
      <c r="T9307" t="n">
        <v>0</v>
      </c>
      <c r="U9307" t="n">
        <v>0</v>
      </c>
      <c r="V9307" s="2" t="inlineStr"/>
    </row>
    <row r="9308" ht="15" customHeight="1">
      <c r="A9308" t="inlineStr">
        <is>
          <t>A 21859-2022</t>
        </is>
      </c>
      <c r="B9308" t="inlineStr">
        <is>
          <t>avverkningsanmälan</t>
        </is>
      </c>
      <c r="C9308" t="inlineStr">
        <is>
          <t>Föryngringsavverkning</t>
        </is>
      </c>
      <c r="D9308" s="1" t="n">
        <v>44711</v>
      </c>
      <c r="E9308" s="1" t="n">
        <v>46319</v>
      </c>
      <c r="F9308" t="inlineStr">
        <is>
          <t>DALARNAS LÄN</t>
        </is>
      </c>
      <c r="G9308" t="inlineStr">
        <is>
          <t>SÄTER</t>
        </is>
      </c>
      <c r="H9308" t="inlineStr">
        <is>
          <t>Bergvik skog väst AB</t>
        </is>
      </c>
      <c r="I9308" t="n">
        <v>1.2</v>
      </c>
      <c r="J9308" t="n">
        <v>0</v>
      </c>
      <c r="K9308" t="n">
        <v>0</v>
      </c>
      <c r="L9308" t="n">
        <v>0</v>
      </c>
      <c r="M9308" t="n">
        <v>0</v>
      </c>
      <c r="N9308" t="n">
        <v>0</v>
      </c>
      <c r="O9308" t="n">
        <v>0</v>
      </c>
      <c r="P9308" t="n">
        <v>0</v>
      </c>
      <c r="Q9308" t="n">
        <v>0</v>
      </c>
      <c r="R9308" t="n">
        <v>0</v>
      </c>
      <c r="S9308" t="n">
        <v>0</v>
      </c>
      <c r="T9308" t="n">
        <v>0</v>
      </c>
      <c r="U9308" t="n">
        <v>0</v>
      </c>
      <c r="V9308" s="2" t="inlineStr"/>
    </row>
    <row r="9309" ht="15" customHeight="1">
      <c r="A9309" t="inlineStr">
        <is>
          <t>A 43658-2023</t>
        </is>
      </c>
      <c r="B9309" t="inlineStr">
        <is>
          <t>avverkningsanmälan</t>
        </is>
      </c>
      <c r="C9309" t="inlineStr">
        <is>
          <t>Föryngringsavverkning</t>
        </is>
      </c>
      <c r="D9309" s="1" t="n">
        <v>45187</v>
      </c>
      <c r="E9309" s="1" t="n">
        <v>46319</v>
      </c>
      <c r="F9309" t="inlineStr">
        <is>
          <t>DALARNAS LÄN</t>
        </is>
      </c>
      <c r="G9309" t="inlineStr">
        <is>
          <t>VANSBRO</t>
        </is>
      </c>
      <c r="I9309" t="n">
        <v>7.8</v>
      </c>
      <c r="J9309" t="n">
        <v>0</v>
      </c>
      <c r="K9309" t="n">
        <v>0</v>
      </c>
      <c r="L9309" t="n">
        <v>0</v>
      </c>
      <c r="M9309" t="n">
        <v>0</v>
      </c>
      <c r="N9309" t="n">
        <v>0</v>
      </c>
      <c r="O9309" t="n">
        <v>0</v>
      </c>
      <c r="P9309" t="n">
        <v>0</v>
      </c>
      <c r="Q9309" t="n">
        <v>0</v>
      </c>
      <c r="R9309" t="n">
        <v>0</v>
      </c>
      <c r="S9309" t="n">
        <v>0</v>
      </c>
      <c r="T9309" t="n">
        <v>0</v>
      </c>
      <c r="U9309" t="n">
        <v>0</v>
      </c>
      <c r="V9309" s="2" t="inlineStr"/>
    </row>
    <row r="9310" ht="15" customHeight="1">
      <c r="A9310" t="inlineStr">
        <is>
          <t>A 34409-2022</t>
        </is>
      </c>
      <c r="B9310" t="inlineStr">
        <is>
          <t>avverkningsanmälan</t>
        </is>
      </c>
      <c r="C9310" t="inlineStr">
        <is>
          <t>Föryngringsavverkning</t>
        </is>
      </c>
      <c r="D9310" s="1" t="n">
        <v>44792</v>
      </c>
      <c r="E9310" s="1" t="n">
        <v>46319</v>
      </c>
      <c r="F9310" t="inlineStr">
        <is>
          <t>DALARNAS LÄN</t>
        </is>
      </c>
      <c r="G9310" t="inlineStr">
        <is>
          <t>HEDEMORA</t>
        </is>
      </c>
      <c r="I9310" t="n">
        <v>13.7</v>
      </c>
      <c r="J9310" t="n">
        <v>0</v>
      </c>
      <c r="K9310" t="n">
        <v>0</v>
      </c>
      <c r="L9310" t="n">
        <v>0</v>
      </c>
      <c r="M9310" t="n">
        <v>0</v>
      </c>
      <c r="N9310" t="n">
        <v>0</v>
      </c>
      <c r="O9310" t="n">
        <v>0</v>
      </c>
      <c r="P9310" t="n">
        <v>0</v>
      </c>
      <c r="Q9310" t="n">
        <v>0</v>
      </c>
      <c r="R9310" t="n">
        <v>0</v>
      </c>
      <c r="S9310" t="n">
        <v>0</v>
      </c>
      <c r="T9310" t="n">
        <v>0</v>
      </c>
      <c r="U9310" t="n">
        <v>0</v>
      </c>
      <c r="V9310" s="2" t="inlineStr"/>
    </row>
    <row r="9311" ht="15" customHeight="1">
      <c r="A9311" t="inlineStr">
        <is>
          <t>A 5953-2025</t>
        </is>
      </c>
      <c r="B9311" t="inlineStr">
        <is>
          <t>avverkningsanmälan</t>
        </is>
      </c>
      <c r="C9311" t="inlineStr">
        <is>
          <t>Föryngringsavverkning</t>
        </is>
      </c>
      <c r="D9311" s="1" t="n">
        <v>45695</v>
      </c>
      <c r="E9311" s="1" t="n">
        <v>46319</v>
      </c>
      <c r="F9311" t="inlineStr">
        <is>
          <t>DALARNAS LÄN</t>
        </is>
      </c>
      <c r="G9311" t="inlineStr">
        <is>
          <t>RÄTTVIK</t>
        </is>
      </c>
      <c r="I9311" t="n">
        <v>0.9</v>
      </c>
      <c r="J9311" t="n">
        <v>0</v>
      </c>
      <c r="K9311" t="n">
        <v>0</v>
      </c>
      <c r="L9311" t="n">
        <v>0</v>
      </c>
      <c r="M9311" t="n">
        <v>0</v>
      </c>
      <c r="N9311" t="n">
        <v>0</v>
      </c>
      <c r="O9311" t="n">
        <v>0</v>
      </c>
      <c r="P9311" t="n">
        <v>0</v>
      </c>
      <c r="Q9311" t="n">
        <v>0</v>
      </c>
      <c r="R9311" t="n">
        <v>0</v>
      </c>
      <c r="S9311" t="n">
        <v>0</v>
      </c>
      <c r="T9311" t="n">
        <v>0</v>
      </c>
      <c r="U9311" t="n">
        <v>0</v>
      </c>
      <c r="V9311" s="2" t="inlineStr"/>
    </row>
    <row r="9312" ht="15" customHeight="1">
      <c r="A9312" t="inlineStr">
        <is>
          <t>A 34507-2022</t>
        </is>
      </c>
      <c r="B9312" t="inlineStr">
        <is>
          <t>avverkningsanmälan</t>
        </is>
      </c>
      <c r="C9312" t="inlineStr">
        <is>
          <t>Föryngringsavverkning</t>
        </is>
      </c>
      <c r="D9312" s="1" t="n">
        <v>44792</v>
      </c>
      <c r="E9312" s="1" t="n">
        <v>46319</v>
      </c>
      <c r="F9312" t="inlineStr">
        <is>
          <t>DALARNAS LÄN</t>
        </is>
      </c>
      <c r="G9312" t="inlineStr">
        <is>
          <t>FALUN</t>
        </is>
      </c>
      <c r="I9312" t="n">
        <v>1.6</v>
      </c>
      <c r="J9312" t="n">
        <v>0</v>
      </c>
      <c r="K9312" t="n">
        <v>0</v>
      </c>
      <c r="L9312" t="n">
        <v>0</v>
      </c>
      <c r="M9312" t="n">
        <v>0</v>
      </c>
      <c r="N9312" t="n">
        <v>0</v>
      </c>
      <c r="O9312" t="n">
        <v>0</v>
      </c>
      <c r="P9312" t="n">
        <v>0</v>
      </c>
      <c r="Q9312" t="n">
        <v>0</v>
      </c>
      <c r="R9312" t="n">
        <v>0</v>
      </c>
      <c r="S9312" t="n">
        <v>0</v>
      </c>
      <c r="T9312" t="n">
        <v>0</v>
      </c>
      <c r="U9312" t="n">
        <v>0</v>
      </c>
      <c r="V9312" s="2" t="inlineStr"/>
    </row>
    <row r="9313" ht="15" customHeight="1">
      <c r="A9313" t="inlineStr">
        <is>
          <t>A 24469-2022</t>
        </is>
      </c>
      <c r="B9313" t="inlineStr">
        <is>
          <t>avverkningsanmälan</t>
        </is>
      </c>
      <c r="C9313" t="inlineStr">
        <is>
          <t>Föryngringsavverkning</t>
        </is>
      </c>
      <c r="D9313" s="1" t="n">
        <v>44726</v>
      </c>
      <c r="E9313" s="1" t="n">
        <v>46319</v>
      </c>
      <c r="F9313" t="inlineStr">
        <is>
          <t>DALARNAS LÄN</t>
        </is>
      </c>
      <c r="G9313" t="inlineStr">
        <is>
          <t>SMEDJEBACKEN</t>
        </is>
      </c>
      <c r="I9313" t="n">
        <v>4.3</v>
      </c>
      <c r="J9313" t="n">
        <v>0</v>
      </c>
      <c r="K9313" t="n">
        <v>0</v>
      </c>
      <c r="L9313" t="n">
        <v>0</v>
      </c>
      <c r="M9313" t="n">
        <v>0</v>
      </c>
      <c r="N9313" t="n">
        <v>0</v>
      </c>
      <c r="O9313" t="n">
        <v>0</v>
      </c>
      <c r="P9313" t="n">
        <v>0</v>
      </c>
      <c r="Q9313" t="n">
        <v>0</v>
      </c>
      <c r="R9313" t="n">
        <v>0</v>
      </c>
      <c r="S9313" t="n">
        <v>0</v>
      </c>
      <c r="T9313" t="n">
        <v>0</v>
      </c>
      <c r="U9313" t="n">
        <v>0</v>
      </c>
      <c r="V9313" s="2" t="inlineStr"/>
    </row>
    <row r="9314" ht="15" customHeight="1">
      <c r="A9314" t="inlineStr">
        <is>
          <t>A 3893-2024</t>
        </is>
      </c>
      <c r="B9314" t="inlineStr">
        <is>
          <t>avverkningsanmälan</t>
        </is>
      </c>
      <c r="C9314" t="inlineStr">
        <is>
          <t>Föryngringsavverkning</t>
        </is>
      </c>
      <c r="D9314" s="1" t="n">
        <v>45322</v>
      </c>
      <c r="E9314" s="1" t="n">
        <v>46319</v>
      </c>
      <c r="F9314" t="inlineStr">
        <is>
          <t>DALARNAS LÄN</t>
        </is>
      </c>
      <c r="G9314" t="inlineStr">
        <is>
          <t>ÄLVDALEN</t>
        </is>
      </c>
      <c r="I9314" t="n">
        <v>0.5</v>
      </c>
      <c r="J9314" t="n">
        <v>0</v>
      </c>
      <c r="K9314" t="n">
        <v>0</v>
      </c>
      <c r="L9314" t="n">
        <v>0</v>
      </c>
      <c r="M9314" t="n">
        <v>0</v>
      </c>
      <c r="N9314" t="n">
        <v>0</v>
      </c>
      <c r="O9314" t="n">
        <v>0</v>
      </c>
      <c r="P9314" t="n">
        <v>0</v>
      </c>
      <c r="Q9314" t="n">
        <v>0</v>
      </c>
      <c r="R9314" t="n">
        <v>0</v>
      </c>
      <c r="S9314" t="n">
        <v>0</v>
      </c>
      <c r="T9314" t="n">
        <v>0</v>
      </c>
      <c r="U9314" t="n">
        <v>0</v>
      </c>
      <c r="V9314" s="2" t="inlineStr"/>
    </row>
    <row r="9315" ht="15" customHeight="1">
      <c r="A9315" t="inlineStr">
        <is>
          <t>A 53864-2023</t>
        </is>
      </c>
      <c r="B9315" t="inlineStr">
        <is>
          <t>avverkningsanmälan</t>
        </is>
      </c>
      <c r="C9315" t="inlineStr">
        <is>
          <t>Föryngringsavverkning</t>
        </is>
      </c>
      <c r="D9315" s="1" t="n">
        <v>45231</v>
      </c>
      <c r="E9315" s="1" t="n">
        <v>46319</v>
      </c>
      <c r="F9315" t="inlineStr">
        <is>
          <t>DALARNAS LÄN</t>
        </is>
      </c>
      <c r="G9315" t="inlineStr">
        <is>
          <t>FALUN</t>
        </is>
      </c>
      <c r="I9315" t="n">
        <v>2.2</v>
      </c>
      <c r="J9315" t="n">
        <v>0</v>
      </c>
      <c r="K9315" t="n">
        <v>0</v>
      </c>
      <c r="L9315" t="n">
        <v>0</v>
      </c>
      <c r="M9315" t="n">
        <v>0</v>
      </c>
      <c r="N9315" t="n">
        <v>0</v>
      </c>
      <c r="O9315" t="n">
        <v>0</v>
      </c>
      <c r="P9315" t="n">
        <v>0</v>
      </c>
      <c r="Q9315" t="n">
        <v>0</v>
      </c>
      <c r="R9315" t="n">
        <v>0</v>
      </c>
      <c r="S9315" t="n">
        <v>0</v>
      </c>
      <c r="T9315" t="n">
        <v>0</v>
      </c>
      <c r="U9315" t="n">
        <v>0</v>
      </c>
      <c r="V9315" s="2" t="inlineStr"/>
    </row>
    <row r="9316" ht="15" customHeight="1">
      <c r="A9316" t="inlineStr">
        <is>
          <t>A 47564-2023</t>
        </is>
      </c>
      <c r="B9316" t="inlineStr">
        <is>
          <t>avverkningsanmälan</t>
        </is>
      </c>
      <c r="C9316" t="inlineStr">
        <is>
          <t>Föryngringsavverkning</t>
        </is>
      </c>
      <c r="D9316" s="1" t="n">
        <v>45203</v>
      </c>
      <c r="E9316" s="1" t="n">
        <v>46319</v>
      </c>
      <c r="F9316" t="inlineStr">
        <is>
          <t>DALARNAS LÄN</t>
        </is>
      </c>
      <c r="G9316" t="inlineStr">
        <is>
          <t>ORSA</t>
        </is>
      </c>
      <c r="H9316" t="inlineStr">
        <is>
          <t>Allmännings- och besparingsskogar</t>
        </is>
      </c>
      <c r="I9316" t="n">
        <v>0.8</v>
      </c>
      <c r="J9316" t="n">
        <v>0</v>
      </c>
      <c r="K9316" t="n">
        <v>0</v>
      </c>
      <c r="L9316" t="n">
        <v>0</v>
      </c>
      <c r="M9316" t="n">
        <v>0</v>
      </c>
      <c r="N9316" t="n">
        <v>0</v>
      </c>
      <c r="O9316" t="n">
        <v>0</v>
      </c>
      <c r="P9316" t="n">
        <v>0</v>
      </c>
      <c r="Q9316" t="n">
        <v>0</v>
      </c>
      <c r="R9316" t="n">
        <v>0</v>
      </c>
      <c r="S9316" t="n">
        <v>0</v>
      </c>
      <c r="T9316" t="n">
        <v>0</v>
      </c>
      <c r="U9316" t="n">
        <v>0</v>
      </c>
      <c r="V9316" s="2" t="inlineStr"/>
    </row>
    <row r="9317" ht="15" customHeight="1">
      <c r="A9317" t="inlineStr">
        <is>
          <t>A 16597-2024</t>
        </is>
      </c>
      <c r="B9317" t="inlineStr">
        <is>
          <t>avverkningsanmälan</t>
        </is>
      </c>
      <c r="C9317" t="inlineStr">
        <is>
          <t>Föryngringsavverkning</t>
        </is>
      </c>
      <c r="D9317" s="1" t="n">
        <v>45408</v>
      </c>
      <c r="E9317" s="1" t="n">
        <v>46319</v>
      </c>
      <c r="F9317" t="inlineStr">
        <is>
          <t>DALARNAS LÄN</t>
        </is>
      </c>
      <c r="G9317" t="inlineStr">
        <is>
          <t>SMEDJEBACKEN</t>
        </is>
      </c>
      <c r="H9317" t="inlineStr">
        <is>
          <t>Sveaskog</t>
        </is>
      </c>
      <c r="I9317" t="n">
        <v>0.4</v>
      </c>
      <c r="J9317" t="n">
        <v>0</v>
      </c>
      <c r="K9317" t="n">
        <v>0</v>
      </c>
      <c r="L9317" t="n">
        <v>0</v>
      </c>
      <c r="M9317" t="n">
        <v>0</v>
      </c>
      <c r="N9317" t="n">
        <v>0</v>
      </c>
      <c r="O9317" t="n">
        <v>0</v>
      </c>
      <c r="P9317" t="n">
        <v>0</v>
      </c>
      <c r="Q9317" t="n">
        <v>0</v>
      </c>
      <c r="R9317" t="n">
        <v>0</v>
      </c>
      <c r="S9317" t="n">
        <v>0</v>
      </c>
      <c r="T9317" t="n">
        <v>0</v>
      </c>
      <c r="U9317" t="n">
        <v>0</v>
      </c>
      <c r="V9317" s="2" t="inlineStr"/>
    </row>
    <row r="9318" ht="15" customHeight="1">
      <c r="A9318" t="inlineStr">
        <is>
          <t>A 50741-2022</t>
        </is>
      </c>
      <c r="B9318" t="inlineStr">
        <is>
          <t>avverkningsanmälan</t>
        </is>
      </c>
      <c r="C9318" t="inlineStr">
        <is>
          <t>Föryngringsavverkning</t>
        </is>
      </c>
      <c r="D9318" s="1" t="n">
        <v>44867</v>
      </c>
      <c r="E9318" s="1" t="n">
        <v>46319</v>
      </c>
      <c r="F9318" t="inlineStr">
        <is>
          <t>DALARNAS LÄN</t>
        </is>
      </c>
      <c r="G9318" t="inlineStr">
        <is>
          <t>VANSBRO</t>
        </is>
      </c>
      <c r="I9318" t="n">
        <v>1.7</v>
      </c>
      <c r="J9318" t="n">
        <v>0</v>
      </c>
      <c r="K9318" t="n">
        <v>0</v>
      </c>
      <c r="L9318" t="n">
        <v>0</v>
      </c>
      <c r="M9318" t="n">
        <v>0</v>
      </c>
      <c r="N9318" t="n">
        <v>0</v>
      </c>
      <c r="O9318" t="n">
        <v>0</v>
      </c>
      <c r="P9318" t="n">
        <v>0</v>
      </c>
      <c r="Q9318" t="n">
        <v>0</v>
      </c>
      <c r="R9318" t="n">
        <v>0</v>
      </c>
      <c r="S9318" t="n">
        <v>0</v>
      </c>
      <c r="T9318" t="n">
        <v>0</v>
      </c>
      <c r="U9318" t="n">
        <v>0</v>
      </c>
      <c r="V9318" s="2" t="inlineStr"/>
    </row>
    <row r="9319" ht="15" customHeight="1">
      <c r="A9319" t="inlineStr">
        <is>
          <t>A 23041-2022</t>
        </is>
      </c>
      <c r="B9319" t="inlineStr">
        <is>
          <t>avverkningsanmälan</t>
        </is>
      </c>
      <c r="C9319" t="inlineStr">
        <is>
          <t>Föryngringsavverkning</t>
        </is>
      </c>
      <c r="D9319" s="1" t="n">
        <v>44719</v>
      </c>
      <c r="E9319" s="1" t="n">
        <v>46319</v>
      </c>
      <c r="F9319" t="inlineStr">
        <is>
          <t>DALARNAS LÄN</t>
        </is>
      </c>
      <c r="G9319" t="inlineStr">
        <is>
          <t>RÄTTVIK</t>
        </is>
      </c>
      <c r="I9319" t="n">
        <v>1.8</v>
      </c>
      <c r="J9319" t="n">
        <v>0</v>
      </c>
      <c r="K9319" t="n">
        <v>0</v>
      </c>
      <c r="L9319" t="n">
        <v>0</v>
      </c>
      <c r="M9319" t="n">
        <v>0</v>
      </c>
      <c r="N9319" t="n">
        <v>0</v>
      </c>
      <c r="O9319" t="n">
        <v>0</v>
      </c>
      <c r="P9319" t="n">
        <v>0</v>
      </c>
      <c r="Q9319" t="n">
        <v>0</v>
      </c>
      <c r="R9319" t="n">
        <v>0</v>
      </c>
      <c r="S9319" t="n">
        <v>0</v>
      </c>
      <c r="T9319" t="n">
        <v>0</v>
      </c>
      <c r="U9319" t="n">
        <v>0</v>
      </c>
      <c r="V9319" s="2" t="inlineStr"/>
    </row>
    <row r="9320" ht="15" customHeight="1">
      <c r="A9320" t="inlineStr">
        <is>
          <t>A 54253-2023</t>
        </is>
      </c>
      <c r="B9320" t="inlineStr">
        <is>
          <t>avverkningsanmälan</t>
        </is>
      </c>
      <c r="C9320" t="inlineStr">
        <is>
          <t>Föryngringsavverkning</t>
        </is>
      </c>
      <c r="D9320" s="1" t="n">
        <v>45232</v>
      </c>
      <c r="E9320" s="1" t="n">
        <v>46319</v>
      </c>
      <c r="F9320" t="inlineStr">
        <is>
          <t>DALARNAS LÄN</t>
        </is>
      </c>
      <c r="G9320" t="inlineStr">
        <is>
          <t>MORA</t>
        </is>
      </c>
      <c r="I9320" t="n">
        <v>4.5</v>
      </c>
      <c r="J9320" t="n">
        <v>0</v>
      </c>
      <c r="K9320" t="n">
        <v>0</v>
      </c>
      <c r="L9320" t="n">
        <v>0</v>
      </c>
      <c r="M9320" t="n">
        <v>0</v>
      </c>
      <c r="N9320" t="n">
        <v>0</v>
      </c>
      <c r="O9320" t="n">
        <v>0</v>
      </c>
      <c r="P9320" t="n">
        <v>0</v>
      </c>
      <c r="Q9320" t="n">
        <v>0</v>
      </c>
      <c r="R9320" t="n">
        <v>0</v>
      </c>
      <c r="S9320" t="n">
        <v>0</v>
      </c>
      <c r="T9320" t="n">
        <v>0</v>
      </c>
      <c r="U9320" t="n">
        <v>0</v>
      </c>
      <c r="V9320" s="2" t="inlineStr"/>
    </row>
    <row r="9321" ht="15" customHeight="1">
      <c r="A9321" t="inlineStr">
        <is>
          <t>A 59088-2023</t>
        </is>
      </c>
      <c r="B9321" t="inlineStr">
        <is>
          <t>avverkningsanmälan</t>
        </is>
      </c>
      <c r="C9321" t="inlineStr">
        <is>
          <t>Föryngringsavverkning</t>
        </is>
      </c>
      <c r="D9321" s="1" t="n">
        <v>45252</v>
      </c>
      <c r="E9321" s="1" t="n">
        <v>46319</v>
      </c>
      <c r="F9321" t="inlineStr">
        <is>
          <t>DALARNAS LÄN</t>
        </is>
      </c>
      <c r="G9321" t="inlineStr">
        <is>
          <t>MALUNG-SÄLEN</t>
        </is>
      </c>
      <c r="I9321" t="n">
        <v>5.8</v>
      </c>
      <c r="J9321" t="n">
        <v>0</v>
      </c>
      <c r="K9321" t="n">
        <v>0</v>
      </c>
      <c r="L9321" t="n">
        <v>0</v>
      </c>
      <c r="M9321" t="n">
        <v>0</v>
      </c>
      <c r="N9321" t="n">
        <v>0</v>
      </c>
      <c r="O9321" t="n">
        <v>0</v>
      </c>
      <c r="P9321" t="n">
        <v>0</v>
      </c>
      <c r="Q9321" t="n">
        <v>0</v>
      </c>
      <c r="R9321" t="n">
        <v>0</v>
      </c>
      <c r="S9321" t="n">
        <v>0</v>
      </c>
      <c r="T9321" t="n">
        <v>0</v>
      </c>
      <c r="U9321" t="n">
        <v>0</v>
      </c>
      <c r="V9321" s="2" t="inlineStr"/>
    </row>
    <row r="9322" ht="15" customHeight="1">
      <c r="A9322" t="inlineStr">
        <is>
          <t>A 26672-2022</t>
        </is>
      </c>
      <c r="B9322" t="inlineStr">
        <is>
          <t>avverkningsanmälan</t>
        </is>
      </c>
      <c r="C9322" t="inlineStr">
        <is>
          <t>Föryngringsavverkning</t>
        </is>
      </c>
      <c r="D9322" s="1" t="n">
        <v>44739</v>
      </c>
      <c r="E9322" s="1" t="n">
        <v>46319</v>
      </c>
      <c r="F9322" t="inlineStr">
        <is>
          <t>DALARNAS LÄN</t>
        </is>
      </c>
      <c r="G9322" t="inlineStr">
        <is>
          <t>MALUNG-SÄLEN</t>
        </is>
      </c>
      <c r="I9322" t="n">
        <v>1.5</v>
      </c>
      <c r="J9322" t="n">
        <v>0</v>
      </c>
      <c r="K9322" t="n">
        <v>0</v>
      </c>
      <c r="L9322" t="n">
        <v>0</v>
      </c>
      <c r="M9322" t="n">
        <v>0</v>
      </c>
      <c r="N9322" t="n">
        <v>0</v>
      </c>
      <c r="O9322" t="n">
        <v>0</v>
      </c>
      <c r="P9322" t="n">
        <v>0</v>
      </c>
      <c r="Q9322" t="n">
        <v>0</v>
      </c>
      <c r="R9322" t="n">
        <v>0</v>
      </c>
      <c r="S9322" t="n">
        <v>0</v>
      </c>
      <c r="T9322" t="n">
        <v>0</v>
      </c>
      <c r="U9322" t="n">
        <v>0</v>
      </c>
      <c r="V9322" s="2" t="inlineStr"/>
    </row>
    <row r="9323" ht="15" customHeight="1">
      <c r="A9323" t="inlineStr">
        <is>
          <t>A 13220-2025</t>
        </is>
      </c>
      <c r="B9323" t="inlineStr">
        <is>
          <t>avverkningsanmälan</t>
        </is>
      </c>
      <c r="C9323" t="inlineStr">
        <is>
          <t>Föryngringsavverkning</t>
        </is>
      </c>
      <c r="D9323" s="1" t="n">
        <v>45735</v>
      </c>
      <c r="E9323" s="1" t="n">
        <v>46319</v>
      </c>
      <c r="F9323" t="inlineStr">
        <is>
          <t>DALARNAS LÄN</t>
        </is>
      </c>
      <c r="G9323" t="inlineStr">
        <is>
          <t>FALUN</t>
        </is>
      </c>
      <c r="I9323" t="n">
        <v>0.7</v>
      </c>
      <c r="J9323" t="n">
        <v>0</v>
      </c>
      <c r="K9323" t="n">
        <v>0</v>
      </c>
      <c r="L9323" t="n">
        <v>0</v>
      </c>
      <c r="M9323" t="n">
        <v>0</v>
      </c>
      <c r="N9323" t="n">
        <v>0</v>
      </c>
      <c r="O9323" t="n">
        <v>0</v>
      </c>
      <c r="P9323" t="n">
        <v>0</v>
      </c>
      <c r="Q9323" t="n">
        <v>0</v>
      </c>
      <c r="R9323" t="n">
        <v>0</v>
      </c>
      <c r="S9323" t="n">
        <v>0</v>
      </c>
      <c r="T9323" t="n">
        <v>0</v>
      </c>
      <c r="U9323" t="n">
        <v>0</v>
      </c>
      <c r="V9323" s="2" t="inlineStr"/>
    </row>
    <row r="9324" ht="15" customHeight="1">
      <c r="A9324" t="inlineStr">
        <is>
          <t>A 37665-2023</t>
        </is>
      </c>
      <c r="B9324" t="inlineStr">
        <is>
          <t>avverkningsanmälan</t>
        </is>
      </c>
      <c r="C9324" t="inlineStr">
        <is>
          <t>Föryngringsavverkning</t>
        </is>
      </c>
      <c r="D9324" s="1" t="n">
        <v>45159</v>
      </c>
      <c r="E9324" s="1" t="n">
        <v>46319</v>
      </c>
      <c r="F9324" t="inlineStr">
        <is>
          <t>DALARNAS LÄN</t>
        </is>
      </c>
      <c r="G9324" t="inlineStr">
        <is>
          <t>ÄLVDALEN</t>
        </is>
      </c>
      <c r="H9324" t="inlineStr">
        <is>
          <t>Allmännings- och besparingsskogar</t>
        </is>
      </c>
      <c r="I9324" t="n">
        <v>0.5</v>
      </c>
      <c r="J9324" t="n">
        <v>0</v>
      </c>
      <c r="K9324" t="n">
        <v>0</v>
      </c>
      <c r="L9324" t="n">
        <v>0</v>
      </c>
      <c r="M9324" t="n">
        <v>0</v>
      </c>
      <c r="N9324" t="n">
        <v>0</v>
      </c>
      <c r="O9324" t="n">
        <v>0</v>
      </c>
      <c r="P9324" t="n">
        <v>0</v>
      </c>
      <c r="Q9324" t="n">
        <v>0</v>
      </c>
      <c r="R9324" t="n">
        <v>0</v>
      </c>
      <c r="S9324" t="n">
        <v>0</v>
      </c>
      <c r="T9324" t="n">
        <v>0</v>
      </c>
      <c r="U9324" t="n">
        <v>0</v>
      </c>
      <c r="V9324" s="2" t="inlineStr"/>
    </row>
    <row r="9325" ht="15" customHeight="1">
      <c r="A9325" t="inlineStr">
        <is>
          <t>A 597-2024</t>
        </is>
      </c>
      <c r="B9325" t="inlineStr">
        <is>
          <t>avverkningsanmälan</t>
        </is>
      </c>
      <c r="C9325" t="inlineStr">
        <is>
          <t>Föryngringsavverkning</t>
        </is>
      </c>
      <c r="D9325" s="1" t="n">
        <v>45299</v>
      </c>
      <c r="E9325" s="1" t="n">
        <v>46319</v>
      </c>
      <c r="F9325" t="inlineStr">
        <is>
          <t>DALARNAS LÄN</t>
        </is>
      </c>
      <c r="G9325" t="inlineStr">
        <is>
          <t>ORSA</t>
        </is>
      </c>
      <c r="I9325" t="n">
        <v>4.4</v>
      </c>
      <c r="J9325" t="n">
        <v>0</v>
      </c>
      <c r="K9325" t="n">
        <v>0</v>
      </c>
      <c r="L9325" t="n">
        <v>0</v>
      </c>
      <c r="M9325" t="n">
        <v>0</v>
      </c>
      <c r="N9325" t="n">
        <v>0</v>
      </c>
      <c r="O9325" t="n">
        <v>0</v>
      </c>
      <c r="P9325" t="n">
        <v>0</v>
      </c>
      <c r="Q9325" t="n">
        <v>0</v>
      </c>
      <c r="R9325" t="n">
        <v>0</v>
      </c>
      <c r="S9325" t="n">
        <v>0</v>
      </c>
      <c r="T9325" t="n">
        <v>0</v>
      </c>
      <c r="U9325" t="n">
        <v>0</v>
      </c>
      <c r="V9325" s="2" t="inlineStr"/>
    </row>
    <row r="9326" ht="15" customHeight="1">
      <c r="A9326" t="inlineStr">
        <is>
          <t>A 61233-2024</t>
        </is>
      </c>
      <c r="B9326" t="inlineStr">
        <is>
          <t>avverkningsanmälan</t>
        </is>
      </c>
      <c r="C9326" t="inlineStr">
        <is>
          <t>Föryngringsavverkning</t>
        </is>
      </c>
      <c r="D9326" s="1" t="n">
        <v>45645</v>
      </c>
      <c r="E9326" s="1" t="n">
        <v>46319</v>
      </c>
      <c r="F9326" t="inlineStr">
        <is>
          <t>DALARNAS LÄN</t>
        </is>
      </c>
      <c r="G9326" t="inlineStr">
        <is>
          <t>MALUNG-SÄLEN</t>
        </is>
      </c>
      <c r="I9326" t="n">
        <v>4.6</v>
      </c>
      <c r="J9326" t="n">
        <v>0</v>
      </c>
      <c r="K9326" t="n">
        <v>0</v>
      </c>
      <c r="L9326" t="n">
        <v>0</v>
      </c>
      <c r="M9326" t="n">
        <v>0</v>
      </c>
      <c r="N9326" t="n">
        <v>0</v>
      </c>
      <c r="O9326" t="n">
        <v>0</v>
      </c>
      <c r="P9326" t="n">
        <v>0</v>
      </c>
      <c r="Q9326" t="n">
        <v>0</v>
      </c>
      <c r="R9326" t="n">
        <v>0</v>
      </c>
      <c r="S9326" t="n">
        <v>0</v>
      </c>
      <c r="T9326" t="n">
        <v>0</v>
      </c>
      <c r="U9326" t="n">
        <v>0</v>
      </c>
      <c r="V9326" s="2" t="inlineStr"/>
    </row>
    <row r="9327" ht="15" customHeight="1">
      <c r="A9327" t="inlineStr">
        <is>
          <t>A 3089-2024</t>
        </is>
      </c>
      <c r="B9327" t="inlineStr">
        <is>
          <t>avverkningsanmälan</t>
        </is>
      </c>
      <c r="C9327" t="inlineStr">
        <is>
          <t>Föryngringsavverkning</t>
        </is>
      </c>
      <c r="D9327" s="1" t="n">
        <v>45316</v>
      </c>
      <c r="E9327" s="1" t="n">
        <v>46319</v>
      </c>
      <c r="F9327" t="inlineStr">
        <is>
          <t>DALARNAS LÄN</t>
        </is>
      </c>
      <c r="G9327" t="inlineStr">
        <is>
          <t>HEDEMORA</t>
        </is>
      </c>
      <c r="I9327" t="n">
        <v>5.5</v>
      </c>
      <c r="J9327" t="n">
        <v>0</v>
      </c>
      <c r="K9327" t="n">
        <v>0</v>
      </c>
      <c r="L9327" t="n">
        <v>0</v>
      </c>
      <c r="M9327" t="n">
        <v>0</v>
      </c>
      <c r="N9327" t="n">
        <v>0</v>
      </c>
      <c r="O9327" t="n">
        <v>0</v>
      </c>
      <c r="P9327" t="n">
        <v>0</v>
      </c>
      <c r="Q9327" t="n">
        <v>0</v>
      </c>
      <c r="R9327" t="n">
        <v>0</v>
      </c>
      <c r="S9327" t="n">
        <v>0</v>
      </c>
      <c r="T9327" t="n">
        <v>0</v>
      </c>
      <c r="U9327" t="n">
        <v>0</v>
      </c>
      <c r="V9327" s="2" t="inlineStr"/>
    </row>
    <row r="9328" ht="15" customHeight="1">
      <c r="A9328" t="inlineStr">
        <is>
          <t>A 1310-2024</t>
        </is>
      </c>
      <c r="B9328" t="inlineStr">
        <is>
          <t>avverkningsanmälan</t>
        </is>
      </c>
      <c r="C9328" t="inlineStr">
        <is>
          <t>Föryngringsavverkning</t>
        </is>
      </c>
      <c r="D9328" s="1" t="n">
        <v>45303</v>
      </c>
      <c r="E9328" s="1" t="n">
        <v>46319</v>
      </c>
      <c r="F9328" t="inlineStr">
        <is>
          <t>DALARNAS LÄN</t>
        </is>
      </c>
      <c r="G9328" t="inlineStr">
        <is>
          <t>ÄLVDALEN</t>
        </is>
      </c>
      <c r="I9328" t="n">
        <v>4.3</v>
      </c>
      <c r="J9328" t="n">
        <v>0</v>
      </c>
      <c r="K9328" t="n">
        <v>0</v>
      </c>
      <c r="L9328" t="n">
        <v>0</v>
      </c>
      <c r="M9328" t="n">
        <v>0</v>
      </c>
      <c r="N9328" t="n">
        <v>0</v>
      </c>
      <c r="O9328" t="n">
        <v>0</v>
      </c>
      <c r="P9328" t="n">
        <v>0</v>
      </c>
      <c r="Q9328" t="n">
        <v>0</v>
      </c>
      <c r="R9328" t="n">
        <v>0</v>
      </c>
      <c r="S9328" t="n">
        <v>0</v>
      </c>
      <c r="T9328" t="n">
        <v>0</v>
      </c>
      <c r="U9328" t="n">
        <v>0</v>
      </c>
      <c r="V9328" s="2" t="inlineStr"/>
    </row>
    <row r="9329" ht="15" customHeight="1">
      <c r="A9329" t="inlineStr">
        <is>
          <t>A 8867-2025</t>
        </is>
      </c>
      <c r="B9329" t="inlineStr">
        <is>
          <t>avverkningsanmälan</t>
        </is>
      </c>
      <c r="C9329" t="inlineStr">
        <is>
          <t>Föryngringsavverkning</t>
        </is>
      </c>
      <c r="D9329" s="1" t="n">
        <v>45713</v>
      </c>
      <c r="E9329" s="1" t="n">
        <v>46319</v>
      </c>
      <c r="F9329" t="inlineStr">
        <is>
          <t>DALARNAS LÄN</t>
        </is>
      </c>
      <c r="G9329" t="inlineStr">
        <is>
          <t>GAGNEF</t>
        </is>
      </c>
      <c r="I9329" t="n">
        <v>0.8</v>
      </c>
      <c r="J9329" t="n">
        <v>0</v>
      </c>
      <c r="K9329" t="n">
        <v>0</v>
      </c>
      <c r="L9329" t="n">
        <v>0</v>
      </c>
      <c r="M9329" t="n">
        <v>0</v>
      </c>
      <c r="N9329" t="n">
        <v>0</v>
      </c>
      <c r="O9329" t="n">
        <v>0</v>
      </c>
      <c r="P9329" t="n">
        <v>0</v>
      </c>
      <c r="Q9329" t="n">
        <v>0</v>
      </c>
      <c r="R9329" t="n">
        <v>0</v>
      </c>
      <c r="S9329" t="n">
        <v>0</v>
      </c>
      <c r="T9329" t="n">
        <v>0</v>
      </c>
      <c r="U9329" t="n">
        <v>0</v>
      </c>
      <c r="V9329" s="2" t="inlineStr"/>
    </row>
    <row r="9330" ht="15" customHeight="1">
      <c r="A9330" t="inlineStr">
        <is>
          <t>A 38633-2022</t>
        </is>
      </c>
      <c r="B9330" t="inlineStr">
        <is>
          <t>avverkningsanmälan</t>
        </is>
      </c>
      <c r="C9330" t="inlineStr">
        <is>
          <t>Föryngringsavverkning</t>
        </is>
      </c>
      <c r="D9330" s="1" t="n">
        <v>44813</v>
      </c>
      <c r="E9330" s="1" t="n">
        <v>46319</v>
      </c>
      <c r="F9330" t="inlineStr">
        <is>
          <t>DALARNAS LÄN</t>
        </is>
      </c>
      <c r="G9330" t="inlineStr">
        <is>
          <t>RÄTTVIK</t>
        </is>
      </c>
      <c r="H9330" t="inlineStr">
        <is>
          <t>Sveaskog</t>
        </is>
      </c>
      <c r="I9330" t="n">
        <v>1.2</v>
      </c>
      <c r="J9330" t="n">
        <v>0</v>
      </c>
      <c r="K9330" t="n">
        <v>0</v>
      </c>
      <c r="L9330" t="n">
        <v>0</v>
      </c>
      <c r="M9330" t="n">
        <v>0</v>
      </c>
      <c r="N9330" t="n">
        <v>0</v>
      </c>
      <c r="O9330" t="n">
        <v>0</v>
      </c>
      <c r="P9330" t="n">
        <v>0</v>
      </c>
      <c r="Q9330" t="n">
        <v>0</v>
      </c>
      <c r="R9330" t="n">
        <v>0</v>
      </c>
      <c r="S9330" t="n">
        <v>0</v>
      </c>
      <c r="T9330" t="n">
        <v>0</v>
      </c>
      <c r="U9330" t="n">
        <v>0</v>
      </c>
      <c r="V9330" s="2" t="inlineStr"/>
    </row>
    <row r="9331" ht="15" customHeight="1">
      <c r="A9331" t="inlineStr">
        <is>
          <t>A 44817-2023</t>
        </is>
      </c>
      <c r="B9331" t="inlineStr">
        <is>
          <t>avverkningsanmälan</t>
        </is>
      </c>
      <c r="C9331" t="inlineStr">
        <is>
          <t>Föryngringsavverkning</t>
        </is>
      </c>
      <c r="D9331" s="1" t="n">
        <v>45190</v>
      </c>
      <c r="E9331" s="1" t="n">
        <v>46319</v>
      </c>
      <c r="F9331" t="inlineStr">
        <is>
          <t>DALARNAS LÄN</t>
        </is>
      </c>
      <c r="G9331" t="inlineStr">
        <is>
          <t>MORA</t>
        </is>
      </c>
      <c r="I9331" t="n">
        <v>1.6</v>
      </c>
      <c r="J9331" t="n">
        <v>0</v>
      </c>
      <c r="K9331" t="n">
        <v>0</v>
      </c>
      <c r="L9331" t="n">
        <v>0</v>
      </c>
      <c r="M9331" t="n">
        <v>0</v>
      </c>
      <c r="N9331" t="n">
        <v>0</v>
      </c>
      <c r="O9331" t="n">
        <v>0</v>
      </c>
      <c r="P9331" t="n">
        <v>0</v>
      </c>
      <c r="Q9331" t="n">
        <v>0</v>
      </c>
      <c r="R9331" t="n">
        <v>0</v>
      </c>
      <c r="S9331" t="n">
        <v>0</v>
      </c>
      <c r="T9331" t="n">
        <v>0</v>
      </c>
      <c r="U9331" t="n">
        <v>0</v>
      </c>
      <c r="V9331" s="2" t="inlineStr"/>
    </row>
    <row r="9332" ht="15" customHeight="1">
      <c r="A9332" t="inlineStr">
        <is>
          <t>A 53229-2023</t>
        </is>
      </c>
      <c r="B9332" t="inlineStr">
        <is>
          <t>avverkningsanmälan</t>
        </is>
      </c>
      <c r="C9332" t="inlineStr">
        <is>
          <t>Föryngringsavverkning</t>
        </is>
      </c>
      <c r="D9332" s="1" t="n">
        <v>45229</v>
      </c>
      <c r="E9332" s="1" t="n">
        <v>46319</v>
      </c>
      <c r="F9332" t="inlineStr">
        <is>
          <t>DALARNAS LÄN</t>
        </is>
      </c>
      <c r="G9332" t="inlineStr">
        <is>
          <t>ORSA</t>
        </is>
      </c>
      <c r="H9332" t="inlineStr">
        <is>
          <t>Allmännings- och besparingsskogar</t>
        </is>
      </c>
      <c r="I9332" t="n">
        <v>0.5</v>
      </c>
      <c r="J9332" t="n">
        <v>0</v>
      </c>
      <c r="K9332" t="n">
        <v>0</v>
      </c>
      <c r="L9332" t="n">
        <v>0</v>
      </c>
      <c r="M9332" t="n">
        <v>0</v>
      </c>
      <c r="N9332" t="n">
        <v>0</v>
      </c>
      <c r="O9332" t="n">
        <v>0</v>
      </c>
      <c r="P9332" t="n">
        <v>0</v>
      </c>
      <c r="Q9332" t="n">
        <v>0</v>
      </c>
      <c r="R9332" t="n">
        <v>0</v>
      </c>
      <c r="S9332" t="n">
        <v>0</v>
      </c>
      <c r="T9332" t="n">
        <v>0</v>
      </c>
      <c r="U9332" t="n">
        <v>0</v>
      </c>
      <c r="V9332" s="2" t="inlineStr"/>
    </row>
    <row r="9333" ht="15" customHeight="1">
      <c r="A9333" t="inlineStr">
        <is>
          <t>A 55538-2023</t>
        </is>
      </c>
      <c r="B9333" t="inlineStr">
        <is>
          <t>avverkningsanmälan</t>
        </is>
      </c>
      <c r="C9333" t="inlineStr">
        <is>
          <t>Föryngringsavverkning</t>
        </is>
      </c>
      <c r="D9333" s="1" t="n">
        <v>45238</v>
      </c>
      <c r="E9333" s="1" t="n">
        <v>46319</v>
      </c>
      <c r="F9333" t="inlineStr">
        <is>
          <t>DALARNAS LÄN</t>
        </is>
      </c>
      <c r="G9333" t="inlineStr">
        <is>
          <t>ORSA</t>
        </is>
      </c>
      <c r="I9333" t="n">
        <v>0.5</v>
      </c>
      <c r="J9333" t="n">
        <v>0</v>
      </c>
      <c r="K9333" t="n">
        <v>0</v>
      </c>
      <c r="L9333" t="n">
        <v>0</v>
      </c>
      <c r="M9333" t="n">
        <v>0</v>
      </c>
      <c r="N9333" t="n">
        <v>0</v>
      </c>
      <c r="O9333" t="n">
        <v>0</v>
      </c>
      <c r="P9333" t="n">
        <v>0</v>
      </c>
      <c r="Q9333" t="n">
        <v>0</v>
      </c>
      <c r="R9333" t="n">
        <v>0</v>
      </c>
      <c r="S9333" t="n">
        <v>0</v>
      </c>
      <c r="T9333" t="n">
        <v>0</v>
      </c>
      <c r="U9333" t="n">
        <v>0</v>
      </c>
      <c r="V9333" s="2" t="inlineStr"/>
    </row>
    <row r="9334" ht="15" customHeight="1">
      <c r="A9334" t="inlineStr">
        <is>
          <t>A 57557-2023</t>
        </is>
      </c>
      <c r="B9334" t="inlineStr">
        <is>
          <t>avverkningsanmälan</t>
        </is>
      </c>
      <c r="C9334" t="inlineStr">
        <is>
          <t>Föryngringsavverkning</t>
        </is>
      </c>
      <c r="D9334" s="1" t="n">
        <v>45246</v>
      </c>
      <c r="E9334" s="1" t="n">
        <v>46319</v>
      </c>
      <c r="F9334" t="inlineStr">
        <is>
          <t>DALARNAS LÄN</t>
        </is>
      </c>
      <c r="G9334" t="inlineStr">
        <is>
          <t>LUDVIKA</t>
        </is>
      </c>
      <c r="I9334" t="n">
        <v>12.7</v>
      </c>
      <c r="J9334" t="n">
        <v>0</v>
      </c>
      <c r="K9334" t="n">
        <v>0</v>
      </c>
      <c r="L9334" t="n">
        <v>0</v>
      </c>
      <c r="M9334" t="n">
        <v>0</v>
      </c>
      <c r="N9334" t="n">
        <v>0</v>
      </c>
      <c r="O9334" t="n">
        <v>0</v>
      </c>
      <c r="P9334" t="n">
        <v>0</v>
      </c>
      <c r="Q9334" t="n">
        <v>0</v>
      </c>
      <c r="R9334" t="n">
        <v>0</v>
      </c>
      <c r="S9334" t="n">
        <v>0</v>
      </c>
      <c r="T9334" t="n">
        <v>0</v>
      </c>
      <c r="U9334" t="n">
        <v>0</v>
      </c>
      <c r="V9334" s="2" t="inlineStr"/>
    </row>
    <row r="9335" ht="15" customHeight="1">
      <c r="A9335" t="inlineStr">
        <is>
          <t>A 59307-2022</t>
        </is>
      </c>
      <c r="B9335" t="inlineStr">
        <is>
          <t>avverkningsanmälan</t>
        </is>
      </c>
      <c r="C9335" t="inlineStr">
        <is>
          <t>Föryngringsavverkning</t>
        </is>
      </c>
      <c r="D9335" s="1" t="n">
        <v>44897</v>
      </c>
      <c r="E9335" s="1" t="n">
        <v>46319</v>
      </c>
      <c r="F9335" t="inlineStr">
        <is>
          <t>DALARNAS LÄN</t>
        </is>
      </c>
      <c r="G9335" t="inlineStr">
        <is>
          <t>RÄTTVIK</t>
        </is>
      </c>
      <c r="I9335" t="n">
        <v>0.7</v>
      </c>
      <c r="J9335" t="n">
        <v>0</v>
      </c>
      <c r="K9335" t="n">
        <v>0</v>
      </c>
      <c r="L9335" t="n">
        <v>0</v>
      </c>
      <c r="M9335" t="n">
        <v>0</v>
      </c>
      <c r="N9335" t="n">
        <v>0</v>
      </c>
      <c r="O9335" t="n">
        <v>0</v>
      </c>
      <c r="P9335" t="n">
        <v>0</v>
      </c>
      <c r="Q9335" t="n">
        <v>0</v>
      </c>
      <c r="R9335" t="n">
        <v>0</v>
      </c>
      <c r="S9335" t="n">
        <v>0</v>
      </c>
      <c r="T9335" t="n">
        <v>0</v>
      </c>
      <c r="U9335" t="n">
        <v>0</v>
      </c>
      <c r="V9335" s="2" t="inlineStr"/>
    </row>
    <row r="9336" ht="15" customHeight="1">
      <c r="A9336" t="inlineStr">
        <is>
          <t>A 1088-2024</t>
        </is>
      </c>
      <c r="B9336" t="inlineStr">
        <is>
          <t>avverkningsanmälan</t>
        </is>
      </c>
      <c r="C9336" t="inlineStr">
        <is>
          <t>Föryngringsavverkning</t>
        </is>
      </c>
      <c r="D9336" s="1" t="n">
        <v>45302</v>
      </c>
      <c r="E9336" s="1" t="n">
        <v>46319</v>
      </c>
      <c r="F9336" t="inlineStr">
        <is>
          <t>DALARNAS LÄN</t>
        </is>
      </c>
      <c r="G9336" t="inlineStr">
        <is>
          <t>FALUN</t>
        </is>
      </c>
      <c r="I9336" t="n">
        <v>9.699999999999999</v>
      </c>
      <c r="J9336" t="n">
        <v>0</v>
      </c>
      <c r="K9336" t="n">
        <v>0</v>
      </c>
      <c r="L9336" t="n">
        <v>0</v>
      </c>
      <c r="M9336" t="n">
        <v>0</v>
      </c>
      <c r="N9336" t="n">
        <v>0</v>
      </c>
      <c r="O9336" t="n">
        <v>0</v>
      </c>
      <c r="P9336" t="n">
        <v>0</v>
      </c>
      <c r="Q9336" t="n">
        <v>0</v>
      </c>
      <c r="R9336" t="n">
        <v>0</v>
      </c>
      <c r="S9336" t="n">
        <v>0</v>
      </c>
      <c r="T9336" t="n">
        <v>0</v>
      </c>
      <c r="U9336" t="n">
        <v>0</v>
      </c>
      <c r="V9336" s="2" t="inlineStr"/>
    </row>
    <row r="9337" ht="15" customHeight="1">
      <c r="A9337" t="inlineStr">
        <is>
          <t>A 62040-2023</t>
        </is>
      </c>
      <c r="B9337" t="inlineStr">
        <is>
          <t>avverkningsanmälan</t>
        </is>
      </c>
      <c r="C9337" t="inlineStr">
        <is>
          <t>Föryngringsavverkning</t>
        </is>
      </c>
      <c r="D9337" s="1" t="n">
        <v>45266</v>
      </c>
      <c r="E9337" s="1" t="n">
        <v>46319</v>
      </c>
      <c r="F9337" t="inlineStr">
        <is>
          <t>DALARNAS LÄN</t>
        </is>
      </c>
      <c r="G9337" t="inlineStr">
        <is>
          <t>AVESTA</t>
        </is>
      </c>
      <c r="I9337" t="n">
        <v>1.7</v>
      </c>
      <c r="J9337" t="n">
        <v>0</v>
      </c>
      <c r="K9337" t="n">
        <v>0</v>
      </c>
      <c r="L9337" t="n">
        <v>0</v>
      </c>
      <c r="M9337" t="n">
        <v>0</v>
      </c>
      <c r="N9337" t="n">
        <v>0</v>
      </c>
      <c r="O9337" t="n">
        <v>0</v>
      </c>
      <c r="P9337" t="n">
        <v>0</v>
      </c>
      <c r="Q9337" t="n">
        <v>0</v>
      </c>
      <c r="R9337" t="n">
        <v>0</v>
      </c>
      <c r="S9337" t="n">
        <v>0</v>
      </c>
      <c r="T9337" t="n">
        <v>0</v>
      </c>
      <c r="U9337" t="n">
        <v>0</v>
      </c>
      <c r="V9337" s="2" t="inlineStr"/>
    </row>
    <row r="9338" ht="15" customHeight="1">
      <c r="A9338" t="inlineStr">
        <is>
          <t>A 59932-2023</t>
        </is>
      </c>
      <c r="B9338" t="inlineStr">
        <is>
          <t>avverkningsanmälan</t>
        </is>
      </c>
      <c r="C9338" t="inlineStr">
        <is>
          <t>Föryngringsavverkning</t>
        </is>
      </c>
      <c r="D9338" s="1" t="n">
        <v>45257</v>
      </c>
      <c r="E9338" s="1" t="n">
        <v>46319</v>
      </c>
      <c r="F9338" t="inlineStr">
        <is>
          <t>DALARNAS LÄN</t>
        </is>
      </c>
      <c r="G9338" t="inlineStr">
        <is>
          <t>AVESTA</t>
        </is>
      </c>
      <c r="I9338" t="n">
        <v>1.7</v>
      </c>
      <c r="J9338" t="n">
        <v>0</v>
      </c>
      <c r="K9338" t="n">
        <v>0</v>
      </c>
      <c r="L9338" t="n">
        <v>0</v>
      </c>
      <c r="M9338" t="n">
        <v>0</v>
      </c>
      <c r="N9338" t="n">
        <v>0</v>
      </c>
      <c r="O9338" t="n">
        <v>0</v>
      </c>
      <c r="P9338" t="n">
        <v>0</v>
      </c>
      <c r="Q9338" t="n">
        <v>0</v>
      </c>
      <c r="R9338" t="n">
        <v>0</v>
      </c>
      <c r="S9338" t="n">
        <v>0</v>
      </c>
      <c r="T9338" t="n">
        <v>0</v>
      </c>
      <c r="U9338" t="n">
        <v>0</v>
      </c>
      <c r="V9338" s="2" t="inlineStr"/>
    </row>
    <row r="9339" ht="15" customHeight="1">
      <c r="A9339" t="inlineStr">
        <is>
          <t>A 59954-2023</t>
        </is>
      </c>
      <c r="B9339" t="inlineStr">
        <is>
          <t>avverkningsanmälan</t>
        </is>
      </c>
      <c r="C9339" t="inlineStr">
        <is>
          <t>Föryngringsavverkning</t>
        </is>
      </c>
      <c r="D9339" s="1" t="n">
        <v>45257</v>
      </c>
      <c r="E9339" s="1" t="n">
        <v>46319</v>
      </c>
      <c r="F9339" t="inlineStr">
        <is>
          <t>DALARNAS LÄN</t>
        </is>
      </c>
      <c r="G9339" t="inlineStr">
        <is>
          <t>MALUNG-SÄLEN</t>
        </is>
      </c>
      <c r="I9339" t="n">
        <v>10.1</v>
      </c>
      <c r="J9339" t="n">
        <v>0</v>
      </c>
      <c r="K9339" t="n">
        <v>0</v>
      </c>
      <c r="L9339" t="n">
        <v>0</v>
      </c>
      <c r="M9339" t="n">
        <v>0</v>
      </c>
      <c r="N9339" t="n">
        <v>0</v>
      </c>
      <c r="O9339" t="n">
        <v>0</v>
      </c>
      <c r="P9339" t="n">
        <v>0</v>
      </c>
      <c r="Q9339" t="n">
        <v>0</v>
      </c>
      <c r="R9339" t="n">
        <v>0</v>
      </c>
      <c r="S9339" t="n">
        <v>0</v>
      </c>
      <c r="T9339" t="n">
        <v>0</v>
      </c>
      <c r="U9339" t="n">
        <v>0</v>
      </c>
      <c r="V9339" s="2" t="inlineStr"/>
    </row>
    <row r="9340" ht="15" customHeight="1">
      <c r="A9340" t="inlineStr">
        <is>
          <t>A 62386-2023</t>
        </is>
      </c>
      <c r="B9340" t="inlineStr">
        <is>
          <t>avverkningsanmälan</t>
        </is>
      </c>
      <c r="C9340" t="inlineStr">
        <is>
          <t>Föryngringsavverkning</t>
        </is>
      </c>
      <c r="D9340" s="1" t="n">
        <v>45268</v>
      </c>
      <c r="E9340" s="1" t="n">
        <v>46319</v>
      </c>
      <c r="F9340" t="inlineStr">
        <is>
          <t>DALARNAS LÄN</t>
        </is>
      </c>
      <c r="G9340" t="inlineStr">
        <is>
          <t>HEDEMORA</t>
        </is>
      </c>
      <c r="I9340" t="n">
        <v>1.7</v>
      </c>
      <c r="J9340" t="n">
        <v>0</v>
      </c>
      <c r="K9340" t="n">
        <v>0</v>
      </c>
      <c r="L9340" t="n">
        <v>0</v>
      </c>
      <c r="M9340" t="n">
        <v>0</v>
      </c>
      <c r="N9340" t="n">
        <v>0</v>
      </c>
      <c r="O9340" t="n">
        <v>0</v>
      </c>
      <c r="P9340" t="n">
        <v>0</v>
      </c>
      <c r="Q9340" t="n">
        <v>0</v>
      </c>
      <c r="R9340" t="n">
        <v>0</v>
      </c>
      <c r="S9340" t="n">
        <v>0</v>
      </c>
      <c r="T9340" t="n">
        <v>0</v>
      </c>
      <c r="U9340" t="n">
        <v>0</v>
      </c>
      <c r="V9340" s="2" t="inlineStr"/>
    </row>
    <row r="9341" ht="15" customHeight="1">
      <c r="A9341" t="inlineStr">
        <is>
          <t>A 63192-2023</t>
        </is>
      </c>
      <c r="B9341" t="inlineStr">
        <is>
          <t>avverkningsanmälan</t>
        </is>
      </c>
      <c r="C9341" t="inlineStr">
        <is>
          <t>Föryngringsavverkning</t>
        </is>
      </c>
      <c r="D9341" s="1" t="n">
        <v>45273</v>
      </c>
      <c r="E9341" s="1" t="n">
        <v>46319</v>
      </c>
      <c r="F9341" t="inlineStr">
        <is>
          <t>DALARNAS LÄN</t>
        </is>
      </c>
      <c r="G9341" t="inlineStr">
        <is>
          <t>BORLÄNGE</t>
        </is>
      </c>
      <c r="I9341" t="n">
        <v>0.9</v>
      </c>
      <c r="J9341" t="n">
        <v>0</v>
      </c>
      <c r="K9341" t="n">
        <v>0</v>
      </c>
      <c r="L9341" t="n">
        <v>0</v>
      </c>
      <c r="M9341" t="n">
        <v>0</v>
      </c>
      <c r="N9341" t="n">
        <v>0</v>
      </c>
      <c r="O9341" t="n">
        <v>0</v>
      </c>
      <c r="P9341" t="n">
        <v>0</v>
      </c>
      <c r="Q9341" t="n">
        <v>0</v>
      </c>
      <c r="R9341" t="n">
        <v>0</v>
      </c>
      <c r="S9341" t="n">
        <v>0</v>
      </c>
      <c r="T9341" t="n">
        <v>0</v>
      </c>
      <c r="U9341" t="n">
        <v>0</v>
      </c>
      <c r="V9341" s="2" t="inlineStr"/>
    </row>
    <row r="9342" ht="15" customHeight="1">
      <c r="A9342" t="inlineStr">
        <is>
          <t>A 16807-2025</t>
        </is>
      </c>
      <c r="B9342" t="inlineStr">
        <is>
          <t>avverkningsanmälan</t>
        </is>
      </c>
      <c r="C9342" t="inlineStr">
        <is>
          <t>Föryngringsavverkning</t>
        </is>
      </c>
      <c r="D9342" s="1" t="n">
        <v>45754</v>
      </c>
      <c r="E9342" s="1" t="n">
        <v>46319</v>
      </c>
      <c r="F9342" t="inlineStr">
        <is>
          <t>DALARNAS LÄN</t>
        </is>
      </c>
      <c r="G9342" t="inlineStr">
        <is>
          <t>LUDVIKA</t>
        </is>
      </c>
      <c r="H9342" t="inlineStr">
        <is>
          <t>Naturvårdsverket</t>
        </is>
      </c>
      <c r="I9342" t="n">
        <v>0.6</v>
      </c>
      <c r="J9342" t="n">
        <v>0</v>
      </c>
      <c r="K9342" t="n">
        <v>0</v>
      </c>
      <c r="L9342" t="n">
        <v>0</v>
      </c>
      <c r="M9342" t="n">
        <v>0</v>
      </c>
      <c r="N9342" t="n">
        <v>0</v>
      </c>
      <c r="O9342" t="n">
        <v>0</v>
      </c>
      <c r="P9342" t="n">
        <v>0</v>
      </c>
      <c r="Q9342" t="n">
        <v>0</v>
      </c>
      <c r="R9342" t="n">
        <v>0</v>
      </c>
      <c r="S9342" t="n">
        <v>0</v>
      </c>
      <c r="T9342" t="n">
        <v>0</v>
      </c>
      <c r="U9342" t="n">
        <v>0</v>
      </c>
      <c r="V9342" s="2" t="inlineStr"/>
    </row>
    <row r="9343" ht="15" customHeight="1">
      <c r="A9343" t="inlineStr">
        <is>
          <t>A 30000-2023</t>
        </is>
      </c>
      <c r="B9343" t="inlineStr">
        <is>
          <t>avverkningsanmälan</t>
        </is>
      </c>
      <c r="C9343" t="inlineStr">
        <is>
          <t>Föryngringsavverkning</t>
        </is>
      </c>
      <c r="D9343" s="1" t="n">
        <v>45109</v>
      </c>
      <c r="E9343" s="1" t="n">
        <v>46319</v>
      </c>
      <c r="F9343" t="inlineStr">
        <is>
          <t>DALARNAS LÄN</t>
        </is>
      </c>
      <c r="G9343" t="inlineStr">
        <is>
          <t>LEKSAND</t>
        </is>
      </c>
      <c r="I9343" t="n">
        <v>1.1</v>
      </c>
      <c r="J9343" t="n">
        <v>0</v>
      </c>
      <c r="K9343" t="n">
        <v>0</v>
      </c>
      <c r="L9343" t="n">
        <v>0</v>
      </c>
      <c r="M9343" t="n">
        <v>0</v>
      </c>
      <c r="N9343" t="n">
        <v>0</v>
      </c>
      <c r="O9343" t="n">
        <v>0</v>
      </c>
      <c r="P9343" t="n">
        <v>0</v>
      </c>
      <c r="Q9343" t="n">
        <v>0</v>
      </c>
      <c r="R9343" t="n">
        <v>0</v>
      </c>
      <c r="S9343" t="n">
        <v>0</v>
      </c>
      <c r="T9343" t="n">
        <v>0</v>
      </c>
      <c r="U9343" t="n">
        <v>0</v>
      </c>
      <c r="V9343" s="2" t="inlineStr"/>
    </row>
    <row r="9344" ht="15" customHeight="1">
      <c r="A9344" t="inlineStr">
        <is>
          <t>A 60667-2023</t>
        </is>
      </c>
      <c r="B9344" t="inlineStr">
        <is>
          <t>avverkningsanmälan</t>
        </is>
      </c>
      <c r="C9344" t="inlineStr">
        <is>
          <t>Föryngringsavverkning</t>
        </is>
      </c>
      <c r="D9344" s="1" t="n">
        <v>45260</v>
      </c>
      <c r="E9344" s="1" t="n">
        <v>46319</v>
      </c>
      <c r="F9344" t="inlineStr">
        <is>
          <t>DALARNAS LÄN</t>
        </is>
      </c>
      <c r="G9344" t="inlineStr">
        <is>
          <t>GAGNEF</t>
        </is>
      </c>
      <c r="I9344" t="n">
        <v>2.1</v>
      </c>
      <c r="J9344" t="n">
        <v>0</v>
      </c>
      <c r="K9344" t="n">
        <v>0</v>
      </c>
      <c r="L9344" t="n">
        <v>0</v>
      </c>
      <c r="M9344" t="n">
        <v>0</v>
      </c>
      <c r="N9344" t="n">
        <v>0</v>
      </c>
      <c r="O9344" t="n">
        <v>0</v>
      </c>
      <c r="P9344" t="n">
        <v>0</v>
      </c>
      <c r="Q9344" t="n">
        <v>0</v>
      </c>
      <c r="R9344" t="n">
        <v>0</v>
      </c>
      <c r="S9344" t="n">
        <v>0</v>
      </c>
      <c r="T9344" t="n">
        <v>0</v>
      </c>
      <c r="U9344" t="n">
        <v>0</v>
      </c>
      <c r="V9344" s="2" t="inlineStr"/>
    </row>
    <row r="9345" ht="15" customHeight="1">
      <c r="A9345" t="inlineStr">
        <is>
          <t>A 32486-2022</t>
        </is>
      </c>
      <c r="B9345" t="inlineStr">
        <is>
          <t>avverkningsanmälan</t>
        </is>
      </c>
      <c r="C9345" t="inlineStr">
        <is>
          <t>Föryngringsavverkning</t>
        </is>
      </c>
      <c r="D9345" s="1" t="n">
        <v>44782</v>
      </c>
      <c r="E9345" s="1" t="n">
        <v>46319</v>
      </c>
      <c r="F9345" t="inlineStr">
        <is>
          <t>DALARNAS LÄN</t>
        </is>
      </c>
      <c r="G9345" t="inlineStr">
        <is>
          <t>MALUNG-SÄLEN</t>
        </is>
      </c>
      <c r="H9345" t="inlineStr">
        <is>
          <t>Bergvik skog öst AB</t>
        </is>
      </c>
      <c r="I9345" t="n">
        <v>3.8</v>
      </c>
      <c r="J9345" t="n">
        <v>0</v>
      </c>
      <c r="K9345" t="n">
        <v>0</v>
      </c>
      <c r="L9345" t="n">
        <v>0</v>
      </c>
      <c r="M9345" t="n">
        <v>0</v>
      </c>
      <c r="N9345" t="n">
        <v>0</v>
      </c>
      <c r="O9345" t="n">
        <v>0</v>
      </c>
      <c r="P9345" t="n">
        <v>0</v>
      </c>
      <c r="Q9345" t="n">
        <v>0</v>
      </c>
      <c r="R9345" t="n">
        <v>0</v>
      </c>
      <c r="S9345" t="n">
        <v>0</v>
      </c>
      <c r="T9345" t="n">
        <v>0</v>
      </c>
      <c r="U9345" t="n">
        <v>0</v>
      </c>
      <c r="V9345" s="2" t="inlineStr"/>
    </row>
    <row r="9346" ht="15" customHeight="1">
      <c r="A9346" t="inlineStr">
        <is>
          <t>A 17167-2025</t>
        </is>
      </c>
      <c r="B9346" t="inlineStr">
        <is>
          <t>avverkningsanmälan</t>
        </is>
      </c>
      <c r="C9346" t="inlineStr">
        <is>
          <t>Föryngringsavverkning</t>
        </is>
      </c>
      <c r="D9346" s="1" t="n">
        <v>45756</v>
      </c>
      <c r="E9346" s="1" t="n">
        <v>46319</v>
      </c>
      <c r="F9346" t="inlineStr">
        <is>
          <t>DALARNAS LÄN</t>
        </is>
      </c>
      <c r="G9346" t="inlineStr">
        <is>
          <t>MORA</t>
        </is>
      </c>
      <c r="H9346" t="inlineStr">
        <is>
          <t>Bergvik skog öst AB</t>
        </is>
      </c>
      <c r="I9346" t="n">
        <v>1.7</v>
      </c>
      <c r="J9346" t="n">
        <v>0</v>
      </c>
      <c r="K9346" t="n">
        <v>0</v>
      </c>
      <c r="L9346" t="n">
        <v>0</v>
      </c>
      <c r="M9346" t="n">
        <v>0</v>
      </c>
      <c r="N9346" t="n">
        <v>0</v>
      </c>
      <c r="O9346" t="n">
        <v>0</v>
      </c>
      <c r="P9346" t="n">
        <v>0</v>
      </c>
      <c r="Q9346" t="n">
        <v>0</v>
      </c>
      <c r="R9346" t="n">
        <v>0</v>
      </c>
      <c r="S9346" t="n">
        <v>0</v>
      </c>
      <c r="T9346" t="n">
        <v>0</v>
      </c>
      <c r="U9346" t="n">
        <v>0</v>
      </c>
      <c r="V9346" s="2" t="inlineStr"/>
    </row>
    <row r="9347" ht="15" customHeight="1">
      <c r="A9347" t="inlineStr">
        <is>
          <t>A 17176-2025</t>
        </is>
      </c>
      <c r="B9347" t="inlineStr">
        <is>
          <t>avverkningsanmälan</t>
        </is>
      </c>
      <c r="C9347" t="inlineStr">
        <is>
          <t>Föryngringsavverkning</t>
        </is>
      </c>
      <c r="D9347" s="1" t="n">
        <v>45756</v>
      </c>
      <c r="E9347" s="1" t="n">
        <v>46319</v>
      </c>
      <c r="F9347" t="inlineStr">
        <is>
          <t>DALARNAS LÄN</t>
        </is>
      </c>
      <c r="G9347" t="inlineStr">
        <is>
          <t>MORA</t>
        </is>
      </c>
      <c r="H9347" t="inlineStr">
        <is>
          <t>Bergvik skog öst AB</t>
        </is>
      </c>
      <c r="I9347" t="n">
        <v>1.7</v>
      </c>
      <c r="J9347" t="n">
        <v>0</v>
      </c>
      <c r="K9347" t="n">
        <v>0</v>
      </c>
      <c r="L9347" t="n">
        <v>0</v>
      </c>
      <c r="M9347" t="n">
        <v>0</v>
      </c>
      <c r="N9347" t="n">
        <v>0</v>
      </c>
      <c r="O9347" t="n">
        <v>0</v>
      </c>
      <c r="P9347" t="n">
        <v>0</v>
      </c>
      <c r="Q9347" t="n">
        <v>0</v>
      </c>
      <c r="R9347" t="n">
        <v>0</v>
      </c>
      <c r="S9347" t="n">
        <v>0</v>
      </c>
      <c r="T9347" t="n">
        <v>0</v>
      </c>
      <c r="U9347" t="n">
        <v>0</v>
      </c>
      <c r="V9347" s="2" t="inlineStr"/>
    </row>
    <row r="9348" ht="15" customHeight="1">
      <c r="A9348" t="inlineStr">
        <is>
          <t>A 15085-2025</t>
        </is>
      </c>
      <c r="B9348" t="inlineStr">
        <is>
          <t>avverkningsanmälan</t>
        </is>
      </c>
      <c r="C9348" t="inlineStr">
        <is>
          <t>Föryngringsavverkning</t>
        </is>
      </c>
      <c r="D9348" s="1" t="n">
        <v>45744</v>
      </c>
      <c r="E9348" s="1" t="n">
        <v>46319</v>
      </c>
      <c r="F9348" t="inlineStr">
        <is>
          <t>DALARNAS LÄN</t>
        </is>
      </c>
      <c r="G9348" t="inlineStr">
        <is>
          <t>FALUN</t>
        </is>
      </c>
      <c r="I9348" t="n">
        <v>0.9</v>
      </c>
      <c r="J9348" t="n">
        <v>0</v>
      </c>
      <c r="K9348" t="n">
        <v>0</v>
      </c>
      <c r="L9348" t="n">
        <v>0</v>
      </c>
      <c r="M9348" t="n">
        <v>0</v>
      </c>
      <c r="N9348" t="n">
        <v>0</v>
      </c>
      <c r="O9348" t="n">
        <v>0</v>
      </c>
      <c r="P9348" t="n">
        <v>0</v>
      </c>
      <c r="Q9348" t="n">
        <v>0</v>
      </c>
      <c r="R9348" t="n">
        <v>0</v>
      </c>
      <c r="S9348" t="n">
        <v>0</v>
      </c>
      <c r="T9348" t="n">
        <v>0</v>
      </c>
      <c r="U9348" t="n">
        <v>0</v>
      </c>
      <c r="V9348" s="2" t="inlineStr"/>
    </row>
    <row r="9349" ht="15" customHeight="1">
      <c r="A9349" t="inlineStr">
        <is>
          <t>A 15088-2025</t>
        </is>
      </c>
      <c r="B9349" t="inlineStr">
        <is>
          <t>avverkningsanmälan</t>
        </is>
      </c>
      <c r="C9349" t="inlineStr">
        <is>
          <t>Föryngringsavverkning</t>
        </is>
      </c>
      <c r="D9349" s="1" t="n">
        <v>45744</v>
      </c>
      <c r="E9349" s="1" t="n">
        <v>46319</v>
      </c>
      <c r="F9349" t="inlineStr">
        <is>
          <t>DALARNAS LÄN</t>
        </is>
      </c>
      <c r="G9349" t="inlineStr">
        <is>
          <t>VANSBRO</t>
        </is>
      </c>
      <c r="I9349" t="n">
        <v>0.9</v>
      </c>
      <c r="J9349" t="n">
        <v>0</v>
      </c>
      <c r="K9349" t="n">
        <v>0</v>
      </c>
      <c r="L9349" t="n">
        <v>0</v>
      </c>
      <c r="M9349" t="n">
        <v>0</v>
      </c>
      <c r="N9349" t="n">
        <v>0</v>
      </c>
      <c r="O9349" t="n">
        <v>0</v>
      </c>
      <c r="P9349" t="n">
        <v>0</v>
      </c>
      <c r="Q9349" t="n">
        <v>0</v>
      </c>
      <c r="R9349" t="n">
        <v>0</v>
      </c>
      <c r="S9349" t="n">
        <v>0</v>
      </c>
      <c r="T9349" t="n">
        <v>0</v>
      </c>
      <c r="U9349" t="n">
        <v>0</v>
      </c>
      <c r="V9349" s="2" t="inlineStr"/>
    </row>
    <row r="9350" ht="15" customHeight="1">
      <c r="A9350" t="inlineStr">
        <is>
          <t>A 15113-2025</t>
        </is>
      </c>
      <c r="B9350" t="inlineStr">
        <is>
          <t>avverkningsanmälan</t>
        </is>
      </c>
      <c r="C9350" t="inlineStr">
        <is>
          <t>Föryngringsavverkning</t>
        </is>
      </c>
      <c r="D9350" s="1" t="n">
        <v>45744</v>
      </c>
      <c r="E9350" s="1" t="n">
        <v>46319</v>
      </c>
      <c r="F9350" t="inlineStr">
        <is>
          <t>DALARNAS LÄN</t>
        </is>
      </c>
      <c r="G9350" t="inlineStr">
        <is>
          <t>ORSA</t>
        </is>
      </c>
      <c r="H9350" t="inlineStr">
        <is>
          <t>Allmännings- och besparingsskogar</t>
        </is>
      </c>
      <c r="I9350" t="n">
        <v>3.3</v>
      </c>
      <c r="J9350" t="n">
        <v>0</v>
      </c>
      <c r="K9350" t="n">
        <v>0</v>
      </c>
      <c r="L9350" t="n">
        <v>0</v>
      </c>
      <c r="M9350" t="n">
        <v>0</v>
      </c>
      <c r="N9350" t="n">
        <v>0</v>
      </c>
      <c r="O9350" t="n">
        <v>0</v>
      </c>
      <c r="P9350" t="n">
        <v>0</v>
      </c>
      <c r="Q9350" t="n">
        <v>0</v>
      </c>
      <c r="R9350" t="n">
        <v>0</v>
      </c>
      <c r="S9350" t="n">
        <v>0</v>
      </c>
      <c r="T9350" t="n">
        <v>0</v>
      </c>
      <c r="U9350" t="n">
        <v>0</v>
      </c>
      <c r="V9350" s="2" t="inlineStr"/>
    </row>
    <row r="9351" ht="15" customHeight="1">
      <c r="A9351" t="inlineStr">
        <is>
          <t>A 15128-2025</t>
        </is>
      </c>
      <c r="B9351" t="inlineStr">
        <is>
          <t>avverkningsanmälan</t>
        </is>
      </c>
      <c r="C9351" t="inlineStr">
        <is>
          <t>Föryngringsavverkning</t>
        </is>
      </c>
      <c r="D9351" s="1" t="n">
        <v>45744</v>
      </c>
      <c r="E9351" s="1" t="n">
        <v>46319</v>
      </c>
      <c r="F9351" t="inlineStr">
        <is>
          <t>DALARNAS LÄN</t>
        </is>
      </c>
      <c r="G9351" t="inlineStr">
        <is>
          <t>LUDVIKA</t>
        </is>
      </c>
      <c r="H9351" t="inlineStr">
        <is>
          <t>Bergvik skog väst AB</t>
        </is>
      </c>
      <c r="I9351" t="n">
        <v>0.5</v>
      </c>
      <c r="J9351" t="n">
        <v>0</v>
      </c>
      <c r="K9351" t="n">
        <v>0</v>
      </c>
      <c r="L9351" t="n">
        <v>0</v>
      </c>
      <c r="M9351" t="n">
        <v>0</v>
      </c>
      <c r="N9351" t="n">
        <v>0</v>
      </c>
      <c r="O9351" t="n">
        <v>0</v>
      </c>
      <c r="P9351" t="n">
        <v>0</v>
      </c>
      <c r="Q9351" t="n">
        <v>0</v>
      </c>
      <c r="R9351" t="n">
        <v>0</v>
      </c>
      <c r="S9351" t="n">
        <v>0</v>
      </c>
      <c r="T9351" t="n">
        <v>0</v>
      </c>
      <c r="U9351" t="n">
        <v>0</v>
      </c>
      <c r="V9351" s="2" t="inlineStr"/>
    </row>
    <row r="9352" ht="15" customHeight="1">
      <c r="A9352" t="inlineStr">
        <is>
          <t>A 11593-2025</t>
        </is>
      </c>
      <c r="B9352" t="inlineStr">
        <is>
          <t>avverkningsanmälan</t>
        </is>
      </c>
      <c r="C9352" t="inlineStr">
        <is>
          <t>Föryngringsavverkning</t>
        </is>
      </c>
      <c r="D9352" s="1" t="n">
        <v>45727</v>
      </c>
      <c r="E9352" s="1" t="n">
        <v>46319</v>
      </c>
      <c r="F9352" t="inlineStr">
        <is>
          <t>DALARNAS LÄN</t>
        </is>
      </c>
      <c r="G9352" t="inlineStr">
        <is>
          <t>MALUNG-SÄLEN</t>
        </is>
      </c>
      <c r="I9352" t="n">
        <v>2.4</v>
      </c>
      <c r="J9352" t="n">
        <v>0</v>
      </c>
      <c r="K9352" t="n">
        <v>0</v>
      </c>
      <c r="L9352" t="n">
        <v>0</v>
      </c>
      <c r="M9352" t="n">
        <v>0</v>
      </c>
      <c r="N9352" t="n">
        <v>0</v>
      </c>
      <c r="O9352" t="n">
        <v>0</v>
      </c>
      <c r="P9352" t="n">
        <v>0</v>
      </c>
      <c r="Q9352" t="n">
        <v>0</v>
      </c>
      <c r="R9352" t="n">
        <v>0</v>
      </c>
      <c r="S9352" t="n">
        <v>0</v>
      </c>
      <c r="T9352" t="n">
        <v>0</v>
      </c>
      <c r="U9352" t="n">
        <v>0</v>
      </c>
      <c r="V9352" s="2" t="inlineStr"/>
    </row>
    <row r="9353" ht="15" customHeight="1">
      <c r="A9353" t="inlineStr">
        <is>
          <t>A 2822-2024</t>
        </is>
      </c>
      <c r="B9353" t="inlineStr">
        <is>
          <t>avverkningsanmälan</t>
        </is>
      </c>
      <c r="C9353" t="inlineStr">
        <is>
          <t>Föryngringsavverkning</t>
        </is>
      </c>
      <c r="D9353" s="1" t="n">
        <v>45314</v>
      </c>
      <c r="E9353" s="1" t="n">
        <v>46319</v>
      </c>
      <c r="F9353" t="inlineStr">
        <is>
          <t>DALARNAS LÄN</t>
        </is>
      </c>
      <c r="G9353" t="inlineStr">
        <is>
          <t>LEKSAND</t>
        </is>
      </c>
      <c r="I9353" t="n">
        <v>1.6</v>
      </c>
      <c r="J9353" t="n">
        <v>0</v>
      </c>
      <c r="K9353" t="n">
        <v>0</v>
      </c>
      <c r="L9353" t="n">
        <v>0</v>
      </c>
      <c r="M9353" t="n">
        <v>0</v>
      </c>
      <c r="N9353" t="n">
        <v>0</v>
      </c>
      <c r="O9353" t="n">
        <v>0</v>
      </c>
      <c r="P9353" t="n">
        <v>0</v>
      </c>
      <c r="Q9353" t="n">
        <v>0</v>
      </c>
      <c r="R9353" t="n">
        <v>0</v>
      </c>
      <c r="S9353" t="n">
        <v>0</v>
      </c>
      <c r="T9353" t="n">
        <v>0</v>
      </c>
      <c r="U9353" t="n">
        <v>0</v>
      </c>
      <c r="V9353" s="2" t="inlineStr"/>
    </row>
    <row r="9354" ht="15" customHeight="1">
      <c r="A9354" t="inlineStr">
        <is>
          <t>A 57999-2023</t>
        </is>
      </c>
      <c r="B9354" t="inlineStr">
        <is>
          <t>avverkningsanmälan</t>
        </is>
      </c>
      <c r="C9354" t="inlineStr">
        <is>
          <t>Föryngringsavverkning</t>
        </is>
      </c>
      <c r="D9354" s="1" t="n">
        <v>45247</v>
      </c>
      <c r="E9354" s="1" t="n">
        <v>46319</v>
      </c>
      <c r="F9354" t="inlineStr">
        <is>
          <t>DALARNAS LÄN</t>
        </is>
      </c>
      <c r="G9354" t="inlineStr">
        <is>
          <t>MORA</t>
        </is>
      </c>
      <c r="I9354" t="n">
        <v>0.4</v>
      </c>
      <c r="J9354" t="n">
        <v>0</v>
      </c>
      <c r="K9354" t="n">
        <v>0</v>
      </c>
      <c r="L9354" t="n">
        <v>0</v>
      </c>
      <c r="M9354" t="n">
        <v>0</v>
      </c>
      <c r="N9354" t="n">
        <v>0</v>
      </c>
      <c r="O9354" t="n">
        <v>0</v>
      </c>
      <c r="P9354" t="n">
        <v>0</v>
      </c>
      <c r="Q9354" t="n">
        <v>0</v>
      </c>
      <c r="R9354" t="n">
        <v>0</v>
      </c>
      <c r="S9354" t="n">
        <v>0</v>
      </c>
      <c r="T9354" t="n">
        <v>0</v>
      </c>
      <c r="U9354" t="n">
        <v>0</v>
      </c>
      <c r="V9354" s="2" t="inlineStr"/>
    </row>
    <row r="9355" ht="15" customHeight="1">
      <c r="A9355" t="inlineStr">
        <is>
          <t>A 28108-2022</t>
        </is>
      </c>
      <c r="B9355" t="inlineStr">
        <is>
          <t>avverkningsanmälan</t>
        </is>
      </c>
      <c r="C9355" t="inlineStr">
        <is>
          <t>Föryngringsavverkning</t>
        </is>
      </c>
      <c r="D9355" s="1" t="n">
        <v>44746</v>
      </c>
      <c r="E9355" s="1" t="n">
        <v>46319</v>
      </c>
      <c r="F9355" t="inlineStr">
        <is>
          <t>DALARNAS LÄN</t>
        </is>
      </c>
      <c r="G9355" t="inlineStr">
        <is>
          <t>AVESTA</t>
        </is>
      </c>
      <c r="I9355" t="n">
        <v>0.9</v>
      </c>
      <c r="J9355" t="n">
        <v>0</v>
      </c>
      <c r="K9355" t="n">
        <v>0</v>
      </c>
      <c r="L9355" t="n">
        <v>0</v>
      </c>
      <c r="M9355" t="n">
        <v>0</v>
      </c>
      <c r="N9355" t="n">
        <v>0</v>
      </c>
      <c r="O9355" t="n">
        <v>0</v>
      </c>
      <c r="P9355" t="n">
        <v>0</v>
      </c>
      <c r="Q9355" t="n">
        <v>0</v>
      </c>
      <c r="R9355" t="n">
        <v>0</v>
      </c>
      <c r="S9355" t="n">
        <v>0</v>
      </c>
      <c r="T9355" t="n">
        <v>0</v>
      </c>
      <c r="U9355" t="n">
        <v>0</v>
      </c>
      <c r="V9355" s="2" t="inlineStr"/>
    </row>
    <row r="9356" ht="15" customHeight="1">
      <c r="A9356" t="inlineStr">
        <is>
          <t>A 57824-2023</t>
        </is>
      </c>
      <c r="B9356" t="inlineStr">
        <is>
          <t>avverkningsanmälan</t>
        </is>
      </c>
      <c r="C9356" t="inlineStr">
        <is>
          <t>Föryngringsavverkning</t>
        </is>
      </c>
      <c r="D9356" s="1" t="n">
        <v>45247</v>
      </c>
      <c r="E9356" s="1" t="n">
        <v>46319</v>
      </c>
      <c r="F9356" t="inlineStr">
        <is>
          <t>DALARNAS LÄN</t>
        </is>
      </c>
      <c r="G9356" t="inlineStr">
        <is>
          <t>SÄTER</t>
        </is>
      </c>
      <c r="I9356" t="n">
        <v>2.9</v>
      </c>
      <c r="J9356" t="n">
        <v>0</v>
      </c>
      <c r="K9356" t="n">
        <v>0</v>
      </c>
      <c r="L9356" t="n">
        <v>0</v>
      </c>
      <c r="M9356" t="n">
        <v>0</v>
      </c>
      <c r="N9356" t="n">
        <v>0</v>
      </c>
      <c r="O9356" t="n">
        <v>0</v>
      </c>
      <c r="P9356" t="n">
        <v>0</v>
      </c>
      <c r="Q9356" t="n">
        <v>0</v>
      </c>
      <c r="R9356" t="n">
        <v>0</v>
      </c>
      <c r="S9356" t="n">
        <v>0</v>
      </c>
      <c r="T9356" t="n">
        <v>0</v>
      </c>
      <c r="U9356" t="n">
        <v>0</v>
      </c>
      <c r="V9356" s="2" t="inlineStr"/>
    </row>
    <row r="9357" ht="15" customHeight="1">
      <c r="A9357" t="inlineStr">
        <is>
          <t>A 58954-2023</t>
        </is>
      </c>
      <c r="B9357" t="inlineStr">
        <is>
          <t>avverkningsanmälan</t>
        </is>
      </c>
      <c r="C9357" t="inlineStr">
        <is>
          <t>Föryngringsavverkning</t>
        </is>
      </c>
      <c r="D9357" s="1" t="n">
        <v>45252</v>
      </c>
      <c r="E9357" s="1" t="n">
        <v>46319</v>
      </c>
      <c r="F9357" t="inlineStr">
        <is>
          <t>DALARNAS LÄN</t>
        </is>
      </c>
      <c r="G9357" t="inlineStr">
        <is>
          <t>MALUNG-SÄLEN</t>
        </is>
      </c>
      <c r="I9357" t="n">
        <v>2.3</v>
      </c>
      <c r="J9357" t="n">
        <v>0</v>
      </c>
      <c r="K9357" t="n">
        <v>0</v>
      </c>
      <c r="L9357" t="n">
        <v>0</v>
      </c>
      <c r="M9357" t="n">
        <v>0</v>
      </c>
      <c r="N9357" t="n">
        <v>0</v>
      </c>
      <c r="O9357" t="n">
        <v>0</v>
      </c>
      <c r="P9357" t="n">
        <v>0</v>
      </c>
      <c r="Q9357" t="n">
        <v>0</v>
      </c>
      <c r="R9357" t="n">
        <v>0</v>
      </c>
      <c r="S9357" t="n">
        <v>0</v>
      </c>
      <c r="T9357" t="n">
        <v>0</v>
      </c>
      <c r="U9357" t="n">
        <v>0</v>
      </c>
      <c r="V9357" s="2" t="inlineStr"/>
    </row>
    <row r="9358" ht="15" customHeight="1">
      <c r="A9358" t="inlineStr">
        <is>
          <t>A 51320-2023</t>
        </is>
      </c>
      <c r="B9358" t="inlineStr">
        <is>
          <t>avverkningsanmälan</t>
        </is>
      </c>
      <c r="C9358" t="inlineStr">
        <is>
          <t>Föryngringsavverkning</t>
        </is>
      </c>
      <c r="D9358" s="1" t="n">
        <v>45219</v>
      </c>
      <c r="E9358" s="1" t="n">
        <v>46319</v>
      </c>
      <c r="F9358" t="inlineStr">
        <is>
          <t>DALARNAS LÄN</t>
        </is>
      </c>
      <c r="G9358" t="inlineStr">
        <is>
          <t>LEKSAND</t>
        </is>
      </c>
      <c r="I9358" t="n">
        <v>2.1</v>
      </c>
      <c r="J9358" t="n">
        <v>0</v>
      </c>
      <c r="K9358" t="n">
        <v>0</v>
      </c>
      <c r="L9358" t="n">
        <v>0</v>
      </c>
      <c r="M9358" t="n">
        <v>0</v>
      </c>
      <c r="N9358" t="n">
        <v>0</v>
      </c>
      <c r="O9358" t="n">
        <v>0</v>
      </c>
      <c r="P9358" t="n">
        <v>0</v>
      </c>
      <c r="Q9358" t="n">
        <v>0</v>
      </c>
      <c r="R9358" t="n">
        <v>0</v>
      </c>
      <c r="S9358" t="n">
        <v>0</v>
      </c>
      <c r="T9358" t="n">
        <v>0</v>
      </c>
      <c r="U9358" t="n">
        <v>0</v>
      </c>
      <c r="V9358" s="2" t="inlineStr"/>
    </row>
    <row r="9359" ht="15" customHeight="1">
      <c r="A9359" t="inlineStr">
        <is>
          <t>A 9037-2025</t>
        </is>
      </c>
      <c r="B9359" t="inlineStr">
        <is>
          <t>avverkningsanmälan</t>
        </is>
      </c>
      <c r="C9359" t="inlineStr">
        <is>
          <t>Föryngringsavverkning</t>
        </is>
      </c>
      <c r="D9359" s="1" t="n">
        <v>45713</v>
      </c>
      <c r="E9359" s="1" t="n">
        <v>46319</v>
      </c>
      <c r="F9359" t="inlineStr">
        <is>
          <t>DALARNAS LÄN</t>
        </is>
      </c>
      <c r="G9359" t="inlineStr">
        <is>
          <t>MALUNG-SÄLEN</t>
        </is>
      </c>
      <c r="I9359" t="n">
        <v>0.9</v>
      </c>
      <c r="J9359" t="n">
        <v>0</v>
      </c>
      <c r="K9359" t="n">
        <v>0</v>
      </c>
      <c r="L9359" t="n">
        <v>0</v>
      </c>
      <c r="M9359" t="n">
        <v>0</v>
      </c>
      <c r="N9359" t="n">
        <v>0</v>
      </c>
      <c r="O9359" t="n">
        <v>0</v>
      </c>
      <c r="P9359" t="n">
        <v>0</v>
      </c>
      <c r="Q9359" t="n">
        <v>0</v>
      </c>
      <c r="R9359" t="n">
        <v>0</v>
      </c>
      <c r="S9359" t="n">
        <v>0</v>
      </c>
      <c r="T9359" t="n">
        <v>0</v>
      </c>
      <c r="U9359" t="n">
        <v>0</v>
      </c>
      <c r="V9359" s="2" t="inlineStr"/>
    </row>
    <row r="9360" ht="15" customHeight="1">
      <c r="A9360" t="inlineStr">
        <is>
          <t>A 57319-2023</t>
        </is>
      </c>
      <c r="B9360" t="inlineStr">
        <is>
          <t>avverkningsanmälan</t>
        </is>
      </c>
      <c r="C9360" t="inlineStr">
        <is>
          <t>Avverkning för att bevara och utveckla /försöksver</t>
        </is>
      </c>
      <c r="D9360" s="1" t="n">
        <v>45245</v>
      </c>
      <c r="E9360" s="1" t="n">
        <v>46319</v>
      </c>
      <c r="F9360" t="inlineStr">
        <is>
          <t>DALARNAS LÄN</t>
        </is>
      </c>
      <c r="G9360" t="inlineStr">
        <is>
          <t>MORA</t>
        </is>
      </c>
      <c r="I9360" t="n">
        <v>2</v>
      </c>
      <c r="J9360" t="n">
        <v>0</v>
      </c>
      <c r="K9360" t="n">
        <v>0</v>
      </c>
      <c r="L9360" t="n">
        <v>0</v>
      </c>
      <c r="M9360" t="n">
        <v>0</v>
      </c>
      <c r="N9360" t="n">
        <v>0</v>
      </c>
      <c r="O9360" t="n">
        <v>0</v>
      </c>
      <c r="P9360" t="n">
        <v>0</v>
      </c>
      <c r="Q9360" t="n">
        <v>0</v>
      </c>
      <c r="R9360" t="n">
        <v>0</v>
      </c>
      <c r="S9360" t="n">
        <v>0</v>
      </c>
      <c r="T9360" t="n">
        <v>0</v>
      </c>
      <c r="U9360" t="n">
        <v>0</v>
      </c>
      <c r="V9360" s="2" t="inlineStr"/>
    </row>
    <row r="9361" ht="15" customHeight="1">
      <c r="A9361" t="inlineStr">
        <is>
          <t>A 57533-2023</t>
        </is>
      </c>
      <c r="B9361" t="inlineStr">
        <is>
          <t>avverkningsanmälan</t>
        </is>
      </c>
      <c r="C9361" t="inlineStr">
        <is>
          <t>Föryngringsavverkning</t>
        </is>
      </c>
      <c r="D9361" s="1" t="n">
        <v>45246</v>
      </c>
      <c r="E9361" s="1" t="n">
        <v>46319</v>
      </c>
      <c r="F9361" t="inlineStr">
        <is>
          <t>DALARNAS LÄN</t>
        </is>
      </c>
      <c r="G9361" t="inlineStr">
        <is>
          <t>BORLÄNGE</t>
        </is>
      </c>
      <c r="I9361" t="n">
        <v>0.5</v>
      </c>
      <c r="J9361" t="n">
        <v>0</v>
      </c>
      <c r="K9361" t="n">
        <v>0</v>
      </c>
      <c r="L9361" t="n">
        <v>0</v>
      </c>
      <c r="M9361" t="n">
        <v>0</v>
      </c>
      <c r="N9361" t="n">
        <v>0</v>
      </c>
      <c r="O9361" t="n">
        <v>0</v>
      </c>
      <c r="P9361" t="n">
        <v>0</v>
      </c>
      <c r="Q9361" t="n">
        <v>0</v>
      </c>
      <c r="R9361" t="n">
        <v>0</v>
      </c>
      <c r="S9361" t="n">
        <v>0</v>
      </c>
      <c r="T9361" t="n">
        <v>0</v>
      </c>
      <c r="U9361" t="n">
        <v>0</v>
      </c>
      <c r="V9361" s="2" t="inlineStr"/>
    </row>
    <row r="9362" ht="15" customHeight="1">
      <c r="A9362" t="inlineStr">
        <is>
          <t>A 50125-2023</t>
        </is>
      </c>
      <c r="B9362" t="inlineStr">
        <is>
          <t>avverkningsanmälan</t>
        </is>
      </c>
      <c r="C9362" t="inlineStr">
        <is>
          <t>Föryngringsavverkning</t>
        </is>
      </c>
      <c r="D9362" s="1" t="n">
        <v>45215</v>
      </c>
      <c r="E9362" s="1" t="n">
        <v>46319</v>
      </c>
      <c r="F9362" t="inlineStr">
        <is>
          <t>DALARNAS LÄN</t>
        </is>
      </c>
      <c r="G9362" t="inlineStr">
        <is>
          <t>VANSBRO</t>
        </is>
      </c>
      <c r="I9362" t="n">
        <v>1.4</v>
      </c>
      <c r="J9362" t="n">
        <v>0</v>
      </c>
      <c r="K9362" t="n">
        <v>0</v>
      </c>
      <c r="L9362" t="n">
        <v>0</v>
      </c>
      <c r="M9362" t="n">
        <v>0</v>
      </c>
      <c r="N9362" t="n">
        <v>0</v>
      </c>
      <c r="O9362" t="n">
        <v>0</v>
      </c>
      <c r="P9362" t="n">
        <v>0</v>
      </c>
      <c r="Q9362" t="n">
        <v>0</v>
      </c>
      <c r="R9362" t="n">
        <v>0</v>
      </c>
      <c r="S9362" t="n">
        <v>0</v>
      </c>
      <c r="T9362" t="n">
        <v>0</v>
      </c>
      <c r="U9362" t="n">
        <v>0</v>
      </c>
      <c r="V9362" s="2" t="inlineStr"/>
    </row>
    <row r="9363" ht="15" customHeight="1">
      <c r="A9363" t="inlineStr">
        <is>
          <t>A 50141-2023</t>
        </is>
      </c>
      <c r="B9363" t="inlineStr">
        <is>
          <t>avverkningsanmälan</t>
        </is>
      </c>
      <c r="C9363" t="inlineStr">
        <is>
          <t>Föryngringsavverkning</t>
        </is>
      </c>
      <c r="D9363" s="1" t="n">
        <v>45215</v>
      </c>
      <c r="E9363" s="1" t="n">
        <v>46319</v>
      </c>
      <c r="F9363" t="inlineStr">
        <is>
          <t>DALARNAS LÄN</t>
        </is>
      </c>
      <c r="G9363" t="inlineStr">
        <is>
          <t>VANSBRO</t>
        </is>
      </c>
      <c r="I9363" t="n">
        <v>3.1</v>
      </c>
      <c r="J9363" t="n">
        <v>0</v>
      </c>
      <c r="K9363" t="n">
        <v>0</v>
      </c>
      <c r="L9363" t="n">
        <v>0</v>
      </c>
      <c r="M9363" t="n">
        <v>0</v>
      </c>
      <c r="N9363" t="n">
        <v>0</v>
      </c>
      <c r="O9363" t="n">
        <v>0</v>
      </c>
      <c r="P9363" t="n">
        <v>0</v>
      </c>
      <c r="Q9363" t="n">
        <v>0</v>
      </c>
      <c r="R9363" t="n">
        <v>0</v>
      </c>
      <c r="S9363" t="n">
        <v>0</v>
      </c>
      <c r="T9363" t="n">
        <v>0</v>
      </c>
      <c r="U9363" t="n">
        <v>0</v>
      </c>
      <c r="V9363" s="2" t="inlineStr"/>
    </row>
    <row r="9364" ht="15" customHeight="1">
      <c r="A9364" t="inlineStr">
        <is>
          <t>A 62853-2023</t>
        </is>
      </c>
      <c r="B9364" t="inlineStr">
        <is>
          <t>avverkningsanmälan</t>
        </is>
      </c>
      <c r="C9364" t="inlineStr">
        <is>
          <t>Avverkning för annat ändamål</t>
        </is>
      </c>
      <c r="D9364" s="1" t="n">
        <v>45272</v>
      </c>
      <c r="E9364" s="1" t="n">
        <v>46319</v>
      </c>
      <c r="F9364" t="inlineStr">
        <is>
          <t>DALARNAS LÄN</t>
        </is>
      </c>
      <c r="G9364" t="inlineStr">
        <is>
          <t>MORA</t>
        </is>
      </c>
      <c r="I9364" t="n">
        <v>13.6</v>
      </c>
      <c r="J9364" t="n">
        <v>0</v>
      </c>
      <c r="K9364" t="n">
        <v>0</v>
      </c>
      <c r="L9364" t="n">
        <v>0</v>
      </c>
      <c r="M9364" t="n">
        <v>0</v>
      </c>
      <c r="N9364" t="n">
        <v>0</v>
      </c>
      <c r="O9364" t="n">
        <v>0</v>
      </c>
      <c r="P9364" t="n">
        <v>0</v>
      </c>
      <c r="Q9364" t="n">
        <v>0</v>
      </c>
      <c r="R9364" t="n">
        <v>0</v>
      </c>
      <c r="S9364" t="n">
        <v>0</v>
      </c>
      <c r="T9364" t="n">
        <v>0</v>
      </c>
      <c r="U9364" t="n">
        <v>0</v>
      </c>
      <c r="V9364" s="2" t="inlineStr"/>
    </row>
    <row r="9365" ht="15" customHeight="1">
      <c r="A9365" t="inlineStr">
        <is>
          <t>A 43826-2022</t>
        </is>
      </c>
      <c r="B9365" t="inlineStr">
        <is>
          <t>avverkningsanmälan</t>
        </is>
      </c>
      <c r="C9365" t="inlineStr">
        <is>
          <t>Föryngringsavverkning</t>
        </is>
      </c>
      <c r="D9365" s="1" t="n">
        <v>44838</v>
      </c>
      <c r="E9365" s="1" t="n">
        <v>46319</v>
      </c>
      <c r="F9365" t="inlineStr">
        <is>
          <t>DALARNAS LÄN</t>
        </is>
      </c>
      <c r="G9365" t="inlineStr">
        <is>
          <t>MORA</t>
        </is>
      </c>
      <c r="I9365" t="n">
        <v>9.800000000000001</v>
      </c>
      <c r="J9365" t="n">
        <v>0</v>
      </c>
      <c r="K9365" t="n">
        <v>0</v>
      </c>
      <c r="L9365" t="n">
        <v>0</v>
      </c>
      <c r="M9365" t="n">
        <v>0</v>
      </c>
      <c r="N9365" t="n">
        <v>0</v>
      </c>
      <c r="O9365" t="n">
        <v>0</v>
      </c>
      <c r="P9365" t="n">
        <v>0</v>
      </c>
      <c r="Q9365" t="n">
        <v>0</v>
      </c>
      <c r="R9365" t="n">
        <v>0</v>
      </c>
      <c r="S9365" t="n">
        <v>0</v>
      </c>
      <c r="T9365" t="n">
        <v>0</v>
      </c>
      <c r="U9365" t="n">
        <v>0</v>
      </c>
      <c r="V9365" s="2" t="inlineStr"/>
    </row>
    <row r="9366" ht="15" customHeight="1">
      <c r="A9366" t="inlineStr">
        <is>
          <t>A 29754-2022</t>
        </is>
      </c>
      <c r="B9366" t="inlineStr">
        <is>
          <t>avverkningsanmälan</t>
        </is>
      </c>
      <c r="C9366" t="inlineStr">
        <is>
          <t>Föryngringsavverkning</t>
        </is>
      </c>
      <c r="D9366" s="1" t="n">
        <v>44755</v>
      </c>
      <c r="E9366" s="1" t="n">
        <v>46319</v>
      </c>
      <c r="F9366" t="inlineStr">
        <is>
          <t>DALARNAS LÄN</t>
        </is>
      </c>
      <c r="G9366" t="inlineStr">
        <is>
          <t>MORA</t>
        </is>
      </c>
      <c r="I9366" t="n">
        <v>1.6</v>
      </c>
      <c r="J9366" t="n">
        <v>0</v>
      </c>
      <c r="K9366" t="n">
        <v>0</v>
      </c>
      <c r="L9366" t="n">
        <v>0</v>
      </c>
      <c r="M9366" t="n">
        <v>0</v>
      </c>
      <c r="N9366" t="n">
        <v>0</v>
      </c>
      <c r="O9366" t="n">
        <v>0</v>
      </c>
      <c r="P9366" t="n">
        <v>0</v>
      </c>
      <c r="Q9366" t="n">
        <v>0</v>
      </c>
      <c r="R9366" t="n">
        <v>0</v>
      </c>
      <c r="S9366" t="n">
        <v>0</v>
      </c>
      <c r="T9366" t="n">
        <v>0</v>
      </c>
      <c r="U9366" t="n">
        <v>0</v>
      </c>
      <c r="V9366" s="2" t="inlineStr"/>
    </row>
    <row r="9367" ht="15" customHeight="1">
      <c r="A9367" t="inlineStr">
        <is>
          <t>A 49240-2023</t>
        </is>
      </c>
      <c r="B9367" t="inlineStr">
        <is>
          <t>avverkningsanmälan</t>
        </is>
      </c>
      <c r="C9367" t="inlineStr">
        <is>
          <t>Föryngringsavverkning</t>
        </is>
      </c>
      <c r="D9367" s="1" t="n">
        <v>45210</v>
      </c>
      <c r="E9367" s="1" t="n">
        <v>46319</v>
      </c>
      <c r="F9367" t="inlineStr">
        <is>
          <t>DALARNAS LÄN</t>
        </is>
      </c>
      <c r="G9367" t="inlineStr">
        <is>
          <t>RÄTTVIK</t>
        </is>
      </c>
      <c r="I9367" t="n">
        <v>1.8</v>
      </c>
      <c r="J9367" t="n">
        <v>0</v>
      </c>
      <c r="K9367" t="n">
        <v>0</v>
      </c>
      <c r="L9367" t="n">
        <v>0</v>
      </c>
      <c r="M9367" t="n">
        <v>0</v>
      </c>
      <c r="N9367" t="n">
        <v>0</v>
      </c>
      <c r="O9367" t="n">
        <v>0</v>
      </c>
      <c r="P9367" t="n">
        <v>0</v>
      </c>
      <c r="Q9367" t="n">
        <v>0</v>
      </c>
      <c r="R9367" t="n">
        <v>0</v>
      </c>
      <c r="S9367" t="n">
        <v>0</v>
      </c>
      <c r="T9367" t="n">
        <v>0</v>
      </c>
      <c r="U9367" t="n">
        <v>0</v>
      </c>
      <c r="V9367" s="2" t="inlineStr"/>
    </row>
    <row r="9368" ht="15" customHeight="1">
      <c r="A9368" t="inlineStr">
        <is>
          <t>A 35244-2022</t>
        </is>
      </c>
      <c r="B9368" t="inlineStr">
        <is>
          <t>avverkningsanmälan</t>
        </is>
      </c>
      <c r="C9368" t="inlineStr">
        <is>
          <t>Avverkning för annat ändamål</t>
        </is>
      </c>
      <c r="D9368" s="1" t="n">
        <v>44798</v>
      </c>
      <c r="E9368" s="1" t="n">
        <v>46319</v>
      </c>
      <c r="F9368" t="inlineStr">
        <is>
          <t>DALARNAS LÄN</t>
        </is>
      </c>
      <c r="G9368" t="inlineStr">
        <is>
          <t>RÄTTVIK</t>
        </is>
      </c>
      <c r="I9368" t="n">
        <v>4.3</v>
      </c>
      <c r="J9368" t="n">
        <v>0</v>
      </c>
      <c r="K9368" t="n">
        <v>0</v>
      </c>
      <c r="L9368" t="n">
        <v>0</v>
      </c>
      <c r="M9368" t="n">
        <v>0</v>
      </c>
      <c r="N9368" t="n">
        <v>0</v>
      </c>
      <c r="O9368" t="n">
        <v>0</v>
      </c>
      <c r="P9368" t="n">
        <v>0</v>
      </c>
      <c r="Q9368" t="n">
        <v>0</v>
      </c>
      <c r="R9368" t="n">
        <v>0</v>
      </c>
      <c r="S9368" t="n">
        <v>0</v>
      </c>
      <c r="T9368" t="n">
        <v>0</v>
      </c>
      <c r="U9368" t="n">
        <v>0</v>
      </c>
      <c r="V9368" s="2" t="inlineStr"/>
    </row>
    <row r="9369" ht="15" customHeight="1">
      <c r="A9369" t="inlineStr">
        <is>
          <t>A 11298-2025</t>
        </is>
      </c>
      <c r="B9369" t="inlineStr">
        <is>
          <t>avverkningsanmälan</t>
        </is>
      </c>
      <c r="C9369" t="inlineStr">
        <is>
          <t>Föryngringsavverkning</t>
        </is>
      </c>
      <c r="D9369" s="1" t="n">
        <v>45726</v>
      </c>
      <c r="E9369" s="1" t="n">
        <v>46319</v>
      </c>
      <c r="F9369" t="inlineStr">
        <is>
          <t>DALARNAS LÄN</t>
        </is>
      </c>
      <c r="G9369" t="inlineStr">
        <is>
          <t>RÄTTVIK</t>
        </is>
      </c>
      <c r="I9369" t="n">
        <v>2.8</v>
      </c>
      <c r="J9369" t="n">
        <v>0</v>
      </c>
      <c r="K9369" t="n">
        <v>0</v>
      </c>
      <c r="L9369" t="n">
        <v>0</v>
      </c>
      <c r="M9369" t="n">
        <v>0</v>
      </c>
      <c r="N9369" t="n">
        <v>0</v>
      </c>
      <c r="O9369" t="n">
        <v>0</v>
      </c>
      <c r="P9369" t="n">
        <v>0</v>
      </c>
      <c r="Q9369" t="n">
        <v>0</v>
      </c>
      <c r="R9369" t="n">
        <v>0</v>
      </c>
      <c r="S9369" t="n">
        <v>0</v>
      </c>
      <c r="T9369" t="n">
        <v>0</v>
      </c>
      <c r="U9369" t="n">
        <v>0</v>
      </c>
      <c r="V9369" s="2" t="inlineStr"/>
    </row>
    <row r="9370" ht="15" customHeight="1">
      <c r="A9370" t="inlineStr">
        <is>
          <t>A 1839-2025</t>
        </is>
      </c>
      <c r="B9370" t="inlineStr">
        <is>
          <t>avverkningsanmälan</t>
        </is>
      </c>
      <c r="C9370" t="inlineStr">
        <is>
          <t>Avverkning för annat ändamål</t>
        </is>
      </c>
      <c r="D9370" s="1" t="n">
        <v>45671</v>
      </c>
      <c r="E9370" s="1" t="n">
        <v>46319</v>
      </c>
      <c r="F9370" t="inlineStr">
        <is>
          <t>DALARNAS LÄN</t>
        </is>
      </c>
      <c r="G9370" t="inlineStr">
        <is>
          <t>FALUN</t>
        </is>
      </c>
      <c r="I9370" t="n">
        <v>1.9</v>
      </c>
      <c r="J9370" t="n">
        <v>0</v>
      </c>
      <c r="K9370" t="n">
        <v>0</v>
      </c>
      <c r="L9370" t="n">
        <v>0</v>
      </c>
      <c r="M9370" t="n">
        <v>0</v>
      </c>
      <c r="N9370" t="n">
        <v>0</v>
      </c>
      <c r="O9370" t="n">
        <v>0</v>
      </c>
      <c r="P9370" t="n">
        <v>0</v>
      </c>
      <c r="Q9370" t="n">
        <v>0</v>
      </c>
      <c r="R9370" t="n">
        <v>0</v>
      </c>
      <c r="S9370" t="n">
        <v>0</v>
      </c>
      <c r="T9370" t="n">
        <v>0</v>
      </c>
      <c r="U9370" t="n">
        <v>0</v>
      </c>
      <c r="V9370" s="2" t="inlineStr"/>
    </row>
    <row r="9371" ht="15" customHeight="1">
      <c r="A9371" t="inlineStr">
        <is>
          <t>A 3342-2024</t>
        </is>
      </c>
      <c r="B9371" t="inlineStr">
        <is>
          <t>avverkningsanmälan</t>
        </is>
      </c>
      <c r="C9371" t="inlineStr">
        <is>
          <t>Föryngringsavverkning</t>
        </is>
      </c>
      <c r="D9371" s="1" t="n">
        <v>45317</v>
      </c>
      <c r="E9371" s="1" t="n">
        <v>46319</v>
      </c>
      <c r="F9371" t="inlineStr">
        <is>
          <t>DALARNAS LÄN</t>
        </is>
      </c>
      <c r="G9371" t="inlineStr">
        <is>
          <t>RÄTTVIK</t>
        </is>
      </c>
      <c r="I9371" t="n">
        <v>1.2</v>
      </c>
      <c r="J9371" t="n">
        <v>0</v>
      </c>
      <c r="K9371" t="n">
        <v>0</v>
      </c>
      <c r="L9371" t="n">
        <v>0</v>
      </c>
      <c r="M9371" t="n">
        <v>0</v>
      </c>
      <c r="N9371" t="n">
        <v>0</v>
      </c>
      <c r="O9371" t="n">
        <v>0</v>
      </c>
      <c r="P9371" t="n">
        <v>0</v>
      </c>
      <c r="Q9371" t="n">
        <v>0</v>
      </c>
      <c r="R9371" t="n">
        <v>0</v>
      </c>
      <c r="S9371" t="n">
        <v>0</v>
      </c>
      <c r="T9371" t="n">
        <v>0</v>
      </c>
      <c r="U9371" t="n">
        <v>0</v>
      </c>
      <c r="V9371" s="2" t="inlineStr"/>
    </row>
    <row r="9372" ht="15" customHeight="1">
      <c r="A9372" t="inlineStr">
        <is>
          <t>A 1624-2024</t>
        </is>
      </c>
      <c r="B9372" t="inlineStr">
        <is>
          <t>avverkningsanmälan</t>
        </is>
      </c>
      <c r="C9372" t="inlineStr">
        <is>
          <t>Föryngringsavverkning</t>
        </is>
      </c>
      <c r="D9372" s="1" t="n">
        <v>45306</v>
      </c>
      <c r="E9372" s="1" t="n">
        <v>46319</v>
      </c>
      <c r="F9372" t="inlineStr">
        <is>
          <t>DALARNAS LÄN</t>
        </is>
      </c>
      <c r="G9372" t="inlineStr">
        <is>
          <t>ORSA</t>
        </is>
      </c>
      <c r="I9372" t="n">
        <v>1.9</v>
      </c>
      <c r="J9372" t="n">
        <v>0</v>
      </c>
      <c r="K9372" t="n">
        <v>0</v>
      </c>
      <c r="L9372" t="n">
        <v>0</v>
      </c>
      <c r="M9372" t="n">
        <v>0</v>
      </c>
      <c r="N9372" t="n">
        <v>0</v>
      </c>
      <c r="O9372" t="n">
        <v>0</v>
      </c>
      <c r="P9372" t="n">
        <v>0</v>
      </c>
      <c r="Q9372" t="n">
        <v>0</v>
      </c>
      <c r="R9372" t="n">
        <v>0</v>
      </c>
      <c r="S9372" t="n">
        <v>0</v>
      </c>
      <c r="T9372" t="n">
        <v>0</v>
      </c>
      <c r="U9372" t="n">
        <v>0</v>
      </c>
      <c r="V9372" s="2" t="inlineStr"/>
    </row>
    <row r="9373" ht="15" customHeight="1">
      <c r="A9373" t="inlineStr">
        <is>
          <t>A 19505-2022</t>
        </is>
      </c>
      <c r="B9373" t="inlineStr">
        <is>
          <t>avverkningsanmälan</t>
        </is>
      </c>
      <c r="C9373" t="inlineStr">
        <is>
          <t>Föryngringsavverkning</t>
        </is>
      </c>
      <c r="D9373" s="1" t="n">
        <v>44693</v>
      </c>
      <c r="E9373" s="1" t="n">
        <v>46319</v>
      </c>
      <c r="F9373" t="inlineStr">
        <is>
          <t>DALARNAS LÄN</t>
        </is>
      </c>
      <c r="G9373" t="inlineStr">
        <is>
          <t>ORSA</t>
        </is>
      </c>
      <c r="I9373" t="n">
        <v>2.7</v>
      </c>
      <c r="J9373" t="n">
        <v>0</v>
      </c>
      <c r="K9373" t="n">
        <v>0</v>
      </c>
      <c r="L9373" t="n">
        <v>0</v>
      </c>
      <c r="M9373" t="n">
        <v>0</v>
      </c>
      <c r="N9373" t="n">
        <v>0</v>
      </c>
      <c r="O9373" t="n">
        <v>0</v>
      </c>
      <c r="P9373" t="n">
        <v>0</v>
      </c>
      <c r="Q9373" t="n">
        <v>0</v>
      </c>
      <c r="R9373" t="n">
        <v>0</v>
      </c>
      <c r="S9373" t="n">
        <v>0</v>
      </c>
      <c r="T9373" t="n">
        <v>0</v>
      </c>
      <c r="U9373" t="n">
        <v>0</v>
      </c>
      <c r="V9373" s="2" t="inlineStr"/>
    </row>
    <row r="9374" ht="15" customHeight="1">
      <c r="A9374" t="inlineStr">
        <is>
          <t>A 35981-2022</t>
        </is>
      </c>
      <c r="B9374" t="inlineStr">
        <is>
          <t>avverkningsanmälan</t>
        </is>
      </c>
      <c r="C9374" t="inlineStr">
        <is>
          <t>Föryngringsavverkning</t>
        </is>
      </c>
      <c r="D9374" s="1" t="n">
        <v>44802</v>
      </c>
      <c r="E9374" s="1" t="n">
        <v>46319</v>
      </c>
      <c r="F9374" t="inlineStr">
        <is>
          <t>DALARNAS LÄN</t>
        </is>
      </c>
      <c r="G9374" t="inlineStr">
        <is>
          <t>FALUN</t>
        </is>
      </c>
      <c r="I9374" t="n">
        <v>0.7</v>
      </c>
      <c r="J9374" t="n">
        <v>0</v>
      </c>
      <c r="K9374" t="n">
        <v>0</v>
      </c>
      <c r="L9374" t="n">
        <v>0</v>
      </c>
      <c r="M9374" t="n">
        <v>0</v>
      </c>
      <c r="N9374" t="n">
        <v>0</v>
      </c>
      <c r="O9374" t="n">
        <v>0</v>
      </c>
      <c r="P9374" t="n">
        <v>0</v>
      </c>
      <c r="Q9374" t="n">
        <v>0</v>
      </c>
      <c r="R9374" t="n">
        <v>0</v>
      </c>
      <c r="S9374" t="n">
        <v>0</v>
      </c>
      <c r="T9374" t="n">
        <v>0</v>
      </c>
      <c r="U9374" t="n">
        <v>0</v>
      </c>
      <c r="V9374" s="2" t="inlineStr"/>
    </row>
    <row r="9375" ht="15" customHeight="1">
      <c r="A9375" t="inlineStr">
        <is>
          <t>A 3853-2024</t>
        </is>
      </c>
      <c r="B9375" t="inlineStr">
        <is>
          <t>avverkningsanmälan</t>
        </is>
      </c>
      <c r="C9375" t="inlineStr">
        <is>
          <t>Föryngringsavverkning</t>
        </is>
      </c>
      <c r="D9375" s="1" t="n">
        <v>45322</v>
      </c>
      <c r="E9375" s="1" t="n">
        <v>46319</v>
      </c>
      <c r="F9375" t="inlineStr">
        <is>
          <t>DALARNAS LÄN</t>
        </is>
      </c>
      <c r="G9375" t="inlineStr">
        <is>
          <t>MALUNG-SÄLEN</t>
        </is>
      </c>
      <c r="I9375" t="n">
        <v>1.7</v>
      </c>
      <c r="J9375" t="n">
        <v>0</v>
      </c>
      <c r="K9375" t="n">
        <v>0</v>
      </c>
      <c r="L9375" t="n">
        <v>0</v>
      </c>
      <c r="M9375" t="n">
        <v>0</v>
      </c>
      <c r="N9375" t="n">
        <v>0</v>
      </c>
      <c r="O9375" t="n">
        <v>0</v>
      </c>
      <c r="P9375" t="n">
        <v>0</v>
      </c>
      <c r="Q9375" t="n">
        <v>0</v>
      </c>
      <c r="R9375" t="n">
        <v>0</v>
      </c>
      <c r="S9375" t="n">
        <v>0</v>
      </c>
      <c r="T9375" t="n">
        <v>0</v>
      </c>
      <c r="U9375" t="n">
        <v>0</v>
      </c>
      <c r="V9375" s="2" t="inlineStr"/>
    </row>
    <row r="9376" ht="15" customHeight="1">
      <c r="A9376" t="inlineStr">
        <is>
          <t>A 54928-2022</t>
        </is>
      </c>
      <c r="B9376" t="inlineStr">
        <is>
          <t>avverkningsanmälan</t>
        </is>
      </c>
      <c r="C9376" t="inlineStr">
        <is>
          <t>Föryngringsavverkning</t>
        </is>
      </c>
      <c r="D9376" s="1" t="n">
        <v>44886</v>
      </c>
      <c r="E9376" s="1" t="n">
        <v>46319</v>
      </c>
      <c r="F9376" t="inlineStr">
        <is>
          <t>DALARNAS LÄN</t>
        </is>
      </c>
      <c r="G9376" t="inlineStr">
        <is>
          <t>MALUNG-SÄLEN</t>
        </is>
      </c>
      <c r="I9376" t="n">
        <v>2.7</v>
      </c>
      <c r="J9376" t="n">
        <v>0</v>
      </c>
      <c r="K9376" t="n">
        <v>0</v>
      </c>
      <c r="L9376" t="n">
        <v>0</v>
      </c>
      <c r="M9376" t="n">
        <v>0</v>
      </c>
      <c r="N9376" t="n">
        <v>0</v>
      </c>
      <c r="O9376" t="n">
        <v>0</v>
      </c>
      <c r="P9376" t="n">
        <v>0</v>
      </c>
      <c r="Q9376" t="n">
        <v>0</v>
      </c>
      <c r="R9376" t="n">
        <v>0</v>
      </c>
      <c r="S9376" t="n">
        <v>0</v>
      </c>
      <c r="T9376" t="n">
        <v>0</v>
      </c>
      <c r="U9376" t="n">
        <v>0</v>
      </c>
      <c r="V9376" s="2" t="inlineStr"/>
    </row>
    <row r="9377" ht="15" customHeight="1">
      <c r="A9377" t="inlineStr">
        <is>
          <t>A 54932-2022</t>
        </is>
      </c>
      <c r="B9377" t="inlineStr">
        <is>
          <t>avverkningsanmälan</t>
        </is>
      </c>
      <c r="C9377" t="inlineStr">
        <is>
          <t>Föryngringsavverkning</t>
        </is>
      </c>
      <c r="D9377" s="1" t="n">
        <v>44881</v>
      </c>
      <c r="E9377" s="1" t="n">
        <v>46319</v>
      </c>
      <c r="F9377" t="inlineStr">
        <is>
          <t>DALARNAS LÄN</t>
        </is>
      </c>
      <c r="G9377" t="inlineStr">
        <is>
          <t>MALUNG-SÄLEN</t>
        </is>
      </c>
      <c r="I9377" t="n">
        <v>8.1</v>
      </c>
      <c r="J9377" t="n">
        <v>0</v>
      </c>
      <c r="K9377" t="n">
        <v>0</v>
      </c>
      <c r="L9377" t="n">
        <v>0</v>
      </c>
      <c r="M9377" t="n">
        <v>0</v>
      </c>
      <c r="N9377" t="n">
        <v>0</v>
      </c>
      <c r="O9377" t="n">
        <v>0</v>
      </c>
      <c r="P9377" t="n">
        <v>0</v>
      </c>
      <c r="Q9377" t="n">
        <v>0</v>
      </c>
      <c r="R9377" t="n">
        <v>0</v>
      </c>
      <c r="S9377" t="n">
        <v>0</v>
      </c>
      <c r="T9377" t="n">
        <v>0</v>
      </c>
      <c r="U9377" t="n">
        <v>0</v>
      </c>
      <c r="V9377" s="2" t="inlineStr"/>
    </row>
    <row r="9378" ht="15" customHeight="1">
      <c r="A9378" t="inlineStr">
        <is>
          <t>A 4747-2024</t>
        </is>
      </c>
      <c r="B9378" t="inlineStr">
        <is>
          <t>avverkningsanmälan</t>
        </is>
      </c>
      <c r="C9378" t="inlineStr">
        <is>
          <t>Föryngringsavverkning</t>
        </is>
      </c>
      <c r="D9378" s="1" t="n">
        <v>45328</v>
      </c>
      <c r="E9378" s="1" t="n">
        <v>46319</v>
      </c>
      <c r="F9378" t="inlineStr">
        <is>
          <t>DALARNAS LÄN</t>
        </is>
      </c>
      <c r="G9378" t="inlineStr">
        <is>
          <t>AVESTA</t>
        </is>
      </c>
      <c r="I9378" t="n">
        <v>0.8</v>
      </c>
      <c r="J9378" t="n">
        <v>0</v>
      </c>
      <c r="K9378" t="n">
        <v>0</v>
      </c>
      <c r="L9378" t="n">
        <v>0</v>
      </c>
      <c r="M9378" t="n">
        <v>0</v>
      </c>
      <c r="N9378" t="n">
        <v>0</v>
      </c>
      <c r="O9378" t="n">
        <v>0</v>
      </c>
      <c r="P9378" t="n">
        <v>0</v>
      </c>
      <c r="Q9378" t="n">
        <v>0</v>
      </c>
      <c r="R9378" t="n">
        <v>0</v>
      </c>
      <c r="S9378" t="n">
        <v>0</v>
      </c>
      <c r="T9378" t="n">
        <v>0</v>
      </c>
      <c r="U9378" t="n">
        <v>0</v>
      </c>
      <c r="V9378" s="2" t="inlineStr"/>
    </row>
    <row r="9379" ht="15" customHeight="1">
      <c r="A9379" t="inlineStr">
        <is>
          <t>A 51377-2023</t>
        </is>
      </c>
      <c r="B9379" t="inlineStr">
        <is>
          <t>avverkningsanmälan</t>
        </is>
      </c>
      <c r="C9379" t="inlineStr">
        <is>
          <t>Avverkning för annat ändamål</t>
        </is>
      </c>
      <c r="D9379" s="1" t="n">
        <v>45219</v>
      </c>
      <c r="E9379" s="1" t="n">
        <v>46319</v>
      </c>
      <c r="F9379" t="inlineStr">
        <is>
          <t>DALARNAS LÄN</t>
        </is>
      </c>
      <c r="G9379" t="inlineStr">
        <is>
          <t>LEKSAND</t>
        </is>
      </c>
      <c r="I9379" t="n">
        <v>0.9</v>
      </c>
      <c r="J9379" t="n">
        <v>0</v>
      </c>
      <c r="K9379" t="n">
        <v>0</v>
      </c>
      <c r="L9379" t="n">
        <v>0</v>
      </c>
      <c r="M9379" t="n">
        <v>0</v>
      </c>
      <c r="N9379" t="n">
        <v>0</v>
      </c>
      <c r="O9379" t="n">
        <v>0</v>
      </c>
      <c r="P9379" t="n">
        <v>0</v>
      </c>
      <c r="Q9379" t="n">
        <v>0</v>
      </c>
      <c r="R9379" t="n">
        <v>0</v>
      </c>
      <c r="S9379" t="n">
        <v>0</v>
      </c>
      <c r="T9379" t="n">
        <v>0</v>
      </c>
      <c r="U9379" t="n">
        <v>0</v>
      </c>
      <c r="V9379" s="2" t="inlineStr"/>
    </row>
    <row r="9380" ht="15" customHeight="1">
      <c r="A9380" t="inlineStr">
        <is>
          <t>A 17594-2025</t>
        </is>
      </c>
      <c r="B9380" t="inlineStr">
        <is>
          <t>avverkningsanmälan</t>
        </is>
      </c>
      <c r="C9380" t="inlineStr">
        <is>
          <t>Föryngringsavverkning</t>
        </is>
      </c>
      <c r="D9380" s="1" t="n">
        <v>45757</v>
      </c>
      <c r="E9380" s="1" t="n">
        <v>46319</v>
      </c>
      <c r="F9380" t="inlineStr">
        <is>
          <t>DALARNAS LÄN</t>
        </is>
      </c>
      <c r="G9380" t="inlineStr">
        <is>
          <t>HEDEMORA</t>
        </is>
      </c>
      <c r="I9380" t="n">
        <v>0.6</v>
      </c>
      <c r="J9380" t="n">
        <v>0</v>
      </c>
      <c r="K9380" t="n">
        <v>0</v>
      </c>
      <c r="L9380" t="n">
        <v>0</v>
      </c>
      <c r="M9380" t="n">
        <v>0</v>
      </c>
      <c r="N9380" t="n">
        <v>0</v>
      </c>
      <c r="O9380" t="n">
        <v>0</v>
      </c>
      <c r="P9380" t="n">
        <v>0</v>
      </c>
      <c r="Q9380" t="n">
        <v>0</v>
      </c>
      <c r="R9380" t="n">
        <v>0</v>
      </c>
      <c r="S9380" t="n">
        <v>0</v>
      </c>
      <c r="T9380" t="n">
        <v>0</v>
      </c>
      <c r="U9380" t="n">
        <v>0</v>
      </c>
      <c r="V9380" s="2" t="inlineStr"/>
    </row>
    <row r="9381" ht="15" customHeight="1">
      <c r="A9381" t="inlineStr">
        <is>
          <t>A 59859-2023</t>
        </is>
      </c>
      <c r="B9381" t="inlineStr">
        <is>
          <t>avverkningsanmälan</t>
        </is>
      </c>
      <c r="C9381" t="inlineStr">
        <is>
          <t>Föryngringsavverkning</t>
        </is>
      </c>
      <c r="D9381" s="1" t="n">
        <v>45257</v>
      </c>
      <c r="E9381" s="1" t="n">
        <v>46319</v>
      </c>
      <c r="F9381" t="inlineStr">
        <is>
          <t>DALARNAS LÄN</t>
        </is>
      </c>
      <c r="G9381" t="inlineStr">
        <is>
          <t>LEKSAND</t>
        </is>
      </c>
      <c r="H9381" t="inlineStr">
        <is>
          <t>Bergvik skog väst AB</t>
        </is>
      </c>
      <c r="I9381" t="n">
        <v>2.1</v>
      </c>
      <c r="J9381" t="n">
        <v>0</v>
      </c>
      <c r="K9381" t="n">
        <v>0</v>
      </c>
      <c r="L9381" t="n">
        <v>0</v>
      </c>
      <c r="M9381" t="n">
        <v>0</v>
      </c>
      <c r="N9381" t="n">
        <v>0</v>
      </c>
      <c r="O9381" t="n">
        <v>0</v>
      </c>
      <c r="P9381" t="n">
        <v>0</v>
      </c>
      <c r="Q9381" t="n">
        <v>0</v>
      </c>
      <c r="R9381" t="n">
        <v>0</v>
      </c>
      <c r="S9381" t="n">
        <v>0</v>
      </c>
      <c r="T9381" t="n">
        <v>0</v>
      </c>
      <c r="U9381" t="n">
        <v>0</v>
      </c>
      <c r="V9381" s="2" t="inlineStr"/>
    </row>
    <row r="9382" ht="15" customHeight="1">
      <c r="A9382" t="inlineStr">
        <is>
          <t>A 36579-2022</t>
        </is>
      </c>
      <c r="B9382" t="inlineStr">
        <is>
          <t>avverkningsanmälan</t>
        </is>
      </c>
      <c r="C9382" t="inlineStr">
        <is>
          <t>Föryngringsavverkning</t>
        </is>
      </c>
      <c r="D9382" s="1" t="n">
        <v>44804</v>
      </c>
      <c r="E9382" s="1" t="n">
        <v>46319</v>
      </c>
      <c r="F9382" t="inlineStr">
        <is>
          <t>DALARNAS LÄN</t>
        </is>
      </c>
      <c r="G9382" t="inlineStr">
        <is>
          <t>MORA</t>
        </is>
      </c>
      <c r="I9382" t="n">
        <v>2.3</v>
      </c>
      <c r="J9382" t="n">
        <v>0</v>
      </c>
      <c r="K9382" t="n">
        <v>0</v>
      </c>
      <c r="L9382" t="n">
        <v>0</v>
      </c>
      <c r="M9382" t="n">
        <v>0</v>
      </c>
      <c r="N9382" t="n">
        <v>0</v>
      </c>
      <c r="O9382" t="n">
        <v>0</v>
      </c>
      <c r="P9382" t="n">
        <v>0</v>
      </c>
      <c r="Q9382" t="n">
        <v>0</v>
      </c>
      <c r="R9382" t="n">
        <v>0</v>
      </c>
      <c r="S9382" t="n">
        <v>0</v>
      </c>
      <c r="T9382" t="n">
        <v>0</v>
      </c>
      <c r="U9382" t="n">
        <v>0</v>
      </c>
      <c r="V9382" s="2" t="inlineStr"/>
    </row>
    <row r="9383" ht="15" customHeight="1">
      <c r="A9383" t="inlineStr">
        <is>
          <t>A 16827-2025</t>
        </is>
      </c>
      <c r="B9383" t="inlineStr">
        <is>
          <t>avverkningsanmälan</t>
        </is>
      </c>
      <c r="C9383" t="inlineStr">
        <is>
          <t>Föryngringsavverkning</t>
        </is>
      </c>
      <c r="D9383" s="1" t="n">
        <v>45754</v>
      </c>
      <c r="E9383" s="1" t="n">
        <v>46319</v>
      </c>
      <c r="F9383" t="inlineStr">
        <is>
          <t>DALARNAS LÄN</t>
        </is>
      </c>
      <c r="G9383" t="inlineStr">
        <is>
          <t>VANSBRO</t>
        </is>
      </c>
      <c r="I9383" t="n">
        <v>0.3</v>
      </c>
      <c r="J9383" t="n">
        <v>0</v>
      </c>
      <c r="K9383" t="n">
        <v>0</v>
      </c>
      <c r="L9383" t="n">
        <v>0</v>
      </c>
      <c r="M9383" t="n">
        <v>0</v>
      </c>
      <c r="N9383" t="n">
        <v>0</v>
      </c>
      <c r="O9383" t="n">
        <v>0</v>
      </c>
      <c r="P9383" t="n">
        <v>0</v>
      </c>
      <c r="Q9383" t="n">
        <v>0</v>
      </c>
      <c r="R9383" t="n">
        <v>0</v>
      </c>
      <c r="S9383" t="n">
        <v>0</v>
      </c>
      <c r="T9383" t="n">
        <v>0</v>
      </c>
      <c r="U9383" t="n">
        <v>0</v>
      </c>
      <c r="V9383" s="2" t="inlineStr"/>
    </row>
    <row r="9384" ht="15" customHeight="1">
      <c r="A9384" t="inlineStr">
        <is>
          <t>A 24131-2022</t>
        </is>
      </c>
      <c r="B9384" t="inlineStr">
        <is>
          <t>avverkningsanmälan</t>
        </is>
      </c>
      <c r="C9384" t="inlineStr">
        <is>
          <t>Föryngringsavverkning</t>
        </is>
      </c>
      <c r="D9384" s="1" t="n">
        <v>44725</v>
      </c>
      <c r="E9384" s="1" t="n">
        <v>46319</v>
      </c>
      <c r="F9384" t="inlineStr">
        <is>
          <t>DALARNAS LÄN</t>
        </is>
      </c>
      <c r="G9384" t="inlineStr">
        <is>
          <t>FALUN</t>
        </is>
      </c>
      <c r="H9384" t="inlineStr">
        <is>
          <t>Kyrkan</t>
        </is>
      </c>
      <c r="I9384" t="n">
        <v>1.8</v>
      </c>
      <c r="J9384" t="n">
        <v>0</v>
      </c>
      <c r="K9384" t="n">
        <v>0</v>
      </c>
      <c r="L9384" t="n">
        <v>0</v>
      </c>
      <c r="M9384" t="n">
        <v>0</v>
      </c>
      <c r="N9384" t="n">
        <v>0</v>
      </c>
      <c r="O9384" t="n">
        <v>0</v>
      </c>
      <c r="P9384" t="n">
        <v>0</v>
      </c>
      <c r="Q9384" t="n">
        <v>0</v>
      </c>
      <c r="R9384" t="n">
        <v>0</v>
      </c>
      <c r="S9384" t="n">
        <v>0</v>
      </c>
      <c r="T9384" t="n">
        <v>0</v>
      </c>
      <c r="U9384" t="n">
        <v>0</v>
      </c>
      <c r="V9384" s="2" t="inlineStr"/>
    </row>
    <row r="9385" ht="15" customHeight="1">
      <c r="A9385" t="inlineStr">
        <is>
          <t>A 55735-2023</t>
        </is>
      </c>
      <c r="B9385" t="inlineStr">
        <is>
          <t>avverkningsanmälan</t>
        </is>
      </c>
      <c r="C9385" t="inlineStr">
        <is>
          <t>Föryngringsavverkning</t>
        </is>
      </c>
      <c r="D9385" s="1" t="n">
        <v>45239</v>
      </c>
      <c r="E9385" s="1" t="n">
        <v>46319</v>
      </c>
      <c r="F9385" t="inlineStr">
        <is>
          <t>DALARNAS LÄN</t>
        </is>
      </c>
      <c r="G9385" t="inlineStr">
        <is>
          <t>BORLÄNGE</t>
        </is>
      </c>
      <c r="I9385" t="n">
        <v>0.9</v>
      </c>
      <c r="J9385" t="n">
        <v>0</v>
      </c>
      <c r="K9385" t="n">
        <v>0</v>
      </c>
      <c r="L9385" t="n">
        <v>0</v>
      </c>
      <c r="M9385" t="n">
        <v>0</v>
      </c>
      <c r="N9385" t="n">
        <v>0</v>
      </c>
      <c r="O9385" t="n">
        <v>0</v>
      </c>
      <c r="P9385" t="n">
        <v>0</v>
      </c>
      <c r="Q9385" t="n">
        <v>0</v>
      </c>
      <c r="R9385" t="n">
        <v>0</v>
      </c>
      <c r="S9385" t="n">
        <v>0</v>
      </c>
      <c r="T9385" t="n">
        <v>0</v>
      </c>
      <c r="U9385" t="n">
        <v>0</v>
      </c>
      <c r="V9385" s="2" t="inlineStr"/>
    </row>
    <row r="9386" ht="15" customHeight="1">
      <c r="A9386" t="inlineStr">
        <is>
          <t>A 619-2024</t>
        </is>
      </c>
      <c r="B9386" t="inlineStr">
        <is>
          <t>avverkningsanmälan</t>
        </is>
      </c>
      <c r="C9386" t="inlineStr">
        <is>
          <t>Föryngringsavverkning</t>
        </is>
      </c>
      <c r="D9386" s="1" t="n">
        <v>45299</v>
      </c>
      <c r="E9386" s="1" t="n">
        <v>46319</v>
      </c>
      <c r="F9386" t="inlineStr">
        <is>
          <t>DALARNAS LÄN</t>
        </is>
      </c>
      <c r="G9386" t="inlineStr">
        <is>
          <t>BORLÄNGE</t>
        </is>
      </c>
      <c r="I9386" t="n">
        <v>5.3</v>
      </c>
      <c r="J9386" t="n">
        <v>0</v>
      </c>
      <c r="K9386" t="n">
        <v>0</v>
      </c>
      <c r="L9386" t="n">
        <v>0</v>
      </c>
      <c r="M9386" t="n">
        <v>0</v>
      </c>
      <c r="N9386" t="n">
        <v>0</v>
      </c>
      <c r="O9386" t="n">
        <v>0</v>
      </c>
      <c r="P9386" t="n">
        <v>0</v>
      </c>
      <c r="Q9386" t="n">
        <v>0</v>
      </c>
      <c r="R9386" t="n">
        <v>0</v>
      </c>
      <c r="S9386" t="n">
        <v>0</v>
      </c>
      <c r="T9386" t="n">
        <v>0</v>
      </c>
      <c r="U9386" t="n">
        <v>0</v>
      </c>
      <c r="V9386" s="2" t="inlineStr"/>
    </row>
    <row r="9387" ht="15" customHeight="1">
      <c r="A9387" t="inlineStr">
        <is>
          <t>A 702-2024</t>
        </is>
      </c>
      <c r="B9387" t="inlineStr">
        <is>
          <t>avverkningsanmälan</t>
        </is>
      </c>
      <c r="C9387" t="inlineStr">
        <is>
          <t>Föryngringsavverkning</t>
        </is>
      </c>
      <c r="D9387" s="1" t="n">
        <v>45300</v>
      </c>
      <c r="E9387" s="1" t="n">
        <v>46319</v>
      </c>
      <c r="F9387" t="inlineStr">
        <is>
          <t>DALARNAS LÄN</t>
        </is>
      </c>
      <c r="G9387" t="inlineStr">
        <is>
          <t>RÄTTVIK</t>
        </is>
      </c>
      <c r="I9387" t="n">
        <v>1.1</v>
      </c>
      <c r="J9387" t="n">
        <v>0</v>
      </c>
      <c r="K9387" t="n">
        <v>0</v>
      </c>
      <c r="L9387" t="n">
        <v>0</v>
      </c>
      <c r="M9387" t="n">
        <v>0</v>
      </c>
      <c r="N9387" t="n">
        <v>0</v>
      </c>
      <c r="O9387" t="n">
        <v>0</v>
      </c>
      <c r="P9387" t="n">
        <v>0</v>
      </c>
      <c r="Q9387" t="n">
        <v>0</v>
      </c>
      <c r="R9387" t="n">
        <v>0</v>
      </c>
      <c r="S9387" t="n">
        <v>0</v>
      </c>
      <c r="T9387" t="n">
        <v>0</v>
      </c>
      <c r="U9387" t="n">
        <v>0</v>
      </c>
      <c r="V9387" s="2" t="inlineStr"/>
    </row>
    <row r="9388" ht="15" customHeight="1">
      <c r="A9388" t="inlineStr">
        <is>
          <t>A 2173-2024</t>
        </is>
      </c>
      <c r="B9388" t="inlineStr">
        <is>
          <t>avverkningsanmälan</t>
        </is>
      </c>
      <c r="C9388" t="inlineStr">
        <is>
          <t>Föryngringsavverkning</t>
        </is>
      </c>
      <c r="D9388" s="1" t="n">
        <v>45309</v>
      </c>
      <c r="E9388" s="1" t="n">
        <v>46319</v>
      </c>
      <c r="F9388" t="inlineStr">
        <is>
          <t>DALARNAS LÄN</t>
        </is>
      </c>
      <c r="G9388" t="inlineStr">
        <is>
          <t>GAGNEF</t>
        </is>
      </c>
      <c r="I9388" t="n">
        <v>1.3</v>
      </c>
      <c r="J9388" t="n">
        <v>0</v>
      </c>
      <c r="K9388" t="n">
        <v>0</v>
      </c>
      <c r="L9388" t="n">
        <v>0</v>
      </c>
      <c r="M9388" t="n">
        <v>0</v>
      </c>
      <c r="N9388" t="n">
        <v>0</v>
      </c>
      <c r="O9388" t="n">
        <v>0</v>
      </c>
      <c r="P9388" t="n">
        <v>0</v>
      </c>
      <c r="Q9388" t="n">
        <v>0</v>
      </c>
      <c r="R9388" t="n">
        <v>0</v>
      </c>
      <c r="S9388" t="n">
        <v>0</v>
      </c>
      <c r="T9388" t="n">
        <v>0</v>
      </c>
      <c r="U9388" t="n">
        <v>0</v>
      </c>
      <c r="V9388" s="2" t="inlineStr"/>
    </row>
    <row r="9389" ht="15" customHeight="1">
      <c r="A9389" t="inlineStr">
        <is>
          <t>A 6001-2024</t>
        </is>
      </c>
      <c r="B9389" t="inlineStr">
        <is>
          <t>avverkningsanmälan</t>
        </is>
      </c>
      <c r="C9389" t="inlineStr">
        <is>
          <t>Föryngringsavverkning</t>
        </is>
      </c>
      <c r="D9389" s="1" t="n">
        <v>45336</v>
      </c>
      <c r="E9389" s="1" t="n">
        <v>46319</v>
      </c>
      <c r="F9389" t="inlineStr">
        <is>
          <t>DALARNAS LÄN</t>
        </is>
      </c>
      <c r="G9389" t="inlineStr">
        <is>
          <t>ÄLVDALEN</t>
        </is>
      </c>
      <c r="I9389" t="n">
        <v>1.4</v>
      </c>
      <c r="J9389" t="n">
        <v>0</v>
      </c>
      <c r="K9389" t="n">
        <v>0</v>
      </c>
      <c r="L9389" t="n">
        <v>0</v>
      </c>
      <c r="M9389" t="n">
        <v>0</v>
      </c>
      <c r="N9389" t="n">
        <v>0</v>
      </c>
      <c r="O9389" t="n">
        <v>0</v>
      </c>
      <c r="P9389" t="n">
        <v>0</v>
      </c>
      <c r="Q9389" t="n">
        <v>0</v>
      </c>
      <c r="R9389" t="n">
        <v>0</v>
      </c>
      <c r="S9389" t="n">
        <v>0</v>
      </c>
      <c r="T9389" t="n">
        <v>0</v>
      </c>
      <c r="U9389" t="n">
        <v>0</v>
      </c>
      <c r="V9389" s="2" t="inlineStr"/>
    </row>
    <row r="9390" ht="15" customHeight="1">
      <c r="A9390" t="inlineStr">
        <is>
          <t>A 19346-2025</t>
        </is>
      </c>
      <c r="B9390" t="inlineStr">
        <is>
          <t>avverkningsanmälan</t>
        </is>
      </c>
      <c r="C9390" t="inlineStr">
        <is>
          <t>Föryngringsavverkning</t>
        </is>
      </c>
      <c r="D9390" s="1" t="n">
        <v>45769</v>
      </c>
      <c r="E9390" s="1" t="n">
        <v>46319</v>
      </c>
      <c r="F9390" t="inlineStr">
        <is>
          <t>DALARNAS LÄN</t>
        </is>
      </c>
      <c r="G9390" t="inlineStr">
        <is>
          <t>GAGNEF</t>
        </is>
      </c>
      <c r="I9390" t="n">
        <v>4.1</v>
      </c>
      <c r="J9390" t="n">
        <v>0</v>
      </c>
      <c r="K9390" t="n">
        <v>0</v>
      </c>
      <c r="L9390" t="n">
        <v>0</v>
      </c>
      <c r="M9390" t="n">
        <v>0</v>
      </c>
      <c r="N9390" t="n">
        <v>0</v>
      </c>
      <c r="O9390" t="n">
        <v>0</v>
      </c>
      <c r="P9390" t="n">
        <v>0</v>
      </c>
      <c r="Q9390" t="n">
        <v>0</v>
      </c>
      <c r="R9390" t="n">
        <v>0</v>
      </c>
      <c r="S9390" t="n">
        <v>0</v>
      </c>
      <c r="T9390" t="n">
        <v>0</v>
      </c>
      <c r="U9390" t="n">
        <v>0</v>
      </c>
      <c r="V9390" s="2" t="inlineStr"/>
    </row>
    <row r="9391" ht="15" customHeight="1">
      <c r="A9391" t="inlineStr">
        <is>
          <t>A 25690-2022</t>
        </is>
      </c>
      <c r="B9391" t="inlineStr">
        <is>
          <t>avverkningsanmälan</t>
        </is>
      </c>
      <c r="C9391" t="inlineStr">
        <is>
          <t>Föryngringsavverkning</t>
        </is>
      </c>
      <c r="D9391" s="1" t="n">
        <v>44732</v>
      </c>
      <c r="E9391" s="1" t="n">
        <v>46319</v>
      </c>
      <c r="F9391" t="inlineStr">
        <is>
          <t>DALARNAS LÄN</t>
        </is>
      </c>
      <c r="G9391" t="inlineStr">
        <is>
          <t>SÄTER</t>
        </is>
      </c>
      <c r="H9391" t="inlineStr">
        <is>
          <t>Bergvik skog väst AB</t>
        </is>
      </c>
      <c r="I9391" t="n">
        <v>2.8</v>
      </c>
      <c r="J9391" t="n">
        <v>0</v>
      </c>
      <c r="K9391" t="n">
        <v>0</v>
      </c>
      <c r="L9391" t="n">
        <v>0</v>
      </c>
      <c r="M9391" t="n">
        <v>0</v>
      </c>
      <c r="N9391" t="n">
        <v>0</v>
      </c>
      <c r="O9391" t="n">
        <v>0</v>
      </c>
      <c r="P9391" t="n">
        <v>0</v>
      </c>
      <c r="Q9391" t="n">
        <v>0</v>
      </c>
      <c r="R9391" t="n">
        <v>0</v>
      </c>
      <c r="S9391" t="n">
        <v>0</v>
      </c>
      <c r="T9391" t="n">
        <v>0</v>
      </c>
      <c r="U9391" t="n">
        <v>0</v>
      </c>
      <c r="V9391" s="2" t="inlineStr"/>
    </row>
    <row r="9392" ht="15" customHeight="1">
      <c r="A9392" t="inlineStr">
        <is>
          <t>A 45943-2022</t>
        </is>
      </c>
      <c r="B9392" t="inlineStr">
        <is>
          <t>avverkningsanmälan</t>
        </is>
      </c>
      <c r="C9392" t="inlineStr">
        <is>
          <t>Föryngringsavverkning</t>
        </is>
      </c>
      <c r="D9392" s="1" t="n">
        <v>44846</v>
      </c>
      <c r="E9392" s="1" t="n">
        <v>46319</v>
      </c>
      <c r="F9392" t="inlineStr">
        <is>
          <t>DALARNAS LÄN</t>
        </is>
      </c>
      <c r="G9392" t="inlineStr">
        <is>
          <t>LEKSAND</t>
        </is>
      </c>
      <c r="I9392" t="n">
        <v>8.800000000000001</v>
      </c>
      <c r="J9392" t="n">
        <v>0</v>
      </c>
      <c r="K9392" t="n">
        <v>0</v>
      </c>
      <c r="L9392" t="n">
        <v>0</v>
      </c>
      <c r="M9392" t="n">
        <v>0</v>
      </c>
      <c r="N9392" t="n">
        <v>0</v>
      </c>
      <c r="O9392" t="n">
        <v>0</v>
      </c>
      <c r="P9392" t="n">
        <v>0</v>
      </c>
      <c r="Q9392" t="n">
        <v>0</v>
      </c>
      <c r="R9392" t="n">
        <v>0</v>
      </c>
      <c r="S9392" t="n">
        <v>0</v>
      </c>
      <c r="T9392" t="n">
        <v>0</v>
      </c>
      <c r="U9392" t="n">
        <v>0</v>
      </c>
      <c r="V9392" s="2" t="inlineStr"/>
    </row>
    <row r="9393" ht="15" customHeight="1">
      <c r="A9393" t="inlineStr">
        <is>
          <t>A 55204-2023</t>
        </is>
      </c>
      <c r="B9393" t="inlineStr">
        <is>
          <t>avverkningsanmälan</t>
        </is>
      </c>
      <c r="C9393" t="inlineStr">
        <is>
          <t>Föryngringsavverkning</t>
        </is>
      </c>
      <c r="D9393" s="1" t="n">
        <v>45237</v>
      </c>
      <c r="E9393" s="1" t="n">
        <v>46319</v>
      </c>
      <c r="F9393" t="inlineStr">
        <is>
          <t>DALARNAS LÄN</t>
        </is>
      </c>
      <c r="G9393" t="inlineStr">
        <is>
          <t>MALUNG-SÄLEN</t>
        </is>
      </c>
      <c r="I9393" t="n">
        <v>1.3</v>
      </c>
      <c r="J9393" t="n">
        <v>0</v>
      </c>
      <c r="K9393" t="n">
        <v>0</v>
      </c>
      <c r="L9393" t="n">
        <v>0</v>
      </c>
      <c r="M9393" t="n">
        <v>0</v>
      </c>
      <c r="N9393" t="n">
        <v>0</v>
      </c>
      <c r="O9393" t="n">
        <v>0</v>
      </c>
      <c r="P9393" t="n">
        <v>0</v>
      </c>
      <c r="Q9393" t="n">
        <v>0</v>
      </c>
      <c r="R9393" t="n">
        <v>0</v>
      </c>
      <c r="S9393" t="n">
        <v>0</v>
      </c>
      <c r="T9393" t="n">
        <v>0</v>
      </c>
      <c r="U9393" t="n">
        <v>0</v>
      </c>
      <c r="V9393" s="2" t="inlineStr"/>
    </row>
    <row r="9394" ht="15" customHeight="1">
      <c r="A9394" t="inlineStr">
        <is>
          <t>A 55209-2023</t>
        </is>
      </c>
      <c r="B9394" t="inlineStr">
        <is>
          <t>avverkningsanmälan</t>
        </is>
      </c>
      <c r="C9394" t="inlineStr">
        <is>
          <t>Föryngringsavverkning</t>
        </is>
      </c>
      <c r="D9394" s="1" t="n">
        <v>45237</v>
      </c>
      <c r="E9394" s="1" t="n">
        <v>46319</v>
      </c>
      <c r="F9394" t="inlineStr">
        <is>
          <t>DALARNAS LÄN</t>
        </is>
      </c>
      <c r="G9394" t="inlineStr">
        <is>
          <t>MALUNG-SÄLEN</t>
        </is>
      </c>
      <c r="I9394" t="n">
        <v>1.8</v>
      </c>
      <c r="J9394" t="n">
        <v>0</v>
      </c>
      <c r="K9394" t="n">
        <v>0</v>
      </c>
      <c r="L9394" t="n">
        <v>0</v>
      </c>
      <c r="M9394" t="n">
        <v>0</v>
      </c>
      <c r="N9394" t="n">
        <v>0</v>
      </c>
      <c r="O9394" t="n">
        <v>0</v>
      </c>
      <c r="P9394" t="n">
        <v>0</v>
      </c>
      <c r="Q9394" t="n">
        <v>0</v>
      </c>
      <c r="R9394" t="n">
        <v>0</v>
      </c>
      <c r="S9394" t="n">
        <v>0</v>
      </c>
      <c r="T9394" t="n">
        <v>0</v>
      </c>
      <c r="U9394" t="n">
        <v>0</v>
      </c>
      <c r="V9394" s="2" t="inlineStr"/>
    </row>
    <row r="9395" ht="15" customHeight="1">
      <c r="A9395" t="inlineStr">
        <is>
          <t>A 59435-2023</t>
        </is>
      </c>
      <c r="B9395" t="inlineStr">
        <is>
          <t>avverkningsanmälan</t>
        </is>
      </c>
      <c r="C9395" t="inlineStr">
        <is>
          <t>Föryngringsavverkning</t>
        </is>
      </c>
      <c r="D9395" s="1" t="n">
        <v>45254</v>
      </c>
      <c r="E9395" s="1" t="n">
        <v>46319</v>
      </c>
      <c r="F9395" t="inlineStr">
        <is>
          <t>DALARNAS LÄN</t>
        </is>
      </c>
      <c r="G9395" t="inlineStr">
        <is>
          <t>VANSBRO</t>
        </is>
      </c>
      <c r="I9395" t="n">
        <v>3.9</v>
      </c>
      <c r="J9395" t="n">
        <v>0</v>
      </c>
      <c r="K9395" t="n">
        <v>0</v>
      </c>
      <c r="L9395" t="n">
        <v>0</v>
      </c>
      <c r="M9395" t="n">
        <v>0</v>
      </c>
      <c r="N9395" t="n">
        <v>0</v>
      </c>
      <c r="O9395" t="n">
        <v>0</v>
      </c>
      <c r="P9395" t="n">
        <v>0</v>
      </c>
      <c r="Q9395" t="n">
        <v>0</v>
      </c>
      <c r="R9395" t="n">
        <v>0</v>
      </c>
      <c r="S9395" t="n">
        <v>0</v>
      </c>
      <c r="T9395" t="n">
        <v>0</v>
      </c>
      <c r="U9395" t="n">
        <v>0</v>
      </c>
      <c r="V9395" s="2" t="inlineStr"/>
    </row>
    <row r="9396" ht="15" customHeight="1">
      <c r="A9396" t="inlineStr">
        <is>
          <t>A 44119-2022</t>
        </is>
      </c>
      <c r="B9396" t="inlineStr">
        <is>
          <t>avverkningsanmälan</t>
        </is>
      </c>
      <c r="C9396" t="inlineStr">
        <is>
          <t>Föryngringsavverkning</t>
        </is>
      </c>
      <c r="D9396" s="1" t="n">
        <v>44839</v>
      </c>
      <c r="E9396" s="1" t="n">
        <v>46319</v>
      </c>
      <c r="F9396" t="inlineStr">
        <is>
          <t>DALARNAS LÄN</t>
        </is>
      </c>
      <c r="G9396" t="inlineStr">
        <is>
          <t>ÄLVDALEN</t>
        </is>
      </c>
      <c r="I9396" t="n">
        <v>3.2</v>
      </c>
      <c r="J9396" t="n">
        <v>0</v>
      </c>
      <c r="K9396" t="n">
        <v>0</v>
      </c>
      <c r="L9396" t="n">
        <v>0</v>
      </c>
      <c r="M9396" t="n">
        <v>0</v>
      </c>
      <c r="N9396" t="n">
        <v>0</v>
      </c>
      <c r="O9396" t="n">
        <v>0</v>
      </c>
      <c r="P9396" t="n">
        <v>0</v>
      </c>
      <c r="Q9396" t="n">
        <v>0</v>
      </c>
      <c r="R9396" t="n">
        <v>0</v>
      </c>
      <c r="S9396" t="n">
        <v>0</v>
      </c>
      <c r="T9396" t="n">
        <v>0</v>
      </c>
      <c r="U9396" t="n">
        <v>0</v>
      </c>
      <c r="V9396" s="2" t="inlineStr"/>
    </row>
    <row r="9397" ht="15" customHeight="1">
      <c r="A9397" t="inlineStr">
        <is>
          <t>A 3843-2024</t>
        </is>
      </c>
      <c r="B9397" t="inlineStr">
        <is>
          <t>avverkningsanmälan</t>
        </is>
      </c>
      <c r="C9397" t="inlineStr">
        <is>
          <t>Föryngringsavverkning</t>
        </is>
      </c>
      <c r="D9397" s="1" t="n">
        <v>45322</v>
      </c>
      <c r="E9397" s="1" t="n">
        <v>46319</v>
      </c>
      <c r="F9397" t="inlineStr">
        <is>
          <t>DALARNAS LÄN</t>
        </is>
      </c>
      <c r="G9397" t="inlineStr">
        <is>
          <t>VANSBRO</t>
        </is>
      </c>
      <c r="I9397" t="n">
        <v>1.5</v>
      </c>
      <c r="J9397" t="n">
        <v>0</v>
      </c>
      <c r="K9397" t="n">
        <v>0</v>
      </c>
      <c r="L9397" t="n">
        <v>0</v>
      </c>
      <c r="M9397" t="n">
        <v>0</v>
      </c>
      <c r="N9397" t="n">
        <v>0</v>
      </c>
      <c r="O9397" t="n">
        <v>0</v>
      </c>
      <c r="P9397" t="n">
        <v>0</v>
      </c>
      <c r="Q9397" t="n">
        <v>0</v>
      </c>
      <c r="R9397" t="n">
        <v>0</v>
      </c>
      <c r="S9397" t="n">
        <v>0</v>
      </c>
      <c r="T9397" t="n">
        <v>0</v>
      </c>
      <c r="U9397" t="n">
        <v>0</v>
      </c>
      <c r="V9397" s="2" t="inlineStr"/>
    </row>
    <row r="9398" ht="15" customHeight="1">
      <c r="A9398" t="inlineStr">
        <is>
          <t>A 59600-2023</t>
        </is>
      </c>
      <c r="B9398" t="inlineStr">
        <is>
          <t>avverkningsanmälan</t>
        </is>
      </c>
      <c r="C9398" t="inlineStr">
        <is>
          <t>Föryngringsavverkning</t>
        </is>
      </c>
      <c r="D9398" s="1" t="n">
        <v>45254</v>
      </c>
      <c r="E9398" s="1" t="n">
        <v>46319</v>
      </c>
      <c r="F9398" t="inlineStr">
        <is>
          <t>DALARNAS LÄN</t>
        </is>
      </c>
      <c r="G9398" t="inlineStr">
        <is>
          <t>VANSBRO</t>
        </is>
      </c>
      <c r="I9398" t="n">
        <v>5.5</v>
      </c>
      <c r="J9398" t="n">
        <v>0</v>
      </c>
      <c r="K9398" t="n">
        <v>0</v>
      </c>
      <c r="L9398" t="n">
        <v>0</v>
      </c>
      <c r="M9398" t="n">
        <v>0</v>
      </c>
      <c r="N9398" t="n">
        <v>0</v>
      </c>
      <c r="O9398" t="n">
        <v>0</v>
      </c>
      <c r="P9398" t="n">
        <v>0</v>
      </c>
      <c r="Q9398" t="n">
        <v>0</v>
      </c>
      <c r="R9398" t="n">
        <v>0</v>
      </c>
      <c r="S9398" t="n">
        <v>0</v>
      </c>
      <c r="T9398" t="n">
        <v>0</v>
      </c>
      <c r="U9398" t="n">
        <v>0</v>
      </c>
      <c r="V9398" s="2" t="inlineStr"/>
    </row>
    <row r="9399" ht="15" customHeight="1">
      <c r="A9399" t="inlineStr">
        <is>
          <t>A 59915-2023</t>
        </is>
      </c>
      <c r="B9399" t="inlineStr">
        <is>
          <t>avverkningsanmälan</t>
        </is>
      </c>
      <c r="C9399" t="inlineStr">
        <is>
          <t>Föryngringsavverkning</t>
        </is>
      </c>
      <c r="D9399" s="1" t="n">
        <v>45257</v>
      </c>
      <c r="E9399" s="1" t="n">
        <v>46319</v>
      </c>
      <c r="F9399" t="inlineStr">
        <is>
          <t>DALARNAS LÄN</t>
        </is>
      </c>
      <c r="G9399" t="inlineStr">
        <is>
          <t>MALUNG-SÄLEN</t>
        </is>
      </c>
      <c r="I9399" t="n">
        <v>0.5</v>
      </c>
      <c r="J9399" t="n">
        <v>0</v>
      </c>
      <c r="K9399" t="n">
        <v>0</v>
      </c>
      <c r="L9399" t="n">
        <v>0</v>
      </c>
      <c r="M9399" t="n">
        <v>0</v>
      </c>
      <c r="N9399" t="n">
        <v>0</v>
      </c>
      <c r="O9399" t="n">
        <v>0</v>
      </c>
      <c r="P9399" t="n">
        <v>0</v>
      </c>
      <c r="Q9399" t="n">
        <v>0</v>
      </c>
      <c r="R9399" t="n">
        <v>0</v>
      </c>
      <c r="S9399" t="n">
        <v>0</v>
      </c>
      <c r="T9399" t="n">
        <v>0</v>
      </c>
      <c r="U9399" t="n">
        <v>0</v>
      </c>
      <c r="V9399" s="2" t="inlineStr"/>
    </row>
    <row r="9400" ht="15" customHeight="1">
      <c r="A9400" t="inlineStr">
        <is>
          <t>A 7754-2024</t>
        </is>
      </c>
      <c r="B9400" t="inlineStr">
        <is>
          <t>avverkningsanmälan</t>
        </is>
      </c>
      <c r="C9400" t="inlineStr">
        <is>
          <t>Föryngringsavverkning</t>
        </is>
      </c>
      <c r="D9400" s="1" t="n">
        <v>45349</v>
      </c>
      <c r="E9400" s="1" t="n">
        <v>46319</v>
      </c>
      <c r="F9400" t="inlineStr">
        <is>
          <t>DALARNAS LÄN</t>
        </is>
      </c>
      <c r="G9400" t="inlineStr">
        <is>
          <t>FALUN</t>
        </is>
      </c>
      <c r="I9400" t="n">
        <v>0.6</v>
      </c>
      <c r="J9400" t="n">
        <v>0</v>
      </c>
      <c r="K9400" t="n">
        <v>0</v>
      </c>
      <c r="L9400" t="n">
        <v>0</v>
      </c>
      <c r="M9400" t="n">
        <v>0</v>
      </c>
      <c r="N9400" t="n">
        <v>0</v>
      </c>
      <c r="O9400" t="n">
        <v>0</v>
      </c>
      <c r="P9400" t="n">
        <v>0</v>
      </c>
      <c r="Q9400" t="n">
        <v>0</v>
      </c>
      <c r="R9400" t="n">
        <v>0</v>
      </c>
      <c r="S9400" t="n">
        <v>0</v>
      </c>
      <c r="T9400" t="n">
        <v>0</v>
      </c>
      <c r="U9400" t="n">
        <v>0</v>
      </c>
      <c r="V9400" s="2" t="inlineStr"/>
    </row>
    <row r="9401" ht="15" customHeight="1">
      <c r="A9401" t="inlineStr">
        <is>
          <t>A 51233-2023</t>
        </is>
      </c>
      <c r="B9401" t="inlineStr">
        <is>
          <t>avverkningsanmälan</t>
        </is>
      </c>
      <c r="C9401" t="inlineStr">
        <is>
          <t>Föryngringsavverkning</t>
        </is>
      </c>
      <c r="D9401" s="1" t="n">
        <v>45219</v>
      </c>
      <c r="E9401" s="1" t="n">
        <v>46319</v>
      </c>
      <c r="F9401" t="inlineStr">
        <is>
          <t>DALARNAS LÄN</t>
        </is>
      </c>
      <c r="G9401" t="inlineStr">
        <is>
          <t>FALUN</t>
        </is>
      </c>
      <c r="I9401" t="n">
        <v>0.8</v>
      </c>
      <c r="J9401" t="n">
        <v>0</v>
      </c>
      <c r="K9401" t="n">
        <v>0</v>
      </c>
      <c r="L9401" t="n">
        <v>0</v>
      </c>
      <c r="M9401" t="n">
        <v>0</v>
      </c>
      <c r="N9401" t="n">
        <v>0</v>
      </c>
      <c r="O9401" t="n">
        <v>0</v>
      </c>
      <c r="P9401" t="n">
        <v>0</v>
      </c>
      <c r="Q9401" t="n">
        <v>0</v>
      </c>
      <c r="R9401" t="n">
        <v>0</v>
      </c>
      <c r="S9401" t="n">
        <v>0</v>
      </c>
      <c r="T9401" t="n">
        <v>0</v>
      </c>
      <c r="U9401" t="n">
        <v>0</v>
      </c>
      <c r="V9401" s="2" t="inlineStr"/>
    </row>
    <row r="9402" ht="15" customHeight="1">
      <c r="A9402" t="inlineStr">
        <is>
          <t>A 68219-2021</t>
        </is>
      </c>
      <c r="B9402" t="inlineStr">
        <is>
          <t>avverkningsanmälan</t>
        </is>
      </c>
      <c r="C9402" t="inlineStr">
        <is>
          <t>Föryngringsavverkning</t>
        </is>
      </c>
      <c r="D9402" s="1" t="n">
        <v>44526</v>
      </c>
      <c r="E9402" s="1" t="n">
        <v>46319</v>
      </c>
      <c r="F9402" t="inlineStr">
        <is>
          <t>DALARNAS LÄN</t>
        </is>
      </c>
      <c r="G9402" t="inlineStr">
        <is>
          <t>ÄLVDALEN</t>
        </is>
      </c>
      <c r="H9402" t="inlineStr">
        <is>
          <t>Kyrkan</t>
        </is>
      </c>
      <c r="I9402" t="n">
        <v>2.7</v>
      </c>
      <c r="J9402" t="n">
        <v>0</v>
      </c>
      <c r="K9402" t="n">
        <v>0</v>
      </c>
      <c r="L9402" t="n">
        <v>0</v>
      </c>
      <c r="M9402" t="n">
        <v>0</v>
      </c>
      <c r="N9402" t="n">
        <v>0</v>
      </c>
      <c r="O9402" t="n">
        <v>0</v>
      </c>
      <c r="P9402" t="n">
        <v>0</v>
      </c>
      <c r="Q9402" t="n">
        <v>0</v>
      </c>
      <c r="R9402" t="n">
        <v>0</v>
      </c>
      <c r="S9402" t="n">
        <v>0</v>
      </c>
      <c r="T9402" t="n">
        <v>0</v>
      </c>
      <c r="U9402" t="n">
        <v>0</v>
      </c>
      <c r="V9402" s="2" t="inlineStr"/>
    </row>
    <row r="9403" ht="15" customHeight="1">
      <c r="A9403" t="inlineStr">
        <is>
          <t>A 6712-2023</t>
        </is>
      </c>
      <c r="B9403" t="inlineStr">
        <is>
          <t>avverkningsanmälan</t>
        </is>
      </c>
      <c r="C9403" t="inlineStr">
        <is>
          <t>Föryngringsavverkning</t>
        </is>
      </c>
      <c r="D9403" s="1" t="n">
        <v>44966</v>
      </c>
      <c r="E9403" s="1" t="n">
        <v>46319</v>
      </c>
      <c r="F9403" t="inlineStr">
        <is>
          <t>DALARNAS LÄN</t>
        </is>
      </c>
      <c r="G9403" t="inlineStr">
        <is>
          <t>SMEDJEBACKEN</t>
        </is>
      </c>
      <c r="I9403" t="n">
        <v>14.7</v>
      </c>
      <c r="J9403" t="n">
        <v>0</v>
      </c>
      <c r="K9403" t="n">
        <v>0</v>
      </c>
      <c r="L9403" t="n">
        <v>0</v>
      </c>
      <c r="M9403" t="n">
        <v>0</v>
      </c>
      <c r="N9403" t="n">
        <v>0</v>
      </c>
      <c r="O9403" t="n">
        <v>0</v>
      </c>
      <c r="P9403" t="n">
        <v>0</v>
      </c>
      <c r="Q9403" t="n">
        <v>0</v>
      </c>
      <c r="R9403" t="n">
        <v>0</v>
      </c>
      <c r="S9403" t="n">
        <v>0</v>
      </c>
      <c r="T9403" t="n">
        <v>0</v>
      </c>
      <c r="U9403" t="n">
        <v>0</v>
      </c>
      <c r="V9403" s="2" t="inlineStr"/>
    </row>
    <row r="9404" ht="15" customHeight="1">
      <c r="A9404" t="inlineStr">
        <is>
          <t>A 6716-2023</t>
        </is>
      </c>
      <c r="B9404" t="inlineStr">
        <is>
          <t>avverkningsanmälan</t>
        </is>
      </c>
      <c r="C9404" t="inlineStr">
        <is>
          <t>Föryngringsavverkning</t>
        </is>
      </c>
      <c r="D9404" s="1" t="n">
        <v>44966</v>
      </c>
      <c r="E9404" s="1" t="n">
        <v>46319</v>
      </c>
      <c r="F9404" t="inlineStr">
        <is>
          <t>DALARNAS LÄN</t>
        </is>
      </c>
      <c r="G9404" t="inlineStr">
        <is>
          <t>SMEDJEBACKEN</t>
        </is>
      </c>
      <c r="I9404" t="n">
        <v>0.6</v>
      </c>
      <c r="J9404" t="n">
        <v>0</v>
      </c>
      <c r="K9404" t="n">
        <v>0</v>
      </c>
      <c r="L9404" t="n">
        <v>0</v>
      </c>
      <c r="M9404" t="n">
        <v>0</v>
      </c>
      <c r="N9404" t="n">
        <v>0</v>
      </c>
      <c r="O9404" t="n">
        <v>0</v>
      </c>
      <c r="P9404" t="n">
        <v>0</v>
      </c>
      <c r="Q9404" t="n">
        <v>0</v>
      </c>
      <c r="R9404" t="n">
        <v>0</v>
      </c>
      <c r="S9404" t="n">
        <v>0</v>
      </c>
      <c r="T9404" t="n">
        <v>0</v>
      </c>
      <c r="U9404" t="n">
        <v>0</v>
      </c>
      <c r="V9404" s="2" t="inlineStr"/>
    </row>
    <row r="9405" ht="15" customHeight="1">
      <c r="A9405" t="inlineStr">
        <is>
          <t>A 31556-2022</t>
        </is>
      </c>
      <c r="B9405" t="inlineStr">
        <is>
          <t>avverkningsanmälan</t>
        </is>
      </c>
      <c r="C9405" t="inlineStr">
        <is>
          <t>Föryngringsavverkning</t>
        </is>
      </c>
      <c r="D9405" s="1" t="n">
        <v>44775</v>
      </c>
      <c r="E9405" s="1" t="n">
        <v>46319</v>
      </c>
      <c r="F9405" t="inlineStr">
        <is>
          <t>DALARNAS LÄN</t>
        </is>
      </c>
      <c r="G9405" t="inlineStr">
        <is>
          <t>RÄTTVIK</t>
        </is>
      </c>
      <c r="I9405" t="n">
        <v>3.4</v>
      </c>
      <c r="J9405" t="n">
        <v>0</v>
      </c>
      <c r="K9405" t="n">
        <v>0</v>
      </c>
      <c r="L9405" t="n">
        <v>0</v>
      </c>
      <c r="M9405" t="n">
        <v>0</v>
      </c>
      <c r="N9405" t="n">
        <v>0</v>
      </c>
      <c r="O9405" t="n">
        <v>0</v>
      </c>
      <c r="P9405" t="n">
        <v>0</v>
      </c>
      <c r="Q9405" t="n">
        <v>0</v>
      </c>
      <c r="R9405" t="n">
        <v>0</v>
      </c>
      <c r="S9405" t="n">
        <v>0</v>
      </c>
      <c r="T9405" t="n">
        <v>0</v>
      </c>
      <c r="U9405" t="n">
        <v>0</v>
      </c>
      <c r="V9405" s="2" t="inlineStr"/>
    </row>
    <row r="9406" ht="15" customHeight="1">
      <c r="A9406" t="inlineStr">
        <is>
          <t>A 29610-2024</t>
        </is>
      </c>
      <c r="B9406" t="inlineStr">
        <is>
          <t>avverkningsanmälan</t>
        </is>
      </c>
      <c r="C9406" t="inlineStr">
        <is>
          <t>Föryngringsavverkning</t>
        </is>
      </c>
      <c r="D9406" s="1" t="n">
        <v>45484</v>
      </c>
      <c r="E9406" s="1" t="n">
        <v>46319</v>
      </c>
      <c r="F9406" t="inlineStr">
        <is>
          <t>DALARNAS LÄN</t>
        </is>
      </c>
      <c r="G9406" t="inlineStr">
        <is>
          <t>ÄLVDALEN</t>
        </is>
      </c>
      <c r="I9406" t="n">
        <v>1</v>
      </c>
      <c r="J9406" t="n">
        <v>0</v>
      </c>
      <c r="K9406" t="n">
        <v>0</v>
      </c>
      <c r="L9406" t="n">
        <v>0</v>
      </c>
      <c r="M9406" t="n">
        <v>0</v>
      </c>
      <c r="N9406" t="n">
        <v>0</v>
      </c>
      <c r="O9406" t="n">
        <v>0</v>
      </c>
      <c r="P9406" t="n">
        <v>0</v>
      </c>
      <c r="Q9406" t="n">
        <v>0</v>
      </c>
      <c r="R9406" t="n">
        <v>0</v>
      </c>
      <c r="S9406" t="n">
        <v>0</v>
      </c>
      <c r="T9406" t="n">
        <v>0</v>
      </c>
      <c r="U9406" t="n">
        <v>0</v>
      </c>
      <c r="V9406" s="2" t="inlineStr"/>
    </row>
    <row r="9407" ht="15" customHeight="1">
      <c r="A9407" t="inlineStr">
        <is>
          <t>A 43012-2023</t>
        </is>
      </c>
      <c r="B9407" t="inlineStr">
        <is>
          <t>avverkningsanmälan</t>
        </is>
      </c>
      <c r="C9407" t="inlineStr">
        <is>
          <t>Föryngringsavverkning</t>
        </is>
      </c>
      <c r="D9407" s="1" t="n">
        <v>45182</v>
      </c>
      <c r="E9407" s="1" t="n">
        <v>46319</v>
      </c>
      <c r="F9407" t="inlineStr">
        <is>
          <t>DALARNAS LÄN</t>
        </is>
      </c>
      <c r="G9407" t="inlineStr">
        <is>
          <t>BORLÄNGE</t>
        </is>
      </c>
      <c r="I9407" t="n">
        <v>2.4</v>
      </c>
      <c r="J9407" t="n">
        <v>0</v>
      </c>
      <c r="K9407" t="n">
        <v>0</v>
      </c>
      <c r="L9407" t="n">
        <v>0</v>
      </c>
      <c r="M9407" t="n">
        <v>0</v>
      </c>
      <c r="N9407" t="n">
        <v>0</v>
      </c>
      <c r="O9407" t="n">
        <v>0</v>
      </c>
      <c r="P9407" t="n">
        <v>0</v>
      </c>
      <c r="Q9407" t="n">
        <v>0</v>
      </c>
      <c r="R9407" t="n">
        <v>0</v>
      </c>
      <c r="S9407" t="n">
        <v>0</v>
      </c>
      <c r="T9407" t="n">
        <v>0</v>
      </c>
      <c r="U9407" t="n">
        <v>0</v>
      </c>
      <c r="V9407" s="2" t="inlineStr"/>
    </row>
    <row r="9408" ht="15" customHeight="1">
      <c r="A9408" t="inlineStr">
        <is>
          <t>A 10689-2024</t>
        </is>
      </c>
      <c r="B9408" t="inlineStr">
        <is>
          <t>avverkningsanmälan</t>
        </is>
      </c>
      <c r="C9408" t="inlineStr">
        <is>
          <t>Föryngringsavverkning</t>
        </is>
      </c>
      <c r="D9408" s="1" t="n">
        <v>45369</v>
      </c>
      <c r="E9408" s="1" t="n">
        <v>46319</v>
      </c>
      <c r="F9408" t="inlineStr">
        <is>
          <t>DALARNAS LÄN</t>
        </is>
      </c>
      <c r="G9408" t="inlineStr">
        <is>
          <t>BORLÄNGE</t>
        </is>
      </c>
      <c r="I9408" t="n">
        <v>0.7</v>
      </c>
      <c r="J9408" t="n">
        <v>0</v>
      </c>
      <c r="K9408" t="n">
        <v>0</v>
      </c>
      <c r="L9408" t="n">
        <v>0</v>
      </c>
      <c r="M9408" t="n">
        <v>0</v>
      </c>
      <c r="N9408" t="n">
        <v>0</v>
      </c>
      <c r="O9408" t="n">
        <v>0</v>
      </c>
      <c r="P9408" t="n">
        <v>0</v>
      </c>
      <c r="Q9408" t="n">
        <v>0</v>
      </c>
      <c r="R9408" t="n">
        <v>0</v>
      </c>
      <c r="S9408" t="n">
        <v>0</v>
      </c>
      <c r="T9408" t="n">
        <v>0</v>
      </c>
      <c r="U9408" t="n">
        <v>0</v>
      </c>
      <c r="V9408" s="2" t="inlineStr"/>
    </row>
    <row r="9409" ht="15" customHeight="1">
      <c r="A9409" t="inlineStr">
        <is>
          <t>A 39009-2023</t>
        </is>
      </c>
      <c r="B9409" t="inlineStr">
        <is>
          <t>avverkningsanmälan</t>
        </is>
      </c>
      <c r="C9409" t="inlineStr">
        <is>
          <t>Avverkning för att bevara och utveckla /försöksver</t>
        </is>
      </c>
      <c r="D9409" s="1" t="n">
        <v>45162</v>
      </c>
      <c r="E9409" s="1" t="n">
        <v>46319</v>
      </c>
      <c r="F9409" t="inlineStr">
        <is>
          <t>DALARNAS LÄN</t>
        </is>
      </c>
      <c r="G9409" t="inlineStr">
        <is>
          <t>MORA</t>
        </is>
      </c>
      <c r="I9409" t="n">
        <v>1.9</v>
      </c>
      <c r="J9409" t="n">
        <v>0</v>
      </c>
      <c r="K9409" t="n">
        <v>0</v>
      </c>
      <c r="L9409" t="n">
        <v>0</v>
      </c>
      <c r="M9409" t="n">
        <v>0</v>
      </c>
      <c r="N9409" t="n">
        <v>0</v>
      </c>
      <c r="O9409" t="n">
        <v>0</v>
      </c>
      <c r="P9409" t="n">
        <v>0</v>
      </c>
      <c r="Q9409" t="n">
        <v>0</v>
      </c>
      <c r="R9409" t="n">
        <v>0</v>
      </c>
      <c r="S9409" t="n">
        <v>0</v>
      </c>
      <c r="T9409" t="n">
        <v>0</v>
      </c>
      <c r="U9409" t="n">
        <v>0</v>
      </c>
      <c r="V9409" s="2" t="inlineStr"/>
    </row>
    <row r="9410" ht="15" customHeight="1">
      <c r="A9410" t="inlineStr">
        <is>
          <t>A 60878-2023</t>
        </is>
      </c>
      <c r="B9410" t="inlineStr">
        <is>
          <t>avverkningsanmälan</t>
        </is>
      </c>
      <c r="C9410" t="inlineStr">
        <is>
          <t>Föryngringsavverkning</t>
        </is>
      </c>
      <c r="D9410" s="1" t="n">
        <v>45259</v>
      </c>
      <c r="E9410" s="1" t="n">
        <v>46319</v>
      </c>
      <c r="F9410" t="inlineStr">
        <is>
          <t>DALARNAS LÄN</t>
        </is>
      </c>
      <c r="G9410" t="inlineStr">
        <is>
          <t>LEKSAND</t>
        </is>
      </c>
      <c r="I9410" t="n">
        <v>0.6</v>
      </c>
      <c r="J9410" t="n">
        <v>0</v>
      </c>
      <c r="K9410" t="n">
        <v>0</v>
      </c>
      <c r="L9410" t="n">
        <v>0</v>
      </c>
      <c r="M9410" t="n">
        <v>0</v>
      </c>
      <c r="N9410" t="n">
        <v>0</v>
      </c>
      <c r="O9410" t="n">
        <v>0</v>
      </c>
      <c r="P9410" t="n">
        <v>0</v>
      </c>
      <c r="Q9410" t="n">
        <v>0</v>
      </c>
      <c r="R9410" t="n">
        <v>0</v>
      </c>
      <c r="S9410" t="n">
        <v>0</v>
      </c>
      <c r="T9410" t="n">
        <v>0</v>
      </c>
      <c r="U9410" t="n">
        <v>0</v>
      </c>
      <c r="V9410" s="2" t="inlineStr"/>
    </row>
    <row r="9411" ht="15" customHeight="1">
      <c r="A9411" t="inlineStr">
        <is>
          <t>A 31270-2022</t>
        </is>
      </c>
      <c r="B9411" t="inlineStr">
        <is>
          <t>avverkningsanmälan</t>
        </is>
      </c>
      <c r="C9411" t="inlineStr">
        <is>
          <t>Föryngringsavverkning</t>
        </is>
      </c>
      <c r="D9411" s="1" t="n">
        <v>44771</v>
      </c>
      <c r="E9411" s="1" t="n">
        <v>46319</v>
      </c>
      <c r="F9411" t="inlineStr">
        <is>
          <t>DALARNAS LÄN</t>
        </is>
      </c>
      <c r="G9411" t="inlineStr">
        <is>
          <t>LUDVIKA</t>
        </is>
      </c>
      <c r="I9411" t="n">
        <v>1.2</v>
      </c>
      <c r="J9411" t="n">
        <v>0</v>
      </c>
      <c r="K9411" t="n">
        <v>0</v>
      </c>
      <c r="L9411" t="n">
        <v>0</v>
      </c>
      <c r="M9411" t="n">
        <v>0</v>
      </c>
      <c r="N9411" t="n">
        <v>0</v>
      </c>
      <c r="O9411" t="n">
        <v>0</v>
      </c>
      <c r="P9411" t="n">
        <v>0</v>
      </c>
      <c r="Q9411" t="n">
        <v>0</v>
      </c>
      <c r="R9411" t="n">
        <v>0</v>
      </c>
      <c r="S9411" t="n">
        <v>0</v>
      </c>
      <c r="T9411" t="n">
        <v>0</v>
      </c>
      <c r="U9411" t="n">
        <v>0</v>
      </c>
      <c r="V9411" s="2" t="inlineStr"/>
    </row>
    <row r="9412" ht="15" customHeight="1">
      <c r="A9412" t="inlineStr">
        <is>
          <t>A 60652-2023</t>
        </is>
      </c>
      <c r="B9412" t="inlineStr">
        <is>
          <t>avverkningsanmälan</t>
        </is>
      </c>
      <c r="C9412" t="inlineStr">
        <is>
          <t>Föryngringsavverkning</t>
        </is>
      </c>
      <c r="D9412" s="1" t="n">
        <v>45260</v>
      </c>
      <c r="E9412" s="1" t="n">
        <v>46319</v>
      </c>
      <c r="F9412" t="inlineStr">
        <is>
          <t>DALARNAS LÄN</t>
        </is>
      </c>
      <c r="G9412" t="inlineStr">
        <is>
          <t>GAGNEF</t>
        </is>
      </c>
      <c r="I9412" t="n">
        <v>3.4</v>
      </c>
      <c r="J9412" t="n">
        <v>0</v>
      </c>
      <c r="K9412" t="n">
        <v>0</v>
      </c>
      <c r="L9412" t="n">
        <v>0</v>
      </c>
      <c r="M9412" t="n">
        <v>0</v>
      </c>
      <c r="N9412" t="n">
        <v>0</v>
      </c>
      <c r="O9412" t="n">
        <v>0</v>
      </c>
      <c r="P9412" t="n">
        <v>0</v>
      </c>
      <c r="Q9412" t="n">
        <v>0</v>
      </c>
      <c r="R9412" t="n">
        <v>0</v>
      </c>
      <c r="S9412" t="n">
        <v>0</v>
      </c>
      <c r="T9412" t="n">
        <v>0</v>
      </c>
      <c r="U9412" t="n">
        <v>0</v>
      </c>
      <c r="V9412" s="2" t="inlineStr"/>
    </row>
    <row r="9413" ht="15" customHeight="1">
      <c r="A9413" t="inlineStr">
        <is>
          <t>A 31326-2022</t>
        </is>
      </c>
      <c r="B9413" t="inlineStr">
        <is>
          <t>avverkningsanmälan</t>
        </is>
      </c>
      <c r="C9413" t="inlineStr">
        <is>
          <t>Föryngringsavverkning</t>
        </is>
      </c>
      <c r="D9413" s="1" t="n">
        <v>44774</v>
      </c>
      <c r="E9413" s="1" t="n">
        <v>46319</v>
      </c>
      <c r="F9413" t="inlineStr">
        <is>
          <t>DALARNAS LÄN</t>
        </is>
      </c>
      <c r="G9413" t="inlineStr">
        <is>
          <t>SMEDJEBACKEN</t>
        </is>
      </c>
      <c r="I9413" t="n">
        <v>1.1</v>
      </c>
      <c r="J9413" t="n">
        <v>0</v>
      </c>
      <c r="K9413" t="n">
        <v>0</v>
      </c>
      <c r="L9413" t="n">
        <v>0</v>
      </c>
      <c r="M9413" t="n">
        <v>0</v>
      </c>
      <c r="N9413" t="n">
        <v>0</v>
      </c>
      <c r="O9413" t="n">
        <v>0</v>
      </c>
      <c r="P9413" t="n">
        <v>0</v>
      </c>
      <c r="Q9413" t="n">
        <v>0</v>
      </c>
      <c r="R9413" t="n">
        <v>0</v>
      </c>
      <c r="S9413" t="n">
        <v>0</v>
      </c>
      <c r="T9413" t="n">
        <v>0</v>
      </c>
      <c r="U9413" t="n">
        <v>0</v>
      </c>
      <c r="V9413" s="2" t="inlineStr"/>
    </row>
    <row r="9414" ht="15" customHeight="1">
      <c r="A9414" t="inlineStr">
        <is>
          <t>A 61502-2023</t>
        </is>
      </c>
      <c r="B9414" t="inlineStr">
        <is>
          <t>avverkningsanmälan</t>
        </is>
      </c>
      <c r="C9414" t="inlineStr">
        <is>
          <t>Föryngringsavverkning</t>
        </is>
      </c>
      <c r="D9414" s="1" t="n">
        <v>45264</v>
      </c>
      <c r="E9414" s="1" t="n">
        <v>46319</v>
      </c>
      <c r="F9414" t="inlineStr">
        <is>
          <t>DALARNAS LÄN</t>
        </is>
      </c>
      <c r="G9414" t="inlineStr">
        <is>
          <t>LEKSAND</t>
        </is>
      </c>
      <c r="I9414" t="n">
        <v>5.2</v>
      </c>
      <c r="J9414" t="n">
        <v>0</v>
      </c>
      <c r="K9414" t="n">
        <v>0</v>
      </c>
      <c r="L9414" t="n">
        <v>0</v>
      </c>
      <c r="M9414" t="n">
        <v>0</v>
      </c>
      <c r="N9414" t="n">
        <v>0</v>
      </c>
      <c r="O9414" t="n">
        <v>0</v>
      </c>
      <c r="P9414" t="n">
        <v>0</v>
      </c>
      <c r="Q9414" t="n">
        <v>0</v>
      </c>
      <c r="R9414" t="n">
        <v>0</v>
      </c>
      <c r="S9414" t="n">
        <v>0</v>
      </c>
      <c r="T9414" t="n">
        <v>0</v>
      </c>
      <c r="U9414" t="n">
        <v>0</v>
      </c>
      <c r="V9414" s="2" t="inlineStr"/>
    </row>
    <row r="9415" ht="15" customHeight="1">
      <c r="A9415" t="inlineStr">
        <is>
          <t>A 60021-2023</t>
        </is>
      </c>
      <c r="B9415" t="inlineStr">
        <is>
          <t>avverkningsanmälan</t>
        </is>
      </c>
      <c r="C9415" t="inlineStr">
        <is>
          <t>Föryngringsavverkning</t>
        </is>
      </c>
      <c r="D9415" s="1" t="n">
        <v>45258</v>
      </c>
      <c r="E9415" s="1" t="n">
        <v>46319</v>
      </c>
      <c r="F9415" t="inlineStr">
        <is>
          <t>DALARNAS LÄN</t>
        </is>
      </c>
      <c r="G9415" t="inlineStr">
        <is>
          <t>GAGNEF</t>
        </is>
      </c>
      <c r="I9415" t="n">
        <v>1.2</v>
      </c>
      <c r="J9415" t="n">
        <v>0</v>
      </c>
      <c r="K9415" t="n">
        <v>0</v>
      </c>
      <c r="L9415" t="n">
        <v>0</v>
      </c>
      <c r="M9415" t="n">
        <v>0</v>
      </c>
      <c r="N9415" t="n">
        <v>0</v>
      </c>
      <c r="O9415" t="n">
        <v>0</v>
      </c>
      <c r="P9415" t="n">
        <v>0</v>
      </c>
      <c r="Q9415" t="n">
        <v>0</v>
      </c>
      <c r="R9415" t="n">
        <v>0</v>
      </c>
      <c r="S9415" t="n">
        <v>0</v>
      </c>
      <c r="T9415" t="n">
        <v>0</v>
      </c>
      <c r="U9415" t="n">
        <v>0</v>
      </c>
      <c r="V9415" s="2" t="inlineStr"/>
    </row>
    <row r="9416" ht="15" customHeight="1">
      <c r="A9416" t="inlineStr">
        <is>
          <t>A 28965-2023</t>
        </is>
      </c>
      <c r="B9416" t="inlineStr">
        <is>
          <t>avverkningsanmälan</t>
        </is>
      </c>
      <c r="C9416" t="inlineStr">
        <is>
          <t>Föryngringsavverkning</t>
        </is>
      </c>
      <c r="D9416" s="1" t="n">
        <v>45104</v>
      </c>
      <c r="E9416" s="1" t="n">
        <v>46319</v>
      </c>
      <c r="F9416" t="inlineStr">
        <is>
          <t>DALARNAS LÄN</t>
        </is>
      </c>
      <c r="G9416" t="inlineStr">
        <is>
          <t>LEKSAND</t>
        </is>
      </c>
      <c r="H9416" t="inlineStr">
        <is>
          <t>Bergvik skog väst AB</t>
        </is>
      </c>
      <c r="I9416" t="n">
        <v>0.9</v>
      </c>
      <c r="J9416" t="n">
        <v>0</v>
      </c>
      <c r="K9416" t="n">
        <v>0</v>
      </c>
      <c r="L9416" t="n">
        <v>0</v>
      </c>
      <c r="M9416" t="n">
        <v>0</v>
      </c>
      <c r="N9416" t="n">
        <v>0</v>
      </c>
      <c r="O9416" t="n">
        <v>0</v>
      </c>
      <c r="P9416" t="n">
        <v>0</v>
      </c>
      <c r="Q9416" t="n">
        <v>0</v>
      </c>
      <c r="R9416" t="n">
        <v>0</v>
      </c>
      <c r="S9416" t="n">
        <v>0</v>
      </c>
      <c r="T9416" t="n">
        <v>0</v>
      </c>
      <c r="U9416" t="n">
        <v>0</v>
      </c>
      <c r="V9416" s="2" t="inlineStr"/>
    </row>
    <row r="9417" ht="15" customHeight="1">
      <c r="A9417" t="inlineStr">
        <is>
          <t>A 41046-2023</t>
        </is>
      </c>
      <c r="B9417" t="inlineStr">
        <is>
          <t>avverkningsanmälan</t>
        </is>
      </c>
      <c r="C9417" t="inlineStr">
        <is>
          <t>Avverkning för annat ändamål</t>
        </is>
      </c>
      <c r="D9417" s="1" t="n">
        <v>45173</v>
      </c>
      <c r="E9417" s="1" t="n">
        <v>46319</v>
      </c>
      <c r="F9417" t="inlineStr">
        <is>
          <t>DALARNAS LÄN</t>
        </is>
      </c>
      <c r="G9417" t="inlineStr">
        <is>
          <t>RÄTTVIK</t>
        </is>
      </c>
      <c r="I9417" t="n">
        <v>0.7</v>
      </c>
      <c r="J9417" t="n">
        <v>0</v>
      </c>
      <c r="K9417" t="n">
        <v>0</v>
      </c>
      <c r="L9417" t="n">
        <v>0</v>
      </c>
      <c r="M9417" t="n">
        <v>0</v>
      </c>
      <c r="N9417" t="n">
        <v>0</v>
      </c>
      <c r="O9417" t="n">
        <v>0</v>
      </c>
      <c r="P9417" t="n">
        <v>0</v>
      </c>
      <c r="Q9417" t="n">
        <v>0</v>
      </c>
      <c r="R9417" t="n">
        <v>0</v>
      </c>
      <c r="S9417" t="n">
        <v>0</v>
      </c>
      <c r="T9417" t="n">
        <v>0</v>
      </c>
      <c r="U9417" t="n">
        <v>0</v>
      </c>
      <c r="V9417" s="2" t="inlineStr"/>
    </row>
    <row r="9418" ht="15" customHeight="1">
      <c r="A9418" t="inlineStr">
        <is>
          <t>A 55263-2023</t>
        </is>
      </c>
      <c r="B9418" t="inlineStr">
        <is>
          <t>avverkningsanmälan</t>
        </is>
      </c>
      <c r="C9418" t="inlineStr">
        <is>
          <t>Föryngringsavverkning</t>
        </is>
      </c>
      <c r="D9418" s="1" t="n">
        <v>45231</v>
      </c>
      <c r="E9418" s="1" t="n">
        <v>46319</v>
      </c>
      <c r="F9418" t="inlineStr">
        <is>
          <t>DALARNAS LÄN</t>
        </is>
      </c>
      <c r="G9418" t="inlineStr">
        <is>
          <t>RÄTTVIK</t>
        </is>
      </c>
      <c r="I9418" t="n">
        <v>1.6</v>
      </c>
      <c r="J9418" t="n">
        <v>0</v>
      </c>
      <c r="K9418" t="n">
        <v>0</v>
      </c>
      <c r="L9418" t="n">
        <v>0</v>
      </c>
      <c r="M9418" t="n">
        <v>0</v>
      </c>
      <c r="N9418" t="n">
        <v>0</v>
      </c>
      <c r="O9418" t="n">
        <v>0</v>
      </c>
      <c r="P9418" t="n">
        <v>0</v>
      </c>
      <c r="Q9418" t="n">
        <v>0</v>
      </c>
      <c r="R9418" t="n">
        <v>0</v>
      </c>
      <c r="S9418" t="n">
        <v>0</v>
      </c>
      <c r="T9418" t="n">
        <v>0</v>
      </c>
      <c r="U9418" t="n">
        <v>0</v>
      </c>
      <c r="V9418" s="2" t="inlineStr"/>
    </row>
    <row r="9419" ht="15" customHeight="1">
      <c r="A9419" t="inlineStr">
        <is>
          <t>A 55270-2023</t>
        </is>
      </c>
      <c r="B9419" t="inlineStr">
        <is>
          <t>avverkningsanmälan</t>
        </is>
      </c>
      <c r="C9419" t="inlineStr">
        <is>
          <t>Föryngringsavverkning</t>
        </is>
      </c>
      <c r="D9419" s="1" t="n">
        <v>45231</v>
      </c>
      <c r="E9419" s="1" t="n">
        <v>46319</v>
      </c>
      <c r="F9419" t="inlineStr">
        <is>
          <t>DALARNAS LÄN</t>
        </is>
      </c>
      <c r="G9419" t="inlineStr">
        <is>
          <t>RÄTTVIK</t>
        </is>
      </c>
      <c r="I9419" t="n">
        <v>5.9</v>
      </c>
      <c r="J9419" t="n">
        <v>0</v>
      </c>
      <c r="K9419" t="n">
        <v>0</v>
      </c>
      <c r="L9419" t="n">
        <v>0</v>
      </c>
      <c r="M9419" t="n">
        <v>0</v>
      </c>
      <c r="N9419" t="n">
        <v>0</v>
      </c>
      <c r="O9419" t="n">
        <v>0</v>
      </c>
      <c r="P9419" t="n">
        <v>0</v>
      </c>
      <c r="Q9419" t="n">
        <v>0</v>
      </c>
      <c r="R9419" t="n">
        <v>0</v>
      </c>
      <c r="S9419" t="n">
        <v>0</v>
      </c>
      <c r="T9419" t="n">
        <v>0</v>
      </c>
      <c r="U9419" t="n">
        <v>0</v>
      </c>
      <c r="V9419" s="2" t="inlineStr"/>
    </row>
    <row r="9420" ht="15" customHeight="1">
      <c r="A9420" t="inlineStr">
        <is>
          <t>A 64987-2023</t>
        </is>
      </c>
      <c r="B9420" t="inlineStr">
        <is>
          <t>avverkningsanmälan</t>
        </is>
      </c>
      <c r="C9420" t="inlineStr">
        <is>
          <t>Föryngringsavverkning</t>
        </is>
      </c>
      <c r="D9420" s="1" t="n">
        <v>45285</v>
      </c>
      <c r="E9420" s="1" t="n">
        <v>46319</v>
      </c>
      <c r="F9420" t="inlineStr">
        <is>
          <t>DALARNAS LÄN</t>
        </is>
      </c>
      <c r="G9420" t="inlineStr">
        <is>
          <t>GAGNEF</t>
        </is>
      </c>
      <c r="I9420" t="n">
        <v>6.2</v>
      </c>
      <c r="J9420" t="n">
        <v>0</v>
      </c>
      <c r="K9420" t="n">
        <v>0</v>
      </c>
      <c r="L9420" t="n">
        <v>0</v>
      </c>
      <c r="M9420" t="n">
        <v>0</v>
      </c>
      <c r="N9420" t="n">
        <v>0</v>
      </c>
      <c r="O9420" t="n">
        <v>0</v>
      </c>
      <c r="P9420" t="n">
        <v>0</v>
      </c>
      <c r="Q9420" t="n">
        <v>0</v>
      </c>
      <c r="R9420" t="n">
        <v>0</v>
      </c>
      <c r="S9420" t="n">
        <v>0</v>
      </c>
      <c r="T9420" t="n">
        <v>0</v>
      </c>
      <c r="U9420" t="n">
        <v>0</v>
      </c>
      <c r="V9420" s="2" t="inlineStr"/>
    </row>
    <row r="9421" ht="15" customHeight="1">
      <c r="A9421" t="inlineStr">
        <is>
          <t>A 1509-2024</t>
        </is>
      </c>
      <c r="B9421" t="inlineStr">
        <is>
          <t>avverkningsanmälan</t>
        </is>
      </c>
      <c r="C9421" t="inlineStr">
        <is>
          <t>Föryngringsavverkning</t>
        </is>
      </c>
      <c r="D9421" s="1" t="n">
        <v>45306</v>
      </c>
      <c r="E9421" s="1" t="n">
        <v>46319</v>
      </c>
      <c r="F9421" t="inlineStr">
        <is>
          <t>DALARNAS LÄN</t>
        </is>
      </c>
      <c r="G9421" t="inlineStr">
        <is>
          <t>FALUN</t>
        </is>
      </c>
      <c r="I9421" t="n">
        <v>5.7</v>
      </c>
      <c r="J9421" t="n">
        <v>0</v>
      </c>
      <c r="K9421" t="n">
        <v>0</v>
      </c>
      <c r="L9421" t="n">
        <v>0</v>
      </c>
      <c r="M9421" t="n">
        <v>0</v>
      </c>
      <c r="N9421" t="n">
        <v>0</v>
      </c>
      <c r="O9421" t="n">
        <v>0</v>
      </c>
      <c r="P9421" t="n">
        <v>0</v>
      </c>
      <c r="Q9421" t="n">
        <v>0</v>
      </c>
      <c r="R9421" t="n">
        <v>0</v>
      </c>
      <c r="S9421" t="n">
        <v>0</v>
      </c>
      <c r="T9421" t="n">
        <v>0</v>
      </c>
      <c r="U9421" t="n">
        <v>0</v>
      </c>
      <c r="V9421" s="2" t="inlineStr"/>
    </row>
    <row r="9422" ht="15" customHeight="1">
      <c r="A9422" t="inlineStr">
        <is>
          <t>A 1719-2024</t>
        </is>
      </c>
      <c r="B9422" t="inlineStr">
        <is>
          <t>avverkningsanmälan</t>
        </is>
      </c>
      <c r="C9422" t="inlineStr">
        <is>
          <t>Föryngringsavverkning</t>
        </is>
      </c>
      <c r="D9422" s="1" t="n">
        <v>45307</v>
      </c>
      <c r="E9422" s="1" t="n">
        <v>46319</v>
      </c>
      <c r="F9422" t="inlineStr">
        <is>
          <t>DALARNAS LÄN</t>
        </is>
      </c>
      <c r="G9422" t="inlineStr">
        <is>
          <t>LEKSAND</t>
        </is>
      </c>
      <c r="I9422" t="n">
        <v>2.8</v>
      </c>
      <c r="J9422" t="n">
        <v>0</v>
      </c>
      <c r="K9422" t="n">
        <v>0</v>
      </c>
      <c r="L9422" t="n">
        <v>0</v>
      </c>
      <c r="M9422" t="n">
        <v>0</v>
      </c>
      <c r="N9422" t="n">
        <v>0</v>
      </c>
      <c r="O9422" t="n">
        <v>0</v>
      </c>
      <c r="P9422" t="n">
        <v>0</v>
      </c>
      <c r="Q9422" t="n">
        <v>0</v>
      </c>
      <c r="R9422" t="n">
        <v>0</v>
      </c>
      <c r="S9422" t="n">
        <v>0</v>
      </c>
      <c r="T9422" t="n">
        <v>0</v>
      </c>
      <c r="U9422" t="n">
        <v>0</v>
      </c>
      <c r="V9422" s="2" t="inlineStr"/>
    </row>
    <row r="9423" ht="15" customHeight="1">
      <c r="A9423" t="inlineStr">
        <is>
          <t>A 2463-2024</t>
        </is>
      </c>
      <c r="B9423" t="inlineStr">
        <is>
          <t>avverkningsanmälan</t>
        </is>
      </c>
      <c r="C9423" t="inlineStr">
        <is>
          <t>Föryngringsavverkning</t>
        </is>
      </c>
      <c r="D9423" s="1" t="n">
        <v>45313</v>
      </c>
      <c r="E9423" s="1" t="n">
        <v>46319</v>
      </c>
      <c r="F9423" t="inlineStr">
        <is>
          <t>DALARNAS LÄN</t>
        </is>
      </c>
      <c r="G9423" t="inlineStr">
        <is>
          <t>FALUN</t>
        </is>
      </c>
      <c r="I9423" t="n">
        <v>4.4</v>
      </c>
      <c r="J9423" t="n">
        <v>0</v>
      </c>
      <c r="K9423" t="n">
        <v>0</v>
      </c>
      <c r="L9423" t="n">
        <v>0</v>
      </c>
      <c r="M9423" t="n">
        <v>0</v>
      </c>
      <c r="N9423" t="n">
        <v>0</v>
      </c>
      <c r="O9423" t="n">
        <v>0</v>
      </c>
      <c r="P9423" t="n">
        <v>0</v>
      </c>
      <c r="Q9423" t="n">
        <v>0</v>
      </c>
      <c r="R9423" t="n">
        <v>0</v>
      </c>
      <c r="S9423" t="n">
        <v>0</v>
      </c>
      <c r="T9423" t="n">
        <v>0</v>
      </c>
      <c r="U9423" t="n">
        <v>0</v>
      </c>
      <c r="V9423" s="2" t="inlineStr"/>
    </row>
    <row r="9424" ht="15" customHeight="1">
      <c r="A9424" t="inlineStr">
        <is>
          <t>A 555-2023</t>
        </is>
      </c>
      <c r="B9424" t="inlineStr">
        <is>
          <t>avverkningsanmälan</t>
        </is>
      </c>
      <c r="C9424" t="inlineStr">
        <is>
          <t>Föryngringsavverkning</t>
        </is>
      </c>
      <c r="D9424" s="1" t="n">
        <v>44930</v>
      </c>
      <c r="E9424" s="1" t="n">
        <v>46319</v>
      </c>
      <c r="F9424" t="inlineStr">
        <is>
          <t>DALARNAS LÄN</t>
        </is>
      </c>
      <c r="G9424" t="inlineStr">
        <is>
          <t>VANSBRO</t>
        </is>
      </c>
      <c r="I9424" t="n">
        <v>2.3</v>
      </c>
      <c r="J9424" t="n">
        <v>0</v>
      </c>
      <c r="K9424" t="n">
        <v>0</v>
      </c>
      <c r="L9424" t="n">
        <v>0</v>
      </c>
      <c r="M9424" t="n">
        <v>0</v>
      </c>
      <c r="N9424" t="n">
        <v>0</v>
      </c>
      <c r="O9424" t="n">
        <v>0</v>
      </c>
      <c r="P9424" t="n">
        <v>0</v>
      </c>
      <c r="Q9424" t="n">
        <v>0</v>
      </c>
      <c r="R9424" t="n">
        <v>0</v>
      </c>
      <c r="S9424" t="n">
        <v>0</v>
      </c>
      <c r="T9424" t="n">
        <v>0</v>
      </c>
      <c r="U9424" t="n">
        <v>0</v>
      </c>
      <c r="V9424" s="2" t="inlineStr"/>
    </row>
    <row r="9425" ht="15" customHeight="1">
      <c r="A9425" t="inlineStr">
        <is>
          <t>A 10540-2024</t>
        </is>
      </c>
      <c r="B9425" t="inlineStr">
        <is>
          <t>avverkningsanmälan</t>
        </is>
      </c>
      <c r="C9425" t="inlineStr">
        <is>
          <t>Föryngringsavverkning</t>
        </is>
      </c>
      <c r="D9425" s="1" t="n">
        <v>45366</v>
      </c>
      <c r="E9425" s="1" t="n">
        <v>46319</v>
      </c>
      <c r="F9425" t="inlineStr">
        <is>
          <t>DALARNAS LÄN</t>
        </is>
      </c>
      <c r="G9425" t="inlineStr">
        <is>
          <t>SÄTER</t>
        </is>
      </c>
      <c r="I9425" t="n">
        <v>0.5</v>
      </c>
      <c r="J9425" t="n">
        <v>0</v>
      </c>
      <c r="K9425" t="n">
        <v>0</v>
      </c>
      <c r="L9425" t="n">
        <v>0</v>
      </c>
      <c r="M9425" t="n">
        <v>0</v>
      </c>
      <c r="N9425" t="n">
        <v>0</v>
      </c>
      <c r="O9425" t="n">
        <v>0</v>
      </c>
      <c r="P9425" t="n">
        <v>0</v>
      </c>
      <c r="Q9425" t="n">
        <v>0</v>
      </c>
      <c r="R9425" t="n">
        <v>0</v>
      </c>
      <c r="S9425" t="n">
        <v>0</v>
      </c>
      <c r="T9425" t="n">
        <v>0</v>
      </c>
      <c r="U9425" t="n">
        <v>0</v>
      </c>
      <c r="V9425" s="2" t="inlineStr"/>
    </row>
    <row r="9426" ht="15" customHeight="1">
      <c r="A9426" t="inlineStr">
        <is>
          <t>A 33846-2022</t>
        </is>
      </c>
      <c r="B9426" t="inlineStr">
        <is>
          <t>avverkningsanmälan</t>
        </is>
      </c>
      <c r="C9426" t="inlineStr">
        <is>
          <t>Föryngringsavverkning</t>
        </is>
      </c>
      <c r="D9426" s="1" t="n">
        <v>44790</v>
      </c>
      <c r="E9426" s="1" t="n">
        <v>46319</v>
      </c>
      <c r="F9426" t="inlineStr">
        <is>
          <t>DALARNAS LÄN</t>
        </is>
      </c>
      <c r="G9426" t="inlineStr">
        <is>
          <t>SMEDJEBACKEN</t>
        </is>
      </c>
      <c r="H9426" t="inlineStr">
        <is>
          <t>Bergvik skog väst AB</t>
        </is>
      </c>
      <c r="I9426" t="n">
        <v>2.7</v>
      </c>
      <c r="J9426" t="n">
        <v>0</v>
      </c>
      <c r="K9426" t="n">
        <v>0</v>
      </c>
      <c r="L9426" t="n">
        <v>0</v>
      </c>
      <c r="M9426" t="n">
        <v>0</v>
      </c>
      <c r="N9426" t="n">
        <v>0</v>
      </c>
      <c r="O9426" t="n">
        <v>0</v>
      </c>
      <c r="P9426" t="n">
        <v>0</v>
      </c>
      <c r="Q9426" t="n">
        <v>0</v>
      </c>
      <c r="R9426" t="n">
        <v>0</v>
      </c>
      <c r="S9426" t="n">
        <v>0</v>
      </c>
      <c r="T9426" t="n">
        <v>0</v>
      </c>
      <c r="U9426" t="n">
        <v>0</v>
      </c>
      <c r="V9426" s="2" t="inlineStr"/>
    </row>
    <row r="9427" ht="15" customHeight="1">
      <c r="A9427" t="inlineStr">
        <is>
          <t>A 38240-2022</t>
        </is>
      </c>
      <c r="B9427" t="inlineStr">
        <is>
          <t>avverkningsanmälan</t>
        </is>
      </c>
      <c r="C9427" t="inlineStr">
        <is>
          <t>Föryngringsavverkning</t>
        </is>
      </c>
      <c r="D9427" s="1" t="n">
        <v>44812</v>
      </c>
      <c r="E9427" s="1" t="n">
        <v>46319</v>
      </c>
      <c r="F9427" t="inlineStr">
        <is>
          <t>DALARNAS LÄN</t>
        </is>
      </c>
      <c r="G9427" t="inlineStr">
        <is>
          <t>SÄTER</t>
        </is>
      </c>
      <c r="I9427" t="n">
        <v>2</v>
      </c>
      <c r="J9427" t="n">
        <v>0</v>
      </c>
      <c r="K9427" t="n">
        <v>0</v>
      </c>
      <c r="L9427" t="n">
        <v>0</v>
      </c>
      <c r="M9427" t="n">
        <v>0</v>
      </c>
      <c r="N9427" t="n">
        <v>0</v>
      </c>
      <c r="O9427" t="n">
        <v>0</v>
      </c>
      <c r="P9427" t="n">
        <v>0</v>
      </c>
      <c r="Q9427" t="n">
        <v>0</v>
      </c>
      <c r="R9427" t="n">
        <v>0</v>
      </c>
      <c r="S9427" t="n">
        <v>0</v>
      </c>
      <c r="T9427" t="n">
        <v>0</v>
      </c>
      <c r="U9427" t="n">
        <v>0</v>
      </c>
      <c r="V9427" s="2" t="inlineStr"/>
    </row>
    <row r="9428" ht="15" customHeight="1">
      <c r="A9428" t="inlineStr">
        <is>
          <t>A 3900-2024</t>
        </is>
      </c>
      <c r="B9428" t="inlineStr">
        <is>
          <t>avverkningsanmälan</t>
        </is>
      </c>
      <c r="C9428" t="inlineStr">
        <is>
          <t>Föryngringsavverkning</t>
        </is>
      </c>
      <c r="D9428" s="1" t="n">
        <v>45322</v>
      </c>
      <c r="E9428" s="1" t="n">
        <v>46319</v>
      </c>
      <c r="F9428" t="inlineStr">
        <is>
          <t>DALARNAS LÄN</t>
        </is>
      </c>
      <c r="G9428" t="inlineStr">
        <is>
          <t>ÄLVDALEN</t>
        </is>
      </c>
      <c r="I9428" t="n">
        <v>1.1</v>
      </c>
      <c r="J9428" t="n">
        <v>0</v>
      </c>
      <c r="K9428" t="n">
        <v>0</v>
      </c>
      <c r="L9428" t="n">
        <v>0</v>
      </c>
      <c r="M9428" t="n">
        <v>0</v>
      </c>
      <c r="N9428" t="n">
        <v>0</v>
      </c>
      <c r="O9428" t="n">
        <v>0</v>
      </c>
      <c r="P9428" t="n">
        <v>0</v>
      </c>
      <c r="Q9428" t="n">
        <v>0</v>
      </c>
      <c r="R9428" t="n">
        <v>0</v>
      </c>
      <c r="S9428" t="n">
        <v>0</v>
      </c>
      <c r="T9428" t="n">
        <v>0</v>
      </c>
      <c r="U9428" t="n">
        <v>0</v>
      </c>
      <c r="V9428" s="2" t="inlineStr"/>
    </row>
    <row r="9429" ht="15" customHeight="1">
      <c r="A9429" t="inlineStr">
        <is>
          <t>A 2375-2024</t>
        </is>
      </c>
      <c r="B9429" t="inlineStr">
        <is>
          <t>avverkningsanmälan</t>
        </is>
      </c>
      <c r="C9429" t="inlineStr">
        <is>
          <t>Föryngringsavverkning</t>
        </is>
      </c>
      <c r="D9429" s="1" t="n">
        <v>45310</v>
      </c>
      <c r="E9429" s="1" t="n">
        <v>46319</v>
      </c>
      <c r="F9429" t="inlineStr">
        <is>
          <t>DALARNAS LÄN</t>
        </is>
      </c>
      <c r="G9429" t="inlineStr">
        <is>
          <t>ÄLVDALEN</t>
        </is>
      </c>
      <c r="I9429" t="n">
        <v>5.4</v>
      </c>
      <c r="J9429" t="n">
        <v>0</v>
      </c>
      <c r="K9429" t="n">
        <v>0</v>
      </c>
      <c r="L9429" t="n">
        <v>0</v>
      </c>
      <c r="M9429" t="n">
        <v>0</v>
      </c>
      <c r="N9429" t="n">
        <v>0</v>
      </c>
      <c r="O9429" t="n">
        <v>0</v>
      </c>
      <c r="P9429" t="n">
        <v>0</v>
      </c>
      <c r="Q9429" t="n">
        <v>0</v>
      </c>
      <c r="R9429" t="n">
        <v>0</v>
      </c>
      <c r="S9429" t="n">
        <v>0</v>
      </c>
      <c r="T9429" t="n">
        <v>0</v>
      </c>
      <c r="U9429" t="n">
        <v>0</v>
      </c>
      <c r="V9429" s="2" t="inlineStr"/>
    </row>
    <row r="9430" ht="15" customHeight="1">
      <c r="A9430" t="inlineStr">
        <is>
          <t>A 19312-2025</t>
        </is>
      </c>
      <c r="B9430" t="inlineStr">
        <is>
          <t>avverkningsanmälan</t>
        </is>
      </c>
      <c r="C9430" t="inlineStr">
        <is>
          <t>Föryngringsavverkning</t>
        </is>
      </c>
      <c r="D9430" s="1" t="n">
        <v>45769</v>
      </c>
      <c r="E9430" s="1" t="n">
        <v>46319</v>
      </c>
      <c r="F9430" t="inlineStr">
        <is>
          <t>DALARNAS LÄN</t>
        </is>
      </c>
      <c r="G9430" t="inlineStr">
        <is>
          <t>MALUNG-SÄLEN</t>
        </is>
      </c>
      <c r="H9430" t="inlineStr">
        <is>
          <t>Bergvik skog öst AB</t>
        </is>
      </c>
      <c r="I9430" t="n">
        <v>1.9</v>
      </c>
      <c r="J9430" t="n">
        <v>0</v>
      </c>
      <c r="K9430" t="n">
        <v>0</v>
      </c>
      <c r="L9430" t="n">
        <v>0</v>
      </c>
      <c r="M9430" t="n">
        <v>0</v>
      </c>
      <c r="N9430" t="n">
        <v>0</v>
      </c>
      <c r="O9430" t="n">
        <v>0</v>
      </c>
      <c r="P9430" t="n">
        <v>0</v>
      </c>
      <c r="Q9430" t="n">
        <v>0</v>
      </c>
      <c r="R9430" t="n">
        <v>0</v>
      </c>
      <c r="S9430" t="n">
        <v>0</v>
      </c>
      <c r="T9430" t="n">
        <v>0</v>
      </c>
      <c r="U9430" t="n">
        <v>0</v>
      </c>
      <c r="V9430" s="2" t="inlineStr"/>
    </row>
    <row r="9431" ht="15" customHeight="1">
      <c r="A9431" t="inlineStr">
        <is>
          <t>A 62188-2023</t>
        </is>
      </c>
      <c r="B9431" t="inlineStr">
        <is>
          <t>avverkningsanmälan</t>
        </is>
      </c>
      <c r="C9431" t="inlineStr">
        <is>
          <t>Föryngringsavverkning</t>
        </is>
      </c>
      <c r="D9431" s="1" t="n">
        <v>45267</v>
      </c>
      <c r="E9431" s="1" t="n">
        <v>46319</v>
      </c>
      <c r="F9431" t="inlineStr">
        <is>
          <t>DALARNAS LÄN</t>
        </is>
      </c>
      <c r="G9431" t="inlineStr">
        <is>
          <t>HEDEMORA</t>
        </is>
      </c>
      <c r="I9431" t="n">
        <v>2.1</v>
      </c>
      <c r="J9431" t="n">
        <v>0</v>
      </c>
      <c r="K9431" t="n">
        <v>0</v>
      </c>
      <c r="L9431" t="n">
        <v>0</v>
      </c>
      <c r="M9431" t="n">
        <v>0</v>
      </c>
      <c r="N9431" t="n">
        <v>0</v>
      </c>
      <c r="O9431" t="n">
        <v>0</v>
      </c>
      <c r="P9431" t="n">
        <v>0</v>
      </c>
      <c r="Q9431" t="n">
        <v>0</v>
      </c>
      <c r="R9431" t="n">
        <v>0</v>
      </c>
      <c r="S9431" t="n">
        <v>0</v>
      </c>
      <c r="T9431" t="n">
        <v>0</v>
      </c>
      <c r="U9431" t="n">
        <v>0</v>
      </c>
      <c r="V9431" s="2" t="inlineStr"/>
    </row>
    <row r="9432" ht="15" customHeight="1">
      <c r="A9432" t="inlineStr">
        <is>
          <t>A 61743-2023</t>
        </is>
      </c>
      <c r="B9432" t="inlineStr">
        <is>
          <t>avverkningsanmälan</t>
        </is>
      </c>
      <c r="C9432" t="inlineStr">
        <is>
          <t>Föryngringsavverkning</t>
        </is>
      </c>
      <c r="D9432" s="1" t="n">
        <v>45265</v>
      </c>
      <c r="E9432" s="1" t="n">
        <v>46319</v>
      </c>
      <c r="F9432" t="inlineStr">
        <is>
          <t>DALARNAS LÄN</t>
        </is>
      </c>
      <c r="G9432" t="inlineStr">
        <is>
          <t>SÄTER</t>
        </is>
      </c>
      <c r="I9432" t="n">
        <v>0.6</v>
      </c>
      <c r="J9432" t="n">
        <v>0</v>
      </c>
      <c r="K9432" t="n">
        <v>0</v>
      </c>
      <c r="L9432" t="n">
        <v>0</v>
      </c>
      <c r="M9432" t="n">
        <v>0</v>
      </c>
      <c r="N9432" t="n">
        <v>0</v>
      </c>
      <c r="O9432" t="n">
        <v>0</v>
      </c>
      <c r="P9432" t="n">
        <v>0</v>
      </c>
      <c r="Q9432" t="n">
        <v>0</v>
      </c>
      <c r="R9432" t="n">
        <v>0</v>
      </c>
      <c r="S9432" t="n">
        <v>0</v>
      </c>
      <c r="T9432" t="n">
        <v>0</v>
      </c>
      <c r="U9432" t="n">
        <v>0</v>
      </c>
      <c r="V9432" s="2" t="inlineStr"/>
    </row>
    <row r="9433" ht="15" customHeight="1">
      <c r="A9433" t="inlineStr">
        <is>
          <t>A 61309-2022</t>
        </is>
      </c>
      <c r="B9433" t="inlineStr">
        <is>
          <t>avverkningsanmälan</t>
        </is>
      </c>
      <c r="C9433" t="inlineStr">
        <is>
          <t>Föryngringsavverkning</t>
        </is>
      </c>
      <c r="D9433" s="1" t="n">
        <v>44915</v>
      </c>
      <c r="E9433" s="1" t="n">
        <v>46319</v>
      </c>
      <c r="F9433" t="inlineStr">
        <is>
          <t>DALARNAS LÄN</t>
        </is>
      </c>
      <c r="G9433" t="inlineStr">
        <is>
          <t>LUDVIKA</t>
        </is>
      </c>
      <c r="H9433" t="inlineStr">
        <is>
          <t>Bergvik skog väst AB</t>
        </is>
      </c>
      <c r="I9433" t="n">
        <v>2.3</v>
      </c>
      <c r="J9433" t="n">
        <v>0</v>
      </c>
      <c r="K9433" t="n">
        <v>0</v>
      </c>
      <c r="L9433" t="n">
        <v>0</v>
      </c>
      <c r="M9433" t="n">
        <v>0</v>
      </c>
      <c r="N9433" t="n">
        <v>0</v>
      </c>
      <c r="O9433" t="n">
        <v>0</v>
      </c>
      <c r="P9433" t="n">
        <v>0</v>
      </c>
      <c r="Q9433" t="n">
        <v>0</v>
      </c>
      <c r="R9433" t="n">
        <v>0</v>
      </c>
      <c r="S9433" t="n">
        <v>0</v>
      </c>
      <c r="T9433" t="n">
        <v>0</v>
      </c>
      <c r="U9433" t="n">
        <v>0</v>
      </c>
      <c r="V9433" s="2" t="inlineStr"/>
    </row>
    <row r="9434" ht="15" customHeight="1">
      <c r="A9434" t="inlineStr">
        <is>
          <t>A 28487-2024</t>
        </is>
      </c>
      <c r="B9434" t="inlineStr">
        <is>
          <t>avverkningsanmälan</t>
        </is>
      </c>
      <c r="C9434" t="inlineStr">
        <is>
          <t>Föryngringsavverkning</t>
        </is>
      </c>
      <c r="D9434" s="1" t="n">
        <v>45477</v>
      </c>
      <c r="E9434" s="1" t="n">
        <v>46319</v>
      </c>
      <c r="F9434" t="inlineStr">
        <is>
          <t>DALARNAS LÄN</t>
        </is>
      </c>
      <c r="G9434" t="inlineStr">
        <is>
          <t>MORA</t>
        </is>
      </c>
      <c r="I9434" t="n">
        <v>3.1</v>
      </c>
      <c r="J9434" t="n">
        <v>0</v>
      </c>
      <c r="K9434" t="n">
        <v>0</v>
      </c>
      <c r="L9434" t="n">
        <v>0</v>
      </c>
      <c r="M9434" t="n">
        <v>0</v>
      </c>
      <c r="N9434" t="n">
        <v>0</v>
      </c>
      <c r="O9434" t="n">
        <v>0</v>
      </c>
      <c r="P9434" t="n">
        <v>0</v>
      </c>
      <c r="Q9434" t="n">
        <v>0</v>
      </c>
      <c r="R9434" t="n">
        <v>0</v>
      </c>
      <c r="S9434" t="n">
        <v>0</v>
      </c>
      <c r="T9434" t="n">
        <v>0</v>
      </c>
      <c r="U9434" t="n">
        <v>0</v>
      </c>
      <c r="V9434" s="2" t="inlineStr"/>
    </row>
    <row r="9435" ht="15" customHeight="1">
      <c r="A9435" t="inlineStr">
        <is>
          <t>A 8826-2024</t>
        </is>
      </c>
      <c r="B9435" t="inlineStr">
        <is>
          <t>avverkningsanmälan</t>
        </is>
      </c>
      <c r="C9435" t="inlineStr">
        <is>
          <t>Avverkning för annat ändamål</t>
        </is>
      </c>
      <c r="D9435" s="1" t="n">
        <v>45355</v>
      </c>
      <c r="E9435" s="1" t="n">
        <v>46319</v>
      </c>
      <c r="F9435" t="inlineStr">
        <is>
          <t>DALARNAS LÄN</t>
        </is>
      </c>
      <c r="G9435" t="inlineStr">
        <is>
          <t>MALUNG-SÄLEN</t>
        </is>
      </c>
      <c r="I9435" t="n">
        <v>0.5</v>
      </c>
      <c r="J9435" t="n">
        <v>0</v>
      </c>
      <c r="K9435" t="n">
        <v>0</v>
      </c>
      <c r="L9435" t="n">
        <v>0</v>
      </c>
      <c r="M9435" t="n">
        <v>0</v>
      </c>
      <c r="N9435" t="n">
        <v>0</v>
      </c>
      <c r="O9435" t="n">
        <v>0</v>
      </c>
      <c r="P9435" t="n">
        <v>0</v>
      </c>
      <c r="Q9435" t="n">
        <v>0</v>
      </c>
      <c r="R9435" t="n">
        <v>0</v>
      </c>
      <c r="S9435" t="n">
        <v>0</v>
      </c>
      <c r="T9435" t="n">
        <v>0</v>
      </c>
      <c r="U9435" t="n">
        <v>0</v>
      </c>
      <c r="V9435" s="2" t="inlineStr"/>
    </row>
    <row r="9436" ht="15" customHeight="1">
      <c r="A9436" t="inlineStr">
        <is>
          <t>A 22349-2024</t>
        </is>
      </c>
      <c r="B9436" t="inlineStr">
        <is>
          <t>avverkningsanmälan</t>
        </is>
      </c>
      <c r="C9436" t="inlineStr">
        <is>
          <t>Föryngringsavverkning</t>
        </is>
      </c>
      <c r="D9436" s="1" t="n">
        <v>45446</v>
      </c>
      <c r="E9436" s="1" t="n">
        <v>46319</v>
      </c>
      <c r="F9436" t="inlineStr">
        <is>
          <t>DALARNAS LÄN</t>
        </is>
      </c>
      <c r="G9436" t="inlineStr">
        <is>
          <t>LEKSAND</t>
        </is>
      </c>
      <c r="I9436" t="n">
        <v>0.6</v>
      </c>
      <c r="J9436" t="n">
        <v>0</v>
      </c>
      <c r="K9436" t="n">
        <v>0</v>
      </c>
      <c r="L9436" t="n">
        <v>0</v>
      </c>
      <c r="M9436" t="n">
        <v>0</v>
      </c>
      <c r="N9436" t="n">
        <v>0</v>
      </c>
      <c r="O9436" t="n">
        <v>0</v>
      </c>
      <c r="P9436" t="n">
        <v>0</v>
      </c>
      <c r="Q9436" t="n">
        <v>0</v>
      </c>
      <c r="R9436" t="n">
        <v>0</v>
      </c>
      <c r="S9436" t="n">
        <v>0</v>
      </c>
      <c r="T9436" t="n">
        <v>0</v>
      </c>
      <c r="U9436" t="n">
        <v>0</v>
      </c>
      <c r="V9436" s="2" t="inlineStr"/>
    </row>
    <row r="9437" ht="15" customHeight="1">
      <c r="A9437" t="inlineStr">
        <is>
          <t>A 11617-2024</t>
        </is>
      </c>
      <c r="B9437" t="inlineStr">
        <is>
          <t>avverkningsanmälan</t>
        </is>
      </c>
      <c r="C9437" t="inlineStr">
        <is>
          <t>Föryngringsavverkning</t>
        </is>
      </c>
      <c r="D9437" s="1" t="n">
        <v>45373</v>
      </c>
      <c r="E9437" s="1" t="n">
        <v>46319</v>
      </c>
      <c r="F9437" t="inlineStr">
        <is>
          <t>DALARNAS LÄN</t>
        </is>
      </c>
      <c r="G9437" t="inlineStr">
        <is>
          <t>LEKSAND</t>
        </is>
      </c>
      <c r="I9437" t="n">
        <v>1.9</v>
      </c>
      <c r="J9437" t="n">
        <v>0</v>
      </c>
      <c r="K9437" t="n">
        <v>0</v>
      </c>
      <c r="L9437" t="n">
        <v>0</v>
      </c>
      <c r="M9437" t="n">
        <v>0</v>
      </c>
      <c r="N9437" t="n">
        <v>0</v>
      </c>
      <c r="O9437" t="n">
        <v>0</v>
      </c>
      <c r="P9437" t="n">
        <v>0</v>
      </c>
      <c r="Q9437" t="n">
        <v>0</v>
      </c>
      <c r="R9437" t="n">
        <v>0</v>
      </c>
      <c r="S9437" t="n">
        <v>0</v>
      </c>
      <c r="T9437" t="n">
        <v>0</v>
      </c>
      <c r="U9437" t="n">
        <v>0</v>
      </c>
      <c r="V9437" s="2" t="inlineStr"/>
    </row>
    <row r="9438" ht="15" customHeight="1">
      <c r="A9438" t="inlineStr">
        <is>
          <t>A 9672-2024</t>
        </is>
      </c>
      <c r="B9438" t="inlineStr">
        <is>
          <t>avverkningsanmälan</t>
        </is>
      </c>
      <c r="C9438" t="inlineStr">
        <is>
          <t>Föryngringsavverkning</t>
        </is>
      </c>
      <c r="D9438" s="1" t="n">
        <v>45362</v>
      </c>
      <c r="E9438" s="1" t="n">
        <v>46319</v>
      </c>
      <c r="F9438" t="inlineStr">
        <is>
          <t>DALARNAS LÄN</t>
        </is>
      </c>
      <c r="G9438" t="inlineStr">
        <is>
          <t>RÄTTVIK</t>
        </is>
      </c>
      <c r="I9438" t="n">
        <v>3</v>
      </c>
      <c r="J9438" t="n">
        <v>0</v>
      </c>
      <c r="K9438" t="n">
        <v>0</v>
      </c>
      <c r="L9438" t="n">
        <v>0</v>
      </c>
      <c r="M9438" t="n">
        <v>0</v>
      </c>
      <c r="N9438" t="n">
        <v>0</v>
      </c>
      <c r="O9438" t="n">
        <v>0</v>
      </c>
      <c r="P9438" t="n">
        <v>0</v>
      </c>
      <c r="Q9438" t="n">
        <v>0</v>
      </c>
      <c r="R9438" t="n">
        <v>0</v>
      </c>
      <c r="S9438" t="n">
        <v>0</v>
      </c>
      <c r="T9438" t="n">
        <v>0</v>
      </c>
      <c r="U9438" t="n">
        <v>0</v>
      </c>
      <c r="V9438" s="2" t="inlineStr"/>
    </row>
    <row r="9439" ht="15" customHeight="1">
      <c r="A9439" t="inlineStr">
        <is>
          <t>A 59875-2022</t>
        </is>
      </c>
      <c r="B9439" t="inlineStr">
        <is>
          <t>avverkningsanmälan</t>
        </is>
      </c>
      <c r="C9439" t="inlineStr">
        <is>
          <t>Föryngringsavverkning</t>
        </is>
      </c>
      <c r="D9439" s="1" t="n">
        <v>44908</v>
      </c>
      <c r="E9439" s="1" t="n">
        <v>46319</v>
      </c>
      <c r="F9439" t="inlineStr">
        <is>
          <t>DALARNAS LÄN</t>
        </is>
      </c>
      <c r="G9439" t="inlineStr">
        <is>
          <t>MALUNG-SÄLEN</t>
        </is>
      </c>
      <c r="H9439" t="inlineStr">
        <is>
          <t>Kommuner</t>
        </is>
      </c>
      <c r="I9439" t="n">
        <v>17.8</v>
      </c>
      <c r="J9439" t="n">
        <v>0</v>
      </c>
      <c r="K9439" t="n">
        <v>0</v>
      </c>
      <c r="L9439" t="n">
        <v>0</v>
      </c>
      <c r="M9439" t="n">
        <v>0</v>
      </c>
      <c r="N9439" t="n">
        <v>0</v>
      </c>
      <c r="O9439" t="n">
        <v>0</v>
      </c>
      <c r="P9439" t="n">
        <v>0</v>
      </c>
      <c r="Q9439" t="n">
        <v>0</v>
      </c>
      <c r="R9439" t="n">
        <v>0</v>
      </c>
      <c r="S9439" t="n">
        <v>0</v>
      </c>
      <c r="T9439" t="n">
        <v>0</v>
      </c>
      <c r="U9439" t="n">
        <v>0</v>
      </c>
      <c r="V9439" s="2" t="inlineStr"/>
    </row>
    <row r="9440" ht="15" customHeight="1">
      <c r="A9440" t="inlineStr">
        <is>
          <t>A 55078-2022</t>
        </is>
      </c>
      <c r="B9440" t="inlineStr">
        <is>
          <t>avverkningsanmälan</t>
        </is>
      </c>
      <c r="C9440" t="inlineStr">
        <is>
          <t>Avverkning för annat ändamål</t>
        </is>
      </c>
      <c r="D9440" s="1" t="n">
        <v>44886</v>
      </c>
      <c r="E9440" s="1" t="n">
        <v>46319</v>
      </c>
      <c r="F9440" t="inlineStr">
        <is>
          <t>DALARNAS LÄN</t>
        </is>
      </c>
      <c r="G9440" t="inlineStr">
        <is>
          <t>VANSBRO</t>
        </is>
      </c>
      <c r="I9440" t="n">
        <v>0.3</v>
      </c>
      <c r="J9440" t="n">
        <v>0</v>
      </c>
      <c r="K9440" t="n">
        <v>0</v>
      </c>
      <c r="L9440" t="n">
        <v>0</v>
      </c>
      <c r="M9440" t="n">
        <v>0</v>
      </c>
      <c r="N9440" t="n">
        <v>0</v>
      </c>
      <c r="O9440" t="n">
        <v>0</v>
      </c>
      <c r="P9440" t="n">
        <v>0</v>
      </c>
      <c r="Q9440" t="n">
        <v>0</v>
      </c>
      <c r="R9440" t="n">
        <v>0</v>
      </c>
      <c r="S9440" t="n">
        <v>0</v>
      </c>
      <c r="T9440" t="n">
        <v>0</v>
      </c>
      <c r="U9440" t="n">
        <v>0</v>
      </c>
      <c r="V9440" s="2" t="inlineStr"/>
    </row>
    <row r="9441" ht="15" customHeight="1">
      <c r="A9441" t="inlineStr">
        <is>
          <t>A 48728-2022</t>
        </is>
      </c>
      <c r="B9441" t="inlineStr">
        <is>
          <t>avverkningsanmälan</t>
        </is>
      </c>
      <c r="C9441" t="inlineStr">
        <is>
          <t>Föryngringsavverkning</t>
        </is>
      </c>
      <c r="D9441" s="1" t="n">
        <v>44859</v>
      </c>
      <c r="E9441" s="1" t="n">
        <v>46319</v>
      </c>
      <c r="F9441" t="inlineStr">
        <is>
          <t>DALARNAS LÄN</t>
        </is>
      </c>
      <c r="G9441" t="inlineStr">
        <is>
          <t>MORA</t>
        </is>
      </c>
      <c r="I9441" t="n">
        <v>0.6</v>
      </c>
      <c r="J9441" t="n">
        <v>0</v>
      </c>
      <c r="K9441" t="n">
        <v>0</v>
      </c>
      <c r="L9441" t="n">
        <v>0</v>
      </c>
      <c r="M9441" t="n">
        <v>0</v>
      </c>
      <c r="N9441" t="n">
        <v>0</v>
      </c>
      <c r="O9441" t="n">
        <v>0</v>
      </c>
      <c r="P9441" t="n">
        <v>0</v>
      </c>
      <c r="Q9441" t="n">
        <v>0</v>
      </c>
      <c r="R9441" t="n">
        <v>0</v>
      </c>
      <c r="S9441" t="n">
        <v>0</v>
      </c>
      <c r="T9441" t="n">
        <v>0</v>
      </c>
      <c r="U9441" t="n">
        <v>0</v>
      </c>
      <c r="V9441" s="2" t="inlineStr"/>
    </row>
    <row r="9442" ht="15" customHeight="1">
      <c r="A9442" t="inlineStr">
        <is>
          <t>A 48740-2022</t>
        </is>
      </c>
      <c r="B9442" t="inlineStr">
        <is>
          <t>avverkningsanmälan</t>
        </is>
      </c>
      <c r="C9442" t="inlineStr">
        <is>
          <t>Avverkning för annat ändamål</t>
        </is>
      </c>
      <c r="D9442" s="1" t="n">
        <v>44859</v>
      </c>
      <c r="E9442" s="1" t="n">
        <v>46319</v>
      </c>
      <c r="F9442" t="inlineStr">
        <is>
          <t>DALARNAS LÄN</t>
        </is>
      </c>
      <c r="G9442" t="inlineStr">
        <is>
          <t>LUDVIKA</t>
        </is>
      </c>
      <c r="H9442" t="inlineStr">
        <is>
          <t>Bergvik skog väst AB</t>
        </is>
      </c>
      <c r="I9442" t="n">
        <v>0.3</v>
      </c>
      <c r="J9442" t="n">
        <v>0</v>
      </c>
      <c r="K9442" t="n">
        <v>0</v>
      </c>
      <c r="L9442" t="n">
        <v>0</v>
      </c>
      <c r="M9442" t="n">
        <v>0</v>
      </c>
      <c r="N9442" t="n">
        <v>0</v>
      </c>
      <c r="O9442" t="n">
        <v>0</v>
      </c>
      <c r="P9442" t="n">
        <v>0</v>
      </c>
      <c r="Q9442" t="n">
        <v>0</v>
      </c>
      <c r="R9442" t="n">
        <v>0</v>
      </c>
      <c r="S9442" t="n">
        <v>0</v>
      </c>
      <c r="T9442" t="n">
        <v>0</v>
      </c>
      <c r="U9442" t="n">
        <v>0</v>
      </c>
      <c r="V9442" s="2" t="inlineStr"/>
    </row>
    <row r="9443" ht="15" customHeight="1">
      <c r="A9443" t="inlineStr">
        <is>
          <t>A 60408-2021</t>
        </is>
      </c>
      <c r="B9443" t="inlineStr">
        <is>
          <t>avverkningsanmälan</t>
        </is>
      </c>
      <c r="C9443" t="inlineStr">
        <is>
          <t>Föryngringsavverkning</t>
        </is>
      </c>
      <c r="D9443" s="1" t="n">
        <v>44495</v>
      </c>
      <c r="E9443" s="1" t="n">
        <v>46319</v>
      </c>
      <c r="F9443" t="inlineStr">
        <is>
          <t>DALARNAS LÄN</t>
        </is>
      </c>
      <c r="G9443" t="inlineStr">
        <is>
          <t>HEDEMORA</t>
        </is>
      </c>
      <c r="I9443" t="n">
        <v>0.7</v>
      </c>
      <c r="J9443" t="n">
        <v>0</v>
      </c>
      <c r="K9443" t="n">
        <v>0</v>
      </c>
      <c r="L9443" t="n">
        <v>0</v>
      </c>
      <c r="M9443" t="n">
        <v>0</v>
      </c>
      <c r="N9443" t="n">
        <v>0</v>
      </c>
      <c r="O9443" t="n">
        <v>0</v>
      </c>
      <c r="P9443" t="n">
        <v>0</v>
      </c>
      <c r="Q9443" t="n">
        <v>0</v>
      </c>
      <c r="R9443" t="n">
        <v>0</v>
      </c>
      <c r="S9443" t="n">
        <v>0</v>
      </c>
      <c r="T9443" t="n">
        <v>0</v>
      </c>
      <c r="U9443" t="n">
        <v>0</v>
      </c>
      <c r="V9443" s="2" t="inlineStr"/>
    </row>
    <row r="9444" ht="15" customHeight="1">
      <c r="A9444" t="inlineStr">
        <is>
          <t>A 61953-2023</t>
        </is>
      </c>
      <c r="B9444" t="inlineStr">
        <is>
          <t>avverkningsanmälan</t>
        </is>
      </c>
      <c r="C9444" t="inlineStr">
        <is>
          <t>Föryngringsavverkning</t>
        </is>
      </c>
      <c r="D9444" s="1" t="n">
        <v>45266</v>
      </c>
      <c r="E9444" s="1" t="n">
        <v>46319</v>
      </c>
      <c r="F9444" t="inlineStr">
        <is>
          <t>DALARNAS LÄN</t>
        </is>
      </c>
      <c r="G9444" t="inlineStr">
        <is>
          <t>LEKSAND</t>
        </is>
      </c>
      <c r="I9444" t="n">
        <v>0.1</v>
      </c>
      <c r="J9444" t="n">
        <v>0</v>
      </c>
      <c r="K9444" t="n">
        <v>0</v>
      </c>
      <c r="L9444" t="n">
        <v>0</v>
      </c>
      <c r="M9444" t="n">
        <v>0</v>
      </c>
      <c r="N9444" t="n">
        <v>0</v>
      </c>
      <c r="O9444" t="n">
        <v>0</v>
      </c>
      <c r="P9444" t="n">
        <v>0</v>
      </c>
      <c r="Q9444" t="n">
        <v>0</v>
      </c>
      <c r="R9444" t="n">
        <v>0</v>
      </c>
      <c r="S9444" t="n">
        <v>0</v>
      </c>
      <c r="T9444" t="n">
        <v>0</v>
      </c>
      <c r="U9444" t="n">
        <v>0</v>
      </c>
      <c r="V9444" s="2" t="inlineStr"/>
    </row>
    <row r="9445" ht="15" customHeight="1">
      <c r="A9445" t="inlineStr">
        <is>
          <t>A 62401-2023</t>
        </is>
      </c>
      <c r="B9445" t="inlineStr">
        <is>
          <t>avverkningsanmälan</t>
        </is>
      </c>
      <c r="C9445" t="inlineStr">
        <is>
          <t>Föryngringsavverkning</t>
        </is>
      </c>
      <c r="D9445" s="1" t="n">
        <v>45268</v>
      </c>
      <c r="E9445" s="1" t="n">
        <v>46319</v>
      </c>
      <c r="F9445" t="inlineStr">
        <is>
          <t>DALARNAS LÄN</t>
        </is>
      </c>
      <c r="G9445" t="inlineStr">
        <is>
          <t>HEDEMORA</t>
        </is>
      </c>
      <c r="I9445" t="n">
        <v>1.6</v>
      </c>
      <c r="J9445" t="n">
        <v>0</v>
      </c>
      <c r="K9445" t="n">
        <v>0</v>
      </c>
      <c r="L9445" t="n">
        <v>0</v>
      </c>
      <c r="M9445" t="n">
        <v>0</v>
      </c>
      <c r="N9445" t="n">
        <v>0</v>
      </c>
      <c r="O9445" t="n">
        <v>0</v>
      </c>
      <c r="P9445" t="n">
        <v>0</v>
      </c>
      <c r="Q9445" t="n">
        <v>0</v>
      </c>
      <c r="R9445" t="n">
        <v>0</v>
      </c>
      <c r="S9445" t="n">
        <v>0</v>
      </c>
      <c r="T9445" t="n">
        <v>0</v>
      </c>
      <c r="U9445" t="n">
        <v>0</v>
      </c>
      <c r="V9445" s="2" t="inlineStr"/>
    </row>
    <row r="9446" ht="15" customHeight="1">
      <c r="A9446" t="inlineStr">
        <is>
          <t>A 3543-2023</t>
        </is>
      </c>
      <c r="B9446" t="inlineStr">
        <is>
          <t>avverkningsanmälan</t>
        </is>
      </c>
      <c r="C9446" t="inlineStr">
        <is>
          <t>Föryngringsavverkning</t>
        </is>
      </c>
      <c r="D9446" s="1" t="n">
        <v>44950</v>
      </c>
      <c r="E9446" s="1" t="n">
        <v>46319</v>
      </c>
      <c r="F9446" t="inlineStr">
        <is>
          <t>DALARNAS LÄN</t>
        </is>
      </c>
      <c r="G9446" t="inlineStr">
        <is>
          <t>MALUNG-SÄLEN</t>
        </is>
      </c>
      <c r="I9446" t="n">
        <v>2.9</v>
      </c>
      <c r="J9446" t="n">
        <v>0</v>
      </c>
      <c r="K9446" t="n">
        <v>0</v>
      </c>
      <c r="L9446" t="n">
        <v>0</v>
      </c>
      <c r="M9446" t="n">
        <v>0</v>
      </c>
      <c r="N9446" t="n">
        <v>0</v>
      </c>
      <c r="O9446" t="n">
        <v>0</v>
      </c>
      <c r="P9446" t="n">
        <v>0</v>
      </c>
      <c r="Q9446" t="n">
        <v>0</v>
      </c>
      <c r="R9446" t="n">
        <v>0</v>
      </c>
      <c r="S9446" t="n">
        <v>0</v>
      </c>
      <c r="T9446" t="n">
        <v>0</v>
      </c>
      <c r="U9446" t="n">
        <v>0</v>
      </c>
      <c r="V9446" s="2" t="inlineStr"/>
    </row>
    <row r="9447" ht="15" customHeight="1">
      <c r="A9447" t="inlineStr">
        <is>
          <t>A 3583-2023</t>
        </is>
      </c>
      <c r="B9447" t="inlineStr">
        <is>
          <t>avverkningsanmälan</t>
        </is>
      </c>
      <c r="C9447" t="inlineStr">
        <is>
          <t>Föryngringsavverkning</t>
        </is>
      </c>
      <c r="D9447" s="1" t="n">
        <v>44950</v>
      </c>
      <c r="E9447" s="1" t="n">
        <v>46319</v>
      </c>
      <c r="F9447" t="inlineStr">
        <is>
          <t>DALARNAS LÄN</t>
        </is>
      </c>
      <c r="G9447" t="inlineStr">
        <is>
          <t>MALUNG-SÄLEN</t>
        </is>
      </c>
      <c r="I9447" t="n">
        <v>4</v>
      </c>
      <c r="J9447" t="n">
        <v>0</v>
      </c>
      <c r="K9447" t="n">
        <v>0</v>
      </c>
      <c r="L9447" t="n">
        <v>0</v>
      </c>
      <c r="M9447" t="n">
        <v>0</v>
      </c>
      <c r="N9447" t="n">
        <v>0</v>
      </c>
      <c r="O9447" t="n">
        <v>0</v>
      </c>
      <c r="P9447" t="n">
        <v>0</v>
      </c>
      <c r="Q9447" t="n">
        <v>0</v>
      </c>
      <c r="R9447" t="n">
        <v>0</v>
      </c>
      <c r="S9447" t="n">
        <v>0</v>
      </c>
      <c r="T9447" t="n">
        <v>0</v>
      </c>
      <c r="U9447" t="n">
        <v>0</v>
      </c>
      <c r="V9447" s="2" t="inlineStr"/>
    </row>
    <row r="9448" ht="15" customHeight="1">
      <c r="A9448" t="inlineStr">
        <is>
          <t>A 58619-2022</t>
        </is>
      </c>
      <c r="B9448" t="inlineStr">
        <is>
          <t>avverkningsanmälan</t>
        </is>
      </c>
      <c r="C9448" t="inlineStr">
        <is>
          <t>Föryngringsavverkning</t>
        </is>
      </c>
      <c r="D9448" s="1" t="n">
        <v>44902</v>
      </c>
      <c r="E9448" s="1" t="n">
        <v>46319</v>
      </c>
      <c r="F9448" t="inlineStr">
        <is>
          <t>DALARNAS LÄN</t>
        </is>
      </c>
      <c r="G9448" t="inlineStr">
        <is>
          <t>LEKSAND</t>
        </is>
      </c>
      <c r="I9448" t="n">
        <v>0.9</v>
      </c>
      <c r="J9448" t="n">
        <v>0</v>
      </c>
      <c r="K9448" t="n">
        <v>0</v>
      </c>
      <c r="L9448" t="n">
        <v>0</v>
      </c>
      <c r="M9448" t="n">
        <v>0</v>
      </c>
      <c r="N9448" t="n">
        <v>0</v>
      </c>
      <c r="O9448" t="n">
        <v>0</v>
      </c>
      <c r="P9448" t="n">
        <v>0</v>
      </c>
      <c r="Q9448" t="n">
        <v>0</v>
      </c>
      <c r="R9448" t="n">
        <v>0</v>
      </c>
      <c r="S9448" t="n">
        <v>0</v>
      </c>
      <c r="T9448" t="n">
        <v>0</v>
      </c>
      <c r="U9448" t="n">
        <v>0</v>
      </c>
      <c r="V9448" s="2" t="inlineStr"/>
    </row>
    <row r="9449" ht="15" customHeight="1">
      <c r="A9449" t="inlineStr">
        <is>
          <t>A 29844-2022</t>
        </is>
      </c>
      <c r="B9449" t="inlineStr">
        <is>
          <t>avverkningsanmälan</t>
        </is>
      </c>
      <c r="C9449" t="inlineStr">
        <is>
          <t>Föryngringsavverkning</t>
        </is>
      </c>
      <c r="D9449" s="1" t="n">
        <v>44755</v>
      </c>
      <c r="E9449" s="1" t="n">
        <v>46319</v>
      </c>
      <c r="F9449" t="inlineStr">
        <is>
          <t>DALARNAS LÄN</t>
        </is>
      </c>
      <c r="G9449" t="inlineStr">
        <is>
          <t>FALUN</t>
        </is>
      </c>
      <c r="I9449" t="n">
        <v>1.9</v>
      </c>
      <c r="J9449" t="n">
        <v>0</v>
      </c>
      <c r="K9449" t="n">
        <v>0</v>
      </c>
      <c r="L9449" t="n">
        <v>0</v>
      </c>
      <c r="M9449" t="n">
        <v>0</v>
      </c>
      <c r="N9449" t="n">
        <v>0</v>
      </c>
      <c r="O9449" t="n">
        <v>0</v>
      </c>
      <c r="P9449" t="n">
        <v>0</v>
      </c>
      <c r="Q9449" t="n">
        <v>0</v>
      </c>
      <c r="R9449" t="n">
        <v>0</v>
      </c>
      <c r="S9449" t="n">
        <v>0</v>
      </c>
      <c r="T9449" t="n">
        <v>0</v>
      </c>
      <c r="U9449" t="n">
        <v>0</v>
      </c>
      <c r="V9449" s="2" t="inlineStr"/>
    </row>
    <row r="9450" ht="15" customHeight="1">
      <c r="A9450" t="inlineStr">
        <is>
          <t>A 29850-2022</t>
        </is>
      </c>
      <c r="B9450" t="inlineStr">
        <is>
          <t>avverkningsanmälan</t>
        </is>
      </c>
      <c r="C9450" t="inlineStr">
        <is>
          <t>Föryngringsavverkning</t>
        </is>
      </c>
      <c r="D9450" s="1" t="n">
        <v>44755</v>
      </c>
      <c r="E9450" s="1" t="n">
        <v>46319</v>
      </c>
      <c r="F9450" t="inlineStr">
        <is>
          <t>DALARNAS LÄN</t>
        </is>
      </c>
      <c r="G9450" t="inlineStr">
        <is>
          <t>FALUN</t>
        </is>
      </c>
      <c r="I9450" t="n">
        <v>1.9</v>
      </c>
      <c r="J9450" t="n">
        <v>0</v>
      </c>
      <c r="K9450" t="n">
        <v>0</v>
      </c>
      <c r="L9450" t="n">
        <v>0</v>
      </c>
      <c r="M9450" t="n">
        <v>0</v>
      </c>
      <c r="N9450" t="n">
        <v>0</v>
      </c>
      <c r="O9450" t="n">
        <v>0</v>
      </c>
      <c r="P9450" t="n">
        <v>0</v>
      </c>
      <c r="Q9450" t="n">
        <v>0</v>
      </c>
      <c r="R9450" t="n">
        <v>0</v>
      </c>
      <c r="S9450" t="n">
        <v>0</v>
      </c>
      <c r="T9450" t="n">
        <v>0</v>
      </c>
      <c r="U9450" t="n">
        <v>0</v>
      </c>
      <c r="V9450" s="2" t="inlineStr"/>
    </row>
    <row r="9451" ht="15" customHeight="1">
      <c r="A9451" t="inlineStr">
        <is>
          <t>A 52856-2023</t>
        </is>
      </c>
      <c r="B9451" t="inlineStr">
        <is>
          <t>avverkningsanmälan</t>
        </is>
      </c>
      <c r="C9451" t="inlineStr">
        <is>
          <t>Avverkning för annat ändamål</t>
        </is>
      </c>
      <c r="D9451" s="1" t="n">
        <v>45226</v>
      </c>
      <c r="E9451" s="1" t="n">
        <v>46319</v>
      </c>
      <c r="F9451" t="inlineStr">
        <is>
          <t>DALARNAS LÄN</t>
        </is>
      </c>
      <c r="G9451" t="inlineStr">
        <is>
          <t>FALUN</t>
        </is>
      </c>
      <c r="I9451" t="n">
        <v>3</v>
      </c>
      <c r="J9451" t="n">
        <v>0</v>
      </c>
      <c r="K9451" t="n">
        <v>0</v>
      </c>
      <c r="L9451" t="n">
        <v>0</v>
      </c>
      <c r="M9451" t="n">
        <v>0</v>
      </c>
      <c r="N9451" t="n">
        <v>0</v>
      </c>
      <c r="O9451" t="n">
        <v>0</v>
      </c>
      <c r="P9451" t="n">
        <v>0</v>
      </c>
      <c r="Q9451" t="n">
        <v>0</v>
      </c>
      <c r="R9451" t="n">
        <v>0</v>
      </c>
      <c r="S9451" t="n">
        <v>0</v>
      </c>
      <c r="T9451" t="n">
        <v>0</v>
      </c>
      <c r="U9451" t="n">
        <v>0</v>
      </c>
      <c r="V9451" s="2" t="inlineStr"/>
    </row>
    <row r="9452" ht="15" customHeight="1">
      <c r="A9452" t="inlineStr">
        <is>
          <t>A 7617-2024</t>
        </is>
      </c>
      <c r="B9452" t="inlineStr">
        <is>
          <t>avverkningsanmälan</t>
        </is>
      </c>
      <c r="C9452" t="inlineStr">
        <is>
          <t>Föryngringsavverkning</t>
        </is>
      </c>
      <c r="D9452" s="1" t="n">
        <v>45348</v>
      </c>
      <c r="E9452" s="1" t="n">
        <v>46319</v>
      </c>
      <c r="F9452" t="inlineStr">
        <is>
          <t>DALARNAS LÄN</t>
        </is>
      </c>
      <c r="G9452" t="inlineStr">
        <is>
          <t>AVESTA</t>
        </is>
      </c>
      <c r="I9452" t="n">
        <v>1.4</v>
      </c>
      <c r="J9452" t="n">
        <v>0</v>
      </c>
      <c r="K9452" t="n">
        <v>0</v>
      </c>
      <c r="L9452" t="n">
        <v>0</v>
      </c>
      <c r="M9452" t="n">
        <v>0</v>
      </c>
      <c r="N9452" t="n">
        <v>0</v>
      </c>
      <c r="O9452" t="n">
        <v>0</v>
      </c>
      <c r="P9452" t="n">
        <v>0</v>
      </c>
      <c r="Q9452" t="n">
        <v>0</v>
      </c>
      <c r="R9452" t="n">
        <v>0</v>
      </c>
      <c r="S9452" t="n">
        <v>0</v>
      </c>
      <c r="T9452" t="n">
        <v>0</v>
      </c>
      <c r="U9452" t="n">
        <v>0</v>
      </c>
      <c r="V9452" s="2" t="inlineStr"/>
    </row>
    <row r="9453" ht="15" customHeight="1">
      <c r="A9453" t="inlineStr">
        <is>
          <t>A 63007-2023</t>
        </is>
      </c>
      <c r="B9453" t="inlineStr">
        <is>
          <t>avverkningsanmälan</t>
        </is>
      </c>
      <c r="C9453" t="inlineStr">
        <is>
          <t>Föryngringsavverkning</t>
        </is>
      </c>
      <c r="D9453" s="1" t="n">
        <v>45272</v>
      </c>
      <c r="E9453" s="1" t="n">
        <v>46319</v>
      </c>
      <c r="F9453" t="inlineStr">
        <is>
          <t>DALARNAS LÄN</t>
        </is>
      </c>
      <c r="G9453" t="inlineStr">
        <is>
          <t>MALUNG-SÄLEN</t>
        </is>
      </c>
      <c r="I9453" t="n">
        <v>2</v>
      </c>
      <c r="J9453" t="n">
        <v>0</v>
      </c>
      <c r="K9453" t="n">
        <v>0</v>
      </c>
      <c r="L9453" t="n">
        <v>0</v>
      </c>
      <c r="M9453" t="n">
        <v>0</v>
      </c>
      <c r="N9453" t="n">
        <v>0</v>
      </c>
      <c r="O9453" t="n">
        <v>0</v>
      </c>
      <c r="P9453" t="n">
        <v>0</v>
      </c>
      <c r="Q9453" t="n">
        <v>0</v>
      </c>
      <c r="R9453" t="n">
        <v>0</v>
      </c>
      <c r="S9453" t="n">
        <v>0</v>
      </c>
      <c r="T9453" t="n">
        <v>0</v>
      </c>
      <c r="U9453" t="n">
        <v>0</v>
      </c>
      <c r="V9453" s="2" t="inlineStr"/>
    </row>
    <row r="9454" ht="15" customHeight="1">
      <c r="A9454" t="inlineStr">
        <is>
          <t>A 47732-2022</t>
        </is>
      </c>
      <c r="B9454" t="inlineStr">
        <is>
          <t>avverkningsanmälan</t>
        </is>
      </c>
      <c r="C9454" t="inlineStr">
        <is>
          <t>Föryngringsavverkning</t>
        </is>
      </c>
      <c r="D9454" s="1" t="n">
        <v>44854</v>
      </c>
      <c r="E9454" s="1" t="n">
        <v>46319</v>
      </c>
      <c r="F9454" t="inlineStr">
        <is>
          <t>DALARNAS LÄN</t>
        </is>
      </c>
      <c r="G9454" t="inlineStr">
        <is>
          <t>ORSA</t>
        </is>
      </c>
      <c r="H9454" t="inlineStr">
        <is>
          <t>Bergvik skog öst AB</t>
        </is>
      </c>
      <c r="I9454" t="n">
        <v>1.7</v>
      </c>
      <c r="J9454" t="n">
        <v>0</v>
      </c>
      <c r="K9454" t="n">
        <v>0</v>
      </c>
      <c r="L9454" t="n">
        <v>0</v>
      </c>
      <c r="M9454" t="n">
        <v>0</v>
      </c>
      <c r="N9454" t="n">
        <v>0</v>
      </c>
      <c r="O9454" t="n">
        <v>0</v>
      </c>
      <c r="P9454" t="n">
        <v>0</v>
      </c>
      <c r="Q9454" t="n">
        <v>0</v>
      </c>
      <c r="R9454" t="n">
        <v>0</v>
      </c>
      <c r="S9454" t="n">
        <v>0</v>
      </c>
      <c r="T9454" t="n">
        <v>0</v>
      </c>
      <c r="U9454" t="n">
        <v>0</v>
      </c>
      <c r="V9454" s="2" t="inlineStr"/>
    </row>
    <row r="9455" ht="15" customHeight="1">
      <c r="A9455" t="inlineStr">
        <is>
          <t>A 63152-2023</t>
        </is>
      </c>
      <c r="B9455" t="inlineStr">
        <is>
          <t>avverkningsanmälan</t>
        </is>
      </c>
      <c r="C9455" t="inlineStr">
        <is>
          <t>Föryngringsavverkning</t>
        </is>
      </c>
      <c r="D9455" s="1" t="n">
        <v>45273</v>
      </c>
      <c r="E9455" s="1" t="n">
        <v>46319</v>
      </c>
      <c r="F9455" t="inlineStr">
        <is>
          <t>DALARNAS LÄN</t>
        </is>
      </c>
      <c r="G9455" t="inlineStr">
        <is>
          <t>SÄTER</t>
        </is>
      </c>
      <c r="I9455" t="n">
        <v>1.1</v>
      </c>
      <c r="J9455" t="n">
        <v>0</v>
      </c>
      <c r="K9455" t="n">
        <v>0</v>
      </c>
      <c r="L9455" t="n">
        <v>0</v>
      </c>
      <c r="M9455" t="n">
        <v>0</v>
      </c>
      <c r="N9455" t="n">
        <v>0</v>
      </c>
      <c r="O9455" t="n">
        <v>0</v>
      </c>
      <c r="P9455" t="n">
        <v>0</v>
      </c>
      <c r="Q9455" t="n">
        <v>0</v>
      </c>
      <c r="R9455" t="n">
        <v>0</v>
      </c>
      <c r="S9455" t="n">
        <v>0</v>
      </c>
      <c r="T9455" t="n">
        <v>0</v>
      </c>
      <c r="U9455" t="n">
        <v>0</v>
      </c>
      <c r="V9455" s="2" t="inlineStr"/>
    </row>
    <row r="9456" ht="15" customHeight="1">
      <c r="A9456" t="inlineStr">
        <is>
          <t>A 61225-2023</t>
        </is>
      </c>
      <c r="B9456" t="inlineStr">
        <is>
          <t>avverkningsanmälan</t>
        </is>
      </c>
      <c r="C9456" t="inlineStr">
        <is>
          <t>Föryngringsavverkning</t>
        </is>
      </c>
      <c r="D9456" s="1" t="n">
        <v>45264</v>
      </c>
      <c r="E9456" s="1" t="n">
        <v>46319</v>
      </c>
      <c r="F9456" t="inlineStr">
        <is>
          <t>DALARNAS LÄN</t>
        </is>
      </c>
      <c r="G9456" t="inlineStr">
        <is>
          <t>LEKSAND</t>
        </is>
      </c>
      <c r="I9456" t="n">
        <v>7</v>
      </c>
      <c r="J9456" t="n">
        <v>0</v>
      </c>
      <c r="K9456" t="n">
        <v>0</v>
      </c>
      <c r="L9456" t="n">
        <v>0</v>
      </c>
      <c r="M9456" t="n">
        <v>0</v>
      </c>
      <c r="N9456" t="n">
        <v>0</v>
      </c>
      <c r="O9456" t="n">
        <v>0</v>
      </c>
      <c r="P9456" t="n">
        <v>0</v>
      </c>
      <c r="Q9456" t="n">
        <v>0</v>
      </c>
      <c r="R9456" t="n">
        <v>0</v>
      </c>
      <c r="S9456" t="n">
        <v>0</v>
      </c>
      <c r="T9456" t="n">
        <v>0</v>
      </c>
      <c r="U9456" t="n">
        <v>0</v>
      </c>
      <c r="V9456" s="2" t="inlineStr"/>
    </row>
    <row r="9457" ht="15" customHeight="1">
      <c r="A9457" t="inlineStr">
        <is>
          <t>A 61252-2023</t>
        </is>
      </c>
      <c r="B9457" t="inlineStr">
        <is>
          <t>avverkningsanmälan</t>
        </is>
      </c>
      <c r="C9457" t="inlineStr">
        <is>
          <t>Föryngringsavverkning</t>
        </is>
      </c>
      <c r="D9457" s="1" t="n">
        <v>45261</v>
      </c>
      <c r="E9457" s="1" t="n">
        <v>46319</v>
      </c>
      <c r="F9457" t="inlineStr">
        <is>
          <t>DALARNAS LÄN</t>
        </is>
      </c>
      <c r="G9457" t="inlineStr">
        <is>
          <t>LEKSAND</t>
        </is>
      </c>
      <c r="I9457" t="n">
        <v>1.9</v>
      </c>
      <c r="J9457" t="n">
        <v>0</v>
      </c>
      <c r="K9457" t="n">
        <v>0</v>
      </c>
      <c r="L9457" t="n">
        <v>0</v>
      </c>
      <c r="M9457" t="n">
        <v>0</v>
      </c>
      <c r="N9457" t="n">
        <v>0</v>
      </c>
      <c r="O9457" t="n">
        <v>0</v>
      </c>
      <c r="P9457" t="n">
        <v>0</v>
      </c>
      <c r="Q9457" t="n">
        <v>0</v>
      </c>
      <c r="R9457" t="n">
        <v>0</v>
      </c>
      <c r="S9457" t="n">
        <v>0</v>
      </c>
      <c r="T9457" t="n">
        <v>0</v>
      </c>
      <c r="U9457" t="n">
        <v>0</v>
      </c>
      <c r="V9457" s="2" t="inlineStr"/>
    </row>
    <row r="9458" ht="15" customHeight="1">
      <c r="A9458" t="inlineStr">
        <is>
          <t>A 5981-2023</t>
        </is>
      </c>
      <c r="B9458" t="inlineStr">
        <is>
          <t>avverkningsanmälan</t>
        </is>
      </c>
      <c r="C9458" t="inlineStr">
        <is>
          <t>Föryngringsavverkning</t>
        </is>
      </c>
      <c r="D9458" s="1" t="n">
        <v>44964</v>
      </c>
      <c r="E9458" s="1" t="n">
        <v>46319</v>
      </c>
      <c r="F9458" t="inlineStr">
        <is>
          <t>DALARNAS LÄN</t>
        </is>
      </c>
      <c r="G9458" t="inlineStr">
        <is>
          <t>SÄTER</t>
        </is>
      </c>
      <c r="I9458" t="n">
        <v>1</v>
      </c>
      <c r="J9458" t="n">
        <v>0</v>
      </c>
      <c r="K9458" t="n">
        <v>0</v>
      </c>
      <c r="L9458" t="n">
        <v>0</v>
      </c>
      <c r="M9458" t="n">
        <v>0</v>
      </c>
      <c r="N9458" t="n">
        <v>0</v>
      </c>
      <c r="O9458" t="n">
        <v>0</v>
      </c>
      <c r="P9458" t="n">
        <v>0</v>
      </c>
      <c r="Q9458" t="n">
        <v>0</v>
      </c>
      <c r="R9458" t="n">
        <v>0</v>
      </c>
      <c r="S9458" t="n">
        <v>0</v>
      </c>
      <c r="T9458" t="n">
        <v>0</v>
      </c>
      <c r="U9458" t="n">
        <v>0</v>
      </c>
      <c r="V9458" s="2" t="inlineStr"/>
    </row>
    <row r="9459" ht="15" customHeight="1">
      <c r="A9459" t="inlineStr">
        <is>
          <t>A 61332-2023</t>
        </is>
      </c>
      <c r="B9459" t="inlineStr">
        <is>
          <t>avverkningsanmälan</t>
        </is>
      </c>
      <c r="C9459" t="inlineStr">
        <is>
          <t>Föryngringsavverkning</t>
        </is>
      </c>
      <c r="D9459" s="1" t="n">
        <v>45264</v>
      </c>
      <c r="E9459" s="1" t="n">
        <v>46319</v>
      </c>
      <c r="F9459" t="inlineStr">
        <is>
          <t>DALARNAS LÄN</t>
        </is>
      </c>
      <c r="G9459" t="inlineStr">
        <is>
          <t>SÄTER</t>
        </is>
      </c>
      <c r="I9459" t="n">
        <v>2.4</v>
      </c>
      <c r="J9459" t="n">
        <v>0</v>
      </c>
      <c r="K9459" t="n">
        <v>0</v>
      </c>
      <c r="L9459" t="n">
        <v>0</v>
      </c>
      <c r="M9459" t="n">
        <v>0</v>
      </c>
      <c r="N9459" t="n">
        <v>0</v>
      </c>
      <c r="O9459" t="n">
        <v>0</v>
      </c>
      <c r="P9459" t="n">
        <v>0</v>
      </c>
      <c r="Q9459" t="n">
        <v>0</v>
      </c>
      <c r="R9459" t="n">
        <v>0</v>
      </c>
      <c r="S9459" t="n">
        <v>0</v>
      </c>
      <c r="T9459" t="n">
        <v>0</v>
      </c>
      <c r="U9459" t="n">
        <v>0</v>
      </c>
      <c r="V9459" s="2" t="inlineStr"/>
    </row>
    <row r="9460" ht="15" customHeight="1">
      <c r="A9460" t="inlineStr">
        <is>
          <t>A 3725-2024</t>
        </is>
      </c>
      <c r="B9460" t="inlineStr">
        <is>
          <t>avverkningsanmälan</t>
        </is>
      </c>
      <c r="C9460" t="inlineStr">
        <is>
          <t>Föryngringsavverkning</t>
        </is>
      </c>
      <c r="D9460" s="1" t="n">
        <v>45321</v>
      </c>
      <c r="E9460" s="1" t="n">
        <v>46319</v>
      </c>
      <c r="F9460" t="inlineStr">
        <is>
          <t>DALARNAS LÄN</t>
        </is>
      </c>
      <c r="G9460" t="inlineStr">
        <is>
          <t>RÄTTVIK</t>
        </is>
      </c>
      <c r="I9460" t="n">
        <v>0.2</v>
      </c>
      <c r="J9460" t="n">
        <v>0</v>
      </c>
      <c r="K9460" t="n">
        <v>0</v>
      </c>
      <c r="L9460" t="n">
        <v>0</v>
      </c>
      <c r="M9460" t="n">
        <v>0</v>
      </c>
      <c r="N9460" t="n">
        <v>0</v>
      </c>
      <c r="O9460" t="n">
        <v>0</v>
      </c>
      <c r="P9460" t="n">
        <v>0</v>
      </c>
      <c r="Q9460" t="n">
        <v>0</v>
      </c>
      <c r="R9460" t="n">
        <v>0</v>
      </c>
      <c r="S9460" t="n">
        <v>0</v>
      </c>
      <c r="T9460" t="n">
        <v>0</v>
      </c>
      <c r="U9460" t="n">
        <v>0</v>
      </c>
      <c r="V9460" s="2" t="inlineStr"/>
    </row>
    <row r="9461" ht="15" customHeight="1">
      <c r="A9461" t="inlineStr">
        <is>
          <t>A 61279-2023</t>
        </is>
      </c>
      <c r="B9461" t="inlineStr">
        <is>
          <t>avverkningsanmälan</t>
        </is>
      </c>
      <c r="C9461" t="inlineStr">
        <is>
          <t>Föryngringsavverkning</t>
        </is>
      </c>
      <c r="D9461" s="1" t="n">
        <v>45264</v>
      </c>
      <c r="E9461" s="1" t="n">
        <v>46319</v>
      </c>
      <c r="F9461" t="inlineStr">
        <is>
          <t>DALARNAS LÄN</t>
        </is>
      </c>
      <c r="G9461" t="inlineStr">
        <is>
          <t>ORSA</t>
        </is>
      </c>
      <c r="I9461" t="n">
        <v>0.2</v>
      </c>
      <c r="J9461" t="n">
        <v>0</v>
      </c>
      <c r="K9461" t="n">
        <v>0</v>
      </c>
      <c r="L9461" t="n">
        <v>0</v>
      </c>
      <c r="M9461" t="n">
        <v>0</v>
      </c>
      <c r="N9461" t="n">
        <v>0</v>
      </c>
      <c r="O9461" t="n">
        <v>0</v>
      </c>
      <c r="P9461" t="n">
        <v>0</v>
      </c>
      <c r="Q9461" t="n">
        <v>0</v>
      </c>
      <c r="R9461" t="n">
        <v>0</v>
      </c>
      <c r="S9461" t="n">
        <v>0</v>
      </c>
      <c r="T9461" t="n">
        <v>0</v>
      </c>
      <c r="U9461" t="n">
        <v>0</v>
      </c>
      <c r="V9461" s="2" t="inlineStr"/>
    </row>
    <row r="9462" ht="15" customHeight="1">
      <c r="A9462" t="inlineStr">
        <is>
          <t>A 4374-2024</t>
        </is>
      </c>
      <c r="B9462" t="inlineStr">
        <is>
          <t>avverkningsanmälan</t>
        </is>
      </c>
      <c r="C9462" t="inlineStr">
        <is>
          <t>Föryngringsavverkning</t>
        </is>
      </c>
      <c r="D9462" s="1" t="n">
        <v>45326</v>
      </c>
      <c r="E9462" s="1" t="n">
        <v>46319</v>
      </c>
      <c r="F9462" t="inlineStr">
        <is>
          <t>DALARNAS LÄN</t>
        </is>
      </c>
      <c r="G9462" t="inlineStr">
        <is>
          <t>GAGNEF</t>
        </is>
      </c>
      <c r="I9462" t="n">
        <v>3.5</v>
      </c>
      <c r="J9462" t="n">
        <v>0</v>
      </c>
      <c r="K9462" t="n">
        <v>0</v>
      </c>
      <c r="L9462" t="n">
        <v>0</v>
      </c>
      <c r="M9462" t="n">
        <v>0</v>
      </c>
      <c r="N9462" t="n">
        <v>0</v>
      </c>
      <c r="O9462" t="n">
        <v>0</v>
      </c>
      <c r="P9462" t="n">
        <v>0</v>
      </c>
      <c r="Q9462" t="n">
        <v>0</v>
      </c>
      <c r="R9462" t="n">
        <v>0</v>
      </c>
      <c r="S9462" t="n">
        <v>0</v>
      </c>
      <c r="T9462" t="n">
        <v>0</v>
      </c>
      <c r="U9462" t="n">
        <v>0</v>
      </c>
      <c r="V9462" s="2" t="inlineStr"/>
    </row>
    <row r="9463" ht="15" customHeight="1">
      <c r="A9463" t="inlineStr">
        <is>
          <t>A 23461-2023</t>
        </is>
      </c>
      <c r="B9463" t="inlineStr">
        <is>
          <t>avverkningsanmälan</t>
        </is>
      </c>
      <c r="C9463" t="inlineStr">
        <is>
          <t>Föryngringsavverkning</t>
        </is>
      </c>
      <c r="D9463" s="1" t="n">
        <v>45076</v>
      </c>
      <c r="E9463" s="1" t="n">
        <v>46319</v>
      </c>
      <c r="F9463" t="inlineStr">
        <is>
          <t>DALARNAS LÄN</t>
        </is>
      </c>
      <c r="G9463" t="inlineStr">
        <is>
          <t>ORSA</t>
        </is>
      </c>
      <c r="I9463" t="n">
        <v>0.5</v>
      </c>
      <c r="J9463" t="n">
        <v>0</v>
      </c>
      <c r="K9463" t="n">
        <v>0</v>
      </c>
      <c r="L9463" t="n">
        <v>0</v>
      </c>
      <c r="M9463" t="n">
        <v>0</v>
      </c>
      <c r="N9463" t="n">
        <v>0</v>
      </c>
      <c r="O9463" t="n">
        <v>0</v>
      </c>
      <c r="P9463" t="n">
        <v>0</v>
      </c>
      <c r="Q9463" t="n">
        <v>0</v>
      </c>
      <c r="R9463" t="n">
        <v>0</v>
      </c>
      <c r="S9463" t="n">
        <v>0</v>
      </c>
      <c r="T9463" t="n">
        <v>0</v>
      </c>
      <c r="U9463" t="n">
        <v>0</v>
      </c>
      <c r="V9463" s="2" t="inlineStr"/>
    </row>
    <row r="9464" ht="15" customHeight="1">
      <c r="A9464" t="inlineStr">
        <is>
          <t>A 23478-2023</t>
        </is>
      </c>
      <c r="B9464" t="inlineStr">
        <is>
          <t>avverkningsanmälan</t>
        </is>
      </c>
      <c r="C9464" t="inlineStr">
        <is>
          <t>Föryngringsavverkning</t>
        </is>
      </c>
      <c r="D9464" s="1" t="n">
        <v>45072</v>
      </c>
      <c r="E9464" s="1" t="n">
        <v>46319</v>
      </c>
      <c r="F9464" t="inlineStr">
        <is>
          <t>DALARNAS LÄN</t>
        </is>
      </c>
      <c r="G9464" t="inlineStr">
        <is>
          <t>RÄTTVIK</t>
        </is>
      </c>
      <c r="H9464" t="inlineStr">
        <is>
          <t>Övriga statliga verk och myndigheter</t>
        </is>
      </c>
      <c r="I9464" t="n">
        <v>0.5</v>
      </c>
      <c r="J9464" t="n">
        <v>0</v>
      </c>
      <c r="K9464" t="n">
        <v>0</v>
      </c>
      <c r="L9464" t="n">
        <v>0</v>
      </c>
      <c r="M9464" t="n">
        <v>0</v>
      </c>
      <c r="N9464" t="n">
        <v>0</v>
      </c>
      <c r="O9464" t="n">
        <v>0</v>
      </c>
      <c r="P9464" t="n">
        <v>0</v>
      </c>
      <c r="Q9464" t="n">
        <v>0</v>
      </c>
      <c r="R9464" t="n">
        <v>0</v>
      </c>
      <c r="S9464" t="n">
        <v>0</v>
      </c>
      <c r="T9464" t="n">
        <v>0</v>
      </c>
      <c r="U9464" t="n">
        <v>0</v>
      </c>
      <c r="V9464" s="2" t="inlineStr"/>
    </row>
    <row r="9465" ht="15" customHeight="1">
      <c r="A9465" t="inlineStr">
        <is>
          <t>A 23479-2023</t>
        </is>
      </c>
      <c r="B9465" t="inlineStr">
        <is>
          <t>avverkningsanmälan</t>
        </is>
      </c>
      <c r="C9465" t="inlineStr">
        <is>
          <t>Föryngringsavverkning</t>
        </is>
      </c>
      <c r="D9465" s="1" t="n">
        <v>45072</v>
      </c>
      <c r="E9465" s="1" t="n">
        <v>46319</v>
      </c>
      <c r="F9465" t="inlineStr">
        <is>
          <t>DALARNAS LÄN</t>
        </is>
      </c>
      <c r="G9465" t="inlineStr">
        <is>
          <t>RÄTTVIK</t>
        </is>
      </c>
      <c r="I9465" t="n">
        <v>3.3</v>
      </c>
      <c r="J9465" t="n">
        <v>0</v>
      </c>
      <c r="K9465" t="n">
        <v>0</v>
      </c>
      <c r="L9465" t="n">
        <v>0</v>
      </c>
      <c r="M9465" t="n">
        <v>0</v>
      </c>
      <c r="N9465" t="n">
        <v>0</v>
      </c>
      <c r="O9465" t="n">
        <v>0</v>
      </c>
      <c r="P9465" t="n">
        <v>0</v>
      </c>
      <c r="Q9465" t="n">
        <v>0</v>
      </c>
      <c r="R9465" t="n">
        <v>0</v>
      </c>
      <c r="S9465" t="n">
        <v>0</v>
      </c>
      <c r="T9465" t="n">
        <v>0</v>
      </c>
      <c r="U9465" t="n">
        <v>0</v>
      </c>
      <c r="V9465" s="2" t="inlineStr"/>
    </row>
    <row r="9466" ht="15" customHeight="1">
      <c r="A9466" t="inlineStr">
        <is>
          <t>A 14617-2024</t>
        </is>
      </c>
      <c r="B9466" t="inlineStr">
        <is>
          <t>avverkningsanmälan</t>
        </is>
      </c>
      <c r="C9466" t="inlineStr">
        <is>
          <t>Föryngringsavverkning</t>
        </is>
      </c>
      <c r="D9466" s="1" t="n">
        <v>45397</v>
      </c>
      <c r="E9466" s="1" t="n">
        <v>46319</v>
      </c>
      <c r="F9466" t="inlineStr">
        <is>
          <t>DALARNAS LÄN</t>
        </is>
      </c>
      <c r="G9466" t="inlineStr">
        <is>
          <t>LEKSAND</t>
        </is>
      </c>
      <c r="I9466" t="n">
        <v>0.2</v>
      </c>
      <c r="J9466" t="n">
        <v>0</v>
      </c>
      <c r="K9466" t="n">
        <v>0</v>
      </c>
      <c r="L9466" t="n">
        <v>0</v>
      </c>
      <c r="M9466" t="n">
        <v>0</v>
      </c>
      <c r="N9466" t="n">
        <v>0</v>
      </c>
      <c r="O9466" t="n">
        <v>0</v>
      </c>
      <c r="P9466" t="n">
        <v>0</v>
      </c>
      <c r="Q9466" t="n">
        <v>0</v>
      </c>
      <c r="R9466" t="n">
        <v>0</v>
      </c>
      <c r="S9466" t="n">
        <v>0</v>
      </c>
      <c r="T9466" t="n">
        <v>0</v>
      </c>
      <c r="U9466" t="n">
        <v>0</v>
      </c>
      <c r="V9466" s="2" t="inlineStr"/>
    </row>
    <row r="9467" ht="15" customHeight="1">
      <c r="A9467" t="inlineStr">
        <is>
          <t>A 8824-2024</t>
        </is>
      </c>
      <c r="B9467" t="inlineStr">
        <is>
          <t>avverkningsanmälan</t>
        </is>
      </c>
      <c r="C9467" t="inlineStr">
        <is>
          <t>Avverkning för annat ändamål</t>
        </is>
      </c>
      <c r="D9467" s="1" t="n">
        <v>45355</v>
      </c>
      <c r="E9467" s="1" t="n">
        <v>46319</v>
      </c>
      <c r="F9467" t="inlineStr">
        <is>
          <t>DALARNAS LÄN</t>
        </is>
      </c>
      <c r="G9467" t="inlineStr">
        <is>
          <t>MALUNG-SÄLEN</t>
        </is>
      </c>
      <c r="H9467" t="inlineStr">
        <is>
          <t>Allmännings- och besparingsskogar</t>
        </is>
      </c>
      <c r="I9467" t="n">
        <v>0.2</v>
      </c>
      <c r="J9467" t="n">
        <v>0</v>
      </c>
      <c r="K9467" t="n">
        <v>0</v>
      </c>
      <c r="L9467" t="n">
        <v>0</v>
      </c>
      <c r="M9467" t="n">
        <v>0</v>
      </c>
      <c r="N9467" t="n">
        <v>0</v>
      </c>
      <c r="O9467" t="n">
        <v>0</v>
      </c>
      <c r="P9467" t="n">
        <v>0</v>
      </c>
      <c r="Q9467" t="n">
        <v>0</v>
      </c>
      <c r="R9467" t="n">
        <v>0</v>
      </c>
      <c r="S9467" t="n">
        <v>0</v>
      </c>
      <c r="T9467" t="n">
        <v>0</v>
      </c>
      <c r="U9467" t="n">
        <v>0</v>
      </c>
      <c r="V9467" s="2" t="inlineStr"/>
    </row>
    <row r="9468" ht="15" customHeight="1">
      <c r="A9468" t="inlineStr">
        <is>
          <t>A 61585-2023</t>
        </is>
      </c>
      <c r="B9468" t="inlineStr">
        <is>
          <t>avverkningsanmälan</t>
        </is>
      </c>
      <c r="C9468" t="inlineStr">
        <is>
          <t>Föryngringsavverkning</t>
        </is>
      </c>
      <c r="D9468" s="1" t="n">
        <v>45265</v>
      </c>
      <c r="E9468" s="1" t="n">
        <v>46319</v>
      </c>
      <c r="F9468" t="inlineStr">
        <is>
          <t>DALARNAS LÄN</t>
        </is>
      </c>
      <c r="G9468" t="inlineStr">
        <is>
          <t>AVESTA</t>
        </is>
      </c>
      <c r="I9468" t="n">
        <v>0.7</v>
      </c>
      <c r="J9468" t="n">
        <v>0</v>
      </c>
      <c r="K9468" t="n">
        <v>0</v>
      </c>
      <c r="L9468" t="n">
        <v>0</v>
      </c>
      <c r="M9468" t="n">
        <v>0</v>
      </c>
      <c r="N9468" t="n">
        <v>0</v>
      </c>
      <c r="O9468" t="n">
        <v>0</v>
      </c>
      <c r="P9468" t="n">
        <v>0</v>
      </c>
      <c r="Q9468" t="n">
        <v>0</v>
      </c>
      <c r="R9468" t="n">
        <v>0</v>
      </c>
      <c r="S9468" t="n">
        <v>0</v>
      </c>
      <c r="T9468" t="n">
        <v>0</v>
      </c>
      <c r="U9468" t="n">
        <v>0</v>
      </c>
      <c r="V9468" s="2" t="inlineStr"/>
    </row>
    <row r="9469" ht="15" customHeight="1">
      <c r="A9469" t="inlineStr">
        <is>
          <t>A 9211-2024</t>
        </is>
      </c>
      <c r="B9469" t="inlineStr">
        <is>
          <t>avverkningsanmälan</t>
        </is>
      </c>
      <c r="C9469" t="inlineStr">
        <is>
          <t>Föryngringsavverkning</t>
        </is>
      </c>
      <c r="D9469" s="1" t="n">
        <v>45358</v>
      </c>
      <c r="E9469" s="1" t="n">
        <v>46319</v>
      </c>
      <c r="F9469" t="inlineStr">
        <is>
          <t>DALARNAS LÄN</t>
        </is>
      </c>
      <c r="G9469" t="inlineStr">
        <is>
          <t>RÄTTVIK</t>
        </is>
      </c>
      <c r="I9469" t="n">
        <v>0.6</v>
      </c>
      <c r="J9469" t="n">
        <v>0</v>
      </c>
      <c r="K9469" t="n">
        <v>0</v>
      </c>
      <c r="L9469" t="n">
        <v>0</v>
      </c>
      <c r="M9469" t="n">
        <v>0</v>
      </c>
      <c r="N9469" t="n">
        <v>0</v>
      </c>
      <c r="O9469" t="n">
        <v>0</v>
      </c>
      <c r="P9469" t="n">
        <v>0</v>
      </c>
      <c r="Q9469" t="n">
        <v>0</v>
      </c>
      <c r="R9469" t="n">
        <v>0</v>
      </c>
      <c r="S9469" t="n">
        <v>0</v>
      </c>
      <c r="T9469" t="n">
        <v>0</v>
      </c>
      <c r="U9469" t="n">
        <v>0</v>
      </c>
      <c r="V9469" s="2" t="inlineStr"/>
    </row>
    <row r="9470" ht="15" customHeight="1">
      <c r="A9470" t="inlineStr">
        <is>
          <t>A 18037-2023</t>
        </is>
      </c>
      <c r="B9470" t="inlineStr">
        <is>
          <t>avverkningsanmälan</t>
        </is>
      </c>
      <c r="C9470" t="inlineStr">
        <is>
          <t>Föryngringsavverkning</t>
        </is>
      </c>
      <c r="D9470" s="1" t="n">
        <v>45040</v>
      </c>
      <c r="E9470" s="1" t="n">
        <v>46319</v>
      </c>
      <c r="F9470" t="inlineStr">
        <is>
          <t>DALARNAS LÄN</t>
        </is>
      </c>
      <c r="G9470" t="inlineStr">
        <is>
          <t>ORSA</t>
        </is>
      </c>
      <c r="I9470" t="n">
        <v>6.6</v>
      </c>
      <c r="J9470" t="n">
        <v>0</v>
      </c>
      <c r="K9470" t="n">
        <v>0</v>
      </c>
      <c r="L9470" t="n">
        <v>0</v>
      </c>
      <c r="M9470" t="n">
        <v>0</v>
      </c>
      <c r="N9470" t="n">
        <v>0</v>
      </c>
      <c r="O9470" t="n">
        <v>0</v>
      </c>
      <c r="P9470" t="n">
        <v>0</v>
      </c>
      <c r="Q9470" t="n">
        <v>0</v>
      </c>
      <c r="R9470" t="n">
        <v>0</v>
      </c>
      <c r="S9470" t="n">
        <v>0</v>
      </c>
      <c r="T9470" t="n">
        <v>0</v>
      </c>
      <c r="U9470" t="n">
        <v>0</v>
      </c>
      <c r="V9470" s="2" t="inlineStr"/>
    </row>
    <row r="9471" ht="15" customHeight="1">
      <c r="A9471" t="inlineStr">
        <is>
          <t>A 63383-2023</t>
        </is>
      </c>
      <c r="B9471" t="inlineStr">
        <is>
          <t>avverkningsanmälan</t>
        </is>
      </c>
      <c r="C9471" t="inlineStr">
        <is>
          <t>Föryngringsavverkning</t>
        </is>
      </c>
      <c r="D9471" s="1" t="n">
        <v>45274</v>
      </c>
      <c r="E9471" s="1" t="n">
        <v>46319</v>
      </c>
      <c r="F9471" t="inlineStr">
        <is>
          <t>DALARNAS LÄN</t>
        </is>
      </c>
      <c r="G9471" t="inlineStr">
        <is>
          <t>FALUN</t>
        </is>
      </c>
      <c r="I9471" t="n">
        <v>0.4</v>
      </c>
      <c r="J9471" t="n">
        <v>0</v>
      </c>
      <c r="K9471" t="n">
        <v>0</v>
      </c>
      <c r="L9471" t="n">
        <v>0</v>
      </c>
      <c r="M9471" t="n">
        <v>0</v>
      </c>
      <c r="N9471" t="n">
        <v>0</v>
      </c>
      <c r="O9471" t="n">
        <v>0</v>
      </c>
      <c r="P9471" t="n">
        <v>0</v>
      </c>
      <c r="Q9471" t="n">
        <v>0</v>
      </c>
      <c r="R9471" t="n">
        <v>0</v>
      </c>
      <c r="S9471" t="n">
        <v>0</v>
      </c>
      <c r="T9471" t="n">
        <v>0</v>
      </c>
      <c r="U9471" t="n">
        <v>0</v>
      </c>
      <c r="V9471" s="2" t="inlineStr"/>
    </row>
    <row r="9472" ht="15" customHeight="1">
      <c r="A9472" t="inlineStr">
        <is>
          <t>A 29508-2024</t>
        </is>
      </c>
      <c r="B9472" t="inlineStr">
        <is>
          <t>avverkningsanmälan</t>
        </is>
      </c>
      <c r="C9472" t="inlineStr">
        <is>
          <t>Föryngringsavverkning</t>
        </is>
      </c>
      <c r="D9472" s="1" t="n">
        <v>45484</v>
      </c>
      <c r="E9472" s="1" t="n">
        <v>46319</v>
      </c>
      <c r="F9472" t="inlineStr">
        <is>
          <t>DALARNAS LÄN</t>
        </is>
      </c>
      <c r="G9472" t="inlineStr">
        <is>
          <t>FALUN</t>
        </is>
      </c>
      <c r="I9472" t="n">
        <v>0.5</v>
      </c>
      <c r="J9472" t="n">
        <v>0</v>
      </c>
      <c r="K9472" t="n">
        <v>0</v>
      </c>
      <c r="L9472" t="n">
        <v>0</v>
      </c>
      <c r="M9472" t="n">
        <v>0</v>
      </c>
      <c r="N9472" t="n">
        <v>0</v>
      </c>
      <c r="O9472" t="n">
        <v>0</v>
      </c>
      <c r="P9472" t="n">
        <v>0</v>
      </c>
      <c r="Q9472" t="n">
        <v>0</v>
      </c>
      <c r="R9472" t="n">
        <v>0</v>
      </c>
      <c r="S9472" t="n">
        <v>0</v>
      </c>
      <c r="T9472" t="n">
        <v>0</v>
      </c>
      <c r="U9472" t="n">
        <v>0</v>
      </c>
      <c r="V9472" s="2" t="inlineStr"/>
    </row>
    <row r="9473" ht="15" customHeight="1">
      <c r="A9473" t="inlineStr">
        <is>
          <t>A 46141-2022</t>
        </is>
      </c>
      <c r="B9473" t="inlineStr">
        <is>
          <t>avverkningsanmälan</t>
        </is>
      </c>
      <c r="C9473" t="inlineStr">
        <is>
          <t>Föryngringsavverkning</t>
        </is>
      </c>
      <c r="D9473" s="1" t="n">
        <v>44846</v>
      </c>
      <c r="E9473" s="1" t="n">
        <v>46319</v>
      </c>
      <c r="F9473" t="inlineStr">
        <is>
          <t>DALARNAS LÄN</t>
        </is>
      </c>
      <c r="G9473" t="inlineStr">
        <is>
          <t>LEKSAND</t>
        </is>
      </c>
      <c r="I9473" t="n">
        <v>2.8</v>
      </c>
      <c r="J9473" t="n">
        <v>0</v>
      </c>
      <c r="K9473" t="n">
        <v>0</v>
      </c>
      <c r="L9473" t="n">
        <v>0</v>
      </c>
      <c r="M9473" t="n">
        <v>0</v>
      </c>
      <c r="N9473" t="n">
        <v>0</v>
      </c>
      <c r="O9473" t="n">
        <v>0</v>
      </c>
      <c r="P9473" t="n">
        <v>0</v>
      </c>
      <c r="Q9473" t="n">
        <v>0</v>
      </c>
      <c r="R9473" t="n">
        <v>0</v>
      </c>
      <c r="S9473" t="n">
        <v>0</v>
      </c>
      <c r="T9473" t="n">
        <v>0</v>
      </c>
      <c r="U9473" t="n">
        <v>0</v>
      </c>
      <c r="V9473" s="2" t="inlineStr"/>
    </row>
    <row r="9474" ht="15" customHeight="1">
      <c r="A9474" t="inlineStr">
        <is>
          <t>A 62565-2023</t>
        </is>
      </c>
      <c r="B9474" t="inlineStr">
        <is>
          <t>avverkningsanmälan</t>
        </is>
      </c>
      <c r="C9474" t="inlineStr">
        <is>
          <t>Föryngringsavverkning</t>
        </is>
      </c>
      <c r="D9474" s="1" t="n">
        <v>45269</v>
      </c>
      <c r="E9474" s="1" t="n">
        <v>46319</v>
      </c>
      <c r="F9474" t="inlineStr">
        <is>
          <t>DALARNAS LÄN</t>
        </is>
      </c>
      <c r="G9474" t="inlineStr">
        <is>
          <t>AVESTA</t>
        </is>
      </c>
      <c r="I9474" t="n">
        <v>2.2</v>
      </c>
      <c r="J9474" t="n">
        <v>0</v>
      </c>
      <c r="K9474" t="n">
        <v>0</v>
      </c>
      <c r="L9474" t="n">
        <v>0</v>
      </c>
      <c r="M9474" t="n">
        <v>0</v>
      </c>
      <c r="N9474" t="n">
        <v>0</v>
      </c>
      <c r="O9474" t="n">
        <v>0</v>
      </c>
      <c r="P9474" t="n">
        <v>0</v>
      </c>
      <c r="Q9474" t="n">
        <v>0</v>
      </c>
      <c r="R9474" t="n">
        <v>0</v>
      </c>
      <c r="S9474" t="n">
        <v>0</v>
      </c>
      <c r="T9474" t="n">
        <v>0</v>
      </c>
      <c r="U9474" t="n">
        <v>0</v>
      </c>
      <c r="V9474" s="2" t="inlineStr"/>
    </row>
    <row r="9475" ht="15" customHeight="1">
      <c r="A9475" t="inlineStr">
        <is>
          <t>A 62993-2023</t>
        </is>
      </c>
      <c r="B9475" t="inlineStr">
        <is>
          <t>avverkningsanmälan</t>
        </is>
      </c>
      <c r="C9475" t="inlineStr">
        <is>
          <t>Föryngringsavverkning</t>
        </is>
      </c>
      <c r="D9475" s="1" t="n">
        <v>45272</v>
      </c>
      <c r="E9475" s="1" t="n">
        <v>46319</v>
      </c>
      <c r="F9475" t="inlineStr">
        <is>
          <t>DALARNAS LÄN</t>
        </is>
      </c>
      <c r="G9475" t="inlineStr">
        <is>
          <t>LEKSAND</t>
        </is>
      </c>
      <c r="I9475" t="n">
        <v>0.6</v>
      </c>
      <c r="J9475" t="n">
        <v>0</v>
      </c>
      <c r="K9475" t="n">
        <v>0</v>
      </c>
      <c r="L9475" t="n">
        <v>0</v>
      </c>
      <c r="M9475" t="n">
        <v>0</v>
      </c>
      <c r="N9475" t="n">
        <v>0</v>
      </c>
      <c r="O9475" t="n">
        <v>0</v>
      </c>
      <c r="P9475" t="n">
        <v>0</v>
      </c>
      <c r="Q9475" t="n">
        <v>0</v>
      </c>
      <c r="R9475" t="n">
        <v>0</v>
      </c>
      <c r="S9475" t="n">
        <v>0</v>
      </c>
      <c r="T9475" t="n">
        <v>0</v>
      </c>
      <c r="U9475" t="n">
        <v>0</v>
      </c>
      <c r="V9475" s="2" t="inlineStr"/>
    </row>
    <row r="9476" ht="15" customHeight="1">
      <c r="A9476" t="inlineStr">
        <is>
          <t>A 52767-2022</t>
        </is>
      </c>
      <c r="B9476" t="inlineStr">
        <is>
          <t>avverkningsanmälan</t>
        </is>
      </c>
      <c r="C9476" t="inlineStr">
        <is>
          <t>Föryngringsavverkning</t>
        </is>
      </c>
      <c r="D9476" s="1" t="n">
        <v>44875</v>
      </c>
      <c r="E9476" s="1" t="n">
        <v>46319</v>
      </c>
      <c r="F9476" t="inlineStr">
        <is>
          <t>DALARNAS LÄN</t>
        </is>
      </c>
      <c r="G9476" t="inlineStr">
        <is>
          <t>AVESTA</t>
        </is>
      </c>
      <c r="I9476" t="n">
        <v>1.9</v>
      </c>
      <c r="J9476" t="n">
        <v>0</v>
      </c>
      <c r="K9476" t="n">
        <v>0</v>
      </c>
      <c r="L9476" t="n">
        <v>0</v>
      </c>
      <c r="M9476" t="n">
        <v>0</v>
      </c>
      <c r="N9476" t="n">
        <v>0</v>
      </c>
      <c r="O9476" t="n">
        <v>0</v>
      </c>
      <c r="P9476" t="n">
        <v>0</v>
      </c>
      <c r="Q9476" t="n">
        <v>0</v>
      </c>
      <c r="R9476" t="n">
        <v>0</v>
      </c>
      <c r="S9476" t="n">
        <v>0</v>
      </c>
      <c r="T9476" t="n">
        <v>0</v>
      </c>
      <c r="U9476" t="n">
        <v>0</v>
      </c>
      <c r="V9476" s="2" t="inlineStr"/>
    </row>
    <row r="9477" ht="15" customHeight="1">
      <c r="A9477" t="inlineStr">
        <is>
          <t>A 15114-2025</t>
        </is>
      </c>
      <c r="B9477" t="inlineStr">
        <is>
          <t>avverkningsanmälan</t>
        </is>
      </c>
      <c r="C9477" t="inlineStr">
        <is>
          <t>Föryngringsavverkning</t>
        </is>
      </c>
      <c r="D9477" s="1" t="n">
        <v>45744</v>
      </c>
      <c r="E9477" s="1" t="n">
        <v>46319</v>
      </c>
      <c r="F9477" t="inlineStr">
        <is>
          <t>DALARNAS LÄN</t>
        </is>
      </c>
      <c r="G9477" t="inlineStr">
        <is>
          <t>ORSA</t>
        </is>
      </c>
      <c r="H9477" t="inlineStr">
        <is>
          <t>Allmännings- och besparingsskogar</t>
        </is>
      </c>
      <c r="I9477" t="n">
        <v>1.9</v>
      </c>
      <c r="J9477" t="n">
        <v>0</v>
      </c>
      <c r="K9477" t="n">
        <v>0</v>
      </c>
      <c r="L9477" t="n">
        <v>0</v>
      </c>
      <c r="M9477" t="n">
        <v>0</v>
      </c>
      <c r="N9477" t="n">
        <v>0</v>
      </c>
      <c r="O9477" t="n">
        <v>0</v>
      </c>
      <c r="P9477" t="n">
        <v>0</v>
      </c>
      <c r="Q9477" t="n">
        <v>0</v>
      </c>
      <c r="R9477" t="n">
        <v>0</v>
      </c>
      <c r="S9477" t="n">
        <v>0</v>
      </c>
      <c r="T9477" t="n">
        <v>0</v>
      </c>
      <c r="U9477" t="n">
        <v>0</v>
      </c>
      <c r="V9477" s="2" t="inlineStr"/>
    </row>
    <row r="9478" ht="15" customHeight="1">
      <c r="A9478" t="inlineStr">
        <is>
          <t>A 60060-2023</t>
        </is>
      </c>
      <c r="B9478" t="inlineStr">
        <is>
          <t>avverkningsanmälan</t>
        </is>
      </c>
      <c r="C9478" t="inlineStr">
        <is>
          <t>Föryngringsavverkning</t>
        </is>
      </c>
      <c r="D9478" s="1" t="n">
        <v>45258</v>
      </c>
      <c r="E9478" s="1" t="n">
        <v>46319</v>
      </c>
      <c r="F9478" t="inlineStr">
        <is>
          <t>DALARNAS LÄN</t>
        </is>
      </c>
      <c r="G9478" t="inlineStr">
        <is>
          <t>BORLÄNGE</t>
        </is>
      </c>
      <c r="I9478" t="n">
        <v>1.8</v>
      </c>
      <c r="J9478" t="n">
        <v>0</v>
      </c>
      <c r="K9478" t="n">
        <v>0</v>
      </c>
      <c r="L9478" t="n">
        <v>0</v>
      </c>
      <c r="M9478" t="n">
        <v>0</v>
      </c>
      <c r="N9478" t="n">
        <v>0</v>
      </c>
      <c r="O9478" t="n">
        <v>0</v>
      </c>
      <c r="P9478" t="n">
        <v>0</v>
      </c>
      <c r="Q9478" t="n">
        <v>0</v>
      </c>
      <c r="R9478" t="n">
        <v>0</v>
      </c>
      <c r="S9478" t="n">
        <v>0</v>
      </c>
      <c r="T9478" t="n">
        <v>0</v>
      </c>
      <c r="U9478" t="n">
        <v>0</v>
      </c>
      <c r="V9478" s="2" t="inlineStr"/>
    </row>
    <row r="9479" ht="15" customHeight="1">
      <c r="A9479" t="inlineStr">
        <is>
          <t>A 15211-2023</t>
        </is>
      </c>
      <c r="B9479" t="inlineStr">
        <is>
          <t>avverkningsanmälan</t>
        </is>
      </c>
      <c r="C9479" t="inlineStr">
        <is>
          <t>Föryngringsavverkning</t>
        </is>
      </c>
      <c r="D9479" s="1" t="n">
        <v>45018</v>
      </c>
      <c r="E9479" s="1" t="n">
        <v>46319</v>
      </c>
      <c r="F9479" t="inlineStr">
        <is>
          <t>DALARNAS LÄN</t>
        </is>
      </c>
      <c r="G9479" t="inlineStr">
        <is>
          <t>SMEDJEBACKEN</t>
        </is>
      </c>
      <c r="I9479" t="n">
        <v>1.6</v>
      </c>
      <c r="J9479" t="n">
        <v>0</v>
      </c>
      <c r="K9479" t="n">
        <v>0</v>
      </c>
      <c r="L9479" t="n">
        <v>0</v>
      </c>
      <c r="M9479" t="n">
        <v>0</v>
      </c>
      <c r="N9479" t="n">
        <v>0</v>
      </c>
      <c r="O9479" t="n">
        <v>0</v>
      </c>
      <c r="P9479" t="n">
        <v>0</v>
      </c>
      <c r="Q9479" t="n">
        <v>0</v>
      </c>
      <c r="R9479" t="n">
        <v>0</v>
      </c>
      <c r="S9479" t="n">
        <v>0</v>
      </c>
      <c r="T9479" t="n">
        <v>0</v>
      </c>
      <c r="U9479" t="n">
        <v>0</v>
      </c>
      <c r="V9479" s="2" t="inlineStr"/>
    </row>
    <row r="9480" ht="15" customHeight="1">
      <c r="A9480" t="inlineStr">
        <is>
          <t>A 61933-2023</t>
        </is>
      </c>
      <c r="B9480" t="inlineStr">
        <is>
          <t>avverkningsanmälan</t>
        </is>
      </c>
      <c r="C9480" t="inlineStr">
        <is>
          <t>Föryngringsavverkning</t>
        </is>
      </c>
      <c r="D9480" s="1" t="n">
        <v>45266</v>
      </c>
      <c r="E9480" s="1" t="n">
        <v>46319</v>
      </c>
      <c r="F9480" t="inlineStr">
        <is>
          <t>DALARNAS LÄN</t>
        </is>
      </c>
      <c r="G9480" t="inlineStr">
        <is>
          <t>LEKSAND</t>
        </is>
      </c>
      <c r="I9480" t="n">
        <v>0.2</v>
      </c>
      <c r="J9480" t="n">
        <v>0</v>
      </c>
      <c r="K9480" t="n">
        <v>0</v>
      </c>
      <c r="L9480" t="n">
        <v>0</v>
      </c>
      <c r="M9480" t="n">
        <v>0</v>
      </c>
      <c r="N9480" t="n">
        <v>0</v>
      </c>
      <c r="O9480" t="n">
        <v>0</v>
      </c>
      <c r="P9480" t="n">
        <v>0</v>
      </c>
      <c r="Q9480" t="n">
        <v>0</v>
      </c>
      <c r="R9480" t="n">
        <v>0</v>
      </c>
      <c r="S9480" t="n">
        <v>0</v>
      </c>
      <c r="T9480" t="n">
        <v>0</v>
      </c>
      <c r="U9480" t="n">
        <v>0</v>
      </c>
      <c r="V9480" s="2" t="inlineStr"/>
    </row>
    <row r="9481" ht="15" customHeight="1">
      <c r="A9481" t="inlineStr">
        <is>
          <t>A 34508-2022</t>
        </is>
      </c>
      <c r="B9481" t="inlineStr">
        <is>
          <t>avverkningsanmälan</t>
        </is>
      </c>
      <c r="C9481" t="inlineStr">
        <is>
          <t>Föryngringsavverkning</t>
        </is>
      </c>
      <c r="D9481" s="1" t="n">
        <v>44792</v>
      </c>
      <c r="E9481" s="1" t="n">
        <v>46319</v>
      </c>
      <c r="F9481" t="inlineStr">
        <is>
          <t>DALARNAS LÄN</t>
        </is>
      </c>
      <c r="G9481" t="inlineStr">
        <is>
          <t>FALUN</t>
        </is>
      </c>
      <c r="I9481" t="n">
        <v>3</v>
      </c>
      <c r="J9481" t="n">
        <v>0</v>
      </c>
      <c r="K9481" t="n">
        <v>0</v>
      </c>
      <c r="L9481" t="n">
        <v>0</v>
      </c>
      <c r="M9481" t="n">
        <v>0</v>
      </c>
      <c r="N9481" t="n">
        <v>0</v>
      </c>
      <c r="O9481" t="n">
        <v>0</v>
      </c>
      <c r="P9481" t="n">
        <v>0</v>
      </c>
      <c r="Q9481" t="n">
        <v>0</v>
      </c>
      <c r="R9481" t="n">
        <v>0</v>
      </c>
      <c r="S9481" t="n">
        <v>0</v>
      </c>
      <c r="T9481" t="n">
        <v>0</v>
      </c>
      <c r="U9481" t="n">
        <v>0</v>
      </c>
      <c r="V9481" s="2" t="inlineStr"/>
    </row>
    <row r="9482" ht="15" customHeight="1">
      <c r="A9482" t="inlineStr">
        <is>
          <t>A 34509-2022</t>
        </is>
      </c>
      <c r="B9482" t="inlineStr">
        <is>
          <t>avverkningsanmälan</t>
        </is>
      </c>
      <c r="C9482" t="inlineStr">
        <is>
          <t>Föryngringsavverkning</t>
        </is>
      </c>
      <c r="D9482" s="1" t="n">
        <v>44792</v>
      </c>
      <c r="E9482" s="1" t="n">
        <v>46319</v>
      </c>
      <c r="F9482" t="inlineStr">
        <is>
          <t>DALARNAS LÄN</t>
        </is>
      </c>
      <c r="G9482" t="inlineStr">
        <is>
          <t>FALUN</t>
        </is>
      </c>
      <c r="I9482" t="n">
        <v>2.6</v>
      </c>
      <c r="J9482" t="n">
        <v>0</v>
      </c>
      <c r="K9482" t="n">
        <v>0</v>
      </c>
      <c r="L9482" t="n">
        <v>0</v>
      </c>
      <c r="M9482" t="n">
        <v>0</v>
      </c>
      <c r="N9482" t="n">
        <v>0</v>
      </c>
      <c r="O9482" t="n">
        <v>0</v>
      </c>
      <c r="P9482" t="n">
        <v>0</v>
      </c>
      <c r="Q9482" t="n">
        <v>0</v>
      </c>
      <c r="R9482" t="n">
        <v>0</v>
      </c>
      <c r="S9482" t="n">
        <v>0</v>
      </c>
      <c r="T9482" t="n">
        <v>0</v>
      </c>
      <c r="U9482" t="n">
        <v>0</v>
      </c>
      <c r="V9482" s="2" t="inlineStr"/>
    </row>
    <row r="9483" ht="15" customHeight="1">
      <c r="A9483" t="inlineStr">
        <is>
          <t>A 33198-2022</t>
        </is>
      </c>
      <c r="B9483" t="inlineStr">
        <is>
          <t>avverkningsanmälan</t>
        </is>
      </c>
      <c r="C9483" t="inlineStr">
        <is>
          <t>Föryngringsavverkning</t>
        </is>
      </c>
      <c r="D9483" s="1" t="n">
        <v>44785</v>
      </c>
      <c r="E9483" s="1" t="n">
        <v>46319</v>
      </c>
      <c r="F9483" t="inlineStr">
        <is>
          <t>DALARNAS LÄN</t>
        </is>
      </c>
      <c r="G9483" t="inlineStr">
        <is>
          <t>LEKSAND</t>
        </is>
      </c>
      <c r="I9483" t="n">
        <v>1.5</v>
      </c>
      <c r="J9483" t="n">
        <v>0</v>
      </c>
      <c r="K9483" t="n">
        <v>0</v>
      </c>
      <c r="L9483" t="n">
        <v>0</v>
      </c>
      <c r="M9483" t="n">
        <v>0</v>
      </c>
      <c r="N9483" t="n">
        <v>0</v>
      </c>
      <c r="O9483" t="n">
        <v>0</v>
      </c>
      <c r="P9483" t="n">
        <v>0</v>
      </c>
      <c r="Q9483" t="n">
        <v>0</v>
      </c>
      <c r="R9483" t="n">
        <v>0</v>
      </c>
      <c r="S9483" t="n">
        <v>0</v>
      </c>
      <c r="T9483" t="n">
        <v>0</v>
      </c>
      <c r="U9483" t="n">
        <v>0</v>
      </c>
      <c r="V9483" s="2" t="inlineStr"/>
    </row>
    <row r="9484" ht="15" customHeight="1">
      <c r="A9484" t="inlineStr">
        <is>
          <t>A 1898-2023</t>
        </is>
      </c>
      <c r="B9484" t="inlineStr">
        <is>
          <t>avverkningsanmälan</t>
        </is>
      </c>
      <c r="C9484" t="inlineStr">
        <is>
          <t>Föryngringsavverkning</t>
        </is>
      </c>
      <c r="D9484" s="1" t="n">
        <v>44937</v>
      </c>
      <c r="E9484" s="1" t="n">
        <v>46319</v>
      </c>
      <c r="F9484" t="inlineStr">
        <is>
          <t>DALARNAS LÄN</t>
        </is>
      </c>
      <c r="G9484" t="inlineStr">
        <is>
          <t>SMEDJEBACKEN</t>
        </is>
      </c>
      <c r="I9484" t="n">
        <v>3</v>
      </c>
      <c r="J9484" t="n">
        <v>0</v>
      </c>
      <c r="K9484" t="n">
        <v>0</v>
      </c>
      <c r="L9484" t="n">
        <v>0</v>
      </c>
      <c r="M9484" t="n">
        <v>0</v>
      </c>
      <c r="N9484" t="n">
        <v>0</v>
      </c>
      <c r="O9484" t="n">
        <v>0</v>
      </c>
      <c r="P9484" t="n">
        <v>0</v>
      </c>
      <c r="Q9484" t="n">
        <v>0</v>
      </c>
      <c r="R9484" t="n">
        <v>0</v>
      </c>
      <c r="S9484" t="n">
        <v>0</v>
      </c>
      <c r="T9484" t="n">
        <v>0</v>
      </c>
      <c r="U9484" t="n">
        <v>0</v>
      </c>
      <c r="V9484" s="2" t="inlineStr"/>
    </row>
    <row r="9485" ht="15" customHeight="1">
      <c r="A9485" t="inlineStr">
        <is>
          <t>A 12741-2025</t>
        </is>
      </c>
      <c r="B9485" t="inlineStr">
        <is>
          <t>avverkningsanmälan</t>
        </is>
      </c>
      <c r="C9485" t="inlineStr">
        <is>
          <t>Föryngringsavverkning</t>
        </is>
      </c>
      <c r="D9485" s="1" t="n">
        <v>45733</v>
      </c>
      <c r="E9485" s="1" t="n">
        <v>46319</v>
      </c>
      <c r="F9485" t="inlineStr">
        <is>
          <t>DALARNAS LÄN</t>
        </is>
      </c>
      <c r="G9485" t="inlineStr">
        <is>
          <t>GAGNEF</t>
        </is>
      </c>
      <c r="I9485" t="n">
        <v>4.6</v>
      </c>
      <c r="J9485" t="n">
        <v>0</v>
      </c>
      <c r="K9485" t="n">
        <v>0</v>
      </c>
      <c r="L9485" t="n">
        <v>0</v>
      </c>
      <c r="M9485" t="n">
        <v>0</v>
      </c>
      <c r="N9485" t="n">
        <v>0</v>
      </c>
      <c r="O9485" t="n">
        <v>0</v>
      </c>
      <c r="P9485" t="n">
        <v>0</v>
      </c>
      <c r="Q9485" t="n">
        <v>0</v>
      </c>
      <c r="R9485" t="n">
        <v>0</v>
      </c>
      <c r="S9485" t="n">
        <v>0</v>
      </c>
      <c r="T9485" t="n">
        <v>0</v>
      </c>
      <c r="U9485" t="n">
        <v>0</v>
      </c>
      <c r="V9485" s="2" t="inlineStr"/>
    </row>
    <row r="9486" ht="15" customHeight="1">
      <c r="A9486" t="inlineStr">
        <is>
          <t>A 30736-2024</t>
        </is>
      </c>
      <c r="B9486" t="inlineStr">
        <is>
          <t>avverkningsanmälan</t>
        </is>
      </c>
      <c r="C9486" t="inlineStr">
        <is>
          <t>Föryngringsavverkning</t>
        </is>
      </c>
      <c r="D9486" s="1" t="n">
        <v>45496</v>
      </c>
      <c r="E9486" s="1" t="n">
        <v>46319</v>
      </c>
      <c r="F9486" t="inlineStr">
        <is>
          <t>DALARNAS LÄN</t>
        </is>
      </c>
      <c r="G9486" t="inlineStr">
        <is>
          <t>AVESTA</t>
        </is>
      </c>
      <c r="H9486" t="inlineStr">
        <is>
          <t>Sveaskog</t>
        </is>
      </c>
      <c r="I9486" t="n">
        <v>1.9</v>
      </c>
      <c r="J9486" t="n">
        <v>0</v>
      </c>
      <c r="K9486" t="n">
        <v>0</v>
      </c>
      <c r="L9486" t="n">
        <v>0</v>
      </c>
      <c r="M9486" t="n">
        <v>0</v>
      </c>
      <c r="N9486" t="n">
        <v>0</v>
      </c>
      <c r="O9486" t="n">
        <v>0</v>
      </c>
      <c r="P9486" t="n">
        <v>0</v>
      </c>
      <c r="Q9486" t="n">
        <v>0</v>
      </c>
      <c r="R9486" t="n">
        <v>0</v>
      </c>
      <c r="S9486" t="n">
        <v>0</v>
      </c>
      <c r="T9486" t="n">
        <v>0</v>
      </c>
      <c r="U9486" t="n">
        <v>0</v>
      </c>
      <c r="V9486" s="2" t="inlineStr"/>
    </row>
    <row r="9487" ht="15" customHeight="1">
      <c r="A9487" t="inlineStr">
        <is>
          <t>A 30739-2024</t>
        </is>
      </c>
      <c r="B9487" t="inlineStr">
        <is>
          <t>avverkningsanmälan</t>
        </is>
      </c>
      <c r="C9487" t="inlineStr">
        <is>
          <t>Föryngringsavverkning</t>
        </is>
      </c>
      <c r="D9487" s="1" t="n">
        <v>45496</v>
      </c>
      <c r="E9487" s="1" t="n">
        <v>46319</v>
      </c>
      <c r="F9487" t="inlineStr">
        <is>
          <t>DALARNAS LÄN</t>
        </is>
      </c>
      <c r="G9487" t="inlineStr">
        <is>
          <t>AVESTA</t>
        </is>
      </c>
      <c r="H9487" t="inlineStr">
        <is>
          <t>Sveaskog</t>
        </is>
      </c>
      <c r="I9487" t="n">
        <v>2.6</v>
      </c>
      <c r="J9487" t="n">
        <v>0</v>
      </c>
      <c r="K9487" t="n">
        <v>0</v>
      </c>
      <c r="L9487" t="n">
        <v>0</v>
      </c>
      <c r="M9487" t="n">
        <v>0</v>
      </c>
      <c r="N9487" t="n">
        <v>0</v>
      </c>
      <c r="O9487" t="n">
        <v>0</v>
      </c>
      <c r="P9487" t="n">
        <v>0</v>
      </c>
      <c r="Q9487" t="n">
        <v>0</v>
      </c>
      <c r="R9487" t="n">
        <v>0</v>
      </c>
      <c r="S9487" t="n">
        <v>0</v>
      </c>
      <c r="T9487" t="n">
        <v>0</v>
      </c>
      <c r="U9487" t="n">
        <v>0</v>
      </c>
      <c r="V9487" s="2" t="inlineStr"/>
    </row>
    <row r="9488" ht="15" customHeight="1">
      <c r="A9488" t="inlineStr">
        <is>
          <t>A 60526-2023</t>
        </is>
      </c>
      <c r="B9488" t="inlineStr">
        <is>
          <t>avverkningsanmälan</t>
        </is>
      </c>
      <c r="C9488" t="inlineStr">
        <is>
          <t>Föryngringsavverkning</t>
        </is>
      </c>
      <c r="D9488" s="1" t="n">
        <v>45259</v>
      </c>
      <c r="E9488" s="1" t="n">
        <v>46319</v>
      </c>
      <c r="F9488" t="inlineStr">
        <is>
          <t>DALARNAS LÄN</t>
        </is>
      </c>
      <c r="G9488" t="inlineStr">
        <is>
          <t>MORA</t>
        </is>
      </c>
      <c r="I9488" t="n">
        <v>6.7</v>
      </c>
      <c r="J9488" t="n">
        <v>0</v>
      </c>
      <c r="K9488" t="n">
        <v>0</v>
      </c>
      <c r="L9488" t="n">
        <v>0</v>
      </c>
      <c r="M9488" t="n">
        <v>0</v>
      </c>
      <c r="N9488" t="n">
        <v>0</v>
      </c>
      <c r="O9488" t="n">
        <v>0</v>
      </c>
      <c r="P9488" t="n">
        <v>0</v>
      </c>
      <c r="Q9488" t="n">
        <v>0</v>
      </c>
      <c r="R9488" t="n">
        <v>0</v>
      </c>
      <c r="S9488" t="n">
        <v>0</v>
      </c>
      <c r="T9488" t="n">
        <v>0</v>
      </c>
      <c r="U9488" t="n">
        <v>0</v>
      </c>
      <c r="V9488" s="2" t="inlineStr"/>
    </row>
    <row r="9489" ht="15" customHeight="1">
      <c r="A9489" t="inlineStr">
        <is>
          <t>A 47873-2023</t>
        </is>
      </c>
      <c r="B9489" t="inlineStr">
        <is>
          <t>avverkningsanmälan</t>
        </is>
      </c>
      <c r="C9489" t="inlineStr">
        <is>
          <t>Föryngringsavverkning</t>
        </is>
      </c>
      <c r="D9489" s="1" t="n">
        <v>45204</v>
      </c>
      <c r="E9489" s="1" t="n">
        <v>46319</v>
      </c>
      <c r="F9489" t="inlineStr">
        <is>
          <t>DALARNAS LÄN</t>
        </is>
      </c>
      <c r="G9489" t="inlineStr">
        <is>
          <t>ÄLVDALEN</t>
        </is>
      </c>
      <c r="I9489" t="n">
        <v>1.3</v>
      </c>
      <c r="J9489" t="n">
        <v>0</v>
      </c>
      <c r="K9489" t="n">
        <v>0</v>
      </c>
      <c r="L9489" t="n">
        <v>0</v>
      </c>
      <c r="M9489" t="n">
        <v>0</v>
      </c>
      <c r="N9489" t="n">
        <v>0</v>
      </c>
      <c r="O9489" t="n">
        <v>0</v>
      </c>
      <c r="P9489" t="n">
        <v>0</v>
      </c>
      <c r="Q9489" t="n">
        <v>0</v>
      </c>
      <c r="R9489" t="n">
        <v>0</v>
      </c>
      <c r="S9489" t="n">
        <v>0</v>
      </c>
      <c r="T9489" t="n">
        <v>0</v>
      </c>
      <c r="U9489" t="n">
        <v>0</v>
      </c>
      <c r="V9489" s="2" t="inlineStr"/>
    </row>
    <row r="9490" ht="15" customHeight="1">
      <c r="A9490" t="inlineStr">
        <is>
          <t>A 31690-2024</t>
        </is>
      </c>
      <c r="B9490" t="inlineStr">
        <is>
          <t>avverkningsanmälan</t>
        </is>
      </c>
      <c r="C9490" t="inlineStr">
        <is>
          <t>Föryngringsavverkning</t>
        </is>
      </c>
      <c r="D9490" s="1" t="n">
        <v>45507</v>
      </c>
      <c r="E9490" s="1" t="n">
        <v>46319</v>
      </c>
      <c r="F9490" t="inlineStr">
        <is>
          <t>DALARNAS LÄN</t>
        </is>
      </c>
      <c r="G9490" t="inlineStr">
        <is>
          <t>ÄLVDALEN</t>
        </is>
      </c>
      <c r="I9490" t="n">
        <v>2.3</v>
      </c>
      <c r="J9490" t="n">
        <v>0</v>
      </c>
      <c r="K9490" t="n">
        <v>0</v>
      </c>
      <c r="L9490" t="n">
        <v>0</v>
      </c>
      <c r="M9490" t="n">
        <v>0</v>
      </c>
      <c r="N9490" t="n">
        <v>0</v>
      </c>
      <c r="O9490" t="n">
        <v>0</v>
      </c>
      <c r="P9490" t="n">
        <v>0</v>
      </c>
      <c r="Q9490" t="n">
        <v>0</v>
      </c>
      <c r="R9490" t="n">
        <v>0</v>
      </c>
      <c r="S9490" t="n">
        <v>0</v>
      </c>
      <c r="T9490" t="n">
        <v>0</v>
      </c>
      <c r="U9490" t="n">
        <v>0</v>
      </c>
      <c r="V9490" s="2" t="inlineStr"/>
    </row>
    <row r="9491" ht="15" customHeight="1">
      <c r="A9491" t="inlineStr">
        <is>
          <t>A 37677-2024</t>
        </is>
      </c>
      <c r="B9491" t="inlineStr">
        <is>
          <t>avverkningsanmälan</t>
        </is>
      </c>
      <c r="C9491" t="inlineStr">
        <is>
          <t>Föryngringsavverkning</t>
        </is>
      </c>
      <c r="D9491" s="1" t="n">
        <v>45541</v>
      </c>
      <c r="E9491" s="1" t="n">
        <v>46319</v>
      </c>
      <c r="F9491" t="inlineStr">
        <is>
          <t>DALARNAS LÄN</t>
        </is>
      </c>
      <c r="G9491" t="inlineStr">
        <is>
          <t>MALUNG-SÄLEN</t>
        </is>
      </c>
      <c r="H9491" t="inlineStr">
        <is>
          <t>Bergvik skog öst AB</t>
        </is>
      </c>
      <c r="I9491" t="n">
        <v>3.8</v>
      </c>
      <c r="J9491" t="n">
        <v>0</v>
      </c>
      <c r="K9491" t="n">
        <v>0</v>
      </c>
      <c r="L9491" t="n">
        <v>0</v>
      </c>
      <c r="M9491" t="n">
        <v>0</v>
      </c>
      <c r="N9491" t="n">
        <v>0</v>
      </c>
      <c r="O9491" t="n">
        <v>0</v>
      </c>
      <c r="P9491" t="n">
        <v>0</v>
      </c>
      <c r="Q9491" t="n">
        <v>0</v>
      </c>
      <c r="R9491" t="n">
        <v>0</v>
      </c>
      <c r="S9491" t="n">
        <v>0</v>
      </c>
      <c r="T9491" t="n">
        <v>0</v>
      </c>
      <c r="U9491" t="n">
        <v>0</v>
      </c>
      <c r="V9491" s="2" t="inlineStr"/>
    </row>
    <row r="9492" ht="15" customHeight="1">
      <c r="A9492" t="inlineStr">
        <is>
          <t>A 47620-2024</t>
        </is>
      </c>
      <c r="B9492" t="inlineStr">
        <is>
          <t>avverkningsanmälan</t>
        </is>
      </c>
      <c r="C9492" t="inlineStr">
        <is>
          <t>Föryngringsavverkning</t>
        </is>
      </c>
      <c r="D9492" s="1" t="n">
        <v>45588</v>
      </c>
      <c r="E9492" s="1" t="n">
        <v>46319</v>
      </c>
      <c r="F9492" t="inlineStr">
        <is>
          <t>DALARNAS LÄN</t>
        </is>
      </c>
      <c r="G9492" t="inlineStr">
        <is>
          <t>RÄTTVIK</t>
        </is>
      </c>
      <c r="I9492" t="n">
        <v>1.1</v>
      </c>
      <c r="J9492" t="n">
        <v>0</v>
      </c>
      <c r="K9492" t="n">
        <v>0</v>
      </c>
      <c r="L9492" t="n">
        <v>0</v>
      </c>
      <c r="M9492" t="n">
        <v>0</v>
      </c>
      <c r="N9492" t="n">
        <v>0</v>
      </c>
      <c r="O9492" t="n">
        <v>0</v>
      </c>
      <c r="P9492" t="n">
        <v>0</v>
      </c>
      <c r="Q9492" t="n">
        <v>0</v>
      </c>
      <c r="R9492" t="n">
        <v>0</v>
      </c>
      <c r="S9492" t="n">
        <v>0</v>
      </c>
      <c r="T9492" t="n">
        <v>0</v>
      </c>
      <c r="U9492" t="n">
        <v>0</v>
      </c>
      <c r="V9492" s="2" t="inlineStr"/>
    </row>
    <row r="9493" ht="15" customHeight="1">
      <c r="A9493" t="inlineStr">
        <is>
          <t>A 15619-2025</t>
        </is>
      </c>
      <c r="B9493" t="inlineStr">
        <is>
          <t>avverkningsanmälan</t>
        </is>
      </c>
      <c r="C9493" t="inlineStr">
        <is>
          <t>Föryngringsavverkning</t>
        </is>
      </c>
      <c r="D9493" s="1" t="n">
        <v>45747</v>
      </c>
      <c r="E9493" s="1" t="n">
        <v>46319</v>
      </c>
      <c r="F9493" t="inlineStr">
        <is>
          <t>DALARNAS LÄN</t>
        </is>
      </c>
      <c r="G9493" t="inlineStr">
        <is>
          <t>LEKSAND</t>
        </is>
      </c>
      <c r="I9493" t="n">
        <v>1</v>
      </c>
      <c r="J9493" t="n">
        <v>0</v>
      </c>
      <c r="K9493" t="n">
        <v>0</v>
      </c>
      <c r="L9493" t="n">
        <v>0</v>
      </c>
      <c r="M9493" t="n">
        <v>0</v>
      </c>
      <c r="N9493" t="n">
        <v>0</v>
      </c>
      <c r="O9493" t="n">
        <v>0</v>
      </c>
      <c r="P9493" t="n">
        <v>0</v>
      </c>
      <c r="Q9493" t="n">
        <v>0</v>
      </c>
      <c r="R9493" t="n">
        <v>0</v>
      </c>
      <c r="S9493" t="n">
        <v>0</v>
      </c>
      <c r="T9493" t="n">
        <v>0</v>
      </c>
      <c r="U9493" t="n">
        <v>0</v>
      </c>
      <c r="V9493" s="2" t="inlineStr"/>
    </row>
    <row r="9494" ht="15" customHeight="1">
      <c r="A9494" t="inlineStr">
        <is>
          <t>A 56621-2023</t>
        </is>
      </c>
      <c r="B9494" t="inlineStr">
        <is>
          <t>avverkningsanmälan</t>
        </is>
      </c>
      <c r="C9494" t="inlineStr">
        <is>
          <t>Föryngringsavverkning</t>
        </is>
      </c>
      <c r="D9494" s="1" t="n">
        <v>45243</v>
      </c>
      <c r="E9494" s="1" t="n">
        <v>46319</v>
      </c>
      <c r="F9494" t="inlineStr">
        <is>
          <t>DALARNAS LÄN</t>
        </is>
      </c>
      <c r="G9494" t="inlineStr">
        <is>
          <t>LUDVIKA</t>
        </is>
      </c>
      <c r="I9494" t="n">
        <v>0.5</v>
      </c>
      <c r="J9494" t="n">
        <v>0</v>
      </c>
      <c r="K9494" t="n">
        <v>0</v>
      </c>
      <c r="L9494" t="n">
        <v>0</v>
      </c>
      <c r="M9494" t="n">
        <v>0</v>
      </c>
      <c r="N9494" t="n">
        <v>0</v>
      </c>
      <c r="O9494" t="n">
        <v>0</v>
      </c>
      <c r="P9494" t="n">
        <v>0</v>
      </c>
      <c r="Q9494" t="n">
        <v>0</v>
      </c>
      <c r="R9494" t="n">
        <v>0</v>
      </c>
      <c r="S9494" t="n">
        <v>0</v>
      </c>
      <c r="T9494" t="n">
        <v>0</v>
      </c>
      <c r="U9494" t="n">
        <v>0</v>
      </c>
      <c r="V9494" s="2" t="inlineStr"/>
    </row>
    <row r="9495" ht="15" customHeight="1">
      <c r="A9495" t="inlineStr">
        <is>
          <t>A 27418-2023</t>
        </is>
      </c>
      <c r="B9495" t="inlineStr">
        <is>
          <t>avverkningsanmälan</t>
        </is>
      </c>
      <c r="C9495" t="inlineStr">
        <is>
          <t>Föryngringsavverkning</t>
        </is>
      </c>
      <c r="D9495" s="1" t="n">
        <v>45097</v>
      </c>
      <c r="E9495" s="1" t="n">
        <v>46319</v>
      </c>
      <c r="F9495" t="inlineStr">
        <is>
          <t>DALARNAS LÄN</t>
        </is>
      </c>
      <c r="G9495" t="inlineStr">
        <is>
          <t>RÄTTVIK</t>
        </is>
      </c>
      <c r="I9495" t="n">
        <v>1</v>
      </c>
      <c r="J9495" t="n">
        <v>0</v>
      </c>
      <c r="K9495" t="n">
        <v>0</v>
      </c>
      <c r="L9495" t="n">
        <v>0</v>
      </c>
      <c r="M9495" t="n">
        <v>0</v>
      </c>
      <c r="N9495" t="n">
        <v>0</v>
      </c>
      <c r="O9495" t="n">
        <v>0</v>
      </c>
      <c r="P9495" t="n">
        <v>0</v>
      </c>
      <c r="Q9495" t="n">
        <v>0</v>
      </c>
      <c r="R9495" t="n">
        <v>0</v>
      </c>
      <c r="S9495" t="n">
        <v>0</v>
      </c>
      <c r="T9495" t="n">
        <v>0</v>
      </c>
      <c r="U9495" t="n">
        <v>0</v>
      </c>
      <c r="V9495" s="2" t="inlineStr"/>
    </row>
    <row r="9496" ht="15" customHeight="1">
      <c r="A9496" t="inlineStr">
        <is>
          <t>A 46931-2023</t>
        </is>
      </c>
      <c r="B9496" t="inlineStr">
        <is>
          <t>avverkningsanmälan</t>
        </is>
      </c>
      <c r="C9496" t="inlineStr">
        <is>
          <t>Föryngringsavverkning</t>
        </is>
      </c>
      <c r="D9496" s="1" t="n">
        <v>45201</v>
      </c>
      <c r="E9496" s="1" t="n">
        <v>46319</v>
      </c>
      <c r="F9496" t="inlineStr">
        <is>
          <t>DALARNAS LÄN</t>
        </is>
      </c>
      <c r="G9496" t="inlineStr">
        <is>
          <t>LEKSAND</t>
        </is>
      </c>
      <c r="I9496" t="n">
        <v>1.4</v>
      </c>
      <c r="J9496" t="n">
        <v>0</v>
      </c>
      <c r="K9496" t="n">
        <v>0</v>
      </c>
      <c r="L9496" t="n">
        <v>0</v>
      </c>
      <c r="M9496" t="n">
        <v>0</v>
      </c>
      <c r="N9496" t="n">
        <v>0</v>
      </c>
      <c r="O9496" t="n">
        <v>0</v>
      </c>
      <c r="P9496" t="n">
        <v>0</v>
      </c>
      <c r="Q9496" t="n">
        <v>0</v>
      </c>
      <c r="R9496" t="n">
        <v>0</v>
      </c>
      <c r="S9496" t="n">
        <v>0</v>
      </c>
      <c r="T9496" t="n">
        <v>0</v>
      </c>
      <c r="U9496" t="n">
        <v>0</v>
      </c>
      <c r="V9496" s="2" t="inlineStr"/>
    </row>
    <row r="9497" ht="15" customHeight="1">
      <c r="A9497" t="inlineStr">
        <is>
          <t>A 23570-2023</t>
        </is>
      </c>
      <c r="B9497" t="inlineStr">
        <is>
          <t>avverkningsanmälan</t>
        </is>
      </c>
      <c r="C9497" t="inlineStr">
        <is>
          <t>Föryngringsavverkning</t>
        </is>
      </c>
      <c r="D9497" s="1" t="n">
        <v>45077</v>
      </c>
      <c r="E9497" s="1" t="n">
        <v>46319</v>
      </c>
      <c r="F9497" t="inlineStr">
        <is>
          <t>DALARNAS LÄN</t>
        </is>
      </c>
      <c r="G9497" t="inlineStr">
        <is>
          <t>ÄLVDALEN</t>
        </is>
      </c>
      <c r="I9497" t="n">
        <v>4.9</v>
      </c>
      <c r="J9497" t="n">
        <v>0</v>
      </c>
      <c r="K9497" t="n">
        <v>0</v>
      </c>
      <c r="L9497" t="n">
        <v>0</v>
      </c>
      <c r="M9497" t="n">
        <v>0</v>
      </c>
      <c r="N9497" t="n">
        <v>0</v>
      </c>
      <c r="O9497" t="n">
        <v>0</v>
      </c>
      <c r="P9497" t="n">
        <v>0</v>
      </c>
      <c r="Q9497" t="n">
        <v>0</v>
      </c>
      <c r="R9497" t="n">
        <v>0</v>
      </c>
      <c r="S9497" t="n">
        <v>0</v>
      </c>
      <c r="T9497" t="n">
        <v>0</v>
      </c>
      <c r="U9497" t="n">
        <v>0</v>
      </c>
      <c r="V9497" s="2" t="inlineStr"/>
    </row>
    <row r="9498" ht="15" customHeight="1">
      <c r="A9498" t="inlineStr">
        <is>
          <t>A 39227-2024</t>
        </is>
      </c>
      <c r="B9498" t="inlineStr">
        <is>
          <t>avverkningsanmälan</t>
        </is>
      </c>
      <c r="C9498" t="inlineStr">
        <is>
          <t>Avverkning för annat ändamål</t>
        </is>
      </c>
      <c r="D9498" s="1" t="n">
        <v>45550</v>
      </c>
      <c r="E9498" s="1" t="n">
        <v>46319</v>
      </c>
      <c r="F9498" t="inlineStr">
        <is>
          <t>DALARNAS LÄN</t>
        </is>
      </c>
      <c r="G9498" t="inlineStr">
        <is>
          <t>ÄLVDALEN</t>
        </is>
      </c>
      <c r="I9498" t="n">
        <v>0.2</v>
      </c>
      <c r="J9498" t="n">
        <v>0</v>
      </c>
      <c r="K9498" t="n">
        <v>0</v>
      </c>
      <c r="L9498" t="n">
        <v>0</v>
      </c>
      <c r="M9498" t="n">
        <v>0</v>
      </c>
      <c r="N9498" t="n">
        <v>0</v>
      </c>
      <c r="O9498" t="n">
        <v>0</v>
      </c>
      <c r="P9498" t="n">
        <v>0</v>
      </c>
      <c r="Q9498" t="n">
        <v>0</v>
      </c>
      <c r="R9498" t="n">
        <v>0</v>
      </c>
      <c r="S9498" t="n">
        <v>0</v>
      </c>
      <c r="T9498" t="n">
        <v>0</v>
      </c>
      <c r="U9498" t="n">
        <v>0</v>
      </c>
      <c r="V9498" s="2" t="inlineStr"/>
    </row>
    <row r="9499" ht="15" customHeight="1">
      <c r="A9499" t="inlineStr">
        <is>
          <t>A 23687-2023</t>
        </is>
      </c>
      <c r="B9499" t="inlineStr">
        <is>
          <t>avverkningsanmälan</t>
        </is>
      </c>
      <c r="C9499" t="inlineStr">
        <is>
          <t>Föryngringsavverkning</t>
        </is>
      </c>
      <c r="D9499" s="1" t="n">
        <v>45077</v>
      </c>
      <c r="E9499" s="1" t="n">
        <v>46319</v>
      </c>
      <c r="F9499" t="inlineStr">
        <is>
          <t>DALARNAS LÄN</t>
        </is>
      </c>
      <c r="G9499" t="inlineStr">
        <is>
          <t>SMEDJEBACKEN</t>
        </is>
      </c>
      <c r="I9499" t="n">
        <v>0.7</v>
      </c>
      <c r="J9499" t="n">
        <v>0</v>
      </c>
      <c r="K9499" t="n">
        <v>0</v>
      </c>
      <c r="L9499" t="n">
        <v>0</v>
      </c>
      <c r="M9499" t="n">
        <v>0</v>
      </c>
      <c r="N9499" t="n">
        <v>0</v>
      </c>
      <c r="O9499" t="n">
        <v>0</v>
      </c>
      <c r="P9499" t="n">
        <v>0</v>
      </c>
      <c r="Q9499" t="n">
        <v>0</v>
      </c>
      <c r="R9499" t="n">
        <v>0</v>
      </c>
      <c r="S9499" t="n">
        <v>0</v>
      </c>
      <c r="T9499" t="n">
        <v>0</v>
      </c>
      <c r="U9499" t="n">
        <v>0</v>
      </c>
      <c r="V9499" s="2" t="inlineStr"/>
    </row>
    <row r="9500" ht="15" customHeight="1">
      <c r="A9500" t="inlineStr">
        <is>
          <t>A 48867-2024</t>
        </is>
      </c>
      <c r="B9500" t="inlineStr">
        <is>
          <t>avverkningsanmälan</t>
        </is>
      </c>
      <c r="C9500" t="inlineStr">
        <is>
          <t>Föryngringsavverkning</t>
        </is>
      </c>
      <c r="D9500" s="1" t="n">
        <v>45594</v>
      </c>
      <c r="E9500" s="1" t="n">
        <v>46319</v>
      </c>
      <c r="F9500" t="inlineStr">
        <is>
          <t>DALARNAS LÄN</t>
        </is>
      </c>
      <c r="G9500" t="inlineStr">
        <is>
          <t>GAGNEF</t>
        </is>
      </c>
      <c r="I9500" t="n">
        <v>0.7</v>
      </c>
      <c r="J9500" t="n">
        <v>0</v>
      </c>
      <c r="K9500" t="n">
        <v>0</v>
      </c>
      <c r="L9500" t="n">
        <v>0</v>
      </c>
      <c r="M9500" t="n">
        <v>0</v>
      </c>
      <c r="N9500" t="n">
        <v>0</v>
      </c>
      <c r="O9500" t="n">
        <v>0</v>
      </c>
      <c r="P9500" t="n">
        <v>0</v>
      </c>
      <c r="Q9500" t="n">
        <v>0</v>
      </c>
      <c r="R9500" t="n">
        <v>0</v>
      </c>
      <c r="S9500" t="n">
        <v>0</v>
      </c>
      <c r="T9500" t="n">
        <v>0</v>
      </c>
      <c r="U9500" t="n">
        <v>0</v>
      </c>
      <c r="V9500" s="2" t="inlineStr"/>
    </row>
    <row r="9501" ht="15" customHeight="1">
      <c r="A9501" t="inlineStr">
        <is>
          <t>A 51231-2023</t>
        </is>
      </c>
      <c r="B9501" t="inlineStr">
        <is>
          <t>avverkningsanmälan</t>
        </is>
      </c>
      <c r="C9501" t="inlineStr">
        <is>
          <t>Föryngringsavverkning</t>
        </is>
      </c>
      <c r="D9501" s="1" t="n">
        <v>45219</v>
      </c>
      <c r="E9501" s="1" t="n">
        <v>46319</v>
      </c>
      <c r="F9501" t="inlineStr">
        <is>
          <t>DALARNAS LÄN</t>
        </is>
      </c>
      <c r="G9501" t="inlineStr">
        <is>
          <t>GAGNEF</t>
        </is>
      </c>
      <c r="I9501" t="n">
        <v>0.6</v>
      </c>
      <c r="J9501" t="n">
        <v>0</v>
      </c>
      <c r="K9501" t="n">
        <v>0</v>
      </c>
      <c r="L9501" t="n">
        <v>0</v>
      </c>
      <c r="M9501" t="n">
        <v>0</v>
      </c>
      <c r="N9501" t="n">
        <v>0</v>
      </c>
      <c r="O9501" t="n">
        <v>0</v>
      </c>
      <c r="P9501" t="n">
        <v>0</v>
      </c>
      <c r="Q9501" t="n">
        <v>0</v>
      </c>
      <c r="R9501" t="n">
        <v>0</v>
      </c>
      <c r="S9501" t="n">
        <v>0</v>
      </c>
      <c r="T9501" t="n">
        <v>0</v>
      </c>
      <c r="U9501" t="n">
        <v>0</v>
      </c>
      <c r="V9501" s="2" t="inlineStr"/>
    </row>
    <row r="9502" ht="15" customHeight="1">
      <c r="A9502" t="inlineStr">
        <is>
          <t>A 53923-2024</t>
        </is>
      </c>
      <c r="B9502" t="inlineStr">
        <is>
          <t>avverkningsanmälan</t>
        </is>
      </c>
      <c r="C9502" t="inlineStr">
        <is>
          <t>Föryngringsavverkning</t>
        </is>
      </c>
      <c r="D9502" s="1" t="n">
        <v>45615</v>
      </c>
      <c r="E9502" s="1" t="n">
        <v>46319</v>
      </c>
      <c r="F9502" t="inlineStr">
        <is>
          <t>DALARNAS LÄN</t>
        </is>
      </c>
      <c r="G9502" t="inlineStr">
        <is>
          <t>HEDEMORA</t>
        </is>
      </c>
      <c r="H9502" t="inlineStr">
        <is>
          <t>Sveaskog</t>
        </is>
      </c>
      <c r="I9502" t="n">
        <v>1.5</v>
      </c>
      <c r="J9502" t="n">
        <v>0</v>
      </c>
      <c r="K9502" t="n">
        <v>0</v>
      </c>
      <c r="L9502" t="n">
        <v>0</v>
      </c>
      <c r="M9502" t="n">
        <v>0</v>
      </c>
      <c r="N9502" t="n">
        <v>0</v>
      </c>
      <c r="O9502" t="n">
        <v>0</v>
      </c>
      <c r="P9502" t="n">
        <v>0</v>
      </c>
      <c r="Q9502" t="n">
        <v>0</v>
      </c>
      <c r="R9502" t="n">
        <v>0</v>
      </c>
      <c r="S9502" t="n">
        <v>0</v>
      </c>
      <c r="T9502" t="n">
        <v>0</v>
      </c>
      <c r="U9502" t="n">
        <v>0</v>
      </c>
      <c r="V9502" s="2" t="inlineStr"/>
    </row>
    <row r="9503" ht="15" customHeight="1">
      <c r="A9503" t="inlineStr">
        <is>
          <t>A 63917-2023</t>
        </is>
      </c>
      <c r="B9503" t="inlineStr">
        <is>
          <t>avverkningsanmälan</t>
        </is>
      </c>
      <c r="C9503" t="inlineStr">
        <is>
          <t>Föryngringsavverkning</t>
        </is>
      </c>
      <c r="D9503" s="1" t="n">
        <v>45278</v>
      </c>
      <c r="E9503" s="1" t="n">
        <v>46319</v>
      </c>
      <c r="F9503" t="inlineStr">
        <is>
          <t>DALARNAS LÄN</t>
        </is>
      </c>
      <c r="G9503" t="inlineStr">
        <is>
          <t>ORSA</t>
        </is>
      </c>
      <c r="I9503" t="n">
        <v>0.8</v>
      </c>
      <c r="J9503" t="n">
        <v>0</v>
      </c>
      <c r="K9503" t="n">
        <v>0</v>
      </c>
      <c r="L9503" t="n">
        <v>0</v>
      </c>
      <c r="M9503" t="n">
        <v>0</v>
      </c>
      <c r="N9503" t="n">
        <v>0</v>
      </c>
      <c r="O9503" t="n">
        <v>0</v>
      </c>
      <c r="P9503" t="n">
        <v>0</v>
      </c>
      <c r="Q9503" t="n">
        <v>0</v>
      </c>
      <c r="R9503" t="n">
        <v>0</v>
      </c>
      <c r="S9503" t="n">
        <v>0</v>
      </c>
      <c r="T9503" t="n">
        <v>0</v>
      </c>
      <c r="U9503" t="n">
        <v>0</v>
      </c>
      <c r="V9503" s="2" t="inlineStr"/>
    </row>
    <row r="9504" ht="15" customHeight="1">
      <c r="A9504" t="inlineStr">
        <is>
          <t>A 46060-2022</t>
        </is>
      </c>
      <c r="B9504" t="inlineStr">
        <is>
          <t>avverkningsanmälan</t>
        </is>
      </c>
      <c r="C9504" t="inlineStr">
        <is>
          <t>Föryngringsavverkning</t>
        </is>
      </c>
      <c r="D9504" s="1" t="n">
        <v>44847</v>
      </c>
      <c r="E9504" s="1" t="n">
        <v>46319</v>
      </c>
      <c r="F9504" t="inlineStr">
        <is>
          <t>DALARNAS LÄN</t>
        </is>
      </c>
      <c r="G9504" t="inlineStr">
        <is>
          <t>RÄTTVIK</t>
        </is>
      </c>
      <c r="I9504" t="n">
        <v>2.4</v>
      </c>
      <c r="J9504" t="n">
        <v>0</v>
      </c>
      <c r="K9504" t="n">
        <v>0</v>
      </c>
      <c r="L9504" t="n">
        <v>0</v>
      </c>
      <c r="M9504" t="n">
        <v>0</v>
      </c>
      <c r="N9504" t="n">
        <v>0</v>
      </c>
      <c r="O9504" t="n">
        <v>0</v>
      </c>
      <c r="P9504" t="n">
        <v>0</v>
      </c>
      <c r="Q9504" t="n">
        <v>0</v>
      </c>
      <c r="R9504" t="n">
        <v>0</v>
      </c>
      <c r="S9504" t="n">
        <v>0</v>
      </c>
      <c r="T9504" t="n">
        <v>0</v>
      </c>
      <c r="U9504" t="n">
        <v>0</v>
      </c>
      <c r="V9504" s="2" t="inlineStr"/>
    </row>
    <row r="9505" ht="15" customHeight="1">
      <c r="A9505" t="inlineStr">
        <is>
          <t>A 17759-2023</t>
        </is>
      </c>
      <c r="B9505" t="inlineStr">
        <is>
          <t>avverkningsanmälan</t>
        </is>
      </c>
      <c r="C9505" t="inlineStr">
        <is>
          <t>Föryngringsavverkning</t>
        </is>
      </c>
      <c r="D9505" s="1" t="n">
        <v>45037</v>
      </c>
      <c r="E9505" s="1" t="n">
        <v>46319</v>
      </c>
      <c r="F9505" t="inlineStr">
        <is>
          <t>DALARNAS LÄN</t>
        </is>
      </c>
      <c r="G9505" t="inlineStr">
        <is>
          <t>LEKSAND</t>
        </is>
      </c>
      <c r="I9505" t="n">
        <v>2.1</v>
      </c>
      <c r="J9505" t="n">
        <v>0</v>
      </c>
      <c r="K9505" t="n">
        <v>0</v>
      </c>
      <c r="L9505" t="n">
        <v>0</v>
      </c>
      <c r="M9505" t="n">
        <v>0</v>
      </c>
      <c r="N9505" t="n">
        <v>0</v>
      </c>
      <c r="O9505" t="n">
        <v>0</v>
      </c>
      <c r="P9505" t="n">
        <v>0</v>
      </c>
      <c r="Q9505" t="n">
        <v>0</v>
      </c>
      <c r="R9505" t="n">
        <v>0</v>
      </c>
      <c r="S9505" t="n">
        <v>0</v>
      </c>
      <c r="T9505" t="n">
        <v>0</v>
      </c>
      <c r="U9505" t="n">
        <v>0</v>
      </c>
      <c r="V9505" s="2" t="inlineStr"/>
    </row>
    <row r="9506" ht="15" customHeight="1">
      <c r="A9506" t="inlineStr">
        <is>
          <t>A 52912-2023</t>
        </is>
      </c>
      <c r="B9506" t="inlineStr">
        <is>
          <t>avverkningsanmälan</t>
        </is>
      </c>
      <c r="C9506" t="inlineStr">
        <is>
          <t>Föryngringsavverkning</t>
        </is>
      </c>
      <c r="D9506" s="1" t="n">
        <v>45226</v>
      </c>
      <c r="E9506" s="1" t="n">
        <v>46319</v>
      </c>
      <c r="F9506" t="inlineStr">
        <is>
          <t>DALARNAS LÄN</t>
        </is>
      </c>
      <c r="G9506" t="inlineStr">
        <is>
          <t>ORSA</t>
        </is>
      </c>
      <c r="I9506" t="n">
        <v>10.9</v>
      </c>
      <c r="J9506" t="n">
        <v>0</v>
      </c>
      <c r="K9506" t="n">
        <v>0</v>
      </c>
      <c r="L9506" t="n">
        <v>0</v>
      </c>
      <c r="M9506" t="n">
        <v>0</v>
      </c>
      <c r="N9506" t="n">
        <v>0</v>
      </c>
      <c r="O9506" t="n">
        <v>0</v>
      </c>
      <c r="P9506" t="n">
        <v>0</v>
      </c>
      <c r="Q9506" t="n">
        <v>0</v>
      </c>
      <c r="R9506" t="n">
        <v>0</v>
      </c>
      <c r="S9506" t="n">
        <v>0</v>
      </c>
      <c r="T9506" t="n">
        <v>0</v>
      </c>
      <c r="U9506" t="n">
        <v>0</v>
      </c>
      <c r="V9506" s="2" t="inlineStr"/>
    </row>
    <row r="9507" ht="15" customHeight="1">
      <c r="A9507" t="inlineStr">
        <is>
          <t>A 36212-2024</t>
        </is>
      </c>
      <c r="B9507" t="inlineStr">
        <is>
          <t>avverkningsanmälan</t>
        </is>
      </c>
      <c r="C9507" t="inlineStr">
        <is>
          <t>Föryngringsavverkning</t>
        </is>
      </c>
      <c r="D9507" s="1" t="n">
        <v>45534</v>
      </c>
      <c r="E9507" s="1" t="n">
        <v>46319</v>
      </c>
      <c r="F9507" t="inlineStr">
        <is>
          <t>DALARNAS LÄN</t>
        </is>
      </c>
      <c r="G9507" t="inlineStr">
        <is>
          <t>FALUN</t>
        </is>
      </c>
      <c r="H9507" t="inlineStr">
        <is>
          <t>Bergvik skog väst AB</t>
        </is>
      </c>
      <c r="I9507" t="n">
        <v>1.5</v>
      </c>
      <c r="J9507" t="n">
        <v>0</v>
      </c>
      <c r="K9507" t="n">
        <v>0</v>
      </c>
      <c r="L9507" t="n">
        <v>0</v>
      </c>
      <c r="M9507" t="n">
        <v>0</v>
      </c>
      <c r="N9507" t="n">
        <v>0</v>
      </c>
      <c r="O9507" t="n">
        <v>0</v>
      </c>
      <c r="P9507" t="n">
        <v>0</v>
      </c>
      <c r="Q9507" t="n">
        <v>0</v>
      </c>
      <c r="R9507" t="n">
        <v>0</v>
      </c>
      <c r="S9507" t="n">
        <v>0</v>
      </c>
      <c r="T9507" t="n">
        <v>0</v>
      </c>
      <c r="U9507" t="n">
        <v>0</v>
      </c>
      <c r="V9507" s="2" t="inlineStr"/>
    </row>
    <row r="9508" ht="15" customHeight="1">
      <c r="A9508" t="inlineStr">
        <is>
          <t>A 385-2024</t>
        </is>
      </c>
      <c r="B9508" t="inlineStr">
        <is>
          <t>avverkningsanmälan</t>
        </is>
      </c>
      <c r="C9508" t="inlineStr">
        <is>
          <t>Föryngringsavverkning</t>
        </is>
      </c>
      <c r="D9508" s="1" t="n">
        <v>45296</v>
      </c>
      <c r="E9508" s="1" t="n">
        <v>46319</v>
      </c>
      <c r="F9508" t="inlineStr">
        <is>
          <t>DALARNAS LÄN</t>
        </is>
      </c>
      <c r="G9508" t="inlineStr">
        <is>
          <t>HEDEMORA</t>
        </is>
      </c>
      <c r="I9508" t="n">
        <v>1.7</v>
      </c>
      <c r="J9508" t="n">
        <v>0</v>
      </c>
      <c r="K9508" t="n">
        <v>0</v>
      </c>
      <c r="L9508" t="n">
        <v>0</v>
      </c>
      <c r="M9508" t="n">
        <v>0</v>
      </c>
      <c r="N9508" t="n">
        <v>0</v>
      </c>
      <c r="O9508" t="n">
        <v>0</v>
      </c>
      <c r="P9508" t="n">
        <v>0</v>
      </c>
      <c r="Q9508" t="n">
        <v>0</v>
      </c>
      <c r="R9508" t="n">
        <v>0</v>
      </c>
      <c r="S9508" t="n">
        <v>0</v>
      </c>
      <c r="T9508" t="n">
        <v>0</v>
      </c>
      <c r="U9508" t="n">
        <v>0</v>
      </c>
      <c r="V9508" s="2" t="inlineStr"/>
    </row>
    <row r="9509" ht="15" customHeight="1">
      <c r="A9509" t="inlineStr">
        <is>
          <t>A 57151-2022</t>
        </is>
      </c>
      <c r="B9509" t="inlineStr">
        <is>
          <t>avverkningsanmälan</t>
        </is>
      </c>
      <c r="C9509" t="inlineStr">
        <is>
          <t>Föryngringsavverkning</t>
        </is>
      </c>
      <c r="D9509" s="1" t="n">
        <v>44895</v>
      </c>
      <c r="E9509" s="1" t="n">
        <v>46319</v>
      </c>
      <c r="F9509" t="inlineStr">
        <is>
          <t>DALARNAS LÄN</t>
        </is>
      </c>
      <c r="G9509" t="inlineStr">
        <is>
          <t>SMEDJEBACKEN</t>
        </is>
      </c>
      <c r="I9509" t="n">
        <v>2.3</v>
      </c>
      <c r="J9509" t="n">
        <v>0</v>
      </c>
      <c r="K9509" t="n">
        <v>0</v>
      </c>
      <c r="L9509" t="n">
        <v>0</v>
      </c>
      <c r="M9509" t="n">
        <v>0</v>
      </c>
      <c r="N9509" t="n">
        <v>0</v>
      </c>
      <c r="O9509" t="n">
        <v>0</v>
      </c>
      <c r="P9509" t="n">
        <v>0</v>
      </c>
      <c r="Q9509" t="n">
        <v>0</v>
      </c>
      <c r="R9509" t="n">
        <v>0</v>
      </c>
      <c r="S9509" t="n">
        <v>0</v>
      </c>
      <c r="T9509" t="n">
        <v>0</v>
      </c>
      <c r="U9509" t="n">
        <v>0</v>
      </c>
      <c r="V9509" s="2" t="inlineStr"/>
    </row>
    <row r="9510" ht="15" customHeight="1">
      <c r="A9510" t="inlineStr">
        <is>
          <t>A 53996-2024</t>
        </is>
      </c>
      <c r="B9510" t="inlineStr">
        <is>
          <t>avverkningsanmälan</t>
        </is>
      </c>
      <c r="C9510" t="inlineStr">
        <is>
          <t>Föryngringsavverkning</t>
        </is>
      </c>
      <c r="D9510" s="1" t="n">
        <v>45616</v>
      </c>
      <c r="E9510" s="1" t="n">
        <v>46319</v>
      </c>
      <c r="F9510" t="inlineStr">
        <is>
          <t>DALARNAS LÄN</t>
        </is>
      </c>
      <c r="G9510" t="inlineStr">
        <is>
          <t>LUDVIKA</t>
        </is>
      </c>
      <c r="H9510" t="inlineStr">
        <is>
          <t>Bergvik skog väst AB</t>
        </is>
      </c>
      <c r="I9510" t="n">
        <v>1.5</v>
      </c>
      <c r="J9510" t="n">
        <v>0</v>
      </c>
      <c r="K9510" t="n">
        <v>0</v>
      </c>
      <c r="L9510" t="n">
        <v>0</v>
      </c>
      <c r="M9510" t="n">
        <v>0</v>
      </c>
      <c r="N9510" t="n">
        <v>0</v>
      </c>
      <c r="O9510" t="n">
        <v>0</v>
      </c>
      <c r="P9510" t="n">
        <v>0</v>
      </c>
      <c r="Q9510" t="n">
        <v>0</v>
      </c>
      <c r="R9510" t="n">
        <v>0</v>
      </c>
      <c r="S9510" t="n">
        <v>0</v>
      </c>
      <c r="T9510" t="n">
        <v>0</v>
      </c>
      <c r="U9510" t="n">
        <v>0</v>
      </c>
      <c r="V9510" s="2" t="inlineStr"/>
    </row>
    <row r="9511" ht="15" customHeight="1">
      <c r="A9511" t="inlineStr">
        <is>
          <t>A 55015-2024</t>
        </is>
      </c>
      <c r="B9511" t="inlineStr">
        <is>
          <t>avverkningsanmälan</t>
        </is>
      </c>
      <c r="C9511" t="inlineStr">
        <is>
          <t>Föryngringsavverkning</t>
        </is>
      </c>
      <c r="D9511" s="1" t="n">
        <v>45621</v>
      </c>
      <c r="E9511" s="1" t="n">
        <v>46319</v>
      </c>
      <c r="F9511" t="inlineStr">
        <is>
          <t>DALARNAS LÄN</t>
        </is>
      </c>
      <c r="G9511" t="inlineStr">
        <is>
          <t>LEKSAND</t>
        </is>
      </c>
      <c r="I9511" t="n">
        <v>0.6</v>
      </c>
      <c r="J9511" t="n">
        <v>0</v>
      </c>
      <c r="K9511" t="n">
        <v>0</v>
      </c>
      <c r="L9511" t="n">
        <v>0</v>
      </c>
      <c r="M9511" t="n">
        <v>0</v>
      </c>
      <c r="N9511" t="n">
        <v>0</v>
      </c>
      <c r="O9511" t="n">
        <v>0</v>
      </c>
      <c r="P9511" t="n">
        <v>0</v>
      </c>
      <c r="Q9511" t="n">
        <v>0</v>
      </c>
      <c r="R9511" t="n">
        <v>0</v>
      </c>
      <c r="S9511" t="n">
        <v>0</v>
      </c>
      <c r="T9511" t="n">
        <v>0</v>
      </c>
      <c r="U9511" t="n">
        <v>0</v>
      </c>
      <c r="V9511" s="2" t="inlineStr"/>
    </row>
    <row r="9512" ht="15" customHeight="1">
      <c r="A9512" t="inlineStr">
        <is>
          <t>A 46505-2023</t>
        </is>
      </c>
      <c r="B9512" t="inlineStr">
        <is>
          <t>avverkningsanmälan</t>
        </is>
      </c>
      <c r="C9512" t="inlineStr">
        <is>
          <t>Föryngringsavverkning</t>
        </is>
      </c>
      <c r="D9512" s="1" t="n">
        <v>45197</v>
      </c>
      <c r="E9512" s="1" t="n">
        <v>46319</v>
      </c>
      <c r="F9512" t="inlineStr">
        <is>
          <t>DALARNAS LÄN</t>
        </is>
      </c>
      <c r="G9512" t="inlineStr">
        <is>
          <t>LEKSAND</t>
        </is>
      </c>
      <c r="I9512" t="n">
        <v>2.3</v>
      </c>
      <c r="J9512" t="n">
        <v>0</v>
      </c>
      <c r="K9512" t="n">
        <v>0</v>
      </c>
      <c r="L9512" t="n">
        <v>0</v>
      </c>
      <c r="M9512" t="n">
        <v>0</v>
      </c>
      <c r="N9512" t="n">
        <v>0</v>
      </c>
      <c r="O9512" t="n">
        <v>0</v>
      </c>
      <c r="P9512" t="n">
        <v>0</v>
      </c>
      <c r="Q9512" t="n">
        <v>0</v>
      </c>
      <c r="R9512" t="n">
        <v>0</v>
      </c>
      <c r="S9512" t="n">
        <v>0</v>
      </c>
      <c r="T9512" t="n">
        <v>0</v>
      </c>
      <c r="U9512" t="n">
        <v>0</v>
      </c>
      <c r="V9512" s="2" t="inlineStr"/>
    </row>
    <row r="9513" ht="15" customHeight="1">
      <c r="A9513" t="inlineStr">
        <is>
          <t>A 510-2024</t>
        </is>
      </c>
      <c r="B9513" t="inlineStr">
        <is>
          <t>avverkningsanmälan</t>
        </is>
      </c>
      <c r="C9513" t="inlineStr">
        <is>
          <t>Föryngringsavverkning</t>
        </is>
      </c>
      <c r="D9513" s="1" t="n">
        <v>45299</v>
      </c>
      <c r="E9513" s="1" t="n">
        <v>46319</v>
      </c>
      <c r="F9513" t="inlineStr">
        <is>
          <t>DALARNAS LÄN</t>
        </is>
      </c>
      <c r="G9513" t="inlineStr">
        <is>
          <t>ÄLVDALEN</t>
        </is>
      </c>
      <c r="I9513" t="n">
        <v>1.5</v>
      </c>
      <c r="J9513" t="n">
        <v>0</v>
      </c>
      <c r="K9513" t="n">
        <v>0</v>
      </c>
      <c r="L9513" t="n">
        <v>0</v>
      </c>
      <c r="M9513" t="n">
        <v>0</v>
      </c>
      <c r="N9513" t="n">
        <v>0</v>
      </c>
      <c r="O9513" t="n">
        <v>0</v>
      </c>
      <c r="P9513" t="n">
        <v>0</v>
      </c>
      <c r="Q9513" t="n">
        <v>0</v>
      </c>
      <c r="R9513" t="n">
        <v>0</v>
      </c>
      <c r="S9513" t="n">
        <v>0</v>
      </c>
      <c r="T9513" t="n">
        <v>0</v>
      </c>
      <c r="U9513" t="n">
        <v>0</v>
      </c>
      <c r="V9513" s="2" t="inlineStr"/>
    </row>
    <row r="9514" ht="15" customHeight="1">
      <c r="A9514" t="inlineStr">
        <is>
          <t>A 35501-2023</t>
        </is>
      </c>
      <c r="B9514" t="inlineStr">
        <is>
          <t>avverkningsanmälan</t>
        </is>
      </c>
      <c r="C9514" t="inlineStr">
        <is>
          <t>Föryngringsavverkning</t>
        </is>
      </c>
      <c r="D9514" s="1" t="n">
        <v>45146</v>
      </c>
      <c r="E9514" s="1" t="n">
        <v>46319</v>
      </c>
      <c r="F9514" t="inlineStr">
        <is>
          <t>DALARNAS LÄN</t>
        </is>
      </c>
      <c r="G9514" t="inlineStr">
        <is>
          <t>BORLÄNGE</t>
        </is>
      </c>
      <c r="I9514" t="n">
        <v>0.3</v>
      </c>
      <c r="J9514" t="n">
        <v>0</v>
      </c>
      <c r="K9514" t="n">
        <v>0</v>
      </c>
      <c r="L9514" t="n">
        <v>0</v>
      </c>
      <c r="M9514" t="n">
        <v>0</v>
      </c>
      <c r="N9514" t="n">
        <v>0</v>
      </c>
      <c r="O9514" t="n">
        <v>0</v>
      </c>
      <c r="P9514" t="n">
        <v>0</v>
      </c>
      <c r="Q9514" t="n">
        <v>0</v>
      </c>
      <c r="R9514" t="n">
        <v>0</v>
      </c>
      <c r="S9514" t="n">
        <v>0</v>
      </c>
      <c r="T9514" t="n">
        <v>0</v>
      </c>
      <c r="U9514" t="n">
        <v>0</v>
      </c>
      <c r="V9514" s="2" t="inlineStr"/>
    </row>
    <row r="9515" ht="15" customHeight="1">
      <c r="A9515" t="inlineStr">
        <is>
          <t>A 60086-2021</t>
        </is>
      </c>
      <c r="B9515" t="inlineStr">
        <is>
          <t>avverkningsanmälan</t>
        </is>
      </c>
      <c r="C9515" t="inlineStr">
        <is>
          <t>Föryngringsavverkning</t>
        </is>
      </c>
      <c r="D9515" s="1" t="n">
        <v>44494</v>
      </c>
      <c r="E9515" s="1" t="n">
        <v>46319</v>
      </c>
      <c r="F9515" t="inlineStr">
        <is>
          <t>DALARNAS LÄN</t>
        </is>
      </c>
      <c r="G9515" t="inlineStr">
        <is>
          <t>SMEDJEBACKEN</t>
        </is>
      </c>
      <c r="H9515" t="inlineStr">
        <is>
          <t>Bergvik skog väst AB</t>
        </is>
      </c>
      <c r="I9515" t="n">
        <v>2.3</v>
      </c>
      <c r="J9515" t="n">
        <v>0</v>
      </c>
      <c r="K9515" t="n">
        <v>0</v>
      </c>
      <c r="L9515" t="n">
        <v>0</v>
      </c>
      <c r="M9515" t="n">
        <v>0</v>
      </c>
      <c r="N9515" t="n">
        <v>0</v>
      </c>
      <c r="O9515" t="n">
        <v>0</v>
      </c>
      <c r="P9515" t="n">
        <v>0</v>
      </c>
      <c r="Q9515" t="n">
        <v>0</v>
      </c>
      <c r="R9515" t="n">
        <v>0</v>
      </c>
      <c r="S9515" t="n">
        <v>0</v>
      </c>
      <c r="T9515" t="n">
        <v>0</v>
      </c>
      <c r="U9515" t="n">
        <v>0</v>
      </c>
      <c r="V9515" s="2" t="inlineStr"/>
    </row>
    <row r="9516" ht="15" customHeight="1">
      <c r="A9516" t="inlineStr">
        <is>
          <t>A 60230-2021</t>
        </is>
      </c>
      <c r="B9516" t="inlineStr">
        <is>
          <t>avverkningsanmälan</t>
        </is>
      </c>
      <c r="C9516" t="inlineStr">
        <is>
          <t>Föryngringsavverkning</t>
        </is>
      </c>
      <c r="D9516" s="1" t="n">
        <v>44495</v>
      </c>
      <c r="E9516" s="1" t="n">
        <v>46319</v>
      </c>
      <c r="F9516" t="inlineStr">
        <is>
          <t>DALARNAS LÄN</t>
        </is>
      </c>
      <c r="G9516" t="inlineStr">
        <is>
          <t>MALUNG-SÄLEN</t>
        </is>
      </c>
      <c r="I9516" t="n">
        <v>4</v>
      </c>
      <c r="J9516" t="n">
        <v>0</v>
      </c>
      <c r="K9516" t="n">
        <v>0</v>
      </c>
      <c r="L9516" t="n">
        <v>0</v>
      </c>
      <c r="M9516" t="n">
        <v>0</v>
      </c>
      <c r="N9516" t="n">
        <v>0</v>
      </c>
      <c r="O9516" t="n">
        <v>0</v>
      </c>
      <c r="P9516" t="n">
        <v>0</v>
      </c>
      <c r="Q9516" t="n">
        <v>0</v>
      </c>
      <c r="R9516" t="n">
        <v>0</v>
      </c>
      <c r="S9516" t="n">
        <v>0</v>
      </c>
      <c r="T9516" t="n">
        <v>0</v>
      </c>
      <c r="U9516" t="n">
        <v>0</v>
      </c>
      <c r="V9516" s="2" t="inlineStr"/>
    </row>
    <row r="9517" ht="15" customHeight="1">
      <c r="A9517" t="inlineStr">
        <is>
          <t>A 10832-2022</t>
        </is>
      </c>
      <c r="B9517" t="inlineStr">
        <is>
          <t>avverkningsanmälan</t>
        </is>
      </c>
      <c r="C9517" t="inlineStr">
        <is>
          <t>Föryngringsavverkning</t>
        </is>
      </c>
      <c r="D9517" s="1" t="n">
        <v>44627</v>
      </c>
      <c r="E9517" s="1" t="n">
        <v>46319</v>
      </c>
      <c r="F9517" t="inlineStr">
        <is>
          <t>DALARNAS LÄN</t>
        </is>
      </c>
      <c r="G9517" t="inlineStr">
        <is>
          <t>ORSA</t>
        </is>
      </c>
      <c r="I9517" t="n">
        <v>1.4</v>
      </c>
      <c r="J9517" t="n">
        <v>0</v>
      </c>
      <c r="K9517" t="n">
        <v>0</v>
      </c>
      <c r="L9517" t="n">
        <v>0</v>
      </c>
      <c r="M9517" t="n">
        <v>0</v>
      </c>
      <c r="N9517" t="n">
        <v>0</v>
      </c>
      <c r="O9517" t="n">
        <v>0</v>
      </c>
      <c r="P9517" t="n">
        <v>0</v>
      </c>
      <c r="Q9517" t="n">
        <v>0</v>
      </c>
      <c r="R9517" t="n">
        <v>0</v>
      </c>
      <c r="S9517" t="n">
        <v>0</v>
      </c>
      <c r="T9517" t="n">
        <v>0</v>
      </c>
      <c r="U9517" t="n">
        <v>0</v>
      </c>
      <c r="V9517" s="2" t="inlineStr"/>
    </row>
    <row r="9518" ht="15" customHeight="1">
      <c r="A9518" t="inlineStr">
        <is>
          <t>A 63518-2021</t>
        </is>
      </c>
      <c r="B9518" t="inlineStr">
        <is>
          <t>avverkningsanmälan</t>
        </is>
      </c>
      <c r="C9518" t="inlineStr">
        <is>
          <t>Föryngringsavverkning</t>
        </is>
      </c>
      <c r="D9518" s="1" t="n">
        <v>44508</v>
      </c>
      <c r="E9518" s="1" t="n">
        <v>46319</v>
      </c>
      <c r="F9518" t="inlineStr">
        <is>
          <t>DALARNAS LÄN</t>
        </is>
      </c>
      <c r="G9518" t="inlineStr">
        <is>
          <t>SMEDJEBACKEN</t>
        </is>
      </c>
      <c r="H9518" t="inlineStr">
        <is>
          <t>Sveaskog</t>
        </is>
      </c>
      <c r="I9518" t="n">
        <v>0.6</v>
      </c>
      <c r="J9518" t="n">
        <v>0</v>
      </c>
      <c r="K9518" t="n">
        <v>0</v>
      </c>
      <c r="L9518" t="n">
        <v>0</v>
      </c>
      <c r="M9518" t="n">
        <v>0</v>
      </c>
      <c r="N9518" t="n">
        <v>0</v>
      </c>
      <c r="O9518" t="n">
        <v>0</v>
      </c>
      <c r="P9518" t="n">
        <v>0</v>
      </c>
      <c r="Q9518" t="n">
        <v>0</v>
      </c>
      <c r="R9518" t="n">
        <v>0</v>
      </c>
      <c r="S9518" t="n">
        <v>0</v>
      </c>
      <c r="T9518" t="n">
        <v>0</v>
      </c>
      <c r="U9518" t="n">
        <v>0</v>
      </c>
      <c r="V9518" s="2" t="inlineStr"/>
    </row>
    <row r="9519" ht="15" customHeight="1">
      <c r="A9519" t="inlineStr">
        <is>
          <t>A 46200-2023</t>
        </is>
      </c>
      <c r="B9519" t="inlineStr">
        <is>
          <t>avverkningsanmälan</t>
        </is>
      </c>
      <c r="C9519" t="inlineStr">
        <is>
          <t>Föryngringsavverkning</t>
        </is>
      </c>
      <c r="D9519" s="1" t="n">
        <v>45196</v>
      </c>
      <c r="E9519" s="1" t="n">
        <v>46319</v>
      </c>
      <c r="F9519" t="inlineStr">
        <is>
          <t>DALARNAS LÄN</t>
        </is>
      </c>
      <c r="G9519" t="inlineStr">
        <is>
          <t>FALUN</t>
        </is>
      </c>
      <c r="I9519" t="n">
        <v>0.6</v>
      </c>
      <c r="J9519" t="n">
        <v>0</v>
      </c>
      <c r="K9519" t="n">
        <v>0</v>
      </c>
      <c r="L9519" t="n">
        <v>0</v>
      </c>
      <c r="M9519" t="n">
        <v>0</v>
      </c>
      <c r="N9519" t="n">
        <v>0</v>
      </c>
      <c r="O9519" t="n">
        <v>0</v>
      </c>
      <c r="P9519" t="n">
        <v>0</v>
      </c>
      <c r="Q9519" t="n">
        <v>0</v>
      </c>
      <c r="R9519" t="n">
        <v>0</v>
      </c>
      <c r="S9519" t="n">
        <v>0</v>
      </c>
      <c r="T9519" t="n">
        <v>0</v>
      </c>
      <c r="U9519" t="n">
        <v>0</v>
      </c>
      <c r="V9519" s="2" t="inlineStr"/>
    </row>
    <row r="9520" ht="15" customHeight="1">
      <c r="A9520" t="inlineStr">
        <is>
          <t>A 64171-2023</t>
        </is>
      </c>
      <c r="B9520" t="inlineStr">
        <is>
          <t>avverkningsanmälan</t>
        </is>
      </c>
      <c r="C9520" t="inlineStr">
        <is>
          <t>Föryngringsavverkning</t>
        </is>
      </c>
      <c r="D9520" s="1" t="n">
        <v>45279</v>
      </c>
      <c r="E9520" s="1" t="n">
        <v>46319</v>
      </c>
      <c r="F9520" t="inlineStr">
        <is>
          <t>DALARNAS LÄN</t>
        </is>
      </c>
      <c r="G9520" t="inlineStr">
        <is>
          <t>LUDVIKA</t>
        </is>
      </c>
      <c r="I9520" t="n">
        <v>8.6</v>
      </c>
      <c r="J9520" t="n">
        <v>0</v>
      </c>
      <c r="K9520" t="n">
        <v>0</v>
      </c>
      <c r="L9520" t="n">
        <v>0</v>
      </c>
      <c r="M9520" t="n">
        <v>0</v>
      </c>
      <c r="N9520" t="n">
        <v>0</v>
      </c>
      <c r="O9520" t="n">
        <v>0</v>
      </c>
      <c r="P9520" t="n">
        <v>0</v>
      </c>
      <c r="Q9520" t="n">
        <v>0</v>
      </c>
      <c r="R9520" t="n">
        <v>0</v>
      </c>
      <c r="S9520" t="n">
        <v>0</v>
      </c>
      <c r="T9520" t="n">
        <v>0</v>
      </c>
      <c r="U9520" t="n">
        <v>0</v>
      </c>
      <c r="V9520" s="2" t="inlineStr"/>
    </row>
    <row r="9521" ht="15" customHeight="1">
      <c r="A9521" t="inlineStr">
        <is>
          <t>A 4662-2024</t>
        </is>
      </c>
      <c r="B9521" t="inlineStr">
        <is>
          <t>avverkningsanmälan</t>
        </is>
      </c>
      <c r="C9521" t="inlineStr">
        <is>
          <t>Föryngringsavverkning</t>
        </is>
      </c>
      <c r="D9521" s="1" t="n">
        <v>45328</v>
      </c>
      <c r="E9521" s="1" t="n">
        <v>46319</v>
      </c>
      <c r="F9521" t="inlineStr">
        <is>
          <t>DALARNAS LÄN</t>
        </is>
      </c>
      <c r="G9521" t="inlineStr">
        <is>
          <t>ÄLVDALEN</t>
        </is>
      </c>
      <c r="I9521" t="n">
        <v>4.9</v>
      </c>
      <c r="J9521" t="n">
        <v>0</v>
      </c>
      <c r="K9521" t="n">
        <v>0</v>
      </c>
      <c r="L9521" t="n">
        <v>0</v>
      </c>
      <c r="M9521" t="n">
        <v>0</v>
      </c>
      <c r="N9521" t="n">
        <v>0</v>
      </c>
      <c r="O9521" t="n">
        <v>0</v>
      </c>
      <c r="P9521" t="n">
        <v>0</v>
      </c>
      <c r="Q9521" t="n">
        <v>0</v>
      </c>
      <c r="R9521" t="n">
        <v>0</v>
      </c>
      <c r="S9521" t="n">
        <v>0</v>
      </c>
      <c r="T9521" t="n">
        <v>0</v>
      </c>
      <c r="U9521" t="n">
        <v>0</v>
      </c>
      <c r="V9521" s="2" t="inlineStr"/>
    </row>
    <row r="9522" ht="15" customHeight="1">
      <c r="A9522" t="inlineStr">
        <is>
          <t>A 923-2024</t>
        </is>
      </c>
      <c r="B9522" t="inlineStr">
        <is>
          <t>avverkningsanmälan</t>
        </is>
      </c>
      <c r="C9522" t="inlineStr">
        <is>
          <t>Avverkning för annat ändamål</t>
        </is>
      </c>
      <c r="D9522" s="1" t="n">
        <v>45301</v>
      </c>
      <c r="E9522" s="1" t="n">
        <v>46319</v>
      </c>
      <c r="F9522" t="inlineStr">
        <is>
          <t>DALARNAS LÄN</t>
        </is>
      </c>
      <c r="G9522" t="inlineStr">
        <is>
          <t>LUDVIKA</t>
        </is>
      </c>
      <c r="I9522" t="n">
        <v>0.3</v>
      </c>
      <c r="J9522" t="n">
        <v>0</v>
      </c>
      <c r="K9522" t="n">
        <v>0</v>
      </c>
      <c r="L9522" t="n">
        <v>0</v>
      </c>
      <c r="M9522" t="n">
        <v>0</v>
      </c>
      <c r="N9522" t="n">
        <v>0</v>
      </c>
      <c r="O9522" t="n">
        <v>0</v>
      </c>
      <c r="P9522" t="n">
        <v>0</v>
      </c>
      <c r="Q9522" t="n">
        <v>0</v>
      </c>
      <c r="R9522" t="n">
        <v>0</v>
      </c>
      <c r="S9522" t="n">
        <v>0</v>
      </c>
      <c r="T9522" t="n">
        <v>0</v>
      </c>
      <c r="U9522" t="n">
        <v>0</v>
      </c>
      <c r="V9522" s="2" t="inlineStr"/>
    </row>
    <row r="9523" ht="15" customHeight="1">
      <c r="A9523" t="inlineStr">
        <is>
          <t>A 971-2024</t>
        </is>
      </c>
      <c r="B9523" t="inlineStr">
        <is>
          <t>avverkningsanmälan</t>
        </is>
      </c>
      <c r="C9523" t="inlineStr">
        <is>
          <t>Föryngringsavverkning</t>
        </is>
      </c>
      <c r="D9523" s="1" t="n">
        <v>45301</v>
      </c>
      <c r="E9523" s="1" t="n">
        <v>46319</v>
      </c>
      <c r="F9523" t="inlineStr">
        <is>
          <t>DALARNAS LÄN</t>
        </is>
      </c>
      <c r="G9523" t="inlineStr">
        <is>
          <t>MALUNG-SÄLEN</t>
        </is>
      </c>
      <c r="I9523" t="n">
        <v>4.7</v>
      </c>
      <c r="J9523" t="n">
        <v>0</v>
      </c>
      <c r="K9523" t="n">
        <v>0</v>
      </c>
      <c r="L9523" t="n">
        <v>0</v>
      </c>
      <c r="M9523" t="n">
        <v>0</v>
      </c>
      <c r="N9523" t="n">
        <v>0</v>
      </c>
      <c r="O9523" t="n">
        <v>0</v>
      </c>
      <c r="P9523" t="n">
        <v>0</v>
      </c>
      <c r="Q9523" t="n">
        <v>0</v>
      </c>
      <c r="R9523" t="n">
        <v>0</v>
      </c>
      <c r="S9523" t="n">
        <v>0</v>
      </c>
      <c r="T9523" t="n">
        <v>0</v>
      </c>
      <c r="U9523" t="n">
        <v>0</v>
      </c>
      <c r="V9523" s="2" t="inlineStr"/>
    </row>
    <row r="9524" ht="15" customHeight="1">
      <c r="A9524" t="inlineStr">
        <is>
          <t>A 50278-2023</t>
        </is>
      </c>
      <c r="B9524" t="inlineStr">
        <is>
          <t>avverkningsanmälan</t>
        </is>
      </c>
      <c r="C9524" t="inlineStr">
        <is>
          <t>Föryngringsavverkning</t>
        </is>
      </c>
      <c r="D9524" s="1" t="n">
        <v>45216</v>
      </c>
      <c r="E9524" s="1" t="n">
        <v>46319</v>
      </c>
      <c r="F9524" t="inlineStr">
        <is>
          <t>DALARNAS LÄN</t>
        </is>
      </c>
      <c r="G9524" t="inlineStr">
        <is>
          <t>LEKSAND</t>
        </is>
      </c>
      <c r="I9524" t="n">
        <v>0.4</v>
      </c>
      <c r="J9524" t="n">
        <v>0</v>
      </c>
      <c r="K9524" t="n">
        <v>0</v>
      </c>
      <c r="L9524" t="n">
        <v>0</v>
      </c>
      <c r="M9524" t="n">
        <v>0</v>
      </c>
      <c r="N9524" t="n">
        <v>0</v>
      </c>
      <c r="O9524" t="n">
        <v>0</v>
      </c>
      <c r="P9524" t="n">
        <v>0</v>
      </c>
      <c r="Q9524" t="n">
        <v>0</v>
      </c>
      <c r="R9524" t="n">
        <v>0</v>
      </c>
      <c r="S9524" t="n">
        <v>0</v>
      </c>
      <c r="T9524" t="n">
        <v>0</v>
      </c>
      <c r="U9524" t="n">
        <v>0</v>
      </c>
      <c r="V9524" s="2" t="inlineStr"/>
    </row>
    <row r="9525" ht="15" customHeight="1">
      <c r="A9525" t="inlineStr">
        <is>
          <t>A 58116-2022</t>
        </is>
      </c>
      <c r="B9525" t="inlineStr">
        <is>
          <t>avverkningsanmälan</t>
        </is>
      </c>
      <c r="C9525" t="inlineStr">
        <is>
          <t>Föryngringsavverkning</t>
        </is>
      </c>
      <c r="D9525" s="1" t="n">
        <v>44900</v>
      </c>
      <c r="E9525" s="1" t="n">
        <v>46319</v>
      </c>
      <c r="F9525" t="inlineStr">
        <is>
          <t>DALARNAS LÄN</t>
        </is>
      </c>
      <c r="G9525" t="inlineStr">
        <is>
          <t>MORA</t>
        </is>
      </c>
      <c r="I9525" t="n">
        <v>2.9</v>
      </c>
      <c r="J9525" t="n">
        <v>0</v>
      </c>
      <c r="K9525" t="n">
        <v>0</v>
      </c>
      <c r="L9525" t="n">
        <v>0</v>
      </c>
      <c r="M9525" t="n">
        <v>0</v>
      </c>
      <c r="N9525" t="n">
        <v>0</v>
      </c>
      <c r="O9525" t="n">
        <v>0</v>
      </c>
      <c r="P9525" t="n">
        <v>0</v>
      </c>
      <c r="Q9525" t="n">
        <v>0</v>
      </c>
      <c r="R9525" t="n">
        <v>0</v>
      </c>
      <c r="S9525" t="n">
        <v>0</v>
      </c>
      <c r="T9525" t="n">
        <v>0</v>
      </c>
      <c r="U9525" t="n">
        <v>0</v>
      </c>
      <c r="V9525" s="2" t="inlineStr"/>
    </row>
    <row r="9526" ht="15" customHeight="1">
      <c r="A9526" t="inlineStr">
        <is>
          <t>A 26456-2024</t>
        </is>
      </c>
      <c r="B9526" t="inlineStr">
        <is>
          <t>avverkningsanmälan</t>
        </is>
      </c>
      <c r="C9526" t="inlineStr">
        <is>
          <t>Föryngringsavverkning</t>
        </is>
      </c>
      <c r="D9526" s="1" t="n">
        <v>45469</v>
      </c>
      <c r="E9526" s="1" t="n">
        <v>46319</v>
      </c>
      <c r="F9526" t="inlineStr">
        <is>
          <t>DALARNAS LÄN</t>
        </is>
      </c>
      <c r="G9526" t="inlineStr">
        <is>
          <t>SÄTER</t>
        </is>
      </c>
      <c r="I9526" t="n">
        <v>1</v>
      </c>
      <c r="J9526" t="n">
        <v>0</v>
      </c>
      <c r="K9526" t="n">
        <v>0</v>
      </c>
      <c r="L9526" t="n">
        <v>0</v>
      </c>
      <c r="M9526" t="n">
        <v>0</v>
      </c>
      <c r="N9526" t="n">
        <v>0</v>
      </c>
      <c r="O9526" t="n">
        <v>0</v>
      </c>
      <c r="P9526" t="n">
        <v>0</v>
      </c>
      <c r="Q9526" t="n">
        <v>0</v>
      </c>
      <c r="R9526" t="n">
        <v>0</v>
      </c>
      <c r="S9526" t="n">
        <v>0</v>
      </c>
      <c r="T9526" t="n">
        <v>0</v>
      </c>
      <c r="U9526" t="n">
        <v>0</v>
      </c>
      <c r="V9526" s="2" t="inlineStr"/>
    </row>
    <row r="9527" ht="15" customHeight="1">
      <c r="A9527" t="inlineStr">
        <is>
          <t>A 33872-2024</t>
        </is>
      </c>
      <c r="B9527" t="inlineStr">
        <is>
          <t>avverkningsanmälan</t>
        </is>
      </c>
      <c r="C9527" t="inlineStr">
        <is>
          <t>Föryngringsavverkning</t>
        </is>
      </c>
      <c r="D9527" s="1" t="n">
        <v>45520</v>
      </c>
      <c r="E9527" s="1" t="n">
        <v>46319</v>
      </c>
      <c r="F9527" t="inlineStr">
        <is>
          <t>DALARNAS LÄN</t>
        </is>
      </c>
      <c r="G9527" t="inlineStr">
        <is>
          <t>SÄTER</t>
        </is>
      </c>
      <c r="I9527" t="n">
        <v>1.1</v>
      </c>
      <c r="J9527" t="n">
        <v>0</v>
      </c>
      <c r="K9527" t="n">
        <v>0</v>
      </c>
      <c r="L9527" t="n">
        <v>0</v>
      </c>
      <c r="M9527" t="n">
        <v>0</v>
      </c>
      <c r="N9527" t="n">
        <v>0</v>
      </c>
      <c r="O9527" t="n">
        <v>0</v>
      </c>
      <c r="P9527" t="n">
        <v>0</v>
      </c>
      <c r="Q9527" t="n">
        <v>0</v>
      </c>
      <c r="R9527" t="n">
        <v>0</v>
      </c>
      <c r="S9527" t="n">
        <v>0</v>
      </c>
      <c r="T9527" t="n">
        <v>0</v>
      </c>
      <c r="U9527" t="n">
        <v>0</v>
      </c>
      <c r="V9527" s="2" t="inlineStr"/>
    </row>
    <row r="9528" ht="15" customHeight="1">
      <c r="A9528" t="inlineStr">
        <is>
          <t>A 7140-2024</t>
        </is>
      </c>
      <c r="B9528" t="inlineStr">
        <is>
          <t>avverkningsanmälan</t>
        </is>
      </c>
      <c r="C9528" t="inlineStr">
        <is>
          <t>Föryngringsavverkning</t>
        </is>
      </c>
      <c r="D9528" s="1" t="n">
        <v>45344</v>
      </c>
      <c r="E9528" s="1" t="n">
        <v>46319</v>
      </c>
      <c r="F9528" t="inlineStr">
        <is>
          <t>DALARNAS LÄN</t>
        </is>
      </c>
      <c r="G9528" t="inlineStr">
        <is>
          <t>RÄTTVIK</t>
        </is>
      </c>
      <c r="I9528" t="n">
        <v>5.9</v>
      </c>
      <c r="J9528" t="n">
        <v>0</v>
      </c>
      <c r="K9528" t="n">
        <v>0</v>
      </c>
      <c r="L9528" t="n">
        <v>0</v>
      </c>
      <c r="M9528" t="n">
        <v>0</v>
      </c>
      <c r="N9528" t="n">
        <v>0</v>
      </c>
      <c r="O9528" t="n">
        <v>0</v>
      </c>
      <c r="P9528" t="n">
        <v>0</v>
      </c>
      <c r="Q9528" t="n">
        <v>0</v>
      </c>
      <c r="R9528" t="n">
        <v>0</v>
      </c>
      <c r="S9528" t="n">
        <v>0</v>
      </c>
      <c r="T9528" t="n">
        <v>0</v>
      </c>
      <c r="U9528" t="n">
        <v>0</v>
      </c>
      <c r="V9528" s="2" t="inlineStr"/>
    </row>
    <row r="9529" ht="15" customHeight="1">
      <c r="A9529" t="inlineStr">
        <is>
          <t>A 5063-2025</t>
        </is>
      </c>
      <c r="B9529" t="inlineStr">
        <is>
          <t>avverkningsanmälan</t>
        </is>
      </c>
      <c r="C9529" t="inlineStr">
        <is>
          <t>Avverkning för att bevara och utveckla /försöksver</t>
        </is>
      </c>
      <c r="D9529" s="1" t="n">
        <v>45691</v>
      </c>
      <c r="E9529" s="1" t="n">
        <v>46319</v>
      </c>
      <c r="F9529" t="inlineStr">
        <is>
          <t>DALARNAS LÄN</t>
        </is>
      </c>
      <c r="G9529" t="inlineStr">
        <is>
          <t>ÄLVDALEN</t>
        </is>
      </c>
      <c r="H9529" t="inlineStr">
        <is>
          <t>Bergvik skog väst AB</t>
        </is>
      </c>
      <c r="I9529" t="n">
        <v>2.8</v>
      </c>
      <c r="J9529" t="n">
        <v>0</v>
      </c>
      <c r="K9529" t="n">
        <v>0</v>
      </c>
      <c r="L9529" t="n">
        <v>0</v>
      </c>
      <c r="M9529" t="n">
        <v>0</v>
      </c>
      <c r="N9529" t="n">
        <v>0</v>
      </c>
      <c r="O9529" t="n">
        <v>0</v>
      </c>
      <c r="P9529" t="n">
        <v>0</v>
      </c>
      <c r="Q9529" t="n">
        <v>0</v>
      </c>
      <c r="R9529" t="n">
        <v>0</v>
      </c>
      <c r="S9529" t="n">
        <v>0</v>
      </c>
      <c r="T9529" t="n">
        <v>0</v>
      </c>
      <c r="U9529" t="n">
        <v>0</v>
      </c>
      <c r="V9529" s="2" t="inlineStr"/>
    </row>
    <row r="9530" ht="15" customHeight="1">
      <c r="A9530" t="inlineStr">
        <is>
          <t>A 5973-2024</t>
        </is>
      </c>
      <c r="B9530" t="inlineStr">
        <is>
          <t>avverkningsanmälan</t>
        </is>
      </c>
      <c r="C9530" t="inlineStr">
        <is>
          <t>Föryngringsavverkning</t>
        </is>
      </c>
      <c r="D9530" s="1" t="n">
        <v>45336</v>
      </c>
      <c r="E9530" s="1" t="n">
        <v>46319</v>
      </c>
      <c r="F9530" t="inlineStr">
        <is>
          <t>DALARNAS LÄN</t>
        </is>
      </c>
      <c r="G9530" t="inlineStr">
        <is>
          <t>FALUN</t>
        </is>
      </c>
      <c r="I9530" t="n">
        <v>2.2</v>
      </c>
      <c r="J9530" t="n">
        <v>0</v>
      </c>
      <c r="K9530" t="n">
        <v>0</v>
      </c>
      <c r="L9530" t="n">
        <v>0</v>
      </c>
      <c r="M9530" t="n">
        <v>0</v>
      </c>
      <c r="N9530" t="n">
        <v>0</v>
      </c>
      <c r="O9530" t="n">
        <v>0</v>
      </c>
      <c r="P9530" t="n">
        <v>0</v>
      </c>
      <c r="Q9530" t="n">
        <v>0</v>
      </c>
      <c r="R9530" t="n">
        <v>0</v>
      </c>
      <c r="S9530" t="n">
        <v>0</v>
      </c>
      <c r="T9530" t="n">
        <v>0</v>
      </c>
      <c r="U9530" t="n">
        <v>0</v>
      </c>
      <c r="V9530" s="2" t="inlineStr"/>
    </row>
    <row r="9531" ht="15" customHeight="1">
      <c r="A9531" t="inlineStr">
        <is>
          <t>A 20419-2025</t>
        </is>
      </c>
      <c r="B9531" t="inlineStr">
        <is>
          <t>avverkningsanmälan</t>
        </is>
      </c>
      <c r="C9531" t="inlineStr">
        <is>
          <t>Föryngringsavverkning</t>
        </is>
      </c>
      <c r="D9531" s="1" t="n">
        <v>45775</v>
      </c>
      <c r="E9531" s="1" t="n">
        <v>46319</v>
      </c>
      <c r="F9531" t="inlineStr">
        <is>
          <t>DALARNAS LÄN</t>
        </is>
      </c>
      <c r="G9531" t="inlineStr">
        <is>
          <t>VANSBRO</t>
        </is>
      </c>
      <c r="I9531" t="n">
        <v>1.3</v>
      </c>
      <c r="J9531" t="n">
        <v>0</v>
      </c>
      <c r="K9531" t="n">
        <v>0</v>
      </c>
      <c r="L9531" t="n">
        <v>0</v>
      </c>
      <c r="M9531" t="n">
        <v>0</v>
      </c>
      <c r="N9531" t="n">
        <v>0</v>
      </c>
      <c r="O9531" t="n">
        <v>0</v>
      </c>
      <c r="P9531" t="n">
        <v>0</v>
      </c>
      <c r="Q9531" t="n">
        <v>0</v>
      </c>
      <c r="R9531" t="n">
        <v>0</v>
      </c>
      <c r="S9531" t="n">
        <v>0</v>
      </c>
      <c r="T9531" t="n">
        <v>0</v>
      </c>
      <c r="U9531" t="n">
        <v>0</v>
      </c>
      <c r="V9531" s="2" t="inlineStr"/>
    </row>
    <row r="9532" ht="15" customHeight="1">
      <c r="A9532" t="inlineStr">
        <is>
          <t>A 20427-2025</t>
        </is>
      </c>
      <c r="B9532" t="inlineStr">
        <is>
          <t>avverkningsanmälan</t>
        </is>
      </c>
      <c r="C9532" t="inlineStr">
        <is>
          <t>Föryngringsavverkning</t>
        </is>
      </c>
      <c r="D9532" s="1" t="n">
        <v>45775</v>
      </c>
      <c r="E9532" s="1" t="n">
        <v>46319</v>
      </c>
      <c r="F9532" t="inlineStr">
        <is>
          <t>DALARNAS LÄN</t>
        </is>
      </c>
      <c r="G9532" t="inlineStr">
        <is>
          <t>LUDVIKA</t>
        </is>
      </c>
      <c r="H9532" t="inlineStr">
        <is>
          <t>Bergvik skog väst AB</t>
        </is>
      </c>
      <c r="I9532" t="n">
        <v>4.2</v>
      </c>
      <c r="J9532" t="n">
        <v>0</v>
      </c>
      <c r="K9532" t="n">
        <v>0</v>
      </c>
      <c r="L9532" t="n">
        <v>0</v>
      </c>
      <c r="M9532" t="n">
        <v>0</v>
      </c>
      <c r="N9532" t="n">
        <v>0</v>
      </c>
      <c r="O9532" t="n">
        <v>0</v>
      </c>
      <c r="P9532" t="n">
        <v>0</v>
      </c>
      <c r="Q9532" t="n">
        <v>0</v>
      </c>
      <c r="R9532" t="n">
        <v>0</v>
      </c>
      <c r="S9532" t="n">
        <v>0</v>
      </c>
      <c r="T9532" t="n">
        <v>0</v>
      </c>
      <c r="U9532" t="n">
        <v>0</v>
      </c>
      <c r="V9532" s="2" t="inlineStr"/>
    </row>
    <row r="9533" ht="15" customHeight="1">
      <c r="A9533" t="inlineStr">
        <is>
          <t>A 61717-2023</t>
        </is>
      </c>
      <c r="B9533" t="inlineStr">
        <is>
          <t>avverkningsanmälan</t>
        </is>
      </c>
      <c r="C9533" t="inlineStr">
        <is>
          <t>Föryngringsavverkning</t>
        </is>
      </c>
      <c r="D9533" s="1" t="n">
        <v>45265</v>
      </c>
      <c r="E9533" s="1" t="n">
        <v>46319</v>
      </c>
      <c r="F9533" t="inlineStr">
        <is>
          <t>DALARNAS LÄN</t>
        </is>
      </c>
      <c r="G9533" t="inlineStr">
        <is>
          <t>VANSBRO</t>
        </is>
      </c>
      <c r="H9533" t="inlineStr">
        <is>
          <t>Bergvik skog väst AB</t>
        </is>
      </c>
      <c r="I9533" t="n">
        <v>1.1</v>
      </c>
      <c r="J9533" t="n">
        <v>0</v>
      </c>
      <c r="K9533" t="n">
        <v>0</v>
      </c>
      <c r="L9533" t="n">
        <v>0</v>
      </c>
      <c r="M9533" t="n">
        <v>0</v>
      </c>
      <c r="N9533" t="n">
        <v>0</v>
      </c>
      <c r="O9533" t="n">
        <v>0</v>
      </c>
      <c r="P9533" t="n">
        <v>0</v>
      </c>
      <c r="Q9533" t="n">
        <v>0</v>
      </c>
      <c r="R9533" t="n">
        <v>0</v>
      </c>
      <c r="S9533" t="n">
        <v>0</v>
      </c>
      <c r="T9533" t="n">
        <v>0</v>
      </c>
      <c r="U9533" t="n">
        <v>0</v>
      </c>
      <c r="V9533" s="2" t="inlineStr"/>
    </row>
    <row r="9534" ht="15" customHeight="1">
      <c r="A9534" t="inlineStr">
        <is>
          <t>A 54141-2023</t>
        </is>
      </c>
      <c r="B9534" t="inlineStr">
        <is>
          <t>avverkningsanmälan</t>
        </is>
      </c>
      <c r="C9534" t="inlineStr">
        <is>
          <t>Föryngringsavverkning</t>
        </is>
      </c>
      <c r="D9534" s="1" t="n">
        <v>45232</v>
      </c>
      <c r="E9534" s="1" t="n">
        <v>46319</v>
      </c>
      <c r="F9534" t="inlineStr">
        <is>
          <t>DALARNAS LÄN</t>
        </is>
      </c>
      <c r="G9534" t="inlineStr">
        <is>
          <t>SÄTER</t>
        </is>
      </c>
      <c r="I9534" t="n">
        <v>0.7</v>
      </c>
      <c r="J9534" t="n">
        <v>0</v>
      </c>
      <c r="K9534" t="n">
        <v>0</v>
      </c>
      <c r="L9534" t="n">
        <v>0</v>
      </c>
      <c r="M9534" t="n">
        <v>0</v>
      </c>
      <c r="N9534" t="n">
        <v>0</v>
      </c>
      <c r="O9534" t="n">
        <v>0</v>
      </c>
      <c r="P9534" t="n">
        <v>0</v>
      </c>
      <c r="Q9534" t="n">
        <v>0</v>
      </c>
      <c r="R9534" t="n">
        <v>0</v>
      </c>
      <c r="S9534" t="n">
        <v>0</v>
      </c>
      <c r="T9534" t="n">
        <v>0</v>
      </c>
      <c r="U9534" t="n">
        <v>0</v>
      </c>
      <c r="V9534" s="2" t="inlineStr"/>
    </row>
    <row r="9535" ht="15" customHeight="1">
      <c r="A9535" t="inlineStr">
        <is>
          <t>A 25118-2024</t>
        </is>
      </c>
      <c r="B9535" t="inlineStr">
        <is>
          <t>avverkningsanmälan</t>
        </is>
      </c>
      <c r="C9535" t="inlineStr">
        <is>
          <t>Föryngringsavverkning</t>
        </is>
      </c>
      <c r="D9535" s="1" t="n">
        <v>45462</v>
      </c>
      <c r="E9535" s="1" t="n">
        <v>46319</v>
      </c>
      <c r="F9535" t="inlineStr">
        <is>
          <t>DALARNAS LÄN</t>
        </is>
      </c>
      <c r="G9535" t="inlineStr">
        <is>
          <t>SMEDJEBACKEN</t>
        </is>
      </c>
      <c r="I9535" t="n">
        <v>1.6</v>
      </c>
      <c r="J9535" t="n">
        <v>0</v>
      </c>
      <c r="K9535" t="n">
        <v>0</v>
      </c>
      <c r="L9535" t="n">
        <v>0</v>
      </c>
      <c r="M9535" t="n">
        <v>0</v>
      </c>
      <c r="N9535" t="n">
        <v>0</v>
      </c>
      <c r="O9535" t="n">
        <v>0</v>
      </c>
      <c r="P9535" t="n">
        <v>0</v>
      </c>
      <c r="Q9535" t="n">
        <v>0</v>
      </c>
      <c r="R9535" t="n">
        <v>0</v>
      </c>
      <c r="S9535" t="n">
        <v>0</v>
      </c>
      <c r="T9535" t="n">
        <v>0</v>
      </c>
      <c r="U9535" t="n">
        <v>0</v>
      </c>
      <c r="V9535" s="2" t="inlineStr"/>
    </row>
    <row r="9536" ht="15" customHeight="1">
      <c r="A9536" t="inlineStr">
        <is>
          <t>A 25126-2024</t>
        </is>
      </c>
      <c r="B9536" t="inlineStr">
        <is>
          <t>avverkningsanmälan</t>
        </is>
      </c>
      <c r="C9536" t="inlineStr">
        <is>
          <t>Föryngringsavverkning</t>
        </is>
      </c>
      <c r="D9536" s="1" t="n">
        <v>45462</v>
      </c>
      <c r="E9536" s="1" t="n">
        <v>46319</v>
      </c>
      <c r="F9536" t="inlineStr">
        <is>
          <t>DALARNAS LÄN</t>
        </is>
      </c>
      <c r="G9536" t="inlineStr">
        <is>
          <t>SMEDJEBACKEN</t>
        </is>
      </c>
      <c r="I9536" t="n">
        <v>2.6</v>
      </c>
      <c r="J9536" t="n">
        <v>0</v>
      </c>
      <c r="K9536" t="n">
        <v>0</v>
      </c>
      <c r="L9536" t="n">
        <v>0</v>
      </c>
      <c r="M9536" t="n">
        <v>0</v>
      </c>
      <c r="N9536" t="n">
        <v>0</v>
      </c>
      <c r="O9536" t="n">
        <v>0</v>
      </c>
      <c r="P9536" t="n">
        <v>0</v>
      </c>
      <c r="Q9536" t="n">
        <v>0</v>
      </c>
      <c r="R9536" t="n">
        <v>0</v>
      </c>
      <c r="S9536" t="n">
        <v>0</v>
      </c>
      <c r="T9536" t="n">
        <v>0</v>
      </c>
      <c r="U9536" t="n">
        <v>0</v>
      </c>
      <c r="V9536" s="2" t="inlineStr"/>
    </row>
    <row r="9537" ht="15" customHeight="1">
      <c r="A9537" t="inlineStr">
        <is>
          <t>A 1400-2024</t>
        </is>
      </c>
      <c r="B9537" t="inlineStr">
        <is>
          <t>avverkningsanmälan</t>
        </is>
      </c>
      <c r="C9537" t="inlineStr">
        <is>
          <t>Föryngringsavverkning</t>
        </is>
      </c>
      <c r="D9537" s="1" t="n">
        <v>45303</v>
      </c>
      <c r="E9537" s="1" t="n">
        <v>46319</v>
      </c>
      <c r="F9537" t="inlineStr">
        <is>
          <t>DALARNAS LÄN</t>
        </is>
      </c>
      <c r="G9537" t="inlineStr">
        <is>
          <t>MALUNG-SÄLEN</t>
        </is>
      </c>
      <c r="I9537" t="n">
        <v>1</v>
      </c>
      <c r="J9537" t="n">
        <v>0</v>
      </c>
      <c r="K9537" t="n">
        <v>0</v>
      </c>
      <c r="L9537" t="n">
        <v>0</v>
      </c>
      <c r="M9537" t="n">
        <v>0</v>
      </c>
      <c r="N9537" t="n">
        <v>0</v>
      </c>
      <c r="O9537" t="n">
        <v>0</v>
      </c>
      <c r="P9537" t="n">
        <v>0</v>
      </c>
      <c r="Q9537" t="n">
        <v>0</v>
      </c>
      <c r="R9537" t="n">
        <v>0</v>
      </c>
      <c r="S9537" t="n">
        <v>0</v>
      </c>
      <c r="T9537" t="n">
        <v>0</v>
      </c>
      <c r="U9537" t="n">
        <v>0</v>
      </c>
      <c r="V9537" s="2" t="inlineStr"/>
    </row>
    <row r="9538" ht="15" customHeight="1">
      <c r="A9538" t="inlineStr">
        <is>
          <t>A 56474-2024</t>
        </is>
      </c>
      <c r="B9538" t="inlineStr">
        <is>
          <t>avverkningsanmälan</t>
        </is>
      </c>
      <c r="C9538" t="inlineStr">
        <is>
          <t>Föryngringsavverkning</t>
        </is>
      </c>
      <c r="D9538" s="1" t="n">
        <v>45625</v>
      </c>
      <c r="E9538" s="1" t="n">
        <v>46319</v>
      </c>
      <c r="F9538" t="inlineStr">
        <is>
          <t>DALARNAS LÄN</t>
        </is>
      </c>
      <c r="G9538" t="inlineStr">
        <is>
          <t>FALUN</t>
        </is>
      </c>
      <c r="H9538" t="inlineStr">
        <is>
          <t>Bergvik skog väst AB</t>
        </is>
      </c>
      <c r="I9538" t="n">
        <v>4.7</v>
      </c>
      <c r="J9538" t="n">
        <v>0</v>
      </c>
      <c r="K9538" t="n">
        <v>0</v>
      </c>
      <c r="L9538" t="n">
        <v>0</v>
      </c>
      <c r="M9538" t="n">
        <v>0</v>
      </c>
      <c r="N9538" t="n">
        <v>0</v>
      </c>
      <c r="O9538" t="n">
        <v>0</v>
      </c>
      <c r="P9538" t="n">
        <v>0</v>
      </c>
      <c r="Q9538" t="n">
        <v>0</v>
      </c>
      <c r="R9538" t="n">
        <v>0</v>
      </c>
      <c r="S9538" t="n">
        <v>0</v>
      </c>
      <c r="T9538" t="n">
        <v>0</v>
      </c>
      <c r="U9538" t="n">
        <v>0</v>
      </c>
      <c r="V9538" s="2" t="inlineStr"/>
    </row>
    <row r="9539" ht="15" customHeight="1">
      <c r="A9539" t="inlineStr">
        <is>
          <t>A 2046-2024</t>
        </is>
      </c>
      <c r="B9539" t="inlineStr">
        <is>
          <t>avverkningsanmälan</t>
        </is>
      </c>
      <c r="C9539" t="inlineStr">
        <is>
          <t>Föryngringsavverkning</t>
        </is>
      </c>
      <c r="D9539" s="1" t="n">
        <v>45308</v>
      </c>
      <c r="E9539" s="1" t="n">
        <v>46319</v>
      </c>
      <c r="F9539" t="inlineStr">
        <is>
          <t>DALARNAS LÄN</t>
        </is>
      </c>
      <c r="G9539" t="inlineStr">
        <is>
          <t>SMEDJEBACKEN</t>
        </is>
      </c>
      <c r="I9539" t="n">
        <v>1.9</v>
      </c>
      <c r="J9539" t="n">
        <v>0</v>
      </c>
      <c r="K9539" t="n">
        <v>0</v>
      </c>
      <c r="L9539" t="n">
        <v>0</v>
      </c>
      <c r="M9539" t="n">
        <v>0</v>
      </c>
      <c r="N9539" t="n">
        <v>0</v>
      </c>
      <c r="O9539" t="n">
        <v>0</v>
      </c>
      <c r="P9539" t="n">
        <v>0</v>
      </c>
      <c r="Q9539" t="n">
        <v>0</v>
      </c>
      <c r="R9539" t="n">
        <v>0</v>
      </c>
      <c r="S9539" t="n">
        <v>0</v>
      </c>
      <c r="T9539" t="n">
        <v>0</v>
      </c>
      <c r="U9539" t="n">
        <v>0</v>
      </c>
      <c r="V9539" s="2" t="inlineStr"/>
    </row>
    <row r="9540" ht="15" customHeight="1">
      <c r="A9540" t="inlineStr">
        <is>
          <t>A 10359-2023</t>
        </is>
      </c>
      <c r="B9540" t="inlineStr">
        <is>
          <t>avverkningsanmälan</t>
        </is>
      </c>
      <c r="C9540" t="inlineStr">
        <is>
          <t>Föryngringsavverkning</t>
        </is>
      </c>
      <c r="D9540" s="1" t="n">
        <v>44987</v>
      </c>
      <c r="E9540" s="1" t="n">
        <v>46319</v>
      </c>
      <c r="F9540" t="inlineStr">
        <is>
          <t>DALARNAS LÄN</t>
        </is>
      </c>
      <c r="G9540" t="inlineStr">
        <is>
          <t>ORSA</t>
        </is>
      </c>
      <c r="I9540" t="n">
        <v>2.5</v>
      </c>
      <c r="J9540" t="n">
        <v>0</v>
      </c>
      <c r="K9540" t="n">
        <v>0</v>
      </c>
      <c r="L9540" t="n">
        <v>0</v>
      </c>
      <c r="M9540" t="n">
        <v>0</v>
      </c>
      <c r="N9540" t="n">
        <v>0</v>
      </c>
      <c r="O9540" t="n">
        <v>0</v>
      </c>
      <c r="P9540" t="n">
        <v>0</v>
      </c>
      <c r="Q9540" t="n">
        <v>0</v>
      </c>
      <c r="R9540" t="n">
        <v>0</v>
      </c>
      <c r="S9540" t="n">
        <v>0</v>
      </c>
      <c r="T9540" t="n">
        <v>0</v>
      </c>
      <c r="U9540" t="n">
        <v>0</v>
      </c>
      <c r="V9540" s="2" t="inlineStr"/>
    </row>
    <row r="9541" ht="15" customHeight="1">
      <c r="A9541" t="inlineStr">
        <is>
          <t>A 1704-2023</t>
        </is>
      </c>
      <c r="B9541" t="inlineStr">
        <is>
          <t>avverkningsanmälan</t>
        </is>
      </c>
      <c r="C9541" t="inlineStr">
        <is>
          <t>Föryngringsavverkning</t>
        </is>
      </c>
      <c r="D9541" s="1" t="n">
        <v>44938</v>
      </c>
      <c r="E9541" s="1" t="n">
        <v>46319</v>
      </c>
      <c r="F9541" t="inlineStr">
        <is>
          <t>DALARNAS LÄN</t>
        </is>
      </c>
      <c r="G9541" t="inlineStr">
        <is>
          <t>MALUNG-SÄLEN</t>
        </is>
      </c>
      <c r="I9541" t="n">
        <v>4.7</v>
      </c>
      <c r="J9541" t="n">
        <v>0</v>
      </c>
      <c r="K9541" t="n">
        <v>0</v>
      </c>
      <c r="L9541" t="n">
        <v>0</v>
      </c>
      <c r="M9541" t="n">
        <v>0</v>
      </c>
      <c r="N9541" t="n">
        <v>0</v>
      </c>
      <c r="O9541" t="n">
        <v>0</v>
      </c>
      <c r="P9541" t="n">
        <v>0</v>
      </c>
      <c r="Q9541" t="n">
        <v>0</v>
      </c>
      <c r="R9541" t="n">
        <v>0</v>
      </c>
      <c r="S9541" t="n">
        <v>0</v>
      </c>
      <c r="T9541" t="n">
        <v>0</v>
      </c>
      <c r="U9541" t="n">
        <v>0</v>
      </c>
      <c r="V9541" s="2" t="inlineStr"/>
    </row>
    <row r="9542" ht="15" customHeight="1">
      <c r="A9542" t="inlineStr">
        <is>
          <t>A 2042-2025</t>
        </is>
      </c>
      <c r="B9542" t="inlineStr">
        <is>
          <t>avverkningsanmälan</t>
        </is>
      </c>
      <c r="C9542" t="inlineStr">
        <is>
          <t>Föryngringsavverkning</t>
        </is>
      </c>
      <c r="D9542" s="1" t="n">
        <v>45671</v>
      </c>
      <c r="E9542" s="1" t="n">
        <v>46319</v>
      </c>
      <c r="F9542" t="inlineStr">
        <is>
          <t>DALARNAS LÄN</t>
        </is>
      </c>
      <c r="G9542" t="inlineStr">
        <is>
          <t>RÄTTVIK</t>
        </is>
      </c>
      <c r="I9542" t="n">
        <v>1.5</v>
      </c>
      <c r="J9542" t="n">
        <v>0</v>
      </c>
      <c r="K9542" t="n">
        <v>0</v>
      </c>
      <c r="L9542" t="n">
        <v>0</v>
      </c>
      <c r="M9542" t="n">
        <v>0</v>
      </c>
      <c r="N9542" t="n">
        <v>0</v>
      </c>
      <c r="O9542" t="n">
        <v>0</v>
      </c>
      <c r="P9542" t="n">
        <v>0</v>
      </c>
      <c r="Q9542" t="n">
        <v>0</v>
      </c>
      <c r="R9542" t="n">
        <v>0</v>
      </c>
      <c r="S9542" t="n">
        <v>0</v>
      </c>
      <c r="T9542" t="n">
        <v>0</v>
      </c>
      <c r="U9542" t="n">
        <v>0</v>
      </c>
      <c r="V9542" s="2" t="inlineStr"/>
    </row>
    <row r="9543" ht="15" customHeight="1">
      <c r="A9543" t="inlineStr">
        <is>
          <t>A 51849-2022</t>
        </is>
      </c>
      <c r="B9543" t="inlineStr">
        <is>
          <t>avverkningsanmälan</t>
        </is>
      </c>
      <c r="C9543" t="inlineStr">
        <is>
          <t>Föryngringsavverkning</t>
        </is>
      </c>
      <c r="D9543" s="1" t="n">
        <v>44867</v>
      </c>
      <c r="E9543" s="1" t="n">
        <v>46319</v>
      </c>
      <c r="F9543" t="inlineStr">
        <is>
          <t>DALARNAS LÄN</t>
        </is>
      </c>
      <c r="G9543" t="inlineStr">
        <is>
          <t>BORLÄNGE</t>
        </is>
      </c>
      <c r="I9543" t="n">
        <v>1.5</v>
      </c>
      <c r="J9543" t="n">
        <v>0</v>
      </c>
      <c r="K9543" t="n">
        <v>0</v>
      </c>
      <c r="L9543" t="n">
        <v>0</v>
      </c>
      <c r="M9543" t="n">
        <v>0</v>
      </c>
      <c r="N9543" t="n">
        <v>0</v>
      </c>
      <c r="O9543" t="n">
        <v>0</v>
      </c>
      <c r="P9543" t="n">
        <v>0</v>
      </c>
      <c r="Q9543" t="n">
        <v>0</v>
      </c>
      <c r="R9543" t="n">
        <v>0</v>
      </c>
      <c r="S9543" t="n">
        <v>0</v>
      </c>
      <c r="T9543" t="n">
        <v>0</v>
      </c>
      <c r="U9543" t="n">
        <v>0</v>
      </c>
      <c r="V9543" s="2" t="inlineStr"/>
    </row>
    <row r="9544" ht="15" customHeight="1">
      <c r="A9544" t="inlineStr">
        <is>
          <t>A 53620-2022</t>
        </is>
      </c>
      <c r="B9544" t="inlineStr">
        <is>
          <t>avverkningsanmälan</t>
        </is>
      </c>
      <c r="C9544" t="inlineStr">
        <is>
          <t>Föryngringsavverkning</t>
        </is>
      </c>
      <c r="D9544" s="1" t="n">
        <v>44879</v>
      </c>
      <c r="E9544" s="1" t="n">
        <v>46319</v>
      </c>
      <c r="F9544" t="inlineStr">
        <is>
          <t>DALARNAS LÄN</t>
        </is>
      </c>
      <c r="G9544" t="inlineStr">
        <is>
          <t>LUDVIKA</t>
        </is>
      </c>
      <c r="I9544" t="n">
        <v>3.7</v>
      </c>
      <c r="J9544" t="n">
        <v>0</v>
      </c>
      <c r="K9544" t="n">
        <v>0</v>
      </c>
      <c r="L9544" t="n">
        <v>0</v>
      </c>
      <c r="M9544" t="n">
        <v>0</v>
      </c>
      <c r="N9544" t="n">
        <v>0</v>
      </c>
      <c r="O9544" t="n">
        <v>0</v>
      </c>
      <c r="P9544" t="n">
        <v>0</v>
      </c>
      <c r="Q9544" t="n">
        <v>0</v>
      </c>
      <c r="R9544" t="n">
        <v>0</v>
      </c>
      <c r="S9544" t="n">
        <v>0</v>
      </c>
      <c r="T9544" t="n">
        <v>0</v>
      </c>
      <c r="U9544" t="n">
        <v>0</v>
      </c>
      <c r="V9544" s="2" t="inlineStr"/>
    </row>
    <row r="9545" ht="15" customHeight="1">
      <c r="A9545" t="inlineStr">
        <is>
          <t>A 26899-2024</t>
        </is>
      </c>
      <c r="B9545" t="inlineStr">
        <is>
          <t>avverkningsanmälan</t>
        </is>
      </c>
      <c r="C9545" t="inlineStr">
        <is>
          <t>Föryngringsavverkning</t>
        </is>
      </c>
      <c r="D9545" s="1" t="n">
        <v>45470</v>
      </c>
      <c r="E9545" s="1" t="n">
        <v>46319</v>
      </c>
      <c r="F9545" t="inlineStr">
        <is>
          <t>DALARNAS LÄN</t>
        </is>
      </c>
      <c r="G9545" t="inlineStr">
        <is>
          <t>SMEDJEBACKEN</t>
        </is>
      </c>
      <c r="I9545" t="n">
        <v>2.2</v>
      </c>
      <c r="J9545" t="n">
        <v>0</v>
      </c>
      <c r="K9545" t="n">
        <v>0</v>
      </c>
      <c r="L9545" t="n">
        <v>0</v>
      </c>
      <c r="M9545" t="n">
        <v>0</v>
      </c>
      <c r="N9545" t="n">
        <v>0</v>
      </c>
      <c r="O9545" t="n">
        <v>0</v>
      </c>
      <c r="P9545" t="n">
        <v>0</v>
      </c>
      <c r="Q9545" t="n">
        <v>0</v>
      </c>
      <c r="R9545" t="n">
        <v>0</v>
      </c>
      <c r="S9545" t="n">
        <v>0</v>
      </c>
      <c r="T9545" t="n">
        <v>0</v>
      </c>
      <c r="U9545" t="n">
        <v>0</v>
      </c>
      <c r="V9545" s="2" t="inlineStr"/>
    </row>
    <row r="9546" ht="15" customHeight="1">
      <c r="A9546" t="inlineStr">
        <is>
          <t>A 33666-2024</t>
        </is>
      </c>
      <c r="B9546" t="inlineStr">
        <is>
          <t>avverkningsanmälan</t>
        </is>
      </c>
      <c r="C9546" t="inlineStr">
        <is>
          <t>Föryngringsavverkning</t>
        </is>
      </c>
      <c r="D9546" s="1" t="n">
        <v>45520</v>
      </c>
      <c r="E9546" s="1" t="n">
        <v>46319</v>
      </c>
      <c r="F9546" t="inlineStr">
        <is>
          <t>DALARNAS LÄN</t>
        </is>
      </c>
      <c r="G9546" t="inlineStr">
        <is>
          <t>MORA</t>
        </is>
      </c>
      <c r="I9546" t="n">
        <v>0.7</v>
      </c>
      <c r="J9546" t="n">
        <v>0</v>
      </c>
      <c r="K9546" t="n">
        <v>0</v>
      </c>
      <c r="L9546" t="n">
        <v>0</v>
      </c>
      <c r="M9546" t="n">
        <v>0</v>
      </c>
      <c r="N9546" t="n">
        <v>0</v>
      </c>
      <c r="O9546" t="n">
        <v>0</v>
      </c>
      <c r="P9546" t="n">
        <v>0</v>
      </c>
      <c r="Q9546" t="n">
        <v>0</v>
      </c>
      <c r="R9546" t="n">
        <v>0</v>
      </c>
      <c r="S9546" t="n">
        <v>0</v>
      </c>
      <c r="T9546" t="n">
        <v>0</v>
      </c>
      <c r="U9546" t="n">
        <v>0</v>
      </c>
      <c r="V9546" s="2" t="inlineStr"/>
    </row>
    <row r="9547" ht="15" customHeight="1">
      <c r="A9547" t="inlineStr">
        <is>
          <t>A 2938-2024</t>
        </is>
      </c>
      <c r="B9547" t="inlineStr">
        <is>
          <t>avverkningsanmälan</t>
        </is>
      </c>
      <c r="C9547" t="inlineStr">
        <is>
          <t>Föryngringsavverkning</t>
        </is>
      </c>
      <c r="D9547" s="1" t="n">
        <v>45315</v>
      </c>
      <c r="E9547" s="1" t="n">
        <v>46319</v>
      </c>
      <c r="F9547" t="inlineStr">
        <is>
          <t>DALARNAS LÄN</t>
        </is>
      </c>
      <c r="G9547" t="inlineStr">
        <is>
          <t>VANSBRO</t>
        </is>
      </c>
      <c r="I9547" t="n">
        <v>0.7</v>
      </c>
      <c r="J9547" t="n">
        <v>0</v>
      </c>
      <c r="K9547" t="n">
        <v>0</v>
      </c>
      <c r="L9547" t="n">
        <v>0</v>
      </c>
      <c r="M9547" t="n">
        <v>0</v>
      </c>
      <c r="N9547" t="n">
        <v>0</v>
      </c>
      <c r="O9547" t="n">
        <v>0</v>
      </c>
      <c r="P9547" t="n">
        <v>0</v>
      </c>
      <c r="Q9547" t="n">
        <v>0</v>
      </c>
      <c r="R9547" t="n">
        <v>0</v>
      </c>
      <c r="S9547" t="n">
        <v>0</v>
      </c>
      <c r="T9547" t="n">
        <v>0</v>
      </c>
      <c r="U9547" t="n">
        <v>0</v>
      </c>
      <c r="V9547" s="2" t="inlineStr"/>
    </row>
    <row r="9548" ht="15" customHeight="1">
      <c r="A9548" t="inlineStr">
        <is>
          <t>A 18837-2023</t>
        </is>
      </c>
      <c r="B9548" t="inlineStr">
        <is>
          <t>avverkningsanmälan</t>
        </is>
      </c>
      <c r="C9548" t="inlineStr">
        <is>
          <t>Föryngringsavverkning</t>
        </is>
      </c>
      <c r="D9548" s="1" t="n">
        <v>45044</v>
      </c>
      <c r="E9548" s="1" t="n">
        <v>46319</v>
      </c>
      <c r="F9548" t="inlineStr">
        <is>
          <t>DALARNAS LÄN</t>
        </is>
      </c>
      <c r="G9548" t="inlineStr">
        <is>
          <t>LEKSAND</t>
        </is>
      </c>
      <c r="I9548" t="n">
        <v>1.5</v>
      </c>
      <c r="J9548" t="n">
        <v>0</v>
      </c>
      <c r="K9548" t="n">
        <v>0</v>
      </c>
      <c r="L9548" t="n">
        <v>0</v>
      </c>
      <c r="M9548" t="n">
        <v>0</v>
      </c>
      <c r="N9548" t="n">
        <v>0</v>
      </c>
      <c r="O9548" t="n">
        <v>0</v>
      </c>
      <c r="P9548" t="n">
        <v>0</v>
      </c>
      <c r="Q9548" t="n">
        <v>0</v>
      </c>
      <c r="R9548" t="n">
        <v>0</v>
      </c>
      <c r="S9548" t="n">
        <v>0</v>
      </c>
      <c r="T9548" t="n">
        <v>0</v>
      </c>
      <c r="U9548" t="n">
        <v>0</v>
      </c>
      <c r="V9548" s="2" t="inlineStr"/>
    </row>
    <row r="9549" ht="15" customHeight="1">
      <c r="A9549" t="inlineStr">
        <is>
          <t>A 40919-2023</t>
        </is>
      </c>
      <c r="B9549" t="inlineStr">
        <is>
          <t>avverkningsanmälan</t>
        </is>
      </c>
      <c r="C9549" t="inlineStr">
        <is>
          <t>Föryngringsavverkning</t>
        </is>
      </c>
      <c r="D9549" s="1" t="n">
        <v>45173</v>
      </c>
      <c r="E9549" s="1" t="n">
        <v>46319</v>
      </c>
      <c r="F9549" t="inlineStr">
        <is>
          <t>DALARNAS LÄN</t>
        </is>
      </c>
      <c r="G9549" t="inlineStr">
        <is>
          <t>HEDEMORA</t>
        </is>
      </c>
      <c r="H9549" t="inlineStr">
        <is>
          <t>Bergvik skog väst AB</t>
        </is>
      </c>
      <c r="I9549" t="n">
        <v>2.6</v>
      </c>
      <c r="J9549" t="n">
        <v>0</v>
      </c>
      <c r="K9549" t="n">
        <v>0</v>
      </c>
      <c r="L9549" t="n">
        <v>0</v>
      </c>
      <c r="M9549" t="n">
        <v>0</v>
      </c>
      <c r="N9549" t="n">
        <v>0</v>
      </c>
      <c r="O9549" t="n">
        <v>0</v>
      </c>
      <c r="P9549" t="n">
        <v>0</v>
      </c>
      <c r="Q9549" t="n">
        <v>0</v>
      </c>
      <c r="R9549" t="n">
        <v>0</v>
      </c>
      <c r="S9549" t="n">
        <v>0</v>
      </c>
      <c r="T9549" t="n">
        <v>0</v>
      </c>
      <c r="U9549" t="n">
        <v>0</v>
      </c>
      <c r="V9549" s="2" t="inlineStr"/>
    </row>
    <row r="9550" ht="15" customHeight="1">
      <c r="A9550" t="inlineStr">
        <is>
          <t>A 17730-2024</t>
        </is>
      </c>
      <c r="B9550" t="inlineStr">
        <is>
          <t>avverkningsanmälan</t>
        </is>
      </c>
      <c r="C9550" t="inlineStr">
        <is>
          <t>Föryngringsavverkning</t>
        </is>
      </c>
      <c r="D9550" s="1" t="n">
        <v>45418</v>
      </c>
      <c r="E9550" s="1" t="n">
        <v>46319</v>
      </c>
      <c r="F9550" t="inlineStr">
        <is>
          <t>DALARNAS LÄN</t>
        </is>
      </c>
      <c r="G9550" t="inlineStr">
        <is>
          <t>LEKSAND</t>
        </is>
      </c>
      <c r="I9550" t="n">
        <v>2.4</v>
      </c>
      <c r="J9550" t="n">
        <v>0</v>
      </c>
      <c r="K9550" t="n">
        <v>0</v>
      </c>
      <c r="L9550" t="n">
        <v>0</v>
      </c>
      <c r="M9550" t="n">
        <v>0</v>
      </c>
      <c r="N9550" t="n">
        <v>0</v>
      </c>
      <c r="O9550" t="n">
        <v>0</v>
      </c>
      <c r="P9550" t="n">
        <v>0</v>
      </c>
      <c r="Q9550" t="n">
        <v>0</v>
      </c>
      <c r="R9550" t="n">
        <v>0</v>
      </c>
      <c r="S9550" t="n">
        <v>0</v>
      </c>
      <c r="T9550" t="n">
        <v>0</v>
      </c>
      <c r="U9550" t="n">
        <v>0</v>
      </c>
      <c r="V9550" s="2" t="inlineStr"/>
    </row>
    <row r="9551" ht="15" customHeight="1">
      <c r="A9551" t="inlineStr">
        <is>
          <t>A 31245-2024</t>
        </is>
      </c>
      <c r="B9551" t="inlineStr">
        <is>
          <t>avverkningsanmälan</t>
        </is>
      </c>
      <c r="C9551" t="inlineStr">
        <is>
          <t>Föryngringsavverkning</t>
        </is>
      </c>
      <c r="D9551" s="1" t="n">
        <v>45503</v>
      </c>
      <c r="E9551" s="1" t="n">
        <v>46319</v>
      </c>
      <c r="F9551" t="inlineStr">
        <is>
          <t>DALARNAS LÄN</t>
        </is>
      </c>
      <c r="G9551" t="inlineStr">
        <is>
          <t>GAGNEF</t>
        </is>
      </c>
      <c r="I9551" t="n">
        <v>0.9</v>
      </c>
      <c r="J9551" t="n">
        <v>0</v>
      </c>
      <c r="K9551" t="n">
        <v>0</v>
      </c>
      <c r="L9551" t="n">
        <v>0</v>
      </c>
      <c r="M9551" t="n">
        <v>0</v>
      </c>
      <c r="N9551" t="n">
        <v>0</v>
      </c>
      <c r="O9551" t="n">
        <v>0</v>
      </c>
      <c r="P9551" t="n">
        <v>0</v>
      </c>
      <c r="Q9551" t="n">
        <v>0</v>
      </c>
      <c r="R9551" t="n">
        <v>0</v>
      </c>
      <c r="S9551" t="n">
        <v>0</v>
      </c>
      <c r="T9551" t="n">
        <v>0</v>
      </c>
      <c r="U9551" t="n">
        <v>0</v>
      </c>
      <c r="V9551" s="2" t="inlineStr"/>
    </row>
    <row r="9552" ht="15" customHeight="1">
      <c r="A9552" t="inlineStr">
        <is>
          <t>A 64933-2023</t>
        </is>
      </c>
      <c r="B9552" t="inlineStr">
        <is>
          <t>avverkningsanmälan</t>
        </is>
      </c>
      <c r="C9552" t="inlineStr">
        <is>
          <t>Föryngringsavverkning</t>
        </is>
      </c>
      <c r="D9552" s="1" t="n">
        <v>45282</v>
      </c>
      <c r="E9552" s="1" t="n">
        <v>46319</v>
      </c>
      <c r="F9552" t="inlineStr">
        <is>
          <t>DALARNAS LÄN</t>
        </is>
      </c>
      <c r="G9552" t="inlineStr">
        <is>
          <t>LEKSAND</t>
        </is>
      </c>
      <c r="I9552" t="n">
        <v>2.3</v>
      </c>
      <c r="J9552" t="n">
        <v>0</v>
      </c>
      <c r="K9552" t="n">
        <v>0</v>
      </c>
      <c r="L9552" t="n">
        <v>0</v>
      </c>
      <c r="M9552" t="n">
        <v>0</v>
      </c>
      <c r="N9552" t="n">
        <v>0</v>
      </c>
      <c r="O9552" t="n">
        <v>0</v>
      </c>
      <c r="P9552" t="n">
        <v>0</v>
      </c>
      <c r="Q9552" t="n">
        <v>0</v>
      </c>
      <c r="R9552" t="n">
        <v>0</v>
      </c>
      <c r="S9552" t="n">
        <v>0</v>
      </c>
      <c r="T9552" t="n">
        <v>0</v>
      </c>
      <c r="U9552" t="n">
        <v>0</v>
      </c>
      <c r="V9552" s="2" t="inlineStr"/>
    </row>
    <row r="9553" ht="15" customHeight="1">
      <c r="A9553" t="inlineStr">
        <is>
          <t>A 62022-2023</t>
        </is>
      </c>
      <c r="B9553" t="inlineStr">
        <is>
          <t>avverkningsanmälan</t>
        </is>
      </c>
      <c r="C9553" t="inlineStr">
        <is>
          <t>Föryngringsavverkning</t>
        </is>
      </c>
      <c r="D9553" s="1" t="n">
        <v>45266</v>
      </c>
      <c r="E9553" s="1" t="n">
        <v>46319</v>
      </c>
      <c r="F9553" t="inlineStr">
        <is>
          <t>DALARNAS LÄN</t>
        </is>
      </c>
      <c r="G9553" t="inlineStr">
        <is>
          <t>AVESTA</t>
        </is>
      </c>
      <c r="I9553" t="n">
        <v>1.7</v>
      </c>
      <c r="J9553" t="n">
        <v>0</v>
      </c>
      <c r="K9553" t="n">
        <v>0</v>
      </c>
      <c r="L9553" t="n">
        <v>0</v>
      </c>
      <c r="M9553" t="n">
        <v>0</v>
      </c>
      <c r="N9553" t="n">
        <v>0</v>
      </c>
      <c r="O9553" t="n">
        <v>0</v>
      </c>
      <c r="P9553" t="n">
        <v>0</v>
      </c>
      <c r="Q9553" t="n">
        <v>0</v>
      </c>
      <c r="R9553" t="n">
        <v>0</v>
      </c>
      <c r="S9553" t="n">
        <v>0</v>
      </c>
      <c r="T9553" t="n">
        <v>0</v>
      </c>
      <c r="U9553" t="n">
        <v>0</v>
      </c>
      <c r="V9553" s="2" t="inlineStr"/>
    </row>
    <row r="9554" ht="15" customHeight="1">
      <c r="A9554" t="inlineStr">
        <is>
          <t>A 42924-2024</t>
        </is>
      </c>
      <c r="B9554" t="inlineStr">
        <is>
          <t>avverkningsanmälan</t>
        </is>
      </c>
      <c r="C9554" t="inlineStr">
        <is>
          <t>Föryngringsavverkning</t>
        </is>
      </c>
      <c r="D9554" s="1" t="n">
        <v>45567</v>
      </c>
      <c r="E9554" s="1" t="n">
        <v>46319</v>
      </c>
      <c r="F9554" t="inlineStr">
        <is>
          <t>DALARNAS LÄN</t>
        </is>
      </c>
      <c r="G9554" t="inlineStr">
        <is>
          <t>MALUNG-SÄLEN</t>
        </is>
      </c>
      <c r="I9554" t="n">
        <v>2.4</v>
      </c>
      <c r="J9554" t="n">
        <v>0</v>
      </c>
      <c r="K9554" t="n">
        <v>0</v>
      </c>
      <c r="L9554" t="n">
        <v>0</v>
      </c>
      <c r="M9554" t="n">
        <v>0</v>
      </c>
      <c r="N9554" t="n">
        <v>0</v>
      </c>
      <c r="O9554" t="n">
        <v>0</v>
      </c>
      <c r="P9554" t="n">
        <v>0</v>
      </c>
      <c r="Q9554" t="n">
        <v>0</v>
      </c>
      <c r="R9554" t="n">
        <v>0</v>
      </c>
      <c r="S9554" t="n">
        <v>0</v>
      </c>
      <c r="T9554" t="n">
        <v>0</v>
      </c>
      <c r="U9554" t="n">
        <v>0</v>
      </c>
      <c r="V9554" s="2" t="inlineStr"/>
    </row>
    <row r="9555" ht="15" customHeight="1">
      <c r="A9555" t="inlineStr">
        <is>
          <t>A 42941-2024</t>
        </is>
      </c>
      <c r="B9555" t="inlineStr">
        <is>
          <t>avverkningsanmälan</t>
        </is>
      </c>
      <c r="C9555" t="inlineStr">
        <is>
          <t>Föryngringsavverkning</t>
        </is>
      </c>
      <c r="D9555" s="1" t="n">
        <v>45567</v>
      </c>
      <c r="E9555" s="1" t="n">
        <v>46319</v>
      </c>
      <c r="F9555" t="inlineStr">
        <is>
          <t>DALARNAS LÄN</t>
        </is>
      </c>
      <c r="G9555" t="inlineStr">
        <is>
          <t>MORA</t>
        </is>
      </c>
      <c r="I9555" t="n">
        <v>1.6</v>
      </c>
      <c r="J9555" t="n">
        <v>0</v>
      </c>
      <c r="K9555" t="n">
        <v>0</v>
      </c>
      <c r="L9555" t="n">
        <v>0</v>
      </c>
      <c r="M9555" t="n">
        <v>0</v>
      </c>
      <c r="N9555" t="n">
        <v>0</v>
      </c>
      <c r="O9555" t="n">
        <v>0</v>
      </c>
      <c r="P9555" t="n">
        <v>0</v>
      </c>
      <c r="Q9555" t="n">
        <v>0</v>
      </c>
      <c r="R9555" t="n">
        <v>0</v>
      </c>
      <c r="S9555" t="n">
        <v>0</v>
      </c>
      <c r="T9555" t="n">
        <v>0</v>
      </c>
      <c r="U9555" t="n">
        <v>0</v>
      </c>
      <c r="V9555" s="2" t="inlineStr"/>
    </row>
    <row r="9556" ht="15" customHeight="1">
      <c r="A9556" t="inlineStr">
        <is>
          <t>A 37438-2024</t>
        </is>
      </c>
      <c r="B9556" t="inlineStr">
        <is>
          <t>avverkningsanmälan</t>
        </is>
      </c>
      <c r="C9556" t="inlineStr">
        <is>
          <t>Föryngringsavverkning</t>
        </is>
      </c>
      <c r="D9556" s="1" t="n">
        <v>45540</v>
      </c>
      <c r="E9556" s="1" t="n">
        <v>46319</v>
      </c>
      <c r="F9556" t="inlineStr">
        <is>
          <t>DALARNAS LÄN</t>
        </is>
      </c>
      <c r="G9556" t="inlineStr">
        <is>
          <t>ÄLVDALEN</t>
        </is>
      </c>
      <c r="I9556" t="n">
        <v>3.9</v>
      </c>
      <c r="J9556" t="n">
        <v>0</v>
      </c>
      <c r="K9556" t="n">
        <v>0</v>
      </c>
      <c r="L9556" t="n">
        <v>0</v>
      </c>
      <c r="M9556" t="n">
        <v>0</v>
      </c>
      <c r="N9556" t="n">
        <v>0</v>
      </c>
      <c r="O9556" t="n">
        <v>0</v>
      </c>
      <c r="P9556" t="n">
        <v>0</v>
      </c>
      <c r="Q9556" t="n">
        <v>0</v>
      </c>
      <c r="R9556" t="n">
        <v>0</v>
      </c>
      <c r="S9556" t="n">
        <v>0</v>
      </c>
      <c r="T9556" t="n">
        <v>0</v>
      </c>
      <c r="U9556" t="n">
        <v>0</v>
      </c>
      <c r="V9556" s="2" t="inlineStr"/>
    </row>
    <row r="9557" ht="15" customHeight="1">
      <c r="A9557" t="inlineStr">
        <is>
          <t>A 38900-2024</t>
        </is>
      </c>
      <c r="B9557" t="inlineStr">
        <is>
          <t>avverkningsanmälan</t>
        </is>
      </c>
      <c r="C9557" t="inlineStr">
        <is>
          <t>Avverkning för annat ändamål</t>
        </is>
      </c>
      <c r="D9557" s="1" t="n">
        <v>45547</v>
      </c>
      <c r="E9557" s="1" t="n">
        <v>46319</v>
      </c>
      <c r="F9557" t="inlineStr">
        <is>
          <t>DALARNAS LÄN</t>
        </is>
      </c>
      <c r="G9557" t="inlineStr">
        <is>
          <t>MALUNG-SÄLEN</t>
        </is>
      </c>
      <c r="I9557" t="n">
        <v>0.1</v>
      </c>
      <c r="J9557" t="n">
        <v>0</v>
      </c>
      <c r="K9557" t="n">
        <v>0</v>
      </c>
      <c r="L9557" t="n">
        <v>0</v>
      </c>
      <c r="M9557" t="n">
        <v>0</v>
      </c>
      <c r="N9557" t="n">
        <v>0</v>
      </c>
      <c r="O9557" t="n">
        <v>0</v>
      </c>
      <c r="P9557" t="n">
        <v>0</v>
      </c>
      <c r="Q9557" t="n">
        <v>0</v>
      </c>
      <c r="R9557" t="n">
        <v>0</v>
      </c>
      <c r="S9557" t="n">
        <v>0</v>
      </c>
      <c r="T9557" t="n">
        <v>0</v>
      </c>
      <c r="U9557" t="n">
        <v>0</v>
      </c>
      <c r="V9557" s="2" t="inlineStr"/>
    </row>
    <row r="9558" ht="15" customHeight="1">
      <c r="A9558" t="inlineStr">
        <is>
          <t>A 19857-2023</t>
        </is>
      </c>
      <c r="B9558" t="inlineStr">
        <is>
          <t>avverkningsanmälan</t>
        </is>
      </c>
      <c r="C9558" t="inlineStr">
        <is>
          <t>Föryngringsavverkning</t>
        </is>
      </c>
      <c r="D9558" s="1" t="n">
        <v>45053</v>
      </c>
      <c r="E9558" s="1" t="n">
        <v>46319</v>
      </c>
      <c r="F9558" t="inlineStr">
        <is>
          <t>DALARNAS LÄN</t>
        </is>
      </c>
      <c r="G9558" t="inlineStr">
        <is>
          <t>MALUNG-SÄLEN</t>
        </is>
      </c>
      <c r="I9558" t="n">
        <v>3.7</v>
      </c>
      <c r="J9558" t="n">
        <v>0</v>
      </c>
      <c r="K9558" t="n">
        <v>0</v>
      </c>
      <c r="L9558" t="n">
        <v>0</v>
      </c>
      <c r="M9558" t="n">
        <v>0</v>
      </c>
      <c r="N9558" t="n">
        <v>0</v>
      </c>
      <c r="O9558" t="n">
        <v>0</v>
      </c>
      <c r="P9558" t="n">
        <v>0</v>
      </c>
      <c r="Q9558" t="n">
        <v>0</v>
      </c>
      <c r="R9558" t="n">
        <v>0</v>
      </c>
      <c r="S9558" t="n">
        <v>0</v>
      </c>
      <c r="T9558" t="n">
        <v>0</v>
      </c>
      <c r="U9558" t="n">
        <v>0</v>
      </c>
      <c r="V9558" s="2" t="inlineStr"/>
    </row>
    <row r="9559" ht="15" customHeight="1">
      <c r="A9559" t="inlineStr">
        <is>
          <t>A 26717-2023</t>
        </is>
      </c>
      <c r="B9559" t="inlineStr">
        <is>
          <t>avverkningsanmälan</t>
        </is>
      </c>
      <c r="C9559" t="inlineStr">
        <is>
          <t>Föryngringsavverkning</t>
        </is>
      </c>
      <c r="D9559" s="1" t="n">
        <v>45093</v>
      </c>
      <c r="E9559" s="1" t="n">
        <v>46319</v>
      </c>
      <c r="F9559" t="inlineStr">
        <is>
          <t>DALARNAS LÄN</t>
        </is>
      </c>
      <c r="G9559" t="inlineStr">
        <is>
          <t>RÄTTVIK</t>
        </is>
      </c>
      <c r="H9559" t="inlineStr">
        <is>
          <t>Bergvik skog väst AB</t>
        </is>
      </c>
      <c r="I9559" t="n">
        <v>0.8</v>
      </c>
      <c r="J9559" t="n">
        <v>0</v>
      </c>
      <c r="K9559" t="n">
        <v>0</v>
      </c>
      <c r="L9559" t="n">
        <v>0</v>
      </c>
      <c r="M9559" t="n">
        <v>0</v>
      </c>
      <c r="N9559" t="n">
        <v>0</v>
      </c>
      <c r="O9559" t="n">
        <v>0</v>
      </c>
      <c r="P9559" t="n">
        <v>0</v>
      </c>
      <c r="Q9559" t="n">
        <v>0</v>
      </c>
      <c r="R9559" t="n">
        <v>0</v>
      </c>
      <c r="S9559" t="n">
        <v>0</v>
      </c>
      <c r="T9559" t="n">
        <v>0</v>
      </c>
      <c r="U9559" t="n">
        <v>0</v>
      </c>
      <c r="V9559" s="2" t="inlineStr"/>
    </row>
    <row r="9560" ht="15" customHeight="1">
      <c r="A9560" t="inlineStr">
        <is>
          <t>A 49270-2024</t>
        </is>
      </c>
      <c r="B9560" t="inlineStr">
        <is>
          <t>avverkningsanmälan</t>
        </is>
      </c>
      <c r="C9560" t="inlineStr">
        <is>
          <t>Föryngringsavverkning</t>
        </is>
      </c>
      <c r="D9560" s="1" t="n">
        <v>45595</v>
      </c>
      <c r="E9560" s="1" t="n">
        <v>46319</v>
      </c>
      <c r="F9560" t="inlineStr">
        <is>
          <t>DALARNAS LÄN</t>
        </is>
      </c>
      <c r="G9560" t="inlineStr">
        <is>
          <t>ORSA</t>
        </is>
      </c>
      <c r="I9560" t="n">
        <v>0.9</v>
      </c>
      <c r="J9560" t="n">
        <v>0</v>
      </c>
      <c r="K9560" t="n">
        <v>0</v>
      </c>
      <c r="L9560" t="n">
        <v>0</v>
      </c>
      <c r="M9560" t="n">
        <v>0</v>
      </c>
      <c r="N9560" t="n">
        <v>0</v>
      </c>
      <c r="O9560" t="n">
        <v>0</v>
      </c>
      <c r="P9560" t="n">
        <v>0</v>
      </c>
      <c r="Q9560" t="n">
        <v>0</v>
      </c>
      <c r="R9560" t="n">
        <v>0</v>
      </c>
      <c r="S9560" t="n">
        <v>0</v>
      </c>
      <c r="T9560" t="n">
        <v>0</v>
      </c>
      <c r="U9560" t="n">
        <v>0</v>
      </c>
      <c r="V9560" s="2" t="inlineStr"/>
    </row>
    <row r="9561" ht="15" customHeight="1">
      <c r="A9561" t="inlineStr">
        <is>
          <t>A 50266-2024</t>
        </is>
      </c>
      <c r="B9561" t="inlineStr">
        <is>
          <t>avverkningsanmälan</t>
        </is>
      </c>
      <c r="C9561" t="inlineStr">
        <is>
          <t>Föryngringsavverkning</t>
        </is>
      </c>
      <c r="D9561" s="1" t="n">
        <v>45600</v>
      </c>
      <c r="E9561" s="1" t="n">
        <v>46319</v>
      </c>
      <c r="F9561" t="inlineStr">
        <is>
          <t>DALARNAS LÄN</t>
        </is>
      </c>
      <c r="G9561" t="inlineStr">
        <is>
          <t>FALUN</t>
        </is>
      </c>
      <c r="I9561" t="n">
        <v>5.4</v>
      </c>
      <c r="J9561" t="n">
        <v>0</v>
      </c>
      <c r="K9561" t="n">
        <v>0</v>
      </c>
      <c r="L9561" t="n">
        <v>0</v>
      </c>
      <c r="M9561" t="n">
        <v>0</v>
      </c>
      <c r="N9561" t="n">
        <v>0</v>
      </c>
      <c r="O9561" t="n">
        <v>0</v>
      </c>
      <c r="P9561" t="n">
        <v>0</v>
      </c>
      <c r="Q9561" t="n">
        <v>0</v>
      </c>
      <c r="R9561" t="n">
        <v>0</v>
      </c>
      <c r="S9561" t="n">
        <v>0</v>
      </c>
      <c r="T9561" t="n">
        <v>0</v>
      </c>
      <c r="U9561" t="n">
        <v>0</v>
      </c>
      <c r="V9561" s="2" t="inlineStr"/>
    </row>
    <row r="9562" ht="15" customHeight="1">
      <c r="A9562" t="inlineStr">
        <is>
          <t>A 39620-2024</t>
        </is>
      </c>
      <c r="B9562" t="inlineStr">
        <is>
          <t>avverkningsanmälan</t>
        </is>
      </c>
      <c r="C9562" t="inlineStr">
        <is>
          <t>Föryngringsavverkning</t>
        </is>
      </c>
      <c r="D9562" s="1" t="n">
        <v>45552</v>
      </c>
      <c r="E9562" s="1" t="n">
        <v>46319</v>
      </c>
      <c r="F9562" t="inlineStr">
        <is>
          <t>DALARNAS LÄN</t>
        </is>
      </c>
      <c r="G9562" t="inlineStr">
        <is>
          <t>LEKSAND</t>
        </is>
      </c>
      <c r="I9562" t="n">
        <v>2.3</v>
      </c>
      <c r="J9562" t="n">
        <v>0</v>
      </c>
      <c r="K9562" t="n">
        <v>0</v>
      </c>
      <c r="L9562" t="n">
        <v>0</v>
      </c>
      <c r="M9562" t="n">
        <v>0</v>
      </c>
      <c r="N9562" t="n">
        <v>0</v>
      </c>
      <c r="O9562" t="n">
        <v>0</v>
      </c>
      <c r="P9562" t="n">
        <v>0</v>
      </c>
      <c r="Q9562" t="n">
        <v>0</v>
      </c>
      <c r="R9562" t="n">
        <v>0</v>
      </c>
      <c r="S9562" t="n">
        <v>0</v>
      </c>
      <c r="T9562" t="n">
        <v>0</v>
      </c>
      <c r="U9562" t="n">
        <v>0</v>
      </c>
      <c r="V9562" s="2" t="inlineStr"/>
    </row>
    <row r="9563" ht="15" customHeight="1">
      <c r="A9563" t="inlineStr">
        <is>
          <t>A 36455-2024</t>
        </is>
      </c>
      <c r="B9563" t="inlineStr">
        <is>
          <t>avverkningsanmälan</t>
        </is>
      </c>
      <c r="C9563" t="inlineStr">
        <is>
          <t>Föryngringsavverkning</t>
        </is>
      </c>
      <c r="D9563" s="1" t="n">
        <v>45537</v>
      </c>
      <c r="E9563" s="1" t="n">
        <v>46319</v>
      </c>
      <c r="F9563" t="inlineStr">
        <is>
          <t>DALARNAS LÄN</t>
        </is>
      </c>
      <c r="G9563" t="inlineStr">
        <is>
          <t>RÄTTVIK</t>
        </is>
      </c>
      <c r="I9563" t="n">
        <v>9.800000000000001</v>
      </c>
      <c r="J9563" t="n">
        <v>0</v>
      </c>
      <c r="K9563" t="n">
        <v>0</v>
      </c>
      <c r="L9563" t="n">
        <v>0</v>
      </c>
      <c r="M9563" t="n">
        <v>0</v>
      </c>
      <c r="N9563" t="n">
        <v>0</v>
      </c>
      <c r="O9563" t="n">
        <v>0</v>
      </c>
      <c r="P9563" t="n">
        <v>0</v>
      </c>
      <c r="Q9563" t="n">
        <v>0</v>
      </c>
      <c r="R9563" t="n">
        <v>0</v>
      </c>
      <c r="S9563" t="n">
        <v>0</v>
      </c>
      <c r="T9563" t="n">
        <v>0</v>
      </c>
      <c r="U9563" t="n">
        <v>0</v>
      </c>
      <c r="V9563" s="2" t="inlineStr"/>
    </row>
    <row r="9564" ht="15" customHeight="1">
      <c r="A9564" t="inlineStr">
        <is>
          <t>A 42679-2024</t>
        </is>
      </c>
      <c r="B9564" t="inlineStr">
        <is>
          <t>avverkningsanmälan</t>
        </is>
      </c>
      <c r="C9564" t="inlineStr">
        <is>
          <t>Föryngringsavverkning</t>
        </is>
      </c>
      <c r="D9564" s="1" t="n">
        <v>45566</v>
      </c>
      <c r="E9564" s="1" t="n">
        <v>46319</v>
      </c>
      <c r="F9564" t="inlineStr">
        <is>
          <t>DALARNAS LÄN</t>
        </is>
      </c>
      <c r="G9564" t="inlineStr">
        <is>
          <t>ÄLVDALEN</t>
        </is>
      </c>
      <c r="H9564" t="inlineStr">
        <is>
          <t>Bergvik skog väst AB</t>
        </is>
      </c>
      <c r="I9564" t="n">
        <v>1.5</v>
      </c>
      <c r="J9564" t="n">
        <v>0</v>
      </c>
      <c r="K9564" t="n">
        <v>0</v>
      </c>
      <c r="L9564" t="n">
        <v>0</v>
      </c>
      <c r="M9564" t="n">
        <v>0</v>
      </c>
      <c r="N9564" t="n">
        <v>0</v>
      </c>
      <c r="O9564" t="n">
        <v>0</v>
      </c>
      <c r="P9564" t="n">
        <v>0</v>
      </c>
      <c r="Q9564" t="n">
        <v>0</v>
      </c>
      <c r="R9564" t="n">
        <v>0</v>
      </c>
      <c r="S9564" t="n">
        <v>0</v>
      </c>
      <c r="T9564" t="n">
        <v>0</v>
      </c>
      <c r="U9564" t="n">
        <v>0</v>
      </c>
      <c r="V9564" s="2" t="inlineStr"/>
    </row>
    <row r="9565" ht="15" customHeight="1">
      <c r="A9565" t="inlineStr">
        <is>
          <t>A 11408-2025</t>
        </is>
      </c>
      <c r="B9565" t="inlineStr">
        <is>
          <t>avverkningsanmälan</t>
        </is>
      </c>
      <c r="C9565" t="inlineStr">
        <is>
          <t>Avverkning för annat ändamål</t>
        </is>
      </c>
      <c r="D9565" s="1" t="n">
        <v>45726</v>
      </c>
      <c r="E9565" s="1" t="n">
        <v>46319</v>
      </c>
      <c r="F9565" t="inlineStr">
        <is>
          <t>DALARNAS LÄN</t>
        </is>
      </c>
      <c r="G9565" t="inlineStr">
        <is>
          <t>VANSBRO</t>
        </is>
      </c>
      <c r="I9565" t="n">
        <v>0.5</v>
      </c>
      <c r="J9565" t="n">
        <v>0</v>
      </c>
      <c r="K9565" t="n">
        <v>0</v>
      </c>
      <c r="L9565" t="n">
        <v>0</v>
      </c>
      <c r="M9565" t="n">
        <v>0</v>
      </c>
      <c r="N9565" t="n">
        <v>0</v>
      </c>
      <c r="O9565" t="n">
        <v>0</v>
      </c>
      <c r="P9565" t="n">
        <v>0</v>
      </c>
      <c r="Q9565" t="n">
        <v>0</v>
      </c>
      <c r="R9565" t="n">
        <v>0</v>
      </c>
      <c r="S9565" t="n">
        <v>0</v>
      </c>
      <c r="T9565" t="n">
        <v>0</v>
      </c>
      <c r="U9565" t="n">
        <v>0</v>
      </c>
      <c r="V9565" s="2" t="inlineStr"/>
    </row>
    <row r="9566" ht="15" customHeight="1">
      <c r="A9566" t="inlineStr">
        <is>
          <t>A 39674-2023</t>
        </is>
      </c>
      <c r="B9566" t="inlineStr">
        <is>
          <t>avverkningsanmälan</t>
        </is>
      </c>
      <c r="C9566" t="inlineStr">
        <is>
          <t>Föryngringsavverkning</t>
        </is>
      </c>
      <c r="D9566" s="1" t="n">
        <v>45167</v>
      </c>
      <c r="E9566" s="1" t="n">
        <v>46319</v>
      </c>
      <c r="F9566" t="inlineStr">
        <is>
          <t>DALARNAS LÄN</t>
        </is>
      </c>
      <c r="G9566" t="inlineStr">
        <is>
          <t>MORA</t>
        </is>
      </c>
      <c r="I9566" t="n">
        <v>2.4</v>
      </c>
      <c r="J9566" t="n">
        <v>0</v>
      </c>
      <c r="K9566" t="n">
        <v>0</v>
      </c>
      <c r="L9566" t="n">
        <v>0</v>
      </c>
      <c r="M9566" t="n">
        <v>0</v>
      </c>
      <c r="N9566" t="n">
        <v>0</v>
      </c>
      <c r="O9566" t="n">
        <v>0</v>
      </c>
      <c r="P9566" t="n">
        <v>0</v>
      </c>
      <c r="Q9566" t="n">
        <v>0</v>
      </c>
      <c r="R9566" t="n">
        <v>0</v>
      </c>
      <c r="S9566" t="n">
        <v>0</v>
      </c>
      <c r="T9566" t="n">
        <v>0</v>
      </c>
      <c r="U9566" t="n">
        <v>0</v>
      </c>
      <c r="V9566" s="2" t="inlineStr"/>
    </row>
    <row r="9567" ht="15" customHeight="1">
      <c r="A9567" t="inlineStr">
        <is>
          <t>A 53341-2023</t>
        </is>
      </c>
      <c r="B9567" t="inlineStr">
        <is>
          <t>avverkningsanmälan</t>
        </is>
      </c>
      <c r="C9567" t="inlineStr">
        <is>
          <t>Föryngringsavverkning</t>
        </is>
      </c>
      <c r="D9567" s="1" t="n">
        <v>45229</v>
      </c>
      <c r="E9567" s="1" t="n">
        <v>46319</v>
      </c>
      <c r="F9567" t="inlineStr">
        <is>
          <t>DALARNAS LÄN</t>
        </is>
      </c>
      <c r="G9567" t="inlineStr">
        <is>
          <t>MORA</t>
        </is>
      </c>
      <c r="I9567" t="n">
        <v>2.1</v>
      </c>
      <c r="J9567" t="n">
        <v>0</v>
      </c>
      <c r="K9567" t="n">
        <v>0</v>
      </c>
      <c r="L9567" t="n">
        <v>0</v>
      </c>
      <c r="M9567" t="n">
        <v>0</v>
      </c>
      <c r="N9567" t="n">
        <v>0</v>
      </c>
      <c r="O9567" t="n">
        <v>0</v>
      </c>
      <c r="P9567" t="n">
        <v>0</v>
      </c>
      <c r="Q9567" t="n">
        <v>0</v>
      </c>
      <c r="R9567" t="n">
        <v>0</v>
      </c>
      <c r="S9567" t="n">
        <v>0</v>
      </c>
      <c r="T9567" t="n">
        <v>0</v>
      </c>
      <c r="U9567" t="n">
        <v>0</v>
      </c>
      <c r="V9567" s="2" t="inlineStr"/>
    </row>
    <row r="9568" ht="15" customHeight="1">
      <c r="A9568" t="inlineStr">
        <is>
          <t>A 48982-2022</t>
        </is>
      </c>
      <c r="B9568" t="inlineStr">
        <is>
          <t>avverkningsanmälan</t>
        </is>
      </c>
      <c r="C9568" t="inlineStr">
        <is>
          <t>Föryngringsavverkning</t>
        </is>
      </c>
      <c r="D9568" s="1" t="n">
        <v>44860</v>
      </c>
      <c r="E9568" s="1" t="n">
        <v>46319</v>
      </c>
      <c r="F9568" t="inlineStr">
        <is>
          <t>DALARNAS LÄN</t>
        </is>
      </c>
      <c r="G9568" t="inlineStr">
        <is>
          <t>MALUNG-SÄLEN</t>
        </is>
      </c>
      <c r="I9568" t="n">
        <v>1.5</v>
      </c>
      <c r="J9568" t="n">
        <v>0</v>
      </c>
      <c r="K9568" t="n">
        <v>0</v>
      </c>
      <c r="L9568" t="n">
        <v>0</v>
      </c>
      <c r="M9568" t="n">
        <v>0</v>
      </c>
      <c r="N9568" t="n">
        <v>0</v>
      </c>
      <c r="O9568" t="n">
        <v>0</v>
      </c>
      <c r="P9568" t="n">
        <v>0</v>
      </c>
      <c r="Q9568" t="n">
        <v>0</v>
      </c>
      <c r="R9568" t="n">
        <v>0</v>
      </c>
      <c r="S9568" t="n">
        <v>0</v>
      </c>
      <c r="T9568" t="n">
        <v>0</v>
      </c>
      <c r="U9568" t="n">
        <v>0</v>
      </c>
      <c r="V9568" s="2" t="inlineStr"/>
    </row>
    <row r="9569" ht="15" customHeight="1">
      <c r="A9569" t="inlineStr">
        <is>
          <t>A 57895-2022</t>
        </is>
      </c>
      <c r="B9569" t="inlineStr">
        <is>
          <t>avverkningsanmälan</t>
        </is>
      </c>
      <c r="C9569" t="inlineStr">
        <is>
          <t>Föryngringsavverkning</t>
        </is>
      </c>
      <c r="D9569" s="1" t="n">
        <v>44900</v>
      </c>
      <c r="E9569" s="1" t="n">
        <v>46319</v>
      </c>
      <c r="F9569" t="inlineStr">
        <is>
          <t>DALARNAS LÄN</t>
        </is>
      </c>
      <c r="G9569" t="inlineStr">
        <is>
          <t>MALUNG-SÄLEN</t>
        </is>
      </c>
      <c r="H9569" t="inlineStr">
        <is>
          <t>Allmännings- och besparingsskogar</t>
        </is>
      </c>
      <c r="I9569" t="n">
        <v>6</v>
      </c>
      <c r="J9569" t="n">
        <v>0</v>
      </c>
      <c r="K9569" t="n">
        <v>0</v>
      </c>
      <c r="L9569" t="n">
        <v>0</v>
      </c>
      <c r="M9569" t="n">
        <v>0</v>
      </c>
      <c r="N9569" t="n">
        <v>0</v>
      </c>
      <c r="O9569" t="n">
        <v>0</v>
      </c>
      <c r="P9569" t="n">
        <v>0</v>
      </c>
      <c r="Q9569" t="n">
        <v>0</v>
      </c>
      <c r="R9569" t="n">
        <v>0</v>
      </c>
      <c r="S9569" t="n">
        <v>0</v>
      </c>
      <c r="T9569" t="n">
        <v>0</v>
      </c>
      <c r="U9569" t="n">
        <v>0</v>
      </c>
      <c r="V9569" s="2" t="inlineStr"/>
    </row>
    <row r="9570" ht="15" customHeight="1">
      <c r="A9570" t="inlineStr">
        <is>
          <t>A 55969-2024</t>
        </is>
      </c>
      <c r="B9570" t="inlineStr">
        <is>
          <t>avverkningsanmälan</t>
        </is>
      </c>
      <c r="C9570" t="inlineStr">
        <is>
          <t>Föryngringsavverkning</t>
        </is>
      </c>
      <c r="D9570" s="1" t="n">
        <v>45623</v>
      </c>
      <c r="E9570" s="1" t="n">
        <v>46319</v>
      </c>
      <c r="F9570" t="inlineStr">
        <is>
          <t>DALARNAS LÄN</t>
        </is>
      </c>
      <c r="G9570" t="inlineStr">
        <is>
          <t>MALUNG-SÄLEN</t>
        </is>
      </c>
      <c r="I9570" t="n">
        <v>4.6</v>
      </c>
      <c r="J9570" t="n">
        <v>0</v>
      </c>
      <c r="K9570" t="n">
        <v>0</v>
      </c>
      <c r="L9570" t="n">
        <v>0</v>
      </c>
      <c r="M9570" t="n">
        <v>0</v>
      </c>
      <c r="N9570" t="n">
        <v>0</v>
      </c>
      <c r="O9570" t="n">
        <v>0</v>
      </c>
      <c r="P9570" t="n">
        <v>0</v>
      </c>
      <c r="Q9570" t="n">
        <v>0</v>
      </c>
      <c r="R9570" t="n">
        <v>0</v>
      </c>
      <c r="S9570" t="n">
        <v>0</v>
      </c>
      <c r="T9570" t="n">
        <v>0</v>
      </c>
      <c r="U9570" t="n">
        <v>0</v>
      </c>
      <c r="V9570" s="2" t="inlineStr"/>
    </row>
    <row r="9571" ht="15" customHeight="1">
      <c r="A9571" t="inlineStr">
        <is>
          <t>A 56810-2024</t>
        </is>
      </c>
      <c r="B9571" t="inlineStr">
        <is>
          <t>avverkningsanmälan</t>
        </is>
      </c>
      <c r="C9571" t="inlineStr">
        <is>
          <t>Föryngringsavverkning</t>
        </is>
      </c>
      <c r="D9571" s="1" t="n">
        <v>45628</v>
      </c>
      <c r="E9571" s="1" t="n">
        <v>46319</v>
      </c>
      <c r="F9571" t="inlineStr">
        <is>
          <t>DALARNAS LÄN</t>
        </is>
      </c>
      <c r="G9571" t="inlineStr">
        <is>
          <t>ORSA</t>
        </is>
      </c>
      <c r="I9571" t="n">
        <v>0.9</v>
      </c>
      <c r="J9571" t="n">
        <v>0</v>
      </c>
      <c r="K9571" t="n">
        <v>0</v>
      </c>
      <c r="L9571" t="n">
        <v>0</v>
      </c>
      <c r="M9571" t="n">
        <v>0</v>
      </c>
      <c r="N9571" t="n">
        <v>0</v>
      </c>
      <c r="O9571" t="n">
        <v>0</v>
      </c>
      <c r="P9571" t="n">
        <v>0</v>
      </c>
      <c r="Q9571" t="n">
        <v>0</v>
      </c>
      <c r="R9571" t="n">
        <v>0</v>
      </c>
      <c r="S9571" t="n">
        <v>0</v>
      </c>
      <c r="T9571" t="n">
        <v>0</v>
      </c>
      <c r="U9571" t="n">
        <v>0</v>
      </c>
      <c r="V9571" s="2" t="inlineStr"/>
    </row>
    <row r="9572" ht="15" customHeight="1">
      <c r="A9572" t="inlineStr">
        <is>
          <t>A 56811-2024</t>
        </is>
      </c>
      <c r="B9572" t="inlineStr">
        <is>
          <t>avverkningsanmälan</t>
        </is>
      </c>
      <c r="C9572" t="inlineStr">
        <is>
          <t>Föryngringsavverkning</t>
        </is>
      </c>
      <c r="D9572" s="1" t="n">
        <v>45628</v>
      </c>
      <c r="E9572" s="1" t="n">
        <v>46319</v>
      </c>
      <c r="F9572" t="inlineStr">
        <is>
          <t>DALARNAS LÄN</t>
        </is>
      </c>
      <c r="G9572" t="inlineStr">
        <is>
          <t>ORSA</t>
        </is>
      </c>
      <c r="I9572" t="n">
        <v>1.3</v>
      </c>
      <c r="J9572" t="n">
        <v>0</v>
      </c>
      <c r="K9572" t="n">
        <v>0</v>
      </c>
      <c r="L9572" t="n">
        <v>0</v>
      </c>
      <c r="M9572" t="n">
        <v>0</v>
      </c>
      <c r="N9572" t="n">
        <v>0</v>
      </c>
      <c r="O9572" t="n">
        <v>0</v>
      </c>
      <c r="P9572" t="n">
        <v>0</v>
      </c>
      <c r="Q9572" t="n">
        <v>0</v>
      </c>
      <c r="R9572" t="n">
        <v>0</v>
      </c>
      <c r="S9572" t="n">
        <v>0</v>
      </c>
      <c r="T9572" t="n">
        <v>0</v>
      </c>
      <c r="U9572" t="n">
        <v>0</v>
      </c>
      <c r="V9572" s="2" t="inlineStr"/>
    </row>
    <row r="9573" ht="15" customHeight="1">
      <c r="A9573" t="inlineStr">
        <is>
          <t>A 23413-2024</t>
        </is>
      </c>
      <c r="B9573" t="inlineStr">
        <is>
          <t>avverkningsanmälan</t>
        </is>
      </c>
      <c r="C9573" t="inlineStr">
        <is>
          <t>Föryngringsavverkning</t>
        </is>
      </c>
      <c r="D9573" s="1" t="n">
        <v>45453</v>
      </c>
      <c r="E9573" s="1" t="n">
        <v>46319</v>
      </c>
      <c r="F9573" t="inlineStr">
        <is>
          <t>DALARNAS LÄN</t>
        </is>
      </c>
      <c r="G9573" t="inlineStr">
        <is>
          <t>MALUNG-SÄLEN</t>
        </is>
      </c>
      <c r="I9573" t="n">
        <v>0.8</v>
      </c>
      <c r="J9573" t="n">
        <v>0</v>
      </c>
      <c r="K9573" t="n">
        <v>0</v>
      </c>
      <c r="L9573" t="n">
        <v>0</v>
      </c>
      <c r="M9573" t="n">
        <v>0</v>
      </c>
      <c r="N9573" t="n">
        <v>0</v>
      </c>
      <c r="O9573" t="n">
        <v>0</v>
      </c>
      <c r="P9573" t="n">
        <v>0</v>
      </c>
      <c r="Q9573" t="n">
        <v>0</v>
      </c>
      <c r="R9573" t="n">
        <v>0</v>
      </c>
      <c r="S9573" t="n">
        <v>0</v>
      </c>
      <c r="T9573" t="n">
        <v>0</v>
      </c>
      <c r="U9573" t="n">
        <v>0</v>
      </c>
      <c r="V9573" s="2" t="inlineStr"/>
    </row>
    <row r="9574" ht="15" customHeight="1">
      <c r="A9574" t="inlineStr">
        <is>
          <t>A 57744-2022</t>
        </is>
      </c>
      <c r="B9574" t="inlineStr">
        <is>
          <t>avverkningsanmälan</t>
        </is>
      </c>
      <c r="C9574" t="inlineStr">
        <is>
          <t>Föryngringsavverkning</t>
        </is>
      </c>
      <c r="D9574" s="1" t="n">
        <v>44897</v>
      </c>
      <c r="E9574" s="1" t="n">
        <v>46319</v>
      </c>
      <c r="F9574" t="inlineStr">
        <is>
          <t>DALARNAS LÄN</t>
        </is>
      </c>
      <c r="G9574" t="inlineStr">
        <is>
          <t>MALUNG-SÄLEN</t>
        </is>
      </c>
      <c r="I9574" t="n">
        <v>3.6</v>
      </c>
      <c r="J9574" t="n">
        <v>0</v>
      </c>
      <c r="K9574" t="n">
        <v>0</v>
      </c>
      <c r="L9574" t="n">
        <v>0</v>
      </c>
      <c r="M9574" t="n">
        <v>0</v>
      </c>
      <c r="N9574" t="n">
        <v>0</v>
      </c>
      <c r="O9574" t="n">
        <v>0</v>
      </c>
      <c r="P9574" t="n">
        <v>0</v>
      </c>
      <c r="Q9574" t="n">
        <v>0</v>
      </c>
      <c r="R9574" t="n">
        <v>0</v>
      </c>
      <c r="S9574" t="n">
        <v>0</v>
      </c>
      <c r="T9574" t="n">
        <v>0</v>
      </c>
      <c r="U9574" t="n">
        <v>0</v>
      </c>
      <c r="V9574" s="2" t="inlineStr"/>
    </row>
    <row r="9575" ht="15" customHeight="1">
      <c r="A9575" t="inlineStr">
        <is>
          <t>A 36424-2024</t>
        </is>
      </c>
      <c r="B9575" t="inlineStr">
        <is>
          <t>avverkningsanmälan</t>
        </is>
      </c>
      <c r="C9575" t="inlineStr">
        <is>
          <t>Föryngringsavverkning</t>
        </is>
      </c>
      <c r="D9575" s="1" t="n">
        <v>45536</v>
      </c>
      <c r="E9575" s="1" t="n">
        <v>46319</v>
      </c>
      <c r="F9575" t="inlineStr">
        <is>
          <t>DALARNAS LÄN</t>
        </is>
      </c>
      <c r="G9575" t="inlineStr">
        <is>
          <t>BORLÄNGE</t>
        </is>
      </c>
      <c r="I9575" t="n">
        <v>1.1</v>
      </c>
      <c r="J9575" t="n">
        <v>0</v>
      </c>
      <c r="K9575" t="n">
        <v>0</v>
      </c>
      <c r="L9575" t="n">
        <v>0</v>
      </c>
      <c r="M9575" t="n">
        <v>0</v>
      </c>
      <c r="N9575" t="n">
        <v>0</v>
      </c>
      <c r="O9575" t="n">
        <v>0</v>
      </c>
      <c r="P9575" t="n">
        <v>0</v>
      </c>
      <c r="Q9575" t="n">
        <v>0</v>
      </c>
      <c r="R9575" t="n">
        <v>0</v>
      </c>
      <c r="S9575" t="n">
        <v>0</v>
      </c>
      <c r="T9575" t="n">
        <v>0</v>
      </c>
      <c r="U9575" t="n">
        <v>0</v>
      </c>
      <c r="V9575" s="2" t="inlineStr"/>
    </row>
    <row r="9576" ht="15" customHeight="1">
      <c r="A9576" t="inlineStr">
        <is>
          <t>A 34038-2024</t>
        </is>
      </c>
      <c r="B9576" t="inlineStr">
        <is>
          <t>avverkningsanmälan</t>
        </is>
      </c>
      <c r="C9576" t="inlineStr">
        <is>
          <t>Föryngringsavverkning</t>
        </is>
      </c>
      <c r="D9576" s="1" t="n">
        <v>45523</v>
      </c>
      <c r="E9576" s="1" t="n">
        <v>46319</v>
      </c>
      <c r="F9576" t="inlineStr">
        <is>
          <t>DALARNAS LÄN</t>
        </is>
      </c>
      <c r="G9576" t="inlineStr">
        <is>
          <t>LEKSAND</t>
        </is>
      </c>
      <c r="I9576" t="n">
        <v>0.3</v>
      </c>
      <c r="J9576" t="n">
        <v>0</v>
      </c>
      <c r="K9576" t="n">
        <v>0</v>
      </c>
      <c r="L9576" t="n">
        <v>0</v>
      </c>
      <c r="M9576" t="n">
        <v>0</v>
      </c>
      <c r="N9576" t="n">
        <v>0</v>
      </c>
      <c r="O9576" t="n">
        <v>0</v>
      </c>
      <c r="P9576" t="n">
        <v>0</v>
      </c>
      <c r="Q9576" t="n">
        <v>0</v>
      </c>
      <c r="R9576" t="n">
        <v>0</v>
      </c>
      <c r="S9576" t="n">
        <v>0</v>
      </c>
      <c r="T9576" t="n">
        <v>0</v>
      </c>
      <c r="U9576" t="n">
        <v>0</v>
      </c>
      <c r="V9576" s="2" t="inlineStr"/>
    </row>
    <row r="9577" ht="15" customHeight="1">
      <c r="A9577" t="inlineStr">
        <is>
          <t>A 33082-2024</t>
        </is>
      </c>
      <c r="B9577" t="inlineStr">
        <is>
          <t>avverkningsanmälan</t>
        </is>
      </c>
      <c r="C9577" t="inlineStr">
        <is>
          <t>Föryngringsavverkning</t>
        </is>
      </c>
      <c r="D9577" s="1" t="n">
        <v>45517</v>
      </c>
      <c r="E9577" s="1" t="n">
        <v>46319</v>
      </c>
      <c r="F9577" t="inlineStr">
        <is>
          <t>DALARNAS LÄN</t>
        </is>
      </c>
      <c r="G9577" t="inlineStr">
        <is>
          <t>RÄTTVIK</t>
        </is>
      </c>
      <c r="I9577" t="n">
        <v>0.4</v>
      </c>
      <c r="J9577" t="n">
        <v>0</v>
      </c>
      <c r="K9577" t="n">
        <v>0</v>
      </c>
      <c r="L9577" t="n">
        <v>0</v>
      </c>
      <c r="M9577" t="n">
        <v>0</v>
      </c>
      <c r="N9577" t="n">
        <v>0</v>
      </c>
      <c r="O9577" t="n">
        <v>0</v>
      </c>
      <c r="P9577" t="n">
        <v>0</v>
      </c>
      <c r="Q9577" t="n">
        <v>0</v>
      </c>
      <c r="R9577" t="n">
        <v>0</v>
      </c>
      <c r="S9577" t="n">
        <v>0</v>
      </c>
      <c r="T9577" t="n">
        <v>0</v>
      </c>
      <c r="U9577" t="n">
        <v>0</v>
      </c>
      <c r="V9577" s="2" t="inlineStr"/>
    </row>
    <row r="9578" ht="15" customHeight="1">
      <c r="A9578" t="inlineStr">
        <is>
          <t>A 33837-2024</t>
        </is>
      </c>
      <c r="B9578" t="inlineStr">
        <is>
          <t>avverkningsanmälan</t>
        </is>
      </c>
      <c r="C9578" t="inlineStr">
        <is>
          <t>Föryngringsavverkning</t>
        </is>
      </c>
      <c r="D9578" s="1" t="n">
        <v>45520</v>
      </c>
      <c r="E9578" s="1" t="n">
        <v>46319</v>
      </c>
      <c r="F9578" t="inlineStr">
        <is>
          <t>DALARNAS LÄN</t>
        </is>
      </c>
      <c r="G9578" t="inlineStr">
        <is>
          <t>VANSBRO</t>
        </is>
      </c>
      <c r="I9578" t="n">
        <v>2.9</v>
      </c>
      <c r="J9578" t="n">
        <v>0</v>
      </c>
      <c r="K9578" t="n">
        <v>0</v>
      </c>
      <c r="L9578" t="n">
        <v>0</v>
      </c>
      <c r="M9578" t="n">
        <v>0</v>
      </c>
      <c r="N9578" t="n">
        <v>0</v>
      </c>
      <c r="O9578" t="n">
        <v>0</v>
      </c>
      <c r="P9578" t="n">
        <v>0</v>
      </c>
      <c r="Q9578" t="n">
        <v>0</v>
      </c>
      <c r="R9578" t="n">
        <v>0</v>
      </c>
      <c r="S9578" t="n">
        <v>0</v>
      </c>
      <c r="T9578" t="n">
        <v>0</v>
      </c>
      <c r="U9578" t="n">
        <v>0</v>
      </c>
      <c r="V9578" s="2" t="inlineStr"/>
    </row>
    <row r="9579" ht="15" customHeight="1">
      <c r="A9579" t="inlineStr">
        <is>
          <t>A 4380-2024</t>
        </is>
      </c>
      <c r="B9579" t="inlineStr">
        <is>
          <t>avverkningsanmälan</t>
        </is>
      </c>
      <c r="C9579" t="inlineStr">
        <is>
          <t>Föryngringsavverkning</t>
        </is>
      </c>
      <c r="D9579" s="1" t="n">
        <v>45327</v>
      </c>
      <c r="E9579" s="1" t="n">
        <v>46319</v>
      </c>
      <c r="F9579" t="inlineStr">
        <is>
          <t>DALARNAS LÄN</t>
        </is>
      </c>
      <c r="G9579" t="inlineStr">
        <is>
          <t>ÄLVDALEN</t>
        </is>
      </c>
      <c r="I9579" t="n">
        <v>6.3</v>
      </c>
      <c r="J9579" t="n">
        <v>0</v>
      </c>
      <c r="K9579" t="n">
        <v>0</v>
      </c>
      <c r="L9579" t="n">
        <v>0</v>
      </c>
      <c r="M9579" t="n">
        <v>0</v>
      </c>
      <c r="N9579" t="n">
        <v>0</v>
      </c>
      <c r="O9579" t="n">
        <v>0</v>
      </c>
      <c r="P9579" t="n">
        <v>0</v>
      </c>
      <c r="Q9579" t="n">
        <v>0</v>
      </c>
      <c r="R9579" t="n">
        <v>0</v>
      </c>
      <c r="S9579" t="n">
        <v>0</v>
      </c>
      <c r="T9579" t="n">
        <v>0</v>
      </c>
      <c r="U9579" t="n">
        <v>0</v>
      </c>
      <c r="V9579" s="2" t="inlineStr"/>
    </row>
    <row r="9580" ht="15" customHeight="1">
      <c r="A9580" t="inlineStr">
        <is>
          <t>A 10570-2025</t>
        </is>
      </c>
      <c r="B9580" t="inlineStr">
        <is>
          <t>avverkningsanmälan</t>
        </is>
      </c>
      <c r="C9580" t="inlineStr">
        <is>
          <t>Föryngringsavverkning</t>
        </is>
      </c>
      <c r="D9580" s="1" t="n">
        <v>45721</v>
      </c>
      <c r="E9580" s="1" t="n">
        <v>46319</v>
      </c>
      <c r="F9580" t="inlineStr">
        <is>
          <t>DALARNAS LÄN</t>
        </is>
      </c>
      <c r="G9580" t="inlineStr">
        <is>
          <t>AVESTA</t>
        </is>
      </c>
      <c r="H9580" t="inlineStr">
        <is>
          <t>Sveaskog</t>
        </is>
      </c>
      <c r="I9580" t="n">
        <v>1.1</v>
      </c>
      <c r="J9580" t="n">
        <v>0</v>
      </c>
      <c r="K9580" t="n">
        <v>0</v>
      </c>
      <c r="L9580" t="n">
        <v>0</v>
      </c>
      <c r="M9580" t="n">
        <v>0</v>
      </c>
      <c r="N9580" t="n">
        <v>0</v>
      </c>
      <c r="O9580" t="n">
        <v>0</v>
      </c>
      <c r="P9580" t="n">
        <v>0</v>
      </c>
      <c r="Q9580" t="n">
        <v>0</v>
      </c>
      <c r="R9580" t="n">
        <v>0</v>
      </c>
      <c r="S9580" t="n">
        <v>0</v>
      </c>
      <c r="T9580" t="n">
        <v>0</v>
      </c>
      <c r="U9580" t="n">
        <v>0</v>
      </c>
      <c r="V9580" s="2" t="inlineStr"/>
    </row>
    <row r="9581" ht="15" customHeight="1">
      <c r="A9581" t="inlineStr">
        <is>
          <t>A 60958-2023</t>
        </is>
      </c>
      <c r="B9581" t="inlineStr">
        <is>
          <t>avverkningsanmälan</t>
        </is>
      </c>
      <c r="C9581" t="inlineStr">
        <is>
          <t>Föryngringsavverkning</t>
        </is>
      </c>
      <c r="D9581" s="1" t="n">
        <v>45259</v>
      </c>
      <c r="E9581" s="1" t="n">
        <v>46319</v>
      </c>
      <c r="F9581" t="inlineStr">
        <is>
          <t>DALARNAS LÄN</t>
        </is>
      </c>
      <c r="G9581" t="inlineStr">
        <is>
          <t>RÄTTVIK</t>
        </is>
      </c>
      <c r="I9581" t="n">
        <v>7.5</v>
      </c>
      <c r="J9581" t="n">
        <v>0</v>
      </c>
      <c r="K9581" t="n">
        <v>0</v>
      </c>
      <c r="L9581" t="n">
        <v>0</v>
      </c>
      <c r="M9581" t="n">
        <v>0</v>
      </c>
      <c r="N9581" t="n">
        <v>0</v>
      </c>
      <c r="O9581" t="n">
        <v>0</v>
      </c>
      <c r="P9581" t="n">
        <v>0</v>
      </c>
      <c r="Q9581" t="n">
        <v>0</v>
      </c>
      <c r="R9581" t="n">
        <v>0</v>
      </c>
      <c r="S9581" t="n">
        <v>0</v>
      </c>
      <c r="T9581" t="n">
        <v>0</v>
      </c>
      <c r="U9581" t="n">
        <v>0</v>
      </c>
      <c r="V9581" s="2" t="inlineStr"/>
    </row>
    <row r="9582" ht="15" customHeight="1">
      <c r="A9582" t="inlineStr">
        <is>
          <t>A 3168-2024</t>
        </is>
      </c>
      <c r="B9582" t="inlineStr">
        <is>
          <t>avverkningsanmälan</t>
        </is>
      </c>
      <c r="C9582" t="inlineStr">
        <is>
          <t>Föryngringsavverkning</t>
        </is>
      </c>
      <c r="D9582" s="1" t="n">
        <v>45316</v>
      </c>
      <c r="E9582" s="1" t="n">
        <v>46319</v>
      </c>
      <c r="F9582" t="inlineStr">
        <is>
          <t>DALARNAS LÄN</t>
        </is>
      </c>
      <c r="G9582" t="inlineStr">
        <is>
          <t>ORSA</t>
        </is>
      </c>
      <c r="I9582" t="n">
        <v>0.7</v>
      </c>
      <c r="J9582" t="n">
        <v>0</v>
      </c>
      <c r="K9582" t="n">
        <v>0</v>
      </c>
      <c r="L9582" t="n">
        <v>0</v>
      </c>
      <c r="M9582" t="n">
        <v>0</v>
      </c>
      <c r="N9582" t="n">
        <v>0</v>
      </c>
      <c r="O9582" t="n">
        <v>0</v>
      </c>
      <c r="P9582" t="n">
        <v>0</v>
      </c>
      <c r="Q9582" t="n">
        <v>0</v>
      </c>
      <c r="R9582" t="n">
        <v>0</v>
      </c>
      <c r="S9582" t="n">
        <v>0</v>
      </c>
      <c r="T9582" t="n">
        <v>0</v>
      </c>
      <c r="U9582" t="n">
        <v>0</v>
      </c>
      <c r="V9582" s="2" t="inlineStr"/>
    </row>
    <row r="9583" ht="15" customHeight="1">
      <c r="A9583" t="inlineStr">
        <is>
          <t>A 62156-2023</t>
        </is>
      </c>
      <c r="B9583" t="inlineStr">
        <is>
          <t>avverkningsanmälan</t>
        </is>
      </c>
      <c r="C9583" t="inlineStr">
        <is>
          <t>Avverkning för annat ändamål</t>
        </is>
      </c>
      <c r="D9583" s="1" t="n">
        <v>45267</v>
      </c>
      <c r="E9583" s="1" t="n">
        <v>46319</v>
      </c>
      <c r="F9583" t="inlineStr">
        <is>
          <t>DALARNAS LÄN</t>
        </is>
      </c>
      <c r="G9583" t="inlineStr">
        <is>
          <t>FALUN</t>
        </is>
      </c>
      <c r="I9583" t="n">
        <v>0.1</v>
      </c>
      <c r="J9583" t="n">
        <v>0</v>
      </c>
      <c r="K9583" t="n">
        <v>0</v>
      </c>
      <c r="L9583" t="n">
        <v>0</v>
      </c>
      <c r="M9583" t="n">
        <v>0</v>
      </c>
      <c r="N9583" t="n">
        <v>0</v>
      </c>
      <c r="O9583" t="n">
        <v>0</v>
      </c>
      <c r="P9583" t="n">
        <v>0</v>
      </c>
      <c r="Q9583" t="n">
        <v>0</v>
      </c>
      <c r="R9583" t="n">
        <v>0</v>
      </c>
      <c r="S9583" t="n">
        <v>0</v>
      </c>
      <c r="T9583" t="n">
        <v>0</v>
      </c>
      <c r="U9583" t="n">
        <v>0</v>
      </c>
      <c r="V9583" s="2" t="inlineStr"/>
    </row>
    <row r="9584" ht="15" customHeight="1">
      <c r="A9584" t="inlineStr">
        <is>
          <t>A 1917-2022</t>
        </is>
      </c>
      <c r="B9584" t="inlineStr">
        <is>
          <t>avverkningsanmälan</t>
        </is>
      </c>
      <c r="C9584" t="inlineStr">
        <is>
          <t>Avverkning för annat ändamål</t>
        </is>
      </c>
      <c r="D9584" s="1" t="n">
        <v>44574</v>
      </c>
      <c r="E9584" s="1" t="n">
        <v>46319</v>
      </c>
      <c r="F9584" t="inlineStr">
        <is>
          <t>DALARNAS LÄN</t>
        </is>
      </c>
      <c r="G9584" t="inlineStr">
        <is>
          <t>HEDEMORA</t>
        </is>
      </c>
      <c r="H9584" t="inlineStr">
        <is>
          <t>Övriga Aktiebolag</t>
        </is>
      </c>
      <c r="I9584" t="n">
        <v>1.4</v>
      </c>
      <c r="J9584" t="n">
        <v>0</v>
      </c>
      <c r="K9584" t="n">
        <v>0</v>
      </c>
      <c r="L9584" t="n">
        <v>0</v>
      </c>
      <c r="M9584" t="n">
        <v>0</v>
      </c>
      <c r="N9584" t="n">
        <v>0</v>
      </c>
      <c r="O9584" t="n">
        <v>0</v>
      </c>
      <c r="P9584" t="n">
        <v>0</v>
      </c>
      <c r="Q9584" t="n">
        <v>0</v>
      </c>
      <c r="R9584" t="n">
        <v>0</v>
      </c>
      <c r="S9584" t="n">
        <v>0</v>
      </c>
      <c r="T9584" t="n">
        <v>0</v>
      </c>
      <c r="U9584" t="n">
        <v>0</v>
      </c>
      <c r="V9584" s="2" t="inlineStr"/>
    </row>
    <row r="9585" ht="15" customHeight="1">
      <c r="A9585" t="inlineStr">
        <is>
          <t>A 15686-2024</t>
        </is>
      </c>
      <c r="B9585" t="inlineStr">
        <is>
          <t>avverkningsanmälan</t>
        </is>
      </c>
      <c r="C9585" t="inlineStr">
        <is>
          <t>Föryngringsavverkning</t>
        </is>
      </c>
      <c r="D9585" s="1" t="n">
        <v>45404</v>
      </c>
      <c r="E9585" s="1" t="n">
        <v>46319</v>
      </c>
      <c r="F9585" t="inlineStr">
        <is>
          <t>DALARNAS LÄN</t>
        </is>
      </c>
      <c r="G9585" t="inlineStr">
        <is>
          <t>GAGNEF</t>
        </is>
      </c>
      <c r="I9585" t="n">
        <v>2.4</v>
      </c>
      <c r="J9585" t="n">
        <v>0</v>
      </c>
      <c r="K9585" t="n">
        <v>0</v>
      </c>
      <c r="L9585" t="n">
        <v>0</v>
      </c>
      <c r="M9585" t="n">
        <v>0</v>
      </c>
      <c r="N9585" t="n">
        <v>0</v>
      </c>
      <c r="O9585" t="n">
        <v>0</v>
      </c>
      <c r="P9585" t="n">
        <v>0</v>
      </c>
      <c r="Q9585" t="n">
        <v>0</v>
      </c>
      <c r="R9585" t="n">
        <v>0</v>
      </c>
      <c r="S9585" t="n">
        <v>0</v>
      </c>
      <c r="T9585" t="n">
        <v>0</v>
      </c>
      <c r="U9585" t="n">
        <v>0</v>
      </c>
      <c r="V9585" s="2" t="inlineStr"/>
    </row>
    <row r="9586" ht="15" customHeight="1">
      <c r="A9586" t="inlineStr">
        <is>
          <t>A 45472-2022</t>
        </is>
      </c>
      <c r="B9586" t="inlineStr">
        <is>
          <t>avverkningsanmälan</t>
        </is>
      </c>
      <c r="C9586" t="inlineStr">
        <is>
          <t>Föryngringsavverkning</t>
        </is>
      </c>
      <c r="D9586" s="1" t="n">
        <v>44841</v>
      </c>
      <c r="E9586" s="1" t="n">
        <v>46319</v>
      </c>
      <c r="F9586" t="inlineStr">
        <is>
          <t>DALARNAS LÄN</t>
        </is>
      </c>
      <c r="G9586" t="inlineStr">
        <is>
          <t>RÄTTVIK</t>
        </is>
      </c>
      <c r="I9586" t="n">
        <v>1.9</v>
      </c>
      <c r="J9586" t="n">
        <v>0</v>
      </c>
      <c r="K9586" t="n">
        <v>0</v>
      </c>
      <c r="L9586" t="n">
        <v>0</v>
      </c>
      <c r="M9586" t="n">
        <v>0</v>
      </c>
      <c r="N9586" t="n">
        <v>0</v>
      </c>
      <c r="O9586" t="n">
        <v>0</v>
      </c>
      <c r="P9586" t="n">
        <v>0</v>
      </c>
      <c r="Q9586" t="n">
        <v>0</v>
      </c>
      <c r="R9586" t="n">
        <v>0</v>
      </c>
      <c r="S9586" t="n">
        <v>0</v>
      </c>
      <c r="T9586" t="n">
        <v>0</v>
      </c>
      <c r="U9586" t="n">
        <v>0</v>
      </c>
      <c r="V9586" s="2" t="inlineStr"/>
    </row>
    <row r="9587" ht="15" customHeight="1">
      <c r="A9587" t="inlineStr">
        <is>
          <t>A 38692-2024</t>
        </is>
      </c>
      <c r="B9587" t="inlineStr">
        <is>
          <t>avverkningsanmälan</t>
        </is>
      </c>
      <c r="C9587" t="inlineStr">
        <is>
          <t>Föryngringsavverkning</t>
        </is>
      </c>
      <c r="D9587" s="1" t="n">
        <v>45547</v>
      </c>
      <c r="E9587" s="1" t="n">
        <v>46319</v>
      </c>
      <c r="F9587" t="inlineStr">
        <is>
          <t>DALARNAS LÄN</t>
        </is>
      </c>
      <c r="G9587" t="inlineStr">
        <is>
          <t>RÄTTVIK</t>
        </is>
      </c>
      <c r="I9587" t="n">
        <v>2</v>
      </c>
      <c r="J9587" t="n">
        <v>0</v>
      </c>
      <c r="K9587" t="n">
        <v>0</v>
      </c>
      <c r="L9587" t="n">
        <v>0</v>
      </c>
      <c r="M9587" t="n">
        <v>0</v>
      </c>
      <c r="N9587" t="n">
        <v>0</v>
      </c>
      <c r="O9587" t="n">
        <v>0</v>
      </c>
      <c r="P9587" t="n">
        <v>0</v>
      </c>
      <c r="Q9587" t="n">
        <v>0</v>
      </c>
      <c r="R9587" t="n">
        <v>0</v>
      </c>
      <c r="S9587" t="n">
        <v>0</v>
      </c>
      <c r="T9587" t="n">
        <v>0</v>
      </c>
      <c r="U9587" t="n">
        <v>0</v>
      </c>
      <c r="V9587" s="2" t="inlineStr"/>
    </row>
    <row r="9588" ht="15" customHeight="1">
      <c r="A9588" t="inlineStr">
        <is>
          <t>A 35537-2024</t>
        </is>
      </c>
      <c r="B9588" t="inlineStr">
        <is>
          <t>avverkningsanmälan</t>
        </is>
      </c>
      <c r="C9588" t="inlineStr">
        <is>
          <t>Föryngringsavverkning</t>
        </is>
      </c>
      <c r="D9588" s="1" t="n">
        <v>45531</v>
      </c>
      <c r="E9588" s="1" t="n">
        <v>46319</v>
      </c>
      <c r="F9588" t="inlineStr">
        <is>
          <t>DALARNAS LÄN</t>
        </is>
      </c>
      <c r="G9588" t="inlineStr">
        <is>
          <t>VANSBRO</t>
        </is>
      </c>
      <c r="H9588" t="inlineStr">
        <is>
          <t>Övriga statliga verk och myndigheter</t>
        </is>
      </c>
      <c r="I9588" t="n">
        <v>0.4</v>
      </c>
      <c r="J9588" t="n">
        <v>0</v>
      </c>
      <c r="K9588" t="n">
        <v>0</v>
      </c>
      <c r="L9588" t="n">
        <v>0</v>
      </c>
      <c r="M9588" t="n">
        <v>0</v>
      </c>
      <c r="N9588" t="n">
        <v>0</v>
      </c>
      <c r="O9588" t="n">
        <v>0</v>
      </c>
      <c r="P9588" t="n">
        <v>0</v>
      </c>
      <c r="Q9588" t="n">
        <v>0</v>
      </c>
      <c r="R9588" t="n">
        <v>0</v>
      </c>
      <c r="S9588" t="n">
        <v>0</v>
      </c>
      <c r="T9588" t="n">
        <v>0</v>
      </c>
      <c r="U9588" t="n">
        <v>0</v>
      </c>
      <c r="V9588" s="2" t="inlineStr"/>
    </row>
    <row r="9589" ht="15" customHeight="1">
      <c r="A9589" t="inlineStr">
        <is>
          <t>A 34030-2024</t>
        </is>
      </c>
      <c r="B9589" t="inlineStr">
        <is>
          <t>avverkningsanmälan</t>
        </is>
      </c>
      <c r="C9589" t="inlineStr">
        <is>
          <t>Avverkning för annat ändamål</t>
        </is>
      </c>
      <c r="D9589" s="1" t="n">
        <v>45523</v>
      </c>
      <c r="E9589" s="1" t="n">
        <v>46319</v>
      </c>
      <c r="F9589" t="inlineStr">
        <is>
          <t>DALARNAS LÄN</t>
        </is>
      </c>
      <c r="G9589" t="inlineStr">
        <is>
          <t>RÄTTVIK</t>
        </is>
      </c>
      <c r="H9589" t="inlineStr">
        <is>
          <t>Bergvik skog väst AB</t>
        </is>
      </c>
      <c r="I9589" t="n">
        <v>1.4</v>
      </c>
      <c r="J9589" t="n">
        <v>0</v>
      </c>
      <c r="K9589" t="n">
        <v>0</v>
      </c>
      <c r="L9589" t="n">
        <v>0</v>
      </c>
      <c r="M9589" t="n">
        <v>0</v>
      </c>
      <c r="N9589" t="n">
        <v>0</v>
      </c>
      <c r="O9589" t="n">
        <v>0</v>
      </c>
      <c r="P9589" t="n">
        <v>0</v>
      </c>
      <c r="Q9589" t="n">
        <v>0</v>
      </c>
      <c r="R9589" t="n">
        <v>0</v>
      </c>
      <c r="S9589" t="n">
        <v>0</v>
      </c>
      <c r="T9589" t="n">
        <v>0</v>
      </c>
      <c r="U9589" t="n">
        <v>0</v>
      </c>
      <c r="V9589" s="2" t="inlineStr"/>
    </row>
    <row r="9590" ht="15" customHeight="1">
      <c r="A9590" t="inlineStr">
        <is>
          <t>A 54909-2024</t>
        </is>
      </c>
      <c r="B9590" t="inlineStr">
        <is>
          <t>avverkningsanmälan</t>
        </is>
      </c>
      <c r="C9590" t="inlineStr">
        <is>
          <t>Föryngringsavverkning</t>
        </is>
      </c>
      <c r="D9590" s="1" t="n">
        <v>45618</v>
      </c>
      <c r="E9590" s="1" t="n">
        <v>46319</v>
      </c>
      <c r="F9590" t="inlineStr">
        <is>
          <t>DALARNAS LÄN</t>
        </is>
      </c>
      <c r="G9590" t="inlineStr">
        <is>
          <t>FALUN</t>
        </is>
      </c>
      <c r="I9590" t="n">
        <v>2.3</v>
      </c>
      <c r="J9590" t="n">
        <v>0</v>
      </c>
      <c r="K9590" t="n">
        <v>0</v>
      </c>
      <c r="L9590" t="n">
        <v>0</v>
      </c>
      <c r="M9590" t="n">
        <v>0</v>
      </c>
      <c r="N9590" t="n">
        <v>0</v>
      </c>
      <c r="O9590" t="n">
        <v>0</v>
      </c>
      <c r="P9590" t="n">
        <v>0</v>
      </c>
      <c r="Q9590" t="n">
        <v>0</v>
      </c>
      <c r="R9590" t="n">
        <v>0</v>
      </c>
      <c r="S9590" t="n">
        <v>0</v>
      </c>
      <c r="T9590" t="n">
        <v>0</v>
      </c>
      <c r="U9590" t="n">
        <v>0</v>
      </c>
      <c r="V9590" s="2" t="inlineStr"/>
    </row>
    <row r="9591" ht="15" customHeight="1">
      <c r="A9591" t="inlineStr">
        <is>
          <t>A 7238-2023</t>
        </is>
      </c>
      <c r="B9591" t="inlineStr">
        <is>
          <t>avverkningsanmälan</t>
        </is>
      </c>
      <c r="C9591" t="inlineStr">
        <is>
          <t>Föryngringsavverkning</t>
        </is>
      </c>
      <c r="D9591" s="1" t="n">
        <v>44970</v>
      </c>
      <c r="E9591" s="1" t="n">
        <v>46319</v>
      </c>
      <c r="F9591" t="inlineStr">
        <is>
          <t>DALARNAS LÄN</t>
        </is>
      </c>
      <c r="G9591" t="inlineStr">
        <is>
          <t>LUDVIKA</t>
        </is>
      </c>
      <c r="H9591" t="inlineStr">
        <is>
          <t>Övriga Aktiebolag</t>
        </is>
      </c>
      <c r="I9591" t="n">
        <v>3.1</v>
      </c>
      <c r="J9591" t="n">
        <v>0</v>
      </c>
      <c r="K9591" t="n">
        <v>0</v>
      </c>
      <c r="L9591" t="n">
        <v>0</v>
      </c>
      <c r="M9591" t="n">
        <v>0</v>
      </c>
      <c r="N9591" t="n">
        <v>0</v>
      </c>
      <c r="O9591" t="n">
        <v>0</v>
      </c>
      <c r="P9591" t="n">
        <v>0</v>
      </c>
      <c r="Q9591" t="n">
        <v>0</v>
      </c>
      <c r="R9591" t="n">
        <v>0</v>
      </c>
      <c r="S9591" t="n">
        <v>0</v>
      </c>
      <c r="T9591" t="n">
        <v>0</v>
      </c>
      <c r="U9591" t="n">
        <v>0</v>
      </c>
      <c r="V9591" s="2" t="inlineStr"/>
    </row>
    <row r="9592" ht="15" customHeight="1">
      <c r="A9592" t="inlineStr">
        <is>
          <t>A 4294-2025</t>
        </is>
      </c>
      <c r="B9592" t="inlineStr">
        <is>
          <t>avverkningsanmälan</t>
        </is>
      </c>
      <c r="C9592" t="inlineStr">
        <is>
          <t>Föryngringsavverkning</t>
        </is>
      </c>
      <c r="D9592" s="1" t="n">
        <v>45685</v>
      </c>
      <c r="E9592" s="1" t="n">
        <v>46319</v>
      </c>
      <c r="F9592" t="inlineStr">
        <is>
          <t>DALARNAS LÄN</t>
        </is>
      </c>
      <c r="G9592" t="inlineStr">
        <is>
          <t>FALUN</t>
        </is>
      </c>
      <c r="I9592" t="n">
        <v>0.6</v>
      </c>
      <c r="J9592" t="n">
        <v>0</v>
      </c>
      <c r="K9592" t="n">
        <v>0</v>
      </c>
      <c r="L9592" t="n">
        <v>0</v>
      </c>
      <c r="M9592" t="n">
        <v>0</v>
      </c>
      <c r="N9592" t="n">
        <v>0</v>
      </c>
      <c r="O9592" t="n">
        <v>0</v>
      </c>
      <c r="P9592" t="n">
        <v>0</v>
      </c>
      <c r="Q9592" t="n">
        <v>0</v>
      </c>
      <c r="R9592" t="n">
        <v>0</v>
      </c>
      <c r="S9592" t="n">
        <v>0</v>
      </c>
      <c r="T9592" t="n">
        <v>0</v>
      </c>
      <c r="U9592" t="n">
        <v>0</v>
      </c>
      <c r="V9592" s="2" t="inlineStr"/>
    </row>
    <row r="9593" ht="15" customHeight="1">
      <c r="A9593" t="inlineStr">
        <is>
          <t>A 2929-2022</t>
        </is>
      </c>
      <c r="B9593" t="inlineStr">
        <is>
          <t>avverkningsanmälan</t>
        </is>
      </c>
      <c r="C9593" t="inlineStr">
        <is>
          <t>Föryngringsavverkning</t>
        </is>
      </c>
      <c r="D9593" s="1" t="n">
        <v>44581</v>
      </c>
      <c r="E9593" s="1" t="n">
        <v>46319</v>
      </c>
      <c r="F9593" t="inlineStr">
        <is>
          <t>DALARNAS LÄN</t>
        </is>
      </c>
      <c r="G9593" t="inlineStr">
        <is>
          <t>SÄTER</t>
        </is>
      </c>
      <c r="I9593" t="n">
        <v>7</v>
      </c>
      <c r="J9593" t="n">
        <v>0</v>
      </c>
      <c r="K9593" t="n">
        <v>0</v>
      </c>
      <c r="L9593" t="n">
        <v>0</v>
      </c>
      <c r="M9593" t="n">
        <v>0</v>
      </c>
      <c r="N9593" t="n">
        <v>0</v>
      </c>
      <c r="O9593" t="n">
        <v>0</v>
      </c>
      <c r="P9593" t="n">
        <v>0</v>
      </c>
      <c r="Q9593" t="n">
        <v>0</v>
      </c>
      <c r="R9593" t="n">
        <v>0</v>
      </c>
      <c r="S9593" t="n">
        <v>0</v>
      </c>
      <c r="T9593" t="n">
        <v>0</v>
      </c>
      <c r="U9593" t="n">
        <v>0</v>
      </c>
      <c r="V9593" s="2" t="inlineStr"/>
    </row>
    <row r="9594" ht="15" customHeight="1">
      <c r="A9594" t="inlineStr">
        <is>
          <t>A 39872-2022</t>
        </is>
      </c>
      <c r="B9594" t="inlineStr">
        <is>
          <t>avverkningsanmälan</t>
        </is>
      </c>
      <c r="C9594" t="inlineStr">
        <is>
          <t>Föryngringsavverkning</t>
        </is>
      </c>
      <c r="D9594" s="1" t="n">
        <v>44819</v>
      </c>
      <c r="E9594" s="1" t="n">
        <v>46319</v>
      </c>
      <c r="F9594" t="inlineStr">
        <is>
          <t>DALARNAS LÄN</t>
        </is>
      </c>
      <c r="G9594" t="inlineStr">
        <is>
          <t>FALUN</t>
        </is>
      </c>
      <c r="I9594" t="n">
        <v>3.8</v>
      </c>
      <c r="J9594" t="n">
        <v>0</v>
      </c>
      <c r="K9594" t="n">
        <v>0</v>
      </c>
      <c r="L9594" t="n">
        <v>0</v>
      </c>
      <c r="M9594" t="n">
        <v>0</v>
      </c>
      <c r="N9594" t="n">
        <v>0</v>
      </c>
      <c r="O9594" t="n">
        <v>0</v>
      </c>
      <c r="P9594" t="n">
        <v>0</v>
      </c>
      <c r="Q9594" t="n">
        <v>0</v>
      </c>
      <c r="R9594" t="n">
        <v>0</v>
      </c>
      <c r="S9594" t="n">
        <v>0</v>
      </c>
      <c r="T9594" t="n">
        <v>0</v>
      </c>
      <c r="U9594" t="n">
        <v>0</v>
      </c>
      <c r="V9594" s="2" t="inlineStr"/>
    </row>
    <row r="9595" ht="15" customHeight="1">
      <c r="A9595" t="inlineStr">
        <is>
          <t>A 41442-2024</t>
        </is>
      </c>
      <c r="B9595" t="inlineStr">
        <is>
          <t>avverkningsanmälan</t>
        </is>
      </c>
      <c r="C9595" t="inlineStr">
        <is>
          <t>Föryngringsavverkning</t>
        </is>
      </c>
      <c r="D9595" s="1" t="n">
        <v>45560</v>
      </c>
      <c r="E9595" s="1" t="n">
        <v>46319</v>
      </c>
      <c r="F9595" t="inlineStr">
        <is>
          <t>DALARNAS LÄN</t>
        </is>
      </c>
      <c r="G9595" t="inlineStr">
        <is>
          <t>GAGNEF</t>
        </is>
      </c>
      <c r="I9595" t="n">
        <v>2.2</v>
      </c>
      <c r="J9595" t="n">
        <v>0</v>
      </c>
      <c r="K9595" t="n">
        <v>0</v>
      </c>
      <c r="L9595" t="n">
        <v>0</v>
      </c>
      <c r="M9595" t="n">
        <v>0</v>
      </c>
      <c r="N9595" t="n">
        <v>0</v>
      </c>
      <c r="O9595" t="n">
        <v>0</v>
      </c>
      <c r="P9595" t="n">
        <v>0</v>
      </c>
      <c r="Q9595" t="n">
        <v>0</v>
      </c>
      <c r="R9595" t="n">
        <v>0</v>
      </c>
      <c r="S9595" t="n">
        <v>0</v>
      </c>
      <c r="T9595" t="n">
        <v>0</v>
      </c>
      <c r="U9595" t="n">
        <v>0</v>
      </c>
      <c r="V9595" s="2" t="inlineStr"/>
    </row>
    <row r="9596" ht="15" customHeight="1">
      <c r="A9596" t="inlineStr">
        <is>
          <t>A 41446-2024</t>
        </is>
      </c>
      <c r="B9596" t="inlineStr">
        <is>
          <t>avverkningsanmälan</t>
        </is>
      </c>
      <c r="C9596" t="inlineStr">
        <is>
          <t>Avverkning för annat ändamål</t>
        </is>
      </c>
      <c r="D9596" s="1" t="n">
        <v>45560</v>
      </c>
      <c r="E9596" s="1" t="n">
        <v>46319</v>
      </c>
      <c r="F9596" t="inlineStr">
        <is>
          <t>DALARNAS LÄN</t>
        </is>
      </c>
      <c r="G9596" t="inlineStr">
        <is>
          <t>ÄLVDALEN</t>
        </is>
      </c>
      <c r="H9596" t="inlineStr">
        <is>
          <t>Sveaskog</t>
        </is>
      </c>
      <c r="I9596" t="n">
        <v>0.7</v>
      </c>
      <c r="J9596" t="n">
        <v>0</v>
      </c>
      <c r="K9596" t="n">
        <v>0</v>
      </c>
      <c r="L9596" t="n">
        <v>0</v>
      </c>
      <c r="M9596" t="n">
        <v>0</v>
      </c>
      <c r="N9596" t="n">
        <v>0</v>
      </c>
      <c r="O9596" t="n">
        <v>0</v>
      </c>
      <c r="P9596" t="n">
        <v>0</v>
      </c>
      <c r="Q9596" t="n">
        <v>0</v>
      </c>
      <c r="R9596" t="n">
        <v>0</v>
      </c>
      <c r="S9596" t="n">
        <v>0</v>
      </c>
      <c r="T9596" t="n">
        <v>0</v>
      </c>
      <c r="U9596" t="n">
        <v>0</v>
      </c>
      <c r="V9596" s="2" t="inlineStr"/>
    </row>
    <row r="9597" ht="15" customHeight="1">
      <c r="A9597" t="inlineStr">
        <is>
          <t>A 17346-2022</t>
        </is>
      </c>
      <c r="B9597" t="inlineStr">
        <is>
          <t>avverkningsanmälan</t>
        </is>
      </c>
      <c r="C9597" t="inlineStr">
        <is>
          <t>Föryngringsavverkning</t>
        </is>
      </c>
      <c r="D9597" s="1" t="n">
        <v>44678</v>
      </c>
      <c r="E9597" s="1" t="n">
        <v>46319</v>
      </c>
      <c r="F9597" t="inlineStr">
        <is>
          <t>DALARNAS LÄN</t>
        </is>
      </c>
      <c r="G9597" t="inlineStr">
        <is>
          <t>ÄLVDALEN</t>
        </is>
      </c>
      <c r="I9597" t="n">
        <v>4.4</v>
      </c>
      <c r="J9597" t="n">
        <v>0</v>
      </c>
      <c r="K9597" t="n">
        <v>0</v>
      </c>
      <c r="L9597" t="n">
        <v>0</v>
      </c>
      <c r="M9597" t="n">
        <v>0</v>
      </c>
      <c r="N9597" t="n">
        <v>0</v>
      </c>
      <c r="O9597" t="n">
        <v>0</v>
      </c>
      <c r="P9597" t="n">
        <v>0</v>
      </c>
      <c r="Q9597" t="n">
        <v>0</v>
      </c>
      <c r="R9597" t="n">
        <v>0</v>
      </c>
      <c r="S9597" t="n">
        <v>0</v>
      </c>
      <c r="T9597" t="n">
        <v>0</v>
      </c>
      <c r="U9597" t="n">
        <v>0</v>
      </c>
      <c r="V9597" s="2" t="inlineStr"/>
    </row>
    <row r="9598" ht="15" customHeight="1">
      <c r="A9598" t="inlineStr">
        <is>
          <t>A 61450-2022</t>
        </is>
      </c>
      <c r="B9598" t="inlineStr">
        <is>
          <t>avverkningsanmälan</t>
        </is>
      </c>
      <c r="C9598" t="inlineStr">
        <is>
          <t>Föryngringsavverkning</t>
        </is>
      </c>
      <c r="D9598" s="1" t="n">
        <v>44910</v>
      </c>
      <c r="E9598" s="1" t="n">
        <v>46319</v>
      </c>
      <c r="F9598" t="inlineStr">
        <is>
          <t>DALARNAS LÄN</t>
        </is>
      </c>
      <c r="G9598" t="inlineStr">
        <is>
          <t>ÄLVDALEN</t>
        </is>
      </c>
      <c r="I9598" t="n">
        <v>0.7</v>
      </c>
      <c r="J9598" t="n">
        <v>0</v>
      </c>
      <c r="K9598" t="n">
        <v>0</v>
      </c>
      <c r="L9598" t="n">
        <v>0</v>
      </c>
      <c r="M9598" t="n">
        <v>0</v>
      </c>
      <c r="N9598" t="n">
        <v>0</v>
      </c>
      <c r="O9598" t="n">
        <v>0</v>
      </c>
      <c r="P9598" t="n">
        <v>0</v>
      </c>
      <c r="Q9598" t="n">
        <v>0</v>
      </c>
      <c r="R9598" t="n">
        <v>0</v>
      </c>
      <c r="S9598" t="n">
        <v>0</v>
      </c>
      <c r="T9598" t="n">
        <v>0</v>
      </c>
      <c r="U9598" t="n">
        <v>0</v>
      </c>
      <c r="V9598" s="2" t="inlineStr"/>
    </row>
    <row r="9599" ht="15" customHeight="1">
      <c r="A9599" t="inlineStr">
        <is>
          <t>A 61515-2022</t>
        </is>
      </c>
      <c r="B9599" t="inlineStr">
        <is>
          <t>avverkningsanmälan</t>
        </is>
      </c>
      <c r="C9599" t="inlineStr">
        <is>
          <t>Avverkning för annat ändamål</t>
        </is>
      </c>
      <c r="D9599" s="1" t="n">
        <v>44916</v>
      </c>
      <c r="E9599" s="1" t="n">
        <v>46319</v>
      </c>
      <c r="F9599" t="inlineStr">
        <is>
          <t>DALARNAS LÄN</t>
        </is>
      </c>
      <c r="G9599" t="inlineStr">
        <is>
          <t>VANSBRO</t>
        </is>
      </c>
      <c r="H9599" t="inlineStr">
        <is>
          <t>Bergvik skog väst AB</t>
        </is>
      </c>
      <c r="I9599" t="n">
        <v>0.1</v>
      </c>
      <c r="J9599" t="n">
        <v>0</v>
      </c>
      <c r="K9599" t="n">
        <v>0</v>
      </c>
      <c r="L9599" t="n">
        <v>0</v>
      </c>
      <c r="M9599" t="n">
        <v>0</v>
      </c>
      <c r="N9599" t="n">
        <v>0</v>
      </c>
      <c r="O9599" t="n">
        <v>0</v>
      </c>
      <c r="P9599" t="n">
        <v>0</v>
      </c>
      <c r="Q9599" t="n">
        <v>0</v>
      </c>
      <c r="R9599" t="n">
        <v>0</v>
      </c>
      <c r="S9599" t="n">
        <v>0</v>
      </c>
      <c r="T9599" t="n">
        <v>0</v>
      </c>
      <c r="U9599" t="n">
        <v>0</v>
      </c>
      <c r="V9599" s="2" t="inlineStr"/>
    </row>
    <row r="9600" ht="15" customHeight="1">
      <c r="A9600" t="inlineStr">
        <is>
          <t>A 74258-2021</t>
        </is>
      </c>
      <c r="B9600" t="inlineStr">
        <is>
          <t>avverkningsanmälan</t>
        </is>
      </c>
      <c r="C9600" t="inlineStr">
        <is>
          <t>Föryngringsavverkning</t>
        </is>
      </c>
      <c r="D9600" s="1" t="n">
        <v>44558</v>
      </c>
      <c r="E9600" s="1" t="n">
        <v>46319</v>
      </c>
      <c r="F9600" t="inlineStr">
        <is>
          <t>DALARNAS LÄN</t>
        </is>
      </c>
      <c r="G9600" t="inlineStr">
        <is>
          <t>FALUN</t>
        </is>
      </c>
      <c r="I9600" t="n">
        <v>1.4</v>
      </c>
      <c r="J9600" t="n">
        <v>0</v>
      </c>
      <c r="K9600" t="n">
        <v>0</v>
      </c>
      <c r="L9600" t="n">
        <v>0</v>
      </c>
      <c r="M9600" t="n">
        <v>0</v>
      </c>
      <c r="N9600" t="n">
        <v>0</v>
      </c>
      <c r="O9600" t="n">
        <v>0</v>
      </c>
      <c r="P9600" t="n">
        <v>0</v>
      </c>
      <c r="Q9600" t="n">
        <v>0</v>
      </c>
      <c r="R9600" t="n">
        <v>0</v>
      </c>
      <c r="S9600" t="n">
        <v>0</v>
      </c>
      <c r="T9600" t="n">
        <v>0</v>
      </c>
      <c r="U9600" t="n">
        <v>0</v>
      </c>
      <c r="V9600" s="2" t="inlineStr"/>
    </row>
    <row r="9601" ht="15" customHeight="1">
      <c r="A9601" t="inlineStr">
        <is>
          <t>A 37124-2024</t>
        </is>
      </c>
      <c r="B9601" t="inlineStr">
        <is>
          <t>avverkningsanmälan</t>
        </is>
      </c>
      <c r="C9601" t="inlineStr">
        <is>
          <t>Avverkning för annat ändamål</t>
        </is>
      </c>
      <c r="D9601" s="1" t="n">
        <v>45539</v>
      </c>
      <c r="E9601" s="1" t="n">
        <v>46319</v>
      </c>
      <c r="F9601" t="inlineStr">
        <is>
          <t>DALARNAS LÄN</t>
        </is>
      </c>
      <c r="G9601" t="inlineStr">
        <is>
          <t>RÄTTVIK</t>
        </is>
      </c>
      <c r="I9601" t="n">
        <v>2.6</v>
      </c>
      <c r="J9601" t="n">
        <v>0</v>
      </c>
      <c r="K9601" t="n">
        <v>0</v>
      </c>
      <c r="L9601" t="n">
        <v>0</v>
      </c>
      <c r="M9601" t="n">
        <v>0</v>
      </c>
      <c r="N9601" t="n">
        <v>0</v>
      </c>
      <c r="O9601" t="n">
        <v>0</v>
      </c>
      <c r="P9601" t="n">
        <v>0</v>
      </c>
      <c r="Q9601" t="n">
        <v>0</v>
      </c>
      <c r="R9601" t="n">
        <v>0</v>
      </c>
      <c r="S9601" t="n">
        <v>0</v>
      </c>
      <c r="T9601" t="n">
        <v>0</v>
      </c>
      <c r="U9601" t="n">
        <v>0</v>
      </c>
      <c r="V9601" s="2" t="inlineStr"/>
    </row>
    <row r="9602" ht="15" customHeight="1">
      <c r="A9602" t="inlineStr">
        <is>
          <t>A 10834-2023</t>
        </is>
      </c>
      <c r="B9602" t="inlineStr">
        <is>
          <t>avverkningsanmälan</t>
        </is>
      </c>
      <c r="C9602" t="inlineStr">
        <is>
          <t>Föryngringsavverkning</t>
        </is>
      </c>
      <c r="D9602" s="1" t="n">
        <v>44991</v>
      </c>
      <c r="E9602" s="1" t="n">
        <v>46319</v>
      </c>
      <c r="F9602" t="inlineStr">
        <is>
          <t>DALARNAS LÄN</t>
        </is>
      </c>
      <c r="G9602" t="inlineStr">
        <is>
          <t>FALUN</t>
        </is>
      </c>
      <c r="I9602" t="n">
        <v>1.5</v>
      </c>
      <c r="J9602" t="n">
        <v>0</v>
      </c>
      <c r="K9602" t="n">
        <v>0</v>
      </c>
      <c r="L9602" t="n">
        <v>0</v>
      </c>
      <c r="M9602" t="n">
        <v>0</v>
      </c>
      <c r="N9602" t="n">
        <v>0</v>
      </c>
      <c r="O9602" t="n">
        <v>0</v>
      </c>
      <c r="P9602" t="n">
        <v>0</v>
      </c>
      <c r="Q9602" t="n">
        <v>0</v>
      </c>
      <c r="R9602" t="n">
        <v>0</v>
      </c>
      <c r="S9602" t="n">
        <v>0</v>
      </c>
      <c r="T9602" t="n">
        <v>0</v>
      </c>
      <c r="U9602" t="n">
        <v>0</v>
      </c>
      <c r="V9602" s="2" t="inlineStr"/>
    </row>
    <row r="9603" ht="15" customHeight="1">
      <c r="A9603" t="inlineStr">
        <is>
          <t>A 38356-2024</t>
        </is>
      </c>
      <c r="B9603" t="inlineStr">
        <is>
          <t>avverkningsanmälan</t>
        </is>
      </c>
      <c r="C9603" t="inlineStr">
        <is>
          <t>Föryngringsavverkning</t>
        </is>
      </c>
      <c r="D9603" s="1" t="n">
        <v>45545</v>
      </c>
      <c r="E9603" s="1" t="n">
        <v>46319</v>
      </c>
      <c r="F9603" t="inlineStr">
        <is>
          <t>DALARNAS LÄN</t>
        </is>
      </c>
      <c r="G9603" t="inlineStr">
        <is>
          <t>SMEDJEBACKEN</t>
        </is>
      </c>
      <c r="I9603" t="n">
        <v>0.7</v>
      </c>
      <c r="J9603" t="n">
        <v>0</v>
      </c>
      <c r="K9603" t="n">
        <v>0</v>
      </c>
      <c r="L9603" t="n">
        <v>0</v>
      </c>
      <c r="M9603" t="n">
        <v>0</v>
      </c>
      <c r="N9603" t="n">
        <v>0</v>
      </c>
      <c r="O9603" t="n">
        <v>0</v>
      </c>
      <c r="P9603" t="n">
        <v>0</v>
      </c>
      <c r="Q9603" t="n">
        <v>0</v>
      </c>
      <c r="R9603" t="n">
        <v>0</v>
      </c>
      <c r="S9603" t="n">
        <v>0</v>
      </c>
      <c r="T9603" t="n">
        <v>0</v>
      </c>
      <c r="U9603" t="n">
        <v>0</v>
      </c>
      <c r="V9603" s="2" t="inlineStr"/>
    </row>
    <row r="9604" ht="15" customHeight="1">
      <c r="A9604" t="inlineStr">
        <is>
          <t>A 67422-2021</t>
        </is>
      </c>
      <c r="B9604" t="inlineStr">
        <is>
          <t>avverkningsanmälan</t>
        </is>
      </c>
      <c r="C9604" t="inlineStr">
        <is>
          <t>Föryngringsavverkning</t>
        </is>
      </c>
      <c r="D9604" s="1" t="n">
        <v>44524</v>
      </c>
      <c r="E9604" s="1" t="n">
        <v>46319</v>
      </c>
      <c r="F9604" t="inlineStr">
        <is>
          <t>DALARNAS LÄN</t>
        </is>
      </c>
      <c r="G9604" t="inlineStr">
        <is>
          <t>BORLÄNGE</t>
        </is>
      </c>
      <c r="H9604" t="inlineStr">
        <is>
          <t>Bergvik skog väst AB</t>
        </is>
      </c>
      <c r="I9604" t="n">
        <v>0.5</v>
      </c>
      <c r="J9604" t="n">
        <v>0</v>
      </c>
      <c r="K9604" t="n">
        <v>0</v>
      </c>
      <c r="L9604" t="n">
        <v>0</v>
      </c>
      <c r="M9604" t="n">
        <v>0</v>
      </c>
      <c r="N9604" t="n">
        <v>0</v>
      </c>
      <c r="O9604" t="n">
        <v>0</v>
      </c>
      <c r="P9604" t="n">
        <v>0</v>
      </c>
      <c r="Q9604" t="n">
        <v>0</v>
      </c>
      <c r="R9604" t="n">
        <v>0</v>
      </c>
      <c r="S9604" t="n">
        <v>0</v>
      </c>
      <c r="T9604" t="n">
        <v>0</v>
      </c>
      <c r="U9604" t="n">
        <v>0</v>
      </c>
      <c r="V9604" s="2" t="inlineStr"/>
    </row>
    <row r="9605" ht="15" customHeight="1">
      <c r="A9605" t="inlineStr">
        <is>
          <t>A 73703-2021</t>
        </is>
      </c>
      <c r="B9605" t="inlineStr">
        <is>
          <t>avverkningsanmälan</t>
        </is>
      </c>
      <c r="C9605" t="inlineStr">
        <is>
          <t>Föryngringsavverkning</t>
        </is>
      </c>
      <c r="D9605" s="1" t="n">
        <v>44552</v>
      </c>
      <c r="E9605" s="1" t="n">
        <v>46319</v>
      </c>
      <c r="F9605" t="inlineStr">
        <is>
          <t>DALARNAS LÄN</t>
        </is>
      </c>
      <c r="G9605" t="inlineStr">
        <is>
          <t>LUDVIKA</t>
        </is>
      </c>
      <c r="I9605" t="n">
        <v>0.5</v>
      </c>
      <c r="J9605" t="n">
        <v>0</v>
      </c>
      <c r="K9605" t="n">
        <v>0</v>
      </c>
      <c r="L9605" t="n">
        <v>0</v>
      </c>
      <c r="M9605" t="n">
        <v>0</v>
      </c>
      <c r="N9605" t="n">
        <v>0</v>
      </c>
      <c r="O9605" t="n">
        <v>0</v>
      </c>
      <c r="P9605" t="n">
        <v>0</v>
      </c>
      <c r="Q9605" t="n">
        <v>0</v>
      </c>
      <c r="R9605" t="n">
        <v>0</v>
      </c>
      <c r="S9605" t="n">
        <v>0</v>
      </c>
      <c r="T9605" t="n">
        <v>0</v>
      </c>
      <c r="U9605" t="n">
        <v>0</v>
      </c>
      <c r="V9605" s="2" t="inlineStr"/>
    </row>
    <row r="9606" ht="15" customHeight="1">
      <c r="A9606" t="inlineStr">
        <is>
          <t>A 72310-2021</t>
        </is>
      </c>
      <c r="B9606" t="inlineStr">
        <is>
          <t>avverkningsanmälan</t>
        </is>
      </c>
      <c r="C9606" t="inlineStr">
        <is>
          <t>Föryngringsavverkning</t>
        </is>
      </c>
      <c r="D9606" s="1" t="n">
        <v>44545</v>
      </c>
      <c r="E9606" s="1" t="n">
        <v>46319</v>
      </c>
      <c r="F9606" t="inlineStr">
        <is>
          <t>DALARNAS LÄN</t>
        </is>
      </c>
      <c r="G9606" t="inlineStr">
        <is>
          <t>ORSA</t>
        </is>
      </c>
      <c r="I9606" t="n">
        <v>0.5</v>
      </c>
      <c r="J9606" t="n">
        <v>0</v>
      </c>
      <c r="K9606" t="n">
        <v>0</v>
      </c>
      <c r="L9606" t="n">
        <v>0</v>
      </c>
      <c r="M9606" t="n">
        <v>0</v>
      </c>
      <c r="N9606" t="n">
        <v>0</v>
      </c>
      <c r="O9606" t="n">
        <v>0</v>
      </c>
      <c r="P9606" t="n">
        <v>0</v>
      </c>
      <c r="Q9606" t="n">
        <v>0</v>
      </c>
      <c r="R9606" t="n">
        <v>0</v>
      </c>
      <c r="S9606" t="n">
        <v>0</v>
      </c>
      <c r="T9606" t="n">
        <v>0</v>
      </c>
      <c r="U9606" t="n">
        <v>0</v>
      </c>
      <c r="V9606" s="2" t="inlineStr"/>
    </row>
    <row r="9607" ht="15" customHeight="1">
      <c r="A9607" t="inlineStr">
        <is>
          <t>A 26913-2022</t>
        </is>
      </c>
      <c r="B9607" t="inlineStr">
        <is>
          <t>avverkningsanmälan</t>
        </is>
      </c>
      <c r="C9607" t="inlineStr">
        <is>
          <t>Föryngringsavverkning</t>
        </is>
      </c>
      <c r="D9607" s="1" t="n">
        <v>44740</v>
      </c>
      <c r="E9607" s="1" t="n">
        <v>46319</v>
      </c>
      <c r="F9607" t="inlineStr">
        <is>
          <t>DALARNAS LÄN</t>
        </is>
      </c>
      <c r="G9607" t="inlineStr">
        <is>
          <t>MALUNG-SÄLEN</t>
        </is>
      </c>
      <c r="H9607" t="inlineStr">
        <is>
          <t>Bergvik skog öst AB</t>
        </is>
      </c>
      <c r="I9607" t="n">
        <v>1.5</v>
      </c>
      <c r="J9607" t="n">
        <v>0</v>
      </c>
      <c r="K9607" t="n">
        <v>0</v>
      </c>
      <c r="L9607" t="n">
        <v>0</v>
      </c>
      <c r="M9607" t="n">
        <v>0</v>
      </c>
      <c r="N9607" t="n">
        <v>0</v>
      </c>
      <c r="O9607" t="n">
        <v>0</v>
      </c>
      <c r="P9607" t="n">
        <v>0</v>
      </c>
      <c r="Q9607" t="n">
        <v>0</v>
      </c>
      <c r="R9607" t="n">
        <v>0</v>
      </c>
      <c r="S9607" t="n">
        <v>0</v>
      </c>
      <c r="T9607" t="n">
        <v>0</v>
      </c>
      <c r="U9607" t="n">
        <v>0</v>
      </c>
      <c r="V9607" s="2" t="inlineStr"/>
    </row>
    <row r="9608" ht="15" customHeight="1">
      <c r="A9608" t="inlineStr">
        <is>
          <t>A 4420-2022</t>
        </is>
      </c>
      <c r="B9608" t="inlineStr">
        <is>
          <t>avverkningsanmälan</t>
        </is>
      </c>
      <c r="C9608" t="inlineStr">
        <is>
          <t>Avverkning för annat ändamål</t>
        </is>
      </c>
      <c r="D9608" s="1" t="n">
        <v>44589</v>
      </c>
      <c r="E9608" s="1" t="n">
        <v>46319</v>
      </c>
      <c r="F9608" t="inlineStr">
        <is>
          <t>DALARNAS LÄN</t>
        </is>
      </c>
      <c r="G9608" t="inlineStr">
        <is>
          <t>MALUNG-SÄLEN</t>
        </is>
      </c>
      <c r="H9608" t="inlineStr">
        <is>
          <t>Bergvik skog väst AB</t>
        </is>
      </c>
      <c r="I9608" t="n">
        <v>3.2</v>
      </c>
      <c r="J9608" t="n">
        <v>0</v>
      </c>
      <c r="K9608" t="n">
        <v>0</v>
      </c>
      <c r="L9608" t="n">
        <v>0</v>
      </c>
      <c r="M9608" t="n">
        <v>0</v>
      </c>
      <c r="N9608" t="n">
        <v>0</v>
      </c>
      <c r="O9608" t="n">
        <v>0</v>
      </c>
      <c r="P9608" t="n">
        <v>0</v>
      </c>
      <c r="Q9608" t="n">
        <v>0</v>
      </c>
      <c r="R9608" t="n">
        <v>0</v>
      </c>
      <c r="S9608" t="n">
        <v>0</v>
      </c>
      <c r="T9608" t="n">
        <v>0</v>
      </c>
      <c r="U9608" t="n">
        <v>0</v>
      </c>
      <c r="V9608" s="2" t="inlineStr"/>
    </row>
    <row r="9609" ht="15" customHeight="1">
      <c r="A9609" t="inlineStr">
        <is>
          <t>A 28014-2022</t>
        </is>
      </c>
      <c r="B9609" t="inlineStr">
        <is>
          <t>avverkningsanmälan</t>
        </is>
      </c>
      <c r="C9609" t="inlineStr">
        <is>
          <t>Föryngringsavverkning</t>
        </is>
      </c>
      <c r="D9609" s="1" t="n">
        <v>44746</v>
      </c>
      <c r="E9609" s="1" t="n">
        <v>46319</v>
      </c>
      <c r="F9609" t="inlineStr">
        <is>
          <t>DALARNAS LÄN</t>
        </is>
      </c>
      <c r="G9609" t="inlineStr">
        <is>
          <t>RÄTTVIK</t>
        </is>
      </c>
      <c r="I9609" t="n">
        <v>1.7</v>
      </c>
      <c r="J9609" t="n">
        <v>0</v>
      </c>
      <c r="K9609" t="n">
        <v>0</v>
      </c>
      <c r="L9609" t="n">
        <v>0</v>
      </c>
      <c r="M9609" t="n">
        <v>0</v>
      </c>
      <c r="N9609" t="n">
        <v>0</v>
      </c>
      <c r="O9609" t="n">
        <v>0</v>
      </c>
      <c r="P9609" t="n">
        <v>0</v>
      </c>
      <c r="Q9609" t="n">
        <v>0</v>
      </c>
      <c r="R9609" t="n">
        <v>0</v>
      </c>
      <c r="S9609" t="n">
        <v>0</v>
      </c>
      <c r="T9609" t="n">
        <v>0</v>
      </c>
      <c r="U9609" t="n">
        <v>0</v>
      </c>
      <c r="V9609" s="2" t="inlineStr"/>
    </row>
    <row r="9610" ht="15" customHeight="1">
      <c r="A9610" t="inlineStr">
        <is>
          <t>A 64804-2023</t>
        </is>
      </c>
      <c r="B9610" t="inlineStr">
        <is>
          <t>avverkningsanmälan</t>
        </is>
      </c>
      <c r="C9610" t="inlineStr">
        <is>
          <t>Föryngringsavverkning</t>
        </is>
      </c>
      <c r="D9610" s="1" t="n">
        <v>45282</v>
      </c>
      <c r="E9610" s="1" t="n">
        <v>46319</v>
      </c>
      <c r="F9610" t="inlineStr">
        <is>
          <t>DALARNAS LÄN</t>
        </is>
      </c>
      <c r="G9610" t="inlineStr">
        <is>
          <t>RÄTTVIK</t>
        </is>
      </c>
      <c r="I9610" t="n">
        <v>2.1</v>
      </c>
      <c r="J9610" t="n">
        <v>0</v>
      </c>
      <c r="K9610" t="n">
        <v>0</v>
      </c>
      <c r="L9610" t="n">
        <v>0</v>
      </c>
      <c r="M9610" t="n">
        <v>0</v>
      </c>
      <c r="N9610" t="n">
        <v>0</v>
      </c>
      <c r="O9610" t="n">
        <v>0</v>
      </c>
      <c r="P9610" t="n">
        <v>0</v>
      </c>
      <c r="Q9610" t="n">
        <v>0</v>
      </c>
      <c r="R9610" t="n">
        <v>0</v>
      </c>
      <c r="S9610" t="n">
        <v>0</v>
      </c>
      <c r="T9610" t="n">
        <v>0</v>
      </c>
      <c r="U9610" t="n">
        <v>0</v>
      </c>
      <c r="V9610" s="2" t="inlineStr"/>
    </row>
    <row r="9611" ht="15" customHeight="1">
      <c r="A9611" t="inlineStr">
        <is>
          <t>A 17233-2023</t>
        </is>
      </c>
      <c r="B9611" t="inlineStr">
        <is>
          <t>avverkningsanmälan</t>
        </is>
      </c>
      <c r="C9611" t="inlineStr">
        <is>
          <t>Föryngringsavverkning</t>
        </is>
      </c>
      <c r="D9611" s="1" t="n">
        <v>45035</v>
      </c>
      <c r="E9611" s="1" t="n">
        <v>46319</v>
      </c>
      <c r="F9611" t="inlineStr">
        <is>
          <t>DALARNAS LÄN</t>
        </is>
      </c>
      <c r="G9611" t="inlineStr">
        <is>
          <t>LEKSAND</t>
        </is>
      </c>
      <c r="I9611" t="n">
        <v>1.6</v>
      </c>
      <c r="J9611" t="n">
        <v>0</v>
      </c>
      <c r="K9611" t="n">
        <v>0</v>
      </c>
      <c r="L9611" t="n">
        <v>0</v>
      </c>
      <c r="M9611" t="n">
        <v>0</v>
      </c>
      <c r="N9611" t="n">
        <v>0</v>
      </c>
      <c r="O9611" t="n">
        <v>0</v>
      </c>
      <c r="P9611" t="n">
        <v>0</v>
      </c>
      <c r="Q9611" t="n">
        <v>0</v>
      </c>
      <c r="R9611" t="n">
        <v>0</v>
      </c>
      <c r="S9611" t="n">
        <v>0</v>
      </c>
      <c r="T9611" t="n">
        <v>0</v>
      </c>
      <c r="U9611" t="n">
        <v>0</v>
      </c>
      <c r="V9611" s="2" t="inlineStr"/>
    </row>
    <row r="9612" ht="15" customHeight="1">
      <c r="A9612" t="inlineStr">
        <is>
          <t>A 9971-2022</t>
        </is>
      </c>
      <c r="B9612" t="inlineStr">
        <is>
          <t>avverkningsanmälan</t>
        </is>
      </c>
      <c r="C9612" t="inlineStr">
        <is>
          <t>Avverkning för annat ändamål</t>
        </is>
      </c>
      <c r="D9612" s="1" t="n">
        <v>44621</v>
      </c>
      <c r="E9612" s="1" t="n">
        <v>46319</v>
      </c>
      <c r="F9612" t="inlineStr">
        <is>
          <t>DALARNAS LÄN</t>
        </is>
      </c>
      <c r="G9612" t="inlineStr">
        <is>
          <t>RÄTTVIK</t>
        </is>
      </c>
      <c r="I9612" t="n">
        <v>0.9</v>
      </c>
      <c r="J9612" t="n">
        <v>0</v>
      </c>
      <c r="K9612" t="n">
        <v>0</v>
      </c>
      <c r="L9612" t="n">
        <v>0</v>
      </c>
      <c r="M9612" t="n">
        <v>0</v>
      </c>
      <c r="N9612" t="n">
        <v>0</v>
      </c>
      <c r="O9612" t="n">
        <v>0</v>
      </c>
      <c r="P9612" t="n">
        <v>0</v>
      </c>
      <c r="Q9612" t="n">
        <v>0</v>
      </c>
      <c r="R9612" t="n">
        <v>0</v>
      </c>
      <c r="S9612" t="n">
        <v>0</v>
      </c>
      <c r="T9612" t="n">
        <v>0</v>
      </c>
      <c r="U9612" t="n">
        <v>0</v>
      </c>
      <c r="V9612" s="2" t="inlineStr"/>
    </row>
    <row r="9613" ht="15" customHeight="1">
      <c r="A9613" t="inlineStr">
        <is>
          <t>A 33998-2024</t>
        </is>
      </c>
      <c r="B9613" t="inlineStr">
        <is>
          <t>avverkningsanmälan</t>
        </is>
      </c>
      <c r="C9613" t="inlineStr">
        <is>
          <t>Föryngringsavverkning</t>
        </is>
      </c>
      <c r="D9613" s="1" t="n">
        <v>45523</v>
      </c>
      <c r="E9613" s="1" t="n">
        <v>46319</v>
      </c>
      <c r="F9613" t="inlineStr">
        <is>
          <t>DALARNAS LÄN</t>
        </is>
      </c>
      <c r="G9613" t="inlineStr">
        <is>
          <t>FALUN</t>
        </is>
      </c>
      <c r="H9613" t="inlineStr">
        <is>
          <t>Bergvik skog väst AB</t>
        </is>
      </c>
      <c r="I9613" t="n">
        <v>0.8</v>
      </c>
      <c r="J9613" t="n">
        <v>0</v>
      </c>
      <c r="K9613" t="n">
        <v>0</v>
      </c>
      <c r="L9613" t="n">
        <v>0</v>
      </c>
      <c r="M9613" t="n">
        <v>0</v>
      </c>
      <c r="N9613" t="n">
        <v>0</v>
      </c>
      <c r="O9613" t="n">
        <v>0</v>
      </c>
      <c r="P9613" t="n">
        <v>0</v>
      </c>
      <c r="Q9613" t="n">
        <v>0</v>
      </c>
      <c r="R9613" t="n">
        <v>0</v>
      </c>
      <c r="S9613" t="n">
        <v>0</v>
      </c>
      <c r="T9613" t="n">
        <v>0</v>
      </c>
      <c r="U9613" t="n">
        <v>0</v>
      </c>
      <c r="V9613" s="2" t="inlineStr"/>
    </row>
    <row r="9614" ht="15" customHeight="1">
      <c r="A9614" t="inlineStr">
        <is>
          <t>A 6189-2023</t>
        </is>
      </c>
      <c r="B9614" t="inlineStr">
        <is>
          <t>avverkningsanmälan</t>
        </is>
      </c>
      <c r="C9614" t="inlineStr">
        <is>
          <t>Föryngringsavverkning</t>
        </is>
      </c>
      <c r="D9614" s="1" t="n">
        <v>44964</v>
      </c>
      <c r="E9614" s="1" t="n">
        <v>46319</v>
      </c>
      <c r="F9614" t="inlineStr">
        <is>
          <t>DALARNAS LÄN</t>
        </is>
      </c>
      <c r="G9614" t="inlineStr">
        <is>
          <t>RÄTTVIK</t>
        </is>
      </c>
      <c r="I9614" t="n">
        <v>0.6</v>
      </c>
      <c r="J9614" t="n">
        <v>0</v>
      </c>
      <c r="K9614" t="n">
        <v>0</v>
      </c>
      <c r="L9614" t="n">
        <v>0</v>
      </c>
      <c r="M9614" t="n">
        <v>0</v>
      </c>
      <c r="N9614" t="n">
        <v>0</v>
      </c>
      <c r="O9614" t="n">
        <v>0</v>
      </c>
      <c r="P9614" t="n">
        <v>0</v>
      </c>
      <c r="Q9614" t="n">
        <v>0</v>
      </c>
      <c r="R9614" t="n">
        <v>0</v>
      </c>
      <c r="S9614" t="n">
        <v>0</v>
      </c>
      <c r="T9614" t="n">
        <v>0</v>
      </c>
      <c r="U9614" t="n">
        <v>0</v>
      </c>
      <c r="V9614" s="2" t="inlineStr"/>
    </row>
    <row r="9615" ht="15" customHeight="1">
      <c r="A9615" t="inlineStr">
        <is>
          <t>A 1973-2022</t>
        </is>
      </c>
      <c r="B9615" t="inlineStr">
        <is>
          <t>avverkningsanmälan</t>
        </is>
      </c>
      <c r="C9615" t="inlineStr">
        <is>
          <t>Föryngringsavverkning</t>
        </is>
      </c>
      <c r="D9615" s="1" t="n">
        <v>44575</v>
      </c>
      <c r="E9615" s="1" t="n">
        <v>46319</v>
      </c>
      <c r="F9615" t="inlineStr">
        <is>
          <t>DALARNAS LÄN</t>
        </is>
      </c>
      <c r="G9615" t="inlineStr">
        <is>
          <t>HEDEMORA</t>
        </is>
      </c>
      <c r="I9615" t="n">
        <v>1.2</v>
      </c>
      <c r="J9615" t="n">
        <v>0</v>
      </c>
      <c r="K9615" t="n">
        <v>0</v>
      </c>
      <c r="L9615" t="n">
        <v>0</v>
      </c>
      <c r="M9615" t="n">
        <v>0</v>
      </c>
      <c r="N9615" t="n">
        <v>0</v>
      </c>
      <c r="O9615" t="n">
        <v>0</v>
      </c>
      <c r="P9615" t="n">
        <v>0</v>
      </c>
      <c r="Q9615" t="n">
        <v>0</v>
      </c>
      <c r="R9615" t="n">
        <v>0</v>
      </c>
      <c r="S9615" t="n">
        <v>0</v>
      </c>
      <c r="T9615" t="n">
        <v>0</v>
      </c>
      <c r="U9615" t="n">
        <v>0</v>
      </c>
      <c r="V9615" s="2" t="inlineStr"/>
    </row>
    <row r="9616" ht="15" customHeight="1">
      <c r="A9616" t="inlineStr">
        <is>
          <t>A 12857-2023</t>
        </is>
      </c>
      <c r="B9616" t="inlineStr">
        <is>
          <t>avverkningsanmälan</t>
        </is>
      </c>
      <c r="C9616" t="inlineStr">
        <is>
          <t>Föryngringsavverkning</t>
        </is>
      </c>
      <c r="D9616" s="1" t="n">
        <v>45001</v>
      </c>
      <c r="E9616" s="1" t="n">
        <v>46319</v>
      </c>
      <c r="F9616" t="inlineStr">
        <is>
          <t>DALARNAS LÄN</t>
        </is>
      </c>
      <c r="G9616" t="inlineStr">
        <is>
          <t>LEKSAND</t>
        </is>
      </c>
      <c r="I9616" t="n">
        <v>0.2</v>
      </c>
      <c r="J9616" t="n">
        <v>0</v>
      </c>
      <c r="K9616" t="n">
        <v>0</v>
      </c>
      <c r="L9616" t="n">
        <v>0</v>
      </c>
      <c r="M9616" t="n">
        <v>0</v>
      </c>
      <c r="N9616" t="n">
        <v>0</v>
      </c>
      <c r="O9616" t="n">
        <v>0</v>
      </c>
      <c r="P9616" t="n">
        <v>0</v>
      </c>
      <c r="Q9616" t="n">
        <v>0</v>
      </c>
      <c r="R9616" t="n">
        <v>0</v>
      </c>
      <c r="S9616" t="n">
        <v>0</v>
      </c>
      <c r="T9616" t="n">
        <v>0</v>
      </c>
      <c r="U9616" t="n">
        <v>0</v>
      </c>
      <c r="V9616" s="2" t="inlineStr"/>
    </row>
    <row r="9617" ht="15" customHeight="1">
      <c r="A9617" t="inlineStr">
        <is>
          <t>A 14040-2023</t>
        </is>
      </c>
      <c r="B9617" t="inlineStr">
        <is>
          <t>avverkningsanmälan</t>
        </is>
      </c>
      <c r="C9617" t="inlineStr">
        <is>
          <t>Föryngringsavverkning</t>
        </is>
      </c>
      <c r="D9617" s="1" t="n">
        <v>45008</v>
      </c>
      <c r="E9617" s="1" t="n">
        <v>46319</v>
      </c>
      <c r="F9617" t="inlineStr">
        <is>
          <t>DALARNAS LÄN</t>
        </is>
      </c>
      <c r="G9617" t="inlineStr">
        <is>
          <t>MORA</t>
        </is>
      </c>
      <c r="I9617" t="n">
        <v>1.3</v>
      </c>
      <c r="J9617" t="n">
        <v>0</v>
      </c>
      <c r="K9617" t="n">
        <v>0</v>
      </c>
      <c r="L9617" t="n">
        <v>0</v>
      </c>
      <c r="M9617" t="n">
        <v>0</v>
      </c>
      <c r="N9617" t="n">
        <v>0</v>
      </c>
      <c r="O9617" t="n">
        <v>0</v>
      </c>
      <c r="P9617" t="n">
        <v>0</v>
      </c>
      <c r="Q9617" t="n">
        <v>0</v>
      </c>
      <c r="R9617" t="n">
        <v>0</v>
      </c>
      <c r="S9617" t="n">
        <v>0</v>
      </c>
      <c r="T9617" t="n">
        <v>0</v>
      </c>
      <c r="U9617" t="n">
        <v>0</v>
      </c>
      <c r="V9617" s="2" t="inlineStr"/>
    </row>
    <row r="9618" ht="15" customHeight="1">
      <c r="A9618" t="inlineStr">
        <is>
          <t>A 40458-2024</t>
        </is>
      </c>
      <c r="B9618" t="inlineStr">
        <is>
          <t>avverkningsanmälan</t>
        </is>
      </c>
      <c r="C9618" t="inlineStr">
        <is>
          <t>Föryngringsavverkning</t>
        </is>
      </c>
      <c r="D9618" s="1" t="n">
        <v>45555</v>
      </c>
      <c r="E9618" s="1" t="n">
        <v>46319</v>
      </c>
      <c r="F9618" t="inlineStr">
        <is>
          <t>DALARNAS LÄN</t>
        </is>
      </c>
      <c r="G9618" t="inlineStr">
        <is>
          <t>RÄTTVIK</t>
        </is>
      </c>
      <c r="I9618" t="n">
        <v>1.8</v>
      </c>
      <c r="J9618" t="n">
        <v>0</v>
      </c>
      <c r="K9618" t="n">
        <v>0</v>
      </c>
      <c r="L9618" t="n">
        <v>0</v>
      </c>
      <c r="M9618" t="n">
        <v>0</v>
      </c>
      <c r="N9618" t="n">
        <v>0</v>
      </c>
      <c r="O9618" t="n">
        <v>0</v>
      </c>
      <c r="P9618" t="n">
        <v>0</v>
      </c>
      <c r="Q9618" t="n">
        <v>0</v>
      </c>
      <c r="R9618" t="n">
        <v>0</v>
      </c>
      <c r="S9618" t="n">
        <v>0</v>
      </c>
      <c r="T9618" t="n">
        <v>0</v>
      </c>
      <c r="U9618" t="n">
        <v>0</v>
      </c>
      <c r="V9618" s="2" t="inlineStr"/>
    </row>
    <row r="9619" ht="15" customHeight="1">
      <c r="A9619" t="inlineStr">
        <is>
          <t>A 42291-2024</t>
        </is>
      </c>
      <c r="B9619" t="inlineStr">
        <is>
          <t>avverkningsanmälan</t>
        </is>
      </c>
      <c r="C9619" t="inlineStr">
        <is>
          <t>Föryngringsavverkning</t>
        </is>
      </c>
      <c r="D9619" s="1" t="n">
        <v>45562</v>
      </c>
      <c r="E9619" s="1" t="n">
        <v>46319</v>
      </c>
      <c r="F9619" t="inlineStr">
        <is>
          <t>DALARNAS LÄN</t>
        </is>
      </c>
      <c r="G9619" t="inlineStr">
        <is>
          <t>AVESTA</t>
        </is>
      </c>
      <c r="H9619" t="inlineStr">
        <is>
          <t>Sveaskog</t>
        </is>
      </c>
      <c r="I9619" t="n">
        <v>7.1</v>
      </c>
      <c r="J9619" t="n">
        <v>0</v>
      </c>
      <c r="K9619" t="n">
        <v>0</v>
      </c>
      <c r="L9619" t="n">
        <v>0</v>
      </c>
      <c r="M9619" t="n">
        <v>0</v>
      </c>
      <c r="N9619" t="n">
        <v>0</v>
      </c>
      <c r="O9619" t="n">
        <v>0</v>
      </c>
      <c r="P9619" t="n">
        <v>0</v>
      </c>
      <c r="Q9619" t="n">
        <v>0</v>
      </c>
      <c r="R9619" t="n">
        <v>0</v>
      </c>
      <c r="S9619" t="n">
        <v>0</v>
      </c>
      <c r="T9619" t="n">
        <v>0</v>
      </c>
      <c r="U9619" t="n">
        <v>0</v>
      </c>
      <c r="V9619" s="2" t="inlineStr"/>
    </row>
    <row r="9620" ht="15" customHeight="1">
      <c r="A9620" t="inlineStr">
        <is>
          <t>A 14057-2023</t>
        </is>
      </c>
      <c r="B9620" t="inlineStr">
        <is>
          <t>avverkningsanmälan</t>
        </is>
      </c>
      <c r="C9620" t="inlineStr">
        <is>
          <t>Föryngringsavverkning</t>
        </is>
      </c>
      <c r="D9620" s="1" t="n">
        <v>45008</v>
      </c>
      <c r="E9620" s="1" t="n">
        <v>46319</v>
      </c>
      <c r="F9620" t="inlineStr">
        <is>
          <t>DALARNAS LÄN</t>
        </is>
      </c>
      <c r="G9620" t="inlineStr">
        <is>
          <t>VANSBRO</t>
        </is>
      </c>
      <c r="I9620" t="n">
        <v>0.6</v>
      </c>
      <c r="J9620" t="n">
        <v>0</v>
      </c>
      <c r="K9620" t="n">
        <v>0</v>
      </c>
      <c r="L9620" t="n">
        <v>0</v>
      </c>
      <c r="M9620" t="n">
        <v>0</v>
      </c>
      <c r="N9620" t="n">
        <v>0</v>
      </c>
      <c r="O9620" t="n">
        <v>0</v>
      </c>
      <c r="P9620" t="n">
        <v>0</v>
      </c>
      <c r="Q9620" t="n">
        <v>0</v>
      </c>
      <c r="R9620" t="n">
        <v>0</v>
      </c>
      <c r="S9620" t="n">
        <v>0</v>
      </c>
      <c r="T9620" t="n">
        <v>0</v>
      </c>
      <c r="U9620" t="n">
        <v>0</v>
      </c>
      <c r="V9620" s="2" t="inlineStr"/>
    </row>
    <row r="9621" ht="15" customHeight="1">
      <c r="A9621" t="inlineStr">
        <is>
          <t>A 55331-2022</t>
        </is>
      </c>
      <c r="B9621" t="inlineStr">
        <is>
          <t>avverkningsanmälan</t>
        </is>
      </c>
      <c r="C9621" t="inlineStr">
        <is>
          <t>Föryngringsavverkning</t>
        </is>
      </c>
      <c r="D9621" s="1" t="n">
        <v>44887</v>
      </c>
      <c r="E9621" s="1" t="n">
        <v>46319</v>
      </c>
      <c r="F9621" t="inlineStr">
        <is>
          <t>DALARNAS LÄN</t>
        </is>
      </c>
      <c r="G9621" t="inlineStr">
        <is>
          <t>MORA</t>
        </is>
      </c>
      <c r="H9621" t="inlineStr">
        <is>
          <t>Bergvik skog väst AB</t>
        </is>
      </c>
      <c r="I9621" t="n">
        <v>2.2</v>
      </c>
      <c r="J9621" t="n">
        <v>0</v>
      </c>
      <c r="K9621" t="n">
        <v>0</v>
      </c>
      <c r="L9621" t="n">
        <v>0</v>
      </c>
      <c r="M9621" t="n">
        <v>0</v>
      </c>
      <c r="N9621" t="n">
        <v>0</v>
      </c>
      <c r="O9621" t="n">
        <v>0</v>
      </c>
      <c r="P9621" t="n">
        <v>0</v>
      </c>
      <c r="Q9621" t="n">
        <v>0</v>
      </c>
      <c r="R9621" t="n">
        <v>0</v>
      </c>
      <c r="S9621" t="n">
        <v>0</v>
      </c>
      <c r="T9621" t="n">
        <v>0</v>
      </c>
      <c r="U9621" t="n">
        <v>0</v>
      </c>
      <c r="V9621" s="2" t="inlineStr"/>
    </row>
    <row r="9622" ht="15" customHeight="1">
      <c r="A9622" t="inlineStr">
        <is>
          <t>A 28674-2024</t>
        </is>
      </c>
      <c r="B9622" t="inlineStr">
        <is>
          <t>avverkningsanmälan</t>
        </is>
      </c>
      <c r="C9622" t="inlineStr">
        <is>
          <t>Föryngringsavverkning</t>
        </is>
      </c>
      <c r="D9622" s="1" t="n">
        <v>45478</v>
      </c>
      <c r="E9622" s="1" t="n">
        <v>46319</v>
      </c>
      <c r="F9622" t="inlineStr">
        <is>
          <t>DALARNAS LÄN</t>
        </is>
      </c>
      <c r="G9622" t="inlineStr">
        <is>
          <t>LEKSAND</t>
        </is>
      </c>
      <c r="I9622" t="n">
        <v>4.9</v>
      </c>
      <c r="J9622" t="n">
        <v>0</v>
      </c>
      <c r="K9622" t="n">
        <v>0</v>
      </c>
      <c r="L9622" t="n">
        <v>0</v>
      </c>
      <c r="M9622" t="n">
        <v>0</v>
      </c>
      <c r="N9622" t="n">
        <v>0</v>
      </c>
      <c r="O9622" t="n">
        <v>0</v>
      </c>
      <c r="P9622" t="n">
        <v>0</v>
      </c>
      <c r="Q9622" t="n">
        <v>0</v>
      </c>
      <c r="R9622" t="n">
        <v>0</v>
      </c>
      <c r="S9622" t="n">
        <v>0</v>
      </c>
      <c r="T9622" t="n">
        <v>0</v>
      </c>
      <c r="U9622" t="n">
        <v>0</v>
      </c>
      <c r="V9622" s="2" t="inlineStr"/>
    </row>
    <row r="9623" ht="15" customHeight="1">
      <c r="A9623" t="inlineStr">
        <is>
          <t>A 55717-2022</t>
        </is>
      </c>
      <c r="B9623" t="inlineStr">
        <is>
          <t>avverkningsanmälan</t>
        </is>
      </c>
      <c r="C9623" t="inlineStr">
        <is>
          <t>Föryngringsavverkning</t>
        </is>
      </c>
      <c r="D9623" s="1" t="n">
        <v>44888</v>
      </c>
      <c r="E9623" s="1" t="n">
        <v>46319</v>
      </c>
      <c r="F9623" t="inlineStr">
        <is>
          <t>DALARNAS LÄN</t>
        </is>
      </c>
      <c r="G9623" t="inlineStr">
        <is>
          <t>SMEDJEBACKEN</t>
        </is>
      </c>
      <c r="I9623" t="n">
        <v>1.2</v>
      </c>
      <c r="J9623" t="n">
        <v>0</v>
      </c>
      <c r="K9623" t="n">
        <v>0</v>
      </c>
      <c r="L9623" t="n">
        <v>0</v>
      </c>
      <c r="M9623" t="n">
        <v>0</v>
      </c>
      <c r="N9623" t="n">
        <v>0</v>
      </c>
      <c r="O9623" t="n">
        <v>0</v>
      </c>
      <c r="P9623" t="n">
        <v>0</v>
      </c>
      <c r="Q9623" t="n">
        <v>0</v>
      </c>
      <c r="R9623" t="n">
        <v>0</v>
      </c>
      <c r="S9623" t="n">
        <v>0</v>
      </c>
      <c r="T9623" t="n">
        <v>0</v>
      </c>
      <c r="U9623" t="n">
        <v>0</v>
      </c>
      <c r="V9623" s="2" t="inlineStr"/>
    </row>
    <row r="9624" ht="15" customHeight="1">
      <c r="A9624" t="inlineStr">
        <is>
          <t>A 25299-2022</t>
        </is>
      </c>
      <c r="B9624" t="inlineStr">
        <is>
          <t>avverkningsanmälan</t>
        </is>
      </c>
      <c r="C9624" t="inlineStr">
        <is>
          <t>Föryngringsavverkning</t>
        </is>
      </c>
      <c r="D9624" s="1" t="n">
        <v>44730</v>
      </c>
      <c r="E9624" s="1" t="n">
        <v>46319</v>
      </c>
      <c r="F9624" t="inlineStr">
        <is>
          <t>DALARNAS LÄN</t>
        </is>
      </c>
      <c r="G9624" t="inlineStr">
        <is>
          <t>LUDVIKA</t>
        </is>
      </c>
      <c r="H9624" t="inlineStr">
        <is>
          <t>Bergvik skog väst AB</t>
        </is>
      </c>
      <c r="I9624" t="n">
        <v>1.1</v>
      </c>
      <c r="J9624" t="n">
        <v>0</v>
      </c>
      <c r="K9624" t="n">
        <v>0</v>
      </c>
      <c r="L9624" t="n">
        <v>0</v>
      </c>
      <c r="M9624" t="n">
        <v>0</v>
      </c>
      <c r="N9624" t="n">
        <v>0</v>
      </c>
      <c r="O9624" t="n">
        <v>0</v>
      </c>
      <c r="P9624" t="n">
        <v>0</v>
      </c>
      <c r="Q9624" t="n">
        <v>0</v>
      </c>
      <c r="R9624" t="n">
        <v>0</v>
      </c>
      <c r="S9624" t="n">
        <v>0</v>
      </c>
      <c r="T9624" t="n">
        <v>0</v>
      </c>
      <c r="U9624" t="n">
        <v>0</v>
      </c>
      <c r="V9624" s="2" t="inlineStr"/>
    </row>
    <row r="9625" ht="15" customHeight="1">
      <c r="A9625" t="inlineStr">
        <is>
          <t>A 5581-2023</t>
        </is>
      </c>
      <c r="B9625" t="inlineStr">
        <is>
          <t>avverkningsanmälan</t>
        </is>
      </c>
      <c r="C9625" t="inlineStr">
        <is>
          <t>Föryngringsavverkning</t>
        </is>
      </c>
      <c r="D9625" s="1" t="n">
        <v>44960</v>
      </c>
      <c r="E9625" s="1" t="n">
        <v>46319</v>
      </c>
      <c r="F9625" t="inlineStr">
        <is>
          <t>DALARNAS LÄN</t>
        </is>
      </c>
      <c r="G9625" t="inlineStr">
        <is>
          <t>VANSBRO</t>
        </is>
      </c>
      <c r="I9625" t="n">
        <v>3.9</v>
      </c>
      <c r="J9625" t="n">
        <v>0</v>
      </c>
      <c r="K9625" t="n">
        <v>0</v>
      </c>
      <c r="L9625" t="n">
        <v>0</v>
      </c>
      <c r="M9625" t="n">
        <v>0</v>
      </c>
      <c r="N9625" t="n">
        <v>0</v>
      </c>
      <c r="O9625" t="n">
        <v>0</v>
      </c>
      <c r="P9625" t="n">
        <v>0</v>
      </c>
      <c r="Q9625" t="n">
        <v>0</v>
      </c>
      <c r="R9625" t="n">
        <v>0</v>
      </c>
      <c r="S9625" t="n">
        <v>0</v>
      </c>
      <c r="T9625" t="n">
        <v>0</v>
      </c>
      <c r="U9625" t="n">
        <v>0</v>
      </c>
      <c r="V9625" s="2" t="inlineStr"/>
    </row>
    <row r="9626" ht="15" customHeight="1">
      <c r="A9626" t="inlineStr">
        <is>
          <t>A 45475-2023</t>
        </is>
      </c>
      <c r="B9626" t="inlineStr">
        <is>
          <t>avverkningsanmälan</t>
        </is>
      </c>
      <c r="C9626" t="inlineStr">
        <is>
          <t>Föryngringsavverkning</t>
        </is>
      </c>
      <c r="D9626" s="1" t="n">
        <v>45188</v>
      </c>
      <c r="E9626" s="1" t="n">
        <v>46319</v>
      </c>
      <c r="F9626" t="inlineStr">
        <is>
          <t>DALARNAS LÄN</t>
        </is>
      </c>
      <c r="G9626" t="inlineStr">
        <is>
          <t>MORA</t>
        </is>
      </c>
      <c r="I9626" t="n">
        <v>1.1</v>
      </c>
      <c r="J9626" t="n">
        <v>0</v>
      </c>
      <c r="K9626" t="n">
        <v>0</v>
      </c>
      <c r="L9626" t="n">
        <v>0</v>
      </c>
      <c r="M9626" t="n">
        <v>0</v>
      </c>
      <c r="N9626" t="n">
        <v>0</v>
      </c>
      <c r="O9626" t="n">
        <v>0</v>
      </c>
      <c r="P9626" t="n">
        <v>0</v>
      </c>
      <c r="Q9626" t="n">
        <v>0</v>
      </c>
      <c r="R9626" t="n">
        <v>0</v>
      </c>
      <c r="S9626" t="n">
        <v>0</v>
      </c>
      <c r="T9626" t="n">
        <v>0</v>
      </c>
      <c r="U9626" t="n">
        <v>0</v>
      </c>
      <c r="V9626" s="2" t="inlineStr"/>
    </row>
    <row r="9627" ht="15" customHeight="1">
      <c r="A9627" t="inlineStr">
        <is>
          <t>A 45488-2023</t>
        </is>
      </c>
      <c r="B9627" t="inlineStr">
        <is>
          <t>avverkningsanmälan</t>
        </is>
      </c>
      <c r="C9627" t="inlineStr">
        <is>
          <t>Föryngringsavverkning</t>
        </is>
      </c>
      <c r="D9627" s="1" t="n">
        <v>45194</v>
      </c>
      <c r="E9627" s="1" t="n">
        <v>46319</v>
      </c>
      <c r="F9627" t="inlineStr">
        <is>
          <t>DALARNAS LÄN</t>
        </is>
      </c>
      <c r="G9627" t="inlineStr">
        <is>
          <t>BORLÄNGE</t>
        </is>
      </c>
      <c r="I9627" t="n">
        <v>0.9</v>
      </c>
      <c r="J9627" t="n">
        <v>0</v>
      </c>
      <c r="K9627" t="n">
        <v>0</v>
      </c>
      <c r="L9627" t="n">
        <v>0</v>
      </c>
      <c r="M9627" t="n">
        <v>0</v>
      </c>
      <c r="N9627" t="n">
        <v>0</v>
      </c>
      <c r="O9627" t="n">
        <v>0</v>
      </c>
      <c r="P9627" t="n">
        <v>0</v>
      </c>
      <c r="Q9627" t="n">
        <v>0</v>
      </c>
      <c r="R9627" t="n">
        <v>0</v>
      </c>
      <c r="S9627" t="n">
        <v>0</v>
      </c>
      <c r="T9627" t="n">
        <v>0</v>
      </c>
      <c r="U9627" t="n">
        <v>0</v>
      </c>
      <c r="V9627" s="2" t="inlineStr"/>
    </row>
    <row r="9628" ht="15" customHeight="1">
      <c r="A9628" t="inlineStr">
        <is>
          <t>A 11919-2024</t>
        </is>
      </c>
      <c r="B9628" t="inlineStr">
        <is>
          <t>avverkningsanmälan</t>
        </is>
      </c>
      <c r="C9628" t="inlineStr">
        <is>
          <t>Föryngringsavverkning</t>
        </is>
      </c>
      <c r="D9628" s="1" t="n">
        <v>45376</v>
      </c>
      <c r="E9628" s="1" t="n">
        <v>46319</v>
      </c>
      <c r="F9628" t="inlineStr">
        <is>
          <t>DALARNAS LÄN</t>
        </is>
      </c>
      <c r="G9628" t="inlineStr">
        <is>
          <t>MORA</t>
        </is>
      </c>
      <c r="I9628" t="n">
        <v>3.5</v>
      </c>
      <c r="J9628" t="n">
        <v>0</v>
      </c>
      <c r="K9628" t="n">
        <v>0</v>
      </c>
      <c r="L9628" t="n">
        <v>0</v>
      </c>
      <c r="M9628" t="n">
        <v>0</v>
      </c>
      <c r="N9628" t="n">
        <v>0</v>
      </c>
      <c r="O9628" t="n">
        <v>0</v>
      </c>
      <c r="P9628" t="n">
        <v>0</v>
      </c>
      <c r="Q9628" t="n">
        <v>0</v>
      </c>
      <c r="R9628" t="n">
        <v>0</v>
      </c>
      <c r="S9628" t="n">
        <v>0</v>
      </c>
      <c r="T9628" t="n">
        <v>0</v>
      </c>
      <c r="U9628" t="n">
        <v>0</v>
      </c>
      <c r="V9628" s="2" t="inlineStr"/>
    </row>
    <row r="9629" ht="15" customHeight="1">
      <c r="A9629" t="inlineStr">
        <is>
          <t>A 30578-2022</t>
        </is>
      </c>
      <c r="B9629" t="inlineStr">
        <is>
          <t>avverkningsanmälan</t>
        </is>
      </c>
      <c r="C9629" t="inlineStr">
        <is>
          <t>Föryngringsavverkning</t>
        </is>
      </c>
      <c r="D9629" s="1" t="n">
        <v>44762</v>
      </c>
      <c r="E9629" s="1" t="n">
        <v>46319</v>
      </c>
      <c r="F9629" t="inlineStr">
        <is>
          <t>DALARNAS LÄN</t>
        </is>
      </c>
      <c r="G9629" t="inlineStr">
        <is>
          <t>RÄTTVIK</t>
        </is>
      </c>
      <c r="I9629" t="n">
        <v>4.5</v>
      </c>
      <c r="J9629" t="n">
        <v>0</v>
      </c>
      <c r="K9629" t="n">
        <v>0</v>
      </c>
      <c r="L9629" t="n">
        <v>0</v>
      </c>
      <c r="M9629" t="n">
        <v>0</v>
      </c>
      <c r="N9629" t="n">
        <v>0</v>
      </c>
      <c r="O9629" t="n">
        <v>0</v>
      </c>
      <c r="P9629" t="n">
        <v>0</v>
      </c>
      <c r="Q9629" t="n">
        <v>0</v>
      </c>
      <c r="R9629" t="n">
        <v>0</v>
      </c>
      <c r="S9629" t="n">
        <v>0</v>
      </c>
      <c r="T9629" t="n">
        <v>0</v>
      </c>
      <c r="U9629" t="n">
        <v>0</v>
      </c>
      <c r="V9629" s="2" t="inlineStr"/>
    </row>
    <row r="9630" ht="15" customHeight="1">
      <c r="A9630" t="inlineStr">
        <is>
          <t>A 4811-2023</t>
        </is>
      </c>
      <c r="B9630" t="inlineStr">
        <is>
          <t>avverkningsanmälan</t>
        </is>
      </c>
      <c r="C9630" t="inlineStr">
        <is>
          <t>Föryngringsavverkning</t>
        </is>
      </c>
      <c r="D9630" s="1" t="n">
        <v>44957</v>
      </c>
      <c r="E9630" s="1" t="n">
        <v>46319</v>
      </c>
      <c r="F9630" t="inlineStr">
        <is>
          <t>DALARNAS LÄN</t>
        </is>
      </c>
      <c r="G9630" t="inlineStr">
        <is>
          <t>MALUNG-SÄLEN</t>
        </is>
      </c>
      <c r="I9630" t="n">
        <v>5.3</v>
      </c>
      <c r="J9630" t="n">
        <v>0</v>
      </c>
      <c r="K9630" t="n">
        <v>0</v>
      </c>
      <c r="L9630" t="n">
        <v>0</v>
      </c>
      <c r="M9630" t="n">
        <v>0</v>
      </c>
      <c r="N9630" t="n">
        <v>0</v>
      </c>
      <c r="O9630" t="n">
        <v>0</v>
      </c>
      <c r="P9630" t="n">
        <v>0</v>
      </c>
      <c r="Q9630" t="n">
        <v>0</v>
      </c>
      <c r="R9630" t="n">
        <v>0</v>
      </c>
      <c r="S9630" t="n">
        <v>0</v>
      </c>
      <c r="T9630" t="n">
        <v>0</v>
      </c>
      <c r="U9630" t="n">
        <v>0</v>
      </c>
      <c r="V9630" s="2" t="inlineStr"/>
    </row>
    <row r="9631" ht="15" customHeight="1">
      <c r="A9631" t="inlineStr">
        <is>
          <t>A 5970-2022</t>
        </is>
      </c>
      <c r="B9631" t="inlineStr">
        <is>
          <t>avverkningsanmälan</t>
        </is>
      </c>
      <c r="C9631" t="inlineStr">
        <is>
          <t>Föryngringsavverkning</t>
        </is>
      </c>
      <c r="D9631" s="1" t="n">
        <v>44599</v>
      </c>
      <c r="E9631" s="1" t="n">
        <v>46319</v>
      </c>
      <c r="F9631" t="inlineStr">
        <is>
          <t>DALARNAS LÄN</t>
        </is>
      </c>
      <c r="G9631" t="inlineStr">
        <is>
          <t>LUDVIKA</t>
        </is>
      </c>
      <c r="I9631" t="n">
        <v>8.4</v>
      </c>
      <c r="J9631" t="n">
        <v>0</v>
      </c>
      <c r="K9631" t="n">
        <v>0</v>
      </c>
      <c r="L9631" t="n">
        <v>0</v>
      </c>
      <c r="M9631" t="n">
        <v>0</v>
      </c>
      <c r="N9631" t="n">
        <v>0</v>
      </c>
      <c r="O9631" t="n">
        <v>0</v>
      </c>
      <c r="P9631" t="n">
        <v>0</v>
      </c>
      <c r="Q9631" t="n">
        <v>0</v>
      </c>
      <c r="R9631" t="n">
        <v>0</v>
      </c>
      <c r="S9631" t="n">
        <v>0</v>
      </c>
      <c r="T9631" t="n">
        <v>0</v>
      </c>
      <c r="U9631" t="n">
        <v>0</v>
      </c>
      <c r="V9631" s="2" t="inlineStr"/>
    </row>
    <row r="9632" ht="15" customHeight="1">
      <c r="A9632" t="inlineStr">
        <is>
          <t>A 42672-2022</t>
        </is>
      </c>
      <c r="B9632" t="inlineStr">
        <is>
          <t>avverkningsanmälan</t>
        </is>
      </c>
      <c r="C9632" t="inlineStr">
        <is>
          <t>Föryngringsavverkning</t>
        </is>
      </c>
      <c r="D9632" s="1" t="n">
        <v>44832</v>
      </c>
      <c r="E9632" s="1" t="n">
        <v>46319</v>
      </c>
      <c r="F9632" t="inlineStr">
        <is>
          <t>DALARNAS LÄN</t>
        </is>
      </c>
      <c r="G9632" t="inlineStr">
        <is>
          <t>MALUNG-SÄLEN</t>
        </is>
      </c>
      <c r="I9632" t="n">
        <v>2.6</v>
      </c>
      <c r="J9632" t="n">
        <v>0</v>
      </c>
      <c r="K9632" t="n">
        <v>0</v>
      </c>
      <c r="L9632" t="n">
        <v>0</v>
      </c>
      <c r="M9632" t="n">
        <v>0</v>
      </c>
      <c r="N9632" t="n">
        <v>0</v>
      </c>
      <c r="O9632" t="n">
        <v>0</v>
      </c>
      <c r="P9632" t="n">
        <v>0</v>
      </c>
      <c r="Q9632" t="n">
        <v>0</v>
      </c>
      <c r="R9632" t="n">
        <v>0</v>
      </c>
      <c r="S9632" t="n">
        <v>0</v>
      </c>
      <c r="T9632" t="n">
        <v>0</v>
      </c>
      <c r="U9632" t="n">
        <v>0</v>
      </c>
      <c r="V9632" s="2" t="inlineStr"/>
    </row>
    <row r="9633" ht="15" customHeight="1">
      <c r="A9633" t="inlineStr">
        <is>
          <t>A 7021-2022</t>
        </is>
      </c>
      <c r="B9633" t="inlineStr">
        <is>
          <t>avverkningsanmälan</t>
        </is>
      </c>
      <c r="C9633" t="inlineStr">
        <is>
          <t>Föryngringsavverkning</t>
        </is>
      </c>
      <c r="D9633" s="1" t="n">
        <v>44602</v>
      </c>
      <c r="E9633" s="1" t="n">
        <v>46319</v>
      </c>
      <c r="F9633" t="inlineStr">
        <is>
          <t>DALARNAS LÄN</t>
        </is>
      </c>
      <c r="G9633" t="inlineStr">
        <is>
          <t>RÄTTVIK</t>
        </is>
      </c>
      <c r="I9633" t="n">
        <v>5.5</v>
      </c>
      <c r="J9633" t="n">
        <v>0</v>
      </c>
      <c r="K9633" t="n">
        <v>0</v>
      </c>
      <c r="L9633" t="n">
        <v>0</v>
      </c>
      <c r="M9633" t="n">
        <v>0</v>
      </c>
      <c r="N9633" t="n">
        <v>0</v>
      </c>
      <c r="O9633" t="n">
        <v>0</v>
      </c>
      <c r="P9633" t="n">
        <v>0</v>
      </c>
      <c r="Q9633" t="n">
        <v>0</v>
      </c>
      <c r="R9633" t="n">
        <v>0</v>
      </c>
      <c r="S9633" t="n">
        <v>0</v>
      </c>
      <c r="T9633" t="n">
        <v>0</v>
      </c>
      <c r="U9633" t="n">
        <v>0</v>
      </c>
      <c r="V9633" s="2" t="inlineStr"/>
    </row>
    <row r="9634" ht="15" customHeight="1">
      <c r="A9634" t="inlineStr">
        <is>
          <t>A 34374-2024</t>
        </is>
      </c>
      <c r="B9634" t="inlineStr">
        <is>
          <t>avverkningsanmälan</t>
        </is>
      </c>
      <c r="C9634" t="inlineStr">
        <is>
          <t>Föryngringsavverkning</t>
        </is>
      </c>
      <c r="D9634" s="1" t="n">
        <v>45525</v>
      </c>
      <c r="E9634" s="1" t="n">
        <v>46319</v>
      </c>
      <c r="F9634" t="inlineStr">
        <is>
          <t>DALARNAS LÄN</t>
        </is>
      </c>
      <c r="G9634" t="inlineStr">
        <is>
          <t>ORSA</t>
        </is>
      </c>
      <c r="I9634" t="n">
        <v>0.5</v>
      </c>
      <c r="J9634" t="n">
        <v>0</v>
      </c>
      <c r="K9634" t="n">
        <v>0</v>
      </c>
      <c r="L9634" t="n">
        <v>0</v>
      </c>
      <c r="M9634" t="n">
        <v>0</v>
      </c>
      <c r="N9634" t="n">
        <v>0</v>
      </c>
      <c r="O9634" t="n">
        <v>0</v>
      </c>
      <c r="P9634" t="n">
        <v>0</v>
      </c>
      <c r="Q9634" t="n">
        <v>0</v>
      </c>
      <c r="R9634" t="n">
        <v>0</v>
      </c>
      <c r="S9634" t="n">
        <v>0</v>
      </c>
      <c r="T9634" t="n">
        <v>0</v>
      </c>
      <c r="U9634" t="n">
        <v>0</v>
      </c>
      <c r="V9634" s="2" t="inlineStr"/>
    </row>
    <row r="9635" ht="15" customHeight="1">
      <c r="A9635" t="inlineStr">
        <is>
          <t>A 11136-2023</t>
        </is>
      </c>
      <c r="B9635" t="inlineStr">
        <is>
          <t>avverkningsanmälan</t>
        </is>
      </c>
      <c r="C9635" t="inlineStr">
        <is>
          <t>Föryngringsavverkning</t>
        </is>
      </c>
      <c r="D9635" s="1" t="n">
        <v>44992</v>
      </c>
      <c r="E9635" s="1" t="n">
        <v>46319</v>
      </c>
      <c r="F9635" t="inlineStr">
        <is>
          <t>DALARNAS LÄN</t>
        </is>
      </c>
      <c r="G9635" t="inlineStr">
        <is>
          <t>BORLÄNGE</t>
        </is>
      </c>
      <c r="I9635" t="n">
        <v>0.7</v>
      </c>
      <c r="J9635" t="n">
        <v>0</v>
      </c>
      <c r="K9635" t="n">
        <v>0</v>
      </c>
      <c r="L9635" t="n">
        <v>0</v>
      </c>
      <c r="M9635" t="n">
        <v>0</v>
      </c>
      <c r="N9635" t="n">
        <v>0</v>
      </c>
      <c r="O9635" t="n">
        <v>0</v>
      </c>
      <c r="P9635" t="n">
        <v>0</v>
      </c>
      <c r="Q9635" t="n">
        <v>0</v>
      </c>
      <c r="R9635" t="n">
        <v>0</v>
      </c>
      <c r="S9635" t="n">
        <v>0</v>
      </c>
      <c r="T9635" t="n">
        <v>0</v>
      </c>
      <c r="U9635" t="n">
        <v>0</v>
      </c>
      <c r="V9635" s="2" t="inlineStr"/>
    </row>
    <row r="9636" ht="15" customHeight="1">
      <c r="A9636" t="inlineStr">
        <is>
          <t>A 34813-2022</t>
        </is>
      </c>
      <c r="B9636" t="inlineStr">
        <is>
          <t>avverkningsanmälan</t>
        </is>
      </c>
      <c r="C9636" t="inlineStr">
        <is>
          <t>Föryngringsavverkning</t>
        </is>
      </c>
      <c r="D9636" s="1" t="n">
        <v>44796</v>
      </c>
      <c r="E9636" s="1" t="n">
        <v>46319</v>
      </c>
      <c r="F9636" t="inlineStr">
        <is>
          <t>DALARNAS LÄN</t>
        </is>
      </c>
      <c r="G9636" t="inlineStr">
        <is>
          <t>RÄTTVIK</t>
        </is>
      </c>
      <c r="I9636" t="n">
        <v>1.5</v>
      </c>
      <c r="J9636" t="n">
        <v>0</v>
      </c>
      <c r="K9636" t="n">
        <v>0</v>
      </c>
      <c r="L9636" t="n">
        <v>0</v>
      </c>
      <c r="M9636" t="n">
        <v>0</v>
      </c>
      <c r="N9636" t="n">
        <v>0</v>
      </c>
      <c r="O9636" t="n">
        <v>0</v>
      </c>
      <c r="P9636" t="n">
        <v>0</v>
      </c>
      <c r="Q9636" t="n">
        <v>0</v>
      </c>
      <c r="R9636" t="n">
        <v>0</v>
      </c>
      <c r="S9636" t="n">
        <v>0</v>
      </c>
      <c r="T9636" t="n">
        <v>0</v>
      </c>
      <c r="U9636" t="n">
        <v>0</v>
      </c>
      <c r="V9636" s="2" t="inlineStr"/>
    </row>
    <row r="9637" ht="15" customHeight="1">
      <c r="A9637" t="inlineStr">
        <is>
          <t>A 20581-2024</t>
        </is>
      </c>
      <c r="B9637" t="inlineStr">
        <is>
          <t>avverkningsanmälan</t>
        </is>
      </c>
      <c r="C9637" t="inlineStr">
        <is>
          <t>Föryngringsavverkning</t>
        </is>
      </c>
      <c r="D9637" s="1" t="n">
        <v>45436</v>
      </c>
      <c r="E9637" s="1" t="n">
        <v>46319</v>
      </c>
      <c r="F9637" t="inlineStr">
        <is>
          <t>DALARNAS LÄN</t>
        </is>
      </c>
      <c r="G9637" t="inlineStr">
        <is>
          <t>BORLÄNGE</t>
        </is>
      </c>
      <c r="H9637" t="inlineStr">
        <is>
          <t>Bergvik skog väst AB</t>
        </is>
      </c>
      <c r="I9637" t="n">
        <v>0.3</v>
      </c>
      <c r="J9637" t="n">
        <v>0</v>
      </c>
      <c r="K9637" t="n">
        <v>0</v>
      </c>
      <c r="L9637" t="n">
        <v>0</v>
      </c>
      <c r="M9637" t="n">
        <v>0</v>
      </c>
      <c r="N9637" t="n">
        <v>0</v>
      </c>
      <c r="O9637" t="n">
        <v>0</v>
      </c>
      <c r="P9637" t="n">
        <v>0</v>
      </c>
      <c r="Q9637" t="n">
        <v>0</v>
      </c>
      <c r="R9637" t="n">
        <v>0</v>
      </c>
      <c r="S9637" t="n">
        <v>0</v>
      </c>
      <c r="T9637" t="n">
        <v>0</v>
      </c>
      <c r="U9637" t="n">
        <v>0</v>
      </c>
      <c r="V9637" s="2" t="inlineStr"/>
    </row>
    <row r="9638" ht="15" customHeight="1">
      <c r="A9638" t="inlineStr">
        <is>
          <t>A 27388-2022</t>
        </is>
      </c>
      <c r="B9638" t="inlineStr">
        <is>
          <t>avverkningsanmälan</t>
        </is>
      </c>
      <c r="C9638" t="inlineStr">
        <is>
          <t>Föryngringsavverkning</t>
        </is>
      </c>
      <c r="D9638" s="1" t="n">
        <v>44742</v>
      </c>
      <c r="E9638" s="1" t="n">
        <v>46319</v>
      </c>
      <c r="F9638" t="inlineStr">
        <is>
          <t>DALARNAS LÄN</t>
        </is>
      </c>
      <c r="G9638" t="inlineStr">
        <is>
          <t>RÄTTVIK</t>
        </is>
      </c>
      <c r="I9638" t="n">
        <v>6</v>
      </c>
      <c r="J9638" t="n">
        <v>0</v>
      </c>
      <c r="K9638" t="n">
        <v>0</v>
      </c>
      <c r="L9638" t="n">
        <v>0</v>
      </c>
      <c r="M9638" t="n">
        <v>0</v>
      </c>
      <c r="N9638" t="n">
        <v>0</v>
      </c>
      <c r="O9638" t="n">
        <v>0</v>
      </c>
      <c r="P9638" t="n">
        <v>0</v>
      </c>
      <c r="Q9638" t="n">
        <v>0</v>
      </c>
      <c r="R9638" t="n">
        <v>0</v>
      </c>
      <c r="S9638" t="n">
        <v>0</v>
      </c>
      <c r="T9638" t="n">
        <v>0</v>
      </c>
      <c r="U9638" t="n">
        <v>0</v>
      </c>
      <c r="V9638" s="2" t="inlineStr"/>
    </row>
    <row r="9639" ht="15" customHeight="1">
      <c r="A9639" t="inlineStr">
        <is>
          <t>A 59207-2022</t>
        </is>
      </c>
      <c r="B9639" t="inlineStr">
        <is>
          <t>avverkningsanmälan</t>
        </is>
      </c>
      <c r="C9639" t="inlineStr">
        <is>
          <t>Föryngringsavverkning</t>
        </is>
      </c>
      <c r="D9639" s="1" t="n">
        <v>44904</v>
      </c>
      <c r="E9639" s="1" t="n">
        <v>46319</v>
      </c>
      <c r="F9639" t="inlineStr">
        <is>
          <t>DALARNAS LÄN</t>
        </is>
      </c>
      <c r="G9639" t="inlineStr">
        <is>
          <t>ÄLVDALEN</t>
        </is>
      </c>
      <c r="I9639" t="n">
        <v>4.7</v>
      </c>
      <c r="J9639" t="n">
        <v>0</v>
      </c>
      <c r="K9639" t="n">
        <v>0</v>
      </c>
      <c r="L9639" t="n">
        <v>0</v>
      </c>
      <c r="M9639" t="n">
        <v>0</v>
      </c>
      <c r="N9639" t="n">
        <v>0</v>
      </c>
      <c r="O9639" t="n">
        <v>0</v>
      </c>
      <c r="P9639" t="n">
        <v>0</v>
      </c>
      <c r="Q9639" t="n">
        <v>0</v>
      </c>
      <c r="R9639" t="n">
        <v>0</v>
      </c>
      <c r="S9639" t="n">
        <v>0</v>
      </c>
      <c r="T9639" t="n">
        <v>0</v>
      </c>
      <c r="U9639" t="n">
        <v>0</v>
      </c>
      <c r="V9639" s="2" t="inlineStr"/>
    </row>
    <row r="9640" ht="15" customHeight="1">
      <c r="A9640" t="inlineStr">
        <is>
          <t>A 42327-2024</t>
        </is>
      </c>
      <c r="B9640" t="inlineStr">
        <is>
          <t>avverkningsanmälan</t>
        </is>
      </c>
      <c r="C9640" t="inlineStr">
        <is>
          <t>Föryngringsavverkning</t>
        </is>
      </c>
      <c r="D9640" s="1" t="n">
        <v>45562</v>
      </c>
      <c r="E9640" s="1" t="n">
        <v>46319</v>
      </c>
      <c r="F9640" t="inlineStr">
        <is>
          <t>DALARNAS LÄN</t>
        </is>
      </c>
      <c r="G9640" t="inlineStr">
        <is>
          <t>FALUN</t>
        </is>
      </c>
      <c r="I9640" t="n">
        <v>2.1</v>
      </c>
      <c r="J9640" t="n">
        <v>0</v>
      </c>
      <c r="K9640" t="n">
        <v>0</v>
      </c>
      <c r="L9640" t="n">
        <v>0</v>
      </c>
      <c r="M9640" t="n">
        <v>0</v>
      </c>
      <c r="N9640" t="n">
        <v>0</v>
      </c>
      <c r="O9640" t="n">
        <v>0</v>
      </c>
      <c r="P9640" t="n">
        <v>0</v>
      </c>
      <c r="Q9640" t="n">
        <v>0</v>
      </c>
      <c r="R9640" t="n">
        <v>0</v>
      </c>
      <c r="S9640" t="n">
        <v>0</v>
      </c>
      <c r="T9640" t="n">
        <v>0</v>
      </c>
      <c r="U9640" t="n">
        <v>0</v>
      </c>
      <c r="V9640" s="2" t="inlineStr"/>
    </row>
    <row r="9641" ht="15" customHeight="1">
      <c r="A9641" t="inlineStr">
        <is>
          <t>A 19773-2024</t>
        </is>
      </c>
      <c r="B9641" t="inlineStr">
        <is>
          <t>avverkningsanmälan</t>
        </is>
      </c>
      <c r="C9641" t="inlineStr">
        <is>
          <t>Föryngringsavverkning</t>
        </is>
      </c>
      <c r="D9641" s="1" t="n">
        <v>45432</v>
      </c>
      <c r="E9641" s="1" t="n">
        <v>46319</v>
      </c>
      <c r="F9641" t="inlineStr">
        <is>
          <t>DALARNAS LÄN</t>
        </is>
      </c>
      <c r="G9641" t="inlineStr">
        <is>
          <t>SÄTER</t>
        </is>
      </c>
      <c r="I9641" t="n">
        <v>0.6</v>
      </c>
      <c r="J9641" t="n">
        <v>0</v>
      </c>
      <c r="K9641" t="n">
        <v>0</v>
      </c>
      <c r="L9641" t="n">
        <v>0</v>
      </c>
      <c r="M9641" t="n">
        <v>0</v>
      </c>
      <c r="N9641" t="n">
        <v>0</v>
      </c>
      <c r="O9641" t="n">
        <v>0</v>
      </c>
      <c r="P9641" t="n">
        <v>0</v>
      </c>
      <c r="Q9641" t="n">
        <v>0</v>
      </c>
      <c r="R9641" t="n">
        <v>0</v>
      </c>
      <c r="S9641" t="n">
        <v>0</v>
      </c>
      <c r="T9641" t="n">
        <v>0</v>
      </c>
      <c r="U9641" t="n">
        <v>0</v>
      </c>
      <c r="V9641" s="2" t="inlineStr"/>
    </row>
    <row r="9642" ht="15" customHeight="1">
      <c r="A9642" t="inlineStr">
        <is>
          <t>A 43909-2024</t>
        </is>
      </c>
      <c r="B9642" t="inlineStr">
        <is>
          <t>avverkningsanmälan</t>
        </is>
      </c>
      <c r="C9642" t="inlineStr">
        <is>
          <t>Föryngringsavverkning</t>
        </is>
      </c>
      <c r="D9642" s="1" t="n">
        <v>45572</v>
      </c>
      <c r="E9642" s="1" t="n">
        <v>46319</v>
      </c>
      <c r="F9642" t="inlineStr">
        <is>
          <t>DALARNAS LÄN</t>
        </is>
      </c>
      <c r="G9642" t="inlineStr">
        <is>
          <t>SMEDJEBACKEN</t>
        </is>
      </c>
      <c r="I9642" t="n">
        <v>1</v>
      </c>
      <c r="J9642" t="n">
        <v>0</v>
      </c>
      <c r="K9642" t="n">
        <v>0</v>
      </c>
      <c r="L9642" t="n">
        <v>0</v>
      </c>
      <c r="M9642" t="n">
        <v>0</v>
      </c>
      <c r="N9642" t="n">
        <v>0</v>
      </c>
      <c r="O9642" t="n">
        <v>0</v>
      </c>
      <c r="P9642" t="n">
        <v>0</v>
      </c>
      <c r="Q9642" t="n">
        <v>0</v>
      </c>
      <c r="R9642" t="n">
        <v>0</v>
      </c>
      <c r="S9642" t="n">
        <v>0</v>
      </c>
      <c r="T9642" t="n">
        <v>0</v>
      </c>
      <c r="U9642" t="n">
        <v>0</v>
      </c>
      <c r="V9642" s="2" t="inlineStr"/>
    </row>
    <row r="9643" ht="15" customHeight="1">
      <c r="A9643" t="inlineStr">
        <is>
          <t>A 57821-2023</t>
        </is>
      </c>
      <c r="B9643" t="inlineStr">
        <is>
          <t>avverkningsanmälan</t>
        </is>
      </c>
      <c r="C9643" t="inlineStr">
        <is>
          <t>Föryngringsavverkning</t>
        </is>
      </c>
      <c r="D9643" s="1" t="n">
        <v>45247</v>
      </c>
      <c r="E9643" s="1" t="n">
        <v>46319</v>
      </c>
      <c r="F9643" t="inlineStr">
        <is>
          <t>DALARNAS LÄN</t>
        </is>
      </c>
      <c r="G9643" t="inlineStr">
        <is>
          <t>ÄLVDALEN</t>
        </is>
      </c>
      <c r="I9643" t="n">
        <v>0.7</v>
      </c>
      <c r="J9643" t="n">
        <v>0</v>
      </c>
      <c r="K9643" t="n">
        <v>0</v>
      </c>
      <c r="L9643" t="n">
        <v>0</v>
      </c>
      <c r="M9643" t="n">
        <v>0</v>
      </c>
      <c r="N9643" t="n">
        <v>0</v>
      </c>
      <c r="O9643" t="n">
        <v>0</v>
      </c>
      <c r="P9643" t="n">
        <v>0</v>
      </c>
      <c r="Q9643" t="n">
        <v>0</v>
      </c>
      <c r="R9643" t="n">
        <v>0</v>
      </c>
      <c r="S9643" t="n">
        <v>0</v>
      </c>
      <c r="T9643" t="n">
        <v>0</v>
      </c>
      <c r="U9643" t="n">
        <v>0</v>
      </c>
      <c r="V9643" s="2" t="inlineStr"/>
    </row>
    <row r="9644" ht="15" customHeight="1">
      <c r="A9644" t="inlineStr">
        <is>
          <t>A 60475-2022</t>
        </is>
      </c>
      <c r="B9644" t="inlineStr">
        <is>
          <t>avverkningsanmälan</t>
        </is>
      </c>
      <c r="C9644" t="inlineStr">
        <is>
          <t>Föryngringsavverkning</t>
        </is>
      </c>
      <c r="D9644" s="1" t="n">
        <v>44911</v>
      </c>
      <c r="E9644" s="1" t="n">
        <v>46319</v>
      </c>
      <c r="F9644" t="inlineStr">
        <is>
          <t>DALARNAS LÄN</t>
        </is>
      </c>
      <c r="G9644" t="inlineStr">
        <is>
          <t>HEDEMORA</t>
        </is>
      </c>
      <c r="I9644" t="n">
        <v>1</v>
      </c>
      <c r="J9644" t="n">
        <v>0</v>
      </c>
      <c r="K9644" t="n">
        <v>0</v>
      </c>
      <c r="L9644" t="n">
        <v>0</v>
      </c>
      <c r="M9644" t="n">
        <v>0</v>
      </c>
      <c r="N9644" t="n">
        <v>0</v>
      </c>
      <c r="O9644" t="n">
        <v>0</v>
      </c>
      <c r="P9644" t="n">
        <v>0</v>
      </c>
      <c r="Q9644" t="n">
        <v>0</v>
      </c>
      <c r="R9644" t="n">
        <v>0</v>
      </c>
      <c r="S9644" t="n">
        <v>0</v>
      </c>
      <c r="T9644" t="n">
        <v>0</v>
      </c>
      <c r="U9644" t="n">
        <v>0</v>
      </c>
      <c r="V9644" s="2" t="inlineStr"/>
    </row>
    <row r="9645" ht="15" customHeight="1">
      <c r="A9645" t="inlineStr">
        <is>
          <t>A 32016-2022</t>
        </is>
      </c>
      <c r="B9645" t="inlineStr">
        <is>
          <t>avverkningsanmälan</t>
        </is>
      </c>
      <c r="C9645" t="inlineStr">
        <is>
          <t>Föryngringsavverkning</t>
        </is>
      </c>
      <c r="D9645" s="1" t="n">
        <v>44778</v>
      </c>
      <c r="E9645" s="1" t="n">
        <v>46319</v>
      </c>
      <c r="F9645" t="inlineStr">
        <is>
          <t>DALARNAS LÄN</t>
        </is>
      </c>
      <c r="G9645" t="inlineStr">
        <is>
          <t>SMEDJEBACKEN</t>
        </is>
      </c>
      <c r="I9645" t="n">
        <v>1.1</v>
      </c>
      <c r="J9645" t="n">
        <v>0</v>
      </c>
      <c r="K9645" t="n">
        <v>0</v>
      </c>
      <c r="L9645" t="n">
        <v>0</v>
      </c>
      <c r="M9645" t="n">
        <v>0</v>
      </c>
      <c r="N9645" t="n">
        <v>0</v>
      </c>
      <c r="O9645" t="n">
        <v>0</v>
      </c>
      <c r="P9645" t="n">
        <v>0</v>
      </c>
      <c r="Q9645" t="n">
        <v>0</v>
      </c>
      <c r="R9645" t="n">
        <v>0</v>
      </c>
      <c r="S9645" t="n">
        <v>0</v>
      </c>
      <c r="T9645" t="n">
        <v>0</v>
      </c>
      <c r="U9645" t="n">
        <v>0</v>
      </c>
      <c r="V9645" s="2" t="inlineStr"/>
    </row>
    <row r="9646" ht="15" customHeight="1">
      <c r="A9646" t="inlineStr">
        <is>
          <t>A 30205-2022</t>
        </is>
      </c>
      <c r="B9646" t="inlineStr">
        <is>
          <t>avverkningsanmälan</t>
        </is>
      </c>
      <c r="C9646" t="inlineStr">
        <is>
          <t>Föryngringsavverkning</t>
        </is>
      </c>
      <c r="D9646" s="1" t="n">
        <v>44757</v>
      </c>
      <c r="E9646" s="1" t="n">
        <v>46319</v>
      </c>
      <c r="F9646" t="inlineStr">
        <is>
          <t>DALARNAS LÄN</t>
        </is>
      </c>
      <c r="G9646" t="inlineStr">
        <is>
          <t>HEDEMORA</t>
        </is>
      </c>
      <c r="H9646" t="inlineStr">
        <is>
          <t>Sveaskog</t>
        </is>
      </c>
      <c r="I9646" t="n">
        <v>2.4</v>
      </c>
      <c r="J9646" t="n">
        <v>0</v>
      </c>
      <c r="K9646" t="n">
        <v>0</v>
      </c>
      <c r="L9646" t="n">
        <v>0</v>
      </c>
      <c r="M9646" t="n">
        <v>0</v>
      </c>
      <c r="N9646" t="n">
        <v>0</v>
      </c>
      <c r="O9646" t="n">
        <v>0</v>
      </c>
      <c r="P9646" t="n">
        <v>0</v>
      </c>
      <c r="Q9646" t="n">
        <v>0</v>
      </c>
      <c r="R9646" t="n">
        <v>0</v>
      </c>
      <c r="S9646" t="n">
        <v>0</v>
      </c>
      <c r="T9646" t="n">
        <v>0</v>
      </c>
      <c r="U9646" t="n">
        <v>0</v>
      </c>
      <c r="V9646" s="2" t="inlineStr"/>
    </row>
    <row r="9647" ht="15" customHeight="1">
      <c r="A9647" t="inlineStr">
        <is>
          <t>A 41371-2022</t>
        </is>
      </c>
      <c r="B9647" t="inlineStr">
        <is>
          <t>avverkningsanmälan</t>
        </is>
      </c>
      <c r="C9647" t="inlineStr">
        <is>
          <t>Föryngringsavverkning</t>
        </is>
      </c>
      <c r="D9647" s="1" t="n">
        <v>44826</v>
      </c>
      <c r="E9647" s="1" t="n">
        <v>46319</v>
      </c>
      <c r="F9647" t="inlineStr">
        <is>
          <t>DALARNAS LÄN</t>
        </is>
      </c>
      <c r="G9647" t="inlineStr">
        <is>
          <t>VANSBRO</t>
        </is>
      </c>
      <c r="H9647" t="inlineStr">
        <is>
          <t>Bergvik skog öst AB</t>
        </is>
      </c>
      <c r="I9647" t="n">
        <v>0.9</v>
      </c>
      <c r="J9647" t="n">
        <v>0</v>
      </c>
      <c r="K9647" t="n">
        <v>0</v>
      </c>
      <c r="L9647" t="n">
        <v>0</v>
      </c>
      <c r="M9647" t="n">
        <v>0</v>
      </c>
      <c r="N9647" t="n">
        <v>0</v>
      </c>
      <c r="O9647" t="n">
        <v>0</v>
      </c>
      <c r="P9647" t="n">
        <v>0</v>
      </c>
      <c r="Q9647" t="n">
        <v>0</v>
      </c>
      <c r="R9647" t="n">
        <v>0</v>
      </c>
      <c r="S9647" t="n">
        <v>0</v>
      </c>
      <c r="T9647" t="n">
        <v>0</v>
      </c>
      <c r="U9647" t="n">
        <v>0</v>
      </c>
      <c r="V9647" s="2" t="inlineStr"/>
    </row>
    <row r="9648" ht="15" customHeight="1">
      <c r="A9648" t="inlineStr">
        <is>
          <t>A 48642-2022</t>
        </is>
      </c>
      <c r="B9648" t="inlineStr">
        <is>
          <t>avverkningsanmälan</t>
        </is>
      </c>
      <c r="C9648" t="inlineStr">
        <is>
          <t>Föryngringsavverkning</t>
        </is>
      </c>
      <c r="D9648" s="1" t="n">
        <v>44859</v>
      </c>
      <c r="E9648" s="1" t="n">
        <v>46319</v>
      </c>
      <c r="F9648" t="inlineStr">
        <is>
          <t>DALARNAS LÄN</t>
        </is>
      </c>
      <c r="G9648" t="inlineStr">
        <is>
          <t>LUDVIKA</t>
        </is>
      </c>
      <c r="H9648" t="inlineStr">
        <is>
          <t>Naturvårdsverket</t>
        </is>
      </c>
      <c r="I9648" t="n">
        <v>1.5</v>
      </c>
      <c r="J9648" t="n">
        <v>0</v>
      </c>
      <c r="K9648" t="n">
        <v>0</v>
      </c>
      <c r="L9648" t="n">
        <v>0</v>
      </c>
      <c r="M9648" t="n">
        <v>0</v>
      </c>
      <c r="N9648" t="n">
        <v>0</v>
      </c>
      <c r="O9648" t="n">
        <v>0</v>
      </c>
      <c r="P9648" t="n">
        <v>0</v>
      </c>
      <c r="Q9648" t="n">
        <v>0</v>
      </c>
      <c r="R9648" t="n">
        <v>0</v>
      </c>
      <c r="S9648" t="n">
        <v>0</v>
      </c>
      <c r="T9648" t="n">
        <v>0</v>
      </c>
      <c r="U9648" t="n">
        <v>0</v>
      </c>
      <c r="V9648" s="2" t="inlineStr"/>
    </row>
    <row r="9649" ht="15" customHeight="1">
      <c r="A9649" t="inlineStr">
        <is>
          <t>A 61055-2023</t>
        </is>
      </c>
      <c r="B9649" t="inlineStr">
        <is>
          <t>avverkningsanmälan</t>
        </is>
      </c>
      <c r="C9649" t="inlineStr">
        <is>
          <t>Föryngringsavverkning</t>
        </is>
      </c>
      <c r="D9649" s="1" t="n">
        <v>45261</v>
      </c>
      <c r="E9649" s="1" t="n">
        <v>46319</v>
      </c>
      <c r="F9649" t="inlineStr">
        <is>
          <t>DALARNAS LÄN</t>
        </is>
      </c>
      <c r="G9649" t="inlineStr">
        <is>
          <t>LEKSAND</t>
        </is>
      </c>
      <c r="I9649" t="n">
        <v>0.3</v>
      </c>
      <c r="J9649" t="n">
        <v>0</v>
      </c>
      <c r="K9649" t="n">
        <v>0</v>
      </c>
      <c r="L9649" t="n">
        <v>0</v>
      </c>
      <c r="M9649" t="n">
        <v>0</v>
      </c>
      <c r="N9649" t="n">
        <v>0</v>
      </c>
      <c r="O9649" t="n">
        <v>0</v>
      </c>
      <c r="P9649" t="n">
        <v>0</v>
      </c>
      <c r="Q9649" t="n">
        <v>0</v>
      </c>
      <c r="R9649" t="n">
        <v>0</v>
      </c>
      <c r="S9649" t="n">
        <v>0</v>
      </c>
      <c r="T9649" t="n">
        <v>0</v>
      </c>
      <c r="U9649" t="n">
        <v>0</v>
      </c>
      <c r="V9649" s="2" t="inlineStr"/>
    </row>
    <row r="9650" ht="15" customHeight="1">
      <c r="A9650" t="inlineStr">
        <is>
          <t>A 27143-2022</t>
        </is>
      </c>
      <c r="B9650" t="inlineStr">
        <is>
          <t>avverkningsanmälan</t>
        </is>
      </c>
      <c r="C9650" t="inlineStr">
        <is>
          <t>Föryngringsavverkning</t>
        </is>
      </c>
      <c r="D9650" s="1" t="n">
        <v>44741</v>
      </c>
      <c r="E9650" s="1" t="n">
        <v>46319</v>
      </c>
      <c r="F9650" t="inlineStr">
        <is>
          <t>DALARNAS LÄN</t>
        </is>
      </c>
      <c r="G9650" t="inlineStr">
        <is>
          <t>MALUNG-SÄLEN</t>
        </is>
      </c>
      <c r="H9650" t="inlineStr">
        <is>
          <t>Kommuner</t>
        </is>
      </c>
      <c r="I9650" t="n">
        <v>3.6</v>
      </c>
      <c r="J9650" t="n">
        <v>0</v>
      </c>
      <c r="K9650" t="n">
        <v>0</v>
      </c>
      <c r="L9650" t="n">
        <v>0</v>
      </c>
      <c r="M9650" t="n">
        <v>0</v>
      </c>
      <c r="N9650" t="n">
        <v>0</v>
      </c>
      <c r="O9650" t="n">
        <v>0</v>
      </c>
      <c r="P9650" t="n">
        <v>0</v>
      </c>
      <c r="Q9650" t="n">
        <v>0</v>
      </c>
      <c r="R9650" t="n">
        <v>0</v>
      </c>
      <c r="S9650" t="n">
        <v>0</v>
      </c>
      <c r="T9650" t="n">
        <v>0</v>
      </c>
      <c r="U9650" t="n">
        <v>0</v>
      </c>
      <c r="V9650" s="2" t="inlineStr"/>
    </row>
    <row r="9651" ht="15" customHeight="1">
      <c r="A9651" t="inlineStr">
        <is>
          <t>A 5646-2023</t>
        </is>
      </c>
      <c r="B9651" t="inlineStr">
        <is>
          <t>avverkningsanmälan</t>
        </is>
      </c>
      <c r="C9651" t="inlineStr">
        <is>
          <t>Föryngringsavverkning</t>
        </is>
      </c>
      <c r="D9651" s="1" t="n">
        <v>44960</v>
      </c>
      <c r="E9651" s="1" t="n">
        <v>46319</v>
      </c>
      <c r="F9651" t="inlineStr">
        <is>
          <t>DALARNAS LÄN</t>
        </is>
      </c>
      <c r="G9651" t="inlineStr">
        <is>
          <t>SÄTER</t>
        </is>
      </c>
      <c r="I9651" t="n">
        <v>0.8</v>
      </c>
      <c r="J9651" t="n">
        <v>0</v>
      </c>
      <c r="K9651" t="n">
        <v>0</v>
      </c>
      <c r="L9651" t="n">
        <v>0</v>
      </c>
      <c r="M9651" t="n">
        <v>0</v>
      </c>
      <c r="N9651" t="n">
        <v>0</v>
      </c>
      <c r="O9651" t="n">
        <v>0</v>
      </c>
      <c r="P9651" t="n">
        <v>0</v>
      </c>
      <c r="Q9651" t="n">
        <v>0</v>
      </c>
      <c r="R9651" t="n">
        <v>0</v>
      </c>
      <c r="S9651" t="n">
        <v>0</v>
      </c>
      <c r="T9651" t="n">
        <v>0</v>
      </c>
      <c r="U9651" t="n">
        <v>0</v>
      </c>
      <c r="V9651" s="2" t="inlineStr"/>
    </row>
    <row r="9652" ht="15" customHeight="1">
      <c r="A9652" t="inlineStr">
        <is>
          <t>A 5672-2023</t>
        </is>
      </c>
      <c r="B9652" t="inlineStr">
        <is>
          <t>avverkningsanmälan</t>
        </is>
      </c>
      <c r="C9652" t="inlineStr">
        <is>
          <t>Föryngringsavverkning</t>
        </is>
      </c>
      <c r="D9652" s="1" t="n">
        <v>44960</v>
      </c>
      <c r="E9652" s="1" t="n">
        <v>46319</v>
      </c>
      <c r="F9652" t="inlineStr">
        <is>
          <t>DALARNAS LÄN</t>
        </is>
      </c>
      <c r="G9652" t="inlineStr">
        <is>
          <t>LUDVIKA</t>
        </is>
      </c>
      <c r="H9652" t="inlineStr">
        <is>
          <t>Naturvårdsverket</t>
        </is>
      </c>
      <c r="I9652" t="n">
        <v>2.7</v>
      </c>
      <c r="J9652" t="n">
        <v>0</v>
      </c>
      <c r="K9652" t="n">
        <v>0</v>
      </c>
      <c r="L9652" t="n">
        <v>0</v>
      </c>
      <c r="M9652" t="n">
        <v>0</v>
      </c>
      <c r="N9652" t="n">
        <v>0</v>
      </c>
      <c r="O9652" t="n">
        <v>0</v>
      </c>
      <c r="P9652" t="n">
        <v>0</v>
      </c>
      <c r="Q9652" t="n">
        <v>0</v>
      </c>
      <c r="R9652" t="n">
        <v>0</v>
      </c>
      <c r="S9652" t="n">
        <v>0</v>
      </c>
      <c r="T9652" t="n">
        <v>0</v>
      </c>
      <c r="U9652" t="n">
        <v>0</v>
      </c>
      <c r="V9652" s="2" t="inlineStr"/>
    </row>
    <row r="9653" ht="15" customHeight="1">
      <c r="A9653" t="inlineStr">
        <is>
          <t>A 5680-2023</t>
        </is>
      </c>
      <c r="B9653" t="inlineStr">
        <is>
          <t>avverkningsanmälan</t>
        </is>
      </c>
      <c r="C9653" t="inlineStr">
        <is>
          <t>Föryngringsavverkning</t>
        </is>
      </c>
      <c r="D9653" s="1" t="n">
        <v>44960</v>
      </c>
      <c r="E9653" s="1" t="n">
        <v>46319</v>
      </c>
      <c r="F9653" t="inlineStr">
        <is>
          <t>DALARNAS LÄN</t>
        </is>
      </c>
      <c r="G9653" t="inlineStr">
        <is>
          <t>FALUN</t>
        </is>
      </c>
      <c r="I9653" t="n">
        <v>2.3</v>
      </c>
      <c r="J9653" t="n">
        <v>0</v>
      </c>
      <c r="K9653" t="n">
        <v>0</v>
      </c>
      <c r="L9653" t="n">
        <v>0</v>
      </c>
      <c r="M9653" t="n">
        <v>0</v>
      </c>
      <c r="N9653" t="n">
        <v>0</v>
      </c>
      <c r="O9653" t="n">
        <v>0</v>
      </c>
      <c r="P9653" t="n">
        <v>0</v>
      </c>
      <c r="Q9653" t="n">
        <v>0</v>
      </c>
      <c r="R9653" t="n">
        <v>0</v>
      </c>
      <c r="S9653" t="n">
        <v>0</v>
      </c>
      <c r="T9653" t="n">
        <v>0</v>
      </c>
      <c r="U9653" t="n">
        <v>0</v>
      </c>
      <c r="V9653" s="2" t="inlineStr"/>
    </row>
    <row r="9654" ht="15" customHeight="1">
      <c r="A9654" t="inlineStr">
        <is>
          <t>A 6720-2023</t>
        </is>
      </c>
      <c r="B9654" t="inlineStr">
        <is>
          <t>avverkningsanmälan</t>
        </is>
      </c>
      <c r="C9654" t="inlineStr">
        <is>
          <t>Föryngringsavverkning</t>
        </is>
      </c>
      <c r="D9654" s="1" t="n">
        <v>44966</v>
      </c>
      <c r="E9654" s="1" t="n">
        <v>46319</v>
      </c>
      <c r="F9654" t="inlineStr">
        <is>
          <t>DALARNAS LÄN</t>
        </is>
      </c>
      <c r="G9654" t="inlineStr">
        <is>
          <t>SMEDJEBACKEN</t>
        </is>
      </c>
      <c r="I9654" t="n">
        <v>2.4</v>
      </c>
      <c r="J9654" t="n">
        <v>0</v>
      </c>
      <c r="K9654" t="n">
        <v>0</v>
      </c>
      <c r="L9654" t="n">
        <v>0</v>
      </c>
      <c r="M9654" t="n">
        <v>0</v>
      </c>
      <c r="N9654" t="n">
        <v>0</v>
      </c>
      <c r="O9654" t="n">
        <v>0</v>
      </c>
      <c r="P9654" t="n">
        <v>0</v>
      </c>
      <c r="Q9654" t="n">
        <v>0</v>
      </c>
      <c r="R9654" t="n">
        <v>0</v>
      </c>
      <c r="S9654" t="n">
        <v>0</v>
      </c>
      <c r="T9654" t="n">
        <v>0</v>
      </c>
      <c r="U9654" t="n">
        <v>0</v>
      </c>
      <c r="V9654" s="2" t="inlineStr"/>
    </row>
    <row r="9655" ht="15" customHeight="1">
      <c r="A9655" t="inlineStr">
        <is>
          <t>A 6722-2023</t>
        </is>
      </c>
      <c r="B9655" t="inlineStr">
        <is>
          <t>avverkningsanmälan</t>
        </is>
      </c>
      <c r="C9655" t="inlineStr">
        <is>
          <t>Föryngringsavverkning</t>
        </is>
      </c>
      <c r="D9655" s="1" t="n">
        <v>44966</v>
      </c>
      <c r="E9655" s="1" t="n">
        <v>46319</v>
      </c>
      <c r="F9655" t="inlineStr">
        <is>
          <t>DALARNAS LÄN</t>
        </is>
      </c>
      <c r="G9655" t="inlineStr">
        <is>
          <t>SMEDJEBACKEN</t>
        </is>
      </c>
      <c r="I9655" t="n">
        <v>2.3</v>
      </c>
      <c r="J9655" t="n">
        <v>0</v>
      </c>
      <c r="K9655" t="n">
        <v>0</v>
      </c>
      <c r="L9655" t="n">
        <v>0</v>
      </c>
      <c r="M9655" t="n">
        <v>0</v>
      </c>
      <c r="N9655" t="n">
        <v>0</v>
      </c>
      <c r="O9655" t="n">
        <v>0</v>
      </c>
      <c r="P9655" t="n">
        <v>0</v>
      </c>
      <c r="Q9655" t="n">
        <v>0</v>
      </c>
      <c r="R9655" t="n">
        <v>0</v>
      </c>
      <c r="S9655" t="n">
        <v>0</v>
      </c>
      <c r="T9655" t="n">
        <v>0</v>
      </c>
      <c r="U9655" t="n">
        <v>0</v>
      </c>
      <c r="V9655" s="2" t="inlineStr"/>
    </row>
    <row r="9656" ht="15" customHeight="1">
      <c r="A9656" t="inlineStr">
        <is>
          <t>A 18045-2024</t>
        </is>
      </c>
      <c r="B9656" t="inlineStr">
        <is>
          <t>avverkningsanmälan</t>
        </is>
      </c>
      <c r="C9656" t="inlineStr">
        <is>
          <t>Föryngringsavverkning</t>
        </is>
      </c>
      <c r="D9656" s="1" t="n">
        <v>45420</v>
      </c>
      <c r="E9656" s="1" t="n">
        <v>46319</v>
      </c>
      <c r="F9656" t="inlineStr">
        <is>
          <t>DALARNAS LÄN</t>
        </is>
      </c>
      <c r="G9656" t="inlineStr">
        <is>
          <t>MALUNG-SÄLEN</t>
        </is>
      </c>
      <c r="I9656" t="n">
        <v>1.8</v>
      </c>
      <c r="J9656" t="n">
        <v>0</v>
      </c>
      <c r="K9656" t="n">
        <v>0</v>
      </c>
      <c r="L9656" t="n">
        <v>0</v>
      </c>
      <c r="M9656" t="n">
        <v>0</v>
      </c>
      <c r="N9656" t="n">
        <v>0</v>
      </c>
      <c r="O9656" t="n">
        <v>0</v>
      </c>
      <c r="P9656" t="n">
        <v>0</v>
      </c>
      <c r="Q9656" t="n">
        <v>0</v>
      </c>
      <c r="R9656" t="n">
        <v>0</v>
      </c>
      <c r="S9656" t="n">
        <v>0</v>
      </c>
      <c r="T9656" t="n">
        <v>0</v>
      </c>
      <c r="U9656" t="n">
        <v>0</v>
      </c>
      <c r="V9656" s="2" t="inlineStr"/>
    </row>
    <row r="9657" ht="15" customHeight="1">
      <c r="A9657" t="inlineStr">
        <is>
          <t>A 35807-2022</t>
        </is>
      </c>
      <c r="B9657" t="inlineStr">
        <is>
          <t>avverkningsanmälan</t>
        </is>
      </c>
      <c r="C9657" t="inlineStr">
        <is>
          <t>Föryngringsavverkning</t>
        </is>
      </c>
      <c r="D9657" s="1" t="n">
        <v>44802</v>
      </c>
      <c r="E9657" s="1" t="n">
        <v>46319</v>
      </c>
      <c r="F9657" t="inlineStr">
        <is>
          <t>DALARNAS LÄN</t>
        </is>
      </c>
      <c r="G9657" t="inlineStr">
        <is>
          <t>FALUN</t>
        </is>
      </c>
      <c r="I9657" t="n">
        <v>1.4</v>
      </c>
      <c r="J9657" t="n">
        <v>0</v>
      </c>
      <c r="K9657" t="n">
        <v>0</v>
      </c>
      <c r="L9657" t="n">
        <v>0</v>
      </c>
      <c r="M9657" t="n">
        <v>0</v>
      </c>
      <c r="N9657" t="n">
        <v>0</v>
      </c>
      <c r="O9657" t="n">
        <v>0</v>
      </c>
      <c r="P9657" t="n">
        <v>0</v>
      </c>
      <c r="Q9657" t="n">
        <v>0</v>
      </c>
      <c r="R9657" t="n">
        <v>0</v>
      </c>
      <c r="S9657" t="n">
        <v>0</v>
      </c>
      <c r="T9657" t="n">
        <v>0</v>
      </c>
      <c r="U9657" t="n">
        <v>0</v>
      </c>
      <c r="V9657" s="2" t="inlineStr"/>
    </row>
    <row r="9658" ht="15" customHeight="1">
      <c r="A9658" t="inlineStr">
        <is>
          <t>A 37249-2022</t>
        </is>
      </c>
      <c r="B9658" t="inlineStr">
        <is>
          <t>avverkningsanmälan</t>
        </is>
      </c>
      <c r="C9658" t="inlineStr">
        <is>
          <t>Föryngringsavverkning</t>
        </is>
      </c>
      <c r="D9658" s="1" t="n">
        <v>44807</v>
      </c>
      <c r="E9658" s="1" t="n">
        <v>46319</v>
      </c>
      <c r="F9658" t="inlineStr">
        <is>
          <t>DALARNAS LÄN</t>
        </is>
      </c>
      <c r="G9658" t="inlineStr">
        <is>
          <t>RÄTTVIK</t>
        </is>
      </c>
      <c r="I9658" t="n">
        <v>2</v>
      </c>
      <c r="J9658" t="n">
        <v>0</v>
      </c>
      <c r="K9658" t="n">
        <v>0</v>
      </c>
      <c r="L9658" t="n">
        <v>0</v>
      </c>
      <c r="M9658" t="n">
        <v>0</v>
      </c>
      <c r="N9658" t="n">
        <v>0</v>
      </c>
      <c r="O9658" t="n">
        <v>0</v>
      </c>
      <c r="P9658" t="n">
        <v>0</v>
      </c>
      <c r="Q9658" t="n">
        <v>0</v>
      </c>
      <c r="R9658" t="n">
        <v>0</v>
      </c>
      <c r="S9658" t="n">
        <v>0</v>
      </c>
      <c r="T9658" t="n">
        <v>0</v>
      </c>
      <c r="U9658" t="n">
        <v>0</v>
      </c>
      <c r="V9658" s="2" t="inlineStr"/>
    </row>
    <row r="9659" ht="15" customHeight="1">
      <c r="A9659" t="inlineStr">
        <is>
          <t>A 21882-2024</t>
        </is>
      </c>
      <c r="B9659" t="inlineStr">
        <is>
          <t>avverkningsanmälan</t>
        </is>
      </c>
      <c r="C9659" t="inlineStr">
        <is>
          <t>Föryngringsavverkning</t>
        </is>
      </c>
      <c r="D9659" s="1" t="n">
        <v>45443</v>
      </c>
      <c r="E9659" s="1" t="n">
        <v>46319</v>
      </c>
      <c r="F9659" t="inlineStr">
        <is>
          <t>DALARNAS LÄN</t>
        </is>
      </c>
      <c r="G9659" t="inlineStr">
        <is>
          <t>RÄTTVIK</t>
        </is>
      </c>
      <c r="I9659" t="n">
        <v>0.6</v>
      </c>
      <c r="J9659" t="n">
        <v>0</v>
      </c>
      <c r="K9659" t="n">
        <v>0</v>
      </c>
      <c r="L9659" t="n">
        <v>0</v>
      </c>
      <c r="M9659" t="n">
        <v>0</v>
      </c>
      <c r="N9659" t="n">
        <v>0</v>
      </c>
      <c r="O9659" t="n">
        <v>0</v>
      </c>
      <c r="P9659" t="n">
        <v>0</v>
      </c>
      <c r="Q9659" t="n">
        <v>0</v>
      </c>
      <c r="R9659" t="n">
        <v>0</v>
      </c>
      <c r="S9659" t="n">
        <v>0</v>
      </c>
      <c r="T9659" t="n">
        <v>0</v>
      </c>
      <c r="U9659" t="n">
        <v>0</v>
      </c>
      <c r="V9659" s="2" t="inlineStr"/>
    </row>
    <row r="9660" ht="15" customHeight="1">
      <c r="A9660" t="inlineStr">
        <is>
          <t>A 9977-2023</t>
        </is>
      </c>
      <c r="B9660" t="inlineStr">
        <is>
          <t>avverkningsanmälan</t>
        </is>
      </c>
      <c r="C9660" t="inlineStr">
        <is>
          <t>Avverkning för annat ändamål</t>
        </is>
      </c>
      <c r="D9660" s="1" t="n">
        <v>44979</v>
      </c>
      <c r="E9660" s="1" t="n">
        <v>46319</v>
      </c>
      <c r="F9660" t="inlineStr">
        <is>
          <t>DALARNAS LÄN</t>
        </is>
      </c>
      <c r="G9660" t="inlineStr">
        <is>
          <t>MALUNG-SÄLEN</t>
        </is>
      </c>
      <c r="I9660" t="n">
        <v>1.1</v>
      </c>
      <c r="J9660" t="n">
        <v>0</v>
      </c>
      <c r="K9660" t="n">
        <v>0</v>
      </c>
      <c r="L9660" t="n">
        <v>0</v>
      </c>
      <c r="M9660" t="n">
        <v>0</v>
      </c>
      <c r="N9660" t="n">
        <v>0</v>
      </c>
      <c r="O9660" t="n">
        <v>0</v>
      </c>
      <c r="P9660" t="n">
        <v>0</v>
      </c>
      <c r="Q9660" t="n">
        <v>0</v>
      </c>
      <c r="R9660" t="n">
        <v>0</v>
      </c>
      <c r="S9660" t="n">
        <v>0</v>
      </c>
      <c r="T9660" t="n">
        <v>0</v>
      </c>
      <c r="U9660" t="n">
        <v>0</v>
      </c>
      <c r="V9660" s="2" t="inlineStr"/>
    </row>
    <row r="9661" ht="15" customHeight="1">
      <c r="A9661" t="inlineStr">
        <is>
          <t>S 818-2025</t>
        </is>
      </c>
      <c r="B9661" t="inlineStr">
        <is>
          <t>samrådsanmälan</t>
        </is>
      </c>
      <c r="C9661" t="inlineStr">
        <is>
          <t>Annan skogsbruksåtgärd</t>
        </is>
      </c>
      <c r="D9661" s="1" t="n">
        <v>45730</v>
      </c>
      <c r="E9661" s="1" t="n">
        <v>46319</v>
      </c>
      <c r="F9661" t="inlineStr">
        <is>
          <t>DALARNAS LÄN</t>
        </is>
      </c>
      <c r="G9661" t="inlineStr">
        <is>
          <t>RÄTTVIK</t>
        </is>
      </c>
      <c r="I9661" t="n">
        <v>0.1</v>
      </c>
      <c r="J9661" t="n">
        <v>0</v>
      </c>
      <c r="K9661" t="n">
        <v>0</v>
      </c>
      <c r="L9661" t="n">
        <v>0</v>
      </c>
      <c r="M9661" t="n">
        <v>0</v>
      </c>
      <c r="N9661" t="n">
        <v>0</v>
      </c>
      <c r="O9661" t="n">
        <v>0</v>
      </c>
      <c r="P9661" t="n">
        <v>0</v>
      </c>
      <c r="Q9661" t="n">
        <v>0</v>
      </c>
      <c r="R9661" t="n">
        <v>0</v>
      </c>
      <c r="S9661" t="n">
        <v>0</v>
      </c>
      <c r="T9661" t="n">
        <v>0</v>
      </c>
      <c r="U9661" t="n">
        <v>0</v>
      </c>
      <c r="V9661" s="2" t="inlineStr"/>
    </row>
    <row r="9662" ht="15" customHeight="1">
      <c r="A9662" t="inlineStr">
        <is>
          <t>S 2070-2020</t>
        </is>
      </c>
      <c r="B9662" t="inlineStr">
        <is>
          <t>samrådsanmälan</t>
        </is>
      </c>
      <c r="C9662" t="inlineStr">
        <is>
          <t>Askåterföring</t>
        </is>
      </c>
      <c r="D9662" s="1" t="n">
        <v>44102</v>
      </c>
      <c r="E9662" s="1" t="n">
        <v>46319</v>
      </c>
      <c r="F9662" t="inlineStr">
        <is>
          <t>DALARNAS LÄN</t>
        </is>
      </c>
      <c r="G9662" t="inlineStr">
        <is>
          <t>HEDEMORA</t>
        </is>
      </c>
      <c r="H9662" t="inlineStr">
        <is>
          <t>Sveaskog</t>
        </is>
      </c>
      <c r="I9662" t="n">
        <v>64.3</v>
      </c>
      <c r="J9662" t="n">
        <v>0</v>
      </c>
      <c r="K9662" t="n">
        <v>0</v>
      </c>
      <c r="L9662" t="n">
        <v>0</v>
      </c>
      <c r="M9662" t="n">
        <v>0</v>
      </c>
      <c r="N9662" t="n">
        <v>0</v>
      </c>
      <c r="O9662" t="n">
        <v>0</v>
      </c>
      <c r="P9662" t="n">
        <v>0</v>
      </c>
      <c r="Q9662" t="n">
        <v>0</v>
      </c>
      <c r="R9662" t="n">
        <v>0</v>
      </c>
      <c r="S9662" t="n">
        <v>0</v>
      </c>
      <c r="T9662" t="n">
        <v>0</v>
      </c>
      <c r="U9662" t="n">
        <v>0</v>
      </c>
      <c r="V9662" s="2" t="inlineStr"/>
    </row>
    <row r="9663" ht="15" customHeight="1">
      <c r="A9663" t="inlineStr">
        <is>
          <t>S 773-2025</t>
        </is>
      </c>
      <c r="B9663" t="inlineStr">
        <is>
          <t>samrådsanmälan</t>
        </is>
      </c>
      <c r="C9663" t="inlineStr">
        <is>
          <t>Annan skogsbruksåtgärd</t>
        </is>
      </c>
      <c r="D9663" s="1" t="n">
        <v>45728</v>
      </c>
      <c r="E9663" s="1" t="n">
        <v>46319</v>
      </c>
      <c r="F9663" t="inlineStr">
        <is>
          <t>DALARNAS LÄN</t>
        </is>
      </c>
      <c r="G9663" t="inlineStr">
        <is>
          <t>MORA</t>
        </is>
      </c>
      <c r="H9663" t="inlineStr">
        <is>
          <t>Bergvik skog väst AB</t>
        </is>
      </c>
      <c r="I9663" t="n">
        <v>13</v>
      </c>
      <c r="J9663" t="n">
        <v>0</v>
      </c>
      <c r="K9663" t="n">
        <v>0</v>
      </c>
      <c r="L9663" t="n">
        <v>0</v>
      </c>
      <c r="M9663" t="n">
        <v>0</v>
      </c>
      <c r="N9663" t="n">
        <v>0</v>
      </c>
      <c r="O9663" t="n">
        <v>0</v>
      </c>
      <c r="P9663" t="n">
        <v>0</v>
      </c>
      <c r="Q9663" t="n">
        <v>0</v>
      </c>
      <c r="R9663" t="n">
        <v>0</v>
      </c>
      <c r="S9663" t="n">
        <v>0</v>
      </c>
      <c r="T9663" t="n">
        <v>0</v>
      </c>
      <c r="U9663" t="n">
        <v>0</v>
      </c>
      <c r="V9663" s="2" t="inlineStr"/>
    </row>
    <row r="9664" ht="15" customHeight="1">
      <c r="A9664" t="inlineStr">
        <is>
          <t>S 2065-2022</t>
        </is>
      </c>
      <c r="B9664" t="inlineStr">
        <is>
          <t>samrådsanmälan</t>
        </is>
      </c>
      <c r="C9664" t="inlineStr">
        <is>
          <t>Askåterföring</t>
        </is>
      </c>
      <c r="D9664" s="1" t="n">
        <v>44672</v>
      </c>
      <c r="E9664" s="1" t="n">
        <v>46319</v>
      </c>
      <c r="F9664" t="inlineStr">
        <is>
          <t>DALARNAS LÄN</t>
        </is>
      </c>
      <c r="G9664" t="inlineStr">
        <is>
          <t>FALUN</t>
        </is>
      </c>
      <c r="I9664" t="n">
        <v>84.09999999999999</v>
      </c>
      <c r="J9664" t="n">
        <v>0</v>
      </c>
      <c r="K9664" t="n">
        <v>0</v>
      </c>
      <c r="L9664" t="n">
        <v>0</v>
      </c>
      <c r="M9664" t="n">
        <v>0</v>
      </c>
      <c r="N9664" t="n">
        <v>0</v>
      </c>
      <c r="O9664" t="n">
        <v>0</v>
      </c>
      <c r="P9664" t="n">
        <v>0</v>
      </c>
      <c r="Q9664" t="n">
        <v>0</v>
      </c>
      <c r="R9664" t="n">
        <v>0</v>
      </c>
      <c r="S9664" t="n">
        <v>0</v>
      </c>
      <c r="T9664" t="n">
        <v>0</v>
      </c>
      <c r="U9664" t="n">
        <v>0</v>
      </c>
      <c r="V9664" s="2" t="inlineStr"/>
    </row>
    <row r="9665" ht="15" customHeight="1">
      <c r="A9665" t="inlineStr">
        <is>
          <t>S 954-2021</t>
        </is>
      </c>
      <c r="B9665" t="inlineStr">
        <is>
          <t>samrådsanmälan</t>
        </is>
      </c>
      <c r="C9665" t="inlineStr">
        <is>
          <t>Åtgärd i nyckelbiotop</t>
        </is>
      </c>
      <c r="D9665" s="1" t="n">
        <v>44315</v>
      </c>
      <c r="E9665" s="1" t="n">
        <v>46319</v>
      </c>
      <c r="F9665" t="inlineStr">
        <is>
          <t>DALARNAS LÄN</t>
        </is>
      </c>
      <c r="G9665" t="inlineStr">
        <is>
          <t>GAGNEF</t>
        </is>
      </c>
      <c r="I9665" t="n">
        <v>1.7</v>
      </c>
      <c r="J9665" t="n">
        <v>0</v>
      </c>
      <c r="K9665" t="n">
        <v>0</v>
      </c>
      <c r="L9665" t="n">
        <v>0</v>
      </c>
      <c r="M9665" t="n">
        <v>0</v>
      </c>
      <c r="N9665" t="n">
        <v>0</v>
      </c>
      <c r="O9665" t="n">
        <v>0</v>
      </c>
      <c r="P9665" t="n">
        <v>0</v>
      </c>
      <c r="Q9665" t="n">
        <v>0</v>
      </c>
      <c r="R9665" t="n">
        <v>0</v>
      </c>
      <c r="S9665" t="n">
        <v>0</v>
      </c>
      <c r="T9665" t="n">
        <v>0</v>
      </c>
      <c r="U9665" t="n">
        <v>0</v>
      </c>
      <c r="V9665" s="2" t="inlineStr"/>
    </row>
    <row r="9666" ht="15" customHeight="1">
      <c r="A9666" t="inlineStr">
        <is>
          <t>S 2346-2022</t>
        </is>
      </c>
      <c r="B9666" t="inlineStr">
        <is>
          <t>samrådsanmälan</t>
        </is>
      </c>
      <c r="C9666" t="inlineStr">
        <is>
          <t>Annan skogsbruksåtgärd</t>
        </is>
      </c>
      <c r="D9666" s="1" t="n">
        <v>44686</v>
      </c>
      <c r="E9666" s="1" t="n">
        <v>46319</v>
      </c>
      <c r="F9666" t="inlineStr">
        <is>
          <t>DALARNAS LÄN</t>
        </is>
      </c>
      <c r="G9666" t="inlineStr">
        <is>
          <t>BORLÄNGE</t>
        </is>
      </c>
      <c r="H9666" t="inlineStr">
        <is>
          <t>Kommuner</t>
        </is>
      </c>
      <c r="I9666" t="n">
        <v>0.1</v>
      </c>
      <c r="J9666" t="n">
        <v>0</v>
      </c>
      <c r="K9666" t="n">
        <v>0</v>
      </c>
      <c r="L9666" t="n">
        <v>0</v>
      </c>
      <c r="M9666" t="n">
        <v>0</v>
      </c>
      <c r="N9666" t="n">
        <v>0</v>
      </c>
      <c r="O9666" t="n">
        <v>0</v>
      </c>
      <c r="P9666" t="n">
        <v>0</v>
      </c>
      <c r="Q9666" t="n">
        <v>0</v>
      </c>
      <c r="R9666" t="n">
        <v>0</v>
      </c>
      <c r="S9666" t="n">
        <v>0</v>
      </c>
      <c r="T9666" t="n">
        <v>0</v>
      </c>
      <c r="U9666" t="n">
        <v>0</v>
      </c>
      <c r="V9666" s="2" t="inlineStr"/>
    </row>
    <row r="9667" ht="15" customHeight="1">
      <c r="A9667" t="inlineStr">
        <is>
          <t>S 1933-2020</t>
        </is>
      </c>
      <c r="B9667" t="inlineStr">
        <is>
          <t>samrådsanmälan</t>
        </is>
      </c>
      <c r="C9667" t="inlineStr">
        <is>
          <t>Åtgärd i nyckelbiotop</t>
        </is>
      </c>
      <c r="D9667" s="1" t="n">
        <v>44083</v>
      </c>
      <c r="E9667" s="1" t="n">
        <v>46319</v>
      </c>
      <c r="F9667" t="inlineStr">
        <is>
          <t>DALARNAS LÄN</t>
        </is>
      </c>
      <c r="G9667" t="inlineStr">
        <is>
          <t>ÄLVDALEN</t>
        </is>
      </c>
      <c r="H9667" t="inlineStr">
        <is>
          <t>Allmännings- och besparingsskogar</t>
        </is>
      </c>
      <c r="I9667" t="n">
        <v>0.1</v>
      </c>
      <c r="J9667" t="n">
        <v>0</v>
      </c>
      <c r="K9667" t="n">
        <v>0</v>
      </c>
      <c r="L9667" t="n">
        <v>0</v>
      </c>
      <c r="M9667" t="n">
        <v>0</v>
      </c>
      <c r="N9667" t="n">
        <v>0</v>
      </c>
      <c r="O9667" t="n">
        <v>0</v>
      </c>
      <c r="P9667" t="n">
        <v>0</v>
      </c>
      <c r="Q9667" t="n">
        <v>0</v>
      </c>
      <c r="R9667" t="n">
        <v>0</v>
      </c>
      <c r="S9667" t="n">
        <v>0</v>
      </c>
      <c r="T9667" t="n">
        <v>0</v>
      </c>
      <c r="U9667" t="n">
        <v>0</v>
      </c>
      <c r="V9667" s="2" t="inlineStr"/>
    </row>
    <row r="9668" ht="15" customHeight="1">
      <c r="A9668" t="inlineStr">
        <is>
          <t>S 2659-2020</t>
        </is>
      </c>
      <c r="B9668" t="inlineStr">
        <is>
          <t>samrådsanmälan</t>
        </is>
      </c>
      <c r="C9668" t="inlineStr">
        <is>
          <t>Åtgärd i nyckelbiotop</t>
        </is>
      </c>
      <c r="D9668" s="1" t="n">
        <v>44160</v>
      </c>
      <c r="E9668" s="1" t="n">
        <v>46319</v>
      </c>
      <c r="F9668" t="inlineStr">
        <is>
          <t>DALARNAS LÄN</t>
        </is>
      </c>
      <c r="G9668" t="inlineStr">
        <is>
          <t>RÄTTVIK</t>
        </is>
      </c>
      <c r="I9668" t="n">
        <v>2</v>
      </c>
      <c r="J9668" t="n">
        <v>0</v>
      </c>
      <c r="K9668" t="n">
        <v>0</v>
      </c>
      <c r="L9668" t="n">
        <v>0</v>
      </c>
      <c r="M9668" t="n">
        <v>0</v>
      </c>
      <c r="N9668" t="n">
        <v>0</v>
      </c>
      <c r="O9668" t="n">
        <v>0</v>
      </c>
      <c r="P9668" t="n">
        <v>0</v>
      </c>
      <c r="Q9668" t="n">
        <v>0</v>
      </c>
      <c r="R9668" t="n">
        <v>0</v>
      </c>
      <c r="S9668" t="n">
        <v>0</v>
      </c>
      <c r="T9668" t="n">
        <v>0</v>
      </c>
      <c r="U9668" t="n">
        <v>0</v>
      </c>
      <c r="V9668" s="2" t="inlineStr"/>
    </row>
    <row r="9669" ht="15" customHeight="1">
      <c r="A9669" t="inlineStr">
        <is>
          <t>S 2660-2020</t>
        </is>
      </c>
      <c r="B9669" t="inlineStr">
        <is>
          <t>samrådsanmälan</t>
        </is>
      </c>
      <c r="C9669" t="inlineStr">
        <is>
          <t>Åtgärd i nyckelbiotop</t>
        </is>
      </c>
      <c r="D9669" s="1" t="n">
        <v>44174</v>
      </c>
      <c r="E9669" s="1" t="n">
        <v>46319</v>
      </c>
      <c r="F9669" t="inlineStr">
        <is>
          <t>DALARNAS LÄN</t>
        </is>
      </c>
      <c r="G9669" t="inlineStr">
        <is>
          <t>RÄTTVIK</t>
        </is>
      </c>
      <c r="I9669" t="n">
        <v>1.2</v>
      </c>
      <c r="J9669" t="n">
        <v>0</v>
      </c>
      <c r="K9669" t="n">
        <v>0</v>
      </c>
      <c r="L9669" t="n">
        <v>0</v>
      </c>
      <c r="M9669" t="n">
        <v>0</v>
      </c>
      <c r="N9669" t="n">
        <v>0</v>
      </c>
      <c r="O9669" t="n">
        <v>0</v>
      </c>
      <c r="P9669" t="n">
        <v>0</v>
      </c>
      <c r="Q9669" t="n">
        <v>0</v>
      </c>
      <c r="R9669" t="n">
        <v>0</v>
      </c>
      <c r="S9669" t="n">
        <v>0</v>
      </c>
      <c r="T9669" t="n">
        <v>0</v>
      </c>
      <c r="U9669" t="n">
        <v>0</v>
      </c>
      <c r="V9669" s="2" t="inlineStr"/>
    </row>
    <row r="9670" ht="15" customHeight="1">
      <c r="A9670" t="inlineStr">
        <is>
          <t>S 1787-2022</t>
        </is>
      </c>
      <c r="B9670" t="inlineStr">
        <is>
          <t>samrådsanmälan</t>
        </is>
      </c>
      <c r="C9670" t="inlineStr">
        <is>
          <t>Annan skogsbruksåtgärd</t>
        </is>
      </c>
      <c r="D9670" s="1" t="n">
        <v>44637</v>
      </c>
      <c r="E9670" s="1" t="n">
        <v>46319</v>
      </c>
      <c r="F9670" t="inlineStr">
        <is>
          <t>DALARNAS LÄN</t>
        </is>
      </c>
      <c r="G9670" t="inlineStr">
        <is>
          <t>ÄLVDALEN</t>
        </is>
      </c>
      <c r="H9670" t="inlineStr">
        <is>
          <t>Övriga statliga verk och myndigheter</t>
        </is>
      </c>
      <c r="I9670" t="n">
        <v>85.8</v>
      </c>
      <c r="J9670" t="n">
        <v>0</v>
      </c>
      <c r="K9670" t="n">
        <v>0</v>
      </c>
      <c r="L9670" t="n">
        <v>0</v>
      </c>
      <c r="M9670" t="n">
        <v>0</v>
      </c>
      <c r="N9670" t="n">
        <v>0</v>
      </c>
      <c r="O9670" t="n">
        <v>0</v>
      </c>
      <c r="P9670" t="n">
        <v>0</v>
      </c>
      <c r="Q9670" t="n">
        <v>0</v>
      </c>
      <c r="R9670" t="n">
        <v>0</v>
      </c>
      <c r="S9670" t="n">
        <v>0</v>
      </c>
      <c r="T9670" t="n">
        <v>0</v>
      </c>
      <c r="U9670" t="n">
        <v>0</v>
      </c>
      <c r="V9670" s="2" t="inlineStr"/>
    </row>
    <row r="9671" ht="15" customHeight="1">
      <c r="A9671" t="inlineStr">
        <is>
          <t>S 843-2024</t>
        </is>
      </c>
      <c r="B9671" t="inlineStr">
        <is>
          <t>samrådsanmälan</t>
        </is>
      </c>
      <c r="C9671" t="inlineStr">
        <is>
          <t>Skogsgödsling</t>
        </is>
      </c>
      <c r="D9671" s="1" t="n">
        <v>45373</v>
      </c>
      <c r="E9671" s="1" t="n">
        <v>46319</v>
      </c>
      <c r="F9671" t="inlineStr">
        <is>
          <t>DALARNAS LÄN</t>
        </is>
      </c>
      <c r="G9671" t="inlineStr">
        <is>
          <t>AVESTA</t>
        </is>
      </c>
      <c r="H9671" t="inlineStr">
        <is>
          <t>Bergvik skog väst AB</t>
        </is>
      </c>
      <c r="I9671" t="n">
        <v>8.9</v>
      </c>
      <c r="J9671" t="n">
        <v>0</v>
      </c>
      <c r="K9671" t="n">
        <v>0</v>
      </c>
      <c r="L9671" t="n">
        <v>0</v>
      </c>
      <c r="M9671" t="n">
        <v>0</v>
      </c>
      <c r="N9671" t="n">
        <v>0</v>
      </c>
      <c r="O9671" t="n">
        <v>0</v>
      </c>
      <c r="P9671" t="n">
        <v>0</v>
      </c>
      <c r="Q9671" t="n">
        <v>0</v>
      </c>
      <c r="R9671" t="n">
        <v>0</v>
      </c>
      <c r="S9671" t="n">
        <v>0</v>
      </c>
      <c r="T9671" t="n">
        <v>0</v>
      </c>
      <c r="U9671" t="n">
        <v>0</v>
      </c>
      <c r="V9671" s="2" t="inlineStr"/>
    </row>
    <row r="9672" ht="15" customHeight="1">
      <c r="A9672" t="inlineStr">
        <is>
          <t>S 2585-2020</t>
        </is>
      </c>
      <c r="B9672" t="inlineStr">
        <is>
          <t>samrådsanmälan</t>
        </is>
      </c>
      <c r="C9672" t="n">
        <v/>
      </c>
      <c r="D9672" s="1" t="n">
        <v>44155</v>
      </c>
      <c r="E9672" s="1" t="n">
        <v>46319</v>
      </c>
      <c r="F9672" t="inlineStr">
        <is>
          <t>DALARNAS LÄN</t>
        </is>
      </c>
      <c r="G9672" t="inlineStr">
        <is>
          <t>SÄTER</t>
        </is>
      </c>
      <c r="H9672" t="inlineStr">
        <is>
          <t>Bergvik skog väst AB</t>
        </is>
      </c>
      <c r="I9672" t="n">
        <v>3.2</v>
      </c>
      <c r="J9672" t="n">
        <v>0</v>
      </c>
      <c r="K9672" t="n">
        <v>0</v>
      </c>
      <c r="L9672" t="n">
        <v>0</v>
      </c>
      <c r="M9672" t="n">
        <v>0</v>
      </c>
      <c r="N9672" t="n">
        <v>0</v>
      </c>
      <c r="O9672" t="n">
        <v>0</v>
      </c>
      <c r="P9672" t="n">
        <v>0</v>
      </c>
      <c r="Q9672" t="n">
        <v>0</v>
      </c>
      <c r="R9672" t="n">
        <v>0</v>
      </c>
      <c r="S9672" t="n">
        <v>0</v>
      </c>
      <c r="T9672" t="n">
        <v>0</v>
      </c>
      <c r="U9672" t="n">
        <v>0</v>
      </c>
      <c r="V9672" s="2" t="inlineStr"/>
    </row>
    <row r="9673" ht="15" customHeight="1">
      <c r="A9673" t="inlineStr">
        <is>
          <t>S 1868-2020</t>
        </is>
      </c>
      <c r="B9673" t="inlineStr">
        <is>
          <t>samrådsanmälan</t>
        </is>
      </c>
      <c r="C9673" t="inlineStr">
        <is>
          <t>Askåterföring</t>
        </is>
      </c>
      <c r="D9673" s="1" t="n">
        <v>44071</v>
      </c>
      <c r="E9673" s="1" t="n">
        <v>46319</v>
      </c>
      <c r="F9673" t="inlineStr">
        <is>
          <t>DALARNAS LÄN</t>
        </is>
      </c>
      <c r="G9673" t="inlineStr">
        <is>
          <t>SÄTER</t>
        </is>
      </c>
      <c r="I9673" t="n">
        <v>29.2</v>
      </c>
      <c r="J9673" t="n">
        <v>0</v>
      </c>
      <c r="K9673" t="n">
        <v>0</v>
      </c>
      <c r="L9673" t="n">
        <v>0</v>
      </c>
      <c r="M9673" t="n">
        <v>0</v>
      </c>
      <c r="N9673" t="n">
        <v>0</v>
      </c>
      <c r="O9673" t="n">
        <v>0</v>
      </c>
      <c r="P9673" t="n">
        <v>0</v>
      </c>
      <c r="Q9673" t="n">
        <v>0</v>
      </c>
      <c r="R9673" t="n">
        <v>0</v>
      </c>
      <c r="S9673" t="n">
        <v>0</v>
      </c>
      <c r="T9673" t="n">
        <v>0</v>
      </c>
      <c r="U9673" t="n">
        <v>0</v>
      </c>
      <c r="V9673" s="2" t="inlineStr"/>
    </row>
    <row r="9674" ht="15" customHeight="1">
      <c r="A9674" t="inlineStr">
        <is>
          <t>S 889-2021</t>
        </is>
      </c>
      <c r="B9674" t="inlineStr">
        <is>
          <t>samrådsanmälan</t>
        </is>
      </c>
      <c r="C9674" t="inlineStr">
        <is>
          <t>Askåterföring</t>
        </is>
      </c>
      <c r="D9674" s="1" t="n">
        <v>44301</v>
      </c>
      <c r="E9674" s="1" t="n">
        <v>46319</v>
      </c>
      <c r="F9674" t="inlineStr">
        <is>
          <t>DALARNAS LÄN</t>
        </is>
      </c>
      <c r="G9674" t="inlineStr">
        <is>
          <t>FALUN</t>
        </is>
      </c>
      <c r="I9674" t="n">
        <v>84</v>
      </c>
      <c r="J9674" t="n">
        <v>0</v>
      </c>
      <c r="K9674" t="n">
        <v>0</v>
      </c>
      <c r="L9674" t="n">
        <v>0</v>
      </c>
      <c r="M9674" t="n">
        <v>0</v>
      </c>
      <c r="N9674" t="n">
        <v>0</v>
      </c>
      <c r="O9674" t="n">
        <v>0</v>
      </c>
      <c r="P9674" t="n">
        <v>0</v>
      </c>
      <c r="Q9674" t="n">
        <v>0</v>
      </c>
      <c r="R9674" t="n">
        <v>0</v>
      </c>
      <c r="S9674" t="n">
        <v>0</v>
      </c>
      <c r="T9674" t="n">
        <v>0</v>
      </c>
      <c r="U9674" t="n">
        <v>0</v>
      </c>
      <c r="V9674" s="2" t="inlineStr"/>
    </row>
    <row r="9675" ht="15" customHeight="1">
      <c r="A9675" t="inlineStr">
        <is>
          <t>S 1048-2023</t>
        </is>
      </c>
      <c r="B9675" t="inlineStr">
        <is>
          <t>samrådsanmälan</t>
        </is>
      </c>
      <c r="C9675" t="inlineStr">
        <is>
          <t>Askåterföring</t>
        </is>
      </c>
      <c r="D9675" s="1" t="n">
        <v>45009</v>
      </c>
      <c r="E9675" s="1" t="n">
        <v>46319</v>
      </c>
      <c r="F9675" t="inlineStr">
        <is>
          <t>DALARNAS LÄN</t>
        </is>
      </c>
      <c r="G9675" t="inlineStr">
        <is>
          <t>BORLÄNGE</t>
        </is>
      </c>
      <c r="I9675" t="n">
        <v>2</v>
      </c>
      <c r="J9675" t="n">
        <v>0</v>
      </c>
      <c r="K9675" t="n">
        <v>0</v>
      </c>
      <c r="L9675" t="n">
        <v>0</v>
      </c>
      <c r="M9675" t="n">
        <v>0</v>
      </c>
      <c r="N9675" t="n">
        <v>0</v>
      </c>
      <c r="O9675" t="n">
        <v>0</v>
      </c>
      <c r="P9675" t="n">
        <v>0</v>
      </c>
      <c r="Q9675" t="n">
        <v>0</v>
      </c>
      <c r="R9675" t="n">
        <v>0</v>
      </c>
      <c r="S9675" t="n">
        <v>0</v>
      </c>
      <c r="T9675" t="n">
        <v>0</v>
      </c>
      <c r="U9675" t="n">
        <v>0</v>
      </c>
      <c r="V9675" s="2" t="inlineStr"/>
    </row>
    <row r="9676" ht="15" customHeight="1">
      <c r="A9676" t="inlineStr">
        <is>
          <t>S 1050-2023</t>
        </is>
      </c>
      <c r="B9676" t="inlineStr">
        <is>
          <t>samrådsanmälan</t>
        </is>
      </c>
      <c r="C9676" t="inlineStr">
        <is>
          <t>Askåterföring</t>
        </is>
      </c>
      <c r="D9676" s="1" t="n">
        <v>45009</v>
      </c>
      <c r="E9676" s="1" t="n">
        <v>46319</v>
      </c>
      <c r="F9676" t="inlineStr">
        <is>
          <t>DALARNAS LÄN</t>
        </is>
      </c>
      <c r="G9676" t="inlineStr">
        <is>
          <t>BORLÄNGE</t>
        </is>
      </c>
      <c r="I9676" t="n">
        <v>2.8</v>
      </c>
      <c r="J9676" t="n">
        <v>0</v>
      </c>
      <c r="K9676" t="n">
        <v>0</v>
      </c>
      <c r="L9676" t="n">
        <v>0</v>
      </c>
      <c r="M9676" t="n">
        <v>0</v>
      </c>
      <c r="N9676" t="n">
        <v>0</v>
      </c>
      <c r="O9676" t="n">
        <v>0</v>
      </c>
      <c r="P9676" t="n">
        <v>0</v>
      </c>
      <c r="Q9676" t="n">
        <v>0</v>
      </c>
      <c r="R9676" t="n">
        <v>0</v>
      </c>
      <c r="S9676" t="n">
        <v>0</v>
      </c>
      <c r="T9676" t="n">
        <v>0</v>
      </c>
      <c r="U9676" t="n">
        <v>0</v>
      </c>
      <c r="V9676" s="2" t="inlineStr"/>
    </row>
    <row r="9677" ht="15" customHeight="1">
      <c r="A9677" t="inlineStr">
        <is>
          <t>S 1051-2023</t>
        </is>
      </c>
      <c r="B9677" t="inlineStr">
        <is>
          <t>samrådsanmälan</t>
        </is>
      </c>
      <c r="C9677" t="inlineStr">
        <is>
          <t>Askåterföring</t>
        </is>
      </c>
      <c r="D9677" s="1" t="n">
        <v>45009</v>
      </c>
      <c r="E9677" s="1" t="n">
        <v>46319</v>
      </c>
      <c r="F9677" t="inlineStr">
        <is>
          <t>DALARNAS LÄN</t>
        </is>
      </c>
      <c r="G9677" t="inlineStr">
        <is>
          <t>BORLÄNGE</t>
        </is>
      </c>
      <c r="I9677" t="n">
        <v>3.6</v>
      </c>
      <c r="J9677" t="n">
        <v>0</v>
      </c>
      <c r="K9677" t="n">
        <v>0</v>
      </c>
      <c r="L9677" t="n">
        <v>0</v>
      </c>
      <c r="M9677" t="n">
        <v>0</v>
      </c>
      <c r="N9677" t="n">
        <v>0</v>
      </c>
      <c r="O9677" t="n">
        <v>0</v>
      </c>
      <c r="P9677" t="n">
        <v>0</v>
      </c>
      <c r="Q9677" t="n">
        <v>0</v>
      </c>
      <c r="R9677" t="n">
        <v>0</v>
      </c>
      <c r="S9677" t="n">
        <v>0</v>
      </c>
      <c r="T9677" t="n">
        <v>0</v>
      </c>
      <c r="U9677" t="n">
        <v>0</v>
      </c>
      <c r="V9677" s="2" t="inlineStr"/>
    </row>
    <row r="9678" ht="15" customHeight="1">
      <c r="A9678" t="inlineStr">
        <is>
          <t>S 1052-2023</t>
        </is>
      </c>
      <c r="B9678" t="inlineStr">
        <is>
          <t>samrådsanmälan</t>
        </is>
      </c>
      <c r="C9678" t="inlineStr">
        <is>
          <t>Askåterföring</t>
        </is>
      </c>
      <c r="D9678" s="1" t="n">
        <v>45009</v>
      </c>
      <c r="E9678" s="1" t="n">
        <v>46319</v>
      </c>
      <c r="F9678" t="inlineStr">
        <is>
          <t>DALARNAS LÄN</t>
        </is>
      </c>
      <c r="G9678" t="inlineStr">
        <is>
          <t>BORLÄNGE</t>
        </is>
      </c>
      <c r="I9678" t="n">
        <v>25.6</v>
      </c>
      <c r="J9678" t="n">
        <v>0</v>
      </c>
      <c r="K9678" t="n">
        <v>0</v>
      </c>
      <c r="L9678" t="n">
        <v>0</v>
      </c>
      <c r="M9678" t="n">
        <v>0</v>
      </c>
      <c r="N9678" t="n">
        <v>0</v>
      </c>
      <c r="O9678" t="n">
        <v>0</v>
      </c>
      <c r="P9678" t="n">
        <v>0</v>
      </c>
      <c r="Q9678" t="n">
        <v>0</v>
      </c>
      <c r="R9678" t="n">
        <v>0</v>
      </c>
      <c r="S9678" t="n">
        <v>0</v>
      </c>
      <c r="T9678" t="n">
        <v>0</v>
      </c>
      <c r="U9678" t="n">
        <v>0</v>
      </c>
      <c r="V9678" s="2" t="inlineStr"/>
    </row>
    <row r="9679" ht="15" customHeight="1">
      <c r="A9679" t="inlineStr">
        <is>
          <t>S 983-2022</t>
        </is>
      </c>
      <c r="B9679" t="inlineStr">
        <is>
          <t>samrådsanmälan</t>
        </is>
      </c>
      <c r="C9679" t="inlineStr">
        <is>
          <t>Skogsbilväg</t>
        </is>
      </c>
      <c r="D9679" s="1" t="n">
        <v>44609</v>
      </c>
      <c r="E9679" s="1" t="n">
        <v>46319</v>
      </c>
      <c r="F9679" t="inlineStr">
        <is>
          <t>DALARNAS LÄN</t>
        </is>
      </c>
      <c r="G9679" t="inlineStr">
        <is>
          <t>SMEDJEBACKEN</t>
        </is>
      </c>
      <c r="H9679" t="inlineStr">
        <is>
          <t>Bergvik skog väst AB</t>
        </is>
      </c>
      <c r="I9679" t="n">
        <v>1.9</v>
      </c>
      <c r="J9679" t="n">
        <v>0</v>
      </c>
      <c r="K9679" t="n">
        <v>0</v>
      </c>
      <c r="L9679" t="n">
        <v>0</v>
      </c>
      <c r="M9679" t="n">
        <v>0</v>
      </c>
      <c r="N9679" t="n">
        <v>0</v>
      </c>
      <c r="O9679" t="n">
        <v>0</v>
      </c>
      <c r="P9679" t="n">
        <v>0</v>
      </c>
      <c r="Q9679" t="n">
        <v>0</v>
      </c>
      <c r="R9679" t="n">
        <v>0</v>
      </c>
      <c r="S9679" t="n">
        <v>0</v>
      </c>
      <c r="T9679" t="n">
        <v>0</v>
      </c>
      <c r="U9679" t="n">
        <v>0</v>
      </c>
      <c r="V9679" s="2" t="inlineStr"/>
    </row>
    <row r="9680" ht="15" customHeight="1">
      <c r="A9680" t="inlineStr">
        <is>
          <t>S 282-2022</t>
        </is>
      </c>
      <c r="B9680" t="inlineStr">
        <is>
          <t>samrådsanmälan</t>
        </is>
      </c>
      <c r="C9680" t="inlineStr">
        <is>
          <t>Åtgärd i nyckelbiotop</t>
        </is>
      </c>
      <c r="D9680" s="1" t="n">
        <v>44578</v>
      </c>
      <c r="E9680" s="1" t="n">
        <v>46319</v>
      </c>
      <c r="F9680" t="inlineStr">
        <is>
          <t>DALARNAS LÄN</t>
        </is>
      </c>
      <c r="G9680" t="inlineStr">
        <is>
          <t>LEKSAND</t>
        </is>
      </c>
      <c r="I9680" t="n">
        <v>1.3</v>
      </c>
      <c r="J9680" t="n">
        <v>0</v>
      </c>
      <c r="K9680" t="n">
        <v>0</v>
      </c>
      <c r="L9680" t="n">
        <v>0</v>
      </c>
      <c r="M9680" t="n">
        <v>0</v>
      </c>
      <c r="N9680" t="n">
        <v>0</v>
      </c>
      <c r="O9680" t="n">
        <v>0</v>
      </c>
      <c r="P9680" t="n">
        <v>0</v>
      </c>
      <c r="Q9680" t="n">
        <v>0</v>
      </c>
      <c r="R9680" t="n">
        <v>0</v>
      </c>
      <c r="S9680" t="n">
        <v>0</v>
      </c>
      <c r="T9680" t="n">
        <v>0</v>
      </c>
      <c r="U9680" t="n">
        <v>0</v>
      </c>
      <c r="V9680" s="2" t="inlineStr"/>
    </row>
    <row r="9681" ht="15" customHeight="1">
      <c r="A9681" t="inlineStr">
        <is>
          <t>S 2469-2022</t>
        </is>
      </c>
      <c r="B9681" t="inlineStr">
        <is>
          <t>samrådsanmälan</t>
        </is>
      </c>
      <c r="C9681" t="inlineStr">
        <is>
          <t>Skogsgödsling</t>
        </is>
      </c>
      <c r="D9681" s="1" t="n">
        <v>44692</v>
      </c>
      <c r="E9681" s="1" t="n">
        <v>46319</v>
      </c>
      <c r="F9681" t="inlineStr">
        <is>
          <t>DALARNAS LÄN</t>
        </is>
      </c>
      <c r="G9681" t="inlineStr">
        <is>
          <t>ÄLVDALEN</t>
        </is>
      </c>
      <c r="H9681" t="inlineStr">
        <is>
          <t>Allmännings- och besparingsskogar</t>
        </is>
      </c>
      <c r="I9681" t="n">
        <v>10.7</v>
      </c>
      <c r="J9681" t="n">
        <v>0</v>
      </c>
      <c r="K9681" t="n">
        <v>0</v>
      </c>
      <c r="L9681" t="n">
        <v>0</v>
      </c>
      <c r="M9681" t="n">
        <v>0</v>
      </c>
      <c r="N9681" t="n">
        <v>0</v>
      </c>
      <c r="O9681" t="n">
        <v>0</v>
      </c>
      <c r="P9681" t="n">
        <v>0</v>
      </c>
      <c r="Q9681" t="n">
        <v>0</v>
      </c>
      <c r="R9681" t="n">
        <v>0</v>
      </c>
      <c r="S9681" t="n">
        <v>0</v>
      </c>
      <c r="T9681" t="n">
        <v>0</v>
      </c>
      <c r="U9681" t="n">
        <v>0</v>
      </c>
      <c r="V9681" s="2" t="inlineStr"/>
    </row>
    <row r="9682" ht="15" customHeight="1">
      <c r="A9682" t="inlineStr">
        <is>
          <t>S 396-2022</t>
        </is>
      </c>
      <c r="B9682" t="inlineStr">
        <is>
          <t>samrådsanmälan</t>
        </is>
      </c>
      <c r="C9682" t="inlineStr">
        <is>
          <t>Skogsgödsling</t>
        </is>
      </c>
      <c r="D9682" s="1" t="n">
        <v>44585</v>
      </c>
      <c r="E9682" s="1" t="n">
        <v>46319</v>
      </c>
      <c r="F9682" t="inlineStr">
        <is>
          <t>DALARNAS LÄN</t>
        </is>
      </c>
      <c r="G9682" t="inlineStr">
        <is>
          <t>AVESTA</t>
        </is>
      </c>
      <c r="H9682" t="inlineStr">
        <is>
          <t>Bergvik skog väst AB</t>
        </is>
      </c>
      <c r="I9682" t="n">
        <v>9</v>
      </c>
      <c r="J9682" t="n">
        <v>0</v>
      </c>
      <c r="K9682" t="n">
        <v>0</v>
      </c>
      <c r="L9682" t="n">
        <v>0</v>
      </c>
      <c r="M9682" t="n">
        <v>0</v>
      </c>
      <c r="N9682" t="n">
        <v>0</v>
      </c>
      <c r="O9682" t="n">
        <v>0</v>
      </c>
      <c r="P9682" t="n">
        <v>0</v>
      </c>
      <c r="Q9682" t="n">
        <v>0</v>
      </c>
      <c r="R9682" t="n">
        <v>0</v>
      </c>
      <c r="S9682" t="n">
        <v>0</v>
      </c>
      <c r="T9682" t="n">
        <v>0</v>
      </c>
      <c r="U9682" t="n">
        <v>0</v>
      </c>
      <c r="V9682" s="2" t="inlineStr"/>
    </row>
    <row r="9683" ht="15" customHeight="1">
      <c r="A9683" t="inlineStr">
        <is>
          <t>S 2070-2022</t>
        </is>
      </c>
      <c r="B9683" t="inlineStr">
        <is>
          <t>samrådsanmälan</t>
        </is>
      </c>
      <c r="C9683" t="inlineStr">
        <is>
          <t>Askåterföring</t>
        </is>
      </c>
      <c r="D9683" s="1" t="n">
        <v>44672</v>
      </c>
      <c r="E9683" s="1" t="n">
        <v>46319</v>
      </c>
      <c r="F9683" t="inlineStr">
        <is>
          <t>DALARNAS LÄN</t>
        </is>
      </c>
      <c r="G9683" t="inlineStr">
        <is>
          <t>FALUN</t>
        </is>
      </c>
      <c r="I9683" t="n">
        <v>18.4</v>
      </c>
      <c r="J9683" t="n">
        <v>0</v>
      </c>
      <c r="K9683" t="n">
        <v>0</v>
      </c>
      <c r="L9683" t="n">
        <v>0</v>
      </c>
      <c r="M9683" t="n">
        <v>0</v>
      </c>
      <c r="N9683" t="n">
        <v>0</v>
      </c>
      <c r="O9683" t="n">
        <v>0</v>
      </c>
      <c r="P9683" t="n">
        <v>0</v>
      </c>
      <c r="Q9683" t="n">
        <v>0</v>
      </c>
      <c r="R9683" t="n">
        <v>0</v>
      </c>
      <c r="S9683" t="n">
        <v>0</v>
      </c>
      <c r="T9683" t="n">
        <v>0</v>
      </c>
      <c r="U9683" t="n">
        <v>0</v>
      </c>
      <c r="V9683" s="2" t="inlineStr"/>
    </row>
    <row r="9684" ht="15" customHeight="1">
      <c r="A9684" t="inlineStr">
        <is>
          <t>S 2475-2022</t>
        </is>
      </c>
      <c r="B9684" t="inlineStr">
        <is>
          <t>samrådsanmälan</t>
        </is>
      </c>
      <c r="C9684" t="inlineStr">
        <is>
          <t>Skogsgödsling</t>
        </is>
      </c>
      <c r="D9684" s="1" t="n">
        <v>44692</v>
      </c>
      <c r="E9684" s="1" t="n">
        <v>46319</v>
      </c>
      <c r="F9684" t="inlineStr">
        <is>
          <t>DALARNAS LÄN</t>
        </is>
      </c>
      <c r="G9684" t="inlineStr">
        <is>
          <t>ÄLVDALEN</t>
        </is>
      </c>
      <c r="H9684" t="inlineStr">
        <is>
          <t>Allmännings- och besparingsskogar</t>
        </is>
      </c>
      <c r="I9684" t="n">
        <v>79.8</v>
      </c>
      <c r="J9684" t="n">
        <v>0</v>
      </c>
      <c r="K9684" t="n">
        <v>0</v>
      </c>
      <c r="L9684" t="n">
        <v>0</v>
      </c>
      <c r="M9684" t="n">
        <v>0</v>
      </c>
      <c r="N9684" t="n">
        <v>0</v>
      </c>
      <c r="O9684" t="n">
        <v>0</v>
      </c>
      <c r="P9684" t="n">
        <v>0</v>
      </c>
      <c r="Q9684" t="n">
        <v>0</v>
      </c>
      <c r="R9684" t="n">
        <v>0</v>
      </c>
      <c r="S9684" t="n">
        <v>0</v>
      </c>
      <c r="T9684" t="n">
        <v>0</v>
      </c>
      <c r="U9684" t="n">
        <v>0</v>
      </c>
      <c r="V9684" s="2" t="inlineStr"/>
    </row>
    <row r="9685" ht="15" customHeight="1">
      <c r="A9685" t="inlineStr">
        <is>
          <t>S 3034-2022</t>
        </is>
      </c>
      <c r="B9685" t="inlineStr">
        <is>
          <t>samrådsanmälan</t>
        </is>
      </c>
      <c r="C9685" t="inlineStr">
        <is>
          <t>Skogsgödsling</t>
        </is>
      </c>
      <c r="D9685" s="1" t="n">
        <v>44715</v>
      </c>
      <c r="E9685" s="1" t="n">
        <v>46319</v>
      </c>
      <c r="F9685" t="inlineStr">
        <is>
          <t>DALARNAS LÄN</t>
        </is>
      </c>
      <c r="G9685" t="inlineStr">
        <is>
          <t>ÄLVDALEN</t>
        </is>
      </c>
      <c r="H9685" t="inlineStr">
        <is>
          <t>Allmännings- och besparingsskogar</t>
        </is>
      </c>
      <c r="I9685" t="n">
        <v>25</v>
      </c>
      <c r="J9685" t="n">
        <v>0</v>
      </c>
      <c r="K9685" t="n">
        <v>0</v>
      </c>
      <c r="L9685" t="n">
        <v>0</v>
      </c>
      <c r="M9685" t="n">
        <v>0</v>
      </c>
      <c r="N9685" t="n">
        <v>0</v>
      </c>
      <c r="O9685" t="n">
        <v>0</v>
      </c>
      <c r="P9685" t="n">
        <v>0</v>
      </c>
      <c r="Q9685" t="n">
        <v>0</v>
      </c>
      <c r="R9685" t="n">
        <v>0</v>
      </c>
      <c r="S9685" t="n">
        <v>0</v>
      </c>
      <c r="T9685" t="n">
        <v>0</v>
      </c>
      <c r="U9685" t="n">
        <v>0</v>
      </c>
      <c r="V9685" s="2" t="inlineStr"/>
    </row>
    <row r="9686" ht="15" customHeight="1">
      <c r="A9686" t="inlineStr">
        <is>
          <t>S 2585-2022</t>
        </is>
      </c>
      <c r="B9686" t="inlineStr">
        <is>
          <t>samrådsanmälan</t>
        </is>
      </c>
      <c r="C9686" t="inlineStr">
        <is>
          <t>Skogsgödsling</t>
        </is>
      </c>
      <c r="D9686" s="1" t="n">
        <v>44698</v>
      </c>
      <c r="E9686" s="1" t="n">
        <v>46319</v>
      </c>
      <c r="F9686" t="inlineStr">
        <is>
          <t>DALARNAS LÄN</t>
        </is>
      </c>
      <c r="G9686" t="inlineStr">
        <is>
          <t>ÄLVDALEN</t>
        </is>
      </c>
      <c r="H9686" t="inlineStr">
        <is>
          <t>Allmännings- och besparingsskogar</t>
        </is>
      </c>
      <c r="I9686" t="n">
        <v>43.1</v>
      </c>
      <c r="J9686" t="n">
        <v>0</v>
      </c>
      <c r="K9686" t="n">
        <v>0</v>
      </c>
      <c r="L9686" t="n">
        <v>0</v>
      </c>
      <c r="M9686" t="n">
        <v>0</v>
      </c>
      <c r="N9686" t="n">
        <v>0</v>
      </c>
      <c r="O9686" t="n">
        <v>0</v>
      </c>
      <c r="P9686" t="n">
        <v>0</v>
      </c>
      <c r="Q9686" t="n">
        <v>0</v>
      </c>
      <c r="R9686" t="n">
        <v>0</v>
      </c>
      <c r="S9686" t="n">
        <v>0</v>
      </c>
      <c r="T9686" t="n">
        <v>0</v>
      </c>
      <c r="U9686" t="n">
        <v>0</v>
      </c>
      <c r="V9686" s="2" t="inlineStr"/>
    </row>
    <row r="9687" ht="15" customHeight="1">
      <c r="A9687" t="inlineStr">
        <is>
          <t>S 3180-2022</t>
        </is>
      </c>
      <c r="B9687" t="inlineStr">
        <is>
          <t>samrådsanmälan</t>
        </is>
      </c>
      <c r="C9687" t="inlineStr">
        <is>
          <t>Askåterföring</t>
        </is>
      </c>
      <c r="D9687" s="1" t="n">
        <v>44722</v>
      </c>
      <c r="E9687" s="1" t="n">
        <v>46319</v>
      </c>
      <c r="F9687" t="inlineStr">
        <is>
          <t>DALARNAS LÄN</t>
        </is>
      </c>
      <c r="G9687" t="inlineStr">
        <is>
          <t>MALUNG-SÄLEN</t>
        </is>
      </c>
      <c r="H9687" t="inlineStr">
        <is>
          <t>Allmännings- och besparingsskogar</t>
        </is>
      </c>
      <c r="I9687" t="n">
        <v>63.9</v>
      </c>
      <c r="J9687" t="n">
        <v>0</v>
      </c>
      <c r="K9687" t="n">
        <v>0</v>
      </c>
      <c r="L9687" t="n">
        <v>0</v>
      </c>
      <c r="M9687" t="n">
        <v>0</v>
      </c>
      <c r="N9687" t="n">
        <v>0</v>
      </c>
      <c r="O9687" t="n">
        <v>0</v>
      </c>
      <c r="P9687" t="n">
        <v>0</v>
      </c>
      <c r="Q9687" t="n">
        <v>0</v>
      </c>
      <c r="R9687" t="n">
        <v>0</v>
      </c>
      <c r="S9687" t="n">
        <v>0</v>
      </c>
      <c r="T9687" t="n">
        <v>0</v>
      </c>
      <c r="U9687" t="n">
        <v>0</v>
      </c>
      <c r="V9687" s="2" t="inlineStr"/>
    </row>
    <row r="9688" ht="15" customHeight="1">
      <c r="A9688" t="inlineStr">
        <is>
          <t>S 10383-2021</t>
        </is>
      </c>
      <c r="B9688" t="inlineStr">
        <is>
          <t>samrådsanmälan</t>
        </is>
      </c>
      <c r="C9688" t="inlineStr">
        <is>
          <t>Annan skogsbruksåtgärd</t>
        </is>
      </c>
      <c r="D9688" s="1" t="n">
        <v>44550</v>
      </c>
      <c r="E9688" s="1" t="n">
        <v>46319</v>
      </c>
      <c r="F9688" t="inlineStr">
        <is>
          <t>DALARNAS LÄN</t>
        </is>
      </c>
      <c r="G9688" t="inlineStr">
        <is>
          <t>MORA</t>
        </is>
      </c>
      <c r="H9688" t="inlineStr">
        <is>
          <t>Bergvik skog öst AB</t>
        </is>
      </c>
      <c r="I9688" t="n">
        <v>5.3</v>
      </c>
      <c r="J9688" t="n">
        <v>0</v>
      </c>
      <c r="K9688" t="n">
        <v>0</v>
      </c>
      <c r="L9688" t="n">
        <v>0</v>
      </c>
      <c r="M9688" t="n">
        <v>0</v>
      </c>
      <c r="N9688" t="n">
        <v>0</v>
      </c>
      <c r="O9688" t="n">
        <v>0</v>
      </c>
      <c r="P9688" t="n">
        <v>0</v>
      </c>
      <c r="Q9688" t="n">
        <v>0</v>
      </c>
      <c r="R9688" t="n">
        <v>0</v>
      </c>
      <c r="S9688" t="n">
        <v>0</v>
      </c>
      <c r="T9688" t="n">
        <v>0</v>
      </c>
      <c r="U9688" t="n">
        <v>0</v>
      </c>
      <c r="V9688" s="2" t="inlineStr"/>
    </row>
    <row r="9689" ht="15" customHeight="1">
      <c r="A9689" t="inlineStr">
        <is>
          <t>S 1499-2022</t>
        </is>
      </c>
      <c r="B9689" t="inlineStr">
        <is>
          <t>samrådsanmälan</t>
        </is>
      </c>
      <c r="C9689" t="inlineStr">
        <is>
          <t>Skogsgödsling</t>
        </is>
      </c>
      <c r="D9689" s="1" t="n">
        <v>44637</v>
      </c>
      <c r="E9689" s="1" t="n">
        <v>46319</v>
      </c>
      <c r="F9689" t="inlineStr">
        <is>
          <t>DALARNAS LÄN</t>
        </is>
      </c>
      <c r="G9689" t="inlineStr">
        <is>
          <t>ORSA</t>
        </is>
      </c>
      <c r="H9689" t="inlineStr">
        <is>
          <t>Bergvik skog öst AB</t>
        </is>
      </c>
      <c r="I9689" t="n">
        <v>177.2</v>
      </c>
      <c r="J9689" t="n">
        <v>0</v>
      </c>
      <c r="K9689" t="n">
        <v>0</v>
      </c>
      <c r="L9689" t="n">
        <v>0</v>
      </c>
      <c r="M9689" t="n">
        <v>0</v>
      </c>
      <c r="N9689" t="n">
        <v>0</v>
      </c>
      <c r="O9689" t="n">
        <v>0</v>
      </c>
      <c r="P9689" t="n">
        <v>0</v>
      </c>
      <c r="Q9689" t="n">
        <v>0</v>
      </c>
      <c r="R9689" t="n">
        <v>0</v>
      </c>
      <c r="S9689" t="n">
        <v>0</v>
      </c>
      <c r="T9689" t="n">
        <v>0</v>
      </c>
      <c r="U9689" t="n">
        <v>0</v>
      </c>
      <c r="V9689" s="2" t="inlineStr"/>
    </row>
    <row r="9690" ht="15" customHeight="1">
      <c r="A9690" t="inlineStr">
        <is>
          <t>S 2990-2022</t>
        </is>
      </c>
      <c r="B9690" t="inlineStr">
        <is>
          <t>samrådsanmälan</t>
        </is>
      </c>
      <c r="C9690" t="inlineStr">
        <is>
          <t>Skogsgödsling</t>
        </is>
      </c>
      <c r="D9690" s="1" t="n">
        <v>44713</v>
      </c>
      <c r="E9690" s="1" t="n">
        <v>46319</v>
      </c>
      <c r="F9690" t="inlineStr">
        <is>
          <t>DALARNAS LÄN</t>
        </is>
      </c>
      <c r="G9690" t="inlineStr">
        <is>
          <t>FALUN</t>
        </is>
      </c>
      <c r="H9690" t="inlineStr">
        <is>
          <t>Bergvik skog väst AB</t>
        </is>
      </c>
      <c r="I9690" t="n">
        <v>317.3</v>
      </c>
      <c r="J9690" t="n">
        <v>0</v>
      </c>
      <c r="K9690" t="n">
        <v>0</v>
      </c>
      <c r="L9690" t="n">
        <v>0</v>
      </c>
      <c r="M9690" t="n">
        <v>0</v>
      </c>
      <c r="N9690" t="n">
        <v>0</v>
      </c>
      <c r="O9690" t="n">
        <v>0</v>
      </c>
      <c r="P9690" t="n">
        <v>0</v>
      </c>
      <c r="Q9690" t="n">
        <v>0</v>
      </c>
      <c r="R9690" t="n">
        <v>0</v>
      </c>
      <c r="S9690" t="n">
        <v>0</v>
      </c>
      <c r="T9690" t="n">
        <v>0</v>
      </c>
      <c r="U9690" t="n">
        <v>0</v>
      </c>
      <c r="V9690" s="2" t="inlineStr"/>
    </row>
    <row r="9691" ht="15" customHeight="1">
      <c r="A9691" t="inlineStr">
        <is>
          <t>S 826-2022</t>
        </is>
      </c>
      <c r="B9691" t="inlineStr">
        <is>
          <t>samrådsanmälan</t>
        </is>
      </c>
      <c r="C9691" t="inlineStr">
        <is>
          <t>Skogsgödsling</t>
        </is>
      </c>
      <c r="D9691" s="1" t="n">
        <v>44602</v>
      </c>
      <c r="E9691" s="1" t="n">
        <v>46319</v>
      </c>
      <c r="F9691" t="inlineStr">
        <is>
          <t>DALARNAS LÄN</t>
        </is>
      </c>
      <c r="G9691" t="inlineStr">
        <is>
          <t>ÄLVDALEN</t>
        </is>
      </c>
      <c r="H9691" t="inlineStr">
        <is>
          <t>Bergvik skog väst AB</t>
        </is>
      </c>
      <c r="I9691" t="n">
        <v>61.8</v>
      </c>
      <c r="J9691" t="n">
        <v>0</v>
      </c>
      <c r="K9691" t="n">
        <v>0</v>
      </c>
      <c r="L9691" t="n">
        <v>0</v>
      </c>
      <c r="M9691" t="n">
        <v>0</v>
      </c>
      <c r="N9691" t="n">
        <v>0</v>
      </c>
      <c r="O9691" t="n">
        <v>0</v>
      </c>
      <c r="P9691" t="n">
        <v>0</v>
      </c>
      <c r="Q9691" t="n">
        <v>0</v>
      </c>
      <c r="R9691" t="n">
        <v>0</v>
      </c>
      <c r="S9691" t="n">
        <v>0</v>
      </c>
      <c r="T9691" t="n">
        <v>0</v>
      </c>
      <c r="U9691" t="n">
        <v>0</v>
      </c>
      <c r="V9691" s="2" t="inlineStr"/>
    </row>
    <row r="9692" ht="15" customHeight="1">
      <c r="A9692" t="inlineStr">
        <is>
          <t>S 405-2022</t>
        </is>
      </c>
      <c r="B9692" t="inlineStr">
        <is>
          <t>samrådsanmälan</t>
        </is>
      </c>
      <c r="C9692" t="inlineStr">
        <is>
          <t>Skogsgödsling</t>
        </is>
      </c>
      <c r="D9692" s="1" t="n">
        <v>44585</v>
      </c>
      <c r="E9692" s="1" t="n">
        <v>46319</v>
      </c>
      <c r="F9692" t="inlineStr">
        <is>
          <t>DALARNAS LÄN</t>
        </is>
      </c>
      <c r="G9692" t="inlineStr">
        <is>
          <t>SÄTER</t>
        </is>
      </c>
      <c r="H9692" t="inlineStr">
        <is>
          <t>Bergvik skog väst AB</t>
        </is>
      </c>
      <c r="I9692" t="n">
        <v>79.09999999999999</v>
      </c>
      <c r="J9692" t="n">
        <v>0</v>
      </c>
      <c r="K9692" t="n">
        <v>0</v>
      </c>
      <c r="L9692" t="n">
        <v>0</v>
      </c>
      <c r="M9692" t="n">
        <v>0</v>
      </c>
      <c r="N9692" t="n">
        <v>0</v>
      </c>
      <c r="O9692" t="n">
        <v>0</v>
      </c>
      <c r="P9692" t="n">
        <v>0</v>
      </c>
      <c r="Q9692" t="n">
        <v>0</v>
      </c>
      <c r="R9692" t="n">
        <v>0</v>
      </c>
      <c r="S9692" t="n">
        <v>0</v>
      </c>
      <c r="T9692" t="n">
        <v>0</v>
      </c>
      <c r="U9692" t="n">
        <v>0</v>
      </c>
      <c r="V9692" s="2" t="inlineStr"/>
    </row>
    <row r="9693" ht="15" customHeight="1">
      <c r="A9693" t="inlineStr">
        <is>
          <t>S 2313-2022</t>
        </is>
      </c>
      <c r="B9693" t="inlineStr">
        <is>
          <t>samrådsanmälan</t>
        </is>
      </c>
      <c r="C9693" t="inlineStr">
        <is>
          <t>Skogsgödsling</t>
        </is>
      </c>
      <c r="D9693" s="1" t="n">
        <v>44684</v>
      </c>
      <c r="E9693" s="1" t="n">
        <v>46319</v>
      </c>
      <c r="F9693" t="inlineStr">
        <is>
          <t>DALARNAS LÄN</t>
        </is>
      </c>
      <c r="G9693" t="inlineStr">
        <is>
          <t>MALUNG-SÄLEN</t>
        </is>
      </c>
      <c r="H9693" t="inlineStr">
        <is>
          <t>Allmännings- och besparingsskogar</t>
        </is>
      </c>
      <c r="I9693" t="n">
        <v>143.9</v>
      </c>
      <c r="J9693" t="n">
        <v>0</v>
      </c>
      <c r="K9693" t="n">
        <v>0</v>
      </c>
      <c r="L9693" t="n">
        <v>0</v>
      </c>
      <c r="M9693" t="n">
        <v>0</v>
      </c>
      <c r="N9693" t="n">
        <v>0</v>
      </c>
      <c r="O9693" t="n">
        <v>0</v>
      </c>
      <c r="P9693" t="n">
        <v>0</v>
      </c>
      <c r="Q9693" t="n">
        <v>0</v>
      </c>
      <c r="R9693" t="n">
        <v>0</v>
      </c>
      <c r="S9693" t="n">
        <v>0</v>
      </c>
      <c r="T9693" t="n">
        <v>0</v>
      </c>
      <c r="U9693" t="n">
        <v>0</v>
      </c>
      <c r="V9693" s="2" t="inlineStr"/>
    </row>
    <row r="9694" ht="15" customHeight="1">
      <c r="A9694" t="inlineStr">
        <is>
          <t>S 10365-2021</t>
        </is>
      </c>
      <c r="B9694" t="inlineStr">
        <is>
          <t>samrådsanmälan</t>
        </is>
      </c>
      <c r="C9694" t="inlineStr">
        <is>
          <t>Skogsgödsling</t>
        </is>
      </c>
      <c r="D9694" s="1" t="n">
        <v>44550</v>
      </c>
      <c r="E9694" s="1" t="n">
        <v>46319</v>
      </c>
      <c r="F9694" t="inlineStr">
        <is>
          <t>DALARNAS LÄN</t>
        </is>
      </c>
      <c r="G9694" t="inlineStr">
        <is>
          <t>HEDEMORA</t>
        </is>
      </c>
      <c r="H9694" t="inlineStr">
        <is>
          <t>Sveaskog</t>
        </is>
      </c>
      <c r="I9694" t="n">
        <v>121</v>
      </c>
      <c r="J9694" t="n">
        <v>0</v>
      </c>
      <c r="K9694" t="n">
        <v>0</v>
      </c>
      <c r="L9694" t="n">
        <v>0</v>
      </c>
      <c r="M9694" t="n">
        <v>0</v>
      </c>
      <c r="N9694" t="n">
        <v>0</v>
      </c>
      <c r="O9694" t="n">
        <v>0</v>
      </c>
      <c r="P9694" t="n">
        <v>0</v>
      </c>
      <c r="Q9694" t="n">
        <v>0</v>
      </c>
      <c r="R9694" t="n">
        <v>0</v>
      </c>
      <c r="S9694" t="n">
        <v>0</v>
      </c>
      <c r="T9694" t="n">
        <v>0</v>
      </c>
      <c r="U9694" t="n">
        <v>0</v>
      </c>
      <c r="V9694" s="2" t="inlineStr"/>
    </row>
    <row r="9695" ht="15" customHeight="1">
      <c r="A9695" t="inlineStr">
        <is>
          <t>S 568-2022</t>
        </is>
      </c>
      <c r="B9695" t="inlineStr">
        <is>
          <t>samrådsanmälan</t>
        </is>
      </c>
      <c r="C9695" t="inlineStr">
        <is>
          <t>Skogsgödsling</t>
        </is>
      </c>
      <c r="D9695" s="1" t="n">
        <v>44589</v>
      </c>
      <c r="E9695" s="1" t="n">
        <v>46319</v>
      </c>
      <c r="F9695" t="inlineStr">
        <is>
          <t>DALARNAS LÄN</t>
        </is>
      </c>
      <c r="G9695" t="inlineStr">
        <is>
          <t>ORSA</t>
        </is>
      </c>
      <c r="H9695" t="inlineStr">
        <is>
          <t>Bergvik skog öst AB</t>
        </is>
      </c>
      <c r="I9695" t="n">
        <v>98.2</v>
      </c>
      <c r="J9695" t="n">
        <v>0</v>
      </c>
      <c r="K9695" t="n">
        <v>0</v>
      </c>
      <c r="L9695" t="n">
        <v>0</v>
      </c>
      <c r="M9695" t="n">
        <v>0</v>
      </c>
      <c r="N9695" t="n">
        <v>0</v>
      </c>
      <c r="O9695" t="n">
        <v>0</v>
      </c>
      <c r="P9695" t="n">
        <v>0</v>
      </c>
      <c r="Q9695" t="n">
        <v>0</v>
      </c>
      <c r="R9695" t="n">
        <v>0</v>
      </c>
      <c r="S9695" t="n">
        <v>0</v>
      </c>
      <c r="T9695" t="n">
        <v>0</v>
      </c>
      <c r="U9695" t="n">
        <v>0</v>
      </c>
      <c r="V9695" s="2" t="inlineStr"/>
    </row>
    <row r="9696" ht="15" customHeight="1">
      <c r="A9696" t="inlineStr">
        <is>
          <t>S 817-2022</t>
        </is>
      </c>
      <c r="B9696" t="inlineStr">
        <is>
          <t>samrådsanmälan</t>
        </is>
      </c>
      <c r="C9696" t="inlineStr">
        <is>
          <t>Skogsgödsling</t>
        </is>
      </c>
      <c r="D9696" s="1" t="n">
        <v>44602</v>
      </c>
      <c r="E9696" s="1" t="n">
        <v>46319</v>
      </c>
      <c r="F9696" t="inlineStr">
        <is>
          <t>DALARNAS LÄN</t>
        </is>
      </c>
      <c r="G9696" t="inlineStr">
        <is>
          <t>ÄLVDALEN</t>
        </is>
      </c>
      <c r="H9696" t="inlineStr">
        <is>
          <t>Bergvik skog väst AB</t>
        </is>
      </c>
      <c r="I9696" t="n">
        <v>252.3</v>
      </c>
      <c r="J9696" t="n">
        <v>0</v>
      </c>
      <c r="K9696" t="n">
        <v>0</v>
      </c>
      <c r="L9696" t="n">
        <v>0</v>
      </c>
      <c r="M9696" t="n">
        <v>0</v>
      </c>
      <c r="N9696" t="n">
        <v>0</v>
      </c>
      <c r="O9696" t="n">
        <v>0</v>
      </c>
      <c r="P9696" t="n">
        <v>0</v>
      </c>
      <c r="Q9696" t="n">
        <v>0</v>
      </c>
      <c r="R9696" t="n">
        <v>0</v>
      </c>
      <c r="S9696" t="n">
        <v>0</v>
      </c>
      <c r="T9696" t="n">
        <v>0</v>
      </c>
      <c r="U9696" t="n">
        <v>0</v>
      </c>
      <c r="V9696" s="2" t="inlineStr"/>
    </row>
    <row r="9697" ht="15" customHeight="1">
      <c r="A9697" t="inlineStr">
        <is>
          <t>S 825-2022</t>
        </is>
      </c>
      <c r="B9697" t="inlineStr">
        <is>
          <t>samrådsanmälan</t>
        </is>
      </c>
      <c r="C9697" t="inlineStr">
        <is>
          <t>Skogsgödsling</t>
        </is>
      </c>
      <c r="D9697" s="1" t="n">
        <v>44602</v>
      </c>
      <c r="E9697" s="1" t="n">
        <v>46319</v>
      </c>
      <c r="F9697" t="inlineStr">
        <is>
          <t>DALARNAS LÄN</t>
        </is>
      </c>
      <c r="G9697" t="inlineStr">
        <is>
          <t>ÄLVDALEN</t>
        </is>
      </c>
      <c r="H9697" t="inlineStr">
        <is>
          <t>Bergvik skog väst AB</t>
        </is>
      </c>
      <c r="I9697" t="n">
        <v>50</v>
      </c>
      <c r="J9697" t="n">
        <v>0</v>
      </c>
      <c r="K9697" t="n">
        <v>0</v>
      </c>
      <c r="L9697" t="n">
        <v>0</v>
      </c>
      <c r="M9697" t="n">
        <v>0</v>
      </c>
      <c r="N9697" t="n">
        <v>0</v>
      </c>
      <c r="O9697" t="n">
        <v>0</v>
      </c>
      <c r="P9697" t="n">
        <v>0</v>
      </c>
      <c r="Q9697" t="n">
        <v>0</v>
      </c>
      <c r="R9697" t="n">
        <v>0</v>
      </c>
      <c r="S9697" t="n">
        <v>0</v>
      </c>
      <c r="T9697" t="n">
        <v>0</v>
      </c>
      <c r="U9697" t="n">
        <v>0</v>
      </c>
      <c r="V9697" s="2" t="inlineStr"/>
    </row>
    <row r="9698" ht="15" customHeight="1">
      <c r="A9698" t="inlineStr">
        <is>
          <t>S 1738-2022</t>
        </is>
      </c>
      <c r="B9698" t="inlineStr">
        <is>
          <t>samrådsanmälan</t>
        </is>
      </c>
      <c r="C9698" t="inlineStr">
        <is>
          <t>Åtgärd i nyckelbiotop</t>
        </is>
      </c>
      <c r="D9698" s="1" t="n">
        <v>44652</v>
      </c>
      <c r="E9698" s="1" t="n">
        <v>46319</v>
      </c>
      <c r="F9698" t="inlineStr">
        <is>
          <t>DALARNAS LÄN</t>
        </is>
      </c>
      <c r="G9698" t="inlineStr">
        <is>
          <t>LEKSAND</t>
        </is>
      </c>
      <c r="I9698" t="n">
        <v>2.3</v>
      </c>
      <c r="J9698" t="n">
        <v>0</v>
      </c>
      <c r="K9698" t="n">
        <v>0</v>
      </c>
      <c r="L9698" t="n">
        <v>0</v>
      </c>
      <c r="M9698" t="n">
        <v>0</v>
      </c>
      <c r="N9698" t="n">
        <v>0</v>
      </c>
      <c r="O9698" t="n">
        <v>0</v>
      </c>
      <c r="P9698" t="n">
        <v>0</v>
      </c>
      <c r="Q9698" t="n">
        <v>0</v>
      </c>
      <c r="R9698" t="n">
        <v>0</v>
      </c>
      <c r="S9698" t="n">
        <v>0</v>
      </c>
      <c r="T9698" t="n">
        <v>0</v>
      </c>
      <c r="U9698" t="n">
        <v>0</v>
      </c>
      <c r="V9698" s="2" t="inlineStr"/>
    </row>
    <row r="9699" ht="15" customHeight="1">
      <c r="A9699" t="inlineStr">
        <is>
          <t>S 1510-2022</t>
        </is>
      </c>
      <c r="B9699" t="inlineStr">
        <is>
          <t>samrådsanmälan</t>
        </is>
      </c>
      <c r="C9699" t="inlineStr">
        <is>
          <t>Skogsbilväg</t>
        </is>
      </c>
      <c r="D9699" s="1" t="n">
        <v>44638</v>
      </c>
      <c r="E9699" s="1" t="n">
        <v>46319</v>
      </c>
      <c r="F9699" t="inlineStr">
        <is>
          <t>DALARNAS LÄN</t>
        </is>
      </c>
      <c r="G9699" t="inlineStr">
        <is>
          <t>BORLÄNGE</t>
        </is>
      </c>
      <c r="I9699" t="n">
        <v>0.6</v>
      </c>
      <c r="J9699" t="n">
        <v>0</v>
      </c>
      <c r="K9699" t="n">
        <v>0</v>
      </c>
      <c r="L9699" t="n">
        <v>0</v>
      </c>
      <c r="M9699" t="n">
        <v>0</v>
      </c>
      <c r="N9699" t="n">
        <v>0</v>
      </c>
      <c r="O9699" t="n">
        <v>0</v>
      </c>
      <c r="P9699" t="n">
        <v>0</v>
      </c>
      <c r="Q9699" t="n">
        <v>0</v>
      </c>
      <c r="R9699" t="n">
        <v>0</v>
      </c>
      <c r="S9699" t="n">
        <v>0</v>
      </c>
      <c r="T9699" t="n">
        <v>0</v>
      </c>
      <c r="U9699" t="n">
        <v>0</v>
      </c>
      <c r="V9699" s="2" t="inlineStr"/>
    </row>
    <row r="9700" ht="15" customHeight="1">
      <c r="A9700" t="inlineStr">
        <is>
          <t>S 1885-2022</t>
        </is>
      </c>
      <c r="B9700" t="inlineStr">
        <is>
          <t>samrådsanmälan</t>
        </is>
      </c>
      <c r="C9700" t="inlineStr">
        <is>
          <t>Dikesrensning</t>
        </is>
      </c>
      <c r="D9700" s="1" t="n">
        <v>44662</v>
      </c>
      <c r="E9700" s="1" t="n">
        <v>46319</v>
      </c>
      <c r="F9700" t="inlineStr">
        <is>
          <t>DALARNAS LÄN</t>
        </is>
      </c>
      <c r="G9700" t="inlineStr">
        <is>
          <t>ÄLVDALEN</t>
        </is>
      </c>
      <c r="I9700" t="n">
        <v>0.4</v>
      </c>
      <c r="J9700" t="n">
        <v>0</v>
      </c>
      <c r="K9700" t="n">
        <v>0</v>
      </c>
      <c r="L9700" t="n">
        <v>0</v>
      </c>
      <c r="M9700" t="n">
        <v>0</v>
      </c>
      <c r="N9700" t="n">
        <v>0</v>
      </c>
      <c r="O9700" t="n">
        <v>0</v>
      </c>
      <c r="P9700" t="n">
        <v>0</v>
      </c>
      <c r="Q9700" t="n">
        <v>0</v>
      </c>
      <c r="R9700" t="n">
        <v>0</v>
      </c>
      <c r="S9700" t="n">
        <v>0</v>
      </c>
      <c r="T9700" t="n">
        <v>0</v>
      </c>
      <c r="U9700" t="n">
        <v>0</v>
      </c>
      <c r="V9700" s="2" t="inlineStr"/>
    </row>
    <row r="9701" ht="15" customHeight="1">
      <c r="A9701" t="inlineStr">
        <is>
          <t>S 2878-2022</t>
        </is>
      </c>
      <c r="B9701" t="inlineStr">
        <is>
          <t>samrådsanmälan</t>
        </is>
      </c>
      <c r="C9701" t="inlineStr">
        <is>
          <t>Skogsgödsling</t>
        </is>
      </c>
      <c r="D9701" s="1" t="n">
        <v>44708</v>
      </c>
      <c r="E9701" s="1" t="n">
        <v>46319</v>
      </c>
      <c r="F9701" t="inlineStr">
        <is>
          <t>DALARNAS LÄN</t>
        </is>
      </c>
      <c r="G9701" t="inlineStr">
        <is>
          <t>ÄLVDALEN</t>
        </is>
      </c>
      <c r="H9701" t="inlineStr">
        <is>
          <t>Allmännings- och besparingsskogar</t>
        </is>
      </c>
      <c r="I9701" t="n">
        <v>1.9</v>
      </c>
      <c r="J9701" t="n">
        <v>0</v>
      </c>
      <c r="K9701" t="n">
        <v>0</v>
      </c>
      <c r="L9701" t="n">
        <v>0</v>
      </c>
      <c r="M9701" t="n">
        <v>0</v>
      </c>
      <c r="N9701" t="n">
        <v>0</v>
      </c>
      <c r="O9701" t="n">
        <v>0</v>
      </c>
      <c r="P9701" t="n">
        <v>0</v>
      </c>
      <c r="Q9701" t="n">
        <v>0</v>
      </c>
      <c r="R9701" t="n">
        <v>0</v>
      </c>
      <c r="S9701" t="n">
        <v>0</v>
      </c>
      <c r="T9701" t="n">
        <v>0</v>
      </c>
      <c r="U9701" t="n">
        <v>0</v>
      </c>
      <c r="V9701" s="2" t="inlineStr"/>
    </row>
    <row r="9702" ht="15" customHeight="1">
      <c r="A9702" t="inlineStr">
        <is>
          <t>S 2066-2022</t>
        </is>
      </c>
      <c r="B9702" t="inlineStr">
        <is>
          <t>samrådsanmälan</t>
        </is>
      </c>
      <c r="C9702" t="inlineStr">
        <is>
          <t>Askåterföring</t>
        </is>
      </c>
      <c r="D9702" s="1" t="n">
        <v>44672</v>
      </c>
      <c r="E9702" s="1" t="n">
        <v>46319</v>
      </c>
      <c r="F9702" t="inlineStr">
        <is>
          <t>DALARNAS LÄN</t>
        </is>
      </c>
      <c r="G9702" t="inlineStr">
        <is>
          <t>FALUN</t>
        </is>
      </c>
      <c r="I9702" t="n">
        <v>18.4</v>
      </c>
      <c r="J9702" t="n">
        <v>0</v>
      </c>
      <c r="K9702" t="n">
        <v>0</v>
      </c>
      <c r="L9702" t="n">
        <v>0</v>
      </c>
      <c r="M9702" t="n">
        <v>0</v>
      </c>
      <c r="N9702" t="n">
        <v>0</v>
      </c>
      <c r="O9702" t="n">
        <v>0</v>
      </c>
      <c r="P9702" t="n">
        <v>0</v>
      </c>
      <c r="Q9702" t="n">
        <v>0</v>
      </c>
      <c r="R9702" t="n">
        <v>0</v>
      </c>
      <c r="S9702" t="n">
        <v>0</v>
      </c>
      <c r="T9702" t="n">
        <v>0</v>
      </c>
      <c r="U9702" t="n">
        <v>0</v>
      </c>
      <c r="V9702" s="2" t="inlineStr"/>
    </row>
    <row r="9703" ht="15" customHeight="1">
      <c r="A9703" t="inlineStr">
        <is>
          <t>S 2340-2022</t>
        </is>
      </c>
      <c r="B9703" t="inlineStr">
        <is>
          <t>samrådsanmälan</t>
        </is>
      </c>
      <c r="C9703" t="inlineStr">
        <is>
          <t>Skogsbilväg</t>
        </is>
      </c>
      <c r="D9703" s="1" t="n">
        <v>44686</v>
      </c>
      <c r="E9703" s="1" t="n">
        <v>46319</v>
      </c>
      <c r="F9703" t="inlineStr">
        <is>
          <t>DALARNAS LÄN</t>
        </is>
      </c>
      <c r="G9703" t="inlineStr">
        <is>
          <t>SMEDJEBACKEN</t>
        </is>
      </c>
      <c r="H9703" t="inlineStr">
        <is>
          <t>Övriga Aktiebolag</t>
        </is>
      </c>
      <c r="I9703" t="n">
        <v>1.2</v>
      </c>
      <c r="J9703" t="n">
        <v>0</v>
      </c>
      <c r="K9703" t="n">
        <v>0</v>
      </c>
      <c r="L9703" t="n">
        <v>0</v>
      </c>
      <c r="M9703" t="n">
        <v>0</v>
      </c>
      <c r="N9703" t="n">
        <v>0</v>
      </c>
      <c r="O9703" t="n">
        <v>0</v>
      </c>
      <c r="P9703" t="n">
        <v>0</v>
      </c>
      <c r="Q9703" t="n">
        <v>0</v>
      </c>
      <c r="R9703" t="n">
        <v>0</v>
      </c>
      <c r="S9703" t="n">
        <v>0</v>
      </c>
      <c r="T9703" t="n">
        <v>0</v>
      </c>
      <c r="U9703" t="n">
        <v>0</v>
      </c>
      <c r="V9703" s="2" t="inlineStr"/>
    </row>
    <row r="9704" ht="15" customHeight="1">
      <c r="A9704" t="inlineStr">
        <is>
          <t>S 2034-2022</t>
        </is>
      </c>
      <c r="B9704" t="inlineStr">
        <is>
          <t>samrådsanmälan</t>
        </is>
      </c>
      <c r="C9704" t="inlineStr">
        <is>
          <t>Skogsbilväg</t>
        </is>
      </c>
      <c r="D9704" s="1" t="n">
        <v>44671</v>
      </c>
      <c r="E9704" s="1" t="n">
        <v>46319</v>
      </c>
      <c r="F9704" t="inlineStr">
        <is>
          <t>DALARNAS LÄN</t>
        </is>
      </c>
      <c r="G9704" t="inlineStr">
        <is>
          <t>HEDEMORA</t>
        </is>
      </c>
      <c r="H9704" t="inlineStr">
        <is>
          <t>Kommuner</t>
        </is>
      </c>
      <c r="I9704" t="n">
        <v>0.6</v>
      </c>
      <c r="J9704" t="n">
        <v>0</v>
      </c>
      <c r="K9704" t="n">
        <v>0</v>
      </c>
      <c r="L9704" t="n">
        <v>0</v>
      </c>
      <c r="M9704" t="n">
        <v>0</v>
      </c>
      <c r="N9704" t="n">
        <v>0</v>
      </c>
      <c r="O9704" t="n">
        <v>0</v>
      </c>
      <c r="P9704" t="n">
        <v>0</v>
      </c>
      <c r="Q9704" t="n">
        <v>0</v>
      </c>
      <c r="R9704" t="n">
        <v>0</v>
      </c>
      <c r="S9704" t="n">
        <v>0</v>
      </c>
      <c r="T9704" t="n">
        <v>0</v>
      </c>
      <c r="U9704" t="n">
        <v>0</v>
      </c>
      <c r="V9704" s="2" t="inlineStr"/>
    </row>
    <row r="9705" ht="15" customHeight="1">
      <c r="A9705" t="inlineStr">
        <is>
          <t>S 822-2022</t>
        </is>
      </c>
      <c r="B9705" t="inlineStr">
        <is>
          <t>samrådsanmälan</t>
        </is>
      </c>
      <c r="C9705" t="inlineStr">
        <is>
          <t>Skogsgödsling</t>
        </is>
      </c>
      <c r="D9705" s="1" t="n">
        <v>44602</v>
      </c>
      <c r="E9705" s="1" t="n">
        <v>46319</v>
      </c>
      <c r="F9705" t="inlineStr">
        <is>
          <t>DALARNAS LÄN</t>
        </is>
      </c>
      <c r="G9705" t="inlineStr">
        <is>
          <t>MORA</t>
        </is>
      </c>
      <c r="H9705" t="inlineStr">
        <is>
          <t>Bergvik skog väst AB</t>
        </is>
      </c>
      <c r="I9705" t="n">
        <v>107.6</v>
      </c>
      <c r="J9705" t="n">
        <v>0</v>
      </c>
      <c r="K9705" t="n">
        <v>0</v>
      </c>
      <c r="L9705" t="n">
        <v>0</v>
      </c>
      <c r="M9705" t="n">
        <v>0</v>
      </c>
      <c r="N9705" t="n">
        <v>0</v>
      </c>
      <c r="O9705" t="n">
        <v>0</v>
      </c>
      <c r="P9705" t="n">
        <v>0</v>
      </c>
      <c r="Q9705" t="n">
        <v>0</v>
      </c>
      <c r="R9705" t="n">
        <v>0</v>
      </c>
      <c r="S9705" t="n">
        <v>0</v>
      </c>
      <c r="T9705" t="n">
        <v>0</v>
      </c>
      <c r="U9705" t="n">
        <v>0</v>
      </c>
      <c r="V9705" s="2" t="inlineStr"/>
    </row>
    <row r="9706" ht="15" customHeight="1">
      <c r="A9706" t="inlineStr">
        <is>
          <t>S 882-2024</t>
        </is>
      </c>
      <c r="B9706" t="inlineStr">
        <is>
          <t>samrådsanmälan</t>
        </is>
      </c>
      <c r="C9706" t="inlineStr">
        <is>
          <t>Skogsgödsling</t>
        </is>
      </c>
      <c r="D9706" s="1" t="n">
        <v>45376</v>
      </c>
      <c r="E9706" s="1" t="n">
        <v>46319</v>
      </c>
      <c r="F9706" t="inlineStr">
        <is>
          <t>DALARNAS LÄN</t>
        </is>
      </c>
      <c r="G9706" t="inlineStr">
        <is>
          <t>ORSA</t>
        </is>
      </c>
      <c r="H9706" t="inlineStr">
        <is>
          <t>Allmännings- och besparingsskogar</t>
        </is>
      </c>
      <c r="I9706" t="n">
        <v>28.8</v>
      </c>
      <c r="J9706" t="n">
        <v>0</v>
      </c>
      <c r="K9706" t="n">
        <v>0</v>
      </c>
      <c r="L9706" t="n">
        <v>0</v>
      </c>
      <c r="M9706" t="n">
        <v>0</v>
      </c>
      <c r="N9706" t="n">
        <v>0</v>
      </c>
      <c r="O9706" t="n">
        <v>0</v>
      </c>
      <c r="P9706" t="n">
        <v>0</v>
      </c>
      <c r="Q9706" t="n">
        <v>0</v>
      </c>
      <c r="R9706" t="n">
        <v>0</v>
      </c>
      <c r="S9706" t="n">
        <v>0</v>
      </c>
      <c r="T9706" t="n">
        <v>0</v>
      </c>
      <c r="U9706" t="n">
        <v>0</v>
      </c>
      <c r="V9706" s="2" t="inlineStr"/>
    </row>
    <row r="9707" ht="15" customHeight="1">
      <c r="A9707" t="inlineStr">
        <is>
          <t>S 348-2023</t>
        </is>
      </c>
      <c r="B9707" t="inlineStr">
        <is>
          <t>samrådsanmälan</t>
        </is>
      </c>
      <c r="C9707" t="inlineStr">
        <is>
          <t>Annan skogsbruksåtgärd</t>
        </is>
      </c>
      <c r="D9707" s="1" t="n">
        <v>44960</v>
      </c>
      <c r="E9707" s="1" t="n">
        <v>46319</v>
      </c>
      <c r="F9707" t="inlineStr">
        <is>
          <t>DALARNAS LÄN</t>
        </is>
      </c>
      <c r="G9707" t="inlineStr">
        <is>
          <t>ORSA</t>
        </is>
      </c>
      <c r="I9707" t="n">
        <v>5.1</v>
      </c>
      <c r="J9707" t="n">
        <v>0</v>
      </c>
      <c r="K9707" t="n">
        <v>0</v>
      </c>
      <c r="L9707" t="n">
        <v>0</v>
      </c>
      <c r="M9707" t="n">
        <v>0</v>
      </c>
      <c r="N9707" t="n">
        <v>0</v>
      </c>
      <c r="O9707" t="n">
        <v>0</v>
      </c>
      <c r="P9707" t="n">
        <v>0</v>
      </c>
      <c r="Q9707" t="n">
        <v>0</v>
      </c>
      <c r="R9707" t="n">
        <v>0</v>
      </c>
      <c r="S9707" t="n">
        <v>0</v>
      </c>
      <c r="T9707" t="n">
        <v>0</v>
      </c>
      <c r="U9707" t="n">
        <v>0</v>
      </c>
      <c r="V9707" s="2" t="inlineStr"/>
    </row>
    <row r="9708" ht="15" customHeight="1">
      <c r="A9708" t="inlineStr">
        <is>
          <t>S 1312-2024</t>
        </is>
      </c>
      <c r="B9708" t="inlineStr">
        <is>
          <t>samrådsanmälan</t>
        </is>
      </c>
      <c r="C9708" t="inlineStr">
        <is>
          <t>Skogsgödsling</t>
        </is>
      </c>
      <c r="D9708" s="1" t="n">
        <v>45405</v>
      </c>
      <c r="E9708" s="1" t="n">
        <v>46319</v>
      </c>
      <c r="F9708" t="inlineStr">
        <is>
          <t>DALARNAS LÄN</t>
        </is>
      </c>
      <c r="G9708" t="inlineStr">
        <is>
          <t>RÄTTVIK</t>
        </is>
      </c>
      <c r="H9708" t="inlineStr">
        <is>
          <t>Bergvik skog väst AB</t>
        </is>
      </c>
      <c r="I9708" t="n">
        <v>63.6</v>
      </c>
      <c r="J9708" t="n">
        <v>0</v>
      </c>
      <c r="K9708" t="n">
        <v>0</v>
      </c>
      <c r="L9708" t="n">
        <v>0</v>
      </c>
      <c r="M9708" t="n">
        <v>0</v>
      </c>
      <c r="N9708" t="n">
        <v>0</v>
      </c>
      <c r="O9708" t="n">
        <v>0</v>
      </c>
      <c r="P9708" t="n">
        <v>0</v>
      </c>
      <c r="Q9708" t="n">
        <v>0</v>
      </c>
      <c r="R9708" t="n">
        <v>0</v>
      </c>
      <c r="S9708" t="n">
        <v>0</v>
      </c>
      <c r="T9708" t="n">
        <v>0</v>
      </c>
      <c r="U9708" t="n">
        <v>0</v>
      </c>
      <c r="V9708" s="2" t="inlineStr"/>
    </row>
    <row r="9709" ht="15" customHeight="1">
      <c r="A9709" t="inlineStr">
        <is>
          <t>S 1781-2023</t>
        </is>
      </c>
      <c r="B9709" t="inlineStr">
        <is>
          <t>samrådsanmälan</t>
        </is>
      </c>
      <c r="C9709" t="inlineStr">
        <is>
          <t>Annan skogsbruksåtgärd</t>
        </is>
      </c>
      <c r="D9709" s="1" t="n">
        <v>45074</v>
      </c>
      <c r="E9709" s="1" t="n">
        <v>46319</v>
      </c>
      <c r="F9709" t="inlineStr">
        <is>
          <t>DALARNAS LÄN</t>
        </is>
      </c>
      <c r="G9709" t="inlineStr">
        <is>
          <t>LEKSAND</t>
        </is>
      </c>
      <c r="H9709" t="inlineStr">
        <is>
          <t>Bergvik skog väst AB</t>
        </is>
      </c>
      <c r="I9709" t="n">
        <v>0</v>
      </c>
      <c r="J9709" t="n">
        <v>0</v>
      </c>
      <c r="K9709" t="n">
        <v>0</v>
      </c>
      <c r="L9709" t="n">
        <v>0</v>
      </c>
      <c r="M9709" t="n">
        <v>0</v>
      </c>
      <c r="N9709" t="n">
        <v>0</v>
      </c>
      <c r="O9709" t="n">
        <v>0</v>
      </c>
      <c r="P9709" t="n">
        <v>0</v>
      </c>
      <c r="Q9709" t="n">
        <v>0</v>
      </c>
      <c r="R9709" t="n">
        <v>0</v>
      </c>
      <c r="S9709" t="n">
        <v>0</v>
      </c>
      <c r="T9709" t="n">
        <v>0</v>
      </c>
      <c r="U9709" t="n">
        <v>0</v>
      </c>
      <c r="V9709" s="2" t="inlineStr"/>
    </row>
    <row r="9710" ht="15" customHeight="1">
      <c r="A9710" t="inlineStr">
        <is>
          <t>S 675-2024</t>
        </is>
      </c>
      <c r="B9710" t="inlineStr">
        <is>
          <t>samrådsanmälan</t>
        </is>
      </c>
      <c r="C9710" t="inlineStr">
        <is>
          <t>Skogsgödsling</t>
        </is>
      </c>
      <c r="D9710" s="1" t="n">
        <v>45357</v>
      </c>
      <c r="E9710" s="1" t="n">
        <v>46319</v>
      </c>
      <c r="F9710" t="inlineStr">
        <is>
          <t>DALARNAS LÄN</t>
        </is>
      </c>
      <c r="G9710" t="inlineStr">
        <is>
          <t>ÄLVDALEN</t>
        </is>
      </c>
      <c r="H9710" t="inlineStr">
        <is>
          <t>Allmännings- och besparingsskogar</t>
        </is>
      </c>
      <c r="I9710" t="n">
        <v>8.1</v>
      </c>
      <c r="J9710" t="n">
        <v>0</v>
      </c>
      <c r="K9710" t="n">
        <v>0</v>
      </c>
      <c r="L9710" t="n">
        <v>0</v>
      </c>
      <c r="M9710" t="n">
        <v>0</v>
      </c>
      <c r="N9710" t="n">
        <v>0</v>
      </c>
      <c r="O9710" t="n">
        <v>0</v>
      </c>
      <c r="P9710" t="n">
        <v>0</v>
      </c>
      <c r="Q9710" t="n">
        <v>0</v>
      </c>
      <c r="R9710" t="n">
        <v>0</v>
      </c>
      <c r="S9710" t="n">
        <v>0</v>
      </c>
      <c r="T9710" t="n">
        <v>0</v>
      </c>
      <c r="U9710" t="n">
        <v>0</v>
      </c>
      <c r="V9710" s="2" t="inlineStr"/>
    </row>
    <row r="9711" ht="15" customHeight="1">
      <c r="A9711" t="inlineStr">
        <is>
          <t>S 2524-2024</t>
        </is>
      </c>
      <c r="B9711" t="inlineStr">
        <is>
          <t>samrådsanmälan</t>
        </is>
      </c>
      <c r="C9711" t="inlineStr">
        <is>
          <t>Annan skogsbruksåtgärd</t>
        </is>
      </c>
      <c r="D9711" s="1" t="n">
        <v>45474</v>
      </c>
      <c r="E9711" s="1" t="n">
        <v>46319</v>
      </c>
      <c r="F9711" t="inlineStr">
        <is>
          <t>DALARNAS LÄN</t>
        </is>
      </c>
      <c r="G9711" t="inlineStr">
        <is>
          <t>FALUN</t>
        </is>
      </c>
      <c r="H9711" t="inlineStr">
        <is>
          <t>Bergvik skog väst AB</t>
        </is>
      </c>
      <c r="I9711" t="n">
        <v>4.4</v>
      </c>
      <c r="J9711" t="n">
        <v>0</v>
      </c>
      <c r="K9711" t="n">
        <v>0</v>
      </c>
      <c r="L9711" t="n">
        <v>0</v>
      </c>
      <c r="M9711" t="n">
        <v>0</v>
      </c>
      <c r="N9711" t="n">
        <v>0</v>
      </c>
      <c r="O9711" t="n">
        <v>0</v>
      </c>
      <c r="P9711" t="n">
        <v>0</v>
      </c>
      <c r="Q9711" t="n">
        <v>0</v>
      </c>
      <c r="R9711" t="n">
        <v>0</v>
      </c>
      <c r="S9711" t="n">
        <v>0</v>
      </c>
      <c r="T9711" t="n">
        <v>0</v>
      </c>
      <c r="U9711" t="n">
        <v>0</v>
      </c>
      <c r="V9711" s="2" t="inlineStr"/>
    </row>
    <row r="9712" ht="15" customHeight="1">
      <c r="A9712" t="inlineStr">
        <is>
          <t>S 2621-2023</t>
        </is>
      </c>
      <c r="B9712" t="inlineStr">
        <is>
          <t>samrådsanmälan</t>
        </is>
      </c>
      <c r="C9712" t="inlineStr">
        <is>
          <t>Askåterföring</t>
        </is>
      </c>
      <c r="D9712" s="1" t="n">
        <v>45147</v>
      </c>
      <c r="E9712" s="1" t="n">
        <v>46319</v>
      </c>
      <c r="F9712" t="inlineStr">
        <is>
          <t>DALARNAS LÄN</t>
        </is>
      </c>
      <c r="G9712" t="inlineStr">
        <is>
          <t>FALUN</t>
        </is>
      </c>
      <c r="I9712" t="n">
        <v>84.3</v>
      </c>
      <c r="J9712" t="n">
        <v>0</v>
      </c>
      <c r="K9712" t="n">
        <v>0</v>
      </c>
      <c r="L9712" t="n">
        <v>0</v>
      </c>
      <c r="M9712" t="n">
        <v>0</v>
      </c>
      <c r="N9712" t="n">
        <v>0</v>
      </c>
      <c r="O9712" t="n">
        <v>0</v>
      </c>
      <c r="P9712" t="n">
        <v>0</v>
      </c>
      <c r="Q9712" t="n">
        <v>0</v>
      </c>
      <c r="R9712" t="n">
        <v>0</v>
      </c>
      <c r="S9712" t="n">
        <v>0</v>
      </c>
      <c r="T9712" t="n">
        <v>0</v>
      </c>
      <c r="U9712" t="n">
        <v>0</v>
      </c>
      <c r="V9712" s="2" t="inlineStr"/>
    </row>
    <row r="9713" ht="15" customHeight="1">
      <c r="A9713" t="inlineStr">
        <is>
          <t>S 461-2024</t>
        </is>
      </c>
      <c r="B9713" t="inlineStr">
        <is>
          <t>samrådsanmälan</t>
        </is>
      </c>
      <c r="C9713" t="inlineStr">
        <is>
          <t>Skogsgödsling</t>
        </is>
      </c>
      <c r="D9713" s="1" t="n">
        <v>45341</v>
      </c>
      <c r="E9713" s="1" t="n">
        <v>46319</v>
      </c>
      <c r="F9713" t="inlineStr">
        <is>
          <t>DALARNAS LÄN</t>
        </is>
      </c>
      <c r="G9713" t="inlineStr">
        <is>
          <t>MORA</t>
        </is>
      </c>
      <c r="I9713" t="n">
        <v>32.7</v>
      </c>
      <c r="J9713" t="n">
        <v>0</v>
      </c>
      <c r="K9713" t="n">
        <v>0</v>
      </c>
      <c r="L9713" t="n">
        <v>0</v>
      </c>
      <c r="M9713" t="n">
        <v>0</v>
      </c>
      <c r="N9713" t="n">
        <v>0</v>
      </c>
      <c r="O9713" t="n">
        <v>0</v>
      </c>
      <c r="P9713" t="n">
        <v>0</v>
      </c>
      <c r="Q9713" t="n">
        <v>0</v>
      </c>
      <c r="R9713" t="n">
        <v>0</v>
      </c>
      <c r="S9713" t="n">
        <v>0</v>
      </c>
      <c r="T9713" t="n">
        <v>0</v>
      </c>
      <c r="U9713" t="n">
        <v>0</v>
      </c>
      <c r="V9713" s="2" t="inlineStr"/>
    </row>
    <row r="9714" ht="15" customHeight="1">
      <c r="A9714" t="inlineStr">
        <is>
          <t>S 4245-2023</t>
        </is>
      </c>
      <c r="B9714" t="inlineStr">
        <is>
          <t>samrådsanmälan</t>
        </is>
      </c>
      <c r="C9714" t="inlineStr">
        <is>
          <t>Annan skogsbruksåtgärd</t>
        </is>
      </c>
      <c r="D9714" s="1" t="n">
        <v>45257</v>
      </c>
      <c r="E9714" s="1" t="n">
        <v>46319</v>
      </c>
      <c r="F9714" t="inlineStr">
        <is>
          <t>DALARNAS LÄN</t>
        </is>
      </c>
      <c r="G9714" t="inlineStr">
        <is>
          <t>LEKSAND</t>
        </is>
      </c>
      <c r="I9714" t="n">
        <v>1.8</v>
      </c>
      <c r="J9714" t="n">
        <v>0</v>
      </c>
      <c r="K9714" t="n">
        <v>0</v>
      </c>
      <c r="L9714" t="n">
        <v>0</v>
      </c>
      <c r="M9714" t="n">
        <v>0</v>
      </c>
      <c r="N9714" t="n">
        <v>0</v>
      </c>
      <c r="O9714" t="n">
        <v>0</v>
      </c>
      <c r="P9714" t="n">
        <v>0</v>
      </c>
      <c r="Q9714" t="n">
        <v>0</v>
      </c>
      <c r="R9714" t="n">
        <v>0</v>
      </c>
      <c r="S9714" t="n">
        <v>0</v>
      </c>
      <c r="T9714" t="n">
        <v>0</v>
      </c>
      <c r="U9714" t="n">
        <v>0</v>
      </c>
      <c r="V9714" s="2" t="inlineStr"/>
    </row>
    <row r="9715" ht="15" customHeight="1">
      <c r="A9715" t="inlineStr">
        <is>
          <t>S 584-2024</t>
        </is>
      </c>
      <c r="B9715" t="inlineStr">
        <is>
          <t>samrådsanmälan</t>
        </is>
      </c>
      <c r="C9715" t="inlineStr">
        <is>
          <t>Skogsgödsling</t>
        </is>
      </c>
      <c r="D9715" s="1" t="n">
        <v>45351</v>
      </c>
      <c r="E9715" s="1" t="n">
        <v>46319</v>
      </c>
      <c r="F9715" t="inlineStr">
        <is>
          <t>DALARNAS LÄN</t>
        </is>
      </c>
      <c r="G9715" t="inlineStr">
        <is>
          <t>RÄTTVIK</t>
        </is>
      </c>
      <c r="H9715" t="inlineStr">
        <is>
          <t>Bergvik skog väst AB</t>
        </is>
      </c>
      <c r="I9715" t="n">
        <v>312</v>
      </c>
      <c r="J9715" t="n">
        <v>0</v>
      </c>
      <c r="K9715" t="n">
        <v>0</v>
      </c>
      <c r="L9715" t="n">
        <v>0</v>
      </c>
      <c r="M9715" t="n">
        <v>0</v>
      </c>
      <c r="N9715" t="n">
        <v>0</v>
      </c>
      <c r="O9715" t="n">
        <v>0</v>
      </c>
      <c r="P9715" t="n">
        <v>0</v>
      </c>
      <c r="Q9715" t="n">
        <v>0</v>
      </c>
      <c r="R9715" t="n">
        <v>0</v>
      </c>
      <c r="S9715" t="n">
        <v>0</v>
      </c>
      <c r="T9715" t="n">
        <v>0</v>
      </c>
      <c r="U9715" t="n">
        <v>0</v>
      </c>
      <c r="V9715" s="2" t="inlineStr"/>
    </row>
    <row r="9716" ht="15" customHeight="1">
      <c r="A9716" t="inlineStr">
        <is>
          <t>S 200-2024</t>
        </is>
      </c>
      <c r="B9716" t="inlineStr">
        <is>
          <t>samrådsanmälan</t>
        </is>
      </c>
      <c r="C9716" t="inlineStr">
        <is>
          <t>Skogsgödsling</t>
        </is>
      </c>
      <c r="D9716" s="1" t="n">
        <v>45315</v>
      </c>
      <c r="E9716" s="1" t="n">
        <v>46319</v>
      </c>
      <c r="F9716" t="inlineStr">
        <is>
          <t>DALARNAS LÄN</t>
        </is>
      </c>
      <c r="G9716" t="inlineStr">
        <is>
          <t>MORA</t>
        </is>
      </c>
      <c r="H9716" t="inlineStr">
        <is>
          <t>Bergvik skog öst AB</t>
        </is>
      </c>
      <c r="I9716" t="n">
        <v>69.40000000000001</v>
      </c>
      <c r="J9716" t="n">
        <v>0</v>
      </c>
      <c r="K9716" t="n">
        <v>0</v>
      </c>
      <c r="L9716" t="n">
        <v>0</v>
      </c>
      <c r="M9716" t="n">
        <v>0</v>
      </c>
      <c r="N9716" t="n">
        <v>0</v>
      </c>
      <c r="O9716" t="n">
        <v>0</v>
      </c>
      <c r="P9716" t="n">
        <v>0</v>
      </c>
      <c r="Q9716" t="n">
        <v>0</v>
      </c>
      <c r="R9716" t="n">
        <v>0</v>
      </c>
      <c r="S9716" t="n">
        <v>0</v>
      </c>
      <c r="T9716" t="n">
        <v>0</v>
      </c>
      <c r="U9716" t="n">
        <v>0</v>
      </c>
      <c r="V9716" s="2" t="inlineStr"/>
    </row>
    <row r="9717" ht="15" customHeight="1">
      <c r="A9717" t="inlineStr">
        <is>
          <t>S 2153-2023</t>
        </is>
      </c>
      <c r="B9717" t="inlineStr">
        <is>
          <t>samrådsanmälan</t>
        </is>
      </c>
      <c r="C9717" t="inlineStr">
        <is>
          <t>Annan skogsbruksåtgärd</t>
        </is>
      </c>
      <c r="D9717" s="1" t="n">
        <v>45097</v>
      </c>
      <c r="E9717" s="1" t="n">
        <v>46319</v>
      </c>
      <c r="F9717" t="inlineStr">
        <is>
          <t>DALARNAS LÄN</t>
        </is>
      </c>
      <c r="G9717" t="inlineStr">
        <is>
          <t>LEKSAND</t>
        </is>
      </c>
      <c r="I9717" t="n">
        <v>0.5</v>
      </c>
      <c r="J9717" t="n">
        <v>0</v>
      </c>
      <c r="K9717" t="n">
        <v>0</v>
      </c>
      <c r="L9717" t="n">
        <v>0</v>
      </c>
      <c r="M9717" t="n">
        <v>0</v>
      </c>
      <c r="N9717" t="n">
        <v>0</v>
      </c>
      <c r="O9717" t="n">
        <v>0</v>
      </c>
      <c r="P9717" t="n">
        <v>0</v>
      </c>
      <c r="Q9717" t="n">
        <v>0</v>
      </c>
      <c r="R9717" t="n">
        <v>0</v>
      </c>
      <c r="S9717" t="n">
        <v>0</v>
      </c>
      <c r="T9717" t="n">
        <v>0</v>
      </c>
      <c r="U9717" t="n">
        <v>0</v>
      </c>
      <c r="V9717" s="2" t="inlineStr"/>
    </row>
    <row r="9718" ht="15" customHeight="1">
      <c r="A9718" t="inlineStr">
        <is>
          <t>S 583-2024</t>
        </is>
      </c>
      <c r="B9718" t="inlineStr">
        <is>
          <t>samrådsanmälan</t>
        </is>
      </c>
      <c r="C9718" t="inlineStr">
        <is>
          <t>Skogsgödsling</t>
        </is>
      </c>
      <c r="D9718" s="1" t="n">
        <v>45351</v>
      </c>
      <c r="E9718" s="1" t="n">
        <v>46319</v>
      </c>
      <c r="F9718" t="inlineStr">
        <is>
          <t>DALARNAS LÄN</t>
        </is>
      </c>
      <c r="G9718" t="inlineStr">
        <is>
          <t>LEKSAND</t>
        </is>
      </c>
      <c r="H9718" t="inlineStr">
        <is>
          <t>Bergvik skog väst AB</t>
        </is>
      </c>
      <c r="I9718" t="n">
        <v>8.699999999999999</v>
      </c>
      <c r="J9718" t="n">
        <v>0</v>
      </c>
      <c r="K9718" t="n">
        <v>0</v>
      </c>
      <c r="L9718" t="n">
        <v>0</v>
      </c>
      <c r="M9718" t="n">
        <v>0</v>
      </c>
      <c r="N9718" t="n">
        <v>0</v>
      </c>
      <c r="O9718" t="n">
        <v>0</v>
      </c>
      <c r="P9718" t="n">
        <v>0</v>
      </c>
      <c r="Q9718" t="n">
        <v>0</v>
      </c>
      <c r="R9718" t="n">
        <v>0</v>
      </c>
      <c r="S9718" t="n">
        <v>0</v>
      </c>
      <c r="T9718" t="n">
        <v>0</v>
      </c>
      <c r="U9718" t="n">
        <v>0</v>
      </c>
      <c r="V9718" s="2" t="inlineStr"/>
    </row>
    <row r="9719" ht="15" customHeight="1">
      <c r="A9719" t="inlineStr">
        <is>
          <t>S 4908-2022</t>
        </is>
      </c>
      <c r="B9719" t="inlineStr">
        <is>
          <t>samrådsanmälan</t>
        </is>
      </c>
      <c r="C9719" t="inlineStr">
        <is>
          <t>Annan skogsbruksåtgärd</t>
        </is>
      </c>
      <c r="D9719" s="1" t="n">
        <v>44809</v>
      </c>
      <c r="E9719" s="1" t="n">
        <v>46319</v>
      </c>
      <c r="F9719" t="inlineStr">
        <is>
          <t>DALARNAS LÄN</t>
        </is>
      </c>
      <c r="G9719" t="inlineStr">
        <is>
          <t>LEKSAND</t>
        </is>
      </c>
      <c r="I9719" t="n">
        <v>0.6</v>
      </c>
      <c r="J9719" t="n">
        <v>0</v>
      </c>
      <c r="K9719" t="n">
        <v>0</v>
      </c>
      <c r="L9719" t="n">
        <v>0</v>
      </c>
      <c r="M9719" t="n">
        <v>0</v>
      </c>
      <c r="N9719" t="n">
        <v>0</v>
      </c>
      <c r="O9719" t="n">
        <v>0</v>
      </c>
      <c r="P9719" t="n">
        <v>0</v>
      </c>
      <c r="Q9719" t="n">
        <v>0</v>
      </c>
      <c r="R9719" t="n">
        <v>0</v>
      </c>
      <c r="S9719" t="n">
        <v>0</v>
      </c>
      <c r="T9719" t="n">
        <v>0</v>
      </c>
      <c r="U9719" t="n">
        <v>0</v>
      </c>
      <c r="V9719" s="2" t="inlineStr"/>
    </row>
    <row r="9720" ht="15" customHeight="1">
      <c r="A9720" t="inlineStr">
        <is>
          <t>S 2318-2023</t>
        </is>
      </c>
      <c r="B9720" t="inlineStr">
        <is>
          <t>samrådsanmälan</t>
        </is>
      </c>
      <c r="C9720" t="inlineStr">
        <is>
          <t>Annan skogsbruksåtgärd</t>
        </is>
      </c>
      <c r="D9720" s="1" t="n">
        <v>45105</v>
      </c>
      <c r="E9720" s="1" t="n">
        <v>46319</v>
      </c>
      <c r="F9720" t="inlineStr">
        <is>
          <t>DALARNAS LÄN</t>
        </is>
      </c>
      <c r="G9720" t="inlineStr">
        <is>
          <t>RÄTTVIK</t>
        </is>
      </c>
      <c r="I9720" t="n">
        <v>0.7</v>
      </c>
      <c r="J9720" t="n">
        <v>0</v>
      </c>
      <c r="K9720" t="n">
        <v>0</v>
      </c>
      <c r="L9720" t="n">
        <v>0</v>
      </c>
      <c r="M9720" t="n">
        <v>0</v>
      </c>
      <c r="N9720" t="n">
        <v>0</v>
      </c>
      <c r="O9720" t="n">
        <v>0</v>
      </c>
      <c r="P9720" t="n">
        <v>0</v>
      </c>
      <c r="Q9720" t="n">
        <v>0</v>
      </c>
      <c r="R9720" t="n">
        <v>0</v>
      </c>
      <c r="S9720" t="n">
        <v>0</v>
      </c>
      <c r="T9720" t="n">
        <v>0</v>
      </c>
      <c r="U9720" t="n">
        <v>0</v>
      </c>
      <c r="V9720" s="2" t="inlineStr"/>
    </row>
    <row r="9721" ht="15" customHeight="1">
      <c r="A9721" t="inlineStr">
        <is>
          <t>S 629-2024</t>
        </is>
      </c>
      <c r="B9721" t="inlineStr">
        <is>
          <t>samrådsanmälan</t>
        </is>
      </c>
      <c r="C9721" t="inlineStr">
        <is>
          <t>Skogsgödsling</t>
        </is>
      </c>
      <c r="D9721" s="1" t="n">
        <v>45355</v>
      </c>
      <c r="E9721" s="1" t="n">
        <v>46319</v>
      </c>
      <c r="F9721" t="inlineStr">
        <is>
          <t>DALARNAS LÄN</t>
        </is>
      </c>
      <c r="G9721" t="inlineStr">
        <is>
          <t>ÄLVDALEN</t>
        </is>
      </c>
      <c r="H9721" t="inlineStr">
        <is>
          <t>Allmännings- och besparingsskogar</t>
        </is>
      </c>
      <c r="I9721" t="n">
        <v>36.7</v>
      </c>
      <c r="J9721" t="n">
        <v>0</v>
      </c>
      <c r="K9721" t="n">
        <v>0</v>
      </c>
      <c r="L9721" t="n">
        <v>0</v>
      </c>
      <c r="M9721" t="n">
        <v>0</v>
      </c>
      <c r="N9721" t="n">
        <v>0</v>
      </c>
      <c r="O9721" t="n">
        <v>0</v>
      </c>
      <c r="P9721" t="n">
        <v>0</v>
      </c>
      <c r="Q9721" t="n">
        <v>0</v>
      </c>
      <c r="R9721" t="n">
        <v>0</v>
      </c>
      <c r="S9721" t="n">
        <v>0</v>
      </c>
      <c r="T9721" t="n">
        <v>0</v>
      </c>
      <c r="U9721" t="n">
        <v>0</v>
      </c>
      <c r="V9721" s="2" t="inlineStr"/>
    </row>
    <row r="9722" ht="15" customHeight="1">
      <c r="A9722" t="inlineStr">
        <is>
          <t>S 2711-2023</t>
        </is>
      </c>
      <c r="B9722" t="inlineStr">
        <is>
          <t>samrådsanmälan</t>
        </is>
      </c>
      <c r="C9722" t="inlineStr">
        <is>
          <t>Askåterföring</t>
        </is>
      </c>
      <c r="D9722" s="1" t="n">
        <v>45155</v>
      </c>
      <c r="E9722" s="1" t="n">
        <v>46319</v>
      </c>
      <c r="F9722" t="inlineStr">
        <is>
          <t>DALARNAS LÄN</t>
        </is>
      </c>
      <c r="G9722" t="inlineStr">
        <is>
          <t>FALUN</t>
        </is>
      </c>
      <c r="I9722" t="n">
        <v>2.2</v>
      </c>
      <c r="J9722" t="n">
        <v>0</v>
      </c>
      <c r="K9722" t="n">
        <v>0</v>
      </c>
      <c r="L9722" t="n">
        <v>0</v>
      </c>
      <c r="M9722" t="n">
        <v>0</v>
      </c>
      <c r="N9722" t="n">
        <v>0</v>
      </c>
      <c r="O9722" t="n">
        <v>0</v>
      </c>
      <c r="P9722" t="n">
        <v>0</v>
      </c>
      <c r="Q9722" t="n">
        <v>0</v>
      </c>
      <c r="R9722" t="n">
        <v>0</v>
      </c>
      <c r="S9722" t="n">
        <v>0</v>
      </c>
      <c r="T9722" t="n">
        <v>0</v>
      </c>
      <c r="U9722" t="n">
        <v>0</v>
      </c>
      <c r="V9722" s="2" t="inlineStr"/>
    </row>
    <row r="9723" ht="15" customHeight="1">
      <c r="A9723" t="inlineStr">
        <is>
          <t>S 406-2025</t>
        </is>
      </c>
      <c r="B9723" t="inlineStr">
        <is>
          <t>samrådsanmälan</t>
        </is>
      </c>
      <c r="C9723" t="inlineStr">
        <is>
          <t>Skogsgödsling</t>
        </is>
      </c>
      <c r="D9723" s="1" t="n">
        <v>45699</v>
      </c>
      <c r="E9723" s="1" t="n">
        <v>46319</v>
      </c>
      <c r="F9723" t="inlineStr">
        <is>
          <t>DALARNAS LÄN</t>
        </is>
      </c>
      <c r="G9723" t="inlineStr">
        <is>
          <t>RÄTTVIK</t>
        </is>
      </c>
      <c r="H9723" t="inlineStr">
        <is>
          <t>Bergvik skog öst AB</t>
        </is>
      </c>
      <c r="I9723" t="n">
        <v>36.6</v>
      </c>
      <c r="J9723" t="n">
        <v>0</v>
      </c>
      <c r="K9723" t="n">
        <v>0</v>
      </c>
      <c r="L9723" t="n">
        <v>0</v>
      </c>
      <c r="M9723" t="n">
        <v>0</v>
      </c>
      <c r="N9723" t="n">
        <v>0</v>
      </c>
      <c r="O9723" t="n">
        <v>0</v>
      </c>
      <c r="P9723" t="n">
        <v>0</v>
      </c>
      <c r="Q9723" t="n">
        <v>0</v>
      </c>
      <c r="R9723" t="n">
        <v>0</v>
      </c>
      <c r="S9723" t="n">
        <v>0</v>
      </c>
      <c r="T9723" t="n">
        <v>0</v>
      </c>
      <c r="U9723" t="n">
        <v>0</v>
      </c>
      <c r="V9723" s="2" t="inlineStr"/>
    </row>
    <row r="9724" ht="15" customHeight="1">
      <c r="A9724" t="inlineStr">
        <is>
          <t>S 653-2024</t>
        </is>
      </c>
      <c r="B9724" t="inlineStr">
        <is>
          <t>samrådsanmälan</t>
        </is>
      </c>
      <c r="C9724" t="inlineStr">
        <is>
          <t>Skogsgödsling</t>
        </is>
      </c>
      <c r="D9724" s="1" t="n">
        <v>45356</v>
      </c>
      <c r="E9724" s="1" t="n">
        <v>46319</v>
      </c>
      <c r="F9724" t="inlineStr">
        <is>
          <t>DALARNAS LÄN</t>
        </is>
      </c>
      <c r="G9724" t="inlineStr">
        <is>
          <t>ÄLVDALEN</t>
        </is>
      </c>
      <c r="H9724" t="inlineStr">
        <is>
          <t>Allmännings- och besparingsskogar</t>
        </is>
      </c>
      <c r="I9724" t="n">
        <v>1.8</v>
      </c>
      <c r="J9724" t="n">
        <v>0</v>
      </c>
      <c r="K9724" t="n">
        <v>0</v>
      </c>
      <c r="L9724" t="n">
        <v>0</v>
      </c>
      <c r="M9724" t="n">
        <v>0</v>
      </c>
      <c r="N9724" t="n">
        <v>0</v>
      </c>
      <c r="O9724" t="n">
        <v>0</v>
      </c>
      <c r="P9724" t="n">
        <v>0</v>
      </c>
      <c r="Q9724" t="n">
        <v>0</v>
      </c>
      <c r="R9724" t="n">
        <v>0</v>
      </c>
      <c r="S9724" t="n">
        <v>0</v>
      </c>
      <c r="T9724" t="n">
        <v>0</v>
      </c>
      <c r="U9724" t="n">
        <v>0</v>
      </c>
      <c r="V9724" s="2" t="inlineStr"/>
    </row>
    <row r="9725" ht="15" customHeight="1">
      <c r="A9725" t="inlineStr">
        <is>
          <t>S 2837-2023</t>
        </is>
      </c>
      <c r="B9725" t="inlineStr">
        <is>
          <t>samrådsanmälan</t>
        </is>
      </c>
      <c r="C9725" t="inlineStr">
        <is>
          <t>Annan skogsbruksåtgärd</t>
        </is>
      </c>
      <c r="D9725" s="1" t="n">
        <v>45167</v>
      </c>
      <c r="E9725" s="1" t="n">
        <v>46319</v>
      </c>
      <c r="F9725" t="inlineStr">
        <is>
          <t>DALARNAS LÄN</t>
        </is>
      </c>
      <c r="G9725" t="inlineStr">
        <is>
          <t>LUDVIKA</t>
        </is>
      </c>
      <c r="H9725" t="inlineStr">
        <is>
          <t>Bergvik skog väst AB</t>
        </is>
      </c>
      <c r="I9725" t="n">
        <v>4.4</v>
      </c>
      <c r="J9725" t="n">
        <v>0</v>
      </c>
      <c r="K9725" t="n">
        <v>0</v>
      </c>
      <c r="L9725" t="n">
        <v>0</v>
      </c>
      <c r="M9725" t="n">
        <v>0</v>
      </c>
      <c r="N9725" t="n">
        <v>0</v>
      </c>
      <c r="O9725" t="n">
        <v>0</v>
      </c>
      <c r="P9725" t="n">
        <v>0</v>
      </c>
      <c r="Q9725" t="n">
        <v>0</v>
      </c>
      <c r="R9725" t="n">
        <v>0</v>
      </c>
      <c r="S9725" t="n">
        <v>0</v>
      </c>
      <c r="T9725" t="n">
        <v>0</v>
      </c>
      <c r="U9725" t="n">
        <v>0</v>
      </c>
      <c r="V9725" s="2" t="inlineStr"/>
    </row>
    <row r="9726" ht="15" customHeight="1">
      <c r="A9726" t="inlineStr">
        <is>
          <t>S 264-2025</t>
        </is>
      </c>
      <c r="B9726" t="inlineStr">
        <is>
          <t>samrådsanmälan</t>
        </is>
      </c>
      <c r="C9726" t="inlineStr">
        <is>
          <t>Skogsgödsling</t>
        </is>
      </c>
      <c r="D9726" s="1" t="n">
        <v>45684</v>
      </c>
      <c r="E9726" s="1" t="n">
        <v>46319</v>
      </c>
      <c r="F9726" t="inlineStr">
        <is>
          <t>DALARNAS LÄN</t>
        </is>
      </c>
      <c r="G9726" t="inlineStr">
        <is>
          <t>ÄLVDALEN</t>
        </is>
      </c>
      <c r="H9726" t="inlineStr">
        <is>
          <t>Bergvik skog väst AB</t>
        </is>
      </c>
      <c r="I9726" t="n">
        <v>53.3</v>
      </c>
      <c r="J9726" t="n">
        <v>0</v>
      </c>
      <c r="K9726" t="n">
        <v>0</v>
      </c>
      <c r="L9726" t="n">
        <v>0</v>
      </c>
      <c r="M9726" t="n">
        <v>0</v>
      </c>
      <c r="N9726" t="n">
        <v>0</v>
      </c>
      <c r="O9726" t="n">
        <v>0</v>
      </c>
      <c r="P9726" t="n">
        <v>0</v>
      </c>
      <c r="Q9726" t="n">
        <v>0</v>
      </c>
      <c r="R9726" t="n">
        <v>0</v>
      </c>
      <c r="S9726" t="n">
        <v>0</v>
      </c>
      <c r="T9726" t="n">
        <v>0</v>
      </c>
      <c r="U9726" t="n">
        <v>0</v>
      </c>
      <c r="V9726" s="2" t="inlineStr"/>
    </row>
    <row r="9727" ht="15" customHeight="1">
      <c r="A9727" t="inlineStr">
        <is>
          <t>S 2154-2023</t>
        </is>
      </c>
      <c r="B9727" t="inlineStr">
        <is>
          <t>samrådsanmälan</t>
        </is>
      </c>
      <c r="C9727" t="inlineStr">
        <is>
          <t>Annan skogsbruksåtgärd</t>
        </is>
      </c>
      <c r="D9727" s="1" t="n">
        <v>45097</v>
      </c>
      <c r="E9727" s="1" t="n">
        <v>46319</v>
      </c>
      <c r="F9727" t="inlineStr">
        <is>
          <t>DALARNAS LÄN</t>
        </is>
      </c>
      <c r="G9727" t="inlineStr">
        <is>
          <t>LEKSAND</t>
        </is>
      </c>
      <c r="I9727" t="n">
        <v>0.8</v>
      </c>
      <c r="J9727" t="n">
        <v>0</v>
      </c>
      <c r="K9727" t="n">
        <v>0</v>
      </c>
      <c r="L9727" t="n">
        <v>0</v>
      </c>
      <c r="M9727" t="n">
        <v>0</v>
      </c>
      <c r="N9727" t="n">
        <v>0</v>
      </c>
      <c r="O9727" t="n">
        <v>0</v>
      </c>
      <c r="P9727" t="n">
        <v>0</v>
      </c>
      <c r="Q9727" t="n">
        <v>0</v>
      </c>
      <c r="R9727" t="n">
        <v>0</v>
      </c>
      <c r="S9727" t="n">
        <v>0</v>
      </c>
      <c r="T9727" t="n">
        <v>0</v>
      </c>
      <c r="U9727" t="n">
        <v>0</v>
      </c>
      <c r="V9727" s="2" t="inlineStr"/>
    </row>
    <row r="9728" ht="15" customHeight="1">
      <c r="A9728" t="inlineStr">
        <is>
          <t>S 5034-2024</t>
        </is>
      </c>
      <c r="B9728" t="inlineStr">
        <is>
          <t>samrådsanmälan</t>
        </is>
      </c>
      <c r="C9728" t="inlineStr">
        <is>
          <t>Annan skogsbruksåtgärd</t>
        </is>
      </c>
      <c r="D9728" s="1" t="n">
        <v>45636</v>
      </c>
      <c r="E9728" s="1" t="n">
        <v>46319</v>
      </c>
      <c r="F9728" t="inlineStr">
        <is>
          <t>DALARNAS LÄN</t>
        </is>
      </c>
      <c r="G9728" t="inlineStr">
        <is>
          <t>BORLÄNGE</t>
        </is>
      </c>
      <c r="I9728" t="n">
        <v>0.5</v>
      </c>
      <c r="J9728" t="n">
        <v>0</v>
      </c>
      <c r="K9728" t="n">
        <v>0</v>
      </c>
      <c r="L9728" t="n">
        <v>0</v>
      </c>
      <c r="M9728" t="n">
        <v>0</v>
      </c>
      <c r="N9728" t="n">
        <v>0</v>
      </c>
      <c r="O9728" t="n">
        <v>0</v>
      </c>
      <c r="P9728" t="n">
        <v>0</v>
      </c>
      <c r="Q9728" t="n">
        <v>0</v>
      </c>
      <c r="R9728" t="n">
        <v>0</v>
      </c>
      <c r="S9728" t="n">
        <v>0</v>
      </c>
      <c r="T9728" t="n">
        <v>0</v>
      </c>
      <c r="U9728" t="n">
        <v>0</v>
      </c>
      <c r="V9728" s="2" t="inlineStr"/>
    </row>
    <row r="9729" ht="15" customHeight="1">
      <c r="A9729" t="inlineStr">
        <is>
          <t>S 1536-2023</t>
        </is>
      </c>
      <c r="B9729" t="inlineStr">
        <is>
          <t>samrådsanmälan</t>
        </is>
      </c>
      <c r="C9729" t="inlineStr">
        <is>
          <t>Skogsgödsling</t>
        </is>
      </c>
      <c r="D9729" s="1" t="n">
        <v>45054</v>
      </c>
      <c r="E9729" s="1" t="n">
        <v>46319</v>
      </c>
      <c r="F9729" t="inlineStr">
        <is>
          <t>DALARNAS LÄN</t>
        </is>
      </c>
      <c r="G9729" t="inlineStr">
        <is>
          <t>FALUN</t>
        </is>
      </c>
      <c r="H9729" t="inlineStr">
        <is>
          <t>Bergvik skog väst AB</t>
        </is>
      </c>
      <c r="I9729" t="n">
        <v>179.7</v>
      </c>
      <c r="J9729" t="n">
        <v>0</v>
      </c>
      <c r="K9729" t="n">
        <v>0</v>
      </c>
      <c r="L9729" t="n">
        <v>0</v>
      </c>
      <c r="M9729" t="n">
        <v>0</v>
      </c>
      <c r="N9729" t="n">
        <v>0</v>
      </c>
      <c r="O9729" t="n">
        <v>0</v>
      </c>
      <c r="P9729" t="n">
        <v>0</v>
      </c>
      <c r="Q9729" t="n">
        <v>0</v>
      </c>
      <c r="R9729" t="n">
        <v>0</v>
      </c>
      <c r="S9729" t="n">
        <v>0</v>
      </c>
      <c r="T9729" t="n">
        <v>0</v>
      </c>
      <c r="U9729" t="n">
        <v>0</v>
      </c>
      <c r="V9729" s="2" t="inlineStr"/>
    </row>
    <row r="9730" ht="15" customHeight="1">
      <c r="A9730" t="inlineStr">
        <is>
          <t>S 4717-2024</t>
        </is>
      </c>
      <c r="B9730" t="inlineStr">
        <is>
          <t>samrådsanmälan</t>
        </is>
      </c>
      <c r="C9730" t="inlineStr">
        <is>
          <t>Annan skogsbruksåtgärd</t>
        </is>
      </c>
      <c r="D9730" s="1" t="n">
        <v>45607</v>
      </c>
      <c r="E9730" s="1" t="n">
        <v>46319</v>
      </c>
      <c r="F9730" t="inlineStr">
        <is>
          <t>DALARNAS LÄN</t>
        </is>
      </c>
      <c r="G9730" t="inlineStr">
        <is>
          <t>SMEDJEBACKEN</t>
        </is>
      </c>
      <c r="H9730" t="inlineStr">
        <is>
          <t>Bergvik skog väst AB</t>
        </is>
      </c>
      <c r="I9730" t="n">
        <v>1.4</v>
      </c>
      <c r="J9730" t="n">
        <v>0</v>
      </c>
      <c r="K9730" t="n">
        <v>0</v>
      </c>
      <c r="L9730" t="n">
        <v>0</v>
      </c>
      <c r="M9730" t="n">
        <v>0</v>
      </c>
      <c r="N9730" t="n">
        <v>0</v>
      </c>
      <c r="O9730" t="n">
        <v>0</v>
      </c>
      <c r="P9730" t="n">
        <v>0</v>
      </c>
      <c r="Q9730" t="n">
        <v>0</v>
      </c>
      <c r="R9730" t="n">
        <v>0</v>
      </c>
      <c r="S9730" t="n">
        <v>0</v>
      </c>
      <c r="T9730" t="n">
        <v>0</v>
      </c>
      <c r="U9730" t="n">
        <v>0</v>
      </c>
      <c r="V9730" s="2" t="inlineStr"/>
    </row>
    <row r="9731" ht="15" customHeight="1">
      <c r="A9731" t="inlineStr">
        <is>
          <t>S 6779-2022</t>
        </is>
      </c>
      <c r="B9731" t="inlineStr">
        <is>
          <t>samrådsanmälan</t>
        </is>
      </c>
      <c r="C9731" t="inlineStr">
        <is>
          <t>Annan skogsbruksåtgärd</t>
        </is>
      </c>
      <c r="D9731" s="1" t="n">
        <v>44893</v>
      </c>
      <c r="E9731" s="1" t="n">
        <v>46319</v>
      </c>
      <c r="F9731" t="inlineStr">
        <is>
          <t>DALARNAS LÄN</t>
        </is>
      </c>
      <c r="G9731" t="inlineStr">
        <is>
          <t>MORA</t>
        </is>
      </c>
      <c r="H9731" t="inlineStr">
        <is>
          <t>Bergvik skog öst AB</t>
        </is>
      </c>
      <c r="I9731" t="n">
        <v>11</v>
      </c>
      <c r="J9731" t="n">
        <v>0</v>
      </c>
      <c r="K9731" t="n">
        <v>0</v>
      </c>
      <c r="L9731" t="n">
        <v>0</v>
      </c>
      <c r="M9731" t="n">
        <v>0</v>
      </c>
      <c r="N9731" t="n">
        <v>0</v>
      </c>
      <c r="O9731" t="n">
        <v>0</v>
      </c>
      <c r="P9731" t="n">
        <v>0</v>
      </c>
      <c r="Q9731" t="n">
        <v>0</v>
      </c>
      <c r="R9731" t="n">
        <v>0</v>
      </c>
      <c r="S9731" t="n">
        <v>0</v>
      </c>
      <c r="T9731" t="n">
        <v>0</v>
      </c>
      <c r="U9731" t="n">
        <v>0</v>
      </c>
      <c r="V9731" s="2" t="inlineStr"/>
    </row>
    <row r="9732" ht="15" customHeight="1">
      <c r="A9732" t="inlineStr">
        <is>
          <t>S 350-2023</t>
        </is>
      </c>
      <c r="B9732" t="inlineStr">
        <is>
          <t>samrådsanmälan</t>
        </is>
      </c>
      <c r="C9732" t="inlineStr">
        <is>
          <t>Annan skogsbruksåtgärd</t>
        </is>
      </c>
      <c r="D9732" s="1" t="n">
        <v>44960</v>
      </c>
      <c r="E9732" s="1" t="n">
        <v>46319</v>
      </c>
      <c r="F9732" t="inlineStr">
        <is>
          <t>DALARNAS LÄN</t>
        </is>
      </c>
      <c r="G9732" t="inlineStr">
        <is>
          <t>ORSA</t>
        </is>
      </c>
      <c r="I9732" t="n">
        <v>5.3</v>
      </c>
      <c r="J9732" t="n">
        <v>0</v>
      </c>
      <c r="K9732" t="n">
        <v>0</v>
      </c>
      <c r="L9732" t="n">
        <v>0</v>
      </c>
      <c r="M9732" t="n">
        <v>0</v>
      </c>
      <c r="N9732" t="n">
        <v>0</v>
      </c>
      <c r="O9732" t="n">
        <v>0</v>
      </c>
      <c r="P9732" t="n">
        <v>0</v>
      </c>
      <c r="Q9732" t="n">
        <v>0</v>
      </c>
      <c r="R9732" t="n">
        <v>0</v>
      </c>
      <c r="S9732" t="n">
        <v>0</v>
      </c>
      <c r="T9732" t="n">
        <v>0</v>
      </c>
      <c r="U9732" t="n">
        <v>0</v>
      </c>
      <c r="V9732" s="2" t="inlineStr"/>
    </row>
    <row r="9733" ht="15" customHeight="1">
      <c r="A9733" t="inlineStr">
        <is>
          <t>S 1122-2023</t>
        </is>
      </c>
      <c r="B9733" t="inlineStr">
        <is>
          <t>samrådsanmälan</t>
        </is>
      </c>
      <c r="C9733" t="inlineStr">
        <is>
          <t>Skogsgödsling</t>
        </is>
      </c>
      <c r="D9733" s="1" t="n">
        <v>45015</v>
      </c>
      <c r="E9733" s="1" t="n">
        <v>46319</v>
      </c>
      <c r="F9733" t="inlineStr">
        <is>
          <t>DALARNAS LÄN</t>
        </is>
      </c>
      <c r="G9733" t="inlineStr">
        <is>
          <t>LUDVIKA</t>
        </is>
      </c>
      <c r="H9733" t="inlineStr">
        <is>
          <t>Bergvik skog väst AB</t>
        </is>
      </c>
      <c r="I9733" t="n">
        <v>115.7</v>
      </c>
      <c r="J9733" t="n">
        <v>0</v>
      </c>
      <c r="K9733" t="n">
        <v>0</v>
      </c>
      <c r="L9733" t="n">
        <v>0</v>
      </c>
      <c r="M9733" t="n">
        <v>0</v>
      </c>
      <c r="N9733" t="n">
        <v>0</v>
      </c>
      <c r="O9733" t="n">
        <v>0</v>
      </c>
      <c r="P9733" t="n">
        <v>0</v>
      </c>
      <c r="Q9733" t="n">
        <v>0</v>
      </c>
      <c r="R9733" t="n">
        <v>0</v>
      </c>
      <c r="S9733" t="n">
        <v>0</v>
      </c>
      <c r="T9733" t="n">
        <v>0</v>
      </c>
      <c r="U9733" t="n">
        <v>0</v>
      </c>
      <c r="V9733" s="2" t="inlineStr"/>
    </row>
    <row r="9734" ht="15" customHeight="1">
      <c r="A9734" t="inlineStr">
        <is>
          <t>S 9437-2021</t>
        </is>
      </c>
      <c r="B9734" t="inlineStr">
        <is>
          <t>samrådsanmälan</t>
        </is>
      </c>
      <c r="C9734" t="inlineStr">
        <is>
          <t>Annan skogsbruksåtgärd</t>
        </is>
      </c>
      <c r="D9734" s="1" t="n">
        <v>44522</v>
      </c>
      <c r="E9734" s="1" t="n">
        <v>46319</v>
      </c>
      <c r="F9734" t="inlineStr">
        <is>
          <t>DALARNAS LÄN</t>
        </is>
      </c>
      <c r="G9734" t="inlineStr">
        <is>
          <t>MORA</t>
        </is>
      </c>
      <c r="H9734" t="inlineStr">
        <is>
          <t>Bergvik skog öst AB</t>
        </is>
      </c>
      <c r="I9734" t="n">
        <v>14</v>
      </c>
      <c r="J9734" t="n">
        <v>0</v>
      </c>
      <c r="K9734" t="n">
        <v>0</v>
      </c>
      <c r="L9734" t="n">
        <v>0</v>
      </c>
      <c r="M9734" t="n">
        <v>0</v>
      </c>
      <c r="N9734" t="n">
        <v>0</v>
      </c>
      <c r="O9734" t="n">
        <v>0</v>
      </c>
      <c r="P9734" t="n">
        <v>0</v>
      </c>
      <c r="Q9734" t="n">
        <v>0</v>
      </c>
      <c r="R9734" t="n">
        <v>0</v>
      </c>
      <c r="S9734" t="n">
        <v>0</v>
      </c>
      <c r="T9734" t="n">
        <v>0</v>
      </c>
      <c r="U9734" t="n">
        <v>0</v>
      </c>
      <c r="V9734" s="2" t="inlineStr"/>
    </row>
    <row r="9735" ht="15" customHeight="1">
      <c r="A9735" t="inlineStr">
        <is>
          <t>S 2960-2023</t>
        </is>
      </c>
      <c r="B9735" t="inlineStr">
        <is>
          <t>samrådsanmälan</t>
        </is>
      </c>
      <c r="C9735" t="inlineStr">
        <is>
          <t>Askåterföring</t>
        </is>
      </c>
      <c r="D9735" s="1" t="n">
        <v>45173</v>
      </c>
      <c r="E9735" s="1" t="n">
        <v>46319</v>
      </c>
      <c r="F9735" t="inlineStr">
        <is>
          <t>DALARNAS LÄN</t>
        </is>
      </c>
      <c r="G9735" t="inlineStr">
        <is>
          <t>BORLÄNGE</t>
        </is>
      </c>
      <c r="I9735" t="n">
        <v>2.7</v>
      </c>
      <c r="J9735" t="n">
        <v>0</v>
      </c>
      <c r="K9735" t="n">
        <v>0</v>
      </c>
      <c r="L9735" t="n">
        <v>0</v>
      </c>
      <c r="M9735" t="n">
        <v>0</v>
      </c>
      <c r="N9735" t="n">
        <v>0</v>
      </c>
      <c r="O9735" t="n">
        <v>0</v>
      </c>
      <c r="P9735" t="n">
        <v>0</v>
      </c>
      <c r="Q9735" t="n">
        <v>0</v>
      </c>
      <c r="R9735" t="n">
        <v>0</v>
      </c>
      <c r="S9735" t="n">
        <v>0</v>
      </c>
      <c r="T9735" t="n">
        <v>0</v>
      </c>
      <c r="U9735" t="n">
        <v>0</v>
      </c>
      <c r="V9735" s="2" t="inlineStr"/>
    </row>
    <row r="9736" ht="15" customHeight="1">
      <c r="A9736" t="inlineStr">
        <is>
          <t>S 435-2025</t>
        </is>
      </c>
      <c r="B9736" t="inlineStr">
        <is>
          <t>samrådsanmälan</t>
        </is>
      </c>
      <c r="C9736" t="inlineStr">
        <is>
          <t>Skogsgödsling</t>
        </is>
      </c>
      <c r="D9736" s="1" t="n">
        <v>45700</v>
      </c>
      <c r="E9736" s="1" t="n">
        <v>46319</v>
      </c>
      <c r="F9736" t="inlineStr">
        <is>
          <t>DALARNAS LÄN</t>
        </is>
      </c>
      <c r="G9736" t="inlineStr">
        <is>
          <t>HEDEMORA</t>
        </is>
      </c>
      <c r="H9736" t="inlineStr">
        <is>
          <t>Sveaskog</t>
        </is>
      </c>
      <c r="I9736" t="n">
        <v>41.9</v>
      </c>
      <c r="J9736" t="n">
        <v>0</v>
      </c>
      <c r="K9736" t="n">
        <v>0</v>
      </c>
      <c r="L9736" t="n">
        <v>0</v>
      </c>
      <c r="M9736" t="n">
        <v>0</v>
      </c>
      <c r="N9736" t="n">
        <v>0</v>
      </c>
      <c r="O9736" t="n">
        <v>0</v>
      </c>
      <c r="P9736" t="n">
        <v>0</v>
      </c>
      <c r="Q9736" t="n">
        <v>0</v>
      </c>
      <c r="R9736" t="n">
        <v>0</v>
      </c>
      <c r="S9736" t="n">
        <v>0</v>
      </c>
      <c r="T9736" t="n">
        <v>0</v>
      </c>
      <c r="U9736" t="n">
        <v>0</v>
      </c>
      <c r="V9736" s="2" t="inlineStr"/>
    </row>
    <row r="9737" ht="15" customHeight="1">
      <c r="A9737" t="inlineStr">
        <is>
          <t>S 655-2024</t>
        </is>
      </c>
      <c r="B9737" t="inlineStr">
        <is>
          <t>samrådsanmälan</t>
        </is>
      </c>
      <c r="C9737" t="inlineStr">
        <is>
          <t>Skogsgödsling</t>
        </is>
      </c>
      <c r="D9737" s="1" t="n">
        <v>45356</v>
      </c>
      <c r="E9737" s="1" t="n">
        <v>46319</v>
      </c>
      <c r="F9737" t="inlineStr">
        <is>
          <t>DALARNAS LÄN</t>
        </is>
      </c>
      <c r="G9737" t="inlineStr">
        <is>
          <t>ÄLVDALEN</t>
        </is>
      </c>
      <c r="H9737" t="inlineStr">
        <is>
          <t>Allmännings- och besparingsskogar</t>
        </is>
      </c>
      <c r="I9737" t="n">
        <v>15.6</v>
      </c>
      <c r="J9737" t="n">
        <v>0</v>
      </c>
      <c r="K9737" t="n">
        <v>0</v>
      </c>
      <c r="L9737" t="n">
        <v>0</v>
      </c>
      <c r="M9737" t="n">
        <v>0</v>
      </c>
      <c r="N9737" t="n">
        <v>0</v>
      </c>
      <c r="O9737" t="n">
        <v>0</v>
      </c>
      <c r="P9737" t="n">
        <v>0</v>
      </c>
      <c r="Q9737" t="n">
        <v>0</v>
      </c>
      <c r="R9737" t="n">
        <v>0</v>
      </c>
      <c r="S9737" t="n">
        <v>0</v>
      </c>
      <c r="T9737" t="n">
        <v>0</v>
      </c>
      <c r="U9737" t="n">
        <v>0</v>
      </c>
      <c r="V9737" s="2" t="inlineStr"/>
    </row>
    <row r="9738" ht="15" customHeight="1">
      <c r="A9738" t="inlineStr">
        <is>
          <t>S 7072-2022</t>
        </is>
      </c>
      <c r="B9738" t="inlineStr">
        <is>
          <t>samrådsanmälan</t>
        </is>
      </c>
      <c r="C9738" t="inlineStr">
        <is>
          <t>Annan skogsbruksåtgärd</t>
        </is>
      </c>
      <c r="D9738" s="1" t="n">
        <v>44907</v>
      </c>
      <c r="E9738" s="1" t="n">
        <v>46319</v>
      </c>
      <c r="F9738" t="inlineStr">
        <is>
          <t>DALARNAS LÄN</t>
        </is>
      </c>
      <c r="G9738" t="inlineStr">
        <is>
          <t>ORSA</t>
        </is>
      </c>
      <c r="H9738" t="inlineStr">
        <is>
          <t>Bergvik skog öst AB</t>
        </is>
      </c>
      <c r="I9738" t="n">
        <v>1.2</v>
      </c>
      <c r="J9738" t="n">
        <v>0</v>
      </c>
      <c r="K9738" t="n">
        <v>0</v>
      </c>
      <c r="L9738" t="n">
        <v>0</v>
      </c>
      <c r="M9738" t="n">
        <v>0</v>
      </c>
      <c r="N9738" t="n">
        <v>0</v>
      </c>
      <c r="O9738" t="n">
        <v>0</v>
      </c>
      <c r="P9738" t="n">
        <v>0</v>
      </c>
      <c r="Q9738" t="n">
        <v>0</v>
      </c>
      <c r="R9738" t="n">
        <v>0</v>
      </c>
      <c r="S9738" t="n">
        <v>0</v>
      </c>
      <c r="T9738" t="n">
        <v>0</v>
      </c>
      <c r="U9738" t="n">
        <v>0</v>
      </c>
      <c r="V9738" s="2" t="inlineStr"/>
    </row>
    <row r="9739" ht="15" customHeight="1">
      <c r="A9739" t="inlineStr">
        <is>
          <t>S 3057-2023</t>
        </is>
      </c>
      <c r="B9739" t="inlineStr">
        <is>
          <t>samrådsanmälan</t>
        </is>
      </c>
      <c r="C9739" t="inlineStr">
        <is>
          <t>Annan skogsbruksåtgärd</t>
        </is>
      </c>
      <c r="D9739" s="1" t="n">
        <v>45182</v>
      </c>
      <c r="E9739" s="1" t="n">
        <v>46319</v>
      </c>
      <c r="F9739" t="inlineStr">
        <is>
          <t>DALARNAS LÄN</t>
        </is>
      </c>
      <c r="G9739" t="inlineStr">
        <is>
          <t>SÄTER</t>
        </is>
      </c>
      <c r="I9739" t="n">
        <v>1.1</v>
      </c>
      <c r="J9739" t="n">
        <v>0</v>
      </c>
      <c r="K9739" t="n">
        <v>0</v>
      </c>
      <c r="L9739" t="n">
        <v>0</v>
      </c>
      <c r="M9739" t="n">
        <v>0</v>
      </c>
      <c r="N9739" t="n">
        <v>0</v>
      </c>
      <c r="O9739" t="n">
        <v>0</v>
      </c>
      <c r="P9739" t="n">
        <v>0</v>
      </c>
      <c r="Q9739" t="n">
        <v>0</v>
      </c>
      <c r="R9739" t="n">
        <v>0</v>
      </c>
      <c r="S9739" t="n">
        <v>0</v>
      </c>
      <c r="T9739" t="n">
        <v>0</v>
      </c>
      <c r="U9739" t="n">
        <v>0</v>
      </c>
      <c r="V9739" s="2" t="inlineStr"/>
    </row>
    <row r="9740" ht="15" customHeight="1">
      <c r="A9740" t="inlineStr">
        <is>
          <t>S 685-2024</t>
        </is>
      </c>
      <c r="B9740" t="inlineStr">
        <is>
          <t>samrådsanmälan</t>
        </is>
      </c>
      <c r="C9740" t="inlineStr">
        <is>
          <t>Skogsgödsling</t>
        </is>
      </c>
      <c r="D9740" s="1" t="n">
        <v>45359</v>
      </c>
      <c r="E9740" s="1" t="n">
        <v>46319</v>
      </c>
      <c r="F9740" t="inlineStr">
        <is>
          <t>DALARNAS LÄN</t>
        </is>
      </c>
      <c r="G9740" t="inlineStr">
        <is>
          <t>ÄLVDALEN</t>
        </is>
      </c>
      <c r="H9740" t="inlineStr">
        <is>
          <t>Allmännings- och besparingsskogar</t>
        </is>
      </c>
      <c r="I9740" t="n">
        <v>26.5</v>
      </c>
      <c r="J9740" t="n">
        <v>0</v>
      </c>
      <c r="K9740" t="n">
        <v>0</v>
      </c>
      <c r="L9740" t="n">
        <v>0</v>
      </c>
      <c r="M9740" t="n">
        <v>0</v>
      </c>
      <c r="N9740" t="n">
        <v>0</v>
      </c>
      <c r="O9740" t="n">
        <v>0</v>
      </c>
      <c r="P9740" t="n">
        <v>0</v>
      </c>
      <c r="Q9740" t="n">
        <v>0</v>
      </c>
      <c r="R9740" t="n">
        <v>0</v>
      </c>
      <c r="S9740" t="n">
        <v>0</v>
      </c>
      <c r="T9740" t="n">
        <v>0</v>
      </c>
      <c r="U9740" t="n">
        <v>0</v>
      </c>
      <c r="V9740" s="2" t="inlineStr"/>
    </row>
    <row r="9741" ht="15" customHeight="1">
      <c r="A9741" t="inlineStr">
        <is>
          <t>S 8669-2021</t>
        </is>
      </c>
      <c r="B9741" t="inlineStr">
        <is>
          <t>samrådsanmälan</t>
        </is>
      </c>
      <c r="C9741" t="inlineStr">
        <is>
          <t>Skogsgödsling</t>
        </is>
      </c>
      <c r="D9741" s="1" t="n">
        <v>44498</v>
      </c>
      <c r="E9741" s="1" t="n">
        <v>46319</v>
      </c>
      <c r="F9741" t="inlineStr">
        <is>
          <t>DALARNAS LÄN</t>
        </is>
      </c>
      <c r="G9741" t="inlineStr">
        <is>
          <t>ORSA</t>
        </is>
      </c>
      <c r="H9741" t="inlineStr">
        <is>
          <t>Allmännings- och besparingsskogar</t>
        </is>
      </c>
      <c r="I9741" t="n">
        <v>106</v>
      </c>
      <c r="J9741" t="n">
        <v>0</v>
      </c>
      <c r="K9741" t="n">
        <v>0</v>
      </c>
      <c r="L9741" t="n">
        <v>0</v>
      </c>
      <c r="M9741" t="n">
        <v>0</v>
      </c>
      <c r="N9741" t="n">
        <v>0</v>
      </c>
      <c r="O9741" t="n">
        <v>0</v>
      </c>
      <c r="P9741" t="n">
        <v>0</v>
      </c>
      <c r="Q9741" t="n">
        <v>0</v>
      </c>
      <c r="R9741" t="n">
        <v>0</v>
      </c>
      <c r="S9741" t="n">
        <v>0</v>
      </c>
      <c r="T9741" t="n">
        <v>0</v>
      </c>
      <c r="U9741" t="n">
        <v>0</v>
      </c>
      <c r="V9741" s="2" t="inlineStr"/>
    </row>
    <row r="9742" ht="15" customHeight="1">
      <c r="A9742" t="inlineStr">
        <is>
          <t>S 460-2024</t>
        </is>
      </c>
      <c r="B9742" t="inlineStr">
        <is>
          <t>samrådsanmälan</t>
        </is>
      </c>
      <c r="C9742" t="inlineStr">
        <is>
          <t>Annan skogsbruksåtgärd</t>
        </is>
      </c>
      <c r="D9742" s="1" t="n">
        <v>45341</v>
      </c>
      <c r="E9742" s="1" t="n">
        <v>46319</v>
      </c>
      <c r="F9742" t="inlineStr">
        <is>
          <t>DALARNAS LÄN</t>
        </is>
      </c>
      <c r="G9742" t="inlineStr">
        <is>
          <t>GAGNEF</t>
        </is>
      </c>
      <c r="I9742" t="n">
        <v>0.8</v>
      </c>
      <c r="J9742" t="n">
        <v>0</v>
      </c>
      <c r="K9742" t="n">
        <v>0</v>
      </c>
      <c r="L9742" t="n">
        <v>0</v>
      </c>
      <c r="M9742" t="n">
        <v>0</v>
      </c>
      <c r="N9742" t="n">
        <v>0</v>
      </c>
      <c r="O9742" t="n">
        <v>0</v>
      </c>
      <c r="P9742" t="n">
        <v>0</v>
      </c>
      <c r="Q9742" t="n">
        <v>0</v>
      </c>
      <c r="R9742" t="n">
        <v>0</v>
      </c>
      <c r="S9742" t="n">
        <v>0</v>
      </c>
      <c r="T9742" t="n">
        <v>0</v>
      </c>
      <c r="U9742" t="n">
        <v>0</v>
      </c>
      <c r="V9742" s="2" t="inlineStr"/>
    </row>
    <row r="9743" ht="15" customHeight="1">
      <c r="A9743" t="inlineStr">
        <is>
          <t>S 433-2025</t>
        </is>
      </c>
      <c r="B9743" t="inlineStr">
        <is>
          <t>samrådsanmälan</t>
        </is>
      </c>
      <c r="C9743" t="inlineStr">
        <is>
          <t>Skogsgödsling</t>
        </is>
      </c>
      <c r="D9743" s="1" t="n">
        <v>45700</v>
      </c>
      <c r="E9743" s="1" t="n">
        <v>46319</v>
      </c>
      <c r="F9743" t="inlineStr">
        <is>
          <t>DALARNAS LÄN</t>
        </is>
      </c>
      <c r="G9743" t="inlineStr">
        <is>
          <t>HEDEMORA</t>
        </is>
      </c>
      <c r="H9743" t="inlineStr">
        <is>
          <t>Sveaskog</t>
        </is>
      </c>
      <c r="I9743" t="n">
        <v>14.2</v>
      </c>
      <c r="J9743" t="n">
        <v>0</v>
      </c>
      <c r="K9743" t="n">
        <v>0</v>
      </c>
      <c r="L9743" t="n">
        <v>0</v>
      </c>
      <c r="M9743" t="n">
        <v>0</v>
      </c>
      <c r="N9743" t="n">
        <v>0</v>
      </c>
      <c r="O9743" t="n">
        <v>0</v>
      </c>
      <c r="P9743" t="n">
        <v>0</v>
      </c>
      <c r="Q9743" t="n">
        <v>0</v>
      </c>
      <c r="R9743" t="n">
        <v>0</v>
      </c>
      <c r="S9743" t="n">
        <v>0</v>
      </c>
      <c r="T9743" t="n">
        <v>0</v>
      </c>
      <c r="U9743" t="n">
        <v>0</v>
      </c>
      <c r="V9743" s="2" t="inlineStr"/>
    </row>
    <row r="9744" ht="15" customHeight="1">
      <c r="A9744" t="inlineStr">
        <is>
          <t>S 197-2024</t>
        </is>
      </c>
      <c r="B9744" t="inlineStr">
        <is>
          <t>samrådsanmälan</t>
        </is>
      </c>
      <c r="C9744" t="inlineStr">
        <is>
          <t>Skogsgödsling</t>
        </is>
      </c>
      <c r="D9744" s="1" t="n">
        <v>45315</v>
      </c>
      <c r="E9744" s="1" t="n">
        <v>46319</v>
      </c>
      <c r="F9744" t="inlineStr">
        <is>
          <t>DALARNAS LÄN</t>
        </is>
      </c>
      <c r="G9744" t="inlineStr">
        <is>
          <t>AVESTA</t>
        </is>
      </c>
      <c r="H9744" t="inlineStr">
        <is>
          <t>Bergvik skog öst AB</t>
        </is>
      </c>
      <c r="I9744" t="n">
        <v>149.1</v>
      </c>
      <c r="J9744" t="n">
        <v>0</v>
      </c>
      <c r="K9744" t="n">
        <v>0</v>
      </c>
      <c r="L9744" t="n">
        <v>0</v>
      </c>
      <c r="M9744" t="n">
        <v>0</v>
      </c>
      <c r="N9744" t="n">
        <v>0</v>
      </c>
      <c r="O9744" t="n">
        <v>0</v>
      </c>
      <c r="P9744" t="n">
        <v>0</v>
      </c>
      <c r="Q9744" t="n">
        <v>0</v>
      </c>
      <c r="R9744" t="n">
        <v>0</v>
      </c>
      <c r="S9744" t="n">
        <v>0</v>
      </c>
      <c r="T9744" t="n">
        <v>0</v>
      </c>
      <c r="U9744" t="n">
        <v>0</v>
      </c>
      <c r="V9744" s="2" t="inlineStr"/>
    </row>
    <row r="9745" ht="15" customHeight="1">
      <c r="A9745" t="inlineStr">
        <is>
          <t>S 9014-2021</t>
        </is>
      </c>
      <c r="B9745" t="inlineStr">
        <is>
          <t>samrådsanmälan</t>
        </is>
      </c>
      <c r="C9745" t="inlineStr">
        <is>
          <t>Annan skogsbruksåtgärd</t>
        </is>
      </c>
      <c r="D9745" s="1" t="n">
        <v>44510</v>
      </c>
      <c r="E9745" s="1" t="n">
        <v>46319</v>
      </c>
      <c r="F9745" t="inlineStr">
        <is>
          <t>DALARNAS LÄN</t>
        </is>
      </c>
      <c r="G9745" t="inlineStr">
        <is>
          <t>GAGNEF</t>
        </is>
      </c>
      <c r="I9745" t="n">
        <v>1</v>
      </c>
      <c r="J9745" t="n">
        <v>0</v>
      </c>
      <c r="K9745" t="n">
        <v>0</v>
      </c>
      <c r="L9745" t="n">
        <v>0</v>
      </c>
      <c r="M9745" t="n">
        <v>0</v>
      </c>
      <c r="N9745" t="n">
        <v>0</v>
      </c>
      <c r="O9745" t="n">
        <v>0</v>
      </c>
      <c r="P9745" t="n">
        <v>0</v>
      </c>
      <c r="Q9745" t="n">
        <v>0</v>
      </c>
      <c r="R9745" t="n">
        <v>0</v>
      </c>
      <c r="S9745" t="n">
        <v>0</v>
      </c>
      <c r="T9745" t="n">
        <v>0</v>
      </c>
      <c r="U9745" t="n">
        <v>0</v>
      </c>
      <c r="V9745" s="2" t="inlineStr"/>
    </row>
    <row r="9746" ht="15" customHeight="1">
      <c r="A9746" t="inlineStr">
        <is>
          <t>S 1286-2024</t>
        </is>
      </c>
      <c r="B9746" t="inlineStr">
        <is>
          <t>samrådsanmälan</t>
        </is>
      </c>
      <c r="C9746" t="inlineStr">
        <is>
          <t>Skogsgödsling</t>
        </is>
      </c>
      <c r="D9746" s="1" t="n">
        <v>45401</v>
      </c>
      <c r="E9746" s="1" t="n">
        <v>46319</v>
      </c>
      <c r="F9746" t="inlineStr">
        <is>
          <t>DALARNAS LÄN</t>
        </is>
      </c>
      <c r="G9746" t="inlineStr">
        <is>
          <t>VANSBRO</t>
        </is>
      </c>
      <c r="H9746" t="inlineStr">
        <is>
          <t>Bergvik skog väst AB</t>
        </is>
      </c>
      <c r="I9746" t="n">
        <v>220.8</v>
      </c>
      <c r="J9746" t="n">
        <v>0</v>
      </c>
      <c r="K9746" t="n">
        <v>0</v>
      </c>
      <c r="L9746" t="n">
        <v>0</v>
      </c>
      <c r="M9746" t="n">
        <v>0</v>
      </c>
      <c r="N9746" t="n">
        <v>0</v>
      </c>
      <c r="O9746" t="n">
        <v>0</v>
      </c>
      <c r="P9746" t="n">
        <v>0</v>
      </c>
      <c r="Q9746" t="n">
        <v>0</v>
      </c>
      <c r="R9746" t="n">
        <v>0</v>
      </c>
      <c r="S9746" t="n">
        <v>0</v>
      </c>
      <c r="T9746" t="n">
        <v>0</v>
      </c>
      <c r="U9746" t="n">
        <v>0</v>
      </c>
      <c r="V9746" s="2" t="inlineStr"/>
    </row>
    <row r="9747" ht="15" customHeight="1">
      <c r="A9747" t="inlineStr">
        <is>
          <t>S 813-2024</t>
        </is>
      </c>
      <c r="B9747" t="inlineStr">
        <is>
          <t>samrådsanmälan</t>
        </is>
      </c>
      <c r="C9747" t="inlineStr">
        <is>
          <t>Skogsgödsling</t>
        </is>
      </c>
      <c r="D9747" s="1" t="n">
        <v>45371</v>
      </c>
      <c r="E9747" s="1" t="n">
        <v>46319</v>
      </c>
      <c r="F9747" t="inlineStr">
        <is>
          <t>DALARNAS LÄN</t>
        </is>
      </c>
      <c r="G9747" t="inlineStr">
        <is>
          <t>MALUNG-SÄLEN</t>
        </is>
      </c>
      <c r="I9747" t="n">
        <v>12.6</v>
      </c>
      <c r="J9747" t="n">
        <v>0</v>
      </c>
      <c r="K9747" t="n">
        <v>0</v>
      </c>
      <c r="L9747" t="n">
        <v>0</v>
      </c>
      <c r="M9747" t="n">
        <v>0</v>
      </c>
      <c r="N9747" t="n">
        <v>0</v>
      </c>
      <c r="O9747" t="n">
        <v>0</v>
      </c>
      <c r="P9747" t="n">
        <v>0</v>
      </c>
      <c r="Q9747" t="n">
        <v>0</v>
      </c>
      <c r="R9747" t="n">
        <v>0</v>
      </c>
      <c r="S9747" t="n">
        <v>0</v>
      </c>
      <c r="T9747" t="n">
        <v>0</v>
      </c>
      <c r="U9747" t="n">
        <v>0</v>
      </c>
      <c r="V9747" s="2" t="inlineStr"/>
    </row>
    <row r="9748" ht="15" customHeight="1">
      <c r="A9748" t="inlineStr">
        <is>
          <t>S 3660-2023</t>
        </is>
      </c>
      <c r="B9748" t="inlineStr">
        <is>
          <t>samrådsanmälan</t>
        </is>
      </c>
      <c r="C9748" t="inlineStr">
        <is>
          <t>Annan skogsbruksåtgärd</t>
        </is>
      </c>
      <c r="D9748" s="1" t="n">
        <v>45216</v>
      </c>
      <c r="E9748" s="1" t="n">
        <v>46319</v>
      </c>
      <c r="F9748" t="inlineStr">
        <is>
          <t>DALARNAS LÄN</t>
        </is>
      </c>
      <c r="G9748" t="inlineStr">
        <is>
          <t>LUDVIKA</t>
        </is>
      </c>
      <c r="H9748" t="inlineStr">
        <is>
          <t>Bergvik skog väst AB</t>
        </is>
      </c>
      <c r="I9748" t="n">
        <v>5.9</v>
      </c>
      <c r="J9748" t="n">
        <v>0</v>
      </c>
      <c r="K9748" t="n">
        <v>0</v>
      </c>
      <c r="L9748" t="n">
        <v>0</v>
      </c>
      <c r="M9748" t="n">
        <v>0</v>
      </c>
      <c r="N9748" t="n">
        <v>0</v>
      </c>
      <c r="O9748" t="n">
        <v>0</v>
      </c>
      <c r="P9748" t="n">
        <v>0</v>
      </c>
      <c r="Q9748" t="n">
        <v>0</v>
      </c>
      <c r="R9748" t="n">
        <v>0</v>
      </c>
      <c r="S9748" t="n">
        <v>0</v>
      </c>
      <c r="T9748" t="n">
        <v>0</v>
      </c>
      <c r="U9748" t="n">
        <v>0</v>
      </c>
      <c r="V9748" s="2" t="inlineStr"/>
    </row>
    <row r="9749" ht="15" customHeight="1">
      <c r="A9749" t="inlineStr">
        <is>
          <t>S 624-2024</t>
        </is>
      </c>
      <c r="B9749" t="inlineStr">
        <is>
          <t>samrådsanmälan</t>
        </is>
      </c>
      <c r="C9749" t="inlineStr">
        <is>
          <t>Skogsgödsling</t>
        </is>
      </c>
      <c r="D9749" s="1" t="n">
        <v>45355</v>
      </c>
      <c r="E9749" s="1" t="n">
        <v>46319</v>
      </c>
      <c r="F9749" t="inlineStr">
        <is>
          <t>DALARNAS LÄN</t>
        </is>
      </c>
      <c r="G9749" t="inlineStr">
        <is>
          <t>ÄLVDALEN</t>
        </is>
      </c>
      <c r="H9749" t="inlineStr">
        <is>
          <t>Allmännings- och besparingsskogar</t>
        </is>
      </c>
      <c r="I9749" t="n">
        <v>24.3</v>
      </c>
      <c r="J9749" t="n">
        <v>0</v>
      </c>
      <c r="K9749" t="n">
        <v>0</v>
      </c>
      <c r="L9749" t="n">
        <v>0</v>
      </c>
      <c r="M9749" t="n">
        <v>0</v>
      </c>
      <c r="N9749" t="n">
        <v>0</v>
      </c>
      <c r="O9749" t="n">
        <v>0</v>
      </c>
      <c r="P9749" t="n">
        <v>0</v>
      </c>
      <c r="Q9749" t="n">
        <v>0</v>
      </c>
      <c r="R9749" t="n">
        <v>0</v>
      </c>
      <c r="S9749" t="n">
        <v>0</v>
      </c>
      <c r="T9749" t="n">
        <v>0</v>
      </c>
      <c r="U9749" t="n">
        <v>0</v>
      </c>
      <c r="V9749" s="2" t="inlineStr"/>
    </row>
    <row r="9750" ht="15" customHeight="1">
      <c r="A9750" t="inlineStr">
        <is>
          <t>S 9265-2021</t>
        </is>
      </c>
      <c r="B9750" t="inlineStr">
        <is>
          <t>samrådsanmälan</t>
        </is>
      </c>
      <c r="C9750" t="inlineStr">
        <is>
          <t>Annan skogsbruksåtgärd</t>
        </is>
      </c>
      <c r="D9750" s="1" t="n">
        <v>44517</v>
      </c>
      <c r="E9750" s="1" t="n">
        <v>46319</v>
      </c>
      <c r="F9750" t="inlineStr">
        <is>
          <t>DALARNAS LÄN</t>
        </is>
      </c>
      <c r="G9750" t="inlineStr">
        <is>
          <t>SMEDJEBACKEN</t>
        </is>
      </c>
      <c r="H9750" t="inlineStr">
        <is>
          <t>Bergvik skog väst AB</t>
        </is>
      </c>
      <c r="I9750" t="n">
        <v>2.8</v>
      </c>
      <c r="J9750" t="n">
        <v>0</v>
      </c>
      <c r="K9750" t="n">
        <v>0</v>
      </c>
      <c r="L9750" t="n">
        <v>0</v>
      </c>
      <c r="M9750" t="n">
        <v>0</v>
      </c>
      <c r="N9750" t="n">
        <v>0</v>
      </c>
      <c r="O9750" t="n">
        <v>0</v>
      </c>
      <c r="P9750" t="n">
        <v>0</v>
      </c>
      <c r="Q9750" t="n">
        <v>0</v>
      </c>
      <c r="R9750" t="n">
        <v>0</v>
      </c>
      <c r="S9750" t="n">
        <v>0</v>
      </c>
      <c r="T9750" t="n">
        <v>0</v>
      </c>
      <c r="U9750" t="n">
        <v>0</v>
      </c>
      <c r="V9750" s="2" t="inlineStr"/>
    </row>
    <row r="9751" ht="15" customHeight="1">
      <c r="A9751" t="inlineStr">
        <is>
          <t>S 632-2024</t>
        </is>
      </c>
      <c r="B9751" t="inlineStr">
        <is>
          <t>samrådsanmälan</t>
        </is>
      </c>
      <c r="C9751" t="inlineStr">
        <is>
          <t>Skogsgödsling</t>
        </is>
      </c>
      <c r="D9751" s="1" t="n">
        <v>45355</v>
      </c>
      <c r="E9751" s="1" t="n">
        <v>46319</v>
      </c>
      <c r="F9751" t="inlineStr">
        <is>
          <t>DALARNAS LÄN</t>
        </is>
      </c>
      <c r="G9751" t="inlineStr">
        <is>
          <t>ÄLVDALEN</t>
        </is>
      </c>
      <c r="H9751" t="inlineStr">
        <is>
          <t>Allmännings- och besparingsskogar</t>
        </is>
      </c>
      <c r="I9751" t="n">
        <v>3</v>
      </c>
      <c r="J9751" t="n">
        <v>0</v>
      </c>
      <c r="K9751" t="n">
        <v>0</v>
      </c>
      <c r="L9751" t="n">
        <v>0</v>
      </c>
      <c r="M9751" t="n">
        <v>0</v>
      </c>
      <c r="N9751" t="n">
        <v>0</v>
      </c>
      <c r="O9751" t="n">
        <v>0</v>
      </c>
      <c r="P9751" t="n">
        <v>0</v>
      </c>
      <c r="Q9751" t="n">
        <v>0</v>
      </c>
      <c r="R9751" t="n">
        <v>0</v>
      </c>
      <c r="S9751" t="n">
        <v>0</v>
      </c>
      <c r="T9751" t="n">
        <v>0</v>
      </c>
      <c r="U9751" t="n">
        <v>0</v>
      </c>
      <c r="V9751" s="2" t="inlineStr"/>
    </row>
    <row r="9752" ht="15" customHeight="1">
      <c r="A9752" t="inlineStr">
        <is>
          <t>S 922-2024</t>
        </is>
      </c>
      <c r="B9752" t="inlineStr">
        <is>
          <t>samrådsanmälan</t>
        </is>
      </c>
      <c r="C9752" t="inlineStr">
        <is>
          <t>Skogsgödsling</t>
        </is>
      </c>
      <c r="D9752" s="1" t="n">
        <v>45378</v>
      </c>
      <c r="E9752" s="1" t="n">
        <v>46319</v>
      </c>
      <c r="F9752" t="inlineStr">
        <is>
          <t>DALARNAS LÄN</t>
        </is>
      </c>
      <c r="G9752" t="inlineStr">
        <is>
          <t>BORLÄNGE</t>
        </is>
      </c>
      <c r="I9752" t="n">
        <v>37.5</v>
      </c>
      <c r="J9752" t="n">
        <v>0</v>
      </c>
      <c r="K9752" t="n">
        <v>0</v>
      </c>
      <c r="L9752" t="n">
        <v>0</v>
      </c>
      <c r="M9752" t="n">
        <v>0</v>
      </c>
      <c r="N9752" t="n">
        <v>0</v>
      </c>
      <c r="O9752" t="n">
        <v>0</v>
      </c>
      <c r="P9752" t="n">
        <v>0</v>
      </c>
      <c r="Q9752" t="n">
        <v>0</v>
      </c>
      <c r="R9752" t="n">
        <v>0</v>
      </c>
      <c r="S9752" t="n">
        <v>0</v>
      </c>
      <c r="T9752" t="n">
        <v>0</v>
      </c>
      <c r="U9752" t="n">
        <v>0</v>
      </c>
      <c r="V9752" s="2" t="inlineStr"/>
    </row>
    <row r="9753" ht="15" customHeight="1">
      <c r="A9753" t="inlineStr">
        <is>
          <t>S 2864-2023</t>
        </is>
      </c>
      <c r="B9753" t="inlineStr">
        <is>
          <t>samrådsanmälan</t>
        </is>
      </c>
      <c r="C9753" t="inlineStr">
        <is>
          <t>Askåterföring</t>
        </is>
      </c>
      <c r="D9753" s="1" t="n">
        <v>45168</v>
      </c>
      <c r="E9753" s="1" t="n">
        <v>46319</v>
      </c>
      <c r="F9753" t="inlineStr">
        <is>
          <t>DALARNAS LÄN</t>
        </is>
      </c>
      <c r="G9753" t="inlineStr">
        <is>
          <t>FALUN</t>
        </is>
      </c>
      <c r="H9753" t="inlineStr">
        <is>
          <t>Övriga statliga verk och myndigheter</t>
        </is>
      </c>
      <c r="I9753" t="n">
        <v>15.7</v>
      </c>
      <c r="J9753" t="n">
        <v>0</v>
      </c>
      <c r="K9753" t="n">
        <v>0</v>
      </c>
      <c r="L9753" t="n">
        <v>0</v>
      </c>
      <c r="M9753" t="n">
        <v>0</v>
      </c>
      <c r="N9753" t="n">
        <v>0</v>
      </c>
      <c r="O9753" t="n">
        <v>0</v>
      </c>
      <c r="P9753" t="n">
        <v>0</v>
      </c>
      <c r="Q9753" t="n">
        <v>0</v>
      </c>
      <c r="R9753" t="n">
        <v>0</v>
      </c>
      <c r="S9753" t="n">
        <v>0</v>
      </c>
      <c r="T9753" t="n">
        <v>0</v>
      </c>
      <c r="U9753" t="n">
        <v>0</v>
      </c>
      <c r="V9753" s="2" t="inlineStr"/>
    </row>
    <row r="9754" ht="15" customHeight="1">
      <c r="A9754" t="inlineStr">
        <is>
          <t>S 2539-2023</t>
        </is>
      </c>
      <c r="B9754" t="inlineStr">
        <is>
          <t>samrådsanmälan</t>
        </is>
      </c>
      <c r="C9754" t="inlineStr">
        <is>
          <t>Annan skogsbruksåtgärd</t>
        </is>
      </c>
      <c r="D9754" s="1" t="n">
        <v>45133</v>
      </c>
      <c r="E9754" s="1" t="n">
        <v>46319</v>
      </c>
      <c r="F9754" t="inlineStr">
        <is>
          <t>DALARNAS LÄN</t>
        </is>
      </c>
      <c r="G9754" t="inlineStr">
        <is>
          <t>LEKSAND</t>
        </is>
      </c>
      <c r="I9754" t="n">
        <v>3.7</v>
      </c>
      <c r="J9754" t="n">
        <v>0</v>
      </c>
      <c r="K9754" t="n">
        <v>0</v>
      </c>
      <c r="L9754" t="n">
        <v>0</v>
      </c>
      <c r="M9754" t="n">
        <v>0</v>
      </c>
      <c r="N9754" t="n">
        <v>0</v>
      </c>
      <c r="O9754" t="n">
        <v>0</v>
      </c>
      <c r="P9754" t="n">
        <v>0</v>
      </c>
      <c r="Q9754" t="n">
        <v>0</v>
      </c>
      <c r="R9754" t="n">
        <v>0</v>
      </c>
      <c r="S9754" t="n">
        <v>0</v>
      </c>
      <c r="T9754" t="n">
        <v>0</v>
      </c>
      <c r="U9754" t="n">
        <v>0</v>
      </c>
      <c r="V9754" s="2" t="inlineStr"/>
    </row>
    <row r="9755" ht="15" customHeight="1">
      <c r="A9755" t="inlineStr">
        <is>
          <t>S 2968-2024</t>
        </is>
      </c>
      <c r="B9755" t="inlineStr">
        <is>
          <t>samrådsanmälan</t>
        </is>
      </c>
      <c r="C9755" t="inlineStr">
        <is>
          <t>Annan skogsbruksåtgärd</t>
        </is>
      </c>
      <c r="D9755" s="1" t="n">
        <v>45509</v>
      </c>
      <c r="E9755" s="1" t="n">
        <v>46319</v>
      </c>
      <c r="F9755" t="inlineStr">
        <is>
          <t>DALARNAS LÄN</t>
        </is>
      </c>
      <c r="G9755" t="inlineStr">
        <is>
          <t>BORLÄNGE</t>
        </is>
      </c>
      <c r="H9755" t="inlineStr">
        <is>
          <t>Bergvik skog väst AB</t>
        </is>
      </c>
      <c r="I9755" t="n">
        <v>0.8</v>
      </c>
      <c r="J9755" t="n">
        <v>0</v>
      </c>
      <c r="K9755" t="n">
        <v>0</v>
      </c>
      <c r="L9755" t="n">
        <v>0</v>
      </c>
      <c r="M9755" t="n">
        <v>0</v>
      </c>
      <c r="N9755" t="n">
        <v>0</v>
      </c>
      <c r="O9755" t="n">
        <v>0</v>
      </c>
      <c r="P9755" t="n">
        <v>0</v>
      </c>
      <c r="Q9755" t="n">
        <v>0</v>
      </c>
      <c r="R9755" t="n">
        <v>0</v>
      </c>
      <c r="S9755" t="n">
        <v>0</v>
      </c>
      <c r="T9755" t="n">
        <v>0</v>
      </c>
      <c r="U9755" t="n">
        <v>0</v>
      </c>
      <c r="V9755" s="2" t="inlineStr"/>
    </row>
    <row r="9756" ht="15" customHeight="1">
      <c r="A9756" t="inlineStr">
        <is>
          <t>S 2917-2023</t>
        </is>
      </c>
      <c r="B9756" t="inlineStr">
        <is>
          <t>samrådsanmälan</t>
        </is>
      </c>
      <c r="C9756" t="inlineStr">
        <is>
          <t>Askåterföring</t>
        </is>
      </c>
      <c r="D9756" s="1" t="n">
        <v>45169</v>
      </c>
      <c r="E9756" s="1" t="n">
        <v>46319</v>
      </c>
      <c r="F9756" t="inlineStr">
        <is>
          <t>DALARNAS LÄN</t>
        </is>
      </c>
      <c r="G9756" t="inlineStr">
        <is>
          <t>FALUN</t>
        </is>
      </c>
      <c r="H9756" t="inlineStr">
        <is>
          <t>Övriga statliga verk och myndigheter</t>
        </is>
      </c>
      <c r="I9756" t="n">
        <v>5.5</v>
      </c>
      <c r="J9756" t="n">
        <v>0</v>
      </c>
      <c r="K9756" t="n">
        <v>0</v>
      </c>
      <c r="L9756" t="n">
        <v>0</v>
      </c>
      <c r="M9756" t="n">
        <v>0</v>
      </c>
      <c r="N9756" t="n">
        <v>0</v>
      </c>
      <c r="O9756" t="n">
        <v>0</v>
      </c>
      <c r="P9756" t="n">
        <v>0</v>
      </c>
      <c r="Q9756" t="n">
        <v>0</v>
      </c>
      <c r="R9756" t="n">
        <v>0</v>
      </c>
      <c r="S9756" t="n">
        <v>0</v>
      </c>
      <c r="T9756" t="n">
        <v>0</v>
      </c>
      <c r="U9756" t="n">
        <v>0</v>
      </c>
      <c r="V9756" s="2" t="inlineStr"/>
    </row>
    <row r="9757" ht="15" customHeight="1">
      <c r="A9757" t="inlineStr">
        <is>
          <t>S 2437-2023</t>
        </is>
      </c>
      <c r="B9757" t="inlineStr">
        <is>
          <t>samrådsanmälan</t>
        </is>
      </c>
      <c r="C9757" t="inlineStr">
        <is>
          <t>Annan skogsbruksåtgärd</t>
        </is>
      </c>
      <c r="D9757" s="1" t="n">
        <v>45125</v>
      </c>
      <c r="E9757" s="1" t="n">
        <v>46319</v>
      </c>
      <c r="F9757" t="inlineStr">
        <is>
          <t>DALARNAS LÄN</t>
        </is>
      </c>
      <c r="G9757" t="inlineStr">
        <is>
          <t>RÄTTVIK</t>
        </is>
      </c>
      <c r="I9757" t="n">
        <v>0</v>
      </c>
      <c r="J9757" t="n">
        <v>0</v>
      </c>
      <c r="K9757" t="n">
        <v>0</v>
      </c>
      <c r="L9757" t="n">
        <v>0</v>
      </c>
      <c r="M9757" t="n">
        <v>0</v>
      </c>
      <c r="N9757" t="n">
        <v>0</v>
      </c>
      <c r="O9757" t="n">
        <v>0</v>
      </c>
      <c r="P9757" t="n">
        <v>0</v>
      </c>
      <c r="Q9757" t="n">
        <v>0</v>
      </c>
      <c r="R9757" t="n">
        <v>0</v>
      </c>
      <c r="S9757" t="n">
        <v>0</v>
      </c>
      <c r="T9757" t="n">
        <v>0</v>
      </c>
      <c r="U9757" t="n">
        <v>0</v>
      </c>
      <c r="V9757" s="2" t="inlineStr"/>
    </row>
    <row r="9758" ht="15" customHeight="1">
      <c r="A9758" t="inlineStr">
        <is>
          <t>S 1246-2024</t>
        </is>
      </c>
      <c r="B9758" t="inlineStr">
        <is>
          <t>samrådsanmälan</t>
        </is>
      </c>
      <c r="C9758" t="inlineStr">
        <is>
          <t>Skogsgödsling</t>
        </is>
      </c>
      <c r="D9758" s="1" t="n">
        <v>45400</v>
      </c>
      <c r="E9758" s="1" t="n">
        <v>46319</v>
      </c>
      <c r="F9758" t="inlineStr">
        <is>
          <t>DALARNAS LÄN</t>
        </is>
      </c>
      <c r="G9758" t="inlineStr">
        <is>
          <t>LUDVIKA</t>
        </is>
      </c>
      <c r="H9758" t="inlineStr">
        <is>
          <t>Bergvik skog väst AB</t>
        </is>
      </c>
      <c r="I9758" t="n">
        <v>35</v>
      </c>
      <c r="J9758" t="n">
        <v>0</v>
      </c>
      <c r="K9758" t="n">
        <v>0</v>
      </c>
      <c r="L9758" t="n">
        <v>0</v>
      </c>
      <c r="M9758" t="n">
        <v>0</v>
      </c>
      <c r="N9758" t="n">
        <v>0</v>
      </c>
      <c r="O9758" t="n">
        <v>0</v>
      </c>
      <c r="P9758" t="n">
        <v>0</v>
      </c>
      <c r="Q9758" t="n">
        <v>0</v>
      </c>
      <c r="R9758" t="n">
        <v>0</v>
      </c>
      <c r="S9758" t="n">
        <v>0</v>
      </c>
      <c r="T9758" t="n">
        <v>0</v>
      </c>
      <c r="U9758" t="n">
        <v>0</v>
      </c>
      <c r="V9758" s="2" t="inlineStr"/>
    </row>
    <row r="9759" ht="15" customHeight="1">
      <c r="A9759" t="inlineStr">
        <is>
          <t>S 2714-2023</t>
        </is>
      </c>
      <c r="B9759" t="inlineStr">
        <is>
          <t>samrådsanmälan</t>
        </is>
      </c>
      <c r="C9759" t="inlineStr">
        <is>
          <t>Askåterföring</t>
        </is>
      </c>
      <c r="D9759" s="1" t="n">
        <v>45155</v>
      </c>
      <c r="E9759" s="1" t="n">
        <v>46319</v>
      </c>
      <c r="F9759" t="inlineStr">
        <is>
          <t>DALARNAS LÄN</t>
        </is>
      </c>
      <c r="G9759" t="inlineStr">
        <is>
          <t>FALUN</t>
        </is>
      </c>
      <c r="I9759" t="n">
        <v>10.8</v>
      </c>
      <c r="J9759" t="n">
        <v>0</v>
      </c>
      <c r="K9759" t="n">
        <v>0</v>
      </c>
      <c r="L9759" t="n">
        <v>0</v>
      </c>
      <c r="M9759" t="n">
        <v>0</v>
      </c>
      <c r="N9759" t="n">
        <v>0</v>
      </c>
      <c r="O9759" t="n">
        <v>0</v>
      </c>
      <c r="P9759" t="n">
        <v>0</v>
      </c>
      <c r="Q9759" t="n">
        <v>0</v>
      </c>
      <c r="R9759" t="n">
        <v>0</v>
      </c>
      <c r="S9759" t="n">
        <v>0</v>
      </c>
      <c r="T9759" t="n">
        <v>0</v>
      </c>
      <c r="U9759" t="n">
        <v>0</v>
      </c>
      <c r="V9759" s="2" t="inlineStr"/>
    </row>
    <row r="9760" ht="15" customHeight="1">
      <c r="A9760" t="inlineStr">
        <is>
          <t>S 261-2025</t>
        </is>
      </c>
      <c r="B9760" t="inlineStr">
        <is>
          <t>samrådsanmälan</t>
        </is>
      </c>
      <c r="C9760" t="inlineStr">
        <is>
          <t>Skogsgödsling</t>
        </is>
      </c>
      <c r="D9760" s="1" t="n">
        <v>45684</v>
      </c>
      <c r="E9760" s="1" t="n">
        <v>46319</v>
      </c>
      <c r="F9760" t="inlineStr">
        <is>
          <t>DALARNAS LÄN</t>
        </is>
      </c>
      <c r="G9760" t="inlineStr">
        <is>
          <t>ÄLVDALEN</t>
        </is>
      </c>
      <c r="H9760" t="inlineStr">
        <is>
          <t>Bergvik skog väst AB</t>
        </is>
      </c>
      <c r="I9760" t="n">
        <v>23.5</v>
      </c>
      <c r="J9760" t="n">
        <v>0</v>
      </c>
      <c r="K9760" t="n">
        <v>0</v>
      </c>
      <c r="L9760" t="n">
        <v>0</v>
      </c>
      <c r="M9760" t="n">
        <v>0</v>
      </c>
      <c r="N9760" t="n">
        <v>0</v>
      </c>
      <c r="O9760" t="n">
        <v>0</v>
      </c>
      <c r="P9760" t="n">
        <v>0</v>
      </c>
      <c r="Q9760" t="n">
        <v>0</v>
      </c>
      <c r="R9760" t="n">
        <v>0</v>
      </c>
      <c r="S9760" t="n">
        <v>0</v>
      </c>
      <c r="T9760" t="n">
        <v>0</v>
      </c>
      <c r="U9760" t="n">
        <v>0</v>
      </c>
      <c r="V9760" s="2" t="inlineStr"/>
    </row>
    <row r="9761" ht="15" customHeight="1">
      <c r="A9761" t="inlineStr">
        <is>
          <t>S 913-2024</t>
        </is>
      </c>
      <c r="B9761" t="inlineStr">
        <is>
          <t>samrådsanmälan</t>
        </is>
      </c>
      <c r="C9761" t="inlineStr">
        <is>
          <t>Skogsgödsling</t>
        </is>
      </c>
      <c r="D9761" s="1" t="n">
        <v>45377</v>
      </c>
      <c r="E9761" s="1" t="n">
        <v>46319</v>
      </c>
      <c r="F9761" t="inlineStr">
        <is>
          <t>DALARNAS LÄN</t>
        </is>
      </c>
      <c r="G9761" t="inlineStr">
        <is>
          <t>ORSA</t>
        </is>
      </c>
      <c r="H9761" t="inlineStr">
        <is>
          <t>Allmännings- och besparingsskogar</t>
        </is>
      </c>
      <c r="I9761" t="n">
        <v>72.2</v>
      </c>
      <c r="J9761" t="n">
        <v>0</v>
      </c>
      <c r="K9761" t="n">
        <v>0</v>
      </c>
      <c r="L9761" t="n">
        <v>0</v>
      </c>
      <c r="M9761" t="n">
        <v>0</v>
      </c>
      <c r="N9761" t="n">
        <v>0</v>
      </c>
      <c r="O9761" t="n">
        <v>0</v>
      </c>
      <c r="P9761" t="n">
        <v>0</v>
      </c>
      <c r="Q9761" t="n">
        <v>0</v>
      </c>
      <c r="R9761" t="n">
        <v>0</v>
      </c>
      <c r="S9761" t="n">
        <v>0</v>
      </c>
      <c r="T9761" t="n">
        <v>0</v>
      </c>
      <c r="U9761" t="n">
        <v>0</v>
      </c>
      <c r="V9761" s="2" t="inlineStr"/>
    </row>
    <row r="9762" ht="15" customHeight="1">
      <c r="A9762" t="inlineStr">
        <is>
          <t>S 939-2024</t>
        </is>
      </c>
      <c r="B9762" t="inlineStr">
        <is>
          <t>samrådsanmälan</t>
        </is>
      </c>
      <c r="C9762" t="inlineStr">
        <is>
          <t>Skogsgödsling</t>
        </is>
      </c>
      <c r="D9762" s="1" t="n">
        <v>45377</v>
      </c>
      <c r="E9762" s="1" t="n">
        <v>46319</v>
      </c>
      <c r="F9762" t="inlineStr">
        <is>
          <t>DALARNAS LÄN</t>
        </is>
      </c>
      <c r="G9762" t="inlineStr">
        <is>
          <t>GAGNEF</t>
        </is>
      </c>
      <c r="H9762" t="inlineStr">
        <is>
          <t>Bergvik skog väst AB</t>
        </is>
      </c>
      <c r="I9762" t="n">
        <v>170.2</v>
      </c>
      <c r="J9762" t="n">
        <v>0</v>
      </c>
      <c r="K9762" t="n">
        <v>0</v>
      </c>
      <c r="L9762" t="n">
        <v>0</v>
      </c>
      <c r="M9762" t="n">
        <v>0</v>
      </c>
      <c r="N9762" t="n">
        <v>0</v>
      </c>
      <c r="O9762" t="n">
        <v>0</v>
      </c>
      <c r="P9762" t="n">
        <v>0</v>
      </c>
      <c r="Q9762" t="n">
        <v>0</v>
      </c>
      <c r="R9762" t="n">
        <v>0</v>
      </c>
      <c r="S9762" t="n">
        <v>0</v>
      </c>
      <c r="T9762" t="n">
        <v>0</v>
      </c>
      <c r="U9762" t="n">
        <v>0</v>
      </c>
      <c r="V9762" s="2" t="inlineStr"/>
    </row>
    <row r="9763" ht="15" customHeight="1">
      <c r="A9763" t="inlineStr">
        <is>
          <t>S 2916-2023</t>
        </is>
      </c>
      <c r="B9763" t="inlineStr">
        <is>
          <t>samrådsanmälan</t>
        </is>
      </c>
      <c r="C9763" t="inlineStr">
        <is>
          <t>Askåterföring</t>
        </is>
      </c>
      <c r="D9763" s="1" t="n">
        <v>45169</v>
      </c>
      <c r="E9763" s="1" t="n">
        <v>46319</v>
      </c>
      <c r="F9763" t="inlineStr">
        <is>
          <t>DALARNAS LÄN</t>
        </is>
      </c>
      <c r="G9763" t="inlineStr">
        <is>
          <t>FALUN</t>
        </is>
      </c>
      <c r="H9763" t="inlineStr">
        <is>
          <t>Övriga statliga verk och myndigheter</t>
        </is>
      </c>
      <c r="I9763" t="n">
        <v>10.4</v>
      </c>
      <c r="J9763" t="n">
        <v>0</v>
      </c>
      <c r="K9763" t="n">
        <v>0</v>
      </c>
      <c r="L9763" t="n">
        <v>0</v>
      </c>
      <c r="M9763" t="n">
        <v>0</v>
      </c>
      <c r="N9763" t="n">
        <v>0</v>
      </c>
      <c r="O9763" t="n">
        <v>0</v>
      </c>
      <c r="P9763" t="n">
        <v>0</v>
      </c>
      <c r="Q9763" t="n">
        <v>0</v>
      </c>
      <c r="R9763" t="n">
        <v>0</v>
      </c>
      <c r="S9763" t="n">
        <v>0</v>
      </c>
      <c r="T9763" t="n">
        <v>0</v>
      </c>
      <c r="U9763" t="n">
        <v>0</v>
      </c>
      <c r="V9763" s="2" t="inlineStr"/>
    </row>
    <row r="9764" ht="15" customHeight="1">
      <c r="A9764" t="inlineStr">
        <is>
          <t>S 3964-2024</t>
        </is>
      </c>
      <c r="B9764" t="inlineStr">
        <is>
          <t>samrådsanmälan</t>
        </is>
      </c>
      <c r="C9764" t="inlineStr">
        <is>
          <t>Annan skogsbruksåtgärd</t>
        </is>
      </c>
      <c r="D9764" s="1" t="n">
        <v>45567</v>
      </c>
      <c r="E9764" s="1" t="n">
        <v>46319</v>
      </c>
      <c r="F9764" t="inlineStr">
        <is>
          <t>DALARNAS LÄN</t>
        </is>
      </c>
      <c r="G9764" t="inlineStr">
        <is>
          <t>ORSA</t>
        </is>
      </c>
      <c r="I9764" t="n">
        <v>2.3</v>
      </c>
      <c r="J9764" t="n">
        <v>0</v>
      </c>
      <c r="K9764" t="n">
        <v>0</v>
      </c>
      <c r="L9764" t="n">
        <v>0</v>
      </c>
      <c r="M9764" t="n">
        <v>0</v>
      </c>
      <c r="N9764" t="n">
        <v>0</v>
      </c>
      <c r="O9764" t="n">
        <v>0</v>
      </c>
      <c r="P9764" t="n">
        <v>0</v>
      </c>
      <c r="Q9764" t="n">
        <v>0</v>
      </c>
      <c r="R9764" t="n">
        <v>0</v>
      </c>
      <c r="S9764" t="n">
        <v>0</v>
      </c>
      <c r="T9764" t="n">
        <v>0</v>
      </c>
      <c r="U9764" t="n">
        <v>0</v>
      </c>
      <c r="V9764" s="2" t="inlineStr"/>
    </row>
    <row r="9765" ht="15" customHeight="1">
      <c r="A9765" t="inlineStr">
        <is>
          <t>S 4879-2022</t>
        </is>
      </c>
      <c r="B9765" t="inlineStr">
        <is>
          <t>samrådsanmälan</t>
        </is>
      </c>
      <c r="C9765" t="inlineStr">
        <is>
          <t>Annan skogsbruksåtgärd</t>
        </is>
      </c>
      <c r="D9765" s="1" t="n">
        <v>44806</v>
      </c>
      <c r="E9765" s="1" t="n">
        <v>46319</v>
      </c>
      <c r="F9765" t="inlineStr">
        <is>
          <t>DALARNAS LÄN</t>
        </is>
      </c>
      <c r="G9765" t="inlineStr">
        <is>
          <t>ÄLVDALEN</t>
        </is>
      </c>
      <c r="I9765" t="n">
        <v>3.4</v>
      </c>
      <c r="J9765" t="n">
        <v>0</v>
      </c>
      <c r="K9765" t="n">
        <v>0</v>
      </c>
      <c r="L9765" t="n">
        <v>0</v>
      </c>
      <c r="M9765" t="n">
        <v>0</v>
      </c>
      <c r="N9765" t="n">
        <v>0</v>
      </c>
      <c r="O9765" t="n">
        <v>0</v>
      </c>
      <c r="P9765" t="n">
        <v>0</v>
      </c>
      <c r="Q9765" t="n">
        <v>0</v>
      </c>
      <c r="R9765" t="n">
        <v>0</v>
      </c>
      <c r="S9765" t="n">
        <v>0</v>
      </c>
      <c r="T9765" t="n">
        <v>0</v>
      </c>
      <c r="U9765" t="n">
        <v>0</v>
      </c>
      <c r="V9765" s="2" t="inlineStr"/>
    </row>
    <row r="9766" ht="15" customHeight="1">
      <c r="A9766" t="inlineStr">
        <is>
          <t>S 652-2024</t>
        </is>
      </c>
      <c r="B9766" t="inlineStr">
        <is>
          <t>samrådsanmälan</t>
        </is>
      </c>
      <c r="C9766" t="inlineStr">
        <is>
          <t>Skogsgödsling</t>
        </is>
      </c>
      <c r="D9766" s="1" t="n">
        <v>45356</v>
      </c>
      <c r="E9766" s="1" t="n">
        <v>46319</v>
      </c>
      <c r="F9766" t="inlineStr">
        <is>
          <t>DALARNAS LÄN</t>
        </is>
      </c>
      <c r="G9766" t="inlineStr">
        <is>
          <t>ÄLVDALEN</t>
        </is>
      </c>
      <c r="H9766" t="inlineStr">
        <is>
          <t>Allmännings- och besparingsskogar</t>
        </is>
      </c>
      <c r="I9766" t="n">
        <v>44.8</v>
      </c>
      <c r="J9766" t="n">
        <v>0</v>
      </c>
      <c r="K9766" t="n">
        <v>0</v>
      </c>
      <c r="L9766" t="n">
        <v>0</v>
      </c>
      <c r="M9766" t="n">
        <v>0</v>
      </c>
      <c r="N9766" t="n">
        <v>0</v>
      </c>
      <c r="O9766" t="n">
        <v>0</v>
      </c>
      <c r="P9766" t="n">
        <v>0</v>
      </c>
      <c r="Q9766" t="n">
        <v>0</v>
      </c>
      <c r="R9766" t="n">
        <v>0</v>
      </c>
      <c r="S9766" t="n">
        <v>0</v>
      </c>
      <c r="T9766" t="n">
        <v>0</v>
      </c>
      <c r="U9766" t="n">
        <v>0</v>
      </c>
      <c r="V9766" s="2" t="inlineStr"/>
    </row>
    <row r="9767" ht="15" customHeight="1">
      <c r="A9767" t="inlineStr">
        <is>
          <t>S 1096-2024</t>
        </is>
      </c>
      <c r="B9767" t="inlineStr">
        <is>
          <t>samrådsanmälan</t>
        </is>
      </c>
      <c r="C9767" t="inlineStr">
        <is>
          <t>Skogsgödsling</t>
        </is>
      </c>
      <c r="D9767" s="1" t="n">
        <v>45391</v>
      </c>
      <c r="E9767" s="1" t="n">
        <v>46319</v>
      </c>
      <c r="F9767" t="inlineStr">
        <is>
          <t>DALARNAS LÄN</t>
        </is>
      </c>
      <c r="G9767" t="inlineStr">
        <is>
          <t>LUDVIKA</t>
        </is>
      </c>
      <c r="H9767" t="inlineStr">
        <is>
          <t>Bergvik skog väst AB</t>
        </is>
      </c>
      <c r="I9767" t="n">
        <v>26.7</v>
      </c>
      <c r="J9767" t="n">
        <v>0</v>
      </c>
      <c r="K9767" t="n">
        <v>0</v>
      </c>
      <c r="L9767" t="n">
        <v>0</v>
      </c>
      <c r="M9767" t="n">
        <v>0</v>
      </c>
      <c r="N9767" t="n">
        <v>0</v>
      </c>
      <c r="O9767" t="n">
        <v>0</v>
      </c>
      <c r="P9767" t="n">
        <v>0</v>
      </c>
      <c r="Q9767" t="n">
        <v>0</v>
      </c>
      <c r="R9767" t="n">
        <v>0</v>
      </c>
      <c r="S9767" t="n">
        <v>0</v>
      </c>
      <c r="T9767" t="n">
        <v>0</v>
      </c>
      <c r="U9767" t="n">
        <v>0</v>
      </c>
      <c r="V9767" s="2" t="inlineStr"/>
    </row>
    <row r="9768" ht="15" customHeight="1">
      <c r="A9768" t="inlineStr">
        <is>
          <t>S 688-2024</t>
        </is>
      </c>
      <c r="B9768" t="inlineStr">
        <is>
          <t>samrådsanmälan</t>
        </is>
      </c>
      <c r="C9768" t="inlineStr">
        <is>
          <t>Skogsgödsling</t>
        </is>
      </c>
      <c r="D9768" s="1" t="n">
        <v>45359</v>
      </c>
      <c r="E9768" s="1" t="n">
        <v>46319</v>
      </c>
      <c r="F9768" t="inlineStr">
        <is>
          <t>DALARNAS LÄN</t>
        </is>
      </c>
      <c r="G9768" t="inlineStr">
        <is>
          <t>ÄLVDALEN</t>
        </is>
      </c>
      <c r="H9768" t="inlineStr">
        <is>
          <t>Allmännings- och besparingsskogar</t>
        </is>
      </c>
      <c r="I9768" t="n">
        <v>3</v>
      </c>
      <c r="J9768" t="n">
        <v>0</v>
      </c>
      <c r="K9768" t="n">
        <v>0</v>
      </c>
      <c r="L9768" t="n">
        <v>0</v>
      </c>
      <c r="M9768" t="n">
        <v>0</v>
      </c>
      <c r="N9768" t="n">
        <v>0</v>
      </c>
      <c r="O9768" t="n">
        <v>0</v>
      </c>
      <c r="P9768" t="n">
        <v>0</v>
      </c>
      <c r="Q9768" t="n">
        <v>0</v>
      </c>
      <c r="R9768" t="n">
        <v>0</v>
      </c>
      <c r="S9768" t="n">
        <v>0</v>
      </c>
      <c r="T9768" t="n">
        <v>0</v>
      </c>
      <c r="U9768" t="n">
        <v>0</v>
      </c>
      <c r="V9768" s="2" t="inlineStr"/>
    </row>
    <row r="9769" ht="15" customHeight="1">
      <c r="A9769" t="inlineStr">
        <is>
          <t>S 2519-2023</t>
        </is>
      </c>
      <c r="B9769" t="inlineStr">
        <is>
          <t>samrådsanmälan</t>
        </is>
      </c>
      <c r="C9769" t="inlineStr">
        <is>
          <t>Annan skogsbruksåtgärd</t>
        </is>
      </c>
      <c r="D9769" s="1" t="n">
        <v>45135</v>
      </c>
      <c r="E9769" s="1" t="n">
        <v>46319</v>
      </c>
      <c r="F9769" t="inlineStr">
        <is>
          <t>DALARNAS LÄN</t>
        </is>
      </c>
      <c r="G9769" t="inlineStr">
        <is>
          <t>RÄTTVIK</t>
        </is>
      </c>
      <c r="I9769" t="n">
        <v>0.1</v>
      </c>
      <c r="J9769" t="n">
        <v>0</v>
      </c>
      <c r="K9769" t="n">
        <v>0</v>
      </c>
      <c r="L9769" t="n">
        <v>0</v>
      </c>
      <c r="M9769" t="n">
        <v>0</v>
      </c>
      <c r="N9769" t="n">
        <v>0</v>
      </c>
      <c r="O9769" t="n">
        <v>0</v>
      </c>
      <c r="P9769" t="n">
        <v>0</v>
      </c>
      <c r="Q9769" t="n">
        <v>0</v>
      </c>
      <c r="R9769" t="n">
        <v>0</v>
      </c>
      <c r="S9769" t="n">
        <v>0</v>
      </c>
      <c r="T9769" t="n">
        <v>0</v>
      </c>
      <c r="U9769" t="n">
        <v>0</v>
      </c>
      <c r="V9769" s="2" t="inlineStr"/>
    </row>
    <row r="9770" ht="15" customHeight="1">
      <c r="A9770" t="inlineStr">
        <is>
          <t>S 240-2024</t>
        </is>
      </c>
      <c r="B9770" t="inlineStr">
        <is>
          <t>samrådsanmälan</t>
        </is>
      </c>
      <c r="C9770" t="inlineStr">
        <is>
          <t>Skogsgödsling</t>
        </is>
      </c>
      <c r="D9770" s="1" t="n">
        <v>45319</v>
      </c>
      <c r="E9770" s="1" t="n">
        <v>46319</v>
      </c>
      <c r="F9770" t="inlineStr">
        <is>
          <t>DALARNAS LÄN</t>
        </is>
      </c>
      <c r="G9770" t="inlineStr">
        <is>
          <t>FALUN</t>
        </is>
      </c>
      <c r="H9770" t="inlineStr">
        <is>
          <t>Sveaskog</t>
        </is>
      </c>
      <c r="I9770" t="n">
        <v>56.9</v>
      </c>
      <c r="J9770" t="n">
        <v>0</v>
      </c>
      <c r="K9770" t="n">
        <v>0</v>
      </c>
      <c r="L9770" t="n">
        <v>0</v>
      </c>
      <c r="M9770" t="n">
        <v>0</v>
      </c>
      <c r="N9770" t="n">
        <v>0</v>
      </c>
      <c r="O9770" t="n">
        <v>0</v>
      </c>
      <c r="P9770" t="n">
        <v>0</v>
      </c>
      <c r="Q9770" t="n">
        <v>0</v>
      </c>
      <c r="R9770" t="n">
        <v>0</v>
      </c>
      <c r="S9770" t="n">
        <v>0</v>
      </c>
      <c r="T9770" t="n">
        <v>0</v>
      </c>
      <c r="U9770" t="n">
        <v>0</v>
      </c>
      <c r="V9770" s="2" t="inlineStr"/>
    </row>
    <row r="9771" ht="15" customHeight="1">
      <c r="A9771" t="inlineStr">
        <is>
          <t>S 4173-2022</t>
        </is>
      </c>
      <c r="B9771" t="inlineStr">
        <is>
          <t>samrådsanmälan</t>
        </is>
      </c>
      <c r="C9771" t="inlineStr">
        <is>
          <t>Annan skogsbruksåtgärd</t>
        </is>
      </c>
      <c r="D9771" s="1" t="n">
        <v>44769</v>
      </c>
      <c r="E9771" s="1" t="n">
        <v>46319</v>
      </c>
      <c r="F9771" t="inlineStr">
        <is>
          <t>DALARNAS LÄN</t>
        </is>
      </c>
      <c r="G9771" t="inlineStr">
        <is>
          <t>RÄTTVIK</t>
        </is>
      </c>
      <c r="I9771" t="n">
        <v>0.4</v>
      </c>
      <c r="J9771" t="n">
        <v>0</v>
      </c>
      <c r="K9771" t="n">
        <v>0</v>
      </c>
      <c r="L9771" t="n">
        <v>0</v>
      </c>
      <c r="M9771" t="n">
        <v>0</v>
      </c>
      <c r="N9771" t="n">
        <v>0</v>
      </c>
      <c r="O9771" t="n">
        <v>0</v>
      </c>
      <c r="P9771" t="n">
        <v>0</v>
      </c>
      <c r="Q9771" t="n">
        <v>0</v>
      </c>
      <c r="R9771" t="n">
        <v>0</v>
      </c>
      <c r="S9771" t="n">
        <v>0</v>
      </c>
      <c r="T9771" t="n">
        <v>0</v>
      </c>
      <c r="U9771" t="n">
        <v>0</v>
      </c>
      <c r="V9771" s="2" t="inlineStr"/>
    </row>
    <row r="9772" ht="15" customHeight="1">
      <c r="A9772" t="inlineStr">
        <is>
          <t>S 881-2024</t>
        </is>
      </c>
      <c r="B9772" t="inlineStr">
        <is>
          <t>samrådsanmälan</t>
        </is>
      </c>
      <c r="C9772" t="inlineStr">
        <is>
          <t>Skogsgödsling</t>
        </is>
      </c>
      <c r="D9772" s="1" t="n">
        <v>45377</v>
      </c>
      <c r="E9772" s="1" t="n">
        <v>46319</v>
      </c>
      <c r="F9772" t="inlineStr">
        <is>
          <t>DALARNAS LÄN</t>
        </is>
      </c>
      <c r="G9772" t="inlineStr">
        <is>
          <t>ORSA</t>
        </is>
      </c>
      <c r="H9772" t="inlineStr">
        <is>
          <t>Allmännings- och besparingsskogar</t>
        </is>
      </c>
      <c r="I9772" t="n">
        <v>47.1</v>
      </c>
      <c r="J9772" t="n">
        <v>0</v>
      </c>
      <c r="K9772" t="n">
        <v>0</v>
      </c>
      <c r="L9772" t="n">
        <v>0</v>
      </c>
      <c r="M9772" t="n">
        <v>0</v>
      </c>
      <c r="N9772" t="n">
        <v>0</v>
      </c>
      <c r="O9772" t="n">
        <v>0</v>
      </c>
      <c r="P9772" t="n">
        <v>0</v>
      </c>
      <c r="Q9772" t="n">
        <v>0</v>
      </c>
      <c r="R9772" t="n">
        <v>0</v>
      </c>
      <c r="S9772" t="n">
        <v>0</v>
      </c>
      <c r="T9772" t="n">
        <v>0</v>
      </c>
      <c r="U9772" t="n">
        <v>0</v>
      </c>
      <c r="V9772" s="2" t="inlineStr"/>
    </row>
    <row r="9773" ht="15" customHeight="1">
      <c r="A9773" t="inlineStr">
        <is>
          <t>S 9266-2021</t>
        </is>
      </c>
      <c r="B9773" t="inlineStr">
        <is>
          <t>samrådsanmälan</t>
        </is>
      </c>
      <c r="C9773" t="inlineStr">
        <is>
          <t>Annan skogsbruksåtgärd</t>
        </is>
      </c>
      <c r="D9773" s="1" t="n">
        <v>44517</v>
      </c>
      <c r="E9773" s="1" t="n">
        <v>46319</v>
      </c>
      <c r="F9773" t="inlineStr">
        <is>
          <t>DALARNAS LÄN</t>
        </is>
      </c>
      <c r="G9773" t="inlineStr">
        <is>
          <t>SMEDJEBACKEN</t>
        </is>
      </c>
      <c r="H9773" t="inlineStr">
        <is>
          <t>Bergvik skog väst AB</t>
        </is>
      </c>
      <c r="I9773" t="n">
        <v>1.4</v>
      </c>
      <c r="J9773" t="n">
        <v>0</v>
      </c>
      <c r="K9773" t="n">
        <v>0</v>
      </c>
      <c r="L9773" t="n">
        <v>0</v>
      </c>
      <c r="M9773" t="n">
        <v>0</v>
      </c>
      <c r="N9773" t="n">
        <v>0</v>
      </c>
      <c r="O9773" t="n">
        <v>0</v>
      </c>
      <c r="P9773" t="n">
        <v>0</v>
      </c>
      <c r="Q9773" t="n">
        <v>0</v>
      </c>
      <c r="R9773" t="n">
        <v>0</v>
      </c>
      <c r="S9773" t="n">
        <v>0</v>
      </c>
      <c r="T9773" t="n">
        <v>0</v>
      </c>
      <c r="U9773" t="n">
        <v>0</v>
      </c>
      <c r="V9773" s="2" t="inlineStr"/>
    </row>
    <row r="9774" ht="15" customHeight="1">
      <c r="A9774" t="inlineStr">
        <is>
          <t>S 4782-2022</t>
        </is>
      </c>
      <c r="B9774" t="inlineStr">
        <is>
          <t>samrådsanmälan</t>
        </is>
      </c>
      <c r="C9774" t="inlineStr">
        <is>
          <t>Skogsbilväg</t>
        </is>
      </c>
      <c r="D9774" s="1" t="n">
        <v>44802</v>
      </c>
      <c r="E9774" s="1" t="n">
        <v>46319</v>
      </c>
      <c r="F9774" t="inlineStr">
        <is>
          <t>DALARNAS LÄN</t>
        </is>
      </c>
      <c r="G9774" t="inlineStr">
        <is>
          <t>VANSBRO</t>
        </is>
      </c>
      <c r="I9774" t="n">
        <v>0.2</v>
      </c>
      <c r="J9774" t="n">
        <v>0</v>
      </c>
      <c r="K9774" t="n">
        <v>0</v>
      </c>
      <c r="L9774" t="n">
        <v>0</v>
      </c>
      <c r="M9774" t="n">
        <v>0</v>
      </c>
      <c r="N9774" t="n">
        <v>0</v>
      </c>
      <c r="O9774" t="n">
        <v>0</v>
      </c>
      <c r="P9774" t="n">
        <v>0</v>
      </c>
      <c r="Q9774" t="n">
        <v>0</v>
      </c>
      <c r="R9774" t="n">
        <v>0</v>
      </c>
      <c r="S9774" t="n">
        <v>0</v>
      </c>
      <c r="T9774" t="n">
        <v>0</v>
      </c>
      <c r="U9774" t="n">
        <v>0</v>
      </c>
      <c r="V9774" s="2" t="inlineStr"/>
    </row>
    <row r="9775" ht="15" customHeight="1">
      <c r="A9775" t="inlineStr">
        <is>
          <t>S 4863-2022</t>
        </is>
      </c>
      <c r="B9775" t="inlineStr">
        <is>
          <t>samrådsanmälan</t>
        </is>
      </c>
      <c r="C9775" t="inlineStr">
        <is>
          <t>Annan skogsbruksåtgärd</t>
        </is>
      </c>
      <c r="D9775" s="1" t="n">
        <v>44805</v>
      </c>
      <c r="E9775" s="1" t="n">
        <v>46319</v>
      </c>
      <c r="F9775" t="inlineStr">
        <is>
          <t>DALARNAS LÄN</t>
        </is>
      </c>
      <c r="G9775" t="inlineStr">
        <is>
          <t>LUDVIKA</t>
        </is>
      </c>
      <c r="H9775" t="inlineStr">
        <is>
          <t>Bergvik skog väst AB</t>
        </is>
      </c>
      <c r="I9775" t="n">
        <v>5.7</v>
      </c>
      <c r="J9775" t="n">
        <v>0</v>
      </c>
      <c r="K9775" t="n">
        <v>0</v>
      </c>
      <c r="L9775" t="n">
        <v>0</v>
      </c>
      <c r="M9775" t="n">
        <v>0</v>
      </c>
      <c r="N9775" t="n">
        <v>0</v>
      </c>
      <c r="O9775" t="n">
        <v>0</v>
      </c>
      <c r="P9775" t="n">
        <v>0</v>
      </c>
      <c r="Q9775" t="n">
        <v>0</v>
      </c>
      <c r="R9775" t="n">
        <v>0</v>
      </c>
      <c r="S9775" t="n">
        <v>0</v>
      </c>
      <c r="T9775" t="n">
        <v>0</v>
      </c>
      <c r="U9775" t="n">
        <v>0</v>
      </c>
      <c r="V9775" s="2" t="inlineStr"/>
    </row>
    <row r="9776" ht="15" customHeight="1">
      <c r="A9776" t="inlineStr">
        <is>
          <t>S 674-2024</t>
        </is>
      </c>
      <c r="B9776" t="inlineStr">
        <is>
          <t>samrådsanmälan</t>
        </is>
      </c>
      <c r="C9776" t="inlineStr">
        <is>
          <t>Skogsgödsling</t>
        </is>
      </c>
      <c r="D9776" s="1" t="n">
        <v>45357</v>
      </c>
      <c r="E9776" s="1" t="n">
        <v>46319</v>
      </c>
      <c r="F9776" t="inlineStr">
        <is>
          <t>DALARNAS LÄN</t>
        </is>
      </c>
      <c r="G9776" t="inlineStr">
        <is>
          <t>ÄLVDALEN</t>
        </is>
      </c>
      <c r="H9776" t="inlineStr">
        <is>
          <t>Allmännings- och besparingsskogar</t>
        </is>
      </c>
      <c r="I9776" t="n">
        <v>4.6</v>
      </c>
      <c r="J9776" t="n">
        <v>0</v>
      </c>
      <c r="K9776" t="n">
        <v>0</v>
      </c>
      <c r="L9776" t="n">
        <v>0</v>
      </c>
      <c r="M9776" t="n">
        <v>0</v>
      </c>
      <c r="N9776" t="n">
        <v>0</v>
      </c>
      <c r="O9776" t="n">
        <v>0</v>
      </c>
      <c r="P9776" t="n">
        <v>0</v>
      </c>
      <c r="Q9776" t="n">
        <v>0</v>
      </c>
      <c r="R9776" t="n">
        <v>0</v>
      </c>
      <c r="S9776" t="n">
        <v>0</v>
      </c>
      <c r="T9776" t="n">
        <v>0</v>
      </c>
      <c r="U9776" t="n">
        <v>0</v>
      </c>
      <c r="V9776" s="2" t="inlineStr"/>
    </row>
    <row r="9777" ht="15" customHeight="1">
      <c r="A9777" t="inlineStr">
        <is>
          <t>S 676-2024</t>
        </is>
      </c>
      <c r="B9777" t="inlineStr">
        <is>
          <t>samrådsanmälan</t>
        </is>
      </c>
      <c r="C9777" t="inlineStr">
        <is>
          <t>Skogsgödsling</t>
        </is>
      </c>
      <c r="D9777" s="1" t="n">
        <v>45357</v>
      </c>
      <c r="E9777" s="1" t="n">
        <v>46319</v>
      </c>
      <c r="F9777" t="inlineStr">
        <is>
          <t>DALARNAS LÄN</t>
        </is>
      </c>
      <c r="G9777" t="inlineStr">
        <is>
          <t>ÄLVDALEN</t>
        </is>
      </c>
      <c r="H9777" t="inlineStr">
        <is>
          <t>Allmännings- och besparingsskogar</t>
        </is>
      </c>
      <c r="I9777" t="n">
        <v>63.5</v>
      </c>
      <c r="J9777" t="n">
        <v>0</v>
      </c>
      <c r="K9777" t="n">
        <v>0</v>
      </c>
      <c r="L9777" t="n">
        <v>0</v>
      </c>
      <c r="M9777" t="n">
        <v>0</v>
      </c>
      <c r="N9777" t="n">
        <v>0</v>
      </c>
      <c r="O9777" t="n">
        <v>0</v>
      </c>
      <c r="P9777" t="n">
        <v>0</v>
      </c>
      <c r="Q9777" t="n">
        <v>0</v>
      </c>
      <c r="R9777" t="n">
        <v>0</v>
      </c>
      <c r="S9777" t="n">
        <v>0</v>
      </c>
      <c r="T9777" t="n">
        <v>0</v>
      </c>
      <c r="U9777" t="n">
        <v>0</v>
      </c>
      <c r="V9777" s="2" t="inlineStr"/>
    </row>
    <row r="9778" ht="15" customHeight="1">
      <c r="A9778" t="inlineStr">
        <is>
          <t>S 3505-2024</t>
        </is>
      </c>
      <c r="B9778" t="inlineStr">
        <is>
          <t>samrådsanmälan</t>
        </is>
      </c>
      <c r="C9778" t="inlineStr">
        <is>
          <t>Annan skogsbruksåtgärd</t>
        </is>
      </c>
      <c r="D9778" s="1" t="n">
        <v>45540</v>
      </c>
      <c r="E9778" s="1" t="n">
        <v>46319</v>
      </c>
      <c r="F9778" t="inlineStr">
        <is>
          <t>DALARNAS LÄN</t>
        </is>
      </c>
      <c r="G9778" t="inlineStr">
        <is>
          <t>SMEDJEBACKEN</t>
        </is>
      </c>
      <c r="H9778" t="inlineStr">
        <is>
          <t>Bergvik skog väst AB</t>
        </is>
      </c>
      <c r="I9778" t="n">
        <v>9.800000000000001</v>
      </c>
      <c r="J9778" t="n">
        <v>0</v>
      </c>
      <c r="K9778" t="n">
        <v>0</v>
      </c>
      <c r="L9778" t="n">
        <v>0</v>
      </c>
      <c r="M9778" t="n">
        <v>0</v>
      </c>
      <c r="N9778" t="n">
        <v>0</v>
      </c>
      <c r="O9778" t="n">
        <v>0</v>
      </c>
      <c r="P9778" t="n">
        <v>0</v>
      </c>
      <c r="Q9778" t="n">
        <v>0</v>
      </c>
      <c r="R9778" t="n">
        <v>0</v>
      </c>
      <c r="S9778" t="n">
        <v>0</v>
      </c>
      <c r="T9778" t="n">
        <v>0</v>
      </c>
      <c r="U9778" t="n">
        <v>0</v>
      </c>
      <c r="V9778" s="2" t="inlineStr"/>
    </row>
    <row r="9779" ht="15" customHeight="1">
      <c r="A9779" t="inlineStr">
        <is>
          <t>S 1113-2023</t>
        </is>
      </c>
      <c r="B9779" t="inlineStr">
        <is>
          <t>samrådsanmälan</t>
        </is>
      </c>
      <c r="C9779" t="inlineStr">
        <is>
          <t>Skogsgödsling</t>
        </is>
      </c>
      <c r="D9779" s="1" t="n">
        <v>45015</v>
      </c>
      <c r="E9779" s="1" t="n">
        <v>46319</v>
      </c>
      <c r="F9779" t="inlineStr">
        <is>
          <t>DALARNAS LÄN</t>
        </is>
      </c>
      <c r="G9779" t="inlineStr">
        <is>
          <t>LUDVIKA</t>
        </is>
      </c>
      <c r="H9779" t="inlineStr">
        <is>
          <t>Bergvik skog väst AB</t>
        </is>
      </c>
      <c r="I9779" t="n">
        <v>37.9</v>
      </c>
      <c r="J9779" t="n">
        <v>0</v>
      </c>
      <c r="K9779" t="n">
        <v>0</v>
      </c>
      <c r="L9779" t="n">
        <v>0</v>
      </c>
      <c r="M9779" t="n">
        <v>0</v>
      </c>
      <c r="N9779" t="n">
        <v>0</v>
      </c>
      <c r="O9779" t="n">
        <v>0</v>
      </c>
      <c r="P9779" t="n">
        <v>0</v>
      </c>
      <c r="Q9779" t="n">
        <v>0</v>
      </c>
      <c r="R9779" t="n">
        <v>0</v>
      </c>
      <c r="S9779" t="n">
        <v>0</v>
      </c>
      <c r="T9779" t="n">
        <v>0</v>
      </c>
      <c r="U9779" t="n">
        <v>0</v>
      </c>
      <c r="V9779" s="2" t="inlineStr"/>
    </row>
    <row r="9780" ht="15" customHeight="1">
      <c r="A9780" t="inlineStr">
        <is>
          <t>S 2957-2023</t>
        </is>
      </c>
      <c r="B9780" t="inlineStr">
        <is>
          <t>samrådsanmälan</t>
        </is>
      </c>
      <c r="C9780" t="inlineStr">
        <is>
          <t>Askåterföring</t>
        </is>
      </c>
      <c r="D9780" s="1" t="n">
        <v>45173</v>
      </c>
      <c r="E9780" s="1" t="n">
        <v>46319</v>
      </c>
      <c r="F9780" t="inlineStr">
        <is>
          <t>DALARNAS LÄN</t>
        </is>
      </c>
      <c r="G9780" t="inlineStr">
        <is>
          <t>BORLÄNGE</t>
        </is>
      </c>
      <c r="I9780" t="n">
        <v>6.9</v>
      </c>
      <c r="J9780" t="n">
        <v>0</v>
      </c>
      <c r="K9780" t="n">
        <v>0</v>
      </c>
      <c r="L9780" t="n">
        <v>0</v>
      </c>
      <c r="M9780" t="n">
        <v>0</v>
      </c>
      <c r="N9780" t="n">
        <v>0</v>
      </c>
      <c r="O9780" t="n">
        <v>0</v>
      </c>
      <c r="P9780" t="n">
        <v>0</v>
      </c>
      <c r="Q9780" t="n">
        <v>0</v>
      </c>
      <c r="R9780" t="n">
        <v>0</v>
      </c>
      <c r="S9780" t="n">
        <v>0</v>
      </c>
      <c r="T9780" t="n">
        <v>0</v>
      </c>
      <c r="U9780" t="n">
        <v>0</v>
      </c>
      <c r="V9780" s="2" t="inlineStr"/>
    </row>
    <row r="9781" ht="15" customHeight="1">
      <c r="A9781" t="inlineStr">
        <is>
          <t>S 8670-2021</t>
        </is>
      </c>
      <c r="B9781" t="inlineStr">
        <is>
          <t>samrådsanmälan</t>
        </is>
      </c>
      <c r="C9781" t="inlineStr">
        <is>
          <t>Skogsgödsling</t>
        </is>
      </c>
      <c r="D9781" s="1" t="n">
        <v>44498</v>
      </c>
      <c r="E9781" s="1" t="n">
        <v>46319</v>
      </c>
      <c r="F9781" t="inlineStr">
        <is>
          <t>DALARNAS LÄN</t>
        </is>
      </c>
      <c r="G9781" t="inlineStr">
        <is>
          <t>ORSA</t>
        </is>
      </c>
      <c r="H9781" t="inlineStr">
        <is>
          <t>Allmännings- och besparingsskogar</t>
        </is>
      </c>
      <c r="I9781" t="n">
        <v>57.4</v>
      </c>
      <c r="J9781" t="n">
        <v>0</v>
      </c>
      <c r="K9781" t="n">
        <v>0</v>
      </c>
      <c r="L9781" t="n">
        <v>0</v>
      </c>
      <c r="M9781" t="n">
        <v>0</v>
      </c>
      <c r="N9781" t="n">
        <v>0</v>
      </c>
      <c r="O9781" t="n">
        <v>0</v>
      </c>
      <c r="P9781" t="n">
        <v>0</v>
      </c>
      <c r="Q9781" t="n">
        <v>0</v>
      </c>
      <c r="R9781" t="n">
        <v>0</v>
      </c>
      <c r="S9781" t="n">
        <v>0</v>
      </c>
      <c r="T9781" t="n">
        <v>0</v>
      </c>
      <c r="U9781" t="n">
        <v>0</v>
      </c>
      <c r="V9781" s="2" t="inlineStr"/>
    </row>
    <row r="9782" ht="15" customHeight="1">
      <c r="A9782" t="inlineStr">
        <is>
          <t>S 3359-2024</t>
        </is>
      </c>
      <c r="B9782" t="inlineStr">
        <is>
          <t>samrådsanmälan</t>
        </is>
      </c>
      <c r="C9782" t="inlineStr">
        <is>
          <t>Askåterföring</t>
        </is>
      </c>
      <c r="D9782" s="1" t="n">
        <v>45532</v>
      </c>
      <c r="E9782" s="1" t="n">
        <v>46319</v>
      </c>
      <c r="F9782" t="inlineStr">
        <is>
          <t>DALARNAS LÄN</t>
        </is>
      </c>
      <c r="G9782" t="inlineStr">
        <is>
          <t>FALUN</t>
        </is>
      </c>
      <c r="I9782" t="n">
        <v>70.90000000000001</v>
      </c>
      <c r="J9782" t="n">
        <v>0</v>
      </c>
      <c r="K9782" t="n">
        <v>0</v>
      </c>
      <c r="L9782" t="n">
        <v>0</v>
      </c>
      <c r="M9782" t="n">
        <v>0</v>
      </c>
      <c r="N9782" t="n">
        <v>0</v>
      </c>
      <c r="O9782" t="n">
        <v>0</v>
      </c>
      <c r="P9782" t="n">
        <v>0</v>
      </c>
      <c r="Q9782" t="n">
        <v>0</v>
      </c>
      <c r="R9782" t="n">
        <v>0</v>
      </c>
      <c r="S9782" t="n">
        <v>0</v>
      </c>
      <c r="T9782" t="n">
        <v>0</v>
      </c>
      <c r="U9782" t="n">
        <v>0</v>
      </c>
      <c r="V9782" s="2" t="inlineStr"/>
    </row>
    <row r="9783" ht="15" customHeight="1">
      <c r="A9783" t="inlineStr">
        <is>
          <t>S 229-2024</t>
        </is>
      </c>
      <c r="B9783" t="inlineStr">
        <is>
          <t>samrådsanmälan</t>
        </is>
      </c>
      <c r="C9783" t="inlineStr">
        <is>
          <t>Skogsgödsling</t>
        </is>
      </c>
      <c r="D9783" s="1" t="n">
        <v>45317</v>
      </c>
      <c r="E9783" s="1" t="n">
        <v>46319</v>
      </c>
      <c r="F9783" t="inlineStr">
        <is>
          <t>DALARNAS LÄN</t>
        </is>
      </c>
      <c r="G9783" t="inlineStr">
        <is>
          <t>HEDEMORA</t>
        </is>
      </c>
      <c r="H9783" t="inlineStr">
        <is>
          <t>Sveaskog</t>
        </is>
      </c>
      <c r="I9783" t="n">
        <v>29.7</v>
      </c>
      <c r="J9783" t="n">
        <v>0</v>
      </c>
      <c r="K9783" t="n">
        <v>0</v>
      </c>
      <c r="L9783" t="n">
        <v>0</v>
      </c>
      <c r="M9783" t="n">
        <v>0</v>
      </c>
      <c r="N9783" t="n">
        <v>0</v>
      </c>
      <c r="O9783" t="n">
        <v>0</v>
      </c>
      <c r="P9783" t="n">
        <v>0</v>
      </c>
      <c r="Q9783" t="n">
        <v>0</v>
      </c>
      <c r="R9783" t="n">
        <v>0</v>
      </c>
      <c r="S9783" t="n">
        <v>0</v>
      </c>
      <c r="T9783" t="n">
        <v>0</v>
      </c>
      <c r="U9783" t="n">
        <v>0</v>
      </c>
      <c r="V9783" s="2" t="inlineStr"/>
    </row>
    <row r="9784" ht="15" customHeight="1">
      <c r="A9784" t="inlineStr">
        <is>
          <t>S 2739-2023</t>
        </is>
      </c>
      <c r="B9784" t="inlineStr">
        <is>
          <t>samrådsanmälan</t>
        </is>
      </c>
      <c r="C9784" t="inlineStr">
        <is>
          <t>Annan skogsbruksåtgärd</t>
        </is>
      </c>
      <c r="D9784" s="1" t="n">
        <v>45159</v>
      </c>
      <c r="E9784" s="1" t="n">
        <v>46319</v>
      </c>
      <c r="F9784" t="inlineStr">
        <is>
          <t>DALARNAS LÄN</t>
        </is>
      </c>
      <c r="G9784" t="inlineStr">
        <is>
          <t>ORSA</t>
        </is>
      </c>
      <c r="I9784" t="n">
        <v>2</v>
      </c>
      <c r="J9784" t="n">
        <v>0</v>
      </c>
      <c r="K9784" t="n">
        <v>0</v>
      </c>
      <c r="L9784" t="n">
        <v>0</v>
      </c>
      <c r="M9784" t="n">
        <v>0</v>
      </c>
      <c r="N9784" t="n">
        <v>0</v>
      </c>
      <c r="O9784" t="n">
        <v>0</v>
      </c>
      <c r="P9784" t="n">
        <v>0</v>
      </c>
      <c r="Q9784" t="n">
        <v>0</v>
      </c>
      <c r="R9784" t="n">
        <v>0</v>
      </c>
      <c r="S9784" t="n">
        <v>0</v>
      </c>
      <c r="T9784" t="n">
        <v>0</v>
      </c>
      <c r="U9784" t="n">
        <v>0</v>
      </c>
      <c r="V9784" s="2" t="inlineStr"/>
    </row>
    <row r="9785" ht="15" customHeight="1">
      <c r="A9785" t="inlineStr">
        <is>
          <t>S 650-2024</t>
        </is>
      </c>
      <c r="B9785" t="inlineStr">
        <is>
          <t>samrådsanmälan</t>
        </is>
      </c>
      <c r="C9785" t="inlineStr">
        <is>
          <t>Skogsgödsling</t>
        </is>
      </c>
      <c r="D9785" s="1" t="n">
        <v>45356</v>
      </c>
      <c r="E9785" s="1" t="n">
        <v>46319</v>
      </c>
      <c r="F9785" t="inlineStr">
        <is>
          <t>DALARNAS LÄN</t>
        </is>
      </c>
      <c r="G9785" t="inlineStr">
        <is>
          <t>ÄLVDALEN</t>
        </is>
      </c>
      <c r="H9785" t="inlineStr">
        <is>
          <t>Allmännings- och besparingsskogar</t>
        </is>
      </c>
      <c r="I9785" t="n">
        <v>10.5</v>
      </c>
      <c r="J9785" t="n">
        <v>0</v>
      </c>
      <c r="K9785" t="n">
        <v>0</v>
      </c>
      <c r="L9785" t="n">
        <v>0</v>
      </c>
      <c r="M9785" t="n">
        <v>0</v>
      </c>
      <c r="N9785" t="n">
        <v>0</v>
      </c>
      <c r="O9785" t="n">
        <v>0</v>
      </c>
      <c r="P9785" t="n">
        <v>0</v>
      </c>
      <c r="Q9785" t="n">
        <v>0</v>
      </c>
      <c r="R9785" t="n">
        <v>0</v>
      </c>
      <c r="S9785" t="n">
        <v>0</v>
      </c>
      <c r="T9785" t="n">
        <v>0</v>
      </c>
      <c r="U9785" t="n">
        <v>0</v>
      </c>
      <c r="V9785" s="2" t="inlineStr"/>
    </row>
    <row r="9786" ht="15" customHeight="1">
      <c r="A9786" t="inlineStr">
        <is>
          <t>S 199-2024</t>
        </is>
      </c>
      <c r="B9786" t="inlineStr">
        <is>
          <t>samrådsanmälan</t>
        </is>
      </c>
      <c r="C9786" t="inlineStr">
        <is>
          <t>Skogsgödsling</t>
        </is>
      </c>
      <c r="D9786" s="1" t="n">
        <v>45315</v>
      </c>
      <c r="E9786" s="1" t="n">
        <v>46319</v>
      </c>
      <c r="F9786" t="inlineStr">
        <is>
          <t>DALARNAS LÄN</t>
        </is>
      </c>
      <c r="G9786" t="inlineStr">
        <is>
          <t>ORSA</t>
        </is>
      </c>
      <c r="H9786" t="inlineStr">
        <is>
          <t>Bergvik skog öst AB</t>
        </is>
      </c>
      <c r="I9786" t="n">
        <v>36</v>
      </c>
      <c r="J9786" t="n">
        <v>0</v>
      </c>
      <c r="K9786" t="n">
        <v>0</v>
      </c>
      <c r="L9786" t="n">
        <v>0</v>
      </c>
      <c r="M9786" t="n">
        <v>0</v>
      </c>
      <c r="N9786" t="n">
        <v>0</v>
      </c>
      <c r="O9786" t="n">
        <v>0</v>
      </c>
      <c r="P9786" t="n">
        <v>0</v>
      </c>
      <c r="Q9786" t="n">
        <v>0</v>
      </c>
      <c r="R9786" t="n">
        <v>0</v>
      </c>
      <c r="S9786" t="n">
        <v>0</v>
      </c>
      <c r="T9786" t="n">
        <v>0</v>
      </c>
      <c r="U9786" t="n">
        <v>0</v>
      </c>
      <c r="V9786" s="2" t="inlineStr"/>
    </row>
    <row r="9787" ht="15" customHeight="1">
      <c r="A9787" t="inlineStr">
        <is>
          <t>S 654-2024</t>
        </is>
      </c>
      <c r="B9787" t="inlineStr">
        <is>
          <t>samrådsanmälan</t>
        </is>
      </c>
      <c r="C9787" t="inlineStr">
        <is>
          <t>Skogsgödsling</t>
        </is>
      </c>
      <c r="D9787" s="1" t="n">
        <v>45356</v>
      </c>
      <c r="E9787" s="1" t="n">
        <v>46319</v>
      </c>
      <c r="F9787" t="inlineStr">
        <is>
          <t>DALARNAS LÄN</t>
        </is>
      </c>
      <c r="G9787" t="inlineStr">
        <is>
          <t>ÄLVDALEN</t>
        </is>
      </c>
      <c r="H9787" t="inlineStr">
        <is>
          <t>Allmännings- och besparingsskogar</t>
        </is>
      </c>
      <c r="I9787" t="n">
        <v>9.1</v>
      </c>
      <c r="J9787" t="n">
        <v>0</v>
      </c>
      <c r="K9787" t="n">
        <v>0</v>
      </c>
      <c r="L9787" t="n">
        <v>0</v>
      </c>
      <c r="M9787" t="n">
        <v>0</v>
      </c>
      <c r="N9787" t="n">
        <v>0</v>
      </c>
      <c r="O9787" t="n">
        <v>0</v>
      </c>
      <c r="P9787" t="n">
        <v>0</v>
      </c>
      <c r="Q9787" t="n">
        <v>0</v>
      </c>
      <c r="R9787" t="n">
        <v>0</v>
      </c>
      <c r="S9787" t="n">
        <v>0</v>
      </c>
      <c r="T9787" t="n">
        <v>0</v>
      </c>
      <c r="U9787" t="n">
        <v>0</v>
      </c>
      <c r="V9787" s="2" t="inlineStr"/>
    </row>
    <row r="9788" ht="15" customHeight="1">
      <c r="A9788" t="inlineStr">
        <is>
          <t>S 7003-2022</t>
        </is>
      </c>
      <c r="B9788" t="inlineStr">
        <is>
          <t>samrådsanmälan</t>
        </is>
      </c>
      <c r="C9788" t="inlineStr">
        <is>
          <t>Annan skogsbruksåtgärd</t>
        </is>
      </c>
      <c r="D9788" s="1" t="n">
        <v>44909</v>
      </c>
      <c r="E9788" s="1" t="n">
        <v>46319</v>
      </c>
      <c r="F9788" t="inlineStr">
        <is>
          <t>DALARNAS LÄN</t>
        </is>
      </c>
      <c r="G9788" t="inlineStr">
        <is>
          <t>RÄTTVIK</t>
        </is>
      </c>
      <c r="I9788" t="n">
        <v>0.2</v>
      </c>
      <c r="J9788" t="n">
        <v>0</v>
      </c>
      <c r="K9788" t="n">
        <v>0</v>
      </c>
      <c r="L9788" t="n">
        <v>0</v>
      </c>
      <c r="M9788" t="n">
        <v>0</v>
      </c>
      <c r="N9788" t="n">
        <v>0</v>
      </c>
      <c r="O9788" t="n">
        <v>0</v>
      </c>
      <c r="P9788" t="n">
        <v>0</v>
      </c>
      <c r="Q9788" t="n">
        <v>0</v>
      </c>
      <c r="R9788" t="n">
        <v>0</v>
      </c>
      <c r="S9788" t="n">
        <v>0</v>
      </c>
      <c r="T9788" t="n">
        <v>0</v>
      </c>
      <c r="U9788" t="n">
        <v>0</v>
      </c>
      <c r="V9788" s="2" t="inlineStr"/>
    </row>
    <row r="9789" ht="15" customHeight="1">
      <c r="A9789" t="inlineStr">
        <is>
          <t>S 50-2024</t>
        </is>
      </c>
      <c r="B9789" t="inlineStr">
        <is>
          <t>samrådsanmälan</t>
        </is>
      </c>
      <c r="C9789" t="inlineStr">
        <is>
          <t>Skogsbilväg</t>
        </is>
      </c>
      <c r="D9789" s="1" t="n">
        <v>45296</v>
      </c>
      <c r="E9789" s="1" t="n">
        <v>46319</v>
      </c>
      <c r="F9789" t="inlineStr">
        <is>
          <t>DALARNAS LÄN</t>
        </is>
      </c>
      <c r="G9789" t="inlineStr">
        <is>
          <t>AVESTA</t>
        </is>
      </c>
      <c r="I9789" t="n">
        <v>0.8</v>
      </c>
      <c r="J9789" t="n">
        <v>0</v>
      </c>
      <c r="K9789" t="n">
        <v>0</v>
      </c>
      <c r="L9789" t="n">
        <v>0</v>
      </c>
      <c r="M9789" t="n">
        <v>0</v>
      </c>
      <c r="N9789" t="n">
        <v>0</v>
      </c>
      <c r="O9789" t="n">
        <v>0</v>
      </c>
      <c r="P9789" t="n">
        <v>0</v>
      </c>
      <c r="Q9789" t="n">
        <v>0</v>
      </c>
      <c r="R9789" t="n">
        <v>0</v>
      </c>
      <c r="S9789" t="n">
        <v>0</v>
      </c>
      <c r="T9789" t="n">
        <v>0</v>
      </c>
      <c r="U9789" t="n">
        <v>0</v>
      </c>
      <c r="V9789" s="2" t="inlineStr"/>
    </row>
    <row r="9790" ht="15" customHeight="1">
      <c r="A9790" t="inlineStr">
        <is>
          <t>S 2712-2023</t>
        </is>
      </c>
      <c r="B9790" t="inlineStr">
        <is>
          <t>samrådsanmälan</t>
        </is>
      </c>
      <c r="C9790" t="inlineStr">
        <is>
          <t>Askåterföring</t>
        </is>
      </c>
      <c r="D9790" s="1" t="n">
        <v>45155</v>
      </c>
      <c r="E9790" s="1" t="n">
        <v>46319</v>
      </c>
      <c r="F9790" t="inlineStr">
        <is>
          <t>DALARNAS LÄN</t>
        </is>
      </c>
      <c r="G9790" t="inlineStr">
        <is>
          <t>FALUN</t>
        </is>
      </c>
      <c r="I9790" t="n">
        <v>3.5</v>
      </c>
      <c r="J9790" t="n">
        <v>0</v>
      </c>
      <c r="K9790" t="n">
        <v>0</v>
      </c>
      <c r="L9790" t="n">
        <v>0</v>
      </c>
      <c r="M9790" t="n">
        <v>0</v>
      </c>
      <c r="N9790" t="n">
        <v>0</v>
      </c>
      <c r="O9790" t="n">
        <v>0</v>
      </c>
      <c r="P9790" t="n">
        <v>0</v>
      </c>
      <c r="Q9790" t="n">
        <v>0</v>
      </c>
      <c r="R9790" t="n">
        <v>0</v>
      </c>
      <c r="S9790" t="n">
        <v>0</v>
      </c>
      <c r="T9790" t="n">
        <v>0</v>
      </c>
      <c r="U9790" t="n">
        <v>0</v>
      </c>
      <c r="V9790" s="2" t="inlineStr"/>
    </row>
    <row r="9791" ht="15" customHeight="1">
      <c r="A9791" t="inlineStr">
        <is>
          <t>S 222-2024</t>
        </is>
      </c>
      <c r="B9791" t="inlineStr">
        <is>
          <t>samrådsanmälan</t>
        </is>
      </c>
      <c r="C9791" t="inlineStr">
        <is>
          <t>Skogsgödsling</t>
        </is>
      </c>
      <c r="D9791" s="1" t="n">
        <v>45316</v>
      </c>
      <c r="E9791" s="1" t="n">
        <v>46319</v>
      </c>
      <c r="F9791" t="inlineStr">
        <is>
          <t>DALARNAS LÄN</t>
        </is>
      </c>
      <c r="G9791" t="inlineStr">
        <is>
          <t>HEDEMORA</t>
        </is>
      </c>
      <c r="H9791" t="inlineStr">
        <is>
          <t>Sveaskog</t>
        </is>
      </c>
      <c r="I9791" t="n">
        <v>118.1</v>
      </c>
      <c r="J9791" t="n">
        <v>0</v>
      </c>
      <c r="K9791" t="n">
        <v>0</v>
      </c>
      <c r="L9791" t="n">
        <v>0</v>
      </c>
      <c r="M9791" t="n">
        <v>0</v>
      </c>
      <c r="N9791" t="n">
        <v>0</v>
      </c>
      <c r="O9791" t="n">
        <v>0</v>
      </c>
      <c r="P9791" t="n">
        <v>0</v>
      </c>
      <c r="Q9791" t="n">
        <v>0</v>
      </c>
      <c r="R9791" t="n">
        <v>0</v>
      </c>
      <c r="S9791" t="n">
        <v>0</v>
      </c>
      <c r="T9791" t="n">
        <v>0</v>
      </c>
      <c r="U9791" t="n">
        <v>0</v>
      </c>
      <c r="V9791" s="2" t="inlineStr"/>
    </row>
    <row r="9792" ht="15" customHeight="1">
      <c r="A9792" t="inlineStr">
        <is>
          <t>S 9267-2021</t>
        </is>
      </c>
      <c r="B9792" t="inlineStr">
        <is>
          <t>samrådsanmälan</t>
        </is>
      </c>
      <c r="C9792" t="inlineStr">
        <is>
          <t>Annan skogsbruksåtgärd</t>
        </is>
      </c>
      <c r="D9792" s="1" t="n">
        <v>44517</v>
      </c>
      <c r="E9792" s="1" t="n">
        <v>46319</v>
      </c>
      <c r="F9792" t="inlineStr">
        <is>
          <t>DALARNAS LÄN</t>
        </is>
      </c>
      <c r="G9792" t="inlineStr">
        <is>
          <t>SMEDJEBACKEN</t>
        </is>
      </c>
      <c r="H9792" t="inlineStr">
        <is>
          <t>Bergvik skog väst AB</t>
        </is>
      </c>
      <c r="I9792" t="n">
        <v>0.9</v>
      </c>
      <c r="J9792" t="n">
        <v>0</v>
      </c>
      <c r="K9792" t="n">
        <v>0</v>
      </c>
      <c r="L9792" t="n">
        <v>0</v>
      </c>
      <c r="M9792" t="n">
        <v>0</v>
      </c>
      <c r="N9792" t="n">
        <v>0</v>
      </c>
      <c r="O9792" t="n">
        <v>0</v>
      </c>
      <c r="P9792" t="n">
        <v>0</v>
      </c>
      <c r="Q9792" t="n">
        <v>0</v>
      </c>
      <c r="R9792" t="n">
        <v>0</v>
      </c>
      <c r="S9792" t="n">
        <v>0</v>
      </c>
      <c r="T9792" t="n">
        <v>0</v>
      </c>
      <c r="U9792" t="n">
        <v>0</v>
      </c>
      <c r="V9792" s="2" t="inlineStr"/>
    </row>
    <row r="9793" ht="15" customHeight="1">
      <c r="A9793" t="inlineStr">
        <is>
          <t>S 4545-2024</t>
        </is>
      </c>
      <c r="B9793" t="inlineStr">
        <is>
          <t>samrådsanmälan</t>
        </is>
      </c>
      <c r="C9793" t="inlineStr">
        <is>
          <t>Annan skogsbruksåtgärd</t>
        </is>
      </c>
      <c r="D9793" s="1" t="n">
        <v>45597</v>
      </c>
      <c r="E9793" s="1" t="n">
        <v>46319</v>
      </c>
      <c r="F9793" t="inlineStr">
        <is>
          <t>DALARNAS LÄN</t>
        </is>
      </c>
      <c r="G9793" t="inlineStr">
        <is>
          <t>FALUN</t>
        </is>
      </c>
      <c r="H9793" t="inlineStr">
        <is>
          <t>Bergvik skog väst AB</t>
        </is>
      </c>
      <c r="I9793" t="n">
        <v>2.1</v>
      </c>
      <c r="J9793" t="n">
        <v>0</v>
      </c>
      <c r="K9793" t="n">
        <v>0</v>
      </c>
      <c r="L9793" t="n">
        <v>0</v>
      </c>
      <c r="M9793" t="n">
        <v>0</v>
      </c>
      <c r="N9793" t="n">
        <v>0</v>
      </c>
      <c r="O9793" t="n">
        <v>0</v>
      </c>
      <c r="P9793" t="n">
        <v>0</v>
      </c>
      <c r="Q9793" t="n">
        <v>0</v>
      </c>
      <c r="R9793" t="n">
        <v>0</v>
      </c>
      <c r="S9793" t="n">
        <v>0</v>
      </c>
      <c r="T9793" t="n">
        <v>0</v>
      </c>
      <c r="U9793" t="n">
        <v>0</v>
      </c>
      <c r="V9793" s="2" t="inlineStr"/>
    </row>
    <row r="9794" ht="15" customHeight="1">
      <c r="A9794" t="inlineStr">
        <is>
          <t>S 1184-2024</t>
        </is>
      </c>
      <c r="B9794" t="inlineStr">
        <is>
          <t>samrådsanmälan</t>
        </is>
      </c>
      <c r="C9794" t="inlineStr">
        <is>
          <t>Skogsgödsling</t>
        </is>
      </c>
      <c r="D9794" s="1" t="n">
        <v>45396</v>
      </c>
      <c r="E9794" s="1" t="n">
        <v>46319</v>
      </c>
      <c r="F9794" t="inlineStr">
        <is>
          <t>DALARNAS LÄN</t>
        </is>
      </c>
      <c r="G9794" t="inlineStr">
        <is>
          <t>FALUN</t>
        </is>
      </c>
      <c r="I9794" t="n">
        <v>15</v>
      </c>
      <c r="J9794" t="n">
        <v>0</v>
      </c>
      <c r="K9794" t="n">
        <v>0</v>
      </c>
      <c r="L9794" t="n">
        <v>0</v>
      </c>
      <c r="M9794" t="n">
        <v>0</v>
      </c>
      <c r="N9794" t="n">
        <v>0</v>
      </c>
      <c r="O9794" t="n">
        <v>0</v>
      </c>
      <c r="P9794" t="n">
        <v>0</v>
      </c>
      <c r="Q9794" t="n">
        <v>0</v>
      </c>
      <c r="R9794" t="n">
        <v>0</v>
      </c>
      <c r="S9794" t="n">
        <v>0</v>
      </c>
      <c r="T9794" t="n">
        <v>0</v>
      </c>
      <c r="U9794" t="n">
        <v>0</v>
      </c>
      <c r="V9794" s="2" t="inlineStr"/>
    </row>
    <row r="9795" ht="15" customHeight="1">
      <c r="A9795" t="inlineStr">
        <is>
          <t>S 1098-2024</t>
        </is>
      </c>
      <c r="B9795" t="inlineStr">
        <is>
          <t>samrådsanmälan</t>
        </is>
      </c>
      <c r="C9795" t="inlineStr">
        <is>
          <t>Skogsgödsling</t>
        </is>
      </c>
      <c r="D9795" s="1" t="n">
        <v>45391</v>
      </c>
      <c r="E9795" s="1" t="n">
        <v>46319</v>
      </c>
      <c r="F9795" t="inlineStr">
        <is>
          <t>DALARNAS LÄN</t>
        </is>
      </c>
      <c r="G9795" t="inlineStr">
        <is>
          <t>SÄTER</t>
        </is>
      </c>
      <c r="H9795" t="inlineStr">
        <is>
          <t>Bergvik skog väst AB</t>
        </is>
      </c>
      <c r="I9795" t="n">
        <v>189.2</v>
      </c>
      <c r="J9795" t="n">
        <v>0</v>
      </c>
      <c r="K9795" t="n">
        <v>0</v>
      </c>
      <c r="L9795" t="n">
        <v>0</v>
      </c>
      <c r="M9795" t="n">
        <v>0</v>
      </c>
      <c r="N9795" t="n">
        <v>0</v>
      </c>
      <c r="O9795" t="n">
        <v>0</v>
      </c>
      <c r="P9795" t="n">
        <v>0</v>
      </c>
      <c r="Q9795" t="n">
        <v>0</v>
      </c>
      <c r="R9795" t="n">
        <v>0</v>
      </c>
      <c r="S9795" t="n">
        <v>0</v>
      </c>
      <c r="T9795" t="n">
        <v>0</v>
      </c>
      <c r="U9795" t="n">
        <v>0</v>
      </c>
      <c r="V9795" s="2" t="inlineStr"/>
    </row>
    <row r="9796" ht="15" customHeight="1">
      <c r="A9796" t="inlineStr">
        <is>
          <t>S 633-2024</t>
        </is>
      </c>
      <c r="B9796" t="inlineStr">
        <is>
          <t>samrådsanmälan</t>
        </is>
      </c>
      <c r="C9796" t="inlineStr">
        <is>
          <t>Skogsgödsling</t>
        </is>
      </c>
      <c r="D9796" s="1" t="n">
        <v>45355</v>
      </c>
      <c r="E9796" s="1" t="n">
        <v>46319</v>
      </c>
      <c r="F9796" t="inlineStr">
        <is>
          <t>DALARNAS LÄN</t>
        </is>
      </c>
      <c r="G9796" t="inlineStr">
        <is>
          <t>ÄLVDALEN</t>
        </is>
      </c>
      <c r="H9796" t="inlineStr">
        <is>
          <t>Allmännings- och besparingsskogar</t>
        </is>
      </c>
      <c r="I9796" t="n">
        <v>3</v>
      </c>
      <c r="J9796" t="n">
        <v>0</v>
      </c>
      <c r="K9796" t="n">
        <v>0</v>
      </c>
      <c r="L9796" t="n">
        <v>0</v>
      </c>
      <c r="M9796" t="n">
        <v>0</v>
      </c>
      <c r="N9796" t="n">
        <v>0</v>
      </c>
      <c r="O9796" t="n">
        <v>0</v>
      </c>
      <c r="P9796" t="n">
        <v>0</v>
      </c>
      <c r="Q9796" t="n">
        <v>0</v>
      </c>
      <c r="R9796" t="n">
        <v>0</v>
      </c>
      <c r="S9796" t="n">
        <v>0</v>
      </c>
      <c r="T9796" t="n">
        <v>0</v>
      </c>
      <c r="U9796" t="n">
        <v>0</v>
      </c>
      <c r="V9796" s="2" t="inlineStr"/>
    </row>
    <row r="9797" ht="15" customHeight="1">
      <c r="A9797" t="inlineStr">
        <is>
          <t>S 3514-2023</t>
        </is>
      </c>
      <c r="B9797" t="inlineStr">
        <is>
          <t>samrådsanmälan</t>
        </is>
      </c>
      <c r="C9797" t="inlineStr">
        <is>
          <t>Annan skogsbruksåtgärd</t>
        </is>
      </c>
      <c r="D9797" s="1" t="n">
        <v>45208</v>
      </c>
      <c r="E9797" s="1" t="n">
        <v>46319</v>
      </c>
      <c r="F9797" t="inlineStr">
        <is>
          <t>DALARNAS LÄN</t>
        </is>
      </c>
      <c r="G9797" t="inlineStr">
        <is>
          <t>VANSBRO</t>
        </is>
      </c>
      <c r="H9797" t="inlineStr">
        <is>
          <t>Bergvik skog väst AB</t>
        </is>
      </c>
      <c r="I9797" t="n">
        <v>37.8</v>
      </c>
      <c r="J9797" t="n">
        <v>0</v>
      </c>
      <c r="K9797" t="n">
        <v>0</v>
      </c>
      <c r="L9797" t="n">
        <v>0</v>
      </c>
      <c r="M9797" t="n">
        <v>0</v>
      </c>
      <c r="N9797" t="n">
        <v>0</v>
      </c>
      <c r="O9797" t="n">
        <v>0</v>
      </c>
      <c r="P9797" t="n">
        <v>0</v>
      </c>
      <c r="Q9797" t="n">
        <v>0</v>
      </c>
      <c r="R9797" t="n">
        <v>0</v>
      </c>
      <c r="S9797" t="n">
        <v>0</v>
      </c>
      <c r="T9797" t="n">
        <v>0</v>
      </c>
      <c r="U9797" t="n">
        <v>0</v>
      </c>
      <c r="V9797" s="2" t="inlineStr"/>
    </row>
    <row r="9798" ht="15" customHeight="1">
      <c r="A9798" t="inlineStr">
        <is>
          <t>S 1982-2024</t>
        </is>
      </c>
      <c r="B9798" t="inlineStr">
        <is>
          <t>samrådsanmälan</t>
        </is>
      </c>
      <c r="C9798" t="inlineStr">
        <is>
          <t>Annan skogsbruksåtgärd</t>
        </is>
      </c>
      <c r="D9798" s="1" t="n">
        <v>45446</v>
      </c>
      <c r="E9798" s="1" t="n">
        <v>46319</v>
      </c>
      <c r="F9798" t="inlineStr">
        <is>
          <t>DALARNAS LÄN</t>
        </is>
      </c>
      <c r="G9798" t="inlineStr">
        <is>
          <t>LEKSAND</t>
        </is>
      </c>
      <c r="H9798" t="inlineStr">
        <is>
          <t>Bergvik skog väst AB</t>
        </is>
      </c>
      <c r="I9798" t="n">
        <v>1.8</v>
      </c>
      <c r="J9798" t="n">
        <v>0</v>
      </c>
      <c r="K9798" t="n">
        <v>0</v>
      </c>
      <c r="L9798" t="n">
        <v>0</v>
      </c>
      <c r="M9798" t="n">
        <v>0</v>
      </c>
      <c r="N9798" t="n">
        <v>0</v>
      </c>
      <c r="O9798" t="n">
        <v>0</v>
      </c>
      <c r="P9798" t="n">
        <v>0</v>
      </c>
      <c r="Q9798" t="n">
        <v>0</v>
      </c>
      <c r="R9798" t="n">
        <v>0</v>
      </c>
      <c r="S9798" t="n">
        <v>0</v>
      </c>
      <c r="T9798" t="n">
        <v>0</v>
      </c>
      <c r="U9798" t="n">
        <v>0</v>
      </c>
      <c r="V9798" s="2" t="inlineStr"/>
    </row>
    <row r="9799" ht="15" customHeight="1">
      <c r="A9799" t="inlineStr">
        <is>
          <t>S 4288-2023</t>
        </is>
      </c>
      <c r="B9799" t="inlineStr">
        <is>
          <t>samrådsanmälan</t>
        </is>
      </c>
      <c r="C9799" t="inlineStr">
        <is>
          <t>Annan skogsbruksåtgärd</t>
        </is>
      </c>
      <c r="D9799" s="1" t="n">
        <v>45258</v>
      </c>
      <c r="E9799" s="1" t="n">
        <v>46319</v>
      </c>
      <c r="F9799" t="inlineStr">
        <is>
          <t>DALARNAS LÄN</t>
        </is>
      </c>
      <c r="G9799" t="inlineStr">
        <is>
          <t>MORA</t>
        </is>
      </c>
      <c r="I9799" t="n">
        <v>2.6</v>
      </c>
      <c r="J9799" t="n">
        <v>0</v>
      </c>
      <c r="K9799" t="n">
        <v>0</v>
      </c>
      <c r="L9799" t="n">
        <v>0</v>
      </c>
      <c r="M9799" t="n">
        <v>0</v>
      </c>
      <c r="N9799" t="n">
        <v>0</v>
      </c>
      <c r="O9799" t="n">
        <v>0</v>
      </c>
      <c r="P9799" t="n">
        <v>0</v>
      </c>
      <c r="Q9799" t="n">
        <v>0</v>
      </c>
      <c r="R9799" t="n">
        <v>0</v>
      </c>
      <c r="S9799" t="n">
        <v>0</v>
      </c>
      <c r="T9799" t="n">
        <v>0</v>
      </c>
      <c r="U9799" t="n">
        <v>0</v>
      </c>
      <c r="V9799" s="2" t="inlineStr"/>
    </row>
    <row r="9800" ht="15" customHeight="1">
      <c r="A9800" t="inlineStr">
        <is>
          <t>S 461-2025</t>
        </is>
      </c>
      <c r="B9800" t="inlineStr">
        <is>
          <t>samrådsanmälan</t>
        </is>
      </c>
      <c r="C9800" t="inlineStr">
        <is>
          <t>Skogsgödsling</t>
        </is>
      </c>
      <c r="D9800" s="1" t="n">
        <v>45701</v>
      </c>
      <c r="E9800" s="1" t="n">
        <v>46319</v>
      </c>
      <c r="F9800" t="inlineStr">
        <is>
          <t>DALARNAS LÄN</t>
        </is>
      </c>
      <c r="G9800" t="inlineStr">
        <is>
          <t>LEKSAND</t>
        </is>
      </c>
      <c r="H9800" t="inlineStr">
        <is>
          <t>Bergvik skog väst AB</t>
        </is>
      </c>
      <c r="I9800" t="n">
        <v>121.7</v>
      </c>
      <c r="J9800" t="n">
        <v>0</v>
      </c>
      <c r="K9800" t="n">
        <v>0</v>
      </c>
      <c r="L9800" t="n">
        <v>0</v>
      </c>
      <c r="M9800" t="n">
        <v>0</v>
      </c>
      <c r="N9800" t="n">
        <v>0</v>
      </c>
      <c r="O9800" t="n">
        <v>0</v>
      </c>
      <c r="P9800" t="n">
        <v>0</v>
      </c>
      <c r="Q9800" t="n">
        <v>0</v>
      </c>
      <c r="R9800" t="n">
        <v>0</v>
      </c>
      <c r="S9800" t="n">
        <v>0</v>
      </c>
      <c r="T9800" t="n">
        <v>0</v>
      </c>
      <c r="U9800" t="n">
        <v>0</v>
      </c>
      <c r="V9800" s="2" t="inlineStr"/>
    </row>
    <row r="9801" ht="15" customHeight="1">
      <c r="A9801" t="inlineStr">
        <is>
          <t>S 80-2023</t>
        </is>
      </c>
      <c r="B9801" t="inlineStr">
        <is>
          <t>samrådsanmälan</t>
        </is>
      </c>
      <c r="C9801" t="inlineStr">
        <is>
          <t>Annan skogsbruksåtgärd</t>
        </is>
      </c>
      <c r="D9801" s="1" t="n">
        <v>44935</v>
      </c>
      <c r="E9801" s="1" t="n">
        <v>46319</v>
      </c>
      <c r="F9801" t="inlineStr">
        <is>
          <t>DALARNAS LÄN</t>
        </is>
      </c>
      <c r="G9801" t="inlineStr">
        <is>
          <t>GAGNEF</t>
        </is>
      </c>
      <c r="I9801" t="n">
        <v>1.8</v>
      </c>
      <c r="J9801" t="n">
        <v>0</v>
      </c>
      <c r="K9801" t="n">
        <v>0</v>
      </c>
      <c r="L9801" t="n">
        <v>0</v>
      </c>
      <c r="M9801" t="n">
        <v>0</v>
      </c>
      <c r="N9801" t="n">
        <v>0</v>
      </c>
      <c r="O9801" t="n">
        <v>0</v>
      </c>
      <c r="P9801" t="n">
        <v>0</v>
      </c>
      <c r="Q9801" t="n">
        <v>0</v>
      </c>
      <c r="R9801" t="n">
        <v>0</v>
      </c>
      <c r="S9801" t="n">
        <v>0</v>
      </c>
      <c r="T9801" t="n">
        <v>0</v>
      </c>
      <c r="U9801" t="n">
        <v>0</v>
      </c>
      <c r="V9801" s="2" t="inlineStr"/>
    </row>
    <row r="9802" ht="15" customHeight="1">
      <c r="A9802" t="inlineStr">
        <is>
          <t>S 861-2024</t>
        </is>
      </c>
      <c r="B9802" t="inlineStr">
        <is>
          <t>samrådsanmälan</t>
        </is>
      </c>
      <c r="C9802" t="inlineStr">
        <is>
          <t>Skogsgödsling</t>
        </is>
      </c>
      <c r="D9802" s="1" t="n">
        <v>45373</v>
      </c>
      <c r="E9802" s="1" t="n">
        <v>46319</v>
      </c>
      <c r="F9802" t="inlineStr">
        <is>
          <t>DALARNAS LÄN</t>
        </is>
      </c>
      <c r="G9802" t="inlineStr">
        <is>
          <t>AVESTA</t>
        </is>
      </c>
      <c r="H9802" t="inlineStr">
        <is>
          <t>Bergvik skog väst AB</t>
        </is>
      </c>
      <c r="I9802" t="n">
        <v>8.9</v>
      </c>
      <c r="J9802" t="n">
        <v>0</v>
      </c>
      <c r="K9802" t="n">
        <v>0</v>
      </c>
      <c r="L9802" t="n">
        <v>0</v>
      </c>
      <c r="M9802" t="n">
        <v>0</v>
      </c>
      <c r="N9802" t="n">
        <v>0</v>
      </c>
      <c r="O9802" t="n">
        <v>0</v>
      </c>
      <c r="P9802" t="n">
        <v>0</v>
      </c>
      <c r="Q9802" t="n">
        <v>0</v>
      </c>
      <c r="R9802" t="n">
        <v>0</v>
      </c>
      <c r="S9802" t="n">
        <v>0</v>
      </c>
      <c r="T9802" t="n">
        <v>0</v>
      </c>
      <c r="U9802" t="n">
        <v>0</v>
      </c>
      <c r="V9802" s="2" t="inlineStr"/>
    </row>
    <row r="9803" ht="15" customHeight="1">
      <c r="A9803" t="inlineStr">
        <is>
          <t>S 462-2025</t>
        </is>
      </c>
      <c r="B9803" t="inlineStr">
        <is>
          <t>samrådsanmälan</t>
        </is>
      </c>
      <c r="C9803" t="inlineStr">
        <is>
          <t>Skogsgödsling</t>
        </is>
      </c>
      <c r="D9803" s="1" t="n">
        <v>45701</v>
      </c>
      <c r="E9803" s="1" t="n">
        <v>46319</v>
      </c>
      <c r="F9803" t="inlineStr">
        <is>
          <t>DALARNAS LÄN</t>
        </is>
      </c>
      <c r="G9803" t="inlineStr">
        <is>
          <t>LEKSAND</t>
        </is>
      </c>
      <c r="H9803" t="inlineStr">
        <is>
          <t>Bergvik skog väst AB</t>
        </is>
      </c>
      <c r="I9803" t="n">
        <v>96.09999999999999</v>
      </c>
      <c r="J9803" t="n">
        <v>0</v>
      </c>
      <c r="K9803" t="n">
        <v>0</v>
      </c>
      <c r="L9803" t="n">
        <v>0</v>
      </c>
      <c r="M9803" t="n">
        <v>0</v>
      </c>
      <c r="N9803" t="n">
        <v>0</v>
      </c>
      <c r="O9803" t="n">
        <v>0</v>
      </c>
      <c r="P9803" t="n">
        <v>0</v>
      </c>
      <c r="Q9803" t="n">
        <v>0</v>
      </c>
      <c r="R9803" t="n">
        <v>0</v>
      </c>
      <c r="S9803" t="n">
        <v>0</v>
      </c>
      <c r="T9803" t="n">
        <v>0</v>
      </c>
      <c r="U9803" t="n">
        <v>0</v>
      </c>
      <c r="V9803" s="2" t="inlineStr"/>
    </row>
    <row r="9804" ht="15" customHeight="1">
      <c r="A9804" t="inlineStr">
        <is>
          <t>S 543-2025</t>
        </is>
      </c>
      <c r="B9804" t="inlineStr">
        <is>
          <t>samrådsanmälan</t>
        </is>
      </c>
      <c r="C9804" t="inlineStr">
        <is>
          <t>Skogsgödsling</t>
        </is>
      </c>
      <c r="D9804" s="1" t="n">
        <v>45708</v>
      </c>
      <c r="E9804" s="1" t="n">
        <v>46319</v>
      </c>
      <c r="F9804" t="inlineStr">
        <is>
          <t>DALARNAS LÄN</t>
        </is>
      </c>
      <c r="G9804" t="inlineStr">
        <is>
          <t>LEKSAND</t>
        </is>
      </c>
      <c r="H9804" t="inlineStr">
        <is>
          <t>Bergvik skog väst AB</t>
        </is>
      </c>
      <c r="I9804" t="n">
        <v>44.9</v>
      </c>
      <c r="J9804" t="n">
        <v>0</v>
      </c>
      <c r="K9804" t="n">
        <v>0</v>
      </c>
      <c r="L9804" t="n">
        <v>0</v>
      </c>
      <c r="M9804" t="n">
        <v>0</v>
      </c>
      <c r="N9804" t="n">
        <v>0</v>
      </c>
      <c r="O9804" t="n">
        <v>0</v>
      </c>
      <c r="P9804" t="n">
        <v>0</v>
      </c>
      <c r="Q9804" t="n">
        <v>0</v>
      </c>
      <c r="R9804" t="n">
        <v>0</v>
      </c>
      <c r="S9804" t="n">
        <v>0</v>
      </c>
      <c r="T9804" t="n">
        <v>0</v>
      </c>
      <c r="U9804" t="n">
        <v>0</v>
      </c>
      <c r="V9804" s="2" t="inlineStr"/>
    </row>
    <row r="9805" ht="15" customHeight="1">
      <c r="A9805" t="inlineStr">
        <is>
          <t>S 545-2025</t>
        </is>
      </c>
      <c r="B9805" t="inlineStr">
        <is>
          <t>samrådsanmälan</t>
        </is>
      </c>
      <c r="C9805" t="inlineStr">
        <is>
          <t>Skogsgödsling</t>
        </is>
      </c>
      <c r="D9805" s="1" t="n">
        <v>45708</v>
      </c>
      <c r="E9805" s="1" t="n">
        <v>46319</v>
      </c>
      <c r="F9805" t="inlineStr">
        <is>
          <t>DALARNAS LÄN</t>
        </is>
      </c>
      <c r="G9805" t="inlineStr">
        <is>
          <t>RÄTTVIK</t>
        </is>
      </c>
      <c r="H9805" t="inlineStr">
        <is>
          <t>Bergvik skog väst AB</t>
        </is>
      </c>
      <c r="I9805" t="n">
        <v>256.9</v>
      </c>
      <c r="J9805" t="n">
        <v>0</v>
      </c>
      <c r="K9805" t="n">
        <v>0</v>
      </c>
      <c r="L9805" t="n">
        <v>0</v>
      </c>
      <c r="M9805" t="n">
        <v>0</v>
      </c>
      <c r="N9805" t="n">
        <v>0</v>
      </c>
      <c r="O9805" t="n">
        <v>0</v>
      </c>
      <c r="P9805" t="n">
        <v>0</v>
      </c>
      <c r="Q9805" t="n">
        <v>0</v>
      </c>
      <c r="R9805" t="n">
        <v>0</v>
      </c>
      <c r="S9805" t="n">
        <v>0</v>
      </c>
      <c r="T9805" t="n">
        <v>0</v>
      </c>
      <c r="U9805" t="n">
        <v>0</v>
      </c>
      <c r="V9805" s="2" t="inlineStr"/>
    </row>
    <row r="9806" ht="15" customHeight="1">
      <c r="A9806" t="inlineStr">
        <is>
          <t>S 246-2025</t>
        </is>
      </c>
      <c r="B9806" t="inlineStr">
        <is>
          <t>samrådsanmälan</t>
        </is>
      </c>
      <c r="C9806" t="inlineStr">
        <is>
          <t>Skogsgödsling</t>
        </is>
      </c>
      <c r="D9806" s="1" t="n">
        <v>45684</v>
      </c>
      <c r="E9806" s="1" t="n">
        <v>46319</v>
      </c>
      <c r="F9806" t="inlineStr">
        <is>
          <t>DALARNAS LÄN</t>
        </is>
      </c>
      <c r="G9806" t="inlineStr">
        <is>
          <t>ÄLVDALEN</t>
        </is>
      </c>
      <c r="H9806" t="inlineStr">
        <is>
          <t>Bergvik skog väst AB</t>
        </is>
      </c>
      <c r="I9806" t="n">
        <v>49</v>
      </c>
      <c r="J9806" t="n">
        <v>0</v>
      </c>
      <c r="K9806" t="n">
        <v>0</v>
      </c>
      <c r="L9806" t="n">
        <v>0</v>
      </c>
      <c r="M9806" t="n">
        <v>0</v>
      </c>
      <c r="N9806" t="n">
        <v>0</v>
      </c>
      <c r="O9806" t="n">
        <v>0</v>
      </c>
      <c r="P9806" t="n">
        <v>0</v>
      </c>
      <c r="Q9806" t="n">
        <v>0</v>
      </c>
      <c r="R9806" t="n">
        <v>0</v>
      </c>
      <c r="S9806" t="n">
        <v>0</v>
      </c>
      <c r="T9806" t="n">
        <v>0</v>
      </c>
      <c r="U9806" t="n">
        <v>0</v>
      </c>
      <c r="V9806" s="2" t="inlineStr"/>
    </row>
    <row r="9807" ht="15" customHeight="1">
      <c r="A9807" t="inlineStr">
        <is>
          <t>S 651-2025</t>
        </is>
      </c>
      <c r="B9807" t="inlineStr">
        <is>
          <t>samrådsanmälan</t>
        </is>
      </c>
      <c r="C9807" t="inlineStr">
        <is>
          <t>Skogsgödsling</t>
        </is>
      </c>
      <c r="D9807" s="1" t="n">
        <v>45715</v>
      </c>
      <c r="E9807" s="1" t="n">
        <v>46319</v>
      </c>
      <c r="F9807" t="inlineStr">
        <is>
          <t>DALARNAS LÄN</t>
        </is>
      </c>
      <c r="G9807" t="inlineStr">
        <is>
          <t>ÄLVDALEN</t>
        </is>
      </c>
      <c r="I9807" t="n">
        <v>26</v>
      </c>
      <c r="J9807" t="n">
        <v>0</v>
      </c>
      <c r="K9807" t="n">
        <v>0</v>
      </c>
      <c r="L9807" t="n">
        <v>0</v>
      </c>
      <c r="M9807" t="n">
        <v>0</v>
      </c>
      <c r="N9807" t="n">
        <v>0</v>
      </c>
      <c r="O9807" t="n">
        <v>0</v>
      </c>
      <c r="P9807" t="n">
        <v>0</v>
      </c>
      <c r="Q9807" t="n">
        <v>0</v>
      </c>
      <c r="R9807" t="n">
        <v>0</v>
      </c>
      <c r="S9807" t="n">
        <v>0</v>
      </c>
      <c r="T9807" t="n">
        <v>0</v>
      </c>
      <c r="U9807" t="n">
        <v>0</v>
      </c>
      <c r="V9807" s="2" t="inlineStr"/>
    </row>
    <row r="9808" ht="15" customHeight="1">
      <c r="A9808" t="inlineStr">
        <is>
          <t>S 4852-2024</t>
        </is>
      </c>
      <c r="B9808" t="inlineStr">
        <is>
          <t>samrådsanmälan</t>
        </is>
      </c>
      <c r="C9808" t="inlineStr">
        <is>
          <t>Annan skogsbruksåtgärd</t>
        </is>
      </c>
      <c r="D9808" s="1" t="n">
        <v>45616</v>
      </c>
      <c r="E9808" s="1" t="n">
        <v>46319</v>
      </c>
      <c r="F9808" t="inlineStr">
        <is>
          <t>DALARNAS LÄN</t>
        </is>
      </c>
      <c r="G9808" t="inlineStr">
        <is>
          <t>MORA</t>
        </is>
      </c>
      <c r="H9808" t="inlineStr">
        <is>
          <t>Allmännings- och besparingsskogar</t>
        </is>
      </c>
      <c r="I9808" t="n">
        <v>5.5</v>
      </c>
      <c r="J9808" t="n">
        <v>0</v>
      </c>
      <c r="K9808" t="n">
        <v>0</v>
      </c>
      <c r="L9808" t="n">
        <v>0</v>
      </c>
      <c r="M9808" t="n">
        <v>0</v>
      </c>
      <c r="N9808" t="n">
        <v>0</v>
      </c>
      <c r="O9808" t="n">
        <v>0</v>
      </c>
      <c r="P9808" t="n">
        <v>0</v>
      </c>
      <c r="Q9808" t="n">
        <v>0</v>
      </c>
      <c r="R9808" t="n">
        <v>0</v>
      </c>
      <c r="S9808" t="n">
        <v>0</v>
      </c>
      <c r="T9808" t="n">
        <v>0</v>
      </c>
      <c r="U9808" t="n">
        <v>0</v>
      </c>
      <c r="V9808" s="2" t="inlineStr"/>
    </row>
    <row r="9809" ht="15" customHeight="1">
      <c r="A9809" t="inlineStr">
        <is>
          <t>S 256-2025</t>
        </is>
      </c>
      <c r="B9809" t="inlineStr">
        <is>
          <t>samrådsanmälan</t>
        </is>
      </c>
      <c r="C9809" t="inlineStr">
        <is>
          <t>Skogsgödsling</t>
        </is>
      </c>
      <c r="D9809" s="1" t="n">
        <v>45684</v>
      </c>
      <c r="E9809" s="1" t="n">
        <v>46319</v>
      </c>
      <c r="F9809" t="inlineStr">
        <is>
          <t>DALARNAS LÄN</t>
        </is>
      </c>
      <c r="G9809" t="inlineStr">
        <is>
          <t>ÄLVDALEN</t>
        </is>
      </c>
      <c r="H9809" t="inlineStr">
        <is>
          <t>Bergvik skog väst AB</t>
        </is>
      </c>
      <c r="I9809" t="n">
        <v>40.6</v>
      </c>
      <c r="J9809" t="n">
        <v>0</v>
      </c>
      <c r="K9809" t="n">
        <v>0</v>
      </c>
      <c r="L9809" t="n">
        <v>0</v>
      </c>
      <c r="M9809" t="n">
        <v>0</v>
      </c>
      <c r="N9809" t="n">
        <v>0</v>
      </c>
      <c r="O9809" t="n">
        <v>0</v>
      </c>
      <c r="P9809" t="n">
        <v>0</v>
      </c>
      <c r="Q9809" t="n">
        <v>0</v>
      </c>
      <c r="R9809" t="n">
        <v>0</v>
      </c>
      <c r="S9809" t="n">
        <v>0</v>
      </c>
      <c r="T9809" t="n">
        <v>0</v>
      </c>
      <c r="U9809" t="n">
        <v>0</v>
      </c>
      <c r="V9809" s="2" t="inlineStr"/>
    </row>
    <row r="9810" ht="15" customHeight="1">
      <c r="A9810" t="inlineStr">
        <is>
          <t>S 402-2025</t>
        </is>
      </c>
      <c r="B9810" t="inlineStr">
        <is>
          <t>samrådsanmälan</t>
        </is>
      </c>
      <c r="C9810" t="inlineStr">
        <is>
          <t>Skogsgödsling</t>
        </is>
      </c>
      <c r="D9810" s="1" t="n">
        <v>45699</v>
      </c>
      <c r="E9810" s="1" t="n">
        <v>46319</v>
      </c>
      <c r="F9810" t="inlineStr">
        <is>
          <t>DALARNAS LÄN</t>
        </is>
      </c>
      <c r="G9810" t="inlineStr">
        <is>
          <t>MALUNG-SÄLEN</t>
        </is>
      </c>
      <c r="H9810" t="inlineStr">
        <is>
          <t>Bergvik skog öst AB</t>
        </is>
      </c>
      <c r="I9810" t="n">
        <v>19.1</v>
      </c>
      <c r="J9810" t="n">
        <v>0</v>
      </c>
      <c r="K9810" t="n">
        <v>0</v>
      </c>
      <c r="L9810" t="n">
        <v>0</v>
      </c>
      <c r="M9810" t="n">
        <v>0</v>
      </c>
      <c r="N9810" t="n">
        <v>0</v>
      </c>
      <c r="O9810" t="n">
        <v>0</v>
      </c>
      <c r="P9810" t="n">
        <v>0</v>
      </c>
      <c r="Q9810" t="n">
        <v>0</v>
      </c>
      <c r="R9810" t="n">
        <v>0</v>
      </c>
      <c r="S9810" t="n">
        <v>0</v>
      </c>
      <c r="T9810" t="n">
        <v>0</v>
      </c>
      <c r="U9810" t="n">
        <v>0</v>
      </c>
      <c r="V9810" s="2" t="inlineStr"/>
    </row>
    <row r="9811" ht="15" customHeight="1">
      <c r="A9811" t="inlineStr">
        <is>
          <t>S 636-2025</t>
        </is>
      </c>
      <c r="B9811" t="inlineStr">
        <is>
          <t>samrådsanmälan</t>
        </is>
      </c>
      <c r="C9811" t="inlineStr">
        <is>
          <t>Skogsgödsling</t>
        </is>
      </c>
      <c r="D9811" s="1" t="n">
        <v>45714</v>
      </c>
      <c r="E9811" s="1" t="n">
        <v>46319</v>
      </c>
      <c r="F9811" t="inlineStr">
        <is>
          <t>DALARNAS LÄN</t>
        </is>
      </c>
      <c r="G9811" t="inlineStr">
        <is>
          <t>ÄLVDALEN</t>
        </is>
      </c>
      <c r="H9811" t="inlineStr">
        <is>
          <t>Allmännings- och besparingsskogar</t>
        </is>
      </c>
      <c r="I9811" t="n">
        <v>66.8</v>
      </c>
      <c r="J9811" t="n">
        <v>0</v>
      </c>
      <c r="K9811" t="n">
        <v>0</v>
      </c>
      <c r="L9811" t="n">
        <v>0</v>
      </c>
      <c r="M9811" t="n">
        <v>0</v>
      </c>
      <c r="N9811" t="n">
        <v>0</v>
      </c>
      <c r="O9811" t="n">
        <v>0</v>
      </c>
      <c r="P9811" t="n">
        <v>0</v>
      </c>
      <c r="Q9811" t="n">
        <v>0</v>
      </c>
      <c r="R9811" t="n">
        <v>0</v>
      </c>
      <c r="S9811" t="n">
        <v>0</v>
      </c>
      <c r="T9811" t="n">
        <v>0</v>
      </c>
      <c r="U9811" t="n">
        <v>0</v>
      </c>
      <c r="V9811" s="2" t="inlineStr"/>
    </row>
    <row r="9812" ht="15" customHeight="1">
      <c r="A9812" t="inlineStr">
        <is>
          <t>S 404-2025</t>
        </is>
      </c>
      <c r="B9812" t="inlineStr">
        <is>
          <t>samrådsanmälan</t>
        </is>
      </c>
      <c r="C9812" t="inlineStr">
        <is>
          <t>Skogsgödsling</t>
        </is>
      </c>
      <c r="D9812" s="1" t="n">
        <v>45699</v>
      </c>
      <c r="E9812" s="1" t="n">
        <v>46319</v>
      </c>
      <c r="F9812" t="inlineStr">
        <is>
          <t>DALARNAS LÄN</t>
        </is>
      </c>
      <c r="G9812" t="inlineStr">
        <is>
          <t>ORSA</t>
        </is>
      </c>
      <c r="H9812" t="inlineStr">
        <is>
          <t>Bergvik skog öst AB</t>
        </is>
      </c>
      <c r="I9812" t="n">
        <v>223.8</v>
      </c>
      <c r="J9812" t="n">
        <v>0</v>
      </c>
      <c r="K9812" t="n">
        <v>0</v>
      </c>
      <c r="L9812" t="n">
        <v>0</v>
      </c>
      <c r="M9812" t="n">
        <v>0</v>
      </c>
      <c r="N9812" t="n">
        <v>0</v>
      </c>
      <c r="O9812" t="n">
        <v>0</v>
      </c>
      <c r="P9812" t="n">
        <v>0</v>
      </c>
      <c r="Q9812" t="n">
        <v>0</v>
      </c>
      <c r="R9812" t="n">
        <v>0</v>
      </c>
      <c r="S9812" t="n">
        <v>0</v>
      </c>
      <c r="T9812" t="n">
        <v>0</v>
      </c>
      <c r="U9812" t="n">
        <v>0</v>
      </c>
      <c r="V9812" s="2" t="inlineStr"/>
    </row>
    <row r="9813" ht="15" customHeight="1">
      <c r="A9813" t="inlineStr">
        <is>
          <t>S 1199-2025</t>
        </is>
      </c>
      <c r="B9813" t="inlineStr">
        <is>
          <t>samrådsanmälan</t>
        </is>
      </c>
      <c r="C9813" t="inlineStr">
        <is>
          <t>Skogsgödsling</t>
        </is>
      </c>
      <c r="D9813" s="1" t="n">
        <v>45758</v>
      </c>
      <c r="E9813" s="1" t="n">
        <v>46319</v>
      </c>
      <c r="F9813" t="inlineStr">
        <is>
          <t>DALARNAS LÄN</t>
        </is>
      </c>
      <c r="G9813" t="inlineStr">
        <is>
          <t>ÄLVDALEN</t>
        </is>
      </c>
      <c r="H9813" t="inlineStr">
        <is>
          <t>Allmännings- och besparingsskogar</t>
        </is>
      </c>
      <c r="I9813" t="n">
        <v>50.7</v>
      </c>
      <c r="J9813" t="n">
        <v>0</v>
      </c>
      <c r="K9813" t="n">
        <v>0</v>
      </c>
      <c r="L9813" t="n">
        <v>0</v>
      </c>
      <c r="M9813" t="n">
        <v>0</v>
      </c>
      <c r="N9813" t="n">
        <v>0</v>
      </c>
      <c r="O9813" t="n">
        <v>0</v>
      </c>
      <c r="P9813" t="n">
        <v>0</v>
      </c>
      <c r="Q9813" t="n">
        <v>0</v>
      </c>
      <c r="R9813" t="n">
        <v>0</v>
      </c>
      <c r="S9813" t="n">
        <v>0</v>
      </c>
      <c r="T9813" t="n">
        <v>0</v>
      </c>
      <c r="U9813" t="n">
        <v>0</v>
      </c>
      <c r="V9813" s="2" t="inlineStr"/>
    </row>
    <row r="9814" ht="15" customHeight="1">
      <c r="A9814" t="inlineStr">
        <is>
          <t>S 1197-2025</t>
        </is>
      </c>
      <c r="B9814" t="inlineStr">
        <is>
          <t>samrådsanmälan</t>
        </is>
      </c>
      <c r="C9814" t="inlineStr">
        <is>
          <t>Skogsgödsling</t>
        </is>
      </c>
      <c r="D9814" s="1" t="n">
        <v>45757</v>
      </c>
      <c r="E9814" s="1" t="n">
        <v>46319</v>
      </c>
      <c r="F9814" t="inlineStr">
        <is>
          <t>DALARNAS LÄN</t>
        </is>
      </c>
      <c r="G9814" t="inlineStr">
        <is>
          <t>ÄLVDALEN</t>
        </is>
      </c>
      <c r="H9814" t="inlineStr">
        <is>
          <t>Allmännings- och besparingsskogar</t>
        </is>
      </c>
      <c r="I9814" t="n">
        <v>14</v>
      </c>
      <c r="J9814" t="n">
        <v>0</v>
      </c>
      <c r="K9814" t="n">
        <v>0</v>
      </c>
      <c r="L9814" t="n">
        <v>0</v>
      </c>
      <c r="M9814" t="n">
        <v>0</v>
      </c>
      <c r="N9814" t="n">
        <v>0</v>
      </c>
      <c r="O9814" t="n">
        <v>0</v>
      </c>
      <c r="P9814" t="n">
        <v>0</v>
      </c>
      <c r="Q9814" t="n">
        <v>0</v>
      </c>
      <c r="R9814" t="n">
        <v>0</v>
      </c>
      <c r="S9814" t="n">
        <v>0</v>
      </c>
      <c r="T9814" t="n">
        <v>0</v>
      </c>
      <c r="U9814" t="n">
        <v>0</v>
      </c>
      <c r="V9814" s="2" t="inlineStr"/>
    </row>
    <row r="9815" ht="15" customHeight="1">
      <c r="A9815" t="inlineStr">
        <is>
          <t>S 1198-2025</t>
        </is>
      </c>
      <c r="B9815" t="inlineStr">
        <is>
          <t>samrådsanmälan</t>
        </is>
      </c>
      <c r="C9815" t="inlineStr">
        <is>
          <t>Skogsgödsling</t>
        </is>
      </c>
      <c r="D9815" s="1" t="n">
        <v>45757</v>
      </c>
      <c r="E9815" s="1" t="n">
        <v>46319</v>
      </c>
      <c r="F9815" t="inlineStr">
        <is>
          <t>DALARNAS LÄN</t>
        </is>
      </c>
      <c r="G9815" t="inlineStr">
        <is>
          <t>ÄLVDALEN</t>
        </is>
      </c>
      <c r="H9815" t="inlineStr">
        <is>
          <t>Allmännings- och besparingsskogar</t>
        </is>
      </c>
      <c r="I9815" t="n">
        <v>8.800000000000001</v>
      </c>
      <c r="J9815" t="n">
        <v>0</v>
      </c>
      <c r="K9815" t="n">
        <v>0</v>
      </c>
      <c r="L9815" t="n">
        <v>0</v>
      </c>
      <c r="M9815" t="n">
        <v>0</v>
      </c>
      <c r="N9815" t="n">
        <v>0</v>
      </c>
      <c r="O9815" t="n">
        <v>0</v>
      </c>
      <c r="P9815" t="n">
        <v>0</v>
      </c>
      <c r="Q9815" t="n">
        <v>0</v>
      </c>
      <c r="R9815" t="n">
        <v>0</v>
      </c>
      <c r="S9815" t="n">
        <v>0</v>
      </c>
      <c r="T9815" t="n">
        <v>0</v>
      </c>
      <c r="U9815" t="n">
        <v>0</v>
      </c>
      <c r="V9815" s="2" t="inlineStr"/>
    </row>
    <row r="9816" ht="15" customHeight="1">
      <c r="A9816" t="inlineStr">
        <is>
          <t>S 1202-2025</t>
        </is>
      </c>
      <c r="B9816" t="inlineStr">
        <is>
          <t>samrådsanmälan</t>
        </is>
      </c>
      <c r="C9816" t="inlineStr">
        <is>
          <t>Skogsgödsling</t>
        </is>
      </c>
      <c r="D9816" s="1" t="n">
        <v>45757</v>
      </c>
      <c r="E9816" s="1" t="n">
        <v>46319</v>
      </c>
      <c r="F9816" t="inlineStr">
        <is>
          <t>DALARNAS LÄN</t>
        </is>
      </c>
      <c r="G9816" t="inlineStr">
        <is>
          <t>ÄLVDALEN</t>
        </is>
      </c>
      <c r="H9816" t="inlineStr">
        <is>
          <t>Allmännings- och besparingsskogar</t>
        </is>
      </c>
      <c r="I9816" t="n">
        <v>36.5</v>
      </c>
      <c r="J9816" t="n">
        <v>0</v>
      </c>
      <c r="K9816" t="n">
        <v>0</v>
      </c>
      <c r="L9816" t="n">
        <v>0</v>
      </c>
      <c r="M9816" t="n">
        <v>0</v>
      </c>
      <c r="N9816" t="n">
        <v>0</v>
      </c>
      <c r="O9816" t="n">
        <v>0</v>
      </c>
      <c r="P9816" t="n">
        <v>0</v>
      </c>
      <c r="Q9816" t="n">
        <v>0</v>
      </c>
      <c r="R9816" t="n">
        <v>0</v>
      </c>
      <c r="S9816" t="n">
        <v>0</v>
      </c>
      <c r="T9816" t="n">
        <v>0</v>
      </c>
      <c r="U9816" t="n">
        <v>0</v>
      </c>
      <c r="V9816" s="2" t="inlineStr"/>
    </row>
    <row r="9817" ht="15" customHeight="1">
      <c r="A9817" t="inlineStr">
        <is>
          <t>S 1200-2025</t>
        </is>
      </c>
      <c r="B9817" t="inlineStr">
        <is>
          <t>samrådsanmälan</t>
        </is>
      </c>
      <c r="C9817" t="inlineStr">
        <is>
          <t>Skogsgödsling</t>
        </is>
      </c>
      <c r="D9817" s="1" t="n">
        <v>45757</v>
      </c>
      <c r="E9817" s="1" t="n">
        <v>46319</v>
      </c>
      <c r="F9817" t="inlineStr">
        <is>
          <t>DALARNAS LÄN</t>
        </is>
      </c>
      <c r="G9817" t="inlineStr">
        <is>
          <t>ÄLVDALEN</t>
        </is>
      </c>
      <c r="H9817" t="inlineStr">
        <is>
          <t>Allmännings- och besparingsskogar</t>
        </is>
      </c>
      <c r="I9817" t="n">
        <v>6.8</v>
      </c>
      <c r="J9817" t="n">
        <v>0</v>
      </c>
      <c r="K9817" t="n">
        <v>0</v>
      </c>
      <c r="L9817" t="n">
        <v>0</v>
      </c>
      <c r="M9817" t="n">
        <v>0</v>
      </c>
      <c r="N9817" t="n">
        <v>0</v>
      </c>
      <c r="O9817" t="n">
        <v>0</v>
      </c>
      <c r="P9817" t="n">
        <v>0</v>
      </c>
      <c r="Q9817" t="n">
        <v>0</v>
      </c>
      <c r="R9817" t="n">
        <v>0</v>
      </c>
      <c r="S9817" t="n">
        <v>0</v>
      </c>
      <c r="T9817" t="n">
        <v>0</v>
      </c>
      <c r="U9817" t="n">
        <v>0</v>
      </c>
      <c r="V9817" s="2" t="inlineStr"/>
    </row>
    <row r="9818" ht="15" customHeight="1">
      <c r="A9818" t="inlineStr">
        <is>
          <t>S 1180-2025</t>
        </is>
      </c>
      <c r="B9818" t="inlineStr">
        <is>
          <t>samrådsanmälan</t>
        </is>
      </c>
      <c r="C9818" t="inlineStr">
        <is>
          <t>Skogsgödsling</t>
        </is>
      </c>
      <c r="D9818" s="1" t="n">
        <v>45756</v>
      </c>
      <c r="E9818" s="1" t="n">
        <v>46319</v>
      </c>
      <c r="F9818" t="inlineStr">
        <is>
          <t>DALARNAS LÄN</t>
        </is>
      </c>
      <c r="G9818" t="inlineStr">
        <is>
          <t>MALUNG-SÄLEN</t>
        </is>
      </c>
      <c r="H9818" t="inlineStr">
        <is>
          <t>Allmännings- och besparingsskogar</t>
        </is>
      </c>
      <c r="I9818" t="n">
        <v>107.2</v>
      </c>
      <c r="J9818" t="n">
        <v>0</v>
      </c>
      <c r="K9818" t="n">
        <v>0</v>
      </c>
      <c r="L9818" t="n">
        <v>0</v>
      </c>
      <c r="M9818" t="n">
        <v>0</v>
      </c>
      <c r="N9818" t="n">
        <v>0</v>
      </c>
      <c r="O9818" t="n">
        <v>0</v>
      </c>
      <c r="P9818" t="n">
        <v>0</v>
      </c>
      <c r="Q9818" t="n">
        <v>0</v>
      </c>
      <c r="R9818" t="n">
        <v>0</v>
      </c>
      <c r="S9818" t="n">
        <v>0</v>
      </c>
      <c r="T9818" t="n">
        <v>0</v>
      </c>
      <c r="U9818" t="n">
        <v>0</v>
      </c>
      <c r="V9818" s="2" t="inlineStr"/>
    </row>
    <row r="9819" ht="15" customHeight="1">
      <c r="A9819" t="inlineStr">
        <is>
          <t>S 1224-2025</t>
        </is>
      </c>
      <c r="B9819" t="inlineStr">
        <is>
          <t>samrådsanmälan</t>
        </is>
      </c>
      <c r="C9819" t="inlineStr">
        <is>
          <t>Annan skogsbruksåtgärd</t>
        </is>
      </c>
      <c r="D9819" s="1" t="n">
        <v>45761</v>
      </c>
      <c r="E9819" s="1" t="n">
        <v>46319</v>
      </c>
      <c r="F9819" t="inlineStr">
        <is>
          <t>DALARNAS LÄN</t>
        </is>
      </c>
      <c r="G9819" t="inlineStr">
        <is>
          <t>RÄTTVIK</t>
        </is>
      </c>
      <c r="H9819" t="inlineStr">
        <is>
          <t>Sveaskog</t>
        </is>
      </c>
      <c r="I9819" t="n">
        <v>29.8</v>
      </c>
      <c r="J9819" t="n">
        <v>0</v>
      </c>
      <c r="K9819" t="n">
        <v>0</v>
      </c>
      <c r="L9819" t="n">
        <v>0</v>
      </c>
      <c r="M9819" t="n">
        <v>0</v>
      </c>
      <c r="N9819" t="n">
        <v>0</v>
      </c>
      <c r="O9819" t="n">
        <v>0</v>
      </c>
      <c r="P9819" t="n">
        <v>0</v>
      </c>
      <c r="Q9819" t="n">
        <v>0</v>
      </c>
      <c r="R9819" t="n">
        <v>0</v>
      </c>
      <c r="S9819" t="n">
        <v>0</v>
      </c>
      <c r="T9819" t="n">
        <v>0</v>
      </c>
      <c r="U9819" t="n">
        <v>0</v>
      </c>
      <c r="V9819" s="2" t="inlineStr"/>
    </row>
    <row r="9820" ht="15" customHeight="1">
      <c r="A9820" t="inlineStr">
        <is>
          <t>S 1226-2025</t>
        </is>
      </c>
      <c r="B9820" t="inlineStr">
        <is>
          <t>samrådsanmälan</t>
        </is>
      </c>
      <c r="C9820" t="inlineStr">
        <is>
          <t>Annan skogsbruksåtgärd</t>
        </is>
      </c>
      <c r="D9820" s="1" t="n">
        <v>45761</v>
      </c>
      <c r="E9820" s="1" t="n">
        <v>46319</v>
      </c>
      <c r="F9820" t="inlineStr">
        <is>
          <t>DALARNAS LÄN</t>
        </is>
      </c>
      <c r="G9820" t="inlineStr">
        <is>
          <t>RÄTTVIK</t>
        </is>
      </c>
      <c r="H9820" t="inlineStr">
        <is>
          <t>Sveaskog</t>
        </is>
      </c>
      <c r="I9820" t="n">
        <v>15.4</v>
      </c>
      <c r="J9820" t="n">
        <v>0</v>
      </c>
      <c r="K9820" t="n">
        <v>0</v>
      </c>
      <c r="L9820" t="n">
        <v>0</v>
      </c>
      <c r="M9820" t="n">
        <v>0</v>
      </c>
      <c r="N9820" t="n">
        <v>0</v>
      </c>
      <c r="O9820" t="n">
        <v>0</v>
      </c>
      <c r="P9820" t="n">
        <v>0</v>
      </c>
      <c r="Q9820" t="n">
        <v>0</v>
      </c>
      <c r="R9820" t="n">
        <v>0</v>
      </c>
      <c r="S9820" t="n">
        <v>0</v>
      </c>
      <c r="T9820" t="n">
        <v>0</v>
      </c>
      <c r="U9820" t="n">
        <v>0</v>
      </c>
      <c r="V9820" s="2" t="inlineStr"/>
    </row>
    <row r="9821" ht="15" customHeight="1">
      <c r="A9821" t="inlineStr">
        <is>
          <t>S 709-2025</t>
        </is>
      </c>
      <c r="B9821" t="inlineStr">
        <is>
          <t>samrådsanmälan</t>
        </is>
      </c>
      <c r="C9821" t="inlineStr">
        <is>
          <t>Skogsgödsling</t>
        </is>
      </c>
      <c r="D9821" s="1" t="n">
        <v>45720</v>
      </c>
      <c r="E9821" s="1" t="n">
        <v>46319</v>
      </c>
      <c r="F9821" t="inlineStr">
        <is>
          <t>DALARNAS LÄN</t>
        </is>
      </c>
      <c r="G9821" t="inlineStr">
        <is>
          <t>AVESTA</t>
        </is>
      </c>
      <c r="H9821" t="inlineStr">
        <is>
          <t>Bergvik skog väst AB</t>
        </is>
      </c>
      <c r="I9821" t="n">
        <v>136.3</v>
      </c>
      <c r="J9821" t="n">
        <v>0</v>
      </c>
      <c r="K9821" t="n">
        <v>0</v>
      </c>
      <c r="L9821" t="n">
        <v>0</v>
      </c>
      <c r="M9821" t="n">
        <v>0</v>
      </c>
      <c r="N9821" t="n">
        <v>0</v>
      </c>
      <c r="O9821" t="n">
        <v>0</v>
      </c>
      <c r="P9821" t="n">
        <v>0</v>
      </c>
      <c r="Q9821" t="n">
        <v>0</v>
      </c>
      <c r="R9821" t="n">
        <v>0</v>
      </c>
      <c r="S9821" t="n">
        <v>0</v>
      </c>
      <c r="T9821" t="n">
        <v>0</v>
      </c>
      <c r="U9821" t="n">
        <v>0</v>
      </c>
      <c r="V9821" s="2" t="inlineStr"/>
    </row>
    <row r="9822" ht="15" customHeight="1">
      <c r="A9822" t="inlineStr">
        <is>
          <t>S 409-2025</t>
        </is>
      </c>
      <c r="B9822" t="inlineStr">
        <is>
          <t>samrådsanmälan</t>
        </is>
      </c>
      <c r="C9822" t="inlineStr">
        <is>
          <t>Skogsgödsling</t>
        </is>
      </c>
      <c r="D9822" s="1" t="n">
        <v>45699</v>
      </c>
      <c r="E9822" s="1" t="n">
        <v>46319</v>
      </c>
      <c r="F9822" t="inlineStr">
        <is>
          <t>DALARNAS LÄN</t>
        </is>
      </c>
      <c r="G9822" t="inlineStr">
        <is>
          <t>VANSBRO</t>
        </is>
      </c>
      <c r="H9822" t="inlineStr">
        <is>
          <t>Bergvik skog öst AB</t>
        </is>
      </c>
      <c r="I9822" t="n">
        <v>277.1</v>
      </c>
      <c r="J9822" t="n">
        <v>0</v>
      </c>
      <c r="K9822" t="n">
        <v>0</v>
      </c>
      <c r="L9822" t="n">
        <v>0</v>
      </c>
      <c r="M9822" t="n">
        <v>0</v>
      </c>
      <c r="N9822" t="n">
        <v>0</v>
      </c>
      <c r="O9822" t="n">
        <v>0</v>
      </c>
      <c r="P9822" t="n">
        <v>0</v>
      </c>
      <c r="Q9822" t="n">
        <v>0</v>
      </c>
      <c r="R9822" t="n">
        <v>0</v>
      </c>
      <c r="S9822" t="n">
        <v>0</v>
      </c>
      <c r="T9822" t="n">
        <v>0</v>
      </c>
      <c r="U9822" t="n">
        <v>0</v>
      </c>
      <c r="V9822" s="2" t="inlineStr"/>
    </row>
    <row r="9823" ht="15" customHeight="1">
      <c r="A9823" t="inlineStr">
        <is>
          <t>S 1347-2025</t>
        </is>
      </c>
      <c r="B9823" t="inlineStr">
        <is>
          <t>samrådsanmälan</t>
        </is>
      </c>
      <c r="C9823" t="inlineStr">
        <is>
          <t>Skogsgödsling</t>
        </is>
      </c>
      <c r="D9823" s="1" t="n">
        <v>45772</v>
      </c>
      <c r="E9823" s="1" t="n">
        <v>46319</v>
      </c>
      <c r="F9823" t="inlineStr">
        <is>
          <t>DALARNAS LÄN</t>
        </is>
      </c>
      <c r="G9823" t="inlineStr">
        <is>
          <t>FALUN</t>
        </is>
      </c>
      <c r="I9823" t="n">
        <v>24.4</v>
      </c>
      <c r="J9823" t="n">
        <v>0</v>
      </c>
      <c r="K9823" t="n">
        <v>0</v>
      </c>
      <c r="L9823" t="n">
        <v>0</v>
      </c>
      <c r="M9823" t="n">
        <v>0</v>
      </c>
      <c r="N9823" t="n">
        <v>0</v>
      </c>
      <c r="O9823" t="n">
        <v>0</v>
      </c>
      <c r="P9823" t="n">
        <v>0</v>
      </c>
      <c r="Q9823" t="n">
        <v>0</v>
      </c>
      <c r="R9823" t="n">
        <v>0</v>
      </c>
      <c r="S9823" t="n">
        <v>0</v>
      </c>
      <c r="T9823" t="n">
        <v>0</v>
      </c>
      <c r="U9823" t="n">
        <v>0</v>
      </c>
      <c r="V9823" s="2" t="inlineStr"/>
    </row>
    <row r="9824" ht="15" customHeight="1">
      <c r="A9824" t="inlineStr">
        <is>
          <t>S 1343-2025</t>
        </is>
      </c>
      <c r="B9824" t="inlineStr">
        <is>
          <t>samrådsanmälan</t>
        </is>
      </c>
      <c r="C9824" t="inlineStr">
        <is>
          <t>Annan skogsbruksåtgärd</t>
        </is>
      </c>
      <c r="D9824" s="1" t="n">
        <v>45771</v>
      </c>
      <c r="E9824" s="1" t="n">
        <v>46319</v>
      </c>
      <c r="F9824" t="inlineStr">
        <is>
          <t>DALARNAS LÄN</t>
        </is>
      </c>
      <c r="G9824" t="inlineStr">
        <is>
          <t>RÄTTVIK</t>
        </is>
      </c>
      <c r="H9824" t="inlineStr">
        <is>
          <t>Sveaskog</t>
        </is>
      </c>
      <c r="I9824" t="n">
        <v>20.8</v>
      </c>
      <c r="J9824" t="n">
        <v>0</v>
      </c>
      <c r="K9824" t="n">
        <v>0</v>
      </c>
      <c r="L9824" t="n">
        <v>0</v>
      </c>
      <c r="M9824" t="n">
        <v>0</v>
      </c>
      <c r="N9824" t="n">
        <v>0</v>
      </c>
      <c r="O9824" t="n">
        <v>0</v>
      </c>
      <c r="P9824" t="n">
        <v>0</v>
      </c>
      <c r="Q9824" t="n">
        <v>0</v>
      </c>
      <c r="R9824" t="n">
        <v>0</v>
      </c>
      <c r="S9824" t="n">
        <v>0</v>
      </c>
      <c r="T9824" t="n">
        <v>0</v>
      </c>
      <c r="U9824" t="n">
        <v>0</v>
      </c>
      <c r="V9824" s="2" t="inlineStr"/>
    </row>
    <row r="9825" ht="15" customHeight="1">
      <c r="A9825" t="inlineStr">
        <is>
          <t>S 1394-2025</t>
        </is>
      </c>
      <c r="B9825" t="inlineStr">
        <is>
          <t>samrådsanmälan</t>
        </is>
      </c>
      <c r="C9825" t="inlineStr">
        <is>
          <t>Skogsgödsling</t>
        </is>
      </c>
      <c r="D9825" s="1" t="n">
        <v>45778</v>
      </c>
      <c r="E9825" s="1" t="n">
        <v>46319</v>
      </c>
      <c r="F9825" t="inlineStr">
        <is>
          <t>DALARNAS LÄN</t>
        </is>
      </c>
      <c r="G9825" t="inlineStr">
        <is>
          <t>MALUNG-SÄLEN</t>
        </is>
      </c>
      <c r="I9825" t="n">
        <v>7.1</v>
      </c>
      <c r="J9825" t="n">
        <v>0</v>
      </c>
      <c r="K9825" t="n">
        <v>0</v>
      </c>
      <c r="L9825" t="n">
        <v>0</v>
      </c>
      <c r="M9825" t="n">
        <v>0</v>
      </c>
      <c r="N9825" t="n">
        <v>0</v>
      </c>
      <c r="O9825" t="n">
        <v>0</v>
      </c>
      <c r="P9825" t="n">
        <v>0</v>
      </c>
      <c r="Q9825" t="n">
        <v>0</v>
      </c>
      <c r="R9825" t="n">
        <v>0</v>
      </c>
      <c r="S9825" t="n">
        <v>0</v>
      </c>
      <c r="T9825" t="n">
        <v>0</v>
      </c>
      <c r="U9825" t="n">
        <v>0</v>
      </c>
      <c r="V9825" s="2" t="inlineStr"/>
    </row>
    <row r="9826" ht="15" customHeight="1">
      <c r="A9826" t="inlineStr">
        <is>
          <t>S 1581-2025</t>
        </is>
      </c>
      <c r="B9826" t="inlineStr">
        <is>
          <t>samrådsanmälan</t>
        </is>
      </c>
      <c r="C9826" t="inlineStr">
        <is>
          <t>Skogsgödsling</t>
        </is>
      </c>
      <c r="D9826" s="1" t="n">
        <v>45796</v>
      </c>
      <c r="E9826" s="1" t="n">
        <v>46319</v>
      </c>
      <c r="F9826" t="inlineStr">
        <is>
          <t>DALARNAS LÄN</t>
        </is>
      </c>
      <c r="G9826" t="inlineStr">
        <is>
          <t>FALUN</t>
        </is>
      </c>
      <c r="I9826" t="n">
        <v>15.7</v>
      </c>
      <c r="J9826" t="n">
        <v>0</v>
      </c>
      <c r="K9826" t="n">
        <v>0</v>
      </c>
      <c r="L9826" t="n">
        <v>0</v>
      </c>
      <c r="M9826" t="n">
        <v>0</v>
      </c>
      <c r="N9826" t="n">
        <v>0</v>
      </c>
      <c r="O9826" t="n">
        <v>0</v>
      </c>
      <c r="P9826" t="n">
        <v>0</v>
      </c>
      <c r="Q9826" t="n">
        <v>0</v>
      </c>
      <c r="R9826" t="n">
        <v>0</v>
      </c>
      <c r="S9826" t="n">
        <v>0</v>
      </c>
      <c r="T9826" t="n">
        <v>0</v>
      </c>
      <c r="U9826" t="n">
        <v>0</v>
      </c>
      <c r="V9826" s="2" t="inlineStr"/>
    </row>
    <row r="9827" ht="15" customHeight="1">
      <c r="A9827" t="inlineStr">
        <is>
          <t>S 1609-2025</t>
        </is>
      </c>
      <c r="B9827" t="inlineStr">
        <is>
          <t>samrådsanmälan</t>
        </is>
      </c>
      <c r="C9827" t="inlineStr">
        <is>
          <t>Annan skogsbruksåtgärd</t>
        </is>
      </c>
      <c r="D9827" s="1" t="n">
        <v>45799</v>
      </c>
      <c r="E9827" s="1" t="n">
        <v>46319</v>
      </c>
      <c r="F9827" t="inlineStr">
        <is>
          <t>DALARNAS LÄN</t>
        </is>
      </c>
      <c r="G9827" t="inlineStr">
        <is>
          <t>LEKSAND</t>
        </is>
      </c>
      <c r="I9827" t="n">
        <v>0.1</v>
      </c>
      <c r="J9827" t="n">
        <v>0</v>
      </c>
      <c r="K9827" t="n">
        <v>0</v>
      </c>
      <c r="L9827" t="n">
        <v>0</v>
      </c>
      <c r="M9827" t="n">
        <v>0</v>
      </c>
      <c r="N9827" t="n">
        <v>0</v>
      </c>
      <c r="O9827" t="n">
        <v>0</v>
      </c>
      <c r="P9827" t="n">
        <v>0</v>
      </c>
      <c r="Q9827" t="n">
        <v>0</v>
      </c>
      <c r="R9827" t="n">
        <v>0</v>
      </c>
      <c r="S9827" t="n">
        <v>0</v>
      </c>
      <c r="T9827" t="n">
        <v>0</v>
      </c>
      <c r="U9827" t="n">
        <v>0</v>
      </c>
      <c r="V9827" s="2" t="inlineStr"/>
    </row>
    <row r="9828" ht="15" customHeight="1">
      <c r="A9828" t="inlineStr">
        <is>
          <t>S 705-2025</t>
        </is>
      </c>
      <c r="B9828" t="inlineStr">
        <is>
          <t>samrådsanmälan</t>
        </is>
      </c>
      <c r="C9828" t="inlineStr">
        <is>
          <t>Skogsgödsling</t>
        </is>
      </c>
      <c r="D9828" s="1" t="n">
        <v>45720</v>
      </c>
      <c r="E9828" s="1" t="n">
        <v>46319</v>
      </c>
      <c r="F9828" t="inlineStr">
        <is>
          <t>DALARNAS LÄN</t>
        </is>
      </c>
      <c r="G9828" t="inlineStr">
        <is>
          <t>SÄTER</t>
        </is>
      </c>
      <c r="H9828" t="inlineStr">
        <is>
          <t>Bergvik skog väst AB</t>
        </is>
      </c>
      <c r="I9828" t="n">
        <v>21.7</v>
      </c>
      <c r="J9828" t="n">
        <v>0</v>
      </c>
      <c r="K9828" t="n">
        <v>0</v>
      </c>
      <c r="L9828" t="n">
        <v>0</v>
      </c>
      <c r="M9828" t="n">
        <v>0</v>
      </c>
      <c r="N9828" t="n">
        <v>0</v>
      </c>
      <c r="O9828" t="n">
        <v>0</v>
      </c>
      <c r="P9828" t="n">
        <v>0</v>
      </c>
      <c r="Q9828" t="n">
        <v>0</v>
      </c>
      <c r="R9828" t="n">
        <v>0</v>
      </c>
      <c r="S9828" t="n">
        <v>0</v>
      </c>
      <c r="T9828" t="n">
        <v>0</v>
      </c>
      <c r="U9828" t="n">
        <v>0</v>
      </c>
      <c r="V9828" s="2" t="inlineStr"/>
    </row>
    <row r="9829" ht="15" customHeight="1">
      <c r="A9829" t="inlineStr">
        <is>
          <t>S 708-2025</t>
        </is>
      </c>
      <c r="B9829" t="inlineStr">
        <is>
          <t>samrådsanmälan</t>
        </is>
      </c>
      <c r="C9829" t="inlineStr">
        <is>
          <t>Skogsgödsling</t>
        </is>
      </c>
      <c r="D9829" s="1" t="n">
        <v>45720</v>
      </c>
      <c r="E9829" s="1" t="n">
        <v>46319</v>
      </c>
      <c r="F9829" t="inlineStr">
        <is>
          <t>DALARNAS LÄN</t>
        </is>
      </c>
      <c r="G9829" t="inlineStr">
        <is>
          <t>HEDEMORA</t>
        </is>
      </c>
      <c r="H9829" t="inlineStr">
        <is>
          <t>Bergvik skog väst AB</t>
        </is>
      </c>
      <c r="I9829" t="n">
        <v>77.09999999999999</v>
      </c>
      <c r="J9829" t="n">
        <v>0</v>
      </c>
      <c r="K9829" t="n">
        <v>0</v>
      </c>
      <c r="L9829" t="n">
        <v>0</v>
      </c>
      <c r="M9829" t="n">
        <v>0</v>
      </c>
      <c r="N9829" t="n">
        <v>0</v>
      </c>
      <c r="O9829" t="n">
        <v>0</v>
      </c>
      <c r="P9829" t="n">
        <v>0</v>
      </c>
      <c r="Q9829" t="n">
        <v>0</v>
      </c>
      <c r="R9829" t="n">
        <v>0</v>
      </c>
      <c r="S9829" t="n">
        <v>0</v>
      </c>
      <c r="T9829" t="n">
        <v>0</v>
      </c>
      <c r="U9829" t="n">
        <v>0</v>
      </c>
      <c r="V9829" s="2" t="inlineStr"/>
    </row>
    <row r="9830" ht="15" customHeight="1">
      <c r="A9830" t="inlineStr">
        <is>
          <t>S 1790-2025</t>
        </is>
      </c>
      <c r="B9830" t="inlineStr">
        <is>
          <t>samrådsanmälan</t>
        </is>
      </c>
      <c r="C9830" t="inlineStr">
        <is>
          <t>Annan skogsbruksåtgärd</t>
        </is>
      </c>
      <c r="D9830" s="1" t="n">
        <v>45814</v>
      </c>
      <c r="E9830" s="1" t="n">
        <v>46319</v>
      </c>
      <c r="F9830" t="inlineStr">
        <is>
          <t>DALARNAS LÄN</t>
        </is>
      </c>
      <c r="G9830" t="inlineStr">
        <is>
          <t>RÄTTVIK</t>
        </is>
      </c>
      <c r="H9830" t="inlineStr">
        <is>
          <t>Övriga statliga verk och myndigheter</t>
        </is>
      </c>
      <c r="I9830" t="n">
        <v>1.1</v>
      </c>
      <c r="J9830" t="n">
        <v>0</v>
      </c>
      <c r="K9830" t="n">
        <v>0</v>
      </c>
      <c r="L9830" t="n">
        <v>0</v>
      </c>
      <c r="M9830" t="n">
        <v>0</v>
      </c>
      <c r="N9830" t="n">
        <v>0</v>
      </c>
      <c r="O9830" t="n">
        <v>0</v>
      </c>
      <c r="P9830" t="n">
        <v>0</v>
      </c>
      <c r="Q9830" t="n">
        <v>0</v>
      </c>
      <c r="R9830" t="n">
        <v>0</v>
      </c>
      <c r="S9830" t="n">
        <v>0</v>
      </c>
      <c r="T9830" t="n">
        <v>0</v>
      </c>
      <c r="U9830" t="n">
        <v>0</v>
      </c>
      <c r="V9830" s="2" t="inlineStr"/>
    </row>
    <row r="9831" ht="15" customHeight="1">
      <c r="A9831" t="inlineStr">
        <is>
          <t>S 1821-2025</t>
        </is>
      </c>
      <c r="B9831" t="inlineStr">
        <is>
          <t>samrådsanmälan</t>
        </is>
      </c>
      <c r="C9831" t="inlineStr">
        <is>
          <t>Annan skogsbruksåtgärd</t>
        </is>
      </c>
      <c r="D9831" s="1" t="n">
        <v>45819</v>
      </c>
      <c r="E9831" s="1" t="n">
        <v>46319</v>
      </c>
      <c r="F9831" t="inlineStr">
        <is>
          <t>DALARNAS LÄN</t>
        </is>
      </c>
      <c r="G9831" t="inlineStr">
        <is>
          <t>LEKSAND</t>
        </is>
      </c>
      <c r="I9831" t="n">
        <v>0.1</v>
      </c>
      <c r="J9831" t="n">
        <v>0</v>
      </c>
      <c r="K9831" t="n">
        <v>0</v>
      </c>
      <c r="L9831" t="n">
        <v>0</v>
      </c>
      <c r="M9831" t="n">
        <v>0</v>
      </c>
      <c r="N9831" t="n">
        <v>0</v>
      </c>
      <c r="O9831" t="n">
        <v>0</v>
      </c>
      <c r="P9831" t="n">
        <v>0</v>
      </c>
      <c r="Q9831" t="n">
        <v>0</v>
      </c>
      <c r="R9831" t="n">
        <v>0</v>
      </c>
      <c r="S9831" t="n">
        <v>0</v>
      </c>
      <c r="T9831" t="n">
        <v>0</v>
      </c>
      <c r="U9831" t="n">
        <v>0</v>
      </c>
      <c r="V9831" s="2" t="inlineStr"/>
    </row>
    <row r="9832" ht="15" customHeight="1">
      <c r="A9832" t="inlineStr">
        <is>
          <t>S 1872-2025</t>
        </is>
      </c>
      <c r="B9832" t="inlineStr">
        <is>
          <t>samrådsanmälan</t>
        </is>
      </c>
      <c r="C9832" t="inlineStr">
        <is>
          <t>Annan skogsbruksåtgärd</t>
        </is>
      </c>
      <c r="D9832" s="1" t="n">
        <v>45824</v>
      </c>
      <c r="E9832" s="1" t="n">
        <v>46319</v>
      </c>
      <c r="F9832" t="inlineStr">
        <is>
          <t>DALARNAS LÄN</t>
        </is>
      </c>
      <c r="G9832" t="inlineStr">
        <is>
          <t>LEKSAND</t>
        </is>
      </c>
      <c r="I9832" t="n">
        <v>0.1</v>
      </c>
      <c r="J9832" t="n">
        <v>0</v>
      </c>
      <c r="K9832" t="n">
        <v>0</v>
      </c>
      <c r="L9832" t="n">
        <v>0</v>
      </c>
      <c r="M9832" t="n">
        <v>0</v>
      </c>
      <c r="N9832" t="n">
        <v>0</v>
      </c>
      <c r="O9832" t="n">
        <v>0</v>
      </c>
      <c r="P9832" t="n">
        <v>0</v>
      </c>
      <c r="Q9832" t="n">
        <v>0</v>
      </c>
      <c r="R9832" t="n">
        <v>0</v>
      </c>
      <c r="S9832" t="n">
        <v>0</v>
      </c>
      <c r="T9832" t="n">
        <v>0</v>
      </c>
      <c r="U9832" t="n">
        <v>0</v>
      </c>
      <c r="V9832" s="2" t="inlineStr"/>
    </row>
    <row r="9833" ht="15" customHeight="1">
      <c r="A9833" t="inlineStr">
        <is>
          <t>S 2030-2025</t>
        </is>
      </c>
      <c r="B9833" t="inlineStr">
        <is>
          <t>samrådsanmälan</t>
        </is>
      </c>
      <c r="C9833" t="inlineStr">
        <is>
          <t>Annan skogsbruksåtgärd</t>
        </is>
      </c>
      <c r="D9833" s="1" t="n">
        <v>45835</v>
      </c>
      <c r="E9833" s="1" t="n">
        <v>46319</v>
      </c>
      <c r="F9833" t="inlineStr">
        <is>
          <t>DALARNAS LÄN</t>
        </is>
      </c>
      <c r="G9833" t="inlineStr">
        <is>
          <t>LEKSAND</t>
        </is>
      </c>
      <c r="I9833" t="n">
        <v>0.1</v>
      </c>
      <c r="J9833" t="n">
        <v>0</v>
      </c>
      <c r="K9833" t="n">
        <v>0</v>
      </c>
      <c r="L9833" t="n">
        <v>0</v>
      </c>
      <c r="M9833" t="n">
        <v>0</v>
      </c>
      <c r="N9833" t="n">
        <v>0</v>
      </c>
      <c r="O9833" t="n">
        <v>0</v>
      </c>
      <c r="P9833" t="n">
        <v>0</v>
      </c>
      <c r="Q9833" t="n">
        <v>0</v>
      </c>
      <c r="R9833" t="n">
        <v>0</v>
      </c>
      <c r="S9833" t="n">
        <v>0</v>
      </c>
      <c r="T9833" t="n">
        <v>0</v>
      </c>
      <c r="U9833" t="n">
        <v>0</v>
      </c>
      <c r="V9833" s="2" t="inlineStr"/>
    </row>
    <row r="9834" ht="15" customHeight="1">
      <c r="A9834" t="inlineStr">
        <is>
          <t>S 2125-2025</t>
        </is>
      </c>
      <c r="B9834" t="inlineStr">
        <is>
          <t>samrådsanmälan</t>
        </is>
      </c>
      <c r="C9834" t="inlineStr">
        <is>
          <t>Askåterföring</t>
        </is>
      </c>
      <c r="D9834" s="1" t="n">
        <v>45846</v>
      </c>
      <c r="E9834" s="1" t="n">
        <v>46319</v>
      </c>
      <c r="F9834" t="inlineStr">
        <is>
          <t>DALARNAS LÄN</t>
        </is>
      </c>
      <c r="G9834" t="inlineStr">
        <is>
          <t>FALUN</t>
        </is>
      </c>
      <c r="I9834" t="n">
        <v>4.2</v>
      </c>
      <c r="J9834" t="n">
        <v>0</v>
      </c>
      <c r="K9834" t="n">
        <v>0</v>
      </c>
      <c r="L9834" t="n">
        <v>0</v>
      </c>
      <c r="M9834" t="n">
        <v>0</v>
      </c>
      <c r="N9834" t="n">
        <v>0</v>
      </c>
      <c r="O9834" t="n">
        <v>0</v>
      </c>
      <c r="P9834" t="n">
        <v>0</v>
      </c>
      <c r="Q9834" t="n">
        <v>0</v>
      </c>
      <c r="R9834" t="n">
        <v>0</v>
      </c>
      <c r="S9834" t="n">
        <v>0</v>
      </c>
      <c r="T9834" t="n">
        <v>0</v>
      </c>
      <c r="U9834" t="n">
        <v>0</v>
      </c>
      <c r="V9834" s="2" t="inlineStr"/>
    </row>
    <row r="9835" ht="15" customHeight="1">
      <c r="A9835" t="inlineStr">
        <is>
          <t>S 2126-2025</t>
        </is>
      </c>
      <c r="B9835" t="inlineStr">
        <is>
          <t>samrådsanmälan</t>
        </is>
      </c>
      <c r="C9835" t="inlineStr">
        <is>
          <t>Askåterföring</t>
        </is>
      </c>
      <c r="D9835" s="1" t="n">
        <v>45846</v>
      </c>
      <c r="E9835" s="1" t="n">
        <v>46319</v>
      </c>
      <c r="F9835" t="inlineStr">
        <is>
          <t>DALARNAS LÄN</t>
        </is>
      </c>
      <c r="G9835" t="inlineStr">
        <is>
          <t>FALUN</t>
        </is>
      </c>
      <c r="I9835" t="n">
        <v>2.2</v>
      </c>
      <c r="J9835" t="n">
        <v>0</v>
      </c>
      <c r="K9835" t="n">
        <v>0</v>
      </c>
      <c r="L9835" t="n">
        <v>0</v>
      </c>
      <c r="M9835" t="n">
        <v>0</v>
      </c>
      <c r="N9835" t="n">
        <v>0</v>
      </c>
      <c r="O9835" t="n">
        <v>0</v>
      </c>
      <c r="P9835" t="n">
        <v>0</v>
      </c>
      <c r="Q9835" t="n">
        <v>0</v>
      </c>
      <c r="R9835" t="n">
        <v>0</v>
      </c>
      <c r="S9835" t="n">
        <v>0</v>
      </c>
      <c r="T9835" t="n">
        <v>0</v>
      </c>
      <c r="U9835" t="n">
        <v>0</v>
      </c>
      <c r="V9835" s="2" t="inlineStr"/>
    </row>
    <row r="9836" ht="15" customHeight="1">
      <c r="A9836" t="inlineStr">
        <is>
          <t>S 2124-2025</t>
        </is>
      </c>
      <c r="B9836" t="inlineStr">
        <is>
          <t>samrådsanmälan</t>
        </is>
      </c>
      <c r="C9836" t="inlineStr">
        <is>
          <t>Askåterföring</t>
        </is>
      </c>
      <c r="D9836" s="1" t="n">
        <v>45846</v>
      </c>
      <c r="E9836" s="1" t="n">
        <v>46319</v>
      </c>
      <c r="F9836" t="inlineStr">
        <is>
          <t>DALARNAS LÄN</t>
        </is>
      </c>
      <c r="G9836" t="inlineStr">
        <is>
          <t>FALUN</t>
        </is>
      </c>
      <c r="I9836" t="n">
        <v>10.8</v>
      </c>
      <c r="J9836" t="n">
        <v>0</v>
      </c>
      <c r="K9836" t="n">
        <v>0</v>
      </c>
      <c r="L9836" t="n">
        <v>0</v>
      </c>
      <c r="M9836" t="n">
        <v>0</v>
      </c>
      <c r="N9836" t="n">
        <v>0</v>
      </c>
      <c r="O9836" t="n">
        <v>0</v>
      </c>
      <c r="P9836" t="n">
        <v>0</v>
      </c>
      <c r="Q9836" t="n">
        <v>0</v>
      </c>
      <c r="R9836" t="n">
        <v>0</v>
      </c>
      <c r="S9836" t="n">
        <v>0</v>
      </c>
      <c r="T9836" t="n">
        <v>0</v>
      </c>
      <c r="U9836" t="n">
        <v>0</v>
      </c>
      <c r="V9836" s="2" t="inlineStr"/>
    </row>
    <row r="9837" ht="15" customHeight="1">
      <c r="A9837" t="inlineStr">
        <is>
          <t>S 503-2025</t>
        </is>
      </c>
      <c r="B9837" t="inlineStr">
        <is>
          <t>samrådsanmälan</t>
        </is>
      </c>
      <c r="C9837" t="inlineStr">
        <is>
          <t>Askåterföring</t>
        </is>
      </c>
      <c r="D9837" s="1" t="n">
        <v>45706</v>
      </c>
      <c r="E9837" s="1" t="n">
        <v>46319</v>
      </c>
      <c r="F9837" t="inlineStr">
        <is>
          <t>DALARNAS LÄN</t>
        </is>
      </c>
      <c r="G9837" t="inlineStr">
        <is>
          <t>HEDEMORA</t>
        </is>
      </c>
      <c r="H9837" t="inlineStr">
        <is>
          <t>Sveaskog</t>
        </is>
      </c>
      <c r="I9837" t="n">
        <v>21.9</v>
      </c>
      <c r="J9837" t="n">
        <v>0</v>
      </c>
      <c r="K9837" t="n">
        <v>0</v>
      </c>
      <c r="L9837" t="n">
        <v>0</v>
      </c>
      <c r="M9837" t="n">
        <v>0</v>
      </c>
      <c r="N9837" t="n">
        <v>0</v>
      </c>
      <c r="O9837" t="n">
        <v>0</v>
      </c>
      <c r="P9837" t="n">
        <v>0</v>
      </c>
      <c r="Q9837" t="n">
        <v>0</v>
      </c>
      <c r="R9837" t="n">
        <v>0</v>
      </c>
      <c r="S9837" t="n">
        <v>0</v>
      </c>
      <c r="T9837" t="n">
        <v>0</v>
      </c>
      <c r="U9837" t="n">
        <v>0</v>
      </c>
      <c r="V9837" s="2" t="inlineStr"/>
    </row>
    <row r="9838" ht="15" customHeight="1">
      <c r="A9838" t="inlineStr">
        <is>
          <t>S 1806-2025</t>
        </is>
      </c>
      <c r="B9838" t="inlineStr">
        <is>
          <t>samrådsanmälan</t>
        </is>
      </c>
      <c r="C9838" t="inlineStr">
        <is>
          <t>Annan skogsbruksåtgärd</t>
        </is>
      </c>
      <c r="D9838" s="1" t="n">
        <v>45817</v>
      </c>
      <c r="E9838" s="1" t="n">
        <v>46319</v>
      </c>
      <c r="F9838" t="inlineStr">
        <is>
          <t>DALARNAS LÄN</t>
        </is>
      </c>
      <c r="G9838" t="inlineStr">
        <is>
          <t>BORLÄNGE</t>
        </is>
      </c>
      <c r="I9838" t="n">
        <v>1.1</v>
      </c>
      <c r="J9838" t="n">
        <v>0</v>
      </c>
      <c r="K9838" t="n">
        <v>0</v>
      </c>
      <c r="L9838" t="n">
        <v>0</v>
      </c>
      <c r="M9838" t="n">
        <v>0</v>
      </c>
      <c r="N9838" t="n">
        <v>0</v>
      </c>
      <c r="O9838" t="n">
        <v>0</v>
      </c>
      <c r="P9838" t="n">
        <v>0</v>
      </c>
      <c r="Q9838" t="n">
        <v>0</v>
      </c>
      <c r="R9838" t="n">
        <v>0</v>
      </c>
      <c r="S9838" t="n">
        <v>0</v>
      </c>
      <c r="T9838" t="n">
        <v>0</v>
      </c>
      <c r="U9838" t="n">
        <v>0</v>
      </c>
      <c r="V9838" s="2" t="inlineStr"/>
    </row>
    <row r="9839" ht="15" customHeight="1">
      <c r="A9839" t="inlineStr">
        <is>
          <t>S 2224-2025</t>
        </is>
      </c>
      <c r="B9839" t="inlineStr">
        <is>
          <t>samrådsanmälan</t>
        </is>
      </c>
      <c r="C9839" t="inlineStr">
        <is>
          <t>Annan skogsbruksåtgärd</t>
        </is>
      </c>
      <c r="D9839" s="1" t="n">
        <v>45867</v>
      </c>
      <c r="E9839" s="1" t="n">
        <v>46319</v>
      </c>
      <c r="F9839" t="inlineStr">
        <is>
          <t>DALARNAS LÄN</t>
        </is>
      </c>
      <c r="G9839" t="inlineStr">
        <is>
          <t>SMEDJEBACKEN</t>
        </is>
      </c>
      <c r="H9839" t="inlineStr">
        <is>
          <t>Sveaskog</t>
        </is>
      </c>
      <c r="I9839" t="n">
        <v>1.3</v>
      </c>
      <c r="J9839" t="n">
        <v>0</v>
      </c>
      <c r="K9839" t="n">
        <v>0</v>
      </c>
      <c r="L9839" t="n">
        <v>0</v>
      </c>
      <c r="M9839" t="n">
        <v>0</v>
      </c>
      <c r="N9839" t="n">
        <v>0</v>
      </c>
      <c r="O9839" t="n">
        <v>0</v>
      </c>
      <c r="P9839" t="n">
        <v>0</v>
      </c>
      <c r="Q9839" t="n">
        <v>0</v>
      </c>
      <c r="R9839" t="n">
        <v>0</v>
      </c>
      <c r="S9839" t="n">
        <v>0</v>
      </c>
      <c r="T9839" t="n">
        <v>0</v>
      </c>
      <c r="U9839" t="n">
        <v>0</v>
      </c>
      <c r="V9839" s="2" t="inlineStr"/>
    </row>
    <row r="9840" ht="15" customHeight="1">
      <c r="A9840" t="inlineStr">
        <is>
          <t>S 2225-2025</t>
        </is>
      </c>
      <c r="B9840" t="inlineStr">
        <is>
          <t>samrådsanmälan</t>
        </is>
      </c>
      <c r="C9840" t="inlineStr">
        <is>
          <t>Annan skogsbruksåtgärd</t>
        </is>
      </c>
      <c r="D9840" s="1" t="n">
        <v>45867</v>
      </c>
      <c r="E9840" s="1" t="n">
        <v>46319</v>
      </c>
      <c r="F9840" t="inlineStr">
        <is>
          <t>DALARNAS LÄN</t>
        </is>
      </c>
      <c r="G9840" t="inlineStr">
        <is>
          <t>SMEDJEBACKEN</t>
        </is>
      </c>
      <c r="H9840" t="inlineStr">
        <is>
          <t>Sveaskog</t>
        </is>
      </c>
      <c r="I9840" t="n">
        <v>2.6</v>
      </c>
      <c r="J9840" t="n">
        <v>0</v>
      </c>
      <c r="K9840" t="n">
        <v>0</v>
      </c>
      <c r="L9840" t="n">
        <v>0</v>
      </c>
      <c r="M9840" t="n">
        <v>0</v>
      </c>
      <c r="N9840" t="n">
        <v>0</v>
      </c>
      <c r="O9840" t="n">
        <v>0</v>
      </c>
      <c r="P9840" t="n">
        <v>0</v>
      </c>
      <c r="Q9840" t="n">
        <v>0</v>
      </c>
      <c r="R9840" t="n">
        <v>0</v>
      </c>
      <c r="S9840" t="n">
        <v>0</v>
      </c>
      <c r="T9840" t="n">
        <v>0</v>
      </c>
      <c r="U9840" t="n">
        <v>0</v>
      </c>
      <c r="V9840" s="2" t="inlineStr"/>
    </row>
    <row r="9841" ht="15" customHeight="1">
      <c r="A9841" t="inlineStr">
        <is>
          <t>S 2303-2025</t>
        </is>
      </c>
      <c r="B9841" t="inlineStr">
        <is>
          <t>samrådsanmälan</t>
        </is>
      </c>
      <c r="C9841" t="inlineStr">
        <is>
          <t>Annan skogsbruksåtgärd</t>
        </is>
      </c>
      <c r="D9841" s="1" t="n">
        <v>45881</v>
      </c>
      <c r="E9841" s="1" t="n">
        <v>46319</v>
      </c>
      <c r="F9841" t="inlineStr">
        <is>
          <t>DALARNAS LÄN</t>
        </is>
      </c>
      <c r="G9841" t="inlineStr">
        <is>
          <t>MORA</t>
        </is>
      </c>
      <c r="H9841" t="inlineStr">
        <is>
          <t>Bergvik skog öst AB</t>
        </is>
      </c>
      <c r="I9841" t="n">
        <v>2.6</v>
      </c>
      <c r="J9841" t="n">
        <v>0</v>
      </c>
      <c r="K9841" t="n">
        <v>0</v>
      </c>
      <c r="L9841" t="n">
        <v>0</v>
      </c>
      <c r="M9841" t="n">
        <v>0</v>
      </c>
      <c r="N9841" t="n">
        <v>0</v>
      </c>
      <c r="O9841" t="n">
        <v>0</v>
      </c>
      <c r="P9841" t="n">
        <v>0</v>
      </c>
      <c r="Q9841" t="n">
        <v>0</v>
      </c>
      <c r="R9841" t="n">
        <v>0</v>
      </c>
      <c r="S9841" t="n">
        <v>0</v>
      </c>
      <c r="T9841" t="n">
        <v>0</v>
      </c>
      <c r="U9841" t="n">
        <v>0</v>
      </c>
      <c r="V9841" s="2" t="inlineStr"/>
    </row>
    <row r="9842" ht="15" customHeight="1">
      <c r="A9842" t="inlineStr">
        <is>
          <t>S 2379-2025</t>
        </is>
      </c>
      <c r="B9842" t="inlineStr">
        <is>
          <t>samrådsanmälan</t>
        </is>
      </c>
      <c r="C9842" t="inlineStr">
        <is>
          <t>Annan skogsbruksåtgärd</t>
        </is>
      </c>
      <c r="D9842" s="1" t="n">
        <v>45891</v>
      </c>
      <c r="E9842" s="1" t="n">
        <v>46319</v>
      </c>
      <c r="F9842" t="inlineStr">
        <is>
          <t>DALARNAS LÄN</t>
        </is>
      </c>
      <c r="G9842" t="inlineStr">
        <is>
          <t>SMEDJEBACKEN</t>
        </is>
      </c>
      <c r="H9842" t="inlineStr">
        <is>
          <t>Sveaskog</t>
        </is>
      </c>
      <c r="I9842" t="n">
        <v>1.2</v>
      </c>
      <c r="J9842" t="n">
        <v>0</v>
      </c>
      <c r="K9842" t="n">
        <v>0</v>
      </c>
      <c r="L9842" t="n">
        <v>0</v>
      </c>
      <c r="M9842" t="n">
        <v>0</v>
      </c>
      <c r="N9842" t="n">
        <v>0</v>
      </c>
      <c r="O9842" t="n">
        <v>0</v>
      </c>
      <c r="P9842" t="n">
        <v>0</v>
      </c>
      <c r="Q9842" t="n">
        <v>0</v>
      </c>
      <c r="R9842" t="n">
        <v>0</v>
      </c>
      <c r="S9842" t="n">
        <v>0</v>
      </c>
      <c r="T9842" t="n">
        <v>0</v>
      </c>
      <c r="U9842" t="n">
        <v>0</v>
      </c>
      <c r="V9842" s="2" t="inlineStr"/>
    </row>
    <row r="9843" ht="15" customHeight="1">
      <c r="A9843" t="inlineStr">
        <is>
          <t>S 2513-2025</t>
        </is>
      </c>
      <c r="B9843" t="inlineStr">
        <is>
          <t>samrådsanmälan</t>
        </is>
      </c>
      <c r="C9843" t="inlineStr">
        <is>
          <t>Annan skogsbruksåtgärd</t>
        </is>
      </c>
      <c r="D9843" s="1" t="n">
        <v>45906</v>
      </c>
      <c r="E9843" s="1" t="n">
        <v>46319</v>
      </c>
      <c r="F9843" t="inlineStr">
        <is>
          <t>DALARNAS LÄN</t>
        </is>
      </c>
      <c r="G9843" t="inlineStr">
        <is>
          <t>HEDEMORA</t>
        </is>
      </c>
      <c r="H9843" t="inlineStr">
        <is>
          <t>Sveaskog</t>
        </is>
      </c>
      <c r="I9843" t="n">
        <v>1.2</v>
      </c>
      <c r="J9843" t="n">
        <v>0</v>
      </c>
      <c r="K9843" t="n">
        <v>0</v>
      </c>
      <c r="L9843" t="n">
        <v>0</v>
      </c>
      <c r="M9843" t="n">
        <v>0</v>
      </c>
      <c r="N9843" t="n">
        <v>0</v>
      </c>
      <c r="O9843" t="n">
        <v>0</v>
      </c>
      <c r="P9843" t="n">
        <v>0</v>
      </c>
      <c r="Q9843" t="n">
        <v>0</v>
      </c>
      <c r="R9843" t="n">
        <v>0</v>
      </c>
      <c r="S9843" t="n">
        <v>0</v>
      </c>
      <c r="T9843" t="n">
        <v>0</v>
      </c>
      <c r="U9843" t="n">
        <v>0</v>
      </c>
      <c r="V9843" s="2" t="inlineStr"/>
    </row>
    <row r="9844" ht="15" customHeight="1">
      <c r="A9844" t="inlineStr">
        <is>
          <t>S 2573-2025</t>
        </is>
      </c>
      <c r="B9844" t="inlineStr">
        <is>
          <t>samrådsanmälan</t>
        </is>
      </c>
      <c r="C9844" t="inlineStr">
        <is>
          <t>Annan skogsbruksåtgärd</t>
        </is>
      </c>
      <c r="D9844" s="1" t="n">
        <v>45912</v>
      </c>
      <c r="E9844" s="1" t="n">
        <v>46319</v>
      </c>
      <c r="F9844" t="inlineStr">
        <is>
          <t>DALARNAS LÄN</t>
        </is>
      </c>
      <c r="G9844" t="inlineStr">
        <is>
          <t>FALUN</t>
        </is>
      </c>
      <c r="I9844" t="n">
        <v>6</v>
      </c>
      <c r="J9844" t="n">
        <v>0</v>
      </c>
      <c r="K9844" t="n">
        <v>0</v>
      </c>
      <c r="L9844" t="n">
        <v>0</v>
      </c>
      <c r="M9844" t="n">
        <v>0</v>
      </c>
      <c r="N9844" t="n">
        <v>0</v>
      </c>
      <c r="O9844" t="n">
        <v>0</v>
      </c>
      <c r="P9844" t="n">
        <v>0</v>
      </c>
      <c r="Q9844" t="n">
        <v>0</v>
      </c>
      <c r="R9844" t="n">
        <v>0</v>
      </c>
      <c r="S9844" t="n">
        <v>0</v>
      </c>
      <c r="T9844" t="n">
        <v>0</v>
      </c>
      <c r="U9844" t="n">
        <v>0</v>
      </c>
      <c r="V9844" s="2" t="inlineStr"/>
    </row>
    <row r="9845" ht="15" customHeight="1">
      <c r="A9845" t="inlineStr">
        <is>
          <t>S 2586-2025</t>
        </is>
      </c>
      <c r="B9845" t="inlineStr">
        <is>
          <t>samrådsanmälan</t>
        </is>
      </c>
      <c r="C9845" t="inlineStr">
        <is>
          <t>Annan skogsbruksåtgärd</t>
        </is>
      </c>
      <c r="D9845" s="1" t="n">
        <v>45915</v>
      </c>
      <c r="E9845" s="1" t="n">
        <v>46319</v>
      </c>
      <c r="F9845" t="inlineStr">
        <is>
          <t>DALARNAS LÄN</t>
        </is>
      </c>
      <c r="G9845" t="inlineStr">
        <is>
          <t>MORA</t>
        </is>
      </c>
      <c r="H9845" t="inlineStr">
        <is>
          <t>Allmännings- och besparingsskogar</t>
        </is>
      </c>
      <c r="I9845" t="n">
        <v>10.6</v>
      </c>
      <c r="J9845" t="n">
        <v>0</v>
      </c>
      <c r="K9845" t="n">
        <v>0</v>
      </c>
      <c r="L9845" t="n">
        <v>0</v>
      </c>
      <c r="M9845" t="n">
        <v>0</v>
      </c>
      <c r="N9845" t="n">
        <v>0</v>
      </c>
      <c r="O9845" t="n">
        <v>0</v>
      </c>
      <c r="P9845" t="n">
        <v>0</v>
      </c>
      <c r="Q9845" t="n">
        <v>0</v>
      </c>
      <c r="R9845" t="n">
        <v>0</v>
      </c>
      <c r="S9845" t="n">
        <v>0</v>
      </c>
      <c r="T9845" t="n">
        <v>0</v>
      </c>
      <c r="U9845" t="n">
        <v>0</v>
      </c>
      <c r="V9845" s="2" t="inlineStr"/>
    </row>
    <row r="9846" ht="15" customHeight="1">
      <c r="A9846" t="inlineStr">
        <is>
          <t>S 2498-2025</t>
        </is>
      </c>
      <c r="B9846" t="inlineStr">
        <is>
          <t>samrådsanmälan</t>
        </is>
      </c>
      <c r="C9846" t="inlineStr">
        <is>
          <t>Annan skogsbruksåtgärd</t>
        </is>
      </c>
      <c r="D9846" s="1" t="n">
        <v>45904</v>
      </c>
      <c r="E9846" s="1" t="n">
        <v>46319</v>
      </c>
      <c r="F9846" t="inlineStr">
        <is>
          <t>DALARNAS LÄN</t>
        </is>
      </c>
      <c r="G9846" t="inlineStr">
        <is>
          <t>LEKSAND</t>
        </is>
      </c>
      <c r="I9846" t="n">
        <v>8.699999999999999</v>
      </c>
      <c r="J9846" t="n">
        <v>0</v>
      </c>
      <c r="K9846" t="n">
        <v>0</v>
      </c>
      <c r="L9846" t="n">
        <v>0</v>
      </c>
      <c r="M9846" t="n">
        <v>0</v>
      </c>
      <c r="N9846" t="n">
        <v>0</v>
      </c>
      <c r="O9846" t="n">
        <v>0</v>
      </c>
      <c r="P9846" t="n">
        <v>0</v>
      </c>
      <c r="Q9846" t="n">
        <v>0</v>
      </c>
      <c r="R9846" t="n">
        <v>0</v>
      </c>
      <c r="S9846" t="n">
        <v>0</v>
      </c>
      <c r="T9846" t="n">
        <v>0</v>
      </c>
      <c r="U9846" t="n">
        <v>0</v>
      </c>
      <c r="V9846" s="2" t="inlineStr"/>
    </row>
    <row r="9847" ht="15" customHeight="1">
      <c r="A9847" t="inlineStr">
        <is>
          <t>S 2808-2025</t>
        </is>
      </c>
      <c r="B9847" t="inlineStr">
        <is>
          <t>samrådsanmälan</t>
        </is>
      </c>
      <c r="C9847" t="inlineStr">
        <is>
          <t>Skogsgödsling</t>
        </is>
      </c>
      <c r="D9847" s="1" t="n">
        <v>45938</v>
      </c>
      <c r="E9847" s="1" t="n">
        <v>46319</v>
      </c>
      <c r="F9847" t="inlineStr">
        <is>
          <t>DALARNAS LÄN</t>
        </is>
      </c>
      <c r="G9847" t="inlineStr">
        <is>
          <t>ORSA</t>
        </is>
      </c>
      <c r="H9847" t="inlineStr">
        <is>
          <t>Allmännings- och besparingsskogar</t>
        </is>
      </c>
      <c r="I9847" t="n">
        <v>18.6</v>
      </c>
      <c r="J9847" t="n">
        <v>0</v>
      </c>
      <c r="K9847" t="n">
        <v>0</v>
      </c>
      <c r="L9847" t="n">
        <v>0</v>
      </c>
      <c r="M9847" t="n">
        <v>0</v>
      </c>
      <c r="N9847" t="n">
        <v>0</v>
      </c>
      <c r="O9847" t="n">
        <v>0</v>
      </c>
      <c r="P9847" t="n">
        <v>0</v>
      </c>
      <c r="Q9847" t="n">
        <v>0</v>
      </c>
      <c r="R9847" t="n">
        <v>0</v>
      </c>
      <c r="S9847" t="n">
        <v>0</v>
      </c>
      <c r="T9847" t="n">
        <v>0</v>
      </c>
      <c r="U9847" t="n">
        <v>0</v>
      </c>
      <c r="V9847" s="2" t="inlineStr"/>
    </row>
    <row r="9848" ht="15" customHeight="1">
      <c r="A9848" t="inlineStr">
        <is>
          <t>S 2817-2025</t>
        </is>
      </c>
      <c r="B9848" t="inlineStr">
        <is>
          <t>samrådsanmälan</t>
        </is>
      </c>
      <c r="C9848" t="inlineStr">
        <is>
          <t>Skogsgödsling</t>
        </is>
      </c>
      <c r="D9848" s="1" t="n">
        <v>45938</v>
      </c>
      <c r="E9848" s="1" t="n">
        <v>46319</v>
      </c>
      <c r="F9848" t="inlineStr">
        <is>
          <t>DALARNAS LÄN</t>
        </is>
      </c>
      <c r="G9848" t="inlineStr">
        <is>
          <t>ORSA</t>
        </is>
      </c>
      <c r="H9848" t="inlineStr">
        <is>
          <t>Allmännings- och besparingsskogar</t>
        </is>
      </c>
      <c r="I9848" t="n">
        <v>5.9</v>
      </c>
      <c r="J9848" t="n">
        <v>0</v>
      </c>
      <c r="K9848" t="n">
        <v>0</v>
      </c>
      <c r="L9848" t="n">
        <v>0</v>
      </c>
      <c r="M9848" t="n">
        <v>0</v>
      </c>
      <c r="N9848" t="n">
        <v>0</v>
      </c>
      <c r="O9848" t="n">
        <v>0</v>
      </c>
      <c r="P9848" t="n">
        <v>0</v>
      </c>
      <c r="Q9848" t="n">
        <v>0</v>
      </c>
      <c r="R9848" t="n">
        <v>0</v>
      </c>
      <c r="S9848" t="n">
        <v>0</v>
      </c>
      <c r="T9848" t="n">
        <v>0</v>
      </c>
      <c r="U9848" t="n">
        <v>0</v>
      </c>
      <c r="V9848" s="2" t="inlineStr"/>
    </row>
    <row r="9849" ht="15" customHeight="1">
      <c r="A9849" t="inlineStr">
        <is>
          <t>S 2807-2025</t>
        </is>
      </c>
      <c r="B9849" t="inlineStr">
        <is>
          <t>samrådsanmälan</t>
        </is>
      </c>
      <c r="C9849" t="inlineStr">
        <is>
          <t>Skogsgödsling</t>
        </is>
      </c>
      <c r="D9849" s="1" t="n">
        <v>45938</v>
      </c>
      <c r="E9849" s="1" t="n">
        <v>46319</v>
      </c>
      <c r="F9849" t="inlineStr">
        <is>
          <t>DALARNAS LÄN</t>
        </is>
      </c>
      <c r="G9849" t="inlineStr">
        <is>
          <t>ORSA</t>
        </is>
      </c>
      <c r="H9849" t="inlineStr">
        <is>
          <t>Allmännings- och besparingsskogar</t>
        </is>
      </c>
      <c r="I9849" t="n">
        <v>33.8</v>
      </c>
      <c r="J9849" t="n">
        <v>0</v>
      </c>
      <c r="K9849" t="n">
        <v>0</v>
      </c>
      <c r="L9849" t="n">
        <v>0</v>
      </c>
      <c r="M9849" t="n">
        <v>0</v>
      </c>
      <c r="N9849" t="n">
        <v>0</v>
      </c>
      <c r="O9849" t="n">
        <v>0</v>
      </c>
      <c r="P9849" t="n">
        <v>0</v>
      </c>
      <c r="Q9849" t="n">
        <v>0</v>
      </c>
      <c r="R9849" t="n">
        <v>0</v>
      </c>
      <c r="S9849" t="n">
        <v>0</v>
      </c>
      <c r="T9849" t="n">
        <v>0</v>
      </c>
      <c r="U9849" t="n">
        <v>0</v>
      </c>
      <c r="V9849" s="2" t="inlineStr"/>
    </row>
    <row r="9850" ht="15" customHeight="1">
      <c r="A9850" t="inlineStr">
        <is>
          <t>S 2806-2025</t>
        </is>
      </c>
      <c r="B9850" t="inlineStr">
        <is>
          <t>samrådsanmälan</t>
        </is>
      </c>
      <c r="C9850" t="inlineStr">
        <is>
          <t>Skogsgödsling</t>
        </is>
      </c>
      <c r="D9850" s="1" t="n">
        <v>45938</v>
      </c>
      <c r="E9850" s="1" t="n">
        <v>46319</v>
      </c>
      <c r="F9850" t="inlineStr">
        <is>
          <t>DALARNAS LÄN</t>
        </is>
      </c>
      <c r="G9850" t="inlineStr">
        <is>
          <t>ORSA</t>
        </is>
      </c>
      <c r="H9850" t="inlineStr">
        <is>
          <t>Allmännings- och besparingsskogar</t>
        </is>
      </c>
      <c r="I9850" t="n">
        <v>4.2</v>
      </c>
      <c r="J9850" t="n">
        <v>0</v>
      </c>
      <c r="K9850" t="n">
        <v>0</v>
      </c>
      <c r="L9850" t="n">
        <v>0</v>
      </c>
      <c r="M9850" t="n">
        <v>0</v>
      </c>
      <c r="N9850" t="n">
        <v>0</v>
      </c>
      <c r="O9850" t="n">
        <v>0</v>
      </c>
      <c r="P9850" t="n">
        <v>0</v>
      </c>
      <c r="Q9850" t="n">
        <v>0</v>
      </c>
      <c r="R9850" t="n">
        <v>0</v>
      </c>
      <c r="S9850" t="n">
        <v>0</v>
      </c>
      <c r="T9850" t="n">
        <v>0</v>
      </c>
      <c r="U9850" t="n">
        <v>0</v>
      </c>
      <c r="V9850" s="2" t="inlineStr"/>
    </row>
    <row r="9851" ht="15" customHeight="1">
      <c r="A9851" t="inlineStr">
        <is>
          <t>S 2879-2025</t>
        </is>
      </c>
      <c r="B9851" t="inlineStr">
        <is>
          <t>samrådsanmälan</t>
        </is>
      </c>
      <c r="C9851" t="inlineStr">
        <is>
          <t>Annan skogsbruksåtgärd</t>
        </is>
      </c>
      <c r="D9851" s="1" t="n">
        <v>45945</v>
      </c>
      <c r="E9851" s="1" t="n">
        <v>46319</v>
      </c>
      <c r="F9851" t="inlineStr">
        <is>
          <t>DALARNAS LÄN</t>
        </is>
      </c>
      <c r="G9851" t="inlineStr">
        <is>
          <t>SMEDJEBACKEN</t>
        </is>
      </c>
      <c r="H9851" t="inlineStr">
        <is>
          <t>Bergvik skog väst AB</t>
        </is>
      </c>
      <c r="I9851" t="n">
        <v>4.8</v>
      </c>
      <c r="J9851" t="n">
        <v>0</v>
      </c>
      <c r="K9851" t="n">
        <v>0</v>
      </c>
      <c r="L9851" t="n">
        <v>0</v>
      </c>
      <c r="M9851" t="n">
        <v>0</v>
      </c>
      <c r="N9851" t="n">
        <v>0</v>
      </c>
      <c r="O9851" t="n">
        <v>0</v>
      </c>
      <c r="P9851" t="n">
        <v>0</v>
      </c>
      <c r="Q9851" t="n">
        <v>0</v>
      </c>
      <c r="R9851" t="n">
        <v>0</v>
      </c>
      <c r="S9851" t="n">
        <v>0</v>
      </c>
      <c r="T9851" t="n">
        <v>0</v>
      </c>
      <c r="U9851" t="n">
        <v>0</v>
      </c>
      <c r="V9851" s="2" t="inlineStr"/>
    </row>
    <row r="9852" ht="15" customHeight="1">
      <c r="A9852" t="inlineStr">
        <is>
          <t>S 2880-2025</t>
        </is>
      </c>
      <c r="B9852" t="inlineStr">
        <is>
          <t>samrådsanmälan</t>
        </is>
      </c>
      <c r="C9852" t="inlineStr">
        <is>
          <t>Annan skogsbruksåtgärd</t>
        </is>
      </c>
      <c r="D9852" s="1" t="n">
        <v>45945</v>
      </c>
      <c r="E9852" s="1" t="n">
        <v>46319</v>
      </c>
      <c r="F9852" t="inlineStr">
        <is>
          <t>DALARNAS LÄN</t>
        </is>
      </c>
      <c r="G9852" t="inlineStr">
        <is>
          <t>SMEDJEBACKEN</t>
        </is>
      </c>
      <c r="H9852" t="inlineStr">
        <is>
          <t>Bergvik skog väst AB</t>
        </is>
      </c>
      <c r="I9852" t="n">
        <v>0.8</v>
      </c>
      <c r="J9852" t="n">
        <v>0</v>
      </c>
      <c r="K9852" t="n">
        <v>0</v>
      </c>
      <c r="L9852" t="n">
        <v>0</v>
      </c>
      <c r="M9852" t="n">
        <v>0</v>
      </c>
      <c r="N9852" t="n">
        <v>0</v>
      </c>
      <c r="O9852" t="n">
        <v>0</v>
      </c>
      <c r="P9852" t="n">
        <v>0</v>
      </c>
      <c r="Q9852" t="n">
        <v>0</v>
      </c>
      <c r="R9852" t="n">
        <v>0</v>
      </c>
      <c r="S9852" t="n">
        <v>0</v>
      </c>
      <c r="T9852" t="n">
        <v>0</v>
      </c>
      <c r="U9852" t="n">
        <v>0</v>
      </c>
      <c r="V9852" s="2" t="inlineStr"/>
    </row>
    <row r="9853" ht="15" customHeight="1">
      <c r="A9853" t="inlineStr">
        <is>
          <t>S 2904-2025</t>
        </is>
      </c>
      <c r="B9853" t="inlineStr">
        <is>
          <t>samrådsanmälan</t>
        </is>
      </c>
      <c r="C9853" t="inlineStr">
        <is>
          <t>Annan skogsbruksåtgärd</t>
        </is>
      </c>
      <c r="D9853" s="1" t="n">
        <v>45947</v>
      </c>
      <c r="E9853" s="1" t="n">
        <v>46319</v>
      </c>
      <c r="F9853" t="inlineStr">
        <is>
          <t>DALARNAS LÄN</t>
        </is>
      </c>
      <c r="G9853" t="inlineStr">
        <is>
          <t>SMEDJEBACKEN</t>
        </is>
      </c>
      <c r="H9853" t="inlineStr">
        <is>
          <t>Sveaskog</t>
        </is>
      </c>
      <c r="I9853" t="n">
        <v>1.1</v>
      </c>
      <c r="J9853" t="n">
        <v>0</v>
      </c>
      <c r="K9853" t="n">
        <v>0</v>
      </c>
      <c r="L9853" t="n">
        <v>0</v>
      </c>
      <c r="M9853" t="n">
        <v>0</v>
      </c>
      <c r="N9853" t="n">
        <v>0</v>
      </c>
      <c r="O9853" t="n">
        <v>0</v>
      </c>
      <c r="P9853" t="n">
        <v>0</v>
      </c>
      <c r="Q9853" t="n">
        <v>0</v>
      </c>
      <c r="R9853" t="n">
        <v>0</v>
      </c>
      <c r="S9853" t="n">
        <v>0</v>
      </c>
      <c r="T9853" t="n">
        <v>0</v>
      </c>
      <c r="U9853" t="n">
        <v>0</v>
      </c>
      <c r="V9853" s="2" t="inlineStr"/>
    </row>
    <row r="9854" ht="15" customHeight="1">
      <c r="A9854" t="inlineStr">
        <is>
          <t>S 2906-2025</t>
        </is>
      </c>
      <c r="B9854" t="inlineStr">
        <is>
          <t>samrådsanmälan</t>
        </is>
      </c>
      <c r="C9854" t="inlineStr">
        <is>
          <t>Annan skogsbruksåtgärd</t>
        </is>
      </c>
      <c r="D9854" s="1" t="n">
        <v>45947</v>
      </c>
      <c r="E9854" s="1" t="n">
        <v>46319</v>
      </c>
      <c r="F9854" t="inlineStr">
        <is>
          <t>DALARNAS LÄN</t>
        </is>
      </c>
      <c r="G9854" t="inlineStr">
        <is>
          <t>SMEDJEBACKEN</t>
        </is>
      </c>
      <c r="H9854" t="inlineStr">
        <is>
          <t>Sveaskog</t>
        </is>
      </c>
      <c r="I9854" t="n">
        <v>0.7</v>
      </c>
      <c r="J9854" t="n">
        <v>0</v>
      </c>
      <c r="K9854" t="n">
        <v>0</v>
      </c>
      <c r="L9854" t="n">
        <v>0</v>
      </c>
      <c r="M9854" t="n">
        <v>0</v>
      </c>
      <c r="N9854" t="n">
        <v>0</v>
      </c>
      <c r="O9854" t="n">
        <v>0</v>
      </c>
      <c r="P9854" t="n">
        <v>0</v>
      </c>
      <c r="Q9854" t="n">
        <v>0</v>
      </c>
      <c r="R9854" t="n">
        <v>0</v>
      </c>
      <c r="S9854" t="n">
        <v>0</v>
      </c>
      <c r="T9854" t="n">
        <v>0</v>
      </c>
      <c r="U9854" t="n">
        <v>0</v>
      </c>
      <c r="V9854" s="2" t="inlineStr"/>
    </row>
    <row r="9855" ht="15" customHeight="1">
      <c r="A9855" t="inlineStr">
        <is>
          <t>S 2909-2025</t>
        </is>
      </c>
      <c r="B9855" t="inlineStr">
        <is>
          <t>samrådsanmälan</t>
        </is>
      </c>
      <c r="C9855" t="inlineStr">
        <is>
          <t>Annan skogsbruksåtgärd</t>
        </is>
      </c>
      <c r="D9855" s="1" t="n">
        <v>45947</v>
      </c>
      <c r="E9855" s="1" t="n">
        <v>46319</v>
      </c>
      <c r="F9855" t="inlineStr">
        <is>
          <t>DALARNAS LÄN</t>
        </is>
      </c>
      <c r="G9855" t="inlineStr">
        <is>
          <t>SMEDJEBACKEN</t>
        </is>
      </c>
      <c r="H9855" t="inlineStr">
        <is>
          <t>Sveaskog</t>
        </is>
      </c>
      <c r="I9855" t="n">
        <v>0.9</v>
      </c>
      <c r="J9855" t="n">
        <v>0</v>
      </c>
      <c r="K9855" t="n">
        <v>0</v>
      </c>
      <c r="L9855" t="n">
        <v>0</v>
      </c>
      <c r="M9855" t="n">
        <v>0</v>
      </c>
      <c r="N9855" t="n">
        <v>0</v>
      </c>
      <c r="O9855" t="n">
        <v>0</v>
      </c>
      <c r="P9855" t="n">
        <v>0</v>
      </c>
      <c r="Q9855" t="n">
        <v>0</v>
      </c>
      <c r="R9855" t="n">
        <v>0</v>
      </c>
      <c r="S9855" t="n">
        <v>0</v>
      </c>
      <c r="T9855" t="n">
        <v>0</v>
      </c>
      <c r="U9855" t="n">
        <v>0</v>
      </c>
      <c r="V9855" s="2" t="inlineStr"/>
    </row>
    <row r="9856" ht="15" customHeight="1">
      <c r="A9856" t="inlineStr">
        <is>
          <t>S 2905-2025</t>
        </is>
      </c>
      <c r="B9856" t="inlineStr">
        <is>
          <t>samrådsanmälan</t>
        </is>
      </c>
      <c r="C9856" t="inlineStr">
        <is>
          <t>Annan skogsbruksåtgärd</t>
        </is>
      </c>
      <c r="D9856" s="1" t="n">
        <v>45947</v>
      </c>
      <c r="E9856" s="1" t="n">
        <v>46319</v>
      </c>
      <c r="F9856" t="inlineStr">
        <is>
          <t>DALARNAS LÄN</t>
        </is>
      </c>
      <c r="G9856" t="inlineStr">
        <is>
          <t>SMEDJEBACKEN</t>
        </is>
      </c>
      <c r="H9856" t="inlineStr">
        <is>
          <t>Sveaskog</t>
        </is>
      </c>
      <c r="I9856" t="n">
        <v>1.8</v>
      </c>
      <c r="J9856" t="n">
        <v>0</v>
      </c>
      <c r="K9856" t="n">
        <v>0</v>
      </c>
      <c r="L9856" t="n">
        <v>0</v>
      </c>
      <c r="M9856" t="n">
        <v>0</v>
      </c>
      <c r="N9856" t="n">
        <v>0</v>
      </c>
      <c r="O9856" t="n">
        <v>0</v>
      </c>
      <c r="P9856" t="n">
        <v>0</v>
      </c>
      <c r="Q9856" t="n">
        <v>0</v>
      </c>
      <c r="R9856" t="n">
        <v>0</v>
      </c>
      <c r="S9856" t="n">
        <v>0</v>
      </c>
      <c r="T9856" t="n">
        <v>0</v>
      </c>
      <c r="U9856" t="n">
        <v>0</v>
      </c>
      <c r="V9856" s="2" t="inlineStr"/>
    </row>
    <row r="9857" ht="15" customHeight="1">
      <c r="A9857" t="inlineStr">
        <is>
          <t>S 2910-2025</t>
        </is>
      </c>
      <c r="B9857" t="inlineStr">
        <is>
          <t>samrådsanmälan</t>
        </is>
      </c>
      <c r="C9857" t="inlineStr">
        <is>
          <t>Annan skogsbruksåtgärd</t>
        </is>
      </c>
      <c r="D9857" s="1" t="n">
        <v>45947</v>
      </c>
      <c r="E9857" s="1" t="n">
        <v>46319</v>
      </c>
      <c r="F9857" t="inlineStr">
        <is>
          <t>DALARNAS LÄN</t>
        </is>
      </c>
      <c r="G9857" t="inlineStr">
        <is>
          <t>SMEDJEBACKEN</t>
        </is>
      </c>
      <c r="H9857" t="inlineStr">
        <is>
          <t>Sveaskog</t>
        </is>
      </c>
      <c r="I9857" t="n">
        <v>1.6</v>
      </c>
      <c r="J9857" t="n">
        <v>0</v>
      </c>
      <c r="K9857" t="n">
        <v>0</v>
      </c>
      <c r="L9857" t="n">
        <v>0</v>
      </c>
      <c r="M9857" t="n">
        <v>0</v>
      </c>
      <c r="N9857" t="n">
        <v>0</v>
      </c>
      <c r="O9857" t="n">
        <v>0</v>
      </c>
      <c r="P9857" t="n">
        <v>0</v>
      </c>
      <c r="Q9857" t="n">
        <v>0</v>
      </c>
      <c r="R9857" t="n">
        <v>0</v>
      </c>
      <c r="S9857" t="n">
        <v>0</v>
      </c>
      <c r="T9857" t="n">
        <v>0</v>
      </c>
      <c r="U9857" t="n">
        <v>0</v>
      </c>
      <c r="V9857" s="2" t="inlineStr"/>
    </row>
    <row r="9858" ht="15" customHeight="1">
      <c r="A9858" t="inlineStr">
        <is>
          <t>S 2964-2025</t>
        </is>
      </c>
      <c r="B9858" t="inlineStr">
        <is>
          <t>samrådsanmälan</t>
        </is>
      </c>
      <c r="C9858" t="inlineStr">
        <is>
          <t>Annan skogsbruksåtgärd</t>
        </is>
      </c>
      <c r="D9858" s="1" t="n">
        <v>45952</v>
      </c>
      <c r="E9858" s="1" t="n">
        <v>46319</v>
      </c>
      <c r="F9858" t="inlineStr">
        <is>
          <t>DALARNAS LÄN</t>
        </is>
      </c>
      <c r="G9858" t="inlineStr">
        <is>
          <t>SÄTER</t>
        </is>
      </c>
      <c r="H9858" t="inlineStr">
        <is>
          <t>Bergvik skog väst AB</t>
        </is>
      </c>
      <c r="I9858" t="n">
        <v>1.9</v>
      </c>
      <c r="J9858" t="n">
        <v>0</v>
      </c>
      <c r="K9858" t="n">
        <v>0</v>
      </c>
      <c r="L9858" t="n">
        <v>0</v>
      </c>
      <c r="M9858" t="n">
        <v>0</v>
      </c>
      <c r="N9858" t="n">
        <v>0</v>
      </c>
      <c r="O9858" t="n">
        <v>0</v>
      </c>
      <c r="P9858" t="n">
        <v>0</v>
      </c>
      <c r="Q9858" t="n">
        <v>0</v>
      </c>
      <c r="R9858" t="n">
        <v>0</v>
      </c>
      <c r="S9858" t="n">
        <v>0</v>
      </c>
      <c r="T9858" t="n">
        <v>0</v>
      </c>
      <c r="U9858" t="n">
        <v>0</v>
      </c>
      <c r="V9858" s="2" t="inlineStr"/>
    </row>
    <row r="9859" ht="15" customHeight="1">
      <c r="A9859" t="inlineStr">
        <is>
          <t>S 2939-2025</t>
        </is>
      </c>
      <c r="B9859" t="inlineStr">
        <is>
          <t>samrådsanmälan</t>
        </is>
      </c>
      <c r="C9859" t="inlineStr">
        <is>
          <t>Annan skogsbruksåtgärd</t>
        </is>
      </c>
      <c r="D9859" s="1" t="n">
        <v>45951</v>
      </c>
      <c r="E9859" s="1" t="n">
        <v>46319</v>
      </c>
      <c r="F9859" t="inlineStr">
        <is>
          <t>DALARNAS LÄN</t>
        </is>
      </c>
      <c r="G9859" t="inlineStr">
        <is>
          <t>SÄTER</t>
        </is>
      </c>
      <c r="H9859" t="inlineStr">
        <is>
          <t>Bergvik skog väst AB</t>
        </is>
      </c>
      <c r="I9859" t="n">
        <v>2.3</v>
      </c>
      <c r="J9859" t="n">
        <v>0</v>
      </c>
      <c r="K9859" t="n">
        <v>0</v>
      </c>
      <c r="L9859" t="n">
        <v>0</v>
      </c>
      <c r="M9859" t="n">
        <v>0</v>
      </c>
      <c r="N9859" t="n">
        <v>0</v>
      </c>
      <c r="O9859" t="n">
        <v>0</v>
      </c>
      <c r="P9859" t="n">
        <v>0</v>
      </c>
      <c r="Q9859" t="n">
        <v>0</v>
      </c>
      <c r="R9859" t="n">
        <v>0</v>
      </c>
      <c r="S9859" t="n">
        <v>0</v>
      </c>
      <c r="T9859" t="n">
        <v>0</v>
      </c>
      <c r="U9859" t="n">
        <v>0</v>
      </c>
      <c r="V9859" s="2" t="inlineStr"/>
    </row>
    <row r="9860" ht="15" customHeight="1">
      <c r="A9860" t="inlineStr">
        <is>
          <t>S 2805-2025</t>
        </is>
      </c>
      <c r="B9860" t="inlineStr">
        <is>
          <t>samrådsanmälan</t>
        </is>
      </c>
      <c r="C9860" t="inlineStr">
        <is>
          <t>Skogsgödsling</t>
        </is>
      </c>
      <c r="D9860" s="1" t="n">
        <v>45938</v>
      </c>
      <c r="E9860" s="1" t="n">
        <v>46319</v>
      </c>
      <c r="F9860" t="inlineStr">
        <is>
          <t>DALARNAS LÄN</t>
        </is>
      </c>
      <c r="G9860" t="inlineStr">
        <is>
          <t>ORSA</t>
        </is>
      </c>
      <c r="H9860" t="inlineStr">
        <is>
          <t>Allmännings- och besparingsskogar</t>
        </is>
      </c>
      <c r="I9860" t="n">
        <v>71.90000000000001</v>
      </c>
      <c r="J9860" t="n">
        <v>0</v>
      </c>
      <c r="K9860" t="n">
        <v>0</v>
      </c>
      <c r="L9860" t="n">
        <v>0</v>
      </c>
      <c r="M9860" t="n">
        <v>0</v>
      </c>
      <c r="N9860" t="n">
        <v>0</v>
      </c>
      <c r="O9860" t="n">
        <v>0</v>
      </c>
      <c r="P9860" t="n">
        <v>0</v>
      </c>
      <c r="Q9860" t="n">
        <v>0</v>
      </c>
      <c r="R9860" t="n">
        <v>0</v>
      </c>
      <c r="S9860" t="n">
        <v>0</v>
      </c>
      <c r="T9860" t="n">
        <v>0</v>
      </c>
      <c r="U9860" t="n">
        <v>0</v>
      </c>
      <c r="V9860" s="2" t="inlineStr"/>
    </row>
    <row r="9861" ht="15" customHeight="1">
      <c r="A9861" t="inlineStr">
        <is>
          <t>S 3005-2025</t>
        </is>
      </c>
      <c r="B9861" t="inlineStr">
        <is>
          <t>samrådsanmälan</t>
        </is>
      </c>
      <c r="C9861" t="inlineStr">
        <is>
          <t>Annan skogsbruksåtgärd</t>
        </is>
      </c>
      <c r="D9861" s="1" t="n">
        <v>45957</v>
      </c>
      <c r="E9861" s="1" t="n">
        <v>46319</v>
      </c>
      <c r="F9861" t="inlineStr">
        <is>
          <t>DALARNAS LÄN</t>
        </is>
      </c>
      <c r="G9861" t="inlineStr">
        <is>
          <t>ORSA</t>
        </is>
      </c>
      <c r="I9861" t="n">
        <v>4.8</v>
      </c>
      <c r="J9861" t="n">
        <v>0</v>
      </c>
      <c r="K9861" t="n">
        <v>0</v>
      </c>
      <c r="L9861" t="n">
        <v>0</v>
      </c>
      <c r="M9861" t="n">
        <v>0</v>
      </c>
      <c r="N9861" t="n">
        <v>0</v>
      </c>
      <c r="O9861" t="n">
        <v>0</v>
      </c>
      <c r="P9861" t="n">
        <v>0</v>
      </c>
      <c r="Q9861" t="n">
        <v>0</v>
      </c>
      <c r="R9861" t="n">
        <v>0</v>
      </c>
      <c r="S9861" t="n">
        <v>0</v>
      </c>
      <c r="T9861" t="n">
        <v>0</v>
      </c>
      <c r="U9861" t="n">
        <v>0</v>
      </c>
      <c r="V9861" s="2" t="inlineStr"/>
    </row>
    <row r="9862" ht="15" customHeight="1">
      <c r="A9862" t="inlineStr">
        <is>
          <t>S 2854-2025</t>
        </is>
      </c>
      <c r="B9862" t="inlineStr">
        <is>
          <t>samrådsanmälan</t>
        </is>
      </c>
      <c r="C9862" t="inlineStr">
        <is>
          <t>Annan skogsbruksåtgärd</t>
        </is>
      </c>
      <c r="D9862" s="1" t="n">
        <v>45943</v>
      </c>
      <c r="E9862" s="1" t="n">
        <v>46319</v>
      </c>
      <c r="F9862" t="inlineStr">
        <is>
          <t>DALARNAS LÄN</t>
        </is>
      </c>
      <c r="G9862" t="inlineStr">
        <is>
          <t>LEKSAND</t>
        </is>
      </c>
      <c r="I9862" t="n">
        <v>7.2</v>
      </c>
      <c r="J9862" t="n">
        <v>0</v>
      </c>
      <c r="K9862" t="n">
        <v>0</v>
      </c>
      <c r="L9862" t="n">
        <v>0</v>
      </c>
      <c r="M9862" t="n">
        <v>0</v>
      </c>
      <c r="N9862" t="n">
        <v>0</v>
      </c>
      <c r="O9862" t="n">
        <v>0</v>
      </c>
      <c r="P9862" t="n">
        <v>0</v>
      </c>
      <c r="Q9862" t="n">
        <v>0</v>
      </c>
      <c r="R9862" t="n">
        <v>0</v>
      </c>
      <c r="S9862" t="n">
        <v>0</v>
      </c>
      <c r="T9862" t="n">
        <v>0</v>
      </c>
      <c r="U9862" t="n">
        <v>0</v>
      </c>
      <c r="V9862" s="2" t="inlineStr"/>
    </row>
    <row r="9863" ht="15" customHeight="1">
      <c r="A9863" t="inlineStr">
        <is>
          <t>S 3069-2025</t>
        </is>
      </c>
      <c r="B9863" t="inlineStr">
        <is>
          <t>samrådsanmälan</t>
        </is>
      </c>
      <c r="C9863" t="inlineStr">
        <is>
          <t>Annan skogsbruksåtgärd</t>
        </is>
      </c>
      <c r="D9863" s="1" t="n">
        <v>45964</v>
      </c>
      <c r="E9863" s="1" t="n">
        <v>46319</v>
      </c>
      <c r="F9863" t="inlineStr">
        <is>
          <t>DALARNAS LÄN</t>
        </is>
      </c>
      <c r="G9863" t="inlineStr">
        <is>
          <t>LEKSAND</t>
        </is>
      </c>
      <c r="H9863" t="inlineStr">
        <is>
          <t>Bergvik skog väst AB</t>
        </is>
      </c>
      <c r="I9863" t="n">
        <v>74.3</v>
      </c>
      <c r="J9863" t="n">
        <v>0</v>
      </c>
      <c r="K9863" t="n">
        <v>0</v>
      </c>
      <c r="L9863" t="n">
        <v>0</v>
      </c>
      <c r="M9863" t="n">
        <v>0</v>
      </c>
      <c r="N9863" t="n">
        <v>0</v>
      </c>
      <c r="O9863" t="n">
        <v>0</v>
      </c>
      <c r="P9863" t="n">
        <v>0</v>
      </c>
      <c r="Q9863" t="n">
        <v>0</v>
      </c>
      <c r="R9863" t="n">
        <v>0</v>
      </c>
      <c r="S9863" t="n">
        <v>0</v>
      </c>
      <c r="T9863" t="n">
        <v>0</v>
      </c>
      <c r="U9863" t="n">
        <v>0</v>
      </c>
      <c r="V9863" s="2" t="inlineStr"/>
    </row>
    <row r="9864" ht="15" customHeight="1">
      <c r="A9864" t="inlineStr">
        <is>
          <t>S 3278-2025</t>
        </is>
      </c>
      <c r="B9864" t="inlineStr">
        <is>
          <t>samrådsanmälan</t>
        </is>
      </c>
      <c r="C9864" t="inlineStr">
        <is>
          <t>Annan skogsbruksåtgärd</t>
        </is>
      </c>
      <c r="D9864" s="1" t="n">
        <v>45985</v>
      </c>
      <c r="E9864" s="1" t="n">
        <v>46319</v>
      </c>
      <c r="F9864" t="inlineStr">
        <is>
          <t>DALARNAS LÄN</t>
        </is>
      </c>
      <c r="G9864" t="inlineStr">
        <is>
          <t>SMEDJEBACKEN</t>
        </is>
      </c>
      <c r="H9864" t="inlineStr">
        <is>
          <t>Bergvik skog väst AB</t>
        </is>
      </c>
      <c r="I9864" t="n">
        <v>0.9</v>
      </c>
      <c r="J9864" t="n">
        <v>0</v>
      </c>
      <c r="K9864" t="n">
        <v>0</v>
      </c>
      <c r="L9864" t="n">
        <v>0</v>
      </c>
      <c r="M9864" t="n">
        <v>0</v>
      </c>
      <c r="N9864" t="n">
        <v>0</v>
      </c>
      <c r="O9864" t="n">
        <v>0</v>
      </c>
      <c r="P9864" t="n">
        <v>0</v>
      </c>
      <c r="Q9864" t="n">
        <v>0</v>
      </c>
      <c r="R9864" t="n">
        <v>0</v>
      </c>
      <c r="S9864" t="n">
        <v>0</v>
      </c>
      <c r="T9864" t="n">
        <v>0</v>
      </c>
      <c r="U9864" t="n">
        <v>0</v>
      </c>
      <c r="V9864" s="2" t="inlineStr"/>
    </row>
    <row r="9865" ht="15" customHeight="1">
      <c r="A9865" t="inlineStr">
        <is>
          <t>S 4145-2024</t>
        </is>
      </c>
      <c r="B9865" t="inlineStr">
        <is>
          <t>samrådsanmälan</t>
        </is>
      </c>
      <c r="C9865" t="inlineStr">
        <is>
          <t>Annan skogsbruksåtgärd</t>
        </is>
      </c>
      <c r="D9865" s="1" t="n">
        <v>45575</v>
      </c>
      <c r="E9865" s="1" t="n">
        <v>46319</v>
      </c>
      <c r="F9865" t="inlineStr">
        <is>
          <t>DALARNAS LÄN</t>
        </is>
      </c>
      <c r="G9865" t="inlineStr">
        <is>
          <t>ÄLVDALEN</t>
        </is>
      </c>
      <c r="I9865" t="n">
        <v>2.7</v>
      </c>
      <c r="J9865" t="n">
        <v>0</v>
      </c>
      <c r="K9865" t="n">
        <v>0</v>
      </c>
      <c r="L9865" t="n">
        <v>0</v>
      </c>
      <c r="M9865" t="n">
        <v>0</v>
      </c>
      <c r="N9865" t="n">
        <v>0</v>
      </c>
      <c r="O9865" t="n">
        <v>0</v>
      </c>
      <c r="P9865" t="n">
        <v>0</v>
      </c>
      <c r="Q9865" t="n">
        <v>0</v>
      </c>
      <c r="R9865" t="n">
        <v>0</v>
      </c>
      <c r="S9865" t="n">
        <v>0</v>
      </c>
      <c r="T9865" t="n">
        <v>0</v>
      </c>
      <c r="U9865" t="n">
        <v>0</v>
      </c>
      <c r="V9865" s="2" t="inlineStr"/>
    </row>
    <row r="9866" ht="15" customHeight="1">
      <c r="A9866" t="inlineStr">
        <is>
          <t>S 3319-2025</t>
        </is>
      </c>
      <c r="B9866" t="inlineStr">
        <is>
          <t>samrådsanmälan</t>
        </is>
      </c>
      <c r="C9866" t="inlineStr">
        <is>
          <t>Annan skogsbruksåtgärd</t>
        </is>
      </c>
      <c r="D9866" s="1" t="n">
        <v>45989</v>
      </c>
      <c r="E9866" s="1" t="n">
        <v>46319</v>
      </c>
      <c r="F9866" t="inlineStr">
        <is>
          <t>DALARNAS LÄN</t>
        </is>
      </c>
      <c r="G9866" t="inlineStr">
        <is>
          <t>HEDEMORA</t>
        </is>
      </c>
      <c r="H9866" t="inlineStr">
        <is>
          <t>Sveaskog</t>
        </is>
      </c>
      <c r="I9866" t="n">
        <v>4.4</v>
      </c>
      <c r="J9866" t="n">
        <v>0</v>
      </c>
      <c r="K9866" t="n">
        <v>0</v>
      </c>
      <c r="L9866" t="n">
        <v>0</v>
      </c>
      <c r="M9866" t="n">
        <v>0</v>
      </c>
      <c r="N9866" t="n">
        <v>0</v>
      </c>
      <c r="O9866" t="n">
        <v>0</v>
      </c>
      <c r="P9866" t="n">
        <v>0</v>
      </c>
      <c r="Q9866" t="n">
        <v>0</v>
      </c>
      <c r="R9866" t="n">
        <v>0</v>
      </c>
      <c r="S9866" t="n">
        <v>0</v>
      </c>
      <c r="T9866" t="n">
        <v>0</v>
      </c>
      <c r="U9866" t="n">
        <v>0</v>
      </c>
      <c r="V9866" s="2" t="inlineStr"/>
    </row>
    <row r="9867" ht="15" customHeight="1">
      <c r="A9867" t="inlineStr">
        <is>
          <t>S 3401-2025</t>
        </is>
      </c>
      <c r="B9867" t="inlineStr">
        <is>
          <t>samrådsanmälan</t>
        </is>
      </c>
      <c r="C9867" t="inlineStr">
        <is>
          <t>Annan skogsbruksåtgärd</t>
        </is>
      </c>
      <c r="D9867" s="1" t="n">
        <v>45995</v>
      </c>
      <c r="E9867" s="1" t="n">
        <v>46319</v>
      </c>
      <c r="F9867" t="inlineStr">
        <is>
          <t>DALARNAS LÄN</t>
        </is>
      </c>
      <c r="G9867" t="inlineStr">
        <is>
          <t>HEDEMORA</t>
        </is>
      </c>
      <c r="H9867" t="inlineStr">
        <is>
          <t>Sveaskog</t>
        </is>
      </c>
      <c r="I9867" t="n">
        <v>1.3</v>
      </c>
      <c r="J9867" t="n">
        <v>0</v>
      </c>
      <c r="K9867" t="n">
        <v>0</v>
      </c>
      <c r="L9867" t="n">
        <v>0</v>
      </c>
      <c r="M9867" t="n">
        <v>0</v>
      </c>
      <c r="N9867" t="n">
        <v>0</v>
      </c>
      <c r="O9867" t="n">
        <v>0</v>
      </c>
      <c r="P9867" t="n">
        <v>0</v>
      </c>
      <c r="Q9867" t="n">
        <v>0</v>
      </c>
      <c r="R9867" t="n">
        <v>0</v>
      </c>
      <c r="S9867" t="n">
        <v>0</v>
      </c>
      <c r="T9867" t="n">
        <v>0</v>
      </c>
      <c r="U9867" t="n">
        <v>0</v>
      </c>
      <c r="V9867" s="2" t="inlineStr"/>
    </row>
    <row r="9868" ht="15" customHeight="1">
      <c r="A9868" t="inlineStr">
        <is>
          <t>S 2297-2025</t>
        </is>
      </c>
      <c r="B9868" t="inlineStr">
        <is>
          <t>samrådsanmälan</t>
        </is>
      </c>
      <c r="C9868" t="inlineStr">
        <is>
          <t>Askåterföring</t>
        </is>
      </c>
      <c r="D9868" s="1" t="n">
        <v>45880</v>
      </c>
      <c r="E9868" s="1" t="n">
        <v>46319</v>
      </c>
      <c r="F9868" t="inlineStr">
        <is>
          <t>DALARNAS LÄN</t>
        </is>
      </c>
      <c r="G9868" t="inlineStr">
        <is>
          <t>AVESTA</t>
        </is>
      </c>
      <c r="I9868" t="n">
        <v>98.7</v>
      </c>
      <c r="J9868" t="n">
        <v>0</v>
      </c>
      <c r="K9868" t="n">
        <v>0</v>
      </c>
      <c r="L9868" t="n">
        <v>0</v>
      </c>
      <c r="M9868" t="n">
        <v>0</v>
      </c>
      <c r="N9868" t="n">
        <v>0</v>
      </c>
      <c r="O9868" t="n">
        <v>0</v>
      </c>
      <c r="P9868" t="n">
        <v>0</v>
      </c>
      <c r="Q9868" t="n">
        <v>0</v>
      </c>
      <c r="R9868" t="n">
        <v>0</v>
      </c>
      <c r="S9868" t="n">
        <v>0</v>
      </c>
      <c r="T9868" t="n">
        <v>0</v>
      </c>
      <c r="U9868" t="n">
        <v>0</v>
      </c>
      <c r="V9868" s="2" t="inlineStr"/>
    </row>
    <row r="9869" ht="15" customHeight="1">
      <c r="A9869" t="inlineStr">
        <is>
          <t>S 471-2024</t>
        </is>
      </c>
      <c r="B9869" t="inlineStr">
        <is>
          <t>samrådsanmälan</t>
        </is>
      </c>
      <c r="C9869" t="inlineStr">
        <is>
          <t>Skogsgödsling</t>
        </is>
      </c>
      <c r="D9869" s="1" t="n">
        <v>45342</v>
      </c>
      <c r="E9869" s="1" t="n">
        <v>46319</v>
      </c>
      <c r="F9869" t="inlineStr">
        <is>
          <t>DALARNAS LÄN</t>
        </is>
      </c>
      <c r="G9869" t="inlineStr">
        <is>
          <t>MALUNG-SÄLEN</t>
        </is>
      </c>
      <c r="I9869" t="n">
        <v>22</v>
      </c>
      <c r="J9869" t="n">
        <v>0</v>
      </c>
      <c r="K9869" t="n">
        <v>0</v>
      </c>
      <c r="L9869" t="n">
        <v>0</v>
      </c>
      <c r="M9869" t="n">
        <v>0</v>
      </c>
      <c r="N9869" t="n">
        <v>0</v>
      </c>
      <c r="O9869" t="n">
        <v>0</v>
      </c>
      <c r="P9869" t="n">
        <v>0</v>
      </c>
      <c r="Q9869" t="n">
        <v>0</v>
      </c>
      <c r="R9869" t="n">
        <v>0</v>
      </c>
      <c r="S9869" t="n">
        <v>0</v>
      </c>
      <c r="T9869" t="n">
        <v>0</v>
      </c>
      <c r="U9869" t="n">
        <v>0</v>
      </c>
      <c r="V9869" s="2" t="inlineStr"/>
    </row>
    <row r="9870" ht="15" customHeight="1">
      <c r="A9870" t="inlineStr">
        <is>
          <t>S 208-2025</t>
        </is>
      </c>
      <c r="B9870" t="inlineStr">
        <is>
          <t>samrådsanmälan</t>
        </is>
      </c>
      <c r="C9870" t="inlineStr">
        <is>
          <t>Skogsgödsling</t>
        </is>
      </c>
      <c r="D9870" s="1" t="n">
        <v>45679</v>
      </c>
      <c r="E9870" s="1" t="n">
        <v>46319</v>
      </c>
      <c r="F9870" t="inlineStr">
        <is>
          <t>DALARNAS LÄN</t>
        </is>
      </c>
      <c r="G9870" t="inlineStr">
        <is>
          <t>MORA</t>
        </is>
      </c>
      <c r="I9870" t="n">
        <v>10.6</v>
      </c>
      <c r="J9870" t="n">
        <v>0</v>
      </c>
      <c r="K9870" t="n">
        <v>0</v>
      </c>
      <c r="L9870" t="n">
        <v>0</v>
      </c>
      <c r="M9870" t="n">
        <v>0</v>
      </c>
      <c r="N9870" t="n">
        <v>0</v>
      </c>
      <c r="O9870" t="n">
        <v>0</v>
      </c>
      <c r="P9870" t="n">
        <v>0</v>
      </c>
      <c r="Q9870" t="n">
        <v>0</v>
      </c>
      <c r="R9870" t="n">
        <v>0</v>
      </c>
      <c r="S9870" t="n">
        <v>0</v>
      </c>
      <c r="T9870" t="n">
        <v>0</v>
      </c>
      <c r="U9870" t="n">
        <v>0</v>
      </c>
      <c r="V9870" s="2" t="inlineStr"/>
    </row>
    <row r="9871" ht="15" customHeight="1">
      <c r="A9871" t="inlineStr">
        <is>
          <t>S 3587-2025</t>
        </is>
      </c>
      <c r="B9871" t="inlineStr">
        <is>
          <t>samrådsanmälan</t>
        </is>
      </c>
      <c r="C9871" t="inlineStr">
        <is>
          <t>Annan skogsbruksåtgärd</t>
        </is>
      </c>
      <c r="D9871" s="1" t="n">
        <v>46021</v>
      </c>
      <c r="E9871" s="1" t="n">
        <v>46319</v>
      </c>
      <c r="F9871" t="inlineStr">
        <is>
          <t>DALARNAS LÄN</t>
        </is>
      </c>
      <c r="G9871" t="inlineStr">
        <is>
          <t>MORA</t>
        </is>
      </c>
      <c r="I9871" t="n">
        <v>1.1</v>
      </c>
      <c r="J9871" t="n">
        <v>0</v>
      </c>
      <c r="K9871" t="n">
        <v>0</v>
      </c>
      <c r="L9871" t="n">
        <v>0</v>
      </c>
      <c r="M9871" t="n">
        <v>0</v>
      </c>
      <c r="N9871" t="n">
        <v>0</v>
      </c>
      <c r="O9871" t="n">
        <v>0</v>
      </c>
      <c r="P9871" t="n">
        <v>0</v>
      </c>
      <c r="Q9871" t="n">
        <v>0</v>
      </c>
      <c r="R9871" t="n">
        <v>0</v>
      </c>
      <c r="S9871" t="n">
        <v>0</v>
      </c>
      <c r="T9871" t="n">
        <v>0</v>
      </c>
      <c r="U9871" t="n">
        <v>0</v>
      </c>
      <c r="V9871" s="2" t="inlineStr"/>
    </row>
    <row r="9872" ht="15" customHeight="1">
      <c r="A9872" t="inlineStr">
        <is>
          <t>S 3127-2023</t>
        </is>
      </c>
      <c r="B9872" t="inlineStr">
        <is>
          <t>samrådsanmälan</t>
        </is>
      </c>
      <c r="C9872" t="inlineStr">
        <is>
          <t>Annan skogsbruksåtgärd</t>
        </is>
      </c>
      <c r="D9872" s="1" t="n">
        <v>45183</v>
      </c>
      <c r="E9872" s="1" t="n">
        <v>46319</v>
      </c>
      <c r="F9872" t="inlineStr">
        <is>
          <t>DALARNAS LÄN</t>
        </is>
      </c>
      <c r="G9872" t="inlineStr">
        <is>
          <t>RÄTTVIK</t>
        </is>
      </c>
      <c r="I9872" t="n">
        <v>0.8</v>
      </c>
      <c r="J9872" t="n">
        <v>0</v>
      </c>
      <c r="K9872" t="n">
        <v>0</v>
      </c>
      <c r="L9872" t="n">
        <v>0</v>
      </c>
      <c r="M9872" t="n">
        <v>0</v>
      </c>
      <c r="N9872" t="n">
        <v>0</v>
      </c>
      <c r="O9872" t="n">
        <v>0</v>
      </c>
      <c r="P9872" t="n">
        <v>0</v>
      </c>
      <c r="Q9872" t="n">
        <v>0</v>
      </c>
      <c r="R9872" t="n">
        <v>0</v>
      </c>
      <c r="S9872" t="n">
        <v>0</v>
      </c>
      <c r="T9872" t="n">
        <v>0</v>
      </c>
      <c r="U9872" t="n">
        <v>0</v>
      </c>
      <c r="V9872" s="2" t="inlineStr"/>
    </row>
    <row r="9873" ht="15" customHeight="1">
      <c r="A9873" t="inlineStr">
        <is>
          <t>S 91-2026</t>
        </is>
      </c>
      <c r="B9873" t="inlineStr">
        <is>
          <t>samrådsanmälan</t>
        </is>
      </c>
      <c r="C9873" t="inlineStr">
        <is>
          <t>Skogsgödsling</t>
        </is>
      </c>
      <c r="D9873" s="1" t="n">
        <v>46035</v>
      </c>
      <c r="E9873" s="1" t="n">
        <v>46319</v>
      </c>
      <c r="F9873" t="inlineStr">
        <is>
          <t>DALARNAS LÄN</t>
        </is>
      </c>
      <c r="G9873" t="inlineStr">
        <is>
          <t>VANSBRO</t>
        </is>
      </c>
      <c r="H9873" t="inlineStr">
        <is>
          <t>Bergvik skog väst AB</t>
        </is>
      </c>
      <c r="I9873" t="n">
        <v>153.5</v>
      </c>
      <c r="J9873" t="n">
        <v>0</v>
      </c>
      <c r="K9873" t="n">
        <v>0</v>
      </c>
      <c r="L9873" t="n">
        <v>0</v>
      </c>
      <c r="M9873" t="n">
        <v>0</v>
      </c>
      <c r="N9873" t="n">
        <v>0</v>
      </c>
      <c r="O9873" t="n">
        <v>0</v>
      </c>
      <c r="P9873" t="n">
        <v>0</v>
      </c>
      <c r="Q9873" t="n">
        <v>0</v>
      </c>
      <c r="R9873" t="n">
        <v>0</v>
      </c>
      <c r="S9873" t="n">
        <v>0</v>
      </c>
      <c r="T9873" t="n">
        <v>0</v>
      </c>
      <c r="U9873" t="n">
        <v>0</v>
      </c>
      <c r="V9873" s="2" t="inlineStr"/>
    </row>
    <row r="9874" ht="15" customHeight="1">
      <c r="A9874" t="inlineStr">
        <is>
          <t>S 93-2026</t>
        </is>
      </c>
      <c r="B9874" t="inlineStr">
        <is>
          <t>samrådsanmälan</t>
        </is>
      </c>
      <c r="C9874" t="inlineStr">
        <is>
          <t>Skogsgödsling</t>
        </is>
      </c>
      <c r="D9874" s="1" t="n">
        <v>46035</v>
      </c>
      <c r="E9874" s="1" t="n">
        <v>46319</v>
      </c>
      <c r="F9874" t="inlineStr">
        <is>
          <t>DALARNAS LÄN</t>
        </is>
      </c>
      <c r="G9874" t="inlineStr">
        <is>
          <t>MORA</t>
        </is>
      </c>
      <c r="H9874" t="inlineStr">
        <is>
          <t>Bergvik skog väst AB</t>
        </is>
      </c>
      <c r="I9874" t="n">
        <v>245.4</v>
      </c>
      <c r="J9874" t="n">
        <v>0</v>
      </c>
      <c r="K9874" t="n">
        <v>0</v>
      </c>
      <c r="L9874" t="n">
        <v>0</v>
      </c>
      <c r="M9874" t="n">
        <v>0</v>
      </c>
      <c r="N9874" t="n">
        <v>0</v>
      </c>
      <c r="O9874" t="n">
        <v>0</v>
      </c>
      <c r="P9874" t="n">
        <v>0</v>
      </c>
      <c r="Q9874" t="n">
        <v>0</v>
      </c>
      <c r="R9874" t="n">
        <v>0</v>
      </c>
      <c r="S9874" t="n">
        <v>0</v>
      </c>
      <c r="T9874" t="n">
        <v>0</v>
      </c>
      <c r="U9874" t="n">
        <v>0</v>
      </c>
      <c r="V9874" s="2" t="inlineStr"/>
    </row>
    <row r="9875" ht="15" customHeight="1">
      <c r="A9875" t="inlineStr">
        <is>
          <t>S 92-2026</t>
        </is>
      </c>
      <c r="B9875" t="inlineStr">
        <is>
          <t>samrådsanmälan</t>
        </is>
      </c>
      <c r="C9875" t="inlineStr">
        <is>
          <t>Skogsgödsling</t>
        </is>
      </c>
      <c r="D9875" s="1" t="n">
        <v>46035</v>
      </c>
      <c r="E9875" s="1" t="n">
        <v>46319</v>
      </c>
      <c r="F9875" t="inlineStr">
        <is>
          <t>DALARNAS LÄN</t>
        </is>
      </c>
      <c r="G9875" t="inlineStr">
        <is>
          <t>MORA</t>
        </is>
      </c>
      <c r="H9875" t="inlineStr">
        <is>
          <t>Bergvik skog väst AB</t>
        </is>
      </c>
      <c r="I9875" t="n">
        <v>71</v>
      </c>
      <c r="J9875" t="n">
        <v>0</v>
      </c>
      <c r="K9875" t="n">
        <v>0</v>
      </c>
      <c r="L9875" t="n">
        <v>0</v>
      </c>
      <c r="M9875" t="n">
        <v>0</v>
      </c>
      <c r="N9875" t="n">
        <v>0</v>
      </c>
      <c r="O9875" t="n">
        <v>0</v>
      </c>
      <c r="P9875" t="n">
        <v>0</v>
      </c>
      <c r="Q9875" t="n">
        <v>0</v>
      </c>
      <c r="R9875" t="n">
        <v>0</v>
      </c>
      <c r="S9875" t="n">
        <v>0</v>
      </c>
      <c r="T9875" t="n">
        <v>0</v>
      </c>
      <c r="U9875" t="n">
        <v>0</v>
      </c>
      <c r="V9875" s="2" t="inlineStr"/>
    </row>
    <row r="9876" ht="15" customHeight="1">
      <c r="A9876" t="inlineStr">
        <is>
          <t>S 111-2026</t>
        </is>
      </c>
      <c r="B9876" t="inlineStr">
        <is>
          <t>samrådsanmälan</t>
        </is>
      </c>
      <c r="C9876" t="inlineStr">
        <is>
          <t>Annan skogsbruksåtgärd</t>
        </is>
      </c>
      <c r="D9876" s="1" t="n">
        <v>46038</v>
      </c>
      <c r="E9876" s="1" t="n">
        <v>46319</v>
      </c>
      <c r="F9876" t="inlineStr">
        <is>
          <t>DALARNAS LÄN</t>
        </is>
      </c>
      <c r="G9876" t="inlineStr">
        <is>
          <t>FALUN</t>
        </is>
      </c>
      <c r="I9876" t="n">
        <v>1.5</v>
      </c>
      <c r="J9876" t="n">
        <v>0</v>
      </c>
      <c r="K9876" t="n">
        <v>0</v>
      </c>
      <c r="L9876" t="n">
        <v>0</v>
      </c>
      <c r="M9876" t="n">
        <v>0</v>
      </c>
      <c r="N9876" t="n">
        <v>0</v>
      </c>
      <c r="O9876" t="n">
        <v>0</v>
      </c>
      <c r="P9876" t="n">
        <v>0</v>
      </c>
      <c r="Q9876" t="n">
        <v>0</v>
      </c>
      <c r="R9876" t="n">
        <v>0</v>
      </c>
      <c r="S9876" t="n">
        <v>0</v>
      </c>
      <c r="T9876" t="n">
        <v>0</v>
      </c>
      <c r="U9876" t="n">
        <v>0</v>
      </c>
      <c r="V9876" s="2" t="inlineStr"/>
    </row>
    <row r="9877" ht="15" customHeight="1">
      <c r="A9877" t="inlineStr">
        <is>
          <t>S 112-2026</t>
        </is>
      </c>
      <c r="B9877" t="inlineStr">
        <is>
          <t>samrådsanmälan</t>
        </is>
      </c>
      <c r="C9877" t="inlineStr">
        <is>
          <t>Skogsgödsling</t>
        </is>
      </c>
      <c r="D9877" s="1" t="n">
        <v>46038</v>
      </c>
      <c r="E9877" s="1" t="n">
        <v>46319</v>
      </c>
      <c r="F9877" t="inlineStr">
        <is>
          <t>DALARNAS LÄN</t>
        </is>
      </c>
      <c r="G9877" t="inlineStr">
        <is>
          <t>LEKSAND</t>
        </is>
      </c>
      <c r="H9877" t="inlineStr">
        <is>
          <t>Bergvik skog väst AB</t>
        </is>
      </c>
      <c r="I9877" t="n">
        <v>218.2</v>
      </c>
      <c r="J9877" t="n">
        <v>0</v>
      </c>
      <c r="K9877" t="n">
        <v>0</v>
      </c>
      <c r="L9877" t="n">
        <v>0</v>
      </c>
      <c r="M9877" t="n">
        <v>0</v>
      </c>
      <c r="N9877" t="n">
        <v>0</v>
      </c>
      <c r="O9877" t="n">
        <v>0</v>
      </c>
      <c r="P9877" t="n">
        <v>0</v>
      </c>
      <c r="Q9877" t="n">
        <v>0</v>
      </c>
      <c r="R9877" t="n">
        <v>0</v>
      </c>
      <c r="S9877" t="n">
        <v>0</v>
      </c>
      <c r="T9877" t="n">
        <v>0</v>
      </c>
      <c r="U9877" t="n">
        <v>0</v>
      </c>
      <c r="V9877" s="2" t="inlineStr"/>
    </row>
    <row r="9878" ht="15" customHeight="1">
      <c r="A9878" t="inlineStr">
        <is>
          <t>S 156-2026</t>
        </is>
      </c>
      <c r="B9878" t="inlineStr">
        <is>
          <t>samrådsanmälan</t>
        </is>
      </c>
      <c r="C9878" t="inlineStr">
        <is>
          <t>Skogsgödsling</t>
        </is>
      </c>
      <c r="D9878" s="1" t="n">
        <v>46043</v>
      </c>
      <c r="E9878" s="1" t="n">
        <v>46319</v>
      </c>
      <c r="F9878" t="inlineStr">
        <is>
          <t>DALARNAS LÄN</t>
        </is>
      </c>
      <c r="G9878" t="inlineStr">
        <is>
          <t>MORA</t>
        </is>
      </c>
      <c r="H9878" t="inlineStr">
        <is>
          <t>Bergvik skog väst AB</t>
        </is>
      </c>
      <c r="I9878" t="n">
        <v>72</v>
      </c>
      <c r="J9878" t="n">
        <v>0</v>
      </c>
      <c r="K9878" t="n">
        <v>0</v>
      </c>
      <c r="L9878" t="n">
        <v>0</v>
      </c>
      <c r="M9878" t="n">
        <v>0</v>
      </c>
      <c r="N9878" t="n">
        <v>0</v>
      </c>
      <c r="O9878" t="n">
        <v>0</v>
      </c>
      <c r="P9878" t="n">
        <v>0</v>
      </c>
      <c r="Q9878" t="n">
        <v>0</v>
      </c>
      <c r="R9878" t="n">
        <v>0</v>
      </c>
      <c r="S9878" t="n">
        <v>0</v>
      </c>
      <c r="T9878" t="n">
        <v>0</v>
      </c>
      <c r="U9878" t="n">
        <v>0</v>
      </c>
      <c r="V9878" s="2" t="inlineStr"/>
    </row>
    <row r="9879" ht="15" customHeight="1">
      <c r="A9879" t="inlineStr">
        <is>
          <t>S 150-2026</t>
        </is>
      </c>
      <c r="B9879" t="inlineStr">
        <is>
          <t>samrådsanmälan</t>
        </is>
      </c>
      <c r="C9879" t="inlineStr">
        <is>
          <t>Annan skogsbruksåtgärd</t>
        </is>
      </c>
      <c r="D9879" s="1" t="n">
        <v>46043</v>
      </c>
      <c r="E9879" s="1" t="n">
        <v>46319</v>
      </c>
      <c r="F9879" t="inlineStr">
        <is>
          <t>DALARNAS LÄN</t>
        </is>
      </c>
      <c r="G9879" t="inlineStr">
        <is>
          <t>LEKSAND</t>
        </is>
      </c>
      <c r="I9879" t="n">
        <v>0.1</v>
      </c>
      <c r="J9879" t="n">
        <v>0</v>
      </c>
      <c r="K9879" t="n">
        <v>0</v>
      </c>
      <c r="L9879" t="n">
        <v>0</v>
      </c>
      <c r="M9879" t="n">
        <v>0</v>
      </c>
      <c r="N9879" t="n">
        <v>0</v>
      </c>
      <c r="O9879" t="n">
        <v>0</v>
      </c>
      <c r="P9879" t="n">
        <v>0</v>
      </c>
      <c r="Q9879" t="n">
        <v>0</v>
      </c>
      <c r="R9879" t="n">
        <v>0</v>
      </c>
      <c r="S9879" t="n">
        <v>0</v>
      </c>
      <c r="T9879" t="n">
        <v>0</v>
      </c>
      <c r="U9879" t="n">
        <v>0</v>
      </c>
      <c r="V9879" s="2" t="inlineStr"/>
    </row>
    <row r="9880" ht="15" customHeight="1">
      <c r="A9880" t="inlineStr">
        <is>
          <t>S 266-2026</t>
        </is>
      </c>
      <c r="B9880" t="inlineStr">
        <is>
          <t>samrådsanmälan</t>
        </is>
      </c>
      <c r="C9880" t="inlineStr">
        <is>
          <t>Annan skogsbruksåtgärd</t>
        </is>
      </c>
      <c r="D9880" s="1" t="n">
        <v>46052</v>
      </c>
      <c r="E9880" s="1" t="n">
        <v>46319</v>
      </c>
      <c r="F9880" t="inlineStr">
        <is>
          <t>DALARNAS LÄN</t>
        </is>
      </c>
      <c r="G9880" t="inlineStr">
        <is>
          <t>LEKSAND</t>
        </is>
      </c>
      <c r="H9880" t="inlineStr">
        <is>
          <t>Bergvik skog väst AB</t>
        </is>
      </c>
      <c r="I9880" t="n">
        <v>0.4</v>
      </c>
      <c r="J9880" t="n">
        <v>0</v>
      </c>
      <c r="K9880" t="n">
        <v>0</v>
      </c>
      <c r="L9880" t="n">
        <v>0</v>
      </c>
      <c r="M9880" t="n">
        <v>0</v>
      </c>
      <c r="N9880" t="n">
        <v>0</v>
      </c>
      <c r="O9880" t="n">
        <v>0</v>
      </c>
      <c r="P9880" t="n">
        <v>0</v>
      </c>
      <c r="Q9880" t="n">
        <v>0</v>
      </c>
      <c r="R9880" t="n">
        <v>0</v>
      </c>
      <c r="S9880" t="n">
        <v>0</v>
      </c>
      <c r="T9880" t="n">
        <v>0</v>
      </c>
      <c r="U9880" t="n">
        <v>0</v>
      </c>
      <c r="V9880" s="2" t="inlineStr"/>
    </row>
    <row r="9881" ht="15" customHeight="1">
      <c r="A9881" t="inlineStr">
        <is>
          <t>S 263-2026</t>
        </is>
      </c>
      <c r="B9881" t="inlineStr">
        <is>
          <t>samrådsanmälan</t>
        </is>
      </c>
      <c r="C9881" t="inlineStr">
        <is>
          <t>Annan skogsbruksåtgärd</t>
        </is>
      </c>
      <c r="D9881" s="1" t="n">
        <v>46056</v>
      </c>
      <c r="E9881" s="1" t="n">
        <v>46319</v>
      </c>
      <c r="F9881" t="inlineStr">
        <is>
          <t>DALARNAS LÄN</t>
        </is>
      </c>
      <c r="G9881" t="inlineStr">
        <is>
          <t>RÄTTVIK</t>
        </is>
      </c>
      <c r="I9881" t="n">
        <v>1.1</v>
      </c>
      <c r="J9881" t="n">
        <v>0</v>
      </c>
      <c r="K9881" t="n">
        <v>0</v>
      </c>
      <c r="L9881" t="n">
        <v>0</v>
      </c>
      <c r="M9881" t="n">
        <v>0</v>
      </c>
      <c r="N9881" t="n">
        <v>0</v>
      </c>
      <c r="O9881" t="n">
        <v>0</v>
      </c>
      <c r="P9881" t="n">
        <v>0</v>
      </c>
      <c r="Q9881" t="n">
        <v>0</v>
      </c>
      <c r="R9881" t="n">
        <v>0</v>
      </c>
      <c r="S9881" t="n">
        <v>0</v>
      </c>
      <c r="T9881" t="n">
        <v>0</v>
      </c>
      <c r="U9881" t="n">
        <v>0</v>
      </c>
      <c r="V9881" s="2" t="inlineStr"/>
    </row>
    <row r="9882" ht="15" customHeight="1">
      <c r="A9882" t="inlineStr">
        <is>
          <t>S 495-2023</t>
        </is>
      </c>
      <c r="B9882" t="inlineStr">
        <is>
          <t>samrådsanmälan</t>
        </is>
      </c>
      <c r="C9882" t="inlineStr">
        <is>
          <t>Askåterföring</t>
        </is>
      </c>
      <c r="D9882" s="1" t="n">
        <v>44963</v>
      </c>
      <c r="E9882" s="1" t="n">
        <v>46319</v>
      </c>
      <c r="F9882" t="inlineStr">
        <is>
          <t>DALARNAS LÄN</t>
        </is>
      </c>
      <c r="G9882" t="inlineStr">
        <is>
          <t>BORLÄNGE</t>
        </is>
      </c>
      <c r="H9882" t="inlineStr">
        <is>
          <t>Bergvik skog väst AB</t>
        </is>
      </c>
      <c r="I9882" t="n">
        <v>8.4</v>
      </c>
      <c r="J9882" t="n">
        <v>0</v>
      </c>
      <c r="K9882" t="n">
        <v>0</v>
      </c>
      <c r="L9882" t="n">
        <v>0</v>
      </c>
      <c r="M9882" t="n">
        <v>0</v>
      </c>
      <c r="N9882" t="n">
        <v>0</v>
      </c>
      <c r="O9882" t="n">
        <v>0</v>
      </c>
      <c r="P9882" t="n">
        <v>0</v>
      </c>
      <c r="Q9882" t="n">
        <v>0</v>
      </c>
      <c r="R9882" t="n">
        <v>0</v>
      </c>
      <c r="S9882" t="n">
        <v>0</v>
      </c>
      <c r="T9882" t="n">
        <v>0</v>
      </c>
      <c r="U9882" t="n">
        <v>0</v>
      </c>
      <c r="V9882" s="2" t="inlineStr"/>
    </row>
    <row r="9883" ht="15" customHeight="1">
      <c r="A9883" t="inlineStr">
        <is>
          <t>S 496-2023</t>
        </is>
      </c>
      <c r="B9883" t="inlineStr">
        <is>
          <t>samrådsanmälan</t>
        </is>
      </c>
      <c r="C9883" t="inlineStr">
        <is>
          <t>Askåterföring</t>
        </is>
      </c>
      <c r="D9883" s="1" t="n">
        <v>44963</v>
      </c>
      <c r="E9883" s="1" t="n">
        <v>46319</v>
      </c>
      <c r="F9883" t="inlineStr">
        <is>
          <t>DALARNAS LÄN</t>
        </is>
      </c>
      <c r="G9883" t="inlineStr">
        <is>
          <t>BORLÄNGE</t>
        </is>
      </c>
      <c r="I9883" t="n">
        <v>6.5</v>
      </c>
      <c r="J9883" t="n">
        <v>0</v>
      </c>
      <c r="K9883" t="n">
        <v>0</v>
      </c>
      <c r="L9883" t="n">
        <v>0</v>
      </c>
      <c r="M9883" t="n">
        <v>0</v>
      </c>
      <c r="N9883" t="n">
        <v>0</v>
      </c>
      <c r="O9883" t="n">
        <v>0</v>
      </c>
      <c r="P9883" t="n">
        <v>0</v>
      </c>
      <c r="Q9883" t="n">
        <v>0</v>
      </c>
      <c r="R9883" t="n">
        <v>0</v>
      </c>
      <c r="S9883" t="n">
        <v>0</v>
      </c>
      <c r="T9883" t="n">
        <v>0</v>
      </c>
      <c r="U9883" t="n">
        <v>0</v>
      </c>
      <c r="V9883" s="2" t="inlineStr"/>
    </row>
    <row r="9884" ht="15" customHeight="1">
      <c r="A9884" t="inlineStr">
        <is>
          <t>S 1658-2022</t>
        </is>
      </c>
      <c r="B9884" t="inlineStr">
        <is>
          <t>samrådsanmälan</t>
        </is>
      </c>
      <c r="C9884" t="inlineStr">
        <is>
          <t>Askåterföring</t>
        </is>
      </c>
      <c r="D9884" s="1" t="n">
        <v>44649</v>
      </c>
      <c r="E9884" s="1" t="n">
        <v>46319</v>
      </c>
      <c r="F9884" t="inlineStr">
        <is>
          <t>DALARNAS LÄN</t>
        </is>
      </c>
      <c r="G9884" t="inlineStr">
        <is>
          <t>BORLÄNGE</t>
        </is>
      </c>
      <c r="I9884" t="n">
        <v>9.699999999999999</v>
      </c>
      <c r="J9884" t="n">
        <v>0</v>
      </c>
      <c r="K9884" t="n">
        <v>0</v>
      </c>
      <c r="L9884" t="n">
        <v>0</v>
      </c>
      <c r="M9884" t="n">
        <v>0</v>
      </c>
      <c r="N9884" t="n">
        <v>0</v>
      </c>
      <c r="O9884" t="n">
        <v>0</v>
      </c>
      <c r="P9884" t="n">
        <v>0</v>
      </c>
      <c r="Q9884" t="n">
        <v>0</v>
      </c>
      <c r="R9884" t="n">
        <v>0</v>
      </c>
      <c r="S9884" t="n">
        <v>0</v>
      </c>
      <c r="T9884" t="n">
        <v>0</v>
      </c>
      <c r="U9884" t="n">
        <v>0</v>
      </c>
      <c r="V9884" s="2" t="inlineStr"/>
    </row>
    <row r="9885" ht="15" customHeight="1">
      <c r="A9885" t="inlineStr">
        <is>
          <t>S 1669-2022</t>
        </is>
      </c>
      <c r="B9885" t="inlineStr">
        <is>
          <t>samrådsanmälan</t>
        </is>
      </c>
      <c r="C9885" t="inlineStr">
        <is>
          <t>Askåterföring</t>
        </is>
      </c>
      <c r="D9885" s="1" t="n">
        <v>44649</v>
      </c>
      <c r="E9885" s="1" t="n">
        <v>46319</v>
      </c>
      <c r="F9885" t="inlineStr">
        <is>
          <t>DALARNAS LÄN</t>
        </is>
      </c>
      <c r="G9885" t="inlineStr">
        <is>
          <t>GAGNEF</t>
        </is>
      </c>
      <c r="I9885" t="n">
        <v>30.7</v>
      </c>
      <c r="J9885" t="n">
        <v>0</v>
      </c>
      <c r="K9885" t="n">
        <v>0</v>
      </c>
      <c r="L9885" t="n">
        <v>0</v>
      </c>
      <c r="M9885" t="n">
        <v>0</v>
      </c>
      <c r="N9885" t="n">
        <v>0</v>
      </c>
      <c r="O9885" t="n">
        <v>0</v>
      </c>
      <c r="P9885" t="n">
        <v>0</v>
      </c>
      <c r="Q9885" t="n">
        <v>0</v>
      </c>
      <c r="R9885" t="n">
        <v>0</v>
      </c>
      <c r="S9885" t="n">
        <v>0</v>
      </c>
      <c r="T9885" t="n">
        <v>0</v>
      </c>
      <c r="U9885" t="n">
        <v>0</v>
      </c>
      <c r="V9885" s="2" t="inlineStr"/>
    </row>
    <row r="9886" ht="15" customHeight="1">
      <c r="A9886" t="inlineStr">
        <is>
          <t>S 1664-2022</t>
        </is>
      </c>
      <c r="B9886" t="inlineStr">
        <is>
          <t>samrådsanmälan</t>
        </is>
      </c>
      <c r="C9886" t="inlineStr">
        <is>
          <t>Askåterföring</t>
        </is>
      </c>
      <c r="D9886" s="1" t="n">
        <v>44649</v>
      </c>
      <c r="E9886" s="1" t="n">
        <v>46319</v>
      </c>
      <c r="F9886" t="inlineStr">
        <is>
          <t>DALARNAS LÄN</t>
        </is>
      </c>
      <c r="G9886" t="inlineStr">
        <is>
          <t>LEKSAND</t>
        </is>
      </c>
      <c r="I9886" t="n">
        <v>12.2</v>
      </c>
      <c r="J9886" t="n">
        <v>0</v>
      </c>
      <c r="K9886" t="n">
        <v>0</v>
      </c>
      <c r="L9886" t="n">
        <v>0</v>
      </c>
      <c r="M9886" t="n">
        <v>0</v>
      </c>
      <c r="N9886" t="n">
        <v>0</v>
      </c>
      <c r="O9886" t="n">
        <v>0</v>
      </c>
      <c r="P9886" t="n">
        <v>0</v>
      </c>
      <c r="Q9886" t="n">
        <v>0</v>
      </c>
      <c r="R9886" t="n">
        <v>0</v>
      </c>
      <c r="S9886" t="n">
        <v>0</v>
      </c>
      <c r="T9886" t="n">
        <v>0</v>
      </c>
      <c r="U9886" t="n">
        <v>0</v>
      </c>
      <c r="V9886" s="2" t="inlineStr"/>
    </row>
    <row r="9887" ht="15" customHeight="1">
      <c r="A9887" t="inlineStr">
        <is>
          <t>S 488-2023</t>
        </is>
      </c>
      <c r="B9887" t="inlineStr">
        <is>
          <t>samrådsanmälan</t>
        </is>
      </c>
      <c r="C9887" t="inlineStr">
        <is>
          <t>Askåterföring</t>
        </is>
      </c>
      <c r="D9887" s="1" t="n">
        <v>44963</v>
      </c>
      <c r="E9887" s="1" t="n">
        <v>46319</v>
      </c>
      <c r="F9887" t="inlineStr">
        <is>
          <t>DALARNAS LÄN</t>
        </is>
      </c>
      <c r="G9887" t="inlineStr">
        <is>
          <t>GAGNEF</t>
        </is>
      </c>
      <c r="H9887" t="inlineStr">
        <is>
          <t>Bergvik skog väst AB</t>
        </is>
      </c>
      <c r="I9887" t="n">
        <v>12.4</v>
      </c>
      <c r="J9887" t="n">
        <v>0</v>
      </c>
      <c r="K9887" t="n">
        <v>0</v>
      </c>
      <c r="L9887" t="n">
        <v>0</v>
      </c>
      <c r="M9887" t="n">
        <v>0</v>
      </c>
      <c r="N9887" t="n">
        <v>0</v>
      </c>
      <c r="O9887" t="n">
        <v>0</v>
      </c>
      <c r="P9887" t="n">
        <v>0</v>
      </c>
      <c r="Q9887" t="n">
        <v>0</v>
      </c>
      <c r="R9887" t="n">
        <v>0</v>
      </c>
      <c r="S9887" t="n">
        <v>0</v>
      </c>
      <c r="T9887" t="n">
        <v>0</v>
      </c>
      <c r="U9887" t="n">
        <v>0</v>
      </c>
      <c r="V9887" s="2" t="inlineStr"/>
    </row>
    <row r="9888" ht="15" customHeight="1">
      <c r="A9888" t="inlineStr">
        <is>
          <t>S 485-2023</t>
        </is>
      </c>
      <c r="B9888" t="inlineStr">
        <is>
          <t>samrådsanmälan</t>
        </is>
      </c>
      <c r="C9888" t="inlineStr">
        <is>
          <t>Askåterföring</t>
        </is>
      </c>
      <c r="D9888" s="1" t="n">
        <v>44963</v>
      </c>
      <c r="E9888" s="1" t="n">
        <v>46319</v>
      </c>
      <c r="F9888" t="inlineStr">
        <is>
          <t>DALARNAS LÄN</t>
        </is>
      </c>
      <c r="G9888" t="inlineStr">
        <is>
          <t>GAGNEF</t>
        </is>
      </c>
      <c r="I9888" t="n">
        <v>15.3</v>
      </c>
      <c r="J9888" t="n">
        <v>0</v>
      </c>
      <c r="K9888" t="n">
        <v>0</v>
      </c>
      <c r="L9888" t="n">
        <v>0</v>
      </c>
      <c r="M9888" t="n">
        <v>0</v>
      </c>
      <c r="N9888" t="n">
        <v>0</v>
      </c>
      <c r="O9888" t="n">
        <v>0</v>
      </c>
      <c r="P9888" t="n">
        <v>0</v>
      </c>
      <c r="Q9888" t="n">
        <v>0</v>
      </c>
      <c r="R9888" t="n">
        <v>0</v>
      </c>
      <c r="S9888" t="n">
        <v>0</v>
      </c>
      <c r="T9888" t="n">
        <v>0</v>
      </c>
      <c r="U9888" t="n">
        <v>0</v>
      </c>
      <c r="V9888" s="2" t="inlineStr"/>
    </row>
    <row r="9889" ht="15" customHeight="1">
      <c r="A9889" t="inlineStr">
        <is>
          <t>S 389-2026</t>
        </is>
      </c>
      <c r="B9889" t="inlineStr">
        <is>
          <t>samrådsanmälan</t>
        </is>
      </c>
      <c r="C9889" t="inlineStr">
        <is>
          <t>Annan skogsbruksåtgärd</t>
        </is>
      </c>
      <c r="D9889" s="1" t="n">
        <v>46066</v>
      </c>
      <c r="E9889" s="1" t="n">
        <v>46319</v>
      </c>
      <c r="F9889" t="inlineStr">
        <is>
          <t>DALARNAS LÄN</t>
        </is>
      </c>
      <c r="G9889" t="inlineStr">
        <is>
          <t>LEKSAND</t>
        </is>
      </c>
      <c r="I9889" t="n">
        <v>0.4</v>
      </c>
      <c r="J9889" t="n">
        <v>0</v>
      </c>
      <c r="K9889" t="n">
        <v>0</v>
      </c>
      <c r="L9889" t="n">
        <v>0</v>
      </c>
      <c r="M9889" t="n">
        <v>0</v>
      </c>
      <c r="N9889" t="n">
        <v>0</v>
      </c>
      <c r="O9889" t="n">
        <v>0</v>
      </c>
      <c r="P9889" t="n">
        <v>0</v>
      </c>
      <c r="Q9889" t="n">
        <v>0</v>
      </c>
      <c r="R9889" t="n">
        <v>0</v>
      </c>
      <c r="S9889" t="n">
        <v>0</v>
      </c>
      <c r="T9889" t="n">
        <v>0</v>
      </c>
      <c r="U9889" t="n">
        <v>0</v>
      </c>
      <c r="V9889" s="2" t="inlineStr"/>
    </row>
    <row r="9890" ht="15" customHeight="1">
      <c r="A9890" t="inlineStr">
        <is>
          <t>S 409-2026</t>
        </is>
      </c>
      <c r="B9890" t="inlineStr">
        <is>
          <t>samrådsanmälan</t>
        </is>
      </c>
      <c r="C9890" t="inlineStr">
        <is>
          <t>Skogsgödsling</t>
        </is>
      </c>
      <c r="D9890" s="1" t="n">
        <v>46070</v>
      </c>
      <c r="E9890" s="1" t="n">
        <v>46319</v>
      </c>
      <c r="F9890" t="inlineStr">
        <is>
          <t>DALARNAS LÄN</t>
        </is>
      </c>
      <c r="G9890" t="inlineStr">
        <is>
          <t>FALUN</t>
        </is>
      </c>
      <c r="H9890" t="inlineStr">
        <is>
          <t>Sveaskog</t>
        </is>
      </c>
      <c r="I9890" t="n">
        <v>17.1</v>
      </c>
      <c r="J9890" t="n">
        <v>0</v>
      </c>
      <c r="K9890" t="n">
        <v>0</v>
      </c>
      <c r="L9890" t="n">
        <v>0</v>
      </c>
      <c r="M9890" t="n">
        <v>0</v>
      </c>
      <c r="N9890" t="n">
        <v>0</v>
      </c>
      <c r="O9890" t="n">
        <v>0</v>
      </c>
      <c r="P9890" t="n">
        <v>0</v>
      </c>
      <c r="Q9890" t="n">
        <v>0</v>
      </c>
      <c r="R9890" t="n">
        <v>0</v>
      </c>
      <c r="S9890" t="n">
        <v>0</v>
      </c>
      <c r="T9890" t="n">
        <v>0</v>
      </c>
      <c r="U9890" t="n">
        <v>0</v>
      </c>
      <c r="V9890" s="2" t="inlineStr"/>
    </row>
    <row r="9891" ht="15" customHeight="1">
      <c r="A9891" t="inlineStr">
        <is>
          <t>S 1116-2022</t>
        </is>
      </c>
      <c r="B9891" t="inlineStr">
        <is>
          <t>samrådsanmälan</t>
        </is>
      </c>
      <c r="C9891" t="inlineStr">
        <is>
          <t>Annan skogsbruksåtgärd</t>
        </is>
      </c>
      <c r="D9891" s="1" t="n">
        <v>44615</v>
      </c>
      <c r="E9891" s="1" t="n">
        <v>46319</v>
      </c>
      <c r="F9891" t="inlineStr">
        <is>
          <t>DALARNAS LÄN</t>
        </is>
      </c>
      <c r="G9891" t="inlineStr">
        <is>
          <t>BORLÄNGE</t>
        </is>
      </c>
      <c r="I9891" t="n">
        <v>0.6</v>
      </c>
      <c r="J9891" t="n">
        <v>0</v>
      </c>
      <c r="K9891" t="n">
        <v>0</v>
      </c>
      <c r="L9891" t="n">
        <v>0</v>
      </c>
      <c r="M9891" t="n">
        <v>0</v>
      </c>
      <c r="N9891" t="n">
        <v>0</v>
      </c>
      <c r="O9891" t="n">
        <v>0</v>
      </c>
      <c r="P9891" t="n">
        <v>0</v>
      </c>
      <c r="Q9891" t="n">
        <v>0</v>
      </c>
      <c r="R9891" t="n">
        <v>0</v>
      </c>
      <c r="S9891" t="n">
        <v>0</v>
      </c>
      <c r="T9891" t="n">
        <v>0</v>
      </c>
      <c r="U9891" t="n">
        <v>0</v>
      </c>
      <c r="V9891" s="2" t="inlineStr"/>
    </row>
    <row r="9892" ht="15" customHeight="1">
      <c r="A9892" t="inlineStr">
        <is>
          <t>S 257-2025</t>
        </is>
      </c>
      <c r="B9892" t="inlineStr">
        <is>
          <t>samrådsanmälan</t>
        </is>
      </c>
      <c r="C9892" t="inlineStr">
        <is>
          <t>Skogsgödsling</t>
        </is>
      </c>
      <c r="D9892" s="1" t="n">
        <v>45684</v>
      </c>
      <c r="E9892" s="1" t="n">
        <v>46319</v>
      </c>
      <c r="F9892" t="inlineStr">
        <is>
          <t>DALARNAS LÄN</t>
        </is>
      </c>
      <c r="G9892" t="inlineStr">
        <is>
          <t>ÄLVDALEN</t>
        </is>
      </c>
      <c r="H9892" t="inlineStr">
        <is>
          <t>Bergvik skog väst AB</t>
        </is>
      </c>
      <c r="I9892" t="n">
        <v>296.1</v>
      </c>
      <c r="J9892" t="n">
        <v>0</v>
      </c>
      <c r="K9892" t="n">
        <v>0</v>
      </c>
      <c r="L9892" t="n">
        <v>0</v>
      </c>
      <c r="M9892" t="n">
        <v>0</v>
      </c>
      <c r="N9892" t="n">
        <v>0</v>
      </c>
      <c r="O9892" t="n">
        <v>0</v>
      </c>
      <c r="P9892" t="n">
        <v>0</v>
      </c>
      <c r="Q9892" t="n">
        <v>0</v>
      </c>
      <c r="R9892" t="n">
        <v>0</v>
      </c>
      <c r="S9892" t="n">
        <v>0</v>
      </c>
      <c r="T9892" t="n">
        <v>0</v>
      </c>
      <c r="U9892" t="n">
        <v>0</v>
      </c>
      <c r="V9892" s="2" t="inlineStr"/>
    </row>
    <row r="9893" ht="15" customHeight="1">
      <c r="A9893" t="inlineStr">
        <is>
          <t>S 478-2026</t>
        </is>
      </c>
      <c r="B9893" t="inlineStr">
        <is>
          <t>samrådsanmälan</t>
        </is>
      </c>
      <c r="C9893" t="inlineStr">
        <is>
          <t>Annan skogsbruksåtgärd</t>
        </is>
      </c>
      <c r="D9893" s="1" t="n">
        <v>46072</v>
      </c>
      <c r="E9893" s="1" t="n">
        <v>46319</v>
      </c>
      <c r="F9893" t="inlineStr">
        <is>
          <t>DALARNAS LÄN</t>
        </is>
      </c>
      <c r="G9893" t="inlineStr">
        <is>
          <t>RÄTTVIK</t>
        </is>
      </c>
      <c r="H9893" t="inlineStr">
        <is>
          <t>Sveaskog</t>
        </is>
      </c>
      <c r="I9893" t="n">
        <v>2.4</v>
      </c>
      <c r="J9893" t="n">
        <v>0</v>
      </c>
      <c r="K9893" t="n">
        <v>0</v>
      </c>
      <c r="L9893" t="n">
        <v>0</v>
      </c>
      <c r="M9893" t="n">
        <v>0</v>
      </c>
      <c r="N9893" t="n">
        <v>0</v>
      </c>
      <c r="O9893" t="n">
        <v>0</v>
      </c>
      <c r="P9893" t="n">
        <v>0</v>
      </c>
      <c r="Q9893" t="n">
        <v>0</v>
      </c>
      <c r="R9893" t="n">
        <v>0</v>
      </c>
      <c r="S9893" t="n">
        <v>0</v>
      </c>
      <c r="T9893" t="n">
        <v>0</v>
      </c>
      <c r="U9893" t="n">
        <v>0</v>
      </c>
      <c r="V9893" s="2" t="inlineStr"/>
    </row>
    <row r="9894" ht="15" customHeight="1">
      <c r="A9894" t="inlineStr">
        <is>
          <t>S 410-2026</t>
        </is>
      </c>
      <c r="B9894" t="inlineStr">
        <is>
          <t>samrådsanmälan</t>
        </is>
      </c>
      <c r="C9894" t="inlineStr">
        <is>
          <t>Skogsgödsling</t>
        </is>
      </c>
      <c r="D9894" s="1" t="n">
        <v>46070</v>
      </c>
      <c r="E9894" s="1" t="n">
        <v>46319</v>
      </c>
      <c r="F9894" t="inlineStr">
        <is>
          <t>DALARNAS LÄN</t>
        </is>
      </c>
      <c r="G9894" t="inlineStr">
        <is>
          <t>HEDEMORA</t>
        </is>
      </c>
      <c r="H9894" t="inlineStr">
        <is>
          <t>Sveaskog</t>
        </is>
      </c>
      <c r="I9894" t="n">
        <v>34.1</v>
      </c>
      <c r="J9894" t="n">
        <v>0</v>
      </c>
      <c r="K9894" t="n">
        <v>0</v>
      </c>
      <c r="L9894" t="n">
        <v>0</v>
      </c>
      <c r="M9894" t="n">
        <v>0</v>
      </c>
      <c r="N9894" t="n">
        <v>0</v>
      </c>
      <c r="O9894" t="n">
        <v>0</v>
      </c>
      <c r="P9894" t="n">
        <v>0</v>
      </c>
      <c r="Q9894" t="n">
        <v>0</v>
      </c>
      <c r="R9894" t="n">
        <v>0</v>
      </c>
      <c r="S9894" t="n">
        <v>0</v>
      </c>
      <c r="T9894" t="n">
        <v>0</v>
      </c>
      <c r="U9894" t="n">
        <v>0</v>
      </c>
      <c r="V9894" s="2" t="inlineStr"/>
    </row>
    <row r="9895" ht="15" customHeight="1">
      <c r="A9895" t="inlineStr">
        <is>
          <t>S 491-2026</t>
        </is>
      </c>
      <c r="B9895" t="inlineStr">
        <is>
          <t>samrådsanmälan</t>
        </is>
      </c>
      <c r="C9895" t="inlineStr">
        <is>
          <t>Annan skogsbruksåtgärd</t>
        </is>
      </c>
      <c r="D9895" s="1" t="n">
        <v>46076</v>
      </c>
      <c r="E9895" s="1" t="n">
        <v>46319</v>
      </c>
      <c r="F9895" t="inlineStr">
        <is>
          <t>DALARNAS LÄN</t>
        </is>
      </c>
      <c r="G9895" t="inlineStr">
        <is>
          <t>LEKSAND</t>
        </is>
      </c>
      <c r="I9895" t="n">
        <v>0.6</v>
      </c>
      <c r="J9895" t="n">
        <v>0</v>
      </c>
      <c r="K9895" t="n">
        <v>0</v>
      </c>
      <c r="L9895" t="n">
        <v>0</v>
      </c>
      <c r="M9895" t="n">
        <v>0</v>
      </c>
      <c r="N9895" t="n">
        <v>0</v>
      </c>
      <c r="O9895" t="n">
        <v>0</v>
      </c>
      <c r="P9895" t="n">
        <v>0</v>
      </c>
      <c r="Q9895" t="n">
        <v>0</v>
      </c>
      <c r="R9895" t="n">
        <v>0</v>
      </c>
      <c r="S9895" t="n">
        <v>0</v>
      </c>
      <c r="T9895" t="n">
        <v>0</v>
      </c>
      <c r="U9895" t="n">
        <v>0</v>
      </c>
      <c r="V9895" s="2" t="inlineStr"/>
    </row>
    <row r="9896" ht="15" customHeight="1">
      <c r="A9896" t="inlineStr">
        <is>
          <t>S 648-2026</t>
        </is>
      </c>
      <c r="B9896" t="inlineStr">
        <is>
          <t>samrådsanmälan</t>
        </is>
      </c>
      <c r="C9896" t="inlineStr">
        <is>
          <t>Skogsgödsling</t>
        </is>
      </c>
      <c r="D9896" s="1" t="n">
        <v>46089</v>
      </c>
      <c r="E9896" s="1" t="n">
        <v>46319</v>
      </c>
      <c r="F9896" t="inlineStr">
        <is>
          <t>DALARNAS LÄN</t>
        </is>
      </c>
      <c r="G9896" t="inlineStr">
        <is>
          <t>MALUNG-SÄLEN</t>
        </is>
      </c>
      <c r="H9896" t="inlineStr">
        <is>
          <t>Bergvik skog öst AB</t>
        </is>
      </c>
      <c r="I9896" t="n">
        <v>49.2</v>
      </c>
      <c r="J9896" t="n">
        <v>0</v>
      </c>
      <c r="K9896" t="n">
        <v>0</v>
      </c>
      <c r="L9896" t="n">
        <v>0</v>
      </c>
      <c r="M9896" t="n">
        <v>0</v>
      </c>
      <c r="N9896" t="n">
        <v>0</v>
      </c>
      <c r="O9896" t="n">
        <v>0</v>
      </c>
      <c r="P9896" t="n">
        <v>0</v>
      </c>
      <c r="Q9896" t="n">
        <v>0</v>
      </c>
      <c r="R9896" t="n">
        <v>0</v>
      </c>
      <c r="S9896" t="n">
        <v>0</v>
      </c>
      <c r="T9896" t="n">
        <v>0</v>
      </c>
      <c r="U9896" t="n">
        <v>0</v>
      </c>
      <c r="V9896" s="2" t="inlineStr"/>
    </row>
    <row r="9897" ht="15" customHeight="1">
      <c r="A9897" t="inlineStr">
        <is>
          <t>S 662-2026</t>
        </is>
      </c>
      <c r="B9897" t="inlineStr">
        <is>
          <t>samrådsanmälan</t>
        </is>
      </c>
      <c r="C9897" t="inlineStr">
        <is>
          <t>Skogsgödsling</t>
        </is>
      </c>
      <c r="D9897" s="1" t="n">
        <v>46089</v>
      </c>
      <c r="E9897" s="1" t="n">
        <v>46319</v>
      </c>
      <c r="F9897" t="inlineStr">
        <is>
          <t>DALARNAS LÄN</t>
        </is>
      </c>
      <c r="G9897" t="inlineStr">
        <is>
          <t>RÄTTVIK</t>
        </is>
      </c>
      <c r="H9897" t="inlineStr">
        <is>
          <t>Bergvik skog öst AB</t>
        </is>
      </c>
      <c r="I9897" t="n">
        <v>10.8</v>
      </c>
      <c r="J9897" t="n">
        <v>0</v>
      </c>
      <c r="K9897" t="n">
        <v>0</v>
      </c>
      <c r="L9897" t="n">
        <v>0</v>
      </c>
      <c r="M9897" t="n">
        <v>0</v>
      </c>
      <c r="N9897" t="n">
        <v>0</v>
      </c>
      <c r="O9897" t="n">
        <v>0</v>
      </c>
      <c r="P9897" t="n">
        <v>0</v>
      </c>
      <c r="Q9897" t="n">
        <v>0</v>
      </c>
      <c r="R9897" t="n">
        <v>0</v>
      </c>
      <c r="S9897" t="n">
        <v>0</v>
      </c>
      <c r="T9897" t="n">
        <v>0</v>
      </c>
      <c r="U9897" t="n">
        <v>0</v>
      </c>
      <c r="V9897" s="2" t="inlineStr"/>
    </row>
    <row r="9898" ht="15" customHeight="1">
      <c r="A9898" t="inlineStr">
        <is>
          <t>S 747-2026</t>
        </is>
      </c>
      <c r="B9898" t="inlineStr">
        <is>
          <t>samrådsanmälan</t>
        </is>
      </c>
      <c r="C9898" t="inlineStr">
        <is>
          <t>Skogsgödsling</t>
        </is>
      </c>
      <c r="D9898" s="1" t="n">
        <v>46089</v>
      </c>
      <c r="E9898" s="1" t="n">
        <v>46319</v>
      </c>
      <c r="F9898" t="inlineStr">
        <is>
          <t>DALARNAS LÄN</t>
        </is>
      </c>
      <c r="G9898" t="inlineStr">
        <is>
          <t>VANSBRO</t>
        </is>
      </c>
      <c r="H9898" t="inlineStr">
        <is>
          <t>Bergvik skog öst AB</t>
        </is>
      </c>
      <c r="I9898" t="n">
        <v>82.40000000000001</v>
      </c>
      <c r="J9898" t="n">
        <v>0</v>
      </c>
      <c r="K9898" t="n">
        <v>0</v>
      </c>
      <c r="L9898" t="n">
        <v>0</v>
      </c>
      <c r="M9898" t="n">
        <v>0</v>
      </c>
      <c r="N9898" t="n">
        <v>0</v>
      </c>
      <c r="O9898" t="n">
        <v>0</v>
      </c>
      <c r="P9898" t="n">
        <v>0</v>
      </c>
      <c r="Q9898" t="n">
        <v>0</v>
      </c>
      <c r="R9898" t="n">
        <v>0</v>
      </c>
      <c r="S9898" t="n">
        <v>0</v>
      </c>
      <c r="T9898" t="n">
        <v>0</v>
      </c>
      <c r="U9898" t="n">
        <v>0</v>
      </c>
      <c r="V9898" s="2" t="inlineStr"/>
    </row>
    <row r="9899" ht="15" customHeight="1">
      <c r="A9899" t="inlineStr">
        <is>
          <t>S 638-2026</t>
        </is>
      </c>
      <c r="B9899" t="inlineStr">
        <is>
          <t>samrådsanmälan</t>
        </is>
      </c>
      <c r="C9899" t="inlineStr">
        <is>
          <t>Annan skogsbruksåtgärd</t>
        </is>
      </c>
      <c r="D9899" s="1" t="n">
        <v>46088</v>
      </c>
      <c r="E9899" s="1" t="n">
        <v>46319</v>
      </c>
      <c r="F9899" t="inlineStr">
        <is>
          <t>DALARNAS LÄN</t>
        </is>
      </c>
      <c r="G9899" t="inlineStr">
        <is>
          <t>GAGNEF</t>
        </is>
      </c>
      <c r="H9899" t="inlineStr">
        <is>
          <t>Bergvik skog väst AB</t>
        </is>
      </c>
      <c r="I9899" t="n">
        <v>0.1</v>
      </c>
      <c r="J9899" t="n">
        <v>0</v>
      </c>
      <c r="K9899" t="n">
        <v>0</v>
      </c>
      <c r="L9899" t="n">
        <v>0</v>
      </c>
      <c r="M9899" t="n">
        <v>0</v>
      </c>
      <c r="N9899" t="n">
        <v>0</v>
      </c>
      <c r="O9899" t="n">
        <v>0</v>
      </c>
      <c r="P9899" t="n">
        <v>0</v>
      </c>
      <c r="Q9899" t="n">
        <v>0</v>
      </c>
      <c r="R9899" t="n">
        <v>0</v>
      </c>
      <c r="S9899" t="n">
        <v>0</v>
      </c>
      <c r="T9899" t="n">
        <v>0</v>
      </c>
      <c r="U9899" t="n">
        <v>0</v>
      </c>
      <c r="V9899" s="2" t="inlineStr"/>
    </row>
    <row r="9900" ht="15" customHeight="1">
      <c r="A9900" t="inlineStr">
        <is>
          <t>S 748-2026</t>
        </is>
      </c>
      <c r="B9900" t="inlineStr">
        <is>
          <t>samrådsanmälan</t>
        </is>
      </c>
      <c r="C9900" t="inlineStr">
        <is>
          <t>Skogsgödsling</t>
        </is>
      </c>
      <c r="D9900" s="1" t="n">
        <v>46089</v>
      </c>
      <c r="E9900" s="1" t="n">
        <v>46319</v>
      </c>
      <c r="F9900" t="inlineStr">
        <is>
          <t>DALARNAS LÄN</t>
        </is>
      </c>
      <c r="G9900" t="inlineStr">
        <is>
          <t>ÄLVDALEN</t>
        </is>
      </c>
      <c r="H9900" t="inlineStr">
        <is>
          <t>Naturvårdsverket</t>
        </is>
      </c>
      <c r="I9900" t="n">
        <v>7.7</v>
      </c>
      <c r="J9900" t="n">
        <v>0</v>
      </c>
      <c r="K9900" t="n">
        <v>0</v>
      </c>
      <c r="L9900" t="n">
        <v>0</v>
      </c>
      <c r="M9900" t="n">
        <v>0</v>
      </c>
      <c r="N9900" t="n">
        <v>0</v>
      </c>
      <c r="O9900" t="n">
        <v>0</v>
      </c>
      <c r="P9900" t="n">
        <v>0</v>
      </c>
      <c r="Q9900" t="n">
        <v>0</v>
      </c>
      <c r="R9900" t="n">
        <v>0</v>
      </c>
      <c r="S9900" t="n">
        <v>0</v>
      </c>
      <c r="T9900" t="n">
        <v>0</v>
      </c>
      <c r="U9900" t="n">
        <v>0</v>
      </c>
      <c r="V9900" s="2" t="inlineStr"/>
    </row>
    <row r="9901" ht="15" customHeight="1">
      <c r="A9901" t="inlineStr">
        <is>
          <t>S 749-2026</t>
        </is>
      </c>
      <c r="B9901" t="inlineStr">
        <is>
          <t>samrådsanmälan</t>
        </is>
      </c>
      <c r="C9901" t="inlineStr">
        <is>
          <t>Skogsgödsling</t>
        </is>
      </c>
      <c r="D9901" s="1" t="n">
        <v>46089</v>
      </c>
      <c r="E9901" s="1" t="n">
        <v>46319</v>
      </c>
      <c r="F9901" t="inlineStr">
        <is>
          <t>DALARNAS LÄN</t>
        </is>
      </c>
      <c r="G9901" t="inlineStr">
        <is>
          <t>ÄLVDALEN</t>
        </is>
      </c>
      <c r="H9901" t="inlineStr">
        <is>
          <t>Naturvårdsverket</t>
        </is>
      </c>
      <c r="I9901" t="n">
        <v>14.4</v>
      </c>
      <c r="J9901" t="n">
        <v>0</v>
      </c>
      <c r="K9901" t="n">
        <v>0</v>
      </c>
      <c r="L9901" t="n">
        <v>0</v>
      </c>
      <c r="M9901" t="n">
        <v>0</v>
      </c>
      <c r="N9901" t="n">
        <v>0</v>
      </c>
      <c r="O9901" t="n">
        <v>0</v>
      </c>
      <c r="P9901" t="n">
        <v>0</v>
      </c>
      <c r="Q9901" t="n">
        <v>0</v>
      </c>
      <c r="R9901" t="n">
        <v>0</v>
      </c>
      <c r="S9901" t="n">
        <v>0</v>
      </c>
      <c r="T9901" t="n">
        <v>0</v>
      </c>
      <c r="U9901" t="n">
        <v>0</v>
      </c>
      <c r="V9901" s="2" t="inlineStr"/>
    </row>
    <row r="9902" ht="15" customHeight="1">
      <c r="A9902" t="inlineStr">
        <is>
          <t>S 611-2026</t>
        </is>
      </c>
      <c r="B9902" t="inlineStr">
        <is>
          <t>samrådsanmälan</t>
        </is>
      </c>
      <c r="C9902" t="inlineStr">
        <is>
          <t>Skogsgödsling</t>
        </is>
      </c>
      <c r="D9902" s="1" t="n">
        <v>46085</v>
      </c>
      <c r="E9902" s="1" t="n">
        <v>46319</v>
      </c>
      <c r="F9902" t="inlineStr">
        <is>
          <t>DALARNAS LÄN</t>
        </is>
      </c>
      <c r="G9902" t="inlineStr">
        <is>
          <t>SÄTER</t>
        </is>
      </c>
      <c r="H9902" t="inlineStr">
        <is>
          <t>Bergvik skog väst AB</t>
        </is>
      </c>
      <c r="I9902" t="n">
        <v>44.7</v>
      </c>
      <c r="J9902" t="n">
        <v>0</v>
      </c>
      <c r="K9902" t="n">
        <v>0</v>
      </c>
      <c r="L9902" t="n">
        <v>0</v>
      </c>
      <c r="M9902" t="n">
        <v>0</v>
      </c>
      <c r="N9902" t="n">
        <v>0</v>
      </c>
      <c r="O9902" t="n">
        <v>0</v>
      </c>
      <c r="P9902" t="n">
        <v>0</v>
      </c>
      <c r="Q9902" t="n">
        <v>0</v>
      </c>
      <c r="R9902" t="n">
        <v>0</v>
      </c>
      <c r="S9902" t="n">
        <v>0</v>
      </c>
      <c r="T9902" t="n">
        <v>0</v>
      </c>
      <c r="U9902" t="n">
        <v>0</v>
      </c>
      <c r="V9902" s="2" t="inlineStr"/>
    </row>
    <row r="9903" ht="15" customHeight="1">
      <c r="A9903" t="inlineStr">
        <is>
          <t>S 595-2026</t>
        </is>
      </c>
      <c r="B9903" t="inlineStr">
        <is>
          <t>samrådsanmälan</t>
        </is>
      </c>
      <c r="C9903" t="inlineStr">
        <is>
          <t>Skogsgödsling</t>
        </is>
      </c>
      <c r="D9903" s="1" t="n">
        <v>46085</v>
      </c>
      <c r="E9903" s="1" t="n">
        <v>46319</v>
      </c>
      <c r="F9903" t="inlineStr">
        <is>
          <t>DALARNAS LÄN</t>
        </is>
      </c>
      <c r="G9903" t="inlineStr">
        <is>
          <t>AVESTA</t>
        </is>
      </c>
      <c r="H9903" t="inlineStr">
        <is>
          <t>Bergvik skog väst AB</t>
        </is>
      </c>
      <c r="I9903" t="n">
        <v>28.9</v>
      </c>
      <c r="J9903" t="n">
        <v>0</v>
      </c>
      <c r="K9903" t="n">
        <v>0</v>
      </c>
      <c r="L9903" t="n">
        <v>0</v>
      </c>
      <c r="M9903" t="n">
        <v>0</v>
      </c>
      <c r="N9903" t="n">
        <v>0</v>
      </c>
      <c r="O9903" t="n">
        <v>0</v>
      </c>
      <c r="P9903" t="n">
        <v>0</v>
      </c>
      <c r="Q9903" t="n">
        <v>0</v>
      </c>
      <c r="R9903" t="n">
        <v>0</v>
      </c>
      <c r="S9903" t="n">
        <v>0</v>
      </c>
      <c r="T9903" t="n">
        <v>0</v>
      </c>
      <c r="U9903" t="n">
        <v>0</v>
      </c>
      <c r="V9903" s="2" t="inlineStr"/>
    </row>
    <row r="9904" ht="15" customHeight="1">
      <c r="A9904" t="inlineStr">
        <is>
          <t>S 432-2025</t>
        </is>
      </c>
      <c r="B9904" t="inlineStr">
        <is>
          <t>samrådsanmälan</t>
        </is>
      </c>
      <c r="C9904" t="inlineStr">
        <is>
          <t>Skogsgödsling</t>
        </is>
      </c>
      <c r="D9904" s="1" t="n">
        <v>45700</v>
      </c>
      <c r="E9904" s="1" t="n">
        <v>46319</v>
      </c>
      <c r="F9904" t="inlineStr">
        <is>
          <t>DALARNAS LÄN</t>
        </is>
      </c>
      <c r="G9904" t="inlineStr">
        <is>
          <t>HEDEMORA</t>
        </is>
      </c>
      <c r="H9904" t="inlineStr">
        <is>
          <t>Sveaskog</t>
        </is>
      </c>
      <c r="I9904" t="n">
        <v>15.7</v>
      </c>
      <c r="J9904" t="n">
        <v>0</v>
      </c>
      <c r="K9904" t="n">
        <v>0</v>
      </c>
      <c r="L9904" t="n">
        <v>0</v>
      </c>
      <c r="M9904" t="n">
        <v>0</v>
      </c>
      <c r="N9904" t="n">
        <v>0</v>
      </c>
      <c r="O9904" t="n">
        <v>0</v>
      </c>
      <c r="P9904" t="n">
        <v>0</v>
      </c>
      <c r="Q9904" t="n">
        <v>0</v>
      </c>
      <c r="R9904" t="n">
        <v>0</v>
      </c>
      <c r="S9904" t="n">
        <v>0</v>
      </c>
      <c r="T9904" t="n">
        <v>0</v>
      </c>
      <c r="U9904" t="n">
        <v>0</v>
      </c>
      <c r="V9904" s="2" t="inlineStr"/>
    </row>
    <row r="9905" ht="15" customHeight="1">
      <c r="A9905" t="inlineStr">
        <is>
          <t>S 827-2026</t>
        </is>
      </c>
      <c r="B9905" t="inlineStr">
        <is>
          <t>samrådsanmälan</t>
        </is>
      </c>
      <c r="C9905" t="inlineStr">
        <is>
          <t>Skogsgödsling</t>
        </is>
      </c>
      <c r="D9905" s="1" t="n">
        <v>46104</v>
      </c>
      <c r="E9905" s="1" t="n">
        <v>46319</v>
      </c>
      <c r="F9905" t="inlineStr">
        <is>
          <t>DALARNAS LÄN</t>
        </is>
      </c>
      <c r="G9905" t="inlineStr">
        <is>
          <t>ÄLVDALEN</t>
        </is>
      </c>
      <c r="H9905" t="inlineStr">
        <is>
          <t>Allmännings- och besparingsskogar</t>
        </is>
      </c>
      <c r="I9905" t="n">
        <v>16.9</v>
      </c>
      <c r="J9905" t="n">
        <v>0</v>
      </c>
      <c r="K9905" t="n">
        <v>0</v>
      </c>
      <c r="L9905" t="n">
        <v>0</v>
      </c>
      <c r="M9905" t="n">
        <v>0</v>
      </c>
      <c r="N9905" t="n">
        <v>0</v>
      </c>
      <c r="O9905" t="n">
        <v>0</v>
      </c>
      <c r="P9905" t="n">
        <v>0</v>
      </c>
      <c r="Q9905" t="n">
        <v>0</v>
      </c>
      <c r="R9905" t="n">
        <v>0</v>
      </c>
      <c r="S9905" t="n">
        <v>0</v>
      </c>
      <c r="T9905" t="n">
        <v>0</v>
      </c>
      <c r="U9905" t="n">
        <v>0</v>
      </c>
      <c r="V9905" s="2" t="inlineStr"/>
    </row>
    <row r="9906" ht="15" customHeight="1">
      <c r="A9906" t="inlineStr">
        <is>
          <t>S 824-2026</t>
        </is>
      </c>
      <c r="B9906" t="inlineStr">
        <is>
          <t>samrådsanmälan</t>
        </is>
      </c>
      <c r="C9906" t="inlineStr">
        <is>
          <t>Skogsgödsling</t>
        </is>
      </c>
      <c r="D9906" s="1" t="n">
        <v>46104</v>
      </c>
      <c r="E9906" s="1" t="n">
        <v>46319</v>
      </c>
      <c r="F9906" t="inlineStr">
        <is>
          <t>DALARNAS LÄN</t>
        </is>
      </c>
      <c r="G9906" t="inlineStr">
        <is>
          <t>ÄLVDALEN</t>
        </is>
      </c>
      <c r="H9906" t="inlineStr">
        <is>
          <t>Allmännings- och besparingsskogar</t>
        </is>
      </c>
      <c r="I9906" t="n">
        <v>13.1</v>
      </c>
      <c r="J9906" t="n">
        <v>0</v>
      </c>
      <c r="K9906" t="n">
        <v>0</v>
      </c>
      <c r="L9906" t="n">
        <v>0</v>
      </c>
      <c r="M9906" t="n">
        <v>0</v>
      </c>
      <c r="N9906" t="n">
        <v>0</v>
      </c>
      <c r="O9906" t="n">
        <v>0</v>
      </c>
      <c r="P9906" t="n">
        <v>0</v>
      </c>
      <c r="Q9906" t="n">
        <v>0</v>
      </c>
      <c r="R9906" t="n">
        <v>0</v>
      </c>
      <c r="S9906" t="n">
        <v>0</v>
      </c>
      <c r="T9906" t="n">
        <v>0</v>
      </c>
      <c r="U9906" t="n">
        <v>0</v>
      </c>
      <c r="V9906" s="2" t="inlineStr"/>
    </row>
    <row r="9907" ht="15" customHeight="1">
      <c r="A9907" t="inlineStr">
        <is>
          <t>S 844-2026</t>
        </is>
      </c>
      <c r="B9907" t="inlineStr">
        <is>
          <t>samrådsanmälan</t>
        </is>
      </c>
      <c r="C9907" t="inlineStr">
        <is>
          <t>Skogsgödsling</t>
        </is>
      </c>
      <c r="D9907" s="1" t="n">
        <v>46105</v>
      </c>
      <c r="E9907" s="1" t="n">
        <v>46319</v>
      </c>
      <c r="F9907" t="inlineStr">
        <is>
          <t>DALARNAS LÄN</t>
        </is>
      </c>
      <c r="G9907" t="inlineStr">
        <is>
          <t>ÄLVDALEN</t>
        </is>
      </c>
      <c r="H9907" t="inlineStr">
        <is>
          <t>Allmännings- och besparingsskogar</t>
        </is>
      </c>
      <c r="I9907" t="n">
        <v>66.40000000000001</v>
      </c>
      <c r="J9907" t="n">
        <v>0</v>
      </c>
      <c r="K9907" t="n">
        <v>0</v>
      </c>
      <c r="L9907" t="n">
        <v>0</v>
      </c>
      <c r="M9907" t="n">
        <v>0</v>
      </c>
      <c r="N9907" t="n">
        <v>0</v>
      </c>
      <c r="O9907" t="n">
        <v>0</v>
      </c>
      <c r="P9907" t="n">
        <v>0</v>
      </c>
      <c r="Q9907" t="n">
        <v>0</v>
      </c>
      <c r="R9907" t="n">
        <v>0</v>
      </c>
      <c r="S9907" t="n">
        <v>0</v>
      </c>
      <c r="T9907" t="n">
        <v>0</v>
      </c>
      <c r="U9907" t="n">
        <v>0</v>
      </c>
      <c r="V9907" s="2" t="inlineStr"/>
    </row>
    <row r="9908" ht="15" customHeight="1">
      <c r="A9908" t="inlineStr">
        <is>
          <t>S 826-2026</t>
        </is>
      </c>
      <c r="B9908" t="inlineStr">
        <is>
          <t>samrådsanmälan</t>
        </is>
      </c>
      <c r="C9908" t="inlineStr">
        <is>
          <t>Skogsgödsling</t>
        </is>
      </c>
      <c r="D9908" s="1" t="n">
        <v>46104</v>
      </c>
      <c r="E9908" s="1" t="n">
        <v>46319</v>
      </c>
      <c r="F9908" t="inlineStr">
        <is>
          <t>DALARNAS LÄN</t>
        </is>
      </c>
      <c r="G9908" t="inlineStr">
        <is>
          <t>ÄLVDALEN</t>
        </is>
      </c>
      <c r="H9908" t="inlineStr">
        <is>
          <t>Allmännings- och besparingsskogar</t>
        </is>
      </c>
      <c r="I9908" t="n">
        <v>72.5</v>
      </c>
      <c r="J9908" t="n">
        <v>0</v>
      </c>
      <c r="K9908" t="n">
        <v>0</v>
      </c>
      <c r="L9908" t="n">
        <v>0</v>
      </c>
      <c r="M9908" t="n">
        <v>0</v>
      </c>
      <c r="N9908" t="n">
        <v>0</v>
      </c>
      <c r="O9908" t="n">
        <v>0</v>
      </c>
      <c r="P9908" t="n">
        <v>0</v>
      </c>
      <c r="Q9908" t="n">
        <v>0</v>
      </c>
      <c r="R9908" t="n">
        <v>0</v>
      </c>
      <c r="S9908" t="n">
        <v>0</v>
      </c>
      <c r="T9908" t="n">
        <v>0</v>
      </c>
      <c r="U9908" t="n">
        <v>0</v>
      </c>
      <c r="V9908" s="2" t="inlineStr"/>
    </row>
    <row r="9909" ht="15" customHeight="1">
      <c r="A9909" t="inlineStr">
        <is>
          <t>S 828-2026</t>
        </is>
      </c>
      <c r="B9909" t="inlineStr">
        <is>
          <t>samrådsanmälan</t>
        </is>
      </c>
      <c r="C9909" t="inlineStr">
        <is>
          <t>Skogsgödsling</t>
        </is>
      </c>
      <c r="D9909" s="1" t="n">
        <v>46104</v>
      </c>
      <c r="E9909" s="1" t="n">
        <v>46319</v>
      </c>
      <c r="F9909" t="inlineStr">
        <is>
          <t>DALARNAS LÄN</t>
        </is>
      </c>
      <c r="G9909" t="inlineStr">
        <is>
          <t>ÄLVDALEN</t>
        </is>
      </c>
      <c r="H9909" t="inlineStr">
        <is>
          <t>Allmännings- och besparingsskogar</t>
        </is>
      </c>
      <c r="I9909" t="n">
        <v>20.1</v>
      </c>
      <c r="J9909" t="n">
        <v>0</v>
      </c>
      <c r="K9909" t="n">
        <v>0</v>
      </c>
      <c r="L9909" t="n">
        <v>0</v>
      </c>
      <c r="M9909" t="n">
        <v>0</v>
      </c>
      <c r="N9909" t="n">
        <v>0</v>
      </c>
      <c r="O9909" t="n">
        <v>0</v>
      </c>
      <c r="P9909" t="n">
        <v>0</v>
      </c>
      <c r="Q9909" t="n">
        <v>0</v>
      </c>
      <c r="R9909" t="n">
        <v>0</v>
      </c>
      <c r="S9909" t="n">
        <v>0</v>
      </c>
      <c r="T9909" t="n">
        <v>0</v>
      </c>
      <c r="U9909" t="n">
        <v>0</v>
      </c>
      <c r="V9909" s="2" t="inlineStr"/>
    </row>
    <row r="9910" ht="15" customHeight="1">
      <c r="A9910" t="inlineStr">
        <is>
          <t>S 829-2026</t>
        </is>
      </c>
      <c r="B9910" t="inlineStr">
        <is>
          <t>samrådsanmälan</t>
        </is>
      </c>
      <c r="C9910" t="inlineStr">
        <is>
          <t>Skogsgödsling</t>
        </is>
      </c>
      <c r="D9910" s="1" t="n">
        <v>46104</v>
      </c>
      <c r="E9910" s="1" t="n">
        <v>46319</v>
      </c>
      <c r="F9910" t="inlineStr">
        <is>
          <t>DALARNAS LÄN</t>
        </is>
      </c>
      <c r="G9910" t="inlineStr">
        <is>
          <t>ÄLVDALEN</t>
        </is>
      </c>
      <c r="H9910" t="inlineStr">
        <is>
          <t>Allmännings- och besparingsskogar</t>
        </is>
      </c>
      <c r="I9910" t="n">
        <v>24.5</v>
      </c>
      <c r="J9910" t="n">
        <v>0</v>
      </c>
      <c r="K9910" t="n">
        <v>0</v>
      </c>
      <c r="L9910" t="n">
        <v>0</v>
      </c>
      <c r="M9910" t="n">
        <v>0</v>
      </c>
      <c r="N9910" t="n">
        <v>0</v>
      </c>
      <c r="O9910" t="n">
        <v>0</v>
      </c>
      <c r="P9910" t="n">
        <v>0</v>
      </c>
      <c r="Q9910" t="n">
        <v>0</v>
      </c>
      <c r="R9910" t="n">
        <v>0</v>
      </c>
      <c r="S9910" t="n">
        <v>0</v>
      </c>
      <c r="T9910" t="n">
        <v>0</v>
      </c>
      <c r="U9910" t="n">
        <v>0</v>
      </c>
      <c r="V9910" s="2" t="inlineStr"/>
    </row>
    <row r="9911" ht="15" customHeight="1">
      <c r="A9911" t="inlineStr">
        <is>
          <t>S 910-2026</t>
        </is>
      </c>
      <c r="B9911" t="inlineStr">
        <is>
          <t>samrådsanmälan</t>
        </is>
      </c>
      <c r="C9911" t="inlineStr">
        <is>
          <t>Annan skogsbruksåtgärd</t>
        </is>
      </c>
      <c r="D9911" s="1" t="n">
        <v>46110</v>
      </c>
      <c r="E9911" s="1" t="n">
        <v>46319</v>
      </c>
      <c r="F9911" t="inlineStr">
        <is>
          <t>DALARNAS LÄN</t>
        </is>
      </c>
      <c r="G9911" t="inlineStr">
        <is>
          <t>BORLÄNGE</t>
        </is>
      </c>
      <c r="H9911" t="inlineStr">
        <is>
          <t>Bergvik skog väst AB</t>
        </is>
      </c>
      <c r="I9911" t="n">
        <v>0.5</v>
      </c>
      <c r="J9911" t="n">
        <v>0</v>
      </c>
      <c r="K9911" t="n">
        <v>0</v>
      </c>
      <c r="L9911" t="n">
        <v>0</v>
      </c>
      <c r="M9911" t="n">
        <v>0</v>
      </c>
      <c r="N9911" t="n">
        <v>0</v>
      </c>
      <c r="O9911" t="n">
        <v>0</v>
      </c>
      <c r="P9911" t="n">
        <v>0</v>
      </c>
      <c r="Q9911" t="n">
        <v>0</v>
      </c>
      <c r="R9911" t="n">
        <v>0</v>
      </c>
      <c r="S9911" t="n">
        <v>0</v>
      </c>
      <c r="T9911" t="n">
        <v>0</v>
      </c>
      <c r="U9911" t="n">
        <v>0</v>
      </c>
      <c r="V9911" s="2" t="inlineStr"/>
    </row>
    <row r="9912" ht="15" customHeight="1">
      <c r="A9912" t="inlineStr">
        <is>
          <t>S 1044-2026</t>
        </is>
      </c>
      <c r="B9912" t="inlineStr">
        <is>
          <t>samrådsanmälan</t>
        </is>
      </c>
      <c r="C9912" t="inlineStr">
        <is>
          <t>Annan skogsbruksåtgärd</t>
        </is>
      </c>
      <c r="D9912" s="1" t="n">
        <v>46125</v>
      </c>
      <c r="E9912" s="1" t="n">
        <v>46319</v>
      </c>
      <c r="F9912" t="inlineStr">
        <is>
          <t>DALARNAS LÄN</t>
        </is>
      </c>
      <c r="G9912" t="inlineStr">
        <is>
          <t>MORA</t>
        </is>
      </c>
      <c r="I9912" t="n">
        <v>0.1</v>
      </c>
      <c r="J9912" t="n">
        <v>0</v>
      </c>
      <c r="K9912" t="n">
        <v>0</v>
      </c>
      <c r="L9912" t="n">
        <v>0</v>
      </c>
      <c r="M9912" t="n">
        <v>0</v>
      </c>
      <c r="N9912" t="n">
        <v>0</v>
      </c>
      <c r="O9912" t="n">
        <v>0</v>
      </c>
      <c r="P9912" t="n">
        <v>0</v>
      </c>
      <c r="Q9912" t="n">
        <v>0</v>
      </c>
      <c r="R9912" t="n">
        <v>0</v>
      </c>
      <c r="S9912" t="n">
        <v>0</v>
      </c>
      <c r="T9912" t="n">
        <v>0</v>
      </c>
      <c r="U9912" t="n">
        <v>0</v>
      </c>
      <c r="V9912" s="2" t="inlineStr"/>
    </row>
    <row r="9913" ht="15" customHeight="1">
      <c r="A9913" t="inlineStr">
        <is>
          <t>S 1109-2026</t>
        </is>
      </c>
      <c r="B9913" t="inlineStr">
        <is>
          <t>samrådsanmälan</t>
        </is>
      </c>
      <c r="C9913" t="inlineStr">
        <is>
          <t>Annan skogsbruksåtgärd</t>
        </is>
      </c>
      <c r="D9913" s="1" t="n">
        <v>46131</v>
      </c>
      <c r="E9913" s="1" t="n">
        <v>46319</v>
      </c>
      <c r="F9913" t="inlineStr">
        <is>
          <t>DALARNAS LÄN</t>
        </is>
      </c>
      <c r="G9913" t="inlineStr">
        <is>
          <t>BORLÄNGE</t>
        </is>
      </c>
      <c r="I9913" t="n">
        <v>0.2</v>
      </c>
      <c r="J9913" t="n">
        <v>0</v>
      </c>
      <c r="K9913" t="n">
        <v>0</v>
      </c>
      <c r="L9913" t="n">
        <v>0</v>
      </c>
      <c r="M9913" t="n">
        <v>0</v>
      </c>
      <c r="N9913" t="n">
        <v>0</v>
      </c>
      <c r="O9913" t="n">
        <v>0</v>
      </c>
      <c r="P9913" t="n">
        <v>0</v>
      </c>
      <c r="Q9913" t="n">
        <v>0</v>
      </c>
      <c r="R9913" t="n">
        <v>0</v>
      </c>
      <c r="S9913" t="n">
        <v>0</v>
      </c>
      <c r="T9913" t="n">
        <v>0</v>
      </c>
      <c r="U9913" t="n">
        <v>0</v>
      </c>
      <c r="V9913" s="2" t="inlineStr"/>
    </row>
    <row r="9914" ht="15" customHeight="1">
      <c r="A9914" t="inlineStr">
        <is>
          <t>S 1132-2026</t>
        </is>
      </c>
      <c r="B9914" t="inlineStr">
        <is>
          <t>samrådsanmälan</t>
        </is>
      </c>
      <c r="C9914" t="inlineStr">
        <is>
          <t>Annan skogsbruksåtgärd</t>
        </is>
      </c>
      <c r="D9914" s="1" t="n">
        <v>46133</v>
      </c>
      <c r="E9914" s="1" t="n">
        <v>46319</v>
      </c>
      <c r="F9914" t="inlineStr">
        <is>
          <t>DALARNAS LÄN</t>
        </is>
      </c>
      <c r="G9914" t="inlineStr">
        <is>
          <t>ORSA</t>
        </is>
      </c>
      <c r="I9914" t="n">
        <v>0.2</v>
      </c>
      <c r="J9914" t="n">
        <v>0</v>
      </c>
      <c r="K9914" t="n">
        <v>0</v>
      </c>
      <c r="L9914" t="n">
        <v>0</v>
      </c>
      <c r="M9914" t="n">
        <v>0</v>
      </c>
      <c r="N9914" t="n">
        <v>0</v>
      </c>
      <c r="O9914" t="n">
        <v>0</v>
      </c>
      <c r="P9914" t="n">
        <v>0</v>
      </c>
      <c r="Q9914" t="n">
        <v>0</v>
      </c>
      <c r="R9914" t="n">
        <v>0</v>
      </c>
      <c r="S9914" t="n">
        <v>0</v>
      </c>
      <c r="T9914" t="n">
        <v>0</v>
      </c>
      <c r="U9914" t="n">
        <v>0</v>
      </c>
      <c r="V9914" s="2" t="inlineStr"/>
    </row>
    <row r="9915" ht="15" customHeight="1">
      <c r="A9915" t="inlineStr">
        <is>
          <t>S 1202-2026</t>
        </is>
      </c>
      <c r="B9915" t="inlineStr">
        <is>
          <t>samrådsanmälan</t>
        </is>
      </c>
      <c r="C9915" t="inlineStr">
        <is>
          <t>Annan skogsbruksåtgärd</t>
        </is>
      </c>
      <c r="D9915" s="1" t="n">
        <v>46136</v>
      </c>
      <c r="E9915" s="1" t="n">
        <v>46319</v>
      </c>
      <c r="F9915" t="inlineStr">
        <is>
          <t>DALARNAS LÄN</t>
        </is>
      </c>
      <c r="G9915" t="inlineStr">
        <is>
          <t>BORLÄNGE</t>
        </is>
      </c>
      <c r="I9915" t="n">
        <v>0.2</v>
      </c>
      <c r="J9915" t="n">
        <v>0</v>
      </c>
      <c r="K9915" t="n">
        <v>0</v>
      </c>
      <c r="L9915" t="n">
        <v>0</v>
      </c>
      <c r="M9915" t="n">
        <v>0</v>
      </c>
      <c r="N9915" t="n">
        <v>0</v>
      </c>
      <c r="O9915" t="n">
        <v>0</v>
      </c>
      <c r="P9915" t="n">
        <v>0</v>
      </c>
      <c r="Q9915" t="n">
        <v>0</v>
      </c>
      <c r="R9915" t="n">
        <v>0</v>
      </c>
      <c r="S9915" t="n">
        <v>0</v>
      </c>
      <c r="T9915" t="n">
        <v>0</v>
      </c>
      <c r="U9915" t="n">
        <v>0</v>
      </c>
      <c r="V9915" s="2" t="inlineStr"/>
    </row>
    <row r="9916" ht="15" customHeight="1">
      <c r="A9916" t="inlineStr">
        <is>
          <t>S 1119-2026</t>
        </is>
      </c>
      <c r="B9916" t="inlineStr">
        <is>
          <t>samrådsanmälan</t>
        </is>
      </c>
      <c r="C9916" t="inlineStr">
        <is>
          <t>Annan skogsbruksåtgärd</t>
        </is>
      </c>
      <c r="D9916" s="1" t="n">
        <v>46133</v>
      </c>
      <c r="E9916" s="1" t="n">
        <v>46319</v>
      </c>
      <c r="F9916" t="inlineStr">
        <is>
          <t>DALARNAS LÄN</t>
        </is>
      </c>
      <c r="G9916" t="inlineStr">
        <is>
          <t>LEKSAND</t>
        </is>
      </c>
      <c r="H9916" t="inlineStr">
        <is>
          <t>Bergvik skog väst AB</t>
        </is>
      </c>
      <c r="I9916" t="n">
        <v>1.4</v>
      </c>
      <c r="J9916" t="n">
        <v>0</v>
      </c>
      <c r="K9916" t="n">
        <v>0</v>
      </c>
      <c r="L9916" t="n">
        <v>0</v>
      </c>
      <c r="M9916" t="n">
        <v>0</v>
      </c>
      <c r="N9916" t="n">
        <v>0</v>
      </c>
      <c r="O9916" t="n">
        <v>0</v>
      </c>
      <c r="P9916" t="n">
        <v>0</v>
      </c>
      <c r="Q9916" t="n">
        <v>0</v>
      </c>
      <c r="R9916" t="n">
        <v>0</v>
      </c>
      <c r="S9916" t="n">
        <v>0</v>
      </c>
      <c r="T9916" t="n">
        <v>0</v>
      </c>
      <c r="U9916" t="n">
        <v>0</v>
      </c>
      <c r="V9916" s="2" t="inlineStr"/>
    </row>
    <row r="9917" ht="15" customHeight="1">
      <c r="A9917" t="inlineStr">
        <is>
          <t>S 1139-2026</t>
        </is>
      </c>
      <c r="B9917" t="inlineStr">
        <is>
          <t>samrådsanmälan</t>
        </is>
      </c>
      <c r="C9917" t="inlineStr">
        <is>
          <t>Annan skogsbruksåtgärd</t>
        </is>
      </c>
      <c r="D9917" s="1" t="n">
        <v>46134</v>
      </c>
      <c r="E9917" s="1" t="n">
        <v>46319</v>
      </c>
      <c r="F9917" t="inlineStr">
        <is>
          <t>DALARNAS LÄN</t>
        </is>
      </c>
      <c r="G9917" t="inlineStr">
        <is>
          <t>LEKSAND</t>
        </is>
      </c>
      <c r="I9917" t="n">
        <v>0.6</v>
      </c>
      <c r="J9917" t="n">
        <v>0</v>
      </c>
      <c r="K9917" t="n">
        <v>0</v>
      </c>
      <c r="L9917" t="n">
        <v>0</v>
      </c>
      <c r="M9917" t="n">
        <v>0</v>
      </c>
      <c r="N9917" t="n">
        <v>0</v>
      </c>
      <c r="O9917" t="n">
        <v>0</v>
      </c>
      <c r="P9917" t="n">
        <v>0</v>
      </c>
      <c r="Q9917" t="n">
        <v>0</v>
      </c>
      <c r="R9917" t="n">
        <v>0</v>
      </c>
      <c r="S9917" t="n">
        <v>0</v>
      </c>
      <c r="T9917" t="n">
        <v>0</v>
      </c>
      <c r="U9917" t="n">
        <v>0</v>
      </c>
      <c r="V9917" s="2" t="inlineStr"/>
    </row>
    <row r="9918" ht="15" customHeight="1">
      <c r="A9918" t="inlineStr">
        <is>
          <t>S 1218-2026</t>
        </is>
      </c>
      <c r="B9918" t="inlineStr">
        <is>
          <t>samrådsanmälan</t>
        </is>
      </c>
      <c r="C9918" t="inlineStr">
        <is>
          <t>Annan skogsbruksåtgärd</t>
        </is>
      </c>
      <c r="D9918" s="1" t="n">
        <v>46141</v>
      </c>
      <c r="E9918" s="1" t="n">
        <v>46319</v>
      </c>
      <c r="F9918" t="inlineStr">
        <is>
          <t>DALARNAS LÄN</t>
        </is>
      </c>
      <c r="G9918" t="inlineStr">
        <is>
          <t>RÄTTVIK</t>
        </is>
      </c>
      <c r="H9918" t="inlineStr">
        <is>
          <t>Sveaskog</t>
        </is>
      </c>
      <c r="I9918" t="n">
        <v>2.5</v>
      </c>
      <c r="J9918" t="n">
        <v>0</v>
      </c>
      <c r="K9918" t="n">
        <v>0</v>
      </c>
      <c r="L9918" t="n">
        <v>0</v>
      </c>
      <c r="M9918" t="n">
        <v>0</v>
      </c>
      <c r="N9918" t="n">
        <v>0</v>
      </c>
      <c r="O9918" t="n">
        <v>0</v>
      </c>
      <c r="P9918" t="n">
        <v>0</v>
      </c>
      <c r="Q9918" t="n">
        <v>0</v>
      </c>
      <c r="R9918" t="n">
        <v>0</v>
      </c>
      <c r="S9918" t="n">
        <v>0</v>
      </c>
      <c r="T9918" t="n">
        <v>0</v>
      </c>
      <c r="U9918" t="n">
        <v>0</v>
      </c>
      <c r="V9918" s="2" t="inlineStr"/>
    </row>
    <row r="9919" ht="15" customHeight="1">
      <c r="A9919" t="inlineStr">
        <is>
          <t>S 1271-2026</t>
        </is>
      </c>
      <c r="B9919" t="inlineStr">
        <is>
          <t>samrådsanmälan</t>
        </is>
      </c>
      <c r="C9919" t="inlineStr">
        <is>
          <t>Askåterföring</t>
        </is>
      </c>
      <c r="D9919" s="1" t="n">
        <v>46142</v>
      </c>
      <c r="E9919" s="1" t="n">
        <v>46319</v>
      </c>
      <c r="F9919" t="inlineStr">
        <is>
          <t>DALARNAS LÄN</t>
        </is>
      </c>
      <c r="G9919" t="inlineStr">
        <is>
          <t>HEDEMORA</t>
        </is>
      </c>
      <c r="H9919" t="inlineStr">
        <is>
          <t>Sveaskog</t>
        </is>
      </c>
      <c r="I9919" t="n">
        <v>9.300000000000001</v>
      </c>
      <c r="J9919" t="n">
        <v>0</v>
      </c>
      <c r="K9919" t="n">
        <v>0</v>
      </c>
      <c r="L9919" t="n">
        <v>0</v>
      </c>
      <c r="M9919" t="n">
        <v>0</v>
      </c>
      <c r="N9919" t="n">
        <v>0</v>
      </c>
      <c r="O9919" t="n">
        <v>0</v>
      </c>
      <c r="P9919" t="n">
        <v>0</v>
      </c>
      <c r="Q9919" t="n">
        <v>0</v>
      </c>
      <c r="R9919" t="n">
        <v>0</v>
      </c>
      <c r="S9919" t="n">
        <v>0</v>
      </c>
      <c r="T9919" t="n">
        <v>0</v>
      </c>
      <c r="U9919" t="n">
        <v>0</v>
      </c>
      <c r="V9919" s="2" t="inlineStr"/>
    </row>
    <row r="9920" ht="15" customHeight="1">
      <c r="A9920" t="inlineStr">
        <is>
          <t>S 1039-2026</t>
        </is>
      </c>
      <c r="B9920" t="inlineStr">
        <is>
          <t>samrådsanmälan</t>
        </is>
      </c>
      <c r="C9920" t="inlineStr">
        <is>
          <t>Askåterföring</t>
        </is>
      </c>
      <c r="D9920" s="1" t="n">
        <v>46125</v>
      </c>
      <c r="E9920" s="1" t="n">
        <v>46319</v>
      </c>
      <c r="F9920" t="inlineStr">
        <is>
          <t>DALARNAS LÄN</t>
        </is>
      </c>
      <c r="G9920" t="inlineStr">
        <is>
          <t>HEDEMORA</t>
        </is>
      </c>
      <c r="H9920" t="inlineStr">
        <is>
          <t>Sveaskog</t>
        </is>
      </c>
      <c r="I9920" t="n">
        <v>51.6</v>
      </c>
      <c r="J9920" t="n">
        <v>0</v>
      </c>
      <c r="K9920" t="n">
        <v>0</v>
      </c>
      <c r="L9920" t="n">
        <v>0</v>
      </c>
      <c r="M9920" t="n">
        <v>0</v>
      </c>
      <c r="N9920" t="n">
        <v>0</v>
      </c>
      <c r="O9920" t="n">
        <v>0</v>
      </c>
      <c r="P9920" t="n">
        <v>0</v>
      </c>
      <c r="Q9920" t="n">
        <v>0</v>
      </c>
      <c r="R9920" t="n">
        <v>0</v>
      </c>
      <c r="S9920" t="n">
        <v>0</v>
      </c>
      <c r="T9920" t="n">
        <v>0</v>
      </c>
      <c r="U9920" t="n">
        <v>0</v>
      </c>
      <c r="V9920" s="2" t="inlineStr"/>
    </row>
    <row r="9921" ht="15" customHeight="1">
      <c r="A9921" t="inlineStr">
        <is>
          <t>S 1365-2026</t>
        </is>
      </c>
      <c r="B9921" t="inlineStr">
        <is>
          <t>samrådsanmälan</t>
        </is>
      </c>
      <c r="C9921" t="inlineStr">
        <is>
          <t>Annan skogsbruksåtgärd</t>
        </is>
      </c>
      <c r="D9921" s="1" t="n">
        <v>46150</v>
      </c>
      <c r="E9921" s="1" t="n">
        <v>46319</v>
      </c>
      <c r="F9921" t="inlineStr">
        <is>
          <t>DALARNAS LÄN</t>
        </is>
      </c>
      <c r="G9921" t="inlineStr">
        <is>
          <t>ÄLVDALEN</t>
        </is>
      </c>
      <c r="I9921" t="n">
        <v>1.5</v>
      </c>
      <c r="J9921" t="n">
        <v>0</v>
      </c>
      <c r="K9921" t="n">
        <v>0</v>
      </c>
      <c r="L9921" t="n">
        <v>0</v>
      </c>
      <c r="M9921" t="n">
        <v>0</v>
      </c>
      <c r="N9921" t="n">
        <v>0</v>
      </c>
      <c r="O9921" t="n">
        <v>0</v>
      </c>
      <c r="P9921" t="n">
        <v>0</v>
      </c>
      <c r="Q9921" t="n">
        <v>0</v>
      </c>
      <c r="R9921" t="n">
        <v>0</v>
      </c>
      <c r="S9921" t="n">
        <v>0</v>
      </c>
      <c r="T9921" t="n">
        <v>0</v>
      </c>
      <c r="U9921" t="n">
        <v>0</v>
      </c>
      <c r="V9921" s="2" t="inlineStr"/>
    </row>
    <row r="9922" ht="15" customHeight="1">
      <c r="A9922" t="inlineStr">
        <is>
          <t>S 451-2026</t>
        </is>
      </c>
      <c r="B9922" t="inlineStr">
        <is>
          <t>samrådsanmälan</t>
        </is>
      </c>
      <c r="C9922" t="inlineStr">
        <is>
          <t>Skogsgödsling</t>
        </is>
      </c>
      <c r="D9922" s="1" t="n">
        <v>46072</v>
      </c>
      <c r="E9922" s="1" t="n">
        <v>46319</v>
      </c>
      <c r="F9922" t="inlineStr">
        <is>
          <t>DALARNAS LÄN</t>
        </is>
      </c>
      <c r="G9922" t="inlineStr">
        <is>
          <t>MALUNG-SÄLEN</t>
        </is>
      </c>
      <c r="H9922" t="inlineStr">
        <is>
          <t>Allmännings- och besparingsskogar</t>
        </is>
      </c>
      <c r="I9922" t="n">
        <v>123.2</v>
      </c>
      <c r="J9922" t="n">
        <v>0</v>
      </c>
      <c r="K9922" t="n">
        <v>0</v>
      </c>
      <c r="L9922" t="n">
        <v>0</v>
      </c>
      <c r="M9922" t="n">
        <v>0</v>
      </c>
      <c r="N9922" t="n">
        <v>0</v>
      </c>
      <c r="O9922" t="n">
        <v>0</v>
      </c>
      <c r="P9922" t="n">
        <v>0</v>
      </c>
      <c r="Q9922" t="n">
        <v>0</v>
      </c>
      <c r="R9922" t="n">
        <v>0</v>
      </c>
      <c r="S9922" t="n">
        <v>0</v>
      </c>
      <c r="T9922" t="n">
        <v>0</v>
      </c>
      <c r="U9922" t="n">
        <v>0</v>
      </c>
      <c r="V9922" s="2" t="inlineStr"/>
    </row>
    <row r="9923" ht="15" customHeight="1">
      <c r="A9923" t="inlineStr">
        <is>
          <t>S 1469-2026</t>
        </is>
      </c>
      <c r="B9923" t="inlineStr">
        <is>
          <t>samrådsanmälan</t>
        </is>
      </c>
      <c r="C9923" t="inlineStr">
        <is>
          <t>Annan skogsbruksåtgärd</t>
        </is>
      </c>
      <c r="D9923" s="1" t="n">
        <v>46162</v>
      </c>
      <c r="E9923" s="1" t="n">
        <v>46319</v>
      </c>
      <c r="F9923" t="inlineStr">
        <is>
          <t>DALARNAS LÄN</t>
        </is>
      </c>
      <c r="G9923" t="inlineStr">
        <is>
          <t>SMEDJEBACKEN</t>
        </is>
      </c>
      <c r="H9923" t="inlineStr">
        <is>
          <t>Sveaskog</t>
        </is>
      </c>
      <c r="I9923" t="n">
        <v>1.4</v>
      </c>
      <c r="J9923" t="n">
        <v>0</v>
      </c>
      <c r="K9923" t="n">
        <v>0</v>
      </c>
      <c r="L9923" t="n">
        <v>0</v>
      </c>
      <c r="M9923" t="n">
        <v>0</v>
      </c>
      <c r="N9923" t="n">
        <v>0</v>
      </c>
      <c r="O9923" t="n">
        <v>0</v>
      </c>
      <c r="P9923" t="n">
        <v>0</v>
      </c>
      <c r="Q9923" t="n">
        <v>0</v>
      </c>
      <c r="R9923" t="n">
        <v>0</v>
      </c>
      <c r="S9923" t="n">
        <v>0</v>
      </c>
      <c r="T9923" t="n">
        <v>0</v>
      </c>
      <c r="U9923" t="n">
        <v>0</v>
      </c>
      <c r="V9923" s="2" t="inlineStr"/>
    </row>
    <row r="9924" ht="15" customHeight="1">
      <c r="A9924" t="inlineStr">
        <is>
          <t>S 3125-2025</t>
        </is>
      </c>
      <c r="B9924" t="inlineStr">
        <is>
          <t>samrådsanmälan</t>
        </is>
      </c>
      <c r="C9924" t="inlineStr">
        <is>
          <t>Annan skogsbruksåtgärd</t>
        </is>
      </c>
      <c r="D9924" s="1" t="n">
        <v>45971</v>
      </c>
      <c r="E9924" s="1" t="n">
        <v>46319</v>
      </c>
      <c r="F9924" t="inlineStr">
        <is>
          <t>DALARNAS LÄN</t>
        </is>
      </c>
      <c r="G9924" t="inlineStr">
        <is>
          <t>HEDEMORA</t>
        </is>
      </c>
      <c r="I9924" t="n">
        <v>4.4</v>
      </c>
      <c r="J9924" t="n">
        <v>0</v>
      </c>
      <c r="K9924" t="n">
        <v>0</v>
      </c>
      <c r="L9924" t="n">
        <v>0</v>
      </c>
      <c r="M9924" t="n">
        <v>0</v>
      </c>
      <c r="N9924" t="n">
        <v>0</v>
      </c>
      <c r="O9924" t="n">
        <v>0</v>
      </c>
      <c r="P9924" t="n">
        <v>0</v>
      </c>
      <c r="Q9924" t="n">
        <v>0</v>
      </c>
      <c r="R9924" t="n">
        <v>0</v>
      </c>
      <c r="S9924" t="n">
        <v>0</v>
      </c>
      <c r="T9924" t="n">
        <v>0</v>
      </c>
      <c r="U9924" t="n">
        <v>0</v>
      </c>
      <c r="V9924" s="2" t="inlineStr"/>
    </row>
    <row r="9925" ht="15" customHeight="1">
      <c r="A9925" t="inlineStr">
        <is>
          <t>S 1605-2026</t>
        </is>
      </c>
      <c r="B9925" t="inlineStr">
        <is>
          <t>samrådsanmälan</t>
        </is>
      </c>
      <c r="C9925" t="inlineStr">
        <is>
          <t>Annan skogsbruksåtgärd</t>
        </is>
      </c>
      <c r="D9925" s="1" t="n">
        <v>46171</v>
      </c>
      <c r="E9925" s="1" t="n">
        <v>46319</v>
      </c>
      <c r="F9925" t="inlineStr">
        <is>
          <t>DALARNAS LÄN</t>
        </is>
      </c>
      <c r="G9925" t="inlineStr">
        <is>
          <t>MALUNG-SÄLEN</t>
        </is>
      </c>
      <c r="H9925" t="inlineStr">
        <is>
          <t>Allmännings- och besparingsskogar</t>
        </is>
      </c>
      <c r="I9925" t="n">
        <v>23.3</v>
      </c>
      <c r="J9925" t="n">
        <v>0</v>
      </c>
      <c r="K9925" t="n">
        <v>0</v>
      </c>
      <c r="L9925" t="n">
        <v>0</v>
      </c>
      <c r="M9925" t="n">
        <v>0</v>
      </c>
      <c r="N9925" t="n">
        <v>0</v>
      </c>
      <c r="O9925" t="n">
        <v>0</v>
      </c>
      <c r="P9925" t="n">
        <v>0</v>
      </c>
      <c r="Q9925" t="n">
        <v>0</v>
      </c>
      <c r="R9925" t="n">
        <v>0</v>
      </c>
      <c r="S9925" t="n">
        <v>0</v>
      </c>
      <c r="T9925" t="n">
        <v>0</v>
      </c>
      <c r="U9925" t="n">
        <v>0</v>
      </c>
      <c r="V9925" s="2" t="inlineStr"/>
    </row>
    <row r="9926" ht="15" customHeight="1">
      <c r="A9926" t="inlineStr">
        <is>
          <t>S 1661-2026</t>
        </is>
      </c>
      <c r="B9926" t="inlineStr">
        <is>
          <t>samrådsanmälan</t>
        </is>
      </c>
      <c r="C9926" t="inlineStr">
        <is>
          <t>Annan skogsbruksåtgärd</t>
        </is>
      </c>
      <c r="D9926" s="1" t="n">
        <v>46181</v>
      </c>
      <c r="E9926" s="1" t="n">
        <v>46319</v>
      </c>
      <c r="F9926" t="inlineStr">
        <is>
          <t>DALARNAS LÄN</t>
        </is>
      </c>
      <c r="G9926" t="inlineStr">
        <is>
          <t>GAGNEF</t>
        </is>
      </c>
      <c r="I9926" t="n">
        <v>2.8</v>
      </c>
      <c r="J9926" t="n">
        <v>0</v>
      </c>
      <c r="K9926" t="n">
        <v>0</v>
      </c>
      <c r="L9926" t="n">
        <v>0</v>
      </c>
      <c r="M9926" t="n">
        <v>0</v>
      </c>
      <c r="N9926" t="n">
        <v>0</v>
      </c>
      <c r="O9926" t="n">
        <v>0</v>
      </c>
      <c r="P9926" t="n">
        <v>0</v>
      </c>
      <c r="Q9926" t="n">
        <v>0</v>
      </c>
      <c r="R9926" t="n">
        <v>0</v>
      </c>
      <c r="S9926" t="n">
        <v>0</v>
      </c>
      <c r="T9926" t="n">
        <v>0</v>
      </c>
      <c r="U9926" t="n">
        <v>0</v>
      </c>
      <c r="V9926" s="2" t="inlineStr"/>
    </row>
    <row r="9927" ht="15" customHeight="1">
      <c r="A9927" t="inlineStr">
        <is>
          <t>S 1815-2026</t>
        </is>
      </c>
      <c r="B9927" t="inlineStr">
        <is>
          <t>samrådsanmälan</t>
        </is>
      </c>
      <c r="C9927" t="inlineStr">
        <is>
          <t>Annan skogsbruksåtgärd</t>
        </is>
      </c>
      <c r="D9927" s="1" t="n">
        <v>46190</v>
      </c>
      <c r="E9927" s="1" t="n">
        <v>46319</v>
      </c>
      <c r="F9927" t="inlineStr">
        <is>
          <t>DALARNAS LÄN</t>
        </is>
      </c>
      <c r="G9927" t="inlineStr">
        <is>
          <t>LUDVIKA</t>
        </is>
      </c>
      <c r="H9927" t="inlineStr">
        <is>
          <t>Bergvik skog väst AB</t>
        </is>
      </c>
      <c r="I9927" t="n">
        <v>1.6</v>
      </c>
      <c r="J9927" t="n">
        <v>0</v>
      </c>
      <c r="K9927" t="n">
        <v>0</v>
      </c>
      <c r="L9927" t="n">
        <v>0</v>
      </c>
      <c r="M9927" t="n">
        <v>0</v>
      </c>
      <c r="N9927" t="n">
        <v>0</v>
      </c>
      <c r="O9927" t="n">
        <v>0</v>
      </c>
      <c r="P9927" t="n">
        <v>0</v>
      </c>
      <c r="Q9927" t="n">
        <v>0</v>
      </c>
      <c r="R9927" t="n">
        <v>0</v>
      </c>
      <c r="S9927" t="n">
        <v>0</v>
      </c>
      <c r="T9927" t="n">
        <v>0</v>
      </c>
      <c r="U9927" t="n">
        <v>0</v>
      </c>
      <c r="V9927" s="2" t="inlineStr"/>
    </row>
    <row r="9928" ht="15" customHeight="1">
      <c r="A9928" t="inlineStr">
        <is>
          <t>S 1869-2026</t>
        </is>
      </c>
      <c r="B9928" t="inlineStr">
        <is>
          <t>samrådsanmälan</t>
        </is>
      </c>
      <c r="C9928" t="inlineStr">
        <is>
          <t>Askåterföring</t>
        </is>
      </c>
      <c r="D9928" s="1" t="n">
        <v>46199</v>
      </c>
      <c r="E9928" s="1" t="n">
        <v>46319</v>
      </c>
      <c r="F9928" t="inlineStr">
        <is>
          <t>DALARNAS LÄN</t>
        </is>
      </c>
      <c r="G9928" t="inlineStr">
        <is>
          <t>FALUN</t>
        </is>
      </c>
      <c r="I9928" t="n">
        <v>9.1</v>
      </c>
      <c r="J9928" t="n">
        <v>0</v>
      </c>
      <c r="K9928" t="n">
        <v>0</v>
      </c>
      <c r="L9928" t="n">
        <v>0</v>
      </c>
      <c r="M9928" t="n">
        <v>0</v>
      </c>
      <c r="N9928" t="n">
        <v>0</v>
      </c>
      <c r="O9928" t="n">
        <v>0</v>
      </c>
      <c r="P9928" t="n">
        <v>0</v>
      </c>
      <c r="Q9928" t="n">
        <v>0</v>
      </c>
      <c r="R9928" t="n">
        <v>0</v>
      </c>
      <c r="S9928" t="n">
        <v>0</v>
      </c>
      <c r="T9928" t="n">
        <v>0</v>
      </c>
      <c r="U9928" t="n">
        <v>0</v>
      </c>
      <c r="V9928" s="2" t="inlineStr"/>
    </row>
    <row r="9929" ht="15" customHeight="1">
      <c r="A9929" t="inlineStr">
        <is>
          <t>S 1840-2026</t>
        </is>
      </c>
      <c r="B9929" t="inlineStr">
        <is>
          <t>samrådsanmälan</t>
        </is>
      </c>
      <c r="C9929" t="inlineStr">
        <is>
          <t>Annan skogsbruksåtgärd</t>
        </is>
      </c>
      <c r="D9929" s="1" t="n">
        <v>46198</v>
      </c>
      <c r="E9929" s="1" t="n">
        <v>46319</v>
      </c>
      <c r="F9929" t="inlineStr">
        <is>
          <t>DALARNAS LÄN</t>
        </is>
      </c>
      <c r="G9929" t="inlineStr">
        <is>
          <t>RÄTTVIK</t>
        </is>
      </c>
      <c r="H9929" t="inlineStr">
        <is>
          <t>Sveaskog</t>
        </is>
      </c>
      <c r="I9929" t="n">
        <v>7.5</v>
      </c>
      <c r="J9929" t="n">
        <v>0</v>
      </c>
      <c r="K9929" t="n">
        <v>0</v>
      </c>
      <c r="L9929" t="n">
        <v>0</v>
      </c>
      <c r="M9929" t="n">
        <v>0</v>
      </c>
      <c r="N9929" t="n">
        <v>0</v>
      </c>
      <c r="O9929" t="n">
        <v>0</v>
      </c>
      <c r="P9929" t="n">
        <v>0</v>
      </c>
      <c r="Q9929" t="n">
        <v>0</v>
      </c>
      <c r="R9929" t="n">
        <v>0</v>
      </c>
      <c r="S9929" t="n">
        <v>0</v>
      </c>
      <c r="T9929" t="n">
        <v>0</v>
      </c>
      <c r="U9929" t="n">
        <v>0</v>
      </c>
      <c r="V9929" s="2" t="inlineStr"/>
    </row>
    <row r="9930" ht="15" customHeight="1">
      <c r="A9930" t="inlineStr">
        <is>
          <t>S 1872-2026</t>
        </is>
      </c>
      <c r="B9930" t="inlineStr">
        <is>
          <t>samrådsanmälan</t>
        </is>
      </c>
      <c r="C9930" t="inlineStr">
        <is>
          <t>Annan skogsbruksåtgärd</t>
        </is>
      </c>
      <c r="D9930" s="1" t="n">
        <v>46199</v>
      </c>
      <c r="E9930" s="1" t="n">
        <v>46319</v>
      </c>
      <c r="F9930" t="inlineStr">
        <is>
          <t>DALARNAS LÄN</t>
        </is>
      </c>
      <c r="G9930" t="inlineStr">
        <is>
          <t>SMEDJEBACKEN</t>
        </is>
      </c>
      <c r="H9930" t="inlineStr">
        <is>
          <t>Sveaskog</t>
        </is>
      </c>
      <c r="I9930" t="n">
        <v>2.3</v>
      </c>
      <c r="J9930" t="n">
        <v>0</v>
      </c>
      <c r="K9930" t="n">
        <v>0</v>
      </c>
      <c r="L9930" t="n">
        <v>0</v>
      </c>
      <c r="M9930" t="n">
        <v>0</v>
      </c>
      <c r="N9930" t="n">
        <v>0</v>
      </c>
      <c r="O9930" t="n">
        <v>0</v>
      </c>
      <c r="P9930" t="n">
        <v>0</v>
      </c>
      <c r="Q9930" t="n">
        <v>0</v>
      </c>
      <c r="R9930" t="n">
        <v>0</v>
      </c>
      <c r="S9930" t="n">
        <v>0</v>
      </c>
      <c r="T9930" t="n">
        <v>0</v>
      </c>
      <c r="U9930" t="n">
        <v>0</v>
      </c>
      <c r="V9930" s="2" t="inlineStr"/>
    </row>
    <row r="9931" ht="15" customHeight="1">
      <c r="A9931" t="inlineStr">
        <is>
          <t>S 601-2026</t>
        </is>
      </c>
      <c r="B9931" t="inlineStr">
        <is>
          <t>samrådsanmälan</t>
        </is>
      </c>
      <c r="C9931" t="inlineStr">
        <is>
          <t>Skogsgödsling</t>
        </is>
      </c>
      <c r="D9931" s="1" t="n">
        <v>46085</v>
      </c>
      <c r="E9931" s="1" t="n">
        <v>46319</v>
      </c>
      <c r="F9931" t="inlineStr">
        <is>
          <t>DALARNAS LÄN</t>
        </is>
      </c>
      <c r="G9931" t="inlineStr">
        <is>
          <t>HEDEMORA</t>
        </is>
      </c>
      <c r="H9931" t="inlineStr">
        <is>
          <t>Bergvik skog väst AB</t>
        </is>
      </c>
      <c r="I9931" t="n">
        <v>35.7</v>
      </c>
      <c r="J9931" t="n">
        <v>0</v>
      </c>
      <c r="K9931" t="n">
        <v>0</v>
      </c>
      <c r="L9931" t="n">
        <v>0</v>
      </c>
      <c r="M9931" t="n">
        <v>0</v>
      </c>
      <c r="N9931" t="n">
        <v>0</v>
      </c>
      <c r="O9931" t="n">
        <v>0</v>
      </c>
      <c r="P9931" t="n">
        <v>0</v>
      </c>
      <c r="Q9931" t="n">
        <v>0</v>
      </c>
      <c r="R9931" t="n">
        <v>0</v>
      </c>
      <c r="S9931" t="n">
        <v>0</v>
      </c>
      <c r="T9931" t="n">
        <v>0</v>
      </c>
      <c r="U9931" t="n">
        <v>0</v>
      </c>
      <c r="V9931" s="2" t="inlineStr"/>
    </row>
    <row r="9932" ht="15" customHeight="1">
      <c r="A9932" t="inlineStr">
        <is>
          <t>S 2175-2026</t>
        </is>
      </c>
      <c r="B9932" t="inlineStr">
        <is>
          <t>samrådsanmälan</t>
        </is>
      </c>
      <c r="C9932" t="inlineStr">
        <is>
          <t>Askåterföring</t>
        </is>
      </c>
      <c r="D9932" s="1" t="n">
        <v>46251</v>
      </c>
      <c r="E9932" s="1" t="n">
        <v>46319</v>
      </c>
      <c r="F9932" t="inlineStr">
        <is>
          <t>DALARNAS LÄN</t>
        </is>
      </c>
      <c r="G9932" t="inlineStr">
        <is>
          <t>FALUN</t>
        </is>
      </c>
      <c r="H9932" t="inlineStr">
        <is>
          <t>Bergvik skog väst AB</t>
        </is>
      </c>
      <c r="I9932" t="n">
        <v>74.7</v>
      </c>
      <c r="J9932" t="n">
        <v>0</v>
      </c>
      <c r="K9932" t="n">
        <v>0</v>
      </c>
      <c r="L9932" t="n">
        <v>0</v>
      </c>
      <c r="M9932" t="n">
        <v>0</v>
      </c>
      <c r="N9932" t="n">
        <v>0</v>
      </c>
      <c r="O9932" t="n">
        <v>0</v>
      </c>
      <c r="P9932" t="n">
        <v>0</v>
      </c>
      <c r="Q9932" t="n">
        <v>0</v>
      </c>
      <c r="R9932" t="n">
        <v>0</v>
      </c>
      <c r="S9932" t="n">
        <v>0</v>
      </c>
      <c r="T9932" t="n">
        <v>0</v>
      </c>
      <c r="U9932" t="n">
        <v>0</v>
      </c>
      <c r="V9932" s="2" t="inlineStr"/>
    </row>
    <row r="9933" ht="15" customHeight="1">
      <c r="A9933" t="inlineStr">
        <is>
          <t>S 767-2025</t>
        </is>
      </c>
      <c r="B9933" t="inlineStr">
        <is>
          <t>samrådsanmälan</t>
        </is>
      </c>
      <c r="C9933" t="inlineStr">
        <is>
          <t>Skogsgödsling</t>
        </is>
      </c>
      <c r="D9933" s="1" t="n">
        <v>45727</v>
      </c>
      <c r="E9933" s="1" t="n">
        <v>46319</v>
      </c>
      <c r="F9933" t="inlineStr">
        <is>
          <t>DALARNAS LÄN</t>
        </is>
      </c>
      <c r="G9933" t="inlineStr">
        <is>
          <t>LEKSAND</t>
        </is>
      </c>
      <c r="H9933" t="inlineStr">
        <is>
          <t>Bergvik skog väst AB</t>
        </is>
      </c>
      <c r="I9933" t="n">
        <v>313</v>
      </c>
      <c r="J9933" t="n">
        <v>0</v>
      </c>
      <c r="K9933" t="n">
        <v>0</v>
      </c>
      <c r="L9933" t="n">
        <v>0</v>
      </c>
      <c r="M9933" t="n">
        <v>0</v>
      </c>
      <c r="N9933" t="n">
        <v>0</v>
      </c>
      <c r="O9933" t="n">
        <v>0</v>
      </c>
      <c r="P9933" t="n">
        <v>0</v>
      </c>
      <c r="Q9933" t="n">
        <v>0</v>
      </c>
      <c r="R9933" t="n">
        <v>0</v>
      </c>
      <c r="S9933" t="n">
        <v>0</v>
      </c>
      <c r="T9933" t="n">
        <v>0</v>
      </c>
      <c r="U9933" t="n">
        <v>0</v>
      </c>
      <c r="V9933" s="2" t="inlineStr"/>
    </row>
    <row r="9934" ht="15" customHeight="1">
      <c r="A9934" t="inlineStr">
        <is>
          <t>S 2253-2026</t>
        </is>
      </c>
      <c r="B9934" t="inlineStr">
        <is>
          <t>samrådsanmälan</t>
        </is>
      </c>
      <c r="C9934" t="inlineStr">
        <is>
          <t>Annan skogsbruksåtgärd</t>
        </is>
      </c>
      <c r="D9934" s="1" t="n">
        <v>46261</v>
      </c>
      <c r="E9934" s="1" t="n">
        <v>46319</v>
      </c>
      <c r="F9934" t="inlineStr">
        <is>
          <t>DALARNAS LÄN</t>
        </is>
      </c>
      <c r="G9934" t="inlineStr">
        <is>
          <t>ORSA</t>
        </is>
      </c>
      <c r="I9934" t="n">
        <v>2.6</v>
      </c>
      <c r="J9934" t="n">
        <v>0</v>
      </c>
      <c r="K9934" t="n">
        <v>0</v>
      </c>
      <c r="L9934" t="n">
        <v>0</v>
      </c>
      <c r="M9934" t="n">
        <v>0</v>
      </c>
      <c r="N9934" t="n">
        <v>0</v>
      </c>
      <c r="O9934" t="n">
        <v>0</v>
      </c>
      <c r="P9934" t="n">
        <v>0</v>
      </c>
      <c r="Q9934" t="n">
        <v>0</v>
      </c>
      <c r="R9934" t="n">
        <v>0</v>
      </c>
      <c r="S9934" t="n">
        <v>0</v>
      </c>
      <c r="T9934" t="n">
        <v>0</v>
      </c>
      <c r="U9934" t="n">
        <v>0</v>
      </c>
      <c r="V9934" s="2" t="inlineStr"/>
    </row>
    <row r="9935">
      <c r="A9935" t="inlineStr">
        <is>
          <t>S 2214-2026</t>
        </is>
      </c>
      <c r="B9935" t="inlineStr">
        <is>
          <t>samrådsanmälan</t>
        </is>
      </c>
      <c r="C9935" t="inlineStr">
        <is>
          <t>Annan skogsbruksåtgärd</t>
        </is>
      </c>
      <c r="D9935" s="1" t="n">
        <v>46258</v>
      </c>
      <c r="E9935" s="1" t="n">
        <v>46319</v>
      </c>
      <c r="F9935" t="inlineStr">
        <is>
          <t>DALARNAS LÄN</t>
        </is>
      </c>
      <c r="G9935" t="inlineStr">
        <is>
          <t>ORSA</t>
        </is>
      </c>
      <c r="H9935" t="inlineStr">
        <is>
          <t>Bergvik skog öst AB</t>
        </is>
      </c>
      <c r="I9935" t="n">
        <v>0.7</v>
      </c>
      <c r="J9935" t="n">
        <v>0</v>
      </c>
      <c r="K9935" t="n">
        <v>0</v>
      </c>
      <c r="L9935" t="n">
        <v>0</v>
      </c>
      <c r="M9935" t="n">
        <v>0</v>
      </c>
      <c r="N9935" t="n">
        <v>0</v>
      </c>
      <c r="O9935" t="n">
        <v>0</v>
      </c>
      <c r="P9935" t="n">
        <v>0</v>
      </c>
      <c r="Q9935" t="n">
        <v>0</v>
      </c>
      <c r="R9935" t="n">
        <v>0</v>
      </c>
      <c r="S9935" t="n">
        <v>0</v>
      </c>
      <c r="T9935" t="n">
        <v>0</v>
      </c>
      <c r="U9935" t="n">
        <v>0</v>
      </c>
      <c r="V993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2026-10-24T01:58:25Z</dcterms:created>
  <dcterms:modified xmlns:dcterms="http://purl.org/dc/terms/" xmlns:xsi="http://www.w3.org/2001/XMLSchema-instance" xsi:type="dcterms:W3CDTF">2026-10-24T01:58:36Z</dcterms:modified>
</cp:coreProperties>
</file>